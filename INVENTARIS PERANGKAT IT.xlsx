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 PEMBELIAN + BAST" sheetId="1" r:id="rId5"/>
    <sheet state="visible" name="STOCK PERANGKAT" sheetId="2" r:id="rId6"/>
    <sheet state="visible" name="LAPTOP 2026" sheetId="3" r:id="rId7"/>
    <sheet state="visible" name="LAPTOP 2025" sheetId="4" r:id="rId8"/>
    <sheet state="visible" name="SO JUL25" sheetId="5" r:id="rId9"/>
    <sheet state="visible" name="SO OKT25" sheetId="6" r:id="rId10"/>
    <sheet state="visible" name="SO DES25" sheetId="7" r:id="rId11"/>
    <sheet state="visible" name="SO MAR26" sheetId="8" r:id="rId12"/>
    <sheet state="visible" name="SO JUN26" sheetId="9" r:id="rId13"/>
    <sheet state="visible" name="INVENTARIS - MANAGEMENT" sheetId="10" r:id="rId14"/>
    <sheet state="visible" name="INVENTARIS - AGENT" sheetId="11" r:id="rId15"/>
    <sheet state="visible" name="MONITOR - NO INV" sheetId="12" r:id="rId16"/>
    <sheet state="visible" name="MONITOR - INVENTARIS" sheetId="13" r:id="rId17"/>
    <sheet state="visible" name="KEYBOARD - NO INV" sheetId="14" r:id="rId18"/>
    <sheet state="visible" name="KEYBOARD - INVENTARIS" sheetId="15" r:id="rId19"/>
    <sheet state="visible" name="CPU - NO INV" sheetId="16" r:id="rId20"/>
    <sheet state="visible" name="CPU - INVENTARIS" sheetId="17" r:id="rId21"/>
    <sheet state="visible" name="MOUSE - NO INV" sheetId="18" r:id="rId22"/>
    <sheet state="visible" name="MOUSE - INVENTARIS" sheetId="19" r:id="rId23"/>
    <sheet state="visible" name="HEADSET - NO INV" sheetId="20" r:id="rId24"/>
    <sheet state="visible" name="HEADSET - INVENTARIS" sheetId="21" r:id="rId25"/>
    <sheet state="visible" name="SELAIN PERANGKAT" sheetId="22" r:id="rId26"/>
  </sheets>
  <definedNames>
    <definedName hidden="1" localSheetId="0" name="_xlnm._FilterDatabase">'REKAP PEMBELIAN + BAST'!$A$3:$H$107</definedName>
    <definedName hidden="1" localSheetId="2" name="_xlnm._FilterDatabase">'LAPTOP 2026'!$A$4:$I$52</definedName>
    <definedName hidden="1" localSheetId="3" name="_xlnm._FilterDatabase">'LAPTOP 2025'!$A$4:$I$51</definedName>
    <definedName hidden="1" localSheetId="4" name="_xlnm._FilterDatabase">'SO JUL25'!$A$1:$L$1277</definedName>
    <definedName hidden="1" localSheetId="5" name="_xlnm._FilterDatabase">'SO OKT25'!$A$1:$M$1280</definedName>
    <definedName hidden="1" localSheetId="6" name="_xlnm._FilterDatabase">'SO DES25'!$A$1:$K$1279</definedName>
    <definedName hidden="1" localSheetId="7" name="_xlnm._FilterDatabase">'SO MAR26'!$A$1:$K$1348</definedName>
    <definedName hidden="1" localSheetId="8" name="_xlnm._FilterDatabase">'SO JUN26'!$A$1:$K$1414</definedName>
    <definedName hidden="1" localSheetId="9" name="_xlnm._FilterDatabase">'INVENTARIS - MANAGEMENT'!$A$1:$H$66</definedName>
    <definedName hidden="1" localSheetId="10" name="_xlnm._FilterDatabase">'INVENTARIS - AGENT'!$A$1:$G$1212</definedName>
    <definedName hidden="1" localSheetId="11" name="_xlnm._FilterDatabase">'MONITOR - NO INV'!$A$3:$F$843</definedName>
    <definedName hidden="1" localSheetId="12" name="_xlnm._FilterDatabase">'MONITOR - INVENTARIS'!$A$1:$G$1084</definedName>
    <definedName hidden="1" localSheetId="13" name="_xlnm._FilterDatabase">'KEYBOARD - NO INV'!$A$3:$F$880</definedName>
    <definedName hidden="1" localSheetId="15" name="_xlnm._FilterDatabase">'CPU - NO INV'!$A$3:$F$533</definedName>
    <definedName hidden="1" localSheetId="17" name="_xlnm._FilterDatabase">'MOUSE - NO INV'!$A$3:$F$850</definedName>
    <definedName hidden="1" localSheetId="18" name="_xlnm._FilterDatabase">'MOUSE - INVENTARIS'!$A$1:$G$1042</definedName>
    <definedName hidden="1" localSheetId="19" name="_xlnm._FilterDatabase">'HEADSET - NO INV'!$A$3:$F$863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tc={154e66d5-44aa-4f3f-807d-64e08957c008}</author>
    <author>tc={2fc79827-1336-49b3-a720-e55d90f0b0ca}</author>
    <author>tc={350bfcea-0667-4a3e-a98a-66d4aef7cbf4}</author>
    <author>tc={3561524f-46b9-47b2-ba7d-5113737f7265}</author>
    <author>tc={384bc8e2-bd2a-460c-84e8-104050d41010}</author>
    <author>tc={665e11f1-02d1-40bd-9422-8b9e584fbe7a}</author>
    <author>tc={67a6ca02-d122-424e-bb7b-db24e3c03c83}</author>
    <author>tc={6bced4fa-96ce-4511-8509-849d04d00974}</author>
    <author>tc={7e3489f4-e3e9-4dc8-9893-9810cd63ed6b}</author>
    <author>tc={80e037aa-7c58-4cb2-974a-9d7064f64b93}</author>
    <author>tc={8b129411-4fd0-4deb-85ad-e9205fa8038b}</author>
    <author>tc={98f38f70-a089-42ce-819f-1852e5defe49}</author>
    <author>tc={b4741314-9bef-42c0-9eae-2c874537de3a}</author>
    <author>tc={bb33599b-c232-4f3a-bdf8-91a50cbbc221}</author>
    <author>tc={c0949829-8119-446f-956e-1271ed2a80e9}</author>
    <author>tc={c20a995c-bf10-4116-9962-a9a8aa0165be}</author>
    <author>tc={d306dbe5-b69d-4742-aa09-8276d35bf781}</author>
    <author>tc={e65a01f6-33c2-46d1-aae5-f0e8acec444e}</author>
  </authors>
  <commentList>
    <comment authorId="0" xr:uid="{154e66d5-44aa-4f3f-807d-64e08957c008}" ref="R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Terjual
1. 16/09/25 [221]
</t>
      </text>
    </comment>
    <comment authorId="1" xr:uid="{2fc79827-1336-49b3-a720-e55d90f0b0ca}" ref="AG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management = 15
Baru = 10
</t>
      </text>
    </comment>
    <comment authorId="2" xr:uid="{350bfcea-0667-4a3e-a98a-66d4aef7cbf4}" ref="R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Terjual 
1. 15/09/25 [245]
</t>
      </text>
    </comment>
    <comment authorId="3" xr:uid="{3561524f-46b9-47b2-ba7d-5113737f7265}" ref="O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28/07/25 [25]
2. 30/07/25 [25]
3. 08/12/25 [50]
</t>
      </text>
    </comment>
    <comment authorId="4" xr:uid="{384bc8e2-bd2a-460c-84e8-104050d41010}" ref="O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BAST 28-30 Juli 2025
2. 08/12/25
</t>
      </text>
    </comment>
    <comment authorId="5" xr:uid="{665e11f1-02d1-40bd-9422-8b9e584fbe7a}" ref="R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Terjual 
1. 15/09/25 [152]
2. 16/09/25 [55]
</t>
      </text>
    </comment>
    <comment authorId="6" xr:uid="{67a6ca02-d122-424e-bb7b-db24e3c03c83}" ref="A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Baru belum ke floor
</t>
      </text>
    </comment>
    <comment authorId="7" xr:uid="{6bced4fa-96ce-4511-8509-849d04d00974}" ref="T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31/01/26 [50]
2. 22/04/26 [25]
3. 29/06/26 [30]
4. 14/07/26 [50]
</t>
      </text>
    </comment>
    <comment authorId="8" xr:uid="{7e3489f4-e3e9-4dc8-9893-9810cd63ed6b}" ref="O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28/07/2025 [25]
2. 30/07/25 [25]
2. 08/12/25 [50]
</t>
      </text>
    </comment>
    <comment authorId="9" xr:uid="{80e037aa-7c58-4cb2-974a-9d7064f64b93}" ref="T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24/02/26 [50]
2. 11/05/26 [50]
3. 24/06/26 [25]
4. 17/07/26 [50]
</t>
      </text>
    </comment>
    <comment authorId="10" xr:uid="{8b129411-4fd0-4deb-85ad-e9205fa8038b}" ref="T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24/02/26 [50]
2. 11/05/26 [50]
3. 24/06/26 [25]
4. 17/07/26 [50]
</t>
      </text>
    </comment>
    <comment authorId="11" xr:uid="{98f38f70-a089-42ce-819f-1852e5defe49}" ref="T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3 Feb 26
</t>
      </text>
    </comment>
    <comment authorId="12" xr:uid="{b4741314-9bef-42c0-9eae-2c874537de3a}" ref="T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Hadiah [20/07/26/]
</t>
      </text>
    </comment>
    <comment authorId="13" xr:uid="{bb33599b-c232-4f3a-bdf8-91a50cbbc221}" ref="T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24/02/26 [50]
2. 07/03/26 [50]
3. 11/05/26 [50]
4. 24/06/26 [25]
5. 29/06/26 [25]
6. 17/07/26 [50]
</t>
      </text>
    </comment>
    <comment authorId="14" xr:uid="{c0949829-8119-446f-956e-1271ed2a80e9}" ref="T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24/02/26 [50]
2. 07/03/26 [50]
3. 11/05/26 [50]
4. 24/06/26 [25]
</t>
      </text>
    </comment>
    <comment authorId="15" xr:uid="{c20a995c-bf10-4116-9962-a9a8aa0165be}" ref="O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07/05/25 [15]
2. 17/07/25 [10]
3. 28/07/25 [25]
4. 30/07/25 [25]
5. 08/12/25 [50]
</t>
      </text>
    </comment>
    <comment authorId="16" xr:uid="{d306dbe5-b69d-4742-aa09-8276d35bf781}" ref="O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21/02/25 [50]
2. 28/07/25 [25]
3. 30/07/25 [25]
3. 08/12/25 [50]
</t>
      </text>
    </comment>
    <comment authorId="17" xr:uid="{e65a01f6-33c2-46d1-aae5-f0e8acec444e}" ref="O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21/02/25 [50]
2. 14/11/25 [35]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tc={d9e69db4-430c-4b89-97fd-34138f2f69e9}</author>
  </authors>
  <commentList>
    <comment authorId="0" xr:uid="{d9e69db4-430c-4b89-97fd-34138f2f69e9}" ref="G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Laptop pak Yo yang keyboardnya rusak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tc={ec35c177-afcf-4399-92b7-6680a7e2839e}</author>
  </authors>
  <commentList>
    <comment authorId="0" xr:uid="{ec35c177-afcf-4399-92b7-6680a7e2839e}" ref="O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Nambah dateng 14/11/2025
</t>
      </text>
    </comment>
  </commentList>
</comments>
</file>

<file path=xl/sharedStrings.xml><?xml version="1.0" encoding="utf-8"?>
<sst xmlns="http://schemas.openxmlformats.org/spreadsheetml/2006/main" count="63637" uniqueCount="6810">
  <si>
    <t>SERAH TERIMA LAPTOP 2026</t>
  </si>
  <si>
    <t>PERANGKAT</t>
  </si>
  <si>
    <t>REKAP PEMBELIAN PERANGKAT IT</t>
  </si>
  <si>
    <t>SERAH TERIMA LAPTOP 2025</t>
  </si>
  <si>
    <t>2024,2025,2026</t>
  </si>
  <si>
    <t>STOCK 2022</t>
  </si>
  <si>
    <t>NO</t>
  </si>
  <si>
    <t>STOCK 2023</t>
  </si>
  <si>
    <t>STOCK 2024</t>
  </si>
  <si>
    <t>STOCK 2025</t>
  </si>
  <si>
    <t>JUMLAH</t>
  </si>
  <si>
    <t>SATUAN</t>
  </si>
  <si>
    <t>TYPE UNIT</t>
  </si>
  <si>
    <t>BULAN</t>
  </si>
  <si>
    <t>TAHUN</t>
  </si>
  <si>
    <t>TANGGAL BAST</t>
  </si>
  <si>
    <t>TOTAL PERANGKAT</t>
  </si>
  <si>
    <t>STOCK 2026</t>
  </si>
  <si>
    <t>INVENTARIS</t>
  </si>
  <si>
    <t>RAM PC DDR3</t>
  </si>
  <si>
    <t>UNIT</t>
  </si>
  <si>
    <t>MEI</t>
  </si>
  <si>
    <t>No BAST</t>
  </si>
  <si>
    <t>BARANG</t>
  </si>
  <si>
    <t>POSISI</t>
  </si>
  <si>
    <t>NAMA</t>
  </si>
  <si>
    <t>KETERANGAN</t>
  </si>
  <si>
    <t>TOTAL DARI DATA PINDAH PERANGKAT</t>
  </si>
  <si>
    <t>TGL SERAH TERIMA</t>
  </si>
  <si>
    <t>B.2/0065/2024</t>
  </si>
  <si>
    <t>JUMLAH AWAL</t>
  </si>
  <si>
    <t>FAN PROSESSOR INTEL (HEADSINK)</t>
  </si>
  <si>
    <t>Laptop ROG Flow Z13 GZ301ZE</t>
  </si>
  <si>
    <t>Director</t>
  </si>
  <si>
    <t>Ardhianto Wirawan</t>
  </si>
  <si>
    <t>SSD SATA 120GB</t>
  </si>
  <si>
    <t>PENAMBAHAN</t>
  </si>
  <si>
    <t>KERUSAKAN</t>
  </si>
  <si>
    <t>PERBAIKAN</t>
  </si>
  <si>
    <t>TOTAL</t>
  </si>
  <si>
    <t>JUNI</t>
  </si>
  <si>
    <t>RAM PC DDR4</t>
  </si>
  <si>
    <t xml:space="preserve">KERUSAKAN </t>
  </si>
  <si>
    <t>TERJUAL</t>
  </si>
  <si>
    <t>SSD SATA 128GB</t>
  </si>
  <si>
    <t>PSU 500W ATX</t>
  </si>
  <si>
    <t>B.2/0066/2024</t>
  </si>
  <si>
    <t>Laptop Asus Vivobook S14 Flip</t>
  </si>
  <si>
    <t>Manager Business Development and Operational</t>
  </si>
  <si>
    <t>Andika Artabayu</t>
  </si>
  <si>
    <t>MOUSE</t>
  </si>
  <si>
    <t>B.2/0064/2023</t>
  </si>
  <si>
    <t>Laptop Asus Vivobook</t>
  </si>
  <si>
    <t>Secretary</t>
  </si>
  <si>
    <t>Lia Nawang Sari</t>
  </si>
  <si>
    <t>B.2/0067/2024</t>
  </si>
  <si>
    <t>STOCK OPNAME JUN 26</t>
  </si>
  <si>
    <t>Laptop Asus Vivobook 14 A1404ZA</t>
  </si>
  <si>
    <t>STOCK OPNAME MAR 26</t>
  </si>
  <si>
    <t>STOCK OPNAME DES 25</t>
  </si>
  <si>
    <t>SELISIH</t>
  </si>
  <si>
    <t>Manager Collection</t>
  </si>
  <si>
    <t>Setiawan Ginanjar</t>
  </si>
  <si>
    <t>B.2/0068/2024</t>
  </si>
  <si>
    <t>Andri Lambok Simatupang</t>
  </si>
  <si>
    <t>B.2/0070/2024</t>
  </si>
  <si>
    <t>HEADSET</t>
  </si>
  <si>
    <t>JULI</t>
  </si>
  <si>
    <t>KABEL VGA</t>
  </si>
  <si>
    <t>HDD HARDDISK INTERNAL 3.5"</t>
  </si>
  <si>
    <t>LAN CARD PCI EXPRESS GIGABIT NETWORK ADAPTER</t>
  </si>
  <si>
    <t>CPU</t>
  </si>
  <si>
    <t>Yolanda Ardha Pradana</t>
  </si>
  <si>
    <t>CRIMPING TOOLS TANG RJ45 + KABEL LAN TESTER</t>
  </si>
  <si>
    <t>KEYBOARD</t>
  </si>
  <si>
    <t>MONITOR</t>
  </si>
  <si>
    <t>MEJA DC</t>
  </si>
  <si>
    <t>AGUSTUS</t>
  </si>
  <si>
    <t>TUKER DENGAN LAPTOP PAK ARI</t>
  </si>
  <si>
    <t>CONNECTOR RJ45</t>
  </si>
  <si>
    <t>PACK</t>
  </si>
  <si>
    <t>771 Meja/ 1139 Bilik</t>
  </si>
  <si>
    <t>UTP CAT 6</t>
  </si>
  <si>
    <t>ROLL</t>
  </si>
  <si>
    <t>UTP CAT 5</t>
  </si>
  <si>
    <t>SEPTEMBER</t>
  </si>
  <si>
    <t>CCTV</t>
  </si>
  <si>
    <t>NVR</t>
  </si>
  <si>
    <t>POWER ADAPTOR LENOVO</t>
  </si>
  <si>
    <t>ADAPTOR MONITOR LG</t>
  </si>
  <si>
    <t>Ari Wicaksono</t>
  </si>
  <si>
    <t>DS-2CD1143G0E-I</t>
  </si>
  <si>
    <t>OKTOBER</t>
  </si>
  <si>
    <t>786 Meja / 1220 Bilik</t>
  </si>
  <si>
    <t>16 Meja / 80 Bilik</t>
  </si>
  <si>
    <t>LAPTOP DI AMBIL SSS</t>
  </si>
  <si>
    <t>B.2/0063/2023</t>
  </si>
  <si>
    <t>Laptop Asus M415D</t>
  </si>
  <si>
    <t>Manager HRD</t>
  </si>
  <si>
    <t>Dewi Kartika Sari</t>
  </si>
  <si>
    <t>802 Meja / 1300 Bilik</t>
  </si>
  <si>
    <t>DS-2CD2955FWD-I(S)</t>
  </si>
  <si>
    <t>22 Meja/90 Bilik</t>
  </si>
  <si>
    <t>DS-7604NI-E1/4P</t>
  </si>
  <si>
    <t>Manager FAT</t>
  </si>
  <si>
    <t>2 Bilik</t>
  </si>
  <si>
    <t>NOVEMBER</t>
  </si>
  <si>
    <t>Mudayani</t>
  </si>
  <si>
    <t>824 Meja/ 1388 Bilik</t>
  </si>
  <si>
    <t>AGENT</t>
  </si>
  <si>
    <t>KURSI DC</t>
  </si>
  <si>
    <t>B.2/0074/2024</t>
  </si>
  <si>
    <t>Manager Field Collection</t>
  </si>
  <si>
    <t>Bagus Anggara Putra</t>
  </si>
  <si>
    <t>B.2/0071/2024</t>
  </si>
  <si>
    <t>Jr. Manager Legal</t>
  </si>
  <si>
    <t>Mirza Savira</t>
  </si>
  <si>
    <t>B.2/0072/2024</t>
  </si>
  <si>
    <t>Asst. Manager Collection</t>
  </si>
  <si>
    <t>Prianto</t>
  </si>
  <si>
    <t>FEBRUARI</t>
  </si>
  <si>
    <t>B.2/0073/2024</t>
  </si>
  <si>
    <t>M. Thoriq Ilmi</t>
  </si>
  <si>
    <t>B.2/0075/2024</t>
  </si>
  <si>
    <t>Supervisor IT</t>
  </si>
  <si>
    <t>Abdi Arkananta Satya Sancoko</t>
  </si>
  <si>
    <t>B.2/0077/2025</t>
  </si>
  <si>
    <t>SUDAH ADA DI RUANGAN IT</t>
  </si>
  <si>
    <t>Laptop Lenovo Ideapad S130-14</t>
  </si>
  <si>
    <t>Staff GA</t>
  </si>
  <si>
    <t>Annisa' Soraya</t>
  </si>
  <si>
    <t>B.2/0079/2025</t>
  </si>
  <si>
    <t>Laptop Thinkpad</t>
  </si>
  <si>
    <t>Pandu Adi Samudra</t>
  </si>
  <si>
    <t>B.2/0078/2025</t>
  </si>
  <si>
    <t>Laptop Lenovo Ideapad 330</t>
  </si>
  <si>
    <t>Staff Admin</t>
  </si>
  <si>
    <t>Untuk Semua</t>
  </si>
  <si>
    <t>B.2/24/2020</t>
  </si>
  <si>
    <t>DITAMBAH LAPTOP M. HEDI</t>
  </si>
  <si>
    <t>MANAGEMENT</t>
  </si>
  <si>
    <t>PC ALL IN ONE</t>
  </si>
  <si>
    <t>Supervisor QA</t>
  </si>
  <si>
    <t>Hedi Candra Muhammad</t>
  </si>
  <si>
    <t>Staff HRD</t>
  </si>
  <si>
    <t>Abdul Ardiansya Susilo</t>
  </si>
  <si>
    <t>B.2/0087/2025</t>
  </si>
  <si>
    <t>Barang Datang/Merek Bukan Sata</t>
  </si>
  <si>
    <t>Retno Indahsari</t>
  </si>
  <si>
    <t>DIBAWA BU MIRZA</t>
  </si>
  <si>
    <t>B.2/0085/2025</t>
  </si>
  <si>
    <t>Barang Datang</t>
  </si>
  <si>
    <t>Zhafran Valdano Wahyushahensa</t>
  </si>
  <si>
    <t>TUKER DENGAN LAPTOP PAK ABDUL</t>
  </si>
  <si>
    <t>B.2/0086/2025</t>
  </si>
  <si>
    <t>B.2/20/2020</t>
  </si>
  <si>
    <t>Fais Restyafani</t>
  </si>
  <si>
    <t>B.2/0076/2025</t>
  </si>
  <si>
    <t>Staff Medis</t>
  </si>
  <si>
    <t>Sendi Eka Oktaviani</t>
  </si>
  <si>
    <t>Laptop Dell</t>
  </si>
  <si>
    <t>Staff QA</t>
  </si>
  <si>
    <t>Nor Hasanah</t>
  </si>
  <si>
    <t>B.2/0083/2025</t>
  </si>
  <si>
    <t>Mustofa Fajar Afnani</t>
  </si>
  <si>
    <t>LCD MONITOR</t>
  </si>
  <si>
    <t>Hanif Maulana</t>
  </si>
  <si>
    <t>Depri Lutfi Amin</t>
  </si>
  <si>
    <t>B.2/0084/2025</t>
  </si>
  <si>
    <t>Muh. Muqodam Ali</t>
  </si>
  <si>
    <t>Frendy Ferry Andika</t>
  </si>
  <si>
    <t>Riva Sardiana Rahmadani</t>
  </si>
  <si>
    <t>Luluk Yusrin Amalia</t>
  </si>
  <si>
    <t>B.2/0069/2024</t>
  </si>
  <si>
    <t>Ruangan IT</t>
  </si>
  <si>
    <t>DESEMBER</t>
  </si>
  <si>
    <t>Digunakan IT</t>
  </si>
  <si>
    <t>Laptop Thinkpad, Dell, Lenovo</t>
  </si>
  <si>
    <t>BLURR</t>
  </si>
  <si>
    <t>Laptop Lenovo</t>
  </si>
  <si>
    <t>Digunakan IT [Dari Riska QA]</t>
  </si>
  <si>
    <t>CPU + MINI CPU</t>
  </si>
  <si>
    <t>JANUARI</t>
  </si>
  <si>
    <t>Rusak</t>
  </si>
  <si>
    <t>Gudang GA Belakang</t>
  </si>
  <si>
    <t>Tidak di tempat</t>
  </si>
  <si>
    <t>laptop dibawa ricky sudah resign</t>
  </si>
  <si>
    <t>MARET</t>
  </si>
  <si>
    <t>Di pondok</t>
  </si>
  <si>
    <t>laptop di pinjam pondok</t>
  </si>
  <si>
    <t>KELEBIHAN</t>
  </si>
  <si>
    <t>APRIL</t>
  </si>
  <si>
    <t>Tidak terdeteksi tempat dan kondisi</t>
  </si>
  <si>
    <t>SWITCH HUB</t>
  </si>
  <si>
    <t>STOCK OPNAME</t>
  </si>
  <si>
    <t>TOTAL TAMBAHAN</t>
  </si>
  <si>
    <t>BELUM MASUK</t>
  </si>
  <si>
    <t>PRINTER</t>
  </si>
  <si>
    <t>LAPTOP</t>
  </si>
  <si>
    <t>No Meja</t>
  </si>
  <si>
    <t>Mouse</t>
  </si>
  <si>
    <t>Headset</t>
  </si>
  <si>
    <t>Keyboard</t>
  </si>
  <si>
    <t>Monitor</t>
  </si>
  <si>
    <t>PC Putih</t>
  </si>
  <si>
    <t>Keterangan</t>
  </si>
  <si>
    <t>Laptop</t>
  </si>
  <si>
    <t>Nama</t>
  </si>
  <si>
    <t>V</t>
  </si>
  <si>
    <t>Mini CPU</t>
  </si>
  <si>
    <t>R. IT laptop rusak</t>
  </si>
  <si>
    <t>PC PUTIH</t>
  </si>
  <si>
    <t xml:space="preserve">Gudang GA belakang </t>
  </si>
  <si>
    <t>MINI CPU</t>
  </si>
  <si>
    <t>TOTAL AGENT</t>
  </si>
  <si>
    <t>Lt3</t>
  </si>
  <si>
    <t>-</t>
  </si>
  <si>
    <t>MEJA KOSONG</t>
  </si>
  <si>
    <t>PRIBADI</t>
  </si>
  <si>
    <t>Awal</t>
  </si>
  <si>
    <t>LAPANGAN</t>
  </si>
  <si>
    <t>Saat ini</t>
  </si>
  <si>
    <t>RUSAK</t>
  </si>
  <si>
    <t>R. JARINGAN [2] , MASJID</t>
  </si>
  <si>
    <t>STOCK RUANG IT</t>
  </si>
  <si>
    <t>PERANGKAT DIJUAL</t>
  </si>
  <si>
    <t>Tanggal</t>
  </si>
  <si>
    <t xml:space="preserve">Nama Perangkat </t>
  </si>
  <si>
    <t>Jumlah</t>
  </si>
  <si>
    <t>Total</t>
  </si>
  <si>
    <t xml:space="preserve">CPU </t>
  </si>
  <si>
    <t>DC &amp; MANAGEMENT</t>
  </si>
  <si>
    <t>R. IT</t>
  </si>
  <si>
    <t>R TRAINING</t>
  </si>
  <si>
    <t>R. Meeting Besar</t>
  </si>
  <si>
    <t>Skyteam</t>
  </si>
  <si>
    <t>cpu</t>
  </si>
  <si>
    <t>pc putih</t>
  </si>
  <si>
    <t>meja kosong</t>
  </si>
  <si>
    <t>mini cpu yang perangkat agak lengkap</t>
  </si>
  <si>
    <t>LT 3</t>
  </si>
  <si>
    <t>R ECEG</t>
  </si>
  <si>
    <t>MK</t>
  </si>
  <si>
    <t>P</t>
  </si>
  <si>
    <t>lt2</t>
  </si>
  <si>
    <t>Management</t>
  </si>
  <si>
    <t>M. Dwiki Prabowo</t>
  </si>
  <si>
    <t>Personal Assistant of Director</t>
  </si>
  <si>
    <t>Resya Guesmel</t>
  </si>
  <si>
    <t>Awang Putra Pratama</t>
  </si>
  <si>
    <t>Anindita Maharani</t>
  </si>
  <si>
    <t>Novia Natasha Hariyanto</t>
  </si>
  <si>
    <t>Norman Arias</t>
  </si>
  <si>
    <t>Harum Maulana</t>
  </si>
  <si>
    <t>M. Saiful Bahri</t>
  </si>
  <si>
    <t>Yani Pranata</t>
  </si>
  <si>
    <t>Fanny Setiana Liswanto</t>
  </si>
  <si>
    <t>Mushtofa Fajar Afnani</t>
  </si>
  <si>
    <t>Yusi Pratiwi Angguntari</t>
  </si>
  <si>
    <t>Nur Andika</t>
  </si>
  <si>
    <t>Eka Desi Retnowati</t>
  </si>
  <si>
    <t>Widya Indah Rahayu</t>
  </si>
  <si>
    <t>Staff Finance</t>
  </si>
  <si>
    <t>Nadiyatul Ula Faidatun Nisa'</t>
  </si>
  <si>
    <t>Staff Tax</t>
  </si>
  <si>
    <t>M. Ru'i</t>
  </si>
  <si>
    <t>Eszag Hadiputra Christawan</t>
  </si>
  <si>
    <t>Dona Yuliandri Adam</t>
  </si>
  <si>
    <t>Ilham Putra Mahendra</t>
  </si>
  <si>
    <t>Staff IT Helper</t>
  </si>
  <si>
    <t>Andhika Dwi Adha Putra</t>
  </si>
  <si>
    <t>Sandrak Abet Nego Batubara</t>
  </si>
  <si>
    <t>Alenzandro Yogi Irfancyah Kabut</t>
  </si>
  <si>
    <t>Mahfudh Khoirul Anwar</t>
  </si>
  <si>
    <t>Staff IT</t>
  </si>
  <si>
    <t>Atma Ramdhani Ahmad</t>
  </si>
  <si>
    <t>Alif Fachrul Rizky Endiyanto</t>
  </si>
  <si>
    <t>Fadya Wutri Ardyanitasari</t>
  </si>
  <si>
    <t>Resepsionis</t>
  </si>
  <si>
    <t>Nadia</t>
  </si>
  <si>
    <t>Laptop Admin</t>
  </si>
  <si>
    <t>Laptop Annisa</t>
  </si>
  <si>
    <t>Meja IT lantai 3</t>
  </si>
  <si>
    <t>Meja dekat pak Norman</t>
  </si>
  <si>
    <t>Ruangan Jaringan IT</t>
  </si>
  <si>
    <t>Meja IT Lantai 3</t>
  </si>
  <si>
    <t>KUBIKEL KOSONG</t>
  </si>
  <si>
    <t>KUBIKEL AKTIF</t>
  </si>
  <si>
    <t>KUBIKEL HILANG</t>
  </si>
  <si>
    <t>Adam Priyagung Dharmawan</t>
  </si>
  <si>
    <t>Abdul Wahid</t>
  </si>
  <si>
    <t>Rizka Litfia Ningsih</t>
  </si>
  <si>
    <t>Lukman Hasyim</t>
  </si>
  <si>
    <t>Lilik Setiawan</t>
  </si>
  <si>
    <t>Rahmat Hidayatullah</t>
  </si>
  <si>
    <t>Posisi</t>
  </si>
  <si>
    <t>PC/1398/2025</t>
  </si>
  <si>
    <t>MS/1433/2022</t>
  </si>
  <si>
    <t>KB/0792/2025</t>
  </si>
  <si>
    <t>MN/0829/2025</t>
  </si>
  <si>
    <t>PC/1399/2025</t>
  </si>
  <si>
    <t>MS/1131/2023</t>
  </si>
  <si>
    <t>KB/0816/2025</t>
  </si>
  <si>
    <t>MN/108/2020</t>
  </si>
  <si>
    <t>PC/1271/2025</t>
  </si>
  <si>
    <t>MS/1388/2022</t>
  </si>
  <si>
    <t>KB/0480/2025</t>
  </si>
  <si>
    <t>MN/0363/2025</t>
  </si>
  <si>
    <t>MS/1393/2022</t>
  </si>
  <si>
    <t>PC/1269/2025</t>
  </si>
  <si>
    <t>MS/1747/2025</t>
  </si>
  <si>
    <t>KB/0478/2025</t>
  </si>
  <si>
    <t>MN/0361/2025</t>
  </si>
  <si>
    <t>PC/1265/2025</t>
  </si>
  <si>
    <t>MS/1378/2022</t>
  </si>
  <si>
    <t>MN/0357/2025</t>
  </si>
  <si>
    <t>MS/0384/2019</t>
  </si>
  <si>
    <t>PC/1268/2025</t>
  </si>
  <si>
    <t>MS/1746/2025</t>
  </si>
  <si>
    <t>KB/0477/2025</t>
  </si>
  <si>
    <t>MN/0360/2025</t>
  </si>
  <si>
    <t>PC/1273/2025</t>
  </si>
  <si>
    <t>MS/1749/2025</t>
  </si>
  <si>
    <t>MN/0365/2025</t>
  </si>
  <si>
    <t>MS/1456/2022</t>
  </si>
  <si>
    <t>MS/1150/2023</t>
  </si>
  <si>
    <t>B.2/0080/2025</t>
  </si>
  <si>
    <t>MS/1386/2025</t>
  </si>
  <si>
    <t>B.2/220/06/2019</t>
  </si>
  <si>
    <t>MS/1444/2022</t>
  </si>
  <si>
    <t>B.2/0082/2025</t>
  </si>
  <si>
    <t>PC/1270/2025</t>
  </si>
  <si>
    <t>MS/1418/2022</t>
  </si>
  <si>
    <t>KB/0479/2025</t>
  </si>
  <si>
    <t>MN/0362/2025</t>
  </si>
  <si>
    <t>MS/0940/2023</t>
  </si>
  <si>
    <t>MS/1469/2023</t>
  </si>
  <si>
    <t>MS/2099/2025</t>
  </si>
  <si>
    <t>B.2/0081/2025</t>
  </si>
  <si>
    <t>MS/1126/2023</t>
  </si>
  <si>
    <t>MS/1814/2025</t>
  </si>
  <si>
    <t>KB/0707/2025</t>
  </si>
  <si>
    <t>PC/1276/2025</t>
  </si>
  <si>
    <t>MS/1752/2025</t>
  </si>
  <si>
    <t>KB/0484/2025</t>
  </si>
  <si>
    <t>MN/0368/2025</t>
  </si>
  <si>
    <t>PC/1264/2025</t>
  </si>
  <si>
    <t>MS/1439/2022</t>
  </si>
  <si>
    <t>KB/0474/2025</t>
  </si>
  <si>
    <t>MN/0356/2025</t>
  </si>
  <si>
    <t>PC/1272/2025</t>
  </si>
  <si>
    <t>MS/1748/2025</t>
  </si>
  <si>
    <t>KB/0481/2025</t>
  </si>
  <si>
    <t>MN/0364/2025</t>
  </si>
  <si>
    <t>MS/1379/2022</t>
  </si>
  <si>
    <t>MS/0944/2023</t>
  </si>
  <si>
    <t>MS/1753/2025</t>
  </si>
  <si>
    <t>KB/0485/2025</t>
  </si>
  <si>
    <t>B.3/230/18/2019</t>
  </si>
  <si>
    <t>MS/1754/2025</t>
  </si>
  <si>
    <t>KB/0486/2025</t>
  </si>
  <si>
    <t>Nadia Rahmatul Ulla</t>
  </si>
  <si>
    <t>MS/1125/2023</t>
  </si>
  <si>
    <t>LT 2</t>
  </si>
  <si>
    <t>PC/0558/2021</t>
  </si>
  <si>
    <t>MS/0566/2019</t>
  </si>
  <si>
    <t>HD/1158/2025</t>
  </si>
  <si>
    <t>B8/280/139/2019</t>
  </si>
  <si>
    <t>MN/0256/2025</t>
  </si>
  <si>
    <t>PC/0200/2020</t>
  </si>
  <si>
    <t>MS/1594/2025</t>
  </si>
  <si>
    <t>HD/1159/2025</t>
  </si>
  <si>
    <t>KB/0348/2025</t>
  </si>
  <si>
    <t>MN/0298/2019</t>
  </si>
  <si>
    <t>PC/0284/2021</t>
  </si>
  <si>
    <t>MS/0235/2019</t>
  </si>
  <si>
    <t>HD/1160/2025</t>
  </si>
  <si>
    <t>KB/0234/2025</t>
  </si>
  <si>
    <t>MN/0257/2025</t>
  </si>
  <si>
    <t>PC/1190/2025</t>
  </si>
  <si>
    <t>MS/0315/2019</t>
  </si>
  <si>
    <t>HD/1100/2022</t>
  </si>
  <si>
    <t>KB/0325/2025</t>
  </si>
  <si>
    <t>MN/0258/2025</t>
  </si>
  <si>
    <t>PC/0879/2021</t>
  </si>
  <si>
    <t>MS/1141/2023</t>
  </si>
  <si>
    <t>HD/1161/2025</t>
  </si>
  <si>
    <t>KB/0326/2025</t>
  </si>
  <si>
    <t>MN/0259/2025</t>
  </si>
  <si>
    <t>PC/0906/2020</t>
  </si>
  <si>
    <t>MS/0928/2023</t>
  </si>
  <si>
    <t>HD/1162/2025</t>
  </si>
  <si>
    <t>KB/0415/2019</t>
  </si>
  <si>
    <t>MN/0261/2025</t>
  </si>
  <si>
    <t>PC/0382/2021</t>
  </si>
  <si>
    <t>MS/1902/2025</t>
  </si>
  <si>
    <t>HD/1163/2025</t>
  </si>
  <si>
    <t>KB/0327/2025</t>
  </si>
  <si>
    <t>MN/0260/2025</t>
  </si>
  <si>
    <t>PC/0576/2021</t>
  </si>
  <si>
    <t>MS/1153/2023</t>
  </si>
  <si>
    <t>HD/1165/2025</t>
  </si>
  <si>
    <t>KB/0328/2025</t>
  </si>
  <si>
    <t>MN/0010/2019</t>
  </si>
  <si>
    <t>PC/0612/2021</t>
  </si>
  <si>
    <t>MS/1596/2025</t>
  </si>
  <si>
    <t>HD/1164/2025</t>
  </si>
  <si>
    <t>KB/0329/2025</t>
  </si>
  <si>
    <t>MN/0183/2019</t>
  </si>
  <si>
    <t>PC/0618/2021</t>
  </si>
  <si>
    <t>MS/0329/2019</t>
  </si>
  <si>
    <t>HD/1166/2025</t>
  </si>
  <si>
    <t>KB/0103/2019</t>
  </si>
  <si>
    <t>MN/0086/2020</t>
  </si>
  <si>
    <t>PC/0385/2021</t>
  </si>
  <si>
    <t>MS/1597/2025</t>
  </si>
  <si>
    <t>HD/1167/2025</t>
  </si>
  <si>
    <t>KB/0330/2025</t>
  </si>
  <si>
    <t>MN/0262/2025</t>
  </si>
  <si>
    <t>PC/0640/2020</t>
  </si>
  <si>
    <t>MS/1598/2025</t>
  </si>
  <si>
    <t>HD/1168/2025</t>
  </si>
  <si>
    <t>KB/0331/2025</t>
  </si>
  <si>
    <t>MN/0263/2025</t>
  </si>
  <si>
    <t>PC/0332/2021</t>
  </si>
  <si>
    <t>MS/0355/2019</t>
  </si>
  <si>
    <t>HD/1091/2022</t>
  </si>
  <si>
    <t>KB/0332/2025</t>
  </si>
  <si>
    <t>MN/0264/2025</t>
  </si>
  <si>
    <t>PC/0340/2021</t>
  </si>
  <si>
    <t>MS/0670/2019</t>
  </si>
  <si>
    <t>HD/1169/2025</t>
  </si>
  <si>
    <t>KB/0333/2025</t>
  </si>
  <si>
    <t>MN/0142/2019</t>
  </si>
  <si>
    <t>PC/0296/2021</t>
  </si>
  <si>
    <t>MS/0186/2019</t>
  </si>
  <si>
    <t>HD/1170/2025</t>
  </si>
  <si>
    <t>KB/0141/2019</t>
  </si>
  <si>
    <t>MN/0141/2019</t>
  </si>
  <si>
    <t>PC/0015/2021</t>
  </si>
  <si>
    <t>MS/1376/2022</t>
  </si>
  <si>
    <t>HD/1070/2022</t>
  </si>
  <si>
    <t>KB/0334/2025</t>
  </si>
  <si>
    <t>MN/0140/2019</t>
  </si>
  <si>
    <t>PC/0347/2021</t>
  </si>
  <si>
    <t>MS/0141/2019</t>
  </si>
  <si>
    <t>HD/0923/2023</t>
  </si>
  <si>
    <t>KB/0335/2025</t>
  </si>
  <si>
    <t>MN/0265/2025</t>
  </si>
  <si>
    <t>PC/1191/2025</t>
  </si>
  <si>
    <t>MS/1599/2025</t>
  </si>
  <si>
    <t>X</t>
  </si>
  <si>
    <t>KB/0336/2025</t>
  </si>
  <si>
    <t>MN/0266/2025</t>
  </si>
  <si>
    <t>PC/0489/2021</t>
  </si>
  <si>
    <t>MS/1600/2025</t>
  </si>
  <si>
    <t>KB/0337/2025</t>
  </si>
  <si>
    <t>MN/0084/2019</t>
  </si>
  <si>
    <t>PC/0395/2021</t>
  </si>
  <si>
    <t>MS/1601/2025</t>
  </si>
  <si>
    <t>HD/1171/2025</t>
  </si>
  <si>
    <t>KB/0338/2025</t>
  </si>
  <si>
    <t>MN/0102/2019</t>
  </si>
  <si>
    <t>PC/1192/2025</t>
  </si>
  <si>
    <t>MS/1602/2025</t>
  </si>
  <si>
    <t>HD/1172/2025</t>
  </si>
  <si>
    <t>KB/0339/2025</t>
  </si>
  <si>
    <t>MN/0267/2025</t>
  </si>
  <si>
    <t>PC/0693/2020</t>
  </si>
  <si>
    <t>MS/1603/2025</t>
  </si>
  <si>
    <t>HD/1174/2025</t>
  </si>
  <si>
    <t>KB/0385/2019</t>
  </si>
  <si>
    <t>MN/0268/2025</t>
  </si>
  <si>
    <t>PC/0354/2021</t>
  </si>
  <si>
    <t>MS/0251/2019</t>
  </si>
  <si>
    <t>HD/1173/2025</t>
  </si>
  <si>
    <t>KB/0190/2020</t>
  </si>
  <si>
    <t>MN/0269/2025</t>
  </si>
  <si>
    <t>PC/0199/2021</t>
  </si>
  <si>
    <t>MS/1106/2023</t>
  </si>
  <si>
    <t>HD/1175/2025</t>
  </si>
  <si>
    <t>KB/0281/2019</t>
  </si>
  <si>
    <t>MN/0025/2020</t>
  </si>
  <si>
    <t>PC/1193/2025</t>
  </si>
  <si>
    <t>MS/1604/2025</t>
  </si>
  <si>
    <t>HD/1176/2025</t>
  </si>
  <si>
    <t>KB/0340/2025</t>
  </si>
  <si>
    <t>MN/0270/2025</t>
  </si>
  <si>
    <t>KOSONG</t>
  </si>
  <si>
    <t>PC/0177/2021</t>
  </si>
  <si>
    <t>MS/1605/2025</t>
  </si>
  <si>
    <t>HD/1177/2025</t>
  </si>
  <si>
    <t>KB/0341/2025</t>
  </si>
  <si>
    <t>MN/0195/2019</t>
  </si>
  <si>
    <t>PC/0204/2021</t>
  </si>
  <si>
    <t>MS/1164/2023</t>
  </si>
  <si>
    <t>HD/1178/2025</t>
  </si>
  <si>
    <t>KB/0342/2025</t>
  </si>
  <si>
    <t>MN/0271/2025</t>
  </si>
  <si>
    <t>PC/0360/2021</t>
  </si>
  <si>
    <t>MS/0291/2019</t>
  </si>
  <si>
    <t>HD/1179/2025</t>
  </si>
  <si>
    <t>KB/0347/2025</t>
  </si>
  <si>
    <t>MN/0281/2019</t>
  </si>
  <si>
    <t>PC/1194/2025</t>
  </si>
  <si>
    <t>MS/1606/2025</t>
  </si>
  <si>
    <t>KB/0343/2025</t>
  </si>
  <si>
    <t>MN/0272/2025</t>
  </si>
  <si>
    <t>PC/1195/2025</t>
  </si>
  <si>
    <t>MS/1146/2023</t>
  </si>
  <si>
    <t>KB/0344/2025</t>
  </si>
  <si>
    <t>MN/0273/2025</t>
  </si>
  <si>
    <t>PC/0394/2021</t>
  </si>
  <si>
    <t>MS/0576/2019</t>
  </si>
  <si>
    <t>HD/1180/2025</t>
  </si>
  <si>
    <t>KB/0345/2025</t>
  </si>
  <si>
    <t>MN/0101/2019</t>
  </si>
  <si>
    <t>PC/1196/2025</t>
  </si>
  <si>
    <t>MS/0193/2019</t>
  </si>
  <si>
    <t>HD/1182/2025</t>
  </si>
  <si>
    <t>KB/0438/2019</t>
  </si>
  <si>
    <t>MN/0274/2025</t>
  </si>
  <si>
    <t>PC/0341/2021</t>
  </si>
  <si>
    <t>MS/1607/2025</t>
  </si>
  <si>
    <t>HD/1183/2025</t>
  </si>
  <si>
    <t>KB/0346/2025</t>
  </si>
  <si>
    <t>MN/0275/2025</t>
  </si>
  <si>
    <t>PC/0895/2020</t>
  </si>
  <si>
    <t>MS/0107/2019</t>
  </si>
  <si>
    <t>HD/1185/2025</t>
  </si>
  <si>
    <t>KB/0249/2019</t>
  </si>
  <si>
    <t>MN/0068/2019</t>
  </si>
  <si>
    <t>PC/0502/2021</t>
  </si>
  <si>
    <t>MS/0587/2019</t>
  </si>
  <si>
    <t>HD/1184/2025</t>
  </si>
  <si>
    <t>KB/0092/2020</t>
  </si>
  <si>
    <t>MN/0276/2025</t>
  </si>
  <si>
    <t>PC/0523/2021</t>
  </si>
  <si>
    <t>MS/0854/2023</t>
  </si>
  <si>
    <t>HD/0290/2023</t>
  </si>
  <si>
    <t>KB/0399/2025</t>
  </si>
  <si>
    <t>MN/0122/2020</t>
  </si>
  <si>
    <t>PC/0562/2021</t>
  </si>
  <si>
    <t>MS/0002/2019</t>
  </si>
  <si>
    <t>HD/1181/2025</t>
  </si>
  <si>
    <t>KB/0400/2025</t>
  </si>
  <si>
    <t>MN/0277/2025</t>
  </si>
  <si>
    <t>PC/0450/2021</t>
  </si>
  <si>
    <t>MS/0099/2019</t>
  </si>
  <si>
    <t>HD/1186/2025</t>
  </si>
  <si>
    <t>KB/0225/2019</t>
  </si>
  <si>
    <t>MN/0099/2019</t>
  </si>
  <si>
    <t>PC/0400/2021</t>
  </si>
  <si>
    <t>MS/0221/2019</t>
  </si>
  <si>
    <t>HD/1068/2025</t>
  </si>
  <si>
    <t>KB/0401/2025</t>
  </si>
  <si>
    <t>MN/0098/2019</t>
  </si>
  <si>
    <t>B3/230/63/2019</t>
  </si>
  <si>
    <t>MS/1519/2025</t>
  </si>
  <si>
    <t>HD/1069/2025</t>
  </si>
  <si>
    <t>KB/1025/2019</t>
  </si>
  <si>
    <t>MN/0181/2025</t>
  </si>
  <si>
    <t>PUTIH</t>
  </si>
  <si>
    <t>PC/0218/2021</t>
  </si>
  <si>
    <t>KB/0402/2025</t>
  </si>
  <si>
    <t>MN/0182/2025</t>
  </si>
  <si>
    <t>PC/0301/2021</t>
  </si>
  <si>
    <t>MS/0003/2019</t>
  </si>
  <si>
    <t>HD/1504/2025</t>
  </si>
  <si>
    <t>KB/0549/2025</t>
  </si>
  <si>
    <t>MN/0313/2019</t>
  </si>
  <si>
    <t>PC/0313/2021</t>
  </si>
  <si>
    <t>MS/1865/2025</t>
  </si>
  <si>
    <t>HD/1469/2025</t>
  </si>
  <si>
    <t>KB/0550/2025</t>
  </si>
  <si>
    <t>MN/0410/2025</t>
  </si>
  <si>
    <t>PC/0128/2021</t>
  </si>
  <si>
    <t>586</t>
  </si>
  <si>
    <t>HD/1451/2025</t>
  </si>
  <si>
    <t>B8/280/138/2019</t>
  </si>
  <si>
    <t>MN/0118/2019</t>
  </si>
  <si>
    <t>PC/0378/2021</t>
  </si>
  <si>
    <t>MS/1866/2025</t>
  </si>
  <si>
    <t>HD/1097/2022</t>
  </si>
  <si>
    <t>KB/0551/2025</t>
  </si>
  <si>
    <t>MN/0097/2019</t>
  </si>
  <si>
    <t>PC/0335/2019</t>
  </si>
  <si>
    <t>MS/0068/2019</t>
  </si>
  <si>
    <t>HD/1075/2025</t>
  </si>
  <si>
    <t>KB/0409/2025</t>
  </si>
  <si>
    <t>MN/0188/2025</t>
  </si>
  <si>
    <t>PC/0572/2021</t>
  </si>
  <si>
    <t>MS/1167/2023</t>
  </si>
  <si>
    <t>KB/0408/2025</t>
  </si>
  <si>
    <t>MN/0187/2025</t>
  </si>
  <si>
    <t>PC/0764/2020</t>
  </si>
  <si>
    <t>MS/1523/2025</t>
  </si>
  <si>
    <t>HD/1074/2025</t>
  </si>
  <si>
    <t>KB/0406/2025</t>
  </si>
  <si>
    <t>MN/0186/2025</t>
  </si>
  <si>
    <t>B3/230/56/2019</t>
  </si>
  <si>
    <t>MS/1522/2025</t>
  </si>
  <si>
    <t>HD/1073/2025</t>
  </si>
  <si>
    <t>KB/0407/2025</t>
  </si>
  <si>
    <t>MN/0185/2025</t>
  </si>
  <si>
    <t>PC/1140/2025</t>
  </si>
  <si>
    <t>MS/0970/2023</t>
  </si>
  <si>
    <t>HD/1072/2025</t>
  </si>
  <si>
    <t>KB/0405/2025</t>
  </si>
  <si>
    <t>MN/0132/2019</t>
  </si>
  <si>
    <t>PC/0195/2021</t>
  </si>
  <si>
    <t>MS/1521/2025</t>
  </si>
  <si>
    <t>KB/0404/2025</t>
  </si>
  <si>
    <t>MN/0110/2020</t>
  </si>
  <si>
    <t>PC/0435/2021</t>
  </si>
  <si>
    <t>MS/1520/2025</t>
  </si>
  <si>
    <t>HD/1071/2025</t>
  </si>
  <si>
    <t>KB/0403/2025</t>
  </si>
  <si>
    <t>MN/0184/2025</t>
  </si>
  <si>
    <t>PC/1139/2025</t>
  </si>
  <si>
    <t>MS/0575/2019</t>
  </si>
  <si>
    <t>HD/1070/2025</t>
  </si>
  <si>
    <t>KB/0179/2019</t>
  </si>
  <si>
    <t>MN/0183/2025</t>
  </si>
  <si>
    <t>PC/0582/2019</t>
  </si>
  <si>
    <t>MS/1864/2025</t>
  </si>
  <si>
    <t>KB/0552/2025</t>
  </si>
  <si>
    <t>MN/0408/2025</t>
  </si>
  <si>
    <t>PC/0179/2020</t>
  </si>
  <si>
    <t>MS/0307/2019</t>
  </si>
  <si>
    <t>HD/1500/2025</t>
  </si>
  <si>
    <t>KB/0676/2019</t>
  </si>
  <si>
    <t>MN/0008/2020</t>
  </si>
  <si>
    <t>PC/0256/2021</t>
  </si>
  <si>
    <t>MS/1536/2025</t>
  </si>
  <si>
    <t>HD/1093/2025</t>
  </si>
  <si>
    <t>KB/0796/2019</t>
  </si>
  <si>
    <t>MN/0200/2025</t>
  </si>
  <si>
    <t>PC/0886/2020</t>
  </si>
  <si>
    <t>MS/0014/2019</t>
  </si>
  <si>
    <t>HD/1052/2022</t>
  </si>
  <si>
    <t>KB/0777/2019</t>
  </si>
  <si>
    <t>MN/0201/2025</t>
  </si>
  <si>
    <t>PC/0528/2021</t>
  </si>
  <si>
    <t>MS/1148/2023</t>
  </si>
  <si>
    <t>HD/1094/2025</t>
  </si>
  <si>
    <t>KB/0420/2025</t>
  </si>
  <si>
    <t>MN/0709/2019</t>
  </si>
  <si>
    <t>PC/0581/2019</t>
  </si>
  <si>
    <t>MS/1537/2025</t>
  </si>
  <si>
    <t>HD/1097/2025</t>
  </si>
  <si>
    <t>KB/0417/2025</t>
  </si>
  <si>
    <t>MN/0202/2025</t>
  </si>
  <si>
    <t>PC/0884/2020</t>
  </si>
  <si>
    <t>MS/1538/2025</t>
  </si>
  <si>
    <t>HD/1096/2025</t>
  </si>
  <si>
    <t>KB/0313/2019</t>
  </si>
  <si>
    <t>MN/0244/2019</t>
  </si>
  <si>
    <t>PC/0309/2021</t>
  </si>
  <si>
    <t>MS/1539/2025</t>
  </si>
  <si>
    <t>HD/1248/2025</t>
  </si>
  <si>
    <t>KB/0524/2025</t>
  </si>
  <si>
    <t>MN/0311/2019</t>
  </si>
  <si>
    <t>PC/1162/2025</t>
  </si>
  <si>
    <t>MS/1540/2025</t>
  </si>
  <si>
    <t>HD/1249/2025</t>
  </si>
  <si>
    <t>KB/0525/2025</t>
  </si>
  <si>
    <t>MN/0204/2025</t>
  </si>
  <si>
    <t>PC/0573/2021</t>
  </si>
  <si>
    <t>MS/0565/2019</t>
  </si>
  <si>
    <t>HD/1187/2025</t>
  </si>
  <si>
    <t>KB/0526/2025</t>
  </si>
  <si>
    <t>PC/1153/2025</t>
  </si>
  <si>
    <t>MS/1541/2025</t>
  </si>
  <si>
    <t>HD/1250/2025</t>
  </si>
  <si>
    <t>KB/0527/2025</t>
  </si>
  <si>
    <t>MN/0331/2025</t>
  </si>
  <si>
    <t>PC/1146/2025</t>
  </si>
  <si>
    <t>MS/1532/2025</t>
  </si>
  <si>
    <t>KB/0416/2025</t>
  </si>
  <si>
    <t>MN/0194/2025</t>
  </si>
  <si>
    <t>PC/1147/2025</t>
  </si>
  <si>
    <t>MS/1543/2025</t>
  </si>
  <si>
    <t>HD/1088/2025</t>
  </si>
  <si>
    <t>KB/0418/2025</t>
  </si>
  <si>
    <t>MN/0195/2025</t>
  </si>
  <si>
    <t>PC/1148/2025</t>
  </si>
  <si>
    <t>MS/1533/2025</t>
  </si>
  <si>
    <t>HD/1089/2025</t>
  </si>
  <si>
    <t>KB/0423/2025</t>
  </si>
  <si>
    <t>MN/0196/2025</t>
  </si>
  <si>
    <t>PC/1149/2025</t>
  </si>
  <si>
    <t>MS/1534/2025</t>
  </si>
  <si>
    <t>HD/1090/2025</t>
  </si>
  <si>
    <t>KB/0419/2025</t>
  </si>
  <si>
    <t>MN/0109/2019</t>
  </si>
  <si>
    <t>PC/1163/2025</t>
  </si>
  <si>
    <t>MS/0981/2025</t>
  </si>
  <si>
    <t>HD/0932/2023</t>
  </si>
  <si>
    <t>KB/0422/2025</t>
  </si>
  <si>
    <t>MN/0218/2019</t>
  </si>
  <si>
    <t>PC/0291/2021</t>
  </si>
  <si>
    <t>MS/1535/2025</t>
  </si>
  <si>
    <t>HD/1091/2025</t>
  </si>
  <si>
    <t>KB/0383/2019</t>
  </si>
  <si>
    <t>MN/0205/2025</t>
  </si>
  <si>
    <t>PC/0596/2019</t>
  </si>
  <si>
    <t>MS/1806/2025</t>
  </si>
  <si>
    <t>HD/1092/2025</t>
  </si>
  <si>
    <t>KB/0423/2019</t>
  </si>
  <si>
    <t>MN/0197/2025</t>
  </si>
  <si>
    <t>PC/0422/2019</t>
  </si>
  <si>
    <t>MS/1152/2023</t>
  </si>
  <si>
    <t>HD/1095/2025</t>
  </si>
  <si>
    <t>KB/0421/2025</t>
  </si>
  <si>
    <t>MN/0198/2025</t>
  </si>
  <si>
    <t>PC/1151/2025</t>
  </si>
  <si>
    <t>MS/1132/2023</t>
  </si>
  <si>
    <t>HD/0927/2023</t>
  </si>
  <si>
    <t>KB/0120/2020</t>
  </si>
  <si>
    <t>MN/0199/2025</t>
  </si>
  <si>
    <t>PC/1142/2025</t>
  </si>
  <si>
    <t>MS/1528/2025</t>
  </si>
  <si>
    <t>HD/1082/2025</t>
  </si>
  <si>
    <t>KB/0411/2025</t>
  </si>
  <si>
    <t>MN/0506/2025</t>
  </si>
  <si>
    <t>PC/0391/2021</t>
  </si>
  <si>
    <t>MS/1527/2025</t>
  </si>
  <si>
    <t>HD/1081/2025</t>
  </si>
  <si>
    <t>KB/0410/2025</t>
  </si>
  <si>
    <t>MN/0008/2019</t>
  </si>
  <si>
    <t>PC/0006/2021</t>
  </si>
  <si>
    <t>MS/1526/2025</t>
  </si>
  <si>
    <t>HD/1080/2025</t>
  </si>
  <si>
    <t>KB/0007/2019</t>
  </si>
  <si>
    <t>MN/0007/2019</t>
  </si>
  <si>
    <t>PC/0001/2021</t>
  </si>
  <si>
    <t>MS/0007/2019</t>
  </si>
  <si>
    <t>HD/1078/2025</t>
  </si>
  <si>
    <t>KB/0006/2019</t>
  </si>
  <si>
    <t>MN/0507/2025</t>
  </si>
  <si>
    <t>PC/1141/2025</t>
  </si>
  <si>
    <t>MS/1525/2025</t>
  </si>
  <si>
    <t>B8/280/572019</t>
  </si>
  <si>
    <t>238a</t>
  </si>
  <si>
    <t>MN/0190/2025</t>
  </si>
  <si>
    <t>PC/0017/2021</t>
  </si>
  <si>
    <t>MS/0019/2019</t>
  </si>
  <si>
    <t>HD/1077/2025</t>
  </si>
  <si>
    <t>KB/0004/2019</t>
  </si>
  <si>
    <t>LT 3 DEPAN R. INVESTIGASI</t>
  </si>
  <si>
    <t>MN/0004/2019</t>
  </si>
  <si>
    <t>PC/0194/2021</t>
  </si>
  <si>
    <t>MS/0070/2019</t>
  </si>
  <si>
    <t>KB/0003/2019</t>
  </si>
  <si>
    <t>MN/0003/2019</t>
  </si>
  <si>
    <t>PC/0440/2021</t>
  </si>
  <si>
    <t>MS/1524/2025</t>
  </si>
  <si>
    <t>KB/0110/2019</t>
  </si>
  <si>
    <t>MN/0505/2025</t>
  </si>
  <si>
    <t>PC/1310/2025</t>
  </si>
  <si>
    <t>MS/0109/2019</t>
  </si>
  <si>
    <t>HD/1076/2025</t>
  </si>
  <si>
    <t>KB/0109/2019</t>
  </si>
  <si>
    <t>MN/0416/2025</t>
  </si>
  <si>
    <t>PC/1145/2025</t>
  </si>
  <si>
    <t>MS/1162/2023</t>
  </si>
  <si>
    <t>KB/0981/2019</t>
  </si>
  <si>
    <t>MN/0223/2019</t>
  </si>
  <si>
    <t>PC/1144/2025</t>
  </si>
  <si>
    <t>MS/1531/2025</t>
  </si>
  <si>
    <t>HD/0929/2023</t>
  </si>
  <si>
    <t>KB/0415/2025</t>
  </si>
  <si>
    <t>PC/0143/2025</t>
  </si>
  <si>
    <t>PC/0020/2021</t>
  </si>
  <si>
    <t>MS/1530/205</t>
  </si>
  <si>
    <t>HD/1087/2025</t>
  </si>
  <si>
    <t>KB/0020/2019</t>
  </si>
  <si>
    <t>MN/0192/2025</t>
  </si>
  <si>
    <t>PC/0127/2021</t>
  </si>
  <si>
    <t>MS/1899/2025</t>
  </si>
  <si>
    <t>HD/1086/2025</t>
  </si>
  <si>
    <t>KB/0414/2024</t>
  </si>
  <si>
    <t>MN/0019/2019</t>
  </si>
  <si>
    <t>PC/0514/2019</t>
  </si>
  <si>
    <t>MS/0018/2019</t>
  </si>
  <si>
    <t>HD/1085/2025</t>
  </si>
  <si>
    <t>KB/0413/2025</t>
  </si>
  <si>
    <t>MN/0018/2019</t>
  </si>
  <si>
    <t>PC/1143/2025</t>
  </si>
  <si>
    <t>MS/1129/2025</t>
  </si>
  <si>
    <t>HD/1084/2025</t>
  </si>
  <si>
    <t>KB/0108/2019</t>
  </si>
  <si>
    <t>MN/0108/2019</t>
  </si>
  <si>
    <t>PC/0603/2021</t>
  </si>
  <si>
    <t>MS/0047/2019</t>
  </si>
  <si>
    <t>HD/1083/2015</t>
  </si>
  <si>
    <t>KB/0412/2025</t>
  </si>
  <si>
    <t>MN/0032/2019</t>
  </si>
  <si>
    <t>PC/1161/2025</t>
  </si>
  <si>
    <t>MS/0210/2019</t>
  </si>
  <si>
    <t>HD/1255/2025</t>
  </si>
  <si>
    <t>MN/0335/2025</t>
  </si>
  <si>
    <t>PC/1154/2025</t>
  </si>
  <si>
    <t>MS/1542/2025</t>
  </si>
  <si>
    <t>HD/0908/2023</t>
  </si>
  <si>
    <t>KB/0533/2025</t>
  </si>
  <si>
    <t>MN/0334/2025</t>
  </si>
  <si>
    <t>PC/0372/2021</t>
  </si>
  <si>
    <t>MS/0030/2019</t>
  </si>
  <si>
    <t>HD/1254/2025</t>
  </si>
  <si>
    <t>KB/0532/2025</t>
  </si>
  <si>
    <t>MN/0030/2019</t>
  </si>
  <si>
    <t>PC/0028/2021</t>
  </si>
  <si>
    <t>MS/0142/2019</t>
  </si>
  <si>
    <t>HD/1096/2022</t>
  </si>
  <si>
    <t>KB/0531/2025</t>
  </si>
  <si>
    <t>MN/0028/2019</t>
  </si>
  <si>
    <t>PC/0027/2021</t>
  </si>
  <si>
    <t>MS/0027/2019</t>
  </si>
  <si>
    <t>HD/1253/2025</t>
  </si>
  <si>
    <t>KB/0027/2019</t>
  </si>
  <si>
    <t>MN/0027/2019</t>
  </si>
  <si>
    <t>PC/0620/2021</t>
  </si>
  <si>
    <t>MS/0028/2019</t>
  </si>
  <si>
    <t>HD/1251/2025</t>
  </si>
  <si>
    <t>KB/0530/2025</t>
  </si>
  <si>
    <t>MN/0026/2019</t>
  </si>
  <si>
    <t>PC/0409/2019</t>
  </si>
  <si>
    <t>MS/0889/2023</t>
  </si>
  <si>
    <t>HD/0912/2023</t>
  </si>
  <si>
    <t>KB/0529/2025</t>
  </si>
  <si>
    <t>MN/0033/2019</t>
  </si>
  <si>
    <t>PC/0211/2021</t>
  </si>
  <si>
    <t>MS/0124/2019</t>
  </si>
  <si>
    <t>HD/1252/2025</t>
  </si>
  <si>
    <t>KB/0528/2025</t>
  </si>
  <si>
    <t>MN/0024/2019</t>
  </si>
  <si>
    <t>PC/0882/2020</t>
  </si>
  <si>
    <t>MS/0793/2023</t>
  </si>
  <si>
    <t>HD/1261/2025</t>
  </si>
  <si>
    <t>KB/0539/2025</t>
  </si>
  <si>
    <t>MN/0353/2025</t>
  </si>
  <si>
    <t>PC/1158/2025</t>
  </si>
  <si>
    <t>HD/1260/2025</t>
  </si>
  <si>
    <t>KB/0040/2019</t>
  </si>
  <si>
    <t>MN/0337/2025</t>
  </si>
  <si>
    <t>PC/0039/2021</t>
  </si>
  <si>
    <t>MS/1663/2025</t>
  </si>
  <si>
    <t>HD/0931/2023</t>
  </si>
  <si>
    <t>KB/0039/2019</t>
  </si>
  <si>
    <t>MN/0039/2019</t>
  </si>
  <si>
    <t>PC/0666/2020</t>
  </si>
  <si>
    <t>MS/1664/2025</t>
  </si>
  <si>
    <t>HD/0945/2023</t>
  </si>
  <si>
    <t>KB/0548/2025</t>
  </si>
  <si>
    <t>MN/0355/2025</t>
  </si>
  <si>
    <t>PC/0037/2021</t>
  </si>
  <si>
    <t>HD/1259/2025</t>
  </si>
  <si>
    <t>MN/0037/2019</t>
  </si>
  <si>
    <t>PC/0434/2021</t>
  </si>
  <si>
    <t>255a</t>
  </si>
  <si>
    <t>MS/1665/2025</t>
  </si>
  <si>
    <t>HD/1053/2022</t>
  </si>
  <si>
    <t>KB/0036/2019</t>
  </si>
  <si>
    <t>MN/0036/2019</t>
  </si>
  <si>
    <t>PC/1159/2025</t>
  </si>
  <si>
    <t>HD/1258/2025</t>
  </si>
  <si>
    <t>KB/0537/2025</t>
  </si>
  <si>
    <t>MN/0354/2025</t>
  </si>
  <si>
    <t>PC/0356/2021</t>
  </si>
  <si>
    <t>MS/1901/2025</t>
  </si>
  <si>
    <t>HD/1257/2025</t>
  </si>
  <si>
    <t>KB/0536/2025</t>
  </si>
  <si>
    <t>MN/0034/2019</t>
  </si>
  <si>
    <t>PC/1156/2025</t>
  </si>
  <si>
    <t>MS/1649/2025</t>
  </si>
  <si>
    <t>HD/1256/2025</t>
  </si>
  <si>
    <t>KB/0535/2025</t>
  </si>
  <si>
    <t>MN/0336/2025</t>
  </si>
  <si>
    <t>PC/0045/2021</t>
  </si>
  <si>
    <t>MS/1903/2025</t>
  </si>
  <si>
    <t>KB/0819/2025</t>
  </si>
  <si>
    <t>MN/0070/2019</t>
  </si>
  <si>
    <t>PC/0025/2021</t>
  </si>
  <si>
    <t>MS/0025/2019</t>
  </si>
  <si>
    <t>HD/1262/2025</t>
  </si>
  <si>
    <t>KB/0025/2019</t>
  </si>
  <si>
    <t>MN/0025/2019</t>
  </si>
  <si>
    <t>PC/1157/2025</t>
  </si>
  <si>
    <t>MS/1904/2025</t>
  </si>
  <si>
    <t>HD/1266/2025</t>
  </si>
  <si>
    <t>KB/0048/2019</t>
  </si>
  <si>
    <t>MN/0048/2019</t>
  </si>
  <si>
    <t>PC/0040/2021</t>
  </si>
  <si>
    <t>MS/0045/2019</t>
  </si>
  <si>
    <t>HD/1267/2025</t>
  </si>
  <si>
    <t>KB/0820/2025</t>
  </si>
  <si>
    <t>MN/0049/2019</t>
  </si>
  <si>
    <t>PC/0685/2025</t>
  </si>
  <si>
    <t>MS/1905/2025</t>
  </si>
  <si>
    <t>HD/1263/2025</t>
  </si>
  <si>
    <t>KB/0545/2025</t>
  </si>
  <si>
    <t>MN/0338/2025</t>
  </si>
  <si>
    <t>PC/1155/2025</t>
  </si>
  <si>
    <t>MS/1894/2025</t>
  </si>
  <si>
    <t>HD/1268/2025</t>
  </si>
  <si>
    <t>KB/0544/2025</t>
  </si>
  <si>
    <t>MN/0342/2025</t>
  </si>
  <si>
    <t>PC/0363/2021</t>
  </si>
  <si>
    <t>MS/1909/2025</t>
  </si>
  <si>
    <t>HD/1264/2025</t>
  </si>
  <si>
    <t>KB/0044/2019</t>
  </si>
  <si>
    <t>MN/0044/2019</t>
  </si>
  <si>
    <t>PC/0613/2021</t>
  </si>
  <si>
    <t>MS/1910/2025</t>
  </si>
  <si>
    <t>HD/1265/2025</t>
  </si>
  <si>
    <t>KB/0121/2019</t>
  </si>
  <si>
    <t>MN/0339/2025</t>
  </si>
  <si>
    <t>PC/1160/2025</t>
  </si>
  <si>
    <t>MS/1892/2025</t>
  </si>
  <si>
    <t>KB/0546/2025</t>
  </si>
  <si>
    <t>MN/0139/2019</t>
  </si>
  <si>
    <t>PC/1202/2025</t>
  </si>
  <si>
    <t>MS/1908/2025</t>
  </si>
  <si>
    <t>HD/1275/2025</t>
  </si>
  <si>
    <t>KB/0542/2025</t>
  </si>
  <si>
    <t>MN/0348/2025</t>
  </si>
  <si>
    <t>PC/0050/2021</t>
  </si>
  <si>
    <t>MS/1906/2025</t>
  </si>
  <si>
    <t>HD/0904/2023</t>
  </si>
  <si>
    <t>KB/0058/2029</t>
  </si>
  <si>
    <t>MN/0058/2019</t>
  </si>
  <si>
    <t>PC/0057/2021</t>
  </si>
  <si>
    <t>MS/0031/2019</t>
  </si>
  <si>
    <t>HD/0928/2023</t>
  </si>
  <si>
    <t>KB/0543/2025</t>
  </si>
  <si>
    <t>MN/0057/2019</t>
  </si>
  <si>
    <t>PC/0056/2021</t>
  </si>
  <si>
    <t>MS/0050/2019</t>
  </si>
  <si>
    <t>HD/1274/2025</t>
  </si>
  <si>
    <t>KB/0054/2019</t>
  </si>
  <si>
    <t>MN/0221/2019</t>
  </si>
  <si>
    <t>PC/0055/2021</t>
  </si>
  <si>
    <t>MS/0903/2023</t>
  </si>
  <si>
    <t>HD/0921/2023</t>
  </si>
  <si>
    <t>KB/0055/2019</t>
  </si>
  <si>
    <t>MN/0055/2019</t>
  </si>
  <si>
    <t>PC/0054/2021</t>
  </si>
  <si>
    <t>MS/0101/2019</t>
  </si>
  <si>
    <t>HD/1271/2025</t>
  </si>
  <si>
    <t>KB/0047/2019</t>
  </si>
  <si>
    <t>MN/0054/2019</t>
  </si>
  <si>
    <t>PC/1205/2025</t>
  </si>
  <si>
    <t>MS/1907/2025</t>
  </si>
  <si>
    <t>HD/1553/2025</t>
  </si>
  <si>
    <t>KB/0541/2025</t>
  </si>
  <si>
    <t>MN/0344/2025</t>
  </si>
  <si>
    <t>PC/02852021</t>
  </si>
  <si>
    <t>MS/1893/2025</t>
  </si>
  <si>
    <t>HD/1272/2025</t>
  </si>
  <si>
    <t>277</t>
  </si>
  <si>
    <t>MN/0340/2025</t>
  </si>
  <si>
    <t>PC/0874/2020</t>
  </si>
  <si>
    <t>MS/1389/2022</t>
  </si>
  <si>
    <t>HD/1273/2025</t>
  </si>
  <si>
    <t>KB/0719/2025</t>
  </si>
  <si>
    <t>MN/0341/2025</t>
  </si>
  <si>
    <t>PC/0283/2021</t>
  </si>
  <si>
    <t>MS/0065/2019</t>
  </si>
  <si>
    <t>HD/1276/2025</t>
  </si>
  <si>
    <t>KB/0592/2025</t>
  </si>
  <si>
    <t>MN/0067/2019</t>
  </si>
  <si>
    <t>PC/1198/2025</t>
  </si>
  <si>
    <t>HD/0922/2023</t>
  </si>
  <si>
    <t>KB/0066/2019</t>
  </si>
  <si>
    <t>MN/0066/2019</t>
  </si>
  <si>
    <t>PC/0579/2021</t>
  </si>
  <si>
    <t>MS/1611/2025</t>
  </si>
  <si>
    <t>HD/1269/2025</t>
  </si>
  <si>
    <t>KB/0065/2019</t>
  </si>
  <si>
    <t>MN/0065/2019</t>
  </si>
  <si>
    <t>PC/1197/2025</t>
  </si>
  <si>
    <t>MS/1608/2025</t>
  </si>
  <si>
    <t>HD/1440/2025</t>
  </si>
  <si>
    <t>KB/0034/2019</t>
  </si>
  <si>
    <t>MN/0064/2019</t>
  </si>
  <si>
    <t>PC/1204/2025</t>
  </si>
  <si>
    <t>MS/1859/2025</t>
  </si>
  <si>
    <t>HD/1462/2025</t>
  </si>
  <si>
    <t>KB/0023/2019</t>
  </si>
  <si>
    <t>MN/0063/2019</t>
  </si>
  <si>
    <t>PC/0062/2021</t>
  </si>
  <si>
    <t>MS/1163/2023</t>
  </si>
  <si>
    <t>HD/1270/2025</t>
  </si>
  <si>
    <t>KB/0605/2025</t>
  </si>
  <si>
    <t>MN/0062/2019</t>
  </si>
  <si>
    <t>PC/0100/2021</t>
  </si>
  <si>
    <t>MS/1895/2025</t>
  </si>
  <si>
    <t>HD/1277/2025</t>
  </si>
  <si>
    <t>KB/0600/2025</t>
  </si>
  <si>
    <t>MN/0061/2019</t>
  </si>
  <si>
    <t>PC/1213/2025</t>
  </si>
  <si>
    <t>MS/0079/2019</t>
  </si>
  <si>
    <t>HD/1459/2025</t>
  </si>
  <si>
    <t>KB/0710/2019</t>
  </si>
  <si>
    <t>MN/0347/2025</t>
  </si>
  <si>
    <t>PC/1203/2025</t>
  </si>
  <si>
    <t>MS/1156/2023</t>
  </si>
  <si>
    <t>KB/0064/2019</t>
  </si>
  <si>
    <t>MN/0547/2025</t>
  </si>
  <si>
    <t>PC/0074/2021</t>
  </si>
  <si>
    <t>MS/1615/2025</t>
  </si>
  <si>
    <t>HD/1441/2025</t>
  </si>
  <si>
    <t>KB/0690/2025</t>
  </si>
  <si>
    <t>MN/0446/2025</t>
  </si>
  <si>
    <t>PC/0591/2021</t>
  </si>
  <si>
    <t>MS/1609/2025</t>
  </si>
  <si>
    <t>HD/0933/2023</t>
  </si>
  <si>
    <t>KB/0540/2025</t>
  </si>
  <si>
    <t>MN/0073/2019</t>
  </si>
  <si>
    <t>PC/0063/2021</t>
  </si>
  <si>
    <t>MS/0951/2033</t>
  </si>
  <si>
    <t>HD/1460/2025</t>
  </si>
  <si>
    <t>KB/0606/2025</t>
  </si>
  <si>
    <t>MN/0072/2019</t>
  </si>
  <si>
    <t>PC/0342/2021</t>
  </si>
  <si>
    <t>MS/0006/2019</t>
  </si>
  <si>
    <t>HD/1442/2025</t>
  </si>
  <si>
    <t>KB/0067/2019</t>
  </si>
  <si>
    <t>MN/0071/2019</t>
  </si>
  <si>
    <t>PC/0809/2020</t>
  </si>
  <si>
    <t>MS/1614/2025</t>
  </si>
  <si>
    <t>HD/1463/2025</t>
  </si>
  <si>
    <t>570</t>
  </si>
  <si>
    <t>MN/0345/2025</t>
  </si>
  <si>
    <t>PC/1199/2025</t>
  </si>
  <si>
    <t>HD/1064/2022</t>
  </si>
  <si>
    <t>KB/0599/2025</t>
  </si>
  <si>
    <t>MN/0352/2025</t>
  </si>
  <si>
    <t>PC/0681/2020</t>
  </si>
  <si>
    <t>MS/0682/2019</t>
  </si>
  <si>
    <t>KB/0147/2020</t>
  </si>
  <si>
    <t>MN/0681/2019</t>
  </si>
  <si>
    <t>PC/0714/2020</t>
  </si>
  <si>
    <t>MS/1385/2022</t>
  </si>
  <si>
    <t>HD/1455/2025</t>
  </si>
  <si>
    <t>KB/0769/2025</t>
  </si>
  <si>
    <t>MN/0346/2025</t>
  </si>
  <si>
    <t>PC/0710/2020</t>
  </si>
  <si>
    <t>MS/1616/2025</t>
  </si>
  <si>
    <t>HD/1076/2022</t>
  </si>
  <si>
    <t>KB/0770/2025</t>
  </si>
  <si>
    <t>MN/0710/2019</t>
  </si>
  <si>
    <t>PC/0118/2021</t>
  </si>
  <si>
    <t>MS/0130/2019</t>
  </si>
  <si>
    <t>HD/1438/2025</t>
  </si>
  <si>
    <t>KB/0362/2019</t>
  </si>
  <si>
    <t>MN/0304/2019</t>
  </si>
  <si>
    <t>PC/0339/2021</t>
  </si>
  <si>
    <t>MS/0038/2019</t>
  </si>
  <si>
    <t>HD/1475/2025</t>
  </si>
  <si>
    <t>KB/0988/2019</t>
  </si>
  <si>
    <t>MN/0001/2019</t>
  </si>
  <si>
    <t>PC/0119/2021</t>
  </si>
  <si>
    <t>MS/0078/2019</t>
  </si>
  <si>
    <t>HD/1443/2025</t>
  </si>
  <si>
    <t>KB/0720/2025</t>
  </si>
  <si>
    <t>MN/0081/2019</t>
  </si>
  <si>
    <t>PC/0181/2021</t>
  </si>
  <si>
    <t>MS/0950/2023</t>
  </si>
  <si>
    <t>KB/0860/2019</t>
  </si>
  <si>
    <t>MN/0114/2019</t>
  </si>
  <si>
    <t>PC/1119/2020</t>
  </si>
  <si>
    <t>MS/0550/2019</t>
  </si>
  <si>
    <t>HD/1439/2025</t>
  </si>
  <si>
    <t>KB/0721/2025</t>
  </si>
  <si>
    <t>MN/0170/2019</t>
  </si>
  <si>
    <t>PC/0353/2021</t>
  </si>
  <si>
    <t>MS/0360/2019</t>
  </si>
  <si>
    <t>KB/0771/2025</t>
  </si>
  <si>
    <t>MN/0351/2025</t>
  </si>
  <si>
    <t>PC/1209/2025</t>
  </si>
  <si>
    <t>MS/1518/2025</t>
  </si>
  <si>
    <t>KB/0722/2025</t>
  </si>
  <si>
    <t>MN/0349/2025</t>
  </si>
  <si>
    <t>PC/1212/2025</t>
  </si>
  <si>
    <t>MS/1896/2025</t>
  </si>
  <si>
    <t>HD/1558/2025</t>
  </si>
  <si>
    <t>KB/0823/2025</t>
  </si>
  <si>
    <t>MN/0256/2019</t>
  </si>
  <si>
    <t>PC/1211/2025</t>
  </si>
  <si>
    <t>MS/1618/2025</t>
  </si>
  <si>
    <t>HD/1477/2025</t>
  </si>
  <si>
    <t>328</t>
  </si>
  <si>
    <t>MN/0447/2025</t>
  </si>
  <si>
    <t>PC/0704/2020</t>
  </si>
  <si>
    <t>MS/1617/2025</t>
  </si>
  <si>
    <t>HD/1445/2025</t>
  </si>
  <si>
    <t>KB/0824/2025</t>
  </si>
  <si>
    <t>MN/0704/2019</t>
  </si>
  <si>
    <t>PC/0416/2021</t>
  </si>
  <si>
    <t>MS/0716/2023</t>
  </si>
  <si>
    <t>HD/1492/2025</t>
  </si>
  <si>
    <t>MN/0350/2025</t>
  </si>
  <si>
    <t>PC/0992/2020</t>
  </si>
  <si>
    <t>MS/0697/2019</t>
  </si>
  <si>
    <t>HD/1056/2022</t>
  </si>
  <si>
    <t>KB/0671/2019</t>
  </si>
  <si>
    <t>MN/0686/2019</t>
  </si>
  <si>
    <t>PC/1008/2020</t>
  </si>
  <si>
    <t>MS/0072/2019</t>
  </si>
  <si>
    <t>HD/1491/2025</t>
  </si>
  <si>
    <t>KB/0717/2019</t>
  </si>
  <si>
    <t>MN/0705/2019</t>
  </si>
  <si>
    <t>PC/0702/2020</t>
  </si>
  <si>
    <t>MS/0765/2023</t>
  </si>
  <si>
    <t>HD/1479/2025</t>
  </si>
  <si>
    <t>KB/0825/2025</t>
  </si>
  <si>
    <t>MN/0702/2019</t>
  </si>
  <si>
    <t>PC/0210/2021</t>
  </si>
  <si>
    <t>MS/0536/2019</t>
  </si>
  <si>
    <t>HD/1454/2025</t>
  </si>
  <si>
    <t>KB/1030/2019</t>
  </si>
  <si>
    <t>MN/0343/2025</t>
  </si>
  <si>
    <t>PC/0621/2021</t>
  </si>
  <si>
    <t>MS/1691/2025</t>
  </si>
  <si>
    <t>KB/0429/2019</t>
  </si>
  <si>
    <t>MN/0169/2020</t>
  </si>
  <si>
    <t>PC/0334/2019</t>
  </si>
  <si>
    <t>MS/1680/2025</t>
  </si>
  <si>
    <t>HD/1481/2025</t>
  </si>
  <si>
    <t>KB/0826/2025</t>
  </si>
  <si>
    <t>MN/0448/2025</t>
  </si>
  <si>
    <t>B11/212/13/2019</t>
  </si>
  <si>
    <t>HD/1120/2022</t>
  </si>
  <si>
    <t>493</t>
  </si>
  <si>
    <t>B3/230/111/2019</t>
  </si>
  <si>
    <t>PC/1208/2025</t>
  </si>
  <si>
    <t>MS/1794/2025</t>
  </si>
  <si>
    <t>HD/1471/2025</t>
  </si>
  <si>
    <t>KB/0827/2025</t>
  </si>
  <si>
    <t>MN/0117/2019</t>
  </si>
  <si>
    <t>PC/0955/2020</t>
  </si>
  <si>
    <t>MS/1612/2025</t>
  </si>
  <si>
    <t>HD/1466/2025</t>
  </si>
  <si>
    <t>KB/0413/2019</t>
  </si>
  <si>
    <t>MN/0449/2025</t>
  </si>
  <si>
    <t>PC/1207/2025</t>
  </si>
  <si>
    <t>MS/1613/2025</t>
  </si>
  <si>
    <t>HD/1470/2025</t>
  </si>
  <si>
    <t>KB/0041/2019</t>
  </si>
  <si>
    <t>MN/0041/2019</t>
  </si>
  <si>
    <t>B3/230/59/2019</t>
  </si>
  <si>
    <t>MS1610/2025</t>
  </si>
  <si>
    <t>HD/1465/2025</t>
  </si>
  <si>
    <t>MN/0232/2019</t>
  </si>
  <si>
    <t>PC/1206/2025</t>
  </si>
  <si>
    <t>MS/0308/2019</t>
  </si>
  <si>
    <t>HD/0940/2023</t>
  </si>
  <si>
    <t>KB/0932/2019</t>
  </si>
  <si>
    <t>MN/0088/2019</t>
  </si>
  <si>
    <t>PC/0007/2021</t>
  </si>
  <si>
    <t>MS/0098/2019</t>
  </si>
  <si>
    <t>HD/1506/2025</t>
  </si>
  <si>
    <t>KB/0091/2019</t>
  </si>
  <si>
    <t>MN/0086/2019</t>
  </si>
  <si>
    <t>PC/1131/2020</t>
  </si>
  <si>
    <t>9</t>
  </si>
  <si>
    <t>HD/1111/2022</t>
  </si>
  <si>
    <t>556</t>
  </si>
  <si>
    <t>MN/0042/2019</t>
  </si>
  <si>
    <t>PC/0605/2019</t>
  </si>
  <si>
    <t>MS/1672/2025</t>
  </si>
  <si>
    <t>HD/1577/2025</t>
  </si>
  <si>
    <t>530</t>
  </si>
  <si>
    <t>MN/0178/2020</t>
  </si>
  <si>
    <t>MS/1679/2025</t>
  </si>
  <si>
    <t>HD/1066/2022</t>
  </si>
  <si>
    <t>293</t>
  </si>
  <si>
    <t>PC/1011/2020</t>
  </si>
  <si>
    <t>MS/1684/2025</t>
  </si>
  <si>
    <t>HD/1493/2025</t>
  </si>
  <si>
    <t>KB/0320/2019</t>
  </si>
  <si>
    <t>MN/0320/2019</t>
  </si>
  <si>
    <t>PC/1201/2025</t>
  </si>
  <si>
    <t>MS/0020/2019</t>
  </si>
  <si>
    <t>HD/1478/2025</t>
  </si>
  <si>
    <t>KB/0117/2019</t>
  </si>
  <si>
    <t>MN/0278/2025</t>
  </si>
  <si>
    <t>PC/0488/2021</t>
  </si>
  <si>
    <t>MS/0365/2019</t>
  </si>
  <si>
    <t>HD/1484/2025</t>
  </si>
  <si>
    <t>MN/0279/2025</t>
  </si>
  <si>
    <t>PC/0722/2020</t>
  </si>
  <si>
    <t>MS/1685/2025</t>
  </si>
  <si>
    <t>HD/1467/2025</t>
  </si>
  <si>
    <t>KB/0234/2020</t>
  </si>
  <si>
    <t>MN/0628/2019</t>
  </si>
  <si>
    <t>PC/1210/2025</t>
  </si>
  <si>
    <t>MS/1673/2025</t>
  </si>
  <si>
    <t>HD/1444/2025</t>
  </si>
  <si>
    <t>KB/0723/2025</t>
  </si>
  <si>
    <t>MN/0280/2025</t>
  </si>
  <si>
    <t>PC/0919/2020</t>
  </si>
  <si>
    <t>MS/1675/2025</t>
  </si>
  <si>
    <t>HD/1488/2025</t>
  </si>
  <si>
    <t>KB/0346/2019</t>
  </si>
  <si>
    <t>539</t>
  </si>
  <si>
    <t>PC/0240/2021</t>
  </si>
  <si>
    <t>MS/1676/2025</t>
  </si>
  <si>
    <t>KB/0240/2019</t>
  </si>
  <si>
    <t>MN/0240/2019</t>
  </si>
  <si>
    <t>346</t>
  </si>
  <si>
    <t>MS/1670/2025</t>
  </si>
  <si>
    <t>HD/1476/2025</t>
  </si>
  <si>
    <t>KB/0828/2025</t>
  </si>
  <si>
    <t>MN/0202/2019</t>
  </si>
  <si>
    <t>PC/1369/2025</t>
  </si>
  <si>
    <t>MS/0726/2023</t>
  </si>
  <si>
    <t>HD/1497/2025</t>
  </si>
  <si>
    <t>KB/0277/2019</t>
  </si>
  <si>
    <t>MN/0002/2019</t>
  </si>
  <si>
    <t>PC/0306/2021</t>
  </si>
  <si>
    <t>MS/1671/2025</t>
  </si>
  <si>
    <t>HD/1482/2025</t>
  </si>
  <si>
    <t>KB/0143/2019</t>
  </si>
  <si>
    <t>MN/0143/2019</t>
  </si>
  <si>
    <t>PC/1200/2025</t>
  </si>
  <si>
    <t>MS/0426/2019</t>
  </si>
  <si>
    <t>HD/1099/2022</t>
  </si>
  <si>
    <t>KB/0829/2025</t>
  </si>
  <si>
    <t>MN/0450/2025</t>
  </si>
  <si>
    <t>PC/1370/2025</t>
  </si>
  <si>
    <t>MS/1678/2025</t>
  </si>
  <si>
    <t>HD/1496/2025</t>
  </si>
  <si>
    <t>KB/0830/2025</t>
  </si>
  <si>
    <t>MN/0451/2025</t>
  </si>
  <si>
    <t>PC/0697/2020</t>
  </si>
  <si>
    <t>HD/1480/2025</t>
  </si>
  <si>
    <t>KB/0772/2025</t>
  </si>
  <si>
    <t>MN/0697/2019</t>
  </si>
  <si>
    <t>PC/0687/2020</t>
  </si>
  <si>
    <t>MS/0895/2021</t>
  </si>
  <si>
    <t>HD/1486//2025</t>
  </si>
  <si>
    <t>KB/0773/2025</t>
  </si>
  <si>
    <t>MN/0444/2025</t>
  </si>
  <si>
    <t>PC/1371/2025</t>
  </si>
  <si>
    <t>246</t>
  </si>
  <si>
    <t>HD/1494/2025</t>
  </si>
  <si>
    <t>KB/0933/2019</t>
  </si>
  <si>
    <t>MN/0489/2025</t>
  </si>
  <si>
    <t>PC/0490/2021</t>
  </si>
  <si>
    <t>MS/1688/2025</t>
  </si>
  <si>
    <t>HD/1487/2025</t>
  </si>
  <si>
    <t>KB/0774/2025</t>
  </si>
  <si>
    <t>MN/0490/2025</t>
  </si>
  <si>
    <t>PC/0208/2021</t>
  </si>
  <si>
    <t>MS/0422/2019</t>
  </si>
  <si>
    <t>HD/1489/2025</t>
  </si>
  <si>
    <t>KB/0775/2025</t>
  </si>
  <si>
    <t>MN/0112/2020</t>
  </si>
  <si>
    <t>PC/0599/2021</t>
  </si>
  <si>
    <t>MS/1681/2025</t>
  </si>
  <si>
    <t>HD/1566/2025</t>
  </si>
  <si>
    <t>KB/0777/2025</t>
  </si>
  <si>
    <t>MN/0491/2025</t>
  </si>
  <si>
    <t>PC/0029/2021</t>
  </si>
  <si>
    <t>MS/1687/2025</t>
  </si>
  <si>
    <t>HD/1069/2022</t>
  </si>
  <si>
    <t>KB/1008/2019</t>
  </si>
  <si>
    <t>MN/0038/2019</t>
  </si>
  <si>
    <t>PC/0532/2021</t>
  </si>
  <si>
    <t>MS/1674/2025</t>
  </si>
  <si>
    <t>HD/0916/2023</t>
  </si>
  <si>
    <t>KB/0183/2019</t>
  </si>
  <si>
    <t>MN/0492/2025</t>
  </si>
  <si>
    <t>604</t>
  </si>
  <si>
    <t>MS/0345/2019</t>
  </si>
  <si>
    <t>HD/1495/2025</t>
  </si>
  <si>
    <t>KB/0778/2025</t>
  </si>
  <si>
    <t>MN/0198/2019</t>
  </si>
  <si>
    <t>PC/1293/2025</t>
  </si>
  <si>
    <t>MS/1165/2023</t>
  </si>
  <si>
    <t>HD/1483/2025</t>
  </si>
  <si>
    <t>KB/0776/2025</t>
  </si>
  <si>
    <t>MN/0493/2025</t>
  </si>
  <si>
    <t>PC/1002/2020</t>
  </si>
  <si>
    <t>MS/1669/2025</t>
  </si>
  <si>
    <t>HD/1461/2025</t>
  </si>
  <si>
    <t>KB/0779/2025</t>
  </si>
  <si>
    <t>MN/0703/2019</t>
  </si>
  <si>
    <t>PC/1091/2020</t>
  </si>
  <si>
    <t>MS/1686/2025</t>
  </si>
  <si>
    <t>HD/1473/2025</t>
  </si>
  <si>
    <t>125</t>
  </si>
  <si>
    <t>MN/0494/2025</t>
  </si>
  <si>
    <t>548</t>
  </si>
  <si>
    <t>MS/0838/2025</t>
  </si>
  <si>
    <t>HD/0910/2023</t>
  </si>
  <si>
    <t>KB/0863/2019</t>
  </si>
  <si>
    <t>MN/0495/2025</t>
  </si>
  <si>
    <t>110</t>
  </si>
  <si>
    <t>MS/1682/2025</t>
  </si>
  <si>
    <t>HD/1472/2025</t>
  </si>
  <si>
    <t>KB/0076//2019</t>
  </si>
  <si>
    <t>21</t>
  </si>
  <si>
    <t>PC/1294/2025</t>
  </si>
  <si>
    <t>HD/1456/2025</t>
  </si>
  <si>
    <t>KB/0069/2019</t>
  </si>
  <si>
    <t>MN/0069/2019</t>
  </si>
  <si>
    <t>275</t>
  </si>
  <si>
    <t>MS/1683/2025</t>
  </si>
  <si>
    <t>KB/0227/2019</t>
  </si>
  <si>
    <t>MN/0134/2019</t>
  </si>
  <si>
    <t>PC/0574/2019</t>
  </si>
  <si>
    <t>MS/1690/2025</t>
  </si>
  <si>
    <t>HD/1490/2025</t>
  </si>
  <si>
    <t>KB/0780/2025</t>
  </si>
  <si>
    <t>MN/0276/2019</t>
  </si>
  <si>
    <t>PC/1295/2025</t>
  </si>
  <si>
    <t>MS/1677/2025</t>
  </si>
  <si>
    <t>HD/1485/2025</t>
  </si>
  <si>
    <t>KB/0781/2025</t>
  </si>
  <si>
    <t>549</t>
  </si>
  <si>
    <t>PC/1296/2025</t>
  </si>
  <si>
    <t xml:space="preserve">PRIBADI </t>
  </si>
  <si>
    <t>HD/1503/2025</t>
  </si>
  <si>
    <t>KB/0782/2025</t>
  </si>
  <si>
    <t>MN/0685/2019</t>
  </si>
  <si>
    <t>PC/1297/2025</t>
  </si>
  <si>
    <t>MS/1129/2023</t>
  </si>
  <si>
    <t>HD/1498/2025</t>
  </si>
  <si>
    <t>KB/0210/2019</t>
  </si>
  <si>
    <t>B.3/230/67/2019</t>
  </si>
  <si>
    <t>PC/0403/2019</t>
  </si>
  <si>
    <t>MS/0627/2019</t>
  </si>
  <si>
    <t>HD/1458/2025</t>
  </si>
  <si>
    <t>KB/0783/2025</t>
  </si>
  <si>
    <t>MN/0497/2025</t>
  </si>
  <si>
    <t>MS/0042/2019</t>
  </si>
  <si>
    <t>HD/1449/2025</t>
  </si>
  <si>
    <t>KB/0389/2019</t>
  </si>
  <si>
    <t>MN/0014/2019</t>
  </si>
  <si>
    <t>PC/1298/2025</t>
  </si>
  <si>
    <t>KB/0784/2025</t>
  </si>
  <si>
    <t>MN/0496/2025</t>
  </si>
  <si>
    <t>PC/1111/2020</t>
  </si>
  <si>
    <t>MS/1692/2025</t>
  </si>
  <si>
    <t>HD/1084/2022</t>
  </si>
  <si>
    <t>KB/0785/2025</t>
  </si>
  <si>
    <t>44</t>
  </si>
  <si>
    <t>PC/0294/2021</t>
  </si>
  <si>
    <t>MS/0181/2019</t>
  </si>
  <si>
    <t>HD/1464/2025</t>
  </si>
  <si>
    <t>KB/0232/2019</t>
  </si>
  <si>
    <t>MN/0498/2025</t>
  </si>
  <si>
    <t>PC/0814/2020</t>
  </si>
  <si>
    <t>MS/0693/2019</t>
  </si>
  <si>
    <t>HD/1578/2025</t>
  </si>
  <si>
    <t>KB/0786/2025</t>
  </si>
  <si>
    <t>MN/0500/2025</t>
  </si>
  <si>
    <t>PC/1300/2025</t>
  </si>
  <si>
    <t>MS/1693/2025</t>
  </si>
  <si>
    <t>HD/1136/2022</t>
  </si>
  <si>
    <t>KB/0787/2025</t>
  </si>
  <si>
    <t>MN/0277/2019</t>
  </si>
  <si>
    <t>303</t>
  </si>
  <si>
    <t>HD/1550/2025</t>
  </si>
  <si>
    <t>599</t>
  </si>
  <si>
    <t>MN/0499/2025</t>
  </si>
  <si>
    <t>588</t>
  </si>
  <si>
    <t>MS/1796/2025</t>
  </si>
  <si>
    <t>HD/1061/2022</t>
  </si>
  <si>
    <t>KB/0017/2019</t>
  </si>
  <si>
    <t>PC/1301/2025</t>
  </si>
  <si>
    <t>MS/0357/2019</t>
  </si>
  <si>
    <t>HD/1452/2025</t>
  </si>
  <si>
    <t>KB/0966/2019</t>
  </si>
  <si>
    <t>MN/0196/2019</t>
  </si>
  <si>
    <t>PC/1302/2025</t>
  </si>
  <si>
    <t>MS/1797/2025</t>
  </si>
  <si>
    <t>HD/1447/2025</t>
  </si>
  <si>
    <t>KB/0788/2025</t>
  </si>
  <si>
    <t>MN/0501/2025</t>
  </si>
  <si>
    <t>PC/1303/2025</t>
  </si>
  <si>
    <t>MS/0650/2019</t>
  </si>
  <si>
    <t>HD/1450/2025</t>
  </si>
  <si>
    <t>KB/0846/2019</t>
  </si>
  <si>
    <t>MN/0502/2025</t>
  </si>
  <si>
    <t>PC/1304/2025</t>
  </si>
  <si>
    <t>MS/1798/2025</t>
  </si>
  <si>
    <t>HD/1551/2025</t>
  </si>
  <si>
    <t>KB/1501/2025</t>
  </si>
  <si>
    <t>MN/0503/2025</t>
  </si>
  <si>
    <t>PC/0581/2021</t>
  </si>
  <si>
    <t>MS/1799/2025</t>
  </si>
  <si>
    <t>HD/1446/2025</t>
  </si>
  <si>
    <t>KB/0789/2025</t>
  </si>
  <si>
    <t>414</t>
  </si>
  <si>
    <t>PC/1305/2025</t>
  </si>
  <si>
    <t>HD/1448/2025</t>
  </si>
  <si>
    <t>KB/0790/2025</t>
  </si>
  <si>
    <t>MN/0504/2025</t>
  </si>
  <si>
    <t>PC/0717/2020</t>
  </si>
  <si>
    <t>MS/1800/2025</t>
  </si>
  <si>
    <t>HD/1474/2025</t>
  </si>
  <si>
    <t>KB/0791/2025</t>
  </si>
  <si>
    <t>MN/0712/2019</t>
  </si>
  <si>
    <t>PC/1289/2025</t>
  </si>
  <si>
    <t>MS/1689/2025</t>
  </si>
  <si>
    <t>KB/0513/2025</t>
  </si>
  <si>
    <t>MN/0330/2025</t>
  </si>
  <si>
    <t>385</t>
  </si>
  <si>
    <t>MS/1801/2025</t>
  </si>
  <si>
    <t>KB/0634/2025</t>
  </si>
  <si>
    <t>942</t>
  </si>
  <si>
    <t>201</t>
  </si>
  <si>
    <t>MS/1802/2025</t>
  </si>
  <si>
    <t>47</t>
  </si>
  <si>
    <t>462</t>
  </si>
  <si>
    <t>PC/0035/2021</t>
  </si>
  <si>
    <t>MS/1803/2025</t>
  </si>
  <si>
    <t>KB/0012/2019</t>
  </si>
  <si>
    <t>MN/0012/2019</t>
  </si>
  <si>
    <t>PC/0601/2021</t>
  </si>
  <si>
    <t>MS/1804/2025</t>
  </si>
  <si>
    <t>HD/1080/2022</t>
  </si>
  <si>
    <t>KB/0311/2019</t>
  </si>
  <si>
    <t>MN/0029/2019</t>
  </si>
  <si>
    <t>PC/0806/2020</t>
  </si>
  <si>
    <t>MS/0561/2019</t>
  </si>
  <si>
    <t>HD/1552/2025</t>
  </si>
  <si>
    <t>KB/0635/2025</t>
  </si>
  <si>
    <t>MN/0178/2019</t>
  </si>
  <si>
    <t>PC/0716/2020</t>
  </si>
  <si>
    <t>MS/1805/2025</t>
  </si>
  <si>
    <t>HD/1548/2025</t>
  </si>
  <si>
    <t>KB/0669/2025</t>
  </si>
  <si>
    <t>MN/0716/2019</t>
  </si>
  <si>
    <t>PC/0478/2021</t>
  </si>
  <si>
    <t>MS/1544/2025</t>
  </si>
  <si>
    <t>KB/0424/2025</t>
  </si>
  <si>
    <t>MN/0281/2025</t>
  </si>
  <si>
    <t/>
  </si>
  <si>
    <t>MS/0552/2019</t>
  </si>
  <si>
    <t>HD/1098/2025</t>
  </si>
  <si>
    <t>KB/0628/2019</t>
  </si>
  <si>
    <t>MN/0282/2025</t>
  </si>
  <si>
    <t>PC/0722/2021</t>
  </si>
  <si>
    <t>MS/0423/2019</t>
  </si>
  <si>
    <t>HD/1147/2022</t>
  </si>
  <si>
    <t>KB/0257/2019</t>
  </si>
  <si>
    <t>MN/0207/2019</t>
  </si>
  <si>
    <t>567</t>
  </si>
  <si>
    <t>MS/0389/2019</t>
  </si>
  <si>
    <t>HD/1099/2025</t>
  </si>
  <si>
    <t>KB/0292/2019</t>
  </si>
  <si>
    <t>B3/230/34/2019</t>
  </si>
  <si>
    <t>PC/1105/2025</t>
  </si>
  <si>
    <t>MS/1545/2025</t>
  </si>
  <si>
    <t>HD/1100/2025</t>
  </si>
  <si>
    <t>KB/0425/2025</t>
  </si>
  <si>
    <t>MN/0300/2025</t>
  </si>
  <si>
    <t>PC/1107/2025</t>
  </si>
  <si>
    <t>MS/0563/2019</t>
  </si>
  <si>
    <t>HD/1114/2025</t>
  </si>
  <si>
    <t>KB/0426/2025</t>
  </si>
  <si>
    <t>MN/0294/2025</t>
  </si>
  <si>
    <t>111</t>
  </si>
  <si>
    <t>MS/1557/2025</t>
  </si>
  <si>
    <t>HD/1115/2025</t>
  </si>
  <si>
    <t>KB/0429/2025</t>
  </si>
  <si>
    <t>MN/0299/2025</t>
  </si>
  <si>
    <t>461</t>
  </si>
  <si>
    <t>MS/0017/2019</t>
  </si>
  <si>
    <t>HD/1063/2022</t>
  </si>
  <si>
    <t>KB/0427/2025</t>
  </si>
  <si>
    <t>MN/0301/2025</t>
  </si>
  <si>
    <t>PC/0130/2021</t>
  </si>
  <si>
    <t>MS/1111/2023</t>
  </si>
  <si>
    <t>MN/0169/2019</t>
  </si>
  <si>
    <t>PC/1138/2025</t>
  </si>
  <si>
    <t>MS/1558/2025</t>
  </si>
  <si>
    <t>HD/1110/2025</t>
  </si>
  <si>
    <t>KB/0430/2025</t>
  </si>
  <si>
    <t>MN/0207/2025</t>
  </si>
  <si>
    <t>PC/1110/2025</t>
  </si>
  <si>
    <t>MS/1559/2025</t>
  </si>
  <si>
    <t>HD/0934/2023</t>
  </si>
  <si>
    <t>KB/0431/2025</t>
  </si>
  <si>
    <t>MN/0177/2019</t>
  </si>
  <si>
    <t>PC/0475/2021</t>
  </si>
  <si>
    <t>MS/1560/2025</t>
  </si>
  <si>
    <t>HD/1111/2025</t>
  </si>
  <si>
    <t>KB/0434/2025</t>
  </si>
  <si>
    <t>MN/0185/2019</t>
  </si>
  <si>
    <t>79</t>
  </si>
  <si>
    <t>MS/1130/2023</t>
  </si>
  <si>
    <t>HD/0930/2023</t>
  </si>
  <si>
    <t>KB/0435/2025</t>
  </si>
  <si>
    <t>MN/0193/2019</t>
  </si>
  <si>
    <t>PC/0175/2021</t>
  </si>
  <si>
    <t>MS/1140/2023</t>
  </si>
  <si>
    <t>HD/0936/2023</t>
  </si>
  <si>
    <t>KB/0436/2025</t>
  </si>
  <si>
    <t>MN/0216/2019</t>
  </si>
  <si>
    <t>PC/1111/2025</t>
  </si>
  <si>
    <t>MS/1364/2025</t>
  </si>
  <si>
    <t>HD/1109/2025</t>
  </si>
  <si>
    <t>KB/0433/2025</t>
  </si>
  <si>
    <t>MN/0181/2019</t>
  </si>
  <si>
    <t>PC/0182/2021</t>
  </si>
  <si>
    <t>MS/1365/2025</t>
  </si>
  <si>
    <t>HD/1118/2025</t>
  </si>
  <si>
    <t>KB/0432/2025</t>
  </si>
  <si>
    <t>MN/0023/2020</t>
  </si>
  <si>
    <t>PC/0519/2021</t>
  </si>
  <si>
    <t>MS/0207/2019</t>
  </si>
  <si>
    <t>HD/1145/2022</t>
  </si>
  <si>
    <t>KB/0437/2025</t>
  </si>
  <si>
    <t>337</t>
  </si>
  <si>
    <t>PC/1136/2025</t>
  </si>
  <si>
    <t>MS/0196/2019</t>
  </si>
  <si>
    <t>HD/0949/2023</t>
  </si>
  <si>
    <t>KB/0438/2025</t>
  </si>
  <si>
    <t>MN/0206/2025</t>
  </si>
  <si>
    <t>PC/1135/2025</t>
  </si>
  <si>
    <t>MS/1567/2025</t>
  </si>
  <si>
    <t>HD/1117/2025</t>
  </si>
  <si>
    <t>KB/0439/2025</t>
  </si>
  <si>
    <t>MN/0291/2025</t>
  </si>
  <si>
    <t>PC/1112/2025</t>
  </si>
  <si>
    <t>MS/1568/2025</t>
  </si>
  <si>
    <t>HD/1116/2025</t>
  </si>
  <si>
    <t>KB/0440/2025</t>
  </si>
  <si>
    <t>MN/0303/2025</t>
  </si>
  <si>
    <t>PC/1113/2025</t>
  </si>
  <si>
    <t>MS/1563/2025</t>
  </si>
  <si>
    <t>HD/1113/2025</t>
  </si>
  <si>
    <t>258</t>
  </si>
  <si>
    <t>MN/0213/2019</t>
  </si>
  <si>
    <t>169</t>
  </si>
  <si>
    <t>MS/1561/2025</t>
  </si>
  <si>
    <t>HD/1089/2022</t>
  </si>
  <si>
    <t>KB/0192/2019</t>
  </si>
  <si>
    <t>MN/0295/2025</t>
  </si>
  <si>
    <t>PC/1114/2025</t>
  </si>
  <si>
    <t>MS/1562/2025</t>
  </si>
  <si>
    <t>HD/1108/2025</t>
  </si>
  <si>
    <t>KB/0441/2025</t>
  </si>
  <si>
    <t>187</t>
  </si>
  <si>
    <t>PC/0522/2021</t>
  </si>
  <si>
    <t>MS/1566/2025</t>
  </si>
  <si>
    <t>HD/1115/2022</t>
  </si>
  <si>
    <t>KB/0442/2025</t>
  </si>
  <si>
    <t>PC/1109/2025</t>
  </si>
  <si>
    <t>MS/1554/2025</t>
  </si>
  <si>
    <t>HD/1101/2025</t>
  </si>
  <si>
    <t>KB/0443/2025</t>
  </si>
  <si>
    <t>MN/0292/2025</t>
  </si>
  <si>
    <t>391</t>
  </si>
  <si>
    <t>MS/1552/2025</t>
  </si>
  <si>
    <t>HD/1112/2025</t>
  </si>
  <si>
    <t>KB/0444/2025</t>
  </si>
  <si>
    <t>MN/0297/2025</t>
  </si>
  <si>
    <t>281</t>
  </si>
  <si>
    <t>HD/1105/2025</t>
  </si>
  <si>
    <t>KB/0445/2025</t>
  </si>
  <si>
    <t>MN/0189/2019</t>
  </si>
  <si>
    <t>PC/1123/2025</t>
  </si>
  <si>
    <t>MS/1556/2025</t>
  </si>
  <si>
    <t>KB/0446/2025</t>
  </si>
  <si>
    <t>MN/0298/2025</t>
  </si>
  <si>
    <t>350</t>
  </si>
  <si>
    <t>MS/0170/2019</t>
  </si>
  <si>
    <t>HD/1104/2025</t>
  </si>
  <si>
    <t>KB/0448/2025</t>
  </si>
  <si>
    <t>MN/0187/2019</t>
  </si>
  <si>
    <t>230</t>
  </si>
  <si>
    <t>MS/1595/2025</t>
  </si>
  <si>
    <t>HD/1058/2022</t>
  </si>
  <si>
    <t>KB/0447/2025</t>
  </si>
  <si>
    <t>PC/1122/2025</t>
  </si>
  <si>
    <t>MS/0535/2019</t>
  </si>
  <si>
    <t>KB/0610/2025</t>
  </si>
  <si>
    <t>85</t>
  </si>
  <si>
    <t>PC/0201/2021</t>
  </si>
  <si>
    <t>MS/0279/2019</t>
  </si>
  <si>
    <t>HD/1123/2025</t>
  </si>
  <si>
    <t>KB/0602/2025</t>
  </si>
  <si>
    <t>62</t>
  </si>
  <si>
    <t>PC/1121/2025</t>
  </si>
  <si>
    <t>MS/1546/2025</t>
  </si>
  <si>
    <t>HD/1119/2025</t>
  </si>
  <si>
    <t>KB/0212/2019</t>
  </si>
  <si>
    <t>PC/0198/2021</t>
  </si>
  <si>
    <t>HD/1127/2025</t>
  </si>
  <si>
    <t>KB/0203/2019</t>
  </si>
  <si>
    <t>538</t>
  </si>
  <si>
    <t>PC/0477/2021</t>
  </si>
  <si>
    <t>MS/0213/2019</t>
  </si>
  <si>
    <t>HD/1126/2025</t>
  </si>
  <si>
    <t>KB/0200/2019</t>
  </si>
  <si>
    <t>MN/0200/2019</t>
  </si>
  <si>
    <t>184</t>
  </si>
  <si>
    <t>HD/1025/2022</t>
  </si>
  <si>
    <t>KB/0198/2019</t>
  </si>
  <si>
    <t>198</t>
  </si>
  <si>
    <t>PC/1119/2025</t>
  </si>
  <si>
    <t>HD/1077/2022</t>
  </si>
  <si>
    <t>KB/0174/2019</t>
  </si>
  <si>
    <t>MN/0174/2019</t>
  </si>
  <si>
    <t>183</t>
  </si>
  <si>
    <t>MS/0220/2019</t>
  </si>
  <si>
    <t>HD/1120/2025</t>
  </si>
  <si>
    <t>KB/0601/2025</t>
  </si>
  <si>
    <t>MN/0079/2019</t>
  </si>
  <si>
    <t>PC/0494/2021</t>
  </si>
  <si>
    <t>MS/0584/2019</t>
  </si>
  <si>
    <t>HD/1122/2025</t>
  </si>
  <si>
    <t>KB/0594/2025</t>
  </si>
  <si>
    <t>MN/0263/2019</t>
  </si>
  <si>
    <t>23</t>
  </si>
  <si>
    <t>MS/0431/2019</t>
  </si>
  <si>
    <t>HD/1124/2025</t>
  </si>
  <si>
    <t>KB/0595/2024</t>
  </si>
  <si>
    <t>231</t>
  </si>
  <si>
    <t>319</t>
  </si>
  <si>
    <t>HD/0906/2023</t>
  </si>
  <si>
    <t>KB/0215/2019</t>
  </si>
  <si>
    <t>PC/0954/2020</t>
  </si>
  <si>
    <t>HD/1125/2025</t>
  </si>
  <si>
    <t>KB/0589/2025</t>
  </si>
  <si>
    <t>MN/0304/2025</t>
  </si>
  <si>
    <t>PC/0470/2019</t>
  </si>
  <si>
    <t>MS/1550/2025</t>
  </si>
  <si>
    <t>KB/0590/2025</t>
  </si>
  <si>
    <t>20</t>
  </si>
  <si>
    <t>PC/0526/2019</t>
  </si>
  <si>
    <t>MS/1549/2025</t>
  </si>
  <si>
    <t>HD/0946/2023</t>
  </si>
  <si>
    <t>KB/0019/2019</t>
  </si>
  <si>
    <t>MN/0215/2019</t>
  </si>
  <si>
    <t>PC/0534/2021</t>
  </si>
  <si>
    <t>MS/1551/2025</t>
  </si>
  <si>
    <t>HD/1121/2025</t>
  </si>
  <si>
    <t>KB/0197/2019</t>
  </si>
  <si>
    <t>MN/0219/2019</t>
  </si>
  <si>
    <t>535</t>
  </si>
  <si>
    <t>MS/0123/2019</t>
  </si>
  <si>
    <t>KB/0818/2019</t>
  </si>
  <si>
    <t>MN/0285/2025</t>
  </si>
  <si>
    <t>PC/0288/2021</t>
  </si>
  <si>
    <t>MS/0198/2019</t>
  </si>
  <si>
    <t>KB/0221/2019</t>
  </si>
  <si>
    <t>MN/0212/2019</t>
  </si>
  <si>
    <t>PC/0510/2021</t>
  </si>
  <si>
    <t>MS/1553/2025</t>
  </si>
  <si>
    <t>KB/0213/2019</t>
  </si>
  <si>
    <t>MN/0211/2019</t>
  </si>
  <si>
    <t>381</t>
  </si>
  <si>
    <t>MS/1548/2025</t>
  </si>
  <si>
    <t>HD/0944/2023</t>
  </si>
  <si>
    <t>KB/0082/2019</t>
  </si>
  <si>
    <t>MN/0210/2019</t>
  </si>
  <si>
    <t>345</t>
  </si>
  <si>
    <t>MS/1547/2025</t>
  </si>
  <si>
    <t>KB/0612/2024</t>
  </si>
  <si>
    <t>422</t>
  </si>
  <si>
    <t>569</t>
  </si>
  <si>
    <t>MS/0781/2023</t>
  </si>
  <si>
    <t>KB/0208/2019</t>
  </si>
  <si>
    <t>MN/0208/2019</t>
  </si>
  <si>
    <t>PC/0590/2021</t>
  </si>
  <si>
    <t>MS/1858/2025</t>
  </si>
  <si>
    <t>HD/1102/2025</t>
  </si>
  <si>
    <t>KB/0428/2019</t>
  </si>
  <si>
    <t>130</t>
  </si>
  <si>
    <t>449</t>
  </si>
  <si>
    <t>MS/1857/2025</t>
  </si>
  <si>
    <t>HD/1103/2025</t>
  </si>
  <si>
    <t>KB/0593/2025</t>
  </si>
  <si>
    <t>MN/0288/2025</t>
  </si>
  <si>
    <t>617</t>
  </si>
  <si>
    <t>MS/0203/2019</t>
  </si>
  <si>
    <t>KB/0766/2019</t>
  </si>
  <si>
    <t>MN/0022/2019</t>
  </si>
  <si>
    <t>146</t>
  </si>
  <si>
    <t>MS/0504/2019</t>
  </si>
  <si>
    <t>HD/1292/2025</t>
  </si>
  <si>
    <t>589</t>
  </si>
  <si>
    <t>PC/0491/2021</t>
  </si>
  <si>
    <t>MS/1856/2025</t>
  </si>
  <si>
    <t>HD/1285/2025</t>
  </si>
  <si>
    <t>KB/0591/2025</t>
  </si>
  <si>
    <t>MN/0485/2025</t>
  </si>
  <si>
    <t>PC/1116/2025</t>
  </si>
  <si>
    <t>MS/0233/2019</t>
  </si>
  <si>
    <t>HD/0917/2022</t>
  </si>
  <si>
    <t>KB/0607/2025</t>
  </si>
  <si>
    <t>MN/0011/2019</t>
  </si>
  <si>
    <t>PC/0345/2021</t>
  </si>
  <si>
    <t>MS/0945/2023</t>
  </si>
  <si>
    <t>KB/0597/2025</t>
  </si>
  <si>
    <t>MN/0284/2025</t>
  </si>
  <si>
    <t>PC/1115/2025</t>
  </si>
  <si>
    <t>MS/0728/2023</t>
  </si>
  <si>
    <t>HD/1306/2025</t>
  </si>
  <si>
    <t>KB/0596/2025</t>
  </si>
  <si>
    <t>MN/0283/2025</t>
  </si>
  <si>
    <t>PC/0230/2020</t>
  </si>
  <si>
    <t>MS/0393/2019</t>
  </si>
  <si>
    <t>HD/1307/2025</t>
  </si>
  <si>
    <t>KB/0353/2019</t>
  </si>
  <si>
    <t>MN/0270/2019</t>
  </si>
  <si>
    <t>PC/0399/2021</t>
  </si>
  <si>
    <t>MS/0572/2019</t>
  </si>
  <si>
    <t>HD/1289/2025</t>
  </si>
  <si>
    <t>483</t>
  </si>
  <si>
    <t>MN/0724/2019</t>
  </si>
  <si>
    <t>435</t>
  </si>
  <si>
    <t>HD/1305/2025</t>
  </si>
  <si>
    <t>MN/0287/2025</t>
  </si>
  <si>
    <t>PC/0206/2021</t>
  </si>
  <si>
    <t>MS/1412/2023</t>
  </si>
  <si>
    <t>HD/1304/2025</t>
  </si>
  <si>
    <t>KB/0304/2019</t>
  </si>
  <si>
    <t>PC/1333/2025</t>
  </si>
  <si>
    <t>MS/1412/2022</t>
  </si>
  <si>
    <t>MN/0286/2025</t>
  </si>
  <si>
    <t>PC/1129/2025</t>
  </si>
  <si>
    <t>MS/0540/2019</t>
  </si>
  <si>
    <t>HD/1055/2019</t>
  </si>
  <si>
    <t>KB/0608/2025</t>
  </si>
  <si>
    <t>MN/0302/2025</t>
  </si>
  <si>
    <t>PC/0569/2021</t>
  </si>
  <si>
    <t>MS/1386/2022</t>
  </si>
  <si>
    <t>HD/1280/2025</t>
  </si>
  <si>
    <t>KB/0603/2024</t>
  </si>
  <si>
    <t>MN/0327/2019</t>
  </si>
  <si>
    <t>B3/230/30/2019</t>
  </si>
  <si>
    <t>MS/1810/2025</t>
  </si>
  <si>
    <t>HD/1281/2025</t>
  </si>
  <si>
    <t>KB/0659/2025</t>
  </si>
  <si>
    <t>220</t>
  </si>
  <si>
    <t>PC/1330/2025</t>
  </si>
  <si>
    <t>MS/1811/2025</t>
  </si>
  <si>
    <t>HD/1282/2025</t>
  </si>
  <si>
    <t>KB/0604/2025</t>
  </si>
  <si>
    <t>MN/0475/2025</t>
  </si>
  <si>
    <t>PC/0238/2021</t>
  </si>
  <si>
    <t>MS/0238/2019</t>
  </si>
  <si>
    <t>HD/1627/2025</t>
  </si>
  <si>
    <t>KB/0238/2025</t>
  </si>
  <si>
    <t>MN/0238/2019</t>
  </si>
  <si>
    <t>591</t>
  </si>
  <si>
    <t>MS/0581/2019</t>
  </si>
  <si>
    <t>HD/1073/2022</t>
  </si>
  <si>
    <t>KB/0237/2019</t>
  </si>
  <si>
    <t>132</t>
  </si>
  <si>
    <t>PC/0236/2021</t>
  </si>
  <si>
    <t>HD/1072/2022</t>
  </si>
  <si>
    <t>KB/0226/2019</t>
  </si>
  <si>
    <t>168</t>
  </si>
  <si>
    <t>115</t>
  </si>
  <si>
    <t>MS/1812/2025</t>
  </si>
  <si>
    <t>HD/1279/2025</t>
  </si>
  <si>
    <t>KB/0235/2019</t>
  </si>
  <si>
    <t>223</t>
  </si>
  <si>
    <t>MS/0470/2019</t>
  </si>
  <si>
    <t>HD/1278/2025</t>
  </si>
  <si>
    <t>KB/0655/2025</t>
  </si>
  <si>
    <t>MN/0234/2019</t>
  </si>
  <si>
    <t>PC/0091/2020</t>
  </si>
  <si>
    <t>50</t>
  </si>
  <si>
    <t>HD/1085/2022</t>
  </si>
  <si>
    <t>KB/0667/2025</t>
  </si>
  <si>
    <t>189</t>
  </si>
  <si>
    <t>PC/0178/2023</t>
  </si>
  <si>
    <t>MS/1813/2025</t>
  </si>
  <si>
    <t>HD/1291/2025</t>
  </si>
  <si>
    <t>KB/0623/2019</t>
  </si>
  <si>
    <t>PC/1331/2025</t>
  </si>
  <si>
    <t>MS/0333/2019</t>
  </si>
  <si>
    <t>HD/1302/2025</t>
  </si>
  <si>
    <t>KB/0665/2025</t>
  </si>
  <si>
    <t>MN/0210/2025</t>
  </si>
  <si>
    <t>B3/230/05/2019</t>
  </si>
  <si>
    <t>HD/1303/2025</t>
  </si>
  <si>
    <t>MS/1463/2023</t>
  </si>
  <si>
    <t>HD/1288/2025</t>
  </si>
  <si>
    <t>107</t>
  </si>
  <si>
    <t>PC/1125/2025</t>
  </si>
  <si>
    <t>KB/0371/2025</t>
  </si>
  <si>
    <t>MN/0209/2025</t>
  </si>
  <si>
    <t>PC/0024/2019</t>
  </si>
  <si>
    <t>MS/1694/2025</t>
  </si>
  <si>
    <t>HD/1297/2025</t>
  </si>
  <si>
    <t>KB/0280/2019</t>
  </si>
  <si>
    <t>MN/0227/2025</t>
  </si>
  <si>
    <t>PC/1126/2025</t>
  </si>
  <si>
    <t>MS/1151/2023</t>
  </si>
  <si>
    <t>HD/1110/2019</t>
  </si>
  <si>
    <t>KB/0370/2026</t>
  </si>
  <si>
    <t>MN/0228/2025</t>
  </si>
  <si>
    <t>PC/1127/2025</t>
  </si>
  <si>
    <t>MS/1698/2025</t>
  </si>
  <si>
    <t>HD/1332/2025</t>
  </si>
  <si>
    <t>KB/0372/2025</t>
  </si>
  <si>
    <t>MN/0226/2025</t>
  </si>
  <si>
    <t>96</t>
  </si>
  <si>
    <t>MS/1704/2025</t>
  </si>
  <si>
    <t>HD/1057/2022</t>
  </si>
  <si>
    <t>PC/0571/2021</t>
  </si>
  <si>
    <t>MS/0044/2019</t>
  </si>
  <si>
    <t>HD/1284/2025</t>
  </si>
  <si>
    <t>KB/0176/2019</t>
  </si>
  <si>
    <t>MN/0176/2019</t>
  </si>
  <si>
    <t>PC/1131/2025</t>
  </si>
  <si>
    <t>MS/0356/2019</t>
  </si>
  <si>
    <t>HD/1283/2025</t>
  </si>
  <si>
    <t>MN/0145/2020</t>
  </si>
  <si>
    <t>PC/0472/2021</t>
  </si>
  <si>
    <t>MS/0591/2019</t>
  </si>
  <si>
    <t>HD/1296/2025</t>
  </si>
  <si>
    <t>KB/0358/2025</t>
  </si>
  <si>
    <t>MN/0212/2025</t>
  </si>
  <si>
    <t>440</t>
  </si>
  <si>
    <t>MS/0969/2023</t>
  </si>
  <si>
    <t>HD/1293/2025</t>
  </si>
  <si>
    <t>KB/0070/2019</t>
  </si>
  <si>
    <t>MN/0251/2019</t>
  </si>
  <si>
    <t>18</t>
  </si>
  <si>
    <t>MS/1697/2025</t>
  </si>
  <si>
    <t>PC/0346/2021</t>
  </si>
  <si>
    <t>MS/1714/2025</t>
  </si>
  <si>
    <t>HD/1301/2025</t>
  </si>
  <si>
    <t>KB/0616/2025</t>
  </si>
  <si>
    <t>PC/0740/2020</t>
  </si>
  <si>
    <t>MS/0531/2019</t>
  </si>
  <si>
    <t>B8/280/33/2019</t>
  </si>
  <si>
    <t>MN/0225/2025</t>
  </si>
  <si>
    <t>86</t>
  </si>
  <si>
    <t>MS/0490/2019</t>
  </si>
  <si>
    <t>HD/1116/2022</t>
  </si>
  <si>
    <t>KB/0205/2019</t>
  </si>
  <si>
    <t>MN/0171/2019</t>
  </si>
  <si>
    <t>237</t>
  </si>
  <si>
    <t>MS/0102/2019</t>
  </si>
  <si>
    <t>KB/0347/2019</t>
  </si>
  <si>
    <t>118/2020</t>
  </si>
  <si>
    <t>PC/0391/2019</t>
  </si>
  <si>
    <t>MS/1446/2022</t>
  </si>
  <si>
    <t>HD/1300/2025</t>
  </si>
  <si>
    <t>KB/0365/2025</t>
  </si>
  <si>
    <t>MN/0624/2019</t>
  </si>
  <si>
    <t>PC/1237/2025</t>
  </si>
  <si>
    <t>MS/0254/2019</t>
  </si>
  <si>
    <t>HD/1295/2025</t>
  </si>
  <si>
    <t>KB/0366/2025</t>
  </si>
  <si>
    <t>MN/0150/2019</t>
  </si>
  <si>
    <t>PC/1227/2025</t>
  </si>
  <si>
    <t>MS/1709/2025</t>
  </si>
  <si>
    <t>HD/1294/2025</t>
  </si>
  <si>
    <t>KB/0357/2019</t>
  </si>
  <si>
    <t>MN/0253/2019</t>
  </si>
  <si>
    <t>PC/0602/2021</t>
  </si>
  <si>
    <t>MS/0264/2019</t>
  </si>
  <si>
    <t>427</t>
  </si>
  <si>
    <t>MN/0213/2025</t>
  </si>
  <si>
    <t>PC/0180/2021</t>
  </si>
  <si>
    <t>MS/0240/2019</t>
  </si>
  <si>
    <t>HD/1290/2025</t>
  </si>
  <si>
    <t>KB/0624/2025</t>
  </si>
  <si>
    <t>MN/0220/2025</t>
  </si>
  <si>
    <t>317</t>
  </si>
  <si>
    <t>MS/0015/2019</t>
  </si>
  <si>
    <t>HD/1244/2025</t>
  </si>
  <si>
    <t>KB/0247/2019</t>
  </si>
  <si>
    <t>PC/1235/2025</t>
  </si>
  <si>
    <t>HD/1287/2025</t>
  </si>
  <si>
    <t>KB/0367/2025</t>
  </si>
  <si>
    <t>MN/0223/2025</t>
  </si>
  <si>
    <t>594</t>
  </si>
  <si>
    <t>MS/0976/2019</t>
  </si>
  <si>
    <t>HD/1610/2025</t>
  </si>
  <si>
    <t>KB/0368/2025</t>
  </si>
  <si>
    <t>MN/0527/2025</t>
  </si>
  <si>
    <t>91</t>
  </si>
  <si>
    <t>MS/1699/2025</t>
  </si>
  <si>
    <t>HD/0918/2023</t>
  </si>
  <si>
    <t>122</t>
  </si>
  <si>
    <t>MN/0224/2025</t>
  </si>
  <si>
    <t>PC/1238/2025</t>
  </si>
  <si>
    <t>MS/0115/2019</t>
  </si>
  <si>
    <t>KB/0364/2025</t>
  </si>
  <si>
    <t>MN/0215/2025</t>
  </si>
  <si>
    <t>300</t>
  </si>
  <si>
    <t>HD/1561/2025</t>
  </si>
  <si>
    <t>KB/0361/2025</t>
  </si>
  <si>
    <t>572</t>
  </si>
  <si>
    <t>MS/1705/2025</t>
  </si>
  <si>
    <t>HD/1286/2025</t>
  </si>
  <si>
    <t>KB/0369/2025</t>
  </si>
  <si>
    <t>MN/0015/2019</t>
  </si>
  <si>
    <t>BELUM GANTI</t>
  </si>
  <si>
    <t>PC/1221/2025</t>
  </si>
  <si>
    <t>MS/0680/2025</t>
  </si>
  <si>
    <t>HD/1081/2019</t>
  </si>
  <si>
    <t>MN/0680/2019</t>
  </si>
  <si>
    <t>PC/1230/2025</t>
  </si>
  <si>
    <t>MS/0090/2019</t>
  </si>
  <si>
    <t>HD/1199/2025</t>
  </si>
  <si>
    <t>KB/0092/2019</t>
  </si>
  <si>
    <t>611</t>
  </si>
  <si>
    <t>294</t>
  </si>
  <si>
    <t>MS/1695/2025</t>
  </si>
  <si>
    <t>HD/1507/2025</t>
  </si>
  <si>
    <t>KB/0373/2025</t>
  </si>
  <si>
    <t>PC/0257/2021</t>
  </si>
  <si>
    <t>512</t>
  </si>
  <si>
    <t>HD/1208/2025</t>
  </si>
  <si>
    <t>411</t>
  </si>
  <si>
    <t>433</t>
  </si>
  <si>
    <t>MS/1085/2019</t>
  </si>
  <si>
    <t>HD/1207/2025</t>
  </si>
  <si>
    <t>KB/0370/2019</t>
  </si>
  <si>
    <t>MN/0222/2025</t>
  </si>
  <si>
    <t>PC/1133/2025</t>
  </si>
  <si>
    <t>MS/1696/2025</t>
  </si>
  <si>
    <t>HD/1204/2025</t>
  </si>
  <si>
    <t>KB/0363/2025</t>
  </si>
  <si>
    <t>MN/0219/2025</t>
  </si>
  <si>
    <t>397</t>
  </si>
  <si>
    <t>MS/1078/2025</t>
  </si>
  <si>
    <t>HD/1214/2025</t>
  </si>
  <si>
    <t>40</t>
  </si>
  <si>
    <t>MN/0214/2025</t>
  </si>
  <si>
    <t>PC/0699/2019</t>
  </si>
  <si>
    <t>27/2020</t>
  </si>
  <si>
    <t>HD/1090/2022</t>
  </si>
  <si>
    <t>KB/0917/2019</t>
  </si>
  <si>
    <t>MN/0699/2019</t>
  </si>
  <si>
    <t>PC/0678/2020</t>
  </si>
  <si>
    <t>HD/1212/2025</t>
  </si>
  <si>
    <t>KB/0349/2025</t>
  </si>
  <si>
    <t>MN/0698/2019</t>
  </si>
  <si>
    <t>290</t>
  </si>
  <si>
    <t>MS/1711/2025</t>
  </si>
  <si>
    <t>HD/1298/2025</t>
  </si>
  <si>
    <t>KB/0362/2025</t>
  </si>
  <si>
    <t>577</t>
  </si>
  <si>
    <t>MS/0204/2019</t>
  </si>
  <si>
    <t>HD/1206/2025</t>
  </si>
  <si>
    <t>KB/0407/2019</t>
  </si>
  <si>
    <t>MN/0211/2025</t>
  </si>
  <si>
    <t>259</t>
  </si>
  <si>
    <t>MS/1718/2025</t>
  </si>
  <si>
    <t>HD/1205/2025</t>
  </si>
  <si>
    <t>KB/0395/2025</t>
  </si>
  <si>
    <t>MN/0218/2025</t>
  </si>
  <si>
    <t>PC/0531/2021</t>
  </si>
  <si>
    <t>MS/0046/2019</t>
  </si>
  <si>
    <t>HD/1075/2022</t>
  </si>
  <si>
    <t>KB/0354/2025</t>
  </si>
  <si>
    <t>MN/0045/2019</t>
  </si>
  <si>
    <t>109</t>
  </si>
  <si>
    <t>MS/0016/2019</t>
  </si>
  <si>
    <t>HD/1195/2025</t>
  </si>
  <si>
    <t>KB/0016/2019</t>
  </si>
  <si>
    <t>MN/0016/2019</t>
  </si>
  <si>
    <t>PC/0482/2025</t>
  </si>
  <si>
    <t>MS/0224/2019</t>
  </si>
  <si>
    <t>HD/1339/2025</t>
  </si>
  <si>
    <t>KB/0621/2025</t>
  </si>
  <si>
    <t>479</t>
  </si>
  <si>
    <t>298</t>
  </si>
  <si>
    <t>MS/1713/2025</t>
  </si>
  <si>
    <t>HD/1200/2025</t>
  </si>
  <si>
    <t>KB/0355/2025</t>
  </si>
  <si>
    <t>PC/1128/2025</t>
  </si>
  <si>
    <t>HD/1202/2025</t>
  </si>
  <si>
    <t>448</t>
  </si>
  <si>
    <t>118</t>
  </si>
  <si>
    <t>HD/1062/2025</t>
  </si>
  <si>
    <t>KB/0356/2025</t>
  </si>
  <si>
    <t>188</t>
  </si>
  <si>
    <t>PC/0568/2021</t>
  </si>
  <si>
    <t>MS/0546/2019</t>
  </si>
  <si>
    <t>HD/0941/2023</t>
  </si>
  <si>
    <t>KB/0262/2019</t>
  </si>
  <si>
    <t>30</t>
  </si>
  <si>
    <t>503</t>
  </si>
  <si>
    <t>HD/1210/2025</t>
  </si>
  <si>
    <t>KB/0359/2019</t>
  </si>
  <si>
    <t>565</t>
  </si>
  <si>
    <t>608</t>
  </si>
  <si>
    <t>MS/1717/2025</t>
  </si>
  <si>
    <t>HD/1198/2025</t>
  </si>
  <si>
    <t>KB/0244/2019</t>
  </si>
  <si>
    <t>MS/0570/2021</t>
  </si>
  <si>
    <t>MS/0562/2019</t>
  </si>
  <si>
    <t>HD/1088/2022</t>
  </si>
  <si>
    <t>KB/0360/2025</t>
  </si>
  <si>
    <t>MN/0217/2025</t>
  </si>
  <si>
    <t>PC/0570/2021</t>
  </si>
  <si>
    <t>MN/0229/2025</t>
  </si>
  <si>
    <t>PC/1232/2025</t>
  </si>
  <si>
    <t>MS/0756/2023</t>
  </si>
  <si>
    <t>HD/0942/2019</t>
  </si>
  <si>
    <t>KB/0340/2019</t>
  </si>
  <si>
    <t>PC/0638/2019</t>
  </si>
  <si>
    <t>MS/0148/2019</t>
  </si>
  <si>
    <t>HD/1197/2025</t>
  </si>
  <si>
    <t>KB/1234/2020</t>
  </si>
  <si>
    <t>MN/0638/2019</t>
  </si>
  <si>
    <t>PC/0812/2020</t>
  </si>
  <si>
    <t>MS/1070/2023</t>
  </si>
  <si>
    <t>HD/1209/2025</t>
  </si>
  <si>
    <t>360</t>
  </si>
  <si>
    <t>CATATAN DOBEL NOMOR</t>
  </si>
  <si>
    <t>PC/0248/2021</t>
  </si>
  <si>
    <t>MS/0834/2023</t>
  </si>
  <si>
    <t>KB/0120/2019</t>
  </si>
  <si>
    <t>119</t>
  </si>
  <si>
    <t>PC/0517/2021</t>
  </si>
  <si>
    <t>78</t>
  </si>
  <si>
    <t>HD/1216/2025</t>
  </si>
  <si>
    <t>145</t>
  </si>
  <si>
    <t>MN/0125/2019</t>
  </si>
  <si>
    <t>575</t>
  </si>
  <si>
    <t>MS/1150/2019</t>
  </si>
  <si>
    <t>HD/1215/2025</t>
  </si>
  <si>
    <t>KB/0353/2025</t>
  </si>
  <si>
    <t>PC/0578/2025</t>
  </si>
  <si>
    <t>MS/0337/2019</t>
  </si>
  <si>
    <t>HD/1196/2025</t>
  </si>
  <si>
    <t>KB/0352/2025</t>
  </si>
  <si>
    <t>428</t>
  </si>
  <si>
    <t>PC/0619/2021</t>
  </si>
  <si>
    <t>MS/1712/2025</t>
  </si>
  <si>
    <t>KB/0374/2019</t>
  </si>
  <si>
    <t>540</t>
  </si>
  <si>
    <t>PC/1236/2025</t>
  </si>
  <si>
    <t>MS/1716/2025</t>
  </si>
  <si>
    <t>HD/1203/2025</t>
  </si>
  <si>
    <t>KB/0351/2025</t>
  </si>
  <si>
    <t>MN/0216/2025</t>
  </si>
  <si>
    <t>PC/0426/2021</t>
  </si>
  <si>
    <t>HD/1201/2025</t>
  </si>
  <si>
    <t>KB/0354/2021</t>
  </si>
  <si>
    <t>MN/0239/2025</t>
  </si>
  <si>
    <t>PC/1130/2025</t>
  </si>
  <si>
    <t>MS/1721/2025</t>
  </si>
  <si>
    <t>HD/1211/2025</t>
  </si>
  <si>
    <t>KB/0342/2019</t>
  </si>
  <si>
    <t>MN/0221/2025</t>
  </si>
  <si>
    <t>267</t>
  </si>
  <si>
    <t>MS/1641/2025</t>
  </si>
  <si>
    <t>HD/1217/2025</t>
  </si>
  <si>
    <t>KB/0372/2019</t>
  </si>
  <si>
    <t>MN/0322/2019</t>
  </si>
  <si>
    <t>192</t>
  </si>
  <si>
    <t>MS/1635/2025</t>
  </si>
  <si>
    <t>HD/1188/2025</t>
  </si>
  <si>
    <t>KB/0622/2025</t>
  </si>
  <si>
    <t>MN/0090/2019</t>
  </si>
  <si>
    <t>MS/1640/2025</t>
  </si>
  <si>
    <t>HD/1193/2025</t>
  </si>
  <si>
    <t>KB/0963/2019</t>
  </si>
  <si>
    <t>MN/0528/2025</t>
  </si>
  <si>
    <t>14</t>
  </si>
  <si>
    <t>MS/0087/2019</t>
  </si>
  <si>
    <t>HD/1194/2025</t>
  </si>
  <si>
    <t>KB/0613/2025</t>
  </si>
  <si>
    <t>PC/0769/2020</t>
  </si>
  <si>
    <t>HD/1192/2025</t>
  </si>
  <si>
    <t>KB/0694/2025</t>
  </si>
  <si>
    <t>MN/0635/2025</t>
  </si>
  <si>
    <t>PC/0656/2020</t>
  </si>
  <si>
    <t>MS/1623/2025</t>
  </si>
  <si>
    <t>HD/0902/2022</t>
  </si>
  <si>
    <t>KB/0731/2019</t>
  </si>
  <si>
    <t>MN/0656/2019</t>
  </si>
  <si>
    <t>PC/0497/2021</t>
  </si>
  <si>
    <t>MS/0121/2019</t>
  </si>
  <si>
    <t>KB/0334/2019</t>
  </si>
  <si>
    <t>MN/0529/2025</t>
  </si>
  <si>
    <t>PC/0246/2021</t>
  </si>
  <si>
    <t>MS/0952/2023</t>
  </si>
  <si>
    <t>HD/1505/2025</t>
  </si>
  <si>
    <t>KB/0695/2025</t>
  </si>
  <si>
    <t>MN/0246/2019</t>
  </si>
  <si>
    <t>PC/0715/2020</t>
  </si>
  <si>
    <t>MS/1628/2025</t>
  </si>
  <si>
    <t>KB/0625/2025</t>
  </si>
  <si>
    <t>266</t>
  </si>
  <si>
    <t>PC/0892/2020</t>
  </si>
  <si>
    <t>MS/1643/2025</t>
  </si>
  <si>
    <t>HD/1189/2025</t>
  </si>
  <si>
    <t>KB/0632/2019</t>
  </si>
  <si>
    <t>MN/0719/2019</t>
  </si>
  <si>
    <t>229</t>
  </si>
  <si>
    <t>MS/0987/2023</t>
  </si>
  <si>
    <t>KB/0696/2025</t>
  </si>
  <si>
    <t>PC/0820/2020</t>
  </si>
  <si>
    <t>MS/0961/2022</t>
  </si>
  <si>
    <t>HD/1191/2025</t>
  </si>
  <si>
    <t>KB/1035/2019</t>
  </si>
  <si>
    <t>PC/0674/2020</t>
  </si>
  <si>
    <t>MS/1706/2025</t>
  </si>
  <si>
    <t>HD/1190/2025</t>
  </si>
  <si>
    <t>KB/0674/2019</t>
  </si>
  <si>
    <t>MN/0674/2019</t>
  </si>
  <si>
    <t>MS/1700/2025</t>
  </si>
  <si>
    <t>HD/1326/2025</t>
  </si>
  <si>
    <t>KB/0697/2025</t>
  </si>
  <si>
    <t>MN/0392/2025</t>
  </si>
  <si>
    <t>PC/0642/2021</t>
  </si>
  <si>
    <t>HD/1309/2025</t>
  </si>
  <si>
    <t>KB/0698/2025</t>
  </si>
  <si>
    <t>MN/0391/2025</t>
  </si>
  <si>
    <t>PC/1106/2025</t>
  </si>
  <si>
    <t>MS/0953/2023</t>
  </si>
  <si>
    <t>HD/1093/2022</t>
  </si>
  <si>
    <t>KB/0937/2019</t>
  </si>
  <si>
    <t>MN/0736/2019</t>
  </si>
  <si>
    <t>MS/1701/2025</t>
  </si>
  <si>
    <t>HD/1324/2025</t>
  </si>
  <si>
    <t>KB/0699/2025</t>
  </si>
  <si>
    <t>41</t>
  </si>
  <si>
    <t>MS/0092/2019</t>
  </si>
  <si>
    <t>HD/1611/2025</t>
  </si>
  <si>
    <t>KB/0752/2019</t>
  </si>
  <si>
    <t>28</t>
  </si>
  <si>
    <t>PC/0708/2020</t>
  </si>
  <si>
    <t>MS/0708/2019</t>
  </si>
  <si>
    <t>HD/1315/2025</t>
  </si>
  <si>
    <t>KB/0691/2025</t>
  </si>
  <si>
    <t>MN/0382/2025</t>
  </si>
  <si>
    <t>PC/0447/2021</t>
  </si>
  <si>
    <t>MS/0971/2023</t>
  </si>
  <si>
    <t>HD/1064/2025</t>
  </si>
  <si>
    <t>KB/0131/2019</t>
  </si>
  <si>
    <t>MN/0131/2019</t>
  </si>
  <si>
    <t>PC/0645/2021</t>
  </si>
  <si>
    <t>MS/1707/2025</t>
  </si>
  <si>
    <t>HD/1328/2025</t>
  </si>
  <si>
    <t>KB/1037/2019</t>
  </si>
  <si>
    <t>MN/0396/2025</t>
  </si>
  <si>
    <t>491</t>
  </si>
  <si>
    <t>527</t>
  </si>
  <si>
    <t>HD/0656/2019</t>
  </si>
  <si>
    <t>KB/0134/2019</t>
  </si>
  <si>
    <t>MN/0397/2025</t>
  </si>
  <si>
    <t>MS/0371/2019</t>
  </si>
  <si>
    <t>HD/1074/2022</t>
  </si>
  <si>
    <t>KB/0623/2025</t>
  </si>
  <si>
    <t>MN/0390/2025</t>
  </si>
  <si>
    <t>487</t>
  </si>
  <si>
    <t>MS/1703/2025</t>
  </si>
  <si>
    <t>HD/0332/2025</t>
  </si>
  <si>
    <t>KB/0692/2025</t>
  </si>
  <si>
    <t>179</t>
  </si>
  <si>
    <t>PC/1215/2025</t>
  </si>
  <si>
    <t>MS/1639/2025</t>
  </si>
  <si>
    <t>HD/1144/2022</t>
  </si>
  <si>
    <t>KB/0685/2025</t>
  </si>
  <si>
    <t>MN/0395/2025</t>
  </si>
  <si>
    <t>PC/1219/2025</t>
  </si>
  <si>
    <t>MS/0858/2023</t>
  </si>
  <si>
    <t>HD/1337/2025</t>
  </si>
  <si>
    <t>KB/0686/2025</t>
  </si>
  <si>
    <t>MN/0398/2025</t>
  </si>
  <si>
    <t>PC/0744/2020</t>
  </si>
  <si>
    <t>MS/1375/2022</t>
  </si>
  <si>
    <t>HD/1616/2025</t>
  </si>
  <si>
    <t>KB/0687/2025</t>
  </si>
  <si>
    <t>MN/0262/2019</t>
  </si>
  <si>
    <t>PC/0073/2021</t>
  </si>
  <si>
    <t>MS/0853/2023</t>
  </si>
  <si>
    <t>HD/1617/2025</t>
  </si>
  <si>
    <t>KB/0688/2025</t>
  </si>
  <si>
    <t>MN/0402/2025</t>
  </si>
  <si>
    <t>193</t>
  </si>
  <si>
    <t>MS/0059/2019</t>
  </si>
  <si>
    <t>HD/1325/2025</t>
  </si>
  <si>
    <t>KB/0689/2025</t>
  </si>
  <si>
    <t>MN/0634/2019</t>
  </si>
  <si>
    <t>PC/1223/2025</t>
  </si>
  <si>
    <t>MS/1631/2025</t>
  </si>
  <si>
    <t>HD/1327/2025</t>
  </si>
  <si>
    <t>KB/0700/2025</t>
  </si>
  <si>
    <t>MN/0076/2020</t>
  </si>
  <si>
    <t>PC/0707/2025</t>
  </si>
  <si>
    <t>MS/1630/2025</t>
  </si>
  <si>
    <t>HD/1086/2022</t>
  </si>
  <si>
    <t>KB/0707/2019</t>
  </si>
  <si>
    <t>MN/0707/2019</t>
  </si>
  <si>
    <t>PC/0706/2020</t>
  </si>
  <si>
    <t>MS/0137/2019</t>
  </si>
  <si>
    <t>KB/0701/2025</t>
  </si>
  <si>
    <t>MN/0706/2019</t>
  </si>
  <si>
    <t>171</t>
  </si>
  <si>
    <t>MS/1619/2025</t>
  </si>
  <si>
    <t>HD/1311/2025</t>
  </si>
  <si>
    <t>KB/0094/2019</t>
  </si>
  <si>
    <t>MN/0094/2018</t>
  </si>
  <si>
    <t>288</t>
  </si>
  <si>
    <t>MS/0340/2019</t>
  </si>
  <si>
    <t>HD/1314/2025</t>
  </si>
  <si>
    <t>KB/0702/2025</t>
  </si>
  <si>
    <t>70</t>
  </si>
  <si>
    <t>MS/0551/2019</t>
  </si>
  <si>
    <t>HD/1313/2025</t>
  </si>
  <si>
    <t>KB/0246/2019</t>
  </si>
  <si>
    <t>MN/0203/2019</t>
  </si>
  <si>
    <t>PC/0420/2021</t>
  </si>
  <si>
    <t>MS/1637/2025</t>
  </si>
  <si>
    <t>HD/1081/2022</t>
  </si>
  <si>
    <t>KB/0031/2019</t>
  </si>
  <si>
    <t>MN/0031/2019</t>
  </si>
  <si>
    <t>PC/0627/2020</t>
  </si>
  <si>
    <t>MS/0400/2019</t>
  </si>
  <si>
    <t>HD/1312/2025</t>
  </si>
  <si>
    <t>KB/0902/2019</t>
  </si>
  <si>
    <t>MN/0405/2025</t>
  </si>
  <si>
    <t>PC/0274/2021</t>
  </si>
  <si>
    <t>MS/0927/2025</t>
  </si>
  <si>
    <t>HD/1323/2025</t>
  </si>
  <si>
    <t>KB/0703/2025</t>
  </si>
  <si>
    <t>MN/0089/2019</t>
  </si>
  <si>
    <t>PC/0424/2021</t>
  </si>
  <si>
    <t>MS/0053/2019</t>
  </si>
  <si>
    <t>HD/1318/2025</t>
  </si>
  <si>
    <t>KB/0300/2019</t>
  </si>
  <si>
    <t>MN/0300/2019</t>
  </si>
  <si>
    <t>PC/1224/2025</t>
  </si>
  <si>
    <t>MS/0906/2023</t>
  </si>
  <si>
    <t>HD/1308/2025</t>
  </si>
  <si>
    <t>KB/0704/2025</t>
  </si>
  <si>
    <t>MN/0393/2025</t>
  </si>
  <si>
    <t>PC/1216/2025</t>
  </si>
  <si>
    <t>MS/1634/2025</t>
  </si>
  <si>
    <t>HD/1317/2025</t>
  </si>
  <si>
    <t>KB/0705/2025</t>
  </si>
  <si>
    <t>MN/0400/2025</t>
  </si>
  <si>
    <t>PC/0589/2021</t>
  </si>
  <si>
    <t>MS/1633/2025</t>
  </si>
  <si>
    <t>HD/1316/2025</t>
  </si>
  <si>
    <t>KB/0349/2019</t>
  </si>
  <si>
    <t>MN/0385/2025</t>
  </si>
  <si>
    <t>PC/0584/2021</t>
  </si>
  <si>
    <t>MS/1632/2025</t>
  </si>
  <si>
    <t>HD/0905/2023</t>
  </si>
  <si>
    <t>KB/0060/2019</t>
  </si>
  <si>
    <t>MN/0386/2025</t>
  </si>
  <si>
    <t>PC/1218/2025</t>
  </si>
  <si>
    <t>MS/1642/2025</t>
  </si>
  <si>
    <t>HD/1310/2025</t>
  </si>
  <si>
    <t>KB/0410/2019</t>
  </si>
  <si>
    <t>MN/0381/2025</t>
  </si>
  <si>
    <t>PC/0938/2020</t>
  </si>
  <si>
    <t>MS/1627/2025</t>
  </si>
  <si>
    <t>HD/1351/2025</t>
  </si>
  <si>
    <t>KB/0649/2025</t>
  </si>
  <si>
    <t>MN/0389/2025</t>
  </si>
  <si>
    <t>PC/0993/2020</t>
  </si>
  <si>
    <t>MS/1626/2025</t>
  </si>
  <si>
    <t>HD/1333/2025</t>
  </si>
  <si>
    <t>KB/0648/2025</t>
  </si>
  <si>
    <t>MN/0387/2025</t>
  </si>
  <si>
    <t>PC/0347/2019</t>
  </si>
  <si>
    <t>MS/0104/2019</t>
  </si>
  <si>
    <t>HD/1334/2025</t>
  </si>
  <si>
    <t>KB/0662/2025</t>
  </si>
  <si>
    <t>MN/0224/2019</t>
  </si>
  <si>
    <t>PC/0374/2019</t>
  </si>
  <si>
    <t>MS/1629/2025</t>
  </si>
  <si>
    <t>HD/1330/2025</t>
  </si>
  <si>
    <t>KB/0661/2025</t>
  </si>
  <si>
    <t>MN/0388/2025</t>
  </si>
  <si>
    <t>PC/1104/2025</t>
  </si>
  <si>
    <t>MS/0969/2025</t>
  </si>
  <si>
    <t>HD/1335/2025</t>
  </si>
  <si>
    <t>KB/0753/2019</t>
  </si>
  <si>
    <t>MN/0384/2025</t>
  </si>
  <si>
    <t>PC/0350/2021</t>
  </si>
  <si>
    <t>MS/0173/2019</t>
  </si>
  <si>
    <t>HD/1336/2025</t>
  </si>
  <si>
    <t>11</t>
  </si>
  <si>
    <t>MN/0190/2019</t>
  </si>
  <si>
    <t>PC/0102/2021</t>
  </si>
  <si>
    <t>MS/1622/2025</t>
  </si>
  <si>
    <t>KB/0650/2025</t>
  </si>
  <si>
    <t>MN/0059/2019</t>
  </si>
  <si>
    <t>PC/0188/2021</t>
  </si>
  <si>
    <t>MS/1621/2025</t>
  </si>
  <si>
    <t>HD/1322/2025</t>
  </si>
  <si>
    <t>KB/0645/2025</t>
  </si>
  <si>
    <t>MN/0060/2019</t>
  </si>
  <si>
    <t>PC/0278/2021</t>
  </si>
  <si>
    <t>MS/0391/2025</t>
  </si>
  <si>
    <t>HD/1320/2025</t>
  </si>
  <si>
    <t>KB/0142/2019</t>
  </si>
  <si>
    <t>MN/0394/2025</t>
  </si>
  <si>
    <t>114</t>
  </si>
  <si>
    <t>MS/1636/2025</t>
  </si>
  <si>
    <t>HD/1331/2025</t>
  </si>
  <si>
    <t>KB/0401/2019</t>
  </si>
  <si>
    <t>PC/0302/2021</t>
  </si>
  <si>
    <t>MS/1638/2025</t>
  </si>
  <si>
    <t>HD/1319/2025</t>
  </si>
  <si>
    <t>KB/0651/2025</t>
  </si>
  <si>
    <t>MN/0136/2019</t>
  </si>
  <si>
    <t>PC/1226/2025</t>
  </si>
  <si>
    <t>HD/1321/2025</t>
  </si>
  <si>
    <t>KB/0113/2019</t>
  </si>
  <si>
    <t>MN/0271/2019</t>
  </si>
  <si>
    <t>PC/1229/2025</t>
  </si>
  <si>
    <t>MS/1835/2025</t>
  </si>
  <si>
    <t>KB/0638/2025</t>
  </si>
  <si>
    <t>MN/0419/2025</t>
  </si>
  <si>
    <t>PC/1231/2025</t>
  </si>
  <si>
    <t>MS/0403/2019</t>
  </si>
  <si>
    <t>HD/1349/2025</t>
  </si>
  <si>
    <t>KB/0639/2025</t>
  </si>
  <si>
    <t>MN/0420/2025</t>
  </si>
  <si>
    <t>472</t>
  </si>
  <si>
    <t>MS/1838/2025</t>
  </si>
  <si>
    <t>HD/1354/2025</t>
  </si>
  <si>
    <t>KB/0640/2025</t>
  </si>
  <si>
    <t>MN/0421/2025</t>
  </si>
  <si>
    <t>B.11/212/33/2018</t>
  </si>
  <si>
    <t>MS/0274/2019</t>
  </si>
  <si>
    <t>HD/1367/2025</t>
  </si>
  <si>
    <t>KB/0641/2025</t>
  </si>
  <si>
    <t>MN/0245/2019</t>
  </si>
  <si>
    <t>PC/0245/2021</t>
  </si>
  <si>
    <t>MS/0135/2019</t>
  </si>
  <si>
    <t>HD/1340/2025</t>
  </si>
  <si>
    <t>KB/0642/2025</t>
  </si>
  <si>
    <t>MN/0009/2019</t>
  </si>
  <si>
    <t>PC/0272/2021</t>
  </si>
  <si>
    <t>MS/1834/2025</t>
  </si>
  <si>
    <t>HD/1362/2025</t>
  </si>
  <si>
    <t>KB/0149/2019</t>
  </si>
  <si>
    <t>MN/0149/2019</t>
  </si>
  <si>
    <t>PC/1228/2025</t>
  </si>
  <si>
    <t>274</t>
  </si>
  <si>
    <t>HD/1355/2025</t>
  </si>
  <si>
    <t>KB/0646/2025</t>
  </si>
  <si>
    <t>MN/0422/2025</t>
  </si>
  <si>
    <t>PC/0918/2020</t>
  </si>
  <si>
    <t>HD/1365/2025</t>
  </si>
  <si>
    <t>KB/0906/2019</t>
  </si>
  <si>
    <t>MN/0423/2025</t>
  </si>
  <si>
    <t>PC/1220/2025</t>
  </si>
  <si>
    <t>MS/0247/2019</t>
  </si>
  <si>
    <t>HD/1342/2025</t>
  </si>
  <si>
    <t>KB/0660/2025</t>
  </si>
  <si>
    <t>MN/0403/2025</t>
  </si>
  <si>
    <t>PC/0281/2021</t>
  </si>
  <si>
    <t>MS/0118/2019</t>
  </si>
  <si>
    <t>KB/0658/2025</t>
  </si>
  <si>
    <t>MN/0404/2025</t>
  </si>
  <si>
    <t>PC/1233/2025</t>
  </si>
  <si>
    <t>MS/1624/2025</t>
  </si>
  <si>
    <t>HD/13382025</t>
  </si>
  <si>
    <t>KB/0657/2025</t>
  </si>
  <si>
    <t>MN/0383/2025</t>
  </si>
  <si>
    <t>PC/1234/2025</t>
  </si>
  <si>
    <t>MS/1625/2025</t>
  </si>
  <si>
    <t>HD/1348/2025</t>
  </si>
  <si>
    <t>KB/0417/2019</t>
  </si>
  <si>
    <t>MN/0401/2025</t>
  </si>
  <si>
    <t>PC/1214/2025</t>
  </si>
  <si>
    <t>MS/0678/2019</t>
  </si>
  <si>
    <t>KB/0653/2025</t>
  </si>
  <si>
    <t>MN/0424/2025</t>
  </si>
  <si>
    <t>PC/1217/2025</t>
  </si>
  <si>
    <t>MS/0878/2023</t>
  </si>
  <si>
    <t>HD/1366/2025</t>
  </si>
  <si>
    <t>KB/0654/2025</t>
  </si>
  <si>
    <t>MN/0425/2025</t>
  </si>
  <si>
    <t>PC/1137/2025</t>
  </si>
  <si>
    <t>MS/1775/2025</t>
  </si>
  <si>
    <t>HD/1353/2025</t>
  </si>
  <si>
    <t>KB/0644/2025</t>
  </si>
  <si>
    <t>MN/0426/2025</t>
  </si>
  <si>
    <t>MS/0641/2019</t>
  </si>
  <si>
    <t>HD/1346/2025</t>
  </si>
  <si>
    <t>KB/0637/2025</t>
  </si>
  <si>
    <t>MN/0427/2025</t>
  </si>
  <si>
    <t>PC/0684/2019</t>
  </si>
  <si>
    <t>MS/0084/2019</t>
  </si>
  <si>
    <t>HD/1361/2025</t>
  </si>
  <si>
    <t>KB/0922/2019</t>
  </si>
  <si>
    <t>MN/0684/2019</t>
  </si>
  <si>
    <t>PC/0931/2020</t>
  </si>
  <si>
    <t>MS/0039/2019</t>
  </si>
  <si>
    <t>HD/1364/2025</t>
  </si>
  <si>
    <t>KB/0636/2025</t>
  </si>
  <si>
    <t>618</t>
  </si>
  <si>
    <t>PC/0453/2021</t>
  </si>
  <si>
    <t>MS/1776/2025</t>
  </si>
  <si>
    <t>HD/1402/2025</t>
  </si>
  <si>
    <t>KB/0264/2019</t>
  </si>
  <si>
    <t>MN/0064/2020</t>
  </si>
  <si>
    <t>PC/0405/2021</t>
  </si>
  <si>
    <t>MS/1774/2025</t>
  </si>
  <si>
    <t>HD/1363/2025</t>
  </si>
  <si>
    <t>KB/0693/2019</t>
  </si>
  <si>
    <t>MN/0428/2025</t>
  </si>
  <si>
    <t>PC/0247/2021</t>
  </si>
  <si>
    <t>MS/0549/2019</t>
  </si>
  <si>
    <t>HD/1344/2025</t>
  </si>
  <si>
    <t>KB/0633/2025</t>
  </si>
  <si>
    <t>MN/0247/2019</t>
  </si>
  <si>
    <t>481</t>
  </si>
  <si>
    <t>MS/1773/2025</t>
  </si>
  <si>
    <t>HD/1350/2025</t>
  </si>
  <si>
    <t>KB/0632/2025</t>
  </si>
  <si>
    <t>MN/0429/2025</t>
  </si>
  <si>
    <t>PC/0310/2021</t>
  </si>
  <si>
    <t>MS/1772/2025</t>
  </si>
  <si>
    <t>HD/1341/2025</t>
  </si>
  <si>
    <t>KB/0652/2025</t>
  </si>
  <si>
    <t>MN/0430/2025</t>
  </si>
  <si>
    <t>PC/0696/2020</t>
  </si>
  <si>
    <t>MS/1771/2025</t>
  </si>
  <si>
    <t>HD/1347/2025</t>
  </si>
  <si>
    <t>KB/0686/2019</t>
  </si>
  <si>
    <t>MN/0289/2025</t>
  </si>
  <si>
    <t>PC/1225/2025</t>
  </si>
  <si>
    <t>MS/1770/2025</t>
  </si>
  <si>
    <t>KB/0567/2025</t>
  </si>
  <si>
    <t>MN/0431/2025</t>
  </si>
  <si>
    <t>PC/1222/2025</t>
  </si>
  <si>
    <t>MS/1161/2023</t>
  </si>
  <si>
    <t>HD/1401/2025</t>
  </si>
  <si>
    <t>KB/0573/2025</t>
  </si>
  <si>
    <t>MN/0532/2025</t>
  </si>
  <si>
    <t>54</t>
  </si>
  <si>
    <t>MS/0344/2019</t>
  </si>
  <si>
    <t>HD/1345/2025</t>
  </si>
  <si>
    <t>KB/0931/2019</t>
  </si>
  <si>
    <t>PC/0222/2021</t>
  </si>
  <si>
    <t>MS/1091/2023</t>
  </si>
  <si>
    <t>HD/1356/2025</t>
  </si>
  <si>
    <t>KB/0575/2025</t>
  </si>
  <si>
    <t>353</t>
  </si>
  <si>
    <t>PC/0613/2020</t>
  </si>
  <si>
    <t>MS/0815/2025</t>
  </si>
  <si>
    <t>HD/1357/2025</t>
  </si>
  <si>
    <t>KB/0337/2019</t>
  </si>
  <si>
    <t>MN/0533/2025</t>
  </si>
  <si>
    <t>PC/0905/2020</t>
  </si>
  <si>
    <t>MS/0425/2019</t>
  </si>
  <si>
    <t>HD/1358/2025</t>
  </si>
  <si>
    <t>KB/0570/2025</t>
  </si>
  <si>
    <t>MN/0076/2019</t>
  </si>
  <si>
    <t>PC/0554/2019</t>
  </si>
  <si>
    <t>MS/0816/2025</t>
  </si>
  <si>
    <t>HD/0948/2023</t>
  </si>
  <si>
    <t>KB/0568/2025</t>
  </si>
  <si>
    <t>MN/0085/2019</t>
  </si>
  <si>
    <t>PC/1110/2020</t>
  </si>
  <si>
    <t>MS/0817/2025</t>
  </si>
  <si>
    <t>HD/1359/2025</t>
  </si>
  <si>
    <t>KB/0571/2025</t>
  </si>
  <si>
    <t>MN/0534/2025</t>
  </si>
  <si>
    <t>PC/1029/2020</t>
  </si>
  <si>
    <t>MS/0733/2023</t>
  </si>
  <si>
    <t>HD/1360/2025</t>
  </si>
  <si>
    <t>KB/0861/2019</t>
  </si>
  <si>
    <t>628</t>
  </si>
  <si>
    <t>PC/1006/2020</t>
  </si>
  <si>
    <t>MS/0052/2019</t>
  </si>
  <si>
    <t>KB/1036/2019</t>
  </si>
  <si>
    <t>MN/0535/2025</t>
  </si>
  <si>
    <t>PC/1306/2025</t>
  </si>
  <si>
    <t>MS/1620/2025</t>
  </si>
  <si>
    <t>HD/1352/2025</t>
  </si>
  <si>
    <t>KB/0572/2025</t>
  </si>
  <si>
    <t>MN/0536/2025</t>
  </si>
  <si>
    <t>PC/0999/2020</t>
  </si>
  <si>
    <t>MS/1072/2023</t>
  </si>
  <si>
    <t>HD/1343/2025</t>
  </si>
  <si>
    <t>KB/0643/2025</t>
  </si>
  <si>
    <t>952</t>
  </si>
  <si>
    <t>PC/1241/2025</t>
  </si>
  <si>
    <t>MS/1778/2025</t>
  </si>
  <si>
    <t>HD/1398/2025</t>
  </si>
  <si>
    <t>KB/0569/2025</t>
  </si>
  <si>
    <t>MN/0537/2025</t>
  </si>
  <si>
    <t>PC/1120/2025</t>
  </si>
  <si>
    <t>MS/1779/2025</t>
  </si>
  <si>
    <t>KB/0576/2025</t>
  </si>
  <si>
    <t>MN/0525/2025</t>
  </si>
  <si>
    <t>PC/1239/2025</t>
  </si>
  <si>
    <t>MS/1790/2025</t>
  </si>
  <si>
    <t>HD/1608/2022</t>
  </si>
  <si>
    <t>KB/0630/2025</t>
  </si>
  <si>
    <t>MN/0526/2025</t>
  </si>
  <si>
    <t>PC/1130/2020</t>
  </si>
  <si>
    <t>MS/1777/2025</t>
  </si>
  <si>
    <t>HD/1088/2024</t>
  </si>
  <si>
    <t>KB/0408/2019</t>
  </si>
  <si>
    <t>MN/0693/2019</t>
  </si>
  <si>
    <t>MS/1818/2025</t>
  </si>
  <si>
    <t>HD/1609/2025</t>
  </si>
  <si>
    <t>KB/0629/2025</t>
  </si>
  <si>
    <t>MS/0133/2019</t>
  </si>
  <si>
    <t>HD/1612/2025</t>
  </si>
  <si>
    <t>KB/0665/2019</t>
  </si>
  <si>
    <t>MS/1780/2025</t>
  </si>
  <si>
    <t>HD/1400/2022</t>
  </si>
  <si>
    <t>KB/0563/2025</t>
  </si>
  <si>
    <t>MN/0122/2019</t>
  </si>
  <si>
    <t>PC/0439/2019</t>
  </si>
  <si>
    <t>HD/1060/2022</t>
  </si>
  <si>
    <t>KB/0086/2019</t>
  </si>
  <si>
    <t>MN/0520/2025</t>
  </si>
  <si>
    <t>PC/0508/2021</t>
  </si>
  <si>
    <t>MS/0119/2019</t>
  </si>
  <si>
    <t>HD/1613/2025</t>
  </si>
  <si>
    <t>KB/0952/2019</t>
  </si>
  <si>
    <t>MN/0627/2019</t>
  </si>
  <si>
    <t>PC/0700/2020</t>
  </si>
  <si>
    <t>MS/0763/2019</t>
  </si>
  <si>
    <t>HD/1614/2025</t>
  </si>
  <si>
    <t>KB/0683/2025</t>
  </si>
  <si>
    <t>MN/0700/2019</t>
  </si>
  <si>
    <t>PC/1132/2025</t>
  </si>
  <si>
    <t>MS/1791/2025</t>
  </si>
  <si>
    <t>HD/1615/2025</t>
  </si>
  <si>
    <t>KB/0684/2025</t>
  </si>
  <si>
    <t>MN/0531/2025</t>
  </si>
  <si>
    <t>PC/0307/2025</t>
  </si>
  <si>
    <t>MS/0004/2019</t>
  </si>
  <si>
    <t>KB/0566/2025</t>
  </si>
  <si>
    <t>MN/2030/2019</t>
  </si>
  <si>
    <t>PC/1262/2025</t>
  </si>
  <si>
    <t>MS/1792/2025</t>
  </si>
  <si>
    <t>HD/1453/2025</t>
  </si>
  <si>
    <t>KB/0627/2025</t>
  </si>
  <si>
    <t>658</t>
  </si>
  <si>
    <t>PC/0433/2021</t>
  </si>
  <si>
    <t>MS/1789/2025</t>
  </si>
  <si>
    <t>HD/1397/2025</t>
  </si>
  <si>
    <t>KB/0553/2025</t>
  </si>
  <si>
    <t>MN/0470/2025</t>
  </si>
  <si>
    <t>137</t>
  </si>
  <si>
    <t>MS/1092/2019</t>
  </si>
  <si>
    <t>HD/1543/2025</t>
  </si>
  <si>
    <t>KB/0584/2025</t>
  </si>
  <si>
    <t>B3/203/102/2019</t>
  </si>
  <si>
    <t>PC/0527/2021</t>
  </si>
  <si>
    <t>MS/1788/2025</t>
  </si>
  <si>
    <t>52</t>
  </si>
  <si>
    <t>847</t>
  </si>
  <si>
    <t>PC/0924/2020</t>
  </si>
  <si>
    <t>MS/1072/3019</t>
  </si>
  <si>
    <t>HD/1509/2025</t>
  </si>
  <si>
    <t>KB/0587/2025</t>
  </si>
  <si>
    <t>776</t>
  </si>
  <si>
    <t>295</t>
  </si>
  <si>
    <t>MS/1097/2023</t>
  </si>
  <si>
    <t>HD/1542/2025</t>
  </si>
  <si>
    <t>KB/0581/2025</t>
  </si>
  <si>
    <t>PC/0275/2021</t>
  </si>
  <si>
    <t>MS/1787/2025</t>
  </si>
  <si>
    <t>HD/1541/2025</t>
  </si>
  <si>
    <t>KB/0615/3024</t>
  </si>
  <si>
    <t>MN/0471/2025</t>
  </si>
  <si>
    <t>MS/1428/2022</t>
  </si>
  <si>
    <t>KB/0618/2025</t>
  </si>
  <si>
    <t>PC/1263/2025</t>
  </si>
  <si>
    <t>MS/1781/2025</t>
  </si>
  <si>
    <t>HD/1529/2025</t>
  </si>
  <si>
    <t>KB/0083/2019</t>
  </si>
  <si>
    <t>MN/0442/2025</t>
  </si>
  <si>
    <t>PC/1242/2025</t>
  </si>
  <si>
    <t>MS/1785/2025</t>
  </si>
  <si>
    <t>HD/0913/2023</t>
  </si>
  <si>
    <t>KB/0614/2025</t>
  </si>
  <si>
    <t>MN/0464/2025</t>
  </si>
  <si>
    <t>PC/0982/2020</t>
  </si>
  <si>
    <t>MS/1134/2023</t>
  </si>
  <si>
    <t>HD/1127/2022</t>
  </si>
  <si>
    <t>KB/0620/2025</t>
  </si>
  <si>
    <t>MN/0465/2025</t>
  </si>
  <si>
    <t>PC/0034/2021</t>
  </si>
  <si>
    <t>MS/1782/2025</t>
  </si>
  <si>
    <t>HD/1534/2025</t>
  </si>
  <si>
    <t>KB/0797/2019</t>
  </si>
  <si>
    <t>MN/0466/2025</t>
  </si>
  <si>
    <t>PC/1247/2025</t>
  </si>
  <si>
    <t>MS/1783/2025</t>
  </si>
  <si>
    <t>HD/1537/2025</t>
  </si>
  <si>
    <t>KB/0582/2025</t>
  </si>
  <si>
    <t>MN/0437/2025</t>
  </si>
  <si>
    <t>MS/1784/2025</t>
  </si>
  <si>
    <t>HD/1547/2025</t>
  </si>
  <si>
    <t>KB/0585/2025</t>
  </si>
  <si>
    <t>MS/1786/2025</t>
  </si>
  <si>
    <t>HD/1526/2025</t>
  </si>
  <si>
    <t>KB/0588/2025</t>
  </si>
  <si>
    <t>MN/0438/2025</t>
  </si>
  <si>
    <t>PC/1246/2025</t>
  </si>
  <si>
    <t>HD/1524/2025</t>
  </si>
  <si>
    <t>KB/0579/2025</t>
  </si>
  <si>
    <t>MN/0407/2025</t>
  </si>
  <si>
    <t>HD/1532/2025</t>
  </si>
  <si>
    <t>KB/0580/2025</t>
  </si>
  <si>
    <t>MN/0412/2025</t>
  </si>
  <si>
    <t>PC/1245/2025</t>
  </si>
  <si>
    <t>KB/0626/2025</t>
  </si>
  <si>
    <t>MN/0467/2025</t>
  </si>
  <si>
    <t>PC/1244/2025</t>
  </si>
  <si>
    <t>MS/1861/2025</t>
  </si>
  <si>
    <t>KB/0628/2025</t>
  </si>
  <si>
    <t>MN/0414/2025</t>
  </si>
  <si>
    <t>MS/0926/2023</t>
  </si>
  <si>
    <t>HD/1556/2025</t>
  </si>
  <si>
    <t>KB/0583/2025</t>
  </si>
  <si>
    <t>MN/0095/2019</t>
  </si>
  <si>
    <t>PC/0170/2021</t>
  </si>
  <si>
    <t>MS/1867/2025</t>
  </si>
  <si>
    <t>HD/1536/2025</t>
  </si>
  <si>
    <t>KB/0624/2019</t>
  </si>
  <si>
    <t>MN/0413/2025</t>
  </si>
  <si>
    <t>MS/1862/2025</t>
  </si>
  <si>
    <t>HD/1555/2025</t>
  </si>
  <si>
    <t>KB/0586/2025</t>
  </si>
  <si>
    <t>PC/1243/2025</t>
  </si>
  <si>
    <t>MS/1868/2025</t>
  </si>
  <si>
    <t>HD/1457/2025</t>
  </si>
  <si>
    <t>KB/0660/2019</t>
  </si>
  <si>
    <t>MN/0411/2025</t>
  </si>
  <si>
    <t>PC/0452/2021</t>
  </si>
  <si>
    <t>MS/1870/2025</t>
  </si>
  <si>
    <t>HD/1546/2025</t>
  </si>
  <si>
    <t>KB/0229/2019</t>
  </si>
  <si>
    <t>MN/0696/2019</t>
  </si>
  <si>
    <t>488</t>
  </si>
  <si>
    <t>MS/1841/2025</t>
  </si>
  <si>
    <t>HD/1528/2025</t>
  </si>
  <si>
    <t>388</t>
  </si>
  <si>
    <t>MN/0443/2025</t>
  </si>
  <si>
    <t>PC/0513/2021</t>
  </si>
  <si>
    <t>MS/1871/2025</t>
  </si>
  <si>
    <t>KB/0885/2019</t>
  </si>
  <si>
    <t>MN/0513/2021</t>
  </si>
  <si>
    <t>PC/0221/2021</t>
  </si>
  <si>
    <t>MS/0778/2023</t>
  </si>
  <si>
    <t>HD/1540/2025</t>
  </si>
  <si>
    <t>KB/0555/2025</t>
  </si>
  <si>
    <t>MN/0406/2025</t>
  </si>
  <si>
    <t>PC/0908/2020</t>
  </si>
  <si>
    <t>MS/1145/2023</t>
  </si>
  <si>
    <t>HD/1538/2025</t>
  </si>
  <si>
    <t>KB/0456/2025</t>
  </si>
  <si>
    <t>MN/0436/2025</t>
  </si>
  <si>
    <t>PC/1260/2025</t>
  </si>
  <si>
    <t>MS/1844/2025</t>
  </si>
  <si>
    <t>HD/0926/2023</t>
  </si>
  <si>
    <t>KB/0560/2025</t>
  </si>
  <si>
    <t>MN/0117/2020</t>
  </si>
  <si>
    <t>PC/1329/2025</t>
  </si>
  <si>
    <t>HD/1399/2025</t>
  </si>
  <si>
    <t>KB/0554/2025</t>
  </si>
  <si>
    <t>MN/0440/2025</t>
  </si>
  <si>
    <t>PC/0607/2020</t>
  </si>
  <si>
    <t>MS/0554/2019</t>
  </si>
  <si>
    <t>HD/1522/2025</t>
  </si>
  <si>
    <t>KB/0722/2019</t>
  </si>
  <si>
    <t>MN/0722/2019</t>
  </si>
  <si>
    <t>PC/0417/2021</t>
  </si>
  <si>
    <t>MS/1096/2023</t>
  </si>
  <si>
    <t>HD/1531/2025</t>
  </si>
  <si>
    <t>KB/0559/2025</t>
  </si>
  <si>
    <t>MN/0435/2025</t>
  </si>
  <si>
    <t>PC/0243/2021</t>
  </si>
  <si>
    <t>MS/1845/2025</t>
  </si>
  <si>
    <t>HD/1104/2022</t>
  </si>
  <si>
    <t>KB/0557/2025</t>
  </si>
  <si>
    <t>MN/0468/2025</t>
  </si>
  <si>
    <t>PC/1249/2025</t>
  </si>
  <si>
    <t>MS/0548/2019</t>
  </si>
  <si>
    <t>HD/1533/2025</t>
  </si>
  <si>
    <t>KB/0556/2025</t>
  </si>
  <si>
    <t>MN/0441/2025</t>
  </si>
  <si>
    <t>PC/1248/2025</t>
  </si>
  <si>
    <t>MS/1846/2025</t>
  </si>
  <si>
    <t>KB/0578/2025</t>
  </si>
  <si>
    <t>MN/0258/2019</t>
  </si>
  <si>
    <t>PC/1261/2025</t>
  </si>
  <si>
    <t>MS/1869/2025</t>
  </si>
  <si>
    <t>HD/1545/2025</t>
  </si>
  <si>
    <t>KB/0577/2025</t>
  </si>
  <si>
    <t>MN/0409/2025</t>
  </si>
  <si>
    <t>PC/0808/2020</t>
  </si>
  <si>
    <t>MS/1840/2025</t>
  </si>
  <si>
    <t>HD/1517/2025</t>
  </si>
  <si>
    <t>KB/0562/2025</t>
  </si>
  <si>
    <t>MN/0439/2025</t>
  </si>
  <si>
    <t>PC/0557/2021</t>
  </si>
  <si>
    <t>MS/1837/2025</t>
  </si>
  <si>
    <t>HD/1521/2025</t>
  </si>
  <si>
    <t>KB/0437/2019</t>
  </si>
  <si>
    <t>MN/0433/2025</t>
  </si>
  <si>
    <t>PC/0273/2021</t>
  </si>
  <si>
    <t>MS/1137/2023</t>
  </si>
  <si>
    <t>HD/1530/2025</t>
  </si>
  <si>
    <t>KB/0455/2019</t>
  </si>
  <si>
    <t>MN/0275/2019</t>
  </si>
  <si>
    <t>PC/0913/2020</t>
  </si>
  <si>
    <t>MS/0639/2019</t>
  </si>
  <si>
    <t>HD/1936/2025</t>
  </si>
  <si>
    <t>KB/0617/2025</t>
  </si>
  <si>
    <t>MN/0434/2025</t>
  </si>
  <si>
    <t>PC/0952/2020</t>
  </si>
  <si>
    <t>MS/1075/2023</t>
  </si>
  <si>
    <t>HD/1539/2025</t>
  </si>
  <si>
    <t>KB/0565/2025</t>
  </si>
  <si>
    <t>MN/0415/2025</t>
  </si>
  <si>
    <t>PC/0752/2020</t>
  </si>
  <si>
    <t>MS/1872/2025</t>
  </si>
  <si>
    <t>HD/1525/2025</t>
  </si>
  <si>
    <t>B.8/280/79/2019</t>
  </si>
  <si>
    <t>MN/0287/2019</t>
  </si>
  <si>
    <t>PC/1252/2025</t>
  </si>
  <si>
    <t>MS/0120/2019</t>
  </si>
  <si>
    <t>HD/1523/2025</t>
  </si>
  <si>
    <t>B.3/230/135/2019</t>
  </si>
  <si>
    <t>PC/0191/2021</t>
  </si>
  <si>
    <t>MS/0984/2023</t>
  </si>
  <si>
    <t>HD/1515/2025</t>
  </si>
  <si>
    <t>KB/0135/2019</t>
  </si>
  <si>
    <t>80</t>
  </si>
  <si>
    <t>PC/1251/2025</t>
  </si>
  <si>
    <t>MS/0662/2019</t>
  </si>
  <si>
    <t>HD/1527/2025</t>
  </si>
  <si>
    <t>KB/0564/2025</t>
  </si>
  <si>
    <t>MN/0469/2025</t>
  </si>
  <si>
    <t>221</t>
  </si>
  <si>
    <t>MS/1843/2025</t>
  </si>
  <si>
    <t>HD/1557/2025</t>
  </si>
  <si>
    <t>KB/0434/2019</t>
  </si>
  <si>
    <t>PC/0876/2020</t>
  </si>
  <si>
    <t>MS/0063/2019</t>
  </si>
  <si>
    <t>HD/0619/2025</t>
  </si>
  <si>
    <t>KB/0558/2025</t>
  </si>
  <si>
    <t>MN/0418/2025</t>
  </si>
  <si>
    <t>PC/0916/2020</t>
  </si>
  <si>
    <t>MS/1842/2025</t>
  </si>
  <si>
    <t>KB/0561/2025</t>
  </si>
  <si>
    <t>MN/0417/2025</t>
  </si>
  <si>
    <t>PC/0771/2020</t>
  </si>
  <si>
    <t>MS/1898/2025</t>
  </si>
  <si>
    <t>KB/0837/2025</t>
  </si>
  <si>
    <t>117</t>
  </si>
  <si>
    <t>B.3/230/47/2019</t>
  </si>
  <si>
    <t>MS/0040/2019</t>
  </si>
  <si>
    <t>HD/1518/2025</t>
  </si>
  <si>
    <t>KB/0868/2025</t>
  </si>
  <si>
    <t>PC/0289/2021</t>
  </si>
  <si>
    <t>MS/1839/2025</t>
  </si>
  <si>
    <t>HD/1143/2022</t>
  </si>
  <si>
    <t>KB/0836/2025</t>
  </si>
  <si>
    <t>MN/0432/2025</t>
  </si>
  <si>
    <t>PC/0773/2020</t>
  </si>
  <si>
    <t>MS/0811/2019</t>
  </si>
  <si>
    <t>HD/1508/2025</t>
  </si>
  <si>
    <t>KB/0245/2019</t>
  </si>
  <si>
    <t>410</t>
  </si>
  <si>
    <t>PC/0542/2021</t>
  </si>
  <si>
    <t>MS/0327/2019</t>
  </si>
  <si>
    <t>HD/1122/2022</t>
  </si>
  <si>
    <t>KB/0093/2019</t>
  </si>
  <si>
    <t>MN/0093/2019</t>
  </si>
  <si>
    <t>PC/0492/2021</t>
  </si>
  <si>
    <t>MS/1154/2023</t>
  </si>
  <si>
    <t>HD/1512/2025</t>
  </si>
  <si>
    <t>KB/0834/2025</t>
  </si>
  <si>
    <t>MN/0711/2019</t>
  </si>
  <si>
    <t>PC/1254/2025</t>
  </si>
  <si>
    <t>MS/0248/2019</t>
  </si>
  <si>
    <t>HD/1513/2025</t>
  </si>
  <si>
    <t>KB/0835/2025</t>
  </si>
  <si>
    <t>MN/0148/2019</t>
  </si>
  <si>
    <t>B.3/230/15/2019</t>
  </si>
  <si>
    <t>MS/1113/2023</t>
  </si>
  <si>
    <t>HD/1510/2025</t>
  </si>
  <si>
    <t>KB/0833/2025</t>
  </si>
  <si>
    <t>PC/1253/2025</t>
  </si>
  <si>
    <t>MS/1120/2023</t>
  </si>
  <si>
    <t>HD/1514/2025</t>
  </si>
  <si>
    <t>KB/0720/2019</t>
  </si>
  <si>
    <t>MN/0053/2019</t>
  </si>
  <si>
    <t>PC/0538/2021</t>
  </si>
  <si>
    <t>MS/1897/2025</t>
  </si>
  <si>
    <t>HD/1511/2025</t>
  </si>
  <si>
    <t>KB/0831/2025</t>
  </si>
  <si>
    <t>MN/0005/2019</t>
  </si>
  <si>
    <t>B.3/230/41/2019</t>
  </si>
  <si>
    <t>MS/1836/2025</t>
  </si>
  <si>
    <t>HD/1520/2025</t>
  </si>
  <si>
    <t>KB/0832/2025</t>
  </si>
  <si>
    <t>PC/0244/2021</t>
  </si>
  <si>
    <t>MS/0363/2019</t>
  </si>
  <si>
    <t>HD/1128/2025</t>
  </si>
  <si>
    <t>MN/0124/2019</t>
  </si>
  <si>
    <t>PC/0650/2020</t>
  </si>
  <si>
    <t>MS/1569/2025</t>
  </si>
  <si>
    <t>HD/1129/2025</t>
  </si>
  <si>
    <t>KB/0374/2025</t>
  </si>
  <si>
    <t>MN/0231/2025</t>
  </si>
  <si>
    <t>PC/0203/2021</t>
  </si>
  <si>
    <t>MS/0707/2023</t>
  </si>
  <si>
    <t>HD/0925/2023</t>
  </si>
  <si>
    <t>KB/0375/2025</t>
  </si>
  <si>
    <t>33</t>
  </si>
  <si>
    <t>PC/0033/2021</t>
  </si>
  <si>
    <t>MS/0524/2019</t>
  </si>
  <si>
    <t>HD/1130/2025</t>
  </si>
  <si>
    <t>KB/0363/2019</t>
  </si>
  <si>
    <t>MN/0232/2025</t>
  </si>
  <si>
    <t>PC/0723/2020</t>
  </si>
  <si>
    <t>MS/1570/2025</t>
  </si>
  <si>
    <t>KB/0365/2019</t>
  </si>
  <si>
    <t>B3/230/115/2019</t>
  </si>
  <si>
    <t>285</t>
  </si>
  <si>
    <t>MS/0415/2019</t>
  </si>
  <si>
    <t>HD/1131/2025</t>
  </si>
  <si>
    <t>KB/0376/2025</t>
  </si>
  <si>
    <t>580</t>
  </si>
  <si>
    <t>PC/1164/2025</t>
  </si>
  <si>
    <t>MS/1571/2025</t>
  </si>
  <si>
    <t>HD/1132/2025</t>
  </si>
  <si>
    <t>KB/0178/2019</t>
  </si>
  <si>
    <t>MN/0233/2025</t>
  </si>
  <si>
    <t>PC/0573/2019</t>
  </si>
  <si>
    <t>MS/0187/2019</t>
  </si>
  <si>
    <t>HD/1133/2025</t>
  </si>
  <si>
    <t>KB/0377/2025</t>
  </si>
  <si>
    <t>470</t>
  </si>
  <si>
    <t>B11/212/25/2019</t>
  </si>
  <si>
    <t>MS/1572/2025</t>
  </si>
  <si>
    <t>HD/1134/2025</t>
  </si>
  <si>
    <t>KB/0378/2025</t>
  </si>
  <si>
    <t>MN/0292/2019</t>
  </si>
  <si>
    <t>342</t>
  </si>
  <si>
    <t>MS/0113/2019</t>
  </si>
  <si>
    <t>HD/1135/2025</t>
  </si>
  <si>
    <t>KB/0204/2025</t>
  </si>
  <si>
    <t>MN/0172/2019</t>
  </si>
  <si>
    <t>371</t>
  </si>
  <si>
    <t>MS/1573/2025</t>
  </si>
  <si>
    <t>HD/0919/2023</t>
  </si>
  <si>
    <t>KB/0197/2020</t>
  </si>
  <si>
    <t>MN/0234/2025</t>
  </si>
  <si>
    <t>PC/0942/2020</t>
  </si>
  <si>
    <t>MS/0351/2019</t>
  </si>
  <si>
    <t>KB/0381/2019</t>
  </si>
  <si>
    <t>484</t>
  </si>
  <si>
    <t>PC/1165/2025</t>
  </si>
  <si>
    <t>MS/1574/2025</t>
  </si>
  <si>
    <t>HD/1136/2025</t>
  </si>
  <si>
    <t>KB/0380/2025</t>
  </si>
  <si>
    <t>PC/0187/2021</t>
  </si>
  <si>
    <t>MS/0801/2023</t>
  </si>
  <si>
    <t>KB/0382/2019</t>
  </si>
  <si>
    <t>224</t>
  </si>
  <si>
    <t>PC/1166/2025</t>
  </si>
  <si>
    <t>MS/0833/2023</t>
  </si>
  <si>
    <t>HD/1137/2025</t>
  </si>
  <si>
    <t>MN/0235/2025</t>
  </si>
  <si>
    <t>PC/1167/2025</t>
  </si>
  <si>
    <t>MS/1581/2025</t>
  </si>
  <si>
    <t>KB/0381/2025</t>
  </si>
  <si>
    <t>49</t>
  </si>
  <si>
    <t>102</t>
  </si>
  <si>
    <t>MS/0489/2019</t>
  </si>
  <si>
    <t>HD/1138/2025</t>
  </si>
  <si>
    <t>KB/0382/2025</t>
  </si>
  <si>
    <t>MN/0236/2025</t>
  </si>
  <si>
    <t>PC/1168/2025</t>
  </si>
  <si>
    <t>MS/1575/2025</t>
  </si>
  <si>
    <t>HD/1139/2025</t>
  </si>
  <si>
    <t>KB/0383/2025</t>
  </si>
  <si>
    <t>MN/0237/2025</t>
  </si>
  <si>
    <t>PC/0484/2021</t>
  </si>
  <si>
    <t>MS/0073/2019</t>
  </si>
  <si>
    <t>KB/0384/2025</t>
  </si>
  <si>
    <t>MN/0238/2025</t>
  </si>
  <si>
    <t>PC/0300/2021</t>
  </si>
  <si>
    <t>MS/0139/2019</t>
  </si>
  <si>
    <t>HD/1140/2025</t>
  </si>
  <si>
    <t>KB/0385/2025</t>
  </si>
  <si>
    <t>PC/0293/2021</t>
  </si>
  <si>
    <t>MS/1576/2025</t>
  </si>
  <si>
    <t>HD/1141/2025</t>
  </si>
  <si>
    <t>KB/0677/2019</t>
  </si>
  <si>
    <t>MN/0293/2019</t>
  </si>
  <si>
    <t>PC/1169/2025</t>
  </si>
  <si>
    <t>MS/1577/2025</t>
  </si>
  <si>
    <t>HD/1142/2025</t>
  </si>
  <si>
    <t>KB/0293/2019</t>
  </si>
  <si>
    <t>MN/0240/2025</t>
  </si>
  <si>
    <t>PC/1170/2025</t>
  </si>
  <si>
    <t>MS/1578/2025</t>
  </si>
  <si>
    <t>HD/1143/2025</t>
  </si>
  <si>
    <t>KB/0386/2025</t>
  </si>
  <si>
    <t>MN/0249/2025</t>
  </si>
  <si>
    <t>PC/1171/2025</t>
  </si>
  <si>
    <t>MS/1579/2025</t>
  </si>
  <si>
    <t>HD/1144/2025</t>
  </si>
  <si>
    <t>KB/0387/2025</t>
  </si>
  <si>
    <t>MN/0241/2025</t>
  </si>
  <si>
    <t>PC/0507/2021</t>
  </si>
  <si>
    <t>MS/1584/2025</t>
  </si>
  <si>
    <t>HD/1145/2025</t>
  </si>
  <si>
    <t>KB/0388/2025</t>
  </si>
  <si>
    <t>MN/0080/2019</t>
  </si>
  <si>
    <t>PC/0495/2021</t>
  </si>
  <si>
    <t>MS/1383/2022</t>
  </si>
  <si>
    <t>HD/1149/2022</t>
  </si>
  <si>
    <t>KB/0389/2025</t>
  </si>
  <si>
    <t>MN/0242/2025</t>
  </si>
  <si>
    <t>PC/1172/2025</t>
  </si>
  <si>
    <t>MS/1580/2025</t>
  </si>
  <si>
    <t>KB/0390/2025</t>
  </si>
  <si>
    <t>MN/0243/2025</t>
  </si>
  <si>
    <t>595</t>
  </si>
  <si>
    <t>MS/0362/2019</t>
  </si>
  <si>
    <t>HD/1146/2025</t>
  </si>
  <si>
    <t>KB/0682/2019</t>
  </si>
  <si>
    <t>MN/0250/2025</t>
  </si>
  <si>
    <t>PC/0610/2021</t>
  </si>
  <si>
    <t>HD/1060/2023</t>
  </si>
  <si>
    <t>KB/0384/2019</t>
  </si>
  <si>
    <t>MN/0244/2025</t>
  </si>
  <si>
    <t>PC/0759/2020</t>
  </si>
  <si>
    <t>MS/0089/2019</t>
  </si>
  <si>
    <t>HD/0911/2023</t>
  </si>
  <si>
    <t>B8/280/146/2019</t>
  </si>
  <si>
    <t>MN/0106/2019</t>
  </si>
  <si>
    <t>PC/1173/2025</t>
  </si>
  <si>
    <t>MS/1582/2025</t>
  </si>
  <si>
    <t>HD/1147/2025</t>
  </si>
  <si>
    <t>KB/0392/2025</t>
  </si>
  <si>
    <t>MN/0245/2025</t>
  </si>
  <si>
    <t>PC/0959/2021</t>
  </si>
  <si>
    <t>MS/1375/2025</t>
  </si>
  <si>
    <t>HD/1079/2022</t>
  </si>
  <si>
    <t>KB/0230/2019</t>
  </si>
  <si>
    <t>MN/0246/2025</t>
  </si>
  <si>
    <t>PC/0623/2020</t>
  </si>
  <si>
    <t>88</t>
  </si>
  <si>
    <t>HD/1148/2025</t>
  </si>
  <si>
    <t>MN/0184/2019</t>
  </si>
  <si>
    <t>PC/0567/2019</t>
  </si>
  <si>
    <t>MS/0502/2019</t>
  </si>
  <si>
    <t>HD/1149/2025</t>
  </si>
  <si>
    <t>KB/0394/2025</t>
  </si>
  <si>
    <t>MN/0247/2025</t>
  </si>
  <si>
    <t>PC/0515/2021</t>
  </si>
  <si>
    <t>MS/1583/2025</t>
  </si>
  <si>
    <t>HD/1150/2025</t>
  </si>
  <si>
    <t>KB/0341/2019</t>
  </si>
  <si>
    <t>MN/0248/2025</t>
  </si>
  <si>
    <t>PC/0396/2021</t>
  </si>
  <si>
    <t>MS/1585/2025</t>
  </si>
  <si>
    <t>HD/1151/2025</t>
  </si>
  <si>
    <t>KB/0393/2025</t>
  </si>
  <si>
    <t>143</t>
  </si>
  <si>
    <t>MS/1588/2025</t>
  </si>
  <si>
    <t>HD/1157/2025</t>
  </si>
  <si>
    <t>KB/0449/2025</t>
  </si>
  <si>
    <t>MN/0266/2019</t>
  </si>
  <si>
    <t>PC/1176/2025</t>
  </si>
  <si>
    <t>MS/1127/2023</t>
  </si>
  <si>
    <t>HD/1155/2025</t>
  </si>
  <si>
    <t>MN/0252/2025</t>
  </si>
  <si>
    <t>PC/0251/2021</t>
  </si>
  <si>
    <t>MS/1590/2025</t>
  </si>
  <si>
    <t>HD/1156/2025</t>
  </si>
  <si>
    <t>438</t>
  </si>
  <si>
    <t>PC/1179/2025</t>
  </si>
  <si>
    <t>MS/1593/2025</t>
  </si>
  <si>
    <t>HD/1054/2022</t>
  </si>
  <si>
    <t>KB/0398/2025</t>
  </si>
  <si>
    <t>MN/0255/2025</t>
  </si>
  <si>
    <t>PC/0592/2019</t>
  </si>
  <si>
    <t>MS/1719/2025</t>
  </si>
  <si>
    <t>HD/1219/2025</t>
  </si>
  <si>
    <t>KB/0252/2018</t>
  </si>
  <si>
    <t>134</t>
  </si>
  <si>
    <t>PC/1182/2025</t>
  </si>
  <si>
    <t>HD/1222/2025</t>
  </si>
  <si>
    <t>KB/0453/2025</t>
  </si>
  <si>
    <t>MN/0308/2025</t>
  </si>
  <si>
    <t>387</t>
  </si>
  <si>
    <t>MS/1722/2025</t>
  </si>
  <si>
    <t>HD/1223/2025</t>
  </si>
  <si>
    <t>KB/0454/2025</t>
  </si>
  <si>
    <t>323</t>
  </si>
  <si>
    <t>PC/0966/2020</t>
  </si>
  <si>
    <t>MS/0005/2019</t>
  </si>
  <si>
    <t>HD/1226/2025</t>
  </si>
  <si>
    <t>MN/0309/2025</t>
  </si>
  <si>
    <t>PC/0692/2020</t>
  </si>
  <si>
    <t>HD/1225/2025</t>
  </si>
  <si>
    <t>KB/0701/2019</t>
  </si>
  <si>
    <t>MN/0701/2019</t>
  </si>
  <si>
    <t>PC/0207/2021</t>
  </si>
  <si>
    <t>MS/1723/2025</t>
  </si>
  <si>
    <t>HD/1224/2025</t>
  </si>
  <si>
    <t>KB/0455/2025</t>
  </si>
  <si>
    <t>MN/0217/2019</t>
  </si>
  <si>
    <t>PC/1181/2025</t>
  </si>
  <si>
    <t>MS/0955/2023</t>
  </si>
  <si>
    <t>HD/1221/2025</t>
  </si>
  <si>
    <t>KB/0452/2025</t>
  </si>
  <si>
    <t>MN/0307/2025</t>
  </si>
  <si>
    <t>PC/1180/2025</t>
  </si>
  <si>
    <t>MS/1720/2025</t>
  </si>
  <si>
    <t>HD/1220/2025</t>
  </si>
  <si>
    <t>KB/0451/2025</t>
  </si>
  <si>
    <t>MN/0306/2025</t>
  </si>
  <si>
    <t>PC/1178/2025</t>
  </si>
  <si>
    <t>MS/1592/2025</t>
  </si>
  <si>
    <t>HD/1218/2025</t>
  </si>
  <si>
    <t>KB/0397/2025</t>
  </si>
  <si>
    <t>MN/0254/2025</t>
  </si>
  <si>
    <t>PC/1177/2025</t>
  </si>
  <si>
    <t>MS/1591/2025</t>
  </si>
  <si>
    <t>HD/1082/2022</t>
  </si>
  <si>
    <t>KB/0396/2025</t>
  </si>
  <si>
    <t>MN/0253/2025</t>
  </si>
  <si>
    <t>PC/1174/2025</t>
  </si>
  <si>
    <t>MS/1589/2025</t>
  </si>
  <si>
    <t>HD/1154/2025</t>
  </si>
  <si>
    <t>KB/0450/2025</t>
  </si>
  <si>
    <t>MN/0251/2025</t>
  </si>
  <si>
    <t>PC/0259/2021</t>
  </si>
  <si>
    <t>MS/1587/2025</t>
  </si>
  <si>
    <t>HD/1153/2025</t>
  </si>
  <si>
    <t>KB/0077/2019</t>
  </si>
  <si>
    <t>MN/0259/2019</t>
  </si>
  <si>
    <t>PC/1175/2025</t>
  </si>
  <si>
    <t>MS/1586/2024</t>
  </si>
  <si>
    <t>HD/1152/2025</t>
  </si>
  <si>
    <t>KB/0391/2025</t>
  </si>
  <si>
    <t>282</t>
  </si>
  <si>
    <t>84</t>
  </si>
  <si>
    <t>MS/1729/2025</t>
  </si>
  <si>
    <t>HD/1235/2025</t>
  </si>
  <si>
    <t>KB/0379/2025</t>
  </si>
  <si>
    <t>947</t>
  </si>
  <si>
    <t>PC/0189/2021</t>
  </si>
  <si>
    <t>MS/0623/2019</t>
  </si>
  <si>
    <t>HD/1234/2025</t>
  </si>
  <si>
    <t>KB/0698/2018</t>
  </si>
  <si>
    <t>PC/1186/2025</t>
  </si>
  <si>
    <t>MS/1728/2025</t>
  </si>
  <si>
    <t>HD/0937/2023</t>
  </si>
  <si>
    <t>KB/0465/2025</t>
  </si>
  <si>
    <t>MN/0314/2025</t>
  </si>
  <si>
    <t>PC/1184/2025</t>
  </si>
  <si>
    <t>MS/1727/2025</t>
  </si>
  <si>
    <t>HD/1232/2025</t>
  </si>
  <si>
    <t>KB/0462/2025</t>
  </si>
  <si>
    <t>MN/0312/2025</t>
  </si>
  <si>
    <t>PC/0358/2021</t>
  </si>
  <si>
    <t>MS/1136/2023</t>
  </si>
  <si>
    <t>HD/1231/2025</t>
  </si>
  <si>
    <t>KB/0461/2025</t>
  </si>
  <si>
    <t>47/2020</t>
  </si>
  <si>
    <t>PC/0481/2021</t>
  </si>
  <si>
    <t>MS/0823/2023</t>
  </si>
  <si>
    <t>HD/1227/2025</t>
  </si>
  <si>
    <t>KB/0274/2019</t>
  </si>
  <si>
    <t>MN/0115/2019</t>
  </si>
  <si>
    <t>148</t>
  </si>
  <si>
    <t>MS/1725/2025</t>
  </si>
  <si>
    <t>KB/0343/2019</t>
  </si>
  <si>
    <t>MN/0310/2025</t>
  </si>
  <si>
    <t>PC/1183/2025</t>
  </si>
  <si>
    <t>MS/1724/2025</t>
  </si>
  <si>
    <t>KB/0457/2025</t>
  </si>
  <si>
    <t>PC/0698/2020</t>
  </si>
  <si>
    <t>HD/1228/2025</t>
  </si>
  <si>
    <t>KB/0458/2025</t>
  </si>
  <si>
    <t>MN/0311/2025</t>
  </si>
  <si>
    <t>PC/0448/2021</t>
  </si>
  <si>
    <t>MS/0136/2019</t>
  </si>
  <si>
    <t>HD/1229/2025</t>
  </si>
  <si>
    <t>KB/0459/2025</t>
  </si>
  <si>
    <t>MN/0130/2019</t>
  </si>
  <si>
    <t>MS/1726/2025</t>
  </si>
  <si>
    <t>HD/1230/2025</t>
  </si>
  <si>
    <t>KB/0460/2025</t>
  </si>
  <si>
    <t>MN/0314/2019</t>
  </si>
  <si>
    <t>PC/1185/2025</t>
  </si>
  <si>
    <t>MS/0401/2019</t>
  </si>
  <si>
    <t>KB/0463/2025</t>
  </si>
  <si>
    <t>MN/0313/2025</t>
  </si>
  <si>
    <t>PC/0357/2021</t>
  </si>
  <si>
    <t>MS/0405/2019</t>
  </si>
  <si>
    <t>HD/1233/2025</t>
  </si>
  <si>
    <t>KB/0464/2025</t>
  </si>
  <si>
    <t>MN/0329/2025</t>
  </si>
  <si>
    <t>PC/0396/2020</t>
  </si>
  <si>
    <t>MS/0041/2019</t>
  </si>
  <si>
    <t>HD/663/2019</t>
  </si>
  <si>
    <t>KB/0466/2025</t>
  </si>
  <si>
    <t>MN/0241/2019</t>
  </si>
  <si>
    <t>PC/0878/2020</t>
  </si>
  <si>
    <t>MS/0787/2022</t>
  </si>
  <si>
    <t>KB/0467/2025</t>
  </si>
  <si>
    <t>MN/0135/2019</t>
  </si>
  <si>
    <t>195</t>
  </si>
  <si>
    <t>HD/1236/2025</t>
  </si>
  <si>
    <t>532</t>
  </si>
  <si>
    <t>MN/0112/2019</t>
  </si>
  <si>
    <t>251</t>
  </si>
  <si>
    <t>MS/1730/2025</t>
  </si>
  <si>
    <t>HD/1242/2025</t>
  </si>
  <si>
    <t>KB/0329/2019</t>
  </si>
  <si>
    <t>409</t>
  </si>
  <si>
    <t>PC/1187/2025</t>
  </si>
  <si>
    <t>MS/1007/2023</t>
  </si>
  <si>
    <t>HD/1241/2025</t>
  </si>
  <si>
    <t>KB/0472/2025</t>
  </si>
  <si>
    <t>MN/0317/2025</t>
  </si>
  <si>
    <t>PC/0990/2020</t>
  </si>
  <si>
    <t>MS/0250/2019</t>
  </si>
  <si>
    <t>KB/684/2019</t>
  </si>
  <si>
    <t>MN/0316/2025</t>
  </si>
  <si>
    <t>PC/0322/2019</t>
  </si>
  <si>
    <t>MS/1734/2025</t>
  </si>
  <si>
    <t>HD/1243/2025</t>
  </si>
  <si>
    <t>KB/0322/2019</t>
  </si>
  <si>
    <t>MN/0288/2019</t>
  </si>
  <si>
    <t>PC/0316/2019</t>
  </si>
  <si>
    <t>MS/1733/2025</t>
  </si>
  <si>
    <t>HD/1240/2025</t>
  </si>
  <si>
    <t>KB/0471/2025</t>
  </si>
  <si>
    <t>35</t>
  </si>
  <si>
    <t>PC/0651/2021</t>
  </si>
  <si>
    <t>MS/0191/2019</t>
  </si>
  <si>
    <t>HD/1238/2025</t>
  </si>
  <si>
    <t>KB/0470/2025</t>
  </si>
  <si>
    <t>MN/0675/2019</t>
  </si>
  <si>
    <t>MS/1732/2025</t>
  </si>
  <si>
    <t>HD/1239/2025</t>
  </si>
  <si>
    <t>KB/0469/2025</t>
  </si>
  <si>
    <t>MN/0315/2025</t>
  </si>
  <si>
    <t>PC/0695/2020</t>
  </si>
  <si>
    <t>MS/1731/2025</t>
  </si>
  <si>
    <t>HD/1237/2025</t>
  </si>
  <si>
    <t>KB/0468/2025</t>
  </si>
  <si>
    <t>MN/0695/2019</t>
  </si>
  <si>
    <t>PC/0003/2021</t>
  </si>
  <si>
    <t>KB/0514/2025</t>
  </si>
  <si>
    <t>MN/0133/2019</t>
  </si>
  <si>
    <t>PC/0679/2019</t>
  </si>
  <si>
    <t>MS/1735/2025</t>
  </si>
  <si>
    <t>KB/0675/2019</t>
  </si>
  <si>
    <t>MN/0679/2019</t>
  </si>
  <si>
    <t>216</t>
  </si>
  <si>
    <t>MS/0314/2019</t>
  </si>
  <si>
    <t>HD/1245/2025</t>
  </si>
  <si>
    <t>KB/0473/2025</t>
  </si>
  <si>
    <t>MN/0239/2019</t>
  </si>
  <si>
    <t>133</t>
  </si>
  <si>
    <t>MS/0259/2019</t>
  </si>
  <si>
    <t>HD/1381/2025</t>
  </si>
  <si>
    <t>KB/0219/2019</t>
  </si>
  <si>
    <t>PC/1188/2025</t>
  </si>
  <si>
    <t>HD/1368/2025</t>
  </si>
  <si>
    <t>KB/0310/2019</t>
  </si>
  <si>
    <t>MN/0319/2025</t>
  </si>
  <si>
    <t>PC/1003/2020</t>
  </si>
  <si>
    <t>MS/0789/2023</t>
  </si>
  <si>
    <t>KB/0942/2019</t>
  </si>
  <si>
    <t>200/2020</t>
  </si>
  <si>
    <t>PC/0321/2019</t>
  </si>
  <si>
    <t>MS/0140/2018</t>
  </si>
  <si>
    <t>HD/1378/2025</t>
  </si>
  <si>
    <t>KB/0321/2019</t>
  </si>
  <si>
    <t>MN/0321/2018</t>
  </si>
  <si>
    <t>190</t>
  </si>
  <si>
    <t>MS/1660/2025</t>
  </si>
  <si>
    <t>HD/0947/2023</t>
  </si>
  <si>
    <t>KB/0327/2019</t>
  </si>
  <si>
    <t>148/2020</t>
  </si>
  <si>
    <t>135</t>
  </si>
  <si>
    <t>HD/1380/2025</t>
  </si>
  <si>
    <t>KB/0351/2019</t>
  </si>
  <si>
    <t>MN/0322/2025</t>
  </si>
  <si>
    <t>PC/1256/2025</t>
  </si>
  <si>
    <t>MS/0330/2019</t>
  </si>
  <si>
    <t>KB/0502/2025</t>
  </si>
  <si>
    <t>MN/0321/2025</t>
  </si>
  <si>
    <t>68</t>
  </si>
  <si>
    <t>HD/1375/2025</t>
  </si>
  <si>
    <t>KB/0328/2019</t>
  </si>
  <si>
    <t>MN/0328/2019</t>
  </si>
  <si>
    <t>PC/1255/2025</t>
  </si>
  <si>
    <t>HD/1393/2025</t>
  </si>
  <si>
    <t>MN/0087/2019</t>
  </si>
  <si>
    <t>MS/0309/2019</t>
  </si>
  <si>
    <t>HD/1083/2022</t>
  </si>
  <si>
    <t>131</t>
  </si>
  <si>
    <t>719</t>
  </si>
  <si>
    <t>PC/0449/2021</t>
  </si>
  <si>
    <t>MS/1738/2025</t>
  </si>
  <si>
    <t>HD/1374/2025</t>
  </si>
  <si>
    <t>KB/0501/2025</t>
  </si>
  <si>
    <t>MN/0116/2019</t>
  </si>
  <si>
    <t>578</t>
  </si>
  <si>
    <t>MS/1737/2025</t>
  </si>
  <si>
    <t>HD/1376/2025</t>
  </si>
  <si>
    <t>KB/0500/2025</t>
  </si>
  <si>
    <t>MN/0320/2025</t>
  </si>
  <si>
    <t>PC/0295/2021</t>
  </si>
  <si>
    <t>MS/1736/2025</t>
  </si>
  <si>
    <t>KB/0239/2019</t>
  </si>
  <si>
    <t>MN/0295/2019</t>
  </si>
  <si>
    <t>PC/0254/2021</t>
  </si>
  <si>
    <t>MS/0064/2019</t>
  </si>
  <si>
    <t>HD/1247/2025</t>
  </si>
  <si>
    <t>KB/0499/2025</t>
  </si>
  <si>
    <t>MN/0318/2025</t>
  </si>
  <si>
    <t>358</t>
  </si>
  <si>
    <t>MS/0859/2025</t>
  </si>
  <si>
    <t>HD/1246/2025</t>
  </si>
  <si>
    <t>231/2020</t>
  </si>
  <si>
    <t>MN/0312/2019</t>
  </si>
  <si>
    <t>8</t>
  </si>
  <si>
    <t>MN/0294/2019</t>
  </si>
  <si>
    <t>MS/0297/2019</t>
  </si>
  <si>
    <t>HD/1377/2025</t>
  </si>
  <si>
    <t>KB/0503/2025</t>
  </si>
  <si>
    <t>MN/0323/2025</t>
  </si>
  <si>
    <t>PC/0406/2021</t>
  </si>
  <si>
    <t>MS/0289/2019</t>
  </si>
  <si>
    <t>HD/1370/2025</t>
  </si>
  <si>
    <t>KB/0291/2019</t>
  </si>
  <si>
    <t>MN/0291/2019</t>
  </si>
  <si>
    <t>442</t>
  </si>
  <si>
    <t>MS/1739/2025</t>
  </si>
  <si>
    <t>HD/1379/2025</t>
  </si>
  <si>
    <t>KB/0105/2019</t>
  </si>
  <si>
    <t>MN/0013/2019</t>
  </si>
  <si>
    <t>PC/0297/2021</t>
  </si>
  <si>
    <t>MS/0023/2019</t>
  </si>
  <si>
    <t>HD/1373/2025</t>
  </si>
  <si>
    <t>KB/0318/2019</t>
  </si>
  <si>
    <t>MN/0318/2019</t>
  </si>
  <si>
    <t>499</t>
  </si>
  <si>
    <t>MS/0390/2019</t>
  </si>
  <si>
    <t>HD/1055/2022</t>
  </si>
  <si>
    <t>KB/0361/2019</t>
  </si>
  <si>
    <t>MN/0100/2019</t>
  </si>
  <si>
    <t>PC/0911/2020</t>
  </si>
  <si>
    <t>MS/0335/2019</t>
  </si>
  <si>
    <t>KB/0100/2019</t>
  </si>
  <si>
    <t>MN/0205/2019</t>
  </si>
  <si>
    <t>PC/1290/2025</t>
  </si>
  <si>
    <t>MS/1659/2025</t>
  </si>
  <si>
    <t>HD/1395/2025</t>
  </si>
  <si>
    <t>KB/0512/2025</t>
  </si>
  <si>
    <t>MN/0328/2025</t>
  </si>
  <si>
    <t>PC/1118/2020</t>
  </si>
  <si>
    <t>MS/1658/2025</t>
  </si>
  <si>
    <t>HD/1394/2025</t>
  </si>
  <si>
    <t>KB/0511/2025</t>
  </si>
  <si>
    <t>MN/0327/2025</t>
  </si>
  <si>
    <t>PC/1259/2025</t>
  </si>
  <si>
    <t>MS/1657/2025</t>
  </si>
  <si>
    <t>KB/0510/2025</t>
  </si>
  <si>
    <t>MN/0326/2025</t>
  </si>
  <si>
    <t>PC/1258/2025</t>
  </si>
  <si>
    <t>MS/1656/2025</t>
  </si>
  <si>
    <t>HD/0950/2023</t>
  </si>
  <si>
    <t>KB/0509/2025</t>
  </si>
  <si>
    <t>MN/0694/2019</t>
  </si>
  <si>
    <t>PC/1136/2020</t>
  </si>
  <si>
    <t>MS/0925/2023</t>
  </si>
  <si>
    <t>KB/0010/2019</t>
  </si>
  <si>
    <t>MN/0297/2019</t>
  </si>
  <si>
    <t>PC/0393/2021</t>
  </si>
  <si>
    <t>MS/0893/2023</t>
  </si>
  <si>
    <t>HD/1382/2025</t>
  </si>
  <si>
    <t>KB/0508/2025</t>
  </si>
  <si>
    <t>MN/0302/2019</t>
  </si>
  <si>
    <t>PC/1257/2025</t>
  </si>
  <si>
    <t>MS/0560/2019</t>
  </si>
  <si>
    <t>HD/1389/2025</t>
  </si>
  <si>
    <t>KB/0507/2025</t>
  </si>
  <si>
    <t>MN/0325/2025</t>
  </si>
  <si>
    <t>141</t>
  </si>
  <si>
    <t>MS/1741/2025</t>
  </si>
  <si>
    <t>HD/1388/2025</t>
  </si>
  <si>
    <t>KB/0305/2019</t>
  </si>
  <si>
    <t>MN/0305/2019</t>
  </si>
  <si>
    <t>459</t>
  </si>
  <si>
    <t>MS/0085/2025</t>
  </si>
  <si>
    <t>HD/1372/2025</t>
  </si>
  <si>
    <t>KB/0296/2019</t>
  </si>
  <si>
    <t>MN/0296/2019</t>
  </si>
  <si>
    <t>592</t>
  </si>
  <si>
    <t>MS/0359/2019</t>
  </si>
  <si>
    <t>HD/1369/2025</t>
  </si>
  <si>
    <t>KB/0506/2025</t>
  </si>
  <si>
    <t>PC/0889/2020</t>
  </si>
  <si>
    <t>MS/0881/2023</t>
  </si>
  <si>
    <t>HD/1129/2022</t>
  </si>
  <si>
    <t>KB/0505/2025</t>
  </si>
  <si>
    <t>MN/0310/2019</t>
  </si>
  <si>
    <t>PC/1108/2025</t>
  </si>
  <si>
    <t>MS/1740/2025</t>
  </si>
  <si>
    <t>KB/0504/2025</t>
  </si>
  <si>
    <t>MN/0324/2025</t>
  </si>
  <si>
    <t>PC/0311/2021</t>
  </si>
  <si>
    <t>B.10/211/27/2019</t>
  </si>
  <si>
    <t>HD/1390/2025</t>
  </si>
  <si>
    <t>480</t>
  </si>
  <si>
    <t>MN/0486/2025</t>
  </si>
  <si>
    <t>PC/0321/2021</t>
  </si>
  <si>
    <t>MS/0336/2025</t>
  </si>
  <si>
    <t>HD/1392/2025</t>
  </si>
  <si>
    <t>KB/0515/2025</t>
  </si>
  <si>
    <t>MN/0290/2019</t>
  </si>
  <si>
    <t>PC/1291/2025</t>
  </si>
  <si>
    <t>MS/1661/2025</t>
  </si>
  <si>
    <t>HD/1387/2025</t>
  </si>
  <si>
    <t>KB/0308/2019</t>
  </si>
  <si>
    <t>MN/0309/2019</t>
  </si>
  <si>
    <t>PC/1010/2020</t>
  </si>
  <si>
    <t>MS/0892/2023</t>
  </si>
  <si>
    <t>HD/1384/2025</t>
  </si>
  <si>
    <t>KB/0516/2025</t>
  </si>
  <si>
    <t>MN/0487/2025</t>
  </si>
  <si>
    <t>PC/0103/2021</t>
  </si>
  <si>
    <t>MS/0387/2019</t>
  </si>
  <si>
    <t>HD/1386/2025</t>
  </si>
  <si>
    <t>KB/0295/2019</t>
  </si>
  <si>
    <t>MN/0303/2019</t>
  </si>
  <si>
    <t>PC/0401/2021</t>
  </si>
  <si>
    <t>MS/0569/2019</t>
  </si>
  <si>
    <t>KB/0517/2025</t>
  </si>
  <si>
    <t>PC/0117/2021</t>
  </si>
  <si>
    <t>MS/1662/2025</t>
  </si>
  <si>
    <t>HD/1385/2025</t>
  </si>
  <si>
    <t>KB/0518/2025</t>
  </si>
  <si>
    <t>PC/1292/2025</t>
  </si>
  <si>
    <t>MS/0300/2019</t>
  </si>
  <si>
    <t>KB/0519/2025</t>
  </si>
  <si>
    <t>MN/0488/2025</t>
  </si>
  <si>
    <t>PC/0688/2020</t>
  </si>
  <si>
    <t>MS/0875/2023</t>
  </si>
  <si>
    <t>HD/1383/2025</t>
  </si>
  <si>
    <t>KB/0929/2019</t>
  </si>
  <si>
    <t>MN/0299/2019</t>
  </si>
  <si>
    <t>PC/1487/2025</t>
  </si>
  <si>
    <t>MS/2033/2025</t>
  </si>
  <si>
    <t>HD/1654/2025</t>
  </si>
  <si>
    <t>KB/0887/2025</t>
  </si>
  <si>
    <t>MN/0594/2025</t>
  </si>
  <si>
    <t>PC/1071/2025</t>
  </si>
  <si>
    <t>MS/1149/2023</t>
  </si>
  <si>
    <t>HD/1676/2025</t>
  </si>
  <si>
    <t>KB/0876/2025</t>
  </si>
  <si>
    <t>MN/0589/2025</t>
  </si>
  <si>
    <t>PC/1072/2025</t>
  </si>
  <si>
    <t>MS/0338/2019</t>
  </si>
  <si>
    <t>HD/1152/2023</t>
  </si>
  <si>
    <t>KB/0890/2025</t>
  </si>
  <si>
    <t>MN/0588/2025</t>
  </si>
  <si>
    <t>PC/1073/2025</t>
  </si>
  <si>
    <t>MS/2061/2025</t>
  </si>
  <si>
    <t>HD/1674/2025</t>
  </si>
  <si>
    <t>KB/0886/2025</t>
  </si>
  <si>
    <t>MN/0604/2025</t>
  </si>
  <si>
    <t>PC/0721/2020</t>
  </si>
  <si>
    <t>MS/2051/2025</t>
  </si>
  <si>
    <t>HD/1119/2022</t>
  </si>
  <si>
    <t>KB/0888/2025</t>
  </si>
  <si>
    <t>MN/0721/2019</t>
  </si>
  <si>
    <t>PC/0910/2020</t>
  </si>
  <si>
    <t>357</t>
  </si>
  <si>
    <t>KB/0885/2025</t>
  </si>
  <si>
    <t>MN/0606/2025</t>
  </si>
  <si>
    <t>PC/1065/2025</t>
  </si>
  <si>
    <t>MS/2050/2025</t>
  </si>
  <si>
    <t>KB/0275/2019</t>
  </si>
  <si>
    <t>MN/0592/2025</t>
  </si>
  <si>
    <t>PC/1064/2025</t>
  </si>
  <si>
    <t>386</t>
  </si>
  <si>
    <t>KB/0889/2025</t>
  </si>
  <si>
    <t>MN/0593/2025</t>
  </si>
  <si>
    <t>PC/0636/2020</t>
  </si>
  <si>
    <t>MS/2043/2025</t>
  </si>
  <si>
    <t>KB/0636/2019</t>
  </si>
  <si>
    <t>MN/0636/2019</t>
  </si>
  <si>
    <t>PC/1470/2025</t>
  </si>
  <si>
    <t>MS/2041/2025</t>
  </si>
  <si>
    <t>KB/0905/2025</t>
  </si>
  <si>
    <t>MN/0622/2025</t>
  </si>
  <si>
    <t>558</t>
  </si>
  <si>
    <t>MS/0594/2019</t>
  </si>
  <si>
    <t>HD/1639/2025</t>
  </si>
  <si>
    <t>KB/0873/2025</t>
  </si>
  <si>
    <t>MN/0607/2025</t>
  </si>
  <si>
    <t>PC/1508/2025</t>
  </si>
  <si>
    <t>MS/0665/2019</t>
  </si>
  <si>
    <t>HD/1651/2025</t>
  </si>
  <si>
    <t>KB/0258/2019</t>
  </si>
  <si>
    <t>441</t>
  </si>
  <si>
    <t>MS/0776/2023</t>
  </si>
  <si>
    <t>HD/1652/2025</t>
  </si>
  <si>
    <t>KB/0902/2025</t>
  </si>
  <si>
    <t>MN/0583/2025</t>
  </si>
  <si>
    <t>MS/2055/2025</t>
  </si>
  <si>
    <t>HD/1653/2025</t>
  </si>
  <si>
    <t>KB/0884/2025</t>
  </si>
  <si>
    <t>MN/0609/2025</t>
  </si>
  <si>
    <t>PC/0500/2021</t>
  </si>
  <si>
    <t>MS/1108/2023</t>
  </si>
  <si>
    <t>HD/1634/2025</t>
  </si>
  <si>
    <t>KB/0409/2019</t>
  </si>
  <si>
    <t>MN/0595/2025</t>
  </si>
  <si>
    <t>PC/1469/2025</t>
  </si>
  <si>
    <t>MS/2034/2025</t>
  </si>
  <si>
    <t>HD/1637/2025</t>
  </si>
  <si>
    <t>KB/0899/2025</t>
  </si>
  <si>
    <t>72/2020</t>
  </si>
  <si>
    <t>PC/0776/2020</t>
  </si>
  <si>
    <t>MS/0275/2019</t>
  </si>
  <si>
    <t>HD/1641/2025</t>
  </si>
  <si>
    <t>KB/0891/2025</t>
  </si>
  <si>
    <t>MN/0590/2025</t>
  </si>
  <si>
    <t>PC/0319/2021</t>
  </si>
  <si>
    <t>MS/1128/2023</t>
  </si>
  <si>
    <t>HD/1666/2025</t>
  </si>
  <si>
    <t>KB/0279/2019</t>
  </si>
  <si>
    <t>MN/0605/2025</t>
  </si>
  <si>
    <t>PC/0279/2021</t>
  </si>
  <si>
    <t>MS/0483/2019</t>
  </si>
  <si>
    <t>HD/1675/2025</t>
  </si>
  <si>
    <t>KB/0892/2025</t>
  </si>
  <si>
    <t>MN/0279/2019</t>
  </si>
  <si>
    <t>PC/0907/2020</t>
  </si>
  <si>
    <t>MS/0667/2019</t>
  </si>
  <si>
    <t>HD/1647/2025</t>
  </si>
  <si>
    <t>KB/0898/2025</t>
  </si>
  <si>
    <t>MN/0610/2025</t>
  </si>
  <si>
    <t>PC/0381/2020</t>
  </si>
  <si>
    <t>MS/1157/2023</t>
  </si>
  <si>
    <t>HD/1068/2022</t>
  </si>
  <si>
    <t>KB/0893/2025</t>
  </si>
  <si>
    <t>164/2020</t>
  </si>
  <si>
    <t>PC/0483/2021</t>
  </si>
  <si>
    <t>MS/0668/2019</t>
  </si>
  <si>
    <t>HD/1677/2025</t>
  </si>
  <si>
    <t>KB/0175/2019</t>
  </si>
  <si>
    <t>MN/0175/2019</t>
  </si>
  <si>
    <t>MS/2049/2025</t>
  </si>
  <si>
    <t>HD/1092/2022</t>
  </si>
  <si>
    <t>KB/0909/2025</t>
  </si>
  <si>
    <t>MN/0623/2025</t>
  </si>
  <si>
    <t>PC/0038/2020</t>
  </si>
  <si>
    <t>MS/0525/2019</t>
  </si>
  <si>
    <t>HD/1650/2025</t>
  </si>
  <si>
    <t>KB/0903/2025</t>
  </si>
  <si>
    <t>MN/0254/2019</t>
  </si>
  <si>
    <t>PC/0593/2021</t>
  </si>
  <si>
    <t>392</t>
  </si>
  <si>
    <t>HD/1655/2025</t>
  </si>
  <si>
    <t>KB/0669/2019</t>
  </si>
  <si>
    <t>MN/0669/2019</t>
  </si>
  <si>
    <t>PC/0387/2021</t>
  </si>
  <si>
    <t>MS/2025/2025</t>
  </si>
  <si>
    <t>HD/1670/2025</t>
  </si>
  <si>
    <t>MN/0613/2025</t>
  </si>
  <si>
    <t>PC/0002/2021</t>
  </si>
  <si>
    <t>MS/0381/2019</t>
  </si>
  <si>
    <t>HD/1656/2025</t>
  </si>
  <si>
    <t>KB/0345/2019</t>
  </si>
  <si>
    <t>MN/0608/2025</t>
  </si>
  <si>
    <t>PC/0480/2021</t>
  </si>
  <si>
    <t>MS/0114/2019</t>
  </si>
  <si>
    <t>HD/1672/2025</t>
  </si>
  <si>
    <t>KB/0912/2025</t>
  </si>
  <si>
    <t>468</t>
  </si>
  <si>
    <t>PC/0287/2021</t>
  </si>
  <si>
    <t>MS/0835/2022</t>
  </si>
  <si>
    <t>HD/1671/2025</t>
  </si>
  <si>
    <t>KB/0436/2019</t>
  </si>
  <si>
    <t>MN/0591/2025</t>
  </si>
  <si>
    <t>PC/0388/2019</t>
  </si>
  <si>
    <t>MS/0402/2019</t>
  </si>
  <si>
    <t>HD/1668/2025</t>
  </si>
  <si>
    <t>KB/0916/2025</t>
  </si>
  <si>
    <t>MN/0576/2025</t>
  </si>
  <si>
    <t>PC/0432/2021</t>
  </si>
  <si>
    <t>MS/2057/2025</t>
  </si>
  <si>
    <t>HD/0939/2023</t>
  </si>
  <si>
    <t>KB/0917/2025</t>
  </si>
  <si>
    <t>529</t>
  </si>
  <si>
    <t>PC/0171/2021</t>
  </si>
  <si>
    <t>MS/2040/2025</t>
  </si>
  <si>
    <t>HD/1667/2025</t>
  </si>
  <si>
    <t>KB/0918/2025</t>
  </si>
  <si>
    <t>MN/0308/2019</t>
  </si>
  <si>
    <t>PC/0479/2021</t>
  </si>
  <si>
    <t>MS/2018/2025</t>
  </si>
  <si>
    <t>HD/1631/2025</t>
  </si>
  <si>
    <t>KB/0453/2019</t>
  </si>
  <si>
    <t>885</t>
  </si>
  <si>
    <t>PC/0110/2020</t>
  </si>
  <si>
    <t>MS/2056/2025</t>
  </si>
  <si>
    <t>HD/1643/2025</t>
  </si>
  <si>
    <t>KB/0915/2025</t>
  </si>
  <si>
    <t>MN/0280/2019</t>
  </si>
  <si>
    <t>PC/0617/2021</t>
  </si>
  <si>
    <t>MS/2021/2025</t>
  </si>
  <si>
    <t>HD/1633/2025</t>
  </si>
  <si>
    <t>KB/0874/2025</t>
  </si>
  <si>
    <t>MN/0307/2019</t>
  </si>
  <si>
    <t>HD/1660/2025</t>
  </si>
  <si>
    <t>KB/0411/2019</t>
  </si>
  <si>
    <t>305</t>
  </si>
  <si>
    <t>PC/0213/2021</t>
  </si>
  <si>
    <t>MS/0178/2019</t>
  </si>
  <si>
    <t>HD/1673/2025</t>
  </si>
  <si>
    <t>KB/0214/2019</t>
  </si>
  <si>
    <t>MN/0197/2019</t>
  </si>
  <si>
    <t>MS/2045/2025</t>
  </si>
  <si>
    <t>KB/0668/2019</t>
  </si>
  <si>
    <t>MN/0603/2025</t>
  </si>
  <si>
    <t xml:space="preserve">NOMOR INVENTARIS TERAKHIR = MN/0180/2021
</t>
  </si>
  <si>
    <t>PC/1492/2025</t>
  </si>
  <si>
    <t>HD/1657/2025</t>
  </si>
  <si>
    <t>KB/0904/2025</t>
  </si>
  <si>
    <t>MN/0580/2025</t>
  </si>
  <si>
    <t>PC/1504/2025</t>
  </si>
  <si>
    <t>MS/2052/2025</t>
  </si>
  <si>
    <t xml:space="preserve"> X</t>
  </si>
  <si>
    <t>KB/0875/2025</t>
  </si>
  <si>
    <t>MN/0584/2025</t>
  </si>
  <si>
    <t>PC/0668/2020</t>
  </si>
  <si>
    <t>MS/2016/2025</t>
  </si>
  <si>
    <t>KB/0908/2025</t>
  </si>
  <si>
    <t>MN/0668/2019</t>
  </si>
  <si>
    <t>PC/0428/2021</t>
  </si>
  <si>
    <t>MS/2029/2025</t>
  </si>
  <si>
    <t>HD/1124/2022</t>
  </si>
  <si>
    <t>KB/0907/2025</t>
  </si>
  <si>
    <t>MN/0581/2025</t>
  </si>
  <si>
    <t>B3/230/08/2019</t>
  </si>
  <si>
    <t>MS/0364/2019</t>
  </si>
  <si>
    <t>KB/0913/2019</t>
  </si>
  <si>
    <t>NAMA ASET</t>
  </si>
  <si>
    <t>NO INVENTARIS</t>
  </si>
  <si>
    <t>STIKER TERTEMPEL</t>
  </si>
  <si>
    <t>PC/0258/2021</t>
  </si>
  <si>
    <t>STIKER BLM TERTEMPEL</t>
  </si>
  <si>
    <t>MS/2024/2025</t>
  </si>
  <si>
    <t>HD/1646/2025</t>
  </si>
  <si>
    <t>KB/0358/2019</t>
  </si>
  <si>
    <t>MN/0612/2025</t>
  </si>
  <si>
    <t>KODE</t>
  </si>
  <si>
    <t>NOMOR</t>
  </si>
  <si>
    <t>PC/0107/2021</t>
  </si>
  <si>
    <t>MS/0110/2019</t>
  </si>
  <si>
    <t>HD/1669/2025</t>
  </si>
  <si>
    <t>MN/0077/2019</t>
  </si>
  <si>
    <t>PC/1505/2025</t>
  </si>
  <si>
    <t>MS/0392/2019</t>
  </si>
  <si>
    <t>HD/1659/2025</t>
  </si>
  <si>
    <t>KB/0871/2025</t>
  </si>
  <si>
    <t>MN/0585/2025</t>
  </si>
  <si>
    <t>PC/1488/2025</t>
  </si>
  <si>
    <t>MS/2019/2025</t>
  </si>
  <si>
    <t>HD/1644/2025</t>
  </si>
  <si>
    <t>KB/0869/2025</t>
  </si>
  <si>
    <t>MN/0597/2025</t>
  </si>
  <si>
    <t>PC/0414/2021</t>
  </si>
  <si>
    <t>MS/2048/2025</t>
  </si>
  <si>
    <t>HD/1632/2025</t>
  </si>
  <si>
    <t>KB/0387/2019</t>
  </si>
  <si>
    <t>596</t>
  </si>
  <si>
    <t>616</t>
  </si>
  <si>
    <t>MS/1144/2022</t>
  </si>
  <si>
    <t>HD/1658/2025</t>
  </si>
  <si>
    <t>KB/0913/2025</t>
  </si>
  <si>
    <t>MN/0601/2025</t>
  </si>
  <si>
    <t>619</t>
  </si>
  <si>
    <t>MS/0177/2019</t>
  </si>
  <si>
    <t>KB/0879/2025</t>
  </si>
  <si>
    <t>MN/0600/2025</t>
  </si>
  <si>
    <t>PC/0333/2021</t>
  </si>
  <si>
    <t>MS/0640/2019</t>
  </si>
  <si>
    <t>HD/1628/2025</t>
  </si>
  <si>
    <t>KB/0914/2025</t>
  </si>
  <si>
    <t>MN/0624/2025</t>
  </si>
  <si>
    <t>PC/0282/2021</t>
  </si>
  <si>
    <t>MS/2062/2025</t>
  </si>
  <si>
    <t>HD/1629/2025</t>
  </si>
  <si>
    <t>MN</t>
  </si>
  <si>
    <t>KB/0938/2019</t>
  </si>
  <si>
    <t>MN/0614/2025</t>
  </si>
  <si>
    <t>0181</t>
  </si>
  <si>
    <t>B3/230/87/2019</t>
  </si>
  <si>
    <t>MS/1962/2025</t>
  </si>
  <si>
    <t>KB/0254/2019</t>
  </si>
  <si>
    <t>MN/0598/2025</t>
  </si>
  <si>
    <t>421</t>
  </si>
  <si>
    <t>MS/2038/2025</t>
  </si>
  <si>
    <t>HD/1059/2022</t>
  </si>
  <si>
    <t>KB/0895/2025</t>
  </si>
  <si>
    <t>MN/0587/2025</t>
  </si>
  <si>
    <t>PC/0575/2021</t>
  </si>
  <si>
    <t>MS/1941/2025</t>
  </si>
  <si>
    <t>KB/0096/2019</t>
  </si>
  <si>
    <t>MN/0602/2025</t>
  </si>
  <si>
    <t>PC/0929/2020</t>
  </si>
  <si>
    <t>0182</t>
  </si>
  <si>
    <t>MS/0865/2022</t>
  </si>
  <si>
    <t>HD/1642/2025</t>
  </si>
  <si>
    <t>KB/0896/2025</t>
  </si>
  <si>
    <t>MN/0577/2025</t>
  </si>
  <si>
    <t>PC/1091/2025</t>
  </si>
  <si>
    <t>MS/2032/2025</t>
  </si>
  <si>
    <t>KB/0880/2025</t>
  </si>
  <si>
    <t>MN/0596/2025</t>
  </si>
  <si>
    <t>0183</t>
  </si>
  <si>
    <t>PC/0021/2021</t>
  </si>
  <si>
    <t>HD/1121/2022</t>
  </si>
  <si>
    <t>KB/0881/2025</t>
  </si>
  <si>
    <t>MN/0615/2025</t>
  </si>
  <si>
    <t>603</t>
  </si>
  <si>
    <t>MS/1960/2025</t>
  </si>
  <si>
    <t>HD/1630/2025</t>
  </si>
  <si>
    <t>KB/0882/2025</t>
  </si>
  <si>
    <t>MN/0255/2019</t>
  </si>
  <si>
    <t>0184</t>
  </si>
  <si>
    <t>PC/0994/2020</t>
  </si>
  <si>
    <t>MS/0904/2023</t>
  </si>
  <si>
    <t>KB/0832/2019</t>
  </si>
  <si>
    <t>106</t>
  </si>
  <si>
    <t>MS/1944/2025</t>
  </si>
  <si>
    <t>HD/1151/2022</t>
  </si>
  <si>
    <t>KB/0911/2025</t>
  </si>
  <si>
    <t>MN/0616/2025</t>
  </si>
  <si>
    <t>0185</t>
  </si>
  <si>
    <t>B3/230/19/2019</t>
  </si>
  <si>
    <t>MS/1946/2025</t>
  </si>
  <si>
    <t>HD/0943/2023</t>
  </si>
  <si>
    <t>KB/0897/2025</t>
  </si>
  <si>
    <t>566</t>
  </si>
  <si>
    <t>211</t>
  </si>
  <si>
    <t>MS/2028/2025</t>
  </si>
  <si>
    <t>KB/0872/2025</t>
  </si>
  <si>
    <t xml:space="preserve">PUTIH </t>
  </si>
  <si>
    <t>256</t>
  </si>
  <si>
    <t>MS/2022/2025</t>
  </si>
  <si>
    <t>HD/1645/2025</t>
  </si>
  <si>
    <t>0186</t>
  </si>
  <si>
    <t>KB/0375/2019</t>
  </si>
  <si>
    <t>PC/1467/2025</t>
  </si>
  <si>
    <t>MS/2042/2025</t>
  </si>
  <si>
    <t>HD/1665/2025</t>
  </si>
  <si>
    <t>KB/0877/2025</t>
  </si>
  <si>
    <t>MN/0620/2025</t>
  </si>
  <si>
    <t>PC/1464/2025</t>
  </si>
  <si>
    <t>MS/2046/2025</t>
  </si>
  <si>
    <t>225</t>
  </si>
  <si>
    <t>KB/0878/2025</t>
  </si>
  <si>
    <t>MN/0618/2025</t>
  </si>
  <si>
    <t>PC/0728/2020</t>
  </si>
  <si>
    <t>MS/2039/2025</t>
  </si>
  <si>
    <t>0187</t>
  </si>
  <si>
    <t>HD/0914/2023</t>
  </si>
  <si>
    <t>KB/0910/2025</t>
  </si>
  <si>
    <t>MN/0625/2025</t>
  </si>
  <si>
    <t>PC/0540/2021</t>
  </si>
  <si>
    <t>HD/1148/2022</t>
  </si>
  <si>
    <t>KB/0900/2025</t>
  </si>
  <si>
    <t>MN/0113/2019</t>
  </si>
  <si>
    <t>PC/0520/2021</t>
  </si>
  <si>
    <t>MS/0625/2019</t>
  </si>
  <si>
    <t>KB/0704/2019</t>
  </si>
  <si>
    <t>0188</t>
  </si>
  <si>
    <t>MN/0619/2025</t>
  </si>
  <si>
    <t>PC/0770/2020</t>
  </si>
  <si>
    <t>MS/2030/2025</t>
  </si>
  <si>
    <t>HD/1638/2025</t>
  </si>
  <si>
    <t>KB/0770/2019</t>
  </si>
  <si>
    <t>MN/0621/2025</t>
  </si>
  <si>
    <t>PC/0667/2019</t>
  </si>
  <si>
    <t>MS/2027/2025</t>
  </si>
  <si>
    <t>HD/1693/2025</t>
  </si>
  <si>
    <t>KB/0901/2025</t>
  </si>
  <si>
    <t>MN/0667/2019</t>
  </si>
  <si>
    <t>PC/1025/2020</t>
  </si>
  <si>
    <t>MS/2020/2025</t>
  </si>
  <si>
    <t>0189</t>
  </si>
  <si>
    <t>HD/1078/2022</t>
  </si>
  <si>
    <t>KB/0870/2019</t>
  </si>
  <si>
    <t>MN/0599/2025</t>
  </si>
  <si>
    <t>6</t>
  </si>
  <si>
    <t>MS/2026/2025</t>
  </si>
  <si>
    <t>0190</t>
  </si>
  <si>
    <t>KB/0784/2019</t>
  </si>
  <si>
    <t>MN/0611/2025</t>
  </si>
  <si>
    <t>MS/2023/2025</t>
  </si>
  <si>
    <t>HD/1710/2025</t>
  </si>
  <si>
    <t>KB/0870/2025</t>
  </si>
  <si>
    <t>B3/230/52/2019</t>
  </si>
  <si>
    <t>PC/0750/2020</t>
  </si>
  <si>
    <t>MS/0829/2023</t>
  </si>
  <si>
    <t>KB/0875/2019</t>
  </si>
  <si>
    <t>MN/0617/2025</t>
  </si>
  <si>
    <t>PC/0749/2020</t>
  </si>
  <si>
    <t>0191</t>
  </si>
  <si>
    <t>MS/2037/2025</t>
  </si>
  <si>
    <t>HD/1709/2025</t>
  </si>
  <si>
    <t>KB/0750/2019</t>
  </si>
  <si>
    <t>MN/0578/2025</t>
  </si>
  <si>
    <t>PC/0635/2021</t>
  </si>
  <si>
    <t>MS/2035/2025</t>
  </si>
  <si>
    <t>HD/1712/2025</t>
  </si>
  <si>
    <t>KB/0883/2025</t>
  </si>
  <si>
    <t>MN/0735/2019</t>
  </si>
  <si>
    <t>PC/0730/2020</t>
  </si>
  <si>
    <t>MS/0827/2023</t>
  </si>
  <si>
    <t>HD/1687/2025</t>
  </si>
  <si>
    <t>KB/0730/2019</t>
  </si>
  <si>
    <t>MN/0730/2019</t>
  </si>
  <si>
    <t>0192</t>
  </si>
  <si>
    <t>PC/1066/2025</t>
  </si>
  <si>
    <t>MS/2014/2025</t>
  </si>
  <si>
    <t>KB/0968/2025</t>
  </si>
  <si>
    <t>MN/0579/2025</t>
  </si>
  <si>
    <t>PC/1067/2025</t>
  </si>
  <si>
    <t>HD/1067/2022</t>
  </si>
  <si>
    <t>KB/0941/2025</t>
  </si>
  <si>
    <t>517</t>
  </si>
  <si>
    <t>0193</t>
  </si>
  <si>
    <t>PC/0694/2020</t>
  </si>
  <si>
    <t>MS/0737/2023</t>
  </si>
  <si>
    <t>HD/1716/2025</t>
  </si>
  <si>
    <t>KB/0942/2025</t>
  </si>
  <si>
    <t>MN/0582/2025</t>
  </si>
  <si>
    <t>0194</t>
  </si>
  <si>
    <t>PC/0731/2020</t>
  </si>
  <si>
    <t>MS/0805/2023</t>
  </si>
  <si>
    <t>HD/1718/2025</t>
  </si>
  <si>
    <t>MN/0731/2019</t>
  </si>
  <si>
    <t>PC/0879/2020</t>
  </si>
  <si>
    <t>MS/0684/2019</t>
  </si>
  <si>
    <t>KB/0943/2025</t>
  </si>
  <si>
    <t>MN/0586/2025</t>
  </si>
  <si>
    <t>PC/0768/2020</t>
  </si>
  <si>
    <t>MS/0743/2023</t>
  </si>
  <si>
    <t>HD/1688/2025</t>
  </si>
  <si>
    <t>KB/0956/2025</t>
  </si>
  <si>
    <t>0195</t>
  </si>
  <si>
    <t>B3/230/112/2019</t>
  </si>
  <si>
    <t>PC/0582/2021</t>
  </si>
  <si>
    <t>MS/0742/2023</t>
  </si>
  <si>
    <t>HD/1722/2025</t>
  </si>
  <si>
    <t>KB/0712/2019</t>
  </si>
  <si>
    <t>MN/0659/2025</t>
  </si>
  <si>
    <t>PC/0747/2020</t>
  </si>
  <si>
    <t>MS/2015/2025</t>
  </si>
  <si>
    <t>KB/0747/2019</t>
  </si>
  <si>
    <t>MN/0656/2025</t>
  </si>
  <si>
    <t>PC/1027/2021</t>
  </si>
  <si>
    <t>0196</t>
  </si>
  <si>
    <t>MS/0868/2023</t>
  </si>
  <si>
    <t>HD/1714/2025</t>
  </si>
  <si>
    <t>KB/0840/2019</t>
  </si>
  <si>
    <t>MN/0673/2025</t>
  </si>
  <si>
    <t>260</t>
  </si>
  <si>
    <t>KB/0424/2019</t>
  </si>
  <si>
    <t>291</t>
  </si>
  <si>
    <t>MS/2031/2025</t>
  </si>
  <si>
    <t>HD/1678/2025</t>
  </si>
  <si>
    <t>KB/0940/2025</t>
  </si>
  <si>
    <t>0197</t>
  </si>
  <si>
    <t>PC/1069/2025</t>
  </si>
  <si>
    <t>MS/0924/2023</t>
  </si>
  <si>
    <t>HD/1717/2025</t>
  </si>
  <si>
    <t>KB/0944/2025</t>
  </si>
  <si>
    <t>MN/0632/2025</t>
  </si>
  <si>
    <t>PC/0658/2020</t>
  </si>
  <si>
    <t>MS/2060/2025</t>
  </si>
  <si>
    <t>HD/1711/2025</t>
  </si>
  <si>
    <t>KB/0658/2019</t>
  </si>
  <si>
    <t>MN/0666/2019</t>
  </si>
  <si>
    <t>B11/212/22/2019</t>
  </si>
  <si>
    <t>MS/2063/2025</t>
  </si>
  <si>
    <t>HD/1723/2025</t>
  </si>
  <si>
    <t>KB/0847/2019</t>
  </si>
  <si>
    <t>0198</t>
  </si>
  <si>
    <t>MN/0645/2025</t>
  </si>
  <si>
    <t>PC/0650/2019</t>
  </si>
  <si>
    <t>MS/2017/2025</t>
  </si>
  <si>
    <t>HD/1704/2025</t>
  </si>
  <si>
    <t>KB/0650/2019</t>
  </si>
  <si>
    <t>MN/0650/2019</t>
  </si>
  <si>
    <t>PC/1068/2025</t>
  </si>
  <si>
    <t>MS/1934/2025</t>
  </si>
  <si>
    <t>HD/1708/2025</t>
  </si>
  <si>
    <t>KB/0661/2019</t>
  </si>
  <si>
    <t>MN/0661/2019</t>
  </si>
  <si>
    <t>296</t>
  </si>
  <si>
    <t>MS/1938/2025</t>
  </si>
  <si>
    <t>0199</t>
  </si>
  <si>
    <t>HD/1727/2025</t>
  </si>
  <si>
    <t>KB/0957/2025</t>
  </si>
  <si>
    <t>PC/0659/2019</t>
  </si>
  <si>
    <t>MS/1943/2025</t>
  </si>
  <si>
    <t>HD/1726/2025</t>
  </si>
  <si>
    <t>KB/0181/2019</t>
  </si>
  <si>
    <t>MN/0687/2018</t>
  </si>
  <si>
    <t>PC/0643/2019</t>
  </si>
  <si>
    <t>MS/1949/2025</t>
  </si>
  <si>
    <t>KB/0643/2019</t>
  </si>
  <si>
    <t>MN/0643/2019</t>
  </si>
  <si>
    <t>PC/0652/2020</t>
  </si>
  <si>
    <t>0200</t>
  </si>
  <si>
    <t>MS/1951/2025</t>
  </si>
  <si>
    <t>KB/0958/2025</t>
  </si>
  <si>
    <t>MN/0657/2019</t>
  </si>
  <si>
    <t>PC/1070/2025</t>
  </si>
  <si>
    <t>HD/1713/2025</t>
  </si>
  <si>
    <t>KB/0651/2019</t>
  </si>
  <si>
    <t>MN/0651/2019</t>
  </si>
  <si>
    <t>PC/0641/2020</t>
  </si>
  <si>
    <t>HD/1684/2025</t>
  </si>
  <si>
    <t>KB/0641/2019</t>
  </si>
  <si>
    <t>0201</t>
  </si>
  <si>
    <t>MN/0641/2019</t>
  </si>
  <si>
    <t>PC/0930/2020</t>
  </si>
  <si>
    <t>MN/0642/2019</t>
  </si>
  <si>
    <t>MS/1953/2025</t>
  </si>
  <si>
    <t>HD/1703/2025</t>
  </si>
  <si>
    <t>KB/0934/2025</t>
  </si>
  <si>
    <t>MN/0732/2019</t>
  </si>
  <si>
    <t>PC/0318/2021</t>
  </si>
  <si>
    <t>0202</t>
  </si>
  <si>
    <t>HD/1694/2025</t>
  </si>
  <si>
    <t>KB/0639/2019</t>
  </si>
  <si>
    <t>966</t>
  </si>
  <si>
    <t>PC/0823/2020</t>
  </si>
  <si>
    <t>HD/1680/2025</t>
  </si>
  <si>
    <t>MN/0633/2025</t>
  </si>
  <si>
    <t>0203</t>
  </si>
  <si>
    <t>PC/0633/2020</t>
  </si>
  <si>
    <t>MS/1950/2025</t>
  </si>
  <si>
    <t>HD/1702/2025</t>
  </si>
  <si>
    <t>KB/0926/2025</t>
  </si>
  <si>
    <t>MN/0654/2019</t>
  </si>
  <si>
    <t>PC/1116/2020</t>
  </si>
  <si>
    <t>MS/0788/2023</t>
  </si>
  <si>
    <t>HD/1725/2025</t>
  </si>
  <si>
    <t>KB/0780/2019</t>
  </si>
  <si>
    <t>0204</t>
  </si>
  <si>
    <t>757</t>
  </si>
  <si>
    <t>PC/0033/2019</t>
  </si>
  <si>
    <t>HD/1685/2025</t>
  </si>
  <si>
    <t>KB/0330/2019</t>
  </si>
  <si>
    <t>94</t>
  </si>
  <si>
    <t>PC/1477/2025</t>
  </si>
  <si>
    <t>0205</t>
  </si>
  <si>
    <t>HD/1707/2025</t>
  </si>
  <si>
    <t>KB/0332/2019</t>
  </si>
  <si>
    <t>MN/0644/2025</t>
  </si>
  <si>
    <t>PC/1462/2025</t>
  </si>
  <si>
    <t>MS/1937/2025</t>
  </si>
  <si>
    <t>HD/1706/2025</t>
  </si>
  <si>
    <t>KB/0331/2019</t>
  </si>
  <si>
    <t>MN/0658/2025</t>
  </si>
  <si>
    <t>0206</t>
  </si>
  <si>
    <t>PC/1468/2025</t>
  </si>
  <si>
    <t>KB/0974/2019</t>
  </si>
  <si>
    <t>MN/0051/2019</t>
  </si>
  <si>
    <t>PC/1471/2025</t>
  </si>
  <si>
    <t>MS/0919/2023</t>
  </si>
  <si>
    <t>0207</t>
  </si>
  <si>
    <t>HD/1705/2025</t>
  </si>
  <si>
    <t>KB/0959/2025</t>
  </si>
  <si>
    <t>MN/0654/2025</t>
  </si>
  <si>
    <t>PC/0644/2020</t>
  </si>
  <si>
    <t>MS/1948/2025</t>
  </si>
  <si>
    <t>HD/1724/2025</t>
  </si>
  <si>
    <t>KB/0644/2019</t>
  </si>
  <si>
    <t>MN/0644/2019</t>
  </si>
  <si>
    <t>PC/0774/2020</t>
  </si>
  <si>
    <t>MS/1925/2025</t>
  </si>
  <si>
    <t>0208</t>
  </si>
  <si>
    <t>HD/1715/2025</t>
  </si>
  <si>
    <t>KB/0733/2019</t>
  </si>
  <si>
    <t>MN/0733/2019</t>
  </si>
  <si>
    <t>PC/0734/2020</t>
  </si>
  <si>
    <t>MS/1952/2025</t>
  </si>
  <si>
    <t>HD/1697/2025</t>
  </si>
  <si>
    <t>KB/0734/2019</t>
  </si>
  <si>
    <t>MN/0734/2019</t>
  </si>
  <si>
    <t>0209</t>
  </si>
  <si>
    <t>MS/1924/2025</t>
  </si>
  <si>
    <t>HD/1696/2025</t>
  </si>
  <si>
    <t>309</t>
  </si>
  <si>
    <t>PC/0818/2020</t>
  </si>
  <si>
    <t>MS/0024/2019</t>
  </si>
  <si>
    <t>HD/1065/2022</t>
  </si>
  <si>
    <t>KB/0960/2025</t>
  </si>
  <si>
    <t>MN/0648/2019</t>
  </si>
  <si>
    <t>0210</t>
  </si>
  <si>
    <t>PC/0649/2020</t>
  </si>
  <si>
    <t>MS/0649/2019</t>
  </si>
  <si>
    <t>HD/1681/2025</t>
  </si>
  <si>
    <t>KB/0649/2019</t>
  </si>
  <si>
    <t>MN/0649/2019</t>
  </si>
  <si>
    <t>PC/0664/2020</t>
  </si>
  <si>
    <t>MS/1940/2025</t>
  </si>
  <si>
    <t>HD/1721/2025</t>
  </si>
  <si>
    <t>0211</t>
  </si>
  <si>
    <t>MN/0664/2018</t>
  </si>
  <si>
    <t>PC/0486/2021</t>
  </si>
  <si>
    <t>HD/1747/2025</t>
  </si>
  <si>
    <t>KB/964/2019</t>
  </si>
  <si>
    <t>MN/0663/2019</t>
  </si>
  <si>
    <t>297</t>
  </si>
  <si>
    <t>MS/1932/2025</t>
  </si>
  <si>
    <t>KB/0962/2025</t>
  </si>
  <si>
    <t>0212</t>
  </si>
  <si>
    <t>551</t>
  </si>
  <si>
    <t>MS/1918/2025</t>
  </si>
  <si>
    <t>HD/1682/2025</t>
  </si>
  <si>
    <t>KB/0951/2025</t>
  </si>
  <si>
    <t>587</t>
  </si>
  <si>
    <t>MS/1928/2025</t>
  </si>
  <si>
    <t>PC/0173/2021</t>
  </si>
  <si>
    <t>MS/1926/2025</t>
  </si>
  <si>
    <t>KB/0315/2018</t>
  </si>
  <si>
    <t>MN/0315/2019</t>
  </si>
  <si>
    <t>0213</t>
  </si>
  <si>
    <t>PC/0217/2021</t>
  </si>
  <si>
    <t>136</t>
  </si>
  <si>
    <t>HD/1698/2025</t>
  </si>
  <si>
    <t>KB/0259/2019</t>
  </si>
  <si>
    <t>MN/0671/2025</t>
  </si>
  <si>
    <t>PC/0914/2020</t>
  </si>
  <si>
    <t>HD/1679/2025</t>
  </si>
  <si>
    <t>KB/0963/2025</t>
  </si>
  <si>
    <t>MN/0128/2019</t>
  </si>
  <si>
    <t>PC/0058/2021</t>
  </si>
  <si>
    <t>MS/1955/2025</t>
  </si>
  <si>
    <t>HD/1695/2025</t>
  </si>
  <si>
    <t>KB/0964/2025</t>
  </si>
  <si>
    <t>MN/0043/2019</t>
  </si>
  <si>
    <t>0214</t>
  </si>
  <si>
    <t>PC/0762/2020</t>
  </si>
  <si>
    <t>MS/1939/2025</t>
  </si>
  <si>
    <t>KB/0950/2025</t>
  </si>
  <si>
    <t>MN/0660/2025</t>
  </si>
  <si>
    <t>PC/0689/2020</t>
  </si>
  <si>
    <t>MS/1922/2025</t>
  </si>
  <si>
    <t>HD/1689/2025</t>
  </si>
  <si>
    <t>KB/0928/2025</t>
  </si>
  <si>
    <t>MN/0689/2019</t>
  </si>
  <si>
    <t>PC/0631/2019</t>
  </si>
  <si>
    <t>MS/1147/2023</t>
  </si>
  <si>
    <t>HD/1690/2025</t>
  </si>
  <si>
    <t>KB/0631/2019</t>
  </si>
  <si>
    <t>MN/0663/2025</t>
  </si>
  <si>
    <t>0215</t>
  </si>
  <si>
    <t>PC/0630/2020</t>
  </si>
  <si>
    <t>MS/0630/2019</t>
  </si>
  <si>
    <t>HD/1719/2025</t>
  </si>
  <si>
    <t>KB/0630/2019</t>
  </si>
  <si>
    <t>MN/0192/2020</t>
  </si>
  <si>
    <t>368</t>
  </si>
  <si>
    <t>MS/1935/2025</t>
  </si>
  <si>
    <t>HD/1700/2025</t>
  </si>
  <si>
    <t>KB/0629/2019</t>
  </si>
  <si>
    <t>0216</t>
  </si>
  <si>
    <t>MN/0629/2019</t>
  </si>
  <si>
    <t>PC/1074/2015</t>
  </si>
  <si>
    <t>MS/1942/2025</t>
  </si>
  <si>
    <t>KB/0929/2025</t>
  </si>
  <si>
    <t>MN/0091/2019</t>
  </si>
  <si>
    <t>B3/230/24/2019</t>
  </si>
  <si>
    <t>0217</t>
  </si>
  <si>
    <t>MS/0664/2019</t>
  </si>
  <si>
    <t>KB/0930/2025</t>
  </si>
  <si>
    <t>413</t>
  </si>
  <si>
    <t>PC/0626/2020</t>
  </si>
  <si>
    <t>KB/0626/2019</t>
  </si>
  <si>
    <t>0218</t>
  </si>
  <si>
    <t>MN/0626/2019</t>
  </si>
  <si>
    <t>PC/0625/2020</t>
  </si>
  <si>
    <t>MS/1914/2025</t>
  </si>
  <si>
    <t>HD/1692/2025</t>
  </si>
  <si>
    <t>KB/0933/2025</t>
  </si>
  <si>
    <t>MN/0625/2019</t>
  </si>
  <si>
    <t>PC/1075/2025</t>
  </si>
  <si>
    <t>0219</t>
  </si>
  <si>
    <t>MS/1915/2025</t>
  </si>
  <si>
    <t>HD/1691/2025</t>
  </si>
  <si>
    <t>KB/0935/2025</t>
  </si>
  <si>
    <t>MN/0664/2025</t>
  </si>
  <si>
    <t>177</t>
  </si>
  <si>
    <t>HD/1683/2025</t>
  </si>
  <si>
    <t>KB/0945/2025</t>
  </si>
  <si>
    <t>MN/0623/2019</t>
  </si>
  <si>
    <t>0220</t>
  </si>
  <si>
    <t>PC/1007/2020</t>
  </si>
  <si>
    <t>MS/0715/2023</t>
  </si>
  <si>
    <t>HD/1701/2025</t>
  </si>
  <si>
    <t>KB/0931/2025</t>
  </si>
  <si>
    <t>MN/0622/2019</t>
  </si>
  <si>
    <t>PC/0987/2020</t>
  </si>
  <si>
    <t>MS/1916/2025</t>
  </si>
  <si>
    <t>HD/1768/2025</t>
  </si>
  <si>
    <t>KB/0948/2019</t>
  </si>
  <si>
    <t>0221</t>
  </si>
  <si>
    <t>MN/0642/2025</t>
  </si>
  <si>
    <t>PC/0242/2021</t>
  </si>
  <si>
    <t>113</t>
  </si>
  <si>
    <t>HD/1745/2025</t>
  </si>
  <si>
    <t>KB/0263/2019</t>
  </si>
  <si>
    <t>MN/0242/2019</t>
  </si>
  <si>
    <t>PC/0441/2021</t>
  </si>
  <si>
    <t>0222</t>
  </si>
  <si>
    <t>HD/1732/2025</t>
  </si>
  <si>
    <t>KB/0947/2025</t>
  </si>
  <si>
    <t>MN/0669/2025</t>
  </si>
  <si>
    <t>PC/0430/2021</t>
  </si>
  <si>
    <t>MS/1917/2025</t>
  </si>
  <si>
    <t>HD/0915/2023</t>
  </si>
  <si>
    <t>KB/0966/2025</t>
  </si>
  <si>
    <t>MN/0127/2019</t>
  </si>
  <si>
    <t>0223</t>
  </si>
  <si>
    <t>B3/230/37/2019</t>
  </si>
  <si>
    <t>HD/1744/2025</t>
  </si>
  <si>
    <t>KB/0146/2019</t>
  </si>
  <si>
    <t>292</t>
  </si>
  <si>
    <t>PC/0614/2021</t>
  </si>
  <si>
    <t>MS/0088/2019</t>
  </si>
  <si>
    <t>0224</t>
  </si>
  <si>
    <t>HD/1752/2025</t>
  </si>
  <si>
    <t>KB/0925/2025</t>
  </si>
  <si>
    <t>PC/0261/2021</t>
  </si>
  <si>
    <t>MS/1923/2025</t>
  </si>
  <si>
    <t>HD/1969/2025</t>
  </si>
  <si>
    <t>KB/0946/2025</t>
  </si>
  <si>
    <t>MN/0661/2025</t>
  </si>
  <si>
    <t>0225</t>
  </si>
  <si>
    <t>PC/0315/2021</t>
  </si>
  <si>
    <t>MS/0261/2019</t>
  </si>
  <si>
    <t>HD/0917/2023</t>
  </si>
  <si>
    <t>KB/0243/2019</t>
  </si>
  <si>
    <t>MN/0243/2019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</si>
  <si>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</si>
  <si>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</si>
  <si>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</si>
  <si>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</si>
  <si>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</si>
  <si>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</si>
  <si>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</si>
  <si>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</si>
  <si>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</si>
  <si>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</si>
  <si>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</si>
  <si>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247</t>
  </si>
  <si>
    <t>0237</t>
  </si>
  <si>
    <t>MS/2047/2025</t>
  </si>
  <si>
    <t>HD/1636/2025</t>
  </si>
  <si>
    <t>KB/0967/2025</t>
  </si>
  <si>
    <t>PC/1472/2025</t>
  </si>
  <si>
    <t>MS/1142/2023</t>
  </si>
  <si>
    <t>HD/1662/2025</t>
  </si>
  <si>
    <t>KB/0965/2025</t>
  </si>
  <si>
    <t>MN/0647/2025</t>
  </si>
  <si>
    <t>B3/230/331/2019</t>
  </si>
  <si>
    <t>MS/2044/2025</t>
  </si>
  <si>
    <t>HD/1635/2025</t>
  </si>
  <si>
    <t>KB/0961/2025</t>
  </si>
  <si>
    <t>278</t>
  </si>
  <si>
    <t>0238</t>
  </si>
  <si>
    <t>PC/0691/2019</t>
  </si>
  <si>
    <t>MS/2053/2025</t>
  </si>
  <si>
    <t>HD/1101/2022</t>
  </si>
  <si>
    <t>KB/0923/2025</t>
  </si>
  <si>
    <t>MN/0691/2019</t>
  </si>
  <si>
    <t>601</t>
  </si>
  <si>
    <t>MS/2054/2025</t>
  </si>
  <si>
    <t>HD/1661/2025</t>
  </si>
  <si>
    <t>KB/0948/2025</t>
  </si>
  <si>
    <t>0239</t>
  </si>
  <si>
    <t>PC/0185/2021</t>
  </si>
  <si>
    <t>MS/2059/2025</t>
  </si>
  <si>
    <t>HD/1649/2025</t>
  </si>
  <si>
    <t>KB/0920/2025</t>
  </si>
  <si>
    <t>MN/0267/2019</t>
  </si>
  <si>
    <t>PC/0267/2021</t>
  </si>
  <si>
    <t>MS/0305/2019</t>
  </si>
  <si>
    <t>HD/1648/2025</t>
  </si>
  <si>
    <t>KB/0115/2019</t>
  </si>
  <si>
    <t>562</t>
  </si>
  <si>
    <t>0240</t>
  </si>
  <si>
    <t>MS/2036/2025</t>
  </si>
  <si>
    <t>307</t>
  </si>
  <si>
    <t>KB/0954/2025</t>
  </si>
  <si>
    <t>PC/0330/2021</t>
  </si>
  <si>
    <t>HD/1663/2025</t>
  </si>
  <si>
    <t>KB/0955/2025</t>
  </si>
  <si>
    <t>MN/0050/2019</t>
  </si>
  <si>
    <t>0241</t>
  </si>
  <si>
    <t>PC/1489/2025</t>
  </si>
  <si>
    <t>MS/1103/2022</t>
  </si>
  <si>
    <t>HD/1664/2025</t>
  </si>
  <si>
    <t>KB/0922/2025</t>
  </si>
  <si>
    <t>PC/0761/2020</t>
  </si>
  <si>
    <t>MS/1390/2022</t>
  </si>
  <si>
    <t>HD/0907/2023</t>
  </si>
  <si>
    <t>KB/0927/2025</t>
  </si>
  <si>
    <t>923</t>
  </si>
  <si>
    <t>0242</t>
  </si>
  <si>
    <t>0243</t>
  </si>
  <si>
    <t>0244</t>
  </si>
  <si>
    <t>0245</t>
  </si>
  <si>
    <t>PC/0131/2021</t>
  </si>
  <si>
    <t>HD/1791/2025</t>
  </si>
  <si>
    <t>KB/1030/2025</t>
  </si>
  <si>
    <t>MN/0694/2025</t>
  </si>
  <si>
    <t>PC/1076/2025</t>
  </si>
  <si>
    <t>0246</t>
  </si>
  <si>
    <t>KB/1000/2019</t>
  </si>
  <si>
    <t>MN/0709/2025</t>
  </si>
  <si>
    <t>0247</t>
  </si>
  <si>
    <t>PC/0940/2020</t>
  </si>
  <si>
    <t>MS/1945/2025</t>
  </si>
  <si>
    <t>HD/1817/2025</t>
  </si>
  <si>
    <t>KB/1050/2025</t>
  </si>
  <si>
    <t>MN/0676/2025</t>
  </si>
  <si>
    <t>PC/0883/2020</t>
  </si>
  <si>
    <t>0248</t>
  </si>
  <si>
    <t>MS/0826/2023</t>
  </si>
  <si>
    <t>HD/0938/2023</t>
  </si>
  <si>
    <t>MN/0693/2025</t>
  </si>
  <si>
    <t>PC/0418/2021</t>
  </si>
  <si>
    <t>MS/0636/2025</t>
  </si>
  <si>
    <t>HD/1807/2025</t>
  </si>
  <si>
    <t>0249</t>
  </si>
  <si>
    <t>KB/0794/2025</t>
  </si>
  <si>
    <t>124</t>
  </si>
  <si>
    <t>PC/1077/2025</t>
  </si>
  <si>
    <t>MS/2083/2025</t>
  </si>
  <si>
    <t>HD/1098/2022</t>
  </si>
  <si>
    <t>KB/0795/2025</t>
  </si>
  <si>
    <t>430</t>
  </si>
  <si>
    <t>0250</t>
  </si>
  <si>
    <t>PC/0429/2021</t>
  </si>
  <si>
    <t>MS/0824/2023</t>
  </si>
  <si>
    <t>HD/1825/2025</t>
  </si>
  <si>
    <t>KB/0085/2019</t>
  </si>
  <si>
    <t>MN/0677/2025</t>
  </si>
  <si>
    <t>PC/1441/2025</t>
  </si>
  <si>
    <t>0251</t>
  </si>
  <si>
    <t>MS/0825/2023</t>
  </si>
  <si>
    <t>HD/1893/2025</t>
  </si>
  <si>
    <t>KB/0831/2019</t>
  </si>
  <si>
    <t>MN/0682/2025</t>
  </si>
  <si>
    <t>B3/230/16/2019</t>
  </si>
  <si>
    <t>MS/2085/2025</t>
  </si>
  <si>
    <t>HD/1827/2025</t>
  </si>
  <si>
    <t>KB/0811/2025</t>
  </si>
  <si>
    <t>490</t>
  </si>
  <si>
    <t>0252</t>
  </si>
  <si>
    <t>PC/0805/2020</t>
  </si>
  <si>
    <t>MS/1878/2025</t>
  </si>
  <si>
    <t>HD/1892/2025</t>
  </si>
  <si>
    <t>KB/0813/2025</t>
  </si>
  <si>
    <t>MN/0683/2025</t>
  </si>
  <si>
    <t>PC/1078/2025</t>
  </si>
  <si>
    <t>0253</t>
  </si>
  <si>
    <t>MS/1877/2025</t>
  </si>
  <si>
    <t>HD/1886/2025</t>
  </si>
  <si>
    <t>KB/0812/2025</t>
  </si>
  <si>
    <t>MN/0687/2025</t>
  </si>
  <si>
    <t>56</t>
  </si>
  <si>
    <t>0254</t>
  </si>
  <si>
    <t>HD/1888/2025</t>
  </si>
  <si>
    <t>KB/0872/2019</t>
  </si>
  <si>
    <t>MN/0684/2025</t>
  </si>
  <si>
    <t>PC/1079/2025</t>
  </si>
  <si>
    <t>MS/1930/2025</t>
  </si>
  <si>
    <t>HD/1878/2025</t>
  </si>
  <si>
    <t>0255</t>
  </si>
  <si>
    <t>KB/1052/2025</t>
  </si>
  <si>
    <t>MN/0697/2025</t>
  </si>
  <si>
    <t>PC/1080/2025</t>
  </si>
  <si>
    <t>MS/1961/2025</t>
  </si>
  <si>
    <t>HD/1863/2025</t>
  </si>
  <si>
    <t>KB/0727/2019</t>
  </si>
  <si>
    <t>MN/0681/2025</t>
  </si>
  <si>
    <t>0256</t>
  </si>
  <si>
    <t>PC/1081/2025</t>
  </si>
  <si>
    <t>MS/0797/2023</t>
  </si>
  <si>
    <t>HD/1867/2025</t>
  </si>
  <si>
    <t>KB/1041/2025</t>
  </si>
  <si>
    <t>MN/0685/2025</t>
  </si>
  <si>
    <t>PC/0896/2020</t>
  </si>
  <si>
    <t>MS/0828/2023</t>
  </si>
  <si>
    <t>0257</t>
  </si>
  <si>
    <t>KB/1055/2025</t>
  </si>
  <si>
    <t>MN/0686/2025</t>
  </si>
  <si>
    <t>PC/0991/2020</t>
  </si>
  <si>
    <t>MS/0831/2023</t>
  </si>
  <si>
    <t>KB/0834/2019</t>
  </si>
  <si>
    <t>MN/0695/2025</t>
  </si>
  <si>
    <t>0258</t>
  </si>
  <si>
    <t>PC/1434/2025</t>
  </si>
  <si>
    <t>MS/1931/2025</t>
  </si>
  <si>
    <t>HD/1847/2025</t>
  </si>
  <si>
    <t>KB/0833/2019</t>
  </si>
  <si>
    <t>MN/0689/2025</t>
  </si>
  <si>
    <t>0259</t>
  </si>
  <si>
    <t>PC/1084/2025</t>
  </si>
  <si>
    <t>MS/2066/2025</t>
  </si>
  <si>
    <t>HD/1842/2025</t>
  </si>
  <si>
    <t>KB/1042/2025</t>
  </si>
  <si>
    <t>MN/0706/2025</t>
  </si>
  <si>
    <t>PC/0713/2020</t>
  </si>
  <si>
    <t>MS/2093/2025</t>
  </si>
  <si>
    <t>0260</t>
  </si>
  <si>
    <t>518</t>
  </si>
  <si>
    <t>72</t>
  </si>
  <si>
    <t>B3/230/01/2019</t>
  </si>
  <si>
    <t>MS/0125/2019</t>
  </si>
  <si>
    <t>HD/1864/2025</t>
  </si>
  <si>
    <t>0261</t>
  </si>
  <si>
    <t>KB/0782/2019</t>
  </si>
  <si>
    <t>MN/0226/2019</t>
  </si>
  <si>
    <t>PC/0671/2019</t>
  </si>
  <si>
    <t>MS/0671/2019</t>
  </si>
  <si>
    <t>HD/1838/2025</t>
  </si>
  <si>
    <t>KB/1024/2025</t>
  </si>
  <si>
    <t>MN/0671/2019</t>
  </si>
  <si>
    <t>0262</t>
  </si>
  <si>
    <t>PC/0673/2019</t>
  </si>
  <si>
    <t>KB/0673/2019</t>
  </si>
  <si>
    <t>0263</t>
  </si>
  <si>
    <t>PC/1083/2025</t>
  </si>
  <si>
    <t>MS/2067/2025</t>
  </si>
  <si>
    <t>HD/1848/2025</t>
  </si>
  <si>
    <t>KB/1032/2025</t>
  </si>
  <si>
    <t>MN/0692/2025</t>
  </si>
  <si>
    <t>0264</t>
  </si>
  <si>
    <t>PC/0943/2020</t>
  </si>
  <si>
    <t>MS/0646/2019</t>
  </si>
  <si>
    <t>HD/1861/2025</t>
  </si>
  <si>
    <t>MN/0707/2025</t>
  </si>
  <si>
    <t>PC/0421/2021</t>
  </si>
  <si>
    <t>MS/0197/2019</t>
  </si>
  <si>
    <t>0265</t>
  </si>
  <si>
    <t>KB/1036/2025</t>
  </si>
  <si>
    <t>MN/0678/2025</t>
  </si>
  <si>
    <t>PC/0583/2021</t>
  </si>
  <si>
    <t>HD/1123/2022</t>
  </si>
  <si>
    <t>65</t>
  </si>
  <si>
    <t>B3/230/141/2019</t>
  </si>
  <si>
    <t>PC/0729/2020</t>
  </si>
  <si>
    <t>MS/2111/2025</t>
  </si>
  <si>
    <t>0266</t>
  </si>
  <si>
    <t>HD/1843/2025</t>
  </si>
  <si>
    <t>KB/0276/2019</t>
  </si>
  <si>
    <t>MN/0123/2019</t>
  </si>
  <si>
    <t>PC/0587/2021</t>
  </si>
  <si>
    <t>MS/1947/2025</t>
  </si>
  <si>
    <t>HD/1856/2025</t>
  </si>
  <si>
    <t>KB/0406/2019</t>
  </si>
  <si>
    <t>93/2020</t>
  </si>
  <si>
    <t>0267</t>
  </si>
  <si>
    <t>PC/0995/2020</t>
  </si>
  <si>
    <t>MS/1957/2025</t>
  </si>
  <si>
    <t>HD/1868/2025</t>
  </si>
  <si>
    <t>KB/1063/2025</t>
  </si>
  <si>
    <t>MN/0708/2025</t>
  </si>
  <si>
    <t>0268</t>
  </si>
  <si>
    <t>PC/1027/2020</t>
  </si>
  <si>
    <t>HD/1872/2025</t>
  </si>
  <si>
    <t>KB/0653/2019</t>
  </si>
  <si>
    <t>MN/0710/2025</t>
  </si>
  <si>
    <t>PC/0637/2019</t>
  </si>
  <si>
    <t>MS/2113/2025</t>
  </si>
  <si>
    <t>KB/1021/2025</t>
  </si>
  <si>
    <t>0269</t>
  </si>
  <si>
    <t>MN/0637/2019</t>
  </si>
  <si>
    <t>PC/0937/2020</t>
  </si>
  <si>
    <t>HD/1853/2025</t>
  </si>
  <si>
    <t>KB/0986/2019</t>
  </si>
  <si>
    <t>MN/0700/2025</t>
  </si>
  <si>
    <t>PC/0800/2020</t>
  </si>
  <si>
    <t>0270</t>
  </si>
  <si>
    <t>MS/1008/2022</t>
  </si>
  <si>
    <t>HD/1879/2025</t>
  </si>
  <si>
    <t>KB/0842/2019</t>
  </si>
  <si>
    <t>356</t>
  </si>
  <si>
    <t>HD/1854/2025</t>
  </si>
  <si>
    <t>KB/0978/2019</t>
  </si>
  <si>
    <t>825</t>
  </si>
  <si>
    <t>0271</t>
  </si>
  <si>
    <t>PC/0129/2021</t>
  </si>
  <si>
    <t>MS/0488/2019</t>
  </si>
  <si>
    <t>HD/1855/2025</t>
  </si>
  <si>
    <t>KB/1040/2025</t>
  </si>
  <si>
    <t>B3/230/113/2019</t>
  </si>
  <si>
    <t>PC/0653/2019</t>
  </si>
  <si>
    <t>MS/0174/2019</t>
  </si>
  <si>
    <t>HD/1852/2025</t>
  </si>
  <si>
    <t>KB/1043/2025</t>
  </si>
  <si>
    <t>MN/0653/2019</t>
  </si>
  <si>
    <t>0272</t>
  </si>
  <si>
    <t>PC/0541/2021</t>
  </si>
  <si>
    <t>MS/2082/2025</t>
  </si>
  <si>
    <t>KB/0970/2019</t>
  </si>
  <si>
    <t>MN/0660/2019</t>
  </si>
  <si>
    <t>PC/0588/2021</t>
  </si>
  <si>
    <t>MS/2088/2025</t>
  </si>
  <si>
    <t>0273</t>
  </si>
  <si>
    <t>KB/1064/2025</t>
  </si>
  <si>
    <t>PC/0741/2020</t>
  </si>
  <si>
    <t>MS/0870/2023</t>
  </si>
  <si>
    <t>HD/1845/2025</t>
  </si>
  <si>
    <t>KB/0865/2019</t>
  </si>
  <si>
    <t>MN/0865/2019</t>
  </si>
  <si>
    <t>PC/1381/2025</t>
  </si>
  <si>
    <t>MS/2081/2025</t>
  </si>
  <si>
    <t>0274</t>
  </si>
  <si>
    <t>HD/1105/2022</t>
  </si>
  <si>
    <t>KB/1033/2025</t>
  </si>
  <si>
    <t>MN/0541/2025</t>
  </si>
  <si>
    <t>PC/1380/2025</t>
  </si>
  <si>
    <t>MS/0866/2023</t>
  </si>
  <si>
    <t>HD/0901/2023</t>
  </si>
  <si>
    <t>KB/1065/2025</t>
  </si>
  <si>
    <t>MN/0542/2025</t>
  </si>
  <si>
    <t>0275</t>
  </si>
  <si>
    <t>PC/1014/2020</t>
  </si>
  <si>
    <t>MS/0799/2023</t>
  </si>
  <si>
    <t>KB/0852/2019</t>
  </si>
  <si>
    <t>MN/0544/2025</t>
  </si>
  <si>
    <t>PC/1086/2025</t>
  </si>
  <si>
    <t>MS/2075/2025</t>
  </si>
  <si>
    <t>HD/1846/2025</t>
  </si>
  <si>
    <t>KB/1031/2025</t>
  </si>
  <si>
    <t>48/2020</t>
  </si>
  <si>
    <t>0276</t>
  </si>
  <si>
    <t>PC/1016/2020</t>
  </si>
  <si>
    <t>MS/0894/2023</t>
  </si>
  <si>
    <t>HD/1839/2025</t>
  </si>
  <si>
    <t>KB/0741/2019</t>
  </si>
  <si>
    <t>MN/0546/2025</t>
  </si>
  <si>
    <t>0277</t>
  </si>
  <si>
    <t>PC/0871/2020</t>
  </si>
  <si>
    <t>MS/2074/2025</t>
  </si>
  <si>
    <t>HD/1857/2025</t>
  </si>
  <si>
    <t>KB/0849/2019</t>
  </si>
  <si>
    <t>0278</t>
  </si>
  <si>
    <t>0279</t>
  </si>
  <si>
    <t>PC/1020/2020</t>
  </si>
  <si>
    <t>MS/2068/2025</t>
  </si>
  <si>
    <t>HD/1831/2025</t>
  </si>
  <si>
    <t>KB/1047/2025</t>
  </si>
  <si>
    <t>940</t>
  </si>
  <si>
    <t>PC/1021/2020</t>
  </si>
  <si>
    <t>HD/1837/2025</t>
  </si>
  <si>
    <t>KB/0949/2019</t>
  </si>
  <si>
    <t>941</t>
  </si>
  <si>
    <t>0280</t>
  </si>
  <si>
    <t>PC/1022/2020</t>
  </si>
  <si>
    <t>MS/0849/2023</t>
  </si>
  <si>
    <t>HD/1829/2025</t>
  </si>
  <si>
    <t>KB/1019/2025</t>
  </si>
  <si>
    <t>MN/0703/2025</t>
  </si>
  <si>
    <t>PC/0022/2020</t>
  </si>
  <si>
    <t>MS/0850/2023</t>
  </si>
  <si>
    <t>HD/1832/2025</t>
  </si>
  <si>
    <t>0281</t>
  </si>
  <si>
    <t>KB/0850/2019</t>
  </si>
  <si>
    <t>MN/0716/2025</t>
  </si>
  <si>
    <t>PC/1087/2025</t>
  </si>
  <si>
    <t>MS/2109/2025</t>
  </si>
  <si>
    <t>HD/1860/2025</t>
  </si>
  <si>
    <t>KB/1066/2025</t>
  </si>
  <si>
    <t>MN/0699/2025</t>
  </si>
  <si>
    <t>0282</t>
  </si>
  <si>
    <t>PC/0443/2021</t>
  </si>
  <si>
    <t>MS/0855/2023</t>
  </si>
  <si>
    <t>HD/1844/2025</t>
  </si>
  <si>
    <t>KB/0421/2019</t>
  </si>
  <si>
    <t>153</t>
  </si>
  <si>
    <t>0283</t>
  </si>
  <si>
    <t>PC/1013/2020</t>
  </si>
  <si>
    <t>312</t>
  </si>
  <si>
    <t>HD/1139/2022</t>
  </si>
  <si>
    <t>KB/1037/2025</t>
  </si>
  <si>
    <t>MN/0723/2025</t>
  </si>
  <si>
    <t>0284</t>
  </si>
  <si>
    <t>PC/1024/2020</t>
  </si>
  <si>
    <t>MS/0725/2023</t>
  </si>
  <si>
    <t>KB/1051/2025</t>
  </si>
  <si>
    <t>624</t>
  </si>
  <si>
    <t>0285</t>
  </si>
  <si>
    <t>PC/1120/2020</t>
  </si>
  <si>
    <t>MS/0915/2023</t>
  </si>
  <si>
    <t>HD/1874/2025</t>
  </si>
  <si>
    <t>KB/0905/2019</t>
  </si>
  <si>
    <t>MN/0698/2025</t>
  </si>
  <si>
    <t>PC/1088/2025</t>
  </si>
  <si>
    <t>0286</t>
  </si>
  <si>
    <t>MS/0659/2019</t>
  </si>
  <si>
    <t>HD/1894/2025</t>
  </si>
  <si>
    <t>KB/0837/2019</t>
  </si>
  <si>
    <t>MN/0691/2025</t>
  </si>
  <si>
    <t>PC/1089/2025</t>
  </si>
  <si>
    <t>MS/2110/2025</t>
  </si>
  <si>
    <t>HD/1895/2025</t>
  </si>
  <si>
    <t>0287</t>
  </si>
  <si>
    <t>KB/1058/2025</t>
  </si>
  <si>
    <t>MN/0713/2025</t>
  </si>
  <si>
    <t>PC/0235/2021</t>
  </si>
  <si>
    <t>HD/1841/2025</t>
  </si>
  <si>
    <t>KB/1067/2025</t>
  </si>
  <si>
    <t>MN/0711/2025</t>
  </si>
  <si>
    <t>0288</t>
  </si>
  <si>
    <t>HD/1840/2025</t>
  </si>
  <si>
    <t>0289</t>
  </si>
  <si>
    <t>0290</t>
  </si>
  <si>
    <t>0291</t>
  </si>
  <si>
    <t>LT 3 KUBIKEL BARU</t>
  </si>
  <si>
    <t>0292</t>
  </si>
  <si>
    <t>PC/1092/2025</t>
  </si>
  <si>
    <t>MS/0644/2019</t>
  </si>
  <si>
    <t>HD/1858/2025</t>
  </si>
  <si>
    <t>KB/1059/2025</t>
  </si>
  <si>
    <t>MN/0722/2025</t>
  </si>
  <si>
    <t>PC/0362/2021</t>
  </si>
  <si>
    <t>0293</t>
  </si>
  <si>
    <t>KB/0854/2019</t>
  </si>
  <si>
    <t>MN/0289/2019</t>
  </si>
  <si>
    <t>PC/1093/2025</t>
  </si>
  <si>
    <t>0294</t>
  </si>
  <si>
    <t>HD/1877/2025</t>
  </si>
  <si>
    <t>KB/0982/2025</t>
  </si>
  <si>
    <t>718</t>
  </si>
  <si>
    <t>241</t>
  </si>
  <si>
    <t>MS/2069/2025</t>
  </si>
  <si>
    <t>HD/1869/2025</t>
  </si>
  <si>
    <t>0295</t>
  </si>
  <si>
    <t>KB/0998/2025</t>
  </si>
  <si>
    <t>MN/0725/2025</t>
  </si>
  <si>
    <t>PC/0742/2020</t>
  </si>
  <si>
    <t>MS/0933/2023</t>
  </si>
  <si>
    <t>B9/290/136/2019</t>
  </si>
  <si>
    <t>KB/0981/2025</t>
  </si>
  <si>
    <t>MN/0720/2025</t>
  </si>
  <si>
    <t>0296</t>
  </si>
  <si>
    <t>PC/1416/2025</t>
  </si>
  <si>
    <t>HD/1836/2025</t>
  </si>
  <si>
    <t>KB/0983/2025</t>
  </si>
  <si>
    <t>954</t>
  </si>
  <si>
    <t>0297</t>
  </si>
  <si>
    <t>PC/0799/2020</t>
  </si>
  <si>
    <t>MS/2070/2025</t>
  </si>
  <si>
    <t>HD/1850/2025</t>
  </si>
  <si>
    <t>KB/0985/2025</t>
  </si>
  <si>
    <t>MN/0701/2025</t>
  </si>
  <si>
    <t>0298</t>
  </si>
  <si>
    <t>B3/230/55/2019</t>
  </si>
  <si>
    <t>HD/1859/2025</t>
  </si>
  <si>
    <t>KB/0775/2019</t>
  </si>
  <si>
    <t>MN/0549/2025</t>
  </si>
  <si>
    <t>0299</t>
  </si>
  <si>
    <t>PC/0944/2020</t>
  </si>
  <si>
    <t>MS/0841/2023</t>
  </si>
  <si>
    <t>HD/1851/2025</t>
  </si>
  <si>
    <t>KB/0969/2025</t>
  </si>
  <si>
    <t>MN/0724/2025</t>
  </si>
  <si>
    <t>0300</t>
  </si>
  <si>
    <t>PC/0784/2020</t>
  </si>
  <si>
    <t>MS/0712/2023</t>
  </si>
  <si>
    <t>HD/1828/2025</t>
  </si>
  <si>
    <t>KB/0224/2019</t>
  </si>
  <si>
    <t>MN/0249/2019</t>
  </si>
  <si>
    <t>PC/1090/2025</t>
  </si>
  <si>
    <t>0301</t>
  </si>
  <si>
    <t>HD/1835/2025</t>
  </si>
  <si>
    <t>KB/0984/2025</t>
  </si>
  <si>
    <t>MN/0720/2019</t>
  </si>
  <si>
    <t>PC/0767/2020</t>
  </si>
  <si>
    <t>36</t>
  </si>
  <si>
    <t>0302</t>
  </si>
  <si>
    <t>HD/0935/2023</t>
  </si>
  <si>
    <t>KB/0974/2025</t>
  </si>
  <si>
    <t>MN/0715/2025</t>
  </si>
  <si>
    <t>PC/0530/2021</t>
  </si>
  <si>
    <t>HD/1849/2025</t>
  </si>
  <si>
    <t>0303</t>
  </si>
  <si>
    <t>KB/0989/2025</t>
  </si>
  <si>
    <t>MN/0688/2025</t>
  </si>
  <si>
    <t>557</t>
  </si>
  <si>
    <t>HD/1834/2025</t>
  </si>
  <si>
    <t>176</t>
  </si>
  <si>
    <t>782</t>
  </si>
  <si>
    <t>0304</t>
  </si>
  <si>
    <t>PC/0655/2020</t>
  </si>
  <si>
    <t>MS/1081/2023</t>
  </si>
  <si>
    <t>HD/1873/2025</t>
  </si>
  <si>
    <t>KB/0977/2025</t>
  </si>
  <si>
    <t>MN/0721/2025</t>
  </si>
  <si>
    <t>KB/0973/2025</t>
  </si>
  <si>
    <t>MN/0680/2025</t>
  </si>
  <si>
    <t>0305</t>
  </si>
  <si>
    <t>PC/0335/2021</t>
  </si>
  <si>
    <t>KB/0877/2019</t>
  </si>
  <si>
    <t>779</t>
  </si>
  <si>
    <t>PC/0307/2021</t>
  </si>
  <si>
    <t>MS/0648/2019</t>
  </si>
  <si>
    <t>KB/0778/2019</t>
  </si>
  <si>
    <t>MN/0144/2019</t>
  </si>
  <si>
    <t>0306</t>
  </si>
  <si>
    <t>PC/1095/2025</t>
  </si>
  <si>
    <t>MS/1434/2022</t>
  </si>
  <si>
    <t>KB/0972/2025</t>
  </si>
  <si>
    <t>MN/0696/2025</t>
  </si>
  <si>
    <t>35/2020</t>
  </si>
  <si>
    <t>MS/0836/2023</t>
  </si>
  <si>
    <t>0307</t>
  </si>
  <si>
    <t>95</t>
  </si>
  <si>
    <t>MN/0759/2022</t>
  </si>
  <si>
    <t>B3/230/66/2019</t>
  </si>
  <si>
    <t>KB/0994/2025</t>
  </si>
  <si>
    <t>0308</t>
  </si>
  <si>
    <t>PC/1096/2025</t>
  </si>
  <si>
    <t>MS/0959/2023</t>
  </si>
  <si>
    <t>MN/0775/2025</t>
  </si>
  <si>
    <t>PC/0705/2020</t>
  </si>
  <si>
    <t>MS/0179/2019</t>
  </si>
  <si>
    <t>KB/0990/2025</t>
  </si>
  <si>
    <t>521</t>
  </si>
  <si>
    <t>0309</t>
  </si>
  <si>
    <t>PC/0803/2020</t>
  </si>
  <si>
    <t>KB/0647/2019</t>
  </si>
  <si>
    <t>MN/0665/2019</t>
  </si>
  <si>
    <t>PC/0724/2020</t>
  </si>
  <si>
    <t>MS/0145/2019</t>
  </si>
  <si>
    <t>KB/0971/2025</t>
  </si>
  <si>
    <t>0310</t>
  </si>
  <si>
    <t>MN/0774/2025</t>
  </si>
  <si>
    <t>PC/1097/2025</t>
  </si>
  <si>
    <t>KB/0886/2019</t>
  </si>
  <si>
    <t>MN/0773/2025</t>
  </si>
  <si>
    <t>PC/1098/2025</t>
  </si>
  <si>
    <t>MS/0034/2019</t>
  </si>
  <si>
    <t>0311</t>
  </si>
  <si>
    <t>KB/0915/2019</t>
  </si>
  <si>
    <t>629</t>
  </si>
  <si>
    <t>PC/0648/2020</t>
  </si>
  <si>
    <t>KB/0992/2025</t>
  </si>
  <si>
    <t>PC/1099/2025</t>
  </si>
  <si>
    <t>0312</t>
  </si>
  <si>
    <t>KB/0904/2019</t>
  </si>
  <si>
    <t>742</t>
  </si>
  <si>
    <t>PC/0984/2020</t>
  </si>
  <si>
    <t>MS/0972/2023</t>
  </si>
  <si>
    <t>KB/0786/2019</t>
  </si>
  <si>
    <t>MN/0770/2025</t>
  </si>
  <si>
    <t>PC/0186/2021</t>
  </si>
  <si>
    <t>0313</t>
  </si>
  <si>
    <t>KB/0972/2019</t>
  </si>
  <si>
    <t>PC/1100/2025</t>
  </si>
  <si>
    <t>0314</t>
  </si>
  <si>
    <t>KB/0987/2025</t>
  </si>
  <si>
    <t>MN/0769/2025</t>
  </si>
  <si>
    <t>PC/0512/2021</t>
  </si>
  <si>
    <t>KB/0897/2019</t>
  </si>
  <si>
    <t>627</t>
  </si>
  <si>
    <t>0315</t>
  </si>
  <si>
    <t>PC/0442/2021</t>
  </si>
  <si>
    <t>KB/0919/2019</t>
  </si>
  <si>
    <t>MN/0767/2025</t>
  </si>
  <si>
    <t>PC/0748/2020</t>
  </si>
  <si>
    <t>MS/0144/2019</t>
  </si>
  <si>
    <t>0316</t>
  </si>
  <si>
    <t>KB/1013/2025</t>
  </si>
  <si>
    <t>MN/0766/2025</t>
  </si>
  <si>
    <t>PC/0642/2020</t>
  </si>
  <si>
    <t>0317</t>
  </si>
  <si>
    <t>MS/1116/2023</t>
  </si>
  <si>
    <t>KB/0914/2019</t>
  </si>
  <si>
    <t>127</t>
  </si>
  <si>
    <t>PC/0303/2021</t>
  </si>
  <si>
    <t>KB/0145/2019</t>
  </si>
  <si>
    <t>MN/0765/2025</t>
  </si>
  <si>
    <t>0318</t>
  </si>
  <si>
    <t>PC/0881/2020</t>
  </si>
  <si>
    <t>KB/1001/2025</t>
  </si>
  <si>
    <t>818</t>
  </si>
  <si>
    <t>0319</t>
  </si>
  <si>
    <t>MN/0763/2025</t>
  </si>
  <si>
    <t>KB/0910/2018</t>
  </si>
  <si>
    <t>MN/0125/2020</t>
  </si>
  <si>
    <t>PC/0525/2019</t>
  </si>
  <si>
    <t>MS/0075/2019</t>
  </si>
  <si>
    <t>KB/1004/2025</t>
  </si>
  <si>
    <t>0320</t>
  </si>
  <si>
    <t>MN/0761/2025</t>
  </si>
  <si>
    <t>PC/1103/2024</t>
  </si>
  <si>
    <t>MS/0738/2023</t>
  </si>
  <si>
    <t>MN/0760/2025</t>
  </si>
  <si>
    <t>0321</t>
  </si>
  <si>
    <t>0322</t>
  </si>
  <si>
    <t>0323</t>
  </si>
  <si>
    <t>PC/1420/2025</t>
  </si>
  <si>
    <t>MS/1122/2023</t>
  </si>
  <si>
    <t>KB/1002/2025</t>
  </si>
  <si>
    <t>MN/0758/2025</t>
  </si>
  <si>
    <t>PC/1418/2025</t>
  </si>
  <si>
    <t>MS/0760/2023</t>
  </si>
  <si>
    <t>HD/1806/2025</t>
  </si>
  <si>
    <t>MN/0757/2025</t>
  </si>
  <si>
    <t>PC/1426/2025</t>
  </si>
  <si>
    <t>MS/2092/2025</t>
  </si>
  <si>
    <t>0324</t>
  </si>
  <si>
    <t>HD/1094/2022</t>
  </si>
  <si>
    <t>KB/0763/2025</t>
  </si>
  <si>
    <t>B3/230/93/2019</t>
  </si>
  <si>
    <t>PC/1423/2025</t>
  </si>
  <si>
    <t>HD/1780/2025</t>
  </si>
  <si>
    <t>KB/0968/2019</t>
  </si>
  <si>
    <t>MN/0756/2025</t>
  </si>
  <si>
    <t>PC/1424/2025</t>
  </si>
  <si>
    <t>0325</t>
  </si>
  <si>
    <t>MS/0973/2025</t>
  </si>
  <si>
    <t>KB/0996/2025</t>
  </si>
  <si>
    <t>MN/0755/2025</t>
  </si>
  <si>
    <t>PC/1427/2025</t>
  </si>
  <si>
    <t>HD/1779/2025</t>
  </si>
  <si>
    <t>KB/0862/2019</t>
  </si>
  <si>
    <t>MN/0754/2025</t>
  </si>
  <si>
    <t>PC/1428/2025</t>
  </si>
  <si>
    <t>MS/2091/2025</t>
  </si>
  <si>
    <t>0326</t>
  </si>
  <si>
    <t>KB/1012/2025</t>
  </si>
  <si>
    <t>MN/0753/2025</t>
  </si>
  <si>
    <t>PC/1430/2025</t>
  </si>
  <si>
    <t>KB/1017/2025</t>
  </si>
  <si>
    <t>MN/0751/2025</t>
  </si>
  <si>
    <t>0327</t>
  </si>
  <si>
    <t>PC/1429/2025</t>
  </si>
  <si>
    <t>MS/0404/2019</t>
  </si>
  <si>
    <t>HD/1804/2025</t>
  </si>
  <si>
    <t>KB/0989/2019</t>
  </si>
  <si>
    <t>0328</t>
  </si>
  <si>
    <t>PC/1417/2025</t>
  </si>
  <si>
    <t>MS/0939/2023</t>
  </si>
  <si>
    <t>HD/1783/2025</t>
  </si>
  <si>
    <t>KB/1009/2025</t>
  </si>
  <si>
    <t>MN/0752/2025</t>
  </si>
  <si>
    <t>MS/0339/2019</t>
  </si>
  <si>
    <t>HD/1819/2025</t>
  </si>
  <si>
    <t>KB/0934/2019</t>
  </si>
  <si>
    <t>MN/0750/2025</t>
  </si>
  <si>
    <t>0329</t>
  </si>
  <si>
    <t>MS/0794/2025</t>
  </si>
  <si>
    <t>HD/1782/2025</t>
  </si>
  <si>
    <t>KB/1011/2025</t>
  </si>
  <si>
    <t>MN/0749/2025</t>
  </si>
  <si>
    <t>PC/1414/2025</t>
  </si>
  <si>
    <t>MS/2090/2025</t>
  </si>
  <si>
    <t>HD/1862/2025</t>
  </si>
  <si>
    <t>0330</t>
  </si>
  <si>
    <t>KB/0928/2019</t>
  </si>
  <si>
    <t>MN/0748/2025</t>
  </si>
  <si>
    <t>PC/1411/2025</t>
  </si>
  <si>
    <t>MS/2072/2025</t>
  </si>
  <si>
    <t>HD/1794/2025</t>
  </si>
  <si>
    <t>KB/0648/2019</t>
  </si>
  <si>
    <t>MN/0747/2025</t>
  </si>
  <si>
    <t>0331</t>
  </si>
  <si>
    <t>MS/0744/2023</t>
  </si>
  <si>
    <t>HD/1816/2025</t>
  </si>
  <si>
    <t>KB/1010/2025</t>
  </si>
  <si>
    <t>MN/0746/2025</t>
  </si>
  <si>
    <t>MS/0957/2023</t>
  </si>
  <si>
    <t>KB/0918/2019</t>
  </si>
  <si>
    <t>0332</t>
  </si>
  <si>
    <t>MN/0645/2019</t>
  </si>
  <si>
    <t>0333</t>
  </si>
  <si>
    <t>0334</t>
  </si>
  <si>
    <t>PC/1448/2025</t>
  </si>
  <si>
    <t>0335</t>
  </si>
  <si>
    <t>MN/0151/2020</t>
  </si>
  <si>
    <t>PC/1452/2025</t>
  </si>
  <si>
    <t>MS/2106/2025</t>
  </si>
  <si>
    <t>HD/1778/2025</t>
  </si>
  <si>
    <t>KB/0958/2019</t>
  </si>
  <si>
    <t>0336</t>
  </si>
  <si>
    <t>B3/230/57/2019</t>
  </si>
  <si>
    <t>B3/230/71/2019</t>
  </si>
  <si>
    <t>HD/1071/2022</t>
  </si>
  <si>
    <t>KB/0419/2019</t>
  </si>
  <si>
    <t>PC/0743/2020</t>
  </si>
  <si>
    <t>MS/0956/2023</t>
  </si>
  <si>
    <t>0337</t>
  </si>
  <si>
    <t>KB/0956/2019</t>
  </si>
  <si>
    <t>MN/0743/2025</t>
  </si>
  <si>
    <t>0338</t>
  </si>
  <si>
    <t>0339</t>
  </si>
  <si>
    <t>PC/1447/2025</t>
  </si>
  <si>
    <t>MS/0043/2019</t>
  </si>
  <si>
    <t>KB/0119/2019</t>
  </si>
  <si>
    <t>PC/1450/2025</t>
  </si>
  <si>
    <t>MS/2080/2025</t>
  </si>
  <si>
    <t>HD/1821/2025</t>
  </si>
  <si>
    <t>0340</t>
  </si>
  <si>
    <t>KB/0858/2019</t>
  </si>
  <si>
    <t>PC/1458/2025</t>
  </si>
  <si>
    <t>HD/1814/2025</t>
  </si>
  <si>
    <t>KB/0194/2020</t>
  </si>
  <si>
    <t>PC/1456/2025</t>
  </si>
  <si>
    <t>MS/0902/2023</t>
  </si>
  <si>
    <t>HD/1787/2025</t>
  </si>
  <si>
    <t>0341</t>
  </si>
  <si>
    <t>KB/1016/2025</t>
  </si>
  <si>
    <t>MN/0739/2025</t>
  </si>
  <si>
    <t>PC/1415/2025</t>
  </si>
  <si>
    <t>MN/0729/2019</t>
  </si>
  <si>
    <t>0342</t>
  </si>
  <si>
    <t>PC/1444/2025</t>
  </si>
  <si>
    <t>MS/0840/2025</t>
  </si>
  <si>
    <t>HD/1813/2025</t>
  </si>
  <si>
    <t>KB/0883/2019</t>
  </si>
  <si>
    <t>MN/0738/2025</t>
  </si>
  <si>
    <t>PC/1449/2025</t>
  </si>
  <si>
    <t>MS/0382/2019</t>
  </si>
  <si>
    <t>HD/1824/2025</t>
  </si>
  <si>
    <t>KB/1015/2025</t>
  </si>
  <si>
    <t>0343</t>
  </si>
  <si>
    <t>MN/0737/2025</t>
  </si>
  <si>
    <t>MS/2086/2025</t>
  </si>
  <si>
    <t>HD/1820/2025</t>
  </si>
  <si>
    <t>KB/1005/2025</t>
  </si>
  <si>
    <t>0344</t>
  </si>
  <si>
    <t>MS/2089/2025</t>
  </si>
  <si>
    <t>HD/1784/2025</t>
  </si>
  <si>
    <t>KB/0075/2019</t>
  </si>
  <si>
    <t>MN/0075/2019</t>
  </si>
  <si>
    <t>0345</t>
  </si>
  <si>
    <t>PC/1442/2025</t>
  </si>
  <si>
    <t>0346</t>
  </si>
  <si>
    <t>MS/2073/2025</t>
  </si>
  <si>
    <t>HD/1087/2022</t>
  </si>
  <si>
    <t>KB/0975/2025</t>
  </si>
  <si>
    <t>MN/0735/2025</t>
  </si>
  <si>
    <t>PC/1419/2025</t>
  </si>
  <si>
    <t>MS/2105/2025</t>
  </si>
  <si>
    <t>HD/1789/2025</t>
  </si>
  <si>
    <t>0347</t>
  </si>
  <si>
    <t>KB/0978/2025</t>
  </si>
  <si>
    <t>MN/0736/2025</t>
  </si>
  <si>
    <t>PC/1409/2025</t>
  </si>
  <si>
    <t>MS/2094/2025</t>
  </si>
  <si>
    <t>HD/1800/2025</t>
  </si>
  <si>
    <t>0348</t>
  </si>
  <si>
    <t>KB/1006/2025</t>
  </si>
  <si>
    <t>PC/1421/2025</t>
  </si>
  <si>
    <t>MS/1668/2025</t>
  </si>
  <si>
    <t>HD/1790/2025</t>
  </si>
  <si>
    <t>KB/0901/2019</t>
  </si>
  <si>
    <t>0349</t>
  </si>
  <si>
    <t>MN/0734/2025</t>
  </si>
  <si>
    <t>PC/1439/2025</t>
  </si>
  <si>
    <t>MS/1954/2025</t>
  </si>
  <si>
    <t>HD/1808/2025</t>
  </si>
  <si>
    <t>KB/0739/2019</t>
  </si>
  <si>
    <t>MN/0733/2025</t>
  </si>
  <si>
    <t>0350</t>
  </si>
  <si>
    <t>B3/230/49/2019</t>
  </si>
  <si>
    <t>MS/0695/2019</t>
  </si>
  <si>
    <t>HD/1799/2025</t>
  </si>
  <si>
    <t>KB/0397/2019</t>
  </si>
  <si>
    <t>0351</t>
  </si>
  <si>
    <t>PC/1438/2025</t>
  </si>
  <si>
    <t>MS/1977/2025</t>
  </si>
  <si>
    <t>KB/0988/2025</t>
  </si>
  <si>
    <t>MN/0732/2025</t>
  </si>
  <si>
    <t>PC/1431/2025</t>
  </si>
  <si>
    <t>MS/2079/2025</t>
  </si>
  <si>
    <t>0352</t>
  </si>
  <si>
    <t>HD/1792/2025</t>
  </si>
  <si>
    <t>KB/1008/2025</t>
  </si>
  <si>
    <t>MN/0731/2025</t>
  </si>
  <si>
    <t>PC/1432/2025</t>
  </si>
  <si>
    <t>0353</t>
  </si>
  <si>
    <t>MS/1974/2025</t>
  </si>
  <si>
    <t>HD/1941/2023</t>
  </si>
  <si>
    <t>KB/0970/2025</t>
  </si>
  <si>
    <t>MN/0730/2025</t>
  </si>
  <si>
    <t>MS/1155/2025</t>
  </si>
  <si>
    <t>0354</t>
  </si>
  <si>
    <t>KB/0999/2025</t>
  </si>
  <si>
    <t>MN/0729/2025</t>
  </si>
  <si>
    <t>PC/1443/2025</t>
  </si>
  <si>
    <t>MS/0589/2025</t>
  </si>
  <si>
    <t>0355</t>
  </si>
  <si>
    <t>HD/1822/2025</t>
  </si>
  <si>
    <t>KB/0986/2025</t>
  </si>
  <si>
    <t>MN/0728/2025</t>
  </si>
  <si>
    <t>PC/1445/2025</t>
  </si>
  <si>
    <t>MS/2076/2025</t>
  </si>
  <si>
    <t>HD/1811/2025</t>
  </si>
  <si>
    <t>KB/0973/2019</t>
  </si>
  <si>
    <t>MN/0121/2020</t>
  </si>
  <si>
    <t>PC/1454/2025</t>
  </si>
  <si>
    <t>MS/0785/2023</t>
  </si>
  <si>
    <t>HD/1805/2025</t>
  </si>
  <si>
    <t>KB/0982/2019</t>
  </si>
  <si>
    <t>MN/0668/2025</t>
  </si>
  <si>
    <t>PC/1413/2025</t>
  </si>
  <si>
    <t>KB/1018/2025</t>
  </si>
  <si>
    <t>MN/0641/2025</t>
  </si>
  <si>
    <t>PC/0988/2020</t>
  </si>
  <si>
    <t>MS/0740/2023</t>
  </si>
  <si>
    <t>HD/1826/2025</t>
  </si>
  <si>
    <t>PC/1466/2025</t>
  </si>
  <si>
    <t>MS/0985/2023</t>
  </si>
  <si>
    <t>HD/1823/2025</t>
  </si>
  <si>
    <t>KB/1014/2025</t>
  </si>
  <si>
    <t>PC/0672/2020</t>
  </si>
  <si>
    <t>HD/1801/2025</t>
  </si>
  <si>
    <t>KB/0672/2019</t>
  </si>
  <si>
    <t>0356</t>
  </si>
  <si>
    <t>MN/0652/2025</t>
  </si>
  <si>
    <t>DITEMPEL MANAGEMENT</t>
  </si>
  <si>
    <t>MS/1992/2025</t>
  </si>
  <si>
    <t>HD/1756/2025</t>
  </si>
  <si>
    <t>KB/0924/2025</t>
  </si>
  <si>
    <t>PC/1484/2025</t>
  </si>
  <si>
    <t>HD/1887/2025</t>
  </si>
  <si>
    <t>0357</t>
  </si>
  <si>
    <t>MN/0629/2025</t>
  </si>
  <si>
    <t>PC/0498/2021</t>
  </si>
  <si>
    <t>MS/0685/2019</t>
  </si>
  <si>
    <t>HD/1755/2025</t>
  </si>
  <si>
    <t>KB/0936/2025</t>
  </si>
  <si>
    <t>MN/0667/2025</t>
  </si>
  <si>
    <t>0358</t>
  </si>
  <si>
    <t>PC/1473/2025</t>
  </si>
  <si>
    <t>MS/1093/2022</t>
  </si>
  <si>
    <t>KB/0765/2019</t>
  </si>
  <si>
    <t>MN/0638/2025</t>
  </si>
  <si>
    <t>0359</t>
  </si>
  <si>
    <t>HD/1758/2025</t>
  </si>
  <si>
    <t>KB/0134/2020</t>
  </si>
  <si>
    <t>B3/230/40/2019</t>
  </si>
  <si>
    <t>PC/0935/2020</t>
  </si>
  <si>
    <t>MS/0108/2019</t>
  </si>
  <si>
    <t>0360</t>
  </si>
  <si>
    <t>KB/0983/2019</t>
  </si>
  <si>
    <t>MN/0627/2025</t>
  </si>
  <si>
    <t>PC/0936/2020</t>
  </si>
  <si>
    <t>HD/1754/2025</t>
  </si>
  <si>
    <t>KB/0939/2025</t>
  </si>
  <si>
    <t>MN/0675/2025</t>
  </si>
  <si>
    <t>0361</t>
  </si>
  <si>
    <t>PC/0893/2020</t>
  </si>
  <si>
    <t>KB/0975/2020</t>
  </si>
  <si>
    <t>MN/0726/2025</t>
  </si>
  <si>
    <t>HD/1757/2025</t>
  </si>
  <si>
    <t>KB/0921/2025</t>
  </si>
  <si>
    <t>0362</t>
  </si>
  <si>
    <t>MN/0626/2025</t>
  </si>
  <si>
    <t>PC/0755/2020</t>
  </si>
  <si>
    <t>HD/1739/2025</t>
  </si>
  <si>
    <t>KB/0890/2019</t>
  </si>
  <si>
    <t>MN/0650/2025</t>
  </si>
  <si>
    <t>PC/1491/2025</t>
  </si>
  <si>
    <t>MS/0287/2019</t>
  </si>
  <si>
    <t>HD/1770/2025</t>
  </si>
  <si>
    <t>0363</t>
  </si>
  <si>
    <t>KB/0949/2025</t>
  </si>
  <si>
    <t>MN/0648/2025</t>
  </si>
  <si>
    <t>MS/2084/2025</t>
  </si>
  <si>
    <t>KB/0953/2025</t>
  </si>
  <si>
    <t>MS/0579/2019</t>
  </si>
  <si>
    <t>HD/1764/2025</t>
  </si>
  <si>
    <t>KB/0952/2025</t>
  </si>
  <si>
    <t>0364</t>
  </si>
  <si>
    <t>PC/0801/2020</t>
  </si>
  <si>
    <t>MS/2012/2025</t>
  </si>
  <si>
    <t>HD/1777/2025</t>
  </si>
  <si>
    <t>KB/1002/2019</t>
  </si>
  <si>
    <t>MN/0643/2025</t>
  </si>
  <si>
    <t>PC/1476/2025</t>
  </si>
  <si>
    <t>HD/0902/2023</t>
  </si>
  <si>
    <t>0365</t>
  </si>
  <si>
    <t>MN/0649/2025</t>
  </si>
  <si>
    <t>PC/1073/2020</t>
  </si>
  <si>
    <t>MS/0782/2023</t>
  </si>
  <si>
    <t>HD/1775/2025</t>
  </si>
  <si>
    <t>KB/0866/2019</t>
  </si>
  <si>
    <t>MN/0662/2025</t>
  </si>
  <si>
    <t>PC/0781/2020</t>
  </si>
  <si>
    <t>MS/0741/2023</t>
  </si>
  <si>
    <t>HD/1773/2025</t>
  </si>
  <si>
    <t>29/02/2025</t>
  </si>
  <si>
    <t>KB/0937/2025</t>
  </si>
  <si>
    <t>MN/0866/2019</t>
  </si>
  <si>
    <t>0366</t>
  </si>
  <si>
    <t>PC/0202/2021</t>
  </si>
  <si>
    <t>MS/2077/2025</t>
  </si>
  <si>
    <t>HD/1771/2025</t>
  </si>
  <si>
    <t>KB/0633/2019</t>
  </si>
  <si>
    <t>MN/0655/2025</t>
  </si>
  <si>
    <t>PC/1314/2025</t>
  </si>
  <si>
    <t>MS/0711/2023</t>
  </si>
  <si>
    <t>HD/1742/2025</t>
  </si>
  <si>
    <t>0367</t>
  </si>
  <si>
    <t>MN/0665/2025</t>
  </si>
  <si>
    <t>MS/0188/2019</t>
  </si>
  <si>
    <t>HD/1772/2025</t>
  </si>
  <si>
    <t>KB/0107/2019</t>
  </si>
  <si>
    <t>PC/0763/2020</t>
  </si>
  <si>
    <t>MS/2104/2025</t>
  </si>
  <si>
    <t>HD/1734/2025</t>
  </si>
  <si>
    <t>KB/0938/2025</t>
  </si>
  <si>
    <t>0368</t>
  </si>
  <si>
    <t>PC/0945/2020</t>
  </si>
  <si>
    <t>MS/1090/2023</t>
  </si>
  <si>
    <t>HD/1731/2025</t>
  </si>
  <si>
    <t>KB/0841/2025</t>
  </si>
  <si>
    <t>MN/0666/2025</t>
  </si>
  <si>
    <t>PC/0922/2020</t>
  </si>
  <si>
    <t>MS/1976/2025</t>
  </si>
  <si>
    <t>HD/1761/2025</t>
  </si>
  <si>
    <t>0369</t>
  </si>
  <si>
    <t>KB/0840/2025</t>
  </si>
  <si>
    <t>MN/0672/2025</t>
  </si>
  <si>
    <t>MS/0876/2023</t>
  </si>
  <si>
    <t>HD/1737/2025</t>
  </si>
  <si>
    <t>KB/0724/2019</t>
  </si>
  <si>
    <t>0370</t>
  </si>
  <si>
    <t>PC/0790/2020</t>
  </si>
  <si>
    <t>MS/1146/2022</t>
  </si>
  <si>
    <t>HD/1146/2022</t>
  </si>
  <si>
    <t>KB/0691/2019</t>
  </si>
  <si>
    <t>MN/0653/2025</t>
  </si>
  <si>
    <t>PC/0709/2020</t>
  </si>
  <si>
    <t>MS/1133/2023</t>
  </si>
  <si>
    <t>HD/1746/2025</t>
  </si>
  <si>
    <t>KB/0854/2025</t>
  </si>
  <si>
    <t>0371</t>
  </si>
  <si>
    <t>PC/0796/2020</t>
  </si>
  <si>
    <t>MS/1313/2025</t>
  </si>
  <si>
    <t>HD/1729/2025</t>
  </si>
  <si>
    <t>KB/0842/2025</t>
  </si>
  <si>
    <t>MN/0640/2025</t>
  </si>
  <si>
    <t>0372</t>
  </si>
  <si>
    <t>MS/0775/2023</t>
  </si>
  <si>
    <t>HD/1743/2025</t>
  </si>
  <si>
    <t>KB/0855/2025</t>
  </si>
  <si>
    <t>MN/0651/2025</t>
  </si>
  <si>
    <t>PC/0804/2020</t>
  </si>
  <si>
    <t>0373</t>
  </si>
  <si>
    <t>MS/2064/2025</t>
  </si>
  <si>
    <t>HD/1763/2025</t>
  </si>
  <si>
    <t>KB/0843/2025</t>
  </si>
  <si>
    <t>B3/230/106/2019</t>
  </si>
  <si>
    <t>0374</t>
  </si>
  <si>
    <t>PC/0802/2020</t>
  </si>
  <si>
    <t>MS/0977/2023</t>
  </si>
  <si>
    <t>KB/1006/2019</t>
  </si>
  <si>
    <t>MN/0646/2025</t>
  </si>
  <si>
    <t>0375</t>
  </si>
  <si>
    <t>PC/0408/2021</t>
  </si>
  <si>
    <t>MS/1650/2025</t>
  </si>
  <si>
    <t>MN/0670/2025</t>
  </si>
  <si>
    <t>PC/0223/2021</t>
  </si>
  <si>
    <t>MS/1651/2025</t>
  </si>
  <si>
    <t>HD/1759/2025</t>
  </si>
  <si>
    <t>KB/0867/2019</t>
  </si>
  <si>
    <t>0376</t>
  </si>
  <si>
    <t>PC/0559/2021</t>
  </si>
  <si>
    <t>MS/0852/2023</t>
  </si>
  <si>
    <t>HD/1751/2025</t>
  </si>
  <si>
    <t>KB/0856/2025</t>
  </si>
  <si>
    <t>MN/0060/2020</t>
  </si>
  <si>
    <t>0377</t>
  </si>
  <si>
    <t>PC/0811/2020</t>
  </si>
  <si>
    <t>HD/1738/2025</t>
  </si>
  <si>
    <t>KB/0788/2019</t>
  </si>
  <si>
    <t>MN/0631/2025</t>
  </si>
  <si>
    <t>PC/0290/2021</t>
  </si>
  <si>
    <t>0378</t>
  </si>
  <si>
    <t>MS/0727/2023</t>
  </si>
  <si>
    <t>KB/0845/2025</t>
  </si>
  <si>
    <t>MN/0143/2020</t>
  </si>
  <si>
    <t>PC/1372/2025</t>
  </si>
  <si>
    <t>MS/1652/2025</t>
  </si>
  <si>
    <t>HD/1095/2022</t>
  </si>
  <si>
    <t>KB/0857/2025</t>
  </si>
  <si>
    <t>0379</t>
  </si>
  <si>
    <t>MN/0639/2025</t>
  </si>
  <si>
    <t>PC/0676/2019</t>
  </si>
  <si>
    <t>MS/1653/2025</t>
  </si>
  <si>
    <t>KB/0678/2019</t>
  </si>
  <si>
    <t>0380</t>
  </si>
  <si>
    <t>PC/0887/2020</t>
  </si>
  <si>
    <t>HD/1750/2025</t>
  </si>
  <si>
    <t>MN/0159/2020</t>
  </si>
  <si>
    <t>0381</t>
  </si>
  <si>
    <t>MS/1654/2025</t>
  </si>
  <si>
    <t>HD/1736/2025</t>
  </si>
  <si>
    <t>KB/0864/2025</t>
  </si>
  <si>
    <t>MN/0637/2025</t>
  </si>
  <si>
    <t>PC/0323/2021</t>
  </si>
  <si>
    <t>MS/1655/2025</t>
  </si>
  <si>
    <t>KB/0858/2025</t>
  </si>
  <si>
    <t>0382</t>
  </si>
  <si>
    <t>MS/1850/2025</t>
  </si>
  <si>
    <t>HD/1733/2025</t>
  </si>
  <si>
    <t>0383</t>
  </si>
  <si>
    <t>PC/1374/2025</t>
  </si>
  <si>
    <t>MS/1851/2025</t>
  </si>
  <si>
    <t>KB/0859/2025</t>
  </si>
  <si>
    <t>B3/230/65/2019</t>
  </si>
  <si>
    <t>PC/1375/2025</t>
  </si>
  <si>
    <t>MS/1852/2025</t>
  </si>
  <si>
    <t>HD/1774/2025</t>
  </si>
  <si>
    <t>KB930/2019</t>
  </si>
  <si>
    <t>MN/0636/2025</t>
  </si>
  <si>
    <t>0384</t>
  </si>
  <si>
    <t>PC/0985/2020</t>
  </si>
  <si>
    <t>MS/1853/2025</t>
  </si>
  <si>
    <t>0385</t>
  </si>
  <si>
    <t>KB/0867/2025</t>
  </si>
  <si>
    <t>MN/0630/2025</t>
  </si>
  <si>
    <t>PC/1328/2025</t>
  </si>
  <si>
    <t>MS/0175/2019</t>
  </si>
  <si>
    <t>HD/1735/2025</t>
  </si>
  <si>
    <t>KB/0059/2019</t>
  </si>
  <si>
    <t>0386</t>
  </si>
  <si>
    <t>PC/1327/2025</t>
  </si>
  <si>
    <t>MS/1854/2025</t>
  </si>
  <si>
    <t>HD/1765/2025</t>
  </si>
  <si>
    <t>KB/0863/2025</t>
  </si>
  <si>
    <t>MN/0634/2025</t>
  </si>
  <si>
    <t>MS/1855/2025</t>
  </si>
  <si>
    <t>HD/1741/2025</t>
  </si>
  <si>
    <t>KB/0844/2025</t>
  </si>
  <si>
    <t>B3/230/36/2019</t>
  </si>
  <si>
    <t>0387</t>
  </si>
  <si>
    <t>PC/0756/2020</t>
  </si>
  <si>
    <t>MS/1105/2023</t>
  </si>
  <si>
    <t>HD/1740/2025</t>
  </si>
  <si>
    <t>KB/0627/2019</t>
  </si>
  <si>
    <t>MN/0657/2025</t>
  </si>
  <si>
    <t>PC/0810/2020</t>
  </si>
  <si>
    <t>MS/1647/2025</t>
  </si>
  <si>
    <t>HD/1766/2025</t>
  </si>
  <si>
    <t>KB/0865/2025</t>
  </si>
  <si>
    <t>0388</t>
  </si>
  <si>
    <t>B3/230/123/2019</t>
  </si>
  <si>
    <t>PC/0632/2020</t>
  </si>
  <si>
    <t>HD/1776/2025</t>
  </si>
  <si>
    <t>KB/0999/2019</t>
  </si>
  <si>
    <t>MN/0632/2019</t>
  </si>
  <si>
    <t>PC/1326/2025</t>
  </si>
  <si>
    <t>MS/1646/2025</t>
  </si>
  <si>
    <t>0389</t>
  </si>
  <si>
    <t>HD/1730/2025</t>
  </si>
  <si>
    <t>KB/0860/2025</t>
  </si>
  <si>
    <t>B3/230/86/2019</t>
  </si>
  <si>
    <t>MS/0700/2023</t>
  </si>
  <si>
    <t>HD/1753/2025</t>
  </si>
  <si>
    <t>KB/0876/2019</t>
  </si>
  <si>
    <t>MN/0257/2019</t>
  </si>
  <si>
    <t>0390</t>
  </si>
  <si>
    <t>PC/0361/2021</t>
  </si>
  <si>
    <t>MS/0696/2019</t>
  </si>
  <si>
    <t>HD/1571/2025</t>
  </si>
  <si>
    <t>KB/0394/2019</t>
  </si>
  <si>
    <t>MN/0628/2025</t>
  </si>
  <si>
    <t>0391</t>
  </si>
  <si>
    <t>PC/0514/2025</t>
  </si>
  <si>
    <t>MS/0076/2019</t>
  </si>
  <si>
    <t>HD/0931/2022</t>
  </si>
  <si>
    <t>KB/0861/2025</t>
  </si>
  <si>
    <t>0392</t>
  </si>
  <si>
    <t>MS/1863/2025</t>
  </si>
  <si>
    <t>HD/1132/2022</t>
  </si>
  <si>
    <t>KB/0851/2025</t>
  </si>
  <si>
    <t>MN/0319/2019</t>
  </si>
  <si>
    <t>PC/0885/2020</t>
  </si>
  <si>
    <t>0393</t>
  </si>
  <si>
    <t>MS/0482/2019</t>
  </si>
  <si>
    <t>KB/0850/2025</t>
  </si>
  <si>
    <t>MN/0136/2020</t>
  </si>
  <si>
    <t>PC/0680/2019</t>
  </si>
  <si>
    <t>MS/1667/2025</t>
  </si>
  <si>
    <t>0394</t>
  </si>
  <si>
    <t>HD/1431/2025</t>
  </si>
  <si>
    <t>KB/0680/2019</t>
  </si>
  <si>
    <t>MN/0129/2019</t>
  </si>
  <si>
    <t>PC/1376/2025</t>
  </si>
  <si>
    <t>0395</t>
  </si>
  <si>
    <t>KB/0116/2019</t>
  </si>
  <si>
    <t>MN/0564/2025</t>
  </si>
  <si>
    <t>PC/1377/2025</t>
  </si>
  <si>
    <t>MS/1644/2025</t>
  </si>
  <si>
    <t>KB/0866/2025</t>
  </si>
  <si>
    <t>0396</t>
  </si>
  <si>
    <t>MN/0565/2025</t>
  </si>
  <si>
    <t>0397</t>
  </si>
  <si>
    <t>PC/1378/2025</t>
  </si>
  <si>
    <t>MS/1138/2023</t>
  </si>
  <si>
    <t>HD/1579/2025</t>
  </si>
  <si>
    <t>KB/0846/2025</t>
  </si>
  <si>
    <t>MN/0316/2019</t>
  </si>
  <si>
    <t>0398</t>
  </si>
  <si>
    <t>PC/0817/2020</t>
  </si>
  <si>
    <t>MS/1742/2025</t>
  </si>
  <si>
    <t>HD/1762/2025</t>
  </si>
  <si>
    <t>KB/0847/2025</t>
  </si>
  <si>
    <t>MN/0566/2025</t>
  </si>
  <si>
    <t>0399</t>
  </si>
  <si>
    <t>PC/0622/2019</t>
  </si>
  <si>
    <t>MS/1666/2025</t>
  </si>
  <si>
    <t>HD/1583/2025</t>
  </si>
  <si>
    <t>KB/0298/2019</t>
  </si>
  <si>
    <t>0400</t>
  </si>
  <si>
    <t>MS/1645/2025</t>
  </si>
  <si>
    <t>HD/1584/2025</t>
  </si>
  <si>
    <t>KB/0848/2025</t>
  </si>
  <si>
    <t>MN/0137/2019</t>
  </si>
  <si>
    <t>PC/0407/2021</t>
  </si>
  <si>
    <t>MS/1873/2025</t>
  </si>
  <si>
    <t>HD/1580/2025</t>
  </si>
  <si>
    <t>0401</t>
  </si>
  <si>
    <t>MS/0049/2019</t>
  </si>
  <si>
    <t>HD/1586/2025</t>
  </si>
  <si>
    <t>KB/0261/2019</t>
  </si>
  <si>
    <t>0402</t>
  </si>
  <si>
    <t>PC/1379/2025</t>
  </si>
  <si>
    <t>MS/1847/2025</t>
  </si>
  <si>
    <t>HD/1585/2025</t>
  </si>
  <si>
    <t>KB/0838/2025</t>
  </si>
  <si>
    <t>B3/230/121/2019</t>
  </si>
  <si>
    <t>Gunawan</t>
  </si>
  <si>
    <t>0403</t>
  </si>
  <si>
    <t>PC/0727/2020</t>
  </si>
  <si>
    <t>MS/1143/2023</t>
  </si>
  <si>
    <t>KB/0862/2025</t>
  </si>
  <si>
    <t>MN/0727/2019</t>
  </si>
  <si>
    <t>PC/1323/2025</t>
  </si>
  <si>
    <t>MS/0226/2019</t>
  </si>
  <si>
    <t>0404</t>
  </si>
  <si>
    <t>HD/1587/2025</t>
  </si>
  <si>
    <t>KB/0852/2025</t>
  </si>
  <si>
    <t>MN/0522/2025</t>
  </si>
  <si>
    <t>PC/0511/2021</t>
  </si>
  <si>
    <t>MS/0138/2025</t>
  </si>
  <si>
    <t>HD/1581/2025</t>
  </si>
  <si>
    <t>KB/0136/2019</t>
  </si>
  <si>
    <t>MN/0556/2025</t>
  </si>
  <si>
    <t>0405</t>
  </si>
  <si>
    <t>PC/1373/2025</t>
  </si>
  <si>
    <t>MS/1848/2025</t>
  </si>
  <si>
    <t>HD/1588/2025</t>
  </si>
  <si>
    <t>MN/0557/2025</t>
  </si>
  <si>
    <t>PC/0956/2020</t>
  </si>
  <si>
    <t>0406</t>
  </si>
  <si>
    <t>MS/1849/2025</t>
  </si>
  <si>
    <t>HD/1589/2025</t>
  </si>
  <si>
    <t>KB/0839/2025</t>
  </si>
  <si>
    <t>MN/0034/2020</t>
  </si>
  <si>
    <t>B11/212/27/2019</t>
  </si>
  <si>
    <t>MS/1648/2025</t>
  </si>
  <si>
    <t>HD/1591/2025</t>
  </si>
  <si>
    <t>0407</t>
  </si>
  <si>
    <t>MN/0682/2019</t>
  </si>
  <si>
    <t>PC/1325/2025</t>
  </si>
  <si>
    <t>MS/0573/2019</t>
  </si>
  <si>
    <t>Laptop HRD (Mas Wahyu)</t>
  </si>
  <si>
    <t>HD/1590/2025</t>
  </si>
  <si>
    <t>KB/0147/2019</t>
  </si>
  <si>
    <t>MN/0523/2025</t>
  </si>
  <si>
    <t>0408</t>
  </si>
  <si>
    <t>PC/0920/2020</t>
  </si>
  <si>
    <t>HD/1592/2025</t>
  </si>
  <si>
    <t>KB/0148/2019</t>
  </si>
  <si>
    <t>PC/1324/2025</t>
  </si>
  <si>
    <t>MS/1743/2025</t>
  </si>
  <si>
    <t>HD/1582/2025</t>
  </si>
  <si>
    <t>0409</t>
  </si>
  <si>
    <t>MN/0558/2025</t>
  </si>
  <si>
    <t>B11/212/49/2019</t>
  </si>
  <si>
    <t>MS/1135/2023</t>
  </si>
  <si>
    <t>HD/1413/2025</t>
  </si>
  <si>
    <t>KB/0674/2025</t>
  </si>
  <si>
    <t>MS/0691/2022</t>
  </si>
  <si>
    <t>0410</t>
  </si>
  <si>
    <t>HD/1415/2025</t>
  </si>
  <si>
    <t>KB/0906/2025</t>
  </si>
  <si>
    <t>PC/0933/2020</t>
  </si>
  <si>
    <t>MS/0201/2019</t>
  </si>
  <si>
    <t>HD/1414/2025</t>
  </si>
  <si>
    <t>KB/0426/2019</t>
  </si>
  <si>
    <t>MN/0455/2025</t>
  </si>
  <si>
    <t>0411</t>
  </si>
  <si>
    <t>PC/1457/2025</t>
  </si>
  <si>
    <t>0412</t>
  </si>
  <si>
    <t>MS/1890/2025</t>
  </si>
  <si>
    <t>HD/1406/2025</t>
  </si>
  <si>
    <t>KB/0418/2019</t>
  </si>
  <si>
    <t>MN/0456/2025</t>
  </si>
  <si>
    <t>MS/1887/2025</t>
  </si>
  <si>
    <t>HD/1405/2025</t>
  </si>
  <si>
    <t>0413</t>
  </si>
  <si>
    <t>KB/0794/2019</t>
  </si>
  <si>
    <t>MN/0457/2025</t>
  </si>
  <si>
    <t>PC/0336/2019</t>
  </si>
  <si>
    <t>MS/1885/2025</t>
  </si>
  <si>
    <t>HD/1403/2025</t>
  </si>
  <si>
    <t>0414</t>
  </si>
  <si>
    <t>PC/0757/2020</t>
  </si>
  <si>
    <t>MS/1884/2025</t>
  </si>
  <si>
    <t>HD/1409/2025</t>
  </si>
  <si>
    <t>KB/0679/2025</t>
  </si>
  <si>
    <t>MN/0462/2025</t>
  </si>
  <si>
    <t>0415</t>
  </si>
  <si>
    <t>PC/1311/2025</t>
  </si>
  <si>
    <t>MS/0862/2023</t>
  </si>
  <si>
    <t>HD/1410/2025</t>
  </si>
  <si>
    <t>KB/0779/2019</t>
  </si>
  <si>
    <t>MN/0659/2019</t>
  </si>
  <si>
    <t>0416</t>
  </si>
  <si>
    <t>PC/0955/2023</t>
  </si>
  <si>
    <t>MS/0886/2025</t>
  </si>
  <si>
    <t>HD/1412/2025</t>
  </si>
  <si>
    <t>KB/0673/2025</t>
  </si>
  <si>
    <t>MN/0646/2019</t>
  </si>
  <si>
    <t>0417</t>
  </si>
  <si>
    <t>PC/1312//2025</t>
  </si>
  <si>
    <t>MS/0077/2019</t>
  </si>
  <si>
    <t>HD/1411/2025</t>
  </si>
  <si>
    <t>KB/0894/2025</t>
  </si>
  <si>
    <t>MN/0463/2025</t>
  </si>
  <si>
    <t>B3/230/99/2019</t>
  </si>
  <si>
    <t>0418</t>
  </si>
  <si>
    <t>HD/1416/2025</t>
  </si>
  <si>
    <t>PC/0564/2021</t>
  </si>
  <si>
    <t>MS/0702/2019</t>
  </si>
  <si>
    <t>0419</t>
  </si>
  <si>
    <t>HD/1421/2025</t>
  </si>
  <si>
    <t>KB/0681/2025</t>
  </si>
  <si>
    <t>115/2020</t>
  </si>
  <si>
    <t>PC/0786/2020</t>
  </si>
  <si>
    <t>HD/1407/2025</t>
  </si>
  <si>
    <t>0420</t>
  </si>
  <si>
    <t>KB/0756/2019</t>
  </si>
  <si>
    <t>MN/0459/2025</t>
  </si>
  <si>
    <t>PC/0725/2020</t>
  </si>
  <si>
    <t>MS/1158/2023</t>
  </si>
  <si>
    <t>HD/1423/2025</t>
  </si>
  <si>
    <t>KB/0680/2025</t>
  </si>
  <si>
    <t>MN/0725/2019</t>
  </si>
  <si>
    <t>0421</t>
  </si>
  <si>
    <t>PC/0751/2020</t>
  </si>
  <si>
    <t>MS/0951/2023</t>
  </si>
  <si>
    <t>HD/1422/2025</t>
  </si>
  <si>
    <t>KB/0725/2019</t>
  </si>
  <si>
    <t>MN/0461/2025</t>
  </si>
  <si>
    <t>0422</t>
  </si>
  <si>
    <t>PC/0917/2020</t>
  </si>
  <si>
    <t>MS/1911/2025</t>
  </si>
  <si>
    <t>HD1408/2025</t>
  </si>
  <si>
    <t>KB/0672/2025</t>
  </si>
  <si>
    <t>MN/0460/2025</t>
  </si>
  <si>
    <t>PC/1321/2025</t>
  </si>
  <si>
    <t>MS/0341/2023</t>
  </si>
  <si>
    <t>0423</t>
  </si>
  <si>
    <t>HD/1404/2025</t>
  </si>
  <si>
    <t>KB/0935/2019</t>
  </si>
  <si>
    <t>MN/0452/2025</t>
  </si>
  <si>
    <t>PC/1004/2025</t>
  </si>
  <si>
    <t>MS/1889/2025</t>
  </si>
  <si>
    <t>HD/0942/2023</t>
  </si>
  <si>
    <t>0424</t>
  </si>
  <si>
    <t>KB/0925/2019</t>
  </si>
  <si>
    <t>MN/0519/2025</t>
  </si>
  <si>
    <t>PC/1094/2025 - DOBEL</t>
  </si>
  <si>
    <t>0425</t>
  </si>
  <si>
    <t>PC/0539/2021</t>
  </si>
  <si>
    <t>MS/1912/2025</t>
  </si>
  <si>
    <t>0426</t>
  </si>
  <si>
    <t>HD/1420/2025</t>
  </si>
  <si>
    <t>KB/0676/2025</t>
  </si>
  <si>
    <t>MN/0508/2025</t>
  </si>
  <si>
    <t>PC/0898/2020</t>
  </si>
  <si>
    <t>MS/0410/2019</t>
  </si>
  <si>
    <t>HD/1425/2025</t>
  </si>
  <si>
    <t>KB/0677/2025</t>
  </si>
  <si>
    <t>MN/0509/2025</t>
  </si>
  <si>
    <t>0427</t>
  </si>
  <si>
    <t>PC/0454/2021</t>
  </si>
  <si>
    <t>MS/0058/2019</t>
  </si>
  <si>
    <t>HD/1424/2025</t>
  </si>
  <si>
    <t>KB/0430/2019</t>
  </si>
  <si>
    <t>0428</t>
  </si>
  <si>
    <t>PC/0412/2019</t>
  </si>
  <si>
    <t>MS/1888/2025</t>
  </si>
  <si>
    <t>HD/1427/2025</t>
  </si>
  <si>
    <t>KB/0678/2025</t>
  </si>
  <si>
    <t>MN/0510/2025</t>
  </si>
  <si>
    <t>0429</t>
  </si>
  <si>
    <t>PC/0214/2019</t>
  </si>
  <si>
    <t>MS/1900/2025</t>
  </si>
  <si>
    <t>KB/0671/2025</t>
  </si>
  <si>
    <t>MN/0458/2025</t>
  </si>
  <si>
    <t>PC/0677/2020</t>
  </si>
  <si>
    <t>0430</t>
  </si>
  <si>
    <t>MS/1883/2025</t>
  </si>
  <si>
    <t>MN/0677/2019</t>
  </si>
  <si>
    <t>MS/0066/2019</t>
  </si>
  <si>
    <t>0431</t>
  </si>
  <si>
    <t>HD/1426/2025</t>
  </si>
  <si>
    <t>KB/0802/2025</t>
  </si>
  <si>
    <t>PC/1319/2025</t>
  </si>
  <si>
    <t>MS/0842/2023</t>
  </si>
  <si>
    <t>HD/1417/2025</t>
  </si>
  <si>
    <t>B8/280/143/2019</t>
  </si>
  <si>
    <t>0432</t>
  </si>
  <si>
    <t>MN/0518/2025</t>
  </si>
  <si>
    <t>MS/0809/2025</t>
  </si>
  <si>
    <t>0433</t>
  </si>
  <si>
    <t>MN/0220/2019</t>
  </si>
  <si>
    <t>CEK LAGI SALAH TULIS</t>
  </si>
  <si>
    <t>0434</t>
  </si>
  <si>
    <t>PC/0612/2020</t>
  </si>
  <si>
    <t>MS/0750/2023</t>
  </si>
  <si>
    <t>HD/1418/2025</t>
  </si>
  <si>
    <t>0435</t>
  </si>
  <si>
    <t>KB/0980/2025</t>
  </si>
  <si>
    <t>MN/0517/2025</t>
  </si>
  <si>
    <t>PC/1320/2025</t>
  </si>
  <si>
    <t>MS/0710/2023</t>
  </si>
  <si>
    <t>HD/1419/2025</t>
  </si>
  <si>
    <t>KB/0675/2025</t>
  </si>
  <si>
    <t>MN/0082/2019</t>
  </si>
  <si>
    <t>0436</t>
  </si>
  <si>
    <t>MS/0568/2019</t>
  </si>
  <si>
    <t>KB/0761/2019</t>
  </si>
  <si>
    <t>0437</t>
  </si>
  <si>
    <t>MS/0434/2019</t>
  </si>
  <si>
    <t>HD/1565/2025</t>
  </si>
  <si>
    <t>MN/0514/2025</t>
  </si>
  <si>
    <t>HD/1573/2025 (2 HD 1 BILIK)</t>
  </si>
  <si>
    <t>0438</t>
  </si>
  <si>
    <t>PC/0227/2019</t>
  </si>
  <si>
    <t>MS/1875/2025</t>
  </si>
  <si>
    <t>HD/1549/2025</t>
  </si>
  <si>
    <t>0439</t>
  </si>
  <si>
    <t>KB/0954/2019</t>
  </si>
  <si>
    <t>PC/0120/2021</t>
  </si>
  <si>
    <t>MS/0417/2019</t>
  </si>
  <si>
    <t>HD/1559/2025</t>
  </si>
  <si>
    <t>KB/0800/2025</t>
  </si>
  <si>
    <t>0440</t>
  </si>
  <si>
    <t>PC/0669/2020</t>
  </si>
  <si>
    <t>MS/0370/2019</t>
  </si>
  <si>
    <t>HD/1562/2025</t>
  </si>
  <si>
    <t>KB/0957/2019</t>
  </si>
  <si>
    <t>MN/0516/2025</t>
  </si>
  <si>
    <t>0441</t>
  </si>
  <si>
    <t>MS/1891/2025</t>
  </si>
  <si>
    <t>HD/1563/2025</t>
  </si>
  <si>
    <t>KB/0801/2025</t>
  </si>
  <si>
    <t>0442</t>
  </si>
  <si>
    <t>PC/0030/2021</t>
  </si>
  <si>
    <t>MS/0416/2019</t>
  </si>
  <si>
    <t>KB/0414/2019</t>
  </si>
  <si>
    <t>MN/0555/2025</t>
  </si>
  <si>
    <t>0443</t>
  </si>
  <si>
    <t>PC/1074/2020</t>
  </si>
  <si>
    <t>KB/0705/2019</t>
  </si>
  <si>
    <t>MN/0717/2019</t>
  </si>
  <si>
    <t>0444</t>
  </si>
  <si>
    <t>PC/0712/2020</t>
  </si>
  <si>
    <t>MS/1807/2025</t>
  </si>
  <si>
    <t>HD/1575/2025</t>
  </si>
  <si>
    <t>KB/0815/2025</t>
  </si>
  <si>
    <t>MN/0563/2025</t>
  </si>
  <si>
    <t>PC/0414/2019</t>
  </si>
  <si>
    <t>0445</t>
  </si>
  <si>
    <t>MS/1808/2025</t>
  </si>
  <si>
    <t>HD/1572/2025</t>
  </si>
  <si>
    <t>KB/0670/2025</t>
  </si>
  <si>
    <t>MN/0511/2025</t>
  </si>
  <si>
    <t>PC/0598/2021</t>
  </si>
  <si>
    <t>MS/0574/2019</t>
  </si>
  <si>
    <t>0446</t>
  </si>
  <si>
    <t>HD/1576/2025</t>
  </si>
  <si>
    <t>KB/0793/2025</t>
  </si>
  <si>
    <t>MN/0512/2025</t>
  </si>
  <si>
    <t>MS/1809/2025</t>
  </si>
  <si>
    <t>0447</t>
  </si>
  <si>
    <t>MN/0513/2025</t>
  </si>
  <si>
    <t>PC1015/2020</t>
  </si>
  <si>
    <t>MS/1123/2023</t>
  </si>
  <si>
    <t>HD/1433/2025</t>
  </si>
  <si>
    <t>KB/0851/2019</t>
  </si>
  <si>
    <t>MN/0570/2025</t>
  </si>
  <si>
    <t>0448</t>
  </si>
  <si>
    <t>HD/1434/2025</t>
  </si>
  <si>
    <t>KB/0804/2025</t>
  </si>
  <si>
    <t>MN/0521/2025</t>
  </si>
  <si>
    <t>0449</t>
  </si>
  <si>
    <t>PC/0821/2020</t>
  </si>
  <si>
    <t>HD/1102/2022</t>
  </si>
  <si>
    <t>KB/0814/2025</t>
  </si>
  <si>
    <t>0450</t>
  </si>
  <si>
    <t>MN/0571/2025</t>
  </si>
  <si>
    <t>PC/0260/2021</t>
  </si>
  <si>
    <t>MS/1107/2023</t>
  </si>
  <si>
    <t>HD/1560/2025</t>
  </si>
  <si>
    <t>KB/0805/2025</t>
  </si>
  <si>
    <t>MN/0552/2025</t>
  </si>
  <si>
    <t>0451</t>
  </si>
  <si>
    <t>PC/1318/2025</t>
  </si>
  <si>
    <t>MS/1115/2023</t>
  </si>
  <si>
    <t>HD/1435/2025</t>
  </si>
  <si>
    <t>KB/0806/2025</t>
  </si>
  <si>
    <t>MN/0188/2019</t>
  </si>
  <si>
    <t>0452</t>
  </si>
  <si>
    <t>PC/0446/2021</t>
  </si>
  <si>
    <t>MS/1882/2025</t>
  </si>
  <si>
    <t>HD/0920/2023</t>
  </si>
  <si>
    <t>KB/0807/2025</t>
  </si>
  <si>
    <t>MN/0554/2025</t>
  </si>
  <si>
    <t>0453</t>
  </si>
  <si>
    <t>PC/1315/2025</t>
  </si>
  <si>
    <t>HD/1567/2025</t>
  </si>
  <si>
    <t>KB/0797/2025</t>
  </si>
  <si>
    <t>MN/0559/2025</t>
  </si>
  <si>
    <t>0454</t>
  </si>
  <si>
    <t>PC/0594/2021</t>
  </si>
  <si>
    <t>HD/1568/2025</t>
  </si>
  <si>
    <t>KB/0398/2019</t>
  </si>
  <si>
    <t>MN/0569/2025</t>
  </si>
  <si>
    <t>0455</t>
  </si>
  <si>
    <t>PC/1316/2025</t>
  </si>
  <si>
    <t>MS/1093/2023</t>
  </si>
  <si>
    <t>HD/1570/2025</t>
  </si>
  <si>
    <t>KB/0798/2025</t>
  </si>
  <si>
    <t>MN/0260/2019</t>
  </si>
  <si>
    <t>0456</t>
  </si>
  <si>
    <t>HD/1432/2025</t>
  </si>
  <si>
    <t>KB/0799/2025</t>
  </si>
  <si>
    <t>MN/0560/2025</t>
  </si>
  <si>
    <t>PC/0425/2021</t>
  </si>
  <si>
    <t>MS/1879/2025</t>
  </si>
  <si>
    <t>0457</t>
  </si>
  <si>
    <t>HD/1554/2025</t>
  </si>
  <si>
    <t>KB/0810/2025</t>
  </si>
  <si>
    <t>MN/0561/2025</t>
  </si>
  <si>
    <t>PC/1317/2025</t>
  </si>
  <si>
    <t>MS/1881/2025</t>
  </si>
  <si>
    <t>HD/1428/2025</t>
  </si>
  <si>
    <t>0458</t>
  </si>
  <si>
    <t>KB/0097/2019</t>
  </si>
  <si>
    <t>MN/0562/2025</t>
  </si>
  <si>
    <t>MS/0830/2023</t>
  </si>
  <si>
    <t>HD/1429/2025</t>
  </si>
  <si>
    <t>KB/0965/2019</t>
  </si>
  <si>
    <t>MN/0551/2025</t>
  </si>
  <si>
    <t>0459</t>
  </si>
  <si>
    <t>PC/0270/2021</t>
  </si>
  <si>
    <t>MS/1880/2025</t>
  </si>
  <si>
    <t>HD/1430/2025</t>
  </si>
  <si>
    <t>KB/0796/2025</t>
  </si>
  <si>
    <t>MN/0553/2025</t>
  </si>
  <si>
    <t>0460</t>
  </si>
  <si>
    <t>PC/0772/2020</t>
  </si>
  <si>
    <t>MS/1078/2023</t>
  </si>
  <si>
    <t>HD/0938/2025</t>
  </si>
  <si>
    <t>KB/0420/2019</t>
  </si>
  <si>
    <t>MN/0095/2020</t>
  </si>
  <si>
    <t>0461</t>
  </si>
  <si>
    <t>0462</t>
  </si>
  <si>
    <t>PC/0349/2021</t>
  </si>
  <si>
    <t>MS/1874/2025</t>
  </si>
  <si>
    <t>HD/1437/2025</t>
  </si>
  <si>
    <t>B8/280/07/2019</t>
  </si>
  <si>
    <t>MN/0567/2025</t>
  </si>
  <si>
    <t>0463</t>
  </si>
  <si>
    <t>B11/212/18/2019</t>
  </si>
  <si>
    <t>MS/0057/2019</t>
  </si>
  <si>
    <t>KB/0864/2019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</si>
  <si>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</si>
  <si>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</si>
  <si>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</si>
  <si>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</si>
  <si>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</si>
  <si>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</si>
  <si>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</si>
  <si>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</si>
  <si>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</si>
  <si>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</si>
  <si>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</si>
  <si>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</si>
  <si>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</si>
  <si>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</si>
  <si>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</si>
  <si>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</si>
  <si>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</si>
  <si>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</si>
  <si>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</si>
  <si>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</si>
  <si>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</si>
  <si>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</si>
  <si>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</si>
  <si>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</si>
  <si>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</si>
  <si>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</si>
  <si>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</si>
  <si>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</si>
  <si>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</si>
  <si>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</si>
  <si>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</si>
  <si>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</si>
  <si>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</si>
  <si>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</si>
  <si>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</si>
  <si>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</si>
  <si>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</si>
  <si>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</si>
  <si>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</si>
  <si>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</si>
  <si>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</si>
  <si>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</si>
  <si>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</si>
  <si>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</si>
  <si>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</si>
  <si>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</si>
  <si>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</si>
  <si>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</si>
  <si>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</si>
  <si>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</si>
  <si>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</si>
  <si>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</si>
  <si>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</si>
  <si>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</si>
  <si>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</si>
  <si>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</si>
  <si>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</si>
  <si>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</si>
  <si>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</si>
  <si>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</si>
  <si>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</si>
  <si>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</si>
  <si>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</si>
  <si>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</si>
  <si>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</si>
  <si>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</si>
  <si>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</si>
  <si>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</si>
  <si>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</si>
  <si>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</si>
  <si>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</si>
  <si>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</si>
  <si>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</si>
  <si>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</si>
  <si>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</si>
  <si>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</si>
  <si>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</si>
  <si>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</si>
  <si>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</si>
  <si>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</si>
  <si>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</si>
  <si>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</si>
  <si>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</si>
  <si>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</si>
  <si>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</si>
  <si>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</si>
  <si>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</si>
  <si>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</si>
  <si>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</si>
  <si>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</si>
  <si>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</si>
  <si>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</si>
  <si>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</si>
  <si>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</si>
  <si>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</si>
  <si>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</si>
  <si>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</si>
  <si>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</si>
  <si>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</si>
  <si>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</si>
  <si>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</si>
  <si>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</si>
  <si>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</si>
  <si>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</si>
  <si>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</si>
  <si>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</si>
  <si>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</si>
  <si>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</si>
  <si>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</si>
  <si>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</si>
  <si>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</si>
  <si>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</si>
  <si>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</si>
  <si>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</si>
  <si>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</si>
  <si>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</si>
  <si>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</si>
  <si>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</si>
  <si>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</si>
  <si>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</si>
  <si>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</si>
  <si>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</si>
  <si>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</si>
  <si>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</si>
  <si>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</si>
  <si>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</si>
  <si>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</si>
  <si>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</si>
  <si>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</si>
  <si>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</si>
  <si>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</si>
  <si>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</si>
  <si>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</si>
  <si>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</si>
  <si>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</si>
  <si>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</si>
  <si>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</si>
  <si>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</si>
  <si>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</si>
  <si>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</si>
  <si>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</si>
  <si>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</si>
  <si>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</si>
  <si>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</si>
  <si>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</si>
  <si>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</si>
  <si>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</si>
  <si>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</si>
  <si>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</si>
  <si>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</si>
  <si>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</si>
  <si>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</si>
  <si>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</si>
  <si>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</si>
  <si>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</si>
  <si>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</si>
  <si>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</si>
  <si>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</si>
  <si>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</si>
  <si>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</si>
  <si>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</si>
  <si>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</si>
  <si>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</si>
  <si>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</si>
  <si>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</si>
  <si>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</si>
  <si>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</si>
  <si>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</si>
  <si>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</si>
  <si>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</si>
  <si>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</si>
  <si>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</si>
  <si>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</si>
  <si>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</si>
  <si>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</si>
  <si>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</si>
  <si>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</si>
  <si>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</si>
  <si>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</si>
  <si>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</si>
  <si>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</si>
  <si>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</si>
  <si>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</si>
  <si>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</si>
  <si>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</si>
  <si>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</si>
  <si>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</si>
  <si>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</si>
  <si>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</si>
  <si>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</si>
  <si>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</si>
  <si>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</si>
  <si>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</si>
  <si>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</si>
  <si>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</si>
  <si>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</si>
  <si>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</si>
  <si>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</si>
  <si>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</si>
  <si>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</si>
  <si>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</si>
  <si>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</si>
  <si>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</si>
  <si>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</si>
  <si>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</si>
  <si>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</si>
  <si>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</si>
  <si>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</si>
  <si>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</si>
  <si>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</si>
  <si>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</si>
  <si>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</si>
  <si>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</si>
  <si>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</si>
  <si>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</si>
  <si>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</si>
  <si>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</si>
  <si>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</si>
  <si>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</si>
  <si>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</si>
  <si>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</si>
  <si>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</si>
  <si>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</si>
  <si>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</si>
  <si>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</si>
  <si>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</si>
  <si>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</si>
  <si>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</si>
  <si>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</si>
  <si>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</si>
  <si>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</si>
  <si>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</si>
  <si>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</si>
  <si>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</si>
  <si>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</si>
  <si>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</si>
  <si>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</si>
  <si>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</si>
  <si>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</si>
  <si>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</si>
  <si>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</si>
  <si>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</si>
  <si>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</si>
  <si>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</si>
  <si>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</si>
  <si>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</si>
  <si>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</si>
  <si>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</si>
  <si>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</si>
  <si>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</si>
  <si>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</si>
  <si>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</si>
  <si>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</si>
  <si>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</si>
  <si>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</si>
  <si>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</si>
  <si>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</si>
  <si>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</si>
  <si>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</si>
  <si>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</si>
  <si>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</si>
  <si>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</si>
  <si>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</si>
  <si>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</si>
  <si>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</si>
  <si>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</si>
  <si>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</si>
  <si>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</si>
  <si>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</si>
  <si>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</si>
  <si>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</si>
  <si>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</si>
  <si>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</si>
  <si>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</si>
  <si>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</si>
  <si>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</si>
  <si>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</si>
  <si>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</si>
  <si>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</si>
  <si>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</si>
  <si>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LT 3 DEPAN R. ECEG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</si>
  <si>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</si>
  <si>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</si>
  <si>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</si>
  <si>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</si>
  <si>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</si>
  <si>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</si>
  <si>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</si>
  <si>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</si>
  <si>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</si>
  <si>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</si>
  <si>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</si>
  <si>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</si>
  <si>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</si>
  <si>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</si>
  <si>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</si>
  <si>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</si>
  <si>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</si>
  <si>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</si>
  <si>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</si>
  <si>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</si>
  <si>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</si>
  <si>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</si>
  <si>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</si>
  <si>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</si>
  <si>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</si>
  <si>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</si>
  <si>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</si>
  <si>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</si>
  <si>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</si>
  <si>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</si>
  <si>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</si>
  <si>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</si>
  <si>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</si>
  <si>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</si>
  <si>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</si>
  <si>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</si>
  <si>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</si>
  <si>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</si>
  <si>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</si>
  <si>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</si>
  <si>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</si>
  <si>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</si>
  <si>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</si>
  <si>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</si>
  <si>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</si>
  <si>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</si>
  <si>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</si>
  <si>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</si>
  <si>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</si>
  <si>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TERPAKAI</t>
  </si>
  <si>
    <t>PERBAIKI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</si>
  <si>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</si>
  <si>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</si>
  <si>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</si>
  <si>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</si>
  <si>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</si>
  <si>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</si>
  <si>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</si>
  <si>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</si>
  <si>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</si>
  <si>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</si>
  <si>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</si>
  <si>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</si>
  <si>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</si>
  <si>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</si>
  <si>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</si>
  <si>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</si>
  <si>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</si>
  <si>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NOMOR INVENTARIS TERAKHIR = KB/0323/2021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</si>
  <si>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</si>
  <si>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</si>
  <si>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</si>
  <si>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</si>
  <si>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</si>
  <si>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</si>
  <si>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</si>
  <si>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</si>
  <si>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</si>
  <si>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KB</t>
  </si>
  <si>
    <t>Tidak Terdeteksi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</si>
  <si>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</si>
  <si>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</si>
  <si>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</si>
  <si>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</si>
  <si>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</si>
  <si>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</si>
  <si>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</si>
  <si>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</si>
  <si>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</si>
  <si>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</si>
  <si>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</si>
  <si>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</si>
  <si>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</si>
  <si>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</si>
  <si>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</si>
  <si>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</si>
  <si>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</si>
  <si>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</si>
  <si>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</si>
  <si>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</si>
  <si>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</si>
  <si>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</si>
  <si>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</si>
  <si>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</si>
  <si>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</si>
  <si>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</si>
  <si>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</si>
  <si>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</si>
  <si>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</si>
  <si>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</si>
  <si>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</si>
  <si>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Rahmad Fikri Gunawan</t>
  </si>
  <si>
    <t>0850</t>
  </si>
  <si>
    <t>Puspa Ayu Pitaloka</t>
  </si>
  <si>
    <t>Staff Admin GA</t>
  </si>
  <si>
    <t>0851</t>
  </si>
  <si>
    <t>Ananda Arista Barok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</si>
  <si>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</si>
  <si>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</si>
  <si>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</si>
  <si>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</si>
  <si>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</si>
  <si>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</si>
  <si>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</si>
  <si>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</si>
  <si>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</si>
  <si>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</si>
  <si>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</si>
  <si>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</si>
  <si>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</si>
  <si>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</si>
  <si>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</si>
  <si>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</si>
  <si>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</si>
  <si>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</si>
  <si>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</si>
  <si>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</si>
  <si>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</si>
  <si>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</si>
  <si>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</si>
  <si>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</si>
  <si>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</si>
  <si>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</si>
  <si>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</si>
  <si>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</si>
  <si>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</si>
  <si>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</si>
  <si>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</si>
  <si>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</si>
  <si>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</si>
  <si>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</si>
  <si>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</si>
  <si>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</si>
  <si>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</si>
  <si>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</si>
  <si>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</si>
  <si>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</si>
  <si>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</si>
  <si>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</si>
  <si>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</si>
  <si>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</si>
  <si>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</si>
  <si>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</si>
  <si>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</si>
  <si>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</si>
  <si>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</si>
  <si>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</si>
  <si>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</si>
  <si>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</si>
  <si>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</si>
  <si>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</si>
  <si>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</si>
  <si>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</si>
  <si>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</si>
  <si>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</si>
  <si>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</si>
  <si>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</si>
  <si>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</si>
  <si>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</si>
  <si>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B.3/203/102/2019</t>
  </si>
  <si>
    <t>0914</t>
  </si>
  <si>
    <t>B.3/230/05/2019</t>
  </si>
  <si>
    <t>0915</t>
  </si>
  <si>
    <t>B.3/230/08/2019</t>
  </si>
  <si>
    <t>B.3/230/106/2019</t>
  </si>
  <si>
    <t>0916</t>
  </si>
  <si>
    <t>B.3/230/111/2019</t>
  </si>
  <si>
    <t>0917</t>
  </si>
  <si>
    <t>B.3/230/112/2019</t>
  </si>
  <si>
    <t>0918</t>
  </si>
  <si>
    <t>B.3/230/113/2019</t>
  </si>
  <si>
    <t>0919</t>
  </si>
  <si>
    <t>B.3/230/115/2019</t>
  </si>
  <si>
    <t>0920</t>
  </si>
  <si>
    <t>B.3/230/121/2019</t>
  </si>
  <si>
    <t>B.3/230/123/2019</t>
  </si>
  <si>
    <t>0921</t>
  </si>
  <si>
    <t>B.3/230/141/2019</t>
  </si>
  <si>
    <t>0922</t>
  </si>
  <si>
    <t>0923</t>
  </si>
  <si>
    <t>B.3/230/34/2019</t>
  </si>
  <si>
    <t>B.3/230/36/2019</t>
  </si>
  <si>
    <t>0924</t>
  </si>
  <si>
    <t>B.3/230/40/2019</t>
  </si>
  <si>
    <t>0925</t>
  </si>
  <si>
    <t>B.3/230/52/2019</t>
  </si>
  <si>
    <t>B.3/230/57/2019</t>
  </si>
  <si>
    <t>0926</t>
  </si>
  <si>
    <t>B.3/230/65/2019</t>
  </si>
  <si>
    <t>B.3/230/66/2019</t>
  </si>
  <si>
    <t>0927</t>
  </si>
  <si>
    <t>B.3/230/86/2019</t>
  </si>
  <si>
    <t>0928</t>
  </si>
  <si>
    <t>B.3/230/93/2019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</si>
  <si>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</si>
  <si>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</si>
  <si>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</si>
  <si>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</si>
  <si>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</si>
  <si>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</si>
  <si>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</si>
  <si>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</si>
  <si>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</si>
  <si>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</si>
  <si>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</si>
  <si>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</si>
  <si>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</si>
  <si>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</si>
  <si>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</si>
  <si>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</si>
  <si>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</si>
  <si>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</si>
  <si>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</si>
  <si>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</si>
  <si>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</si>
  <si>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</si>
  <si>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</si>
  <si>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</si>
  <si>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MN/0047/2020</t>
  </si>
  <si>
    <t>0953</t>
  </si>
  <si>
    <t>MN/0048/2020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</si>
  <si>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</si>
  <si>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</si>
  <si>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</si>
  <si>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</si>
  <si>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</si>
  <si>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</si>
  <si>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</si>
  <si>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</si>
  <si>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</si>
  <si>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</si>
  <si>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</si>
  <si>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</si>
  <si>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MN/0072/2020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</si>
  <si>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</si>
  <si>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</si>
  <si>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</si>
  <si>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</si>
  <si>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</si>
  <si>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</si>
  <si>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</si>
  <si>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</si>
  <si>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</si>
  <si>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</si>
  <si>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</si>
  <si>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MN/0093/2020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</si>
  <si>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</si>
  <si>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</si>
  <si>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</si>
  <si>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</si>
  <si>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</si>
  <si>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</si>
  <si>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</si>
  <si>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</si>
  <si>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</si>
  <si>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</si>
  <si>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</si>
  <si>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</si>
  <si>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</si>
  <si>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MN/0115/2020</t>
  </si>
  <si>
    <t>0990</t>
  </si>
  <si>
    <t>0991</t>
  </si>
  <si>
    <t>0992</t>
  </si>
  <si>
    <t>0993</t>
  </si>
  <si>
    <t>MN/0118/2020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</si>
  <si>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</si>
  <si>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</si>
  <si>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</si>
  <si>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</si>
  <si>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</si>
  <si>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</si>
  <si>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</si>
  <si>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</si>
  <si>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</si>
  <si>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</si>
  <si>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</si>
  <si>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</si>
  <si>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</si>
  <si>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</si>
  <si>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</si>
  <si>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</si>
  <si>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</si>
  <si>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</si>
  <si>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</si>
  <si>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</si>
  <si>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MN/0143/2025</t>
  </si>
  <si>
    <t>1014</t>
  </si>
  <si>
    <t>1015</t>
  </si>
  <si>
    <t>1016</t>
  </si>
  <si>
    <t>MN/0148/2020</t>
  </si>
  <si>
    <t>1017</t>
  </si>
  <si>
    <t>1018</t>
  </si>
  <si>
    <t>1019</t>
  </si>
  <si>
    <t>1020</t>
  </si>
  <si>
    <t>1021</t>
  </si>
  <si>
    <t>MN/0164/2020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</si>
  <si>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</si>
  <si>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</si>
  <si>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</si>
  <si>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</si>
  <si>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</si>
  <si>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</si>
  <si>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</si>
  <si>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</si>
  <si>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</si>
  <si>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</si>
  <si>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</si>
  <si>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</si>
  <si>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</si>
  <si>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</si>
  <si>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</si>
  <si>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</si>
  <si>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</si>
  <si>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</si>
  <si>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</si>
  <si>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</si>
  <si>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</si>
  <si>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</si>
  <si>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</si>
  <si>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</si>
  <si>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</si>
  <si>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</si>
  <si>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</si>
  <si>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</si>
  <si>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 xml:space="preserve">MN/1093/26 sampai MN/1120/26 </t>
  </si>
  <si>
    <t>SUDAH ADA TINGGAL TEMPEL</t>
  </si>
  <si>
    <t>MN/0200/2020</t>
  </si>
  <si>
    <t>NOMOR INVENTARIS TERAKHIR = PC/1063/2021</t>
  </si>
  <si>
    <t>PC</t>
  </si>
  <si>
    <t>SUDAH TEMPEL</t>
  </si>
  <si>
    <t>KB/0231/2020</t>
  </si>
  <si>
    <t>KB/0475/2025</t>
  </si>
  <si>
    <t>KB/0476/2025</t>
  </si>
  <si>
    <t>MN/0472/2025</t>
  </si>
  <si>
    <t>MN/0473/2025</t>
  </si>
  <si>
    <t>MN/0474/2025</t>
  </si>
  <si>
    <t>KB/0684/2019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</si>
  <si>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</si>
  <si>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</si>
  <si>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</si>
  <si>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</si>
  <si>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</si>
  <si>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</si>
  <si>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</si>
  <si>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</si>
  <si>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</si>
  <si>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</si>
  <si>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</si>
  <si>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</si>
  <si>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</si>
  <si>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</si>
  <si>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</si>
  <si>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</si>
  <si>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</si>
  <si>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</si>
  <si>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</si>
  <si>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</si>
  <si>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</si>
  <si>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</si>
  <si>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</si>
  <si>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</si>
  <si>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</si>
  <si>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</si>
  <si>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</si>
  <si>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</si>
  <si>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</si>
  <si>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</si>
  <si>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</si>
  <si>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</si>
  <si>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</si>
  <si>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</si>
  <si>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</si>
  <si>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</si>
  <si>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</si>
  <si>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</si>
  <si>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</si>
  <si>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</si>
  <si>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</si>
  <si>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</si>
  <si>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</si>
  <si>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</si>
  <si>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</si>
  <si>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</si>
  <si>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</si>
  <si>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</si>
  <si>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</si>
  <si>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</si>
  <si>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</si>
  <si>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</si>
  <si>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</si>
  <si>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</si>
  <si>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</si>
  <si>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</si>
  <si>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</si>
  <si>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</si>
  <si>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</si>
  <si>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</si>
  <si>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</si>
  <si>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</si>
  <si>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</si>
  <si>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</si>
  <si>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</si>
  <si>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</si>
  <si>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</si>
  <si>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</si>
  <si>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</si>
  <si>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</si>
  <si>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</si>
  <si>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</si>
  <si>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</si>
  <si>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</si>
  <si>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</si>
  <si>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</si>
  <si>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</si>
  <si>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</si>
  <si>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</si>
  <si>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</si>
  <si>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</si>
  <si>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</si>
  <si>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</si>
  <si>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</si>
  <si>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</si>
  <si>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</si>
  <si>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</si>
  <si>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</si>
  <si>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</si>
  <si>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</si>
  <si>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</si>
  <si>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</si>
  <si>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</si>
  <si>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</si>
  <si>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</si>
  <si>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</si>
  <si>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</si>
  <si>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</si>
  <si>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</si>
  <si>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</si>
  <si>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</si>
  <si>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</si>
  <si>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</si>
  <si>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</si>
  <si>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</si>
  <si>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</si>
  <si>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</si>
  <si>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</si>
  <si>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</si>
  <si>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</si>
  <si>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</si>
  <si>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</si>
  <si>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</si>
  <si>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</si>
  <si>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</si>
  <si>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</si>
  <si>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</si>
  <si>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</si>
  <si>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</si>
  <si>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</si>
  <si>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</si>
  <si>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</si>
  <si>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</si>
  <si>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</si>
  <si>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</si>
  <si>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</si>
  <si>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</si>
  <si>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</si>
  <si>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</si>
  <si>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</si>
  <si>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</si>
  <si>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</si>
  <si>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</si>
  <si>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</si>
  <si>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</si>
  <si>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</si>
  <si>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</si>
  <si>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</si>
  <si>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</si>
  <si>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</si>
  <si>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</si>
  <si>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</si>
  <si>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</si>
  <si>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</si>
  <si>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</si>
  <si>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</si>
  <si>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</si>
  <si>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</si>
  <si>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KB/0930/2019</t>
  </si>
  <si>
    <t>1198</t>
  </si>
  <si>
    <t>PENGGANTI DOBEL NO INVENTARIS</t>
  </si>
  <si>
    <t>1199</t>
  </si>
  <si>
    <t>1707/2026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</si>
  <si>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</si>
  <si>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</si>
  <si>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</si>
  <si>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</si>
  <si>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</si>
  <si>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</si>
  <si>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</si>
  <si>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</si>
  <si>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</si>
  <si>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</si>
  <si>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</si>
  <si>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</si>
  <si>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</si>
  <si>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</si>
  <si>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</si>
  <si>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</si>
  <si>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</si>
  <si>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</si>
  <si>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</si>
  <si>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</si>
  <si>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</si>
  <si>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</si>
  <si>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</si>
  <si>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</si>
  <si>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</si>
  <si>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</si>
  <si>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</si>
  <si>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</si>
  <si>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</si>
  <si>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</si>
  <si>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</si>
  <si>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</si>
  <si>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</si>
  <si>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</si>
  <si>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</si>
  <si>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</si>
  <si>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</si>
  <si>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KB/0964/2019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</si>
  <si>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</si>
  <si>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</si>
  <si>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</si>
  <si>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</si>
  <si>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</si>
  <si>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</si>
  <si>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</si>
  <si>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</si>
  <si>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</si>
  <si>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</si>
  <si>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</si>
  <si>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</si>
  <si>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</si>
  <si>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</si>
  <si>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</si>
  <si>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</si>
  <si>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</si>
  <si>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</si>
  <si>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</si>
  <si>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</si>
  <si>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</si>
  <si>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</si>
  <si>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</si>
  <si>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</si>
  <si>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</si>
  <si>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</si>
  <si>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</si>
  <si>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PC/0035/2020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</si>
  <si>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</si>
  <si>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</si>
  <si>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</si>
  <si>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</si>
  <si>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</si>
  <si>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</si>
  <si>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</si>
  <si>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</si>
  <si>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</si>
  <si>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</si>
  <si>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</si>
  <si>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</si>
  <si>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</si>
  <si>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</si>
  <si>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</si>
  <si>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</si>
  <si>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</si>
  <si>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</si>
  <si>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</si>
  <si>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</si>
  <si>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</si>
  <si>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</si>
  <si>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</si>
  <si>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</si>
  <si>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</si>
  <si>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</si>
  <si>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</si>
  <si>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</si>
  <si>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</si>
  <si>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</si>
  <si>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</si>
  <si>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</si>
  <si>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</si>
  <si>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</si>
  <si>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</si>
  <si>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</si>
  <si>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</si>
  <si>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</si>
  <si>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</si>
  <si>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</si>
  <si>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</si>
  <si>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</si>
  <si>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</si>
  <si>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</si>
  <si>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</si>
  <si>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</si>
  <si>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</si>
  <si>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</si>
  <si>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</si>
  <si>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</si>
  <si>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</si>
  <si>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</si>
  <si>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</si>
  <si>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</si>
  <si>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</si>
  <si>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</si>
  <si>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</si>
  <si>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</si>
  <si>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</si>
  <si>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</si>
  <si>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</si>
  <si>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</si>
  <si>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</si>
  <si>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</si>
  <si>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</si>
  <si>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</si>
  <si>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</si>
  <si>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</si>
  <si>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</si>
  <si>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</si>
  <si>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</si>
  <si>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</si>
  <si>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</si>
  <si>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</si>
  <si>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</si>
  <si>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</si>
  <si>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</si>
  <si>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</si>
  <si>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</si>
  <si>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NOMOR INVENTARIS TERAKHIR = MS/1518/2023</t>
  </si>
  <si>
    <t>MS</t>
  </si>
  <si>
    <t>DIPERBAIKI</t>
  </si>
  <si>
    <t>PC/0285/2021</t>
  </si>
  <si>
    <t>PC/0307/2019</t>
  </si>
  <si>
    <t>MS/0027/2020</t>
  </si>
  <si>
    <t>PC/0483/2019</t>
  </si>
  <si>
    <t>MS/0085/2019</t>
  </si>
  <si>
    <t>MS/0138/2019</t>
  </si>
  <si>
    <t>NOMOR INVENTARIS TERAKHIR = HD/1067/2023</t>
  </si>
  <si>
    <t>HD</t>
  </si>
  <si>
    <t>MS/0336/2019</t>
  </si>
  <si>
    <t>PC/0685/2019</t>
  </si>
  <si>
    <t>MS/0391/2019</t>
  </si>
  <si>
    <t>PC/0707/2020</t>
  </si>
  <si>
    <t>MS/0589/2019</t>
  </si>
  <si>
    <t>MS/0636/2019</t>
  </si>
  <si>
    <t>MS/0680/2019</t>
  </si>
  <si>
    <t>PC/1015/2020</t>
  </si>
  <si>
    <t>MS/0794/2023</t>
  </si>
  <si>
    <t>MS/0809/2023</t>
  </si>
  <si>
    <t>MS/0815/2023</t>
  </si>
  <si>
    <t>MS/0816/2023</t>
  </si>
  <si>
    <t>MS/0817/2023</t>
  </si>
  <si>
    <t>MS/0838/2023</t>
  </si>
  <si>
    <t>MS/0840/2023</t>
  </si>
  <si>
    <t>MS/0859/2022</t>
  </si>
  <si>
    <t>MS/0886/2023</t>
  </si>
  <si>
    <t>MS/0927/2023</t>
  </si>
  <si>
    <t>MS/0969/2022</t>
  </si>
  <si>
    <t>MS/0973/2022</t>
  </si>
  <si>
    <t>MS/0981/2019</t>
  </si>
  <si>
    <t>MS/1078/2022</t>
  </si>
  <si>
    <t>PC/1266/2025</t>
  </si>
  <si>
    <t>PC/1267/2025</t>
  </si>
  <si>
    <t>MS/1155/2023</t>
  </si>
  <si>
    <t>MS/1313/2023</t>
  </si>
  <si>
    <t>MS/1364/2023</t>
  </si>
  <si>
    <t>PC/1312/2025</t>
  </si>
  <si>
    <t>MS/1365/2023</t>
  </si>
  <si>
    <t>MS/1375/2023</t>
  </si>
  <si>
    <t>MS/1518/2023</t>
  </si>
  <si>
    <t>MS/1530/2025</t>
  </si>
  <si>
    <t>MS/1586/2025</t>
  </si>
  <si>
    <t>MS/1610/2025</t>
  </si>
  <si>
    <t>Tempel 14/11/2025</t>
  </si>
  <si>
    <t>MS/1744/2025</t>
  </si>
  <si>
    <t>MS/1745/2025</t>
  </si>
  <si>
    <t>HD/0332/2023</t>
  </si>
  <si>
    <t>HD/0619/2023</t>
  </si>
  <si>
    <t>HD/0663/2019</t>
  </si>
  <si>
    <t>HD/1062/2023</t>
  </si>
  <si>
    <t>HD/1064/2023</t>
  </si>
  <si>
    <t>Nama Aset dan Barang</t>
  </si>
  <si>
    <t>Kode</t>
  </si>
  <si>
    <t>B.2</t>
  </si>
  <si>
    <t>B.2/0000/2019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</si>
  <si>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</si>
  <si>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</si>
  <si>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</si>
  <si>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</si>
  <si>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</si>
  <si>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</si>
  <si>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</si>
  <si>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</si>
  <si>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</si>
  <si>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Laptop HP</t>
  </si>
  <si>
    <t>0010</t>
  </si>
  <si>
    <t>0011</t>
  </si>
  <si>
    <t>0012</t>
  </si>
  <si>
    <t>Laptop Lenovo ThinkPad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</si>
  <si>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</si>
  <si>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</si>
  <si>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</si>
  <si>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</si>
  <si>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</si>
  <si>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</si>
  <si>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</si>
  <si>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</si>
  <si>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</si>
  <si>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</si>
  <si>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</si>
  <si>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</si>
  <si>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</si>
  <si>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</si>
  <si>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</si>
  <si>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</si>
  <si>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</si>
  <si>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</si>
  <si>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</si>
  <si>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</si>
  <si>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</si>
  <si>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</si>
  <si>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</si>
  <si>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</si>
  <si>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</si>
  <si>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</si>
  <si>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</si>
  <si>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</si>
  <si>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</si>
  <si>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</si>
  <si>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</si>
  <si>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</si>
  <si>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</si>
  <si>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</si>
  <si>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</si>
  <si>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</si>
  <si>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</si>
  <si>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</si>
  <si>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</si>
  <si>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</si>
  <si>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</si>
  <si>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</si>
  <si>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</si>
  <si>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</si>
  <si>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</si>
  <si>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</si>
  <si>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</si>
  <si>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</si>
  <si>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</si>
  <si>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</si>
  <si>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Laptop Bu Dewi</t>
  </si>
  <si>
    <t>0063</t>
  </si>
  <si>
    <t>Laptop Asus Vivobook E1404F + Mouse R-One W170</t>
  </si>
  <si>
    <t>Laptop + Mouse Bu Lia</t>
  </si>
  <si>
    <t>0064</t>
  </si>
  <si>
    <t>Laptop Direktur</t>
  </si>
  <si>
    <t>0065</t>
  </si>
  <si>
    <t>Laptop Manager Collection</t>
  </si>
  <si>
    <t>0066</t>
  </si>
  <si>
    <t>0067</t>
  </si>
  <si>
    <t>0068</t>
  </si>
  <si>
    <t>0069</t>
  </si>
  <si>
    <t>0070</t>
  </si>
  <si>
    <t>0071</t>
  </si>
  <si>
    <t>0072</t>
  </si>
  <si>
    <t>0073</t>
  </si>
  <si>
    <t>Laptop Manager FC</t>
  </si>
  <si>
    <t>0074</t>
  </si>
  <si>
    <t>Laptop Manager IT</t>
  </si>
  <si>
    <t>0075</t>
  </si>
  <si>
    <t>Inventaris ulang - Sendi</t>
  </si>
  <si>
    <t>0076</t>
  </si>
  <si>
    <t>Inventaris ulang - Annisa</t>
  </si>
  <si>
    <t>0077</t>
  </si>
  <si>
    <t>Inventaris ulang - Admin</t>
  </si>
  <si>
    <t>0078</t>
  </si>
  <si>
    <t>Inventaris ulang - GA</t>
  </si>
  <si>
    <t>0079</t>
  </si>
  <si>
    <t>Inventaris ulang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</si>
  <si>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</si>
  <si>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</si>
  <si>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</si>
  <si>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</si>
  <si>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</si>
  <si>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</si>
  <si>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</si>
  <si>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</si>
  <si>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</si>
  <si>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</si>
  <si>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</si>
  <si>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</si>
  <si>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</si>
  <si>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</si>
  <si>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</si>
  <si>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</si>
  <si>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</si>
  <si>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</si>
  <si>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</si>
  <si>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</si>
  <si>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</si>
  <si>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Nama Pemakai</t>
  </si>
  <si>
    <t>B.10</t>
  </si>
  <si>
    <t>B.10/0000/2019</t>
  </si>
  <si>
    <t>B.11</t>
  </si>
  <si>
    <t>Lain-lain</t>
  </si>
  <si>
    <t>B.11/0000/2019</t>
  </si>
  <si>
    <t>Kulkas</t>
  </si>
  <si>
    <t>Mic Ikrar</t>
  </si>
  <si>
    <t>Mic Masijd</t>
  </si>
  <si>
    <t>HandyTalky</t>
  </si>
  <si>
    <t>Jam Digital Masjid</t>
  </si>
  <si>
    <t>Speaker Masjid</t>
  </si>
  <si>
    <t>Speaker Ikrar</t>
  </si>
  <si>
    <t xml:space="preserve">Vacum Cleaner </t>
  </si>
  <si>
    <t>Metal Detector</t>
  </si>
  <si>
    <t>AC</t>
  </si>
  <si>
    <t>Penghancur Kertas</t>
  </si>
  <si>
    <t>Pemotong Kertas</t>
  </si>
  <si>
    <t>Apar</t>
  </si>
  <si>
    <t>Switch Hub</t>
  </si>
  <si>
    <t>MS/2114/2025</t>
  </si>
  <si>
    <t>MS/2115/2025</t>
  </si>
  <si>
    <t>MS/2116/2025</t>
  </si>
  <si>
    <t>MS/2117/2025</t>
  </si>
  <si>
    <t>MS/2118/2025</t>
  </si>
  <si>
    <t>MS/2119/2025</t>
  </si>
  <si>
    <t>MS/2120/2025</t>
  </si>
  <si>
    <t>0101</t>
  </si>
  <si>
    <t>0102</t>
  </si>
  <si>
    <t>MS/2121/2025</t>
  </si>
  <si>
    <t>0103</t>
  </si>
  <si>
    <t>0104</t>
  </si>
  <si>
    <t>MS/2122/2025</t>
  </si>
  <si>
    <t>0105</t>
  </si>
  <si>
    <t>0106</t>
  </si>
  <si>
    <t>0107</t>
  </si>
  <si>
    <t>MS/2123/2025</t>
  </si>
  <si>
    <t>Pointer</t>
  </si>
  <si>
    <t>0108</t>
  </si>
  <si>
    <t>0109</t>
  </si>
  <si>
    <t>0110</t>
  </si>
  <si>
    <t>MS/2124/2025</t>
  </si>
  <si>
    <t>WD SATA 256</t>
  </si>
  <si>
    <t>0111</t>
  </si>
  <si>
    <t>0112</t>
  </si>
  <si>
    <t>MS/2125/2025</t>
  </si>
  <si>
    <t>0113</t>
  </si>
  <si>
    <t>0114</t>
  </si>
  <si>
    <t>0115</t>
  </si>
  <si>
    <t>MS/2126/2025</t>
  </si>
  <si>
    <t>0116</t>
  </si>
  <si>
    <t>0117</t>
  </si>
  <si>
    <t>NVME 256</t>
  </si>
  <si>
    <t>0118</t>
  </si>
  <si>
    <t>MS/2127/2025</t>
  </si>
  <si>
    <t>0119</t>
  </si>
  <si>
    <t>0120</t>
  </si>
  <si>
    <t>0121</t>
  </si>
  <si>
    <t>MS/2128/2025</t>
  </si>
  <si>
    <t>SSD SATA</t>
  </si>
  <si>
    <t>0122</t>
  </si>
  <si>
    <t>0123</t>
  </si>
  <si>
    <t>MS/2129/2025</t>
  </si>
  <si>
    <t>0124</t>
  </si>
  <si>
    <t>0125</t>
  </si>
  <si>
    <t>0126</t>
  </si>
  <si>
    <t>MS/2130/2025</t>
  </si>
  <si>
    <t>0127</t>
  </si>
  <si>
    <t>0128</t>
  </si>
  <si>
    <t>0129</t>
  </si>
  <si>
    <t>MS/2131/2025</t>
  </si>
  <si>
    <t>0130</t>
  </si>
  <si>
    <t>0131</t>
  </si>
  <si>
    <t>0132</t>
  </si>
  <si>
    <t>MS/2132/2025</t>
  </si>
  <si>
    <t>0133</t>
  </si>
  <si>
    <t>0134</t>
  </si>
  <si>
    <t>0135</t>
  </si>
  <si>
    <t>MS/2133/2025</t>
  </si>
  <si>
    <t>0136</t>
  </si>
  <si>
    <t>0137</t>
  </si>
  <si>
    <t>0138</t>
  </si>
  <si>
    <t>MS/2134/2025</t>
  </si>
  <si>
    <t>0139</t>
  </si>
  <si>
    <t>0140</t>
  </si>
  <si>
    <t>0141</t>
  </si>
  <si>
    <t>MS/2135/2025</t>
  </si>
  <si>
    <t>0142</t>
  </si>
  <si>
    <t>0143</t>
  </si>
  <si>
    <t>MS/2136/2025</t>
  </si>
  <si>
    <t>0144</t>
  </si>
  <si>
    <t>0145</t>
  </si>
  <si>
    <t>0146</t>
  </si>
  <si>
    <t>MS/2137/2025</t>
  </si>
  <si>
    <t>0147</t>
  </si>
  <si>
    <t>0148</t>
  </si>
  <si>
    <t>0149</t>
  </si>
  <si>
    <t>MS/2138/2025</t>
  </si>
  <si>
    <t>0150</t>
  </si>
  <si>
    <t>0151</t>
  </si>
  <si>
    <t>Charger Laptop ACER</t>
  </si>
  <si>
    <t>0152</t>
  </si>
  <si>
    <t>MS/2139/2025</t>
  </si>
  <si>
    <t>0153</t>
  </si>
  <si>
    <t>0154</t>
  </si>
  <si>
    <t>0155</t>
  </si>
  <si>
    <t>Solder 1 set</t>
  </si>
  <si>
    <t>MS/2140/2025</t>
  </si>
  <si>
    <t>0156</t>
  </si>
  <si>
    <t>Magic Jar</t>
  </si>
  <si>
    <t>0157</t>
  </si>
  <si>
    <t>Kawat Pembersih Pipa</t>
  </si>
  <si>
    <t>0158</t>
  </si>
  <si>
    <t>MS/2141/2025</t>
  </si>
  <si>
    <t>Obeng 1 pack (10 Unit)</t>
  </si>
  <si>
    <t>0159</t>
  </si>
  <si>
    <t>PCI-Express Card</t>
  </si>
  <si>
    <t>MS/2142/2025</t>
  </si>
  <si>
    <t>MS/2143/2025</t>
  </si>
  <si>
    <t>0160</t>
  </si>
  <si>
    <t>0161</t>
  </si>
  <si>
    <t>0162</t>
  </si>
  <si>
    <t>MS/2144/2025</t>
  </si>
  <si>
    <t>Tang Krimping (Tang LAN)</t>
  </si>
  <si>
    <t>0163</t>
  </si>
  <si>
    <t>Charger Laptop Lenovo</t>
  </si>
  <si>
    <t>Charger Pak Yolanda(15/11/23)</t>
  </si>
  <si>
    <t>0164</t>
  </si>
  <si>
    <t>Penyedot debu</t>
  </si>
  <si>
    <t>MS/2145/2025</t>
  </si>
  <si>
    <t>Pembelian November 2023</t>
  </si>
  <si>
    <t>0165</t>
  </si>
  <si>
    <t>Kulkas Aqua</t>
  </si>
  <si>
    <t>0166</t>
  </si>
  <si>
    <t>0167</t>
  </si>
  <si>
    <t>Sanyo</t>
  </si>
  <si>
    <t>MS/2146/2025</t>
  </si>
  <si>
    <t>0168</t>
  </si>
  <si>
    <t>Exhaust</t>
  </si>
  <si>
    <t>0169</t>
  </si>
  <si>
    <t>MS/2147/2025</t>
  </si>
  <si>
    <t>Pembelian Januari 2024</t>
  </si>
  <si>
    <t>0170</t>
  </si>
  <si>
    <t>MS/2148/2025</t>
  </si>
  <si>
    <t>0171</t>
  </si>
  <si>
    <t>0172</t>
  </si>
  <si>
    <t>Pembelian Mei 2025</t>
  </si>
  <si>
    <t>MS/2149/2025</t>
  </si>
  <si>
    <t>0173</t>
  </si>
  <si>
    <t>MS/2150/2025</t>
  </si>
  <si>
    <t>MS/2151/2025</t>
  </si>
  <si>
    <t>Tempel 02/02/2026</t>
  </si>
  <si>
    <t>MS/2152/2025</t>
  </si>
  <si>
    <t>MS/2153/2025</t>
  </si>
  <si>
    <t>MS/2154/2025</t>
  </si>
  <si>
    <t>MS/2155/2025</t>
  </si>
  <si>
    <t>MS/2156/2025</t>
  </si>
  <si>
    <t>MS/2157/2025</t>
  </si>
  <si>
    <t>MS/2158/2025</t>
  </si>
  <si>
    <t>MS/2159/2025</t>
  </si>
  <si>
    <t>MS/2160/2025</t>
  </si>
  <si>
    <t>MS/2161/2025</t>
  </si>
  <si>
    <t>MS/2162/2025</t>
  </si>
  <si>
    <t>MS/2163/2025</t>
  </si>
  <si>
    <t>Tempel 23/04/2026</t>
  </si>
  <si>
    <t>HD/1338/2025</t>
  </si>
  <si>
    <t>HD/1400/2025</t>
  </si>
  <si>
    <t>HD/1408/2025</t>
  </si>
  <si>
    <t>HD/1486/2025</t>
  </si>
  <si>
    <t>HD/1608/2025</t>
  </si>
  <si>
    <t>HD/1699/2025</t>
  </si>
  <si>
    <t>HD/1936/2023</t>
  </si>
  <si>
    <t>HD/1969/2023</t>
  </si>
  <si>
    <t>HD/1519/2025</t>
  </si>
  <si>
    <t>HD/1569/2025</t>
  </si>
  <si>
    <t>HD/1574/2025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</si>
</sst>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 &quot;mmmm&quot; &quot;yyyy"/>
    <numFmt numFmtId="165" formatCode="dd/mm/yyyy"/>
    <numFmt numFmtId="166" formatCode="dd&quot;/&quot;mm&quot;/&quot;yyyy"/>
  </numFmts>
  <fonts count="23">
    <font>
      <sz val="10.0"/>
      <color rgb="FF000000"/>
      <name val="Arial"/>
      <scheme val="minor"/>
    </font>
    <font>
      <b/>
      <sz val="21.0"/>
      <color theme="1"/>
      <name val="Calibri"/>
    </font>
    <font/>
    <font>
      <sz val="11.0"/>
      <color theme="1"/>
      <name val="Calibri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20.0"/>
      <color theme="1"/>
      <name val="Calibri"/>
    </font>
    <font>
      <b/>
      <color theme="1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color theme="1"/>
      <name val="Arial"/>
    </font>
    <font>
      <b/>
      <sz val="13.0"/>
      <color theme="1"/>
      <name val="Calibri"/>
    </font>
    <font>
      <sz val="12.0"/>
      <color theme="1"/>
      <name val="Calibri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000000"/>
      <name val="Arial"/>
    </font>
    <font>
      <sz val="12.0"/>
      <color theme="1"/>
      <name val="Arial"/>
      <scheme val="minor"/>
    </font>
    <font>
      <b/>
      <sz val="13.0"/>
      <color theme="1"/>
      <name val="Arial"/>
    </font>
    <font>
      <sz val="13.0"/>
      <color theme="1"/>
      <name val="Arial"/>
    </font>
    <font>
      <sz val="11.0"/>
      <color theme="1"/>
      <name val="Arial"/>
    </font>
    <font>
      <sz val="13.0"/>
      <color theme="1"/>
      <name val="Arial"/>
      <scheme val="minor"/>
    </font>
    <font>
      <b/>
      <sz val="11.0"/>
      <color theme="1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  <fill>
      <patternFill patternType="solid">
        <fgColor rgb="FFB4A7D6"/>
        <bgColor rgb="FFB4A7D6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</fills>
  <borders count="23">
    <border/>
    <border>
      <left/>
      <top/>
    </border>
    <border>
      <top/>
    </border>
    <border>
      <left style="medium">
        <color rgb="FF000000"/>
      </left>
      <top style="medium">
        <color rgb="FF000000"/>
      </top>
    </border>
    <border>
      <right/>
      <top/>
    </border>
    <border>
      <left/>
    </border>
    <border>
      <right/>
    </border>
    <border>
      <right style="medium">
        <color rgb="FF000000"/>
      </right>
      <top style="medium">
        <color rgb="FF000000"/>
      </top>
    </border>
    <border>
      <left/>
      <bottom/>
    </border>
    <border>
      <bottom/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/>
    </border>
    <border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2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0" fillId="0" fontId="5" numFmtId="0" xfId="0" applyAlignment="1" applyFont="1">
      <alignment readingOrder="0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6" numFmtId="0" xfId="0" applyAlignment="1" applyBorder="1" applyFont="1">
      <alignment horizontal="center" readingOrder="0"/>
    </xf>
    <xf borderId="3" fillId="2" fontId="3" numFmtId="0" xfId="0" applyAlignment="1" applyBorder="1" applyFont="1">
      <alignment horizontal="center" readingOrder="0" vertical="center"/>
    </xf>
    <xf borderId="12" fillId="0" fontId="2" numFmtId="0" xfId="0" applyBorder="1" applyFont="1"/>
    <xf borderId="13" fillId="0" fontId="7" numFmtId="0" xfId="0" applyAlignment="1" applyBorder="1" applyFont="1">
      <alignment horizontal="center"/>
    </xf>
    <xf borderId="11" fillId="0" fontId="8" numFmtId="0" xfId="0" applyAlignment="1" applyBorder="1" applyFont="1">
      <alignment horizontal="center" readingOrder="0"/>
    </xf>
    <xf borderId="14" fillId="0" fontId="2" numFmtId="0" xfId="0" applyBorder="1" applyFont="1"/>
    <xf borderId="11" fillId="0" fontId="6" numFmtId="0" xfId="0" applyAlignment="1" applyBorder="1" applyFont="1">
      <alignment readingOrder="0"/>
    </xf>
    <xf borderId="13" fillId="0" fontId="7" numFmtId="0" xfId="0" applyAlignment="1" applyBorder="1" applyFont="1">
      <alignment horizontal="center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1" fillId="0" fontId="6" numFmtId="164" xfId="0" applyAlignment="1" applyBorder="1" applyFont="1" applyNumberFormat="1">
      <alignment horizontal="center" readingOrder="0"/>
    </xf>
    <xf borderId="11" fillId="0" fontId="7" numFmtId="0" xfId="0" applyAlignment="1" applyBorder="1" applyFont="1">
      <alignment horizontal="center"/>
    </xf>
    <xf borderId="0" fillId="0" fontId="6" numFmtId="0" xfId="0" applyAlignment="1" applyFont="1">
      <alignment readingOrder="0"/>
    </xf>
    <xf borderId="11" fillId="0" fontId="7" numFmtId="0" xfId="0" applyAlignment="1" applyBorder="1" applyFont="1">
      <alignment horizontal="center"/>
    </xf>
    <xf borderId="11" fillId="3" fontId="3" numFmtId="0" xfId="0" applyAlignment="1" applyBorder="1" applyFill="1" applyFont="1">
      <alignment horizontal="center" vertical="bottom"/>
    </xf>
    <xf borderId="11" fillId="3" fontId="3" numFmtId="0" xfId="0" applyAlignment="1" applyBorder="1" applyFont="1">
      <alignment horizontal="center" vertical="bottom"/>
    </xf>
    <xf borderId="18" fillId="4" fontId="3" numFmtId="0" xfId="0" applyAlignment="1" applyBorder="1" applyFill="1" applyFont="1">
      <alignment vertical="center"/>
    </xf>
    <xf borderId="11" fillId="0" fontId="6" numFmtId="0" xfId="0" applyBorder="1" applyFont="1"/>
    <xf borderId="11" fillId="3" fontId="3" numFmtId="0" xfId="0" applyAlignment="1" applyBorder="1" applyFont="1">
      <alignment vertical="bottom"/>
    </xf>
    <xf borderId="19" fillId="4" fontId="3" numFmtId="0" xfId="0" applyAlignment="1" applyBorder="1" applyFont="1">
      <alignment horizontal="center" vertical="center"/>
    </xf>
    <xf borderId="18" fillId="4" fontId="3" numFmtId="0" xfId="0" applyAlignment="1" applyBorder="1" applyFont="1">
      <alignment horizontal="center" vertical="center"/>
    </xf>
    <xf borderId="11" fillId="3" fontId="3" numFmtId="0" xfId="0" applyAlignment="1" applyBorder="1" applyFont="1">
      <alignment horizontal="center" vertical="bottom"/>
    </xf>
    <xf borderId="11" fillId="0" fontId="3" numFmtId="0" xfId="0" applyAlignment="1" applyBorder="1" applyFont="1">
      <alignment vertical="bottom"/>
    </xf>
    <xf borderId="18" fillId="4" fontId="3" numFmtId="0" xfId="0" applyAlignment="1" applyBorder="1" applyFont="1">
      <alignment horizontal="center" readingOrder="0" vertical="center"/>
    </xf>
    <xf borderId="20" fillId="4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bottom"/>
    </xf>
    <xf borderId="20" fillId="4" fontId="3" numFmtId="0" xfId="0" applyAlignment="1" applyBorder="1" applyFont="1">
      <alignment horizontal="center" readingOrder="0" vertical="center"/>
    </xf>
    <xf borderId="11" fillId="2" fontId="6" numFmtId="0" xfId="0" applyAlignment="1" applyBorder="1" applyFont="1">
      <alignment readingOrder="0"/>
    </xf>
    <xf borderId="0" fillId="0" fontId="8" numFmtId="0" xfId="0" applyAlignment="1" applyFont="1">
      <alignment horizontal="center" readingOrder="0" shrinkToFit="0" vertical="center" wrapText="1"/>
    </xf>
    <xf borderId="11" fillId="0" fontId="3" numFmtId="0" xfId="0" applyAlignment="1" applyBorder="1" applyFont="1">
      <alignment horizontal="center" vertical="bottom"/>
    </xf>
    <xf borderId="11" fillId="2" fontId="6" numFmtId="0" xfId="0" applyBorder="1" applyFont="1"/>
    <xf borderId="0" fillId="0" fontId="8" numFmtId="0" xfId="0" applyAlignment="1" applyFont="1">
      <alignment horizontal="center" readingOrder="0" vertical="center"/>
    </xf>
    <xf borderId="11" fillId="5" fontId="3" numFmtId="0" xfId="0" applyAlignment="1" applyBorder="1" applyFill="1" applyFont="1">
      <alignment horizontal="center" vertical="bottom"/>
    </xf>
    <xf borderId="11" fillId="5" fontId="3" numFmtId="0" xfId="0" applyAlignment="1" applyBorder="1" applyFont="1">
      <alignment vertical="bottom"/>
    </xf>
    <xf borderId="0" fillId="0" fontId="6" numFmtId="0" xfId="0" applyAlignment="1" applyFont="1">
      <alignment horizontal="center" vertical="center"/>
    </xf>
    <xf borderId="11" fillId="5" fontId="3" numFmtId="0" xfId="0" applyAlignment="1" applyBorder="1" applyFont="1">
      <alignment horizontal="center" vertical="bottom"/>
    </xf>
    <xf borderId="0" fillId="0" fontId="9" numFmtId="0" xfId="0" applyAlignment="1" applyFont="1">
      <alignment horizontal="center" readingOrder="0" shrinkToFit="0" wrapText="0"/>
    </xf>
    <xf borderId="11" fillId="5" fontId="3" numFmtId="0" xfId="0" applyAlignment="1" applyBorder="1" applyFont="1">
      <alignment horizontal="center" vertical="bottom"/>
    </xf>
    <xf borderId="11" fillId="0" fontId="3" numFmtId="0" xfId="0" applyBorder="1" applyFont="1"/>
    <xf borderId="11" fillId="3" fontId="3" numFmtId="0" xfId="0" applyAlignment="1" applyBorder="1" applyFont="1">
      <alignment horizontal="center"/>
    </xf>
    <xf borderId="11" fillId="5" fontId="3" numFmtId="165" xfId="0" applyAlignment="1" applyBorder="1" applyFont="1" applyNumberFormat="1">
      <alignment horizontal="center" vertical="bottom"/>
    </xf>
    <xf borderId="11" fillId="6" fontId="3" numFmtId="0" xfId="0" applyAlignment="1" applyBorder="1" applyFill="1" applyFont="1">
      <alignment vertical="bottom"/>
    </xf>
    <xf borderId="11" fillId="0" fontId="3" numFmtId="0" xfId="0" applyAlignment="1" applyBorder="1" applyFont="1">
      <alignment horizontal="center" readingOrder="0"/>
    </xf>
    <xf borderId="11" fillId="6" fontId="3" numFmtId="0" xfId="0" applyAlignment="1" applyBorder="1" applyFont="1">
      <alignment vertical="bottom"/>
    </xf>
    <xf borderId="11" fillId="6" fontId="3" numFmtId="0" xfId="0" applyAlignment="1" applyBorder="1" applyFont="1">
      <alignment horizontal="center" vertical="bottom"/>
    </xf>
    <xf borderId="11" fillId="3" fontId="3" numFmtId="0" xfId="0" applyAlignment="1" applyBorder="1" applyFont="1">
      <alignment horizontal="center" shrinkToFit="0" wrapText="0"/>
    </xf>
    <xf borderId="11" fillId="3" fontId="3" numFmtId="0" xfId="0" applyAlignment="1" applyBorder="1" applyFont="1">
      <alignment horizontal="center" shrinkToFit="0" wrapText="1"/>
    </xf>
    <xf borderId="11" fillId="6" fontId="3" numFmtId="0" xfId="0" applyAlignment="1" applyBorder="1" applyFont="1">
      <alignment horizontal="center" vertical="bottom"/>
    </xf>
    <xf borderId="11" fillId="0" fontId="3" numFmtId="0" xfId="0" applyAlignment="1" applyBorder="1" applyFont="1">
      <alignment horizontal="center"/>
    </xf>
    <xf borderId="0" fillId="0" fontId="6" numFmtId="0" xfId="0" applyFont="1"/>
    <xf borderId="11" fillId="6" fontId="3" numFmtId="0" xfId="0" applyAlignment="1" applyBorder="1" applyFont="1">
      <alignment horizontal="center" vertical="bottom"/>
    </xf>
    <xf borderId="11" fillId="6" fontId="3" numFmtId="165" xfId="0" applyAlignment="1" applyBorder="1" applyFont="1" applyNumberFormat="1">
      <alignment horizontal="center" vertical="bottom"/>
    </xf>
    <xf borderId="11" fillId="3" fontId="3" numFmtId="0" xfId="0" applyAlignment="1" applyBorder="1" applyFont="1">
      <alignment horizontal="center" shrinkToFit="0" wrapText="0"/>
    </xf>
    <xf borderId="11" fillId="0" fontId="6" numFmtId="0" xfId="0" applyAlignment="1" applyBorder="1" applyFont="1">
      <alignment horizontal="center"/>
    </xf>
    <xf borderId="11" fillId="7" fontId="3" numFmtId="0" xfId="0" applyAlignment="1" applyBorder="1" applyFill="1" applyFont="1">
      <alignment horizontal="center" shrinkToFit="0" wrapText="0"/>
    </xf>
    <xf borderId="0" fillId="0" fontId="8" numFmtId="0" xfId="0" applyAlignment="1" applyFont="1">
      <alignment horizontal="left" readingOrder="0"/>
    </xf>
    <xf borderId="11" fillId="8" fontId="3" numFmtId="0" xfId="0" applyAlignment="1" applyBorder="1" applyFill="1" applyFont="1">
      <alignment vertical="bottom"/>
    </xf>
    <xf borderId="11" fillId="0" fontId="3" numFmtId="0" xfId="0" applyAlignment="1" applyBorder="1" applyFont="1">
      <alignment horizontal="center" readingOrder="0" vertical="center"/>
    </xf>
    <xf borderId="11" fillId="8" fontId="3" numFmtId="0" xfId="0" applyAlignment="1" applyBorder="1" applyFont="1">
      <alignment horizontal="center" vertical="bottom"/>
    </xf>
    <xf borderId="11" fillId="0" fontId="6" numFmtId="0" xfId="0" applyAlignment="1" applyBorder="1" applyFont="1">
      <alignment horizontal="center" readingOrder="0" vertical="center"/>
    </xf>
    <xf borderId="11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11" fillId="8" fontId="3" numFmtId="0" xfId="0" applyAlignment="1" applyBorder="1" applyFont="1">
      <alignment horizontal="center" vertical="bottom"/>
    </xf>
    <xf borderId="11" fillId="9" fontId="6" numFmtId="0" xfId="0" applyAlignment="1" applyBorder="1" applyFill="1" applyFont="1">
      <alignment readingOrder="0"/>
    </xf>
    <xf borderId="11" fillId="7" fontId="6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 shrinkToFit="0" vertical="bottom" wrapText="0"/>
    </xf>
    <xf borderId="11" fillId="8" fontId="3" numFmtId="0" xfId="0" applyAlignment="1" applyBorder="1" applyFont="1">
      <alignment horizontal="center" vertical="bottom"/>
    </xf>
    <xf borderId="11" fillId="9" fontId="6" numFmtId="0" xfId="0" applyAlignment="1" applyBorder="1" applyFont="1">
      <alignment horizontal="center" readingOrder="0"/>
    </xf>
    <xf borderId="11" fillId="10" fontId="3" numFmtId="0" xfId="0" applyAlignment="1" applyBorder="1" applyFill="1" applyFont="1">
      <alignment horizontal="center" vertical="bottom"/>
    </xf>
    <xf borderId="11" fillId="9" fontId="6" numFmtId="0" xfId="0" applyAlignment="1" applyBorder="1" applyFont="1">
      <alignment horizontal="center"/>
    </xf>
    <xf borderId="11" fillId="0" fontId="3" numFmtId="0" xfId="0" applyAlignment="1" applyBorder="1" applyFont="1">
      <alignment horizontal="center" shrinkToFit="0" wrapText="1"/>
    </xf>
    <xf borderId="11" fillId="1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11" fillId="9" fontId="6" numFmtId="164" xfId="0" applyAlignment="1" applyBorder="1" applyFont="1" applyNumberFormat="1">
      <alignment horizontal="center" readingOrder="0"/>
    </xf>
    <xf borderId="11" fillId="0" fontId="3" numFmtId="0" xfId="0" applyAlignment="1" applyBorder="1" applyFont="1">
      <alignment horizontal="center"/>
    </xf>
    <xf borderId="11" fillId="10" fontId="3" numFmtId="0" xfId="0" applyAlignment="1" applyBorder="1" applyFont="1">
      <alignment horizontal="center" vertical="bottom"/>
    </xf>
    <xf borderId="11" fillId="10" fontId="3" numFmtId="0" xfId="0" applyAlignment="1" applyBorder="1" applyFont="1">
      <alignment horizontal="center" readingOrder="0" vertical="bottom"/>
    </xf>
    <xf borderId="11" fillId="3" fontId="3" numFmtId="0" xfId="0" applyAlignment="1" applyBorder="1" applyFont="1">
      <alignment vertical="bottom"/>
    </xf>
    <xf borderId="11" fillId="10" fontId="3" numFmtId="165" xfId="0" applyAlignment="1" applyBorder="1" applyFont="1" applyNumberFormat="1">
      <alignment horizontal="center" readingOrder="0" vertical="bottom"/>
    </xf>
    <xf borderId="11" fillId="3" fontId="3" numFmtId="0" xfId="0" applyAlignment="1" applyBorder="1" applyFont="1">
      <alignment horizontal="center" readingOrder="0" shrinkToFit="0" wrapText="0"/>
    </xf>
    <xf borderId="11" fillId="3" fontId="3" numFmtId="0" xfId="0" applyAlignment="1" applyBorder="1" applyFont="1">
      <alignment horizontal="center" readingOrder="0" vertical="bottom"/>
    </xf>
    <xf borderId="11" fillId="11" fontId="3" numFmtId="0" xfId="0" applyAlignment="1" applyBorder="1" applyFill="1" applyFont="1">
      <alignment horizontal="center" readingOrder="0" vertical="bottom"/>
    </xf>
    <xf borderId="11" fillId="7" fontId="3" numFmtId="0" xfId="0" applyAlignment="1" applyBorder="1" applyFont="1">
      <alignment horizontal="center" readingOrder="0"/>
    </xf>
    <xf borderId="11" fillId="0" fontId="3" numFmtId="0" xfId="0" applyAlignment="1" applyBorder="1" applyFont="1">
      <alignment horizontal="center" readingOrder="0" vertical="bottom"/>
    </xf>
    <xf borderId="11" fillId="11" fontId="3" numFmtId="0" xfId="0" applyAlignment="1" applyBorder="1" applyFont="1">
      <alignment vertical="bottom"/>
    </xf>
    <xf borderId="11" fillId="2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11" fillId="11" fontId="3" numFmtId="0" xfId="0" applyAlignment="1" applyBorder="1" applyFont="1">
      <alignment horizontal="center" vertical="bottom"/>
    </xf>
    <xf borderId="11" fillId="11" fontId="3" numFmtId="0" xfId="0" applyAlignment="1" applyBorder="1" applyFont="1">
      <alignment vertical="bottom"/>
    </xf>
    <xf borderId="11" fillId="10" fontId="3" numFmtId="0" xfId="0" applyAlignment="1" applyBorder="1" applyFont="1">
      <alignment vertical="bottom"/>
    </xf>
    <xf borderId="11" fillId="5" fontId="3" numFmtId="0" xfId="0" applyAlignment="1" applyBorder="1" applyFont="1">
      <alignment vertical="bottom"/>
    </xf>
    <xf borderId="11" fillId="7" fontId="3" numFmtId="0" xfId="0" applyAlignment="1" applyBorder="1" applyFont="1">
      <alignment horizontal="center"/>
    </xf>
    <xf borderId="11" fillId="0" fontId="3" numFmtId="0" xfId="0" applyAlignment="1" applyBorder="1" applyFont="1">
      <alignment vertical="bottom"/>
    </xf>
    <xf borderId="11" fillId="6" fontId="6" numFmtId="0" xfId="0" applyAlignment="1" applyBorder="1" applyFont="1">
      <alignment horizontal="center" vertical="center"/>
    </xf>
    <xf borderId="11" fillId="9" fontId="6" numFmtId="0" xfId="0" applyBorder="1" applyFont="1"/>
    <xf borderId="0" fillId="2" fontId="6" numFmtId="0" xfId="0" applyAlignment="1" applyFont="1">
      <alignment horizontal="center"/>
    </xf>
    <xf borderId="11" fillId="2" fontId="3" numFmtId="0" xfId="0" applyAlignment="1" applyBorder="1" applyFont="1">
      <alignment horizontal="center" vertical="bottom"/>
    </xf>
    <xf borderId="11" fillId="11" fontId="3" numFmtId="0" xfId="0" applyAlignment="1" applyBorder="1" applyFont="1">
      <alignment horizontal="center" vertical="bottom"/>
    </xf>
    <xf borderId="11" fillId="12" fontId="3" numFmtId="0" xfId="0" applyAlignment="1" applyBorder="1" applyFill="1" applyFont="1">
      <alignment vertical="bottom"/>
    </xf>
    <xf borderId="11" fillId="12" fontId="3" numFmtId="0" xfId="0" applyAlignment="1" applyBorder="1" applyFont="1">
      <alignment horizontal="center" vertical="bottom"/>
    </xf>
    <xf borderId="11" fillId="0" fontId="6" numFmtId="164" xfId="0" applyAlignment="1" applyBorder="1" applyFont="1" applyNumberFormat="1">
      <alignment readingOrder="0"/>
    </xf>
    <xf borderId="11" fillId="0" fontId="3" numFmtId="0" xfId="0" applyAlignment="1" applyBorder="1" applyFont="1">
      <alignment horizontal="center" vertical="bottom"/>
    </xf>
    <xf borderId="11" fillId="13" fontId="3" numFmtId="0" xfId="0" applyAlignment="1" applyBorder="1" applyFill="1" applyFont="1">
      <alignment vertical="bottom"/>
    </xf>
    <xf borderId="11" fillId="0" fontId="3" numFmtId="0" xfId="0" applyAlignment="1" applyBorder="1" applyFont="1">
      <alignment readingOrder="0" vertical="bottom"/>
    </xf>
    <xf borderId="11" fillId="13" fontId="3" numFmtId="0" xfId="0" applyAlignment="1" applyBorder="1" applyFont="1">
      <alignment horizontal="center" vertical="bottom"/>
    </xf>
    <xf borderId="0" fillId="2" fontId="6" numFmtId="0" xfId="0" applyFont="1"/>
    <xf borderId="11" fillId="9" fontId="11" numFmtId="0" xfId="0" applyAlignment="1" applyBorder="1" applyFont="1">
      <alignment vertical="bottom"/>
    </xf>
    <xf borderId="11" fillId="13" fontId="3" numFmtId="0" xfId="0" applyAlignment="1" applyBorder="1" applyFont="1">
      <alignment horizontal="center" readingOrder="0" vertical="bottom"/>
    </xf>
    <xf borderId="11" fillId="9" fontId="11" numFmtId="0" xfId="0" applyAlignment="1" applyBorder="1" applyFont="1">
      <alignment vertical="bottom"/>
    </xf>
    <xf borderId="11" fillId="13" fontId="3" numFmtId="0" xfId="0" applyAlignment="1" applyBorder="1" applyFont="1">
      <alignment horizontal="center" vertical="bottom"/>
    </xf>
    <xf borderId="11" fillId="13" fontId="3" numFmtId="0" xfId="0" applyAlignment="1" applyBorder="1" applyFont="1">
      <alignment vertical="bottom"/>
    </xf>
    <xf borderId="11" fillId="13" fontId="3" numFmtId="0" xfId="0" applyAlignment="1" applyBorder="1" applyFont="1">
      <alignment horizontal="center" vertical="bottom"/>
    </xf>
    <xf borderId="11" fillId="0" fontId="3" numFmtId="0" xfId="0" applyAlignment="1" applyBorder="1" applyFont="1">
      <alignment horizontal="left" readingOrder="0" vertical="bottom"/>
    </xf>
    <xf borderId="11" fillId="8" fontId="3" numFmtId="0" xfId="0" applyAlignment="1" applyBorder="1" applyFont="1">
      <alignment vertical="bottom"/>
    </xf>
    <xf borderId="11" fillId="8" fontId="3" numFmtId="0" xfId="0" applyAlignment="1" applyBorder="1" applyFont="1">
      <alignment horizontal="center" readingOrder="0" vertical="bottom"/>
    </xf>
    <xf borderId="11" fillId="8" fontId="3" numFmtId="0" xfId="0" applyAlignment="1" applyBorder="1" applyFont="1">
      <alignment readingOrder="0" vertical="bottom"/>
    </xf>
    <xf borderId="11" fillId="3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horizontal="center" readingOrder="0" vertical="bottom"/>
    </xf>
    <xf borderId="0" fillId="0" fontId="4" numFmtId="0" xfId="0" applyAlignment="1" applyFont="1">
      <alignment horizontal="center"/>
    </xf>
    <xf borderId="11" fillId="0" fontId="6" numFmtId="164" xfId="0" applyBorder="1" applyFont="1" applyNumberFormat="1"/>
    <xf borderId="0" fillId="0" fontId="4" numFmtId="0" xfId="0" applyAlignment="1" applyFont="1">
      <alignment readingOrder="0"/>
    </xf>
    <xf borderId="0" fillId="2" fontId="6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5" numFmtId="0" xfId="0" applyFont="1"/>
    <xf borderId="11" fillId="6" fontId="3" numFmtId="0" xfId="0" applyAlignment="1" applyBorder="1" applyFont="1">
      <alignment horizontal="center" readingOrder="0"/>
    </xf>
    <xf borderId="11" fillId="6" fontId="3" numFmtId="0" xfId="0" applyAlignment="1" applyBorder="1" applyFont="1">
      <alignment horizontal="center" readingOrder="0" shrinkToFit="0" wrapText="0"/>
    </xf>
    <xf borderId="11" fillId="0" fontId="16" numFmtId="0" xfId="0" applyAlignment="1" applyBorder="1" applyFont="1">
      <alignment horizontal="center" readingOrder="0" shrinkToFit="0" wrapText="0"/>
    </xf>
    <xf borderId="11" fillId="6" fontId="3" numFmtId="0" xfId="0" applyAlignment="1" applyBorder="1" applyFont="1">
      <alignment horizontal="center"/>
    </xf>
    <xf borderId="11" fillId="10" fontId="16" numFmtId="0" xfId="0" applyAlignment="1" applyBorder="1" applyFont="1">
      <alignment horizontal="center" readingOrder="0" shrinkToFit="0" wrapText="0"/>
    </xf>
    <xf borderId="11" fillId="0" fontId="15" numFmtId="0" xfId="0" applyAlignment="1" applyBorder="1" applyFont="1">
      <alignment horizontal="center" readingOrder="0"/>
    </xf>
    <xf borderId="11" fillId="10" fontId="6" numFmtId="0" xfId="0" applyAlignment="1" applyBorder="1" applyFont="1">
      <alignment horizontal="center"/>
    </xf>
    <xf borderId="0" fillId="0" fontId="15" numFmtId="0" xfId="0" applyAlignment="1" applyFont="1">
      <alignment horizontal="center" readingOrder="0"/>
    </xf>
    <xf borderId="0" fillId="2" fontId="15" numFmtId="0" xfId="0" applyAlignment="1" applyFont="1">
      <alignment readingOrder="0"/>
    </xf>
    <xf borderId="0" fillId="2" fontId="15" numFmtId="0" xfId="0" applyFont="1"/>
    <xf borderId="11" fillId="11" fontId="16" numFmtId="0" xfId="0" applyAlignment="1" applyBorder="1" applyFont="1">
      <alignment horizontal="center" readingOrder="0" shrinkToFit="0" wrapText="0"/>
    </xf>
    <xf borderId="0" fillId="0" fontId="6" numFmtId="165" xfId="0" applyAlignment="1" applyFont="1" applyNumberFormat="1">
      <alignment horizontal="center" readingOrder="0"/>
    </xf>
    <xf borderId="11" fillId="11" fontId="15" numFmtId="0" xfId="0" applyAlignment="1" applyBorder="1" applyFont="1">
      <alignment horizontal="center" readingOrder="0"/>
    </xf>
    <xf borderId="11" fillId="11" fontId="6" numFmtId="0" xfId="0" applyAlignment="1" applyBorder="1" applyFont="1">
      <alignment horizontal="center" readingOrder="0"/>
    </xf>
    <xf borderId="11" fillId="11" fontId="6" numFmtId="0" xfId="0" applyAlignment="1" applyBorder="1" applyFont="1">
      <alignment horizontal="center"/>
    </xf>
    <xf borderId="11" fillId="0" fontId="16" numFmtId="0" xfId="0" applyAlignment="1" applyBorder="1" applyFont="1">
      <alignment horizontal="left" readingOrder="0" shrinkToFit="0" wrapText="0"/>
    </xf>
    <xf borderId="0" fillId="0" fontId="17" numFmtId="0" xfId="0" applyAlignment="1" applyFont="1">
      <alignment horizontal="center" readingOrder="0"/>
    </xf>
    <xf borderId="11" fillId="10" fontId="6" numFmtId="0" xfId="0" applyAlignment="1" applyBorder="1" applyFont="1">
      <alignment horizontal="center" readingOrder="0"/>
    </xf>
    <xf borderId="0" fillId="11" fontId="6" numFmtId="0" xfId="0" applyFont="1"/>
    <xf borderId="0" fillId="0" fontId="18" numFmtId="0" xfId="0" applyAlignment="1" applyFont="1">
      <alignment readingOrder="0"/>
    </xf>
    <xf borderId="0" fillId="0" fontId="19" numFmtId="0" xfId="0" applyAlignment="1" applyFont="1">
      <alignment horizontal="center" readingOrder="0"/>
    </xf>
    <xf borderId="0" fillId="0" fontId="17" numFmtId="0" xfId="0" applyAlignment="1" applyFont="1">
      <alignment readingOrder="0"/>
    </xf>
    <xf borderId="0" fillId="0" fontId="19" numFmtId="0" xfId="0" applyAlignment="1" applyFont="1">
      <alignment horizontal="center"/>
    </xf>
    <xf borderId="0" fillId="7" fontId="19" numFmtId="0" xfId="0" applyAlignment="1" applyFont="1">
      <alignment horizontal="center"/>
    </xf>
    <xf borderId="0" fillId="11" fontId="6" numFmtId="0" xfId="0" applyAlignment="1" applyFont="1">
      <alignment horizontal="center" readingOrder="0"/>
    </xf>
    <xf borderId="0" fillId="11" fontId="6" numFmtId="0" xfId="0" applyAlignment="1" applyFont="1">
      <alignment horizontal="center"/>
    </xf>
    <xf borderId="0" fillId="11" fontId="6" numFmtId="164" xfId="0" applyAlignment="1" applyFont="1" applyNumberFormat="1">
      <alignment horizontal="center" readingOrder="0"/>
    </xf>
    <xf borderId="0" fillId="11" fontId="6" numFmtId="164" xfId="0" applyAlignment="1" applyFont="1" applyNumberFormat="1">
      <alignment readingOrder="0"/>
    </xf>
    <xf borderId="0" fillId="0" fontId="8" numFmtId="0" xfId="0" applyAlignment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7" numFmtId="0" xfId="0" applyFont="1"/>
    <xf borderId="11" fillId="14" fontId="6" numFmtId="0" xfId="0" applyAlignment="1" applyBorder="1" applyFill="1" applyFont="1">
      <alignment horizontal="center" readingOrder="0"/>
    </xf>
    <xf borderId="11" fillId="14" fontId="15" numFmtId="0" xfId="0" applyAlignment="1" applyBorder="1" applyFont="1">
      <alignment horizontal="center" readingOrder="0"/>
    </xf>
    <xf borderId="11" fillId="7" fontId="15" numFmtId="0" xfId="0" applyAlignment="1" applyBorder="1" applyFont="1">
      <alignment horizontal="center" readingOrder="0"/>
    </xf>
    <xf borderId="11" fillId="2" fontId="15" numFmtId="0" xfId="0" applyAlignment="1" applyBorder="1" applyFont="1">
      <alignment horizontal="center" readingOrder="0"/>
    </xf>
    <xf borderId="11" fillId="6" fontId="15" numFmtId="0" xfId="0" applyAlignment="1" applyBorder="1" applyFont="1">
      <alignment horizontal="center" readingOrder="0"/>
    </xf>
    <xf borderId="11" fillId="0" fontId="15" numFmtId="0" xfId="0" applyAlignment="1" applyBorder="1" applyFont="1">
      <alignment horizontal="center" readingOrder="0" vertical="center"/>
    </xf>
    <xf borderId="11" fillId="11" fontId="6" numFmtId="0" xfId="0" applyAlignment="1" applyBorder="1" applyFont="1">
      <alignment horizontal="center" readingOrder="0" vertical="center"/>
    </xf>
    <xf borderId="11" fillId="11" fontId="6" numFmtId="0" xfId="0" applyAlignment="1" applyBorder="1" applyFont="1">
      <alignment horizontal="center" vertical="center"/>
    </xf>
    <xf borderId="11" fillId="10" fontId="17" numFmtId="0" xfId="0" applyAlignment="1" applyBorder="1" applyFont="1">
      <alignment horizontal="center" readingOrder="0" vertical="center"/>
    </xf>
    <xf borderId="11" fillId="3" fontId="11" numFmtId="0" xfId="0" applyAlignment="1" applyBorder="1" applyFont="1">
      <alignment horizontal="center" vertical="bottom"/>
    </xf>
    <xf borderId="11" fillId="3" fontId="11" numFmtId="0" xfId="0" applyAlignment="1" applyBorder="1" applyFont="1">
      <alignment horizontal="center" vertical="bottom"/>
    </xf>
    <xf borderId="11" fillId="11" fontId="15" numFmtId="0" xfId="0" applyAlignment="1" applyBorder="1" applyFont="1">
      <alignment horizontal="center" readingOrder="0" vertical="center"/>
    </xf>
    <xf borderId="11" fillId="3" fontId="11" numFmtId="0" xfId="0" applyAlignment="1" applyBorder="1" applyFont="1">
      <alignment horizontal="center" readingOrder="0" vertical="bottom"/>
    </xf>
    <xf borderId="11" fillId="14" fontId="6" numFmtId="0" xfId="0" applyAlignment="1" applyBorder="1" applyFont="1">
      <alignment horizontal="center"/>
    </xf>
    <xf borderId="11" fillId="10" fontId="15" numFmtId="0" xfId="0" applyAlignment="1" applyBorder="1" applyFont="1">
      <alignment horizontal="left" readingOrder="0"/>
    </xf>
    <xf borderId="0" fillId="0" fontId="15" numFmtId="0" xfId="0" applyAlignment="1" applyFont="1">
      <alignment horizontal="left" readingOrder="0"/>
    </xf>
    <xf borderId="11" fillId="3" fontId="11" numFmtId="0" xfId="0" applyAlignment="1" applyBorder="1" applyFont="1">
      <alignment horizontal="center" readingOrder="0" vertical="center"/>
    </xf>
    <xf borderId="0" fillId="10" fontId="6" numFmtId="0" xfId="0" applyAlignment="1" applyFont="1">
      <alignment horizontal="center"/>
    </xf>
    <xf borderId="11" fillId="3" fontId="11" numFmtId="0" xfId="0" applyAlignment="1" applyBorder="1" applyFont="1">
      <alignment horizontal="center" vertical="center"/>
    </xf>
    <xf borderId="11" fillId="11" fontId="15" numFmtId="0" xfId="0" applyAlignment="1" applyBorder="1" applyFont="1">
      <alignment horizontal="left" readingOrder="0"/>
    </xf>
    <xf borderId="0" fillId="0" fontId="6" numFmtId="0" xfId="0" applyAlignment="1" applyFont="1">
      <alignment horizontal="left"/>
    </xf>
    <xf borderId="11" fillId="0" fontId="20" numFmtId="0" xfId="0" applyAlignment="1" applyBorder="1" applyFont="1">
      <alignment horizontal="center"/>
    </xf>
    <xf borderId="11" fillId="0" fontId="20" numFmtId="0" xfId="0" applyAlignment="1" applyBorder="1" applyFont="1">
      <alignment horizontal="center" readingOrder="0"/>
    </xf>
    <xf borderId="11" fillId="2" fontId="20" numFmtId="0" xfId="0" applyAlignment="1" applyBorder="1" applyFont="1">
      <alignment horizontal="center"/>
    </xf>
    <xf borderId="11" fillId="2" fontId="15" numFmtId="0" xfId="0" applyAlignment="1" applyBorder="1" applyFont="1">
      <alignment horizontal="left" readingOrder="0"/>
    </xf>
    <xf borderId="11" fillId="11" fontId="20" numFmtId="0" xfId="0" applyAlignment="1" applyBorder="1" applyFont="1">
      <alignment horizontal="center" readingOrder="0"/>
    </xf>
    <xf borderId="11" fillId="11" fontId="20" numFmtId="0" xfId="0" applyAlignment="1" applyBorder="1" applyFont="1">
      <alignment horizontal="center"/>
    </xf>
    <xf borderId="11" fillId="2" fontId="15" numFmtId="0" xfId="0" applyAlignment="1" applyBorder="1" applyFont="1">
      <alignment horizontal="center" readingOrder="0" vertical="center"/>
    </xf>
    <xf borderId="11" fillId="2" fontId="6" numFmtId="0" xfId="0" applyAlignment="1" applyBorder="1" applyFont="1">
      <alignment horizontal="center" readingOrder="0" vertical="center"/>
    </xf>
    <xf borderId="11" fillId="2" fontId="6" numFmtId="0" xfId="0" applyAlignment="1" applyBorder="1" applyFont="1">
      <alignment horizontal="center" vertical="center"/>
    </xf>
    <xf borderId="11" fillId="11" fontId="6" numFmtId="0" xfId="0" applyBorder="1" applyFont="1"/>
    <xf borderId="11" fillId="0" fontId="14" numFmtId="0" xfId="0" applyAlignment="1" applyBorder="1" applyFont="1">
      <alignment horizontal="center" vertical="bottom"/>
    </xf>
    <xf borderId="11" fillId="0" fontId="15" numFmtId="0" xfId="0" applyAlignment="1" applyBorder="1" applyFont="1">
      <alignment horizontal="center" vertical="bottom"/>
    </xf>
    <xf borderId="11" fillId="3" fontId="15" numFmtId="0" xfId="0" applyAlignment="1" applyBorder="1" applyFont="1">
      <alignment horizontal="center" vertical="bottom"/>
    </xf>
    <xf borderId="11" fillId="3" fontId="11" numFmtId="0" xfId="0" applyAlignment="1" applyBorder="1" applyFont="1">
      <alignment vertical="bottom"/>
    </xf>
    <xf borderId="11" fillId="6" fontId="15" numFmtId="0" xfId="0" applyAlignment="1" applyBorder="1" applyFont="1">
      <alignment horizontal="center" vertical="bottom"/>
    </xf>
    <xf borderId="11" fillId="13" fontId="15" numFmtId="0" xfId="0" applyAlignment="1" applyBorder="1" applyFont="1">
      <alignment horizontal="center" vertical="bottom"/>
    </xf>
    <xf borderId="11" fillId="10" fontId="11" numFmtId="0" xfId="0" applyAlignment="1" applyBorder="1" applyFont="1">
      <alignment vertical="bottom"/>
    </xf>
    <xf borderId="11" fillId="15" fontId="15" numFmtId="0" xfId="0" applyAlignment="1" applyBorder="1" applyFill="1" applyFont="1">
      <alignment horizontal="center" vertical="bottom"/>
    </xf>
    <xf borderId="11" fillId="10" fontId="15" numFmtId="0" xfId="0" applyAlignment="1" applyBorder="1" applyFont="1">
      <alignment horizontal="center" vertical="bottom"/>
    </xf>
    <xf borderId="11" fillId="2" fontId="15" numFmtId="0" xfId="0" applyAlignment="1" applyBorder="1" applyFont="1">
      <alignment horizontal="center" vertical="bottom"/>
    </xf>
    <xf borderId="0" fillId="3" fontId="15" numFmtId="0" xfId="0" applyAlignment="1" applyFont="1">
      <alignment horizontal="center" vertical="bottom"/>
    </xf>
    <xf borderId="0" fillId="0" fontId="17" numFmtId="0" xfId="0" applyAlignment="1" applyFont="1">
      <alignment horizontal="center"/>
    </xf>
    <xf borderId="11" fillId="0" fontId="4" numFmtId="0" xfId="0" applyAlignment="1" applyBorder="1" applyFont="1">
      <alignment horizontal="center" readingOrder="0"/>
    </xf>
    <xf borderId="11" fillId="0" fontId="17" numFmtId="0" xfId="0" applyAlignment="1" applyBorder="1" applyFont="1">
      <alignment horizontal="center" readingOrder="0"/>
    </xf>
    <xf borderId="11" fillId="0" fontId="17" numFmtId="0" xfId="0" applyAlignment="1" applyBorder="1" applyFont="1">
      <alignment horizontal="center"/>
    </xf>
    <xf quotePrefix="1" borderId="0" fillId="0" fontId="17" numFmtId="0" xfId="0" applyAlignment="1" applyFont="1">
      <alignment horizontal="center" readingOrder="0"/>
    </xf>
    <xf borderId="11" fillId="11" fontId="15" numFmtId="0" xfId="0" applyAlignment="1" applyBorder="1" applyFont="1">
      <alignment horizontal="left" readingOrder="0" vertical="center"/>
    </xf>
    <xf borderId="11" fillId="2" fontId="17" numFmtId="0" xfId="0" applyAlignment="1" applyBorder="1" applyFont="1">
      <alignment horizontal="center" readingOrder="0"/>
    </xf>
    <xf borderId="11" fillId="10" fontId="15" numFmtId="0" xfId="0" applyAlignment="1" applyBorder="1" applyFont="1">
      <alignment horizontal="left" readingOrder="0" vertical="center"/>
    </xf>
    <xf borderId="11" fillId="2" fontId="17" numFmtId="0" xfId="0" applyAlignment="1" applyBorder="1" applyFont="1">
      <alignment horizontal="center"/>
    </xf>
    <xf borderId="0" fillId="2" fontId="17" numFmtId="0" xfId="0" applyFont="1"/>
    <xf borderId="0" fillId="2" fontId="17" numFmtId="0" xfId="0" applyAlignment="1" applyFont="1">
      <alignment horizontal="center" readingOrder="0"/>
    </xf>
    <xf borderId="0" fillId="2" fontId="17" numFmtId="0" xfId="0" applyAlignment="1" applyFont="1">
      <alignment readingOrder="0"/>
    </xf>
    <xf borderId="0" fillId="0" fontId="15" numFmtId="0" xfId="0" applyAlignment="1" applyFont="1">
      <alignment horizontal="center" vertical="bottom"/>
    </xf>
    <xf borderId="11" fillId="16" fontId="14" numFmtId="0" xfId="0" applyAlignment="1" applyBorder="1" applyFill="1" applyFont="1">
      <alignment horizontal="center" vertical="bottom"/>
    </xf>
    <xf borderId="11" fillId="7" fontId="15" numFmtId="0" xfId="0" applyAlignment="1" applyBorder="1" applyFont="1">
      <alignment horizontal="center" vertical="bottom"/>
    </xf>
    <xf borderId="11" fillId="3" fontId="14" numFmtId="0" xfId="0" applyAlignment="1" applyBorder="1" applyFont="1">
      <alignment horizontal="center" vertical="bottom"/>
    </xf>
    <xf borderId="11" fillId="17" fontId="14" numFmtId="0" xfId="0" applyAlignment="1" applyBorder="1" applyFill="1" applyFont="1">
      <alignment horizontal="center" vertical="bottom"/>
    </xf>
    <xf borderId="0" fillId="3" fontId="11" numFmtId="0" xfId="0" applyAlignment="1" applyFont="1">
      <alignment vertical="bottom"/>
    </xf>
    <xf borderId="11" fillId="0" fontId="17" numFmtId="165" xfId="0" applyAlignment="1" applyBorder="1" applyFont="1" applyNumberFormat="1">
      <alignment horizontal="center" readingOrder="0"/>
    </xf>
    <xf borderId="11" fillId="11" fontId="4" numFmtId="0" xfId="0" applyAlignment="1" applyBorder="1" applyFont="1">
      <alignment horizontal="center" readingOrder="0"/>
    </xf>
    <xf borderId="11" fillId="11" fontId="17" numFmtId="0" xfId="0" applyAlignment="1" applyBorder="1" applyFont="1">
      <alignment horizontal="center"/>
    </xf>
    <xf borderId="11" fillId="10" fontId="17" numFmtId="0" xfId="0" applyAlignment="1" applyBorder="1" applyFont="1">
      <alignment horizontal="center"/>
    </xf>
    <xf borderId="11" fillId="2" fontId="17" numFmtId="165" xfId="0" applyAlignment="1" applyBorder="1" applyFont="1" applyNumberFormat="1">
      <alignment horizontal="center" readingOrder="0"/>
    </xf>
    <xf borderId="11" fillId="18" fontId="17" numFmtId="0" xfId="0" applyAlignment="1" applyBorder="1" applyFill="1" applyFont="1">
      <alignment horizontal="center"/>
    </xf>
    <xf borderId="11" fillId="19" fontId="17" numFmtId="0" xfId="0" applyAlignment="1" applyBorder="1" applyFill="1" applyFont="1">
      <alignment horizontal="center"/>
    </xf>
    <xf borderId="0" fillId="2" fontId="21" numFmtId="0" xfId="0" applyAlignment="1" applyFont="1">
      <alignment readingOrder="0"/>
    </xf>
    <xf borderId="11" fillId="11" fontId="17" numFmtId="165" xfId="0" applyAlignment="1" applyBorder="1" applyFont="1" applyNumberFormat="1">
      <alignment horizontal="center" readingOrder="0"/>
    </xf>
    <xf borderId="11" fillId="11" fontId="17" numFmtId="0" xfId="0" applyAlignment="1" applyBorder="1" applyFont="1">
      <alignment horizontal="center" readingOrder="0"/>
    </xf>
    <xf borderId="0" fillId="11" fontId="17" numFmtId="0" xfId="0" applyAlignment="1" applyFont="1">
      <alignment horizontal="center" readingOrder="0"/>
    </xf>
    <xf borderId="11" fillId="6" fontId="17" numFmtId="0" xfId="0" applyAlignment="1" applyBorder="1" applyFont="1">
      <alignment horizontal="center"/>
    </xf>
    <xf borderId="11" fillId="6" fontId="17" numFmtId="0" xfId="0" applyAlignment="1" applyBorder="1" applyFont="1">
      <alignment horizontal="center" readingOrder="0"/>
    </xf>
    <xf borderId="11" fillId="6" fontId="17" numFmtId="165" xfId="0" applyAlignment="1" applyBorder="1" applyFont="1" applyNumberFormat="1">
      <alignment horizontal="center" readingOrder="0"/>
    </xf>
    <xf borderId="0" fillId="6" fontId="17" numFmtId="0" xfId="0" applyFont="1"/>
    <xf borderId="0" fillId="6" fontId="17" numFmtId="0" xfId="0" applyAlignment="1" applyFont="1">
      <alignment horizontal="center" readingOrder="0"/>
    </xf>
    <xf borderId="11" fillId="20" fontId="17" numFmtId="0" xfId="0" applyAlignment="1" applyBorder="1" applyFill="1" applyFont="1">
      <alignment horizontal="center" readingOrder="0"/>
    </xf>
    <xf borderId="11" fillId="20" fontId="17" numFmtId="0" xfId="0" applyAlignment="1" applyBorder="1" applyFont="1">
      <alignment horizontal="center"/>
    </xf>
    <xf borderId="11" fillId="20" fontId="17" numFmtId="165" xfId="0" applyAlignment="1" applyBorder="1" applyFont="1" applyNumberFormat="1">
      <alignment horizontal="center" readingOrder="0"/>
    </xf>
    <xf borderId="0" fillId="20" fontId="17" numFmtId="0" xfId="0" applyFont="1"/>
    <xf borderId="0" fillId="20" fontId="15" numFmtId="0" xfId="0" applyAlignment="1" applyFont="1">
      <alignment horizontal="center" vertical="bottom"/>
    </xf>
    <xf borderId="0" fillId="20" fontId="17" numFmtId="0" xfId="0" applyAlignment="1" applyFont="1">
      <alignment horizontal="center" readingOrder="0"/>
    </xf>
    <xf borderId="0" fillId="20" fontId="15" numFmtId="0" xfId="0" applyAlignment="1" applyFont="1">
      <alignment horizontal="center" readingOrder="0" vertical="bottom"/>
    </xf>
    <xf borderId="0" fillId="20" fontId="17" numFmtId="0" xfId="0" applyAlignment="1" applyFont="1">
      <alignment readingOrder="0"/>
    </xf>
    <xf borderId="0" fillId="21" fontId="17" numFmtId="0" xfId="0" applyAlignment="1" applyFill="1" applyFont="1">
      <alignment horizontal="center" readingOrder="0"/>
    </xf>
    <xf borderId="11" fillId="0" fontId="22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11" fillId="0" fontId="22" numFmtId="0" xfId="0" applyAlignment="1" applyBorder="1" applyFont="1">
      <alignment vertical="bottom"/>
    </xf>
    <xf borderId="21" fillId="0" fontId="22" numFmtId="0" xfId="0" applyAlignment="1" applyBorder="1" applyFont="1">
      <alignment vertical="bottom"/>
    </xf>
    <xf borderId="22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49" xfId="0" applyAlignment="1" applyFont="1" applyNumberFormat="1">
      <alignment horizontal="center" vertical="bottom"/>
    </xf>
    <xf borderId="0" fillId="0" fontId="3" numFmtId="0" xfId="0" applyAlignment="1" applyFont="1">
      <alignment horizontal="center" readingOrder="0" vertical="bottom"/>
    </xf>
    <xf borderId="11" fillId="0" fontId="22" numFmtId="0" xfId="0" applyAlignment="1" applyBorder="1" applyFont="1">
      <alignment horizontal="center" vertical="bottom"/>
    </xf>
    <xf borderId="13" fillId="0" fontId="3" numFmtId="0" xfId="0" applyAlignment="1" applyBorder="1" applyFont="1">
      <alignment vertical="bottom"/>
    </xf>
    <xf quotePrefix="1" borderId="0" fillId="0" fontId="3" numFmtId="0" xfId="0" applyAlignment="1" applyFont="1">
      <alignment horizontal="center" vertical="bottom"/>
    </xf>
    <xf borderId="11" fillId="0" fontId="3" numFmtId="14" xfId="0" applyAlignment="1" applyBorder="1" applyFont="1" applyNumberFormat="1">
      <alignment horizontal="center" vertical="bottom"/>
    </xf>
    <xf borderId="13" fillId="0" fontId="3" numFmtId="0" xfId="0" applyAlignment="1" applyBorder="1" applyFont="1">
      <alignment horizontal="center" vertical="bottom"/>
    </xf>
    <xf borderId="11" fillId="7" fontId="17" numFmtId="0" xfId="0" applyAlignment="1" applyBorder="1" applyFont="1">
      <alignment horizontal="center" readingOrder="0"/>
    </xf>
    <xf borderId="11" fillId="7" fontId="17" numFmtId="0" xfId="0" applyAlignment="1" applyBorder="1" applyFont="1">
      <alignment horizontal="center"/>
    </xf>
    <xf borderId="0" fillId="7" fontId="17" numFmtId="0" xfId="0" applyFont="1"/>
    <xf borderId="0" fillId="7" fontId="17" numFmtId="0" xfId="0" applyAlignment="1" applyFont="1">
      <alignment horizontal="center" readingOrder="0"/>
    </xf>
    <xf borderId="0" fillId="7" fontId="6" numFmtId="0" xfId="0" applyFont="1"/>
    <xf borderId="0" fillId="22" fontId="17" numFmtId="0" xfId="0" applyAlignment="1" applyFill="1" applyFont="1">
      <alignment horizontal="center" readingOrder="0"/>
    </xf>
    <xf borderId="11" fillId="0" fontId="17" numFmtId="166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habat Sakinah" id="{8852cfd9-1f34-4ad8-bc7c-b1fd6cd7358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T7" dT="2026-02-25T01:51:26.00" personId="{8852cfd9-1f34-4ad8-bc7c-b1fd6cd73580}" id="{8b129411-4fd0-4deb-85ad-e9205fa8038b}" done="0">
    <x18tc:text xml:space="preserve">1. 24/02/26 [50]
2. 11/05/26 [50]
3. 24/06/26 [25]
4. 17/07/26 [50]</x18tc:text>
  </x18tc:threadedComment>
  <x18tc:threadedComment ref="R10" dT="2025-12-27T04:36:04.00" personId="{8852cfd9-1f34-4ad8-bc7c-b1fd6cd73580}" id="{350bfcea-0667-4a3e-a98a-66d4aef7cbf4}" done="0">
    <x18tc:text xml:space="preserve">Terjual 
1. 15/09/25 [245]</x18tc:text>
  </x18tc:threadedComment>
  <x18tc:threadedComment ref="AF5" dT="2025-07-18T03:35:49.00" personId="{8852cfd9-1f34-4ad8-bc7c-b1fd6cd73580}" id="{67a6ca02-d122-424e-bb7b-db24e3c03c83}" done="0">
    <x18tc:text xml:space="preserve">Baru belum ke floor</x18tc:text>
  </x18tc:threadedComment>
  <x18tc:threadedComment ref="T11" dT="2026-02-25T01:51:06.00" personId="{8852cfd9-1f34-4ad8-bc7c-b1fd6cd73580}" id="{6bced4fa-96ce-4511-8509-849d04d00974}" done="0">
    <x18tc:text xml:space="preserve">1. 31/01/26 [50]
2. 22/04/26 [25]
3. 29/06/26 [30]
4. 14/07/26 [50]</x18tc:text>
  </x18tc:threadedComment>
  <x18tc:threadedComment ref="R9" dT="2025-12-27T04:35:37.00" personId="{8852cfd9-1f34-4ad8-bc7c-b1fd6cd73580}" id="{154e66d5-44aa-4f3f-807d-64e08957c008}" done="0">
    <x18tc:text xml:space="preserve">Terjual
1. 16/09/25 [221]</x18tc:text>
  </x18tc:threadedComment>
  <x18tc:threadedComment ref="T12" dT="2026-07-20T04:45:55.00" personId="{8852cfd9-1f34-4ad8-bc7c-b1fd6cd73580}" id="{b4741314-9bef-42c0-9eae-2c874537de3a}" done="0">
    <x18tc:text xml:space="preserve">1. Hadiah [20/07/26/]</x18tc:text>
  </x18tc:threadedComment>
  <x18tc:threadedComment ref="T5" dT="2026-02-25T01:38:53.00" personId="{8852cfd9-1f34-4ad8-bc7c-b1fd6cd73580}" id="{98f38f70-a089-42ce-819f-1852e5defe49}" done="0">
    <x18tc:text xml:space="preserve">1. 3 Feb 26</x18tc:text>
  </x18tc:threadedComment>
  <x18tc:threadedComment ref="O9" dT="2025-06-23T04:32:34.00" personId="{8852cfd9-1f34-4ad8-bc7c-b1fd6cd73580}" id="{d306dbe5-b69d-4742-aa09-8276d35bf781}" done="0">
    <x18tc:text xml:space="preserve">1. 21/02/25 [50]
2. 28/07/25 [25]
3. 30/07/25 [25]
3. 08/12/25 [50]</x18tc:text>
  </x18tc:threadedComment>
  <x18tc:threadedComment ref="O7" dT="2025-08-05T04:27:31.00" personId="{8852cfd9-1f34-4ad8-bc7c-b1fd6cd73580}" id="{384bc8e2-bd2a-460c-84e8-104050d41010}" done="1">
    <x18tc:text xml:space="preserve">1. BAST 28-30 Juli 2025
2. 08/12/25</x18tc:text>
  </x18tc:threadedComment>
  <x18tc:threadedComment ref="O11" dT="2025-06-23T04:32:39.00" personId="{8852cfd9-1f34-4ad8-bc7c-b1fd6cd73580}" id="{e65a01f6-33c2-46d1-aae5-f0e8acec444e}" done="0">
    <x18tc:text xml:space="preserve">1. 21/02/25 [50]
2. 14/11/25 [35]</x18tc:text>
  </x18tc:threadedComment>
  <x18tc:threadedComment ref="O10" dT="2025-06-23T04:32:51.00" personId="{8852cfd9-1f34-4ad8-bc7c-b1fd6cd73580}" id="{c20a995c-bf10-4116-9962-a9a8aa0165be}" done="0">
    <x18tc:text xml:space="preserve">1. 07/05/25 [15]
2. 17/07/25 [10]
3. 28/07/25 [25]
4. 30/07/25 [25]
5. 08/12/25 [50]</x18tc:text>
  </x18tc:threadedComment>
  <x18tc:threadedComment ref="T10" dT="2026-02-25T01:51:44.00" personId="{8852cfd9-1f34-4ad8-bc7c-b1fd6cd73580}" id="{c0949829-8119-446f-956e-1271ed2a80e9}" done="0">
    <x18tc:text xml:space="preserve">1. 24/02/26 [50]
2. 07/03/26 [50]
3. 11/05/26 [50]
4. 24/06/26 [25]</x18tc:text>
  </x18tc:threadedComment>
  <x18tc:threadedComment ref="T9" dT="2026-02-25T01:51:38.00" personId="{8852cfd9-1f34-4ad8-bc7c-b1fd6cd73580}" id="{bb33599b-c232-4f3a-bdf8-91a50cbbc221}" done="0">
    <x18tc:text xml:space="preserve">1. 24/02/26 [50]
2. 07/03/26 [50]
3. 11/05/26 [50]
4. 24/06/26 [25]
5. 29/06/26 [25]
6. 17/07/26 [50]</x18tc:text>
  </x18tc:threadedComment>
  <x18tc:threadedComment ref="R8" dT="2025-12-27T04:35:16.00" personId="{8852cfd9-1f34-4ad8-bc7c-b1fd6cd73580}" id="{665e11f1-02d1-40bd-9422-8b9e584fbe7a}" done="0">
    <x18tc:text xml:space="preserve">Terjual 
1. 15/09/25 [152]
2. 16/09/25 [55]</x18tc:text>
  </x18tc:threadedComment>
  <x18tc:threadedComment ref="AG5" dT="2025-07-18T03:41:58.00" personId="{8852cfd9-1f34-4ad8-bc7c-b1fd6cd73580}" id="{2fc79827-1336-49b3-a720-e55d90f0b0ca}" done="0">
    <x18tc:text xml:space="preserve">management = 15
Baru = 10</x18tc:text>
  </x18tc:threadedComment>
  <x18tc:threadedComment ref="O8" dT="2025-08-05T04:28:15.00" personId="{8852cfd9-1f34-4ad8-bc7c-b1fd6cd73580}" id="{7e3489f4-e3e9-4dc8-9893-9810cd63ed6b}" done="0">
    <x18tc:text xml:space="preserve">1. 28/07/2025 [25]
2. 30/07/25 [25]
2. 08/12/25 [50]</x18tc:text>
  </x18tc:threadedComment>
  <x18tc:threadedComment ref="T8" dT="2026-02-25T01:51:32.00" personId="{8852cfd9-1f34-4ad8-bc7c-b1fd6cd73580}" id="{80e037aa-7c58-4cb2-974a-9d7064f64b93}" done="0">
    <x18tc:text xml:space="preserve">1. 24/02/26 [50]
2. 11/05/26 [50]
3. 24/06/26 [25]
4. 17/07/26 [50]</x18tc:text>
  </x18tc:threadedComment>
  <x18tc:threadedComment ref="O7" dT="2025-12-27T04:20:46.00" personId="{8852cfd9-1f34-4ad8-bc7c-b1fd6cd73580}" id="{3561524f-46b9-47b2-ba7d-5113737f7265}" done="0">
    <x18tc:text xml:space="preserve">1. 28/07/25 [25]
2. 30/07/25 [25]
3. 08/12/25 [50]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38" dT="2025-12-29T10:56:09.00" personId="{8852cfd9-1f34-4ad8-bc7c-b1fd6cd73580}" id="{d9e69db4-430c-4b89-97fd-34138f2f69e9}" done="0">
    <x18tc:text xml:space="preserve">1. Laptop pak Yo yang keyboardnya rusak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5" dT="2025-11-14T01:34:14.00" personId="{8852cfd9-1f34-4ad8-bc7c-b1fd6cd73580}" id="{ec35c177-afcf-4399-92b7-6680a7e2839e}" done="0">
    <x18tc:text xml:space="preserve">Nambah dateng 14/11/2025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45.5"/>
    <col customWidth="1" min="5" max="5" width="18.0"/>
    <col customWidth="1" min="8" max="8" width="18.38"/>
    <col customWidth="1" min="9" max="9" width="26.38"/>
    <col customWidth="1" min="10" max="10" width="45.5"/>
  </cols>
  <sheetData>
    <row r="1">
      <c r="A1" s="4" t="s">
        <v>2</v>
      </c>
    </row>
    <row r="2">
      <c r="J2" s="9" t="s">
        <v>4</v>
      </c>
    </row>
    <row r="3">
      <c r="A3" s="13" t="s">
        <v>6</v>
      </c>
      <c r="B3" s="13" t="s">
        <v>1</v>
      </c>
      <c r="C3" s="13" t="s">
        <v>10</v>
      </c>
      <c r="D3" s="13" t="s">
        <v>11</v>
      </c>
      <c r="E3" s="13" t="s">
        <v>12</v>
      </c>
      <c r="F3" s="13" t="s">
        <v>13</v>
      </c>
      <c r="G3" s="13" t="s">
        <v>14</v>
      </c>
      <c r="H3" s="13" t="s">
        <v>15</v>
      </c>
      <c r="J3" s="17" t="s">
        <v>16</v>
      </c>
      <c r="K3" s="17" t="s">
        <v>10</v>
      </c>
      <c r="L3" s="17" t="s">
        <v>11</v>
      </c>
    </row>
    <row r="4">
      <c r="A4" s="13">
        <v>1.0</v>
      </c>
      <c r="B4" s="19" t="s">
        <v>19</v>
      </c>
      <c r="C4" s="13">
        <v>25.0</v>
      </c>
      <c r="D4" s="13" t="s">
        <v>20</v>
      </c>
      <c r="E4" s="13"/>
      <c r="F4" s="13" t="s">
        <v>21</v>
      </c>
      <c r="G4" s="13">
        <v>2024.0</v>
      </c>
      <c r="H4" s="24">
        <v>45442.0</v>
      </c>
      <c r="J4" s="19" t="s">
        <v>19</v>
      </c>
      <c r="K4" s="31">
        <f t="shared" ref="K4:K25" si="1">SUMIF($B$4:$B$106,J4,$C$4:$C$106)</f>
        <v>55</v>
      </c>
      <c r="L4" s="13" t="s">
        <v>20</v>
      </c>
    </row>
    <row r="5">
      <c r="A5" s="13">
        <f t="shared" ref="A5:A106" si="2">A4+1</f>
        <v>2</v>
      </c>
      <c r="B5" s="19" t="s">
        <v>31</v>
      </c>
      <c r="C5" s="13">
        <v>30.0</v>
      </c>
      <c r="D5" s="13" t="s">
        <v>20</v>
      </c>
      <c r="E5" s="13"/>
      <c r="F5" s="13" t="s">
        <v>21</v>
      </c>
      <c r="G5" s="13">
        <v>2024.0</v>
      </c>
      <c r="H5" s="24">
        <v>45442.0</v>
      </c>
      <c r="J5" s="19" t="s">
        <v>31</v>
      </c>
      <c r="K5" s="31">
        <f t="shared" si="1"/>
        <v>135</v>
      </c>
      <c r="L5" s="13" t="s">
        <v>20</v>
      </c>
    </row>
    <row r="6">
      <c r="A6" s="13">
        <f t="shared" si="2"/>
        <v>3</v>
      </c>
      <c r="B6" s="19" t="s">
        <v>35</v>
      </c>
      <c r="C6" s="13">
        <v>50.0</v>
      </c>
      <c r="D6" s="13" t="s">
        <v>20</v>
      </c>
      <c r="E6" s="13"/>
      <c r="F6" s="13" t="s">
        <v>21</v>
      </c>
      <c r="G6" s="13">
        <v>2024.0</v>
      </c>
      <c r="H6" s="24">
        <v>45442.0</v>
      </c>
      <c r="J6" s="19" t="s">
        <v>35</v>
      </c>
      <c r="K6" s="31">
        <f t="shared" si="1"/>
        <v>100</v>
      </c>
      <c r="L6" s="13" t="s">
        <v>20</v>
      </c>
    </row>
    <row r="7">
      <c r="A7" s="13">
        <f t="shared" si="2"/>
        <v>4</v>
      </c>
      <c r="B7" s="19" t="s">
        <v>19</v>
      </c>
      <c r="C7" s="13">
        <v>30.0</v>
      </c>
      <c r="D7" s="13" t="s">
        <v>20</v>
      </c>
      <c r="E7" s="13"/>
      <c r="F7" s="13" t="s">
        <v>40</v>
      </c>
      <c r="G7" s="13">
        <v>2024.0</v>
      </c>
      <c r="H7" s="24">
        <v>45471.0</v>
      </c>
      <c r="J7" s="19" t="s">
        <v>41</v>
      </c>
      <c r="K7" s="31">
        <f t="shared" si="1"/>
        <v>5</v>
      </c>
      <c r="L7" s="13" t="s">
        <v>20</v>
      </c>
    </row>
    <row r="8">
      <c r="A8" s="13">
        <f t="shared" si="2"/>
        <v>5</v>
      </c>
      <c r="B8" s="19" t="s">
        <v>41</v>
      </c>
      <c r="C8" s="13">
        <v>5.0</v>
      </c>
      <c r="D8" s="13" t="s">
        <v>20</v>
      </c>
      <c r="E8" s="13"/>
      <c r="F8" s="13" t="s">
        <v>40</v>
      </c>
      <c r="G8" s="13">
        <v>2024.0</v>
      </c>
      <c r="H8" s="24">
        <v>45471.0</v>
      </c>
      <c r="J8" s="19" t="s">
        <v>44</v>
      </c>
      <c r="K8" s="31">
        <f t="shared" si="1"/>
        <v>350</v>
      </c>
      <c r="L8" s="13" t="s">
        <v>20</v>
      </c>
    </row>
    <row r="9">
      <c r="A9" s="13">
        <f t="shared" si="2"/>
        <v>6</v>
      </c>
      <c r="B9" s="19" t="s">
        <v>44</v>
      </c>
      <c r="C9" s="13">
        <v>50.0</v>
      </c>
      <c r="D9" s="13" t="s">
        <v>20</v>
      </c>
      <c r="E9" s="13"/>
      <c r="F9" s="13" t="s">
        <v>40</v>
      </c>
      <c r="G9" s="13">
        <v>2024.0</v>
      </c>
      <c r="H9" s="24">
        <v>45471.0</v>
      </c>
      <c r="J9" s="19" t="s">
        <v>45</v>
      </c>
      <c r="K9" s="31">
        <f t="shared" si="1"/>
        <v>130</v>
      </c>
      <c r="L9" s="13" t="s">
        <v>20</v>
      </c>
    </row>
    <row r="10">
      <c r="A10" s="13">
        <f t="shared" si="2"/>
        <v>7</v>
      </c>
      <c r="B10" s="19" t="s">
        <v>31</v>
      </c>
      <c r="C10" s="13">
        <v>50.0</v>
      </c>
      <c r="D10" s="13" t="s">
        <v>20</v>
      </c>
      <c r="E10" s="13"/>
      <c r="F10" s="13" t="s">
        <v>40</v>
      </c>
      <c r="G10" s="13">
        <v>2024.0</v>
      </c>
      <c r="H10" s="24">
        <v>45471.0</v>
      </c>
      <c r="J10" s="41" t="s">
        <v>50</v>
      </c>
      <c r="K10" s="44">
        <f t="shared" si="1"/>
        <v>425</v>
      </c>
      <c r="L10" s="13" t="s">
        <v>20</v>
      </c>
    </row>
    <row r="11">
      <c r="A11" s="13">
        <f t="shared" si="2"/>
        <v>8</v>
      </c>
      <c r="B11" s="19" t="s">
        <v>45</v>
      </c>
      <c r="C11" s="13">
        <v>20.0</v>
      </c>
      <c r="D11" s="13" t="s">
        <v>20</v>
      </c>
      <c r="E11" s="13"/>
      <c r="F11" s="13" t="s">
        <v>40</v>
      </c>
      <c r="G11" s="13">
        <v>2024.0</v>
      </c>
      <c r="H11" s="24">
        <v>45471.0</v>
      </c>
      <c r="J11" s="41" t="s">
        <v>66</v>
      </c>
      <c r="K11" s="44">
        <f t="shared" si="1"/>
        <v>315</v>
      </c>
      <c r="L11" s="13" t="s">
        <v>20</v>
      </c>
    </row>
    <row r="12">
      <c r="A12" s="13">
        <f t="shared" si="2"/>
        <v>9</v>
      </c>
      <c r="B12" s="19" t="s">
        <v>50</v>
      </c>
      <c r="C12" s="13">
        <v>25.0</v>
      </c>
      <c r="D12" s="13" t="s">
        <v>20</v>
      </c>
      <c r="E12" s="13"/>
      <c r="F12" s="13" t="s">
        <v>67</v>
      </c>
      <c r="G12" s="13">
        <v>2024.0</v>
      </c>
      <c r="H12" s="24">
        <v>45492.0</v>
      </c>
      <c r="J12" s="19" t="s">
        <v>68</v>
      </c>
      <c r="K12" s="31">
        <f t="shared" si="1"/>
        <v>75</v>
      </c>
      <c r="L12" s="13" t="s">
        <v>20</v>
      </c>
    </row>
    <row r="13">
      <c r="A13" s="13">
        <f t="shared" si="2"/>
        <v>10</v>
      </c>
      <c r="B13" s="19" t="s">
        <v>66</v>
      </c>
      <c r="C13" s="13">
        <v>25.0</v>
      </c>
      <c r="D13" s="13" t="s">
        <v>20</v>
      </c>
      <c r="E13" s="13"/>
      <c r="F13" s="13" t="s">
        <v>67</v>
      </c>
      <c r="G13" s="13">
        <v>2024.0</v>
      </c>
      <c r="H13" s="24">
        <v>45492.0</v>
      </c>
      <c r="J13" s="19" t="s">
        <v>69</v>
      </c>
      <c r="K13" s="31">
        <f t="shared" si="1"/>
        <v>5</v>
      </c>
      <c r="L13" s="13" t="s">
        <v>20</v>
      </c>
    </row>
    <row r="14">
      <c r="A14" s="13">
        <f t="shared" si="2"/>
        <v>11</v>
      </c>
      <c r="B14" s="19" t="s">
        <v>68</v>
      </c>
      <c r="C14" s="13">
        <v>30.0</v>
      </c>
      <c r="D14" s="13" t="s">
        <v>20</v>
      </c>
      <c r="E14" s="13"/>
      <c r="F14" s="13" t="s">
        <v>67</v>
      </c>
      <c r="G14" s="13">
        <v>2024.0</v>
      </c>
      <c r="H14" s="24">
        <v>45492.0</v>
      </c>
      <c r="J14" s="19" t="s">
        <v>70</v>
      </c>
      <c r="K14" s="31">
        <f t="shared" si="1"/>
        <v>3</v>
      </c>
      <c r="L14" s="13" t="s">
        <v>20</v>
      </c>
    </row>
    <row r="15">
      <c r="A15" s="13">
        <f t="shared" si="2"/>
        <v>12</v>
      </c>
      <c r="B15" s="19" t="s">
        <v>45</v>
      </c>
      <c r="C15" s="13">
        <v>30.0</v>
      </c>
      <c r="D15" s="13" t="s">
        <v>20</v>
      </c>
      <c r="E15" s="13"/>
      <c r="F15" s="13" t="s">
        <v>67</v>
      </c>
      <c r="G15" s="13">
        <v>2024.0</v>
      </c>
      <c r="H15" s="24">
        <v>45492.0</v>
      </c>
      <c r="J15" s="19" t="s">
        <v>73</v>
      </c>
      <c r="K15" s="31">
        <f t="shared" si="1"/>
        <v>2</v>
      </c>
      <c r="L15" s="13" t="s">
        <v>20</v>
      </c>
    </row>
    <row r="16">
      <c r="A16" s="13">
        <f t="shared" si="2"/>
        <v>13</v>
      </c>
      <c r="B16" s="19" t="s">
        <v>69</v>
      </c>
      <c r="C16" s="13">
        <v>1.0</v>
      </c>
      <c r="D16" s="13" t="s">
        <v>20</v>
      </c>
      <c r="E16" s="13"/>
      <c r="F16" s="13" t="s">
        <v>67</v>
      </c>
      <c r="G16" s="13">
        <v>2024.0</v>
      </c>
      <c r="H16" s="24">
        <v>45492.0</v>
      </c>
      <c r="J16" s="41" t="s">
        <v>74</v>
      </c>
      <c r="K16" s="44">
        <f t="shared" si="1"/>
        <v>425</v>
      </c>
      <c r="L16" s="13" t="s">
        <v>20</v>
      </c>
    </row>
    <row r="17">
      <c r="A17" s="13">
        <f t="shared" si="2"/>
        <v>14</v>
      </c>
      <c r="B17" s="19" t="s">
        <v>44</v>
      </c>
      <c r="C17" s="13">
        <v>50.0</v>
      </c>
      <c r="D17" s="13" t="s">
        <v>20</v>
      </c>
      <c r="E17" s="13"/>
      <c r="F17" s="13" t="s">
        <v>77</v>
      </c>
      <c r="G17" s="13">
        <v>2024.0</v>
      </c>
      <c r="H17" s="24">
        <v>45509.0</v>
      </c>
      <c r="J17" s="19" t="s">
        <v>79</v>
      </c>
      <c r="K17" s="31">
        <f t="shared" si="1"/>
        <v>5</v>
      </c>
      <c r="L17" s="13" t="s">
        <v>80</v>
      </c>
    </row>
    <row r="18">
      <c r="A18" s="13">
        <f t="shared" si="2"/>
        <v>15</v>
      </c>
      <c r="B18" s="19" t="s">
        <v>70</v>
      </c>
      <c r="C18" s="13">
        <v>3.0</v>
      </c>
      <c r="D18" s="13" t="s">
        <v>20</v>
      </c>
      <c r="E18" s="13"/>
      <c r="F18" s="13" t="s">
        <v>77</v>
      </c>
      <c r="G18" s="13">
        <v>2024.0</v>
      </c>
      <c r="H18" s="24">
        <v>45509.0</v>
      </c>
      <c r="J18" s="19" t="s">
        <v>82</v>
      </c>
      <c r="K18" s="31">
        <f t="shared" si="1"/>
        <v>1</v>
      </c>
      <c r="L18" s="13" t="s">
        <v>83</v>
      </c>
    </row>
    <row r="19">
      <c r="A19" s="13">
        <f t="shared" si="2"/>
        <v>16</v>
      </c>
      <c r="B19" s="19" t="s">
        <v>73</v>
      </c>
      <c r="C19" s="13">
        <v>2.0</v>
      </c>
      <c r="D19" s="13" t="s">
        <v>20</v>
      </c>
      <c r="E19" s="13"/>
      <c r="F19" s="13" t="s">
        <v>77</v>
      </c>
      <c r="G19" s="13">
        <v>2024.0</v>
      </c>
      <c r="H19" s="24">
        <v>45509.0</v>
      </c>
      <c r="J19" s="19" t="s">
        <v>84</v>
      </c>
      <c r="K19" s="31">
        <f t="shared" si="1"/>
        <v>2</v>
      </c>
      <c r="L19" s="13" t="s">
        <v>83</v>
      </c>
    </row>
    <row r="20">
      <c r="A20" s="13">
        <f t="shared" si="2"/>
        <v>17</v>
      </c>
      <c r="B20" s="19" t="s">
        <v>66</v>
      </c>
      <c r="C20" s="13">
        <v>50.0</v>
      </c>
      <c r="D20" s="13" t="s">
        <v>20</v>
      </c>
      <c r="E20" s="13"/>
      <c r="F20" s="13" t="s">
        <v>85</v>
      </c>
      <c r="G20" s="13">
        <v>2024.0</v>
      </c>
      <c r="H20" s="24">
        <v>45558.0</v>
      </c>
      <c r="J20" s="19" t="s">
        <v>86</v>
      </c>
      <c r="K20" s="31">
        <f t="shared" si="1"/>
        <v>6</v>
      </c>
      <c r="L20" s="13" t="s">
        <v>20</v>
      </c>
    </row>
    <row r="21">
      <c r="A21" s="13">
        <f t="shared" si="2"/>
        <v>18</v>
      </c>
      <c r="B21" s="19" t="s">
        <v>74</v>
      </c>
      <c r="C21" s="13">
        <v>50.0</v>
      </c>
      <c r="D21" s="13" t="s">
        <v>20</v>
      </c>
      <c r="E21" s="13"/>
      <c r="F21" s="13" t="s">
        <v>85</v>
      </c>
      <c r="G21" s="13">
        <v>2024.0</v>
      </c>
      <c r="H21" s="24">
        <v>45558.0</v>
      </c>
      <c r="J21" s="19" t="s">
        <v>87</v>
      </c>
      <c r="K21" s="31">
        <f t="shared" si="1"/>
        <v>1</v>
      </c>
      <c r="L21" s="13" t="s">
        <v>20</v>
      </c>
    </row>
    <row r="22">
      <c r="A22" s="13">
        <f t="shared" si="2"/>
        <v>19</v>
      </c>
      <c r="B22" s="19" t="s">
        <v>44</v>
      </c>
      <c r="C22" s="13">
        <v>50.0</v>
      </c>
      <c r="D22" s="13" t="s">
        <v>20</v>
      </c>
      <c r="E22" s="13"/>
      <c r="F22" s="13" t="s">
        <v>85</v>
      </c>
      <c r="G22" s="13">
        <v>2024.0</v>
      </c>
      <c r="H22" s="24">
        <v>45558.0</v>
      </c>
      <c r="J22" s="19" t="s">
        <v>88</v>
      </c>
      <c r="K22" s="31">
        <f t="shared" si="1"/>
        <v>1</v>
      </c>
      <c r="L22" s="13" t="s">
        <v>20</v>
      </c>
    </row>
    <row r="23">
      <c r="A23" s="13">
        <f t="shared" si="2"/>
        <v>20</v>
      </c>
      <c r="B23" s="19" t="s">
        <v>79</v>
      </c>
      <c r="C23" s="13">
        <v>5.0</v>
      </c>
      <c r="D23" s="13" t="s">
        <v>80</v>
      </c>
      <c r="E23" s="13"/>
      <c r="F23" s="13" t="s">
        <v>85</v>
      </c>
      <c r="G23" s="13">
        <v>2024.0</v>
      </c>
      <c r="H23" s="24">
        <v>45558.0</v>
      </c>
      <c r="J23" s="19" t="s">
        <v>89</v>
      </c>
      <c r="K23" s="31">
        <f t="shared" si="1"/>
        <v>8</v>
      </c>
      <c r="L23" s="13" t="s">
        <v>20</v>
      </c>
    </row>
    <row r="24">
      <c r="A24" s="13">
        <f t="shared" si="2"/>
        <v>21</v>
      </c>
      <c r="B24" s="19" t="s">
        <v>82</v>
      </c>
      <c r="C24" s="13">
        <v>1.0</v>
      </c>
      <c r="D24" s="13" t="s">
        <v>83</v>
      </c>
      <c r="E24" s="13"/>
      <c r="F24" s="13" t="s">
        <v>85</v>
      </c>
      <c r="G24" s="13">
        <v>2024.0</v>
      </c>
      <c r="H24" s="24">
        <v>45558.0</v>
      </c>
      <c r="J24" s="41" t="s">
        <v>75</v>
      </c>
      <c r="K24" s="44">
        <f t="shared" si="1"/>
        <v>275</v>
      </c>
      <c r="L24" s="13" t="s">
        <v>20</v>
      </c>
    </row>
    <row r="25">
      <c r="A25" s="13">
        <f t="shared" si="2"/>
        <v>22</v>
      </c>
      <c r="B25" s="19" t="s">
        <v>84</v>
      </c>
      <c r="C25" s="13">
        <v>1.0</v>
      </c>
      <c r="D25" s="13" t="s">
        <v>83</v>
      </c>
      <c r="E25" s="13"/>
      <c r="F25" s="13" t="s">
        <v>85</v>
      </c>
      <c r="G25" s="13">
        <v>2024.0</v>
      </c>
      <c r="H25" s="24">
        <v>45558.0</v>
      </c>
      <c r="J25" s="41" t="s">
        <v>71</v>
      </c>
      <c r="K25" s="44">
        <f t="shared" si="1"/>
        <v>275</v>
      </c>
      <c r="L25" s="13" t="s">
        <v>20</v>
      </c>
    </row>
    <row r="26">
      <c r="A26" s="13">
        <f t="shared" si="2"/>
        <v>23</v>
      </c>
      <c r="B26" s="19" t="s">
        <v>86</v>
      </c>
      <c r="C26" s="13">
        <v>4.0</v>
      </c>
      <c r="D26" s="13" t="s">
        <v>20</v>
      </c>
      <c r="E26" s="13" t="s">
        <v>91</v>
      </c>
      <c r="F26" s="13" t="s">
        <v>92</v>
      </c>
      <c r="G26" s="13">
        <v>2024.0</v>
      </c>
      <c r="H26" s="24">
        <v>45587.0</v>
      </c>
      <c r="K26" s="63">
        <f>SUM(K4:K25)</f>
        <v>2599</v>
      </c>
    </row>
    <row r="27">
      <c r="A27" s="13">
        <f t="shared" si="2"/>
        <v>24</v>
      </c>
      <c r="B27" s="19" t="s">
        <v>69</v>
      </c>
      <c r="C27" s="13">
        <v>3.0</v>
      </c>
      <c r="D27" s="13" t="s">
        <v>20</v>
      </c>
      <c r="E27" s="67"/>
      <c r="F27" s="13" t="s">
        <v>92</v>
      </c>
      <c r="G27" s="13">
        <v>2024.0</v>
      </c>
      <c r="H27" s="24">
        <v>45587.0</v>
      </c>
    </row>
    <row r="28">
      <c r="A28" s="13">
        <f t="shared" si="2"/>
        <v>25</v>
      </c>
      <c r="B28" s="19" t="s">
        <v>86</v>
      </c>
      <c r="C28" s="13">
        <v>1.0</v>
      </c>
      <c r="D28" s="13" t="s">
        <v>20</v>
      </c>
      <c r="E28" s="13" t="s">
        <v>101</v>
      </c>
      <c r="F28" s="13" t="s">
        <v>92</v>
      </c>
      <c r="G28" s="13">
        <v>2024.0</v>
      </c>
      <c r="H28" s="24">
        <v>45587.0</v>
      </c>
      <c r="J28" s="69">
        <v>2026.0</v>
      </c>
    </row>
    <row r="29">
      <c r="A29" s="13">
        <f t="shared" si="2"/>
        <v>26</v>
      </c>
      <c r="B29" s="19" t="s">
        <v>87</v>
      </c>
      <c r="C29" s="13">
        <v>1.0</v>
      </c>
      <c r="D29" s="13" t="s">
        <v>20</v>
      </c>
      <c r="E29" s="13" t="s">
        <v>103</v>
      </c>
      <c r="F29" s="13" t="s">
        <v>92</v>
      </c>
      <c r="G29" s="13">
        <v>2024.0</v>
      </c>
      <c r="H29" s="24">
        <v>45587.0</v>
      </c>
      <c r="J29" s="17" t="s">
        <v>16</v>
      </c>
      <c r="K29" s="17" t="s">
        <v>10</v>
      </c>
      <c r="L29" s="17" t="s">
        <v>11</v>
      </c>
    </row>
    <row r="30">
      <c r="A30" s="13">
        <f t="shared" si="2"/>
        <v>27</v>
      </c>
      <c r="B30" s="19" t="s">
        <v>69</v>
      </c>
      <c r="C30" s="13">
        <v>1.0</v>
      </c>
      <c r="D30" s="13" t="s">
        <v>20</v>
      </c>
      <c r="E30" s="67"/>
      <c r="F30" s="13" t="s">
        <v>92</v>
      </c>
      <c r="G30" s="13">
        <v>2024.0</v>
      </c>
      <c r="H30" s="24">
        <v>45587.0</v>
      </c>
      <c r="J30" s="41" t="s">
        <v>50</v>
      </c>
      <c r="K30" s="31">
        <f t="shared" ref="K30:K34" si="3">SUMIF($B$64:$B$106,J30,$C$64:$C$106)</f>
        <v>250</v>
      </c>
      <c r="L30" s="13" t="s">
        <v>20</v>
      </c>
    </row>
    <row r="31">
      <c r="A31" s="13">
        <f t="shared" si="2"/>
        <v>28</v>
      </c>
      <c r="B31" s="19" t="s">
        <v>88</v>
      </c>
      <c r="C31" s="13">
        <v>1.0</v>
      </c>
      <c r="D31" s="13" t="s">
        <v>20</v>
      </c>
      <c r="E31" s="67"/>
      <c r="F31" s="13" t="s">
        <v>106</v>
      </c>
      <c r="G31" s="13">
        <v>2024.0</v>
      </c>
      <c r="H31" s="24">
        <v>45608.0</v>
      </c>
      <c r="J31" s="41" t="s">
        <v>66</v>
      </c>
      <c r="K31" s="31">
        <f t="shared" si="3"/>
        <v>155</v>
      </c>
      <c r="L31" s="13" t="s">
        <v>20</v>
      </c>
    </row>
    <row r="32">
      <c r="A32" s="13">
        <f t="shared" si="2"/>
        <v>29</v>
      </c>
      <c r="B32" s="77" t="s">
        <v>50</v>
      </c>
      <c r="C32" s="78">
        <v>50.0</v>
      </c>
      <c r="D32" s="81" t="s">
        <v>20</v>
      </c>
      <c r="E32" s="83"/>
      <c r="F32" s="81" t="s">
        <v>120</v>
      </c>
      <c r="G32" s="81">
        <v>2025.0</v>
      </c>
      <c r="H32" s="87">
        <v>45709.0</v>
      </c>
      <c r="J32" s="41" t="s">
        <v>74</v>
      </c>
      <c r="K32" s="31">
        <f t="shared" si="3"/>
        <v>250</v>
      </c>
      <c r="L32" s="13" t="s">
        <v>20</v>
      </c>
    </row>
    <row r="33">
      <c r="A33" s="13">
        <f t="shared" si="2"/>
        <v>30</v>
      </c>
      <c r="B33" s="77" t="s">
        <v>66</v>
      </c>
      <c r="C33" s="78">
        <v>50.0</v>
      </c>
      <c r="D33" s="81" t="s">
        <v>20</v>
      </c>
      <c r="E33" s="83"/>
      <c r="F33" s="81" t="s">
        <v>120</v>
      </c>
      <c r="G33" s="81">
        <v>2025.0</v>
      </c>
      <c r="H33" s="87">
        <v>45709.0</v>
      </c>
      <c r="J33" s="41" t="s">
        <v>75</v>
      </c>
      <c r="K33" s="31">
        <f t="shared" si="3"/>
        <v>175</v>
      </c>
      <c r="L33" s="13" t="s">
        <v>20</v>
      </c>
    </row>
    <row r="34">
      <c r="A34" s="13">
        <f t="shared" si="2"/>
        <v>31</v>
      </c>
      <c r="B34" s="19" t="s">
        <v>44</v>
      </c>
      <c r="C34" s="13">
        <v>50.0</v>
      </c>
      <c r="D34" s="13" t="s">
        <v>20</v>
      </c>
      <c r="E34" s="67"/>
      <c r="F34" s="13" t="s">
        <v>120</v>
      </c>
      <c r="G34" s="13">
        <v>2025.0</v>
      </c>
      <c r="H34" s="24">
        <v>45709.0</v>
      </c>
      <c r="J34" s="41" t="s">
        <v>71</v>
      </c>
      <c r="K34" s="31">
        <f t="shared" si="3"/>
        <v>175</v>
      </c>
      <c r="L34" s="13" t="s">
        <v>20</v>
      </c>
    </row>
    <row r="35">
      <c r="A35" s="13">
        <f t="shared" si="2"/>
        <v>32</v>
      </c>
      <c r="B35" s="19" t="s">
        <v>31</v>
      </c>
      <c r="C35" s="13">
        <v>30.0</v>
      </c>
      <c r="D35" s="13" t="s">
        <v>20</v>
      </c>
      <c r="E35" s="67"/>
      <c r="F35" s="13" t="s">
        <v>120</v>
      </c>
      <c r="G35" s="13">
        <v>2025.0</v>
      </c>
      <c r="H35" s="24">
        <v>45709.0</v>
      </c>
      <c r="K35" s="63">
        <f>SUM(K30:K34)</f>
        <v>1005</v>
      </c>
    </row>
    <row r="36">
      <c r="A36" s="13">
        <f t="shared" si="2"/>
        <v>33</v>
      </c>
      <c r="B36" s="19" t="s">
        <v>84</v>
      </c>
      <c r="C36" s="13">
        <v>1.0</v>
      </c>
      <c r="D36" s="13" t="s">
        <v>83</v>
      </c>
      <c r="E36" s="67"/>
      <c r="F36" s="13" t="s">
        <v>21</v>
      </c>
      <c r="G36" s="13">
        <v>2025.0</v>
      </c>
      <c r="H36" s="24">
        <v>45784.0</v>
      </c>
    </row>
    <row r="37">
      <c r="A37" s="13">
        <f t="shared" si="2"/>
        <v>34</v>
      </c>
      <c r="B37" s="77" t="s">
        <v>74</v>
      </c>
      <c r="C37" s="78">
        <v>15.0</v>
      </c>
      <c r="D37" s="81" t="s">
        <v>20</v>
      </c>
      <c r="E37" s="83"/>
      <c r="F37" s="81" t="s">
        <v>21</v>
      </c>
      <c r="G37" s="81">
        <v>2025.0</v>
      </c>
      <c r="H37" s="87">
        <v>45784.0</v>
      </c>
    </row>
    <row r="38">
      <c r="A38" s="13">
        <f t="shared" si="2"/>
        <v>35</v>
      </c>
      <c r="B38" s="19" t="s">
        <v>45</v>
      </c>
      <c r="C38" s="13">
        <v>20.0</v>
      </c>
      <c r="D38" s="13" t="s">
        <v>20</v>
      </c>
      <c r="E38" s="67"/>
      <c r="F38" s="13" t="s">
        <v>21</v>
      </c>
      <c r="G38" s="13">
        <v>2025.0</v>
      </c>
      <c r="H38" s="24">
        <v>45784.0</v>
      </c>
    </row>
    <row r="39">
      <c r="A39" s="13">
        <f t="shared" si="2"/>
        <v>36</v>
      </c>
      <c r="B39" s="19" t="s">
        <v>89</v>
      </c>
      <c r="C39" s="13">
        <v>8.0</v>
      </c>
      <c r="D39" s="13" t="s">
        <v>20</v>
      </c>
      <c r="E39" s="67"/>
      <c r="F39" s="13" t="s">
        <v>21</v>
      </c>
      <c r="G39" s="13">
        <v>2025.0</v>
      </c>
      <c r="H39" s="24">
        <v>45784.0</v>
      </c>
    </row>
    <row r="40">
      <c r="A40" s="13">
        <f t="shared" si="2"/>
        <v>37</v>
      </c>
      <c r="B40" s="41" t="s">
        <v>68</v>
      </c>
      <c r="C40" s="99">
        <v>15.0</v>
      </c>
      <c r="D40" s="99" t="s">
        <v>20</v>
      </c>
      <c r="E40" s="67"/>
      <c r="F40" s="13" t="s">
        <v>21</v>
      </c>
      <c r="G40" s="13">
        <v>2025.0</v>
      </c>
      <c r="H40" s="24">
        <v>45784.0</v>
      </c>
    </row>
    <row r="41">
      <c r="A41" s="13">
        <f t="shared" si="2"/>
        <v>38</v>
      </c>
      <c r="B41" s="19" t="s">
        <v>44</v>
      </c>
      <c r="C41" s="13">
        <v>25.0</v>
      </c>
      <c r="D41" s="13" t="s">
        <v>20</v>
      </c>
      <c r="E41" s="67"/>
      <c r="F41" s="13" t="s">
        <v>21</v>
      </c>
      <c r="G41" s="13">
        <v>2025.0</v>
      </c>
      <c r="H41" s="24">
        <v>45787.0</v>
      </c>
    </row>
    <row r="42">
      <c r="A42" s="13">
        <f t="shared" si="2"/>
        <v>39</v>
      </c>
      <c r="B42" s="19" t="s">
        <v>44</v>
      </c>
      <c r="C42" s="13">
        <v>25.0</v>
      </c>
      <c r="D42" s="13" t="s">
        <v>20</v>
      </c>
      <c r="E42" s="67"/>
      <c r="F42" s="13" t="s">
        <v>21</v>
      </c>
      <c r="G42" s="13">
        <v>2025.0</v>
      </c>
      <c r="H42" s="24">
        <v>45787.0</v>
      </c>
    </row>
    <row r="43">
      <c r="A43" s="13">
        <f t="shared" si="2"/>
        <v>40</v>
      </c>
      <c r="B43" s="41" t="s">
        <v>68</v>
      </c>
      <c r="C43" s="99">
        <v>15.0</v>
      </c>
      <c r="D43" s="99" t="s">
        <v>20</v>
      </c>
      <c r="E43" s="67"/>
      <c r="F43" s="13" t="s">
        <v>67</v>
      </c>
      <c r="G43" s="13">
        <v>2025.0</v>
      </c>
      <c r="H43" s="24">
        <v>45860.0</v>
      </c>
      <c r="I43" s="26"/>
    </row>
    <row r="44">
      <c r="A44" s="13">
        <f t="shared" si="2"/>
        <v>41</v>
      </c>
      <c r="B44" s="19" t="s">
        <v>35</v>
      </c>
      <c r="C44" s="13">
        <v>50.0</v>
      </c>
      <c r="D44" s="13" t="s">
        <v>20</v>
      </c>
      <c r="E44" s="67"/>
      <c r="F44" s="13" t="s">
        <v>67</v>
      </c>
      <c r="G44" s="13">
        <v>2025.0</v>
      </c>
      <c r="H44" s="24">
        <v>45855.0</v>
      </c>
      <c r="I44" s="26" t="s">
        <v>147</v>
      </c>
    </row>
    <row r="45">
      <c r="A45" s="13">
        <f t="shared" si="2"/>
        <v>42</v>
      </c>
      <c r="B45" s="19" t="s">
        <v>45</v>
      </c>
      <c r="C45" s="13">
        <v>20.0</v>
      </c>
      <c r="D45" s="13" t="s">
        <v>20</v>
      </c>
      <c r="E45" s="67"/>
      <c r="F45" s="13" t="s">
        <v>67</v>
      </c>
      <c r="G45" s="13">
        <v>2025.0</v>
      </c>
      <c r="H45" s="24">
        <v>45855.0</v>
      </c>
      <c r="I45" s="26" t="s">
        <v>151</v>
      </c>
    </row>
    <row r="46">
      <c r="A46" s="13">
        <f t="shared" si="2"/>
        <v>43</v>
      </c>
      <c r="B46" s="77" t="s">
        <v>74</v>
      </c>
      <c r="C46" s="78">
        <v>10.0</v>
      </c>
      <c r="D46" s="81" t="s">
        <v>20</v>
      </c>
      <c r="E46" s="83"/>
      <c r="F46" s="81" t="s">
        <v>67</v>
      </c>
      <c r="G46" s="81">
        <v>2025.0</v>
      </c>
      <c r="H46" s="87">
        <v>45855.0</v>
      </c>
      <c r="I46" s="26" t="s">
        <v>151</v>
      </c>
    </row>
    <row r="47">
      <c r="A47" s="13">
        <f t="shared" si="2"/>
        <v>44</v>
      </c>
      <c r="B47" s="77" t="s">
        <v>75</v>
      </c>
      <c r="C47" s="78">
        <v>25.0</v>
      </c>
      <c r="D47" s="81" t="s">
        <v>20</v>
      </c>
      <c r="E47" s="83"/>
      <c r="F47" s="81" t="s">
        <v>67</v>
      </c>
      <c r="G47" s="81">
        <v>2025.0</v>
      </c>
      <c r="H47" s="87">
        <v>45866.0</v>
      </c>
      <c r="I47" s="26" t="s">
        <v>151</v>
      </c>
    </row>
    <row r="48">
      <c r="A48" s="13">
        <f t="shared" si="2"/>
        <v>45</v>
      </c>
      <c r="B48" s="77" t="s">
        <v>71</v>
      </c>
      <c r="C48" s="78">
        <v>25.0</v>
      </c>
      <c r="D48" s="81" t="s">
        <v>20</v>
      </c>
      <c r="E48" s="83"/>
      <c r="F48" s="81" t="s">
        <v>67</v>
      </c>
      <c r="G48" s="81">
        <v>2025.0</v>
      </c>
      <c r="H48" s="87">
        <v>45866.0</v>
      </c>
      <c r="I48" s="26" t="s">
        <v>151</v>
      </c>
    </row>
    <row r="49">
      <c r="A49" s="13">
        <f t="shared" si="2"/>
        <v>46</v>
      </c>
      <c r="B49" s="77" t="s">
        <v>74</v>
      </c>
      <c r="C49" s="78">
        <v>25.0</v>
      </c>
      <c r="D49" s="81" t="s">
        <v>20</v>
      </c>
      <c r="E49" s="83"/>
      <c r="F49" s="81" t="s">
        <v>67</v>
      </c>
      <c r="G49" s="81">
        <v>2025.0</v>
      </c>
      <c r="H49" s="87">
        <v>45866.0</v>
      </c>
      <c r="I49" s="26" t="s">
        <v>151</v>
      </c>
    </row>
    <row r="50">
      <c r="A50" s="13">
        <f t="shared" si="2"/>
        <v>47</v>
      </c>
      <c r="B50" s="77" t="s">
        <v>50</v>
      </c>
      <c r="C50" s="78">
        <v>25.0</v>
      </c>
      <c r="D50" s="81" t="s">
        <v>20</v>
      </c>
      <c r="E50" s="108"/>
      <c r="F50" s="81" t="s">
        <v>67</v>
      </c>
      <c r="G50" s="81">
        <v>2025.0</v>
      </c>
      <c r="H50" s="87">
        <v>45866.0</v>
      </c>
      <c r="I50" s="26" t="s">
        <v>151</v>
      </c>
    </row>
    <row r="51">
      <c r="A51" s="13">
        <f t="shared" si="2"/>
        <v>48</v>
      </c>
      <c r="B51" s="77" t="s">
        <v>75</v>
      </c>
      <c r="C51" s="78">
        <v>25.0</v>
      </c>
      <c r="D51" s="81" t="s">
        <v>20</v>
      </c>
      <c r="E51" s="108"/>
      <c r="F51" s="81" t="s">
        <v>67</v>
      </c>
      <c r="G51" s="81">
        <v>2025.0</v>
      </c>
      <c r="H51" s="87">
        <v>45868.0</v>
      </c>
      <c r="I51" s="26" t="s">
        <v>151</v>
      </c>
    </row>
    <row r="52">
      <c r="A52" s="13">
        <f t="shared" si="2"/>
        <v>49</v>
      </c>
      <c r="B52" s="77" t="s">
        <v>71</v>
      </c>
      <c r="C52" s="78">
        <v>25.0</v>
      </c>
      <c r="D52" s="81" t="s">
        <v>20</v>
      </c>
      <c r="E52" s="108"/>
      <c r="F52" s="81" t="s">
        <v>67</v>
      </c>
      <c r="G52" s="81">
        <v>2025.0</v>
      </c>
      <c r="H52" s="87">
        <v>45868.0</v>
      </c>
      <c r="I52" s="26" t="s">
        <v>151</v>
      </c>
    </row>
    <row r="53">
      <c r="A53" s="13">
        <f t="shared" si="2"/>
        <v>50</v>
      </c>
      <c r="B53" s="77" t="s">
        <v>74</v>
      </c>
      <c r="C53" s="78">
        <v>25.0</v>
      </c>
      <c r="D53" s="81" t="s">
        <v>20</v>
      </c>
      <c r="E53" s="108"/>
      <c r="F53" s="81" t="s">
        <v>67</v>
      </c>
      <c r="G53" s="81">
        <v>2025.0</v>
      </c>
      <c r="H53" s="87">
        <v>45868.0</v>
      </c>
      <c r="I53" s="26" t="s">
        <v>151</v>
      </c>
    </row>
    <row r="54">
      <c r="A54" s="13">
        <f t="shared" si="2"/>
        <v>51</v>
      </c>
      <c r="B54" s="77" t="s">
        <v>50</v>
      </c>
      <c r="C54" s="78">
        <v>25.0</v>
      </c>
      <c r="D54" s="81" t="s">
        <v>20</v>
      </c>
      <c r="E54" s="108"/>
      <c r="F54" s="81" t="s">
        <v>67</v>
      </c>
      <c r="G54" s="81">
        <v>2025.0</v>
      </c>
      <c r="H54" s="87">
        <v>45868.0</v>
      </c>
      <c r="I54" s="26" t="s">
        <v>151</v>
      </c>
    </row>
    <row r="55">
      <c r="A55" s="13">
        <f t="shared" si="2"/>
        <v>52</v>
      </c>
      <c r="B55" s="19" t="s">
        <v>44</v>
      </c>
      <c r="C55" s="13">
        <v>50.0</v>
      </c>
      <c r="D55" s="13" t="s">
        <v>20</v>
      </c>
      <c r="E55" s="31"/>
      <c r="F55" s="13" t="s">
        <v>85</v>
      </c>
      <c r="G55" s="13">
        <v>2025.0</v>
      </c>
      <c r="H55" s="114">
        <v>45929.0</v>
      </c>
      <c r="I55" s="26" t="s">
        <v>151</v>
      </c>
    </row>
    <row r="56">
      <c r="A56" s="13">
        <f t="shared" si="2"/>
        <v>53</v>
      </c>
      <c r="B56" s="41" t="s">
        <v>68</v>
      </c>
      <c r="C56" s="99">
        <v>15.0</v>
      </c>
      <c r="D56" s="99" t="s">
        <v>20</v>
      </c>
      <c r="E56" s="31"/>
      <c r="F56" s="13" t="s">
        <v>85</v>
      </c>
      <c r="G56" s="13">
        <v>2025.0</v>
      </c>
      <c r="H56" s="114">
        <v>45929.0</v>
      </c>
      <c r="I56" s="26" t="s">
        <v>151</v>
      </c>
    </row>
    <row r="57">
      <c r="A57" s="13">
        <f t="shared" si="2"/>
        <v>54</v>
      </c>
      <c r="B57" s="19" t="s">
        <v>31</v>
      </c>
      <c r="C57" s="13">
        <v>15.0</v>
      </c>
      <c r="D57" s="13" t="s">
        <v>20</v>
      </c>
      <c r="E57" s="31"/>
      <c r="F57" s="13" t="s">
        <v>85</v>
      </c>
      <c r="G57" s="13">
        <v>2025.0</v>
      </c>
      <c r="H57" s="114">
        <v>45929.0</v>
      </c>
      <c r="I57" s="26" t="s">
        <v>151</v>
      </c>
    </row>
    <row r="58">
      <c r="A58" s="13">
        <f t="shared" si="2"/>
        <v>55</v>
      </c>
      <c r="B58" s="19" t="s">
        <v>45</v>
      </c>
      <c r="C58" s="13">
        <v>15.0</v>
      </c>
      <c r="D58" s="13" t="s">
        <v>20</v>
      </c>
      <c r="E58" s="31"/>
      <c r="F58" s="13" t="s">
        <v>92</v>
      </c>
      <c r="G58" s="13">
        <v>2025.0</v>
      </c>
      <c r="H58" s="114">
        <v>45975.0</v>
      </c>
      <c r="I58" s="26" t="s">
        <v>151</v>
      </c>
    </row>
    <row r="59">
      <c r="A59" s="13">
        <f t="shared" si="2"/>
        <v>56</v>
      </c>
      <c r="B59" s="77" t="s">
        <v>66</v>
      </c>
      <c r="C59" s="78">
        <v>35.0</v>
      </c>
      <c r="D59" s="13" t="s">
        <v>20</v>
      </c>
      <c r="E59" s="31"/>
      <c r="F59" s="13" t="s">
        <v>92</v>
      </c>
      <c r="G59" s="13">
        <v>2025.0</v>
      </c>
      <c r="H59" s="114">
        <v>45975.0</v>
      </c>
      <c r="I59" s="26" t="s">
        <v>151</v>
      </c>
    </row>
    <row r="60">
      <c r="A60" s="13">
        <f t="shared" si="2"/>
        <v>57</v>
      </c>
      <c r="B60" s="77" t="s">
        <v>75</v>
      </c>
      <c r="C60" s="78">
        <v>50.0</v>
      </c>
      <c r="D60" s="13" t="s">
        <v>20</v>
      </c>
      <c r="E60" s="31"/>
      <c r="F60" s="13" t="s">
        <v>175</v>
      </c>
      <c r="G60" s="13">
        <v>2025.0</v>
      </c>
      <c r="H60" s="114">
        <v>45999.0</v>
      </c>
      <c r="I60" s="26" t="s">
        <v>151</v>
      </c>
    </row>
    <row r="61">
      <c r="A61" s="13">
        <f t="shared" si="2"/>
        <v>58</v>
      </c>
      <c r="B61" s="77" t="s">
        <v>71</v>
      </c>
      <c r="C61" s="78">
        <v>50.0</v>
      </c>
      <c r="D61" s="13" t="s">
        <v>20</v>
      </c>
      <c r="E61" s="31"/>
      <c r="F61" s="13" t="s">
        <v>175</v>
      </c>
      <c r="G61" s="13">
        <v>2025.0</v>
      </c>
      <c r="H61" s="114">
        <v>45999.0</v>
      </c>
      <c r="I61" s="26" t="s">
        <v>151</v>
      </c>
    </row>
    <row r="62">
      <c r="A62" s="13">
        <f t="shared" si="2"/>
        <v>59</v>
      </c>
      <c r="B62" s="77" t="s">
        <v>74</v>
      </c>
      <c r="C62" s="78">
        <v>50.0</v>
      </c>
      <c r="D62" s="13" t="s">
        <v>20</v>
      </c>
      <c r="E62" s="31"/>
      <c r="F62" s="13" t="s">
        <v>175</v>
      </c>
      <c r="G62" s="13">
        <v>2025.0</v>
      </c>
      <c r="H62" s="114">
        <v>45999.0</v>
      </c>
      <c r="I62" s="26" t="s">
        <v>151</v>
      </c>
    </row>
    <row r="63">
      <c r="A63" s="13">
        <f t="shared" si="2"/>
        <v>60</v>
      </c>
      <c r="B63" s="77" t="s">
        <v>50</v>
      </c>
      <c r="C63" s="78">
        <v>50.0</v>
      </c>
      <c r="D63" s="13" t="s">
        <v>20</v>
      </c>
      <c r="E63" s="31"/>
      <c r="F63" s="13" t="s">
        <v>175</v>
      </c>
      <c r="G63" s="13">
        <v>2025.0</v>
      </c>
      <c r="H63" s="114">
        <v>45999.0</v>
      </c>
      <c r="I63" s="26" t="s">
        <v>151</v>
      </c>
    </row>
    <row r="64">
      <c r="A64" s="13">
        <f t="shared" si="2"/>
        <v>61</v>
      </c>
      <c r="B64" s="120" t="s">
        <v>66</v>
      </c>
      <c r="C64" s="13">
        <v>50.0</v>
      </c>
      <c r="D64" s="13" t="s">
        <v>20</v>
      </c>
      <c r="E64" s="31"/>
      <c r="F64" s="13" t="s">
        <v>182</v>
      </c>
      <c r="G64" s="13">
        <v>2026.0</v>
      </c>
      <c r="H64" s="114">
        <v>46053.0</v>
      </c>
      <c r="I64" s="26" t="s">
        <v>151</v>
      </c>
    </row>
    <row r="65">
      <c r="A65" s="13">
        <f t="shared" si="2"/>
        <v>62</v>
      </c>
      <c r="B65" s="122" t="s">
        <v>75</v>
      </c>
      <c r="C65" s="13">
        <v>50.0</v>
      </c>
      <c r="D65" s="13" t="s">
        <v>20</v>
      </c>
      <c r="E65" s="31"/>
      <c r="F65" s="13" t="s">
        <v>120</v>
      </c>
      <c r="G65" s="13">
        <v>2026.0</v>
      </c>
      <c r="H65" s="114">
        <v>46077.0</v>
      </c>
      <c r="I65" s="26" t="s">
        <v>151</v>
      </c>
    </row>
    <row r="66">
      <c r="A66" s="13">
        <f t="shared" si="2"/>
        <v>63</v>
      </c>
      <c r="B66" s="122" t="s">
        <v>71</v>
      </c>
      <c r="C66" s="13">
        <v>50.0</v>
      </c>
      <c r="D66" s="13" t="s">
        <v>20</v>
      </c>
      <c r="E66" s="31"/>
      <c r="F66" s="13" t="s">
        <v>120</v>
      </c>
      <c r="G66" s="13">
        <v>2026.0</v>
      </c>
      <c r="H66" s="114">
        <v>46077.0</v>
      </c>
      <c r="I66" s="26" t="s">
        <v>151</v>
      </c>
    </row>
    <row r="67">
      <c r="A67" s="13">
        <f t="shared" si="2"/>
        <v>64</v>
      </c>
      <c r="B67" s="122" t="s">
        <v>74</v>
      </c>
      <c r="C67" s="13">
        <v>50.0</v>
      </c>
      <c r="D67" s="13" t="s">
        <v>20</v>
      </c>
      <c r="E67" s="31"/>
      <c r="F67" s="13" t="s">
        <v>120</v>
      </c>
      <c r="G67" s="13">
        <v>2026.0</v>
      </c>
      <c r="H67" s="114">
        <v>46077.0</v>
      </c>
      <c r="I67" s="26" t="s">
        <v>151</v>
      </c>
    </row>
    <row r="68">
      <c r="A68" s="13">
        <f t="shared" si="2"/>
        <v>65</v>
      </c>
      <c r="B68" s="122" t="s">
        <v>50</v>
      </c>
      <c r="C68" s="13">
        <v>50.0</v>
      </c>
      <c r="D68" s="13" t="s">
        <v>20</v>
      </c>
      <c r="E68" s="31"/>
      <c r="F68" s="13" t="s">
        <v>120</v>
      </c>
      <c r="G68" s="13">
        <v>2026.0</v>
      </c>
      <c r="H68" s="114">
        <v>46077.0</v>
      </c>
      <c r="I68" s="26" t="s">
        <v>151</v>
      </c>
    </row>
    <row r="69">
      <c r="A69" s="13">
        <f t="shared" si="2"/>
        <v>66</v>
      </c>
      <c r="B69" s="122" t="s">
        <v>74</v>
      </c>
      <c r="C69" s="13">
        <v>50.0</v>
      </c>
      <c r="D69" s="13" t="s">
        <v>20</v>
      </c>
      <c r="E69" s="31"/>
      <c r="F69" s="13" t="s">
        <v>187</v>
      </c>
      <c r="G69" s="13">
        <v>2026.0</v>
      </c>
      <c r="H69" s="114">
        <v>46088.0</v>
      </c>
      <c r="I69" s="26" t="s">
        <v>151</v>
      </c>
    </row>
    <row r="70">
      <c r="A70" s="13">
        <f t="shared" si="2"/>
        <v>67</v>
      </c>
      <c r="B70" s="122" t="s">
        <v>50</v>
      </c>
      <c r="C70" s="13">
        <v>50.0</v>
      </c>
      <c r="D70" s="13" t="s">
        <v>20</v>
      </c>
      <c r="E70" s="31"/>
      <c r="F70" s="13" t="s">
        <v>187</v>
      </c>
      <c r="G70" s="13">
        <v>2026.0</v>
      </c>
      <c r="H70" s="114">
        <v>46088.0</v>
      </c>
      <c r="I70" s="26" t="s">
        <v>151</v>
      </c>
    </row>
    <row r="71">
      <c r="A71" s="13">
        <f t="shared" si="2"/>
        <v>68</v>
      </c>
      <c r="B71" s="19" t="s">
        <v>44</v>
      </c>
      <c r="C71" s="13">
        <v>50.0</v>
      </c>
      <c r="D71" s="13" t="s">
        <v>20</v>
      </c>
      <c r="E71" s="31"/>
      <c r="F71" s="13" t="s">
        <v>191</v>
      </c>
      <c r="G71" s="13">
        <v>2026.0</v>
      </c>
      <c r="H71" s="114">
        <v>46133.0</v>
      </c>
      <c r="I71" s="26" t="s">
        <v>151</v>
      </c>
    </row>
    <row r="72">
      <c r="A72" s="13">
        <f t="shared" si="2"/>
        <v>69</v>
      </c>
      <c r="B72" s="120" t="s">
        <v>66</v>
      </c>
      <c r="C72" s="13">
        <v>25.0</v>
      </c>
      <c r="D72" s="13" t="s">
        <v>20</v>
      </c>
      <c r="E72" s="31"/>
      <c r="F72" s="13" t="s">
        <v>191</v>
      </c>
      <c r="G72" s="13">
        <v>2026.0</v>
      </c>
      <c r="H72" s="114">
        <v>46134.0</v>
      </c>
      <c r="I72" s="26" t="s">
        <v>151</v>
      </c>
    </row>
    <row r="73">
      <c r="A73" s="13">
        <f t="shared" si="2"/>
        <v>70</v>
      </c>
      <c r="B73" s="19" t="s">
        <v>31</v>
      </c>
      <c r="C73" s="13">
        <v>10.0</v>
      </c>
      <c r="D73" s="13" t="s">
        <v>20</v>
      </c>
      <c r="E73" s="31"/>
      <c r="F73" s="13" t="s">
        <v>191</v>
      </c>
      <c r="G73" s="13">
        <v>2026.0</v>
      </c>
      <c r="H73" s="114">
        <v>46134.0</v>
      </c>
      <c r="I73" s="26" t="s">
        <v>151</v>
      </c>
    </row>
    <row r="74">
      <c r="A74" s="13">
        <f t="shared" si="2"/>
        <v>71</v>
      </c>
      <c r="B74" s="19" t="s">
        <v>45</v>
      </c>
      <c r="C74" s="13">
        <v>25.0</v>
      </c>
      <c r="D74" s="13" t="s">
        <v>20</v>
      </c>
      <c r="E74" s="31"/>
      <c r="F74" s="13" t="s">
        <v>191</v>
      </c>
      <c r="G74" s="13">
        <v>2026.0</v>
      </c>
      <c r="H74" s="114">
        <v>46134.0</v>
      </c>
      <c r="I74" s="26" t="s">
        <v>151</v>
      </c>
    </row>
    <row r="75">
      <c r="A75" s="13">
        <f t="shared" si="2"/>
        <v>72</v>
      </c>
      <c r="B75" s="122" t="s">
        <v>75</v>
      </c>
      <c r="C75" s="13">
        <v>50.0</v>
      </c>
      <c r="D75" s="13" t="s">
        <v>20</v>
      </c>
      <c r="E75" s="31"/>
      <c r="F75" s="13" t="s">
        <v>21</v>
      </c>
      <c r="G75" s="13">
        <v>2026.0</v>
      </c>
      <c r="H75" s="114">
        <v>46153.0</v>
      </c>
      <c r="I75" s="26" t="s">
        <v>151</v>
      </c>
    </row>
    <row r="76">
      <c r="A76" s="13">
        <f t="shared" si="2"/>
        <v>73</v>
      </c>
      <c r="B76" s="122" t="s">
        <v>71</v>
      </c>
      <c r="C76" s="13">
        <v>50.0</v>
      </c>
      <c r="D76" s="13" t="s">
        <v>20</v>
      </c>
      <c r="E76" s="31"/>
      <c r="F76" s="13" t="s">
        <v>21</v>
      </c>
      <c r="G76" s="13">
        <v>2026.0</v>
      </c>
      <c r="H76" s="114">
        <v>46153.0</v>
      </c>
      <c r="I76" s="26" t="s">
        <v>151</v>
      </c>
    </row>
    <row r="77">
      <c r="A77" s="13">
        <f t="shared" si="2"/>
        <v>74</v>
      </c>
      <c r="B77" s="122" t="s">
        <v>74</v>
      </c>
      <c r="C77" s="13">
        <v>50.0</v>
      </c>
      <c r="D77" s="13" t="s">
        <v>20</v>
      </c>
      <c r="E77" s="31"/>
      <c r="F77" s="13" t="s">
        <v>21</v>
      </c>
      <c r="G77" s="13">
        <v>2026.0</v>
      </c>
      <c r="H77" s="114">
        <v>46153.0</v>
      </c>
      <c r="I77" s="26" t="s">
        <v>151</v>
      </c>
    </row>
    <row r="78">
      <c r="A78" s="13">
        <f t="shared" si="2"/>
        <v>75</v>
      </c>
      <c r="B78" s="122" t="s">
        <v>50</v>
      </c>
      <c r="C78" s="13">
        <v>50.0</v>
      </c>
      <c r="D78" s="13" t="s">
        <v>20</v>
      </c>
      <c r="E78" s="31"/>
      <c r="F78" s="13" t="s">
        <v>21</v>
      </c>
      <c r="G78" s="13">
        <v>2026.0</v>
      </c>
      <c r="H78" s="114">
        <v>46153.0</v>
      </c>
      <c r="I78" s="26" t="s">
        <v>151</v>
      </c>
    </row>
    <row r="79">
      <c r="A79" s="13">
        <f t="shared" si="2"/>
        <v>76</v>
      </c>
      <c r="B79" s="108" t="s">
        <v>75</v>
      </c>
      <c r="C79" s="13">
        <v>25.0</v>
      </c>
      <c r="D79" s="13" t="s">
        <v>20</v>
      </c>
      <c r="E79" s="31"/>
      <c r="F79" s="13" t="s">
        <v>40</v>
      </c>
      <c r="G79" s="13">
        <v>2026.0</v>
      </c>
      <c r="H79" s="114">
        <v>46197.0</v>
      </c>
      <c r="I79" s="26" t="s">
        <v>151</v>
      </c>
    </row>
    <row r="80">
      <c r="A80" s="13">
        <f t="shared" si="2"/>
        <v>77</v>
      </c>
      <c r="B80" s="108" t="s">
        <v>71</v>
      </c>
      <c r="C80" s="13">
        <v>25.0</v>
      </c>
      <c r="D80" s="13" t="s">
        <v>20</v>
      </c>
      <c r="E80" s="31"/>
      <c r="F80" s="13" t="s">
        <v>40</v>
      </c>
      <c r="G80" s="13">
        <v>2026.0</v>
      </c>
      <c r="H80" s="114">
        <v>46197.0</v>
      </c>
      <c r="I80" s="26" t="s">
        <v>151</v>
      </c>
    </row>
    <row r="81">
      <c r="A81" s="13">
        <f t="shared" si="2"/>
        <v>78</v>
      </c>
      <c r="B81" s="108" t="s">
        <v>74</v>
      </c>
      <c r="C81" s="13">
        <v>25.0</v>
      </c>
      <c r="D81" s="13" t="s">
        <v>20</v>
      </c>
      <c r="E81" s="31"/>
      <c r="F81" s="13" t="s">
        <v>40</v>
      </c>
      <c r="G81" s="13">
        <v>2026.0</v>
      </c>
      <c r="H81" s="114">
        <v>46197.0</v>
      </c>
      <c r="I81" s="26" t="s">
        <v>151</v>
      </c>
    </row>
    <row r="82">
      <c r="A82" s="13">
        <f t="shared" si="2"/>
        <v>79</v>
      </c>
      <c r="B82" s="108" t="s">
        <v>50</v>
      </c>
      <c r="C82" s="13">
        <v>25.0</v>
      </c>
      <c r="D82" s="13" t="s">
        <v>20</v>
      </c>
      <c r="E82" s="31"/>
      <c r="F82" s="13" t="s">
        <v>40</v>
      </c>
      <c r="G82" s="13">
        <v>2026.0</v>
      </c>
      <c r="H82" s="114">
        <v>46197.0</v>
      </c>
      <c r="I82" s="26" t="s">
        <v>151</v>
      </c>
    </row>
    <row r="83">
      <c r="A83" s="13">
        <f t="shared" si="2"/>
        <v>80</v>
      </c>
      <c r="B83" s="77" t="s">
        <v>66</v>
      </c>
      <c r="C83" s="13">
        <v>30.0</v>
      </c>
      <c r="D83" s="13" t="s">
        <v>20</v>
      </c>
      <c r="E83" s="31"/>
      <c r="F83" s="13" t="s">
        <v>40</v>
      </c>
      <c r="G83" s="13">
        <v>2026.0</v>
      </c>
      <c r="H83" s="114">
        <v>46202.0</v>
      </c>
      <c r="I83" s="26" t="s">
        <v>151</v>
      </c>
    </row>
    <row r="84">
      <c r="A84" s="13">
        <f t="shared" si="2"/>
        <v>81</v>
      </c>
      <c r="B84" s="77" t="s">
        <v>50</v>
      </c>
      <c r="C84" s="13">
        <v>25.0</v>
      </c>
      <c r="D84" s="13" t="s">
        <v>20</v>
      </c>
      <c r="E84" s="31"/>
      <c r="F84" s="13" t="s">
        <v>40</v>
      </c>
      <c r="G84" s="13">
        <v>2026.0</v>
      </c>
      <c r="H84" s="114">
        <v>46202.0</v>
      </c>
      <c r="I84" s="26" t="s">
        <v>151</v>
      </c>
    </row>
    <row r="85">
      <c r="A85" s="13">
        <f t="shared" si="2"/>
        <v>82</v>
      </c>
      <c r="B85" s="77" t="s">
        <v>74</v>
      </c>
      <c r="C85" s="13">
        <v>25.0</v>
      </c>
      <c r="D85" s="13" t="s">
        <v>20</v>
      </c>
      <c r="E85" s="31"/>
      <c r="F85" s="13" t="s">
        <v>40</v>
      </c>
      <c r="G85" s="13">
        <v>2026.0</v>
      </c>
      <c r="H85" s="114">
        <v>46202.0</v>
      </c>
      <c r="I85" s="26" t="s">
        <v>151</v>
      </c>
    </row>
    <row r="86">
      <c r="A86" s="13">
        <f t="shared" si="2"/>
        <v>83</v>
      </c>
      <c r="B86" s="108" t="s">
        <v>75</v>
      </c>
      <c r="C86" s="13">
        <v>50.0</v>
      </c>
      <c r="D86" s="13" t="s">
        <v>20</v>
      </c>
      <c r="E86" s="31"/>
      <c r="F86" s="13" t="s">
        <v>67</v>
      </c>
      <c r="G86" s="13">
        <v>2026.0</v>
      </c>
      <c r="H86" s="114">
        <v>46220.0</v>
      </c>
      <c r="I86" s="26" t="s">
        <v>151</v>
      </c>
    </row>
    <row r="87">
      <c r="A87" s="13">
        <f t="shared" si="2"/>
        <v>84</v>
      </c>
      <c r="B87" s="108" t="s">
        <v>71</v>
      </c>
      <c r="C87" s="13">
        <v>50.0</v>
      </c>
      <c r="D87" s="13" t="s">
        <v>20</v>
      </c>
      <c r="E87" s="31"/>
      <c r="F87" s="13" t="s">
        <v>67</v>
      </c>
      <c r="G87" s="13">
        <v>2026.0</v>
      </c>
      <c r="H87" s="114">
        <v>46220.0</v>
      </c>
      <c r="I87" s="26" t="s">
        <v>151</v>
      </c>
    </row>
    <row r="88">
      <c r="A88" s="13">
        <f t="shared" si="2"/>
        <v>85</v>
      </c>
      <c r="B88" s="108" t="s">
        <v>74</v>
      </c>
      <c r="C88" s="13">
        <v>50.0</v>
      </c>
      <c r="D88" s="13" t="s">
        <v>20</v>
      </c>
      <c r="E88" s="31"/>
      <c r="F88" s="13" t="s">
        <v>67</v>
      </c>
      <c r="G88" s="13">
        <v>2026.0</v>
      </c>
      <c r="H88" s="114">
        <v>46220.0</v>
      </c>
      <c r="I88" s="26" t="s">
        <v>151</v>
      </c>
    </row>
    <row r="89">
      <c r="A89" s="13">
        <f t="shared" si="2"/>
        <v>86</v>
      </c>
      <c r="B89" s="108" t="s">
        <v>50</v>
      </c>
      <c r="C89" s="13">
        <v>50.0</v>
      </c>
      <c r="D89" s="13" t="s">
        <v>20</v>
      </c>
      <c r="E89" s="31"/>
      <c r="F89" s="13" t="s">
        <v>67</v>
      </c>
      <c r="G89" s="13">
        <v>2026.0</v>
      </c>
      <c r="H89" s="114">
        <v>46220.0</v>
      </c>
      <c r="I89" s="26" t="s">
        <v>151</v>
      </c>
    </row>
    <row r="90">
      <c r="A90" s="13">
        <f t="shared" si="2"/>
        <v>87</v>
      </c>
      <c r="B90" s="77" t="s">
        <v>66</v>
      </c>
      <c r="C90" s="13">
        <v>50.0</v>
      </c>
      <c r="D90" s="13" t="s">
        <v>20</v>
      </c>
      <c r="E90" s="31"/>
      <c r="F90" s="13" t="s">
        <v>67</v>
      </c>
      <c r="G90" s="13">
        <v>2026.0</v>
      </c>
      <c r="H90" s="114">
        <v>46217.0</v>
      </c>
      <c r="I90" s="26" t="s">
        <v>151</v>
      </c>
    </row>
    <row r="91">
      <c r="A91" s="13">
        <f t="shared" si="2"/>
        <v>88</v>
      </c>
      <c r="B91" s="19" t="s">
        <v>193</v>
      </c>
      <c r="C91" s="13">
        <v>2.0</v>
      </c>
      <c r="D91" s="13" t="s">
        <v>20</v>
      </c>
      <c r="E91" s="31"/>
      <c r="F91" s="13" t="s">
        <v>67</v>
      </c>
      <c r="G91" s="13">
        <v>2026.0</v>
      </c>
      <c r="H91" s="114">
        <v>46217.0</v>
      </c>
      <c r="I91" s="26" t="s">
        <v>151</v>
      </c>
    </row>
    <row r="92">
      <c r="A92" s="13">
        <f t="shared" si="2"/>
        <v>89</v>
      </c>
      <c r="B92" s="19" t="s">
        <v>86</v>
      </c>
      <c r="C92" s="13">
        <v>1.0</v>
      </c>
      <c r="D92" s="13" t="s">
        <v>20</v>
      </c>
      <c r="E92" s="31"/>
      <c r="F92" s="13" t="s">
        <v>67</v>
      </c>
      <c r="G92" s="13">
        <v>2026.0</v>
      </c>
      <c r="H92" s="114">
        <v>46218.0</v>
      </c>
      <c r="I92" s="26" t="s">
        <v>151</v>
      </c>
    </row>
    <row r="93">
      <c r="A93" s="13">
        <f t="shared" si="2"/>
        <v>90</v>
      </c>
      <c r="B93" s="31"/>
      <c r="C93" s="67"/>
      <c r="D93" s="31"/>
      <c r="E93" s="31"/>
      <c r="F93" s="67"/>
      <c r="G93" s="67"/>
      <c r="H93" s="135"/>
    </row>
    <row r="94">
      <c r="A94" s="13">
        <f t="shared" si="2"/>
        <v>91</v>
      </c>
      <c r="B94" s="31"/>
      <c r="C94" s="67"/>
      <c r="D94" s="31"/>
      <c r="E94" s="31"/>
      <c r="F94" s="67"/>
      <c r="G94" s="67"/>
      <c r="H94" s="135"/>
    </row>
    <row r="95">
      <c r="A95" s="13">
        <f t="shared" si="2"/>
        <v>92</v>
      </c>
      <c r="B95" s="31"/>
      <c r="C95" s="67"/>
      <c r="D95" s="31"/>
      <c r="E95" s="31"/>
      <c r="F95" s="67"/>
      <c r="G95" s="67"/>
      <c r="H95" s="135"/>
    </row>
    <row r="96">
      <c r="A96" s="13">
        <f t="shared" si="2"/>
        <v>93</v>
      </c>
      <c r="B96" s="31"/>
      <c r="C96" s="67"/>
      <c r="D96" s="31"/>
      <c r="E96" s="31"/>
      <c r="F96" s="67"/>
      <c r="G96" s="67"/>
      <c r="H96" s="135"/>
    </row>
    <row r="97">
      <c r="A97" s="13">
        <f t="shared" si="2"/>
        <v>94</v>
      </c>
      <c r="B97" s="31"/>
      <c r="C97" s="67"/>
      <c r="D97" s="31"/>
      <c r="E97" s="31"/>
      <c r="F97" s="67"/>
      <c r="G97" s="67"/>
      <c r="H97" s="135"/>
    </row>
    <row r="98">
      <c r="A98" s="13">
        <f t="shared" si="2"/>
        <v>95</v>
      </c>
      <c r="B98" s="31"/>
      <c r="C98" s="67"/>
      <c r="D98" s="31"/>
      <c r="E98" s="31"/>
      <c r="F98" s="67"/>
      <c r="G98" s="67"/>
      <c r="H98" s="135"/>
    </row>
    <row r="99">
      <c r="A99" s="13">
        <f t="shared" si="2"/>
        <v>96</v>
      </c>
      <c r="B99" s="31"/>
      <c r="C99" s="67"/>
      <c r="D99" s="31"/>
      <c r="E99" s="31"/>
      <c r="F99" s="67"/>
      <c r="G99" s="67"/>
      <c r="H99" s="135"/>
    </row>
    <row r="100">
      <c r="A100" s="13">
        <f t="shared" si="2"/>
        <v>97</v>
      </c>
      <c r="B100" s="31"/>
      <c r="C100" s="67"/>
      <c r="D100" s="31"/>
      <c r="E100" s="31"/>
      <c r="F100" s="67"/>
      <c r="G100" s="67"/>
      <c r="H100" s="135"/>
    </row>
    <row r="101">
      <c r="A101" s="13">
        <f t="shared" si="2"/>
        <v>98</v>
      </c>
      <c r="B101" s="31"/>
      <c r="C101" s="67"/>
      <c r="D101" s="31"/>
      <c r="E101" s="31"/>
      <c r="F101" s="67"/>
      <c r="G101" s="67"/>
      <c r="H101" s="135"/>
    </row>
    <row r="102">
      <c r="A102" s="13">
        <f t="shared" si="2"/>
        <v>99</v>
      </c>
      <c r="B102" s="31"/>
      <c r="C102" s="67"/>
      <c r="D102" s="31"/>
      <c r="E102" s="31"/>
      <c r="F102" s="67"/>
      <c r="G102" s="67"/>
      <c r="H102" s="135"/>
    </row>
    <row r="103">
      <c r="A103" s="13">
        <f t="shared" si="2"/>
        <v>100</v>
      </c>
      <c r="B103" s="31"/>
      <c r="C103" s="67"/>
      <c r="D103" s="31"/>
      <c r="E103" s="31"/>
      <c r="F103" s="67"/>
      <c r="G103" s="67"/>
      <c r="H103" s="135"/>
    </row>
    <row r="104">
      <c r="A104" s="13">
        <f t="shared" si="2"/>
        <v>101</v>
      </c>
      <c r="B104" s="31"/>
      <c r="C104" s="67"/>
      <c r="D104" s="31"/>
      <c r="E104" s="31"/>
      <c r="F104" s="67"/>
      <c r="G104" s="67"/>
      <c r="H104" s="135"/>
    </row>
    <row r="105">
      <c r="A105" s="13">
        <f t="shared" si="2"/>
        <v>102</v>
      </c>
      <c r="B105" s="31"/>
      <c r="C105" s="67"/>
      <c r="D105" s="31"/>
      <c r="E105" s="31"/>
      <c r="F105" s="67"/>
      <c r="G105" s="67"/>
      <c r="H105" s="135"/>
    </row>
    <row r="106">
      <c r="A106" s="13">
        <f t="shared" si="2"/>
        <v>103</v>
      </c>
      <c r="B106" s="31"/>
      <c r="C106" s="67"/>
      <c r="D106" s="31"/>
      <c r="E106" s="31"/>
      <c r="F106" s="67"/>
      <c r="G106" s="67"/>
      <c r="H106" s="135"/>
    </row>
    <row r="107">
      <c r="C107" s="63">
        <f>SUM(C4:C69)</f>
        <v>1808</v>
      </c>
    </row>
  </sheetData>
  <autoFilter ref="$A$3:$H$107"/>
  <mergeCells count="1">
    <mergeCell ref="A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16.38"/>
    <col customWidth="1" min="3" max="3" width="12.25"/>
    <col customWidth="1" min="4" max="4" width="10.25"/>
    <col customWidth="1" min="5" max="5" width="9.63"/>
    <col customWidth="1" min="6" max="6" width="16.38"/>
    <col customWidth="1" min="7" max="7" width="12.25"/>
    <col customWidth="1" min="8" max="8" width="10.25"/>
    <col customWidth="1" min="9" max="9" width="9.63"/>
    <col customWidth="1" min="10" max="10" width="16.75"/>
    <col customWidth="1" min="11" max="11" width="12.25"/>
    <col customWidth="1" min="12" max="12" width="10.63"/>
    <col customWidth="1" min="13" max="13" width="9.63"/>
    <col customWidth="1" min="14" max="14" width="16.75"/>
    <col customWidth="1" min="15" max="15" width="14.88"/>
    <col customWidth="1" min="16" max="16" width="10.63"/>
    <col customWidth="1" min="17" max="17" width="9.63"/>
    <col customWidth="1" min="18" max="18" width="7.5"/>
    <col customWidth="1" min="19" max="19" width="16.75"/>
    <col customWidth="1" min="20" max="20" width="13.13"/>
    <col customWidth="1" min="24" max="24" width="16.38"/>
    <col customWidth="1" min="31" max="31" width="17.25"/>
    <col customWidth="1" min="32" max="32" width="19.5"/>
    <col customWidth="1" min="34" max="34" width="16.0"/>
  </cols>
  <sheetData>
    <row r="1">
      <c r="A1" s="3" t="s">
        <v>1</v>
      </c>
      <c r="B1" s="8"/>
      <c r="C1" s="3" t="s">
        <v>5</v>
      </c>
      <c r="D1" s="12"/>
      <c r="E1" s="12"/>
      <c r="F1" s="8"/>
      <c r="G1" s="3" t="s">
        <v>7</v>
      </c>
      <c r="H1" s="12"/>
      <c r="I1" s="12"/>
      <c r="J1" s="8"/>
      <c r="K1" s="3" t="s">
        <v>8</v>
      </c>
      <c r="L1" s="12"/>
      <c r="M1" s="12"/>
      <c r="N1" s="8"/>
      <c r="O1" s="14" t="s">
        <v>9</v>
      </c>
      <c r="P1" s="12"/>
      <c r="Q1" s="12"/>
      <c r="R1" s="12"/>
      <c r="S1" s="8"/>
      <c r="T1" s="14" t="s">
        <v>17</v>
      </c>
      <c r="U1" s="12"/>
      <c r="V1" s="12"/>
      <c r="W1" s="12"/>
      <c r="X1" s="8"/>
    </row>
    <row r="2">
      <c r="A2" s="18"/>
      <c r="B2" s="21"/>
      <c r="C2" s="22"/>
      <c r="D2" s="11"/>
      <c r="E2" s="11"/>
      <c r="F2" s="23"/>
      <c r="G2" s="22"/>
      <c r="H2" s="11"/>
      <c r="I2" s="11"/>
      <c r="J2" s="23"/>
      <c r="K2" s="22"/>
      <c r="L2" s="11"/>
      <c r="M2" s="11"/>
      <c r="N2" s="23"/>
      <c r="O2" s="22"/>
      <c r="P2" s="11"/>
      <c r="Q2" s="11"/>
      <c r="R2" s="11"/>
      <c r="S2" s="23"/>
      <c r="T2" s="22"/>
      <c r="U2" s="11"/>
      <c r="V2" s="11"/>
      <c r="W2" s="11"/>
      <c r="X2" s="23"/>
      <c r="AD2" s="26" t="s">
        <v>27</v>
      </c>
    </row>
    <row r="3">
      <c r="A3" s="30"/>
      <c r="B3" s="33" t="s">
        <v>30</v>
      </c>
      <c r="C3" s="34" t="s">
        <v>36</v>
      </c>
      <c r="D3" s="34" t="s">
        <v>37</v>
      </c>
      <c r="E3" s="34" t="s">
        <v>38</v>
      </c>
      <c r="F3" s="34" t="s">
        <v>39</v>
      </c>
      <c r="G3" s="34" t="s">
        <v>36</v>
      </c>
      <c r="H3" s="34" t="s">
        <v>37</v>
      </c>
      <c r="I3" s="34" t="s">
        <v>38</v>
      </c>
      <c r="J3" s="34" t="s">
        <v>39</v>
      </c>
      <c r="K3" s="34" t="s">
        <v>36</v>
      </c>
      <c r="L3" s="34" t="s">
        <v>42</v>
      </c>
      <c r="M3" s="34" t="s">
        <v>38</v>
      </c>
      <c r="N3" s="34" t="s">
        <v>39</v>
      </c>
      <c r="O3" s="34" t="s">
        <v>36</v>
      </c>
      <c r="P3" s="34" t="s">
        <v>42</v>
      </c>
      <c r="Q3" s="34" t="s">
        <v>38</v>
      </c>
      <c r="R3" s="37" t="s">
        <v>43</v>
      </c>
      <c r="S3" s="34" t="s">
        <v>39</v>
      </c>
      <c r="T3" s="38" t="s">
        <v>36</v>
      </c>
      <c r="U3" s="38" t="s">
        <v>42</v>
      </c>
      <c r="V3" s="38" t="s">
        <v>38</v>
      </c>
      <c r="W3" s="40" t="s">
        <v>43</v>
      </c>
      <c r="X3" s="38" t="s">
        <v>39</v>
      </c>
      <c r="Y3" s="42" t="s">
        <v>56</v>
      </c>
      <c r="Z3" s="42" t="s">
        <v>58</v>
      </c>
      <c r="AA3" s="42" t="s">
        <v>59</v>
      </c>
      <c r="AB3" s="45" t="s">
        <v>60</v>
      </c>
      <c r="AC3" s="48"/>
      <c r="AD3" s="50" t="s">
        <v>71</v>
      </c>
      <c r="AE3" s="50" t="s">
        <v>50</v>
      </c>
      <c r="AF3" s="50" t="s">
        <v>66</v>
      </c>
      <c r="AG3" s="50" t="s">
        <v>74</v>
      </c>
      <c r="AH3" s="50" t="s">
        <v>75</v>
      </c>
    </row>
    <row r="4">
      <c r="A4" s="52" t="s">
        <v>76</v>
      </c>
      <c r="B4" s="53" t="s">
        <v>81</v>
      </c>
      <c r="C4" s="56">
        <v>0.0</v>
      </c>
      <c r="D4" s="56">
        <v>0.0</v>
      </c>
      <c r="E4" s="56">
        <v>0.0</v>
      </c>
      <c r="F4" s="59" t="s">
        <v>81</v>
      </c>
      <c r="G4" s="60">
        <v>15.0</v>
      </c>
      <c r="H4" s="56">
        <v>0.0</v>
      </c>
      <c r="I4" s="56">
        <v>0.0</v>
      </c>
      <c r="J4" s="59" t="s">
        <v>93</v>
      </c>
      <c r="K4" s="56">
        <v>0.0</v>
      </c>
      <c r="L4" s="56">
        <v>0.0</v>
      </c>
      <c r="M4" s="56">
        <v>0.0</v>
      </c>
      <c r="N4" s="59" t="s">
        <v>93</v>
      </c>
      <c r="O4" s="62" t="s">
        <v>94</v>
      </c>
      <c r="P4" s="62">
        <v>0.0</v>
      </c>
      <c r="Q4" s="62">
        <v>0.0</v>
      </c>
      <c r="R4" s="66">
        <v>0.0</v>
      </c>
      <c r="S4" s="68" t="s">
        <v>100</v>
      </c>
      <c r="T4" s="71" t="s">
        <v>102</v>
      </c>
      <c r="U4" s="73" t="s">
        <v>105</v>
      </c>
      <c r="V4" s="74"/>
      <c r="W4" s="74"/>
      <c r="X4" s="71" t="s">
        <v>108</v>
      </c>
      <c r="Y4" s="75"/>
      <c r="Z4" s="75"/>
      <c r="AA4" s="75"/>
      <c r="AB4" s="75"/>
      <c r="AC4" s="75"/>
      <c r="AD4" s="79">
        <v>1048.0</v>
      </c>
      <c r="AE4" s="79">
        <v>1026.0</v>
      </c>
      <c r="AF4" s="79">
        <v>1021.0</v>
      </c>
      <c r="AG4" s="79">
        <v>1063.0</v>
      </c>
      <c r="AH4" s="79">
        <v>1060.0</v>
      </c>
      <c r="AI4" s="26" t="s">
        <v>109</v>
      </c>
    </row>
    <row r="5">
      <c r="A5" s="52" t="s">
        <v>110</v>
      </c>
      <c r="B5" s="53">
        <v>871.0</v>
      </c>
      <c r="C5" s="56">
        <v>0.0</v>
      </c>
      <c r="D5" s="56">
        <v>0.0</v>
      </c>
      <c r="E5" s="56">
        <v>0.0</v>
      </c>
      <c r="F5" s="53">
        <f t="shared" ref="F5:F13" si="1">B5+C5-D5+E5</f>
        <v>871</v>
      </c>
      <c r="G5" s="84">
        <v>50.0</v>
      </c>
      <c r="H5" s="88">
        <v>163.0</v>
      </c>
      <c r="I5" s="84">
        <v>119.0</v>
      </c>
      <c r="J5" s="88">
        <f t="shared" ref="J5:J13" si="2">F5+G5-H5+I5</f>
        <v>877</v>
      </c>
      <c r="K5" s="88">
        <v>430.0</v>
      </c>
      <c r="L5" s="88">
        <v>163.0</v>
      </c>
      <c r="M5" s="88">
        <v>113.0</v>
      </c>
      <c r="N5" s="88">
        <f t="shared" ref="N5:N13" si="3">J5+K5-L5+M5</f>
        <v>1257</v>
      </c>
      <c r="O5" s="56">
        <v>250.0</v>
      </c>
      <c r="P5" s="56">
        <v>608.0</v>
      </c>
      <c r="Q5" s="56">
        <v>493.0</v>
      </c>
      <c r="R5" s="93">
        <v>130.0</v>
      </c>
      <c r="S5" s="96">
        <v>1262.0</v>
      </c>
      <c r="T5" s="73">
        <v>49.0</v>
      </c>
      <c r="U5" s="74"/>
      <c r="V5" s="74"/>
      <c r="W5" s="74"/>
      <c r="X5" s="74">
        <f t="shared" ref="X5:X13" si="4">S5+T5-U5+V5-W5</f>
        <v>1311</v>
      </c>
      <c r="Y5" s="75"/>
      <c r="Z5" s="75"/>
      <c r="AA5" s="75"/>
      <c r="AB5" s="75"/>
      <c r="AC5" s="75"/>
      <c r="AD5" s="100">
        <v>18.0</v>
      </c>
      <c r="AE5" s="100">
        <v>34.0</v>
      </c>
      <c r="AF5" s="100">
        <v>4.0</v>
      </c>
      <c r="AG5" s="100">
        <v>25.0</v>
      </c>
      <c r="AH5" s="100">
        <v>19.0</v>
      </c>
      <c r="AI5" s="26" t="s">
        <v>140</v>
      </c>
    </row>
    <row r="6">
      <c r="A6" s="52" t="s">
        <v>141</v>
      </c>
      <c r="B6" s="88">
        <v>100.0</v>
      </c>
      <c r="C6" s="56">
        <v>0.0</v>
      </c>
      <c r="D6" s="88">
        <v>4.0</v>
      </c>
      <c r="E6" s="56">
        <v>0.0</v>
      </c>
      <c r="F6" s="53">
        <f t="shared" si="1"/>
        <v>96</v>
      </c>
      <c r="G6" s="56">
        <v>0.0</v>
      </c>
      <c r="H6" s="56">
        <v>0.0</v>
      </c>
      <c r="I6" s="56">
        <v>0.0</v>
      </c>
      <c r="J6" s="88">
        <f t="shared" si="2"/>
        <v>96</v>
      </c>
      <c r="K6" s="56">
        <v>0.0</v>
      </c>
      <c r="L6" s="88">
        <v>3.0</v>
      </c>
      <c r="M6" s="56">
        <v>0.0</v>
      </c>
      <c r="N6" s="88">
        <f t="shared" si="3"/>
        <v>93</v>
      </c>
      <c r="O6" s="56">
        <v>0.0</v>
      </c>
      <c r="P6" s="56">
        <v>0.0</v>
      </c>
      <c r="Q6" s="56">
        <v>4.0</v>
      </c>
      <c r="R6" s="93">
        <v>0.0</v>
      </c>
      <c r="S6" s="105">
        <f t="shared" ref="S6:S13" si="5">N6+O6-P6+Q6-R6</f>
        <v>97</v>
      </c>
      <c r="T6" s="74"/>
      <c r="U6" s="73">
        <v>4.0</v>
      </c>
      <c r="V6" s="73">
        <v>1.0</v>
      </c>
      <c r="W6" s="74"/>
      <c r="X6" s="107">
        <f t="shared" si="4"/>
        <v>94</v>
      </c>
      <c r="Y6" s="109">
        <f>'SO JUN26'!S4</f>
        <v>94</v>
      </c>
      <c r="Z6" s="75">
        <f>'SO MAR26'!S4</f>
        <v>89</v>
      </c>
      <c r="AA6" s="75">
        <f>'SO DES25'!S4</f>
        <v>100</v>
      </c>
      <c r="AB6" s="75">
        <f t="shared" ref="AB6:AB13" si="6">Y6-X6</f>
        <v>0</v>
      </c>
      <c r="AC6" s="100"/>
      <c r="AD6" s="26">
        <f>S8+S6</f>
        <v>1200</v>
      </c>
      <c r="AE6" s="26">
        <v>1153.0</v>
      </c>
      <c r="AF6" s="26">
        <v>1073.0</v>
      </c>
      <c r="AG6" s="26">
        <v>1144.0</v>
      </c>
      <c r="AH6" s="26">
        <v>1041.0</v>
      </c>
    </row>
    <row r="7">
      <c r="A7" s="52" t="s">
        <v>165</v>
      </c>
      <c r="B7" s="88">
        <v>987.0</v>
      </c>
      <c r="C7" s="56">
        <v>0.0</v>
      </c>
      <c r="D7" s="88">
        <v>95.0</v>
      </c>
      <c r="E7" s="56">
        <v>0.0</v>
      </c>
      <c r="F7" s="53">
        <f t="shared" si="1"/>
        <v>892</v>
      </c>
      <c r="G7" s="56">
        <v>0.0</v>
      </c>
      <c r="H7" s="88">
        <v>1.0</v>
      </c>
      <c r="I7" s="56">
        <v>0.0</v>
      </c>
      <c r="J7" s="88">
        <f t="shared" si="2"/>
        <v>891</v>
      </c>
      <c r="K7" s="88">
        <v>150.0</v>
      </c>
      <c r="L7" s="56">
        <v>0.0</v>
      </c>
      <c r="M7" s="56">
        <v>0.0</v>
      </c>
      <c r="N7" s="88">
        <f t="shared" si="3"/>
        <v>1041</v>
      </c>
      <c r="O7" s="56">
        <f t="shared" ref="O7:O8" si="8">50+50</f>
        <v>100</v>
      </c>
      <c r="P7" s="56">
        <v>45.0</v>
      </c>
      <c r="Q7" s="56">
        <v>0.0</v>
      </c>
      <c r="R7" s="93">
        <v>0.0</v>
      </c>
      <c r="S7" s="105">
        <f t="shared" si="5"/>
        <v>1096</v>
      </c>
      <c r="T7" s="73">
        <f t="shared" ref="T7:T8" si="9">50+50+25+50</f>
        <v>175</v>
      </c>
      <c r="U7" s="73"/>
      <c r="V7" s="74"/>
      <c r="W7" s="74"/>
      <c r="X7" s="74">
        <f t="shared" si="4"/>
        <v>1271</v>
      </c>
      <c r="Y7" s="109">
        <f>'SO JUN26'!S8</f>
        <v>1176</v>
      </c>
      <c r="Z7" s="75">
        <f>'SO MAR26'!S8</f>
        <v>1125</v>
      </c>
      <c r="AA7" s="75">
        <f>'SO DES25'!S8</f>
        <v>1096</v>
      </c>
      <c r="AB7" s="75">
        <f t="shared" si="6"/>
        <v>-95</v>
      </c>
      <c r="AC7" s="100"/>
      <c r="AD7" s="63">
        <f t="shared" ref="AD7:AG7" si="7">AD6+AD5-AD4</f>
        <v>170</v>
      </c>
      <c r="AE7" s="63">
        <f t="shared" si="7"/>
        <v>161</v>
      </c>
      <c r="AF7" s="63">
        <f t="shared" si="7"/>
        <v>56</v>
      </c>
      <c r="AG7" s="63">
        <f t="shared" si="7"/>
        <v>106</v>
      </c>
      <c r="AH7" s="119">
        <f>AH4+AH5-AH6</f>
        <v>38</v>
      </c>
    </row>
    <row r="8">
      <c r="A8" s="52" t="s">
        <v>181</v>
      </c>
      <c r="B8" s="88">
        <v>1137.0</v>
      </c>
      <c r="C8" s="56">
        <v>0.0</v>
      </c>
      <c r="D8" s="88">
        <v>235.0</v>
      </c>
      <c r="E8" s="56">
        <v>0.0</v>
      </c>
      <c r="F8" s="53">
        <f t="shared" si="1"/>
        <v>902</v>
      </c>
      <c r="G8" s="56">
        <v>0.0</v>
      </c>
      <c r="H8" s="88">
        <v>138.0</v>
      </c>
      <c r="I8" s="88">
        <v>74.0</v>
      </c>
      <c r="J8" s="88">
        <f t="shared" si="2"/>
        <v>838</v>
      </c>
      <c r="K8" s="88">
        <v>150.0</v>
      </c>
      <c r="L8" s="88">
        <v>43.0</v>
      </c>
      <c r="M8" s="88">
        <v>134.0</v>
      </c>
      <c r="N8" s="88">
        <f t="shared" si="3"/>
        <v>1079</v>
      </c>
      <c r="O8" s="56">
        <f t="shared" si="8"/>
        <v>100</v>
      </c>
      <c r="P8" s="56">
        <f>18+26+27</f>
        <v>71</v>
      </c>
      <c r="Q8" s="56">
        <v>202.0</v>
      </c>
      <c r="R8" s="93">
        <v>207.0</v>
      </c>
      <c r="S8" s="105">
        <f t="shared" si="5"/>
        <v>1103</v>
      </c>
      <c r="T8" s="73">
        <f t="shared" si="9"/>
        <v>175</v>
      </c>
      <c r="U8" s="73"/>
      <c r="V8" s="74"/>
      <c r="W8" s="74"/>
      <c r="X8" s="74">
        <f t="shared" si="4"/>
        <v>1278</v>
      </c>
      <c r="Y8" s="109">
        <f>'SO JUN26'!S2+'SO JUN26'!S3</f>
        <v>1202</v>
      </c>
      <c r="Z8" s="75">
        <f>'SO MAR26'!S3+'SO MAR26'!S2</f>
        <v>1143</v>
      </c>
      <c r="AA8" s="75">
        <f>'SO DES25'!S3+'SO DES25'!S2</f>
        <v>1103</v>
      </c>
      <c r="AB8" s="75">
        <f t="shared" si="6"/>
        <v>-76</v>
      </c>
      <c r="AC8" s="100"/>
      <c r="AH8" s="26" t="s">
        <v>190</v>
      </c>
    </row>
    <row r="9">
      <c r="A9" s="52" t="s">
        <v>50</v>
      </c>
      <c r="B9" s="88">
        <v>1030.0</v>
      </c>
      <c r="C9" s="56">
        <v>0.0</v>
      </c>
      <c r="D9" s="88">
        <v>69.0</v>
      </c>
      <c r="E9" s="56">
        <v>0.0</v>
      </c>
      <c r="F9" s="53">
        <f t="shared" si="1"/>
        <v>961</v>
      </c>
      <c r="G9" s="88">
        <v>160.0</v>
      </c>
      <c r="H9" s="88">
        <v>236.0</v>
      </c>
      <c r="I9" s="56">
        <v>0.0</v>
      </c>
      <c r="J9" s="88">
        <f t="shared" si="2"/>
        <v>885</v>
      </c>
      <c r="K9" s="88">
        <v>225.0</v>
      </c>
      <c r="L9" s="88">
        <v>22.0</v>
      </c>
      <c r="M9" s="88">
        <v>15.0</v>
      </c>
      <c r="N9" s="88">
        <f t="shared" si="3"/>
        <v>1103</v>
      </c>
      <c r="O9" s="56">
        <f>50+50+50</f>
        <v>150</v>
      </c>
      <c r="P9" s="56">
        <v>0.0</v>
      </c>
      <c r="Q9" s="56">
        <v>96.0</v>
      </c>
      <c r="R9" s="93">
        <v>221.0</v>
      </c>
      <c r="S9" s="105">
        <f t="shared" si="5"/>
        <v>1128</v>
      </c>
      <c r="T9" s="73">
        <f>50+50+50+25+25+50</f>
        <v>250</v>
      </c>
      <c r="U9" s="73"/>
      <c r="V9" s="74"/>
      <c r="W9" s="74"/>
      <c r="X9" s="74">
        <f t="shared" si="4"/>
        <v>1378</v>
      </c>
      <c r="Y9" s="109">
        <f>'SO JUN26'!S5</f>
        <v>1204</v>
      </c>
      <c r="Z9" s="75">
        <f>'SO MAR26'!S5</f>
        <v>1180</v>
      </c>
      <c r="AA9" s="75">
        <f>'SO DES25'!S5</f>
        <v>1128</v>
      </c>
      <c r="AB9" s="75">
        <f t="shared" si="6"/>
        <v>-174</v>
      </c>
      <c r="AC9" s="100"/>
    </row>
    <row r="10">
      <c r="A10" s="52" t="s">
        <v>74</v>
      </c>
      <c r="B10" s="88">
        <v>1205.0</v>
      </c>
      <c r="C10" s="56">
        <v>0.0</v>
      </c>
      <c r="D10" s="88">
        <v>198.0</v>
      </c>
      <c r="E10" s="56">
        <v>0.0</v>
      </c>
      <c r="F10" s="53">
        <f t="shared" si="1"/>
        <v>1007</v>
      </c>
      <c r="G10" s="88">
        <v>158.0</v>
      </c>
      <c r="H10" s="88">
        <v>92.0</v>
      </c>
      <c r="I10" s="56">
        <v>0.0</v>
      </c>
      <c r="J10" s="88">
        <f t="shared" si="2"/>
        <v>1073</v>
      </c>
      <c r="K10" s="88">
        <v>200.0</v>
      </c>
      <c r="L10" s="88">
        <v>144.0</v>
      </c>
      <c r="M10" s="56">
        <v>0.0</v>
      </c>
      <c r="N10" s="88">
        <f t="shared" si="3"/>
        <v>1129</v>
      </c>
      <c r="O10" s="56">
        <f>15+60+50</f>
        <v>125</v>
      </c>
      <c r="P10" s="56">
        <v>0.0</v>
      </c>
      <c r="Q10" s="56">
        <v>141.0</v>
      </c>
      <c r="R10" s="93">
        <v>245.0</v>
      </c>
      <c r="S10" s="105">
        <f t="shared" si="5"/>
        <v>1150</v>
      </c>
      <c r="T10" s="73">
        <f>50+50+50+25+25</f>
        <v>200</v>
      </c>
      <c r="U10" s="73"/>
      <c r="V10" s="74"/>
      <c r="W10" s="74"/>
      <c r="X10" s="74">
        <f t="shared" si="4"/>
        <v>1350</v>
      </c>
      <c r="Y10" s="109">
        <f>'SO JUN26'!S7</f>
        <v>1246</v>
      </c>
      <c r="Z10" s="75">
        <f>'SO MAR26'!S7</f>
        <v>1218</v>
      </c>
      <c r="AA10" s="75">
        <f>'SO DES25'!S7</f>
        <v>1150</v>
      </c>
      <c r="AB10" s="75">
        <f t="shared" si="6"/>
        <v>-104</v>
      </c>
      <c r="AC10" s="100"/>
    </row>
    <row r="11">
      <c r="A11" s="52" t="s">
        <v>66</v>
      </c>
      <c r="B11" s="88">
        <v>995.0</v>
      </c>
      <c r="C11" s="56">
        <v>0.0</v>
      </c>
      <c r="D11" s="88">
        <v>75.0</v>
      </c>
      <c r="E11" s="56">
        <v>0.0</v>
      </c>
      <c r="F11" s="53">
        <f t="shared" si="1"/>
        <v>920</v>
      </c>
      <c r="G11" s="56">
        <v>0.0</v>
      </c>
      <c r="H11" s="88">
        <v>54.0</v>
      </c>
      <c r="I11" s="88">
        <v>2.0</v>
      </c>
      <c r="J11" s="88">
        <f t="shared" si="2"/>
        <v>868</v>
      </c>
      <c r="K11" s="88">
        <v>155.0</v>
      </c>
      <c r="L11" s="56">
        <v>0.0</v>
      </c>
      <c r="M11" s="56">
        <v>0.0</v>
      </c>
      <c r="N11" s="88">
        <f t="shared" si="3"/>
        <v>1023</v>
      </c>
      <c r="O11" s="56">
        <v>85.0</v>
      </c>
      <c r="P11" s="56">
        <v>44.0</v>
      </c>
      <c r="Q11" s="56">
        <v>0.0</v>
      </c>
      <c r="R11" s="93">
        <v>0.0</v>
      </c>
      <c r="S11" s="105">
        <f t="shared" si="5"/>
        <v>1064</v>
      </c>
      <c r="T11" s="73">
        <f>50+25+30+50</f>
        <v>155</v>
      </c>
      <c r="U11" s="73"/>
      <c r="V11" s="74"/>
      <c r="W11" s="74"/>
      <c r="X11" s="74">
        <f t="shared" si="4"/>
        <v>1219</v>
      </c>
      <c r="Y11" s="109">
        <f>'SO JUN26'!S6</f>
        <v>1114</v>
      </c>
      <c r="Z11" s="75">
        <f>'SO MAR26'!S6</f>
        <v>1100</v>
      </c>
      <c r="AA11" s="75">
        <f>'SO DES25'!S6</f>
        <v>1064</v>
      </c>
      <c r="AB11" s="75">
        <f t="shared" si="6"/>
        <v>-105</v>
      </c>
      <c r="AC11" s="100"/>
      <c r="AE11" s="4" t="s">
        <v>194</v>
      </c>
      <c r="AF11" s="4" t="s">
        <v>195</v>
      </c>
      <c r="AG11" s="4" t="s">
        <v>60</v>
      </c>
      <c r="AH11" s="136" t="s">
        <v>196</v>
      </c>
    </row>
    <row r="12">
      <c r="A12" s="52" t="s">
        <v>197</v>
      </c>
      <c r="B12" s="88">
        <v>3.0</v>
      </c>
      <c r="C12" s="56">
        <v>0.0</v>
      </c>
      <c r="D12" s="56">
        <v>0.0</v>
      </c>
      <c r="E12" s="56">
        <v>0.0</v>
      </c>
      <c r="F12" s="53">
        <f t="shared" si="1"/>
        <v>3</v>
      </c>
      <c r="G12" s="88">
        <v>2.0</v>
      </c>
      <c r="H12" s="88">
        <v>1.0</v>
      </c>
      <c r="I12" s="56">
        <v>0.0</v>
      </c>
      <c r="J12" s="88">
        <f t="shared" si="2"/>
        <v>4</v>
      </c>
      <c r="K12" s="88">
        <v>1.0</v>
      </c>
      <c r="L12" s="56">
        <v>0.0</v>
      </c>
      <c r="M12" s="56">
        <v>0.0</v>
      </c>
      <c r="N12" s="88">
        <f t="shared" si="3"/>
        <v>5</v>
      </c>
      <c r="O12" s="56">
        <v>0.0</v>
      </c>
      <c r="P12" s="56">
        <v>0.0</v>
      </c>
      <c r="Q12" s="56">
        <v>0.0</v>
      </c>
      <c r="R12" s="93">
        <v>0.0</v>
      </c>
      <c r="S12" s="105">
        <f t="shared" si="5"/>
        <v>5</v>
      </c>
      <c r="T12" s="73">
        <v>1.0</v>
      </c>
      <c r="U12" s="73"/>
      <c r="V12" s="73"/>
      <c r="W12" s="73"/>
      <c r="X12" s="74">
        <f t="shared" si="4"/>
        <v>6</v>
      </c>
      <c r="Y12" s="137">
        <v>5.0</v>
      </c>
      <c r="Z12" s="100">
        <v>5.0</v>
      </c>
      <c r="AA12" s="100">
        <v>5.0</v>
      </c>
      <c r="AB12" s="75">
        <f t="shared" si="6"/>
        <v>-1</v>
      </c>
      <c r="AC12" s="100"/>
      <c r="AD12" s="138" t="s">
        <v>71</v>
      </c>
      <c r="AE12" s="139">
        <v>1036.0</v>
      </c>
      <c r="AF12" s="139">
        <v>1129.0</v>
      </c>
      <c r="AG12" s="140">
        <f t="shared" ref="AG12:AG18" si="10">AF12+AH12-AE12</f>
        <v>93</v>
      </c>
      <c r="AI12" s="26">
        <f>1036-13</f>
        <v>1023</v>
      </c>
    </row>
    <row r="13">
      <c r="A13" s="52" t="s">
        <v>198</v>
      </c>
      <c r="B13" s="115">
        <v>66.0</v>
      </c>
      <c r="C13" s="56">
        <v>0.0</v>
      </c>
      <c r="D13" s="56">
        <v>0.0</v>
      </c>
      <c r="E13" s="56">
        <v>0.0</v>
      </c>
      <c r="F13" s="53">
        <f t="shared" si="1"/>
        <v>66</v>
      </c>
      <c r="G13" s="115">
        <v>2.0</v>
      </c>
      <c r="H13" s="56">
        <v>0.0</v>
      </c>
      <c r="I13" s="56">
        <v>0.0</v>
      </c>
      <c r="J13" s="88">
        <f t="shared" si="2"/>
        <v>68</v>
      </c>
      <c r="K13" s="115">
        <v>11.0</v>
      </c>
      <c r="L13" s="56">
        <v>17.0</v>
      </c>
      <c r="M13" s="56">
        <v>0.0</v>
      </c>
      <c r="N13" s="88">
        <f t="shared" si="3"/>
        <v>62</v>
      </c>
      <c r="O13" s="56">
        <v>0.0</v>
      </c>
      <c r="P13" s="141">
        <v>37.0</v>
      </c>
      <c r="Q13" s="141">
        <v>0.0</v>
      </c>
      <c r="R13" s="142">
        <v>0.0</v>
      </c>
      <c r="S13" s="144">
        <f t="shared" si="5"/>
        <v>25</v>
      </c>
      <c r="T13" s="74"/>
      <c r="U13" s="74"/>
      <c r="V13" s="73">
        <v>1.0</v>
      </c>
      <c r="W13" s="74"/>
      <c r="X13" s="74">
        <f t="shared" si="4"/>
        <v>26</v>
      </c>
      <c r="Y13" s="109">
        <f>'SO JUN26'!S9</f>
        <v>25</v>
      </c>
      <c r="Z13" s="75">
        <f>'SO MAR26'!S9</f>
        <v>26</v>
      </c>
      <c r="AA13" s="75">
        <f>'SO DES25'!S9</f>
        <v>24</v>
      </c>
      <c r="AB13" s="75">
        <f t="shared" si="6"/>
        <v>-1</v>
      </c>
      <c r="AC13" s="100"/>
      <c r="AD13" s="138" t="s">
        <v>50</v>
      </c>
      <c r="AE13" s="139">
        <v>1106.0</v>
      </c>
      <c r="AF13" s="139">
        <v>1203.0</v>
      </c>
      <c r="AG13" s="140">
        <f t="shared" si="10"/>
        <v>97</v>
      </c>
    </row>
    <row r="14">
      <c r="AD14" s="138" t="s">
        <v>66</v>
      </c>
      <c r="AE14" s="149">
        <v>1083.0</v>
      </c>
      <c r="AF14" s="149">
        <v>1073.0</v>
      </c>
      <c r="AG14" s="150">
        <f t="shared" si="10"/>
        <v>-10</v>
      </c>
    </row>
    <row r="15">
      <c r="Q15" s="75"/>
      <c r="AD15" s="138" t="s">
        <v>74</v>
      </c>
      <c r="AE15" s="139">
        <v>1128.0</v>
      </c>
      <c r="AF15" s="140">
        <v>1204.0</v>
      </c>
      <c r="AG15" s="140">
        <f t="shared" si="10"/>
        <v>76</v>
      </c>
    </row>
    <row r="16">
      <c r="N16" s="100"/>
      <c r="O16" s="100"/>
      <c r="P16" s="100"/>
      <c r="AD16" s="138" t="s">
        <v>75</v>
      </c>
      <c r="AE16" s="139">
        <v>1036.0</v>
      </c>
      <c r="AF16" s="140">
        <v>1091.0</v>
      </c>
      <c r="AG16" s="140">
        <f t="shared" si="10"/>
        <v>55</v>
      </c>
      <c r="AI16" s="63">
        <f>1036-16</f>
        <v>1020</v>
      </c>
    </row>
    <row r="17">
      <c r="G17" s="63">
        <f>198+92+144</f>
        <v>434</v>
      </c>
      <c r="H17" s="26">
        <v>245.0</v>
      </c>
      <c r="I17" s="63">
        <f>G17-H17</f>
        <v>189</v>
      </c>
      <c r="N17" s="152"/>
      <c r="O17" s="100" t="s">
        <v>210</v>
      </c>
      <c r="P17" s="100">
        <v>32.0</v>
      </c>
      <c r="AD17" s="138" t="s">
        <v>211</v>
      </c>
      <c r="AE17" s="139">
        <v>96.0</v>
      </c>
      <c r="AF17" s="140">
        <v>93.0</v>
      </c>
      <c r="AG17" s="140">
        <f t="shared" si="10"/>
        <v>1127</v>
      </c>
      <c r="AH17" s="63">
        <f>94+1036</f>
        <v>1130</v>
      </c>
    </row>
    <row r="18">
      <c r="N18" s="152"/>
      <c r="O18" s="100" t="s">
        <v>212</v>
      </c>
      <c r="P18" s="100">
        <v>3.0</v>
      </c>
      <c r="AD18" s="138" t="s">
        <v>198</v>
      </c>
      <c r="AE18" s="139">
        <v>29.0</v>
      </c>
      <c r="AF18" s="140">
        <v>79.0</v>
      </c>
      <c r="AG18" s="140">
        <f t="shared" si="10"/>
        <v>50</v>
      </c>
    </row>
    <row r="19">
      <c r="N19" s="152"/>
      <c r="O19" s="100"/>
      <c r="P19" s="63">
        <f>1062-1096</f>
        <v>-34</v>
      </c>
    </row>
    <row r="20">
      <c r="N20" s="152"/>
      <c r="O20" s="100"/>
      <c r="P20" s="100"/>
      <c r="AB20" s="26"/>
      <c r="AC20" s="26"/>
      <c r="AD20" s="26" t="s">
        <v>214</v>
      </c>
      <c r="AE20" s="26">
        <v>987.0</v>
      </c>
      <c r="AF20" s="26">
        <v>85.0</v>
      </c>
      <c r="AG20" s="63">
        <f>AE20+AF20</f>
        <v>1072</v>
      </c>
      <c r="AJ20" s="26">
        <v>22.0</v>
      </c>
    </row>
    <row r="21">
      <c r="P21" s="63">
        <f>54-17</f>
        <v>37</v>
      </c>
      <c r="AG21" s="26" t="s">
        <v>216</v>
      </c>
      <c r="AH21" s="63">
        <f>991+97</f>
        <v>1088</v>
      </c>
      <c r="AJ21" s="26">
        <v>16.0</v>
      </c>
    </row>
    <row r="22"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AD22" s="63">
        <v>1091.0</v>
      </c>
      <c r="AE22" s="63">
        <v>1072.0</v>
      </c>
      <c r="AF22" s="63">
        <f t="shared" ref="AF22:AF23" si="11">AD22-AE22+97</f>
        <v>116</v>
      </c>
      <c r="AH22" s="63">
        <f>1072+16</f>
        <v>1088</v>
      </c>
      <c r="AI22" s="63">
        <f>AH21+50</f>
        <v>1138</v>
      </c>
      <c r="AJ22" s="26">
        <v>13.0</v>
      </c>
    </row>
    <row r="23"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AD23" s="63">
        <v>1129.0</v>
      </c>
      <c r="AE23" s="63">
        <f>1072+16</f>
        <v>1088</v>
      </c>
      <c r="AF23" s="119">
        <f t="shared" si="11"/>
        <v>138</v>
      </c>
      <c r="AG23" s="63">
        <f>AD23-AH23</f>
        <v>37</v>
      </c>
      <c r="AH23" s="63">
        <f>AH22+11+3-10</f>
        <v>1092</v>
      </c>
    </row>
    <row r="24">
      <c r="J24" s="159"/>
      <c r="K24" s="159"/>
      <c r="L24" s="165"/>
      <c r="M24" s="165"/>
      <c r="N24" s="166"/>
      <c r="O24" s="165"/>
      <c r="P24" s="165"/>
      <c r="Q24" s="167"/>
      <c r="R24" s="159"/>
      <c r="S24" s="159"/>
      <c r="AD24" s="63">
        <v>1203.0</v>
      </c>
      <c r="AE24" s="63">
        <v>1072.0</v>
      </c>
      <c r="AF24" s="63">
        <f t="shared" ref="AF24:AF26" si="12">AD24-AE24</f>
        <v>131</v>
      </c>
    </row>
    <row r="25">
      <c r="J25" s="159"/>
      <c r="K25" s="159"/>
      <c r="L25" s="165"/>
      <c r="M25" s="165"/>
      <c r="N25" s="166"/>
      <c r="O25" s="165"/>
      <c r="P25" s="165"/>
      <c r="Q25" s="167"/>
      <c r="R25" s="159"/>
      <c r="S25" s="159"/>
      <c r="AD25" s="63">
        <v>1204.0</v>
      </c>
      <c r="AE25" s="63">
        <v>1072.0</v>
      </c>
      <c r="AF25" s="63">
        <f t="shared" si="12"/>
        <v>132</v>
      </c>
      <c r="AH25" s="63">
        <f>138-17-10</f>
        <v>111</v>
      </c>
    </row>
    <row r="26">
      <c r="J26" s="159"/>
      <c r="K26" s="159"/>
      <c r="L26" s="165"/>
      <c r="M26" s="165"/>
      <c r="N26" s="166"/>
      <c r="O26" s="165"/>
      <c r="P26" s="165"/>
      <c r="Q26" s="167"/>
      <c r="R26" s="159"/>
      <c r="S26" s="159"/>
      <c r="AD26" s="63">
        <v>1073.0</v>
      </c>
      <c r="AE26" s="63">
        <v>1072.0</v>
      </c>
      <c r="AF26" s="63">
        <f t="shared" si="12"/>
        <v>1</v>
      </c>
    </row>
    <row r="27">
      <c r="J27" s="159"/>
      <c r="K27" s="159"/>
      <c r="L27" s="165"/>
      <c r="M27" s="165"/>
      <c r="N27" s="159"/>
      <c r="O27" s="165"/>
      <c r="P27" s="165"/>
      <c r="Q27" s="167"/>
      <c r="R27" s="159"/>
      <c r="S27" s="159"/>
    </row>
    <row r="28">
      <c r="J28" s="159"/>
      <c r="K28" s="159"/>
      <c r="L28" s="165"/>
      <c r="M28" s="165"/>
      <c r="N28" s="159"/>
      <c r="O28" s="165"/>
      <c r="P28" s="165"/>
      <c r="Q28" s="168"/>
      <c r="R28" s="159"/>
      <c r="S28" s="159"/>
      <c r="AI28" s="26">
        <v>1069.0</v>
      </c>
    </row>
    <row r="29"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AD29" s="169" t="s">
        <v>213</v>
      </c>
      <c r="AE29" s="75"/>
      <c r="AF29" s="75"/>
      <c r="AI29" s="26">
        <v>13.0</v>
      </c>
    </row>
    <row r="30">
      <c r="T30" s="170"/>
      <c r="U30" s="170"/>
      <c r="V30" s="170"/>
      <c r="W30" s="170"/>
      <c r="X30" s="170"/>
      <c r="Y30" s="170"/>
      <c r="Z30" s="170"/>
      <c r="AA30" s="170"/>
      <c r="AB30" s="170"/>
      <c r="AC30" s="170" t="s">
        <v>219</v>
      </c>
      <c r="AD30" s="100">
        <v>42.0</v>
      </c>
      <c r="AE30" s="100">
        <v>14.0</v>
      </c>
      <c r="AF30" s="100" t="s">
        <v>220</v>
      </c>
      <c r="AI30" s="63">
        <f>AI28+AI29</f>
        <v>1082</v>
      </c>
    </row>
    <row r="31">
      <c r="T31" s="170"/>
      <c r="U31" s="170"/>
      <c r="V31" s="170"/>
      <c r="W31" s="170"/>
      <c r="X31" s="170"/>
      <c r="Y31" s="170"/>
      <c r="Z31" s="170"/>
      <c r="AA31" s="170"/>
      <c r="AB31" s="170"/>
      <c r="AC31" s="170" t="s">
        <v>221</v>
      </c>
      <c r="AD31" s="75">
        <f>N8-N7</f>
        <v>38</v>
      </c>
      <c r="AE31" s="137">
        <v>12.0</v>
      </c>
      <c r="AF31" s="137" t="s">
        <v>222</v>
      </c>
    </row>
    <row r="32">
      <c r="AE32" s="100">
        <v>3.0</v>
      </c>
      <c r="AF32" s="26" t="s">
        <v>223</v>
      </c>
    </row>
    <row r="33">
      <c r="AE33" s="100">
        <f>AD30-AE31-AE30-AE32</f>
        <v>13</v>
      </c>
      <c r="AF33" s="171" t="s">
        <v>224</v>
      </c>
    </row>
    <row r="35">
      <c r="AD35" s="172" t="s">
        <v>225</v>
      </c>
    </row>
    <row r="36">
      <c r="AD36" s="100" t="s">
        <v>226</v>
      </c>
      <c r="AE36" s="100" t="s">
        <v>227</v>
      </c>
      <c r="AF36" s="100" t="s">
        <v>228</v>
      </c>
      <c r="AH36" s="169" t="s">
        <v>229</v>
      </c>
    </row>
    <row r="37">
      <c r="AD37" s="152">
        <v>45915.0</v>
      </c>
      <c r="AE37" s="100" t="s">
        <v>230</v>
      </c>
      <c r="AF37" s="100">
        <v>152.0</v>
      </c>
      <c r="AH37" s="100" t="s">
        <v>230</v>
      </c>
      <c r="AI37" s="63">
        <f t="shared" ref="AI37:AI42" si="13">SUMIF($AE$37:$AE$40,AH37,$AF$37:$AF$40)</f>
        <v>207</v>
      </c>
    </row>
    <row r="38">
      <c r="AD38" s="152">
        <v>45915.0</v>
      </c>
      <c r="AE38" s="100" t="s">
        <v>202</v>
      </c>
      <c r="AF38" s="100">
        <v>245.0</v>
      </c>
      <c r="AH38" s="100" t="s">
        <v>202</v>
      </c>
      <c r="AI38" s="63">
        <f t="shared" si="13"/>
        <v>245</v>
      </c>
    </row>
    <row r="39">
      <c r="AD39" s="152">
        <v>45916.0</v>
      </c>
      <c r="AE39" s="100" t="s">
        <v>230</v>
      </c>
      <c r="AF39" s="100">
        <v>55.0</v>
      </c>
      <c r="AH39" s="100" t="s">
        <v>200</v>
      </c>
      <c r="AI39" s="63">
        <f t="shared" si="13"/>
        <v>221</v>
      </c>
    </row>
    <row r="40">
      <c r="AD40" s="152">
        <v>45916.0</v>
      </c>
      <c r="AE40" s="100" t="s">
        <v>200</v>
      </c>
      <c r="AF40" s="100">
        <v>221.0</v>
      </c>
      <c r="AH40" s="75"/>
      <c r="AI40" s="63">
        <f t="shared" si="13"/>
        <v>0</v>
      </c>
    </row>
    <row r="41">
      <c r="AI41" s="63">
        <f t="shared" si="13"/>
        <v>0</v>
      </c>
    </row>
    <row r="42">
      <c r="AI42" s="63">
        <f t="shared" si="13"/>
        <v>0</v>
      </c>
    </row>
  </sheetData>
  <mergeCells count="6">
    <mergeCell ref="A1:B2"/>
    <mergeCell ref="C1:F2"/>
    <mergeCell ref="G1:J2"/>
    <mergeCell ref="K1:N2"/>
    <mergeCell ref="O1:S2"/>
    <mergeCell ref="T1:X2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0.13"/>
    <col customWidth="1" min="3" max="3" width="15.25"/>
    <col customWidth="1" min="4" max="4" width="26.75"/>
    <col customWidth="1" min="5" max="5" width="37.38"/>
    <col customWidth="1" min="6" max="6" width="25.63"/>
    <col customWidth="1" min="7" max="7" width="15.25"/>
    <col customWidth="1" min="8" max="8" width="31.5"/>
    <col customWidth="1" min="9" max="9" width="27.75"/>
    <col customWidth="1" min="10" max="28" width="7.63"/>
  </cols>
  <sheetData>
    <row r="1">
      <c r="A1" s="1" t="s">
        <v>0</v>
      </c>
      <c r="B1" s="2"/>
      <c r="C1" s="2"/>
      <c r="D1" s="2"/>
      <c r="E1" s="2"/>
      <c r="F1" s="2"/>
      <c r="G1" s="5"/>
    </row>
    <row r="2">
      <c r="A2" s="6"/>
      <c r="G2" s="7"/>
    </row>
    <row r="3">
      <c r="A3" s="10"/>
      <c r="B3" s="11"/>
      <c r="C3" s="11"/>
      <c r="D3" s="11"/>
      <c r="E3" s="11"/>
      <c r="F3" s="11"/>
      <c r="G3" s="15"/>
    </row>
    <row r="4">
      <c r="A4" s="16" t="s">
        <v>6</v>
      </c>
      <c r="B4" s="20" t="s">
        <v>18</v>
      </c>
      <c r="C4" s="20" t="s">
        <v>22</v>
      </c>
      <c r="D4" s="16" t="s">
        <v>23</v>
      </c>
      <c r="E4" s="20" t="s">
        <v>24</v>
      </c>
      <c r="F4" s="20" t="s">
        <v>25</v>
      </c>
      <c r="G4" s="16" t="s">
        <v>10</v>
      </c>
      <c r="H4" s="25" t="s">
        <v>26</v>
      </c>
      <c r="I4" s="27" t="s">
        <v>28</v>
      </c>
    </row>
    <row r="5">
      <c r="A5" s="28">
        <v>1.0</v>
      </c>
      <c r="B5" s="29" t="s">
        <v>29</v>
      </c>
      <c r="C5" s="32"/>
      <c r="D5" s="28" t="s">
        <v>32</v>
      </c>
      <c r="E5" s="28" t="s">
        <v>33</v>
      </c>
      <c r="F5" s="28" t="s">
        <v>34</v>
      </c>
      <c r="G5" s="35">
        <v>1.0</v>
      </c>
      <c r="H5" s="36"/>
      <c r="I5" s="36"/>
    </row>
    <row r="6">
      <c r="A6" s="39">
        <f t="shared" ref="A6:A48" si="1">A5+1</f>
        <v>2</v>
      </c>
      <c r="B6" s="29" t="s">
        <v>46</v>
      </c>
      <c r="C6" s="32"/>
      <c r="D6" s="28" t="s">
        <v>47</v>
      </c>
      <c r="E6" s="28" t="s">
        <v>48</v>
      </c>
      <c r="F6" s="28" t="s">
        <v>49</v>
      </c>
      <c r="G6" s="35">
        <v>1.0</v>
      </c>
      <c r="H6" s="36"/>
      <c r="I6" s="36"/>
    </row>
    <row r="7">
      <c r="A7" s="39">
        <f t="shared" si="1"/>
        <v>3</v>
      </c>
      <c r="B7" s="29" t="s">
        <v>51</v>
      </c>
      <c r="C7" s="32"/>
      <c r="D7" s="28" t="s">
        <v>52</v>
      </c>
      <c r="E7" s="29" t="s">
        <v>53</v>
      </c>
      <c r="F7" s="28" t="s">
        <v>54</v>
      </c>
      <c r="G7" s="35">
        <v>1.0</v>
      </c>
      <c r="H7" s="36"/>
      <c r="I7" s="36"/>
    </row>
    <row r="8">
      <c r="A8" s="39">
        <f t="shared" si="1"/>
        <v>4</v>
      </c>
      <c r="B8" s="39" t="s">
        <v>55</v>
      </c>
      <c r="C8" s="36"/>
      <c r="D8" s="43" t="s">
        <v>57</v>
      </c>
      <c r="E8" s="29" t="s">
        <v>61</v>
      </c>
      <c r="F8" s="28" t="s">
        <v>62</v>
      </c>
      <c r="G8" s="35">
        <v>1.0</v>
      </c>
      <c r="H8" s="36"/>
      <c r="I8" s="36"/>
    </row>
    <row r="9">
      <c r="A9" s="39">
        <f t="shared" si="1"/>
        <v>5</v>
      </c>
      <c r="B9" s="39" t="s">
        <v>63</v>
      </c>
      <c r="C9" s="36"/>
      <c r="D9" s="43" t="s">
        <v>57</v>
      </c>
      <c r="E9" s="29" t="s">
        <v>61</v>
      </c>
      <c r="F9" s="28" t="s">
        <v>64</v>
      </c>
      <c r="G9" s="35">
        <v>1.0</v>
      </c>
      <c r="H9" s="36"/>
      <c r="I9" s="36"/>
    </row>
    <row r="10">
      <c r="A10" s="39">
        <f t="shared" si="1"/>
        <v>6</v>
      </c>
      <c r="B10" s="46" t="s">
        <v>65</v>
      </c>
      <c r="C10" s="47"/>
      <c r="D10" s="49" t="s">
        <v>57</v>
      </c>
      <c r="E10" s="46" t="s">
        <v>61</v>
      </c>
      <c r="F10" s="49" t="s">
        <v>72</v>
      </c>
      <c r="G10" s="51">
        <v>1.0</v>
      </c>
      <c r="H10" s="54" t="s">
        <v>78</v>
      </c>
      <c r="I10" s="54">
        <v>45869.0</v>
      </c>
    </row>
    <row r="11">
      <c r="A11" s="39">
        <f t="shared" si="1"/>
        <v>7</v>
      </c>
      <c r="B11" s="55"/>
      <c r="C11" s="55"/>
      <c r="D11" s="57"/>
      <c r="E11" s="58" t="s">
        <v>61</v>
      </c>
      <c r="F11" s="61" t="s">
        <v>90</v>
      </c>
      <c r="G11" s="64">
        <v>0.0</v>
      </c>
      <c r="H11" s="65" t="s">
        <v>95</v>
      </c>
      <c r="I11" s="65">
        <v>45869.0</v>
      </c>
    </row>
    <row r="12">
      <c r="A12" s="39">
        <f t="shared" si="1"/>
        <v>8</v>
      </c>
      <c r="B12" s="29" t="s">
        <v>96</v>
      </c>
      <c r="C12" s="32"/>
      <c r="D12" s="29" t="s">
        <v>97</v>
      </c>
      <c r="E12" s="29" t="s">
        <v>98</v>
      </c>
      <c r="F12" s="28" t="s">
        <v>99</v>
      </c>
      <c r="G12" s="35">
        <v>1.0</v>
      </c>
      <c r="H12" s="36"/>
      <c r="I12" s="36"/>
    </row>
    <row r="13">
      <c r="A13" s="39">
        <f t="shared" si="1"/>
        <v>9</v>
      </c>
      <c r="B13" s="70"/>
      <c r="C13" s="70"/>
      <c r="D13" s="70"/>
      <c r="E13" s="72" t="s">
        <v>104</v>
      </c>
      <c r="F13" s="76" t="s">
        <v>107</v>
      </c>
      <c r="G13" s="80">
        <v>0.0</v>
      </c>
      <c r="H13" s="36"/>
      <c r="I13" s="36"/>
    </row>
    <row r="14">
      <c r="A14" s="39">
        <f t="shared" si="1"/>
        <v>10</v>
      </c>
      <c r="B14" s="82" t="s">
        <v>111</v>
      </c>
      <c r="C14" s="85"/>
      <c r="D14" s="89" t="s">
        <v>57</v>
      </c>
      <c r="E14" s="82" t="s">
        <v>112</v>
      </c>
      <c r="F14" s="89" t="s">
        <v>113</v>
      </c>
      <c r="G14" s="90">
        <v>0.0</v>
      </c>
      <c r="H14" s="90" t="s">
        <v>127</v>
      </c>
      <c r="I14" s="92">
        <v>46185.0</v>
      </c>
    </row>
    <row r="15">
      <c r="A15" s="39">
        <f t="shared" si="1"/>
        <v>11</v>
      </c>
      <c r="B15" s="39" t="s">
        <v>114</v>
      </c>
      <c r="C15" s="36"/>
      <c r="D15" s="39" t="s">
        <v>57</v>
      </c>
      <c r="E15" s="29" t="s">
        <v>115</v>
      </c>
      <c r="F15" s="28" t="s">
        <v>116</v>
      </c>
      <c r="G15" s="94">
        <v>2.0</v>
      </c>
      <c r="H15" s="97" t="s">
        <v>139</v>
      </c>
      <c r="I15" s="36"/>
    </row>
    <row r="16">
      <c r="A16" s="39">
        <f t="shared" si="1"/>
        <v>12</v>
      </c>
      <c r="B16" s="39" t="s">
        <v>117</v>
      </c>
      <c r="C16" s="36"/>
      <c r="D16" s="43" t="s">
        <v>57</v>
      </c>
      <c r="E16" s="29" t="s">
        <v>118</v>
      </c>
      <c r="F16" s="28" t="s">
        <v>119</v>
      </c>
      <c r="G16" s="35">
        <v>1.0</v>
      </c>
      <c r="H16" s="86"/>
      <c r="I16" s="86"/>
    </row>
    <row r="17">
      <c r="A17" s="39">
        <f t="shared" si="1"/>
        <v>13</v>
      </c>
      <c r="B17" s="39" t="s">
        <v>121</v>
      </c>
      <c r="C17" s="36"/>
      <c r="D17" s="43" t="s">
        <v>57</v>
      </c>
      <c r="E17" s="29" t="s">
        <v>118</v>
      </c>
      <c r="F17" s="28" t="s">
        <v>122</v>
      </c>
      <c r="G17" s="35">
        <v>1.0</v>
      </c>
      <c r="H17" s="86"/>
      <c r="I17" s="86"/>
    </row>
    <row r="18">
      <c r="A18" s="39">
        <f t="shared" si="1"/>
        <v>14</v>
      </c>
      <c r="B18" s="39" t="s">
        <v>123</v>
      </c>
      <c r="C18" s="36"/>
      <c r="D18" s="43" t="s">
        <v>57</v>
      </c>
      <c r="E18" s="28" t="s">
        <v>124</v>
      </c>
      <c r="F18" s="28" t="s">
        <v>125</v>
      </c>
      <c r="G18" s="35">
        <v>1.0</v>
      </c>
      <c r="H18" s="86"/>
      <c r="I18" s="86"/>
    </row>
    <row r="19">
      <c r="A19" s="39">
        <f t="shared" si="1"/>
        <v>15</v>
      </c>
      <c r="B19" s="28" t="s">
        <v>126</v>
      </c>
      <c r="C19" s="91"/>
      <c r="D19" s="28" t="s">
        <v>128</v>
      </c>
      <c r="E19" s="28" t="s">
        <v>129</v>
      </c>
      <c r="F19" s="28" t="s">
        <v>130</v>
      </c>
      <c r="G19" s="35">
        <v>1.0</v>
      </c>
      <c r="H19" s="86"/>
      <c r="I19" s="86"/>
    </row>
    <row r="20">
      <c r="A20" s="39">
        <f t="shared" si="1"/>
        <v>16</v>
      </c>
      <c r="B20" s="28" t="s">
        <v>131</v>
      </c>
      <c r="C20" s="91"/>
      <c r="D20" s="28" t="s">
        <v>132</v>
      </c>
      <c r="E20" s="28" t="s">
        <v>129</v>
      </c>
      <c r="F20" s="28" t="s">
        <v>133</v>
      </c>
      <c r="G20" s="35">
        <v>1.0</v>
      </c>
      <c r="H20" s="86"/>
      <c r="I20" s="86"/>
    </row>
    <row r="21">
      <c r="A21" s="39">
        <f t="shared" si="1"/>
        <v>17</v>
      </c>
      <c r="B21" s="28" t="s">
        <v>134</v>
      </c>
      <c r="C21" s="91"/>
      <c r="D21" s="28" t="s">
        <v>135</v>
      </c>
      <c r="E21" s="28" t="s">
        <v>136</v>
      </c>
      <c r="F21" s="28" t="s">
        <v>137</v>
      </c>
      <c r="G21" s="35">
        <v>1.0</v>
      </c>
      <c r="H21" s="86"/>
      <c r="I21" s="86"/>
    </row>
    <row r="22">
      <c r="A22" s="39">
        <f t="shared" si="1"/>
        <v>18</v>
      </c>
      <c r="B22" s="90" t="s">
        <v>138</v>
      </c>
      <c r="C22" s="103"/>
      <c r="D22" s="89" t="s">
        <v>132</v>
      </c>
      <c r="E22" s="89" t="s">
        <v>142</v>
      </c>
      <c r="F22" s="89" t="s">
        <v>143</v>
      </c>
      <c r="G22" s="90">
        <v>0.0</v>
      </c>
      <c r="H22" s="90" t="s">
        <v>149</v>
      </c>
      <c r="I22" s="92">
        <v>46179.0</v>
      </c>
    </row>
    <row r="23">
      <c r="A23" s="39">
        <f t="shared" si="1"/>
        <v>19</v>
      </c>
      <c r="B23" s="57"/>
      <c r="C23" s="57"/>
      <c r="D23" s="57"/>
      <c r="E23" s="58" t="s">
        <v>144</v>
      </c>
      <c r="F23" s="61" t="s">
        <v>145</v>
      </c>
      <c r="G23" s="64">
        <v>0.0</v>
      </c>
      <c r="H23" s="65" t="s">
        <v>95</v>
      </c>
      <c r="I23" s="65">
        <v>45966.0</v>
      </c>
    </row>
    <row r="24">
      <c r="A24" s="39">
        <f t="shared" si="1"/>
        <v>20</v>
      </c>
      <c r="B24" s="28" t="s">
        <v>146</v>
      </c>
      <c r="C24" s="91"/>
      <c r="D24" s="28" t="s">
        <v>132</v>
      </c>
      <c r="E24" s="29" t="s">
        <v>144</v>
      </c>
      <c r="F24" s="28" t="s">
        <v>148</v>
      </c>
      <c r="G24" s="35">
        <v>1.0</v>
      </c>
      <c r="H24" s="86"/>
      <c r="I24" s="86"/>
    </row>
    <row r="25">
      <c r="A25" s="39">
        <f t="shared" si="1"/>
        <v>21</v>
      </c>
      <c r="B25" s="49" t="s">
        <v>150</v>
      </c>
      <c r="C25" s="104"/>
      <c r="D25" s="49" t="s">
        <v>132</v>
      </c>
      <c r="E25" s="46" t="s">
        <v>144</v>
      </c>
      <c r="F25" s="49" t="s">
        <v>152</v>
      </c>
      <c r="G25" s="49">
        <v>1.0</v>
      </c>
      <c r="H25" s="54" t="s">
        <v>153</v>
      </c>
      <c r="I25" s="54">
        <v>45966.0</v>
      </c>
    </row>
    <row r="26">
      <c r="A26" s="39">
        <f t="shared" si="1"/>
        <v>22</v>
      </c>
      <c r="B26" s="97" t="s">
        <v>154</v>
      </c>
      <c r="C26" s="106"/>
      <c r="D26" s="43" t="s">
        <v>132</v>
      </c>
      <c r="E26" s="39" t="s">
        <v>144</v>
      </c>
      <c r="F26" s="43" t="s">
        <v>152</v>
      </c>
      <c r="G26" s="94">
        <v>1.0</v>
      </c>
      <c r="H26" s="86"/>
      <c r="I26" s="86"/>
    </row>
    <row r="27">
      <c r="A27" s="39">
        <f t="shared" si="1"/>
        <v>23</v>
      </c>
      <c r="B27" s="28" t="s">
        <v>155</v>
      </c>
      <c r="C27" s="91"/>
      <c r="D27" s="28" t="s">
        <v>132</v>
      </c>
      <c r="E27" s="28" t="s">
        <v>144</v>
      </c>
      <c r="F27" s="28" t="s">
        <v>156</v>
      </c>
      <c r="G27" s="35">
        <v>1.0</v>
      </c>
      <c r="H27" s="86"/>
      <c r="I27" s="86"/>
    </row>
    <row r="28">
      <c r="A28" s="39">
        <f t="shared" si="1"/>
        <v>24</v>
      </c>
      <c r="B28" s="28" t="s">
        <v>157</v>
      </c>
      <c r="C28" s="91"/>
      <c r="D28" s="28" t="s">
        <v>132</v>
      </c>
      <c r="E28" s="28" t="s">
        <v>158</v>
      </c>
      <c r="F28" s="28" t="s">
        <v>159</v>
      </c>
      <c r="G28" s="35">
        <v>1.0</v>
      </c>
      <c r="H28" s="86"/>
      <c r="I28" s="86"/>
    </row>
    <row r="29">
      <c r="A29" s="39">
        <f t="shared" si="1"/>
        <v>25</v>
      </c>
      <c r="B29" s="91"/>
      <c r="C29" s="91"/>
      <c r="D29" s="110" t="s">
        <v>160</v>
      </c>
      <c r="E29" s="110" t="s">
        <v>161</v>
      </c>
      <c r="F29" s="110" t="s">
        <v>162</v>
      </c>
      <c r="G29" s="35">
        <v>0.0</v>
      </c>
      <c r="H29" s="86"/>
      <c r="I29" s="86"/>
    </row>
    <row r="30">
      <c r="A30" s="39">
        <f t="shared" si="1"/>
        <v>26</v>
      </c>
      <c r="B30" s="28"/>
      <c r="C30" s="91"/>
      <c r="D30" s="110" t="s">
        <v>160</v>
      </c>
      <c r="E30" s="110" t="s">
        <v>161</v>
      </c>
      <c r="F30" s="110" t="s">
        <v>164</v>
      </c>
      <c r="G30" s="95">
        <v>0.0</v>
      </c>
      <c r="H30" s="86"/>
      <c r="I30" s="86"/>
    </row>
    <row r="31">
      <c r="A31" s="39">
        <f t="shared" si="1"/>
        <v>27</v>
      </c>
      <c r="B31" s="112"/>
      <c r="C31" s="112"/>
      <c r="D31" s="113" t="s">
        <v>160</v>
      </c>
      <c r="E31" s="113" t="s">
        <v>161</v>
      </c>
      <c r="F31" s="113" t="s">
        <v>166</v>
      </c>
      <c r="G31" s="111">
        <v>1.0</v>
      </c>
      <c r="H31" s="86"/>
      <c r="I31" s="86"/>
    </row>
    <row r="32">
      <c r="A32" s="39">
        <f t="shared" si="1"/>
        <v>28</v>
      </c>
      <c r="B32" s="28"/>
      <c r="C32" s="91"/>
      <c r="D32" s="110" t="s">
        <v>160</v>
      </c>
      <c r="E32" s="110" t="s">
        <v>161</v>
      </c>
      <c r="F32" s="110" t="s">
        <v>167</v>
      </c>
      <c r="G32" s="95">
        <v>0.0</v>
      </c>
      <c r="H32" s="86"/>
      <c r="I32" s="86"/>
    </row>
    <row r="33">
      <c r="A33" s="39">
        <f t="shared" si="1"/>
        <v>29</v>
      </c>
      <c r="B33" s="91"/>
      <c r="C33" s="91"/>
      <c r="D33" s="110" t="s">
        <v>160</v>
      </c>
      <c r="E33" s="110" t="s">
        <v>161</v>
      </c>
      <c r="F33" s="110" t="s">
        <v>169</v>
      </c>
      <c r="G33" s="35">
        <v>0.0</v>
      </c>
      <c r="H33" s="86"/>
      <c r="I33" s="86"/>
    </row>
    <row r="34">
      <c r="A34" s="39">
        <f t="shared" si="1"/>
        <v>30</v>
      </c>
      <c r="B34" s="91"/>
      <c r="C34" s="91"/>
      <c r="D34" s="110" t="s">
        <v>160</v>
      </c>
      <c r="E34" s="110" t="s">
        <v>161</v>
      </c>
      <c r="F34" s="110" t="s">
        <v>170</v>
      </c>
      <c r="G34" s="35">
        <v>0.0</v>
      </c>
      <c r="H34" s="86"/>
      <c r="I34" s="86"/>
    </row>
    <row r="35">
      <c r="A35" s="39">
        <f t="shared" si="1"/>
        <v>31</v>
      </c>
      <c r="B35" s="32"/>
      <c r="C35" s="91"/>
      <c r="D35" s="110" t="s">
        <v>132</v>
      </c>
      <c r="E35" s="110" t="s">
        <v>161</v>
      </c>
      <c r="F35" s="110" t="s">
        <v>171</v>
      </c>
      <c r="G35" s="35">
        <v>0.0</v>
      </c>
      <c r="H35" s="86"/>
      <c r="I35" s="86"/>
    </row>
    <row r="36">
      <c r="A36" s="39">
        <f t="shared" si="1"/>
        <v>32</v>
      </c>
      <c r="B36" s="28" t="s">
        <v>168</v>
      </c>
      <c r="C36" s="32"/>
      <c r="D36" s="43" t="s">
        <v>160</v>
      </c>
      <c r="E36" s="43" t="s">
        <v>161</v>
      </c>
      <c r="F36" s="43" t="s">
        <v>172</v>
      </c>
      <c r="G36" s="94">
        <v>1.0</v>
      </c>
      <c r="H36" s="86"/>
      <c r="I36" s="86"/>
    </row>
    <row r="37">
      <c r="A37" s="39">
        <f t="shared" si="1"/>
        <v>33</v>
      </c>
      <c r="B37" s="39" t="s">
        <v>173</v>
      </c>
      <c r="C37" s="36"/>
      <c r="D37" s="39" t="s">
        <v>57</v>
      </c>
      <c r="E37" s="39" t="s">
        <v>174</v>
      </c>
      <c r="F37" s="39" t="s">
        <v>174</v>
      </c>
      <c r="G37" s="115">
        <v>1.0</v>
      </c>
      <c r="H37" s="117" t="s">
        <v>176</v>
      </c>
      <c r="I37" s="86"/>
    </row>
    <row r="38">
      <c r="A38" s="39">
        <f t="shared" si="1"/>
        <v>34</v>
      </c>
      <c r="B38" s="97" t="s">
        <v>178</v>
      </c>
      <c r="C38" s="106"/>
      <c r="D38" s="94" t="s">
        <v>179</v>
      </c>
      <c r="E38" s="39" t="s">
        <v>174</v>
      </c>
      <c r="F38" s="39" t="s">
        <v>174</v>
      </c>
      <c r="G38" s="97">
        <v>1.0</v>
      </c>
      <c r="H38" s="117" t="s">
        <v>176</v>
      </c>
      <c r="I38" s="86"/>
    </row>
    <row r="39">
      <c r="A39" s="39">
        <f t="shared" si="1"/>
        <v>35</v>
      </c>
      <c r="B39" s="28" t="s">
        <v>163</v>
      </c>
      <c r="C39" s="32"/>
      <c r="D39" s="28" t="s">
        <v>160</v>
      </c>
      <c r="E39" s="39" t="s">
        <v>174</v>
      </c>
      <c r="F39" s="39" t="s">
        <v>174</v>
      </c>
      <c r="G39" s="94">
        <v>1.0</v>
      </c>
      <c r="H39" s="117" t="s">
        <v>180</v>
      </c>
      <c r="I39" s="86"/>
    </row>
    <row r="40">
      <c r="A40" s="39">
        <f t="shared" si="1"/>
        <v>36</v>
      </c>
      <c r="B40" s="116"/>
      <c r="C40" s="116"/>
      <c r="D40" s="118" t="s">
        <v>177</v>
      </c>
      <c r="E40" s="118" t="s">
        <v>174</v>
      </c>
      <c r="F40" s="118" t="s">
        <v>174</v>
      </c>
      <c r="G40" s="121">
        <v>31.0</v>
      </c>
      <c r="H40" s="117" t="s">
        <v>183</v>
      </c>
      <c r="I40" s="86"/>
    </row>
    <row r="41">
      <c r="A41" s="39">
        <f t="shared" si="1"/>
        <v>37</v>
      </c>
      <c r="B41" s="123"/>
      <c r="C41" s="124"/>
      <c r="D41" s="118" t="s">
        <v>177</v>
      </c>
      <c r="E41" s="121" t="s">
        <v>184</v>
      </c>
      <c r="F41" s="121" t="s">
        <v>184</v>
      </c>
      <c r="G41" s="121">
        <v>3.0</v>
      </c>
      <c r="H41" s="117" t="s">
        <v>183</v>
      </c>
      <c r="I41" s="86"/>
    </row>
    <row r="42">
      <c r="A42" s="39">
        <f t="shared" si="1"/>
        <v>38</v>
      </c>
      <c r="B42" s="124"/>
      <c r="C42" s="124"/>
      <c r="D42" s="124"/>
      <c r="E42" s="121" t="s">
        <v>185</v>
      </c>
      <c r="F42" s="121" t="s">
        <v>185</v>
      </c>
      <c r="G42" s="121">
        <v>1.0</v>
      </c>
      <c r="H42" s="126" t="s">
        <v>186</v>
      </c>
      <c r="I42" s="86"/>
    </row>
    <row r="43">
      <c r="A43" s="39">
        <f t="shared" si="1"/>
        <v>39</v>
      </c>
      <c r="B43" s="124"/>
      <c r="C43" s="124"/>
      <c r="D43" s="124"/>
      <c r="E43" s="121" t="s">
        <v>188</v>
      </c>
      <c r="F43" s="121" t="s">
        <v>188</v>
      </c>
      <c r="G43" s="121">
        <v>1.0</v>
      </c>
      <c r="H43" s="117" t="s">
        <v>189</v>
      </c>
      <c r="I43" s="86"/>
    </row>
    <row r="44">
      <c r="A44" s="39">
        <f t="shared" si="1"/>
        <v>40</v>
      </c>
      <c r="B44" s="70"/>
      <c r="C44" s="70"/>
      <c r="D44" s="127" t="s">
        <v>177</v>
      </c>
      <c r="E44" s="70"/>
      <c r="F44" s="70"/>
      <c r="G44" s="128">
        <v>17.0</v>
      </c>
      <c r="H44" s="129" t="s">
        <v>192</v>
      </c>
      <c r="I44" s="86"/>
    </row>
    <row r="45">
      <c r="A45" s="39">
        <f t="shared" si="1"/>
        <v>41</v>
      </c>
      <c r="B45" s="39" t="s">
        <v>111</v>
      </c>
      <c r="C45" s="36"/>
      <c r="D45" s="43" t="s">
        <v>57</v>
      </c>
      <c r="E45" s="39" t="s">
        <v>174</v>
      </c>
      <c r="F45" s="39" t="s">
        <v>174</v>
      </c>
      <c r="G45" s="115">
        <v>1.0</v>
      </c>
      <c r="H45" s="117" t="s">
        <v>176</v>
      </c>
      <c r="I45" s="86"/>
    </row>
    <row r="46">
      <c r="A46" s="39">
        <f t="shared" si="1"/>
        <v>42</v>
      </c>
      <c r="B46" s="32"/>
      <c r="C46" s="32"/>
      <c r="D46" s="32"/>
      <c r="E46" s="32"/>
      <c r="F46" s="32"/>
      <c r="G46" s="130"/>
      <c r="H46" s="86"/>
      <c r="I46" s="86"/>
    </row>
    <row r="47">
      <c r="A47" s="39">
        <f t="shared" si="1"/>
        <v>43</v>
      </c>
      <c r="B47" s="130"/>
      <c r="C47" s="130"/>
      <c r="D47" s="130"/>
      <c r="E47" s="130"/>
      <c r="F47" s="130"/>
      <c r="G47" s="130"/>
      <c r="H47" s="86"/>
      <c r="I47" s="86"/>
    </row>
    <row r="48">
      <c r="A48" s="39">
        <f t="shared" si="1"/>
        <v>44</v>
      </c>
      <c r="B48" s="130"/>
      <c r="C48" s="130"/>
      <c r="D48" s="130"/>
      <c r="E48" s="130"/>
      <c r="F48" s="130"/>
      <c r="G48" s="130"/>
      <c r="H48" s="86"/>
      <c r="I48" s="86"/>
    </row>
    <row r="49">
      <c r="A49" s="131"/>
      <c r="B49" s="131"/>
      <c r="C49" s="131"/>
      <c r="D49" s="131"/>
      <c r="E49" s="131"/>
      <c r="F49" s="131"/>
      <c r="G49" s="132">
        <f>SUM(G2:G48)</f>
        <v>79</v>
      </c>
      <c r="H49" s="133"/>
      <c r="I49" s="131"/>
    </row>
    <row r="50">
      <c r="G50" s="4">
        <v>79.0</v>
      </c>
    </row>
    <row r="51">
      <c r="G51" s="134">
        <f>G49-G50</f>
        <v>0</v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autoFilter ref="$A$4:$I$52"/>
  <mergeCells count="1">
    <mergeCell ref="A1:G3"/>
  </mergeCells>
  <printOptions/>
  <pageMargins bottom="0.75" footer="0.0" header="0.0" left="0.7" right="0.7" top="0.75"/>
  <pageSetup fitToWidth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0.13"/>
    <col customWidth="1" min="3" max="3" width="15.25"/>
    <col customWidth="1" min="4" max="4" width="26.75"/>
    <col customWidth="1" min="5" max="5" width="37.38"/>
    <col customWidth="1" min="6" max="6" width="25.63"/>
    <col customWidth="1" min="7" max="7" width="15.25"/>
    <col customWidth="1" min="8" max="8" width="31.5"/>
    <col customWidth="1" min="9" max="9" width="27.75"/>
    <col customWidth="1" min="10" max="28" width="7.63"/>
  </cols>
  <sheetData>
    <row r="1">
      <c r="A1" s="1" t="s">
        <v>3</v>
      </c>
      <c r="B1" s="2"/>
      <c r="C1" s="2"/>
      <c r="D1" s="2"/>
      <c r="E1" s="2"/>
      <c r="F1" s="2"/>
      <c r="G1" s="5"/>
    </row>
    <row r="2">
      <c r="A2" s="6"/>
      <c r="G2" s="7"/>
    </row>
    <row r="3">
      <c r="A3" s="10"/>
      <c r="B3" s="11"/>
      <c r="C3" s="11"/>
      <c r="D3" s="11"/>
      <c r="E3" s="11"/>
      <c r="F3" s="11"/>
      <c r="G3" s="15"/>
    </row>
    <row r="4">
      <c r="A4" s="16" t="s">
        <v>6</v>
      </c>
      <c r="B4" s="20" t="s">
        <v>18</v>
      </c>
      <c r="C4" s="20" t="s">
        <v>22</v>
      </c>
      <c r="D4" s="16" t="s">
        <v>23</v>
      </c>
      <c r="E4" s="20" t="s">
        <v>24</v>
      </c>
      <c r="F4" s="20" t="s">
        <v>25</v>
      </c>
      <c r="G4" s="16" t="s">
        <v>10</v>
      </c>
      <c r="H4" s="25" t="s">
        <v>26</v>
      </c>
      <c r="I4" s="27" t="s">
        <v>28</v>
      </c>
    </row>
    <row r="5">
      <c r="A5" s="28">
        <v>1.0</v>
      </c>
      <c r="B5" s="29" t="s">
        <v>29</v>
      </c>
      <c r="C5" s="32"/>
      <c r="D5" s="28" t="s">
        <v>32</v>
      </c>
      <c r="E5" s="28" t="s">
        <v>33</v>
      </c>
      <c r="F5" s="28" t="s">
        <v>34</v>
      </c>
      <c r="G5" s="35">
        <v>1.0</v>
      </c>
      <c r="H5" s="36"/>
      <c r="I5" s="36"/>
    </row>
    <row r="6">
      <c r="A6" s="39">
        <f t="shared" ref="A6:A47" si="1">A5+1</f>
        <v>2</v>
      </c>
      <c r="B6" s="29" t="s">
        <v>46</v>
      </c>
      <c r="C6" s="32"/>
      <c r="D6" s="28" t="s">
        <v>47</v>
      </c>
      <c r="E6" s="28" t="s">
        <v>48</v>
      </c>
      <c r="F6" s="28" t="s">
        <v>49</v>
      </c>
      <c r="G6" s="35">
        <v>1.0</v>
      </c>
      <c r="H6" s="36"/>
      <c r="I6" s="36"/>
    </row>
    <row r="7">
      <c r="A7" s="39">
        <f t="shared" si="1"/>
        <v>3</v>
      </c>
      <c r="B7" s="29" t="s">
        <v>51</v>
      </c>
      <c r="C7" s="32"/>
      <c r="D7" s="28" t="s">
        <v>52</v>
      </c>
      <c r="E7" s="29" t="s">
        <v>53</v>
      </c>
      <c r="F7" s="28" t="s">
        <v>54</v>
      </c>
      <c r="G7" s="35">
        <v>1.0</v>
      </c>
      <c r="H7" s="36"/>
      <c r="I7" s="36"/>
    </row>
    <row r="8">
      <c r="A8" s="39">
        <f t="shared" si="1"/>
        <v>4</v>
      </c>
      <c r="B8" s="39" t="s">
        <v>55</v>
      </c>
      <c r="C8" s="36"/>
      <c r="D8" s="43" t="s">
        <v>57</v>
      </c>
      <c r="E8" s="29" t="s">
        <v>61</v>
      </c>
      <c r="F8" s="28" t="s">
        <v>62</v>
      </c>
      <c r="G8" s="35">
        <v>1.0</v>
      </c>
      <c r="H8" s="36"/>
      <c r="I8" s="36"/>
    </row>
    <row r="9">
      <c r="A9" s="39">
        <f t="shared" si="1"/>
        <v>5</v>
      </c>
      <c r="B9" s="39" t="s">
        <v>63</v>
      </c>
      <c r="C9" s="36"/>
      <c r="D9" s="43" t="s">
        <v>57</v>
      </c>
      <c r="E9" s="29" t="s">
        <v>61</v>
      </c>
      <c r="F9" s="28" t="s">
        <v>64</v>
      </c>
      <c r="G9" s="35">
        <v>1.0</v>
      </c>
      <c r="H9" s="36"/>
      <c r="I9" s="36"/>
    </row>
    <row r="10">
      <c r="A10" s="39">
        <f t="shared" si="1"/>
        <v>6</v>
      </c>
      <c r="B10" s="46" t="s">
        <v>65</v>
      </c>
      <c r="C10" s="47"/>
      <c r="D10" s="49" t="s">
        <v>57</v>
      </c>
      <c r="E10" s="46" t="s">
        <v>61</v>
      </c>
      <c r="F10" s="49" t="s">
        <v>72</v>
      </c>
      <c r="G10" s="51">
        <v>1.0</v>
      </c>
      <c r="H10" s="54" t="s">
        <v>78</v>
      </c>
      <c r="I10" s="54">
        <v>45869.0</v>
      </c>
    </row>
    <row r="11">
      <c r="A11" s="39">
        <f t="shared" si="1"/>
        <v>7</v>
      </c>
      <c r="B11" s="55"/>
      <c r="C11" s="55"/>
      <c r="D11" s="57"/>
      <c r="E11" s="58" t="s">
        <v>61</v>
      </c>
      <c r="F11" s="61" t="s">
        <v>90</v>
      </c>
      <c r="G11" s="64">
        <v>0.0</v>
      </c>
      <c r="H11" s="65" t="s">
        <v>95</v>
      </c>
      <c r="I11" s="65">
        <v>45869.0</v>
      </c>
    </row>
    <row r="12">
      <c r="A12" s="39">
        <f t="shared" si="1"/>
        <v>8</v>
      </c>
      <c r="B12" s="29" t="s">
        <v>96</v>
      </c>
      <c r="C12" s="32"/>
      <c r="D12" s="29" t="s">
        <v>97</v>
      </c>
      <c r="E12" s="29" t="s">
        <v>98</v>
      </c>
      <c r="F12" s="28" t="s">
        <v>99</v>
      </c>
      <c r="G12" s="35">
        <v>1.0</v>
      </c>
      <c r="H12" s="36"/>
      <c r="I12" s="36"/>
    </row>
    <row r="13">
      <c r="A13" s="39">
        <f t="shared" si="1"/>
        <v>9</v>
      </c>
      <c r="B13" s="70"/>
      <c r="C13" s="70"/>
      <c r="D13" s="70"/>
      <c r="E13" s="72" t="s">
        <v>104</v>
      </c>
      <c r="F13" s="76" t="s">
        <v>107</v>
      </c>
      <c r="G13" s="80">
        <v>0.0</v>
      </c>
      <c r="H13" s="36"/>
      <c r="I13" s="36"/>
    </row>
    <row r="14">
      <c r="A14" s="39">
        <f t="shared" si="1"/>
        <v>10</v>
      </c>
      <c r="B14" s="39" t="s">
        <v>111</v>
      </c>
      <c r="C14" s="36"/>
      <c r="D14" s="43" t="s">
        <v>57</v>
      </c>
      <c r="E14" s="29" t="s">
        <v>112</v>
      </c>
      <c r="F14" s="28" t="s">
        <v>113</v>
      </c>
      <c r="G14" s="35">
        <v>1.0</v>
      </c>
      <c r="H14" s="36"/>
      <c r="I14" s="36"/>
    </row>
    <row r="15">
      <c r="A15" s="39">
        <f t="shared" si="1"/>
        <v>11</v>
      </c>
      <c r="B15" s="39" t="s">
        <v>114</v>
      </c>
      <c r="C15" s="36"/>
      <c r="D15" s="39" t="s">
        <v>57</v>
      </c>
      <c r="E15" s="29" t="s">
        <v>115</v>
      </c>
      <c r="F15" s="28" t="s">
        <v>116</v>
      </c>
      <c r="G15" s="35">
        <v>1.0</v>
      </c>
      <c r="H15" s="36"/>
      <c r="I15" s="36"/>
    </row>
    <row r="16">
      <c r="A16" s="39">
        <f t="shared" si="1"/>
        <v>12</v>
      </c>
      <c r="B16" s="39" t="s">
        <v>117</v>
      </c>
      <c r="C16" s="36"/>
      <c r="D16" s="43" t="s">
        <v>57</v>
      </c>
      <c r="E16" s="29" t="s">
        <v>118</v>
      </c>
      <c r="F16" s="28" t="s">
        <v>119</v>
      </c>
      <c r="G16" s="35">
        <v>1.0</v>
      </c>
      <c r="H16" s="86"/>
      <c r="I16" s="86"/>
    </row>
    <row r="17">
      <c r="A17" s="39">
        <f t="shared" si="1"/>
        <v>13</v>
      </c>
      <c r="B17" s="39" t="s">
        <v>121</v>
      </c>
      <c r="C17" s="36"/>
      <c r="D17" s="43" t="s">
        <v>57</v>
      </c>
      <c r="E17" s="29" t="s">
        <v>118</v>
      </c>
      <c r="F17" s="28" t="s">
        <v>122</v>
      </c>
      <c r="G17" s="35">
        <v>1.0</v>
      </c>
      <c r="H17" s="86"/>
      <c r="I17" s="86"/>
    </row>
    <row r="18">
      <c r="A18" s="39">
        <f t="shared" si="1"/>
        <v>14</v>
      </c>
      <c r="B18" s="39" t="s">
        <v>123</v>
      </c>
      <c r="C18" s="36"/>
      <c r="D18" s="43" t="s">
        <v>57</v>
      </c>
      <c r="E18" s="28" t="s">
        <v>124</v>
      </c>
      <c r="F18" s="28" t="s">
        <v>125</v>
      </c>
      <c r="G18" s="35">
        <v>1.0</v>
      </c>
      <c r="H18" s="86"/>
      <c r="I18" s="86"/>
    </row>
    <row r="19">
      <c r="A19" s="39">
        <f t="shared" si="1"/>
        <v>15</v>
      </c>
      <c r="B19" s="28" t="s">
        <v>126</v>
      </c>
      <c r="C19" s="91"/>
      <c r="D19" s="28" t="s">
        <v>128</v>
      </c>
      <c r="E19" s="28" t="s">
        <v>129</v>
      </c>
      <c r="F19" s="28" t="s">
        <v>130</v>
      </c>
      <c r="G19" s="35">
        <v>1.0</v>
      </c>
      <c r="H19" s="86"/>
      <c r="I19" s="86"/>
    </row>
    <row r="20">
      <c r="A20" s="39">
        <f t="shared" si="1"/>
        <v>16</v>
      </c>
      <c r="B20" s="28" t="s">
        <v>131</v>
      </c>
      <c r="C20" s="91"/>
      <c r="D20" s="28" t="s">
        <v>132</v>
      </c>
      <c r="E20" s="28" t="s">
        <v>129</v>
      </c>
      <c r="F20" s="28" t="s">
        <v>133</v>
      </c>
      <c r="G20" s="35">
        <v>1.0</v>
      </c>
      <c r="H20" s="86"/>
      <c r="I20" s="86"/>
    </row>
    <row r="21">
      <c r="A21" s="39">
        <f t="shared" si="1"/>
        <v>17</v>
      </c>
      <c r="B21" s="28" t="s">
        <v>134</v>
      </c>
      <c r="C21" s="91"/>
      <c r="D21" s="28" t="s">
        <v>135</v>
      </c>
      <c r="E21" s="28" t="s">
        <v>136</v>
      </c>
      <c r="F21" s="28" t="s">
        <v>137</v>
      </c>
      <c r="G21" s="35">
        <v>1.0</v>
      </c>
      <c r="H21" s="86"/>
      <c r="I21" s="86"/>
    </row>
    <row r="22">
      <c r="A22" s="39">
        <f t="shared" si="1"/>
        <v>18</v>
      </c>
      <c r="B22" s="95" t="s">
        <v>138</v>
      </c>
      <c r="C22" s="98"/>
      <c r="D22" s="101" t="s">
        <v>132</v>
      </c>
      <c r="E22" s="101" t="s">
        <v>142</v>
      </c>
      <c r="F22" s="101" t="s">
        <v>143</v>
      </c>
      <c r="G22" s="95">
        <v>1.0</v>
      </c>
      <c r="H22" s="102"/>
      <c r="I22" s="102"/>
    </row>
    <row r="23">
      <c r="A23" s="39">
        <f t="shared" si="1"/>
        <v>19</v>
      </c>
      <c r="B23" s="57"/>
      <c r="C23" s="57"/>
      <c r="D23" s="57"/>
      <c r="E23" s="58" t="s">
        <v>144</v>
      </c>
      <c r="F23" s="61" t="s">
        <v>145</v>
      </c>
      <c r="G23" s="64">
        <v>0.0</v>
      </c>
      <c r="H23" s="65" t="s">
        <v>95</v>
      </c>
      <c r="I23" s="65">
        <v>45966.0</v>
      </c>
    </row>
    <row r="24">
      <c r="A24" s="39">
        <f t="shared" si="1"/>
        <v>20</v>
      </c>
      <c r="B24" s="28" t="s">
        <v>146</v>
      </c>
      <c r="C24" s="91"/>
      <c r="D24" s="28" t="s">
        <v>132</v>
      </c>
      <c r="E24" s="29" t="s">
        <v>144</v>
      </c>
      <c r="F24" s="28" t="s">
        <v>148</v>
      </c>
      <c r="G24" s="35">
        <v>1.0</v>
      </c>
      <c r="H24" s="86"/>
      <c r="I24" s="86"/>
    </row>
    <row r="25">
      <c r="A25" s="39">
        <f t="shared" si="1"/>
        <v>21</v>
      </c>
      <c r="B25" s="49" t="s">
        <v>150</v>
      </c>
      <c r="C25" s="104"/>
      <c r="D25" s="49" t="s">
        <v>132</v>
      </c>
      <c r="E25" s="46" t="s">
        <v>144</v>
      </c>
      <c r="F25" s="49" t="s">
        <v>152</v>
      </c>
      <c r="G25" s="49">
        <v>1.0</v>
      </c>
      <c r="H25" s="54" t="s">
        <v>153</v>
      </c>
      <c r="I25" s="54">
        <v>45966.0</v>
      </c>
    </row>
    <row r="26">
      <c r="A26" s="39">
        <f t="shared" si="1"/>
        <v>22</v>
      </c>
      <c r="B26" s="97" t="s">
        <v>154</v>
      </c>
      <c r="C26" s="106"/>
      <c r="D26" s="43" t="s">
        <v>132</v>
      </c>
      <c r="E26" s="39" t="s">
        <v>144</v>
      </c>
      <c r="F26" s="43" t="s">
        <v>152</v>
      </c>
      <c r="G26" s="94">
        <v>1.0</v>
      </c>
      <c r="H26" s="86"/>
      <c r="I26" s="86"/>
    </row>
    <row r="27">
      <c r="A27" s="39">
        <f t="shared" si="1"/>
        <v>23</v>
      </c>
      <c r="B27" s="28" t="s">
        <v>155</v>
      </c>
      <c r="C27" s="91"/>
      <c r="D27" s="28" t="s">
        <v>132</v>
      </c>
      <c r="E27" s="28" t="s">
        <v>144</v>
      </c>
      <c r="F27" s="28" t="s">
        <v>156</v>
      </c>
      <c r="G27" s="35">
        <v>1.0</v>
      </c>
      <c r="H27" s="86"/>
      <c r="I27" s="86"/>
    </row>
    <row r="28">
      <c r="A28" s="39">
        <f t="shared" si="1"/>
        <v>24</v>
      </c>
      <c r="B28" s="28" t="s">
        <v>157</v>
      </c>
      <c r="C28" s="91"/>
      <c r="D28" s="28" t="s">
        <v>132</v>
      </c>
      <c r="E28" s="28" t="s">
        <v>158</v>
      </c>
      <c r="F28" s="28" t="s">
        <v>159</v>
      </c>
      <c r="G28" s="35">
        <v>1.0</v>
      </c>
      <c r="H28" s="86"/>
      <c r="I28" s="86"/>
    </row>
    <row r="29">
      <c r="A29" s="39">
        <f t="shared" si="1"/>
        <v>25</v>
      </c>
      <c r="B29" s="91"/>
      <c r="C29" s="91"/>
      <c r="D29" s="110" t="s">
        <v>160</v>
      </c>
      <c r="E29" s="110" t="s">
        <v>161</v>
      </c>
      <c r="F29" s="110" t="s">
        <v>162</v>
      </c>
      <c r="G29" s="35">
        <v>0.0</v>
      </c>
      <c r="H29" s="86"/>
      <c r="I29" s="86"/>
    </row>
    <row r="30">
      <c r="A30" s="39">
        <f t="shared" si="1"/>
        <v>26</v>
      </c>
      <c r="B30" s="28" t="s">
        <v>163</v>
      </c>
      <c r="C30" s="91"/>
      <c r="D30" s="28" t="s">
        <v>160</v>
      </c>
      <c r="E30" s="28" t="s">
        <v>161</v>
      </c>
      <c r="F30" s="28" t="s">
        <v>164</v>
      </c>
      <c r="G30" s="111">
        <v>1.0</v>
      </c>
      <c r="H30" s="86"/>
      <c r="I30" s="86"/>
    </row>
    <row r="31">
      <c r="A31" s="39">
        <f t="shared" si="1"/>
        <v>27</v>
      </c>
      <c r="B31" s="112"/>
      <c r="C31" s="112"/>
      <c r="D31" s="113" t="s">
        <v>160</v>
      </c>
      <c r="E31" s="113" t="s">
        <v>161</v>
      </c>
      <c r="F31" s="113" t="s">
        <v>166</v>
      </c>
      <c r="G31" s="111">
        <v>1.0</v>
      </c>
      <c r="H31" s="86"/>
      <c r="I31" s="86"/>
    </row>
    <row r="32">
      <c r="A32" s="39">
        <f t="shared" si="1"/>
        <v>28</v>
      </c>
      <c r="B32" s="28" t="s">
        <v>168</v>
      </c>
      <c r="C32" s="91"/>
      <c r="D32" s="28" t="s">
        <v>160</v>
      </c>
      <c r="E32" s="28" t="s">
        <v>161</v>
      </c>
      <c r="F32" s="28" t="s">
        <v>167</v>
      </c>
      <c r="G32" s="111">
        <v>1.0</v>
      </c>
      <c r="H32" s="86"/>
      <c r="I32" s="86"/>
    </row>
    <row r="33">
      <c r="A33" s="39">
        <f t="shared" si="1"/>
        <v>29</v>
      </c>
      <c r="B33" s="91"/>
      <c r="C33" s="91"/>
      <c r="D33" s="110" t="s">
        <v>160</v>
      </c>
      <c r="E33" s="110" t="s">
        <v>161</v>
      </c>
      <c r="F33" s="110" t="s">
        <v>169</v>
      </c>
      <c r="G33" s="35">
        <v>0.0</v>
      </c>
      <c r="H33" s="86"/>
      <c r="I33" s="86"/>
    </row>
    <row r="34">
      <c r="A34" s="39">
        <f t="shared" si="1"/>
        <v>30</v>
      </c>
      <c r="B34" s="91"/>
      <c r="C34" s="91"/>
      <c r="D34" s="110" t="s">
        <v>160</v>
      </c>
      <c r="E34" s="110" t="s">
        <v>161</v>
      </c>
      <c r="F34" s="110" t="s">
        <v>170</v>
      </c>
      <c r="G34" s="35">
        <v>0.0</v>
      </c>
      <c r="H34" s="86"/>
      <c r="I34" s="86"/>
    </row>
    <row r="35">
      <c r="A35" s="39">
        <f t="shared" si="1"/>
        <v>31</v>
      </c>
      <c r="B35" s="32"/>
      <c r="C35" s="91"/>
      <c r="D35" s="110" t="s">
        <v>132</v>
      </c>
      <c r="E35" s="110" t="s">
        <v>161</v>
      </c>
      <c r="F35" s="110" t="s">
        <v>171</v>
      </c>
      <c r="G35" s="35">
        <v>0.0</v>
      </c>
      <c r="H35" s="86"/>
      <c r="I35" s="86"/>
    </row>
    <row r="36">
      <c r="A36" s="39">
        <f t="shared" si="1"/>
        <v>32</v>
      </c>
      <c r="B36" s="32"/>
      <c r="C36" s="32"/>
      <c r="D36" s="110" t="s">
        <v>160</v>
      </c>
      <c r="E36" s="110" t="s">
        <v>161</v>
      </c>
      <c r="F36" s="110" t="s">
        <v>172</v>
      </c>
      <c r="G36" s="35">
        <v>0.0</v>
      </c>
      <c r="H36" s="86"/>
      <c r="I36" s="86"/>
    </row>
    <row r="37">
      <c r="A37" s="39">
        <f t="shared" si="1"/>
        <v>33</v>
      </c>
      <c r="B37" s="116"/>
      <c r="C37" s="116"/>
      <c r="D37" s="118" t="s">
        <v>177</v>
      </c>
      <c r="E37" s="118" t="s">
        <v>174</v>
      </c>
      <c r="F37" s="118" t="s">
        <v>174</v>
      </c>
      <c r="G37" s="121">
        <v>32.0</v>
      </c>
      <c r="H37" s="117" t="s">
        <v>183</v>
      </c>
      <c r="I37" s="86"/>
    </row>
    <row r="38">
      <c r="A38" s="39">
        <f t="shared" si="1"/>
        <v>34</v>
      </c>
      <c r="B38" s="123" t="s">
        <v>173</v>
      </c>
      <c r="C38" s="124"/>
      <c r="D38" s="123" t="s">
        <v>57</v>
      </c>
      <c r="E38" s="123" t="s">
        <v>174</v>
      </c>
      <c r="F38" s="123" t="s">
        <v>174</v>
      </c>
      <c r="G38" s="125">
        <v>1.0</v>
      </c>
      <c r="H38" s="117" t="s">
        <v>176</v>
      </c>
      <c r="I38" s="86"/>
    </row>
    <row r="39">
      <c r="A39" s="39">
        <f t="shared" si="1"/>
        <v>35</v>
      </c>
      <c r="B39" s="123"/>
      <c r="C39" s="124"/>
      <c r="D39" s="118" t="s">
        <v>177</v>
      </c>
      <c r="E39" s="121" t="s">
        <v>184</v>
      </c>
      <c r="F39" s="121" t="s">
        <v>184</v>
      </c>
      <c r="G39" s="121">
        <v>3.0</v>
      </c>
      <c r="H39" s="117" t="s">
        <v>183</v>
      </c>
      <c r="I39" s="86"/>
    </row>
    <row r="40">
      <c r="A40" s="39">
        <f t="shared" si="1"/>
        <v>36</v>
      </c>
      <c r="B40" s="124"/>
      <c r="C40" s="124"/>
      <c r="D40" s="124"/>
      <c r="E40" s="121" t="s">
        <v>185</v>
      </c>
      <c r="F40" s="121" t="s">
        <v>185</v>
      </c>
      <c r="G40" s="121">
        <v>1.0</v>
      </c>
      <c r="H40" s="126" t="s">
        <v>186</v>
      </c>
      <c r="I40" s="86"/>
    </row>
    <row r="41">
      <c r="A41" s="39">
        <f t="shared" si="1"/>
        <v>37</v>
      </c>
      <c r="B41" s="124"/>
      <c r="C41" s="124"/>
      <c r="D41" s="124"/>
      <c r="E41" s="121" t="s">
        <v>188</v>
      </c>
      <c r="F41" s="121" t="s">
        <v>188</v>
      </c>
      <c r="G41" s="121">
        <v>1.0</v>
      </c>
      <c r="H41" s="117" t="s">
        <v>189</v>
      </c>
      <c r="I41" s="86"/>
    </row>
    <row r="42">
      <c r="A42" s="39">
        <f t="shared" si="1"/>
        <v>38</v>
      </c>
      <c r="B42" s="70"/>
      <c r="C42" s="70"/>
      <c r="D42" s="127" t="s">
        <v>177</v>
      </c>
      <c r="E42" s="70"/>
      <c r="F42" s="70"/>
      <c r="G42" s="128">
        <v>17.0</v>
      </c>
      <c r="H42" s="129" t="s">
        <v>192</v>
      </c>
      <c r="I42" s="86"/>
    </row>
    <row r="43">
      <c r="A43" s="39">
        <f t="shared" si="1"/>
        <v>39</v>
      </c>
      <c r="B43" s="32"/>
      <c r="C43" s="32"/>
      <c r="D43" s="32"/>
      <c r="E43" s="32"/>
      <c r="F43" s="32"/>
      <c r="G43" s="130"/>
      <c r="H43" s="86"/>
      <c r="I43" s="86"/>
    </row>
    <row r="44">
      <c r="A44" s="39">
        <f t="shared" si="1"/>
        <v>40</v>
      </c>
      <c r="B44" s="32"/>
      <c r="C44" s="32"/>
      <c r="D44" s="32"/>
      <c r="E44" s="32"/>
      <c r="F44" s="32"/>
      <c r="G44" s="130"/>
      <c r="H44" s="86"/>
      <c r="I44" s="86"/>
    </row>
    <row r="45">
      <c r="A45" s="39">
        <f t="shared" si="1"/>
        <v>41</v>
      </c>
      <c r="B45" s="32"/>
      <c r="C45" s="32"/>
      <c r="D45" s="32"/>
      <c r="E45" s="32"/>
      <c r="F45" s="32"/>
      <c r="G45" s="130"/>
      <c r="H45" s="86"/>
      <c r="I45" s="86"/>
    </row>
    <row r="46">
      <c r="A46" s="39">
        <f t="shared" si="1"/>
        <v>42</v>
      </c>
      <c r="B46" s="130"/>
      <c r="C46" s="130"/>
      <c r="D46" s="130"/>
      <c r="E46" s="130"/>
      <c r="F46" s="130"/>
      <c r="G46" s="130"/>
      <c r="H46" s="86"/>
      <c r="I46" s="86"/>
    </row>
    <row r="47">
      <c r="A47" s="39">
        <f t="shared" si="1"/>
        <v>43</v>
      </c>
      <c r="B47" s="130"/>
      <c r="C47" s="130"/>
      <c r="D47" s="130"/>
      <c r="E47" s="130"/>
      <c r="F47" s="130"/>
      <c r="G47" s="130"/>
      <c r="H47" s="86"/>
      <c r="I47" s="86"/>
    </row>
    <row r="48">
      <c r="A48" s="131"/>
      <c r="B48" s="131"/>
      <c r="C48" s="131"/>
      <c r="D48" s="131"/>
      <c r="E48" s="131"/>
      <c r="F48" s="131"/>
      <c r="G48" s="132">
        <f>SUM(G2:G47)</f>
        <v>79</v>
      </c>
      <c r="H48" s="133"/>
      <c r="I48" s="131"/>
    </row>
    <row r="49">
      <c r="G49" s="4">
        <v>79.0</v>
      </c>
    </row>
    <row r="50">
      <c r="G50" s="134">
        <f>G48-G49</f>
        <v>0</v>
      </c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4:$I$51"/>
  <mergeCells count="1">
    <mergeCell ref="A1:G3"/>
  </mergeCells>
  <printOptions/>
  <pageMargins bottom="0.75" footer="0.0" header="0.0" left="0.7" right="0.7" top="0.75"/>
  <pageSetup fitToWidth="0" paperSize="9"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7.75"/>
    <col customWidth="1" min="3" max="3" width="9.88"/>
    <col customWidth="1" min="4" max="4" width="11.25"/>
    <col customWidth="1" min="5" max="5" width="12.75"/>
    <col customWidth="1" min="6" max="6" width="10.88"/>
    <col customWidth="1" min="7" max="7" width="11.88"/>
    <col customWidth="1" min="8" max="8" width="15.63"/>
    <col customWidth="1" min="9" max="9" width="10.13"/>
    <col customWidth="1" min="10" max="10" width="31.0"/>
  </cols>
  <sheetData>
    <row r="1">
      <c r="A1" s="143" t="s">
        <v>199</v>
      </c>
      <c r="B1" s="143" t="s">
        <v>71</v>
      </c>
      <c r="C1" s="143" t="s">
        <v>200</v>
      </c>
      <c r="D1" s="143" t="s">
        <v>201</v>
      </c>
      <c r="E1" s="143" t="s">
        <v>202</v>
      </c>
      <c r="F1" s="143" t="s">
        <v>203</v>
      </c>
      <c r="G1" s="143" t="s">
        <v>204</v>
      </c>
      <c r="H1" s="143" t="s">
        <v>205</v>
      </c>
      <c r="I1" s="143" t="s">
        <v>206</v>
      </c>
      <c r="J1" s="145" t="s">
        <v>207</v>
      </c>
    </row>
    <row r="2">
      <c r="A2" s="146">
        <v>1.0</v>
      </c>
      <c r="B2" s="13" t="s">
        <v>208</v>
      </c>
      <c r="C2" s="13" t="s">
        <v>208</v>
      </c>
      <c r="D2" s="13" t="s">
        <v>208</v>
      </c>
      <c r="E2" s="13" t="s">
        <v>208</v>
      </c>
      <c r="F2" s="13" t="s">
        <v>208</v>
      </c>
      <c r="G2" s="67"/>
      <c r="H2" s="67"/>
      <c r="I2" s="67"/>
      <c r="J2" s="147"/>
      <c r="K2" s="148"/>
      <c r="L2" s="138" t="s">
        <v>71</v>
      </c>
      <c r="M2" s="139">
        <f>COUNTIF(B2:B1277,"V")</f>
        <v>1036</v>
      </c>
    </row>
    <row r="3">
      <c r="A3" s="146">
        <v>2.0</v>
      </c>
      <c r="B3" s="13" t="s">
        <v>208</v>
      </c>
      <c r="C3" s="13" t="s">
        <v>208</v>
      </c>
      <c r="D3" s="13" t="s">
        <v>208</v>
      </c>
      <c r="E3" s="13" t="s">
        <v>208</v>
      </c>
      <c r="F3" s="13" t="s">
        <v>208</v>
      </c>
      <c r="G3" s="67"/>
      <c r="H3" s="67"/>
      <c r="I3" s="67"/>
      <c r="J3" s="147"/>
      <c r="K3" s="148"/>
      <c r="L3" s="138" t="s">
        <v>50</v>
      </c>
      <c r="M3" s="139">
        <f>COUNTIF(C2:C1277,"V")</f>
        <v>1107</v>
      </c>
    </row>
    <row r="4">
      <c r="A4" s="146">
        <v>3.0</v>
      </c>
      <c r="B4" s="13" t="s">
        <v>208</v>
      </c>
      <c r="C4" s="13" t="s">
        <v>208</v>
      </c>
      <c r="D4" s="13" t="s">
        <v>208</v>
      </c>
      <c r="E4" s="13" t="s">
        <v>208</v>
      </c>
      <c r="F4" s="13" t="s">
        <v>208</v>
      </c>
      <c r="G4" s="67"/>
      <c r="H4" s="67"/>
      <c r="I4" s="67"/>
      <c r="J4" s="147"/>
      <c r="K4" s="148"/>
      <c r="L4" s="138" t="s">
        <v>66</v>
      </c>
      <c r="M4" s="139">
        <f>COUNTIF(D2:D1277,"V")</f>
        <v>1083</v>
      </c>
    </row>
    <row r="5">
      <c r="A5" s="146">
        <v>4.0</v>
      </c>
      <c r="B5" s="13" t="s">
        <v>208</v>
      </c>
      <c r="C5" s="13" t="s">
        <v>208</v>
      </c>
      <c r="D5" s="13" t="s">
        <v>208</v>
      </c>
      <c r="E5" s="13" t="s">
        <v>208</v>
      </c>
      <c r="F5" s="13" t="s">
        <v>208</v>
      </c>
      <c r="G5" s="67"/>
      <c r="H5" s="67"/>
      <c r="I5" s="67"/>
      <c r="J5" s="147"/>
      <c r="K5" s="148"/>
      <c r="L5" s="138" t="s">
        <v>74</v>
      </c>
      <c r="M5" s="139">
        <f>COUNTIF(E2:E1277,"V")</f>
        <v>1128</v>
      </c>
    </row>
    <row r="6">
      <c r="A6" s="146">
        <v>5.0</v>
      </c>
      <c r="B6" s="13" t="s">
        <v>208</v>
      </c>
      <c r="C6" s="13" t="s">
        <v>208</v>
      </c>
      <c r="D6" s="13" t="s">
        <v>208</v>
      </c>
      <c r="E6" s="13" t="s">
        <v>208</v>
      </c>
      <c r="F6" s="13" t="s">
        <v>208</v>
      </c>
      <c r="G6" s="67"/>
      <c r="H6" s="67"/>
      <c r="I6" s="67"/>
      <c r="J6" s="147"/>
      <c r="K6" s="148"/>
      <c r="L6" s="138" t="s">
        <v>75</v>
      </c>
      <c r="M6" s="139">
        <f>COUNTIF(F2:F1277,"V")</f>
        <v>1035</v>
      </c>
    </row>
    <row r="7">
      <c r="A7" s="146">
        <v>6.0</v>
      </c>
      <c r="B7" s="13" t="s">
        <v>208</v>
      </c>
      <c r="C7" s="13" t="s">
        <v>208</v>
      </c>
      <c r="D7" s="13" t="s">
        <v>208</v>
      </c>
      <c r="E7" s="13" t="s">
        <v>208</v>
      </c>
      <c r="F7" s="13" t="s">
        <v>208</v>
      </c>
      <c r="G7" s="67"/>
      <c r="H7" s="67"/>
      <c r="I7" s="67"/>
      <c r="J7" s="147"/>
      <c r="K7" s="148"/>
      <c r="L7" s="138" t="s">
        <v>211</v>
      </c>
      <c r="M7" s="139">
        <f>COUNTIF(G2:G1277,"V")</f>
        <v>96</v>
      </c>
    </row>
    <row r="8">
      <c r="A8" s="146">
        <v>7.0</v>
      </c>
      <c r="B8" s="13" t="s">
        <v>208</v>
      </c>
      <c r="C8" s="13" t="s">
        <v>208</v>
      </c>
      <c r="D8" s="13" t="s">
        <v>208</v>
      </c>
      <c r="E8" s="13" t="s">
        <v>208</v>
      </c>
      <c r="F8" s="13" t="s">
        <v>208</v>
      </c>
      <c r="G8" s="67"/>
      <c r="H8" s="67"/>
      <c r="I8" s="67"/>
      <c r="J8" s="147"/>
      <c r="K8" s="148"/>
      <c r="L8" s="138" t="s">
        <v>198</v>
      </c>
      <c r="M8" s="139">
        <f>COUNTIF(I2:I1277,"V")</f>
        <v>31</v>
      </c>
    </row>
    <row r="9">
      <c r="A9" s="146">
        <v>8.0</v>
      </c>
      <c r="B9" s="13" t="s">
        <v>208</v>
      </c>
      <c r="C9" s="13" t="s">
        <v>208</v>
      </c>
      <c r="D9" s="13" t="s">
        <v>208</v>
      </c>
      <c r="E9" s="13" t="s">
        <v>208</v>
      </c>
      <c r="F9" s="13" t="s">
        <v>208</v>
      </c>
      <c r="G9" s="67"/>
      <c r="H9" s="67"/>
      <c r="I9" s="67"/>
      <c r="J9" s="147"/>
    </row>
    <row r="10">
      <c r="A10" s="146">
        <v>9.0</v>
      </c>
      <c r="B10" s="13" t="s">
        <v>208</v>
      </c>
      <c r="C10" s="13" t="s">
        <v>208</v>
      </c>
      <c r="D10" s="13" t="s">
        <v>208</v>
      </c>
      <c r="E10" s="13" t="s">
        <v>208</v>
      </c>
      <c r="F10" s="13" t="s">
        <v>208</v>
      </c>
      <c r="G10" s="67"/>
      <c r="H10" s="67"/>
      <c r="I10" s="67"/>
      <c r="J10" s="147"/>
    </row>
    <row r="11">
      <c r="A11" s="146">
        <v>10.0</v>
      </c>
      <c r="B11" s="13" t="s">
        <v>208</v>
      </c>
      <c r="C11" s="13" t="s">
        <v>208</v>
      </c>
      <c r="D11" s="13" t="s">
        <v>208</v>
      </c>
      <c r="E11" s="13" t="s">
        <v>208</v>
      </c>
      <c r="F11" s="13" t="s">
        <v>208</v>
      </c>
      <c r="G11" s="67"/>
      <c r="H11" s="67"/>
      <c r="I11" s="67"/>
      <c r="J11" s="147"/>
    </row>
    <row r="12">
      <c r="A12" s="146">
        <v>11.0</v>
      </c>
      <c r="B12" s="13" t="s">
        <v>208</v>
      </c>
      <c r="C12" s="13" t="s">
        <v>208</v>
      </c>
      <c r="D12" s="13" t="s">
        <v>208</v>
      </c>
      <c r="E12" s="13" t="s">
        <v>208</v>
      </c>
      <c r="F12" s="13" t="s">
        <v>208</v>
      </c>
      <c r="G12" s="67"/>
      <c r="H12" s="67"/>
      <c r="I12" s="67"/>
      <c r="J12" s="147"/>
    </row>
    <row r="13">
      <c r="A13" s="146">
        <v>12.0</v>
      </c>
      <c r="B13" s="13" t="s">
        <v>208</v>
      </c>
      <c r="C13" s="13" t="s">
        <v>208</v>
      </c>
      <c r="D13" s="13" t="s">
        <v>208</v>
      </c>
      <c r="E13" s="13" t="s">
        <v>208</v>
      </c>
      <c r="F13" s="13" t="s">
        <v>208</v>
      </c>
      <c r="G13" s="67"/>
      <c r="H13" s="67"/>
      <c r="I13" s="67"/>
      <c r="J13" s="147"/>
    </row>
    <row r="14">
      <c r="A14" s="146">
        <v>13.0</v>
      </c>
      <c r="B14" s="13" t="s">
        <v>208</v>
      </c>
      <c r="C14" s="13" t="s">
        <v>208</v>
      </c>
      <c r="D14" s="13" t="s">
        <v>208</v>
      </c>
      <c r="E14" s="13" t="s">
        <v>208</v>
      </c>
      <c r="F14" s="13" t="s">
        <v>208</v>
      </c>
      <c r="G14" s="67"/>
      <c r="H14" s="67"/>
      <c r="I14" s="67"/>
      <c r="J14" s="147"/>
    </row>
    <row r="15">
      <c r="A15" s="146">
        <v>14.0</v>
      </c>
      <c r="B15" s="13" t="s">
        <v>208</v>
      </c>
      <c r="C15" s="13" t="s">
        <v>208</v>
      </c>
      <c r="D15" s="13" t="s">
        <v>208</v>
      </c>
      <c r="E15" s="13" t="s">
        <v>208</v>
      </c>
      <c r="F15" s="13" t="s">
        <v>208</v>
      </c>
      <c r="G15" s="67"/>
      <c r="H15" s="67"/>
      <c r="I15" s="67"/>
      <c r="J15" s="147"/>
    </row>
    <row r="16">
      <c r="A16" s="146">
        <v>15.0</v>
      </c>
      <c r="B16" s="13" t="s">
        <v>208</v>
      </c>
      <c r="C16" s="13" t="s">
        <v>208</v>
      </c>
      <c r="D16" s="13" t="s">
        <v>208</v>
      </c>
      <c r="E16" s="13" t="s">
        <v>208</v>
      </c>
      <c r="F16" s="13" t="s">
        <v>208</v>
      </c>
      <c r="G16" s="67"/>
      <c r="H16" s="67"/>
      <c r="I16" s="67"/>
      <c r="J16" s="147"/>
    </row>
    <row r="17">
      <c r="A17" s="146">
        <v>16.0</v>
      </c>
      <c r="B17" s="13" t="s">
        <v>208</v>
      </c>
      <c r="C17" s="13" t="s">
        <v>208</v>
      </c>
      <c r="D17" s="13" t="s">
        <v>208</v>
      </c>
      <c r="E17" s="13" t="s">
        <v>208</v>
      </c>
      <c r="F17" s="13" t="s">
        <v>208</v>
      </c>
      <c r="G17" s="67"/>
      <c r="H17" s="67"/>
      <c r="I17" s="67"/>
      <c r="J17" s="147"/>
    </row>
    <row r="18">
      <c r="A18" s="146">
        <v>17.0</v>
      </c>
      <c r="B18" s="13" t="s">
        <v>208</v>
      </c>
      <c r="C18" s="13" t="s">
        <v>208</v>
      </c>
      <c r="D18" s="13" t="s">
        <v>208</v>
      </c>
      <c r="E18" s="13" t="s">
        <v>208</v>
      </c>
      <c r="F18" s="13" t="s">
        <v>208</v>
      </c>
      <c r="G18" s="67"/>
      <c r="H18" s="67"/>
      <c r="I18" s="67"/>
      <c r="J18" s="147"/>
    </row>
    <row r="19">
      <c r="A19" s="146">
        <v>18.0</v>
      </c>
      <c r="B19" s="13" t="s">
        <v>208</v>
      </c>
      <c r="C19" s="13" t="s">
        <v>208</v>
      </c>
      <c r="D19" s="13" t="s">
        <v>208</v>
      </c>
      <c r="E19" s="13" t="s">
        <v>208</v>
      </c>
      <c r="F19" s="13" t="s">
        <v>208</v>
      </c>
      <c r="G19" s="67"/>
      <c r="H19" s="67"/>
      <c r="I19" s="67"/>
      <c r="J19" s="147"/>
    </row>
    <row r="20">
      <c r="A20" s="146">
        <v>19.0</v>
      </c>
      <c r="B20" s="13" t="s">
        <v>208</v>
      </c>
      <c r="C20" s="13" t="s">
        <v>208</v>
      </c>
      <c r="D20" s="13" t="s">
        <v>208</v>
      </c>
      <c r="E20" s="13" t="s">
        <v>208</v>
      </c>
      <c r="F20" s="13" t="s">
        <v>208</v>
      </c>
      <c r="G20" s="67"/>
      <c r="H20" s="67"/>
      <c r="I20" s="67"/>
      <c r="J20" s="147"/>
    </row>
    <row r="21">
      <c r="A21" s="146">
        <v>20.0</v>
      </c>
      <c r="B21" s="13" t="s">
        <v>208</v>
      </c>
      <c r="C21" s="13" t="s">
        <v>208</v>
      </c>
      <c r="D21" s="13" t="s">
        <v>208</v>
      </c>
      <c r="E21" s="13" t="s">
        <v>208</v>
      </c>
      <c r="F21" s="13" t="s">
        <v>208</v>
      </c>
      <c r="G21" s="67"/>
      <c r="H21" s="67"/>
      <c r="I21" s="67"/>
      <c r="J21" s="147"/>
    </row>
    <row r="22">
      <c r="A22" s="146">
        <v>21.0</v>
      </c>
      <c r="B22" s="13" t="s">
        <v>208</v>
      </c>
      <c r="C22" s="13" t="s">
        <v>208</v>
      </c>
      <c r="D22" s="13" t="s">
        <v>208</v>
      </c>
      <c r="E22" s="13" t="s">
        <v>208</v>
      </c>
      <c r="F22" s="13" t="s">
        <v>208</v>
      </c>
      <c r="G22" s="67"/>
      <c r="H22" s="67"/>
      <c r="I22" s="67"/>
      <c r="J22" s="147"/>
    </row>
    <row r="23">
      <c r="A23" s="146">
        <v>22.0</v>
      </c>
      <c r="B23" s="13" t="s">
        <v>208</v>
      </c>
      <c r="C23" s="13" t="s">
        <v>208</v>
      </c>
      <c r="D23" s="13" t="s">
        <v>208</v>
      </c>
      <c r="E23" s="13" t="s">
        <v>208</v>
      </c>
      <c r="F23" s="13" t="s">
        <v>208</v>
      </c>
      <c r="G23" s="67"/>
      <c r="H23" s="67"/>
      <c r="I23" s="67"/>
      <c r="J23" s="147"/>
    </row>
    <row r="24">
      <c r="A24" s="146">
        <v>23.0</v>
      </c>
      <c r="B24" s="13" t="s">
        <v>208</v>
      </c>
      <c r="C24" s="13" t="s">
        <v>208</v>
      </c>
      <c r="D24" s="13" t="s">
        <v>208</v>
      </c>
      <c r="E24" s="13" t="s">
        <v>208</v>
      </c>
      <c r="F24" s="13" t="s">
        <v>208</v>
      </c>
      <c r="G24" s="67"/>
      <c r="H24" s="67"/>
      <c r="I24" s="67"/>
      <c r="J24" s="147"/>
    </row>
    <row r="25">
      <c r="A25" s="146">
        <v>24.0</v>
      </c>
      <c r="B25" s="13" t="s">
        <v>208</v>
      </c>
      <c r="C25" s="13" t="s">
        <v>208</v>
      </c>
      <c r="D25" s="13" t="s">
        <v>208</v>
      </c>
      <c r="E25" s="13" t="s">
        <v>208</v>
      </c>
      <c r="F25" s="13" t="s">
        <v>208</v>
      </c>
      <c r="G25" s="67"/>
      <c r="H25" s="67"/>
      <c r="I25" s="67"/>
      <c r="J25" s="147"/>
    </row>
    <row r="26">
      <c r="A26" s="146">
        <v>25.0</v>
      </c>
      <c r="B26" s="13" t="s">
        <v>208</v>
      </c>
      <c r="C26" s="13" t="s">
        <v>208</v>
      </c>
      <c r="D26" s="13" t="s">
        <v>208</v>
      </c>
      <c r="E26" s="13" t="s">
        <v>208</v>
      </c>
      <c r="F26" s="13" t="s">
        <v>208</v>
      </c>
      <c r="G26" s="67"/>
      <c r="H26" s="67"/>
      <c r="I26" s="67"/>
      <c r="J26" s="147"/>
    </row>
    <row r="27">
      <c r="A27" s="146">
        <v>26.0</v>
      </c>
      <c r="B27" s="13" t="s">
        <v>208</v>
      </c>
      <c r="C27" s="13" t="s">
        <v>208</v>
      </c>
      <c r="D27" s="13" t="s">
        <v>208</v>
      </c>
      <c r="E27" s="13" t="s">
        <v>208</v>
      </c>
      <c r="F27" s="13" t="s">
        <v>208</v>
      </c>
      <c r="G27" s="67"/>
      <c r="H27" s="67"/>
      <c r="I27" s="67"/>
      <c r="J27" s="147"/>
    </row>
    <row r="28">
      <c r="A28" s="146">
        <v>27.0</v>
      </c>
      <c r="B28" s="13" t="s">
        <v>208</v>
      </c>
      <c r="C28" s="13" t="s">
        <v>208</v>
      </c>
      <c r="D28" s="13" t="s">
        <v>208</v>
      </c>
      <c r="E28" s="13" t="s">
        <v>208</v>
      </c>
      <c r="F28" s="13" t="s">
        <v>208</v>
      </c>
      <c r="G28" s="67"/>
      <c r="H28" s="67"/>
      <c r="I28" s="67"/>
      <c r="J28" s="147"/>
    </row>
    <row r="29">
      <c r="A29" s="146">
        <v>28.0</v>
      </c>
      <c r="B29" s="13" t="s">
        <v>208</v>
      </c>
      <c r="C29" s="13" t="s">
        <v>208</v>
      </c>
      <c r="D29" s="13" t="s">
        <v>208</v>
      </c>
      <c r="E29" s="13" t="s">
        <v>208</v>
      </c>
      <c r="F29" s="13" t="s">
        <v>208</v>
      </c>
      <c r="G29" s="67"/>
      <c r="H29" s="67"/>
      <c r="I29" s="67"/>
      <c r="J29" s="147"/>
    </row>
    <row r="30">
      <c r="A30" s="146">
        <v>29.0</v>
      </c>
      <c r="B30" s="13" t="s">
        <v>208</v>
      </c>
      <c r="C30" s="13" t="s">
        <v>208</v>
      </c>
      <c r="D30" s="13" t="s">
        <v>208</v>
      </c>
      <c r="E30" s="13" t="s">
        <v>208</v>
      </c>
      <c r="F30" s="13" t="s">
        <v>208</v>
      </c>
      <c r="G30" s="67"/>
      <c r="H30" s="67"/>
      <c r="I30" s="67"/>
      <c r="J30" s="147"/>
    </row>
    <row r="31">
      <c r="A31" s="146">
        <v>30.0</v>
      </c>
      <c r="B31" s="13" t="s">
        <v>208</v>
      </c>
      <c r="C31" s="13" t="s">
        <v>208</v>
      </c>
      <c r="D31" s="13" t="s">
        <v>208</v>
      </c>
      <c r="E31" s="13" t="s">
        <v>208</v>
      </c>
      <c r="F31" s="13" t="s">
        <v>208</v>
      </c>
      <c r="G31" s="67"/>
      <c r="H31" s="67"/>
      <c r="I31" s="67"/>
      <c r="J31" s="147"/>
    </row>
    <row r="32">
      <c r="A32" s="146">
        <v>31.0</v>
      </c>
      <c r="B32" s="13" t="s">
        <v>208</v>
      </c>
      <c r="C32" s="13" t="s">
        <v>208</v>
      </c>
      <c r="D32" s="13" t="s">
        <v>208</v>
      </c>
      <c r="E32" s="13" t="s">
        <v>208</v>
      </c>
      <c r="F32" s="13" t="s">
        <v>208</v>
      </c>
      <c r="G32" s="67"/>
      <c r="H32" s="67"/>
      <c r="I32" s="67"/>
      <c r="J32" s="147"/>
    </row>
    <row r="33">
      <c r="A33" s="146">
        <v>32.0</v>
      </c>
      <c r="B33" s="13" t="s">
        <v>208</v>
      </c>
      <c r="C33" s="13" t="s">
        <v>208</v>
      </c>
      <c r="D33" s="13" t="s">
        <v>208</v>
      </c>
      <c r="E33" s="13" t="s">
        <v>208</v>
      </c>
      <c r="F33" s="13" t="s">
        <v>208</v>
      </c>
      <c r="G33" s="67"/>
      <c r="H33" s="67"/>
      <c r="I33" s="67"/>
      <c r="J33" s="147"/>
    </row>
    <row r="34">
      <c r="A34" s="146">
        <v>33.0</v>
      </c>
      <c r="B34" s="13" t="s">
        <v>208</v>
      </c>
      <c r="C34" s="13" t="s">
        <v>208</v>
      </c>
      <c r="D34" s="13" t="s">
        <v>208</v>
      </c>
      <c r="E34" s="13" t="s">
        <v>208</v>
      </c>
      <c r="F34" s="13" t="s">
        <v>208</v>
      </c>
      <c r="G34" s="67"/>
      <c r="H34" s="67"/>
      <c r="I34" s="67"/>
      <c r="J34" s="147"/>
    </row>
    <row r="35">
      <c r="A35" s="146">
        <v>34.0</v>
      </c>
      <c r="B35" s="13" t="s">
        <v>208</v>
      </c>
      <c r="C35" s="13" t="s">
        <v>208</v>
      </c>
      <c r="D35" s="13" t="s">
        <v>208</v>
      </c>
      <c r="E35" s="13" t="s">
        <v>208</v>
      </c>
      <c r="F35" s="13" t="s">
        <v>208</v>
      </c>
      <c r="G35" s="67"/>
      <c r="H35" s="67"/>
      <c r="I35" s="67"/>
      <c r="J35" s="147"/>
    </row>
    <row r="36">
      <c r="A36" s="146">
        <v>35.0</v>
      </c>
      <c r="B36" s="13" t="s">
        <v>208</v>
      </c>
      <c r="C36" s="13" t="s">
        <v>208</v>
      </c>
      <c r="D36" s="13" t="s">
        <v>208</v>
      </c>
      <c r="E36" s="13" t="s">
        <v>208</v>
      </c>
      <c r="F36" s="13" t="s">
        <v>208</v>
      </c>
      <c r="G36" s="67"/>
      <c r="H36" s="67"/>
      <c r="I36" s="67"/>
      <c r="J36" s="147"/>
    </row>
    <row r="37">
      <c r="A37" s="146">
        <v>36.0</v>
      </c>
      <c r="B37" s="13" t="s">
        <v>208</v>
      </c>
      <c r="C37" s="13" t="s">
        <v>208</v>
      </c>
      <c r="D37" s="13" t="s">
        <v>208</v>
      </c>
      <c r="E37" s="13" t="s">
        <v>208</v>
      </c>
      <c r="F37" s="13" t="s">
        <v>208</v>
      </c>
      <c r="G37" s="67"/>
      <c r="H37" s="67"/>
      <c r="I37" s="67"/>
      <c r="J37" s="147"/>
    </row>
    <row r="38">
      <c r="A38" s="146">
        <v>37.0</v>
      </c>
      <c r="B38" s="13" t="s">
        <v>208</v>
      </c>
      <c r="C38" s="13" t="s">
        <v>208</v>
      </c>
      <c r="D38" s="13" t="s">
        <v>208</v>
      </c>
      <c r="E38" s="13" t="s">
        <v>208</v>
      </c>
      <c r="F38" s="13" t="s">
        <v>208</v>
      </c>
      <c r="G38" s="67"/>
      <c r="H38" s="67"/>
      <c r="I38" s="67"/>
      <c r="J38" s="147"/>
    </row>
    <row r="39">
      <c r="A39" s="146">
        <v>38.0</v>
      </c>
      <c r="B39" s="13" t="s">
        <v>208</v>
      </c>
      <c r="C39" s="13" t="s">
        <v>208</v>
      </c>
      <c r="D39" s="13" t="s">
        <v>208</v>
      </c>
      <c r="E39" s="13" t="s">
        <v>208</v>
      </c>
      <c r="F39" s="13" t="s">
        <v>208</v>
      </c>
      <c r="G39" s="67"/>
      <c r="H39" s="67"/>
      <c r="I39" s="67"/>
      <c r="J39" s="147"/>
    </row>
    <row r="40">
      <c r="A40" s="146">
        <v>39.0</v>
      </c>
      <c r="B40" s="13" t="s">
        <v>208</v>
      </c>
      <c r="C40" s="13" t="s">
        <v>208</v>
      </c>
      <c r="D40" s="13" t="s">
        <v>208</v>
      </c>
      <c r="E40" s="13" t="s">
        <v>208</v>
      </c>
      <c r="F40" s="13" t="s">
        <v>208</v>
      </c>
      <c r="G40" s="67"/>
      <c r="H40" s="67"/>
      <c r="I40" s="67"/>
      <c r="J40" s="147"/>
    </row>
    <row r="41">
      <c r="A41" s="146">
        <v>40.0</v>
      </c>
      <c r="B41" s="67"/>
      <c r="C41" s="13" t="s">
        <v>208</v>
      </c>
      <c r="D41" s="13" t="s">
        <v>208</v>
      </c>
      <c r="E41" s="13" t="s">
        <v>208</v>
      </c>
      <c r="F41" s="67"/>
      <c r="G41" s="13" t="s">
        <v>208</v>
      </c>
      <c r="H41" s="67"/>
      <c r="I41" s="67"/>
      <c r="J41" s="147"/>
    </row>
    <row r="42">
      <c r="A42" s="146">
        <v>41.0</v>
      </c>
      <c r="B42" s="67"/>
      <c r="C42" s="13" t="s">
        <v>208</v>
      </c>
      <c r="D42" s="13" t="s">
        <v>208</v>
      </c>
      <c r="E42" s="13" t="s">
        <v>208</v>
      </c>
      <c r="F42" s="67"/>
      <c r="G42" s="13" t="s">
        <v>208</v>
      </c>
      <c r="H42" s="67"/>
      <c r="I42" s="67"/>
      <c r="J42" s="147"/>
    </row>
    <row r="43">
      <c r="A43" s="146">
        <v>42.0</v>
      </c>
      <c r="B43" s="13" t="s">
        <v>208</v>
      </c>
      <c r="C43" s="13" t="s">
        <v>208</v>
      </c>
      <c r="D43" s="13" t="s">
        <v>208</v>
      </c>
      <c r="E43" s="13" t="s">
        <v>208</v>
      </c>
      <c r="F43" s="13" t="s">
        <v>208</v>
      </c>
      <c r="G43" s="67"/>
      <c r="H43" s="67"/>
      <c r="I43" s="67"/>
      <c r="J43" s="147"/>
    </row>
    <row r="44">
      <c r="A44" s="146">
        <v>43.0</v>
      </c>
      <c r="B44" s="13" t="s">
        <v>208</v>
      </c>
      <c r="C44" s="13" t="s">
        <v>208</v>
      </c>
      <c r="D44" s="13" t="s">
        <v>208</v>
      </c>
      <c r="E44" s="13" t="s">
        <v>208</v>
      </c>
      <c r="F44" s="13" t="s">
        <v>208</v>
      </c>
      <c r="G44" s="67"/>
      <c r="H44" s="67"/>
      <c r="I44" s="67"/>
      <c r="J44" s="147"/>
    </row>
    <row r="45">
      <c r="A45" s="146">
        <v>44.0</v>
      </c>
      <c r="B45" s="13" t="s">
        <v>208</v>
      </c>
      <c r="C45" s="13" t="s">
        <v>208</v>
      </c>
      <c r="D45" s="13" t="s">
        <v>208</v>
      </c>
      <c r="E45" s="13" t="s">
        <v>208</v>
      </c>
      <c r="F45" s="13" t="s">
        <v>208</v>
      </c>
      <c r="G45" s="67"/>
      <c r="H45" s="67"/>
      <c r="I45" s="67"/>
      <c r="J45" s="147"/>
    </row>
    <row r="46">
      <c r="A46" s="146">
        <v>45.0</v>
      </c>
      <c r="B46" s="13" t="s">
        <v>208</v>
      </c>
      <c r="C46" s="13" t="s">
        <v>208</v>
      </c>
      <c r="D46" s="13" t="s">
        <v>208</v>
      </c>
      <c r="E46" s="13" t="s">
        <v>208</v>
      </c>
      <c r="F46" s="13" t="s">
        <v>208</v>
      </c>
      <c r="G46" s="67"/>
      <c r="H46" s="67"/>
      <c r="I46" s="67"/>
      <c r="J46" s="147"/>
    </row>
    <row r="47">
      <c r="A47" s="146">
        <v>46.0</v>
      </c>
      <c r="B47" s="13" t="s">
        <v>208</v>
      </c>
      <c r="C47" s="13" t="s">
        <v>208</v>
      </c>
      <c r="D47" s="13" t="s">
        <v>208</v>
      </c>
      <c r="E47" s="13" t="s">
        <v>208</v>
      </c>
      <c r="F47" s="13" t="s">
        <v>208</v>
      </c>
      <c r="G47" s="67"/>
      <c r="H47" s="67"/>
      <c r="I47" s="67"/>
      <c r="J47" s="147"/>
    </row>
    <row r="48">
      <c r="A48" s="146">
        <v>47.0</v>
      </c>
      <c r="B48" s="13" t="s">
        <v>208</v>
      </c>
      <c r="C48" s="13" t="s">
        <v>208</v>
      </c>
      <c r="D48" s="13" t="s">
        <v>208</v>
      </c>
      <c r="E48" s="13" t="s">
        <v>208</v>
      </c>
      <c r="F48" s="13" t="s">
        <v>208</v>
      </c>
      <c r="G48" s="67"/>
      <c r="H48" s="67"/>
      <c r="I48" s="67"/>
      <c r="J48" s="147"/>
    </row>
    <row r="49">
      <c r="A49" s="146">
        <v>48.0</v>
      </c>
      <c r="B49" s="13" t="s">
        <v>208</v>
      </c>
      <c r="C49" s="13" t="s">
        <v>208</v>
      </c>
      <c r="D49" s="13" t="s">
        <v>208</v>
      </c>
      <c r="E49" s="13" t="s">
        <v>208</v>
      </c>
      <c r="F49" s="13" t="s">
        <v>208</v>
      </c>
      <c r="G49" s="67"/>
      <c r="H49" s="67"/>
      <c r="I49" s="67"/>
      <c r="J49" s="147"/>
    </row>
    <row r="50">
      <c r="A50" s="146">
        <v>49.0</v>
      </c>
      <c r="B50" s="13" t="s">
        <v>208</v>
      </c>
      <c r="C50" s="13" t="s">
        <v>208</v>
      </c>
      <c r="D50" s="13" t="s">
        <v>208</v>
      </c>
      <c r="E50" s="13" t="s">
        <v>208</v>
      </c>
      <c r="F50" s="13" t="s">
        <v>208</v>
      </c>
      <c r="G50" s="67"/>
      <c r="H50" s="67"/>
      <c r="I50" s="67"/>
      <c r="J50" s="147"/>
    </row>
    <row r="51">
      <c r="A51" s="146">
        <v>50.0</v>
      </c>
      <c r="B51" s="13" t="s">
        <v>208</v>
      </c>
      <c r="C51" s="13" t="s">
        <v>208</v>
      </c>
      <c r="D51" s="13" t="s">
        <v>208</v>
      </c>
      <c r="E51" s="13" t="s">
        <v>208</v>
      </c>
      <c r="F51" s="13" t="s">
        <v>208</v>
      </c>
      <c r="G51" s="67"/>
      <c r="H51" s="67"/>
      <c r="I51" s="67"/>
      <c r="J51" s="147"/>
    </row>
    <row r="52">
      <c r="A52" s="146">
        <v>51.0</v>
      </c>
      <c r="B52" s="13" t="s">
        <v>208</v>
      </c>
      <c r="C52" s="13" t="s">
        <v>208</v>
      </c>
      <c r="D52" s="13" t="s">
        <v>208</v>
      </c>
      <c r="E52" s="13" t="s">
        <v>208</v>
      </c>
      <c r="F52" s="13" t="s">
        <v>208</v>
      </c>
      <c r="G52" s="67"/>
      <c r="H52" s="67"/>
      <c r="I52" s="67"/>
      <c r="J52" s="147"/>
    </row>
    <row r="53">
      <c r="A53" s="146">
        <v>52.0</v>
      </c>
      <c r="B53" s="13" t="s">
        <v>208</v>
      </c>
      <c r="C53" s="13" t="s">
        <v>208</v>
      </c>
      <c r="D53" s="13" t="s">
        <v>208</v>
      </c>
      <c r="E53" s="13" t="s">
        <v>208</v>
      </c>
      <c r="F53" s="13" t="s">
        <v>208</v>
      </c>
      <c r="G53" s="67"/>
      <c r="H53" s="67"/>
      <c r="I53" s="67"/>
      <c r="J53" s="147"/>
    </row>
    <row r="54">
      <c r="A54" s="146">
        <v>53.0</v>
      </c>
      <c r="B54" s="67"/>
      <c r="C54" s="13" t="s">
        <v>208</v>
      </c>
      <c r="D54" s="13" t="s">
        <v>208</v>
      </c>
      <c r="E54" s="13" t="s">
        <v>208</v>
      </c>
      <c r="F54" s="67"/>
      <c r="G54" s="13" t="s">
        <v>208</v>
      </c>
      <c r="H54" s="67"/>
      <c r="I54" s="67"/>
      <c r="J54" s="147"/>
    </row>
    <row r="55">
      <c r="A55" s="146">
        <v>54.0</v>
      </c>
      <c r="B55" s="13" t="s">
        <v>208</v>
      </c>
      <c r="C55" s="99"/>
      <c r="D55" s="13" t="s">
        <v>208</v>
      </c>
      <c r="E55" s="13" t="s">
        <v>208</v>
      </c>
      <c r="F55" s="13" t="s">
        <v>208</v>
      </c>
      <c r="G55" s="67"/>
      <c r="H55" s="67"/>
      <c r="I55" s="67"/>
      <c r="J55" s="147"/>
    </row>
    <row r="56">
      <c r="A56" s="146">
        <v>55.0</v>
      </c>
      <c r="B56" s="13" t="s">
        <v>208</v>
      </c>
      <c r="C56" s="13" t="s">
        <v>208</v>
      </c>
      <c r="D56" s="13" t="s">
        <v>208</v>
      </c>
      <c r="E56" s="13" t="s">
        <v>208</v>
      </c>
      <c r="F56" s="13" t="s">
        <v>208</v>
      </c>
      <c r="G56" s="67"/>
      <c r="H56" s="67"/>
      <c r="I56" s="67"/>
      <c r="J56" s="147"/>
    </row>
    <row r="57">
      <c r="A57" s="146">
        <v>56.0</v>
      </c>
      <c r="B57" s="13" t="s">
        <v>208</v>
      </c>
      <c r="C57" s="13" t="s">
        <v>208</v>
      </c>
      <c r="D57" s="13" t="s">
        <v>208</v>
      </c>
      <c r="E57" s="13" t="s">
        <v>208</v>
      </c>
      <c r="F57" s="13" t="s">
        <v>208</v>
      </c>
      <c r="G57" s="67"/>
      <c r="H57" s="67"/>
      <c r="I57" s="67"/>
      <c r="J57" s="147"/>
    </row>
    <row r="58">
      <c r="A58" s="146">
        <v>57.0</v>
      </c>
      <c r="B58" s="13" t="s">
        <v>208</v>
      </c>
      <c r="C58" s="13" t="s">
        <v>208</v>
      </c>
      <c r="D58" s="13" t="s">
        <v>208</v>
      </c>
      <c r="E58" s="13" t="s">
        <v>208</v>
      </c>
      <c r="F58" s="13" t="s">
        <v>208</v>
      </c>
      <c r="G58" s="67"/>
      <c r="H58" s="67"/>
      <c r="I58" s="67"/>
      <c r="J58" s="147"/>
    </row>
    <row r="59">
      <c r="A59" s="146">
        <v>58.0</v>
      </c>
      <c r="B59" s="13" t="s">
        <v>208</v>
      </c>
      <c r="C59" s="13" t="s">
        <v>208</v>
      </c>
      <c r="D59" s="13" t="s">
        <v>208</v>
      </c>
      <c r="E59" s="13" t="s">
        <v>208</v>
      </c>
      <c r="F59" s="13" t="s">
        <v>208</v>
      </c>
      <c r="G59" s="67"/>
      <c r="H59" s="67"/>
      <c r="I59" s="67"/>
      <c r="J59" s="147"/>
    </row>
    <row r="60">
      <c r="A60" s="146">
        <v>59.0</v>
      </c>
      <c r="B60" s="13" t="s">
        <v>208</v>
      </c>
      <c r="C60" s="13" t="s">
        <v>208</v>
      </c>
      <c r="D60" s="13" t="s">
        <v>208</v>
      </c>
      <c r="E60" s="13" t="s">
        <v>208</v>
      </c>
      <c r="F60" s="13" t="s">
        <v>208</v>
      </c>
      <c r="G60" s="67"/>
      <c r="H60" s="67"/>
      <c r="I60" s="67"/>
      <c r="J60" s="147"/>
    </row>
    <row r="61">
      <c r="A61" s="146">
        <v>60.0</v>
      </c>
      <c r="B61" s="13" t="s">
        <v>208</v>
      </c>
      <c r="C61" s="13" t="s">
        <v>208</v>
      </c>
      <c r="D61" s="13" t="s">
        <v>208</v>
      </c>
      <c r="E61" s="13" t="s">
        <v>208</v>
      </c>
      <c r="F61" s="13" t="s">
        <v>208</v>
      </c>
      <c r="G61" s="67"/>
      <c r="H61" s="67"/>
      <c r="I61" s="67"/>
      <c r="J61" s="147"/>
    </row>
    <row r="62">
      <c r="A62" s="146">
        <v>61.0</v>
      </c>
      <c r="B62" s="13" t="s">
        <v>208</v>
      </c>
      <c r="C62" s="13" t="s">
        <v>208</v>
      </c>
      <c r="D62" s="13" t="s">
        <v>208</v>
      </c>
      <c r="E62" s="13" t="s">
        <v>208</v>
      </c>
      <c r="F62" s="13" t="s">
        <v>208</v>
      </c>
      <c r="G62" s="67"/>
      <c r="H62" s="67"/>
      <c r="I62" s="67"/>
      <c r="J62" s="147"/>
    </row>
    <row r="63">
      <c r="A63" s="146">
        <v>62.0</v>
      </c>
      <c r="B63" s="13" t="s">
        <v>208</v>
      </c>
      <c r="C63" s="13" t="s">
        <v>208</v>
      </c>
      <c r="D63" s="13" t="s">
        <v>208</v>
      </c>
      <c r="E63" s="13" t="s">
        <v>208</v>
      </c>
      <c r="F63" s="13" t="s">
        <v>208</v>
      </c>
      <c r="G63" s="67"/>
      <c r="H63" s="67"/>
      <c r="I63" s="67"/>
      <c r="J63" s="147"/>
    </row>
    <row r="64">
      <c r="A64" s="146">
        <v>63.0</v>
      </c>
      <c r="B64" s="13" t="s">
        <v>208</v>
      </c>
      <c r="C64" s="13" t="s">
        <v>208</v>
      </c>
      <c r="D64" s="13" t="s">
        <v>208</v>
      </c>
      <c r="E64" s="13" t="s">
        <v>208</v>
      </c>
      <c r="F64" s="13" t="s">
        <v>208</v>
      </c>
      <c r="G64" s="67"/>
      <c r="H64" s="67"/>
      <c r="I64" s="67"/>
      <c r="J64" s="147"/>
    </row>
    <row r="65">
      <c r="A65" s="146">
        <v>64.0</v>
      </c>
      <c r="B65" s="13" t="s">
        <v>208</v>
      </c>
      <c r="C65" s="99"/>
      <c r="D65" s="13" t="s">
        <v>208</v>
      </c>
      <c r="E65" s="13" t="s">
        <v>208</v>
      </c>
      <c r="F65" s="13" t="s">
        <v>208</v>
      </c>
      <c r="G65" s="67"/>
      <c r="H65" s="67"/>
      <c r="I65" s="67"/>
      <c r="J65" s="147"/>
    </row>
    <row r="66">
      <c r="A66" s="146">
        <v>65.0</v>
      </c>
      <c r="B66" s="13" t="s">
        <v>208</v>
      </c>
      <c r="C66" s="13" t="s">
        <v>208</v>
      </c>
      <c r="D66" s="13" t="s">
        <v>208</v>
      </c>
      <c r="E66" s="13" t="s">
        <v>208</v>
      </c>
      <c r="F66" s="13" t="s">
        <v>208</v>
      </c>
      <c r="G66" s="67"/>
      <c r="H66" s="67"/>
      <c r="I66" s="67"/>
      <c r="J66" s="147"/>
    </row>
    <row r="67">
      <c r="A67" s="146">
        <v>66.0</v>
      </c>
      <c r="B67" s="13" t="s">
        <v>208</v>
      </c>
      <c r="C67" s="13" t="s">
        <v>208</v>
      </c>
      <c r="D67" s="13" t="s">
        <v>208</v>
      </c>
      <c r="E67" s="13" t="s">
        <v>208</v>
      </c>
      <c r="F67" s="13" t="s">
        <v>208</v>
      </c>
      <c r="G67" s="67"/>
      <c r="H67" s="67"/>
      <c r="I67" s="67"/>
      <c r="J67" s="147"/>
    </row>
    <row r="68">
      <c r="A68" s="146">
        <v>67.0</v>
      </c>
      <c r="B68" s="13" t="s">
        <v>208</v>
      </c>
      <c r="C68" s="13" t="s">
        <v>208</v>
      </c>
      <c r="D68" s="13" t="s">
        <v>208</v>
      </c>
      <c r="E68" s="13" t="s">
        <v>208</v>
      </c>
      <c r="F68" s="13" t="s">
        <v>208</v>
      </c>
      <c r="G68" s="67"/>
      <c r="H68" s="67"/>
      <c r="I68" s="67"/>
      <c r="J68" s="147"/>
    </row>
    <row r="69">
      <c r="A69" s="146">
        <v>68.0</v>
      </c>
      <c r="B69" s="13" t="s">
        <v>208</v>
      </c>
      <c r="C69" s="13" t="s">
        <v>208</v>
      </c>
      <c r="D69" s="13" t="s">
        <v>208</v>
      </c>
      <c r="E69" s="13" t="s">
        <v>208</v>
      </c>
      <c r="F69" s="13" t="s">
        <v>208</v>
      </c>
      <c r="G69" s="67"/>
      <c r="H69" s="67"/>
      <c r="I69" s="67"/>
      <c r="J69" s="147"/>
    </row>
    <row r="70">
      <c r="A70" s="146">
        <v>69.0</v>
      </c>
      <c r="B70" s="13" t="s">
        <v>208</v>
      </c>
      <c r="C70" s="13" t="s">
        <v>208</v>
      </c>
      <c r="D70" s="13" t="s">
        <v>208</v>
      </c>
      <c r="E70" s="13" t="s">
        <v>208</v>
      </c>
      <c r="F70" s="13" t="s">
        <v>208</v>
      </c>
      <c r="G70" s="67"/>
      <c r="H70" s="67"/>
      <c r="I70" s="67"/>
      <c r="J70" s="147"/>
    </row>
    <row r="71">
      <c r="A71" s="146">
        <v>70.0</v>
      </c>
      <c r="B71" s="13" t="s">
        <v>208</v>
      </c>
      <c r="C71" s="13" t="s">
        <v>208</v>
      </c>
      <c r="D71" s="13" t="s">
        <v>208</v>
      </c>
      <c r="E71" s="13" t="s">
        <v>208</v>
      </c>
      <c r="F71" s="13" t="s">
        <v>208</v>
      </c>
      <c r="G71" s="67"/>
      <c r="H71" s="67"/>
      <c r="I71" s="67"/>
      <c r="J71" s="147"/>
    </row>
    <row r="72">
      <c r="A72" s="146">
        <v>71.0</v>
      </c>
      <c r="B72" s="13" t="s">
        <v>208</v>
      </c>
      <c r="C72" s="13" t="s">
        <v>208</v>
      </c>
      <c r="D72" s="13" t="s">
        <v>208</v>
      </c>
      <c r="E72" s="13" t="s">
        <v>208</v>
      </c>
      <c r="F72" s="13" t="s">
        <v>208</v>
      </c>
      <c r="G72" s="67"/>
      <c r="H72" s="67"/>
      <c r="I72" s="67"/>
      <c r="J72" s="147"/>
    </row>
    <row r="73">
      <c r="A73" s="146">
        <v>72.0</v>
      </c>
      <c r="B73" s="13" t="s">
        <v>208</v>
      </c>
      <c r="C73" s="13" t="s">
        <v>208</v>
      </c>
      <c r="D73" s="13" t="s">
        <v>208</v>
      </c>
      <c r="E73" s="13" t="s">
        <v>208</v>
      </c>
      <c r="F73" s="13" t="s">
        <v>208</v>
      </c>
      <c r="G73" s="67"/>
      <c r="H73" s="67"/>
      <c r="I73" s="67"/>
      <c r="J73" s="147"/>
    </row>
    <row r="74">
      <c r="A74" s="146">
        <v>73.0</v>
      </c>
      <c r="B74" s="13" t="s">
        <v>208</v>
      </c>
      <c r="C74" s="13" t="s">
        <v>208</v>
      </c>
      <c r="D74" s="13" t="s">
        <v>208</v>
      </c>
      <c r="E74" s="13" t="s">
        <v>208</v>
      </c>
      <c r="F74" s="13" t="s">
        <v>208</v>
      </c>
      <c r="G74" s="67"/>
      <c r="H74" s="67"/>
      <c r="I74" s="67"/>
      <c r="J74" s="147"/>
    </row>
    <row r="75">
      <c r="A75" s="146">
        <v>74.0</v>
      </c>
      <c r="B75" s="13" t="s">
        <v>208</v>
      </c>
      <c r="C75" s="13" t="s">
        <v>208</v>
      </c>
      <c r="D75" s="13" t="s">
        <v>208</v>
      </c>
      <c r="E75" s="13" t="s">
        <v>208</v>
      </c>
      <c r="F75" s="13" t="s">
        <v>208</v>
      </c>
      <c r="G75" s="67"/>
      <c r="H75" s="67"/>
      <c r="I75" s="67"/>
      <c r="J75" s="147"/>
    </row>
    <row r="76">
      <c r="A76" s="146">
        <v>75.0</v>
      </c>
      <c r="B76" s="13" t="s">
        <v>208</v>
      </c>
      <c r="C76" s="13" t="s">
        <v>208</v>
      </c>
      <c r="D76" s="13" t="s">
        <v>208</v>
      </c>
      <c r="E76" s="13" t="s">
        <v>208</v>
      </c>
      <c r="F76" s="13" t="s">
        <v>208</v>
      </c>
      <c r="G76" s="67"/>
      <c r="H76" s="67"/>
      <c r="I76" s="67"/>
      <c r="J76" s="147"/>
    </row>
    <row r="77">
      <c r="A77" s="146">
        <v>76.0</v>
      </c>
      <c r="B77" s="13" t="s">
        <v>208</v>
      </c>
      <c r="C77" s="13" t="s">
        <v>208</v>
      </c>
      <c r="D77" s="13" t="s">
        <v>208</v>
      </c>
      <c r="E77" s="13" t="s">
        <v>208</v>
      </c>
      <c r="F77" s="13" t="s">
        <v>208</v>
      </c>
      <c r="G77" s="67"/>
      <c r="H77" s="67"/>
      <c r="I77" s="67"/>
      <c r="J77" s="147"/>
    </row>
    <row r="78">
      <c r="A78" s="146">
        <v>77.0</v>
      </c>
      <c r="B78" s="13" t="s">
        <v>208</v>
      </c>
      <c r="C78" s="13" t="s">
        <v>208</v>
      </c>
      <c r="D78" s="13" t="s">
        <v>208</v>
      </c>
      <c r="E78" s="13" t="s">
        <v>208</v>
      </c>
      <c r="F78" s="13" t="s">
        <v>208</v>
      </c>
      <c r="G78" s="67"/>
      <c r="H78" s="67"/>
      <c r="I78" s="67"/>
      <c r="J78" s="147"/>
    </row>
    <row r="79">
      <c r="A79" s="146">
        <v>78.0</v>
      </c>
      <c r="B79" s="13" t="s">
        <v>208</v>
      </c>
      <c r="C79" s="13" t="s">
        <v>208</v>
      </c>
      <c r="D79" s="13" t="s">
        <v>208</v>
      </c>
      <c r="E79" s="13" t="s">
        <v>208</v>
      </c>
      <c r="F79" s="13" t="s">
        <v>208</v>
      </c>
      <c r="G79" s="67"/>
      <c r="H79" s="67"/>
      <c r="I79" s="67"/>
      <c r="J79" s="147"/>
    </row>
    <row r="80">
      <c r="A80" s="146">
        <v>79.0</v>
      </c>
      <c r="B80" s="13" t="s">
        <v>208</v>
      </c>
      <c r="C80" s="13" t="s">
        <v>208</v>
      </c>
      <c r="D80" s="13" t="s">
        <v>208</v>
      </c>
      <c r="E80" s="13" t="s">
        <v>208</v>
      </c>
      <c r="F80" s="13" t="s">
        <v>208</v>
      </c>
      <c r="G80" s="67"/>
      <c r="H80" s="67"/>
      <c r="I80" s="67"/>
      <c r="J80" s="147"/>
    </row>
    <row r="81">
      <c r="A81" s="146">
        <v>80.0</v>
      </c>
      <c r="B81" s="13" t="s">
        <v>208</v>
      </c>
      <c r="C81" s="13" t="s">
        <v>208</v>
      </c>
      <c r="D81" s="13" t="s">
        <v>208</v>
      </c>
      <c r="E81" s="13" t="s">
        <v>208</v>
      </c>
      <c r="F81" s="13" t="s">
        <v>208</v>
      </c>
      <c r="G81" s="67"/>
      <c r="H81" s="67"/>
      <c r="I81" s="67"/>
      <c r="J81" s="147"/>
    </row>
    <row r="82">
      <c r="A82" s="146">
        <v>81.0</v>
      </c>
      <c r="B82" s="13" t="s">
        <v>208</v>
      </c>
      <c r="C82" s="13" t="s">
        <v>208</v>
      </c>
      <c r="D82" s="13" t="s">
        <v>208</v>
      </c>
      <c r="E82" s="13" t="s">
        <v>208</v>
      </c>
      <c r="F82" s="13" t="s">
        <v>208</v>
      </c>
      <c r="G82" s="67"/>
      <c r="H82" s="67"/>
      <c r="I82" s="67"/>
      <c r="J82" s="147"/>
    </row>
    <row r="83">
      <c r="A83" s="146">
        <v>82.0</v>
      </c>
      <c r="B83" s="13" t="s">
        <v>208</v>
      </c>
      <c r="C83" s="13" t="s">
        <v>208</v>
      </c>
      <c r="D83" s="13" t="s">
        <v>208</v>
      </c>
      <c r="E83" s="13" t="s">
        <v>208</v>
      </c>
      <c r="F83" s="13" t="s">
        <v>208</v>
      </c>
      <c r="G83" s="67"/>
      <c r="H83" s="67"/>
      <c r="I83" s="67"/>
      <c r="J83" s="147"/>
    </row>
    <row r="84">
      <c r="A84" s="146">
        <v>83.0</v>
      </c>
      <c r="B84" s="174"/>
      <c r="C84" s="174"/>
      <c r="D84" s="174"/>
      <c r="E84" s="174"/>
      <c r="F84" s="174"/>
      <c r="G84" s="174"/>
      <c r="H84" s="175" t="s">
        <v>217</v>
      </c>
      <c r="I84" s="13"/>
      <c r="J84" s="147"/>
    </row>
    <row r="85">
      <c r="A85" s="146">
        <v>84.0</v>
      </c>
      <c r="B85" s="13" t="s">
        <v>208</v>
      </c>
      <c r="C85" s="13" t="s">
        <v>208</v>
      </c>
      <c r="D85" s="13" t="s">
        <v>208</v>
      </c>
      <c r="E85" s="13" t="s">
        <v>208</v>
      </c>
      <c r="F85" s="13" t="s">
        <v>208</v>
      </c>
      <c r="G85" s="67"/>
      <c r="H85" s="67"/>
      <c r="I85" s="67"/>
      <c r="J85" s="147"/>
    </row>
    <row r="86">
      <c r="A86" s="146">
        <v>85.0</v>
      </c>
      <c r="B86" s="13" t="s">
        <v>208</v>
      </c>
      <c r="C86" s="13" t="s">
        <v>208</v>
      </c>
      <c r="D86" s="99"/>
      <c r="E86" s="13" t="s">
        <v>208</v>
      </c>
      <c r="F86" s="13" t="s">
        <v>208</v>
      </c>
      <c r="G86" s="67"/>
      <c r="H86" s="67"/>
      <c r="I86" s="67"/>
      <c r="J86" s="147"/>
    </row>
    <row r="87">
      <c r="A87" s="146">
        <v>86.0</v>
      </c>
      <c r="B87" s="174"/>
      <c r="C87" s="174"/>
      <c r="D87" s="174"/>
      <c r="E87" s="174"/>
      <c r="F87" s="174"/>
      <c r="G87" s="174"/>
      <c r="H87" s="175" t="s">
        <v>217</v>
      </c>
      <c r="I87" s="13"/>
      <c r="J87" s="147"/>
    </row>
    <row r="88">
      <c r="A88" s="146">
        <v>87.0</v>
      </c>
      <c r="B88" s="13" t="s">
        <v>208</v>
      </c>
      <c r="C88" s="13" t="s">
        <v>208</v>
      </c>
      <c r="D88" s="13" t="s">
        <v>208</v>
      </c>
      <c r="E88" s="13" t="s">
        <v>208</v>
      </c>
      <c r="F88" s="13" t="s">
        <v>208</v>
      </c>
      <c r="G88" s="67"/>
      <c r="H88" s="67"/>
      <c r="I88" s="67"/>
      <c r="J88" s="147"/>
    </row>
    <row r="89">
      <c r="A89" s="146">
        <v>88.0</v>
      </c>
      <c r="B89" s="13" t="s">
        <v>208</v>
      </c>
      <c r="C89" s="13" t="s">
        <v>208</v>
      </c>
      <c r="D89" s="13" t="s">
        <v>208</v>
      </c>
      <c r="E89" s="13" t="s">
        <v>208</v>
      </c>
      <c r="F89" s="13" t="s">
        <v>208</v>
      </c>
      <c r="G89" s="67"/>
      <c r="H89" s="67"/>
      <c r="I89" s="67"/>
      <c r="J89" s="147"/>
    </row>
    <row r="90">
      <c r="A90" s="146">
        <v>89.0</v>
      </c>
      <c r="B90" s="13" t="s">
        <v>208</v>
      </c>
      <c r="C90" s="13" t="s">
        <v>208</v>
      </c>
      <c r="D90" s="13" t="s">
        <v>208</v>
      </c>
      <c r="E90" s="13" t="s">
        <v>208</v>
      </c>
      <c r="F90" s="13" t="s">
        <v>208</v>
      </c>
      <c r="G90" s="67"/>
      <c r="H90" s="67"/>
      <c r="I90" s="67"/>
      <c r="J90" s="147"/>
    </row>
    <row r="91">
      <c r="A91" s="146">
        <v>90.0</v>
      </c>
      <c r="B91" s="13" t="s">
        <v>208</v>
      </c>
      <c r="C91" s="13" t="s">
        <v>208</v>
      </c>
      <c r="D91" s="13" t="s">
        <v>208</v>
      </c>
      <c r="E91" s="13" t="s">
        <v>208</v>
      </c>
      <c r="F91" s="13" t="s">
        <v>208</v>
      </c>
      <c r="G91" s="67"/>
      <c r="H91" s="67"/>
      <c r="I91" s="67"/>
      <c r="J91" s="147"/>
    </row>
    <row r="92">
      <c r="A92" s="146">
        <v>91.0</v>
      </c>
      <c r="B92" s="13" t="s">
        <v>208</v>
      </c>
      <c r="C92" s="13" t="s">
        <v>208</v>
      </c>
      <c r="D92" s="13" t="s">
        <v>208</v>
      </c>
      <c r="E92" s="13" t="s">
        <v>208</v>
      </c>
      <c r="F92" s="13" t="s">
        <v>208</v>
      </c>
      <c r="G92" s="67"/>
      <c r="H92" s="67"/>
      <c r="I92" s="67"/>
      <c r="J92" s="147"/>
    </row>
    <row r="93">
      <c r="A93" s="146">
        <v>92.0</v>
      </c>
      <c r="B93" s="13" t="s">
        <v>208</v>
      </c>
      <c r="C93" s="13" t="s">
        <v>208</v>
      </c>
      <c r="D93" s="13" t="s">
        <v>208</v>
      </c>
      <c r="E93" s="13" t="s">
        <v>208</v>
      </c>
      <c r="F93" s="13" t="s">
        <v>208</v>
      </c>
      <c r="G93" s="67"/>
      <c r="H93" s="67"/>
      <c r="I93" s="67"/>
      <c r="J93" s="147"/>
    </row>
    <row r="94">
      <c r="A94" s="146">
        <v>93.0</v>
      </c>
      <c r="B94" s="13" t="s">
        <v>208</v>
      </c>
      <c r="C94" s="13" t="s">
        <v>208</v>
      </c>
      <c r="D94" s="13" t="s">
        <v>208</v>
      </c>
      <c r="E94" s="13" t="s">
        <v>208</v>
      </c>
      <c r="F94" s="13" t="s">
        <v>208</v>
      </c>
      <c r="G94" s="67"/>
      <c r="H94" s="67"/>
      <c r="I94" s="67"/>
      <c r="J94" s="147"/>
    </row>
    <row r="95">
      <c r="A95" s="146">
        <v>94.0</v>
      </c>
      <c r="B95" s="13" t="s">
        <v>208</v>
      </c>
      <c r="C95" s="13" t="s">
        <v>208</v>
      </c>
      <c r="D95" s="13" t="s">
        <v>208</v>
      </c>
      <c r="E95" s="13" t="s">
        <v>208</v>
      </c>
      <c r="F95" s="13" t="s">
        <v>208</v>
      </c>
      <c r="G95" s="67"/>
      <c r="H95" s="67"/>
      <c r="I95" s="67"/>
      <c r="J95" s="147"/>
    </row>
    <row r="96">
      <c r="A96" s="146">
        <v>95.0</v>
      </c>
      <c r="B96" s="13" t="s">
        <v>208</v>
      </c>
      <c r="C96" s="13" t="s">
        <v>208</v>
      </c>
      <c r="D96" s="13" t="s">
        <v>208</v>
      </c>
      <c r="E96" s="13" t="s">
        <v>208</v>
      </c>
      <c r="F96" s="13" t="s">
        <v>208</v>
      </c>
      <c r="G96" s="67"/>
      <c r="H96" s="67"/>
      <c r="I96" s="67"/>
      <c r="J96" s="147"/>
    </row>
    <row r="97">
      <c r="A97" s="146">
        <v>96.0</v>
      </c>
      <c r="B97" s="13" t="s">
        <v>208</v>
      </c>
      <c r="C97" s="13" t="s">
        <v>208</v>
      </c>
      <c r="D97" s="13" t="s">
        <v>208</v>
      </c>
      <c r="E97" s="13" t="s">
        <v>208</v>
      </c>
      <c r="F97" s="13" t="s">
        <v>208</v>
      </c>
      <c r="G97" s="67"/>
      <c r="H97" s="67"/>
      <c r="I97" s="67"/>
      <c r="J97" s="147"/>
    </row>
    <row r="98">
      <c r="A98" s="176">
        <v>97.0</v>
      </c>
      <c r="B98" s="13" t="s">
        <v>208</v>
      </c>
      <c r="C98" s="99"/>
      <c r="D98" s="99"/>
      <c r="E98" s="99"/>
      <c r="F98" s="99"/>
      <c r="G98" s="67"/>
      <c r="H98" s="67"/>
      <c r="I98" s="67"/>
      <c r="J98" s="147"/>
    </row>
    <row r="99">
      <c r="A99" s="146">
        <v>98.0</v>
      </c>
      <c r="B99" s="13" t="s">
        <v>208</v>
      </c>
      <c r="C99" s="99"/>
      <c r="D99" s="13" t="s">
        <v>208</v>
      </c>
      <c r="E99" s="13" t="s">
        <v>208</v>
      </c>
      <c r="F99" s="13" t="s">
        <v>208</v>
      </c>
      <c r="G99" s="67"/>
      <c r="H99" s="67"/>
      <c r="I99" s="67"/>
      <c r="J99" s="147"/>
    </row>
    <row r="100">
      <c r="A100" s="146">
        <v>99.0</v>
      </c>
      <c r="B100" s="13" t="s">
        <v>208</v>
      </c>
      <c r="C100" s="13" t="s">
        <v>208</v>
      </c>
      <c r="D100" s="13" t="s">
        <v>208</v>
      </c>
      <c r="E100" s="13" t="s">
        <v>208</v>
      </c>
      <c r="F100" s="13" t="s">
        <v>208</v>
      </c>
      <c r="G100" s="67"/>
      <c r="H100" s="67"/>
      <c r="I100" s="67"/>
      <c r="J100" s="147"/>
    </row>
    <row r="101">
      <c r="A101" s="146">
        <v>100.0</v>
      </c>
      <c r="B101" s="13" t="s">
        <v>208</v>
      </c>
      <c r="C101" s="13" t="s">
        <v>208</v>
      </c>
      <c r="D101" s="13" t="s">
        <v>208</v>
      </c>
      <c r="E101" s="13" t="s">
        <v>208</v>
      </c>
      <c r="F101" s="13" t="s">
        <v>208</v>
      </c>
      <c r="G101" s="67"/>
      <c r="H101" s="67"/>
      <c r="I101" s="67"/>
      <c r="J101" s="147"/>
    </row>
    <row r="102">
      <c r="A102" s="146">
        <v>101.0</v>
      </c>
      <c r="B102" s="13" t="s">
        <v>208</v>
      </c>
      <c r="C102" s="13" t="s">
        <v>208</v>
      </c>
      <c r="D102" s="13" t="s">
        <v>208</v>
      </c>
      <c r="E102" s="13" t="s">
        <v>208</v>
      </c>
      <c r="F102" s="13" t="s">
        <v>208</v>
      </c>
      <c r="G102" s="67"/>
      <c r="H102" s="67"/>
      <c r="I102" s="67"/>
      <c r="J102" s="147"/>
    </row>
    <row r="103">
      <c r="A103" s="146">
        <v>102.0</v>
      </c>
      <c r="B103" s="13" t="s">
        <v>208</v>
      </c>
      <c r="C103" s="13" t="s">
        <v>208</v>
      </c>
      <c r="D103" s="13" t="s">
        <v>208</v>
      </c>
      <c r="E103" s="13" t="s">
        <v>208</v>
      </c>
      <c r="F103" s="13" t="s">
        <v>208</v>
      </c>
      <c r="G103" s="67"/>
      <c r="H103" s="67"/>
      <c r="I103" s="67"/>
      <c r="J103" s="147"/>
    </row>
    <row r="104">
      <c r="A104" s="146">
        <v>103.0</v>
      </c>
      <c r="B104" s="13" t="s">
        <v>208</v>
      </c>
      <c r="C104" s="13" t="s">
        <v>208</v>
      </c>
      <c r="D104" s="13" t="s">
        <v>208</v>
      </c>
      <c r="E104" s="13" t="s">
        <v>208</v>
      </c>
      <c r="F104" s="13" t="s">
        <v>208</v>
      </c>
      <c r="G104" s="67"/>
      <c r="H104" s="67"/>
      <c r="I104" s="67"/>
      <c r="J104" s="147"/>
    </row>
    <row r="105">
      <c r="A105" s="146">
        <v>104.0</v>
      </c>
      <c r="B105" s="13" t="s">
        <v>208</v>
      </c>
      <c r="C105" s="13" t="s">
        <v>208</v>
      </c>
      <c r="D105" s="13" t="s">
        <v>208</v>
      </c>
      <c r="E105" s="13" t="s">
        <v>208</v>
      </c>
      <c r="F105" s="13" t="s">
        <v>208</v>
      </c>
      <c r="G105" s="67"/>
      <c r="H105" s="67"/>
      <c r="I105" s="67"/>
      <c r="J105" s="147"/>
    </row>
    <row r="106">
      <c r="A106" s="146">
        <v>105.0</v>
      </c>
      <c r="B106" s="13" t="s">
        <v>208</v>
      </c>
      <c r="C106" s="99"/>
      <c r="D106" s="13" t="s">
        <v>208</v>
      </c>
      <c r="E106" s="13" t="s">
        <v>208</v>
      </c>
      <c r="F106" s="13" t="s">
        <v>208</v>
      </c>
      <c r="G106" s="67"/>
      <c r="H106" s="67"/>
      <c r="I106" s="67"/>
      <c r="J106" s="147"/>
    </row>
    <row r="107">
      <c r="A107" s="146">
        <v>106.0</v>
      </c>
      <c r="B107" s="13" t="s">
        <v>208</v>
      </c>
      <c r="C107" s="13" t="s">
        <v>208</v>
      </c>
      <c r="D107" s="99"/>
      <c r="E107" s="13" t="s">
        <v>208</v>
      </c>
      <c r="F107" s="13" t="s">
        <v>208</v>
      </c>
      <c r="G107" s="67"/>
      <c r="H107" s="67"/>
      <c r="I107" s="67"/>
      <c r="J107" s="147"/>
    </row>
    <row r="108">
      <c r="A108" s="146">
        <v>107.0</v>
      </c>
      <c r="B108" s="13" t="s">
        <v>208</v>
      </c>
      <c r="C108" s="13" t="s">
        <v>208</v>
      </c>
      <c r="D108" s="13" t="s">
        <v>208</v>
      </c>
      <c r="E108" s="13" t="s">
        <v>208</v>
      </c>
      <c r="F108" s="13" t="s">
        <v>208</v>
      </c>
      <c r="G108" s="67"/>
      <c r="H108" s="67"/>
      <c r="I108" s="67"/>
      <c r="J108" s="147"/>
    </row>
    <row r="109">
      <c r="A109" s="146">
        <v>108.0</v>
      </c>
      <c r="B109" s="13" t="s">
        <v>208</v>
      </c>
      <c r="C109" s="13" t="s">
        <v>208</v>
      </c>
      <c r="D109" s="99"/>
      <c r="E109" s="13" t="s">
        <v>208</v>
      </c>
      <c r="F109" s="13" t="s">
        <v>208</v>
      </c>
      <c r="G109" s="67"/>
      <c r="H109" s="67"/>
      <c r="I109" s="67"/>
      <c r="J109" s="147"/>
    </row>
    <row r="110">
      <c r="A110" s="146">
        <v>109.0</v>
      </c>
      <c r="B110" s="13" t="s">
        <v>208</v>
      </c>
      <c r="C110" s="13" t="s">
        <v>208</v>
      </c>
      <c r="D110" s="13" t="s">
        <v>208</v>
      </c>
      <c r="E110" s="13" t="s">
        <v>208</v>
      </c>
      <c r="F110" s="13" t="s">
        <v>208</v>
      </c>
      <c r="G110" s="67"/>
      <c r="H110" s="67"/>
      <c r="I110" s="67"/>
      <c r="J110" s="147"/>
    </row>
    <row r="111">
      <c r="A111" s="146">
        <v>110.0</v>
      </c>
      <c r="B111" s="13" t="s">
        <v>208</v>
      </c>
      <c r="C111" s="13" t="s">
        <v>208</v>
      </c>
      <c r="D111" s="13" t="s">
        <v>208</v>
      </c>
      <c r="E111" s="13" t="s">
        <v>208</v>
      </c>
      <c r="F111" s="13" t="s">
        <v>208</v>
      </c>
      <c r="G111" s="67"/>
      <c r="H111" s="67"/>
      <c r="I111" s="67"/>
      <c r="J111" s="147"/>
    </row>
    <row r="112">
      <c r="A112" s="146">
        <v>111.0</v>
      </c>
      <c r="B112" s="13" t="s">
        <v>208</v>
      </c>
      <c r="C112" s="13" t="s">
        <v>208</v>
      </c>
      <c r="D112" s="13" t="s">
        <v>208</v>
      </c>
      <c r="E112" s="13" t="s">
        <v>208</v>
      </c>
      <c r="F112" s="13" t="s">
        <v>208</v>
      </c>
      <c r="G112" s="67"/>
      <c r="H112" s="67"/>
      <c r="I112" s="67"/>
      <c r="J112" s="147"/>
    </row>
    <row r="113">
      <c r="A113" s="146">
        <v>112.0</v>
      </c>
      <c r="B113" s="13" t="s">
        <v>208</v>
      </c>
      <c r="C113" s="13" t="s">
        <v>208</v>
      </c>
      <c r="D113" s="13" t="s">
        <v>208</v>
      </c>
      <c r="E113" s="13" t="s">
        <v>208</v>
      </c>
      <c r="F113" s="13" t="s">
        <v>208</v>
      </c>
      <c r="G113" s="67"/>
      <c r="H113" s="67"/>
      <c r="I113" s="67"/>
      <c r="J113" s="147"/>
    </row>
    <row r="114">
      <c r="A114" s="146">
        <v>113.0</v>
      </c>
      <c r="B114" s="13" t="s">
        <v>208</v>
      </c>
      <c r="C114" s="13" t="s">
        <v>208</v>
      </c>
      <c r="D114" s="13" t="s">
        <v>208</v>
      </c>
      <c r="E114" s="13" t="s">
        <v>208</v>
      </c>
      <c r="F114" s="13" t="s">
        <v>208</v>
      </c>
      <c r="G114" s="67"/>
      <c r="H114" s="67"/>
      <c r="I114" s="67"/>
      <c r="J114" s="147"/>
    </row>
    <row r="115">
      <c r="A115" s="146">
        <v>114.0</v>
      </c>
      <c r="B115" s="13" t="s">
        <v>208</v>
      </c>
      <c r="C115" s="13" t="s">
        <v>208</v>
      </c>
      <c r="D115" s="13" t="s">
        <v>208</v>
      </c>
      <c r="E115" s="13" t="s">
        <v>208</v>
      </c>
      <c r="F115" s="13" t="s">
        <v>208</v>
      </c>
      <c r="G115" s="67"/>
      <c r="H115" s="67"/>
      <c r="I115" s="67"/>
      <c r="J115" s="147"/>
    </row>
    <row r="116">
      <c r="A116" s="146">
        <v>115.0</v>
      </c>
      <c r="B116" s="13" t="s">
        <v>208</v>
      </c>
      <c r="C116" s="13" t="s">
        <v>208</v>
      </c>
      <c r="D116" s="13" t="s">
        <v>208</v>
      </c>
      <c r="E116" s="13" t="s">
        <v>208</v>
      </c>
      <c r="F116" s="13" t="s">
        <v>208</v>
      </c>
      <c r="G116" s="67"/>
      <c r="H116" s="67"/>
      <c r="I116" s="67"/>
      <c r="J116" s="147"/>
    </row>
    <row r="117">
      <c r="A117" s="146">
        <v>116.0</v>
      </c>
      <c r="B117" s="13" t="s">
        <v>208</v>
      </c>
      <c r="C117" s="13" t="s">
        <v>208</v>
      </c>
      <c r="D117" s="13" t="s">
        <v>208</v>
      </c>
      <c r="E117" s="13" t="s">
        <v>208</v>
      </c>
      <c r="F117" s="13" t="s">
        <v>208</v>
      </c>
      <c r="G117" s="67"/>
      <c r="H117" s="67"/>
      <c r="I117" s="67"/>
      <c r="J117" s="147"/>
    </row>
    <row r="118">
      <c r="A118" s="146">
        <v>117.0</v>
      </c>
      <c r="B118" s="67"/>
      <c r="C118" s="13" t="s">
        <v>208</v>
      </c>
      <c r="D118" s="13" t="s">
        <v>208</v>
      </c>
      <c r="E118" s="13" t="s">
        <v>208</v>
      </c>
      <c r="F118" s="13"/>
      <c r="G118" s="13" t="s">
        <v>208</v>
      </c>
      <c r="H118" s="67"/>
      <c r="I118" s="67"/>
      <c r="J118" s="147"/>
    </row>
    <row r="119">
      <c r="A119" s="146">
        <v>118.0</v>
      </c>
      <c r="B119" s="13" t="s">
        <v>208</v>
      </c>
      <c r="C119" s="13" t="s">
        <v>208</v>
      </c>
      <c r="D119" s="13" t="s">
        <v>208</v>
      </c>
      <c r="E119" s="13" t="s">
        <v>208</v>
      </c>
      <c r="F119" s="13" t="s">
        <v>208</v>
      </c>
      <c r="G119" s="67"/>
      <c r="H119" s="67"/>
      <c r="I119" s="67"/>
      <c r="J119" s="147"/>
    </row>
    <row r="120">
      <c r="A120" s="146">
        <v>119.0</v>
      </c>
      <c r="B120" s="13" t="s">
        <v>208</v>
      </c>
      <c r="C120" s="13" t="s">
        <v>208</v>
      </c>
      <c r="D120" s="13" t="s">
        <v>208</v>
      </c>
      <c r="E120" s="13" t="s">
        <v>208</v>
      </c>
      <c r="F120" s="13" t="s">
        <v>208</v>
      </c>
      <c r="G120" s="67"/>
      <c r="H120" s="67"/>
      <c r="I120" s="67"/>
      <c r="J120" s="147"/>
    </row>
    <row r="121">
      <c r="A121" s="146">
        <v>120.0</v>
      </c>
      <c r="B121" s="13" t="s">
        <v>208</v>
      </c>
      <c r="C121" s="13" t="s">
        <v>208</v>
      </c>
      <c r="D121" s="99"/>
      <c r="E121" s="13" t="s">
        <v>208</v>
      </c>
      <c r="F121" s="13" t="s">
        <v>208</v>
      </c>
      <c r="G121" s="67"/>
      <c r="H121" s="67"/>
      <c r="I121" s="67"/>
      <c r="J121" s="147"/>
    </row>
    <row r="122">
      <c r="A122" s="146">
        <v>121.0</v>
      </c>
      <c r="B122" s="13" t="s">
        <v>208</v>
      </c>
      <c r="C122" s="13" t="s">
        <v>208</v>
      </c>
      <c r="D122" s="13" t="s">
        <v>208</v>
      </c>
      <c r="E122" s="13" t="s">
        <v>208</v>
      </c>
      <c r="F122" s="13" t="s">
        <v>208</v>
      </c>
      <c r="G122" s="67"/>
      <c r="H122" s="67"/>
      <c r="I122" s="67"/>
      <c r="J122" s="147"/>
    </row>
    <row r="123">
      <c r="A123" s="146">
        <v>122.0</v>
      </c>
      <c r="B123" s="13" t="s">
        <v>208</v>
      </c>
      <c r="C123" s="13" t="s">
        <v>208</v>
      </c>
      <c r="D123" s="13" t="s">
        <v>208</v>
      </c>
      <c r="E123" s="13" t="s">
        <v>208</v>
      </c>
      <c r="F123" s="13" t="s">
        <v>208</v>
      </c>
      <c r="G123" s="67"/>
      <c r="H123" s="67"/>
      <c r="I123" s="67"/>
      <c r="J123" s="147"/>
    </row>
    <row r="124">
      <c r="A124" s="146">
        <v>123.0</v>
      </c>
      <c r="B124" s="13" t="s">
        <v>208</v>
      </c>
      <c r="C124" s="13" t="s">
        <v>208</v>
      </c>
      <c r="D124" s="13" t="s">
        <v>208</v>
      </c>
      <c r="E124" s="13" t="s">
        <v>208</v>
      </c>
      <c r="F124" s="13" t="s">
        <v>208</v>
      </c>
      <c r="G124" s="67"/>
      <c r="H124" s="67"/>
      <c r="I124" s="67"/>
      <c r="J124" s="147"/>
    </row>
    <row r="125">
      <c r="A125" s="146">
        <v>124.0</v>
      </c>
      <c r="B125" s="13" t="s">
        <v>208</v>
      </c>
      <c r="C125" s="13" t="s">
        <v>208</v>
      </c>
      <c r="D125" s="13" t="s">
        <v>208</v>
      </c>
      <c r="E125" s="13" t="s">
        <v>208</v>
      </c>
      <c r="F125" s="13" t="s">
        <v>208</v>
      </c>
      <c r="G125" s="67"/>
      <c r="H125" s="67"/>
      <c r="I125" s="67"/>
      <c r="J125" s="147"/>
    </row>
    <row r="126">
      <c r="A126" s="146">
        <v>125.0</v>
      </c>
      <c r="B126" s="13" t="s">
        <v>208</v>
      </c>
      <c r="C126" s="13" t="s">
        <v>208</v>
      </c>
      <c r="D126" s="13" t="s">
        <v>208</v>
      </c>
      <c r="E126" s="13" t="s">
        <v>208</v>
      </c>
      <c r="F126" s="13" t="s">
        <v>208</v>
      </c>
      <c r="G126" s="67"/>
      <c r="H126" s="67"/>
      <c r="I126" s="67"/>
      <c r="J126" s="147"/>
    </row>
    <row r="127">
      <c r="A127" s="146">
        <v>126.0</v>
      </c>
      <c r="B127" s="13" t="s">
        <v>208</v>
      </c>
      <c r="C127" s="13" t="s">
        <v>208</v>
      </c>
      <c r="D127" s="13" t="s">
        <v>208</v>
      </c>
      <c r="E127" s="13" t="s">
        <v>208</v>
      </c>
      <c r="F127" s="13" t="s">
        <v>208</v>
      </c>
      <c r="G127" s="67"/>
      <c r="H127" s="67"/>
      <c r="I127" s="67"/>
      <c r="J127" s="147"/>
    </row>
    <row r="128">
      <c r="A128" s="146">
        <v>127.0</v>
      </c>
      <c r="B128" s="13" t="s">
        <v>208</v>
      </c>
      <c r="C128" s="13" t="s">
        <v>208</v>
      </c>
      <c r="D128" s="13" t="s">
        <v>208</v>
      </c>
      <c r="E128" s="13" t="s">
        <v>208</v>
      </c>
      <c r="F128" s="13" t="s">
        <v>208</v>
      </c>
      <c r="G128" s="67"/>
      <c r="H128" s="67"/>
      <c r="I128" s="67"/>
      <c r="J128" s="147"/>
    </row>
    <row r="129">
      <c r="A129" s="146">
        <v>128.0</v>
      </c>
      <c r="B129" s="13" t="s">
        <v>208</v>
      </c>
      <c r="C129" s="13" t="s">
        <v>208</v>
      </c>
      <c r="D129" s="13" t="s">
        <v>208</v>
      </c>
      <c r="E129" s="13" t="s">
        <v>208</v>
      </c>
      <c r="F129" s="13" t="s">
        <v>208</v>
      </c>
      <c r="G129" s="67"/>
      <c r="H129" s="67"/>
      <c r="I129" s="67"/>
      <c r="J129" s="147"/>
    </row>
    <row r="130">
      <c r="A130" s="146">
        <v>129.0</v>
      </c>
      <c r="B130" s="13" t="s">
        <v>208</v>
      </c>
      <c r="C130" s="13" t="s">
        <v>208</v>
      </c>
      <c r="D130" s="13" t="s">
        <v>208</v>
      </c>
      <c r="E130" s="13" t="s">
        <v>208</v>
      </c>
      <c r="F130" s="13" t="s">
        <v>208</v>
      </c>
      <c r="G130" s="67"/>
      <c r="H130" s="67"/>
      <c r="I130" s="67"/>
      <c r="J130" s="147"/>
    </row>
    <row r="131">
      <c r="A131" s="146">
        <v>130.0</v>
      </c>
      <c r="B131" s="13" t="s">
        <v>208</v>
      </c>
      <c r="C131" s="13" t="s">
        <v>208</v>
      </c>
      <c r="D131" s="13" t="s">
        <v>208</v>
      </c>
      <c r="E131" s="13" t="s">
        <v>208</v>
      </c>
      <c r="F131" s="13" t="s">
        <v>208</v>
      </c>
      <c r="G131" s="67"/>
      <c r="H131" s="67"/>
      <c r="I131" s="67"/>
      <c r="J131" s="147"/>
    </row>
    <row r="132">
      <c r="A132" s="146">
        <v>131.0</v>
      </c>
      <c r="B132" s="13" t="s">
        <v>208</v>
      </c>
      <c r="C132" s="13" t="s">
        <v>208</v>
      </c>
      <c r="D132" s="13" t="s">
        <v>208</v>
      </c>
      <c r="E132" s="13" t="s">
        <v>208</v>
      </c>
      <c r="F132" s="13" t="s">
        <v>208</v>
      </c>
      <c r="G132" s="67"/>
      <c r="H132" s="67"/>
      <c r="I132" s="67"/>
      <c r="J132" s="147"/>
    </row>
    <row r="133">
      <c r="A133" s="146">
        <v>132.0</v>
      </c>
      <c r="B133" s="13" t="s">
        <v>208</v>
      </c>
      <c r="C133" s="13" t="s">
        <v>208</v>
      </c>
      <c r="D133" s="13" t="s">
        <v>208</v>
      </c>
      <c r="E133" s="13" t="s">
        <v>208</v>
      </c>
      <c r="F133" s="13" t="s">
        <v>208</v>
      </c>
      <c r="G133" s="67"/>
      <c r="H133" s="67"/>
      <c r="I133" s="67"/>
      <c r="J133" s="147"/>
    </row>
    <row r="134">
      <c r="A134" s="146">
        <v>133.0</v>
      </c>
      <c r="B134" s="13" t="s">
        <v>208</v>
      </c>
      <c r="C134" s="13" t="s">
        <v>208</v>
      </c>
      <c r="D134" s="13" t="s">
        <v>208</v>
      </c>
      <c r="E134" s="13" t="s">
        <v>208</v>
      </c>
      <c r="F134" s="13" t="s">
        <v>208</v>
      </c>
      <c r="G134" s="67"/>
      <c r="H134" s="67"/>
      <c r="I134" s="67"/>
      <c r="J134" s="147"/>
    </row>
    <row r="135">
      <c r="A135" s="146">
        <v>134.0</v>
      </c>
      <c r="B135" s="13" t="s">
        <v>208</v>
      </c>
      <c r="C135" s="13" t="s">
        <v>208</v>
      </c>
      <c r="D135" s="13" t="s">
        <v>208</v>
      </c>
      <c r="E135" s="13" t="s">
        <v>208</v>
      </c>
      <c r="F135" s="13" t="s">
        <v>208</v>
      </c>
      <c r="G135" s="67"/>
      <c r="H135" s="67"/>
      <c r="I135" s="67"/>
      <c r="J135" s="147"/>
    </row>
    <row r="136">
      <c r="A136" s="146">
        <v>135.0</v>
      </c>
      <c r="B136" s="13" t="s">
        <v>208</v>
      </c>
      <c r="C136" s="13" t="s">
        <v>208</v>
      </c>
      <c r="D136" s="13" t="s">
        <v>208</v>
      </c>
      <c r="E136" s="13" t="s">
        <v>208</v>
      </c>
      <c r="F136" s="13" t="s">
        <v>208</v>
      </c>
      <c r="G136" s="67"/>
      <c r="H136" s="67"/>
      <c r="I136" s="67"/>
      <c r="J136" s="147"/>
    </row>
    <row r="137">
      <c r="A137" s="146">
        <v>136.0</v>
      </c>
      <c r="B137" s="13" t="s">
        <v>208</v>
      </c>
      <c r="C137" s="13" t="s">
        <v>208</v>
      </c>
      <c r="D137" s="13" t="s">
        <v>208</v>
      </c>
      <c r="E137" s="13" t="s">
        <v>208</v>
      </c>
      <c r="F137" s="13" t="s">
        <v>208</v>
      </c>
      <c r="G137" s="67"/>
      <c r="H137" s="67"/>
      <c r="I137" s="67"/>
      <c r="J137" s="147"/>
    </row>
    <row r="138">
      <c r="A138" s="146">
        <v>137.0</v>
      </c>
      <c r="B138" s="13" t="s">
        <v>208</v>
      </c>
      <c r="C138" s="13" t="s">
        <v>208</v>
      </c>
      <c r="D138" s="13" t="s">
        <v>208</v>
      </c>
      <c r="E138" s="13" t="s">
        <v>208</v>
      </c>
      <c r="F138" s="13" t="s">
        <v>208</v>
      </c>
      <c r="G138" s="67"/>
      <c r="H138" s="67"/>
      <c r="I138" s="67"/>
      <c r="J138" s="147"/>
    </row>
    <row r="139">
      <c r="A139" s="146">
        <v>138.0</v>
      </c>
      <c r="B139" s="13" t="s">
        <v>208</v>
      </c>
      <c r="C139" s="13" t="s">
        <v>208</v>
      </c>
      <c r="D139" s="13" t="s">
        <v>208</v>
      </c>
      <c r="E139" s="13" t="s">
        <v>208</v>
      </c>
      <c r="F139" s="13" t="s">
        <v>208</v>
      </c>
      <c r="G139" s="67"/>
      <c r="H139" s="67"/>
      <c r="I139" s="67"/>
      <c r="J139" s="147"/>
    </row>
    <row r="140">
      <c r="A140" s="146">
        <v>139.0</v>
      </c>
      <c r="B140" s="13" t="s">
        <v>208</v>
      </c>
      <c r="C140" s="13" t="s">
        <v>208</v>
      </c>
      <c r="D140" s="99"/>
      <c r="E140" s="13" t="s">
        <v>208</v>
      </c>
      <c r="F140" s="13" t="s">
        <v>208</v>
      </c>
      <c r="G140" s="67"/>
      <c r="H140" s="67"/>
      <c r="I140" s="67"/>
      <c r="J140" s="147"/>
    </row>
    <row r="141">
      <c r="A141" s="146">
        <v>140.0</v>
      </c>
      <c r="B141" s="13" t="s">
        <v>208</v>
      </c>
      <c r="C141" s="13" t="s">
        <v>208</v>
      </c>
      <c r="D141" s="13" t="s">
        <v>208</v>
      </c>
      <c r="E141" s="13" t="s">
        <v>208</v>
      </c>
      <c r="F141" s="13" t="s">
        <v>208</v>
      </c>
      <c r="G141" s="67"/>
      <c r="H141" s="67"/>
      <c r="I141" s="67"/>
      <c r="J141" s="147"/>
    </row>
    <row r="142">
      <c r="A142" s="146">
        <v>141.0</v>
      </c>
      <c r="B142" s="13" t="s">
        <v>208</v>
      </c>
      <c r="C142" s="13" t="s">
        <v>208</v>
      </c>
      <c r="D142" s="13" t="s">
        <v>208</v>
      </c>
      <c r="E142" s="13" t="s">
        <v>208</v>
      </c>
      <c r="F142" s="13" t="s">
        <v>208</v>
      </c>
      <c r="G142" s="67"/>
      <c r="H142" s="67"/>
      <c r="I142" s="67"/>
      <c r="J142" s="147"/>
    </row>
    <row r="143">
      <c r="A143" s="146">
        <v>142.0</v>
      </c>
      <c r="B143" s="13" t="s">
        <v>208</v>
      </c>
      <c r="C143" s="13" t="s">
        <v>208</v>
      </c>
      <c r="D143" s="13" t="s">
        <v>208</v>
      </c>
      <c r="E143" s="13" t="s">
        <v>208</v>
      </c>
      <c r="F143" s="13" t="s">
        <v>208</v>
      </c>
      <c r="G143" s="67"/>
      <c r="H143" s="67"/>
      <c r="I143" s="67"/>
      <c r="J143" s="147"/>
    </row>
    <row r="144">
      <c r="A144" s="146">
        <v>143.0</v>
      </c>
      <c r="B144" s="13" t="s">
        <v>208</v>
      </c>
      <c r="C144" s="13" t="s">
        <v>208</v>
      </c>
      <c r="D144" s="13" t="s">
        <v>208</v>
      </c>
      <c r="E144" s="13" t="s">
        <v>208</v>
      </c>
      <c r="F144" s="13" t="s">
        <v>208</v>
      </c>
      <c r="G144" s="67"/>
      <c r="H144" s="67"/>
      <c r="I144" s="67"/>
      <c r="J144" s="147"/>
    </row>
    <row r="145">
      <c r="A145" s="146">
        <v>144.0</v>
      </c>
      <c r="B145" s="13" t="s">
        <v>208</v>
      </c>
      <c r="C145" s="13" t="s">
        <v>208</v>
      </c>
      <c r="D145" s="13" t="s">
        <v>208</v>
      </c>
      <c r="E145" s="13" t="s">
        <v>208</v>
      </c>
      <c r="F145" s="13" t="s">
        <v>208</v>
      </c>
      <c r="G145" s="67"/>
      <c r="H145" s="67"/>
      <c r="I145" s="67"/>
      <c r="J145" s="147"/>
    </row>
    <row r="146">
      <c r="A146" s="146">
        <v>145.0</v>
      </c>
      <c r="B146" s="13" t="s">
        <v>208</v>
      </c>
      <c r="C146" s="13" t="s">
        <v>208</v>
      </c>
      <c r="D146" s="13" t="s">
        <v>208</v>
      </c>
      <c r="E146" s="13" t="s">
        <v>208</v>
      </c>
      <c r="F146" s="13" t="s">
        <v>208</v>
      </c>
      <c r="G146" s="67"/>
      <c r="H146" s="67"/>
      <c r="I146" s="67"/>
      <c r="J146" s="147"/>
    </row>
    <row r="147">
      <c r="A147" s="146">
        <v>146.0</v>
      </c>
      <c r="B147" s="13" t="s">
        <v>208</v>
      </c>
      <c r="C147" s="13" t="s">
        <v>208</v>
      </c>
      <c r="D147" s="13" t="s">
        <v>208</v>
      </c>
      <c r="E147" s="13" t="s">
        <v>208</v>
      </c>
      <c r="F147" s="13" t="s">
        <v>208</v>
      </c>
      <c r="G147" s="67"/>
      <c r="H147" s="67"/>
      <c r="I147" s="67"/>
      <c r="J147" s="147"/>
    </row>
    <row r="148">
      <c r="A148" s="146">
        <v>147.0</v>
      </c>
      <c r="B148" s="13" t="s">
        <v>208</v>
      </c>
      <c r="C148" s="13" t="s">
        <v>208</v>
      </c>
      <c r="D148" s="13" t="s">
        <v>208</v>
      </c>
      <c r="E148" s="13" t="s">
        <v>208</v>
      </c>
      <c r="F148" s="13" t="s">
        <v>208</v>
      </c>
      <c r="G148" s="67"/>
      <c r="H148" s="67"/>
      <c r="I148" s="67"/>
      <c r="J148" s="147"/>
    </row>
    <row r="149">
      <c r="A149" s="146">
        <v>148.0</v>
      </c>
      <c r="B149" s="13" t="s">
        <v>208</v>
      </c>
      <c r="C149" s="13" t="s">
        <v>208</v>
      </c>
      <c r="D149" s="13" t="s">
        <v>208</v>
      </c>
      <c r="E149" s="13" t="s">
        <v>208</v>
      </c>
      <c r="F149" s="13" t="s">
        <v>208</v>
      </c>
      <c r="G149" s="67"/>
      <c r="H149" s="67"/>
      <c r="I149" s="67"/>
      <c r="J149" s="147"/>
    </row>
    <row r="150">
      <c r="A150" s="146">
        <v>149.0</v>
      </c>
      <c r="B150" s="13" t="s">
        <v>208</v>
      </c>
      <c r="C150" s="99"/>
      <c r="D150" s="13" t="s">
        <v>208</v>
      </c>
      <c r="E150" s="13" t="s">
        <v>208</v>
      </c>
      <c r="F150" s="13" t="s">
        <v>208</v>
      </c>
      <c r="G150" s="67"/>
      <c r="H150" s="67"/>
      <c r="I150" s="67"/>
      <c r="J150" s="147"/>
    </row>
    <row r="151">
      <c r="A151" s="146">
        <v>150.0</v>
      </c>
      <c r="B151" s="13" t="s">
        <v>208</v>
      </c>
      <c r="C151" s="13" t="s">
        <v>208</v>
      </c>
      <c r="D151" s="13" t="s">
        <v>208</v>
      </c>
      <c r="E151" s="13" t="s">
        <v>208</v>
      </c>
      <c r="F151" s="13" t="s">
        <v>208</v>
      </c>
      <c r="G151" s="67"/>
      <c r="H151" s="67"/>
      <c r="I151" s="67"/>
      <c r="J151" s="147"/>
    </row>
    <row r="152">
      <c r="A152" s="146">
        <v>151.0</v>
      </c>
      <c r="B152" s="13" t="s">
        <v>208</v>
      </c>
      <c r="C152" s="13" t="s">
        <v>208</v>
      </c>
      <c r="D152" s="13" t="s">
        <v>208</v>
      </c>
      <c r="E152" s="13" t="s">
        <v>208</v>
      </c>
      <c r="F152" s="13" t="s">
        <v>208</v>
      </c>
      <c r="G152" s="67"/>
      <c r="H152" s="67"/>
      <c r="I152" s="67"/>
      <c r="J152" s="147"/>
    </row>
    <row r="153">
      <c r="A153" s="146">
        <v>152.0</v>
      </c>
      <c r="B153" s="13" t="s">
        <v>208</v>
      </c>
      <c r="C153" s="13" t="s">
        <v>208</v>
      </c>
      <c r="D153" s="13" t="s">
        <v>208</v>
      </c>
      <c r="E153" s="13" t="s">
        <v>208</v>
      </c>
      <c r="F153" s="13" t="s">
        <v>208</v>
      </c>
      <c r="G153" s="67"/>
      <c r="H153" s="67"/>
      <c r="I153" s="67"/>
      <c r="J153" s="147"/>
    </row>
    <row r="154">
      <c r="A154" s="146">
        <v>153.0</v>
      </c>
      <c r="B154" s="13" t="s">
        <v>208</v>
      </c>
      <c r="C154" s="13" t="s">
        <v>208</v>
      </c>
      <c r="D154" s="13" t="s">
        <v>208</v>
      </c>
      <c r="E154" s="13" t="s">
        <v>208</v>
      </c>
      <c r="F154" s="13" t="s">
        <v>208</v>
      </c>
      <c r="G154" s="67"/>
      <c r="H154" s="67"/>
      <c r="I154" s="67"/>
      <c r="J154" s="147"/>
    </row>
    <row r="155">
      <c r="A155" s="146">
        <v>154.0</v>
      </c>
      <c r="B155" s="13" t="s">
        <v>208</v>
      </c>
      <c r="C155" s="13" t="s">
        <v>208</v>
      </c>
      <c r="D155" s="13" t="s">
        <v>208</v>
      </c>
      <c r="E155" s="13" t="s">
        <v>208</v>
      </c>
      <c r="F155" s="13" t="s">
        <v>208</v>
      </c>
      <c r="G155" s="67"/>
      <c r="H155" s="67"/>
      <c r="I155" s="67"/>
      <c r="J155" s="147"/>
    </row>
    <row r="156">
      <c r="A156" s="146">
        <v>155.0</v>
      </c>
      <c r="B156" s="13" t="s">
        <v>208</v>
      </c>
      <c r="C156" s="13" t="s">
        <v>208</v>
      </c>
      <c r="D156" s="13" t="s">
        <v>208</v>
      </c>
      <c r="E156" s="13" t="s">
        <v>208</v>
      </c>
      <c r="F156" s="13" t="s">
        <v>208</v>
      </c>
      <c r="G156" s="67"/>
      <c r="H156" s="67"/>
      <c r="I156" s="67"/>
      <c r="J156" s="147"/>
    </row>
    <row r="157">
      <c r="A157" s="146">
        <v>156.0</v>
      </c>
      <c r="B157" s="13" t="s">
        <v>208</v>
      </c>
      <c r="C157" s="13" t="s">
        <v>208</v>
      </c>
      <c r="D157" s="13" t="s">
        <v>208</v>
      </c>
      <c r="E157" s="13" t="s">
        <v>208</v>
      </c>
      <c r="F157" s="13" t="s">
        <v>208</v>
      </c>
      <c r="G157" s="67"/>
      <c r="H157" s="67"/>
      <c r="I157" s="67"/>
      <c r="J157" s="147"/>
    </row>
    <row r="158">
      <c r="A158" s="146">
        <v>157.0</v>
      </c>
      <c r="B158" s="67"/>
      <c r="C158" s="13" t="s">
        <v>208</v>
      </c>
      <c r="D158" s="13" t="s">
        <v>208</v>
      </c>
      <c r="E158" s="13" t="s">
        <v>208</v>
      </c>
      <c r="F158" s="67"/>
      <c r="G158" s="13" t="s">
        <v>208</v>
      </c>
      <c r="H158" s="67"/>
      <c r="I158" s="67"/>
      <c r="J158" s="147"/>
    </row>
    <row r="159">
      <c r="A159" s="146">
        <v>158.0</v>
      </c>
      <c r="B159" s="13" t="s">
        <v>208</v>
      </c>
      <c r="C159" s="13" t="s">
        <v>208</v>
      </c>
      <c r="D159" s="13" t="s">
        <v>208</v>
      </c>
      <c r="E159" s="13" t="s">
        <v>208</v>
      </c>
      <c r="F159" s="13" t="s">
        <v>208</v>
      </c>
      <c r="G159" s="67"/>
      <c r="H159" s="67"/>
      <c r="I159" s="67"/>
      <c r="J159" s="147"/>
    </row>
    <row r="160">
      <c r="A160" s="146">
        <v>159.0</v>
      </c>
      <c r="B160" s="13" t="s">
        <v>208</v>
      </c>
      <c r="C160" s="13" t="s">
        <v>208</v>
      </c>
      <c r="D160" s="13" t="s">
        <v>208</v>
      </c>
      <c r="E160" s="13" t="s">
        <v>208</v>
      </c>
      <c r="F160" s="13" t="s">
        <v>208</v>
      </c>
      <c r="G160" s="67"/>
      <c r="H160" s="67"/>
      <c r="I160" s="67"/>
      <c r="J160" s="147"/>
    </row>
    <row r="161">
      <c r="A161" s="146">
        <v>160.0</v>
      </c>
      <c r="B161" s="13" t="s">
        <v>208</v>
      </c>
      <c r="C161" s="13" t="s">
        <v>208</v>
      </c>
      <c r="D161" s="13" t="s">
        <v>208</v>
      </c>
      <c r="E161" s="13" t="s">
        <v>208</v>
      </c>
      <c r="F161" s="13" t="s">
        <v>208</v>
      </c>
      <c r="G161" s="67"/>
      <c r="H161" s="67"/>
      <c r="I161" s="67"/>
      <c r="J161" s="147"/>
    </row>
    <row r="162">
      <c r="A162" s="146">
        <v>161.0</v>
      </c>
      <c r="B162" s="13" t="s">
        <v>208</v>
      </c>
      <c r="C162" s="13" t="s">
        <v>208</v>
      </c>
      <c r="D162" s="13" t="s">
        <v>208</v>
      </c>
      <c r="E162" s="13" t="s">
        <v>208</v>
      </c>
      <c r="F162" s="13" t="s">
        <v>208</v>
      </c>
      <c r="G162" s="67"/>
      <c r="H162" s="67"/>
      <c r="I162" s="67"/>
      <c r="J162" s="147"/>
    </row>
    <row r="163">
      <c r="A163" s="146">
        <v>162.0</v>
      </c>
      <c r="B163" s="13" t="s">
        <v>208</v>
      </c>
      <c r="C163" s="13" t="s">
        <v>208</v>
      </c>
      <c r="D163" s="13" t="s">
        <v>208</v>
      </c>
      <c r="E163" s="13" t="s">
        <v>208</v>
      </c>
      <c r="F163" s="13" t="s">
        <v>208</v>
      </c>
      <c r="G163" s="67"/>
      <c r="H163" s="67"/>
      <c r="I163" s="67"/>
      <c r="J163" s="147"/>
    </row>
    <row r="164">
      <c r="A164" s="146">
        <v>163.0</v>
      </c>
      <c r="B164" s="13" t="s">
        <v>208</v>
      </c>
      <c r="C164" s="13" t="s">
        <v>208</v>
      </c>
      <c r="D164" s="13" t="s">
        <v>208</v>
      </c>
      <c r="E164" s="13" t="s">
        <v>208</v>
      </c>
      <c r="F164" s="13" t="s">
        <v>208</v>
      </c>
      <c r="G164" s="67"/>
      <c r="H164" s="67"/>
      <c r="I164" s="67"/>
      <c r="J164" s="147"/>
    </row>
    <row r="165">
      <c r="A165" s="146">
        <v>164.0</v>
      </c>
      <c r="B165" s="13" t="s">
        <v>208</v>
      </c>
      <c r="C165" s="13" t="s">
        <v>208</v>
      </c>
      <c r="D165" s="13" t="s">
        <v>208</v>
      </c>
      <c r="E165" s="13" t="s">
        <v>208</v>
      </c>
      <c r="F165" s="13" t="s">
        <v>208</v>
      </c>
      <c r="G165" s="67"/>
      <c r="H165" s="67"/>
      <c r="I165" s="67"/>
      <c r="J165" s="147"/>
    </row>
    <row r="166">
      <c r="A166" s="146">
        <v>165.0</v>
      </c>
      <c r="B166" s="13" t="s">
        <v>208</v>
      </c>
      <c r="C166" s="13" t="s">
        <v>208</v>
      </c>
      <c r="D166" s="13" t="s">
        <v>208</v>
      </c>
      <c r="E166" s="13" t="s">
        <v>208</v>
      </c>
      <c r="F166" s="13" t="s">
        <v>208</v>
      </c>
      <c r="G166" s="67"/>
      <c r="H166" s="67"/>
      <c r="I166" s="67"/>
      <c r="J166" s="147"/>
    </row>
    <row r="167">
      <c r="A167" s="146">
        <v>166.0</v>
      </c>
      <c r="B167" s="13" t="s">
        <v>208</v>
      </c>
      <c r="C167" s="13" t="s">
        <v>208</v>
      </c>
      <c r="D167" s="13" t="s">
        <v>208</v>
      </c>
      <c r="E167" s="13" t="s">
        <v>208</v>
      </c>
      <c r="F167" s="13" t="s">
        <v>208</v>
      </c>
      <c r="G167" s="67"/>
      <c r="H167" s="67"/>
      <c r="I167" s="67"/>
      <c r="J167" s="147"/>
    </row>
    <row r="168">
      <c r="A168" s="146">
        <v>167.0</v>
      </c>
      <c r="B168" s="13" t="s">
        <v>208</v>
      </c>
      <c r="C168" s="13" t="s">
        <v>208</v>
      </c>
      <c r="D168" s="13" t="s">
        <v>208</v>
      </c>
      <c r="E168" s="13" t="s">
        <v>208</v>
      </c>
      <c r="F168" s="13" t="s">
        <v>208</v>
      </c>
      <c r="G168" s="67"/>
      <c r="H168" s="67"/>
      <c r="I168" s="67"/>
      <c r="J168" s="147"/>
    </row>
    <row r="169">
      <c r="A169" s="146">
        <v>168.0</v>
      </c>
      <c r="B169" s="13" t="s">
        <v>208</v>
      </c>
      <c r="C169" s="13" t="s">
        <v>208</v>
      </c>
      <c r="D169" s="13" t="s">
        <v>208</v>
      </c>
      <c r="E169" s="13" t="s">
        <v>208</v>
      </c>
      <c r="F169" s="13" t="s">
        <v>208</v>
      </c>
      <c r="G169" s="67"/>
      <c r="H169" s="67"/>
      <c r="I169" s="67"/>
      <c r="J169" s="147"/>
    </row>
    <row r="170">
      <c r="A170" s="146">
        <v>169.0</v>
      </c>
      <c r="B170" s="174"/>
      <c r="C170" s="174"/>
      <c r="D170" s="174"/>
      <c r="E170" s="174"/>
      <c r="F170" s="174"/>
      <c r="G170" s="174"/>
      <c r="H170" s="175" t="s">
        <v>217</v>
      </c>
      <c r="I170" s="67"/>
      <c r="J170" s="147"/>
    </row>
    <row r="171">
      <c r="A171" s="146">
        <v>170.0</v>
      </c>
      <c r="B171" s="13" t="s">
        <v>208</v>
      </c>
      <c r="C171" s="13" t="s">
        <v>208</v>
      </c>
      <c r="D171" s="13" t="s">
        <v>208</v>
      </c>
      <c r="E171" s="13" t="s">
        <v>208</v>
      </c>
      <c r="F171" s="13" t="s">
        <v>208</v>
      </c>
      <c r="G171" s="67"/>
      <c r="H171" s="67"/>
      <c r="I171" s="67"/>
      <c r="J171" s="147"/>
    </row>
    <row r="172">
      <c r="A172" s="146">
        <v>171.0</v>
      </c>
      <c r="B172" s="13" t="s">
        <v>208</v>
      </c>
      <c r="C172" s="13" t="s">
        <v>208</v>
      </c>
      <c r="D172" s="13" t="s">
        <v>208</v>
      </c>
      <c r="E172" s="13" t="s">
        <v>208</v>
      </c>
      <c r="F172" s="13" t="s">
        <v>208</v>
      </c>
      <c r="G172" s="67"/>
      <c r="H172" s="67"/>
      <c r="I172" s="67"/>
      <c r="J172" s="147"/>
    </row>
    <row r="173">
      <c r="A173" s="146">
        <v>172.0</v>
      </c>
      <c r="B173" s="13" t="s">
        <v>208</v>
      </c>
      <c r="C173" s="13" t="s">
        <v>208</v>
      </c>
      <c r="D173" s="13" t="s">
        <v>208</v>
      </c>
      <c r="E173" s="13" t="s">
        <v>208</v>
      </c>
      <c r="F173" s="13" t="s">
        <v>208</v>
      </c>
      <c r="G173" s="67"/>
      <c r="H173" s="67"/>
      <c r="I173" s="67"/>
      <c r="J173" s="147"/>
    </row>
    <row r="174">
      <c r="A174" s="146">
        <v>173.0</v>
      </c>
      <c r="B174" s="13" t="s">
        <v>208</v>
      </c>
      <c r="C174" s="13" t="s">
        <v>208</v>
      </c>
      <c r="D174" s="13" t="s">
        <v>208</v>
      </c>
      <c r="E174" s="13" t="s">
        <v>208</v>
      </c>
      <c r="F174" s="13" t="s">
        <v>208</v>
      </c>
      <c r="G174" s="67"/>
      <c r="H174" s="67"/>
      <c r="I174" s="67"/>
      <c r="J174" s="147"/>
    </row>
    <row r="175">
      <c r="A175" s="146">
        <v>174.0</v>
      </c>
      <c r="B175" s="13" t="s">
        <v>208</v>
      </c>
      <c r="C175" s="13" t="s">
        <v>208</v>
      </c>
      <c r="D175" s="13" t="s">
        <v>208</v>
      </c>
      <c r="E175" s="13" t="s">
        <v>208</v>
      </c>
      <c r="F175" s="13" t="s">
        <v>208</v>
      </c>
      <c r="G175" s="67"/>
      <c r="H175" s="67"/>
      <c r="I175" s="67"/>
      <c r="J175" s="147"/>
    </row>
    <row r="176">
      <c r="A176" s="146">
        <v>175.0</v>
      </c>
      <c r="B176" s="13" t="s">
        <v>208</v>
      </c>
      <c r="C176" s="13" t="s">
        <v>208</v>
      </c>
      <c r="D176" s="99"/>
      <c r="E176" s="13" t="s">
        <v>208</v>
      </c>
      <c r="F176" s="13" t="s">
        <v>208</v>
      </c>
      <c r="G176" s="67"/>
      <c r="H176" s="67"/>
      <c r="I176" s="67"/>
      <c r="J176" s="147"/>
    </row>
    <row r="177">
      <c r="A177" s="146">
        <v>176.0</v>
      </c>
      <c r="B177" s="13" t="s">
        <v>208</v>
      </c>
      <c r="C177" s="13" t="s">
        <v>208</v>
      </c>
      <c r="D177" s="13" t="s">
        <v>208</v>
      </c>
      <c r="E177" s="13" t="s">
        <v>208</v>
      </c>
      <c r="F177" s="13" t="s">
        <v>208</v>
      </c>
      <c r="G177" s="67"/>
      <c r="H177" s="67"/>
      <c r="I177" s="67"/>
      <c r="J177" s="147"/>
    </row>
    <row r="178">
      <c r="A178" s="146">
        <v>177.0</v>
      </c>
      <c r="B178" s="67"/>
      <c r="C178" s="13" t="s">
        <v>208</v>
      </c>
      <c r="D178" s="13" t="s">
        <v>208</v>
      </c>
      <c r="E178" s="13" t="s">
        <v>208</v>
      </c>
      <c r="F178" s="67"/>
      <c r="G178" s="13" t="s">
        <v>208</v>
      </c>
      <c r="H178" s="67"/>
      <c r="I178" s="67"/>
      <c r="J178" s="147"/>
    </row>
    <row r="179">
      <c r="A179" s="146">
        <v>178.0</v>
      </c>
      <c r="B179" s="13" t="s">
        <v>208</v>
      </c>
      <c r="C179" s="13" t="s">
        <v>208</v>
      </c>
      <c r="D179" s="13" t="s">
        <v>208</v>
      </c>
      <c r="E179" s="13" t="s">
        <v>208</v>
      </c>
      <c r="F179" s="13" t="s">
        <v>208</v>
      </c>
      <c r="G179" s="67"/>
      <c r="H179" s="67"/>
      <c r="I179" s="67"/>
      <c r="J179" s="147"/>
    </row>
    <row r="180">
      <c r="A180" s="146">
        <v>179.0</v>
      </c>
      <c r="B180" s="13" t="s">
        <v>208</v>
      </c>
      <c r="C180" s="13" t="s">
        <v>208</v>
      </c>
      <c r="D180" s="13" t="s">
        <v>208</v>
      </c>
      <c r="E180" s="13" t="s">
        <v>208</v>
      </c>
      <c r="F180" s="13" t="s">
        <v>208</v>
      </c>
      <c r="G180" s="67"/>
      <c r="H180" s="67"/>
      <c r="I180" s="67"/>
      <c r="J180" s="147"/>
    </row>
    <row r="181">
      <c r="A181" s="146">
        <v>180.0</v>
      </c>
      <c r="B181" s="13" t="s">
        <v>208</v>
      </c>
      <c r="C181" s="13" t="s">
        <v>208</v>
      </c>
      <c r="D181" s="13" t="s">
        <v>208</v>
      </c>
      <c r="E181" s="13" t="s">
        <v>208</v>
      </c>
      <c r="F181" s="13" t="s">
        <v>208</v>
      </c>
      <c r="G181" s="67"/>
      <c r="H181" s="67"/>
      <c r="I181" s="67"/>
      <c r="J181" s="147"/>
    </row>
    <row r="182">
      <c r="A182" s="146">
        <v>181.0</v>
      </c>
      <c r="B182" s="13" t="s">
        <v>208</v>
      </c>
      <c r="C182" s="13" t="s">
        <v>208</v>
      </c>
      <c r="D182" s="13" t="s">
        <v>208</v>
      </c>
      <c r="E182" s="13" t="s">
        <v>208</v>
      </c>
      <c r="F182" s="13" t="s">
        <v>208</v>
      </c>
      <c r="G182" s="67"/>
      <c r="H182" s="67"/>
      <c r="I182" s="67"/>
      <c r="J182" s="147"/>
    </row>
    <row r="183">
      <c r="A183" s="146">
        <v>182.0</v>
      </c>
      <c r="B183" s="13" t="s">
        <v>208</v>
      </c>
      <c r="C183" s="99"/>
      <c r="D183" s="13" t="s">
        <v>208</v>
      </c>
      <c r="E183" s="13" t="s">
        <v>208</v>
      </c>
      <c r="F183" s="13" t="s">
        <v>208</v>
      </c>
      <c r="G183" s="67"/>
      <c r="H183" s="67"/>
      <c r="I183" s="67"/>
      <c r="J183" s="147"/>
    </row>
    <row r="184">
      <c r="A184" s="146">
        <v>183.0</v>
      </c>
      <c r="B184" s="13" t="s">
        <v>208</v>
      </c>
      <c r="C184" s="13" t="s">
        <v>208</v>
      </c>
      <c r="D184" s="13" t="s">
        <v>208</v>
      </c>
      <c r="E184" s="13" t="s">
        <v>208</v>
      </c>
      <c r="F184" s="13" t="s">
        <v>208</v>
      </c>
      <c r="G184" s="67"/>
      <c r="H184" s="67"/>
      <c r="I184" s="67"/>
      <c r="J184" s="147"/>
    </row>
    <row r="185">
      <c r="A185" s="146">
        <v>184.0</v>
      </c>
      <c r="B185" s="13" t="s">
        <v>208</v>
      </c>
      <c r="C185" s="13" t="s">
        <v>208</v>
      </c>
      <c r="D185" s="13" t="s">
        <v>208</v>
      </c>
      <c r="E185" s="13" t="s">
        <v>208</v>
      </c>
      <c r="F185" s="13" t="s">
        <v>208</v>
      </c>
      <c r="G185" s="67"/>
      <c r="H185" s="67"/>
      <c r="I185" s="67"/>
      <c r="J185" s="147"/>
    </row>
    <row r="186">
      <c r="A186" s="146">
        <v>185.0</v>
      </c>
      <c r="B186" s="13" t="s">
        <v>208</v>
      </c>
      <c r="C186" s="13" t="s">
        <v>208</v>
      </c>
      <c r="D186" s="13" t="s">
        <v>208</v>
      </c>
      <c r="E186" s="13" t="s">
        <v>208</v>
      </c>
      <c r="F186" s="13" t="s">
        <v>208</v>
      </c>
      <c r="G186" s="67"/>
      <c r="H186" s="67"/>
      <c r="I186" s="67"/>
      <c r="J186" s="147"/>
    </row>
    <row r="187">
      <c r="A187" s="146">
        <v>186.0</v>
      </c>
      <c r="B187" s="13" t="s">
        <v>208</v>
      </c>
      <c r="C187" s="13" t="s">
        <v>208</v>
      </c>
      <c r="D187" s="13" t="s">
        <v>208</v>
      </c>
      <c r="E187" s="13" t="s">
        <v>208</v>
      </c>
      <c r="F187" s="13" t="s">
        <v>208</v>
      </c>
      <c r="G187" s="67"/>
      <c r="H187" s="67"/>
      <c r="I187" s="67"/>
      <c r="J187" s="147"/>
    </row>
    <row r="188">
      <c r="A188" s="146">
        <v>187.0</v>
      </c>
      <c r="B188" s="67"/>
      <c r="C188" s="13" t="s">
        <v>208</v>
      </c>
      <c r="D188" s="13" t="s">
        <v>208</v>
      </c>
      <c r="E188" s="13" t="s">
        <v>208</v>
      </c>
      <c r="F188" s="67"/>
      <c r="G188" s="13" t="s">
        <v>208</v>
      </c>
      <c r="H188" s="67"/>
      <c r="I188" s="67"/>
      <c r="J188" s="147"/>
    </row>
    <row r="189">
      <c r="A189" s="146">
        <v>188.0</v>
      </c>
      <c r="B189" s="13" t="s">
        <v>208</v>
      </c>
      <c r="C189" s="13" t="s">
        <v>208</v>
      </c>
      <c r="D189" s="13" t="s">
        <v>208</v>
      </c>
      <c r="E189" s="13" t="s">
        <v>208</v>
      </c>
      <c r="F189" s="13" t="s">
        <v>208</v>
      </c>
      <c r="G189" s="67"/>
      <c r="H189" s="67"/>
      <c r="I189" s="67"/>
      <c r="J189" s="147"/>
    </row>
    <row r="190">
      <c r="A190" s="146">
        <v>189.0</v>
      </c>
      <c r="B190" s="13" t="s">
        <v>208</v>
      </c>
      <c r="C190" s="13" t="s">
        <v>208</v>
      </c>
      <c r="D190" s="13" t="s">
        <v>208</v>
      </c>
      <c r="E190" s="13" t="s">
        <v>208</v>
      </c>
      <c r="F190" s="13" t="s">
        <v>208</v>
      </c>
      <c r="G190" s="67"/>
      <c r="H190" s="67"/>
      <c r="I190" s="67"/>
      <c r="J190" s="147"/>
    </row>
    <row r="191">
      <c r="A191" s="146">
        <v>190.0</v>
      </c>
      <c r="B191" s="13" t="s">
        <v>208</v>
      </c>
      <c r="C191" s="13" t="s">
        <v>208</v>
      </c>
      <c r="D191" s="13" t="s">
        <v>208</v>
      </c>
      <c r="E191" s="13" t="s">
        <v>208</v>
      </c>
      <c r="F191" s="13" t="s">
        <v>208</v>
      </c>
      <c r="G191" s="67"/>
      <c r="H191" s="67"/>
      <c r="I191" s="67"/>
      <c r="J191" s="147"/>
    </row>
    <row r="192">
      <c r="A192" s="146">
        <v>191.0</v>
      </c>
      <c r="B192" s="13" t="s">
        <v>208</v>
      </c>
      <c r="C192" s="13" t="s">
        <v>208</v>
      </c>
      <c r="D192" s="13" t="s">
        <v>208</v>
      </c>
      <c r="E192" s="13" t="s">
        <v>208</v>
      </c>
      <c r="F192" s="13" t="s">
        <v>208</v>
      </c>
      <c r="G192" s="67"/>
      <c r="H192" s="67"/>
      <c r="I192" s="67"/>
      <c r="J192" s="147"/>
    </row>
    <row r="193">
      <c r="A193" s="146">
        <v>192.0</v>
      </c>
      <c r="B193" s="13" t="s">
        <v>208</v>
      </c>
      <c r="C193" s="13" t="s">
        <v>208</v>
      </c>
      <c r="D193" s="13" t="s">
        <v>208</v>
      </c>
      <c r="E193" s="13" t="s">
        <v>208</v>
      </c>
      <c r="F193" s="13" t="s">
        <v>208</v>
      </c>
      <c r="G193" s="67"/>
      <c r="H193" s="67"/>
      <c r="I193" s="67"/>
      <c r="J193" s="147"/>
    </row>
    <row r="194">
      <c r="A194" s="146">
        <v>193.0</v>
      </c>
      <c r="B194" s="154" t="s">
        <v>208</v>
      </c>
      <c r="C194" s="154" t="s">
        <v>208</v>
      </c>
      <c r="D194" s="154" t="s">
        <v>208</v>
      </c>
      <c r="E194" s="154" t="s">
        <v>208</v>
      </c>
      <c r="F194" s="154" t="s">
        <v>208</v>
      </c>
      <c r="G194" s="155"/>
      <c r="H194" s="67"/>
      <c r="I194" s="67"/>
      <c r="J194" s="147"/>
    </row>
    <row r="195">
      <c r="A195" s="146">
        <v>194.0</v>
      </c>
      <c r="B195" s="13" t="s">
        <v>208</v>
      </c>
      <c r="C195" s="13" t="s">
        <v>208</v>
      </c>
      <c r="D195" s="13" t="s">
        <v>208</v>
      </c>
      <c r="E195" s="13" t="s">
        <v>208</v>
      </c>
      <c r="F195" s="13" t="s">
        <v>208</v>
      </c>
      <c r="G195" s="67"/>
      <c r="H195" s="67"/>
      <c r="I195" s="67"/>
      <c r="J195" s="147"/>
    </row>
    <row r="196">
      <c r="A196" s="146">
        <v>195.0</v>
      </c>
      <c r="B196" s="13" t="s">
        <v>208</v>
      </c>
      <c r="C196" s="13" t="s">
        <v>208</v>
      </c>
      <c r="D196" s="13" t="s">
        <v>208</v>
      </c>
      <c r="E196" s="13" t="s">
        <v>208</v>
      </c>
      <c r="F196" s="13" t="s">
        <v>208</v>
      </c>
      <c r="G196" s="67"/>
      <c r="H196" s="67"/>
      <c r="I196" s="67"/>
      <c r="J196" s="147"/>
    </row>
    <row r="197">
      <c r="A197" s="146">
        <v>196.0</v>
      </c>
      <c r="B197" s="13" t="s">
        <v>208</v>
      </c>
      <c r="C197" s="13" t="s">
        <v>208</v>
      </c>
      <c r="D197" s="13" t="s">
        <v>208</v>
      </c>
      <c r="E197" s="13" t="s">
        <v>208</v>
      </c>
      <c r="F197" s="13" t="s">
        <v>208</v>
      </c>
      <c r="G197" s="67"/>
      <c r="H197" s="67"/>
      <c r="I197" s="67"/>
      <c r="J197" s="147"/>
    </row>
    <row r="198">
      <c r="A198" s="146">
        <v>197.0</v>
      </c>
      <c r="B198" s="13" t="s">
        <v>208</v>
      </c>
      <c r="C198" s="13" t="s">
        <v>208</v>
      </c>
      <c r="D198" s="13" t="s">
        <v>208</v>
      </c>
      <c r="E198" s="13" t="s">
        <v>208</v>
      </c>
      <c r="F198" s="13" t="s">
        <v>208</v>
      </c>
      <c r="G198" s="67"/>
      <c r="H198" s="67"/>
      <c r="I198" s="67"/>
      <c r="J198" s="147"/>
    </row>
    <row r="199">
      <c r="A199" s="146">
        <v>198.0</v>
      </c>
      <c r="B199" s="13" t="s">
        <v>208</v>
      </c>
      <c r="C199" s="13" t="s">
        <v>208</v>
      </c>
      <c r="D199" s="13" t="s">
        <v>208</v>
      </c>
      <c r="E199" s="13" t="s">
        <v>208</v>
      </c>
      <c r="F199" s="13" t="s">
        <v>208</v>
      </c>
      <c r="G199" s="67"/>
      <c r="H199" s="67"/>
      <c r="I199" s="67"/>
      <c r="J199" s="147"/>
    </row>
    <row r="200">
      <c r="A200" s="146">
        <v>199.0</v>
      </c>
      <c r="B200" s="13" t="s">
        <v>208</v>
      </c>
      <c r="C200" s="13" t="s">
        <v>208</v>
      </c>
      <c r="D200" s="13" t="s">
        <v>208</v>
      </c>
      <c r="E200" s="13" t="s">
        <v>208</v>
      </c>
      <c r="F200" s="13" t="s">
        <v>208</v>
      </c>
      <c r="G200" s="67"/>
      <c r="H200" s="67"/>
      <c r="I200" s="67"/>
      <c r="J200" s="147"/>
    </row>
    <row r="201">
      <c r="A201" s="146">
        <v>200.0</v>
      </c>
      <c r="B201" s="13" t="s">
        <v>208</v>
      </c>
      <c r="C201" s="13" t="s">
        <v>208</v>
      </c>
      <c r="D201" s="13" t="s">
        <v>208</v>
      </c>
      <c r="E201" s="13" t="s">
        <v>208</v>
      </c>
      <c r="F201" s="13" t="s">
        <v>208</v>
      </c>
      <c r="G201" s="67"/>
      <c r="H201" s="67"/>
      <c r="I201" s="67"/>
      <c r="J201" s="147"/>
    </row>
    <row r="202">
      <c r="A202" s="146">
        <v>201.0</v>
      </c>
      <c r="B202" s="13" t="s">
        <v>208</v>
      </c>
      <c r="C202" s="13" t="s">
        <v>208</v>
      </c>
      <c r="D202" s="13" t="s">
        <v>208</v>
      </c>
      <c r="E202" s="13" t="s">
        <v>208</v>
      </c>
      <c r="F202" s="13" t="s">
        <v>208</v>
      </c>
      <c r="G202" s="67"/>
      <c r="H202" s="67"/>
      <c r="I202" s="67"/>
      <c r="J202" s="147"/>
    </row>
    <row r="203">
      <c r="A203" s="146">
        <v>202.0</v>
      </c>
      <c r="B203" s="13" t="s">
        <v>208</v>
      </c>
      <c r="C203" s="13" t="s">
        <v>208</v>
      </c>
      <c r="D203" s="13" t="s">
        <v>208</v>
      </c>
      <c r="E203" s="13" t="s">
        <v>208</v>
      </c>
      <c r="F203" s="13" t="s">
        <v>208</v>
      </c>
      <c r="G203" s="67"/>
      <c r="H203" s="67"/>
      <c r="I203" s="67"/>
      <c r="J203" s="147"/>
    </row>
    <row r="204">
      <c r="A204" s="146">
        <v>203.0</v>
      </c>
      <c r="B204" s="13" t="s">
        <v>208</v>
      </c>
      <c r="C204" s="13" t="s">
        <v>208</v>
      </c>
      <c r="D204" s="13" t="s">
        <v>208</v>
      </c>
      <c r="E204" s="13" t="s">
        <v>208</v>
      </c>
      <c r="F204" s="13" t="s">
        <v>208</v>
      </c>
      <c r="G204" s="67"/>
      <c r="H204" s="67"/>
      <c r="I204" s="67"/>
      <c r="J204" s="147"/>
    </row>
    <row r="205">
      <c r="A205" s="146">
        <v>204.0</v>
      </c>
      <c r="B205" s="13" t="s">
        <v>208</v>
      </c>
      <c r="C205" s="13" t="s">
        <v>208</v>
      </c>
      <c r="D205" s="13" t="s">
        <v>208</v>
      </c>
      <c r="E205" s="13" t="s">
        <v>208</v>
      </c>
      <c r="F205" s="13" t="s">
        <v>208</v>
      </c>
      <c r="G205" s="67"/>
      <c r="H205" s="67"/>
      <c r="I205" s="67"/>
      <c r="J205" s="147"/>
    </row>
    <row r="206">
      <c r="A206" s="146">
        <v>205.0</v>
      </c>
      <c r="B206" s="13" t="s">
        <v>208</v>
      </c>
      <c r="C206" s="13" t="s">
        <v>208</v>
      </c>
      <c r="D206" s="13" t="s">
        <v>208</v>
      </c>
      <c r="E206" s="13" t="s">
        <v>208</v>
      </c>
      <c r="F206" s="13" t="s">
        <v>208</v>
      </c>
      <c r="G206" s="67"/>
      <c r="H206" s="67"/>
      <c r="I206" s="67"/>
      <c r="J206" s="147"/>
    </row>
    <row r="207">
      <c r="A207" s="146">
        <v>206.0</v>
      </c>
      <c r="B207" s="13" t="s">
        <v>208</v>
      </c>
      <c r="C207" s="13" t="s">
        <v>208</v>
      </c>
      <c r="D207" s="13" t="s">
        <v>208</v>
      </c>
      <c r="E207" s="13" t="s">
        <v>208</v>
      </c>
      <c r="F207" s="13" t="s">
        <v>208</v>
      </c>
      <c r="G207" s="67"/>
      <c r="H207" s="67"/>
      <c r="I207" s="67"/>
      <c r="J207" s="147"/>
    </row>
    <row r="208">
      <c r="A208" s="146">
        <v>207.0</v>
      </c>
      <c r="B208" s="13" t="s">
        <v>208</v>
      </c>
      <c r="C208" s="13" t="s">
        <v>208</v>
      </c>
      <c r="D208" s="13" t="s">
        <v>208</v>
      </c>
      <c r="E208" s="13" t="s">
        <v>208</v>
      </c>
      <c r="F208" s="13" t="s">
        <v>208</v>
      </c>
      <c r="G208" s="67"/>
      <c r="H208" s="67"/>
      <c r="I208" s="67"/>
      <c r="J208" s="147"/>
    </row>
    <row r="209">
      <c r="A209" s="146">
        <v>208.0</v>
      </c>
      <c r="B209" s="67"/>
      <c r="C209" s="13" t="s">
        <v>208</v>
      </c>
      <c r="D209" s="13" t="s">
        <v>208</v>
      </c>
      <c r="E209" s="13" t="s">
        <v>208</v>
      </c>
      <c r="F209" s="67"/>
      <c r="G209" s="13" t="s">
        <v>208</v>
      </c>
      <c r="H209" s="67"/>
      <c r="I209" s="67"/>
      <c r="J209" s="147"/>
    </row>
    <row r="210">
      <c r="A210" s="146">
        <v>209.0</v>
      </c>
      <c r="B210" s="174"/>
      <c r="C210" s="174"/>
      <c r="D210" s="174"/>
      <c r="E210" s="174"/>
      <c r="F210" s="174"/>
      <c r="G210" s="174"/>
      <c r="H210" s="175" t="s">
        <v>217</v>
      </c>
      <c r="I210" s="67"/>
      <c r="J210" s="147"/>
    </row>
    <row r="211">
      <c r="A211" s="146">
        <v>210.0</v>
      </c>
      <c r="B211" s="13" t="s">
        <v>208</v>
      </c>
      <c r="C211" s="13" t="s">
        <v>208</v>
      </c>
      <c r="D211" s="13" t="s">
        <v>208</v>
      </c>
      <c r="E211" s="13" t="s">
        <v>208</v>
      </c>
      <c r="F211" s="13" t="s">
        <v>208</v>
      </c>
      <c r="G211" s="67"/>
      <c r="H211" s="67"/>
      <c r="I211" s="67"/>
      <c r="J211" s="147"/>
    </row>
    <row r="212">
      <c r="A212" s="146">
        <v>211.0</v>
      </c>
      <c r="B212" s="13" t="s">
        <v>208</v>
      </c>
      <c r="C212" s="13" t="s">
        <v>208</v>
      </c>
      <c r="D212" s="13" t="s">
        <v>208</v>
      </c>
      <c r="E212" s="13" t="s">
        <v>208</v>
      </c>
      <c r="F212" s="13" t="s">
        <v>208</v>
      </c>
      <c r="G212" s="67"/>
      <c r="H212" s="67"/>
      <c r="I212" s="67"/>
      <c r="J212" s="147"/>
    </row>
    <row r="213">
      <c r="A213" s="178">
        <v>212.0</v>
      </c>
      <c r="B213" s="67"/>
      <c r="C213" s="13" t="s">
        <v>208</v>
      </c>
      <c r="D213" s="13" t="s">
        <v>208</v>
      </c>
      <c r="E213" s="13" t="s">
        <v>208</v>
      </c>
      <c r="F213" s="67"/>
      <c r="G213" s="13" t="s">
        <v>208</v>
      </c>
      <c r="H213" s="67"/>
      <c r="I213" s="67"/>
      <c r="J213" s="147"/>
    </row>
    <row r="214">
      <c r="A214" s="146">
        <v>213.0</v>
      </c>
      <c r="B214" s="13" t="s">
        <v>208</v>
      </c>
      <c r="C214" s="13" t="s">
        <v>208</v>
      </c>
      <c r="D214" s="13" t="s">
        <v>208</v>
      </c>
      <c r="E214" s="13" t="s">
        <v>208</v>
      </c>
      <c r="F214" s="13" t="s">
        <v>208</v>
      </c>
      <c r="G214" s="67"/>
      <c r="H214" s="67"/>
      <c r="I214" s="67"/>
      <c r="J214" s="147"/>
    </row>
    <row r="215">
      <c r="A215" s="146">
        <v>214.0</v>
      </c>
      <c r="B215" s="13" t="s">
        <v>208</v>
      </c>
      <c r="C215" s="13" t="s">
        <v>208</v>
      </c>
      <c r="D215" s="13" t="s">
        <v>208</v>
      </c>
      <c r="E215" s="13" t="s">
        <v>208</v>
      </c>
      <c r="F215" s="13" t="s">
        <v>208</v>
      </c>
      <c r="G215" s="67"/>
      <c r="H215" s="67"/>
      <c r="I215" s="67"/>
      <c r="J215" s="147"/>
    </row>
    <row r="216">
      <c r="A216" s="146">
        <v>215.0</v>
      </c>
      <c r="B216" s="67"/>
      <c r="C216" s="13" t="s">
        <v>208</v>
      </c>
      <c r="D216" s="13" t="s">
        <v>208</v>
      </c>
      <c r="E216" s="13" t="s">
        <v>208</v>
      </c>
      <c r="F216" s="67"/>
      <c r="G216" s="13" t="s">
        <v>208</v>
      </c>
      <c r="H216" s="67"/>
      <c r="I216" s="67"/>
      <c r="J216" s="147"/>
    </row>
    <row r="217">
      <c r="A217" s="146">
        <v>216.0</v>
      </c>
      <c r="B217" s="13" t="s">
        <v>208</v>
      </c>
      <c r="C217" s="13" t="s">
        <v>208</v>
      </c>
      <c r="D217" s="13" t="s">
        <v>208</v>
      </c>
      <c r="E217" s="13" t="s">
        <v>208</v>
      </c>
      <c r="F217" s="13" t="s">
        <v>208</v>
      </c>
      <c r="G217" s="67"/>
      <c r="H217" s="67"/>
      <c r="I217" s="67"/>
      <c r="J217" s="147"/>
    </row>
    <row r="218">
      <c r="A218" s="146">
        <v>217.0</v>
      </c>
      <c r="B218" s="13" t="s">
        <v>208</v>
      </c>
      <c r="C218" s="13" t="s">
        <v>208</v>
      </c>
      <c r="D218" s="13" t="s">
        <v>208</v>
      </c>
      <c r="E218" s="13" t="s">
        <v>208</v>
      </c>
      <c r="F218" s="13" t="s">
        <v>208</v>
      </c>
      <c r="G218" s="67"/>
      <c r="H218" s="67"/>
      <c r="I218" s="67"/>
      <c r="J218" s="147"/>
    </row>
    <row r="219">
      <c r="A219" s="146">
        <v>218.0</v>
      </c>
      <c r="B219" s="13" t="s">
        <v>208</v>
      </c>
      <c r="C219" s="13" t="s">
        <v>208</v>
      </c>
      <c r="D219" s="13" t="s">
        <v>208</v>
      </c>
      <c r="E219" s="13" t="s">
        <v>208</v>
      </c>
      <c r="F219" s="13" t="s">
        <v>208</v>
      </c>
      <c r="G219" s="67"/>
      <c r="H219" s="67"/>
      <c r="I219" s="67"/>
      <c r="J219" s="147"/>
    </row>
    <row r="220">
      <c r="A220" s="146">
        <v>219.0</v>
      </c>
      <c r="B220" s="13" t="s">
        <v>208</v>
      </c>
      <c r="C220" s="13" t="s">
        <v>208</v>
      </c>
      <c r="D220" s="13" t="s">
        <v>208</v>
      </c>
      <c r="E220" s="13" t="s">
        <v>208</v>
      </c>
      <c r="F220" s="13" t="s">
        <v>208</v>
      </c>
      <c r="G220" s="67"/>
      <c r="H220" s="67"/>
      <c r="I220" s="67"/>
      <c r="J220" s="147"/>
    </row>
    <row r="221">
      <c r="A221" s="146">
        <v>220.0</v>
      </c>
      <c r="B221" s="13" t="s">
        <v>208</v>
      </c>
      <c r="C221" s="13" t="s">
        <v>208</v>
      </c>
      <c r="D221" s="13" t="s">
        <v>208</v>
      </c>
      <c r="E221" s="13" t="s">
        <v>208</v>
      </c>
      <c r="F221" s="13" t="s">
        <v>208</v>
      </c>
      <c r="G221" s="67"/>
      <c r="H221" s="67"/>
      <c r="I221" s="67"/>
      <c r="J221" s="147"/>
    </row>
    <row r="222">
      <c r="A222" s="146">
        <v>221.0</v>
      </c>
      <c r="B222" s="67"/>
      <c r="C222" s="13" t="s">
        <v>208</v>
      </c>
      <c r="D222" s="13" t="s">
        <v>208</v>
      </c>
      <c r="E222" s="13" t="s">
        <v>208</v>
      </c>
      <c r="F222" s="67"/>
      <c r="G222" s="13" t="s">
        <v>208</v>
      </c>
      <c r="H222" s="67"/>
      <c r="I222" s="67"/>
      <c r="J222" s="147"/>
    </row>
    <row r="223">
      <c r="A223" s="146">
        <v>222.0</v>
      </c>
      <c r="B223" s="13" t="s">
        <v>208</v>
      </c>
      <c r="C223" s="13" t="s">
        <v>208</v>
      </c>
      <c r="D223" s="13" t="s">
        <v>208</v>
      </c>
      <c r="E223" s="13" t="s">
        <v>208</v>
      </c>
      <c r="F223" s="13" t="s">
        <v>208</v>
      </c>
      <c r="G223" s="67"/>
      <c r="H223" s="67"/>
      <c r="I223" s="67"/>
      <c r="J223" s="147"/>
    </row>
    <row r="224">
      <c r="A224" s="146">
        <v>223.0</v>
      </c>
      <c r="B224" s="13" t="s">
        <v>208</v>
      </c>
      <c r="C224" s="13" t="s">
        <v>208</v>
      </c>
      <c r="D224" s="13" t="s">
        <v>208</v>
      </c>
      <c r="E224" s="13" t="s">
        <v>208</v>
      </c>
      <c r="F224" s="13" t="s">
        <v>208</v>
      </c>
      <c r="G224" s="67"/>
      <c r="H224" s="67"/>
      <c r="I224" s="67"/>
      <c r="J224" s="147"/>
    </row>
    <row r="225">
      <c r="A225" s="146">
        <v>224.0</v>
      </c>
      <c r="B225" s="67"/>
      <c r="C225" s="13" t="s">
        <v>208</v>
      </c>
      <c r="D225" s="13" t="s">
        <v>208</v>
      </c>
      <c r="E225" s="13" t="s">
        <v>208</v>
      </c>
      <c r="F225" s="67"/>
      <c r="G225" s="13" t="s">
        <v>208</v>
      </c>
      <c r="H225" s="67"/>
      <c r="I225" s="67"/>
      <c r="J225" s="147"/>
    </row>
    <row r="226">
      <c r="A226" s="146">
        <v>225.0</v>
      </c>
      <c r="B226" s="67"/>
      <c r="C226" s="13" t="s">
        <v>208</v>
      </c>
      <c r="D226" s="13" t="s">
        <v>208</v>
      </c>
      <c r="E226" s="13" t="s">
        <v>208</v>
      </c>
      <c r="F226" s="67"/>
      <c r="G226" s="13" t="s">
        <v>208</v>
      </c>
      <c r="H226" s="67"/>
      <c r="I226" s="67"/>
      <c r="J226" s="147"/>
    </row>
    <row r="227">
      <c r="A227" s="146">
        <v>226.0</v>
      </c>
      <c r="B227" s="13" t="s">
        <v>208</v>
      </c>
      <c r="C227" s="13" t="s">
        <v>208</v>
      </c>
      <c r="D227" s="13" t="s">
        <v>208</v>
      </c>
      <c r="E227" s="13" t="s">
        <v>208</v>
      </c>
      <c r="F227" s="13" t="s">
        <v>208</v>
      </c>
      <c r="G227" s="67"/>
      <c r="H227" s="67"/>
      <c r="I227" s="67"/>
      <c r="J227" s="147"/>
    </row>
    <row r="228">
      <c r="A228" s="146">
        <v>227.0</v>
      </c>
      <c r="B228" s="13" t="s">
        <v>208</v>
      </c>
      <c r="C228" s="13" t="s">
        <v>208</v>
      </c>
      <c r="D228" s="13" t="s">
        <v>208</v>
      </c>
      <c r="E228" s="13" t="s">
        <v>208</v>
      </c>
      <c r="F228" s="13" t="s">
        <v>208</v>
      </c>
      <c r="G228" s="67"/>
      <c r="H228" s="67"/>
      <c r="I228" s="67"/>
      <c r="J228" s="147"/>
    </row>
    <row r="229">
      <c r="A229" s="146">
        <v>228.0</v>
      </c>
      <c r="B229" s="13" t="s">
        <v>208</v>
      </c>
      <c r="C229" s="13" t="s">
        <v>208</v>
      </c>
      <c r="D229" s="13" t="s">
        <v>208</v>
      </c>
      <c r="E229" s="13" t="s">
        <v>208</v>
      </c>
      <c r="F229" s="13" t="s">
        <v>208</v>
      </c>
      <c r="G229" s="67"/>
      <c r="H229" s="67"/>
      <c r="I229" s="67"/>
      <c r="J229" s="147"/>
    </row>
    <row r="230">
      <c r="A230" s="146">
        <v>229.0</v>
      </c>
      <c r="B230" s="13" t="s">
        <v>208</v>
      </c>
      <c r="C230" s="13" t="s">
        <v>208</v>
      </c>
      <c r="D230" s="13" t="s">
        <v>208</v>
      </c>
      <c r="E230" s="13" t="s">
        <v>208</v>
      </c>
      <c r="F230" s="13" t="s">
        <v>208</v>
      </c>
      <c r="G230" s="67"/>
      <c r="H230" s="67"/>
      <c r="I230" s="67"/>
      <c r="J230" s="147"/>
    </row>
    <row r="231">
      <c r="A231" s="146">
        <v>230.0</v>
      </c>
      <c r="B231" s="13" t="s">
        <v>208</v>
      </c>
      <c r="C231" s="13" t="s">
        <v>208</v>
      </c>
      <c r="D231" s="99"/>
      <c r="E231" s="13" t="s">
        <v>208</v>
      </c>
      <c r="F231" s="13" t="s">
        <v>208</v>
      </c>
      <c r="G231" s="67"/>
      <c r="H231" s="67"/>
      <c r="I231" s="67"/>
      <c r="J231" s="147"/>
    </row>
    <row r="232">
      <c r="A232" s="146">
        <v>231.0</v>
      </c>
      <c r="B232" s="13" t="s">
        <v>208</v>
      </c>
      <c r="C232" s="13" t="s">
        <v>208</v>
      </c>
      <c r="D232" s="99"/>
      <c r="E232" s="13" t="s">
        <v>208</v>
      </c>
      <c r="F232" s="13" t="s">
        <v>208</v>
      </c>
      <c r="G232" s="67"/>
      <c r="H232" s="67"/>
      <c r="I232" s="67"/>
      <c r="J232" s="147"/>
    </row>
    <row r="233">
      <c r="A233" s="146">
        <v>232.0</v>
      </c>
      <c r="B233" s="13" t="s">
        <v>208</v>
      </c>
      <c r="C233" s="13" t="s">
        <v>208</v>
      </c>
      <c r="D233" s="13" t="s">
        <v>208</v>
      </c>
      <c r="E233" s="13" t="s">
        <v>208</v>
      </c>
      <c r="F233" s="13" t="s">
        <v>208</v>
      </c>
      <c r="G233" s="67"/>
      <c r="H233" s="67"/>
      <c r="I233" s="67"/>
      <c r="J233" s="147"/>
    </row>
    <row r="234">
      <c r="A234" s="146">
        <v>233.0</v>
      </c>
      <c r="B234" s="13" t="s">
        <v>208</v>
      </c>
      <c r="C234" s="13" t="s">
        <v>208</v>
      </c>
      <c r="D234" s="13" t="s">
        <v>208</v>
      </c>
      <c r="E234" s="13" t="s">
        <v>208</v>
      </c>
      <c r="F234" s="13" t="s">
        <v>208</v>
      </c>
      <c r="G234" s="67"/>
      <c r="H234" s="67"/>
      <c r="I234" s="67"/>
      <c r="J234" s="147"/>
    </row>
    <row r="235">
      <c r="A235" s="146">
        <v>234.0</v>
      </c>
      <c r="B235" s="13" t="s">
        <v>208</v>
      </c>
      <c r="C235" s="13" t="s">
        <v>208</v>
      </c>
      <c r="D235" s="13" t="s">
        <v>208</v>
      </c>
      <c r="E235" s="13" t="s">
        <v>208</v>
      </c>
      <c r="F235" s="13" t="s">
        <v>208</v>
      </c>
      <c r="G235" s="67"/>
      <c r="H235" s="67"/>
      <c r="I235" s="67"/>
      <c r="J235" s="147"/>
    </row>
    <row r="236">
      <c r="A236" s="146">
        <v>235.0</v>
      </c>
      <c r="B236" s="13" t="s">
        <v>208</v>
      </c>
      <c r="C236" s="13" t="s">
        <v>208</v>
      </c>
      <c r="D236" s="13" t="s">
        <v>208</v>
      </c>
      <c r="E236" s="13" t="s">
        <v>208</v>
      </c>
      <c r="F236" s="13" t="s">
        <v>208</v>
      </c>
      <c r="G236" s="67"/>
      <c r="H236" s="67"/>
      <c r="I236" s="67"/>
      <c r="J236" s="147"/>
    </row>
    <row r="237">
      <c r="A237" s="146">
        <v>236.0</v>
      </c>
      <c r="B237" s="13" t="s">
        <v>208</v>
      </c>
      <c r="C237" s="13" t="s">
        <v>208</v>
      </c>
      <c r="D237" s="13" t="s">
        <v>208</v>
      </c>
      <c r="E237" s="13" t="s">
        <v>208</v>
      </c>
      <c r="F237" s="13" t="s">
        <v>208</v>
      </c>
      <c r="G237" s="67"/>
      <c r="H237" s="67"/>
      <c r="I237" s="67"/>
      <c r="J237" s="147"/>
    </row>
    <row r="238">
      <c r="A238" s="146">
        <v>237.0</v>
      </c>
      <c r="B238" s="13" t="s">
        <v>208</v>
      </c>
      <c r="C238" s="13" t="s">
        <v>208</v>
      </c>
      <c r="D238" s="13" t="s">
        <v>208</v>
      </c>
      <c r="E238" s="13" t="s">
        <v>208</v>
      </c>
      <c r="F238" s="13" t="s">
        <v>208</v>
      </c>
      <c r="G238" s="67"/>
      <c r="H238" s="67"/>
      <c r="I238" s="67"/>
      <c r="J238" s="147"/>
    </row>
    <row r="239">
      <c r="A239" s="146">
        <v>238.0</v>
      </c>
      <c r="B239" s="13" t="s">
        <v>208</v>
      </c>
      <c r="C239" s="13" t="s">
        <v>208</v>
      </c>
      <c r="D239" s="13" t="s">
        <v>208</v>
      </c>
      <c r="E239" s="13" t="s">
        <v>208</v>
      </c>
      <c r="F239" s="13" t="s">
        <v>208</v>
      </c>
      <c r="G239" s="67"/>
      <c r="H239" s="67"/>
      <c r="I239" s="67"/>
      <c r="J239" s="147"/>
    </row>
    <row r="240">
      <c r="A240" s="146">
        <v>239.0</v>
      </c>
      <c r="B240" s="13" t="s">
        <v>208</v>
      </c>
      <c r="C240" s="13" t="s">
        <v>208</v>
      </c>
      <c r="D240" s="13" t="s">
        <v>208</v>
      </c>
      <c r="E240" s="13" t="s">
        <v>208</v>
      </c>
      <c r="F240" s="13" t="s">
        <v>208</v>
      </c>
      <c r="G240" s="67"/>
      <c r="H240" s="67"/>
      <c r="I240" s="67"/>
      <c r="J240" s="147"/>
    </row>
    <row r="241">
      <c r="A241" s="146">
        <v>240.0</v>
      </c>
      <c r="B241" s="13" t="s">
        <v>208</v>
      </c>
      <c r="C241" s="13" t="s">
        <v>208</v>
      </c>
      <c r="D241" s="13" t="s">
        <v>208</v>
      </c>
      <c r="E241" s="13" t="s">
        <v>208</v>
      </c>
      <c r="F241" s="13" t="s">
        <v>208</v>
      </c>
      <c r="G241" s="67"/>
      <c r="H241" s="67"/>
      <c r="I241" s="67"/>
      <c r="J241" s="147"/>
    </row>
    <row r="242">
      <c r="A242" s="146">
        <v>241.0</v>
      </c>
      <c r="B242" s="67"/>
      <c r="C242" s="13" t="s">
        <v>208</v>
      </c>
      <c r="D242" s="13" t="s">
        <v>208</v>
      </c>
      <c r="E242" s="13" t="s">
        <v>208</v>
      </c>
      <c r="F242" s="67"/>
      <c r="G242" s="13" t="s">
        <v>208</v>
      </c>
      <c r="H242" s="67"/>
      <c r="I242" s="67"/>
      <c r="J242" s="147"/>
    </row>
    <row r="243">
      <c r="A243" s="146">
        <v>242.0</v>
      </c>
      <c r="B243" s="13" t="s">
        <v>208</v>
      </c>
      <c r="C243" s="13" t="s">
        <v>208</v>
      </c>
      <c r="D243" s="13" t="s">
        <v>208</v>
      </c>
      <c r="E243" s="13" t="s">
        <v>208</v>
      </c>
      <c r="F243" s="13" t="s">
        <v>208</v>
      </c>
      <c r="G243" s="67"/>
      <c r="H243" s="67"/>
      <c r="I243" s="67"/>
      <c r="J243" s="147"/>
    </row>
    <row r="244">
      <c r="A244" s="146">
        <v>243.0</v>
      </c>
      <c r="B244" s="13" t="s">
        <v>208</v>
      </c>
      <c r="C244" s="13" t="s">
        <v>208</v>
      </c>
      <c r="D244" s="13" t="s">
        <v>208</v>
      </c>
      <c r="E244" s="13" t="s">
        <v>208</v>
      </c>
      <c r="F244" s="13" t="s">
        <v>208</v>
      </c>
      <c r="G244" s="67"/>
      <c r="H244" s="67"/>
      <c r="I244" s="67"/>
      <c r="J244" s="147"/>
    </row>
    <row r="245">
      <c r="A245" s="146">
        <v>244.0</v>
      </c>
      <c r="B245" s="13" t="s">
        <v>208</v>
      </c>
      <c r="C245" s="13" t="s">
        <v>208</v>
      </c>
      <c r="D245" s="13" t="s">
        <v>208</v>
      </c>
      <c r="E245" s="13" t="s">
        <v>208</v>
      </c>
      <c r="F245" s="13" t="s">
        <v>208</v>
      </c>
      <c r="G245" s="67"/>
      <c r="H245" s="67"/>
      <c r="I245" s="67"/>
      <c r="J245" s="147"/>
    </row>
    <row r="246">
      <c r="A246" s="146">
        <v>245.0</v>
      </c>
      <c r="B246" s="67"/>
      <c r="C246" s="13" t="s">
        <v>208</v>
      </c>
      <c r="D246" s="13" t="s">
        <v>208</v>
      </c>
      <c r="E246" s="13" t="s">
        <v>208</v>
      </c>
      <c r="F246" s="67"/>
      <c r="G246" s="13" t="s">
        <v>208</v>
      </c>
      <c r="H246" s="67"/>
      <c r="I246" s="67"/>
      <c r="J246" s="147"/>
    </row>
    <row r="247">
      <c r="A247" s="146">
        <v>246.0</v>
      </c>
      <c r="B247" s="13" t="s">
        <v>208</v>
      </c>
      <c r="C247" s="13" t="s">
        <v>208</v>
      </c>
      <c r="D247" s="13" t="s">
        <v>208</v>
      </c>
      <c r="E247" s="13" t="s">
        <v>208</v>
      </c>
      <c r="F247" s="13" t="s">
        <v>208</v>
      </c>
      <c r="G247" s="67"/>
      <c r="H247" s="67"/>
      <c r="I247" s="67"/>
      <c r="J247" s="147"/>
    </row>
    <row r="248">
      <c r="A248" s="146">
        <v>247.0</v>
      </c>
      <c r="B248" s="13" t="s">
        <v>208</v>
      </c>
      <c r="C248" s="13" t="s">
        <v>208</v>
      </c>
      <c r="D248" s="13" t="s">
        <v>208</v>
      </c>
      <c r="E248" s="13" t="s">
        <v>208</v>
      </c>
      <c r="F248" s="13" t="s">
        <v>208</v>
      </c>
      <c r="G248" s="67"/>
      <c r="H248" s="67"/>
      <c r="I248" s="67"/>
      <c r="J248" s="147"/>
    </row>
    <row r="249">
      <c r="A249" s="146">
        <v>248.0</v>
      </c>
      <c r="B249" s="13" t="s">
        <v>208</v>
      </c>
      <c r="C249" s="13" t="s">
        <v>208</v>
      </c>
      <c r="D249" s="13" t="s">
        <v>208</v>
      </c>
      <c r="E249" s="13" t="s">
        <v>208</v>
      </c>
      <c r="F249" s="13" t="s">
        <v>208</v>
      </c>
      <c r="G249" s="67"/>
      <c r="H249" s="67"/>
      <c r="I249" s="67"/>
      <c r="J249" s="147"/>
    </row>
    <row r="250">
      <c r="A250" s="146">
        <v>249.0</v>
      </c>
      <c r="B250" s="13" t="s">
        <v>208</v>
      </c>
      <c r="C250" s="13" t="s">
        <v>208</v>
      </c>
      <c r="D250" s="13" t="s">
        <v>208</v>
      </c>
      <c r="E250" s="13" t="s">
        <v>208</v>
      </c>
      <c r="F250" s="13" t="s">
        <v>208</v>
      </c>
      <c r="G250" s="67"/>
      <c r="H250" s="67"/>
      <c r="I250" s="67"/>
      <c r="J250" s="147"/>
    </row>
    <row r="251">
      <c r="A251" s="146">
        <v>250.0</v>
      </c>
      <c r="B251" s="13" t="s">
        <v>208</v>
      </c>
      <c r="C251" s="13" t="s">
        <v>208</v>
      </c>
      <c r="D251" s="13" t="s">
        <v>208</v>
      </c>
      <c r="E251" s="13" t="s">
        <v>208</v>
      </c>
      <c r="F251" s="13" t="s">
        <v>208</v>
      </c>
      <c r="G251" s="67"/>
      <c r="H251" s="67"/>
      <c r="I251" s="67"/>
      <c r="J251" s="147"/>
    </row>
    <row r="252">
      <c r="A252" s="146">
        <v>251.0</v>
      </c>
      <c r="B252" s="13" t="s">
        <v>208</v>
      </c>
      <c r="C252" s="13" t="s">
        <v>208</v>
      </c>
      <c r="D252" s="13" t="s">
        <v>208</v>
      </c>
      <c r="E252" s="13" t="s">
        <v>208</v>
      </c>
      <c r="F252" s="13" t="s">
        <v>208</v>
      </c>
      <c r="G252" s="67"/>
      <c r="H252" s="67"/>
      <c r="I252" s="67"/>
      <c r="J252" s="147"/>
    </row>
    <row r="253">
      <c r="A253" s="146">
        <v>252.0</v>
      </c>
      <c r="B253" s="13" t="s">
        <v>208</v>
      </c>
      <c r="C253" s="13" t="s">
        <v>208</v>
      </c>
      <c r="D253" s="13" t="s">
        <v>208</v>
      </c>
      <c r="E253" s="13" t="s">
        <v>208</v>
      </c>
      <c r="F253" s="13" t="s">
        <v>208</v>
      </c>
      <c r="G253" s="67"/>
      <c r="H253" s="67"/>
      <c r="I253" s="67"/>
      <c r="J253" s="147"/>
    </row>
    <row r="254">
      <c r="A254" s="146">
        <v>253.0</v>
      </c>
      <c r="B254" s="13" t="s">
        <v>208</v>
      </c>
      <c r="C254" s="13" t="s">
        <v>208</v>
      </c>
      <c r="D254" s="13" t="s">
        <v>208</v>
      </c>
      <c r="E254" s="13" t="s">
        <v>208</v>
      </c>
      <c r="F254" s="13" t="s">
        <v>208</v>
      </c>
      <c r="G254" s="67"/>
      <c r="H254" s="67"/>
      <c r="I254" s="67"/>
      <c r="J254" s="147"/>
    </row>
    <row r="255">
      <c r="A255" s="146">
        <v>254.0</v>
      </c>
      <c r="B255" s="13" t="s">
        <v>208</v>
      </c>
      <c r="C255" s="13" t="s">
        <v>208</v>
      </c>
      <c r="D255" s="13" t="s">
        <v>208</v>
      </c>
      <c r="E255" s="13" t="s">
        <v>208</v>
      </c>
      <c r="F255" s="13" t="s">
        <v>208</v>
      </c>
      <c r="G255" s="67"/>
      <c r="H255" s="67"/>
      <c r="I255" s="67"/>
      <c r="J255" s="147"/>
    </row>
    <row r="256">
      <c r="A256" s="146">
        <v>255.0</v>
      </c>
      <c r="B256" s="13" t="s">
        <v>208</v>
      </c>
      <c r="C256" s="13" t="s">
        <v>208</v>
      </c>
      <c r="D256" s="13" t="s">
        <v>208</v>
      </c>
      <c r="E256" s="13" t="s">
        <v>208</v>
      </c>
      <c r="F256" s="13" t="s">
        <v>208</v>
      </c>
      <c r="G256" s="67"/>
      <c r="H256" s="67"/>
      <c r="I256" s="67"/>
      <c r="J256" s="147"/>
    </row>
    <row r="257">
      <c r="A257" s="146">
        <v>256.0</v>
      </c>
      <c r="B257" s="13" t="s">
        <v>208</v>
      </c>
      <c r="C257" s="13" t="s">
        <v>208</v>
      </c>
      <c r="D257" s="13" t="s">
        <v>208</v>
      </c>
      <c r="E257" s="13" t="s">
        <v>208</v>
      </c>
      <c r="F257" s="13" t="s">
        <v>208</v>
      </c>
      <c r="G257" s="67"/>
      <c r="H257" s="67"/>
      <c r="I257" s="67"/>
      <c r="J257" s="147"/>
    </row>
    <row r="258">
      <c r="A258" s="146">
        <v>257.0</v>
      </c>
      <c r="B258" s="13" t="s">
        <v>208</v>
      </c>
      <c r="C258" s="13" t="s">
        <v>208</v>
      </c>
      <c r="D258" s="13" t="s">
        <v>208</v>
      </c>
      <c r="E258" s="13" t="s">
        <v>208</v>
      </c>
      <c r="F258" s="13" t="s">
        <v>208</v>
      </c>
      <c r="G258" s="67"/>
      <c r="H258" s="67"/>
      <c r="I258" s="67"/>
      <c r="J258" s="147"/>
    </row>
    <row r="259">
      <c r="A259" s="146">
        <v>258.0</v>
      </c>
      <c r="B259" s="13" t="s">
        <v>208</v>
      </c>
      <c r="C259" s="13" t="s">
        <v>208</v>
      </c>
      <c r="D259" s="13" t="s">
        <v>208</v>
      </c>
      <c r="E259" s="13" t="s">
        <v>208</v>
      </c>
      <c r="F259" s="13" t="s">
        <v>208</v>
      </c>
      <c r="G259" s="67"/>
      <c r="H259" s="67"/>
      <c r="I259" s="67"/>
      <c r="J259" s="147"/>
    </row>
    <row r="260">
      <c r="A260" s="146">
        <v>259.0</v>
      </c>
      <c r="B260" s="13" t="s">
        <v>208</v>
      </c>
      <c r="C260" s="13" t="s">
        <v>208</v>
      </c>
      <c r="D260" s="13" t="s">
        <v>208</v>
      </c>
      <c r="E260" s="13" t="s">
        <v>208</v>
      </c>
      <c r="F260" s="13" t="s">
        <v>208</v>
      </c>
      <c r="G260" s="67"/>
      <c r="H260" s="67"/>
      <c r="I260" s="67"/>
      <c r="J260" s="147"/>
    </row>
    <row r="261">
      <c r="A261" s="146">
        <v>260.0</v>
      </c>
      <c r="B261" s="13" t="s">
        <v>208</v>
      </c>
      <c r="C261" s="13" t="s">
        <v>208</v>
      </c>
      <c r="D261" s="13" t="s">
        <v>208</v>
      </c>
      <c r="E261" s="13" t="s">
        <v>208</v>
      </c>
      <c r="F261" s="13" t="s">
        <v>208</v>
      </c>
      <c r="G261" s="67"/>
      <c r="H261" s="67"/>
      <c r="I261" s="67"/>
      <c r="J261" s="147"/>
    </row>
    <row r="262">
      <c r="A262" s="146">
        <v>261.0</v>
      </c>
      <c r="B262" s="13" t="s">
        <v>208</v>
      </c>
      <c r="C262" s="13" t="s">
        <v>208</v>
      </c>
      <c r="D262" s="13" t="s">
        <v>208</v>
      </c>
      <c r="E262" s="13" t="s">
        <v>208</v>
      </c>
      <c r="F262" s="13" t="s">
        <v>208</v>
      </c>
      <c r="G262" s="67"/>
      <c r="H262" s="67"/>
      <c r="I262" s="67"/>
      <c r="J262" s="147"/>
    </row>
    <row r="263">
      <c r="A263" s="146">
        <v>262.0</v>
      </c>
      <c r="B263" s="13" t="s">
        <v>208</v>
      </c>
      <c r="C263" s="13" t="s">
        <v>208</v>
      </c>
      <c r="D263" s="13" t="s">
        <v>208</v>
      </c>
      <c r="E263" s="13" t="s">
        <v>208</v>
      </c>
      <c r="F263" s="13" t="s">
        <v>208</v>
      </c>
      <c r="G263" s="67"/>
      <c r="H263" s="67"/>
      <c r="I263" s="67"/>
      <c r="J263" s="147"/>
    </row>
    <row r="264">
      <c r="A264" s="146">
        <v>263.0</v>
      </c>
      <c r="B264" s="13" t="s">
        <v>208</v>
      </c>
      <c r="C264" s="13" t="s">
        <v>208</v>
      </c>
      <c r="D264" s="13" t="s">
        <v>208</v>
      </c>
      <c r="E264" s="13" t="s">
        <v>208</v>
      </c>
      <c r="F264" s="13" t="s">
        <v>208</v>
      </c>
      <c r="G264" s="67"/>
      <c r="H264" s="67"/>
      <c r="I264" s="67"/>
      <c r="J264" s="147"/>
    </row>
    <row r="265">
      <c r="A265" s="146">
        <v>264.0</v>
      </c>
      <c r="B265" s="13" t="s">
        <v>208</v>
      </c>
      <c r="C265" s="13" t="s">
        <v>208</v>
      </c>
      <c r="D265" s="13" t="s">
        <v>208</v>
      </c>
      <c r="E265" s="13" t="s">
        <v>208</v>
      </c>
      <c r="F265" s="13" t="s">
        <v>208</v>
      </c>
      <c r="G265" s="67"/>
      <c r="H265" s="67"/>
      <c r="I265" s="67"/>
      <c r="J265" s="147"/>
    </row>
    <row r="266">
      <c r="A266" s="146">
        <v>265.0</v>
      </c>
      <c r="B266" s="13" t="s">
        <v>208</v>
      </c>
      <c r="C266" s="13" t="s">
        <v>208</v>
      </c>
      <c r="D266" s="13" t="s">
        <v>208</v>
      </c>
      <c r="E266" s="13" t="s">
        <v>208</v>
      </c>
      <c r="F266" s="13" t="s">
        <v>208</v>
      </c>
      <c r="G266" s="67"/>
      <c r="H266" s="67"/>
      <c r="I266" s="67"/>
      <c r="J266" s="147"/>
    </row>
    <row r="267">
      <c r="A267" s="146">
        <v>266.0</v>
      </c>
      <c r="B267" s="13" t="s">
        <v>208</v>
      </c>
      <c r="C267" s="13" t="s">
        <v>208</v>
      </c>
      <c r="D267" s="13" t="s">
        <v>208</v>
      </c>
      <c r="E267" s="13" t="s">
        <v>208</v>
      </c>
      <c r="F267" s="13" t="s">
        <v>208</v>
      </c>
      <c r="G267" s="67"/>
      <c r="H267" s="67"/>
      <c r="I267" s="67"/>
      <c r="J267" s="147"/>
    </row>
    <row r="268">
      <c r="A268" s="146">
        <v>267.0</v>
      </c>
      <c r="B268" s="13" t="s">
        <v>208</v>
      </c>
      <c r="C268" s="13" t="s">
        <v>208</v>
      </c>
      <c r="D268" s="13" t="s">
        <v>208</v>
      </c>
      <c r="E268" s="13" t="s">
        <v>208</v>
      </c>
      <c r="F268" s="13" t="s">
        <v>208</v>
      </c>
      <c r="G268" s="67"/>
      <c r="H268" s="67"/>
      <c r="I268" s="67"/>
      <c r="J268" s="147"/>
    </row>
    <row r="269">
      <c r="A269" s="146">
        <v>268.0</v>
      </c>
      <c r="B269" s="13" t="s">
        <v>208</v>
      </c>
      <c r="C269" s="13" t="s">
        <v>208</v>
      </c>
      <c r="D269" s="13" t="s">
        <v>208</v>
      </c>
      <c r="E269" s="13" t="s">
        <v>208</v>
      </c>
      <c r="F269" s="13" t="s">
        <v>208</v>
      </c>
      <c r="G269" s="67"/>
      <c r="H269" s="67"/>
      <c r="I269" s="67"/>
      <c r="J269" s="147"/>
    </row>
    <row r="270">
      <c r="A270" s="146">
        <v>269.0</v>
      </c>
      <c r="B270" s="13" t="s">
        <v>208</v>
      </c>
      <c r="C270" s="13" t="s">
        <v>208</v>
      </c>
      <c r="D270" s="13" t="s">
        <v>208</v>
      </c>
      <c r="E270" s="13" t="s">
        <v>208</v>
      </c>
      <c r="F270" s="13" t="s">
        <v>208</v>
      </c>
      <c r="G270" s="67"/>
      <c r="H270" s="67"/>
      <c r="I270" s="67"/>
      <c r="J270" s="147"/>
    </row>
    <row r="271">
      <c r="A271" s="146">
        <v>270.0</v>
      </c>
      <c r="B271" s="13" t="s">
        <v>208</v>
      </c>
      <c r="C271" s="13" t="s">
        <v>208</v>
      </c>
      <c r="D271" s="13" t="s">
        <v>208</v>
      </c>
      <c r="E271" s="13" t="s">
        <v>208</v>
      </c>
      <c r="F271" s="13" t="s">
        <v>208</v>
      </c>
      <c r="G271" s="67"/>
      <c r="H271" s="67"/>
      <c r="I271" s="67"/>
      <c r="J271" s="147"/>
    </row>
    <row r="272">
      <c r="A272" s="146">
        <v>271.0</v>
      </c>
      <c r="B272" s="13" t="s">
        <v>208</v>
      </c>
      <c r="C272" s="13" t="s">
        <v>208</v>
      </c>
      <c r="D272" s="13" t="s">
        <v>208</v>
      </c>
      <c r="E272" s="13" t="s">
        <v>208</v>
      </c>
      <c r="F272" s="13" t="s">
        <v>208</v>
      </c>
      <c r="G272" s="67"/>
      <c r="H272" s="67"/>
      <c r="I272" s="67"/>
      <c r="J272" s="147"/>
    </row>
    <row r="273">
      <c r="A273" s="146">
        <v>272.0</v>
      </c>
      <c r="B273" s="13" t="s">
        <v>208</v>
      </c>
      <c r="C273" s="13" t="s">
        <v>208</v>
      </c>
      <c r="D273" s="13" t="s">
        <v>208</v>
      </c>
      <c r="E273" s="13" t="s">
        <v>208</v>
      </c>
      <c r="F273" s="13" t="s">
        <v>208</v>
      </c>
      <c r="G273" s="67"/>
      <c r="H273" s="67"/>
      <c r="I273" s="67"/>
      <c r="J273" s="147"/>
    </row>
    <row r="274">
      <c r="A274" s="146">
        <v>273.0</v>
      </c>
      <c r="B274" s="13" t="s">
        <v>208</v>
      </c>
      <c r="C274" s="13" t="s">
        <v>208</v>
      </c>
      <c r="D274" s="13" t="s">
        <v>208</v>
      </c>
      <c r="E274" s="13" t="s">
        <v>208</v>
      </c>
      <c r="F274" s="13" t="s">
        <v>208</v>
      </c>
      <c r="G274" s="67"/>
      <c r="H274" s="67"/>
      <c r="I274" s="67"/>
      <c r="J274" s="147"/>
    </row>
    <row r="275">
      <c r="A275" s="146">
        <v>274.0</v>
      </c>
      <c r="B275" s="13" t="s">
        <v>208</v>
      </c>
      <c r="C275" s="13" t="s">
        <v>208</v>
      </c>
      <c r="D275" s="13" t="s">
        <v>208</v>
      </c>
      <c r="E275" s="13" t="s">
        <v>208</v>
      </c>
      <c r="F275" s="13" t="s">
        <v>208</v>
      </c>
      <c r="G275" s="67"/>
      <c r="H275" s="67"/>
      <c r="I275" s="67"/>
      <c r="J275" s="147"/>
    </row>
    <row r="276">
      <c r="A276" s="146">
        <v>275.0</v>
      </c>
      <c r="B276" s="13" t="s">
        <v>208</v>
      </c>
      <c r="C276" s="13" t="s">
        <v>208</v>
      </c>
      <c r="D276" s="13" t="s">
        <v>208</v>
      </c>
      <c r="E276" s="13" t="s">
        <v>208</v>
      </c>
      <c r="F276" s="13" t="s">
        <v>208</v>
      </c>
      <c r="G276" s="67"/>
      <c r="H276" s="67"/>
      <c r="I276" s="67"/>
      <c r="J276" s="147"/>
    </row>
    <row r="277">
      <c r="A277" s="146">
        <v>276.0</v>
      </c>
      <c r="B277" s="13" t="s">
        <v>208</v>
      </c>
      <c r="C277" s="13" t="s">
        <v>208</v>
      </c>
      <c r="D277" s="13" t="s">
        <v>208</v>
      </c>
      <c r="E277" s="13" t="s">
        <v>208</v>
      </c>
      <c r="F277" s="13" t="s">
        <v>208</v>
      </c>
      <c r="G277" s="67"/>
      <c r="H277" s="67"/>
      <c r="I277" s="67"/>
      <c r="J277" s="147"/>
    </row>
    <row r="278">
      <c r="A278" s="146">
        <v>277.0</v>
      </c>
      <c r="B278" s="13" t="s">
        <v>208</v>
      </c>
      <c r="C278" s="13" t="s">
        <v>208</v>
      </c>
      <c r="D278" s="13" t="s">
        <v>208</v>
      </c>
      <c r="E278" s="13" t="s">
        <v>208</v>
      </c>
      <c r="F278" s="13" t="s">
        <v>208</v>
      </c>
      <c r="G278" s="67"/>
      <c r="H278" s="67"/>
      <c r="I278" s="67"/>
      <c r="J278" s="147"/>
    </row>
    <row r="279">
      <c r="A279" s="146">
        <v>278.0</v>
      </c>
      <c r="B279" s="13" t="s">
        <v>208</v>
      </c>
      <c r="C279" s="13" t="s">
        <v>208</v>
      </c>
      <c r="D279" s="13" t="s">
        <v>208</v>
      </c>
      <c r="E279" s="13" t="s">
        <v>208</v>
      </c>
      <c r="F279" s="13" t="s">
        <v>208</v>
      </c>
      <c r="G279" s="67"/>
      <c r="H279" s="67"/>
      <c r="I279" s="67"/>
      <c r="J279" s="147"/>
    </row>
    <row r="280">
      <c r="A280" s="146">
        <v>279.0</v>
      </c>
      <c r="B280" s="13" t="s">
        <v>208</v>
      </c>
      <c r="C280" s="13" t="s">
        <v>208</v>
      </c>
      <c r="D280" s="13" t="s">
        <v>208</v>
      </c>
      <c r="E280" s="13" t="s">
        <v>208</v>
      </c>
      <c r="F280" s="13" t="s">
        <v>208</v>
      </c>
      <c r="G280" s="67"/>
      <c r="H280" s="67"/>
      <c r="I280" s="67"/>
      <c r="J280" s="147"/>
    </row>
    <row r="281">
      <c r="A281" s="146">
        <v>280.0</v>
      </c>
      <c r="B281" s="13" t="s">
        <v>208</v>
      </c>
      <c r="C281" s="13" t="s">
        <v>208</v>
      </c>
      <c r="D281" s="13" t="s">
        <v>208</v>
      </c>
      <c r="E281" s="13" t="s">
        <v>208</v>
      </c>
      <c r="F281" s="13" t="s">
        <v>208</v>
      </c>
      <c r="G281" s="67"/>
      <c r="H281" s="67"/>
      <c r="I281" s="67"/>
      <c r="J281" s="147"/>
    </row>
    <row r="282">
      <c r="A282" s="146">
        <v>281.0</v>
      </c>
      <c r="B282" s="13" t="s">
        <v>208</v>
      </c>
      <c r="C282" s="13" t="s">
        <v>208</v>
      </c>
      <c r="D282" s="13" t="s">
        <v>208</v>
      </c>
      <c r="E282" s="13" t="s">
        <v>208</v>
      </c>
      <c r="F282" s="13" t="s">
        <v>208</v>
      </c>
      <c r="G282" s="67"/>
      <c r="H282" s="67"/>
      <c r="I282" s="67"/>
      <c r="J282" s="147"/>
    </row>
    <row r="283">
      <c r="A283" s="146">
        <v>282.0</v>
      </c>
      <c r="B283" s="13" t="s">
        <v>208</v>
      </c>
      <c r="C283" s="13" t="s">
        <v>208</v>
      </c>
      <c r="D283" s="13" t="s">
        <v>208</v>
      </c>
      <c r="E283" s="13" t="s">
        <v>208</v>
      </c>
      <c r="F283" s="13" t="s">
        <v>208</v>
      </c>
      <c r="G283" s="67"/>
      <c r="H283" s="67"/>
      <c r="I283" s="67"/>
      <c r="J283" s="147"/>
    </row>
    <row r="284">
      <c r="A284" s="146">
        <v>283.0</v>
      </c>
      <c r="B284" s="13" t="s">
        <v>208</v>
      </c>
      <c r="C284" s="13" t="s">
        <v>208</v>
      </c>
      <c r="D284" s="13" t="s">
        <v>208</v>
      </c>
      <c r="E284" s="13" t="s">
        <v>208</v>
      </c>
      <c r="F284" s="13" t="s">
        <v>208</v>
      </c>
      <c r="G284" s="67"/>
      <c r="H284" s="67"/>
      <c r="I284" s="67"/>
      <c r="J284" s="147"/>
    </row>
    <row r="285">
      <c r="A285" s="146">
        <v>284.0</v>
      </c>
      <c r="B285" s="13" t="s">
        <v>208</v>
      </c>
      <c r="C285" s="13" t="s">
        <v>208</v>
      </c>
      <c r="D285" s="13" t="s">
        <v>208</v>
      </c>
      <c r="E285" s="13" t="s">
        <v>208</v>
      </c>
      <c r="F285" s="13" t="s">
        <v>208</v>
      </c>
      <c r="G285" s="67"/>
      <c r="H285" s="67"/>
      <c r="I285" s="67"/>
      <c r="J285" s="147"/>
    </row>
    <row r="286">
      <c r="A286" s="146">
        <v>285.0</v>
      </c>
      <c r="B286" s="13" t="s">
        <v>208</v>
      </c>
      <c r="C286" s="13" t="s">
        <v>208</v>
      </c>
      <c r="D286" s="13" t="s">
        <v>208</v>
      </c>
      <c r="E286" s="13" t="s">
        <v>208</v>
      </c>
      <c r="F286" s="13" t="s">
        <v>208</v>
      </c>
      <c r="G286" s="67"/>
      <c r="H286" s="67"/>
      <c r="I286" s="67"/>
      <c r="J286" s="147"/>
    </row>
    <row r="287">
      <c r="A287" s="146">
        <v>286.0</v>
      </c>
      <c r="B287" s="13" t="s">
        <v>208</v>
      </c>
      <c r="C287" s="13" t="s">
        <v>208</v>
      </c>
      <c r="D287" s="13" t="s">
        <v>208</v>
      </c>
      <c r="E287" s="13" t="s">
        <v>208</v>
      </c>
      <c r="F287" s="13" t="s">
        <v>208</v>
      </c>
      <c r="G287" s="67"/>
      <c r="H287" s="67"/>
      <c r="I287" s="67"/>
      <c r="J287" s="147"/>
    </row>
    <row r="288">
      <c r="A288" s="146">
        <v>287.0</v>
      </c>
      <c r="B288" s="13" t="s">
        <v>208</v>
      </c>
      <c r="C288" s="13" t="s">
        <v>208</v>
      </c>
      <c r="D288" s="13" t="s">
        <v>208</v>
      </c>
      <c r="E288" s="13" t="s">
        <v>208</v>
      </c>
      <c r="F288" s="13" t="s">
        <v>208</v>
      </c>
      <c r="G288" s="67"/>
      <c r="H288" s="67"/>
      <c r="I288" s="67"/>
      <c r="J288" s="147"/>
    </row>
    <row r="289">
      <c r="A289" s="146">
        <v>288.0</v>
      </c>
      <c r="B289" s="13" t="s">
        <v>208</v>
      </c>
      <c r="C289" s="13" t="s">
        <v>208</v>
      </c>
      <c r="D289" s="13" t="s">
        <v>208</v>
      </c>
      <c r="E289" s="13" t="s">
        <v>208</v>
      </c>
      <c r="F289" s="13" t="s">
        <v>208</v>
      </c>
      <c r="G289" s="67"/>
      <c r="H289" s="67"/>
      <c r="I289" s="67"/>
      <c r="J289" s="147"/>
    </row>
    <row r="290">
      <c r="A290" s="146">
        <v>289.0</v>
      </c>
      <c r="B290" s="13" t="s">
        <v>208</v>
      </c>
      <c r="C290" s="13" t="s">
        <v>208</v>
      </c>
      <c r="D290" s="13" t="s">
        <v>208</v>
      </c>
      <c r="E290" s="13" t="s">
        <v>208</v>
      </c>
      <c r="F290" s="13" t="s">
        <v>208</v>
      </c>
      <c r="G290" s="67"/>
      <c r="H290" s="67"/>
      <c r="I290" s="67"/>
      <c r="J290" s="147"/>
    </row>
    <row r="291">
      <c r="A291" s="146">
        <v>290.0</v>
      </c>
      <c r="B291" s="13" t="s">
        <v>208</v>
      </c>
      <c r="C291" s="13" t="s">
        <v>208</v>
      </c>
      <c r="D291" s="13" t="s">
        <v>208</v>
      </c>
      <c r="E291" s="13" t="s">
        <v>208</v>
      </c>
      <c r="F291" s="13" t="s">
        <v>208</v>
      </c>
      <c r="G291" s="67"/>
      <c r="H291" s="67"/>
      <c r="I291" s="67"/>
      <c r="J291" s="147"/>
    </row>
    <row r="292">
      <c r="A292" s="146">
        <v>291.0</v>
      </c>
      <c r="B292" s="13" t="s">
        <v>208</v>
      </c>
      <c r="C292" s="13" t="s">
        <v>208</v>
      </c>
      <c r="D292" s="13" t="s">
        <v>208</v>
      </c>
      <c r="E292" s="13" t="s">
        <v>208</v>
      </c>
      <c r="F292" s="13" t="s">
        <v>208</v>
      </c>
      <c r="G292" s="67"/>
      <c r="H292" s="67"/>
      <c r="I292" s="67"/>
      <c r="J292" s="147"/>
    </row>
    <row r="293">
      <c r="A293" s="146">
        <v>292.0</v>
      </c>
      <c r="B293" s="13" t="s">
        <v>208</v>
      </c>
      <c r="C293" s="99"/>
      <c r="D293" s="13" t="s">
        <v>208</v>
      </c>
      <c r="E293" s="13" t="s">
        <v>208</v>
      </c>
      <c r="F293" s="13" t="s">
        <v>208</v>
      </c>
      <c r="G293" s="67"/>
      <c r="H293" s="67"/>
      <c r="I293" s="67"/>
      <c r="J293" s="147"/>
    </row>
    <row r="294">
      <c r="A294" s="146">
        <v>293.0</v>
      </c>
      <c r="B294" s="13" t="s">
        <v>208</v>
      </c>
      <c r="C294" s="13" t="s">
        <v>208</v>
      </c>
      <c r="D294" s="13" t="s">
        <v>208</v>
      </c>
      <c r="E294" s="13" t="s">
        <v>208</v>
      </c>
      <c r="F294" s="13" t="s">
        <v>208</v>
      </c>
      <c r="G294" s="67"/>
      <c r="H294" s="67"/>
      <c r="I294" s="67"/>
      <c r="J294" s="147"/>
    </row>
    <row r="295">
      <c r="A295" s="146">
        <v>294.0</v>
      </c>
      <c r="B295" s="13" t="s">
        <v>208</v>
      </c>
      <c r="C295" s="13" t="s">
        <v>208</v>
      </c>
      <c r="D295" s="13" t="s">
        <v>208</v>
      </c>
      <c r="E295" s="13" t="s">
        <v>208</v>
      </c>
      <c r="F295" s="13" t="s">
        <v>208</v>
      </c>
      <c r="G295" s="67"/>
      <c r="H295" s="67"/>
      <c r="I295" s="67"/>
      <c r="J295" s="147"/>
    </row>
    <row r="296">
      <c r="A296" s="146">
        <v>295.0</v>
      </c>
      <c r="B296" s="13" t="s">
        <v>208</v>
      </c>
      <c r="C296" s="13" t="s">
        <v>208</v>
      </c>
      <c r="D296" s="13" t="s">
        <v>208</v>
      </c>
      <c r="E296" s="13" t="s">
        <v>208</v>
      </c>
      <c r="F296" s="13" t="s">
        <v>208</v>
      </c>
      <c r="G296" s="67"/>
      <c r="H296" s="67"/>
      <c r="I296" s="67"/>
      <c r="J296" s="147"/>
    </row>
    <row r="297">
      <c r="A297" s="146">
        <v>296.0</v>
      </c>
      <c r="B297" s="13" t="s">
        <v>208</v>
      </c>
      <c r="C297" s="13" t="s">
        <v>208</v>
      </c>
      <c r="D297" s="13" t="s">
        <v>208</v>
      </c>
      <c r="E297" s="13" t="s">
        <v>208</v>
      </c>
      <c r="F297" s="13" t="s">
        <v>208</v>
      </c>
      <c r="G297" s="67"/>
      <c r="H297" s="67"/>
      <c r="I297" s="67"/>
      <c r="J297" s="147"/>
    </row>
    <row r="298">
      <c r="A298" s="146">
        <v>297.0</v>
      </c>
      <c r="B298" s="13" t="s">
        <v>208</v>
      </c>
      <c r="C298" s="13" t="s">
        <v>208</v>
      </c>
      <c r="D298" s="13" t="s">
        <v>208</v>
      </c>
      <c r="E298" s="13" t="s">
        <v>208</v>
      </c>
      <c r="F298" s="13" t="s">
        <v>208</v>
      </c>
      <c r="G298" s="67"/>
      <c r="H298" s="67"/>
      <c r="I298" s="67"/>
      <c r="J298" s="147"/>
    </row>
    <row r="299">
      <c r="A299" s="146">
        <v>298.0</v>
      </c>
      <c r="B299" s="13" t="s">
        <v>208</v>
      </c>
      <c r="C299" s="13" t="s">
        <v>208</v>
      </c>
      <c r="D299" s="13" t="s">
        <v>208</v>
      </c>
      <c r="E299" s="13" t="s">
        <v>208</v>
      </c>
      <c r="F299" s="13" t="s">
        <v>208</v>
      </c>
      <c r="G299" s="67"/>
      <c r="H299" s="67"/>
      <c r="I299" s="67"/>
      <c r="J299" s="147"/>
    </row>
    <row r="300">
      <c r="A300" s="146">
        <v>299.0</v>
      </c>
      <c r="B300" s="13" t="s">
        <v>208</v>
      </c>
      <c r="C300" s="13" t="s">
        <v>208</v>
      </c>
      <c r="D300" s="13" t="s">
        <v>208</v>
      </c>
      <c r="E300" s="13" t="s">
        <v>208</v>
      </c>
      <c r="F300" s="13" t="s">
        <v>208</v>
      </c>
      <c r="G300" s="67"/>
      <c r="H300" s="67"/>
      <c r="I300" s="67"/>
      <c r="J300" s="147"/>
    </row>
    <row r="301">
      <c r="A301" s="146">
        <v>300.0</v>
      </c>
      <c r="B301" s="13" t="s">
        <v>208</v>
      </c>
      <c r="C301" s="13" t="s">
        <v>208</v>
      </c>
      <c r="D301" s="13" t="s">
        <v>208</v>
      </c>
      <c r="E301" s="13" t="s">
        <v>208</v>
      </c>
      <c r="F301" s="13" t="s">
        <v>208</v>
      </c>
      <c r="G301" s="67"/>
      <c r="H301" s="67"/>
      <c r="I301" s="67"/>
      <c r="J301" s="147"/>
    </row>
    <row r="302">
      <c r="A302" s="146">
        <v>301.0</v>
      </c>
      <c r="B302" s="13" t="s">
        <v>208</v>
      </c>
      <c r="C302" s="13" t="s">
        <v>208</v>
      </c>
      <c r="D302" s="13" t="s">
        <v>208</v>
      </c>
      <c r="E302" s="13" t="s">
        <v>208</v>
      </c>
      <c r="F302" s="13" t="s">
        <v>208</v>
      </c>
      <c r="G302" s="67"/>
      <c r="H302" s="67"/>
      <c r="I302" s="67"/>
      <c r="J302" s="147"/>
    </row>
    <row r="303">
      <c r="A303" s="146">
        <v>302.0</v>
      </c>
      <c r="B303" s="13" t="s">
        <v>208</v>
      </c>
      <c r="C303" s="13" t="s">
        <v>208</v>
      </c>
      <c r="D303" s="13" t="s">
        <v>208</v>
      </c>
      <c r="E303" s="13" t="s">
        <v>208</v>
      </c>
      <c r="F303" s="13" t="s">
        <v>208</v>
      </c>
      <c r="G303" s="67"/>
      <c r="H303" s="67"/>
      <c r="I303" s="67"/>
      <c r="J303" s="147"/>
    </row>
    <row r="304">
      <c r="A304" s="146">
        <v>303.0</v>
      </c>
      <c r="B304" s="13" t="s">
        <v>208</v>
      </c>
      <c r="C304" s="13" t="s">
        <v>208</v>
      </c>
      <c r="D304" s="13" t="s">
        <v>208</v>
      </c>
      <c r="E304" s="13" t="s">
        <v>208</v>
      </c>
      <c r="F304" s="13" t="s">
        <v>208</v>
      </c>
      <c r="G304" s="67"/>
      <c r="H304" s="67"/>
      <c r="I304" s="67"/>
      <c r="J304" s="147"/>
    </row>
    <row r="305">
      <c r="A305" s="146">
        <v>304.0</v>
      </c>
      <c r="B305" s="13" t="s">
        <v>208</v>
      </c>
      <c r="C305" s="13" t="s">
        <v>208</v>
      </c>
      <c r="D305" s="13" t="s">
        <v>208</v>
      </c>
      <c r="E305" s="13" t="s">
        <v>208</v>
      </c>
      <c r="F305" s="13" t="s">
        <v>208</v>
      </c>
      <c r="G305" s="67"/>
      <c r="H305" s="67"/>
      <c r="I305" s="67"/>
      <c r="J305" s="147"/>
    </row>
    <row r="306">
      <c r="A306" s="146">
        <v>305.0</v>
      </c>
      <c r="B306" s="13" t="s">
        <v>208</v>
      </c>
      <c r="C306" s="13" t="s">
        <v>208</v>
      </c>
      <c r="D306" s="13" t="s">
        <v>208</v>
      </c>
      <c r="E306" s="13" t="s">
        <v>208</v>
      </c>
      <c r="F306" s="13" t="s">
        <v>208</v>
      </c>
      <c r="G306" s="67"/>
      <c r="H306" s="67"/>
      <c r="I306" s="67"/>
      <c r="J306" s="147"/>
    </row>
    <row r="307">
      <c r="A307" s="146">
        <v>306.0</v>
      </c>
      <c r="B307" s="13" t="s">
        <v>208</v>
      </c>
      <c r="C307" s="13" t="s">
        <v>208</v>
      </c>
      <c r="D307" s="13" t="s">
        <v>208</v>
      </c>
      <c r="E307" s="13" t="s">
        <v>208</v>
      </c>
      <c r="F307" s="13" t="s">
        <v>208</v>
      </c>
      <c r="G307" s="67"/>
      <c r="H307" s="67"/>
      <c r="I307" s="67"/>
      <c r="J307" s="147"/>
    </row>
    <row r="308">
      <c r="A308" s="146">
        <v>307.0</v>
      </c>
      <c r="B308" s="13" t="s">
        <v>208</v>
      </c>
      <c r="C308" s="13" t="s">
        <v>208</v>
      </c>
      <c r="D308" s="13" t="s">
        <v>208</v>
      </c>
      <c r="E308" s="13" t="s">
        <v>208</v>
      </c>
      <c r="F308" s="13" t="s">
        <v>208</v>
      </c>
      <c r="G308" s="67"/>
      <c r="H308" s="67"/>
      <c r="I308" s="67"/>
      <c r="J308" s="147"/>
    </row>
    <row r="309">
      <c r="A309" s="146">
        <v>308.0</v>
      </c>
      <c r="B309" s="13" t="s">
        <v>208</v>
      </c>
      <c r="C309" s="13" t="s">
        <v>208</v>
      </c>
      <c r="D309" s="13" t="s">
        <v>208</v>
      </c>
      <c r="E309" s="13" t="s">
        <v>208</v>
      </c>
      <c r="F309" s="13" t="s">
        <v>208</v>
      </c>
      <c r="G309" s="67"/>
      <c r="H309" s="67"/>
      <c r="I309" s="67"/>
      <c r="J309" s="147"/>
    </row>
    <row r="310">
      <c r="A310" s="146">
        <v>309.0</v>
      </c>
      <c r="B310" s="13" t="s">
        <v>208</v>
      </c>
      <c r="C310" s="13" t="s">
        <v>208</v>
      </c>
      <c r="D310" s="13" t="s">
        <v>208</v>
      </c>
      <c r="E310" s="13" t="s">
        <v>208</v>
      </c>
      <c r="F310" s="13" t="s">
        <v>208</v>
      </c>
      <c r="G310" s="67"/>
      <c r="H310" s="67"/>
      <c r="I310" s="67"/>
      <c r="J310" s="147"/>
    </row>
    <row r="311">
      <c r="A311" s="146">
        <v>310.0</v>
      </c>
      <c r="B311" s="13" t="s">
        <v>208</v>
      </c>
      <c r="C311" s="13" t="s">
        <v>208</v>
      </c>
      <c r="D311" s="13" t="s">
        <v>208</v>
      </c>
      <c r="E311" s="13" t="s">
        <v>208</v>
      </c>
      <c r="F311" s="13" t="s">
        <v>208</v>
      </c>
      <c r="G311" s="67"/>
      <c r="H311" s="67"/>
      <c r="I311" s="67"/>
      <c r="J311" s="147"/>
    </row>
    <row r="312">
      <c r="A312" s="146">
        <v>311.0</v>
      </c>
      <c r="B312" s="13" t="s">
        <v>208</v>
      </c>
      <c r="C312" s="13" t="s">
        <v>208</v>
      </c>
      <c r="D312" s="13" t="s">
        <v>208</v>
      </c>
      <c r="E312" s="13" t="s">
        <v>208</v>
      </c>
      <c r="F312" s="13" t="s">
        <v>208</v>
      </c>
      <c r="G312" s="67"/>
      <c r="H312" s="67"/>
      <c r="I312" s="67"/>
      <c r="J312" s="147"/>
    </row>
    <row r="313">
      <c r="A313" s="146">
        <v>312.0</v>
      </c>
      <c r="B313" s="13" t="s">
        <v>208</v>
      </c>
      <c r="C313" s="13" t="s">
        <v>208</v>
      </c>
      <c r="D313" s="13" t="s">
        <v>208</v>
      </c>
      <c r="E313" s="13" t="s">
        <v>208</v>
      </c>
      <c r="F313" s="13" t="s">
        <v>208</v>
      </c>
      <c r="G313" s="67"/>
      <c r="H313" s="67"/>
      <c r="I313" s="67"/>
      <c r="J313" s="147"/>
    </row>
    <row r="314">
      <c r="A314" s="146">
        <v>313.0</v>
      </c>
      <c r="B314" s="13" t="s">
        <v>208</v>
      </c>
      <c r="C314" s="13" t="s">
        <v>208</v>
      </c>
      <c r="D314" s="13" t="s">
        <v>208</v>
      </c>
      <c r="E314" s="13" t="s">
        <v>208</v>
      </c>
      <c r="F314" s="13" t="s">
        <v>208</v>
      </c>
      <c r="G314" s="67"/>
      <c r="H314" s="67"/>
      <c r="I314" s="67"/>
      <c r="J314" s="147"/>
    </row>
    <row r="315">
      <c r="A315" s="146">
        <v>314.0</v>
      </c>
      <c r="B315" s="13" t="s">
        <v>208</v>
      </c>
      <c r="C315" s="13" t="s">
        <v>208</v>
      </c>
      <c r="D315" s="13" t="s">
        <v>208</v>
      </c>
      <c r="E315" s="13" t="s">
        <v>208</v>
      </c>
      <c r="F315" s="13" t="s">
        <v>208</v>
      </c>
      <c r="G315" s="67"/>
      <c r="H315" s="67"/>
      <c r="I315" s="67"/>
      <c r="J315" s="147"/>
    </row>
    <row r="316">
      <c r="A316" s="146">
        <v>315.0</v>
      </c>
      <c r="B316" s="13"/>
      <c r="C316" s="13" t="s">
        <v>208</v>
      </c>
      <c r="D316" s="13" t="s">
        <v>208</v>
      </c>
      <c r="E316" s="13" t="s">
        <v>208</v>
      </c>
      <c r="F316" s="13"/>
      <c r="G316" s="13" t="s">
        <v>208</v>
      </c>
      <c r="H316" s="67"/>
      <c r="I316" s="67"/>
      <c r="J316" s="147"/>
    </row>
    <row r="317">
      <c r="A317" s="146">
        <v>316.0</v>
      </c>
      <c r="B317" s="13" t="s">
        <v>208</v>
      </c>
      <c r="C317" s="13" t="s">
        <v>208</v>
      </c>
      <c r="D317" s="13" t="s">
        <v>208</v>
      </c>
      <c r="E317" s="13" t="s">
        <v>208</v>
      </c>
      <c r="F317" s="13" t="s">
        <v>208</v>
      </c>
      <c r="G317" s="67"/>
      <c r="H317" s="67"/>
      <c r="I317" s="67"/>
      <c r="J317" s="147"/>
    </row>
    <row r="318">
      <c r="A318" s="146">
        <v>317.0</v>
      </c>
      <c r="B318" s="13" t="s">
        <v>208</v>
      </c>
      <c r="C318" s="13" t="s">
        <v>208</v>
      </c>
      <c r="D318" s="13" t="s">
        <v>208</v>
      </c>
      <c r="E318" s="13" t="s">
        <v>208</v>
      </c>
      <c r="F318" s="13" t="s">
        <v>208</v>
      </c>
      <c r="G318" s="67"/>
      <c r="H318" s="67"/>
      <c r="I318" s="67"/>
      <c r="J318" s="147"/>
    </row>
    <row r="319">
      <c r="A319" s="146">
        <v>318.0</v>
      </c>
      <c r="B319" s="13" t="s">
        <v>208</v>
      </c>
      <c r="C319" s="13" t="s">
        <v>208</v>
      </c>
      <c r="D319" s="13" t="s">
        <v>208</v>
      </c>
      <c r="E319" s="13" t="s">
        <v>208</v>
      </c>
      <c r="F319" s="13" t="s">
        <v>208</v>
      </c>
      <c r="G319" s="67"/>
      <c r="H319" s="67"/>
      <c r="I319" s="67"/>
      <c r="J319" s="147"/>
    </row>
    <row r="320">
      <c r="A320" s="146">
        <v>319.0</v>
      </c>
      <c r="B320" s="13" t="s">
        <v>208</v>
      </c>
      <c r="C320" s="13" t="s">
        <v>208</v>
      </c>
      <c r="D320" s="13" t="s">
        <v>208</v>
      </c>
      <c r="E320" s="13" t="s">
        <v>208</v>
      </c>
      <c r="F320" s="13" t="s">
        <v>208</v>
      </c>
      <c r="G320" s="67"/>
      <c r="H320" s="67"/>
      <c r="I320" s="67"/>
      <c r="J320" s="147"/>
    </row>
    <row r="321">
      <c r="A321" s="146">
        <v>320.0</v>
      </c>
      <c r="B321" s="67"/>
      <c r="C321" s="13" t="s">
        <v>208</v>
      </c>
      <c r="D321" s="13" t="s">
        <v>208</v>
      </c>
      <c r="E321" s="13" t="s">
        <v>208</v>
      </c>
      <c r="F321" s="67"/>
      <c r="G321" s="13" t="s">
        <v>208</v>
      </c>
      <c r="H321" s="67"/>
      <c r="I321" s="67"/>
      <c r="J321" s="147"/>
    </row>
    <row r="322">
      <c r="A322" s="146">
        <v>321.0</v>
      </c>
      <c r="B322" s="13" t="s">
        <v>208</v>
      </c>
      <c r="C322" s="13" t="s">
        <v>208</v>
      </c>
      <c r="D322" s="13" t="s">
        <v>208</v>
      </c>
      <c r="E322" s="13" t="s">
        <v>208</v>
      </c>
      <c r="F322" s="13" t="s">
        <v>208</v>
      </c>
      <c r="G322" s="67"/>
      <c r="H322" s="67"/>
      <c r="I322" s="67"/>
      <c r="J322" s="147"/>
    </row>
    <row r="323">
      <c r="A323" s="146">
        <v>322.0</v>
      </c>
      <c r="B323" s="13" t="s">
        <v>208</v>
      </c>
      <c r="C323" s="13" t="s">
        <v>208</v>
      </c>
      <c r="D323" s="13" t="s">
        <v>208</v>
      </c>
      <c r="E323" s="13" t="s">
        <v>208</v>
      </c>
      <c r="F323" s="13" t="s">
        <v>208</v>
      </c>
      <c r="G323" s="67"/>
      <c r="H323" s="67"/>
      <c r="I323" s="67"/>
      <c r="J323" s="147"/>
    </row>
    <row r="324">
      <c r="A324" s="146">
        <v>323.0</v>
      </c>
      <c r="B324" s="13" t="s">
        <v>208</v>
      </c>
      <c r="C324" s="13" t="s">
        <v>208</v>
      </c>
      <c r="D324" s="13" t="s">
        <v>208</v>
      </c>
      <c r="E324" s="13" t="s">
        <v>208</v>
      </c>
      <c r="F324" s="13" t="s">
        <v>208</v>
      </c>
      <c r="G324" s="67"/>
      <c r="H324" s="67"/>
      <c r="I324" s="67"/>
      <c r="J324" s="147"/>
    </row>
    <row r="325">
      <c r="A325" s="176">
        <v>324.0</v>
      </c>
      <c r="B325" s="13" t="s">
        <v>208</v>
      </c>
      <c r="C325" s="99"/>
      <c r="D325" s="99"/>
      <c r="E325" s="99"/>
      <c r="F325" s="99"/>
      <c r="G325" s="67"/>
      <c r="H325" s="67"/>
      <c r="I325" s="67"/>
      <c r="J325" s="147"/>
    </row>
    <row r="326">
      <c r="A326" s="146">
        <v>325.0</v>
      </c>
      <c r="B326" s="13" t="s">
        <v>208</v>
      </c>
      <c r="C326" s="13" t="s">
        <v>208</v>
      </c>
      <c r="D326" s="13" t="s">
        <v>208</v>
      </c>
      <c r="E326" s="13" t="s">
        <v>208</v>
      </c>
      <c r="F326" s="13" t="s">
        <v>208</v>
      </c>
      <c r="G326" s="67"/>
      <c r="H326" s="67"/>
      <c r="I326" s="67"/>
      <c r="J326" s="147"/>
    </row>
    <row r="327">
      <c r="A327" s="146">
        <v>326.0</v>
      </c>
      <c r="B327" s="13" t="s">
        <v>208</v>
      </c>
      <c r="C327" s="13" t="s">
        <v>208</v>
      </c>
      <c r="D327" s="13" t="s">
        <v>208</v>
      </c>
      <c r="E327" s="13" t="s">
        <v>208</v>
      </c>
      <c r="F327" s="13" t="s">
        <v>208</v>
      </c>
      <c r="G327" s="67"/>
      <c r="H327" s="67"/>
      <c r="I327" s="67"/>
      <c r="J327" s="147"/>
    </row>
    <row r="328">
      <c r="A328" s="146">
        <v>327.0</v>
      </c>
      <c r="B328" s="13" t="s">
        <v>208</v>
      </c>
      <c r="C328" s="13" t="s">
        <v>208</v>
      </c>
      <c r="D328" s="13" t="s">
        <v>208</v>
      </c>
      <c r="E328" s="13" t="s">
        <v>208</v>
      </c>
      <c r="F328" s="13" t="s">
        <v>208</v>
      </c>
      <c r="G328" s="67"/>
      <c r="H328" s="67"/>
      <c r="I328" s="67"/>
      <c r="J328" s="147"/>
    </row>
    <row r="329">
      <c r="A329" s="146">
        <v>328.0</v>
      </c>
      <c r="B329" s="13" t="s">
        <v>208</v>
      </c>
      <c r="C329" s="13" t="s">
        <v>208</v>
      </c>
      <c r="D329" s="13" t="s">
        <v>208</v>
      </c>
      <c r="E329" s="13" t="s">
        <v>208</v>
      </c>
      <c r="F329" s="13" t="s">
        <v>208</v>
      </c>
      <c r="G329" s="67"/>
      <c r="H329" s="67"/>
      <c r="I329" s="67"/>
      <c r="J329" s="147"/>
    </row>
    <row r="330">
      <c r="A330" s="146">
        <v>329.0</v>
      </c>
      <c r="B330" s="13" t="s">
        <v>208</v>
      </c>
      <c r="C330" s="13" t="s">
        <v>208</v>
      </c>
      <c r="D330" s="13" t="s">
        <v>208</v>
      </c>
      <c r="E330" s="13" t="s">
        <v>208</v>
      </c>
      <c r="F330" s="13" t="s">
        <v>208</v>
      </c>
      <c r="G330" s="67"/>
      <c r="H330" s="67"/>
      <c r="I330" s="67"/>
      <c r="J330" s="147"/>
    </row>
    <row r="331">
      <c r="A331" s="146">
        <v>330.0</v>
      </c>
      <c r="B331" s="13" t="s">
        <v>208</v>
      </c>
      <c r="C331" s="13" t="s">
        <v>208</v>
      </c>
      <c r="D331" s="13" t="s">
        <v>208</v>
      </c>
      <c r="E331" s="13" t="s">
        <v>208</v>
      </c>
      <c r="F331" s="13" t="s">
        <v>208</v>
      </c>
      <c r="G331" s="67"/>
      <c r="H331" s="67"/>
      <c r="I331" s="67"/>
      <c r="J331" s="147"/>
    </row>
    <row r="332">
      <c r="A332" s="146">
        <v>331.0</v>
      </c>
      <c r="B332" s="13" t="s">
        <v>208</v>
      </c>
      <c r="C332" s="13" t="s">
        <v>208</v>
      </c>
      <c r="D332" s="13" t="s">
        <v>208</v>
      </c>
      <c r="E332" s="13" t="s">
        <v>208</v>
      </c>
      <c r="F332" s="13" t="s">
        <v>208</v>
      </c>
      <c r="G332" s="67"/>
      <c r="H332" s="67"/>
      <c r="I332" s="67"/>
      <c r="J332" s="147"/>
    </row>
    <row r="333">
      <c r="A333" s="146">
        <v>332.0</v>
      </c>
      <c r="B333" s="13" t="s">
        <v>208</v>
      </c>
      <c r="C333" s="13" t="s">
        <v>208</v>
      </c>
      <c r="D333" s="13" t="s">
        <v>208</v>
      </c>
      <c r="E333" s="13" t="s">
        <v>208</v>
      </c>
      <c r="F333" s="13" t="s">
        <v>208</v>
      </c>
      <c r="G333" s="67"/>
      <c r="H333" s="67"/>
      <c r="I333" s="67"/>
      <c r="J333" s="147"/>
    </row>
    <row r="334">
      <c r="A334" s="177">
        <v>333.0</v>
      </c>
      <c r="B334" s="67"/>
      <c r="C334" s="13" t="s">
        <v>208</v>
      </c>
      <c r="D334" s="13" t="s">
        <v>208</v>
      </c>
      <c r="E334" s="13" t="s">
        <v>208</v>
      </c>
      <c r="F334" s="67"/>
      <c r="G334" s="13" t="s">
        <v>208</v>
      </c>
      <c r="H334" s="67"/>
      <c r="I334" s="67"/>
      <c r="J334" s="147"/>
    </row>
    <row r="335">
      <c r="A335" s="146">
        <v>334.0</v>
      </c>
      <c r="B335" s="13" t="s">
        <v>208</v>
      </c>
      <c r="C335" s="13" t="s">
        <v>208</v>
      </c>
      <c r="D335" s="13" t="s">
        <v>208</v>
      </c>
      <c r="E335" s="13" t="s">
        <v>208</v>
      </c>
      <c r="F335" s="13" t="s">
        <v>208</v>
      </c>
      <c r="G335" s="67"/>
      <c r="H335" s="67"/>
      <c r="I335" s="67"/>
      <c r="J335" s="147"/>
    </row>
    <row r="336">
      <c r="A336" s="146">
        <v>335.0</v>
      </c>
      <c r="B336" s="67"/>
      <c r="C336" s="13" t="s">
        <v>208</v>
      </c>
      <c r="D336" s="13" t="s">
        <v>208</v>
      </c>
      <c r="E336" s="13" t="s">
        <v>208</v>
      </c>
      <c r="F336" s="67"/>
      <c r="G336" s="13" t="s">
        <v>208</v>
      </c>
      <c r="H336" s="67"/>
      <c r="I336" s="67"/>
      <c r="J336" s="147"/>
    </row>
    <row r="337">
      <c r="A337" s="146">
        <v>336.0</v>
      </c>
      <c r="B337" s="13" t="s">
        <v>208</v>
      </c>
      <c r="C337" s="13" t="s">
        <v>208</v>
      </c>
      <c r="D337" s="13" t="s">
        <v>208</v>
      </c>
      <c r="E337" s="13" t="s">
        <v>208</v>
      </c>
      <c r="F337" s="13" t="s">
        <v>208</v>
      </c>
      <c r="G337" s="67"/>
      <c r="H337" s="67"/>
      <c r="I337" s="67"/>
      <c r="J337" s="147"/>
    </row>
    <row r="338">
      <c r="A338" s="146">
        <v>337.0</v>
      </c>
      <c r="B338" s="13" t="s">
        <v>208</v>
      </c>
      <c r="C338" s="13" t="s">
        <v>208</v>
      </c>
      <c r="D338" s="13" t="s">
        <v>208</v>
      </c>
      <c r="E338" s="13" t="s">
        <v>208</v>
      </c>
      <c r="F338" s="13" t="s">
        <v>208</v>
      </c>
      <c r="G338" s="67"/>
      <c r="H338" s="67"/>
      <c r="I338" s="67"/>
      <c r="J338" s="147"/>
    </row>
    <row r="339">
      <c r="A339" s="146">
        <v>338.0</v>
      </c>
      <c r="B339" s="13" t="s">
        <v>208</v>
      </c>
      <c r="C339" s="13" t="s">
        <v>208</v>
      </c>
      <c r="D339" s="13" t="s">
        <v>208</v>
      </c>
      <c r="E339" s="13" t="s">
        <v>208</v>
      </c>
      <c r="F339" s="13" t="s">
        <v>208</v>
      </c>
      <c r="G339" s="67"/>
      <c r="H339" s="67"/>
      <c r="I339" s="67"/>
      <c r="J339" s="147"/>
    </row>
    <row r="340">
      <c r="A340" s="146">
        <v>339.0</v>
      </c>
      <c r="B340" s="13" t="s">
        <v>208</v>
      </c>
      <c r="C340" s="13" t="s">
        <v>208</v>
      </c>
      <c r="D340" s="13" t="s">
        <v>208</v>
      </c>
      <c r="E340" s="13" t="s">
        <v>208</v>
      </c>
      <c r="F340" s="13" t="s">
        <v>208</v>
      </c>
      <c r="G340" s="67"/>
      <c r="H340" s="67"/>
      <c r="I340" s="67"/>
      <c r="J340" s="147"/>
    </row>
    <row r="341">
      <c r="A341" s="146">
        <v>340.0</v>
      </c>
      <c r="B341" s="13" t="s">
        <v>208</v>
      </c>
      <c r="C341" s="13" t="s">
        <v>208</v>
      </c>
      <c r="D341" s="13" t="s">
        <v>208</v>
      </c>
      <c r="E341" s="13" t="s">
        <v>208</v>
      </c>
      <c r="F341" s="13" t="s">
        <v>208</v>
      </c>
      <c r="G341" s="67"/>
      <c r="H341" s="67"/>
      <c r="I341" s="67"/>
      <c r="J341" s="147"/>
    </row>
    <row r="342">
      <c r="A342" s="146">
        <v>341.0</v>
      </c>
      <c r="B342" s="13" t="s">
        <v>208</v>
      </c>
      <c r="C342" s="13" t="s">
        <v>208</v>
      </c>
      <c r="D342" s="13" t="s">
        <v>208</v>
      </c>
      <c r="E342" s="13" t="s">
        <v>208</v>
      </c>
      <c r="F342" s="13" t="s">
        <v>208</v>
      </c>
      <c r="G342" s="67"/>
      <c r="H342" s="67"/>
      <c r="I342" s="67"/>
      <c r="J342" s="147"/>
    </row>
    <row r="343">
      <c r="A343" s="146">
        <v>342.0</v>
      </c>
      <c r="B343" s="13" t="s">
        <v>208</v>
      </c>
      <c r="C343" s="13" t="s">
        <v>208</v>
      </c>
      <c r="D343" s="13" t="s">
        <v>208</v>
      </c>
      <c r="E343" s="13" t="s">
        <v>208</v>
      </c>
      <c r="F343" s="13" t="s">
        <v>208</v>
      </c>
      <c r="G343" s="67"/>
      <c r="H343" s="67"/>
      <c r="I343" s="67"/>
      <c r="J343" s="147"/>
    </row>
    <row r="344">
      <c r="A344" s="146">
        <v>343.0</v>
      </c>
      <c r="B344" s="13" t="s">
        <v>208</v>
      </c>
      <c r="C344" s="13" t="s">
        <v>208</v>
      </c>
      <c r="D344" s="13" t="s">
        <v>208</v>
      </c>
      <c r="E344" s="13" t="s">
        <v>208</v>
      </c>
      <c r="F344" s="13" t="s">
        <v>208</v>
      </c>
      <c r="G344" s="67"/>
      <c r="H344" s="67"/>
      <c r="I344" s="67"/>
      <c r="J344" s="147"/>
    </row>
    <row r="345">
      <c r="A345" s="146">
        <v>344.0</v>
      </c>
      <c r="B345" s="13" t="s">
        <v>208</v>
      </c>
      <c r="C345" s="13" t="s">
        <v>208</v>
      </c>
      <c r="D345" s="13" t="s">
        <v>208</v>
      </c>
      <c r="E345" s="13" t="s">
        <v>208</v>
      </c>
      <c r="F345" s="13" t="s">
        <v>208</v>
      </c>
      <c r="G345" s="67"/>
      <c r="H345" s="67"/>
      <c r="I345" s="67"/>
      <c r="J345" s="147"/>
    </row>
    <row r="346">
      <c r="A346" s="146">
        <v>345.0</v>
      </c>
      <c r="B346" s="13" t="s">
        <v>208</v>
      </c>
      <c r="C346" s="13" t="s">
        <v>208</v>
      </c>
      <c r="D346" s="13" t="s">
        <v>208</v>
      </c>
      <c r="E346" s="13" t="s">
        <v>208</v>
      </c>
      <c r="F346" s="13" t="s">
        <v>208</v>
      </c>
      <c r="G346" s="67"/>
      <c r="H346" s="67"/>
      <c r="I346" s="67"/>
      <c r="J346" s="147"/>
    </row>
    <row r="347">
      <c r="A347" s="146">
        <v>346.0</v>
      </c>
      <c r="B347" s="13" t="s">
        <v>208</v>
      </c>
      <c r="C347" s="13" t="s">
        <v>208</v>
      </c>
      <c r="D347" s="13" t="s">
        <v>208</v>
      </c>
      <c r="E347" s="13" t="s">
        <v>208</v>
      </c>
      <c r="F347" s="13" t="s">
        <v>208</v>
      </c>
      <c r="G347" s="67"/>
      <c r="H347" s="67"/>
      <c r="I347" s="67"/>
      <c r="J347" s="147"/>
    </row>
    <row r="348">
      <c r="A348" s="146">
        <v>347.0</v>
      </c>
      <c r="B348" s="13" t="s">
        <v>208</v>
      </c>
      <c r="C348" s="13" t="s">
        <v>208</v>
      </c>
      <c r="D348" s="13" t="s">
        <v>208</v>
      </c>
      <c r="E348" s="13" t="s">
        <v>208</v>
      </c>
      <c r="F348" s="13" t="s">
        <v>208</v>
      </c>
      <c r="G348" s="67"/>
      <c r="H348" s="67"/>
      <c r="I348" s="67"/>
      <c r="J348" s="147"/>
    </row>
    <row r="349">
      <c r="A349" s="146">
        <v>348.0</v>
      </c>
      <c r="B349" s="13" t="s">
        <v>208</v>
      </c>
      <c r="C349" s="13" t="s">
        <v>208</v>
      </c>
      <c r="D349" s="13" t="s">
        <v>208</v>
      </c>
      <c r="E349" s="13" t="s">
        <v>208</v>
      </c>
      <c r="F349" s="13" t="s">
        <v>208</v>
      </c>
      <c r="G349" s="67"/>
      <c r="H349" s="67"/>
      <c r="I349" s="67"/>
      <c r="J349" s="147"/>
    </row>
    <row r="350">
      <c r="A350" s="146">
        <v>349.0</v>
      </c>
      <c r="B350" s="13" t="s">
        <v>208</v>
      </c>
      <c r="C350" s="13" t="s">
        <v>208</v>
      </c>
      <c r="D350" s="13" t="s">
        <v>208</v>
      </c>
      <c r="E350" s="13" t="s">
        <v>208</v>
      </c>
      <c r="F350" s="13" t="s">
        <v>208</v>
      </c>
      <c r="G350" s="67"/>
      <c r="H350" s="67"/>
      <c r="I350" s="67"/>
      <c r="J350" s="147"/>
    </row>
    <row r="351">
      <c r="A351" s="146">
        <v>350.0</v>
      </c>
      <c r="B351" s="13" t="s">
        <v>208</v>
      </c>
      <c r="C351" s="13" t="s">
        <v>208</v>
      </c>
      <c r="D351" s="13" t="s">
        <v>208</v>
      </c>
      <c r="E351" s="13" t="s">
        <v>208</v>
      </c>
      <c r="F351" s="13" t="s">
        <v>208</v>
      </c>
      <c r="G351" s="67"/>
      <c r="H351" s="67"/>
      <c r="I351" s="67"/>
      <c r="J351" s="147"/>
    </row>
    <row r="352">
      <c r="A352" s="146">
        <v>351.0</v>
      </c>
      <c r="B352" s="13" t="s">
        <v>208</v>
      </c>
      <c r="C352" s="13" t="s">
        <v>208</v>
      </c>
      <c r="D352" s="13" t="s">
        <v>208</v>
      </c>
      <c r="E352" s="13" t="s">
        <v>208</v>
      </c>
      <c r="F352" s="13" t="s">
        <v>208</v>
      </c>
      <c r="G352" s="67"/>
      <c r="H352" s="67"/>
      <c r="I352" s="67"/>
      <c r="J352" s="147"/>
    </row>
    <row r="353">
      <c r="A353" s="146">
        <v>352.0</v>
      </c>
      <c r="B353" s="13" t="s">
        <v>208</v>
      </c>
      <c r="C353" s="13" t="s">
        <v>208</v>
      </c>
      <c r="D353" s="99"/>
      <c r="E353" s="13" t="s">
        <v>208</v>
      </c>
      <c r="F353" s="13" t="s">
        <v>208</v>
      </c>
      <c r="G353" s="67"/>
      <c r="H353" s="67"/>
      <c r="I353" s="67"/>
      <c r="J353" s="147"/>
    </row>
    <row r="354">
      <c r="A354" s="146">
        <v>353.0</v>
      </c>
      <c r="B354" s="13" t="s">
        <v>208</v>
      </c>
      <c r="C354" s="13" t="s">
        <v>208</v>
      </c>
      <c r="D354" s="13" t="s">
        <v>208</v>
      </c>
      <c r="E354" s="13" t="s">
        <v>208</v>
      </c>
      <c r="F354" s="13" t="s">
        <v>208</v>
      </c>
      <c r="G354" s="67"/>
      <c r="H354" s="67"/>
      <c r="I354" s="67"/>
      <c r="J354" s="147"/>
    </row>
    <row r="355">
      <c r="A355" s="146">
        <v>354.0</v>
      </c>
      <c r="B355" s="13" t="s">
        <v>208</v>
      </c>
      <c r="C355" s="13" t="s">
        <v>208</v>
      </c>
      <c r="D355" s="13" t="s">
        <v>208</v>
      </c>
      <c r="E355" s="13" t="s">
        <v>208</v>
      </c>
      <c r="F355" s="13" t="s">
        <v>208</v>
      </c>
      <c r="G355" s="67"/>
      <c r="H355" s="67"/>
      <c r="I355" s="67"/>
      <c r="J355" s="147"/>
    </row>
    <row r="356">
      <c r="A356" s="146">
        <v>355.0</v>
      </c>
      <c r="B356" s="13" t="s">
        <v>208</v>
      </c>
      <c r="C356" s="13" t="s">
        <v>208</v>
      </c>
      <c r="D356" s="13" t="s">
        <v>208</v>
      </c>
      <c r="E356" s="13" t="s">
        <v>208</v>
      </c>
      <c r="F356" s="13" t="s">
        <v>208</v>
      </c>
      <c r="G356" s="67"/>
      <c r="H356" s="67"/>
      <c r="I356" s="67"/>
      <c r="J356" s="147"/>
    </row>
    <row r="357">
      <c r="A357" s="146">
        <v>356.0</v>
      </c>
      <c r="B357" s="13" t="s">
        <v>208</v>
      </c>
      <c r="C357" s="13" t="s">
        <v>208</v>
      </c>
      <c r="D357" s="13" t="s">
        <v>208</v>
      </c>
      <c r="E357" s="13" t="s">
        <v>208</v>
      </c>
      <c r="F357" s="13" t="s">
        <v>208</v>
      </c>
      <c r="G357" s="67"/>
      <c r="H357" s="67"/>
      <c r="I357" s="67"/>
      <c r="J357" s="147"/>
    </row>
    <row r="358">
      <c r="A358" s="146">
        <v>357.0</v>
      </c>
      <c r="B358" s="13" t="s">
        <v>208</v>
      </c>
      <c r="C358" s="13" t="s">
        <v>208</v>
      </c>
      <c r="D358" s="13" t="s">
        <v>208</v>
      </c>
      <c r="E358" s="13" t="s">
        <v>208</v>
      </c>
      <c r="F358" s="13" t="s">
        <v>208</v>
      </c>
      <c r="G358" s="67"/>
      <c r="H358" s="67"/>
      <c r="I358" s="67"/>
      <c r="J358" s="147"/>
    </row>
    <row r="359">
      <c r="A359" s="146">
        <v>358.0</v>
      </c>
      <c r="B359" s="13" t="s">
        <v>208</v>
      </c>
      <c r="C359" s="13" t="s">
        <v>208</v>
      </c>
      <c r="D359" s="13" t="s">
        <v>208</v>
      </c>
      <c r="E359" s="13" t="s">
        <v>208</v>
      </c>
      <c r="F359" s="13" t="s">
        <v>208</v>
      </c>
      <c r="G359" s="67"/>
      <c r="H359" s="67"/>
      <c r="I359" s="67"/>
      <c r="J359" s="147"/>
    </row>
    <row r="360">
      <c r="A360" s="146">
        <v>359.0</v>
      </c>
      <c r="B360" s="67"/>
      <c r="C360" s="13" t="s">
        <v>208</v>
      </c>
      <c r="D360" s="13" t="s">
        <v>208</v>
      </c>
      <c r="E360" s="13" t="s">
        <v>208</v>
      </c>
      <c r="F360" s="67"/>
      <c r="G360" s="13" t="s">
        <v>208</v>
      </c>
      <c r="H360" s="67"/>
      <c r="I360" s="67"/>
      <c r="J360" s="147"/>
    </row>
    <row r="361">
      <c r="A361" s="146">
        <v>360.0</v>
      </c>
      <c r="B361" s="13" t="s">
        <v>208</v>
      </c>
      <c r="C361" s="13" t="s">
        <v>208</v>
      </c>
      <c r="D361" s="13" t="s">
        <v>208</v>
      </c>
      <c r="E361" s="13" t="s">
        <v>208</v>
      </c>
      <c r="F361" s="67"/>
      <c r="G361" s="67"/>
      <c r="H361" s="67"/>
      <c r="I361" s="67"/>
      <c r="J361" s="147"/>
    </row>
    <row r="362">
      <c r="A362" s="146">
        <v>361.0</v>
      </c>
      <c r="B362" s="13" t="s">
        <v>208</v>
      </c>
      <c r="C362" s="13" t="s">
        <v>208</v>
      </c>
      <c r="D362" s="13" t="s">
        <v>208</v>
      </c>
      <c r="E362" s="13" t="s">
        <v>208</v>
      </c>
      <c r="F362" s="67"/>
      <c r="G362" s="67"/>
      <c r="H362" s="67"/>
      <c r="I362" s="67"/>
      <c r="J362" s="147"/>
    </row>
    <row r="363">
      <c r="A363" s="146">
        <v>362.0</v>
      </c>
      <c r="B363" s="67"/>
      <c r="C363" s="13" t="s">
        <v>208</v>
      </c>
      <c r="D363" s="13" t="s">
        <v>208</v>
      </c>
      <c r="E363" s="13" t="s">
        <v>208</v>
      </c>
      <c r="F363" s="67"/>
      <c r="G363" s="13" t="s">
        <v>208</v>
      </c>
      <c r="H363" s="67"/>
      <c r="I363" s="67"/>
      <c r="J363" s="147"/>
    </row>
    <row r="364">
      <c r="A364" s="146">
        <v>363.0</v>
      </c>
      <c r="B364" s="13" t="s">
        <v>208</v>
      </c>
      <c r="C364" s="13" t="s">
        <v>208</v>
      </c>
      <c r="D364" s="13" t="s">
        <v>208</v>
      </c>
      <c r="E364" s="13" t="s">
        <v>208</v>
      </c>
      <c r="F364" s="13" t="s">
        <v>208</v>
      </c>
      <c r="G364" s="67"/>
      <c r="H364" s="67"/>
      <c r="I364" s="67"/>
      <c r="J364" s="147"/>
    </row>
    <row r="365">
      <c r="A365" s="146">
        <v>364.0</v>
      </c>
      <c r="B365" s="13" t="s">
        <v>208</v>
      </c>
      <c r="C365" s="13" t="s">
        <v>208</v>
      </c>
      <c r="D365" s="99"/>
      <c r="E365" s="13" t="s">
        <v>208</v>
      </c>
      <c r="F365" s="13" t="s">
        <v>208</v>
      </c>
      <c r="G365" s="67"/>
      <c r="H365" s="67"/>
      <c r="I365" s="67"/>
      <c r="J365" s="147"/>
    </row>
    <row r="366">
      <c r="A366" s="146">
        <v>365.0</v>
      </c>
      <c r="B366" s="13" t="s">
        <v>208</v>
      </c>
      <c r="C366" s="13" t="s">
        <v>208</v>
      </c>
      <c r="D366" s="13" t="s">
        <v>208</v>
      </c>
      <c r="E366" s="13" t="s">
        <v>208</v>
      </c>
      <c r="F366" s="13" t="s">
        <v>208</v>
      </c>
      <c r="G366" s="67"/>
      <c r="H366" s="67"/>
      <c r="I366" s="67"/>
      <c r="J366" s="147"/>
    </row>
    <row r="367">
      <c r="A367" s="146">
        <v>366.0</v>
      </c>
      <c r="B367" s="13" t="s">
        <v>208</v>
      </c>
      <c r="C367" s="13" t="s">
        <v>208</v>
      </c>
      <c r="D367" s="13" t="s">
        <v>208</v>
      </c>
      <c r="E367" s="13" t="s">
        <v>208</v>
      </c>
      <c r="F367" s="13" t="s">
        <v>208</v>
      </c>
      <c r="G367" s="67"/>
      <c r="H367" s="67"/>
      <c r="I367" s="67"/>
      <c r="J367" s="147"/>
    </row>
    <row r="368">
      <c r="A368" s="146">
        <v>367.0</v>
      </c>
      <c r="B368" s="13" t="s">
        <v>208</v>
      </c>
      <c r="C368" s="13" t="s">
        <v>208</v>
      </c>
      <c r="D368" s="13" t="s">
        <v>208</v>
      </c>
      <c r="E368" s="13" t="s">
        <v>208</v>
      </c>
      <c r="F368" s="13" t="s">
        <v>208</v>
      </c>
      <c r="G368" s="67"/>
      <c r="H368" s="67"/>
      <c r="I368" s="67"/>
      <c r="J368" s="147"/>
    </row>
    <row r="369">
      <c r="A369" s="146">
        <v>368.0</v>
      </c>
      <c r="B369" s="13" t="s">
        <v>208</v>
      </c>
      <c r="C369" s="13" t="s">
        <v>208</v>
      </c>
      <c r="D369" s="13" t="s">
        <v>208</v>
      </c>
      <c r="E369" s="13" t="s">
        <v>208</v>
      </c>
      <c r="F369" s="13" t="s">
        <v>208</v>
      </c>
      <c r="G369" s="67"/>
      <c r="H369" s="67"/>
      <c r="I369" s="67"/>
      <c r="J369" s="147"/>
    </row>
    <row r="370">
      <c r="A370" s="146">
        <v>369.0</v>
      </c>
      <c r="B370" s="13" t="s">
        <v>208</v>
      </c>
      <c r="C370" s="13" t="s">
        <v>208</v>
      </c>
      <c r="D370" s="13" t="s">
        <v>208</v>
      </c>
      <c r="E370" s="13" t="s">
        <v>208</v>
      </c>
      <c r="F370" s="13" t="s">
        <v>208</v>
      </c>
      <c r="G370" s="67"/>
      <c r="H370" s="67"/>
      <c r="I370" s="67"/>
      <c r="J370" s="147"/>
    </row>
    <row r="371">
      <c r="A371" s="146">
        <v>370.0</v>
      </c>
      <c r="B371" s="67"/>
      <c r="C371" s="13" t="s">
        <v>208</v>
      </c>
      <c r="D371" s="13" t="s">
        <v>208</v>
      </c>
      <c r="E371" s="13" t="s">
        <v>208</v>
      </c>
      <c r="F371" s="67"/>
      <c r="G371" s="13" t="s">
        <v>208</v>
      </c>
      <c r="H371" s="67"/>
      <c r="I371" s="67"/>
      <c r="J371" s="147"/>
    </row>
    <row r="372">
      <c r="A372" s="146">
        <v>371.0</v>
      </c>
      <c r="B372" s="13" t="s">
        <v>208</v>
      </c>
      <c r="C372" s="13" t="s">
        <v>208</v>
      </c>
      <c r="D372" s="13" t="s">
        <v>208</v>
      </c>
      <c r="E372" s="13" t="s">
        <v>208</v>
      </c>
      <c r="F372" s="13" t="s">
        <v>208</v>
      </c>
      <c r="G372" s="67"/>
      <c r="H372" s="67"/>
      <c r="I372" s="67"/>
      <c r="J372" s="147"/>
    </row>
    <row r="373">
      <c r="A373" s="146">
        <v>372.0</v>
      </c>
      <c r="B373" s="13" t="s">
        <v>208</v>
      </c>
      <c r="C373" s="13" t="s">
        <v>208</v>
      </c>
      <c r="D373" s="13" t="s">
        <v>208</v>
      </c>
      <c r="E373" s="13" t="s">
        <v>208</v>
      </c>
      <c r="F373" s="13" t="s">
        <v>208</v>
      </c>
      <c r="G373" s="67"/>
      <c r="H373" s="67"/>
      <c r="I373" s="67"/>
      <c r="J373" s="147"/>
    </row>
    <row r="374">
      <c r="A374" s="146">
        <v>373.0</v>
      </c>
      <c r="B374" s="13" t="s">
        <v>208</v>
      </c>
      <c r="C374" s="13" t="s">
        <v>208</v>
      </c>
      <c r="D374" s="13" t="s">
        <v>208</v>
      </c>
      <c r="E374" s="13" t="s">
        <v>208</v>
      </c>
      <c r="F374" s="13" t="s">
        <v>208</v>
      </c>
      <c r="G374" s="67"/>
      <c r="H374" s="67"/>
      <c r="I374" s="67"/>
      <c r="J374" s="147"/>
    </row>
    <row r="375">
      <c r="A375" s="146">
        <v>374.0</v>
      </c>
      <c r="B375" s="13" t="s">
        <v>208</v>
      </c>
      <c r="C375" s="13" t="s">
        <v>208</v>
      </c>
      <c r="D375" s="13" t="s">
        <v>208</v>
      </c>
      <c r="E375" s="13" t="s">
        <v>208</v>
      </c>
      <c r="F375" s="13" t="s">
        <v>208</v>
      </c>
      <c r="G375" s="67"/>
      <c r="H375" s="67"/>
      <c r="I375" s="67"/>
      <c r="J375" s="147"/>
    </row>
    <row r="376">
      <c r="A376" s="146">
        <v>375.0</v>
      </c>
      <c r="B376" s="13" t="s">
        <v>208</v>
      </c>
      <c r="C376" s="13" t="s">
        <v>208</v>
      </c>
      <c r="D376" s="13" t="s">
        <v>208</v>
      </c>
      <c r="E376" s="13" t="s">
        <v>208</v>
      </c>
      <c r="F376" s="13" t="s">
        <v>208</v>
      </c>
      <c r="G376" s="67"/>
      <c r="H376" s="67"/>
      <c r="I376" s="67"/>
      <c r="J376" s="147"/>
    </row>
    <row r="377">
      <c r="A377" s="146">
        <v>376.0</v>
      </c>
      <c r="B377" s="13" t="s">
        <v>208</v>
      </c>
      <c r="C377" s="13" t="s">
        <v>208</v>
      </c>
      <c r="D377" s="99"/>
      <c r="E377" s="13" t="s">
        <v>208</v>
      </c>
      <c r="F377" s="13" t="s">
        <v>208</v>
      </c>
      <c r="G377" s="67"/>
      <c r="H377" s="67"/>
      <c r="I377" s="67"/>
      <c r="J377" s="147"/>
    </row>
    <row r="378">
      <c r="A378" s="146">
        <v>377.0</v>
      </c>
      <c r="B378" s="13" t="s">
        <v>208</v>
      </c>
      <c r="C378" s="13" t="s">
        <v>208</v>
      </c>
      <c r="D378" s="13" t="s">
        <v>208</v>
      </c>
      <c r="E378" s="13" t="s">
        <v>208</v>
      </c>
      <c r="F378" s="13" t="s">
        <v>208</v>
      </c>
      <c r="G378" s="67"/>
      <c r="H378" s="67"/>
      <c r="I378" s="67"/>
      <c r="J378" s="147"/>
    </row>
    <row r="379">
      <c r="A379" s="146">
        <v>378.0</v>
      </c>
      <c r="B379" s="13" t="s">
        <v>208</v>
      </c>
      <c r="C379" s="13" t="s">
        <v>208</v>
      </c>
      <c r="D379" s="13" t="s">
        <v>208</v>
      </c>
      <c r="E379" s="13" t="s">
        <v>208</v>
      </c>
      <c r="F379" s="13" t="s">
        <v>208</v>
      </c>
      <c r="G379" s="67"/>
      <c r="H379" s="67"/>
      <c r="I379" s="67"/>
      <c r="J379" s="147"/>
    </row>
    <row r="380">
      <c r="A380" s="146">
        <v>379.0</v>
      </c>
      <c r="B380" s="67"/>
      <c r="C380" s="13" t="s">
        <v>208</v>
      </c>
      <c r="D380" s="13" t="s">
        <v>208</v>
      </c>
      <c r="E380" s="13" t="s">
        <v>208</v>
      </c>
      <c r="F380" s="67"/>
      <c r="G380" s="13" t="s">
        <v>208</v>
      </c>
      <c r="H380" s="67"/>
      <c r="I380" s="67"/>
      <c r="J380" s="147"/>
    </row>
    <row r="381">
      <c r="A381" s="146">
        <v>380.0</v>
      </c>
      <c r="B381" s="13" t="s">
        <v>208</v>
      </c>
      <c r="C381" s="13" t="s">
        <v>208</v>
      </c>
      <c r="D381" s="13" t="s">
        <v>208</v>
      </c>
      <c r="E381" s="13" t="s">
        <v>208</v>
      </c>
      <c r="F381" s="13" t="s">
        <v>208</v>
      </c>
      <c r="G381" s="67"/>
      <c r="H381" s="67"/>
      <c r="I381" s="67"/>
      <c r="J381" s="147"/>
    </row>
    <row r="382">
      <c r="A382" s="146">
        <v>381.0</v>
      </c>
      <c r="B382" s="13" t="s">
        <v>208</v>
      </c>
      <c r="C382" s="13" t="s">
        <v>208</v>
      </c>
      <c r="D382" s="13" t="s">
        <v>208</v>
      </c>
      <c r="E382" s="13" t="s">
        <v>208</v>
      </c>
      <c r="F382" s="13" t="s">
        <v>208</v>
      </c>
      <c r="G382" s="67"/>
      <c r="H382" s="67"/>
      <c r="I382" s="67"/>
      <c r="J382" s="147"/>
    </row>
    <row r="383">
      <c r="A383" s="146">
        <v>382.0</v>
      </c>
      <c r="B383" s="13" t="s">
        <v>208</v>
      </c>
      <c r="C383" s="13" t="s">
        <v>208</v>
      </c>
      <c r="D383" s="13" t="s">
        <v>208</v>
      </c>
      <c r="E383" s="13" t="s">
        <v>208</v>
      </c>
      <c r="F383" s="13" t="s">
        <v>208</v>
      </c>
      <c r="G383" s="67"/>
      <c r="H383" s="67"/>
      <c r="I383" s="67"/>
      <c r="J383" s="147"/>
    </row>
    <row r="384">
      <c r="A384" s="146">
        <v>383.0</v>
      </c>
      <c r="B384" s="13" t="s">
        <v>208</v>
      </c>
      <c r="C384" s="13" t="s">
        <v>208</v>
      </c>
      <c r="D384" s="13" t="s">
        <v>208</v>
      </c>
      <c r="E384" s="13" t="s">
        <v>208</v>
      </c>
      <c r="F384" s="13" t="s">
        <v>208</v>
      </c>
      <c r="G384" s="67"/>
      <c r="H384" s="67"/>
      <c r="I384" s="67"/>
      <c r="J384" s="147"/>
    </row>
    <row r="385">
      <c r="A385" s="146">
        <v>384.0</v>
      </c>
      <c r="B385" s="13" t="s">
        <v>208</v>
      </c>
      <c r="C385" s="13" t="s">
        <v>208</v>
      </c>
      <c r="D385" s="13" t="s">
        <v>208</v>
      </c>
      <c r="E385" s="13" t="s">
        <v>208</v>
      </c>
      <c r="F385" s="13" t="s">
        <v>208</v>
      </c>
      <c r="G385" s="67"/>
      <c r="H385" s="67"/>
      <c r="I385" s="67"/>
      <c r="J385" s="147"/>
    </row>
    <row r="386">
      <c r="A386" s="146">
        <v>385.0</v>
      </c>
      <c r="B386" s="13" t="s">
        <v>208</v>
      </c>
      <c r="C386" s="13" t="s">
        <v>208</v>
      </c>
      <c r="D386" s="13" t="s">
        <v>208</v>
      </c>
      <c r="E386" s="13" t="s">
        <v>208</v>
      </c>
      <c r="F386" s="13" t="s">
        <v>208</v>
      </c>
      <c r="G386" s="67"/>
      <c r="H386" s="67"/>
      <c r="I386" s="67"/>
      <c r="J386" s="147"/>
    </row>
    <row r="387">
      <c r="A387" s="146">
        <v>386.0</v>
      </c>
      <c r="B387" s="13" t="s">
        <v>208</v>
      </c>
      <c r="C387" s="13" t="s">
        <v>208</v>
      </c>
      <c r="D387" s="13" t="s">
        <v>208</v>
      </c>
      <c r="E387" s="13" t="s">
        <v>208</v>
      </c>
      <c r="F387" s="13" t="s">
        <v>208</v>
      </c>
      <c r="G387" s="67"/>
      <c r="H387" s="67"/>
      <c r="I387" s="67"/>
      <c r="J387" s="147"/>
    </row>
    <row r="388">
      <c r="A388" s="146">
        <v>387.0</v>
      </c>
      <c r="B388" s="13" t="s">
        <v>208</v>
      </c>
      <c r="C388" s="13" t="s">
        <v>208</v>
      </c>
      <c r="D388" s="13" t="s">
        <v>208</v>
      </c>
      <c r="E388" s="13" t="s">
        <v>208</v>
      </c>
      <c r="F388" s="13" t="s">
        <v>208</v>
      </c>
      <c r="G388" s="67"/>
      <c r="H388" s="67"/>
      <c r="I388" s="67"/>
      <c r="J388" s="147"/>
    </row>
    <row r="389">
      <c r="A389" s="146">
        <v>388.0</v>
      </c>
      <c r="B389" s="67"/>
      <c r="C389" s="13" t="s">
        <v>208</v>
      </c>
      <c r="D389" s="13" t="s">
        <v>208</v>
      </c>
      <c r="E389" s="13" t="s">
        <v>208</v>
      </c>
      <c r="F389" s="67"/>
      <c r="G389" s="13" t="s">
        <v>208</v>
      </c>
      <c r="H389" s="67"/>
      <c r="I389" s="67"/>
      <c r="J389" s="147"/>
    </row>
    <row r="390">
      <c r="A390" s="146">
        <v>389.0</v>
      </c>
      <c r="B390" s="67"/>
      <c r="C390" s="13" t="s">
        <v>208</v>
      </c>
      <c r="D390" s="13" t="s">
        <v>208</v>
      </c>
      <c r="E390" s="13" t="s">
        <v>208</v>
      </c>
      <c r="F390" s="67"/>
      <c r="G390" s="13" t="s">
        <v>208</v>
      </c>
      <c r="H390" s="67"/>
      <c r="I390" s="67"/>
      <c r="J390" s="147"/>
    </row>
    <row r="391">
      <c r="A391" s="146">
        <v>390.0</v>
      </c>
      <c r="B391" s="67"/>
      <c r="C391" s="99"/>
      <c r="D391" s="13" t="s">
        <v>208</v>
      </c>
      <c r="E391" s="13" t="s">
        <v>208</v>
      </c>
      <c r="F391" s="67"/>
      <c r="G391" s="13" t="s">
        <v>208</v>
      </c>
      <c r="H391" s="67"/>
      <c r="I391" s="67"/>
      <c r="J391" s="147"/>
    </row>
    <row r="392">
      <c r="A392" s="177">
        <v>391.0</v>
      </c>
      <c r="B392" s="67"/>
      <c r="C392" s="99"/>
      <c r="D392" s="13" t="s">
        <v>208</v>
      </c>
      <c r="E392" s="13" t="s">
        <v>208</v>
      </c>
      <c r="F392" s="67"/>
      <c r="G392" s="13" t="s">
        <v>208</v>
      </c>
      <c r="H392" s="67"/>
      <c r="I392" s="67"/>
      <c r="J392" s="147"/>
    </row>
    <row r="393">
      <c r="A393" s="146">
        <v>392.0</v>
      </c>
      <c r="B393" s="67"/>
      <c r="C393" s="13" t="s">
        <v>208</v>
      </c>
      <c r="D393" s="13" t="s">
        <v>208</v>
      </c>
      <c r="E393" s="13" t="s">
        <v>208</v>
      </c>
      <c r="F393" s="67"/>
      <c r="G393" s="13" t="s">
        <v>208</v>
      </c>
      <c r="H393" s="67"/>
      <c r="I393" s="67"/>
      <c r="J393" s="147"/>
    </row>
    <row r="394">
      <c r="A394" s="146">
        <v>393.0</v>
      </c>
      <c r="B394" s="13" t="s">
        <v>208</v>
      </c>
      <c r="C394" s="13" t="s">
        <v>208</v>
      </c>
      <c r="D394" s="13" t="s">
        <v>208</v>
      </c>
      <c r="E394" s="13" t="s">
        <v>208</v>
      </c>
      <c r="F394" s="13" t="s">
        <v>208</v>
      </c>
      <c r="G394" s="67"/>
      <c r="H394" s="67"/>
      <c r="I394" s="67"/>
      <c r="J394" s="147"/>
    </row>
    <row r="395">
      <c r="A395" s="146">
        <v>394.0</v>
      </c>
      <c r="B395" s="13" t="s">
        <v>208</v>
      </c>
      <c r="C395" s="13" t="s">
        <v>208</v>
      </c>
      <c r="D395" s="13" t="s">
        <v>208</v>
      </c>
      <c r="E395" s="13" t="s">
        <v>208</v>
      </c>
      <c r="F395" s="13" t="s">
        <v>208</v>
      </c>
      <c r="G395" s="67"/>
      <c r="H395" s="67"/>
      <c r="I395" s="67"/>
      <c r="J395" s="147"/>
    </row>
    <row r="396">
      <c r="A396" s="146">
        <v>395.0</v>
      </c>
      <c r="B396" s="13" t="s">
        <v>208</v>
      </c>
      <c r="C396" s="13" t="s">
        <v>208</v>
      </c>
      <c r="D396" s="13" t="s">
        <v>208</v>
      </c>
      <c r="E396" s="13" t="s">
        <v>208</v>
      </c>
      <c r="F396" s="13" t="s">
        <v>208</v>
      </c>
      <c r="G396" s="67"/>
      <c r="H396" s="67"/>
      <c r="I396" s="67"/>
      <c r="J396" s="147"/>
    </row>
    <row r="397">
      <c r="A397" s="146">
        <v>396.0</v>
      </c>
      <c r="B397" s="13" t="s">
        <v>208</v>
      </c>
      <c r="C397" s="13" t="s">
        <v>208</v>
      </c>
      <c r="D397" s="13" t="s">
        <v>208</v>
      </c>
      <c r="E397" s="13" t="s">
        <v>208</v>
      </c>
      <c r="F397" s="13" t="s">
        <v>208</v>
      </c>
      <c r="G397" s="67"/>
      <c r="H397" s="67"/>
      <c r="I397" s="67"/>
      <c r="J397" s="147"/>
    </row>
    <row r="398">
      <c r="A398" s="146">
        <v>397.0</v>
      </c>
      <c r="B398" s="13" t="s">
        <v>208</v>
      </c>
      <c r="C398" s="13" t="s">
        <v>208</v>
      </c>
      <c r="D398" s="13" t="s">
        <v>208</v>
      </c>
      <c r="E398" s="13" t="s">
        <v>208</v>
      </c>
      <c r="F398" s="13" t="s">
        <v>208</v>
      </c>
      <c r="G398" s="67"/>
      <c r="H398" s="67"/>
      <c r="I398" s="67"/>
      <c r="J398" s="147"/>
    </row>
    <row r="399">
      <c r="A399" s="146">
        <v>398.0</v>
      </c>
      <c r="B399" s="13" t="s">
        <v>208</v>
      </c>
      <c r="C399" s="99"/>
      <c r="D399" s="13" t="s">
        <v>208</v>
      </c>
      <c r="E399" s="13" t="s">
        <v>208</v>
      </c>
      <c r="F399" s="13" t="s">
        <v>208</v>
      </c>
      <c r="G399" s="67"/>
      <c r="H399" s="67"/>
      <c r="I399" s="67"/>
      <c r="J399" s="147"/>
    </row>
    <row r="400">
      <c r="A400" s="146">
        <v>399.0</v>
      </c>
      <c r="B400" s="13" t="s">
        <v>208</v>
      </c>
      <c r="C400" s="13" t="s">
        <v>208</v>
      </c>
      <c r="D400" s="13" t="s">
        <v>208</v>
      </c>
      <c r="E400" s="13" t="s">
        <v>208</v>
      </c>
      <c r="F400" s="13" t="s">
        <v>208</v>
      </c>
      <c r="G400" s="67"/>
      <c r="H400" s="67"/>
      <c r="I400" s="67"/>
      <c r="J400" s="147"/>
    </row>
    <row r="401">
      <c r="A401" s="146">
        <v>400.0</v>
      </c>
      <c r="B401" s="13" t="s">
        <v>208</v>
      </c>
      <c r="C401" s="99"/>
      <c r="D401" s="13" t="s">
        <v>208</v>
      </c>
      <c r="E401" s="13" t="s">
        <v>208</v>
      </c>
      <c r="F401" s="13" t="s">
        <v>208</v>
      </c>
      <c r="G401" s="67"/>
      <c r="H401" s="67"/>
      <c r="I401" s="67"/>
      <c r="J401" s="147"/>
    </row>
    <row r="402">
      <c r="A402" s="146">
        <v>401.0</v>
      </c>
      <c r="B402" s="13" t="s">
        <v>208</v>
      </c>
      <c r="C402" s="13" t="s">
        <v>208</v>
      </c>
      <c r="D402" s="13" t="s">
        <v>208</v>
      </c>
      <c r="E402" s="13" t="s">
        <v>208</v>
      </c>
      <c r="F402" s="13" t="s">
        <v>208</v>
      </c>
      <c r="G402" s="67"/>
      <c r="H402" s="67"/>
      <c r="I402" s="67"/>
      <c r="J402" s="147"/>
    </row>
    <row r="403">
      <c r="A403" s="146">
        <v>402.0</v>
      </c>
      <c r="B403" s="13" t="s">
        <v>208</v>
      </c>
      <c r="C403" s="13" t="s">
        <v>208</v>
      </c>
      <c r="D403" s="13" t="s">
        <v>208</v>
      </c>
      <c r="E403" s="13" t="s">
        <v>208</v>
      </c>
      <c r="F403" s="13" t="s">
        <v>208</v>
      </c>
      <c r="G403" s="67"/>
      <c r="H403" s="67"/>
      <c r="I403" s="67"/>
      <c r="J403" s="147"/>
    </row>
    <row r="404">
      <c r="A404" s="146">
        <v>403.0</v>
      </c>
      <c r="B404" s="13" t="s">
        <v>208</v>
      </c>
      <c r="C404" s="13" t="s">
        <v>208</v>
      </c>
      <c r="D404" s="13" t="s">
        <v>208</v>
      </c>
      <c r="E404" s="13" t="s">
        <v>208</v>
      </c>
      <c r="F404" s="13" t="s">
        <v>208</v>
      </c>
      <c r="G404" s="67"/>
      <c r="H404" s="67"/>
      <c r="I404" s="67"/>
      <c r="J404" s="147"/>
    </row>
    <row r="405">
      <c r="A405" s="146">
        <v>404.0</v>
      </c>
      <c r="B405" s="13" t="s">
        <v>208</v>
      </c>
      <c r="C405" s="13" t="s">
        <v>208</v>
      </c>
      <c r="D405" s="13" t="s">
        <v>208</v>
      </c>
      <c r="E405" s="13" t="s">
        <v>208</v>
      </c>
      <c r="F405" s="13" t="s">
        <v>208</v>
      </c>
      <c r="G405" s="67"/>
      <c r="H405" s="67"/>
      <c r="I405" s="67"/>
      <c r="J405" s="147"/>
    </row>
    <row r="406">
      <c r="A406" s="146">
        <v>405.0</v>
      </c>
      <c r="B406" s="67"/>
      <c r="C406" s="13" t="s">
        <v>208</v>
      </c>
      <c r="D406" s="13" t="s">
        <v>208</v>
      </c>
      <c r="E406" s="13" t="s">
        <v>208</v>
      </c>
      <c r="F406" s="67"/>
      <c r="G406" s="13" t="s">
        <v>208</v>
      </c>
      <c r="H406" s="67"/>
      <c r="I406" s="67"/>
      <c r="J406" s="147"/>
    </row>
    <row r="407">
      <c r="A407" s="146">
        <v>406.0</v>
      </c>
      <c r="B407" s="13" t="s">
        <v>208</v>
      </c>
      <c r="C407" s="13" t="s">
        <v>208</v>
      </c>
      <c r="D407" s="13" t="s">
        <v>208</v>
      </c>
      <c r="E407" s="13" t="s">
        <v>208</v>
      </c>
      <c r="F407" s="13" t="s">
        <v>208</v>
      </c>
      <c r="G407" s="67"/>
      <c r="H407" s="67"/>
      <c r="I407" s="67"/>
      <c r="J407" s="147"/>
    </row>
    <row r="408">
      <c r="A408" s="146">
        <v>407.0</v>
      </c>
      <c r="B408" s="13" t="s">
        <v>208</v>
      </c>
      <c r="C408" s="99"/>
      <c r="D408" s="13" t="s">
        <v>208</v>
      </c>
      <c r="E408" s="13" t="s">
        <v>208</v>
      </c>
      <c r="F408" s="13" t="s">
        <v>208</v>
      </c>
      <c r="G408" s="67"/>
      <c r="H408" s="67"/>
      <c r="I408" s="67"/>
      <c r="J408" s="147"/>
    </row>
    <row r="409">
      <c r="A409" s="146">
        <v>408.0</v>
      </c>
      <c r="B409" s="13" t="s">
        <v>208</v>
      </c>
      <c r="C409" s="13" t="s">
        <v>208</v>
      </c>
      <c r="D409" s="13" t="s">
        <v>208</v>
      </c>
      <c r="E409" s="13" t="s">
        <v>208</v>
      </c>
      <c r="F409" s="13" t="s">
        <v>208</v>
      </c>
      <c r="G409" s="67"/>
      <c r="H409" s="67"/>
      <c r="I409" s="67"/>
      <c r="J409" s="147"/>
    </row>
    <row r="410">
      <c r="A410" s="146">
        <v>409.0</v>
      </c>
      <c r="B410" s="13" t="s">
        <v>208</v>
      </c>
      <c r="C410" s="13" t="s">
        <v>208</v>
      </c>
      <c r="D410" s="13" t="s">
        <v>208</v>
      </c>
      <c r="E410" s="13" t="s">
        <v>208</v>
      </c>
      <c r="F410" s="13" t="s">
        <v>208</v>
      </c>
      <c r="G410" s="67"/>
      <c r="H410" s="67"/>
      <c r="I410" s="67"/>
      <c r="J410" s="147"/>
    </row>
    <row r="411">
      <c r="A411" s="146">
        <v>410.0</v>
      </c>
      <c r="B411" s="13" t="s">
        <v>208</v>
      </c>
      <c r="C411" s="99"/>
      <c r="D411" s="13" t="s">
        <v>208</v>
      </c>
      <c r="E411" s="13" t="s">
        <v>208</v>
      </c>
      <c r="F411" s="13" t="s">
        <v>208</v>
      </c>
      <c r="G411" s="67"/>
      <c r="H411" s="67"/>
      <c r="I411" s="67"/>
      <c r="J411" s="147"/>
    </row>
    <row r="412">
      <c r="A412" s="146">
        <v>411.0</v>
      </c>
      <c r="B412" s="13" t="s">
        <v>208</v>
      </c>
      <c r="C412" s="13" t="s">
        <v>208</v>
      </c>
      <c r="D412" s="99"/>
      <c r="E412" s="13" t="s">
        <v>208</v>
      </c>
      <c r="F412" s="13" t="s">
        <v>208</v>
      </c>
      <c r="G412" s="67"/>
      <c r="H412" s="67"/>
      <c r="I412" s="67"/>
      <c r="J412" s="147"/>
    </row>
    <row r="413">
      <c r="A413" s="146">
        <v>412.0</v>
      </c>
      <c r="B413" s="13" t="s">
        <v>208</v>
      </c>
      <c r="C413" s="13" t="s">
        <v>208</v>
      </c>
      <c r="D413" s="13" t="s">
        <v>208</v>
      </c>
      <c r="E413" s="13" t="s">
        <v>208</v>
      </c>
      <c r="F413" s="13" t="s">
        <v>208</v>
      </c>
      <c r="G413" s="67"/>
      <c r="H413" s="67"/>
      <c r="I413" s="67"/>
      <c r="J413" s="147"/>
    </row>
    <row r="414">
      <c r="A414" s="146">
        <v>413.0</v>
      </c>
      <c r="B414" s="67"/>
      <c r="C414" s="13" t="s">
        <v>208</v>
      </c>
      <c r="D414" s="13" t="s">
        <v>208</v>
      </c>
      <c r="E414" s="13" t="s">
        <v>208</v>
      </c>
      <c r="F414" s="67"/>
      <c r="G414" s="13" t="s">
        <v>208</v>
      </c>
      <c r="H414" s="67"/>
      <c r="I414" s="67"/>
      <c r="J414" s="147"/>
    </row>
    <row r="415">
      <c r="A415" s="146">
        <v>414.0</v>
      </c>
      <c r="B415" s="13" t="s">
        <v>208</v>
      </c>
      <c r="C415" s="13" t="s">
        <v>208</v>
      </c>
      <c r="D415" s="13" t="s">
        <v>208</v>
      </c>
      <c r="E415" s="13" t="s">
        <v>208</v>
      </c>
      <c r="F415" s="13" t="s">
        <v>208</v>
      </c>
      <c r="G415" s="67"/>
      <c r="H415" s="67"/>
      <c r="I415" s="67"/>
      <c r="J415" s="147"/>
    </row>
    <row r="416">
      <c r="A416" s="146">
        <v>415.0</v>
      </c>
      <c r="B416" s="13" t="s">
        <v>208</v>
      </c>
      <c r="C416" s="13" t="s">
        <v>208</v>
      </c>
      <c r="D416" s="13" t="s">
        <v>208</v>
      </c>
      <c r="E416" s="13" t="s">
        <v>208</v>
      </c>
      <c r="F416" s="13" t="s">
        <v>208</v>
      </c>
      <c r="G416" s="67"/>
      <c r="H416" s="67"/>
      <c r="I416" s="67"/>
      <c r="J416" s="147"/>
    </row>
    <row r="417">
      <c r="A417" s="146">
        <v>416.0</v>
      </c>
      <c r="B417" s="13" t="s">
        <v>208</v>
      </c>
      <c r="C417" s="13" t="s">
        <v>208</v>
      </c>
      <c r="D417" s="13" t="s">
        <v>208</v>
      </c>
      <c r="E417" s="13" t="s">
        <v>208</v>
      </c>
      <c r="F417" s="13" t="s">
        <v>208</v>
      </c>
      <c r="G417" s="67"/>
      <c r="H417" s="67"/>
      <c r="I417" s="67"/>
      <c r="J417" s="147"/>
    </row>
    <row r="418">
      <c r="A418" s="146">
        <v>417.0</v>
      </c>
      <c r="B418" s="13" t="s">
        <v>208</v>
      </c>
      <c r="C418" s="13" t="s">
        <v>208</v>
      </c>
      <c r="D418" s="13" t="s">
        <v>208</v>
      </c>
      <c r="E418" s="13" t="s">
        <v>208</v>
      </c>
      <c r="F418" s="13" t="s">
        <v>208</v>
      </c>
      <c r="G418" s="67"/>
      <c r="H418" s="67"/>
      <c r="I418" s="67"/>
      <c r="J418" s="147"/>
    </row>
    <row r="419">
      <c r="A419" s="146">
        <v>418.0</v>
      </c>
      <c r="B419" s="13" t="s">
        <v>208</v>
      </c>
      <c r="C419" s="13" t="s">
        <v>208</v>
      </c>
      <c r="D419" s="13" t="s">
        <v>208</v>
      </c>
      <c r="E419" s="13" t="s">
        <v>208</v>
      </c>
      <c r="F419" s="13" t="s">
        <v>208</v>
      </c>
      <c r="G419" s="67"/>
      <c r="H419" s="67"/>
      <c r="I419" s="67"/>
      <c r="J419" s="147"/>
    </row>
    <row r="420">
      <c r="A420" s="146">
        <v>419.0</v>
      </c>
      <c r="B420" s="13" t="s">
        <v>208</v>
      </c>
      <c r="C420" s="13" t="s">
        <v>208</v>
      </c>
      <c r="D420" s="13" t="s">
        <v>208</v>
      </c>
      <c r="E420" s="13" t="s">
        <v>208</v>
      </c>
      <c r="F420" s="13" t="s">
        <v>208</v>
      </c>
      <c r="G420" s="67"/>
      <c r="H420" s="67"/>
      <c r="I420" s="67"/>
      <c r="J420" s="147"/>
    </row>
    <row r="421">
      <c r="A421" s="146">
        <v>420.0</v>
      </c>
      <c r="B421" s="13" t="s">
        <v>208</v>
      </c>
      <c r="C421" s="13" t="s">
        <v>208</v>
      </c>
      <c r="D421" s="13" t="s">
        <v>208</v>
      </c>
      <c r="E421" s="13" t="s">
        <v>208</v>
      </c>
      <c r="F421" s="13" t="s">
        <v>208</v>
      </c>
      <c r="G421" s="67"/>
      <c r="H421" s="67"/>
      <c r="I421" s="67"/>
      <c r="J421" s="147"/>
    </row>
    <row r="422">
      <c r="A422" s="146">
        <v>421.0</v>
      </c>
      <c r="B422" s="13" t="s">
        <v>208</v>
      </c>
      <c r="C422" s="13" t="s">
        <v>208</v>
      </c>
      <c r="D422" s="13" t="s">
        <v>208</v>
      </c>
      <c r="E422" s="13" t="s">
        <v>208</v>
      </c>
      <c r="F422" s="13" t="s">
        <v>208</v>
      </c>
      <c r="G422" s="67"/>
      <c r="H422" s="67"/>
      <c r="I422" s="67"/>
      <c r="J422" s="147"/>
    </row>
    <row r="423">
      <c r="A423" s="146">
        <v>422.0</v>
      </c>
      <c r="B423" s="13" t="s">
        <v>208</v>
      </c>
      <c r="C423" s="13" t="s">
        <v>208</v>
      </c>
      <c r="D423" s="13" t="s">
        <v>208</v>
      </c>
      <c r="E423" s="13" t="s">
        <v>208</v>
      </c>
      <c r="F423" s="13" t="s">
        <v>208</v>
      </c>
      <c r="G423" s="67"/>
      <c r="H423" s="67"/>
      <c r="I423" s="67"/>
      <c r="J423" s="147"/>
    </row>
    <row r="424">
      <c r="A424" s="146">
        <v>423.0</v>
      </c>
      <c r="B424" s="13" t="s">
        <v>208</v>
      </c>
      <c r="C424" s="13" t="s">
        <v>208</v>
      </c>
      <c r="D424" s="13" t="s">
        <v>208</v>
      </c>
      <c r="E424" s="13" t="s">
        <v>208</v>
      </c>
      <c r="F424" s="13" t="s">
        <v>208</v>
      </c>
      <c r="G424" s="67"/>
      <c r="H424" s="67"/>
      <c r="I424" s="67"/>
      <c r="J424" s="147"/>
    </row>
    <row r="425">
      <c r="A425" s="146">
        <v>424.0</v>
      </c>
      <c r="B425" s="13" t="s">
        <v>208</v>
      </c>
      <c r="C425" s="13" t="s">
        <v>208</v>
      </c>
      <c r="D425" s="13" t="s">
        <v>208</v>
      </c>
      <c r="E425" s="13" t="s">
        <v>208</v>
      </c>
      <c r="F425" s="13" t="s">
        <v>208</v>
      </c>
      <c r="G425" s="67"/>
      <c r="H425" s="67"/>
      <c r="I425" s="67"/>
      <c r="J425" s="147"/>
    </row>
    <row r="426">
      <c r="A426" s="146">
        <v>425.0</v>
      </c>
      <c r="B426" s="13" t="s">
        <v>208</v>
      </c>
      <c r="C426" s="13" t="s">
        <v>208</v>
      </c>
      <c r="D426" s="13" t="s">
        <v>208</v>
      </c>
      <c r="E426" s="13" t="s">
        <v>208</v>
      </c>
      <c r="F426" s="13" t="s">
        <v>208</v>
      </c>
      <c r="G426" s="67"/>
      <c r="H426" s="67"/>
      <c r="I426" s="67"/>
      <c r="J426" s="147"/>
    </row>
    <row r="427">
      <c r="A427" s="146">
        <v>426.0</v>
      </c>
      <c r="B427" s="13" t="s">
        <v>208</v>
      </c>
      <c r="C427" s="13" t="s">
        <v>208</v>
      </c>
      <c r="D427" s="13" t="s">
        <v>208</v>
      </c>
      <c r="E427" s="13" t="s">
        <v>208</v>
      </c>
      <c r="F427" s="13" t="s">
        <v>208</v>
      </c>
      <c r="G427" s="67"/>
      <c r="H427" s="67"/>
      <c r="I427" s="67"/>
      <c r="J427" s="147"/>
    </row>
    <row r="428">
      <c r="A428" s="146">
        <v>427.0</v>
      </c>
      <c r="B428" s="13" t="s">
        <v>208</v>
      </c>
      <c r="C428" s="13" t="s">
        <v>208</v>
      </c>
      <c r="D428" s="13" t="s">
        <v>208</v>
      </c>
      <c r="E428" s="13" t="s">
        <v>208</v>
      </c>
      <c r="F428" s="13" t="s">
        <v>208</v>
      </c>
      <c r="G428" s="67"/>
      <c r="H428" s="67"/>
      <c r="I428" s="67"/>
      <c r="J428" s="147"/>
    </row>
    <row r="429">
      <c r="A429" s="146">
        <v>428.0</v>
      </c>
      <c r="B429" s="13" t="s">
        <v>208</v>
      </c>
      <c r="C429" s="13" t="s">
        <v>208</v>
      </c>
      <c r="D429" s="13" t="s">
        <v>208</v>
      </c>
      <c r="E429" s="13" t="s">
        <v>208</v>
      </c>
      <c r="F429" s="13" t="s">
        <v>208</v>
      </c>
      <c r="G429" s="67"/>
      <c r="H429" s="67"/>
      <c r="I429" s="67"/>
      <c r="J429" s="147"/>
    </row>
    <row r="430">
      <c r="A430" s="146">
        <v>429.0</v>
      </c>
      <c r="B430" s="13" t="s">
        <v>208</v>
      </c>
      <c r="C430" s="13" t="s">
        <v>208</v>
      </c>
      <c r="D430" s="13" t="s">
        <v>208</v>
      </c>
      <c r="E430" s="13" t="s">
        <v>208</v>
      </c>
      <c r="F430" s="13" t="s">
        <v>208</v>
      </c>
      <c r="G430" s="67"/>
      <c r="H430" s="67"/>
      <c r="I430" s="67"/>
      <c r="J430" s="147"/>
    </row>
    <row r="431">
      <c r="A431" s="146">
        <v>430.0</v>
      </c>
      <c r="B431" s="13" t="s">
        <v>208</v>
      </c>
      <c r="C431" s="13" t="s">
        <v>208</v>
      </c>
      <c r="D431" s="13" t="s">
        <v>208</v>
      </c>
      <c r="E431" s="13" t="s">
        <v>208</v>
      </c>
      <c r="F431" s="13" t="s">
        <v>208</v>
      </c>
      <c r="G431" s="67"/>
      <c r="H431" s="67"/>
      <c r="I431" s="67"/>
      <c r="J431" s="147"/>
    </row>
    <row r="432">
      <c r="A432" s="146">
        <v>431.0</v>
      </c>
      <c r="B432" s="13" t="s">
        <v>208</v>
      </c>
      <c r="C432" s="13" t="s">
        <v>208</v>
      </c>
      <c r="D432" s="13" t="s">
        <v>208</v>
      </c>
      <c r="E432" s="13" t="s">
        <v>208</v>
      </c>
      <c r="F432" s="13" t="s">
        <v>208</v>
      </c>
      <c r="G432" s="67"/>
      <c r="H432" s="67"/>
      <c r="I432" s="67"/>
      <c r="J432" s="147"/>
    </row>
    <row r="433">
      <c r="A433" s="146">
        <v>432.0</v>
      </c>
      <c r="B433" s="13" t="s">
        <v>208</v>
      </c>
      <c r="C433" s="13" t="s">
        <v>208</v>
      </c>
      <c r="D433" s="13" t="s">
        <v>208</v>
      </c>
      <c r="E433" s="13" t="s">
        <v>208</v>
      </c>
      <c r="F433" s="13" t="s">
        <v>208</v>
      </c>
      <c r="G433" s="67"/>
      <c r="H433" s="67"/>
      <c r="I433" s="67"/>
      <c r="J433" s="147"/>
    </row>
    <row r="434">
      <c r="A434" s="146">
        <v>433.0</v>
      </c>
      <c r="B434" s="13" t="s">
        <v>208</v>
      </c>
      <c r="C434" s="13" t="s">
        <v>208</v>
      </c>
      <c r="D434" s="13" t="s">
        <v>208</v>
      </c>
      <c r="E434" s="13" t="s">
        <v>208</v>
      </c>
      <c r="F434" s="13" t="s">
        <v>208</v>
      </c>
      <c r="G434" s="67"/>
      <c r="H434" s="67"/>
      <c r="I434" s="67"/>
      <c r="J434" s="147"/>
    </row>
    <row r="435">
      <c r="A435" s="146">
        <v>434.0</v>
      </c>
      <c r="B435" s="13" t="s">
        <v>208</v>
      </c>
      <c r="C435" s="13" t="s">
        <v>208</v>
      </c>
      <c r="D435" s="13" t="s">
        <v>208</v>
      </c>
      <c r="E435" s="13" t="s">
        <v>208</v>
      </c>
      <c r="F435" s="13" t="s">
        <v>208</v>
      </c>
      <c r="G435" s="67"/>
      <c r="H435" s="67"/>
      <c r="I435" s="67"/>
      <c r="J435" s="147"/>
    </row>
    <row r="436">
      <c r="A436" s="146">
        <v>435.0</v>
      </c>
      <c r="B436" s="13" t="s">
        <v>208</v>
      </c>
      <c r="C436" s="13" t="s">
        <v>208</v>
      </c>
      <c r="D436" s="13" t="s">
        <v>208</v>
      </c>
      <c r="E436" s="13" t="s">
        <v>208</v>
      </c>
      <c r="F436" s="13" t="s">
        <v>208</v>
      </c>
      <c r="G436" s="67"/>
      <c r="H436" s="67"/>
      <c r="I436" s="67"/>
      <c r="J436" s="147"/>
    </row>
    <row r="437">
      <c r="A437" s="146">
        <v>436.0</v>
      </c>
      <c r="B437" s="13" t="s">
        <v>208</v>
      </c>
      <c r="C437" s="99"/>
      <c r="D437" s="99"/>
      <c r="E437" s="13" t="s">
        <v>208</v>
      </c>
      <c r="F437" s="13" t="s">
        <v>208</v>
      </c>
      <c r="G437" s="67"/>
      <c r="H437" s="67"/>
      <c r="I437" s="67"/>
      <c r="J437" s="147"/>
    </row>
    <row r="438">
      <c r="A438" s="146">
        <v>437.0</v>
      </c>
      <c r="B438" s="13" t="s">
        <v>208</v>
      </c>
      <c r="C438" s="13" t="s">
        <v>208</v>
      </c>
      <c r="D438" s="13" t="s">
        <v>208</v>
      </c>
      <c r="E438" s="13" t="s">
        <v>208</v>
      </c>
      <c r="F438" s="13" t="s">
        <v>208</v>
      </c>
      <c r="G438" s="67"/>
      <c r="H438" s="67"/>
      <c r="I438" s="67"/>
      <c r="J438" s="147"/>
    </row>
    <row r="439">
      <c r="A439" s="146">
        <v>438.0</v>
      </c>
      <c r="B439" s="13" t="s">
        <v>208</v>
      </c>
      <c r="C439" s="13" t="s">
        <v>208</v>
      </c>
      <c r="D439" s="13" t="s">
        <v>208</v>
      </c>
      <c r="E439" s="13" t="s">
        <v>208</v>
      </c>
      <c r="F439" s="13" t="s">
        <v>208</v>
      </c>
      <c r="G439" s="67"/>
      <c r="H439" s="67"/>
      <c r="I439" s="67"/>
      <c r="J439" s="147"/>
    </row>
    <row r="440">
      <c r="A440" s="146">
        <v>439.0</v>
      </c>
      <c r="B440" s="13" t="s">
        <v>208</v>
      </c>
      <c r="C440" s="13" t="s">
        <v>208</v>
      </c>
      <c r="D440" s="13" t="s">
        <v>208</v>
      </c>
      <c r="E440" s="13" t="s">
        <v>208</v>
      </c>
      <c r="F440" s="13" t="s">
        <v>208</v>
      </c>
      <c r="G440" s="67"/>
      <c r="H440" s="67"/>
      <c r="I440" s="67"/>
      <c r="J440" s="147"/>
    </row>
    <row r="441">
      <c r="A441" s="146">
        <v>440.0</v>
      </c>
      <c r="B441" s="13" t="s">
        <v>208</v>
      </c>
      <c r="C441" s="13" t="s">
        <v>208</v>
      </c>
      <c r="D441" s="13" t="s">
        <v>208</v>
      </c>
      <c r="E441" s="13" t="s">
        <v>208</v>
      </c>
      <c r="F441" s="13" t="s">
        <v>208</v>
      </c>
      <c r="G441" s="67"/>
      <c r="H441" s="67"/>
      <c r="I441" s="67"/>
      <c r="J441" s="147"/>
    </row>
    <row r="442">
      <c r="A442" s="146">
        <v>441.0</v>
      </c>
      <c r="B442" s="13" t="s">
        <v>208</v>
      </c>
      <c r="C442" s="13" t="s">
        <v>208</v>
      </c>
      <c r="D442" s="13" t="s">
        <v>208</v>
      </c>
      <c r="E442" s="13" t="s">
        <v>208</v>
      </c>
      <c r="F442" s="13" t="s">
        <v>208</v>
      </c>
      <c r="G442" s="67"/>
      <c r="H442" s="67"/>
      <c r="I442" s="67"/>
      <c r="J442" s="147"/>
    </row>
    <row r="443">
      <c r="A443" s="146">
        <v>442.0</v>
      </c>
      <c r="B443" s="13" t="s">
        <v>208</v>
      </c>
      <c r="C443" s="13" t="s">
        <v>208</v>
      </c>
      <c r="D443" s="13" t="s">
        <v>208</v>
      </c>
      <c r="E443" s="13" t="s">
        <v>208</v>
      </c>
      <c r="F443" s="13" t="s">
        <v>208</v>
      </c>
      <c r="G443" s="67"/>
      <c r="H443" s="67"/>
      <c r="I443" s="67"/>
      <c r="J443" s="147"/>
    </row>
    <row r="444">
      <c r="A444" s="146">
        <v>443.0</v>
      </c>
      <c r="B444" s="13" t="s">
        <v>208</v>
      </c>
      <c r="C444" s="13" t="s">
        <v>208</v>
      </c>
      <c r="D444" s="13" t="s">
        <v>208</v>
      </c>
      <c r="E444" s="13" t="s">
        <v>208</v>
      </c>
      <c r="F444" s="13" t="s">
        <v>208</v>
      </c>
      <c r="G444" s="67"/>
      <c r="H444" s="67"/>
      <c r="I444" s="67"/>
      <c r="J444" s="147"/>
    </row>
    <row r="445">
      <c r="A445" s="146">
        <v>444.0</v>
      </c>
      <c r="B445" s="13" t="s">
        <v>208</v>
      </c>
      <c r="C445" s="13" t="s">
        <v>208</v>
      </c>
      <c r="D445" s="13" t="s">
        <v>208</v>
      </c>
      <c r="E445" s="13" t="s">
        <v>208</v>
      </c>
      <c r="F445" s="13" t="s">
        <v>208</v>
      </c>
      <c r="G445" s="67"/>
      <c r="H445" s="67"/>
      <c r="I445" s="67"/>
      <c r="J445" s="147"/>
    </row>
    <row r="446">
      <c r="A446" s="146">
        <v>445.0</v>
      </c>
      <c r="B446" s="13" t="s">
        <v>208</v>
      </c>
      <c r="C446" s="13" t="s">
        <v>208</v>
      </c>
      <c r="D446" s="13" t="s">
        <v>208</v>
      </c>
      <c r="E446" s="13" t="s">
        <v>208</v>
      </c>
      <c r="F446" s="13" t="s">
        <v>208</v>
      </c>
      <c r="G446" s="67"/>
      <c r="H446" s="67"/>
      <c r="I446" s="67"/>
      <c r="J446" s="147"/>
    </row>
    <row r="447">
      <c r="A447" s="146">
        <v>446.0</v>
      </c>
      <c r="B447" s="13" t="s">
        <v>208</v>
      </c>
      <c r="C447" s="99"/>
      <c r="D447" s="13" t="s">
        <v>208</v>
      </c>
      <c r="E447" s="13" t="s">
        <v>208</v>
      </c>
      <c r="F447" s="13" t="s">
        <v>208</v>
      </c>
      <c r="G447" s="67"/>
      <c r="H447" s="67"/>
      <c r="I447" s="67"/>
      <c r="J447" s="147"/>
    </row>
    <row r="448">
      <c r="A448" s="146">
        <v>447.0</v>
      </c>
      <c r="B448" s="13" t="s">
        <v>208</v>
      </c>
      <c r="C448" s="13" t="s">
        <v>208</v>
      </c>
      <c r="D448" s="13" t="s">
        <v>208</v>
      </c>
      <c r="E448" s="13" t="s">
        <v>208</v>
      </c>
      <c r="F448" s="13" t="s">
        <v>208</v>
      </c>
      <c r="G448" s="67"/>
      <c r="H448" s="67"/>
      <c r="I448" s="67"/>
      <c r="J448" s="147"/>
    </row>
    <row r="449">
      <c r="A449" s="146">
        <v>448.0</v>
      </c>
      <c r="B449" s="13" t="s">
        <v>208</v>
      </c>
      <c r="C449" s="13" t="s">
        <v>208</v>
      </c>
      <c r="D449" s="13" t="s">
        <v>208</v>
      </c>
      <c r="E449" s="13" t="s">
        <v>208</v>
      </c>
      <c r="F449" s="13" t="s">
        <v>208</v>
      </c>
      <c r="G449" s="67"/>
      <c r="H449" s="67"/>
      <c r="I449" s="67"/>
      <c r="J449" s="147"/>
    </row>
    <row r="450">
      <c r="A450" s="146">
        <v>449.0</v>
      </c>
      <c r="B450" s="13" t="s">
        <v>208</v>
      </c>
      <c r="C450" s="13" t="s">
        <v>208</v>
      </c>
      <c r="D450" s="13" t="s">
        <v>208</v>
      </c>
      <c r="E450" s="13" t="s">
        <v>208</v>
      </c>
      <c r="F450" s="13" t="s">
        <v>208</v>
      </c>
      <c r="G450" s="67"/>
      <c r="H450" s="67"/>
      <c r="I450" s="67"/>
      <c r="J450" s="147"/>
    </row>
    <row r="451">
      <c r="A451" s="146">
        <v>450.0</v>
      </c>
      <c r="B451" s="13" t="s">
        <v>208</v>
      </c>
      <c r="C451" s="13" t="s">
        <v>208</v>
      </c>
      <c r="D451" s="13" t="s">
        <v>208</v>
      </c>
      <c r="E451" s="13" t="s">
        <v>208</v>
      </c>
      <c r="F451" s="13" t="s">
        <v>208</v>
      </c>
      <c r="G451" s="67"/>
      <c r="H451" s="67"/>
      <c r="I451" s="67"/>
      <c r="J451" s="147"/>
    </row>
    <row r="452">
      <c r="A452" s="146">
        <v>451.0</v>
      </c>
      <c r="B452" s="67"/>
      <c r="C452" s="13" t="s">
        <v>208</v>
      </c>
      <c r="D452" s="13" t="s">
        <v>208</v>
      </c>
      <c r="E452" s="13" t="s">
        <v>208</v>
      </c>
      <c r="F452" s="67"/>
      <c r="G452" s="13" t="s">
        <v>208</v>
      </c>
      <c r="H452" s="67"/>
      <c r="I452" s="67"/>
      <c r="J452" s="147"/>
    </row>
    <row r="453">
      <c r="A453" s="146">
        <v>452.0</v>
      </c>
      <c r="B453" s="13" t="s">
        <v>208</v>
      </c>
      <c r="C453" s="13" t="s">
        <v>208</v>
      </c>
      <c r="D453" s="13" t="s">
        <v>208</v>
      </c>
      <c r="E453" s="13" t="s">
        <v>208</v>
      </c>
      <c r="F453" s="13" t="s">
        <v>208</v>
      </c>
      <c r="G453" s="67"/>
      <c r="H453" s="67"/>
      <c r="I453" s="67"/>
      <c r="J453" s="147"/>
    </row>
    <row r="454">
      <c r="A454" s="146">
        <v>453.0</v>
      </c>
      <c r="B454" s="13" t="s">
        <v>208</v>
      </c>
      <c r="C454" s="13" t="s">
        <v>208</v>
      </c>
      <c r="D454" s="13" t="s">
        <v>208</v>
      </c>
      <c r="E454" s="13" t="s">
        <v>208</v>
      </c>
      <c r="F454" s="13" t="s">
        <v>208</v>
      </c>
      <c r="G454" s="67"/>
      <c r="H454" s="67"/>
      <c r="I454" s="67"/>
      <c r="J454" s="147"/>
    </row>
    <row r="455">
      <c r="A455" s="146">
        <v>454.0</v>
      </c>
      <c r="B455" s="13" t="s">
        <v>208</v>
      </c>
      <c r="C455" s="13" t="s">
        <v>208</v>
      </c>
      <c r="D455" s="13" t="s">
        <v>208</v>
      </c>
      <c r="E455" s="13" t="s">
        <v>208</v>
      </c>
      <c r="F455" s="13" t="s">
        <v>208</v>
      </c>
      <c r="G455" s="67"/>
      <c r="H455" s="67"/>
      <c r="I455" s="67"/>
      <c r="J455" s="147"/>
    </row>
    <row r="456">
      <c r="A456" s="146">
        <v>455.0</v>
      </c>
      <c r="B456" s="13" t="s">
        <v>208</v>
      </c>
      <c r="C456" s="13" t="s">
        <v>208</v>
      </c>
      <c r="D456" s="13" t="s">
        <v>208</v>
      </c>
      <c r="E456" s="13" t="s">
        <v>208</v>
      </c>
      <c r="F456" s="13" t="s">
        <v>208</v>
      </c>
      <c r="G456" s="67"/>
      <c r="H456" s="67"/>
      <c r="I456" s="67"/>
      <c r="J456" s="147"/>
    </row>
    <row r="457">
      <c r="A457" s="146">
        <v>456.0</v>
      </c>
      <c r="B457" s="13" t="s">
        <v>208</v>
      </c>
      <c r="C457" s="13" t="s">
        <v>208</v>
      </c>
      <c r="D457" s="13" t="s">
        <v>208</v>
      </c>
      <c r="E457" s="13" t="s">
        <v>208</v>
      </c>
      <c r="F457" s="13" t="s">
        <v>208</v>
      </c>
      <c r="G457" s="67"/>
      <c r="H457" s="67"/>
      <c r="I457" s="67"/>
      <c r="J457" s="147"/>
    </row>
    <row r="458">
      <c r="A458" s="146">
        <v>457.0</v>
      </c>
      <c r="B458" s="13" t="s">
        <v>208</v>
      </c>
      <c r="C458" s="13" t="s">
        <v>208</v>
      </c>
      <c r="D458" s="13" t="s">
        <v>208</v>
      </c>
      <c r="E458" s="13" t="s">
        <v>208</v>
      </c>
      <c r="F458" s="13" t="s">
        <v>208</v>
      </c>
      <c r="G458" s="67"/>
      <c r="H458" s="67"/>
      <c r="I458" s="67"/>
      <c r="J458" s="147"/>
    </row>
    <row r="459">
      <c r="A459" s="177">
        <v>458.0</v>
      </c>
      <c r="B459" s="67"/>
      <c r="C459" s="13" t="s">
        <v>208</v>
      </c>
      <c r="D459" s="13" t="s">
        <v>208</v>
      </c>
      <c r="E459" s="13" t="s">
        <v>208</v>
      </c>
      <c r="F459" s="67"/>
      <c r="G459" s="13" t="s">
        <v>208</v>
      </c>
      <c r="H459" s="67"/>
      <c r="I459" s="67"/>
      <c r="J459" s="147"/>
    </row>
    <row r="460">
      <c r="A460" s="146">
        <v>459.0</v>
      </c>
      <c r="B460" s="13" t="s">
        <v>208</v>
      </c>
      <c r="C460" s="99"/>
      <c r="D460" s="13" t="s">
        <v>208</v>
      </c>
      <c r="E460" s="13" t="s">
        <v>208</v>
      </c>
      <c r="F460" s="13" t="s">
        <v>208</v>
      </c>
      <c r="G460" s="67"/>
      <c r="H460" s="67"/>
      <c r="I460" s="67"/>
      <c r="J460" s="147"/>
    </row>
    <row r="461">
      <c r="A461" s="146">
        <v>460.0</v>
      </c>
      <c r="B461" s="13" t="s">
        <v>208</v>
      </c>
      <c r="C461" s="13" t="s">
        <v>208</v>
      </c>
      <c r="D461" s="13" t="s">
        <v>208</v>
      </c>
      <c r="E461" s="13" t="s">
        <v>208</v>
      </c>
      <c r="F461" s="13" t="s">
        <v>208</v>
      </c>
      <c r="G461" s="67"/>
      <c r="H461" s="67"/>
      <c r="I461" s="67"/>
      <c r="J461" s="147"/>
    </row>
    <row r="462">
      <c r="A462" s="146">
        <v>461.0</v>
      </c>
      <c r="B462" s="13" t="s">
        <v>208</v>
      </c>
      <c r="C462" s="13" t="s">
        <v>208</v>
      </c>
      <c r="D462" s="13" t="s">
        <v>208</v>
      </c>
      <c r="E462" s="13" t="s">
        <v>208</v>
      </c>
      <c r="F462" s="13" t="s">
        <v>208</v>
      </c>
      <c r="G462" s="67"/>
      <c r="H462" s="67"/>
      <c r="I462" s="67"/>
      <c r="J462" s="147"/>
    </row>
    <row r="463">
      <c r="A463" s="146">
        <v>462.0</v>
      </c>
      <c r="B463" s="13" t="s">
        <v>208</v>
      </c>
      <c r="C463" s="13" t="s">
        <v>208</v>
      </c>
      <c r="D463" s="13" t="s">
        <v>208</v>
      </c>
      <c r="E463" s="13" t="s">
        <v>208</v>
      </c>
      <c r="F463" s="13" t="s">
        <v>208</v>
      </c>
      <c r="G463" s="67"/>
      <c r="H463" s="67"/>
      <c r="I463" s="67"/>
      <c r="J463" s="147"/>
    </row>
    <row r="464">
      <c r="A464" s="146">
        <v>463.0</v>
      </c>
      <c r="B464" s="13" t="s">
        <v>208</v>
      </c>
      <c r="C464" s="13" t="s">
        <v>208</v>
      </c>
      <c r="D464" s="13" t="s">
        <v>208</v>
      </c>
      <c r="E464" s="13" t="s">
        <v>208</v>
      </c>
      <c r="F464" s="13" t="s">
        <v>208</v>
      </c>
      <c r="G464" s="67"/>
      <c r="H464" s="67"/>
      <c r="I464" s="67"/>
      <c r="J464" s="147"/>
    </row>
    <row r="465">
      <c r="A465" s="146">
        <v>464.0</v>
      </c>
      <c r="B465" s="13" t="s">
        <v>208</v>
      </c>
      <c r="C465" s="13" t="s">
        <v>208</v>
      </c>
      <c r="D465" s="13" t="s">
        <v>208</v>
      </c>
      <c r="E465" s="13" t="s">
        <v>208</v>
      </c>
      <c r="F465" s="13" t="s">
        <v>208</v>
      </c>
      <c r="G465" s="67"/>
      <c r="H465" s="67"/>
      <c r="I465" s="67"/>
      <c r="J465" s="147"/>
    </row>
    <row r="466">
      <c r="A466" s="146">
        <v>465.0</v>
      </c>
      <c r="B466" s="13" t="s">
        <v>208</v>
      </c>
      <c r="C466" s="13" t="s">
        <v>208</v>
      </c>
      <c r="D466" s="13" t="s">
        <v>208</v>
      </c>
      <c r="E466" s="13" t="s">
        <v>208</v>
      </c>
      <c r="F466" s="13" t="s">
        <v>208</v>
      </c>
      <c r="G466" s="67"/>
      <c r="H466" s="67"/>
      <c r="I466" s="67"/>
      <c r="J466" s="147"/>
    </row>
    <row r="467">
      <c r="A467" s="146">
        <v>466.0</v>
      </c>
      <c r="B467" s="13" t="s">
        <v>208</v>
      </c>
      <c r="C467" s="13" t="s">
        <v>208</v>
      </c>
      <c r="D467" s="13" t="s">
        <v>208</v>
      </c>
      <c r="E467" s="13" t="s">
        <v>208</v>
      </c>
      <c r="F467" s="13" t="s">
        <v>208</v>
      </c>
      <c r="G467" s="67"/>
      <c r="H467" s="67"/>
      <c r="I467" s="67"/>
      <c r="J467" s="147"/>
    </row>
    <row r="468">
      <c r="A468" s="146">
        <v>467.0</v>
      </c>
      <c r="B468" s="13" t="s">
        <v>208</v>
      </c>
      <c r="C468" s="13" t="s">
        <v>208</v>
      </c>
      <c r="D468" s="13" t="s">
        <v>208</v>
      </c>
      <c r="E468" s="13" t="s">
        <v>208</v>
      </c>
      <c r="F468" s="13" t="s">
        <v>208</v>
      </c>
      <c r="G468" s="67"/>
      <c r="H468" s="67"/>
      <c r="I468" s="67"/>
      <c r="J468" s="147"/>
    </row>
    <row r="469">
      <c r="A469" s="146">
        <v>468.0</v>
      </c>
      <c r="B469" s="13" t="s">
        <v>208</v>
      </c>
      <c r="C469" s="13" t="s">
        <v>208</v>
      </c>
      <c r="D469" s="13" t="s">
        <v>208</v>
      </c>
      <c r="E469" s="13" t="s">
        <v>208</v>
      </c>
      <c r="F469" s="13" t="s">
        <v>208</v>
      </c>
      <c r="G469" s="67"/>
      <c r="H469" s="67"/>
      <c r="I469" s="67"/>
      <c r="J469" s="147"/>
    </row>
    <row r="470">
      <c r="A470" s="146">
        <v>469.0</v>
      </c>
      <c r="B470" s="13" t="s">
        <v>208</v>
      </c>
      <c r="C470" s="13" t="s">
        <v>208</v>
      </c>
      <c r="D470" s="13" t="s">
        <v>208</v>
      </c>
      <c r="E470" s="13" t="s">
        <v>208</v>
      </c>
      <c r="F470" s="13" t="s">
        <v>208</v>
      </c>
      <c r="G470" s="67"/>
      <c r="H470" s="67"/>
      <c r="I470" s="67"/>
      <c r="J470" s="147"/>
    </row>
    <row r="471">
      <c r="A471" s="146">
        <v>470.0</v>
      </c>
      <c r="B471" s="67"/>
      <c r="C471" s="13" t="s">
        <v>208</v>
      </c>
      <c r="D471" s="13" t="s">
        <v>208</v>
      </c>
      <c r="E471" s="13" t="s">
        <v>208</v>
      </c>
      <c r="F471" s="67"/>
      <c r="G471" s="13" t="s">
        <v>208</v>
      </c>
      <c r="H471" s="67"/>
      <c r="I471" s="67"/>
      <c r="J471" s="147"/>
    </row>
    <row r="472">
      <c r="A472" s="146">
        <v>471.0</v>
      </c>
      <c r="B472" s="13" t="s">
        <v>208</v>
      </c>
      <c r="C472" s="13" t="s">
        <v>208</v>
      </c>
      <c r="D472" s="13" t="s">
        <v>208</v>
      </c>
      <c r="E472" s="13" t="s">
        <v>208</v>
      </c>
      <c r="F472" s="13" t="s">
        <v>208</v>
      </c>
      <c r="G472" s="67"/>
      <c r="H472" s="67"/>
      <c r="I472" s="67"/>
      <c r="J472" s="147"/>
    </row>
    <row r="473">
      <c r="A473" s="146">
        <v>472.0</v>
      </c>
      <c r="B473" s="13" t="s">
        <v>208</v>
      </c>
      <c r="C473" s="13" t="s">
        <v>208</v>
      </c>
      <c r="D473" s="13" t="s">
        <v>208</v>
      </c>
      <c r="E473" s="13" t="s">
        <v>208</v>
      </c>
      <c r="F473" s="13" t="s">
        <v>208</v>
      </c>
      <c r="G473" s="67"/>
      <c r="H473" s="67"/>
      <c r="I473" s="67"/>
      <c r="J473" s="147"/>
    </row>
    <row r="474">
      <c r="A474" s="146">
        <v>473.0</v>
      </c>
      <c r="B474" s="13" t="s">
        <v>208</v>
      </c>
      <c r="C474" s="13" t="s">
        <v>208</v>
      </c>
      <c r="D474" s="13" t="s">
        <v>208</v>
      </c>
      <c r="E474" s="13" t="s">
        <v>208</v>
      </c>
      <c r="F474" s="13" t="s">
        <v>208</v>
      </c>
      <c r="G474" s="67"/>
      <c r="H474" s="67"/>
      <c r="I474" s="67"/>
      <c r="J474" s="147"/>
    </row>
    <row r="475">
      <c r="A475" s="146">
        <v>474.0</v>
      </c>
      <c r="B475" s="13" t="s">
        <v>208</v>
      </c>
      <c r="C475" s="13" t="s">
        <v>208</v>
      </c>
      <c r="D475" s="13" t="s">
        <v>208</v>
      </c>
      <c r="E475" s="13" t="s">
        <v>208</v>
      </c>
      <c r="F475" s="13" t="s">
        <v>208</v>
      </c>
      <c r="G475" s="67"/>
      <c r="H475" s="67"/>
      <c r="I475" s="67"/>
      <c r="J475" s="147"/>
    </row>
    <row r="476">
      <c r="A476" s="146">
        <v>475.0</v>
      </c>
      <c r="B476" s="13" t="s">
        <v>208</v>
      </c>
      <c r="C476" s="13" t="s">
        <v>208</v>
      </c>
      <c r="D476" s="13" t="s">
        <v>208</v>
      </c>
      <c r="E476" s="13" t="s">
        <v>208</v>
      </c>
      <c r="F476" s="13" t="s">
        <v>208</v>
      </c>
      <c r="G476" s="67"/>
      <c r="H476" s="67"/>
      <c r="I476" s="67"/>
      <c r="J476" s="147"/>
    </row>
    <row r="477">
      <c r="A477" s="146">
        <v>476.0</v>
      </c>
      <c r="B477" s="13" t="s">
        <v>208</v>
      </c>
      <c r="C477" s="13" t="s">
        <v>208</v>
      </c>
      <c r="D477" s="13" t="s">
        <v>208</v>
      </c>
      <c r="E477" s="13" t="s">
        <v>208</v>
      </c>
      <c r="F477" s="13" t="s">
        <v>208</v>
      </c>
      <c r="G477" s="67"/>
      <c r="H477" s="67"/>
      <c r="I477" s="67"/>
      <c r="J477" s="147"/>
    </row>
    <row r="478">
      <c r="A478" s="146">
        <v>477.0</v>
      </c>
      <c r="B478" s="67"/>
      <c r="C478" s="13" t="s">
        <v>208</v>
      </c>
      <c r="D478" s="13" t="s">
        <v>208</v>
      </c>
      <c r="E478" s="13" t="s">
        <v>208</v>
      </c>
      <c r="F478" s="67"/>
      <c r="G478" s="13" t="s">
        <v>208</v>
      </c>
      <c r="H478" s="67"/>
      <c r="I478" s="67"/>
      <c r="J478" s="147"/>
    </row>
    <row r="479">
      <c r="A479" s="146">
        <v>478.0</v>
      </c>
      <c r="B479" s="13" t="s">
        <v>208</v>
      </c>
      <c r="C479" s="13" t="s">
        <v>208</v>
      </c>
      <c r="D479" s="13" t="s">
        <v>208</v>
      </c>
      <c r="E479" s="13" t="s">
        <v>208</v>
      </c>
      <c r="F479" s="13" t="s">
        <v>208</v>
      </c>
      <c r="G479" s="67"/>
      <c r="H479" s="67"/>
      <c r="I479" s="67"/>
      <c r="J479" s="147"/>
    </row>
    <row r="480">
      <c r="A480" s="146">
        <v>479.0</v>
      </c>
      <c r="B480" s="13" t="s">
        <v>208</v>
      </c>
      <c r="C480" s="13" t="s">
        <v>208</v>
      </c>
      <c r="D480" s="13" t="s">
        <v>208</v>
      </c>
      <c r="E480" s="13" t="s">
        <v>208</v>
      </c>
      <c r="F480" s="13" t="s">
        <v>208</v>
      </c>
      <c r="G480" s="67"/>
      <c r="H480" s="67"/>
      <c r="I480" s="67"/>
      <c r="J480" s="147"/>
    </row>
    <row r="481">
      <c r="A481" s="146">
        <v>480.0</v>
      </c>
      <c r="B481" s="13" t="s">
        <v>208</v>
      </c>
      <c r="C481" s="13" t="s">
        <v>208</v>
      </c>
      <c r="D481" s="13" t="s">
        <v>208</v>
      </c>
      <c r="E481" s="13" t="s">
        <v>208</v>
      </c>
      <c r="F481" s="13" t="s">
        <v>208</v>
      </c>
      <c r="G481" s="67"/>
      <c r="H481" s="67"/>
      <c r="I481" s="67"/>
      <c r="J481" s="147"/>
    </row>
    <row r="482">
      <c r="A482" s="146">
        <v>481.0</v>
      </c>
      <c r="B482" s="13" t="s">
        <v>208</v>
      </c>
      <c r="C482" s="13" t="s">
        <v>208</v>
      </c>
      <c r="D482" s="13" t="s">
        <v>208</v>
      </c>
      <c r="E482" s="13" t="s">
        <v>208</v>
      </c>
      <c r="F482" s="13" t="s">
        <v>208</v>
      </c>
      <c r="G482" s="67"/>
      <c r="H482" s="67"/>
      <c r="I482" s="67"/>
      <c r="J482" s="147"/>
    </row>
    <row r="483">
      <c r="A483" s="146">
        <v>482.0</v>
      </c>
      <c r="B483" s="13" t="s">
        <v>208</v>
      </c>
      <c r="C483" s="13" t="s">
        <v>208</v>
      </c>
      <c r="D483" s="13" t="s">
        <v>208</v>
      </c>
      <c r="E483" s="13" t="s">
        <v>208</v>
      </c>
      <c r="F483" s="13" t="s">
        <v>208</v>
      </c>
      <c r="G483" s="67"/>
      <c r="H483" s="67"/>
      <c r="I483" s="67"/>
      <c r="J483" s="147"/>
    </row>
    <row r="484">
      <c r="A484" s="146">
        <v>483.0</v>
      </c>
      <c r="B484" s="13" t="s">
        <v>208</v>
      </c>
      <c r="C484" s="13" t="s">
        <v>208</v>
      </c>
      <c r="D484" s="13" t="s">
        <v>208</v>
      </c>
      <c r="E484" s="13" t="s">
        <v>208</v>
      </c>
      <c r="F484" s="13" t="s">
        <v>208</v>
      </c>
      <c r="G484" s="67"/>
      <c r="H484" s="67"/>
      <c r="I484" s="67"/>
      <c r="J484" s="147"/>
    </row>
    <row r="485">
      <c r="A485" s="146">
        <v>484.0</v>
      </c>
      <c r="B485" s="13" t="s">
        <v>208</v>
      </c>
      <c r="C485" s="13" t="s">
        <v>208</v>
      </c>
      <c r="D485" s="13" t="s">
        <v>208</v>
      </c>
      <c r="E485" s="13" t="s">
        <v>208</v>
      </c>
      <c r="F485" s="13" t="s">
        <v>208</v>
      </c>
      <c r="G485" s="67"/>
      <c r="H485" s="67"/>
      <c r="I485" s="67"/>
      <c r="J485" s="147"/>
    </row>
    <row r="486">
      <c r="A486" s="146">
        <v>485.0</v>
      </c>
      <c r="B486" s="13" t="s">
        <v>208</v>
      </c>
      <c r="C486" s="13" t="s">
        <v>208</v>
      </c>
      <c r="D486" s="13" t="s">
        <v>208</v>
      </c>
      <c r="E486" s="13" t="s">
        <v>208</v>
      </c>
      <c r="F486" s="13" t="s">
        <v>208</v>
      </c>
      <c r="G486" s="67"/>
      <c r="H486" s="67"/>
      <c r="I486" s="67"/>
      <c r="J486" s="147"/>
    </row>
    <row r="487">
      <c r="A487" s="146">
        <v>486.0</v>
      </c>
      <c r="B487" s="67"/>
      <c r="C487" s="13" t="s">
        <v>208</v>
      </c>
      <c r="D487" s="13" t="s">
        <v>208</v>
      </c>
      <c r="E487" s="13" t="s">
        <v>208</v>
      </c>
      <c r="F487" s="67"/>
      <c r="G487" s="13" t="s">
        <v>208</v>
      </c>
      <c r="H487" s="67"/>
      <c r="I487" s="67"/>
      <c r="J487" s="147"/>
    </row>
    <row r="488">
      <c r="A488" s="146">
        <v>487.0</v>
      </c>
      <c r="B488" s="13" t="s">
        <v>208</v>
      </c>
      <c r="C488" s="13" t="s">
        <v>208</v>
      </c>
      <c r="D488" s="13" t="s">
        <v>208</v>
      </c>
      <c r="E488" s="13" t="s">
        <v>208</v>
      </c>
      <c r="F488" s="13" t="s">
        <v>208</v>
      </c>
      <c r="G488" s="67"/>
      <c r="H488" s="67"/>
      <c r="I488" s="67"/>
      <c r="J488" s="147"/>
    </row>
    <row r="489">
      <c r="A489" s="146">
        <v>488.0</v>
      </c>
      <c r="B489" s="13" t="s">
        <v>208</v>
      </c>
      <c r="C489" s="13" t="s">
        <v>208</v>
      </c>
      <c r="D489" s="13" t="s">
        <v>208</v>
      </c>
      <c r="E489" s="13" t="s">
        <v>208</v>
      </c>
      <c r="F489" s="13" t="s">
        <v>208</v>
      </c>
      <c r="G489" s="67"/>
      <c r="H489" s="67"/>
      <c r="I489" s="67"/>
      <c r="J489" s="147"/>
    </row>
    <row r="490">
      <c r="A490" s="146">
        <v>489.0</v>
      </c>
      <c r="B490" s="67"/>
      <c r="C490" s="13" t="s">
        <v>208</v>
      </c>
      <c r="D490" s="13" t="s">
        <v>208</v>
      </c>
      <c r="E490" s="13" t="s">
        <v>208</v>
      </c>
      <c r="F490" s="67"/>
      <c r="G490" s="13" t="s">
        <v>208</v>
      </c>
      <c r="H490" s="67"/>
      <c r="I490" s="67"/>
      <c r="J490" s="147"/>
    </row>
    <row r="491">
      <c r="A491" s="146">
        <v>490.0</v>
      </c>
      <c r="B491" s="13" t="s">
        <v>208</v>
      </c>
      <c r="C491" s="13" t="s">
        <v>208</v>
      </c>
      <c r="D491" s="13" t="s">
        <v>208</v>
      </c>
      <c r="E491" s="13" t="s">
        <v>208</v>
      </c>
      <c r="F491" s="13" t="s">
        <v>208</v>
      </c>
      <c r="G491" s="67"/>
      <c r="H491" s="67"/>
      <c r="I491" s="67"/>
      <c r="J491" s="147"/>
    </row>
    <row r="492">
      <c r="A492" s="146">
        <v>491.0</v>
      </c>
      <c r="B492" s="67"/>
      <c r="C492" s="13" t="s">
        <v>208</v>
      </c>
      <c r="D492" s="99"/>
      <c r="E492" s="13" t="s">
        <v>208</v>
      </c>
      <c r="F492" s="67"/>
      <c r="G492" s="13" t="s">
        <v>208</v>
      </c>
      <c r="H492" s="67"/>
      <c r="I492" s="67"/>
      <c r="J492" s="147"/>
    </row>
    <row r="493">
      <c r="A493" s="146">
        <v>492.0</v>
      </c>
      <c r="B493" s="13" t="s">
        <v>208</v>
      </c>
      <c r="C493" s="13" t="s">
        <v>208</v>
      </c>
      <c r="D493" s="13" t="s">
        <v>208</v>
      </c>
      <c r="E493" s="13" t="s">
        <v>208</v>
      </c>
      <c r="F493" s="13" t="s">
        <v>208</v>
      </c>
      <c r="G493" s="67"/>
      <c r="H493" s="67"/>
      <c r="I493" s="67"/>
      <c r="J493" s="147"/>
    </row>
    <row r="494">
      <c r="A494" s="146">
        <v>493.0</v>
      </c>
      <c r="B494" s="13" t="s">
        <v>208</v>
      </c>
      <c r="C494" s="13" t="s">
        <v>208</v>
      </c>
      <c r="D494" s="13" t="s">
        <v>208</v>
      </c>
      <c r="E494" s="13" t="s">
        <v>208</v>
      </c>
      <c r="F494" s="13" t="s">
        <v>208</v>
      </c>
      <c r="G494" s="67"/>
      <c r="H494" s="67"/>
      <c r="I494" s="67"/>
      <c r="J494" s="147"/>
    </row>
    <row r="495">
      <c r="A495" s="146">
        <v>494.0</v>
      </c>
      <c r="B495" s="13" t="s">
        <v>208</v>
      </c>
      <c r="C495" s="13" t="s">
        <v>208</v>
      </c>
      <c r="D495" s="13" t="s">
        <v>208</v>
      </c>
      <c r="E495" s="13" t="s">
        <v>208</v>
      </c>
      <c r="F495" s="13" t="s">
        <v>208</v>
      </c>
      <c r="G495" s="67"/>
      <c r="H495" s="67"/>
      <c r="I495" s="67"/>
      <c r="J495" s="147"/>
    </row>
    <row r="496">
      <c r="A496" s="146">
        <v>495.0</v>
      </c>
      <c r="B496" s="13" t="s">
        <v>208</v>
      </c>
      <c r="C496" s="13" t="s">
        <v>208</v>
      </c>
      <c r="D496" s="13" t="s">
        <v>208</v>
      </c>
      <c r="E496" s="13" t="s">
        <v>208</v>
      </c>
      <c r="F496" s="13" t="s">
        <v>208</v>
      </c>
      <c r="G496" s="67"/>
      <c r="H496" s="67"/>
      <c r="I496" s="67"/>
      <c r="J496" s="147"/>
    </row>
    <row r="497">
      <c r="A497" s="146">
        <v>496.0</v>
      </c>
      <c r="B497" s="13" t="s">
        <v>208</v>
      </c>
      <c r="C497" s="13" t="s">
        <v>208</v>
      </c>
      <c r="D497" s="13" t="s">
        <v>208</v>
      </c>
      <c r="E497" s="13" t="s">
        <v>208</v>
      </c>
      <c r="F497" s="13" t="s">
        <v>208</v>
      </c>
      <c r="G497" s="67"/>
      <c r="H497" s="67"/>
      <c r="I497" s="67"/>
      <c r="J497" s="147"/>
    </row>
    <row r="498">
      <c r="A498" s="146">
        <v>497.0</v>
      </c>
      <c r="B498" s="67"/>
      <c r="C498" s="13" t="s">
        <v>208</v>
      </c>
      <c r="D498" s="13" t="s">
        <v>208</v>
      </c>
      <c r="E498" s="13" t="s">
        <v>208</v>
      </c>
      <c r="F498" s="67"/>
      <c r="G498" s="13" t="s">
        <v>208</v>
      </c>
      <c r="H498" s="67"/>
      <c r="I498" s="67"/>
      <c r="J498" s="147"/>
    </row>
    <row r="499">
      <c r="A499" s="146">
        <v>498.0</v>
      </c>
      <c r="B499" s="13" t="s">
        <v>208</v>
      </c>
      <c r="C499" s="13" t="s">
        <v>208</v>
      </c>
      <c r="D499" s="13" t="s">
        <v>208</v>
      </c>
      <c r="E499" s="13" t="s">
        <v>208</v>
      </c>
      <c r="F499" s="13" t="s">
        <v>208</v>
      </c>
      <c r="G499" s="67"/>
      <c r="H499" s="67"/>
      <c r="I499" s="67"/>
      <c r="J499" s="147"/>
    </row>
    <row r="500">
      <c r="A500" s="146">
        <v>499.0</v>
      </c>
      <c r="B500" s="13" t="s">
        <v>208</v>
      </c>
      <c r="C500" s="13" t="s">
        <v>208</v>
      </c>
      <c r="D500" s="13" t="s">
        <v>208</v>
      </c>
      <c r="E500" s="13" t="s">
        <v>208</v>
      </c>
      <c r="F500" s="13" t="s">
        <v>208</v>
      </c>
      <c r="G500" s="67"/>
      <c r="H500" s="67"/>
      <c r="I500" s="67"/>
      <c r="J500" s="147"/>
    </row>
    <row r="501">
      <c r="A501" s="146">
        <v>500.0</v>
      </c>
      <c r="B501" s="13" t="s">
        <v>208</v>
      </c>
      <c r="C501" s="13" t="s">
        <v>208</v>
      </c>
      <c r="D501" s="99"/>
      <c r="E501" s="13" t="s">
        <v>208</v>
      </c>
      <c r="F501" s="13" t="s">
        <v>208</v>
      </c>
      <c r="G501" s="67"/>
      <c r="H501" s="67"/>
      <c r="I501" s="67"/>
      <c r="J501" s="147"/>
    </row>
    <row r="502">
      <c r="A502" s="146">
        <v>501.0</v>
      </c>
      <c r="B502" s="13" t="s">
        <v>208</v>
      </c>
      <c r="C502" s="13" t="s">
        <v>208</v>
      </c>
      <c r="D502" s="13" t="s">
        <v>208</v>
      </c>
      <c r="E502" s="13" t="s">
        <v>208</v>
      </c>
      <c r="F502" s="13" t="s">
        <v>208</v>
      </c>
      <c r="G502" s="67"/>
      <c r="H502" s="67"/>
      <c r="I502" s="67"/>
      <c r="J502" s="147"/>
    </row>
    <row r="503">
      <c r="A503" s="146">
        <v>502.0</v>
      </c>
      <c r="B503" s="13" t="s">
        <v>208</v>
      </c>
      <c r="C503" s="13" t="s">
        <v>208</v>
      </c>
      <c r="D503" s="13" t="s">
        <v>208</v>
      </c>
      <c r="E503" s="13" t="s">
        <v>208</v>
      </c>
      <c r="F503" s="13" t="s">
        <v>208</v>
      </c>
      <c r="G503" s="67"/>
      <c r="H503" s="67"/>
      <c r="I503" s="67"/>
      <c r="J503" s="147"/>
    </row>
    <row r="504">
      <c r="A504" s="146">
        <v>503.0</v>
      </c>
      <c r="B504" s="13" t="s">
        <v>208</v>
      </c>
      <c r="C504" s="13" t="s">
        <v>208</v>
      </c>
      <c r="D504" s="13" t="s">
        <v>208</v>
      </c>
      <c r="E504" s="13" t="s">
        <v>208</v>
      </c>
      <c r="F504" s="13" t="s">
        <v>208</v>
      </c>
      <c r="G504" s="67"/>
      <c r="H504" s="67"/>
      <c r="I504" s="67"/>
      <c r="J504" s="147"/>
    </row>
    <row r="505">
      <c r="A505" s="146">
        <v>504.0</v>
      </c>
      <c r="B505" s="13" t="s">
        <v>208</v>
      </c>
      <c r="C505" s="13" t="s">
        <v>208</v>
      </c>
      <c r="D505" s="13" t="s">
        <v>208</v>
      </c>
      <c r="E505" s="13" t="s">
        <v>208</v>
      </c>
      <c r="F505" s="13" t="s">
        <v>208</v>
      </c>
      <c r="G505" s="67"/>
      <c r="H505" s="67"/>
      <c r="I505" s="67"/>
      <c r="J505" s="147"/>
    </row>
    <row r="506">
      <c r="A506" s="146">
        <v>505.0</v>
      </c>
      <c r="B506" s="13" t="s">
        <v>208</v>
      </c>
      <c r="C506" s="13" t="s">
        <v>208</v>
      </c>
      <c r="D506" s="13" t="s">
        <v>208</v>
      </c>
      <c r="E506" s="13" t="s">
        <v>208</v>
      </c>
      <c r="F506" s="13" t="s">
        <v>208</v>
      </c>
      <c r="G506" s="67"/>
      <c r="H506" s="67"/>
      <c r="I506" s="67"/>
      <c r="J506" s="147"/>
    </row>
    <row r="507">
      <c r="A507" s="146">
        <v>506.0</v>
      </c>
      <c r="B507" s="13" t="s">
        <v>208</v>
      </c>
      <c r="C507" s="13" t="s">
        <v>208</v>
      </c>
      <c r="D507" s="13" t="s">
        <v>208</v>
      </c>
      <c r="E507" s="13" t="s">
        <v>208</v>
      </c>
      <c r="F507" s="13" t="s">
        <v>208</v>
      </c>
      <c r="G507" s="67"/>
      <c r="H507" s="67"/>
      <c r="I507" s="67"/>
      <c r="J507" s="147"/>
    </row>
    <row r="508">
      <c r="A508" s="146">
        <v>507.0</v>
      </c>
      <c r="B508" s="13" t="s">
        <v>208</v>
      </c>
      <c r="C508" s="13" t="s">
        <v>208</v>
      </c>
      <c r="D508" s="13" t="s">
        <v>208</v>
      </c>
      <c r="E508" s="13" t="s">
        <v>208</v>
      </c>
      <c r="F508" s="13" t="s">
        <v>208</v>
      </c>
      <c r="G508" s="67"/>
      <c r="H508" s="67"/>
      <c r="I508" s="67"/>
      <c r="J508" s="147"/>
    </row>
    <row r="509">
      <c r="A509" s="146">
        <v>508.0</v>
      </c>
      <c r="B509" s="13" t="s">
        <v>208</v>
      </c>
      <c r="C509" s="13" t="s">
        <v>208</v>
      </c>
      <c r="D509" s="13" t="s">
        <v>208</v>
      </c>
      <c r="E509" s="13" t="s">
        <v>208</v>
      </c>
      <c r="F509" s="13" t="s">
        <v>208</v>
      </c>
      <c r="G509" s="67"/>
      <c r="H509" s="67"/>
      <c r="I509" s="67"/>
      <c r="J509" s="147"/>
    </row>
    <row r="510">
      <c r="A510" s="146">
        <v>509.0</v>
      </c>
      <c r="B510" s="67"/>
      <c r="C510" s="13" t="s">
        <v>208</v>
      </c>
      <c r="D510" s="13" t="s">
        <v>208</v>
      </c>
      <c r="E510" s="13" t="s">
        <v>208</v>
      </c>
      <c r="F510" s="67"/>
      <c r="G510" s="13" t="s">
        <v>208</v>
      </c>
      <c r="H510" s="67"/>
      <c r="I510" s="67"/>
      <c r="J510" s="147"/>
    </row>
    <row r="511">
      <c r="A511" s="146">
        <v>510.0</v>
      </c>
      <c r="B511" s="67"/>
      <c r="C511" s="99"/>
      <c r="D511" s="13" t="s">
        <v>208</v>
      </c>
      <c r="E511" s="13" t="s">
        <v>208</v>
      </c>
      <c r="F511" s="67"/>
      <c r="G511" s="13" t="s">
        <v>208</v>
      </c>
      <c r="H511" s="67"/>
      <c r="I511" s="67"/>
      <c r="J511" s="147"/>
    </row>
    <row r="512">
      <c r="A512" s="146">
        <v>511.0</v>
      </c>
      <c r="B512" s="13" t="s">
        <v>208</v>
      </c>
      <c r="C512" s="13" t="s">
        <v>208</v>
      </c>
      <c r="D512" s="13" t="s">
        <v>208</v>
      </c>
      <c r="E512" s="13" t="s">
        <v>208</v>
      </c>
      <c r="F512" s="13" t="s">
        <v>208</v>
      </c>
      <c r="G512" s="67"/>
      <c r="H512" s="67"/>
      <c r="I512" s="67"/>
      <c r="J512" s="147"/>
    </row>
    <row r="513">
      <c r="A513" s="146">
        <v>512.0</v>
      </c>
      <c r="B513" s="13" t="s">
        <v>208</v>
      </c>
      <c r="C513" s="13" t="s">
        <v>208</v>
      </c>
      <c r="D513" s="13" t="s">
        <v>208</v>
      </c>
      <c r="E513" s="13" t="s">
        <v>208</v>
      </c>
      <c r="F513" s="13" t="s">
        <v>208</v>
      </c>
      <c r="G513" s="67"/>
      <c r="H513" s="67"/>
      <c r="I513" s="67"/>
      <c r="J513" s="147"/>
    </row>
    <row r="514">
      <c r="A514" s="146">
        <v>513.0</v>
      </c>
      <c r="B514" s="13" t="s">
        <v>208</v>
      </c>
      <c r="C514" s="13" t="s">
        <v>208</v>
      </c>
      <c r="D514" s="13" t="s">
        <v>208</v>
      </c>
      <c r="E514" s="99"/>
      <c r="F514" s="13" t="s">
        <v>208</v>
      </c>
      <c r="G514" s="67"/>
      <c r="H514" s="67"/>
      <c r="I514" s="67"/>
      <c r="J514" s="147"/>
    </row>
    <row r="515">
      <c r="A515" s="146">
        <v>514.0</v>
      </c>
      <c r="B515" s="13" t="s">
        <v>208</v>
      </c>
      <c r="C515" s="13" t="s">
        <v>208</v>
      </c>
      <c r="D515" s="13" t="s">
        <v>208</v>
      </c>
      <c r="E515" s="13" t="s">
        <v>208</v>
      </c>
      <c r="F515" s="13" t="s">
        <v>208</v>
      </c>
      <c r="G515" s="67"/>
      <c r="H515" s="67"/>
      <c r="I515" s="67"/>
      <c r="J515" s="147"/>
    </row>
    <row r="516">
      <c r="A516" s="146">
        <v>515.0</v>
      </c>
      <c r="B516" s="13" t="s">
        <v>208</v>
      </c>
      <c r="C516" s="13" t="s">
        <v>208</v>
      </c>
      <c r="D516" s="13" t="s">
        <v>208</v>
      </c>
      <c r="E516" s="13" t="s">
        <v>208</v>
      </c>
      <c r="F516" s="13" t="s">
        <v>208</v>
      </c>
      <c r="G516" s="67"/>
      <c r="H516" s="67"/>
      <c r="I516" s="67"/>
      <c r="J516" s="147"/>
    </row>
    <row r="517">
      <c r="A517" s="146">
        <v>516.0</v>
      </c>
      <c r="B517" s="13" t="s">
        <v>208</v>
      </c>
      <c r="C517" s="13" t="s">
        <v>208</v>
      </c>
      <c r="D517" s="13" t="s">
        <v>208</v>
      </c>
      <c r="E517" s="13" t="s">
        <v>208</v>
      </c>
      <c r="F517" s="13" t="s">
        <v>208</v>
      </c>
      <c r="G517" s="67"/>
      <c r="H517" s="67"/>
      <c r="I517" s="67"/>
      <c r="J517" s="147"/>
    </row>
    <row r="518">
      <c r="A518" s="146">
        <v>517.0</v>
      </c>
      <c r="B518" s="13" t="s">
        <v>208</v>
      </c>
      <c r="C518" s="13" t="s">
        <v>208</v>
      </c>
      <c r="D518" s="13" t="s">
        <v>208</v>
      </c>
      <c r="E518" s="13" t="s">
        <v>208</v>
      </c>
      <c r="F518" s="13" t="s">
        <v>208</v>
      </c>
      <c r="G518" s="67"/>
      <c r="H518" s="67"/>
      <c r="I518" s="67"/>
      <c r="J518" s="147"/>
    </row>
    <row r="519">
      <c r="A519" s="146">
        <v>518.0</v>
      </c>
      <c r="B519" s="13" t="s">
        <v>208</v>
      </c>
      <c r="C519" s="13" t="s">
        <v>208</v>
      </c>
      <c r="D519" s="13" t="s">
        <v>208</v>
      </c>
      <c r="E519" s="13" t="s">
        <v>208</v>
      </c>
      <c r="F519" s="13" t="s">
        <v>208</v>
      </c>
      <c r="G519" s="67"/>
      <c r="H519" s="67"/>
      <c r="I519" s="67"/>
      <c r="J519" s="147"/>
    </row>
    <row r="520">
      <c r="A520" s="146">
        <v>519.0</v>
      </c>
      <c r="B520" s="13" t="s">
        <v>208</v>
      </c>
      <c r="C520" s="13" t="s">
        <v>208</v>
      </c>
      <c r="D520" s="13" t="s">
        <v>208</v>
      </c>
      <c r="E520" s="13" t="s">
        <v>208</v>
      </c>
      <c r="F520" s="13" t="s">
        <v>208</v>
      </c>
      <c r="G520" s="67"/>
      <c r="H520" s="67"/>
      <c r="I520" s="67"/>
      <c r="J520" s="147"/>
    </row>
    <row r="521">
      <c r="A521" s="146">
        <v>520.0</v>
      </c>
      <c r="B521" s="13" t="s">
        <v>208</v>
      </c>
      <c r="C521" s="13" t="s">
        <v>208</v>
      </c>
      <c r="D521" s="13" t="s">
        <v>208</v>
      </c>
      <c r="E521" s="13" t="s">
        <v>208</v>
      </c>
      <c r="F521" s="13" t="s">
        <v>208</v>
      </c>
      <c r="G521" s="67"/>
      <c r="H521" s="67"/>
      <c r="I521" s="67"/>
      <c r="J521" s="147"/>
    </row>
    <row r="522">
      <c r="A522" s="146">
        <v>521.0</v>
      </c>
      <c r="B522" s="13" t="s">
        <v>208</v>
      </c>
      <c r="C522" s="13" t="s">
        <v>208</v>
      </c>
      <c r="D522" s="13" t="s">
        <v>208</v>
      </c>
      <c r="E522" s="13" t="s">
        <v>208</v>
      </c>
      <c r="F522" s="13" t="s">
        <v>208</v>
      </c>
      <c r="G522" s="67"/>
      <c r="H522" s="67"/>
      <c r="I522" s="67"/>
      <c r="J522" s="147"/>
    </row>
    <row r="523">
      <c r="A523" s="146">
        <v>522.0</v>
      </c>
      <c r="B523" s="13" t="s">
        <v>208</v>
      </c>
      <c r="C523" s="13" t="s">
        <v>208</v>
      </c>
      <c r="D523" s="13" t="s">
        <v>208</v>
      </c>
      <c r="E523" s="13" t="s">
        <v>208</v>
      </c>
      <c r="F523" s="13" t="s">
        <v>208</v>
      </c>
      <c r="G523" s="67"/>
      <c r="H523" s="67"/>
      <c r="I523" s="67"/>
      <c r="J523" s="147"/>
    </row>
    <row r="524">
      <c r="A524" s="146">
        <v>523.0</v>
      </c>
      <c r="B524" s="67"/>
      <c r="C524" s="13" t="s">
        <v>208</v>
      </c>
      <c r="D524" s="13" t="s">
        <v>208</v>
      </c>
      <c r="E524" s="13" t="s">
        <v>208</v>
      </c>
      <c r="F524" s="67"/>
      <c r="G524" s="13" t="s">
        <v>208</v>
      </c>
      <c r="H524" s="67"/>
      <c r="I524" s="67"/>
      <c r="J524" s="147"/>
    </row>
    <row r="525">
      <c r="A525" s="146">
        <v>524.0</v>
      </c>
      <c r="B525" s="13" t="s">
        <v>208</v>
      </c>
      <c r="C525" s="13" t="s">
        <v>208</v>
      </c>
      <c r="D525" s="13" t="s">
        <v>208</v>
      </c>
      <c r="E525" s="13" t="s">
        <v>208</v>
      </c>
      <c r="F525" s="13" t="s">
        <v>208</v>
      </c>
      <c r="G525" s="67"/>
      <c r="H525" s="67"/>
      <c r="I525" s="67"/>
      <c r="J525" s="147"/>
    </row>
    <row r="526">
      <c r="A526" s="146">
        <v>525.0</v>
      </c>
      <c r="B526" s="13" t="s">
        <v>208</v>
      </c>
      <c r="C526" s="13" t="s">
        <v>208</v>
      </c>
      <c r="D526" s="13" t="s">
        <v>208</v>
      </c>
      <c r="E526" s="13" t="s">
        <v>208</v>
      </c>
      <c r="F526" s="13" t="s">
        <v>208</v>
      </c>
      <c r="G526" s="67"/>
      <c r="H526" s="67"/>
      <c r="I526" s="67"/>
      <c r="J526" s="147"/>
    </row>
    <row r="527">
      <c r="A527" s="146">
        <v>526.0</v>
      </c>
      <c r="B527" s="13" t="s">
        <v>208</v>
      </c>
      <c r="C527" s="13" t="s">
        <v>208</v>
      </c>
      <c r="D527" s="13" t="s">
        <v>208</v>
      </c>
      <c r="E527" s="13" t="s">
        <v>208</v>
      </c>
      <c r="F527" s="13" t="s">
        <v>208</v>
      </c>
      <c r="G527" s="67"/>
      <c r="H527" s="67"/>
      <c r="I527" s="67"/>
      <c r="J527" s="147"/>
    </row>
    <row r="528">
      <c r="A528" s="146">
        <v>527.0</v>
      </c>
      <c r="B528" s="13" t="s">
        <v>208</v>
      </c>
      <c r="C528" s="99"/>
      <c r="D528" s="13" t="s">
        <v>208</v>
      </c>
      <c r="E528" s="13" t="s">
        <v>208</v>
      </c>
      <c r="F528" s="13" t="s">
        <v>208</v>
      </c>
      <c r="G528" s="67"/>
      <c r="H528" s="67"/>
      <c r="I528" s="67"/>
      <c r="J528" s="147"/>
    </row>
    <row r="529">
      <c r="A529" s="146">
        <v>528.0</v>
      </c>
      <c r="B529" s="13" t="s">
        <v>208</v>
      </c>
      <c r="C529" s="13" t="s">
        <v>208</v>
      </c>
      <c r="D529" s="13" t="s">
        <v>208</v>
      </c>
      <c r="E529" s="13" t="s">
        <v>208</v>
      </c>
      <c r="F529" s="13" t="s">
        <v>208</v>
      </c>
      <c r="G529" s="67"/>
      <c r="H529" s="67"/>
      <c r="I529" s="67"/>
      <c r="J529" s="147"/>
    </row>
    <row r="530">
      <c r="A530" s="146">
        <v>529.0</v>
      </c>
      <c r="B530" s="67"/>
      <c r="C530" s="13" t="s">
        <v>208</v>
      </c>
      <c r="D530" s="13" t="s">
        <v>208</v>
      </c>
      <c r="E530" s="13" t="s">
        <v>208</v>
      </c>
      <c r="F530" s="67"/>
      <c r="G530" s="13" t="s">
        <v>208</v>
      </c>
      <c r="H530" s="67"/>
      <c r="I530" s="67"/>
      <c r="J530" s="147"/>
    </row>
    <row r="531">
      <c r="A531" s="146">
        <v>530.0</v>
      </c>
      <c r="B531" s="13" t="s">
        <v>208</v>
      </c>
      <c r="C531" s="13" t="s">
        <v>208</v>
      </c>
      <c r="D531" s="13" t="s">
        <v>208</v>
      </c>
      <c r="E531" s="13" t="s">
        <v>208</v>
      </c>
      <c r="F531" s="13" t="s">
        <v>208</v>
      </c>
      <c r="G531" s="67"/>
      <c r="H531" s="67"/>
      <c r="I531" s="67"/>
      <c r="J531" s="147"/>
    </row>
    <row r="532">
      <c r="A532" s="146">
        <v>531.0</v>
      </c>
      <c r="B532" s="13" t="s">
        <v>208</v>
      </c>
      <c r="C532" s="13" t="s">
        <v>208</v>
      </c>
      <c r="D532" s="13" t="s">
        <v>208</v>
      </c>
      <c r="E532" s="13" t="s">
        <v>208</v>
      </c>
      <c r="F532" s="13" t="s">
        <v>208</v>
      </c>
      <c r="G532" s="67"/>
      <c r="H532" s="67"/>
      <c r="I532" s="67"/>
      <c r="J532" s="147"/>
    </row>
    <row r="533">
      <c r="A533" s="146">
        <v>532.0</v>
      </c>
      <c r="B533" s="174"/>
      <c r="C533" s="174"/>
      <c r="D533" s="174"/>
      <c r="E533" s="174"/>
      <c r="F533" s="174"/>
      <c r="G533" s="174"/>
      <c r="H533" s="175" t="s">
        <v>217</v>
      </c>
      <c r="I533" s="67"/>
      <c r="J533" s="147"/>
    </row>
    <row r="534">
      <c r="A534" s="146">
        <v>533.0</v>
      </c>
      <c r="B534" s="174"/>
      <c r="C534" s="174"/>
      <c r="D534" s="174"/>
      <c r="E534" s="174"/>
      <c r="F534" s="174"/>
      <c r="G534" s="174"/>
      <c r="H534" s="175" t="s">
        <v>217</v>
      </c>
      <c r="I534" s="67"/>
      <c r="J534" s="147"/>
    </row>
    <row r="535">
      <c r="A535" s="146">
        <v>534.0</v>
      </c>
      <c r="B535" s="174"/>
      <c r="C535" s="174"/>
      <c r="D535" s="174"/>
      <c r="E535" s="174"/>
      <c r="F535" s="174"/>
      <c r="G535" s="174"/>
      <c r="H535" s="175" t="s">
        <v>217</v>
      </c>
      <c r="I535" s="67"/>
      <c r="J535" s="147"/>
    </row>
    <row r="536">
      <c r="A536" s="146">
        <v>535.0</v>
      </c>
      <c r="B536" s="174"/>
      <c r="C536" s="174"/>
      <c r="D536" s="174"/>
      <c r="E536" s="174"/>
      <c r="F536" s="174"/>
      <c r="G536" s="174"/>
      <c r="H536" s="175" t="s">
        <v>217</v>
      </c>
      <c r="I536" s="67"/>
      <c r="J536" s="147"/>
    </row>
    <row r="537">
      <c r="A537" s="146">
        <v>536.0</v>
      </c>
      <c r="B537" s="174"/>
      <c r="C537" s="174"/>
      <c r="D537" s="174"/>
      <c r="E537" s="174"/>
      <c r="F537" s="174"/>
      <c r="G537" s="174"/>
      <c r="H537" s="175" t="s">
        <v>217</v>
      </c>
      <c r="I537" s="67"/>
      <c r="J537" s="147"/>
    </row>
    <row r="538">
      <c r="A538" s="146">
        <v>537.0</v>
      </c>
      <c r="B538" s="174"/>
      <c r="C538" s="174"/>
      <c r="D538" s="174"/>
      <c r="E538" s="174"/>
      <c r="F538" s="174"/>
      <c r="G538" s="174"/>
      <c r="H538" s="175" t="s">
        <v>217</v>
      </c>
      <c r="I538" s="67"/>
      <c r="J538" s="147"/>
    </row>
    <row r="539">
      <c r="A539" s="146">
        <v>538.0</v>
      </c>
      <c r="B539" s="174"/>
      <c r="C539" s="174"/>
      <c r="D539" s="174"/>
      <c r="E539" s="174"/>
      <c r="F539" s="174"/>
      <c r="G539" s="174"/>
      <c r="H539" s="175" t="s">
        <v>217</v>
      </c>
      <c r="I539" s="67"/>
      <c r="J539" s="147"/>
    </row>
    <row r="540">
      <c r="A540" s="146">
        <v>539.0</v>
      </c>
      <c r="B540" s="174"/>
      <c r="C540" s="174"/>
      <c r="D540" s="174"/>
      <c r="E540" s="174"/>
      <c r="F540" s="174"/>
      <c r="G540" s="174"/>
      <c r="H540" s="175" t="s">
        <v>217</v>
      </c>
      <c r="I540" s="67"/>
      <c r="J540" s="147"/>
    </row>
    <row r="541">
      <c r="A541" s="146">
        <v>540.0</v>
      </c>
      <c r="B541" s="13" t="s">
        <v>208</v>
      </c>
      <c r="C541" s="13" t="s">
        <v>208</v>
      </c>
      <c r="D541" s="13" t="s">
        <v>208</v>
      </c>
      <c r="E541" s="13" t="s">
        <v>208</v>
      </c>
      <c r="F541" s="13" t="s">
        <v>208</v>
      </c>
      <c r="G541" s="67"/>
      <c r="H541" s="67"/>
      <c r="I541" s="67"/>
      <c r="J541" s="147"/>
    </row>
    <row r="542">
      <c r="A542" s="146">
        <v>541.0</v>
      </c>
      <c r="B542" s="67"/>
      <c r="C542" s="13" t="s">
        <v>208</v>
      </c>
      <c r="D542" s="13" t="s">
        <v>208</v>
      </c>
      <c r="E542" s="13" t="s">
        <v>208</v>
      </c>
      <c r="F542" s="67"/>
      <c r="G542" s="13" t="s">
        <v>208</v>
      </c>
      <c r="H542" s="67"/>
      <c r="I542" s="67"/>
      <c r="J542" s="147"/>
    </row>
    <row r="543">
      <c r="A543" s="146">
        <v>542.0</v>
      </c>
      <c r="B543" s="13" t="s">
        <v>208</v>
      </c>
      <c r="C543" s="13" t="s">
        <v>208</v>
      </c>
      <c r="D543" s="13" t="s">
        <v>208</v>
      </c>
      <c r="E543" s="13" t="s">
        <v>208</v>
      </c>
      <c r="F543" s="13" t="s">
        <v>208</v>
      </c>
      <c r="G543" s="67"/>
      <c r="H543" s="67"/>
      <c r="I543" s="67"/>
      <c r="J543" s="147"/>
    </row>
    <row r="544">
      <c r="A544" s="146">
        <v>543.0</v>
      </c>
      <c r="B544" s="13" t="s">
        <v>208</v>
      </c>
      <c r="C544" s="13" t="s">
        <v>208</v>
      </c>
      <c r="D544" s="13" t="s">
        <v>208</v>
      </c>
      <c r="E544" s="13" t="s">
        <v>208</v>
      </c>
      <c r="F544" s="13" t="s">
        <v>208</v>
      </c>
      <c r="G544" s="67"/>
      <c r="H544" s="67"/>
      <c r="I544" s="67"/>
      <c r="J544" s="147"/>
    </row>
    <row r="545">
      <c r="A545" s="146">
        <v>544.0</v>
      </c>
      <c r="B545" s="13" t="s">
        <v>208</v>
      </c>
      <c r="C545" s="13" t="s">
        <v>208</v>
      </c>
      <c r="D545" s="13" t="s">
        <v>208</v>
      </c>
      <c r="E545" s="13" t="s">
        <v>208</v>
      </c>
      <c r="F545" s="13" t="s">
        <v>208</v>
      </c>
      <c r="G545" s="67"/>
      <c r="H545" s="67"/>
      <c r="I545" s="67"/>
      <c r="J545" s="147"/>
    </row>
    <row r="546">
      <c r="A546" s="146">
        <v>545.0</v>
      </c>
      <c r="B546" s="13" t="s">
        <v>208</v>
      </c>
      <c r="C546" s="13" t="s">
        <v>208</v>
      </c>
      <c r="D546" s="13" t="s">
        <v>208</v>
      </c>
      <c r="E546" s="13" t="s">
        <v>208</v>
      </c>
      <c r="F546" s="13" t="s">
        <v>208</v>
      </c>
      <c r="G546" s="67"/>
      <c r="H546" s="67"/>
      <c r="I546" s="67"/>
      <c r="J546" s="147"/>
    </row>
    <row r="547">
      <c r="A547" s="146">
        <v>546.0</v>
      </c>
      <c r="B547" s="13" t="s">
        <v>208</v>
      </c>
      <c r="C547" s="13" t="s">
        <v>208</v>
      </c>
      <c r="D547" s="13" t="s">
        <v>208</v>
      </c>
      <c r="E547" s="13" t="s">
        <v>208</v>
      </c>
      <c r="F547" s="13" t="s">
        <v>208</v>
      </c>
      <c r="G547" s="67"/>
      <c r="H547" s="67"/>
      <c r="I547" s="67"/>
      <c r="J547" s="147"/>
    </row>
    <row r="548">
      <c r="A548" s="146">
        <v>547.0</v>
      </c>
      <c r="B548" s="13" t="s">
        <v>208</v>
      </c>
      <c r="C548" s="13" t="s">
        <v>208</v>
      </c>
      <c r="D548" s="13" t="s">
        <v>208</v>
      </c>
      <c r="E548" s="13" t="s">
        <v>208</v>
      </c>
      <c r="F548" s="13" t="s">
        <v>208</v>
      </c>
      <c r="G548" s="67"/>
      <c r="H548" s="67"/>
      <c r="I548" s="67"/>
      <c r="J548" s="147"/>
    </row>
    <row r="549">
      <c r="A549" s="146">
        <v>548.0</v>
      </c>
      <c r="B549" s="13" t="s">
        <v>208</v>
      </c>
      <c r="C549" s="13" t="s">
        <v>208</v>
      </c>
      <c r="D549" s="13" t="s">
        <v>208</v>
      </c>
      <c r="E549" s="13" t="s">
        <v>208</v>
      </c>
      <c r="F549" s="13" t="s">
        <v>208</v>
      </c>
      <c r="G549" s="67"/>
      <c r="H549" s="67"/>
      <c r="I549" s="67"/>
      <c r="J549" s="147"/>
    </row>
    <row r="550">
      <c r="A550" s="146">
        <v>549.0</v>
      </c>
      <c r="B550" s="13" t="s">
        <v>208</v>
      </c>
      <c r="C550" s="13" t="s">
        <v>208</v>
      </c>
      <c r="D550" s="13" t="s">
        <v>208</v>
      </c>
      <c r="E550" s="13" t="s">
        <v>208</v>
      </c>
      <c r="F550" s="13" t="s">
        <v>208</v>
      </c>
      <c r="G550" s="67"/>
      <c r="H550" s="67"/>
      <c r="I550" s="67"/>
      <c r="J550" s="147"/>
    </row>
    <row r="551">
      <c r="A551" s="146">
        <v>550.0</v>
      </c>
      <c r="B551" s="13" t="s">
        <v>208</v>
      </c>
      <c r="C551" s="13" t="s">
        <v>208</v>
      </c>
      <c r="D551" s="13" t="s">
        <v>208</v>
      </c>
      <c r="E551" s="13" t="s">
        <v>208</v>
      </c>
      <c r="F551" s="13" t="s">
        <v>208</v>
      </c>
      <c r="G551" s="67"/>
      <c r="H551" s="67"/>
      <c r="I551" s="67"/>
      <c r="J551" s="147"/>
    </row>
    <row r="552">
      <c r="A552" s="146">
        <v>551.0</v>
      </c>
      <c r="B552" s="13" t="s">
        <v>208</v>
      </c>
      <c r="C552" s="13" t="s">
        <v>208</v>
      </c>
      <c r="D552" s="13" t="s">
        <v>208</v>
      </c>
      <c r="E552" s="13" t="s">
        <v>208</v>
      </c>
      <c r="F552" s="13" t="s">
        <v>208</v>
      </c>
      <c r="G552" s="67"/>
      <c r="H552" s="67"/>
      <c r="I552" s="67"/>
      <c r="J552" s="147"/>
    </row>
    <row r="553">
      <c r="A553" s="146">
        <v>552.0</v>
      </c>
      <c r="B553" s="13" t="s">
        <v>208</v>
      </c>
      <c r="C553" s="13" t="s">
        <v>208</v>
      </c>
      <c r="D553" s="13" t="s">
        <v>208</v>
      </c>
      <c r="E553" s="13" t="s">
        <v>208</v>
      </c>
      <c r="F553" s="13" t="s">
        <v>208</v>
      </c>
      <c r="G553" s="67"/>
      <c r="H553" s="67"/>
      <c r="I553" s="67"/>
      <c r="J553" s="147"/>
    </row>
    <row r="554">
      <c r="A554" s="146">
        <v>553.0</v>
      </c>
      <c r="B554" s="13" t="s">
        <v>208</v>
      </c>
      <c r="C554" s="13" t="s">
        <v>208</v>
      </c>
      <c r="D554" s="13" t="s">
        <v>208</v>
      </c>
      <c r="E554" s="13" t="s">
        <v>208</v>
      </c>
      <c r="F554" s="13" t="s">
        <v>208</v>
      </c>
      <c r="G554" s="67"/>
      <c r="H554" s="67"/>
      <c r="I554" s="67"/>
      <c r="J554" s="147"/>
    </row>
    <row r="555">
      <c r="A555" s="146">
        <v>554.0</v>
      </c>
      <c r="B555" s="13" t="s">
        <v>208</v>
      </c>
      <c r="C555" s="13" t="s">
        <v>208</v>
      </c>
      <c r="D555" s="13" t="s">
        <v>208</v>
      </c>
      <c r="E555" s="13" t="s">
        <v>208</v>
      </c>
      <c r="F555" s="13" t="s">
        <v>208</v>
      </c>
      <c r="G555" s="67"/>
      <c r="H555" s="67"/>
      <c r="I555" s="67"/>
      <c r="J555" s="147"/>
    </row>
    <row r="556">
      <c r="A556" s="146">
        <v>555.0</v>
      </c>
      <c r="B556" s="13" t="s">
        <v>208</v>
      </c>
      <c r="C556" s="13" t="s">
        <v>208</v>
      </c>
      <c r="D556" s="13" t="s">
        <v>208</v>
      </c>
      <c r="E556" s="13" t="s">
        <v>208</v>
      </c>
      <c r="F556" s="13" t="s">
        <v>208</v>
      </c>
      <c r="G556" s="67"/>
      <c r="H556" s="67"/>
      <c r="I556" s="67"/>
      <c r="J556" s="147"/>
    </row>
    <row r="557">
      <c r="A557" s="146">
        <v>556.0</v>
      </c>
      <c r="B557" s="13" t="s">
        <v>208</v>
      </c>
      <c r="C557" s="13" t="s">
        <v>208</v>
      </c>
      <c r="D557" s="13" t="s">
        <v>208</v>
      </c>
      <c r="E557" s="13" t="s">
        <v>208</v>
      </c>
      <c r="F557" s="13" t="s">
        <v>208</v>
      </c>
      <c r="G557" s="67"/>
      <c r="H557" s="67"/>
      <c r="I557" s="67"/>
      <c r="J557" s="147"/>
    </row>
    <row r="558">
      <c r="A558" s="146">
        <v>557.0</v>
      </c>
      <c r="B558" s="13" t="s">
        <v>208</v>
      </c>
      <c r="C558" s="13" t="s">
        <v>208</v>
      </c>
      <c r="D558" s="13" t="s">
        <v>208</v>
      </c>
      <c r="E558" s="13" t="s">
        <v>208</v>
      </c>
      <c r="F558" s="13" t="s">
        <v>208</v>
      </c>
      <c r="G558" s="67"/>
      <c r="H558" s="67"/>
      <c r="I558" s="67"/>
      <c r="J558" s="147"/>
    </row>
    <row r="559">
      <c r="A559" s="146">
        <v>558.0</v>
      </c>
      <c r="B559" s="13" t="s">
        <v>208</v>
      </c>
      <c r="C559" s="13" t="s">
        <v>208</v>
      </c>
      <c r="D559" s="13" t="s">
        <v>208</v>
      </c>
      <c r="E559" s="13" t="s">
        <v>208</v>
      </c>
      <c r="F559" s="13" t="s">
        <v>208</v>
      </c>
      <c r="G559" s="67"/>
      <c r="H559" s="67"/>
      <c r="I559" s="67"/>
      <c r="J559" s="147"/>
    </row>
    <row r="560">
      <c r="A560" s="146">
        <v>559.0</v>
      </c>
      <c r="B560" s="13" t="s">
        <v>208</v>
      </c>
      <c r="C560" s="13" t="s">
        <v>208</v>
      </c>
      <c r="D560" s="13" t="s">
        <v>208</v>
      </c>
      <c r="E560" s="13" t="s">
        <v>208</v>
      </c>
      <c r="F560" s="13" t="s">
        <v>208</v>
      </c>
      <c r="G560" s="67"/>
      <c r="H560" s="67"/>
      <c r="I560" s="67"/>
      <c r="J560" s="147"/>
    </row>
    <row r="561">
      <c r="A561" s="146">
        <v>560.0</v>
      </c>
      <c r="B561" s="13" t="s">
        <v>208</v>
      </c>
      <c r="C561" s="13" t="s">
        <v>208</v>
      </c>
      <c r="D561" s="13" t="s">
        <v>208</v>
      </c>
      <c r="E561" s="13" t="s">
        <v>208</v>
      </c>
      <c r="F561" s="13" t="s">
        <v>208</v>
      </c>
      <c r="G561" s="67"/>
      <c r="H561" s="67"/>
      <c r="I561" s="67"/>
      <c r="J561" s="147"/>
    </row>
    <row r="562">
      <c r="A562" s="146">
        <v>561.0</v>
      </c>
      <c r="B562" s="13" t="s">
        <v>208</v>
      </c>
      <c r="C562" s="13" t="s">
        <v>208</v>
      </c>
      <c r="D562" s="13" t="s">
        <v>208</v>
      </c>
      <c r="E562" s="13" t="s">
        <v>208</v>
      </c>
      <c r="F562" s="13" t="s">
        <v>208</v>
      </c>
      <c r="G562" s="67"/>
      <c r="H562" s="67"/>
      <c r="I562" s="67"/>
      <c r="J562" s="147"/>
    </row>
    <row r="563">
      <c r="A563" s="146">
        <v>562.0</v>
      </c>
      <c r="B563" s="13" t="s">
        <v>208</v>
      </c>
      <c r="C563" s="13" t="s">
        <v>208</v>
      </c>
      <c r="D563" s="13" t="s">
        <v>208</v>
      </c>
      <c r="E563" s="13" t="s">
        <v>208</v>
      </c>
      <c r="F563" s="13" t="s">
        <v>208</v>
      </c>
      <c r="G563" s="67"/>
      <c r="H563" s="67"/>
      <c r="I563" s="67"/>
      <c r="J563" s="147"/>
    </row>
    <row r="564">
      <c r="A564" s="146">
        <v>563.0</v>
      </c>
      <c r="B564" s="13" t="s">
        <v>208</v>
      </c>
      <c r="C564" s="13" t="s">
        <v>208</v>
      </c>
      <c r="D564" s="13" t="s">
        <v>208</v>
      </c>
      <c r="E564" s="13" t="s">
        <v>208</v>
      </c>
      <c r="F564" s="13" t="s">
        <v>208</v>
      </c>
      <c r="G564" s="67"/>
      <c r="H564" s="67"/>
      <c r="I564" s="67"/>
      <c r="J564" s="147"/>
    </row>
    <row r="565">
      <c r="A565" s="146">
        <v>564.0</v>
      </c>
      <c r="B565" s="13" t="s">
        <v>208</v>
      </c>
      <c r="C565" s="13" t="s">
        <v>208</v>
      </c>
      <c r="D565" s="13" t="s">
        <v>208</v>
      </c>
      <c r="E565" s="13" t="s">
        <v>208</v>
      </c>
      <c r="F565" s="13" t="s">
        <v>208</v>
      </c>
      <c r="G565" s="67"/>
      <c r="H565" s="67"/>
      <c r="I565" s="67"/>
      <c r="J565" s="147"/>
    </row>
    <row r="566">
      <c r="A566" s="146">
        <v>565.0</v>
      </c>
      <c r="B566" s="13" t="s">
        <v>208</v>
      </c>
      <c r="C566" s="13" t="s">
        <v>208</v>
      </c>
      <c r="D566" s="13" t="s">
        <v>208</v>
      </c>
      <c r="E566" s="13" t="s">
        <v>208</v>
      </c>
      <c r="F566" s="13" t="s">
        <v>208</v>
      </c>
      <c r="G566" s="67"/>
      <c r="H566" s="67"/>
      <c r="I566" s="67"/>
      <c r="J566" s="147"/>
    </row>
    <row r="567">
      <c r="A567" s="146">
        <v>566.0</v>
      </c>
      <c r="B567" s="13" t="s">
        <v>208</v>
      </c>
      <c r="C567" s="13" t="s">
        <v>208</v>
      </c>
      <c r="D567" s="13" t="s">
        <v>208</v>
      </c>
      <c r="E567" s="13" t="s">
        <v>208</v>
      </c>
      <c r="F567" s="13" t="s">
        <v>208</v>
      </c>
      <c r="G567" s="67"/>
      <c r="H567" s="67"/>
      <c r="I567" s="67"/>
      <c r="J567" s="147"/>
    </row>
    <row r="568">
      <c r="A568" s="146">
        <v>567.0</v>
      </c>
      <c r="B568" s="13" t="s">
        <v>208</v>
      </c>
      <c r="C568" s="13" t="s">
        <v>208</v>
      </c>
      <c r="D568" s="13" t="s">
        <v>208</v>
      </c>
      <c r="E568" s="13" t="s">
        <v>208</v>
      </c>
      <c r="F568" s="13" t="s">
        <v>208</v>
      </c>
      <c r="G568" s="67"/>
      <c r="H568" s="67"/>
      <c r="I568" s="67"/>
      <c r="J568" s="147"/>
    </row>
    <row r="569">
      <c r="A569" s="146">
        <v>568.0</v>
      </c>
      <c r="B569" s="13" t="s">
        <v>208</v>
      </c>
      <c r="C569" s="13" t="s">
        <v>208</v>
      </c>
      <c r="D569" s="13" t="s">
        <v>208</v>
      </c>
      <c r="E569" s="13" t="s">
        <v>208</v>
      </c>
      <c r="F569" s="13" t="s">
        <v>208</v>
      </c>
      <c r="G569" s="67"/>
      <c r="H569" s="67"/>
      <c r="I569" s="67"/>
      <c r="J569" s="147"/>
    </row>
    <row r="570">
      <c r="A570" s="146">
        <v>569.0</v>
      </c>
      <c r="B570" s="13" t="s">
        <v>208</v>
      </c>
      <c r="C570" s="13" t="s">
        <v>208</v>
      </c>
      <c r="D570" s="13" t="s">
        <v>208</v>
      </c>
      <c r="E570" s="13" t="s">
        <v>208</v>
      </c>
      <c r="F570" s="13" t="s">
        <v>208</v>
      </c>
      <c r="G570" s="67"/>
      <c r="H570" s="67"/>
      <c r="I570" s="67"/>
      <c r="J570" s="147"/>
    </row>
    <row r="571">
      <c r="A571" s="146">
        <v>570.0</v>
      </c>
      <c r="B571" s="13" t="s">
        <v>208</v>
      </c>
      <c r="C571" s="13" t="s">
        <v>208</v>
      </c>
      <c r="D571" s="13" t="s">
        <v>208</v>
      </c>
      <c r="E571" s="13" t="s">
        <v>208</v>
      </c>
      <c r="F571" s="13" t="s">
        <v>208</v>
      </c>
      <c r="G571" s="67"/>
      <c r="H571" s="67"/>
      <c r="I571" s="67"/>
      <c r="J571" s="147"/>
    </row>
    <row r="572">
      <c r="A572" s="146">
        <v>571.0</v>
      </c>
      <c r="B572" s="13" t="s">
        <v>208</v>
      </c>
      <c r="C572" s="13" t="s">
        <v>208</v>
      </c>
      <c r="D572" s="13" t="s">
        <v>208</v>
      </c>
      <c r="E572" s="13" t="s">
        <v>208</v>
      </c>
      <c r="F572" s="13" t="s">
        <v>208</v>
      </c>
      <c r="G572" s="67"/>
      <c r="H572" s="67"/>
      <c r="I572" s="67"/>
      <c r="J572" s="147"/>
    </row>
    <row r="573">
      <c r="A573" s="146">
        <v>572.0</v>
      </c>
      <c r="B573" s="13" t="s">
        <v>208</v>
      </c>
      <c r="C573" s="13" t="s">
        <v>208</v>
      </c>
      <c r="D573" s="13" t="s">
        <v>208</v>
      </c>
      <c r="E573" s="13" t="s">
        <v>208</v>
      </c>
      <c r="F573" s="13" t="s">
        <v>208</v>
      </c>
      <c r="G573" s="67"/>
      <c r="H573" s="67"/>
      <c r="I573" s="67"/>
      <c r="J573" s="147"/>
    </row>
    <row r="574">
      <c r="A574" s="146">
        <v>573.0</v>
      </c>
      <c r="B574" s="13" t="s">
        <v>208</v>
      </c>
      <c r="C574" s="13" t="s">
        <v>208</v>
      </c>
      <c r="D574" s="13" t="s">
        <v>208</v>
      </c>
      <c r="E574" s="13" t="s">
        <v>208</v>
      </c>
      <c r="F574" s="13" t="s">
        <v>208</v>
      </c>
      <c r="G574" s="67"/>
      <c r="H574" s="67"/>
      <c r="I574" s="67"/>
      <c r="J574" s="147"/>
    </row>
    <row r="575">
      <c r="A575" s="146">
        <v>574.0</v>
      </c>
      <c r="B575" s="13" t="s">
        <v>208</v>
      </c>
      <c r="C575" s="13" t="s">
        <v>208</v>
      </c>
      <c r="D575" s="13" t="s">
        <v>208</v>
      </c>
      <c r="E575" s="13" t="s">
        <v>208</v>
      </c>
      <c r="F575" s="13" t="s">
        <v>208</v>
      </c>
      <c r="G575" s="67"/>
      <c r="H575" s="67"/>
      <c r="I575" s="67"/>
      <c r="J575" s="147"/>
    </row>
    <row r="576">
      <c r="A576" s="146">
        <v>575.0</v>
      </c>
      <c r="B576" s="13" t="s">
        <v>208</v>
      </c>
      <c r="C576" s="13" t="s">
        <v>208</v>
      </c>
      <c r="D576" s="13" t="s">
        <v>208</v>
      </c>
      <c r="E576" s="13" t="s">
        <v>208</v>
      </c>
      <c r="F576" s="13" t="s">
        <v>208</v>
      </c>
      <c r="G576" s="67"/>
      <c r="H576" s="67"/>
      <c r="I576" s="67"/>
      <c r="J576" s="147"/>
    </row>
    <row r="577">
      <c r="A577" s="146">
        <v>576.0</v>
      </c>
      <c r="B577" s="13" t="s">
        <v>208</v>
      </c>
      <c r="C577" s="13" t="s">
        <v>208</v>
      </c>
      <c r="D577" s="13" t="s">
        <v>208</v>
      </c>
      <c r="E577" s="13" t="s">
        <v>208</v>
      </c>
      <c r="F577" s="13" t="s">
        <v>208</v>
      </c>
      <c r="G577" s="67"/>
      <c r="H577" s="67"/>
      <c r="I577" s="67"/>
      <c r="J577" s="147"/>
    </row>
    <row r="578">
      <c r="A578" s="146">
        <v>577.0</v>
      </c>
      <c r="B578" s="13" t="s">
        <v>208</v>
      </c>
      <c r="C578" s="13" t="s">
        <v>208</v>
      </c>
      <c r="D578" s="13" t="s">
        <v>208</v>
      </c>
      <c r="E578" s="13" t="s">
        <v>208</v>
      </c>
      <c r="F578" s="13" t="s">
        <v>208</v>
      </c>
      <c r="G578" s="67"/>
      <c r="H578" s="67"/>
      <c r="I578" s="67"/>
      <c r="J578" s="147"/>
    </row>
    <row r="579">
      <c r="A579" s="146">
        <v>578.0</v>
      </c>
      <c r="B579" s="13" t="s">
        <v>208</v>
      </c>
      <c r="C579" s="13" t="s">
        <v>208</v>
      </c>
      <c r="D579" s="13" t="s">
        <v>208</v>
      </c>
      <c r="E579" s="13" t="s">
        <v>208</v>
      </c>
      <c r="F579" s="13" t="s">
        <v>208</v>
      </c>
      <c r="G579" s="67"/>
      <c r="H579" s="67"/>
      <c r="I579" s="67"/>
      <c r="J579" s="147"/>
    </row>
    <row r="580">
      <c r="A580" s="146">
        <v>579.0</v>
      </c>
      <c r="B580" s="13" t="s">
        <v>208</v>
      </c>
      <c r="C580" s="13" t="s">
        <v>208</v>
      </c>
      <c r="D580" s="13" t="s">
        <v>208</v>
      </c>
      <c r="E580" s="13" t="s">
        <v>208</v>
      </c>
      <c r="F580" s="13" t="s">
        <v>208</v>
      </c>
      <c r="G580" s="67"/>
      <c r="H580" s="67"/>
      <c r="I580" s="67"/>
      <c r="J580" s="147"/>
    </row>
    <row r="581">
      <c r="A581" s="146">
        <v>580.0</v>
      </c>
      <c r="B581" s="13" t="s">
        <v>208</v>
      </c>
      <c r="C581" s="13" t="s">
        <v>208</v>
      </c>
      <c r="D581" s="13" t="s">
        <v>208</v>
      </c>
      <c r="E581" s="13" t="s">
        <v>208</v>
      </c>
      <c r="F581" s="13" t="s">
        <v>208</v>
      </c>
      <c r="G581" s="67"/>
      <c r="H581" s="67"/>
      <c r="I581" s="67"/>
      <c r="J581" s="147"/>
    </row>
    <row r="582">
      <c r="A582" s="146">
        <v>581.0</v>
      </c>
      <c r="B582" s="13" t="s">
        <v>208</v>
      </c>
      <c r="C582" s="13" t="s">
        <v>208</v>
      </c>
      <c r="D582" s="13" t="s">
        <v>208</v>
      </c>
      <c r="E582" s="13" t="s">
        <v>208</v>
      </c>
      <c r="F582" s="13" t="s">
        <v>208</v>
      </c>
      <c r="G582" s="67"/>
      <c r="H582" s="67"/>
      <c r="I582" s="67"/>
      <c r="J582" s="147"/>
    </row>
    <row r="583">
      <c r="A583" s="146">
        <v>582.0</v>
      </c>
      <c r="B583" s="13" t="s">
        <v>208</v>
      </c>
      <c r="C583" s="13" t="s">
        <v>208</v>
      </c>
      <c r="D583" s="13" t="s">
        <v>208</v>
      </c>
      <c r="E583" s="13" t="s">
        <v>208</v>
      </c>
      <c r="F583" s="13" t="s">
        <v>208</v>
      </c>
      <c r="G583" s="67"/>
      <c r="H583" s="67"/>
      <c r="I583" s="67"/>
      <c r="J583" s="147"/>
    </row>
    <row r="584">
      <c r="A584" s="146">
        <v>583.0</v>
      </c>
      <c r="B584" s="13" t="s">
        <v>208</v>
      </c>
      <c r="C584" s="13" t="s">
        <v>208</v>
      </c>
      <c r="D584" s="13" t="s">
        <v>208</v>
      </c>
      <c r="E584" s="13" t="s">
        <v>208</v>
      </c>
      <c r="F584" s="13" t="s">
        <v>208</v>
      </c>
      <c r="G584" s="67"/>
      <c r="H584" s="67"/>
      <c r="I584" s="67"/>
      <c r="J584" s="147"/>
    </row>
    <row r="585">
      <c r="A585" s="146">
        <v>584.0</v>
      </c>
      <c r="B585" s="13" t="s">
        <v>208</v>
      </c>
      <c r="C585" s="13" t="s">
        <v>208</v>
      </c>
      <c r="D585" s="13" t="s">
        <v>208</v>
      </c>
      <c r="E585" s="13" t="s">
        <v>208</v>
      </c>
      <c r="F585" s="13" t="s">
        <v>208</v>
      </c>
      <c r="G585" s="67"/>
      <c r="H585" s="67"/>
      <c r="I585" s="67"/>
      <c r="J585" s="147"/>
    </row>
    <row r="586">
      <c r="A586" s="146">
        <v>585.0</v>
      </c>
      <c r="B586" s="13" t="s">
        <v>208</v>
      </c>
      <c r="C586" s="13" t="s">
        <v>208</v>
      </c>
      <c r="D586" s="13" t="s">
        <v>208</v>
      </c>
      <c r="E586" s="13" t="s">
        <v>208</v>
      </c>
      <c r="F586" s="13" t="s">
        <v>208</v>
      </c>
      <c r="G586" s="67"/>
      <c r="H586" s="67"/>
      <c r="I586" s="67"/>
      <c r="J586" s="147"/>
    </row>
    <row r="587">
      <c r="A587" s="146">
        <v>586.0</v>
      </c>
      <c r="B587" s="13" t="s">
        <v>208</v>
      </c>
      <c r="C587" s="13" t="s">
        <v>208</v>
      </c>
      <c r="D587" s="13" t="s">
        <v>208</v>
      </c>
      <c r="E587" s="13" t="s">
        <v>208</v>
      </c>
      <c r="F587" s="13" t="s">
        <v>208</v>
      </c>
      <c r="G587" s="67"/>
      <c r="H587" s="67"/>
      <c r="I587" s="67"/>
      <c r="J587" s="147"/>
    </row>
    <row r="588">
      <c r="A588" s="146">
        <v>587.0</v>
      </c>
      <c r="B588" s="13" t="s">
        <v>208</v>
      </c>
      <c r="C588" s="13" t="s">
        <v>208</v>
      </c>
      <c r="D588" s="13" t="s">
        <v>208</v>
      </c>
      <c r="E588" s="13" t="s">
        <v>208</v>
      </c>
      <c r="F588" s="13" t="s">
        <v>208</v>
      </c>
      <c r="G588" s="67"/>
      <c r="H588" s="67"/>
      <c r="I588" s="67"/>
      <c r="J588" s="147"/>
    </row>
    <row r="589">
      <c r="A589" s="146">
        <v>588.0</v>
      </c>
      <c r="B589" s="13" t="s">
        <v>208</v>
      </c>
      <c r="C589" s="13" t="s">
        <v>208</v>
      </c>
      <c r="D589" s="13" t="s">
        <v>208</v>
      </c>
      <c r="E589" s="13" t="s">
        <v>208</v>
      </c>
      <c r="F589" s="13" t="s">
        <v>208</v>
      </c>
      <c r="G589" s="67"/>
      <c r="H589" s="67"/>
      <c r="I589" s="67"/>
      <c r="J589" s="147"/>
    </row>
    <row r="590">
      <c r="A590" s="146">
        <v>589.0</v>
      </c>
      <c r="B590" s="13" t="s">
        <v>208</v>
      </c>
      <c r="C590" s="13" t="s">
        <v>208</v>
      </c>
      <c r="D590" s="13" t="s">
        <v>208</v>
      </c>
      <c r="E590" s="13" t="s">
        <v>208</v>
      </c>
      <c r="F590" s="13" t="s">
        <v>208</v>
      </c>
      <c r="G590" s="67"/>
      <c r="H590" s="67"/>
      <c r="I590" s="67"/>
      <c r="J590" s="147"/>
    </row>
    <row r="591">
      <c r="A591" s="146">
        <v>590.0</v>
      </c>
      <c r="B591" s="13" t="s">
        <v>208</v>
      </c>
      <c r="C591" s="13" t="s">
        <v>208</v>
      </c>
      <c r="D591" s="13" t="s">
        <v>208</v>
      </c>
      <c r="E591" s="13" t="s">
        <v>208</v>
      </c>
      <c r="F591" s="13" t="s">
        <v>208</v>
      </c>
      <c r="G591" s="67"/>
      <c r="H591" s="67"/>
      <c r="I591" s="67"/>
      <c r="J591" s="147"/>
    </row>
    <row r="592">
      <c r="A592" s="146">
        <v>591.0</v>
      </c>
      <c r="B592" s="13" t="s">
        <v>208</v>
      </c>
      <c r="C592" s="13" t="s">
        <v>208</v>
      </c>
      <c r="D592" s="13" t="s">
        <v>208</v>
      </c>
      <c r="E592" s="13" t="s">
        <v>208</v>
      </c>
      <c r="F592" s="13" t="s">
        <v>208</v>
      </c>
      <c r="G592" s="67"/>
      <c r="H592" s="67"/>
      <c r="I592" s="67"/>
      <c r="J592" s="147"/>
    </row>
    <row r="593">
      <c r="A593" s="146">
        <v>592.0</v>
      </c>
      <c r="B593" s="13" t="s">
        <v>208</v>
      </c>
      <c r="C593" s="13" t="s">
        <v>208</v>
      </c>
      <c r="D593" s="13" t="s">
        <v>208</v>
      </c>
      <c r="E593" s="13" t="s">
        <v>208</v>
      </c>
      <c r="F593" s="13" t="s">
        <v>208</v>
      </c>
      <c r="G593" s="67"/>
      <c r="H593" s="67"/>
      <c r="I593" s="67"/>
      <c r="J593" s="147"/>
    </row>
    <row r="594">
      <c r="A594" s="146">
        <v>593.0</v>
      </c>
      <c r="B594" s="13" t="s">
        <v>208</v>
      </c>
      <c r="C594" s="13" t="s">
        <v>208</v>
      </c>
      <c r="D594" s="13" t="s">
        <v>208</v>
      </c>
      <c r="E594" s="13" t="s">
        <v>208</v>
      </c>
      <c r="F594" s="13" t="s">
        <v>208</v>
      </c>
      <c r="G594" s="67"/>
      <c r="H594" s="67"/>
      <c r="I594" s="67"/>
      <c r="J594" s="147"/>
    </row>
    <row r="595">
      <c r="A595" s="146">
        <v>594.0</v>
      </c>
      <c r="B595" s="13" t="s">
        <v>208</v>
      </c>
      <c r="C595" s="13" t="s">
        <v>208</v>
      </c>
      <c r="D595" s="13" t="s">
        <v>208</v>
      </c>
      <c r="E595" s="13" t="s">
        <v>208</v>
      </c>
      <c r="F595" s="13" t="s">
        <v>208</v>
      </c>
      <c r="G595" s="67"/>
      <c r="H595" s="67"/>
      <c r="I595" s="67"/>
      <c r="J595" s="147"/>
    </row>
    <row r="596">
      <c r="A596" s="146">
        <v>595.0</v>
      </c>
      <c r="B596" s="13" t="s">
        <v>208</v>
      </c>
      <c r="C596" s="13" t="s">
        <v>208</v>
      </c>
      <c r="D596" s="13" t="s">
        <v>208</v>
      </c>
      <c r="E596" s="13" t="s">
        <v>208</v>
      </c>
      <c r="F596" s="13" t="s">
        <v>208</v>
      </c>
      <c r="G596" s="67"/>
      <c r="H596" s="67"/>
      <c r="I596" s="67"/>
      <c r="J596" s="147"/>
    </row>
    <row r="597">
      <c r="A597" s="146">
        <v>596.0</v>
      </c>
      <c r="B597" s="13" t="s">
        <v>208</v>
      </c>
      <c r="C597" s="13" t="s">
        <v>208</v>
      </c>
      <c r="D597" s="13" t="s">
        <v>208</v>
      </c>
      <c r="E597" s="13" t="s">
        <v>208</v>
      </c>
      <c r="F597" s="13" t="s">
        <v>208</v>
      </c>
      <c r="G597" s="67"/>
      <c r="H597" s="67"/>
      <c r="I597" s="67"/>
      <c r="J597" s="147"/>
    </row>
    <row r="598">
      <c r="A598" s="146">
        <v>597.0</v>
      </c>
      <c r="B598" s="13" t="s">
        <v>208</v>
      </c>
      <c r="C598" s="13" t="s">
        <v>208</v>
      </c>
      <c r="D598" s="13" t="s">
        <v>208</v>
      </c>
      <c r="E598" s="13" t="s">
        <v>208</v>
      </c>
      <c r="F598" s="13" t="s">
        <v>208</v>
      </c>
      <c r="G598" s="67"/>
      <c r="H598" s="67"/>
      <c r="I598" s="67"/>
      <c r="J598" s="147"/>
    </row>
    <row r="599">
      <c r="A599" s="146">
        <v>598.0</v>
      </c>
      <c r="B599" s="13" t="s">
        <v>208</v>
      </c>
      <c r="C599" s="13" t="s">
        <v>208</v>
      </c>
      <c r="D599" s="13" t="s">
        <v>208</v>
      </c>
      <c r="E599" s="13" t="s">
        <v>208</v>
      </c>
      <c r="F599" s="13" t="s">
        <v>208</v>
      </c>
      <c r="G599" s="67"/>
      <c r="H599" s="67"/>
      <c r="I599" s="67"/>
      <c r="J599" s="147"/>
    </row>
    <row r="600">
      <c r="A600" s="146">
        <v>599.0</v>
      </c>
      <c r="B600" s="13" t="s">
        <v>208</v>
      </c>
      <c r="C600" s="13" t="s">
        <v>208</v>
      </c>
      <c r="D600" s="13" t="s">
        <v>208</v>
      </c>
      <c r="E600" s="13" t="s">
        <v>208</v>
      </c>
      <c r="F600" s="13" t="s">
        <v>208</v>
      </c>
      <c r="G600" s="67"/>
      <c r="H600" s="67"/>
      <c r="I600" s="67"/>
      <c r="J600" s="147"/>
    </row>
    <row r="601">
      <c r="A601" s="146">
        <v>600.0</v>
      </c>
      <c r="B601" s="13" t="s">
        <v>208</v>
      </c>
      <c r="C601" s="13" t="s">
        <v>208</v>
      </c>
      <c r="D601" s="13" t="s">
        <v>208</v>
      </c>
      <c r="E601" s="13" t="s">
        <v>208</v>
      </c>
      <c r="F601" s="13" t="s">
        <v>208</v>
      </c>
      <c r="G601" s="67"/>
      <c r="H601" s="67"/>
      <c r="I601" s="67"/>
      <c r="J601" s="147"/>
    </row>
    <row r="602">
      <c r="A602" s="146">
        <v>601.0</v>
      </c>
      <c r="B602" s="13" t="s">
        <v>208</v>
      </c>
      <c r="C602" s="13" t="s">
        <v>208</v>
      </c>
      <c r="D602" s="13" t="s">
        <v>208</v>
      </c>
      <c r="E602" s="13" t="s">
        <v>208</v>
      </c>
      <c r="F602" s="13" t="s">
        <v>208</v>
      </c>
      <c r="G602" s="67"/>
      <c r="H602" s="67"/>
      <c r="I602" s="67"/>
      <c r="J602" s="147"/>
    </row>
    <row r="603">
      <c r="A603" s="146">
        <v>602.0</v>
      </c>
      <c r="B603" s="13" t="s">
        <v>208</v>
      </c>
      <c r="C603" s="13" t="s">
        <v>208</v>
      </c>
      <c r="D603" s="13" t="s">
        <v>208</v>
      </c>
      <c r="E603" s="13" t="s">
        <v>208</v>
      </c>
      <c r="F603" s="13" t="s">
        <v>208</v>
      </c>
      <c r="G603" s="67"/>
      <c r="H603" s="67"/>
      <c r="I603" s="67"/>
      <c r="J603" s="147"/>
    </row>
    <row r="604">
      <c r="A604" s="146">
        <v>603.0</v>
      </c>
      <c r="B604" s="13" t="s">
        <v>208</v>
      </c>
      <c r="C604" s="13" t="s">
        <v>208</v>
      </c>
      <c r="D604" s="13" t="s">
        <v>208</v>
      </c>
      <c r="E604" s="13" t="s">
        <v>208</v>
      </c>
      <c r="F604" s="13" t="s">
        <v>208</v>
      </c>
      <c r="G604" s="67"/>
      <c r="H604" s="67"/>
      <c r="I604" s="67"/>
      <c r="J604" s="147"/>
    </row>
    <row r="605">
      <c r="A605" s="146">
        <v>604.0</v>
      </c>
      <c r="B605" s="13" t="s">
        <v>208</v>
      </c>
      <c r="C605" s="13" t="s">
        <v>208</v>
      </c>
      <c r="D605" s="13" t="s">
        <v>208</v>
      </c>
      <c r="E605" s="13" t="s">
        <v>208</v>
      </c>
      <c r="F605" s="13" t="s">
        <v>208</v>
      </c>
      <c r="G605" s="67"/>
      <c r="H605" s="67"/>
      <c r="I605" s="67"/>
      <c r="J605" s="147"/>
    </row>
    <row r="606">
      <c r="A606" s="146">
        <v>605.0</v>
      </c>
      <c r="B606" s="13" t="s">
        <v>208</v>
      </c>
      <c r="C606" s="13" t="s">
        <v>208</v>
      </c>
      <c r="D606" s="13" t="s">
        <v>208</v>
      </c>
      <c r="E606" s="13" t="s">
        <v>208</v>
      </c>
      <c r="F606" s="13" t="s">
        <v>208</v>
      </c>
      <c r="G606" s="67"/>
      <c r="H606" s="67"/>
      <c r="I606" s="67"/>
      <c r="J606" s="147"/>
    </row>
    <row r="607">
      <c r="A607" s="146">
        <v>606.0</v>
      </c>
      <c r="B607" s="13" t="s">
        <v>208</v>
      </c>
      <c r="C607" s="13" t="s">
        <v>208</v>
      </c>
      <c r="D607" s="13" t="s">
        <v>208</v>
      </c>
      <c r="E607" s="13" t="s">
        <v>208</v>
      </c>
      <c r="F607" s="13" t="s">
        <v>208</v>
      </c>
      <c r="G607" s="67"/>
      <c r="H607" s="67"/>
      <c r="I607" s="67"/>
      <c r="J607" s="147"/>
    </row>
    <row r="608">
      <c r="A608" s="146">
        <v>607.0</v>
      </c>
      <c r="B608" s="13" t="s">
        <v>208</v>
      </c>
      <c r="C608" s="13" t="s">
        <v>208</v>
      </c>
      <c r="D608" s="13" t="s">
        <v>208</v>
      </c>
      <c r="E608" s="13" t="s">
        <v>208</v>
      </c>
      <c r="F608" s="13" t="s">
        <v>208</v>
      </c>
      <c r="G608" s="67"/>
      <c r="H608" s="67"/>
      <c r="I608" s="67"/>
      <c r="J608" s="147"/>
    </row>
    <row r="609">
      <c r="A609" s="146">
        <v>608.0</v>
      </c>
      <c r="B609" s="13" t="s">
        <v>208</v>
      </c>
      <c r="C609" s="13" t="s">
        <v>208</v>
      </c>
      <c r="D609" s="13" t="s">
        <v>208</v>
      </c>
      <c r="E609" s="13" t="s">
        <v>208</v>
      </c>
      <c r="F609" s="13" t="s">
        <v>208</v>
      </c>
      <c r="G609" s="67"/>
      <c r="H609" s="67"/>
      <c r="I609" s="67"/>
      <c r="J609" s="147"/>
    </row>
    <row r="610">
      <c r="A610" s="146">
        <v>609.0</v>
      </c>
      <c r="B610" s="13" t="s">
        <v>208</v>
      </c>
      <c r="C610" s="13" t="s">
        <v>208</v>
      </c>
      <c r="D610" s="13" t="s">
        <v>208</v>
      </c>
      <c r="E610" s="13" t="s">
        <v>208</v>
      </c>
      <c r="F610" s="13" t="s">
        <v>208</v>
      </c>
      <c r="G610" s="67"/>
      <c r="H610" s="67"/>
      <c r="I610" s="67"/>
      <c r="J610" s="147"/>
    </row>
    <row r="611">
      <c r="A611" s="146">
        <v>610.0</v>
      </c>
      <c r="B611" s="13" t="s">
        <v>208</v>
      </c>
      <c r="C611" s="13" t="s">
        <v>208</v>
      </c>
      <c r="D611" s="13" t="s">
        <v>208</v>
      </c>
      <c r="E611" s="13" t="s">
        <v>208</v>
      </c>
      <c r="F611" s="13" t="s">
        <v>208</v>
      </c>
      <c r="G611" s="67"/>
      <c r="H611" s="67"/>
      <c r="I611" s="67"/>
      <c r="J611" s="147"/>
    </row>
    <row r="612">
      <c r="A612" s="146">
        <v>611.0</v>
      </c>
      <c r="B612" s="13" t="s">
        <v>208</v>
      </c>
      <c r="C612" s="13" t="s">
        <v>208</v>
      </c>
      <c r="D612" s="13" t="s">
        <v>208</v>
      </c>
      <c r="E612" s="13" t="s">
        <v>208</v>
      </c>
      <c r="F612" s="13" t="s">
        <v>208</v>
      </c>
      <c r="G612" s="67"/>
      <c r="H612" s="67"/>
      <c r="I612" s="67"/>
      <c r="J612" s="147"/>
    </row>
    <row r="613">
      <c r="A613" s="146">
        <v>612.0</v>
      </c>
      <c r="B613" s="13" t="s">
        <v>208</v>
      </c>
      <c r="C613" s="13" t="s">
        <v>208</v>
      </c>
      <c r="D613" s="13" t="s">
        <v>208</v>
      </c>
      <c r="E613" s="13" t="s">
        <v>208</v>
      </c>
      <c r="F613" s="13" t="s">
        <v>208</v>
      </c>
      <c r="G613" s="67"/>
      <c r="H613" s="67"/>
      <c r="I613" s="67"/>
      <c r="J613" s="147"/>
    </row>
    <row r="614">
      <c r="A614" s="146">
        <v>613.0</v>
      </c>
      <c r="B614" s="13" t="s">
        <v>208</v>
      </c>
      <c r="C614" s="13" t="s">
        <v>208</v>
      </c>
      <c r="D614" s="13" t="s">
        <v>208</v>
      </c>
      <c r="E614" s="13" t="s">
        <v>208</v>
      </c>
      <c r="F614" s="13" t="s">
        <v>208</v>
      </c>
      <c r="G614" s="67"/>
      <c r="H614" s="67"/>
      <c r="I614" s="67"/>
      <c r="J614" s="147"/>
    </row>
    <row r="615">
      <c r="A615" s="146">
        <v>614.0</v>
      </c>
      <c r="B615" s="13"/>
      <c r="C615" s="13" t="s">
        <v>208</v>
      </c>
      <c r="D615" s="13" t="s">
        <v>208</v>
      </c>
      <c r="E615" s="13" t="s">
        <v>208</v>
      </c>
      <c r="F615" s="13"/>
      <c r="G615" s="13" t="s">
        <v>208</v>
      </c>
      <c r="H615" s="67"/>
      <c r="I615" s="67"/>
      <c r="J615" s="147"/>
    </row>
    <row r="616">
      <c r="A616" s="146">
        <v>615.0</v>
      </c>
      <c r="B616" s="13" t="s">
        <v>208</v>
      </c>
      <c r="C616" s="13" t="s">
        <v>208</v>
      </c>
      <c r="D616" s="13" t="s">
        <v>208</v>
      </c>
      <c r="E616" s="13" t="s">
        <v>208</v>
      </c>
      <c r="F616" s="13" t="s">
        <v>208</v>
      </c>
      <c r="G616" s="67"/>
      <c r="H616" s="67"/>
      <c r="I616" s="67"/>
      <c r="J616" s="147"/>
    </row>
    <row r="617">
      <c r="A617" s="146">
        <v>616.0</v>
      </c>
      <c r="B617" s="174"/>
      <c r="C617" s="174"/>
      <c r="D617" s="174"/>
      <c r="E617" s="174"/>
      <c r="F617" s="174"/>
      <c r="G617" s="174"/>
      <c r="H617" s="175" t="s">
        <v>217</v>
      </c>
      <c r="I617" s="67"/>
      <c r="J617" s="147"/>
    </row>
    <row r="618">
      <c r="A618" s="146">
        <v>617.0</v>
      </c>
      <c r="B618" s="174"/>
      <c r="C618" s="174"/>
      <c r="D618" s="174"/>
      <c r="E618" s="174"/>
      <c r="F618" s="174"/>
      <c r="G618" s="174"/>
      <c r="H618" s="175" t="s">
        <v>217</v>
      </c>
      <c r="I618" s="67"/>
      <c r="J618" s="147"/>
    </row>
    <row r="619">
      <c r="A619" s="146">
        <v>618.0</v>
      </c>
      <c r="B619" s="174"/>
      <c r="C619" s="174"/>
      <c r="D619" s="174"/>
      <c r="E619" s="174"/>
      <c r="F619" s="174"/>
      <c r="G619" s="174"/>
      <c r="H619" s="175" t="s">
        <v>217</v>
      </c>
      <c r="I619" s="67"/>
      <c r="J619" s="147"/>
    </row>
    <row r="620">
      <c r="A620" s="146">
        <v>619.0</v>
      </c>
      <c r="B620" s="174"/>
      <c r="C620" s="174"/>
      <c r="D620" s="174"/>
      <c r="E620" s="174"/>
      <c r="F620" s="174"/>
      <c r="G620" s="174"/>
      <c r="H620" s="175" t="s">
        <v>217</v>
      </c>
      <c r="I620" s="67"/>
      <c r="J620" s="147"/>
    </row>
    <row r="621">
      <c r="A621" s="146">
        <v>620.0</v>
      </c>
      <c r="B621" s="67"/>
      <c r="C621" s="13" t="s">
        <v>208</v>
      </c>
      <c r="D621" s="13" t="s">
        <v>208</v>
      </c>
      <c r="E621" s="13" t="s">
        <v>208</v>
      </c>
      <c r="F621" s="13"/>
      <c r="G621" s="13" t="s">
        <v>208</v>
      </c>
      <c r="H621" s="67"/>
      <c r="I621" s="67"/>
      <c r="J621" s="147"/>
    </row>
    <row r="622">
      <c r="A622" s="146">
        <v>621.0</v>
      </c>
      <c r="B622" s="13" t="s">
        <v>208</v>
      </c>
      <c r="C622" s="13" t="s">
        <v>208</v>
      </c>
      <c r="D622" s="13" t="s">
        <v>208</v>
      </c>
      <c r="E622" s="13" t="s">
        <v>208</v>
      </c>
      <c r="F622" s="13" t="s">
        <v>208</v>
      </c>
      <c r="G622" s="67"/>
      <c r="H622" s="67"/>
      <c r="I622" s="67"/>
      <c r="J622" s="147"/>
    </row>
    <row r="623">
      <c r="A623" s="146">
        <v>622.0</v>
      </c>
      <c r="B623" s="13" t="s">
        <v>208</v>
      </c>
      <c r="C623" s="13" t="s">
        <v>208</v>
      </c>
      <c r="D623" s="13" t="s">
        <v>208</v>
      </c>
      <c r="E623" s="13" t="s">
        <v>208</v>
      </c>
      <c r="F623" s="13" t="s">
        <v>208</v>
      </c>
      <c r="G623" s="67"/>
      <c r="H623" s="67"/>
      <c r="I623" s="67"/>
      <c r="J623" s="147"/>
    </row>
    <row r="624">
      <c r="A624" s="146">
        <v>623.0</v>
      </c>
      <c r="B624" s="13" t="s">
        <v>208</v>
      </c>
      <c r="C624" s="13" t="s">
        <v>208</v>
      </c>
      <c r="D624" s="13" t="s">
        <v>208</v>
      </c>
      <c r="E624" s="13" t="s">
        <v>208</v>
      </c>
      <c r="F624" s="13" t="s">
        <v>208</v>
      </c>
      <c r="G624" s="67"/>
      <c r="H624" s="67"/>
      <c r="I624" s="67"/>
      <c r="J624" s="147"/>
    </row>
    <row r="625">
      <c r="A625" s="146">
        <v>624.0</v>
      </c>
      <c r="B625" s="13" t="s">
        <v>208</v>
      </c>
      <c r="C625" s="13" t="s">
        <v>208</v>
      </c>
      <c r="D625" s="13" t="s">
        <v>208</v>
      </c>
      <c r="E625" s="13" t="s">
        <v>208</v>
      </c>
      <c r="F625" s="13" t="s">
        <v>208</v>
      </c>
      <c r="G625" s="67"/>
      <c r="H625" s="67"/>
      <c r="I625" s="67"/>
      <c r="J625" s="147"/>
    </row>
    <row r="626">
      <c r="A626" s="177">
        <v>625.0</v>
      </c>
      <c r="B626" s="67"/>
      <c r="C626" s="13" t="s">
        <v>208</v>
      </c>
      <c r="D626" s="13" t="s">
        <v>208</v>
      </c>
      <c r="E626" s="13" t="s">
        <v>208</v>
      </c>
      <c r="F626" s="13"/>
      <c r="G626" s="13" t="s">
        <v>208</v>
      </c>
      <c r="H626" s="67"/>
      <c r="I626" s="67"/>
      <c r="J626" s="147"/>
    </row>
    <row r="627">
      <c r="A627" s="177">
        <v>626.0</v>
      </c>
      <c r="B627" s="67"/>
      <c r="C627" s="13" t="s">
        <v>208</v>
      </c>
      <c r="D627" s="13" t="s">
        <v>208</v>
      </c>
      <c r="E627" s="13" t="s">
        <v>208</v>
      </c>
      <c r="F627" s="13"/>
      <c r="G627" s="13" t="s">
        <v>208</v>
      </c>
      <c r="H627" s="67"/>
      <c r="I627" s="67"/>
      <c r="J627" s="147"/>
    </row>
    <row r="628">
      <c r="A628" s="177">
        <v>627.0</v>
      </c>
      <c r="B628" s="67"/>
      <c r="C628" s="13" t="s">
        <v>208</v>
      </c>
      <c r="D628" s="13" t="s">
        <v>208</v>
      </c>
      <c r="E628" s="13" t="s">
        <v>208</v>
      </c>
      <c r="F628" s="13"/>
      <c r="G628" s="13" t="s">
        <v>208</v>
      </c>
      <c r="H628" s="67"/>
      <c r="I628" s="67"/>
      <c r="J628" s="147"/>
    </row>
    <row r="629">
      <c r="A629" s="146">
        <v>628.0</v>
      </c>
      <c r="B629" s="67"/>
      <c r="C629" s="13" t="s">
        <v>208</v>
      </c>
      <c r="D629" s="13" t="s">
        <v>208</v>
      </c>
      <c r="E629" s="13" t="s">
        <v>208</v>
      </c>
      <c r="F629" s="13"/>
      <c r="G629" s="13" t="s">
        <v>208</v>
      </c>
      <c r="H629" s="67"/>
      <c r="I629" s="67"/>
      <c r="J629" s="147"/>
    </row>
    <row r="630">
      <c r="A630" s="146">
        <v>629.0</v>
      </c>
      <c r="B630" s="174"/>
      <c r="C630" s="174"/>
      <c r="D630" s="174"/>
      <c r="E630" s="174"/>
      <c r="F630" s="174"/>
      <c r="G630" s="174"/>
      <c r="H630" s="175" t="s">
        <v>217</v>
      </c>
      <c r="I630" s="67"/>
      <c r="J630" s="147"/>
    </row>
    <row r="631">
      <c r="A631" s="146">
        <v>630.0</v>
      </c>
      <c r="B631" s="174"/>
      <c r="C631" s="174"/>
      <c r="D631" s="174"/>
      <c r="E631" s="174"/>
      <c r="F631" s="174"/>
      <c r="G631" s="174"/>
      <c r="H631" s="175" t="s">
        <v>217</v>
      </c>
      <c r="I631" s="67"/>
      <c r="J631" s="147"/>
    </row>
    <row r="632">
      <c r="A632" s="146">
        <v>631.0</v>
      </c>
      <c r="B632" s="174"/>
      <c r="C632" s="174"/>
      <c r="D632" s="174"/>
      <c r="E632" s="174"/>
      <c r="F632" s="174"/>
      <c r="G632" s="174"/>
      <c r="H632" s="175" t="s">
        <v>217</v>
      </c>
      <c r="I632" s="67"/>
      <c r="J632" s="147"/>
    </row>
    <row r="633">
      <c r="A633" s="146">
        <v>632.0</v>
      </c>
      <c r="B633" s="174"/>
      <c r="C633" s="174"/>
      <c r="D633" s="174"/>
      <c r="E633" s="174"/>
      <c r="F633" s="174"/>
      <c r="G633" s="174"/>
      <c r="H633" s="175" t="s">
        <v>217</v>
      </c>
      <c r="I633" s="67"/>
      <c r="J633" s="147"/>
    </row>
    <row r="634">
      <c r="A634" s="146">
        <v>633.0</v>
      </c>
      <c r="B634" s="174"/>
      <c r="C634" s="174"/>
      <c r="D634" s="174"/>
      <c r="E634" s="174"/>
      <c r="F634" s="174"/>
      <c r="G634" s="174"/>
      <c r="H634" s="175" t="s">
        <v>217</v>
      </c>
      <c r="I634" s="67"/>
      <c r="J634" s="147"/>
    </row>
    <row r="635">
      <c r="A635" s="146">
        <v>634.0</v>
      </c>
      <c r="B635" s="13" t="s">
        <v>208</v>
      </c>
      <c r="C635" s="13" t="s">
        <v>208</v>
      </c>
      <c r="D635" s="13" t="s">
        <v>208</v>
      </c>
      <c r="E635" s="13" t="s">
        <v>208</v>
      </c>
      <c r="F635" s="13" t="s">
        <v>208</v>
      </c>
      <c r="G635" s="67"/>
      <c r="H635" s="67"/>
      <c r="I635" s="67"/>
      <c r="J635" s="147"/>
    </row>
    <row r="636">
      <c r="A636" s="146">
        <v>635.0</v>
      </c>
      <c r="B636" s="13" t="s">
        <v>208</v>
      </c>
      <c r="C636" s="13" t="s">
        <v>208</v>
      </c>
      <c r="D636" s="13" t="s">
        <v>208</v>
      </c>
      <c r="E636" s="13" t="s">
        <v>208</v>
      </c>
      <c r="F636" s="13" t="s">
        <v>208</v>
      </c>
      <c r="G636" s="67"/>
      <c r="H636" s="67"/>
      <c r="I636" s="67"/>
      <c r="J636" s="147"/>
    </row>
    <row r="637">
      <c r="A637" s="146">
        <v>636.0</v>
      </c>
      <c r="B637" s="13" t="s">
        <v>208</v>
      </c>
      <c r="C637" s="13" t="s">
        <v>208</v>
      </c>
      <c r="D637" s="13" t="s">
        <v>208</v>
      </c>
      <c r="E637" s="13" t="s">
        <v>208</v>
      </c>
      <c r="F637" s="13" t="s">
        <v>208</v>
      </c>
      <c r="G637" s="67"/>
      <c r="H637" s="67"/>
      <c r="I637" s="67"/>
      <c r="J637" s="147"/>
    </row>
    <row r="638">
      <c r="A638" s="146">
        <v>637.0</v>
      </c>
      <c r="B638" s="13" t="s">
        <v>208</v>
      </c>
      <c r="C638" s="13" t="s">
        <v>208</v>
      </c>
      <c r="D638" s="13" t="s">
        <v>208</v>
      </c>
      <c r="E638" s="13" t="s">
        <v>208</v>
      </c>
      <c r="F638" s="13" t="s">
        <v>208</v>
      </c>
      <c r="G638" s="67"/>
      <c r="H638" s="67"/>
      <c r="I638" s="67"/>
      <c r="J638" s="147"/>
    </row>
    <row r="639">
      <c r="A639" s="146">
        <v>638.0</v>
      </c>
      <c r="B639" s="13" t="s">
        <v>208</v>
      </c>
      <c r="C639" s="13" t="s">
        <v>208</v>
      </c>
      <c r="D639" s="13" t="s">
        <v>208</v>
      </c>
      <c r="E639" s="13" t="s">
        <v>208</v>
      </c>
      <c r="F639" s="13" t="s">
        <v>208</v>
      </c>
      <c r="G639" s="67"/>
      <c r="H639" s="67"/>
      <c r="I639" s="67"/>
      <c r="J639" s="147"/>
    </row>
    <row r="640">
      <c r="A640" s="146">
        <v>639.0</v>
      </c>
      <c r="B640" s="13" t="s">
        <v>208</v>
      </c>
      <c r="C640" s="13" t="s">
        <v>208</v>
      </c>
      <c r="D640" s="13" t="s">
        <v>208</v>
      </c>
      <c r="E640" s="13" t="s">
        <v>208</v>
      </c>
      <c r="F640" s="13" t="s">
        <v>208</v>
      </c>
      <c r="G640" s="67"/>
      <c r="H640" s="67"/>
      <c r="I640" s="67"/>
      <c r="J640" s="147"/>
    </row>
    <row r="641">
      <c r="A641" s="146">
        <v>640.0</v>
      </c>
      <c r="B641" s="13" t="s">
        <v>208</v>
      </c>
      <c r="C641" s="13" t="s">
        <v>208</v>
      </c>
      <c r="D641" s="13" t="s">
        <v>208</v>
      </c>
      <c r="E641" s="13" t="s">
        <v>208</v>
      </c>
      <c r="F641" s="13" t="s">
        <v>208</v>
      </c>
      <c r="G641" s="67"/>
      <c r="H641" s="67"/>
      <c r="I641" s="67"/>
      <c r="J641" s="147"/>
    </row>
    <row r="642">
      <c r="A642" s="146">
        <v>641.0</v>
      </c>
      <c r="B642" s="13" t="s">
        <v>208</v>
      </c>
      <c r="C642" s="13" t="s">
        <v>208</v>
      </c>
      <c r="D642" s="13" t="s">
        <v>208</v>
      </c>
      <c r="E642" s="13" t="s">
        <v>208</v>
      </c>
      <c r="F642" s="13" t="s">
        <v>208</v>
      </c>
      <c r="G642" s="67"/>
      <c r="H642" s="67"/>
      <c r="I642" s="67"/>
      <c r="J642" s="147"/>
    </row>
    <row r="643">
      <c r="A643" s="146">
        <v>642.0</v>
      </c>
      <c r="B643" s="13" t="s">
        <v>208</v>
      </c>
      <c r="C643" s="13" t="s">
        <v>208</v>
      </c>
      <c r="D643" s="13" t="s">
        <v>208</v>
      </c>
      <c r="E643" s="13" t="s">
        <v>208</v>
      </c>
      <c r="F643" s="13" t="s">
        <v>208</v>
      </c>
      <c r="G643" s="67"/>
      <c r="H643" s="67"/>
      <c r="I643" s="67"/>
      <c r="J643" s="147"/>
    </row>
    <row r="644">
      <c r="A644" s="146">
        <v>643.0</v>
      </c>
      <c r="B644" s="174"/>
      <c r="C644" s="174"/>
      <c r="D644" s="174"/>
      <c r="E644" s="174"/>
      <c r="F644" s="174"/>
      <c r="G644" s="174"/>
      <c r="H644" s="175" t="s">
        <v>217</v>
      </c>
      <c r="I644" s="67"/>
      <c r="J644" s="147"/>
    </row>
    <row r="645">
      <c r="A645" s="146">
        <v>644.0</v>
      </c>
      <c r="B645" s="13" t="s">
        <v>208</v>
      </c>
      <c r="C645" s="13" t="s">
        <v>208</v>
      </c>
      <c r="D645" s="99"/>
      <c r="E645" s="13" t="s">
        <v>208</v>
      </c>
      <c r="F645" s="13" t="s">
        <v>208</v>
      </c>
      <c r="G645" s="67"/>
      <c r="H645" s="67"/>
      <c r="I645" s="67"/>
      <c r="J645" s="147"/>
    </row>
    <row r="646">
      <c r="A646" s="146">
        <v>645.0</v>
      </c>
      <c r="B646" s="13" t="s">
        <v>208</v>
      </c>
      <c r="C646" s="13" t="s">
        <v>208</v>
      </c>
      <c r="D646" s="99"/>
      <c r="E646" s="13" t="s">
        <v>208</v>
      </c>
      <c r="F646" s="13" t="s">
        <v>208</v>
      </c>
      <c r="G646" s="67"/>
      <c r="H646" s="67"/>
      <c r="I646" s="67"/>
      <c r="J646" s="147"/>
    </row>
    <row r="647">
      <c r="A647" s="146">
        <v>646.0</v>
      </c>
      <c r="B647" s="13" t="s">
        <v>208</v>
      </c>
      <c r="C647" s="13" t="s">
        <v>208</v>
      </c>
      <c r="D647" s="99"/>
      <c r="E647" s="13" t="s">
        <v>208</v>
      </c>
      <c r="F647" s="13" t="s">
        <v>208</v>
      </c>
      <c r="G647" s="67"/>
      <c r="H647" s="67"/>
      <c r="I647" s="67"/>
      <c r="J647" s="147"/>
    </row>
    <row r="648">
      <c r="A648" s="146">
        <v>647.0</v>
      </c>
      <c r="B648" s="13" t="s">
        <v>208</v>
      </c>
      <c r="C648" s="13" t="s">
        <v>208</v>
      </c>
      <c r="D648" s="99"/>
      <c r="E648" s="13" t="s">
        <v>208</v>
      </c>
      <c r="F648" s="13" t="s">
        <v>208</v>
      </c>
      <c r="G648" s="67"/>
      <c r="H648" s="67"/>
      <c r="I648" s="67"/>
      <c r="J648" s="147"/>
    </row>
    <row r="649">
      <c r="A649" s="146">
        <v>648.0</v>
      </c>
      <c r="B649" s="13" t="s">
        <v>208</v>
      </c>
      <c r="C649" s="13" t="s">
        <v>208</v>
      </c>
      <c r="D649" s="13" t="s">
        <v>208</v>
      </c>
      <c r="E649" s="13" t="s">
        <v>208</v>
      </c>
      <c r="F649" s="13" t="s">
        <v>208</v>
      </c>
      <c r="G649" s="67"/>
      <c r="H649" s="67"/>
      <c r="I649" s="67"/>
      <c r="J649" s="147"/>
    </row>
    <row r="650">
      <c r="A650" s="146">
        <v>649.0</v>
      </c>
      <c r="B650" s="13" t="s">
        <v>208</v>
      </c>
      <c r="C650" s="13" t="s">
        <v>208</v>
      </c>
      <c r="D650" s="13" t="s">
        <v>208</v>
      </c>
      <c r="E650" s="13" t="s">
        <v>208</v>
      </c>
      <c r="F650" s="13" t="s">
        <v>208</v>
      </c>
      <c r="G650" s="67"/>
      <c r="H650" s="67"/>
      <c r="I650" s="67"/>
      <c r="J650" s="147"/>
    </row>
    <row r="651">
      <c r="A651" s="146">
        <v>650.0</v>
      </c>
      <c r="B651" s="13" t="s">
        <v>208</v>
      </c>
      <c r="C651" s="13" t="s">
        <v>208</v>
      </c>
      <c r="D651" s="99"/>
      <c r="E651" s="13" t="s">
        <v>208</v>
      </c>
      <c r="F651" s="13" t="s">
        <v>208</v>
      </c>
      <c r="G651" s="67"/>
      <c r="H651" s="67"/>
      <c r="I651" s="67"/>
      <c r="J651" s="147"/>
    </row>
    <row r="652">
      <c r="A652" s="146">
        <v>651.0</v>
      </c>
      <c r="B652" s="13" t="s">
        <v>208</v>
      </c>
      <c r="C652" s="13" t="s">
        <v>208</v>
      </c>
      <c r="D652" s="99"/>
      <c r="E652" s="13" t="s">
        <v>208</v>
      </c>
      <c r="F652" s="13" t="s">
        <v>208</v>
      </c>
      <c r="G652" s="67"/>
      <c r="H652" s="67"/>
      <c r="I652" s="67"/>
      <c r="J652" s="147"/>
    </row>
    <row r="653">
      <c r="A653" s="146">
        <v>652.0</v>
      </c>
      <c r="B653" s="13" t="s">
        <v>208</v>
      </c>
      <c r="C653" s="13" t="s">
        <v>208</v>
      </c>
      <c r="D653" s="13" t="s">
        <v>208</v>
      </c>
      <c r="E653" s="13" t="s">
        <v>208</v>
      </c>
      <c r="F653" s="13" t="s">
        <v>208</v>
      </c>
      <c r="G653" s="67"/>
      <c r="H653" s="67"/>
      <c r="I653" s="67"/>
      <c r="J653" s="147"/>
    </row>
    <row r="654">
      <c r="A654" s="146">
        <v>653.0</v>
      </c>
      <c r="B654" s="13" t="s">
        <v>208</v>
      </c>
      <c r="C654" s="13" t="s">
        <v>208</v>
      </c>
      <c r="D654" s="13" t="s">
        <v>208</v>
      </c>
      <c r="E654" s="13" t="s">
        <v>208</v>
      </c>
      <c r="F654" s="13" t="s">
        <v>208</v>
      </c>
      <c r="G654" s="67"/>
      <c r="H654" s="67"/>
      <c r="I654" s="67"/>
      <c r="J654" s="147"/>
    </row>
    <row r="655">
      <c r="A655" s="146">
        <v>654.0</v>
      </c>
      <c r="B655" s="13" t="s">
        <v>208</v>
      </c>
      <c r="C655" s="13" t="s">
        <v>208</v>
      </c>
      <c r="D655" s="13" t="s">
        <v>208</v>
      </c>
      <c r="E655" s="13" t="s">
        <v>208</v>
      </c>
      <c r="F655" s="13" t="s">
        <v>208</v>
      </c>
      <c r="G655" s="67"/>
      <c r="H655" s="67"/>
      <c r="I655" s="67"/>
      <c r="J655" s="147"/>
    </row>
    <row r="656">
      <c r="A656" s="146">
        <v>655.0</v>
      </c>
      <c r="B656" s="13" t="s">
        <v>208</v>
      </c>
      <c r="C656" s="13" t="s">
        <v>208</v>
      </c>
      <c r="D656" s="13" t="s">
        <v>208</v>
      </c>
      <c r="E656" s="13" t="s">
        <v>208</v>
      </c>
      <c r="F656" s="13" t="s">
        <v>208</v>
      </c>
      <c r="G656" s="67"/>
      <c r="H656" s="67"/>
      <c r="I656" s="67"/>
      <c r="J656" s="147"/>
    </row>
    <row r="657">
      <c r="A657" s="146">
        <v>656.0</v>
      </c>
      <c r="B657" s="13" t="s">
        <v>208</v>
      </c>
      <c r="C657" s="13" t="s">
        <v>208</v>
      </c>
      <c r="D657" s="13" t="s">
        <v>208</v>
      </c>
      <c r="E657" s="13" t="s">
        <v>208</v>
      </c>
      <c r="F657" s="13" t="s">
        <v>208</v>
      </c>
      <c r="G657" s="67"/>
      <c r="H657" s="67"/>
      <c r="I657" s="67"/>
      <c r="J657" s="147"/>
    </row>
    <row r="658">
      <c r="A658" s="146">
        <v>657.0</v>
      </c>
      <c r="B658" s="174"/>
      <c r="C658" s="174"/>
      <c r="D658" s="174"/>
      <c r="E658" s="174"/>
      <c r="F658" s="174"/>
      <c r="G658" s="174"/>
      <c r="H658" s="175" t="s">
        <v>217</v>
      </c>
      <c r="I658" s="67"/>
      <c r="J658" s="147"/>
    </row>
    <row r="659">
      <c r="A659" s="146">
        <v>658.0</v>
      </c>
      <c r="B659" s="174"/>
      <c r="C659" s="174"/>
      <c r="D659" s="174"/>
      <c r="E659" s="174"/>
      <c r="F659" s="174"/>
      <c r="G659" s="174"/>
      <c r="H659" s="175" t="s">
        <v>217</v>
      </c>
      <c r="I659" s="67"/>
      <c r="J659" s="147"/>
    </row>
    <row r="660">
      <c r="A660" s="146">
        <v>659.0</v>
      </c>
      <c r="B660" s="174"/>
      <c r="C660" s="174"/>
      <c r="D660" s="174"/>
      <c r="E660" s="174"/>
      <c r="F660" s="174"/>
      <c r="G660" s="174"/>
      <c r="H660" s="175" t="s">
        <v>217</v>
      </c>
      <c r="I660" s="67"/>
      <c r="J660" s="147"/>
    </row>
    <row r="661">
      <c r="A661" s="146">
        <v>660.0</v>
      </c>
      <c r="B661" s="174"/>
      <c r="C661" s="174"/>
      <c r="D661" s="174"/>
      <c r="E661" s="174"/>
      <c r="F661" s="174"/>
      <c r="G661" s="174"/>
      <c r="H661" s="175" t="s">
        <v>217</v>
      </c>
      <c r="I661" s="67"/>
      <c r="J661" s="147"/>
    </row>
    <row r="662">
      <c r="A662" s="146">
        <v>661.0</v>
      </c>
      <c r="B662" s="13" t="s">
        <v>208</v>
      </c>
      <c r="C662" s="13" t="s">
        <v>208</v>
      </c>
      <c r="D662" s="13" t="s">
        <v>208</v>
      </c>
      <c r="E662" s="13" t="s">
        <v>208</v>
      </c>
      <c r="F662" s="13" t="s">
        <v>208</v>
      </c>
      <c r="G662" s="67"/>
      <c r="H662" s="67"/>
      <c r="I662" s="67"/>
      <c r="J662" s="147"/>
    </row>
    <row r="663">
      <c r="A663" s="146">
        <v>662.0</v>
      </c>
      <c r="B663" s="13" t="s">
        <v>208</v>
      </c>
      <c r="C663" s="13" t="s">
        <v>208</v>
      </c>
      <c r="D663" s="13" t="s">
        <v>208</v>
      </c>
      <c r="E663" s="13" t="s">
        <v>208</v>
      </c>
      <c r="F663" s="13" t="s">
        <v>208</v>
      </c>
      <c r="G663" s="67"/>
      <c r="H663" s="67"/>
      <c r="I663" s="67"/>
      <c r="J663" s="147"/>
    </row>
    <row r="664">
      <c r="A664" s="146">
        <v>663.0</v>
      </c>
      <c r="B664" s="13" t="s">
        <v>208</v>
      </c>
      <c r="C664" s="13" t="s">
        <v>208</v>
      </c>
      <c r="D664" s="99"/>
      <c r="E664" s="13" t="s">
        <v>208</v>
      </c>
      <c r="F664" s="13" t="s">
        <v>208</v>
      </c>
      <c r="G664" s="67"/>
      <c r="H664" s="67"/>
      <c r="I664" s="67"/>
      <c r="J664" s="147"/>
    </row>
    <row r="665">
      <c r="A665" s="146">
        <v>664.0</v>
      </c>
      <c r="B665" s="13" t="s">
        <v>208</v>
      </c>
      <c r="C665" s="13" t="s">
        <v>208</v>
      </c>
      <c r="D665" s="13" t="s">
        <v>208</v>
      </c>
      <c r="E665" s="13" t="s">
        <v>208</v>
      </c>
      <c r="F665" s="13" t="s">
        <v>208</v>
      </c>
      <c r="G665" s="67"/>
      <c r="H665" s="67"/>
      <c r="I665" s="67"/>
      <c r="J665" s="147"/>
    </row>
    <row r="666">
      <c r="A666" s="146">
        <v>665.0</v>
      </c>
      <c r="B666" s="13" t="s">
        <v>208</v>
      </c>
      <c r="C666" s="13" t="s">
        <v>208</v>
      </c>
      <c r="D666" s="13" t="s">
        <v>208</v>
      </c>
      <c r="E666" s="13" t="s">
        <v>208</v>
      </c>
      <c r="F666" s="13" t="s">
        <v>208</v>
      </c>
      <c r="G666" s="67"/>
      <c r="H666" s="67"/>
      <c r="I666" s="67"/>
      <c r="J666" s="147"/>
    </row>
    <row r="667">
      <c r="A667" s="146">
        <v>666.0</v>
      </c>
      <c r="B667" s="13" t="s">
        <v>208</v>
      </c>
      <c r="C667" s="13" t="s">
        <v>208</v>
      </c>
      <c r="D667" s="13" t="s">
        <v>208</v>
      </c>
      <c r="E667" s="13" t="s">
        <v>208</v>
      </c>
      <c r="F667" s="13" t="s">
        <v>208</v>
      </c>
      <c r="G667" s="67"/>
      <c r="H667" s="67"/>
      <c r="I667" s="67"/>
      <c r="J667" s="147"/>
    </row>
    <row r="668">
      <c r="A668" s="146">
        <v>667.0</v>
      </c>
      <c r="B668" s="13" t="s">
        <v>208</v>
      </c>
      <c r="C668" s="13" t="s">
        <v>208</v>
      </c>
      <c r="D668" s="13" t="s">
        <v>208</v>
      </c>
      <c r="E668" s="13" t="s">
        <v>208</v>
      </c>
      <c r="F668" s="13" t="s">
        <v>208</v>
      </c>
      <c r="G668" s="67"/>
      <c r="H668" s="67"/>
      <c r="I668" s="67"/>
      <c r="J668" s="147"/>
    </row>
    <row r="669">
      <c r="A669" s="146">
        <v>668.0</v>
      </c>
      <c r="B669" s="13" t="s">
        <v>208</v>
      </c>
      <c r="C669" s="13" t="s">
        <v>208</v>
      </c>
      <c r="D669" s="13" t="s">
        <v>208</v>
      </c>
      <c r="E669" s="13" t="s">
        <v>208</v>
      </c>
      <c r="F669" s="13" t="s">
        <v>208</v>
      </c>
      <c r="G669" s="67"/>
      <c r="H669" s="67"/>
      <c r="I669" s="67"/>
      <c r="J669" s="147"/>
    </row>
    <row r="670">
      <c r="A670" s="146">
        <v>669.0</v>
      </c>
      <c r="B670" s="13" t="s">
        <v>208</v>
      </c>
      <c r="C670" s="99"/>
      <c r="D670" s="13" t="s">
        <v>208</v>
      </c>
      <c r="E670" s="13" t="s">
        <v>208</v>
      </c>
      <c r="F670" s="13" t="s">
        <v>208</v>
      </c>
      <c r="G670" s="67"/>
      <c r="H670" s="67"/>
      <c r="I670" s="67"/>
      <c r="J670" s="147"/>
    </row>
    <row r="671">
      <c r="A671" s="146">
        <v>670.0</v>
      </c>
      <c r="B671" s="13" t="s">
        <v>208</v>
      </c>
      <c r="C671" s="13" t="s">
        <v>208</v>
      </c>
      <c r="D671" s="13" t="s">
        <v>208</v>
      </c>
      <c r="E671" s="13" t="s">
        <v>208</v>
      </c>
      <c r="F671" s="13" t="s">
        <v>208</v>
      </c>
      <c r="G671" s="67"/>
      <c r="H671" s="67"/>
      <c r="I671" s="67"/>
      <c r="J671" s="147"/>
    </row>
    <row r="672">
      <c r="A672" s="146">
        <v>671.0</v>
      </c>
      <c r="B672" s="13" t="s">
        <v>208</v>
      </c>
      <c r="C672" s="13" t="s">
        <v>208</v>
      </c>
      <c r="D672" s="13" t="s">
        <v>208</v>
      </c>
      <c r="E672" s="13" t="s">
        <v>208</v>
      </c>
      <c r="F672" s="13" t="s">
        <v>208</v>
      </c>
      <c r="G672" s="67"/>
      <c r="H672" s="67"/>
      <c r="I672" s="67"/>
      <c r="J672" s="147"/>
    </row>
    <row r="673">
      <c r="A673" s="146">
        <v>672.0</v>
      </c>
      <c r="B673" s="13" t="s">
        <v>208</v>
      </c>
      <c r="C673" s="13" t="s">
        <v>208</v>
      </c>
      <c r="D673" s="13" t="s">
        <v>208</v>
      </c>
      <c r="E673" s="13" t="s">
        <v>208</v>
      </c>
      <c r="F673" s="13" t="s">
        <v>208</v>
      </c>
      <c r="G673" s="67"/>
      <c r="H673" s="67"/>
      <c r="I673" s="67"/>
      <c r="J673" s="147"/>
    </row>
    <row r="674">
      <c r="A674" s="146">
        <v>673.0</v>
      </c>
      <c r="B674" s="13" t="s">
        <v>208</v>
      </c>
      <c r="C674" s="13" t="s">
        <v>208</v>
      </c>
      <c r="D674" s="13" t="s">
        <v>208</v>
      </c>
      <c r="E674" s="13" t="s">
        <v>208</v>
      </c>
      <c r="F674" s="13" t="s">
        <v>208</v>
      </c>
      <c r="G674" s="67"/>
      <c r="H674" s="67"/>
      <c r="I674" s="67"/>
      <c r="J674" s="147"/>
    </row>
    <row r="675">
      <c r="A675" s="146">
        <v>674.0</v>
      </c>
      <c r="B675" s="67"/>
      <c r="C675" s="13" t="s">
        <v>208</v>
      </c>
      <c r="D675" s="13" t="s">
        <v>208</v>
      </c>
      <c r="E675" s="13" t="s">
        <v>208</v>
      </c>
      <c r="F675" s="67"/>
      <c r="G675" s="13" t="s">
        <v>208</v>
      </c>
      <c r="H675" s="67"/>
      <c r="I675" s="67"/>
      <c r="J675" s="147"/>
    </row>
    <row r="676">
      <c r="A676" s="146">
        <v>675.0</v>
      </c>
      <c r="B676" s="13" t="s">
        <v>208</v>
      </c>
      <c r="C676" s="13" t="s">
        <v>208</v>
      </c>
      <c r="D676" s="13" t="s">
        <v>208</v>
      </c>
      <c r="E676" s="13" t="s">
        <v>208</v>
      </c>
      <c r="F676" s="13" t="s">
        <v>208</v>
      </c>
      <c r="G676" s="67"/>
      <c r="H676" s="67"/>
      <c r="I676" s="67"/>
      <c r="J676" s="147"/>
    </row>
    <row r="677">
      <c r="A677" s="146">
        <v>676.0</v>
      </c>
      <c r="B677" s="13" t="s">
        <v>208</v>
      </c>
      <c r="C677" s="13" t="s">
        <v>208</v>
      </c>
      <c r="D677" s="13" t="s">
        <v>208</v>
      </c>
      <c r="E677" s="13" t="s">
        <v>208</v>
      </c>
      <c r="F677" s="13" t="s">
        <v>208</v>
      </c>
      <c r="G677" s="67"/>
      <c r="H677" s="67"/>
      <c r="I677" s="67"/>
      <c r="J677" s="147"/>
    </row>
    <row r="678">
      <c r="A678" s="146">
        <v>677.0</v>
      </c>
      <c r="B678" s="13" t="s">
        <v>208</v>
      </c>
      <c r="C678" s="13" t="s">
        <v>208</v>
      </c>
      <c r="D678" s="13" t="s">
        <v>208</v>
      </c>
      <c r="E678" s="13" t="s">
        <v>208</v>
      </c>
      <c r="F678" s="13" t="s">
        <v>208</v>
      </c>
      <c r="G678" s="67"/>
      <c r="H678" s="67"/>
      <c r="I678" s="67"/>
      <c r="J678" s="147"/>
    </row>
    <row r="679">
      <c r="A679" s="146">
        <v>678.0</v>
      </c>
      <c r="B679" s="13" t="s">
        <v>208</v>
      </c>
      <c r="C679" s="13" t="s">
        <v>208</v>
      </c>
      <c r="D679" s="13" t="s">
        <v>208</v>
      </c>
      <c r="E679" s="13" t="s">
        <v>208</v>
      </c>
      <c r="F679" s="13" t="s">
        <v>208</v>
      </c>
      <c r="G679" s="67"/>
      <c r="H679" s="67"/>
      <c r="I679" s="67"/>
      <c r="J679" s="147"/>
    </row>
    <row r="680">
      <c r="A680" s="146">
        <v>679.0</v>
      </c>
      <c r="B680" s="13" t="s">
        <v>208</v>
      </c>
      <c r="C680" s="13" t="s">
        <v>208</v>
      </c>
      <c r="D680" s="13" t="s">
        <v>208</v>
      </c>
      <c r="E680" s="13" t="s">
        <v>208</v>
      </c>
      <c r="F680" s="13" t="s">
        <v>208</v>
      </c>
      <c r="G680" s="67"/>
      <c r="H680" s="67"/>
      <c r="I680" s="67"/>
      <c r="J680" s="147"/>
    </row>
    <row r="681">
      <c r="A681" s="146">
        <v>680.0</v>
      </c>
      <c r="B681" s="67"/>
      <c r="C681" s="13" t="s">
        <v>208</v>
      </c>
      <c r="D681" s="13" t="s">
        <v>208</v>
      </c>
      <c r="E681" s="13" t="s">
        <v>208</v>
      </c>
      <c r="F681" s="67"/>
      <c r="G681" s="13" t="s">
        <v>208</v>
      </c>
      <c r="H681" s="67"/>
      <c r="I681" s="67"/>
      <c r="J681" s="147"/>
    </row>
    <row r="682">
      <c r="A682" s="146">
        <v>681.0</v>
      </c>
      <c r="B682" s="13" t="s">
        <v>208</v>
      </c>
      <c r="C682" s="13" t="s">
        <v>208</v>
      </c>
      <c r="D682" s="99"/>
      <c r="E682" s="13" t="s">
        <v>208</v>
      </c>
      <c r="F682" s="13" t="s">
        <v>208</v>
      </c>
      <c r="G682" s="67"/>
      <c r="H682" s="67"/>
      <c r="I682" s="67"/>
      <c r="J682" s="147"/>
    </row>
    <row r="683">
      <c r="A683" s="146">
        <v>682.0</v>
      </c>
      <c r="B683" s="13" t="s">
        <v>208</v>
      </c>
      <c r="C683" s="13" t="s">
        <v>208</v>
      </c>
      <c r="D683" s="13" t="s">
        <v>208</v>
      </c>
      <c r="E683" s="13" t="s">
        <v>208</v>
      </c>
      <c r="F683" s="13" t="s">
        <v>208</v>
      </c>
      <c r="G683" s="67"/>
      <c r="H683" s="67"/>
      <c r="I683" s="67"/>
      <c r="J683" s="147"/>
    </row>
    <row r="684">
      <c r="A684" s="146">
        <v>683.0</v>
      </c>
      <c r="B684" s="13" t="s">
        <v>208</v>
      </c>
      <c r="C684" s="13" t="s">
        <v>208</v>
      </c>
      <c r="D684" s="13" t="s">
        <v>208</v>
      </c>
      <c r="E684" s="13" t="s">
        <v>208</v>
      </c>
      <c r="F684" s="13" t="s">
        <v>208</v>
      </c>
      <c r="G684" s="67"/>
      <c r="H684" s="67"/>
      <c r="I684" s="67"/>
      <c r="J684" s="147"/>
    </row>
    <row r="685">
      <c r="A685" s="146">
        <v>684.0</v>
      </c>
      <c r="B685" s="13" t="s">
        <v>208</v>
      </c>
      <c r="C685" s="13" t="s">
        <v>208</v>
      </c>
      <c r="D685" s="13" t="s">
        <v>208</v>
      </c>
      <c r="E685" s="13" t="s">
        <v>208</v>
      </c>
      <c r="F685" s="13" t="s">
        <v>208</v>
      </c>
      <c r="G685" s="67"/>
      <c r="H685" s="67"/>
      <c r="I685" s="67"/>
      <c r="J685" s="147"/>
    </row>
    <row r="686">
      <c r="A686" s="146">
        <v>685.0</v>
      </c>
      <c r="B686" s="13" t="s">
        <v>208</v>
      </c>
      <c r="C686" s="13" t="s">
        <v>208</v>
      </c>
      <c r="D686" s="13" t="s">
        <v>208</v>
      </c>
      <c r="E686" s="13" t="s">
        <v>208</v>
      </c>
      <c r="F686" s="13" t="s">
        <v>208</v>
      </c>
      <c r="G686" s="67"/>
      <c r="H686" s="67"/>
      <c r="I686" s="67"/>
      <c r="J686" s="147"/>
    </row>
    <row r="687">
      <c r="A687" s="146">
        <v>686.0</v>
      </c>
      <c r="B687" s="13" t="s">
        <v>208</v>
      </c>
      <c r="C687" s="13" t="s">
        <v>208</v>
      </c>
      <c r="D687" s="13" t="s">
        <v>208</v>
      </c>
      <c r="E687" s="13" t="s">
        <v>208</v>
      </c>
      <c r="F687" s="13" t="s">
        <v>208</v>
      </c>
      <c r="G687" s="67"/>
      <c r="H687" s="67"/>
      <c r="I687" s="67"/>
      <c r="J687" s="147"/>
    </row>
    <row r="688">
      <c r="A688" s="146">
        <v>687.0</v>
      </c>
      <c r="B688" s="13" t="s">
        <v>208</v>
      </c>
      <c r="C688" s="13" t="s">
        <v>208</v>
      </c>
      <c r="D688" s="13" t="s">
        <v>208</v>
      </c>
      <c r="E688" s="13" t="s">
        <v>208</v>
      </c>
      <c r="F688" s="13" t="s">
        <v>208</v>
      </c>
      <c r="G688" s="67"/>
      <c r="H688" s="67"/>
      <c r="I688" s="67"/>
      <c r="J688" s="147"/>
    </row>
    <row r="689">
      <c r="A689" s="146">
        <v>688.0</v>
      </c>
      <c r="B689" s="13" t="s">
        <v>208</v>
      </c>
      <c r="C689" s="13" t="s">
        <v>208</v>
      </c>
      <c r="D689" s="13" t="s">
        <v>208</v>
      </c>
      <c r="E689" s="13" t="s">
        <v>208</v>
      </c>
      <c r="F689" s="13" t="s">
        <v>208</v>
      </c>
      <c r="G689" s="67"/>
      <c r="H689" s="67"/>
      <c r="I689" s="67"/>
      <c r="J689" s="147"/>
    </row>
    <row r="690">
      <c r="A690" s="146">
        <v>689.0</v>
      </c>
      <c r="B690" s="13" t="s">
        <v>208</v>
      </c>
      <c r="C690" s="13" t="s">
        <v>208</v>
      </c>
      <c r="D690" s="13" t="s">
        <v>208</v>
      </c>
      <c r="E690" s="13" t="s">
        <v>208</v>
      </c>
      <c r="F690" s="13" t="s">
        <v>208</v>
      </c>
      <c r="G690" s="67"/>
      <c r="H690" s="67"/>
      <c r="I690" s="67"/>
      <c r="J690" s="147"/>
    </row>
    <row r="691">
      <c r="A691" s="146">
        <v>690.0</v>
      </c>
      <c r="B691" s="13" t="s">
        <v>208</v>
      </c>
      <c r="C691" s="13" t="s">
        <v>208</v>
      </c>
      <c r="D691" s="13" t="s">
        <v>208</v>
      </c>
      <c r="E691" s="13" t="s">
        <v>208</v>
      </c>
      <c r="F691" s="13" t="s">
        <v>208</v>
      </c>
      <c r="G691" s="67"/>
      <c r="H691" s="67"/>
      <c r="I691" s="67"/>
      <c r="J691" s="147"/>
    </row>
    <row r="692">
      <c r="A692" s="146">
        <v>691.0</v>
      </c>
      <c r="B692" s="13" t="s">
        <v>208</v>
      </c>
      <c r="C692" s="13" t="s">
        <v>208</v>
      </c>
      <c r="D692" s="13" t="s">
        <v>208</v>
      </c>
      <c r="E692" s="13" t="s">
        <v>208</v>
      </c>
      <c r="F692" s="13" t="s">
        <v>208</v>
      </c>
      <c r="G692" s="67"/>
      <c r="H692" s="67"/>
      <c r="I692" s="67"/>
      <c r="J692" s="147"/>
    </row>
    <row r="693">
      <c r="A693" s="146">
        <v>692.0</v>
      </c>
      <c r="B693" s="13" t="s">
        <v>208</v>
      </c>
      <c r="C693" s="13" t="s">
        <v>208</v>
      </c>
      <c r="D693" s="13" t="s">
        <v>208</v>
      </c>
      <c r="E693" s="13" t="s">
        <v>208</v>
      </c>
      <c r="F693" s="13" t="s">
        <v>208</v>
      </c>
      <c r="G693" s="67"/>
      <c r="H693" s="67"/>
      <c r="I693" s="67"/>
      <c r="J693" s="147"/>
    </row>
    <row r="694">
      <c r="A694" s="146">
        <v>693.0</v>
      </c>
      <c r="B694" s="13" t="s">
        <v>208</v>
      </c>
      <c r="C694" s="13" t="s">
        <v>208</v>
      </c>
      <c r="D694" s="13" t="s">
        <v>208</v>
      </c>
      <c r="E694" s="13" t="s">
        <v>208</v>
      </c>
      <c r="F694" s="13" t="s">
        <v>208</v>
      </c>
      <c r="G694" s="67"/>
      <c r="H694" s="67"/>
      <c r="I694" s="67"/>
      <c r="J694" s="147"/>
    </row>
    <row r="695">
      <c r="A695" s="146">
        <v>694.0</v>
      </c>
      <c r="B695" s="13" t="s">
        <v>208</v>
      </c>
      <c r="C695" s="13" t="s">
        <v>208</v>
      </c>
      <c r="D695" s="13" t="s">
        <v>208</v>
      </c>
      <c r="E695" s="13" t="s">
        <v>208</v>
      </c>
      <c r="F695" s="13" t="s">
        <v>208</v>
      </c>
      <c r="G695" s="67"/>
      <c r="H695" s="67"/>
      <c r="I695" s="67"/>
      <c r="J695" s="147"/>
    </row>
    <row r="696">
      <c r="A696" s="146">
        <v>695.0</v>
      </c>
      <c r="B696" s="13" t="s">
        <v>208</v>
      </c>
      <c r="C696" s="13" t="s">
        <v>208</v>
      </c>
      <c r="D696" s="13" t="s">
        <v>208</v>
      </c>
      <c r="E696" s="13" t="s">
        <v>208</v>
      </c>
      <c r="F696" s="13" t="s">
        <v>208</v>
      </c>
      <c r="G696" s="67"/>
      <c r="H696" s="67"/>
      <c r="I696" s="67"/>
      <c r="J696" s="147"/>
    </row>
    <row r="697">
      <c r="A697" s="146">
        <v>696.0</v>
      </c>
      <c r="B697" s="13" t="s">
        <v>208</v>
      </c>
      <c r="C697" s="13" t="s">
        <v>208</v>
      </c>
      <c r="D697" s="99"/>
      <c r="E697" s="13" t="s">
        <v>208</v>
      </c>
      <c r="F697" s="13" t="s">
        <v>208</v>
      </c>
      <c r="G697" s="67"/>
      <c r="H697" s="67"/>
      <c r="I697" s="67"/>
      <c r="J697" s="147"/>
    </row>
    <row r="698">
      <c r="A698" s="146">
        <v>697.0</v>
      </c>
      <c r="B698" s="13" t="s">
        <v>208</v>
      </c>
      <c r="C698" s="13" t="s">
        <v>208</v>
      </c>
      <c r="D698" s="13" t="s">
        <v>208</v>
      </c>
      <c r="E698" s="13" t="s">
        <v>208</v>
      </c>
      <c r="F698" s="13" t="s">
        <v>208</v>
      </c>
      <c r="G698" s="67"/>
      <c r="H698" s="67"/>
      <c r="I698" s="67"/>
      <c r="J698" s="147"/>
    </row>
    <row r="699">
      <c r="A699" s="146">
        <v>698.0</v>
      </c>
      <c r="B699" s="67"/>
      <c r="C699" s="13" t="s">
        <v>208</v>
      </c>
      <c r="D699" s="13" t="s">
        <v>208</v>
      </c>
      <c r="E699" s="13" t="s">
        <v>208</v>
      </c>
      <c r="F699" s="67"/>
      <c r="G699" s="13" t="s">
        <v>208</v>
      </c>
      <c r="H699" s="67"/>
      <c r="I699" s="67"/>
      <c r="J699" s="147"/>
    </row>
    <row r="700">
      <c r="A700" s="146">
        <v>699.0</v>
      </c>
      <c r="B700" s="174"/>
      <c r="C700" s="174"/>
      <c r="D700" s="174"/>
      <c r="E700" s="174"/>
      <c r="F700" s="174"/>
      <c r="G700" s="187"/>
      <c r="H700" s="175" t="s">
        <v>217</v>
      </c>
      <c r="I700" s="67"/>
      <c r="J700" s="147"/>
    </row>
    <row r="701">
      <c r="A701" s="146">
        <v>700.0</v>
      </c>
      <c r="B701" s="13" t="s">
        <v>208</v>
      </c>
      <c r="C701" s="13" t="s">
        <v>208</v>
      </c>
      <c r="D701" s="13" t="s">
        <v>208</v>
      </c>
      <c r="E701" s="13" t="s">
        <v>208</v>
      </c>
      <c r="F701" s="13" t="s">
        <v>208</v>
      </c>
      <c r="G701" s="67"/>
      <c r="H701" s="67"/>
      <c r="I701" s="67"/>
      <c r="J701" s="147"/>
    </row>
    <row r="702">
      <c r="A702" s="146">
        <v>701.0</v>
      </c>
      <c r="B702" s="13" t="s">
        <v>208</v>
      </c>
      <c r="C702" s="13" t="s">
        <v>208</v>
      </c>
      <c r="D702" s="13" t="s">
        <v>208</v>
      </c>
      <c r="E702" s="13" t="s">
        <v>208</v>
      </c>
      <c r="F702" s="13" t="s">
        <v>208</v>
      </c>
      <c r="G702" s="67"/>
      <c r="H702" s="67"/>
      <c r="I702" s="67"/>
      <c r="J702" s="147"/>
    </row>
    <row r="703">
      <c r="A703" s="146">
        <v>702.0</v>
      </c>
      <c r="B703" s="13" t="s">
        <v>208</v>
      </c>
      <c r="C703" s="13" t="s">
        <v>208</v>
      </c>
      <c r="D703" s="13" t="s">
        <v>208</v>
      </c>
      <c r="E703" s="13" t="s">
        <v>208</v>
      </c>
      <c r="F703" s="13" t="s">
        <v>208</v>
      </c>
      <c r="G703" s="67"/>
      <c r="H703" s="67"/>
      <c r="I703" s="67"/>
      <c r="J703" s="147"/>
    </row>
    <row r="704">
      <c r="A704" s="146">
        <v>703.0</v>
      </c>
      <c r="B704" s="67"/>
      <c r="C704" s="13" t="s">
        <v>208</v>
      </c>
      <c r="D704" s="13" t="s">
        <v>208</v>
      </c>
      <c r="E704" s="67"/>
      <c r="F704" s="67"/>
      <c r="G704" s="67"/>
      <c r="H704" s="67"/>
      <c r="I704" s="13" t="s">
        <v>208</v>
      </c>
      <c r="J704" s="147"/>
    </row>
    <row r="705">
      <c r="A705" s="146">
        <v>704.0</v>
      </c>
      <c r="B705" s="174"/>
      <c r="C705" s="174"/>
      <c r="D705" s="174"/>
      <c r="E705" s="174"/>
      <c r="F705" s="174"/>
      <c r="G705" s="187"/>
      <c r="H705" s="175" t="s">
        <v>217</v>
      </c>
      <c r="I705" s="67"/>
      <c r="J705" s="147"/>
    </row>
    <row r="706">
      <c r="A706" s="146">
        <v>705.0</v>
      </c>
      <c r="B706" s="174"/>
      <c r="C706" s="174"/>
      <c r="D706" s="174"/>
      <c r="E706" s="174"/>
      <c r="F706" s="174"/>
      <c r="G706" s="187"/>
      <c r="H706" s="175" t="s">
        <v>217</v>
      </c>
      <c r="I706" s="67"/>
      <c r="J706" s="147"/>
    </row>
    <row r="707">
      <c r="A707" s="146">
        <v>706.0</v>
      </c>
      <c r="B707" s="174"/>
      <c r="C707" s="174"/>
      <c r="D707" s="174"/>
      <c r="E707" s="174"/>
      <c r="F707" s="174"/>
      <c r="G707" s="187"/>
      <c r="H707" s="175" t="s">
        <v>217</v>
      </c>
      <c r="I707" s="67"/>
      <c r="J707" s="147"/>
    </row>
    <row r="708">
      <c r="A708" s="146">
        <v>707.0</v>
      </c>
      <c r="B708" s="174"/>
      <c r="C708" s="174"/>
      <c r="D708" s="174"/>
      <c r="E708" s="174"/>
      <c r="F708" s="174"/>
      <c r="G708" s="187"/>
      <c r="H708" s="175" t="s">
        <v>217</v>
      </c>
      <c r="I708" s="67"/>
      <c r="J708" s="147"/>
    </row>
    <row r="709">
      <c r="A709" s="146">
        <v>708.0</v>
      </c>
      <c r="B709" s="13" t="s">
        <v>208</v>
      </c>
      <c r="C709" s="13" t="s">
        <v>208</v>
      </c>
      <c r="D709" s="13" t="s">
        <v>208</v>
      </c>
      <c r="E709" s="13" t="s">
        <v>208</v>
      </c>
      <c r="F709" s="13" t="s">
        <v>208</v>
      </c>
      <c r="G709" s="67"/>
      <c r="H709" s="67"/>
      <c r="I709" s="67"/>
      <c r="J709" s="147"/>
    </row>
    <row r="710">
      <c r="A710" s="146">
        <v>709.0</v>
      </c>
      <c r="B710" s="13" t="s">
        <v>208</v>
      </c>
      <c r="C710" s="99"/>
      <c r="D710" s="99"/>
      <c r="E710" s="13" t="s">
        <v>208</v>
      </c>
      <c r="F710" s="13" t="s">
        <v>208</v>
      </c>
      <c r="G710" s="67"/>
      <c r="H710" s="67"/>
      <c r="I710" s="67"/>
      <c r="J710" s="147"/>
    </row>
    <row r="711">
      <c r="A711" s="146">
        <v>710.0</v>
      </c>
      <c r="B711" s="13" t="s">
        <v>208</v>
      </c>
      <c r="C711" s="13" t="s">
        <v>208</v>
      </c>
      <c r="D711" s="99"/>
      <c r="E711" s="13" t="s">
        <v>208</v>
      </c>
      <c r="F711" s="13" t="s">
        <v>208</v>
      </c>
      <c r="G711" s="67"/>
      <c r="H711" s="67"/>
      <c r="I711" s="67"/>
      <c r="J711" s="147"/>
    </row>
    <row r="712">
      <c r="A712" s="146">
        <v>711.0</v>
      </c>
      <c r="B712" s="13" t="s">
        <v>208</v>
      </c>
      <c r="C712" s="13" t="s">
        <v>208</v>
      </c>
      <c r="D712" s="13" t="s">
        <v>208</v>
      </c>
      <c r="E712" s="13" t="s">
        <v>208</v>
      </c>
      <c r="F712" s="13" t="s">
        <v>208</v>
      </c>
      <c r="G712" s="67"/>
      <c r="H712" s="67"/>
      <c r="I712" s="67"/>
      <c r="J712" s="147"/>
    </row>
    <row r="713">
      <c r="A713" s="146">
        <v>712.0</v>
      </c>
      <c r="B713" s="174"/>
      <c r="C713" s="174"/>
      <c r="D713" s="174"/>
      <c r="E713" s="174"/>
      <c r="F713" s="174"/>
      <c r="G713" s="187"/>
      <c r="H713" s="175" t="s">
        <v>217</v>
      </c>
      <c r="I713" s="67"/>
      <c r="J713" s="147"/>
    </row>
    <row r="714">
      <c r="A714" s="146">
        <v>713.0</v>
      </c>
      <c r="B714" s="174"/>
      <c r="C714" s="174"/>
      <c r="D714" s="174"/>
      <c r="E714" s="174"/>
      <c r="F714" s="174"/>
      <c r="G714" s="187"/>
      <c r="H714" s="175" t="s">
        <v>217</v>
      </c>
      <c r="I714" s="67"/>
      <c r="J714" s="147"/>
    </row>
    <row r="715">
      <c r="A715" s="146">
        <v>714.0</v>
      </c>
      <c r="B715" s="174"/>
      <c r="C715" s="174"/>
      <c r="D715" s="174"/>
      <c r="E715" s="174"/>
      <c r="F715" s="174"/>
      <c r="G715" s="187"/>
      <c r="H715" s="175" t="s">
        <v>217</v>
      </c>
      <c r="I715" s="67"/>
      <c r="J715" s="147"/>
    </row>
    <row r="716">
      <c r="A716" s="146">
        <v>715.0</v>
      </c>
      <c r="B716" s="174"/>
      <c r="C716" s="174"/>
      <c r="D716" s="174"/>
      <c r="E716" s="174"/>
      <c r="F716" s="174"/>
      <c r="G716" s="187"/>
      <c r="H716" s="175" t="s">
        <v>217</v>
      </c>
      <c r="I716" s="67"/>
      <c r="J716" s="147"/>
    </row>
    <row r="717">
      <c r="A717" s="146">
        <v>716.0</v>
      </c>
      <c r="B717" s="174"/>
      <c r="C717" s="174"/>
      <c r="D717" s="174"/>
      <c r="E717" s="174"/>
      <c r="F717" s="174"/>
      <c r="G717" s="187"/>
      <c r="H717" s="175" t="s">
        <v>217</v>
      </c>
      <c r="I717" s="67"/>
      <c r="J717" s="147"/>
    </row>
    <row r="718">
      <c r="A718" s="146">
        <v>717.0</v>
      </c>
      <c r="B718" s="174"/>
      <c r="C718" s="174"/>
      <c r="D718" s="174"/>
      <c r="E718" s="174"/>
      <c r="F718" s="174"/>
      <c r="G718" s="187"/>
      <c r="H718" s="175" t="s">
        <v>217</v>
      </c>
      <c r="I718" s="67"/>
      <c r="J718" s="147"/>
    </row>
    <row r="719">
      <c r="A719" s="146">
        <v>718.0</v>
      </c>
      <c r="B719" s="174"/>
      <c r="C719" s="174"/>
      <c r="D719" s="174"/>
      <c r="E719" s="174"/>
      <c r="F719" s="174"/>
      <c r="G719" s="187"/>
      <c r="H719" s="175" t="s">
        <v>217</v>
      </c>
      <c r="I719" s="67"/>
      <c r="J719" s="147"/>
    </row>
    <row r="720">
      <c r="A720" s="146">
        <v>719.0</v>
      </c>
      <c r="B720" s="174"/>
      <c r="C720" s="174"/>
      <c r="D720" s="174"/>
      <c r="E720" s="174"/>
      <c r="F720" s="174"/>
      <c r="G720" s="187"/>
      <c r="H720" s="175" t="s">
        <v>217</v>
      </c>
      <c r="I720" s="67"/>
      <c r="J720" s="147"/>
    </row>
    <row r="721">
      <c r="A721" s="146">
        <v>720.0</v>
      </c>
      <c r="B721" s="174"/>
      <c r="C721" s="174"/>
      <c r="D721" s="174"/>
      <c r="E721" s="174"/>
      <c r="F721" s="174"/>
      <c r="G721" s="187"/>
      <c r="H721" s="175" t="s">
        <v>217</v>
      </c>
      <c r="I721" s="67"/>
      <c r="J721" s="147"/>
    </row>
    <row r="722">
      <c r="A722" s="146">
        <v>721.0</v>
      </c>
      <c r="B722" s="174"/>
      <c r="C722" s="174"/>
      <c r="D722" s="174"/>
      <c r="E722" s="174"/>
      <c r="F722" s="174"/>
      <c r="G722" s="187"/>
      <c r="H722" s="175" t="s">
        <v>217</v>
      </c>
      <c r="I722" s="67"/>
      <c r="J722" s="147"/>
    </row>
    <row r="723">
      <c r="A723" s="177">
        <v>722.0</v>
      </c>
      <c r="B723" s="67"/>
      <c r="C723" s="13" t="s">
        <v>208</v>
      </c>
      <c r="D723" s="99"/>
      <c r="E723" s="13" t="s">
        <v>208</v>
      </c>
      <c r="F723" s="67"/>
      <c r="G723" s="13" t="s">
        <v>208</v>
      </c>
      <c r="H723" s="67"/>
      <c r="I723" s="67"/>
      <c r="J723" s="147"/>
    </row>
    <row r="724">
      <c r="A724" s="146">
        <v>723.0</v>
      </c>
      <c r="B724" s="13" t="s">
        <v>208</v>
      </c>
      <c r="C724" s="13" t="s">
        <v>208</v>
      </c>
      <c r="D724" s="13" t="s">
        <v>208</v>
      </c>
      <c r="E724" s="13" t="s">
        <v>208</v>
      </c>
      <c r="F724" s="13" t="s">
        <v>208</v>
      </c>
      <c r="G724" s="67"/>
      <c r="H724" s="67"/>
      <c r="I724" s="67"/>
      <c r="J724" s="147"/>
    </row>
    <row r="725">
      <c r="A725" s="146">
        <v>724.0</v>
      </c>
      <c r="B725" s="13" t="s">
        <v>208</v>
      </c>
      <c r="C725" s="13" t="s">
        <v>208</v>
      </c>
      <c r="D725" s="13" t="s">
        <v>208</v>
      </c>
      <c r="E725" s="13" t="s">
        <v>208</v>
      </c>
      <c r="F725" s="13" t="s">
        <v>208</v>
      </c>
      <c r="G725" s="67"/>
      <c r="H725" s="67"/>
      <c r="I725" s="67"/>
      <c r="J725" s="147"/>
    </row>
    <row r="726">
      <c r="A726" s="146">
        <v>725.0</v>
      </c>
      <c r="B726" s="13" t="s">
        <v>208</v>
      </c>
      <c r="C726" s="13" t="s">
        <v>208</v>
      </c>
      <c r="D726" s="13" t="s">
        <v>208</v>
      </c>
      <c r="E726" s="13" t="s">
        <v>208</v>
      </c>
      <c r="F726" s="13" t="s">
        <v>208</v>
      </c>
      <c r="G726" s="67"/>
      <c r="H726" s="67"/>
      <c r="I726" s="67"/>
      <c r="J726" s="147"/>
    </row>
    <row r="727">
      <c r="A727" s="146">
        <v>726.0</v>
      </c>
      <c r="B727" s="13" t="s">
        <v>208</v>
      </c>
      <c r="C727" s="13" t="s">
        <v>208</v>
      </c>
      <c r="D727" s="13" t="s">
        <v>208</v>
      </c>
      <c r="E727" s="13" t="s">
        <v>208</v>
      </c>
      <c r="F727" s="13" t="s">
        <v>208</v>
      </c>
      <c r="G727" s="67"/>
      <c r="H727" s="67"/>
      <c r="I727" s="67"/>
      <c r="J727" s="147"/>
    </row>
    <row r="728">
      <c r="A728" s="146">
        <v>727.0</v>
      </c>
      <c r="B728" s="13" t="s">
        <v>208</v>
      </c>
      <c r="C728" s="13" t="s">
        <v>208</v>
      </c>
      <c r="D728" s="13" t="s">
        <v>208</v>
      </c>
      <c r="E728" s="13" t="s">
        <v>208</v>
      </c>
      <c r="F728" s="13" t="s">
        <v>208</v>
      </c>
      <c r="G728" s="67"/>
      <c r="H728" s="67"/>
      <c r="I728" s="67"/>
      <c r="J728" s="147"/>
    </row>
    <row r="729">
      <c r="A729" s="146">
        <v>728.0</v>
      </c>
      <c r="B729" s="13" t="s">
        <v>208</v>
      </c>
      <c r="C729" s="13" t="s">
        <v>208</v>
      </c>
      <c r="D729" s="13" t="s">
        <v>208</v>
      </c>
      <c r="E729" s="13" t="s">
        <v>208</v>
      </c>
      <c r="F729" s="13" t="s">
        <v>208</v>
      </c>
      <c r="G729" s="67"/>
      <c r="H729" s="67"/>
      <c r="I729" s="67"/>
      <c r="J729" s="147"/>
    </row>
    <row r="730">
      <c r="A730" s="146">
        <v>729.0</v>
      </c>
      <c r="B730" s="13" t="s">
        <v>208</v>
      </c>
      <c r="C730" s="13" t="s">
        <v>208</v>
      </c>
      <c r="D730" s="13" t="s">
        <v>208</v>
      </c>
      <c r="E730" s="13" t="s">
        <v>208</v>
      </c>
      <c r="F730" s="13" t="s">
        <v>208</v>
      </c>
      <c r="G730" s="67"/>
      <c r="H730" s="67"/>
      <c r="I730" s="67"/>
      <c r="J730" s="147"/>
    </row>
    <row r="731">
      <c r="A731" s="146">
        <v>730.0</v>
      </c>
      <c r="B731" s="13" t="s">
        <v>208</v>
      </c>
      <c r="C731" s="13" t="s">
        <v>208</v>
      </c>
      <c r="D731" s="13" t="s">
        <v>208</v>
      </c>
      <c r="E731" s="13" t="s">
        <v>208</v>
      </c>
      <c r="F731" s="13" t="s">
        <v>208</v>
      </c>
      <c r="G731" s="67"/>
      <c r="H731" s="67"/>
      <c r="I731" s="67"/>
      <c r="J731" s="147"/>
    </row>
    <row r="732">
      <c r="A732" s="146">
        <v>731.0</v>
      </c>
      <c r="B732" s="13" t="s">
        <v>208</v>
      </c>
      <c r="C732" s="13" t="s">
        <v>208</v>
      </c>
      <c r="D732" s="13" t="s">
        <v>208</v>
      </c>
      <c r="E732" s="13" t="s">
        <v>208</v>
      </c>
      <c r="F732" s="13" t="s">
        <v>208</v>
      </c>
      <c r="G732" s="67"/>
      <c r="H732" s="67"/>
      <c r="I732" s="67"/>
      <c r="J732" s="147"/>
    </row>
    <row r="733">
      <c r="A733" s="146">
        <v>732.0</v>
      </c>
      <c r="B733" s="13" t="s">
        <v>208</v>
      </c>
      <c r="C733" s="13" t="s">
        <v>208</v>
      </c>
      <c r="D733" s="13" t="s">
        <v>208</v>
      </c>
      <c r="E733" s="13" t="s">
        <v>208</v>
      </c>
      <c r="F733" s="13" t="s">
        <v>208</v>
      </c>
      <c r="G733" s="67"/>
      <c r="H733" s="67"/>
      <c r="I733" s="67"/>
      <c r="J733" s="147"/>
    </row>
    <row r="734">
      <c r="A734" s="146">
        <v>733.0</v>
      </c>
      <c r="B734" s="13" t="s">
        <v>208</v>
      </c>
      <c r="C734" s="13" t="s">
        <v>208</v>
      </c>
      <c r="D734" s="13" t="s">
        <v>208</v>
      </c>
      <c r="E734" s="13" t="s">
        <v>208</v>
      </c>
      <c r="F734" s="13" t="s">
        <v>208</v>
      </c>
      <c r="G734" s="67"/>
      <c r="H734" s="67"/>
      <c r="I734" s="67"/>
      <c r="J734" s="147"/>
    </row>
    <row r="735">
      <c r="A735" s="146">
        <v>734.0</v>
      </c>
      <c r="B735" s="174"/>
      <c r="C735" s="174"/>
      <c r="D735" s="174"/>
      <c r="E735" s="174"/>
      <c r="F735" s="174"/>
      <c r="G735" s="187"/>
      <c r="H735" s="175" t="s">
        <v>217</v>
      </c>
      <c r="I735" s="67"/>
      <c r="J735" s="147"/>
    </row>
    <row r="736">
      <c r="A736" s="146">
        <v>735.0</v>
      </c>
      <c r="B736" s="174"/>
      <c r="C736" s="174"/>
      <c r="D736" s="174"/>
      <c r="E736" s="174"/>
      <c r="F736" s="174"/>
      <c r="G736" s="187"/>
      <c r="H736" s="175" t="s">
        <v>217</v>
      </c>
      <c r="I736" s="67"/>
      <c r="J736" s="147"/>
    </row>
    <row r="737">
      <c r="A737" s="146">
        <v>736.0</v>
      </c>
      <c r="B737" s="174"/>
      <c r="C737" s="174"/>
      <c r="D737" s="174"/>
      <c r="E737" s="174"/>
      <c r="F737" s="174"/>
      <c r="G737" s="187"/>
      <c r="H737" s="175" t="s">
        <v>217</v>
      </c>
      <c r="I737" s="67"/>
      <c r="J737" s="147"/>
    </row>
    <row r="738">
      <c r="A738" s="146">
        <v>737.0</v>
      </c>
      <c r="B738" s="174"/>
      <c r="C738" s="174"/>
      <c r="D738" s="174"/>
      <c r="E738" s="174"/>
      <c r="F738" s="174"/>
      <c r="G738" s="187"/>
      <c r="H738" s="175" t="s">
        <v>217</v>
      </c>
      <c r="I738" s="67"/>
      <c r="J738" s="147"/>
    </row>
    <row r="739">
      <c r="A739" s="146">
        <v>738.0</v>
      </c>
      <c r="B739" s="13" t="s">
        <v>208</v>
      </c>
      <c r="C739" s="13" t="s">
        <v>208</v>
      </c>
      <c r="D739" s="13" t="s">
        <v>208</v>
      </c>
      <c r="E739" s="13" t="s">
        <v>208</v>
      </c>
      <c r="F739" s="13" t="s">
        <v>208</v>
      </c>
      <c r="G739" s="67"/>
      <c r="H739" s="67"/>
      <c r="I739" s="67"/>
      <c r="J739" s="147"/>
    </row>
    <row r="740">
      <c r="A740" s="146">
        <v>739.0</v>
      </c>
      <c r="B740" s="13" t="s">
        <v>208</v>
      </c>
      <c r="C740" s="13" t="s">
        <v>208</v>
      </c>
      <c r="D740" s="13" t="s">
        <v>208</v>
      </c>
      <c r="E740" s="13" t="s">
        <v>208</v>
      </c>
      <c r="F740" s="13" t="s">
        <v>208</v>
      </c>
      <c r="G740" s="67"/>
      <c r="H740" s="67"/>
      <c r="I740" s="67"/>
      <c r="J740" s="147"/>
    </row>
    <row r="741">
      <c r="A741" s="146">
        <v>740.0</v>
      </c>
      <c r="B741" s="13" t="s">
        <v>208</v>
      </c>
      <c r="C741" s="13" t="s">
        <v>208</v>
      </c>
      <c r="D741" s="13" t="s">
        <v>208</v>
      </c>
      <c r="E741" s="13" t="s">
        <v>208</v>
      </c>
      <c r="F741" s="13" t="s">
        <v>208</v>
      </c>
      <c r="G741" s="67"/>
      <c r="H741" s="67"/>
      <c r="I741" s="67"/>
      <c r="J741" s="147"/>
    </row>
    <row r="742">
      <c r="A742" s="146">
        <v>741.0</v>
      </c>
      <c r="B742" s="13" t="s">
        <v>208</v>
      </c>
      <c r="C742" s="13" t="s">
        <v>208</v>
      </c>
      <c r="D742" s="13" t="s">
        <v>208</v>
      </c>
      <c r="E742" s="13" t="s">
        <v>208</v>
      </c>
      <c r="F742" s="13" t="s">
        <v>208</v>
      </c>
      <c r="G742" s="67"/>
      <c r="H742" s="67"/>
      <c r="I742" s="67"/>
      <c r="J742" s="147"/>
    </row>
    <row r="743">
      <c r="A743" s="146">
        <v>742.0</v>
      </c>
      <c r="B743" s="13" t="s">
        <v>208</v>
      </c>
      <c r="C743" s="13" t="s">
        <v>208</v>
      </c>
      <c r="D743" s="13" t="s">
        <v>208</v>
      </c>
      <c r="E743" s="13" t="s">
        <v>208</v>
      </c>
      <c r="F743" s="13" t="s">
        <v>208</v>
      </c>
      <c r="G743" s="67"/>
      <c r="H743" s="67"/>
      <c r="I743" s="67"/>
      <c r="J743" s="147"/>
    </row>
    <row r="744">
      <c r="A744" s="146">
        <v>743.0</v>
      </c>
      <c r="B744" s="13" t="s">
        <v>208</v>
      </c>
      <c r="C744" s="13" t="s">
        <v>208</v>
      </c>
      <c r="D744" s="13" t="s">
        <v>208</v>
      </c>
      <c r="E744" s="13" t="s">
        <v>208</v>
      </c>
      <c r="F744" s="13" t="s">
        <v>208</v>
      </c>
      <c r="G744" s="67"/>
      <c r="H744" s="67"/>
      <c r="I744" s="67"/>
      <c r="J744" s="147"/>
    </row>
    <row r="745">
      <c r="A745" s="146">
        <v>744.0</v>
      </c>
      <c r="B745" s="13" t="s">
        <v>208</v>
      </c>
      <c r="C745" s="13" t="s">
        <v>208</v>
      </c>
      <c r="D745" s="13" t="s">
        <v>208</v>
      </c>
      <c r="E745" s="13" t="s">
        <v>208</v>
      </c>
      <c r="F745" s="13" t="s">
        <v>208</v>
      </c>
      <c r="G745" s="67"/>
      <c r="H745" s="67"/>
      <c r="I745" s="67"/>
      <c r="J745" s="147"/>
    </row>
    <row r="746">
      <c r="A746" s="146">
        <v>745.0</v>
      </c>
      <c r="B746" s="13" t="s">
        <v>208</v>
      </c>
      <c r="C746" s="13" t="s">
        <v>208</v>
      </c>
      <c r="D746" s="13" t="s">
        <v>208</v>
      </c>
      <c r="E746" s="13" t="s">
        <v>208</v>
      </c>
      <c r="F746" s="13" t="s">
        <v>208</v>
      </c>
      <c r="G746" s="67"/>
      <c r="H746" s="67"/>
      <c r="I746" s="67"/>
      <c r="J746" s="147"/>
    </row>
    <row r="747">
      <c r="A747" s="146">
        <v>746.0</v>
      </c>
      <c r="B747" s="13" t="s">
        <v>208</v>
      </c>
      <c r="C747" s="13" t="s">
        <v>208</v>
      </c>
      <c r="D747" s="13" t="s">
        <v>208</v>
      </c>
      <c r="E747" s="13" t="s">
        <v>208</v>
      </c>
      <c r="F747" s="13" t="s">
        <v>208</v>
      </c>
      <c r="G747" s="67"/>
      <c r="H747" s="67"/>
      <c r="I747" s="67"/>
      <c r="J747" s="147"/>
    </row>
    <row r="748">
      <c r="A748" s="146">
        <v>747.0</v>
      </c>
      <c r="B748" s="13" t="s">
        <v>208</v>
      </c>
      <c r="C748" s="13" t="s">
        <v>208</v>
      </c>
      <c r="D748" s="13" t="s">
        <v>208</v>
      </c>
      <c r="E748" s="13" t="s">
        <v>208</v>
      </c>
      <c r="F748" s="13" t="s">
        <v>208</v>
      </c>
      <c r="G748" s="67"/>
      <c r="H748" s="67"/>
      <c r="I748" s="67"/>
      <c r="J748" s="147"/>
    </row>
    <row r="749">
      <c r="A749" s="146">
        <v>748.0</v>
      </c>
      <c r="B749" s="13" t="s">
        <v>208</v>
      </c>
      <c r="C749" s="13" t="s">
        <v>208</v>
      </c>
      <c r="D749" s="13" t="s">
        <v>208</v>
      </c>
      <c r="E749" s="13" t="s">
        <v>208</v>
      </c>
      <c r="F749" s="13" t="s">
        <v>208</v>
      </c>
      <c r="G749" s="67"/>
      <c r="H749" s="67"/>
      <c r="I749" s="67"/>
      <c r="J749" s="147"/>
    </row>
    <row r="750">
      <c r="A750" s="146">
        <v>749.0</v>
      </c>
      <c r="B750" s="67"/>
      <c r="C750" s="13" t="s">
        <v>208</v>
      </c>
      <c r="D750" s="13" t="s">
        <v>208</v>
      </c>
      <c r="E750" s="67"/>
      <c r="F750" s="67"/>
      <c r="G750" s="67"/>
      <c r="H750" s="67"/>
      <c r="I750" s="13" t="s">
        <v>208</v>
      </c>
      <c r="J750" s="147"/>
    </row>
    <row r="751">
      <c r="A751" s="146">
        <v>750.0</v>
      </c>
      <c r="B751" s="13" t="s">
        <v>208</v>
      </c>
      <c r="C751" s="13" t="s">
        <v>208</v>
      </c>
      <c r="D751" s="13" t="s">
        <v>208</v>
      </c>
      <c r="E751" s="13" t="s">
        <v>208</v>
      </c>
      <c r="F751" s="13" t="s">
        <v>208</v>
      </c>
      <c r="G751" s="67"/>
      <c r="H751" s="67"/>
      <c r="I751" s="67"/>
      <c r="J751" s="147"/>
    </row>
    <row r="752">
      <c r="A752" s="146">
        <v>751.0</v>
      </c>
      <c r="B752" s="174"/>
      <c r="C752" s="174"/>
      <c r="D752" s="174"/>
      <c r="E752" s="174"/>
      <c r="F752" s="174"/>
      <c r="G752" s="187"/>
      <c r="H752" s="175" t="s">
        <v>217</v>
      </c>
      <c r="I752" s="67"/>
      <c r="J752" s="147"/>
    </row>
    <row r="753">
      <c r="A753" s="146">
        <v>752.0</v>
      </c>
      <c r="B753" s="174"/>
      <c r="C753" s="174"/>
      <c r="D753" s="174"/>
      <c r="E753" s="174"/>
      <c r="F753" s="174"/>
      <c r="G753" s="187"/>
      <c r="H753" s="175" t="s">
        <v>217</v>
      </c>
      <c r="I753" s="67"/>
      <c r="J753" s="147"/>
    </row>
    <row r="754">
      <c r="A754" s="146">
        <v>753.0</v>
      </c>
      <c r="B754" s="13" t="s">
        <v>208</v>
      </c>
      <c r="C754" s="13" t="s">
        <v>208</v>
      </c>
      <c r="D754" s="99"/>
      <c r="E754" s="13" t="s">
        <v>208</v>
      </c>
      <c r="F754" s="13" t="s">
        <v>208</v>
      </c>
      <c r="G754" s="67"/>
      <c r="H754" s="67"/>
      <c r="I754" s="67"/>
      <c r="J754" s="147"/>
    </row>
    <row r="755">
      <c r="A755" s="177">
        <v>754.0</v>
      </c>
      <c r="B755" s="67"/>
      <c r="C755" s="13" t="s">
        <v>208</v>
      </c>
      <c r="D755" s="13" t="s">
        <v>208</v>
      </c>
      <c r="E755" s="13" t="s">
        <v>208</v>
      </c>
      <c r="F755" s="67"/>
      <c r="G755" s="13" t="s">
        <v>208</v>
      </c>
      <c r="H755" s="67"/>
      <c r="I755" s="67"/>
      <c r="J755" s="147"/>
    </row>
    <row r="756">
      <c r="A756" s="146">
        <v>755.0</v>
      </c>
      <c r="B756" s="13" t="s">
        <v>208</v>
      </c>
      <c r="C756" s="13" t="s">
        <v>208</v>
      </c>
      <c r="D756" s="13" t="s">
        <v>208</v>
      </c>
      <c r="E756" s="13" t="s">
        <v>208</v>
      </c>
      <c r="F756" s="13" t="s">
        <v>208</v>
      </c>
      <c r="G756" s="67"/>
      <c r="H756" s="67"/>
      <c r="I756" s="67"/>
      <c r="J756" s="147"/>
    </row>
    <row r="757">
      <c r="A757" s="146">
        <v>756.0</v>
      </c>
      <c r="B757" s="13" t="s">
        <v>208</v>
      </c>
      <c r="C757" s="13" t="s">
        <v>208</v>
      </c>
      <c r="D757" s="13" t="s">
        <v>208</v>
      </c>
      <c r="E757" s="13" t="s">
        <v>208</v>
      </c>
      <c r="F757" s="13" t="s">
        <v>208</v>
      </c>
      <c r="G757" s="67"/>
      <c r="H757" s="67"/>
      <c r="I757" s="67"/>
      <c r="J757" s="147"/>
    </row>
    <row r="758">
      <c r="A758" s="146">
        <v>757.0</v>
      </c>
      <c r="B758" s="13" t="s">
        <v>208</v>
      </c>
      <c r="C758" s="99"/>
      <c r="D758" s="13" t="s">
        <v>208</v>
      </c>
      <c r="E758" s="13" t="s">
        <v>208</v>
      </c>
      <c r="F758" s="13" t="s">
        <v>208</v>
      </c>
      <c r="G758" s="67"/>
      <c r="H758" s="67"/>
      <c r="I758" s="67"/>
      <c r="J758" s="147"/>
    </row>
    <row r="759">
      <c r="A759" s="177">
        <v>758.0</v>
      </c>
      <c r="B759" s="67"/>
      <c r="C759" s="13" t="s">
        <v>208</v>
      </c>
      <c r="D759" s="13" t="s">
        <v>208</v>
      </c>
      <c r="E759" s="13" t="s">
        <v>208</v>
      </c>
      <c r="F759" s="67"/>
      <c r="G759" s="13" t="s">
        <v>208</v>
      </c>
      <c r="H759" s="67"/>
      <c r="I759" s="67"/>
      <c r="J759" s="147"/>
    </row>
    <row r="760">
      <c r="A760" s="146">
        <v>759.0</v>
      </c>
      <c r="B760" s="13" t="s">
        <v>208</v>
      </c>
      <c r="C760" s="13" t="s">
        <v>208</v>
      </c>
      <c r="D760" s="13" t="s">
        <v>208</v>
      </c>
      <c r="E760" s="13" t="s">
        <v>208</v>
      </c>
      <c r="F760" s="13" t="s">
        <v>208</v>
      </c>
      <c r="G760" s="67"/>
      <c r="H760" s="67"/>
      <c r="I760" s="67"/>
      <c r="J760" s="147"/>
    </row>
    <row r="761">
      <c r="A761" s="146">
        <v>760.0</v>
      </c>
      <c r="B761" s="13" t="s">
        <v>208</v>
      </c>
      <c r="C761" s="13" t="s">
        <v>208</v>
      </c>
      <c r="D761" s="13" t="s">
        <v>208</v>
      </c>
      <c r="E761" s="13" t="s">
        <v>208</v>
      </c>
      <c r="F761" s="13" t="s">
        <v>208</v>
      </c>
      <c r="G761" s="67"/>
      <c r="H761" s="67"/>
      <c r="I761" s="67"/>
      <c r="J761" s="147"/>
    </row>
    <row r="762">
      <c r="A762" s="146">
        <v>761.0</v>
      </c>
      <c r="B762" s="174"/>
      <c r="C762" s="174"/>
      <c r="D762" s="174"/>
      <c r="E762" s="174"/>
      <c r="F762" s="174"/>
      <c r="G762" s="187"/>
      <c r="H762" s="175" t="s">
        <v>217</v>
      </c>
      <c r="I762" s="67"/>
      <c r="J762" s="147"/>
    </row>
    <row r="763">
      <c r="A763" s="146">
        <v>762.0</v>
      </c>
      <c r="B763" s="174"/>
      <c r="C763" s="174"/>
      <c r="D763" s="174"/>
      <c r="E763" s="174"/>
      <c r="F763" s="174"/>
      <c r="G763" s="187"/>
      <c r="H763" s="175" t="s">
        <v>217</v>
      </c>
      <c r="I763" s="67"/>
      <c r="J763" s="147"/>
    </row>
    <row r="764">
      <c r="A764" s="146">
        <v>763.0</v>
      </c>
      <c r="B764" s="13" t="s">
        <v>208</v>
      </c>
      <c r="C764" s="13" t="s">
        <v>208</v>
      </c>
      <c r="D764" s="13" t="s">
        <v>208</v>
      </c>
      <c r="E764" s="13" t="s">
        <v>208</v>
      </c>
      <c r="F764" s="13" t="s">
        <v>208</v>
      </c>
      <c r="G764" s="67"/>
      <c r="H764" s="67"/>
      <c r="I764" s="67"/>
      <c r="J764" s="147"/>
    </row>
    <row r="765">
      <c r="A765" s="146">
        <v>764.0</v>
      </c>
      <c r="B765" s="13" t="s">
        <v>208</v>
      </c>
      <c r="C765" s="13" t="s">
        <v>208</v>
      </c>
      <c r="D765" s="13" t="s">
        <v>208</v>
      </c>
      <c r="E765" s="13" t="s">
        <v>208</v>
      </c>
      <c r="F765" s="13" t="s">
        <v>208</v>
      </c>
      <c r="G765" s="67"/>
      <c r="H765" s="67"/>
      <c r="I765" s="67"/>
      <c r="J765" s="147"/>
    </row>
    <row r="766">
      <c r="A766" s="146">
        <v>765.0</v>
      </c>
      <c r="B766" s="13" t="s">
        <v>208</v>
      </c>
      <c r="C766" s="13" t="s">
        <v>208</v>
      </c>
      <c r="D766" s="13" t="s">
        <v>208</v>
      </c>
      <c r="E766" s="13" t="s">
        <v>208</v>
      </c>
      <c r="F766" s="13" t="s">
        <v>208</v>
      </c>
      <c r="G766" s="67"/>
      <c r="H766" s="67"/>
      <c r="I766" s="67"/>
      <c r="J766" s="147"/>
    </row>
    <row r="767">
      <c r="A767" s="146">
        <v>766.0</v>
      </c>
      <c r="B767" s="13" t="s">
        <v>208</v>
      </c>
      <c r="C767" s="13" t="s">
        <v>208</v>
      </c>
      <c r="D767" s="13" t="s">
        <v>208</v>
      </c>
      <c r="E767" s="13" t="s">
        <v>208</v>
      </c>
      <c r="F767" s="13" t="s">
        <v>208</v>
      </c>
      <c r="G767" s="67"/>
      <c r="H767" s="67"/>
      <c r="I767" s="67"/>
      <c r="J767" s="147"/>
    </row>
    <row r="768">
      <c r="A768" s="146">
        <v>767.0</v>
      </c>
      <c r="B768" s="13" t="s">
        <v>208</v>
      </c>
      <c r="C768" s="13" t="s">
        <v>208</v>
      </c>
      <c r="D768" s="13" t="s">
        <v>208</v>
      </c>
      <c r="E768" s="13" t="s">
        <v>208</v>
      </c>
      <c r="F768" s="13" t="s">
        <v>208</v>
      </c>
      <c r="G768" s="67"/>
      <c r="H768" s="67"/>
      <c r="I768" s="67"/>
      <c r="J768" s="147"/>
    </row>
    <row r="769">
      <c r="A769" s="177">
        <v>768.0</v>
      </c>
      <c r="B769" s="67"/>
      <c r="C769" s="13" t="s">
        <v>208</v>
      </c>
      <c r="D769" s="13" t="s">
        <v>208</v>
      </c>
      <c r="E769" s="13" t="s">
        <v>208</v>
      </c>
      <c r="F769" s="67"/>
      <c r="G769" s="13" t="s">
        <v>208</v>
      </c>
      <c r="H769" s="67"/>
      <c r="I769" s="67"/>
      <c r="J769" s="147"/>
    </row>
    <row r="770">
      <c r="A770" s="146">
        <v>769.0</v>
      </c>
      <c r="B770" s="13" t="s">
        <v>208</v>
      </c>
      <c r="C770" s="13" t="s">
        <v>208</v>
      </c>
      <c r="D770" s="13" t="s">
        <v>208</v>
      </c>
      <c r="E770" s="13" t="s">
        <v>208</v>
      </c>
      <c r="F770" s="13" t="s">
        <v>208</v>
      </c>
      <c r="G770" s="67"/>
      <c r="H770" s="67"/>
      <c r="I770" s="67"/>
      <c r="J770" s="147"/>
    </row>
    <row r="771">
      <c r="A771" s="146">
        <v>770.0</v>
      </c>
      <c r="B771" s="13" t="s">
        <v>208</v>
      </c>
      <c r="C771" s="13" t="s">
        <v>208</v>
      </c>
      <c r="D771" s="13" t="s">
        <v>208</v>
      </c>
      <c r="E771" s="13" t="s">
        <v>208</v>
      </c>
      <c r="F771" s="13" t="s">
        <v>208</v>
      </c>
      <c r="G771" s="67"/>
      <c r="H771" s="67"/>
      <c r="I771" s="67"/>
      <c r="J771" s="147"/>
    </row>
    <row r="772">
      <c r="A772" s="146">
        <v>771.0</v>
      </c>
      <c r="B772" s="13" t="s">
        <v>208</v>
      </c>
      <c r="C772" s="13" t="s">
        <v>208</v>
      </c>
      <c r="D772" s="13" t="s">
        <v>208</v>
      </c>
      <c r="E772" s="13" t="s">
        <v>208</v>
      </c>
      <c r="F772" s="13" t="s">
        <v>208</v>
      </c>
      <c r="G772" s="67"/>
      <c r="H772" s="67"/>
      <c r="I772" s="67"/>
      <c r="J772" s="147"/>
    </row>
    <row r="773">
      <c r="A773" s="146">
        <v>772.0</v>
      </c>
      <c r="B773" s="13" t="s">
        <v>208</v>
      </c>
      <c r="C773" s="13" t="s">
        <v>208</v>
      </c>
      <c r="D773" s="13" t="s">
        <v>208</v>
      </c>
      <c r="E773" s="13" t="s">
        <v>208</v>
      </c>
      <c r="F773" s="13" t="s">
        <v>208</v>
      </c>
      <c r="G773" s="67"/>
      <c r="H773" s="67"/>
      <c r="I773" s="67"/>
      <c r="J773" s="147"/>
    </row>
    <row r="774">
      <c r="A774" s="146">
        <v>773.0</v>
      </c>
      <c r="B774" s="13" t="s">
        <v>208</v>
      </c>
      <c r="C774" s="13" t="s">
        <v>208</v>
      </c>
      <c r="D774" s="13" t="s">
        <v>208</v>
      </c>
      <c r="E774" s="13" t="s">
        <v>208</v>
      </c>
      <c r="F774" s="13" t="s">
        <v>208</v>
      </c>
      <c r="G774" s="67"/>
      <c r="H774" s="67"/>
      <c r="I774" s="67"/>
      <c r="J774" s="147"/>
    </row>
    <row r="775">
      <c r="A775" s="146">
        <v>774.0</v>
      </c>
      <c r="B775" s="13" t="s">
        <v>208</v>
      </c>
      <c r="C775" s="13" t="s">
        <v>208</v>
      </c>
      <c r="D775" s="13" t="s">
        <v>208</v>
      </c>
      <c r="E775" s="13" t="s">
        <v>208</v>
      </c>
      <c r="F775" s="13" t="s">
        <v>208</v>
      </c>
      <c r="G775" s="67"/>
      <c r="H775" s="67"/>
      <c r="I775" s="67"/>
      <c r="J775" s="147"/>
    </row>
    <row r="776">
      <c r="A776" s="146">
        <v>775.0</v>
      </c>
      <c r="B776" s="13" t="s">
        <v>208</v>
      </c>
      <c r="C776" s="13" t="s">
        <v>208</v>
      </c>
      <c r="D776" s="13" t="s">
        <v>208</v>
      </c>
      <c r="E776" s="13" t="s">
        <v>208</v>
      </c>
      <c r="F776" s="13" t="s">
        <v>208</v>
      </c>
      <c r="G776" s="67"/>
      <c r="H776" s="67"/>
      <c r="I776" s="67"/>
      <c r="J776" s="147"/>
    </row>
    <row r="777">
      <c r="A777" s="146">
        <v>776.0</v>
      </c>
      <c r="B777" s="13" t="s">
        <v>208</v>
      </c>
      <c r="C777" s="13" t="s">
        <v>208</v>
      </c>
      <c r="D777" s="13" t="s">
        <v>208</v>
      </c>
      <c r="E777" s="13" t="s">
        <v>208</v>
      </c>
      <c r="F777" s="13" t="s">
        <v>208</v>
      </c>
      <c r="G777" s="67"/>
      <c r="H777" s="67"/>
      <c r="I777" s="67"/>
      <c r="J777" s="147"/>
    </row>
    <row r="778">
      <c r="A778" s="146">
        <v>777.0</v>
      </c>
      <c r="B778" s="174"/>
      <c r="C778" s="174"/>
      <c r="D778" s="174"/>
      <c r="E778" s="174"/>
      <c r="F778" s="174"/>
      <c r="G778" s="187"/>
      <c r="H778" s="175" t="s">
        <v>217</v>
      </c>
      <c r="I778" s="67"/>
      <c r="J778" s="147"/>
    </row>
    <row r="779">
      <c r="A779" s="146">
        <v>778.0</v>
      </c>
      <c r="B779" s="174"/>
      <c r="C779" s="174"/>
      <c r="D779" s="174"/>
      <c r="E779" s="174"/>
      <c r="F779" s="174"/>
      <c r="G779" s="187"/>
      <c r="H779" s="175" t="s">
        <v>217</v>
      </c>
      <c r="I779" s="67"/>
      <c r="J779" s="147"/>
    </row>
    <row r="780">
      <c r="A780" s="146">
        <v>779.0</v>
      </c>
      <c r="B780" s="174"/>
      <c r="C780" s="174"/>
      <c r="D780" s="174"/>
      <c r="E780" s="174"/>
      <c r="F780" s="174"/>
      <c r="G780" s="187"/>
      <c r="H780" s="175" t="s">
        <v>217</v>
      </c>
      <c r="I780" s="67"/>
      <c r="J780" s="147"/>
    </row>
    <row r="781">
      <c r="A781" s="146">
        <v>780.0</v>
      </c>
      <c r="B781" s="174"/>
      <c r="C781" s="174"/>
      <c r="D781" s="174"/>
      <c r="E781" s="174"/>
      <c r="F781" s="174"/>
      <c r="G781" s="187"/>
      <c r="H781" s="175" t="s">
        <v>217</v>
      </c>
      <c r="I781" s="67"/>
      <c r="J781" s="147"/>
    </row>
    <row r="782">
      <c r="A782" s="146">
        <v>781.0</v>
      </c>
      <c r="B782" s="174"/>
      <c r="C782" s="174"/>
      <c r="D782" s="174"/>
      <c r="E782" s="174"/>
      <c r="F782" s="174"/>
      <c r="G782" s="187"/>
      <c r="H782" s="175" t="s">
        <v>217</v>
      </c>
      <c r="I782" s="67"/>
      <c r="J782" s="147"/>
    </row>
    <row r="783">
      <c r="A783" s="146">
        <v>782.0</v>
      </c>
      <c r="B783" s="13" t="s">
        <v>208</v>
      </c>
      <c r="C783" s="13" t="s">
        <v>208</v>
      </c>
      <c r="D783" s="13" t="s">
        <v>208</v>
      </c>
      <c r="E783" s="13" t="s">
        <v>208</v>
      </c>
      <c r="F783" s="13" t="s">
        <v>208</v>
      </c>
      <c r="G783" s="67"/>
      <c r="H783" s="67"/>
      <c r="I783" s="67"/>
      <c r="J783" s="147"/>
    </row>
    <row r="784">
      <c r="A784" s="146">
        <v>783.0</v>
      </c>
      <c r="B784" s="13" t="s">
        <v>208</v>
      </c>
      <c r="C784" s="13" t="s">
        <v>208</v>
      </c>
      <c r="D784" s="13" t="s">
        <v>208</v>
      </c>
      <c r="E784" s="13" t="s">
        <v>208</v>
      </c>
      <c r="F784" s="13" t="s">
        <v>208</v>
      </c>
      <c r="G784" s="67"/>
      <c r="H784" s="67"/>
      <c r="I784" s="67"/>
      <c r="J784" s="147"/>
    </row>
    <row r="785">
      <c r="A785" s="146">
        <v>784.0</v>
      </c>
      <c r="B785" s="13" t="s">
        <v>208</v>
      </c>
      <c r="C785" s="13" t="s">
        <v>208</v>
      </c>
      <c r="D785" s="13" t="s">
        <v>208</v>
      </c>
      <c r="E785" s="13" t="s">
        <v>208</v>
      </c>
      <c r="F785" s="13" t="s">
        <v>208</v>
      </c>
      <c r="G785" s="67"/>
      <c r="H785" s="67"/>
      <c r="I785" s="67"/>
      <c r="J785" s="147"/>
    </row>
    <row r="786">
      <c r="A786" s="146">
        <v>785.0</v>
      </c>
      <c r="B786" s="13" t="s">
        <v>208</v>
      </c>
      <c r="C786" s="13" t="s">
        <v>208</v>
      </c>
      <c r="D786" s="13" t="s">
        <v>208</v>
      </c>
      <c r="E786" s="13" t="s">
        <v>208</v>
      </c>
      <c r="F786" s="13" t="s">
        <v>208</v>
      </c>
      <c r="G786" s="67"/>
      <c r="H786" s="67"/>
      <c r="I786" s="67"/>
      <c r="J786" s="147"/>
    </row>
    <row r="787">
      <c r="A787" s="146">
        <v>786.0</v>
      </c>
      <c r="B787" s="13" t="s">
        <v>208</v>
      </c>
      <c r="C787" s="13" t="s">
        <v>208</v>
      </c>
      <c r="D787" s="13" t="s">
        <v>208</v>
      </c>
      <c r="E787" s="13" t="s">
        <v>208</v>
      </c>
      <c r="F787" s="13" t="s">
        <v>208</v>
      </c>
      <c r="G787" s="67"/>
      <c r="H787" s="67"/>
      <c r="I787" s="67"/>
      <c r="J787" s="147"/>
    </row>
    <row r="788">
      <c r="A788" s="177">
        <v>787.0</v>
      </c>
      <c r="B788" s="67"/>
      <c r="C788" s="13" t="s">
        <v>208</v>
      </c>
      <c r="D788" s="13" t="s">
        <v>208</v>
      </c>
      <c r="E788" s="13" t="s">
        <v>208</v>
      </c>
      <c r="F788" s="67"/>
      <c r="G788" s="13" t="s">
        <v>208</v>
      </c>
      <c r="H788" s="67"/>
      <c r="I788" s="67"/>
      <c r="J788" s="147"/>
    </row>
    <row r="789">
      <c r="A789" s="146">
        <v>788.0</v>
      </c>
      <c r="B789" s="174"/>
      <c r="C789" s="174"/>
      <c r="D789" s="174"/>
      <c r="E789" s="174"/>
      <c r="F789" s="174"/>
      <c r="G789" s="187"/>
      <c r="H789" s="175" t="s">
        <v>217</v>
      </c>
      <c r="I789" s="67"/>
      <c r="J789" s="147"/>
    </row>
    <row r="790">
      <c r="A790" s="177">
        <v>789.0</v>
      </c>
      <c r="B790" s="67"/>
      <c r="C790" s="13" t="s">
        <v>208</v>
      </c>
      <c r="D790" s="13" t="s">
        <v>208</v>
      </c>
      <c r="E790" s="13" t="s">
        <v>208</v>
      </c>
      <c r="F790" s="67"/>
      <c r="G790" s="13" t="s">
        <v>208</v>
      </c>
      <c r="H790" s="67"/>
      <c r="I790" s="67"/>
      <c r="J790" s="147"/>
    </row>
    <row r="791">
      <c r="A791" s="146">
        <v>790.0</v>
      </c>
      <c r="B791" s="13" t="s">
        <v>208</v>
      </c>
      <c r="C791" s="13" t="s">
        <v>208</v>
      </c>
      <c r="D791" s="13" t="s">
        <v>208</v>
      </c>
      <c r="E791" s="13" t="s">
        <v>208</v>
      </c>
      <c r="F791" s="13" t="s">
        <v>208</v>
      </c>
      <c r="G791" s="67"/>
      <c r="H791" s="67"/>
      <c r="I791" s="67"/>
      <c r="J791" s="147"/>
    </row>
    <row r="792">
      <c r="A792" s="177">
        <v>791.0</v>
      </c>
      <c r="B792" s="67"/>
      <c r="C792" s="13" t="s">
        <v>208</v>
      </c>
      <c r="D792" s="13" t="s">
        <v>208</v>
      </c>
      <c r="E792" s="13" t="s">
        <v>208</v>
      </c>
      <c r="F792" s="67"/>
      <c r="G792" s="13" t="s">
        <v>208</v>
      </c>
      <c r="H792" s="67"/>
      <c r="I792" s="67"/>
      <c r="J792" s="147"/>
    </row>
    <row r="793">
      <c r="A793" s="146">
        <v>792.0</v>
      </c>
      <c r="B793" s="13" t="s">
        <v>208</v>
      </c>
      <c r="C793" s="13" t="s">
        <v>208</v>
      </c>
      <c r="D793" s="13" t="s">
        <v>208</v>
      </c>
      <c r="E793" s="13" t="s">
        <v>208</v>
      </c>
      <c r="F793" s="13" t="s">
        <v>208</v>
      </c>
      <c r="G793" s="67"/>
      <c r="H793" s="67"/>
      <c r="I793" s="67"/>
      <c r="J793" s="147"/>
    </row>
    <row r="794">
      <c r="A794" s="146">
        <v>793.0</v>
      </c>
      <c r="B794" s="13" t="s">
        <v>208</v>
      </c>
      <c r="C794" s="13" t="s">
        <v>208</v>
      </c>
      <c r="D794" s="13" t="s">
        <v>208</v>
      </c>
      <c r="E794" s="13" t="s">
        <v>208</v>
      </c>
      <c r="F794" s="13" t="s">
        <v>208</v>
      </c>
      <c r="G794" s="67"/>
      <c r="H794" s="67"/>
      <c r="I794" s="67"/>
      <c r="J794" s="147"/>
    </row>
    <row r="795">
      <c r="A795" s="146">
        <v>794.0</v>
      </c>
      <c r="B795" s="13" t="s">
        <v>208</v>
      </c>
      <c r="C795" s="13" t="s">
        <v>208</v>
      </c>
      <c r="D795" s="13" t="s">
        <v>208</v>
      </c>
      <c r="E795" s="13" t="s">
        <v>208</v>
      </c>
      <c r="F795" s="13" t="s">
        <v>208</v>
      </c>
      <c r="G795" s="67"/>
      <c r="H795" s="67"/>
      <c r="I795" s="67"/>
      <c r="J795" s="147"/>
    </row>
    <row r="796">
      <c r="A796" s="146">
        <v>795.0</v>
      </c>
      <c r="B796" s="67"/>
      <c r="C796" s="13" t="s">
        <v>208</v>
      </c>
      <c r="D796" s="13" t="s">
        <v>208</v>
      </c>
      <c r="E796" s="13" t="s">
        <v>208</v>
      </c>
      <c r="F796" s="67"/>
      <c r="G796" s="13" t="s">
        <v>208</v>
      </c>
      <c r="H796" s="67"/>
      <c r="I796" s="67"/>
      <c r="J796" s="147"/>
    </row>
    <row r="797">
      <c r="A797" s="146">
        <v>796.0</v>
      </c>
      <c r="B797" s="13" t="s">
        <v>208</v>
      </c>
      <c r="C797" s="13" t="s">
        <v>208</v>
      </c>
      <c r="D797" s="13" t="s">
        <v>208</v>
      </c>
      <c r="E797" s="13" t="s">
        <v>208</v>
      </c>
      <c r="F797" s="13" t="s">
        <v>208</v>
      </c>
      <c r="G797" s="67"/>
      <c r="H797" s="67"/>
      <c r="I797" s="67"/>
      <c r="J797" s="147"/>
    </row>
    <row r="798">
      <c r="A798" s="146">
        <v>797.0</v>
      </c>
      <c r="B798" s="174"/>
      <c r="C798" s="174"/>
      <c r="D798" s="174"/>
      <c r="E798" s="174"/>
      <c r="F798" s="174"/>
      <c r="G798" s="187"/>
      <c r="H798" s="175" t="s">
        <v>217</v>
      </c>
      <c r="I798" s="67"/>
      <c r="J798" s="147"/>
    </row>
    <row r="799">
      <c r="A799" s="146">
        <v>798.0</v>
      </c>
      <c r="B799" s="174"/>
      <c r="C799" s="174"/>
      <c r="D799" s="174"/>
      <c r="E799" s="174"/>
      <c r="F799" s="174"/>
      <c r="G799" s="187"/>
      <c r="H799" s="175" t="s">
        <v>217</v>
      </c>
      <c r="I799" s="67"/>
      <c r="J799" s="147"/>
    </row>
    <row r="800">
      <c r="A800" s="146">
        <v>799.0</v>
      </c>
      <c r="B800" s="13" t="s">
        <v>208</v>
      </c>
      <c r="C800" s="13" t="s">
        <v>208</v>
      </c>
      <c r="D800" s="13" t="s">
        <v>208</v>
      </c>
      <c r="E800" s="13" t="s">
        <v>208</v>
      </c>
      <c r="F800" s="13" t="s">
        <v>208</v>
      </c>
      <c r="G800" s="67"/>
      <c r="H800" s="67"/>
      <c r="I800" s="67"/>
      <c r="J800" s="147"/>
    </row>
    <row r="801">
      <c r="A801" s="146">
        <v>800.0</v>
      </c>
      <c r="B801" s="13" t="s">
        <v>208</v>
      </c>
      <c r="C801" s="13" t="s">
        <v>208</v>
      </c>
      <c r="D801" s="13" t="s">
        <v>208</v>
      </c>
      <c r="E801" s="13" t="s">
        <v>208</v>
      </c>
      <c r="F801" s="13" t="s">
        <v>208</v>
      </c>
      <c r="G801" s="67"/>
      <c r="H801" s="67"/>
      <c r="I801" s="67"/>
      <c r="J801" s="147"/>
    </row>
    <row r="802">
      <c r="A802" s="146">
        <v>801.0</v>
      </c>
      <c r="B802" s="13" t="s">
        <v>208</v>
      </c>
      <c r="C802" s="13" t="s">
        <v>208</v>
      </c>
      <c r="D802" s="13" t="s">
        <v>208</v>
      </c>
      <c r="E802" s="13" t="s">
        <v>208</v>
      </c>
      <c r="F802" s="13" t="s">
        <v>208</v>
      </c>
      <c r="G802" s="67"/>
      <c r="H802" s="67"/>
      <c r="I802" s="67"/>
      <c r="J802" s="147"/>
    </row>
    <row r="803">
      <c r="A803" s="146">
        <v>802.0</v>
      </c>
      <c r="B803" s="13" t="s">
        <v>208</v>
      </c>
      <c r="C803" s="13" t="s">
        <v>208</v>
      </c>
      <c r="D803" s="13" t="s">
        <v>208</v>
      </c>
      <c r="E803" s="13" t="s">
        <v>208</v>
      </c>
      <c r="F803" s="13" t="s">
        <v>208</v>
      </c>
      <c r="G803" s="67"/>
      <c r="H803" s="67"/>
      <c r="I803" s="67"/>
      <c r="J803" s="147"/>
    </row>
    <row r="804">
      <c r="A804" s="146">
        <v>803.0</v>
      </c>
      <c r="B804" s="13" t="s">
        <v>208</v>
      </c>
      <c r="C804" s="13" t="s">
        <v>208</v>
      </c>
      <c r="D804" s="13" t="s">
        <v>208</v>
      </c>
      <c r="E804" s="13" t="s">
        <v>208</v>
      </c>
      <c r="F804" s="13" t="s">
        <v>208</v>
      </c>
      <c r="G804" s="67"/>
      <c r="H804" s="67"/>
      <c r="I804" s="67"/>
      <c r="J804" s="147"/>
    </row>
    <row r="805">
      <c r="A805" s="146">
        <v>804.0</v>
      </c>
      <c r="B805" s="13" t="s">
        <v>208</v>
      </c>
      <c r="C805" s="13" t="s">
        <v>208</v>
      </c>
      <c r="D805" s="13" t="s">
        <v>208</v>
      </c>
      <c r="E805" s="13" t="s">
        <v>208</v>
      </c>
      <c r="F805" s="13" t="s">
        <v>208</v>
      </c>
      <c r="G805" s="67"/>
      <c r="H805" s="67"/>
      <c r="I805" s="67"/>
      <c r="J805" s="147"/>
    </row>
    <row r="806">
      <c r="A806" s="146">
        <v>805.0</v>
      </c>
      <c r="B806" s="13" t="s">
        <v>208</v>
      </c>
      <c r="C806" s="13" t="s">
        <v>208</v>
      </c>
      <c r="D806" s="13" t="s">
        <v>208</v>
      </c>
      <c r="E806" s="13" t="s">
        <v>208</v>
      </c>
      <c r="F806" s="13" t="s">
        <v>208</v>
      </c>
      <c r="G806" s="67"/>
      <c r="H806" s="67"/>
      <c r="I806" s="67"/>
      <c r="J806" s="147"/>
    </row>
    <row r="807">
      <c r="A807" s="177">
        <v>806.0</v>
      </c>
      <c r="B807" s="67"/>
      <c r="C807" s="13" t="s">
        <v>208</v>
      </c>
      <c r="D807" s="13" t="s">
        <v>208</v>
      </c>
      <c r="E807" s="13" t="s">
        <v>208</v>
      </c>
      <c r="F807" s="67"/>
      <c r="G807" s="13" t="s">
        <v>208</v>
      </c>
      <c r="H807" s="67"/>
      <c r="I807" s="67"/>
      <c r="J807" s="147"/>
    </row>
    <row r="808">
      <c r="A808" s="177">
        <v>807.0</v>
      </c>
      <c r="B808" s="67"/>
      <c r="C808" s="13" t="s">
        <v>208</v>
      </c>
      <c r="D808" s="13" t="s">
        <v>208</v>
      </c>
      <c r="E808" s="13" t="s">
        <v>208</v>
      </c>
      <c r="F808" s="67"/>
      <c r="G808" s="13" t="s">
        <v>208</v>
      </c>
      <c r="H808" s="67"/>
      <c r="I808" s="67"/>
      <c r="J808" s="147"/>
    </row>
    <row r="809">
      <c r="A809" s="146">
        <v>808.0</v>
      </c>
      <c r="B809" s="13" t="s">
        <v>208</v>
      </c>
      <c r="C809" s="13" t="s">
        <v>208</v>
      </c>
      <c r="D809" s="13" t="s">
        <v>208</v>
      </c>
      <c r="E809" s="13" t="s">
        <v>208</v>
      </c>
      <c r="F809" s="13" t="s">
        <v>208</v>
      </c>
      <c r="G809" s="67"/>
      <c r="H809" s="67"/>
      <c r="I809" s="67"/>
      <c r="J809" s="147"/>
    </row>
    <row r="810">
      <c r="A810" s="146">
        <v>809.0</v>
      </c>
      <c r="B810" s="13" t="s">
        <v>208</v>
      </c>
      <c r="C810" s="13" t="s">
        <v>208</v>
      </c>
      <c r="D810" s="13" t="s">
        <v>208</v>
      </c>
      <c r="E810" s="13" t="s">
        <v>208</v>
      </c>
      <c r="F810" s="13" t="s">
        <v>208</v>
      </c>
      <c r="G810" s="67"/>
      <c r="H810" s="67"/>
      <c r="I810" s="67"/>
      <c r="J810" s="147"/>
    </row>
    <row r="811">
      <c r="A811" s="146">
        <v>810.0</v>
      </c>
      <c r="B811" s="13" t="s">
        <v>208</v>
      </c>
      <c r="C811" s="13" t="s">
        <v>208</v>
      </c>
      <c r="D811" s="13" t="s">
        <v>208</v>
      </c>
      <c r="E811" s="13" t="s">
        <v>208</v>
      </c>
      <c r="F811" s="13" t="s">
        <v>208</v>
      </c>
      <c r="G811" s="67"/>
      <c r="H811" s="67"/>
      <c r="I811" s="67"/>
      <c r="J811" s="147"/>
    </row>
    <row r="812">
      <c r="A812" s="146">
        <v>811.0</v>
      </c>
      <c r="B812" s="13" t="s">
        <v>208</v>
      </c>
      <c r="C812" s="13" t="s">
        <v>208</v>
      </c>
      <c r="D812" s="13" t="s">
        <v>208</v>
      </c>
      <c r="E812" s="13" t="s">
        <v>208</v>
      </c>
      <c r="F812" s="13" t="s">
        <v>208</v>
      </c>
      <c r="G812" s="67"/>
      <c r="H812" s="67"/>
      <c r="I812" s="67"/>
      <c r="J812" s="147"/>
    </row>
    <row r="813">
      <c r="A813" s="146">
        <v>812.0</v>
      </c>
      <c r="B813" s="174"/>
      <c r="C813" s="174"/>
      <c r="D813" s="174"/>
      <c r="E813" s="174"/>
      <c r="F813" s="174"/>
      <c r="G813" s="187"/>
      <c r="H813" s="175" t="s">
        <v>217</v>
      </c>
      <c r="I813" s="67"/>
      <c r="J813" s="147"/>
    </row>
    <row r="814">
      <c r="A814" s="177">
        <v>813.0</v>
      </c>
      <c r="B814" s="67"/>
      <c r="C814" s="13" t="s">
        <v>208</v>
      </c>
      <c r="D814" s="13" t="s">
        <v>208</v>
      </c>
      <c r="E814" s="13" t="s">
        <v>208</v>
      </c>
      <c r="F814" s="67"/>
      <c r="G814" s="13" t="s">
        <v>208</v>
      </c>
      <c r="H814" s="67"/>
      <c r="I814" s="67"/>
      <c r="J814" s="147"/>
    </row>
    <row r="815">
      <c r="A815" s="146">
        <v>814.0</v>
      </c>
      <c r="B815" s="13" t="s">
        <v>208</v>
      </c>
      <c r="C815" s="13" t="s">
        <v>208</v>
      </c>
      <c r="D815" s="13" t="s">
        <v>208</v>
      </c>
      <c r="E815" s="13" t="s">
        <v>208</v>
      </c>
      <c r="F815" s="13" t="s">
        <v>208</v>
      </c>
      <c r="G815" s="67"/>
      <c r="H815" s="67"/>
      <c r="I815" s="67"/>
      <c r="J815" s="147"/>
    </row>
    <row r="816">
      <c r="A816" s="146">
        <v>815.0</v>
      </c>
      <c r="B816" s="13" t="s">
        <v>208</v>
      </c>
      <c r="C816" s="13" t="s">
        <v>208</v>
      </c>
      <c r="D816" s="13" t="s">
        <v>208</v>
      </c>
      <c r="E816" s="13" t="s">
        <v>208</v>
      </c>
      <c r="F816" s="13" t="s">
        <v>208</v>
      </c>
      <c r="G816" s="67"/>
      <c r="H816" s="67"/>
      <c r="I816" s="67"/>
      <c r="J816" s="147"/>
    </row>
    <row r="817">
      <c r="A817" s="146">
        <v>816.0</v>
      </c>
      <c r="B817" s="13" t="s">
        <v>208</v>
      </c>
      <c r="C817" s="13" t="s">
        <v>208</v>
      </c>
      <c r="D817" s="13" t="s">
        <v>208</v>
      </c>
      <c r="E817" s="13" t="s">
        <v>208</v>
      </c>
      <c r="F817" s="13" t="s">
        <v>208</v>
      </c>
      <c r="G817" s="67"/>
      <c r="H817" s="67"/>
      <c r="I817" s="67"/>
      <c r="J817" s="147"/>
    </row>
    <row r="818">
      <c r="A818" s="146">
        <v>817.0</v>
      </c>
      <c r="B818" s="13" t="s">
        <v>208</v>
      </c>
      <c r="C818" s="13" t="s">
        <v>208</v>
      </c>
      <c r="D818" s="13" t="s">
        <v>208</v>
      </c>
      <c r="E818" s="13" t="s">
        <v>208</v>
      </c>
      <c r="F818" s="13" t="s">
        <v>208</v>
      </c>
      <c r="G818" s="67"/>
      <c r="H818" s="67"/>
      <c r="I818" s="67"/>
      <c r="J818" s="147"/>
    </row>
    <row r="819">
      <c r="A819" s="146">
        <v>818.0</v>
      </c>
      <c r="B819" s="13" t="s">
        <v>208</v>
      </c>
      <c r="C819" s="13" t="s">
        <v>208</v>
      </c>
      <c r="D819" s="13" t="s">
        <v>208</v>
      </c>
      <c r="E819" s="13" t="s">
        <v>208</v>
      </c>
      <c r="F819" s="13" t="s">
        <v>208</v>
      </c>
      <c r="G819" s="67"/>
      <c r="H819" s="67"/>
      <c r="I819" s="67"/>
      <c r="J819" s="147"/>
    </row>
    <row r="820">
      <c r="A820" s="146">
        <v>819.0</v>
      </c>
      <c r="B820" s="13" t="s">
        <v>208</v>
      </c>
      <c r="C820" s="13" t="s">
        <v>208</v>
      </c>
      <c r="D820" s="13" t="s">
        <v>208</v>
      </c>
      <c r="E820" s="13" t="s">
        <v>208</v>
      </c>
      <c r="F820" s="13" t="s">
        <v>208</v>
      </c>
      <c r="G820" s="67"/>
      <c r="H820" s="67"/>
      <c r="I820" s="67"/>
      <c r="J820" s="147"/>
    </row>
    <row r="821">
      <c r="A821" s="146">
        <v>820.0</v>
      </c>
      <c r="B821" s="13" t="s">
        <v>208</v>
      </c>
      <c r="C821" s="13" t="s">
        <v>208</v>
      </c>
      <c r="D821" s="13" t="s">
        <v>208</v>
      </c>
      <c r="E821" s="13" t="s">
        <v>208</v>
      </c>
      <c r="F821" s="13" t="s">
        <v>208</v>
      </c>
      <c r="G821" s="67"/>
      <c r="H821" s="67"/>
      <c r="I821" s="67"/>
      <c r="J821" s="147"/>
    </row>
    <row r="822">
      <c r="A822" s="146">
        <v>821.0</v>
      </c>
      <c r="B822" s="13" t="s">
        <v>208</v>
      </c>
      <c r="C822" s="13" t="s">
        <v>208</v>
      </c>
      <c r="D822" s="13" t="s">
        <v>208</v>
      </c>
      <c r="E822" s="13" t="s">
        <v>208</v>
      </c>
      <c r="F822" s="13" t="s">
        <v>208</v>
      </c>
      <c r="G822" s="67"/>
      <c r="H822" s="67"/>
      <c r="I822" s="67"/>
      <c r="J822" s="147"/>
    </row>
    <row r="823">
      <c r="A823" s="146">
        <v>822.0</v>
      </c>
      <c r="B823" s="13" t="s">
        <v>208</v>
      </c>
      <c r="C823" s="13" t="s">
        <v>208</v>
      </c>
      <c r="D823" s="13" t="s">
        <v>208</v>
      </c>
      <c r="E823" s="13" t="s">
        <v>208</v>
      </c>
      <c r="F823" s="13" t="s">
        <v>208</v>
      </c>
      <c r="G823" s="67"/>
      <c r="H823" s="67"/>
      <c r="I823" s="67"/>
      <c r="J823" s="147"/>
    </row>
    <row r="824">
      <c r="A824" s="146">
        <v>823.0</v>
      </c>
      <c r="B824" s="13" t="s">
        <v>208</v>
      </c>
      <c r="C824" s="13" t="s">
        <v>208</v>
      </c>
      <c r="D824" s="13" t="s">
        <v>208</v>
      </c>
      <c r="E824" s="13" t="s">
        <v>208</v>
      </c>
      <c r="F824" s="13" t="s">
        <v>208</v>
      </c>
      <c r="G824" s="67"/>
      <c r="H824" s="67"/>
      <c r="I824" s="67"/>
      <c r="J824" s="147"/>
    </row>
    <row r="825">
      <c r="A825" s="146">
        <v>824.0</v>
      </c>
      <c r="B825" s="13" t="s">
        <v>208</v>
      </c>
      <c r="C825" s="13" t="s">
        <v>208</v>
      </c>
      <c r="D825" s="13" t="s">
        <v>208</v>
      </c>
      <c r="E825" s="13" t="s">
        <v>208</v>
      </c>
      <c r="F825" s="13" t="s">
        <v>208</v>
      </c>
      <c r="G825" s="67"/>
      <c r="H825" s="67"/>
      <c r="I825" s="67"/>
      <c r="J825" s="147"/>
    </row>
    <row r="826">
      <c r="A826" s="146">
        <v>825.0</v>
      </c>
      <c r="B826" s="13" t="s">
        <v>208</v>
      </c>
      <c r="C826" s="13" t="s">
        <v>208</v>
      </c>
      <c r="D826" s="13" t="s">
        <v>208</v>
      </c>
      <c r="E826" s="13" t="s">
        <v>208</v>
      </c>
      <c r="F826" s="13" t="s">
        <v>208</v>
      </c>
      <c r="G826" s="67"/>
      <c r="H826" s="67"/>
      <c r="I826" s="67"/>
      <c r="J826" s="147"/>
    </row>
    <row r="827">
      <c r="A827" s="146">
        <v>826.0</v>
      </c>
      <c r="B827" s="13" t="s">
        <v>208</v>
      </c>
      <c r="C827" s="13" t="s">
        <v>208</v>
      </c>
      <c r="D827" s="13" t="s">
        <v>208</v>
      </c>
      <c r="E827" s="13" t="s">
        <v>208</v>
      </c>
      <c r="F827" s="13" t="s">
        <v>208</v>
      </c>
      <c r="G827" s="67"/>
      <c r="H827" s="67"/>
      <c r="I827" s="67"/>
      <c r="J827" s="147"/>
    </row>
    <row r="828">
      <c r="A828" s="146">
        <v>827.0</v>
      </c>
      <c r="B828" s="13" t="s">
        <v>208</v>
      </c>
      <c r="C828" s="13" t="s">
        <v>208</v>
      </c>
      <c r="D828" s="13" t="s">
        <v>208</v>
      </c>
      <c r="E828" s="13" t="s">
        <v>208</v>
      </c>
      <c r="F828" s="13" t="s">
        <v>208</v>
      </c>
      <c r="G828" s="67"/>
      <c r="H828" s="67"/>
      <c r="I828" s="67"/>
      <c r="J828" s="147"/>
    </row>
    <row r="829">
      <c r="A829" s="146">
        <v>828.0</v>
      </c>
      <c r="B829" s="13" t="s">
        <v>208</v>
      </c>
      <c r="C829" s="13" t="s">
        <v>208</v>
      </c>
      <c r="D829" s="13" t="s">
        <v>208</v>
      </c>
      <c r="E829" s="13" t="s">
        <v>208</v>
      </c>
      <c r="F829" s="13" t="s">
        <v>208</v>
      </c>
      <c r="G829" s="67"/>
      <c r="H829" s="67"/>
      <c r="I829" s="67"/>
      <c r="J829" s="147"/>
    </row>
    <row r="830">
      <c r="A830" s="146">
        <v>829.0</v>
      </c>
      <c r="B830" s="13" t="s">
        <v>208</v>
      </c>
      <c r="C830" s="13" t="s">
        <v>208</v>
      </c>
      <c r="D830" s="13" t="s">
        <v>208</v>
      </c>
      <c r="E830" s="13" t="s">
        <v>208</v>
      </c>
      <c r="F830" s="13" t="s">
        <v>208</v>
      </c>
      <c r="G830" s="67"/>
      <c r="H830" s="67"/>
      <c r="I830" s="67"/>
      <c r="J830" s="147"/>
    </row>
    <row r="831">
      <c r="A831" s="146">
        <v>830.0</v>
      </c>
      <c r="B831" s="13" t="s">
        <v>208</v>
      </c>
      <c r="C831" s="13" t="s">
        <v>208</v>
      </c>
      <c r="D831" s="13" t="s">
        <v>208</v>
      </c>
      <c r="E831" s="13" t="s">
        <v>208</v>
      </c>
      <c r="F831" s="13" t="s">
        <v>208</v>
      </c>
      <c r="G831" s="67"/>
      <c r="H831" s="67"/>
      <c r="I831" s="67"/>
      <c r="J831" s="147"/>
    </row>
    <row r="832">
      <c r="A832" s="146">
        <v>831.0</v>
      </c>
      <c r="B832" s="13" t="s">
        <v>208</v>
      </c>
      <c r="C832" s="13" t="s">
        <v>208</v>
      </c>
      <c r="D832" s="13" t="s">
        <v>208</v>
      </c>
      <c r="E832" s="13" t="s">
        <v>208</v>
      </c>
      <c r="F832" s="13" t="s">
        <v>208</v>
      </c>
      <c r="G832" s="67"/>
      <c r="H832" s="67"/>
      <c r="I832" s="67"/>
      <c r="J832" s="147"/>
    </row>
    <row r="833">
      <c r="A833" s="146">
        <v>832.0</v>
      </c>
      <c r="B833" s="13" t="s">
        <v>208</v>
      </c>
      <c r="C833" s="13" t="s">
        <v>208</v>
      </c>
      <c r="D833" s="13" t="s">
        <v>208</v>
      </c>
      <c r="E833" s="13" t="s">
        <v>208</v>
      </c>
      <c r="F833" s="13" t="s">
        <v>208</v>
      </c>
      <c r="G833" s="67"/>
      <c r="H833" s="67"/>
      <c r="I833" s="67"/>
      <c r="J833" s="147"/>
    </row>
    <row r="834">
      <c r="A834" s="146">
        <v>833.0</v>
      </c>
      <c r="B834" s="67"/>
      <c r="C834" s="13" t="s">
        <v>208</v>
      </c>
      <c r="D834" s="13" t="s">
        <v>208</v>
      </c>
      <c r="E834" s="13" t="s">
        <v>208</v>
      </c>
      <c r="F834" s="67"/>
      <c r="G834" s="13" t="s">
        <v>208</v>
      </c>
      <c r="H834" s="67"/>
      <c r="I834" s="67"/>
      <c r="J834" s="147"/>
    </row>
    <row r="835">
      <c r="A835" s="146">
        <v>834.0</v>
      </c>
      <c r="B835" s="13" t="s">
        <v>208</v>
      </c>
      <c r="C835" s="13" t="s">
        <v>208</v>
      </c>
      <c r="D835" s="13" t="s">
        <v>208</v>
      </c>
      <c r="E835" s="13" t="s">
        <v>208</v>
      </c>
      <c r="F835" s="13" t="s">
        <v>208</v>
      </c>
      <c r="G835" s="67"/>
      <c r="H835" s="67"/>
      <c r="I835" s="67"/>
      <c r="J835" s="147"/>
    </row>
    <row r="836">
      <c r="A836" s="146">
        <v>835.0</v>
      </c>
      <c r="B836" s="13" t="s">
        <v>208</v>
      </c>
      <c r="C836" s="13" t="s">
        <v>208</v>
      </c>
      <c r="D836" s="13" t="s">
        <v>208</v>
      </c>
      <c r="E836" s="13" t="s">
        <v>208</v>
      </c>
      <c r="F836" s="13" t="s">
        <v>208</v>
      </c>
      <c r="G836" s="67"/>
      <c r="H836" s="67"/>
      <c r="I836" s="67"/>
      <c r="J836" s="147"/>
    </row>
    <row r="837">
      <c r="A837" s="146">
        <v>836.0</v>
      </c>
      <c r="B837" s="13" t="s">
        <v>208</v>
      </c>
      <c r="C837" s="13" t="s">
        <v>208</v>
      </c>
      <c r="D837" s="13" t="s">
        <v>208</v>
      </c>
      <c r="E837" s="13" t="s">
        <v>208</v>
      </c>
      <c r="F837" s="13" t="s">
        <v>208</v>
      </c>
      <c r="G837" s="67"/>
      <c r="H837" s="67"/>
      <c r="I837" s="67"/>
      <c r="J837" s="147"/>
    </row>
    <row r="838">
      <c r="A838" s="146">
        <v>837.0</v>
      </c>
      <c r="B838" s="13" t="s">
        <v>208</v>
      </c>
      <c r="C838" s="13" t="s">
        <v>208</v>
      </c>
      <c r="D838" s="13" t="s">
        <v>208</v>
      </c>
      <c r="E838" s="13" t="s">
        <v>208</v>
      </c>
      <c r="F838" s="13" t="s">
        <v>208</v>
      </c>
      <c r="G838" s="67"/>
      <c r="H838" s="67"/>
      <c r="I838" s="67"/>
      <c r="J838" s="147"/>
    </row>
    <row r="839">
      <c r="A839" s="146">
        <v>838.0</v>
      </c>
      <c r="B839" s="67"/>
      <c r="C839" s="13" t="s">
        <v>208</v>
      </c>
      <c r="D839" s="13" t="s">
        <v>208</v>
      </c>
      <c r="E839" s="13" t="s">
        <v>208</v>
      </c>
      <c r="F839" s="67"/>
      <c r="G839" s="13" t="s">
        <v>208</v>
      </c>
      <c r="H839" s="67"/>
      <c r="I839" s="67"/>
      <c r="J839" s="147"/>
    </row>
    <row r="840">
      <c r="A840" s="146">
        <v>839.0</v>
      </c>
      <c r="B840" s="13" t="s">
        <v>208</v>
      </c>
      <c r="C840" s="13" t="s">
        <v>208</v>
      </c>
      <c r="D840" s="13" t="s">
        <v>208</v>
      </c>
      <c r="E840" s="13" t="s">
        <v>208</v>
      </c>
      <c r="F840" s="13" t="s">
        <v>208</v>
      </c>
      <c r="G840" s="67"/>
      <c r="H840" s="67"/>
      <c r="I840" s="67"/>
      <c r="J840" s="147"/>
    </row>
    <row r="841">
      <c r="A841" s="146">
        <v>840.0</v>
      </c>
      <c r="B841" s="67"/>
      <c r="C841" s="13" t="s">
        <v>208</v>
      </c>
      <c r="D841" s="13" t="s">
        <v>208</v>
      </c>
      <c r="E841" s="13" t="s">
        <v>208</v>
      </c>
      <c r="F841" s="67"/>
      <c r="G841" s="13" t="s">
        <v>208</v>
      </c>
      <c r="H841" s="67"/>
      <c r="I841" s="67"/>
      <c r="J841" s="147"/>
    </row>
    <row r="842">
      <c r="A842" s="146">
        <v>841.0</v>
      </c>
      <c r="B842" s="13" t="s">
        <v>208</v>
      </c>
      <c r="C842" s="13" t="s">
        <v>208</v>
      </c>
      <c r="D842" s="13" t="s">
        <v>208</v>
      </c>
      <c r="E842" s="13" t="s">
        <v>208</v>
      </c>
      <c r="F842" s="13" t="s">
        <v>208</v>
      </c>
      <c r="G842" s="67"/>
      <c r="H842" s="67"/>
      <c r="I842" s="67"/>
      <c r="J842" s="147"/>
    </row>
    <row r="843">
      <c r="A843" s="146">
        <v>842.0</v>
      </c>
      <c r="B843" s="13" t="s">
        <v>208</v>
      </c>
      <c r="C843" s="13" t="s">
        <v>208</v>
      </c>
      <c r="D843" s="13" t="s">
        <v>208</v>
      </c>
      <c r="E843" s="13" t="s">
        <v>208</v>
      </c>
      <c r="F843" s="13" t="s">
        <v>208</v>
      </c>
      <c r="G843" s="67"/>
      <c r="H843" s="67"/>
      <c r="I843" s="67"/>
      <c r="J843" s="147"/>
    </row>
    <row r="844">
      <c r="A844" s="146">
        <v>843.0</v>
      </c>
      <c r="B844" s="174"/>
      <c r="C844" s="174"/>
      <c r="D844" s="174"/>
      <c r="E844" s="174"/>
      <c r="F844" s="174"/>
      <c r="G844" s="187"/>
      <c r="H844" s="175" t="s">
        <v>217</v>
      </c>
      <c r="I844" s="67"/>
      <c r="J844" s="147"/>
    </row>
    <row r="845">
      <c r="A845" s="146">
        <v>844.0</v>
      </c>
      <c r="B845" s="13" t="s">
        <v>208</v>
      </c>
      <c r="C845" s="13" t="s">
        <v>208</v>
      </c>
      <c r="D845" s="13" t="s">
        <v>208</v>
      </c>
      <c r="E845" s="13" t="s">
        <v>208</v>
      </c>
      <c r="F845" s="13" t="s">
        <v>208</v>
      </c>
      <c r="G845" s="67"/>
      <c r="H845" s="67"/>
      <c r="I845" s="67"/>
      <c r="J845" s="147"/>
    </row>
    <row r="846">
      <c r="A846" s="146">
        <v>845.0</v>
      </c>
      <c r="B846" s="13" t="s">
        <v>208</v>
      </c>
      <c r="C846" s="13" t="s">
        <v>208</v>
      </c>
      <c r="D846" s="13" t="s">
        <v>208</v>
      </c>
      <c r="E846" s="13" t="s">
        <v>208</v>
      </c>
      <c r="F846" s="13" t="s">
        <v>208</v>
      </c>
      <c r="G846" s="67"/>
      <c r="H846" s="67"/>
      <c r="I846" s="67"/>
      <c r="J846" s="147"/>
    </row>
    <row r="847">
      <c r="A847" s="146">
        <v>846.0</v>
      </c>
      <c r="B847" s="13" t="s">
        <v>208</v>
      </c>
      <c r="C847" s="13" t="s">
        <v>208</v>
      </c>
      <c r="D847" s="13" t="s">
        <v>208</v>
      </c>
      <c r="E847" s="13" t="s">
        <v>208</v>
      </c>
      <c r="F847" s="13" t="s">
        <v>208</v>
      </c>
      <c r="G847" s="67"/>
      <c r="H847" s="67"/>
      <c r="I847" s="67"/>
      <c r="J847" s="147"/>
    </row>
    <row r="848">
      <c r="A848" s="146">
        <v>847.0</v>
      </c>
      <c r="B848" s="13" t="s">
        <v>208</v>
      </c>
      <c r="C848" s="13" t="s">
        <v>208</v>
      </c>
      <c r="D848" s="13" t="s">
        <v>208</v>
      </c>
      <c r="E848" s="13" t="s">
        <v>208</v>
      </c>
      <c r="F848" s="13" t="s">
        <v>208</v>
      </c>
      <c r="G848" s="67"/>
      <c r="H848" s="67"/>
      <c r="I848" s="67"/>
      <c r="J848" s="147"/>
    </row>
    <row r="849">
      <c r="A849" s="146">
        <v>848.0</v>
      </c>
      <c r="B849" s="13" t="s">
        <v>208</v>
      </c>
      <c r="C849" s="99"/>
      <c r="D849" s="13" t="s">
        <v>208</v>
      </c>
      <c r="E849" s="13" t="s">
        <v>208</v>
      </c>
      <c r="F849" s="13" t="s">
        <v>208</v>
      </c>
      <c r="G849" s="67"/>
      <c r="H849" s="67"/>
      <c r="I849" s="67"/>
      <c r="J849" s="147"/>
    </row>
    <row r="850">
      <c r="A850" s="146">
        <v>849.0</v>
      </c>
      <c r="B850" s="13" t="s">
        <v>208</v>
      </c>
      <c r="C850" s="13" t="s">
        <v>208</v>
      </c>
      <c r="D850" s="13" t="s">
        <v>208</v>
      </c>
      <c r="E850" s="13" t="s">
        <v>208</v>
      </c>
      <c r="F850" s="13" t="s">
        <v>208</v>
      </c>
      <c r="G850" s="67"/>
      <c r="H850" s="67"/>
      <c r="I850" s="67"/>
      <c r="J850" s="147"/>
    </row>
    <row r="851">
      <c r="A851" s="146">
        <v>850.0</v>
      </c>
      <c r="B851" s="13" t="s">
        <v>208</v>
      </c>
      <c r="C851" s="13" t="s">
        <v>208</v>
      </c>
      <c r="D851" s="13" t="s">
        <v>208</v>
      </c>
      <c r="E851" s="13" t="s">
        <v>208</v>
      </c>
      <c r="F851" s="13" t="s">
        <v>208</v>
      </c>
      <c r="G851" s="67"/>
      <c r="H851" s="67"/>
      <c r="I851" s="67"/>
      <c r="J851" s="147"/>
    </row>
    <row r="852">
      <c r="A852" s="177">
        <v>851.0</v>
      </c>
      <c r="B852" s="67"/>
      <c r="C852" s="13" t="s">
        <v>208</v>
      </c>
      <c r="D852" s="13" t="s">
        <v>208</v>
      </c>
      <c r="E852" s="13" t="s">
        <v>208</v>
      </c>
      <c r="F852" s="67"/>
      <c r="G852" s="13" t="s">
        <v>208</v>
      </c>
      <c r="H852" s="67"/>
      <c r="I852" s="67"/>
      <c r="J852" s="147"/>
    </row>
    <row r="853">
      <c r="A853" s="146">
        <v>852.0</v>
      </c>
      <c r="B853" s="13" t="s">
        <v>208</v>
      </c>
      <c r="C853" s="13" t="s">
        <v>208</v>
      </c>
      <c r="D853" s="13" t="s">
        <v>208</v>
      </c>
      <c r="E853" s="13" t="s">
        <v>208</v>
      </c>
      <c r="F853" s="13" t="s">
        <v>208</v>
      </c>
      <c r="G853" s="67"/>
      <c r="H853" s="67"/>
      <c r="I853" s="67"/>
      <c r="J853" s="147"/>
    </row>
    <row r="854">
      <c r="A854" s="146">
        <v>853.0</v>
      </c>
      <c r="B854" s="13" t="s">
        <v>208</v>
      </c>
      <c r="C854" s="13" t="s">
        <v>208</v>
      </c>
      <c r="D854" s="13" t="s">
        <v>208</v>
      </c>
      <c r="E854" s="13" t="s">
        <v>208</v>
      </c>
      <c r="F854" s="13" t="s">
        <v>208</v>
      </c>
      <c r="G854" s="67"/>
      <c r="H854" s="67"/>
      <c r="I854" s="67"/>
      <c r="J854" s="147"/>
    </row>
    <row r="855">
      <c r="A855" s="146">
        <v>854.0</v>
      </c>
      <c r="B855" s="13" t="s">
        <v>208</v>
      </c>
      <c r="C855" s="13" t="s">
        <v>208</v>
      </c>
      <c r="D855" s="13" t="s">
        <v>208</v>
      </c>
      <c r="E855" s="13" t="s">
        <v>208</v>
      </c>
      <c r="F855" s="13" t="s">
        <v>208</v>
      </c>
      <c r="G855" s="67"/>
      <c r="H855" s="67"/>
      <c r="I855" s="67"/>
      <c r="J855" s="147"/>
    </row>
    <row r="856">
      <c r="A856" s="146">
        <v>855.0</v>
      </c>
      <c r="B856" s="13" t="s">
        <v>208</v>
      </c>
      <c r="C856" s="13" t="s">
        <v>208</v>
      </c>
      <c r="D856" s="13" t="s">
        <v>208</v>
      </c>
      <c r="E856" s="13" t="s">
        <v>208</v>
      </c>
      <c r="F856" s="13" t="s">
        <v>208</v>
      </c>
      <c r="G856" s="67"/>
      <c r="H856" s="67"/>
      <c r="I856" s="67"/>
      <c r="J856" s="147"/>
    </row>
    <row r="857">
      <c r="A857" s="146">
        <v>856.0</v>
      </c>
      <c r="B857" s="13" t="s">
        <v>208</v>
      </c>
      <c r="C857" s="13" t="s">
        <v>208</v>
      </c>
      <c r="D857" s="13" t="s">
        <v>208</v>
      </c>
      <c r="E857" s="13" t="s">
        <v>208</v>
      </c>
      <c r="F857" s="13" t="s">
        <v>208</v>
      </c>
      <c r="G857" s="67"/>
      <c r="H857" s="67"/>
      <c r="I857" s="67"/>
      <c r="J857" s="147"/>
    </row>
    <row r="858">
      <c r="A858" s="146">
        <v>857.0</v>
      </c>
      <c r="B858" s="13" t="s">
        <v>208</v>
      </c>
      <c r="C858" s="13" t="s">
        <v>208</v>
      </c>
      <c r="D858" s="13" t="s">
        <v>208</v>
      </c>
      <c r="E858" s="13" t="s">
        <v>208</v>
      </c>
      <c r="F858" s="13" t="s">
        <v>208</v>
      </c>
      <c r="G858" s="67"/>
      <c r="H858" s="67"/>
      <c r="I858" s="67"/>
      <c r="J858" s="147"/>
    </row>
    <row r="859">
      <c r="A859" s="146">
        <v>858.0</v>
      </c>
      <c r="B859" s="13" t="s">
        <v>208</v>
      </c>
      <c r="C859" s="13" t="s">
        <v>208</v>
      </c>
      <c r="D859" s="13" t="s">
        <v>208</v>
      </c>
      <c r="E859" s="13" t="s">
        <v>208</v>
      </c>
      <c r="F859" s="13" t="s">
        <v>208</v>
      </c>
      <c r="G859" s="67"/>
      <c r="H859" s="67"/>
      <c r="I859" s="67"/>
      <c r="J859" s="147"/>
    </row>
    <row r="860">
      <c r="A860" s="146">
        <v>859.0</v>
      </c>
      <c r="B860" s="13" t="s">
        <v>208</v>
      </c>
      <c r="C860" s="13" t="s">
        <v>208</v>
      </c>
      <c r="D860" s="13" t="s">
        <v>208</v>
      </c>
      <c r="E860" s="13" t="s">
        <v>208</v>
      </c>
      <c r="F860" s="13" t="s">
        <v>208</v>
      </c>
      <c r="G860" s="67"/>
      <c r="H860" s="67"/>
      <c r="I860" s="67"/>
      <c r="J860" s="147"/>
    </row>
    <row r="861">
      <c r="A861" s="146">
        <v>860.0</v>
      </c>
      <c r="B861" s="174"/>
      <c r="C861" s="174"/>
      <c r="D861" s="174"/>
      <c r="E861" s="174"/>
      <c r="F861" s="174"/>
      <c r="G861" s="187"/>
      <c r="H861" s="175" t="s">
        <v>217</v>
      </c>
      <c r="I861" s="67"/>
      <c r="J861" s="147"/>
    </row>
    <row r="862">
      <c r="A862" s="146">
        <v>861.0</v>
      </c>
      <c r="B862" s="13" t="s">
        <v>208</v>
      </c>
      <c r="C862" s="13" t="s">
        <v>208</v>
      </c>
      <c r="D862" s="13" t="s">
        <v>208</v>
      </c>
      <c r="E862" s="13" t="s">
        <v>208</v>
      </c>
      <c r="F862" s="13" t="s">
        <v>208</v>
      </c>
      <c r="G862" s="67"/>
      <c r="H862" s="67"/>
      <c r="I862" s="67"/>
      <c r="J862" s="147"/>
    </row>
    <row r="863">
      <c r="A863" s="146">
        <v>862.0</v>
      </c>
      <c r="B863" s="13" t="s">
        <v>208</v>
      </c>
      <c r="C863" s="13" t="s">
        <v>208</v>
      </c>
      <c r="D863" s="13" t="s">
        <v>208</v>
      </c>
      <c r="E863" s="13" t="s">
        <v>208</v>
      </c>
      <c r="F863" s="13" t="s">
        <v>208</v>
      </c>
      <c r="G863" s="67"/>
      <c r="H863" s="67"/>
      <c r="I863" s="67"/>
      <c r="J863" s="147"/>
    </row>
    <row r="864">
      <c r="A864" s="146">
        <v>863.0</v>
      </c>
      <c r="B864" s="13" t="s">
        <v>208</v>
      </c>
      <c r="C864" s="13" t="s">
        <v>208</v>
      </c>
      <c r="D864" s="13" t="s">
        <v>208</v>
      </c>
      <c r="E864" s="13" t="s">
        <v>208</v>
      </c>
      <c r="F864" s="13" t="s">
        <v>208</v>
      </c>
      <c r="G864" s="67"/>
      <c r="H864" s="67"/>
      <c r="I864" s="67"/>
      <c r="J864" s="147"/>
    </row>
    <row r="865">
      <c r="A865" s="146">
        <v>864.0</v>
      </c>
      <c r="B865" s="13" t="s">
        <v>208</v>
      </c>
      <c r="C865" s="13" t="s">
        <v>208</v>
      </c>
      <c r="D865" s="13" t="s">
        <v>208</v>
      </c>
      <c r="E865" s="13" t="s">
        <v>208</v>
      </c>
      <c r="F865" s="13" t="s">
        <v>208</v>
      </c>
      <c r="G865" s="67"/>
      <c r="H865" s="67"/>
      <c r="I865" s="67"/>
      <c r="J865" s="147"/>
    </row>
    <row r="866">
      <c r="A866" s="146">
        <v>865.0</v>
      </c>
      <c r="B866" s="13" t="s">
        <v>208</v>
      </c>
      <c r="C866" s="13" t="s">
        <v>208</v>
      </c>
      <c r="D866" s="13" t="s">
        <v>208</v>
      </c>
      <c r="E866" s="13" t="s">
        <v>208</v>
      </c>
      <c r="F866" s="13" t="s">
        <v>208</v>
      </c>
      <c r="G866" s="67"/>
      <c r="H866" s="67"/>
      <c r="I866" s="67"/>
      <c r="J866" s="147"/>
    </row>
    <row r="867">
      <c r="A867" s="146">
        <v>866.0</v>
      </c>
      <c r="B867" s="13" t="s">
        <v>208</v>
      </c>
      <c r="C867" s="13" t="s">
        <v>208</v>
      </c>
      <c r="D867" s="13" t="s">
        <v>208</v>
      </c>
      <c r="E867" s="13" t="s">
        <v>208</v>
      </c>
      <c r="F867" s="13" t="s">
        <v>208</v>
      </c>
      <c r="G867" s="67"/>
      <c r="H867" s="67"/>
      <c r="I867" s="67"/>
      <c r="J867" s="147"/>
    </row>
    <row r="868">
      <c r="A868" s="146">
        <v>867.0</v>
      </c>
      <c r="B868" s="13" t="s">
        <v>208</v>
      </c>
      <c r="C868" s="13" t="s">
        <v>208</v>
      </c>
      <c r="D868" s="13" t="s">
        <v>208</v>
      </c>
      <c r="E868" s="13" t="s">
        <v>208</v>
      </c>
      <c r="F868" s="13" t="s">
        <v>208</v>
      </c>
      <c r="G868" s="67"/>
      <c r="H868" s="67"/>
      <c r="I868" s="67"/>
      <c r="J868" s="147"/>
    </row>
    <row r="869">
      <c r="A869" s="146">
        <v>868.0</v>
      </c>
      <c r="B869" s="13" t="s">
        <v>208</v>
      </c>
      <c r="C869" s="13" t="s">
        <v>208</v>
      </c>
      <c r="D869" s="13" t="s">
        <v>208</v>
      </c>
      <c r="E869" s="13" t="s">
        <v>208</v>
      </c>
      <c r="F869" s="13" t="s">
        <v>208</v>
      </c>
      <c r="G869" s="67"/>
      <c r="H869" s="67"/>
      <c r="I869" s="67"/>
      <c r="J869" s="147"/>
    </row>
    <row r="870">
      <c r="A870" s="146">
        <v>869.0</v>
      </c>
      <c r="B870" s="13" t="s">
        <v>208</v>
      </c>
      <c r="C870" s="13" t="s">
        <v>208</v>
      </c>
      <c r="D870" s="13" t="s">
        <v>208</v>
      </c>
      <c r="E870" s="13" t="s">
        <v>208</v>
      </c>
      <c r="F870" s="13" t="s">
        <v>208</v>
      </c>
      <c r="G870" s="67"/>
      <c r="H870" s="67"/>
      <c r="I870" s="67"/>
      <c r="J870" s="147"/>
    </row>
    <row r="871">
      <c r="A871" s="146">
        <v>870.0</v>
      </c>
      <c r="B871" s="13" t="s">
        <v>208</v>
      </c>
      <c r="C871" s="13" t="s">
        <v>208</v>
      </c>
      <c r="D871" s="13" t="s">
        <v>208</v>
      </c>
      <c r="E871" s="13" t="s">
        <v>208</v>
      </c>
      <c r="F871" s="13" t="s">
        <v>208</v>
      </c>
      <c r="G871" s="67"/>
      <c r="H871" s="67"/>
      <c r="I871" s="67"/>
      <c r="J871" s="147"/>
    </row>
    <row r="872">
      <c r="A872" s="146">
        <v>871.0</v>
      </c>
      <c r="B872" s="13" t="s">
        <v>208</v>
      </c>
      <c r="C872" s="13" t="s">
        <v>208</v>
      </c>
      <c r="D872" s="13" t="s">
        <v>208</v>
      </c>
      <c r="E872" s="13" t="s">
        <v>208</v>
      </c>
      <c r="F872" s="13" t="s">
        <v>208</v>
      </c>
      <c r="G872" s="67"/>
      <c r="H872" s="67"/>
      <c r="I872" s="67"/>
      <c r="J872" s="147"/>
    </row>
    <row r="873">
      <c r="A873" s="146">
        <v>872.0</v>
      </c>
      <c r="B873" s="13" t="s">
        <v>208</v>
      </c>
      <c r="C873" s="13" t="s">
        <v>208</v>
      </c>
      <c r="D873" s="13" t="s">
        <v>208</v>
      </c>
      <c r="E873" s="13" t="s">
        <v>208</v>
      </c>
      <c r="F873" s="13" t="s">
        <v>208</v>
      </c>
      <c r="G873" s="67"/>
      <c r="H873" s="67"/>
      <c r="I873" s="67"/>
      <c r="J873" s="147"/>
    </row>
    <row r="874">
      <c r="A874" s="146">
        <v>873.0</v>
      </c>
      <c r="B874" s="13" t="s">
        <v>208</v>
      </c>
      <c r="C874" s="13" t="s">
        <v>208</v>
      </c>
      <c r="D874" s="13" t="s">
        <v>208</v>
      </c>
      <c r="E874" s="13" t="s">
        <v>208</v>
      </c>
      <c r="F874" s="13" t="s">
        <v>208</v>
      </c>
      <c r="G874" s="67"/>
      <c r="H874" s="67"/>
      <c r="I874" s="67"/>
      <c r="J874" s="147"/>
    </row>
    <row r="875">
      <c r="A875" s="146">
        <v>874.0</v>
      </c>
      <c r="B875" s="67"/>
      <c r="C875" s="13" t="s">
        <v>208</v>
      </c>
      <c r="D875" s="13" t="s">
        <v>208</v>
      </c>
      <c r="E875" s="13" t="s">
        <v>208</v>
      </c>
      <c r="F875" s="67"/>
      <c r="G875" s="13" t="s">
        <v>208</v>
      </c>
      <c r="H875" s="67"/>
      <c r="I875" s="67"/>
      <c r="J875" s="147"/>
    </row>
    <row r="876">
      <c r="A876" s="146">
        <v>875.0</v>
      </c>
      <c r="B876" s="174"/>
      <c r="C876" s="174"/>
      <c r="D876" s="174"/>
      <c r="E876" s="174"/>
      <c r="F876" s="174"/>
      <c r="G876" s="187"/>
      <c r="H876" s="175" t="s">
        <v>217</v>
      </c>
      <c r="I876" s="67"/>
      <c r="J876" s="147"/>
    </row>
    <row r="877">
      <c r="A877" s="146">
        <v>876.0</v>
      </c>
      <c r="B877" s="67"/>
      <c r="C877" s="13" t="s">
        <v>208</v>
      </c>
      <c r="D877" s="13" t="s">
        <v>208</v>
      </c>
      <c r="E877" s="13" t="s">
        <v>208</v>
      </c>
      <c r="F877" s="67"/>
      <c r="G877" s="13" t="s">
        <v>208</v>
      </c>
      <c r="H877" s="67"/>
      <c r="I877" s="67"/>
      <c r="J877" s="147"/>
    </row>
    <row r="878">
      <c r="A878" s="146">
        <v>877.0</v>
      </c>
      <c r="B878" s="13" t="s">
        <v>208</v>
      </c>
      <c r="C878" s="13" t="s">
        <v>208</v>
      </c>
      <c r="D878" s="13" t="s">
        <v>208</v>
      </c>
      <c r="E878" s="13" t="s">
        <v>208</v>
      </c>
      <c r="F878" s="13" t="s">
        <v>208</v>
      </c>
      <c r="G878" s="67"/>
      <c r="H878" s="67"/>
      <c r="I878" s="67"/>
      <c r="J878" s="147"/>
    </row>
    <row r="879">
      <c r="A879" s="146">
        <v>878.0</v>
      </c>
      <c r="B879" s="13" t="s">
        <v>208</v>
      </c>
      <c r="C879" s="13" t="s">
        <v>208</v>
      </c>
      <c r="D879" s="13" t="s">
        <v>208</v>
      </c>
      <c r="E879" s="13" t="s">
        <v>208</v>
      </c>
      <c r="F879" s="13" t="s">
        <v>208</v>
      </c>
      <c r="G879" s="67"/>
      <c r="H879" s="67"/>
      <c r="I879" s="67"/>
      <c r="J879" s="147"/>
    </row>
    <row r="880">
      <c r="A880" s="146">
        <v>879.0</v>
      </c>
      <c r="B880" s="13" t="s">
        <v>208</v>
      </c>
      <c r="C880" s="13" t="s">
        <v>208</v>
      </c>
      <c r="D880" s="13" t="s">
        <v>208</v>
      </c>
      <c r="E880" s="13" t="s">
        <v>208</v>
      </c>
      <c r="F880" s="13" t="s">
        <v>208</v>
      </c>
      <c r="G880" s="67"/>
      <c r="H880" s="67"/>
      <c r="I880" s="67"/>
      <c r="J880" s="147"/>
    </row>
    <row r="881">
      <c r="A881" s="146">
        <v>880.0</v>
      </c>
      <c r="B881" s="13" t="s">
        <v>208</v>
      </c>
      <c r="C881" s="13" t="s">
        <v>208</v>
      </c>
      <c r="D881" s="13" t="s">
        <v>208</v>
      </c>
      <c r="E881" s="13" t="s">
        <v>208</v>
      </c>
      <c r="F881" s="13" t="s">
        <v>208</v>
      </c>
      <c r="G881" s="67"/>
      <c r="H881" s="67"/>
      <c r="I881" s="67"/>
      <c r="J881" s="147"/>
    </row>
    <row r="882">
      <c r="A882" s="146">
        <v>881.0</v>
      </c>
      <c r="B882" s="13" t="s">
        <v>208</v>
      </c>
      <c r="C882" s="13" t="s">
        <v>208</v>
      </c>
      <c r="D882" s="13" t="s">
        <v>208</v>
      </c>
      <c r="E882" s="13" t="s">
        <v>208</v>
      </c>
      <c r="F882" s="13" t="s">
        <v>208</v>
      </c>
      <c r="G882" s="67"/>
      <c r="H882" s="67"/>
      <c r="I882" s="67"/>
      <c r="J882" s="147"/>
    </row>
    <row r="883">
      <c r="A883" s="146">
        <v>882.0</v>
      </c>
      <c r="B883" s="13" t="s">
        <v>208</v>
      </c>
      <c r="C883" s="13" t="s">
        <v>208</v>
      </c>
      <c r="D883" s="13" t="s">
        <v>208</v>
      </c>
      <c r="E883" s="13" t="s">
        <v>208</v>
      </c>
      <c r="F883" s="13" t="s">
        <v>208</v>
      </c>
      <c r="G883" s="67"/>
      <c r="H883" s="67"/>
      <c r="I883" s="67"/>
      <c r="J883" s="147"/>
    </row>
    <row r="884">
      <c r="A884" s="146">
        <v>883.0</v>
      </c>
      <c r="B884" s="13" t="s">
        <v>208</v>
      </c>
      <c r="C884" s="13" t="s">
        <v>208</v>
      </c>
      <c r="D884" s="13" t="s">
        <v>208</v>
      </c>
      <c r="E884" s="13" t="s">
        <v>208</v>
      </c>
      <c r="F884" s="13" t="s">
        <v>208</v>
      </c>
      <c r="G884" s="67"/>
      <c r="H884" s="67"/>
      <c r="I884" s="67"/>
      <c r="J884" s="147"/>
    </row>
    <row r="885">
      <c r="A885" s="146">
        <v>884.0</v>
      </c>
      <c r="B885" s="13" t="s">
        <v>208</v>
      </c>
      <c r="C885" s="13" t="s">
        <v>208</v>
      </c>
      <c r="D885" s="13" t="s">
        <v>208</v>
      </c>
      <c r="E885" s="13" t="s">
        <v>208</v>
      </c>
      <c r="F885" s="13" t="s">
        <v>208</v>
      </c>
      <c r="G885" s="67"/>
      <c r="H885" s="67"/>
      <c r="I885" s="67"/>
      <c r="J885" s="147"/>
    </row>
    <row r="886">
      <c r="A886" s="146">
        <v>885.0</v>
      </c>
      <c r="B886" s="13" t="s">
        <v>208</v>
      </c>
      <c r="C886" s="13" t="s">
        <v>208</v>
      </c>
      <c r="D886" s="13" t="s">
        <v>208</v>
      </c>
      <c r="E886" s="13" t="s">
        <v>208</v>
      </c>
      <c r="F886" s="13" t="s">
        <v>208</v>
      </c>
      <c r="G886" s="67"/>
      <c r="H886" s="67"/>
      <c r="I886" s="67"/>
      <c r="J886" s="147"/>
    </row>
    <row r="887">
      <c r="A887" s="146">
        <v>886.0</v>
      </c>
      <c r="B887" s="13" t="s">
        <v>208</v>
      </c>
      <c r="C887" s="13" t="s">
        <v>208</v>
      </c>
      <c r="D887" s="13" t="s">
        <v>208</v>
      </c>
      <c r="E887" s="13" t="s">
        <v>208</v>
      </c>
      <c r="F887" s="13" t="s">
        <v>208</v>
      </c>
      <c r="G887" s="67"/>
      <c r="H887" s="67"/>
      <c r="I887" s="67"/>
      <c r="J887" s="147"/>
    </row>
    <row r="888">
      <c r="A888" s="146">
        <v>887.0</v>
      </c>
      <c r="B888" s="67"/>
      <c r="C888" s="13" t="s">
        <v>208</v>
      </c>
      <c r="D888" s="13" t="s">
        <v>208</v>
      </c>
      <c r="E888" s="13" t="s">
        <v>208</v>
      </c>
      <c r="F888" s="67"/>
      <c r="G888" s="13" t="s">
        <v>208</v>
      </c>
      <c r="H888" s="67"/>
      <c r="I888" s="67"/>
      <c r="J888" s="147"/>
    </row>
    <row r="889">
      <c r="A889" s="146">
        <v>888.0</v>
      </c>
      <c r="B889" s="13" t="s">
        <v>208</v>
      </c>
      <c r="C889" s="13" t="s">
        <v>208</v>
      </c>
      <c r="D889" s="13" t="s">
        <v>208</v>
      </c>
      <c r="E889" s="13" t="s">
        <v>208</v>
      </c>
      <c r="F889" s="13" t="s">
        <v>208</v>
      </c>
      <c r="G889" s="67"/>
      <c r="H889" s="67"/>
      <c r="I889" s="67"/>
      <c r="J889" s="147"/>
    </row>
    <row r="890">
      <c r="A890" s="146">
        <v>889.0</v>
      </c>
      <c r="B890" s="13" t="s">
        <v>208</v>
      </c>
      <c r="C890" s="13" t="s">
        <v>208</v>
      </c>
      <c r="D890" s="13" t="s">
        <v>208</v>
      </c>
      <c r="E890" s="13" t="s">
        <v>208</v>
      </c>
      <c r="F890" s="13" t="s">
        <v>208</v>
      </c>
      <c r="G890" s="67"/>
      <c r="H890" s="67"/>
      <c r="I890" s="67"/>
      <c r="J890" s="147"/>
    </row>
    <row r="891">
      <c r="A891" s="146">
        <v>890.0</v>
      </c>
      <c r="B891" s="13" t="s">
        <v>208</v>
      </c>
      <c r="C891" s="13" t="s">
        <v>208</v>
      </c>
      <c r="D891" s="13" t="s">
        <v>208</v>
      </c>
      <c r="E891" s="13" t="s">
        <v>208</v>
      </c>
      <c r="F891" s="13" t="s">
        <v>208</v>
      </c>
      <c r="G891" s="67"/>
      <c r="H891" s="67"/>
      <c r="I891" s="67"/>
      <c r="J891" s="147"/>
    </row>
    <row r="892">
      <c r="A892" s="146">
        <v>891.0</v>
      </c>
      <c r="B892" s="13" t="s">
        <v>208</v>
      </c>
      <c r="C892" s="13" t="s">
        <v>208</v>
      </c>
      <c r="D892" s="13" t="s">
        <v>208</v>
      </c>
      <c r="E892" s="13" t="s">
        <v>208</v>
      </c>
      <c r="F892" s="13" t="s">
        <v>208</v>
      </c>
      <c r="G892" s="67"/>
      <c r="H892" s="67"/>
      <c r="I892" s="67"/>
      <c r="J892" s="147"/>
    </row>
    <row r="893">
      <c r="A893" s="146">
        <v>892.0</v>
      </c>
      <c r="B893" s="67"/>
      <c r="C893" s="13" t="s">
        <v>208</v>
      </c>
      <c r="D893" s="13" t="s">
        <v>208</v>
      </c>
      <c r="E893" s="13" t="s">
        <v>208</v>
      </c>
      <c r="F893" s="67"/>
      <c r="G893" s="13" t="s">
        <v>208</v>
      </c>
      <c r="H893" s="67"/>
      <c r="I893" s="67"/>
      <c r="J893" s="147"/>
    </row>
    <row r="894">
      <c r="A894" s="146">
        <v>893.0</v>
      </c>
      <c r="B894" s="13" t="s">
        <v>208</v>
      </c>
      <c r="C894" s="13" t="s">
        <v>208</v>
      </c>
      <c r="D894" s="13" t="s">
        <v>208</v>
      </c>
      <c r="E894" s="13" t="s">
        <v>208</v>
      </c>
      <c r="F894" s="13" t="s">
        <v>208</v>
      </c>
      <c r="G894" s="67"/>
      <c r="H894" s="67"/>
      <c r="I894" s="67"/>
      <c r="J894" s="147"/>
    </row>
    <row r="895">
      <c r="A895" s="146">
        <v>894.0</v>
      </c>
      <c r="B895" s="13" t="s">
        <v>208</v>
      </c>
      <c r="C895" s="13" t="s">
        <v>208</v>
      </c>
      <c r="D895" s="13" t="s">
        <v>208</v>
      </c>
      <c r="E895" s="13" t="s">
        <v>208</v>
      </c>
      <c r="F895" s="13" t="s">
        <v>208</v>
      </c>
      <c r="G895" s="67"/>
      <c r="H895" s="67"/>
      <c r="I895" s="67"/>
      <c r="J895" s="147"/>
    </row>
    <row r="896">
      <c r="A896" s="146">
        <v>895.0</v>
      </c>
      <c r="B896" s="13" t="s">
        <v>208</v>
      </c>
      <c r="C896" s="13" t="s">
        <v>208</v>
      </c>
      <c r="D896" s="13" t="s">
        <v>208</v>
      </c>
      <c r="E896" s="13" t="s">
        <v>208</v>
      </c>
      <c r="F896" s="13" t="s">
        <v>208</v>
      </c>
      <c r="G896" s="67"/>
      <c r="H896" s="67"/>
      <c r="I896" s="67"/>
      <c r="J896" s="147"/>
    </row>
    <row r="897">
      <c r="A897" s="146">
        <v>896.0</v>
      </c>
      <c r="B897" s="13" t="s">
        <v>208</v>
      </c>
      <c r="C897" s="13" t="s">
        <v>208</v>
      </c>
      <c r="D897" s="13" t="s">
        <v>208</v>
      </c>
      <c r="E897" s="13" t="s">
        <v>208</v>
      </c>
      <c r="F897" s="13" t="s">
        <v>208</v>
      </c>
      <c r="G897" s="67"/>
      <c r="H897" s="67"/>
      <c r="I897" s="67"/>
      <c r="J897" s="147"/>
    </row>
    <row r="898">
      <c r="A898" s="146">
        <v>897.0</v>
      </c>
      <c r="B898" s="13" t="s">
        <v>208</v>
      </c>
      <c r="C898" s="13" t="s">
        <v>208</v>
      </c>
      <c r="D898" s="13" t="s">
        <v>208</v>
      </c>
      <c r="E898" s="13" t="s">
        <v>208</v>
      </c>
      <c r="F898" s="13" t="s">
        <v>208</v>
      </c>
      <c r="G898" s="67"/>
      <c r="H898" s="67"/>
      <c r="I898" s="67"/>
      <c r="J898" s="147"/>
    </row>
    <row r="899">
      <c r="A899" s="146">
        <v>898.0</v>
      </c>
      <c r="B899" s="13" t="s">
        <v>208</v>
      </c>
      <c r="C899" s="13" t="s">
        <v>208</v>
      </c>
      <c r="D899" s="13" t="s">
        <v>208</v>
      </c>
      <c r="E899" s="13" t="s">
        <v>208</v>
      </c>
      <c r="F899" s="13" t="s">
        <v>208</v>
      </c>
      <c r="G899" s="67"/>
      <c r="H899" s="67"/>
      <c r="I899" s="67"/>
      <c r="J899" s="147"/>
    </row>
    <row r="900">
      <c r="A900" s="146">
        <v>899.0</v>
      </c>
      <c r="B900" s="13" t="s">
        <v>208</v>
      </c>
      <c r="C900" s="13" t="s">
        <v>208</v>
      </c>
      <c r="D900" s="13" t="s">
        <v>208</v>
      </c>
      <c r="E900" s="13" t="s">
        <v>208</v>
      </c>
      <c r="F900" s="13" t="s">
        <v>208</v>
      </c>
      <c r="G900" s="67"/>
      <c r="H900" s="67"/>
      <c r="I900" s="67"/>
      <c r="J900" s="147"/>
    </row>
    <row r="901">
      <c r="A901" s="146">
        <v>900.0</v>
      </c>
      <c r="B901" s="13" t="s">
        <v>208</v>
      </c>
      <c r="C901" s="13" t="s">
        <v>208</v>
      </c>
      <c r="D901" s="13" t="s">
        <v>208</v>
      </c>
      <c r="E901" s="13" t="s">
        <v>208</v>
      </c>
      <c r="F901" s="13" t="s">
        <v>208</v>
      </c>
      <c r="G901" s="67"/>
      <c r="H901" s="67"/>
      <c r="I901" s="67"/>
      <c r="J901" s="147"/>
    </row>
    <row r="902">
      <c r="A902" s="146">
        <v>901.0</v>
      </c>
      <c r="B902" s="13" t="s">
        <v>208</v>
      </c>
      <c r="C902" s="13" t="s">
        <v>208</v>
      </c>
      <c r="D902" s="13" t="s">
        <v>208</v>
      </c>
      <c r="E902" s="13" t="s">
        <v>208</v>
      </c>
      <c r="F902" s="13" t="s">
        <v>208</v>
      </c>
      <c r="G902" s="67"/>
      <c r="H902" s="67"/>
      <c r="I902" s="67"/>
      <c r="J902" s="147"/>
    </row>
    <row r="903">
      <c r="A903" s="146">
        <v>902.0</v>
      </c>
      <c r="B903" s="13" t="s">
        <v>208</v>
      </c>
      <c r="C903" s="13" t="s">
        <v>208</v>
      </c>
      <c r="D903" s="13" t="s">
        <v>208</v>
      </c>
      <c r="E903" s="13" t="s">
        <v>208</v>
      </c>
      <c r="F903" s="13" t="s">
        <v>208</v>
      </c>
      <c r="G903" s="67"/>
      <c r="H903" s="67"/>
      <c r="I903" s="67"/>
      <c r="J903" s="147"/>
    </row>
    <row r="904">
      <c r="A904" s="146">
        <v>903.0</v>
      </c>
      <c r="B904" s="13" t="s">
        <v>208</v>
      </c>
      <c r="C904" s="13" t="s">
        <v>208</v>
      </c>
      <c r="D904" s="13" t="s">
        <v>208</v>
      </c>
      <c r="E904" s="13" t="s">
        <v>208</v>
      </c>
      <c r="F904" s="13" t="s">
        <v>208</v>
      </c>
      <c r="G904" s="67"/>
      <c r="H904" s="67"/>
      <c r="I904" s="67"/>
      <c r="J904" s="147"/>
    </row>
    <row r="905">
      <c r="A905" s="146">
        <v>904.0</v>
      </c>
      <c r="B905" s="174"/>
      <c r="C905" s="174"/>
      <c r="D905" s="174"/>
      <c r="E905" s="174"/>
      <c r="F905" s="174"/>
      <c r="G905" s="187"/>
      <c r="H905" s="175" t="s">
        <v>217</v>
      </c>
      <c r="I905" s="67"/>
      <c r="J905" s="147"/>
    </row>
    <row r="906">
      <c r="A906" s="146">
        <v>905.0</v>
      </c>
      <c r="B906" s="13" t="s">
        <v>208</v>
      </c>
      <c r="C906" s="13" t="s">
        <v>208</v>
      </c>
      <c r="D906" s="13" t="s">
        <v>208</v>
      </c>
      <c r="E906" s="13" t="s">
        <v>208</v>
      </c>
      <c r="F906" s="13" t="s">
        <v>208</v>
      </c>
      <c r="G906" s="67"/>
      <c r="H906" s="67"/>
      <c r="I906" s="67"/>
      <c r="J906" s="147"/>
    </row>
    <row r="907">
      <c r="A907" s="146">
        <v>906.0</v>
      </c>
      <c r="B907" s="13" t="s">
        <v>208</v>
      </c>
      <c r="C907" s="13" t="s">
        <v>208</v>
      </c>
      <c r="D907" s="13" t="s">
        <v>208</v>
      </c>
      <c r="E907" s="13" t="s">
        <v>208</v>
      </c>
      <c r="F907" s="13" t="s">
        <v>208</v>
      </c>
      <c r="G907" s="67"/>
      <c r="H907" s="67"/>
      <c r="I907" s="67"/>
      <c r="J907" s="147"/>
    </row>
    <row r="908">
      <c r="A908" s="146">
        <v>907.0</v>
      </c>
      <c r="B908" s="13" t="s">
        <v>208</v>
      </c>
      <c r="C908" s="13" t="s">
        <v>208</v>
      </c>
      <c r="D908" s="13" t="s">
        <v>208</v>
      </c>
      <c r="E908" s="13" t="s">
        <v>208</v>
      </c>
      <c r="F908" s="13" t="s">
        <v>208</v>
      </c>
      <c r="G908" s="67"/>
      <c r="H908" s="67"/>
      <c r="I908" s="67"/>
      <c r="J908" s="147"/>
    </row>
    <row r="909">
      <c r="A909" s="146">
        <v>908.0</v>
      </c>
      <c r="B909" s="13" t="s">
        <v>208</v>
      </c>
      <c r="C909" s="13" t="s">
        <v>208</v>
      </c>
      <c r="D909" s="13" t="s">
        <v>208</v>
      </c>
      <c r="E909" s="13" t="s">
        <v>208</v>
      </c>
      <c r="F909" s="13" t="s">
        <v>208</v>
      </c>
      <c r="G909" s="67"/>
      <c r="H909" s="67"/>
      <c r="I909" s="67"/>
      <c r="J909" s="147"/>
    </row>
    <row r="910">
      <c r="A910" s="146">
        <v>909.0</v>
      </c>
      <c r="B910" s="13" t="s">
        <v>208</v>
      </c>
      <c r="C910" s="13" t="s">
        <v>208</v>
      </c>
      <c r="D910" s="13" t="s">
        <v>208</v>
      </c>
      <c r="E910" s="13" t="s">
        <v>208</v>
      </c>
      <c r="F910" s="13" t="s">
        <v>208</v>
      </c>
      <c r="G910" s="67"/>
      <c r="H910" s="67"/>
      <c r="I910" s="67"/>
      <c r="J910" s="147"/>
    </row>
    <row r="911">
      <c r="A911" s="146">
        <v>910.0</v>
      </c>
      <c r="B911" s="13" t="s">
        <v>208</v>
      </c>
      <c r="C911" s="13" t="s">
        <v>208</v>
      </c>
      <c r="D911" s="13" t="s">
        <v>208</v>
      </c>
      <c r="E911" s="13" t="s">
        <v>208</v>
      </c>
      <c r="F911" s="13" t="s">
        <v>208</v>
      </c>
      <c r="G911" s="67"/>
      <c r="H911" s="67"/>
      <c r="I911" s="67"/>
      <c r="J911" s="147"/>
    </row>
    <row r="912">
      <c r="A912" s="146">
        <v>911.0</v>
      </c>
      <c r="B912" s="13" t="s">
        <v>208</v>
      </c>
      <c r="C912" s="13" t="s">
        <v>208</v>
      </c>
      <c r="D912" s="13" t="s">
        <v>208</v>
      </c>
      <c r="E912" s="13" t="s">
        <v>208</v>
      </c>
      <c r="F912" s="13" t="s">
        <v>208</v>
      </c>
      <c r="G912" s="67"/>
      <c r="H912" s="67"/>
      <c r="I912" s="67"/>
      <c r="J912" s="147"/>
    </row>
    <row r="913">
      <c r="A913" s="146">
        <v>912.0</v>
      </c>
      <c r="B913" s="13" t="s">
        <v>208</v>
      </c>
      <c r="C913" s="13" t="s">
        <v>208</v>
      </c>
      <c r="D913" s="13" t="s">
        <v>208</v>
      </c>
      <c r="E913" s="13" t="s">
        <v>208</v>
      </c>
      <c r="F913" s="13" t="s">
        <v>208</v>
      </c>
      <c r="G913" s="67"/>
      <c r="H913" s="67"/>
      <c r="I913" s="67"/>
      <c r="J913" s="147"/>
    </row>
    <row r="914">
      <c r="A914" s="146">
        <v>913.0</v>
      </c>
      <c r="B914" s="13" t="s">
        <v>208</v>
      </c>
      <c r="C914" s="13" t="s">
        <v>208</v>
      </c>
      <c r="D914" s="13" t="s">
        <v>208</v>
      </c>
      <c r="E914" s="13" t="s">
        <v>208</v>
      </c>
      <c r="F914" s="13" t="s">
        <v>208</v>
      </c>
      <c r="G914" s="67"/>
      <c r="H914" s="67"/>
      <c r="I914" s="67"/>
      <c r="J914" s="147"/>
    </row>
    <row r="915">
      <c r="A915" s="146">
        <v>914.0</v>
      </c>
      <c r="B915" s="13" t="s">
        <v>208</v>
      </c>
      <c r="C915" s="13" t="s">
        <v>208</v>
      </c>
      <c r="D915" s="13" t="s">
        <v>208</v>
      </c>
      <c r="E915" s="13" t="s">
        <v>208</v>
      </c>
      <c r="F915" s="13" t="s">
        <v>208</v>
      </c>
      <c r="G915" s="67"/>
      <c r="H915" s="67"/>
      <c r="I915" s="67"/>
      <c r="J915" s="147"/>
    </row>
    <row r="916">
      <c r="A916" s="146">
        <v>915.0</v>
      </c>
      <c r="B916" s="13" t="s">
        <v>208</v>
      </c>
      <c r="C916" s="13" t="s">
        <v>208</v>
      </c>
      <c r="D916" s="13" t="s">
        <v>208</v>
      </c>
      <c r="E916" s="13" t="s">
        <v>208</v>
      </c>
      <c r="F916" s="13" t="s">
        <v>208</v>
      </c>
      <c r="G916" s="67"/>
      <c r="H916" s="67"/>
      <c r="I916" s="67"/>
      <c r="J916" s="147"/>
    </row>
    <row r="917">
      <c r="A917" s="146">
        <v>916.0</v>
      </c>
      <c r="B917" s="13" t="s">
        <v>208</v>
      </c>
      <c r="C917" s="13" t="s">
        <v>208</v>
      </c>
      <c r="D917" s="13" t="s">
        <v>208</v>
      </c>
      <c r="E917" s="13" t="s">
        <v>208</v>
      </c>
      <c r="F917" s="13" t="s">
        <v>208</v>
      </c>
      <c r="G917" s="67"/>
      <c r="H917" s="67"/>
      <c r="I917" s="67"/>
      <c r="J917" s="147"/>
    </row>
    <row r="918">
      <c r="A918" s="146">
        <v>917.0</v>
      </c>
      <c r="B918" s="13" t="s">
        <v>208</v>
      </c>
      <c r="C918" s="13" t="s">
        <v>208</v>
      </c>
      <c r="D918" s="13" t="s">
        <v>208</v>
      </c>
      <c r="E918" s="13" t="s">
        <v>208</v>
      </c>
      <c r="F918" s="13" t="s">
        <v>208</v>
      </c>
      <c r="G918" s="67"/>
      <c r="H918" s="67"/>
      <c r="I918" s="67"/>
      <c r="J918" s="147"/>
    </row>
    <row r="919">
      <c r="A919" s="146">
        <v>918.0</v>
      </c>
      <c r="B919" s="13" t="s">
        <v>208</v>
      </c>
      <c r="C919" s="13" t="s">
        <v>208</v>
      </c>
      <c r="D919" s="13" t="s">
        <v>208</v>
      </c>
      <c r="E919" s="13" t="s">
        <v>208</v>
      </c>
      <c r="F919" s="13" t="s">
        <v>208</v>
      </c>
      <c r="G919" s="67"/>
      <c r="H919" s="67"/>
      <c r="I919" s="67"/>
      <c r="J919" s="147"/>
    </row>
    <row r="920">
      <c r="A920" s="146">
        <v>919.0</v>
      </c>
      <c r="B920" s="13" t="s">
        <v>208</v>
      </c>
      <c r="C920" s="13" t="s">
        <v>208</v>
      </c>
      <c r="D920" s="13" t="s">
        <v>208</v>
      </c>
      <c r="E920" s="13" t="s">
        <v>208</v>
      </c>
      <c r="F920" s="13" t="s">
        <v>208</v>
      </c>
      <c r="G920" s="67"/>
      <c r="H920" s="67"/>
      <c r="I920" s="67"/>
      <c r="J920" s="147"/>
    </row>
    <row r="921">
      <c r="A921" s="146">
        <v>920.0</v>
      </c>
      <c r="B921" s="13" t="s">
        <v>208</v>
      </c>
      <c r="C921" s="13" t="s">
        <v>208</v>
      </c>
      <c r="D921" s="13" t="s">
        <v>208</v>
      </c>
      <c r="E921" s="13" t="s">
        <v>208</v>
      </c>
      <c r="F921" s="13" t="s">
        <v>208</v>
      </c>
      <c r="G921" s="67"/>
      <c r="H921" s="67"/>
      <c r="I921" s="67"/>
      <c r="J921" s="147"/>
    </row>
    <row r="922">
      <c r="A922" s="146">
        <v>921.0</v>
      </c>
      <c r="B922" s="13" t="s">
        <v>208</v>
      </c>
      <c r="C922" s="13" t="s">
        <v>208</v>
      </c>
      <c r="D922" s="13" t="s">
        <v>208</v>
      </c>
      <c r="E922" s="13" t="s">
        <v>208</v>
      </c>
      <c r="F922" s="13" t="s">
        <v>208</v>
      </c>
      <c r="G922" s="67"/>
      <c r="H922" s="67"/>
      <c r="I922" s="67"/>
      <c r="J922" s="147"/>
    </row>
    <row r="923">
      <c r="A923" s="146">
        <v>922.0</v>
      </c>
      <c r="B923" s="13" t="s">
        <v>208</v>
      </c>
      <c r="C923" s="13" t="s">
        <v>208</v>
      </c>
      <c r="D923" s="13" t="s">
        <v>208</v>
      </c>
      <c r="E923" s="13" t="s">
        <v>208</v>
      </c>
      <c r="F923" s="13" t="s">
        <v>208</v>
      </c>
      <c r="G923" s="67"/>
      <c r="H923" s="67"/>
      <c r="I923" s="67"/>
      <c r="J923" s="147"/>
    </row>
    <row r="924">
      <c r="A924" s="146">
        <v>923.0</v>
      </c>
      <c r="B924" s="13" t="s">
        <v>208</v>
      </c>
      <c r="C924" s="13" t="s">
        <v>208</v>
      </c>
      <c r="D924" s="13" t="s">
        <v>208</v>
      </c>
      <c r="E924" s="13" t="s">
        <v>208</v>
      </c>
      <c r="F924" s="13" t="s">
        <v>208</v>
      </c>
      <c r="G924" s="67"/>
      <c r="H924" s="67"/>
      <c r="I924" s="67"/>
      <c r="J924" s="147"/>
    </row>
    <row r="925">
      <c r="A925" s="146">
        <v>924.0</v>
      </c>
      <c r="B925" s="13" t="s">
        <v>208</v>
      </c>
      <c r="C925" s="13" t="s">
        <v>208</v>
      </c>
      <c r="D925" s="13" t="s">
        <v>208</v>
      </c>
      <c r="E925" s="13" t="s">
        <v>208</v>
      </c>
      <c r="F925" s="13" t="s">
        <v>208</v>
      </c>
      <c r="G925" s="67"/>
      <c r="H925" s="67"/>
      <c r="I925" s="67"/>
      <c r="J925" s="147"/>
    </row>
    <row r="926">
      <c r="A926" s="146">
        <v>925.0</v>
      </c>
      <c r="B926" s="13" t="s">
        <v>208</v>
      </c>
      <c r="C926" s="13" t="s">
        <v>208</v>
      </c>
      <c r="D926" s="13" t="s">
        <v>208</v>
      </c>
      <c r="E926" s="13" t="s">
        <v>208</v>
      </c>
      <c r="F926" s="13" t="s">
        <v>208</v>
      </c>
      <c r="G926" s="67"/>
      <c r="H926" s="67"/>
      <c r="I926" s="67"/>
      <c r="J926" s="147"/>
    </row>
    <row r="927">
      <c r="A927" s="146">
        <v>926.0</v>
      </c>
      <c r="B927" s="13" t="s">
        <v>208</v>
      </c>
      <c r="C927" s="13" t="s">
        <v>208</v>
      </c>
      <c r="D927" s="13" t="s">
        <v>208</v>
      </c>
      <c r="E927" s="13" t="s">
        <v>208</v>
      </c>
      <c r="F927" s="13" t="s">
        <v>208</v>
      </c>
      <c r="G927" s="67"/>
      <c r="H927" s="67"/>
      <c r="I927" s="67"/>
      <c r="J927" s="147"/>
    </row>
    <row r="928">
      <c r="A928" s="146">
        <v>927.0</v>
      </c>
      <c r="B928" s="174"/>
      <c r="C928" s="174"/>
      <c r="D928" s="174"/>
      <c r="E928" s="174"/>
      <c r="F928" s="174"/>
      <c r="G928" s="187"/>
      <c r="H928" s="175" t="s">
        <v>217</v>
      </c>
      <c r="I928" s="67"/>
      <c r="J928" s="147"/>
    </row>
    <row r="929">
      <c r="A929" s="146">
        <v>928.0</v>
      </c>
      <c r="B929" s="174"/>
      <c r="C929" s="174"/>
      <c r="D929" s="174"/>
      <c r="E929" s="174"/>
      <c r="F929" s="174"/>
      <c r="G929" s="187"/>
      <c r="H929" s="175" t="s">
        <v>217</v>
      </c>
      <c r="I929" s="67"/>
      <c r="J929" s="147"/>
    </row>
    <row r="930">
      <c r="A930" s="146">
        <v>929.0</v>
      </c>
      <c r="B930" s="13" t="s">
        <v>208</v>
      </c>
      <c r="C930" s="13" t="s">
        <v>208</v>
      </c>
      <c r="D930" s="13" t="s">
        <v>208</v>
      </c>
      <c r="E930" s="13" t="s">
        <v>208</v>
      </c>
      <c r="F930" s="13" t="s">
        <v>208</v>
      </c>
      <c r="G930" s="67"/>
      <c r="H930" s="67"/>
      <c r="I930" s="67"/>
      <c r="J930" s="147"/>
    </row>
    <row r="931">
      <c r="A931" s="146">
        <v>930.0</v>
      </c>
      <c r="B931" s="13" t="s">
        <v>208</v>
      </c>
      <c r="C931" s="13" t="s">
        <v>208</v>
      </c>
      <c r="D931" s="13" t="s">
        <v>208</v>
      </c>
      <c r="E931" s="13" t="s">
        <v>208</v>
      </c>
      <c r="F931" s="13" t="s">
        <v>208</v>
      </c>
      <c r="G931" s="67"/>
      <c r="H931" s="67"/>
      <c r="I931" s="67"/>
      <c r="J931" s="147"/>
    </row>
    <row r="932">
      <c r="A932" s="146">
        <v>931.0</v>
      </c>
      <c r="B932" s="13" t="s">
        <v>208</v>
      </c>
      <c r="C932" s="13" t="s">
        <v>208</v>
      </c>
      <c r="D932" s="13" t="s">
        <v>208</v>
      </c>
      <c r="E932" s="13" t="s">
        <v>208</v>
      </c>
      <c r="F932" s="13" t="s">
        <v>208</v>
      </c>
      <c r="G932" s="67"/>
      <c r="H932" s="67"/>
      <c r="I932" s="67"/>
      <c r="J932" s="147"/>
    </row>
    <row r="933">
      <c r="A933" s="146">
        <v>932.0</v>
      </c>
      <c r="B933" s="13" t="s">
        <v>208</v>
      </c>
      <c r="C933" s="13" t="s">
        <v>208</v>
      </c>
      <c r="D933" s="13" t="s">
        <v>208</v>
      </c>
      <c r="E933" s="13" t="s">
        <v>208</v>
      </c>
      <c r="F933" s="13" t="s">
        <v>208</v>
      </c>
      <c r="G933" s="67"/>
      <c r="H933" s="67"/>
      <c r="I933" s="67"/>
      <c r="J933" s="147"/>
    </row>
    <row r="934">
      <c r="A934" s="146">
        <v>933.0</v>
      </c>
      <c r="B934" s="13" t="s">
        <v>208</v>
      </c>
      <c r="C934" s="13" t="s">
        <v>208</v>
      </c>
      <c r="D934" s="13" t="s">
        <v>208</v>
      </c>
      <c r="E934" s="13" t="s">
        <v>208</v>
      </c>
      <c r="F934" s="13" t="s">
        <v>208</v>
      </c>
      <c r="G934" s="67"/>
      <c r="H934" s="67"/>
      <c r="I934" s="67"/>
      <c r="J934" s="147"/>
    </row>
    <row r="935">
      <c r="A935" s="146">
        <v>934.0</v>
      </c>
      <c r="B935" s="13" t="s">
        <v>208</v>
      </c>
      <c r="C935" s="13" t="s">
        <v>208</v>
      </c>
      <c r="D935" s="13" t="s">
        <v>208</v>
      </c>
      <c r="E935" s="13" t="s">
        <v>208</v>
      </c>
      <c r="F935" s="13" t="s">
        <v>208</v>
      </c>
      <c r="G935" s="67"/>
      <c r="H935" s="67"/>
      <c r="I935" s="67"/>
      <c r="J935" s="147"/>
    </row>
    <row r="936">
      <c r="A936" s="146">
        <v>935.0</v>
      </c>
      <c r="B936" s="13" t="s">
        <v>208</v>
      </c>
      <c r="C936" s="13" t="s">
        <v>208</v>
      </c>
      <c r="D936" s="13" t="s">
        <v>208</v>
      </c>
      <c r="E936" s="13" t="s">
        <v>208</v>
      </c>
      <c r="F936" s="13" t="s">
        <v>208</v>
      </c>
      <c r="G936" s="67"/>
      <c r="H936" s="67"/>
      <c r="I936" s="67"/>
      <c r="J936" s="147"/>
    </row>
    <row r="937">
      <c r="A937" s="146">
        <v>936.0</v>
      </c>
      <c r="B937" s="13" t="s">
        <v>208</v>
      </c>
      <c r="C937" s="13" t="s">
        <v>208</v>
      </c>
      <c r="D937" s="13" t="s">
        <v>208</v>
      </c>
      <c r="E937" s="13" t="s">
        <v>208</v>
      </c>
      <c r="F937" s="13" t="s">
        <v>208</v>
      </c>
      <c r="G937" s="67"/>
      <c r="H937" s="67"/>
      <c r="I937" s="67"/>
      <c r="J937" s="147"/>
    </row>
    <row r="938">
      <c r="A938" s="146">
        <v>937.0</v>
      </c>
      <c r="B938" s="13" t="s">
        <v>208</v>
      </c>
      <c r="C938" s="13" t="s">
        <v>208</v>
      </c>
      <c r="D938" s="13" t="s">
        <v>208</v>
      </c>
      <c r="E938" s="13" t="s">
        <v>208</v>
      </c>
      <c r="F938" s="13" t="s">
        <v>208</v>
      </c>
      <c r="G938" s="67"/>
      <c r="H938" s="67"/>
      <c r="I938" s="67"/>
      <c r="J938" s="147"/>
    </row>
    <row r="939">
      <c r="A939" s="146">
        <v>938.0</v>
      </c>
      <c r="B939" s="13" t="s">
        <v>208</v>
      </c>
      <c r="C939" s="99"/>
      <c r="D939" s="13" t="s">
        <v>208</v>
      </c>
      <c r="E939" s="13" t="s">
        <v>208</v>
      </c>
      <c r="F939" s="13" t="s">
        <v>208</v>
      </c>
      <c r="G939" s="67"/>
      <c r="H939" s="67"/>
      <c r="I939" s="67"/>
      <c r="J939" s="147"/>
    </row>
    <row r="940">
      <c r="A940" s="146">
        <v>939.0</v>
      </c>
      <c r="B940" s="13" t="s">
        <v>208</v>
      </c>
      <c r="C940" s="13" t="s">
        <v>208</v>
      </c>
      <c r="D940" s="13" t="s">
        <v>208</v>
      </c>
      <c r="E940" s="13" t="s">
        <v>208</v>
      </c>
      <c r="F940" s="13" t="s">
        <v>208</v>
      </c>
      <c r="G940" s="67"/>
      <c r="H940" s="67"/>
      <c r="I940" s="67"/>
      <c r="J940" s="147"/>
    </row>
    <row r="941">
      <c r="A941" s="146">
        <v>940.0</v>
      </c>
      <c r="B941" s="13" t="s">
        <v>208</v>
      </c>
      <c r="C941" s="13" t="s">
        <v>208</v>
      </c>
      <c r="D941" s="13" t="s">
        <v>208</v>
      </c>
      <c r="E941" s="13" t="s">
        <v>208</v>
      </c>
      <c r="F941" s="13" t="s">
        <v>208</v>
      </c>
      <c r="G941" s="67"/>
      <c r="H941" s="67"/>
      <c r="I941" s="67"/>
      <c r="J941" s="147"/>
    </row>
    <row r="942">
      <c r="A942" s="146">
        <v>941.0</v>
      </c>
      <c r="B942" s="13" t="s">
        <v>208</v>
      </c>
      <c r="C942" s="13" t="s">
        <v>208</v>
      </c>
      <c r="D942" s="13" t="s">
        <v>208</v>
      </c>
      <c r="E942" s="13" t="s">
        <v>208</v>
      </c>
      <c r="F942" s="13" t="s">
        <v>208</v>
      </c>
      <c r="G942" s="67"/>
      <c r="H942" s="67"/>
      <c r="I942" s="67"/>
      <c r="J942" s="147"/>
    </row>
    <row r="943">
      <c r="A943" s="146">
        <v>942.0</v>
      </c>
      <c r="B943" s="13" t="s">
        <v>208</v>
      </c>
      <c r="C943" s="99"/>
      <c r="D943" s="13" t="s">
        <v>208</v>
      </c>
      <c r="E943" s="13" t="s">
        <v>208</v>
      </c>
      <c r="F943" s="13" t="s">
        <v>208</v>
      </c>
      <c r="G943" s="67"/>
      <c r="H943" s="67"/>
      <c r="I943" s="67"/>
      <c r="J943" s="147"/>
    </row>
    <row r="944">
      <c r="A944" s="146">
        <v>943.0</v>
      </c>
      <c r="B944" s="13" t="s">
        <v>208</v>
      </c>
      <c r="C944" s="13" t="s">
        <v>208</v>
      </c>
      <c r="D944" s="13" t="s">
        <v>208</v>
      </c>
      <c r="E944" s="13" t="s">
        <v>208</v>
      </c>
      <c r="F944" s="13" t="s">
        <v>208</v>
      </c>
      <c r="G944" s="67"/>
      <c r="H944" s="67"/>
      <c r="I944" s="67"/>
      <c r="J944" s="147"/>
    </row>
    <row r="945">
      <c r="A945" s="146">
        <v>944.0</v>
      </c>
      <c r="B945" s="13" t="s">
        <v>208</v>
      </c>
      <c r="C945" s="13" t="s">
        <v>208</v>
      </c>
      <c r="D945" s="13" t="s">
        <v>208</v>
      </c>
      <c r="E945" s="13" t="s">
        <v>208</v>
      </c>
      <c r="F945" s="13" t="s">
        <v>208</v>
      </c>
      <c r="G945" s="67"/>
      <c r="H945" s="67"/>
      <c r="I945" s="67"/>
      <c r="J945" s="147"/>
    </row>
    <row r="946">
      <c r="A946" s="146">
        <v>945.0</v>
      </c>
      <c r="B946" s="13" t="s">
        <v>208</v>
      </c>
      <c r="C946" s="99"/>
      <c r="D946" s="13" t="s">
        <v>208</v>
      </c>
      <c r="E946" s="13" t="s">
        <v>208</v>
      </c>
      <c r="F946" s="13" t="s">
        <v>208</v>
      </c>
      <c r="G946" s="67"/>
      <c r="H946" s="67"/>
      <c r="I946" s="67"/>
      <c r="J946" s="147"/>
    </row>
    <row r="947">
      <c r="A947" s="146">
        <v>946.0</v>
      </c>
      <c r="B947" s="13" t="s">
        <v>208</v>
      </c>
      <c r="C947" s="99"/>
      <c r="D947" s="13" t="s">
        <v>208</v>
      </c>
      <c r="E947" s="13" t="s">
        <v>208</v>
      </c>
      <c r="F947" s="13" t="s">
        <v>208</v>
      </c>
      <c r="G947" s="67"/>
      <c r="H947" s="67"/>
      <c r="I947" s="67"/>
      <c r="J947" s="147"/>
    </row>
    <row r="948">
      <c r="A948" s="146">
        <v>947.0</v>
      </c>
      <c r="B948" s="13" t="s">
        <v>208</v>
      </c>
      <c r="C948" s="13" t="s">
        <v>208</v>
      </c>
      <c r="D948" s="13" t="s">
        <v>208</v>
      </c>
      <c r="E948" s="13" t="s">
        <v>208</v>
      </c>
      <c r="F948" s="13" t="s">
        <v>208</v>
      </c>
      <c r="G948" s="67"/>
      <c r="H948" s="67"/>
      <c r="I948" s="67"/>
      <c r="J948" s="147"/>
    </row>
    <row r="949">
      <c r="A949" s="146">
        <v>948.0</v>
      </c>
      <c r="B949" s="174"/>
      <c r="C949" s="174"/>
      <c r="D949" s="174"/>
      <c r="E949" s="174"/>
      <c r="F949" s="174"/>
      <c r="G949" s="187"/>
      <c r="H949" s="175" t="s">
        <v>217</v>
      </c>
      <c r="I949" s="67"/>
      <c r="J949" s="147"/>
    </row>
    <row r="950">
      <c r="A950" s="146">
        <v>949.0</v>
      </c>
      <c r="B950" s="174"/>
      <c r="C950" s="174"/>
      <c r="D950" s="174"/>
      <c r="E950" s="174"/>
      <c r="F950" s="174"/>
      <c r="G950" s="187"/>
      <c r="H950" s="175" t="s">
        <v>217</v>
      </c>
      <c r="I950" s="67"/>
      <c r="J950" s="147"/>
    </row>
    <row r="951">
      <c r="A951" s="146">
        <v>950.0</v>
      </c>
      <c r="B951" s="174"/>
      <c r="C951" s="174"/>
      <c r="D951" s="174"/>
      <c r="E951" s="174"/>
      <c r="F951" s="174"/>
      <c r="G951" s="187"/>
      <c r="H951" s="175" t="s">
        <v>217</v>
      </c>
      <c r="I951" s="67"/>
      <c r="J951" s="147"/>
    </row>
    <row r="952">
      <c r="A952" s="146">
        <v>951.0</v>
      </c>
      <c r="B952" s="174"/>
      <c r="C952" s="174"/>
      <c r="D952" s="174"/>
      <c r="E952" s="174"/>
      <c r="F952" s="174"/>
      <c r="G952" s="187"/>
      <c r="H952" s="175" t="s">
        <v>217</v>
      </c>
      <c r="I952" s="67"/>
      <c r="J952" s="147"/>
    </row>
    <row r="953">
      <c r="A953" s="146">
        <v>952.0</v>
      </c>
      <c r="B953" s="174"/>
      <c r="C953" s="174"/>
      <c r="D953" s="174"/>
      <c r="E953" s="174"/>
      <c r="F953" s="174"/>
      <c r="G953" s="187"/>
      <c r="H953" s="175" t="s">
        <v>217</v>
      </c>
      <c r="I953" s="67"/>
      <c r="J953" s="147"/>
    </row>
    <row r="954">
      <c r="A954" s="146">
        <v>953.0</v>
      </c>
      <c r="B954" s="174"/>
      <c r="C954" s="174"/>
      <c r="D954" s="174"/>
      <c r="E954" s="174"/>
      <c r="F954" s="174"/>
      <c r="G954" s="187"/>
      <c r="H954" s="175" t="s">
        <v>217</v>
      </c>
      <c r="I954" s="67"/>
      <c r="J954" s="147"/>
    </row>
    <row r="955">
      <c r="A955" s="146">
        <v>954.0</v>
      </c>
      <c r="B955" s="174"/>
      <c r="C955" s="174"/>
      <c r="D955" s="174"/>
      <c r="E955" s="174"/>
      <c r="F955" s="174"/>
      <c r="G955" s="187"/>
      <c r="H955" s="175" t="s">
        <v>217</v>
      </c>
      <c r="I955" s="67"/>
      <c r="J955" s="147"/>
    </row>
    <row r="956">
      <c r="A956" s="146">
        <v>955.0</v>
      </c>
      <c r="B956" s="174"/>
      <c r="C956" s="174"/>
      <c r="D956" s="174"/>
      <c r="E956" s="174"/>
      <c r="F956" s="174"/>
      <c r="G956" s="187"/>
      <c r="H956" s="175" t="s">
        <v>217</v>
      </c>
      <c r="I956" s="67"/>
      <c r="J956" s="147"/>
    </row>
    <row r="957">
      <c r="A957" s="146">
        <v>956.0</v>
      </c>
      <c r="B957" s="13" t="s">
        <v>208</v>
      </c>
      <c r="C957" s="13" t="s">
        <v>208</v>
      </c>
      <c r="D957" s="13" t="s">
        <v>208</v>
      </c>
      <c r="E957" s="13" t="s">
        <v>208</v>
      </c>
      <c r="F957" s="13" t="s">
        <v>208</v>
      </c>
      <c r="G957" s="67"/>
      <c r="H957" s="67"/>
      <c r="I957" s="67"/>
      <c r="J957" s="147"/>
    </row>
    <row r="958">
      <c r="A958" s="146">
        <v>957.0</v>
      </c>
      <c r="B958" s="13" t="s">
        <v>208</v>
      </c>
      <c r="C958" s="13" t="s">
        <v>208</v>
      </c>
      <c r="D958" s="13" t="s">
        <v>208</v>
      </c>
      <c r="E958" s="13" t="s">
        <v>208</v>
      </c>
      <c r="F958" s="13" t="s">
        <v>208</v>
      </c>
      <c r="G958" s="67"/>
      <c r="H958" s="67"/>
      <c r="I958" s="67"/>
      <c r="J958" s="147"/>
    </row>
    <row r="959">
      <c r="A959" s="146">
        <v>958.0</v>
      </c>
      <c r="B959" s="13" t="s">
        <v>208</v>
      </c>
      <c r="C959" s="13" t="s">
        <v>208</v>
      </c>
      <c r="D959" s="13" t="s">
        <v>208</v>
      </c>
      <c r="E959" s="13" t="s">
        <v>208</v>
      </c>
      <c r="F959" s="13" t="s">
        <v>208</v>
      </c>
      <c r="G959" s="67"/>
      <c r="H959" s="67"/>
      <c r="I959" s="67"/>
      <c r="J959" s="147"/>
    </row>
    <row r="960">
      <c r="A960" s="146">
        <v>959.0</v>
      </c>
      <c r="B960" s="13" t="s">
        <v>208</v>
      </c>
      <c r="C960" s="13" t="s">
        <v>208</v>
      </c>
      <c r="D960" s="13" t="s">
        <v>208</v>
      </c>
      <c r="E960" s="13" t="s">
        <v>208</v>
      </c>
      <c r="F960" s="13" t="s">
        <v>208</v>
      </c>
      <c r="G960" s="67"/>
      <c r="H960" s="67"/>
      <c r="I960" s="67"/>
      <c r="J960" s="147"/>
    </row>
    <row r="961">
      <c r="A961" s="146">
        <v>960.0</v>
      </c>
      <c r="B961" s="13" t="s">
        <v>208</v>
      </c>
      <c r="C961" s="13" t="s">
        <v>208</v>
      </c>
      <c r="D961" s="13" t="s">
        <v>208</v>
      </c>
      <c r="E961" s="13" t="s">
        <v>208</v>
      </c>
      <c r="F961" s="13" t="s">
        <v>208</v>
      </c>
      <c r="G961" s="67"/>
      <c r="H961" s="67"/>
      <c r="I961" s="67"/>
      <c r="J961" s="147"/>
    </row>
    <row r="962">
      <c r="A962" s="146">
        <v>961.0</v>
      </c>
      <c r="B962" s="13" t="s">
        <v>208</v>
      </c>
      <c r="C962" s="13" t="s">
        <v>208</v>
      </c>
      <c r="D962" s="13" t="s">
        <v>208</v>
      </c>
      <c r="E962" s="13" t="s">
        <v>208</v>
      </c>
      <c r="F962" s="13" t="s">
        <v>208</v>
      </c>
      <c r="G962" s="67"/>
      <c r="H962" s="67"/>
      <c r="I962" s="67"/>
      <c r="J962" s="147"/>
    </row>
    <row r="963">
      <c r="A963" s="146">
        <v>962.0</v>
      </c>
      <c r="B963" s="13" t="s">
        <v>208</v>
      </c>
      <c r="C963" s="13" t="s">
        <v>208</v>
      </c>
      <c r="D963" s="13" t="s">
        <v>208</v>
      </c>
      <c r="E963" s="13" t="s">
        <v>208</v>
      </c>
      <c r="F963" s="13" t="s">
        <v>208</v>
      </c>
      <c r="G963" s="67"/>
      <c r="H963" s="67"/>
      <c r="I963" s="67"/>
      <c r="J963" s="147"/>
    </row>
    <row r="964">
      <c r="A964" s="146">
        <v>963.0</v>
      </c>
      <c r="B964" s="13" t="s">
        <v>208</v>
      </c>
      <c r="C964" s="13" t="s">
        <v>208</v>
      </c>
      <c r="D964" s="99"/>
      <c r="E964" s="13" t="s">
        <v>208</v>
      </c>
      <c r="F964" s="13" t="s">
        <v>208</v>
      </c>
      <c r="G964" s="67"/>
      <c r="H964" s="67"/>
      <c r="I964" s="67"/>
      <c r="J964" s="147"/>
    </row>
    <row r="965">
      <c r="A965" s="146">
        <v>964.0</v>
      </c>
      <c r="B965" s="13" t="s">
        <v>208</v>
      </c>
      <c r="C965" s="13" t="s">
        <v>208</v>
      </c>
      <c r="D965" s="13" t="s">
        <v>208</v>
      </c>
      <c r="E965" s="13" t="s">
        <v>208</v>
      </c>
      <c r="F965" s="13" t="s">
        <v>208</v>
      </c>
      <c r="G965" s="67"/>
      <c r="H965" s="67"/>
      <c r="I965" s="67"/>
      <c r="J965" s="147"/>
    </row>
    <row r="966">
      <c r="A966" s="146">
        <v>965.0</v>
      </c>
      <c r="B966" s="13" t="s">
        <v>208</v>
      </c>
      <c r="C966" s="13" t="s">
        <v>208</v>
      </c>
      <c r="D966" s="13" t="s">
        <v>208</v>
      </c>
      <c r="E966" s="13" t="s">
        <v>208</v>
      </c>
      <c r="F966" s="13" t="s">
        <v>208</v>
      </c>
      <c r="G966" s="67"/>
      <c r="H966" s="67"/>
      <c r="I966" s="67"/>
      <c r="J966" s="147"/>
    </row>
    <row r="967">
      <c r="A967" s="146">
        <v>966.0</v>
      </c>
      <c r="B967" s="13" t="s">
        <v>208</v>
      </c>
      <c r="C967" s="13" t="s">
        <v>208</v>
      </c>
      <c r="D967" s="13" t="s">
        <v>208</v>
      </c>
      <c r="E967" s="13" t="s">
        <v>208</v>
      </c>
      <c r="F967" s="13" t="s">
        <v>208</v>
      </c>
      <c r="G967" s="67"/>
      <c r="H967" s="67"/>
      <c r="I967" s="67"/>
      <c r="J967" s="147"/>
    </row>
    <row r="968">
      <c r="A968" s="146">
        <v>967.0</v>
      </c>
      <c r="B968" s="13" t="s">
        <v>208</v>
      </c>
      <c r="C968" s="13" t="s">
        <v>208</v>
      </c>
      <c r="D968" s="13" t="s">
        <v>208</v>
      </c>
      <c r="E968" s="13" t="s">
        <v>208</v>
      </c>
      <c r="F968" s="13" t="s">
        <v>208</v>
      </c>
      <c r="G968" s="67"/>
      <c r="H968" s="67"/>
      <c r="I968" s="67"/>
      <c r="J968" s="147"/>
    </row>
    <row r="969">
      <c r="A969" s="146">
        <v>968.0</v>
      </c>
      <c r="B969" s="13" t="s">
        <v>208</v>
      </c>
      <c r="C969" s="13" t="s">
        <v>208</v>
      </c>
      <c r="D969" s="13" t="s">
        <v>208</v>
      </c>
      <c r="E969" s="13" t="s">
        <v>208</v>
      </c>
      <c r="F969" s="13" t="s">
        <v>208</v>
      </c>
      <c r="G969" s="67"/>
      <c r="H969" s="67"/>
      <c r="I969" s="67"/>
      <c r="J969" s="147"/>
    </row>
    <row r="970">
      <c r="A970" s="146">
        <v>969.0</v>
      </c>
      <c r="B970" s="13" t="s">
        <v>208</v>
      </c>
      <c r="C970" s="13" t="s">
        <v>208</v>
      </c>
      <c r="D970" s="13" t="s">
        <v>208</v>
      </c>
      <c r="E970" s="13" t="s">
        <v>208</v>
      </c>
      <c r="F970" s="13" t="s">
        <v>208</v>
      </c>
      <c r="G970" s="67"/>
      <c r="H970" s="67"/>
      <c r="I970" s="67"/>
      <c r="J970" s="147"/>
    </row>
    <row r="971">
      <c r="A971" s="146">
        <v>970.0</v>
      </c>
      <c r="B971" s="13" t="s">
        <v>208</v>
      </c>
      <c r="C971" s="13" t="s">
        <v>208</v>
      </c>
      <c r="D971" s="13" t="s">
        <v>208</v>
      </c>
      <c r="E971" s="13" t="s">
        <v>208</v>
      </c>
      <c r="F971" s="13" t="s">
        <v>208</v>
      </c>
      <c r="G971" s="67"/>
      <c r="H971" s="67"/>
      <c r="I971" s="67"/>
      <c r="J971" s="147"/>
    </row>
    <row r="972">
      <c r="A972" s="146">
        <v>971.0</v>
      </c>
      <c r="B972" s="13" t="s">
        <v>208</v>
      </c>
      <c r="C972" s="13" t="s">
        <v>208</v>
      </c>
      <c r="D972" s="13" t="s">
        <v>208</v>
      </c>
      <c r="E972" s="13" t="s">
        <v>208</v>
      </c>
      <c r="F972" s="13" t="s">
        <v>208</v>
      </c>
      <c r="G972" s="67"/>
      <c r="H972" s="67"/>
      <c r="I972" s="67"/>
      <c r="J972" s="147"/>
    </row>
    <row r="973">
      <c r="A973" s="146">
        <v>972.0</v>
      </c>
      <c r="B973" s="13" t="s">
        <v>208</v>
      </c>
      <c r="C973" s="13" t="s">
        <v>208</v>
      </c>
      <c r="D973" s="13" t="s">
        <v>208</v>
      </c>
      <c r="E973" s="13" t="s">
        <v>208</v>
      </c>
      <c r="F973" s="13" t="s">
        <v>208</v>
      </c>
      <c r="G973" s="67"/>
      <c r="H973" s="67"/>
      <c r="I973" s="67"/>
      <c r="J973" s="147"/>
    </row>
    <row r="974">
      <c r="A974" s="146">
        <v>973.0</v>
      </c>
      <c r="B974" s="13" t="s">
        <v>208</v>
      </c>
      <c r="C974" s="13" t="s">
        <v>208</v>
      </c>
      <c r="D974" s="13" t="s">
        <v>208</v>
      </c>
      <c r="E974" s="13" t="s">
        <v>208</v>
      </c>
      <c r="F974" s="13" t="s">
        <v>208</v>
      </c>
      <c r="G974" s="67"/>
      <c r="H974" s="67"/>
      <c r="I974" s="67"/>
      <c r="J974" s="147"/>
    </row>
    <row r="975">
      <c r="A975" s="146">
        <v>974.0</v>
      </c>
      <c r="B975" s="13" t="s">
        <v>208</v>
      </c>
      <c r="C975" s="13" t="s">
        <v>208</v>
      </c>
      <c r="D975" s="13" t="s">
        <v>208</v>
      </c>
      <c r="E975" s="13" t="s">
        <v>208</v>
      </c>
      <c r="F975" s="13" t="s">
        <v>208</v>
      </c>
      <c r="G975" s="67"/>
      <c r="H975" s="67"/>
      <c r="I975" s="67"/>
      <c r="J975" s="147"/>
    </row>
    <row r="976">
      <c r="A976" s="146">
        <v>975.0</v>
      </c>
      <c r="B976" s="13" t="s">
        <v>208</v>
      </c>
      <c r="C976" s="99"/>
      <c r="D976" s="13" t="s">
        <v>208</v>
      </c>
      <c r="E976" s="13" t="s">
        <v>208</v>
      </c>
      <c r="F976" s="13" t="s">
        <v>208</v>
      </c>
      <c r="G976" s="67"/>
      <c r="H976" s="67"/>
      <c r="I976" s="67"/>
      <c r="J976" s="147"/>
    </row>
    <row r="977">
      <c r="A977" s="146">
        <v>976.0</v>
      </c>
      <c r="B977" s="13"/>
      <c r="C977" s="13" t="s">
        <v>208</v>
      </c>
      <c r="D977" s="13" t="s">
        <v>208</v>
      </c>
      <c r="E977" s="13" t="s">
        <v>208</v>
      </c>
      <c r="F977" s="13"/>
      <c r="G977" s="13" t="s">
        <v>208</v>
      </c>
      <c r="H977" s="67"/>
      <c r="I977" s="67"/>
      <c r="J977" s="147"/>
    </row>
    <row r="978">
      <c r="A978" s="146">
        <v>977.0</v>
      </c>
      <c r="B978" s="13" t="s">
        <v>208</v>
      </c>
      <c r="C978" s="13" t="s">
        <v>208</v>
      </c>
      <c r="D978" s="13" t="s">
        <v>208</v>
      </c>
      <c r="E978" s="13" t="s">
        <v>208</v>
      </c>
      <c r="F978" s="13" t="s">
        <v>208</v>
      </c>
      <c r="G978" s="67"/>
      <c r="H978" s="67"/>
      <c r="I978" s="67"/>
      <c r="J978" s="147"/>
    </row>
    <row r="979">
      <c r="A979" s="146">
        <v>978.0</v>
      </c>
      <c r="B979" s="13" t="s">
        <v>208</v>
      </c>
      <c r="C979" s="13" t="s">
        <v>208</v>
      </c>
      <c r="D979" s="13" t="s">
        <v>208</v>
      </c>
      <c r="E979" s="13" t="s">
        <v>208</v>
      </c>
      <c r="F979" s="13" t="s">
        <v>208</v>
      </c>
      <c r="G979" s="67"/>
      <c r="H979" s="67"/>
      <c r="I979" s="67"/>
      <c r="J979" s="147"/>
    </row>
    <row r="980">
      <c r="A980" s="146">
        <v>979.0</v>
      </c>
      <c r="B980" s="13" t="s">
        <v>208</v>
      </c>
      <c r="C980" s="99"/>
      <c r="D980" s="13" t="s">
        <v>208</v>
      </c>
      <c r="E980" s="13" t="s">
        <v>208</v>
      </c>
      <c r="F980" s="13" t="s">
        <v>208</v>
      </c>
      <c r="G980" s="67"/>
      <c r="H980" s="67"/>
      <c r="I980" s="67"/>
      <c r="J980" s="147"/>
    </row>
    <row r="981">
      <c r="A981" s="146">
        <v>980.0</v>
      </c>
      <c r="B981" s="174"/>
      <c r="C981" s="174"/>
      <c r="D981" s="174"/>
      <c r="E981" s="174"/>
      <c r="F981" s="174"/>
      <c r="G981" s="187"/>
      <c r="H981" s="175" t="s">
        <v>217</v>
      </c>
      <c r="I981" s="67"/>
      <c r="J981" s="147"/>
    </row>
    <row r="982">
      <c r="A982" s="146">
        <v>981.0</v>
      </c>
      <c r="B982" s="13" t="s">
        <v>208</v>
      </c>
      <c r="C982" s="13" t="s">
        <v>208</v>
      </c>
      <c r="D982" s="13" t="s">
        <v>208</v>
      </c>
      <c r="E982" s="13" t="s">
        <v>208</v>
      </c>
      <c r="F982" s="13" t="s">
        <v>208</v>
      </c>
      <c r="G982" s="67"/>
      <c r="H982" s="67"/>
      <c r="I982" s="67"/>
      <c r="J982" s="147"/>
    </row>
    <row r="983">
      <c r="A983" s="146">
        <v>982.0</v>
      </c>
      <c r="B983" s="13" t="s">
        <v>208</v>
      </c>
      <c r="C983" s="13" t="s">
        <v>208</v>
      </c>
      <c r="D983" s="13" t="s">
        <v>208</v>
      </c>
      <c r="E983" s="13" t="s">
        <v>208</v>
      </c>
      <c r="F983" s="13" t="s">
        <v>208</v>
      </c>
      <c r="G983" s="67"/>
      <c r="H983" s="67"/>
      <c r="I983" s="67"/>
      <c r="J983" s="147"/>
    </row>
    <row r="984">
      <c r="A984" s="146">
        <v>983.0</v>
      </c>
      <c r="B984" s="13" t="s">
        <v>208</v>
      </c>
      <c r="C984" s="13" t="s">
        <v>208</v>
      </c>
      <c r="D984" s="13" t="s">
        <v>208</v>
      </c>
      <c r="E984" s="13" t="s">
        <v>208</v>
      </c>
      <c r="F984" s="13" t="s">
        <v>208</v>
      </c>
      <c r="G984" s="67"/>
      <c r="H984" s="67"/>
      <c r="I984" s="67"/>
      <c r="J984" s="147"/>
    </row>
    <row r="985">
      <c r="A985" s="146">
        <v>984.0</v>
      </c>
      <c r="B985" s="13" t="s">
        <v>208</v>
      </c>
      <c r="C985" s="13" t="s">
        <v>208</v>
      </c>
      <c r="D985" s="13" t="s">
        <v>208</v>
      </c>
      <c r="E985" s="13" t="s">
        <v>208</v>
      </c>
      <c r="F985" s="13" t="s">
        <v>208</v>
      </c>
      <c r="G985" s="67"/>
      <c r="H985" s="67"/>
      <c r="I985" s="67"/>
      <c r="J985" s="147"/>
    </row>
    <row r="986">
      <c r="A986" s="146">
        <v>985.0</v>
      </c>
      <c r="B986" s="13" t="s">
        <v>208</v>
      </c>
      <c r="C986" s="13" t="s">
        <v>208</v>
      </c>
      <c r="D986" s="13" t="s">
        <v>208</v>
      </c>
      <c r="E986" s="13" t="s">
        <v>208</v>
      </c>
      <c r="F986" s="13" t="s">
        <v>208</v>
      </c>
      <c r="G986" s="67"/>
      <c r="H986" s="67"/>
      <c r="I986" s="67"/>
      <c r="J986" s="147"/>
    </row>
    <row r="987">
      <c r="A987" s="146">
        <v>986.0</v>
      </c>
      <c r="B987" s="13" t="s">
        <v>208</v>
      </c>
      <c r="C987" s="13" t="s">
        <v>208</v>
      </c>
      <c r="D987" s="13" t="s">
        <v>208</v>
      </c>
      <c r="E987" s="13" t="s">
        <v>208</v>
      </c>
      <c r="F987" s="13" t="s">
        <v>208</v>
      </c>
      <c r="G987" s="67"/>
      <c r="H987" s="67"/>
      <c r="I987" s="67"/>
      <c r="J987" s="147"/>
    </row>
    <row r="988">
      <c r="A988" s="146">
        <v>987.0</v>
      </c>
      <c r="B988" s="13" t="s">
        <v>208</v>
      </c>
      <c r="C988" s="13" t="s">
        <v>208</v>
      </c>
      <c r="D988" s="13" t="s">
        <v>208</v>
      </c>
      <c r="E988" s="13" t="s">
        <v>208</v>
      </c>
      <c r="F988" s="13" t="s">
        <v>208</v>
      </c>
      <c r="G988" s="67"/>
      <c r="H988" s="67"/>
      <c r="I988" s="67"/>
      <c r="J988" s="147"/>
    </row>
    <row r="989">
      <c r="A989" s="146">
        <v>988.0</v>
      </c>
      <c r="B989" s="13" t="s">
        <v>208</v>
      </c>
      <c r="C989" s="13" t="s">
        <v>208</v>
      </c>
      <c r="D989" s="13" t="s">
        <v>208</v>
      </c>
      <c r="E989" s="13" t="s">
        <v>208</v>
      </c>
      <c r="F989" s="13" t="s">
        <v>208</v>
      </c>
      <c r="G989" s="67"/>
      <c r="H989" s="67"/>
      <c r="I989" s="67"/>
      <c r="J989" s="147"/>
    </row>
    <row r="990">
      <c r="A990" s="146">
        <v>989.0</v>
      </c>
      <c r="B990" s="13" t="s">
        <v>208</v>
      </c>
      <c r="C990" s="13" t="s">
        <v>208</v>
      </c>
      <c r="D990" s="13" t="s">
        <v>208</v>
      </c>
      <c r="E990" s="13" t="s">
        <v>208</v>
      </c>
      <c r="F990" s="13" t="s">
        <v>208</v>
      </c>
      <c r="G990" s="67"/>
      <c r="H990" s="67"/>
      <c r="I990" s="67"/>
      <c r="J990" s="147"/>
    </row>
    <row r="991">
      <c r="A991" s="146">
        <v>990.0</v>
      </c>
      <c r="B991" s="13" t="s">
        <v>208</v>
      </c>
      <c r="C991" s="13" t="s">
        <v>208</v>
      </c>
      <c r="D991" s="13" t="s">
        <v>208</v>
      </c>
      <c r="E991" s="13" t="s">
        <v>208</v>
      </c>
      <c r="F991" s="13" t="s">
        <v>208</v>
      </c>
      <c r="G991" s="67"/>
      <c r="H991" s="67"/>
      <c r="I991" s="67"/>
      <c r="J991" s="147"/>
    </row>
    <row r="992">
      <c r="A992" s="146">
        <v>991.0</v>
      </c>
      <c r="B992" s="13" t="s">
        <v>208</v>
      </c>
      <c r="C992" s="13" t="s">
        <v>208</v>
      </c>
      <c r="D992" s="13" t="s">
        <v>208</v>
      </c>
      <c r="E992" s="13" t="s">
        <v>208</v>
      </c>
      <c r="F992" s="13" t="s">
        <v>208</v>
      </c>
      <c r="G992" s="67"/>
      <c r="H992" s="67"/>
      <c r="I992" s="67"/>
      <c r="J992" s="147"/>
    </row>
    <row r="993">
      <c r="A993" s="146">
        <v>992.0</v>
      </c>
      <c r="B993" s="13" t="s">
        <v>208</v>
      </c>
      <c r="C993" s="13" t="s">
        <v>208</v>
      </c>
      <c r="D993" s="13" t="s">
        <v>208</v>
      </c>
      <c r="E993" s="13" t="s">
        <v>208</v>
      </c>
      <c r="F993" s="13" t="s">
        <v>208</v>
      </c>
      <c r="G993" s="67"/>
      <c r="H993" s="67"/>
      <c r="I993" s="67"/>
      <c r="J993" s="147"/>
    </row>
    <row r="994">
      <c r="A994" s="146">
        <v>993.0</v>
      </c>
      <c r="B994" s="13" t="s">
        <v>208</v>
      </c>
      <c r="C994" s="13" t="s">
        <v>208</v>
      </c>
      <c r="D994" s="13" t="s">
        <v>208</v>
      </c>
      <c r="E994" s="13" t="s">
        <v>208</v>
      </c>
      <c r="F994" s="13" t="s">
        <v>208</v>
      </c>
      <c r="G994" s="67"/>
      <c r="H994" s="67"/>
      <c r="I994" s="67"/>
      <c r="J994" s="147"/>
    </row>
    <row r="995">
      <c r="A995" s="146">
        <v>994.0</v>
      </c>
      <c r="B995" s="13" t="s">
        <v>208</v>
      </c>
      <c r="C995" s="13" t="s">
        <v>208</v>
      </c>
      <c r="D995" s="13" t="s">
        <v>208</v>
      </c>
      <c r="E995" s="13" t="s">
        <v>208</v>
      </c>
      <c r="F995" s="13" t="s">
        <v>208</v>
      </c>
      <c r="G995" s="67"/>
      <c r="H995" s="67"/>
      <c r="I995" s="67"/>
      <c r="J995" s="147"/>
    </row>
    <row r="996">
      <c r="A996" s="146">
        <v>995.0</v>
      </c>
      <c r="B996" s="13" t="s">
        <v>208</v>
      </c>
      <c r="C996" s="13" t="s">
        <v>208</v>
      </c>
      <c r="D996" s="13" t="s">
        <v>208</v>
      </c>
      <c r="E996" s="13" t="s">
        <v>208</v>
      </c>
      <c r="F996" s="13" t="s">
        <v>208</v>
      </c>
      <c r="G996" s="67"/>
      <c r="H996" s="67"/>
      <c r="I996" s="67"/>
      <c r="J996" s="147"/>
    </row>
    <row r="997">
      <c r="A997" s="146">
        <v>996.0</v>
      </c>
      <c r="B997" s="13" t="s">
        <v>208</v>
      </c>
      <c r="C997" s="13" t="s">
        <v>208</v>
      </c>
      <c r="D997" s="13" t="s">
        <v>208</v>
      </c>
      <c r="E997" s="13" t="s">
        <v>208</v>
      </c>
      <c r="F997" s="13" t="s">
        <v>208</v>
      </c>
      <c r="G997" s="67"/>
      <c r="H997" s="67"/>
      <c r="I997" s="67"/>
      <c r="J997" s="147"/>
    </row>
    <row r="998">
      <c r="A998" s="146">
        <v>997.0</v>
      </c>
      <c r="B998" s="13" t="s">
        <v>208</v>
      </c>
      <c r="C998" s="13" t="s">
        <v>208</v>
      </c>
      <c r="D998" s="13" t="s">
        <v>208</v>
      </c>
      <c r="E998" s="13" t="s">
        <v>208</v>
      </c>
      <c r="F998" s="13" t="s">
        <v>208</v>
      </c>
      <c r="G998" s="67"/>
      <c r="H998" s="67"/>
      <c r="I998" s="67"/>
      <c r="J998" s="147"/>
    </row>
    <row r="999">
      <c r="A999" s="146">
        <v>998.0</v>
      </c>
      <c r="B999" s="13" t="s">
        <v>208</v>
      </c>
      <c r="C999" s="13" t="s">
        <v>208</v>
      </c>
      <c r="D999" s="13" t="s">
        <v>208</v>
      </c>
      <c r="E999" s="13" t="s">
        <v>208</v>
      </c>
      <c r="F999" s="13" t="s">
        <v>208</v>
      </c>
      <c r="G999" s="67"/>
      <c r="H999" s="67"/>
      <c r="I999" s="67"/>
      <c r="J999" s="147"/>
    </row>
    <row r="1000">
      <c r="A1000" s="146">
        <v>999.0</v>
      </c>
      <c r="B1000" s="13" t="s">
        <v>208</v>
      </c>
      <c r="C1000" s="13" t="s">
        <v>208</v>
      </c>
      <c r="D1000" s="13" t="s">
        <v>208</v>
      </c>
      <c r="E1000" s="13" t="s">
        <v>208</v>
      </c>
      <c r="F1000" s="13" t="s">
        <v>208</v>
      </c>
      <c r="G1000" s="67"/>
      <c r="H1000" s="67"/>
      <c r="I1000" s="67"/>
      <c r="J1000" s="147"/>
    </row>
    <row r="1001">
      <c r="A1001" s="146">
        <v>1000.0</v>
      </c>
      <c r="B1001" s="13" t="s">
        <v>208</v>
      </c>
      <c r="C1001" s="13" t="s">
        <v>208</v>
      </c>
      <c r="D1001" s="13" t="s">
        <v>208</v>
      </c>
      <c r="E1001" s="13" t="s">
        <v>208</v>
      </c>
      <c r="F1001" s="13" t="s">
        <v>208</v>
      </c>
      <c r="G1001" s="67"/>
      <c r="H1001" s="67"/>
      <c r="I1001" s="67"/>
      <c r="J1001" s="147"/>
    </row>
    <row r="1002">
      <c r="A1002" s="146">
        <v>1001.0</v>
      </c>
      <c r="B1002" s="13" t="s">
        <v>208</v>
      </c>
      <c r="C1002" s="13" t="s">
        <v>208</v>
      </c>
      <c r="D1002" s="13" t="s">
        <v>208</v>
      </c>
      <c r="E1002" s="13" t="s">
        <v>208</v>
      </c>
      <c r="F1002" s="13" t="s">
        <v>208</v>
      </c>
      <c r="G1002" s="67"/>
      <c r="H1002" s="67"/>
      <c r="I1002" s="67"/>
      <c r="J1002" s="147"/>
    </row>
    <row r="1003">
      <c r="A1003" s="146">
        <v>1002.0</v>
      </c>
      <c r="B1003" s="13" t="s">
        <v>208</v>
      </c>
      <c r="C1003" s="13" t="s">
        <v>208</v>
      </c>
      <c r="D1003" s="13" t="s">
        <v>208</v>
      </c>
      <c r="E1003" s="13" t="s">
        <v>208</v>
      </c>
      <c r="F1003" s="13" t="s">
        <v>208</v>
      </c>
      <c r="G1003" s="67"/>
      <c r="H1003" s="67"/>
      <c r="I1003" s="67"/>
      <c r="J1003" s="147"/>
    </row>
    <row r="1004">
      <c r="A1004" s="146">
        <v>1003.0</v>
      </c>
      <c r="B1004" s="67"/>
      <c r="C1004" s="13" t="s">
        <v>208</v>
      </c>
      <c r="D1004" s="13" t="s">
        <v>208</v>
      </c>
      <c r="E1004" s="13" t="s">
        <v>208</v>
      </c>
      <c r="F1004" s="67"/>
      <c r="G1004" s="13" t="s">
        <v>208</v>
      </c>
      <c r="H1004" s="67"/>
      <c r="I1004" s="67"/>
      <c r="J1004" s="147"/>
    </row>
    <row r="1005">
      <c r="A1005" s="146">
        <v>1004.0</v>
      </c>
      <c r="B1005" s="13" t="s">
        <v>208</v>
      </c>
      <c r="C1005" s="99"/>
      <c r="D1005" s="13" t="s">
        <v>208</v>
      </c>
      <c r="E1005" s="13" t="s">
        <v>208</v>
      </c>
      <c r="F1005" s="13" t="s">
        <v>208</v>
      </c>
      <c r="G1005" s="67"/>
      <c r="H1005" s="67"/>
      <c r="I1005" s="67"/>
      <c r="J1005" s="147"/>
    </row>
    <row r="1006">
      <c r="A1006" s="146">
        <v>1005.0</v>
      </c>
      <c r="B1006" s="13" t="s">
        <v>208</v>
      </c>
      <c r="C1006" s="13" t="s">
        <v>208</v>
      </c>
      <c r="D1006" s="13" t="s">
        <v>208</v>
      </c>
      <c r="E1006" s="13" t="s">
        <v>208</v>
      </c>
      <c r="F1006" s="13" t="s">
        <v>208</v>
      </c>
      <c r="G1006" s="67"/>
      <c r="H1006" s="67"/>
      <c r="I1006" s="67"/>
      <c r="J1006" s="147"/>
    </row>
    <row r="1007">
      <c r="A1007" s="146">
        <v>1006.0</v>
      </c>
      <c r="B1007" s="13" t="s">
        <v>208</v>
      </c>
      <c r="C1007" s="13" t="s">
        <v>208</v>
      </c>
      <c r="D1007" s="13" t="s">
        <v>208</v>
      </c>
      <c r="E1007" s="13" t="s">
        <v>208</v>
      </c>
      <c r="F1007" s="13" t="s">
        <v>208</v>
      </c>
      <c r="G1007" s="67"/>
      <c r="H1007" s="67"/>
      <c r="I1007" s="67"/>
      <c r="J1007" s="147"/>
    </row>
    <row r="1008">
      <c r="A1008" s="146">
        <v>1007.0</v>
      </c>
      <c r="B1008" s="13" t="s">
        <v>208</v>
      </c>
      <c r="C1008" s="99"/>
      <c r="D1008" s="13" t="s">
        <v>208</v>
      </c>
      <c r="E1008" s="13" t="s">
        <v>208</v>
      </c>
      <c r="F1008" s="13" t="s">
        <v>208</v>
      </c>
      <c r="G1008" s="67"/>
      <c r="H1008" s="67"/>
      <c r="I1008" s="67"/>
      <c r="J1008" s="147"/>
    </row>
    <row r="1009">
      <c r="A1009" s="146">
        <v>1008.0</v>
      </c>
      <c r="B1009" s="13" t="s">
        <v>208</v>
      </c>
      <c r="C1009" s="13" t="s">
        <v>208</v>
      </c>
      <c r="D1009" s="13" t="s">
        <v>208</v>
      </c>
      <c r="E1009" s="13" t="s">
        <v>208</v>
      </c>
      <c r="F1009" s="13" t="s">
        <v>208</v>
      </c>
      <c r="G1009" s="67"/>
      <c r="H1009" s="67"/>
      <c r="I1009" s="67"/>
      <c r="J1009" s="147"/>
    </row>
    <row r="1010">
      <c r="A1010" s="146">
        <v>1009.0</v>
      </c>
      <c r="B1010" s="13" t="s">
        <v>208</v>
      </c>
      <c r="C1010" s="13" t="s">
        <v>208</v>
      </c>
      <c r="D1010" s="13" t="s">
        <v>208</v>
      </c>
      <c r="E1010" s="13" t="s">
        <v>208</v>
      </c>
      <c r="F1010" s="13" t="s">
        <v>208</v>
      </c>
      <c r="G1010" s="67"/>
      <c r="H1010" s="67"/>
      <c r="I1010" s="67"/>
      <c r="J1010" s="147"/>
    </row>
    <row r="1011">
      <c r="A1011" s="146">
        <v>1010.0</v>
      </c>
      <c r="B1011" s="174"/>
      <c r="C1011" s="174"/>
      <c r="D1011" s="174"/>
      <c r="E1011" s="174"/>
      <c r="F1011" s="174"/>
      <c r="G1011" s="187"/>
      <c r="H1011" s="175" t="s">
        <v>217</v>
      </c>
      <c r="I1011" s="67"/>
      <c r="J1011" s="147"/>
    </row>
    <row r="1012">
      <c r="A1012" s="146">
        <v>1011.0</v>
      </c>
      <c r="B1012" s="13" t="s">
        <v>208</v>
      </c>
      <c r="C1012" s="13" t="s">
        <v>208</v>
      </c>
      <c r="D1012" s="13" t="s">
        <v>208</v>
      </c>
      <c r="E1012" s="13" t="s">
        <v>208</v>
      </c>
      <c r="F1012" s="13" t="s">
        <v>208</v>
      </c>
      <c r="G1012" s="67"/>
      <c r="H1012" s="67"/>
      <c r="I1012" s="67"/>
      <c r="J1012" s="147"/>
    </row>
    <row r="1013">
      <c r="A1013" s="146">
        <v>1012.0</v>
      </c>
      <c r="B1013" s="13" t="s">
        <v>208</v>
      </c>
      <c r="C1013" s="13" t="s">
        <v>208</v>
      </c>
      <c r="D1013" s="13" t="s">
        <v>208</v>
      </c>
      <c r="E1013" s="13" t="s">
        <v>208</v>
      </c>
      <c r="F1013" s="13" t="s">
        <v>208</v>
      </c>
      <c r="G1013" s="67"/>
      <c r="H1013" s="67"/>
      <c r="I1013" s="67"/>
      <c r="J1013" s="147"/>
    </row>
    <row r="1014">
      <c r="A1014" s="146">
        <v>1013.0</v>
      </c>
      <c r="B1014" s="13" t="s">
        <v>208</v>
      </c>
      <c r="C1014" s="13" t="s">
        <v>208</v>
      </c>
      <c r="D1014" s="99"/>
      <c r="E1014" s="13" t="s">
        <v>208</v>
      </c>
      <c r="F1014" s="13" t="s">
        <v>208</v>
      </c>
      <c r="G1014" s="67"/>
      <c r="H1014" s="67"/>
      <c r="I1014" s="67"/>
      <c r="J1014" s="147"/>
    </row>
    <row r="1015">
      <c r="A1015" s="146">
        <v>1014.0</v>
      </c>
      <c r="B1015" s="13" t="s">
        <v>208</v>
      </c>
      <c r="C1015" s="13" t="s">
        <v>208</v>
      </c>
      <c r="D1015" s="13" t="s">
        <v>208</v>
      </c>
      <c r="E1015" s="13" t="s">
        <v>208</v>
      </c>
      <c r="F1015" s="13" t="s">
        <v>208</v>
      </c>
      <c r="G1015" s="67"/>
      <c r="H1015" s="67"/>
      <c r="I1015" s="67"/>
      <c r="J1015" s="147"/>
    </row>
    <row r="1016">
      <c r="A1016" s="146">
        <v>1015.0</v>
      </c>
      <c r="B1016" s="13" t="s">
        <v>208</v>
      </c>
      <c r="C1016" s="13" t="s">
        <v>208</v>
      </c>
      <c r="D1016" s="13" t="s">
        <v>208</v>
      </c>
      <c r="E1016" s="13" t="s">
        <v>208</v>
      </c>
      <c r="F1016" s="13" t="s">
        <v>208</v>
      </c>
      <c r="G1016" s="67"/>
      <c r="H1016" s="67"/>
      <c r="I1016" s="67"/>
      <c r="J1016" s="147"/>
    </row>
    <row r="1017">
      <c r="A1017" s="146">
        <v>1016.0</v>
      </c>
      <c r="B1017" s="13" t="s">
        <v>208</v>
      </c>
      <c r="C1017" s="13" t="s">
        <v>208</v>
      </c>
      <c r="D1017" s="13" t="s">
        <v>208</v>
      </c>
      <c r="E1017" s="13" t="s">
        <v>208</v>
      </c>
      <c r="F1017" s="13" t="s">
        <v>208</v>
      </c>
      <c r="G1017" s="67"/>
      <c r="H1017" s="67"/>
      <c r="I1017" s="67"/>
      <c r="J1017" s="147"/>
    </row>
    <row r="1018">
      <c r="A1018" s="146">
        <v>1017.0</v>
      </c>
      <c r="B1018" s="174"/>
      <c r="C1018" s="174"/>
      <c r="D1018" s="174"/>
      <c r="E1018" s="174"/>
      <c r="F1018" s="174"/>
      <c r="G1018" s="187"/>
      <c r="H1018" s="175" t="s">
        <v>217</v>
      </c>
      <c r="I1018" s="67"/>
      <c r="J1018" s="147"/>
    </row>
    <row r="1019">
      <c r="A1019" s="146">
        <v>1018.0</v>
      </c>
      <c r="B1019" s="13" t="s">
        <v>208</v>
      </c>
      <c r="C1019" s="13" t="s">
        <v>208</v>
      </c>
      <c r="D1019" s="13" t="s">
        <v>208</v>
      </c>
      <c r="E1019" s="13" t="s">
        <v>208</v>
      </c>
      <c r="F1019" s="13" t="s">
        <v>208</v>
      </c>
      <c r="G1019" s="67"/>
      <c r="H1019" s="67"/>
      <c r="I1019" s="67"/>
      <c r="J1019" s="147"/>
    </row>
    <row r="1020">
      <c r="A1020" s="146">
        <v>1019.0</v>
      </c>
      <c r="B1020" s="67"/>
      <c r="C1020" s="13" t="s">
        <v>208</v>
      </c>
      <c r="D1020" s="13" t="s">
        <v>208</v>
      </c>
      <c r="E1020" s="13" t="s">
        <v>208</v>
      </c>
      <c r="F1020" s="67"/>
      <c r="G1020" s="13" t="s">
        <v>208</v>
      </c>
      <c r="H1020" s="67"/>
      <c r="I1020" s="67"/>
      <c r="J1020" s="147"/>
    </row>
    <row r="1021">
      <c r="A1021" s="146">
        <v>1020.0</v>
      </c>
      <c r="B1021" s="13" t="s">
        <v>208</v>
      </c>
      <c r="C1021" s="13" t="s">
        <v>208</v>
      </c>
      <c r="D1021" s="13" t="s">
        <v>208</v>
      </c>
      <c r="E1021" s="13" t="s">
        <v>208</v>
      </c>
      <c r="F1021" s="13" t="s">
        <v>208</v>
      </c>
      <c r="G1021" s="67"/>
      <c r="H1021" s="67"/>
      <c r="I1021" s="67"/>
      <c r="J1021" s="147"/>
    </row>
    <row r="1022">
      <c r="A1022" s="146">
        <v>1021.0</v>
      </c>
      <c r="B1022" s="13" t="s">
        <v>208</v>
      </c>
      <c r="C1022" s="13" t="s">
        <v>208</v>
      </c>
      <c r="D1022" s="13" t="s">
        <v>208</v>
      </c>
      <c r="E1022" s="13" t="s">
        <v>208</v>
      </c>
      <c r="F1022" s="13" t="s">
        <v>208</v>
      </c>
      <c r="G1022" s="67"/>
      <c r="H1022" s="67"/>
      <c r="I1022" s="67"/>
      <c r="J1022" s="147"/>
    </row>
    <row r="1023">
      <c r="A1023" s="146">
        <v>1022.0</v>
      </c>
      <c r="B1023" s="13" t="s">
        <v>208</v>
      </c>
      <c r="C1023" s="13" t="s">
        <v>208</v>
      </c>
      <c r="D1023" s="13" t="s">
        <v>208</v>
      </c>
      <c r="E1023" s="13" t="s">
        <v>208</v>
      </c>
      <c r="F1023" s="13" t="s">
        <v>208</v>
      </c>
      <c r="G1023" s="67"/>
      <c r="H1023" s="67"/>
      <c r="I1023" s="67"/>
      <c r="J1023" s="147"/>
    </row>
    <row r="1024">
      <c r="A1024" s="146">
        <v>1023.0</v>
      </c>
      <c r="B1024" s="13" t="s">
        <v>208</v>
      </c>
      <c r="C1024" s="13" t="s">
        <v>208</v>
      </c>
      <c r="D1024" s="13" t="s">
        <v>208</v>
      </c>
      <c r="E1024" s="13" t="s">
        <v>208</v>
      </c>
      <c r="F1024" s="13" t="s">
        <v>208</v>
      </c>
      <c r="G1024" s="67"/>
      <c r="H1024" s="67"/>
      <c r="I1024" s="67"/>
      <c r="J1024" s="147"/>
    </row>
    <row r="1025">
      <c r="A1025" s="146">
        <v>1024.0</v>
      </c>
      <c r="B1025" s="13" t="s">
        <v>208</v>
      </c>
      <c r="C1025" s="99"/>
      <c r="D1025" s="13" t="s">
        <v>208</v>
      </c>
      <c r="E1025" s="13" t="s">
        <v>208</v>
      </c>
      <c r="F1025" s="13" t="s">
        <v>208</v>
      </c>
      <c r="G1025" s="67"/>
      <c r="H1025" s="67"/>
      <c r="I1025" s="67"/>
      <c r="J1025" s="147"/>
    </row>
    <row r="1026">
      <c r="A1026" s="146">
        <v>1025.0</v>
      </c>
      <c r="B1026" s="13" t="s">
        <v>208</v>
      </c>
      <c r="C1026" s="99"/>
      <c r="D1026" s="13" t="s">
        <v>208</v>
      </c>
      <c r="E1026" s="13" t="s">
        <v>208</v>
      </c>
      <c r="F1026" s="13" t="s">
        <v>208</v>
      </c>
      <c r="G1026" s="67"/>
      <c r="H1026" s="67"/>
      <c r="I1026" s="67"/>
      <c r="J1026" s="147"/>
    </row>
    <row r="1027">
      <c r="A1027" s="146">
        <v>1026.0</v>
      </c>
      <c r="B1027" s="13" t="s">
        <v>208</v>
      </c>
      <c r="C1027" s="13" t="s">
        <v>208</v>
      </c>
      <c r="D1027" s="13" t="s">
        <v>208</v>
      </c>
      <c r="E1027" s="13" t="s">
        <v>208</v>
      </c>
      <c r="F1027" s="13" t="s">
        <v>208</v>
      </c>
      <c r="G1027" s="67"/>
      <c r="H1027" s="67"/>
      <c r="I1027" s="67"/>
      <c r="J1027" s="147"/>
    </row>
    <row r="1028">
      <c r="A1028" s="146">
        <v>1027.0</v>
      </c>
      <c r="B1028" s="13" t="s">
        <v>208</v>
      </c>
      <c r="C1028" s="13" t="s">
        <v>208</v>
      </c>
      <c r="D1028" s="13" t="s">
        <v>208</v>
      </c>
      <c r="E1028" s="13" t="s">
        <v>208</v>
      </c>
      <c r="F1028" s="13" t="s">
        <v>208</v>
      </c>
      <c r="G1028" s="67"/>
      <c r="H1028" s="67"/>
      <c r="I1028" s="67"/>
      <c r="J1028" s="147"/>
    </row>
    <row r="1029">
      <c r="A1029" s="146">
        <v>1028.0</v>
      </c>
      <c r="B1029" s="13" t="s">
        <v>208</v>
      </c>
      <c r="C1029" s="13" t="s">
        <v>208</v>
      </c>
      <c r="D1029" s="13" t="s">
        <v>208</v>
      </c>
      <c r="E1029" s="13" t="s">
        <v>208</v>
      </c>
      <c r="F1029" s="13" t="s">
        <v>208</v>
      </c>
      <c r="G1029" s="67"/>
      <c r="H1029" s="67"/>
      <c r="I1029" s="67"/>
      <c r="J1029" s="147"/>
    </row>
    <row r="1030">
      <c r="A1030" s="146">
        <v>1029.0</v>
      </c>
      <c r="B1030" s="13" t="s">
        <v>208</v>
      </c>
      <c r="C1030" s="13" t="s">
        <v>208</v>
      </c>
      <c r="D1030" s="13" t="s">
        <v>208</v>
      </c>
      <c r="E1030" s="13" t="s">
        <v>208</v>
      </c>
      <c r="F1030" s="13" t="s">
        <v>208</v>
      </c>
      <c r="G1030" s="67"/>
      <c r="H1030" s="67"/>
      <c r="I1030" s="67"/>
      <c r="J1030" s="147"/>
    </row>
    <row r="1031">
      <c r="A1031" s="146">
        <v>1030.0</v>
      </c>
      <c r="B1031" s="13" t="s">
        <v>208</v>
      </c>
      <c r="C1031" s="13" t="s">
        <v>208</v>
      </c>
      <c r="D1031" s="13" t="s">
        <v>208</v>
      </c>
      <c r="E1031" s="13" t="s">
        <v>208</v>
      </c>
      <c r="F1031" s="13" t="s">
        <v>208</v>
      </c>
      <c r="G1031" s="67"/>
      <c r="H1031" s="67"/>
      <c r="I1031" s="67"/>
      <c r="J1031" s="147"/>
    </row>
    <row r="1032">
      <c r="A1032" s="146">
        <v>1031.0</v>
      </c>
      <c r="B1032" s="13" t="s">
        <v>208</v>
      </c>
      <c r="C1032" s="13" t="s">
        <v>208</v>
      </c>
      <c r="D1032" s="13" t="s">
        <v>208</v>
      </c>
      <c r="E1032" s="13" t="s">
        <v>208</v>
      </c>
      <c r="F1032" s="13" t="s">
        <v>208</v>
      </c>
      <c r="G1032" s="67"/>
      <c r="H1032" s="67"/>
      <c r="I1032" s="67"/>
      <c r="J1032" s="147"/>
    </row>
    <row r="1033">
      <c r="A1033" s="146">
        <v>1032.0</v>
      </c>
      <c r="B1033" s="13" t="s">
        <v>208</v>
      </c>
      <c r="C1033" s="13" t="s">
        <v>208</v>
      </c>
      <c r="D1033" s="13" t="s">
        <v>208</v>
      </c>
      <c r="E1033" s="13" t="s">
        <v>208</v>
      </c>
      <c r="F1033" s="13" t="s">
        <v>208</v>
      </c>
      <c r="G1033" s="67"/>
      <c r="H1033" s="67"/>
      <c r="I1033" s="67"/>
      <c r="J1033" s="147"/>
    </row>
    <row r="1034">
      <c r="A1034" s="146">
        <v>1033.0</v>
      </c>
      <c r="B1034" s="13" t="s">
        <v>208</v>
      </c>
      <c r="C1034" s="13" t="s">
        <v>208</v>
      </c>
      <c r="D1034" s="13" t="s">
        <v>208</v>
      </c>
      <c r="E1034" s="13" t="s">
        <v>208</v>
      </c>
      <c r="F1034" s="13" t="s">
        <v>208</v>
      </c>
      <c r="G1034" s="67"/>
      <c r="H1034" s="67"/>
      <c r="I1034" s="67"/>
      <c r="J1034" s="147"/>
    </row>
    <row r="1035">
      <c r="A1035" s="146">
        <v>1034.0</v>
      </c>
      <c r="B1035" s="13" t="s">
        <v>208</v>
      </c>
      <c r="C1035" s="13" t="s">
        <v>208</v>
      </c>
      <c r="D1035" s="13" t="s">
        <v>208</v>
      </c>
      <c r="E1035" s="13" t="s">
        <v>208</v>
      </c>
      <c r="F1035" s="13" t="s">
        <v>208</v>
      </c>
      <c r="G1035" s="67"/>
      <c r="H1035" s="67"/>
      <c r="I1035" s="67"/>
      <c r="J1035" s="147"/>
    </row>
    <row r="1036">
      <c r="A1036" s="146">
        <v>1035.0</v>
      </c>
      <c r="B1036" s="13" t="s">
        <v>208</v>
      </c>
      <c r="C1036" s="13" t="s">
        <v>208</v>
      </c>
      <c r="D1036" s="13" t="s">
        <v>208</v>
      </c>
      <c r="E1036" s="13" t="s">
        <v>208</v>
      </c>
      <c r="F1036" s="13" t="s">
        <v>208</v>
      </c>
      <c r="G1036" s="67"/>
      <c r="H1036" s="67"/>
      <c r="I1036" s="67"/>
      <c r="J1036" s="147"/>
    </row>
    <row r="1037">
      <c r="A1037" s="146">
        <v>1036.0</v>
      </c>
      <c r="B1037" s="13" t="s">
        <v>208</v>
      </c>
      <c r="C1037" s="13" t="s">
        <v>208</v>
      </c>
      <c r="D1037" s="13" t="s">
        <v>208</v>
      </c>
      <c r="E1037" s="13" t="s">
        <v>208</v>
      </c>
      <c r="F1037" s="13" t="s">
        <v>208</v>
      </c>
      <c r="G1037" s="67"/>
      <c r="H1037" s="67"/>
      <c r="I1037" s="67"/>
      <c r="J1037" s="147"/>
    </row>
    <row r="1038">
      <c r="A1038" s="146">
        <v>1037.0</v>
      </c>
      <c r="B1038" s="67"/>
      <c r="C1038" s="13" t="s">
        <v>208</v>
      </c>
      <c r="D1038" s="13" t="s">
        <v>208</v>
      </c>
      <c r="E1038" s="13" t="s">
        <v>208</v>
      </c>
      <c r="F1038" s="67"/>
      <c r="G1038" s="13" t="s">
        <v>208</v>
      </c>
      <c r="H1038" s="67"/>
      <c r="I1038" s="67"/>
      <c r="J1038" s="147"/>
    </row>
    <row r="1039">
      <c r="A1039" s="146">
        <v>1038.0</v>
      </c>
      <c r="B1039" s="67"/>
      <c r="C1039" s="99"/>
      <c r="D1039" s="13" t="s">
        <v>208</v>
      </c>
      <c r="E1039" s="13" t="s">
        <v>208</v>
      </c>
      <c r="F1039" s="67"/>
      <c r="G1039" s="13" t="s">
        <v>208</v>
      </c>
      <c r="H1039" s="67"/>
      <c r="I1039" s="67"/>
      <c r="J1039" s="147"/>
    </row>
    <row r="1040">
      <c r="A1040" s="146">
        <v>1039.0</v>
      </c>
      <c r="B1040" s="67"/>
      <c r="C1040" s="13" t="s">
        <v>208</v>
      </c>
      <c r="D1040" s="13" t="s">
        <v>208</v>
      </c>
      <c r="E1040" s="13" t="s">
        <v>208</v>
      </c>
      <c r="F1040" s="67"/>
      <c r="G1040" s="13" t="s">
        <v>208</v>
      </c>
      <c r="H1040" s="67"/>
      <c r="I1040" s="67"/>
      <c r="J1040" s="147"/>
    </row>
    <row r="1041">
      <c r="A1041" s="146">
        <v>1040.0</v>
      </c>
      <c r="B1041" s="13" t="s">
        <v>208</v>
      </c>
      <c r="C1041" s="13" t="s">
        <v>208</v>
      </c>
      <c r="D1041" s="13" t="s">
        <v>208</v>
      </c>
      <c r="E1041" s="13" t="s">
        <v>208</v>
      </c>
      <c r="F1041" s="13" t="s">
        <v>208</v>
      </c>
      <c r="G1041" s="67"/>
      <c r="H1041" s="67"/>
      <c r="I1041" s="67"/>
      <c r="J1041" s="147"/>
    </row>
    <row r="1042">
      <c r="A1042" s="146">
        <v>1041.0</v>
      </c>
      <c r="B1042" s="13" t="s">
        <v>208</v>
      </c>
      <c r="C1042" s="13" t="s">
        <v>208</v>
      </c>
      <c r="D1042" s="13" t="s">
        <v>208</v>
      </c>
      <c r="E1042" s="13" t="s">
        <v>208</v>
      </c>
      <c r="F1042" s="13" t="s">
        <v>208</v>
      </c>
      <c r="G1042" s="67"/>
      <c r="H1042" s="67"/>
      <c r="I1042" s="67"/>
      <c r="J1042" s="147"/>
    </row>
    <row r="1043">
      <c r="A1043" s="146">
        <v>1042.0</v>
      </c>
      <c r="B1043" s="174"/>
      <c r="C1043" s="174"/>
      <c r="D1043" s="174"/>
      <c r="E1043" s="174"/>
      <c r="F1043" s="174"/>
      <c r="G1043" s="187"/>
      <c r="H1043" s="175" t="s">
        <v>217</v>
      </c>
      <c r="I1043" s="67"/>
      <c r="J1043" s="147"/>
    </row>
    <row r="1044">
      <c r="A1044" s="146">
        <v>1043.0</v>
      </c>
      <c r="B1044" s="13" t="s">
        <v>208</v>
      </c>
      <c r="C1044" s="99"/>
      <c r="D1044" s="13" t="s">
        <v>208</v>
      </c>
      <c r="E1044" s="13" t="s">
        <v>208</v>
      </c>
      <c r="F1044" s="13" t="s">
        <v>208</v>
      </c>
      <c r="G1044" s="67"/>
      <c r="H1044" s="67"/>
      <c r="I1044" s="67"/>
      <c r="J1044" s="147"/>
    </row>
    <row r="1045">
      <c r="A1045" s="146">
        <v>1044.0</v>
      </c>
      <c r="B1045" s="13" t="s">
        <v>208</v>
      </c>
      <c r="C1045" s="99"/>
      <c r="D1045" s="13" t="s">
        <v>208</v>
      </c>
      <c r="E1045" s="13" t="s">
        <v>208</v>
      </c>
      <c r="F1045" s="13" t="s">
        <v>208</v>
      </c>
      <c r="G1045" s="67"/>
      <c r="H1045" s="67"/>
      <c r="I1045" s="67"/>
      <c r="J1045" s="147"/>
    </row>
    <row r="1046">
      <c r="A1046" s="146">
        <v>1045.0</v>
      </c>
      <c r="B1046" s="13" t="s">
        <v>208</v>
      </c>
      <c r="C1046" s="13" t="s">
        <v>208</v>
      </c>
      <c r="D1046" s="13" t="s">
        <v>208</v>
      </c>
      <c r="E1046" s="13" t="s">
        <v>208</v>
      </c>
      <c r="F1046" s="13" t="s">
        <v>208</v>
      </c>
      <c r="G1046" s="67"/>
      <c r="H1046" s="67"/>
      <c r="I1046" s="67"/>
      <c r="J1046" s="147"/>
    </row>
    <row r="1047">
      <c r="A1047" s="146">
        <v>1046.0</v>
      </c>
      <c r="B1047" s="13" t="s">
        <v>208</v>
      </c>
      <c r="C1047" s="13" t="s">
        <v>208</v>
      </c>
      <c r="D1047" s="13" t="s">
        <v>208</v>
      </c>
      <c r="E1047" s="13" t="s">
        <v>208</v>
      </c>
      <c r="F1047" s="13" t="s">
        <v>208</v>
      </c>
      <c r="G1047" s="67"/>
      <c r="H1047" s="67"/>
      <c r="I1047" s="67"/>
      <c r="J1047" s="147"/>
    </row>
    <row r="1048">
      <c r="A1048" s="146">
        <v>1047.0</v>
      </c>
      <c r="B1048" s="67"/>
      <c r="C1048" s="99"/>
      <c r="D1048" s="13" t="s">
        <v>208</v>
      </c>
      <c r="E1048" s="13" t="s">
        <v>208</v>
      </c>
      <c r="F1048" s="67"/>
      <c r="G1048" s="13" t="s">
        <v>208</v>
      </c>
      <c r="H1048" s="67"/>
      <c r="I1048" s="67"/>
      <c r="J1048" s="147"/>
    </row>
    <row r="1049">
      <c r="A1049" s="146">
        <v>1048.0</v>
      </c>
      <c r="B1049" s="13" t="s">
        <v>208</v>
      </c>
      <c r="C1049" s="13" t="s">
        <v>208</v>
      </c>
      <c r="D1049" s="13" t="s">
        <v>208</v>
      </c>
      <c r="E1049" s="13" t="s">
        <v>208</v>
      </c>
      <c r="F1049" s="13" t="s">
        <v>208</v>
      </c>
      <c r="G1049" s="67"/>
      <c r="H1049" s="67"/>
      <c r="I1049" s="67"/>
      <c r="J1049" s="147"/>
    </row>
    <row r="1050">
      <c r="A1050" s="146">
        <v>1049.0</v>
      </c>
      <c r="B1050" s="13" t="s">
        <v>208</v>
      </c>
      <c r="C1050" s="13" t="s">
        <v>208</v>
      </c>
      <c r="D1050" s="13" t="s">
        <v>208</v>
      </c>
      <c r="E1050" s="13" t="s">
        <v>208</v>
      </c>
      <c r="F1050" s="13" t="s">
        <v>208</v>
      </c>
      <c r="G1050" s="67"/>
      <c r="H1050" s="67"/>
      <c r="I1050" s="67"/>
      <c r="J1050" s="147"/>
    </row>
    <row r="1051">
      <c r="A1051" s="146">
        <v>1050.0</v>
      </c>
      <c r="B1051" s="67"/>
      <c r="C1051" s="13" t="s">
        <v>208</v>
      </c>
      <c r="D1051" s="13" t="s">
        <v>208</v>
      </c>
      <c r="E1051" s="13" t="s">
        <v>208</v>
      </c>
      <c r="F1051" s="67"/>
      <c r="G1051" s="13" t="s">
        <v>208</v>
      </c>
      <c r="H1051" s="67"/>
      <c r="I1051" s="67"/>
      <c r="J1051" s="147"/>
    </row>
    <row r="1052">
      <c r="A1052" s="146">
        <v>1051.0</v>
      </c>
      <c r="B1052" s="13" t="s">
        <v>208</v>
      </c>
      <c r="C1052" s="99"/>
      <c r="D1052" s="13" t="s">
        <v>208</v>
      </c>
      <c r="E1052" s="13" t="s">
        <v>208</v>
      </c>
      <c r="F1052" s="13" t="s">
        <v>208</v>
      </c>
      <c r="G1052" s="67"/>
      <c r="H1052" s="67"/>
      <c r="I1052" s="67"/>
      <c r="J1052" s="147"/>
    </row>
    <row r="1053">
      <c r="A1053" s="146">
        <v>1052.0</v>
      </c>
      <c r="B1053" s="13" t="s">
        <v>208</v>
      </c>
      <c r="C1053" s="99"/>
      <c r="D1053" s="13" t="s">
        <v>208</v>
      </c>
      <c r="E1053" s="13" t="s">
        <v>208</v>
      </c>
      <c r="F1053" s="13" t="s">
        <v>208</v>
      </c>
      <c r="G1053" s="67"/>
      <c r="H1053" s="67"/>
      <c r="I1053" s="67"/>
      <c r="J1053" s="147"/>
    </row>
    <row r="1054">
      <c r="A1054" s="146">
        <v>1053.0</v>
      </c>
      <c r="B1054" s="13" t="s">
        <v>208</v>
      </c>
      <c r="C1054" s="13" t="s">
        <v>208</v>
      </c>
      <c r="D1054" s="13" t="s">
        <v>208</v>
      </c>
      <c r="E1054" s="13" t="s">
        <v>208</v>
      </c>
      <c r="F1054" s="13" t="s">
        <v>208</v>
      </c>
      <c r="G1054" s="67"/>
      <c r="H1054" s="67"/>
      <c r="I1054" s="67"/>
      <c r="J1054" s="147"/>
    </row>
    <row r="1055">
      <c r="A1055" s="146">
        <v>1054.0</v>
      </c>
      <c r="B1055" s="67"/>
      <c r="C1055" s="13" t="s">
        <v>208</v>
      </c>
      <c r="D1055" s="13" t="s">
        <v>208</v>
      </c>
      <c r="E1055" s="13" t="s">
        <v>208</v>
      </c>
      <c r="F1055" s="67"/>
      <c r="G1055" s="13" t="s">
        <v>208</v>
      </c>
      <c r="H1055" s="67"/>
      <c r="I1055" s="67"/>
      <c r="J1055" s="147"/>
    </row>
    <row r="1056">
      <c r="A1056" s="146">
        <v>1055.0</v>
      </c>
      <c r="B1056" s="13" t="s">
        <v>208</v>
      </c>
      <c r="C1056" s="13" t="s">
        <v>208</v>
      </c>
      <c r="D1056" s="13" t="s">
        <v>208</v>
      </c>
      <c r="E1056" s="13" t="s">
        <v>208</v>
      </c>
      <c r="F1056" s="13" t="s">
        <v>208</v>
      </c>
      <c r="G1056" s="67"/>
      <c r="H1056" s="67"/>
      <c r="I1056" s="67"/>
      <c r="J1056" s="147"/>
    </row>
    <row r="1057">
      <c r="A1057" s="146">
        <v>1056.0</v>
      </c>
      <c r="B1057" s="13" t="s">
        <v>208</v>
      </c>
      <c r="C1057" s="13" t="s">
        <v>208</v>
      </c>
      <c r="D1057" s="13" t="s">
        <v>208</v>
      </c>
      <c r="E1057" s="13" t="s">
        <v>208</v>
      </c>
      <c r="F1057" s="13" t="s">
        <v>208</v>
      </c>
      <c r="G1057" s="67"/>
      <c r="H1057" s="67"/>
      <c r="I1057" s="67"/>
      <c r="J1057" s="147"/>
    </row>
    <row r="1058">
      <c r="A1058" s="146">
        <v>1057.0</v>
      </c>
      <c r="B1058" s="13" t="s">
        <v>208</v>
      </c>
      <c r="C1058" s="13" t="s">
        <v>208</v>
      </c>
      <c r="D1058" s="13" t="s">
        <v>208</v>
      </c>
      <c r="E1058" s="13" t="s">
        <v>208</v>
      </c>
      <c r="F1058" s="13" t="s">
        <v>208</v>
      </c>
      <c r="G1058" s="67"/>
      <c r="H1058" s="67"/>
      <c r="I1058" s="67"/>
      <c r="J1058" s="147"/>
    </row>
    <row r="1059">
      <c r="A1059" s="146">
        <v>1058.0</v>
      </c>
      <c r="B1059" s="13" t="s">
        <v>208</v>
      </c>
      <c r="C1059" s="13" t="s">
        <v>208</v>
      </c>
      <c r="D1059" s="13" t="s">
        <v>208</v>
      </c>
      <c r="E1059" s="13" t="s">
        <v>208</v>
      </c>
      <c r="F1059" s="13" t="s">
        <v>208</v>
      </c>
      <c r="G1059" s="67"/>
      <c r="H1059" s="67"/>
      <c r="I1059" s="67"/>
      <c r="J1059" s="147"/>
    </row>
    <row r="1060">
      <c r="A1060" s="146">
        <v>1059.0</v>
      </c>
      <c r="B1060" s="174"/>
      <c r="C1060" s="174"/>
      <c r="D1060" s="174"/>
      <c r="E1060" s="174"/>
      <c r="F1060" s="174"/>
      <c r="G1060" s="187"/>
      <c r="H1060" s="175" t="s">
        <v>217</v>
      </c>
      <c r="I1060" s="67"/>
      <c r="J1060" s="147"/>
    </row>
    <row r="1061">
      <c r="A1061" s="146">
        <v>1060.0</v>
      </c>
      <c r="B1061" s="13" t="s">
        <v>208</v>
      </c>
      <c r="C1061" s="13" t="s">
        <v>208</v>
      </c>
      <c r="D1061" s="13" t="s">
        <v>208</v>
      </c>
      <c r="E1061" s="13" t="s">
        <v>208</v>
      </c>
      <c r="F1061" s="13" t="s">
        <v>208</v>
      </c>
      <c r="G1061" s="67"/>
      <c r="H1061" s="67"/>
      <c r="I1061" s="67"/>
      <c r="J1061" s="147"/>
    </row>
    <row r="1062">
      <c r="A1062" s="146">
        <v>1061.0</v>
      </c>
      <c r="B1062" s="13" t="s">
        <v>208</v>
      </c>
      <c r="C1062" s="13" t="s">
        <v>208</v>
      </c>
      <c r="D1062" s="99"/>
      <c r="E1062" s="13" t="s">
        <v>208</v>
      </c>
      <c r="F1062" s="13" t="s">
        <v>208</v>
      </c>
      <c r="G1062" s="67"/>
      <c r="H1062" s="67"/>
      <c r="I1062" s="67"/>
      <c r="J1062" s="147"/>
    </row>
    <row r="1063">
      <c r="A1063" s="146">
        <v>1062.0</v>
      </c>
      <c r="B1063" s="13" t="s">
        <v>208</v>
      </c>
      <c r="C1063" s="13" t="s">
        <v>208</v>
      </c>
      <c r="D1063" s="13" t="s">
        <v>208</v>
      </c>
      <c r="E1063" s="13" t="s">
        <v>208</v>
      </c>
      <c r="F1063" s="13" t="s">
        <v>208</v>
      </c>
      <c r="G1063" s="67"/>
      <c r="H1063" s="67"/>
      <c r="I1063" s="67"/>
      <c r="J1063" s="147"/>
    </row>
    <row r="1064">
      <c r="A1064" s="146">
        <v>1063.0</v>
      </c>
      <c r="B1064" s="13" t="s">
        <v>208</v>
      </c>
      <c r="C1064" s="99"/>
      <c r="D1064" s="13" t="s">
        <v>208</v>
      </c>
      <c r="E1064" s="13" t="s">
        <v>208</v>
      </c>
      <c r="F1064" s="13" t="s">
        <v>208</v>
      </c>
      <c r="G1064" s="67"/>
      <c r="H1064" s="67"/>
      <c r="I1064" s="67"/>
      <c r="J1064" s="147"/>
    </row>
    <row r="1065">
      <c r="A1065" s="146">
        <v>1064.0</v>
      </c>
      <c r="B1065" s="13" t="s">
        <v>208</v>
      </c>
      <c r="C1065" s="13" t="s">
        <v>208</v>
      </c>
      <c r="D1065" s="13" t="s">
        <v>208</v>
      </c>
      <c r="E1065" s="13" t="s">
        <v>208</v>
      </c>
      <c r="F1065" s="13" t="s">
        <v>208</v>
      </c>
      <c r="G1065" s="67"/>
      <c r="H1065" s="67"/>
      <c r="I1065" s="67"/>
      <c r="J1065" s="147"/>
    </row>
    <row r="1066">
      <c r="A1066" s="146">
        <v>1065.0</v>
      </c>
      <c r="B1066" s="13" t="s">
        <v>208</v>
      </c>
      <c r="C1066" s="13" t="s">
        <v>208</v>
      </c>
      <c r="D1066" s="13" t="s">
        <v>208</v>
      </c>
      <c r="E1066" s="13" t="s">
        <v>208</v>
      </c>
      <c r="F1066" s="13" t="s">
        <v>208</v>
      </c>
      <c r="G1066" s="67"/>
      <c r="H1066" s="67"/>
      <c r="I1066" s="67"/>
      <c r="J1066" s="147"/>
    </row>
    <row r="1067">
      <c r="A1067" s="146">
        <v>1066.0</v>
      </c>
      <c r="B1067" s="174"/>
      <c r="C1067" s="174"/>
      <c r="D1067" s="174"/>
      <c r="E1067" s="174"/>
      <c r="F1067" s="174"/>
      <c r="G1067" s="187"/>
      <c r="H1067" s="175" t="s">
        <v>217</v>
      </c>
      <c r="I1067" s="67"/>
      <c r="J1067" s="147"/>
    </row>
    <row r="1068">
      <c r="A1068" s="146">
        <v>1067.0</v>
      </c>
      <c r="B1068" s="13" t="s">
        <v>208</v>
      </c>
      <c r="C1068" s="13" t="s">
        <v>208</v>
      </c>
      <c r="D1068" s="13" t="s">
        <v>208</v>
      </c>
      <c r="E1068" s="13" t="s">
        <v>208</v>
      </c>
      <c r="F1068" s="13" t="s">
        <v>208</v>
      </c>
      <c r="G1068" s="67"/>
      <c r="H1068" s="67"/>
      <c r="I1068" s="67"/>
      <c r="J1068" s="147"/>
    </row>
    <row r="1069">
      <c r="A1069" s="146">
        <v>1068.0</v>
      </c>
      <c r="B1069" s="13" t="s">
        <v>208</v>
      </c>
      <c r="C1069" s="13" t="s">
        <v>208</v>
      </c>
      <c r="D1069" s="13" t="s">
        <v>208</v>
      </c>
      <c r="E1069" s="13" t="s">
        <v>208</v>
      </c>
      <c r="F1069" s="13" t="s">
        <v>208</v>
      </c>
      <c r="G1069" s="67"/>
      <c r="H1069" s="67"/>
      <c r="I1069" s="67"/>
      <c r="J1069" s="147"/>
    </row>
    <row r="1070">
      <c r="A1070" s="146">
        <v>1069.0</v>
      </c>
      <c r="B1070" s="13" t="s">
        <v>208</v>
      </c>
      <c r="C1070" s="13" t="s">
        <v>208</v>
      </c>
      <c r="D1070" s="13" t="s">
        <v>208</v>
      </c>
      <c r="E1070" s="13" t="s">
        <v>208</v>
      </c>
      <c r="F1070" s="13" t="s">
        <v>208</v>
      </c>
      <c r="G1070" s="67"/>
      <c r="H1070" s="67"/>
      <c r="I1070" s="67"/>
      <c r="J1070" s="147"/>
    </row>
    <row r="1071">
      <c r="A1071" s="146">
        <v>1070.0</v>
      </c>
      <c r="B1071" s="13" t="s">
        <v>208</v>
      </c>
      <c r="C1071" s="99"/>
      <c r="D1071" s="13" t="s">
        <v>208</v>
      </c>
      <c r="E1071" s="13" t="s">
        <v>208</v>
      </c>
      <c r="F1071" s="13" t="s">
        <v>208</v>
      </c>
      <c r="G1071" s="67"/>
      <c r="H1071" s="67"/>
      <c r="I1071" s="67"/>
      <c r="J1071" s="147"/>
    </row>
    <row r="1072">
      <c r="A1072" s="146">
        <v>1071.0</v>
      </c>
      <c r="B1072" s="13" t="s">
        <v>208</v>
      </c>
      <c r="C1072" s="99"/>
      <c r="D1072" s="13" t="s">
        <v>208</v>
      </c>
      <c r="E1072" s="13" t="s">
        <v>208</v>
      </c>
      <c r="F1072" s="13" t="s">
        <v>208</v>
      </c>
      <c r="G1072" s="67"/>
      <c r="H1072" s="67"/>
      <c r="I1072" s="67"/>
      <c r="J1072" s="147"/>
    </row>
    <row r="1073">
      <c r="A1073" s="146">
        <v>1072.0</v>
      </c>
      <c r="B1073" s="13"/>
      <c r="C1073" s="13" t="s">
        <v>208</v>
      </c>
      <c r="D1073" s="13" t="s">
        <v>208</v>
      </c>
      <c r="E1073" s="13" t="s">
        <v>208</v>
      </c>
      <c r="F1073" s="13"/>
      <c r="G1073" s="13" t="s">
        <v>208</v>
      </c>
      <c r="H1073" s="67"/>
      <c r="I1073" s="67"/>
      <c r="J1073" s="147"/>
    </row>
    <row r="1074">
      <c r="A1074" s="146">
        <v>1073.0</v>
      </c>
      <c r="B1074" s="13" t="s">
        <v>208</v>
      </c>
      <c r="C1074" s="13" t="s">
        <v>208</v>
      </c>
      <c r="D1074" s="13" t="s">
        <v>208</v>
      </c>
      <c r="E1074" s="13" t="s">
        <v>208</v>
      </c>
      <c r="F1074" s="13" t="s">
        <v>208</v>
      </c>
      <c r="G1074" s="67"/>
      <c r="H1074" s="67"/>
      <c r="I1074" s="67"/>
      <c r="J1074" s="147"/>
    </row>
    <row r="1075">
      <c r="A1075" s="146">
        <v>1074.0</v>
      </c>
      <c r="B1075" s="13" t="s">
        <v>208</v>
      </c>
      <c r="C1075" s="13" t="s">
        <v>208</v>
      </c>
      <c r="D1075" s="13" t="s">
        <v>208</v>
      </c>
      <c r="E1075" s="13" t="s">
        <v>208</v>
      </c>
      <c r="F1075" s="13" t="s">
        <v>208</v>
      </c>
      <c r="G1075" s="67"/>
      <c r="H1075" s="67"/>
      <c r="I1075" s="67"/>
      <c r="J1075" s="147"/>
    </row>
    <row r="1076">
      <c r="A1076" s="146">
        <v>1075.0</v>
      </c>
      <c r="B1076" s="13" t="s">
        <v>208</v>
      </c>
      <c r="C1076" s="13" t="s">
        <v>208</v>
      </c>
      <c r="D1076" s="13" t="s">
        <v>208</v>
      </c>
      <c r="E1076" s="13" t="s">
        <v>208</v>
      </c>
      <c r="F1076" s="13" t="s">
        <v>208</v>
      </c>
      <c r="G1076" s="67"/>
      <c r="H1076" s="67"/>
      <c r="I1076" s="67"/>
      <c r="J1076" s="147"/>
    </row>
    <row r="1077">
      <c r="A1077" s="146">
        <v>1076.0</v>
      </c>
      <c r="B1077" s="13" t="s">
        <v>208</v>
      </c>
      <c r="C1077" s="13" t="s">
        <v>208</v>
      </c>
      <c r="D1077" s="13" t="s">
        <v>208</v>
      </c>
      <c r="E1077" s="13" t="s">
        <v>208</v>
      </c>
      <c r="F1077" s="13" t="s">
        <v>208</v>
      </c>
      <c r="G1077" s="67"/>
      <c r="H1077" s="67"/>
      <c r="I1077" s="67"/>
      <c r="J1077" s="147"/>
    </row>
    <row r="1078">
      <c r="A1078" s="146">
        <v>1077.0</v>
      </c>
      <c r="B1078" s="13" t="s">
        <v>208</v>
      </c>
      <c r="C1078" s="13" t="s">
        <v>208</v>
      </c>
      <c r="D1078" s="13" t="s">
        <v>208</v>
      </c>
      <c r="E1078" s="13" t="s">
        <v>208</v>
      </c>
      <c r="F1078" s="13" t="s">
        <v>208</v>
      </c>
      <c r="G1078" s="67"/>
      <c r="H1078" s="67"/>
      <c r="I1078" s="67"/>
      <c r="J1078" s="147"/>
    </row>
    <row r="1079">
      <c r="A1079" s="146">
        <v>1078.0</v>
      </c>
      <c r="B1079" s="13" t="s">
        <v>208</v>
      </c>
      <c r="C1079" s="13" t="s">
        <v>208</v>
      </c>
      <c r="D1079" s="13" t="s">
        <v>208</v>
      </c>
      <c r="E1079" s="13" t="s">
        <v>208</v>
      </c>
      <c r="F1079" s="13" t="s">
        <v>208</v>
      </c>
      <c r="G1079" s="67"/>
      <c r="H1079" s="67"/>
      <c r="I1079" s="67"/>
      <c r="J1079" s="147"/>
    </row>
    <row r="1080">
      <c r="A1080" s="146">
        <v>1079.0</v>
      </c>
      <c r="B1080" s="13" t="s">
        <v>208</v>
      </c>
      <c r="C1080" s="13" t="s">
        <v>208</v>
      </c>
      <c r="D1080" s="13" t="s">
        <v>208</v>
      </c>
      <c r="E1080" s="13" t="s">
        <v>208</v>
      </c>
      <c r="F1080" s="13" t="s">
        <v>208</v>
      </c>
      <c r="G1080" s="67"/>
      <c r="H1080" s="67"/>
      <c r="I1080" s="67"/>
      <c r="J1080" s="147"/>
    </row>
    <row r="1081">
      <c r="A1081" s="146">
        <v>1080.0</v>
      </c>
      <c r="B1081" s="13" t="s">
        <v>208</v>
      </c>
      <c r="C1081" s="13" t="s">
        <v>208</v>
      </c>
      <c r="D1081" s="13" t="s">
        <v>208</v>
      </c>
      <c r="E1081" s="13" t="s">
        <v>208</v>
      </c>
      <c r="F1081" s="13" t="s">
        <v>208</v>
      </c>
      <c r="G1081" s="67"/>
      <c r="H1081" s="67"/>
      <c r="I1081" s="67"/>
      <c r="J1081" s="147"/>
    </row>
    <row r="1082">
      <c r="A1082" s="177">
        <v>1081.0</v>
      </c>
      <c r="B1082" s="67"/>
      <c r="C1082" s="13" t="s">
        <v>208</v>
      </c>
      <c r="D1082" s="13" t="s">
        <v>208</v>
      </c>
      <c r="E1082" s="13" t="s">
        <v>208</v>
      </c>
      <c r="F1082" s="67"/>
      <c r="G1082" s="13" t="s">
        <v>208</v>
      </c>
      <c r="H1082" s="67"/>
      <c r="I1082" s="67"/>
      <c r="J1082" s="147"/>
    </row>
    <row r="1083">
      <c r="A1083" s="177">
        <v>1082.0</v>
      </c>
      <c r="B1083" s="67"/>
      <c r="C1083" s="13" t="s">
        <v>208</v>
      </c>
      <c r="D1083" s="13" t="s">
        <v>208</v>
      </c>
      <c r="E1083" s="13" t="s">
        <v>208</v>
      </c>
      <c r="F1083" s="67"/>
      <c r="G1083" s="13" t="s">
        <v>208</v>
      </c>
      <c r="H1083" s="67"/>
      <c r="I1083" s="67"/>
      <c r="J1083" s="147"/>
    </row>
    <row r="1084">
      <c r="A1084" s="146">
        <v>1083.0</v>
      </c>
      <c r="B1084" s="174"/>
      <c r="C1084" s="174"/>
      <c r="D1084" s="174"/>
      <c r="E1084" s="174"/>
      <c r="F1084" s="174"/>
      <c r="G1084" s="187"/>
      <c r="H1084" s="175" t="s">
        <v>217</v>
      </c>
      <c r="I1084" s="67"/>
      <c r="J1084" s="147"/>
    </row>
    <row r="1085">
      <c r="A1085" s="146">
        <v>1084.0</v>
      </c>
      <c r="B1085" s="13" t="s">
        <v>208</v>
      </c>
      <c r="C1085" s="13" t="s">
        <v>208</v>
      </c>
      <c r="D1085" s="13" t="s">
        <v>208</v>
      </c>
      <c r="E1085" s="13" t="s">
        <v>208</v>
      </c>
      <c r="F1085" s="13" t="s">
        <v>208</v>
      </c>
      <c r="G1085" s="67"/>
      <c r="H1085" s="67"/>
      <c r="I1085" s="67"/>
      <c r="J1085" s="147"/>
    </row>
    <row r="1086">
      <c r="A1086" s="146">
        <v>1085.0</v>
      </c>
      <c r="B1086" s="13" t="s">
        <v>208</v>
      </c>
      <c r="C1086" s="13" t="s">
        <v>208</v>
      </c>
      <c r="D1086" s="13" t="s">
        <v>208</v>
      </c>
      <c r="E1086" s="13" t="s">
        <v>208</v>
      </c>
      <c r="F1086" s="13" t="s">
        <v>208</v>
      </c>
      <c r="G1086" s="67"/>
      <c r="H1086" s="67"/>
      <c r="I1086" s="67"/>
      <c r="J1086" s="147"/>
    </row>
    <row r="1087">
      <c r="A1087" s="146">
        <v>1086.0</v>
      </c>
      <c r="B1087" s="13" t="s">
        <v>208</v>
      </c>
      <c r="C1087" s="13" t="s">
        <v>208</v>
      </c>
      <c r="D1087" s="13" t="s">
        <v>208</v>
      </c>
      <c r="E1087" s="13" t="s">
        <v>208</v>
      </c>
      <c r="F1087" s="13" t="s">
        <v>208</v>
      </c>
      <c r="G1087" s="67"/>
      <c r="H1087" s="67"/>
      <c r="I1087" s="67"/>
      <c r="J1087" s="147"/>
    </row>
    <row r="1088">
      <c r="A1088" s="146">
        <v>1087.0</v>
      </c>
      <c r="B1088" s="13" t="s">
        <v>208</v>
      </c>
      <c r="C1088" s="13" t="s">
        <v>208</v>
      </c>
      <c r="D1088" s="13" t="s">
        <v>208</v>
      </c>
      <c r="E1088" s="13" t="s">
        <v>208</v>
      </c>
      <c r="F1088" s="13" t="s">
        <v>208</v>
      </c>
      <c r="G1088" s="67"/>
      <c r="H1088" s="67"/>
      <c r="I1088" s="67"/>
      <c r="J1088" s="147"/>
    </row>
    <row r="1089">
      <c r="A1089" s="146">
        <v>1088.0</v>
      </c>
      <c r="B1089" s="13" t="s">
        <v>208</v>
      </c>
      <c r="C1089" s="13" t="s">
        <v>208</v>
      </c>
      <c r="D1089" s="13" t="s">
        <v>208</v>
      </c>
      <c r="E1089" s="13" t="s">
        <v>208</v>
      </c>
      <c r="F1089" s="13" t="s">
        <v>208</v>
      </c>
      <c r="G1089" s="67"/>
      <c r="H1089" s="67"/>
      <c r="I1089" s="67"/>
      <c r="J1089" s="147"/>
    </row>
    <row r="1090">
      <c r="A1090" s="146">
        <v>1089.0</v>
      </c>
      <c r="B1090" s="67"/>
      <c r="C1090" s="13" t="s">
        <v>208</v>
      </c>
      <c r="D1090" s="13" t="s">
        <v>208</v>
      </c>
      <c r="E1090" s="13" t="s">
        <v>208</v>
      </c>
      <c r="F1090" s="67"/>
      <c r="G1090" s="13" t="s">
        <v>208</v>
      </c>
      <c r="H1090" s="67"/>
      <c r="I1090" s="67"/>
      <c r="J1090" s="147"/>
    </row>
    <row r="1091">
      <c r="A1091" s="146">
        <v>1090.0</v>
      </c>
      <c r="B1091" s="174"/>
      <c r="C1091" s="174"/>
      <c r="D1091" s="174"/>
      <c r="E1091" s="174"/>
      <c r="F1091" s="174"/>
      <c r="G1091" s="187"/>
      <c r="H1091" s="175" t="s">
        <v>217</v>
      </c>
      <c r="I1091" s="67"/>
      <c r="J1091" s="147"/>
    </row>
    <row r="1092">
      <c r="A1092" s="146">
        <v>1091.0</v>
      </c>
      <c r="B1092" s="174"/>
      <c r="C1092" s="174"/>
      <c r="D1092" s="174"/>
      <c r="E1092" s="174"/>
      <c r="F1092" s="174"/>
      <c r="G1092" s="187"/>
      <c r="H1092" s="175" t="s">
        <v>217</v>
      </c>
      <c r="I1092" s="67"/>
      <c r="J1092" s="147"/>
    </row>
    <row r="1093">
      <c r="A1093" s="146">
        <v>1092.0</v>
      </c>
      <c r="B1093" s="13" t="s">
        <v>208</v>
      </c>
      <c r="C1093" s="13" t="s">
        <v>208</v>
      </c>
      <c r="D1093" s="13" t="s">
        <v>208</v>
      </c>
      <c r="E1093" s="13" t="s">
        <v>208</v>
      </c>
      <c r="F1093" s="13" t="s">
        <v>208</v>
      </c>
      <c r="G1093" s="67"/>
      <c r="H1093" s="67"/>
      <c r="I1093" s="67"/>
      <c r="J1093" s="147"/>
    </row>
    <row r="1094">
      <c r="A1094" s="146">
        <v>1093.0</v>
      </c>
      <c r="B1094" s="13" t="s">
        <v>208</v>
      </c>
      <c r="C1094" s="13" t="s">
        <v>208</v>
      </c>
      <c r="D1094" s="13" t="s">
        <v>208</v>
      </c>
      <c r="E1094" s="13" t="s">
        <v>208</v>
      </c>
      <c r="F1094" s="13" t="s">
        <v>208</v>
      </c>
      <c r="G1094" s="67"/>
      <c r="H1094" s="67"/>
      <c r="I1094" s="67"/>
      <c r="J1094" s="147"/>
    </row>
    <row r="1095">
      <c r="A1095" s="146">
        <v>1094.0</v>
      </c>
      <c r="B1095" s="13" t="s">
        <v>208</v>
      </c>
      <c r="C1095" s="13" t="s">
        <v>208</v>
      </c>
      <c r="D1095" s="13" t="s">
        <v>208</v>
      </c>
      <c r="E1095" s="13" t="s">
        <v>208</v>
      </c>
      <c r="F1095" s="13" t="s">
        <v>208</v>
      </c>
      <c r="G1095" s="67"/>
      <c r="H1095" s="67"/>
      <c r="I1095" s="67"/>
      <c r="J1095" s="147"/>
    </row>
    <row r="1096">
      <c r="A1096" s="146">
        <v>1095.0</v>
      </c>
      <c r="B1096" s="13" t="s">
        <v>208</v>
      </c>
      <c r="C1096" s="13" t="s">
        <v>208</v>
      </c>
      <c r="D1096" s="13" t="s">
        <v>208</v>
      </c>
      <c r="E1096" s="13" t="s">
        <v>208</v>
      </c>
      <c r="F1096" s="13" t="s">
        <v>208</v>
      </c>
      <c r="G1096" s="67"/>
      <c r="H1096" s="67"/>
      <c r="I1096" s="67"/>
      <c r="J1096" s="147"/>
    </row>
    <row r="1097">
      <c r="A1097" s="146">
        <v>1096.0</v>
      </c>
      <c r="B1097" s="13" t="s">
        <v>208</v>
      </c>
      <c r="C1097" s="13" t="s">
        <v>208</v>
      </c>
      <c r="D1097" s="13" t="s">
        <v>208</v>
      </c>
      <c r="E1097" s="13" t="s">
        <v>208</v>
      </c>
      <c r="F1097" s="13" t="s">
        <v>208</v>
      </c>
      <c r="G1097" s="67"/>
      <c r="H1097" s="67"/>
      <c r="I1097" s="67"/>
      <c r="J1097" s="147"/>
    </row>
    <row r="1098">
      <c r="A1098" s="146">
        <v>1097.0</v>
      </c>
      <c r="B1098" s="13" t="s">
        <v>208</v>
      </c>
      <c r="C1098" s="13" t="s">
        <v>208</v>
      </c>
      <c r="D1098" s="13" t="s">
        <v>208</v>
      </c>
      <c r="E1098" s="13" t="s">
        <v>208</v>
      </c>
      <c r="F1098" s="13" t="s">
        <v>208</v>
      </c>
      <c r="G1098" s="67"/>
      <c r="H1098" s="67"/>
      <c r="I1098" s="67"/>
      <c r="J1098" s="147"/>
    </row>
    <row r="1099">
      <c r="A1099" s="146">
        <v>1098.0</v>
      </c>
      <c r="B1099" s="13" t="s">
        <v>208</v>
      </c>
      <c r="C1099" s="13" t="s">
        <v>208</v>
      </c>
      <c r="D1099" s="13" t="s">
        <v>208</v>
      </c>
      <c r="E1099" s="13" t="s">
        <v>208</v>
      </c>
      <c r="F1099" s="13" t="s">
        <v>208</v>
      </c>
      <c r="G1099" s="67"/>
      <c r="H1099" s="67"/>
      <c r="I1099" s="67"/>
      <c r="J1099" s="147"/>
    </row>
    <row r="1100">
      <c r="A1100" s="146">
        <v>1099.0</v>
      </c>
      <c r="B1100" s="13" t="s">
        <v>208</v>
      </c>
      <c r="C1100" s="13" t="s">
        <v>208</v>
      </c>
      <c r="D1100" s="13" t="s">
        <v>208</v>
      </c>
      <c r="E1100" s="13" t="s">
        <v>208</v>
      </c>
      <c r="F1100" s="13" t="s">
        <v>208</v>
      </c>
      <c r="G1100" s="67"/>
      <c r="H1100" s="67"/>
      <c r="I1100" s="67"/>
      <c r="J1100" s="147"/>
    </row>
    <row r="1101">
      <c r="A1101" s="146">
        <v>1100.0</v>
      </c>
      <c r="B1101" s="174"/>
      <c r="C1101" s="174"/>
      <c r="D1101" s="174"/>
      <c r="E1101" s="174"/>
      <c r="F1101" s="174"/>
      <c r="G1101" s="187"/>
      <c r="H1101" s="175" t="s">
        <v>217</v>
      </c>
      <c r="I1101" s="67"/>
      <c r="J1101" s="147"/>
    </row>
    <row r="1102">
      <c r="A1102" s="146">
        <v>1101.0</v>
      </c>
      <c r="B1102" s="13" t="s">
        <v>208</v>
      </c>
      <c r="C1102" s="13" t="s">
        <v>208</v>
      </c>
      <c r="D1102" s="13" t="s">
        <v>208</v>
      </c>
      <c r="E1102" s="13" t="s">
        <v>208</v>
      </c>
      <c r="F1102" s="13" t="s">
        <v>208</v>
      </c>
      <c r="G1102" s="67"/>
      <c r="H1102" s="67"/>
      <c r="I1102" s="67"/>
      <c r="J1102" s="147"/>
    </row>
    <row r="1103">
      <c r="A1103" s="146">
        <v>1102.0</v>
      </c>
      <c r="B1103" s="174"/>
      <c r="C1103" s="174"/>
      <c r="D1103" s="174"/>
      <c r="E1103" s="174"/>
      <c r="F1103" s="174"/>
      <c r="G1103" s="187"/>
      <c r="H1103" s="175" t="s">
        <v>217</v>
      </c>
      <c r="I1103" s="67"/>
      <c r="J1103" s="147"/>
    </row>
    <row r="1104">
      <c r="A1104" s="146">
        <v>1103.0</v>
      </c>
      <c r="B1104" s="13" t="s">
        <v>208</v>
      </c>
      <c r="C1104" s="13" t="s">
        <v>208</v>
      </c>
      <c r="D1104" s="13" t="s">
        <v>208</v>
      </c>
      <c r="E1104" s="13" t="s">
        <v>208</v>
      </c>
      <c r="F1104" s="13" t="s">
        <v>208</v>
      </c>
      <c r="G1104" s="67"/>
      <c r="H1104" s="67"/>
      <c r="I1104" s="67"/>
      <c r="J1104" s="147"/>
    </row>
    <row r="1105">
      <c r="A1105" s="146">
        <v>1104.0</v>
      </c>
      <c r="B1105" s="13" t="s">
        <v>208</v>
      </c>
      <c r="C1105" s="13" t="s">
        <v>208</v>
      </c>
      <c r="D1105" s="13" t="s">
        <v>208</v>
      </c>
      <c r="E1105" s="13" t="s">
        <v>208</v>
      </c>
      <c r="F1105" s="13" t="s">
        <v>208</v>
      </c>
      <c r="G1105" s="67"/>
      <c r="H1105" s="67"/>
      <c r="I1105" s="67"/>
      <c r="J1105" s="147"/>
    </row>
    <row r="1106">
      <c r="A1106" s="146">
        <v>1105.0</v>
      </c>
      <c r="B1106" s="13" t="s">
        <v>208</v>
      </c>
      <c r="C1106" s="13" t="s">
        <v>208</v>
      </c>
      <c r="D1106" s="13" t="s">
        <v>208</v>
      </c>
      <c r="E1106" s="13" t="s">
        <v>208</v>
      </c>
      <c r="F1106" s="13" t="s">
        <v>208</v>
      </c>
      <c r="G1106" s="67"/>
      <c r="H1106" s="67"/>
      <c r="I1106" s="67"/>
      <c r="J1106" s="147"/>
    </row>
    <row r="1107">
      <c r="A1107" s="146">
        <v>1106.0</v>
      </c>
      <c r="B1107" s="13" t="s">
        <v>208</v>
      </c>
      <c r="C1107" s="13" t="s">
        <v>208</v>
      </c>
      <c r="D1107" s="13" t="s">
        <v>208</v>
      </c>
      <c r="E1107" s="13" t="s">
        <v>208</v>
      </c>
      <c r="F1107" s="13" t="s">
        <v>208</v>
      </c>
      <c r="G1107" s="67"/>
      <c r="H1107" s="67"/>
      <c r="I1107" s="67"/>
      <c r="J1107" s="147"/>
    </row>
    <row r="1108">
      <c r="A1108" s="146">
        <v>1107.0</v>
      </c>
      <c r="B1108" s="13" t="s">
        <v>208</v>
      </c>
      <c r="C1108" s="13" t="s">
        <v>208</v>
      </c>
      <c r="D1108" s="13" t="s">
        <v>208</v>
      </c>
      <c r="E1108" s="13" t="s">
        <v>208</v>
      </c>
      <c r="F1108" s="13" t="s">
        <v>208</v>
      </c>
      <c r="G1108" s="67"/>
      <c r="H1108" s="67"/>
      <c r="I1108" s="67"/>
      <c r="J1108" s="147"/>
    </row>
    <row r="1109">
      <c r="A1109" s="146">
        <v>1108.0</v>
      </c>
      <c r="B1109" s="13" t="s">
        <v>208</v>
      </c>
      <c r="C1109" s="13" t="s">
        <v>208</v>
      </c>
      <c r="D1109" s="13" t="s">
        <v>208</v>
      </c>
      <c r="E1109" s="13" t="s">
        <v>208</v>
      </c>
      <c r="F1109" s="13" t="s">
        <v>208</v>
      </c>
      <c r="G1109" s="67"/>
      <c r="H1109" s="67"/>
      <c r="I1109" s="67"/>
      <c r="J1109" s="147"/>
    </row>
    <row r="1110">
      <c r="A1110" s="146">
        <v>1109.0</v>
      </c>
      <c r="B1110" s="13" t="s">
        <v>208</v>
      </c>
      <c r="C1110" s="13" t="s">
        <v>208</v>
      </c>
      <c r="D1110" s="13" t="s">
        <v>208</v>
      </c>
      <c r="E1110" s="13" t="s">
        <v>208</v>
      </c>
      <c r="F1110" s="13" t="s">
        <v>208</v>
      </c>
      <c r="G1110" s="67"/>
      <c r="H1110" s="67"/>
      <c r="I1110" s="67"/>
      <c r="J1110" s="147"/>
    </row>
    <row r="1111">
      <c r="A1111" s="146">
        <v>1110.0</v>
      </c>
      <c r="B1111" s="13" t="s">
        <v>208</v>
      </c>
      <c r="C1111" s="13" t="s">
        <v>208</v>
      </c>
      <c r="D1111" s="13" t="s">
        <v>208</v>
      </c>
      <c r="E1111" s="13" t="s">
        <v>208</v>
      </c>
      <c r="F1111" s="13" t="s">
        <v>208</v>
      </c>
      <c r="G1111" s="67"/>
      <c r="H1111" s="67"/>
      <c r="I1111" s="67"/>
      <c r="J1111" s="147"/>
    </row>
    <row r="1112">
      <c r="A1112" s="146">
        <v>1111.0</v>
      </c>
      <c r="B1112" s="13" t="s">
        <v>208</v>
      </c>
      <c r="C1112" s="13" t="s">
        <v>208</v>
      </c>
      <c r="D1112" s="13" t="s">
        <v>208</v>
      </c>
      <c r="E1112" s="13" t="s">
        <v>208</v>
      </c>
      <c r="F1112" s="13" t="s">
        <v>208</v>
      </c>
      <c r="G1112" s="67"/>
      <c r="H1112" s="67"/>
      <c r="I1112" s="67"/>
      <c r="J1112" s="147"/>
    </row>
    <row r="1113">
      <c r="A1113" s="146">
        <v>1112.0</v>
      </c>
      <c r="B1113" s="13" t="s">
        <v>208</v>
      </c>
      <c r="C1113" s="13" t="s">
        <v>208</v>
      </c>
      <c r="D1113" s="13" t="s">
        <v>208</v>
      </c>
      <c r="E1113" s="13" t="s">
        <v>208</v>
      </c>
      <c r="F1113" s="13" t="s">
        <v>208</v>
      </c>
      <c r="G1113" s="67"/>
      <c r="H1113" s="67"/>
      <c r="I1113" s="67"/>
      <c r="J1113" s="147"/>
    </row>
    <row r="1114">
      <c r="A1114" s="146">
        <v>1113.0</v>
      </c>
      <c r="B1114" s="13" t="s">
        <v>208</v>
      </c>
      <c r="C1114" s="13" t="s">
        <v>208</v>
      </c>
      <c r="D1114" s="13" t="s">
        <v>208</v>
      </c>
      <c r="E1114" s="13" t="s">
        <v>208</v>
      </c>
      <c r="F1114" s="13" t="s">
        <v>208</v>
      </c>
      <c r="G1114" s="67"/>
      <c r="H1114" s="67"/>
      <c r="I1114" s="67"/>
      <c r="J1114" s="147"/>
    </row>
    <row r="1115">
      <c r="A1115" s="146">
        <v>1114.0</v>
      </c>
      <c r="B1115" s="67"/>
      <c r="C1115" s="13" t="s">
        <v>208</v>
      </c>
      <c r="D1115" s="13" t="s">
        <v>208</v>
      </c>
      <c r="E1115" s="13" t="s">
        <v>208</v>
      </c>
      <c r="F1115" s="67"/>
      <c r="G1115" s="13" t="s">
        <v>208</v>
      </c>
      <c r="H1115" s="67"/>
      <c r="I1115" s="67"/>
      <c r="J1115" s="147"/>
    </row>
    <row r="1116">
      <c r="A1116" s="146">
        <v>1115.0</v>
      </c>
      <c r="B1116" s="174"/>
      <c r="C1116" s="174"/>
      <c r="D1116" s="174"/>
      <c r="E1116" s="174"/>
      <c r="F1116" s="174"/>
      <c r="G1116" s="187"/>
      <c r="H1116" s="175" t="s">
        <v>217</v>
      </c>
      <c r="I1116" s="67"/>
      <c r="J1116" s="147"/>
    </row>
    <row r="1117">
      <c r="A1117" s="146">
        <v>1116.0</v>
      </c>
      <c r="B1117" s="13" t="s">
        <v>208</v>
      </c>
      <c r="C1117" s="13" t="s">
        <v>208</v>
      </c>
      <c r="D1117" s="13" t="s">
        <v>208</v>
      </c>
      <c r="E1117" s="13" t="s">
        <v>208</v>
      </c>
      <c r="F1117" s="13" t="s">
        <v>208</v>
      </c>
      <c r="G1117" s="67"/>
      <c r="H1117" s="67"/>
      <c r="I1117" s="67"/>
      <c r="J1117" s="147"/>
    </row>
    <row r="1118">
      <c r="A1118" s="146">
        <v>1117.0</v>
      </c>
      <c r="B1118" s="13" t="s">
        <v>208</v>
      </c>
      <c r="C1118" s="13" t="s">
        <v>208</v>
      </c>
      <c r="D1118" s="13" t="s">
        <v>208</v>
      </c>
      <c r="E1118" s="13" t="s">
        <v>208</v>
      </c>
      <c r="F1118" s="13" t="s">
        <v>208</v>
      </c>
      <c r="G1118" s="67"/>
      <c r="H1118" s="67"/>
      <c r="I1118" s="67"/>
      <c r="J1118" s="147"/>
    </row>
    <row r="1119">
      <c r="A1119" s="146">
        <v>1118.0</v>
      </c>
      <c r="B1119" s="13" t="s">
        <v>208</v>
      </c>
      <c r="C1119" s="13" t="s">
        <v>208</v>
      </c>
      <c r="D1119" s="13" t="s">
        <v>208</v>
      </c>
      <c r="E1119" s="13" t="s">
        <v>208</v>
      </c>
      <c r="F1119" s="13" t="s">
        <v>208</v>
      </c>
      <c r="G1119" s="67"/>
      <c r="H1119" s="67"/>
      <c r="I1119" s="67"/>
      <c r="J1119" s="147"/>
    </row>
    <row r="1120">
      <c r="A1120" s="146">
        <v>1119.0</v>
      </c>
      <c r="B1120" s="13" t="s">
        <v>208</v>
      </c>
      <c r="C1120" s="13" t="s">
        <v>208</v>
      </c>
      <c r="D1120" s="13" t="s">
        <v>208</v>
      </c>
      <c r="E1120" s="13" t="s">
        <v>208</v>
      </c>
      <c r="F1120" s="13" t="s">
        <v>208</v>
      </c>
      <c r="G1120" s="67"/>
      <c r="H1120" s="67"/>
      <c r="I1120" s="67"/>
      <c r="J1120" s="147"/>
    </row>
    <row r="1121">
      <c r="A1121" s="146">
        <v>1120.0</v>
      </c>
      <c r="B1121" s="13"/>
      <c r="C1121" s="13" t="s">
        <v>208</v>
      </c>
      <c r="D1121" s="13" t="s">
        <v>208</v>
      </c>
      <c r="E1121" s="13" t="s">
        <v>208</v>
      </c>
      <c r="F1121" s="13"/>
      <c r="G1121" s="13" t="s">
        <v>208</v>
      </c>
      <c r="H1121" s="67"/>
      <c r="I1121" s="67"/>
      <c r="J1121" s="147"/>
    </row>
    <row r="1122">
      <c r="A1122" s="146">
        <v>1121.0</v>
      </c>
      <c r="B1122" s="13" t="s">
        <v>208</v>
      </c>
      <c r="C1122" s="13" t="s">
        <v>208</v>
      </c>
      <c r="D1122" s="13" t="s">
        <v>208</v>
      </c>
      <c r="E1122" s="13" t="s">
        <v>208</v>
      </c>
      <c r="F1122" s="13" t="s">
        <v>208</v>
      </c>
      <c r="G1122" s="67"/>
      <c r="H1122" s="67"/>
      <c r="I1122" s="67"/>
      <c r="J1122" s="147"/>
    </row>
    <row r="1123">
      <c r="A1123" s="146">
        <v>1122.0</v>
      </c>
      <c r="B1123" s="13" t="s">
        <v>208</v>
      </c>
      <c r="C1123" s="13" t="s">
        <v>208</v>
      </c>
      <c r="D1123" s="13" t="s">
        <v>208</v>
      </c>
      <c r="E1123" s="13" t="s">
        <v>208</v>
      </c>
      <c r="F1123" s="13" t="s">
        <v>208</v>
      </c>
      <c r="G1123" s="67"/>
      <c r="H1123" s="67"/>
      <c r="I1123" s="67"/>
      <c r="J1123" s="147"/>
    </row>
    <row r="1124">
      <c r="A1124" s="146">
        <v>1123.0</v>
      </c>
      <c r="B1124" s="13" t="s">
        <v>208</v>
      </c>
      <c r="C1124" s="13" t="s">
        <v>208</v>
      </c>
      <c r="D1124" s="13" t="s">
        <v>208</v>
      </c>
      <c r="E1124" s="13" t="s">
        <v>208</v>
      </c>
      <c r="F1124" s="13" t="s">
        <v>208</v>
      </c>
      <c r="G1124" s="67"/>
      <c r="H1124" s="67"/>
      <c r="I1124" s="67"/>
      <c r="J1124" s="147"/>
    </row>
    <row r="1125">
      <c r="A1125" s="146">
        <v>1124.0</v>
      </c>
      <c r="B1125" s="67"/>
      <c r="C1125" s="13" t="s">
        <v>208</v>
      </c>
      <c r="D1125" s="13" t="s">
        <v>208</v>
      </c>
      <c r="E1125" s="13" t="s">
        <v>208</v>
      </c>
      <c r="F1125" s="67"/>
      <c r="G1125" s="13" t="s">
        <v>208</v>
      </c>
      <c r="H1125" s="67"/>
      <c r="I1125" s="67"/>
      <c r="J1125" s="147"/>
    </row>
    <row r="1126">
      <c r="A1126" s="146">
        <v>1125.0</v>
      </c>
      <c r="B1126" s="13" t="s">
        <v>208</v>
      </c>
      <c r="C1126" s="13" t="s">
        <v>208</v>
      </c>
      <c r="D1126" s="13" t="s">
        <v>208</v>
      </c>
      <c r="E1126" s="13" t="s">
        <v>208</v>
      </c>
      <c r="F1126" s="13" t="s">
        <v>208</v>
      </c>
      <c r="G1126" s="67"/>
      <c r="H1126" s="67"/>
      <c r="I1126" s="67"/>
      <c r="J1126" s="147"/>
    </row>
    <row r="1127">
      <c r="A1127" s="146">
        <v>1126.0</v>
      </c>
      <c r="B1127" s="13" t="s">
        <v>208</v>
      </c>
      <c r="C1127" s="13" t="s">
        <v>208</v>
      </c>
      <c r="D1127" s="13" t="s">
        <v>208</v>
      </c>
      <c r="E1127" s="13" t="s">
        <v>208</v>
      </c>
      <c r="F1127" s="13" t="s">
        <v>208</v>
      </c>
      <c r="G1127" s="67"/>
      <c r="H1127" s="67"/>
      <c r="I1127" s="67"/>
      <c r="J1127" s="147"/>
    </row>
    <row r="1128">
      <c r="A1128" s="146">
        <v>1127.0</v>
      </c>
      <c r="B1128" s="13" t="s">
        <v>208</v>
      </c>
      <c r="C1128" s="13" t="s">
        <v>208</v>
      </c>
      <c r="D1128" s="13" t="s">
        <v>208</v>
      </c>
      <c r="E1128" s="13" t="s">
        <v>208</v>
      </c>
      <c r="F1128" s="13" t="s">
        <v>208</v>
      </c>
      <c r="G1128" s="67"/>
      <c r="H1128" s="67"/>
      <c r="I1128" s="67"/>
      <c r="J1128" s="147"/>
    </row>
    <row r="1129">
      <c r="A1129" s="146">
        <v>1128.0</v>
      </c>
      <c r="B1129" s="13" t="s">
        <v>208</v>
      </c>
      <c r="C1129" s="13" t="s">
        <v>208</v>
      </c>
      <c r="D1129" s="13" t="s">
        <v>208</v>
      </c>
      <c r="E1129" s="13" t="s">
        <v>208</v>
      </c>
      <c r="F1129" s="13" t="s">
        <v>208</v>
      </c>
      <c r="G1129" s="67"/>
      <c r="H1129" s="67"/>
      <c r="I1129" s="67"/>
      <c r="J1129" s="147"/>
    </row>
    <row r="1130">
      <c r="A1130" s="146">
        <v>1129.0</v>
      </c>
      <c r="B1130" s="13" t="s">
        <v>208</v>
      </c>
      <c r="C1130" s="13" t="s">
        <v>208</v>
      </c>
      <c r="D1130" s="13" t="s">
        <v>208</v>
      </c>
      <c r="E1130" s="13" t="s">
        <v>208</v>
      </c>
      <c r="F1130" s="13" t="s">
        <v>208</v>
      </c>
      <c r="G1130" s="67"/>
      <c r="H1130" s="67"/>
      <c r="I1130" s="67"/>
      <c r="J1130" s="147"/>
    </row>
    <row r="1131">
      <c r="A1131" s="146">
        <v>1130.0</v>
      </c>
      <c r="B1131" s="13" t="s">
        <v>208</v>
      </c>
      <c r="C1131" s="13" t="s">
        <v>208</v>
      </c>
      <c r="D1131" s="13" t="s">
        <v>208</v>
      </c>
      <c r="E1131" s="13" t="s">
        <v>208</v>
      </c>
      <c r="F1131" s="13" t="s">
        <v>208</v>
      </c>
      <c r="G1131" s="67"/>
      <c r="H1131" s="67"/>
      <c r="I1131" s="67"/>
      <c r="J1131" s="147"/>
    </row>
    <row r="1132">
      <c r="A1132" s="146">
        <v>1131.0</v>
      </c>
      <c r="B1132" s="13" t="s">
        <v>208</v>
      </c>
      <c r="C1132" s="13" t="s">
        <v>208</v>
      </c>
      <c r="D1132" s="13" t="s">
        <v>208</v>
      </c>
      <c r="E1132" s="13" t="s">
        <v>208</v>
      </c>
      <c r="F1132" s="13" t="s">
        <v>208</v>
      </c>
      <c r="G1132" s="67"/>
      <c r="H1132" s="67"/>
      <c r="I1132" s="67"/>
      <c r="J1132" s="147"/>
    </row>
    <row r="1133">
      <c r="A1133" s="146">
        <v>1132.0</v>
      </c>
      <c r="B1133" s="13" t="s">
        <v>208</v>
      </c>
      <c r="C1133" s="13" t="s">
        <v>208</v>
      </c>
      <c r="D1133" s="13" t="s">
        <v>208</v>
      </c>
      <c r="E1133" s="13" t="s">
        <v>208</v>
      </c>
      <c r="F1133" s="13" t="s">
        <v>208</v>
      </c>
      <c r="G1133" s="67"/>
      <c r="H1133" s="67"/>
      <c r="I1133" s="67"/>
      <c r="J1133" s="147"/>
    </row>
    <row r="1134">
      <c r="A1134" s="146">
        <v>1133.0</v>
      </c>
      <c r="B1134" s="13" t="s">
        <v>208</v>
      </c>
      <c r="C1134" s="13" t="s">
        <v>208</v>
      </c>
      <c r="D1134" s="13" t="s">
        <v>208</v>
      </c>
      <c r="E1134" s="13" t="s">
        <v>208</v>
      </c>
      <c r="F1134" s="13" t="s">
        <v>208</v>
      </c>
      <c r="G1134" s="67"/>
      <c r="H1134" s="67"/>
      <c r="I1134" s="67"/>
      <c r="J1134" s="147"/>
    </row>
    <row r="1135">
      <c r="A1135" s="146">
        <v>1134.0</v>
      </c>
      <c r="B1135" s="13" t="s">
        <v>208</v>
      </c>
      <c r="C1135" s="13" t="s">
        <v>208</v>
      </c>
      <c r="D1135" s="13" t="s">
        <v>208</v>
      </c>
      <c r="E1135" s="13" t="s">
        <v>208</v>
      </c>
      <c r="F1135" s="13" t="s">
        <v>208</v>
      </c>
      <c r="G1135" s="67"/>
      <c r="H1135" s="67"/>
      <c r="I1135" s="67"/>
      <c r="J1135" s="147"/>
    </row>
    <row r="1136">
      <c r="A1136" s="146">
        <v>1135.0</v>
      </c>
      <c r="B1136" s="13" t="s">
        <v>208</v>
      </c>
      <c r="C1136" s="13" t="s">
        <v>208</v>
      </c>
      <c r="D1136" s="13" t="s">
        <v>208</v>
      </c>
      <c r="E1136" s="13" t="s">
        <v>208</v>
      </c>
      <c r="F1136" s="13" t="s">
        <v>208</v>
      </c>
      <c r="G1136" s="67"/>
      <c r="H1136" s="67"/>
      <c r="I1136" s="67"/>
      <c r="J1136" s="147"/>
    </row>
    <row r="1137">
      <c r="A1137" s="146">
        <v>1136.0</v>
      </c>
      <c r="B1137" s="13" t="s">
        <v>208</v>
      </c>
      <c r="C1137" s="13" t="s">
        <v>208</v>
      </c>
      <c r="D1137" s="13" t="s">
        <v>208</v>
      </c>
      <c r="E1137" s="13" t="s">
        <v>208</v>
      </c>
      <c r="F1137" s="13" t="s">
        <v>208</v>
      </c>
      <c r="G1137" s="67"/>
      <c r="H1137" s="67"/>
      <c r="I1137" s="67"/>
      <c r="J1137" s="147"/>
    </row>
    <row r="1138">
      <c r="A1138" s="146">
        <v>1137.0</v>
      </c>
      <c r="B1138" s="13" t="s">
        <v>208</v>
      </c>
      <c r="C1138" s="13" t="s">
        <v>208</v>
      </c>
      <c r="D1138" s="13" t="s">
        <v>208</v>
      </c>
      <c r="E1138" s="13" t="s">
        <v>208</v>
      </c>
      <c r="F1138" s="13" t="s">
        <v>208</v>
      </c>
      <c r="G1138" s="67"/>
      <c r="H1138" s="67"/>
      <c r="I1138" s="67"/>
      <c r="J1138" s="147"/>
    </row>
    <row r="1139">
      <c r="A1139" s="146">
        <v>1138.0</v>
      </c>
      <c r="B1139" s="13" t="s">
        <v>208</v>
      </c>
      <c r="C1139" s="13" t="s">
        <v>208</v>
      </c>
      <c r="D1139" s="13" t="s">
        <v>208</v>
      </c>
      <c r="E1139" s="13" t="s">
        <v>208</v>
      </c>
      <c r="F1139" s="13" t="s">
        <v>208</v>
      </c>
      <c r="G1139" s="67"/>
      <c r="H1139" s="67"/>
      <c r="I1139" s="67"/>
      <c r="J1139" s="147"/>
    </row>
    <row r="1140">
      <c r="A1140" s="177">
        <v>1139.0</v>
      </c>
      <c r="B1140" s="67"/>
      <c r="C1140" s="13" t="s">
        <v>208</v>
      </c>
      <c r="D1140" s="13" t="s">
        <v>208</v>
      </c>
      <c r="E1140" s="13" t="s">
        <v>208</v>
      </c>
      <c r="F1140" s="67"/>
      <c r="G1140" s="13" t="s">
        <v>208</v>
      </c>
      <c r="H1140" s="67"/>
      <c r="I1140" s="67"/>
      <c r="J1140" s="147"/>
    </row>
    <row r="1141">
      <c r="A1141" s="146">
        <v>1140.0</v>
      </c>
      <c r="B1141" s="13" t="s">
        <v>208</v>
      </c>
      <c r="C1141" s="13" t="s">
        <v>208</v>
      </c>
      <c r="D1141" s="13" t="s">
        <v>208</v>
      </c>
      <c r="E1141" s="13" t="s">
        <v>208</v>
      </c>
      <c r="F1141" s="13" t="s">
        <v>208</v>
      </c>
      <c r="G1141" s="67"/>
      <c r="H1141" s="67"/>
      <c r="I1141" s="67"/>
      <c r="J1141" s="147"/>
    </row>
    <row r="1142">
      <c r="A1142" s="146">
        <v>1141.0</v>
      </c>
      <c r="B1142" s="13" t="s">
        <v>208</v>
      </c>
      <c r="C1142" s="13" t="s">
        <v>208</v>
      </c>
      <c r="D1142" s="13" t="s">
        <v>208</v>
      </c>
      <c r="E1142" s="13" t="s">
        <v>208</v>
      </c>
      <c r="F1142" s="13" t="s">
        <v>208</v>
      </c>
      <c r="G1142" s="67"/>
      <c r="H1142" s="67"/>
      <c r="I1142" s="67"/>
      <c r="J1142" s="147"/>
    </row>
    <row r="1143">
      <c r="A1143" s="146">
        <v>1142.0</v>
      </c>
      <c r="B1143" s="13" t="s">
        <v>208</v>
      </c>
      <c r="C1143" s="13" t="s">
        <v>208</v>
      </c>
      <c r="D1143" s="13" t="s">
        <v>208</v>
      </c>
      <c r="E1143" s="13" t="s">
        <v>208</v>
      </c>
      <c r="F1143" s="13" t="s">
        <v>208</v>
      </c>
      <c r="G1143" s="67"/>
      <c r="H1143" s="67"/>
      <c r="I1143" s="67"/>
      <c r="J1143" s="147"/>
    </row>
    <row r="1144">
      <c r="A1144" s="146">
        <v>1143.0</v>
      </c>
      <c r="B1144" s="13" t="s">
        <v>208</v>
      </c>
      <c r="C1144" s="13" t="s">
        <v>208</v>
      </c>
      <c r="D1144" s="99"/>
      <c r="E1144" s="13" t="s">
        <v>208</v>
      </c>
      <c r="F1144" s="13" t="s">
        <v>208</v>
      </c>
      <c r="G1144" s="67"/>
      <c r="H1144" s="67"/>
      <c r="I1144" s="67"/>
      <c r="J1144" s="147"/>
    </row>
    <row r="1145">
      <c r="A1145" s="146">
        <v>1144.0</v>
      </c>
      <c r="B1145" s="13" t="s">
        <v>208</v>
      </c>
      <c r="C1145" s="13" t="s">
        <v>208</v>
      </c>
      <c r="D1145" s="13" t="s">
        <v>208</v>
      </c>
      <c r="E1145" s="13" t="s">
        <v>208</v>
      </c>
      <c r="F1145" s="13" t="s">
        <v>208</v>
      </c>
      <c r="G1145" s="67"/>
      <c r="H1145" s="67"/>
      <c r="I1145" s="67"/>
      <c r="J1145" s="147"/>
    </row>
    <row r="1146">
      <c r="A1146" s="146">
        <v>1145.0</v>
      </c>
      <c r="B1146" s="13" t="s">
        <v>208</v>
      </c>
      <c r="C1146" s="13" t="s">
        <v>208</v>
      </c>
      <c r="D1146" s="13" t="s">
        <v>208</v>
      </c>
      <c r="E1146" s="13" t="s">
        <v>208</v>
      </c>
      <c r="F1146" s="13" t="s">
        <v>208</v>
      </c>
      <c r="G1146" s="67"/>
      <c r="H1146" s="67"/>
      <c r="I1146" s="67"/>
      <c r="J1146" s="147"/>
    </row>
    <row r="1147">
      <c r="A1147" s="146">
        <v>1146.0</v>
      </c>
      <c r="B1147" s="13" t="s">
        <v>208</v>
      </c>
      <c r="C1147" s="13" t="s">
        <v>208</v>
      </c>
      <c r="D1147" s="13" t="s">
        <v>208</v>
      </c>
      <c r="E1147" s="13" t="s">
        <v>208</v>
      </c>
      <c r="F1147" s="13" t="s">
        <v>208</v>
      </c>
      <c r="G1147" s="67"/>
      <c r="H1147" s="67"/>
      <c r="I1147" s="67"/>
      <c r="J1147" s="147"/>
    </row>
    <row r="1148">
      <c r="A1148" s="146">
        <v>1147.0</v>
      </c>
      <c r="B1148" s="13" t="s">
        <v>208</v>
      </c>
      <c r="C1148" s="13" t="s">
        <v>208</v>
      </c>
      <c r="D1148" s="13" t="s">
        <v>208</v>
      </c>
      <c r="E1148" s="13" t="s">
        <v>208</v>
      </c>
      <c r="F1148" s="13" t="s">
        <v>208</v>
      </c>
      <c r="G1148" s="67"/>
      <c r="H1148" s="67"/>
      <c r="I1148" s="67"/>
      <c r="J1148" s="147"/>
    </row>
    <row r="1149">
      <c r="A1149" s="146">
        <v>1148.0</v>
      </c>
      <c r="B1149" s="13" t="s">
        <v>208</v>
      </c>
      <c r="C1149" s="13" t="s">
        <v>208</v>
      </c>
      <c r="D1149" s="13" t="s">
        <v>208</v>
      </c>
      <c r="E1149" s="13" t="s">
        <v>208</v>
      </c>
      <c r="F1149" s="13" t="s">
        <v>208</v>
      </c>
      <c r="G1149" s="67"/>
      <c r="H1149" s="67"/>
      <c r="I1149" s="67"/>
      <c r="J1149" s="147"/>
    </row>
    <row r="1150">
      <c r="A1150" s="146">
        <v>1149.0</v>
      </c>
      <c r="B1150" s="13" t="s">
        <v>208</v>
      </c>
      <c r="C1150" s="13" t="s">
        <v>208</v>
      </c>
      <c r="D1150" s="13" t="s">
        <v>208</v>
      </c>
      <c r="E1150" s="13" t="s">
        <v>208</v>
      </c>
      <c r="F1150" s="13" t="s">
        <v>208</v>
      </c>
      <c r="G1150" s="67"/>
      <c r="H1150" s="67"/>
      <c r="I1150" s="67"/>
      <c r="J1150" s="147"/>
    </row>
    <row r="1151">
      <c r="A1151" s="146">
        <v>1150.0</v>
      </c>
      <c r="B1151" s="13" t="s">
        <v>208</v>
      </c>
      <c r="C1151" s="13" t="s">
        <v>208</v>
      </c>
      <c r="D1151" s="13" t="s">
        <v>208</v>
      </c>
      <c r="E1151" s="13" t="s">
        <v>208</v>
      </c>
      <c r="F1151" s="13" t="s">
        <v>208</v>
      </c>
      <c r="G1151" s="67"/>
      <c r="H1151" s="67"/>
      <c r="I1151" s="67"/>
      <c r="J1151" s="147"/>
    </row>
    <row r="1152">
      <c r="A1152" s="146">
        <v>1151.0</v>
      </c>
      <c r="B1152" s="13" t="s">
        <v>208</v>
      </c>
      <c r="C1152" s="13" t="s">
        <v>208</v>
      </c>
      <c r="D1152" s="99"/>
      <c r="E1152" s="13" t="s">
        <v>208</v>
      </c>
      <c r="F1152" s="13" t="s">
        <v>208</v>
      </c>
      <c r="G1152" s="67"/>
      <c r="H1152" s="67"/>
      <c r="I1152" s="67"/>
      <c r="J1152" s="147"/>
    </row>
    <row r="1153">
      <c r="A1153" s="146">
        <v>1152.0</v>
      </c>
      <c r="B1153" s="174"/>
      <c r="C1153" s="174"/>
      <c r="D1153" s="174"/>
      <c r="E1153" s="174"/>
      <c r="F1153" s="174"/>
      <c r="G1153" s="187"/>
      <c r="H1153" s="175" t="s">
        <v>217</v>
      </c>
      <c r="I1153" s="67"/>
      <c r="J1153" s="147"/>
    </row>
    <row r="1154">
      <c r="A1154" s="146">
        <v>1153.0</v>
      </c>
      <c r="B1154" s="174"/>
      <c r="C1154" s="174"/>
      <c r="D1154" s="174"/>
      <c r="E1154" s="174"/>
      <c r="F1154" s="174"/>
      <c r="G1154" s="187"/>
      <c r="H1154" s="175" t="s">
        <v>217</v>
      </c>
      <c r="I1154" s="67"/>
      <c r="J1154" s="147"/>
    </row>
    <row r="1155">
      <c r="A1155" s="146">
        <v>1154.0</v>
      </c>
      <c r="B1155" s="174"/>
      <c r="C1155" s="174"/>
      <c r="D1155" s="174"/>
      <c r="E1155" s="174"/>
      <c r="F1155" s="174"/>
      <c r="G1155" s="187"/>
      <c r="H1155" s="175" t="s">
        <v>217</v>
      </c>
      <c r="I1155" s="67"/>
      <c r="J1155" s="147"/>
    </row>
    <row r="1156">
      <c r="A1156" s="146">
        <v>1155.0</v>
      </c>
      <c r="B1156" s="174"/>
      <c r="C1156" s="174"/>
      <c r="D1156" s="174"/>
      <c r="E1156" s="174"/>
      <c r="F1156" s="174"/>
      <c r="G1156" s="187"/>
      <c r="H1156" s="175" t="s">
        <v>217</v>
      </c>
      <c r="I1156" s="67"/>
      <c r="J1156" s="147"/>
    </row>
    <row r="1157">
      <c r="A1157" s="146">
        <v>1156.0</v>
      </c>
      <c r="B1157" s="174"/>
      <c r="C1157" s="174"/>
      <c r="D1157" s="174"/>
      <c r="E1157" s="174"/>
      <c r="F1157" s="174"/>
      <c r="G1157" s="187"/>
      <c r="H1157" s="175" t="s">
        <v>217</v>
      </c>
      <c r="I1157" s="67"/>
      <c r="J1157" s="147"/>
    </row>
    <row r="1158">
      <c r="A1158" s="146">
        <v>1157.0</v>
      </c>
      <c r="B1158" s="174"/>
      <c r="C1158" s="174"/>
      <c r="D1158" s="174"/>
      <c r="E1158" s="174"/>
      <c r="F1158" s="174"/>
      <c r="G1158" s="187"/>
      <c r="H1158" s="175" t="s">
        <v>217</v>
      </c>
      <c r="I1158" s="67"/>
      <c r="J1158" s="147"/>
    </row>
    <row r="1159">
      <c r="A1159" s="146">
        <v>1158.0</v>
      </c>
      <c r="B1159" s="13" t="s">
        <v>208</v>
      </c>
      <c r="C1159" s="13" t="s">
        <v>208</v>
      </c>
      <c r="D1159" s="13" t="s">
        <v>208</v>
      </c>
      <c r="E1159" s="13" t="s">
        <v>208</v>
      </c>
      <c r="F1159" s="13" t="s">
        <v>208</v>
      </c>
      <c r="G1159" s="67"/>
      <c r="H1159" s="67"/>
      <c r="I1159" s="67"/>
      <c r="J1159" s="147"/>
    </row>
    <row r="1160">
      <c r="A1160" s="146">
        <v>1159.0</v>
      </c>
      <c r="B1160" s="13" t="s">
        <v>208</v>
      </c>
      <c r="C1160" s="13" t="s">
        <v>208</v>
      </c>
      <c r="D1160" s="13" t="s">
        <v>208</v>
      </c>
      <c r="E1160" s="13" t="s">
        <v>208</v>
      </c>
      <c r="F1160" s="13" t="s">
        <v>208</v>
      </c>
      <c r="G1160" s="67"/>
      <c r="H1160" s="67"/>
      <c r="I1160" s="67"/>
      <c r="J1160" s="147"/>
    </row>
    <row r="1161">
      <c r="A1161" s="146">
        <v>1160.0</v>
      </c>
      <c r="B1161" s="13" t="s">
        <v>208</v>
      </c>
      <c r="C1161" s="99"/>
      <c r="D1161" s="13" t="s">
        <v>208</v>
      </c>
      <c r="E1161" s="13" t="s">
        <v>208</v>
      </c>
      <c r="F1161" s="13" t="s">
        <v>208</v>
      </c>
      <c r="G1161" s="67"/>
      <c r="H1161" s="67"/>
      <c r="I1161" s="67"/>
      <c r="J1161" s="147"/>
    </row>
    <row r="1162">
      <c r="A1162" s="146">
        <v>1161.0</v>
      </c>
      <c r="B1162" s="13" t="s">
        <v>208</v>
      </c>
      <c r="C1162" s="13" t="s">
        <v>208</v>
      </c>
      <c r="D1162" s="13" t="s">
        <v>208</v>
      </c>
      <c r="E1162" s="13" t="s">
        <v>208</v>
      </c>
      <c r="F1162" s="13" t="s">
        <v>208</v>
      </c>
      <c r="G1162" s="67"/>
      <c r="H1162" s="67"/>
      <c r="I1162" s="67"/>
      <c r="J1162" s="147"/>
    </row>
    <row r="1163">
      <c r="A1163" s="146">
        <v>1162.0</v>
      </c>
      <c r="B1163" s="13" t="s">
        <v>208</v>
      </c>
      <c r="C1163" s="99"/>
      <c r="D1163" s="13" t="s">
        <v>208</v>
      </c>
      <c r="E1163" s="13" t="s">
        <v>208</v>
      </c>
      <c r="F1163" s="13" t="s">
        <v>208</v>
      </c>
      <c r="G1163" s="67"/>
      <c r="H1163" s="67"/>
      <c r="I1163" s="67"/>
      <c r="J1163" s="147"/>
    </row>
    <row r="1164">
      <c r="A1164" s="146">
        <v>1163.0</v>
      </c>
      <c r="B1164" s="67"/>
      <c r="C1164" s="13" t="s">
        <v>208</v>
      </c>
      <c r="D1164" s="13" t="s">
        <v>208</v>
      </c>
      <c r="E1164" s="13" t="s">
        <v>208</v>
      </c>
      <c r="F1164" s="67"/>
      <c r="G1164" s="13" t="s">
        <v>208</v>
      </c>
      <c r="H1164" s="67"/>
      <c r="I1164" s="67"/>
      <c r="J1164" s="147"/>
    </row>
    <row r="1165">
      <c r="A1165" s="146">
        <v>1164.0</v>
      </c>
      <c r="B1165" s="13" t="s">
        <v>208</v>
      </c>
      <c r="C1165" s="13" t="s">
        <v>208</v>
      </c>
      <c r="D1165" s="13" t="s">
        <v>208</v>
      </c>
      <c r="E1165" s="13" t="s">
        <v>208</v>
      </c>
      <c r="F1165" s="13" t="s">
        <v>208</v>
      </c>
      <c r="G1165" s="67"/>
      <c r="H1165" s="67"/>
      <c r="I1165" s="67"/>
      <c r="J1165" s="147"/>
    </row>
    <row r="1166">
      <c r="A1166" s="146">
        <v>1165.0</v>
      </c>
      <c r="B1166" s="13" t="s">
        <v>208</v>
      </c>
      <c r="C1166" s="13" t="s">
        <v>208</v>
      </c>
      <c r="D1166" s="13" t="s">
        <v>208</v>
      </c>
      <c r="E1166" s="13" t="s">
        <v>208</v>
      </c>
      <c r="F1166" s="13" t="s">
        <v>208</v>
      </c>
      <c r="G1166" s="67"/>
      <c r="H1166" s="67"/>
      <c r="I1166" s="67"/>
      <c r="J1166" s="147"/>
    </row>
    <row r="1167">
      <c r="A1167" s="146">
        <v>1166.0</v>
      </c>
      <c r="B1167" s="13" t="s">
        <v>208</v>
      </c>
      <c r="C1167" s="13" t="s">
        <v>208</v>
      </c>
      <c r="D1167" s="13" t="s">
        <v>208</v>
      </c>
      <c r="E1167" s="13" t="s">
        <v>208</v>
      </c>
      <c r="F1167" s="13" t="s">
        <v>208</v>
      </c>
      <c r="G1167" s="67"/>
      <c r="H1167" s="67"/>
      <c r="I1167" s="67"/>
      <c r="J1167" s="147"/>
    </row>
    <row r="1168">
      <c r="A1168" s="146">
        <v>1167.0</v>
      </c>
      <c r="B1168" s="13" t="s">
        <v>208</v>
      </c>
      <c r="C1168" s="13" t="s">
        <v>208</v>
      </c>
      <c r="D1168" s="13" t="s">
        <v>208</v>
      </c>
      <c r="E1168" s="13" t="s">
        <v>208</v>
      </c>
      <c r="F1168" s="13" t="s">
        <v>208</v>
      </c>
      <c r="G1168" s="67"/>
      <c r="H1168" s="67"/>
      <c r="I1168" s="67"/>
      <c r="J1168" s="147"/>
    </row>
    <row r="1169">
      <c r="A1169" s="146">
        <v>1168.0</v>
      </c>
      <c r="B1169" s="13" t="s">
        <v>208</v>
      </c>
      <c r="C1169" s="13" t="s">
        <v>208</v>
      </c>
      <c r="D1169" s="13" t="s">
        <v>208</v>
      </c>
      <c r="E1169" s="13" t="s">
        <v>208</v>
      </c>
      <c r="F1169" s="13" t="s">
        <v>208</v>
      </c>
      <c r="G1169" s="67"/>
      <c r="H1169" s="67"/>
      <c r="I1169" s="67"/>
      <c r="J1169" s="147"/>
    </row>
    <row r="1170">
      <c r="A1170" s="146">
        <v>1169.0</v>
      </c>
      <c r="B1170" s="13" t="s">
        <v>208</v>
      </c>
      <c r="C1170" s="13" t="s">
        <v>208</v>
      </c>
      <c r="D1170" s="13" t="s">
        <v>208</v>
      </c>
      <c r="E1170" s="13" t="s">
        <v>208</v>
      </c>
      <c r="F1170" s="13" t="s">
        <v>208</v>
      </c>
      <c r="G1170" s="67"/>
      <c r="H1170" s="67"/>
      <c r="I1170" s="67"/>
      <c r="J1170" s="147"/>
    </row>
    <row r="1171">
      <c r="A1171" s="146">
        <v>1170.0</v>
      </c>
      <c r="B1171" s="13" t="s">
        <v>208</v>
      </c>
      <c r="C1171" s="13" t="s">
        <v>208</v>
      </c>
      <c r="D1171" s="13" t="s">
        <v>208</v>
      </c>
      <c r="E1171" s="13" t="s">
        <v>208</v>
      </c>
      <c r="F1171" s="13" t="s">
        <v>208</v>
      </c>
      <c r="G1171" s="67"/>
      <c r="H1171" s="67"/>
      <c r="I1171" s="67"/>
      <c r="J1171" s="147"/>
    </row>
    <row r="1172">
      <c r="A1172" s="146">
        <v>1171.0</v>
      </c>
      <c r="B1172" s="13" t="s">
        <v>208</v>
      </c>
      <c r="C1172" s="13" t="s">
        <v>208</v>
      </c>
      <c r="D1172" s="13" t="s">
        <v>208</v>
      </c>
      <c r="E1172" s="13" t="s">
        <v>208</v>
      </c>
      <c r="F1172" s="13" t="s">
        <v>208</v>
      </c>
      <c r="G1172" s="67"/>
      <c r="H1172" s="67"/>
      <c r="I1172" s="67"/>
      <c r="J1172" s="147"/>
    </row>
    <row r="1173">
      <c r="A1173" s="146">
        <v>1172.0</v>
      </c>
      <c r="B1173" s="13" t="s">
        <v>208</v>
      </c>
      <c r="C1173" s="13" t="s">
        <v>208</v>
      </c>
      <c r="D1173" s="13" t="s">
        <v>208</v>
      </c>
      <c r="E1173" s="13" t="s">
        <v>208</v>
      </c>
      <c r="F1173" s="13" t="s">
        <v>208</v>
      </c>
      <c r="G1173" s="67"/>
      <c r="H1173" s="67"/>
      <c r="I1173" s="67"/>
      <c r="J1173" s="147"/>
    </row>
    <row r="1174">
      <c r="A1174" s="146">
        <v>1173.0</v>
      </c>
      <c r="B1174" s="67"/>
      <c r="C1174" s="13" t="s">
        <v>208</v>
      </c>
      <c r="D1174" s="13" t="s">
        <v>208</v>
      </c>
      <c r="E1174" s="13" t="s">
        <v>208</v>
      </c>
      <c r="F1174" s="67"/>
      <c r="G1174" s="13" t="s">
        <v>208</v>
      </c>
      <c r="H1174" s="67"/>
      <c r="I1174" s="67"/>
      <c r="J1174" s="147"/>
    </row>
    <row r="1175">
      <c r="A1175" s="146">
        <v>1174.0</v>
      </c>
      <c r="B1175" s="13" t="s">
        <v>208</v>
      </c>
      <c r="C1175" s="13" t="s">
        <v>208</v>
      </c>
      <c r="D1175" s="13" t="s">
        <v>208</v>
      </c>
      <c r="E1175" s="13" t="s">
        <v>208</v>
      </c>
      <c r="F1175" s="13" t="s">
        <v>208</v>
      </c>
      <c r="G1175" s="67"/>
      <c r="H1175" s="67"/>
      <c r="I1175" s="67"/>
      <c r="J1175" s="147"/>
    </row>
    <row r="1176">
      <c r="A1176" s="146">
        <v>1175.0</v>
      </c>
      <c r="B1176" s="13" t="s">
        <v>208</v>
      </c>
      <c r="C1176" s="13" t="s">
        <v>208</v>
      </c>
      <c r="D1176" s="13" t="s">
        <v>208</v>
      </c>
      <c r="E1176" s="13" t="s">
        <v>208</v>
      </c>
      <c r="F1176" s="13" t="s">
        <v>208</v>
      </c>
      <c r="G1176" s="67"/>
      <c r="H1176" s="67"/>
      <c r="I1176" s="67"/>
      <c r="J1176" s="147"/>
    </row>
    <row r="1177">
      <c r="A1177" s="146">
        <v>1176.0</v>
      </c>
      <c r="B1177" s="13" t="s">
        <v>208</v>
      </c>
      <c r="C1177" s="13" t="s">
        <v>208</v>
      </c>
      <c r="D1177" s="13" t="s">
        <v>208</v>
      </c>
      <c r="E1177" s="13" t="s">
        <v>208</v>
      </c>
      <c r="F1177" s="13" t="s">
        <v>208</v>
      </c>
      <c r="G1177" s="67"/>
      <c r="H1177" s="67"/>
      <c r="I1177" s="67"/>
      <c r="J1177" s="147"/>
    </row>
    <row r="1178">
      <c r="A1178" s="146">
        <v>1177.0</v>
      </c>
      <c r="B1178" s="67"/>
      <c r="C1178" s="13" t="s">
        <v>208</v>
      </c>
      <c r="D1178" s="13" t="s">
        <v>208</v>
      </c>
      <c r="E1178" s="13" t="s">
        <v>208</v>
      </c>
      <c r="F1178" s="67"/>
      <c r="G1178" s="13" t="s">
        <v>208</v>
      </c>
      <c r="H1178" s="67"/>
      <c r="I1178" s="67"/>
      <c r="J1178" s="147"/>
    </row>
    <row r="1179">
      <c r="A1179" s="146">
        <v>1178.0</v>
      </c>
      <c r="B1179" s="13" t="s">
        <v>208</v>
      </c>
      <c r="C1179" s="13" t="s">
        <v>208</v>
      </c>
      <c r="D1179" s="13" t="s">
        <v>208</v>
      </c>
      <c r="E1179" s="13" t="s">
        <v>208</v>
      </c>
      <c r="F1179" s="13" t="s">
        <v>208</v>
      </c>
      <c r="G1179" s="67"/>
      <c r="H1179" s="67"/>
      <c r="I1179" s="67"/>
      <c r="J1179" s="147"/>
    </row>
    <row r="1180">
      <c r="A1180" s="146">
        <v>1179.0</v>
      </c>
      <c r="B1180" s="13" t="s">
        <v>208</v>
      </c>
      <c r="C1180" s="99"/>
      <c r="D1180" s="13" t="s">
        <v>208</v>
      </c>
      <c r="E1180" s="13" t="s">
        <v>208</v>
      </c>
      <c r="F1180" s="13" t="s">
        <v>208</v>
      </c>
      <c r="G1180" s="67"/>
      <c r="H1180" s="67"/>
      <c r="I1180" s="67"/>
      <c r="J1180" s="147"/>
    </row>
    <row r="1181">
      <c r="A1181" s="146">
        <v>1180.0</v>
      </c>
      <c r="B1181" s="174"/>
      <c r="C1181" s="174"/>
      <c r="D1181" s="174"/>
      <c r="E1181" s="174"/>
      <c r="F1181" s="174"/>
      <c r="G1181" s="187"/>
      <c r="H1181" s="175" t="s">
        <v>217</v>
      </c>
      <c r="I1181" s="67"/>
      <c r="J1181" s="147"/>
    </row>
    <row r="1182">
      <c r="A1182" s="146">
        <v>1181.0</v>
      </c>
      <c r="B1182" s="174"/>
      <c r="C1182" s="174"/>
      <c r="D1182" s="174"/>
      <c r="E1182" s="174"/>
      <c r="F1182" s="174"/>
      <c r="G1182" s="187"/>
      <c r="H1182" s="175" t="s">
        <v>217</v>
      </c>
      <c r="I1182" s="67"/>
      <c r="J1182" s="147"/>
    </row>
    <row r="1183">
      <c r="A1183" s="146">
        <v>1182.0</v>
      </c>
      <c r="B1183" s="13" t="s">
        <v>208</v>
      </c>
      <c r="C1183" s="13" t="s">
        <v>208</v>
      </c>
      <c r="D1183" s="13" t="s">
        <v>208</v>
      </c>
      <c r="E1183" s="13" t="s">
        <v>208</v>
      </c>
      <c r="F1183" s="13" t="s">
        <v>208</v>
      </c>
      <c r="G1183" s="67"/>
      <c r="H1183" s="67"/>
      <c r="I1183" s="67"/>
      <c r="J1183" s="147"/>
    </row>
    <row r="1184">
      <c r="A1184" s="146">
        <v>1183.0</v>
      </c>
      <c r="B1184" s="13" t="s">
        <v>208</v>
      </c>
      <c r="C1184" s="13" t="s">
        <v>208</v>
      </c>
      <c r="D1184" s="13" t="s">
        <v>208</v>
      </c>
      <c r="E1184" s="13" t="s">
        <v>208</v>
      </c>
      <c r="F1184" s="13" t="s">
        <v>208</v>
      </c>
      <c r="G1184" s="67"/>
      <c r="H1184" s="67"/>
      <c r="I1184" s="67"/>
      <c r="J1184" s="147"/>
    </row>
    <row r="1185">
      <c r="A1185" s="146">
        <v>1184.0</v>
      </c>
      <c r="B1185" s="67"/>
      <c r="C1185" s="13" t="s">
        <v>208</v>
      </c>
      <c r="D1185" s="13" t="s">
        <v>208</v>
      </c>
      <c r="E1185" s="13" t="s">
        <v>208</v>
      </c>
      <c r="F1185" s="67"/>
      <c r="G1185" s="13" t="s">
        <v>208</v>
      </c>
      <c r="H1185" s="67"/>
      <c r="I1185" s="67"/>
      <c r="J1185" s="147"/>
    </row>
    <row r="1186">
      <c r="A1186" s="146">
        <v>1185.0</v>
      </c>
      <c r="B1186" s="13" t="s">
        <v>208</v>
      </c>
      <c r="C1186" s="13" t="s">
        <v>208</v>
      </c>
      <c r="D1186" s="13" t="s">
        <v>208</v>
      </c>
      <c r="E1186" s="13" t="s">
        <v>208</v>
      </c>
      <c r="F1186" s="13" t="s">
        <v>208</v>
      </c>
      <c r="G1186" s="67"/>
      <c r="H1186" s="67"/>
      <c r="I1186" s="67"/>
      <c r="J1186" s="147"/>
    </row>
    <row r="1187">
      <c r="A1187" s="146">
        <v>1186.0</v>
      </c>
      <c r="B1187" s="13" t="s">
        <v>208</v>
      </c>
      <c r="C1187" s="13" t="s">
        <v>208</v>
      </c>
      <c r="D1187" s="13" t="s">
        <v>208</v>
      </c>
      <c r="E1187" s="13" t="s">
        <v>208</v>
      </c>
      <c r="F1187" s="13" t="s">
        <v>208</v>
      </c>
      <c r="G1187" s="67"/>
      <c r="H1187" s="67"/>
      <c r="I1187" s="67"/>
      <c r="J1187" s="147"/>
    </row>
    <row r="1188">
      <c r="A1188" s="146">
        <v>1187.0</v>
      </c>
      <c r="B1188" s="67"/>
      <c r="C1188" s="13" t="s">
        <v>208</v>
      </c>
      <c r="D1188" s="13" t="s">
        <v>208</v>
      </c>
      <c r="E1188" s="13" t="s">
        <v>208</v>
      </c>
      <c r="F1188" s="67"/>
      <c r="G1188" s="13" t="s">
        <v>208</v>
      </c>
      <c r="H1188" s="67"/>
      <c r="I1188" s="67"/>
      <c r="J1188" s="147"/>
    </row>
    <row r="1189">
      <c r="A1189" s="146">
        <v>1188.0</v>
      </c>
      <c r="B1189" s="13" t="s">
        <v>208</v>
      </c>
      <c r="C1189" s="13" t="s">
        <v>208</v>
      </c>
      <c r="D1189" s="13" t="s">
        <v>208</v>
      </c>
      <c r="E1189" s="13" t="s">
        <v>208</v>
      </c>
      <c r="F1189" s="13" t="s">
        <v>208</v>
      </c>
      <c r="G1189" s="67"/>
      <c r="H1189" s="67"/>
      <c r="I1189" s="67"/>
      <c r="J1189" s="147"/>
    </row>
    <row r="1190">
      <c r="A1190" s="146">
        <v>1189.0</v>
      </c>
      <c r="B1190" s="13" t="s">
        <v>208</v>
      </c>
      <c r="C1190" s="99"/>
      <c r="D1190" s="13" t="s">
        <v>208</v>
      </c>
      <c r="E1190" s="13" t="s">
        <v>208</v>
      </c>
      <c r="F1190" s="13" t="s">
        <v>208</v>
      </c>
      <c r="G1190" s="67"/>
      <c r="H1190" s="67"/>
      <c r="I1190" s="67"/>
      <c r="J1190" s="147"/>
    </row>
    <row r="1191">
      <c r="A1191" s="146">
        <v>1190.0</v>
      </c>
      <c r="B1191" s="13" t="s">
        <v>208</v>
      </c>
      <c r="C1191" s="13" t="s">
        <v>208</v>
      </c>
      <c r="D1191" s="13" t="s">
        <v>208</v>
      </c>
      <c r="E1191" s="13" t="s">
        <v>208</v>
      </c>
      <c r="F1191" s="13" t="s">
        <v>208</v>
      </c>
      <c r="G1191" s="67"/>
      <c r="H1191" s="67"/>
      <c r="I1191" s="67"/>
      <c r="J1191" s="147"/>
    </row>
    <row r="1192">
      <c r="A1192" s="146">
        <v>1191.0</v>
      </c>
      <c r="B1192" s="13" t="s">
        <v>208</v>
      </c>
      <c r="C1192" s="13" t="s">
        <v>208</v>
      </c>
      <c r="D1192" s="13" t="s">
        <v>208</v>
      </c>
      <c r="E1192" s="13" t="s">
        <v>208</v>
      </c>
      <c r="F1192" s="13" t="s">
        <v>208</v>
      </c>
      <c r="G1192" s="67"/>
      <c r="H1192" s="67"/>
      <c r="I1192" s="67"/>
      <c r="J1192" s="147"/>
    </row>
    <row r="1193">
      <c r="A1193" s="146">
        <v>1192.0</v>
      </c>
      <c r="B1193" s="13" t="s">
        <v>208</v>
      </c>
      <c r="C1193" s="13" t="s">
        <v>208</v>
      </c>
      <c r="D1193" s="13" t="s">
        <v>208</v>
      </c>
      <c r="E1193" s="13" t="s">
        <v>208</v>
      </c>
      <c r="F1193" s="13" t="s">
        <v>208</v>
      </c>
      <c r="G1193" s="67"/>
      <c r="H1193" s="67"/>
      <c r="I1193" s="67"/>
      <c r="J1193" s="147"/>
    </row>
    <row r="1194">
      <c r="A1194" s="146">
        <v>1193.0</v>
      </c>
      <c r="B1194" s="13" t="s">
        <v>208</v>
      </c>
      <c r="C1194" s="13" t="s">
        <v>208</v>
      </c>
      <c r="D1194" s="13" t="s">
        <v>208</v>
      </c>
      <c r="E1194" s="13" t="s">
        <v>208</v>
      </c>
      <c r="F1194" s="13" t="s">
        <v>208</v>
      </c>
      <c r="G1194" s="67"/>
      <c r="H1194" s="67"/>
      <c r="I1194" s="67"/>
      <c r="J1194" s="147"/>
    </row>
    <row r="1195">
      <c r="A1195" s="146">
        <v>1194.0</v>
      </c>
      <c r="B1195" s="13" t="s">
        <v>208</v>
      </c>
      <c r="C1195" s="13" t="s">
        <v>208</v>
      </c>
      <c r="D1195" s="13" t="s">
        <v>208</v>
      </c>
      <c r="E1195" s="13" t="s">
        <v>208</v>
      </c>
      <c r="F1195" s="13" t="s">
        <v>208</v>
      </c>
      <c r="G1195" s="67"/>
      <c r="H1195" s="67"/>
      <c r="I1195" s="67"/>
      <c r="J1195" s="147"/>
    </row>
    <row r="1196">
      <c r="A1196" s="146">
        <v>1195.0</v>
      </c>
      <c r="B1196" s="13" t="s">
        <v>208</v>
      </c>
      <c r="C1196" s="13" t="s">
        <v>208</v>
      </c>
      <c r="D1196" s="13" t="s">
        <v>208</v>
      </c>
      <c r="E1196" s="13" t="s">
        <v>208</v>
      </c>
      <c r="F1196" s="13" t="s">
        <v>208</v>
      </c>
      <c r="G1196" s="67"/>
      <c r="H1196" s="67"/>
      <c r="I1196" s="67"/>
      <c r="J1196" s="147"/>
    </row>
    <row r="1197">
      <c r="A1197" s="146">
        <v>1196.0</v>
      </c>
      <c r="B1197" s="13" t="s">
        <v>208</v>
      </c>
      <c r="C1197" s="13" t="s">
        <v>208</v>
      </c>
      <c r="D1197" s="13" t="s">
        <v>208</v>
      </c>
      <c r="E1197" s="13" t="s">
        <v>208</v>
      </c>
      <c r="F1197" s="13" t="s">
        <v>208</v>
      </c>
      <c r="G1197" s="67"/>
      <c r="H1197" s="67"/>
      <c r="I1197" s="67"/>
      <c r="J1197" s="147"/>
    </row>
    <row r="1198">
      <c r="A1198" s="146">
        <v>1197.0</v>
      </c>
      <c r="B1198" s="13" t="s">
        <v>208</v>
      </c>
      <c r="C1198" s="13" t="s">
        <v>208</v>
      </c>
      <c r="D1198" s="13" t="s">
        <v>208</v>
      </c>
      <c r="E1198" s="13" t="s">
        <v>208</v>
      </c>
      <c r="F1198" s="13" t="s">
        <v>208</v>
      </c>
      <c r="G1198" s="67"/>
      <c r="H1198" s="67"/>
      <c r="I1198" s="67"/>
      <c r="J1198" s="147"/>
    </row>
    <row r="1199">
      <c r="A1199" s="146">
        <v>1198.0</v>
      </c>
      <c r="B1199" s="13" t="s">
        <v>208</v>
      </c>
      <c r="C1199" s="13" t="s">
        <v>208</v>
      </c>
      <c r="D1199" s="13" t="s">
        <v>208</v>
      </c>
      <c r="E1199" s="13" t="s">
        <v>208</v>
      </c>
      <c r="F1199" s="13" t="s">
        <v>208</v>
      </c>
      <c r="G1199" s="67"/>
      <c r="H1199" s="67"/>
      <c r="I1199" s="67"/>
      <c r="J1199" s="147"/>
    </row>
    <row r="1200">
      <c r="A1200" s="146">
        <v>1199.0</v>
      </c>
      <c r="B1200" s="13" t="s">
        <v>208</v>
      </c>
      <c r="C1200" s="13" t="s">
        <v>208</v>
      </c>
      <c r="D1200" s="13" t="s">
        <v>208</v>
      </c>
      <c r="E1200" s="13" t="s">
        <v>208</v>
      </c>
      <c r="F1200" s="13" t="s">
        <v>208</v>
      </c>
      <c r="G1200" s="67"/>
      <c r="H1200" s="67"/>
      <c r="I1200" s="67"/>
      <c r="J1200" s="147"/>
    </row>
    <row r="1201">
      <c r="A1201" s="146">
        <v>1200.0</v>
      </c>
      <c r="B1201" s="13" t="s">
        <v>208</v>
      </c>
      <c r="C1201" s="99"/>
      <c r="D1201" s="13" t="s">
        <v>208</v>
      </c>
      <c r="E1201" s="13" t="s">
        <v>208</v>
      </c>
      <c r="F1201" s="13" t="s">
        <v>208</v>
      </c>
      <c r="G1201" s="67"/>
      <c r="H1201" s="67"/>
      <c r="I1201" s="67"/>
      <c r="J1201" s="147"/>
    </row>
    <row r="1202">
      <c r="A1202" s="146">
        <v>1201.0</v>
      </c>
      <c r="B1202" s="13" t="s">
        <v>208</v>
      </c>
      <c r="C1202" s="99"/>
      <c r="D1202" s="13" t="s">
        <v>208</v>
      </c>
      <c r="E1202" s="13" t="s">
        <v>208</v>
      </c>
      <c r="F1202" s="13" t="s">
        <v>208</v>
      </c>
      <c r="G1202" s="67"/>
      <c r="H1202" s="67"/>
      <c r="I1202" s="67"/>
      <c r="J1202" s="147"/>
    </row>
    <row r="1203">
      <c r="A1203" s="146">
        <v>1202.0</v>
      </c>
      <c r="B1203" s="13" t="s">
        <v>208</v>
      </c>
      <c r="C1203" s="13" t="s">
        <v>208</v>
      </c>
      <c r="D1203" s="13" t="s">
        <v>208</v>
      </c>
      <c r="E1203" s="13" t="s">
        <v>208</v>
      </c>
      <c r="F1203" s="13" t="s">
        <v>208</v>
      </c>
      <c r="G1203" s="67"/>
      <c r="H1203" s="67"/>
      <c r="I1203" s="67"/>
      <c r="J1203" s="147"/>
    </row>
    <row r="1204">
      <c r="A1204" s="146">
        <v>1203.0</v>
      </c>
      <c r="B1204" s="13" t="s">
        <v>208</v>
      </c>
      <c r="C1204" s="13" t="s">
        <v>208</v>
      </c>
      <c r="D1204" s="13" t="s">
        <v>208</v>
      </c>
      <c r="E1204" s="13" t="s">
        <v>208</v>
      </c>
      <c r="F1204" s="13" t="s">
        <v>208</v>
      </c>
      <c r="G1204" s="67"/>
      <c r="H1204" s="67"/>
      <c r="I1204" s="67"/>
      <c r="J1204" s="147"/>
    </row>
    <row r="1205">
      <c r="A1205" s="146">
        <v>1204.0</v>
      </c>
      <c r="B1205" s="13" t="s">
        <v>208</v>
      </c>
      <c r="C1205" s="13" t="s">
        <v>208</v>
      </c>
      <c r="D1205" s="13" t="s">
        <v>208</v>
      </c>
      <c r="E1205" s="13" t="s">
        <v>208</v>
      </c>
      <c r="F1205" s="13" t="s">
        <v>208</v>
      </c>
      <c r="G1205" s="67"/>
      <c r="H1205" s="67"/>
      <c r="I1205" s="67"/>
      <c r="J1205" s="147"/>
    </row>
    <row r="1206">
      <c r="A1206" s="146">
        <v>1205.0</v>
      </c>
      <c r="B1206" s="13" t="s">
        <v>208</v>
      </c>
      <c r="C1206" s="13" t="s">
        <v>208</v>
      </c>
      <c r="D1206" s="13" t="s">
        <v>208</v>
      </c>
      <c r="E1206" s="13" t="s">
        <v>208</v>
      </c>
      <c r="F1206" s="13" t="s">
        <v>208</v>
      </c>
      <c r="G1206" s="67"/>
      <c r="H1206" s="67"/>
      <c r="I1206" s="67"/>
      <c r="J1206" s="147"/>
    </row>
    <row r="1207">
      <c r="A1207" s="146">
        <v>1206.0</v>
      </c>
      <c r="B1207" s="13" t="s">
        <v>208</v>
      </c>
      <c r="C1207" s="13" t="s">
        <v>208</v>
      </c>
      <c r="D1207" s="13" t="s">
        <v>208</v>
      </c>
      <c r="E1207" s="13" t="s">
        <v>208</v>
      </c>
      <c r="F1207" s="13" t="s">
        <v>208</v>
      </c>
      <c r="G1207" s="67"/>
      <c r="H1207" s="67"/>
      <c r="I1207" s="67"/>
      <c r="J1207" s="147"/>
    </row>
    <row r="1208">
      <c r="A1208" s="146">
        <v>1207.0</v>
      </c>
      <c r="B1208" s="13" t="s">
        <v>208</v>
      </c>
      <c r="C1208" s="13" t="s">
        <v>208</v>
      </c>
      <c r="D1208" s="13" t="s">
        <v>208</v>
      </c>
      <c r="E1208" s="13" t="s">
        <v>208</v>
      </c>
      <c r="F1208" s="13" t="s">
        <v>208</v>
      </c>
      <c r="G1208" s="67"/>
      <c r="H1208" s="67"/>
      <c r="I1208" s="67"/>
      <c r="J1208" s="147"/>
    </row>
    <row r="1209">
      <c r="A1209" s="146">
        <v>1208.0</v>
      </c>
      <c r="B1209" s="13" t="s">
        <v>208</v>
      </c>
      <c r="C1209" s="13" t="s">
        <v>208</v>
      </c>
      <c r="D1209" s="13" t="s">
        <v>208</v>
      </c>
      <c r="E1209" s="13" t="s">
        <v>208</v>
      </c>
      <c r="F1209" s="13" t="s">
        <v>208</v>
      </c>
      <c r="G1209" s="67"/>
      <c r="H1209" s="67"/>
      <c r="I1209" s="67"/>
      <c r="J1209" s="147"/>
    </row>
    <row r="1210">
      <c r="A1210" s="146">
        <v>1209.0</v>
      </c>
      <c r="B1210" s="174"/>
      <c r="C1210" s="174"/>
      <c r="D1210" s="174"/>
      <c r="E1210" s="174"/>
      <c r="F1210" s="174"/>
      <c r="G1210" s="187"/>
      <c r="H1210" s="175" t="s">
        <v>217</v>
      </c>
      <c r="I1210" s="67"/>
      <c r="J1210" s="147"/>
    </row>
    <row r="1211">
      <c r="A1211" s="146">
        <v>1210.0</v>
      </c>
      <c r="B1211" s="13" t="s">
        <v>208</v>
      </c>
      <c r="C1211" s="13" t="s">
        <v>208</v>
      </c>
      <c r="D1211" s="13" t="s">
        <v>208</v>
      </c>
      <c r="E1211" s="13" t="s">
        <v>208</v>
      </c>
      <c r="F1211" s="13" t="s">
        <v>208</v>
      </c>
      <c r="G1211" s="67"/>
      <c r="H1211" s="67"/>
      <c r="I1211" s="67"/>
      <c r="J1211" s="147"/>
    </row>
    <row r="1212">
      <c r="A1212" s="146">
        <v>1211.0</v>
      </c>
      <c r="B1212" s="13" t="s">
        <v>208</v>
      </c>
      <c r="C1212" s="13" t="s">
        <v>208</v>
      </c>
      <c r="D1212" s="13" t="s">
        <v>208</v>
      </c>
      <c r="E1212" s="13" t="s">
        <v>208</v>
      </c>
      <c r="F1212" s="13" t="s">
        <v>208</v>
      </c>
      <c r="G1212" s="67"/>
      <c r="H1212" s="67"/>
      <c r="I1212" s="67"/>
      <c r="J1212" s="147"/>
    </row>
    <row r="1213">
      <c r="A1213" s="146" t="s">
        <v>245</v>
      </c>
      <c r="B1213" s="67"/>
      <c r="C1213" s="67"/>
      <c r="D1213" s="67"/>
      <c r="E1213" s="67"/>
      <c r="F1213" s="67"/>
      <c r="G1213" s="67"/>
      <c r="H1213" s="67"/>
      <c r="I1213" s="13" t="s">
        <v>208</v>
      </c>
      <c r="J1213" s="188" t="s">
        <v>34</v>
      </c>
      <c r="K1213" s="189" t="s">
        <v>33</v>
      </c>
    </row>
    <row r="1214">
      <c r="A1214" s="146" t="s">
        <v>245</v>
      </c>
      <c r="B1214" s="67"/>
      <c r="C1214" s="67"/>
      <c r="D1214" s="67"/>
      <c r="E1214" s="67"/>
      <c r="F1214" s="67"/>
      <c r="G1214" s="67"/>
      <c r="H1214" s="67"/>
      <c r="I1214" s="13" t="s">
        <v>208</v>
      </c>
      <c r="J1214" s="188" t="s">
        <v>49</v>
      </c>
      <c r="K1214" s="189" t="s">
        <v>48</v>
      </c>
    </row>
    <row r="1215">
      <c r="A1215" s="146" t="s">
        <v>245</v>
      </c>
      <c r="B1215" s="67"/>
      <c r="C1215" s="67"/>
      <c r="D1215" s="67"/>
      <c r="E1215" s="67"/>
      <c r="F1215" s="67"/>
      <c r="G1215" s="67"/>
      <c r="H1215" s="67"/>
      <c r="I1215" s="67"/>
      <c r="J1215" s="188" t="s">
        <v>246</v>
      </c>
      <c r="K1215" s="189" t="s">
        <v>247</v>
      </c>
    </row>
    <row r="1216">
      <c r="A1216" s="146" t="s">
        <v>245</v>
      </c>
      <c r="B1216" s="67"/>
      <c r="C1216" s="13" t="s">
        <v>208</v>
      </c>
      <c r="D1216" s="67"/>
      <c r="E1216" s="67"/>
      <c r="F1216" s="67"/>
      <c r="G1216" s="67"/>
      <c r="H1216" s="67"/>
      <c r="I1216" s="13" t="s">
        <v>208</v>
      </c>
      <c r="J1216" s="188" t="s">
        <v>54</v>
      </c>
      <c r="K1216" s="189" t="s">
        <v>53</v>
      </c>
    </row>
    <row r="1217">
      <c r="A1217" s="146" t="s">
        <v>245</v>
      </c>
      <c r="B1217" s="67"/>
      <c r="C1217" s="13" t="s">
        <v>208</v>
      </c>
      <c r="D1217" s="67"/>
      <c r="E1217" s="67"/>
      <c r="F1217" s="67"/>
      <c r="G1217" s="67"/>
      <c r="H1217" s="67"/>
      <c r="I1217" s="13" t="s">
        <v>208</v>
      </c>
      <c r="J1217" s="188" t="s">
        <v>62</v>
      </c>
      <c r="K1217" s="189" t="s">
        <v>61</v>
      </c>
    </row>
    <row r="1218">
      <c r="A1218" s="146" t="s">
        <v>245</v>
      </c>
      <c r="B1218" s="67"/>
      <c r="C1218" s="13" t="s">
        <v>208</v>
      </c>
      <c r="D1218" s="67"/>
      <c r="E1218" s="67"/>
      <c r="F1218" s="67"/>
      <c r="G1218" s="67"/>
      <c r="H1218" s="67"/>
      <c r="I1218" s="13" t="s">
        <v>208</v>
      </c>
      <c r="J1218" s="188" t="s">
        <v>64</v>
      </c>
      <c r="K1218" s="189" t="s">
        <v>61</v>
      </c>
    </row>
    <row r="1219">
      <c r="A1219" s="146" t="s">
        <v>245</v>
      </c>
      <c r="B1219" s="67"/>
      <c r="C1219" s="13" t="s">
        <v>208</v>
      </c>
      <c r="D1219" s="67"/>
      <c r="E1219" s="67"/>
      <c r="F1219" s="67"/>
      <c r="G1219" s="67"/>
      <c r="H1219" s="67"/>
      <c r="I1219" s="13" t="s">
        <v>208</v>
      </c>
      <c r="J1219" s="188" t="s">
        <v>72</v>
      </c>
      <c r="K1219" s="189" t="s">
        <v>61</v>
      </c>
    </row>
    <row r="1220">
      <c r="A1220" s="146" t="s">
        <v>245</v>
      </c>
      <c r="B1220" s="67"/>
      <c r="C1220" s="13" t="s">
        <v>208</v>
      </c>
      <c r="D1220" s="67"/>
      <c r="E1220" s="67"/>
      <c r="F1220" s="67"/>
      <c r="G1220" s="67"/>
      <c r="H1220" s="67"/>
      <c r="I1220" s="13" t="s">
        <v>208</v>
      </c>
      <c r="J1220" s="188" t="s">
        <v>90</v>
      </c>
      <c r="K1220" s="189" t="s">
        <v>61</v>
      </c>
    </row>
    <row r="1221">
      <c r="A1221" s="146" t="s">
        <v>245</v>
      </c>
      <c r="B1221" s="13" t="s">
        <v>208</v>
      </c>
      <c r="C1221" s="13" t="s">
        <v>208</v>
      </c>
      <c r="D1221" s="67"/>
      <c r="E1221" s="13" t="s">
        <v>208</v>
      </c>
      <c r="F1221" s="13" t="s">
        <v>208</v>
      </c>
      <c r="G1221" s="67"/>
      <c r="H1221" s="67"/>
      <c r="I1221" s="13" t="s">
        <v>208</v>
      </c>
      <c r="J1221" s="188" t="s">
        <v>99</v>
      </c>
      <c r="K1221" s="189" t="s">
        <v>98</v>
      </c>
    </row>
    <row r="1222">
      <c r="A1222" s="146" t="s">
        <v>245</v>
      </c>
      <c r="B1222" s="13" t="s">
        <v>208</v>
      </c>
      <c r="C1222" s="13" t="s">
        <v>208</v>
      </c>
      <c r="D1222" s="67"/>
      <c r="E1222" s="13" t="s">
        <v>208</v>
      </c>
      <c r="F1222" s="13" t="s">
        <v>208</v>
      </c>
      <c r="G1222" s="67"/>
      <c r="H1222" s="67"/>
      <c r="I1222" s="13" t="s">
        <v>208</v>
      </c>
      <c r="J1222" s="188" t="s">
        <v>107</v>
      </c>
      <c r="K1222" s="189" t="s">
        <v>104</v>
      </c>
    </row>
    <row r="1223">
      <c r="A1223" s="146" t="s">
        <v>245</v>
      </c>
      <c r="B1223" s="67"/>
      <c r="C1223" s="13" t="s">
        <v>208</v>
      </c>
      <c r="D1223" s="67"/>
      <c r="E1223" s="67"/>
      <c r="F1223" s="67"/>
      <c r="G1223" s="67"/>
      <c r="H1223" s="67"/>
      <c r="I1223" s="13" t="s">
        <v>208</v>
      </c>
      <c r="J1223" s="188" t="s">
        <v>113</v>
      </c>
      <c r="K1223" s="189" t="s">
        <v>112</v>
      </c>
    </row>
    <row r="1224">
      <c r="A1224" s="146" t="s">
        <v>245</v>
      </c>
      <c r="B1224" s="67"/>
      <c r="C1224" s="13"/>
      <c r="D1224" s="67"/>
      <c r="E1224" s="67"/>
      <c r="F1224" s="67"/>
      <c r="G1224" s="67"/>
      <c r="H1224" s="67"/>
      <c r="I1224" s="13" t="s">
        <v>208</v>
      </c>
      <c r="J1224" s="188" t="s">
        <v>116</v>
      </c>
      <c r="K1224" s="189" t="s">
        <v>115</v>
      </c>
    </row>
    <row r="1225">
      <c r="A1225" s="146" t="s">
        <v>245</v>
      </c>
      <c r="B1225" s="67"/>
      <c r="C1225" s="13" t="s">
        <v>208</v>
      </c>
      <c r="D1225" s="67"/>
      <c r="E1225" s="67"/>
      <c r="F1225" s="67"/>
      <c r="G1225" s="67"/>
      <c r="H1225" s="67"/>
      <c r="I1225" s="13" t="s">
        <v>208</v>
      </c>
      <c r="J1225" s="188" t="s">
        <v>119</v>
      </c>
      <c r="K1225" s="189" t="s">
        <v>118</v>
      </c>
    </row>
    <row r="1226">
      <c r="A1226" s="146" t="s">
        <v>245</v>
      </c>
      <c r="B1226" s="67"/>
      <c r="C1226" s="13" t="s">
        <v>208</v>
      </c>
      <c r="D1226" s="67"/>
      <c r="E1226" s="67"/>
      <c r="F1226" s="67"/>
      <c r="G1226" s="67"/>
      <c r="H1226" s="67"/>
      <c r="I1226" s="13" t="s">
        <v>208</v>
      </c>
      <c r="J1226" s="188" t="s">
        <v>122</v>
      </c>
      <c r="K1226" s="189" t="s">
        <v>118</v>
      </c>
    </row>
    <row r="1227">
      <c r="A1227" s="146" t="s">
        <v>245</v>
      </c>
      <c r="B1227" s="67"/>
      <c r="C1227" s="13" t="s">
        <v>208</v>
      </c>
      <c r="D1227" s="67"/>
      <c r="E1227" s="67"/>
      <c r="F1227" s="67"/>
      <c r="G1227" s="67"/>
      <c r="H1227" s="67"/>
      <c r="I1227" s="13" t="s">
        <v>208</v>
      </c>
      <c r="J1227" s="188" t="s">
        <v>125</v>
      </c>
      <c r="K1227" s="189" t="s">
        <v>124</v>
      </c>
    </row>
    <row r="1228">
      <c r="A1228" s="146" t="s">
        <v>245</v>
      </c>
      <c r="B1228" s="13" t="s">
        <v>208</v>
      </c>
      <c r="C1228" s="13" t="s">
        <v>208</v>
      </c>
      <c r="D1228" s="67"/>
      <c r="E1228" s="13" t="s">
        <v>208</v>
      </c>
      <c r="F1228" s="13" t="s">
        <v>208</v>
      </c>
      <c r="G1228" s="67"/>
      <c r="H1228" s="67"/>
      <c r="I1228" s="67"/>
      <c r="J1228" s="188" t="s">
        <v>248</v>
      </c>
      <c r="K1228" s="189" t="s">
        <v>142</v>
      </c>
    </row>
    <row r="1229">
      <c r="A1229" s="146" t="s">
        <v>245</v>
      </c>
      <c r="B1229" s="67"/>
      <c r="C1229" s="13" t="s">
        <v>208</v>
      </c>
      <c r="D1229" s="67"/>
      <c r="E1229" s="67"/>
      <c r="F1229" s="67"/>
      <c r="G1229" s="67"/>
      <c r="H1229" s="67"/>
      <c r="I1229" s="13" t="s">
        <v>208</v>
      </c>
      <c r="J1229" s="188" t="s">
        <v>143</v>
      </c>
      <c r="K1229" s="189" t="s">
        <v>142</v>
      </c>
    </row>
    <row r="1230">
      <c r="A1230" s="146" t="s">
        <v>245</v>
      </c>
      <c r="B1230" s="67"/>
      <c r="C1230" s="67"/>
      <c r="D1230" s="67"/>
      <c r="E1230" s="67"/>
      <c r="F1230" s="67"/>
      <c r="G1230" s="67"/>
      <c r="H1230" s="67"/>
      <c r="I1230" s="67"/>
      <c r="J1230" s="188" t="s">
        <v>249</v>
      </c>
      <c r="K1230" s="189" t="s">
        <v>124</v>
      </c>
    </row>
    <row r="1231">
      <c r="A1231" s="146" t="s">
        <v>245</v>
      </c>
      <c r="B1231" s="67"/>
      <c r="C1231" s="13" t="s">
        <v>208</v>
      </c>
      <c r="D1231" s="67"/>
      <c r="E1231" s="67"/>
      <c r="F1231" s="67"/>
      <c r="G1231" s="67"/>
      <c r="H1231" s="67"/>
      <c r="I1231" s="13" t="s">
        <v>208</v>
      </c>
      <c r="J1231" s="188" t="s">
        <v>145</v>
      </c>
      <c r="K1231" s="189" t="s">
        <v>144</v>
      </c>
    </row>
    <row r="1232">
      <c r="A1232" s="146" t="s">
        <v>245</v>
      </c>
      <c r="B1232" s="13" t="s">
        <v>208</v>
      </c>
      <c r="C1232" s="13" t="s">
        <v>208</v>
      </c>
      <c r="D1232" s="67"/>
      <c r="E1232" s="13" t="s">
        <v>208</v>
      </c>
      <c r="F1232" s="13" t="s">
        <v>208</v>
      </c>
      <c r="G1232" s="67"/>
      <c r="H1232" s="67"/>
      <c r="I1232" s="67"/>
      <c r="J1232" s="188" t="s">
        <v>250</v>
      </c>
      <c r="K1232" s="189" t="s">
        <v>136</v>
      </c>
    </row>
    <row r="1233">
      <c r="A1233" s="146" t="s">
        <v>245</v>
      </c>
      <c r="B1233" s="13" t="s">
        <v>208</v>
      </c>
      <c r="C1233" s="13" t="s">
        <v>208</v>
      </c>
      <c r="D1233" s="67"/>
      <c r="E1233" s="13" t="s">
        <v>208</v>
      </c>
      <c r="F1233" s="13" t="s">
        <v>208</v>
      </c>
      <c r="G1233" s="67"/>
      <c r="H1233" s="67"/>
      <c r="I1233" s="67"/>
      <c r="J1233" s="188" t="s">
        <v>130</v>
      </c>
      <c r="K1233" s="189" t="s">
        <v>129</v>
      </c>
    </row>
    <row r="1234">
      <c r="A1234" s="146" t="s">
        <v>245</v>
      </c>
      <c r="B1234" s="67"/>
      <c r="C1234" s="13" t="s">
        <v>208</v>
      </c>
      <c r="D1234" s="67"/>
      <c r="E1234" s="67"/>
      <c r="F1234" s="67"/>
      <c r="G1234" s="67"/>
      <c r="H1234" s="67"/>
      <c r="I1234" s="13" t="s">
        <v>208</v>
      </c>
      <c r="J1234" s="188" t="s">
        <v>148</v>
      </c>
      <c r="K1234" s="189" t="s">
        <v>144</v>
      </c>
    </row>
    <row r="1235">
      <c r="A1235" s="146" t="s">
        <v>245</v>
      </c>
      <c r="B1235" s="13" t="s">
        <v>208</v>
      </c>
      <c r="C1235" s="13" t="s">
        <v>208</v>
      </c>
      <c r="D1235" s="67"/>
      <c r="E1235" s="13" t="s">
        <v>208</v>
      </c>
      <c r="F1235" s="13" t="s">
        <v>208</v>
      </c>
      <c r="G1235" s="67"/>
      <c r="H1235" s="67"/>
      <c r="I1235" s="67"/>
      <c r="J1235" s="188" t="s">
        <v>251</v>
      </c>
      <c r="K1235" s="189" t="s">
        <v>136</v>
      </c>
    </row>
    <row r="1236">
      <c r="A1236" s="146" t="s">
        <v>245</v>
      </c>
      <c r="B1236" s="13" t="s">
        <v>208</v>
      </c>
      <c r="C1236" s="13" t="s">
        <v>208</v>
      </c>
      <c r="D1236" s="67"/>
      <c r="E1236" s="67"/>
      <c r="F1236" s="13" t="s">
        <v>208</v>
      </c>
      <c r="G1236" s="67"/>
      <c r="H1236" s="67"/>
      <c r="I1236" s="67"/>
      <c r="J1236" s="188" t="s">
        <v>252</v>
      </c>
      <c r="K1236" s="189" t="s">
        <v>136</v>
      </c>
    </row>
    <row r="1237">
      <c r="A1237" s="146" t="s">
        <v>245</v>
      </c>
      <c r="B1237" s="67"/>
      <c r="C1237" s="13" t="s">
        <v>208</v>
      </c>
      <c r="D1237" s="67"/>
      <c r="E1237" s="67"/>
      <c r="F1237" s="67"/>
      <c r="G1237" s="67"/>
      <c r="H1237" s="67"/>
      <c r="I1237" s="13" t="s">
        <v>208</v>
      </c>
      <c r="J1237" s="188" t="s">
        <v>152</v>
      </c>
      <c r="K1237" s="189" t="s">
        <v>144</v>
      </c>
    </row>
    <row r="1238">
      <c r="A1238" s="146" t="s">
        <v>245</v>
      </c>
      <c r="B1238" s="67"/>
      <c r="C1238" s="67"/>
      <c r="D1238" s="67"/>
      <c r="E1238" s="67"/>
      <c r="F1238" s="67"/>
      <c r="G1238" s="67"/>
      <c r="H1238" s="67"/>
      <c r="I1238" s="67"/>
      <c r="J1238" s="188" t="s">
        <v>167</v>
      </c>
      <c r="K1238" s="189" t="s">
        <v>161</v>
      </c>
    </row>
    <row r="1239">
      <c r="A1239" s="146" t="s">
        <v>245</v>
      </c>
      <c r="B1239" s="67"/>
      <c r="C1239" s="67"/>
      <c r="D1239" s="67"/>
      <c r="E1239" s="67"/>
      <c r="F1239" s="67"/>
      <c r="G1239" s="67"/>
      <c r="H1239" s="67"/>
      <c r="I1239" s="67"/>
      <c r="J1239" s="188" t="s">
        <v>253</v>
      </c>
      <c r="K1239" s="189" t="s">
        <v>161</v>
      </c>
    </row>
    <row r="1240">
      <c r="A1240" s="146" t="s">
        <v>245</v>
      </c>
      <c r="B1240" s="67"/>
      <c r="C1240" s="67"/>
      <c r="D1240" s="67"/>
      <c r="E1240" s="67"/>
      <c r="F1240" s="67"/>
      <c r="G1240" s="67"/>
      <c r="H1240" s="67"/>
      <c r="I1240" s="67"/>
      <c r="J1240" s="188" t="s">
        <v>254</v>
      </c>
      <c r="K1240" s="189" t="s">
        <v>161</v>
      </c>
    </row>
    <row r="1241">
      <c r="A1241" s="146" t="s">
        <v>245</v>
      </c>
      <c r="B1241" s="67"/>
      <c r="C1241" s="13" t="s">
        <v>208</v>
      </c>
      <c r="D1241" s="67"/>
      <c r="E1241" s="67"/>
      <c r="F1241" s="67"/>
      <c r="G1241" s="67"/>
      <c r="H1241" s="67"/>
      <c r="I1241" s="13" t="s">
        <v>208</v>
      </c>
      <c r="J1241" s="188" t="s">
        <v>162</v>
      </c>
      <c r="K1241" s="189" t="s">
        <v>161</v>
      </c>
    </row>
    <row r="1242">
      <c r="A1242" s="146" t="s">
        <v>245</v>
      </c>
      <c r="B1242" s="67"/>
      <c r="C1242" s="67"/>
      <c r="D1242" s="67"/>
      <c r="E1242" s="67"/>
      <c r="F1242" s="67"/>
      <c r="G1242" s="67"/>
      <c r="H1242" s="67"/>
      <c r="I1242" s="67"/>
      <c r="J1242" s="188" t="s">
        <v>255</v>
      </c>
      <c r="K1242" s="189" t="s">
        <v>161</v>
      </c>
    </row>
    <row r="1243">
      <c r="A1243" s="146" t="s">
        <v>245</v>
      </c>
      <c r="B1243" s="67"/>
      <c r="C1243" s="67"/>
      <c r="D1243" s="67"/>
      <c r="E1243" s="67"/>
      <c r="F1243" s="67"/>
      <c r="G1243" s="67"/>
      <c r="H1243" s="67"/>
      <c r="I1243" s="67"/>
      <c r="J1243" s="188" t="s">
        <v>256</v>
      </c>
      <c r="K1243" s="189" t="s">
        <v>161</v>
      </c>
    </row>
    <row r="1244">
      <c r="A1244" s="146" t="s">
        <v>245</v>
      </c>
      <c r="B1244" s="67"/>
      <c r="C1244" s="67"/>
      <c r="D1244" s="67"/>
      <c r="E1244" s="67"/>
      <c r="F1244" s="67"/>
      <c r="G1244" s="67"/>
      <c r="H1244" s="67"/>
      <c r="I1244" s="67"/>
      <c r="J1244" s="188" t="s">
        <v>257</v>
      </c>
      <c r="K1244" s="189" t="s">
        <v>161</v>
      </c>
    </row>
    <row r="1245">
      <c r="A1245" s="146" t="s">
        <v>245</v>
      </c>
      <c r="B1245" s="67"/>
      <c r="C1245" s="67"/>
      <c r="D1245" s="67"/>
      <c r="E1245" s="67"/>
      <c r="F1245" s="67"/>
      <c r="G1245" s="67"/>
      <c r="H1245" s="67"/>
      <c r="I1245" s="67"/>
      <c r="J1245" s="188" t="s">
        <v>169</v>
      </c>
      <c r="K1245" s="189" t="s">
        <v>161</v>
      </c>
    </row>
    <row r="1246">
      <c r="A1246" s="146" t="s">
        <v>245</v>
      </c>
      <c r="B1246" s="13" t="s">
        <v>208</v>
      </c>
      <c r="C1246" s="13" t="s">
        <v>208</v>
      </c>
      <c r="D1246" s="67"/>
      <c r="E1246" s="13" t="s">
        <v>208</v>
      </c>
      <c r="F1246" s="13" t="s">
        <v>208</v>
      </c>
      <c r="G1246" s="67"/>
      <c r="H1246" s="67"/>
      <c r="I1246" s="67"/>
      <c r="J1246" s="188" t="s">
        <v>258</v>
      </c>
      <c r="K1246" s="189" t="s">
        <v>136</v>
      </c>
    </row>
    <row r="1247">
      <c r="A1247" s="146" t="s">
        <v>245</v>
      </c>
      <c r="B1247" s="67"/>
      <c r="C1247" s="13" t="s">
        <v>208</v>
      </c>
      <c r="D1247" s="67"/>
      <c r="E1247" s="67"/>
      <c r="F1247" s="67"/>
      <c r="G1247" s="67"/>
      <c r="H1247" s="67"/>
      <c r="I1247" s="13" t="s">
        <v>208</v>
      </c>
      <c r="J1247" s="188" t="s">
        <v>156</v>
      </c>
      <c r="K1247" s="189" t="s">
        <v>144</v>
      </c>
    </row>
    <row r="1248">
      <c r="A1248" s="146" t="s">
        <v>245</v>
      </c>
      <c r="B1248" s="67"/>
      <c r="C1248" s="13" t="s">
        <v>208</v>
      </c>
      <c r="D1248" s="67"/>
      <c r="E1248" s="67"/>
      <c r="F1248" s="67"/>
      <c r="G1248" s="67"/>
      <c r="H1248" s="67"/>
      <c r="I1248" s="13" t="s">
        <v>208</v>
      </c>
      <c r="J1248" s="188" t="s">
        <v>170</v>
      </c>
      <c r="K1248" s="189" t="s">
        <v>161</v>
      </c>
    </row>
    <row r="1249">
      <c r="A1249" s="146" t="s">
        <v>245</v>
      </c>
      <c r="B1249" s="67"/>
      <c r="C1249" s="67"/>
      <c r="D1249" s="67"/>
      <c r="E1249" s="67"/>
      <c r="F1249" s="67"/>
      <c r="G1249" s="67"/>
      <c r="H1249" s="67"/>
      <c r="I1249" s="67"/>
      <c r="J1249" s="188" t="s">
        <v>259</v>
      </c>
      <c r="K1249" s="189" t="s">
        <v>161</v>
      </c>
    </row>
    <row r="1250">
      <c r="A1250" s="146" t="s">
        <v>245</v>
      </c>
      <c r="B1250" s="67"/>
      <c r="C1250" s="13" t="s">
        <v>208</v>
      </c>
      <c r="D1250" s="67"/>
      <c r="E1250" s="67"/>
      <c r="F1250" s="67"/>
      <c r="G1250" s="67"/>
      <c r="H1250" s="67"/>
      <c r="I1250" s="13" t="s">
        <v>208</v>
      </c>
      <c r="J1250" s="188" t="s">
        <v>171</v>
      </c>
      <c r="K1250" s="189" t="s">
        <v>161</v>
      </c>
    </row>
    <row r="1251">
      <c r="A1251" s="146" t="s">
        <v>245</v>
      </c>
      <c r="B1251" s="67"/>
      <c r="C1251" s="67"/>
      <c r="D1251" s="67"/>
      <c r="E1251" s="67"/>
      <c r="F1251" s="67"/>
      <c r="G1251" s="67"/>
      <c r="H1251" s="67"/>
      <c r="I1251" s="67"/>
      <c r="J1251" s="188" t="s">
        <v>166</v>
      </c>
      <c r="K1251" s="189" t="s">
        <v>161</v>
      </c>
    </row>
    <row r="1252">
      <c r="A1252" s="146" t="s">
        <v>245</v>
      </c>
      <c r="B1252" s="67"/>
      <c r="C1252" s="13" t="s">
        <v>208</v>
      </c>
      <c r="D1252" s="67"/>
      <c r="E1252" s="67"/>
      <c r="F1252" s="67"/>
      <c r="G1252" s="67"/>
      <c r="H1252" s="67"/>
      <c r="I1252" s="13" t="s">
        <v>208</v>
      </c>
      <c r="J1252" s="188" t="s">
        <v>172</v>
      </c>
      <c r="K1252" s="189" t="s">
        <v>161</v>
      </c>
    </row>
    <row r="1253">
      <c r="A1253" s="146" t="s">
        <v>245</v>
      </c>
      <c r="B1253" s="67"/>
      <c r="C1253" s="13" t="s">
        <v>208</v>
      </c>
      <c r="D1253" s="67"/>
      <c r="E1253" s="13" t="s">
        <v>208</v>
      </c>
      <c r="F1253" s="67"/>
      <c r="G1253" s="13" t="s">
        <v>208</v>
      </c>
      <c r="H1253" s="67"/>
      <c r="I1253" s="67"/>
      <c r="J1253" s="188" t="s">
        <v>260</v>
      </c>
      <c r="K1253" s="189" t="s">
        <v>161</v>
      </c>
    </row>
    <row r="1254">
      <c r="A1254" s="146" t="s">
        <v>245</v>
      </c>
      <c r="B1254" s="13" t="s">
        <v>208</v>
      </c>
      <c r="C1254" s="13" t="s">
        <v>208</v>
      </c>
      <c r="D1254" s="67"/>
      <c r="E1254" s="13" t="s">
        <v>208</v>
      </c>
      <c r="F1254" s="13" t="s">
        <v>208</v>
      </c>
      <c r="G1254" s="67"/>
      <c r="H1254" s="67"/>
      <c r="I1254" s="67"/>
      <c r="J1254" s="188" t="s">
        <v>261</v>
      </c>
      <c r="K1254" s="189" t="s">
        <v>262</v>
      </c>
    </row>
    <row r="1255">
      <c r="A1255" s="146" t="s">
        <v>245</v>
      </c>
      <c r="B1255" s="13" t="s">
        <v>208</v>
      </c>
      <c r="C1255" s="13" t="s">
        <v>208</v>
      </c>
      <c r="D1255" s="67"/>
      <c r="E1255" s="13" t="s">
        <v>208</v>
      </c>
      <c r="F1255" s="13" t="s">
        <v>208</v>
      </c>
      <c r="G1255" s="67"/>
      <c r="H1255" s="67"/>
      <c r="I1255" s="67"/>
      <c r="J1255" s="188" t="s">
        <v>263</v>
      </c>
      <c r="K1255" s="189" t="s">
        <v>264</v>
      </c>
    </row>
    <row r="1256">
      <c r="A1256" s="146" t="s">
        <v>245</v>
      </c>
      <c r="B1256" s="67"/>
      <c r="C1256" s="67"/>
      <c r="D1256" s="67"/>
      <c r="E1256" s="67"/>
      <c r="F1256" s="67"/>
      <c r="G1256" s="67"/>
      <c r="H1256" s="67"/>
      <c r="I1256" s="67"/>
      <c r="J1256" s="188" t="s">
        <v>265</v>
      </c>
      <c r="K1256" s="189" t="s">
        <v>161</v>
      </c>
    </row>
    <row r="1257">
      <c r="A1257" s="146" t="s">
        <v>245</v>
      </c>
      <c r="B1257" s="67"/>
      <c r="C1257" s="67"/>
      <c r="D1257" s="67"/>
      <c r="E1257" s="67"/>
      <c r="F1257" s="67"/>
      <c r="G1257" s="67"/>
      <c r="H1257" s="67"/>
      <c r="I1257" s="67"/>
      <c r="J1257" s="188" t="s">
        <v>266</v>
      </c>
      <c r="K1257" s="189" t="s">
        <v>161</v>
      </c>
    </row>
    <row r="1258">
      <c r="A1258" s="146" t="s">
        <v>245</v>
      </c>
      <c r="B1258" s="13" t="s">
        <v>208</v>
      </c>
      <c r="C1258" s="13" t="s">
        <v>208</v>
      </c>
      <c r="D1258" s="67"/>
      <c r="E1258" s="13" t="s">
        <v>208</v>
      </c>
      <c r="F1258" s="13" t="s">
        <v>208</v>
      </c>
      <c r="G1258" s="67"/>
      <c r="H1258" s="67"/>
      <c r="I1258" s="67"/>
      <c r="J1258" s="188" t="s">
        <v>267</v>
      </c>
      <c r="K1258" s="189" t="s">
        <v>136</v>
      </c>
    </row>
    <row r="1259">
      <c r="A1259" s="146" t="s">
        <v>245</v>
      </c>
      <c r="B1259" s="67"/>
      <c r="C1259" s="67"/>
      <c r="D1259" s="67"/>
      <c r="E1259" s="67"/>
      <c r="F1259" s="67"/>
      <c r="G1259" s="67"/>
      <c r="H1259" s="67"/>
      <c r="I1259" s="67"/>
      <c r="J1259" s="188" t="s">
        <v>268</v>
      </c>
      <c r="K1259" s="189" t="s">
        <v>269</v>
      </c>
    </row>
    <row r="1260">
      <c r="A1260" s="146" t="s">
        <v>245</v>
      </c>
      <c r="B1260" s="67"/>
      <c r="C1260" s="67"/>
      <c r="D1260" s="67"/>
      <c r="E1260" s="67"/>
      <c r="F1260" s="67"/>
      <c r="G1260" s="67"/>
      <c r="H1260" s="67"/>
      <c r="I1260" s="67"/>
      <c r="J1260" s="188" t="s">
        <v>270</v>
      </c>
      <c r="K1260" s="189" t="s">
        <v>269</v>
      </c>
    </row>
    <row r="1261">
      <c r="A1261" s="146" t="s">
        <v>245</v>
      </c>
      <c r="B1261" s="67"/>
      <c r="C1261" s="13" t="s">
        <v>208</v>
      </c>
      <c r="D1261" s="67"/>
      <c r="E1261" s="67"/>
      <c r="F1261" s="67"/>
      <c r="G1261" s="67"/>
      <c r="H1261" s="67"/>
      <c r="I1261" s="13" t="s">
        <v>208</v>
      </c>
      <c r="J1261" s="188" t="s">
        <v>159</v>
      </c>
      <c r="K1261" s="189" t="s">
        <v>158</v>
      </c>
    </row>
    <row r="1262">
      <c r="A1262" s="146" t="s">
        <v>245</v>
      </c>
      <c r="B1262" s="67"/>
      <c r="C1262" s="13" t="s">
        <v>208</v>
      </c>
      <c r="D1262" s="67"/>
      <c r="E1262" s="67"/>
      <c r="F1262" s="67"/>
      <c r="G1262" s="67"/>
      <c r="H1262" s="67"/>
      <c r="I1262" s="13" t="s">
        <v>208</v>
      </c>
      <c r="J1262" s="188" t="s">
        <v>271</v>
      </c>
      <c r="K1262" s="189" t="s">
        <v>161</v>
      </c>
    </row>
    <row r="1263">
      <c r="A1263" s="146" t="s">
        <v>245</v>
      </c>
      <c r="B1263" s="67"/>
      <c r="C1263" s="13" t="s">
        <v>208</v>
      </c>
      <c r="D1263" s="67"/>
      <c r="E1263" s="67"/>
      <c r="F1263" s="67"/>
      <c r="G1263" s="67"/>
      <c r="H1263" s="67"/>
      <c r="I1263" s="13" t="s">
        <v>208</v>
      </c>
      <c r="J1263" s="188" t="s">
        <v>272</v>
      </c>
      <c r="K1263" s="189" t="s">
        <v>161</v>
      </c>
    </row>
    <row r="1264">
      <c r="A1264" s="146" t="s">
        <v>245</v>
      </c>
      <c r="B1264" s="67"/>
      <c r="C1264" s="67"/>
      <c r="D1264" s="67"/>
      <c r="E1264" s="67"/>
      <c r="F1264" s="67"/>
      <c r="G1264" s="67"/>
      <c r="H1264" s="67"/>
      <c r="I1264" s="67"/>
      <c r="J1264" s="188" t="s">
        <v>273</v>
      </c>
      <c r="K1264" s="189" t="s">
        <v>274</v>
      </c>
    </row>
    <row r="1265">
      <c r="A1265" s="146" t="s">
        <v>245</v>
      </c>
      <c r="B1265" s="67"/>
      <c r="C1265" s="13" t="s">
        <v>208</v>
      </c>
      <c r="D1265" s="67"/>
      <c r="E1265" s="67"/>
      <c r="F1265" s="67"/>
      <c r="G1265" s="67"/>
      <c r="H1265" s="67"/>
      <c r="I1265" s="13" t="s">
        <v>208</v>
      </c>
      <c r="J1265" s="188" t="s">
        <v>133</v>
      </c>
      <c r="K1265" s="189" t="s">
        <v>129</v>
      </c>
    </row>
    <row r="1266">
      <c r="A1266" s="146" t="s">
        <v>245</v>
      </c>
      <c r="B1266" s="67"/>
      <c r="C1266" s="67"/>
      <c r="D1266" s="67"/>
      <c r="E1266" s="67"/>
      <c r="F1266" s="67"/>
      <c r="G1266" s="67"/>
      <c r="H1266" s="67"/>
      <c r="I1266" s="67"/>
      <c r="J1266" s="188" t="s">
        <v>275</v>
      </c>
      <c r="K1266" s="189" t="s">
        <v>129</v>
      </c>
    </row>
    <row r="1267">
      <c r="A1267" s="146" t="s">
        <v>245</v>
      </c>
      <c r="B1267" s="67"/>
      <c r="C1267" s="67"/>
      <c r="D1267" s="67"/>
      <c r="E1267" s="67"/>
      <c r="F1267" s="67"/>
      <c r="G1267" s="67"/>
      <c r="H1267" s="67"/>
      <c r="I1267" s="67"/>
      <c r="J1267" s="188" t="s">
        <v>276</v>
      </c>
      <c r="K1267" s="189" t="s">
        <v>274</v>
      </c>
    </row>
    <row r="1268">
      <c r="A1268" s="146" t="s">
        <v>245</v>
      </c>
      <c r="B1268" s="67"/>
      <c r="C1268" s="13" t="s">
        <v>208</v>
      </c>
      <c r="D1268" s="67"/>
      <c r="E1268" s="13" t="s">
        <v>208</v>
      </c>
      <c r="F1268" s="67"/>
      <c r="G1268" s="13" t="s">
        <v>208</v>
      </c>
      <c r="H1268" s="67"/>
      <c r="I1268" s="67"/>
      <c r="J1268" s="188" t="s">
        <v>277</v>
      </c>
      <c r="K1268" s="189" t="s">
        <v>278</v>
      </c>
    </row>
    <row r="1269">
      <c r="A1269" s="146" t="s">
        <v>245</v>
      </c>
      <c r="B1269" s="67"/>
      <c r="C1269" s="13" t="s">
        <v>208</v>
      </c>
      <c r="D1269" s="67"/>
      <c r="E1269" s="13" t="s">
        <v>208</v>
      </c>
      <c r="F1269" s="67"/>
      <c r="G1269" s="13" t="s">
        <v>208</v>
      </c>
      <c r="H1269" s="67"/>
      <c r="I1269" s="67"/>
      <c r="J1269" s="188" t="s">
        <v>279</v>
      </c>
      <c r="K1269" s="189" t="s">
        <v>278</v>
      </c>
    </row>
    <row r="1270">
      <c r="A1270" s="146" t="s">
        <v>245</v>
      </c>
      <c r="B1270" s="13" t="s">
        <v>208</v>
      </c>
      <c r="C1270" s="67"/>
      <c r="D1270" s="67"/>
      <c r="E1270" s="67"/>
      <c r="F1270" s="13" t="s">
        <v>208</v>
      </c>
      <c r="G1270" s="67"/>
      <c r="H1270" s="67"/>
      <c r="I1270" s="67"/>
      <c r="J1270" s="188" t="s">
        <v>174</v>
      </c>
    </row>
    <row r="1271">
      <c r="A1271" s="146" t="s">
        <v>245</v>
      </c>
      <c r="B1271" s="13" t="s">
        <v>208</v>
      </c>
      <c r="C1271" s="13" t="s">
        <v>208</v>
      </c>
      <c r="D1271" s="67"/>
      <c r="E1271" s="13" t="s">
        <v>208</v>
      </c>
      <c r="F1271" s="13" t="s">
        <v>208</v>
      </c>
      <c r="G1271" s="67"/>
      <c r="H1271" s="67"/>
      <c r="I1271" s="67"/>
      <c r="J1271" s="188" t="s">
        <v>174</v>
      </c>
    </row>
    <row r="1272">
      <c r="A1272" s="146" t="s">
        <v>245</v>
      </c>
      <c r="B1272" s="67"/>
      <c r="C1272" s="67"/>
      <c r="D1272" s="67"/>
      <c r="E1272" s="13" t="s">
        <v>208</v>
      </c>
      <c r="F1272" s="13" t="s">
        <v>208</v>
      </c>
      <c r="G1272" s="67"/>
      <c r="H1272" s="67"/>
      <c r="I1272" s="67"/>
      <c r="J1272" s="188" t="s">
        <v>174</v>
      </c>
    </row>
    <row r="1273">
      <c r="A1273" s="146" t="s">
        <v>245</v>
      </c>
      <c r="B1273" s="67"/>
      <c r="C1273" s="67"/>
      <c r="D1273" s="67"/>
      <c r="E1273" s="67"/>
      <c r="F1273" s="13"/>
      <c r="G1273" s="67"/>
      <c r="H1273" s="67"/>
      <c r="I1273" s="67"/>
      <c r="J1273" s="188" t="s">
        <v>174</v>
      </c>
    </row>
    <row r="1274">
      <c r="A1274" s="146" t="s">
        <v>245</v>
      </c>
      <c r="B1274" s="67"/>
      <c r="C1274" s="67"/>
      <c r="D1274" s="67"/>
      <c r="E1274" s="67"/>
      <c r="F1274" s="67"/>
      <c r="G1274" s="67"/>
      <c r="H1274" s="67"/>
      <c r="I1274" s="13" t="s">
        <v>208</v>
      </c>
      <c r="J1274" s="188" t="s">
        <v>280</v>
      </c>
    </row>
    <row r="1275">
      <c r="A1275" s="146" t="s">
        <v>245</v>
      </c>
      <c r="B1275" s="67"/>
      <c r="C1275" s="13" t="s">
        <v>208</v>
      </c>
      <c r="D1275" s="67"/>
      <c r="E1275" s="67"/>
      <c r="F1275" s="67"/>
      <c r="G1275" s="67"/>
      <c r="H1275" s="67"/>
      <c r="I1275" s="13" t="s">
        <v>208</v>
      </c>
      <c r="J1275" s="188" t="s">
        <v>281</v>
      </c>
    </row>
    <row r="1276">
      <c r="A1276" s="146" t="s">
        <v>245</v>
      </c>
      <c r="B1276" s="67"/>
      <c r="C1276" s="67"/>
      <c r="D1276" s="67"/>
      <c r="E1276" s="67"/>
      <c r="F1276" s="13" t="s">
        <v>208</v>
      </c>
      <c r="G1276" s="67"/>
      <c r="H1276" s="67"/>
      <c r="I1276" s="67"/>
      <c r="J1276" s="188" t="s">
        <v>282</v>
      </c>
    </row>
    <row r="1277">
      <c r="A1277" s="146" t="s">
        <v>245</v>
      </c>
      <c r="B1277" s="67"/>
      <c r="C1277" s="67"/>
      <c r="D1277" s="67"/>
      <c r="E1277" s="67"/>
      <c r="F1277" s="13" t="s">
        <v>208</v>
      </c>
      <c r="G1277" s="67"/>
      <c r="H1277" s="67"/>
      <c r="I1277" s="67"/>
      <c r="J1277" s="188" t="s">
        <v>282</v>
      </c>
    </row>
    <row r="1278">
      <c r="A1278" s="148"/>
      <c r="B1278" s="75"/>
      <c r="C1278" s="75"/>
      <c r="D1278" s="75"/>
      <c r="E1278" s="75"/>
      <c r="F1278" s="75"/>
      <c r="G1278" s="75"/>
      <c r="H1278" s="75"/>
      <c r="I1278" s="75"/>
      <c r="J1278" s="191"/>
    </row>
    <row r="1279">
      <c r="A1279" s="148"/>
      <c r="B1279" s="75"/>
      <c r="C1279" s="75"/>
      <c r="D1279" s="75"/>
      <c r="E1279" s="75"/>
      <c r="F1279" s="75"/>
      <c r="G1279" s="75"/>
      <c r="H1279" s="75"/>
      <c r="I1279" s="75"/>
      <c r="J1279" s="191"/>
    </row>
    <row r="1280">
      <c r="A1280" s="148"/>
      <c r="B1280" s="75"/>
      <c r="C1280" s="75"/>
      <c r="D1280" s="75"/>
      <c r="E1280" s="75"/>
      <c r="F1280" s="75"/>
      <c r="G1280" s="75"/>
      <c r="H1280" s="75"/>
      <c r="I1280" s="75"/>
      <c r="J1280" s="191"/>
    </row>
    <row r="1281">
      <c r="A1281" s="148"/>
      <c r="B1281" s="75"/>
      <c r="C1281" s="75"/>
      <c r="D1281" s="75"/>
      <c r="E1281" s="75"/>
      <c r="F1281" s="75"/>
      <c r="G1281" s="75"/>
      <c r="H1281" s="75"/>
      <c r="I1281" s="75"/>
      <c r="J1281" s="191"/>
    </row>
    <row r="1282">
      <c r="A1282" s="148"/>
      <c r="B1282" s="75"/>
      <c r="C1282" s="75"/>
      <c r="D1282" s="75"/>
      <c r="E1282" s="75"/>
      <c r="F1282" s="75"/>
      <c r="G1282" s="75"/>
      <c r="H1282" s="75"/>
      <c r="I1282" s="75"/>
      <c r="J1282" s="191"/>
    </row>
    <row r="1283">
      <c r="A1283" s="148"/>
      <c r="B1283" s="75"/>
      <c r="C1283" s="75"/>
      <c r="D1283" s="75"/>
      <c r="E1283" s="75"/>
      <c r="F1283" s="75"/>
      <c r="G1283" s="75"/>
      <c r="H1283" s="75"/>
      <c r="I1283" s="75"/>
      <c r="J1283" s="191"/>
    </row>
    <row r="1284">
      <c r="A1284" s="148"/>
      <c r="B1284" s="75"/>
      <c r="C1284" s="75"/>
      <c r="D1284" s="75"/>
      <c r="E1284" s="75"/>
      <c r="F1284" s="75"/>
      <c r="G1284" s="75"/>
      <c r="H1284" s="75"/>
      <c r="I1284" s="75"/>
      <c r="J1284" s="191"/>
    </row>
    <row r="1285">
      <c r="A1285" s="148"/>
      <c r="B1285" s="75"/>
      <c r="C1285" s="75"/>
      <c r="D1285" s="75"/>
      <c r="E1285" s="75"/>
      <c r="F1285" s="75"/>
      <c r="G1285" s="75"/>
      <c r="H1285" s="75"/>
      <c r="I1285" s="75"/>
      <c r="J1285" s="191"/>
    </row>
    <row r="1286">
      <c r="A1286" s="148"/>
      <c r="B1286" s="75"/>
      <c r="C1286" s="75"/>
      <c r="D1286" s="75"/>
      <c r="E1286" s="75"/>
      <c r="F1286" s="75"/>
      <c r="G1286" s="75"/>
      <c r="H1286" s="75"/>
      <c r="I1286" s="75"/>
      <c r="J1286" s="191"/>
    </row>
    <row r="1287">
      <c r="A1287" s="148"/>
      <c r="B1287" s="75"/>
      <c r="C1287" s="75"/>
      <c r="D1287" s="75"/>
      <c r="E1287" s="75"/>
      <c r="F1287" s="75"/>
      <c r="G1287" s="75"/>
      <c r="H1287" s="75"/>
      <c r="I1287" s="75"/>
      <c r="J1287" s="191"/>
    </row>
    <row r="1288">
      <c r="A1288" s="148"/>
      <c r="B1288" s="75"/>
      <c r="C1288" s="75"/>
      <c r="D1288" s="75"/>
      <c r="E1288" s="75"/>
      <c r="F1288" s="75"/>
      <c r="G1288" s="75"/>
      <c r="H1288" s="75"/>
      <c r="I1288" s="75"/>
      <c r="J1288" s="191"/>
    </row>
    <row r="1289">
      <c r="A1289" s="148"/>
      <c r="B1289" s="75"/>
      <c r="C1289" s="75"/>
      <c r="D1289" s="75"/>
      <c r="E1289" s="75"/>
      <c r="F1289" s="75"/>
      <c r="G1289" s="75"/>
      <c r="H1289" s="75"/>
      <c r="I1289" s="75"/>
      <c r="J1289" s="191"/>
    </row>
    <row r="1290">
      <c r="A1290" s="148"/>
      <c r="B1290" s="75"/>
      <c r="C1290" s="75"/>
      <c r="D1290" s="75"/>
      <c r="E1290" s="75"/>
      <c r="F1290" s="75"/>
      <c r="G1290" s="75"/>
      <c r="H1290" s="75"/>
      <c r="I1290" s="75"/>
      <c r="J1290" s="191"/>
    </row>
    <row r="1291">
      <c r="A1291" s="148"/>
      <c r="B1291" s="75"/>
      <c r="C1291" s="75"/>
      <c r="D1291" s="75"/>
      <c r="E1291" s="75"/>
      <c r="F1291" s="75"/>
      <c r="G1291" s="75"/>
      <c r="H1291" s="75"/>
      <c r="I1291" s="75"/>
      <c r="J1291" s="191"/>
    </row>
    <row r="1292">
      <c r="A1292" s="148"/>
      <c r="B1292" s="75"/>
      <c r="C1292" s="75"/>
      <c r="D1292" s="75"/>
      <c r="E1292" s="75"/>
      <c r="F1292" s="75"/>
      <c r="G1292" s="75"/>
      <c r="H1292" s="75"/>
      <c r="I1292" s="75"/>
      <c r="J1292" s="191"/>
    </row>
    <row r="1293">
      <c r="A1293" s="148"/>
      <c r="B1293" s="75"/>
      <c r="C1293" s="75"/>
      <c r="D1293" s="75"/>
      <c r="E1293" s="75"/>
      <c r="F1293" s="75"/>
      <c r="G1293" s="75"/>
      <c r="H1293" s="75"/>
      <c r="I1293" s="75"/>
      <c r="J1293" s="191"/>
    </row>
    <row r="1294">
      <c r="A1294" s="148"/>
      <c r="B1294" s="75"/>
      <c r="C1294" s="75"/>
      <c r="D1294" s="75"/>
      <c r="E1294" s="75"/>
      <c r="F1294" s="75"/>
      <c r="G1294" s="75"/>
      <c r="H1294" s="75"/>
      <c r="I1294" s="75"/>
      <c r="J1294" s="191"/>
    </row>
    <row r="1295">
      <c r="A1295" s="148"/>
      <c r="B1295" s="75"/>
      <c r="C1295" s="75"/>
      <c r="D1295" s="75"/>
      <c r="E1295" s="75"/>
      <c r="F1295" s="75"/>
      <c r="G1295" s="75"/>
      <c r="H1295" s="75"/>
      <c r="I1295" s="75"/>
      <c r="J1295" s="191"/>
    </row>
    <row r="1296">
      <c r="A1296" s="148"/>
      <c r="B1296" s="75"/>
      <c r="C1296" s="75"/>
      <c r="D1296" s="75"/>
      <c r="E1296" s="75"/>
      <c r="F1296" s="75"/>
      <c r="G1296" s="75"/>
      <c r="H1296" s="75"/>
      <c r="I1296" s="75"/>
      <c r="J1296" s="191"/>
    </row>
    <row r="1297">
      <c r="A1297" s="148"/>
      <c r="B1297" s="75"/>
      <c r="C1297" s="75"/>
      <c r="D1297" s="75"/>
      <c r="E1297" s="75"/>
      <c r="F1297" s="75"/>
      <c r="G1297" s="75"/>
      <c r="H1297" s="75"/>
      <c r="I1297" s="75"/>
      <c r="J1297" s="191"/>
    </row>
    <row r="1298">
      <c r="A1298" s="148"/>
      <c r="B1298" s="75"/>
      <c r="C1298" s="75"/>
      <c r="D1298" s="75"/>
      <c r="E1298" s="75"/>
      <c r="F1298" s="75"/>
      <c r="G1298" s="75"/>
      <c r="H1298" s="75"/>
      <c r="I1298" s="75"/>
      <c r="J1298" s="191"/>
    </row>
    <row r="1299">
      <c r="A1299" s="148"/>
      <c r="B1299" s="75"/>
      <c r="C1299" s="75"/>
      <c r="D1299" s="75"/>
      <c r="E1299" s="75"/>
      <c r="F1299" s="75"/>
      <c r="G1299" s="75"/>
      <c r="H1299" s="75"/>
      <c r="I1299" s="75"/>
      <c r="J1299" s="191"/>
    </row>
    <row r="1300">
      <c r="A1300" s="148"/>
      <c r="B1300" s="75"/>
      <c r="C1300" s="75"/>
      <c r="D1300" s="75"/>
      <c r="E1300" s="75"/>
      <c r="F1300" s="75"/>
      <c r="G1300" s="75"/>
      <c r="H1300" s="75"/>
      <c r="I1300" s="75"/>
      <c r="J1300" s="191"/>
    </row>
    <row r="1301">
      <c r="A1301" s="148"/>
      <c r="B1301" s="75"/>
      <c r="C1301" s="75"/>
      <c r="D1301" s="75"/>
      <c r="E1301" s="75"/>
      <c r="F1301" s="75"/>
      <c r="G1301" s="75"/>
      <c r="H1301" s="75"/>
      <c r="I1301" s="75"/>
      <c r="J1301" s="191"/>
    </row>
    <row r="1302">
      <c r="A1302" s="148"/>
      <c r="B1302" s="75"/>
      <c r="C1302" s="75"/>
      <c r="D1302" s="75"/>
      <c r="E1302" s="75"/>
      <c r="F1302" s="75"/>
      <c r="G1302" s="75"/>
      <c r="H1302" s="75"/>
      <c r="I1302" s="75"/>
      <c r="J1302" s="191"/>
    </row>
    <row r="1303">
      <c r="A1303" s="148"/>
      <c r="B1303" s="75"/>
      <c r="C1303" s="75"/>
      <c r="D1303" s="75"/>
      <c r="E1303" s="75"/>
      <c r="F1303" s="75"/>
      <c r="G1303" s="75"/>
      <c r="H1303" s="75"/>
      <c r="I1303" s="75"/>
      <c r="J1303" s="191"/>
    </row>
    <row r="1304">
      <c r="A1304" s="148"/>
      <c r="B1304" s="75"/>
      <c r="C1304" s="75"/>
      <c r="D1304" s="75"/>
      <c r="E1304" s="75"/>
      <c r="F1304" s="75"/>
      <c r="G1304" s="75"/>
      <c r="H1304" s="75"/>
      <c r="I1304" s="75"/>
      <c r="J1304" s="191"/>
    </row>
    <row r="1305">
      <c r="A1305" s="148"/>
      <c r="B1305" s="75"/>
      <c r="C1305" s="75"/>
      <c r="D1305" s="75"/>
      <c r="E1305" s="75"/>
      <c r="F1305" s="75"/>
      <c r="G1305" s="75"/>
      <c r="H1305" s="75"/>
      <c r="I1305" s="75"/>
      <c r="J1305" s="191"/>
    </row>
    <row r="1306">
      <c r="A1306" s="148"/>
      <c r="B1306" s="75"/>
      <c r="C1306" s="75"/>
      <c r="D1306" s="75"/>
      <c r="E1306" s="75"/>
      <c r="F1306" s="75"/>
      <c r="G1306" s="75"/>
      <c r="H1306" s="75"/>
      <c r="I1306" s="75"/>
      <c r="J1306" s="191"/>
    </row>
    <row r="1307">
      <c r="A1307" s="148"/>
      <c r="B1307" s="75"/>
      <c r="C1307" s="75"/>
      <c r="D1307" s="75"/>
      <c r="E1307" s="75"/>
      <c r="F1307" s="75"/>
      <c r="G1307" s="75"/>
      <c r="H1307" s="75"/>
      <c r="I1307" s="75"/>
      <c r="J1307" s="191"/>
    </row>
    <row r="1308">
      <c r="A1308" s="148"/>
      <c r="B1308" s="75"/>
      <c r="C1308" s="75"/>
      <c r="D1308" s="75"/>
      <c r="E1308" s="75"/>
      <c r="F1308" s="75"/>
      <c r="G1308" s="75"/>
      <c r="H1308" s="75"/>
      <c r="I1308" s="75"/>
      <c r="J1308" s="191"/>
    </row>
    <row r="1309">
      <c r="A1309" s="148"/>
      <c r="B1309" s="75"/>
      <c r="C1309" s="75"/>
      <c r="D1309" s="75"/>
      <c r="E1309" s="75"/>
      <c r="F1309" s="75"/>
      <c r="G1309" s="75"/>
      <c r="H1309" s="75"/>
      <c r="I1309" s="75"/>
      <c r="J1309" s="191"/>
    </row>
    <row r="1310">
      <c r="A1310" s="148"/>
      <c r="B1310" s="75"/>
      <c r="C1310" s="75"/>
      <c r="D1310" s="75"/>
      <c r="E1310" s="75"/>
      <c r="F1310" s="75"/>
      <c r="G1310" s="75"/>
      <c r="H1310" s="75"/>
      <c r="I1310" s="75"/>
      <c r="J1310" s="191"/>
    </row>
    <row r="1311">
      <c r="A1311" s="148"/>
      <c r="B1311" s="75"/>
      <c r="C1311" s="75"/>
      <c r="D1311" s="75"/>
      <c r="E1311" s="75"/>
      <c r="F1311" s="75"/>
      <c r="G1311" s="75"/>
      <c r="H1311" s="75"/>
      <c r="I1311" s="75"/>
      <c r="J1311" s="191"/>
    </row>
    <row r="1312">
      <c r="A1312" s="148"/>
      <c r="B1312" s="75"/>
      <c r="C1312" s="75"/>
      <c r="D1312" s="75"/>
      <c r="E1312" s="75"/>
      <c r="F1312" s="75"/>
      <c r="G1312" s="75"/>
      <c r="H1312" s="75"/>
      <c r="I1312" s="75"/>
      <c r="J1312" s="191"/>
    </row>
    <row r="1313">
      <c r="A1313" s="148"/>
      <c r="B1313" s="75"/>
      <c r="C1313" s="75"/>
      <c r="D1313" s="75"/>
      <c r="E1313" s="75"/>
      <c r="F1313" s="75"/>
      <c r="G1313" s="75"/>
      <c r="H1313" s="75"/>
      <c r="I1313" s="75"/>
      <c r="J1313" s="191"/>
    </row>
    <row r="1314">
      <c r="A1314" s="148"/>
      <c r="B1314" s="75"/>
      <c r="C1314" s="75"/>
      <c r="D1314" s="75"/>
      <c r="E1314" s="75"/>
      <c r="F1314" s="75"/>
      <c r="G1314" s="75"/>
      <c r="H1314" s="75"/>
      <c r="I1314" s="75"/>
      <c r="J1314" s="191"/>
    </row>
    <row r="1315">
      <c r="A1315" s="148"/>
      <c r="B1315" s="75"/>
      <c r="C1315" s="75"/>
      <c r="D1315" s="75"/>
      <c r="E1315" s="75"/>
      <c r="F1315" s="75"/>
      <c r="G1315" s="75"/>
      <c r="H1315" s="75"/>
      <c r="I1315" s="75"/>
      <c r="J1315" s="191"/>
    </row>
    <row r="1316">
      <c r="A1316" s="148"/>
      <c r="B1316" s="75"/>
      <c r="C1316" s="75"/>
      <c r="D1316" s="75"/>
      <c r="E1316" s="75"/>
      <c r="F1316" s="75"/>
      <c r="G1316" s="75"/>
      <c r="H1316" s="75"/>
      <c r="I1316" s="75"/>
      <c r="J1316" s="191"/>
    </row>
    <row r="1317">
      <c r="A1317" s="148"/>
      <c r="B1317" s="75"/>
      <c r="C1317" s="75"/>
      <c r="D1317" s="75"/>
      <c r="E1317" s="75"/>
      <c r="F1317" s="75"/>
      <c r="G1317" s="75"/>
      <c r="H1317" s="75"/>
      <c r="I1317" s="75"/>
      <c r="J1317" s="191"/>
    </row>
    <row r="1318">
      <c r="A1318" s="148"/>
      <c r="B1318" s="75"/>
      <c r="C1318" s="75"/>
      <c r="D1318" s="75"/>
      <c r="E1318" s="75"/>
      <c r="F1318" s="75"/>
      <c r="G1318" s="75"/>
      <c r="H1318" s="75"/>
      <c r="I1318" s="75"/>
      <c r="J1318" s="191"/>
    </row>
    <row r="1319">
      <c r="A1319" s="148"/>
      <c r="B1319" s="75"/>
      <c r="C1319" s="75"/>
      <c r="D1319" s="75"/>
      <c r="E1319" s="75"/>
      <c r="F1319" s="75"/>
      <c r="G1319" s="75"/>
      <c r="H1319" s="75"/>
      <c r="I1319" s="75"/>
      <c r="J1319" s="191"/>
    </row>
    <row r="1320">
      <c r="A1320" s="148"/>
      <c r="B1320" s="75"/>
      <c r="C1320" s="75"/>
      <c r="D1320" s="75"/>
      <c r="E1320" s="75"/>
      <c r="F1320" s="75"/>
      <c r="G1320" s="75"/>
      <c r="H1320" s="75"/>
      <c r="I1320" s="75"/>
      <c r="J1320" s="191"/>
    </row>
    <row r="1321">
      <c r="A1321" s="148"/>
      <c r="B1321" s="75"/>
      <c r="C1321" s="75"/>
      <c r="D1321" s="75"/>
      <c r="E1321" s="75"/>
      <c r="F1321" s="75"/>
      <c r="G1321" s="75"/>
      <c r="H1321" s="75"/>
      <c r="I1321" s="75"/>
      <c r="J1321" s="191"/>
    </row>
    <row r="1322">
      <c r="A1322" s="148"/>
      <c r="B1322" s="75"/>
      <c r="C1322" s="75"/>
      <c r="D1322" s="75"/>
      <c r="E1322" s="75"/>
      <c r="F1322" s="75"/>
      <c r="G1322" s="75"/>
      <c r="H1322" s="75"/>
      <c r="I1322" s="75"/>
      <c r="J1322" s="191"/>
    </row>
    <row r="1323">
      <c r="A1323" s="148"/>
      <c r="B1323" s="75"/>
      <c r="C1323" s="75"/>
      <c r="D1323" s="75"/>
      <c r="E1323" s="75"/>
      <c r="F1323" s="75"/>
      <c r="G1323" s="75"/>
      <c r="H1323" s="75"/>
      <c r="I1323" s="75"/>
      <c r="J1323" s="191"/>
    </row>
    <row r="1324">
      <c r="A1324" s="148"/>
      <c r="B1324" s="75"/>
      <c r="C1324" s="75"/>
      <c r="D1324" s="75"/>
      <c r="E1324" s="75"/>
      <c r="F1324" s="75"/>
      <c r="G1324" s="75"/>
      <c r="H1324" s="75"/>
      <c r="I1324" s="75"/>
      <c r="J1324" s="191"/>
    </row>
    <row r="1325">
      <c r="A1325" s="148"/>
      <c r="B1325" s="75"/>
      <c r="C1325" s="75"/>
      <c r="D1325" s="75"/>
      <c r="E1325" s="75"/>
      <c r="F1325" s="75"/>
      <c r="G1325" s="75"/>
      <c r="H1325" s="75"/>
      <c r="I1325" s="75"/>
      <c r="J1325" s="191"/>
    </row>
    <row r="1326">
      <c r="A1326" s="148"/>
      <c r="B1326" s="75"/>
      <c r="C1326" s="75"/>
      <c r="D1326" s="75"/>
      <c r="E1326" s="75"/>
      <c r="F1326" s="75"/>
      <c r="G1326" s="75"/>
      <c r="H1326" s="75"/>
      <c r="I1326" s="75"/>
      <c r="J1326" s="191"/>
    </row>
    <row r="1327">
      <c r="A1327" s="148"/>
      <c r="B1327" s="75"/>
      <c r="C1327" s="75"/>
      <c r="D1327" s="75"/>
      <c r="E1327" s="75"/>
      <c r="F1327" s="75"/>
      <c r="G1327" s="75"/>
      <c r="H1327" s="75"/>
      <c r="I1327" s="75"/>
      <c r="J1327" s="191"/>
    </row>
    <row r="1328">
      <c r="A1328" s="148"/>
      <c r="B1328" s="75"/>
      <c r="C1328" s="75"/>
      <c r="D1328" s="75"/>
      <c r="E1328" s="75"/>
      <c r="F1328" s="75"/>
      <c r="G1328" s="75"/>
      <c r="H1328" s="75"/>
      <c r="I1328" s="75"/>
      <c r="J1328" s="191"/>
    </row>
    <row r="1329">
      <c r="A1329" s="148"/>
      <c r="B1329" s="75"/>
      <c r="C1329" s="75"/>
      <c r="D1329" s="75"/>
      <c r="E1329" s="75"/>
      <c r="F1329" s="75"/>
      <c r="G1329" s="75"/>
      <c r="H1329" s="75"/>
      <c r="I1329" s="75"/>
      <c r="J1329" s="191"/>
    </row>
    <row r="1330">
      <c r="A1330" s="148"/>
      <c r="B1330" s="75"/>
      <c r="C1330" s="75"/>
      <c r="D1330" s="75"/>
      <c r="E1330" s="75"/>
      <c r="F1330" s="75"/>
      <c r="G1330" s="75"/>
      <c r="H1330" s="75"/>
      <c r="I1330" s="75"/>
      <c r="J1330" s="191"/>
    </row>
    <row r="1331">
      <c r="A1331" s="148"/>
      <c r="B1331" s="75"/>
      <c r="C1331" s="75"/>
      <c r="D1331" s="75"/>
      <c r="E1331" s="75"/>
      <c r="F1331" s="75"/>
      <c r="G1331" s="75"/>
      <c r="H1331" s="75"/>
      <c r="I1331" s="75"/>
      <c r="J1331" s="191"/>
    </row>
    <row r="1332">
      <c r="A1332" s="148"/>
      <c r="B1332" s="75"/>
      <c r="C1332" s="75"/>
      <c r="D1332" s="75"/>
      <c r="E1332" s="75"/>
      <c r="F1332" s="75"/>
      <c r="G1332" s="75"/>
      <c r="H1332" s="75"/>
      <c r="I1332" s="75"/>
      <c r="J1332" s="191"/>
    </row>
    <row r="1333">
      <c r="A1333" s="148"/>
      <c r="B1333" s="75"/>
      <c r="C1333" s="75"/>
      <c r="D1333" s="75"/>
      <c r="E1333" s="75"/>
      <c r="F1333" s="75"/>
      <c r="G1333" s="75"/>
      <c r="H1333" s="75"/>
      <c r="I1333" s="75"/>
      <c r="J1333" s="191"/>
    </row>
    <row r="1334">
      <c r="A1334" s="148"/>
      <c r="B1334" s="75"/>
      <c r="C1334" s="75"/>
      <c r="D1334" s="75"/>
      <c r="E1334" s="75"/>
      <c r="F1334" s="75"/>
      <c r="G1334" s="75"/>
      <c r="H1334" s="75"/>
      <c r="I1334" s="75"/>
      <c r="J1334" s="191"/>
    </row>
    <row r="1335">
      <c r="A1335" s="148"/>
      <c r="B1335" s="75"/>
      <c r="C1335" s="75"/>
      <c r="D1335" s="75"/>
      <c r="E1335" s="75"/>
      <c r="F1335" s="75"/>
      <c r="G1335" s="75"/>
      <c r="H1335" s="75"/>
      <c r="I1335" s="75"/>
      <c r="J1335" s="191"/>
    </row>
    <row r="1336">
      <c r="A1336" s="148"/>
      <c r="B1336" s="75"/>
      <c r="C1336" s="75"/>
      <c r="D1336" s="75"/>
      <c r="E1336" s="75"/>
      <c r="F1336" s="75"/>
      <c r="G1336" s="75"/>
      <c r="H1336" s="75"/>
      <c r="I1336" s="75"/>
      <c r="J1336" s="191"/>
    </row>
    <row r="1337">
      <c r="A1337" s="148"/>
      <c r="B1337" s="75"/>
      <c r="C1337" s="75"/>
      <c r="D1337" s="75"/>
      <c r="E1337" s="75"/>
      <c r="F1337" s="75"/>
      <c r="G1337" s="75"/>
      <c r="H1337" s="75"/>
      <c r="I1337" s="75"/>
      <c r="J1337" s="191"/>
    </row>
    <row r="1338">
      <c r="A1338" s="148"/>
      <c r="B1338" s="75"/>
      <c r="C1338" s="75"/>
      <c r="D1338" s="75"/>
      <c r="E1338" s="75"/>
      <c r="F1338" s="75"/>
      <c r="G1338" s="75"/>
      <c r="H1338" s="75"/>
      <c r="I1338" s="75"/>
      <c r="J1338" s="191"/>
    </row>
    <row r="1339">
      <c r="A1339" s="148"/>
      <c r="B1339" s="75"/>
      <c r="C1339" s="75"/>
      <c r="D1339" s="75"/>
      <c r="E1339" s="75"/>
      <c r="F1339" s="75"/>
      <c r="G1339" s="75"/>
      <c r="H1339" s="75"/>
      <c r="I1339" s="75"/>
      <c r="J1339" s="191"/>
    </row>
    <row r="1340">
      <c r="A1340" s="148"/>
      <c r="B1340" s="75"/>
      <c r="C1340" s="75"/>
      <c r="D1340" s="75"/>
      <c r="E1340" s="75"/>
      <c r="F1340" s="75"/>
      <c r="G1340" s="75"/>
      <c r="H1340" s="75"/>
      <c r="I1340" s="75"/>
      <c r="J1340" s="191"/>
    </row>
    <row r="1341">
      <c r="A1341" s="148"/>
      <c r="B1341" s="75"/>
      <c r="C1341" s="75"/>
      <c r="D1341" s="75"/>
      <c r="E1341" s="75"/>
      <c r="F1341" s="75"/>
      <c r="G1341" s="75"/>
      <c r="H1341" s="75"/>
      <c r="I1341" s="75"/>
      <c r="J1341" s="191"/>
    </row>
    <row r="1342">
      <c r="A1342" s="148"/>
      <c r="B1342" s="75"/>
      <c r="C1342" s="75"/>
      <c r="D1342" s="75"/>
      <c r="E1342" s="75"/>
      <c r="F1342" s="75"/>
      <c r="G1342" s="75"/>
      <c r="H1342" s="75"/>
      <c r="I1342" s="75"/>
      <c r="J1342" s="191"/>
    </row>
    <row r="1343">
      <c r="A1343" s="148"/>
      <c r="B1343" s="75"/>
      <c r="C1343" s="75"/>
      <c r="D1343" s="75"/>
      <c r="E1343" s="75"/>
      <c r="F1343" s="75"/>
      <c r="G1343" s="75"/>
      <c r="H1343" s="75"/>
      <c r="I1343" s="75"/>
      <c r="J1343" s="191"/>
    </row>
    <row r="1344">
      <c r="A1344" s="148"/>
      <c r="B1344" s="75"/>
      <c r="C1344" s="75"/>
      <c r="D1344" s="75"/>
      <c r="E1344" s="75"/>
      <c r="F1344" s="75"/>
      <c r="G1344" s="75"/>
      <c r="H1344" s="75"/>
      <c r="I1344" s="75"/>
      <c r="J1344" s="191"/>
    </row>
    <row r="1345">
      <c r="A1345" s="148"/>
      <c r="B1345" s="75"/>
      <c r="C1345" s="75"/>
      <c r="D1345" s="75"/>
      <c r="E1345" s="75"/>
      <c r="F1345" s="75"/>
      <c r="G1345" s="75"/>
      <c r="H1345" s="75"/>
      <c r="I1345" s="75"/>
      <c r="J1345" s="191"/>
    </row>
    <row r="1346">
      <c r="A1346" s="148"/>
      <c r="B1346" s="75"/>
      <c r="C1346" s="75"/>
      <c r="D1346" s="75"/>
      <c r="E1346" s="75"/>
      <c r="F1346" s="75"/>
      <c r="G1346" s="75"/>
      <c r="H1346" s="75"/>
      <c r="I1346" s="75"/>
      <c r="J1346" s="191"/>
    </row>
    <row r="1347">
      <c r="A1347" s="148"/>
      <c r="B1347" s="75"/>
      <c r="C1347" s="75"/>
      <c r="D1347" s="75"/>
      <c r="E1347" s="75"/>
      <c r="F1347" s="75"/>
      <c r="G1347" s="75"/>
      <c r="H1347" s="75"/>
      <c r="I1347" s="75"/>
      <c r="J1347" s="191"/>
    </row>
    <row r="1348">
      <c r="A1348" s="148"/>
      <c r="B1348" s="75"/>
      <c r="C1348" s="75"/>
      <c r="D1348" s="75"/>
      <c r="E1348" s="75"/>
      <c r="F1348" s="75"/>
      <c r="G1348" s="75"/>
      <c r="H1348" s="75"/>
      <c r="I1348" s="75"/>
      <c r="J1348" s="191"/>
    </row>
    <row r="1349">
      <c r="A1349" s="148"/>
      <c r="B1349" s="75"/>
      <c r="C1349" s="75"/>
      <c r="D1349" s="75"/>
      <c r="E1349" s="75"/>
      <c r="F1349" s="75"/>
      <c r="G1349" s="75"/>
      <c r="H1349" s="75"/>
      <c r="I1349" s="75"/>
      <c r="J1349" s="191"/>
    </row>
    <row r="1350">
      <c r="A1350" s="148"/>
      <c r="B1350" s="75"/>
      <c r="C1350" s="75"/>
      <c r="D1350" s="75"/>
      <c r="E1350" s="75"/>
      <c r="F1350" s="75"/>
      <c r="G1350" s="75"/>
      <c r="H1350" s="75"/>
      <c r="I1350" s="75"/>
      <c r="J1350" s="191"/>
    </row>
    <row r="1351">
      <c r="A1351" s="148"/>
      <c r="B1351" s="75"/>
      <c r="C1351" s="75"/>
      <c r="D1351" s="75"/>
      <c r="E1351" s="75"/>
      <c r="F1351" s="75"/>
      <c r="G1351" s="75"/>
      <c r="H1351" s="75"/>
      <c r="I1351" s="75"/>
      <c r="J1351" s="191"/>
    </row>
    <row r="1352">
      <c r="A1352" s="148"/>
      <c r="B1352" s="75"/>
      <c r="C1352" s="75"/>
      <c r="D1352" s="75"/>
      <c r="E1352" s="75"/>
      <c r="F1352" s="75"/>
      <c r="G1352" s="75"/>
      <c r="H1352" s="75"/>
      <c r="I1352" s="75"/>
      <c r="J1352" s="191"/>
    </row>
    <row r="1353">
      <c r="A1353" s="148"/>
      <c r="B1353" s="75"/>
      <c r="C1353" s="75"/>
      <c r="D1353" s="75"/>
      <c r="E1353" s="75"/>
      <c r="F1353" s="75"/>
      <c r="G1353" s="75"/>
      <c r="H1353" s="75"/>
      <c r="I1353" s="75"/>
      <c r="J1353" s="191"/>
    </row>
    <row r="1354">
      <c r="A1354" s="148"/>
      <c r="B1354" s="75"/>
      <c r="C1354" s="75"/>
      <c r="D1354" s="75"/>
      <c r="E1354" s="75"/>
      <c r="F1354" s="75"/>
      <c r="G1354" s="75"/>
      <c r="H1354" s="75"/>
      <c r="I1354" s="75"/>
      <c r="J1354" s="191"/>
    </row>
    <row r="1355">
      <c r="A1355" s="148"/>
      <c r="B1355" s="75"/>
      <c r="C1355" s="75"/>
      <c r="D1355" s="75"/>
      <c r="E1355" s="75"/>
      <c r="F1355" s="75"/>
      <c r="G1355" s="75"/>
      <c r="H1355" s="75"/>
      <c r="I1355" s="75"/>
      <c r="J1355" s="191"/>
    </row>
    <row r="1356">
      <c r="A1356" s="148"/>
      <c r="B1356" s="75"/>
      <c r="C1356" s="75"/>
      <c r="D1356" s="75"/>
      <c r="E1356" s="75"/>
      <c r="F1356" s="75"/>
      <c r="G1356" s="75"/>
      <c r="H1356" s="75"/>
      <c r="I1356" s="75"/>
      <c r="J1356" s="191"/>
    </row>
    <row r="1357">
      <c r="A1357" s="148"/>
      <c r="B1357" s="75"/>
      <c r="C1357" s="75"/>
      <c r="D1357" s="75"/>
      <c r="E1357" s="75"/>
      <c r="F1357" s="75"/>
      <c r="G1357" s="75"/>
      <c r="H1357" s="75"/>
      <c r="I1357" s="75"/>
      <c r="J1357" s="191"/>
    </row>
    <row r="1358">
      <c r="A1358" s="148"/>
      <c r="B1358" s="75"/>
      <c r="C1358" s="75"/>
      <c r="D1358" s="75"/>
      <c r="E1358" s="75"/>
      <c r="F1358" s="75"/>
      <c r="G1358" s="75"/>
      <c r="H1358" s="75"/>
      <c r="I1358" s="75"/>
      <c r="J1358" s="191"/>
    </row>
    <row r="1359">
      <c r="A1359" s="148"/>
      <c r="B1359" s="75"/>
      <c r="C1359" s="75"/>
      <c r="D1359" s="75"/>
      <c r="E1359" s="75"/>
      <c r="F1359" s="75"/>
      <c r="G1359" s="75"/>
      <c r="H1359" s="75"/>
      <c r="I1359" s="75"/>
      <c r="J1359" s="191"/>
    </row>
    <row r="1360">
      <c r="A1360" s="148"/>
      <c r="B1360" s="75"/>
      <c r="C1360" s="75"/>
      <c r="D1360" s="75"/>
      <c r="E1360" s="75"/>
      <c r="F1360" s="75"/>
      <c r="G1360" s="75"/>
      <c r="H1360" s="75"/>
      <c r="I1360" s="75"/>
      <c r="J1360" s="191"/>
    </row>
    <row r="1361">
      <c r="A1361" s="148"/>
      <c r="B1361" s="75"/>
      <c r="C1361" s="75"/>
      <c r="D1361" s="75"/>
      <c r="E1361" s="75"/>
      <c r="F1361" s="75"/>
      <c r="G1361" s="75"/>
      <c r="H1361" s="75"/>
      <c r="I1361" s="75"/>
      <c r="J1361" s="191"/>
    </row>
    <row r="1362">
      <c r="A1362" s="148"/>
      <c r="B1362" s="75"/>
      <c r="C1362" s="75"/>
      <c r="D1362" s="75"/>
      <c r="E1362" s="75"/>
      <c r="F1362" s="75"/>
      <c r="G1362" s="75"/>
      <c r="H1362" s="75"/>
      <c r="I1362" s="75"/>
      <c r="J1362" s="191"/>
    </row>
    <row r="1363">
      <c r="A1363" s="148"/>
      <c r="B1363" s="75"/>
      <c r="C1363" s="75"/>
      <c r="D1363" s="75"/>
      <c r="E1363" s="75"/>
      <c r="F1363" s="75"/>
      <c r="G1363" s="75"/>
      <c r="H1363" s="75"/>
      <c r="I1363" s="75"/>
      <c r="J1363" s="191"/>
    </row>
    <row r="1364">
      <c r="A1364" s="148"/>
      <c r="B1364" s="75"/>
      <c r="C1364" s="75"/>
      <c r="D1364" s="75"/>
      <c r="E1364" s="75"/>
      <c r="F1364" s="75"/>
      <c r="G1364" s="75"/>
      <c r="H1364" s="75"/>
      <c r="I1364" s="75"/>
      <c r="J1364" s="191"/>
    </row>
    <row r="1365">
      <c r="A1365" s="148"/>
      <c r="B1365" s="75"/>
      <c r="C1365" s="75"/>
      <c r="D1365" s="75"/>
      <c r="E1365" s="75"/>
      <c r="F1365" s="75"/>
      <c r="G1365" s="75"/>
      <c r="H1365" s="75"/>
      <c r="I1365" s="75"/>
      <c r="J1365" s="191"/>
    </row>
    <row r="1366">
      <c r="A1366" s="148"/>
      <c r="B1366" s="75"/>
      <c r="C1366" s="75"/>
      <c r="D1366" s="75"/>
      <c r="E1366" s="75"/>
      <c r="F1366" s="75"/>
      <c r="G1366" s="75"/>
      <c r="H1366" s="75"/>
      <c r="I1366" s="75"/>
      <c r="J1366" s="191"/>
    </row>
    <row r="1367">
      <c r="A1367" s="148"/>
      <c r="B1367" s="75"/>
      <c r="C1367" s="75"/>
      <c r="D1367" s="75"/>
      <c r="E1367" s="75"/>
      <c r="F1367" s="75"/>
      <c r="G1367" s="75"/>
      <c r="H1367" s="75"/>
      <c r="I1367" s="75"/>
      <c r="J1367" s="191"/>
    </row>
    <row r="1368">
      <c r="A1368" s="148"/>
      <c r="B1368" s="75"/>
      <c r="C1368" s="75"/>
      <c r="D1368" s="75"/>
      <c r="E1368" s="75"/>
      <c r="F1368" s="75"/>
      <c r="G1368" s="75"/>
      <c r="H1368" s="75"/>
      <c r="I1368" s="75"/>
      <c r="J1368" s="191"/>
    </row>
    <row r="1369">
      <c r="A1369" s="148"/>
      <c r="B1369" s="75"/>
      <c r="C1369" s="75"/>
      <c r="D1369" s="75"/>
      <c r="E1369" s="75"/>
      <c r="F1369" s="75"/>
      <c r="G1369" s="75"/>
      <c r="H1369" s="75"/>
      <c r="I1369" s="75"/>
      <c r="J1369" s="191"/>
    </row>
    <row r="1370">
      <c r="A1370" s="148"/>
      <c r="B1370" s="75"/>
      <c r="C1370" s="75"/>
      <c r="D1370" s="75"/>
      <c r="E1370" s="75"/>
      <c r="F1370" s="75"/>
      <c r="G1370" s="75"/>
      <c r="H1370" s="75"/>
      <c r="I1370" s="75"/>
      <c r="J1370" s="191"/>
    </row>
    <row r="1371">
      <c r="A1371" s="148"/>
      <c r="B1371" s="75"/>
      <c r="C1371" s="75"/>
      <c r="D1371" s="75"/>
      <c r="E1371" s="75"/>
      <c r="F1371" s="75"/>
      <c r="G1371" s="75"/>
      <c r="H1371" s="75"/>
      <c r="I1371" s="75"/>
      <c r="J1371" s="191"/>
    </row>
    <row r="1372">
      <c r="A1372" s="148"/>
      <c r="B1372" s="75"/>
      <c r="C1372" s="75"/>
      <c r="D1372" s="75"/>
      <c r="E1372" s="75"/>
      <c r="F1372" s="75"/>
      <c r="G1372" s="75"/>
      <c r="H1372" s="75"/>
      <c r="I1372" s="75"/>
      <c r="J1372" s="191"/>
    </row>
    <row r="1373">
      <c r="A1373" s="148"/>
      <c r="B1373" s="75"/>
      <c r="C1373" s="75"/>
      <c r="D1373" s="75"/>
      <c r="E1373" s="75"/>
      <c r="F1373" s="75"/>
      <c r="G1373" s="75"/>
      <c r="H1373" s="75"/>
      <c r="I1373" s="75"/>
      <c r="J1373" s="191"/>
    </row>
    <row r="1374">
      <c r="A1374" s="148"/>
      <c r="B1374" s="75"/>
      <c r="C1374" s="75"/>
      <c r="D1374" s="75"/>
      <c r="E1374" s="75"/>
      <c r="F1374" s="75"/>
      <c r="G1374" s="75"/>
      <c r="H1374" s="75"/>
      <c r="I1374" s="75"/>
      <c r="J1374" s="191"/>
    </row>
    <row r="1375">
      <c r="A1375" s="148"/>
      <c r="B1375" s="75"/>
      <c r="C1375" s="75"/>
      <c r="D1375" s="75"/>
      <c r="E1375" s="75"/>
      <c r="F1375" s="75"/>
      <c r="G1375" s="75"/>
      <c r="H1375" s="75"/>
      <c r="I1375" s="75"/>
      <c r="J1375" s="191"/>
    </row>
    <row r="1376">
      <c r="A1376" s="148"/>
      <c r="B1376" s="75"/>
      <c r="C1376" s="75"/>
      <c r="D1376" s="75"/>
      <c r="E1376" s="75"/>
      <c r="F1376" s="75"/>
      <c r="G1376" s="75"/>
      <c r="H1376" s="75"/>
      <c r="I1376" s="75"/>
      <c r="J1376" s="191"/>
    </row>
    <row r="1377">
      <c r="A1377" s="148"/>
      <c r="B1377" s="75"/>
      <c r="C1377" s="75"/>
      <c r="D1377" s="75"/>
      <c r="E1377" s="75"/>
      <c r="F1377" s="75"/>
      <c r="G1377" s="75"/>
      <c r="H1377" s="75"/>
      <c r="I1377" s="75"/>
      <c r="J1377" s="191"/>
    </row>
    <row r="1378">
      <c r="A1378" s="148"/>
      <c r="B1378" s="75"/>
      <c r="C1378" s="75"/>
      <c r="D1378" s="75"/>
      <c r="E1378" s="75"/>
      <c r="F1378" s="75"/>
      <c r="G1378" s="75"/>
      <c r="H1378" s="75"/>
      <c r="I1378" s="75"/>
      <c r="J1378" s="191"/>
    </row>
    <row r="1379">
      <c r="A1379" s="148"/>
      <c r="B1379" s="75"/>
      <c r="C1379" s="75"/>
      <c r="D1379" s="75"/>
      <c r="E1379" s="75"/>
      <c r="F1379" s="75"/>
      <c r="G1379" s="75"/>
      <c r="H1379" s="75"/>
      <c r="I1379" s="75"/>
      <c r="J1379" s="191"/>
    </row>
    <row r="1380">
      <c r="A1380" s="148"/>
      <c r="B1380" s="75"/>
      <c r="C1380" s="75"/>
      <c r="D1380" s="75"/>
      <c r="E1380" s="75"/>
      <c r="F1380" s="75"/>
      <c r="G1380" s="75"/>
      <c r="H1380" s="75"/>
      <c r="I1380" s="75"/>
      <c r="J1380" s="191"/>
    </row>
    <row r="1381">
      <c r="A1381" s="148"/>
      <c r="B1381" s="75"/>
      <c r="C1381" s="75"/>
      <c r="D1381" s="75"/>
      <c r="E1381" s="75"/>
      <c r="F1381" s="75"/>
      <c r="G1381" s="75"/>
      <c r="H1381" s="75"/>
      <c r="I1381" s="75"/>
      <c r="J1381" s="191"/>
    </row>
    <row r="1382">
      <c r="A1382" s="148"/>
      <c r="B1382" s="75"/>
      <c r="C1382" s="75"/>
      <c r="D1382" s="75"/>
      <c r="E1382" s="75"/>
      <c r="F1382" s="75"/>
      <c r="G1382" s="75"/>
      <c r="H1382" s="75"/>
      <c r="I1382" s="75"/>
      <c r="J1382" s="191"/>
    </row>
    <row r="1383">
      <c r="A1383" s="148"/>
      <c r="B1383" s="75"/>
      <c r="C1383" s="75"/>
      <c r="D1383" s="75"/>
      <c r="E1383" s="75"/>
      <c r="F1383" s="75"/>
      <c r="G1383" s="75"/>
      <c r="H1383" s="75"/>
      <c r="I1383" s="75"/>
      <c r="J1383" s="191"/>
    </row>
    <row r="1384">
      <c r="A1384" s="148"/>
      <c r="B1384" s="75"/>
      <c r="C1384" s="75"/>
      <c r="D1384" s="75"/>
      <c r="E1384" s="75"/>
      <c r="F1384" s="75"/>
      <c r="G1384" s="75"/>
      <c r="H1384" s="75"/>
      <c r="I1384" s="75"/>
      <c r="J1384" s="191"/>
    </row>
    <row r="1385">
      <c r="A1385" s="148"/>
      <c r="B1385" s="75"/>
      <c r="C1385" s="75"/>
      <c r="D1385" s="75"/>
      <c r="E1385" s="75"/>
      <c r="F1385" s="75"/>
      <c r="G1385" s="75"/>
      <c r="H1385" s="75"/>
      <c r="I1385" s="75"/>
      <c r="J1385" s="191"/>
    </row>
    <row r="1386">
      <c r="A1386" s="148"/>
      <c r="B1386" s="75"/>
      <c r="C1386" s="75"/>
      <c r="D1386" s="75"/>
      <c r="E1386" s="75"/>
      <c r="F1386" s="75"/>
      <c r="G1386" s="75"/>
      <c r="H1386" s="75"/>
      <c r="I1386" s="75"/>
      <c r="J1386" s="191"/>
    </row>
    <row r="1387">
      <c r="A1387" s="148"/>
      <c r="B1387" s="75"/>
      <c r="C1387" s="75"/>
      <c r="D1387" s="75"/>
      <c r="E1387" s="75"/>
      <c r="F1387" s="75"/>
      <c r="G1387" s="75"/>
      <c r="H1387" s="75"/>
      <c r="I1387" s="75"/>
      <c r="J1387" s="191"/>
    </row>
    <row r="1388">
      <c r="A1388" s="148"/>
      <c r="B1388" s="75"/>
      <c r="C1388" s="75"/>
      <c r="D1388" s="75"/>
      <c r="E1388" s="75"/>
      <c r="F1388" s="75"/>
      <c r="G1388" s="75"/>
      <c r="H1388" s="75"/>
      <c r="I1388" s="75"/>
      <c r="J1388" s="191"/>
    </row>
    <row r="1389">
      <c r="A1389" s="148"/>
      <c r="B1389" s="75"/>
      <c r="C1389" s="75"/>
      <c r="D1389" s="75"/>
      <c r="E1389" s="75"/>
      <c r="F1389" s="75"/>
      <c r="G1389" s="75"/>
      <c r="H1389" s="75"/>
      <c r="I1389" s="75"/>
      <c r="J1389" s="191"/>
    </row>
    <row r="1390">
      <c r="A1390" s="148"/>
      <c r="B1390" s="75"/>
      <c r="C1390" s="75"/>
      <c r="D1390" s="75"/>
      <c r="E1390" s="75"/>
      <c r="F1390" s="75"/>
      <c r="G1390" s="75"/>
      <c r="H1390" s="75"/>
      <c r="I1390" s="75"/>
      <c r="J1390" s="191"/>
    </row>
    <row r="1391">
      <c r="A1391" s="148"/>
      <c r="B1391" s="75"/>
      <c r="C1391" s="75"/>
      <c r="D1391" s="75"/>
      <c r="E1391" s="75"/>
      <c r="F1391" s="75"/>
      <c r="G1391" s="75"/>
      <c r="H1391" s="75"/>
      <c r="I1391" s="75"/>
      <c r="J1391" s="191"/>
    </row>
    <row r="1392">
      <c r="A1392" s="148"/>
      <c r="B1392" s="75"/>
      <c r="C1392" s="75"/>
      <c r="D1392" s="75"/>
      <c r="E1392" s="75"/>
      <c r="F1392" s="75"/>
      <c r="G1392" s="75"/>
      <c r="H1392" s="75"/>
      <c r="I1392" s="75"/>
      <c r="J1392" s="191"/>
    </row>
    <row r="1393">
      <c r="A1393" s="148"/>
      <c r="B1393" s="75"/>
      <c r="C1393" s="75"/>
      <c r="D1393" s="75"/>
      <c r="E1393" s="75"/>
      <c r="F1393" s="75"/>
      <c r="G1393" s="75"/>
      <c r="H1393" s="75"/>
      <c r="I1393" s="75"/>
      <c r="J1393" s="191"/>
    </row>
    <row r="1394">
      <c r="A1394" s="148"/>
      <c r="B1394" s="75"/>
      <c r="C1394" s="75"/>
      <c r="D1394" s="75"/>
      <c r="E1394" s="75"/>
      <c r="F1394" s="75"/>
      <c r="G1394" s="75"/>
      <c r="H1394" s="75"/>
      <c r="I1394" s="75"/>
      <c r="J1394" s="191"/>
    </row>
    <row r="1395">
      <c r="A1395" s="148"/>
      <c r="B1395" s="75"/>
      <c r="C1395" s="75"/>
      <c r="D1395" s="75"/>
      <c r="E1395" s="75"/>
      <c r="F1395" s="75"/>
      <c r="G1395" s="75"/>
      <c r="H1395" s="75"/>
      <c r="I1395" s="75"/>
      <c r="J1395" s="191"/>
    </row>
    <row r="1396">
      <c r="A1396" s="148"/>
      <c r="B1396" s="75"/>
      <c r="C1396" s="75"/>
      <c r="D1396" s="75"/>
      <c r="E1396" s="75"/>
      <c r="F1396" s="75"/>
      <c r="G1396" s="75"/>
      <c r="H1396" s="75"/>
      <c r="I1396" s="75"/>
      <c r="J1396" s="191"/>
    </row>
    <row r="1397">
      <c r="A1397" s="148"/>
      <c r="B1397" s="75"/>
      <c r="C1397" s="75"/>
      <c r="D1397" s="75"/>
      <c r="E1397" s="75"/>
      <c r="F1397" s="75"/>
      <c r="G1397" s="75"/>
      <c r="H1397" s="75"/>
      <c r="I1397" s="75"/>
      <c r="J1397" s="191"/>
    </row>
    <row r="1398">
      <c r="A1398" s="148"/>
      <c r="B1398" s="75"/>
      <c r="C1398" s="75"/>
      <c r="D1398" s="75"/>
      <c r="E1398" s="75"/>
      <c r="F1398" s="75"/>
      <c r="G1398" s="75"/>
      <c r="H1398" s="75"/>
      <c r="I1398" s="75"/>
      <c r="J1398" s="191"/>
    </row>
    <row r="1399">
      <c r="A1399" s="148"/>
      <c r="B1399" s="75"/>
      <c r="C1399" s="75"/>
      <c r="D1399" s="75"/>
      <c r="E1399" s="75"/>
      <c r="F1399" s="75"/>
      <c r="G1399" s="75"/>
      <c r="H1399" s="75"/>
      <c r="I1399" s="75"/>
      <c r="J1399" s="191"/>
    </row>
    <row r="1400">
      <c r="A1400" s="148"/>
      <c r="B1400" s="75"/>
      <c r="C1400" s="75"/>
      <c r="D1400" s="75"/>
      <c r="E1400" s="75"/>
      <c r="F1400" s="75"/>
      <c r="G1400" s="75"/>
      <c r="H1400" s="75"/>
      <c r="I1400" s="75"/>
      <c r="J1400" s="191"/>
    </row>
    <row r="1401">
      <c r="A1401" s="148"/>
      <c r="B1401" s="75"/>
      <c r="C1401" s="75"/>
      <c r="D1401" s="75"/>
      <c r="E1401" s="75"/>
      <c r="F1401" s="75"/>
      <c r="G1401" s="75"/>
      <c r="H1401" s="75"/>
      <c r="I1401" s="75"/>
      <c r="J1401" s="191"/>
    </row>
    <row r="1402">
      <c r="A1402" s="148"/>
      <c r="B1402" s="75"/>
      <c r="C1402" s="75"/>
      <c r="D1402" s="75"/>
      <c r="E1402" s="75"/>
      <c r="F1402" s="75"/>
      <c r="G1402" s="75"/>
      <c r="H1402" s="75"/>
      <c r="I1402" s="75"/>
      <c r="J1402" s="191"/>
    </row>
    <row r="1403">
      <c r="A1403" s="148"/>
      <c r="B1403" s="75"/>
      <c r="C1403" s="75"/>
      <c r="D1403" s="75"/>
      <c r="E1403" s="75"/>
      <c r="F1403" s="75"/>
      <c r="G1403" s="75"/>
      <c r="H1403" s="75"/>
      <c r="I1403" s="75"/>
      <c r="J1403" s="191"/>
    </row>
    <row r="1404">
      <c r="A1404" s="148"/>
      <c r="B1404" s="75"/>
      <c r="C1404" s="75"/>
      <c r="D1404" s="75"/>
      <c r="E1404" s="75"/>
      <c r="F1404" s="75"/>
      <c r="G1404" s="75"/>
      <c r="H1404" s="75"/>
      <c r="I1404" s="75"/>
      <c r="J1404" s="191"/>
    </row>
    <row r="1405">
      <c r="A1405" s="148"/>
      <c r="B1405" s="75"/>
      <c r="C1405" s="75"/>
      <c r="D1405" s="75"/>
      <c r="E1405" s="75"/>
      <c r="F1405" s="75"/>
      <c r="G1405" s="75"/>
      <c r="H1405" s="75"/>
      <c r="I1405" s="75"/>
      <c r="J1405" s="191"/>
    </row>
    <row r="1406">
      <c r="A1406" s="148"/>
      <c r="B1406" s="75"/>
      <c r="C1406" s="75"/>
      <c r="D1406" s="75"/>
      <c r="E1406" s="75"/>
      <c r="F1406" s="75"/>
      <c r="G1406" s="75"/>
      <c r="H1406" s="75"/>
      <c r="I1406" s="75"/>
      <c r="J1406" s="191"/>
    </row>
    <row r="1407">
      <c r="A1407" s="148"/>
      <c r="B1407" s="75"/>
      <c r="C1407" s="75"/>
      <c r="D1407" s="75"/>
      <c r="E1407" s="75"/>
      <c r="F1407" s="75"/>
      <c r="G1407" s="75"/>
      <c r="H1407" s="75"/>
      <c r="I1407" s="75"/>
      <c r="J1407" s="191"/>
    </row>
    <row r="1408">
      <c r="A1408" s="148"/>
      <c r="B1408" s="75"/>
      <c r="C1408" s="75"/>
      <c r="D1408" s="75"/>
      <c r="E1408" s="75"/>
      <c r="F1408" s="75"/>
      <c r="G1408" s="75"/>
      <c r="H1408" s="75"/>
      <c r="I1408" s="75"/>
      <c r="J1408" s="191"/>
    </row>
    <row r="1409">
      <c r="A1409" s="148"/>
      <c r="B1409" s="75"/>
      <c r="C1409" s="75"/>
      <c r="D1409" s="75"/>
      <c r="E1409" s="75"/>
      <c r="F1409" s="75"/>
      <c r="G1409" s="75"/>
      <c r="H1409" s="75"/>
      <c r="I1409" s="75"/>
      <c r="J1409" s="191"/>
    </row>
    <row r="1410">
      <c r="A1410" s="148"/>
      <c r="B1410" s="75"/>
      <c r="C1410" s="75"/>
      <c r="D1410" s="75"/>
      <c r="E1410" s="75"/>
      <c r="F1410" s="75"/>
      <c r="G1410" s="75"/>
      <c r="H1410" s="75"/>
      <c r="I1410" s="75"/>
      <c r="J1410" s="191"/>
    </row>
    <row r="1411">
      <c r="A1411" s="148"/>
      <c r="B1411" s="75"/>
      <c r="C1411" s="75"/>
      <c r="D1411" s="75"/>
      <c r="E1411" s="75"/>
      <c r="F1411" s="75"/>
      <c r="G1411" s="75"/>
      <c r="H1411" s="75"/>
      <c r="I1411" s="75"/>
      <c r="J1411" s="191"/>
    </row>
    <row r="1412">
      <c r="A1412" s="148"/>
      <c r="B1412" s="75"/>
      <c r="C1412" s="75"/>
      <c r="D1412" s="75"/>
      <c r="E1412" s="75"/>
      <c r="F1412" s="75"/>
      <c r="G1412" s="75"/>
      <c r="H1412" s="75"/>
      <c r="I1412" s="75"/>
      <c r="J1412" s="191"/>
    </row>
    <row r="1413">
      <c r="A1413" s="148"/>
      <c r="B1413" s="75"/>
      <c r="C1413" s="75"/>
      <c r="D1413" s="75"/>
      <c r="E1413" s="75"/>
      <c r="F1413" s="75"/>
      <c r="G1413" s="75"/>
      <c r="H1413" s="75"/>
      <c r="I1413" s="75"/>
      <c r="J1413" s="191"/>
    </row>
    <row r="1414">
      <c r="A1414" s="148"/>
      <c r="B1414" s="75"/>
      <c r="C1414" s="75"/>
      <c r="D1414" s="75"/>
      <c r="E1414" s="75"/>
      <c r="F1414" s="75"/>
      <c r="G1414" s="75"/>
      <c r="H1414" s="75"/>
      <c r="I1414" s="75"/>
      <c r="J1414" s="191"/>
    </row>
    <row r="1415">
      <c r="A1415" s="148"/>
      <c r="B1415" s="75"/>
      <c r="C1415" s="75"/>
      <c r="D1415" s="75"/>
      <c r="E1415" s="75"/>
      <c r="F1415" s="75"/>
      <c r="G1415" s="75"/>
      <c r="H1415" s="75"/>
      <c r="I1415" s="75"/>
      <c r="J1415" s="191"/>
    </row>
    <row r="1416">
      <c r="A1416" s="148"/>
      <c r="B1416" s="75"/>
      <c r="C1416" s="75"/>
      <c r="D1416" s="75"/>
      <c r="E1416" s="75"/>
      <c r="F1416" s="75"/>
      <c r="G1416" s="75"/>
      <c r="H1416" s="75"/>
      <c r="I1416" s="75"/>
      <c r="J1416" s="191"/>
    </row>
    <row r="1417">
      <c r="A1417" s="148"/>
      <c r="B1417" s="75"/>
      <c r="C1417" s="75"/>
      <c r="D1417" s="75"/>
      <c r="E1417" s="75"/>
      <c r="F1417" s="75"/>
      <c r="G1417" s="75"/>
      <c r="H1417" s="75"/>
      <c r="I1417" s="75"/>
      <c r="J1417" s="191"/>
    </row>
    <row r="1418">
      <c r="A1418" s="148"/>
      <c r="B1418" s="75"/>
      <c r="C1418" s="75"/>
      <c r="D1418" s="75"/>
      <c r="E1418" s="75"/>
      <c r="F1418" s="75"/>
      <c r="G1418" s="75"/>
      <c r="H1418" s="75"/>
      <c r="I1418" s="75"/>
      <c r="J1418" s="191"/>
    </row>
    <row r="1419">
      <c r="A1419" s="148"/>
      <c r="B1419" s="75"/>
      <c r="C1419" s="75"/>
      <c r="D1419" s="75"/>
      <c r="E1419" s="75"/>
      <c r="F1419" s="75"/>
      <c r="G1419" s="75"/>
      <c r="H1419" s="75"/>
      <c r="I1419" s="75"/>
      <c r="J1419" s="191"/>
    </row>
    <row r="1420">
      <c r="A1420" s="148"/>
      <c r="B1420" s="75"/>
      <c r="C1420" s="75"/>
      <c r="D1420" s="75"/>
      <c r="E1420" s="75"/>
      <c r="F1420" s="75"/>
      <c r="G1420" s="75"/>
      <c r="H1420" s="75"/>
      <c r="I1420" s="75"/>
      <c r="J1420" s="191"/>
    </row>
    <row r="1421">
      <c r="A1421" s="148"/>
      <c r="B1421" s="75"/>
      <c r="C1421" s="75"/>
      <c r="D1421" s="75"/>
      <c r="E1421" s="75"/>
      <c r="F1421" s="75"/>
      <c r="G1421" s="75"/>
      <c r="H1421" s="75"/>
      <c r="I1421" s="75"/>
      <c r="J1421" s="191"/>
    </row>
    <row r="1422">
      <c r="A1422" s="148"/>
      <c r="B1422" s="75"/>
      <c r="C1422" s="75"/>
      <c r="D1422" s="75"/>
      <c r="E1422" s="75"/>
      <c r="F1422" s="75"/>
      <c r="G1422" s="75"/>
      <c r="H1422" s="75"/>
      <c r="I1422" s="75"/>
      <c r="J1422" s="191"/>
    </row>
    <row r="1423">
      <c r="A1423" s="148"/>
      <c r="B1423" s="75"/>
      <c r="C1423" s="75"/>
      <c r="D1423" s="75"/>
      <c r="E1423" s="75"/>
      <c r="F1423" s="75"/>
      <c r="G1423" s="75"/>
      <c r="H1423" s="75"/>
      <c r="I1423" s="75"/>
      <c r="J1423" s="191"/>
    </row>
    <row r="1424">
      <c r="A1424" s="148"/>
      <c r="B1424" s="75"/>
      <c r="C1424" s="75"/>
      <c r="D1424" s="75"/>
      <c r="E1424" s="75"/>
      <c r="F1424" s="75"/>
      <c r="G1424" s="75"/>
      <c r="H1424" s="75"/>
      <c r="I1424" s="75"/>
      <c r="J1424" s="191"/>
    </row>
    <row r="1425">
      <c r="A1425" s="148"/>
      <c r="B1425" s="75"/>
      <c r="C1425" s="75"/>
      <c r="D1425" s="75"/>
      <c r="E1425" s="75"/>
      <c r="F1425" s="75"/>
      <c r="G1425" s="75"/>
      <c r="H1425" s="75"/>
      <c r="I1425" s="75"/>
      <c r="J1425" s="191"/>
    </row>
    <row r="1426">
      <c r="A1426" s="148"/>
      <c r="B1426" s="75"/>
      <c r="C1426" s="75"/>
      <c r="D1426" s="75"/>
      <c r="E1426" s="75"/>
      <c r="F1426" s="75"/>
      <c r="G1426" s="75"/>
      <c r="H1426" s="75"/>
      <c r="I1426" s="75"/>
      <c r="J1426" s="191"/>
    </row>
    <row r="1427">
      <c r="A1427" s="148"/>
      <c r="B1427" s="75"/>
      <c r="C1427" s="75"/>
      <c r="D1427" s="75"/>
      <c r="E1427" s="75"/>
      <c r="F1427" s="75"/>
      <c r="G1427" s="75"/>
      <c r="H1427" s="75"/>
      <c r="I1427" s="75"/>
      <c r="J1427" s="191"/>
    </row>
    <row r="1428">
      <c r="A1428" s="148"/>
      <c r="B1428" s="75"/>
      <c r="C1428" s="75"/>
      <c r="D1428" s="75"/>
      <c r="E1428" s="75"/>
      <c r="F1428" s="75"/>
      <c r="G1428" s="75"/>
      <c r="H1428" s="75"/>
      <c r="I1428" s="75"/>
      <c r="J1428" s="191"/>
    </row>
    <row r="1429">
      <c r="A1429" s="148"/>
      <c r="B1429" s="75"/>
      <c r="C1429" s="75"/>
      <c r="D1429" s="75"/>
      <c r="E1429" s="75"/>
      <c r="F1429" s="75"/>
      <c r="G1429" s="75"/>
      <c r="H1429" s="75"/>
      <c r="I1429" s="75"/>
      <c r="J1429" s="191"/>
    </row>
    <row r="1430">
      <c r="A1430" s="148"/>
      <c r="B1430" s="75"/>
      <c r="C1430" s="75"/>
      <c r="D1430" s="75"/>
      <c r="E1430" s="75"/>
      <c r="F1430" s="75"/>
      <c r="G1430" s="75"/>
      <c r="H1430" s="75"/>
      <c r="I1430" s="75"/>
      <c r="J1430" s="191"/>
    </row>
    <row r="1431">
      <c r="A1431" s="148"/>
      <c r="B1431" s="75"/>
      <c r="C1431" s="75"/>
      <c r="D1431" s="75"/>
      <c r="E1431" s="75"/>
      <c r="F1431" s="75"/>
      <c r="G1431" s="75"/>
      <c r="H1431" s="75"/>
      <c r="I1431" s="75"/>
      <c r="J1431" s="191"/>
    </row>
    <row r="1432">
      <c r="A1432" s="148"/>
      <c r="B1432" s="75"/>
      <c r="C1432" s="75"/>
      <c r="D1432" s="75"/>
      <c r="E1432" s="75"/>
      <c r="F1432" s="75"/>
      <c r="G1432" s="75"/>
      <c r="H1432" s="75"/>
      <c r="I1432" s="75"/>
      <c r="J1432" s="191"/>
    </row>
    <row r="1433">
      <c r="A1433" s="148"/>
      <c r="B1433" s="75"/>
      <c r="C1433" s="75"/>
      <c r="D1433" s="75"/>
      <c r="E1433" s="75"/>
      <c r="F1433" s="75"/>
      <c r="G1433" s="75"/>
      <c r="H1433" s="75"/>
      <c r="I1433" s="75"/>
      <c r="J1433" s="191"/>
    </row>
    <row r="1434">
      <c r="A1434" s="148"/>
      <c r="B1434" s="75"/>
      <c r="C1434" s="75"/>
      <c r="D1434" s="75"/>
      <c r="E1434" s="75"/>
      <c r="F1434" s="75"/>
      <c r="G1434" s="75"/>
      <c r="H1434" s="75"/>
      <c r="I1434" s="75"/>
      <c r="J1434" s="191"/>
    </row>
    <row r="1435">
      <c r="A1435" s="148"/>
      <c r="B1435" s="75"/>
      <c r="C1435" s="75"/>
      <c r="D1435" s="75"/>
      <c r="E1435" s="75"/>
      <c r="F1435" s="75"/>
      <c r="G1435" s="75"/>
      <c r="H1435" s="75"/>
      <c r="I1435" s="75"/>
      <c r="J1435" s="191"/>
    </row>
    <row r="1436">
      <c r="A1436" s="148"/>
      <c r="B1436" s="75"/>
      <c r="C1436" s="75"/>
      <c r="D1436" s="75"/>
      <c r="E1436" s="75"/>
      <c r="F1436" s="75"/>
      <c r="G1436" s="75"/>
      <c r="H1436" s="75"/>
      <c r="I1436" s="75"/>
      <c r="J1436" s="191"/>
    </row>
    <row r="1437">
      <c r="A1437" s="148"/>
      <c r="B1437" s="75"/>
      <c r="C1437" s="75"/>
      <c r="D1437" s="75"/>
      <c r="E1437" s="75"/>
      <c r="F1437" s="75"/>
      <c r="G1437" s="75"/>
      <c r="H1437" s="75"/>
      <c r="I1437" s="75"/>
      <c r="J1437" s="191"/>
    </row>
    <row r="1438">
      <c r="A1438" s="148"/>
      <c r="B1438" s="75"/>
      <c r="C1438" s="75"/>
      <c r="D1438" s="75"/>
      <c r="E1438" s="75"/>
      <c r="F1438" s="75"/>
      <c r="G1438" s="75"/>
      <c r="H1438" s="75"/>
      <c r="I1438" s="75"/>
      <c r="J1438" s="191"/>
    </row>
    <row r="1439">
      <c r="A1439" s="148"/>
      <c r="B1439" s="75"/>
      <c r="C1439" s="75"/>
      <c r="D1439" s="75"/>
      <c r="E1439" s="75"/>
      <c r="F1439" s="75"/>
      <c r="G1439" s="75"/>
      <c r="H1439" s="75"/>
      <c r="I1439" s="75"/>
      <c r="J1439" s="191"/>
    </row>
    <row r="1440">
      <c r="A1440" s="148"/>
      <c r="B1440" s="75"/>
      <c r="C1440" s="75"/>
      <c r="D1440" s="75"/>
      <c r="E1440" s="75"/>
      <c r="F1440" s="75"/>
      <c r="G1440" s="75"/>
      <c r="H1440" s="75"/>
      <c r="I1440" s="75"/>
      <c r="J1440" s="191"/>
    </row>
    <row r="1441">
      <c r="A1441" s="148"/>
      <c r="B1441" s="75"/>
      <c r="C1441" s="75"/>
      <c r="D1441" s="75"/>
      <c r="E1441" s="75"/>
      <c r="F1441" s="75"/>
      <c r="G1441" s="75"/>
      <c r="H1441" s="75"/>
      <c r="I1441" s="75"/>
      <c r="J1441" s="191"/>
    </row>
    <row r="1442">
      <c r="A1442" s="148"/>
      <c r="B1442" s="75"/>
      <c r="C1442" s="75"/>
      <c r="D1442" s="75"/>
      <c r="E1442" s="75"/>
      <c r="F1442" s="75"/>
      <c r="G1442" s="75"/>
      <c r="H1442" s="75"/>
      <c r="I1442" s="75"/>
      <c r="J1442" s="191"/>
    </row>
    <row r="1443">
      <c r="A1443" s="148"/>
      <c r="B1443" s="75"/>
      <c r="C1443" s="75"/>
      <c r="D1443" s="75"/>
      <c r="E1443" s="75"/>
      <c r="F1443" s="75"/>
      <c r="G1443" s="75"/>
      <c r="H1443" s="75"/>
      <c r="I1443" s="75"/>
      <c r="J1443" s="191"/>
    </row>
    <row r="1444">
      <c r="A1444" s="148"/>
      <c r="B1444" s="75"/>
      <c r="C1444" s="75"/>
      <c r="D1444" s="75"/>
      <c r="E1444" s="75"/>
      <c r="F1444" s="75"/>
      <c r="G1444" s="75"/>
      <c r="H1444" s="75"/>
      <c r="I1444" s="75"/>
      <c r="J1444" s="191"/>
    </row>
    <row r="1445">
      <c r="A1445" s="148"/>
      <c r="B1445" s="75"/>
      <c r="C1445" s="75"/>
      <c r="D1445" s="75"/>
      <c r="E1445" s="75"/>
      <c r="F1445" s="75"/>
      <c r="G1445" s="75"/>
      <c r="H1445" s="75"/>
      <c r="I1445" s="75"/>
      <c r="J1445" s="191"/>
    </row>
    <row r="1446">
      <c r="A1446" s="148"/>
      <c r="B1446" s="75"/>
      <c r="C1446" s="75"/>
      <c r="D1446" s="75"/>
      <c r="E1446" s="75"/>
      <c r="F1446" s="75"/>
      <c r="G1446" s="75"/>
      <c r="H1446" s="75"/>
      <c r="I1446" s="75"/>
      <c r="J1446" s="191"/>
    </row>
    <row r="1447">
      <c r="A1447" s="148"/>
      <c r="B1447" s="75"/>
      <c r="C1447" s="75"/>
      <c r="D1447" s="75"/>
      <c r="E1447" s="75"/>
      <c r="F1447" s="75"/>
      <c r="G1447" s="75"/>
      <c r="H1447" s="75"/>
      <c r="I1447" s="75"/>
      <c r="J1447" s="191"/>
    </row>
    <row r="1448">
      <c r="A1448" s="148"/>
      <c r="B1448" s="75"/>
      <c r="C1448" s="75"/>
      <c r="D1448" s="75"/>
      <c r="E1448" s="75"/>
      <c r="F1448" s="75"/>
      <c r="G1448" s="75"/>
      <c r="H1448" s="75"/>
      <c r="I1448" s="75"/>
      <c r="J1448" s="191"/>
    </row>
    <row r="1449">
      <c r="A1449" s="148"/>
      <c r="B1449" s="75"/>
      <c r="C1449" s="75"/>
      <c r="D1449" s="75"/>
      <c r="E1449" s="75"/>
      <c r="F1449" s="75"/>
      <c r="G1449" s="75"/>
      <c r="H1449" s="75"/>
      <c r="I1449" s="75"/>
      <c r="J1449" s="191"/>
    </row>
    <row r="1450">
      <c r="A1450" s="148"/>
      <c r="B1450" s="75"/>
      <c r="C1450" s="75"/>
      <c r="D1450" s="75"/>
      <c r="E1450" s="75"/>
      <c r="F1450" s="75"/>
      <c r="G1450" s="75"/>
      <c r="H1450" s="75"/>
      <c r="I1450" s="75"/>
      <c r="J1450" s="191"/>
    </row>
    <row r="1451">
      <c r="A1451" s="148"/>
      <c r="B1451" s="75"/>
      <c r="C1451" s="75"/>
      <c r="D1451" s="75"/>
      <c r="E1451" s="75"/>
      <c r="F1451" s="75"/>
      <c r="G1451" s="75"/>
      <c r="H1451" s="75"/>
      <c r="I1451" s="75"/>
      <c r="J1451" s="191"/>
    </row>
    <row r="1452">
      <c r="A1452" s="148"/>
      <c r="B1452" s="75"/>
      <c r="C1452" s="75"/>
      <c r="D1452" s="75"/>
      <c r="E1452" s="75"/>
      <c r="F1452" s="75"/>
      <c r="G1452" s="75"/>
      <c r="H1452" s="75"/>
      <c r="I1452" s="75"/>
      <c r="J1452" s="191"/>
    </row>
    <row r="1453">
      <c r="A1453" s="148"/>
      <c r="B1453" s="75"/>
      <c r="C1453" s="75"/>
      <c r="D1453" s="75"/>
      <c r="E1453" s="75"/>
      <c r="F1453" s="75"/>
      <c r="G1453" s="75"/>
      <c r="H1453" s="75"/>
      <c r="I1453" s="75"/>
      <c r="J1453" s="191"/>
    </row>
    <row r="1454">
      <c r="A1454" s="148"/>
      <c r="B1454" s="75"/>
      <c r="C1454" s="75"/>
      <c r="D1454" s="75"/>
      <c r="E1454" s="75"/>
      <c r="F1454" s="75"/>
      <c r="G1454" s="75"/>
      <c r="H1454" s="75"/>
      <c r="I1454" s="75"/>
      <c r="J1454" s="191"/>
    </row>
    <row r="1455">
      <c r="A1455" s="148"/>
      <c r="B1455" s="75"/>
      <c r="C1455" s="75"/>
      <c r="D1455" s="75"/>
      <c r="E1455" s="75"/>
      <c r="F1455" s="75"/>
      <c r="G1455" s="75"/>
      <c r="H1455" s="75"/>
      <c r="I1455" s="75"/>
      <c r="J1455" s="191"/>
    </row>
    <row r="1456">
      <c r="A1456" s="148"/>
      <c r="B1456" s="75"/>
      <c r="C1456" s="75"/>
      <c r="D1456" s="75"/>
      <c r="E1456" s="75"/>
      <c r="F1456" s="75"/>
      <c r="G1456" s="75"/>
      <c r="H1456" s="75"/>
      <c r="I1456" s="75"/>
      <c r="J1456" s="191"/>
    </row>
    <row r="1457">
      <c r="A1457" s="148"/>
      <c r="B1457" s="75"/>
      <c r="C1457" s="75"/>
      <c r="D1457" s="75"/>
      <c r="E1457" s="75"/>
      <c r="F1457" s="75"/>
      <c r="G1457" s="75"/>
      <c r="H1457" s="75"/>
      <c r="I1457" s="75"/>
      <c r="J1457" s="191"/>
    </row>
    <row r="1458">
      <c r="A1458" s="148"/>
      <c r="B1458" s="75"/>
      <c r="C1458" s="75"/>
      <c r="D1458" s="75"/>
      <c r="E1458" s="75"/>
      <c r="F1458" s="75"/>
      <c r="G1458" s="75"/>
      <c r="H1458" s="75"/>
      <c r="I1458" s="75"/>
      <c r="J1458" s="191"/>
    </row>
    <row r="1459">
      <c r="A1459" s="148"/>
      <c r="B1459" s="75"/>
      <c r="C1459" s="75"/>
      <c r="D1459" s="75"/>
      <c r="E1459" s="75"/>
      <c r="F1459" s="75"/>
      <c r="G1459" s="75"/>
      <c r="H1459" s="75"/>
      <c r="I1459" s="75"/>
      <c r="J1459" s="191"/>
    </row>
    <row r="1460">
      <c r="A1460" s="148"/>
      <c r="B1460" s="75"/>
      <c r="C1460" s="75"/>
      <c r="D1460" s="75"/>
      <c r="E1460" s="75"/>
      <c r="F1460" s="75"/>
      <c r="G1460" s="75"/>
      <c r="H1460" s="75"/>
      <c r="I1460" s="75"/>
      <c r="J1460" s="191"/>
    </row>
    <row r="1461">
      <c r="A1461" s="148"/>
      <c r="B1461" s="75"/>
      <c r="C1461" s="75"/>
      <c r="D1461" s="75"/>
      <c r="E1461" s="75"/>
      <c r="F1461" s="75"/>
      <c r="G1461" s="75"/>
      <c r="H1461" s="75"/>
      <c r="I1461" s="75"/>
      <c r="J1461" s="191"/>
    </row>
    <row r="1462">
      <c r="A1462" s="148"/>
      <c r="B1462" s="75"/>
      <c r="C1462" s="75"/>
      <c r="D1462" s="75"/>
      <c r="E1462" s="75"/>
      <c r="F1462" s="75"/>
      <c r="G1462" s="75"/>
      <c r="H1462" s="75"/>
      <c r="I1462" s="75"/>
      <c r="J1462" s="191"/>
    </row>
    <row r="1463">
      <c r="A1463" s="148"/>
      <c r="B1463" s="75"/>
      <c r="C1463" s="75"/>
      <c r="D1463" s="75"/>
      <c r="E1463" s="75"/>
      <c r="F1463" s="75"/>
      <c r="G1463" s="75"/>
      <c r="H1463" s="75"/>
      <c r="I1463" s="75"/>
      <c r="J1463" s="191"/>
    </row>
    <row r="1464">
      <c r="A1464" s="148"/>
      <c r="B1464" s="75"/>
      <c r="C1464" s="75"/>
      <c r="D1464" s="75"/>
      <c r="E1464" s="75"/>
      <c r="F1464" s="75"/>
      <c r="G1464" s="75"/>
      <c r="H1464" s="75"/>
      <c r="I1464" s="75"/>
      <c r="J1464" s="191"/>
    </row>
    <row r="1465">
      <c r="A1465" s="148"/>
      <c r="B1465" s="75"/>
      <c r="C1465" s="75"/>
      <c r="D1465" s="75"/>
      <c r="E1465" s="75"/>
      <c r="F1465" s="75"/>
      <c r="G1465" s="75"/>
      <c r="H1465" s="75"/>
      <c r="I1465" s="75"/>
      <c r="J1465" s="191"/>
    </row>
    <row r="1466">
      <c r="A1466" s="148"/>
      <c r="B1466" s="75"/>
      <c r="C1466" s="75"/>
      <c r="D1466" s="75"/>
      <c r="E1466" s="75"/>
      <c r="F1466" s="75"/>
      <c r="G1466" s="75"/>
      <c r="H1466" s="75"/>
      <c r="I1466" s="75"/>
      <c r="J1466" s="191"/>
    </row>
    <row r="1467">
      <c r="A1467" s="148"/>
      <c r="B1467" s="75"/>
      <c r="C1467" s="75"/>
      <c r="D1467" s="75"/>
      <c r="E1467" s="75"/>
      <c r="F1467" s="75"/>
      <c r="G1467" s="75"/>
      <c r="H1467" s="75"/>
      <c r="I1467" s="75"/>
      <c r="J1467" s="191"/>
    </row>
    <row r="1468">
      <c r="A1468" s="148"/>
      <c r="B1468" s="75"/>
      <c r="C1468" s="75"/>
      <c r="D1468" s="75"/>
      <c r="E1468" s="75"/>
      <c r="F1468" s="75"/>
      <c r="G1468" s="75"/>
      <c r="H1468" s="75"/>
      <c r="I1468" s="75"/>
      <c r="J1468" s="191"/>
    </row>
    <row r="1469">
      <c r="A1469" s="148"/>
      <c r="B1469" s="75"/>
      <c r="C1469" s="75"/>
      <c r="D1469" s="75"/>
      <c r="E1469" s="75"/>
      <c r="F1469" s="75"/>
      <c r="G1469" s="75"/>
      <c r="H1469" s="75"/>
      <c r="I1469" s="75"/>
      <c r="J1469" s="191"/>
    </row>
    <row r="1470">
      <c r="A1470" s="148"/>
      <c r="B1470" s="75"/>
      <c r="C1470" s="75"/>
      <c r="D1470" s="75"/>
      <c r="E1470" s="75"/>
      <c r="F1470" s="75"/>
      <c r="G1470" s="75"/>
      <c r="H1470" s="75"/>
      <c r="I1470" s="75"/>
      <c r="J1470" s="191"/>
    </row>
    <row r="1471">
      <c r="A1471" s="148"/>
      <c r="B1471" s="75"/>
      <c r="C1471" s="75"/>
      <c r="D1471" s="75"/>
      <c r="E1471" s="75"/>
      <c r="F1471" s="75"/>
      <c r="G1471" s="75"/>
      <c r="H1471" s="75"/>
      <c r="I1471" s="75"/>
      <c r="J1471" s="191"/>
    </row>
    <row r="1472">
      <c r="A1472" s="148"/>
      <c r="B1472" s="75"/>
      <c r="C1472" s="75"/>
      <c r="D1472" s="75"/>
      <c r="E1472" s="75"/>
      <c r="F1472" s="75"/>
      <c r="G1472" s="75"/>
      <c r="H1472" s="75"/>
      <c r="I1472" s="75"/>
      <c r="J1472" s="191"/>
    </row>
    <row r="1473">
      <c r="A1473" s="148"/>
      <c r="B1473" s="75"/>
      <c r="C1473" s="75"/>
      <c r="D1473" s="75"/>
      <c r="E1473" s="75"/>
      <c r="F1473" s="75"/>
      <c r="G1473" s="75"/>
      <c r="H1473" s="75"/>
      <c r="I1473" s="75"/>
      <c r="J1473" s="191"/>
    </row>
    <row r="1474">
      <c r="A1474" s="148"/>
      <c r="B1474" s="75"/>
      <c r="C1474" s="75"/>
      <c r="D1474" s="75"/>
      <c r="E1474" s="75"/>
      <c r="F1474" s="75"/>
      <c r="G1474" s="75"/>
      <c r="H1474" s="75"/>
      <c r="I1474" s="75"/>
      <c r="J1474" s="191"/>
    </row>
    <row r="1475">
      <c r="A1475" s="148"/>
      <c r="B1475" s="75"/>
      <c r="C1475" s="75"/>
      <c r="D1475" s="75"/>
      <c r="E1475" s="75"/>
      <c r="F1475" s="75"/>
      <c r="G1475" s="75"/>
      <c r="H1475" s="75"/>
      <c r="I1475" s="75"/>
      <c r="J1475" s="191"/>
    </row>
    <row r="1476">
      <c r="A1476" s="148"/>
      <c r="B1476" s="75"/>
      <c r="C1476" s="75"/>
      <c r="D1476" s="75"/>
      <c r="E1476" s="75"/>
      <c r="F1476" s="75"/>
      <c r="G1476" s="75"/>
      <c r="H1476" s="75"/>
      <c r="I1476" s="75"/>
      <c r="J1476" s="191"/>
    </row>
    <row r="1477">
      <c r="A1477" s="148"/>
      <c r="B1477" s="75"/>
      <c r="C1477" s="75"/>
      <c r="D1477" s="75"/>
      <c r="E1477" s="75"/>
      <c r="F1477" s="75"/>
      <c r="G1477" s="75"/>
      <c r="H1477" s="75"/>
      <c r="I1477" s="75"/>
      <c r="J1477" s="191"/>
    </row>
    <row r="1478">
      <c r="A1478" s="148"/>
      <c r="B1478" s="75"/>
      <c r="C1478" s="75"/>
      <c r="D1478" s="75"/>
      <c r="E1478" s="75"/>
      <c r="F1478" s="75"/>
      <c r="G1478" s="75"/>
      <c r="H1478" s="75"/>
      <c r="I1478" s="75"/>
      <c r="J1478" s="191"/>
    </row>
    <row r="1479">
      <c r="A1479" s="148"/>
      <c r="B1479" s="75"/>
      <c r="C1479" s="75"/>
      <c r="D1479" s="75"/>
      <c r="E1479" s="75"/>
      <c r="F1479" s="75"/>
      <c r="G1479" s="75"/>
      <c r="H1479" s="75"/>
      <c r="I1479" s="75"/>
      <c r="J1479" s="191"/>
    </row>
    <row r="1480">
      <c r="A1480" s="148"/>
      <c r="B1480" s="75"/>
      <c r="C1480" s="75"/>
      <c r="D1480" s="75"/>
      <c r="E1480" s="75"/>
      <c r="F1480" s="75"/>
      <c r="G1480" s="75"/>
      <c r="H1480" s="75"/>
      <c r="I1480" s="75"/>
      <c r="J1480" s="191"/>
    </row>
    <row r="1481">
      <c r="A1481" s="148"/>
      <c r="B1481" s="75"/>
      <c r="C1481" s="75"/>
      <c r="D1481" s="75"/>
      <c r="E1481" s="75"/>
      <c r="F1481" s="75"/>
      <c r="G1481" s="75"/>
      <c r="H1481" s="75"/>
      <c r="I1481" s="75"/>
      <c r="J1481" s="191"/>
    </row>
    <row r="1482">
      <c r="A1482" s="148"/>
      <c r="B1482" s="75"/>
      <c r="C1482" s="75"/>
      <c r="D1482" s="75"/>
      <c r="E1482" s="75"/>
      <c r="F1482" s="75"/>
      <c r="G1482" s="75"/>
      <c r="H1482" s="75"/>
      <c r="I1482" s="75"/>
      <c r="J1482" s="191"/>
    </row>
    <row r="1483">
      <c r="A1483" s="148"/>
      <c r="B1483" s="75"/>
      <c r="C1483" s="75"/>
      <c r="D1483" s="75"/>
      <c r="E1483" s="75"/>
      <c r="F1483" s="75"/>
      <c r="G1483" s="75"/>
      <c r="H1483" s="75"/>
      <c r="I1483" s="75"/>
      <c r="J1483" s="191"/>
    </row>
    <row r="1484">
      <c r="A1484" s="148"/>
      <c r="B1484" s="75"/>
      <c r="C1484" s="75"/>
      <c r="D1484" s="75"/>
      <c r="E1484" s="75"/>
      <c r="F1484" s="75"/>
      <c r="G1484" s="75"/>
      <c r="H1484" s="75"/>
      <c r="I1484" s="75"/>
      <c r="J1484" s="191"/>
    </row>
    <row r="1485">
      <c r="A1485" s="148"/>
      <c r="B1485" s="75"/>
      <c r="C1485" s="75"/>
      <c r="D1485" s="75"/>
      <c r="E1485" s="75"/>
      <c r="F1485" s="75"/>
      <c r="G1485" s="75"/>
      <c r="H1485" s="75"/>
      <c r="I1485" s="75"/>
      <c r="J1485" s="191"/>
    </row>
    <row r="1486">
      <c r="A1486" s="148"/>
      <c r="B1486" s="75"/>
      <c r="C1486" s="75"/>
      <c r="D1486" s="75"/>
      <c r="E1486" s="75"/>
      <c r="F1486" s="75"/>
      <c r="G1486" s="75"/>
      <c r="H1486" s="75"/>
      <c r="I1486" s="75"/>
      <c r="J1486" s="191"/>
    </row>
    <row r="1487">
      <c r="A1487" s="148"/>
      <c r="B1487" s="75"/>
      <c r="C1487" s="75"/>
      <c r="D1487" s="75"/>
      <c r="E1487" s="75"/>
      <c r="F1487" s="75"/>
      <c r="G1487" s="75"/>
      <c r="H1487" s="75"/>
      <c r="I1487" s="75"/>
      <c r="J1487" s="191"/>
    </row>
    <row r="1488">
      <c r="A1488" s="148"/>
      <c r="B1488" s="75"/>
      <c r="C1488" s="75"/>
      <c r="D1488" s="75"/>
      <c r="E1488" s="75"/>
      <c r="F1488" s="75"/>
      <c r="G1488" s="75"/>
      <c r="H1488" s="75"/>
      <c r="I1488" s="75"/>
      <c r="J1488" s="191"/>
    </row>
    <row r="1489">
      <c r="A1489" s="148"/>
      <c r="B1489" s="75"/>
      <c r="C1489" s="75"/>
      <c r="D1489" s="75"/>
      <c r="E1489" s="75"/>
      <c r="F1489" s="75"/>
      <c r="G1489" s="75"/>
      <c r="H1489" s="75"/>
      <c r="I1489" s="75"/>
      <c r="J1489" s="191"/>
    </row>
    <row r="1490">
      <c r="A1490" s="148"/>
      <c r="B1490" s="75"/>
      <c r="C1490" s="75"/>
      <c r="D1490" s="75"/>
      <c r="E1490" s="75"/>
      <c r="F1490" s="75"/>
      <c r="G1490" s="75"/>
      <c r="H1490" s="75"/>
      <c r="I1490" s="75"/>
      <c r="J1490" s="191"/>
    </row>
    <row r="1491">
      <c r="A1491" s="148"/>
      <c r="B1491" s="75"/>
      <c r="C1491" s="75"/>
      <c r="D1491" s="75"/>
      <c r="E1491" s="75"/>
      <c r="F1491" s="75"/>
      <c r="G1491" s="75"/>
      <c r="H1491" s="75"/>
      <c r="I1491" s="75"/>
      <c r="J1491" s="191"/>
    </row>
    <row r="1492">
      <c r="A1492" s="148"/>
      <c r="B1492" s="75"/>
      <c r="C1492" s="75"/>
      <c r="D1492" s="75"/>
      <c r="E1492" s="75"/>
      <c r="F1492" s="75"/>
      <c r="G1492" s="75"/>
      <c r="H1492" s="75"/>
      <c r="I1492" s="75"/>
      <c r="J1492" s="191"/>
    </row>
    <row r="1493">
      <c r="A1493" s="148"/>
      <c r="B1493" s="75"/>
      <c r="C1493" s="75"/>
      <c r="D1493" s="75"/>
      <c r="E1493" s="75"/>
      <c r="F1493" s="75"/>
      <c r="G1493" s="75"/>
      <c r="H1493" s="75"/>
      <c r="I1493" s="75"/>
      <c r="J1493" s="191"/>
    </row>
    <row r="1494">
      <c r="A1494" s="148"/>
      <c r="B1494" s="75"/>
      <c r="C1494" s="75"/>
      <c r="D1494" s="75"/>
      <c r="E1494" s="75"/>
      <c r="F1494" s="75"/>
      <c r="G1494" s="75"/>
      <c r="H1494" s="75"/>
      <c r="I1494" s="75"/>
      <c r="J1494" s="191"/>
    </row>
    <row r="1495">
      <c r="A1495" s="148"/>
      <c r="B1495" s="75"/>
      <c r="C1495" s="75"/>
      <c r="D1495" s="75"/>
      <c r="E1495" s="75"/>
      <c r="F1495" s="75"/>
      <c r="G1495" s="75"/>
      <c r="H1495" s="75"/>
      <c r="I1495" s="75"/>
      <c r="J1495" s="191"/>
    </row>
    <row r="1496">
      <c r="A1496" s="148"/>
      <c r="B1496" s="75"/>
      <c r="C1496" s="75"/>
      <c r="D1496" s="75"/>
      <c r="E1496" s="75"/>
      <c r="F1496" s="75"/>
      <c r="G1496" s="75"/>
      <c r="H1496" s="75"/>
      <c r="I1496" s="75"/>
      <c r="J1496" s="191"/>
    </row>
    <row r="1497">
      <c r="A1497" s="148"/>
      <c r="B1497" s="75"/>
      <c r="C1497" s="75"/>
      <c r="D1497" s="75"/>
      <c r="E1497" s="75"/>
      <c r="F1497" s="75"/>
      <c r="G1497" s="75"/>
      <c r="H1497" s="75"/>
      <c r="I1497" s="75"/>
      <c r="J1497" s="191"/>
    </row>
    <row r="1498">
      <c r="A1498" s="148"/>
      <c r="B1498" s="75"/>
      <c r="C1498" s="75"/>
      <c r="D1498" s="75"/>
      <c r="E1498" s="75"/>
      <c r="F1498" s="75"/>
      <c r="G1498" s="75"/>
      <c r="H1498" s="75"/>
      <c r="I1498" s="75"/>
      <c r="J1498" s="191"/>
    </row>
    <row r="1499">
      <c r="A1499" s="148"/>
      <c r="B1499" s="75"/>
      <c r="C1499" s="75"/>
      <c r="D1499" s="75"/>
      <c r="E1499" s="75"/>
      <c r="F1499" s="75"/>
      <c r="G1499" s="75"/>
      <c r="H1499" s="75"/>
      <c r="I1499" s="75"/>
      <c r="J1499" s="191"/>
    </row>
    <row r="1500">
      <c r="A1500" s="148"/>
      <c r="B1500" s="75"/>
      <c r="C1500" s="75"/>
      <c r="D1500" s="75"/>
      <c r="E1500" s="75"/>
      <c r="F1500" s="75"/>
      <c r="G1500" s="75"/>
      <c r="H1500" s="75"/>
      <c r="I1500" s="75"/>
      <c r="J1500" s="191"/>
    </row>
    <row r="1501">
      <c r="A1501" s="148"/>
      <c r="B1501" s="75"/>
      <c r="C1501" s="75"/>
      <c r="D1501" s="75"/>
      <c r="E1501" s="75"/>
      <c r="F1501" s="75"/>
      <c r="G1501" s="75"/>
      <c r="H1501" s="75"/>
      <c r="I1501" s="75"/>
      <c r="J1501" s="191"/>
    </row>
    <row r="1502">
      <c r="A1502" s="148"/>
      <c r="B1502" s="75"/>
      <c r="C1502" s="75"/>
      <c r="D1502" s="75"/>
      <c r="E1502" s="75"/>
      <c r="F1502" s="75"/>
      <c r="G1502" s="75"/>
      <c r="H1502" s="75"/>
      <c r="I1502" s="75"/>
      <c r="J1502" s="191"/>
    </row>
    <row r="1503">
      <c r="A1503" s="148"/>
      <c r="B1503" s="75"/>
      <c r="C1503" s="75"/>
      <c r="D1503" s="75"/>
      <c r="E1503" s="75"/>
      <c r="F1503" s="75"/>
      <c r="G1503" s="75"/>
      <c r="H1503" s="75"/>
      <c r="I1503" s="75"/>
      <c r="J1503" s="191"/>
    </row>
    <row r="1504">
      <c r="A1504" s="148"/>
      <c r="B1504" s="75"/>
      <c r="C1504" s="75"/>
      <c r="D1504" s="75"/>
      <c r="E1504" s="75"/>
      <c r="F1504" s="75"/>
      <c r="G1504" s="75"/>
      <c r="H1504" s="75"/>
      <c r="I1504" s="75"/>
      <c r="J1504" s="191"/>
    </row>
    <row r="1505">
      <c r="A1505" s="148"/>
      <c r="B1505" s="75"/>
      <c r="C1505" s="75"/>
      <c r="D1505" s="75"/>
      <c r="E1505" s="75"/>
      <c r="F1505" s="75"/>
      <c r="G1505" s="75"/>
      <c r="H1505" s="75"/>
      <c r="I1505" s="75"/>
      <c r="J1505" s="191"/>
    </row>
    <row r="1506">
      <c r="A1506" s="148"/>
      <c r="B1506" s="75"/>
      <c r="C1506" s="75"/>
      <c r="D1506" s="75"/>
      <c r="E1506" s="75"/>
      <c r="F1506" s="75"/>
      <c r="G1506" s="75"/>
      <c r="H1506" s="75"/>
      <c r="I1506" s="75"/>
      <c r="J1506" s="191"/>
    </row>
    <row r="1507">
      <c r="A1507" s="148"/>
      <c r="B1507" s="75"/>
      <c r="C1507" s="75"/>
      <c r="D1507" s="75"/>
      <c r="E1507" s="75"/>
      <c r="F1507" s="75"/>
      <c r="G1507" s="75"/>
      <c r="H1507" s="75"/>
      <c r="I1507" s="75"/>
      <c r="J1507" s="191"/>
    </row>
    <row r="1508">
      <c r="A1508" s="148"/>
      <c r="B1508" s="75"/>
      <c r="C1508" s="75"/>
      <c r="D1508" s="75"/>
      <c r="E1508" s="75"/>
      <c r="F1508" s="75"/>
      <c r="G1508" s="75"/>
      <c r="H1508" s="75"/>
      <c r="I1508" s="75"/>
      <c r="J1508" s="191"/>
    </row>
    <row r="1509">
      <c r="A1509" s="148"/>
      <c r="B1509" s="75"/>
      <c r="C1509" s="75"/>
      <c r="D1509" s="75"/>
      <c r="E1509" s="75"/>
      <c r="F1509" s="75"/>
      <c r="G1509" s="75"/>
      <c r="H1509" s="75"/>
      <c r="I1509" s="75"/>
      <c r="J1509" s="191"/>
    </row>
    <row r="1510">
      <c r="A1510" s="148"/>
      <c r="B1510" s="75"/>
      <c r="C1510" s="75"/>
      <c r="D1510" s="75"/>
      <c r="E1510" s="75"/>
      <c r="F1510" s="75"/>
      <c r="G1510" s="75"/>
      <c r="H1510" s="75"/>
      <c r="I1510" s="75"/>
      <c r="J1510" s="191"/>
    </row>
    <row r="1511">
      <c r="A1511" s="148"/>
      <c r="B1511" s="75"/>
      <c r="C1511" s="75"/>
      <c r="D1511" s="75"/>
      <c r="E1511" s="75"/>
      <c r="F1511" s="75"/>
      <c r="G1511" s="75"/>
      <c r="H1511" s="75"/>
      <c r="I1511" s="75"/>
      <c r="J1511" s="191"/>
    </row>
    <row r="1512">
      <c r="A1512" s="148"/>
      <c r="B1512" s="75"/>
      <c r="C1512" s="75"/>
      <c r="D1512" s="75"/>
      <c r="E1512" s="75"/>
      <c r="F1512" s="75"/>
      <c r="G1512" s="75"/>
      <c r="H1512" s="75"/>
      <c r="I1512" s="75"/>
      <c r="J1512" s="191"/>
    </row>
    <row r="1513">
      <c r="A1513" s="148"/>
      <c r="B1513" s="75"/>
      <c r="C1513" s="75"/>
      <c r="D1513" s="75"/>
      <c r="E1513" s="75"/>
      <c r="F1513" s="75"/>
      <c r="G1513" s="75"/>
      <c r="H1513" s="75"/>
      <c r="I1513" s="75"/>
      <c r="J1513" s="191"/>
    </row>
    <row r="1514">
      <c r="A1514" s="148"/>
      <c r="B1514" s="75"/>
      <c r="C1514" s="75"/>
      <c r="D1514" s="75"/>
      <c r="E1514" s="75"/>
      <c r="F1514" s="75"/>
      <c r="G1514" s="75"/>
      <c r="H1514" s="75"/>
      <c r="I1514" s="75"/>
      <c r="J1514" s="191"/>
    </row>
    <row r="1515">
      <c r="A1515" s="148"/>
      <c r="B1515" s="75"/>
      <c r="C1515" s="75"/>
      <c r="D1515" s="75"/>
      <c r="E1515" s="75"/>
      <c r="F1515" s="75"/>
      <c r="G1515" s="75"/>
      <c r="H1515" s="75"/>
      <c r="I1515" s="75"/>
      <c r="J1515" s="191"/>
    </row>
    <row r="1516">
      <c r="A1516" s="148"/>
      <c r="B1516" s="75"/>
      <c r="C1516" s="75"/>
      <c r="D1516" s="75"/>
      <c r="E1516" s="75"/>
      <c r="F1516" s="75"/>
      <c r="G1516" s="75"/>
      <c r="H1516" s="75"/>
      <c r="I1516" s="75"/>
      <c r="J1516" s="191"/>
    </row>
    <row r="1517">
      <c r="A1517" s="148"/>
      <c r="B1517" s="75"/>
      <c r="C1517" s="75"/>
      <c r="D1517" s="75"/>
      <c r="E1517" s="75"/>
      <c r="F1517" s="75"/>
      <c r="G1517" s="75"/>
      <c r="H1517" s="75"/>
      <c r="I1517" s="75"/>
      <c r="J1517" s="191"/>
    </row>
    <row r="1518">
      <c r="A1518" s="148"/>
      <c r="B1518" s="75"/>
      <c r="C1518" s="75"/>
      <c r="D1518" s="75"/>
      <c r="E1518" s="75"/>
      <c r="F1518" s="75"/>
      <c r="G1518" s="75"/>
      <c r="H1518" s="75"/>
      <c r="I1518" s="75"/>
      <c r="J1518" s="191"/>
    </row>
    <row r="1519">
      <c r="A1519" s="148"/>
      <c r="B1519" s="75"/>
      <c r="C1519" s="75"/>
      <c r="D1519" s="75"/>
      <c r="E1519" s="75"/>
      <c r="F1519" s="75"/>
      <c r="G1519" s="75"/>
      <c r="H1519" s="75"/>
      <c r="I1519" s="75"/>
      <c r="J1519" s="191"/>
    </row>
    <row r="1520">
      <c r="A1520" s="148"/>
      <c r="B1520" s="75"/>
      <c r="C1520" s="75"/>
      <c r="D1520" s="75"/>
      <c r="E1520" s="75"/>
      <c r="F1520" s="75"/>
      <c r="G1520" s="75"/>
      <c r="H1520" s="75"/>
      <c r="I1520" s="75"/>
      <c r="J1520" s="191"/>
    </row>
    <row r="1521">
      <c r="A1521" s="148"/>
      <c r="B1521" s="75"/>
      <c r="C1521" s="75"/>
      <c r="D1521" s="75"/>
      <c r="E1521" s="75"/>
      <c r="F1521" s="75"/>
      <c r="G1521" s="75"/>
      <c r="H1521" s="75"/>
      <c r="I1521" s="75"/>
      <c r="J1521" s="191"/>
    </row>
    <row r="1522">
      <c r="A1522" s="148"/>
      <c r="B1522" s="75"/>
      <c r="C1522" s="75"/>
      <c r="D1522" s="75"/>
      <c r="E1522" s="75"/>
      <c r="F1522" s="75"/>
      <c r="G1522" s="75"/>
      <c r="H1522" s="75"/>
      <c r="I1522" s="75"/>
      <c r="J1522" s="191"/>
    </row>
    <row r="1523">
      <c r="A1523" s="148"/>
      <c r="B1523" s="75"/>
      <c r="C1523" s="75"/>
      <c r="D1523" s="75"/>
      <c r="E1523" s="75"/>
      <c r="F1523" s="75"/>
      <c r="G1523" s="75"/>
      <c r="H1523" s="75"/>
      <c r="I1523" s="75"/>
      <c r="J1523" s="191"/>
    </row>
    <row r="1524">
      <c r="A1524" s="148"/>
      <c r="B1524" s="75"/>
      <c r="C1524" s="75"/>
      <c r="D1524" s="75"/>
      <c r="E1524" s="75"/>
      <c r="F1524" s="75"/>
      <c r="G1524" s="75"/>
      <c r="H1524" s="75"/>
      <c r="I1524" s="75"/>
      <c r="J1524" s="191"/>
    </row>
    <row r="1525">
      <c r="A1525" s="148"/>
      <c r="B1525" s="75"/>
      <c r="C1525" s="75"/>
      <c r="D1525" s="75"/>
      <c r="E1525" s="75"/>
      <c r="F1525" s="75"/>
      <c r="G1525" s="75"/>
      <c r="H1525" s="75"/>
      <c r="I1525" s="75"/>
      <c r="J1525" s="191"/>
    </row>
    <row r="1526">
      <c r="A1526" s="148"/>
      <c r="B1526" s="75"/>
      <c r="C1526" s="75"/>
      <c r="D1526" s="75"/>
      <c r="E1526" s="75"/>
      <c r="F1526" s="75"/>
      <c r="G1526" s="75"/>
      <c r="H1526" s="75"/>
      <c r="I1526" s="75"/>
      <c r="J1526" s="191"/>
    </row>
    <row r="1527">
      <c r="A1527" s="148"/>
      <c r="B1527" s="75"/>
      <c r="C1527" s="75"/>
      <c r="D1527" s="75"/>
      <c r="E1527" s="75"/>
      <c r="F1527" s="75"/>
      <c r="G1527" s="75"/>
      <c r="H1527" s="75"/>
      <c r="I1527" s="75"/>
      <c r="J1527" s="191"/>
    </row>
    <row r="1528">
      <c r="A1528" s="148"/>
      <c r="B1528" s="75"/>
      <c r="C1528" s="75"/>
      <c r="D1528" s="75"/>
      <c r="E1528" s="75"/>
      <c r="F1528" s="75"/>
      <c r="G1528" s="75"/>
      <c r="H1528" s="75"/>
      <c r="I1528" s="75"/>
      <c r="J1528" s="191"/>
    </row>
    <row r="1529">
      <c r="A1529" s="148"/>
      <c r="B1529" s="75"/>
      <c r="C1529" s="75"/>
      <c r="D1529" s="75"/>
      <c r="E1529" s="75"/>
      <c r="F1529" s="75"/>
      <c r="G1529" s="75"/>
      <c r="H1529" s="75"/>
      <c r="I1529" s="75"/>
      <c r="J1529" s="191"/>
    </row>
    <row r="1530">
      <c r="A1530" s="148"/>
      <c r="B1530" s="75"/>
      <c r="C1530" s="75"/>
      <c r="D1530" s="75"/>
      <c r="E1530" s="75"/>
      <c r="F1530" s="75"/>
      <c r="G1530" s="75"/>
      <c r="H1530" s="75"/>
      <c r="I1530" s="75"/>
      <c r="J1530" s="191"/>
    </row>
    <row r="1531">
      <c r="A1531" s="148"/>
      <c r="B1531" s="75"/>
      <c r="C1531" s="75"/>
      <c r="D1531" s="75"/>
      <c r="E1531" s="75"/>
      <c r="F1531" s="75"/>
      <c r="G1531" s="75"/>
      <c r="H1531" s="75"/>
      <c r="I1531" s="75"/>
      <c r="J1531" s="191"/>
    </row>
    <row r="1532">
      <c r="A1532" s="148"/>
      <c r="B1532" s="75"/>
      <c r="C1532" s="75"/>
      <c r="D1532" s="75"/>
      <c r="E1532" s="75"/>
      <c r="F1532" s="75"/>
      <c r="G1532" s="75"/>
      <c r="H1532" s="75"/>
      <c r="I1532" s="75"/>
      <c r="J1532" s="191"/>
    </row>
    <row r="1533">
      <c r="A1533" s="148"/>
      <c r="B1533" s="75"/>
      <c r="C1533" s="75"/>
      <c r="D1533" s="75"/>
      <c r="E1533" s="75"/>
      <c r="F1533" s="75"/>
      <c r="G1533" s="75"/>
      <c r="H1533" s="75"/>
      <c r="I1533" s="75"/>
      <c r="J1533" s="191"/>
    </row>
    <row r="1534">
      <c r="A1534" s="148"/>
      <c r="B1534" s="75"/>
      <c r="C1534" s="75"/>
      <c r="D1534" s="75"/>
      <c r="E1534" s="75"/>
      <c r="F1534" s="75"/>
      <c r="G1534" s="75"/>
      <c r="H1534" s="75"/>
      <c r="I1534" s="75"/>
      <c r="J1534" s="191"/>
    </row>
    <row r="1535">
      <c r="A1535" s="148"/>
      <c r="B1535" s="75"/>
      <c r="C1535" s="75"/>
      <c r="D1535" s="75"/>
      <c r="E1535" s="75"/>
      <c r="F1535" s="75"/>
      <c r="G1535" s="75"/>
      <c r="H1535" s="75"/>
      <c r="I1535" s="75"/>
      <c r="J1535" s="191"/>
    </row>
    <row r="1536">
      <c r="A1536" s="148"/>
      <c r="B1536" s="75"/>
      <c r="C1536" s="75"/>
      <c r="D1536" s="75"/>
      <c r="E1536" s="75"/>
      <c r="F1536" s="75"/>
      <c r="G1536" s="75"/>
      <c r="H1536" s="75"/>
      <c r="I1536" s="75"/>
      <c r="J1536" s="191"/>
    </row>
    <row r="1537">
      <c r="A1537" s="148"/>
      <c r="B1537" s="75"/>
      <c r="C1537" s="75"/>
      <c r="D1537" s="75"/>
      <c r="E1537" s="75"/>
      <c r="F1537" s="75"/>
      <c r="G1537" s="75"/>
      <c r="H1537" s="75"/>
      <c r="I1537" s="75"/>
      <c r="J1537" s="191"/>
    </row>
    <row r="1538">
      <c r="A1538" s="148"/>
      <c r="B1538" s="75"/>
      <c r="C1538" s="75"/>
      <c r="D1538" s="75"/>
      <c r="E1538" s="75"/>
      <c r="F1538" s="75"/>
      <c r="G1538" s="75"/>
      <c r="H1538" s="75"/>
      <c r="I1538" s="75"/>
      <c r="J1538" s="191"/>
    </row>
    <row r="1539">
      <c r="A1539" s="148"/>
      <c r="B1539" s="75"/>
      <c r="C1539" s="75"/>
      <c r="D1539" s="75"/>
      <c r="E1539" s="75"/>
      <c r="F1539" s="75"/>
      <c r="G1539" s="75"/>
      <c r="H1539" s="75"/>
      <c r="I1539" s="75"/>
      <c r="J1539" s="191"/>
    </row>
    <row r="1540">
      <c r="A1540" s="148"/>
      <c r="B1540" s="75"/>
      <c r="C1540" s="75"/>
      <c r="D1540" s="75"/>
      <c r="E1540" s="75"/>
      <c r="F1540" s="75"/>
      <c r="G1540" s="75"/>
      <c r="H1540" s="75"/>
      <c r="I1540" s="75"/>
      <c r="J1540" s="191"/>
    </row>
    <row r="1541">
      <c r="A1541" s="148"/>
      <c r="B1541" s="75"/>
      <c r="C1541" s="75"/>
      <c r="D1541" s="75"/>
      <c r="E1541" s="75"/>
      <c r="F1541" s="75"/>
      <c r="G1541" s="75"/>
      <c r="H1541" s="75"/>
      <c r="I1541" s="75"/>
      <c r="J1541" s="191"/>
    </row>
    <row r="1542">
      <c r="A1542" s="148"/>
      <c r="B1542" s="75"/>
      <c r="C1542" s="75"/>
      <c r="D1542" s="75"/>
      <c r="E1542" s="75"/>
      <c r="F1542" s="75"/>
      <c r="G1542" s="75"/>
      <c r="H1542" s="75"/>
      <c r="I1542" s="75"/>
      <c r="J1542" s="191"/>
    </row>
    <row r="1543">
      <c r="A1543" s="148"/>
      <c r="B1543" s="75"/>
      <c r="C1543" s="75"/>
      <c r="D1543" s="75"/>
      <c r="E1543" s="75"/>
      <c r="F1543" s="75"/>
      <c r="G1543" s="75"/>
      <c r="H1543" s="75"/>
      <c r="I1543" s="75"/>
      <c r="J1543" s="191"/>
    </row>
    <row r="1544">
      <c r="A1544" s="148"/>
      <c r="B1544" s="75"/>
      <c r="C1544" s="75"/>
      <c r="D1544" s="75"/>
      <c r="E1544" s="75"/>
      <c r="F1544" s="75"/>
      <c r="G1544" s="75"/>
      <c r="H1544" s="75"/>
      <c r="I1544" s="75"/>
      <c r="J1544" s="191"/>
    </row>
    <row r="1545">
      <c r="A1545" s="148"/>
      <c r="B1545" s="75"/>
      <c r="C1545" s="75"/>
      <c r="D1545" s="75"/>
      <c r="E1545" s="75"/>
      <c r="F1545" s="75"/>
      <c r="G1545" s="75"/>
      <c r="H1545" s="75"/>
      <c r="I1545" s="75"/>
      <c r="J1545" s="191"/>
    </row>
    <row r="1546">
      <c r="A1546" s="148"/>
      <c r="B1546" s="75"/>
      <c r="C1546" s="75"/>
      <c r="D1546" s="75"/>
      <c r="E1546" s="75"/>
      <c r="F1546" s="75"/>
      <c r="G1546" s="75"/>
      <c r="H1546" s="75"/>
      <c r="I1546" s="75"/>
      <c r="J1546" s="191"/>
    </row>
    <row r="1547">
      <c r="A1547" s="148"/>
      <c r="B1547" s="75"/>
      <c r="C1547" s="75"/>
      <c r="D1547" s="75"/>
      <c r="E1547" s="75"/>
      <c r="F1547" s="75"/>
      <c r="G1547" s="75"/>
      <c r="H1547" s="75"/>
      <c r="I1547" s="75"/>
      <c r="J1547" s="191"/>
    </row>
    <row r="1548">
      <c r="A1548" s="148"/>
      <c r="B1548" s="75"/>
      <c r="C1548" s="75"/>
      <c r="D1548" s="75"/>
      <c r="E1548" s="75"/>
      <c r="F1548" s="75"/>
      <c r="G1548" s="75"/>
      <c r="H1548" s="75"/>
      <c r="I1548" s="75"/>
      <c r="J1548" s="191"/>
    </row>
    <row r="1549">
      <c r="A1549" s="148"/>
      <c r="B1549" s="75"/>
      <c r="C1549" s="75"/>
      <c r="D1549" s="75"/>
      <c r="E1549" s="75"/>
      <c r="F1549" s="75"/>
      <c r="G1549" s="75"/>
      <c r="H1549" s="75"/>
      <c r="I1549" s="75"/>
      <c r="J1549" s="191"/>
    </row>
    <row r="1550">
      <c r="A1550" s="148"/>
      <c r="B1550" s="75"/>
      <c r="C1550" s="75"/>
      <c r="D1550" s="75"/>
      <c r="E1550" s="75"/>
      <c r="F1550" s="75"/>
      <c r="G1550" s="75"/>
      <c r="H1550" s="75"/>
      <c r="I1550" s="75"/>
      <c r="J1550" s="191"/>
    </row>
    <row r="1551">
      <c r="A1551" s="148"/>
      <c r="B1551" s="75"/>
      <c r="C1551" s="75"/>
      <c r="D1551" s="75"/>
      <c r="E1551" s="75"/>
      <c r="F1551" s="75"/>
      <c r="G1551" s="75"/>
      <c r="H1551" s="75"/>
      <c r="I1551" s="75"/>
      <c r="J1551" s="191"/>
    </row>
    <row r="1552">
      <c r="A1552" s="148"/>
      <c r="B1552" s="75"/>
      <c r="C1552" s="75"/>
      <c r="D1552" s="75"/>
      <c r="E1552" s="75"/>
      <c r="F1552" s="75"/>
      <c r="G1552" s="75"/>
      <c r="H1552" s="75"/>
      <c r="I1552" s="75"/>
      <c r="J1552" s="191"/>
    </row>
    <row r="1553">
      <c r="A1553" s="148"/>
      <c r="B1553" s="75"/>
      <c r="C1553" s="75"/>
      <c r="D1553" s="75"/>
      <c r="E1553" s="75"/>
      <c r="F1553" s="75"/>
      <c r="G1553" s="75"/>
      <c r="H1553" s="75"/>
      <c r="I1553" s="75"/>
      <c r="J1553" s="191"/>
    </row>
    <row r="1554">
      <c r="A1554" s="148"/>
      <c r="B1554" s="75"/>
      <c r="C1554" s="75"/>
      <c r="D1554" s="75"/>
      <c r="E1554" s="75"/>
      <c r="F1554" s="75"/>
      <c r="G1554" s="75"/>
      <c r="H1554" s="75"/>
      <c r="I1554" s="75"/>
      <c r="J1554" s="191"/>
    </row>
    <row r="1555">
      <c r="A1555" s="148"/>
      <c r="B1555" s="75"/>
      <c r="C1555" s="75"/>
      <c r="D1555" s="75"/>
      <c r="E1555" s="75"/>
      <c r="F1555" s="75"/>
      <c r="G1555" s="75"/>
      <c r="H1555" s="75"/>
      <c r="I1555" s="75"/>
      <c r="J1555" s="191"/>
    </row>
    <row r="1556">
      <c r="A1556" s="148"/>
      <c r="B1556" s="75"/>
      <c r="C1556" s="75"/>
      <c r="D1556" s="75"/>
      <c r="E1556" s="75"/>
      <c r="F1556" s="75"/>
      <c r="G1556" s="75"/>
      <c r="H1556" s="75"/>
      <c r="I1556" s="75"/>
      <c r="J1556" s="191"/>
    </row>
    <row r="1557">
      <c r="A1557" s="148"/>
      <c r="B1557" s="75"/>
      <c r="C1557" s="75"/>
      <c r="D1557" s="75"/>
      <c r="E1557" s="75"/>
      <c r="F1557" s="75"/>
      <c r="G1557" s="75"/>
      <c r="H1557" s="75"/>
      <c r="I1557" s="75"/>
      <c r="J1557" s="191"/>
    </row>
    <row r="1558">
      <c r="A1558" s="148"/>
      <c r="B1558" s="75"/>
      <c r="C1558" s="75"/>
      <c r="D1558" s="75"/>
      <c r="E1558" s="75"/>
      <c r="F1558" s="75"/>
      <c r="G1558" s="75"/>
      <c r="H1558" s="75"/>
      <c r="I1558" s="75"/>
      <c r="J1558" s="191"/>
    </row>
    <row r="1559">
      <c r="A1559" s="148"/>
      <c r="B1559" s="75"/>
      <c r="C1559" s="75"/>
      <c r="D1559" s="75"/>
      <c r="E1559" s="75"/>
      <c r="F1559" s="75"/>
      <c r="G1559" s="75"/>
      <c r="H1559" s="75"/>
      <c r="I1559" s="75"/>
      <c r="J1559" s="191"/>
    </row>
    <row r="1560">
      <c r="A1560" s="148"/>
      <c r="B1560" s="75"/>
      <c r="C1560" s="75"/>
      <c r="D1560" s="75"/>
      <c r="E1560" s="75"/>
      <c r="F1560" s="75"/>
      <c r="G1560" s="75"/>
      <c r="H1560" s="75"/>
      <c r="I1560" s="75"/>
      <c r="J1560" s="191"/>
    </row>
    <row r="1561">
      <c r="A1561" s="148"/>
      <c r="B1561" s="75"/>
      <c r="C1561" s="75"/>
      <c r="D1561" s="75"/>
      <c r="E1561" s="75"/>
      <c r="F1561" s="75"/>
      <c r="G1561" s="75"/>
      <c r="H1561" s="75"/>
      <c r="I1561" s="75"/>
      <c r="J1561" s="191"/>
    </row>
    <row r="1562">
      <c r="A1562" s="148"/>
      <c r="B1562" s="75"/>
      <c r="C1562" s="75"/>
      <c r="D1562" s="75"/>
      <c r="E1562" s="75"/>
      <c r="F1562" s="75"/>
      <c r="G1562" s="75"/>
      <c r="H1562" s="75"/>
      <c r="I1562" s="75"/>
      <c r="J1562" s="191"/>
    </row>
    <row r="1563">
      <c r="A1563" s="148"/>
      <c r="B1563" s="75"/>
      <c r="C1563" s="75"/>
      <c r="D1563" s="75"/>
      <c r="E1563" s="75"/>
      <c r="F1563" s="75"/>
      <c r="G1563" s="75"/>
      <c r="H1563" s="75"/>
      <c r="I1563" s="75"/>
      <c r="J1563" s="191"/>
    </row>
    <row r="1564">
      <c r="A1564" s="148"/>
      <c r="B1564" s="75"/>
      <c r="C1564" s="75"/>
      <c r="D1564" s="75"/>
      <c r="E1564" s="75"/>
      <c r="F1564" s="75"/>
      <c r="G1564" s="75"/>
      <c r="H1564" s="75"/>
      <c r="I1564" s="75"/>
      <c r="J1564" s="191"/>
    </row>
    <row r="1565">
      <c r="A1565" s="148"/>
      <c r="B1565" s="75"/>
      <c r="C1565" s="75"/>
      <c r="D1565" s="75"/>
      <c r="E1565" s="75"/>
      <c r="F1565" s="75"/>
      <c r="G1565" s="75"/>
      <c r="H1565" s="75"/>
      <c r="I1565" s="75"/>
      <c r="J1565" s="191"/>
    </row>
    <row r="1566">
      <c r="A1566" s="148"/>
      <c r="B1566" s="75"/>
      <c r="C1566" s="75"/>
      <c r="D1566" s="75"/>
      <c r="E1566" s="75"/>
      <c r="F1566" s="75"/>
      <c r="G1566" s="75"/>
      <c r="H1566" s="75"/>
      <c r="I1566" s="75"/>
      <c r="J1566" s="191"/>
    </row>
    <row r="1567">
      <c r="A1567" s="148"/>
      <c r="B1567" s="75"/>
      <c r="C1567" s="75"/>
      <c r="D1567" s="75"/>
      <c r="E1567" s="75"/>
      <c r="F1567" s="75"/>
      <c r="G1567" s="75"/>
      <c r="H1567" s="75"/>
      <c r="I1567" s="75"/>
      <c r="J1567" s="191"/>
    </row>
    <row r="1568">
      <c r="A1568" s="148"/>
      <c r="B1568" s="75"/>
      <c r="C1568" s="75"/>
      <c r="D1568" s="75"/>
      <c r="E1568" s="75"/>
      <c r="F1568" s="75"/>
      <c r="G1568" s="75"/>
      <c r="H1568" s="75"/>
      <c r="I1568" s="75"/>
      <c r="J1568" s="191"/>
    </row>
    <row r="1569">
      <c r="A1569" s="148"/>
      <c r="B1569" s="75"/>
      <c r="C1569" s="75"/>
      <c r="D1569" s="75"/>
      <c r="E1569" s="75"/>
      <c r="F1569" s="75"/>
      <c r="G1569" s="75"/>
      <c r="H1569" s="75"/>
      <c r="I1569" s="75"/>
      <c r="J1569" s="191"/>
    </row>
    <row r="1570">
      <c r="A1570" s="148"/>
      <c r="B1570" s="75"/>
      <c r="C1570" s="75"/>
      <c r="D1570" s="75"/>
      <c r="E1570" s="75"/>
      <c r="F1570" s="75"/>
      <c r="G1570" s="75"/>
      <c r="H1570" s="75"/>
      <c r="I1570" s="75"/>
      <c r="J1570" s="191"/>
    </row>
    <row r="1571">
      <c r="A1571" s="148"/>
      <c r="B1571" s="75"/>
      <c r="C1571" s="75"/>
      <c r="D1571" s="75"/>
      <c r="E1571" s="75"/>
      <c r="F1571" s="75"/>
      <c r="G1571" s="75"/>
      <c r="H1571" s="75"/>
      <c r="I1571" s="75"/>
      <c r="J1571" s="191"/>
    </row>
    <row r="1572">
      <c r="A1572" s="148"/>
      <c r="B1572" s="75"/>
      <c r="C1572" s="75"/>
      <c r="D1572" s="75"/>
      <c r="E1572" s="75"/>
      <c r="F1572" s="75"/>
      <c r="G1572" s="75"/>
      <c r="H1572" s="75"/>
      <c r="I1572" s="75"/>
      <c r="J1572" s="191"/>
    </row>
    <row r="1573">
      <c r="A1573" s="148"/>
      <c r="B1573" s="75"/>
      <c r="C1573" s="75"/>
      <c r="D1573" s="75"/>
      <c r="E1573" s="75"/>
      <c r="F1573" s="75"/>
      <c r="G1573" s="75"/>
      <c r="H1573" s="75"/>
      <c r="I1573" s="75"/>
      <c r="J1573" s="191"/>
    </row>
    <row r="1574">
      <c r="A1574" s="148"/>
      <c r="B1574" s="75"/>
      <c r="C1574" s="75"/>
      <c r="D1574" s="75"/>
      <c r="E1574" s="75"/>
      <c r="F1574" s="75"/>
      <c r="G1574" s="75"/>
      <c r="H1574" s="75"/>
      <c r="I1574" s="75"/>
      <c r="J1574" s="191"/>
    </row>
    <row r="1575">
      <c r="A1575" s="148"/>
      <c r="B1575" s="75"/>
      <c r="C1575" s="75"/>
      <c r="D1575" s="75"/>
      <c r="E1575" s="75"/>
      <c r="F1575" s="75"/>
      <c r="G1575" s="75"/>
      <c r="H1575" s="75"/>
      <c r="I1575" s="75"/>
      <c r="J1575" s="191"/>
    </row>
    <row r="1576">
      <c r="A1576" s="148"/>
      <c r="B1576" s="75"/>
      <c r="C1576" s="75"/>
      <c r="D1576" s="75"/>
      <c r="E1576" s="75"/>
      <c r="F1576" s="75"/>
      <c r="G1576" s="75"/>
      <c r="H1576" s="75"/>
      <c r="I1576" s="75"/>
      <c r="J1576" s="191"/>
    </row>
    <row r="1577">
      <c r="A1577" s="148"/>
      <c r="B1577" s="75"/>
      <c r="C1577" s="75"/>
      <c r="D1577" s="75"/>
      <c r="E1577" s="75"/>
      <c r="F1577" s="75"/>
      <c r="G1577" s="75"/>
      <c r="H1577" s="75"/>
      <c r="I1577" s="75"/>
      <c r="J1577" s="191"/>
    </row>
    <row r="1578">
      <c r="A1578" s="148"/>
      <c r="B1578" s="75"/>
      <c r="C1578" s="75"/>
      <c r="D1578" s="75"/>
      <c r="E1578" s="75"/>
      <c r="F1578" s="75"/>
      <c r="G1578" s="75"/>
      <c r="H1578" s="75"/>
      <c r="I1578" s="75"/>
      <c r="J1578" s="191"/>
    </row>
    <row r="1579">
      <c r="A1579" s="148"/>
      <c r="B1579" s="75"/>
      <c r="C1579" s="75"/>
      <c r="D1579" s="75"/>
      <c r="E1579" s="75"/>
      <c r="F1579" s="75"/>
      <c r="G1579" s="75"/>
      <c r="H1579" s="75"/>
      <c r="I1579" s="75"/>
      <c r="J1579" s="191"/>
    </row>
    <row r="1580">
      <c r="A1580" s="148"/>
      <c r="B1580" s="75"/>
      <c r="C1580" s="75"/>
      <c r="D1580" s="75"/>
      <c r="E1580" s="75"/>
      <c r="F1580" s="75"/>
      <c r="G1580" s="75"/>
      <c r="H1580" s="75"/>
      <c r="I1580" s="75"/>
      <c r="J1580" s="191"/>
    </row>
    <row r="1581">
      <c r="A1581" s="148"/>
      <c r="B1581" s="75"/>
      <c r="C1581" s="75"/>
      <c r="D1581" s="75"/>
      <c r="E1581" s="75"/>
      <c r="F1581" s="75"/>
      <c r="G1581" s="75"/>
      <c r="H1581" s="75"/>
      <c r="I1581" s="75"/>
      <c r="J1581" s="191"/>
    </row>
    <row r="1582">
      <c r="A1582" s="148"/>
      <c r="B1582" s="75"/>
      <c r="C1582" s="75"/>
      <c r="D1582" s="75"/>
      <c r="E1582" s="75"/>
      <c r="F1582" s="75"/>
      <c r="G1582" s="75"/>
      <c r="H1582" s="75"/>
      <c r="I1582" s="75"/>
      <c r="J1582" s="191"/>
    </row>
    <row r="1583">
      <c r="A1583" s="148"/>
      <c r="B1583" s="75"/>
      <c r="C1583" s="75"/>
      <c r="D1583" s="75"/>
      <c r="E1583" s="75"/>
      <c r="F1583" s="75"/>
      <c r="G1583" s="75"/>
      <c r="H1583" s="75"/>
      <c r="I1583" s="75"/>
      <c r="J1583" s="191"/>
    </row>
    <row r="1584">
      <c r="A1584" s="148"/>
      <c r="B1584" s="75"/>
      <c r="C1584" s="75"/>
      <c r="D1584" s="75"/>
      <c r="E1584" s="75"/>
      <c r="F1584" s="75"/>
      <c r="G1584" s="75"/>
      <c r="H1584" s="75"/>
      <c r="I1584" s="75"/>
      <c r="J1584" s="191"/>
    </row>
    <row r="1585">
      <c r="A1585" s="148"/>
      <c r="B1585" s="75"/>
      <c r="C1585" s="75"/>
      <c r="D1585" s="75"/>
      <c r="E1585" s="75"/>
      <c r="F1585" s="75"/>
      <c r="G1585" s="75"/>
      <c r="H1585" s="75"/>
      <c r="I1585" s="75"/>
      <c r="J1585" s="191"/>
    </row>
    <row r="1586">
      <c r="A1586" s="148"/>
      <c r="B1586" s="75"/>
      <c r="C1586" s="75"/>
      <c r="D1586" s="75"/>
      <c r="E1586" s="75"/>
      <c r="F1586" s="75"/>
      <c r="G1586" s="75"/>
      <c r="H1586" s="75"/>
      <c r="I1586" s="75"/>
      <c r="J1586" s="191"/>
    </row>
    <row r="1587">
      <c r="A1587" s="148"/>
      <c r="B1587" s="75"/>
      <c r="C1587" s="75"/>
      <c r="D1587" s="75"/>
      <c r="E1587" s="75"/>
      <c r="F1587" s="75"/>
      <c r="G1587" s="75"/>
      <c r="H1587" s="75"/>
      <c r="I1587" s="75"/>
      <c r="J1587" s="191"/>
    </row>
    <row r="1588">
      <c r="A1588" s="148"/>
      <c r="B1588" s="75"/>
      <c r="C1588" s="75"/>
      <c r="D1588" s="75"/>
      <c r="E1588" s="75"/>
      <c r="F1588" s="75"/>
      <c r="G1588" s="75"/>
      <c r="H1588" s="75"/>
      <c r="I1588" s="75"/>
      <c r="J1588" s="191"/>
    </row>
    <row r="1589">
      <c r="A1589" s="148"/>
      <c r="B1589" s="75"/>
      <c r="C1589" s="75"/>
      <c r="D1589" s="75"/>
      <c r="E1589" s="75"/>
      <c r="F1589" s="75"/>
      <c r="G1589" s="75"/>
      <c r="H1589" s="75"/>
      <c r="I1589" s="75"/>
      <c r="J1589" s="191"/>
    </row>
    <row r="1590">
      <c r="A1590" s="148"/>
      <c r="B1590" s="75"/>
      <c r="C1590" s="75"/>
      <c r="D1590" s="75"/>
      <c r="E1590" s="75"/>
      <c r="F1590" s="75"/>
      <c r="G1590" s="75"/>
      <c r="H1590" s="75"/>
      <c r="I1590" s="75"/>
      <c r="J1590" s="191"/>
    </row>
    <row r="1591">
      <c r="A1591" s="148"/>
      <c r="B1591" s="75"/>
      <c r="C1591" s="75"/>
      <c r="D1591" s="75"/>
      <c r="E1591" s="75"/>
      <c r="F1591" s="75"/>
      <c r="G1591" s="75"/>
      <c r="H1591" s="75"/>
      <c r="I1591" s="75"/>
      <c r="J1591" s="191"/>
    </row>
    <row r="1592">
      <c r="A1592" s="148"/>
      <c r="B1592" s="75"/>
      <c r="C1592" s="75"/>
      <c r="D1592" s="75"/>
      <c r="E1592" s="75"/>
      <c r="F1592" s="75"/>
      <c r="G1592" s="75"/>
      <c r="H1592" s="75"/>
      <c r="I1592" s="75"/>
      <c r="J1592" s="191"/>
    </row>
    <row r="1593">
      <c r="A1593" s="148"/>
      <c r="B1593" s="75"/>
      <c r="C1593" s="75"/>
      <c r="D1593" s="75"/>
      <c r="E1593" s="75"/>
      <c r="F1593" s="75"/>
      <c r="G1593" s="75"/>
      <c r="H1593" s="75"/>
      <c r="I1593" s="75"/>
      <c r="J1593" s="191"/>
    </row>
    <row r="1594">
      <c r="A1594" s="148"/>
      <c r="B1594" s="75"/>
      <c r="C1594" s="75"/>
      <c r="D1594" s="75"/>
      <c r="E1594" s="75"/>
      <c r="F1594" s="75"/>
      <c r="G1594" s="75"/>
      <c r="H1594" s="75"/>
      <c r="I1594" s="75"/>
      <c r="J1594" s="191"/>
    </row>
    <row r="1595">
      <c r="A1595" s="148"/>
      <c r="B1595" s="75"/>
      <c r="C1595" s="75"/>
      <c r="D1595" s="75"/>
      <c r="E1595" s="75"/>
      <c r="F1595" s="75"/>
      <c r="G1595" s="75"/>
      <c r="H1595" s="75"/>
      <c r="I1595" s="75"/>
      <c r="J1595" s="191"/>
    </row>
    <row r="1596">
      <c r="A1596" s="148"/>
      <c r="B1596" s="75"/>
      <c r="C1596" s="75"/>
      <c r="D1596" s="75"/>
      <c r="E1596" s="75"/>
      <c r="F1596" s="75"/>
      <c r="G1596" s="75"/>
      <c r="H1596" s="75"/>
      <c r="I1596" s="75"/>
      <c r="J1596" s="191"/>
    </row>
    <row r="1597">
      <c r="A1597" s="148"/>
      <c r="B1597" s="75"/>
      <c r="C1597" s="75"/>
      <c r="D1597" s="75"/>
      <c r="E1597" s="75"/>
      <c r="F1597" s="75"/>
      <c r="G1597" s="75"/>
      <c r="H1597" s="75"/>
      <c r="I1597" s="75"/>
      <c r="J1597" s="191"/>
    </row>
    <row r="1598">
      <c r="A1598" s="148"/>
      <c r="B1598" s="75"/>
      <c r="C1598" s="75"/>
      <c r="D1598" s="75"/>
      <c r="E1598" s="75"/>
      <c r="F1598" s="75"/>
      <c r="G1598" s="75"/>
      <c r="H1598" s="75"/>
      <c r="I1598" s="75"/>
      <c r="J1598" s="191"/>
    </row>
    <row r="1599">
      <c r="A1599" s="148"/>
      <c r="B1599" s="75"/>
      <c r="C1599" s="75"/>
      <c r="D1599" s="75"/>
      <c r="E1599" s="75"/>
      <c r="F1599" s="75"/>
      <c r="G1599" s="75"/>
      <c r="H1599" s="75"/>
      <c r="I1599" s="75"/>
      <c r="J1599" s="191"/>
    </row>
    <row r="1600">
      <c r="A1600" s="148"/>
      <c r="B1600" s="75"/>
      <c r="C1600" s="75"/>
      <c r="D1600" s="75"/>
      <c r="E1600" s="75"/>
      <c r="F1600" s="75"/>
      <c r="G1600" s="75"/>
      <c r="H1600" s="75"/>
      <c r="I1600" s="75"/>
      <c r="J1600" s="191"/>
    </row>
    <row r="1601">
      <c r="A1601" s="148"/>
      <c r="B1601" s="75"/>
      <c r="C1601" s="75"/>
      <c r="D1601" s="75"/>
      <c r="E1601" s="75"/>
      <c r="F1601" s="75"/>
      <c r="G1601" s="75"/>
      <c r="H1601" s="75"/>
      <c r="I1601" s="75"/>
      <c r="J1601" s="191"/>
    </row>
    <row r="1602">
      <c r="A1602" s="148"/>
      <c r="B1602" s="75"/>
      <c r="C1602" s="75"/>
      <c r="D1602" s="75"/>
      <c r="E1602" s="75"/>
      <c r="F1602" s="75"/>
      <c r="G1602" s="75"/>
      <c r="H1602" s="75"/>
      <c r="I1602" s="75"/>
      <c r="J1602" s="191"/>
    </row>
    <row r="1603">
      <c r="A1603" s="148"/>
      <c r="B1603" s="75"/>
      <c r="C1603" s="75"/>
      <c r="D1603" s="75"/>
      <c r="E1603" s="75"/>
      <c r="F1603" s="75"/>
      <c r="G1603" s="75"/>
      <c r="H1603" s="75"/>
      <c r="I1603" s="75"/>
      <c r="J1603" s="191"/>
    </row>
    <row r="1604">
      <c r="A1604" s="148"/>
      <c r="B1604" s="75"/>
      <c r="C1604" s="75"/>
      <c r="D1604" s="75"/>
      <c r="E1604" s="75"/>
      <c r="F1604" s="75"/>
      <c r="G1604" s="75"/>
      <c r="H1604" s="75"/>
      <c r="I1604" s="75"/>
      <c r="J1604" s="191"/>
    </row>
    <row r="1605">
      <c r="A1605" s="148"/>
      <c r="B1605" s="75"/>
      <c r="C1605" s="75"/>
      <c r="D1605" s="75"/>
      <c r="E1605" s="75"/>
      <c r="F1605" s="75"/>
      <c r="G1605" s="75"/>
      <c r="H1605" s="75"/>
      <c r="I1605" s="75"/>
      <c r="J1605" s="191"/>
    </row>
    <row r="1606">
      <c r="A1606" s="148"/>
      <c r="B1606" s="75"/>
      <c r="C1606" s="75"/>
      <c r="D1606" s="75"/>
      <c r="E1606" s="75"/>
      <c r="F1606" s="75"/>
      <c r="G1606" s="75"/>
      <c r="H1606" s="75"/>
      <c r="I1606" s="75"/>
      <c r="J1606" s="191"/>
    </row>
    <row r="1607">
      <c r="A1607" s="148"/>
      <c r="B1607" s="75"/>
      <c r="C1607" s="75"/>
      <c r="D1607" s="75"/>
      <c r="E1607" s="75"/>
      <c r="F1607" s="75"/>
      <c r="G1607" s="75"/>
      <c r="H1607" s="75"/>
      <c r="I1607" s="75"/>
      <c r="J1607" s="191"/>
    </row>
    <row r="1608">
      <c r="A1608" s="148"/>
      <c r="B1608" s="75"/>
      <c r="C1608" s="75"/>
      <c r="D1608" s="75"/>
      <c r="E1608" s="75"/>
      <c r="F1608" s="75"/>
      <c r="G1608" s="75"/>
      <c r="H1608" s="75"/>
      <c r="I1608" s="75"/>
      <c r="J1608" s="191"/>
    </row>
    <row r="1609">
      <c r="A1609" s="148"/>
      <c r="B1609" s="75"/>
      <c r="C1609" s="75"/>
      <c r="D1609" s="75"/>
      <c r="E1609" s="75"/>
      <c r="F1609" s="75"/>
      <c r="G1609" s="75"/>
      <c r="H1609" s="75"/>
      <c r="I1609" s="75"/>
      <c r="J1609" s="191"/>
    </row>
    <row r="1610">
      <c r="A1610" s="148"/>
      <c r="B1610" s="75"/>
      <c r="C1610" s="75"/>
      <c r="D1610" s="75"/>
      <c r="E1610" s="75"/>
      <c r="F1610" s="75"/>
      <c r="G1610" s="75"/>
      <c r="H1610" s="75"/>
      <c r="I1610" s="75"/>
      <c r="J1610" s="191"/>
    </row>
    <row r="1611">
      <c r="A1611" s="148"/>
      <c r="B1611" s="75"/>
      <c r="C1611" s="75"/>
      <c r="D1611" s="75"/>
      <c r="E1611" s="75"/>
      <c r="F1611" s="75"/>
      <c r="G1611" s="75"/>
      <c r="H1611" s="75"/>
      <c r="I1611" s="75"/>
      <c r="J1611" s="191"/>
    </row>
    <row r="1612">
      <c r="A1612" s="148"/>
      <c r="B1612" s="75"/>
      <c r="C1612" s="75"/>
      <c r="D1612" s="75"/>
      <c r="E1612" s="75"/>
      <c r="F1612" s="75"/>
      <c r="G1612" s="75"/>
      <c r="H1612" s="75"/>
      <c r="I1612" s="75"/>
      <c r="J1612" s="191"/>
    </row>
    <row r="1613">
      <c r="A1613" s="148"/>
      <c r="B1613" s="75"/>
      <c r="C1613" s="75"/>
      <c r="D1613" s="75"/>
      <c r="E1613" s="75"/>
      <c r="F1613" s="75"/>
      <c r="G1613" s="75"/>
      <c r="H1613" s="75"/>
      <c r="I1613" s="75"/>
      <c r="J1613" s="191"/>
    </row>
    <row r="1614">
      <c r="A1614" s="148"/>
      <c r="B1614" s="75"/>
      <c r="C1614" s="75"/>
      <c r="D1614" s="75"/>
      <c r="E1614" s="75"/>
      <c r="F1614" s="75"/>
      <c r="G1614" s="75"/>
      <c r="H1614" s="75"/>
      <c r="I1614" s="75"/>
      <c r="J1614" s="191"/>
    </row>
    <row r="1615">
      <c r="A1615" s="148"/>
      <c r="B1615" s="75"/>
      <c r="C1615" s="75"/>
      <c r="D1615" s="75"/>
      <c r="E1615" s="75"/>
      <c r="F1615" s="75"/>
      <c r="G1615" s="75"/>
      <c r="H1615" s="75"/>
      <c r="I1615" s="75"/>
      <c r="J1615" s="191"/>
    </row>
    <row r="1616">
      <c r="A1616" s="148"/>
      <c r="B1616" s="75"/>
      <c r="C1616" s="75"/>
      <c r="D1616" s="75"/>
      <c r="E1616" s="75"/>
      <c r="F1616" s="75"/>
      <c r="G1616" s="75"/>
      <c r="H1616" s="75"/>
      <c r="I1616" s="75"/>
      <c r="J1616" s="191"/>
    </row>
    <row r="1617">
      <c r="A1617" s="148"/>
      <c r="B1617" s="75"/>
      <c r="C1617" s="75"/>
      <c r="D1617" s="75"/>
      <c r="E1617" s="75"/>
      <c r="F1617" s="75"/>
      <c r="G1617" s="75"/>
      <c r="H1617" s="75"/>
      <c r="I1617" s="75"/>
      <c r="J1617" s="191"/>
    </row>
    <row r="1618">
      <c r="A1618" s="148"/>
      <c r="B1618" s="75"/>
      <c r="C1618" s="75"/>
      <c r="D1618" s="75"/>
      <c r="E1618" s="75"/>
      <c r="F1618" s="75"/>
      <c r="G1618" s="75"/>
      <c r="H1618" s="75"/>
      <c r="I1618" s="75"/>
      <c r="J1618" s="191"/>
    </row>
    <row r="1619">
      <c r="A1619" s="148"/>
      <c r="B1619" s="75"/>
      <c r="C1619" s="75"/>
      <c r="D1619" s="75"/>
      <c r="E1619" s="75"/>
      <c r="F1619" s="75"/>
      <c r="G1619" s="75"/>
      <c r="H1619" s="75"/>
      <c r="I1619" s="75"/>
      <c r="J1619" s="191"/>
    </row>
    <row r="1620">
      <c r="A1620" s="148"/>
      <c r="B1620" s="75"/>
      <c r="C1620" s="75"/>
      <c r="D1620" s="75"/>
      <c r="E1620" s="75"/>
      <c r="F1620" s="75"/>
      <c r="G1620" s="75"/>
      <c r="H1620" s="75"/>
      <c r="I1620" s="75"/>
      <c r="J1620" s="191"/>
    </row>
    <row r="1621">
      <c r="A1621" s="148"/>
      <c r="B1621" s="75"/>
      <c r="C1621" s="75"/>
      <c r="D1621" s="75"/>
      <c r="E1621" s="75"/>
      <c r="F1621" s="75"/>
      <c r="G1621" s="75"/>
      <c r="H1621" s="75"/>
      <c r="I1621" s="75"/>
      <c r="J1621" s="191"/>
    </row>
    <row r="1622">
      <c r="A1622" s="148"/>
      <c r="B1622" s="75"/>
      <c r="C1622" s="75"/>
      <c r="D1622" s="75"/>
      <c r="E1622" s="75"/>
      <c r="F1622" s="75"/>
      <c r="G1622" s="75"/>
      <c r="H1622" s="75"/>
      <c r="I1622" s="75"/>
      <c r="J1622" s="191"/>
    </row>
    <row r="1623">
      <c r="A1623" s="148"/>
      <c r="B1623" s="75"/>
      <c r="C1623" s="75"/>
      <c r="D1623" s="75"/>
      <c r="E1623" s="75"/>
      <c r="F1623" s="75"/>
      <c r="G1623" s="75"/>
      <c r="H1623" s="75"/>
      <c r="I1623" s="75"/>
      <c r="J1623" s="191"/>
    </row>
    <row r="1624">
      <c r="A1624" s="148"/>
      <c r="B1624" s="75"/>
      <c r="C1624" s="75"/>
      <c r="D1624" s="75"/>
      <c r="E1624" s="75"/>
      <c r="F1624" s="75"/>
      <c r="G1624" s="75"/>
      <c r="H1624" s="75"/>
      <c r="I1624" s="75"/>
      <c r="J1624" s="191"/>
    </row>
    <row r="1625">
      <c r="A1625" s="148"/>
      <c r="B1625" s="75"/>
      <c r="C1625" s="75"/>
      <c r="D1625" s="75"/>
      <c r="E1625" s="75"/>
      <c r="F1625" s="75"/>
      <c r="G1625" s="75"/>
      <c r="H1625" s="75"/>
      <c r="I1625" s="75"/>
      <c r="J1625" s="191"/>
    </row>
    <row r="1626">
      <c r="A1626" s="148"/>
      <c r="B1626" s="75"/>
      <c r="C1626" s="75"/>
      <c r="D1626" s="75"/>
      <c r="E1626" s="75"/>
      <c r="F1626" s="75"/>
      <c r="G1626" s="75"/>
      <c r="H1626" s="75"/>
      <c r="I1626" s="75"/>
      <c r="J1626" s="191"/>
    </row>
    <row r="1627">
      <c r="A1627" s="148"/>
      <c r="B1627" s="75"/>
      <c r="C1627" s="75"/>
      <c r="D1627" s="75"/>
      <c r="E1627" s="75"/>
      <c r="F1627" s="75"/>
      <c r="G1627" s="75"/>
      <c r="H1627" s="75"/>
      <c r="I1627" s="75"/>
      <c r="J1627" s="191"/>
    </row>
    <row r="1628">
      <c r="A1628" s="148"/>
      <c r="B1628" s="75"/>
      <c r="C1628" s="75"/>
      <c r="D1628" s="75"/>
      <c r="E1628" s="75"/>
      <c r="F1628" s="75"/>
      <c r="G1628" s="75"/>
      <c r="H1628" s="75"/>
      <c r="I1628" s="75"/>
      <c r="J1628" s="191"/>
    </row>
    <row r="1629">
      <c r="A1629" s="148"/>
      <c r="B1629" s="75"/>
      <c r="C1629" s="75"/>
      <c r="D1629" s="75"/>
      <c r="E1629" s="75"/>
      <c r="F1629" s="75"/>
      <c r="G1629" s="75"/>
      <c r="H1629" s="75"/>
      <c r="I1629" s="75"/>
      <c r="J1629" s="191"/>
    </row>
    <row r="1630">
      <c r="A1630" s="148"/>
      <c r="B1630" s="75"/>
      <c r="C1630" s="75"/>
      <c r="D1630" s="75"/>
      <c r="E1630" s="75"/>
      <c r="F1630" s="75"/>
      <c r="G1630" s="75"/>
      <c r="H1630" s="75"/>
      <c r="I1630" s="75"/>
      <c r="J1630" s="191"/>
    </row>
    <row r="1631">
      <c r="A1631" s="148"/>
      <c r="B1631" s="75"/>
      <c r="C1631" s="75"/>
      <c r="D1631" s="75"/>
      <c r="E1631" s="75"/>
      <c r="F1631" s="75"/>
      <c r="G1631" s="75"/>
      <c r="H1631" s="75"/>
      <c r="I1631" s="75"/>
      <c r="J1631" s="191"/>
    </row>
    <row r="1632">
      <c r="A1632" s="148"/>
      <c r="B1632" s="75"/>
      <c r="C1632" s="75"/>
      <c r="D1632" s="75"/>
      <c r="E1632" s="75"/>
      <c r="F1632" s="75"/>
      <c r="G1632" s="75"/>
      <c r="H1632" s="75"/>
      <c r="I1632" s="75"/>
      <c r="J1632" s="191"/>
    </row>
    <row r="1633">
      <c r="A1633" s="148"/>
      <c r="B1633" s="75"/>
      <c r="C1633" s="75"/>
      <c r="D1633" s="75"/>
      <c r="E1633" s="75"/>
      <c r="F1633" s="75"/>
      <c r="G1633" s="75"/>
      <c r="H1633" s="75"/>
      <c r="I1633" s="75"/>
      <c r="J1633" s="191"/>
    </row>
    <row r="1634">
      <c r="A1634" s="148"/>
      <c r="B1634" s="75"/>
      <c r="C1634" s="75"/>
      <c r="D1634" s="75"/>
      <c r="E1634" s="75"/>
      <c r="F1634" s="75"/>
      <c r="G1634" s="75"/>
      <c r="H1634" s="75"/>
      <c r="I1634" s="75"/>
      <c r="J1634" s="191"/>
    </row>
    <row r="1635">
      <c r="A1635" s="148"/>
      <c r="B1635" s="75"/>
      <c r="C1635" s="75"/>
      <c r="D1635" s="75"/>
      <c r="E1635" s="75"/>
      <c r="F1635" s="75"/>
      <c r="G1635" s="75"/>
      <c r="H1635" s="75"/>
      <c r="I1635" s="75"/>
      <c r="J1635" s="191"/>
    </row>
    <row r="1636">
      <c r="A1636" s="148"/>
      <c r="B1636" s="75"/>
      <c r="C1636" s="75"/>
      <c r="D1636" s="75"/>
      <c r="E1636" s="75"/>
      <c r="F1636" s="75"/>
      <c r="G1636" s="75"/>
      <c r="H1636" s="75"/>
      <c r="I1636" s="75"/>
      <c r="J1636" s="191"/>
    </row>
    <row r="1637">
      <c r="A1637" s="148"/>
      <c r="B1637" s="75"/>
      <c r="C1637" s="75"/>
      <c r="D1637" s="75"/>
      <c r="E1637" s="75"/>
      <c r="F1637" s="75"/>
      <c r="G1637" s="75"/>
      <c r="H1637" s="75"/>
      <c r="I1637" s="75"/>
      <c r="J1637" s="191"/>
    </row>
    <row r="1638">
      <c r="A1638" s="148"/>
      <c r="B1638" s="75"/>
      <c r="C1638" s="75"/>
      <c r="D1638" s="75"/>
      <c r="E1638" s="75"/>
      <c r="F1638" s="75"/>
      <c r="G1638" s="75"/>
      <c r="H1638" s="75"/>
      <c r="I1638" s="75"/>
      <c r="J1638" s="191"/>
    </row>
    <row r="1639">
      <c r="A1639" s="148"/>
      <c r="B1639" s="75"/>
      <c r="C1639" s="75"/>
      <c r="D1639" s="75"/>
      <c r="E1639" s="75"/>
      <c r="F1639" s="75"/>
      <c r="G1639" s="75"/>
      <c r="H1639" s="75"/>
      <c r="I1639" s="75"/>
      <c r="J1639" s="191"/>
    </row>
    <row r="1640">
      <c r="A1640" s="148"/>
      <c r="B1640" s="75"/>
      <c r="C1640" s="75"/>
      <c r="D1640" s="75"/>
      <c r="E1640" s="75"/>
      <c r="F1640" s="75"/>
      <c r="G1640" s="75"/>
      <c r="H1640" s="75"/>
      <c r="I1640" s="75"/>
      <c r="J1640" s="191"/>
    </row>
    <row r="1641">
      <c r="A1641" s="148"/>
      <c r="B1641" s="75"/>
      <c r="C1641" s="75"/>
      <c r="D1641" s="75"/>
      <c r="E1641" s="75"/>
      <c r="F1641" s="75"/>
      <c r="G1641" s="75"/>
      <c r="H1641" s="75"/>
      <c r="I1641" s="75"/>
      <c r="J1641" s="191"/>
    </row>
    <row r="1642">
      <c r="A1642" s="148"/>
      <c r="B1642" s="75"/>
      <c r="C1642" s="75"/>
      <c r="D1642" s="75"/>
      <c r="E1642" s="75"/>
      <c r="F1642" s="75"/>
      <c r="G1642" s="75"/>
      <c r="H1642" s="75"/>
      <c r="I1642" s="75"/>
      <c r="J1642" s="191"/>
    </row>
    <row r="1643">
      <c r="A1643" s="148"/>
      <c r="B1643" s="75"/>
      <c r="C1643" s="75"/>
      <c r="D1643" s="75"/>
      <c r="E1643" s="75"/>
      <c r="F1643" s="75"/>
      <c r="G1643" s="75"/>
      <c r="H1643" s="75"/>
      <c r="I1643" s="75"/>
      <c r="J1643" s="191"/>
    </row>
    <row r="1644">
      <c r="A1644" s="148"/>
      <c r="B1644" s="75"/>
      <c r="C1644" s="75"/>
      <c r="D1644" s="75"/>
      <c r="E1644" s="75"/>
      <c r="F1644" s="75"/>
      <c r="G1644" s="75"/>
      <c r="H1644" s="75"/>
      <c r="I1644" s="75"/>
      <c r="J1644" s="191"/>
    </row>
    <row r="1645">
      <c r="A1645" s="148"/>
      <c r="B1645" s="75"/>
      <c r="C1645" s="75"/>
      <c r="D1645" s="75"/>
      <c r="E1645" s="75"/>
      <c r="F1645" s="75"/>
      <c r="G1645" s="75"/>
      <c r="H1645" s="75"/>
      <c r="I1645" s="75"/>
      <c r="J1645" s="191"/>
    </row>
    <row r="1646">
      <c r="A1646" s="148"/>
      <c r="B1646" s="75"/>
      <c r="C1646" s="75"/>
      <c r="D1646" s="75"/>
      <c r="E1646" s="75"/>
      <c r="F1646" s="75"/>
      <c r="G1646" s="75"/>
      <c r="H1646" s="75"/>
      <c r="I1646" s="75"/>
      <c r="J1646" s="191"/>
    </row>
    <row r="1647">
      <c r="A1647" s="148"/>
      <c r="B1647" s="75"/>
      <c r="C1647" s="75"/>
      <c r="D1647" s="75"/>
      <c r="E1647" s="75"/>
      <c r="F1647" s="75"/>
      <c r="G1647" s="75"/>
      <c r="H1647" s="75"/>
      <c r="I1647" s="75"/>
      <c r="J1647" s="191"/>
    </row>
    <row r="1648">
      <c r="A1648" s="148"/>
      <c r="B1648" s="75"/>
      <c r="C1648" s="75"/>
      <c r="D1648" s="75"/>
      <c r="E1648" s="75"/>
      <c r="F1648" s="75"/>
      <c r="G1648" s="75"/>
      <c r="H1648" s="75"/>
      <c r="I1648" s="75"/>
      <c r="J1648" s="191"/>
    </row>
    <row r="1649">
      <c r="A1649" s="148"/>
      <c r="B1649" s="75"/>
      <c r="C1649" s="75"/>
      <c r="D1649" s="75"/>
      <c r="E1649" s="75"/>
      <c r="F1649" s="75"/>
      <c r="G1649" s="75"/>
      <c r="H1649" s="75"/>
      <c r="I1649" s="75"/>
      <c r="J1649" s="191"/>
    </row>
    <row r="1650">
      <c r="A1650" s="148"/>
      <c r="B1650" s="75"/>
      <c r="C1650" s="75"/>
      <c r="D1650" s="75"/>
      <c r="E1650" s="75"/>
      <c r="F1650" s="75"/>
      <c r="G1650" s="75"/>
      <c r="H1650" s="75"/>
      <c r="I1650" s="75"/>
      <c r="J1650" s="191"/>
    </row>
    <row r="1651">
      <c r="A1651" s="148"/>
      <c r="B1651" s="75"/>
      <c r="C1651" s="75"/>
      <c r="D1651" s="75"/>
      <c r="E1651" s="75"/>
      <c r="F1651" s="75"/>
      <c r="G1651" s="75"/>
      <c r="H1651" s="75"/>
      <c r="I1651" s="75"/>
      <c r="J1651" s="191"/>
    </row>
    <row r="1652">
      <c r="A1652" s="148"/>
      <c r="B1652" s="75"/>
      <c r="C1652" s="75"/>
      <c r="D1652" s="75"/>
      <c r="E1652" s="75"/>
      <c r="F1652" s="75"/>
      <c r="G1652" s="75"/>
      <c r="H1652" s="75"/>
      <c r="I1652" s="75"/>
      <c r="J1652" s="191"/>
    </row>
    <row r="1653">
      <c r="A1653" s="148"/>
      <c r="B1653" s="75"/>
      <c r="C1653" s="75"/>
      <c r="D1653" s="75"/>
      <c r="E1653" s="75"/>
      <c r="F1653" s="75"/>
      <c r="G1653" s="75"/>
      <c r="H1653" s="75"/>
      <c r="I1653" s="75"/>
      <c r="J1653" s="191"/>
    </row>
    <row r="1654">
      <c r="A1654" s="148"/>
      <c r="B1654" s="75"/>
      <c r="C1654" s="75"/>
      <c r="D1654" s="75"/>
      <c r="E1654" s="75"/>
      <c r="F1654" s="75"/>
      <c r="G1654" s="75"/>
      <c r="H1654" s="75"/>
      <c r="I1654" s="75"/>
      <c r="J1654" s="191"/>
    </row>
    <row r="1655">
      <c r="A1655" s="148"/>
      <c r="B1655" s="75"/>
      <c r="C1655" s="75"/>
      <c r="D1655" s="75"/>
      <c r="E1655" s="75"/>
      <c r="F1655" s="75"/>
      <c r="G1655" s="75"/>
      <c r="H1655" s="75"/>
      <c r="I1655" s="75"/>
      <c r="J1655" s="191"/>
    </row>
    <row r="1656">
      <c r="A1656" s="148"/>
      <c r="B1656" s="75"/>
      <c r="C1656" s="75"/>
      <c r="D1656" s="75"/>
      <c r="E1656" s="75"/>
      <c r="F1656" s="75"/>
      <c r="G1656" s="75"/>
      <c r="H1656" s="75"/>
      <c r="I1656" s="75"/>
      <c r="J1656" s="191"/>
    </row>
    <row r="1657">
      <c r="A1657" s="148"/>
      <c r="B1657" s="75"/>
      <c r="C1657" s="75"/>
      <c r="D1657" s="75"/>
      <c r="E1657" s="75"/>
      <c r="F1657" s="75"/>
      <c r="G1657" s="75"/>
      <c r="H1657" s="75"/>
      <c r="I1657" s="75"/>
      <c r="J1657" s="191"/>
    </row>
    <row r="1658">
      <c r="A1658" s="148"/>
      <c r="B1658" s="75"/>
      <c r="C1658" s="75"/>
      <c r="D1658" s="75"/>
      <c r="E1658" s="75"/>
      <c r="F1658" s="75"/>
      <c r="G1658" s="75"/>
      <c r="H1658" s="75"/>
      <c r="I1658" s="75"/>
      <c r="J1658" s="191"/>
    </row>
    <row r="1659">
      <c r="A1659" s="148"/>
      <c r="B1659" s="75"/>
      <c r="C1659" s="75"/>
      <c r="D1659" s="75"/>
      <c r="E1659" s="75"/>
      <c r="F1659" s="75"/>
      <c r="G1659" s="75"/>
      <c r="H1659" s="75"/>
      <c r="I1659" s="75"/>
      <c r="J1659" s="191"/>
    </row>
    <row r="1660">
      <c r="A1660" s="148"/>
      <c r="B1660" s="75"/>
      <c r="C1660" s="75"/>
      <c r="D1660" s="75"/>
      <c r="E1660" s="75"/>
      <c r="F1660" s="75"/>
      <c r="G1660" s="75"/>
      <c r="H1660" s="75"/>
      <c r="I1660" s="75"/>
      <c r="J1660" s="191"/>
    </row>
    <row r="1661">
      <c r="A1661" s="148"/>
      <c r="B1661" s="75"/>
      <c r="C1661" s="75"/>
      <c r="D1661" s="75"/>
      <c r="E1661" s="75"/>
      <c r="F1661" s="75"/>
      <c r="G1661" s="75"/>
      <c r="H1661" s="75"/>
      <c r="I1661" s="75"/>
      <c r="J1661" s="191"/>
    </row>
    <row r="1662">
      <c r="A1662" s="148"/>
      <c r="B1662" s="75"/>
      <c r="C1662" s="75"/>
      <c r="D1662" s="75"/>
      <c r="E1662" s="75"/>
      <c r="F1662" s="75"/>
      <c r="G1662" s="75"/>
      <c r="H1662" s="75"/>
      <c r="I1662" s="75"/>
      <c r="J1662" s="191"/>
    </row>
    <row r="1663">
      <c r="A1663" s="148"/>
      <c r="B1663" s="75"/>
      <c r="C1663" s="75"/>
      <c r="D1663" s="75"/>
      <c r="E1663" s="75"/>
      <c r="F1663" s="75"/>
      <c r="G1663" s="75"/>
      <c r="H1663" s="75"/>
      <c r="I1663" s="75"/>
      <c r="J1663" s="191"/>
    </row>
    <row r="1664">
      <c r="A1664" s="148"/>
      <c r="B1664" s="75"/>
      <c r="C1664" s="75"/>
      <c r="D1664" s="75"/>
      <c r="E1664" s="75"/>
      <c r="F1664" s="75"/>
      <c r="G1664" s="75"/>
      <c r="H1664" s="75"/>
      <c r="I1664" s="75"/>
      <c r="J1664" s="191"/>
    </row>
    <row r="1665">
      <c r="A1665" s="148"/>
      <c r="B1665" s="75"/>
      <c r="C1665" s="75"/>
      <c r="D1665" s="75"/>
      <c r="E1665" s="75"/>
      <c r="F1665" s="75"/>
      <c r="G1665" s="75"/>
      <c r="H1665" s="75"/>
      <c r="I1665" s="75"/>
      <c r="J1665" s="191"/>
    </row>
    <row r="1666">
      <c r="A1666" s="148"/>
      <c r="B1666" s="75"/>
      <c r="C1666" s="75"/>
      <c r="D1666" s="75"/>
      <c r="E1666" s="75"/>
      <c r="F1666" s="75"/>
      <c r="G1666" s="75"/>
      <c r="H1666" s="75"/>
      <c r="I1666" s="75"/>
      <c r="J1666" s="191"/>
    </row>
    <row r="1667">
      <c r="A1667" s="148"/>
      <c r="B1667" s="75"/>
      <c r="C1667" s="75"/>
      <c r="D1667" s="75"/>
      <c r="E1667" s="75"/>
      <c r="F1667" s="75"/>
      <c r="G1667" s="75"/>
      <c r="H1667" s="75"/>
      <c r="I1667" s="75"/>
      <c r="J1667" s="191"/>
    </row>
    <row r="1668">
      <c r="A1668" s="148"/>
      <c r="B1668" s="75"/>
      <c r="C1668" s="75"/>
      <c r="D1668" s="75"/>
      <c r="E1668" s="75"/>
      <c r="F1668" s="75"/>
      <c r="G1668" s="75"/>
      <c r="H1668" s="75"/>
      <c r="I1668" s="75"/>
      <c r="J1668" s="191"/>
    </row>
    <row r="1669">
      <c r="A1669" s="148"/>
      <c r="B1669" s="75"/>
      <c r="C1669" s="75"/>
      <c r="D1669" s="75"/>
      <c r="E1669" s="75"/>
      <c r="F1669" s="75"/>
      <c r="G1669" s="75"/>
      <c r="H1669" s="75"/>
      <c r="I1669" s="75"/>
      <c r="J1669" s="191"/>
    </row>
    <row r="1670">
      <c r="A1670" s="148"/>
      <c r="B1670" s="75"/>
      <c r="C1670" s="75"/>
      <c r="D1670" s="75"/>
      <c r="E1670" s="75"/>
      <c r="F1670" s="75"/>
      <c r="G1670" s="75"/>
      <c r="H1670" s="75"/>
      <c r="I1670" s="75"/>
      <c r="J1670" s="191"/>
    </row>
    <row r="1671">
      <c r="A1671" s="148"/>
      <c r="B1671" s="75"/>
      <c r="C1671" s="75"/>
      <c r="D1671" s="75"/>
      <c r="E1671" s="75"/>
      <c r="F1671" s="75"/>
      <c r="G1671" s="75"/>
      <c r="H1671" s="75"/>
      <c r="I1671" s="75"/>
      <c r="J1671" s="191"/>
    </row>
    <row r="1672">
      <c r="A1672" s="148"/>
      <c r="B1672" s="75"/>
      <c r="C1672" s="75"/>
      <c r="D1672" s="75"/>
      <c r="E1672" s="75"/>
      <c r="F1672" s="75"/>
      <c r="G1672" s="75"/>
      <c r="H1672" s="75"/>
      <c r="I1672" s="75"/>
      <c r="J1672" s="191"/>
    </row>
    <row r="1673">
      <c r="A1673" s="148"/>
      <c r="B1673" s="75"/>
      <c r="C1673" s="75"/>
      <c r="D1673" s="75"/>
      <c r="E1673" s="75"/>
      <c r="F1673" s="75"/>
      <c r="G1673" s="75"/>
      <c r="H1673" s="75"/>
      <c r="I1673" s="75"/>
      <c r="J1673" s="191"/>
    </row>
    <row r="1674">
      <c r="A1674" s="148"/>
      <c r="B1674" s="75"/>
      <c r="C1674" s="75"/>
      <c r="D1674" s="75"/>
      <c r="E1674" s="75"/>
      <c r="F1674" s="75"/>
      <c r="G1674" s="75"/>
      <c r="H1674" s="75"/>
      <c r="I1674" s="75"/>
      <c r="J1674" s="191"/>
    </row>
    <row r="1675">
      <c r="A1675" s="148"/>
      <c r="B1675" s="75"/>
      <c r="C1675" s="75"/>
      <c r="D1675" s="75"/>
      <c r="E1675" s="75"/>
      <c r="F1675" s="75"/>
      <c r="G1675" s="75"/>
      <c r="H1675" s="75"/>
      <c r="I1675" s="75"/>
      <c r="J1675" s="191"/>
    </row>
    <row r="1676">
      <c r="A1676" s="148"/>
      <c r="B1676" s="75"/>
      <c r="C1676" s="75"/>
      <c r="D1676" s="75"/>
      <c r="E1676" s="75"/>
      <c r="F1676" s="75"/>
      <c r="G1676" s="75"/>
      <c r="H1676" s="75"/>
      <c r="I1676" s="75"/>
      <c r="J1676" s="191"/>
    </row>
    <row r="1677">
      <c r="A1677" s="148"/>
      <c r="B1677" s="75"/>
      <c r="C1677" s="75"/>
      <c r="D1677" s="75"/>
      <c r="E1677" s="75"/>
      <c r="F1677" s="75"/>
      <c r="G1677" s="75"/>
      <c r="H1677" s="75"/>
      <c r="I1677" s="75"/>
      <c r="J1677" s="191"/>
    </row>
    <row r="1678">
      <c r="A1678" s="148"/>
      <c r="B1678" s="75"/>
      <c r="C1678" s="75"/>
      <c r="D1678" s="75"/>
      <c r="E1678" s="75"/>
      <c r="F1678" s="75"/>
      <c r="G1678" s="75"/>
      <c r="H1678" s="75"/>
      <c r="I1678" s="75"/>
      <c r="J1678" s="191"/>
    </row>
    <row r="1679">
      <c r="A1679" s="148"/>
      <c r="B1679" s="75"/>
      <c r="C1679" s="75"/>
      <c r="D1679" s="75"/>
      <c r="E1679" s="75"/>
      <c r="F1679" s="75"/>
      <c r="G1679" s="75"/>
      <c r="H1679" s="75"/>
      <c r="I1679" s="75"/>
      <c r="J1679" s="191"/>
    </row>
    <row r="1680">
      <c r="A1680" s="148"/>
      <c r="B1680" s="75"/>
      <c r="C1680" s="75"/>
      <c r="D1680" s="75"/>
      <c r="E1680" s="75"/>
      <c r="F1680" s="75"/>
      <c r="G1680" s="75"/>
      <c r="H1680" s="75"/>
      <c r="I1680" s="75"/>
      <c r="J1680" s="191"/>
    </row>
    <row r="1681">
      <c r="A1681" s="148"/>
      <c r="B1681" s="75"/>
      <c r="C1681" s="75"/>
      <c r="D1681" s="75"/>
      <c r="E1681" s="75"/>
      <c r="F1681" s="75"/>
      <c r="G1681" s="75"/>
      <c r="H1681" s="75"/>
      <c r="I1681" s="75"/>
      <c r="J1681" s="191"/>
    </row>
    <row r="1682">
      <c r="A1682" s="148"/>
      <c r="B1682" s="75"/>
      <c r="C1682" s="75"/>
      <c r="D1682" s="75"/>
      <c r="E1682" s="75"/>
      <c r="F1682" s="75"/>
      <c r="G1682" s="75"/>
      <c r="H1682" s="75"/>
      <c r="I1682" s="75"/>
      <c r="J1682" s="191"/>
    </row>
    <row r="1683">
      <c r="A1683" s="148"/>
      <c r="B1683" s="75"/>
      <c r="C1683" s="75"/>
      <c r="D1683" s="75"/>
      <c r="E1683" s="75"/>
      <c r="F1683" s="75"/>
      <c r="G1683" s="75"/>
      <c r="H1683" s="75"/>
      <c r="I1683" s="75"/>
      <c r="J1683" s="191"/>
    </row>
    <row r="1684">
      <c r="A1684" s="148"/>
      <c r="B1684" s="75"/>
      <c r="C1684" s="75"/>
      <c r="D1684" s="75"/>
      <c r="E1684" s="75"/>
      <c r="F1684" s="75"/>
      <c r="G1684" s="75"/>
      <c r="H1684" s="75"/>
      <c r="I1684" s="75"/>
      <c r="J1684" s="191"/>
    </row>
    <row r="1685">
      <c r="A1685" s="148"/>
      <c r="B1685" s="75"/>
      <c r="C1685" s="75"/>
      <c r="D1685" s="75"/>
      <c r="E1685" s="75"/>
      <c r="F1685" s="75"/>
      <c r="G1685" s="75"/>
      <c r="H1685" s="75"/>
      <c r="I1685" s="75"/>
      <c r="J1685" s="191"/>
    </row>
    <row r="1686">
      <c r="A1686" s="148"/>
      <c r="B1686" s="75"/>
      <c r="C1686" s="75"/>
      <c r="D1686" s="75"/>
      <c r="E1686" s="75"/>
      <c r="F1686" s="75"/>
      <c r="G1686" s="75"/>
      <c r="H1686" s="75"/>
      <c r="I1686" s="75"/>
      <c r="J1686" s="191"/>
    </row>
    <row r="1687">
      <c r="A1687" s="148"/>
      <c r="B1687" s="75"/>
      <c r="C1687" s="75"/>
      <c r="D1687" s="75"/>
      <c r="E1687" s="75"/>
      <c r="F1687" s="75"/>
      <c r="G1687" s="75"/>
      <c r="H1687" s="75"/>
      <c r="I1687" s="75"/>
      <c r="J1687" s="191"/>
    </row>
    <row r="1688">
      <c r="A1688" s="148"/>
      <c r="B1688" s="75"/>
      <c r="C1688" s="75"/>
      <c r="D1688" s="75"/>
      <c r="E1688" s="75"/>
      <c r="F1688" s="75"/>
      <c r="G1688" s="75"/>
      <c r="H1688" s="75"/>
      <c r="I1688" s="75"/>
      <c r="J1688" s="191"/>
    </row>
    <row r="1689">
      <c r="A1689" s="148"/>
      <c r="B1689" s="75"/>
      <c r="C1689" s="75"/>
      <c r="D1689" s="75"/>
      <c r="E1689" s="75"/>
      <c r="F1689" s="75"/>
      <c r="G1689" s="75"/>
      <c r="H1689" s="75"/>
      <c r="I1689" s="75"/>
      <c r="J1689" s="191"/>
    </row>
    <row r="1690">
      <c r="A1690" s="148"/>
      <c r="B1690" s="75"/>
      <c r="C1690" s="75"/>
      <c r="D1690" s="75"/>
      <c r="E1690" s="75"/>
      <c r="F1690" s="75"/>
      <c r="G1690" s="75"/>
      <c r="H1690" s="75"/>
      <c r="I1690" s="75"/>
      <c r="J1690" s="191"/>
    </row>
    <row r="1691">
      <c r="A1691" s="148"/>
      <c r="B1691" s="75"/>
      <c r="C1691" s="75"/>
      <c r="D1691" s="75"/>
      <c r="E1691" s="75"/>
      <c r="F1691" s="75"/>
      <c r="G1691" s="75"/>
      <c r="H1691" s="75"/>
      <c r="I1691" s="75"/>
      <c r="J1691" s="191"/>
    </row>
    <row r="1692">
      <c r="A1692" s="148"/>
      <c r="B1692" s="75"/>
      <c r="C1692" s="75"/>
      <c r="D1692" s="75"/>
      <c r="E1692" s="75"/>
      <c r="F1692" s="75"/>
      <c r="G1692" s="75"/>
      <c r="H1692" s="75"/>
      <c r="I1692" s="75"/>
      <c r="J1692" s="191"/>
    </row>
    <row r="1693">
      <c r="A1693" s="148"/>
      <c r="B1693" s="75"/>
      <c r="C1693" s="75"/>
      <c r="D1693" s="75"/>
      <c r="E1693" s="75"/>
      <c r="F1693" s="75"/>
      <c r="G1693" s="75"/>
      <c r="H1693" s="75"/>
      <c r="I1693" s="75"/>
      <c r="J1693" s="191"/>
    </row>
    <row r="1694">
      <c r="A1694" s="148"/>
      <c r="B1694" s="75"/>
      <c r="C1694" s="75"/>
      <c r="D1694" s="75"/>
      <c r="E1694" s="75"/>
      <c r="F1694" s="75"/>
      <c r="G1694" s="75"/>
      <c r="H1694" s="75"/>
      <c r="I1694" s="75"/>
      <c r="J1694" s="191"/>
    </row>
    <row r="1695">
      <c r="A1695" s="148"/>
      <c r="B1695" s="75"/>
      <c r="C1695" s="75"/>
      <c r="D1695" s="75"/>
      <c r="E1695" s="75"/>
      <c r="F1695" s="75"/>
      <c r="G1695" s="75"/>
      <c r="H1695" s="75"/>
      <c r="I1695" s="75"/>
      <c r="J1695" s="191"/>
    </row>
    <row r="1696">
      <c r="A1696" s="148"/>
      <c r="B1696" s="75"/>
      <c r="C1696" s="75"/>
      <c r="D1696" s="75"/>
      <c r="E1696" s="75"/>
      <c r="F1696" s="75"/>
      <c r="G1696" s="75"/>
      <c r="H1696" s="75"/>
      <c r="I1696" s="75"/>
      <c r="J1696" s="191"/>
    </row>
    <row r="1697">
      <c r="A1697" s="148"/>
      <c r="B1697" s="75"/>
      <c r="C1697" s="75"/>
      <c r="D1697" s="75"/>
      <c r="E1697" s="75"/>
      <c r="F1697" s="75"/>
      <c r="G1697" s="75"/>
      <c r="H1697" s="75"/>
      <c r="I1697" s="75"/>
      <c r="J1697" s="191"/>
    </row>
    <row r="1698">
      <c r="A1698" s="148"/>
      <c r="B1698" s="75"/>
      <c r="C1698" s="75"/>
      <c r="D1698" s="75"/>
      <c r="E1698" s="75"/>
      <c r="F1698" s="75"/>
      <c r="G1698" s="75"/>
      <c r="H1698" s="75"/>
      <c r="I1698" s="75"/>
      <c r="J1698" s="191"/>
    </row>
    <row r="1699">
      <c r="A1699" s="148"/>
      <c r="B1699" s="75"/>
      <c r="C1699" s="75"/>
      <c r="D1699" s="75"/>
      <c r="E1699" s="75"/>
      <c r="F1699" s="75"/>
      <c r="G1699" s="75"/>
      <c r="H1699" s="75"/>
      <c r="I1699" s="75"/>
      <c r="J1699" s="191"/>
    </row>
    <row r="1700">
      <c r="A1700" s="148"/>
      <c r="B1700" s="75"/>
      <c r="C1700" s="75"/>
      <c r="D1700" s="75"/>
      <c r="E1700" s="75"/>
      <c r="F1700" s="75"/>
      <c r="G1700" s="75"/>
      <c r="H1700" s="75"/>
      <c r="I1700" s="75"/>
      <c r="J1700" s="191"/>
    </row>
    <row r="1701">
      <c r="A1701" s="148"/>
      <c r="B1701" s="75"/>
      <c r="C1701" s="75"/>
      <c r="D1701" s="75"/>
      <c r="E1701" s="75"/>
      <c r="F1701" s="75"/>
      <c r="G1701" s="75"/>
      <c r="H1701" s="75"/>
      <c r="I1701" s="75"/>
      <c r="J1701" s="191"/>
    </row>
    <row r="1702">
      <c r="A1702" s="148"/>
      <c r="B1702" s="75"/>
      <c r="C1702" s="75"/>
      <c r="D1702" s="75"/>
      <c r="E1702" s="75"/>
      <c r="F1702" s="75"/>
      <c r="G1702" s="75"/>
      <c r="H1702" s="75"/>
      <c r="I1702" s="75"/>
      <c r="J1702" s="191"/>
    </row>
    <row r="1703">
      <c r="A1703" s="148"/>
      <c r="B1703" s="75"/>
      <c r="C1703" s="75"/>
      <c r="D1703" s="75"/>
      <c r="E1703" s="75"/>
      <c r="F1703" s="75"/>
      <c r="G1703" s="75"/>
      <c r="H1703" s="75"/>
      <c r="I1703" s="75"/>
      <c r="J1703" s="191"/>
    </row>
    <row r="1704">
      <c r="A1704" s="148"/>
      <c r="B1704" s="75"/>
      <c r="C1704" s="75"/>
      <c r="D1704" s="75"/>
      <c r="E1704" s="75"/>
      <c r="F1704" s="75"/>
      <c r="G1704" s="75"/>
      <c r="H1704" s="75"/>
      <c r="I1704" s="75"/>
      <c r="J1704" s="191"/>
    </row>
    <row r="1705">
      <c r="A1705" s="148"/>
      <c r="B1705" s="75"/>
      <c r="C1705" s="75"/>
      <c r="D1705" s="75"/>
      <c r="E1705" s="75"/>
      <c r="F1705" s="75"/>
      <c r="G1705" s="75"/>
      <c r="H1705" s="75"/>
      <c r="I1705" s="75"/>
      <c r="J1705" s="191"/>
    </row>
    <row r="1706">
      <c r="A1706" s="148"/>
      <c r="B1706" s="75"/>
      <c r="C1706" s="75"/>
      <c r="D1706" s="75"/>
      <c r="E1706" s="75"/>
      <c r="F1706" s="75"/>
      <c r="G1706" s="75"/>
      <c r="H1706" s="75"/>
      <c r="I1706" s="75"/>
      <c r="J1706" s="191"/>
    </row>
    <row r="1707">
      <c r="A1707" s="148"/>
      <c r="B1707" s="75"/>
      <c r="C1707" s="75"/>
      <c r="D1707" s="75"/>
      <c r="E1707" s="75"/>
      <c r="F1707" s="75"/>
      <c r="G1707" s="75"/>
      <c r="H1707" s="75"/>
      <c r="I1707" s="75"/>
      <c r="J1707" s="191"/>
    </row>
    <row r="1708">
      <c r="A1708" s="148"/>
      <c r="B1708" s="75"/>
      <c r="C1708" s="75"/>
      <c r="D1708" s="75"/>
      <c r="E1708" s="75"/>
      <c r="F1708" s="75"/>
      <c r="G1708" s="75"/>
      <c r="H1708" s="75"/>
      <c r="I1708" s="75"/>
      <c r="J1708" s="191"/>
    </row>
    <row r="1709">
      <c r="A1709" s="148"/>
      <c r="B1709" s="75"/>
      <c r="C1709" s="75"/>
      <c r="D1709" s="75"/>
      <c r="E1709" s="75"/>
      <c r="F1709" s="75"/>
      <c r="G1709" s="75"/>
      <c r="H1709" s="75"/>
      <c r="I1709" s="75"/>
      <c r="J1709" s="191"/>
    </row>
    <row r="1710">
      <c r="A1710" s="148"/>
      <c r="B1710" s="75"/>
      <c r="C1710" s="75"/>
      <c r="D1710" s="75"/>
      <c r="E1710" s="75"/>
      <c r="F1710" s="75"/>
      <c r="G1710" s="75"/>
      <c r="H1710" s="75"/>
      <c r="I1710" s="75"/>
      <c r="J1710" s="191"/>
    </row>
    <row r="1711">
      <c r="A1711" s="148"/>
      <c r="B1711" s="75"/>
      <c r="C1711" s="75"/>
      <c r="D1711" s="75"/>
      <c r="E1711" s="75"/>
      <c r="F1711" s="75"/>
      <c r="G1711" s="75"/>
      <c r="H1711" s="75"/>
      <c r="I1711" s="75"/>
      <c r="J1711" s="191"/>
    </row>
    <row r="1712">
      <c r="A1712" s="148"/>
      <c r="B1712" s="75"/>
      <c r="C1712" s="75"/>
      <c r="D1712" s="75"/>
      <c r="E1712" s="75"/>
      <c r="F1712" s="75"/>
      <c r="G1712" s="75"/>
      <c r="H1712" s="75"/>
      <c r="I1712" s="75"/>
      <c r="J1712" s="191"/>
    </row>
    <row r="1713">
      <c r="A1713" s="148"/>
      <c r="B1713" s="75"/>
      <c r="C1713" s="75"/>
      <c r="D1713" s="75"/>
      <c r="E1713" s="75"/>
      <c r="F1713" s="75"/>
      <c r="G1713" s="75"/>
      <c r="H1713" s="75"/>
      <c r="I1713" s="75"/>
      <c r="J1713" s="191"/>
    </row>
    <row r="1714">
      <c r="A1714" s="148"/>
      <c r="B1714" s="75"/>
      <c r="C1714" s="75"/>
      <c r="D1714" s="75"/>
      <c r="E1714" s="75"/>
      <c r="F1714" s="75"/>
      <c r="G1714" s="75"/>
      <c r="H1714" s="75"/>
      <c r="I1714" s="75"/>
      <c r="J1714" s="191"/>
    </row>
    <row r="1715">
      <c r="A1715" s="148"/>
      <c r="B1715" s="75"/>
      <c r="C1715" s="75"/>
      <c r="D1715" s="75"/>
      <c r="E1715" s="75"/>
      <c r="F1715" s="75"/>
      <c r="G1715" s="75"/>
      <c r="H1715" s="75"/>
      <c r="I1715" s="75"/>
      <c r="J1715" s="191"/>
    </row>
    <row r="1716">
      <c r="A1716" s="148"/>
      <c r="B1716" s="75"/>
      <c r="C1716" s="75"/>
      <c r="D1716" s="75"/>
      <c r="E1716" s="75"/>
      <c r="F1716" s="75"/>
      <c r="G1716" s="75"/>
      <c r="H1716" s="75"/>
      <c r="I1716" s="75"/>
      <c r="J1716" s="191"/>
    </row>
    <row r="1717">
      <c r="A1717" s="148"/>
      <c r="B1717" s="75"/>
      <c r="C1717" s="75"/>
      <c r="D1717" s="75"/>
      <c r="E1717" s="75"/>
      <c r="F1717" s="75"/>
      <c r="G1717" s="75"/>
      <c r="H1717" s="75"/>
      <c r="I1717" s="75"/>
      <c r="J1717" s="191"/>
    </row>
    <row r="1718">
      <c r="A1718" s="148"/>
      <c r="B1718" s="75"/>
      <c r="C1718" s="75"/>
      <c r="D1718" s="75"/>
      <c r="E1718" s="75"/>
      <c r="F1718" s="75"/>
      <c r="G1718" s="75"/>
      <c r="H1718" s="75"/>
      <c r="I1718" s="75"/>
      <c r="J1718" s="191"/>
    </row>
    <row r="1719">
      <c r="A1719" s="148"/>
      <c r="B1719" s="75"/>
      <c r="C1719" s="75"/>
      <c r="D1719" s="75"/>
      <c r="E1719" s="75"/>
      <c r="F1719" s="75"/>
      <c r="G1719" s="75"/>
      <c r="H1719" s="75"/>
      <c r="I1719" s="75"/>
      <c r="J1719" s="191"/>
    </row>
    <row r="1720">
      <c r="A1720" s="148"/>
      <c r="B1720" s="75"/>
      <c r="C1720" s="75"/>
      <c r="D1720" s="75"/>
      <c r="E1720" s="75"/>
      <c r="F1720" s="75"/>
      <c r="G1720" s="75"/>
      <c r="H1720" s="75"/>
      <c r="I1720" s="75"/>
      <c r="J1720" s="191"/>
    </row>
    <row r="1721">
      <c r="A1721" s="148"/>
      <c r="B1721" s="75"/>
      <c r="C1721" s="75"/>
      <c r="D1721" s="75"/>
      <c r="E1721" s="75"/>
      <c r="F1721" s="75"/>
      <c r="G1721" s="75"/>
      <c r="H1721" s="75"/>
      <c r="I1721" s="75"/>
      <c r="J1721" s="191"/>
    </row>
    <row r="1722">
      <c r="A1722" s="148"/>
      <c r="B1722" s="75"/>
      <c r="C1722" s="75"/>
      <c r="D1722" s="75"/>
      <c r="E1722" s="75"/>
      <c r="F1722" s="75"/>
      <c r="G1722" s="75"/>
      <c r="H1722" s="75"/>
      <c r="I1722" s="75"/>
      <c r="J1722" s="191"/>
    </row>
    <row r="1723">
      <c r="A1723" s="148"/>
      <c r="B1723" s="75"/>
      <c r="C1723" s="75"/>
      <c r="D1723" s="75"/>
      <c r="E1723" s="75"/>
      <c r="F1723" s="75"/>
      <c r="G1723" s="75"/>
      <c r="H1723" s="75"/>
      <c r="I1723" s="75"/>
      <c r="J1723" s="191"/>
    </row>
    <row r="1724">
      <c r="A1724" s="148"/>
      <c r="B1724" s="75"/>
      <c r="C1724" s="75"/>
      <c r="D1724" s="75"/>
      <c r="E1724" s="75"/>
      <c r="F1724" s="75"/>
      <c r="G1724" s="75"/>
      <c r="H1724" s="75"/>
      <c r="I1724" s="75"/>
      <c r="J1724" s="191"/>
    </row>
    <row r="1725">
      <c r="A1725" s="148"/>
      <c r="B1725" s="75"/>
      <c r="C1725" s="75"/>
      <c r="D1725" s="75"/>
      <c r="E1725" s="75"/>
      <c r="F1725" s="75"/>
      <c r="G1725" s="75"/>
      <c r="H1725" s="75"/>
      <c r="I1725" s="75"/>
      <c r="J1725" s="191"/>
    </row>
    <row r="1726">
      <c r="A1726" s="148"/>
      <c r="B1726" s="75"/>
      <c r="C1726" s="75"/>
      <c r="D1726" s="75"/>
      <c r="E1726" s="75"/>
      <c r="F1726" s="75"/>
      <c r="G1726" s="75"/>
      <c r="H1726" s="75"/>
      <c r="I1726" s="75"/>
      <c r="J1726" s="191"/>
    </row>
    <row r="1727">
      <c r="A1727" s="148"/>
      <c r="B1727" s="75"/>
      <c r="C1727" s="75"/>
      <c r="D1727" s="75"/>
      <c r="E1727" s="75"/>
      <c r="F1727" s="75"/>
      <c r="G1727" s="75"/>
      <c r="H1727" s="75"/>
      <c r="I1727" s="75"/>
      <c r="J1727" s="191"/>
    </row>
    <row r="1728">
      <c r="A1728" s="148"/>
      <c r="B1728" s="75"/>
      <c r="C1728" s="75"/>
      <c r="D1728" s="75"/>
      <c r="E1728" s="75"/>
      <c r="F1728" s="75"/>
      <c r="G1728" s="75"/>
      <c r="H1728" s="75"/>
      <c r="I1728" s="75"/>
      <c r="J1728" s="191"/>
    </row>
    <row r="1729">
      <c r="A1729" s="148"/>
      <c r="B1729" s="75"/>
      <c r="C1729" s="75"/>
      <c r="D1729" s="75"/>
      <c r="E1729" s="75"/>
      <c r="F1729" s="75"/>
      <c r="G1729" s="75"/>
      <c r="H1729" s="75"/>
      <c r="I1729" s="75"/>
      <c r="J1729" s="191"/>
    </row>
    <row r="1730">
      <c r="A1730" s="148"/>
      <c r="B1730" s="75"/>
      <c r="C1730" s="75"/>
      <c r="D1730" s="75"/>
      <c r="E1730" s="75"/>
      <c r="F1730" s="75"/>
      <c r="G1730" s="75"/>
      <c r="H1730" s="75"/>
      <c r="I1730" s="75"/>
      <c r="J1730" s="191"/>
    </row>
    <row r="1731">
      <c r="A1731" s="148"/>
      <c r="B1731" s="75"/>
      <c r="C1731" s="75"/>
      <c r="D1731" s="75"/>
      <c r="E1731" s="75"/>
      <c r="F1731" s="75"/>
      <c r="G1731" s="75"/>
      <c r="H1731" s="75"/>
      <c r="I1731" s="75"/>
      <c r="J1731" s="191"/>
    </row>
    <row r="1732">
      <c r="A1732" s="148"/>
      <c r="B1732" s="75"/>
      <c r="C1732" s="75"/>
      <c r="D1732" s="75"/>
      <c r="E1732" s="75"/>
      <c r="F1732" s="75"/>
      <c r="G1732" s="75"/>
      <c r="H1732" s="75"/>
      <c r="I1732" s="75"/>
      <c r="J1732" s="191"/>
    </row>
    <row r="1733">
      <c r="A1733" s="148"/>
      <c r="B1733" s="75"/>
      <c r="C1733" s="75"/>
      <c r="D1733" s="75"/>
      <c r="E1733" s="75"/>
      <c r="F1733" s="75"/>
      <c r="G1733" s="75"/>
      <c r="H1733" s="75"/>
      <c r="I1733" s="75"/>
      <c r="J1733" s="191"/>
    </row>
    <row r="1734">
      <c r="A1734" s="148"/>
      <c r="B1734" s="75"/>
      <c r="C1734" s="75"/>
      <c r="D1734" s="75"/>
      <c r="E1734" s="75"/>
      <c r="F1734" s="75"/>
      <c r="G1734" s="75"/>
      <c r="H1734" s="75"/>
      <c r="I1734" s="75"/>
      <c r="J1734" s="191"/>
    </row>
    <row r="1735">
      <c r="A1735" s="148"/>
      <c r="B1735" s="75"/>
      <c r="C1735" s="75"/>
      <c r="D1735" s="75"/>
      <c r="E1735" s="75"/>
      <c r="F1735" s="75"/>
      <c r="G1735" s="75"/>
      <c r="H1735" s="75"/>
      <c r="I1735" s="75"/>
      <c r="J1735" s="191"/>
    </row>
    <row r="1736">
      <c r="A1736" s="148"/>
      <c r="B1736" s="75"/>
      <c r="C1736" s="75"/>
      <c r="D1736" s="75"/>
      <c r="E1736" s="75"/>
      <c r="F1736" s="75"/>
      <c r="G1736" s="75"/>
      <c r="H1736" s="75"/>
      <c r="I1736" s="75"/>
      <c r="J1736" s="191"/>
    </row>
    <row r="1737">
      <c r="A1737" s="148"/>
      <c r="B1737" s="75"/>
      <c r="C1737" s="75"/>
      <c r="D1737" s="75"/>
      <c r="E1737" s="75"/>
      <c r="F1737" s="75"/>
      <c r="G1737" s="75"/>
      <c r="H1737" s="75"/>
      <c r="I1737" s="75"/>
      <c r="J1737" s="191"/>
    </row>
    <row r="1738">
      <c r="A1738" s="148"/>
      <c r="B1738" s="75"/>
      <c r="C1738" s="75"/>
      <c r="D1738" s="75"/>
      <c r="E1738" s="75"/>
      <c r="F1738" s="75"/>
      <c r="G1738" s="75"/>
      <c r="H1738" s="75"/>
      <c r="I1738" s="75"/>
      <c r="J1738" s="191"/>
    </row>
    <row r="1739">
      <c r="A1739" s="148"/>
      <c r="B1739" s="75"/>
      <c r="C1739" s="75"/>
      <c r="D1739" s="75"/>
      <c r="E1739" s="75"/>
      <c r="F1739" s="75"/>
      <c r="G1739" s="75"/>
      <c r="H1739" s="75"/>
      <c r="I1739" s="75"/>
      <c r="J1739" s="191"/>
    </row>
    <row r="1740">
      <c r="A1740" s="148"/>
      <c r="B1740" s="75"/>
      <c r="C1740" s="75"/>
      <c r="D1740" s="75"/>
      <c r="E1740" s="75"/>
      <c r="F1740" s="75"/>
      <c r="G1740" s="75"/>
      <c r="H1740" s="75"/>
      <c r="I1740" s="75"/>
      <c r="J1740" s="191"/>
    </row>
    <row r="1741">
      <c r="A1741" s="148"/>
      <c r="B1741" s="75"/>
      <c r="C1741" s="75"/>
      <c r="D1741" s="75"/>
      <c r="E1741" s="75"/>
      <c r="F1741" s="75"/>
      <c r="G1741" s="75"/>
      <c r="H1741" s="75"/>
      <c r="I1741" s="75"/>
      <c r="J1741" s="191"/>
    </row>
    <row r="1742">
      <c r="A1742" s="148"/>
      <c r="B1742" s="75"/>
      <c r="C1742" s="75"/>
      <c r="D1742" s="75"/>
      <c r="E1742" s="75"/>
      <c r="F1742" s="75"/>
      <c r="G1742" s="75"/>
      <c r="H1742" s="75"/>
      <c r="I1742" s="75"/>
      <c r="J1742" s="191"/>
    </row>
    <row r="1743">
      <c r="A1743" s="148"/>
      <c r="B1743" s="75"/>
      <c r="C1743" s="75"/>
      <c r="D1743" s="75"/>
      <c r="E1743" s="75"/>
      <c r="F1743" s="75"/>
      <c r="G1743" s="75"/>
      <c r="H1743" s="75"/>
      <c r="I1743" s="75"/>
      <c r="J1743" s="191"/>
    </row>
    <row r="1744">
      <c r="A1744" s="148"/>
      <c r="B1744" s="75"/>
      <c r="C1744" s="75"/>
      <c r="D1744" s="75"/>
      <c r="E1744" s="75"/>
      <c r="F1744" s="75"/>
      <c r="G1744" s="75"/>
      <c r="H1744" s="75"/>
      <c r="I1744" s="75"/>
      <c r="J1744" s="191"/>
    </row>
    <row r="1745">
      <c r="A1745" s="148"/>
      <c r="B1745" s="75"/>
      <c r="C1745" s="75"/>
      <c r="D1745" s="75"/>
      <c r="E1745" s="75"/>
      <c r="F1745" s="75"/>
      <c r="G1745" s="75"/>
      <c r="H1745" s="75"/>
      <c r="I1745" s="75"/>
      <c r="J1745" s="191"/>
    </row>
    <row r="1746">
      <c r="A1746" s="148"/>
      <c r="B1746" s="75"/>
      <c r="C1746" s="75"/>
      <c r="D1746" s="75"/>
      <c r="E1746" s="75"/>
      <c r="F1746" s="75"/>
      <c r="G1746" s="75"/>
      <c r="H1746" s="75"/>
      <c r="I1746" s="75"/>
      <c r="J1746" s="191"/>
    </row>
    <row r="1747">
      <c r="A1747" s="148"/>
      <c r="B1747" s="75"/>
      <c r="C1747" s="75"/>
      <c r="D1747" s="75"/>
      <c r="E1747" s="75"/>
      <c r="F1747" s="75"/>
      <c r="G1747" s="75"/>
      <c r="H1747" s="75"/>
      <c r="I1747" s="75"/>
      <c r="J1747" s="191"/>
    </row>
    <row r="1748">
      <c r="A1748" s="148"/>
      <c r="B1748" s="75"/>
      <c r="C1748" s="75"/>
      <c r="D1748" s="75"/>
      <c r="E1748" s="75"/>
      <c r="F1748" s="75"/>
      <c r="G1748" s="75"/>
      <c r="H1748" s="75"/>
      <c r="I1748" s="75"/>
      <c r="J1748" s="191"/>
    </row>
    <row r="1749">
      <c r="A1749" s="148"/>
      <c r="B1749" s="75"/>
      <c r="C1749" s="75"/>
      <c r="D1749" s="75"/>
      <c r="E1749" s="75"/>
      <c r="F1749" s="75"/>
      <c r="G1749" s="75"/>
      <c r="H1749" s="75"/>
      <c r="I1749" s="75"/>
      <c r="J1749" s="191"/>
    </row>
    <row r="1750">
      <c r="A1750" s="148"/>
      <c r="B1750" s="75"/>
      <c r="C1750" s="75"/>
      <c r="D1750" s="75"/>
      <c r="E1750" s="75"/>
      <c r="F1750" s="75"/>
      <c r="G1750" s="75"/>
      <c r="H1750" s="75"/>
      <c r="I1750" s="75"/>
      <c r="J1750" s="191"/>
    </row>
    <row r="1751">
      <c r="A1751" s="148"/>
      <c r="B1751" s="75"/>
      <c r="C1751" s="75"/>
      <c r="D1751" s="75"/>
      <c r="E1751" s="75"/>
      <c r="F1751" s="75"/>
      <c r="G1751" s="75"/>
      <c r="H1751" s="75"/>
      <c r="I1751" s="75"/>
      <c r="J1751" s="191"/>
    </row>
    <row r="1752">
      <c r="A1752" s="148"/>
      <c r="B1752" s="75"/>
      <c r="C1752" s="75"/>
      <c r="D1752" s="75"/>
      <c r="E1752" s="75"/>
      <c r="F1752" s="75"/>
      <c r="G1752" s="75"/>
      <c r="H1752" s="75"/>
      <c r="I1752" s="75"/>
      <c r="J1752" s="191"/>
    </row>
    <row r="1753">
      <c r="A1753" s="148"/>
      <c r="B1753" s="75"/>
      <c r="C1753" s="75"/>
      <c r="D1753" s="75"/>
      <c r="E1753" s="75"/>
      <c r="F1753" s="75"/>
      <c r="G1753" s="75"/>
      <c r="H1753" s="75"/>
      <c r="I1753" s="75"/>
      <c r="J1753" s="191"/>
    </row>
    <row r="1754">
      <c r="A1754" s="148"/>
      <c r="B1754" s="75"/>
      <c r="C1754" s="75"/>
      <c r="D1754" s="75"/>
      <c r="E1754" s="75"/>
      <c r="F1754" s="75"/>
      <c r="G1754" s="75"/>
      <c r="H1754" s="75"/>
      <c r="I1754" s="75"/>
      <c r="J1754" s="191"/>
    </row>
    <row r="1755">
      <c r="A1755" s="148"/>
      <c r="B1755" s="75"/>
      <c r="C1755" s="75"/>
      <c r="D1755" s="75"/>
      <c r="E1755" s="75"/>
      <c r="F1755" s="75"/>
      <c r="G1755" s="75"/>
      <c r="H1755" s="75"/>
      <c r="I1755" s="75"/>
      <c r="J1755" s="191"/>
    </row>
    <row r="1756">
      <c r="A1756" s="148"/>
      <c r="B1756" s="75"/>
      <c r="C1756" s="75"/>
      <c r="D1756" s="75"/>
      <c r="E1756" s="75"/>
      <c r="F1756" s="75"/>
      <c r="G1756" s="75"/>
      <c r="H1756" s="75"/>
      <c r="I1756" s="75"/>
      <c r="J1756" s="191"/>
    </row>
    <row r="1757">
      <c r="A1757" s="148"/>
      <c r="B1757" s="75"/>
      <c r="C1757" s="75"/>
      <c r="D1757" s="75"/>
      <c r="E1757" s="75"/>
      <c r="F1757" s="75"/>
      <c r="G1757" s="75"/>
      <c r="H1757" s="75"/>
      <c r="I1757" s="75"/>
      <c r="J1757" s="191"/>
    </row>
    <row r="1758">
      <c r="A1758" s="148"/>
      <c r="B1758" s="75"/>
      <c r="C1758" s="75"/>
      <c r="D1758" s="75"/>
      <c r="E1758" s="75"/>
      <c r="F1758" s="75"/>
      <c r="G1758" s="75"/>
      <c r="H1758" s="75"/>
      <c r="I1758" s="75"/>
      <c r="J1758" s="191"/>
    </row>
    <row r="1759">
      <c r="A1759" s="148"/>
      <c r="B1759" s="75"/>
      <c r="C1759" s="75"/>
      <c r="D1759" s="75"/>
      <c r="E1759" s="75"/>
      <c r="F1759" s="75"/>
      <c r="G1759" s="75"/>
      <c r="H1759" s="75"/>
      <c r="I1759" s="75"/>
      <c r="J1759" s="191"/>
    </row>
    <row r="1760">
      <c r="A1760" s="148"/>
      <c r="B1760" s="75"/>
      <c r="C1760" s="75"/>
      <c r="D1760" s="75"/>
      <c r="E1760" s="75"/>
      <c r="F1760" s="75"/>
      <c r="G1760" s="75"/>
      <c r="H1760" s="75"/>
      <c r="I1760" s="75"/>
      <c r="J1760" s="191"/>
    </row>
    <row r="1761">
      <c r="A1761" s="148"/>
      <c r="B1761" s="75"/>
      <c r="C1761" s="75"/>
      <c r="D1761" s="75"/>
      <c r="E1761" s="75"/>
      <c r="F1761" s="75"/>
      <c r="G1761" s="75"/>
      <c r="H1761" s="75"/>
      <c r="I1761" s="75"/>
      <c r="J1761" s="191"/>
    </row>
    <row r="1762">
      <c r="A1762" s="148"/>
      <c r="B1762" s="75"/>
      <c r="C1762" s="75"/>
      <c r="D1762" s="75"/>
      <c r="E1762" s="75"/>
      <c r="F1762" s="75"/>
      <c r="G1762" s="75"/>
      <c r="H1762" s="75"/>
      <c r="I1762" s="75"/>
      <c r="J1762" s="191"/>
    </row>
    <row r="1763">
      <c r="A1763" s="148"/>
      <c r="B1763" s="75"/>
      <c r="C1763" s="75"/>
      <c r="D1763" s="75"/>
      <c r="E1763" s="75"/>
      <c r="F1763" s="75"/>
      <c r="G1763" s="75"/>
      <c r="H1763" s="75"/>
      <c r="I1763" s="75"/>
      <c r="J1763" s="191"/>
    </row>
    <row r="1764">
      <c r="A1764" s="148"/>
      <c r="B1764" s="75"/>
      <c r="C1764" s="75"/>
      <c r="D1764" s="75"/>
      <c r="E1764" s="75"/>
      <c r="F1764" s="75"/>
      <c r="G1764" s="75"/>
      <c r="H1764" s="75"/>
      <c r="I1764" s="75"/>
      <c r="J1764" s="191"/>
    </row>
    <row r="1765">
      <c r="A1765" s="148"/>
      <c r="B1765" s="75"/>
      <c r="C1765" s="75"/>
      <c r="D1765" s="75"/>
      <c r="E1765" s="75"/>
      <c r="F1765" s="75"/>
      <c r="G1765" s="75"/>
      <c r="H1765" s="75"/>
      <c r="I1765" s="75"/>
      <c r="J1765" s="191"/>
    </row>
    <row r="1766">
      <c r="A1766" s="148"/>
      <c r="B1766" s="75"/>
      <c r="C1766" s="75"/>
      <c r="D1766" s="75"/>
      <c r="E1766" s="75"/>
      <c r="F1766" s="75"/>
      <c r="G1766" s="75"/>
      <c r="H1766" s="75"/>
      <c r="I1766" s="75"/>
      <c r="J1766" s="191"/>
    </row>
    <row r="1767">
      <c r="A1767" s="148"/>
      <c r="B1767" s="75"/>
      <c r="C1767" s="75"/>
      <c r="D1767" s="75"/>
      <c r="E1767" s="75"/>
      <c r="F1767" s="75"/>
      <c r="G1767" s="75"/>
      <c r="H1767" s="75"/>
      <c r="I1767" s="75"/>
      <c r="J1767" s="191"/>
    </row>
    <row r="1768">
      <c r="A1768" s="148"/>
      <c r="B1768" s="75"/>
      <c r="C1768" s="75"/>
      <c r="D1768" s="75"/>
      <c r="E1768" s="75"/>
      <c r="F1768" s="75"/>
      <c r="G1768" s="75"/>
      <c r="H1768" s="75"/>
      <c r="I1768" s="75"/>
      <c r="J1768" s="191"/>
    </row>
    <row r="1769">
      <c r="A1769" s="148"/>
      <c r="B1769" s="75"/>
      <c r="C1769" s="75"/>
      <c r="D1769" s="75"/>
      <c r="E1769" s="75"/>
      <c r="F1769" s="75"/>
      <c r="G1769" s="75"/>
      <c r="H1769" s="75"/>
      <c r="I1769" s="75"/>
      <c r="J1769" s="191"/>
    </row>
    <row r="1770">
      <c r="A1770" s="148"/>
      <c r="B1770" s="75"/>
      <c r="C1770" s="75"/>
      <c r="D1770" s="75"/>
      <c r="E1770" s="75"/>
      <c r="F1770" s="75"/>
      <c r="G1770" s="75"/>
      <c r="H1770" s="75"/>
      <c r="I1770" s="75"/>
      <c r="J1770" s="191"/>
    </row>
    <row r="1771">
      <c r="A1771" s="148"/>
      <c r="B1771" s="75"/>
      <c r="C1771" s="75"/>
      <c r="D1771" s="75"/>
      <c r="E1771" s="75"/>
      <c r="F1771" s="75"/>
      <c r="G1771" s="75"/>
      <c r="H1771" s="75"/>
      <c r="I1771" s="75"/>
      <c r="J1771" s="191"/>
    </row>
    <row r="1772">
      <c r="A1772" s="148"/>
      <c r="B1772" s="75"/>
      <c r="C1772" s="75"/>
      <c r="D1772" s="75"/>
      <c r="E1772" s="75"/>
      <c r="F1772" s="75"/>
      <c r="G1772" s="75"/>
      <c r="H1772" s="75"/>
      <c r="I1772" s="75"/>
      <c r="J1772" s="191"/>
    </row>
    <row r="1773">
      <c r="A1773" s="148"/>
      <c r="B1773" s="75"/>
      <c r="C1773" s="75"/>
      <c r="D1773" s="75"/>
      <c r="E1773" s="75"/>
      <c r="F1773" s="75"/>
      <c r="G1773" s="75"/>
      <c r="H1773" s="75"/>
      <c r="I1773" s="75"/>
      <c r="J1773" s="191"/>
    </row>
    <row r="1774">
      <c r="A1774" s="148"/>
      <c r="B1774" s="75"/>
      <c r="C1774" s="75"/>
      <c r="D1774" s="75"/>
      <c r="E1774" s="75"/>
      <c r="F1774" s="75"/>
      <c r="G1774" s="75"/>
      <c r="H1774" s="75"/>
      <c r="I1774" s="75"/>
      <c r="J1774" s="191"/>
    </row>
    <row r="1775">
      <c r="A1775" s="148"/>
      <c r="B1775" s="75"/>
      <c r="C1775" s="75"/>
      <c r="D1775" s="75"/>
      <c r="E1775" s="75"/>
      <c r="F1775" s="75"/>
      <c r="G1775" s="75"/>
      <c r="H1775" s="75"/>
      <c r="I1775" s="75"/>
      <c r="J1775" s="191"/>
    </row>
    <row r="1776">
      <c r="A1776" s="148"/>
      <c r="B1776" s="75"/>
      <c r="C1776" s="75"/>
      <c r="D1776" s="75"/>
      <c r="E1776" s="75"/>
      <c r="F1776" s="75"/>
      <c r="G1776" s="75"/>
      <c r="H1776" s="75"/>
      <c r="I1776" s="75"/>
      <c r="J1776" s="191"/>
    </row>
    <row r="1777">
      <c r="A1777" s="148"/>
      <c r="B1777" s="75"/>
      <c r="C1777" s="75"/>
      <c r="D1777" s="75"/>
      <c r="E1777" s="75"/>
      <c r="F1777" s="75"/>
      <c r="G1777" s="75"/>
      <c r="H1777" s="75"/>
      <c r="I1777" s="75"/>
      <c r="J1777" s="191"/>
    </row>
    <row r="1778">
      <c r="A1778" s="148"/>
      <c r="B1778" s="75"/>
      <c r="C1778" s="75"/>
      <c r="D1778" s="75"/>
      <c r="E1778" s="75"/>
      <c r="F1778" s="75"/>
      <c r="G1778" s="75"/>
      <c r="H1778" s="75"/>
      <c r="I1778" s="75"/>
      <c r="J1778" s="191"/>
    </row>
    <row r="1779">
      <c r="A1779" s="148"/>
      <c r="B1779" s="75"/>
      <c r="C1779" s="75"/>
      <c r="D1779" s="75"/>
      <c r="E1779" s="75"/>
      <c r="F1779" s="75"/>
      <c r="G1779" s="75"/>
      <c r="H1779" s="75"/>
      <c r="I1779" s="75"/>
      <c r="J1779" s="191"/>
    </row>
    <row r="1780">
      <c r="A1780" s="148"/>
      <c r="B1780" s="75"/>
      <c r="C1780" s="75"/>
      <c r="D1780" s="75"/>
      <c r="E1780" s="75"/>
      <c r="F1780" s="75"/>
      <c r="G1780" s="75"/>
      <c r="H1780" s="75"/>
      <c r="I1780" s="75"/>
      <c r="J1780" s="191"/>
    </row>
    <row r="1781">
      <c r="A1781" s="148"/>
      <c r="B1781" s="75"/>
      <c r="C1781" s="75"/>
      <c r="D1781" s="75"/>
      <c r="E1781" s="75"/>
      <c r="F1781" s="75"/>
      <c r="G1781" s="75"/>
      <c r="H1781" s="75"/>
      <c r="I1781" s="75"/>
      <c r="J1781" s="191"/>
    </row>
    <row r="1782">
      <c r="A1782" s="148"/>
      <c r="B1782" s="75"/>
      <c r="C1782" s="75"/>
      <c r="D1782" s="75"/>
      <c r="E1782" s="75"/>
      <c r="F1782" s="75"/>
      <c r="G1782" s="75"/>
      <c r="H1782" s="75"/>
      <c r="I1782" s="75"/>
      <c r="J1782" s="191"/>
    </row>
    <row r="1783">
      <c r="A1783" s="148"/>
      <c r="B1783" s="75"/>
      <c r="C1783" s="75"/>
      <c r="D1783" s="75"/>
      <c r="E1783" s="75"/>
      <c r="F1783" s="75"/>
      <c r="G1783" s="75"/>
      <c r="H1783" s="75"/>
      <c r="I1783" s="75"/>
      <c r="J1783" s="191"/>
    </row>
    <row r="1784">
      <c r="A1784" s="148"/>
      <c r="B1784" s="75"/>
      <c r="C1784" s="75"/>
      <c r="D1784" s="75"/>
      <c r="E1784" s="75"/>
      <c r="F1784" s="75"/>
      <c r="G1784" s="75"/>
      <c r="H1784" s="75"/>
      <c r="I1784" s="75"/>
      <c r="J1784" s="191"/>
    </row>
    <row r="1785">
      <c r="A1785" s="148"/>
      <c r="B1785" s="75"/>
      <c r="C1785" s="75"/>
      <c r="D1785" s="75"/>
      <c r="E1785" s="75"/>
      <c r="F1785" s="75"/>
      <c r="G1785" s="75"/>
      <c r="H1785" s="75"/>
      <c r="I1785" s="75"/>
      <c r="J1785" s="191"/>
    </row>
    <row r="1786">
      <c r="A1786" s="148"/>
      <c r="B1786" s="75"/>
      <c r="C1786" s="75"/>
      <c r="D1786" s="75"/>
      <c r="E1786" s="75"/>
      <c r="F1786" s="75"/>
      <c r="G1786" s="75"/>
      <c r="H1786" s="75"/>
      <c r="I1786" s="75"/>
      <c r="J1786" s="191"/>
    </row>
    <row r="1787">
      <c r="A1787" s="148"/>
      <c r="B1787" s="75"/>
      <c r="C1787" s="75"/>
      <c r="D1787" s="75"/>
      <c r="E1787" s="75"/>
      <c r="F1787" s="75"/>
      <c r="G1787" s="75"/>
      <c r="H1787" s="75"/>
      <c r="I1787" s="75"/>
      <c r="J1787" s="191"/>
    </row>
    <row r="1788">
      <c r="A1788" s="148"/>
      <c r="B1788" s="75"/>
      <c r="C1788" s="75"/>
      <c r="D1788" s="75"/>
      <c r="E1788" s="75"/>
      <c r="F1788" s="75"/>
      <c r="G1788" s="75"/>
      <c r="H1788" s="75"/>
      <c r="I1788" s="75"/>
      <c r="J1788" s="191"/>
    </row>
    <row r="1789">
      <c r="A1789" s="148"/>
      <c r="B1789" s="75"/>
      <c r="C1789" s="75"/>
      <c r="D1789" s="75"/>
      <c r="E1789" s="75"/>
      <c r="F1789" s="75"/>
      <c r="G1789" s="75"/>
      <c r="H1789" s="75"/>
      <c r="I1789" s="75"/>
      <c r="J1789" s="191"/>
    </row>
    <row r="1790">
      <c r="A1790" s="148"/>
      <c r="B1790" s="75"/>
      <c r="C1790" s="75"/>
      <c r="D1790" s="75"/>
      <c r="E1790" s="75"/>
      <c r="F1790" s="75"/>
      <c r="G1790" s="75"/>
      <c r="H1790" s="75"/>
      <c r="I1790" s="75"/>
      <c r="J1790" s="191"/>
    </row>
    <row r="1791">
      <c r="A1791" s="148"/>
      <c r="B1791" s="75"/>
      <c r="C1791" s="75"/>
      <c r="D1791" s="75"/>
      <c r="E1791" s="75"/>
      <c r="F1791" s="75"/>
      <c r="G1791" s="75"/>
      <c r="H1791" s="75"/>
      <c r="I1791" s="75"/>
      <c r="J1791" s="191"/>
    </row>
    <row r="1792">
      <c r="A1792" s="148"/>
      <c r="B1792" s="75"/>
      <c r="C1792" s="75"/>
      <c r="D1792" s="75"/>
      <c r="E1792" s="75"/>
      <c r="F1792" s="75"/>
      <c r="G1792" s="75"/>
      <c r="H1792" s="75"/>
      <c r="I1792" s="75"/>
      <c r="J1792" s="191"/>
    </row>
    <row r="1793">
      <c r="A1793" s="148"/>
      <c r="B1793" s="75"/>
      <c r="C1793" s="75"/>
      <c r="D1793" s="75"/>
      <c r="E1793" s="75"/>
      <c r="F1793" s="75"/>
      <c r="G1793" s="75"/>
      <c r="H1793" s="75"/>
      <c r="I1793" s="75"/>
      <c r="J1793" s="191"/>
    </row>
    <row r="1794">
      <c r="A1794" s="148"/>
      <c r="B1794" s="75"/>
      <c r="C1794" s="75"/>
      <c r="D1794" s="75"/>
      <c r="E1794" s="75"/>
      <c r="F1794" s="75"/>
      <c r="G1794" s="75"/>
      <c r="H1794" s="75"/>
      <c r="I1794" s="75"/>
      <c r="J1794" s="191"/>
    </row>
    <row r="1795">
      <c r="A1795" s="148"/>
      <c r="B1795" s="75"/>
      <c r="C1795" s="75"/>
      <c r="D1795" s="75"/>
      <c r="E1795" s="75"/>
      <c r="F1795" s="75"/>
      <c r="G1795" s="75"/>
      <c r="H1795" s="75"/>
      <c r="I1795" s="75"/>
      <c r="J1795" s="191"/>
    </row>
    <row r="1796">
      <c r="A1796" s="148"/>
      <c r="B1796" s="75"/>
      <c r="C1796" s="75"/>
      <c r="D1796" s="75"/>
      <c r="E1796" s="75"/>
      <c r="F1796" s="75"/>
      <c r="G1796" s="75"/>
      <c r="H1796" s="75"/>
      <c r="I1796" s="75"/>
      <c r="J1796" s="191"/>
    </row>
    <row r="1797">
      <c r="A1797" s="148"/>
      <c r="B1797" s="75"/>
      <c r="C1797" s="75"/>
      <c r="D1797" s="75"/>
      <c r="E1797" s="75"/>
      <c r="F1797" s="75"/>
      <c r="G1797" s="75"/>
      <c r="H1797" s="75"/>
      <c r="I1797" s="75"/>
      <c r="J1797" s="191"/>
    </row>
    <row r="1798">
      <c r="A1798" s="148"/>
      <c r="B1798" s="75"/>
      <c r="C1798" s="75"/>
      <c r="D1798" s="75"/>
      <c r="E1798" s="75"/>
      <c r="F1798" s="75"/>
      <c r="G1798" s="75"/>
      <c r="H1798" s="75"/>
      <c r="I1798" s="75"/>
      <c r="J1798" s="191"/>
    </row>
    <row r="1799">
      <c r="A1799" s="148"/>
      <c r="B1799" s="75"/>
      <c r="C1799" s="75"/>
      <c r="D1799" s="75"/>
      <c r="E1799" s="75"/>
      <c r="F1799" s="75"/>
      <c r="G1799" s="75"/>
      <c r="H1799" s="75"/>
      <c r="I1799" s="75"/>
      <c r="J1799" s="191"/>
    </row>
    <row r="1800">
      <c r="A1800" s="148"/>
      <c r="B1800" s="75"/>
      <c r="C1800" s="75"/>
      <c r="D1800" s="75"/>
      <c r="E1800" s="75"/>
      <c r="F1800" s="75"/>
      <c r="G1800" s="75"/>
      <c r="H1800" s="75"/>
      <c r="I1800" s="75"/>
      <c r="J1800" s="191"/>
    </row>
    <row r="1801">
      <c r="A1801" s="148"/>
      <c r="B1801" s="75"/>
      <c r="C1801" s="75"/>
      <c r="D1801" s="75"/>
      <c r="E1801" s="75"/>
      <c r="F1801" s="75"/>
      <c r="G1801" s="75"/>
      <c r="H1801" s="75"/>
      <c r="I1801" s="75"/>
      <c r="J1801" s="191"/>
    </row>
    <row r="1802">
      <c r="A1802" s="148"/>
      <c r="B1802" s="75"/>
      <c r="C1802" s="75"/>
      <c r="D1802" s="75"/>
      <c r="E1802" s="75"/>
      <c r="F1802" s="75"/>
      <c r="G1802" s="75"/>
      <c r="H1802" s="75"/>
      <c r="I1802" s="75"/>
      <c r="J1802" s="191"/>
    </row>
    <row r="1803">
      <c r="A1803" s="148"/>
      <c r="B1803" s="75"/>
      <c r="C1803" s="75"/>
      <c r="D1803" s="75"/>
      <c r="E1803" s="75"/>
      <c r="F1803" s="75"/>
      <c r="G1803" s="75"/>
      <c r="H1803" s="75"/>
      <c r="I1803" s="75"/>
      <c r="J1803" s="191"/>
    </row>
    <row r="1804">
      <c r="A1804" s="148"/>
      <c r="B1804" s="75"/>
      <c r="C1804" s="75"/>
      <c r="D1804" s="75"/>
      <c r="E1804" s="75"/>
      <c r="F1804" s="75"/>
      <c r="G1804" s="75"/>
      <c r="H1804" s="75"/>
      <c r="I1804" s="75"/>
      <c r="J1804" s="191"/>
    </row>
    <row r="1805">
      <c r="A1805" s="148"/>
      <c r="B1805" s="75"/>
      <c r="C1805" s="75"/>
      <c r="D1805" s="75"/>
      <c r="E1805" s="75"/>
      <c r="F1805" s="75"/>
      <c r="G1805" s="75"/>
      <c r="H1805" s="75"/>
      <c r="I1805" s="75"/>
      <c r="J1805" s="191"/>
    </row>
    <row r="1806">
      <c r="A1806" s="148"/>
      <c r="B1806" s="75"/>
      <c r="C1806" s="75"/>
      <c r="D1806" s="75"/>
      <c r="E1806" s="75"/>
      <c r="F1806" s="75"/>
      <c r="G1806" s="75"/>
      <c r="H1806" s="75"/>
      <c r="I1806" s="75"/>
      <c r="J1806" s="191"/>
    </row>
    <row r="1807">
      <c r="A1807" s="148"/>
      <c r="B1807" s="75"/>
      <c r="C1807" s="75"/>
      <c r="D1807" s="75"/>
      <c r="E1807" s="75"/>
      <c r="F1807" s="75"/>
      <c r="G1807" s="75"/>
      <c r="H1807" s="75"/>
      <c r="I1807" s="75"/>
      <c r="J1807" s="191"/>
    </row>
    <row r="1808">
      <c r="A1808" s="148"/>
      <c r="B1808" s="75"/>
      <c r="C1808" s="75"/>
      <c r="D1808" s="75"/>
      <c r="E1808" s="75"/>
      <c r="F1808" s="75"/>
      <c r="G1808" s="75"/>
      <c r="H1808" s="75"/>
      <c r="I1808" s="75"/>
      <c r="J1808" s="191"/>
    </row>
    <row r="1809">
      <c r="A1809" s="148"/>
      <c r="B1809" s="75"/>
      <c r="C1809" s="75"/>
      <c r="D1809" s="75"/>
      <c r="E1809" s="75"/>
      <c r="F1809" s="75"/>
      <c r="G1809" s="75"/>
      <c r="H1809" s="75"/>
      <c r="I1809" s="75"/>
      <c r="J1809" s="191"/>
    </row>
    <row r="1810">
      <c r="A1810" s="148"/>
      <c r="B1810" s="75"/>
      <c r="C1810" s="75"/>
      <c r="D1810" s="75"/>
      <c r="E1810" s="75"/>
      <c r="F1810" s="75"/>
      <c r="G1810" s="75"/>
      <c r="H1810" s="75"/>
      <c r="I1810" s="75"/>
      <c r="J1810" s="191"/>
    </row>
    <row r="1811">
      <c r="A1811" s="148"/>
      <c r="B1811" s="75"/>
      <c r="C1811" s="75"/>
      <c r="D1811" s="75"/>
      <c r="E1811" s="75"/>
      <c r="F1811" s="75"/>
      <c r="G1811" s="75"/>
      <c r="H1811" s="75"/>
      <c r="I1811" s="75"/>
      <c r="J1811" s="191"/>
    </row>
    <row r="1812">
      <c r="A1812" s="148"/>
      <c r="B1812" s="75"/>
      <c r="C1812" s="75"/>
      <c r="D1812" s="75"/>
      <c r="E1812" s="75"/>
      <c r="F1812" s="75"/>
      <c r="G1812" s="75"/>
      <c r="H1812" s="75"/>
      <c r="I1812" s="75"/>
      <c r="J1812" s="191"/>
    </row>
    <row r="1813">
      <c r="A1813" s="148"/>
      <c r="B1813" s="75"/>
      <c r="C1813" s="75"/>
      <c r="D1813" s="75"/>
      <c r="E1813" s="75"/>
      <c r="F1813" s="75"/>
      <c r="G1813" s="75"/>
      <c r="H1813" s="75"/>
      <c r="I1813" s="75"/>
      <c r="J1813" s="191"/>
    </row>
    <row r="1814">
      <c r="A1814" s="148"/>
      <c r="B1814" s="75"/>
      <c r="C1814" s="75"/>
      <c r="D1814" s="75"/>
      <c r="E1814" s="75"/>
      <c r="F1814" s="75"/>
      <c r="G1814" s="75"/>
      <c r="H1814" s="75"/>
      <c r="I1814" s="75"/>
      <c r="J1814" s="191"/>
    </row>
    <row r="1815">
      <c r="A1815" s="148"/>
      <c r="B1815" s="75"/>
      <c r="C1815" s="75"/>
      <c r="D1815" s="75"/>
      <c r="E1815" s="75"/>
      <c r="F1815" s="75"/>
      <c r="G1815" s="75"/>
      <c r="H1815" s="75"/>
      <c r="I1815" s="75"/>
      <c r="J1815" s="191"/>
    </row>
    <row r="1816">
      <c r="A1816" s="148"/>
      <c r="B1816" s="75"/>
      <c r="C1816" s="75"/>
      <c r="D1816" s="75"/>
      <c r="E1816" s="75"/>
      <c r="F1816" s="75"/>
      <c r="G1816" s="75"/>
      <c r="H1816" s="75"/>
      <c r="I1816" s="75"/>
      <c r="J1816" s="191"/>
    </row>
    <row r="1817">
      <c r="A1817" s="148"/>
      <c r="B1817" s="75"/>
      <c r="C1817" s="75"/>
      <c r="D1817" s="75"/>
      <c r="E1817" s="75"/>
      <c r="F1817" s="75"/>
      <c r="G1817" s="75"/>
      <c r="H1817" s="75"/>
      <c r="I1817" s="75"/>
      <c r="J1817" s="191"/>
    </row>
    <row r="1818">
      <c r="A1818" s="148"/>
      <c r="B1818" s="75"/>
      <c r="C1818" s="75"/>
      <c r="D1818" s="75"/>
      <c r="E1818" s="75"/>
      <c r="F1818" s="75"/>
      <c r="G1818" s="75"/>
      <c r="H1818" s="75"/>
      <c r="I1818" s="75"/>
      <c r="J1818" s="191"/>
    </row>
    <row r="1819">
      <c r="A1819" s="148"/>
      <c r="B1819" s="75"/>
      <c r="C1819" s="75"/>
      <c r="D1819" s="75"/>
      <c r="E1819" s="75"/>
      <c r="F1819" s="75"/>
      <c r="G1819" s="75"/>
      <c r="H1819" s="75"/>
      <c r="I1819" s="75"/>
      <c r="J1819" s="191"/>
    </row>
    <row r="1820">
      <c r="A1820" s="148"/>
      <c r="B1820" s="75"/>
      <c r="C1820" s="75"/>
      <c r="D1820" s="75"/>
      <c r="E1820" s="75"/>
      <c r="F1820" s="75"/>
      <c r="G1820" s="75"/>
      <c r="H1820" s="75"/>
      <c r="I1820" s="75"/>
      <c r="J1820" s="191"/>
    </row>
    <row r="1821">
      <c r="A1821" s="148"/>
      <c r="B1821" s="75"/>
      <c r="C1821" s="75"/>
      <c r="D1821" s="75"/>
      <c r="E1821" s="75"/>
      <c r="F1821" s="75"/>
      <c r="G1821" s="75"/>
      <c r="H1821" s="75"/>
      <c r="I1821" s="75"/>
      <c r="J1821" s="191"/>
    </row>
    <row r="1822">
      <c r="A1822" s="148"/>
      <c r="B1822" s="75"/>
      <c r="C1822" s="75"/>
      <c r="D1822" s="75"/>
      <c r="E1822" s="75"/>
      <c r="F1822" s="75"/>
      <c r="G1822" s="75"/>
      <c r="H1822" s="75"/>
      <c r="I1822" s="75"/>
      <c r="J1822" s="191"/>
    </row>
    <row r="1823">
      <c r="A1823" s="148"/>
      <c r="B1823" s="75"/>
      <c r="C1823" s="75"/>
      <c r="D1823" s="75"/>
      <c r="E1823" s="75"/>
      <c r="F1823" s="75"/>
      <c r="G1823" s="75"/>
      <c r="H1823" s="75"/>
      <c r="I1823" s="75"/>
      <c r="J1823" s="191"/>
    </row>
    <row r="1824">
      <c r="A1824" s="148"/>
      <c r="B1824" s="75"/>
      <c r="C1824" s="75"/>
      <c r="D1824" s="75"/>
      <c r="E1824" s="75"/>
      <c r="F1824" s="75"/>
      <c r="G1824" s="75"/>
      <c r="H1824" s="75"/>
      <c r="I1824" s="75"/>
      <c r="J1824" s="191"/>
    </row>
    <row r="1825">
      <c r="A1825" s="148"/>
      <c r="B1825" s="75"/>
      <c r="C1825" s="75"/>
      <c r="D1825" s="75"/>
      <c r="E1825" s="75"/>
      <c r="F1825" s="75"/>
      <c r="G1825" s="75"/>
      <c r="H1825" s="75"/>
      <c r="I1825" s="75"/>
      <c r="J1825" s="191"/>
    </row>
    <row r="1826">
      <c r="A1826" s="148"/>
      <c r="B1826" s="75"/>
      <c r="C1826" s="75"/>
      <c r="D1826" s="75"/>
      <c r="E1826" s="75"/>
      <c r="F1826" s="75"/>
      <c r="G1826" s="75"/>
      <c r="H1826" s="75"/>
      <c r="I1826" s="75"/>
      <c r="J1826" s="191"/>
    </row>
    <row r="1827">
      <c r="A1827" s="148"/>
      <c r="B1827" s="75"/>
      <c r="C1827" s="75"/>
      <c r="D1827" s="75"/>
      <c r="E1827" s="75"/>
      <c r="F1827" s="75"/>
      <c r="G1827" s="75"/>
      <c r="H1827" s="75"/>
      <c r="I1827" s="75"/>
      <c r="J1827" s="191"/>
    </row>
    <row r="1828">
      <c r="A1828" s="148"/>
      <c r="B1828" s="75"/>
      <c r="C1828" s="75"/>
      <c r="D1828" s="75"/>
      <c r="E1828" s="75"/>
      <c r="F1828" s="75"/>
      <c r="G1828" s="75"/>
      <c r="H1828" s="75"/>
      <c r="I1828" s="75"/>
      <c r="J1828" s="191"/>
    </row>
    <row r="1829">
      <c r="A1829" s="148"/>
      <c r="B1829" s="75"/>
      <c r="C1829" s="75"/>
      <c r="D1829" s="75"/>
      <c r="E1829" s="75"/>
      <c r="F1829" s="75"/>
      <c r="G1829" s="75"/>
      <c r="H1829" s="75"/>
      <c r="I1829" s="75"/>
      <c r="J1829" s="191"/>
    </row>
    <row r="1830">
      <c r="A1830" s="148"/>
      <c r="B1830" s="75"/>
      <c r="C1830" s="75"/>
      <c r="D1830" s="75"/>
      <c r="E1830" s="75"/>
      <c r="F1830" s="75"/>
      <c r="G1830" s="75"/>
      <c r="H1830" s="75"/>
      <c r="I1830" s="75"/>
      <c r="J1830" s="191"/>
    </row>
    <row r="1831">
      <c r="A1831" s="148"/>
      <c r="B1831" s="75"/>
      <c r="C1831" s="75"/>
      <c r="D1831" s="75"/>
      <c r="E1831" s="75"/>
      <c r="F1831" s="75"/>
      <c r="G1831" s="75"/>
      <c r="H1831" s="75"/>
      <c r="I1831" s="75"/>
      <c r="J1831" s="191"/>
    </row>
    <row r="1832">
      <c r="A1832" s="148"/>
      <c r="B1832" s="75"/>
      <c r="C1832" s="75"/>
      <c r="D1832" s="75"/>
      <c r="E1832" s="75"/>
      <c r="F1832" s="75"/>
      <c r="G1832" s="75"/>
      <c r="H1832" s="75"/>
      <c r="I1832" s="75"/>
      <c r="J1832" s="191"/>
    </row>
    <row r="1833">
      <c r="A1833" s="148"/>
      <c r="B1833" s="75"/>
      <c r="C1833" s="75"/>
      <c r="D1833" s="75"/>
      <c r="E1833" s="75"/>
      <c r="F1833" s="75"/>
      <c r="G1833" s="75"/>
      <c r="H1833" s="75"/>
      <c r="I1833" s="75"/>
      <c r="J1833" s="191"/>
    </row>
    <row r="1834">
      <c r="A1834" s="148"/>
      <c r="B1834" s="75"/>
      <c r="C1834" s="75"/>
      <c r="D1834" s="75"/>
      <c r="E1834" s="75"/>
      <c r="F1834" s="75"/>
      <c r="G1834" s="75"/>
      <c r="H1834" s="75"/>
      <c r="I1834" s="75"/>
      <c r="J1834" s="191"/>
    </row>
    <row r="1835">
      <c r="A1835" s="148"/>
      <c r="B1835" s="75"/>
      <c r="C1835" s="75"/>
      <c r="D1835" s="75"/>
      <c r="E1835" s="75"/>
      <c r="F1835" s="75"/>
      <c r="G1835" s="75"/>
      <c r="H1835" s="75"/>
      <c r="I1835" s="75"/>
      <c r="J1835" s="191"/>
    </row>
    <row r="1836">
      <c r="A1836" s="148"/>
      <c r="B1836" s="75"/>
      <c r="C1836" s="75"/>
      <c r="D1836" s="75"/>
      <c r="E1836" s="75"/>
      <c r="F1836" s="75"/>
      <c r="G1836" s="75"/>
      <c r="H1836" s="75"/>
      <c r="I1836" s="75"/>
      <c r="J1836" s="191"/>
    </row>
    <row r="1837">
      <c r="A1837" s="148"/>
      <c r="B1837" s="75"/>
      <c r="C1837" s="75"/>
      <c r="D1837" s="75"/>
      <c r="E1837" s="75"/>
      <c r="F1837" s="75"/>
      <c r="G1837" s="75"/>
      <c r="H1837" s="75"/>
      <c r="I1837" s="75"/>
      <c r="J1837" s="191"/>
    </row>
    <row r="1838">
      <c r="A1838" s="148"/>
      <c r="B1838" s="75"/>
      <c r="C1838" s="75"/>
      <c r="D1838" s="75"/>
      <c r="E1838" s="75"/>
      <c r="F1838" s="75"/>
      <c r="G1838" s="75"/>
      <c r="H1838" s="75"/>
      <c r="I1838" s="75"/>
      <c r="J1838" s="191"/>
    </row>
    <row r="1839">
      <c r="A1839" s="148"/>
      <c r="B1839" s="75"/>
      <c r="C1839" s="75"/>
      <c r="D1839" s="75"/>
      <c r="E1839" s="75"/>
      <c r="F1839" s="75"/>
      <c r="G1839" s="75"/>
      <c r="H1839" s="75"/>
      <c r="I1839" s="75"/>
      <c r="J1839" s="191"/>
    </row>
    <row r="1840">
      <c r="A1840" s="148"/>
      <c r="B1840" s="75"/>
      <c r="C1840" s="75"/>
      <c r="D1840" s="75"/>
      <c r="E1840" s="75"/>
      <c r="F1840" s="75"/>
      <c r="G1840" s="75"/>
      <c r="H1840" s="75"/>
      <c r="I1840" s="75"/>
      <c r="J1840" s="191"/>
    </row>
    <row r="1841">
      <c r="A1841" s="148"/>
      <c r="B1841" s="75"/>
      <c r="C1841" s="75"/>
      <c r="D1841" s="75"/>
      <c r="E1841" s="75"/>
      <c r="F1841" s="75"/>
      <c r="G1841" s="75"/>
      <c r="H1841" s="75"/>
      <c r="I1841" s="75"/>
      <c r="J1841" s="191"/>
    </row>
    <row r="1842">
      <c r="A1842" s="148"/>
      <c r="B1842" s="75"/>
      <c r="C1842" s="75"/>
      <c r="D1842" s="75"/>
      <c r="E1842" s="75"/>
      <c r="F1842" s="75"/>
      <c r="G1842" s="75"/>
      <c r="H1842" s="75"/>
      <c r="I1842" s="75"/>
      <c r="J1842" s="191"/>
    </row>
    <row r="1843">
      <c r="A1843" s="148"/>
      <c r="B1843" s="75"/>
      <c r="C1843" s="75"/>
      <c r="D1843" s="75"/>
      <c r="E1843" s="75"/>
      <c r="F1843" s="75"/>
      <c r="G1843" s="75"/>
      <c r="H1843" s="75"/>
      <c r="I1843" s="75"/>
      <c r="J1843" s="191"/>
    </row>
    <row r="1844">
      <c r="A1844" s="148"/>
      <c r="B1844" s="75"/>
      <c r="C1844" s="75"/>
      <c r="D1844" s="75"/>
      <c r="E1844" s="75"/>
      <c r="F1844" s="75"/>
      <c r="G1844" s="75"/>
      <c r="H1844" s="75"/>
      <c r="I1844" s="75"/>
      <c r="J1844" s="191"/>
    </row>
    <row r="1845">
      <c r="A1845" s="148"/>
      <c r="B1845" s="75"/>
      <c r="C1845" s="75"/>
      <c r="D1845" s="75"/>
      <c r="E1845" s="75"/>
      <c r="F1845" s="75"/>
      <c r="G1845" s="75"/>
      <c r="H1845" s="75"/>
      <c r="I1845" s="75"/>
      <c r="J1845" s="191"/>
    </row>
    <row r="1846">
      <c r="A1846" s="148"/>
      <c r="B1846" s="75"/>
      <c r="C1846" s="75"/>
      <c r="D1846" s="75"/>
      <c r="E1846" s="75"/>
      <c r="F1846" s="75"/>
      <c r="G1846" s="75"/>
      <c r="H1846" s="75"/>
      <c r="I1846" s="75"/>
      <c r="J1846" s="191"/>
    </row>
    <row r="1847">
      <c r="A1847" s="148"/>
      <c r="B1847" s="75"/>
      <c r="C1847" s="75"/>
      <c r="D1847" s="75"/>
      <c r="E1847" s="75"/>
      <c r="F1847" s="75"/>
      <c r="G1847" s="75"/>
      <c r="H1847" s="75"/>
      <c r="I1847" s="75"/>
      <c r="J1847" s="191"/>
    </row>
    <row r="1848">
      <c r="A1848" s="148"/>
      <c r="B1848" s="75"/>
      <c r="C1848" s="75"/>
      <c r="D1848" s="75"/>
      <c r="E1848" s="75"/>
      <c r="F1848" s="75"/>
      <c r="G1848" s="75"/>
      <c r="H1848" s="75"/>
      <c r="I1848" s="75"/>
      <c r="J1848" s="191"/>
    </row>
    <row r="1849">
      <c r="A1849" s="148"/>
      <c r="B1849" s="75"/>
      <c r="C1849" s="75"/>
      <c r="D1849" s="75"/>
      <c r="E1849" s="75"/>
      <c r="F1849" s="75"/>
      <c r="G1849" s="75"/>
      <c r="H1849" s="75"/>
      <c r="I1849" s="75"/>
      <c r="J1849" s="191"/>
    </row>
    <row r="1850">
      <c r="A1850" s="148"/>
      <c r="B1850" s="75"/>
      <c r="C1850" s="75"/>
      <c r="D1850" s="75"/>
      <c r="E1850" s="75"/>
      <c r="F1850" s="75"/>
      <c r="G1850" s="75"/>
      <c r="H1850" s="75"/>
      <c r="I1850" s="75"/>
      <c r="J1850" s="191"/>
    </row>
    <row r="1851">
      <c r="A1851" s="148"/>
      <c r="B1851" s="75"/>
      <c r="C1851" s="75"/>
      <c r="D1851" s="75"/>
      <c r="E1851" s="75"/>
      <c r="F1851" s="75"/>
      <c r="G1851" s="75"/>
      <c r="H1851" s="75"/>
      <c r="I1851" s="75"/>
      <c r="J1851" s="191"/>
    </row>
    <row r="1852">
      <c r="A1852" s="148"/>
      <c r="B1852" s="75"/>
      <c r="C1852" s="75"/>
      <c r="D1852" s="75"/>
      <c r="E1852" s="75"/>
      <c r="F1852" s="75"/>
      <c r="G1852" s="75"/>
      <c r="H1852" s="75"/>
      <c r="I1852" s="75"/>
      <c r="J1852" s="191"/>
    </row>
    <row r="1853">
      <c r="A1853" s="148"/>
      <c r="B1853" s="75"/>
      <c r="C1853" s="75"/>
      <c r="D1853" s="75"/>
      <c r="E1853" s="75"/>
      <c r="F1853" s="75"/>
      <c r="G1853" s="75"/>
      <c r="H1853" s="75"/>
      <c r="I1853" s="75"/>
      <c r="J1853" s="191"/>
    </row>
    <row r="1854">
      <c r="A1854" s="148"/>
      <c r="B1854" s="75"/>
      <c r="C1854" s="75"/>
      <c r="D1854" s="75"/>
      <c r="E1854" s="75"/>
      <c r="F1854" s="75"/>
      <c r="G1854" s="75"/>
      <c r="H1854" s="75"/>
      <c r="I1854" s="75"/>
      <c r="J1854" s="191"/>
    </row>
    <row r="1855">
      <c r="A1855" s="148"/>
      <c r="B1855" s="75"/>
      <c r="C1855" s="75"/>
      <c r="D1855" s="75"/>
      <c r="E1855" s="75"/>
      <c r="F1855" s="75"/>
      <c r="G1855" s="75"/>
      <c r="H1855" s="75"/>
      <c r="I1855" s="75"/>
      <c r="J1855" s="191"/>
    </row>
    <row r="1856">
      <c r="A1856" s="148"/>
      <c r="B1856" s="75"/>
      <c r="C1856" s="75"/>
      <c r="D1856" s="75"/>
      <c r="E1856" s="75"/>
      <c r="F1856" s="75"/>
      <c r="G1856" s="75"/>
      <c r="H1856" s="75"/>
      <c r="I1856" s="75"/>
      <c r="J1856" s="191"/>
    </row>
    <row r="1857">
      <c r="A1857" s="148"/>
      <c r="B1857" s="75"/>
      <c r="C1857" s="75"/>
      <c r="D1857" s="75"/>
      <c r="E1857" s="75"/>
      <c r="F1857" s="75"/>
      <c r="G1857" s="75"/>
      <c r="H1857" s="75"/>
      <c r="I1857" s="75"/>
      <c r="J1857" s="191"/>
    </row>
    <row r="1858">
      <c r="A1858" s="148"/>
      <c r="B1858" s="75"/>
      <c r="C1858" s="75"/>
      <c r="D1858" s="75"/>
      <c r="E1858" s="75"/>
      <c r="F1858" s="75"/>
      <c r="G1858" s="75"/>
      <c r="H1858" s="75"/>
      <c r="I1858" s="75"/>
      <c r="J1858" s="191"/>
    </row>
    <row r="1859">
      <c r="A1859" s="148"/>
      <c r="B1859" s="75"/>
      <c r="C1859" s="75"/>
      <c r="D1859" s="75"/>
      <c r="E1859" s="75"/>
      <c r="F1859" s="75"/>
      <c r="G1859" s="75"/>
      <c r="H1859" s="75"/>
      <c r="I1859" s="75"/>
      <c r="J1859" s="191"/>
    </row>
    <row r="1860">
      <c r="A1860" s="148"/>
      <c r="B1860" s="75"/>
      <c r="C1860" s="75"/>
      <c r="D1860" s="75"/>
      <c r="E1860" s="75"/>
      <c r="F1860" s="75"/>
      <c r="G1860" s="75"/>
      <c r="H1860" s="75"/>
      <c r="I1860" s="75"/>
      <c r="J1860" s="191"/>
    </row>
    <row r="1861">
      <c r="A1861" s="148"/>
      <c r="B1861" s="75"/>
      <c r="C1861" s="75"/>
      <c r="D1861" s="75"/>
      <c r="E1861" s="75"/>
      <c r="F1861" s="75"/>
      <c r="G1861" s="75"/>
      <c r="H1861" s="75"/>
      <c r="I1861" s="75"/>
      <c r="J1861" s="191"/>
    </row>
    <row r="1862">
      <c r="A1862" s="148"/>
      <c r="B1862" s="75"/>
      <c r="C1862" s="75"/>
      <c r="D1862" s="75"/>
      <c r="E1862" s="75"/>
      <c r="F1862" s="75"/>
      <c r="G1862" s="75"/>
      <c r="H1862" s="75"/>
      <c r="I1862" s="75"/>
      <c r="J1862" s="191"/>
    </row>
    <row r="1863">
      <c r="A1863" s="148"/>
      <c r="B1863" s="75"/>
      <c r="C1863" s="75"/>
      <c r="D1863" s="75"/>
      <c r="E1863" s="75"/>
      <c r="F1863" s="75"/>
      <c r="G1863" s="75"/>
      <c r="H1863" s="75"/>
      <c r="I1863" s="75"/>
      <c r="J1863" s="191"/>
    </row>
    <row r="1864">
      <c r="A1864" s="148"/>
      <c r="B1864" s="75"/>
      <c r="C1864" s="75"/>
      <c r="D1864" s="75"/>
      <c r="E1864" s="75"/>
      <c r="F1864" s="75"/>
      <c r="G1864" s="75"/>
      <c r="H1864" s="75"/>
      <c r="I1864" s="75"/>
      <c r="J1864" s="191"/>
    </row>
    <row r="1865">
      <c r="A1865" s="148"/>
      <c r="B1865" s="75"/>
      <c r="C1865" s="75"/>
      <c r="D1865" s="75"/>
      <c r="E1865" s="75"/>
      <c r="F1865" s="75"/>
      <c r="G1865" s="75"/>
      <c r="H1865" s="75"/>
      <c r="I1865" s="75"/>
      <c r="J1865" s="191"/>
    </row>
    <row r="1866">
      <c r="A1866" s="148"/>
      <c r="B1866" s="75"/>
      <c r="C1866" s="75"/>
      <c r="D1866" s="75"/>
      <c r="E1866" s="75"/>
      <c r="F1866" s="75"/>
      <c r="G1866" s="75"/>
      <c r="H1866" s="75"/>
      <c r="I1866" s="75"/>
      <c r="J1866" s="191"/>
    </row>
    <row r="1867">
      <c r="A1867" s="148"/>
      <c r="B1867" s="75"/>
      <c r="C1867" s="75"/>
      <c r="D1867" s="75"/>
      <c r="E1867" s="75"/>
      <c r="F1867" s="75"/>
      <c r="G1867" s="75"/>
      <c r="H1867" s="75"/>
      <c r="I1867" s="75"/>
      <c r="J1867" s="191"/>
    </row>
    <row r="1868">
      <c r="A1868" s="148"/>
      <c r="B1868" s="75"/>
      <c r="C1868" s="75"/>
      <c r="D1868" s="75"/>
      <c r="E1868" s="75"/>
      <c r="F1868" s="75"/>
      <c r="G1868" s="75"/>
      <c r="H1868" s="75"/>
      <c r="I1868" s="75"/>
      <c r="J1868" s="191"/>
    </row>
    <row r="1869">
      <c r="A1869" s="148"/>
      <c r="B1869" s="75"/>
      <c r="C1869" s="75"/>
      <c r="D1869" s="75"/>
      <c r="E1869" s="75"/>
      <c r="F1869" s="75"/>
      <c r="G1869" s="75"/>
      <c r="H1869" s="75"/>
      <c r="I1869" s="75"/>
      <c r="J1869" s="191"/>
    </row>
    <row r="1870">
      <c r="A1870" s="148"/>
      <c r="B1870" s="75"/>
      <c r="C1870" s="75"/>
      <c r="D1870" s="75"/>
      <c r="E1870" s="75"/>
      <c r="F1870" s="75"/>
      <c r="G1870" s="75"/>
      <c r="H1870" s="75"/>
      <c r="I1870" s="75"/>
      <c r="J1870" s="191"/>
    </row>
    <row r="1871">
      <c r="A1871" s="148"/>
      <c r="B1871" s="75"/>
      <c r="C1871" s="75"/>
      <c r="D1871" s="75"/>
      <c r="E1871" s="75"/>
      <c r="F1871" s="75"/>
      <c r="G1871" s="75"/>
      <c r="H1871" s="75"/>
      <c r="I1871" s="75"/>
      <c r="J1871" s="191"/>
    </row>
    <row r="1872">
      <c r="A1872" s="148"/>
      <c r="B1872" s="75"/>
      <c r="C1872" s="75"/>
      <c r="D1872" s="75"/>
      <c r="E1872" s="75"/>
      <c r="F1872" s="75"/>
      <c r="G1872" s="75"/>
      <c r="H1872" s="75"/>
      <c r="I1872" s="75"/>
      <c r="J1872" s="191"/>
    </row>
    <row r="1873">
      <c r="A1873" s="148"/>
      <c r="B1873" s="75"/>
      <c r="C1873" s="75"/>
      <c r="D1873" s="75"/>
      <c r="E1873" s="75"/>
      <c r="F1873" s="75"/>
      <c r="G1873" s="75"/>
      <c r="H1873" s="75"/>
      <c r="I1873" s="75"/>
      <c r="J1873" s="191"/>
    </row>
    <row r="1874">
      <c r="A1874" s="148"/>
      <c r="B1874" s="75"/>
      <c r="C1874" s="75"/>
      <c r="D1874" s="75"/>
      <c r="E1874" s="75"/>
      <c r="F1874" s="75"/>
      <c r="G1874" s="75"/>
      <c r="H1874" s="75"/>
      <c r="I1874" s="75"/>
      <c r="J1874" s="191"/>
    </row>
    <row r="1875">
      <c r="A1875" s="148"/>
      <c r="B1875" s="75"/>
      <c r="C1875" s="75"/>
      <c r="D1875" s="75"/>
      <c r="E1875" s="75"/>
      <c r="F1875" s="75"/>
      <c r="G1875" s="75"/>
      <c r="H1875" s="75"/>
      <c r="I1875" s="75"/>
      <c r="J1875" s="191"/>
    </row>
    <row r="1876">
      <c r="A1876" s="148"/>
      <c r="B1876" s="75"/>
      <c r="C1876" s="75"/>
      <c r="D1876" s="75"/>
      <c r="E1876" s="75"/>
      <c r="F1876" s="75"/>
      <c r="G1876" s="75"/>
      <c r="H1876" s="75"/>
      <c r="I1876" s="75"/>
      <c r="J1876" s="191"/>
    </row>
    <row r="1877">
      <c r="A1877" s="148"/>
      <c r="B1877" s="75"/>
      <c r="C1877" s="75"/>
      <c r="D1877" s="75"/>
      <c r="E1877" s="75"/>
      <c r="F1877" s="75"/>
      <c r="G1877" s="75"/>
      <c r="H1877" s="75"/>
      <c r="I1877" s="75"/>
      <c r="J1877" s="191"/>
    </row>
    <row r="1878">
      <c r="A1878" s="148"/>
      <c r="B1878" s="75"/>
      <c r="C1878" s="75"/>
      <c r="D1878" s="75"/>
      <c r="E1878" s="75"/>
      <c r="F1878" s="75"/>
      <c r="G1878" s="75"/>
      <c r="H1878" s="75"/>
      <c r="I1878" s="75"/>
      <c r="J1878" s="191"/>
    </row>
    <row r="1879">
      <c r="A1879" s="148"/>
      <c r="B1879" s="75"/>
      <c r="C1879" s="75"/>
      <c r="D1879" s="75"/>
      <c r="E1879" s="75"/>
      <c r="F1879" s="75"/>
      <c r="G1879" s="75"/>
      <c r="H1879" s="75"/>
      <c r="I1879" s="75"/>
      <c r="J1879" s="191"/>
    </row>
    <row r="1880">
      <c r="A1880" s="148"/>
      <c r="B1880" s="75"/>
      <c r="C1880" s="75"/>
      <c r="D1880" s="75"/>
      <c r="E1880" s="75"/>
      <c r="F1880" s="75"/>
      <c r="G1880" s="75"/>
      <c r="H1880" s="75"/>
      <c r="I1880" s="75"/>
      <c r="J1880" s="191"/>
    </row>
    <row r="1881">
      <c r="A1881" s="148"/>
      <c r="B1881" s="75"/>
      <c r="C1881" s="75"/>
      <c r="D1881" s="75"/>
      <c r="E1881" s="75"/>
      <c r="F1881" s="75"/>
      <c r="G1881" s="75"/>
      <c r="H1881" s="75"/>
      <c r="I1881" s="75"/>
      <c r="J1881" s="191"/>
    </row>
    <row r="1882">
      <c r="A1882" s="148"/>
      <c r="B1882" s="75"/>
      <c r="C1882" s="75"/>
      <c r="D1882" s="75"/>
      <c r="E1882" s="75"/>
      <c r="F1882" s="75"/>
      <c r="G1882" s="75"/>
      <c r="H1882" s="75"/>
      <c r="I1882" s="75"/>
      <c r="J1882" s="191"/>
    </row>
    <row r="1883">
      <c r="A1883" s="148"/>
      <c r="B1883" s="75"/>
      <c r="C1883" s="75"/>
      <c r="D1883" s="75"/>
      <c r="E1883" s="75"/>
      <c r="F1883" s="75"/>
      <c r="G1883" s="75"/>
      <c r="H1883" s="75"/>
      <c r="I1883" s="75"/>
      <c r="J1883" s="191"/>
    </row>
    <row r="1884">
      <c r="A1884" s="148"/>
      <c r="B1884" s="75"/>
      <c r="C1884" s="75"/>
      <c r="D1884" s="75"/>
      <c r="E1884" s="75"/>
      <c r="F1884" s="75"/>
      <c r="G1884" s="75"/>
      <c r="H1884" s="75"/>
      <c r="I1884" s="75"/>
      <c r="J1884" s="191"/>
    </row>
    <row r="1885">
      <c r="A1885" s="148"/>
      <c r="B1885" s="75"/>
      <c r="C1885" s="75"/>
      <c r="D1885" s="75"/>
      <c r="E1885" s="75"/>
      <c r="F1885" s="75"/>
      <c r="G1885" s="75"/>
      <c r="H1885" s="75"/>
      <c r="I1885" s="75"/>
      <c r="J1885" s="191"/>
    </row>
    <row r="1886">
      <c r="A1886" s="148"/>
      <c r="B1886" s="75"/>
      <c r="C1886" s="75"/>
      <c r="D1886" s="75"/>
      <c r="E1886" s="75"/>
      <c r="F1886" s="75"/>
      <c r="G1886" s="75"/>
      <c r="H1886" s="75"/>
      <c r="I1886" s="75"/>
      <c r="J1886" s="191"/>
    </row>
    <row r="1887">
      <c r="A1887" s="148"/>
      <c r="B1887" s="75"/>
      <c r="C1887" s="75"/>
      <c r="D1887" s="75"/>
      <c r="E1887" s="75"/>
      <c r="F1887" s="75"/>
      <c r="G1887" s="75"/>
      <c r="H1887" s="75"/>
      <c r="I1887" s="75"/>
      <c r="J1887" s="191"/>
    </row>
    <row r="1888">
      <c r="A1888" s="148"/>
      <c r="B1888" s="75"/>
      <c r="C1888" s="75"/>
      <c r="D1888" s="75"/>
      <c r="E1888" s="75"/>
      <c r="F1888" s="75"/>
      <c r="G1888" s="75"/>
      <c r="H1888" s="75"/>
      <c r="I1888" s="75"/>
      <c r="J1888" s="191"/>
    </row>
    <row r="1889">
      <c r="A1889" s="148"/>
      <c r="B1889" s="75"/>
      <c r="C1889" s="75"/>
      <c r="D1889" s="75"/>
      <c r="E1889" s="75"/>
      <c r="F1889" s="75"/>
      <c r="G1889" s="75"/>
      <c r="H1889" s="75"/>
      <c r="I1889" s="75"/>
      <c r="J1889" s="191"/>
    </row>
    <row r="1890">
      <c r="A1890" s="148"/>
      <c r="B1890" s="75"/>
      <c r="C1890" s="75"/>
      <c r="D1890" s="75"/>
      <c r="E1890" s="75"/>
      <c r="F1890" s="75"/>
      <c r="G1890" s="75"/>
      <c r="H1890" s="75"/>
      <c r="I1890" s="75"/>
      <c r="J1890" s="191"/>
    </row>
    <row r="1891">
      <c r="A1891" s="148"/>
      <c r="B1891" s="75"/>
      <c r="C1891" s="75"/>
      <c r="D1891" s="75"/>
      <c r="E1891" s="75"/>
      <c r="F1891" s="75"/>
      <c r="G1891" s="75"/>
      <c r="H1891" s="75"/>
      <c r="I1891" s="75"/>
      <c r="J1891" s="191"/>
    </row>
    <row r="1892">
      <c r="A1892" s="148"/>
      <c r="B1892" s="75"/>
      <c r="C1892" s="75"/>
      <c r="D1892" s="75"/>
      <c r="E1892" s="75"/>
      <c r="F1892" s="75"/>
      <c r="G1892" s="75"/>
      <c r="H1892" s="75"/>
      <c r="I1892" s="75"/>
      <c r="J1892" s="191"/>
    </row>
    <row r="1893">
      <c r="A1893" s="148"/>
      <c r="B1893" s="75"/>
      <c r="C1893" s="75"/>
      <c r="D1893" s="75"/>
      <c r="E1893" s="75"/>
      <c r="F1893" s="75"/>
      <c r="G1893" s="75"/>
      <c r="H1893" s="75"/>
      <c r="I1893" s="75"/>
      <c r="J1893" s="191"/>
    </row>
    <row r="1894">
      <c r="A1894" s="148"/>
      <c r="B1894" s="75"/>
      <c r="C1894" s="75"/>
      <c r="D1894" s="75"/>
      <c r="E1894" s="75"/>
      <c r="F1894" s="75"/>
      <c r="G1894" s="75"/>
      <c r="H1894" s="75"/>
      <c r="I1894" s="75"/>
      <c r="J1894" s="191"/>
    </row>
    <row r="1895">
      <c r="A1895" s="148"/>
      <c r="B1895" s="75"/>
      <c r="C1895" s="75"/>
      <c r="D1895" s="75"/>
      <c r="E1895" s="75"/>
      <c r="F1895" s="75"/>
      <c r="G1895" s="75"/>
      <c r="H1895" s="75"/>
      <c r="I1895" s="75"/>
      <c r="J1895" s="191"/>
    </row>
    <row r="1896">
      <c r="A1896" s="148"/>
      <c r="B1896" s="75"/>
      <c r="C1896" s="75"/>
      <c r="D1896" s="75"/>
      <c r="E1896" s="75"/>
      <c r="F1896" s="75"/>
      <c r="G1896" s="75"/>
      <c r="H1896" s="75"/>
      <c r="I1896" s="75"/>
      <c r="J1896" s="191"/>
    </row>
    <row r="1897">
      <c r="A1897" s="148"/>
      <c r="B1897" s="75"/>
      <c r="C1897" s="75"/>
      <c r="D1897" s="75"/>
      <c r="E1897" s="75"/>
      <c r="F1897" s="75"/>
      <c r="G1897" s="75"/>
      <c r="H1897" s="75"/>
      <c r="I1897" s="75"/>
      <c r="J1897" s="191"/>
    </row>
    <row r="1898">
      <c r="A1898" s="148"/>
      <c r="B1898" s="75"/>
      <c r="C1898" s="75"/>
      <c r="D1898" s="75"/>
      <c r="E1898" s="75"/>
      <c r="F1898" s="75"/>
      <c r="G1898" s="75"/>
      <c r="H1898" s="75"/>
      <c r="I1898" s="75"/>
      <c r="J1898" s="191"/>
    </row>
    <row r="1899">
      <c r="A1899" s="148"/>
      <c r="B1899" s="75"/>
      <c r="C1899" s="75"/>
      <c r="D1899" s="75"/>
      <c r="E1899" s="75"/>
      <c r="F1899" s="75"/>
      <c r="G1899" s="75"/>
      <c r="H1899" s="75"/>
      <c r="I1899" s="75"/>
      <c r="J1899" s="191"/>
    </row>
    <row r="1900">
      <c r="A1900" s="148"/>
      <c r="B1900" s="75"/>
      <c r="C1900" s="75"/>
      <c r="D1900" s="75"/>
      <c r="E1900" s="75"/>
      <c r="F1900" s="75"/>
      <c r="G1900" s="75"/>
      <c r="H1900" s="75"/>
      <c r="I1900" s="75"/>
      <c r="J1900" s="191"/>
    </row>
    <row r="1901">
      <c r="A1901" s="148"/>
      <c r="B1901" s="75"/>
      <c r="C1901" s="75"/>
      <c r="D1901" s="75"/>
      <c r="E1901" s="75"/>
      <c r="F1901" s="75"/>
      <c r="G1901" s="75"/>
      <c r="H1901" s="75"/>
      <c r="I1901" s="75"/>
      <c r="J1901" s="191"/>
    </row>
    <row r="1902">
      <c r="A1902" s="148"/>
      <c r="B1902" s="75"/>
      <c r="C1902" s="75"/>
      <c r="D1902" s="75"/>
      <c r="E1902" s="75"/>
      <c r="F1902" s="75"/>
      <c r="G1902" s="75"/>
      <c r="H1902" s="75"/>
      <c r="I1902" s="75"/>
      <c r="J1902" s="191"/>
    </row>
    <row r="1903">
      <c r="A1903" s="148"/>
      <c r="B1903" s="75"/>
      <c r="C1903" s="75"/>
      <c r="D1903" s="75"/>
      <c r="E1903" s="75"/>
      <c r="F1903" s="75"/>
      <c r="G1903" s="75"/>
      <c r="H1903" s="75"/>
      <c r="I1903" s="75"/>
      <c r="J1903" s="191"/>
    </row>
    <row r="1904">
      <c r="A1904" s="148"/>
      <c r="B1904" s="75"/>
      <c r="C1904" s="75"/>
      <c r="D1904" s="75"/>
      <c r="E1904" s="75"/>
      <c r="F1904" s="75"/>
      <c r="G1904" s="75"/>
      <c r="H1904" s="75"/>
      <c r="I1904" s="75"/>
      <c r="J1904" s="191"/>
    </row>
    <row r="1905">
      <c r="A1905" s="148"/>
      <c r="B1905" s="75"/>
      <c r="C1905" s="75"/>
      <c r="D1905" s="75"/>
      <c r="E1905" s="75"/>
      <c r="F1905" s="75"/>
      <c r="G1905" s="75"/>
      <c r="H1905" s="75"/>
      <c r="I1905" s="75"/>
      <c r="J1905" s="191"/>
    </row>
    <row r="1906">
      <c r="A1906" s="148"/>
      <c r="B1906" s="75"/>
      <c r="C1906" s="75"/>
      <c r="D1906" s="75"/>
      <c r="E1906" s="75"/>
      <c r="F1906" s="75"/>
      <c r="G1906" s="75"/>
      <c r="H1906" s="75"/>
      <c r="I1906" s="75"/>
      <c r="J1906" s="191"/>
    </row>
    <row r="1907">
      <c r="A1907" s="148"/>
      <c r="B1907" s="75"/>
      <c r="C1907" s="75"/>
      <c r="D1907" s="75"/>
      <c r="E1907" s="75"/>
      <c r="F1907" s="75"/>
      <c r="G1907" s="75"/>
      <c r="H1907" s="75"/>
      <c r="I1907" s="75"/>
      <c r="J1907" s="191"/>
    </row>
    <row r="1908">
      <c r="A1908" s="148"/>
      <c r="B1908" s="75"/>
      <c r="C1908" s="75"/>
      <c r="D1908" s="75"/>
      <c r="E1908" s="75"/>
      <c r="F1908" s="75"/>
      <c r="G1908" s="75"/>
      <c r="H1908" s="75"/>
      <c r="I1908" s="75"/>
      <c r="J1908" s="191"/>
    </row>
    <row r="1909">
      <c r="A1909" s="148"/>
      <c r="B1909" s="75"/>
      <c r="C1909" s="75"/>
      <c r="D1909" s="75"/>
      <c r="E1909" s="75"/>
      <c r="F1909" s="75"/>
      <c r="G1909" s="75"/>
      <c r="H1909" s="75"/>
      <c r="I1909" s="75"/>
      <c r="J1909" s="191"/>
    </row>
    <row r="1910">
      <c r="A1910" s="148"/>
      <c r="B1910" s="75"/>
      <c r="C1910" s="75"/>
      <c r="D1910" s="75"/>
      <c r="E1910" s="75"/>
      <c r="F1910" s="75"/>
      <c r="G1910" s="75"/>
      <c r="H1910" s="75"/>
      <c r="I1910" s="75"/>
      <c r="J1910" s="191"/>
    </row>
    <row r="1911">
      <c r="A1911" s="148"/>
      <c r="B1911" s="75"/>
      <c r="C1911" s="75"/>
      <c r="D1911" s="75"/>
      <c r="E1911" s="75"/>
      <c r="F1911" s="75"/>
      <c r="G1911" s="75"/>
      <c r="H1911" s="75"/>
      <c r="I1911" s="75"/>
      <c r="J1911" s="191"/>
    </row>
    <row r="1912">
      <c r="A1912" s="148"/>
      <c r="B1912" s="75"/>
      <c r="C1912" s="75"/>
      <c r="D1912" s="75"/>
      <c r="E1912" s="75"/>
      <c r="F1912" s="75"/>
      <c r="G1912" s="75"/>
      <c r="H1912" s="75"/>
      <c r="I1912" s="75"/>
      <c r="J1912" s="191"/>
    </row>
    <row r="1913">
      <c r="A1913" s="148"/>
      <c r="B1913" s="75"/>
      <c r="C1913" s="75"/>
      <c r="D1913" s="75"/>
      <c r="E1913" s="75"/>
      <c r="F1913" s="75"/>
      <c r="G1913" s="75"/>
      <c r="H1913" s="75"/>
      <c r="I1913" s="75"/>
      <c r="J1913" s="191"/>
    </row>
    <row r="1914">
      <c r="A1914" s="148"/>
      <c r="B1914" s="75"/>
      <c r="C1914" s="75"/>
      <c r="D1914" s="75"/>
      <c r="E1914" s="75"/>
      <c r="F1914" s="75"/>
      <c r="G1914" s="75"/>
      <c r="H1914" s="75"/>
      <c r="I1914" s="75"/>
      <c r="J1914" s="191"/>
    </row>
    <row r="1915">
      <c r="A1915" s="148"/>
      <c r="B1915" s="75"/>
      <c r="C1915" s="75"/>
      <c r="D1915" s="75"/>
      <c r="E1915" s="75"/>
      <c r="F1915" s="75"/>
      <c r="G1915" s="75"/>
      <c r="H1915" s="75"/>
      <c r="I1915" s="75"/>
      <c r="J1915" s="191"/>
    </row>
    <row r="1916">
      <c r="A1916" s="148"/>
      <c r="B1916" s="75"/>
      <c r="C1916" s="75"/>
      <c r="D1916" s="75"/>
      <c r="E1916" s="75"/>
      <c r="F1916" s="75"/>
      <c r="G1916" s="75"/>
      <c r="H1916" s="75"/>
      <c r="I1916" s="75"/>
      <c r="J1916" s="191"/>
    </row>
    <row r="1917">
      <c r="A1917" s="148"/>
      <c r="B1917" s="75"/>
      <c r="C1917" s="75"/>
      <c r="D1917" s="75"/>
      <c r="E1917" s="75"/>
      <c r="F1917" s="75"/>
      <c r="G1917" s="75"/>
      <c r="H1917" s="75"/>
      <c r="I1917" s="75"/>
      <c r="J1917" s="191"/>
    </row>
    <row r="1918">
      <c r="A1918" s="148"/>
      <c r="B1918" s="75"/>
      <c r="C1918" s="75"/>
      <c r="D1918" s="75"/>
      <c r="E1918" s="75"/>
      <c r="F1918" s="75"/>
      <c r="G1918" s="75"/>
      <c r="H1918" s="75"/>
      <c r="I1918" s="75"/>
      <c r="J1918" s="191"/>
    </row>
    <row r="1919">
      <c r="A1919" s="148"/>
      <c r="B1919" s="75"/>
      <c r="C1919" s="75"/>
      <c r="D1919" s="75"/>
      <c r="E1919" s="75"/>
      <c r="F1919" s="75"/>
      <c r="G1919" s="75"/>
      <c r="H1919" s="75"/>
      <c r="I1919" s="75"/>
      <c r="J1919" s="191"/>
    </row>
    <row r="1920">
      <c r="A1920" s="148"/>
      <c r="B1920" s="75"/>
      <c r="C1920" s="75"/>
      <c r="D1920" s="75"/>
      <c r="E1920" s="75"/>
      <c r="F1920" s="75"/>
      <c r="G1920" s="75"/>
      <c r="H1920" s="75"/>
      <c r="I1920" s="75"/>
      <c r="J1920" s="191"/>
    </row>
    <row r="1921">
      <c r="A1921" s="148"/>
      <c r="B1921" s="75"/>
      <c r="C1921" s="75"/>
      <c r="D1921" s="75"/>
      <c r="E1921" s="75"/>
      <c r="F1921" s="75"/>
      <c r="G1921" s="75"/>
      <c r="H1921" s="75"/>
      <c r="I1921" s="75"/>
      <c r="J1921" s="191"/>
    </row>
    <row r="1922">
      <c r="A1922" s="148"/>
      <c r="B1922" s="75"/>
      <c r="C1922" s="75"/>
      <c r="D1922" s="75"/>
      <c r="E1922" s="75"/>
      <c r="F1922" s="75"/>
      <c r="G1922" s="75"/>
      <c r="H1922" s="75"/>
      <c r="I1922" s="75"/>
      <c r="J1922" s="191"/>
    </row>
    <row r="1923">
      <c r="A1923" s="148"/>
      <c r="B1923" s="75"/>
      <c r="C1923" s="75"/>
      <c r="D1923" s="75"/>
      <c r="E1923" s="75"/>
      <c r="F1923" s="75"/>
      <c r="G1923" s="75"/>
      <c r="H1923" s="75"/>
      <c r="I1923" s="75"/>
      <c r="J1923" s="191"/>
    </row>
    <row r="1924">
      <c r="A1924" s="148"/>
      <c r="B1924" s="75"/>
      <c r="C1924" s="75"/>
      <c r="D1924" s="75"/>
      <c r="E1924" s="75"/>
      <c r="F1924" s="75"/>
      <c r="G1924" s="75"/>
      <c r="H1924" s="75"/>
      <c r="I1924" s="75"/>
      <c r="J1924" s="191"/>
    </row>
    <row r="1925">
      <c r="A1925" s="148"/>
      <c r="B1925" s="75"/>
      <c r="C1925" s="75"/>
      <c r="D1925" s="75"/>
      <c r="E1925" s="75"/>
      <c r="F1925" s="75"/>
      <c r="G1925" s="75"/>
      <c r="H1925" s="75"/>
      <c r="I1925" s="75"/>
      <c r="J1925" s="191"/>
    </row>
    <row r="1926">
      <c r="A1926" s="148"/>
      <c r="B1926" s="75"/>
      <c r="C1926" s="75"/>
      <c r="D1926" s="75"/>
      <c r="E1926" s="75"/>
      <c r="F1926" s="75"/>
      <c r="G1926" s="75"/>
      <c r="H1926" s="75"/>
      <c r="I1926" s="75"/>
      <c r="J1926" s="191"/>
    </row>
    <row r="1927">
      <c r="A1927" s="148"/>
      <c r="B1927" s="75"/>
      <c r="C1927" s="75"/>
      <c r="D1927" s="75"/>
      <c r="E1927" s="75"/>
      <c r="F1927" s="75"/>
      <c r="G1927" s="75"/>
      <c r="H1927" s="75"/>
      <c r="I1927" s="75"/>
      <c r="J1927" s="191"/>
    </row>
    <row r="1928">
      <c r="A1928" s="148"/>
      <c r="B1928" s="75"/>
      <c r="C1928" s="75"/>
      <c r="D1928" s="75"/>
      <c r="E1928" s="75"/>
      <c r="F1928" s="75"/>
      <c r="G1928" s="75"/>
      <c r="H1928" s="75"/>
      <c r="I1928" s="75"/>
      <c r="J1928" s="191"/>
    </row>
    <row r="1929">
      <c r="A1929" s="148"/>
      <c r="B1929" s="75"/>
      <c r="C1929" s="75"/>
      <c r="D1929" s="75"/>
      <c r="E1929" s="75"/>
      <c r="F1929" s="75"/>
      <c r="G1929" s="75"/>
      <c r="H1929" s="75"/>
      <c r="I1929" s="75"/>
      <c r="J1929" s="191"/>
    </row>
    <row r="1930">
      <c r="A1930" s="148"/>
      <c r="B1930" s="75"/>
      <c r="C1930" s="75"/>
      <c r="D1930" s="75"/>
      <c r="E1930" s="75"/>
      <c r="F1930" s="75"/>
      <c r="G1930" s="75"/>
      <c r="H1930" s="75"/>
      <c r="I1930" s="75"/>
      <c r="J1930" s="191"/>
    </row>
    <row r="1931">
      <c r="A1931" s="148"/>
      <c r="B1931" s="75"/>
      <c r="C1931" s="75"/>
      <c r="D1931" s="75"/>
      <c r="E1931" s="75"/>
      <c r="F1931" s="75"/>
      <c r="G1931" s="75"/>
      <c r="H1931" s="75"/>
      <c r="I1931" s="75"/>
      <c r="J1931" s="191"/>
    </row>
    <row r="1932">
      <c r="A1932" s="148"/>
      <c r="B1932" s="75"/>
      <c r="C1932" s="75"/>
      <c r="D1932" s="75"/>
      <c r="E1932" s="75"/>
      <c r="F1932" s="75"/>
      <c r="G1932" s="75"/>
      <c r="H1932" s="75"/>
      <c r="I1932" s="75"/>
      <c r="J1932" s="191"/>
    </row>
    <row r="1933">
      <c r="A1933" s="148"/>
      <c r="B1933" s="75"/>
      <c r="C1933" s="75"/>
      <c r="D1933" s="75"/>
      <c r="E1933" s="75"/>
      <c r="F1933" s="75"/>
      <c r="G1933" s="75"/>
      <c r="H1933" s="75"/>
      <c r="I1933" s="75"/>
      <c r="J1933" s="191"/>
    </row>
    <row r="1934">
      <c r="A1934" s="148"/>
      <c r="B1934" s="75"/>
      <c r="C1934" s="75"/>
      <c r="D1934" s="75"/>
      <c r="E1934" s="75"/>
      <c r="F1934" s="75"/>
      <c r="G1934" s="75"/>
      <c r="H1934" s="75"/>
      <c r="I1934" s="75"/>
      <c r="J1934" s="191"/>
    </row>
    <row r="1935">
      <c r="A1935" s="148"/>
      <c r="B1935" s="75"/>
      <c r="C1935" s="75"/>
      <c r="D1935" s="75"/>
      <c r="E1935" s="75"/>
      <c r="F1935" s="75"/>
      <c r="G1935" s="75"/>
      <c r="H1935" s="75"/>
      <c r="I1935" s="75"/>
      <c r="J1935" s="191"/>
    </row>
    <row r="1936">
      <c r="A1936" s="148"/>
      <c r="B1936" s="75"/>
      <c r="C1936" s="75"/>
      <c r="D1936" s="75"/>
      <c r="E1936" s="75"/>
      <c r="F1936" s="75"/>
      <c r="G1936" s="75"/>
      <c r="H1936" s="75"/>
      <c r="I1936" s="75"/>
      <c r="J1936" s="191"/>
    </row>
    <row r="1937">
      <c r="A1937" s="148"/>
      <c r="B1937" s="75"/>
      <c r="C1937" s="75"/>
      <c r="D1937" s="75"/>
      <c r="E1937" s="75"/>
      <c r="F1937" s="75"/>
      <c r="G1937" s="75"/>
      <c r="H1937" s="75"/>
      <c r="I1937" s="75"/>
      <c r="J1937" s="191"/>
    </row>
    <row r="1938">
      <c r="A1938" s="148"/>
      <c r="B1938" s="75"/>
      <c r="C1938" s="75"/>
      <c r="D1938" s="75"/>
      <c r="E1938" s="75"/>
      <c r="F1938" s="75"/>
      <c r="G1938" s="75"/>
      <c r="H1938" s="75"/>
      <c r="I1938" s="75"/>
      <c r="J1938" s="191"/>
    </row>
    <row r="1939">
      <c r="A1939" s="148"/>
      <c r="B1939" s="75"/>
      <c r="C1939" s="75"/>
      <c r="D1939" s="75"/>
      <c r="E1939" s="75"/>
      <c r="F1939" s="75"/>
      <c r="G1939" s="75"/>
      <c r="H1939" s="75"/>
      <c r="I1939" s="75"/>
      <c r="J1939" s="191"/>
    </row>
    <row r="1940">
      <c r="A1940" s="148"/>
      <c r="B1940" s="75"/>
      <c r="C1940" s="75"/>
      <c r="D1940" s="75"/>
      <c r="E1940" s="75"/>
      <c r="F1940" s="75"/>
      <c r="G1940" s="75"/>
      <c r="H1940" s="75"/>
      <c r="I1940" s="75"/>
      <c r="J1940" s="191"/>
    </row>
    <row r="1941">
      <c r="A1941" s="148"/>
      <c r="B1941" s="75"/>
      <c r="C1941" s="75"/>
      <c r="D1941" s="75"/>
      <c r="E1941" s="75"/>
      <c r="F1941" s="75"/>
      <c r="G1941" s="75"/>
      <c r="H1941" s="75"/>
      <c r="I1941" s="75"/>
      <c r="J1941" s="191"/>
    </row>
    <row r="1942">
      <c r="A1942" s="148"/>
      <c r="B1942" s="75"/>
      <c r="C1942" s="75"/>
      <c r="D1942" s="75"/>
      <c r="E1942" s="75"/>
      <c r="F1942" s="75"/>
      <c r="G1942" s="75"/>
      <c r="H1942" s="75"/>
      <c r="I1942" s="75"/>
      <c r="J1942" s="191"/>
    </row>
    <row r="1943">
      <c r="A1943" s="148"/>
      <c r="B1943" s="75"/>
      <c r="C1943" s="75"/>
      <c r="D1943" s="75"/>
      <c r="E1943" s="75"/>
      <c r="F1943" s="75"/>
      <c r="G1943" s="75"/>
      <c r="H1943" s="75"/>
      <c r="I1943" s="75"/>
      <c r="J1943" s="191"/>
    </row>
    <row r="1944">
      <c r="A1944" s="148"/>
      <c r="B1944" s="75"/>
      <c r="C1944" s="75"/>
      <c r="D1944" s="75"/>
      <c r="E1944" s="75"/>
      <c r="F1944" s="75"/>
      <c r="G1944" s="75"/>
      <c r="H1944" s="75"/>
      <c r="I1944" s="75"/>
      <c r="J1944" s="191"/>
    </row>
    <row r="1945">
      <c r="A1945" s="148"/>
      <c r="B1945" s="75"/>
      <c r="C1945" s="75"/>
      <c r="D1945" s="75"/>
      <c r="E1945" s="75"/>
      <c r="F1945" s="75"/>
      <c r="G1945" s="75"/>
      <c r="H1945" s="75"/>
      <c r="I1945" s="75"/>
      <c r="J1945" s="191"/>
    </row>
    <row r="1946">
      <c r="A1946" s="148"/>
      <c r="B1946" s="75"/>
      <c r="C1946" s="75"/>
      <c r="D1946" s="75"/>
      <c r="E1946" s="75"/>
      <c r="F1946" s="75"/>
      <c r="G1946" s="75"/>
      <c r="H1946" s="75"/>
      <c r="I1946" s="75"/>
      <c r="J1946" s="191"/>
    </row>
    <row r="1947">
      <c r="A1947" s="148"/>
      <c r="B1947" s="75"/>
      <c r="C1947" s="75"/>
      <c r="D1947" s="75"/>
      <c r="E1947" s="75"/>
      <c r="F1947" s="75"/>
      <c r="G1947" s="75"/>
      <c r="H1947" s="75"/>
      <c r="I1947" s="75"/>
      <c r="J1947" s="191"/>
    </row>
    <row r="1948">
      <c r="A1948" s="148"/>
      <c r="B1948" s="75"/>
      <c r="C1948" s="75"/>
      <c r="D1948" s="75"/>
      <c r="E1948" s="75"/>
      <c r="F1948" s="75"/>
      <c r="G1948" s="75"/>
      <c r="H1948" s="75"/>
      <c r="I1948" s="75"/>
      <c r="J1948" s="191"/>
    </row>
    <row r="1949">
      <c r="A1949" s="148"/>
      <c r="B1949" s="75"/>
      <c r="C1949" s="75"/>
      <c r="D1949" s="75"/>
      <c r="E1949" s="75"/>
      <c r="F1949" s="75"/>
      <c r="G1949" s="75"/>
      <c r="H1949" s="75"/>
      <c r="I1949" s="75"/>
      <c r="J1949" s="191"/>
    </row>
    <row r="1950">
      <c r="A1950" s="148"/>
      <c r="B1950" s="75"/>
      <c r="C1950" s="75"/>
      <c r="D1950" s="75"/>
      <c r="E1950" s="75"/>
      <c r="F1950" s="75"/>
      <c r="G1950" s="75"/>
      <c r="H1950" s="75"/>
      <c r="I1950" s="75"/>
      <c r="J1950" s="191"/>
    </row>
    <row r="1951">
      <c r="A1951" s="148"/>
      <c r="B1951" s="75"/>
      <c r="C1951" s="75"/>
      <c r="D1951" s="75"/>
      <c r="E1951" s="75"/>
      <c r="F1951" s="75"/>
      <c r="G1951" s="75"/>
      <c r="H1951" s="75"/>
      <c r="I1951" s="75"/>
      <c r="J1951" s="191"/>
    </row>
    <row r="1952">
      <c r="A1952" s="148"/>
      <c r="B1952" s="75"/>
      <c r="C1952" s="75"/>
      <c r="D1952" s="75"/>
      <c r="E1952" s="75"/>
      <c r="F1952" s="75"/>
      <c r="G1952" s="75"/>
      <c r="H1952" s="75"/>
      <c r="I1952" s="75"/>
      <c r="J1952" s="191"/>
    </row>
    <row r="1953">
      <c r="A1953" s="148"/>
      <c r="B1953" s="75"/>
      <c r="C1953" s="75"/>
      <c r="D1953" s="75"/>
      <c r="E1953" s="75"/>
      <c r="F1953" s="75"/>
      <c r="G1953" s="75"/>
      <c r="H1953" s="75"/>
      <c r="I1953" s="75"/>
      <c r="J1953" s="191"/>
    </row>
    <row r="1954">
      <c r="A1954" s="148"/>
      <c r="B1954" s="75"/>
      <c r="C1954" s="75"/>
      <c r="D1954" s="75"/>
      <c r="E1954" s="75"/>
      <c r="F1954" s="75"/>
      <c r="G1954" s="75"/>
      <c r="H1954" s="75"/>
      <c r="I1954" s="75"/>
      <c r="J1954" s="191"/>
    </row>
    <row r="1955">
      <c r="A1955" s="148"/>
      <c r="B1955" s="75"/>
      <c r="C1955" s="75"/>
      <c r="D1955" s="75"/>
      <c r="E1955" s="75"/>
      <c r="F1955" s="75"/>
      <c r="G1955" s="75"/>
      <c r="H1955" s="75"/>
      <c r="I1955" s="75"/>
      <c r="J1955" s="191"/>
    </row>
    <row r="1956">
      <c r="A1956" s="148"/>
      <c r="B1956" s="75"/>
      <c r="C1956" s="75"/>
      <c r="D1956" s="75"/>
      <c r="E1956" s="75"/>
      <c r="F1956" s="75"/>
      <c r="G1956" s="75"/>
      <c r="H1956" s="75"/>
      <c r="I1956" s="75"/>
      <c r="J1956" s="191"/>
    </row>
    <row r="1957">
      <c r="A1957" s="148"/>
      <c r="B1957" s="75"/>
      <c r="C1957" s="75"/>
      <c r="D1957" s="75"/>
      <c r="E1957" s="75"/>
      <c r="F1957" s="75"/>
      <c r="G1957" s="75"/>
      <c r="H1957" s="75"/>
      <c r="I1957" s="75"/>
      <c r="J1957" s="191"/>
    </row>
    <row r="1958">
      <c r="A1958" s="148"/>
      <c r="B1958" s="75"/>
      <c r="C1958" s="75"/>
      <c r="D1958" s="75"/>
      <c r="E1958" s="75"/>
      <c r="F1958" s="75"/>
      <c r="G1958" s="75"/>
      <c r="H1958" s="75"/>
      <c r="I1958" s="75"/>
      <c r="J1958" s="191"/>
    </row>
    <row r="1959">
      <c r="A1959" s="148"/>
      <c r="B1959" s="75"/>
      <c r="C1959" s="75"/>
      <c r="D1959" s="75"/>
      <c r="E1959" s="75"/>
      <c r="F1959" s="75"/>
      <c r="G1959" s="75"/>
      <c r="H1959" s="75"/>
      <c r="I1959" s="75"/>
      <c r="J1959" s="191"/>
    </row>
    <row r="1960">
      <c r="A1960" s="148"/>
      <c r="B1960" s="75"/>
      <c r="C1960" s="75"/>
      <c r="D1960" s="75"/>
      <c r="E1960" s="75"/>
      <c r="F1960" s="75"/>
      <c r="G1960" s="75"/>
      <c r="H1960" s="75"/>
      <c r="I1960" s="75"/>
      <c r="J1960" s="191"/>
    </row>
    <row r="1961">
      <c r="A1961" s="148"/>
      <c r="B1961" s="75"/>
      <c r="C1961" s="75"/>
      <c r="D1961" s="75"/>
      <c r="E1961" s="75"/>
      <c r="F1961" s="75"/>
      <c r="G1961" s="75"/>
      <c r="H1961" s="75"/>
      <c r="I1961" s="75"/>
      <c r="J1961" s="191"/>
    </row>
    <row r="1962">
      <c r="A1962" s="148"/>
      <c r="B1962" s="75"/>
      <c r="C1962" s="75"/>
      <c r="D1962" s="75"/>
      <c r="E1962" s="75"/>
      <c r="F1962" s="75"/>
      <c r="G1962" s="75"/>
      <c r="H1962" s="75"/>
      <c r="I1962" s="75"/>
      <c r="J1962" s="191"/>
    </row>
    <row r="1963">
      <c r="A1963" s="148"/>
      <c r="B1963" s="75"/>
      <c r="C1963" s="75"/>
      <c r="D1963" s="75"/>
      <c r="E1963" s="75"/>
      <c r="F1963" s="75"/>
      <c r="G1963" s="75"/>
      <c r="H1963" s="75"/>
      <c r="I1963" s="75"/>
      <c r="J1963" s="191"/>
    </row>
    <row r="1964">
      <c r="A1964" s="148"/>
      <c r="B1964" s="75"/>
      <c r="C1964" s="75"/>
      <c r="D1964" s="75"/>
      <c r="E1964" s="75"/>
      <c r="F1964" s="75"/>
      <c r="G1964" s="75"/>
      <c r="H1964" s="75"/>
      <c r="I1964" s="75"/>
      <c r="J1964" s="191"/>
    </row>
    <row r="1965">
      <c r="A1965" s="148"/>
      <c r="B1965" s="75"/>
      <c r="C1965" s="75"/>
      <c r="D1965" s="75"/>
      <c r="E1965" s="75"/>
      <c r="F1965" s="75"/>
      <c r="G1965" s="75"/>
      <c r="H1965" s="75"/>
      <c r="I1965" s="75"/>
      <c r="J1965" s="191"/>
    </row>
    <row r="1966">
      <c r="A1966" s="148"/>
      <c r="B1966" s="75"/>
      <c r="C1966" s="75"/>
      <c r="D1966" s="75"/>
      <c r="E1966" s="75"/>
      <c r="F1966" s="75"/>
      <c r="G1966" s="75"/>
      <c r="H1966" s="75"/>
      <c r="I1966" s="75"/>
      <c r="J1966" s="191"/>
    </row>
    <row r="1967">
      <c r="A1967" s="148"/>
      <c r="B1967" s="75"/>
      <c r="C1967" s="75"/>
      <c r="D1967" s="75"/>
      <c r="E1967" s="75"/>
      <c r="F1967" s="75"/>
      <c r="G1967" s="75"/>
      <c r="H1967" s="75"/>
      <c r="I1967" s="75"/>
      <c r="J1967" s="191"/>
    </row>
    <row r="1968">
      <c r="A1968" s="148"/>
      <c r="B1968" s="75"/>
      <c r="C1968" s="75"/>
      <c r="D1968" s="75"/>
      <c r="E1968" s="75"/>
      <c r="F1968" s="75"/>
      <c r="G1968" s="75"/>
      <c r="H1968" s="75"/>
      <c r="I1968" s="75"/>
      <c r="J1968" s="191"/>
    </row>
    <row r="1969">
      <c r="A1969" s="148"/>
      <c r="B1969" s="75"/>
      <c r="C1969" s="75"/>
      <c r="D1969" s="75"/>
      <c r="E1969" s="75"/>
      <c r="F1969" s="75"/>
      <c r="G1969" s="75"/>
      <c r="H1969" s="75"/>
      <c r="I1969" s="75"/>
      <c r="J1969" s="191"/>
    </row>
    <row r="1970">
      <c r="A1970" s="148"/>
      <c r="B1970" s="75"/>
      <c r="C1970" s="75"/>
      <c r="D1970" s="75"/>
      <c r="E1970" s="75"/>
      <c r="F1970" s="75"/>
      <c r="G1970" s="75"/>
      <c r="H1970" s="75"/>
      <c r="I1970" s="75"/>
      <c r="J1970" s="191"/>
    </row>
    <row r="1971">
      <c r="A1971" s="148"/>
      <c r="B1971" s="75"/>
      <c r="C1971" s="75"/>
      <c r="D1971" s="75"/>
      <c r="E1971" s="75"/>
      <c r="F1971" s="75"/>
      <c r="G1971" s="75"/>
      <c r="H1971" s="75"/>
      <c r="I1971" s="75"/>
      <c r="J1971" s="191"/>
    </row>
    <row r="1972">
      <c r="A1972" s="148"/>
      <c r="B1972" s="75"/>
      <c r="C1972" s="75"/>
      <c r="D1972" s="75"/>
      <c r="E1972" s="75"/>
      <c r="F1972" s="75"/>
      <c r="G1972" s="75"/>
      <c r="H1972" s="75"/>
      <c r="I1972" s="75"/>
      <c r="J1972" s="191"/>
    </row>
    <row r="1973">
      <c r="A1973" s="148"/>
      <c r="B1973" s="75"/>
      <c r="C1973" s="75"/>
      <c r="D1973" s="75"/>
      <c r="E1973" s="75"/>
      <c r="F1973" s="75"/>
      <c r="G1973" s="75"/>
      <c r="H1973" s="75"/>
      <c r="I1973" s="75"/>
      <c r="J1973" s="191"/>
    </row>
    <row r="1974">
      <c r="A1974" s="148"/>
      <c r="B1974" s="75"/>
      <c r="C1974" s="75"/>
      <c r="D1974" s="75"/>
      <c r="E1974" s="75"/>
      <c r="F1974" s="75"/>
      <c r="G1974" s="75"/>
      <c r="H1974" s="75"/>
      <c r="I1974" s="75"/>
      <c r="J1974" s="191"/>
    </row>
    <row r="1975">
      <c r="A1975" s="148"/>
      <c r="B1975" s="75"/>
      <c r="C1975" s="75"/>
      <c r="D1975" s="75"/>
      <c r="E1975" s="75"/>
      <c r="F1975" s="75"/>
      <c r="G1975" s="75"/>
      <c r="H1975" s="75"/>
      <c r="I1975" s="75"/>
      <c r="J1975" s="191"/>
    </row>
    <row r="1976">
      <c r="A1976" s="148"/>
      <c r="B1976" s="75"/>
      <c r="C1976" s="75"/>
      <c r="D1976" s="75"/>
      <c r="E1976" s="75"/>
      <c r="F1976" s="75"/>
      <c r="G1976" s="75"/>
      <c r="H1976" s="75"/>
      <c r="I1976" s="75"/>
      <c r="J1976" s="191"/>
    </row>
    <row r="1977">
      <c r="A1977" s="148"/>
      <c r="B1977" s="75"/>
      <c r="C1977" s="75"/>
      <c r="D1977" s="75"/>
      <c r="E1977" s="75"/>
      <c r="F1977" s="75"/>
      <c r="G1977" s="75"/>
      <c r="H1977" s="75"/>
      <c r="I1977" s="75"/>
      <c r="J1977" s="191"/>
    </row>
    <row r="1978">
      <c r="A1978" s="148"/>
      <c r="B1978" s="75"/>
      <c r="C1978" s="75"/>
      <c r="D1978" s="75"/>
      <c r="E1978" s="75"/>
      <c r="F1978" s="75"/>
      <c r="G1978" s="75"/>
      <c r="H1978" s="75"/>
      <c r="I1978" s="75"/>
      <c r="J1978" s="191"/>
    </row>
    <row r="1979">
      <c r="A1979" s="148"/>
      <c r="B1979" s="75"/>
      <c r="C1979" s="75"/>
      <c r="D1979" s="75"/>
      <c r="E1979" s="75"/>
      <c r="F1979" s="75"/>
      <c r="G1979" s="75"/>
      <c r="H1979" s="75"/>
      <c r="I1979" s="75"/>
      <c r="J1979" s="191"/>
    </row>
    <row r="1980">
      <c r="A1980" s="148"/>
      <c r="B1980" s="75"/>
      <c r="C1980" s="75"/>
      <c r="D1980" s="75"/>
      <c r="E1980" s="75"/>
      <c r="F1980" s="75"/>
      <c r="G1980" s="75"/>
      <c r="H1980" s="75"/>
      <c r="I1980" s="75"/>
      <c r="J1980" s="191"/>
    </row>
    <row r="1981">
      <c r="A1981" s="148"/>
      <c r="B1981" s="75"/>
      <c r="C1981" s="75"/>
      <c r="D1981" s="75"/>
      <c r="E1981" s="75"/>
      <c r="F1981" s="75"/>
      <c r="G1981" s="75"/>
      <c r="H1981" s="75"/>
      <c r="I1981" s="75"/>
      <c r="J1981" s="191"/>
    </row>
    <row r="1982">
      <c r="A1982" s="148"/>
      <c r="B1982" s="75"/>
      <c r="C1982" s="75"/>
      <c r="D1982" s="75"/>
      <c r="E1982" s="75"/>
      <c r="F1982" s="75"/>
      <c r="G1982" s="75"/>
      <c r="H1982" s="75"/>
      <c r="I1982" s="75"/>
      <c r="J1982" s="191"/>
    </row>
    <row r="1983">
      <c r="A1983" s="148"/>
      <c r="B1983" s="75"/>
      <c r="C1983" s="75"/>
      <c r="D1983" s="75"/>
      <c r="E1983" s="75"/>
      <c r="F1983" s="75"/>
      <c r="G1983" s="75"/>
      <c r="H1983" s="75"/>
      <c r="I1983" s="75"/>
      <c r="J1983" s="191"/>
    </row>
    <row r="1984">
      <c r="A1984" s="148"/>
      <c r="B1984" s="75"/>
      <c r="C1984" s="75"/>
      <c r="D1984" s="75"/>
      <c r="E1984" s="75"/>
      <c r="F1984" s="75"/>
      <c r="G1984" s="75"/>
      <c r="H1984" s="75"/>
      <c r="I1984" s="75"/>
      <c r="J1984" s="191"/>
    </row>
    <row r="1985">
      <c r="A1985" s="148"/>
      <c r="B1985" s="75"/>
      <c r="C1985" s="75"/>
      <c r="D1985" s="75"/>
      <c r="E1985" s="75"/>
      <c r="F1985" s="75"/>
      <c r="G1985" s="75"/>
      <c r="H1985" s="75"/>
      <c r="I1985" s="75"/>
      <c r="J1985" s="191"/>
    </row>
    <row r="1986">
      <c r="A1986" s="148"/>
      <c r="B1986" s="75"/>
      <c r="C1986" s="75"/>
      <c r="D1986" s="75"/>
      <c r="E1986" s="75"/>
      <c r="F1986" s="75"/>
      <c r="G1986" s="75"/>
      <c r="H1986" s="75"/>
      <c r="I1986" s="75"/>
      <c r="J1986" s="191"/>
    </row>
    <row r="1987">
      <c r="A1987" s="148"/>
      <c r="B1987" s="75"/>
      <c r="C1987" s="75"/>
      <c r="D1987" s="75"/>
      <c r="E1987" s="75"/>
      <c r="F1987" s="75"/>
      <c r="G1987" s="75"/>
      <c r="H1987" s="75"/>
      <c r="I1987" s="75"/>
      <c r="J1987" s="191"/>
    </row>
    <row r="1988">
      <c r="A1988" s="148"/>
      <c r="B1988" s="75"/>
      <c r="C1988" s="75"/>
      <c r="D1988" s="75"/>
      <c r="E1988" s="75"/>
      <c r="F1988" s="75"/>
      <c r="G1988" s="75"/>
      <c r="H1988" s="75"/>
      <c r="I1988" s="75"/>
      <c r="J1988" s="191"/>
    </row>
    <row r="1989">
      <c r="A1989" s="148"/>
      <c r="B1989" s="75"/>
      <c r="C1989" s="75"/>
      <c r="D1989" s="75"/>
      <c r="E1989" s="75"/>
      <c r="F1989" s="75"/>
      <c r="G1989" s="75"/>
      <c r="H1989" s="75"/>
      <c r="I1989" s="75"/>
      <c r="J1989" s="191"/>
    </row>
    <row r="1990">
      <c r="A1990" s="148"/>
      <c r="B1990" s="75"/>
      <c r="C1990" s="75"/>
      <c r="D1990" s="75"/>
      <c r="E1990" s="75"/>
      <c r="F1990" s="75"/>
      <c r="G1990" s="75"/>
      <c r="H1990" s="75"/>
      <c r="I1990" s="75"/>
      <c r="J1990" s="191"/>
    </row>
    <row r="1991">
      <c r="A1991" s="148"/>
      <c r="B1991" s="75"/>
      <c r="C1991" s="75"/>
      <c r="D1991" s="75"/>
      <c r="E1991" s="75"/>
      <c r="F1991" s="75"/>
      <c r="G1991" s="75"/>
      <c r="H1991" s="75"/>
      <c r="I1991" s="75"/>
      <c r="J1991" s="191"/>
    </row>
    <row r="1992">
      <c r="A1992" s="148"/>
      <c r="B1992" s="75"/>
      <c r="C1992" s="75"/>
      <c r="D1992" s="75"/>
      <c r="E1992" s="75"/>
      <c r="F1992" s="75"/>
      <c r="G1992" s="75"/>
      <c r="H1992" s="75"/>
      <c r="I1992" s="75"/>
      <c r="J1992" s="191"/>
    </row>
    <row r="1993">
      <c r="A1993" s="148"/>
      <c r="B1993" s="75"/>
      <c r="C1993" s="75"/>
      <c r="D1993" s="75"/>
      <c r="E1993" s="75"/>
      <c r="F1993" s="75"/>
      <c r="G1993" s="75"/>
      <c r="H1993" s="75"/>
      <c r="I1993" s="75"/>
      <c r="J1993" s="191"/>
    </row>
    <row r="1994">
      <c r="A1994" s="148"/>
      <c r="B1994" s="75"/>
      <c r="C1994" s="75"/>
      <c r="D1994" s="75"/>
      <c r="E1994" s="75"/>
      <c r="F1994" s="75"/>
      <c r="G1994" s="75"/>
      <c r="H1994" s="75"/>
      <c r="I1994" s="75"/>
      <c r="J1994" s="191"/>
    </row>
    <row r="1995">
      <c r="A1995" s="148"/>
      <c r="B1995" s="75"/>
      <c r="C1995" s="75"/>
      <c r="D1995" s="75"/>
      <c r="E1995" s="75"/>
      <c r="F1995" s="75"/>
      <c r="G1995" s="75"/>
      <c r="H1995" s="75"/>
      <c r="I1995" s="75"/>
      <c r="J1995" s="191"/>
    </row>
    <row r="1996">
      <c r="A1996" s="148"/>
      <c r="B1996" s="75"/>
      <c r="C1996" s="75"/>
      <c r="D1996" s="75"/>
      <c r="E1996" s="75"/>
      <c r="F1996" s="75"/>
      <c r="G1996" s="75"/>
      <c r="H1996" s="75"/>
      <c r="I1996" s="75"/>
      <c r="J1996" s="191"/>
    </row>
    <row r="1997">
      <c r="A1997" s="148"/>
      <c r="B1997" s="75"/>
      <c r="C1997" s="75"/>
      <c r="D1997" s="75"/>
      <c r="E1997" s="75"/>
      <c r="F1997" s="75"/>
      <c r="G1997" s="75"/>
      <c r="H1997" s="75"/>
      <c r="I1997" s="75"/>
      <c r="J1997" s="191"/>
    </row>
    <row r="1998">
      <c r="A1998" s="148"/>
      <c r="B1998" s="75"/>
      <c r="C1998" s="75"/>
      <c r="D1998" s="75"/>
      <c r="E1998" s="75"/>
      <c r="F1998" s="75"/>
      <c r="G1998" s="75"/>
      <c r="H1998" s="75"/>
      <c r="I1998" s="75"/>
      <c r="J1998" s="191"/>
    </row>
    <row r="1999">
      <c r="A1999" s="148"/>
      <c r="B1999" s="75"/>
      <c r="C1999" s="75"/>
      <c r="D1999" s="75"/>
      <c r="E1999" s="75"/>
      <c r="F1999" s="75"/>
      <c r="G1999" s="75"/>
      <c r="H1999" s="75"/>
      <c r="I1999" s="75"/>
      <c r="J1999" s="191"/>
    </row>
    <row r="2000">
      <c r="A2000" s="148"/>
      <c r="B2000" s="75"/>
      <c r="C2000" s="75"/>
      <c r="D2000" s="75"/>
      <c r="E2000" s="75"/>
      <c r="F2000" s="75"/>
      <c r="G2000" s="75"/>
      <c r="H2000" s="75"/>
      <c r="I2000" s="75"/>
      <c r="J2000" s="191"/>
    </row>
    <row r="2001">
      <c r="A2001" s="148"/>
      <c r="B2001" s="75"/>
      <c r="C2001" s="75"/>
      <c r="D2001" s="75"/>
      <c r="E2001" s="75"/>
      <c r="F2001" s="75"/>
      <c r="G2001" s="75"/>
      <c r="H2001" s="75"/>
      <c r="I2001" s="75"/>
      <c r="J2001" s="191"/>
    </row>
    <row r="2002">
      <c r="A2002" s="148"/>
      <c r="B2002" s="75"/>
      <c r="C2002" s="75"/>
      <c r="D2002" s="75"/>
      <c r="E2002" s="75"/>
      <c r="F2002" s="75"/>
      <c r="G2002" s="75"/>
      <c r="H2002" s="75"/>
      <c r="I2002" s="75"/>
      <c r="J2002" s="191"/>
    </row>
    <row r="2003">
      <c r="A2003" s="148"/>
      <c r="B2003" s="75"/>
      <c r="C2003" s="75"/>
      <c r="D2003" s="75"/>
      <c r="E2003" s="75"/>
      <c r="F2003" s="75"/>
      <c r="G2003" s="75"/>
      <c r="H2003" s="75"/>
      <c r="I2003" s="75"/>
      <c r="J2003" s="191"/>
    </row>
    <row r="2004">
      <c r="A2004" s="148"/>
      <c r="B2004" s="75"/>
      <c r="C2004" s="75"/>
      <c r="D2004" s="75"/>
      <c r="E2004" s="75"/>
      <c r="F2004" s="75"/>
      <c r="G2004" s="75"/>
      <c r="H2004" s="75"/>
      <c r="I2004" s="75"/>
      <c r="J2004" s="191"/>
    </row>
    <row r="2005">
      <c r="A2005" s="148"/>
      <c r="B2005" s="75"/>
      <c r="C2005" s="75"/>
      <c r="D2005" s="75"/>
      <c r="E2005" s="75"/>
      <c r="F2005" s="75"/>
      <c r="G2005" s="75"/>
      <c r="H2005" s="75"/>
      <c r="I2005" s="75"/>
      <c r="J2005" s="191"/>
    </row>
    <row r="2006">
      <c r="A2006" s="148"/>
      <c r="B2006" s="75"/>
      <c r="C2006" s="75"/>
      <c r="D2006" s="75"/>
      <c r="E2006" s="75"/>
      <c r="F2006" s="75"/>
      <c r="G2006" s="75"/>
      <c r="H2006" s="75"/>
      <c r="I2006" s="75"/>
      <c r="J2006" s="191"/>
    </row>
    <row r="2007">
      <c r="A2007" s="148"/>
      <c r="B2007" s="75"/>
      <c r="C2007" s="75"/>
      <c r="D2007" s="75"/>
      <c r="E2007" s="75"/>
      <c r="F2007" s="75"/>
      <c r="G2007" s="75"/>
      <c r="H2007" s="75"/>
      <c r="I2007" s="75"/>
      <c r="J2007" s="191"/>
    </row>
    <row r="2008">
      <c r="A2008" s="148"/>
      <c r="B2008" s="75"/>
      <c r="C2008" s="75"/>
      <c r="D2008" s="75"/>
      <c r="E2008" s="75"/>
      <c r="F2008" s="75"/>
      <c r="G2008" s="75"/>
      <c r="H2008" s="75"/>
      <c r="I2008" s="75"/>
      <c r="J2008" s="191"/>
    </row>
    <row r="2009">
      <c r="A2009" s="148"/>
      <c r="B2009" s="75"/>
      <c r="C2009" s="75"/>
      <c r="D2009" s="75"/>
      <c r="E2009" s="75"/>
      <c r="F2009" s="75"/>
      <c r="G2009" s="75"/>
      <c r="H2009" s="75"/>
      <c r="I2009" s="75"/>
      <c r="J2009" s="191"/>
    </row>
    <row r="2010">
      <c r="A2010" s="148"/>
      <c r="B2010" s="75"/>
      <c r="C2010" s="75"/>
      <c r="D2010" s="75"/>
      <c r="E2010" s="75"/>
      <c r="F2010" s="75"/>
      <c r="G2010" s="75"/>
      <c r="H2010" s="75"/>
      <c r="I2010" s="75"/>
      <c r="J2010" s="191"/>
    </row>
    <row r="2011">
      <c r="A2011" s="148"/>
      <c r="B2011" s="75"/>
      <c r="C2011" s="75"/>
      <c r="D2011" s="75"/>
      <c r="E2011" s="75"/>
      <c r="F2011" s="75"/>
      <c r="G2011" s="75"/>
      <c r="H2011" s="75"/>
      <c r="I2011" s="75"/>
      <c r="J2011" s="191"/>
    </row>
    <row r="2012">
      <c r="A2012" s="148"/>
      <c r="B2012" s="75"/>
      <c r="C2012" s="75"/>
      <c r="D2012" s="75"/>
      <c r="E2012" s="75"/>
      <c r="F2012" s="75"/>
      <c r="G2012" s="75"/>
      <c r="H2012" s="75"/>
      <c r="I2012" s="75"/>
      <c r="J2012" s="191"/>
    </row>
    <row r="2013">
      <c r="A2013" s="148"/>
      <c r="B2013" s="75"/>
      <c r="C2013" s="75"/>
      <c r="D2013" s="75"/>
      <c r="E2013" s="75"/>
      <c r="F2013" s="75"/>
      <c r="G2013" s="75"/>
      <c r="H2013" s="75"/>
      <c r="I2013" s="75"/>
      <c r="J2013" s="191"/>
    </row>
    <row r="2014">
      <c r="A2014" s="148"/>
      <c r="B2014" s="75"/>
      <c r="C2014" s="75"/>
      <c r="D2014" s="75"/>
      <c r="E2014" s="75"/>
      <c r="F2014" s="75"/>
      <c r="G2014" s="75"/>
      <c r="H2014" s="75"/>
      <c r="I2014" s="75"/>
      <c r="J2014" s="191"/>
    </row>
    <row r="2015">
      <c r="A2015" s="148"/>
      <c r="B2015" s="75"/>
      <c r="C2015" s="75"/>
      <c r="D2015" s="75"/>
      <c r="E2015" s="75"/>
      <c r="F2015" s="75"/>
      <c r="G2015" s="75"/>
      <c r="H2015" s="75"/>
      <c r="I2015" s="75"/>
      <c r="J2015" s="191"/>
    </row>
    <row r="2016">
      <c r="A2016" s="148"/>
      <c r="B2016" s="75"/>
      <c r="C2016" s="75"/>
      <c r="D2016" s="75"/>
      <c r="E2016" s="75"/>
      <c r="F2016" s="75"/>
      <c r="G2016" s="75"/>
      <c r="H2016" s="75"/>
      <c r="I2016" s="75"/>
      <c r="J2016" s="191"/>
    </row>
    <row r="2017">
      <c r="A2017" s="148"/>
      <c r="B2017" s="75"/>
      <c r="C2017" s="75"/>
      <c r="D2017" s="75"/>
      <c r="E2017" s="75"/>
      <c r="F2017" s="75"/>
      <c r="G2017" s="75"/>
      <c r="H2017" s="75"/>
      <c r="I2017" s="75"/>
      <c r="J2017" s="191"/>
    </row>
    <row r="2018">
      <c r="A2018" s="148"/>
      <c r="B2018" s="75"/>
      <c r="C2018" s="75"/>
      <c r="D2018" s="75"/>
      <c r="E2018" s="75"/>
      <c r="F2018" s="75"/>
      <c r="G2018" s="75"/>
      <c r="H2018" s="75"/>
      <c r="I2018" s="75"/>
      <c r="J2018" s="191"/>
    </row>
    <row r="2019">
      <c r="A2019" s="148"/>
      <c r="B2019" s="75"/>
      <c r="C2019" s="75"/>
      <c r="D2019" s="75"/>
      <c r="E2019" s="75"/>
      <c r="F2019" s="75"/>
      <c r="G2019" s="75"/>
      <c r="H2019" s="75"/>
      <c r="I2019" s="75"/>
      <c r="J2019" s="191"/>
    </row>
    <row r="2020">
      <c r="A2020" s="148"/>
      <c r="B2020" s="75"/>
      <c r="C2020" s="75"/>
      <c r="D2020" s="75"/>
      <c r="E2020" s="75"/>
      <c r="F2020" s="75"/>
      <c r="G2020" s="75"/>
      <c r="H2020" s="75"/>
      <c r="I2020" s="75"/>
      <c r="J2020" s="191"/>
    </row>
    <row r="2021">
      <c r="A2021" s="148"/>
      <c r="B2021" s="75"/>
      <c r="C2021" s="75"/>
      <c r="D2021" s="75"/>
      <c r="E2021" s="75"/>
      <c r="F2021" s="75"/>
      <c r="G2021" s="75"/>
      <c r="H2021" s="75"/>
      <c r="I2021" s="75"/>
      <c r="J2021" s="191"/>
    </row>
    <row r="2022">
      <c r="A2022" s="148"/>
      <c r="B2022" s="75"/>
      <c r="C2022" s="75"/>
      <c r="D2022" s="75"/>
      <c r="E2022" s="75"/>
      <c r="F2022" s="75"/>
      <c r="G2022" s="75"/>
      <c r="H2022" s="75"/>
      <c r="I2022" s="75"/>
      <c r="J2022" s="191"/>
    </row>
    <row r="2023">
      <c r="A2023" s="148"/>
      <c r="B2023" s="75"/>
      <c r="C2023" s="75"/>
      <c r="D2023" s="75"/>
      <c r="E2023" s="75"/>
      <c r="F2023" s="75"/>
      <c r="G2023" s="75"/>
      <c r="H2023" s="75"/>
      <c r="I2023" s="75"/>
      <c r="J2023" s="191"/>
    </row>
    <row r="2024">
      <c r="A2024" s="148"/>
      <c r="B2024" s="75"/>
      <c r="C2024" s="75"/>
      <c r="D2024" s="75"/>
      <c r="E2024" s="75"/>
      <c r="F2024" s="75"/>
      <c r="G2024" s="75"/>
      <c r="H2024" s="75"/>
      <c r="I2024" s="75"/>
      <c r="J2024" s="191"/>
    </row>
    <row r="2025">
      <c r="A2025" s="148"/>
      <c r="B2025" s="75"/>
      <c r="C2025" s="75"/>
      <c r="D2025" s="75"/>
      <c r="E2025" s="75"/>
      <c r="F2025" s="75"/>
      <c r="G2025" s="75"/>
      <c r="H2025" s="75"/>
      <c r="I2025" s="75"/>
      <c r="J2025" s="191"/>
    </row>
    <row r="2026">
      <c r="A2026" s="148"/>
      <c r="B2026" s="75"/>
      <c r="C2026" s="75"/>
      <c r="D2026" s="75"/>
      <c r="E2026" s="75"/>
      <c r="F2026" s="75"/>
      <c r="G2026" s="75"/>
      <c r="H2026" s="75"/>
      <c r="I2026" s="75"/>
      <c r="J2026" s="191"/>
    </row>
    <row r="2027">
      <c r="A2027" s="148"/>
      <c r="B2027" s="75"/>
      <c r="C2027" s="75"/>
      <c r="D2027" s="75"/>
      <c r="E2027" s="75"/>
      <c r="F2027" s="75"/>
      <c r="G2027" s="75"/>
      <c r="H2027" s="75"/>
      <c r="I2027" s="75"/>
      <c r="J2027" s="191"/>
    </row>
    <row r="2028">
      <c r="A2028" s="148"/>
      <c r="B2028" s="75"/>
      <c r="C2028" s="75"/>
      <c r="D2028" s="75"/>
      <c r="E2028" s="75"/>
      <c r="F2028" s="75"/>
      <c r="G2028" s="75"/>
      <c r="H2028" s="75"/>
      <c r="I2028" s="75"/>
      <c r="J2028" s="191"/>
    </row>
    <row r="2029">
      <c r="A2029" s="148"/>
      <c r="B2029" s="75"/>
      <c r="C2029" s="75"/>
      <c r="D2029" s="75"/>
      <c r="E2029" s="75"/>
      <c r="F2029" s="75"/>
      <c r="G2029" s="75"/>
      <c r="H2029" s="75"/>
      <c r="I2029" s="75"/>
      <c r="J2029" s="191"/>
    </row>
    <row r="2030">
      <c r="A2030" s="148"/>
      <c r="B2030" s="75"/>
      <c r="C2030" s="75"/>
      <c r="D2030" s="75"/>
      <c r="E2030" s="75"/>
      <c r="F2030" s="75"/>
      <c r="G2030" s="75"/>
      <c r="H2030" s="75"/>
      <c r="I2030" s="75"/>
      <c r="J2030" s="191"/>
    </row>
    <row r="2031">
      <c r="A2031" s="148"/>
      <c r="B2031" s="75"/>
      <c r="C2031" s="75"/>
      <c r="D2031" s="75"/>
      <c r="E2031" s="75"/>
      <c r="F2031" s="75"/>
      <c r="G2031" s="75"/>
      <c r="H2031" s="75"/>
      <c r="I2031" s="75"/>
      <c r="J2031" s="191"/>
    </row>
    <row r="2032">
      <c r="A2032" s="148"/>
      <c r="B2032" s="75"/>
      <c r="C2032" s="75"/>
      <c r="D2032" s="75"/>
      <c r="E2032" s="75"/>
      <c r="F2032" s="75"/>
      <c r="G2032" s="75"/>
      <c r="H2032" s="75"/>
      <c r="I2032" s="75"/>
      <c r="J2032" s="191"/>
    </row>
    <row r="2033">
      <c r="A2033" s="148"/>
      <c r="B2033" s="75"/>
      <c r="C2033" s="75"/>
      <c r="D2033" s="75"/>
      <c r="E2033" s="75"/>
      <c r="F2033" s="75"/>
      <c r="G2033" s="75"/>
      <c r="H2033" s="75"/>
      <c r="I2033" s="75"/>
      <c r="J2033" s="191"/>
    </row>
    <row r="2034">
      <c r="A2034" s="148"/>
      <c r="B2034" s="75"/>
      <c r="C2034" s="75"/>
      <c r="D2034" s="75"/>
      <c r="E2034" s="75"/>
      <c r="F2034" s="75"/>
      <c r="G2034" s="75"/>
      <c r="H2034" s="75"/>
      <c r="I2034" s="75"/>
      <c r="J2034" s="191"/>
    </row>
    <row r="2035">
      <c r="A2035" s="148"/>
      <c r="B2035" s="75"/>
      <c r="C2035" s="75"/>
      <c r="D2035" s="75"/>
      <c r="E2035" s="75"/>
      <c r="F2035" s="75"/>
      <c r="G2035" s="75"/>
      <c r="H2035" s="75"/>
      <c r="I2035" s="75"/>
      <c r="J2035" s="191"/>
    </row>
    <row r="2036">
      <c r="A2036" s="148"/>
      <c r="B2036" s="75"/>
      <c r="C2036" s="75"/>
      <c r="D2036" s="75"/>
      <c r="E2036" s="75"/>
      <c r="F2036" s="75"/>
      <c r="G2036" s="75"/>
      <c r="H2036" s="75"/>
      <c r="I2036" s="75"/>
      <c r="J2036" s="191"/>
    </row>
    <row r="2037">
      <c r="A2037" s="148"/>
      <c r="B2037" s="75"/>
      <c r="C2037" s="75"/>
      <c r="D2037" s="75"/>
      <c r="E2037" s="75"/>
      <c r="F2037" s="75"/>
      <c r="G2037" s="75"/>
      <c r="H2037" s="75"/>
      <c r="I2037" s="75"/>
      <c r="J2037" s="191"/>
    </row>
    <row r="2038">
      <c r="A2038" s="148"/>
      <c r="B2038" s="75"/>
      <c r="C2038" s="75"/>
      <c r="D2038" s="75"/>
      <c r="E2038" s="75"/>
      <c r="F2038" s="75"/>
      <c r="G2038" s="75"/>
      <c r="H2038" s="75"/>
      <c r="I2038" s="75"/>
      <c r="J2038" s="191"/>
    </row>
    <row r="2039">
      <c r="A2039" s="148"/>
      <c r="B2039" s="75"/>
      <c r="C2039" s="75"/>
      <c r="D2039" s="75"/>
      <c r="E2039" s="75"/>
      <c r="F2039" s="75"/>
      <c r="G2039" s="75"/>
      <c r="H2039" s="75"/>
      <c r="I2039" s="75"/>
      <c r="J2039" s="191"/>
    </row>
    <row r="2040">
      <c r="A2040" s="148"/>
      <c r="B2040" s="75"/>
      <c r="C2040" s="75"/>
      <c r="D2040" s="75"/>
      <c r="E2040" s="75"/>
      <c r="F2040" s="75"/>
      <c r="G2040" s="75"/>
      <c r="H2040" s="75"/>
      <c r="I2040" s="75"/>
      <c r="J2040" s="191"/>
    </row>
    <row r="2041">
      <c r="A2041" s="148"/>
      <c r="B2041" s="75"/>
      <c r="C2041" s="75"/>
      <c r="D2041" s="75"/>
      <c r="E2041" s="75"/>
      <c r="F2041" s="75"/>
      <c r="G2041" s="75"/>
      <c r="H2041" s="75"/>
      <c r="I2041" s="75"/>
      <c r="J2041" s="191"/>
    </row>
    <row r="2042">
      <c r="A2042" s="148"/>
      <c r="B2042" s="75"/>
      <c r="C2042" s="75"/>
      <c r="D2042" s="75"/>
      <c r="E2042" s="75"/>
      <c r="F2042" s="75"/>
      <c r="G2042" s="75"/>
      <c r="H2042" s="75"/>
      <c r="I2042" s="75"/>
      <c r="J2042" s="191"/>
    </row>
    <row r="2043">
      <c r="A2043" s="148"/>
      <c r="B2043" s="75"/>
      <c r="C2043" s="75"/>
      <c r="D2043" s="75"/>
      <c r="E2043" s="75"/>
      <c r="F2043" s="75"/>
      <c r="G2043" s="75"/>
      <c r="H2043" s="75"/>
      <c r="I2043" s="75"/>
      <c r="J2043" s="191"/>
    </row>
    <row r="2044">
      <c r="A2044" s="148"/>
      <c r="B2044" s="75"/>
      <c r="C2044" s="75"/>
      <c r="D2044" s="75"/>
      <c r="E2044" s="75"/>
      <c r="F2044" s="75"/>
      <c r="G2044" s="75"/>
      <c r="H2044" s="75"/>
      <c r="I2044" s="75"/>
      <c r="J2044" s="191"/>
    </row>
    <row r="2045">
      <c r="A2045" s="148"/>
      <c r="B2045" s="75"/>
      <c r="C2045" s="75"/>
      <c r="D2045" s="75"/>
      <c r="E2045" s="75"/>
      <c r="F2045" s="75"/>
      <c r="G2045" s="75"/>
      <c r="H2045" s="75"/>
      <c r="I2045" s="75"/>
      <c r="J2045" s="191"/>
    </row>
    <row r="2046">
      <c r="A2046" s="148"/>
      <c r="B2046" s="75"/>
      <c r="C2046" s="75"/>
      <c r="D2046" s="75"/>
      <c r="E2046" s="75"/>
      <c r="F2046" s="75"/>
      <c r="G2046" s="75"/>
      <c r="H2046" s="75"/>
      <c r="I2046" s="75"/>
      <c r="J2046" s="191"/>
    </row>
    <row r="2047">
      <c r="A2047" s="148"/>
      <c r="B2047" s="75"/>
      <c r="C2047" s="75"/>
      <c r="D2047" s="75"/>
      <c r="E2047" s="75"/>
      <c r="F2047" s="75"/>
      <c r="G2047" s="75"/>
      <c r="H2047" s="75"/>
      <c r="I2047" s="75"/>
      <c r="J2047" s="191"/>
    </row>
    <row r="2048">
      <c r="A2048" s="148"/>
      <c r="B2048" s="75"/>
      <c r="C2048" s="75"/>
      <c r="D2048" s="75"/>
      <c r="E2048" s="75"/>
      <c r="F2048" s="75"/>
      <c r="G2048" s="75"/>
      <c r="H2048" s="75"/>
      <c r="I2048" s="75"/>
      <c r="J2048" s="191"/>
    </row>
    <row r="2049">
      <c r="A2049" s="148"/>
      <c r="B2049" s="75"/>
      <c r="C2049" s="75"/>
      <c r="D2049" s="75"/>
      <c r="E2049" s="75"/>
      <c r="F2049" s="75"/>
      <c r="G2049" s="75"/>
      <c r="H2049" s="75"/>
      <c r="I2049" s="75"/>
      <c r="J2049" s="191"/>
    </row>
    <row r="2050">
      <c r="A2050" s="148"/>
      <c r="B2050" s="75"/>
      <c r="C2050" s="75"/>
      <c r="D2050" s="75"/>
      <c r="E2050" s="75"/>
      <c r="F2050" s="75"/>
      <c r="G2050" s="75"/>
      <c r="H2050" s="75"/>
      <c r="I2050" s="75"/>
      <c r="J2050" s="191"/>
    </row>
    <row r="2051">
      <c r="A2051" s="148"/>
      <c r="B2051" s="75"/>
      <c r="C2051" s="75"/>
      <c r="D2051" s="75"/>
      <c r="E2051" s="75"/>
      <c r="F2051" s="75"/>
      <c r="G2051" s="75"/>
      <c r="H2051" s="75"/>
      <c r="I2051" s="75"/>
      <c r="J2051" s="191"/>
    </row>
    <row r="2052">
      <c r="A2052" s="148"/>
      <c r="B2052" s="75"/>
      <c r="C2052" s="75"/>
      <c r="D2052" s="75"/>
      <c r="E2052" s="75"/>
      <c r="F2052" s="75"/>
      <c r="G2052" s="75"/>
      <c r="H2052" s="75"/>
      <c r="I2052" s="75"/>
      <c r="J2052" s="191"/>
    </row>
    <row r="2053">
      <c r="A2053" s="148"/>
      <c r="B2053" s="75"/>
      <c r="C2053" s="75"/>
      <c r="D2053" s="75"/>
      <c r="E2053" s="75"/>
      <c r="F2053" s="75"/>
      <c r="G2053" s="75"/>
      <c r="H2053" s="75"/>
      <c r="I2053" s="75"/>
      <c r="J2053" s="191"/>
    </row>
    <row r="2054">
      <c r="A2054" s="148"/>
      <c r="B2054" s="75"/>
      <c r="C2054" s="75"/>
      <c r="D2054" s="75"/>
      <c r="E2054" s="75"/>
      <c r="F2054" s="75"/>
      <c r="G2054" s="75"/>
      <c r="H2054" s="75"/>
      <c r="I2054" s="75"/>
      <c r="J2054" s="191"/>
    </row>
    <row r="2055">
      <c r="A2055" s="148"/>
      <c r="B2055" s="75"/>
      <c r="C2055" s="75"/>
      <c r="D2055" s="75"/>
      <c r="E2055" s="75"/>
      <c r="F2055" s="75"/>
      <c r="G2055" s="75"/>
      <c r="H2055" s="75"/>
      <c r="I2055" s="75"/>
      <c r="J2055" s="191"/>
    </row>
    <row r="2056">
      <c r="A2056" s="148"/>
      <c r="B2056" s="75"/>
      <c r="C2056" s="75"/>
      <c r="D2056" s="75"/>
      <c r="E2056" s="75"/>
      <c r="F2056" s="75"/>
      <c r="G2056" s="75"/>
      <c r="H2056" s="75"/>
      <c r="I2056" s="75"/>
      <c r="J2056" s="191"/>
    </row>
    <row r="2057">
      <c r="A2057" s="148"/>
      <c r="B2057" s="75"/>
      <c r="C2057" s="75"/>
      <c r="D2057" s="75"/>
      <c r="E2057" s="75"/>
      <c r="F2057" s="75"/>
      <c r="G2057" s="75"/>
      <c r="H2057" s="75"/>
      <c r="I2057" s="75"/>
      <c r="J2057" s="191"/>
    </row>
    <row r="2058">
      <c r="A2058" s="148"/>
      <c r="B2058" s="75"/>
      <c r="C2058" s="75"/>
      <c r="D2058" s="75"/>
      <c r="E2058" s="75"/>
      <c r="F2058" s="75"/>
      <c r="G2058" s="75"/>
      <c r="H2058" s="75"/>
      <c r="I2058" s="75"/>
      <c r="J2058" s="191"/>
    </row>
    <row r="2059">
      <c r="A2059" s="148"/>
      <c r="B2059" s="75"/>
      <c r="C2059" s="75"/>
      <c r="D2059" s="75"/>
      <c r="E2059" s="75"/>
      <c r="F2059" s="75"/>
      <c r="G2059" s="75"/>
      <c r="H2059" s="75"/>
      <c r="I2059" s="75"/>
      <c r="J2059" s="191"/>
    </row>
    <row r="2060">
      <c r="A2060" s="148"/>
      <c r="B2060" s="75"/>
      <c r="C2060" s="75"/>
      <c r="D2060" s="75"/>
      <c r="E2060" s="75"/>
      <c r="F2060" s="75"/>
      <c r="G2060" s="75"/>
      <c r="H2060" s="75"/>
      <c r="I2060" s="75"/>
      <c r="J2060" s="191"/>
    </row>
    <row r="2061">
      <c r="A2061" s="148"/>
      <c r="B2061" s="75"/>
      <c r="C2061" s="75"/>
      <c r="D2061" s="75"/>
      <c r="E2061" s="75"/>
      <c r="F2061" s="75"/>
      <c r="G2061" s="75"/>
      <c r="H2061" s="75"/>
      <c r="I2061" s="75"/>
      <c r="J2061" s="191"/>
    </row>
    <row r="2062">
      <c r="A2062" s="148"/>
      <c r="B2062" s="75"/>
      <c r="C2062" s="75"/>
      <c r="D2062" s="75"/>
      <c r="E2062" s="75"/>
      <c r="F2062" s="75"/>
      <c r="G2062" s="75"/>
      <c r="H2062" s="75"/>
      <c r="I2062" s="75"/>
      <c r="J2062" s="191"/>
    </row>
    <row r="2063">
      <c r="A2063" s="148"/>
      <c r="B2063" s="75"/>
      <c r="C2063" s="75"/>
      <c r="D2063" s="75"/>
      <c r="E2063" s="75"/>
      <c r="F2063" s="75"/>
      <c r="G2063" s="75"/>
      <c r="H2063" s="75"/>
      <c r="I2063" s="75"/>
      <c r="J2063" s="191"/>
    </row>
    <row r="2064">
      <c r="A2064" s="148"/>
      <c r="B2064" s="75"/>
      <c r="C2064" s="75"/>
      <c r="D2064" s="75"/>
      <c r="E2064" s="75"/>
      <c r="F2064" s="75"/>
      <c r="G2064" s="75"/>
      <c r="H2064" s="75"/>
      <c r="I2064" s="75"/>
      <c r="J2064" s="191"/>
    </row>
    <row r="2065">
      <c r="A2065" s="148"/>
      <c r="B2065" s="75"/>
      <c r="C2065" s="75"/>
      <c r="D2065" s="75"/>
      <c r="E2065" s="75"/>
      <c r="F2065" s="75"/>
      <c r="G2065" s="75"/>
      <c r="H2065" s="75"/>
      <c r="I2065" s="75"/>
      <c r="J2065" s="191"/>
    </row>
    <row r="2066">
      <c r="A2066" s="148"/>
      <c r="B2066" s="75"/>
      <c r="C2066" s="75"/>
      <c r="D2066" s="75"/>
      <c r="E2066" s="75"/>
      <c r="F2066" s="75"/>
      <c r="G2066" s="75"/>
      <c r="H2066" s="75"/>
      <c r="I2066" s="75"/>
      <c r="J2066" s="191"/>
    </row>
    <row r="2067">
      <c r="A2067" s="148"/>
      <c r="B2067" s="75"/>
      <c r="C2067" s="75"/>
      <c r="D2067" s="75"/>
      <c r="E2067" s="75"/>
      <c r="F2067" s="75"/>
      <c r="G2067" s="75"/>
      <c r="H2067" s="75"/>
      <c r="I2067" s="75"/>
      <c r="J2067" s="191"/>
    </row>
    <row r="2068">
      <c r="A2068" s="148"/>
      <c r="B2068" s="75"/>
      <c r="C2068" s="75"/>
      <c r="D2068" s="75"/>
      <c r="E2068" s="75"/>
      <c r="F2068" s="75"/>
      <c r="G2068" s="75"/>
      <c r="H2068" s="75"/>
      <c r="I2068" s="75"/>
      <c r="J2068" s="191"/>
    </row>
    <row r="2069">
      <c r="A2069" s="148"/>
      <c r="B2069" s="75"/>
      <c r="C2069" s="75"/>
      <c r="D2069" s="75"/>
      <c r="E2069" s="75"/>
      <c r="F2069" s="75"/>
      <c r="G2069" s="75"/>
      <c r="H2069" s="75"/>
      <c r="I2069" s="75"/>
      <c r="J2069" s="191"/>
    </row>
    <row r="2070">
      <c r="A2070" s="148"/>
      <c r="B2070" s="75"/>
      <c r="C2070" s="75"/>
      <c r="D2070" s="75"/>
      <c r="E2070" s="75"/>
      <c r="F2070" s="75"/>
      <c r="G2070" s="75"/>
      <c r="H2070" s="75"/>
      <c r="I2070" s="75"/>
      <c r="J2070" s="191"/>
    </row>
    <row r="2071">
      <c r="A2071" s="148"/>
      <c r="B2071" s="75"/>
      <c r="C2071" s="75"/>
      <c r="D2071" s="75"/>
      <c r="E2071" s="75"/>
      <c r="F2071" s="75"/>
      <c r="G2071" s="75"/>
      <c r="H2071" s="75"/>
      <c r="I2071" s="75"/>
      <c r="J2071" s="191"/>
    </row>
    <row r="2072">
      <c r="A2072" s="148"/>
      <c r="B2072" s="75"/>
      <c r="C2072" s="75"/>
      <c r="D2072" s="75"/>
      <c r="E2072" s="75"/>
      <c r="F2072" s="75"/>
      <c r="G2072" s="75"/>
      <c r="H2072" s="75"/>
      <c r="I2072" s="75"/>
      <c r="J2072" s="191"/>
    </row>
    <row r="2073">
      <c r="A2073" s="148"/>
      <c r="B2073" s="75"/>
      <c r="C2073" s="75"/>
      <c r="D2073" s="75"/>
      <c r="E2073" s="75"/>
      <c r="F2073" s="75"/>
      <c r="G2073" s="75"/>
      <c r="H2073" s="75"/>
      <c r="I2073" s="75"/>
      <c r="J2073" s="191"/>
    </row>
    <row r="2074">
      <c r="A2074" s="148"/>
      <c r="B2074" s="75"/>
      <c r="C2074" s="75"/>
      <c r="D2074" s="75"/>
      <c r="E2074" s="75"/>
      <c r="F2074" s="75"/>
      <c r="G2074" s="75"/>
      <c r="H2074" s="75"/>
      <c r="I2074" s="75"/>
      <c r="J2074" s="191"/>
    </row>
    <row r="2075">
      <c r="A2075" s="148"/>
      <c r="B2075" s="75"/>
      <c r="C2075" s="75"/>
      <c r="D2075" s="75"/>
      <c r="E2075" s="75"/>
      <c r="F2075" s="75"/>
      <c r="G2075" s="75"/>
      <c r="H2075" s="75"/>
      <c r="I2075" s="75"/>
      <c r="J2075" s="191"/>
    </row>
    <row r="2076">
      <c r="A2076" s="148"/>
      <c r="B2076" s="75"/>
      <c r="C2076" s="75"/>
      <c r="D2076" s="75"/>
      <c r="E2076" s="75"/>
      <c r="F2076" s="75"/>
      <c r="G2076" s="75"/>
      <c r="H2076" s="75"/>
      <c r="I2076" s="75"/>
      <c r="J2076" s="191"/>
    </row>
    <row r="2077">
      <c r="A2077" s="148"/>
      <c r="B2077" s="75"/>
      <c r="C2077" s="75"/>
      <c r="D2077" s="75"/>
      <c r="E2077" s="75"/>
      <c r="F2077" s="75"/>
      <c r="G2077" s="75"/>
      <c r="H2077" s="75"/>
      <c r="I2077" s="75"/>
      <c r="J2077" s="191"/>
    </row>
    <row r="2078">
      <c r="A2078" s="148"/>
      <c r="B2078" s="75"/>
      <c r="C2078" s="75"/>
      <c r="D2078" s="75"/>
      <c r="E2078" s="75"/>
      <c r="F2078" s="75"/>
      <c r="G2078" s="75"/>
      <c r="H2078" s="75"/>
      <c r="I2078" s="75"/>
      <c r="J2078" s="191"/>
    </row>
    <row r="2079">
      <c r="A2079" s="148"/>
      <c r="B2079" s="75"/>
      <c r="C2079" s="75"/>
      <c r="D2079" s="75"/>
      <c r="E2079" s="75"/>
      <c r="F2079" s="75"/>
      <c r="G2079" s="75"/>
      <c r="H2079" s="75"/>
      <c r="I2079" s="75"/>
      <c r="J2079" s="191"/>
    </row>
    <row r="2080">
      <c r="A2080" s="148"/>
      <c r="B2080" s="75"/>
      <c r="C2080" s="75"/>
      <c r="D2080" s="75"/>
      <c r="E2080" s="75"/>
      <c r="F2080" s="75"/>
      <c r="G2080" s="75"/>
      <c r="H2080" s="75"/>
      <c r="I2080" s="75"/>
      <c r="J2080" s="191"/>
    </row>
    <row r="2081">
      <c r="A2081" s="148"/>
      <c r="B2081" s="75"/>
      <c r="C2081" s="75"/>
      <c r="D2081" s="75"/>
      <c r="E2081" s="75"/>
      <c r="F2081" s="75"/>
      <c r="G2081" s="75"/>
      <c r="H2081" s="75"/>
      <c r="I2081" s="75"/>
      <c r="J2081" s="191"/>
    </row>
    <row r="2082">
      <c r="A2082" s="148"/>
      <c r="B2082" s="75"/>
      <c r="C2082" s="75"/>
      <c r="D2082" s="75"/>
      <c r="E2082" s="75"/>
      <c r="F2082" s="75"/>
      <c r="G2082" s="75"/>
      <c r="H2082" s="75"/>
      <c r="I2082" s="75"/>
      <c r="J2082" s="191"/>
    </row>
    <row r="2083">
      <c r="A2083" s="148"/>
      <c r="B2083" s="75"/>
      <c r="C2083" s="75"/>
      <c r="D2083" s="75"/>
      <c r="E2083" s="75"/>
      <c r="F2083" s="75"/>
      <c r="G2083" s="75"/>
      <c r="H2083" s="75"/>
      <c r="I2083" s="75"/>
      <c r="J2083" s="191"/>
    </row>
    <row r="2084">
      <c r="A2084" s="148"/>
      <c r="B2084" s="75"/>
      <c r="C2084" s="75"/>
      <c r="D2084" s="75"/>
      <c r="E2084" s="75"/>
      <c r="F2084" s="75"/>
      <c r="G2084" s="75"/>
      <c r="H2084" s="75"/>
      <c r="I2084" s="75"/>
      <c r="J2084" s="191"/>
    </row>
    <row r="2085">
      <c r="A2085" s="148"/>
      <c r="B2085" s="75"/>
      <c r="C2085" s="75"/>
      <c r="D2085" s="75"/>
      <c r="E2085" s="75"/>
      <c r="F2085" s="75"/>
      <c r="G2085" s="75"/>
      <c r="H2085" s="75"/>
      <c r="I2085" s="75"/>
      <c r="J2085" s="191"/>
    </row>
    <row r="2086">
      <c r="A2086" s="148"/>
      <c r="B2086" s="75"/>
      <c r="C2086" s="75"/>
      <c r="D2086" s="75"/>
      <c r="E2086" s="75"/>
      <c r="F2086" s="75"/>
      <c r="G2086" s="75"/>
      <c r="H2086" s="75"/>
      <c r="I2086" s="75"/>
      <c r="J2086" s="191"/>
    </row>
    <row r="2087">
      <c r="A2087" s="148"/>
      <c r="B2087" s="75"/>
      <c r="C2087" s="75"/>
      <c r="D2087" s="75"/>
      <c r="E2087" s="75"/>
      <c r="F2087" s="75"/>
      <c r="G2087" s="75"/>
      <c r="H2087" s="75"/>
      <c r="I2087" s="75"/>
      <c r="J2087" s="191"/>
    </row>
    <row r="2088">
      <c r="A2088" s="148"/>
      <c r="B2088" s="75"/>
      <c r="C2088" s="75"/>
      <c r="D2088" s="75"/>
      <c r="E2088" s="75"/>
      <c r="F2088" s="75"/>
      <c r="G2088" s="75"/>
      <c r="H2088" s="75"/>
      <c r="I2088" s="75"/>
      <c r="J2088" s="191"/>
    </row>
    <row r="2089">
      <c r="A2089" s="148"/>
      <c r="B2089" s="75"/>
      <c r="C2089" s="75"/>
      <c r="D2089" s="75"/>
      <c r="E2089" s="75"/>
      <c r="F2089" s="75"/>
      <c r="G2089" s="75"/>
      <c r="H2089" s="75"/>
      <c r="I2089" s="75"/>
      <c r="J2089" s="191"/>
    </row>
    <row r="2090">
      <c r="A2090" s="148"/>
      <c r="B2090" s="75"/>
      <c r="C2090" s="75"/>
      <c r="D2090" s="75"/>
      <c r="E2090" s="75"/>
      <c r="F2090" s="75"/>
      <c r="G2090" s="75"/>
      <c r="H2090" s="75"/>
      <c r="I2090" s="75"/>
      <c r="J2090" s="191"/>
    </row>
    <row r="2091">
      <c r="A2091" s="148"/>
      <c r="B2091" s="75"/>
      <c r="C2091" s="75"/>
      <c r="D2091" s="75"/>
      <c r="E2091" s="75"/>
      <c r="F2091" s="75"/>
      <c r="G2091" s="75"/>
      <c r="H2091" s="75"/>
      <c r="I2091" s="75"/>
      <c r="J2091" s="191"/>
    </row>
    <row r="2092">
      <c r="A2092" s="148"/>
      <c r="B2092" s="75"/>
      <c r="C2092" s="75"/>
      <c r="D2092" s="75"/>
      <c r="E2092" s="75"/>
      <c r="F2092" s="75"/>
      <c r="G2092" s="75"/>
      <c r="H2092" s="75"/>
      <c r="I2092" s="75"/>
      <c r="J2092" s="191"/>
    </row>
    <row r="2093">
      <c r="A2093" s="148"/>
      <c r="B2093" s="75"/>
      <c r="C2093" s="75"/>
      <c r="D2093" s="75"/>
      <c r="E2093" s="75"/>
      <c r="F2093" s="75"/>
      <c r="G2093" s="75"/>
      <c r="H2093" s="75"/>
      <c r="I2093" s="75"/>
      <c r="J2093" s="191"/>
    </row>
    <row r="2094">
      <c r="A2094" s="148"/>
      <c r="B2094" s="75"/>
      <c r="C2094" s="75"/>
      <c r="D2094" s="75"/>
      <c r="E2094" s="75"/>
      <c r="F2094" s="75"/>
      <c r="G2094" s="75"/>
      <c r="H2094" s="75"/>
      <c r="I2094" s="75"/>
      <c r="J2094" s="191"/>
    </row>
    <row r="2095">
      <c r="A2095" s="148"/>
      <c r="B2095" s="75"/>
      <c r="C2095" s="75"/>
      <c r="D2095" s="75"/>
      <c r="E2095" s="75"/>
      <c r="F2095" s="75"/>
      <c r="G2095" s="75"/>
      <c r="H2095" s="75"/>
      <c r="I2095" s="75"/>
      <c r="J2095" s="191"/>
    </row>
    <row r="2096">
      <c r="A2096" s="148"/>
      <c r="B2096" s="75"/>
      <c r="C2096" s="75"/>
      <c r="D2096" s="75"/>
      <c r="E2096" s="75"/>
      <c r="F2096" s="75"/>
      <c r="G2096" s="75"/>
      <c r="H2096" s="75"/>
      <c r="I2096" s="75"/>
      <c r="J2096" s="191"/>
    </row>
    <row r="2097">
      <c r="A2097" s="148"/>
      <c r="B2097" s="75"/>
      <c r="C2097" s="75"/>
      <c r="D2097" s="75"/>
      <c r="E2097" s="75"/>
      <c r="F2097" s="75"/>
      <c r="G2097" s="75"/>
      <c r="H2097" s="75"/>
      <c r="I2097" s="75"/>
      <c r="J2097" s="191"/>
    </row>
    <row r="2098">
      <c r="A2098" s="148"/>
      <c r="B2098" s="75"/>
      <c r="C2098" s="75"/>
      <c r="D2098" s="75"/>
      <c r="E2098" s="75"/>
      <c r="F2098" s="75"/>
      <c r="G2098" s="75"/>
      <c r="H2098" s="75"/>
      <c r="I2098" s="75"/>
      <c r="J2098" s="191"/>
    </row>
    <row r="2099">
      <c r="A2099" s="148"/>
      <c r="B2099" s="75"/>
      <c r="C2099" s="75"/>
      <c r="D2099" s="75"/>
      <c r="E2099" s="75"/>
      <c r="F2099" s="75"/>
      <c r="G2099" s="75"/>
      <c r="H2099" s="75"/>
      <c r="I2099" s="75"/>
      <c r="J2099" s="191"/>
    </row>
    <row r="2100">
      <c r="A2100" s="148"/>
      <c r="B2100" s="75"/>
      <c r="C2100" s="75"/>
      <c r="D2100" s="75"/>
      <c r="E2100" s="75"/>
      <c r="F2100" s="75"/>
      <c r="G2100" s="75"/>
      <c r="H2100" s="75"/>
      <c r="I2100" s="75"/>
      <c r="J2100" s="191"/>
    </row>
    <row r="2101">
      <c r="A2101" s="148"/>
      <c r="B2101" s="75"/>
      <c r="C2101" s="75"/>
      <c r="D2101" s="75"/>
      <c r="E2101" s="75"/>
      <c r="F2101" s="75"/>
      <c r="G2101" s="75"/>
      <c r="H2101" s="75"/>
      <c r="I2101" s="75"/>
      <c r="J2101" s="191"/>
    </row>
    <row r="2102">
      <c r="A2102" s="148"/>
      <c r="B2102" s="75"/>
      <c r="C2102" s="75"/>
      <c r="D2102" s="75"/>
      <c r="E2102" s="75"/>
      <c r="F2102" s="75"/>
      <c r="G2102" s="75"/>
      <c r="H2102" s="75"/>
      <c r="I2102" s="75"/>
      <c r="J2102" s="191"/>
    </row>
    <row r="2103">
      <c r="A2103" s="148"/>
      <c r="B2103" s="75"/>
      <c r="C2103" s="75"/>
      <c r="D2103" s="75"/>
      <c r="E2103" s="75"/>
      <c r="F2103" s="75"/>
      <c r="G2103" s="75"/>
      <c r="H2103" s="75"/>
      <c r="I2103" s="75"/>
      <c r="J2103" s="191"/>
    </row>
    <row r="2104">
      <c r="A2104" s="148"/>
      <c r="B2104" s="75"/>
      <c r="C2104" s="75"/>
      <c r="D2104" s="75"/>
      <c r="E2104" s="75"/>
      <c r="F2104" s="75"/>
      <c r="G2104" s="75"/>
      <c r="H2104" s="75"/>
      <c r="I2104" s="75"/>
      <c r="J2104" s="191"/>
    </row>
    <row r="2105">
      <c r="A2105" s="148"/>
      <c r="B2105" s="75"/>
      <c r="C2105" s="75"/>
      <c r="D2105" s="75"/>
      <c r="E2105" s="75"/>
      <c r="F2105" s="75"/>
      <c r="G2105" s="75"/>
      <c r="H2105" s="75"/>
      <c r="I2105" s="75"/>
      <c r="J2105" s="191"/>
    </row>
    <row r="2106">
      <c r="A2106" s="148"/>
      <c r="B2106" s="75"/>
      <c r="C2106" s="75"/>
      <c r="D2106" s="75"/>
      <c r="E2106" s="75"/>
      <c r="F2106" s="75"/>
      <c r="G2106" s="75"/>
      <c r="H2106" s="75"/>
      <c r="I2106" s="75"/>
      <c r="J2106" s="191"/>
    </row>
    <row r="2107">
      <c r="A2107" s="148"/>
      <c r="B2107" s="75"/>
      <c r="C2107" s="75"/>
      <c r="D2107" s="75"/>
      <c r="E2107" s="75"/>
      <c r="F2107" s="75"/>
      <c r="G2107" s="75"/>
      <c r="H2107" s="75"/>
      <c r="I2107" s="75"/>
      <c r="J2107" s="191"/>
    </row>
    <row r="2108">
      <c r="A2108" s="148"/>
      <c r="B2108" s="75"/>
      <c r="C2108" s="75"/>
      <c r="D2108" s="75"/>
      <c r="E2108" s="75"/>
      <c r="F2108" s="75"/>
      <c r="G2108" s="75"/>
      <c r="H2108" s="75"/>
      <c r="I2108" s="75"/>
      <c r="J2108" s="191"/>
    </row>
    <row r="2109">
      <c r="A2109" s="148"/>
      <c r="B2109" s="75"/>
      <c r="C2109" s="75"/>
      <c r="D2109" s="75"/>
      <c r="E2109" s="75"/>
      <c r="F2109" s="75"/>
      <c r="G2109" s="75"/>
      <c r="H2109" s="75"/>
      <c r="I2109" s="75"/>
      <c r="J2109" s="191"/>
    </row>
    <row r="2110">
      <c r="A2110" s="148"/>
      <c r="B2110" s="75"/>
      <c r="C2110" s="75"/>
      <c r="D2110" s="75"/>
      <c r="E2110" s="75"/>
      <c r="F2110" s="75"/>
      <c r="G2110" s="75"/>
      <c r="H2110" s="75"/>
      <c r="I2110" s="75"/>
      <c r="J2110" s="191"/>
    </row>
    <row r="2111">
      <c r="A2111" s="148"/>
      <c r="B2111" s="75"/>
      <c r="C2111" s="75"/>
      <c r="D2111" s="75"/>
      <c r="E2111" s="75"/>
      <c r="F2111" s="75"/>
      <c r="G2111" s="75"/>
      <c r="H2111" s="75"/>
      <c r="I2111" s="75"/>
      <c r="J2111" s="191"/>
    </row>
    <row r="2112">
      <c r="A2112" s="148"/>
      <c r="B2112" s="75"/>
      <c r="C2112" s="75"/>
      <c r="D2112" s="75"/>
      <c r="E2112" s="75"/>
      <c r="F2112" s="75"/>
      <c r="G2112" s="75"/>
      <c r="H2112" s="75"/>
      <c r="I2112" s="75"/>
      <c r="J2112" s="191"/>
    </row>
    <row r="2113">
      <c r="A2113" s="148"/>
      <c r="B2113" s="75"/>
      <c r="C2113" s="75"/>
      <c r="D2113" s="75"/>
      <c r="E2113" s="75"/>
      <c r="F2113" s="75"/>
      <c r="G2113" s="75"/>
      <c r="H2113" s="75"/>
      <c r="I2113" s="75"/>
      <c r="J2113" s="191"/>
    </row>
    <row r="2114">
      <c r="A2114" s="148"/>
      <c r="B2114" s="75"/>
      <c r="C2114" s="75"/>
      <c r="D2114" s="75"/>
      <c r="E2114" s="75"/>
      <c r="F2114" s="75"/>
      <c r="G2114" s="75"/>
      <c r="H2114" s="75"/>
      <c r="I2114" s="75"/>
      <c r="J2114" s="191"/>
    </row>
    <row r="2115">
      <c r="A2115" s="148"/>
      <c r="B2115" s="75"/>
      <c r="C2115" s="75"/>
      <c r="D2115" s="75"/>
      <c r="E2115" s="75"/>
      <c r="F2115" s="75"/>
      <c r="G2115" s="75"/>
      <c r="H2115" s="75"/>
      <c r="I2115" s="75"/>
      <c r="J2115" s="191"/>
    </row>
    <row r="2116">
      <c r="A2116" s="148"/>
      <c r="B2116" s="75"/>
      <c r="C2116" s="75"/>
      <c r="D2116" s="75"/>
      <c r="E2116" s="75"/>
      <c r="F2116" s="75"/>
      <c r="G2116" s="75"/>
      <c r="H2116" s="75"/>
      <c r="I2116" s="75"/>
      <c r="J2116" s="191"/>
    </row>
    <row r="2117">
      <c r="A2117" s="148"/>
      <c r="B2117" s="75"/>
      <c r="C2117" s="75"/>
      <c r="D2117" s="75"/>
      <c r="E2117" s="75"/>
      <c r="F2117" s="75"/>
      <c r="G2117" s="75"/>
      <c r="H2117" s="75"/>
      <c r="I2117" s="75"/>
      <c r="J2117" s="191"/>
    </row>
    <row r="2118">
      <c r="A2118" s="148"/>
      <c r="B2118" s="75"/>
      <c r="C2118" s="75"/>
      <c r="D2118" s="75"/>
      <c r="E2118" s="75"/>
      <c r="F2118" s="75"/>
      <c r="G2118" s="75"/>
      <c r="H2118" s="75"/>
      <c r="I2118" s="75"/>
      <c r="J2118" s="191"/>
    </row>
    <row r="2119">
      <c r="A2119" s="148"/>
      <c r="B2119" s="75"/>
      <c r="C2119" s="75"/>
      <c r="D2119" s="75"/>
      <c r="E2119" s="75"/>
      <c r="F2119" s="75"/>
      <c r="G2119" s="75"/>
      <c r="H2119" s="75"/>
      <c r="I2119" s="75"/>
      <c r="J2119" s="191"/>
    </row>
    <row r="2120">
      <c r="A2120" s="148"/>
      <c r="B2120" s="75"/>
      <c r="C2120" s="75"/>
      <c r="D2120" s="75"/>
      <c r="E2120" s="75"/>
      <c r="F2120" s="75"/>
      <c r="G2120" s="75"/>
      <c r="H2120" s="75"/>
      <c r="I2120" s="75"/>
      <c r="J2120" s="191"/>
    </row>
    <row r="2121">
      <c r="A2121" s="148"/>
      <c r="B2121" s="75"/>
      <c r="C2121" s="75"/>
      <c r="D2121" s="75"/>
      <c r="E2121" s="75"/>
      <c r="F2121" s="75"/>
      <c r="G2121" s="75"/>
      <c r="H2121" s="75"/>
      <c r="I2121" s="75"/>
      <c r="J2121" s="191"/>
    </row>
    <row r="2122">
      <c r="A2122" s="148"/>
      <c r="B2122" s="75"/>
      <c r="C2122" s="75"/>
      <c r="D2122" s="75"/>
      <c r="E2122" s="75"/>
      <c r="F2122" s="75"/>
      <c r="G2122" s="75"/>
      <c r="H2122" s="75"/>
      <c r="I2122" s="75"/>
      <c r="J2122" s="191"/>
    </row>
    <row r="2123">
      <c r="A2123" s="148"/>
      <c r="B2123" s="75"/>
      <c r="C2123" s="75"/>
      <c r="D2123" s="75"/>
      <c r="E2123" s="75"/>
      <c r="F2123" s="75"/>
      <c r="G2123" s="75"/>
      <c r="H2123" s="75"/>
      <c r="I2123" s="75"/>
      <c r="J2123" s="191"/>
    </row>
    <row r="2124">
      <c r="A2124" s="148"/>
      <c r="B2124" s="75"/>
      <c r="C2124" s="75"/>
      <c r="D2124" s="75"/>
      <c r="E2124" s="75"/>
      <c r="F2124" s="75"/>
      <c r="G2124" s="75"/>
      <c r="H2124" s="75"/>
      <c r="I2124" s="75"/>
      <c r="J2124" s="191"/>
    </row>
    <row r="2125">
      <c r="A2125" s="148"/>
      <c r="B2125" s="75"/>
      <c r="C2125" s="75"/>
      <c r="D2125" s="75"/>
      <c r="E2125" s="75"/>
      <c r="F2125" s="75"/>
      <c r="G2125" s="75"/>
      <c r="H2125" s="75"/>
      <c r="I2125" s="75"/>
      <c r="J2125" s="191"/>
    </row>
    <row r="2126">
      <c r="A2126" s="148"/>
      <c r="B2126" s="75"/>
      <c r="C2126" s="75"/>
      <c r="D2126" s="75"/>
      <c r="E2126" s="75"/>
      <c r="F2126" s="75"/>
      <c r="G2126" s="75"/>
      <c r="H2126" s="75"/>
      <c r="I2126" s="75"/>
      <c r="J2126" s="191"/>
    </row>
    <row r="2127">
      <c r="A2127" s="148"/>
      <c r="B2127" s="75"/>
      <c r="C2127" s="75"/>
      <c r="D2127" s="75"/>
      <c r="E2127" s="75"/>
      <c r="F2127" s="75"/>
      <c r="G2127" s="75"/>
      <c r="H2127" s="75"/>
      <c r="I2127" s="75"/>
      <c r="J2127" s="191"/>
    </row>
    <row r="2128">
      <c r="A2128" s="148"/>
      <c r="B2128" s="75"/>
      <c r="C2128" s="75"/>
      <c r="D2128" s="75"/>
      <c r="E2128" s="75"/>
      <c r="F2128" s="75"/>
      <c r="G2128" s="75"/>
      <c r="H2128" s="75"/>
      <c r="I2128" s="75"/>
      <c r="J2128" s="191"/>
    </row>
    <row r="2129">
      <c r="A2129" s="148"/>
      <c r="B2129" s="75"/>
      <c r="C2129" s="75"/>
      <c r="D2129" s="75"/>
      <c r="E2129" s="75"/>
      <c r="F2129" s="75"/>
      <c r="G2129" s="75"/>
      <c r="H2129" s="75"/>
      <c r="I2129" s="75"/>
      <c r="J2129" s="191"/>
    </row>
    <row r="2130">
      <c r="A2130" s="148"/>
      <c r="B2130" s="75"/>
      <c r="C2130" s="75"/>
      <c r="D2130" s="75"/>
      <c r="E2130" s="75"/>
      <c r="F2130" s="75"/>
      <c r="G2130" s="75"/>
      <c r="H2130" s="75"/>
      <c r="I2130" s="75"/>
      <c r="J2130" s="191"/>
    </row>
    <row r="2131">
      <c r="A2131" s="148"/>
      <c r="B2131" s="75"/>
      <c r="C2131" s="75"/>
      <c r="D2131" s="75"/>
      <c r="E2131" s="75"/>
      <c r="F2131" s="75"/>
      <c r="G2131" s="75"/>
      <c r="H2131" s="75"/>
      <c r="I2131" s="75"/>
      <c r="J2131" s="191"/>
    </row>
    <row r="2132">
      <c r="A2132" s="148"/>
      <c r="B2132" s="75"/>
      <c r="C2132" s="75"/>
      <c r="D2132" s="75"/>
      <c r="E2132" s="75"/>
      <c r="F2132" s="75"/>
      <c r="G2132" s="75"/>
      <c r="H2132" s="75"/>
      <c r="I2132" s="75"/>
      <c r="J2132" s="191"/>
    </row>
    <row r="2133">
      <c r="A2133" s="148"/>
      <c r="B2133" s="75"/>
      <c r="C2133" s="75"/>
      <c r="D2133" s="75"/>
      <c r="E2133" s="75"/>
      <c r="F2133" s="75"/>
      <c r="G2133" s="75"/>
      <c r="H2133" s="75"/>
      <c r="I2133" s="75"/>
      <c r="J2133" s="191"/>
    </row>
    <row r="2134">
      <c r="A2134" s="148"/>
      <c r="B2134" s="75"/>
      <c r="C2134" s="75"/>
      <c r="D2134" s="75"/>
      <c r="E2134" s="75"/>
      <c r="F2134" s="75"/>
      <c r="G2134" s="75"/>
      <c r="H2134" s="75"/>
      <c r="I2134" s="75"/>
      <c r="J2134" s="191"/>
    </row>
    <row r="2135">
      <c r="A2135" s="148"/>
      <c r="B2135" s="75"/>
      <c r="C2135" s="75"/>
      <c r="D2135" s="75"/>
      <c r="E2135" s="75"/>
      <c r="F2135" s="75"/>
      <c r="G2135" s="75"/>
      <c r="H2135" s="75"/>
      <c r="I2135" s="75"/>
      <c r="J2135" s="191"/>
    </row>
    <row r="2136">
      <c r="A2136" s="148"/>
      <c r="B2136" s="75"/>
      <c r="C2136" s="75"/>
      <c r="D2136" s="75"/>
      <c r="E2136" s="75"/>
      <c r="F2136" s="75"/>
      <c r="G2136" s="75"/>
      <c r="H2136" s="75"/>
      <c r="I2136" s="75"/>
      <c r="J2136" s="191"/>
    </row>
    <row r="2137">
      <c r="A2137" s="148"/>
      <c r="B2137" s="75"/>
      <c r="C2137" s="75"/>
      <c r="D2137" s="75"/>
      <c r="E2137" s="75"/>
      <c r="F2137" s="75"/>
      <c r="G2137" s="75"/>
      <c r="H2137" s="75"/>
      <c r="I2137" s="75"/>
      <c r="J2137" s="191"/>
    </row>
    <row r="2138">
      <c r="A2138" s="148"/>
      <c r="B2138" s="75"/>
      <c r="C2138" s="75"/>
      <c r="D2138" s="75"/>
      <c r="E2138" s="75"/>
      <c r="F2138" s="75"/>
      <c r="G2138" s="75"/>
      <c r="H2138" s="75"/>
      <c r="I2138" s="75"/>
      <c r="J2138" s="191"/>
    </row>
    <row r="2139">
      <c r="A2139" s="148"/>
      <c r="B2139" s="75"/>
      <c r="C2139" s="75"/>
      <c r="D2139" s="75"/>
      <c r="E2139" s="75"/>
      <c r="F2139" s="75"/>
      <c r="G2139" s="75"/>
      <c r="H2139" s="75"/>
      <c r="I2139" s="75"/>
      <c r="J2139" s="191"/>
    </row>
    <row r="2140">
      <c r="A2140" s="148"/>
      <c r="B2140" s="75"/>
      <c r="C2140" s="75"/>
      <c r="D2140" s="75"/>
      <c r="E2140" s="75"/>
      <c r="F2140" s="75"/>
      <c r="G2140" s="75"/>
      <c r="H2140" s="75"/>
      <c r="I2140" s="75"/>
      <c r="J2140" s="191"/>
    </row>
    <row r="2141">
      <c r="A2141" s="148"/>
      <c r="B2141" s="75"/>
      <c r="C2141" s="75"/>
      <c r="D2141" s="75"/>
      <c r="E2141" s="75"/>
      <c r="F2141" s="75"/>
      <c r="G2141" s="75"/>
      <c r="H2141" s="75"/>
      <c r="I2141" s="75"/>
      <c r="J2141" s="191"/>
    </row>
    <row r="2142">
      <c r="A2142" s="148"/>
      <c r="B2142" s="75"/>
      <c r="C2142" s="75"/>
      <c r="D2142" s="75"/>
      <c r="E2142" s="75"/>
      <c r="F2142" s="75"/>
      <c r="G2142" s="75"/>
      <c r="H2142" s="75"/>
      <c r="I2142" s="75"/>
      <c r="J2142" s="191"/>
    </row>
    <row r="2143">
      <c r="A2143" s="148"/>
      <c r="B2143" s="75"/>
      <c r="C2143" s="75"/>
      <c r="D2143" s="75"/>
      <c r="E2143" s="75"/>
      <c r="F2143" s="75"/>
      <c r="G2143" s="75"/>
      <c r="H2143" s="75"/>
      <c r="I2143" s="75"/>
      <c r="J2143" s="191"/>
    </row>
    <row r="2144">
      <c r="A2144" s="148"/>
      <c r="B2144" s="75"/>
      <c r="C2144" s="75"/>
      <c r="D2144" s="75"/>
      <c r="E2144" s="75"/>
      <c r="F2144" s="75"/>
      <c r="G2144" s="75"/>
      <c r="H2144" s="75"/>
      <c r="I2144" s="75"/>
      <c r="J2144" s="191"/>
    </row>
    <row r="2145">
      <c r="A2145" s="148"/>
      <c r="B2145" s="75"/>
      <c r="C2145" s="75"/>
      <c r="D2145" s="75"/>
      <c r="E2145" s="75"/>
      <c r="F2145" s="75"/>
      <c r="G2145" s="75"/>
      <c r="H2145" s="75"/>
      <c r="I2145" s="75"/>
      <c r="J2145" s="191"/>
    </row>
    <row r="2146">
      <c r="A2146" s="148"/>
      <c r="B2146" s="75"/>
      <c r="C2146" s="75"/>
      <c r="D2146" s="75"/>
      <c r="E2146" s="75"/>
      <c r="F2146" s="75"/>
      <c r="G2146" s="75"/>
      <c r="H2146" s="75"/>
      <c r="I2146" s="75"/>
      <c r="J2146" s="191"/>
    </row>
    <row r="2147">
      <c r="A2147" s="148"/>
      <c r="B2147" s="75"/>
      <c r="C2147" s="75"/>
      <c r="D2147" s="75"/>
      <c r="E2147" s="75"/>
      <c r="F2147" s="75"/>
      <c r="G2147" s="75"/>
      <c r="H2147" s="75"/>
      <c r="I2147" s="75"/>
      <c r="J2147" s="191"/>
    </row>
    <row r="2148">
      <c r="A2148" s="148"/>
      <c r="B2148" s="75"/>
      <c r="C2148" s="75"/>
      <c r="D2148" s="75"/>
      <c r="E2148" s="75"/>
      <c r="F2148" s="75"/>
      <c r="G2148" s="75"/>
      <c r="H2148" s="75"/>
      <c r="I2148" s="75"/>
      <c r="J2148" s="191"/>
    </row>
    <row r="2149">
      <c r="A2149" s="148"/>
      <c r="B2149" s="75"/>
      <c r="C2149" s="75"/>
      <c r="D2149" s="75"/>
      <c r="E2149" s="75"/>
      <c r="F2149" s="75"/>
      <c r="G2149" s="75"/>
      <c r="H2149" s="75"/>
      <c r="I2149" s="75"/>
      <c r="J2149" s="191"/>
    </row>
    <row r="2150">
      <c r="A2150" s="148"/>
      <c r="B2150" s="75"/>
      <c r="C2150" s="75"/>
      <c r="D2150" s="75"/>
      <c r="E2150" s="75"/>
      <c r="F2150" s="75"/>
      <c r="G2150" s="75"/>
      <c r="H2150" s="75"/>
      <c r="I2150" s="75"/>
      <c r="J2150" s="191"/>
    </row>
    <row r="2151">
      <c r="A2151" s="148"/>
      <c r="B2151" s="75"/>
      <c r="C2151" s="75"/>
      <c r="D2151" s="75"/>
      <c r="E2151" s="75"/>
      <c r="F2151" s="75"/>
      <c r="G2151" s="75"/>
      <c r="H2151" s="75"/>
      <c r="I2151" s="75"/>
      <c r="J2151" s="191"/>
    </row>
    <row r="2152">
      <c r="A2152" s="148"/>
      <c r="B2152" s="75"/>
      <c r="C2152" s="75"/>
      <c r="D2152" s="75"/>
      <c r="E2152" s="75"/>
      <c r="F2152" s="75"/>
      <c r="G2152" s="75"/>
      <c r="H2152" s="75"/>
      <c r="I2152" s="75"/>
      <c r="J2152" s="191"/>
    </row>
    <row r="2153">
      <c r="A2153" s="148"/>
      <c r="B2153" s="75"/>
      <c r="C2153" s="75"/>
      <c r="D2153" s="75"/>
      <c r="E2153" s="75"/>
      <c r="F2153" s="75"/>
      <c r="G2153" s="75"/>
      <c r="H2153" s="75"/>
      <c r="I2153" s="75"/>
      <c r="J2153" s="191"/>
    </row>
    <row r="2154">
      <c r="A2154" s="148"/>
      <c r="B2154" s="75"/>
      <c r="C2154" s="75"/>
      <c r="D2154" s="75"/>
      <c r="E2154" s="75"/>
      <c r="F2154" s="75"/>
      <c r="G2154" s="75"/>
      <c r="H2154" s="75"/>
      <c r="I2154" s="75"/>
      <c r="J2154" s="191"/>
    </row>
    <row r="2155">
      <c r="A2155" s="148"/>
      <c r="B2155" s="75"/>
      <c r="C2155" s="75"/>
      <c r="D2155" s="75"/>
      <c r="E2155" s="75"/>
      <c r="F2155" s="75"/>
      <c r="G2155" s="75"/>
      <c r="H2155" s="75"/>
      <c r="I2155" s="75"/>
      <c r="J2155" s="191"/>
    </row>
    <row r="2156">
      <c r="A2156" s="148"/>
      <c r="B2156" s="75"/>
      <c r="C2156" s="75"/>
      <c r="D2156" s="75"/>
      <c r="E2156" s="75"/>
      <c r="F2156" s="75"/>
      <c r="G2156" s="75"/>
      <c r="H2156" s="75"/>
      <c r="I2156" s="75"/>
      <c r="J2156" s="191"/>
    </row>
    <row r="2157">
      <c r="A2157" s="148"/>
      <c r="B2157" s="75"/>
      <c r="C2157" s="75"/>
      <c r="D2157" s="75"/>
      <c r="E2157" s="75"/>
      <c r="F2157" s="75"/>
      <c r="G2157" s="75"/>
      <c r="H2157" s="75"/>
      <c r="I2157" s="75"/>
      <c r="J2157" s="191"/>
    </row>
    <row r="2158">
      <c r="A2158" s="148"/>
      <c r="B2158" s="75"/>
      <c r="C2158" s="75"/>
      <c r="D2158" s="75"/>
      <c r="E2158" s="75"/>
      <c r="F2158" s="75"/>
      <c r="G2158" s="75"/>
      <c r="H2158" s="75"/>
      <c r="I2158" s="75"/>
      <c r="J2158" s="191"/>
    </row>
    <row r="2159">
      <c r="A2159" s="148"/>
      <c r="B2159" s="75"/>
      <c r="C2159" s="75"/>
      <c r="D2159" s="75"/>
      <c r="E2159" s="75"/>
      <c r="F2159" s="75"/>
      <c r="G2159" s="75"/>
      <c r="H2159" s="75"/>
      <c r="I2159" s="75"/>
      <c r="J2159" s="191"/>
    </row>
    <row r="2160">
      <c r="A2160" s="148"/>
      <c r="B2160" s="75"/>
      <c r="C2160" s="75"/>
      <c r="D2160" s="75"/>
      <c r="E2160" s="75"/>
      <c r="F2160" s="75"/>
      <c r="G2160" s="75"/>
      <c r="H2160" s="75"/>
      <c r="I2160" s="75"/>
      <c r="J2160" s="191"/>
    </row>
    <row r="2161">
      <c r="A2161" s="148"/>
      <c r="B2161" s="75"/>
      <c r="C2161" s="75"/>
      <c r="D2161" s="75"/>
      <c r="E2161" s="75"/>
      <c r="F2161" s="75"/>
      <c r="G2161" s="75"/>
      <c r="H2161" s="75"/>
      <c r="I2161" s="75"/>
      <c r="J2161" s="191"/>
    </row>
    <row r="2162">
      <c r="A2162" s="148"/>
      <c r="B2162" s="75"/>
      <c r="C2162" s="75"/>
      <c r="D2162" s="75"/>
      <c r="E2162" s="75"/>
      <c r="F2162" s="75"/>
      <c r="G2162" s="75"/>
      <c r="H2162" s="75"/>
      <c r="I2162" s="75"/>
      <c r="J2162" s="191"/>
    </row>
    <row r="2163">
      <c r="A2163" s="148"/>
      <c r="B2163" s="75"/>
      <c r="C2163" s="75"/>
      <c r="D2163" s="75"/>
      <c r="E2163" s="75"/>
      <c r="F2163" s="75"/>
      <c r="G2163" s="75"/>
      <c r="H2163" s="75"/>
      <c r="I2163" s="75"/>
      <c r="J2163" s="191"/>
    </row>
    <row r="2164">
      <c r="A2164" s="148"/>
      <c r="B2164" s="75"/>
      <c r="C2164" s="75"/>
      <c r="D2164" s="75"/>
      <c r="E2164" s="75"/>
      <c r="F2164" s="75"/>
      <c r="G2164" s="75"/>
      <c r="H2164" s="75"/>
      <c r="I2164" s="75"/>
      <c r="J2164" s="191"/>
    </row>
    <row r="2165">
      <c r="A2165" s="148"/>
      <c r="B2165" s="75"/>
      <c r="C2165" s="75"/>
      <c r="D2165" s="75"/>
      <c r="E2165" s="75"/>
      <c r="F2165" s="75"/>
      <c r="G2165" s="75"/>
      <c r="H2165" s="75"/>
      <c r="I2165" s="75"/>
      <c r="J2165" s="191"/>
    </row>
    <row r="2166">
      <c r="A2166" s="148"/>
      <c r="B2166" s="75"/>
      <c r="C2166" s="75"/>
      <c r="D2166" s="75"/>
      <c r="E2166" s="75"/>
      <c r="F2166" s="75"/>
      <c r="G2166" s="75"/>
      <c r="H2166" s="75"/>
      <c r="I2166" s="75"/>
      <c r="J2166" s="191"/>
    </row>
    <row r="2167">
      <c r="A2167" s="148"/>
      <c r="B2167" s="75"/>
      <c r="C2167" s="75"/>
      <c r="D2167" s="75"/>
      <c r="E2167" s="75"/>
      <c r="F2167" s="75"/>
      <c r="G2167" s="75"/>
      <c r="H2167" s="75"/>
      <c r="I2167" s="75"/>
      <c r="J2167" s="191"/>
    </row>
    <row r="2168">
      <c r="A2168" s="148"/>
      <c r="B2168" s="75"/>
      <c r="C2168" s="75"/>
      <c r="D2168" s="75"/>
      <c r="E2168" s="75"/>
      <c r="F2168" s="75"/>
      <c r="G2168" s="75"/>
      <c r="H2168" s="75"/>
      <c r="I2168" s="75"/>
      <c r="J2168" s="191"/>
    </row>
    <row r="2169">
      <c r="A2169" s="148"/>
      <c r="B2169" s="75"/>
      <c r="C2169" s="75"/>
      <c r="D2169" s="75"/>
      <c r="E2169" s="75"/>
      <c r="F2169" s="75"/>
      <c r="G2169" s="75"/>
      <c r="H2169" s="75"/>
      <c r="I2169" s="75"/>
      <c r="J2169" s="191"/>
    </row>
    <row r="2170">
      <c r="A2170" s="148"/>
      <c r="B2170" s="75"/>
      <c r="C2170" s="75"/>
      <c r="D2170" s="75"/>
      <c r="E2170" s="75"/>
      <c r="F2170" s="75"/>
      <c r="G2170" s="75"/>
      <c r="H2170" s="75"/>
      <c r="I2170" s="75"/>
      <c r="J2170" s="191"/>
    </row>
    <row r="2171">
      <c r="A2171" s="148"/>
      <c r="B2171" s="75"/>
      <c r="C2171" s="75"/>
      <c r="D2171" s="75"/>
      <c r="E2171" s="75"/>
      <c r="F2171" s="75"/>
      <c r="G2171" s="75"/>
      <c r="H2171" s="75"/>
      <c r="I2171" s="75"/>
      <c r="J2171" s="191"/>
    </row>
    <row r="2172">
      <c r="A2172" s="148"/>
      <c r="B2172" s="75"/>
      <c r="C2172" s="75"/>
      <c r="D2172" s="75"/>
      <c r="E2172" s="75"/>
      <c r="F2172" s="75"/>
      <c r="G2172" s="75"/>
      <c r="H2172" s="75"/>
      <c r="I2172" s="75"/>
      <c r="J2172" s="191"/>
    </row>
    <row r="2173">
      <c r="A2173" s="148"/>
      <c r="B2173" s="75"/>
      <c r="C2173" s="75"/>
      <c r="D2173" s="75"/>
      <c r="E2173" s="75"/>
      <c r="F2173" s="75"/>
      <c r="G2173" s="75"/>
      <c r="H2173" s="75"/>
      <c r="I2173" s="75"/>
      <c r="J2173" s="191"/>
    </row>
    <row r="2174">
      <c r="A2174" s="148"/>
      <c r="B2174" s="75"/>
      <c r="C2174" s="75"/>
      <c r="D2174" s="75"/>
      <c r="E2174" s="75"/>
      <c r="F2174" s="75"/>
      <c r="G2174" s="75"/>
      <c r="H2174" s="75"/>
      <c r="I2174" s="75"/>
      <c r="J2174" s="191"/>
    </row>
    <row r="2175">
      <c r="A2175" s="148"/>
      <c r="B2175" s="75"/>
      <c r="C2175" s="75"/>
      <c r="D2175" s="75"/>
      <c r="E2175" s="75"/>
      <c r="F2175" s="75"/>
      <c r="G2175" s="75"/>
      <c r="H2175" s="75"/>
      <c r="I2175" s="75"/>
      <c r="J2175" s="191"/>
    </row>
    <row r="2176">
      <c r="A2176" s="148"/>
      <c r="B2176" s="75"/>
      <c r="C2176" s="75"/>
      <c r="D2176" s="75"/>
      <c r="E2176" s="75"/>
      <c r="F2176" s="75"/>
      <c r="G2176" s="75"/>
      <c r="H2176" s="75"/>
      <c r="I2176" s="75"/>
      <c r="J2176" s="191"/>
    </row>
    <row r="2177">
      <c r="A2177" s="148"/>
      <c r="B2177" s="75"/>
      <c r="C2177" s="75"/>
      <c r="D2177" s="75"/>
      <c r="E2177" s="75"/>
      <c r="F2177" s="75"/>
      <c r="G2177" s="75"/>
      <c r="H2177" s="75"/>
      <c r="I2177" s="75"/>
      <c r="J2177" s="191"/>
    </row>
    <row r="2178">
      <c r="A2178" s="148"/>
      <c r="B2178" s="75"/>
      <c r="C2178" s="75"/>
      <c r="D2178" s="75"/>
      <c r="E2178" s="75"/>
      <c r="F2178" s="75"/>
      <c r="G2178" s="75"/>
      <c r="H2178" s="75"/>
      <c r="I2178" s="75"/>
      <c r="J2178" s="191"/>
    </row>
    <row r="2179">
      <c r="A2179" s="148"/>
      <c r="B2179" s="75"/>
      <c r="C2179" s="75"/>
      <c r="D2179" s="75"/>
      <c r="E2179" s="75"/>
      <c r="F2179" s="75"/>
      <c r="G2179" s="75"/>
      <c r="H2179" s="75"/>
      <c r="I2179" s="75"/>
      <c r="J2179" s="191"/>
    </row>
    <row r="2180">
      <c r="A2180" s="148"/>
      <c r="B2180" s="75"/>
      <c r="C2180" s="75"/>
      <c r="D2180" s="75"/>
      <c r="E2180" s="75"/>
      <c r="F2180" s="75"/>
      <c r="G2180" s="75"/>
      <c r="H2180" s="75"/>
      <c r="I2180" s="75"/>
      <c r="J2180" s="191"/>
    </row>
    <row r="2181">
      <c r="A2181" s="148"/>
      <c r="B2181" s="75"/>
      <c r="C2181" s="75"/>
      <c r="D2181" s="75"/>
      <c r="E2181" s="75"/>
      <c r="F2181" s="75"/>
      <c r="G2181" s="75"/>
      <c r="H2181" s="75"/>
      <c r="I2181" s="75"/>
      <c r="J2181" s="191"/>
    </row>
    <row r="2182">
      <c r="A2182" s="148"/>
      <c r="B2182" s="75"/>
      <c r="C2182" s="75"/>
      <c r="D2182" s="75"/>
      <c r="E2182" s="75"/>
      <c r="F2182" s="75"/>
      <c r="G2182" s="75"/>
      <c r="H2182" s="75"/>
      <c r="I2182" s="75"/>
      <c r="J2182" s="191"/>
    </row>
    <row r="2183">
      <c r="A2183" s="148"/>
      <c r="B2183" s="75"/>
      <c r="C2183" s="75"/>
      <c r="D2183" s="75"/>
      <c r="E2183" s="75"/>
      <c r="F2183" s="75"/>
      <c r="G2183" s="75"/>
      <c r="H2183" s="75"/>
      <c r="I2183" s="75"/>
      <c r="J2183" s="191"/>
    </row>
    <row r="2184">
      <c r="A2184" s="148"/>
      <c r="B2184" s="75"/>
      <c r="C2184" s="75"/>
      <c r="D2184" s="75"/>
      <c r="E2184" s="75"/>
      <c r="F2184" s="75"/>
      <c r="G2184" s="75"/>
      <c r="H2184" s="75"/>
      <c r="I2184" s="75"/>
      <c r="J2184" s="191"/>
    </row>
    <row r="2185">
      <c r="A2185" s="148"/>
      <c r="B2185" s="75"/>
      <c r="C2185" s="75"/>
      <c r="D2185" s="75"/>
      <c r="E2185" s="75"/>
      <c r="F2185" s="75"/>
      <c r="G2185" s="75"/>
      <c r="H2185" s="75"/>
      <c r="I2185" s="75"/>
      <c r="J2185" s="191"/>
    </row>
    <row r="2186">
      <c r="A2186" s="148"/>
      <c r="B2186" s="75"/>
      <c r="C2186" s="75"/>
      <c r="D2186" s="75"/>
      <c r="E2186" s="75"/>
      <c r="F2186" s="75"/>
      <c r="G2186" s="75"/>
      <c r="H2186" s="75"/>
      <c r="I2186" s="75"/>
      <c r="J2186" s="191"/>
    </row>
    <row r="2187">
      <c r="A2187" s="148"/>
      <c r="B2187" s="75"/>
      <c r="C2187" s="75"/>
      <c r="D2187" s="75"/>
      <c r="E2187" s="75"/>
      <c r="F2187" s="75"/>
      <c r="G2187" s="75"/>
      <c r="H2187" s="75"/>
      <c r="I2187" s="75"/>
      <c r="J2187" s="191"/>
    </row>
    <row r="2188">
      <c r="A2188" s="148"/>
      <c r="B2188" s="75"/>
      <c r="C2188" s="75"/>
      <c r="D2188" s="75"/>
      <c r="E2188" s="75"/>
      <c r="F2188" s="75"/>
      <c r="G2188" s="75"/>
      <c r="H2188" s="75"/>
      <c r="I2188" s="75"/>
      <c r="J2188" s="191"/>
    </row>
    <row r="2189">
      <c r="A2189" s="148"/>
      <c r="B2189" s="75"/>
      <c r="C2189" s="75"/>
      <c r="D2189" s="75"/>
      <c r="E2189" s="75"/>
      <c r="F2189" s="75"/>
      <c r="G2189" s="75"/>
      <c r="H2189" s="75"/>
      <c r="I2189" s="75"/>
      <c r="J2189" s="191"/>
    </row>
    <row r="2190">
      <c r="A2190" s="148"/>
      <c r="B2190" s="75"/>
      <c r="C2190" s="75"/>
      <c r="D2190" s="75"/>
      <c r="E2190" s="75"/>
      <c r="F2190" s="75"/>
      <c r="G2190" s="75"/>
      <c r="H2190" s="75"/>
      <c r="I2190" s="75"/>
      <c r="J2190" s="191"/>
    </row>
    <row r="2191">
      <c r="A2191" s="148"/>
      <c r="B2191" s="75"/>
      <c r="C2191" s="75"/>
      <c r="D2191" s="75"/>
      <c r="E2191" s="75"/>
      <c r="F2191" s="75"/>
      <c r="G2191" s="75"/>
      <c r="H2191" s="75"/>
      <c r="I2191" s="75"/>
      <c r="J2191" s="191"/>
    </row>
    <row r="2192">
      <c r="A2192" s="148"/>
      <c r="B2192" s="75"/>
      <c r="C2192" s="75"/>
      <c r="D2192" s="75"/>
      <c r="E2192" s="75"/>
      <c r="F2192" s="75"/>
      <c r="G2192" s="75"/>
      <c r="H2192" s="75"/>
      <c r="I2192" s="75"/>
      <c r="J2192" s="191"/>
    </row>
    <row r="2193">
      <c r="A2193" s="148"/>
      <c r="B2193" s="75"/>
      <c r="C2193" s="75"/>
      <c r="D2193" s="75"/>
      <c r="E2193" s="75"/>
      <c r="F2193" s="75"/>
      <c r="G2193" s="75"/>
      <c r="H2193" s="75"/>
      <c r="I2193" s="75"/>
      <c r="J2193" s="191"/>
    </row>
    <row r="2194">
      <c r="A2194" s="148"/>
      <c r="B2194" s="75"/>
      <c r="C2194" s="75"/>
      <c r="D2194" s="75"/>
      <c r="E2194" s="75"/>
      <c r="F2194" s="75"/>
      <c r="G2194" s="75"/>
      <c r="H2194" s="75"/>
      <c r="I2194" s="75"/>
      <c r="J2194" s="191"/>
    </row>
    <row r="2195">
      <c r="A2195" s="148"/>
      <c r="B2195" s="75"/>
      <c r="C2195" s="75"/>
      <c r="D2195" s="75"/>
      <c r="E2195" s="75"/>
      <c r="F2195" s="75"/>
      <c r="G2195" s="75"/>
      <c r="H2195" s="75"/>
      <c r="I2195" s="75"/>
      <c r="J2195" s="191"/>
    </row>
    <row r="2196">
      <c r="A2196" s="148"/>
      <c r="B2196" s="75"/>
      <c r="C2196" s="75"/>
      <c r="D2196" s="75"/>
      <c r="E2196" s="75"/>
      <c r="F2196" s="75"/>
      <c r="G2196" s="75"/>
      <c r="H2196" s="75"/>
      <c r="I2196" s="75"/>
      <c r="J2196" s="191"/>
    </row>
    <row r="2197">
      <c r="A2197" s="148"/>
      <c r="B2197" s="75"/>
      <c r="C2197" s="75"/>
      <c r="D2197" s="75"/>
      <c r="E2197" s="75"/>
      <c r="F2197" s="75"/>
      <c r="G2197" s="75"/>
      <c r="H2197" s="75"/>
      <c r="I2197" s="75"/>
      <c r="J2197" s="191"/>
    </row>
    <row r="2198">
      <c r="A2198" s="148"/>
      <c r="B2198" s="75"/>
      <c r="C2198" s="75"/>
      <c r="D2198" s="75"/>
      <c r="E2198" s="75"/>
      <c r="F2198" s="75"/>
      <c r="G2198" s="75"/>
      <c r="H2198" s="75"/>
      <c r="I2198" s="75"/>
      <c r="J2198" s="191"/>
    </row>
    <row r="2199">
      <c r="A2199" s="148"/>
      <c r="B2199" s="75"/>
      <c r="C2199" s="75"/>
      <c r="D2199" s="75"/>
      <c r="E2199" s="75"/>
      <c r="F2199" s="75"/>
      <c r="G2199" s="75"/>
      <c r="H2199" s="75"/>
      <c r="I2199" s="75"/>
      <c r="J2199" s="191"/>
    </row>
    <row r="2200">
      <c r="A2200" s="148"/>
      <c r="B2200" s="75"/>
      <c r="C2200" s="75"/>
      <c r="D2200" s="75"/>
      <c r="E2200" s="75"/>
      <c r="F2200" s="75"/>
      <c r="G2200" s="75"/>
      <c r="H2200" s="75"/>
      <c r="I2200" s="75"/>
      <c r="J2200" s="191"/>
    </row>
    <row r="2201">
      <c r="A2201" s="148"/>
      <c r="B2201" s="75"/>
      <c r="C2201" s="75"/>
      <c r="D2201" s="75"/>
      <c r="E2201" s="75"/>
      <c r="F2201" s="75"/>
      <c r="G2201" s="75"/>
      <c r="H2201" s="75"/>
      <c r="I2201" s="75"/>
      <c r="J2201" s="191"/>
    </row>
    <row r="2202">
      <c r="A2202" s="148"/>
      <c r="B2202" s="75"/>
      <c r="C2202" s="75"/>
      <c r="D2202" s="75"/>
      <c r="E2202" s="75"/>
      <c r="F2202" s="75"/>
      <c r="G2202" s="75"/>
      <c r="H2202" s="75"/>
      <c r="I2202" s="75"/>
      <c r="J2202" s="191"/>
    </row>
    <row r="2203">
      <c r="A2203" s="148"/>
      <c r="B2203" s="75"/>
      <c r="C2203" s="75"/>
      <c r="D2203" s="75"/>
      <c r="E2203" s="75"/>
      <c r="F2203" s="75"/>
      <c r="G2203" s="75"/>
      <c r="H2203" s="75"/>
      <c r="I2203" s="75"/>
      <c r="J2203" s="191"/>
    </row>
    <row r="2204">
      <c r="A2204" s="148"/>
      <c r="B2204" s="75"/>
      <c r="C2204" s="75"/>
      <c r="D2204" s="75"/>
      <c r="E2204" s="75"/>
      <c r="F2204" s="75"/>
      <c r="G2204" s="75"/>
      <c r="H2204" s="75"/>
      <c r="I2204" s="75"/>
      <c r="J2204" s="191"/>
    </row>
    <row r="2205">
      <c r="A2205" s="148"/>
      <c r="B2205" s="75"/>
      <c r="C2205" s="75"/>
      <c r="D2205" s="75"/>
      <c r="E2205" s="75"/>
      <c r="F2205" s="75"/>
      <c r="G2205" s="75"/>
      <c r="H2205" s="75"/>
      <c r="I2205" s="75"/>
      <c r="J2205" s="191"/>
    </row>
    <row r="2206">
      <c r="A2206" s="148"/>
      <c r="B2206" s="75"/>
      <c r="C2206" s="75"/>
      <c r="D2206" s="75"/>
      <c r="E2206" s="75"/>
      <c r="F2206" s="75"/>
      <c r="G2206" s="75"/>
      <c r="H2206" s="75"/>
      <c r="I2206" s="75"/>
      <c r="J2206" s="191"/>
    </row>
    <row r="2207">
      <c r="A2207" s="148"/>
      <c r="B2207" s="75"/>
      <c r="C2207" s="75"/>
      <c r="D2207" s="75"/>
      <c r="E2207" s="75"/>
      <c r="F2207" s="75"/>
      <c r="G2207" s="75"/>
      <c r="H2207" s="75"/>
      <c r="I2207" s="75"/>
      <c r="J2207" s="191"/>
    </row>
    <row r="2208">
      <c r="A2208" s="148"/>
      <c r="B2208" s="75"/>
      <c r="C2208" s="75"/>
      <c r="D2208" s="75"/>
      <c r="E2208" s="75"/>
      <c r="F2208" s="75"/>
      <c r="G2208" s="75"/>
      <c r="H2208" s="75"/>
      <c r="I2208" s="75"/>
      <c r="J2208" s="191"/>
    </row>
    <row r="2209">
      <c r="A2209" s="148"/>
      <c r="B2209" s="75"/>
      <c r="C2209" s="75"/>
      <c r="D2209" s="75"/>
      <c r="E2209" s="75"/>
      <c r="F2209" s="75"/>
      <c r="G2209" s="75"/>
      <c r="H2209" s="75"/>
      <c r="I2209" s="75"/>
      <c r="J2209" s="191"/>
    </row>
    <row r="2210">
      <c r="A2210" s="148"/>
      <c r="B2210" s="75"/>
      <c r="C2210" s="75"/>
      <c r="D2210" s="75"/>
      <c r="E2210" s="75"/>
      <c r="F2210" s="75"/>
      <c r="G2210" s="75"/>
      <c r="H2210" s="75"/>
      <c r="I2210" s="75"/>
      <c r="J2210" s="191"/>
    </row>
    <row r="2211">
      <c r="A2211" s="148"/>
      <c r="B2211" s="75"/>
      <c r="C2211" s="75"/>
      <c r="D2211" s="75"/>
      <c r="E2211" s="75"/>
      <c r="F2211" s="75"/>
      <c r="G2211" s="75"/>
      <c r="H2211" s="75"/>
      <c r="I2211" s="75"/>
      <c r="J2211" s="191"/>
    </row>
    <row r="2212">
      <c r="A2212" s="148"/>
      <c r="B2212" s="75"/>
      <c r="C2212" s="75"/>
      <c r="D2212" s="75"/>
      <c r="E2212" s="75"/>
      <c r="F2212" s="75"/>
      <c r="G2212" s="75"/>
      <c r="H2212" s="75"/>
      <c r="I2212" s="75"/>
      <c r="J2212" s="191"/>
    </row>
  </sheetData>
  <autoFilter ref="$A$1:$L$1277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2.25"/>
    <col customWidth="1" min="3" max="3" width="9.88"/>
    <col customWidth="1" min="4" max="4" width="11.25"/>
    <col customWidth="1" min="5" max="6" width="12.75"/>
    <col customWidth="1" min="7" max="7" width="11.88"/>
    <col customWidth="1" min="8" max="8" width="15.63"/>
    <col customWidth="1" min="9" max="9" width="10.13"/>
    <col customWidth="1" min="10" max="11" width="31.0"/>
    <col customWidth="1" min="13" max="13" width="16.0"/>
  </cols>
  <sheetData>
    <row r="1">
      <c r="A1" s="143" t="s">
        <v>199</v>
      </c>
      <c r="B1" s="143" t="s">
        <v>209</v>
      </c>
      <c r="C1" s="143" t="s">
        <v>71</v>
      </c>
      <c r="D1" s="143" t="s">
        <v>200</v>
      </c>
      <c r="E1" s="143" t="s">
        <v>201</v>
      </c>
      <c r="F1" s="143" t="s">
        <v>202</v>
      </c>
      <c r="G1" s="143" t="s">
        <v>203</v>
      </c>
      <c r="H1" s="143" t="s">
        <v>204</v>
      </c>
      <c r="I1" s="143" t="s">
        <v>206</v>
      </c>
      <c r="J1" s="151" t="s">
        <v>205</v>
      </c>
      <c r="K1" s="145" t="s">
        <v>207</v>
      </c>
    </row>
    <row r="2">
      <c r="A2" s="153">
        <v>1.0</v>
      </c>
      <c r="B2" s="154"/>
      <c r="C2" s="154" t="s">
        <v>208</v>
      </c>
      <c r="D2" s="154" t="s">
        <v>208</v>
      </c>
      <c r="E2" s="154" t="s">
        <v>208</v>
      </c>
      <c r="F2" s="154" t="s">
        <v>208</v>
      </c>
      <c r="G2" s="154" t="s">
        <v>208</v>
      </c>
      <c r="H2" s="155"/>
      <c r="I2" s="155"/>
      <c r="J2" s="155"/>
      <c r="K2" s="147"/>
      <c r="L2" s="148"/>
      <c r="M2" s="138" t="s">
        <v>213</v>
      </c>
      <c r="N2" s="139">
        <f>COUNTIF(B1:B1285,"V")</f>
        <v>3</v>
      </c>
    </row>
    <row r="3">
      <c r="A3" s="153">
        <v>2.0</v>
      </c>
      <c r="B3" s="154"/>
      <c r="C3" s="154" t="s">
        <v>208</v>
      </c>
      <c r="D3" s="154" t="s">
        <v>208</v>
      </c>
      <c r="E3" s="154" t="s">
        <v>208</v>
      </c>
      <c r="F3" s="154" t="s">
        <v>208</v>
      </c>
      <c r="G3" s="154" t="s">
        <v>208</v>
      </c>
      <c r="H3" s="155"/>
      <c r="I3" s="155"/>
      <c r="J3" s="155"/>
      <c r="K3" s="147"/>
      <c r="L3" s="148"/>
      <c r="M3" s="138" t="s">
        <v>71</v>
      </c>
      <c r="N3" s="139">
        <f>COUNTIF(C2:C1285,"V")</f>
        <v>1030</v>
      </c>
    </row>
    <row r="4">
      <c r="A4" s="153">
        <v>3.0</v>
      </c>
      <c r="B4" s="154"/>
      <c r="C4" s="154" t="s">
        <v>208</v>
      </c>
      <c r="D4" s="154" t="s">
        <v>208</v>
      </c>
      <c r="E4" s="154" t="s">
        <v>208</v>
      </c>
      <c r="F4" s="154" t="s">
        <v>208</v>
      </c>
      <c r="G4" s="154" t="s">
        <v>208</v>
      </c>
      <c r="H4" s="155"/>
      <c r="I4" s="155"/>
      <c r="J4" s="155"/>
      <c r="K4" s="147"/>
      <c r="L4" s="148"/>
      <c r="M4" s="138" t="s">
        <v>50</v>
      </c>
      <c r="N4" s="139">
        <f>COUNTIF(D2:D1285,"V")</f>
        <v>1083</v>
      </c>
    </row>
    <row r="5">
      <c r="A5" s="153">
        <v>4.0</v>
      </c>
      <c r="B5" s="154"/>
      <c r="C5" s="154" t="s">
        <v>208</v>
      </c>
      <c r="D5" s="154" t="s">
        <v>208</v>
      </c>
      <c r="E5" s="154" t="s">
        <v>208</v>
      </c>
      <c r="F5" s="154" t="s">
        <v>208</v>
      </c>
      <c r="G5" s="154" t="s">
        <v>208</v>
      </c>
      <c r="H5" s="155"/>
      <c r="I5" s="155"/>
      <c r="J5" s="155"/>
      <c r="K5" s="147"/>
      <c r="L5" s="148"/>
      <c r="M5" s="138" t="s">
        <v>66</v>
      </c>
      <c r="N5" s="139">
        <f>COUNTIF(E2:E1285,"V")</f>
        <v>1054</v>
      </c>
      <c r="O5" s="162">
        <v>35.0</v>
      </c>
    </row>
    <row r="6">
      <c r="A6" s="153">
        <v>5.0</v>
      </c>
      <c r="B6" s="154"/>
      <c r="C6" s="154" t="s">
        <v>208</v>
      </c>
      <c r="D6" s="154" t="s">
        <v>208</v>
      </c>
      <c r="E6" s="154" t="s">
        <v>208</v>
      </c>
      <c r="F6" s="154" t="s">
        <v>208</v>
      </c>
      <c r="G6" s="154" t="s">
        <v>208</v>
      </c>
      <c r="H6" s="155"/>
      <c r="I6" s="155"/>
      <c r="J6" s="155"/>
      <c r="K6" s="147"/>
      <c r="L6" s="148"/>
      <c r="M6" s="138" t="s">
        <v>74</v>
      </c>
      <c r="N6" s="139">
        <f>COUNTIF(F2:F1285,"V")</f>
        <v>1122</v>
      </c>
    </row>
    <row r="7">
      <c r="A7" s="153">
        <v>6.0</v>
      </c>
      <c r="B7" s="154"/>
      <c r="C7" s="154" t="s">
        <v>208</v>
      </c>
      <c r="D7" s="154" t="s">
        <v>208</v>
      </c>
      <c r="E7" s="154" t="s">
        <v>208</v>
      </c>
      <c r="F7" s="154" t="s">
        <v>208</v>
      </c>
      <c r="G7" s="154" t="s">
        <v>208</v>
      </c>
      <c r="H7" s="155"/>
      <c r="I7" s="155"/>
      <c r="J7" s="155"/>
      <c r="K7" s="147"/>
      <c r="L7" s="148"/>
      <c r="M7" s="138" t="s">
        <v>75</v>
      </c>
      <c r="N7" s="139">
        <f>COUNTIF(G2:G1285,"V")</f>
        <v>1041</v>
      </c>
    </row>
    <row r="8">
      <c r="A8" s="153">
        <v>7.0</v>
      </c>
      <c r="B8" s="154"/>
      <c r="C8" s="154" t="s">
        <v>208</v>
      </c>
      <c r="D8" s="154" t="s">
        <v>208</v>
      </c>
      <c r="E8" s="154" t="s">
        <v>208</v>
      </c>
      <c r="F8" s="154" t="s">
        <v>208</v>
      </c>
      <c r="G8" s="154" t="s">
        <v>208</v>
      </c>
      <c r="H8" s="155"/>
      <c r="I8" s="155"/>
      <c r="J8" s="155"/>
      <c r="K8" s="147"/>
      <c r="L8" s="148"/>
      <c r="M8" s="138" t="s">
        <v>211</v>
      </c>
      <c r="N8" s="139">
        <f>COUNTIF(H2:H1285,"V")</f>
        <v>93</v>
      </c>
      <c r="O8" s="139">
        <v>17.0</v>
      </c>
      <c r="P8" s="140">
        <f>N8+O8</f>
        <v>110</v>
      </c>
    </row>
    <row r="9">
      <c r="A9" s="153">
        <v>8.0</v>
      </c>
      <c r="B9" s="154"/>
      <c r="C9" s="154" t="s">
        <v>208</v>
      </c>
      <c r="D9" s="154" t="s">
        <v>208</v>
      </c>
      <c r="E9" s="154" t="s">
        <v>208</v>
      </c>
      <c r="F9" s="154" t="s">
        <v>208</v>
      </c>
      <c r="G9" s="154" t="s">
        <v>208</v>
      </c>
      <c r="H9" s="155"/>
      <c r="I9" s="155"/>
      <c r="J9" s="155"/>
      <c r="K9" s="147"/>
      <c r="M9" s="138" t="s">
        <v>198</v>
      </c>
      <c r="N9" s="139">
        <f>COUNTIF(I2:I1285,"V")</f>
        <v>31</v>
      </c>
    </row>
    <row r="10">
      <c r="A10" s="153">
        <v>9.0</v>
      </c>
      <c r="B10" s="154"/>
      <c r="C10" s="154" t="s">
        <v>208</v>
      </c>
      <c r="D10" s="154" t="s">
        <v>208</v>
      </c>
      <c r="E10" s="154" t="s">
        <v>208</v>
      </c>
      <c r="F10" s="154" t="s">
        <v>208</v>
      </c>
      <c r="G10" s="154" t="s">
        <v>208</v>
      </c>
      <c r="H10" s="155"/>
      <c r="I10" s="155"/>
      <c r="J10" s="155"/>
      <c r="K10" s="147"/>
      <c r="M10" s="138" t="s">
        <v>217</v>
      </c>
      <c r="N10" s="139">
        <f>COUNTIF(J2:J1285,"MEJA KOSONG")</f>
        <v>90</v>
      </c>
    </row>
    <row r="11">
      <c r="A11" s="153">
        <v>10.0</v>
      </c>
      <c r="B11" s="154"/>
      <c r="C11" s="154" t="s">
        <v>208</v>
      </c>
      <c r="D11" s="154" t="s">
        <v>208</v>
      </c>
      <c r="E11" s="154" t="s">
        <v>208</v>
      </c>
      <c r="F11" s="154" t="s">
        <v>208</v>
      </c>
      <c r="G11" s="154" t="s">
        <v>208</v>
      </c>
      <c r="H11" s="155"/>
      <c r="I11" s="155"/>
      <c r="J11" s="155"/>
      <c r="K11" s="147"/>
      <c r="M11" s="138" t="s">
        <v>218</v>
      </c>
      <c r="N11" s="139">
        <f>COUNTIF(B2:I1285,"PRIBADI")</f>
        <v>67</v>
      </c>
    </row>
    <row r="12">
      <c r="A12" s="153">
        <v>11.0</v>
      </c>
      <c r="B12" s="154"/>
      <c r="C12" s="154" t="s">
        <v>208</v>
      </c>
      <c r="D12" s="154" t="s">
        <v>208</v>
      </c>
      <c r="E12" s="154" t="s">
        <v>208</v>
      </c>
      <c r="F12" s="154" t="s">
        <v>208</v>
      </c>
      <c r="G12" s="154" t="s">
        <v>208</v>
      </c>
      <c r="H12" s="155"/>
      <c r="I12" s="155"/>
      <c r="J12" s="155"/>
      <c r="K12" s="147"/>
    </row>
    <row r="13">
      <c r="A13" s="153">
        <v>12.0</v>
      </c>
      <c r="B13" s="154"/>
      <c r="C13" s="154" t="s">
        <v>208</v>
      </c>
      <c r="D13" s="154" t="s">
        <v>208</v>
      </c>
      <c r="E13" s="154" t="s">
        <v>208</v>
      </c>
      <c r="F13" s="154" t="s">
        <v>208</v>
      </c>
      <c r="G13" s="154" t="s">
        <v>208</v>
      </c>
      <c r="H13" s="155"/>
      <c r="I13" s="155"/>
      <c r="J13" s="155"/>
      <c r="K13" s="147"/>
    </row>
    <row r="14">
      <c r="A14" s="153">
        <v>13.0</v>
      </c>
      <c r="B14" s="154"/>
      <c r="C14" s="154" t="s">
        <v>208</v>
      </c>
      <c r="D14" s="154" t="s">
        <v>208</v>
      </c>
      <c r="E14" s="154" t="s">
        <v>208</v>
      </c>
      <c r="F14" s="154" t="s">
        <v>208</v>
      </c>
      <c r="G14" s="154" t="s">
        <v>208</v>
      </c>
      <c r="H14" s="155"/>
      <c r="I14" s="155"/>
      <c r="J14" s="155"/>
      <c r="K14" s="147"/>
    </row>
    <row r="15">
      <c r="A15" s="153">
        <v>14.0</v>
      </c>
      <c r="B15" s="154"/>
      <c r="C15" s="154"/>
      <c r="D15" s="154" t="s">
        <v>208</v>
      </c>
      <c r="E15" s="154" t="s">
        <v>208</v>
      </c>
      <c r="F15" s="154" t="s">
        <v>208</v>
      </c>
      <c r="G15" s="155"/>
      <c r="H15" s="154" t="s">
        <v>208</v>
      </c>
      <c r="I15" s="155"/>
      <c r="J15" s="155"/>
      <c r="K15" s="147"/>
    </row>
    <row r="16">
      <c r="A16" s="153">
        <v>15.0</v>
      </c>
      <c r="B16" s="154"/>
      <c r="C16" s="154" t="s">
        <v>208</v>
      </c>
      <c r="D16" s="154" t="s">
        <v>208</v>
      </c>
      <c r="E16" s="154" t="s">
        <v>208</v>
      </c>
      <c r="F16" s="154" t="s">
        <v>208</v>
      </c>
      <c r="G16" s="154" t="s">
        <v>208</v>
      </c>
      <c r="H16" s="155"/>
      <c r="I16" s="155"/>
      <c r="J16" s="155"/>
      <c r="K16" s="147"/>
    </row>
    <row r="17">
      <c r="A17" s="153">
        <v>16.0</v>
      </c>
      <c r="B17" s="154"/>
      <c r="C17" s="154" t="s">
        <v>208</v>
      </c>
      <c r="D17" s="154" t="s">
        <v>208</v>
      </c>
      <c r="E17" s="154" t="s">
        <v>208</v>
      </c>
      <c r="F17" s="154" t="s">
        <v>208</v>
      </c>
      <c r="G17" s="154" t="s">
        <v>208</v>
      </c>
      <c r="H17" s="155"/>
      <c r="I17" s="155"/>
      <c r="J17" s="155"/>
      <c r="K17" s="147"/>
    </row>
    <row r="18">
      <c r="A18" s="153">
        <v>17.0</v>
      </c>
      <c r="B18" s="154"/>
      <c r="C18" s="154" t="s">
        <v>208</v>
      </c>
      <c r="D18" s="154" t="s">
        <v>208</v>
      </c>
      <c r="E18" s="154"/>
      <c r="F18" s="154" t="s">
        <v>208</v>
      </c>
      <c r="G18" s="154" t="s">
        <v>208</v>
      </c>
      <c r="H18" s="155"/>
      <c r="I18" s="155"/>
      <c r="J18" s="155"/>
      <c r="K18" s="147"/>
    </row>
    <row r="19">
      <c r="A19" s="153">
        <v>18.0</v>
      </c>
      <c r="B19" s="154"/>
      <c r="C19" s="154" t="s">
        <v>208</v>
      </c>
      <c r="D19" s="154" t="s">
        <v>208</v>
      </c>
      <c r="E19" s="154"/>
      <c r="F19" s="154" t="s">
        <v>208</v>
      </c>
      <c r="G19" s="154" t="s">
        <v>208</v>
      </c>
      <c r="H19" s="155"/>
      <c r="I19" s="155"/>
      <c r="J19" s="155"/>
      <c r="K19" s="147"/>
    </row>
    <row r="20">
      <c r="A20" s="153">
        <v>19.0</v>
      </c>
      <c r="B20" s="154"/>
      <c r="C20" s="154" t="s">
        <v>208</v>
      </c>
      <c r="D20" s="154" t="s">
        <v>208</v>
      </c>
      <c r="E20" s="154" t="s">
        <v>208</v>
      </c>
      <c r="F20" s="154" t="s">
        <v>208</v>
      </c>
      <c r="G20" s="154" t="s">
        <v>208</v>
      </c>
      <c r="H20" s="155"/>
      <c r="I20" s="155"/>
      <c r="J20" s="155"/>
      <c r="K20" s="147"/>
    </row>
    <row r="21">
      <c r="A21" s="153">
        <v>20.0</v>
      </c>
      <c r="B21" s="154"/>
      <c r="C21" s="154" t="s">
        <v>208</v>
      </c>
      <c r="D21" s="154" t="s">
        <v>208</v>
      </c>
      <c r="E21" s="154" t="s">
        <v>208</v>
      </c>
      <c r="F21" s="154" t="s">
        <v>208</v>
      </c>
      <c r="G21" s="154" t="s">
        <v>208</v>
      </c>
      <c r="H21" s="155"/>
      <c r="I21" s="155"/>
      <c r="J21" s="155"/>
      <c r="K21" s="147"/>
    </row>
    <row r="22">
      <c r="A22" s="153">
        <v>21.0</v>
      </c>
      <c r="B22" s="154"/>
      <c r="C22" s="154" t="s">
        <v>208</v>
      </c>
      <c r="D22" s="154" t="s">
        <v>208</v>
      </c>
      <c r="E22" s="154" t="s">
        <v>208</v>
      </c>
      <c r="F22" s="154" t="s">
        <v>208</v>
      </c>
      <c r="G22" s="154" t="s">
        <v>208</v>
      </c>
      <c r="H22" s="155"/>
      <c r="I22" s="155"/>
      <c r="J22" s="155"/>
      <c r="K22" s="147"/>
    </row>
    <row r="23">
      <c r="A23" s="153">
        <v>22.0</v>
      </c>
      <c r="B23" s="154"/>
      <c r="C23" s="154" t="s">
        <v>208</v>
      </c>
      <c r="D23" s="154" t="s">
        <v>208</v>
      </c>
      <c r="E23" s="154" t="s">
        <v>208</v>
      </c>
      <c r="F23" s="154" t="s">
        <v>208</v>
      </c>
      <c r="G23" s="154" t="s">
        <v>208</v>
      </c>
      <c r="H23" s="155"/>
      <c r="I23" s="155"/>
      <c r="J23" s="155"/>
      <c r="K23" s="147"/>
    </row>
    <row r="24">
      <c r="A24" s="153">
        <v>23.0</v>
      </c>
      <c r="B24" s="154"/>
      <c r="C24" s="154" t="s">
        <v>208</v>
      </c>
      <c r="D24" s="154" t="s">
        <v>208</v>
      </c>
      <c r="E24" s="154" t="s">
        <v>208</v>
      </c>
      <c r="F24" s="154" t="s">
        <v>208</v>
      </c>
      <c r="G24" s="154" t="s">
        <v>208</v>
      </c>
      <c r="H24" s="155"/>
      <c r="I24" s="155"/>
      <c r="J24" s="155"/>
      <c r="K24" s="147"/>
    </row>
    <row r="25">
      <c r="A25" s="153">
        <v>24.0</v>
      </c>
      <c r="B25" s="154"/>
      <c r="C25" s="154" t="s">
        <v>208</v>
      </c>
      <c r="D25" s="154" t="s">
        <v>208</v>
      </c>
      <c r="E25" s="154" t="s">
        <v>208</v>
      </c>
      <c r="F25" s="154" t="s">
        <v>208</v>
      </c>
      <c r="G25" s="154" t="s">
        <v>208</v>
      </c>
      <c r="H25" s="155"/>
      <c r="I25" s="155"/>
      <c r="J25" s="155"/>
      <c r="K25" s="147"/>
    </row>
    <row r="26">
      <c r="A26" s="153">
        <v>25.0</v>
      </c>
      <c r="B26" s="154"/>
      <c r="C26" s="154" t="s">
        <v>208</v>
      </c>
      <c r="D26" s="154" t="s">
        <v>208</v>
      </c>
      <c r="E26" s="154" t="s">
        <v>208</v>
      </c>
      <c r="F26" s="154" t="s">
        <v>208</v>
      </c>
      <c r="G26" s="154" t="s">
        <v>208</v>
      </c>
      <c r="H26" s="155"/>
      <c r="I26" s="155"/>
      <c r="J26" s="155"/>
      <c r="K26" s="147"/>
    </row>
    <row r="27">
      <c r="A27" s="153">
        <v>26.0</v>
      </c>
      <c r="B27" s="154"/>
      <c r="C27" s="154" t="s">
        <v>208</v>
      </c>
      <c r="D27" s="154" t="s">
        <v>208</v>
      </c>
      <c r="E27" s="154" t="s">
        <v>208</v>
      </c>
      <c r="F27" s="154" t="s">
        <v>208</v>
      </c>
      <c r="G27" s="154" t="s">
        <v>208</v>
      </c>
      <c r="H27" s="155"/>
      <c r="I27" s="155"/>
      <c r="J27" s="155"/>
      <c r="K27" s="147"/>
    </row>
    <row r="28">
      <c r="A28" s="153">
        <v>27.0</v>
      </c>
      <c r="B28" s="154"/>
      <c r="C28" s="154" t="s">
        <v>208</v>
      </c>
      <c r="D28" s="154" t="s">
        <v>208</v>
      </c>
      <c r="E28" s="154" t="s">
        <v>208</v>
      </c>
      <c r="F28" s="154" t="s">
        <v>208</v>
      </c>
      <c r="G28" s="154" t="s">
        <v>208</v>
      </c>
      <c r="H28" s="155"/>
      <c r="I28" s="155"/>
      <c r="J28" s="155"/>
      <c r="K28" s="147"/>
    </row>
    <row r="29">
      <c r="A29" s="153">
        <v>28.0</v>
      </c>
      <c r="B29" s="154"/>
      <c r="C29" s="154" t="s">
        <v>208</v>
      </c>
      <c r="D29" s="154" t="s">
        <v>208</v>
      </c>
      <c r="E29" s="154" t="s">
        <v>208</v>
      </c>
      <c r="F29" s="154" t="s">
        <v>208</v>
      </c>
      <c r="G29" s="154" t="s">
        <v>208</v>
      </c>
      <c r="H29" s="155"/>
      <c r="I29" s="155"/>
      <c r="J29" s="155"/>
      <c r="K29" s="147"/>
    </row>
    <row r="30">
      <c r="A30" s="153">
        <v>29.0</v>
      </c>
      <c r="B30" s="154"/>
      <c r="C30" s="154" t="s">
        <v>208</v>
      </c>
      <c r="D30" s="154" t="s">
        <v>208</v>
      </c>
      <c r="E30" s="154" t="s">
        <v>208</v>
      </c>
      <c r="F30" s="154" t="s">
        <v>208</v>
      </c>
      <c r="G30" s="154" t="s">
        <v>208</v>
      </c>
      <c r="H30" s="155"/>
      <c r="I30" s="155"/>
      <c r="J30" s="155"/>
      <c r="K30" s="147"/>
    </row>
    <row r="31">
      <c r="A31" s="153">
        <v>30.0</v>
      </c>
      <c r="B31" s="154"/>
      <c r="C31" s="154" t="s">
        <v>208</v>
      </c>
      <c r="D31" s="154" t="s">
        <v>208</v>
      </c>
      <c r="E31" s="154"/>
      <c r="F31" s="154" t="s">
        <v>208</v>
      </c>
      <c r="G31" s="154" t="s">
        <v>208</v>
      </c>
      <c r="H31" s="155"/>
      <c r="I31" s="155"/>
      <c r="J31" s="155"/>
      <c r="K31" s="147"/>
    </row>
    <row r="32">
      <c r="A32" s="153">
        <v>31.0</v>
      </c>
      <c r="B32" s="154"/>
      <c r="C32" s="154" t="s">
        <v>208</v>
      </c>
      <c r="D32" s="154" t="s">
        <v>208</v>
      </c>
      <c r="E32" s="154"/>
      <c r="F32" s="154" t="s">
        <v>208</v>
      </c>
      <c r="G32" s="154" t="s">
        <v>208</v>
      </c>
      <c r="H32" s="155"/>
      <c r="I32" s="155"/>
      <c r="J32" s="155"/>
      <c r="K32" s="147"/>
    </row>
    <row r="33">
      <c r="A33" s="153">
        <v>32.0</v>
      </c>
      <c r="B33" s="154"/>
      <c r="C33" s="154" t="s">
        <v>208</v>
      </c>
      <c r="D33" s="154" t="s">
        <v>208</v>
      </c>
      <c r="E33" s="154" t="s">
        <v>208</v>
      </c>
      <c r="F33" s="154" t="s">
        <v>208</v>
      </c>
      <c r="G33" s="154" t="s">
        <v>208</v>
      </c>
      <c r="H33" s="155"/>
      <c r="I33" s="155"/>
      <c r="J33" s="155"/>
      <c r="K33" s="147"/>
    </row>
    <row r="34">
      <c r="A34" s="153">
        <v>33.0</v>
      </c>
      <c r="B34" s="154"/>
      <c r="C34" s="154" t="s">
        <v>208</v>
      </c>
      <c r="D34" s="154" t="s">
        <v>208</v>
      </c>
      <c r="E34" s="154" t="s">
        <v>208</v>
      </c>
      <c r="F34" s="154" t="s">
        <v>208</v>
      </c>
      <c r="G34" s="154" t="s">
        <v>208</v>
      </c>
      <c r="H34" s="155"/>
      <c r="I34" s="155"/>
      <c r="J34" s="155"/>
      <c r="K34" s="147"/>
    </row>
    <row r="35">
      <c r="A35" s="153">
        <v>34.0</v>
      </c>
      <c r="B35" s="154"/>
      <c r="C35" s="154" t="s">
        <v>208</v>
      </c>
      <c r="D35" s="154" t="s">
        <v>208</v>
      </c>
      <c r="E35" s="154" t="s">
        <v>208</v>
      </c>
      <c r="F35" s="154" t="s">
        <v>208</v>
      </c>
      <c r="G35" s="154" t="s">
        <v>208</v>
      </c>
      <c r="H35" s="155"/>
      <c r="I35" s="155"/>
      <c r="J35" s="155"/>
      <c r="K35" s="147"/>
    </row>
    <row r="36">
      <c r="A36" s="153">
        <v>35.0</v>
      </c>
      <c r="B36" s="154"/>
      <c r="C36" s="154" t="s">
        <v>208</v>
      </c>
      <c r="D36" s="154" t="s">
        <v>208</v>
      </c>
      <c r="E36" s="154" t="s">
        <v>208</v>
      </c>
      <c r="F36" s="154" t="s">
        <v>208</v>
      </c>
      <c r="G36" s="154" t="s">
        <v>208</v>
      </c>
      <c r="H36" s="155"/>
      <c r="I36" s="155"/>
      <c r="J36" s="155"/>
      <c r="K36" s="147"/>
    </row>
    <row r="37">
      <c r="A37" s="153">
        <v>36.0</v>
      </c>
      <c r="B37" s="154"/>
      <c r="C37" s="154" t="s">
        <v>208</v>
      </c>
      <c r="D37" s="154" t="s">
        <v>208</v>
      </c>
      <c r="E37" s="154" t="s">
        <v>208</v>
      </c>
      <c r="F37" s="154" t="s">
        <v>208</v>
      </c>
      <c r="G37" s="154" t="s">
        <v>208</v>
      </c>
      <c r="H37" s="155"/>
      <c r="I37" s="155"/>
      <c r="J37" s="155"/>
      <c r="K37" s="147"/>
    </row>
    <row r="38">
      <c r="A38" s="153">
        <v>37.0</v>
      </c>
      <c r="B38" s="154"/>
      <c r="C38" s="154" t="s">
        <v>208</v>
      </c>
      <c r="D38" s="154" t="s">
        <v>208</v>
      </c>
      <c r="E38" s="154" t="s">
        <v>208</v>
      </c>
      <c r="F38" s="154" t="s">
        <v>208</v>
      </c>
      <c r="G38" s="154" t="s">
        <v>208</v>
      </c>
      <c r="H38" s="155"/>
      <c r="I38" s="155"/>
      <c r="J38" s="155"/>
      <c r="K38" s="147"/>
    </row>
    <row r="39">
      <c r="A39" s="153">
        <v>38.0</v>
      </c>
      <c r="B39" s="154"/>
      <c r="C39" s="154" t="s">
        <v>208</v>
      </c>
      <c r="D39" s="154" t="s">
        <v>208</v>
      </c>
      <c r="E39" s="154" t="s">
        <v>208</v>
      </c>
      <c r="F39" s="154" t="s">
        <v>208</v>
      </c>
      <c r="G39" s="154" t="s">
        <v>208</v>
      </c>
      <c r="H39" s="155"/>
      <c r="I39" s="155"/>
      <c r="J39" s="155"/>
      <c r="K39" s="147"/>
    </row>
    <row r="40">
      <c r="A40" s="153">
        <v>39.0</v>
      </c>
      <c r="B40" s="154"/>
      <c r="C40" s="154"/>
      <c r="D40" s="154"/>
      <c r="E40" s="154"/>
      <c r="F40" s="154"/>
      <c r="G40" s="155"/>
      <c r="H40" s="155"/>
      <c r="I40" s="155"/>
      <c r="J40" s="154" t="s">
        <v>217</v>
      </c>
      <c r="K40" s="147"/>
    </row>
    <row r="41">
      <c r="A41" s="153">
        <v>40.0</v>
      </c>
      <c r="B41" s="155"/>
      <c r="C41" s="154" t="s">
        <v>208</v>
      </c>
      <c r="D41" s="154" t="s">
        <v>208</v>
      </c>
      <c r="E41" s="154" t="s">
        <v>208</v>
      </c>
      <c r="F41" s="154" t="s">
        <v>208</v>
      </c>
      <c r="G41" s="154" t="s">
        <v>208</v>
      </c>
      <c r="H41" s="155"/>
      <c r="I41" s="155"/>
      <c r="J41" s="155"/>
      <c r="K41" s="147"/>
    </row>
    <row r="42">
      <c r="A42" s="153">
        <v>41.0</v>
      </c>
      <c r="B42" s="155"/>
      <c r="C42" s="154" t="s">
        <v>208</v>
      </c>
      <c r="D42" s="154" t="s">
        <v>208</v>
      </c>
      <c r="E42" s="154" t="s">
        <v>208</v>
      </c>
      <c r="F42" s="154" t="s">
        <v>208</v>
      </c>
      <c r="G42" s="154" t="s">
        <v>208</v>
      </c>
      <c r="H42" s="155"/>
      <c r="I42" s="155"/>
      <c r="J42" s="155"/>
      <c r="K42" s="147"/>
    </row>
    <row r="43">
      <c r="A43" s="153">
        <v>42.0</v>
      </c>
      <c r="B43" s="154"/>
      <c r="C43" s="154" t="s">
        <v>208</v>
      </c>
      <c r="D43" s="154" t="s">
        <v>208</v>
      </c>
      <c r="E43" s="154" t="s">
        <v>208</v>
      </c>
      <c r="F43" s="154" t="s">
        <v>208</v>
      </c>
      <c r="G43" s="154" t="s">
        <v>208</v>
      </c>
      <c r="H43" s="155"/>
      <c r="I43" s="155"/>
      <c r="J43" s="155"/>
      <c r="K43" s="147"/>
    </row>
    <row r="44">
      <c r="A44" s="153">
        <v>43.0</v>
      </c>
      <c r="B44" s="154"/>
      <c r="C44" s="154" t="s">
        <v>208</v>
      </c>
      <c r="D44" s="154" t="s">
        <v>208</v>
      </c>
      <c r="E44" s="154" t="s">
        <v>208</v>
      </c>
      <c r="F44" s="154" t="s">
        <v>208</v>
      </c>
      <c r="G44" s="154" t="s">
        <v>208</v>
      </c>
      <c r="H44" s="155"/>
      <c r="I44" s="155"/>
      <c r="J44" s="155"/>
      <c r="K44" s="147"/>
    </row>
    <row r="45">
      <c r="A45" s="153">
        <v>44.0</v>
      </c>
      <c r="B45" s="154"/>
      <c r="C45" s="154" t="s">
        <v>208</v>
      </c>
      <c r="D45" s="154" t="s">
        <v>208</v>
      </c>
      <c r="E45" s="154" t="s">
        <v>208</v>
      </c>
      <c r="F45" s="154" t="s">
        <v>208</v>
      </c>
      <c r="G45" s="154" t="s">
        <v>208</v>
      </c>
      <c r="H45" s="155"/>
      <c r="I45" s="155"/>
      <c r="J45" s="155"/>
      <c r="K45" s="147"/>
    </row>
    <row r="46">
      <c r="A46" s="153">
        <v>45.0</v>
      </c>
      <c r="B46" s="154"/>
      <c r="C46" s="154" t="s">
        <v>208</v>
      </c>
      <c r="D46" s="154" t="s">
        <v>208</v>
      </c>
      <c r="E46" s="154" t="s">
        <v>208</v>
      </c>
      <c r="F46" s="154" t="s">
        <v>208</v>
      </c>
      <c r="G46" s="154" t="s">
        <v>208</v>
      </c>
      <c r="H46" s="155"/>
      <c r="I46" s="155"/>
      <c r="J46" s="155"/>
      <c r="K46" s="147"/>
    </row>
    <row r="47">
      <c r="A47" s="153">
        <v>46.0</v>
      </c>
      <c r="B47" s="154"/>
      <c r="C47" s="154" t="s">
        <v>208</v>
      </c>
      <c r="D47" s="154" t="s">
        <v>208</v>
      </c>
      <c r="E47" s="154" t="s">
        <v>208</v>
      </c>
      <c r="F47" s="154" t="s">
        <v>208</v>
      </c>
      <c r="G47" s="154" t="s">
        <v>208</v>
      </c>
      <c r="H47" s="155"/>
      <c r="I47" s="155"/>
      <c r="J47" s="155"/>
      <c r="K47" s="147"/>
    </row>
    <row r="48">
      <c r="A48" s="153">
        <v>47.0</v>
      </c>
      <c r="B48" s="154"/>
      <c r="C48" s="154" t="s">
        <v>208</v>
      </c>
      <c r="D48" s="154" t="s">
        <v>208</v>
      </c>
      <c r="E48" s="154" t="s">
        <v>208</v>
      </c>
      <c r="F48" s="154" t="s">
        <v>208</v>
      </c>
      <c r="G48" s="154" t="s">
        <v>208</v>
      </c>
      <c r="H48" s="155"/>
      <c r="I48" s="155"/>
      <c r="J48" s="155"/>
      <c r="K48" s="147"/>
    </row>
    <row r="49">
      <c r="A49" s="153">
        <v>48.0</v>
      </c>
      <c r="B49" s="154"/>
      <c r="C49" s="154" t="s">
        <v>208</v>
      </c>
      <c r="D49" s="154" t="s">
        <v>208</v>
      </c>
      <c r="E49" s="154" t="s">
        <v>208</v>
      </c>
      <c r="F49" s="154" t="s">
        <v>208</v>
      </c>
      <c r="G49" s="154" t="s">
        <v>208</v>
      </c>
      <c r="H49" s="155"/>
      <c r="I49" s="155"/>
      <c r="J49" s="155"/>
      <c r="K49" s="147"/>
    </row>
    <row r="50">
      <c r="A50" s="153">
        <v>49.0</v>
      </c>
      <c r="B50" s="154"/>
      <c r="C50" s="154" t="s">
        <v>208</v>
      </c>
      <c r="D50" s="154" t="s">
        <v>208</v>
      </c>
      <c r="E50" s="154" t="s">
        <v>208</v>
      </c>
      <c r="F50" s="154" t="s">
        <v>208</v>
      </c>
      <c r="G50" s="154" t="s">
        <v>208</v>
      </c>
      <c r="H50" s="155"/>
      <c r="I50" s="155"/>
      <c r="J50" s="155"/>
      <c r="K50" s="147"/>
    </row>
    <row r="51">
      <c r="A51" s="153">
        <v>50.0</v>
      </c>
      <c r="B51" s="154"/>
      <c r="C51" s="154" t="s">
        <v>208</v>
      </c>
      <c r="D51" s="154" t="s">
        <v>208</v>
      </c>
      <c r="E51" s="154" t="s">
        <v>208</v>
      </c>
      <c r="F51" s="154" t="s">
        <v>208</v>
      </c>
      <c r="G51" s="154" t="s">
        <v>208</v>
      </c>
      <c r="H51" s="155"/>
      <c r="I51" s="155"/>
      <c r="J51" s="155"/>
      <c r="K51" s="147"/>
    </row>
    <row r="52">
      <c r="A52" s="153">
        <v>51.0</v>
      </c>
      <c r="B52" s="154"/>
      <c r="C52" s="154" t="s">
        <v>208</v>
      </c>
      <c r="D52" s="154" t="s">
        <v>208</v>
      </c>
      <c r="E52" s="154" t="s">
        <v>208</v>
      </c>
      <c r="F52" s="154" t="s">
        <v>208</v>
      </c>
      <c r="G52" s="154" t="s">
        <v>208</v>
      </c>
      <c r="H52" s="155"/>
      <c r="I52" s="155"/>
      <c r="J52" s="155"/>
      <c r="K52" s="147"/>
    </row>
    <row r="53">
      <c r="A53" s="153">
        <v>52.0</v>
      </c>
      <c r="B53" s="154"/>
      <c r="C53" s="154" t="s">
        <v>208</v>
      </c>
      <c r="D53" s="154" t="s">
        <v>208</v>
      </c>
      <c r="E53" s="154" t="s">
        <v>208</v>
      </c>
      <c r="F53" s="154" t="s">
        <v>208</v>
      </c>
      <c r="G53" s="154" t="s">
        <v>208</v>
      </c>
      <c r="H53" s="155"/>
      <c r="I53" s="155"/>
      <c r="J53" s="155"/>
      <c r="K53" s="147"/>
    </row>
    <row r="54">
      <c r="A54" s="153">
        <v>53.0</v>
      </c>
      <c r="B54" s="155"/>
      <c r="C54" s="154" t="s">
        <v>208</v>
      </c>
      <c r="D54" s="154" t="s">
        <v>218</v>
      </c>
      <c r="E54" s="154" t="s">
        <v>208</v>
      </c>
      <c r="F54" s="154" t="s">
        <v>208</v>
      </c>
      <c r="G54" s="154" t="s">
        <v>208</v>
      </c>
      <c r="H54" s="155"/>
      <c r="I54" s="155"/>
      <c r="J54" s="155"/>
      <c r="K54" s="147"/>
    </row>
    <row r="55">
      <c r="A55" s="153">
        <v>54.0</v>
      </c>
      <c r="B55" s="154"/>
      <c r="C55" s="154" t="s">
        <v>208</v>
      </c>
      <c r="D55" s="154" t="s">
        <v>218</v>
      </c>
      <c r="E55" s="154" t="s">
        <v>208</v>
      </c>
      <c r="F55" s="154" t="s">
        <v>208</v>
      </c>
      <c r="G55" s="154" t="s">
        <v>208</v>
      </c>
      <c r="H55" s="155"/>
      <c r="I55" s="155"/>
      <c r="J55" s="155"/>
      <c r="K55" s="147"/>
    </row>
    <row r="56">
      <c r="A56" s="153">
        <v>55.0</v>
      </c>
      <c r="B56" s="154"/>
      <c r="C56" s="154" t="s">
        <v>208</v>
      </c>
      <c r="D56" s="154" t="s">
        <v>208</v>
      </c>
      <c r="E56" s="154" t="s">
        <v>208</v>
      </c>
      <c r="F56" s="154" t="s">
        <v>208</v>
      </c>
      <c r="G56" s="154" t="s">
        <v>208</v>
      </c>
      <c r="H56" s="155"/>
      <c r="I56" s="155"/>
      <c r="J56" s="155"/>
      <c r="K56" s="147"/>
    </row>
    <row r="57">
      <c r="A57" s="153">
        <v>56.0</v>
      </c>
      <c r="B57" s="154"/>
      <c r="C57" s="154" t="s">
        <v>208</v>
      </c>
      <c r="D57" s="154" t="s">
        <v>218</v>
      </c>
      <c r="E57" s="154" t="s">
        <v>208</v>
      </c>
      <c r="F57" s="154" t="s">
        <v>208</v>
      </c>
      <c r="G57" s="154" t="s">
        <v>208</v>
      </c>
      <c r="H57" s="155"/>
      <c r="I57" s="155"/>
      <c r="J57" s="155"/>
      <c r="K57" s="147"/>
    </row>
    <row r="58">
      <c r="A58" s="153">
        <v>57.0</v>
      </c>
      <c r="B58" s="154"/>
      <c r="C58" s="154" t="s">
        <v>208</v>
      </c>
      <c r="D58" s="154" t="s">
        <v>218</v>
      </c>
      <c r="E58" s="154" t="s">
        <v>208</v>
      </c>
      <c r="F58" s="154" t="s">
        <v>208</v>
      </c>
      <c r="G58" s="154" t="s">
        <v>208</v>
      </c>
      <c r="H58" s="155"/>
      <c r="I58" s="155"/>
      <c r="J58" s="155"/>
      <c r="K58" s="147"/>
    </row>
    <row r="59">
      <c r="A59" s="153">
        <v>58.0</v>
      </c>
      <c r="B59" s="154"/>
      <c r="C59" s="154" t="s">
        <v>208</v>
      </c>
      <c r="D59" s="154" t="s">
        <v>208</v>
      </c>
      <c r="E59" s="154" t="s">
        <v>208</v>
      </c>
      <c r="F59" s="154" t="s">
        <v>208</v>
      </c>
      <c r="G59" s="154" t="s">
        <v>208</v>
      </c>
      <c r="H59" s="155"/>
      <c r="I59" s="155"/>
      <c r="J59" s="155"/>
      <c r="K59" s="147"/>
    </row>
    <row r="60">
      <c r="A60" s="153">
        <v>59.0</v>
      </c>
      <c r="B60" s="154"/>
      <c r="C60" s="154" t="s">
        <v>208</v>
      </c>
      <c r="D60" s="154" t="s">
        <v>208</v>
      </c>
      <c r="E60" s="154" t="s">
        <v>208</v>
      </c>
      <c r="F60" s="154" t="s">
        <v>208</v>
      </c>
      <c r="G60" s="154" t="s">
        <v>208</v>
      </c>
      <c r="H60" s="155"/>
      <c r="I60" s="155"/>
      <c r="J60" s="155"/>
      <c r="K60" s="147"/>
    </row>
    <row r="61">
      <c r="A61" s="153">
        <v>60.0</v>
      </c>
      <c r="B61" s="154"/>
      <c r="C61" s="154" t="s">
        <v>208</v>
      </c>
      <c r="D61" s="154" t="s">
        <v>208</v>
      </c>
      <c r="E61" s="154" t="s">
        <v>208</v>
      </c>
      <c r="F61" s="154" t="s">
        <v>208</v>
      </c>
      <c r="G61" s="154" t="s">
        <v>208</v>
      </c>
      <c r="H61" s="155"/>
      <c r="I61" s="155"/>
      <c r="J61" s="155"/>
      <c r="K61" s="147"/>
    </row>
    <row r="62">
      <c r="A62" s="153">
        <v>61.0</v>
      </c>
      <c r="B62" s="154"/>
      <c r="C62" s="154" t="s">
        <v>208</v>
      </c>
      <c r="D62" s="154" t="s">
        <v>208</v>
      </c>
      <c r="E62" s="154" t="s">
        <v>208</v>
      </c>
      <c r="F62" s="154" t="s">
        <v>208</v>
      </c>
      <c r="G62" s="154" t="s">
        <v>208</v>
      </c>
      <c r="H62" s="155"/>
      <c r="I62" s="155"/>
      <c r="J62" s="155"/>
      <c r="K62" s="147"/>
    </row>
    <row r="63">
      <c r="A63" s="153">
        <v>62.0</v>
      </c>
      <c r="B63" s="154"/>
      <c r="C63" s="154" t="s">
        <v>208</v>
      </c>
      <c r="D63" s="154" t="s">
        <v>208</v>
      </c>
      <c r="E63" s="154" t="s">
        <v>208</v>
      </c>
      <c r="F63" s="154" t="s">
        <v>208</v>
      </c>
      <c r="G63" s="154" t="s">
        <v>208</v>
      </c>
      <c r="H63" s="155"/>
      <c r="I63" s="155"/>
      <c r="J63" s="155"/>
      <c r="K63" s="147"/>
    </row>
    <row r="64">
      <c r="A64" s="153">
        <v>63.0</v>
      </c>
      <c r="B64" s="154"/>
      <c r="C64" s="154" t="s">
        <v>208</v>
      </c>
      <c r="D64" s="154" t="s">
        <v>208</v>
      </c>
      <c r="E64" s="154" t="s">
        <v>208</v>
      </c>
      <c r="F64" s="154" t="s">
        <v>208</v>
      </c>
      <c r="G64" s="154" t="s">
        <v>208</v>
      </c>
      <c r="H64" s="155"/>
      <c r="I64" s="155"/>
      <c r="J64" s="155"/>
      <c r="K64" s="147"/>
    </row>
    <row r="65">
      <c r="A65" s="153">
        <v>64.0</v>
      </c>
      <c r="B65" s="154"/>
      <c r="C65" s="154" t="s">
        <v>208</v>
      </c>
      <c r="D65" s="154" t="s">
        <v>208</v>
      </c>
      <c r="E65" s="154" t="s">
        <v>208</v>
      </c>
      <c r="F65" s="154" t="s">
        <v>208</v>
      </c>
      <c r="G65" s="154" t="s">
        <v>208</v>
      </c>
      <c r="H65" s="155"/>
      <c r="I65" s="155"/>
      <c r="J65" s="155"/>
      <c r="K65" s="147"/>
    </row>
    <row r="66">
      <c r="A66" s="153">
        <v>65.0</v>
      </c>
      <c r="B66" s="154"/>
      <c r="C66" s="154" t="s">
        <v>208</v>
      </c>
      <c r="D66" s="154" t="s">
        <v>208</v>
      </c>
      <c r="E66" s="154" t="s">
        <v>208</v>
      </c>
      <c r="F66" s="154" t="s">
        <v>208</v>
      </c>
      <c r="G66" s="154" t="s">
        <v>208</v>
      </c>
      <c r="H66" s="155"/>
      <c r="I66" s="155"/>
      <c r="J66" s="155"/>
      <c r="K66" s="147"/>
    </row>
    <row r="67">
      <c r="A67" s="153">
        <v>66.0</v>
      </c>
      <c r="B67" s="154"/>
      <c r="C67" s="154" t="s">
        <v>208</v>
      </c>
      <c r="D67" s="154" t="s">
        <v>218</v>
      </c>
      <c r="E67" s="154" t="s">
        <v>208</v>
      </c>
      <c r="F67" s="154" t="s">
        <v>208</v>
      </c>
      <c r="G67" s="154" t="s">
        <v>208</v>
      </c>
      <c r="H67" s="155"/>
      <c r="I67" s="155"/>
      <c r="J67" s="155"/>
      <c r="K67" s="147"/>
    </row>
    <row r="68">
      <c r="A68" s="153">
        <v>67.0</v>
      </c>
      <c r="B68" s="154"/>
      <c r="C68" s="154" t="s">
        <v>208</v>
      </c>
      <c r="D68" s="154" t="s">
        <v>208</v>
      </c>
      <c r="E68" s="154" t="s">
        <v>208</v>
      </c>
      <c r="F68" s="154" t="s">
        <v>208</v>
      </c>
      <c r="G68" s="154" t="s">
        <v>208</v>
      </c>
      <c r="H68" s="155"/>
      <c r="I68" s="155"/>
      <c r="J68" s="155"/>
      <c r="K68" s="147"/>
    </row>
    <row r="69">
      <c r="A69" s="153">
        <v>68.0</v>
      </c>
      <c r="B69" s="154"/>
      <c r="C69" s="154" t="s">
        <v>208</v>
      </c>
      <c r="D69" s="154" t="s">
        <v>208</v>
      </c>
      <c r="E69" s="154" t="s">
        <v>208</v>
      </c>
      <c r="F69" s="154" t="s">
        <v>208</v>
      </c>
      <c r="G69" s="154" t="s">
        <v>208</v>
      </c>
      <c r="H69" s="155"/>
      <c r="I69" s="155"/>
      <c r="J69" s="155"/>
      <c r="K69" s="147"/>
    </row>
    <row r="70">
      <c r="A70" s="153">
        <v>69.0</v>
      </c>
      <c r="B70" s="154"/>
      <c r="C70" s="154" t="s">
        <v>208</v>
      </c>
      <c r="D70" s="154" t="s">
        <v>208</v>
      </c>
      <c r="E70" s="154" t="s">
        <v>208</v>
      </c>
      <c r="F70" s="154" t="s">
        <v>208</v>
      </c>
      <c r="G70" s="154" t="s">
        <v>208</v>
      </c>
      <c r="H70" s="155"/>
      <c r="I70" s="155"/>
      <c r="J70" s="155"/>
      <c r="K70" s="147"/>
    </row>
    <row r="71">
      <c r="A71" s="153">
        <v>70.0</v>
      </c>
      <c r="B71" s="154"/>
      <c r="C71" s="154" t="s">
        <v>208</v>
      </c>
      <c r="D71" s="154" t="s">
        <v>208</v>
      </c>
      <c r="E71" s="154" t="s">
        <v>208</v>
      </c>
      <c r="F71" s="154" t="s">
        <v>208</v>
      </c>
      <c r="G71" s="154" t="s">
        <v>208</v>
      </c>
      <c r="H71" s="155"/>
      <c r="I71" s="155"/>
      <c r="J71" s="155"/>
      <c r="K71" s="147"/>
    </row>
    <row r="72">
      <c r="A72" s="153">
        <v>71.0</v>
      </c>
      <c r="B72" s="154"/>
      <c r="C72" s="154" t="s">
        <v>208</v>
      </c>
      <c r="D72" s="154" t="s">
        <v>208</v>
      </c>
      <c r="E72" s="154" t="s">
        <v>208</v>
      </c>
      <c r="F72" s="154" t="s">
        <v>208</v>
      </c>
      <c r="G72" s="154" t="s">
        <v>208</v>
      </c>
      <c r="H72" s="155"/>
      <c r="I72" s="155"/>
      <c r="J72" s="155"/>
      <c r="K72" s="147"/>
    </row>
    <row r="73">
      <c r="A73" s="153">
        <v>72.0</v>
      </c>
      <c r="B73" s="154"/>
      <c r="C73" s="154" t="s">
        <v>208</v>
      </c>
      <c r="D73" s="154" t="s">
        <v>208</v>
      </c>
      <c r="E73" s="154" t="s">
        <v>208</v>
      </c>
      <c r="F73" s="154" t="s">
        <v>208</v>
      </c>
      <c r="G73" s="154" t="s">
        <v>208</v>
      </c>
      <c r="H73" s="155"/>
      <c r="I73" s="155"/>
      <c r="J73" s="155"/>
      <c r="K73" s="147"/>
    </row>
    <row r="74">
      <c r="A74" s="153">
        <v>73.0</v>
      </c>
      <c r="B74" s="154"/>
      <c r="C74" s="154" t="s">
        <v>208</v>
      </c>
      <c r="D74" s="154" t="s">
        <v>208</v>
      </c>
      <c r="E74" s="154" t="s">
        <v>208</v>
      </c>
      <c r="F74" s="154" t="s">
        <v>208</v>
      </c>
      <c r="G74" s="154" t="s">
        <v>208</v>
      </c>
      <c r="H74" s="155"/>
      <c r="I74" s="155"/>
      <c r="J74" s="155"/>
      <c r="K74" s="147"/>
    </row>
    <row r="75">
      <c r="A75" s="153">
        <v>74.0</v>
      </c>
      <c r="B75" s="154"/>
      <c r="C75" s="154" t="s">
        <v>208</v>
      </c>
      <c r="D75" s="154" t="s">
        <v>208</v>
      </c>
      <c r="E75" s="154" t="s">
        <v>208</v>
      </c>
      <c r="F75" s="154" t="s">
        <v>208</v>
      </c>
      <c r="G75" s="154" t="s">
        <v>208</v>
      </c>
      <c r="H75" s="155"/>
      <c r="I75" s="155"/>
      <c r="J75" s="155"/>
      <c r="K75" s="147"/>
    </row>
    <row r="76">
      <c r="A76" s="153">
        <v>75.0</v>
      </c>
      <c r="B76" s="154"/>
      <c r="C76" s="154" t="s">
        <v>208</v>
      </c>
      <c r="D76" s="154" t="s">
        <v>208</v>
      </c>
      <c r="E76" s="154" t="s">
        <v>208</v>
      </c>
      <c r="F76" s="154" t="s">
        <v>208</v>
      </c>
      <c r="G76" s="154" t="s">
        <v>208</v>
      </c>
      <c r="H76" s="155"/>
      <c r="I76" s="155"/>
      <c r="J76" s="155"/>
      <c r="K76" s="147"/>
    </row>
    <row r="77">
      <c r="A77" s="153">
        <v>76.0</v>
      </c>
      <c r="B77" s="154"/>
      <c r="C77" s="154" t="s">
        <v>208</v>
      </c>
      <c r="D77" s="154" t="s">
        <v>208</v>
      </c>
      <c r="E77" s="154" t="s">
        <v>208</v>
      </c>
      <c r="F77" s="154" t="s">
        <v>208</v>
      </c>
      <c r="G77" s="154" t="s">
        <v>208</v>
      </c>
      <c r="H77" s="155"/>
      <c r="I77" s="155"/>
      <c r="J77" s="155"/>
      <c r="K77" s="147"/>
    </row>
    <row r="78">
      <c r="A78" s="153">
        <v>77.0</v>
      </c>
      <c r="B78" s="154"/>
      <c r="C78" s="154" t="s">
        <v>208</v>
      </c>
      <c r="D78" s="154" t="s">
        <v>208</v>
      </c>
      <c r="E78" s="154" t="s">
        <v>208</v>
      </c>
      <c r="F78" s="154" t="s">
        <v>208</v>
      </c>
      <c r="G78" s="154" t="s">
        <v>208</v>
      </c>
      <c r="H78" s="155"/>
      <c r="I78" s="155"/>
      <c r="J78" s="155"/>
      <c r="K78" s="147"/>
    </row>
    <row r="79">
      <c r="A79" s="153">
        <v>78.0</v>
      </c>
      <c r="B79" s="154"/>
      <c r="C79" s="154" t="s">
        <v>208</v>
      </c>
      <c r="D79" s="154" t="s">
        <v>208</v>
      </c>
      <c r="E79" s="154" t="s">
        <v>208</v>
      </c>
      <c r="F79" s="154" t="s">
        <v>208</v>
      </c>
      <c r="G79" s="154" t="s">
        <v>208</v>
      </c>
      <c r="H79" s="155"/>
      <c r="I79" s="155"/>
      <c r="J79" s="155"/>
      <c r="K79" s="147"/>
    </row>
    <row r="80">
      <c r="A80" s="153">
        <v>79.0</v>
      </c>
      <c r="B80" s="154"/>
      <c r="C80" s="154" t="s">
        <v>208</v>
      </c>
      <c r="D80" s="154" t="s">
        <v>208</v>
      </c>
      <c r="E80" s="154" t="s">
        <v>208</v>
      </c>
      <c r="F80" s="154" t="s">
        <v>208</v>
      </c>
      <c r="G80" s="154" t="s">
        <v>208</v>
      </c>
      <c r="H80" s="155"/>
      <c r="I80" s="155"/>
      <c r="J80" s="155"/>
      <c r="K80" s="147"/>
    </row>
    <row r="81">
      <c r="A81" s="153">
        <v>80.0</v>
      </c>
      <c r="B81" s="154"/>
      <c r="C81" s="154" t="s">
        <v>208</v>
      </c>
      <c r="D81" s="154" t="s">
        <v>208</v>
      </c>
      <c r="E81" s="154" t="s">
        <v>208</v>
      </c>
      <c r="F81" s="154" t="s">
        <v>208</v>
      </c>
      <c r="G81" s="154" t="s">
        <v>208</v>
      </c>
      <c r="H81" s="155"/>
      <c r="I81" s="155"/>
      <c r="J81" s="155"/>
      <c r="K81" s="147"/>
    </row>
    <row r="82">
      <c r="A82" s="153">
        <v>81.0</v>
      </c>
      <c r="B82" s="154"/>
      <c r="C82" s="154" t="s">
        <v>208</v>
      </c>
      <c r="D82" s="154" t="s">
        <v>208</v>
      </c>
      <c r="E82" s="154" t="s">
        <v>208</v>
      </c>
      <c r="F82" s="154" t="s">
        <v>208</v>
      </c>
      <c r="G82" s="154" t="s">
        <v>208</v>
      </c>
      <c r="H82" s="155"/>
      <c r="I82" s="155"/>
      <c r="J82" s="155"/>
      <c r="K82" s="147"/>
    </row>
    <row r="83">
      <c r="A83" s="153">
        <v>82.0</v>
      </c>
      <c r="B83" s="154"/>
      <c r="C83" s="154" t="s">
        <v>208</v>
      </c>
      <c r="D83" s="154" t="s">
        <v>208</v>
      </c>
      <c r="E83" s="154" t="s">
        <v>208</v>
      </c>
      <c r="F83" s="154" t="s">
        <v>208</v>
      </c>
      <c r="G83" s="154" t="s">
        <v>208</v>
      </c>
      <c r="H83" s="155"/>
      <c r="I83" s="155"/>
      <c r="J83" s="155"/>
      <c r="K83" s="147"/>
    </row>
    <row r="84">
      <c r="A84" s="153">
        <v>83.0</v>
      </c>
      <c r="B84" s="154"/>
      <c r="C84" s="154"/>
      <c r="D84" s="154"/>
      <c r="E84" s="154"/>
      <c r="F84" s="154"/>
      <c r="G84" s="154"/>
      <c r="H84" s="153"/>
      <c r="I84" s="154"/>
      <c r="J84" s="154" t="s">
        <v>217</v>
      </c>
      <c r="K84" s="147"/>
    </row>
    <row r="85">
      <c r="A85" s="153">
        <v>84.0</v>
      </c>
      <c r="B85" s="154"/>
      <c r="C85" s="154" t="s">
        <v>208</v>
      </c>
      <c r="D85" s="154" t="s">
        <v>208</v>
      </c>
      <c r="E85" s="154" t="s">
        <v>208</v>
      </c>
      <c r="F85" s="154" t="s">
        <v>208</v>
      </c>
      <c r="G85" s="154" t="s">
        <v>208</v>
      </c>
      <c r="H85" s="155"/>
      <c r="I85" s="155"/>
      <c r="J85" s="155"/>
      <c r="K85" s="147"/>
    </row>
    <row r="86">
      <c r="A86" s="153">
        <v>85.0</v>
      </c>
      <c r="B86" s="154"/>
      <c r="C86" s="154"/>
      <c r="D86" s="154"/>
      <c r="E86" s="154"/>
      <c r="F86" s="154"/>
      <c r="G86" s="155"/>
      <c r="H86" s="155"/>
      <c r="I86" s="155"/>
      <c r="J86" s="154" t="s">
        <v>217</v>
      </c>
      <c r="K86" s="147"/>
    </row>
    <row r="87">
      <c r="A87" s="153">
        <v>86.0</v>
      </c>
      <c r="B87" s="154"/>
      <c r="C87" s="154" t="s">
        <v>208</v>
      </c>
      <c r="D87" s="154" t="s">
        <v>208</v>
      </c>
      <c r="E87" s="154" t="s">
        <v>208</v>
      </c>
      <c r="F87" s="154" t="s">
        <v>208</v>
      </c>
      <c r="G87" s="154" t="s">
        <v>208</v>
      </c>
      <c r="H87" s="153"/>
      <c r="I87" s="154"/>
      <c r="J87" s="155"/>
      <c r="K87" s="147"/>
    </row>
    <row r="88">
      <c r="A88" s="153">
        <v>87.0</v>
      </c>
      <c r="B88" s="154"/>
      <c r="C88" s="154" t="s">
        <v>208</v>
      </c>
      <c r="D88" s="154" t="s">
        <v>208</v>
      </c>
      <c r="E88" s="154" t="s">
        <v>208</v>
      </c>
      <c r="F88" s="154" t="s">
        <v>208</v>
      </c>
      <c r="G88" s="154" t="s">
        <v>208</v>
      </c>
      <c r="H88" s="155"/>
      <c r="I88" s="155"/>
      <c r="J88" s="155"/>
      <c r="K88" s="147"/>
    </row>
    <row r="89">
      <c r="A89" s="153">
        <v>88.0</v>
      </c>
      <c r="B89" s="154"/>
      <c r="C89" s="154" t="s">
        <v>208</v>
      </c>
      <c r="D89" s="154" t="s">
        <v>208</v>
      </c>
      <c r="E89" s="154" t="s">
        <v>208</v>
      </c>
      <c r="F89" s="154" t="s">
        <v>208</v>
      </c>
      <c r="G89" s="154" t="s">
        <v>208</v>
      </c>
      <c r="H89" s="155"/>
      <c r="I89" s="155"/>
      <c r="J89" s="155"/>
      <c r="K89" s="147"/>
    </row>
    <row r="90">
      <c r="A90" s="153">
        <v>89.0</v>
      </c>
      <c r="B90" s="154"/>
      <c r="C90" s="154" t="s">
        <v>208</v>
      </c>
      <c r="D90" s="154" t="s">
        <v>208</v>
      </c>
      <c r="E90" s="154" t="s">
        <v>208</v>
      </c>
      <c r="F90" s="154" t="s">
        <v>208</v>
      </c>
      <c r="G90" s="154" t="s">
        <v>208</v>
      </c>
      <c r="H90" s="155"/>
      <c r="I90" s="155"/>
      <c r="J90" s="155"/>
      <c r="K90" s="147"/>
    </row>
    <row r="91">
      <c r="A91" s="153">
        <v>90.0</v>
      </c>
      <c r="B91" s="154"/>
      <c r="C91" s="154" t="s">
        <v>208</v>
      </c>
      <c r="D91" s="154" t="s">
        <v>208</v>
      </c>
      <c r="E91" s="154" t="s">
        <v>208</v>
      </c>
      <c r="F91" s="154" t="s">
        <v>208</v>
      </c>
      <c r="G91" s="154" t="s">
        <v>208</v>
      </c>
      <c r="H91" s="155"/>
      <c r="I91" s="155"/>
      <c r="J91" s="155"/>
      <c r="K91" s="147"/>
    </row>
    <row r="92">
      <c r="A92" s="153">
        <v>91.0</v>
      </c>
      <c r="B92" s="154"/>
      <c r="C92" s="154" t="s">
        <v>208</v>
      </c>
      <c r="D92" s="154" t="s">
        <v>208</v>
      </c>
      <c r="E92" s="154" t="s">
        <v>208</v>
      </c>
      <c r="F92" s="154" t="s">
        <v>208</v>
      </c>
      <c r="G92" s="154" t="s">
        <v>208</v>
      </c>
      <c r="H92" s="155"/>
      <c r="I92" s="155"/>
      <c r="J92" s="155"/>
      <c r="K92" s="147"/>
    </row>
    <row r="93">
      <c r="A93" s="153">
        <v>92.0</v>
      </c>
      <c r="B93" s="154"/>
      <c r="C93" s="154" t="s">
        <v>208</v>
      </c>
      <c r="D93" s="154" t="s">
        <v>208</v>
      </c>
      <c r="E93" s="154" t="s">
        <v>208</v>
      </c>
      <c r="F93" s="154" t="s">
        <v>208</v>
      </c>
      <c r="G93" s="154" t="s">
        <v>208</v>
      </c>
      <c r="H93" s="155"/>
      <c r="I93" s="155"/>
      <c r="J93" s="155"/>
      <c r="K93" s="147"/>
    </row>
    <row r="94">
      <c r="A94" s="153">
        <v>93.0</v>
      </c>
      <c r="B94" s="154"/>
      <c r="C94" s="154" t="s">
        <v>208</v>
      </c>
      <c r="D94" s="154" t="s">
        <v>208</v>
      </c>
      <c r="E94" s="154" t="s">
        <v>208</v>
      </c>
      <c r="F94" s="154" t="s">
        <v>208</v>
      </c>
      <c r="G94" s="154" t="s">
        <v>208</v>
      </c>
      <c r="H94" s="155"/>
      <c r="I94" s="155"/>
      <c r="J94" s="155"/>
      <c r="K94" s="147"/>
    </row>
    <row r="95">
      <c r="A95" s="153">
        <v>94.0</v>
      </c>
      <c r="B95" s="154"/>
      <c r="C95" s="154" t="s">
        <v>208</v>
      </c>
      <c r="D95" s="154" t="s">
        <v>208</v>
      </c>
      <c r="E95" s="154" t="s">
        <v>208</v>
      </c>
      <c r="F95" s="154" t="s">
        <v>208</v>
      </c>
      <c r="G95" s="154" t="s">
        <v>208</v>
      </c>
      <c r="H95" s="155"/>
      <c r="I95" s="155"/>
      <c r="J95" s="155"/>
      <c r="K95" s="147"/>
    </row>
    <row r="96">
      <c r="A96" s="153">
        <v>95.0</v>
      </c>
      <c r="B96" s="154"/>
      <c r="C96" s="154" t="s">
        <v>208</v>
      </c>
      <c r="D96" s="154" t="s">
        <v>208</v>
      </c>
      <c r="E96" s="154" t="s">
        <v>208</v>
      </c>
      <c r="F96" s="154" t="s">
        <v>208</v>
      </c>
      <c r="G96" s="154" t="s">
        <v>208</v>
      </c>
      <c r="H96" s="155"/>
      <c r="I96" s="155"/>
      <c r="J96" s="155"/>
      <c r="K96" s="147"/>
    </row>
    <row r="97">
      <c r="A97" s="153">
        <v>96.0</v>
      </c>
      <c r="B97" s="154"/>
      <c r="C97" s="154" t="s">
        <v>208</v>
      </c>
      <c r="D97" s="154" t="s">
        <v>208</v>
      </c>
      <c r="E97" s="154" t="s">
        <v>208</v>
      </c>
      <c r="F97" s="154" t="s">
        <v>208</v>
      </c>
      <c r="G97" s="154" t="s">
        <v>208</v>
      </c>
      <c r="H97" s="155"/>
      <c r="I97" s="155"/>
      <c r="J97" s="155"/>
      <c r="K97" s="147"/>
    </row>
    <row r="98">
      <c r="A98" s="153">
        <v>97.0</v>
      </c>
      <c r="B98" s="154"/>
      <c r="C98" s="154"/>
      <c r="D98" s="154"/>
      <c r="E98" s="154"/>
      <c r="F98" s="154"/>
      <c r="G98" s="155"/>
      <c r="H98" s="155"/>
      <c r="I98" s="155"/>
      <c r="J98" s="154" t="s">
        <v>217</v>
      </c>
      <c r="K98" s="147"/>
    </row>
    <row r="99">
      <c r="A99" s="153">
        <v>98.0</v>
      </c>
      <c r="B99" s="154"/>
      <c r="C99" s="154" t="s">
        <v>208</v>
      </c>
      <c r="D99" s="154"/>
      <c r="E99" s="154" t="s">
        <v>208</v>
      </c>
      <c r="F99" s="154" t="s">
        <v>208</v>
      </c>
      <c r="G99" s="154" t="s">
        <v>208</v>
      </c>
      <c r="H99" s="155"/>
      <c r="I99" s="155"/>
      <c r="J99" s="155"/>
      <c r="K99" s="147"/>
    </row>
    <row r="100">
      <c r="A100" s="153">
        <v>99.0</v>
      </c>
      <c r="B100" s="154"/>
      <c r="C100" s="154" t="s">
        <v>208</v>
      </c>
      <c r="D100" s="154"/>
      <c r="E100" s="154" t="s">
        <v>208</v>
      </c>
      <c r="F100" s="154" t="s">
        <v>208</v>
      </c>
      <c r="G100" s="154" t="s">
        <v>208</v>
      </c>
      <c r="H100" s="155"/>
      <c r="I100" s="155"/>
      <c r="J100" s="155"/>
      <c r="K100" s="147"/>
    </row>
    <row r="101">
      <c r="A101" s="153">
        <v>100.0</v>
      </c>
      <c r="B101" s="154"/>
      <c r="C101" s="154" t="s">
        <v>208</v>
      </c>
      <c r="D101" s="154" t="s">
        <v>208</v>
      </c>
      <c r="E101" s="154" t="s">
        <v>208</v>
      </c>
      <c r="F101" s="154" t="s">
        <v>208</v>
      </c>
      <c r="G101" s="154" t="s">
        <v>208</v>
      </c>
      <c r="H101" s="155"/>
      <c r="I101" s="155"/>
      <c r="J101" s="155"/>
      <c r="K101" s="147"/>
    </row>
    <row r="102">
      <c r="A102" s="153">
        <v>101.0</v>
      </c>
      <c r="B102" s="154"/>
      <c r="C102" s="154" t="s">
        <v>208</v>
      </c>
      <c r="D102" s="154" t="s">
        <v>208</v>
      </c>
      <c r="E102" s="154" t="s">
        <v>208</v>
      </c>
      <c r="F102" s="154" t="s">
        <v>208</v>
      </c>
      <c r="G102" s="154" t="s">
        <v>208</v>
      </c>
      <c r="H102" s="155"/>
      <c r="I102" s="155"/>
      <c r="J102" s="155"/>
      <c r="K102" s="147"/>
    </row>
    <row r="103">
      <c r="A103" s="153">
        <v>102.0</v>
      </c>
      <c r="B103" s="154"/>
      <c r="C103" s="154" t="s">
        <v>208</v>
      </c>
      <c r="D103" s="154" t="s">
        <v>208</v>
      </c>
      <c r="E103" s="154"/>
      <c r="F103" s="154" t="s">
        <v>208</v>
      </c>
      <c r="G103" s="154" t="s">
        <v>208</v>
      </c>
      <c r="H103" s="155"/>
      <c r="I103" s="155"/>
      <c r="J103" s="155"/>
      <c r="K103" s="147"/>
    </row>
    <row r="104">
      <c r="A104" s="153">
        <v>103.0</v>
      </c>
      <c r="B104" s="154"/>
      <c r="C104" s="154" t="s">
        <v>208</v>
      </c>
      <c r="D104" s="154" t="s">
        <v>208</v>
      </c>
      <c r="E104" s="154" t="s">
        <v>208</v>
      </c>
      <c r="F104" s="154" t="s">
        <v>208</v>
      </c>
      <c r="G104" s="154" t="s">
        <v>208</v>
      </c>
      <c r="H104" s="155"/>
      <c r="I104" s="155"/>
      <c r="J104" s="155"/>
      <c r="K104" s="147"/>
    </row>
    <row r="105">
      <c r="A105" s="153">
        <v>104.0</v>
      </c>
      <c r="B105" s="154"/>
      <c r="C105" s="154" t="s">
        <v>208</v>
      </c>
      <c r="D105" s="154" t="s">
        <v>208</v>
      </c>
      <c r="E105" s="154" t="s">
        <v>208</v>
      </c>
      <c r="F105" s="154" t="s">
        <v>208</v>
      </c>
      <c r="G105" s="154" t="s">
        <v>208</v>
      </c>
      <c r="H105" s="155"/>
      <c r="I105" s="155"/>
      <c r="J105" s="155"/>
      <c r="K105" s="147"/>
    </row>
    <row r="106">
      <c r="A106" s="153">
        <v>105.0</v>
      </c>
      <c r="B106" s="154"/>
      <c r="C106" s="154" t="s">
        <v>208</v>
      </c>
      <c r="D106" s="154" t="s">
        <v>208</v>
      </c>
      <c r="E106" s="154" t="s">
        <v>208</v>
      </c>
      <c r="F106" s="154" t="s">
        <v>208</v>
      </c>
      <c r="G106" s="154" t="s">
        <v>208</v>
      </c>
      <c r="H106" s="155"/>
      <c r="I106" s="155"/>
      <c r="J106" s="155"/>
      <c r="K106" s="147"/>
    </row>
    <row r="107">
      <c r="A107" s="153">
        <v>106.0</v>
      </c>
      <c r="B107" s="154"/>
      <c r="C107" s="154" t="s">
        <v>208</v>
      </c>
      <c r="D107" s="154" t="s">
        <v>208</v>
      </c>
      <c r="E107" s="154" t="s">
        <v>208</v>
      </c>
      <c r="F107" s="154" t="s">
        <v>208</v>
      </c>
      <c r="G107" s="154" t="s">
        <v>208</v>
      </c>
      <c r="H107" s="155"/>
      <c r="I107" s="155"/>
      <c r="J107" s="155"/>
      <c r="K107" s="147"/>
    </row>
    <row r="108">
      <c r="A108" s="153">
        <v>107.0</v>
      </c>
      <c r="B108" s="154"/>
      <c r="C108" s="154" t="s">
        <v>208</v>
      </c>
      <c r="D108" s="154" t="s">
        <v>208</v>
      </c>
      <c r="E108" s="154" t="s">
        <v>208</v>
      </c>
      <c r="F108" s="154" t="s">
        <v>208</v>
      </c>
      <c r="G108" s="154" t="s">
        <v>208</v>
      </c>
      <c r="H108" s="155"/>
      <c r="I108" s="155"/>
      <c r="J108" s="155"/>
      <c r="K108" s="147"/>
    </row>
    <row r="109">
      <c r="A109" s="153">
        <v>108.0</v>
      </c>
      <c r="B109" s="154"/>
      <c r="C109" s="154" t="s">
        <v>208</v>
      </c>
      <c r="D109" s="154" t="s">
        <v>208</v>
      </c>
      <c r="E109" s="154" t="s">
        <v>208</v>
      </c>
      <c r="F109" s="154" t="s">
        <v>208</v>
      </c>
      <c r="G109" s="154" t="s">
        <v>208</v>
      </c>
      <c r="H109" s="155"/>
      <c r="I109" s="155"/>
      <c r="J109" s="155"/>
      <c r="K109" s="147"/>
    </row>
    <row r="110">
      <c r="A110" s="153">
        <v>109.0</v>
      </c>
      <c r="B110" s="154"/>
      <c r="C110" s="154" t="s">
        <v>208</v>
      </c>
      <c r="D110" s="154" t="s">
        <v>208</v>
      </c>
      <c r="E110" s="154" t="s">
        <v>208</v>
      </c>
      <c r="F110" s="154" t="s">
        <v>208</v>
      </c>
      <c r="G110" s="154" t="s">
        <v>208</v>
      </c>
      <c r="H110" s="155"/>
      <c r="I110" s="155"/>
      <c r="J110" s="155"/>
      <c r="K110" s="147"/>
    </row>
    <row r="111">
      <c r="A111" s="153">
        <v>110.0</v>
      </c>
      <c r="B111" s="154"/>
      <c r="C111" s="154" t="s">
        <v>208</v>
      </c>
      <c r="D111" s="154" t="s">
        <v>208</v>
      </c>
      <c r="E111" s="154" t="s">
        <v>208</v>
      </c>
      <c r="F111" s="154" t="s">
        <v>208</v>
      </c>
      <c r="G111" s="154" t="s">
        <v>208</v>
      </c>
      <c r="H111" s="155"/>
      <c r="I111" s="155"/>
      <c r="J111" s="155"/>
      <c r="K111" s="147"/>
    </row>
    <row r="112">
      <c r="A112" s="153">
        <v>111.0</v>
      </c>
      <c r="B112" s="154"/>
      <c r="C112" s="154" t="s">
        <v>208</v>
      </c>
      <c r="D112" s="154" t="s">
        <v>208</v>
      </c>
      <c r="E112" s="154" t="s">
        <v>208</v>
      </c>
      <c r="F112" s="154" t="s">
        <v>208</v>
      </c>
      <c r="G112" s="154" t="s">
        <v>208</v>
      </c>
      <c r="H112" s="155"/>
      <c r="I112" s="155"/>
      <c r="J112" s="155"/>
      <c r="K112" s="147"/>
    </row>
    <row r="113">
      <c r="A113" s="153">
        <v>112.0</v>
      </c>
      <c r="B113" s="154"/>
      <c r="C113" s="154" t="s">
        <v>208</v>
      </c>
      <c r="D113" s="154" t="s">
        <v>208</v>
      </c>
      <c r="E113" s="154" t="s">
        <v>208</v>
      </c>
      <c r="F113" s="154" t="s">
        <v>208</v>
      </c>
      <c r="G113" s="154" t="s">
        <v>208</v>
      </c>
      <c r="H113" s="155"/>
      <c r="I113" s="155"/>
      <c r="J113" s="155"/>
      <c r="K113" s="147"/>
    </row>
    <row r="114">
      <c r="A114" s="153">
        <v>113.0</v>
      </c>
      <c r="B114" s="154"/>
      <c r="C114" s="154" t="s">
        <v>208</v>
      </c>
      <c r="D114" s="154" t="s">
        <v>208</v>
      </c>
      <c r="E114" s="154" t="s">
        <v>208</v>
      </c>
      <c r="F114" s="154" t="s">
        <v>208</v>
      </c>
      <c r="G114" s="154" t="s">
        <v>208</v>
      </c>
      <c r="H114" s="155"/>
      <c r="I114" s="155"/>
      <c r="J114" s="155"/>
      <c r="K114" s="147"/>
    </row>
    <row r="115">
      <c r="A115" s="153">
        <v>114.0</v>
      </c>
      <c r="B115" s="154"/>
      <c r="C115" s="154" t="s">
        <v>208</v>
      </c>
      <c r="D115" s="154" t="s">
        <v>208</v>
      </c>
      <c r="E115" s="154" t="s">
        <v>208</v>
      </c>
      <c r="F115" s="154" t="s">
        <v>208</v>
      </c>
      <c r="G115" s="154" t="s">
        <v>208</v>
      </c>
      <c r="H115" s="155"/>
      <c r="I115" s="155"/>
      <c r="J115" s="155"/>
      <c r="K115" s="147"/>
    </row>
    <row r="116">
      <c r="A116" s="153">
        <v>115.0</v>
      </c>
      <c r="B116" s="154"/>
      <c r="C116" s="154" t="s">
        <v>208</v>
      </c>
      <c r="D116" s="154" t="s">
        <v>208</v>
      </c>
      <c r="E116" s="154" t="s">
        <v>208</v>
      </c>
      <c r="F116" s="154" t="s">
        <v>208</v>
      </c>
      <c r="G116" s="154" t="s">
        <v>208</v>
      </c>
      <c r="H116" s="155"/>
      <c r="I116" s="155"/>
      <c r="J116" s="155"/>
      <c r="K116" s="147"/>
    </row>
    <row r="117">
      <c r="A117" s="153">
        <v>116.0</v>
      </c>
      <c r="B117" s="154"/>
      <c r="C117" s="154" t="s">
        <v>208</v>
      </c>
      <c r="D117" s="154" t="s">
        <v>208</v>
      </c>
      <c r="E117" s="154" t="s">
        <v>208</v>
      </c>
      <c r="F117" s="154" t="s">
        <v>208</v>
      </c>
      <c r="G117" s="154" t="s">
        <v>208</v>
      </c>
      <c r="H117" s="155"/>
      <c r="I117" s="155"/>
      <c r="J117" s="155"/>
      <c r="K117" s="147"/>
    </row>
    <row r="118">
      <c r="A118" s="153">
        <v>117.0</v>
      </c>
      <c r="B118" s="155"/>
      <c r="C118" s="154" t="s">
        <v>208</v>
      </c>
      <c r="D118" s="154" t="s">
        <v>208</v>
      </c>
      <c r="E118" s="154" t="s">
        <v>208</v>
      </c>
      <c r="F118" s="154" t="s">
        <v>208</v>
      </c>
      <c r="G118" s="154" t="s">
        <v>208</v>
      </c>
      <c r="H118" s="155"/>
      <c r="I118" s="155"/>
      <c r="J118" s="155"/>
      <c r="K118" s="147"/>
    </row>
    <row r="119">
      <c r="A119" s="153">
        <v>118.0</v>
      </c>
      <c r="B119" s="154"/>
      <c r="C119" s="154" t="s">
        <v>208</v>
      </c>
      <c r="D119" s="154" t="s">
        <v>208</v>
      </c>
      <c r="E119" s="154" t="s">
        <v>208</v>
      </c>
      <c r="F119" s="154" t="s">
        <v>218</v>
      </c>
      <c r="G119" s="154" t="s">
        <v>208</v>
      </c>
      <c r="H119" s="155"/>
      <c r="I119" s="155"/>
      <c r="J119" s="155"/>
      <c r="K119" s="147"/>
    </row>
    <row r="120">
      <c r="A120" s="153">
        <v>119.0</v>
      </c>
      <c r="B120" s="154"/>
      <c r="C120" s="154" t="s">
        <v>208</v>
      </c>
      <c r="D120" s="154" t="s">
        <v>208</v>
      </c>
      <c r="E120" s="154" t="s">
        <v>208</v>
      </c>
      <c r="F120" s="154" t="s">
        <v>208</v>
      </c>
      <c r="G120" s="154" t="s">
        <v>208</v>
      </c>
      <c r="H120" s="155"/>
      <c r="I120" s="155"/>
      <c r="J120" s="155"/>
      <c r="K120" s="147"/>
    </row>
    <row r="121">
      <c r="A121" s="153">
        <v>120.0</v>
      </c>
      <c r="B121" s="154"/>
      <c r="C121" s="154" t="s">
        <v>208</v>
      </c>
      <c r="D121" s="154" t="s">
        <v>208</v>
      </c>
      <c r="E121" s="154"/>
      <c r="F121" s="154" t="s">
        <v>208</v>
      </c>
      <c r="G121" s="154" t="s">
        <v>208</v>
      </c>
      <c r="H121" s="155"/>
      <c r="I121" s="155"/>
      <c r="J121" s="155"/>
      <c r="K121" s="147"/>
    </row>
    <row r="122">
      <c r="A122" s="153">
        <v>121.0</v>
      </c>
      <c r="B122" s="154"/>
      <c r="C122" s="154"/>
      <c r="D122" s="154"/>
      <c r="E122" s="154"/>
      <c r="F122" s="154"/>
      <c r="G122" s="155"/>
      <c r="H122" s="155"/>
      <c r="I122" s="155"/>
      <c r="J122" s="154" t="s">
        <v>217</v>
      </c>
      <c r="K122" s="147"/>
    </row>
    <row r="123">
      <c r="A123" s="153">
        <v>122.0</v>
      </c>
      <c r="B123" s="154"/>
      <c r="C123" s="154"/>
      <c r="D123" s="154"/>
      <c r="E123" s="154"/>
      <c r="F123" s="154"/>
      <c r="G123" s="155"/>
      <c r="H123" s="155"/>
      <c r="I123" s="155"/>
      <c r="J123" s="154" t="s">
        <v>217</v>
      </c>
      <c r="K123" s="147"/>
    </row>
    <row r="124">
      <c r="A124" s="153">
        <v>123.0</v>
      </c>
      <c r="B124" s="154"/>
      <c r="C124" s="154" t="s">
        <v>208</v>
      </c>
      <c r="D124" s="154" t="s">
        <v>208</v>
      </c>
      <c r="E124" s="154" t="s">
        <v>208</v>
      </c>
      <c r="F124" s="154" t="s">
        <v>208</v>
      </c>
      <c r="G124" s="154" t="s">
        <v>208</v>
      </c>
      <c r="H124" s="155"/>
      <c r="I124" s="155"/>
      <c r="J124" s="155"/>
      <c r="K124" s="147"/>
    </row>
    <row r="125">
      <c r="A125" s="153">
        <v>124.0</v>
      </c>
      <c r="B125" s="154"/>
      <c r="C125" s="154" t="s">
        <v>208</v>
      </c>
      <c r="D125" s="154" t="s">
        <v>208</v>
      </c>
      <c r="E125" s="154" t="s">
        <v>208</v>
      </c>
      <c r="F125" s="154" t="s">
        <v>208</v>
      </c>
      <c r="G125" s="154" t="s">
        <v>208</v>
      </c>
      <c r="H125" s="155"/>
      <c r="I125" s="155"/>
      <c r="J125" s="155"/>
      <c r="K125" s="147"/>
    </row>
    <row r="126">
      <c r="A126" s="153">
        <v>125.0</v>
      </c>
      <c r="B126" s="154"/>
      <c r="C126" s="154" t="s">
        <v>208</v>
      </c>
      <c r="D126" s="154" t="s">
        <v>208</v>
      </c>
      <c r="E126" s="154" t="s">
        <v>208</v>
      </c>
      <c r="F126" s="154" t="s">
        <v>208</v>
      </c>
      <c r="G126" s="154" t="s">
        <v>208</v>
      </c>
      <c r="H126" s="155"/>
      <c r="I126" s="155"/>
      <c r="J126" s="155"/>
      <c r="K126" s="147"/>
    </row>
    <row r="127">
      <c r="A127" s="153">
        <v>126.0</v>
      </c>
      <c r="B127" s="154"/>
      <c r="C127" s="154" t="s">
        <v>208</v>
      </c>
      <c r="D127" s="154" t="s">
        <v>208</v>
      </c>
      <c r="E127" s="154" t="s">
        <v>208</v>
      </c>
      <c r="F127" s="154" t="s">
        <v>208</v>
      </c>
      <c r="G127" s="154" t="s">
        <v>208</v>
      </c>
      <c r="H127" s="155"/>
      <c r="I127" s="155"/>
      <c r="J127" s="155"/>
      <c r="K127" s="147"/>
    </row>
    <row r="128">
      <c r="A128" s="153">
        <v>127.0</v>
      </c>
      <c r="B128" s="154"/>
      <c r="C128" s="154" t="s">
        <v>208</v>
      </c>
      <c r="D128" s="154" t="s">
        <v>218</v>
      </c>
      <c r="E128" s="154" t="s">
        <v>208</v>
      </c>
      <c r="F128" s="154" t="s">
        <v>208</v>
      </c>
      <c r="G128" s="154" t="s">
        <v>208</v>
      </c>
      <c r="H128" s="155"/>
      <c r="I128" s="155"/>
      <c r="J128" s="155"/>
      <c r="K128" s="147"/>
    </row>
    <row r="129">
      <c r="A129" s="153">
        <v>128.0</v>
      </c>
      <c r="B129" s="154"/>
      <c r="C129" s="154" t="s">
        <v>208</v>
      </c>
      <c r="D129" s="154" t="s">
        <v>208</v>
      </c>
      <c r="E129" s="154" t="s">
        <v>208</v>
      </c>
      <c r="F129" s="154" t="s">
        <v>208</v>
      </c>
      <c r="G129" s="154" t="s">
        <v>208</v>
      </c>
      <c r="H129" s="155"/>
      <c r="I129" s="155"/>
      <c r="J129" s="155"/>
      <c r="K129" s="147"/>
    </row>
    <row r="130">
      <c r="A130" s="153">
        <v>129.0</v>
      </c>
      <c r="B130" s="154"/>
      <c r="C130" s="154"/>
      <c r="D130" s="154"/>
      <c r="E130" s="154"/>
      <c r="F130" s="154"/>
      <c r="G130" s="155"/>
      <c r="H130" s="155"/>
      <c r="I130" s="155"/>
      <c r="J130" s="154" t="s">
        <v>217</v>
      </c>
      <c r="K130" s="147"/>
    </row>
    <row r="131">
      <c r="A131" s="153">
        <v>130.0</v>
      </c>
      <c r="B131" s="154"/>
      <c r="C131" s="154" t="s">
        <v>208</v>
      </c>
      <c r="D131" s="154" t="s">
        <v>208</v>
      </c>
      <c r="E131" s="154" t="s">
        <v>208</v>
      </c>
      <c r="F131" s="154" t="s">
        <v>208</v>
      </c>
      <c r="G131" s="154" t="s">
        <v>208</v>
      </c>
      <c r="H131" s="155"/>
      <c r="I131" s="155"/>
      <c r="J131" s="155"/>
      <c r="K131" s="147"/>
    </row>
    <row r="132">
      <c r="A132" s="153">
        <v>131.0</v>
      </c>
      <c r="B132" s="154"/>
      <c r="C132" s="154" t="s">
        <v>208</v>
      </c>
      <c r="D132" s="154" t="s">
        <v>208</v>
      </c>
      <c r="E132" s="154" t="s">
        <v>208</v>
      </c>
      <c r="F132" s="154" t="s">
        <v>208</v>
      </c>
      <c r="G132" s="154" t="s">
        <v>208</v>
      </c>
      <c r="H132" s="155"/>
      <c r="I132" s="155"/>
      <c r="J132" s="155"/>
      <c r="K132" s="147"/>
    </row>
    <row r="133">
      <c r="A133" s="153">
        <v>132.0</v>
      </c>
      <c r="B133" s="154"/>
      <c r="C133" s="154" t="s">
        <v>208</v>
      </c>
      <c r="D133" s="154" t="s">
        <v>208</v>
      </c>
      <c r="E133" s="154" t="s">
        <v>208</v>
      </c>
      <c r="F133" s="154" t="s">
        <v>208</v>
      </c>
      <c r="G133" s="154" t="s">
        <v>208</v>
      </c>
      <c r="H133" s="155"/>
      <c r="I133" s="155"/>
      <c r="J133" s="155"/>
      <c r="K133" s="147"/>
    </row>
    <row r="134">
      <c r="A134" s="153">
        <v>133.0</v>
      </c>
      <c r="B134" s="154"/>
      <c r="C134" s="154" t="s">
        <v>208</v>
      </c>
      <c r="D134" s="154" t="s">
        <v>208</v>
      </c>
      <c r="E134" s="154" t="s">
        <v>208</v>
      </c>
      <c r="F134" s="154" t="s">
        <v>208</v>
      </c>
      <c r="G134" s="154" t="s">
        <v>208</v>
      </c>
      <c r="H134" s="155"/>
      <c r="I134" s="155"/>
      <c r="J134" s="155"/>
      <c r="K134" s="147"/>
    </row>
    <row r="135">
      <c r="A135" s="153">
        <v>134.0</v>
      </c>
      <c r="B135" s="154"/>
      <c r="C135" s="154" t="s">
        <v>208</v>
      </c>
      <c r="D135" s="154" t="s">
        <v>208</v>
      </c>
      <c r="E135" s="154" t="s">
        <v>208</v>
      </c>
      <c r="F135" s="154" t="s">
        <v>208</v>
      </c>
      <c r="G135" s="154" t="s">
        <v>208</v>
      </c>
      <c r="H135" s="155"/>
      <c r="I135" s="155"/>
      <c r="J135" s="155"/>
      <c r="K135" s="147"/>
    </row>
    <row r="136">
      <c r="A136" s="153">
        <v>135.0</v>
      </c>
      <c r="B136" s="154"/>
      <c r="C136" s="154" t="s">
        <v>208</v>
      </c>
      <c r="D136" s="154" t="s">
        <v>208</v>
      </c>
      <c r="E136" s="154" t="s">
        <v>208</v>
      </c>
      <c r="F136" s="154" t="s">
        <v>208</v>
      </c>
      <c r="G136" s="154" t="s">
        <v>208</v>
      </c>
      <c r="H136" s="155"/>
      <c r="I136" s="155"/>
      <c r="J136" s="155"/>
      <c r="K136" s="147"/>
    </row>
    <row r="137">
      <c r="A137" s="153">
        <v>136.0</v>
      </c>
      <c r="B137" s="154"/>
      <c r="C137" s="154" t="s">
        <v>208</v>
      </c>
      <c r="D137" s="154" t="s">
        <v>208</v>
      </c>
      <c r="E137" s="154" t="s">
        <v>208</v>
      </c>
      <c r="F137" s="154" t="s">
        <v>208</v>
      </c>
      <c r="G137" s="154" t="s">
        <v>208</v>
      </c>
      <c r="H137" s="155"/>
      <c r="I137" s="155"/>
      <c r="J137" s="155"/>
      <c r="K137" s="147"/>
    </row>
    <row r="138">
      <c r="A138" s="153">
        <v>137.0</v>
      </c>
      <c r="B138" s="154"/>
      <c r="C138" s="154" t="s">
        <v>208</v>
      </c>
      <c r="D138" s="154" t="s">
        <v>208</v>
      </c>
      <c r="E138" s="154" t="s">
        <v>208</v>
      </c>
      <c r="F138" s="154" t="s">
        <v>208</v>
      </c>
      <c r="G138" s="154" t="s">
        <v>208</v>
      </c>
      <c r="H138" s="155"/>
      <c r="I138" s="155"/>
      <c r="J138" s="155"/>
      <c r="K138" s="147"/>
    </row>
    <row r="139">
      <c r="A139" s="153">
        <v>138.0</v>
      </c>
      <c r="B139" s="154"/>
      <c r="C139" s="154" t="s">
        <v>208</v>
      </c>
      <c r="D139" s="154"/>
      <c r="E139" s="154" t="s">
        <v>208</v>
      </c>
      <c r="F139" s="154" t="s">
        <v>208</v>
      </c>
      <c r="G139" s="154" t="s">
        <v>208</v>
      </c>
      <c r="H139" s="155"/>
      <c r="I139" s="155"/>
      <c r="J139" s="155"/>
      <c r="K139" s="147"/>
    </row>
    <row r="140">
      <c r="A140" s="153">
        <v>139.0</v>
      </c>
      <c r="B140" s="154"/>
      <c r="C140" s="154" t="s">
        <v>208</v>
      </c>
      <c r="D140" s="154" t="s">
        <v>208</v>
      </c>
      <c r="E140" s="154" t="s">
        <v>208</v>
      </c>
      <c r="F140" s="154" t="s">
        <v>208</v>
      </c>
      <c r="G140" s="154" t="s">
        <v>208</v>
      </c>
      <c r="H140" s="155"/>
      <c r="I140" s="155"/>
      <c r="J140" s="155"/>
      <c r="K140" s="147"/>
    </row>
    <row r="141">
      <c r="A141" s="153">
        <v>140.0</v>
      </c>
      <c r="B141" s="154"/>
      <c r="C141" s="154" t="s">
        <v>208</v>
      </c>
      <c r="D141" s="154" t="s">
        <v>208</v>
      </c>
      <c r="E141" s="154" t="s">
        <v>208</v>
      </c>
      <c r="F141" s="154" t="s">
        <v>208</v>
      </c>
      <c r="G141" s="154" t="s">
        <v>208</v>
      </c>
      <c r="H141" s="155"/>
      <c r="I141" s="155"/>
      <c r="J141" s="155"/>
      <c r="K141" s="147"/>
    </row>
    <row r="142">
      <c r="A142" s="153">
        <v>141.0</v>
      </c>
      <c r="B142" s="154"/>
      <c r="C142" s="154" t="s">
        <v>208</v>
      </c>
      <c r="D142" s="154" t="s">
        <v>208</v>
      </c>
      <c r="E142" s="154" t="s">
        <v>208</v>
      </c>
      <c r="F142" s="154" t="s">
        <v>208</v>
      </c>
      <c r="G142" s="154" t="s">
        <v>208</v>
      </c>
      <c r="H142" s="155"/>
      <c r="I142" s="155"/>
      <c r="J142" s="155"/>
      <c r="K142" s="147"/>
    </row>
    <row r="143">
      <c r="A143" s="153">
        <v>142.0</v>
      </c>
      <c r="B143" s="154"/>
      <c r="C143" s="154" t="s">
        <v>208</v>
      </c>
      <c r="D143" s="154" t="s">
        <v>208</v>
      </c>
      <c r="E143" s="154" t="s">
        <v>208</v>
      </c>
      <c r="F143" s="154" t="s">
        <v>208</v>
      </c>
      <c r="G143" s="154" t="s">
        <v>208</v>
      </c>
      <c r="H143" s="155"/>
      <c r="I143" s="155"/>
      <c r="J143" s="155"/>
      <c r="K143" s="147"/>
    </row>
    <row r="144">
      <c r="A144" s="153">
        <v>143.0</v>
      </c>
      <c r="B144" s="154"/>
      <c r="C144" s="154" t="s">
        <v>208</v>
      </c>
      <c r="D144" s="154" t="s">
        <v>208</v>
      </c>
      <c r="E144" s="154" t="s">
        <v>208</v>
      </c>
      <c r="F144" s="154" t="s">
        <v>208</v>
      </c>
      <c r="G144" s="154" t="s">
        <v>208</v>
      </c>
      <c r="H144" s="155"/>
      <c r="I144" s="155"/>
      <c r="J144" s="155"/>
      <c r="K144" s="147"/>
    </row>
    <row r="145">
      <c r="A145" s="153">
        <v>144.0</v>
      </c>
      <c r="B145" s="154"/>
      <c r="C145" s="154" t="s">
        <v>208</v>
      </c>
      <c r="D145" s="154" t="s">
        <v>208</v>
      </c>
      <c r="E145" s="154" t="s">
        <v>208</v>
      </c>
      <c r="F145" s="154" t="s">
        <v>208</v>
      </c>
      <c r="G145" s="154" t="s">
        <v>208</v>
      </c>
      <c r="H145" s="155"/>
      <c r="I145" s="155"/>
      <c r="J145" s="155"/>
      <c r="K145" s="147"/>
    </row>
    <row r="146">
      <c r="A146" s="153">
        <v>145.0</v>
      </c>
      <c r="B146" s="154"/>
      <c r="C146" s="154" t="s">
        <v>208</v>
      </c>
      <c r="D146" s="154" t="s">
        <v>208</v>
      </c>
      <c r="E146" s="154" t="s">
        <v>208</v>
      </c>
      <c r="F146" s="154" t="s">
        <v>208</v>
      </c>
      <c r="G146" s="154" t="s">
        <v>208</v>
      </c>
      <c r="H146" s="155"/>
      <c r="I146" s="155"/>
      <c r="J146" s="155"/>
      <c r="K146" s="147"/>
    </row>
    <row r="147">
      <c r="A147" s="153">
        <v>146.0</v>
      </c>
      <c r="B147" s="154"/>
      <c r="C147" s="154" t="s">
        <v>208</v>
      </c>
      <c r="D147" s="154" t="s">
        <v>208</v>
      </c>
      <c r="E147" s="154" t="s">
        <v>208</v>
      </c>
      <c r="F147" s="154" t="s">
        <v>208</v>
      </c>
      <c r="G147" s="154" t="s">
        <v>208</v>
      </c>
      <c r="H147" s="155"/>
      <c r="I147" s="155"/>
      <c r="J147" s="155"/>
      <c r="K147" s="147"/>
    </row>
    <row r="148">
      <c r="A148" s="153">
        <v>147.0</v>
      </c>
      <c r="B148" s="154"/>
      <c r="C148" s="154"/>
      <c r="D148" s="154"/>
      <c r="E148" s="154"/>
      <c r="F148" s="154"/>
      <c r="G148" s="155"/>
      <c r="H148" s="155"/>
      <c r="I148" s="155"/>
      <c r="J148" s="154" t="s">
        <v>217</v>
      </c>
      <c r="K148" s="147"/>
    </row>
    <row r="149">
      <c r="A149" s="153">
        <v>148.0</v>
      </c>
      <c r="B149" s="154"/>
      <c r="C149" s="154" t="s">
        <v>208</v>
      </c>
      <c r="D149" s="154" t="s">
        <v>218</v>
      </c>
      <c r="E149" s="154" t="s">
        <v>208</v>
      </c>
      <c r="F149" s="154" t="s">
        <v>208</v>
      </c>
      <c r="G149" s="154" t="s">
        <v>208</v>
      </c>
      <c r="H149" s="155"/>
      <c r="I149" s="155"/>
      <c r="J149" s="155"/>
      <c r="K149" s="147"/>
    </row>
    <row r="150">
      <c r="A150" s="153">
        <v>149.0</v>
      </c>
      <c r="B150" s="154"/>
      <c r="C150" s="154" t="s">
        <v>208</v>
      </c>
      <c r="D150" s="154" t="s">
        <v>208</v>
      </c>
      <c r="E150" s="154"/>
      <c r="F150" s="154" t="s">
        <v>208</v>
      </c>
      <c r="G150" s="154" t="s">
        <v>208</v>
      </c>
      <c r="H150" s="155"/>
      <c r="I150" s="155"/>
      <c r="J150" s="155"/>
      <c r="K150" s="147"/>
    </row>
    <row r="151">
      <c r="A151" s="153">
        <v>150.0</v>
      </c>
      <c r="B151" s="154"/>
      <c r="C151" s="154" t="s">
        <v>208</v>
      </c>
      <c r="D151" s="154" t="s">
        <v>208</v>
      </c>
      <c r="E151" s="154" t="s">
        <v>208</v>
      </c>
      <c r="F151" s="154" t="s">
        <v>208</v>
      </c>
      <c r="G151" s="154" t="s">
        <v>208</v>
      </c>
      <c r="H151" s="155"/>
      <c r="I151" s="155"/>
      <c r="J151" s="155"/>
      <c r="K151" s="147"/>
    </row>
    <row r="152">
      <c r="A152" s="153">
        <v>151.0</v>
      </c>
      <c r="B152" s="154"/>
      <c r="C152" s="154" t="s">
        <v>208</v>
      </c>
      <c r="D152" s="154" t="s">
        <v>208</v>
      </c>
      <c r="E152" s="154" t="s">
        <v>208</v>
      </c>
      <c r="F152" s="154" t="s">
        <v>208</v>
      </c>
      <c r="G152" s="154" t="s">
        <v>208</v>
      </c>
      <c r="H152" s="155"/>
      <c r="I152" s="155"/>
      <c r="J152" s="155"/>
      <c r="K152" s="147"/>
    </row>
    <row r="153">
      <c r="A153" s="153">
        <v>152.0</v>
      </c>
      <c r="B153" s="154"/>
      <c r="C153" s="154" t="s">
        <v>208</v>
      </c>
      <c r="D153" s="154" t="s">
        <v>218</v>
      </c>
      <c r="E153" s="154" t="s">
        <v>208</v>
      </c>
      <c r="F153" s="154" t="s">
        <v>208</v>
      </c>
      <c r="G153" s="154" t="s">
        <v>208</v>
      </c>
      <c r="H153" s="155"/>
      <c r="I153" s="155"/>
      <c r="J153" s="155"/>
      <c r="K153" s="147"/>
    </row>
    <row r="154">
      <c r="A154" s="153">
        <v>153.0</v>
      </c>
      <c r="B154" s="154"/>
      <c r="C154" s="154" t="s">
        <v>208</v>
      </c>
      <c r="D154" s="154" t="s">
        <v>208</v>
      </c>
      <c r="E154" s="154" t="s">
        <v>208</v>
      </c>
      <c r="F154" s="154" t="s">
        <v>208</v>
      </c>
      <c r="G154" s="154" t="s">
        <v>208</v>
      </c>
      <c r="H154" s="155"/>
      <c r="I154" s="155"/>
      <c r="J154" s="155"/>
      <c r="K154" s="147"/>
    </row>
    <row r="155">
      <c r="A155" s="153">
        <v>154.0</v>
      </c>
      <c r="B155" s="154"/>
      <c r="C155" s="154" t="s">
        <v>208</v>
      </c>
      <c r="D155" s="154" t="s">
        <v>208</v>
      </c>
      <c r="E155" s="154" t="s">
        <v>208</v>
      </c>
      <c r="F155" s="154" t="s">
        <v>208</v>
      </c>
      <c r="G155" s="154" t="s">
        <v>208</v>
      </c>
      <c r="H155" s="155"/>
      <c r="I155" s="155"/>
      <c r="J155" s="155"/>
      <c r="K155" s="147"/>
    </row>
    <row r="156">
      <c r="A156" s="153">
        <v>155.0</v>
      </c>
      <c r="B156" s="154"/>
      <c r="C156" s="154" t="s">
        <v>208</v>
      </c>
      <c r="D156" s="154" t="s">
        <v>208</v>
      </c>
      <c r="E156" s="154" t="s">
        <v>208</v>
      </c>
      <c r="F156" s="154" t="s">
        <v>208</v>
      </c>
      <c r="G156" s="154" t="s">
        <v>208</v>
      </c>
      <c r="H156" s="155"/>
      <c r="I156" s="155"/>
      <c r="J156" s="155"/>
      <c r="K156" s="147"/>
    </row>
    <row r="157">
      <c r="A157" s="153">
        <v>156.0</v>
      </c>
      <c r="B157" s="154"/>
      <c r="C157" s="154" t="s">
        <v>208</v>
      </c>
      <c r="D157" s="154" t="s">
        <v>208</v>
      </c>
      <c r="E157" s="154" t="s">
        <v>208</v>
      </c>
      <c r="F157" s="154" t="s">
        <v>208</v>
      </c>
      <c r="G157" s="154" t="s">
        <v>208</v>
      </c>
      <c r="H157" s="155"/>
      <c r="I157" s="155"/>
      <c r="J157" s="155"/>
      <c r="K157" s="147"/>
    </row>
    <row r="158">
      <c r="A158" s="153">
        <v>157.0</v>
      </c>
      <c r="B158" s="155"/>
      <c r="C158" s="154" t="s">
        <v>208</v>
      </c>
      <c r="D158" s="154" t="s">
        <v>208</v>
      </c>
      <c r="E158" s="154" t="s">
        <v>208</v>
      </c>
      <c r="F158" s="154" t="s">
        <v>208</v>
      </c>
      <c r="G158" s="154" t="s">
        <v>208</v>
      </c>
      <c r="H158" s="155"/>
      <c r="I158" s="155"/>
      <c r="J158" s="155"/>
      <c r="K158" s="147"/>
    </row>
    <row r="159">
      <c r="A159" s="153">
        <v>158.0</v>
      </c>
      <c r="B159" s="154"/>
      <c r="C159" s="154" t="s">
        <v>208</v>
      </c>
      <c r="D159" s="154" t="s">
        <v>208</v>
      </c>
      <c r="E159" s="154" t="s">
        <v>208</v>
      </c>
      <c r="F159" s="154" t="s">
        <v>208</v>
      </c>
      <c r="G159" s="154" t="s">
        <v>208</v>
      </c>
      <c r="H159" s="155"/>
      <c r="I159" s="155"/>
      <c r="J159" s="155"/>
      <c r="K159" s="147"/>
    </row>
    <row r="160">
      <c r="A160" s="153">
        <v>159.0</v>
      </c>
      <c r="B160" s="154"/>
      <c r="C160" s="154" t="s">
        <v>208</v>
      </c>
      <c r="D160" s="154" t="s">
        <v>208</v>
      </c>
      <c r="E160" s="154" t="s">
        <v>208</v>
      </c>
      <c r="F160" s="154" t="s">
        <v>208</v>
      </c>
      <c r="G160" s="154" t="s">
        <v>208</v>
      </c>
      <c r="H160" s="155"/>
      <c r="I160" s="155"/>
      <c r="J160" s="155"/>
      <c r="K160" s="147"/>
    </row>
    <row r="161">
      <c r="A161" s="153">
        <v>160.0</v>
      </c>
      <c r="B161" s="154"/>
      <c r="C161" s="154" t="s">
        <v>208</v>
      </c>
      <c r="D161" s="154" t="s">
        <v>208</v>
      </c>
      <c r="E161" s="154" t="s">
        <v>208</v>
      </c>
      <c r="F161" s="154" t="s">
        <v>208</v>
      </c>
      <c r="G161" s="154" t="s">
        <v>208</v>
      </c>
      <c r="H161" s="155"/>
      <c r="I161" s="155"/>
      <c r="J161" s="155"/>
      <c r="K161" s="147"/>
    </row>
    <row r="162">
      <c r="A162" s="153">
        <v>161.0</v>
      </c>
      <c r="B162" s="154"/>
      <c r="C162" s="154" t="s">
        <v>208</v>
      </c>
      <c r="D162" s="154" t="s">
        <v>208</v>
      </c>
      <c r="E162" s="154" t="s">
        <v>208</v>
      </c>
      <c r="F162" s="154" t="s">
        <v>208</v>
      </c>
      <c r="G162" s="154" t="s">
        <v>208</v>
      </c>
      <c r="H162" s="155"/>
      <c r="I162" s="155"/>
      <c r="J162" s="155"/>
      <c r="K162" s="147"/>
    </row>
    <row r="163">
      <c r="A163" s="153">
        <v>162.0</v>
      </c>
      <c r="B163" s="154"/>
      <c r="C163" s="154" t="s">
        <v>208</v>
      </c>
      <c r="D163" s="154" t="s">
        <v>208</v>
      </c>
      <c r="E163" s="154" t="s">
        <v>208</v>
      </c>
      <c r="F163" s="154" t="s">
        <v>208</v>
      </c>
      <c r="G163" s="154" t="s">
        <v>208</v>
      </c>
      <c r="H163" s="155"/>
      <c r="I163" s="155"/>
      <c r="J163" s="155"/>
      <c r="K163" s="147"/>
    </row>
    <row r="164">
      <c r="A164" s="153">
        <v>163.0</v>
      </c>
      <c r="B164" s="154"/>
      <c r="C164" s="154" t="s">
        <v>208</v>
      </c>
      <c r="D164" s="154" t="s">
        <v>208</v>
      </c>
      <c r="E164" s="154" t="s">
        <v>208</v>
      </c>
      <c r="F164" s="154" t="s">
        <v>208</v>
      </c>
      <c r="G164" s="154" t="s">
        <v>208</v>
      </c>
      <c r="H164" s="155"/>
      <c r="I164" s="155"/>
      <c r="J164" s="155"/>
      <c r="K164" s="147"/>
    </row>
    <row r="165">
      <c r="A165" s="153">
        <v>164.0</v>
      </c>
      <c r="B165" s="154"/>
      <c r="C165" s="154" t="s">
        <v>208</v>
      </c>
      <c r="D165" s="154" t="s">
        <v>208</v>
      </c>
      <c r="E165" s="154" t="s">
        <v>208</v>
      </c>
      <c r="F165" s="154" t="s">
        <v>208</v>
      </c>
      <c r="G165" s="154" t="s">
        <v>208</v>
      </c>
      <c r="H165" s="155"/>
      <c r="I165" s="155"/>
      <c r="J165" s="155"/>
      <c r="K165" s="147"/>
    </row>
    <row r="166">
      <c r="A166" s="153">
        <v>165.0</v>
      </c>
      <c r="B166" s="154"/>
      <c r="C166" s="154" t="s">
        <v>208</v>
      </c>
      <c r="D166" s="154" t="s">
        <v>208</v>
      </c>
      <c r="E166" s="154" t="s">
        <v>208</v>
      </c>
      <c r="F166" s="154" t="s">
        <v>208</v>
      </c>
      <c r="G166" s="154" t="s">
        <v>208</v>
      </c>
      <c r="H166" s="155"/>
      <c r="I166" s="155"/>
      <c r="J166" s="155"/>
      <c r="K166" s="147"/>
    </row>
    <row r="167">
      <c r="A167" s="153">
        <v>166.0</v>
      </c>
      <c r="B167" s="154"/>
      <c r="C167" s="154" t="s">
        <v>208</v>
      </c>
      <c r="D167" s="154" t="s">
        <v>208</v>
      </c>
      <c r="E167" s="154" t="s">
        <v>208</v>
      </c>
      <c r="F167" s="154" t="s">
        <v>208</v>
      </c>
      <c r="G167" s="154" t="s">
        <v>208</v>
      </c>
      <c r="H167" s="155"/>
      <c r="I167" s="155"/>
      <c r="J167" s="155"/>
      <c r="K167" s="147"/>
    </row>
    <row r="168">
      <c r="A168" s="153">
        <v>167.0</v>
      </c>
      <c r="B168" s="154"/>
      <c r="C168" s="154" t="s">
        <v>208</v>
      </c>
      <c r="D168" s="154" t="s">
        <v>208</v>
      </c>
      <c r="E168" s="154" t="s">
        <v>208</v>
      </c>
      <c r="F168" s="154" t="s">
        <v>208</v>
      </c>
      <c r="G168" s="154" t="s">
        <v>208</v>
      </c>
      <c r="H168" s="155"/>
      <c r="I168" s="155"/>
      <c r="J168" s="155"/>
      <c r="K168" s="147"/>
    </row>
    <row r="169">
      <c r="A169" s="153">
        <v>168.0</v>
      </c>
      <c r="B169" s="154"/>
      <c r="C169" s="154" t="s">
        <v>208</v>
      </c>
      <c r="D169" s="154" t="s">
        <v>208</v>
      </c>
      <c r="E169" s="154" t="s">
        <v>208</v>
      </c>
      <c r="F169" s="154" t="s">
        <v>208</v>
      </c>
      <c r="G169" s="154" t="s">
        <v>208</v>
      </c>
      <c r="H169" s="155"/>
      <c r="I169" s="155"/>
      <c r="J169" s="155"/>
      <c r="K169" s="147"/>
    </row>
    <row r="170">
      <c r="A170" s="153">
        <v>169.0</v>
      </c>
      <c r="B170" s="154"/>
      <c r="C170" s="154" t="s">
        <v>208</v>
      </c>
      <c r="D170" s="154" t="s">
        <v>208</v>
      </c>
      <c r="E170" s="154" t="s">
        <v>208</v>
      </c>
      <c r="F170" s="154" t="s">
        <v>208</v>
      </c>
      <c r="G170" s="154" t="s">
        <v>208</v>
      </c>
      <c r="H170" s="153"/>
      <c r="I170" s="155"/>
      <c r="J170" s="155"/>
      <c r="K170" s="147"/>
    </row>
    <row r="171">
      <c r="A171" s="153">
        <v>170.0</v>
      </c>
      <c r="B171" s="154"/>
      <c r="C171" s="154" t="s">
        <v>208</v>
      </c>
      <c r="D171" s="154" t="s">
        <v>208</v>
      </c>
      <c r="E171" s="154" t="s">
        <v>208</v>
      </c>
      <c r="F171" s="154" t="s">
        <v>208</v>
      </c>
      <c r="G171" s="154" t="s">
        <v>208</v>
      </c>
      <c r="H171" s="155"/>
      <c r="I171" s="155"/>
      <c r="J171" s="155"/>
      <c r="K171" s="147"/>
    </row>
    <row r="172">
      <c r="A172" s="153">
        <v>171.0</v>
      </c>
      <c r="B172" s="154"/>
      <c r="C172" s="154" t="s">
        <v>208</v>
      </c>
      <c r="D172" s="154" t="s">
        <v>208</v>
      </c>
      <c r="E172" s="154" t="s">
        <v>208</v>
      </c>
      <c r="F172" s="154" t="s">
        <v>208</v>
      </c>
      <c r="G172" s="154" t="s">
        <v>208</v>
      </c>
      <c r="H172" s="155"/>
      <c r="I172" s="155"/>
      <c r="J172" s="155"/>
      <c r="K172" s="147"/>
    </row>
    <row r="173">
      <c r="A173" s="153">
        <v>172.0</v>
      </c>
      <c r="B173" s="154"/>
      <c r="C173" s="154" t="s">
        <v>208</v>
      </c>
      <c r="D173" s="154" t="s">
        <v>208</v>
      </c>
      <c r="E173" s="154" t="s">
        <v>208</v>
      </c>
      <c r="F173" s="154" t="s">
        <v>208</v>
      </c>
      <c r="G173" s="154" t="s">
        <v>208</v>
      </c>
      <c r="H173" s="155"/>
      <c r="I173" s="155"/>
      <c r="J173" s="155"/>
      <c r="K173" s="147"/>
    </row>
    <row r="174">
      <c r="A174" s="153">
        <v>173.0</v>
      </c>
      <c r="B174" s="154"/>
      <c r="C174" s="154" t="s">
        <v>208</v>
      </c>
      <c r="D174" s="154" t="s">
        <v>208</v>
      </c>
      <c r="E174" s="154" t="s">
        <v>208</v>
      </c>
      <c r="F174" s="154" t="s">
        <v>208</v>
      </c>
      <c r="G174" s="154" t="s">
        <v>208</v>
      </c>
      <c r="H174" s="155"/>
      <c r="I174" s="155"/>
      <c r="J174" s="155"/>
      <c r="K174" s="147"/>
    </row>
    <row r="175">
      <c r="A175" s="153">
        <v>174.0</v>
      </c>
      <c r="B175" s="154"/>
      <c r="C175" s="154" t="s">
        <v>208</v>
      </c>
      <c r="D175" s="154" t="s">
        <v>208</v>
      </c>
      <c r="E175" s="154" t="s">
        <v>208</v>
      </c>
      <c r="F175" s="154" t="s">
        <v>208</v>
      </c>
      <c r="G175" s="154" t="s">
        <v>208</v>
      </c>
      <c r="H175" s="155"/>
      <c r="I175" s="155"/>
      <c r="J175" s="155"/>
      <c r="K175" s="147"/>
    </row>
    <row r="176">
      <c r="A176" s="153">
        <v>175.0</v>
      </c>
      <c r="B176" s="154"/>
      <c r="C176" s="154" t="s">
        <v>208</v>
      </c>
      <c r="D176" s="154" t="s">
        <v>208</v>
      </c>
      <c r="E176" s="154" t="s">
        <v>208</v>
      </c>
      <c r="F176" s="154" t="s">
        <v>208</v>
      </c>
      <c r="G176" s="154" t="s">
        <v>208</v>
      </c>
      <c r="H176" s="155"/>
      <c r="I176" s="155"/>
      <c r="J176" s="155"/>
      <c r="K176" s="147"/>
    </row>
    <row r="177">
      <c r="A177" s="153">
        <v>176.0</v>
      </c>
      <c r="B177" s="154"/>
      <c r="C177" s="154" t="s">
        <v>208</v>
      </c>
      <c r="D177" s="154" t="s">
        <v>208</v>
      </c>
      <c r="E177" s="154" t="s">
        <v>208</v>
      </c>
      <c r="F177" s="154" t="s">
        <v>208</v>
      </c>
      <c r="G177" s="154" t="s">
        <v>208</v>
      </c>
      <c r="H177" s="155"/>
      <c r="I177" s="155"/>
      <c r="J177" s="155"/>
      <c r="K177" s="147"/>
    </row>
    <row r="178">
      <c r="A178" s="153">
        <v>177.0</v>
      </c>
      <c r="B178" s="155"/>
      <c r="C178" s="154" t="s">
        <v>208</v>
      </c>
      <c r="D178" s="154" t="s">
        <v>208</v>
      </c>
      <c r="E178" s="154" t="s">
        <v>208</v>
      </c>
      <c r="F178" s="154" t="s">
        <v>208</v>
      </c>
      <c r="G178" s="154" t="s">
        <v>208</v>
      </c>
      <c r="H178" s="155"/>
      <c r="I178" s="155"/>
      <c r="J178" s="155"/>
      <c r="K178" s="147"/>
    </row>
    <row r="179">
      <c r="A179" s="153">
        <v>178.0</v>
      </c>
      <c r="B179" s="154"/>
      <c r="C179" s="154" t="s">
        <v>208</v>
      </c>
      <c r="D179" s="154" t="s">
        <v>208</v>
      </c>
      <c r="E179" s="154" t="s">
        <v>208</v>
      </c>
      <c r="F179" s="154" t="s">
        <v>208</v>
      </c>
      <c r="G179" s="154" t="s">
        <v>208</v>
      </c>
      <c r="H179" s="155"/>
      <c r="I179" s="155"/>
      <c r="J179" s="155"/>
      <c r="K179" s="147"/>
    </row>
    <row r="180">
      <c r="A180" s="153">
        <v>179.0</v>
      </c>
      <c r="B180" s="154"/>
      <c r="C180" s="154" t="s">
        <v>208</v>
      </c>
      <c r="D180" s="154" t="s">
        <v>208</v>
      </c>
      <c r="E180" s="154" t="s">
        <v>208</v>
      </c>
      <c r="F180" s="154" t="s">
        <v>208</v>
      </c>
      <c r="G180" s="154" t="s">
        <v>208</v>
      </c>
      <c r="H180" s="155"/>
      <c r="I180" s="155"/>
      <c r="J180" s="155"/>
      <c r="K180" s="147"/>
    </row>
    <row r="181">
      <c r="A181" s="153">
        <v>180.0</v>
      </c>
      <c r="B181" s="154"/>
      <c r="C181" s="154" t="s">
        <v>208</v>
      </c>
      <c r="D181" s="154" t="s">
        <v>208</v>
      </c>
      <c r="E181" s="154" t="s">
        <v>208</v>
      </c>
      <c r="F181" s="154" t="s">
        <v>208</v>
      </c>
      <c r="G181" s="154" t="s">
        <v>208</v>
      </c>
      <c r="H181" s="155"/>
      <c r="I181" s="155"/>
      <c r="J181" s="155"/>
      <c r="K181" s="147"/>
    </row>
    <row r="182">
      <c r="A182" s="153">
        <v>181.0</v>
      </c>
      <c r="B182" s="154"/>
      <c r="C182" s="154" t="s">
        <v>208</v>
      </c>
      <c r="D182" s="154" t="s">
        <v>208</v>
      </c>
      <c r="E182" s="154" t="s">
        <v>208</v>
      </c>
      <c r="F182" s="154" t="s">
        <v>208</v>
      </c>
      <c r="G182" s="154" t="s">
        <v>208</v>
      </c>
      <c r="H182" s="155"/>
      <c r="I182" s="155"/>
      <c r="J182" s="155"/>
      <c r="K182" s="147"/>
    </row>
    <row r="183">
      <c r="A183" s="153">
        <v>182.0</v>
      </c>
      <c r="B183" s="154"/>
      <c r="C183" s="154" t="s">
        <v>208</v>
      </c>
      <c r="D183" s="154" t="s">
        <v>218</v>
      </c>
      <c r="E183" s="154" t="s">
        <v>208</v>
      </c>
      <c r="F183" s="154" t="s">
        <v>208</v>
      </c>
      <c r="G183" s="154" t="s">
        <v>208</v>
      </c>
      <c r="H183" s="155"/>
      <c r="I183" s="155"/>
      <c r="J183" s="155"/>
      <c r="K183" s="147"/>
    </row>
    <row r="184">
      <c r="A184" s="153">
        <v>183.0</v>
      </c>
      <c r="B184" s="154"/>
      <c r="C184" s="154" t="s">
        <v>208</v>
      </c>
      <c r="D184" s="154" t="s">
        <v>208</v>
      </c>
      <c r="E184" s="154" t="s">
        <v>208</v>
      </c>
      <c r="F184" s="154" t="s">
        <v>208</v>
      </c>
      <c r="G184" s="154" t="s">
        <v>208</v>
      </c>
      <c r="H184" s="155"/>
      <c r="I184" s="155"/>
      <c r="J184" s="155"/>
      <c r="K184" s="147"/>
    </row>
    <row r="185">
      <c r="A185" s="153">
        <v>184.0</v>
      </c>
      <c r="B185" s="154"/>
      <c r="C185" s="154" t="s">
        <v>208</v>
      </c>
      <c r="D185" s="154" t="s">
        <v>208</v>
      </c>
      <c r="E185" s="154" t="s">
        <v>208</v>
      </c>
      <c r="F185" s="154" t="s">
        <v>208</v>
      </c>
      <c r="G185" s="154" t="s">
        <v>208</v>
      </c>
      <c r="H185" s="155"/>
      <c r="I185" s="155"/>
      <c r="J185" s="155"/>
      <c r="K185" s="147"/>
    </row>
    <row r="186">
      <c r="A186" s="153">
        <v>185.0</v>
      </c>
      <c r="B186" s="154"/>
      <c r="C186" s="154" t="s">
        <v>208</v>
      </c>
      <c r="D186" s="154" t="s">
        <v>208</v>
      </c>
      <c r="E186" s="154" t="s">
        <v>208</v>
      </c>
      <c r="F186" s="154" t="s">
        <v>208</v>
      </c>
      <c r="G186" s="154" t="s">
        <v>208</v>
      </c>
      <c r="H186" s="155"/>
      <c r="I186" s="155"/>
      <c r="J186" s="155"/>
      <c r="K186" s="147"/>
    </row>
    <row r="187">
      <c r="A187" s="153">
        <v>186.0</v>
      </c>
      <c r="B187" s="154"/>
      <c r="C187" s="154" t="s">
        <v>208</v>
      </c>
      <c r="D187" s="154" t="s">
        <v>208</v>
      </c>
      <c r="E187" s="154"/>
      <c r="F187" s="154" t="s">
        <v>208</v>
      </c>
      <c r="G187" s="154" t="s">
        <v>208</v>
      </c>
      <c r="H187" s="155"/>
      <c r="I187" s="155"/>
      <c r="J187" s="155"/>
      <c r="K187" s="147"/>
    </row>
    <row r="188">
      <c r="A188" s="153">
        <v>187.0</v>
      </c>
      <c r="B188" s="155"/>
      <c r="C188" s="154" t="s">
        <v>208</v>
      </c>
      <c r="D188" s="154" t="s">
        <v>208</v>
      </c>
      <c r="E188" s="154" t="s">
        <v>208</v>
      </c>
      <c r="F188" s="154" t="s">
        <v>208</v>
      </c>
      <c r="G188" s="154" t="s">
        <v>208</v>
      </c>
      <c r="H188" s="155"/>
      <c r="I188" s="155"/>
      <c r="J188" s="155"/>
      <c r="K188" s="147"/>
    </row>
    <row r="189">
      <c r="A189" s="153">
        <v>188.0</v>
      </c>
      <c r="B189" s="154"/>
      <c r="C189" s="154" t="s">
        <v>208</v>
      </c>
      <c r="D189" s="154" t="s">
        <v>208</v>
      </c>
      <c r="E189" s="154" t="s">
        <v>208</v>
      </c>
      <c r="F189" s="154" t="s">
        <v>208</v>
      </c>
      <c r="G189" s="154" t="s">
        <v>208</v>
      </c>
      <c r="H189" s="155"/>
      <c r="I189" s="155"/>
      <c r="J189" s="155"/>
      <c r="K189" s="147"/>
    </row>
    <row r="190">
      <c r="A190" s="153">
        <v>189.0</v>
      </c>
      <c r="B190" s="154"/>
      <c r="C190" s="154" t="s">
        <v>208</v>
      </c>
      <c r="D190" s="154" t="s">
        <v>208</v>
      </c>
      <c r="E190" s="154" t="s">
        <v>208</v>
      </c>
      <c r="F190" s="154" t="s">
        <v>208</v>
      </c>
      <c r="G190" s="154" t="s">
        <v>208</v>
      </c>
      <c r="H190" s="155"/>
      <c r="I190" s="155"/>
      <c r="J190" s="155"/>
      <c r="K190" s="147"/>
    </row>
    <row r="191">
      <c r="A191" s="153">
        <v>190.0</v>
      </c>
      <c r="B191" s="154"/>
      <c r="C191" s="154" t="s">
        <v>208</v>
      </c>
      <c r="D191" s="154" t="s">
        <v>208</v>
      </c>
      <c r="E191" s="154" t="s">
        <v>208</v>
      </c>
      <c r="F191" s="154" t="s">
        <v>208</v>
      </c>
      <c r="G191" s="154" t="s">
        <v>208</v>
      </c>
      <c r="H191" s="155"/>
      <c r="I191" s="155"/>
      <c r="J191" s="155"/>
      <c r="K191" s="147"/>
    </row>
    <row r="192">
      <c r="A192" s="153">
        <v>191.0</v>
      </c>
      <c r="B192" s="154"/>
      <c r="C192" s="154" t="s">
        <v>208</v>
      </c>
      <c r="D192" s="154" t="s">
        <v>208</v>
      </c>
      <c r="E192" s="154" t="s">
        <v>208</v>
      </c>
      <c r="F192" s="154" t="s">
        <v>208</v>
      </c>
      <c r="G192" s="154" t="s">
        <v>208</v>
      </c>
      <c r="H192" s="155"/>
      <c r="I192" s="155"/>
      <c r="J192" s="155"/>
      <c r="K192" s="147"/>
    </row>
    <row r="193">
      <c r="A193" s="153">
        <v>192.0</v>
      </c>
      <c r="B193" s="154"/>
      <c r="C193" s="154" t="s">
        <v>208</v>
      </c>
      <c r="D193" s="154" t="s">
        <v>208</v>
      </c>
      <c r="E193" s="154" t="s">
        <v>208</v>
      </c>
      <c r="F193" s="154" t="s">
        <v>208</v>
      </c>
      <c r="G193" s="154" t="s">
        <v>208</v>
      </c>
      <c r="H193" s="155"/>
      <c r="I193" s="155"/>
      <c r="J193" s="155"/>
      <c r="K193" s="147"/>
    </row>
    <row r="194">
      <c r="A194" s="153">
        <v>193.0</v>
      </c>
      <c r="B194" s="154"/>
      <c r="C194" s="154" t="s">
        <v>208</v>
      </c>
      <c r="D194" s="154" t="s">
        <v>208</v>
      </c>
      <c r="E194" s="154"/>
      <c r="F194" s="154" t="s">
        <v>208</v>
      </c>
      <c r="G194" s="154" t="s">
        <v>208</v>
      </c>
      <c r="H194" s="155"/>
      <c r="I194" s="155"/>
      <c r="J194" s="155"/>
      <c r="K194" s="147"/>
    </row>
    <row r="195">
      <c r="A195" s="153">
        <v>194.0</v>
      </c>
      <c r="B195" s="154"/>
      <c r="C195" s="154" t="s">
        <v>208</v>
      </c>
      <c r="D195" s="154" t="s">
        <v>208</v>
      </c>
      <c r="E195" s="154" t="s">
        <v>208</v>
      </c>
      <c r="F195" s="154" t="s">
        <v>208</v>
      </c>
      <c r="G195" s="154" t="s">
        <v>208</v>
      </c>
      <c r="H195" s="155"/>
      <c r="I195" s="155"/>
      <c r="J195" s="155"/>
      <c r="K195" s="147"/>
    </row>
    <row r="196">
      <c r="A196" s="153">
        <v>195.0</v>
      </c>
      <c r="B196" s="154"/>
      <c r="C196" s="154" t="s">
        <v>208</v>
      </c>
      <c r="D196" s="154" t="s">
        <v>208</v>
      </c>
      <c r="E196" s="154" t="s">
        <v>208</v>
      </c>
      <c r="F196" s="154" t="s">
        <v>208</v>
      </c>
      <c r="G196" s="154" t="s">
        <v>208</v>
      </c>
      <c r="H196" s="155"/>
      <c r="I196" s="155"/>
      <c r="J196" s="155"/>
      <c r="K196" s="147"/>
    </row>
    <row r="197">
      <c r="A197" s="153">
        <v>196.0</v>
      </c>
      <c r="B197" s="154"/>
      <c r="C197" s="154" t="s">
        <v>208</v>
      </c>
      <c r="D197" s="154" t="s">
        <v>208</v>
      </c>
      <c r="E197" s="154" t="s">
        <v>208</v>
      </c>
      <c r="F197" s="154" t="s">
        <v>208</v>
      </c>
      <c r="G197" s="154" t="s">
        <v>208</v>
      </c>
      <c r="H197" s="155"/>
      <c r="I197" s="155"/>
      <c r="J197" s="155"/>
      <c r="K197" s="147"/>
    </row>
    <row r="198">
      <c r="A198" s="153">
        <v>197.0</v>
      </c>
      <c r="B198" s="154"/>
      <c r="C198" s="154" t="s">
        <v>208</v>
      </c>
      <c r="D198" s="154" t="s">
        <v>208</v>
      </c>
      <c r="E198" s="154" t="s">
        <v>208</v>
      </c>
      <c r="F198" s="154" t="s">
        <v>208</v>
      </c>
      <c r="G198" s="154" t="s">
        <v>208</v>
      </c>
      <c r="H198" s="155"/>
      <c r="I198" s="155"/>
      <c r="J198" s="155"/>
      <c r="K198" s="147"/>
    </row>
    <row r="199">
      <c r="A199" s="153">
        <v>198.0</v>
      </c>
      <c r="B199" s="154"/>
      <c r="C199" s="154" t="s">
        <v>208</v>
      </c>
      <c r="D199" s="154" t="s">
        <v>208</v>
      </c>
      <c r="E199" s="154" t="s">
        <v>208</v>
      </c>
      <c r="F199" s="154" t="s">
        <v>208</v>
      </c>
      <c r="G199" s="154" t="s">
        <v>208</v>
      </c>
      <c r="H199" s="155"/>
      <c r="I199" s="155"/>
      <c r="J199" s="155"/>
      <c r="K199" s="147"/>
    </row>
    <row r="200">
      <c r="A200" s="153">
        <v>199.0</v>
      </c>
      <c r="B200" s="154"/>
      <c r="C200" s="154" t="s">
        <v>208</v>
      </c>
      <c r="D200" s="154" t="s">
        <v>208</v>
      </c>
      <c r="E200" s="154" t="s">
        <v>208</v>
      </c>
      <c r="F200" s="154" t="s">
        <v>208</v>
      </c>
      <c r="G200" s="154" t="s">
        <v>208</v>
      </c>
      <c r="H200" s="155"/>
      <c r="I200" s="155"/>
      <c r="J200" s="155"/>
      <c r="K200" s="147"/>
    </row>
    <row r="201">
      <c r="A201" s="153">
        <v>200.0</v>
      </c>
      <c r="B201" s="154"/>
      <c r="C201" s="154" t="s">
        <v>208</v>
      </c>
      <c r="D201" s="154" t="s">
        <v>208</v>
      </c>
      <c r="E201" s="154" t="s">
        <v>208</v>
      </c>
      <c r="F201" s="154" t="s">
        <v>208</v>
      </c>
      <c r="G201" s="154" t="s">
        <v>208</v>
      </c>
      <c r="H201" s="155"/>
      <c r="I201" s="155"/>
      <c r="J201" s="155"/>
      <c r="K201" s="147"/>
    </row>
    <row r="202">
      <c r="A202" s="153">
        <v>201.0</v>
      </c>
      <c r="B202" s="154"/>
      <c r="C202" s="154" t="s">
        <v>208</v>
      </c>
      <c r="D202" s="154" t="s">
        <v>208</v>
      </c>
      <c r="E202" s="154" t="s">
        <v>208</v>
      </c>
      <c r="F202" s="154" t="s">
        <v>208</v>
      </c>
      <c r="G202" s="154" t="s">
        <v>208</v>
      </c>
      <c r="H202" s="155"/>
      <c r="I202" s="155"/>
      <c r="J202" s="155"/>
      <c r="K202" s="147"/>
    </row>
    <row r="203">
      <c r="A203" s="153">
        <v>202.0</v>
      </c>
      <c r="B203" s="154"/>
      <c r="C203" s="154" t="s">
        <v>208</v>
      </c>
      <c r="D203" s="154" t="s">
        <v>208</v>
      </c>
      <c r="E203" s="154" t="s">
        <v>208</v>
      </c>
      <c r="F203" s="154" t="s">
        <v>208</v>
      </c>
      <c r="G203" s="154" t="s">
        <v>208</v>
      </c>
      <c r="H203" s="155"/>
      <c r="I203" s="155"/>
      <c r="J203" s="155"/>
      <c r="K203" s="147"/>
    </row>
    <row r="204">
      <c r="A204" s="153">
        <v>203.0</v>
      </c>
      <c r="B204" s="154"/>
      <c r="C204" s="154" t="s">
        <v>208</v>
      </c>
      <c r="D204" s="154" t="s">
        <v>208</v>
      </c>
      <c r="E204" s="154" t="s">
        <v>208</v>
      </c>
      <c r="F204" s="154" t="s">
        <v>208</v>
      </c>
      <c r="G204" s="154" t="s">
        <v>208</v>
      </c>
      <c r="H204" s="155"/>
      <c r="I204" s="155"/>
      <c r="J204" s="155"/>
      <c r="K204" s="147"/>
    </row>
    <row r="205">
      <c r="A205" s="153">
        <v>204.0</v>
      </c>
      <c r="B205" s="154"/>
      <c r="C205" s="154" t="s">
        <v>208</v>
      </c>
      <c r="D205" s="154" t="s">
        <v>208</v>
      </c>
      <c r="E205" s="154" t="s">
        <v>208</v>
      </c>
      <c r="F205" s="154" t="s">
        <v>208</v>
      </c>
      <c r="G205" s="154" t="s">
        <v>208</v>
      </c>
      <c r="H205" s="155"/>
      <c r="I205" s="155"/>
      <c r="J205" s="155"/>
      <c r="K205" s="147"/>
    </row>
    <row r="206">
      <c r="A206" s="153">
        <v>205.0</v>
      </c>
      <c r="B206" s="154"/>
      <c r="C206" s="154" t="s">
        <v>208</v>
      </c>
      <c r="D206" s="154" t="s">
        <v>208</v>
      </c>
      <c r="E206" s="154" t="s">
        <v>208</v>
      </c>
      <c r="F206" s="154" t="s">
        <v>208</v>
      </c>
      <c r="G206" s="154" t="s">
        <v>208</v>
      </c>
      <c r="H206" s="155"/>
      <c r="I206" s="155"/>
      <c r="J206" s="155"/>
      <c r="K206" s="147"/>
    </row>
    <row r="207">
      <c r="A207" s="153">
        <v>206.0</v>
      </c>
      <c r="B207" s="154"/>
      <c r="C207" s="154" t="s">
        <v>208</v>
      </c>
      <c r="D207" s="154" t="s">
        <v>208</v>
      </c>
      <c r="E207" s="154" t="s">
        <v>208</v>
      </c>
      <c r="F207" s="154" t="s">
        <v>208</v>
      </c>
      <c r="G207" s="154" t="s">
        <v>208</v>
      </c>
      <c r="H207" s="155"/>
      <c r="I207" s="155"/>
      <c r="J207" s="155"/>
      <c r="K207" s="147"/>
    </row>
    <row r="208">
      <c r="A208" s="153">
        <v>207.0</v>
      </c>
      <c r="B208" s="154"/>
      <c r="C208" s="154" t="s">
        <v>208</v>
      </c>
      <c r="D208" s="154" t="s">
        <v>208</v>
      </c>
      <c r="E208" s="154" t="s">
        <v>208</v>
      </c>
      <c r="F208" s="154" t="s">
        <v>208</v>
      </c>
      <c r="G208" s="154" t="s">
        <v>208</v>
      </c>
      <c r="H208" s="155"/>
      <c r="I208" s="155"/>
      <c r="J208" s="155"/>
      <c r="K208" s="147"/>
    </row>
    <row r="209">
      <c r="A209" s="153">
        <v>208.0</v>
      </c>
      <c r="B209" s="155"/>
      <c r="C209" s="154" t="s">
        <v>208</v>
      </c>
      <c r="D209" s="154" t="s">
        <v>208</v>
      </c>
      <c r="E209" s="154" t="s">
        <v>208</v>
      </c>
      <c r="F209" s="154" t="s">
        <v>208</v>
      </c>
      <c r="G209" s="154" t="s">
        <v>208</v>
      </c>
      <c r="H209" s="155"/>
      <c r="I209" s="155"/>
      <c r="J209" s="155"/>
      <c r="K209" s="147"/>
    </row>
    <row r="210">
      <c r="A210" s="153">
        <v>209.0</v>
      </c>
      <c r="B210" s="154"/>
      <c r="C210" s="154" t="s">
        <v>208</v>
      </c>
      <c r="D210" s="154" t="s">
        <v>208</v>
      </c>
      <c r="E210" s="154" t="s">
        <v>208</v>
      </c>
      <c r="F210" s="154" t="s">
        <v>208</v>
      </c>
      <c r="G210" s="154" t="s">
        <v>208</v>
      </c>
      <c r="H210" s="153"/>
      <c r="I210" s="155"/>
      <c r="J210" s="155"/>
      <c r="K210" s="147"/>
    </row>
    <row r="211">
      <c r="A211" s="153">
        <v>210.0</v>
      </c>
      <c r="B211" s="154"/>
      <c r="C211" s="154" t="s">
        <v>208</v>
      </c>
      <c r="D211" s="154" t="s">
        <v>208</v>
      </c>
      <c r="E211" s="154" t="s">
        <v>208</v>
      </c>
      <c r="F211" s="154" t="s">
        <v>208</v>
      </c>
      <c r="G211" s="154" t="s">
        <v>208</v>
      </c>
      <c r="H211" s="155"/>
      <c r="I211" s="155"/>
      <c r="J211" s="155"/>
      <c r="K211" s="147"/>
    </row>
    <row r="212">
      <c r="A212" s="153">
        <v>211.0</v>
      </c>
      <c r="B212" s="154"/>
      <c r="C212" s="154"/>
      <c r="D212" s="154"/>
      <c r="E212" s="154"/>
      <c r="F212" s="154"/>
      <c r="G212" s="155"/>
      <c r="H212" s="155"/>
      <c r="I212" s="155"/>
      <c r="J212" s="154" t="s">
        <v>217</v>
      </c>
      <c r="K212" s="147"/>
    </row>
    <row r="213">
      <c r="A213" s="153">
        <v>212.0</v>
      </c>
      <c r="B213" s="154" t="s">
        <v>208</v>
      </c>
      <c r="C213" s="154"/>
      <c r="D213" s="154" t="s">
        <v>208</v>
      </c>
      <c r="E213" s="154" t="s">
        <v>208</v>
      </c>
      <c r="F213" s="154" t="s">
        <v>208</v>
      </c>
      <c r="G213" s="154" t="s">
        <v>208</v>
      </c>
      <c r="H213" s="155"/>
      <c r="I213" s="155"/>
      <c r="J213" s="155"/>
      <c r="K213" s="147"/>
    </row>
    <row r="214">
      <c r="A214" s="153">
        <v>213.0</v>
      </c>
      <c r="B214" s="154"/>
      <c r="C214" s="154" t="s">
        <v>208</v>
      </c>
      <c r="D214" s="154" t="s">
        <v>208</v>
      </c>
      <c r="E214" s="154" t="s">
        <v>208</v>
      </c>
      <c r="F214" s="154" t="s">
        <v>208</v>
      </c>
      <c r="G214" s="154" t="s">
        <v>208</v>
      </c>
      <c r="H214" s="155"/>
      <c r="I214" s="155"/>
      <c r="J214" s="155"/>
      <c r="K214" s="147"/>
    </row>
    <row r="215">
      <c r="A215" s="153">
        <v>214.0</v>
      </c>
      <c r="B215" s="154"/>
      <c r="C215" s="154"/>
      <c r="D215" s="154" t="s">
        <v>208</v>
      </c>
      <c r="E215" s="154" t="s">
        <v>208</v>
      </c>
      <c r="F215" s="154" t="s">
        <v>208</v>
      </c>
      <c r="G215" s="154" t="s">
        <v>208</v>
      </c>
      <c r="H215" s="155"/>
      <c r="I215" s="155"/>
      <c r="J215" s="155"/>
      <c r="K215" s="147"/>
    </row>
    <row r="216">
      <c r="A216" s="153">
        <v>215.0</v>
      </c>
      <c r="B216" s="155"/>
      <c r="C216" s="154" t="s">
        <v>208</v>
      </c>
      <c r="D216" s="154" t="s">
        <v>208</v>
      </c>
      <c r="E216" s="154" t="s">
        <v>208</v>
      </c>
      <c r="F216" s="154" t="s">
        <v>208</v>
      </c>
      <c r="G216" s="154" t="s">
        <v>208</v>
      </c>
      <c r="H216" s="155"/>
      <c r="I216" s="155"/>
      <c r="J216" s="155"/>
      <c r="K216" s="147"/>
    </row>
    <row r="217">
      <c r="A217" s="153">
        <v>216.0</v>
      </c>
      <c r="B217" s="154"/>
      <c r="C217" s="154" t="s">
        <v>208</v>
      </c>
      <c r="D217" s="154" t="s">
        <v>208</v>
      </c>
      <c r="E217" s="154" t="s">
        <v>208</v>
      </c>
      <c r="F217" s="154" t="s">
        <v>208</v>
      </c>
      <c r="G217" s="154" t="s">
        <v>208</v>
      </c>
      <c r="H217" s="155"/>
      <c r="I217" s="155"/>
      <c r="J217" s="155"/>
      <c r="K217" s="147"/>
    </row>
    <row r="218">
      <c r="A218" s="153">
        <v>217.0</v>
      </c>
      <c r="B218" s="154"/>
      <c r="C218" s="154" t="s">
        <v>208</v>
      </c>
      <c r="D218" s="154" t="s">
        <v>208</v>
      </c>
      <c r="E218" s="154" t="s">
        <v>208</v>
      </c>
      <c r="F218" s="154" t="s">
        <v>208</v>
      </c>
      <c r="G218" s="154" t="s">
        <v>208</v>
      </c>
      <c r="H218" s="155"/>
      <c r="I218" s="155"/>
      <c r="J218" s="155"/>
      <c r="K218" s="147"/>
    </row>
    <row r="219">
      <c r="A219" s="153">
        <v>218.0</v>
      </c>
      <c r="B219" s="154"/>
      <c r="C219" s="154" t="s">
        <v>208</v>
      </c>
      <c r="D219" s="154" t="s">
        <v>208</v>
      </c>
      <c r="E219" s="154" t="s">
        <v>208</v>
      </c>
      <c r="F219" s="154" t="s">
        <v>208</v>
      </c>
      <c r="G219" s="154" t="s">
        <v>208</v>
      </c>
      <c r="H219" s="155"/>
      <c r="I219" s="155"/>
      <c r="J219" s="155"/>
      <c r="K219" s="147"/>
    </row>
    <row r="220">
      <c r="A220" s="153">
        <v>219.0</v>
      </c>
      <c r="B220" s="154"/>
      <c r="C220" s="154" t="s">
        <v>208</v>
      </c>
      <c r="D220" s="154" t="s">
        <v>208</v>
      </c>
      <c r="E220" s="154" t="s">
        <v>208</v>
      </c>
      <c r="F220" s="154" t="s">
        <v>208</v>
      </c>
      <c r="G220" s="155"/>
      <c r="H220" s="155"/>
      <c r="I220" s="155"/>
      <c r="J220" s="155"/>
      <c r="K220" s="147"/>
    </row>
    <row r="221">
      <c r="A221" s="177">
        <v>220.0</v>
      </c>
      <c r="B221" s="154"/>
      <c r="C221" s="154" t="s">
        <v>208</v>
      </c>
      <c r="D221" s="154"/>
      <c r="E221" s="154"/>
      <c r="F221" s="154" t="s">
        <v>208</v>
      </c>
      <c r="G221" s="155"/>
      <c r="H221" s="155"/>
      <c r="I221" s="155"/>
      <c r="J221" s="154"/>
      <c r="K221" s="147"/>
    </row>
    <row r="222">
      <c r="A222" s="177">
        <v>220.0</v>
      </c>
      <c r="B222" s="155"/>
      <c r="C222" s="154" t="s">
        <v>208</v>
      </c>
      <c r="D222" s="154"/>
      <c r="E222" s="154"/>
      <c r="F222" s="154" t="s">
        <v>208</v>
      </c>
      <c r="G222" s="154"/>
      <c r="H222" s="155"/>
      <c r="I222" s="154"/>
      <c r="J222" s="154"/>
      <c r="K222" s="147"/>
    </row>
    <row r="223">
      <c r="A223" s="153">
        <v>221.0</v>
      </c>
      <c r="B223" s="155"/>
      <c r="C223" s="154"/>
      <c r="D223" s="154" t="s">
        <v>208</v>
      </c>
      <c r="E223" s="154"/>
      <c r="F223" s="155"/>
      <c r="G223" s="154"/>
      <c r="H223" s="155"/>
      <c r="I223" s="154" t="s">
        <v>208</v>
      </c>
      <c r="J223" s="154"/>
      <c r="K223" s="147"/>
    </row>
    <row r="224">
      <c r="A224" s="153">
        <v>222.0</v>
      </c>
      <c r="B224" s="154"/>
      <c r="C224" s="154"/>
      <c r="D224" s="154" t="s">
        <v>208</v>
      </c>
      <c r="E224" s="154"/>
      <c r="F224" s="154"/>
      <c r="G224" s="155"/>
      <c r="H224" s="154"/>
      <c r="I224" s="154" t="s">
        <v>208</v>
      </c>
      <c r="J224" s="154"/>
      <c r="K224" s="147"/>
    </row>
    <row r="225">
      <c r="A225" s="153">
        <v>223.0</v>
      </c>
      <c r="B225" s="154"/>
      <c r="C225" s="154"/>
      <c r="D225" s="154"/>
      <c r="E225" s="154"/>
      <c r="F225" s="154"/>
      <c r="G225" s="155"/>
      <c r="H225" s="155"/>
      <c r="I225" s="155"/>
      <c r="J225" s="154" t="s">
        <v>217</v>
      </c>
      <c r="K225" s="147"/>
    </row>
    <row r="226">
      <c r="A226" s="153">
        <v>224.0</v>
      </c>
      <c r="B226" s="155"/>
      <c r="C226" s="154"/>
      <c r="D226" s="154"/>
      <c r="E226" s="154"/>
      <c r="F226" s="155"/>
      <c r="G226" s="154"/>
      <c r="H226" s="155"/>
      <c r="I226" s="155"/>
      <c r="J226" s="154" t="s">
        <v>217</v>
      </c>
      <c r="K226" s="147"/>
    </row>
    <row r="227">
      <c r="A227" s="153">
        <v>225.0</v>
      </c>
      <c r="B227" s="155"/>
      <c r="C227" s="154"/>
      <c r="D227" s="154"/>
      <c r="E227" s="154"/>
      <c r="F227" s="155"/>
      <c r="G227" s="154"/>
      <c r="H227" s="155"/>
      <c r="I227" s="155"/>
      <c r="J227" s="154" t="s">
        <v>217</v>
      </c>
      <c r="K227" s="147"/>
    </row>
    <row r="228">
      <c r="A228" s="177">
        <v>226.0</v>
      </c>
      <c r="B228" s="154"/>
      <c r="C228" s="154"/>
      <c r="D228" s="154"/>
      <c r="E228" s="154"/>
      <c r="F228" s="154"/>
      <c r="G228" s="154" t="s">
        <v>208</v>
      </c>
      <c r="H228" s="155"/>
      <c r="I228" s="155"/>
      <c r="J228" s="154"/>
      <c r="K228" s="147"/>
    </row>
    <row r="229">
      <c r="A229" s="177">
        <v>226.0</v>
      </c>
      <c r="B229" s="154"/>
      <c r="C229" s="154"/>
      <c r="D229" s="154"/>
      <c r="E229" s="154"/>
      <c r="F229" s="154"/>
      <c r="G229" s="154" t="s">
        <v>208</v>
      </c>
      <c r="H229" s="155"/>
      <c r="I229" s="155"/>
      <c r="J229" s="154"/>
      <c r="K229" s="147"/>
    </row>
    <row r="230">
      <c r="A230" s="153">
        <v>227.0</v>
      </c>
      <c r="B230" s="154"/>
      <c r="C230" s="154"/>
      <c r="D230" s="154"/>
      <c r="E230" s="154"/>
      <c r="F230" s="154"/>
      <c r="G230" s="155"/>
      <c r="H230" s="155"/>
      <c r="I230" s="155"/>
      <c r="J230" s="154" t="s">
        <v>217</v>
      </c>
      <c r="K230" s="147"/>
    </row>
    <row r="231">
      <c r="A231" s="153">
        <v>228.0</v>
      </c>
      <c r="B231" s="154"/>
      <c r="C231" s="154"/>
      <c r="D231" s="154"/>
      <c r="E231" s="154"/>
      <c r="F231" s="154"/>
      <c r="G231" s="155"/>
      <c r="H231" s="155"/>
      <c r="I231" s="155"/>
      <c r="J231" s="154" t="s">
        <v>217</v>
      </c>
      <c r="K231" s="147"/>
    </row>
    <row r="232">
      <c r="A232" s="153">
        <v>229.0</v>
      </c>
      <c r="B232" s="154"/>
      <c r="C232" s="154"/>
      <c r="D232" s="154"/>
      <c r="E232" s="154"/>
      <c r="F232" s="154"/>
      <c r="G232" s="155"/>
      <c r="H232" s="155"/>
      <c r="I232" s="155"/>
      <c r="J232" s="154" t="s">
        <v>217</v>
      </c>
      <c r="K232" s="147"/>
    </row>
    <row r="233">
      <c r="A233" s="153">
        <v>230.0</v>
      </c>
      <c r="B233" s="154"/>
      <c r="C233" s="154" t="s">
        <v>208</v>
      </c>
      <c r="D233" s="154" t="s">
        <v>208</v>
      </c>
      <c r="E233" s="154"/>
      <c r="F233" s="154" t="s">
        <v>208</v>
      </c>
      <c r="G233" s="154" t="s">
        <v>208</v>
      </c>
      <c r="H233" s="155"/>
      <c r="I233" s="155"/>
      <c r="J233" s="155"/>
      <c r="K233" s="147"/>
    </row>
    <row r="234">
      <c r="A234" s="153">
        <v>231.0</v>
      </c>
      <c r="B234" s="154"/>
      <c r="C234" s="154"/>
      <c r="D234" s="154"/>
      <c r="E234" s="154"/>
      <c r="F234" s="154"/>
      <c r="G234" s="155"/>
      <c r="H234" s="155"/>
      <c r="I234" s="155"/>
      <c r="J234" s="154" t="s">
        <v>217</v>
      </c>
      <c r="K234" s="147"/>
    </row>
    <row r="235">
      <c r="A235" s="153">
        <v>232.0</v>
      </c>
      <c r="B235" s="154"/>
      <c r="C235" s="154" t="s">
        <v>208</v>
      </c>
      <c r="D235" s="154" t="s">
        <v>208</v>
      </c>
      <c r="E235" s="154" t="s">
        <v>208</v>
      </c>
      <c r="F235" s="154" t="s">
        <v>208</v>
      </c>
      <c r="G235" s="154" t="s">
        <v>208</v>
      </c>
      <c r="H235" s="155"/>
      <c r="I235" s="155"/>
      <c r="J235" s="155"/>
      <c r="K235" s="147"/>
    </row>
    <row r="236">
      <c r="A236" s="153">
        <v>233.0</v>
      </c>
      <c r="B236" s="154"/>
      <c r="C236" s="154" t="s">
        <v>208</v>
      </c>
      <c r="D236" s="154" t="s">
        <v>208</v>
      </c>
      <c r="E236" s="154" t="s">
        <v>208</v>
      </c>
      <c r="F236" s="154" t="s">
        <v>208</v>
      </c>
      <c r="G236" s="154" t="s">
        <v>208</v>
      </c>
      <c r="H236" s="155"/>
      <c r="I236" s="155"/>
      <c r="J236" s="155"/>
      <c r="K236" s="147"/>
    </row>
    <row r="237">
      <c r="A237" s="153">
        <v>234.0</v>
      </c>
      <c r="B237" s="154"/>
      <c r="C237" s="154" t="s">
        <v>208</v>
      </c>
      <c r="D237" s="154" t="s">
        <v>208</v>
      </c>
      <c r="E237" s="154" t="s">
        <v>208</v>
      </c>
      <c r="F237" s="154" t="s">
        <v>208</v>
      </c>
      <c r="G237" s="154" t="s">
        <v>208</v>
      </c>
      <c r="H237" s="155"/>
      <c r="I237" s="155"/>
      <c r="J237" s="155"/>
      <c r="K237" s="147"/>
    </row>
    <row r="238">
      <c r="A238" s="153">
        <v>235.0</v>
      </c>
      <c r="B238" s="154"/>
      <c r="C238" s="154" t="s">
        <v>208</v>
      </c>
      <c r="D238" s="154" t="s">
        <v>208</v>
      </c>
      <c r="E238" s="154" t="s">
        <v>208</v>
      </c>
      <c r="F238" s="154" t="s">
        <v>208</v>
      </c>
      <c r="G238" s="154" t="s">
        <v>208</v>
      </c>
      <c r="H238" s="155"/>
      <c r="I238" s="155"/>
      <c r="J238" s="155"/>
      <c r="K238" s="147"/>
    </row>
    <row r="239">
      <c r="A239" s="153">
        <v>236.0</v>
      </c>
      <c r="B239" s="154"/>
      <c r="C239" s="154" t="s">
        <v>208</v>
      </c>
      <c r="D239" s="154" t="s">
        <v>208</v>
      </c>
      <c r="E239" s="154" t="s">
        <v>208</v>
      </c>
      <c r="F239" s="154" t="s">
        <v>208</v>
      </c>
      <c r="G239" s="154" t="s">
        <v>208</v>
      </c>
      <c r="H239" s="155"/>
      <c r="I239" s="155"/>
      <c r="J239" s="155"/>
      <c r="K239" s="147"/>
    </row>
    <row r="240">
      <c r="A240" s="153">
        <v>237.0</v>
      </c>
      <c r="B240" s="154"/>
      <c r="C240" s="154" t="s">
        <v>208</v>
      </c>
      <c r="D240" s="154" t="s">
        <v>208</v>
      </c>
      <c r="E240" s="154" t="s">
        <v>208</v>
      </c>
      <c r="F240" s="154" t="s">
        <v>208</v>
      </c>
      <c r="G240" s="154" t="s">
        <v>208</v>
      </c>
      <c r="H240" s="155"/>
      <c r="I240" s="155"/>
      <c r="J240" s="155"/>
      <c r="K240" s="147"/>
    </row>
    <row r="241">
      <c r="A241" s="153">
        <v>238.0</v>
      </c>
      <c r="B241" s="154"/>
      <c r="C241" s="154" t="s">
        <v>208</v>
      </c>
      <c r="D241" s="154" t="s">
        <v>208</v>
      </c>
      <c r="E241" s="154" t="s">
        <v>208</v>
      </c>
      <c r="F241" s="154" t="s">
        <v>208</v>
      </c>
      <c r="G241" s="154" t="s">
        <v>208</v>
      </c>
      <c r="H241" s="155"/>
      <c r="I241" s="155"/>
      <c r="J241" s="155"/>
      <c r="K241" s="147"/>
    </row>
    <row r="242">
      <c r="A242" s="153">
        <v>239.0</v>
      </c>
      <c r="B242" s="154"/>
      <c r="C242" s="154"/>
      <c r="D242" s="154" t="s">
        <v>208</v>
      </c>
      <c r="E242" s="154" t="s">
        <v>208</v>
      </c>
      <c r="F242" s="154" t="s">
        <v>208</v>
      </c>
      <c r="G242" s="155"/>
      <c r="H242" s="154" t="s">
        <v>208</v>
      </c>
      <c r="I242" s="155"/>
      <c r="J242" s="155"/>
      <c r="K242" s="147"/>
    </row>
    <row r="243">
      <c r="A243" s="153">
        <v>240.0</v>
      </c>
      <c r="B243" s="154"/>
      <c r="C243" s="154" t="s">
        <v>208</v>
      </c>
      <c r="D243" s="154" t="s">
        <v>208</v>
      </c>
      <c r="E243" s="154" t="s">
        <v>208</v>
      </c>
      <c r="F243" s="154" t="s">
        <v>218</v>
      </c>
      <c r="G243" s="154" t="s">
        <v>208</v>
      </c>
      <c r="H243" s="155"/>
      <c r="I243" s="155"/>
      <c r="J243" s="155"/>
      <c r="K243" s="147"/>
    </row>
    <row r="244">
      <c r="A244" s="153">
        <v>241.0</v>
      </c>
      <c r="B244" s="155"/>
      <c r="C244" s="154" t="s">
        <v>208</v>
      </c>
      <c r="D244" s="154" t="s">
        <v>208</v>
      </c>
      <c r="E244" s="154" t="s">
        <v>208</v>
      </c>
      <c r="F244" s="154" t="s">
        <v>208</v>
      </c>
      <c r="G244" s="154" t="s">
        <v>208</v>
      </c>
      <c r="H244" s="155"/>
      <c r="I244" s="155"/>
      <c r="J244" s="155"/>
      <c r="K244" s="147"/>
    </row>
    <row r="245">
      <c r="A245" s="153">
        <v>242.0</v>
      </c>
      <c r="B245" s="154"/>
      <c r="C245" s="154" t="s">
        <v>208</v>
      </c>
      <c r="D245" s="154" t="s">
        <v>208</v>
      </c>
      <c r="E245" s="154" t="s">
        <v>208</v>
      </c>
      <c r="F245" s="154" t="s">
        <v>208</v>
      </c>
      <c r="G245" s="154" t="s">
        <v>208</v>
      </c>
      <c r="H245" s="155"/>
      <c r="I245" s="155"/>
      <c r="J245" s="155"/>
      <c r="K245" s="147"/>
    </row>
    <row r="246">
      <c r="A246" s="153">
        <v>243.0</v>
      </c>
      <c r="B246" s="154"/>
      <c r="C246" s="154" t="s">
        <v>208</v>
      </c>
      <c r="D246" s="154" t="s">
        <v>208</v>
      </c>
      <c r="E246" s="154" t="s">
        <v>208</v>
      </c>
      <c r="F246" s="154" t="s">
        <v>208</v>
      </c>
      <c r="G246" s="154" t="s">
        <v>208</v>
      </c>
      <c r="H246" s="155"/>
      <c r="I246" s="155"/>
      <c r="J246" s="155"/>
      <c r="K246" s="147"/>
    </row>
    <row r="247">
      <c r="A247" s="153">
        <v>244.0</v>
      </c>
      <c r="B247" s="154"/>
      <c r="C247" s="154" t="s">
        <v>208</v>
      </c>
      <c r="D247" s="154" t="s">
        <v>208</v>
      </c>
      <c r="E247" s="154" t="s">
        <v>208</v>
      </c>
      <c r="F247" s="154" t="s">
        <v>208</v>
      </c>
      <c r="G247" s="154" t="s">
        <v>208</v>
      </c>
      <c r="H247" s="155"/>
      <c r="I247" s="155"/>
      <c r="J247" s="155"/>
      <c r="K247" s="147"/>
    </row>
    <row r="248">
      <c r="A248" s="153">
        <v>245.0</v>
      </c>
      <c r="B248" s="155"/>
      <c r="C248" s="154" t="s">
        <v>208</v>
      </c>
      <c r="D248" s="154" t="s">
        <v>208</v>
      </c>
      <c r="E248" s="154" t="s">
        <v>208</v>
      </c>
      <c r="F248" s="154" t="s">
        <v>208</v>
      </c>
      <c r="G248" s="154" t="s">
        <v>208</v>
      </c>
      <c r="H248" s="155"/>
      <c r="I248" s="155"/>
      <c r="J248" s="155"/>
      <c r="K248" s="147"/>
    </row>
    <row r="249">
      <c r="A249" s="153">
        <v>246.0</v>
      </c>
      <c r="B249" s="154"/>
      <c r="C249" s="154" t="s">
        <v>208</v>
      </c>
      <c r="D249" s="154" t="s">
        <v>208</v>
      </c>
      <c r="E249" s="154" t="s">
        <v>208</v>
      </c>
      <c r="F249" s="154" t="s">
        <v>208</v>
      </c>
      <c r="G249" s="154" t="s">
        <v>208</v>
      </c>
      <c r="H249" s="155"/>
      <c r="I249" s="155"/>
      <c r="J249" s="155"/>
      <c r="K249" s="147"/>
    </row>
    <row r="250">
      <c r="A250" s="153">
        <v>247.0</v>
      </c>
      <c r="B250" s="154"/>
      <c r="C250" s="154"/>
      <c r="D250" s="154" t="s">
        <v>208</v>
      </c>
      <c r="E250" s="154" t="s">
        <v>208</v>
      </c>
      <c r="F250" s="154" t="s">
        <v>208</v>
      </c>
      <c r="G250" s="155"/>
      <c r="H250" s="154" t="s">
        <v>208</v>
      </c>
      <c r="I250" s="155"/>
      <c r="J250" s="155"/>
      <c r="K250" s="147"/>
    </row>
    <row r="251">
      <c r="A251" s="153">
        <v>248.0</v>
      </c>
      <c r="B251" s="154"/>
      <c r="C251" s="154" t="s">
        <v>208</v>
      </c>
      <c r="D251" s="154" t="s">
        <v>208</v>
      </c>
      <c r="E251" s="154" t="s">
        <v>208</v>
      </c>
      <c r="F251" s="154" t="s">
        <v>208</v>
      </c>
      <c r="G251" s="154" t="s">
        <v>208</v>
      </c>
      <c r="H251" s="155"/>
      <c r="I251" s="155"/>
      <c r="J251" s="155"/>
      <c r="K251" s="147"/>
    </row>
    <row r="252">
      <c r="A252" s="153">
        <v>249.0</v>
      </c>
      <c r="B252" s="154"/>
      <c r="C252" s="154" t="s">
        <v>208</v>
      </c>
      <c r="D252" s="154" t="s">
        <v>208</v>
      </c>
      <c r="E252" s="154" t="s">
        <v>208</v>
      </c>
      <c r="F252" s="154" t="s">
        <v>208</v>
      </c>
      <c r="G252" s="154" t="s">
        <v>208</v>
      </c>
      <c r="H252" s="155"/>
      <c r="I252" s="155"/>
      <c r="J252" s="155"/>
      <c r="K252" s="147"/>
    </row>
    <row r="253">
      <c r="A253" s="153">
        <v>250.0</v>
      </c>
      <c r="B253" s="154"/>
      <c r="C253" s="154" t="s">
        <v>208</v>
      </c>
      <c r="D253" s="154" t="s">
        <v>208</v>
      </c>
      <c r="E253" s="154" t="s">
        <v>208</v>
      </c>
      <c r="F253" s="154" t="s">
        <v>208</v>
      </c>
      <c r="G253" s="154" t="s">
        <v>208</v>
      </c>
      <c r="H253" s="155"/>
      <c r="I253" s="155"/>
      <c r="J253" s="155"/>
      <c r="K253" s="147"/>
    </row>
    <row r="254">
      <c r="A254" s="153">
        <v>251.0</v>
      </c>
      <c r="B254" s="154"/>
      <c r="C254" s="154" t="s">
        <v>208</v>
      </c>
      <c r="D254" s="154" t="s">
        <v>208</v>
      </c>
      <c r="E254" s="154" t="s">
        <v>208</v>
      </c>
      <c r="F254" s="154" t="s">
        <v>208</v>
      </c>
      <c r="G254" s="154" t="s">
        <v>208</v>
      </c>
      <c r="H254" s="155"/>
      <c r="I254" s="155"/>
      <c r="J254" s="155"/>
      <c r="K254" s="147"/>
    </row>
    <row r="255">
      <c r="A255" s="153">
        <v>252.0</v>
      </c>
      <c r="B255" s="154"/>
      <c r="C255" s="154" t="s">
        <v>208</v>
      </c>
      <c r="D255" s="154" t="s">
        <v>208</v>
      </c>
      <c r="E255" s="154" t="s">
        <v>208</v>
      </c>
      <c r="F255" s="154" t="s">
        <v>208</v>
      </c>
      <c r="G255" s="154" t="s">
        <v>208</v>
      </c>
      <c r="H255" s="155"/>
      <c r="I255" s="155"/>
      <c r="J255" s="155"/>
      <c r="K255" s="147"/>
    </row>
    <row r="256">
      <c r="A256" s="153">
        <v>253.0</v>
      </c>
      <c r="B256" s="154"/>
      <c r="C256" s="154" t="s">
        <v>208</v>
      </c>
      <c r="D256" s="154" t="s">
        <v>208</v>
      </c>
      <c r="E256" s="154" t="s">
        <v>208</v>
      </c>
      <c r="F256" s="154" t="s">
        <v>208</v>
      </c>
      <c r="G256" s="154" t="s">
        <v>208</v>
      </c>
      <c r="H256" s="155"/>
      <c r="I256" s="155"/>
      <c r="J256" s="155"/>
      <c r="K256" s="147"/>
    </row>
    <row r="257">
      <c r="A257" s="153">
        <v>254.0</v>
      </c>
      <c r="B257" s="154"/>
      <c r="C257" s="154"/>
      <c r="D257" s="154" t="s">
        <v>208</v>
      </c>
      <c r="E257" s="154" t="s">
        <v>208</v>
      </c>
      <c r="F257" s="154" t="s">
        <v>208</v>
      </c>
      <c r="G257" s="155"/>
      <c r="H257" s="154" t="s">
        <v>208</v>
      </c>
      <c r="I257" s="155"/>
      <c r="J257" s="155"/>
      <c r="K257" s="147"/>
    </row>
    <row r="258">
      <c r="A258" s="153">
        <v>255.0</v>
      </c>
      <c r="B258" s="154"/>
      <c r="C258" s="154" t="s">
        <v>208</v>
      </c>
      <c r="D258" s="154" t="s">
        <v>218</v>
      </c>
      <c r="E258" s="154" t="s">
        <v>208</v>
      </c>
      <c r="F258" s="154" t="s">
        <v>208</v>
      </c>
      <c r="G258" s="154" t="s">
        <v>208</v>
      </c>
      <c r="H258" s="155"/>
      <c r="I258" s="155"/>
      <c r="J258" s="155"/>
      <c r="K258" s="147"/>
    </row>
    <row r="259">
      <c r="A259" s="153">
        <v>256.0</v>
      </c>
      <c r="B259" s="154"/>
      <c r="C259" s="154" t="s">
        <v>208</v>
      </c>
      <c r="D259" s="154" t="s">
        <v>208</v>
      </c>
      <c r="E259" s="154" t="s">
        <v>208</v>
      </c>
      <c r="F259" s="154" t="s">
        <v>208</v>
      </c>
      <c r="G259" s="154" t="s">
        <v>208</v>
      </c>
      <c r="H259" s="155"/>
      <c r="I259" s="155"/>
      <c r="J259" s="155"/>
      <c r="K259" s="147"/>
    </row>
    <row r="260">
      <c r="A260" s="153">
        <v>257.0</v>
      </c>
      <c r="B260" s="154"/>
      <c r="C260" s="154" t="s">
        <v>208</v>
      </c>
      <c r="D260" s="154" t="s">
        <v>208</v>
      </c>
      <c r="E260" s="154" t="s">
        <v>208</v>
      </c>
      <c r="F260" s="154" t="s">
        <v>208</v>
      </c>
      <c r="G260" s="154" t="s">
        <v>208</v>
      </c>
      <c r="H260" s="155"/>
      <c r="I260" s="155"/>
      <c r="J260" s="155"/>
      <c r="K260" s="147"/>
    </row>
    <row r="261">
      <c r="A261" s="153">
        <v>258.0</v>
      </c>
      <c r="B261" s="154"/>
      <c r="C261" s="154" t="s">
        <v>208</v>
      </c>
      <c r="D261" s="154" t="s">
        <v>208</v>
      </c>
      <c r="E261" s="154" t="s">
        <v>208</v>
      </c>
      <c r="F261" s="154" t="s">
        <v>208</v>
      </c>
      <c r="G261" s="154" t="s">
        <v>208</v>
      </c>
      <c r="H261" s="155"/>
      <c r="I261" s="155"/>
      <c r="J261" s="155"/>
      <c r="K261" s="147"/>
    </row>
    <row r="262">
      <c r="A262" s="153">
        <v>259.0</v>
      </c>
      <c r="B262" s="154"/>
      <c r="C262" s="154" t="s">
        <v>208</v>
      </c>
      <c r="D262" s="154" t="s">
        <v>208</v>
      </c>
      <c r="E262" s="154" t="s">
        <v>208</v>
      </c>
      <c r="F262" s="154" t="s">
        <v>208</v>
      </c>
      <c r="G262" s="154" t="s">
        <v>208</v>
      </c>
      <c r="H262" s="155"/>
      <c r="I262" s="155"/>
      <c r="J262" s="155"/>
      <c r="K262" s="147"/>
    </row>
    <row r="263">
      <c r="A263" s="153">
        <v>260.0</v>
      </c>
      <c r="B263" s="154"/>
      <c r="C263" s="154" t="s">
        <v>208</v>
      </c>
      <c r="D263" s="154" t="s">
        <v>208</v>
      </c>
      <c r="E263" s="154" t="s">
        <v>208</v>
      </c>
      <c r="F263" s="154" t="s">
        <v>208</v>
      </c>
      <c r="G263" s="154" t="s">
        <v>208</v>
      </c>
      <c r="H263" s="155"/>
      <c r="I263" s="155"/>
      <c r="J263" s="155"/>
      <c r="K263" s="147"/>
    </row>
    <row r="264">
      <c r="A264" s="153">
        <v>261.0</v>
      </c>
      <c r="B264" s="154"/>
      <c r="C264" s="154" t="s">
        <v>208</v>
      </c>
      <c r="D264" s="154" t="s">
        <v>208</v>
      </c>
      <c r="E264" s="154" t="s">
        <v>208</v>
      </c>
      <c r="F264" s="154" t="s">
        <v>208</v>
      </c>
      <c r="G264" s="154" t="s">
        <v>208</v>
      </c>
      <c r="H264" s="155"/>
      <c r="I264" s="155"/>
      <c r="J264" s="155"/>
      <c r="K264" s="147"/>
    </row>
    <row r="265">
      <c r="A265" s="153">
        <v>262.0</v>
      </c>
      <c r="B265" s="154"/>
      <c r="C265" s="154" t="s">
        <v>208</v>
      </c>
      <c r="D265" s="154" t="s">
        <v>208</v>
      </c>
      <c r="E265" s="154" t="s">
        <v>208</v>
      </c>
      <c r="F265" s="154" t="s">
        <v>208</v>
      </c>
      <c r="G265" s="154" t="s">
        <v>208</v>
      </c>
      <c r="H265" s="155"/>
      <c r="I265" s="155"/>
      <c r="J265" s="155"/>
      <c r="K265" s="147"/>
    </row>
    <row r="266">
      <c r="A266" s="153">
        <v>263.0</v>
      </c>
      <c r="B266" s="154"/>
      <c r="C266" s="154" t="s">
        <v>208</v>
      </c>
      <c r="D266" s="154" t="s">
        <v>208</v>
      </c>
      <c r="E266" s="154" t="s">
        <v>208</v>
      </c>
      <c r="F266" s="154" t="s">
        <v>208</v>
      </c>
      <c r="G266" s="154" t="s">
        <v>208</v>
      </c>
      <c r="H266" s="155"/>
      <c r="I266" s="155"/>
      <c r="J266" s="155"/>
      <c r="K266" s="147"/>
    </row>
    <row r="267">
      <c r="A267" s="153">
        <v>264.0</v>
      </c>
      <c r="B267" s="154"/>
      <c r="C267" s="154" t="s">
        <v>208</v>
      </c>
      <c r="D267" s="154" t="s">
        <v>208</v>
      </c>
      <c r="E267" s="154" t="s">
        <v>208</v>
      </c>
      <c r="F267" s="154" t="s">
        <v>208</v>
      </c>
      <c r="G267" s="154" t="s">
        <v>208</v>
      </c>
      <c r="H267" s="155"/>
      <c r="I267" s="155"/>
      <c r="J267" s="155"/>
      <c r="K267" s="147"/>
    </row>
    <row r="268">
      <c r="A268" s="153">
        <v>265.0</v>
      </c>
      <c r="B268" s="154"/>
      <c r="C268" s="154" t="s">
        <v>208</v>
      </c>
      <c r="D268" s="154" t="s">
        <v>208</v>
      </c>
      <c r="E268" s="154" t="s">
        <v>208</v>
      </c>
      <c r="F268" s="154" t="s">
        <v>208</v>
      </c>
      <c r="G268" s="154" t="s">
        <v>208</v>
      </c>
      <c r="H268" s="155"/>
      <c r="I268" s="155"/>
      <c r="J268" s="155"/>
      <c r="K268" s="147"/>
    </row>
    <row r="269">
      <c r="A269" s="153">
        <v>266.0</v>
      </c>
      <c r="B269" s="154"/>
      <c r="C269" s="154" t="s">
        <v>208</v>
      </c>
      <c r="D269" s="154" t="s">
        <v>208</v>
      </c>
      <c r="E269" s="154" t="s">
        <v>208</v>
      </c>
      <c r="F269" s="154" t="s">
        <v>208</v>
      </c>
      <c r="G269" s="154" t="s">
        <v>208</v>
      </c>
      <c r="H269" s="155"/>
      <c r="I269" s="155"/>
      <c r="J269" s="155"/>
      <c r="K269" s="147"/>
    </row>
    <row r="270">
      <c r="A270" s="153">
        <v>267.0</v>
      </c>
      <c r="B270" s="154"/>
      <c r="C270" s="154" t="s">
        <v>208</v>
      </c>
      <c r="D270" s="154" t="s">
        <v>208</v>
      </c>
      <c r="E270" s="154" t="s">
        <v>208</v>
      </c>
      <c r="F270" s="154" t="s">
        <v>208</v>
      </c>
      <c r="G270" s="154" t="s">
        <v>208</v>
      </c>
      <c r="H270" s="155"/>
      <c r="I270" s="155"/>
      <c r="J270" s="155"/>
      <c r="K270" s="147"/>
    </row>
    <row r="271">
      <c r="A271" s="153">
        <v>268.0</v>
      </c>
      <c r="B271" s="154"/>
      <c r="C271" s="154" t="s">
        <v>208</v>
      </c>
      <c r="D271" s="154" t="s">
        <v>208</v>
      </c>
      <c r="E271" s="154" t="s">
        <v>208</v>
      </c>
      <c r="F271" s="154" t="s">
        <v>208</v>
      </c>
      <c r="G271" s="154" t="s">
        <v>208</v>
      </c>
      <c r="H271" s="155"/>
      <c r="I271" s="155"/>
      <c r="J271" s="155"/>
      <c r="K271" s="147"/>
    </row>
    <row r="272">
      <c r="A272" s="153">
        <v>269.0</v>
      </c>
      <c r="B272" s="154"/>
      <c r="C272" s="154" t="s">
        <v>208</v>
      </c>
      <c r="D272" s="154" t="s">
        <v>208</v>
      </c>
      <c r="E272" s="154" t="s">
        <v>208</v>
      </c>
      <c r="F272" s="154" t="s">
        <v>208</v>
      </c>
      <c r="G272" s="154" t="s">
        <v>208</v>
      </c>
      <c r="H272" s="155"/>
      <c r="I272" s="155"/>
      <c r="J272" s="155"/>
      <c r="K272" s="147"/>
    </row>
    <row r="273">
      <c r="A273" s="153">
        <v>270.0</v>
      </c>
      <c r="B273" s="154"/>
      <c r="C273" s="154" t="s">
        <v>208</v>
      </c>
      <c r="D273" s="154" t="s">
        <v>218</v>
      </c>
      <c r="E273" s="154" t="s">
        <v>208</v>
      </c>
      <c r="F273" s="154" t="s">
        <v>208</v>
      </c>
      <c r="G273" s="154" t="s">
        <v>208</v>
      </c>
      <c r="H273" s="155"/>
      <c r="I273" s="155"/>
      <c r="J273" s="155"/>
      <c r="K273" s="147"/>
    </row>
    <row r="274">
      <c r="A274" s="153">
        <v>271.0</v>
      </c>
      <c r="B274" s="154"/>
      <c r="C274" s="154" t="s">
        <v>208</v>
      </c>
      <c r="D274" s="154" t="s">
        <v>208</v>
      </c>
      <c r="E274" s="154" t="s">
        <v>208</v>
      </c>
      <c r="F274" s="154" t="s">
        <v>208</v>
      </c>
      <c r="G274" s="154" t="s">
        <v>208</v>
      </c>
      <c r="H274" s="155"/>
      <c r="I274" s="155"/>
      <c r="J274" s="155"/>
      <c r="K274" s="147"/>
    </row>
    <row r="275">
      <c r="A275" s="153">
        <v>272.0</v>
      </c>
      <c r="B275" s="154"/>
      <c r="C275" s="154" t="s">
        <v>208</v>
      </c>
      <c r="D275" s="154" t="s">
        <v>208</v>
      </c>
      <c r="E275" s="154" t="s">
        <v>208</v>
      </c>
      <c r="F275" s="154" t="s">
        <v>208</v>
      </c>
      <c r="G275" s="154" t="s">
        <v>208</v>
      </c>
      <c r="H275" s="155"/>
      <c r="I275" s="155"/>
      <c r="J275" s="155"/>
      <c r="K275" s="147"/>
    </row>
    <row r="276">
      <c r="A276" s="153">
        <v>273.0</v>
      </c>
      <c r="B276" s="154"/>
      <c r="C276" s="154" t="s">
        <v>208</v>
      </c>
      <c r="D276" s="154" t="s">
        <v>218</v>
      </c>
      <c r="E276" s="154" t="s">
        <v>208</v>
      </c>
      <c r="F276" s="154" t="s">
        <v>208</v>
      </c>
      <c r="G276" s="154" t="s">
        <v>208</v>
      </c>
      <c r="H276" s="155"/>
      <c r="I276" s="155"/>
      <c r="J276" s="155"/>
      <c r="K276" s="147"/>
    </row>
    <row r="277">
      <c r="A277" s="153">
        <v>274.0</v>
      </c>
      <c r="B277" s="154"/>
      <c r="C277" s="154" t="s">
        <v>208</v>
      </c>
      <c r="D277" s="154" t="s">
        <v>208</v>
      </c>
      <c r="E277" s="154" t="s">
        <v>208</v>
      </c>
      <c r="F277" s="154" t="s">
        <v>208</v>
      </c>
      <c r="G277" s="154" t="s">
        <v>208</v>
      </c>
      <c r="H277" s="155"/>
      <c r="I277" s="155"/>
      <c r="J277" s="155"/>
      <c r="K277" s="147"/>
    </row>
    <row r="278">
      <c r="A278" s="153">
        <v>275.0</v>
      </c>
      <c r="B278" s="154"/>
      <c r="C278" s="154"/>
      <c r="D278" s="154" t="s">
        <v>208</v>
      </c>
      <c r="E278" s="154" t="s">
        <v>208</v>
      </c>
      <c r="F278" s="154" t="s">
        <v>208</v>
      </c>
      <c r="G278" s="155"/>
      <c r="H278" s="154" t="s">
        <v>208</v>
      </c>
      <c r="I278" s="155"/>
      <c r="J278" s="155"/>
      <c r="K278" s="147"/>
    </row>
    <row r="279">
      <c r="A279" s="153">
        <v>276.0</v>
      </c>
      <c r="B279" s="154"/>
      <c r="C279" s="154" t="s">
        <v>208</v>
      </c>
      <c r="D279" s="154" t="s">
        <v>208</v>
      </c>
      <c r="E279" s="154" t="s">
        <v>208</v>
      </c>
      <c r="F279" s="154" t="s">
        <v>208</v>
      </c>
      <c r="G279" s="154" t="s">
        <v>208</v>
      </c>
      <c r="H279" s="155"/>
      <c r="I279" s="155"/>
      <c r="J279" s="155"/>
      <c r="K279" s="147"/>
    </row>
    <row r="280">
      <c r="A280" s="153">
        <v>277.0</v>
      </c>
      <c r="B280" s="154"/>
      <c r="C280" s="154" t="s">
        <v>208</v>
      </c>
      <c r="D280" s="154" t="s">
        <v>208</v>
      </c>
      <c r="E280" s="154" t="s">
        <v>208</v>
      </c>
      <c r="F280" s="154" t="s">
        <v>208</v>
      </c>
      <c r="G280" s="154" t="s">
        <v>208</v>
      </c>
      <c r="H280" s="155"/>
      <c r="I280" s="155"/>
      <c r="J280" s="155"/>
      <c r="K280" s="147"/>
    </row>
    <row r="281">
      <c r="A281" s="153">
        <v>278.0</v>
      </c>
      <c r="B281" s="154"/>
      <c r="C281" s="154" t="s">
        <v>208</v>
      </c>
      <c r="D281" s="154" t="s">
        <v>208</v>
      </c>
      <c r="E281" s="154" t="s">
        <v>208</v>
      </c>
      <c r="F281" s="154" t="s">
        <v>208</v>
      </c>
      <c r="G281" s="154" t="s">
        <v>208</v>
      </c>
      <c r="H281" s="155"/>
      <c r="I281" s="155"/>
      <c r="J281" s="155"/>
      <c r="K281" s="147"/>
    </row>
    <row r="282">
      <c r="A282" s="153">
        <v>279.0</v>
      </c>
      <c r="B282" s="154"/>
      <c r="C282" s="154" t="s">
        <v>208</v>
      </c>
      <c r="D282" s="154" t="s">
        <v>208</v>
      </c>
      <c r="E282" s="154" t="s">
        <v>208</v>
      </c>
      <c r="F282" s="154" t="s">
        <v>208</v>
      </c>
      <c r="G282" s="154" t="s">
        <v>208</v>
      </c>
      <c r="H282" s="155"/>
      <c r="I282" s="155"/>
      <c r="J282" s="155"/>
      <c r="K282" s="147"/>
    </row>
    <row r="283">
      <c r="A283" s="153">
        <v>280.0</v>
      </c>
      <c r="B283" s="154"/>
      <c r="C283" s="154" t="s">
        <v>208</v>
      </c>
      <c r="D283" s="154" t="s">
        <v>208</v>
      </c>
      <c r="E283" s="154" t="s">
        <v>208</v>
      </c>
      <c r="F283" s="154" t="s">
        <v>208</v>
      </c>
      <c r="G283" s="154" t="s">
        <v>208</v>
      </c>
      <c r="H283" s="155"/>
      <c r="I283" s="155"/>
      <c r="J283" s="155"/>
      <c r="K283" s="147"/>
    </row>
    <row r="284">
      <c r="A284" s="153">
        <v>281.0</v>
      </c>
      <c r="B284" s="154"/>
      <c r="C284" s="154" t="s">
        <v>208</v>
      </c>
      <c r="D284" s="154" t="s">
        <v>208</v>
      </c>
      <c r="E284" s="154" t="s">
        <v>208</v>
      </c>
      <c r="F284" s="154" t="s">
        <v>208</v>
      </c>
      <c r="G284" s="154" t="s">
        <v>208</v>
      </c>
      <c r="H284" s="155"/>
      <c r="I284" s="155"/>
      <c r="J284" s="155"/>
      <c r="K284" s="147"/>
    </row>
    <row r="285">
      <c r="A285" s="153">
        <v>282.0</v>
      </c>
      <c r="B285" s="154"/>
      <c r="C285" s="154" t="s">
        <v>208</v>
      </c>
      <c r="D285" s="154" t="s">
        <v>208</v>
      </c>
      <c r="E285" s="154" t="s">
        <v>208</v>
      </c>
      <c r="F285" s="154" t="s">
        <v>208</v>
      </c>
      <c r="G285" s="154" t="s">
        <v>208</v>
      </c>
      <c r="H285" s="155"/>
      <c r="I285" s="155"/>
      <c r="J285" s="155"/>
      <c r="K285" s="147"/>
    </row>
    <row r="286">
      <c r="A286" s="153">
        <v>283.0</v>
      </c>
      <c r="B286" s="154"/>
      <c r="C286" s="154" t="s">
        <v>208</v>
      </c>
      <c r="D286" s="154" t="s">
        <v>208</v>
      </c>
      <c r="E286" s="154" t="s">
        <v>208</v>
      </c>
      <c r="F286" s="154" t="s">
        <v>208</v>
      </c>
      <c r="G286" s="154" t="s">
        <v>208</v>
      </c>
      <c r="H286" s="155"/>
      <c r="I286" s="155"/>
      <c r="J286" s="155"/>
      <c r="K286" s="147"/>
    </row>
    <row r="287">
      <c r="A287" s="153">
        <v>284.0</v>
      </c>
      <c r="B287" s="154"/>
      <c r="C287" s="154" t="s">
        <v>208</v>
      </c>
      <c r="D287" s="154" t="s">
        <v>208</v>
      </c>
      <c r="E287" s="154" t="s">
        <v>208</v>
      </c>
      <c r="F287" s="154" t="s">
        <v>208</v>
      </c>
      <c r="G287" s="154" t="s">
        <v>208</v>
      </c>
      <c r="H287" s="155"/>
      <c r="I287" s="155"/>
      <c r="J287" s="155"/>
      <c r="K287" s="147"/>
    </row>
    <row r="288">
      <c r="A288" s="153">
        <v>285.0</v>
      </c>
      <c r="B288" s="154"/>
      <c r="C288" s="154" t="s">
        <v>208</v>
      </c>
      <c r="D288" s="154" t="s">
        <v>208</v>
      </c>
      <c r="E288" s="154" t="s">
        <v>208</v>
      </c>
      <c r="F288" s="154" t="s">
        <v>208</v>
      </c>
      <c r="G288" s="154" t="s">
        <v>208</v>
      </c>
      <c r="H288" s="155"/>
      <c r="I288" s="155"/>
      <c r="J288" s="155"/>
      <c r="K288" s="147"/>
    </row>
    <row r="289">
      <c r="A289" s="153">
        <v>286.0</v>
      </c>
      <c r="B289" s="154"/>
      <c r="C289" s="154"/>
      <c r="D289" s="154" t="s">
        <v>208</v>
      </c>
      <c r="E289" s="154" t="s">
        <v>208</v>
      </c>
      <c r="F289" s="154" t="s">
        <v>208</v>
      </c>
      <c r="G289" s="155"/>
      <c r="H289" s="154" t="s">
        <v>208</v>
      </c>
      <c r="I289" s="155"/>
      <c r="J289" s="155"/>
      <c r="K289" s="147"/>
    </row>
    <row r="290">
      <c r="A290" s="153">
        <v>287.0</v>
      </c>
      <c r="B290" s="154"/>
      <c r="C290" s="154" t="s">
        <v>208</v>
      </c>
      <c r="D290" s="154" t="s">
        <v>208</v>
      </c>
      <c r="E290" s="154" t="s">
        <v>208</v>
      </c>
      <c r="F290" s="154" t="s">
        <v>208</v>
      </c>
      <c r="G290" s="154" t="s">
        <v>208</v>
      </c>
      <c r="H290" s="155"/>
      <c r="I290" s="155"/>
      <c r="J290" s="155"/>
      <c r="K290" s="147"/>
    </row>
    <row r="291">
      <c r="A291" s="153">
        <v>288.0</v>
      </c>
      <c r="B291" s="154"/>
      <c r="C291" s="154" t="s">
        <v>208</v>
      </c>
      <c r="D291" s="154" t="s">
        <v>208</v>
      </c>
      <c r="E291" s="154" t="s">
        <v>208</v>
      </c>
      <c r="F291" s="154" t="s">
        <v>208</v>
      </c>
      <c r="G291" s="154" t="s">
        <v>208</v>
      </c>
      <c r="H291" s="155"/>
      <c r="I291" s="155"/>
      <c r="J291" s="155"/>
      <c r="K291" s="147"/>
    </row>
    <row r="292">
      <c r="A292" s="153">
        <v>289.0</v>
      </c>
      <c r="B292" s="154"/>
      <c r="C292" s="154" t="s">
        <v>208</v>
      </c>
      <c r="D292" s="154" t="s">
        <v>208</v>
      </c>
      <c r="E292" s="154" t="s">
        <v>208</v>
      </c>
      <c r="F292" s="154" t="s">
        <v>208</v>
      </c>
      <c r="G292" s="154" t="s">
        <v>208</v>
      </c>
      <c r="H292" s="155"/>
      <c r="I292" s="155"/>
      <c r="J292" s="155"/>
      <c r="K292" s="147"/>
    </row>
    <row r="293">
      <c r="A293" s="153">
        <v>290.0</v>
      </c>
      <c r="B293" s="154"/>
      <c r="C293" s="154" t="s">
        <v>208</v>
      </c>
      <c r="D293" s="154" t="s">
        <v>208</v>
      </c>
      <c r="E293" s="154" t="s">
        <v>208</v>
      </c>
      <c r="F293" s="154" t="s">
        <v>208</v>
      </c>
      <c r="G293" s="154" t="s">
        <v>208</v>
      </c>
      <c r="H293" s="155"/>
      <c r="I293" s="155"/>
      <c r="J293" s="155"/>
      <c r="K293" s="147"/>
    </row>
    <row r="294">
      <c r="A294" s="153">
        <v>291.0</v>
      </c>
      <c r="B294" s="154" t="s">
        <v>208</v>
      </c>
      <c r="C294" s="154"/>
      <c r="D294" s="154" t="s">
        <v>208</v>
      </c>
      <c r="E294" s="154" t="s">
        <v>208</v>
      </c>
      <c r="F294" s="154" t="s">
        <v>208</v>
      </c>
      <c r="G294" s="154" t="s">
        <v>208</v>
      </c>
      <c r="H294" s="155"/>
      <c r="I294" s="155"/>
      <c r="J294" s="155"/>
      <c r="K294" s="147"/>
    </row>
    <row r="295">
      <c r="A295" s="153">
        <v>292.0</v>
      </c>
      <c r="B295" s="154"/>
      <c r="C295" s="154" t="s">
        <v>208</v>
      </c>
      <c r="D295" s="154" t="s">
        <v>208</v>
      </c>
      <c r="E295" s="154" t="s">
        <v>208</v>
      </c>
      <c r="F295" s="154" t="s">
        <v>208</v>
      </c>
      <c r="G295" s="154" t="s">
        <v>208</v>
      </c>
      <c r="H295" s="155"/>
      <c r="I295" s="155"/>
      <c r="J295" s="155"/>
      <c r="K295" s="147"/>
    </row>
    <row r="296">
      <c r="A296" s="153">
        <v>293.0</v>
      </c>
      <c r="B296" s="154"/>
      <c r="C296" s="154" t="s">
        <v>208</v>
      </c>
      <c r="D296" s="154" t="s">
        <v>208</v>
      </c>
      <c r="E296" s="154" t="s">
        <v>208</v>
      </c>
      <c r="F296" s="154" t="s">
        <v>208</v>
      </c>
      <c r="G296" s="154" t="s">
        <v>208</v>
      </c>
      <c r="H296" s="155"/>
      <c r="I296" s="155"/>
      <c r="J296" s="155"/>
      <c r="K296" s="147"/>
    </row>
    <row r="297">
      <c r="A297" s="153">
        <v>294.0</v>
      </c>
      <c r="B297" s="154"/>
      <c r="C297" s="154" t="s">
        <v>208</v>
      </c>
      <c r="D297" s="154" t="s">
        <v>208</v>
      </c>
      <c r="E297" s="154" t="s">
        <v>208</v>
      </c>
      <c r="F297" s="154" t="s">
        <v>208</v>
      </c>
      <c r="G297" s="154" t="s">
        <v>208</v>
      </c>
      <c r="H297" s="155"/>
      <c r="I297" s="155"/>
      <c r="J297" s="155"/>
      <c r="K297" s="147"/>
    </row>
    <row r="298">
      <c r="A298" s="153">
        <v>295.0</v>
      </c>
      <c r="B298" s="154"/>
      <c r="C298" s="154" t="s">
        <v>208</v>
      </c>
      <c r="D298" s="154" t="s">
        <v>208</v>
      </c>
      <c r="E298" s="154" t="s">
        <v>208</v>
      </c>
      <c r="F298" s="154" t="s">
        <v>208</v>
      </c>
      <c r="G298" s="154" t="s">
        <v>208</v>
      </c>
      <c r="H298" s="155"/>
      <c r="I298" s="155"/>
      <c r="J298" s="155"/>
      <c r="K298" s="147"/>
    </row>
    <row r="299">
      <c r="A299" s="153">
        <v>296.0</v>
      </c>
      <c r="B299" s="154"/>
      <c r="C299" s="154" t="s">
        <v>208</v>
      </c>
      <c r="D299" s="154" t="s">
        <v>208</v>
      </c>
      <c r="E299" s="154" t="s">
        <v>208</v>
      </c>
      <c r="F299" s="154" t="s">
        <v>208</v>
      </c>
      <c r="G299" s="154" t="s">
        <v>208</v>
      </c>
      <c r="H299" s="155"/>
      <c r="I299" s="155"/>
      <c r="J299" s="155"/>
      <c r="K299" s="147"/>
    </row>
    <row r="300">
      <c r="A300" s="153">
        <v>297.0</v>
      </c>
      <c r="B300" s="154"/>
      <c r="C300" s="154" t="s">
        <v>208</v>
      </c>
      <c r="D300" s="154" t="s">
        <v>208</v>
      </c>
      <c r="E300" s="154" t="s">
        <v>208</v>
      </c>
      <c r="F300" s="154" t="s">
        <v>208</v>
      </c>
      <c r="G300" s="154" t="s">
        <v>208</v>
      </c>
      <c r="H300" s="155"/>
      <c r="I300" s="155"/>
      <c r="J300" s="155"/>
      <c r="K300" s="147"/>
    </row>
    <row r="301">
      <c r="A301" s="153">
        <v>298.0</v>
      </c>
      <c r="B301" s="154"/>
      <c r="C301" s="154" t="s">
        <v>208</v>
      </c>
      <c r="D301" s="154" t="s">
        <v>208</v>
      </c>
      <c r="E301" s="154" t="s">
        <v>208</v>
      </c>
      <c r="F301" s="154" t="s">
        <v>208</v>
      </c>
      <c r="G301" s="154" t="s">
        <v>208</v>
      </c>
      <c r="H301" s="155"/>
      <c r="I301" s="155"/>
      <c r="J301" s="155"/>
      <c r="K301" s="147"/>
    </row>
    <row r="302">
      <c r="A302" s="153">
        <v>299.0</v>
      </c>
      <c r="B302" s="154"/>
      <c r="C302" s="154" t="s">
        <v>208</v>
      </c>
      <c r="D302" s="154" t="s">
        <v>208</v>
      </c>
      <c r="E302" s="154" t="s">
        <v>208</v>
      </c>
      <c r="F302" s="154" t="s">
        <v>208</v>
      </c>
      <c r="G302" s="154" t="s">
        <v>208</v>
      </c>
      <c r="H302" s="155"/>
      <c r="I302" s="155"/>
      <c r="J302" s="155"/>
      <c r="K302" s="147"/>
    </row>
    <row r="303">
      <c r="A303" s="153">
        <v>300.0</v>
      </c>
      <c r="B303" s="154"/>
      <c r="C303" s="154" t="s">
        <v>208</v>
      </c>
      <c r="D303" s="154" t="s">
        <v>208</v>
      </c>
      <c r="E303" s="154" t="s">
        <v>208</v>
      </c>
      <c r="F303" s="154" t="s">
        <v>208</v>
      </c>
      <c r="G303" s="154" t="s">
        <v>208</v>
      </c>
      <c r="H303" s="155"/>
      <c r="I303" s="155"/>
      <c r="J303" s="155"/>
      <c r="K303" s="147"/>
    </row>
    <row r="304">
      <c r="A304" s="153">
        <v>301.0</v>
      </c>
      <c r="B304" s="154"/>
      <c r="C304" s="154" t="s">
        <v>208</v>
      </c>
      <c r="D304" s="154" t="s">
        <v>208</v>
      </c>
      <c r="E304" s="154" t="s">
        <v>208</v>
      </c>
      <c r="F304" s="154" t="s">
        <v>208</v>
      </c>
      <c r="G304" s="154" t="s">
        <v>208</v>
      </c>
      <c r="H304" s="155"/>
      <c r="I304" s="155"/>
      <c r="J304" s="155"/>
      <c r="K304" s="147"/>
    </row>
    <row r="305">
      <c r="A305" s="153">
        <v>302.0</v>
      </c>
      <c r="B305" s="154"/>
      <c r="C305" s="154" t="s">
        <v>208</v>
      </c>
      <c r="D305" s="154" t="s">
        <v>208</v>
      </c>
      <c r="E305" s="154" t="s">
        <v>208</v>
      </c>
      <c r="F305" s="154" t="s">
        <v>208</v>
      </c>
      <c r="G305" s="154" t="s">
        <v>208</v>
      </c>
      <c r="H305" s="155"/>
      <c r="I305" s="155"/>
      <c r="J305" s="155"/>
      <c r="K305" s="147"/>
    </row>
    <row r="306">
      <c r="A306" s="153">
        <v>303.0</v>
      </c>
      <c r="B306" s="154"/>
      <c r="C306" s="154" t="s">
        <v>208</v>
      </c>
      <c r="D306" s="154" t="s">
        <v>208</v>
      </c>
      <c r="E306" s="154" t="s">
        <v>208</v>
      </c>
      <c r="F306" s="154" t="s">
        <v>208</v>
      </c>
      <c r="G306" s="154" t="s">
        <v>208</v>
      </c>
      <c r="H306" s="155"/>
      <c r="I306" s="155"/>
      <c r="J306" s="155"/>
      <c r="K306" s="147"/>
    </row>
    <row r="307">
      <c r="A307" s="153">
        <v>304.0</v>
      </c>
      <c r="B307" s="154"/>
      <c r="C307" s="154" t="s">
        <v>208</v>
      </c>
      <c r="D307" s="154" t="s">
        <v>208</v>
      </c>
      <c r="E307" s="154" t="s">
        <v>208</v>
      </c>
      <c r="F307" s="154" t="s">
        <v>208</v>
      </c>
      <c r="G307" s="154" t="s">
        <v>208</v>
      </c>
      <c r="H307" s="155"/>
      <c r="I307" s="155"/>
      <c r="J307" s="155"/>
      <c r="K307" s="147"/>
    </row>
    <row r="308">
      <c r="A308" s="153">
        <v>305.0</v>
      </c>
      <c r="B308" s="154"/>
      <c r="C308" s="154" t="s">
        <v>208</v>
      </c>
      <c r="D308" s="154" t="s">
        <v>208</v>
      </c>
      <c r="E308" s="154" t="s">
        <v>208</v>
      </c>
      <c r="F308" s="154" t="s">
        <v>208</v>
      </c>
      <c r="G308" s="154" t="s">
        <v>208</v>
      </c>
      <c r="H308" s="155"/>
      <c r="I308" s="155"/>
      <c r="J308" s="155"/>
      <c r="K308" s="147"/>
    </row>
    <row r="309">
      <c r="A309" s="153">
        <v>306.0</v>
      </c>
      <c r="B309" s="154"/>
      <c r="C309" s="154" t="s">
        <v>208</v>
      </c>
      <c r="D309" s="154" t="s">
        <v>208</v>
      </c>
      <c r="E309" s="154" t="s">
        <v>208</v>
      </c>
      <c r="F309" s="154" t="s">
        <v>208</v>
      </c>
      <c r="G309" s="154" t="s">
        <v>208</v>
      </c>
      <c r="H309" s="155"/>
      <c r="I309" s="155"/>
      <c r="J309" s="155"/>
      <c r="K309" s="147"/>
    </row>
    <row r="310">
      <c r="A310" s="153">
        <v>307.0</v>
      </c>
      <c r="B310" s="154"/>
      <c r="C310" s="154" t="s">
        <v>208</v>
      </c>
      <c r="D310" s="154" t="s">
        <v>208</v>
      </c>
      <c r="E310" s="154" t="s">
        <v>208</v>
      </c>
      <c r="F310" s="154" t="s">
        <v>208</v>
      </c>
      <c r="G310" s="154" t="s">
        <v>208</v>
      </c>
      <c r="H310" s="155"/>
      <c r="I310" s="155"/>
      <c r="J310" s="155"/>
      <c r="K310" s="147"/>
    </row>
    <row r="311">
      <c r="A311" s="153">
        <v>308.0</v>
      </c>
      <c r="B311" s="154"/>
      <c r="C311" s="154" t="s">
        <v>208</v>
      </c>
      <c r="D311" s="154" t="s">
        <v>208</v>
      </c>
      <c r="E311" s="154" t="s">
        <v>208</v>
      </c>
      <c r="F311" s="154" t="s">
        <v>208</v>
      </c>
      <c r="G311" s="154" t="s">
        <v>208</v>
      </c>
      <c r="H311" s="155"/>
      <c r="I311" s="155"/>
      <c r="J311" s="155"/>
      <c r="K311" s="147"/>
    </row>
    <row r="312">
      <c r="A312" s="153">
        <v>309.0</v>
      </c>
      <c r="B312" s="154"/>
      <c r="C312" s="154" t="s">
        <v>208</v>
      </c>
      <c r="D312" s="154" t="s">
        <v>208</v>
      </c>
      <c r="E312" s="154" t="s">
        <v>208</v>
      </c>
      <c r="F312" s="154" t="s">
        <v>208</v>
      </c>
      <c r="G312" s="154" t="s">
        <v>208</v>
      </c>
      <c r="H312" s="155"/>
      <c r="I312" s="155"/>
      <c r="J312" s="155"/>
      <c r="K312" s="147"/>
    </row>
    <row r="313">
      <c r="A313" s="153">
        <v>310.0</v>
      </c>
      <c r="B313" s="154"/>
      <c r="C313" s="154" t="s">
        <v>208</v>
      </c>
      <c r="D313" s="154" t="s">
        <v>208</v>
      </c>
      <c r="E313" s="154" t="s">
        <v>208</v>
      </c>
      <c r="F313" s="154" t="s">
        <v>208</v>
      </c>
      <c r="G313" s="154" t="s">
        <v>208</v>
      </c>
      <c r="H313" s="155"/>
      <c r="I313" s="155"/>
      <c r="J313" s="155"/>
      <c r="K313" s="147"/>
    </row>
    <row r="314">
      <c r="A314" s="153">
        <v>311.0</v>
      </c>
      <c r="B314" s="154"/>
      <c r="C314" s="154"/>
      <c r="D314" s="154" t="s">
        <v>208</v>
      </c>
      <c r="E314" s="154" t="s">
        <v>208</v>
      </c>
      <c r="F314" s="154" t="s">
        <v>208</v>
      </c>
      <c r="G314" s="155"/>
      <c r="H314" s="154" t="s">
        <v>208</v>
      </c>
      <c r="I314" s="155"/>
      <c r="J314" s="155"/>
      <c r="K314" s="147"/>
    </row>
    <row r="315">
      <c r="A315" s="153">
        <v>312.0</v>
      </c>
      <c r="B315" s="154"/>
      <c r="C315" s="154" t="s">
        <v>208</v>
      </c>
      <c r="D315" s="154" t="s">
        <v>208</v>
      </c>
      <c r="E315" s="154" t="s">
        <v>208</v>
      </c>
      <c r="F315" s="154" t="s">
        <v>208</v>
      </c>
      <c r="G315" s="154" t="s">
        <v>208</v>
      </c>
      <c r="H315" s="155"/>
      <c r="I315" s="155"/>
      <c r="J315" s="155"/>
      <c r="K315" s="147"/>
    </row>
    <row r="316">
      <c r="A316" s="153">
        <v>313.0</v>
      </c>
      <c r="B316" s="154"/>
      <c r="C316" s="154" t="s">
        <v>208</v>
      </c>
      <c r="D316" s="154" t="s">
        <v>208</v>
      </c>
      <c r="E316" s="154" t="s">
        <v>208</v>
      </c>
      <c r="F316" s="154" t="s">
        <v>208</v>
      </c>
      <c r="G316" s="154" t="s">
        <v>208</v>
      </c>
      <c r="H316" s="155"/>
      <c r="I316" s="155"/>
      <c r="J316" s="155"/>
      <c r="K316" s="147"/>
    </row>
    <row r="317">
      <c r="A317" s="153">
        <v>314.0</v>
      </c>
      <c r="B317" s="154"/>
      <c r="C317" s="154" t="s">
        <v>208</v>
      </c>
      <c r="D317" s="154" t="s">
        <v>208</v>
      </c>
      <c r="E317" s="154" t="s">
        <v>208</v>
      </c>
      <c r="F317" s="154" t="s">
        <v>208</v>
      </c>
      <c r="G317" s="154" t="s">
        <v>208</v>
      </c>
      <c r="H317" s="155"/>
      <c r="I317" s="155"/>
      <c r="J317" s="155"/>
      <c r="K317" s="147"/>
    </row>
    <row r="318">
      <c r="A318" s="153">
        <v>315.0</v>
      </c>
      <c r="B318" s="154"/>
      <c r="C318" s="154"/>
      <c r="D318" s="154" t="s">
        <v>208</v>
      </c>
      <c r="E318" s="154" t="s">
        <v>208</v>
      </c>
      <c r="F318" s="154" t="s">
        <v>208</v>
      </c>
      <c r="G318" s="154"/>
      <c r="H318" s="154" t="s">
        <v>208</v>
      </c>
      <c r="I318" s="155"/>
      <c r="J318" s="155"/>
      <c r="K318" s="147"/>
    </row>
    <row r="319">
      <c r="A319" s="153">
        <v>316.0</v>
      </c>
      <c r="B319" s="154"/>
      <c r="C319" s="154" t="s">
        <v>208</v>
      </c>
      <c r="D319" s="154" t="s">
        <v>208</v>
      </c>
      <c r="E319" s="154"/>
      <c r="F319" s="154" t="s">
        <v>208</v>
      </c>
      <c r="G319" s="154" t="s">
        <v>208</v>
      </c>
      <c r="H319" s="155"/>
      <c r="I319" s="155"/>
      <c r="J319" s="155"/>
      <c r="K319" s="147"/>
    </row>
    <row r="320">
      <c r="A320" s="153">
        <v>317.0</v>
      </c>
      <c r="B320" s="154"/>
      <c r="C320" s="154" t="s">
        <v>208</v>
      </c>
      <c r="D320" s="154" t="s">
        <v>218</v>
      </c>
      <c r="E320" s="154" t="s">
        <v>208</v>
      </c>
      <c r="F320" s="154" t="s">
        <v>208</v>
      </c>
      <c r="G320" s="154" t="s">
        <v>208</v>
      </c>
      <c r="H320" s="155"/>
      <c r="I320" s="155"/>
      <c r="J320" s="155"/>
      <c r="K320" s="147"/>
    </row>
    <row r="321">
      <c r="A321" s="153">
        <v>318.0</v>
      </c>
      <c r="B321" s="154"/>
      <c r="C321" s="154" t="s">
        <v>208</v>
      </c>
      <c r="D321" s="154" t="s">
        <v>218</v>
      </c>
      <c r="E321" s="154" t="s">
        <v>208</v>
      </c>
      <c r="F321" s="154" t="s">
        <v>208</v>
      </c>
      <c r="G321" s="154" t="s">
        <v>208</v>
      </c>
      <c r="H321" s="155"/>
      <c r="I321" s="155"/>
      <c r="J321" s="155"/>
      <c r="K321" s="147"/>
    </row>
    <row r="322">
      <c r="A322" s="153">
        <v>319.0</v>
      </c>
      <c r="B322" s="154"/>
      <c r="C322" s="154" t="s">
        <v>208</v>
      </c>
      <c r="D322" s="154" t="s">
        <v>208</v>
      </c>
      <c r="E322" s="154" t="s">
        <v>208</v>
      </c>
      <c r="F322" s="154" t="s">
        <v>208</v>
      </c>
      <c r="G322" s="154" t="s">
        <v>208</v>
      </c>
      <c r="H322" s="155"/>
      <c r="I322" s="155"/>
      <c r="J322" s="155"/>
      <c r="K322" s="147"/>
    </row>
    <row r="323">
      <c r="A323" s="153">
        <v>320.0</v>
      </c>
      <c r="B323" s="155"/>
      <c r="C323" s="154"/>
      <c r="D323" s="154" t="s">
        <v>208</v>
      </c>
      <c r="E323" s="154" t="s">
        <v>208</v>
      </c>
      <c r="F323" s="154" t="s">
        <v>208</v>
      </c>
      <c r="G323" s="154"/>
      <c r="H323" s="154" t="s">
        <v>208</v>
      </c>
      <c r="I323" s="155"/>
      <c r="J323" s="155"/>
      <c r="K323" s="147"/>
    </row>
    <row r="324">
      <c r="A324" s="153">
        <v>321.0</v>
      </c>
      <c r="B324" s="154"/>
      <c r="C324" s="154" t="s">
        <v>208</v>
      </c>
      <c r="D324" s="154" t="s">
        <v>208</v>
      </c>
      <c r="E324" s="154" t="s">
        <v>208</v>
      </c>
      <c r="F324" s="154" t="s">
        <v>208</v>
      </c>
      <c r="G324" s="154" t="s">
        <v>208</v>
      </c>
      <c r="H324" s="155"/>
      <c r="I324" s="155"/>
      <c r="J324" s="155"/>
      <c r="K324" s="147"/>
    </row>
    <row r="325">
      <c r="A325" s="153">
        <v>322.0</v>
      </c>
      <c r="B325" s="154"/>
      <c r="C325" s="154" t="s">
        <v>208</v>
      </c>
      <c r="D325" s="154" t="s">
        <v>208</v>
      </c>
      <c r="E325" s="154" t="s">
        <v>208</v>
      </c>
      <c r="F325" s="154" t="s">
        <v>208</v>
      </c>
      <c r="G325" s="154" t="s">
        <v>208</v>
      </c>
      <c r="H325" s="155"/>
      <c r="I325" s="155"/>
      <c r="J325" s="155"/>
      <c r="K325" s="147"/>
    </row>
    <row r="326">
      <c r="A326" s="153">
        <v>323.0</v>
      </c>
      <c r="B326" s="154"/>
      <c r="C326" s="154" t="s">
        <v>208</v>
      </c>
      <c r="D326" s="154" t="s">
        <v>208</v>
      </c>
      <c r="E326" s="154" t="s">
        <v>208</v>
      </c>
      <c r="F326" s="154" t="s">
        <v>208</v>
      </c>
      <c r="G326" s="154" t="s">
        <v>208</v>
      </c>
      <c r="H326" s="155"/>
      <c r="I326" s="155"/>
      <c r="J326" s="155"/>
      <c r="K326" s="147"/>
    </row>
    <row r="327">
      <c r="A327" s="153">
        <v>324.0</v>
      </c>
      <c r="B327" s="154"/>
      <c r="C327" s="154" t="s">
        <v>208</v>
      </c>
      <c r="D327" s="154" t="s">
        <v>208</v>
      </c>
      <c r="E327" s="154" t="s">
        <v>208</v>
      </c>
      <c r="F327" s="154" t="s">
        <v>208</v>
      </c>
      <c r="G327" s="154" t="s">
        <v>208</v>
      </c>
      <c r="H327" s="155"/>
      <c r="I327" s="155"/>
      <c r="J327" s="155"/>
      <c r="K327" s="147"/>
    </row>
    <row r="328">
      <c r="A328" s="153">
        <v>325.0</v>
      </c>
      <c r="B328" s="154"/>
      <c r="C328" s="154" t="s">
        <v>208</v>
      </c>
      <c r="D328" s="154" t="s">
        <v>208</v>
      </c>
      <c r="E328" s="154" t="s">
        <v>208</v>
      </c>
      <c r="F328" s="154" t="s">
        <v>208</v>
      </c>
      <c r="G328" s="154" t="s">
        <v>208</v>
      </c>
      <c r="H328" s="155"/>
      <c r="I328" s="155"/>
      <c r="J328" s="155"/>
      <c r="K328" s="147"/>
    </row>
    <row r="329">
      <c r="A329" s="153">
        <v>326.0</v>
      </c>
      <c r="B329" s="154"/>
      <c r="C329" s="183" t="s">
        <v>208</v>
      </c>
      <c r="D329" s="183" t="s">
        <v>208</v>
      </c>
      <c r="E329" s="183" t="s">
        <v>208</v>
      </c>
      <c r="F329" s="183" t="s">
        <v>208</v>
      </c>
      <c r="G329" s="184" t="s">
        <v>208</v>
      </c>
      <c r="H329" s="155"/>
      <c r="I329" s="155"/>
      <c r="J329" s="155"/>
      <c r="K329" s="147"/>
    </row>
    <row r="330">
      <c r="A330" s="153">
        <v>327.0</v>
      </c>
      <c r="B330" s="154"/>
      <c r="C330" s="183" t="s">
        <v>208</v>
      </c>
      <c r="D330" s="183" t="s">
        <v>208</v>
      </c>
      <c r="E330" s="183" t="s">
        <v>208</v>
      </c>
      <c r="F330" s="183" t="s">
        <v>208</v>
      </c>
      <c r="G330" s="184" t="s">
        <v>208</v>
      </c>
      <c r="H330" s="155"/>
      <c r="I330" s="155"/>
      <c r="J330" s="155"/>
      <c r="K330" s="147"/>
    </row>
    <row r="331">
      <c r="A331" s="153">
        <v>328.0</v>
      </c>
      <c r="B331" s="154"/>
      <c r="C331" s="183" t="s">
        <v>208</v>
      </c>
      <c r="D331" s="154" t="s">
        <v>218</v>
      </c>
      <c r="E331" s="183" t="s">
        <v>208</v>
      </c>
      <c r="F331" s="183" t="s">
        <v>208</v>
      </c>
      <c r="G331" s="183" t="s">
        <v>208</v>
      </c>
      <c r="H331" s="155"/>
      <c r="I331" s="155"/>
      <c r="J331" s="155"/>
      <c r="K331" s="147"/>
    </row>
    <row r="332">
      <c r="A332" s="153">
        <v>329.0</v>
      </c>
      <c r="B332" s="154"/>
      <c r="C332" s="183" t="s">
        <v>208</v>
      </c>
      <c r="D332" s="183" t="s">
        <v>208</v>
      </c>
      <c r="E332" s="183" t="s">
        <v>208</v>
      </c>
      <c r="F332" s="183" t="s">
        <v>208</v>
      </c>
      <c r="G332" s="183" t="s">
        <v>208</v>
      </c>
      <c r="H332" s="155"/>
      <c r="I332" s="155"/>
      <c r="J332" s="155"/>
      <c r="K332" s="147"/>
    </row>
    <row r="333">
      <c r="A333" s="153">
        <v>330.0</v>
      </c>
      <c r="B333" s="154"/>
      <c r="C333" s="154"/>
      <c r="D333" s="183" t="s">
        <v>208</v>
      </c>
      <c r="E333" s="183" t="s">
        <v>208</v>
      </c>
      <c r="F333" s="183" t="s">
        <v>208</v>
      </c>
      <c r="G333" s="155"/>
      <c r="H333" s="183" t="s">
        <v>208</v>
      </c>
      <c r="I333" s="155"/>
      <c r="J333" s="155"/>
      <c r="K333" s="147"/>
    </row>
    <row r="334">
      <c r="A334" s="153">
        <v>331.0</v>
      </c>
      <c r="B334" s="154"/>
      <c r="C334" s="183" t="s">
        <v>208</v>
      </c>
      <c r="D334" s="183" t="s">
        <v>208</v>
      </c>
      <c r="E334" s="183" t="s">
        <v>208</v>
      </c>
      <c r="F334" s="183" t="s">
        <v>208</v>
      </c>
      <c r="G334" s="183" t="s">
        <v>208</v>
      </c>
      <c r="H334" s="155"/>
      <c r="I334" s="155"/>
      <c r="J334" s="155"/>
      <c r="K334" s="147"/>
    </row>
    <row r="335">
      <c r="A335" s="153">
        <v>332.0</v>
      </c>
      <c r="B335" s="154"/>
      <c r="C335" s="183" t="s">
        <v>208</v>
      </c>
      <c r="D335" s="183" t="s">
        <v>208</v>
      </c>
      <c r="E335" s="183" t="s">
        <v>208</v>
      </c>
      <c r="F335" s="183" t="s">
        <v>208</v>
      </c>
      <c r="G335" s="183" t="s">
        <v>208</v>
      </c>
      <c r="H335" s="155"/>
      <c r="I335" s="155"/>
      <c r="J335" s="155"/>
      <c r="K335" s="147"/>
    </row>
    <row r="336">
      <c r="A336" s="153">
        <v>333.0</v>
      </c>
      <c r="B336" s="155"/>
      <c r="C336" s="183" t="s">
        <v>208</v>
      </c>
      <c r="D336" s="183" t="s">
        <v>208</v>
      </c>
      <c r="E336" s="183" t="s">
        <v>208</v>
      </c>
      <c r="F336" s="183" t="s">
        <v>208</v>
      </c>
      <c r="G336" s="183" t="s">
        <v>208</v>
      </c>
      <c r="H336" s="155"/>
      <c r="I336" s="155"/>
      <c r="J336" s="155"/>
      <c r="K336" s="147"/>
    </row>
    <row r="337">
      <c r="A337" s="153">
        <v>334.0</v>
      </c>
      <c r="B337" s="154"/>
      <c r="C337" s="183" t="s">
        <v>208</v>
      </c>
      <c r="D337" s="183" t="s">
        <v>208</v>
      </c>
      <c r="E337" s="183" t="s">
        <v>208</v>
      </c>
      <c r="F337" s="183" t="s">
        <v>208</v>
      </c>
      <c r="G337" s="183" t="s">
        <v>208</v>
      </c>
      <c r="H337" s="155"/>
      <c r="I337" s="155"/>
      <c r="J337" s="155"/>
      <c r="K337" s="147"/>
    </row>
    <row r="338">
      <c r="A338" s="153">
        <v>335.0</v>
      </c>
      <c r="B338" s="155"/>
      <c r="C338" s="154"/>
      <c r="D338" s="183" t="s">
        <v>208</v>
      </c>
      <c r="E338" s="183" t="s">
        <v>208</v>
      </c>
      <c r="F338" s="183" t="s">
        <v>208</v>
      </c>
      <c r="G338" s="154"/>
      <c r="H338" s="183" t="s">
        <v>208</v>
      </c>
      <c r="I338" s="155"/>
      <c r="J338" s="155"/>
      <c r="K338" s="147"/>
    </row>
    <row r="339">
      <c r="A339" s="153">
        <v>336.0</v>
      </c>
      <c r="B339" s="154"/>
      <c r="C339" s="154"/>
      <c r="D339" s="183" t="s">
        <v>208</v>
      </c>
      <c r="E339" s="183" t="s">
        <v>208</v>
      </c>
      <c r="F339" s="183" t="s">
        <v>208</v>
      </c>
      <c r="G339" s="155"/>
      <c r="H339" s="183" t="s">
        <v>208</v>
      </c>
      <c r="I339" s="155"/>
      <c r="J339" s="155"/>
      <c r="K339" s="147"/>
    </row>
    <row r="340">
      <c r="A340" s="153">
        <v>337.0</v>
      </c>
      <c r="B340" s="154"/>
      <c r="C340" s="183" t="s">
        <v>208</v>
      </c>
      <c r="D340" s="154" t="s">
        <v>218</v>
      </c>
      <c r="E340" s="183" t="s">
        <v>208</v>
      </c>
      <c r="F340" s="183" t="s">
        <v>208</v>
      </c>
      <c r="G340" s="183" t="s">
        <v>208</v>
      </c>
      <c r="H340" s="155"/>
      <c r="I340" s="155"/>
      <c r="J340" s="155"/>
      <c r="K340" s="147"/>
    </row>
    <row r="341">
      <c r="A341" s="153">
        <v>338.0</v>
      </c>
      <c r="B341" s="154"/>
      <c r="C341" s="183" t="s">
        <v>208</v>
      </c>
      <c r="D341" s="183" t="s">
        <v>208</v>
      </c>
      <c r="E341" s="183" t="s">
        <v>208</v>
      </c>
      <c r="F341" s="183" t="s">
        <v>208</v>
      </c>
      <c r="G341" s="183" t="s">
        <v>208</v>
      </c>
      <c r="H341" s="155"/>
      <c r="I341" s="155"/>
      <c r="J341" s="155"/>
      <c r="K341" s="147"/>
    </row>
    <row r="342">
      <c r="A342" s="153">
        <v>339.0</v>
      </c>
      <c r="B342" s="154"/>
      <c r="C342" s="183" t="s">
        <v>208</v>
      </c>
      <c r="D342" s="183" t="s">
        <v>208</v>
      </c>
      <c r="E342" s="183" t="s">
        <v>208</v>
      </c>
      <c r="F342" s="183" t="s">
        <v>208</v>
      </c>
      <c r="G342" s="183" t="s">
        <v>208</v>
      </c>
      <c r="H342" s="155"/>
      <c r="I342" s="155"/>
      <c r="J342" s="155"/>
      <c r="K342" s="147"/>
    </row>
    <row r="343">
      <c r="A343" s="153">
        <v>340.0</v>
      </c>
      <c r="B343" s="154"/>
      <c r="C343" s="183" t="s">
        <v>208</v>
      </c>
      <c r="D343" s="183" t="s">
        <v>208</v>
      </c>
      <c r="E343" s="154"/>
      <c r="F343" s="183" t="s">
        <v>208</v>
      </c>
      <c r="G343" s="183" t="s">
        <v>208</v>
      </c>
      <c r="H343" s="155"/>
      <c r="I343" s="155"/>
      <c r="J343" s="155"/>
      <c r="K343" s="147"/>
    </row>
    <row r="344">
      <c r="A344" s="153">
        <v>341.0</v>
      </c>
      <c r="B344" s="154"/>
      <c r="C344" s="183" t="s">
        <v>208</v>
      </c>
      <c r="D344" s="154" t="s">
        <v>218</v>
      </c>
      <c r="E344" s="183" t="s">
        <v>208</v>
      </c>
      <c r="F344" s="154" t="s">
        <v>218</v>
      </c>
      <c r="G344" s="183" t="s">
        <v>208</v>
      </c>
      <c r="H344" s="155"/>
      <c r="I344" s="155"/>
      <c r="J344" s="155"/>
      <c r="K344" s="147"/>
    </row>
    <row r="345">
      <c r="A345" s="153">
        <v>342.0</v>
      </c>
      <c r="B345" s="154"/>
      <c r="C345" s="183" t="s">
        <v>208</v>
      </c>
      <c r="D345" s="183" t="s">
        <v>208</v>
      </c>
      <c r="E345" s="183" t="s">
        <v>208</v>
      </c>
      <c r="F345" s="183" t="s">
        <v>208</v>
      </c>
      <c r="G345" s="183" t="s">
        <v>208</v>
      </c>
      <c r="H345" s="155"/>
      <c r="I345" s="155"/>
      <c r="J345" s="155"/>
      <c r="K345" s="147"/>
    </row>
    <row r="346">
      <c r="A346" s="153">
        <v>343.0</v>
      </c>
      <c r="B346" s="154"/>
      <c r="C346" s="183" t="s">
        <v>208</v>
      </c>
      <c r="D346" s="183" t="s">
        <v>208</v>
      </c>
      <c r="E346" s="183" t="s">
        <v>208</v>
      </c>
      <c r="F346" s="183" t="s">
        <v>208</v>
      </c>
      <c r="G346" s="183" t="s">
        <v>208</v>
      </c>
      <c r="H346" s="155"/>
      <c r="I346" s="155"/>
      <c r="J346" s="155"/>
      <c r="K346" s="147"/>
    </row>
    <row r="347">
      <c r="A347" s="153">
        <v>344.0</v>
      </c>
      <c r="B347" s="154"/>
      <c r="C347" s="154"/>
      <c r="D347" s="183" t="s">
        <v>208</v>
      </c>
      <c r="E347" s="183" t="s">
        <v>208</v>
      </c>
      <c r="F347" s="183" t="s">
        <v>208</v>
      </c>
      <c r="G347" s="155"/>
      <c r="H347" s="183" t="s">
        <v>208</v>
      </c>
      <c r="I347" s="155"/>
      <c r="J347" s="155"/>
      <c r="K347" s="147"/>
    </row>
    <row r="348">
      <c r="A348" s="153">
        <v>345.0</v>
      </c>
      <c r="B348" s="154"/>
      <c r="C348" s="183" t="s">
        <v>208</v>
      </c>
      <c r="D348" s="183" t="s">
        <v>208</v>
      </c>
      <c r="E348" s="183" t="s">
        <v>208</v>
      </c>
      <c r="F348" s="183" t="s">
        <v>208</v>
      </c>
      <c r="G348" s="183" t="s">
        <v>208</v>
      </c>
      <c r="H348" s="155"/>
      <c r="I348" s="155"/>
      <c r="J348" s="155"/>
      <c r="K348" s="147"/>
    </row>
    <row r="349">
      <c r="A349" s="153">
        <v>346.0</v>
      </c>
      <c r="B349" s="154"/>
      <c r="C349" s="183" t="s">
        <v>208</v>
      </c>
      <c r="D349" s="154" t="s">
        <v>218</v>
      </c>
      <c r="E349" s="183" t="s">
        <v>208</v>
      </c>
      <c r="F349" s="183" t="s">
        <v>208</v>
      </c>
      <c r="G349" s="183" t="s">
        <v>208</v>
      </c>
      <c r="H349" s="155"/>
      <c r="I349" s="155"/>
      <c r="J349" s="155"/>
      <c r="K349" s="147"/>
    </row>
    <row r="350">
      <c r="A350" s="153">
        <v>347.0</v>
      </c>
      <c r="B350" s="154"/>
      <c r="C350" s="183" t="s">
        <v>208</v>
      </c>
      <c r="D350" s="183" t="s">
        <v>208</v>
      </c>
      <c r="E350" s="183" t="s">
        <v>208</v>
      </c>
      <c r="F350" s="183" t="s">
        <v>208</v>
      </c>
      <c r="G350" s="183" t="s">
        <v>208</v>
      </c>
      <c r="H350" s="155"/>
      <c r="I350" s="155"/>
      <c r="J350" s="155"/>
      <c r="K350" s="147"/>
    </row>
    <row r="351">
      <c r="A351" s="153">
        <v>348.0</v>
      </c>
      <c r="B351" s="154"/>
      <c r="C351" s="183" t="s">
        <v>208</v>
      </c>
      <c r="D351" s="183" t="s">
        <v>208</v>
      </c>
      <c r="E351" s="183" t="s">
        <v>208</v>
      </c>
      <c r="F351" s="183" t="s">
        <v>208</v>
      </c>
      <c r="G351" s="183" t="s">
        <v>208</v>
      </c>
      <c r="H351" s="155"/>
      <c r="I351" s="155"/>
      <c r="J351" s="155"/>
      <c r="K351" s="147"/>
    </row>
    <row r="352">
      <c r="A352" s="153">
        <v>349.0</v>
      </c>
      <c r="B352" s="154"/>
      <c r="C352" s="183" t="s">
        <v>208</v>
      </c>
      <c r="D352" s="183" t="s">
        <v>208</v>
      </c>
      <c r="E352" s="183" t="s">
        <v>208</v>
      </c>
      <c r="F352" s="183" t="s">
        <v>208</v>
      </c>
      <c r="G352" s="183" t="s">
        <v>208</v>
      </c>
      <c r="H352" s="155"/>
      <c r="I352" s="155"/>
      <c r="J352" s="155"/>
      <c r="K352" s="147"/>
    </row>
    <row r="353">
      <c r="A353" s="153">
        <v>350.0</v>
      </c>
      <c r="B353" s="154"/>
      <c r="C353" s="183" t="s">
        <v>208</v>
      </c>
      <c r="D353" s="154" t="s">
        <v>218</v>
      </c>
      <c r="E353" s="183" t="s">
        <v>208</v>
      </c>
      <c r="F353" s="183" t="s">
        <v>208</v>
      </c>
      <c r="G353" s="183" t="s">
        <v>208</v>
      </c>
      <c r="H353" s="155"/>
      <c r="I353" s="155"/>
      <c r="J353" s="155"/>
      <c r="K353" s="147"/>
    </row>
    <row r="354">
      <c r="A354" s="153">
        <v>351.0</v>
      </c>
      <c r="B354" s="154"/>
      <c r="C354" s="183" t="s">
        <v>208</v>
      </c>
      <c r="D354" s="183" t="s">
        <v>208</v>
      </c>
      <c r="E354" s="154"/>
      <c r="F354" s="183" t="s">
        <v>208</v>
      </c>
      <c r="G354" s="183" t="s">
        <v>208</v>
      </c>
      <c r="H354" s="155"/>
      <c r="I354" s="155"/>
      <c r="J354" s="155"/>
      <c r="K354" s="147"/>
    </row>
    <row r="355">
      <c r="A355" s="153">
        <v>352.0</v>
      </c>
      <c r="B355" s="154"/>
      <c r="C355" s="183" t="s">
        <v>208</v>
      </c>
      <c r="D355" s="183" t="s">
        <v>208</v>
      </c>
      <c r="E355" s="183" t="s">
        <v>208</v>
      </c>
      <c r="F355" s="183" t="s">
        <v>208</v>
      </c>
      <c r="G355" s="183" t="s">
        <v>208</v>
      </c>
      <c r="H355" s="155"/>
      <c r="I355" s="155"/>
      <c r="J355" s="155"/>
      <c r="K355" s="147"/>
    </row>
    <row r="356">
      <c r="A356" s="153">
        <v>353.0</v>
      </c>
      <c r="B356" s="154"/>
      <c r="C356" s="183" t="s">
        <v>208</v>
      </c>
      <c r="D356" s="183" t="s">
        <v>208</v>
      </c>
      <c r="E356" s="183" t="s">
        <v>208</v>
      </c>
      <c r="F356" s="183" t="s">
        <v>208</v>
      </c>
      <c r="G356" s="183" t="s">
        <v>208</v>
      </c>
      <c r="H356" s="155"/>
      <c r="I356" s="155"/>
      <c r="J356" s="155"/>
      <c r="K356" s="147"/>
    </row>
    <row r="357">
      <c r="A357" s="153">
        <v>354.0</v>
      </c>
      <c r="B357" s="154"/>
      <c r="C357" s="183" t="s">
        <v>208</v>
      </c>
      <c r="D357" s="183" t="s">
        <v>208</v>
      </c>
      <c r="E357" s="183" t="s">
        <v>208</v>
      </c>
      <c r="F357" s="183" t="s">
        <v>208</v>
      </c>
      <c r="G357" s="183" t="s">
        <v>208</v>
      </c>
      <c r="H357" s="155"/>
      <c r="I357" s="155"/>
      <c r="J357" s="155"/>
      <c r="K357" s="147"/>
    </row>
    <row r="358">
      <c r="A358" s="153">
        <v>355.0</v>
      </c>
      <c r="B358" s="154"/>
      <c r="C358" s="183" t="s">
        <v>208</v>
      </c>
      <c r="D358" s="183" t="s">
        <v>208</v>
      </c>
      <c r="E358" s="183" t="s">
        <v>208</v>
      </c>
      <c r="F358" s="183" t="s">
        <v>208</v>
      </c>
      <c r="G358" s="183" t="s">
        <v>208</v>
      </c>
      <c r="H358" s="155"/>
      <c r="I358" s="155"/>
      <c r="J358" s="155"/>
      <c r="K358" s="147"/>
    </row>
    <row r="359">
      <c r="A359" s="153">
        <v>356.0</v>
      </c>
      <c r="B359" s="154"/>
      <c r="C359" s="183" t="s">
        <v>208</v>
      </c>
      <c r="D359" s="183" t="s">
        <v>208</v>
      </c>
      <c r="E359" s="183" t="s">
        <v>208</v>
      </c>
      <c r="F359" s="183" t="s">
        <v>208</v>
      </c>
      <c r="G359" s="183" t="s">
        <v>208</v>
      </c>
      <c r="H359" s="155"/>
      <c r="I359" s="155"/>
      <c r="J359" s="155"/>
      <c r="K359" s="147"/>
    </row>
    <row r="360">
      <c r="A360" s="153">
        <v>357.0</v>
      </c>
      <c r="B360" s="154"/>
      <c r="C360" s="154"/>
      <c r="D360" s="183" t="s">
        <v>208</v>
      </c>
      <c r="E360" s="183" t="s">
        <v>208</v>
      </c>
      <c r="F360" s="183" t="s">
        <v>208</v>
      </c>
      <c r="G360" s="155"/>
      <c r="H360" s="183" t="s">
        <v>208</v>
      </c>
      <c r="I360" s="155"/>
      <c r="J360" s="155"/>
      <c r="K360" s="147"/>
    </row>
    <row r="361">
      <c r="A361" s="153">
        <v>358.0</v>
      </c>
      <c r="B361" s="154"/>
      <c r="C361" s="183" t="s">
        <v>208</v>
      </c>
      <c r="D361" s="183" t="s">
        <v>208</v>
      </c>
      <c r="E361" s="183" t="s">
        <v>208</v>
      </c>
      <c r="F361" s="183" t="s">
        <v>208</v>
      </c>
      <c r="G361" s="183" t="s">
        <v>208</v>
      </c>
      <c r="H361" s="155"/>
      <c r="I361" s="155"/>
      <c r="J361" s="155"/>
      <c r="K361" s="147"/>
    </row>
    <row r="362">
      <c r="A362" s="153">
        <v>359.0</v>
      </c>
      <c r="B362" s="155"/>
      <c r="C362" s="154"/>
      <c r="D362" s="183" t="s">
        <v>208</v>
      </c>
      <c r="E362" s="183" t="s">
        <v>208</v>
      </c>
      <c r="F362" s="183" t="s">
        <v>208</v>
      </c>
      <c r="G362" s="154"/>
      <c r="H362" s="183" t="s">
        <v>208</v>
      </c>
      <c r="I362" s="155"/>
      <c r="J362" s="155"/>
      <c r="K362" s="147"/>
    </row>
    <row r="363">
      <c r="A363" s="153">
        <v>360.0</v>
      </c>
      <c r="B363" s="154"/>
      <c r="C363" s="183" t="s">
        <v>208</v>
      </c>
      <c r="D363" s="183" t="s">
        <v>208</v>
      </c>
      <c r="E363" s="183" t="s">
        <v>208</v>
      </c>
      <c r="F363" s="183" t="s">
        <v>208</v>
      </c>
      <c r="G363" s="183" t="s">
        <v>208</v>
      </c>
      <c r="H363" s="155"/>
      <c r="I363" s="155"/>
      <c r="J363" s="155"/>
      <c r="K363" s="147"/>
    </row>
    <row r="364">
      <c r="A364" s="153">
        <v>361.0</v>
      </c>
      <c r="B364" s="154"/>
      <c r="C364" s="183" t="s">
        <v>208</v>
      </c>
      <c r="D364" s="183" t="s">
        <v>208</v>
      </c>
      <c r="E364" s="183" t="s">
        <v>208</v>
      </c>
      <c r="F364" s="183" t="s">
        <v>208</v>
      </c>
      <c r="G364" s="183" t="s">
        <v>208</v>
      </c>
      <c r="H364" s="155"/>
      <c r="I364" s="155"/>
      <c r="J364" s="155"/>
      <c r="K364" s="147"/>
    </row>
    <row r="365">
      <c r="A365" s="153">
        <v>362.0</v>
      </c>
      <c r="B365" s="155"/>
      <c r="C365" s="154"/>
      <c r="D365" s="183" t="s">
        <v>208</v>
      </c>
      <c r="E365" s="183" t="s">
        <v>208</v>
      </c>
      <c r="F365" s="183" t="s">
        <v>208</v>
      </c>
      <c r="G365" s="154"/>
      <c r="H365" s="183" t="s">
        <v>208</v>
      </c>
      <c r="I365" s="155"/>
      <c r="J365" s="155"/>
      <c r="K365" s="147"/>
    </row>
    <row r="366">
      <c r="A366" s="153">
        <v>363.0</v>
      </c>
      <c r="B366" s="154"/>
      <c r="C366" s="154"/>
      <c r="D366" s="183" t="s">
        <v>208</v>
      </c>
      <c r="E366" s="183" t="s">
        <v>208</v>
      </c>
      <c r="F366" s="183" t="s">
        <v>208</v>
      </c>
      <c r="G366" s="155"/>
      <c r="H366" s="183" t="s">
        <v>208</v>
      </c>
      <c r="I366" s="155"/>
      <c r="J366" s="155"/>
      <c r="K366" s="147"/>
    </row>
    <row r="367">
      <c r="A367" s="153">
        <v>364.0</v>
      </c>
      <c r="B367" s="154"/>
      <c r="C367" s="183" t="s">
        <v>208</v>
      </c>
      <c r="D367" s="183" t="s">
        <v>208</v>
      </c>
      <c r="E367" s="154"/>
      <c r="F367" s="183" t="s">
        <v>208</v>
      </c>
      <c r="G367" s="183" t="s">
        <v>208</v>
      </c>
      <c r="H367" s="155"/>
      <c r="I367" s="155"/>
      <c r="J367" s="155"/>
      <c r="K367" s="147"/>
    </row>
    <row r="368">
      <c r="A368" s="153">
        <v>365.0</v>
      </c>
      <c r="B368" s="154"/>
      <c r="C368" s="183" t="s">
        <v>208</v>
      </c>
      <c r="D368" s="183" t="s">
        <v>208</v>
      </c>
      <c r="E368" s="183" t="s">
        <v>208</v>
      </c>
      <c r="F368" s="183" t="s">
        <v>208</v>
      </c>
      <c r="G368" s="183" t="s">
        <v>208</v>
      </c>
      <c r="H368" s="155"/>
      <c r="I368" s="155"/>
      <c r="J368" s="155"/>
      <c r="K368" s="147"/>
    </row>
    <row r="369">
      <c r="A369" s="153">
        <v>366.0</v>
      </c>
      <c r="B369" s="154"/>
      <c r="C369" s="183" t="s">
        <v>208</v>
      </c>
      <c r="D369" s="183" t="s">
        <v>208</v>
      </c>
      <c r="E369" s="183" t="s">
        <v>208</v>
      </c>
      <c r="F369" s="183" t="s">
        <v>208</v>
      </c>
      <c r="G369" s="183" t="s">
        <v>208</v>
      </c>
      <c r="H369" s="155"/>
      <c r="I369" s="155"/>
      <c r="J369" s="155"/>
      <c r="K369" s="147"/>
    </row>
    <row r="370">
      <c r="A370" s="153">
        <v>367.0</v>
      </c>
      <c r="B370" s="154"/>
      <c r="C370" s="183" t="s">
        <v>208</v>
      </c>
      <c r="D370" s="183" t="s">
        <v>208</v>
      </c>
      <c r="E370" s="183" t="s">
        <v>208</v>
      </c>
      <c r="F370" s="183" t="s">
        <v>208</v>
      </c>
      <c r="G370" s="183" t="s">
        <v>208</v>
      </c>
      <c r="H370" s="155"/>
      <c r="I370" s="155"/>
      <c r="J370" s="155"/>
      <c r="K370" s="147"/>
    </row>
    <row r="371">
      <c r="A371" s="153">
        <v>368.0</v>
      </c>
      <c r="B371" s="154"/>
      <c r="C371" s="183" t="s">
        <v>208</v>
      </c>
      <c r="D371" s="183" t="s">
        <v>208</v>
      </c>
      <c r="E371" s="183" t="s">
        <v>208</v>
      </c>
      <c r="F371" s="183" t="s">
        <v>208</v>
      </c>
      <c r="G371" s="183" t="s">
        <v>208</v>
      </c>
      <c r="H371" s="155"/>
      <c r="I371" s="155"/>
      <c r="J371" s="155"/>
      <c r="K371" s="147"/>
    </row>
    <row r="372">
      <c r="A372" s="153">
        <v>369.0</v>
      </c>
      <c r="B372" s="154"/>
      <c r="C372" s="183" t="s">
        <v>208</v>
      </c>
      <c r="D372" s="183" t="s">
        <v>208</v>
      </c>
      <c r="E372" s="183" t="s">
        <v>208</v>
      </c>
      <c r="F372" s="183" t="s">
        <v>208</v>
      </c>
      <c r="G372" s="183" t="s">
        <v>208</v>
      </c>
      <c r="H372" s="155"/>
      <c r="I372" s="155"/>
      <c r="J372" s="155"/>
      <c r="K372" s="147"/>
    </row>
    <row r="373">
      <c r="A373" s="153">
        <v>370.0</v>
      </c>
      <c r="B373" s="155"/>
      <c r="C373" s="154"/>
      <c r="D373" s="183" t="s">
        <v>208</v>
      </c>
      <c r="E373" s="183" t="s">
        <v>208</v>
      </c>
      <c r="F373" s="183" t="s">
        <v>208</v>
      </c>
      <c r="G373" s="154"/>
      <c r="H373" s="183" t="s">
        <v>208</v>
      </c>
      <c r="I373" s="155"/>
      <c r="J373" s="155"/>
      <c r="K373" s="147"/>
    </row>
    <row r="374">
      <c r="A374" s="153">
        <v>371.0</v>
      </c>
      <c r="B374" s="154"/>
      <c r="C374" s="183" t="s">
        <v>208</v>
      </c>
      <c r="D374" s="183" t="s">
        <v>208</v>
      </c>
      <c r="E374" s="183" t="s">
        <v>208</v>
      </c>
      <c r="F374" s="183" t="s">
        <v>208</v>
      </c>
      <c r="G374" s="183" t="s">
        <v>208</v>
      </c>
      <c r="H374" s="155"/>
      <c r="I374" s="155"/>
      <c r="J374" s="155"/>
      <c r="K374" s="147"/>
    </row>
    <row r="375">
      <c r="A375" s="153">
        <v>372.0</v>
      </c>
      <c r="B375" s="154"/>
      <c r="C375" s="183" t="s">
        <v>208</v>
      </c>
      <c r="D375" s="183" t="s">
        <v>208</v>
      </c>
      <c r="E375" s="183" t="s">
        <v>208</v>
      </c>
      <c r="F375" s="183" t="s">
        <v>208</v>
      </c>
      <c r="G375" s="183" t="s">
        <v>208</v>
      </c>
      <c r="H375" s="155"/>
      <c r="I375" s="155"/>
      <c r="J375" s="155"/>
      <c r="K375" s="147"/>
    </row>
    <row r="376">
      <c r="A376" s="153">
        <v>373.0</v>
      </c>
      <c r="B376" s="154"/>
      <c r="C376" s="183" t="s">
        <v>208</v>
      </c>
      <c r="D376" s="183" t="s">
        <v>208</v>
      </c>
      <c r="E376" s="183" t="s">
        <v>208</v>
      </c>
      <c r="F376" s="183" t="s">
        <v>208</v>
      </c>
      <c r="G376" s="183" t="s">
        <v>208</v>
      </c>
      <c r="H376" s="155"/>
      <c r="I376" s="155"/>
      <c r="J376" s="155"/>
      <c r="K376" s="147"/>
    </row>
    <row r="377">
      <c r="A377" s="153">
        <v>374.0</v>
      </c>
      <c r="B377" s="154"/>
      <c r="C377" s="183" t="s">
        <v>208</v>
      </c>
      <c r="D377" s="183" t="s">
        <v>208</v>
      </c>
      <c r="E377" s="183" t="s">
        <v>208</v>
      </c>
      <c r="F377" s="183" t="s">
        <v>208</v>
      </c>
      <c r="G377" s="183" t="s">
        <v>208</v>
      </c>
      <c r="H377" s="155"/>
      <c r="I377" s="155"/>
      <c r="J377" s="155"/>
      <c r="K377" s="147"/>
    </row>
    <row r="378">
      <c r="A378" s="153">
        <v>375.0</v>
      </c>
      <c r="B378" s="154"/>
      <c r="C378" s="183" t="s">
        <v>208</v>
      </c>
      <c r="D378" s="183" t="s">
        <v>208</v>
      </c>
      <c r="E378" s="183" t="s">
        <v>208</v>
      </c>
      <c r="F378" s="183" t="s">
        <v>208</v>
      </c>
      <c r="G378" s="183" t="s">
        <v>208</v>
      </c>
      <c r="H378" s="155"/>
      <c r="I378" s="155"/>
      <c r="J378" s="155"/>
      <c r="K378" s="147"/>
    </row>
    <row r="379">
      <c r="A379" s="153">
        <v>376.0</v>
      </c>
      <c r="B379" s="154"/>
      <c r="C379" s="183" t="s">
        <v>208</v>
      </c>
      <c r="D379" s="183" t="s">
        <v>208</v>
      </c>
      <c r="E379" s="154"/>
      <c r="F379" s="183" t="s">
        <v>208</v>
      </c>
      <c r="G379" s="183" t="s">
        <v>208</v>
      </c>
      <c r="H379" s="155"/>
      <c r="I379" s="155"/>
      <c r="J379" s="155"/>
      <c r="K379" s="147"/>
    </row>
    <row r="380">
      <c r="A380" s="153">
        <v>377.0</v>
      </c>
      <c r="B380" s="154"/>
      <c r="C380" s="183" t="s">
        <v>208</v>
      </c>
      <c r="D380" s="183" t="s">
        <v>208</v>
      </c>
      <c r="E380" s="183" t="s">
        <v>208</v>
      </c>
      <c r="F380" s="183" t="s">
        <v>208</v>
      </c>
      <c r="G380" s="183" t="s">
        <v>208</v>
      </c>
      <c r="H380" s="155"/>
      <c r="I380" s="155"/>
      <c r="J380" s="155"/>
      <c r="K380" s="147"/>
    </row>
    <row r="381">
      <c r="A381" s="153">
        <v>378.0</v>
      </c>
      <c r="B381" s="154"/>
      <c r="C381" s="183" t="s">
        <v>208</v>
      </c>
      <c r="D381" s="183" t="s">
        <v>208</v>
      </c>
      <c r="E381" s="183" t="s">
        <v>208</v>
      </c>
      <c r="F381" s="183" t="s">
        <v>208</v>
      </c>
      <c r="G381" s="183" t="s">
        <v>208</v>
      </c>
      <c r="H381" s="155"/>
      <c r="I381" s="155"/>
      <c r="J381" s="155"/>
      <c r="K381" s="147"/>
    </row>
    <row r="382">
      <c r="A382" s="153">
        <v>379.0</v>
      </c>
      <c r="B382" s="155"/>
      <c r="C382" s="154"/>
      <c r="D382" s="183" t="s">
        <v>208</v>
      </c>
      <c r="E382" s="183" t="s">
        <v>208</v>
      </c>
      <c r="F382" s="183" t="s">
        <v>208</v>
      </c>
      <c r="G382" s="154"/>
      <c r="H382" s="183" t="s">
        <v>208</v>
      </c>
      <c r="I382" s="155"/>
      <c r="J382" s="155"/>
      <c r="K382" s="147"/>
    </row>
    <row r="383">
      <c r="A383" s="153">
        <v>380.0</v>
      </c>
      <c r="B383" s="154"/>
      <c r="C383" s="183" t="s">
        <v>208</v>
      </c>
      <c r="D383" s="183" t="s">
        <v>208</v>
      </c>
      <c r="E383" s="183" t="s">
        <v>208</v>
      </c>
      <c r="F383" s="183" t="s">
        <v>208</v>
      </c>
      <c r="G383" s="183" t="s">
        <v>208</v>
      </c>
      <c r="H383" s="155"/>
      <c r="I383" s="155"/>
      <c r="J383" s="155"/>
      <c r="K383" s="147"/>
    </row>
    <row r="384">
      <c r="A384" s="153">
        <v>381.0</v>
      </c>
      <c r="B384" s="154"/>
      <c r="C384" s="183" t="s">
        <v>208</v>
      </c>
      <c r="D384" s="183" t="s">
        <v>208</v>
      </c>
      <c r="E384" s="183" t="s">
        <v>208</v>
      </c>
      <c r="F384" s="183" t="s">
        <v>208</v>
      </c>
      <c r="G384" s="183" t="s">
        <v>208</v>
      </c>
      <c r="H384" s="155"/>
      <c r="I384" s="155"/>
      <c r="J384" s="155"/>
      <c r="K384" s="147"/>
    </row>
    <row r="385">
      <c r="A385" s="153">
        <v>382.0</v>
      </c>
      <c r="B385" s="154"/>
      <c r="C385" s="183" t="s">
        <v>208</v>
      </c>
      <c r="D385" s="183" t="s">
        <v>208</v>
      </c>
      <c r="E385" s="183" t="s">
        <v>208</v>
      </c>
      <c r="F385" s="183" t="s">
        <v>208</v>
      </c>
      <c r="G385" s="183" t="s">
        <v>208</v>
      </c>
      <c r="H385" s="155"/>
      <c r="I385" s="155"/>
      <c r="J385" s="155"/>
      <c r="K385" s="147"/>
    </row>
    <row r="386">
      <c r="A386" s="153">
        <v>383.0</v>
      </c>
      <c r="B386" s="154"/>
      <c r="C386" s="183" t="s">
        <v>208</v>
      </c>
      <c r="D386" s="183" t="s">
        <v>208</v>
      </c>
      <c r="E386" s="183" t="s">
        <v>208</v>
      </c>
      <c r="F386" s="183" t="s">
        <v>208</v>
      </c>
      <c r="G386" s="183" t="s">
        <v>208</v>
      </c>
      <c r="H386" s="155"/>
      <c r="I386" s="155"/>
      <c r="J386" s="155"/>
      <c r="K386" s="147"/>
    </row>
    <row r="387">
      <c r="A387" s="153">
        <v>384.0</v>
      </c>
      <c r="B387" s="154"/>
      <c r="C387" s="183" t="s">
        <v>208</v>
      </c>
      <c r="D387" s="183" t="s">
        <v>208</v>
      </c>
      <c r="E387" s="183" t="s">
        <v>208</v>
      </c>
      <c r="F387" s="183" t="s">
        <v>208</v>
      </c>
      <c r="G387" s="183" t="s">
        <v>208</v>
      </c>
      <c r="H387" s="155"/>
      <c r="I387" s="155"/>
      <c r="J387" s="155"/>
      <c r="K387" s="147"/>
    </row>
    <row r="388">
      <c r="A388" s="153">
        <v>385.0</v>
      </c>
      <c r="B388" s="154"/>
      <c r="C388" s="183" t="s">
        <v>208</v>
      </c>
      <c r="D388" s="183" t="s">
        <v>208</v>
      </c>
      <c r="E388" s="183" t="s">
        <v>208</v>
      </c>
      <c r="F388" s="183" t="s">
        <v>208</v>
      </c>
      <c r="G388" s="183" t="s">
        <v>208</v>
      </c>
      <c r="H388" s="155"/>
      <c r="I388" s="155"/>
      <c r="J388" s="155"/>
      <c r="K388" s="147"/>
    </row>
    <row r="389">
      <c r="A389" s="153">
        <v>386.0</v>
      </c>
      <c r="B389" s="154"/>
      <c r="C389" s="183" t="s">
        <v>208</v>
      </c>
      <c r="D389" s="183" t="s">
        <v>208</v>
      </c>
      <c r="E389" s="183" t="s">
        <v>208</v>
      </c>
      <c r="F389" s="183" t="s">
        <v>208</v>
      </c>
      <c r="G389" s="183" t="s">
        <v>208</v>
      </c>
      <c r="H389" s="155"/>
      <c r="I389" s="155"/>
      <c r="J389" s="155"/>
      <c r="K389" s="147"/>
    </row>
    <row r="390">
      <c r="A390" s="153">
        <v>387.0</v>
      </c>
      <c r="B390" s="154"/>
      <c r="C390" s="154"/>
      <c r="D390" s="183" t="s">
        <v>208</v>
      </c>
      <c r="E390" s="183" t="s">
        <v>208</v>
      </c>
      <c r="F390" s="183" t="s">
        <v>208</v>
      </c>
      <c r="G390" s="155"/>
      <c r="H390" s="183" t="s">
        <v>208</v>
      </c>
      <c r="I390" s="155"/>
      <c r="J390" s="155"/>
      <c r="K390" s="147"/>
    </row>
    <row r="391">
      <c r="A391" s="153">
        <v>388.0</v>
      </c>
      <c r="B391" s="155"/>
      <c r="C391" s="154"/>
      <c r="D391" s="183" t="s">
        <v>208</v>
      </c>
      <c r="E391" s="183" t="s">
        <v>208</v>
      </c>
      <c r="F391" s="183" t="s">
        <v>208</v>
      </c>
      <c r="G391" s="154"/>
      <c r="H391" s="183" t="s">
        <v>208</v>
      </c>
      <c r="I391" s="155"/>
      <c r="J391" s="155"/>
      <c r="K391" s="147"/>
    </row>
    <row r="392">
      <c r="A392" s="153">
        <v>389.0</v>
      </c>
      <c r="B392" s="155"/>
      <c r="C392" s="154"/>
      <c r="D392" s="154" t="s">
        <v>218</v>
      </c>
      <c r="E392" s="183" t="s">
        <v>208</v>
      </c>
      <c r="F392" s="183" t="s">
        <v>208</v>
      </c>
      <c r="G392" s="154"/>
      <c r="H392" s="183" t="s">
        <v>208</v>
      </c>
      <c r="I392" s="155"/>
      <c r="J392" s="155"/>
      <c r="K392" s="147"/>
    </row>
    <row r="393">
      <c r="A393" s="153">
        <v>390.0</v>
      </c>
      <c r="B393" s="155"/>
      <c r="C393" s="154"/>
      <c r="D393" s="154" t="s">
        <v>218</v>
      </c>
      <c r="E393" s="183" t="s">
        <v>208</v>
      </c>
      <c r="F393" s="183" t="s">
        <v>208</v>
      </c>
      <c r="G393" s="154"/>
      <c r="H393" s="183" t="s">
        <v>208</v>
      </c>
      <c r="I393" s="155"/>
      <c r="J393" s="155"/>
      <c r="K393" s="147"/>
    </row>
    <row r="394">
      <c r="A394" s="153">
        <v>391.0</v>
      </c>
      <c r="B394" s="155"/>
      <c r="C394" s="183" t="s">
        <v>208</v>
      </c>
      <c r="D394" s="183" t="s">
        <v>208</v>
      </c>
      <c r="E394" s="183" t="s">
        <v>208</v>
      </c>
      <c r="F394" s="183" t="s">
        <v>208</v>
      </c>
      <c r="G394" s="183" t="s">
        <v>208</v>
      </c>
      <c r="H394" s="155"/>
      <c r="I394" s="155"/>
      <c r="J394" s="155"/>
      <c r="K394" s="147"/>
    </row>
    <row r="395">
      <c r="A395" s="153">
        <v>392.0</v>
      </c>
      <c r="B395" s="155"/>
      <c r="C395" s="154"/>
      <c r="D395" s="183" t="s">
        <v>208</v>
      </c>
      <c r="E395" s="183" t="s">
        <v>208</v>
      </c>
      <c r="F395" s="183" t="s">
        <v>208</v>
      </c>
      <c r="G395" s="154"/>
      <c r="H395" s="183" t="s">
        <v>208</v>
      </c>
      <c r="I395" s="155"/>
      <c r="J395" s="155"/>
      <c r="K395" s="147"/>
    </row>
    <row r="396">
      <c r="A396" s="153">
        <v>393.0</v>
      </c>
      <c r="B396" s="154"/>
      <c r="C396" s="183" t="s">
        <v>208</v>
      </c>
      <c r="D396" s="154" t="s">
        <v>218</v>
      </c>
      <c r="E396" s="183" t="s">
        <v>208</v>
      </c>
      <c r="F396" s="183" t="s">
        <v>208</v>
      </c>
      <c r="G396" s="183" t="s">
        <v>208</v>
      </c>
      <c r="H396" s="155"/>
      <c r="I396" s="155"/>
      <c r="J396" s="155"/>
      <c r="K396" s="147"/>
    </row>
    <row r="397">
      <c r="A397" s="153">
        <v>394.0</v>
      </c>
      <c r="B397" s="154"/>
      <c r="C397" s="183" t="s">
        <v>208</v>
      </c>
      <c r="D397" s="183" t="s">
        <v>208</v>
      </c>
      <c r="E397" s="183" t="s">
        <v>208</v>
      </c>
      <c r="F397" s="183" t="s">
        <v>208</v>
      </c>
      <c r="G397" s="183" t="s">
        <v>208</v>
      </c>
      <c r="H397" s="155"/>
      <c r="I397" s="155"/>
      <c r="J397" s="155"/>
      <c r="K397" s="147"/>
    </row>
    <row r="398">
      <c r="A398" s="153">
        <v>395.0</v>
      </c>
      <c r="B398" s="154"/>
      <c r="C398" s="183" t="s">
        <v>208</v>
      </c>
      <c r="D398" s="183" t="s">
        <v>208</v>
      </c>
      <c r="E398" s="183" t="s">
        <v>208</v>
      </c>
      <c r="F398" s="183" t="s">
        <v>208</v>
      </c>
      <c r="G398" s="183" t="s">
        <v>208</v>
      </c>
      <c r="H398" s="155"/>
      <c r="I398" s="155"/>
      <c r="J398" s="155"/>
      <c r="K398" s="147"/>
    </row>
    <row r="399">
      <c r="A399" s="153">
        <v>396.0</v>
      </c>
      <c r="B399" s="154"/>
      <c r="C399" s="183" t="s">
        <v>208</v>
      </c>
      <c r="D399" s="183" t="s">
        <v>208</v>
      </c>
      <c r="E399" s="183" t="s">
        <v>208</v>
      </c>
      <c r="F399" s="183" t="s">
        <v>208</v>
      </c>
      <c r="G399" s="183" t="s">
        <v>208</v>
      </c>
      <c r="H399" s="155"/>
      <c r="I399" s="155"/>
      <c r="J399" s="155"/>
      <c r="K399" s="147"/>
    </row>
    <row r="400">
      <c r="A400" s="153">
        <v>397.0</v>
      </c>
      <c r="B400" s="154"/>
      <c r="C400" s="183" t="s">
        <v>208</v>
      </c>
      <c r="D400" s="183" t="s">
        <v>208</v>
      </c>
      <c r="E400" s="183" t="s">
        <v>208</v>
      </c>
      <c r="F400" s="183" t="s">
        <v>208</v>
      </c>
      <c r="G400" s="183" t="s">
        <v>208</v>
      </c>
      <c r="H400" s="155"/>
      <c r="I400" s="155"/>
      <c r="J400" s="155"/>
      <c r="K400" s="147"/>
    </row>
    <row r="401">
      <c r="A401" s="153">
        <v>398.0</v>
      </c>
      <c r="B401" s="154"/>
      <c r="C401" s="183" t="s">
        <v>208</v>
      </c>
      <c r="D401" s="183" t="s">
        <v>208</v>
      </c>
      <c r="E401" s="183" t="s">
        <v>208</v>
      </c>
      <c r="F401" s="183" t="s">
        <v>208</v>
      </c>
      <c r="G401" s="183" t="s">
        <v>208</v>
      </c>
      <c r="H401" s="155"/>
      <c r="I401" s="155"/>
      <c r="J401" s="155"/>
      <c r="K401" s="147"/>
    </row>
    <row r="402">
      <c r="A402" s="153">
        <v>399.0</v>
      </c>
      <c r="B402" s="154"/>
      <c r="C402" s="183" t="s">
        <v>208</v>
      </c>
      <c r="D402" s="183" t="s">
        <v>208</v>
      </c>
      <c r="E402" s="183" t="s">
        <v>208</v>
      </c>
      <c r="F402" s="183" t="s">
        <v>208</v>
      </c>
      <c r="G402" s="183" t="s">
        <v>208</v>
      </c>
      <c r="H402" s="155"/>
      <c r="I402" s="155"/>
      <c r="J402" s="155"/>
      <c r="K402" s="147"/>
    </row>
    <row r="403">
      <c r="A403" s="153">
        <v>400.0</v>
      </c>
      <c r="B403" s="154"/>
      <c r="C403" s="183" t="s">
        <v>208</v>
      </c>
      <c r="D403" s="183" t="s">
        <v>208</v>
      </c>
      <c r="E403" s="183" t="s">
        <v>208</v>
      </c>
      <c r="F403" s="183" t="s">
        <v>208</v>
      </c>
      <c r="G403" s="183" t="s">
        <v>208</v>
      </c>
      <c r="H403" s="155"/>
      <c r="I403" s="155"/>
      <c r="J403" s="155"/>
      <c r="K403" s="147"/>
    </row>
    <row r="404">
      <c r="A404" s="153">
        <v>401.0</v>
      </c>
      <c r="B404" s="154"/>
      <c r="C404" s="183" t="s">
        <v>208</v>
      </c>
      <c r="D404" s="183" t="s">
        <v>208</v>
      </c>
      <c r="E404" s="183" t="s">
        <v>208</v>
      </c>
      <c r="F404" s="183" t="s">
        <v>208</v>
      </c>
      <c r="G404" s="183" t="s">
        <v>208</v>
      </c>
      <c r="H404" s="155"/>
      <c r="I404" s="155"/>
      <c r="J404" s="155"/>
      <c r="K404" s="147"/>
    </row>
    <row r="405">
      <c r="A405" s="153">
        <v>402.0</v>
      </c>
      <c r="B405" s="154"/>
      <c r="C405" s="183" t="s">
        <v>208</v>
      </c>
      <c r="D405" s="183" t="s">
        <v>208</v>
      </c>
      <c r="E405" s="183" t="s">
        <v>208</v>
      </c>
      <c r="F405" s="183" t="s">
        <v>208</v>
      </c>
      <c r="G405" s="183" t="s">
        <v>208</v>
      </c>
      <c r="H405" s="155"/>
      <c r="I405" s="155"/>
      <c r="J405" s="155"/>
      <c r="K405" s="147"/>
    </row>
    <row r="406">
      <c r="A406" s="153">
        <v>403.0</v>
      </c>
      <c r="B406" s="154"/>
      <c r="C406" s="183" t="s">
        <v>208</v>
      </c>
      <c r="D406" s="183" t="s">
        <v>208</v>
      </c>
      <c r="E406" s="183" t="s">
        <v>208</v>
      </c>
      <c r="F406" s="183" t="s">
        <v>208</v>
      </c>
      <c r="G406" s="183" t="s">
        <v>208</v>
      </c>
      <c r="H406" s="155"/>
      <c r="I406" s="155"/>
      <c r="J406" s="155"/>
      <c r="K406" s="147"/>
    </row>
    <row r="407">
      <c r="A407" s="153">
        <v>404.0</v>
      </c>
      <c r="B407" s="154"/>
      <c r="C407" s="154"/>
      <c r="D407" s="183" t="s">
        <v>208</v>
      </c>
      <c r="E407" s="183" t="s">
        <v>208</v>
      </c>
      <c r="F407" s="183" t="s">
        <v>208</v>
      </c>
      <c r="G407" s="155"/>
      <c r="H407" s="183" t="s">
        <v>208</v>
      </c>
      <c r="I407" s="155"/>
      <c r="J407" s="155"/>
      <c r="K407" s="147"/>
    </row>
    <row r="408">
      <c r="A408" s="153">
        <v>405.0</v>
      </c>
      <c r="B408" s="155"/>
      <c r="C408" s="154"/>
      <c r="D408" s="154" t="s">
        <v>218</v>
      </c>
      <c r="E408" s="183" t="s">
        <v>208</v>
      </c>
      <c r="F408" s="183" t="s">
        <v>208</v>
      </c>
      <c r="G408" s="154"/>
      <c r="H408" s="183" t="s">
        <v>208</v>
      </c>
      <c r="I408" s="155"/>
      <c r="J408" s="155"/>
      <c r="K408" s="147"/>
    </row>
    <row r="409">
      <c r="A409" s="153">
        <v>406.0</v>
      </c>
      <c r="B409" s="154"/>
      <c r="C409" s="183" t="s">
        <v>208</v>
      </c>
      <c r="D409" s="183" t="s">
        <v>208</v>
      </c>
      <c r="E409" s="183" t="s">
        <v>208</v>
      </c>
      <c r="F409" s="183" t="s">
        <v>208</v>
      </c>
      <c r="G409" s="183" t="s">
        <v>208</v>
      </c>
      <c r="H409" s="155"/>
      <c r="I409" s="155"/>
      <c r="J409" s="155"/>
      <c r="K409" s="147"/>
    </row>
    <row r="410">
      <c r="A410" s="153">
        <v>407.0</v>
      </c>
      <c r="B410" s="154"/>
      <c r="C410" s="183" t="s">
        <v>208</v>
      </c>
      <c r="D410" s="183" t="s">
        <v>208</v>
      </c>
      <c r="E410" s="183" t="s">
        <v>208</v>
      </c>
      <c r="F410" s="183" t="s">
        <v>208</v>
      </c>
      <c r="G410" s="183" t="s">
        <v>208</v>
      </c>
      <c r="H410" s="155"/>
      <c r="I410" s="155"/>
      <c r="J410" s="155"/>
      <c r="K410" s="147"/>
    </row>
    <row r="411">
      <c r="A411" s="153">
        <v>408.0</v>
      </c>
      <c r="B411" s="154"/>
      <c r="C411" s="183" t="s">
        <v>208</v>
      </c>
      <c r="D411" s="183" t="s">
        <v>208</v>
      </c>
      <c r="E411" s="183" t="s">
        <v>208</v>
      </c>
      <c r="F411" s="183" t="s">
        <v>208</v>
      </c>
      <c r="G411" s="183" t="s">
        <v>208</v>
      </c>
      <c r="H411" s="155"/>
      <c r="I411" s="155"/>
      <c r="J411" s="155"/>
      <c r="K411" s="147"/>
    </row>
    <row r="412">
      <c r="A412" s="153">
        <v>409.0</v>
      </c>
      <c r="B412" s="154"/>
      <c r="C412" s="183" t="s">
        <v>208</v>
      </c>
      <c r="D412" s="183" t="s">
        <v>208</v>
      </c>
      <c r="E412" s="183" t="s">
        <v>208</v>
      </c>
      <c r="F412" s="183" t="s">
        <v>208</v>
      </c>
      <c r="G412" s="183" t="s">
        <v>208</v>
      </c>
      <c r="H412" s="155"/>
      <c r="I412" s="155"/>
      <c r="J412" s="155"/>
      <c r="K412" s="147"/>
    </row>
    <row r="413">
      <c r="A413" s="153">
        <v>410.0</v>
      </c>
      <c r="B413" s="154"/>
      <c r="C413" s="183" t="s">
        <v>208</v>
      </c>
      <c r="D413" s="183" t="s">
        <v>208</v>
      </c>
      <c r="E413" s="183" t="s">
        <v>208</v>
      </c>
      <c r="F413" s="183" t="s">
        <v>208</v>
      </c>
      <c r="G413" s="183" t="s">
        <v>208</v>
      </c>
      <c r="H413" s="155"/>
      <c r="I413" s="155"/>
      <c r="J413" s="155"/>
      <c r="K413" s="147"/>
    </row>
    <row r="414">
      <c r="A414" s="153">
        <v>411.0</v>
      </c>
      <c r="B414" s="154"/>
      <c r="C414" s="183" t="s">
        <v>208</v>
      </c>
      <c r="D414" s="183" t="s">
        <v>208</v>
      </c>
      <c r="E414" s="183" t="s">
        <v>208</v>
      </c>
      <c r="F414" s="183" t="s">
        <v>208</v>
      </c>
      <c r="G414" s="183" t="s">
        <v>208</v>
      </c>
      <c r="H414" s="155"/>
      <c r="I414" s="155"/>
      <c r="J414" s="155"/>
      <c r="K414" s="147"/>
    </row>
    <row r="415">
      <c r="A415" s="153">
        <v>412.0</v>
      </c>
      <c r="B415" s="154"/>
      <c r="C415" s="183" t="s">
        <v>208</v>
      </c>
      <c r="D415" s="183" t="s">
        <v>208</v>
      </c>
      <c r="E415" s="154"/>
      <c r="F415" s="183" t="s">
        <v>208</v>
      </c>
      <c r="G415" s="183" t="s">
        <v>208</v>
      </c>
      <c r="H415" s="155"/>
      <c r="I415" s="155"/>
      <c r="J415" s="155"/>
      <c r="K415" s="147"/>
    </row>
    <row r="416">
      <c r="A416" s="153">
        <v>413.0</v>
      </c>
      <c r="B416" s="155"/>
      <c r="C416" s="183" t="s">
        <v>208</v>
      </c>
      <c r="D416" s="183" t="s">
        <v>208</v>
      </c>
      <c r="E416" s="154"/>
      <c r="F416" s="183" t="s">
        <v>208</v>
      </c>
      <c r="G416" s="183" t="s">
        <v>208</v>
      </c>
      <c r="H416" s="155"/>
      <c r="I416" s="155"/>
      <c r="J416" s="155"/>
      <c r="K416" s="147"/>
    </row>
    <row r="417">
      <c r="A417" s="153">
        <v>414.0</v>
      </c>
      <c r="B417" s="154"/>
      <c r="C417" s="183" t="s">
        <v>208</v>
      </c>
      <c r="D417" s="183" t="s">
        <v>208</v>
      </c>
      <c r="E417" s="154"/>
      <c r="F417" s="183" t="s">
        <v>208</v>
      </c>
      <c r="G417" s="183" t="s">
        <v>208</v>
      </c>
      <c r="H417" s="155"/>
      <c r="I417" s="155"/>
      <c r="J417" s="155"/>
      <c r="K417" s="147"/>
    </row>
    <row r="418">
      <c r="A418" s="153">
        <v>415.0</v>
      </c>
      <c r="B418" s="154"/>
      <c r="C418" s="183" t="s">
        <v>208</v>
      </c>
      <c r="D418" s="183" t="s">
        <v>208</v>
      </c>
      <c r="E418" s="183" t="s">
        <v>208</v>
      </c>
      <c r="F418" s="183" t="s">
        <v>208</v>
      </c>
      <c r="G418" s="183" t="s">
        <v>208</v>
      </c>
      <c r="H418" s="155"/>
      <c r="I418" s="155"/>
      <c r="J418" s="155"/>
      <c r="K418" s="147"/>
    </row>
    <row r="419">
      <c r="A419" s="153">
        <v>416.0</v>
      </c>
      <c r="B419" s="154"/>
      <c r="C419" s="183" t="s">
        <v>208</v>
      </c>
      <c r="D419" s="183" t="s">
        <v>208</v>
      </c>
      <c r="E419" s="183" t="s">
        <v>208</v>
      </c>
      <c r="F419" s="183" t="s">
        <v>208</v>
      </c>
      <c r="G419" s="183" t="s">
        <v>208</v>
      </c>
      <c r="H419" s="155"/>
      <c r="I419" s="155"/>
      <c r="J419" s="155"/>
      <c r="K419" s="147"/>
    </row>
    <row r="420">
      <c r="A420" s="153">
        <v>417.0</v>
      </c>
      <c r="B420" s="154"/>
      <c r="C420" s="183" t="s">
        <v>208</v>
      </c>
      <c r="D420" s="183" t="s">
        <v>208</v>
      </c>
      <c r="E420" s="183" t="s">
        <v>208</v>
      </c>
      <c r="F420" s="183" t="s">
        <v>208</v>
      </c>
      <c r="G420" s="183" t="s">
        <v>208</v>
      </c>
      <c r="H420" s="155"/>
      <c r="I420" s="155"/>
      <c r="J420" s="155"/>
      <c r="K420" s="147"/>
    </row>
    <row r="421">
      <c r="A421" s="153">
        <v>418.0</v>
      </c>
      <c r="B421" s="154"/>
      <c r="C421" s="183" t="s">
        <v>208</v>
      </c>
      <c r="D421" s="183" t="s">
        <v>208</v>
      </c>
      <c r="E421" s="183" t="s">
        <v>208</v>
      </c>
      <c r="F421" s="183" t="s">
        <v>208</v>
      </c>
      <c r="G421" s="183" t="s">
        <v>208</v>
      </c>
      <c r="H421" s="155"/>
      <c r="I421" s="155"/>
      <c r="J421" s="155"/>
      <c r="K421" s="147"/>
    </row>
    <row r="422">
      <c r="A422" s="153">
        <v>419.0</v>
      </c>
      <c r="B422" s="154"/>
      <c r="C422" s="183" t="s">
        <v>208</v>
      </c>
      <c r="D422" s="183" t="s">
        <v>208</v>
      </c>
      <c r="E422" s="183" t="s">
        <v>208</v>
      </c>
      <c r="F422" s="183" t="s">
        <v>208</v>
      </c>
      <c r="G422" s="183" t="s">
        <v>208</v>
      </c>
      <c r="H422" s="155"/>
      <c r="I422" s="155"/>
      <c r="J422" s="155"/>
      <c r="K422" s="147"/>
    </row>
    <row r="423">
      <c r="A423" s="153">
        <v>420.0</v>
      </c>
      <c r="B423" s="154"/>
      <c r="C423" s="183" t="s">
        <v>208</v>
      </c>
      <c r="D423" s="183" t="s">
        <v>208</v>
      </c>
      <c r="E423" s="183" t="s">
        <v>208</v>
      </c>
      <c r="F423" s="183" t="s">
        <v>208</v>
      </c>
      <c r="G423" s="183" t="s">
        <v>208</v>
      </c>
      <c r="H423" s="155"/>
      <c r="I423" s="155"/>
      <c r="J423" s="155"/>
      <c r="K423" s="147"/>
    </row>
    <row r="424">
      <c r="A424" s="153">
        <v>421.0</v>
      </c>
      <c r="B424" s="154"/>
      <c r="C424" s="183" t="s">
        <v>208</v>
      </c>
      <c r="D424" s="183" t="s">
        <v>208</v>
      </c>
      <c r="E424" s="183" t="s">
        <v>208</v>
      </c>
      <c r="F424" s="183" t="s">
        <v>208</v>
      </c>
      <c r="G424" s="183" t="s">
        <v>208</v>
      </c>
      <c r="H424" s="155"/>
      <c r="I424" s="155"/>
      <c r="J424" s="155"/>
      <c r="K424" s="147"/>
    </row>
    <row r="425">
      <c r="A425" s="153">
        <v>422.0</v>
      </c>
      <c r="B425" s="154"/>
      <c r="C425" s="183" t="s">
        <v>208</v>
      </c>
      <c r="D425" s="183" t="s">
        <v>208</v>
      </c>
      <c r="E425" s="183" t="s">
        <v>208</v>
      </c>
      <c r="F425" s="183" t="s">
        <v>208</v>
      </c>
      <c r="G425" s="183" t="s">
        <v>208</v>
      </c>
      <c r="H425" s="155"/>
      <c r="I425" s="155"/>
      <c r="J425" s="155"/>
      <c r="K425" s="147"/>
    </row>
    <row r="426">
      <c r="A426" s="153">
        <v>423.0</v>
      </c>
      <c r="B426" s="154"/>
      <c r="C426" s="183" t="s">
        <v>208</v>
      </c>
      <c r="D426" s="183" t="s">
        <v>208</v>
      </c>
      <c r="E426" s="183" t="s">
        <v>208</v>
      </c>
      <c r="F426" s="183" t="s">
        <v>208</v>
      </c>
      <c r="G426" s="183" t="s">
        <v>208</v>
      </c>
      <c r="H426" s="155"/>
      <c r="I426" s="155"/>
      <c r="J426" s="155"/>
      <c r="K426" s="147"/>
    </row>
    <row r="427">
      <c r="A427" s="153">
        <v>424.0</v>
      </c>
      <c r="B427" s="154"/>
      <c r="C427" s="183" t="s">
        <v>208</v>
      </c>
      <c r="D427" s="183" t="s">
        <v>208</v>
      </c>
      <c r="E427" s="183" t="s">
        <v>208</v>
      </c>
      <c r="F427" s="183" t="s">
        <v>208</v>
      </c>
      <c r="G427" s="183" t="s">
        <v>208</v>
      </c>
      <c r="H427" s="155"/>
      <c r="I427" s="155"/>
      <c r="J427" s="155"/>
      <c r="K427" s="147"/>
    </row>
    <row r="428">
      <c r="A428" s="153">
        <v>425.0</v>
      </c>
      <c r="B428" s="154"/>
      <c r="C428" s="183" t="s">
        <v>208</v>
      </c>
      <c r="D428" s="183" t="s">
        <v>208</v>
      </c>
      <c r="E428" s="183" t="s">
        <v>208</v>
      </c>
      <c r="F428" s="183" t="s">
        <v>208</v>
      </c>
      <c r="G428" s="183" t="s">
        <v>208</v>
      </c>
      <c r="H428" s="155"/>
      <c r="I428" s="155"/>
      <c r="J428" s="155"/>
      <c r="K428" s="147"/>
    </row>
    <row r="429">
      <c r="A429" s="153">
        <v>426.0</v>
      </c>
      <c r="B429" s="154"/>
      <c r="C429" s="183" t="s">
        <v>208</v>
      </c>
      <c r="D429" s="183" t="s">
        <v>208</v>
      </c>
      <c r="E429" s="183" t="s">
        <v>208</v>
      </c>
      <c r="F429" s="183" t="s">
        <v>208</v>
      </c>
      <c r="G429" s="183" t="s">
        <v>208</v>
      </c>
      <c r="H429" s="155"/>
      <c r="I429" s="155"/>
      <c r="J429" s="155"/>
      <c r="K429" s="147"/>
    </row>
    <row r="430">
      <c r="A430" s="153">
        <v>427.0</v>
      </c>
      <c r="B430" s="154"/>
      <c r="C430" s="183" t="s">
        <v>208</v>
      </c>
      <c r="D430" s="183" t="s">
        <v>208</v>
      </c>
      <c r="E430" s="154"/>
      <c r="F430" s="183" t="s">
        <v>208</v>
      </c>
      <c r="G430" s="183" t="s">
        <v>208</v>
      </c>
      <c r="H430" s="155"/>
      <c r="I430" s="155"/>
      <c r="J430" s="155"/>
      <c r="K430" s="147"/>
    </row>
    <row r="431">
      <c r="A431" s="153">
        <v>428.0</v>
      </c>
      <c r="B431" s="154"/>
      <c r="C431" s="183" t="s">
        <v>208</v>
      </c>
      <c r="D431" s="183" t="s">
        <v>208</v>
      </c>
      <c r="E431" s="183" t="s">
        <v>208</v>
      </c>
      <c r="F431" s="183" t="s">
        <v>208</v>
      </c>
      <c r="G431" s="183" t="s">
        <v>208</v>
      </c>
      <c r="H431" s="155"/>
      <c r="I431" s="155"/>
      <c r="J431" s="155"/>
      <c r="K431" s="147"/>
    </row>
    <row r="432">
      <c r="A432" s="153">
        <v>429.0</v>
      </c>
      <c r="B432" s="154"/>
      <c r="C432" s="183" t="s">
        <v>208</v>
      </c>
      <c r="D432" s="183" t="s">
        <v>208</v>
      </c>
      <c r="E432" s="183" t="s">
        <v>208</v>
      </c>
      <c r="F432" s="183" t="s">
        <v>208</v>
      </c>
      <c r="G432" s="183" t="s">
        <v>208</v>
      </c>
      <c r="H432" s="155"/>
      <c r="I432" s="155"/>
      <c r="J432" s="155"/>
      <c r="K432" s="147"/>
    </row>
    <row r="433">
      <c r="A433" s="153">
        <v>430.0</v>
      </c>
      <c r="B433" s="154"/>
      <c r="C433" s="183" t="s">
        <v>208</v>
      </c>
      <c r="D433" s="183" t="s">
        <v>208</v>
      </c>
      <c r="E433" s="183" t="s">
        <v>208</v>
      </c>
      <c r="F433" s="183" t="s">
        <v>208</v>
      </c>
      <c r="G433" s="183" t="s">
        <v>208</v>
      </c>
      <c r="H433" s="155"/>
      <c r="I433" s="155"/>
      <c r="J433" s="155"/>
      <c r="K433" s="147"/>
    </row>
    <row r="434">
      <c r="A434" s="153">
        <v>431.0</v>
      </c>
      <c r="B434" s="154"/>
      <c r="C434" s="183" t="s">
        <v>208</v>
      </c>
      <c r="D434" s="183" t="s">
        <v>208</v>
      </c>
      <c r="E434" s="183" t="s">
        <v>208</v>
      </c>
      <c r="F434" s="183" t="s">
        <v>208</v>
      </c>
      <c r="G434" s="183" t="s">
        <v>208</v>
      </c>
      <c r="H434" s="155"/>
      <c r="I434" s="155"/>
      <c r="J434" s="155"/>
      <c r="K434" s="147"/>
    </row>
    <row r="435">
      <c r="A435" s="153">
        <v>432.0</v>
      </c>
      <c r="B435" s="154"/>
      <c r="C435" s="183" t="s">
        <v>208</v>
      </c>
      <c r="D435" s="183" t="s">
        <v>208</v>
      </c>
      <c r="E435" s="183" t="s">
        <v>208</v>
      </c>
      <c r="F435" s="183" t="s">
        <v>208</v>
      </c>
      <c r="G435" s="183" t="s">
        <v>208</v>
      </c>
      <c r="H435" s="155"/>
      <c r="I435" s="155"/>
      <c r="J435" s="155"/>
      <c r="K435" s="147"/>
    </row>
    <row r="436">
      <c r="A436" s="153">
        <v>433.0</v>
      </c>
      <c r="B436" s="154"/>
      <c r="C436" s="154"/>
      <c r="D436" s="154"/>
      <c r="E436" s="154"/>
      <c r="F436" s="154"/>
      <c r="G436" s="155"/>
      <c r="H436" s="155"/>
      <c r="I436" s="155"/>
      <c r="J436" s="154" t="s">
        <v>217</v>
      </c>
      <c r="K436" s="147"/>
    </row>
    <row r="437">
      <c r="A437" s="153">
        <v>434.0</v>
      </c>
      <c r="B437" s="154"/>
      <c r="C437" s="183" t="s">
        <v>208</v>
      </c>
      <c r="D437" s="183" t="s">
        <v>208</v>
      </c>
      <c r="E437" s="183" t="s">
        <v>208</v>
      </c>
      <c r="F437" s="183" t="s">
        <v>208</v>
      </c>
      <c r="G437" s="183" t="s">
        <v>208</v>
      </c>
      <c r="H437" s="155"/>
      <c r="I437" s="155"/>
      <c r="J437" s="155"/>
      <c r="K437" s="147"/>
    </row>
    <row r="438">
      <c r="A438" s="153">
        <v>435.0</v>
      </c>
      <c r="B438" s="154"/>
      <c r="C438" s="183" t="s">
        <v>208</v>
      </c>
      <c r="D438" s="183" t="s">
        <v>208</v>
      </c>
      <c r="E438" s="183" t="s">
        <v>208</v>
      </c>
      <c r="F438" s="183" t="s">
        <v>208</v>
      </c>
      <c r="G438" s="183" t="s">
        <v>208</v>
      </c>
      <c r="H438" s="155"/>
      <c r="I438" s="155"/>
      <c r="J438" s="155"/>
      <c r="K438" s="147"/>
    </row>
    <row r="439">
      <c r="A439" s="153">
        <v>436.0</v>
      </c>
      <c r="B439" s="154"/>
      <c r="C439" s="183" t="s">
        <v>208</v>
      </c>
      <c r="D439" s="183" t="s">
        <v>208</v>
      </c>
      <c r="E439" s="183" t="s">
        <v>208</v>
      </c>
      <c r="F439" s="183" t="s">
        <v>208</v>
      </c>
      <c r="G439" s="183" t="s">
        <v>208</v>
      </c>
      <c r="H439" s="155"/>
      <c r="I439" s="155"/>
      <c r="J439" s="155"/>
      <c r="K439" s="147"/>
    </row>
    <row r="440">
      <c r="A440" s="153">
        <v>437.0</v>
      </c>
      <c r="B440" s="154"/>
      <c r="C440" s="183" t="s">
        <v>208</v>
      </c>
      <c r="D440" s="183" t="s">
        <v>208</v>
      </c>
      <c r="E440" s="183" t="s">
        <v>208</v>
      </c>
      <c r="F440" s="183" t="s">
        <v>208</v>
      </c>
      <c r="G440" s="183" t="s">
        <v>208</v>
      </c>
      <c r="H440" s="155"/>
      <c r="I440" s="155"/>
      <c r="J440" s="155"/>
      <c r="K440" s="147"/>
    </row>
    <row r="441">
      <c r="A441" s="153">
        <v>438.0</v>
      </c>
      <c r="B441" s="154"/>
      <c r="C441" s="183" t="s">
        <v>208</v>
      </c>
      <c r="D441" s="183" t="s">
        <v>208</v>
      </c>
      <c r="E441" s="183" t="s">
        <v>208</v>
      </c>
      <c r="F441" s="183" t="s">
        <v>208</v>
      </c>
      <c r="G441" s="183" t="s">
        <v>208</v>
      </c>
      <c r="H441" s="155"/>
      <c r="I441" s="155"/>
      <c r="J441" s="155"/>
      <c r="K441" s="147"/>
    </row>
    <row r="442">
      <c r="A442" s="153">
        <v>439.0</v>
      </c>
      <c r="B442" s="154"/>
      <c r="C442" s="183" t="s">
        <v>208</v>
      </c>
      <c r="D442" s="183" t="s">
        <v>208</v>
      </c>
      <c r="E442" s="154"/>
      <c r="F442" s="183" t="s">
        <v>208</v>
      </c>
      <c r="G442" s="183" t="s">
        <v>208</v>
      </c>
      <c r="H442" s="155"/>
      <c r="I442" s="155"/>
      <c r="J442" s="155"/>
      <c r="K442" s="147"/>
    </row>
    <row r="443">
      <c r="A443" s="153">
        <v>440.0</v>
      </c>
      <c r="B443" s="154"/>
      <c r="C443" s="183" t="s">
        <v>208</v>
      </c>
      <c r="D443" s="183" t="s">
        <v>208</v>
      </c>
      <c r="E443" s="183" t="s">
        <v>208</v>
      </c>
      <c r="F443" s="183" t="s">
        <v>208</v>
      </c>
      <c r="G443" s="183" t="s">
        <v>208</v>
      </c>
      <c r="H443" s="155"/>
      <c r="I443" s="155"/>
      <c r="J443" s="155"/>
      <c r="K443" s="147"/>
    </row>
    <row r="444">
      <c r="A444" s="153">
        <v>441.0</v>
      </c>
      <c r="B444" s="154"/>
      <c r="C444" s="183" t="s">
        <v>208</v>
      </c>
      <c r="D444" s="183" t="s">
        <v>208</v>
      </c>
      <c r="E444" s="183" t="s">
        <v>208</v>
      </c>
      <c r="F444" s="183" t="s">
        <v>208</v>
      </c>
      <c r="G444" s="183" t="s">
        <v>208</v>
      </c>
      <c r="H444" s="155"/>
      <c r="I444" s="155"/>
      <c r="J444" s="155"/>
      <c r="K444" s="147"/>
    </row>
    <row r="445">
      <c r="A445" s="153">
        <v>442.0</v>
      </c>
      <c r="B445" s="154"/>
      <c r="C445" s="183" t="s">
        <v>208</v>
      </c>
      <c r="D445" s="183" t="s">
        <v>208</v>
      </c>
      <c r="E445" s="183" t="s">
        <v>208</v>
      </c>
      <c r="F445" s="183" t="s">
        <v>208</v>
      </c>
      <c r="G445" s="183" t="s">
        <v>208</v>
      </c>
      <c r="H445" s="155"/>
      <c r="I445" s="155"/>
      <c r="J445" s="155"/>
      <c r="K445" s="147"/>
    </row>
    <row r="446">
      <c r="A446" s="153">
        <v>443.0</v>
      </c>
      <c r="B446" s="154"/>
      <c r="C446" s="183" t="s">
        <v>208</v>
      </c>
      <c r="D446" s="183" t="s">
        <v>208</v>
      </c>
      <c r="E446" s="183" t="s">
        <v>208</v>
      </c>
      <c r="F446" s="183" t="s">
        <v>208</v>
      </c>
      <c r="G446" s="183" t="s">
        <v>208</v>
      </c>
      <c r="H446" s="155"/>
      <c r="I446" s="155"/>
      <c r="J446" s="155"/>
      <c r="K446" s="147"/>
    </row>
    <row r="447">
      <c r="A447" s="153">
        <v>444.0</v>
      </c>
      <c r="B447" s="154"/>
      <c r="C447" s="183" t="s">
        <v>208</v>
      </c>
      <c r="D447" s="154" t="s">
        <v>218</v>
      </c>
      <c r="E447" s="183" t="s">
        <v>208</v>
      </c>
      <c r="F447" s="183" t="s">
        <v>208</v>
      </c>
      <c r="G447" s="183" t="s">
        <v>208</v>
      </c>
      <c r="H447" s="155"/>
      <c r="I447" s="155"/>
      <c r="J447" s="155"/>
      <c r="K447" s="147"/>
    </row>
    <row r="448">
      <c r="A448" s="153">
        <v>445.0</v>
      </c>
      <c r="B448" s="154"/>
      <c r="C448" s="183" t="s">
        <v>208</v>
      </c>
      <c r="D448" s="183" t="s">
        <v>208</v>
      </c>
      <c r="E448" s="183" t="s">
        <v>208</v>
      </c>
      <c r="F448" s="183" t="s">
        <v>208</v>
      </c>
      <c r="G448" s="183" t="s">
        <v>208</v>
      </c>
      <c r="H448" s="155"/>
      <c r="I448" s="155"/>
      <c r="J448" s="155"/>
      <c r="K448" s="147"/>
    </row>
    <row r="449">
      <c r="A449" s="153">
        <v>446.0</v>
      </c>
      <c r="B449" s="154"/>
      <c r="C449" s="183" t="s">
        <v>208</v>
      </c>
      <c r="D449" s="183" t="s">
        <v>208</v>
      </c>
      <c r="E449" s="183" t="s">
        <v>208</v>
      </c>
      <c r="F449" s="183" t="s">
        <v>208</v>
      </c>
      <c r="G449" s="183" t="s">
        <v>208</v>
      </c>
      <c r="H449" s="155"/>
      <c r="I449" s="155"/>
      <c r="J449" s="155"/>
      <c r="K449" s="147"/>
    </row>
    <row r="450">
      <c r="A450" s="153">
        <v>447.0</v>
      </c>
      <c r="B450" s="154"/>
      <c r="C450" s="183" t="s">
        <v>208</v>
      </c>
      <c r="D450" s="183" t="s">
        <v>208</v>
      </c>
      <c r="E450" s="183" t="s">
        <v>208</v>
      </c>
      <c r="F450" s="183" t="s">
        <v>208</v>
      </c>
      <c r="G450" s="183" t="s">
        <v>208</v>
      </c>
      <c r="H450" s="155"/>
      <c r="I450" s="155"/>
      <c r="J450" s="155"/>
      <c r="K450" s="147"/>
    </row>
    <row r="451">
      <c r="A451" s="153">
        <v>448.0</v>
      </c>
      <c r="B451" s="154"/>
      <c r="C451" s="183" t="s">
        <v>208</v>
      </c>
      <c r="D451" s="183" t="s">
        <v>208</v>
      </c>
      <c r="E451" s="183" t="s">
        <v>208</v>
      </c>
      <c r="F451" s="183" t="s">
        <v>208</v>
      </c>
      <c r="G451" s="183" t="s">
        <v>208</v>
      </c>
      <c r="H451" s="155"/>
      <c r="I451" s="155"/>
      <c r="J451" s="155"/>
      <c r="K451" s="147"/>
    </row>
    <row r="452">
      <c r="A452" s="153">
        <v>449.0</v>
      </c>
      <c r="B452" s="154"/>
      <c r="C452" s="183" t="s">
        <v>208</v>
      </c>
      <c r="D452" s="183" t="s">
        <v>208</v>
      </c>
      <c r="E452" s="183" t="s">
        <v>208</v>
      </c>
      <c r="F452" s="183" t="s">
        <v>208</v>
      </c>
      <c r="G452" s="183" t="s">
        <v>208</v>
      </c>
      <c r="H452" s="155"/>
      <c r="I452" s="155"/>
      <c r="J452" s="155"/>
      <c r="K452" s="147"/>
    </row>
    <row r="453">
      <c r="A453" s="153">
        <v>450.0</v>
      </c>
      <c r="B453" s="154"/>
      <c r="C453" s="183" t="s">
        <v>208</v>
      </c>
      <c r="D453" s="183" t="s">
        <v>208</v>
      </c>
      <c r="E453" s="183" t="s">
        <v>208</v>
      </c>
      <c r="F453" s="183" t="s">
        <v>208</v>
      </c>
      <c r="G453" s="183" t="s">
        <v>208</v>
      </c>
      <c r="H453" s="155"/>
      <c r="I453" s="155"/>
      <c r="J453" s="155"/>
      <c r="K453" s="147"/>
    </row>
    <row r="454">
      <c r="A454" s="153">
        <v>451.0</v>
      </c>
      <c r="B454" s="155"/>
      <c r="C454" s="183" t="s">
        <v>208</v>
      </c>
      <c r="D454" s="183" t="s">
        <v>208</v>
      </c>
      <c r="E454" s="183" t="s">
        <v>208</v>
      </c>
      <c r="F454" s="183" t="s">
        <v>208</v>
      </c>
      <c r="G454" s="183" t="s">
        <v>208</v>
      </c>
      <c r="H454" s="155"/>
      <c r="I454" s="155"/>
      <c r="J454" s="155"/>
      <c r="K454" s="147"/>
    </row>
    <row r="455">
      <c r="A455" s="153">
        <v>452.0</v>
      </c>
      <c r="B455" s="154"/>
      <c r="C455" s="183" t="s">
        <v>208</v>
      </c>
      <c r="D455" s="183" t="s">
        <v>208</v>
      </c>
      <c r="E455" s="183" t="s">
        <v>208</v>
      </c>
      <c r="F455" s="183" t="s">
        <v>208</v>
      </c>
      <c r="G455" s="183" t="s">
        <v>208</v>
      </c>
      <c r="H455" s="155"/>
      <c r="I455" s="155"/>
      <c r="J455" s="155"/>
      <c r="K455" s="147"/>
    </row>
    <row r="456">
      <c r="A456" s="153">
        <v>453.0</v>
      </c>
      <c r="B456" s="154"/>
      <c r="C456" s="183" t="s">
        <v>208</v>
      </c>
      <c r="D456" s="183" t="s">
        <v>208</v>
      </c>
      <c r="E456" s="183" t="s">
        <v>208</v>
      </c>
      <c r="F456" s="183" t="s">
        <v>208</v>
      </c>
      <c r="G456" s="183" t="s">
        <v>208</v>
      </c>
      <c r="H456" s="155"/>
      <c r="I456" s="155"/>
      <c r="J456" s="155"/>
      <c r="K456" s="147"/>
    </row>
    <row r="457">
      <c r="A457" s="153">
        <v>454.0</v>
      </c>
      <c r="B457" s="154"/>
      <c r="C457" s="183" t="s">
        <v>208</v>
      </c>
      <c r="D457" s="183" t="s">
        <v>208</v>
      </c>
      <c r="E457" s="183" t="s">
        <v>208</v>
      </c>
      <c r="F457" s="183" t="s">
        <v>208</v>
      </c>
      <c r="G457" s="183" t="s">
        <v>208</v>
      </c>
      <c r="H457" s="155"/>
      <c r="I457" s="155"/>
      <c r="J457" s="155"/>
      <c r="K457" s="147"/>
    </row>
    <row r="458">
      <c r="A458" s="153">
        <v>455.0</v>
      </c>
      <c r="B458" s="154"/>
      <c r="C458" s="183" t="s">
        <v>208</v>
      </c>
      <c r="D458" s="183" t="s">
        <v>208</v>
      </c>
      <c r="E458" s="183" t="s">
        <v>208</v>
      </c>
      <c r="F458" s="183" t="s">
        <v>208</v>
      </c>
      <c r="G458" s="183" t="s">
        <v>208</v>
      </c>
      <c r="H458" s="155"/>
      <c r="I458" s="155"/>
      <c r="J458" s="155"/>
      <c r="K458" s="147"/>
    </row>
    <row r="459">
      <c r="A459" s="153">
        <v>456.0</v>
      </c>
      <c r="B459" s="154"/>
      <c r="C459" s="183" t="s">
        <v>208</v>
      </c>
      <c r="D459" s="183" t="s">
        <v>208</v>
      </c>
      <c r="E459" s="183" t="s">
        <v>208</v>
      </c>
      <c r="F459" s="183" t="s">
        <v>208</v>
      </c>
      <c r="G459" s="183" t="s">
        <v>208</v>
      </c>
      <c r="H459" s="155"/>
      <c r="I459" s="155"/>
      <c r="J459" s="155"/>
      <c r="K459" s="147"/>
    </row>
    <row r="460">
      <c r="A460" s="153">
        <v>457.0</v>
      </c>
      <c r="B460" s="154"/>
      <c r="C460" s="183" t="s">
        <v>208</v>
      </c>
      <c r="D460" s="183" t="s">
        <v>208</v>
      </c>
      <c r="E460" s="183" t="s">
        <v>208</v>
      </c>
      <c r="F460" s="183" t="s">
        <v>208</v>
      </c>
      <c r="G460" s="183" t="s">
        <v>208</v>
      </c>
      <c r="H460" s="155"/>
      <c r="I460" s="155"/>
      <c r="J460" s="155"/>
      <c r="K460" s="147"/>
    </row>
    <row r="461">
      <c r="A461" s="153">
        <v>458.0</v>
      </c>
      <c r="B461" s="155"/>
      <c r="C461" s="183" t="s">
        <v>208</v>
      </c>
      <c r="D461" s="183" t="s">
        <v>208</v>
      </c>
      <c r="E461" s="183" t="s">
        <v>208</v>
      </c>
      <c r="F461" s="183" t="s">
        <v>208</v>
      </c>
      <c r="G461" s="183" t="s">
        <v>208</v>
      </c>
      <c r="H461" s="155"/>
      <c r="I461" s="155"/>
      <c r="J461" s="155"/>
      <c r="K461" s="147"/>
    </row>
    <row r="462">
      <c r="A462" s="153">
        <v>459.0</v>
      </c>
      <c r="B462" s="154"/>
      <c r="C462" s="183" t="s">
        <v>208</v>
      </c>
      <c r="D462" s="183" t="s">
        <v>208</v>
      </c>
      <c r="E462" s="183" t="s">
        <v>208</v>
      </c>
      <c r="F462" s="183" t="s">
        <v>208</v>
      </c>
      <c r="G462" s="183" t="s">
        <v>208</v>
      </c>
      <c r="H462" s="155"/>
      <c r="I462" s="155"/>
      <c r="J462" s="155"/>
      <c r="K462" s="147"/>
    </row>
    <row r="463">
      <c r="A463" s="153">
        <v>460.0</v>
      </c>
      <c r="B463" s="154"/>
      <c r="C463" s="183" t="s">
        <v>208</v>
      </c>
      <c r="D463" s="183" t="s">
        <v>208</v>
      </c>
      <c r="E463" s="183" t="s">
        <v>208</v>
      </c>
      <c r="F463" s="183" t="s">
        <v>208</v>
      </c>
      <c r="G463" s="183" t="s">
        <v>208</v>
      </c>
      <c r="H463" s="155"/>
      <c r="I463" s="155"/>
      <c r="J463" s="155"/>
      <c r="K463" s="147"/>
    </row>
    <row r="464">
      <c r="A464" s="153">
        <v>461.0</v>
      </c>
      <c r="B464" s="154"/>
      <c r="C464" s="183" t="s">
        <v>208</v>
      </c>
      <c r="D464" s="183" t="s">
        <v>208</v>
      </c>
      <c r="E464" s="183" t="s">
        <v>208</v>
      </c>
      <c r="F464" s="183" t="s">
        <v>208</v>
      </c>
      <c r="G464" s="183" t="s">
        <v>208</v>
      </c>
      <c r="H464" s="155"/>
      <c r="I464" s="155"/>
      <c r="J464" s="155"/>
      <c r="K464" s="147"/>
    </row>
    <row r="465">
      <c r="A465" s="153">
        <v>462.0</v>
      </c>
      <c r="B465" s="154"/>
      <c r="C465" s="183" t="s">
        <v>208</v>
      </c>
      <c r="D465" s="183" t="s">
        <v>208</v>
      </c>
      <c r="E465" s="183" t="s">
        <v>208</v>
      </c>
      <c r="F465" s="183" t="s">
        <v>208</v>
      </c>
      <c r="G465" s="183" t="s">
        <v>208</v>
      </c>
      <c r="H465" s="155"/>
      <c r="I465" s="155"/>
      <c r="J465" s="155"/>
      <c r="K465" s="147"/>
    </row>
    <row r="466">
      <c r="A466" s="153">
        <v>463.0</v>
      </c>
      <c r="B466" s="154"/>
      <c r="C466" s="183" t="s">
        <v>208</v>
      </c>
      <c r="D466" s="183" t="s">
        <v>208</v>
      </c>
      <c r="E466" s="183" t="s">
        <v>208</v>
      </c>
      <c r="F466" s="183" t="s">
        <v>208</v>
      </c>
      <c r="G466" s="183" t="s">
        <v>208</v>
      </c>
      <c r="H466" s="155"/>
      <c r="I466" s="155"/>
      <c r="J466" s="155"/>
      <c r="K466" s="147"/>
    </row>
    <row r="467">
      <c r="A467" s="153">
        <v>464.0</v>
      </c>
      <c r="B467" s="154"/>
      <c r="C467" s="183" t="s">
        <v>208</v>
      </c>
      <c r="D467" s="183" t="s">
        <v>208</v>
      </c>
      <c r="E467" s="183" t="s">
        <v>208</v>
      </c>
      <c r="F467" s="183" t="s">
        <v>208</v>
      </c>
      <c r="G467" s="183" t="s">
        <v>208</v>
      </c>
      <c r="H467" s="155"/>
      <c r="I467" s="155"/>
      <c r="J467" s="155"/>
      <c r="K467" s="147"/>
    </row>
    <row r="468">
      <c r="A468" s="153">
        <v>465.0</v>
      </c>
      <c r="B468" s="154"/>
      <c r="C468" s="183" t="s">
        <v>208</v>
      </c>
      <c r="D468" s="154" t="s">
        <v>218</v>
      </c>
      <c r="E468" s="183" t="s">
        <v>208</v>
      </c>
      <c r="F468" s="183" t="s">
        <v>208</v>
      </c>
      <c r="G468" s="183" t="s">
        <v>208</v>
      </c>
      <c r="H468" s="155"/>
      <c r="I468" s="155"/>
      <c r="J468" s="155"/>
      <c r="K468" s="147"/>
    </row>
    <row r="469">
      <c r="A469" s="153">
        <v>466.0</v>
      </c>
      <c r="B469" s="154"/>
      <c r="C469" s="183" t="s">
        <v>208</v>
      </c>
      <c r="D469" s="183" t="s">
        <v>208</v>
      </c>
      <c r="E469" s="183" t="s">
        <v>208</v>
      </c>
      <c r="F469" s="183" t="s">
        <v>208</v>
      </c>
      <c r="G469" s="183" t="s">
        <v>208</v>
      </c>
      <c r="H469" s="155"/>
      <c r="I469" s="155"/>
      <c r="J469" s="155"/>
      <c r="K469" s="147"/>
    </row>
    <row r="470">
      <c r="A470" s="153">
        <v>467.0</v>
      </c>
      <c r="B470" s="154"/>
      <c r="C470" s="183" t="s">
        <v>208</v>
      </c>
      <c r="D470" s="183" t="s">
        <v>208</v>
      </c>
      <c r="E470" s="183" t="s">
        <v>208</v>
      </c>
      <c r="F470" s="183" t="s">
        <v>208</v>
      </c>
      <c r="G470" s="183" t="s">
        <v>208</v>
      </c>
      <c r="H470" s="155"/>
      <c r="I470" s="155"/>
      <c r="J470" s="155"/>
      <c r="K470" s="147"/>
    </row>
    <row r="471">
      <c r="A471" s="153">
        <v>468.0</v>
      </c>
      <c r="B471" s="154"/>
      <c r="C471" s="183" t="s">
        <v>208</v>
      </c>
      <c r="D471" s="183" t="s">
        <v>208</v>
      </c>
      <c r="E471" s="183" t="s">
        <v>208</v>
      </c>
      <c r="F471" s="183" t="s">
        <v>208</v>
      </c>
      <c r="G471" s="183" t="s">
        <v>208</v>
      </c>
      <c r="H471" s="155"/>
      <c r="I471" s="155"/>
      <c r="J471" s="155"/>
      <c r="K471" s="147"/>
    </row>
    <row r="472">
      <c r="A472" s="153">
        <v>469.0</v>
      </c>
      <c r="B472" s="154"/>
      <c r="C472" s="183" t="s">
        <v>208</v>
      </c>
      <c r="D472" s="183" t="s">
        <v>208</v>
      </c>
      <c r="E472" s="183" t="s">
        <v>208</v>
      </c>
      <c r="F472" s="183" t="s">
        <v>208</v>
      </c>
      <c r="G472" s="183" t="s">
        <v>208</v>
      </c>
      <c r="H472" s="155"/>
      <c r="I472" s="155"/>
      <c r="J472" s="155"/>
      <c r="K472" s="147"/>
    </row>
    <row r="473">
      <c r="A473" s="153">
        <v>470.0</v>
      </c>
      <c r="B473" s="155"/>
      <c r="C473" s="154"/>
      <c r="D473" s="183" t="s">
        <v>208</v>
      </c>
      <c r="E473" s="183" t="s">
        <v>208</v>
      </c>
      <c r="F473" s="183" t="s">
        <v>208</v>
      </c>
      <c r="G473" s="154"/>
      <c r="H473" s="183" t="s">
        <v>208</v>
      </c>
      <c r="I473" s="155"/>
      <c r="J473" s="155"/>
      <c r="K473" s="147"/>
    </row>
    <row r="474">
      <c r="A474" s="153">
        <v>471.0</v>
      </c>
      <c r="B474" s="154"/>
      <c r="C474" s="183" t="s">
        <v>208</v>
      </c>
      <c r="D474" s="183" t="s">
        <v>208</v>
      </c>
      <c r="E474" s="183" t="s">
        <v>208</v>
      </c>
      <c r="F474" s="183" t="s">
        <v>208</v>
      </c>
      <c r="G474" s="183" t="s">
        <v>208</v>
      </c>
      <c r="H474" s="155"/>
      <c r="I474" s="155"/>
      <c r="J474" s="155"/>
      <c r="K474" s="147"/>
    </row>
    <row r="475">
      <c r="A475" s="153">
        <v>472.0</v>
      </c>
      <c r="B475" s="154"/>
      <c r="C475" s="183" t="s">
        <v>208</v>
      </c>
      <c r="D475" s="183" t="s">
        <v>208</v>
      </c>
      <c r="E475" s="183" t="s">
        <v>208</v>
      </c>
      <c r="F475" s="183" t="s">
        <v>208</v>
      </c>
      <c r="G475" s="183" t="s">
        <v>208</v>
      </c>
      <c r="H475" s="155"/>
      <c r="I475" s="155"/>
      <c r="J475" s="155"/>
      <c r="K475" s="147"/>
    </row>
    <row r="476">
      <c r="A476" s="153">
        <v>473.0</v>
      </c>
      <c r="B476" s="154"/>
      <c r="C476" s="183" t="s">
        <v>208</v>
      </c>
      <c r="D476" s="183" t="s">
        <v>208</v>
      </c>
      <c r="E476" s="183" t="s">
        <v>208</v>
      </c>
      <c r="F476" s="183" t="s">
        <v>208</v>
      </c>
      <c r="G476" s="183" t="s">
        <v>208</v>
      </c>
      <c r="H476" s="155"/>
      <c r="I476" s="155"/>
      <c r="J476" s="155"/>
      <c r="K476" s="147"/>
    </row>
    <row r="477">
      <c r="A477" s="153">
        <v>474.0</v>
      </c>
      <c r="B477" s="154"/>
      <c r="C477" s="183" t="s">
        <v>208</v>
      </c>
      <c r="D477" s="183" t="s">
        <v>208</v>
      </c>
      <c r="E477" s="183" t="s">
        <v>208</v>
      </c>
      <c r="F477" s="183" t="s">
        <v>208</v>
      </c>
      <c r="G477" s="183" t="s">
        <v>208</v>
      </c>
      <c r="H477" s="155"/>
      <c r="I477" s="155"/>
      <c r="J477" s="155"/>
      <c r="K477" s="147"/>
    </row>
    <row r="478">
      <c r="A478" s="153">
        <v>475.0</v>
      </c>
      <c r="B478" s="154"/>
      <c r="C478" s="183" t="s">
        <v>208</v>
      </c>
      <c r="D478" s="183" t="s">
        <v>208</v>
      </c>
      <c r="E478" s="183" t="s">
        <v>208</v>
      </c>
      <c r="F478" s="183" t="s">
        <v>208</v>
      </c>
      <c r="G478" s="183" t="s">
        <v>208</v>
      </c>
      <c r="H478" s="155"/>
      <c r="I478" s="155"/>
      <c r="J478" s="155"/>
      <c r="K478" s="147"/>
    </row>
    <row r="479">
      <c r="A479" s="153">
        <v>476.0</v>
      </c>
      <c r="B479" s="154"/>
      <c r="C479" s="183" t="s">
        <v>208</v>
      </c>
      <c r="D479" s="183" t="s">
        <v>208</v>
      </c>
      <c r="E479" s="183" t="s">
        <v>208</v>
      </c>
      <c r="F479" s="183" t="s">
        <v>208</v>
      </c>
      <c r="G479" s="183" t="s">
        <v>208</v>
      </c>
      <c r="H479" s="155"/>
      <c r="I479" s="155"/>
      <c r="J479" s="155"/>
      <c r="K479" s="147"/>
    </row>
    <row r="480">
      <c r="A480" s="153">
        <v>477.0</v>
      </c>
      <c r="B480" s="155"/>
      <c r="C480" s="154"/>
      <c r="D480" s="183" t="s">
        <v>208</v>
      </c>
      <c r="E480" s="183" t="s">
        <v>208</v>
      </c>
      <c r="F480" s="183" t="s">
        <v>208</v>
      </c>
      <c r="G480" s="154"/>
      <c r="H480" s="183" t="s">
        <v>208</v>
      </c>
      <c r="I480" s="155"/>
      <c r="J480" s="155"/>
      <c r="K480" s="147"/>
    </row>
    <row r="481">
      <c r="A481" s="153">
        <v>478.0</v>
      </c>
      <c r="B481" s="154"/>
      <c r="C481" s="183" t="s">
        <v>208</v>
      </c>
      <c r="D481" s="183" t="s">
        <v>208</v>
      </c>
      <c r="E481" s="183" t="s">
        <v>208</v>
      </c>
      <c r="F481" s="183" t="s">
        <v>208</v>
      </c>
      <c r="G481" s="183" t="s">
        <v>208</v>
      </c>
      <c r="H481" s="155"/>
      <c r="I481" s="155"/>
      <c r="J481" s="155"/>
      <c r="K481" s="147"/>
    </row>
    <row r="482">
      <c r="A482" s="153">
        <v>479.0</v>
      </c>
      <c r="B482" s="154"/>
      <c r="C482" s="183" t="s">
        <v>208</v>
      </c>
      <c r="D482" s="183" t="s">
        <v>208</v>
      </c>
      <c r="E482" s="183" t="s">
        <v>208</v>
      </c>
      <c r="F482" s="183" t="s">
        <v>208</v>
      </c>
      <c r="G482" s="183" t="s">
        <v>208</v>
      </c>
      <c r="H482" s="155"/>
      <c r="I482" s="155"/>
      <c r="J482" s="155"/>
      <c r="K482" s="147"/>
    </row>
    <row r="483">
      <c r="A483" s="153">
        <v>480.0</v>
      </c>
      <c r="B483" s="154"/>
      <c r="C483" s="183" t="s">
        <v>208</v>
      </c>
      <c r="D483" s="183" t="s">
        <v>208</v>
      </c>
      <c r="E483" s="183" t="s">
        <v>208</v>
      </c>
      <c r="F483" s="183" t="s">
        <v>208</v>
      </c>
      <c r="G483" s="183" t="s">
        <v>208</v>
      </c>
      <c r="H483" s="155"/>
      <c r="I483" s="155"/>
      <c r="J483" s="155"/>
      <c r="K483" s="147"/>
    </row>
    <row r="484">
      <c r="A484" s="153">
        <v>481.0</v>
      </c>
      <c r="B484" s="154"/>
      <c r="C484" s="183" t="s">
        <v>208</v>
      </c>
      <c r="D484" s="183" t="s">
        <v>208</v>
      </c>
      <c r="E484" s="183" t="s">
        <v>208</v>
      </c>
      <c r="F484" s="183" t="s">
        <v>208</v>
      </c>
      <c r="G484" s="183" t="s">
        <v>208</v>
      </c>
      <c r="H484" s="155"/>
      <c r="I484" s="155"/>
      <c r="J484" s="155"/>
      <c r="K484" s="147"/>
    </row>
    <row r="485">
      <c r="A485" s="153">
        <v>482.0</v>
      </c>
      <c r="B485" s="154"/>
      <c r="C485" s="183" t="s">
        <v>208</v>
      </c>
      <c r="D485" s="183" t="s">
        <v>208</v>
      </c>
      <c r="E485" s="183" t="s">
        <v>208</v>
      </c>
      <c r="F485" s="183" t="s">
        <v>208</v>
      </c>
      <c r="G485" s="183" t="s">
        <v>208</v>
      </c>
      <c r="H485" s="155"/>
      <c r="I485" s="155"/>
      <c r="J485" s="155"/>
      <c r="K485" s="147"/>
    </row>
    <row r="486">
      <c r="A486" s="153">
        <v>483.0</v>
      </c>
      <c r="B486" s="154"/>
      <c r="C486" s="183" t="s">
        <v>208</v>
      </c>
      <c r="D486" s="183" t="s">
        <v>208</v>
      </c>
      <c r="E486" s="183" t="s">
        <v>208</v>
      </c>
      <c r="F486" s="183" t="s">
        <v>208</v>
      </c>
      <c r="G486" s="183" t="s">
        <v>208</v>
      </c>
      <c r="H486" s="155"/>
      <c r="I486" s="155"/>
      <c r="J486" s="155"/>
      <c r="K486" s="147"/>
    </row>
    <row r="487">
      <c r="A487" s="153">
        <v>484.0</v>
      </c>
      <c r="B487" s="154"/>
      <c r="C487" s="183" t="s">
        <v>208</v>
      </c>
      <c r="D487" s="183" t="s">
        <v>208</v>
      </c>
      <c r="E487" s="183" t="s">
        <v>208</v>
      </c>
      <c r="F487" s="183" t="s">
        <v>208</v>
      </c>
      <c r="G487" s="183" t="s">
        <v>208</v>
      </c>
      <c r="H487" s="155"/>
      <c r="I487" s="155"/>
      <c r="J487" s="155"/>
      <c r="K487" s="147"/>
    </row>
    <row r="488">
      <c r="A488" s="153">
        <v>485.0</v>
      </c>
      <c r="B488" s="154"/>
      <c r="C488" s="183" t="s">
        <v>208</v>
      </c>
      <c r="D488" s="183" t="s">
        <v>208</v>
      </c>
      <c r="E488" s="183" t="s">
        <v>208</v>
      </c>
      <c r="F488" s="183" t="s">
        <v>208</v>
      </c>
      <c r="G488" s="183" t="s">
        <v>208</v>
      </c>
      <c r="H488" s="155"/>
      <c r="I488" s="155"/>
      <c r="J488" s="155"/>
      <c r="K488" s="147"/>
    </row>
    <row r="489">
      <c r="A489" s="153">
        <v>486.0</v>
      </c>
      <c r="B489" s="155"/>
      <c r="C489" s="183" t="s">
        <v>208</v>
      </c>
      <c r="D489" s="183" t="s">
        <v>208</v>
      </c>
      <c r="E489" s="183" t="s">
        <v>208</v>
      </c>
      <c r="F489" s="183" t="s">
        <v>208</v>
      </c>
      <c r="G489" s="183" t="s">
        <v>208</v>
      </c>
      <c r="H489" s="155"/>
      <c r="I489" s="155"/>
      <c r="J489" s="155"/>
      <c r="K489" s="147"/>
    </row>
    <row r="490">
      <c r="A490" s="153">
        <v>487.0</v>
      </c>
      <c r="B490" s="154"/>
      <c r="C490" s="183" t="s">
        <v>208</v>
      </c>
      <c r="D490" s="183" t="s">
        <v>208</v>
      </c>
      <c r="E490" s="183" t="s">
        <v>208</v>
      </c>
      <c r="F490" s="183" t="s">
        <v>208</v>
      </c>
      <c r="G490" s="183" t="s">
        <v>208</v>
      </c>
      <c r="H490" s="155"/>
      <c r="I490" s="155"/>
      <c r="J490" s="155"/>
      <c r="K490" s="147"/>
    </row>
    <row r="491">
      <c r="A491" s="153">
        <v>488.0</v>
      </c>
      <c r="B491" s="154"/>
      <c r="C491" s="183" t="s">
        <v>208</v>
      </c>
      <c r="D491" s="183" t="s">
        <v>208</v>
      </c>
      <c r="E491" s="183" t="s">
        <v>208</v>
      </c>
      <c r="F491" s="183" t="s">
        <v>208</v>
      </c>
      <c r="G491" s="183" t="s">
        <v>208</v>
      </c>
      <c r="H491" s="155"/>
      <c r="I491" s="155"/>
      <c r="J491" s="155"/>
      <c r="K491" s="147"/>
    </row>
    <row r="492">
      <c r="A492" s="153">
        <v>489.0</v>
      </c>
      <c r="B492" s="155"/>
      <c r="C492" s="183" t="s">
        <v>208</v>
      </c>
      <c r="D492" s="183" t="s">
        <v>208</v>
      </c>
      <c r="E492" s="183" t="s">
        <v>208</v>
      </c>
      <c r="F492" s="183" t="s">
        <v>208</v>
      </c>
      <c r="G492" s="183" t="s">
        <v>208</v>
      </c>
      <c r="H492" s="155"/>
      <c r="I492" s="155"/>
      <c r="J492" s="155"/>
      <c r="K492" s="147"/>
    </row>
    <row r="493">
      <c r="A493" s="153">
        <v>490.0</v>
      </c>
      <c r="B493" s="154"/>
      <c r="C493" s="183" t="s">
        <v>208</v>
      </c>
      <c r="D493" s="183" t="s">
        <v>208</v>
      </c>
      <c r="E493" s="183" t="s">
        <v>208</v>
      </c>
      <c r="F493" s="183" t="s">
        <v>208</v>
      </c>
      <c r="G493" s="183" t="s">
        <v>208</v>
      </c>
      <c r="H493" s="155"/>
      <c r="I493" s="155"/>
      <c r="J493" s="155"/>
      <c r="K493" s="147"/>
    </row>
    <row r="494">
      <c r="A494" s="153">
        <v>491.0</v>
      </c>
      <c r="B494" s="155"/>
      <c r="C494" s="183" t="s">
        <v>208</v>
      </c>
      <c r="D494" s="183" t="s">
        <v>208</v>
      </c>
      <c r="E494" s="183" t="s">
        <v>208</v>
      </c>
      <c r="F494" s="183" t="s">
        <v>208</v>
      </c>
      <c r="G494" s="183" t="s">
        <v>208</v>
      </c>
      <c r="H494" s="155"/>
      <c r="I494" s="155"/>
      <c r="J494" s="155"/>
      <c r="K494" s="147"/>
    </row>
    <row r="495">
      <c r="A495" s="153">
        <v>492.0</v>
      </c>
      <c r="B495" s="154"/>
      <c r="C495" s="183" t="s">
        <v>208</v>
      </c>
      <c r="D495" s="183" t="s">
        <v>208</v>
      </c>
      <c r="E495" s="183" t="s">
        <v>208</v>
      </c>
      <c r="F495" s="183" t="s">
        <v>208</v>
      </c>
      <c r="G495" s="183" t="s">
        <v>208</v>
      </c>
      <c r="H495" s="155"/>
      <c r="I495" s="155"/>
      <c r="J495" s="155"/>
      <c r="K495" s="147"/>
    </row>
    <row r="496">
      <c r="A496" s="153">
        <v>493.0</v>
      </c>
      <c r="B496" s="154"/>
      <c r="C496" s="183" t="s">
        <v>208</v>
      </c>
      <c r="D496" s="183" t="s">
        <v>208</v>
      </c>
      <c r="E496" s="183" t="s">
        <v>208</v>
      </c>
      <c r="F496" s="183" t="s">
        <v>208</v>
      </c>
      <c r="G496" s="183" t="s">
        <v>208</v>
      </c>
      <c r="H496" s="155"/>
      <c r="I496" s="155"/>
      <c r="J496" s="155"/>
      <c r="K496" s="147"/>
    </row>
    <row r="497">
      <c r="A497" s="153">
        <v>494.0</v>
      </c>
      <c r="B497" s="154"/>
      <c r="C497" s="183" t="s">
        <v>208</v>
      </c>
      <c r="D497" s="183" t="s">
        <v>208</v>
      </c>
      <c r="E497" s="183" t="s">
        <v>208</v>
      </c>
      <c r="F497" s="183" t="s">
        <v>208</v>
      </c>
      <c r="G497" s="183" t="s">
        <v>208</v>
      </c>
      <c r="H497" s="155"/>
      <c r="I497" s="155"/>
      <c r="J497" s="155"/>
      <c r="K497" s="147"/>
    </row>
    <row r="498">
      <c r="A498" s="153">
        <v>495.0</v>
      </c>
      <c r="B498" s="154"/>
      <c r="C498" s="183" t="s">
        <v>208</v>
      </c>
      <c r="D498" s="154" t="s">
        <v>218</v>
      </c>
      <c r="E498" s="183" t="s">
        <v>208</v>
      </c>
      <c r="F498" s="183" t="s">
        <v>208</v>
      </c>
      <c r="G498" s="183" t="s">
        <v>208</v>
      </c>
      <c r="H498" s="155"/>
      <c r="I498" s="155"/>
      <c r="J498" s="155"/>
      <c r="K498" s="147"/>
    </row>
    <row r="499">
      <c r="A499" s="153">
        <v>496.0</v>
      </c>
      <c r="B499" s="154"/>
      <c r="C499" s="183" t="s">
        <v>208</v>
      </c>
      <c r="D499" s="183" t="s">
        <v>208</v>
      </c>
      <c r="E499" s="154"/>
      <c r="F499" s="183" t="s">
        <v>208</v>
      </c>
      <c r="G499" s="183" t="s">
        <v>208</v>
      </c>
      <c r="H499" s="155"/>
      <c r="I499" s="155"/>
      <c r="J499" s="155"/>
      <c r="K499" s="147"/>
    </row>
    <row r="500">
      <c r="A500" s="153">
        <v>497.0</v>
      </c>
      <c r="B500" s="155"/>
      <c r="C500" s="183" t="s">
        <v>208</v>
      </c>
      <c r="D500" s="154" t="s">
        <v>218</v>
      </c>
      <c r="E500" s="183" t="s">
        <v>208</v>
      </c>
      <c r="F500" s="183" t="s">
        <v>208</v>
      </c>
      <c r="G500" s="183" t="s">
        <v>208</v>
      </c>
      <c r="H500" s="155"/>
      <c r="I500" s="155"/>
      <c r="J500" s="155"/>
      <c r="K500" s="147"/>
    </row>
    <row r="501">
      <c r="A501" s="153">
        <v>498.0</v>
      </c>
      <c r="B501" s="154"/>
      <c r="C501" s="183" t="s">
        <v>208</v>
      </c>
      <c r="D501" s="183" t="s">
        <v>208</v>
      </c>
      <c r="E501" s="183" t="s">
        <v>208</v>
      </c>
      <c r="F501" s="183" t="s">
        <v>208</v>
      </c>
      <c r="G501" s="183" t="s">
        <v>208</v>
      </c>
      <c r="H501" s="155"/>
      <c r="I501" s="155"/>
      <c r="J501" s="155"/>
      <c r="K501" s="147"/>
    </row>
    <row r="502">
      <c r="A502" s="153">
        <v>499.0</v>
      </c>
      <c r="B502" s="154"/>
      <c r="C502" s="183" t="s">
        <v>208</v>
      </c>
      <c r="D502" s="183" t="s">
        <v>208</v>
      </c>
      <c r="E502" s="183" t="s">
        <v>208</v>
      </c>
      <c r="F502" s="183" t="s">
        <v>208</v>
      </c>
      <c r="G502" s="183" t="s">
        <v>208</v>
      </c>
      <c r="H502" s="155"/>
      <c r="I502" s="155"/>
      <c r="J502" s="155"/>
      <c r="K502" s="147"/>
    </row>
    <row r="503">
      <c r="A503" s="153">
        <v>500.0</v>
      </c>
      <c r="B503" s="154"/>
      <c r="C503" s="183" t="s">
        <v>208</v>
      </c>
      <c r="D503" s="183" t="s">
        <v>208</v>
      </c>
      <c r="E503" s="183" t="s">
        <v>208</v>
      </c>
      <c r="F503" s="183" t="s">
        <v>208</v>
      </c>
      <c r="G503" s="183" t="s">
        <v>208</v>
      </c>
      <c r="H503" s="155"/>
      <c r="I503" s="155"/>
      <c r="J503" s="155"/>
      <c r="K503" s="147"/>
    </row>
    <row r="504">
      <c r="A504" s="153">
        <v>501.0</v>
      </c>
      <c r="B504" s="154"/>
      <c r="C504" s="183" t="s">
        <v>208</v>
      </c>
      <c r="D504" s="183" t="s">
        <v>208</v>
      </c>
      <c r="E504" s="183" t="s">
        <v>208</v>
      </c>
      <c r="F504" s="183" t="s">
        <v>208</v>
      </c>
      <c r="G504" s="183" t="s">
        <v>208</v>
      </c>
      <c r="H504" s="155"/>
      <c r="I504" s="155"/>
      <c r="J504" s="155"/>
      <c r="K504" s="147"/>
    </row>
    <row r="505">
      <c r="A505" s="153">
        <v>502.0</v>
      </c>
      <c r="B505" s="154"/>
      <c r="C505" s="183" t="s">
        <v>208</v>
      </c>
      <c r="D505" s="183" t="s">
        <v>208</v>
      </c>
      <c r="E505" s="183" t="s">
        <v>208</v>
      </c>
      <c r="F505" s="183" t="s">
        <v>208</v>
      </c>
      <c r="G505" s="183" t="s">
        <v>208</v>
      </c>
      <c r="H505" s="155"/>
      <c r="I505" s="155"/>
      <c r="J505" s="155"/>
      <c r="K505" s="147"/>
    </row>
    <row r="506">
      <c r="A506" s="153">
        <v>503.0</v>
      </c>
      <c r="B506" s="154"/>
      <c r="C506" s="183" t="s">
        <v>208</v>
      </c>
      <c r="D506" s="183" t="s">
        <v>208</v>
      </c>
      <c r="E506" s="183" t="s">
        <v>208</v>
      </c>
      <c r="F506" s="183" t="s">
        <v>208</v>
      </c>
      <c r="G506" s="183" t="s">
        <v>208</v>
      </c>
      <c r="H506" s="155"/>
      <c r="I506" s="155"/>
      <c r="J506" s="155"/>
      <c r="K506" s="147"/>
    </row>
    <row r="507">
      <c r="A507" s="153">
        <v>504.0</v>
      </c>
      <c r="B507" s="154"/>
      <c r="C507" s="183" t="s">
        <v>208</v>
      </c>
      <c r="D507" s="183" t="s">
        <v>208</v>
      </c>
      <c r="E507" s="183" t="s">
        <v>208</v>
      </c>
      <c r="F507" s="183" t="s">
        <v>208</v>
      </c>
      <c r="G507" s="183" t="s">
        <v>208</v>
      </c>
      <c r="H507" s="155"/>
      <c r="I507" s="155"/>
      <c r="J507" s="155"/>
      <c r="K507" s="147"/>
    </row>
    <row r="508">
      <c r="A508" s="153">
        <v>505.0</v>
      </c>
      <c r="B508" s="154"/>
      <c r="C508" s="183" t="s">
        <v>208</v>
      </c>
      <c r="D508" s="154" t="s">
        <v>218</v>
      </c>
      <c r="E508" s="183" t="s">
        <v>208</v>
      </c>
      <c r="F508" s="183" t="s">
        <v>208</v>
      </c>
      <c r="G508" s="183" t="s">
        <v>208</v>
      </c>
      <c r="H508" s="155"/>
      <c r="I508" s="155"/>
      <c r="J508" s="155"/>
      <c r="K508" s="147"/>
    </row>
    <row r="509">
      <c r="A509" s="153">
        <v>506.0</v>
      </c>
      <c r="B509" s="154"/>
      <c r="C509" s="183" t="s">
        <v>208</v>
      </c>
      <c r="D509" s="183" t="s">
        <v>208</v>
      </c>
      <c r="E509" s="183" t="s">
        <v>208</v>
      </c>
      <c r="F509" s="183" t="s">
        <v>208</v>
      </c>
      <c r="G509" s="183" t="s">
        <v>208</v>
      </c>
      <c r="H509" s="155"/>
      <c r="I509" s="155"/>
      <c r="J509" s="155"/>
      <c r="K509" s="147"/>
    </row>
    <row r="510">
      <c r="A510" s="153">
        <v>507.0</v>
      </c>
      <c r="B510" s="154"/>
      <c r="C510" s="183" t="s">
        <v>208</v>
      </c>
      <c r="D510" s="183" t="s">
        <v>208</v>
      </c>
      <c r="E510" s="183" t="s">
        <v>208</v>
      </c>
      <c r="F510" s="183" t="s">
        <v>208</v>
      </c>
      <c r="G510" s="183" t="s">
        <v>208</v>
      </c>
      <c r="H510" s="155"/>
      <c r="I510" s="155"/>
      <c r="J510" s="155"/>
      <c r="K510" s="147"/>
    </row>
    <row r="511">
      <c r="A511" s="153">
        <v>508.0</v>
      </c>
      <c r="B511" s="154"/>
      <c r="C511" s="183" t="s">
        <v>208</v>
      </c>
      <c r="D511" s="183" t="s">
        <v>208</v>
      </c>
      <c r="E511" s="183" t="s">
        <v>208</v>
      </c>
      <c r="F511" s="183" t="s">
        <v>208</v>
      </c>
      <c r="G511" s="183" t="s">
        <v>208</v>
      </c>
      <c r="H511" s="155"/>
      <c r="I511" s="155"/>
      <c r="J511" s="155"/>
      <c r="K511" s="147"/>
    </row>
    <row r="512">
      <c r="A512" s="153">
        <v>509.0</v>
      </c>
      <c r="B512" s="155"/>
      <c r="C512" s="154"/>
      <c r="D512" s="183" t="s">
        <v>208</v>
      </c>
      <c r="E512" s="183" t="s">
        <v>208</v>
      </c>
      <c r="F512" s="183" t="s">
        <v>208</v>
      </c>
      <c r="G512" s="154"/>
      <c r="H512" s="183" t="s">
        <v>208</v>
      </c>
      <c r="I512" s="155"/>
      <c r="J512" s="155"/>
      <c r="K512" s="147"/>
    </row>
    <row r="513">
      <c r="A513" s="153">
        <v>510.0</v>
      </c>
      <c r="B513" s="155"/>
      <c r="C513" s="183" t="s">
        <v>208</v>
      </c>
      <c r="D513" s="183" t="s">
        <v>208</v>
      </c>
      <c r="E513" s="183" t="s">
        <v>208</v>
      </c>
      <c r="F513" s="183" t="s">
        <v>208</v>
      </c>
      <c r="G513" s="183" t="s">
        <v>208</v>
      </c>
      <c r="H513" s="155"/>
      <c r="I513" s="155"/>
      <c r="J513" s="155"/>
      <c r="K513" s="147"/>
    </row>
    <row r="514">
      <c r="A514" s="153">
        <v>511.0</v>
      </c>
      <c r="B514" s="154"/>
      <c r="C514" s="183" t="s">
        <v>208</v>
      </c>
      <c r="D514" s="183" t="s">
        <v>208</v>
      </c>
      <c r="E514" s="183" t="s">
        <v>208</v>
      </c>
      <c r="F514" s="183" t="s">
        <v>208</v>
      </c>
      <c r="G514" s="183" t="s">
        <v>208</v>
      </c>
      <c r="H514" s="155"/>
      <c r="I514" s="155"/>
      <c r="J514" s="155"/>
      <c r="K514" s="147"/>
    </row>
    <row r="515">
      <c r="A515" s="153">
        <v>512.0</v>
      </c>
      <c r="B515" s="154"/>
      <c r="C515" s="183" t="s">
        <v>208</v>
      </c>
      <c r="D515" s="183" t="s">
        <v>208</v>
      </c>
      <c r="E515" s="183" t="s">
        <v>208</v>
      </c>
      <c r="F515" s="183" t="s">
        <v>208</v>
      </c>
      <c r="G515" s="183" t="s">
        <v>208</v>
      </c>
      <c r="H515" s="155"/>
      <c r="I515" s="155"/>
      <c r="J515" s="155"/>
      <c r="K515" s="147"/>
    </row>
    <row r="516">
      <c r="A516" s="153">
        <v>513.0</v>
      </c>
      <c r="B516" s="154"/>
      <c r="C516" s="183" t="s">
        <v>208</v>
      </c>
      <c r="D516" s="183" t="s">
        <v>208</v>
      </c>
      <c r="E516" s="183" t="s">
        <v>208</v>
      </c>
      <c r="F516" s="183" t="s">
        <v>208</v>
      </c>
      <c r="G516" s="183" t="s">
        <v>208</v>
      </c>
      <c r="H516" s="155"/>
      <c r="I516" s="155"/>
      <c r="J516" s="155"/>
      <c r="K516" s="147"/>
    </row>
    <row r="517">
      <c r="A517" s="153">
        <v>514.0</v>
      </c>
      <c r="B517" s="154"/>
      <c r="C517" s="183" t="s">
        <v>208</v>
      </c>
      <c r="D517" s="183" t="s">
        <v>208</v>
      </c>
      <c r="E517" s="183" t="s">
        <v>208</v>
      </c>
      <c r="F517" s="183" t="s">
        <v>208</v>
      </c>
      <c r="G517" s="183" t="s">
        <v>208</v>
      </c>
      <c r="H517" s="155"/>
      <c r="I517" s="155"/>
      <c r="J517" s="155"/>
      <c r="K517" s="147"/>
    </row>
    <row r="518">
      <c r="A518" s="153">
        <v>515.0</v>
      </c>
      <c r="B518" s="154"/>
      <c r="C518" s="183" t="s">
        <v>208</v>
      </c>
      <c r="D518" s="183" t="s">
        <v>208</v>
      </c>
      <c r="E518" s="183" t="s">
        <v>208</v>
      </c>
      <c r="F518" s="183" t="s">
        <v>208</v>
      </c>
      <c r="G518" s="183" t="s">
        <v>208</v>
      </c>
      <c r="H518" s="155"/>
      <c r="I518" s="155"/>
      <c r="J518" s="155"/>
      <c r="K518" s="147"/>
    </row>
    <row r="519">
      <c r="A519" s="153">
        <v>516.0</v>
      </c>
      <c r="B519" s="154"/>
      <c r="C519" s="183" t="s">
        <v>208</v>
      </c>
      <c r="D519" s="183" t="s">
        <v>208</v>
      </c>
      <c r="E519" s="183" t="s">
        <v>208</v>
      </c>
      <c r="F519" s="183" t="s">
        <v>208</v>
      </c>
      <c r="G519" s="183" t="s">
        <v>208</v>
      </c>
      <c r="H519" s="155"/>
      <c r="I519" s="155"/>
      <c r="J519" s="155"/>
      <c r="K519" s="147"/>
    </row>
    <row r="520">
      <c r="A520" s="153">
        <v>517.0</v>
      </c>
      <c r="B520" s="154"/>
      <c r="C520" s="183" t="s">
        <v>208</v>
      </c>
      <c r="D520" s="183" t="s">
        <v>208</v>
      </c>
      <c r="E520" s="183" t="s">
        <v>208</v>
      </c>
      <c r="F520" s="183" t="s">
        <v>208</v>
      </c>
      <c r="G520" s="183" t="s">
        <v>208</v>
      </c>
      <c r="H520" s="155"/>
      <c r="I520" s="155"/>
      <c r="J520" s="155"/>
      <c r="K520" s="147"/>
    </row>
    <row r="521">
      <c r="A521" s="153">
        <v>518.0</v>
      </c>
      <c r="B521" s="154"/>
      <c r="C521" s="183" t="s">
        <v>208</v>
      </c>
      <c r="D521" s="183" t="s">
        <v>208</v>
      </c>
      <c r="E521" s="183" t="s">
        <v>208</v>
      </c>
      <c r="F521" s="183" t="s">
        <v>208</v>
      </c>
      <c r="G521" s="183" t="s">
        <v>208</v>
      </c>
      <c r="H521" s="155"/>
      <c r="I521" s="155"/>
      <c r="J521" s="155"/>
      <c r="K521" s="147"/>
    </row>
    <row r="522">
      <c r="A522" s="153">
        <v>519.0</v>
      </c>
      <c r="B522" s="154"/>
      <c r="C522" s="183" t="s">
        <v>208</v>
      </c>
      <c r="D522" s="183" t="s">
        <v>208</v>
      </c>
      <c r="E522" s="154"/>
      <c r="F522" s="183" t="s">
        <v>208</v>
      </c>
      <c r="G522" s="183" t="s">
        <v>208</v>
      </c>
      <c r="H522" s="155"/>
      <c r="I522" s="155"/>
      <c r="J522" s="155"/>
      <c r="K522" s="147"/>
    </row>
    <row r="523">
      <c r="A523" s="153">
        <v>520.0</v>
      </c>
      <c r="B523" s="154"/>
      <c r="C523" s="183" t="s">
        <v>208</v>
      </c>
      <c r="D523" s="183" t="s">
        <v>208</v>
      </c>
      <c r="E523" s="183" t="s">
        <v>208</v>
      </c>
      <c r="F523" s="183" t="s">
        <v>208</v>
      </c>
      <c r="G523" s="183" t="s">
        <v>208</v>
      </c>
      <c r="H523" s="155"/>
      <c r="I523" s="155"/>
      <c r="J523" s="155"/>
      <c r="K523" s="147"/>
    </row>
    <row r="524">
      <c r="A524" s="153">
        <v>521.0</v>
      </c>
      <c r="B524" s="154"/>
      <c r="C524" s="183" t="s">
        <v>208</v>
      </c>
      <c r="D524" s="183" t="s">
        <v>208</v>
      </c>
      <c r="E524" s="154"/>
      <c r="F524" s="183" t="s">
        <v>208</v>
      </c>
      <c r="G524" s="183" t="s">
        <v>208</v>
      </c>
      <c r="H524" s="155"/>
      <c r="I524" s="155"/>
      <c r="J524" s="155"/>
      <c r="K524" s="147"/>
    </row>
    <row r="525">
      <c r="A525" s="153">
        <v>522.0</v>
      </c>
      <c r="B525" s="154"/>
      <c r="C525" s="183" t="s">
        <v>208</v>
      </c>
      <c r="D525" s="183" t="s">
        <v>208</v>
      </c>
      <c r="E525" s="183" t="s">
        <v>208</v>
      </c>
      <c r="F525" s="183" t="s">
        <v>208</v>
      </c>
      <c r="G525" s="183" t="s">
        <v>208</v>
      </c>
      <c r="H525" s="155"/>
      <c r="I525" s="155"/>
      <c r="J525" s="155"/>
      <c r="K525" s="147"/>
    </row>
    <row r="526">
      <c r="A526" s="153">
        <v>523.0</v>
      </c>
      <c r="B526" s="155"/>
      <c r="C526" s="154"/>
      <c r="D526" s="183" t="s">
        <v>208</v>
      </c>
      <c r="E526" s="183" t="s">
        <v>208</v>
      </c>
      <c r="F526" s="183" t="s">
        <v>208</v>
      </c>
      <c r="G526" s="154"/>
      <c r="H526" s="183" t="s">
        <v>208</v>
      </c>
      <c r="I526" s="155"/>
      <c r="J526" s="155"/>
      <c r="K526" s="147"/>
    </row>
    <row r="527">
      <c r="A527" s="153">
        <v>524.0</v>
      </c>
      <c r="B527" s="154"/>
      <c r="C527" s="183" t="s">
        <v>208</v>
      </c>
      <c r="D527" s="183" t="s">
        <v>208</v>
      </c>
      <c r="E527" s="183" t="s">
        <v>208</v>
      </c>
      <c r="F527" s="183" t="s">
        <v>208</v>
      </c>
      <c r="G527" s="183" t="s">
        <v>208</v>
      </c>
      <c r="H527" s="155"/>
      <c r="I527" s="155"/>
      <c r="J527" s="155"/>
      <c r="K527" s="147"/>
    </row>
    <row r="528">
      <c r="A528" s="153">
        <v>525.0</v>
      </c>
      <c r="B528" s="154"/>
      <c r="C528" s="183" t="s">
        <v>208</v>
      </c>
      <c r="D528" s="183" t="s">
        <v>208</v>
      </c>
      <c r="E528" s="183" t="s">
        <v>208</v>
      </c>
      <c r="F528" s="183" t="s">
        <v>208</v>
      </c>
      <c r="G528" s="183" t="s">
        <v>208</v>
      </c>
      <c r="H528" s="155"/>
      <c r="I528" s="155"/>
      <c r="J528" s="155"/>
      <c r="K528" s="147"/>
    </row>
    <row r="529">
      <c r="A529" s="153">
        <v>526.0</v>
      </c>
      <c r="B529" s="154"/>
      <c r="C529" s="183" t="s">
        <v>208</v>
      </c>
      <c r="D529" s="183" t="s">
        <v>208</v>
      </c>
      <c r="E529" s="183" t="s">
        <v>208</v>
      </c>
      <c r="F529" s="183" t="s">
        <v>208</v>
      </c>
      <c r="G529" s="183" t="s">
        <v>208</v>
      </c>
      <c r="H529" s="155"/>
      <c r="I529" s="155"/>
      <c r="J529" s="155"/>
      <c r="K529" s="147"/>
    </row>
    <row r="530">
      <c r="A530" s="153">
        <v>527.0</v>
      </c>
      <c r="B530" s="154"/>
      <c r="C530" s="183" t="s">
        <v>208</v>
      </c>
      <c r="D530" s="183" t="s">
        <v>208</v>
      </c>
      <c r="E530" s="183" t="s">
        <v>208</v>
      </c>
      <c r="F530" s="183" t="s">
        <v>208</v>
      </c>
      <c r="G530" s="183" t="s">
        <v>208</v>
      </c>
      <c r="H530" s="155"/>
      <c r="I530" s="155"/>
      <c r="J530" s="155"/>
      <c r="K530" s="147"/>
    </row>
    <row r="531">
      <c r="A531" s="153">
        <v>528.0</v>
      </c>
      <c r="B531" s="154"/>
      <c r="C531" s="183" t="s">
        <v>208</v>
      </c>
      <c r="D531" s="183" t="s">
        <v>208</v>
      </c>
      <c r="E531" s="183" t="s">
        <v>208</v>
      </c>
      <c r="F531" s="183" t="s">
        <v>208</v>
      </c>
      <c r="G531" s="183" t="s">
        <v>208</v>
      </c>
      <c r="H531" s="155"/>
      <c r="I531" s="155"/>
      <c r="J531" s="155"/>
      <c r="K531" s="147"/>
    </row>
    <row r="532">
      <c r="A532" s="153">
        <v>529.0</v>
      </c>
      <c r="B532" s="155"/>
      <c r="C532" s="154"/>
      <c r="D532" s="183" t="s">
        <v>208</v>
      </c>
      <c r="E532" s="183" t="s">
        <v>208</v>
      </c>
      <c r="F532" s="183" t="s">
        <v>208</v>
      </c>
      <c r="G532" s="154"/>
      <c r="H532" s="183" t="s">
        <v>208</v>
      </c>
      <c r="I532" s="155"/>
      <c r="J532" s="155"/>
      <c r="K532" s="147"/>
    </row>
    <row r="533">
      <c r="A533" s="153">
        <v>530.0</v>
      </c>
      <c r="B533" s="154"/>
      <c r="C533" s="183" t="s">
        <v>208</v>
      </c>
      <c r="D533" s="183" t="s">
        <v>208</v>
      </c>
      <c r="E533" s="183" t="s">
        <v>208</v>
      </c>
      <c r="F533" s="183" t="s">
        <v>208</v>
      </c>
      <c r="G533" s="183" t="s">
        <v>208</v>
      </c>
      <c r="H533" s="155"/>
      <c r="I533" s="155"/>
      <c r="J533" s="155"/>
      <c r="K533" s="147"/>
    </row>
    <row r="534">
      <c r="A534" s="153">
        <v>531.0</v>
      </c>
      <c r="B534" s="154"/>
      <c r="C534" s="183" t="s">
        <v>208</v>
      </c>
      <c r="D534" s="183" t="s">
        <v>208</v>
      </c>
      <c r="E534" s="183" t="s">
        <v>208</v>
      </c>
      <c r="F534" s="183" t="s">
        <v>208</v>
      </c>
      <c r="G534" s="183" t="s">
        <v>208</v>
      </c>
      <c r="H534" s="155"/>
      <c r="I534" s="155"/>
      <c r="J534" s="155"/>
      <c r="K534" s="147"/>
    </row>
    <row r="535">
      <c r="A535" s="153">
        <v>532.0</v>
      </c>
      <c r="B535" s="154"/>
      <c r="C535" s="183" t="s">
        <v>208</v>
      </c>
      <c r="D535" s="183" t="s">
        <v>208</v>
      </c>
      <c r="E535" s="183" t="s">
        <v>208</v>
      </c>
      <c r="F535" s="183" t="s">
        <v>208</v>
      </c>
      <c r="G535" s="183" t="s">
        <v>208</v>
      </c>
      <c r="H535" s="153"/>
      <c r="I535" s="155"/>
      <c r="J535" s="155"/>
      <c r="K535" s="147"/>
    </row>
    <row r="536">
      <c r="A536" s="153">
        <v>533.0</v>
      </c>
      <c r="B536" s="154"/>
      <c r="C536" s="183" t="s">
        <v>208</v>
      </c>
      <c r="D536" s="183" t="s">
        <v>208</v>
      </c>
      <c r="E536" s="183" t="s">
        <v>208</v>
      </c>
      <c r="F536" s="183" t="s">
        <v>208</v>
      </c>
      <c r="G536" s="183" t="s">
        <v>208</v>
      </c>
      <c r="H536" s="153"/>
      <c r="I536" s="155"/>
      <c r="J536" s="155"/>
      <c r="K536" s="147"/>
    </row>
    <row r="537">
      <c r="A537" s="153">
        <v>534.0</v>
      </c>
      <c r="B537" s="154"/>
      <c r="C537" s="183" t="s">
        <v>208</v>
      </c>
      <c r="D537" s="183" t="s">
        <v>208</v>
      </c>
      <c r="E537" s="154"/>
      <c r="F537" s="183" t="s">
        <v>208</v>
      </c>
      <c r="G537" s="183" t="s">
        <v>208</v>
      </c>
      <c r="H537" s="153"/>
      <c r="I537" s="155"/>
      <c r="J537" s="155"/>
      <c r="K537" s="147"/>
    </row>
    <row r="538">
      <c r="A538" s="153">
        <v>535.0</v>
      </c>
      <c r="B538" s="154"/>
      <c r="C538" s="183" t="s">
        <v>208</v>
      </c>
      <c r="D538" s="183" t="s">
        <v>208</v>
      </c>
      <c r="E538" s="154"/>
      <c r="F538" s="183" t="s">
        <v>208</v>
      </c>
      <c r="G538" s="183" t="s">
        <v>208</v>
      </c>
      <c r="H538" s="153"/>
      <c r="I538" s="155"/>
      <c r="J538" s="155"/>
      <c r="K538" s="147"/>
    </row>
    <row r="539">
      <c r="A539" s="153">
        <v>536.0</v>
      </c>
      <c r="B539" s="154"/>
      <c r="C539" s="154"/>
      <c r="D539" s="154"/>
      <c r="E539" s="154"/>
      <c r="F539" s="154"/>
      <c r="G539" s="154"/>
      <c r="H539" s="153"/>
      <c r="I539" s="155"/>
      <c r="J539" s="154" t="s">
        <v>217</v>
      </c>
      <c r="K539" s="147"/>
    </row>
    <row r="540">
      <c r="A540" s="153">
        <v>537.0</v>
      </c>
      <c r="B540" s="154"/>
      <c r="C540" s="154"/>
      <c r="D540" s="154"/>
      <c r="E540" s="154"/>
      <c r="F540" s="154"/>
      <c r="G540" s="154"/>
      <c r="H540" s="153"/>
      <c r="I540" s="155"/>
      <c r="J540" s="154" t="s">
        <v>217</v>
      </c>
      <c r="K540" s="147"/>
    </row>
    <row r="541">
      <c r="A541" s="153">
        <v>538.0</v>
      </c>
      <c r="B541" s="154"/>
      <c r="C541" s="154"/>
      <c r="D541" s="154"/>
      <c r="E541" s="154"/>
      <c r="F541" s="154"/>
      <c r="G541" s="154"/>
      <c r="H541" s="153"/>
      <c r="I541" s="155"/>
      <c r="J541" s="154" t="s">
        <v>217</v>
      </c>
      <c r="K541" s="147"/>
    </row>
    <row r="542">
      <c r="A542" s="153">
        <v>539.0</v>
      </c>
      <c r="B542" s="154"/>
      <c r="C542" s="154"/>
      <c r="D542" s="154"/>
      <c r="E542" s="154"/>
      <c r="F542" s="154"/>
      <c r="G542" s="154"/>
      <c r="H542" s="153"/>
      <c r="I542" s="155"/>
      <c r="J542" s="154" t="s">
        <v>217</v>
      </c>
      <c r="K542" s="147"/>
    </row>
    <row r="543">
      <c r="A543" s="153">
        <v>540.0</v>
      </c>
      <c r="B543" s="154"/>
      <c r="C543" s="154"/>
      <c r="D543" s="154"/>
      <c r="E543" s="154"/>
      <c r="F543" s="154"/>
      <c r="G543" s="155"/>
      <c r="H543" s="155"/>
      <c r="I543" s="155"/>
      <c r="J543" s="154" t="s">
        <v>217</v>
      </c>
      <c r="K543" s="147"/>
    </row>
    <row r="544">
      <c r="A544" s="153">
        <v>541.0</v>
      </c>
      <c r="B544" s="155"/>
      <c r="C544" s="154"/>
      <c r="D544" s="154"/>
      <c r="E544" s="154"/>
      <c r="F544" s="155"/>
      <c r="G544" s="154"/>
      <c r="H544" s="155"/>
      <c r="I544" s="155"/>
      <c r="J544" s="154" t="s">
        <v>217</v>
      </c>
      <c r="K544" s="147"/>
    </row>
    <row r="545">
      <c r="A545" s="153">
        <v>542.0</v>
      </c>
      <c r="B545" s="154"/>
      <c r="C545" s="154"/>
      <c r="D545" s="154"/>
      <c r="E545" s="154"/>
      <c r="F545" s="154"/>
      <c r="G545" s="155"/>
      <c r="H545" s="155"/>
      <c r="I545" s="155"/>
      <c r="J545" s="154" t="s">
        <v>217</v>
      </c>
      <c r="K545" s="147"/>
    </row>
    <row r="546">
      <c r="A546" s="153">
        <v>543.0</v>
      </c>
      <c r="B546" s="154"/>
      <c r="C546" s="154"/>
      <c r="D546" s="154"/>
      <c r="E546" s="154"/>
      <c r="F546" s="154"/>
      <c r="G546" s="155"/>
      <c r="H546" s="155"/>
      <c r="I546" s="155"/>
      <c r="J546" s="154" t="s">
        <v>217</v>
      </c>
      <c r="K546" s="147"/>
    </row>
    <row r="547">
      <c r="A547" s="153">
        <v>544.0</v>
      </c>
      <c r="B547" s="154"/>
      <c r="C547" s="154" t="s">
        <v>208</v>
      </c>
      <c r="D547" s="154" t="s">
        <v>208</v>
      </c>
      <c r="E547" s="154" t="s">
        <v>208</v>
      </c>
      <c r="F547" s="154" t="s">
        <v>208</v>
      </c>
      <c r="G547" s="154" t="s">
        <v>208</v>
      </c>
      <c r="H547" s="155"/>
      <c r="I547" s="155"/>
      <c r="J547" s="155"/>
      <c r="K547" s="147"/>
    </row>
    <row r="548">
      <c r="A548" s="153">
        <v>545.0</v>
      </c>
      <c r="B548" s="154"/>
      <c r="C548" s="154" t="s">
        <v>208</v>
      </c>
      <c r="D548" s="154" t="s">
        <v>208</v>
      </c>
      <c r="E548" s="154" t="s">
        <v>208</v>
      </c>
      <c r="F548" s="154" t="s">
        <v>208</v>
      </c>
      <c r="G548" s="154" t="s">
        <v>208</v>
      </c>
      <c r="H548" s="155"/>
      <c r="I548" s="155"/>
      <c r="J548" s="155"/>
      <c r="K548" s="147"/>
    </row>
    <row r="549">
      <c r="A549" s="153">
        <v>546.0</v>
      </c>
      <c r="B549" s="154"/>
      <c r="C549" s="154" t="s">
        <v>208</v>
      </c>
      <c r="D549" s="154" t="s">
        <v>208</v>
      </c>
      <c r="E549" s="154" t="s">
        <v>208</v>
      </c>
      <c r="F549" s="154" t="s">
        <v>208</v>
      </c>
      <c r="G549" s="154" t="s">
        <v>208</v>
      </c>
      <c r="H549" s="155"/>
      <c r="I549" s="155"/>
      <c r="J549" s="155"/>
      <c r="K549" s="147"/>
    </row>
    <row r="550">
      <c r="A550" s="153">
        <v>547.0</v>
      </c>
      <c r="B550" s="154"/>
      <c r="C550" s="154" t="s">
        <v>208</v>
      </c>
      <c r="D550" s="154" t="s">
        <v>208</v>
      </c>
      <c r="E550" s="154" t="s">
        <v>208</v>
      </c>
      <c r="F550" s="154" t="s">
        <v>208</v>
      </c>
      <c r="G550" s="154" t="s">
        <v>208</v>
      </c>
      <c r="H550" s="155"/>
      <c r="I550" s="155"/>
      <c r="J550" s="155"/>
      <c r="K550" s="147"/>
    </row>
    <row r="551">
      <c r="A551" s="153">
        <v>548.0</v>
      </c>
      <c r="B551" s="154"/>
      <c r="C551" s="154" t="s">
        <v>208</v>
      </c>
      <c r="D551" s="154" t="s">
        <v>208</v>
      </c>
      <c r="E551" s="154" t="s">
        <v>208</v>
      </c>
      <c r="F551" s="154" t="s">
        <v>208</v>
      </c>
      <c r="G551" s="154" t="s">
        <v>208</v>
      </c>
      <c r="H551" s="155"/>
      <c r="I551" s="155"/>
      <c r="J551" s="155"/>
      <c r="K551" s="147"/>
    </row>
    <row r="552">
      <c r="A552" s="153">
        <v>549.0</v>
      </c>
      <c r="B552" s="154"/>
      <c r="C552" s="154" t="s">
        <v>208</v>
      </c>
      <c r="D552" s="154" t="s">
        <v>208</v>
      </c>
      <c r="E552" s="154" t="s">
        <v>208</v>
      </c>
      <c r="F552" s="154" t="s">
        <v>208</v>
      </c>
      <c r="G552" s="154" t="s">
        <v>208</v>
      </c>
      <c r="H552" s="155"/>
      <c r="I552" s="155"/>
      <c r="J552" s="155"/>
      <c r="K552" s="147"/>
    </row>
    <row r="553">
      <c r="A553" s="153">
        <v>550.0</v>
      </c>
      <c r="B553" s="154"/>
      <c r="C553" s="154" t="s">
        <v>208</v>
      </c>
      <c r="D553" s="154" t="s">
        <v>208</v>
      </c>
      <c r="E553" s="154" t="s">
        <v>208</v>
      </c>
      <c r="F553" s="154" t="s">
        <v>208</v>
      </c>
      <c r="G553" s="154" t="s">
        <v>208</v>
      </c>
      <c r="H553" s="155"/>
      <c r="I553" s="155"/>
      <c r="J553" s="155"/>
      <c r="K553" s="147"/>
    </row>
    <row r="554">
      <c r="A554" s="153">
        <v>551.0</v>
      </c>
      <c r="B554" s="154"/>
      <c r="C554" s="154" t="s">
        <v>208</v>
      </c>
      <c r="D554" s="154" t="s">
        <v>208</v>
      </c>
      <c r="E554" s="154" t="s">
        <v>208</v>
      </c>
      <c r="F554" s="154" t="s">
        <v>208</v>
      </c>
      <c r="G554" s="154" t="s">
        <v>208</v>
      </c>
      <c r="H554" s="155"/>
      <c r="I554" s="155"/>
      <c r="J554" s="155"/>
      <c r="K554" s="147"/>
    </row>
    <row r="555">
      <c r="A555" s="153">
        <v>552.0</v>
      </c>
      <c r="B555" s="154"/>
      <c r="C555" s="154" t="s">
        <v>208</v>
      </c>
      <c r="D555" s="154" t="s">
        <v>208</v>
      </c>
      <c r="E555" s="154" t="s">
        <v>208</v>
      </c>
      <c r="F555" s="154" t="s">
        <v>208</v>
      </c>
      <c r="G555" s="154" t="s">
        <v>208</v>
      </c>
      <c r="H555" s="155"/>
      <c r="I555" s="155"/>
      <c r="J555" s="155"/>
      <c r="K555" s="147"/>
    </row>
    <row r="556">
      <c r="A556" s="153">
        <v>553.0</v>
      </c>
      <c r="B556" s="154"/>
      <c r="C556" s="154" t="s">
        <v>208</v>
      </c>
      <c r="D556" s="154" t="s">
        <v>208</v>
      </c>
      <c r="E556" s="154" t="s">
        <v>208</v>
      </c>
      <c r="F556" s="154" t="s">
        <v>208</v>
      </c>
      <c r="G556" s="154" t="s">
        <v>208</v>
      </c>
      <c r="H556" s="155"/>
      <c r="I556" s="155"/>
      <c r="J556" s="155"/>
      <c r="K556" s="147"/>
    </row>
    <row r="557">
      <c r="A557" s="153">
        <v>554.0</v>
      </c>
      <c r="B557" s="154"/>
      <c r="C557" s="154" t="s">
        <v>208</v>
      </c>
      <c r="D557" s="154" t="s">
        <v>208</v>
      </c>
      <c r="E557" s="154" t="s">
        <v>208</v>
      </c>
      <c r="F557" s="154" t="s">
        <v>208</v>
      </c>
      <c r="G557" s="154" t="s">
        <v>208</v>
      </c>
      <c r="H557" s="155"/>
      <c r="I557" s="155"/>
      <c r="J557" s="155"/>
      <c r="K557" s="147"/>
    </row>
    <row r="558">
      <c r="A558" s="153">
        <v>555.0</v>
      </c>
      <c r="B558" s="154"/>
      <c r="C558" s="154" t="s">
        <v>208</v>
      </c>
      <c r="D558" s="154" t="s">
        <v>208</v>
      </c>
      <c r="E558" s="154" t="s">
        <v>208</v>
      </c>
      <c r="F558" s="154" t="s">
        <v>208</v>
      </c>
      <c r="G558" s="154" t="s">
        <v>208</v>
      </c>
      <c r="H558" s="155"/>
      <c r="I558" s="155"/>
      <c r="J558" s="155"/>
      <c r="K558" s="147"/>
    </row>
    <row r="559">
      <c r="A559" s="153">
        <v>556.0</v>
      </c>
      <c r="B559" s="154"/>
      <c r="C559" s="154" t="s">
        <v>208</v>
      </c>
      <c r="D559" s="154" t="s">
        <v>208</v>
      </c>
      <c r="E559" s="154" t="s">
        <v>208</v>
      </c>
      <c r="F559" s="154" t="s">
        <v>208</v>
      </c>
      <c r="G559" s="154" t="s">
        <v>208</v>
      </c>
      <c r="H559" s="155"/>
      <c r="I559" s="155"/>
      <c r="J559" s="155"/>
      <c r="K559" s="147"/>
    </row>
    <row r="560">
      <c r="A560" s="153">
        <v>557.0</v>
      </c>
      <c r="B560" s="154"/>
      <c r="C560" s="154" t="s">
        <v>208</v>
      </c>
      <c r="D560" s="154" t="s">
        <v>208</v>
      </c>
      <c r="E560" s="154" t="s">
        <v>208</v>
      </c>
      <c r="F560" s="154" t="s">
        <v>208</v>
      </c>
      <c r="G560" s="154" t="s">
        <v>208</v>
      </c>
      <c r="H560" s="155"/>
      <c r="I560" s="155"/>
      <c r="J560" s="155"/>
      <c r="K560" s="147"/>
    </row>
    <row r="561">
      <c r="A561" s="153">
        <v>558.0</v>
      </c>
      <c r="B561" s="154"/>
      <c r="C561" s="154" t="s">
        <v>208</v>
      </c>
      <c r="D561" s="154" t="s">
        <v>208</v>
      </c>
      <c r="E561" s="154" t="s">
        <v>208</v>
      </c>
      <c r="F561" s="154" t="s">
        <v>208</v>
      </c>
      <c r="G561" s="154" t="s">
        <v>208</v>
      </c>
      <c r="H561" s="155"/>
      <c r="I561" s="155"/>
      <c r="J561" s="155"/>
      <c r="K561" s="147"/>
    </row>
    <row r="562">
      <c r="A562" s="153">
        <v>559.0</v>
      </c>
      <c r="B562" s="154"/>
      <c r="C562" s="154" t="s">
        <v>208</v>
      </c>
      <c r="D562" s="154" t="s">
        <v>208</v>
      </c>
      <c r="E562" s="154" t="s">
        <v>208</v>
      </c>
      <c r="F562" s="154" t="s">
        <v>208</v>
      </c>
      <c r="G562" s="154" t="s">
        <v>208</v>
      </c>
      <c r="H562" s="155"/>
      <c r="I562" s="155"/>
      <c r="J562" s="155"/>
      <c r="K562" s="147"/>
    </row>
    <row r="563">
      <c r="A563" s="153">
        <v>560.0</v>
      </c>
      <c r="B563" s="154"/>
      <c r="C563" s="154" t="s">
        <v>208</v>
      </c>
      <c r="D563" s="154" t="s">
        <v>208</v>
      </c>
      <c r="E563" s="154" t="s">
        <v>208</v>
      </c>
      <c r="F563" s="154" t="s">
        <v>208</v>
      </c>
      <c r="G563" s="154" t="s">
        <v>208</v>
      </c>
      <c r="H563" s="155"/>
      <c r="I563" s="155"/>
      <c r="J563" s="155"/>
      <c r="K563" s="147"/>
    </row>
    <row r="564">
      <c r="A564" s="153">
        <v>561.0</v>
      </c>
      <c r="B564" s="154"/>
      <c r="C564" s="154" t="s">
        <v>208</v>
      </c>
      <c r="D564" s="154" t="s">
        <v>208</v>
      </c>
      <c r="E564" s="154" t="s">
        <v>208</v>
      </c>
      <c r="F564" s="154" t="s">
        <v>208</v>
      </c>
      <c r="G564" s="154" t="s">
        <v>208</v>
      </c>
      <c r="H564" s="155"/>
      <c r="I564" s="155"/>
      <c r="J564" s="155"/>
      <c r="K564" s="147"/>
    </row>
    <row r="565">
      <c r="A565" s="153">
        <v>562.0</v>
      </c>
      <c r="B565" s="154"/>
      <c r="C565" s="154" t="s">
        <v>208</v>
      </c>
      <c r="D565" s="154" t="s">
        <v>208</v>
      </c>
      <c r="E565" s="154" t="s">
        <v>208</v>
      </c>
      <c r="F565" s="154" t="s">
        <v>208</v>
      </c>
      <c r="G565" s="154" t="s">
        <v>208</v>
      </c>
      <c r="H565" s="155"/>
      <c r="I565" s="155"/>
      <c r="J565" s="155"/>
      <c r="K565" s="147"/>
    </row>
    <row r="566">
      <c r="A566" s="153">
        <v>563.0</v>
      </c>
      <c r="B566" s="154"/>
      <c r="C566" s="154" t="s">
        <v>208</v>
      </c>
      <c r="D566" s="154" t="s">
        <v>208</v>
      </c>
      <c r="E566" s="154" t="s">
        <v>208</v>
      </c>
      <c r="F566" s="154" t="s">
        <v>208</v>
      </c>
      <c r="G566" s="154" t="s">
        <v>208</v>
      </c>
      <c r="H566" s="155"/>
      <c r="I566" s="155"/>
      <c r="J566" s="155"/>
      <c r="K566" s="147"/>
    </row>
    <row r="567">
      <c r="A567" s="153">
        <v>564.0</v>
      </c>
      <c r="B567" s="154"/>
      <c r="C567" s="154" t="s">
        <v>208</v>
      </c>
      <c r="D567" s="154" t="s">
        <v>208</v>
      </c>
      <c r="E567" s="154" t="s">
        <v>208</v>
      </c>
      <c r="F567" s="154" t="s">
        <v>208</v>
      </c>
      <c r="G567" s="154" t="s">
        <v>208</v>
      </c>
      <c r="H567" s="155"/>
      <c r="I567" s="155"/>
      <c r="J567" s="155"/>
      <c r="K567" s="147"/>
    </row>
    <row r="568">
      <c r="A568" s="153">
        <v>565.0</v>
      </c>
      <c r="B568" s="154"/>
      <c r="C568" s="154" t="s">
        <v>208</v>
      </c>
      <c r="D568" s="154" t="s">
        <v>208</v>
      </c>
      <c r="E568" s="154" t="s">
        <v>208</v>
      </c>
      <c r="F568" s="154" t="s">
        <v>208</v>
      </c>
      <c r="G568" s="154" t="s">
        <v>208</v>
      </c>
      <c r="H568" s="155"/>
      <c r="I568" s="155"/>
      <c r="J568" s="155"/>
      <c r="K568" s="147"/>
    </row>
    <row r="569">
      <c r="A569" s="153">
        <v>566.0</v>
      </c>
      <c r="B569" s="154"/>
      <c r="C569" s="154" t="s">
        <v>208</v>
      </c>
      <c r="D569" s="154" t="s">
        <v>208</v>
      </c>
      <c r="E569" s="154" t="s">
        <v>208</v>
      </c>
      <c r="F569" s="154" t="s">
        <v>208</v>
      </c>
      <c r="G569" s="154" t="s">
        <v>208</v>
      </c>
      <c r="H569" s="155"/>
      <c r="I569" s="155"/>
      <c r="J569" s="155"/>
      <c r="K569" s="147"/>
    </row>
    <row r="570">
      <c r="A570" s="153">
        <v>567.0</v>
      </c>
      <c r="B570" s="154"/>
      <c r="C570" s="154" t="s">
        <v>208</v>
      </c>
      <c r="D570" s="154" t="s">
        <v>208</v>
      </c>
      <c r="E570" s="154" t="s">
        <v>208</v>
      </c>
      <c r="F570" s="154" t="s">
        <v>208</v>
      </c>
      <c r="G570" s="154" t="s">
        <v>208</v>
      </c>
      <c r="H570" s="155"/>
      <c r="I570" s="155"/>
      <c r="J570" s="155"/>
      <c r="K570" s="147"/>
    </row>
    <row r="571">
      <c r="A571" s="153">
        <v>568.0</v>
      </c>
      <c r="B571" s="154"/>
      <c r="C571" s="154" t="s">
        <v>208</v>
      </c>
      <c r="D571" s="154" t="s">
        <v>208</v>
      </c>
      <c r="E571" s="154" t="s">
        <v>208</v>
      </c>
      <c r="F571" s="154" t="s">
        <v>208</v>
      </c>
      <c r="G571" s="154" t="s">
        <v>208</v>
      </c>
      <c r="H571" s="155"/>
      <c r="I571" s="155"/>
      <c r="J571" s="155"/>
      <c r="K571" s="147"/>
    </row>
    <row r="572">
      <c r="A572" s="153">
        <v>569.0</v>
      </c>
      <c r="B572" s="154"/>
      <c r="C572" s="154" t="s">
        <v>208</v>
      </c>
      <c r="D572" s="154" t="s">
        <v>208</v>
      </c>
      <c r="E572" s="154"/>
      <c r="F572" s="154" t="s">
        <v>208</v>
      </c>
      <c r="G572" s="154" t="s">
        <v>208</v>
      </c>
      <c r="H572" s="155"/>
      <c r="I572" s="155"/>
      <c r="J572" s="155"/>
      <c r="K572" s="147"/>
    </row>
    <row r="573">
      <c r="A573" s="153">
        <v>570.0</v>
      </c>
      <c r="B573" s="154"/>
      <c r="C573" s="154" t="s">
        <v>208</v>
      </c>
      <c r="D573" s="154" t="s">
        <v>208</v>
      </c>
      <c r="E573" s="154" t="s">
        <v>208</v>
      </c>
      <c r="F573" s="154" t="s">
        <v>208</v>
      </c>
      <c r="G573" s="154" t="s">
        <v>208</v>
      </c>
      <c r="H573" s="155"/>
      <c r="I573" s="155"/>
      <c r="J573" s="155"/>
      <c r="K573" s="147"/>
    </row>
    <row r="574">
      <c r="A574" s="153">
        <v>571.0</v>
      </c>
      <c r="B574" s="154"/>
      <c r="C574" s="154" t="s">
        <v>208</v>
      </c>
      <c r="D574" s="154" t="s">
        <v>208</v>
      </c>
      <c r="E574" s="154"/>
      <c r="F574" s="154" t="s">
        <v>208</v>
      </c>
      <c r="G574" s="154" t="s">
        <v>208</v>
      </c>
      <c r="H574" s="155"/>
      <c r="I574" s="155"/>
      <c r="J574" s="155"/>
      <c r="K574" s="147"/>
    </row>
    <row r="575">
      <c r="A575" s="153">
        <v>572.0</v>
      </c>
      <c r="B575" s="154"/>
      <c r="C575" s="154" t="s">
        <v>208</v>
      </c>
      <c r="D575" s="154" t="s">
        <v>208</v>
      </c>
      <c r="E575" s="154"/>
      <c r="F575" s="154" t="s">
        <v>208</v>
      </c>
      <c r="G575" s="154" t="s">
        <v>208</v>
      </c>
      <c r="H575" s="155"/>
      <c r="I575" s="155"/>
      <c r="J575" s="155"/>
      <c r="K575" s="147"/>
    </row>
    <row r="576">
      <c r="A576" s="153">
        <v>573.0</v>
      </c>
      <c r="B576" s="154"/>
      <c r="C576" s="154" t="s">
        <v>208</v>
      </c>
      <c r="D576" s="154" t="s">
        <v>208</v>
      </c>
      <c r="E576" s="154" t="s">
        <v>208</v>
      </c>
      <c r="F576" s="154" t="s">
        <v>208</v>
      </c>
      <c r="G576" s="154" t="s">
        <v>208</v>
      </c>
      <c r="H576" s="155"/>
      <c r="I576" s="155"/>
      <c r="J576" s="155"/>
      <c r="K576" s="147"/>
    </row>
    <row r="577">
      <c r="A577" s="153">
        <v>574.0</v>
      </c>
      <c r="B577" s="154"/>
      <c r="C577" s="154" t="s">
        <v>208</v>
      </c>
      <c r="D577" s="154" t="s">
        <v>208</v>
      </c>
      <c r="E577" s="154" t="s">
        <v>208</v>
      </c>
      <c r="F577" s="154" t="s">
        <v>208</v>
      </c>
      <c r="G577" s="154" t="s">
        <v>208</v>
      </c>
      <c r="H577" s="155"/>
      <c r="I577" s="155"/>
      <c r="J577" s="155"/>
      <c r="K577" s="147"/>
    </row>
    <row r="578">
      <c r="A578" s="153">
        <v>575.0</v>
      </c>
      <c r="B578" s="154"/>
      <c r="C578" s="154" t="s">
        <v>208</v>
      </c>
      <c r="D578" s="154" t="s">
        <v>208</v>
      </c>
      <c r="E578" s="154" t="s">
        <v>208</v>
      </c>
      <c r="F578" s="154" t="s">
        <v>208</v>
      </c>
      <c r="G578" s="154" t="s">
        <v>208</v>
      </c>
      <c r="H578" s="155"/>
      <c r="I578" s="155"/>
      <c r="J578" s="155"/>
      <c r="K578" s="147"/>
    </row>
    <row r="579">
      <c r="A579" s="153">
        <v>576.0</v>
      </c>
      <c r="B579" s="154"/>
      <c r="C579" s="154" t="s">
        <v>208</v>
      </c>
      <c r="D579" s="154" t="s">
        <v>208</v>
      </c>
      <c r="E579" s="154" t="s">
        <v>208</v>
      </c>
      <c r="F579" s="154" t="s">
        <v>208</v>
      </c>
      <c r="G579" s="154" t="s">
        <v>208</v>
      </c>
      <c r="H579" s="155"/>
      <c r="I579" s="155"/>
      <c r="J579" s="155"/>
      <c r="K579" s="147"/>
    </row>
    <row r="580">
      <c r="A580" s="153">
        <v>577.0</v>
      </c>
      <c r="B580" s="154"/>
      <c r="C580" s="154" t="s">
        <v>208</v>
      </c>
      <c r="D580" s="154" t="s">
        <v>208</v>
      </c>
      <c r="E580" s="154" t="s">
        <v>208</v>
      </c>
      <c r="F580" s="154" t="s">
        <v>208</v>
      </c>
      <c r="G580" s="154" t="s">
        <v>208</v>
      </c>
      <c r="H580" s="155"/>
      <c r="I580" s="155"/>
      <c r="J580" s="155"/>
      <c r="K580" s="147"/>
    </row>
    <row r="581">
      <c r="A581" s="153">
        <v>578.0</v>
      </c>
      <c r="B581" s="154"/>
      <c r="C581" s="154" t="s">
        <v>208</v>
      </c>
      <c r="D581" s="154" t="s">
        <v>208</v>
      </c>
      <c r="E581" s="154" t="s">
        <v>208</v>
      </c>
      <c r="F581" s="154" t="s">
        <v>208</v>
      </c>
      <c r="G581" s="154" t="s">
        <v>208</v>
      </c>
      <c r="H581" s="155"/>
      <c r="I581" s="155"/>
      <c r="J581" s="155"/>
      <c r="K581" s="147"/>
    </row>
    <row r="582">
      <c r="A582" s="153">
        <v>579.0</v>
      </c>
      <c r="B582" s="154"/>
      <c r="C582" s="154" t="s">
        <v>208</v>
      </c>
      <c r="D582" s="154" t="s">
        <v>208</v>
      </c>
      <c r="E582" s="154" t="s">
        <v>208</v>
      </c>
      <c r="F582" s="154" t="s">
        <v>208</v>
      </c>
      <c r="G582" s="154" t="s">
        <v>208</v>
      </c>
      <c r="H582" s="155"/>
      <c r="I582" s="155"/>
      <c r="J582" s="155"/>
      <c r="K582" s="147"/>
    </row>
    <row r="583">
      <c r="A583" s="153">
        <v>580.0</v>
      </c>
      <c r="B583" s="154"/>
      <c r="C583" s="154" t="s">
        <v>208</v>
      </c>
      <c r="D583" s="154" t="s">
        <v>208</v>
      </c>
      <c r="E583" s="154" t="s">
        <v>208</v>
      </c>
      <c r="F583" s="154" t="s">
        <v>208</v>
      </c>
      <c r="G583" s="154" t="s">
        <v>208</v>
      </c>
      <c r="H583" s="155"/>
      <c r="I583" s="155"/>
      <c r="J583" s="155"/>
      <c r="K583" s="147"/>
    </row>
    <row r="584">
      <c r="A584" s="153">
        <v>581.0</v>
      </c>
      <c r="B584" s="154"/>
      <c r="C584" s="154" t="s">
        <v>208</v>
      </c>
      <c r="D584" s="154" t="s">
        <v>208</v>
      </c>
      <c r="E584" s="154" t="s">
        <v>208</v>
      </c>
      <c r="F584" s="154" t="s">
        <v>208</v>
      </c>
      <c r="G584" s="154" t="s">
        <v>208</v>
      </c>
      <c r="H584" s="155"/>
      <c r="I584" s="155"/>
      <c r="J584" s="155"/>
      <c r="K584" s="147"/>
    </row>
    <row r="585">
      <c r="A585" s="153">
        <v>582.0</v>
      </c>
      <c r="B585" s="154"/>
      <c r="C585" s="154" t="s">
        <v>208</v>
      </c>
      <c r="D585" s="154" t="s">
        <v>208</v>
      </c>
      <c r="E585" s="154" t="s">
        <v>208</v>
      </c>
      <c r="F585" s="154" t="s">
        <v>208</v>
      </c>
      <c r="G585" s="154" t="s">
        <v>208</v>
      </c>
      <c r="H585" s="155"/>
      <c r="I585" s="155"/>
      <c r="J585" s="155"/>
      <c r="K585" s="147"/>
    </row>
    <row r="586">
      <c r="A586" s="153">
        <v>583.0</v>
      </c>
      <c r="B586" s="154"/>
      <c r="C586" s="154" t="s">
        <v>208</v>
      </c>
      <c r="D586" s="154" t="s">
        <v>208</v>
      </c>
      <c r="E586" s="154"/>
      <c r="F586" s="154" t="s">
        <v>208</v>
      </c>
      <c r="G586" s="154" t="s">
        <v>208</v>
      </c>
      <c r="H586" s="155"/>
      <c r="I586" s="155"/>
      <c r="J586" s="155"/>
      <c r="K586" s="147"/>
    </row>
    <row r="587">
      <c r="A587" s="153">
        <v>584.0</v>
      </c>
      <c r="B587" s="154"/>
      <c r="C587" s="154" t="s">
        <v>208</v>
      </c>
      <c r="D587" s="154" t="s">
        <v>208</v>
      </c>
      <c r="E587" s="154" t="s">
        <v>208</v>
      </c>
      <c r="F587" s="154" t="s">
        <v>208</v>
      </c>
      <c r="G587" s="154" t="s">
        <v>208</v>
      </c>
      <c r="H587" s="155"/>
      <c r="I587" s="155"/>
      <c r="J587" s="155"/>
      <c r="K587" s="147"/>
    </row>
    <row r="588">
      <c r="A588" s="153">
        <v>585.0</v>
      </c>
      <c r="B588" s="154"/>
      <c r="C588" s="154" t="s">
        <v>208</v>
      </c>
      <c r="D588" s="154" t="s">
        <v>208</v>
      </c>
      <c r="E588" s="154" t="s">
        <v>208</v>
      </c>
      <c r="F588" s="154" t="s">
        <v>208</v>
      </c>
      <c r="G588" s="154" t="s">
        <v>208</v>
      </c>
      <c r="H588" s="155"/>
      <c r="I588" s="155"/>
      <c r="J588" s="155"/>
      <c r="K588" s="147"/>
    </row>
    <row r="589">
      <c r="A589" s="153">
        <v>586.0</v>
      </c>
      <c r="B589" s="154"/>
      <c r="C589" s="154" t="s">
        <v>208</v>
      </c>
      <c r="D589" s="154" t="s">
        <v>208</v>
      </c>
      <c r="E589" s="154"/>
      <c r="F589" s="154" t="s">
        <v>208</v>
      </c>
      <c r="G589" s="154" t="s">
        <v>208</v>
      </c>
      <c r="H589" s="155"/>
      <c r="I589" s="155"/>
      <c r="J589" s="155"/>
      <c r="K589" s="147"/>
    </row>
    <row r="590">
      <c r="A590" s="153">
        <v>587.0</v>
      </c>
      <c r="B590" s="154"/>
      <c r="C590" s="154" t="s">
        <v>208</v>
      </c>
      <c r="D590" s="154" t="s">
        <v>208</v>
      </c>
      <c r="E590" s="154" t="s">
        <v>208</v>
      </c>
      <c r="F590" s="154" t="s">
        <v>208</v>
      </c>
      <c r="G590" s="154" t="s">
        <v>208</v>
      </c>
      <c r="H590" s="155"/>
      <c r="I590" s="155"/>
      <c r="J590" s="155"/>
      <c r="K590" s="147"/>
    </row>
    <row r="591">
      <c r="A591" s="153">
        <v>588.0</v>
      </c>
      <c r="B591" s="154"/>
      <c r="C591" s="154"/>
      <c r="D591" s="154"/>
      <c r="E591" s="154"/>
      <c r="F591" s="154"/>
      <c r="G591" s="155"/>
      <c r="H591" s="155"/>
      <c r="I591" s="155"/>
      <c r="J591" s="154" t="s">
        <v>217</v>
      </c>
      <c r="K591" s="147"/>
    </row>
    <row r="592">
      <c r="A592" s="153">
        <v>589.0</v>
      </c>
      <c r="B592" s="154"/>
      <c r="C592" s="154" t="s">
        <v>208</v>
      </c>
      <c r="D592" s="154" t="s">
        <v>208</v>
      </c>
      <c r="E592" s="154" t="s">
        <v>208</v>
      </c>
      <c r="F592" s="154" t="s">
        <v>208</v>
      </c>
      <c r="G592" s="154" t="s">
        <v>208</v>
      </c>
      <c r="H592" s="155"/>
      <c r="I592" s="155"/>
      <c r="J592" s="155"/>
      <c r="K592" s="147"/>
    </row>
    <row r="593">
      <c r="A593" s="153">
        <v>590.0</v>
      </c>
      <c r="B593" s="154"/>
      <c r="C593" s="154" t="s">
        <v>208</v>
      </c>
      <c r="D593" s="154" t="s">
        <v>208</v>
      </c>
      <c r="E593" s="154" t="s">
        <v>208</v>
      </c>
      <c r="F593" s="154" t="s">
        <v>208</v>
      </c>
      <c r="G593" s="154" t="s">
        <v>208</v>
      </c>
      <c r="H593" s="155"/>
      <c r="I593" s="155"/>
      <c r="J593" s="155"/>
      <c r="K593" s="147"/>
    </row>
    <row r="594">
      <c r="A594" s="153">
        <v>591.0</v>
      </c>
      <c r="B594" s="154"/>
      <c r="C594" s="154" t="s">
        <v>208</v>
      </c>
      <c r="D594" s="154" t="s">
        <v>208</v>
      </c>
      <c r="E594" s="154" t="s">
        <v>208</v>
      </c>
      <c r="F594" s="154" t="s">
        <v>208</v>
      </c>
      <c r="G594" s="154" t="s">
        <v>208</v>
      </c>
      <c r="H594" s="155"/>
      <c r="I594" s="155"/>
      <c r="J594" s="155"/>
      <c r="K594" s="147"/>
    </row>
    <row r="595">
      <c r="A595" s="153">
        <v>592.0</v>
      </c>
      <c r="B595" s="154"/>
      <c r="C595" s="154" t="s">
        <v>208</v>
      </c>
      <c r="D595" s="154" t="s">
        <v>208</v>
      </c>
      <c r="E595" s="154" t="s">
        <v>208</v>
      </c>
      <c r="F595" s="154" t="s">
        <v>208</v>
      </c>
      <c r="G595" s="154" t="s">
        <v>208</v>
      </c>
      <c r="H595" s="155"/>
      <c r="I595" s="155"/>
      <c r="J595" s="155"/>
      <c r="K595" s="147"/>
    </row>
    <row r="596">
      <c r="A596" s="153">
        <v>593.0</v>
      </c>
      <c r="B596" s="154"/>
      <c r="C596" s="154" t="s">
        <v>208</v>
      </c>
      <c r="D596" s="154" t="s">
        <v>208</v>
      </c>
      <c r="E596" s="154" t="s">
        <v>208</v>
      </c>
      <c r="F596" s="154" t="s">
        <v>208</v>
      </c>
      <c r="G596" s="154" t="s">
        <v>208</v>
      </c>
      <c r="H596" s="155"/>
      <c r="I596" s="155"/>
      <c r="J596" s="155"/>
      <c r="K596" s="147"/>
    </row>
    <row r="597">
      <c r="A597" s="153">
        <v>594.0</v>
      </c>
      <c r="B597" s="154"/>
      <c r="C597" s="154"/>
      <c r="D597" s="154" t="s">
        <v>208</v>
      </c>
      <c r="E597" s="154" t="s">
        <v>208</v>
      </c>
      <c r="F597" s="154" t="s">
        <v>208</v>
      </c>
      <c r="G597" s="155"/>
      <c r="H597" s="154" t="s">
        <v>208</v>
      </c>
      <c r="I597" s="155"/>
      <c r="J597" s="155"/>
      <c r="K597" s="147"/>
    </row>
    <row r="598">
      <c r="A598" s="153">
        <v>595.0</v>
      </c>
      <c r="B598" s="154"/>
      <c r="C598" s="154" t="s">
        <v>208</v>
      </c>
      <c r="D598" s="154" t="s">
        <v>208</v>
      </c>
      <c r="E598" s="154" t="s">
        <v>208</v>
      </c>
      <c r="F598" s="154" t="s">
        <v>208</v>
      </c>
      <c r="G598" s="154" t="s">
        <v>208</v>
      </c>
      <c r="H598" s="155"/>
      <c r="I598" s="155"/>
      <c r="J598" s="155"/>
      <c r="K598" s="147"/>
    </row>
    <row r="599">
      <c r="A599" s="153">
        <v>596.0</v>
      </c>
      <c r="B599" s="154"/>
      <c r="C599" s="154" t="s">
        <v>208</v>
      </c>
      <c r="D599" s="154" t="s">
        <v>208</v>
      </c>
      <c r="E599" s="154" t="s">
        <v>208</v>
      </c>
      <c r="F599" s="154" t="s">
        <v>208</v>
      </c>
      <c r="G599" s="154" t="s">
        <v>208</v>
      </c>
      <c r="H599" s="155"/>
      <c r="I599" s="155"/>
      <c r="J599" s="155"/>
      <c r="K599" s="147"/>
    </row>
    <row r="600">
      <c r="A600" s="153">
        <v>597.0</v>
      </c>
      <c r="B600" s="154"/>
      <c r="C600" s="154" t="s">
        <v>208</v>
      </c>
      <c r="D600" s="154" t="s">
        <v>208</v>
      </c>
      <c r="E600" s="154" t="s">
        <v>208</v>
      </c>
      <c r="F600" s="154" t="s">
        <v>208</v>
      </c>
      <c r="G600" s="154" t="s">
        <v>208</v>
      </c>
      <c r="H600" s="155"/>
      <c r="I600" s="155"/>
      <c r="J600" s="155"/>
      <c r="K600" s="147"/>
    </row>
    <row r="601">
      <c r="A601" s="153">
        <v>598.0</v>
      </c>
      <c r="B601" s="154"/>
      <c r="C601" s="154" t="s">
        <v>208</v>
      </c>
      <c r="D601" s="154" t="s">
        <v>208</v>
      </c>
      <c r="E601" s="154" t="s">
        <v>208</v>
      </c>
      <c r="F601" s="154" t="s">
        <v>208</v>
      </c>
      <c r="G601" s="154" t="s">
        <v>208</v>
      </c>
      <c r="H601" s="155"/>
      <c r="I601" s="155"/>
      <c r="J601" s="155"/>
      <c r="K601" s="147"/>
    </row>
    <row r="602">
      <c r="A602" s="153">
        <v>599.0</v>
      </c>
      <c r="B602" s="154"/>
      <c r="C602" s="154" t="s">
        <v>208</v>
      </c>
      <c r="D602" s="154" t="s">
        <v>208</v>
      </c>
      <c r="E602" s="154" t="s">
        <v>208</v>
      </c>
      <c r="F602" s="154" t="s">
        <v>208</v>
      </c>
      <c r="G602" s="154" t="s">
        <v>208</v>
      </c>
      <c r="H602" s="155"/>
      <c r="I602" s="155"/>
      <c r="J602" s="155"/>
      <c r="K602" s="147"/>
    </row>
    <row r="603">
      <c r="A603" s="153">
        <v>600.0</v>
      </c>
      <c r="B603" s="154"/>
      <c r="C603" s="154"/>
      <c r="D603" s="154" t="s">
        <v>208</v>
      </c>
      <c r="E603" s="154"/>
      <c r="F603" s="154" t="s">
        <v>208</v>
      </c>
      <c r="G603" s="155"/>
      <c r="H603" s="154" t="s">
        <v>208</v>
      </c>
      <c r="I603" s="155"/>
      <c r="J603" s="155"/>
      <c r="K603" s="147"/>
    </row>
    <row r="604">
      <c r="A604" s="153">
        <v>601.0</v>
      </c>
      <c r="B604" s="154"/>
      <c r="C604" s="154"/>
      <c r="D604" s="154" t="s">
        <v>208</v>
      </c>
      <c r="E604" s="154"/>
      <c r="F604" s="154" t="s">
        <v>208</v>
      </c>
      <c r="G604" s="155"/>
      <c r="H604" s="154" t="s">
        <v>208</v>
      </c>
      <c r="I604" s="155"/>
      <c r="J604" s="155"/>
      <c r="K604" s="147"/>
    </row>
    <row r="605">
      <c r="A605" s="153">
        <v>602.0</v>
      </c>
      <c r="B605" s="154"/>
      <c r="C605" s="154" t="s">
        <v>208</v>
      </c>
      <c r="D605" s="154" t="s">
        <v>208</v>
      </c>
      <c r="E605" s="154" t="s">
        <v>208</v>
      </c>
      <c r="F605" s="154" t="s">
        <v>208</v>
      </c>
      <c r="G605" s="154" t="s">
        <v>208</v>
      </c>
      <c r="H605" s="155"/>
      <c r="I605" s="155"/>
      <c r="J605" s="155"/>
      <c r="K605" s="147"/>
    </row>
    <row r="606">
      <c r="A606" s="153">
        <v>603.0</v>
      </c>
      <c r="B606" s="154"/>
      <c r="C606" s="154" t="s">
        <v>208</v>
      </c>
      <c r="D606" s="154" t="s">
        <v>208</v>
      </c>
      <c r="E606" s="154" t="s">
        <v>208</v>
      </c>
      <c r="F606" s="154" t="s">
        <v>208</v>
      </c>
      <c r="G606" s="154" t="s">
        <v>208</v>
      </c>
      <c r="H606" s="155"/>
      <c r="I606" s="155"/>
      <c r="J606" s="155"/>
      <c r="K606" s="147"/>
    </row>
    <row r="607">
      <c r="A607" s="153">
        <v>604.0</v>
      </c>
      <c r="B607" s="154"/>
      <c r="C607" s="154" t="s">
        <v>208</v>
      </c>
      <c r="D607" s="154" t="s">
        <v>208</v>
      </c>
      <c r="E607" s="154" t="s">
        <v>208</v>
      </c>
      <c r="F607" s="154" t="s">
        <v>208</v>
      </c>
      <c r="G607" s="154" t="s">
        <v>208</v>
      </c>
      <c r="H607" s="155"/>
      <c r="I607" s="155"/>
      <c r="J607" s="155"/>
      <c r="K607" s="147"/>
    </row>
    <row r="608">
      <c r="A608" s="153">
        <v>605.0</v>
      </c>
      <c r="B608" s="154"/>
      <c r="C608" s="154" t="s">
        <v>208</v>
      </c>
      <c r="D608" s="154" t="s">
        <v>208</v>
      </c>
      <c r="E608" s="154" t="s">
        <v>208</v>
      </c>
      <c r="F608" s="154" t="s">
        <v>208</v>
      </c>
      <c r="G608" s="154" t="s">
        <v>208</v>
      </c>
      <c r="H608" s="155"/>
      <c r="I608" s="155"/>
      <c r="J608" s="155"/>
      <c r="K608" s="147"/>
    </row>
    <row r="609">
      <c r="A609" s="153">
        <v>606.0</v>
      </c>
      <c r="B609" s="154"/>
      <c r="C609" s="154" t="s">
        <v>208</v>
      </c>
      <c r="D609" s="154" t="s">
        <v>208</v>
      </c>
      <c r="E609" s="154" t="s">
        <v>208</v>
      </c>
      <c r="F609" s="154" t="s">
        <v>208</v>
      </c>
      <c r="G609" s="154" t="s">
        <v>208</v>
      </c>
      <c r="H609" s="155"/>
      <c r="I609" s="155"/>
      <c r="J609" s="155"/>
      <c r="K609" s="147"/>
    </row>
    <row r="610">
      <c r="A610" s="153">
        <v>607.0</v>
      </c>
      <c r="B610" s="154"/>
      <c r="C610" s="154" t="s">
        <v>208</v>
      </c>
      <c r="D610" s="154" t="s">
        <v>208</v>
      </c>
      <c r="E610" s="154" t="s">
        <v>208</v>
      </c>
      <c r="F610" s="154" t="s">
        <v>208</v>
      </c>
      <c r="G610" s="154" t="s">
        <v>208</v>
      </c>
      <c r="H610" s="155"/>
      <c r="I610" s="155"/>
      <c r="J610" s="155"/>
      <c r="K610" s="147"/>
    </row>
    <row r="611">
      <c r="A611" s="153">
        <v>608.0</v>
      </c>
      <c r="B611" s="154"/>
      <c r="C611" s="154" t="s">
        <v>208</v>
      </c>
      <c r="D611" s="154" t="s">
        <v>208</v>
      </c>
      <c r="E611" s="154" t="s">
        <v>208</v>
      </c>
      <c r="F611" s="154" t="s">
        <v>208</v>
      </c>
      <c r="G611" s="154" t="s">
        <v>208</v>
      </c>
      <c r="H611" s="155"/>
      <c r="I611" s="155"/>
      <c r="J611" s="155"/>
      <c r="K611" s="147"/>
    </row>
    <row r="612">
      <c r="A612" s="153">
        <v>609.0</v>
      </c>
      <c r="B612" s="154"/>
      <c r="C612" s="154" t="s">
        <v>208</v>
      </c>
      <c r="D612" s="154" t="s">
        <v>208</v>
      </c>
      <c r="E612" s="154" t="s">
        <v>208</v>
      </c>
      <c r="F612" s="154" t="s">
        <v>208</v>
      </c>
      <c r="G612" s="154" t="s">
        <v>208</v>
      </c>
      <c r="H612" s="155"/>
      <c r="I612" s="155"/>
      <c r="J612" s="155"/>
      <c r="K612" s="147"/>
    </row>
    <row r="613">
      <c r="A613" s="153">
        <v>610.0</v>
      </c>
      <c r="B613" s="154"/>
      <c r="C613" s="154" t="s">
        <v>208</v>
      </c>
      <c r="D613" s="154" t="s">
        <v>208</v>
      </c>
      <c r="E613" s="154" t="s">
        <v>208</v>
      </c>
      <c r="F613" s="154" t="s">
        <v>208</v>
      </c>
      <c r="G613" s="154" t="s">
        <v>208</v>
      </c>
      <c r="H613" s="155"/>
      <c r="I613" s="155"/>
      <c r="J613" s="155"/>
      <c r="K613" s="147"/>
    </row>
    <row r="614">
      <c r="A614" s="153">
        <v>611.0</v>
      </c>
      <c r="B614" s="154"/>
      <c r="C614" s="154" t="s">
        <v>208</v>
      </c>
      <c r="D614" s="154" t="s">
        <v>208</v>
      </c>
      <c r="E614" s="154" t="s">
        <v>208</v>
      </c>
      <c r="F614" s="154" t="s">
        <v>208</v>
      </c>
      <c r="G614" s="154" t="s">
        <v>208</v>
      </c>
      <c r="H614" s="155"/>
      <c r="I614" s="155"/>
      <c r="J614" s="155"/>
      <c r="K614" s="147"/>
    </row>
    <row r="615">
      <c r="A615" s="153">
        <v>612.0</v>
      </c>
      <c r="B615" s="154"/>
      <c r="C615" s="154" t="s">
        <v>208</v>
      </c>
      <c r="D615" s="154" t="s">
        <v>208</v>
      </c>
      <c r="E615" s="154" t="s">
        <v>208</v>
      </c>
      <c r="F615" s="154" t="s">
        <v>208</v>
      </c>
      <c r="G615" s="154" t="s">
        <v>208</v>
      </c>
      <c r="H615" s="155"/>
      <c r="I615" s="155"/>
      <c r="J615" s="155"/>
      <c r="K615" s="147"/>
    </row>
    <row r="616">
      <c r="A616" s="153">
        <v>613.0</v>
      </c>
      <c r="B616" s="154"/>
      <c r="C616" s="154" t="s">
        <v>208</v>
      </c>
      <c r="D616" s="154" t="s">
        <v>208</v>
      </c>
      <c r="E616" s="154" t="s">
        <v>208</v>
      </c>
      <c r="F616" s="154" t="s">
        <v>208</v>
      </c>
      <c r="G616" s="154" t="s">
        <v>208</v>
      </c>
      <c r="H616" s="155"/>
      <c r="I616" s="155"/>
      <c r="J616" s="155"/>
      <c r="K616" s="147"/>
    </row>
    <row r="617">
      <c r="A617" s="153">
        <v>614.0</v>
      </c>
      <c r="B617" s="154"/>
      <c r="C617" s="154" t="s">
        <v>208</v>
      </c>
      <c r="D617" s="154" t="s">
        <v>208</v>
      </c>
      <c r="E617" s="154" t="s">
        <v>208</v>
      </c>
      <c r="F617" s="154" t="s">
        <v>208</v>
      </c>
      <c r="G617" s="154" t="s">
        <v>208</v>
      </c>
      <c r="H617" s="155"/>
      <c r="I617" s="155"/>
      <c r="J617" s="155"/>
      <c r="K617" s="147"/>
    </row>
    <row r="618">
      <c r="A618" s="153">
        <v>615.0</v>
      </c>
      <c r="B618" s="154"/>
      <c r="C618" s="154" t="s">
        <v>208</v>
      </c>
      <c r="D618" s="154" t="s">
        <v>208</v>
      </c>
      <c r="E618" s="154" t="s">
        <v>208</v>
      </c>
      <c r="F618" s="154" t="s">
        <v>208</v>
      </c>
      <c r="G618" s="154" t="s">
        <v>208</v>
      </c>
      <c r="H618" s="155"/>
      <c r="I618" s="155"/>
      <c r="J618" s="155"/>
      <c r="K618" s="147"/>
    </row>
    <row r="619">
      <c r="A619" s="153">
        <v>616.0</v>
      </c>
      <c r="B619" s="154"/>
      <c r="C619" s="154" t="s">
        <v>208</v>
      </c>
      <c r="D619" s="154" t="s">
        <v>208</v>
      </c>
      <c r="E619" s="154" t="s">
        <v>208</v>
      </c>
      <c r="F619" s="154" t="s">
        <v>208</v>
      </c>
      <c r="G619" s="154" t="s">
        <v>208</v>
      </c>
      <c r="H619" s="153"/>
      <c r="I619" s="155"/>
      <c r="J619" s="155"/>
      <c r="K619" s="147"/>
    </row>
    <row r="620">
      <c r="A620" s="153">
        <v>617.0</v>
      </c>
      <c r="B620" s="154"/>
      <c r="C620" s="154" t="s">
        <v>208</v>
      </c>
      <c r="D620" s="154" t="s">
        <v>208</v>
      </c>
      <c r="E620" s="154" t="s">
        <v>208</v>
      </c>
      <c r="F620" s="154" t="s">
        <v>208</v>
      </c>
      <c r="G620" s="154" t="s">
        <v>208</v>
      </c>
      <c r="H620" s="153"/>
      <c r="I620" s="155"/>
      <c r="J620" s="155"/>
      <c r="K620" s="147"/>
    </row>
    <row r="621">
      <c r="A621" s="153">
        <v>618.0</v>
      </c>
      <c r="B621" s="154"/>
      <c r="C621" s="154" t="s">
        <v>208</v>
      </c>
      <c r="D621" s="154" t="s">
        <v>208</v>
      </c>
      <c r="E621" s="154" t="s">
        <v>208</v>
      </c>
      <c r="F621" s="154" t="s">
        <v>208</v>
      </c>
      <c r="G621" s="154" t="s">
        <v>208</v>
      </c>
      <c r="H621" s="153"/>
      <c r="I621" s="155"/>
      <c r="J621" s="155"/>
      <c r="K621" s="147"/>
    </row>
    <row r="622">
      <c r="A622" s="153">
        <v>619.0</v>
      </c>
      <c r="B622" s="154"/>
      <c r="C622" s="154" t="s">
        <v>208</v>
      </c>
      <c r="D622" s="154" t="s">
        <v>208</v>
      </c>
      <c r="E622" s="154" t="s">
        <v>208</v>
      </c>
      <c r="F622" s="154" t="s">
        <v>208</v>
      </c>
      <c r="G622" s="154" t="s">
        <v>208</v>
      </c>
      <c r="H622" s="153"/>
      <c r="I622" s="155"/>
      <c r="J622" s="155"/>
      <c r="K622" s="147"/>
    </row>
    <row r="623">
      <c r="A623" s="153">
        <v>620.0</v>
      </c>
      <c r="B623" s="155"/>
      <c r="C623" s="154" t="s">
        <v>208</v>
      </c>
      <c r="D623" s="154" t="s">
        <v>208</v>
      </c>
      <c r="E623" s="154" t="s">
        <v>208</v>
      </c>
      <c r="F623" s="154" t="s">
        <v>208</v>
      </c>
      <c r="G623" s="154" t="s">
        <v>208</v>
      </c>
      <c r="H623" s="155"/>
      <c r="I623" s="155"/>
      <c r="J623" s="155"/>
      <c r="K623" s="147"/>
    </row>
    <row r="624">
      <c r="A624" s="153">
        <v>621.0</v>
      </c>
      <c r="B624" s="154"/>
      <c r="C624" s="154"/>
      <c r="D624" s="154"/>
      <c r="E624" s="154"/>
      <c r="F624" s="154"/>
      <c r="G624" s="155"/>
      <c r="H624" s="155"/>
      <c r="I624" s="155"/>
      <c r="J624" s="154" t="s">
        <v>217</v>
      </c>
      <c r="K624" s="147"/>
    </row>
    <row r="625">
      <c r="A625" s="153">
        <v>622.0</v>
      </c>
      <c r="B625" s="154"/>
      <c r="C625" s="154"/>
      <c r="D625" s="154"/>
      <c r="E625" s="154"/>
      <c r="F625" s="154"/>
      <c r="G625" s="155"/>
      <c r="H625" s="155"/>
      <c r="I625" s="155"/>
      <c r="J625" s="154" t="s">
        <v>217</v>
      </c>
      <c r="K625" s="147"/>
    </row>
    <row r="626">
      <c r="A626" s="153">
        <v>623.0</v>
      </c>
      <c r="B626" s="154"/>
      <c r="C626" s="154"/>
      <c r="D626" s="154"/>
      <c r="E626" s="154"/>
      <c r="F626" s="154"/>
      <c r="G626" s="155"/>
      <c r="H626" s="155"/>
      <c r="I626" s="155"/>
      <c r="J626" s="154" t="s">
        <v>217</v>
      </c>
      <c r="K626" s="147"/>
    </row>
    <row r="627">
      <c r="A627" s="153">
        <v>624.0</v>
      </c>
      <c r="B627" s="154"/>
      <c r="C627" s="154"/>
      <c r="D627" s="154"/>
      <c r="E627" s="154"/>
      <c r="F627" s="154"/>
      <c r="G627" s="155"/>
      <c r="H627" s="155"/>
      <c r="I627" s="155"/>
      <c r="J627" s="154" t="s">
        <v>217</v>
      </c>
      <c r="K627" s="147"/>
    </row>
    <row r="628">
      <c r="A628" s="153">
        <v>625.0</v>
      </c>
      <c r="B628" s="155"/>
      <c r="C628" s="154"/>
      <c r="D628" s="154"/>
      <c r="E628" s="154"/>
      <c r="F628" s="154"/>
      <c r="G628" s="154"/>
      <c r="H628" s="155"/>
      <c r="I628" s="155"/>
      <c r="J628" s="154" t="s">
        <v>217</v>
      </c>
      <c r="K628" s="147"/>
    </row>
    <row r="629">
      <c r="A629" s="153">
        <v>626.0</v>
      </c>
      <c r="B629" s="155"/>
      <c r="C629" s="154"/>
      <c r="D629" s="154"/>
      <c r="E629" s="154"/>
      <c r="F629" s="154"/>
      <c r="G629" s="154"/>
      <c r="H629" s="155"/>
      <c r="I629" s="155"/>
      <c r="J629" s="154" t="s">
        <v>217</v>
      </c>
      <c r="K629" s="147"/>
    </row>
    <row r="630">
      <c r="A630" s="153">
        <v>627.0</v>
      </c>
      <c r="B630" s="155"/>
      <c r="C630" s="154"/>
      <c r="D630" s="154"/>
      <c r="E630" s="154"/>
      <c r="F630" s="154"/>
      <c r="G630" s="154"/>
      <c r="H630" s="155"/>
      <c r="I630" s="155"/>
      <c r="J630" s="154" t="s">
        <v>217</v>
      </c>
      <c r="K630" s="147"/>
    </row>
    <row r="631">
      <c r="A631" s="153">
        <v>628.0</v>
      </c>
      <c r="B631" s="155"/>
      <c r="C631" s="154" t="s">
        <v>208</v>
      </c>
      <c r="D631" s="154" t="s">
        <v>208</v>
      </c>
      <c r="E631" s="154" t="s">
        <v>208</v>
      </c>
      <c r="F631" s="154" t="s">
        <v>208</v>
      </c>
      <c r="G631" s="154" t="s">
        <v>208</v>
      </c>
      <c r="H631" s="155"/>
      <c r="I631" s="155"/>
      <c r="J631" s="155"/>
      <c r="K631" s="147"/>
    </row>
    <row r="632">
      <c r="A632" s="153">
        <v>629.0</v>
      </c>
      <c r="B632" s="154"/>
      <c r="C632" s="154" t="s">
        <v>208</v>
      </c>
      <c r="D632" s="154" t="s">
        <v>208</v>
      </c>
      <c r="E632" s="154" t="s">
        <v>208</v>
      </c>
      <c r="F632" s="154" t="s">
        <v>208</v>
      </c>
      <c r="G632" s="154" t="s">
        <v>208</v>
      </c>
      <c r="H632" s="153"/>
      <c r="I632" s="155"/>
      <c r="J632" s="155"/>
      <c r="K632" s="147"/>
    </row>
    <row r="633">
      <c r="A633" s="153">
        <v>630.0</v>
      </c>
      <c r="B633" s="154"/>
      <c r="C633" s="154" t="s">
        <v>208</v>
      </c>
      <c r="D633" s="154" t="s">
        <v>208</v>
      </c>
      <c r="E633" s="154" t="s">
        <v>208</v>
      </c>
      <c r="F633" s="154" t="s">
        <v>208</v>
      </c>
      <c r="G633" s="154" t="s">
        <v>208</v>
      </c>
      <c r="H633" s="153"/>
      <c r="I633" s="155"/>
      <c r="J633" s="155"/>
      <c r="K633" s="147"/>
    </row>
    <row r="634">
      <c r="A634" s="153">
        <v>631.0</v>
      </c>
      <c r="B634" s="154"/>
      <c r="C634" s="154" t="s">
        <v>208</v>
      </c>
      <c r="D634" s="154" t="s">
        <v>208</v>
      </c>
      <c r="E634" s="154" t="s">
        <v>208</v>
      </c>
      <c r="F634" s="154" t="s">
        <v>208</v>
      </c>
      <c r="G634" s="154" t="s">
        <v>208</v>
      </c>
      <c r="H634" s="153"/>
      <c r="I634" s="155"/>
      <c r="J634" s="155"/>
      <c r="K634" s="147"/>
    </row>
    <row r="635">
      <c r="A635" s="153">
        <v>632.0</v>
      </c>
      <c r="B635" s="154"/>
      <c r="C635" s="154" t="s">
        <v>208</v>
      </c>
      <c r="D635" s="154" t="s">
        <v>208</v>
      </c>
      <c r="E635" s="154" t="s">
        <v>208</v>
      </c>
      <c r="F635" s="154" t="s">
        <v>208</v>
      </c>
      <c r="G635" s="154" t="s">
        <v>208</v>
      </c>
      <c r="H635" s="153"/>
      <c r="I635" s="155"/>
      <c r="J635" s="155"/>
      <c r="K635" s="147"/>
    </row>
    <row r="636">
      <c r="A636" s="153">
        <v>633.0</v>
      </c>
      <c r="B636" s="154"/>
      <c r="C636" s="154"/>
      <c r="D636" s="154" t="s">
        <v>208</v>
      </c>
      <c r="E636" s="154" t="s">
        <v>208</v>
      </c>
      <c r="F636" s="154" t="s">
        <v>208</v>
      </c>
      <c r="G636" s="154"/>
      <c r="H636" s="154" t="s">
        <v>208</v>
      </c>
      <c r="I636" s="155"/>
      <c r="J636" s="155"/>
      <c r="K636" s="147"/>
    </row>
    <row r="637">
      <c r="A637" s="153">
        <v>634.0</v>
      </c>
      <c r="B637" s="154"/>
      <c r="C637" s="154" t="s">
        <v>208</v>
      </c>
      <c r="D637" s="154" t="s">
        <v>208</v>
      </c>
      <c r="E637" s="154" t="s">
        <v>208</v>
      </c>
      <c r="F637" s="154" t="s">
        <v>208</v>
      </c>
      <c r="G637" s="154" t="s">
        <v>208</v>
      </c>
      <c r="H637" s="155"/>
      <c r="I637" s="155"/>
      <c r="J637" s="155"/>
      <c r="K637" s="147"/>
    </row>
    <row r="638">
      <c r="A638" s="153">
        <v>635.0</v>
      </c>
      <c r="B638" s="154"/>
      <c r="C638" s="154" t="s">
        <v>208</v>
      </c>
      <c r="D638" s="154" t="s">
        <v>208</v>
      </c>
      <c r="E638" s="154" t="s">
        <v>208</v>
      </c>
      <c r="F638" s="154" t="s">
        <v>208</v>
      </c>
      <c r="G638" s="154" t="s">
        <v>208</v>
      </c>
      <c r="H638" s="155"/>
      <c r="I638" s="155"/>
      <c r="J638" s="155"/>
      <c r="K638" s="147"/>
    </row>
    <row r="639">
      <c r="A639" s="153">
        <v>636.0</v>
      </c>
      <c r="B639" s="154"/>
      <c r="C639" s="154" t="s">
        <v>208</v>
      </c>
      <c r="D639" s="154" t="s">
        <v>208</v>
      </c>
      <c r="E639" s="154" t="s">
        <v>208</v>
      </c>
      <c r="F639" s="154" t="s">
        <v>208</v>
      </c>
      <c r="G639" s="154" t="s">
        <v>208</v>
      </c>
      <c r="H639" s="155"/>
      <c r="I639" s="155"/>
      <c r="J639" s="155"/>
      <c r="K639" s="147"/>
    </row>
    <row r="640">
      <c r="A640" s="153">
        <v>637.0</v>
      </c>
      <c r="B640" s="154"/>
      <c r="C640" s="154" t="s">
        <v>208</v>
      </c>
      <c r="D640" s="154" t="s">
        <v>208</v>
      </c>
      <c r="E640" s="154" t="s">
        <v>208</v>
      </c>
      <c r="F640" s="154" t="s">
        <v>208</v>
      </c>
      <c r="G640" s="154" t="s">
        <v>208</v>
      </c>
      <c r="H640" s="155"/>
      <c r="I640" s="155"/>
      <c r="J640" s="155"/>
      <c r="K640" s="147"/>
    </row>
    <row r="641">
      <c r="A641" s="153">
        <v>638.0</v>
      </c>
      <c r="B641" s="154"/>
      <c r="C641" s="154" t="s">
        <v>208</v>
      </c>
      <c r="D641" s="154" t="s">
        <v>208</v>
      </c>
      <c r="E641" s="154" t="s">
        <v>208</v>
      </c>
      <c r="F641" s="154" t="s">
        <v>208</v>
      </c>
      <c r="G641" s="154" t="s">
        <v>208</v>
      </c>
      <c r="H641" s="155"/>
      <c r="I641" s="155"/>
      <c r="J641" s="155"/>
      <c r="K641" s="147"/>
    </row>
    <row r="642">
      <c r="A642" s="153">
        <v>639.0</v>
      </c>
      <c r="B642" s="154"/>
      <c r="C642" s="154" t="s">
        <v>208</v>
      </c>
      <c r="D642" s="154" t="s">
        <v>208</v>
      </c>
      <c r="E642" s="154" t="s">
        <v>208</v>
      </c>
      <c r="F642" s="154" t="s">
        <v>208</v>
      </c>
      <c r="G642" s="154" t="s">
        <v>208</v>
      </c>
      <c r="H642" s="155"/>
      <c r="I642" s="155"/>
      <c r="J642" s="155"/>
      <c r="K642" s="147"/>
    </row>
    <row r="643">
      <c r="A643" s="153">
        <v>640.0</v>
      </c>
      <c r="B643" s="154"/>
      <c r="C643" s="154" t="s">
        <v>208</v>
      </c>
      <c r="D643" s="154" t="s">
        <v>208</v>
      </c>
      <c r="E643" s="154" t="s">
        <v>208</v>
      </c>
      <c r="F643" s="154" t="s">
        <v>208</v>
      </c>
      <c r="G643" s="154" t="s">
        <v>208</v>
      </c>
      <c r="H643" s="155"/>
      <c r="I643" s="155"/>
      <c r="J643" s="155"/>
      <c r="K643" s="147"/>
    </row>
    <row r="644">
      <c r="A644" s="153">
        <v>641.0</v>
      </c>
      <c r="B644" s="154"/>
      <c r="C644" s="154"/>
      <c r="D644" s="154" t="s">
        <v>208</v>
      </c>
      <c r="E644" s="154" t="s">
        <v>208</v>
      </c>
      <c r="F644" s="154" t="s">
        <v>208</v>
      </c>
      <c r="G644" s="155"/>
      <c r="H644" s="154" t="s">
        <v>208</v>
      </c>
      <c r="I644" s="155"/>
      <c r="J644" s="155"/>
      <c r="K644" s="147"/>
    </row>
    <row r="645">
      <c r="A645" s="153">
        <v>642.0</v>
      </c>
      <c r="B645" s="154"/>
      <c r="C645" s="154" t="s">
        <v>208</v>
      </c>
      <c r="D645" s="154" t="s">
        <v>208</v>
      </c>
      <c r="E645" s="154" t="s">
        <v>208</v>
      </c>
      <c r="F645" s="154" t="s">
        <v>208</v>
      </c>
      <c r="G645" s="154" t="s">
        <v>208</v>
      </c>
      <c r="H645" s="155"/>
      <c r="I645" s="155"/>
      <c r="J645" s="155"/>
      <c r="K645" s="147"/>
    </row>
    <row r="646">
      <c r="A646" s="153">
        <v>643.0</v>
      </c>
      <c r="B646" s="154"/>
      <c r="C646" s="154" t="s">
        <v>208</v>
      </c>
      <c r="D646" s="154" t="s">
        <v>208</v>
      </c>
      <c r="E646" s="154"/>
      <c r="F646" s="154" t="s">
        <v>208</v>
      </c>
      <c r="G646" s="154" t="s">
        <v>208</v>
      </c>
      <c r="H646" s="153"/>
      <c r="I646" s="155"/>
      <c r="J646" s="155"/>
      <c r="K646" s="147"/>
    </row>
    <row r="647">
      <c r="A647" s="153">
        <v>644.0</v>
      </c>
      <c r="B647" s="154"/>
      <c r="C647" s="154" t="s">
        <v>208</v>
      </c>
      <c r="D647" s="154" t="s">
        <v>208</v>
      </c>
      <c r="E647" s="154" t="s">
        <v>208</v>
      </c>
      <c r="F647" s="154" t="s">
        <v>208</v>
      </c>
      <c r="G647" s="154" t="s">
        <v>208</v>
      </c>
      <c r="H647" s="155"/>
      <c r="I647" s="155"/>
      <c r="J647" s="155"/>
      <c r="K647" s="147"/>
    </row>
    <row r="648">
      <c r="A648" s="153">
        <v>645.0</v>
      </c>
      <c r="B648" s="154"/>
      <c r="C648" s="154" t="s">
        <v>208</v>
      </c>
      <c r="D648" s="154" t="s">
        <v>208</v>
      </c>
      <c r="E648" s="154" t="s">
        <v>208</v>
      </c>
      <c r="F648" s="154" t="s">
        <v>208</v>
      </c>
      <c r="G648" s="154" t="s">
        <v>208</v>
      </c>
      <c r="H648" s="155"/>
      <c r="I648" s="155"/>
      <c r="J648" s="155"/>
      <c r="K648" s="147"/>
    </row>
    <row r="649">
      <c r="A649" s="153">
        <v>646.0</v>
      </c>
      <c r="B649" s="154"/>
      <c r="C649" s="154" t="s">
        <v>208</v>
      </c>
      <c r="D649" s="154" t="s">
        <v>208</v>
      </c>
      <c r="E649" s="154" t="s">
        <v>208</v>
      </c>
      <c r="F649" s="154" t="s">
        <v>208</v>
      </c>
      <c r="G649" s="154" t="s">
        <v>208</v>
      </c>
      <c r="H649" s="155"/>
      <c r="I649" s="155"/>
      <c r="J649" s="155"/>
      <c r="K649" s="147"/>
    </row>
    <row r="650">
      <c r="A650" s="153">
        <v>647.0</v>
      </c>
      <c r="B650" s="154"/>
      <c r="C650" s="154" t="s">
        <v>208</v>
      </c>
      <c r="D650" s="154" t="s">
        <v>208</v>
      </c>
      <c r="E650" s="154" t="s">
        <v>208</v>
      </c>
      <c r="F650" s="154" t="s">
        <v>208</v>
      </c>
      <c r="G650" s="154" t="s">
        <v>208</v>
      </c>
      <c r="H650" s="155"/>
      <c r="I650" s="155"/>
      <c r="J650" s="155"/>
      <c r="K650" s="147"/>
    </row>
    <row r="651">
      <c r="A651" s="153">
        <v>648.0</v>
      </c>
      <c r="B651" s="154"/>
      <c r="C651" s="154" t="s">
        <v>208</v>
      </c>
      <c r="D651" s="154" t="s">
        <v>208</v>
      </c>
      <c r="E651" s="154" t="s">
        <v>208</v>
      </c>
      <c r="F651" s="154" t="s">
        <v>208</v>
      </c>
      <c r="G651" s="154" t="s">
        <v>208</v>
      </c>
      <c r="H651" s="155"/>
      <c r="I651" s="155"/>
      <c r="J651" s="155"/>
      <c r="K651" s="147"/>
    </row>
    <row r="652">
      <c r="A652" s="153">
        <v>649.0</v>
      </c>
      <c r="B652" s="154"/>
      <c r="C652" s="154"/>
      <c r="D652" s="154" t="s">
        <v>208</v>
      </c>
      <c r="E652" s="154" t="s">
        <v>208</v>
      </c>
      <c r="F652" s="154" t="s">
        <v>208</v>
      </c>
      <c r="G652" s="155"/>
      <c r="H652" s="154" t="s">
        <v>208</v>
      </c>
      <c r="I652" s="155"/>
      <c r="J652" s="155"/>
      <c r="K652" s="147"/>
    </row>
    <row r="653">
      <c r="A653" s="153">
        <v>650.0</v>
      </c>
      <c r="B653" s="154"/>
      <c r="C653" s="154" t="s">
        <v>208</v>
      </c>
      <c r="D653" s="154" t="s">
        <v>208</v>
      </c>
      <c r="E653" s="154" t="s">
        <v>208</v>
      </c>
      <c r="F653" s="154" t="s">
        <v>208</v>
      </c>
      <c r="G653" s="154" t="s">
        <v>208</v>
      </c>
      <c r="H653" s="155"/>
      <c r="I653" s="155"/>
      <c r="J653" s="155"/>
      <c r="K653" s="147"/>
    </row>
    <row r="654">
      <c r="A654" s="153">
        <v>651.0</v>
      </c>
      <c r="B654" s="154"/>
      <c r="C654" s="154" t="s">
        <v>208</v>
      </c>
      <c r="D654" s="154" t="s">
        <v>208</v>
      </c>
      <c r="E654" s="154" t="s">
        <v>208</v>
      </c>
      <c r="F654" s="154" t="s">
        <v>208</v>
      </c>
      <c r="G654" s="154" t="s">
        <v>208</v>
      </c>
      <c r="H654" s="155"/>
      <c r="I654" s="155"/>
      <c r="J654" s="155"/>
      <c r="K654" s="147"/>
    </row>
    <row r="655">
      <c r="A655" s="153">
        <v>652.0</v>
      </c>
      <c r="B655" s="154"/>
      <c r="C655" s="154" t="s">
        <v>208</v>
      </c>
      <c r="D655" s="154" t="s">
        <v>208</v>
      </c>
      <c r="E655" s="154" t="s">
        <v>208</v>
      </c>
      <c r="F655" s="154" t="s">
        <v>208</v>
      </c>
      <c r="G655" s="154" t="s">
        <v>208</v>
      </c>
      <c r="H655" s="155"/>
      <c r="I655" s="155"/>
      <c r="J655" s="155"/>
      <c r="K655" s="147"/>
    </row>
    <row r="656">
      <c r="A656" s="153">
        <v>653.0</v>
      </c>
      <c r="B656" s="154"/>
      <c r="C656" s="154" t="s">
        <v>208</v>
      </c>
      <c r="D656" s="154" t="s">
        <v>208</v>
      </c>
      <c r="E656" s="154" t="s">
        <v>208</v>
      </c>
      <c r="F656" s="154" t="s">
        <v>208</v>
      </c>
      <c r="G656" s="154" t="s">
        <v>208</v>
      </c>
      <c r="H656" s="155"/>
      <c r="I656" s="155"/>
      <c r="J656" s="155"/>
      <c r="K656" s="147"/>
    </row>
    <row r="657">
      <c r="A657" s="153">
        <v>654.0</v>
      </c>
      <c r="B657" s="154"/>
      <c r="C657" s="154" t="s">
        <v>208</v>
      </c>
      <c r="D657" s="154" t="s">
        <v>208</v>
      </c>
      <c r="E657" s="154" t="s">
        <v>208</v>
      </c>
      <c r="F657" s="154" t="s">
        <v>208</v>
      </c>
      <c r="G657" s="154" t="s">
        <v>208</v>
      </c>
      <c r="H657" s="155"/>
      <c r="I657" s="155"/>
      <c r="J657" s="155"/>
      <c r="K657" s="147"/>
    </row>
    <row r="658">
      <c r="A658" s="153">
        <v>655.0</v>
      </c>
      <c r="B658" s="154"/>
      <c r="C658" s="154" t="s">
        <v>208</v>
      </c>
      <c r="D658" s="154" t="s">
        <v>208</v>
      </c>
      <c r="E658" s="154"/>
      <c r="F658" s="154" t="s">
        <v>208</v>
      </c>
      <c r="G658" s="154" t="s">
        <v>208</v>
      </c>
      <c r="H658" s="155"/>
      <c r="I658" s="155"/>
      <c r="J658" s="155"/>
      <c r="K658" s="147"/>
    </row>
    <row r="659">
      <c r="A659" s="153">
        <v>656.0</v>
      </c>
      <c r="B659" s="154"/>
      <c r="C659" s="154" t="s">
        <v>208</v>
      </c>
      <c r="D659" s="154" t="s">
        <v>208</v>
      </c>
      <c r="E659" s="154" t="s">
        <v>208</v>
      </c>
      <c r="F659" s="154" t="s">
        <v>208</v>
      </c>
      <c r="G659" s="154" t="s">
        <v>208</v>
      </c>
      <c r="H659" s="155"/>
      <c r="I659" s="155"/>
      <c r="J659" s="155"/>
      <c r="K659" s="147"/>
    </row>
    <row r="660">
      <c r="A660" s="153">
        <v>657.0</v>
      </c>
      <c r="B660" s="154"/>
      <c r="C660" s="154" t="s">
        <v>208</v>
      </c>
      <c r="D660" s="154" t="s">
        <v>208</v>
      </c>
      <c r="E660" s="154" t="s">
        <v>208</v>
      </c>
      <c r="F660" s="154" t="s">
        <v>208</v>
      </c>
      <c r="G660" s="154" t="s">
        <v>208</v>
      </c>
      <c r="H660" s="153"/>
      <c r="I660" s="155"/>
      <c r="J660" s="155"/>
      <c r="K660" s="147"/>
    </row>
    <row r="661">
      <c r="A661" s="153">
        <v>658.0</v>
      </c>
      <c r="B661" s="154"/>
      <c r="C661" s="154" t="s">
        <v>208</v>
      </c>
      <c r="D661" s="154" t="s">
        <v>208</v>
      </c>
      <c r="E661" s="154" t="s">
        <v>208</v>
      </c>
      <c r="F661" s="154" t="s">
        <v>208</v>
      </c>
      <c r="G661" s="154" t="s">
        <v>208</v>
      </c>
      <c r="H661" s="153"/>
      <c r="I661" s="155"/>
      <c r="J661" s="155"/>
      <c r="K661" s="147"/>
    </row>
    <row r="662">
      <c r="A662" s="153">
        <v>659.0</v>
      </c>
      <c r="B662" s="154"/>
      <c r="C662" s="154"/>
      <c r="D662" s="154" t="s">
        <v>208</v>
      </c>
      <c r="E662" s="154" t="s">
        <v>208</v>
      </c>
      <c r="F662" s="154" t="s">
        <v>208</v>
      </c>
      <c r="G662" s="154"/>
      <c r="H662" s="154" t="s">
        <v>208</v>
      </c>
      <c r="I662" s="155"/>
      <c r="J662" s="155"/>
      <c r="K662" s="147"/>
    </row>
    <row r="663">
      <c r="A663" s="153">
        <v>660.0</v>
      </c>
      <c r="B663" s="154"/>
      <c r="C663" s="154"/>
      <c r="D663" s="154"/>
      <c r="E663" s="154"/>
      <c r="F663" s="154"/>
      <c r="G663" s="154"/>
      <c r="H663" s="153"/>
      <c r="I663" s="155"/>
      <c r="J663" s="154" t="s">
        <v>217</v>
      </c>
      <c r="K663" s="147"/>
    </row>
    <row r="664">
      <c r="A664" s="153">
        <v>661.0</v>
      </c>
      <c r="B664" s="154"/>
      <c r="C664" s="154" t="s">
        <v>208</v>
      </c>
      <c r="D664" s="154" t="s">
        <v>208</v>
      </c>
      <c r="E664" s="154" t="s">
        <v>208</v>
      </c>
      <c r="F664" s="154" t="s">
        <v>208</v>
      </c>
      <c r="G664" s="154" t="s">
        <v>208</v>
      </c>
      <c r="H664" s="155"/>
      <c r="I664" s="155"/>
      <c r="J664" s="155"/>
      <c r="K664" s="147"/>
    </row>
    <row r="665">
      <c r="A665" s="153">
        <v>662.0</v>
      </c>
      <c r="B665" s="154"/>
      <c r="C665" s="154" t="s">
        <v>208</v>
      </c>
      <c r="D665" s="154" t="s">
        <v>208</v>
      </c>
      <c r="E665" s="154" t="s">
        <v>208</v>
      </c>
      <c r="F665" s="154" t="s">
        <v>208</v>
      </c>
      <c r="G665" s="154" t="s">
        <v>208</v>
      </c>
      <c r="H665" s="155"/>
      <c r="I665" s="155"/>
      <c r="J665" s="155"/>
      <c r="K665" s="147"/>
    </row>
    <row r="666">
      <c r="A666" s="153">
        <v>663.0</v>
      </c>
      <c r="B666" s="154"/>
      <c r="C666" s="154" t="s">
        <v>208</v>
      </c>
      <c r="D666" s="154" t="s">
        <v>208</v>
      </c>
      <c r="E666" s="154" t="s">
        <v>208</v>
      </c>
      <c r="F666" s="154" t="s">
        <v>208</v>
      </c>
      <c r="G666" s="154" t="s">
        <v>208</v>
      </c>
      <c r="H666" s="155"/>
      <c r="I666" s="155"/>
      <c r="J666" s="155"/>
      <c r="K666" s="147"/>
    </row>
    <row r="667">
      <c r="A667" s="153">
        <v>664.0</v>
      </c>
      <c r="B667" s="154"/>
      <c r="C667" s="154"/>
      <c r="D667" s="154" t="s">
        <v>208</v>
      </c>
      <c r="E667" s="154" t="s">
        <v>208</v>
      </c>
      <c r="F667" s="154" t="s">
        <v>208</v>
      </c>
      <c r="G667" s="155"/>
      <c r="H667" s="154" t="s">
        <v>208</v>
      </c>
      <c r="I667" s="155"/>
      <c r="J667" s="155"/>
      <c r="K667" s="147"/>
    </row>
    <row r="668">
      <c r="A668" s="153">
        <v>665.0</v>
      </c>
      <c r="B668" s="154"/>
      <c r="C668" s="154" t="s">
        <v>208</v>
      </c>
      <c r="D668" s="154" t="s">
        <v>208</v>
      </c>
      <c r="E668" s="154" t="s">
        <v>208</v>
      </c>
      <c r="F668" s="154" t="s">
        <v>208</v>
      </c>
      <c r="G668" s="154" t="s">
        <v>208</v>
      </c>
      <c r="H668" s="155"/>
      <c r="I668" s="155"/>
      <c r="J668" s="155"/>
      <c r="K668" s="147"/>
    </row>
    <row r="669">
      <c r="A669" s="153">
        <v>666.0</v>
      </c>
      <c r="B669" s="154"/>
      <c r="C669" s="154" t="s">
        <v>208</v>
      </c>
      <c r="D669" s="154" t="s">
        <v>208</v>
      </c>
      <c r="E669" s="154" t="s">
        <v>208</v>
      </c>
      <c r="F669" s="154" t="s">
        <v>208</v>
      </c>
      <c r="G669" s="154" t="s">
        <v>208</v>
      </c>
      <c r="H669" s="155"/>
      <c r="I669" s="155"/>
      <c r="J669" s="155"/>
      <c r="K669" s="147"/>
    </row>
    <row r="670">
      <c r="A670" s="153">
        <v>667.0</v>
      </c>
      <c r="B670" s="154"/>
      <c r="C670" s="154" t="s">
        <v>208</v>
      </c>
      <c r="D670" s="154" t="s">
        <v>208</v>
      </c>
      <c r="E670" s="154" t="s">
        <v>208</v>
      </c>
      <c r="F670" s="154" t="s">
        <v>208</v>
      </c>
      <c r="G670" s="154" t="s">
        <v>208</v>
      </c>
      <c r="H670" s="155"/>
      <c r="I670" s="155"/>
      <c r="J670" s="155"/>
      <c r="K670" s="147"/>
    </row>
    <row r="671">
      <c r="A671" s="153">
        <v>668.0</v>
      </c>
      <c r="B671" s="154"/>
      <c r="C671" s="154" t="s">
        <v>208</v>
      </c>
      <c r="D671" s="154" t="s">
        <v>208</v>
      </c>
      <c r="E671" s="154" t="s">
        <v>208</v>
      </c>
      <c r="F671" s="154" t="s">
        <v>208</v>
      </c>
      <c r="G671" s="154" t="s">
        <v>208</v>
      </c>
      <c r="H671" s="155"/>
      <c r="I671" s="155"/>
      <c r="J671" s="155"/>
      <c r="K671" s="147"/>
    </row>
    <row r="672">
      <c r="A672" s="153">
        <v>669.0</v>
      </c>
      <c r="B672" s="154"/>
      <c r="C672" s="154" t="s">
        <v>208</v>
      </c>
      <c r="D672" s="154" t="s">
        <v>208</v>
      </c>
      <c r="E672" s="154" t="s">
        <v>208</v>
      </c>
      <c r="F672" s="154" t="s">
        <v>208</v>
      </c>
      <c r="G672" s="154" t="s">
        <v>208</v>
      </c>
      <c r="H672" s="155"/>
      <c r="I672" s="155"/>
      <c r="J672" s="155"/>
      <c r="K672" s="147"/>
    </row>
    <row r="673">
      <c r="A673" s="153">
        <v>670.0</v>
      </c>
      <c r="B673" s="154"/>
      <c r="C673" s="154" t="s">
        <v>208</v>
      </c>
      <c r="D673" s="154" t="s">
        <v>208</v>
      </c>
      <c r="E673" s="154" t="s">
        <v>208</v>
      </c>
      <c r="F673" s="154" t="s">
        <v>208</v>
      </c>
      <c r="G673" s="154" t="s">
        <v>208</v>
      </c>
      <c r="H673" s="155"/>
      <c r="I673" s="155"/>
      <c r="J673" s="155"/>
      <c r="K673" s="147"/>
    </row>
    <row r="674">
      <c r="A674" s="153">
        <v>671.0</v>
      </c>
      <c r="B674" s="154"/>
      <c r="C674" s="154" t="s">
        <v>208</v>
      </c>
      <c r="D674" s="154" t="s">
        <v>208</v>
      </c>
      <c r="E674" s="154" t="s">
        <v>208</v>
      </c>
      <c r="F674" s="154" t="s">
        <v>208</v>
      </c>
      <c r="G674" s="154" t="s">
        <v>208</v>
      </c>
      <c r="H674" s="155"/>
      <c r="I674" s="155"/>
      <c r="J674" s="155"/>
      <c r="K674" s="147"/>
    </row>
    <row r="675">
      <c r="A675" s="153">
        <v>672.0</v>
      </c>
      <c r="B675" s="154"/>
      <c r="C675" s="154" t="s">
        <v>208</v>
      </c>
      <c r="D675" s="154" t="s">
        <v>208</v>
      </c>
      <c r="E675" s="154" t="s">
        <v>208</v>
      </c>
      <c r="F675" s="154" t="s">
        <v>208</v>
      </c>
      <c r="G675" s="154" t="s">
        <v>208</v>
      </c>
      <c r="H675" s="155"/>
      <c r="I675" s="155"/>
      <c r="J675" s="155"/>
      <c r="K675" s="147"/>
    </row>
    <row r="676">
      <c r="A676" s="153">
        <v>673.0</v>
      </c>
      <c r="B676" s="154"/>
      <c r="C676" s="154" t="s">
        <v>208</v>
      </c>
      <c r="D676" s="154" t="s">
        <v>208</v>
      </c>
      <c r="E676" s="154" t="s">
        <v>208</v>
      </c>
      <c r="F676" s="154" t="s">
        <v>208</v>
      </c>
      <c r="G676" s="154" t="s">
        <v>208</v>
      </c>
      <c r="H676" s="155"/>
      <c r="I676" s="155"/>
      <c r="J676" s="155"/>
      <c r="K676" s="147"/>
    </row>
    <row r="677">
      <c r="A677" s="153">
        <v>674.0</v>
      </c>
      <c r="B677" s="154" t="s">
        <v>208</v>
      </c>
      <c r="C677" s="154"/>
      <c r="D677" s="154" t="s">
        <v>208</v>
      </c>
      <c r="E677" s="154" t="s">
        <v>208</v>
      </c>
      <c r="F677" s="154" t="s">
        <v>208</v>
      </c>
      <c r="G677" s="154" t="s">
        <v>208</v>
      </c>
      <c r="H677" s="155"/>
      <c r="I677" s="155"/>
      <c r="J677" s="155"/>
      <c r="K677" s="147"/>
    </row>
    <row r="678">
      <c r="A678" s="153">
        <v>675.0</v>
      </c>
      <c r="B678" s="154"/>
      <c r="C678" s="154" t="s">
        <v>208</v>
      </c>
      <c r="D678" s="154" t="s">
        <v>208</v>
      </c>
      <c r="E678" s="154" t="s">
        <v>208</v>
      </c>
      <c r="F678" s="154" t="s">
        <v>208</v>
      </c>
      <c r="G678" s="154" t="s">
        <v>208</v>
      </c>
      <c r="H678" s="155"/>
      <c r="I678" s="155"/>
      <c r="J678" s="155"/>
      <c r="K678" s="147"/>
    </row>
    <row r="679">
      <c r="A679" s="153">
        <v>676.0</v>
      </c>
      <c r="B679" s="154"/>
      <c r="C679" s="154" t="s">
        <v>208</v>
      </c>
      <c r="D679" s="154" t="s">
        <v>208</v>
      </c>
      <c r="E679" s="154" t="s">
        <v>208</v>
      </c>
      <c r="F679" s="154" t="s">
        <v>208</v>
      </c>
      <c r="G679" s="154" t="s">
        <v>208</v>
      </c>
      <c r="H679" s="155"/>
      <c r="I679" s="155"/>
      <c r="J679" s="155"/>
      <c r="K679" s="147"/>
    </row>
    <row r="680">
      <c r="A680" s="153">
        <v>677.0</v>
      </c>
      <c r="B680" s="154"/>
      <c r="C680" s="154" t="s">
        <v>208</v>
      </c>
      <c r="D680" s="154" t="s">
        <v>208</v>
      </c>
      <c r="E680" s="154" t="s">
        <v>208</v>
      </c>
      <c r="F680" s="154" t="s">
        <v>208</v>
      </c>
      <c r="G680" s="154" t="s">
        <v>208</v>
      </c>
      <c r="H680" s="155"/>
      <c r="I680" s="155"/>
      <c r="J680" s="155"/>
      <c r="K680" s="147"/>
    </row>
    <row r="681">
      <c r="A681" s="153">
        <v>678.0</v>
      </c>
      <c r="B681" s="154"/>
      <c r="C681" s="154" t="s">
        <v>208</v>
      </c>
      <c r="D681" s="154" t="s">
        <v>208</v>
      </c>
      <c r="E681" s="154" t="s">
        <v>208</v>
      </c>
      <c r="F681" s="154" t="s">
        <v>208</v>
      </c>
      <c r="G681" s="154" t="s">
        <v>208</v>
      </c>
      <c r="H681" s="155"/>
      <c r="I681" s="155"/>
      <c r="J681" s="155"/>
      <c r="K681" s="147"/>
    </row>
    <row r="682">
      <c r="A682" s="153">
        <v>679.0</v>
      </c>
      <c r="B682" s="154"/>
      <c r="C682" s="154" t="s">
        <v>208</v>
      </c>
      <c r="D682" s="154" t="s">
        <v>208</v>
      </c>
      <c r="E682" s="154" t="s">
        <v>208</v>
      </c>
      <c r="F682" s="154" t="s">
        <v>208</v>
      </c>
      <c r="G682" s="154" t="s">
        <v>208</v>
      </c>
      <c r="H682" s="155"/>
      <c r="I682" s="155"/>
      <c r="J682" s="155"/>
      <c r="K682" s="147"/>
    </row>
    <row r="683">
      <c r="A683" s="153">
        <v>680.0</v>
      </c>
      <c r="B683" s="155"/>
      <c r="C683" s="154"/>
      <c r="D683" s="154" t="s">
        <v>208</v>
      </c>
      <c r="E683" s="154" t="s">
        <v>208</v>
      </c>
      <c r="F683" s="154" t="s">
        <v>208</v>
      </c>
      <c r="G683" s="154"/>
      <c r="H683" s="154" t="s">
        <v>208</v>
      </c>
      <c r="I683" s="155"/>
      <c r="J683" s="155"/>
      <c r="K683" s="147"/>
    </row>
    <row r="684">
      <c r="A684" s="153">
        <v>681.0</v>
      </c>
      <c r="B684" s="154"/>
      <c r="C684" s="154" t="s">
        <v>208</v>
      </c>
      <c r="D684" s="154" t="s">
        <v>208</v>
      </c>
      <c r="E684" s="154" t="s">
        <v>208</v>
      </c>
      <c r="F684" s="154" t="s">
        <v>208</v>
      </c>
      <c r="G684" s="154" t="s">
        <v>208</v>
      </c>
      <c r="H684" s="155"/>
      <c r="I684" s="155"/>
      <c r="J684" s="155"/>
      <c r="K684" s="147"/>
    </row>
    <row r="685">
      <c r="A685" s="153">
        <v>682.0</v>
      </c>
      <c r="B685" s="154"/>
      <c r="C685" s="154" t="s">
        <v>208</v>
      </c>
      <c r="D685" s="154" t="s">
        <v>208</v>
      </c>
      <c r="E685" s="154" t="s">
        <v>208</v>
      </c>
      <c r="F685" s="154" t="s">
        <v>208</v>
      </c>
      <c r="G685" s="154" t="s">
        <v>208</v>
      </c>
      <c r="H685" s="155"/>
      <c r="I685" s="155"/>
      <c r="J685" s="155"/>
      <c r="K685" s="147"/>
    </row>
    <row r="686">
      <c r="A686" s="153">
        <v>683.0</v>
      </c>
      <c r="B686" s="154"/>
      <c r="C686" s="154" t="s">
        <v>208</v>
      </c>
      <c r="D686" s="154" t="s">
        <v>208</v>
      </c>
      <c r="E686" s="154" t="s">
        <v>208</v>
      </c>
      <c r="F686" s="154" t="s">
        <v>208</v>
      </c>
      <c r="G686" s="154" t="s">
        <v>208</v>
      </c>
      <c r="H686" s="155"/>
      <c r="I686" s="155"/>
      <c r="J686" s="155"/>
      <c r="K686" s="147"/>
    </row>
    <row r="687">
      <c r="A687" s="153">
        <v>684.0</v>
      </c>
      <c r="B687" s="154"/>
      <c r="C687" s="154" t="s">
        <v>208</v>
      </c>
      <c r="D687" s="154" t="s">
        <v>208</v>
      </c>
      <c r="E687" s="154" t="s">
        <v>208</v>
      </c>
      <c r="F687" s="154" t="s">
        <v>208</v>
      </c>
      <c r="G687" s="154" t="s">
        <v>208</v>
      </c>
      <c r="H687" s="155"/>
      <c r="I687" s="155"/>
      <c r="J687" s="155"/>
      <c r="K687" s="147"/>
    </row>
    <row r="688">
      <c r="A688" s="153">
        <v>685.0</v>
      </c>
      <c r="B688" s="154"/>
      <c r="C688" s="154" t="s">
        <v>208</v>
      </c>
      <c r="D688" s="154" t="s">
        <v>208</v>
      </c>
      <c r="E688" s="154" t="s">
        <v>208</v>
      </c>
      <c r="F688" s="154" t="s">
        <v>208</v>
      </c>
      <c r="G688" s="154" t="s">
        <v>208</v>
      </c>
      <c r="H688" s="155"/>
      <c r="I688" s="155"/>
      <c r="J688" s="155"/>
      <c r="K688" s="147"/>
    </row>
    <row r="689">
      <c r="A689" s="153">
        <v>686.0</v>
      </c>
      <c r="B689" s="154"/>
      <c r="C689" s="154"/>
      <c r="D689" s="154"/>
      <c r="E689" s="154"/>
      <c r="F689" s="154"/>
      <c r="G689" s="155"/>
      <c r="H689" s="155"/>
      <c r="I689" s="155"/>
      <c r="J689" s="154" t="s">
        <v>217</v>
      </c>
      <c r="K689" s="147"/>
    </row>
    <row r="690">
      <c r="A690" s="153">
        <v>687.0</v>
      </c>
      <c r="B690" s="154"/>
      <c r="C690" s="154" t="s">
        <v>208</v>
      </c>
      <c r="D690" s="154" t="s">
        <v>208</v>
      </c>
      <c r="E690" s="154" t="s">
        <v>208</v>
      </c>
      <c r="F690" s="154" t="s">
        <v>208</v>
      </c>
      <c r="G690" s="154" t="s">
        <v>208</v>
      </c>
      <c r="H690" s="155"/>
      <c r="I690" s="155"/>
      <c r="J690" s="155"/>
      <c r="K690" s="147"/>
    </row>
    <row r="691">
      <c r="A691" s="153">
        <v>688.0</v>
      </c>
      <c r="B691" s="154"/>
      <c r="C691" s="154" t="s">
        <v>208</v>
      </c>
      <c r="D691" s="154" t="s">
        <v>208</v>
      </c>
      <c r="E691" s="154" t="s">
        <v>208</v>
      </c>
      <c r="F691" s="154" t="s">
        <v>208</v>
      </c>
      <c r="G691" s="154" t="s">
        <v>208</v>
      </c>
      <c r="H691" s="155"/>
      <c r="I691" s="155"/>
      <c r="J691" s="155"/>
      <c r="K691" s="147"/>
    </row>
    <row r="692">
      <c r="A692" s="153">
        <v>689.0</v>
      </c>
      <c r="B692" s="154"/>
      <c r="C692" s="154" t="s">
        <v>208</v>
      </c>
      <c r="D692" s="154" t="s">
        <v>208</v>
      </c>
      <c r="E692" s="154" t="s">
        <v>208</v>
      </c>
      <c r="F692" s="154" t="s">
        <v>208</v>
      </c>
      <c r="G692" s="154" t="s">
        <v>208</v>
      </c>
      <c r="H692" s="155"/>
      <c r="I692" s="155"/>
      <c r="J692" s="155"/>
      <c r="K692" s="147"/>
    </row>
    <row r="693">
      <c r="A693" s="153">
        <v>690.0</v>
      </c>
      <c r="B693" s="154"/>
      <c r="C693" s="154" t="s">
        <v>208</v>
      </c>
      <c r="D693" s="154" t="s">
        <v>208</v>
      </c>
      <c r="E693" s="154" t="s">
        <v>208</v>
      </c>
      <c r="F693" s="154" t="s">
        <v>208</v>
      </c>
      <c r="G693" s="154" t="s">
        <v>208</v>
      </c>
      <c r="H693" s="155"/>
      <c r="I693" s="155"/>
      <c r="J693" s="155"/>
      <c r="K693" s="147"/>
    </row>
    <row r="694">
      <c r="A694" s="153">
        <v>691.0</v>
      </c>
      <c r="B694" s="154"/>
      <c r="C694" s="154" t="s">
        <v>208</v>
      </c>
      <c r="D694" s="154" t="s">
        <v>208</v>
      </c>
      <c r="E694" s="154" t="s">
        <v>208</v>
      </c>
      <c r="F694" s="154" t="s">
        <v>208</v>
      </c>
      <c r="G694" s="154" t="s">
        <v>208</v>
      </c>
      <c r="H694" s="155"/>
      <c r="I694" s="155"/>
      <c r="J694" s="155"/>
      <c r="K694" s="147"/>
    </row>
    <row r="695">
      <c r="A695" s="153">
        <v>692.0</v>
      </c>
      <c r="B695" s="154"/>
      <c r="C695" s="154" t="s">
        <v>208</v>
      </c>
      <c r="D695" s="154" t="s">
        <v>208</v>
      </c>
      <c r="E695" s="154" t="s">
        <v>208</v>
      </c>
      <c r="F695" s="154" t="s">
        <v>208</v>
      </c>
      <c r="G695" s="154" t="s">
        <v>208</v>
      </c>
      <c r="H695" s="155"/>
      <c r="I695" s="155"/>
      <c r="J695" s="155"/>
      <c r="K695" s="147"/>
    </row>
    <row r="696">
      <c r="A696" s="153">
        <v>693.0</v>
      </c>
      <c r="B696" s="154"/>
      <c r="C696" s="154" t="s">
        <v>208</v>
      </c>
      <c r="D696" s="154" t="s">
        <v>208</v>
      </c>
      <c r="E696" s="154" t="s">
        <v>208</v>
      </c>
      <c r="F696" s="154" t="s">
        <v>208</v>
      </c>
      <c r="G696" s="154" t="s">
        <v>208</v>
      </c>
      <c r="H696" s="155"/>
      <c r="I696" s="155"/>
      <c r="J696" s="155"/>
      <c r="K696" s="147"/>
    </row>
    <row r="697">
      <c r="A697" s="153">
        <v>694.0</v>
      </c>
      <c r="B697" s="154"/>
      <c r="C697" s="154" t="s">
        <v>208</v>
      </c>
      <c r="D697" s="154" t="s">
        <v>208</v>
      </c>
      <c r="E697" s="154"/>
      <c r="F697" s="154" t="s">
        <v>208</v>
      </c>
      <c r="G697" s="154" t="s">
        <v>208</v>
      </c>
      <c r="H697" s="155"/>
      <c r="I697" s="155"/>
      <c r="J697" s="155"/>
      <c r="K697" s="147"/>
    </row>
    <row r="698">
      <c r="A698" s="153">
        <v>695.0</v>
      </c>
      <c r="B698" s="154"/>
      <c r="C698" s="154" t="s">
        <v>208</v>
      </c>
      <c r="D698" s="154" t="s">
        <v>208</v>
      </c>
      <c r="E698" s="154"/>
      <c r="F698" s="154" t="s">
        <v>208</v>
      </c>
      <c r="G698" s="154" t="s">
        <v>208</v>
      </c>
      <c r="H698" s="155"/>
      <c r="I698" s="155"/>
      <c r="J698" s="155"/>
      <c r="K698" s="147"/>
    </row>
    <row r="699">
      <c r="A699" s="153">
        <v>696.0</v>
      </c>
      <c r="B699" s="154"/>
      <c r="C699" s="154"/>
      <c r="D699" s="154"/>
      <c r="E699" s="154"/>
      <c r="F699" s="154"/>
      <c r="G699" s="155"/>
      <c r="H699" s="155"/>
      <c r="I699" s="155"/>
      <c r="J699" s="154" t="s">
        <v>217</v>
      </c>
      <c r="K699" s="147"/>
    </row>
    <row r="700">
      <c r="A700" s="153">
        <v>697.0</v>
      </c>
      <c r="B700" s="154"/>
      <c r="C700" s="154" t="s">
        <v>208</v>
      </c>
      <c r="D700" s="154" t="s">
        <v>208</v>
      </c>
      <c r="E700" s="154" t="s">
        <v>208</v>
      </c>
      <c r="F700" s="154" t="s">
        <v>208</v>
      </c>
      <c r="G700" s="154" t="s">
        <v>208</v>
      </c>
      <c r="H700" s="155"/>
      <c r="I700" s="155"/>
      <c r="J700" s="155"/>
      <c r="K700" s="147"/>
    </row>
    <row r="701">
      <c r="A701" s="153">
        <v>698.0</v>
      </c>
      <c r="B701" s="155"/>
      <c r="C701" s="154" t="s">
        <v>208</v>
      </c>
      <c r="D701" s="154" t="s">
        <v>208</v>
      </c>
      <c r="E701" s="154" t="s">
        <v>208</v>
      </c>
      <c r="F701" s="154" t="s">
        <v>208</v>
      </c>
      <c r="G701" s="154" t="s">
        <v>208</v>
      </c>
      <c r="H701" s="155"/>
      <c r="I701" s="155"/>
      <c r="J701" s="155"/>
      <c r="K701" s="147"/>
    </row>
    <row r="702">
      <c r="A702" s="153">
        <v>699.0</v>
      </c>
      <c r="B702" s="154"/>
      <c r="C702" s="154" t="s">
        <v>208</v>
      </c>
      <c r="D702" s="154" t="s">
        <v>208</v>
      </c>
      <c r="E702" s="154" t="s">
        <v>208</v>
      </c>
      <c r="F702" s="154" t="s">
        <v>208</v>
      </c>
      <c r="G702" s="154" t="s">
        <v>208</v>
      </c>
      <c r="H702" s="153"/>
      <c r="I702" s="155"/>
      <c r="J702" s="155"/>
      <c r="K702" s="147"/>
    </row>
    <row r="703">
      <c r="A703" s="153">
        <v>700.0</v>
      </c>
      <c r="B703" s="154"/>
      <c r="C703" s="154" t="s">
        <v>208</v>
      </c>
      <c r="D703" s="154" t="s">
        <v>208</v>
      </c>
      <c r="E703" s="154" t="s">
        <v>208</v>
      </c>
      <c r="F703" s="154" t="s">
        <v>208</v>
      </c>
      <c r="G703" s="154" t="s">
        <v>208</v>
      </c>
      <c r="H703" s="155"/>
      <c r="I703" s="155"/>
      <c r="J703" s="155"/>
      <c r="K703" s="147"/>
    </row>
    <row r="704">
      <c r="A704" s="153">
        <v>701.0</v>
      </c>
      <c r="B704" s="154"/>
      <c r="C704" s="154" t="s">
        <v>208</v>
      </c>
      <c r="D704" s="154" t="s">
        <v>208</v>
      </c>
      <c r="E704" s="154" t="s">
        <v>208</v>
      </c>
      <c r="F704" s="154" t="s">
        <v>208</v>
      </c>
      <c r="G704" s="154" t="s">
        <v>208</v>
      </c>
      <c r="H704" s="155"/>
      <c r="I704" s="155"/>
      <c r="J704" s="155"/>
      <c r="K704" s="147"/>
    </row>
    <row r="705">
      <c r="A705" s="153">
        <v>702.0</v>
      </c>
      <c r="B705" s="154"/>
      <c r="C705" s="154"/>
      <c r="D705" s="154"/>
      <c r="E705" s="154"/>
      <c r="F705" s="154"/>
      <c r="G705" s="155"/>
      <c r="H705" s="155"/>
      <c r="I705" s="155"/>
      <c r="J705" s="154" t="s">
        <v>217</v>
      </c>
      <c r="K705" s="147"/>
    </row>
    <row r="706">
      <c r="A706" s="153">
        <v>703.0</v>
      </c>
      <c r="B706" s="155"/>
      <c r="C706" s="154"/>
      <c r="D706" s="154"/>
      <c r="E706" s="155"/>
      <c r="F706" s="155"/>
      <c r="G706" s="155"/>
      <c r="H706" s="155"/>
      <c r="I706" s="154"/>
      <c r="J706" s="154" t="s">
        <v>217</v>
      </c>
      <c r="K706" s="147"/>
    </row>
    <row r="707">
      <c r="A707" s="153">
        <v>704.0</v>
      </c>
      <c r="B707" s="154"/>
      <c r="C707" s="154"/>
      <c r="D707" s="154"/>
      <c r="E707" s="154"/>
      <c r="F707" s="154"/>
      <c r="G707" s="155"/>
      <c r="H707" s="153"/>
      <c r="I707" s="155"/>
      <c r="J707" s="154" t="s">
        <v>217</v>
      </c>
      <c r="K707" s="147"/>
    </row>
    <row r="708">
      <c r="A708" s="153">
        <v>705.0</v>
      </c>
      <c r="B708" s="154"/>
      <c r="C708" s="154"/>
      <c r="D708" s="154"/>
      <c r="E708" s="154"/>
      <c r="F708" s="154"/>
      <c r="G708" s="155"/>
      <c r="H708" s="153"/>
      <c r="I708" s="155"/>
      <c r="J708" s="154" t="s">
        <v>217</v>
      </c>
      <c r="K708" s="147"/>
    </row>
    <row r="709">
      <c r="A709" s="153">
        <v>706.0</v>
      </c>
      <c r="B709" s="154"/>
      <c r="C709" s="154"/>
      <c r="D709" s="154"/>
      <c r="E709" s="154"/>
      <c r="F709" s="154"/>
      <c r="G709" s="155"/>
      <c r="H709" s="153"/>
      <c r="I709" s="155"/>
      <c r="J709" s="154" t="s">
        <v>217</v>
      </c>
      <c r="K709" s="147"/>
    </row>
    <row r="710">
      <c r="A710" s="153">
        <v>707.0</v>
      </c>
      <c r="B710" s="154"/>
      <c r="C710" s="154"/>
      <c r="D710" s="154"/>
      <c r="E710" s="154"/>
      <c r="F710" s="154"/>
      <c r="G710" s="155"/>
      <c r="H710" s="153"/>
      <c r="I710" s="155"/>
      <c r="J710" s="154" t="s">
        <v>217</v>
      </c>
      <c r="K710" s="147"/>
    </row>
    <row r="711">
      <c r="A711" s="153">
        <v>708.0</v>
      </c>
      <c r="B711" s="154"/>
      <c r="C711" s="154"/>
      <c r="D711" s="154"/>
      <c r="E711" s="154"/>
      <c r="F711" s="154"/>
      <c r="G711" s="155"/>
      <c r="H711" s="155"/>
      <c r="I711" s="155"/>
      <c r="J711" s="154" t="s">
        <v>217</v>
      </c>
      <c r="K711" s="147"/>
    </row>
    <row r="712">
      <c r="A712" s="153">
        <v>709.0</v>
      </c>
      <c r="B712" s="154"/>
      <c r="C712" s="154"/>
      <c r="D712" s="154"/>
      <c r="E712" s="154"/>
      <c r="F712" s="154"/>
      <c r="G712" s="155"/>
      <c r="H712" s="155"/>
      <c r="I712" s="155"/>
      <c r="J712" s="154" t="s">
        <v>217</v>
      </c>
      <c r="K712" s="147"/>
    </row>
    <row r="713">
      <c r="A713" s="153">
        <v>710.0</v>
      </c>
      <c r="B713" s="154"/>
      <c r="C713" s="154" t="s">
        <v>208</v>
      </c>
      <c r="D713" s="154" t="s">
        <v>208</v>
      </c>
      <c r="E713" s="154"/>
      <c r="F713" s="154" t="s">
        <v>208</v>
      </c>
      <c r="G713" s="154" t="s">
        <v>208</v>
      </c>
      <c r="H713" s="155"/>
      <c r="I713" s="155"/>
      <c r="J713" s="155"/>
      <c r="K713" s="147"/>
    </row>
    <row r="714">
      <c r="A714" s="153">
        <v>711.0</v>
      </c>
      <c r="B714" s="154"/>
      <c r="C714" s="154" t="s">
        <v>208</v>
      </c>
      <c r="D714" s="154" t="s">
        <v>208</v>
      </c>
      <c r="E714" s="154" t="s">
        <v>208</v>
      </c>
      <c r="F714" s="154" t="s">
        <v>208</v>
      </c>
      <c r="G714" s="154" t="s">
        <v>208</v>
      </c>
      <c r="H714" s="155"/>
      <c r="I714" s="155"/>
      <c r="J714" s="155"/>
      <c r="K714" s="147"/>
    </row>
    <row r="715">
      <c r="A715" s="153">
        <v>712.0</v>
      </c>
      <c r="B715" s="154"/>
      <c r="C715" s="154" t="s">
        <v>208</v>
      </c>
      <c r="D715" s="154" t="s">
        <v>208</v>
      </c>
      <c r="E715" s="154"/>
      <c r="F715" s="154" t="s">
        <v>208</v>
      </c>
      <c r="G715" s="154" t="s">
        <v>208</v>
      </c>
      <c r="H715" s="153"/>
      <c r="I715" s="155"/>
      <c r="J715" s="155"/>
      <c r="K715" s="147"/>
    </row>
    <row r="716">
      <c r="A716" s="153">
        <v>713.0</v>
      </c>
      <c r="B716" s="154"/>
      <c r="C716" s="154" t="s">
        <v>208</v>
      </c>
      <c r="D716" s="154" t="s">
        <v>208</v>
      </c>
      <c r="E716" s="154"/>
      <c r="F716" s="154" t="s">
        <v>208</v>
      </c>
      <c r="G716" s="154" t="s">
        <v>208</v>
      </c>
      <c r="H716" s="153"/>
      <c r="I716" s="155"/>
      <c r="J716" s="155"/>
      <c r="K716" s="147"/>
    </row>
    <row r="717">
      <c r="A717" s="153">
        <v>714.0</v>
      </c>
      <c r="B717" s="154"/>
      <c r="C717" s="154"/>
      <c r="D717" s="154"/>
      <c r="E717" s="154"/>
      <c r="F717" s="154"/>
      <c r="G717" s="155"/>
      <c r="H717" s="153"/>
      <c r="I717" s="155"/>
      <c r="J717" s="154" t="s">
        <v>217</v>
      </c>
      <c r="K717" s="147"/>
    </row>
    <row r="718">
      <c r="A718" s="153">
        <v>715.0</v>
      </c>
      <c r="B718" s="154"/>
      <c r="C718" s="154" t="s">
        <v>208</v>
      </c>
      <c r="D718" s="154" t="s">
        <v>208</v>
      </c>
      <c r="E718" s="154"/>
      <c r="F718" s="154" t="s">
        <v>208</v>
      </c>
      <c r="G718" s="154" t="s">
        <v>208</v>
      </c>
      <c r="H718" s="153"/>
      <c r="I718" s="155"/>
      <c r="J718" s="155"/>
      <c r="K718" s="147"/>
    </row>
    <row r="719">
      <c r="A719" s="153">
        <v>716.0</v>
      </c>
      <c r="B719" s="154"/>
      <c r="C719" s="154" t="s">
        <v>208</v>
      </c>
      <c r="D719" s="154" t="s">
        <v>208</v>
      </c>
      <c r="E719" s="154"/>
      <c r="F719" s="154" t="s">
        <v>208</v>
      </c>
      <c r="G719" s="154" t="s">
        <v>208</v>
      </c>
      <c r="H719" s="153"/>
      <c r="I719" s="155"/>
      <c r="J719" s="155"/>
      <c r="K719" s="147"/>
    </row>
    <row r="720">
      <c r="A720" s="153">
        <v>717.0</v>
      </c>
      <c r="B720" s="154"/>
      <c r="C720" s="154" t="s">
        <v>208</v>
      </c>
      <c r="D720" s="154" t="s">
        <v>208</v>
      </c>
      <c r="E720" s="154" t="s">
        <v>208</v>
      </c>
      <c r="F720" s="154" t="s">
        <v>208</v>
      </c>
      <c r="G720" s="154" t="s">
        <v>208</v>
      </c>
      <c r="H720" s="153"/>
      <c r="I720" s="155"/>
      <c r="J720" s="155"/>
      <c r="K720" s="147"/>
    </row>
    <row r="721">
      <c r="A721" s="153">
        <v>718.0</v>
      </c>
      <c r="B721" s="154"/>
      <c r="C721" s="154" t="s">
        <v>208</v>
      </c>
      <c r="D721" s="154" t="s">
        <v>208</v>
      </c>
      <c r="E721" s="154" t="s">
        <v>208</v>
      </c>
      <c r="F721" s="154" t="s">
        <v>208</v>
      </c>
      <c r="G721" s="154" t="s">
        <v>208</v>
      </c>
      <c r="H721" s="153"/>
      <c r="I721" s="155"/>
      <c r="J721" s="155"/>
      <c r="K721" s="147"/>
    </row>
    <row r="722">
      <c r="A722" s="153">
        <v>719.0</v>
      </c>
      <c r="B722" s="154"/>
      <c r="C722" s="154"/>
      <c r="D722" s="154" t="s">
        <v>208</v>
      </c>
      <c r="E722" s="154" t="s">
        <v>208</v>
      </c>
      <c r="F722" s="154" t="s">
        <v>208</v>
      </c>
      <c r="G722" s="155"/>
      <c r="H722" s="154" t="s">
        <v>208</v>
      </c>
      <c r="I722" s="155"/>
      <c r="J722" s="155"/>
      <c r="K722" s="147"/>
    </row>
    <row r="723">
      <c r="A723" s="153">
        <v>720.0</v>
      </c>
      <c r="B723" s="154"/>
      <c r="C723" s="154"/>
      <c r="D723" s="154"/>
      <c r="E723" s="154"/>
      <c r="F723" s="154"/>
      <c r="G723" s="155"/>
      <c r="H723" s="153"/>
      <c r="I723" s="155"/>
      <c r="J723" s="154" t="s">
        <v>217</v>
      </c>
      <c r="K723" s="147"/>
    </row>
    <row r="724">
      <c r="A724" s="153">
        <v>721.0</v>
      </c>
      <c r="B724" s="154"/>
      <c r="C724" s="154"/>
      <c r="D724" s="154"/>
      <c r="E724" s="154"/>
      <c r="F724" s="154"/>
      <c r="G724" s="155"/>
      <c r="H724" s="153"/>
      <c r="I724" s="155"/>
      <c r="J724" s="154" t="s">
        <v>217</v>
      </c>
      <c r="K724" s="147"/>
    </row>
    <row r="725">
      <c r="A725" s="153">
        <v>722.0</v>
      </c>
      <c r="B725" s="155"/>
      <c r="C725" s="154"/>
      <c r="D725" s="154"/>
      <c r="E725" s="154"/>
      <c r="F725" s="155"/>
      <c r="G725" s="154"/>
      <c r="H725" s="155"/>
      <c r="I725" s="155"/>
      <c r="J725" s="154" t="s">
        <v>217</v>
      </c>
      <c r="K725" s="147"/>
    </row>
    <row r="726">
      <c r="A726" s="153">
        <v>723.0</v>
      </c>
      <c r="B726" s="154"/>
      <c r="C726" s="154" t="s">
        <v>208</v>
      </c>
      <c r="D726" s="154" t="s">
        <v>208</v>
      </c>
      <c r="E726" s="154" t="s">
        <v>208</v>
      </c>
      <c r="F726" s="154" t="s">
        <v>208</v>
      </c>
      <c r="G726" s="154" t="s">
        <v>208</v>
      </c>
      <c r="H726" s="155"/>
      <c r="I726" s="155"/>
      <c r="J726" s="155"/>
      <c r="K726" s="147"/>
    </row>
    <row r="727">
      <c r="A727" s="153">
        <v>724.0</v>
      </c>
      <c r="B727" s="154"/>
      <c r="C727" s="154" t="s">
        <v>208</v>
      </c>
      <c r="D727" s="154" t="s">
        <v>208</v>
      </c>
      <c r="E727" s="154" t="s">
        <v>208</v>
      </c>
      <c r="F727" s="154" t="s">
        <v>208</v>
      </c>
      <c r="G727" s="154" t="s">
        <v>208</v>
      </c>
      <c r="H727" s="155"/>
      <c r="I727" s="155"/>
      <c r="J727" s="155"/>
      <c r="K727" s="147"/>
    </row>
    <row r="728">
      <c r="A728" s="153">
        <v>725.0</v>
      </c>
      <c r="B728" s="154"/>
      <c r="C728" s="154"/>
      <c r="D728" s="154" t="s">
        <v>208</v>
      </c>
      <c r="E728" s="154" t="s">
        <v>208</v>
      </c>
      <c r="F728" s="154" t="s">
        <v>208</v>
      </c>
      <c r="G728" s="155"/>
      <c r="H728" s="154" t="s">
        <v>208</v>
      </c>
      <c r="I728" s="155"/>
      <c r="J728" s="155"/>
      <c r="K728" s="147"/>
    </row>
    <row r="729">
      <c r="A729" s="153">
        <v>726.0</v>
      </c>
      <c r="B729" s="154"/>
      <c r="C729" s="154" t="s">
        <v>208</v>
      </c>
      <c r="D729" s="154" t="s">
        <v>208</v>
      </c>
      <c r="E729" s="154" t="s">
        <v>208</v>
      </c>
      <c r="F729" s="154" t="s">
        <v>208</v>
      </c>
      <c r="G729" s="154" t="s">
        <v>208</v>
      </c>
      <c r="H729" s="155"/>
      <c r="I729" s="155"/>
      <c r="J729" s="155"/>
      <c r="K729" s="147"/>
    </row>
    <row r="730">
      <c r="A730" s="153">
        <v>727.0</v>
      </c>
      <c r="B730" s="154"/>
      <c r="C730" s="154" t="s">
        <v>208</v>
      </c>
      <c r="D730" s="154" t="s">
        <v>208</v>
      </c>
      <c r="E730" s="154" t="s">
        <v>208</v>
      </c>
      <c r="F730" s="154" t="s">
        <v>208</v>
      </c>
      <c r="G730" s="154" t="s">
        <v>208</v>
      </c>
      <c r="H730" s="155"/>
      <c r="I730" s="155"/>
      <c r="J730" s="155"/>
      <c r="K730" s="147"/>
    </row>
    <row r="731">
      <c r="A731" s="153">
        <v>728.0</v>
      </c>
      <c r="B731" s="154"/>
      <c r="C731" s="154" t="s">
        <v>208</v>
      </c>
      <c r="D731" s="154" t="s">
        <v>208</v>
      </c>
      <c r="E731" s="154" t="s">
        <v>208</v>
      </c>
      <c r="F731" s="154" t="s">
        <v>208</v>
      </c>
      <c r="G731" s="154" t="s">
        <v>208</v>
      </c>
      <c r="H731" s="155"/>
      <c r="I731" s="155"/>
      <c r="J731" s="155"/>
      <c r="K731" s="147"/>
    </row>
    <row r="732">
      <c r="A732" s="153">
        <v>729.0</v>
      </c>
      <c r="B732" s="154"/>
      <c r="C732" s="154" t="s">
        <v>208</v>
      </c>
      <c r="D732" s="154" t="s">
        <v>208</v>
      </c>
      <c r="E732" s="154" t="s">
        <v>208</v>
      </c>
      <c r="F732" s="154" t="s">
        <v>208</v>
      </c>
      <c r="G732" s="154" t="s">
        <v>208</v>
      </c>
      <c r="H732" s="155"/>
      <c r="I732" s="155"/>
      <c r="J732" s="155"/>
      <c r="K732" s="147"/>
    </row>
    <row r="733">
      <c r="A733" s="153">
        <v>730.0</v>
      </c>
      <c r="B733" s="154"/>
      <c r="C733" s="154" t="s">
        <v>208</v>
      </c>
      <c r="D733" s="154" t="s">
        <v>208</v>
      </c>
      <c r="E733" s="154" t="s">
        <v>208</v>
      </c>
      <c r="F733" s="154" t="s">
        <v>208</v>
      </c>
      <c r="G733" s="154" t="s">
        <v>208</v>
      </c>
      <c r="H733" s="155"/>
      <c r="I733" s="155"/>
      <c r="J733" s="155"/>
      <c r="K733" s="147"/>
    </row>
    <row r="734">
      <c r="A734" s="153">
        <v>731.0</v>
      </c>
      <c r="B734" s="154"/>
      <c r="C734" s="154" t="s">
        <v>208</v>
      </c>
      <c r="D734" s="154" t="s">
        <v>208</v>
      </c>
      <c r="E734" s="154" t="s">
        <v>208</v>
      </c>
      <c r="F734" s="154" t="s">
        <v>208</v>
      </c>
      <c r="G734" s="154" t="s">
        <v>208</v>
      </c>
      <c r="H734" s="155"/>
      <c r="I734" s="155"/>
      <c r="J734" s="155"/>
      <c r="K734" s="147"/>
    </row>
    <row r="735">
      <c r="A735" s="153">
        <v>732.0</v>
      </c>
      <c r="B735" s="154"/>
      <c r="C735" s="154" t="s">
        <v>208</v>
      </c>
      <c r="D735" s="154" t="s">
        <v>208</v>
      </c>
      <c r="E735" s="154" t="s">
        <v>208</v>
      </c>
      <c r="F735" s="154" t="s">
        <v>208</v>
      </c>
      <c r="G735" s="154" t="s">
        <v>208</v>
      </c>
      <c r="H735" s="155"/>
      <c r="I735" s="155"/>
      <c r="J735" s="155"/>
      <c r="K735" s="147"/>
    </row>
    <row r="736">
      <c r="A736" s="153">
        <v>733.0</v>
      </c>
      <c r="B736" s="154"/>
      <c r="C736" s="154" t="s">
        <v>208</v>
      </c>
      <c r="D736" s="154" t="s">
        <v>208</v>
      </c>
      <c r="E736" s="154" t="s">
        <v>208</v>
      </c>
      <c r="F736" s="154" t="s">
        <v>208</v>
      </c>
      <c r="G736" s="154" t="s">
        <v>208</v>
      </c>
      <c r="H736" s="155"/>
      <c r="I736" s="155"/>
      <c r="J736" s="155"/>
      <c r="K736" s="147"/>
    </row>
    <row r="737">
      <c r="A737" s="153">
        <v>734.0</v>
      </c>
      <c r="B737" s="154"/>
      <c r="C737" s="154"/>
      <c r="D737" s="154"/>
      <c r="E737" s="154"/>
      <c r="F737" s="154"/>
      <c r="G737" s="155"/>
      <c r="H737" s="153"/>
      <c r="I737" s="155"/>
      <c r="J737" s="155"/>
      <c r="K737" s="147"/>
    </row>
    <row r="738">
      <c r="A738" s="153">
        <v>735.0</v>
      </c>
      <c r="B738" s="154"/>
      <c r="C738" s="154"/>
      <c r="D738" s="154"/>
      <c r="E738" s="154"/>
      <c r="F738" s="154"/>
      <c r="G738" s="155"/>
      <c r="H738" s="153"/>
      <c r="I738" s="155"/>
      <c r="J738" s="155"/>
      <c r="K738" s="147"/>
    </row>
    <row r="739">
      <c r="A739" s="153">
        <v>736.0</v>
      </c>
      <c r="B739" s="154"/>
      <c r="C739" s="154"/>
      <c r="D739" s="154"/>
      <c r="E739" s="154"/>
      <c r="F739" s="154"/>
      <c r="G739" s="155"/>
      <c r="H739" s="153"/>
      <c r="I739" s="155"/>
      <c r="J739" s="154" t="s">
        <v>217</v>
      </c>
      <c r="K739" s="147"/>
    </row>
    <row r="740">
      <c r="A740" s="153">
        <v>737.0</v>
      </c>
      <c r="B740" s="154"/>
      <c r="C740" s="154" t="s">
        <v>208</v>
      </c>
      <c r="D740" s="154" t="s">
        <v>208</v>
      </c>
      <c r="E740" s="154" t="s">
        <v>208</v>
      </c>
      <c r="F740" s="154" t="s">
        <v>208</v>
      </c>
      <c r="G740" s="154" t="s">
        <v>208</v>
      </c>
      <c r="H740" s="153"/>
      <c r="I740" s="155"/>
      <c r="J740" s="155"/>
      <c r="K740" s="147"/>
    </row>
    <row r="741">
      <c r="A741" s="153">
        <v>738.0</v>
      </c>
      <c r="B741" s="154"/>
      <c r="C741" s="154" t="s">
        <v>208</v>
      </c>
      <c r="D741" s="154" t="s">
        <v>208</v>
      </c>
      <c r="E741" s="154" t="s">
        <v>208</v>
      </c>
      <c r="F741" s="154" t="s">
        <v>208</v>
      </c>
      <c r="G741" s="154" t="s">
        <v>208</v>
      </c>
      <c r="H741" s="155"/>
      <c r="I741" s="155"/>
      <c r="J741" s="155"/>
      <c r="K741" s="147"/>
    </row>
    <row r="742">
      <c r="A742" s="153">
        <v>739.0</v>
      </c>
      <c r="B742" s="154"/>
      <c r="C742" s="154" t="s">
        <v>208</v>
      </c>
      <c r="D742" s="154" t="s">
        <v>208</v>
      </c>
      <c r="E742" s="154" t="s">
        <v>208</v>
      </c>
      <c r="F742" s="154" t="s">
        <v>208</v>
      </c>
      <c r="G742" s="154" t="s">
        <v>208</v>
      </c>
      <c r="H742" s="155"/>
      <c r="I742" s="155"/>
      <c r="J742" s="155"/>
      <c r="K742" s="147"/>
    </row>
    <row r="743">
      <c r="A743" s="153">
        <v>740.0</v>
      </c>
      <c r="B743" s="154"/>
      <c r="C743" s="154" t="s">
        <v>208</v>
      </c>
      <c r="D743" s="154" t="s">
        <v>208</v>
      </c>
      <c r="E743" s="154" t="s">
        <v>208</v>
      </c>
      <c r="F743" s="154" t="s">
        <v>208</v>
      </c>
      <c r="G743" s="154" t="s">
        <v>208</v>
      </c>
      <c r="H743" s="155"/>
      <c r="I743" s="155"/>
      <c r="J743" s="155"/>
      <c r="K743" s="147"/>
    </row>
    <row r="744">
      <c r="A744" s="153">
        <v>741.0</v>
      </c>
      <c r="B744" s="154"/>
      <c r="C744" s="154" t="s">
        <v>208</v>
      </c>
      <c r="D744" s="154" t="s">
        <v>208</v>
      </c>
      <c r="E744" s="154" t="s">
        <v>208</v>
      </c>
      <c r="F744" s="154" t="s">
        <v>208</v>
      </c>
      <c r="G744" s="154" t="s">
        <v>208</v>
      </c>
      <c r="H744" s="155"/>
      <c r="I744" s="155"/>
      <c r="J744" s="155"/>
      <c r="K744" s="147"/>
    </row>
    <row r="745">
      <c r="A745" s="153">
        <v>742.0</v>
      </c>
      <c r="B745" s="154"/>
      <c r="C745" s="154" t="s">
        <v>208</v>
      </c>
      <c r="D745" s="154" t="s">
        <v>208</v>
      </c>
      <c r="E745" s="154" t="s">
        <v>208</v>
      </c>
      <c r="F745" s="154" t="s">
        <v>208</v>
      </c>
      <c r="G745" s="154" t="s">
        <v>208</v>
      </c>
      <c r="H745" s="155"/>
      <c r="I745" s="155"/>
      <c r="J745" s="155"/>
      <c r="K745" s="147"/>
    </row>
    <row r="746">
      <c r="A746" s="153">
        <v>743.0</v>
      </c>
      <c r="B746" s="154"/>
      <c r="C746" s="154"/>
      <c r="D746" s="154" t="s">
        <v>208</v>
      </c>
      <c r="E746" s="154" t="s">
        <v>208</v>
      </c>
      <c r="F746" s="154" t="s">
        <v>208</v>
      </c>
      <c r="G746" s="155"/>
      <c r="H746" s="154" t="s">
        <v>208</v>
      </c>
      <c r="I746" s="155"/>
      <c r="J746" s="155"/>
      <c r="K746" s="147"/>
    </row>
    <row r="747">
      <c r="A747" s="153">
        <v>744.0</v>
      </c>
      <c r="B747" s="154"/>
      <c r="C747" s="154" t="s">
        <v>208</v>
      </c>
      <c r="D747" s="154" t="s">
        <v>208</v>
      </c>
      <c r="E747" s="154" t="s">
        <v>208</v>
      </c>
      <c r="F747" s="154" t="s">
        <v>208</v>
      </c>
      <c r="G747" s="154" t="s">
        <v>208</v>
      </c>
      <c r="H747" s="155"/>
      <c r="I747" s="155"/>
      <c r="J747" s="155"/>
      <c r="K747" s="147"/>
    </row>
    <row r="748">
      <c r="A748" s="153">
        <v>745.0</v>
      </c>
      <c r="B748" s="154"/>
      <c r="C748" s="154" t="s">
        <v>208</v>
      </c>
      <c r="D748" s="154" t="s">
        <v>208</v>
      </c>
      <c r="E748" s="154" t="s">
        <v>208</v>
      </c>
      <c r="F748" s="154" t="s">
        <v>208</v>
      </c>
      <c r="G748" s="154" t="s">
        <v>208</v>
      </c>
      <c r="H748" s="155"/>
      <c r="I748" s="155"/>
      <c r="J748" s="155"/>
      <c r="K748" s="147"/>
    </row>
    <row r="749">
      <c r="A749" s="153">
        <v>746.0</v>
      </c>
      <c r="B749" s="154"/>
      <c r="C749" s="154" t="s">
        <v>208</v>
      </c>
      <c r="D749" s="154" t="s">
        <v>208</v>
      </c>
      <c r="E749" s="154" t="s">
        <v>208</v>
      </c>
      <c r="F749" s="154" t="s">
        <v>208</v>
      </c>
      <c r="G749" s="154" t="s">
        <v>208</v>
      </c>
      <c r="H749" s="155"/>
      <c r="I749" s="155"/>
      <c r="J749" s="155"/>
      <c r="K749" s="147"/>
    </row>
    <row r="750">
      <c r="A750" s="153">
        <v>747.0</v>
      </c>
      <c r="B750" s="154"/>
      <c r="C750" s="154" t="s">
        <v>208</v>
      </c>
      <c r="D750" s="154" t="s">
        <v>208</v>
      </c>
      <c r="E750" s="154"/>
      <c r="F750" s="154" t="s">
        <v>208</v>
      </c>
      <c r="G750" s="154" t="s">
        <v>208</v>
      </c>
      <c r="H750" s="155"/>
      <c r="I750" s="155"/>
      <c r="J750" s="155"/>
      <c r="K750" s="147"/>
    </row>
    <row r="751">
      <c r="A751" s="153">
        <v>748.0</v>
      </c>
      <c r="B751" s="154"/>
      <c r="C751" s="154" t="s">
        <v>208</v>
      </c>
      <c r="D751" s="154" t="s">
        <v>208</v>
      </c>
      <c r="E751" s="154" t="s">
        <v>208</v>
      </c>
      <c r="F751" s="154" t="s">
        <v>208</v>
      </c>
      <c r="G751" s="154" t="s">
        <v>208</v>
      </c>
      <c r="H751" s="155"/>
      <c r="I751" s="155"/>
      <c r="J751" s="155"/>
      <c r="K751" s="147"/>
    </row>
    <row r="752">
      <c r="A752" s="153">
        <v>749.0</v>
      </c>
      <c r="B752" s="155"/>
      <c r="C752" s="154"/>
      <c r="D752" s="154" t="s">
        <v>208</v>
      </c>
      <c r="E752" s="154" t="s">
        <v>208</v>
      </c>
      <c r="F752" s="154" t="s">
        <v>208</v>
      </c>
      <c r="G752" s="155"/>
      <c r="H752" s="154" t="s">
        <v>208</v>
      </c>
      <c r="I752" s="154"/>
      <c r="J752" s="155"/>
      <c r="K752" s="147"/>
    </row>
    <row r="753">
      <c r="A753" s="153">
        <v>750.0</v>
      </c>
      <c r="B753" s="154"/>
      <c r="C753" s="154" t="s">
        <v>208</v>
      </c>
      <c r="D753" s="154" t="s">
        <v>208</v>
      </c>
      <c r="E753" s="154" t="s">
        <v>208</v>
      </c>
      <c r="F753" s="154" t="s">
        <v>208</v>
      </c>
      <c r="G753" s="154" t="s">
        <v>208</v>
      </c>
      <c r="H753" s="155"/>
      <c r="I753" s="155"/>
      <c r="J753" s="155"/>
      <c r="K753" s="147"/>
    </row>
    <row r="754">
      <c r="A754" s="153">
        <v>751.0</v>
      </c>
      <c r="B754" s="154"/>
      <c r="C754" s="154"/>
      <c r="D754" s="154" t="s">
        <v>208</v>
      </c>
      <c r="E754" s="154"/>
      <c r="F754" s="154"/>
      <c r="G754" s="155"/>
      <c r="H754" s="153"/>
      <c r="I754" s="154" t="s">
        <v>208</v>
      </c>
      <c r="J754" s="155"/>
      <c r="K754" s="147"/>
    </row>
    <row r="755">
      <c r="A755" s="153">
        <v>752.0</v>
      </c>
      <c r="B755" s="154"/>
      <c r="C755" s="154"/>
      <c r="D755" s="154"/>
      <c r="E755" s="154"/>
      <c r="F755" s="154"/>
      <c r="G755" s="155"/>
      <c r="H755" s="153"/>
      <c r="I755" s="155"/>
      <c r="J755" s="154" t="s">
        <v>217</v>
      </c>
      <c r="K755" s="147"/>
    </row>
    <row r="756">
      <c r="A756" s="153">
        <v>753.0</v>
      </c>
      <c r="B756" s="154"/>
      <c r="C756" s="154" t="s">
        <v>208</v>
      </c>
      <c r="D756" s="154" t="s">
        <v>208</v>
      </c>
      <c r="E756" s="154" t="s">
        <v>208</v>
      </c>
      <c r="F756" s="154" t="s">
        <v>208</v>
      </c>
      <c r="G756" s="154" t="s">
        <v>208</v>
      </c>
      <c r="H756" s="155"/>
      <c r="I756" s="155"/>
      <c r="J756" s="155"/>
      <c r="K756" s="147"/>
    </row>
    <row r="757">
      <c r="A757" s="153">
        <v>754.0</v>
      </c>
      <c r="B757" s="155"/>
      <c r="C757" s="154" t="s">
        <v>208</v>
      </c>
      <c r="D757" s="154" t="s">
        <v>208</v>
      </c>
      <c r="E757" s="154" t="s">
        <v>208</v>
      </c>
      <c r="F757" s="154" t="s">
        <v>208</v>
      </c>
      <c r="G757" s="154" t="s">
        <v>208</v>
      </c>
      <c r="H757" s="155"/>
      <c r="I757" s="155"/>
      <c r="J757" s="155"/>
      <c r="K757" s="147"/>
    </row>
    <row r="758">
      <c r="A758" s="153">
        <v>755.0</v>
      </c>
      <c r="B758" s="154"/>
      <c r="C758" s="154" t="s">
        <v>208</v>
      </c>
      <c r="D758" s="154" t="s">
        <v>208</v>
      </c>
      <c r="E758" s="154" t="s">
        <v>208</v>
      </c>
      <c r="F758" s="154" t="s">
        <v>208</v>
      </c>
      <c r="G758" s="154" t="s">
        <v>208</v>
      </c>
      <c r="H758" s="155"/>
      <c r="I758" s="155"/>
      <c r="J758" s="155"/>
      <c r="K758" s="147"/>
    </row>
    <row r="759">
      <c r="A759" s="153">
        <v>756.0</v>
      </c>
      <c r="B759" s="154"/>
      <c r="C759" s="154" t="s">
        <v>208</v>
      </c>
      <c r="D759" s="154" t="s">
        <v>208</v>
      </c>
      <c r="E759" s="154" t="s">
        <v>208</v>
      </c>
      <c r="F759" s="154" t="s">
        <v>208</v>
      </c>
      <c r="G759" s="154" t="s">
        <v>208</v>
      </c>
      <c r="H759" s="155"/>
      <c r="I759" s="155"/>
      <c r="J759" s="155"/>
      <c r="K759" s="147"/>
    </row>
    <row r="760">
      <c r="A760" s="153">
        <v>757.0</v>
      </c>
      <c r="B760" s="154"/>
      <c r="C760" s="154" t="s">
        <v>208</v>
      </c>
      <c r="D760" s="154" t="s">
        <v>208</v>
      </c>
      <c r="E760" s="154" t="s">
        <v>208</v>
      </c>
      <c r="F760" s="154" t="s">
        <v>208</v>
      </c>
      <c r="G760" s="154" t="s">
        <v>208</v>
      </c>
      <c r="H760" s="155"/>
      <c r="I760" s="155"/>
      <c r="J760" s="155"/>
      <c r="K760" s="147"/>
    </row>
    <row r="761">
      <c r="A761" s="153">
        <v>758.0</v>
      </c>
      <c r="B761" s="155"/>
      <c r="C761" s="154" t="s">
        <v>208</v>
      </c>
      <c r="D761" s="154" t="s">
        <v>208</v>
      </c>
      <c r="E761" s="154" t="s">
        <v>208</v>
      </c>
      <c r="F761" s="154" t="s">
        <v>208</v>
      </c>
      <c r="G761" s="154" t="s">
        <v>208</v>
      </c>
      <c r="H761" s="155"/>
      <c r="I761" s="155"/>
      <c r="J761" s="155"/>
      <c r="K761" s="147"/>
    </row>
    <row r="762">
      <c r="A762" s="153">
        <v>759.0</v>
      </c>
      <c r="B762" s="154"/>
      <c r="C762" s="154" t="s">
        <v>208</v>
      </c>
      <c r="D762" s="154" t="s">
        <v>208</v>
      </c>
      <c r="E762" s="154" t="s">
        <v>208</v>
      </c>
      <c r="F762" s="154" t="s">
        <v>208</v>
      </c>
      <c r="G762" s="154" t="s">
        <v>208</v>
      </c>
      <c r="H762" s="155"/>
      <c r="I762" s="155"/>
      <c r="J762" s="155"/>
      <c r="K762" s="147"/>
    </row>
    <row r="763">
      <c r="A763" s="153">
        <v>760.0</v>
      </c>
      <c r="B763" s="154"/>
      <c r="C763" s="154"/>
      <c r="D763" s="154" t="s">
        <v>208</v>
      </c>
      <c r="E763" s="154" t="s">
        <v>208</v>
      </c>
      <c r="F763" s="154" t="s">
        <v>208</v>
      </c>
      <c r="G763" s="155"/>
      <c r="H763" s="154" t="s">
        <v>208</v>
      </c>
      <c r="I763" s="155"/>
      <c r="J763" s="155"/>
      <c r="K763" s="147"/>
    </row>
    <row r="764">
      <c r="A764" s="153">
        <v>761.0</v>
      </c>
      <c r="B764" s="154"/>
      <c r="C764" s="154"/>
      <c r="D764" s="154" t="s">
        <v>208</v>
      </c>
      <c r="E764" s="154" t="s">
        <v>208</v>
      </c>
      <c r="F764" s="154" t="s">
        <v>208</v>
      </c>
      <c r="G764" s="155"/>
      <c r="H764" s="154" t="s">
        <v>208</v>
      </c>
      <c r="I764" s="155"/>
      <c r="J764" s="155"/>
      <c r="K764" s="147"/>
    </row>
    <row r="765">
      <c r="A765" s="153">
        <v>762.0</v>
      </c>
      <c r="B765" s="154"/>
      <c r="C765" s="154" t="s">
        <v>208</v>
      </c>
      <c r="D765" s="154" t="s">
        <v>208</v>
      </c>
      <c r="E765" s="154" t="s">
        <v>208</v>
      </c>
      <c r="F765" s="154" t="s">
        <v>208</v>
      </c>
      <c r="G765" s="154" t="s">
        <v>208</v>
      </c>
      <c r="H765" s="153"/>
      <c r="I765" s="155"/>
      <c r="J765" s="155"/>
      <c r="K765" s="147"/>
    </row>
    <row r="766">
      <c r="A766" s="153">
        <v>763.0</v>
      </c>
      <c r="B766" s="154"/>
      <c r="C766" s="154"/>
      <c r="D766" s="154" t="s">
        <v>208</v>
      </c>
      <c r="E766" s="154" t="s">
        <v>208</v>
      </c>
      <c r="F766" s="154" t="s">
        <v>208</v>
      </c>
      <c r="G766" s="155"/>
      <c r="H766" s="154" t="s">
        <v>208</v>
      </c>
      <c r="I766" s="155"/>
      <c r="J766" s="155"/>
      <c r="K766" s="147"/>
    </row>
    <row r="767">
      <c r="A767" s="153">
        <v>764.0</v>
      </c>
      <c r="B767" s="154"/>
      <c r="C767" s="154"/>
      <c r="D767" s="154" t="s">
        <v>208</v>
      </c>
      <c r="E767" s="154" t="s">
        <v>208</v>
      </c>
      <c r="F767" s="154" t="s">
        <v>208</v>
      </c>
      <c r="G767" s="155"/>
      <c r="H767" s="154" t="s">
        <v>208</v>
      </c>
      <c r="I767" s="155"/>
      <c r="J767" s="155"/>
      <c r="K767" s="147"/>
    </row>
    <row r="768">
      <c r="A768" s="153">
        <v>765.0</v>
      </c>
      <c r="B768" s="154"/>
      <c r="C768" s="154" t="s">
        <v>208</v>
      </c>
      <c r="D768" s="154" t="s">
        <v>208</v>
      </c>
      <c r="E768" s="154" t="s">
        <v>208</v>
      </c>
      <c r="F768" s="154" t="s">
        <v>208</v>
      </c>
      <c r="G768" s="154" t="s">
        <v>208</v>
      </c>
      <c r="H768" s="155"/>
      <c r="I768" s="155"/>
      <c r="J768" s="155"/>
      <c r="K768" s="147"/>
    </row>
    <row r="769">
      <c r="A769" s="153">
        <v>766.0</v>
      </c>
      <c r="B769" s="154"/>
      <c r="C769" s="154" t="s">
        <v>208</v>
      </c>
      <c r="D769" s="154" t="s">
        <v>208</v>
      </c>
      <c r="E769" s="154" t="s">
        <v>208</v>
      </c>
      <c r="F769" s="154" t="s">
        <v>208</v>
      </c>
      <c r="G769" s="154" t="s">
        <v>208</v>
      </c>
      <c r="H769" s="155"/>
      <c r="I769" s="155"/>
      <c r="J769" s="155"/>
      <c r="K769" s="147"/>
    </row>
    <row r="770">
      <c r="A770" s="153">
        <v>767.0</v>
      </c>
      <c r="B770" s="154"/>
      <c r="C770" s="154"/>
      <c r="D770" s="154"/>
      <c r="E770" s="154"/>
      <c r="F770" s="154"/>
      <c r="G770" s="155"/>
      <c r="H770" s="155"/>
      <c r="I770" s="155"/>
      <c r="J770" s="154" t="s">
        <v>217</v>
      </c>
      <c r="K770" s="147"/>
    </row>
    <row r="771">
      <c r="A771" s="153">
        <v>768.0</v>
      </c>
      <c r="B771" s="155"/>
      <c r="C771" s="154" t="s">
        <v>208</v>
      </c>
      <c r="D771" s="154" t="s">
        <v>208</v>
      </c>
      <c r="E771" s="154" t="s">
        <v>208</v>
      </c>
      <c r="F771" s="154" t="s">
        <v>208</v>
      </c>
      <c r="G771" s="154" t="s">
        <v>208</v>
      </c>
      <c r="H771" s="155"/>
      <c r="I771" s="155"/>
      <c r="J771" s="155"/>
      <c r="K771" s="147"/>
    </row>
    <row r="772">
      <c r="A772" s="153">
        <v>769.0</v>
      </c>
      <c r="B772" s="154"/>
      <c r="C772" s="154" t="s">
        <v>208</v>
      </c>
      <c r="D772" s="154" t="s">
        <v>208</v>
      </c>
      <c r="E772" s="154" t="s">
        <v>208</v>
      </c>
      <c r="F772" s="154" t="s">
        <v>208</v>
      </c>
      <c r="G772" s="154" t="s">
        <v>208</v>
      </c>
      <c r="H772" s="155"/>
      <c r="I772" s="155"/>
      <c r="J772" s="155"/>
      <c r="K772" s="147"/>
    </row>
    <row r="773">
      <c r="A773" s="153">
        <v>770.0</v>
      </c>
      <c r="B773" s="154"/>
      <c r="C773" s="154" t="s">
        <v>208</v>
      </c>
      <c r="D773" s="154" t="s">
        <v>208</v>
      </c>
      <c r="E773" s="154" t="s">
        <v>208</v>
      </c>
      <c r="F773" s="154" t="s">
        <v>208</v>
      </c>
      <c r="G773" s="154" t="s">
        <v>208</v>
      </c>
      <c r="H773" s="155"/>
      <c r="I773" s="155"/>
      <c r="J773" s="155"/>
      <c r="K773" s="147"/>
    </row>
    <row r="774">
      <c r="A774" s="153">
        <v>771.0</v>
      </c>
      <c r="B774" s="154"/>
      <c r="C774" s="154" t="s">
        <v>208</v>
      </c>
      <c r="D774" s="154" t="s">
        <v>208</v>
      </c>
      <c r="E774" s="154" t="s">
        <v>208</v>
      </c>
      <c r="F774" s="154" t="s">
        <v>208</v>
      </c>
      <c r="G774" s="154" t="s">
        <v>208</v>
      </c>
      <c r="H774" s="155"/>
      <c r="I774" s="155"/>
      <c r="J774" s="155"/>
      <c r="K774" s="147"/>
    </row>
    <row r="775">
      <c r="A775" s="153">
        <v>772.0</v>
      </c>
      <c r="B775" s="154"/>
      <c r="C775" s="154" t="s">
        <v>208</v>
      </c>
      <c r="D775" s="154" t="s">
        <v>208</v>
      </c>
      <c r="E775" s="154" t="s">
        <v>208</v>
      </c>
      <c r="F775" s="154" t="s">
        <v>208</v>
      </c>
      <c r="G775" s="154" t="s">
        <v>208</v>
      </c>
      <c r="H775" s="155"/>
      <c r="I775" s="155"/>
      <c r="J775" s="155"/>
      <c r="K775" s="147"/>
    </row>
    <row r="776">
      <c r="A776" s="153">
        <v>773.0</v>
      </c>
      <c r="B776" s="154"/>
      <c r="C776" s="154"/>
      <c r="D776" s="154"/>
      <c r="E776" s="154"/>
      <c r="F776" s="154"/>
      <c r="G776" s="155"/>
      <c r="H776" s="155"/>
      <c r="I776" s="155"/>
      <c r="J776" s="154" t="s">
        <v>217</v>
      </c>
      <c r="K776" s="147"/>
    </row>
    <row r="777">
      <c r="A777" s="153">
        <v>774.0</v>
      </c>
      <c r="B777" s="154"/>
      <c r="C777" s="154" t="s">
        <v>208</v>
      </c>
      <c r="D777" s="154" t="s">
        <v>208</v>
      </c>
      <c r="E777" s="154" t="s">
        <v>208</v>
      </c>
      <c r="F777" s="154" t="s">
        <v>208</v>
      </c>
      <c r="G777" s="154" t="s">
        <v>208</v>
      </c>
      <c r="H777" s="155"/>
      <c r="I777" s="155"/>
      <c r="J777" s="155"/>
      <c r="K777" s="147"/>
    </row>
    <row r="778">
      <c r="A778" s="153">
        <v>775.0</v>
      </c>
      <c r="B778" s="154"/>
      <c r="C778" s="154" t="s">
        <v>208</v>
      </c>
      <c r="D778" s="154" t="s">
        <v>208</v>
      </c>
      <c r="E778" s="154" t="s">
        <v>208</v>
      </c>
      <c r="F778" s="154" t="s">
        <v>208</v>
      </c>
      <c r="G778" s="154" t="s">
        <v>208</v>
      </c>
      <c r="H778" s="155"/>
      <c r="I778" s="155"/>
      <c r="J778" s="155"/>
      <c r="K778" s="147"/>
    </row>
    <row r="779">
      <c r="A779" s="153">
        <v>776.0</v>
      </c>
      <c r="B779" s="154"/>
      <c r="C779" s="154" t="s">
        <v>208</v>
      </c>
      <c r="D779" s="154" t="s">
        <v>208</v>
      </c>
      <c r="E779" s="154" t="s">
        <v>208</v>
      </c>
      <c r="F779" s="154" t="s">
        <v>208</v>
      </c>
      <c r="G779" s="154" t="s">
        <v>208</v>
      </c>
      <c r="H779" s="155"/>
      <c r="I779" s="155"/>
      <c r="J779" s="155"/>
      <c r="K779" s="147"/>
    </row>
    <row r="780">
      <c r="A780" s="153">
        <v>777.0</v>
      </c>
      <c r="B780" s="154"/>
      <c r="C780" s="154"/>
      <c r="D780" s="154" t="s">
        <v>208</v>
      </c>
      <c r="E780" s="154" t="s">
        <v>208</v>
      </c>
      <c r="F780" s="154" t="s">
        <v>208</v>
      </c>
      <c r="G780" s="155"/>
      <c r="H780" s="154" t="s">
        <v>208</v>
      </c>
      <c r="I780" s="155"/>
      <c r="J780" s="155"/>
      <c r="K780" s="147"/>
    </row>
    <row r="781">
      <c r="A781" s="153">
        <v>778.0</v>
      </c>
      <c r="B781" s="154"/>
      <c r="C781" s="154" t="s">
        <v>208</v>
      </c>
      <c r="D781" s="154" t="s">
        <v>208</v>
      </c>
      <c r="E781" s="154" t="s">
        <v>208</v>
      </c>
      <c r="F781" s="154" t="s">
        <v>208</v>
      </c>
      <c r="G781" s="154" t="s">
        <v>208</v>
      </c>
      <c r="H781" s="153"/>
      <c r="I781" s="155"/>
      <c r="J781" s="155"/>
      <c r="K781" s="147"/>
    </row>
    <row r="782">
      <c r="A782" s="153">
        <v>779.0</v>
      </c>
      <c r="B782" s="154"/>
      <c r="C782" s="154" t="s">
        <v>208</v>
      </c>
      <c r="D782" s="154" t="s">
        <v>208</v>
      </c>
      <c r="E782" s="154" t="s">
        <v>208</v>
      </c>
      <c r="F782" s="154" t="s">
        <v>208</v>
      </c>
      <c r="G782" s="154" t="s">
        <v>208</v>
      </c>
      <c r="H782" s="153"/>
      <c r="I782" s="155"/>
      <c r="J782" s="155"/>
      <c r="K782" s="147"/>
    </row>
    <row r="783">
      <c r="A783" s="153">
        <v>780.0</v>
      </c>
      <c r="B783" s="154"/>
      <c r="C783" s="154"/>
      <c r="D783" s="154" t="s">
        <v>208</v>
      </c>
      <c r="E783" s="154" t="s">
        <v>208</v>
      </c>
      <c r="F783" s="154" t="s">
        <v>208</v>
      </c>
      <c r="G783" s="155"/>
      <c r="H783" s="154" t="s">
        <v>208</v>
      </c>
      <c r="I783" s="155"/>
      <c r="J783" s="155"/>
      <c r="K783" s="147"/>
    </row>
    <row r="784">
      <c r="A784" s="153">
        <v>781.0</v>
      </c>
      <c r="B784" s="154"/>
      <c r="C784" s="154" t="s">
        <v>208</v>
      </c>
      <c r="D784" s="154" t="s">
        <v>208</v>
      </c>
      <c r="E784" s="154" t="s">
        <v>208</v>
      </c>
      <c r="F784" s="154" t="s">
        <v>208</v>
      </c>
      <c r="G784" s="154" t="s">
        <v>208</v>
      </c>
      <c r="H784" s="153"/>
      <c r="I784" s="155"/>
      <c r="J784" s="155"/>
      <c r="K784" s="147"/>
    </row>
    <row r="785">
      <c r="A785" s="153">
        <v>782.0</v>
      </c>
      <c r="B785" s="154"/>
      <c r="C785" s="154" t="s">
        <v>208</v>
      </c>
      <c r="D785" s="154" t="s">
        <v>208</v>
      </c>
      <c r="E785" s="154" t="s">
        <v>208</v>
      </c>
      <c r="F785" s="154" t="s">
        <v>208</v>
      </c>
      <c r="G785" s="154" t="s">
        <v>208</v>
      </c>
      <c r="H785" s="155"/>
      <c r="I785" s="155"/>
      <c r="J785" s="155"/>
      <c r="K785" s="147"/>
    </row>
    <row r="786">
      <c r="A786" s="153">
        <v>783.0</v>
      </c>
      <c r="B786" s="154"/>
      <c r="C786" s="154" t="s">
        <v>208</v>
      </c>
      <c r="D786" s="154" t="s">
        <v>208</v>
      </c>
      <c r="E786" s="154" t="s">
        <v>208</v>
      </c>
      <c r="F786" s="154" t="s">
        <v>208</v>
      </c>
      <c r="G786" s="154" t="s">
        <v>208</v>
      </c>
      <c r="H786" s="155"/>
      <c r="I786" s="155"/>
      <c r="J786" s="155"/>
      <c r="K786" s="147"/>
    </row>
    <row r="787">
      <c r="A787" s="153">
        <v>784.0</v>
      </c>
      <c r="B787" s="154"/>
      <c r="C787" s="154" t="s">
        <v>208</v>
      </c>
      <c r="D787" s="154" t="s">
        <v>208</v>
      </c>
      <c r="E787" s="154" t="s">
        <v>208</v>
      </c>
      <c r="F787" s="154" t="s">
        <v>208</v>
      </c>
      <c r="G787" s="154" t="s">
        <v>208</v>
      </c>
      <c r="H787" s="155"/>
      <c r="I787" s="155"/>
      <c r="J787" s="155"/>
      <c r="K787" s="147"/>
    </row>
    <row r="788">
      <c r="A788" s="153">
        <v>785.0</v>
      </c>
      <c r="B788" s="154"/>
      <c r="C788" s="154" t="s">
        <v>208</v>
      </c>
      <c r="D788" s="154" t="s">
        <v>208</v>
      </c>
      <c r="E788" s="154" t="s">
        <v>208</v>
      </c>
      <c r="F788" s="154" t="s">
        <v>208</v>
      </c>
      <c r="G788" s="154" t="s">
        <v>208</v>
      </c>
      <c r="H788" s="155"/>
      <c r="I788" s="155"/>
      <c r="J788" s="155"/>
      <c r="K788" s="147"/>
    </row>
    <row r="789">
      <c r="A789" s="153">
        <v>786.0</v>
      </c>
      <c r="B789" s="154"/>
      <c r="C789" s="154"/>
      <c r="D789" s="154"/>
      <c r="E789" s="154"/>
      <c r="F789" s="154"/>
      <c r="G789" s="155"/>
      <c r="H789" s="155"/>
      <c r="I789" s="155"/>
      <c r="J789" s="154" t="s">
        <v>217</v>
      </c>
      <c r="K789" s="147"/>
    </row>
    <row r="790">
      <c r="A790" s="153">
        <v>787.0</v>
      </c>
      <c r="B790" s="155"/>
      <c r="C790" s="154" t="s">
        <v>208</v>
      </c>
      <c r="D790" s="154" t="s">
        <v>208</v>
      </c>
      <c r="E790" s="154" t="s">
        <v>208</v>
      </c>
      <c r="F790" s="154" t="s">
        <v>208</v>
      </c>
      <c r="G790" s="154" t="s">
        <v>208</v>
      </c>
      <c r="H790" s="155"/>
      <c r="I790" s="155"/>
      <c r="J790" s="155"/>
      <c r="K790" s="147"/>
    </row>
    <row r="791">
      <c r="A791" s="153">
        <v>788.0</v>
      </c>
      <c r="B791" s="154"/>
      <c r="C791" s="154" t="s">
        <v>208</v>
      </c>
      <c r="D791" s="154" t="s">
        <v>208</v>
      </c>
      <c r="E791" s="154" t="s">
        <v>208</v>
      </c>
      <c r="F791" s="154" t="s">
        <v>208</v>
      </c>
      <c r="G791" s="154" t="s">
        <v>208</v>
      </c>
      <c r="H791" s="153"/>
      <c r="I791" s="155"/>
      <c r="J791" s="155"/>
      <c r="K791" s="147"/>
    </row>
    <row r="792">
      <c r="A792" s="153">
        <v>789.0</v>
      </c>
      <c r="B792" s="155"/>
      <c r="C792" s="154"/>
      <c r="D792" s="154"/>
      <c r="E792" s="154"/>
      <c r="F792" s="155"/>
      <c r="G792" s="154"/>
      <c r="H792" s="155"/>
      <c r="I792" s="155"/>
      <c r="J792" s="154" t="s">
        <v>217</v>
      </c>
      <c r="K792" s="147"/>
    </row>
    <row r="793">
      <c r="A793" s="153">
        <v>790.0</v>
      </c>
      <c r="B793" s="154"/>
      <c r="C793" s="154" t="s">
        <v>208</v>
      </c>
      <c r="D793" s="154" t="s">
        <v>208</v>
      </c>
      <c r="E793" s="154" t="s">
        <v>208</v>
      </c>
      <c r="F793" s="154" t="s">
        <v>208</v>
      </c>
      <c r="G793" s="154" t="s">
        <v>208</v>
      </c>
      <c r="H793" s="155"/>
      <c r="I793" s="155"/>
      <c r="J793" s="155"/>
      <c r="K793" s="147"/>
    </row>
    <row r="794">
      <c r="A794" s="153">
        <v>791.0</v>
      </c>
      <c r="B794" s="155"/>
      <c r="C794" s="154"/>
      <c r="D794" s="154" t="s">
        <v>208</v>
      </c>
      <c r="E794" s="154" t="s">
        <v>208</v>
      </c>
      <c r="F794" s="154" t="s">
        <v>208</v>
      </c>
      <c r="G794" s="154"/>
      <c r="H794" s="154" t="s">
        <v>208</v>
      </c>
      <c r="I794" s="155"/>
      <c r="J794" s="155"/>
      <c r="K794" s="147"/>
    </row>
    <row r="795">
      <c r="A795" s="153">
        <v>792.0</v>
      </c>
      <c r="B795" s="154"/>
      <c r="C795" s="154" t="s">
        <v>208</v>
      </c>
      <c r="D795" s="154" t="s">
        <v>208</v>
      </c>
      <c r="E795" s="154" t="s">
        <v>208</v>
      </c>
      <c r="F795" s="154" t="s">
        <v>208</v>
      </c>
      <c r="G795" s="154" t="s">
        <v>208</v>
      </c>
      <c r="H795" s="155"/>
      <c r="I795" s="155"/>
      <c r="J795" s="155"/>
      <c r="K795" s="147"/>
    </row>
    <row r="796">
      <c r="A796" s="153">
        <v>793.0</v>
      </c>
      <c r="B796" s="154"/>
      <c r="C796" s="154" t="s">
        <v>208</v>
      </c>
      <c r="D796" s="154" t="s">
        <v>208</v>
      </c>
      <c r="E796" s="154" t="s">
        <v>208</v>
      </c>
      <c r="F796" s="154" t="s">
        <v>208</v>
      </c>
      <c r="G796" s="154" t="s">
        <v>208</v>
      </c>
      <c r="H796" s="155"/>
      <c r="I796" s="155"/>
      <c r="J796" s="155"/>
      <c r="K796" s="147"/>
    </row>
    <row r="797">
      <c r="A797" s="153">
        <v>794.0</v>
      </c>
      <c r="B797" s="154"/>
      <c r="C797" s="154" t="s">
        <v>208</v>
      </c>
      <c r="D797" s="154" t="s">
        <v>208</v>
      </c>
      <c r="E797" s="154" t="s">
        <v>208</v>
      </c>
      <c r="F797" s="154" t="s">
        <v>208</v>
      </c>
      <c r="G797" s="154" t="s">
        <v>208</v>
      </c>
      <c r="H797" s="155"/>
      <c r="I797" s="155"/>
      <c r="J797" s="155"/>
      <c r="K797" s="147"/>
    </row>
    <row r="798">
      <c r="A798" s="153">
        <v>795.0</v>
      </c>
      <c r="B798" s="155"/>
      <c r="C798" s="154" t="s">
        <v>208</v>
      </c>
      <c r="D798" s="154" t="s">
        <v>208</v>
      </c>
      <c r="E798" s="154" t="s">
        <v>208</v>
      </c>
      <c r="F798" s="154" t="s">
        <v>208</v>
      </c>
      <c r="G798" s="154" t="s">
        <v>208</v>
      </c>
      <c r="H798" s="155"/>
      <c r="I798" s="155"/>
      <c r="J798" s="155"/>
      <c r="K798" s="147"/>
    </row>
    <row r="799">
      <c r="A799" s="153">
        <v>796.0</v>
      </c>
      <c r="B799" s="154"/>
      <c r="C799" s="154" t="s">
        <v>208</v>
      </c>
      <c r="D799" s="154" t="s">
        <v>208</v>
      </c>
      <c r="E799" s="154" t="s">
        <v>208</v>
      </c>
      <c r="F799" s="154" t="s">
        <v>208</v>
      </c>
      <c r="G799" s="154" t="s">
        <v>208</v>
      </c>
      <c r="H799" s="155"/>
      <c r="I799" s="155"/>
      <c r="J799" s="155"/>
      <c r="K799" s="147"/>
    </row>
    <row r="800">
      <c r="A800" s="153">
        <v>797.0</v>
      </c>
      <c r="B800" s="154"/>
      <c r="C800" s="154"/>
      <c r="D800" s="154"/>
      <c r="E800" s="154"/>
      <c r="F800" s="154"/>
      <c r="G800" s="155"/>
      <c r="H800" s="153"/>
      <c r="I800" s="155"/>
      <c r="J800" s="154" t="s">
        <v>217</v>
      </c>
      <c r="K800" s="147"/>
    </row>
    <row r="801">
      <c r="A801" s="153">
        <v>798.0</v>
      </c>
      <c r="B801" s="154"/>
      <c r="C801" s="154" t="s">
        <v>208</v>
      </c>
      <c r="D801" s="154" t="s">
        <v>208</v>
      </c>
      <c r="E801" s="154" t="s">
        <v>208</v>
      </c>
      <c r="F801" s="154" t="s">
        <v>208</v>
      </c>
      <c r="G801" s="154" t="s">
        <v>208</v>
      </c>
      <c r="H801" s="153"/>
      <c r="I801" s="155"/>
      <c r="J801" s="155"/>
      <c r="K801" s="147"/>
    </row>
    <row r="802">
      <c r="A802" s="153">
        <v>799.0</v>
      </c>
      <c r="B802" s="154"/>
      <c r="C802" s="154" t="s">
        <v>208</v>
      </c>
      <c r="D802" s="154" t="s">
        <v>208</v>
      </c>
      <c r="E802" s="154" t="s">
        <v>208</v>
      </c>
      <c r="F802" s="154" t="s">
        <v>208</v>
      </c>
      <c r="G802" s="154" t="s">
        <v>208</v>
      </c>
      <c r="H802" s="155"/>
      <c r="I802" s="155"/>
      <c r="J802" s="155"/>
      <c r="K802" s="147"/>
    </row>
    <row r="803">
      <c r="A803" s="153">
        <v>800.0</v>
      </c>
      <c r="B803" s="154"/>
      <c r="C803" s="154" t="s">
        <v>208</v>
      </c>
      <c r="D803" s="154" t="s">
        <v>208</v>
      </c>
      <c r="E803" s="154" t="s">
        <v>208</v>
      </c>
      <c r="F803" s="154" t="s">
        <v>208</v>
      </c>
      <c r="G803" s="154" t="s">
        <v>208</v>
      </c>
      <c r="H803" s="155"/>
      <c r="I803" s="155"/>
      <c r="J803" s="155"/>
      <c r="K803" s="147"/>
    </row>
    <row r="804">
      <c r="A804" s="153">
        <v>801.0</v>
      </c>
      <c r="B804" s="154"/>
      <c r="C804" s="154" t="s">
        <v>208</v>
      </c>
      <c r="D804" s="154" t="s">
        <v>208</v>
      </c>
      <c r="E804" s="154" t="s">
        <v>208</v>
      </c>
      <c r="F804" s="154" t="s">
        <v>208</v>
      </c>
      <c r="G804" s="154" t="s">
        <v>208</v>
      </c>
      <c r="H804" s="155"/>
      <c r="I804" s="155"/>
      <c r="J804" s="155"/>
      <c r="K804" s="147"/>
    </row>
    <row r="805">
      <c r="A805" s="153">
        <v>802.0</v>
      </c>
      <c r="B805" s="154"/>
      <c r="C805" s="154" t="s">
        <v>208</v>
      </c>
      <c r="D805" s="154" t="s">
        <v>208</v>
      </c>
      <c r="E805" s="154" t="s">
        <v>208</v>
      </c>
      <c r="F805" s="154" t="s">
        <v>208</v>
      </c>
      <c r="G805" s="154" t="s">
        <v>208</v>
      </c>
      <c r="H805" s="155"/>
      <c r="I805" s="155"/>
      <c r="J805" s="155"/>
      <c r="K805" s="147"/>
    </row>
    <row r="806">
      <c r="A806" s="153">
        <v>803.0</v>
      </c>
      <c r="B806" s="154"/>
      <c r="C806" s="154" t="s">
        <v>208</v>
      </c>
      <c r="D806" s="154" t="s">
        <v>208</v>
      </c>
      <c r="E806" s="154" t="s">
        <v>208</v>
      </c>
      <c r="F806" s="154" t="s">
        <v>208</v>
      </c>
      <c r="G806" s="154" t="s">
        <v>208</v>
      </c>
      <c r="H806" s="155"/>
      <c r="I806" s="155"/>
      <c r="J806" s="155"/>
      <c r="K806" s="147"/>
    </row>
    <row r="807">
      <c r="A807" s="153">
        <v>804.0</v>
      </c>
      <c r="B807" s="154"/>
      <c r="C807" s="154" t="s">
        <v>208</v>
      </c>
      <c r="D807" s="154" t="s">
        <v>208</v>
      </c>
      <c r="E807" s="154" t="s">
        <v>208</v>
      </c>
      <c r="F807" s="154" t="s">
        <v>208</v>
      </c>
      <c r="G807" s="154" t="s">
        <v>208</v>
      </c>
      <c r="H807" s="155"/>
      <c r="I807" s="155"/>
      <c r="J807" s="155"/>
      <c r="K807" s="147"/>
    </row>
    <row r="808">
      <c r="A808" s="153">
        <v>805.0</v>
      </c>
      <c r="B808" s="154"/>
      <c r="C808" s="154" t="s">
        <v>208</v>
      </c>
      <c r="D808" s="154" t="s">
        <v>208</v>
      </c>
      <c r="E808" s="154" t="s">
        <v>208</v>
      </c>
      <c r="F808" s="154" t="s">
        <v>208</v>
      </c>
      <c r="G808" s="154" t="s">
        <v>208</v>
      </c>
      <c r="H808" s="155"/>
      <c r="I808" s="155"/>
      <c r="J808" s="155"/>
      <c r="K808" s="147"/>
    </row>
    <row r="809">
      <c r="A809" s="153">
        <v>806.0</v>
      </c>
      <c r="B809" s="155"/>
      <c r="C809" s="154" t="s">
        <v>208</v>
      </c>
      <c r="D809" s="154" t="s">
        <v>208</v>
      </c>
      <c r="E809" s="154" t="s">
        <v>208</v>
      </c>
      <c r="F809" s="154" t="s">
        <v>208</v>
      </c>
      <c r="G809" s="154" t="s">
        <v>208</v>
      </c>
      <c r="H809" s="155"/>
      <c r="I809" s="155"/>
      <c r="J809" s="155"/>
      <c r="K809" s="147"/>
    </row>
    <row r="810">
      <c r="A810" s="153">
        <v>807.0</v>
      </c>
      <c r="B810" s="155"/>
      <c r="C810" s="154" t="s">
        <v>208</v>
      </c>
      <c r="D810" s="154" t="s">
        <v>208</v>
      </c>
      <c r="E810" s="154" t="s">
        <v>208</v>
      </c>
      <c r="F810" s="154" t="s">
        <v>208</v>
      </c>
      <c r="G810" s="154" t="s">
        <v>208</v>
      </c>
      <c r="H810" s="155"/>
      <c r="I810" s="155"/>
      <c r="J810" s="155"/>
      <c r="K810" s="147"/>
    </row>
    <row r="811">
      <c r="A811" s="153">
        <v>808.0</v>
      </c>
      <c r="B811" s="154"/>
      <c r="C811" s="154" t="s">
        <v>208</v>
      </c>
      <c r="D811" s="154" t="s">
        <v>208</v>
      </c>
      <c r="E811" s="154" t="s">
        <v>208</v>
      </c>
      <c r="F811" s="154" t="s">
        <v>208</v>
      </c>
      <c r="G811" s="154" t="s">
        <v>208</v>
      </c>
      <c r="H811" s="155"/>
      <c r="I811" s="155"/>
      <c r="J811" s="155"/>
      <c r="K811" s="147"/>
    </row>
    <row r="812">
      <c r="A812" s="153">
        <v>809.0</v>
      </c>
      <c r="B812" s="154"/>
      <c r="C812" s="154" t="s">
        <v>208</v>
      </c>
      <c r="D812" s="154" t="s">
        <v>208</v>
      </c>
      <c r="E812" s="154" t="s">
        <v>208</v>
      </c>
      <c r="F812" s="154" t="s">
        <v>208</v>
      </c>
      <c r="G812" s="154" t="s">
        <v>208</v>
      </c>
      <c r="H812" s="155"/>
      <c r="I812" s="155"/>
      <c r="J812" s="155"/>
      <c r="K812" s="147"/>
    </row>
    <row r="813">
      <c r="A813" s="153">
        <v>810.0</v>
      </c>
      <c r="B813" s="154"/>
      <c r="C813" s="154" t="s">
        <v>208</v>
      </c>
      <c r="D813" s="154" t="s">
        <v>208</v>
      </c>
      <c r="E813" s="154" t="s">
        <v>208</v>
      </c>
      <c r="F813" s="154" t="s">
        <v>208</v>
      </c>
      <c r="G813" s="154" t="s">
        <v>208</v>
      </c>
      <c r="H813" s="155"/>
      <c r="I813" s="155"/>
      <c r="J813" s="155"/>
      <c r="K813" s="147"/>
    </row>
    <row r="814">
      <c r="A814" s="153">
        <v>811.0</v>
      </c>
      <c r="B814" s="154"/>
      <c r="C814" s="154" t="s">
        <v>208</v>
      </c>
      <c r="D814" s="154" t="s">
        <v>208</v>
      </c>
      <c r="E814" s="154" t="s">
        <v>208</v>
      </c>
      <c r="F814" s="154" t="s">
        <v>208</v>
      </c>
      <c r="G814" s="154" t="s">
        <v>208</v>
      </c>
      <c r="H814" s="155"/>
      <c r="I814" s="155"/>
      <c r="J814" s="155"/>
      <c r="K814" s="147"/>
    </row>
    <row r="815">
      <c r="A815" s="153">
        <v>812.0</v>
      </c>
      <c r="B815" s="154"/>
      <c r="C815" s="154" t="s">
        <v>208</v>
      </c>
      <c r="D815" s="154" t="s">
        <v>208</v>
      </c>
      <c r="E815" s="154" t="s">
        <v>208</v>
      </c>
      <c r="F815" s="154" t="s">
        <v>208</v>
      </c>
      <c r="G815" s="154" t="s">
        <v>208</v>
      </c>
      <c r="H815" s="153"/>
      <c r="I815" s="155"/>
      <c r="J815" s="155"/>
      <c r="K815" s="147"/>
    </row>
    <row r="816">
      <c r="A816" s="153">
        <v>813.0</v>
      </c>
      <c r="B816" s="155"/>
      <c r="C816" s="154" t="s">
        <v>208</v>
      </c>
      <c r="D816" s="154" t="s">
        <v>208</v>
      </c>
      <c r="E816" s="154" t="s">
        <v>208</v>
      </c>
      <c r="F816" s="154" t="s">
        <v>208</v>
      </c>
      <c r="G816" s="154" t="s">
        <v>208</v>
      </c>
      <c r="H816" s="155"/>
      <c r="I816" s="155"/>
      <c r="J816" s="155"/>
      <c r="K816" s="147"/>
    </row>
    <row r="817">
      <c r="A817" s="153">
        <v>814.0</v>
      </c>
      <c r="B817" s="154"/>
      <c r="C817" s="154" t="s">
        <v>208</v>
      </c>
      <c r="D817" s="154" t="s">
        <v>208</v>
      </c>
      <c r="E817" s="154" t="s">
        <v>208</v>
      </c>
      <c r="F817" s="154" t="s">
        <v>208</v>
      </c>
      <c r="G817" s="154" t="s">
        <v>208</v>
      </c>
      <c r="H817" s="155"/>
      <c r="I817" s="155"/>
      <c r="J817" s="155"/>
      <c r="K817" s="147"/>
    </row>
    <row r="818">
      <c r="A818" s="153">
        <v>815.0</v>
      </c>
      <c r="B818" s="154"/>
      <c r="C818" s="154" t="s">
        <v>208</v>
      </c>
      <c r="D818" s="154" t="s">
        <v>208</v>
      </c>
      <c r="E818" s="154" t="s">
        <v>208</v>
      </c>
      <c r="F818" s="154" t="s">
        <v>208</v>
      </c>
      <c r="G818" s="154" t="s">
        <v>208</v>
      </c>
      <c r="H818" s="155"/>
      <c r="I818" s="155"/>
      <c r="J818" s="155"/>
      <c r="K818" s="147"/>
    </row>
    <row r="819">
      <c r="A819" s="153">
        <v>816.0</v>
      </c>
      <c r="B819" s="154"/>
      <c r="C819" s="154" t="s">
        <v>208</v>
      </c>
      <c r="D819" s="154" t="s">
        <v>208</v>
      </c>
      <c r="E819" s="154" t="s">
        <v>208</v>
      </c>
      <c r="F819" s="154" t="s">
        <v>208</v>
      </c>
      <c r="G819" s="154" t="s">
        <v>208</v>
      </c>
      <c r="H819" s="155"/>
      <c r="I819" s="155"/>
      <c r="J819" s="155"/>
      <c r="K819" s="147"/>
    </row>
    <row r="820">
      <c r="A820" s="153">
        <v>817.0</v>
      </c>
      <c r="B820" s="154"/>
      <c r="C820" s="154" t="s">
        <v>208</v>
      </c>
      <c r="D820" s="154" t="s">
        <v>208</v>
      </c>
      <c r="E820" s="154" t="s">
        <v>208</v>
      </c>
      <c r="F820" s="154" t="s">
        <v>208</v>
      </c>
      <c r="G820" s="154" t="s">
        <v>208</v>
      </c>
      <c r="H820" s="155"/>
      <c r="I820" s="155"/>
      <c r="J820" s="155"/>
      <c r="K820" s="147"/>
    </row>
    <row r="821">
      <c r="A821" s="153">
        <v>818.0</v>
      </c>
      <c r="B821" s="154"/>
      <c r="C821" s="154" t="s">
        <v>208</v>
      </c>
      <c r="D821" s="154" t="s">
        <v>208</v>
      </c>
      <c r="E821" s="154" t="s">
        <v>208</v>
      </c>
      <c r="F821" s="154" t="s">
        <v>208</v>
      </c>
      <c r="G821" s="154" t="s">
        <v>208</v>
      </c>
      <c r="H821" s="155"/>
      <c r="I821" s="155"/>
      <c r="J821" s="155"/>
      <c r="K821" s="147"/>
    </row>
    <row r="822">
      <c r="A822" s="153">
        <v>819.0</v>
      </c>
      <c r="B822" s="154"/>
      <c r="C822" s="154" t="s">
        <v>208</v>
      </c>
      <c r="D822" s="154" t="s">
        <v>208</v>
      </c>
      <c r="E822" s="154" t="s">
        <v>208</v>
      </c>
      <c r="F822" s="154" t="s">
        <v>208</v>
      </c>
      <c r="G822" s="154" t="s">
        <v>208</v>
      </c>
      <c r="H822" s="155"/>
      <c r="I822" s="155"/>
      <c r="J822" s="155"/>
      <c r="K822" s="147"/>
    </row>
    <row r="823">
      <c r="A823" s="153">
        <v>820.0</v>
      </c>
      <c r="B823" s="154"/>
      <c r="C823" s="154" t="s">
        <v>208</v>
      </c>
      <c r="D823" s="154" t="s">
        <v>208</v>
      </c>
      <c r="E823" s="154" t="s">
        <v>208</v>
      </c>
      <c r="F823" s="154" t="s">
        <v>208</v>
      </c>
      <c r="G823" s="154" t="s">
        <v>208</v>
      </c>
      <c r="H823" s="155"/>
      <c r="I823" s="155"/>
      <c r="J823" s="155"/>
      <c r="K823" s="147"/>
    </row>
    <row r="824">
      <c r="A824" s="153">
        <v>821.0</v>
      </c>
      <c r="B824" s="154"/>
      <c r="C824" s="154" t="s">
        <v>208</v>
      </c>
      <c r="D824" s="154" t="s">
        <v>208</v>
      </c>
      <c r="E824" s="154" t="s">
        <v>208</v>
      </c>
      <c r="F824" s="154" t="s">
        <v>208</v>
      </c>
      <c r="G824" s="154" t="s">
        <v>208</v>
      </c>
      <c r="H824" s="155"/>
      <c r="I824" s="155"/>
      <c r="J824" s="155"/>
      <c r="K824" s="147"/>
    </row>
    <row r="825">
      <c r="A825" s="153">
        <v>822.0</v>
      </c>
      <c r="B825" s="154"/>
      <c r="C825" s="154" t="s">
        <v>208</v>
      </c>
      <c r="D825" s="154" t="s">
        <v>208</v>
      </c>
      <c r="E825" s="154" t="s">
        <v>208</v>
      </c>
      <c r="F825" s="154" t="s">
        <v>208</v>
      </c>
      <c r="G825" s="154" t="s">
        <v>208</v>
      </c>
      <c r="H825" s="155"/>
      <c r="I825" s="155"/>
      <c r="J825" s="155"/>
      <c r="K825" s="147"/>
    </row>
    <row r="826">
      <c r="A826" s="153">
        <v>823.0</v>
      </c>
      <c r="B826" s="154"/>
      <c r="C826" s="154"/>
      <c r="D826" s="154" t="s">
        <v>208</v>
      </c>
      <c r="E826" s="154" t="s">
        <v>208</v>
      </c>
      <c r="F826" s="154" t="s">
        <v>208</v>
      </c>
      <c r="G826" s="155"/>
      <c r="H826" s="154" t="s">
        <v>208</v>
      </c>
      <c r="I826" s="155"/>
      <c r="J826" s="155"/>
      <c r="K826" s="147"/>
    </row>
    <row r="827">
      <c r="A827" s="153">
        <v>824.0</v>
      </c>
      <c r="B827" s="154"/>
      <c r="C827" s="154" t="s">
        <v>208</v>
      </c>
      <c r="D827" s="154" t="s">
        <v>208</v>
      </c>
      <c r="E827" s="154" t="s">
        <v>208</v>
      </c>
      <c r="F827" s="154" t="s">
        <v>208</v>
      </c>
      <c r="G827" s="154" t="s">
        <v>208</v>
      </c>
      <c r="H827" s="155"/>
      <c r="I827" s="155"/>
      <c r="J827" s="155"/>
      <c r="K827" s="147"/>
    </row>
    <row r="828">
      <c r="A828" s="153">
        <v>825.0</v>
      </c>
      <c r="B828" s="154"/>
      <c r="C828" s="154" t="s">
        <v>208</v>
      </c>
      <c r="D828" s="154" t="s">
        <v>208</v>
      </c>
      <c r="E828" s="154" t="s">
        <v>208</v>
      </c>
      <c r="F828" s="154" t="s">
        <v>208</v>
      </c>
      <c r="G828" s="154" t="s">
        <v>208</v>
      </c>
      <c r="H828" s="155"/>
      <c r="I828" s="155"/>
      <c r="J828" s="155"/>
      <c r="K828" s="147"/>
    </row>
    <row r="829">
      <c r="A829" s="153">
        <v>826.0</v>
      </c>
      <c r="B829" s="154"/>
      <c r="C829" s="154" t="s">
        <v>208</v>
      </c>
      <c r="D829" s="154" t="s">
        <v>208</v>
      </c>
      <c r="E829" s="154" t="s">
        <v>208</v>
      </c>
      <c r="F829" s="154" t="s">
        <v>208</v>
      </c>
      <c r="G829" s="154" t="s">
        <v>208</v>
      </c>
      <c r="H829" s="155"/>
      <c r="I829" s="155"/>
      <c r="J829" s="155"/>
      <c r="K829" s="147"/>
    </row>
    <row r="830">
      <c r="A830" s="153">
        <v>827.0</v>
      </c>
      <c r="B830" s="154"/>
      <c r="C830" s="154" t="s">
        <v>208</v>
      </c>
      <c r="D830" s="154" t="s">
        <v>208</v>
      </c>
      <c r="E830" s="154" t="s">
        <v>208</v>
      </c>
      <c r="F830" s="154" t="s">
        <v>208</v>
      </c>
      <c r="G830" s="154" t="s">
        <v>208</v>
      </c>
      <c r="H830" s="155"/>
      <c r="I830" s="155"/>
      <c r="J830" s="155"/>
      <c r="K830" s="147"/>
    </row>
    <row r="831">
      <c r="A831" s="153">
        <v>828.0</v>
      </c>
      <c r="B831" s="154"/>
      <c r="C831" s="154" t="s">
        <v>208</v>
      </c>
      <c r="D831" s="154" t="s">
        <v>208</v>
      </c>
      <c r="E831" s="154" t="s">
        <v>208</v>
      </c>
      <c r="F831" s="154" t="s">
        <v>208</v>
      </c>
      <c r="G831" s="154" t="s">
        <v>208</v>
      </c>
      <c r="H831" s="155"/>
      <c r="I831" s="155"/>
      <c r="J831" s="155"/>
      <c r="K831" s="147"/>
    </row>
    <row r="832">
      <c r="A832" s="153">
        <v>829.0</v>
      </c>
      <c r="B832" s="154"/>
      <c r="C832" s="154" t="s">
        <v>208</v>
      </c>
      <c r="D832" s="154" t="s">
        <v>208</v>
      </c>
      <c r="E832" s="154" t="s">
        <v>208</v>
      </c>
      <c r="F832" s="154" t="s">
        <v>208</v>
      </c>
      <c r="G832" s="154" t="s">
        <v>208</v>
      </c>
      <c r="H832" s="155"/>
      <c r="I832" s="155"/>
      <c r="J832" s="155"/>
      <c r="K832" s="147"/>
    </row>
    <row r="833">
      <c r="A833" s="153">
        <v>830.0</v>
      </c>
      <c r="B833" s="154"/>
      <c r="C833" s="154" t="s">
        <v>208</v>
      </c>
      <c r="D833" s="154" t="s">
        <v>208</v>
      </c>
      <c r="E833" s="154" t="s">
        <v>208</v>
      </c>
      <c r="F833" s="154" t="s">
        <v>208</v>
      </c>
      <c r="G833" s="154" t="s">
        <v>208</v>
      </c>
      <c r="H833" s="155"/>
      <c r="I833" s="155"/>
      <c r="J833" s="155"/>
      <c r="K833" s="147"/>
    </row>
    <row r="834">
      <c r="A834" s="153">
        <v>831.0</v>
      </c>
      <c r="B834" s="154"/>
      <c r="C834" s="154" t="s">
        <v>208</v>
      </c>
      <c r="D834" s="154" t="s">
        <v>208</v>
      </c>
      <c r="E834" s="154" t="s">
        <v>208</v>
      </c>
      <c r="F834" s="154" t="s">
        <v>208</v>
      </c>
      <c r="G834" s="154" t="s">
        <v>208</v>
      </c>
      <c r="H834" s="155"/>
      <c r="I834" s="155"/>
      <c r="J834" s="155"/>
      <c r="K834" s="147"/>
    </row>
    <row r="835">
      <c r="A835" s="153">
        <v>832.0</v>
      </c>
      <c r="B835" s="154"/>
      <c r="C835" s="154" t="s">
        <v>208</v>
      </c>
      <c r="D835" s="154" t="s">
        <v>208</v>
      </c>
      <c r="E835" s="154" t="s">
        <v>208</v>
      </c>
      <c r="F835" s="154" t="s">
        <v>208</v>
      </c>
      <c r="G835" s="154" t="s">
        <v>208</v>
      </c>
      <c r="H835" s="155"/>
      <c r="I835" s="155"/>
      <c r="J835" s="155"/>
      <c r="K835" s="147"/>
    </row>
    <row r="836">
      <c r="A836" s="153">
        <v>833.0</v>
      </c>
      <c r="B836" s="155"/>
      <c r="C836" s="154"/>
      <c r="D836" s="154" t="s">
        <v>208</v>
      </c>
      <c r="E836" s="154" t="s">
        <v>208</v>
      </c>
      <c r="F836" s="154" t="s">
        <v>208</v>
      </c>
      <c r="G836" s="154"/>
      <c r="H836" s="154" t="s">
        <v>208</v>
      </c>
      <c r="I836" s="155"/>
      <c r="J836" s="155"/>
      <c r="K836" s="147"/>
    </row>
    <row r="837">
      <c r="A837" s="153">
        <v>834.0</v>
      </c>
      <c r="B837" s="154"/>
      <c r="C837" s="154" t="s">
        <v>208</v>
      </c>
      <c r="D837" s="154" t="s">
        <v>208</v>
      </c>
      <c r="E837" s="154" t="s">
        <v>208</v>
      </c>
      <c r="F837" s="154" t="s">
        <v>208</v>
      </c>
      <c r="G837" s="154" t="s">
        <v>208</v>
      </c>
      <c r="H837" s="155"/>
      <c r="I837" s="155"/>
      <c r="J837" s="155"/>
      <c r="K837" s="147"/>
    </row>
    <row r="838">
      <c r="A838" s="153">
        <v>835.0</v>
      </c>
      <c r="B838" s="154"/>
      <c r="C838" s="154" t="s">
        <v>208</v>
      </c>
      <c r="D838" s="154" t="s">
        <v>208</v>
      </c>
      <c r="E838" s="154" t="s">
        <v>208</v>
      </c>
      <c r="F838" s="154" t="s">
        <v>208</v>
      </c>
      <c r="G838" s="154" t="s">
        <v>208</v>
      </c>
      <c r="H838" s="155"/>
      <c r="I838" s="155"/>
      <c r="J838" s="155"/>
      <c r="K838" s="147"/>
    </row>
    <row r="839">
      <c r="A839" s="153">
        <v>836.0</v>
      </c>
      <c r="B839" s="154"/>
      <c r="C839" s="154" t="s">
        <v>208</v>
      </c>
      <c r="D839" s="154" t="s">
        <v>208</v>
      </c>
      <c r="E839" s="154" t="s">
        <v>208</v>
      </c>
      <c r="F839" s="154" t="s">
        <v>208</v>
      </c>
      <c r="G839" s="154" t="s">
        <v>208</v>
      </c>
      <c r="H839" s="155"/>
      <c r="I839" s="155"/>
      <c r="J839" s="155"/>
      <c r="K839" s="147"/>
    </row>
    <row r="840">
      <c r="A840" s="153">
        <v>837.0</v>
      </c>
      <c r="B840" s="154"/>
      <c r="C840" s="154" t="s">
        <v>208</v>
      </c>
      <c r="D840" s="154" t="s">
        <v>208</v>
      </c>
      <c r="E840" s="154" t="s">
        <v>208</v>
      </c>
      <c r="F840" s="154" t="s">
        <v>208</v>
      </c>
      <c r="G840" s="154" t="s">
        <v>208</v>
      </c>
      <c r="H840" s="155"/>
      <c r="I840" s="155"/>
      <c r="J840" s="155"/>
      <c r="K840" s="147"/>
    </row>
    <row r="841">
      <c r="A841" s="153">
        <v>838.0</v>
      </c>
      <c r="B841" s="155"/>
      <c r="C841" s="154"/>
      <c r="D841" s="154" t="s">
        <v>208</v>
      </c>
      <c r="E841" s="154" t="s">
        <v>208</v>
      </c>
      <c r="F841" s="154" t="s">
        <v>208</v>
      </c>
      <c r="G841" s="154"/>
      <c r="H841" s="154" t="s">
        <v>208</v>
      </c>
      <c r="I841" s="155"/>
      <c r="J841" s="155"/>
      <c r="K841" s="147"/>
    </row>
    <row r="842">
      <c r="A842" s="153">
        <v>839.0</v>
      </c>
      <c r="B842" s="154"/>
      <c r="C842" s="154" t="s">
        <v>208</v>
      </c>
      <c r="D842" s="154" t="s">
        <v>208</v>
      </c>
      <c r="E842" s="154" t="s">
        <v>208</v>
      </c>
      <c r="F842" s="154" t="s">
        <v>208</v>
      </c>
      <c r="G842" s="154" t="s">
        <v>208</v>
      </c>
      <c r="H842" s="155"/>
      <c r="I842" s="155"/>
      <c r="J842" s="155"/>
      <c r="K842" s="147"/>
    </row>
    <row r="843">
      <c r="A843" s="153">
        <v>840.0</v>
      </c>
      <c r="B843" s="155"/>
      <c r="C843" s="154" t="s">
        <v>208</v>
      </c>
      <c r="D843" s="154" t="s">
        <v>208</v>
      </c>
      <c r="E843" s="154" t="s">
        <v>208</v>
      </c>
      <c r="F843" s="154" t="s">
        <v>208</v>
      </c>
      <c r="G843" s="154" t="s">
        <v>208</v>
      </c>
      <c r="H843" s="155"/>
      <c r="I843" s="155"/>
      <c r="J843" s="155"/>
      <c r="K843" s="147"/>
    </row>
    <row r="844">
      <c r="A844" s="153">
        <v>841.0</v>
      </c>
      <c r="B844" s="154"/>
      <c r="C844" s="154" t="s">
        <v>208</v>
      </c>
      <c r="D844" s="154" t="s">
        <v>208</v>
      </c>
      <c r="E844" s="154" t="s">
        <v>208</v>
      </c>
      <c r="F844" s="154" t="s">
        <v>208</v>
      </c>
      <c r="G844" s="154" t="s">
        <v>208</v>
      </c>
      <c r="H844" s="155"/>
      <c r="I844" s="155"/>
      <c r="J844" s="155"/>
      <c r="K844" s="147"/>
    </row>
    <row r="845">
      <c r="A845" s="153">
        <v>842.0</v>
      </c>
      <c r="B845" s="154"/>
      <c r="C845" s="154" t="s">
        <v>208</v>
      </c>
      <c r="D845" s="154" t="s">
        <v>208</v>
      </c>
      <c r="E845" s="154" t="s">
        <v>208</v>
      </c>
      <c r="F845" s="154" t="s">
        <v>208</v>
      </c>
      <c r="G845" s="154" t="s">
        <v>208</v>
      </c>
      <c r="H845" s="155"/>
      <c r="I845" s="155"/>
      <c r="J845" s="155"/>
      <c r="K845" s="147"/>
    </row>
    <row r="846">
      <c r="A846" s="153">
        <v>843.0</v>
      </c>
      <c r="B846" s="154"/>
      <c r="C846" s="154" t="s">
        <v>208</v>
      </c>
      <c r="D846" s="154" t="s">
        <v>208</v>
      </c>
      <c r="E846" s="154" t="s">
        <v>208</v>
      </c>
      <c r="F846" s="154" t="s">
        <v>208</v>
      </c>
      <c r="G846" s="154" t="s">
        <v>208</v>
      </c>
      <c r="H846" s="153"/>
      <c r="I846" s="155"/>
      <c r="J846" s="155"/>
      <c r="K846" s="147"/>
    </row>
    <row r="847">
      <c r="A847" s="153">
        <v>844.0</v>
      </c>
      <c r="B847" s="154"/>
      <c r="C847" s="154" t="s">
        <v>208</v>
      </c>
      <c r="D847" s="154" t="s">
        <v>208</v>
      </c>
      <c r="E847" s="154" t="s">
        <v>208</v>
      </c>
      <c r="F847" s="154" t="s">
        <v>208</v>
      </c>
      <c r="G847" s="154" t="s">
        <v>208</v>
      </c>
      <c r="H847" s="155"/>
      <c r="I847" s="155"/>
      <c r="J847" s="155"/>
      <c r="K847" s="147"/>
    </row>
    <row r="848">
      <c r="A848" s="153">
        <v>845.0</v>
      </c>
      <c r="B848" s="154"/>
      <c r="C848" s="154" t="s">
        <v>208</v>
      </c>
      <c r="D848" s="154" t="s">
        <v>208</v>
      </c>
      <c r="E848" s="154" t="s">
        <v>208</v>
      </c>
      <c r="F848" s="154" t="s">
        <v>208</v>
      </c>
      <c r="G848" s="154" t="s">
        <v>208</v>
      </c>
      <c r="H848" s="155"/>
      <c r="I848" s="155"/>
      <c r="J848" s="155"/>
      <c r="K848" s="147"/>
    </row>
    <row r="849">
      <c r="A849" s="153">
        <v>846.0</v>
      </c>
      <c r="B849" s="154"/>
      <c r="C849" s="154"/>
      <c r="D849" s="154" t="s">
        <v>208</v>
      </c>
      <c r="E849" s="154" t="s">
        <v>208</v>
      </c>
      <c r="F849" s="154" t="s">
        <v>208</v>
      </c>
      <c r="G849" s="155"/>
      <c r="H849" s="154" t="s">
        <v>208</v>
      </c>
      <c r="I849" s="155"/>
      <c r="J849" s="155"/>
      <c r="K849" s="147"/>
    </row>
    <row r="850">
      <c r="A850" s="153">
        <v>847.0</v>
      </c>
      <c r="B850" s="154"/>
      <c r="C850" s="154" t="s">
        <v>208</v>
      </c>
      <c r="D850" s="154" t="s">
        <v>208</v>
      </c>
      <c r="E850" s="154" t="s">
        <v>208</v>
      </c>
      <c r="F850" s="154" t="s">
        <v>208</v>
      </c>
      <c r="G850" s="154" t="s">
        <v>208</v>
      </c>
      <c r="H850" s="155"/>
      <c r="I850" s="155"/>
      <c r="J850" s="155"/>
      <c r="K850" s="147"/>
    </row>
    <row r="851">
      <c r="A851" s="153">
        <v>848.0</v>
      </c>
      <c r="B851" s="154"/>
      <c r="C851" s="154" t="s">
        <v>208</v>
      </c>
      <c r="D851" s="154" t="s">
        <v>208</v>
      </c>
      <c r="E851" s="154" t="s">
        <v>208</v>
      </c>
      <c r="F851" s="154" t="s">
        <v>208</v>
      </c>
      <c r="G851" s="154" t="s">
        <v>208</v>
      </c>
      <c r="H851" s="155"/>
      <c r="I851" s="155"/>
      <c r="J851" s="155"/>
      <c r="K851" s="147"/>
    </row>
    <row r="852">
      <c r="A852" s="153">
        <v>849.0</v>
      </c>
      <c r="B852" s="154"/>
      <c r="C852" s="154" t="s">
        <v>208</v>
      </c>
      <c r="D852" s="154" t="s">
        <v>208</v>
      </c>
      <c r="E852" s="154" t="s">
        <v>208</v>
      </c>
      <c r="F852" s="154" t="s">
        <v>208</v>
      </c>
      <c r="G852" s="154" t="s">
        <v>208</v>
      </c>
      <c r="H852" s="155"/>
      <c r="I852" s="155"/>
      <c r="J852" s="155"/>
      <c r="K852" s="147"/>
    </row>
    <row r="853">
      <c r="A853" s="153">
        <v>850.0</v>
      </c>
      <c r="B853" s="154"/>
      <c r="C853" s="154" t="s">
        <v>208</v>
      </c>
      <c r="D853" s="154" t="s">
        <v>218</v>
      </c>
      <c r="E853" s="154" t="s">
        <v>208</v>
      </c>
      <c r="F853" s="154" t="s">
        <v>208</v>
      </c>
      <c r="G853" s="154" t="s">
        <v>208</v>
      </c>
      <c r="H853" s="155"/>
      <c r="I853" s="155"/>
      <c r="J853" s="155"/>
      <c r="K853" s="147"/>
    </row>
    <row r="854">
      <c r="A854" s="153">
        <v>851.0</v>
      </c>
      <c r="B854" s="155"/>
      <c r="C854" s="154" t="s">
        <v>208</v>
      </c>
      <c r="D854" s="154" t="s">
        <v>208</v>
      </c>
      <c r="E854" s="154" t="s">
        <v>208</v>
      </c>
      <c r="F854" s="154" t="s">
        <v>208</v>
      </c>
      <c r="G854" s="154" t="s">
        <v>208</v>
      </c>
      <c r="H854" s="155"/>
      <c r="I854" s="155"/>
      <c r="J854" s="155"/>
      <c r="K854" s="147"/>
    </row>
    <row r="855">
      <c r="A855" s="153">
        <v>852.0</v>
      </c>
      <c r="B855" s="154"/>
      <c r="C855" s="154" t="s">
        <v>208</v>
      </c>
      <c r="D855" s="154" t="s">
        <v>218</v>
      </c>
      <c r="E855" s="154" t="s">
        <v>208</v>
      </c>
      <c r="F855" s="154" t="s">
        <v>218</v>
      </c>
      <c r="G855" s="154" t="s">
        <v>208</v>
      </c>
      <c r="H855" s="155"/>
      <c r="I855" s="155"/>
      <c r="J855" s="155"/>
      <c r="K855" s="147"/>
    </row>
    <row r="856">
      <c r="A856" s="153">
        <v>853.0</v>
      </c>
      <c r="B856" s="154"/>
      <c r="C856" s="154" t="s">
        <v>208</v>
      </c>
      <c r="D856" s="154" t="s">
        <v>208</v>
      </c>
      <c r="E856" s="154" t="s">
        <v>208</v>
      </c>
      <c r="F856" s="154" t="s">
        <v>208</v>
      </c>
      <c r="G856" s="154" t="s">
        <v>208</v>
      </c>
      <c r="H856" s="155"/>
      <c r="I856" s="155"/>
      <c r="J856" s="155"/>
      <c r="K856" s="147"/>
    </row>
    <row r="857">
      <c r="A857" s="153">
        <v>854.0</v>
      </c>
      <c r="B857" s="154"/>
      <c r="C857" s="154" t="s">
        <v>208</v>
      </c>
      <c r="D857" s="154" t="s">
        <v>208</v>
      </c>
      <c r="E857" s="154" t="s">
        <v>208</v>
      </c>
      <c r="F857" s="154" t="s">
        <v>208</v>
      </c>
      <c r="G857" s="154" t="s">
        <v>208</v>
      </c>
      <c r="H857" s="155"/>
      <c r="I857" s="155"/>
      <c r="J857" s="155"/>
      <c r="K857" s="147"/>
    </row>
    <row r="858">
      <c r="A858" s="153">
        <v>855.0</v>
      </c>
      <c r="B858" s="154"/>
      <c r="C858" s="154" t="s">
        <v>208</v>
      </c>
      <c r="D858" s="154" t="s">
        <v>208</v>
      </c>
      <c r="E858" s="154" t="s">
        <v>208</v>
      </c>
      <c r="F858" s="154" t="s">
        <v>208</v>
      </c>
      <c r="G858" s="154" t="s">
        <v>208</v>
      </c>
      <c r="H858" s="155"/>
      <c r="I858" s="155"/>
      <c r="J858" s="155"/>
      <c r="K858" s="147"/>
    </row>
    <row r="859">
      <c r="A859" s="153">
        <v>856.0</v>
      </c>
      <c r="B859" s="154"/>
      <c r="C859" s="154"/>
      <c r="D859" s="154" t="s">
        <v>208</v>
      </c>
      <c r="E859" s="154" t="s">
        <v>208</v>
      </c>
      <c r="F859" s="154" t="s">
        <v>208</v>
      </c>
      <c r="G859" s="155"/>
      <c r="H859" s="154" t="s">
        <v>208</v>
      </c>
      <c r="I859" s="155"/>
      <c r="J859" s="155"/>
      <c r="K859" s="147"/>
    </row>
    <row r="860">
      <c r="A860" s="153">
        <v>857.0</v>
      </c>
      <c r="B860" s="154"/>
      <c r="C860" s="154" t="s">
        <v>208</v>
      </c>
      <c r="D860" s="154" t="s">
        <v>208</v>
      </c>
      <c r="E860" s="154" t="s">
        <v>208</v>
      </c>
      <c r="F860" s="154" t="s">
        <v>208</v>
      </c>
      <c r="G860" s="154" t="s">
        <v>208</v>
      </c>
      <c r="H860" s="155"/>
      <c r="I860" s="155"/>
      <c r="J860" s="155"/>
      <c r="K860" s="147"/>
    </row>
    <row r="861">
      <c r="A861" s="153">
        <v>858.0</v>
      </c>
      <c r="B861" s="154"/>
      <c r="C861" s="154" t="s">
        <v>208</v>
      </c>
      <c r="D861" s="154" t="s">
        <v>208</v>
      </c>
      <c r="E861" s="154" t="s">
        <v>208</v>
      </c>
      <c r="F861" s="154" t="s">
        <v>208</v>
      </c>
      <c r="G861" s="154" t="s">
        <v>208</v>
      </c>
      <c r="H861" s="155"/>
      <c r="I861" s="155"/>
      <c r="J861" s="155"/>
      <c r="K861" s="147"/>
    </row>
    <row r="862">
      <c r="A862" s="153">
        <v>859.0</v>
      </c>
      <c r="B862" s="154"/>
      <c r="C862" s="154"/>
      <c r="D862" s="154"/>
      <c r="E862" s="154"/>
      <c r="F862" s="154"/>
      <c r="G862" s="155"/>
      <c r="H862" s="155"/>
      <c r="I862" s="155"/>
      <c r="J862" s="154" t="s">
        <v>217</v>
      </c>
      <c r="K862" s="147"/>
    </row>
    <row r="863">
      <c r="A863" s="153">
        <v>860.0</v>
      </c>
      <c r="B863" s="154"/>
      <c r="C863" s="154" t="s">
        <v>208</v>
      </c>
      <c r="D863" s="154" t="s">
        <v>208</v>
      </c>
      <c r="E863" s="154" t="s">
        <v>208</v>
      </c>
      <c r="F863" s="154" t="s">
        <v>208</v>
      </c>
      <c r="G863" s="154" t="s">
        <v>208</v>
      </c>
      <c r="H863" s="153"/>
      <c r="I863" s="155"/>
      <c r="J863" s="155"/>
      <c r="K863" s="147"/>
    </row>
    <row r="864">
      <c r="A864" s="153">
        <v>861.0</v>
      </c>
      <c r="B864" s="154"/>
      <c r="C864" s="154"/>
      <c r="D864" s="154" t="s">
        <v>208</v>
      </c>
      <c r="E864" s="154" t="s">
        <v>208</v>
      </c>
      <c r="F864" s="154" t="s">
        <v>208</v>
      </c>
      <c r="G864" s="155"/>
      <c r="H864" s="154" t="s">
        <v>208</v>
      </c>
      <c r="I864" s="155"/>
      <c r="J864" s="155"/>
      <c r="K864" s="147"/>
    </row>
    <row r="865">
      <c r="A865" s="153">
        <v>862.0</v>
      </c>
      <c r="B865" s="154"/>
      <c r="C865" s="154" t="s">
        <v>208</v>
      </c>
      <c r="D865" s="154" t="s">
        <v>208</v>
      </c>
      <c r="E865" s="154" t="s">
        <v>208</v>
      </c>
      <c r="F865" s="154" t="s">
        <v>208</v>
      </c>
      <c r="G865" s="154" t="s">
        <v>208</v>
      </c>
      <c r="H865" s="155"/>
      <c r="I865" s="155"/>
      <c r="J865" s="155"/>
      <c r="K865" s="147"/>
    </row>
    <row r="866">
      <c r="A866" s="153">
        <v>863.0</v>
      </c>
      <c r="B866" s="154"/>
      <c r="C866" s="154" t="s">
        <v>208</v>
      </c>
      <c r="D866" s="154" t="s">
        <v>208</v>
      </c>
      <c r="E866" s="154" t="s">
        <v>208</v>
      </c>
      <c r="F866" s="154" t="s">
        <v>208</v>
      </c>
      <c r="G866" s="154" t="s">
        <v>208</v>
      </c>
      <c r="H866" s="155"/>
      <c r="I866" s="155"/>
      <c r="J866" s="155"/>
      <c r="K866" s="147"/>
    </row>
    <row r="867">
      <c r="A867" s="153">
        <v>864.0</v>
      </c>
      <c r="B867" s="154"/>
      <c r="C867" s="154" t="s">
        <v>208</v>
      </c>
      <c r="D867" s="154" t="s">
        <v>208</v>
      </c>
      <c r="E867" s="154" t="s">
        <v>208</v>
      </c>
      <c r="F867" s="154" t="s">
        <v>208</v>
      </c>
      <c r="G867" s="154" t="s">
        <v>208</v>
      </c>
      <c r="H867" s="155"/>
      <c r="I867" s="155"/>
      <c r="J867" s="155"/>
      <c r="K867" s="147"/>
    </row>
    <row r="868">
      <c r="A868" s="153">
        <v>865.0</v>
      </c>
      <c r="B868" s="154"/>
      <c r="C868" s="154" t="s">
        <v>208</v>
      </c>
      <c r="D868" s="154" t="s">
        <v>208</v>
      </c>
      <c r="E868" s="154" t="s">
        <v>208</v>
      </c>
      <c r="F868" s="154" t="s">
        <v>208</v>
      </c>
      <c r="G868" s="154" t="s">
        <v>208</v>
      </c>
      <c r="H868" s="155"/>
      <c r="I868" s="155"/>
      <c r="J868" s="155"/>
      <c r="K868" s="147"/>
    </row>
    <row r="869">
      <c r="A869" s="153">
        <v>866.0</v>
      </c>
      <c r="B869" s="154"/>
      <c r="C869" s="154" t="s">
        <v>208</v>
      </c>
      <c r="D869" s="154" t="s">
        <v>208</v>
      </c>
      <c r="E869" s="154" t="s">
        <v>208</v>
      </c>
      <c r="F869" s="154" t="s">
        <v>208</v>
      </c>
      <c r="G869" s="154" t="s">
        <v>208</v>
      </c>
      <c r="H869" s="155"/>
      <c r="I869" s="155"/>
      <c r="J869" s="155"/>
      <c r="K869" s="147"/>
    </row>
    <row r="870">
      <c r="A870" s="153">
        <v>867.0</v>
      </c>
      <c r="B870" s="154"/>
      <c r="C870" s="154" t="s">
        <v>208</v>
      </c>
      <c r="D870" s="154" t="s">
        <v>208</v>
      </c>
      <c r="E870" s="154" t="s">
        <v>208</v>
      </c>
      <c r="F870" s="154" t="s">
        <v>208</v>
      </c>
      <c r="G870" s="154" t="s">
        <v>208</v>
      </c>
      <c r="H870" s="155"/>
      <c r="I870" s="155"/>
      <c r="J870" s="155"/>
      <c r="K870" s="147"/>
    </row>
    <row r="871">
      <c r="A871" s="153">
        <v>868.0</v>
      </c>
      <c r="B871" s="154"/>
      <c r="C871" s="154" t="s">
        <v>208</v>
      </c>
      <c r="D871" s="154" t="s">
        <v>208</v>
      </c>
      <c r="E871" s="154" t="s">
        <v>208</v>
      </c>
      <c r="F871" s="154" t="s">
        <v>208</v>
      </c>
      <c r="G871" s="154" t="s">
        <v>208</v>
      </c>
      <c r="H871" s="155"/>
      <c r="I871" s="155"/>
      <c r="J871" s="155"/>
      <c r="K871" s="147"/>
    </row>
    <row r="872">
      <c r="A872" s="153">
        <v>869.0</v>
      </c>
      <c r="B872" s="154"/>
      <c r="C872" s="154" t="s">
        <v>208</v>
      </c>
      <c r="D872" s="154" t="s">
        <v>208</v>
      </c>
      <c r="E872" s="154" t="s">
        <v>208</v>
      </c>
      <c r="F872" s="154" t="s">
        <v>208</v>
      </c>
      <c r="G872" s="154" t="s">
        <v>208</v>
      </c>
      <c r="H872" s="155"/>
      <c r="I872" s="155"/>
      <c r="J872" s="155"/>
      <c r="K872" s="147"/>
    </row>
    <row r="873">
      <c r="A873" s="153">
        <v>870.0</v>
      </c>
      <c r="B873" s="154"/>
      <c r="C873" s="154" t="s">
        <v>208</v>
      </c>
      <c r="D873" s="154" t="s">
        <v>208</v>
      </c>
      <c r="E873" s="154" t="s">
        <v>208</v>
      </c>
      <c r="F873" s="154" t="s">
        <v>208</v>
      </c>
      <c r="G873" s="154" t="s">
        <v>208</v>
      </c>
      <c r="H873" s="155"/>
      <c r="I873" s="155"/>
      <c r="J873" s="155"/>
      <c r="K873" s="147"/>
    </row>
    <row r="874">
      <c r="A874" s="153">
        <v>871.0</v>
      </c>
      <c r="B874" s="154"/>
      <c r="C874" s="154" t="s">
        <v>208</v>
      </c>
      <c r="D874" s="154" t="s">
        <v>208</v>
      </c>
      <c r="E874" s="154" t="s">
        <v>208</v>
      </c>
      <c r="F874" s="154" t="s">
        <v>208</v>
      </c>
      <c r="G874" s="154" t="s">
        <v>208</v>
      </c>
      <c r="H874" s="155"/>
      <c r="I874" s="155"/>
      <c r="J874" s="155"/>
      <c r="K874" s="147"/>
    </row>
    <row r="875">
      <c r="A875" s="153">
        <v>872.0</v>
      </c>
      <c r="B875" s="154"/>
      <c r="C875" s="154" t="s">
        <v>208</v>
      </c>
      <c r="D875" s="154" t="s">
        <v>208</v>
      </c>
      <c r="E875" s="154" t="s">
        <v>208</v>
      </c>
      <c r="F875" s="154" t="s">
        <v>208</v>
      </c>
      <c r="G875" s="154" t="s">
        <v>208</v>
      </c>
      <c r="H875" s="155"/>
      <c r="I875" s="155"/>
      <c r="J875" s="155"/>
      <c r="K875" s="147"/>
    </row>
    <row r="876">
      <c r="A876" s="153">
        <v>873.0</v>
      </c>
      <c r="B876" s="154"/>
      <c r="C876" s="154" t="s">
        <v>208</v>
      </c>
      <c r="D876" s="154" t="s">
        <v>208</v>
      </c>
      <c r="E876" s="154" t="s">
        <v>208</v>
      </c>
      <c r="F876" s="154" t="s">
        <v>208</v>
      </c>
      <c r="G876" s="154" t="s">
        <v>208</v>
      </c>
      <c r="H876" s="155"/>
      <c r="I876" s="155"/>
      <c r="J876" s="155"/>
      <c r="K876" s="147"/>
    </row>
    <row r="877">
      <c r="A877" s="153">
        <v>874.0</v>
      </c>
      <c r="B877" s="155"/>
      <c r="C877" s="154"/>
      <c r="D877" s="154" t="s">
        <v>208</v>
      </c>
      <c r="E877" s="154" t="s">
        <v>208</v>
      </c>
      <c r="F877" s="154" t="s">
        <v>208</v>
      </c>
      <c r="G877" s="154"/>
      <c r="H877" s="154" t="s">
        <v>208</v>
      </c>
      <c r="I877" s="155"/>
      <c r="J877" s="155"/>
      <c r="K877" s="147"/>
    </row>
    <row r="878">
      <c r="A878" s="153">
        <v>875.0</v>
      </c>
      <c r="B878" s="154"/>
      <c r="C878" s="154" t="s">
        <v>208</v>
      </c>
      <c r="D878" s="154" t="s">
        <v>208</v>
      </c>
      <c r="E878" s="154" t="s">
        <v>208</v>
      </c>
      <c r="F878" s="154" t="s">
        <v>208</v>
      </c>
      <c r="G878" s="154" t="s">
        <v>208</v>
      </c>
      <c r="H878" s="153"/>
      <c r="I878" s="155"/>
      <c r="J878" s="155"/>
      <c r="K878" s="147"/>
    </row>
    <row r="879">
      <c r="A879" s="153">
        <v>876.0</v>
      </c>
      <c r="B879" s="155"/>
      <c r="C879" s="154"/>
      <c r="D879" s="154" t="s">
        <v>208</v>
      </c>
      <c r="E879" s="154" t="s">
        <v>208</v>
      </c>
      <c r="F879" s="154" t="s">
        <v>208</v>
      </c>
      <c r="G879" s="154"/>
      <c r="H879" s="154" t="s">
        <v>208</v>
      </c>
      <c r="I879" s="155"/>
      <c r="J879" s="155"/>
      <c r="K879" s="147"/>
    </row>
    <row r="880">
      <c r="A880" s="153">
        <v>877.0</v>
      </c>
      <c r="B880" s="154"/>
      <c r="C880" s="154" t="s">
        <v>208</v>
      </c>
      <c r="D880" s="154" t="s">
        <v>208</v>
      </c>
      <c r="E880" s="154" t="s">
        <v>208</v>
      </c>
      <c r="F880" s="154" t="s">
        <v>208</v>
      </c>
      <c r="G880" s="154" t="s">
        <v>208</v>
      </c>
      <c r="H880" s="155"/>
      <c r="I880" s="155"/>
      <c r="J880" s="155"/>
      <c r="K880" s="147"/>
    </row>
    <row r="881">
      <c r="A881" s="153">
        <v>878.0</v>
      </c>
      <c r="B881" s="154"/>
      <c r="C881" s="154"/>
      <c r="D881" s="154" t="s">
        <v>208</v>
      </c>
      <c r="E881" s="154" t="s">
        <v>208</v>
      </c>
      <c r="F881" s="154" t="s">
        <v>208</v>
      </c>
      <c r="G881" s="155"/>
      <c r="H881" s="154" t="s">
        <v>208</v>
      </c>
      <c r="I881" s="155"/>
      <c r="J881" s="155"/>
      <c r="K881" s="147"/>
    </row>
    <row r="882">
      <c r="A882" s="153">
        <v>879.0</v>
      </c>
      <c r="B882" s="154"/>
      <c r="C882" s="154" t="s">
        <v>208</v>
      </c>
      <c r="D882" s="154" t="s">
        <v>208</v>
      </c>
      <c r="E882" s="154" t="s">
        <v>208</v>
      </c>
      <c r="F882" s="154" t="s">
        <v>208</v>
      </c>
      <c r="G882" s="154" t="s">
        <v>208</v>
      </c>
      <c r="H882" s="155"/>
      <c r="I882" s="155"/>
      <c r="J882" s="155"/>
      <c r="K882" s="147"/>
    </row>
    <row r="883">
      <c r="A883" s="153">
        <v>880.0</v>
      </c>
      <c r="B883" s="154"/>
      <c r="C883" s="154" t="s">
        <v>208</v>
      </c>
      <c r="D883" s="154" t="s">
        <v>208</v>
      </c>
      <c r="E883" s="154" t="s">
        <v>208</v>
      </c>
      <c r="F883" s="154" t="s">
        <v>208</v>
      </c>
      <c r="G883" s="154" t="s">
        <v>208</v>
      </c>
      <c r="H883" s="155"/>
      <c r="I883" s="155"/>
      <c r="J883" s="155"/>
      <c r="K883" s="147"/>
    </row>
    <row r="884">
      <c r="A884" s="153">
        <v>881.0</v>
      </c>
      <c r="B884" s="154"/>
      <c r="C884" s="154" t="s">
        <v>208</v>
      </c>
      <c r="D884" s="154" t="s">
        <v>208</v>
      </c>
      <c r="E884" s="154" t="s">
        <v>208</v>
      </c>
      <c r="F884" s="154" t="s">
        <v>208</v>
      </c>
      <c r="G884" s="154" t="s">
        <v>208</v>
      </c>
      <c r="H884" s="155"/>
      <c r="I884" s="155"/>
      <c r="J884" s="155"/>
      <c r="K884" s="147"/>
    </row>
    <row r="885">
      <c r="A885" s="153">
        <v>882.0</v>
      </c>
      <c r="B885" s="154"/>
      <c r="C885" s="154" t="s">
        <v>208</v>
      </c>
      <c r="D885" s="154" t="s">
        <v>208</v>
      </c>
      <c r="E885" s="154" t="s">
        <v>208</v>
      </c>
      <c r="F885" s="154" t="s">
        <v>208</v>
      </c>
      <c r="G885" s="154" t="s">
        <v>208</v>
      </c>
      <c r="H885" s="155"/>
      <c r="I885" s="155"/>
      <c r="J885" s="155"/>
      <c r="K885" s="147"/>
    </row>
    <row r="886">
      <c r="A886" s="153">
        <v>883.0</v>
      </c>
      <c r="B886" s="154"/>
      <c r="C886" s="154" t="s">
        <v>208</v>
      </c>
      <c r="D886" s="154" t="s">
        <v>208</v>
      </c>
      <c r="E886" s="154" t="s">
        <v>208</v>
      </c>
      <c r="F886" s="154" t="s">
        <v>208</v>
      </c>
      <c r="G886" s="154" t="s">
        <v>208</v>
      </c>
      <c r="H886" s="155"/>
      <c r="I886" s="155"/>
      <c r="J886" s="155"/>
      <c r="K886" s="147"/>
    </row>
    <row r="887">
      <c r="A887" s="153">
        <v>884.0</v>
      </c>
      <c r="B887" s="154"/>
      <c r="C887" s="154" t="s">
        <v>208</v>
      </c>
      <c r="D887" s="154" t="s">
        <v>208</v>
      </c>
      <c r="E887" s="154" t="s">
        <v>208</v>
      </c>
      <c r="F887" s="154" t="s">
        <v>208</v>
      </c>
      <c r="G887" s="154" t="s">
        <v>208</v>
      </c>
      <c r="H887" s="155"/>
      <c r="I887" s="155"/>
      <c r="J887" s="155"/>
      <c r="K887" s="147"/>
    </row>
    <row r="888">
      <c r="A888" s="153">
        <v>885.0</v>
      </c>
      <c r="B888" s="154"/>
      <c r="C888" s="154" t="s">
        <v>208</v>
      </c>
      <c r="D888" s="154" t="s">
        <v>208</v>
      </c>
      <c r="E888" s="154" t="s">
        <v>208</v>
      </c>
      <c r="F888" s="154" t="s">
        <v>208</v>
      </c>
      <c r="G888" s="154" t="s">
        <v>208</v>
      </c>
      <c r="H888" s="155"/>
      <c r="I888" s="155"/>
      <c r="J888" s="155"/>
      <c r="K888" s="147"/>
    </row>
    <row r="889">
      <c r="A889" s="153">
        <v>886.0</v>
      </c>
      <c r="B889" s="154"/>
      <c r="C889" s="154" t="s">
        <v>208</v>
      </c>
      <c r="D889" s="154" t="s">
        <v>218</v>
      </c>
      <c r="E889" s="154" t="s">
        <v>208</v>
      </c>
      <c r="F889" s="154" t="s">
        <v>208</v>
      </c>
      <c r="G889" s="154" t="s">
        <v>208</v>
      </c>
      <c r="H889" s="155"/>
      <c r="I889" s="155"/>
      <c r="J889" s="155"/>
      <c r="K889" s="147"/>
    </row>
    <row r="890">
      <c r="A890" s="153">
        <v>887.0</v>
      </c>
      <c r="B890" s="155"/>
      <c r="C890" s="154" t="s">
        <v>208</v>
      </c>
      <c r="D890" s="154" t="s">
        <v>208</v>
      </c>
      <c r="E890" s="154" t="s">
        <v>208</v>
      </c>
      <c r="F890" s="154" t="s">
        <v>208</v>
      </c>
      <c r="G890" s="154" t="s">
        <v>208</v>
      </c>
      <c r="H890" s="155"/>
      <c r="I890" s="155"/>
      <c r="J890" s="155"/>
      <c r="K890" s="147"/>
    </row>
    <row r="891">
      <c r="A891" s="153">
        <v>888.0</v>
      </c>
      <c r="B891" s="154"/>
      <c r="C891" s="154" t="s">
        <v>208</v>
      </c>
      <c r="D891" s="154" t="s">
        <v>208</v>
      </c>
      <c r="E891" s="154" t="s">
        <v>208</v>
      </c>
      <c r="F891" s="154" t="s">
        <v>208</v>
      </c>
      <c r="G891" s="154" t="s">
        <v>208</v>
      </c>
      <c r="H891" s="155"/>
      <c r="I891" s="155"/>
      <c r="J891" s="155"/>
      <c r="K891" s="147"/>
    </row>
    <row r="892">
      <c r="A892" s="153">
        <v>889.0</v>
      </c>
      <c r="B892" s="154"/>
      <c r="C892" s="154" t="s">
        <v>208</v>
      </c>
      <c r="D892" s="154" t="s">
        <v>208</v>
      </c>
      <c r="E892" s="154"/>
      <c r="F892" s="154" t="s">
        <v>208</v>
      </c>
      <c r="G892" s="154" t="s">
        <v>208</v>
      </c>
      <c r="H892" s="155"/>
      <c r="I892" s="155"/>
      <c r="J892" s="155"/>
      <c r="K892" s="147"/>
    </row>
    <row r="893">
      <c r="A893" s="153">
        <v>890.0</v>
      </c>
      <c r="B893" s="154"/>
      <c r="C893" s="154" t="s">
        <v>208</v>
      </c>
      <c r="D893" s="154" t="s">
        <v>208</v>
      </c>
      <c r="E893" s="154" t="s">
        <v>208</v>
      </c>
      <c r="F893" s="154" t="s">
        <v>208</v>
      </c>
      <c r="G893" s="154" t="s">
        <v>208</v>
      </c>
      <c r="H893" s="155"/>
      <c r="I893" s="155"/>
      <c r="J893" s="155"/>
      <c r="K893" s="147"/>
    </row>
    <row r="894">
      <c r="A894" s="153">
        <v>891.0</v>
      </c>
      <c r="B894" s="154"/>
      <c r="C894" s="154" t="s">
        <v>208</v>
      </c>
      <c r="D894" s="154" t="s">
        <v>208</v>
      </c>
      <c r="E894" s="154" t="s">
        <v>208</v>
      </c>
      <c r="F894" s="154" t="s">
        <v>208</v>
      </c>
      <c r="G894" s="154" t="s">
        <v>208</v>
      </c>
      <c r="H894" s="155"/>
      <c r="I894" s="155"/>
      <c r="J894" s="155"/>
      <c r="K894" s="147"/>
    </row>
    <row r="895">
      <c r="A895" s="153">
        <v>892.0</v>
      </c>
      <c r="B895" s="155"/>
      <c r="C895" s="154"/>
      <c r="D895" s="154" t="s">
        <v>208</v>
      </c>
      <c r="E895" s="154" t="s">
        <v>208</v>
      </c>
      <c r="F895" s="154" t="s">
        <v>208</v>
      </c>
      <c r="G895" s="154"/>
      <c r="H895" s="154" t="s">
        <v>208</v>
      </c>
      <c r="I895" s="155"/>
      <c r="J895" s="155"/>
      <c r="K895" s="147"/>
    </row>
    <row r="896">
      <c r="A896" s="153">
        <v>893.0</v>
      </c>
      <c r="B896" s="154"/>
      <c r="C896" s="154" t="s">
        <v>208</v>
      </c>
      <c r="D896" s="154" t="s">
        <v>208</v>
      </c>
      <c r="E896" s="154" t="s">
        <v>208</v>
      </c>
      <c r="F896" s="154" t="s">
        <v>208</v>
      </c>
      <c r="G896" s="154" t="s">
        <v>208</v>
      </c>
      <c r="H896" s="155"/>
      <c r="I896" s="155"/>
      <c r="J896" s="155"/>
      <c r="K896" s="147"/>
    </row>
    <row r="897">
      <c r="A897" s="153">
        <v>894.0</v>
      </c>
      <c r="B897" s="154"/>
      <c r="C897" s="154" t="s">
        <v>208</v>
      </c>
      <c r="D897" s="154" t="s">
        <v>208</v>
      </c>
      <c r="E897" s="154" t="s">
        <v>208</v>
      </c>
      <c r="F897" s="154" t="s">
        <v>208</v>
      </c>
      <c r="G897" s="154" t="s">
        <v>208</v>
      </c>
      <c r="H897" s="155"/>
      <c r="I897" s="155"/>
      <c r="J897" s="155"/>
      <c r="K897" s="147"/>
    </row>
    <row r="898">
      <c r="A898" s="153">
        <v>895.0</v>
      </c>
      <c r="B898" s="154"/>
      <c r="C898" s="154" t="s">
        <v>208</v>
      </c>
      <c r="D898" s="154" t="s">
        <v>208</v>
      </c>
      <c r="E898" s="154" t="s">
        <v>208</v>
      </c>
      <c r="F898" s="154" t="s">
        <v>208</v>
      </c>
      <c r="G898" s="154" t="s">
        <v>208</v>
      </c>
      <c r="H898" s="155"/>
      <c r="I898" s="155"/>
      <c r="J898" s="155"/>
      <c r="K898" s="147"/>
    </row>
    <row r="899">
      <c r="A899" s="153">
        <v>896.0</v>
      </c>
      <c r="B899" s="154"/>
      <c r="C899" s="154" t="s">
        <v>208</v>
      </c>
      <c r="D899" s="154" t="s">
        <v>208</v>
      </c>
      <c r="E899" s="154" t="s">
        <v>208</v>
      </c>
      <c r="F899" s="154" t="s">
        <v>208</v>
      </c>
      <c r="G899" s="154" t="s">
        <v>208</v>
      </c>
      <c r="H899" s="155"/>
      <c r="I899" s="155"/>
      <c r="J899" s="155"/>
      <c r="K899" s="147"/>
    </row>
    <row r="900">
      <c r="A900" s="153">
        <v>897.0</v>
      </c>
      <c r="B900" s="154"/>
      <c r="C900" s="154" t="s">
        <v>208</v>
      </c>
      <c r="D900" s="154" t="s">
        <v>208</v>
      </c>
      <c r="E900" s="154" t="s">
        <v>208</v>
      </c>
      <c r="F900" s="154" t="s">
        <v>208</v>
      </c>
      <c r="G900" s="154" t="s">
        <v>208</v>
      </c>
      <c r="H900" s="155"/>
      <c r="I900" s="155"/>
      <c r="J900" s="155"/>
      <c r="K900" s="147"/>
    </row>
    <row r="901">
      <c r="A901" s="153">
        <v>898.0</v>
      </c>
      <c r="B901" s="154"/>
      <c r="C901" s="154" t="s">
        <v>208</v>
      </c>
      <c r="D901" s="154" t="s">
        <v>218</v>
      </c>
      <c r="E901" s="154" t="s">
        <v>208</v>
      </c>
      <c r="F901" s="154" t="s">
        <v>208</v>
      </c>
      <c r="G901" s="154" t="s">
        <v>208</v>
      </c>
      <c r="H901" s="155"/>
      <c r="I901" s="155"/>
      <c r="J901" s="155"/>
      <c r="K901" s="147"/>
    </row>
    <row r="902">
      <c r="A902" s="153">
        <v>899.0</v>
      </c>
      <c r="B902" s="154"/>
      <c r="C902" s="154" t="s">
        <v>208</v>
      </c>
      <c r="D902" s="154" t="s">
        <v>208</v>
      </c>
      <c r="E902" s="154" t="s">
        <v>208</v>
      </c>
      <c r="F902" s="154" t="s">
        <v>208</v>
      </c>
      <c r="G902" s="154" t="s">
        <v>208</v>
      </c>
      <c r="H902" s="155"/>
      <c r="I902" s="155"/>
      <c r="J902" s="155"/>
      <c r="K902" s="147"/>
    </row>
    <row r="903">
      <c r="A903" s="153">
        <v>900.0</v>
      </c>
      <c r="B903" s="154"/>
      <c r="C903" s="154" t="s">
        <v>208</v>
      </c>
      <c r="D903" s="154" t="s">
        <v>208</v>
      </c>
      <c r="E903" s="154" t="s">
        <v>208</v>
      </c>
      <c r="F903" s="154" t="s">
        <v>208</v>
      </c>
      <c r="G903" s="154" t="s">
        <v>208</v>
      </c>
      <c r="H903" s="155"/>
      <c r="I903" s="155"/>
      <c r="J903" s="155"/>
      <c r="K903" s="147"/>
    </row>
    <row r="904">
      <c r="A904" s="153">
        <v>901.0</v>
      </c>
      <c r="B904" s="154"/>
      <c r="C904" s="154" t="s">
        <v>208</v>
      </c>
      <c r="D904" s="154" t="s">
        <v>208</v>
      </c>
      <c r="E904" s="154" t="s">
        <v>208</v>
      </c>
      <c r="F904" s="154" t="s">
        <v>208</v>
      </c>
      <c r="G904" s="154" t="s">
        <v>208</v>
      </c>
      <c r="H904" s="155"/>
      <c r="I904" s="155"/>
      <c r="J904" s="155"/>
      <c r="K904" s="147"/>
    </row>
    <row r="905">
      <c r="A905" s="153">
        <v>902.0</v>
      </c>
      <c r="B905" s="154"/>
      <c r="C905" s="154" t="s">
        <v>208</v>
      </c>
      <c r="D905" s="154" t="s">
        <v>218</v>
      </c>
      <c r="E905" s="154" t="s">
        <v>208</v>
      </c>
      <c r="F905" s="154" t="s">
        <v>208</v>
      </c>
      <c r="G905" s="154" t="s">
        <v>208</v>
      </c>
      <c r="H905" s="155"/>
      <c r="I905" s="155"/>
      <c r="J905" s="155"/>
      <c r="K905" s="147"/>
    </row>
    <row r="906">
      <c r="A906" s="153">
        <v>903.0</v>
      </c>
      <c r="B906" s="154"/>
      <c r="C906" s="154" t="s">
        <v>208</v>
      </c>
      <c r="D906" s="154" t="s">
        <v>208</v>
      </c>
      <c r="E906" s="154" t="s">
        <v>208</v>
      </c>
      <c r="F906" s="154" t="s">
        <v>208</v>
      </c>
      <c r="G906" s="154" t="s">
        <v>208</v>
      </c>
      <c r="H906" s="155"/>
      <c r="I906" s="155"/>
      <c r="J906" s="155"/>
      <c r="K906" s="147"/>
    </row>
    <row r="907">
      <c r="A907" s="153">
        <v>904.0</v>
      </c>
      <c r="B907" s="154"/>
      <c r="C907" s="154"/>
      <c r="D907" s="154"/>
      <c r="E907" s="154"/>
      <c r="F907" s="154"/>
      <c r="G907" s="155"/>
      <c r="H907" s="153"/>
      <c r="I907" s="155"/>
      <c r="J907" s="154" t="s">
        <v>217</v>
      </c>
      <c r="K907" s="147"/>
    </row>
    <row r="908">
      <c r="A908" s="153">
        <v>905.0</v>
      </c>
      <c r="B908" s="154"/>
      <c r="C908" s="154" t="s">
        <v>208</v>
      </c>
      <c r="D908" s="154" t="s">
        <v>208</v>
      </c>
      <c r="E908" s="154" t="s">
        <v>208</v>
      </c>
      <c r="F908" s="154" t="s">
        <v>208</v>
      </c>
      <c r="G908" s="154" t="s">
        <v>208</v>
      </c>
      <c r="H908" s="155"/>
      <c r="I908" s="155"/>
      <c r="J908" s="155"/>
      <c r="K908" s="147"/>
    </row>
    <row r="909">
      <c r="A909" s="153">
        <v>906.0</v>
      </c>
      <c r="B909" s="154"/>
      <c r="C909" s="154" t="s">
        <v>208</v>
      </c>
      <c r="D909" s="154" t="s">
        <v>208</v>
      </c>
      <c r="E909" s="154" t="s">
        <v>208</v>
      </c>
      <c r="F909" s="154" t="s">
        <v>208</v>
      </c>
      <c r="G909" s="154" t="s">
        <v>208</v>
      </c>
      <c r="H909" s="155"/>
      <c r="I909" s="155"/>
      <c r="J909" s="155"/>
      <c r="K909" s="147"/>
    </row>
    <row r="910">
      <c r="A910" s="153">
        <v>907.0</v>
      </c>
      <c r="B910" s="154"/>
      <c r="C910" s="154" t="s">
        <v>208</v>
      </c>
      <c r="D910" s="154" t="s">
        <v>208</v>
      </c>
      <c r="E910" s="154" t="s">
        <v>208</v>
      </c>
      <c r="F910" s="154" t="s">
        <v>208</v>
      </c>
      <c r="G910" s="154" t="s">
        <v>208</v>
      </c>
      <c r="H910" s="155"/>
      <c r="I910" s="155"/>
      <c r="J910" s="155"/>
      <c r="K910" s="147"/>
    </row>
    <row r="911">
      <c r="A911" s="153">
        <v>908.0</v>
      </c>
      <c r="B911" s="154"/>
      <c r="C911" s="154" t="s">
        <v>208</v>
      </c>
      <c r="D911" s="154" t="s">
        <v>208</v>
      </c>
      <c r="E911" s="154" t="s">
        <v>208</v>
      </c>
      <c r="F911" s="154" t="s">
        <v>208</v>
      </c>
      <c r="G911" s="154" t="s">
        <v>208</v>
      </c>
      <c r="H911" s="155"/>
      <c r="I911" s="155"/>
      <c r="J911" s="155"/>
      <c r="K911" s="147"/>
    </row>
    <row r="912">
      <c r="A912" s="153">
        <v>909.0</v>
      </c>
      <c r="B912" s="154"/>
      <c r="C912" s="154" t="s">
        <v>208</v>
      </c>
      <c r="D912" s="154" t="s">
        <v>208</v>
      </c>
      <c r="E912" s="154" t="s">
        <v>208</v>
      </c>
      <c r="F912" s="154" t="s">
        <v>208</v>
      </c>
      <c r="G912" s="154" t="s">
        <v>208</v>
      </c>
      <c r="H912" s="155"/>
      <c r="I912" s="155"/>
      <c r="J912" s="155"/>
      <c r="K912" s="147"/>
    </row>
    <row r="913">
      <c r="A913" s="153">
        <v>910.0</v>
      </c>
      <c r="B913" s="154"/>
      <c r="C913" s="154" t="s">
        <v>208</v>
      </c>
      <c r="D913" s="154" t="s">
        <v>208</v>
      </c>
      <c r="E913" s="154" t="s">
        <v>208</v>
      </c>
      <c r="F913" s="154" t="s">
        <v>208</v>
      </c>
      <c r="G913" s="154" t="s">
        <v>208</v>
      </c>
      <c r="H913" s="155"/>
      <c r="I913" s="155"/>
      <c r="J913" s="155"/>
      <c r="K913" s="147"/>
    </row>
    <row r="914">
      <c r="A914" s="153">
        <v>911.0</v>
      </c>
      <c r="B914" s="154"/>
      <c r="C914" s="154" t="s">
        <v>208</v>
      </c>
      <c r="D914" s="154" t="s">
        <v>208</v>
      </c>
      <c r="E914" s="154" t="s">
        <v>208</v>
      </c>
      <c r="F914" s="154" t="s">
        <v>208</v>
      </c>
      <c r="G914" s="154" t="s">
        <v>208</v>
      </c>
      <c r="H914" s="155"/>
      <c r="I914" s="155"/>
      <c r="J914" s="155"/>
      <c r="K914" s="147"/>
    </row>
    <row r="915">
      <c r="A915" s="153">
        <v>912.0</v>
      </c>
      <c r="B915" s="154"/>
      <c r="C915" s="154" t="s">
        <v>208</v>
      </c>
      <c r="D915" s="154" t="s">
        <v>208</v>
      </c>
      <c r="E915" s="154" t="s">
        <v>208</v>
      </c>
      <c r="F915" s="154" t="s">
        <v>208</v>
      </c>
      <c r="G915" s="154" t="s">
        <v>208</v>
      </c>
      <c r="H915" s="155"/>
      <c r="I915" s="155"/>
      <c r="J915" s="155"/>
      <c r="K915" s="147"/>
    </row>
    <row r="916">
      <c r="A916" s="153">
        <v>913.0</v>
      </c>
      <c r="B916" s="154"/>
      <c r="C916" s="154" t="s">
        <v>208</v>
      </c>
      <c r="D916" s="154" t="s">
        <v>208</v>
      </c>
      <c r="E916" s="154"/>
      <c r="F916" s="154" t="s">
        <v>208</v>
      </c>
      <c r="G916" s="154" t="s">
        <v>208</v>
      </c>
      <c r="H916" s="155"/>
      <c r="I916" s="155"/>
      <c r="J916" s="155"/>
      <c r="K916" s="147"/>
    </row>
    <row r="917">
      <c r="A917" s="153">
        <v>914.0</v>
      </c>
      <c r="B917" s="154"/>
      <c r="C917" s="154" t="s">
        <v>208</v>
      </c>
      <c r="D917" s="154" t="s">
        <v>208</v>
      </c>
      <c r="E917" s="154" t="s">
        <v>208</v>
      </c>
      <c r="F917" s="154" t="s">
        <v>208</v>
      </c>
      <c r="G917" s="154" t="s">
        <v>208</v>
      </c>
      <c r="H917" s="155"/>
      <c r="I917" s="155"/>
      <c r="J917" s="155"/>
      <c r="K917" s="147"/>
    </row>
    <row r="918">
      <c r="A918" s="153">
        <v>915.0</v>
      </c>
      <c r="B918" s="154"/>
      <c r="C918" s="154" t="s">
        <v>208</v>
      </c>
      <c r="D918" s="154"/>
      <c r="E918" s="154" t="s">
        <v>208</v>
      </c>
      <c r="F918" s="154" t="s">
        <v>208</v>
      </c>
      <c r="G918" s="154" t="s">
        <v>208</v>
      </c>
      <c r="H918" s="155"/>
      <c r="I918" s="155"/>
      <c r="J918" s="155"/>
      <c r="K918" s="147"/>
    </row>
    <row r="919">
      <c r="A919" s="153">
        <v>916.0</v>
      </c>
      <c r="B919" s="154"/>
      <c r="C919" s="154" t="s">
        <v>208</v>
      </c>
      <c r="D919" s="154" t="s">
        <v>208</v>
      </c>
      <c r="E919" s="154" t="s">
        <v>208</v>
      </c>
      <c r="F919" s="154" t="s">
        <v>208</v>
      </c>
      <c r="G919" s="154" t="s">
        <v>208</v>
      </c>
      <c r="H919" s="155"/>
      <c r="I919" s="155"/>
      <c r="J919" s="155"/>
      <c r="K919" s="147"/>
    </row>
    <row r="920">
      <c r="A920" s="153">
        <v>917.0</v>
      </c>
      <c r="B920" s="154"/>
      <c r="C920" s="154" t="s">
        <v>208</v>
      </c>
      <c r="D920" s="154" t="s">
        <v>218</v>
      </c>
      <c r="E920" s="154" t="s">
        <v>208</v>
      </c>
      <c r="F920" s="154" t="s">
        <v>208</v>
      </c>
      <c r="G920" s="154" t="s">
        <v>208</v>
      </c>
      <c r="H920" s="155"/>
      <c r="I920" s="155"/>
      <c r="J920" s="155"/>
      <c r="K920" s="147"/>
    </row>
    <row r="921">
      <c r="A921" s="153">
        <v>918.0</v>
      </c>
      <c r="B921" s="154"/>
      <c r="C921" s="154" t="s">
        <v>208</v>
      </c>
      <c r="D921" s="154" t="s">
        <v>208</v>
      </c>
      <c r="E921" s="154" t="s">
        <v>208</v>
      </c>
      <c r="F921" s="154" t="s">
        <v>208</v>
      </c>
      <c r="G921" s="154" t="s">
        <v>208</v>
      </c>
      <c r="H921" s="155"/>
      <c r="I921" s="155"/>
      <c r="J921" s="155"/>
      <c r="K921" s="147"/>
    </row>
    <row r="922">
      <c r="A922" s="153">
        <v>919.0</v>
      </c>
      <c r="B922" s="154"/>
      <c r="C922" s="154" t="s">
        <v>208</v>
      </c>
      <c r="D922" s="154" t="s">
        <v>208</v>
      </c>
      <c r="E922" s="154" t="s">
        <v>208</v>
      </c>
      <c r="F922" s="154" t="s">
        <v>208</v>
      </c>
      <c r="G922" s="154" t="s">
        <v>208</v>
      </c>
      <c r="H922" s="155"/>
      <c r="I922" s="155"/>
      <c r="J922" s="155"/>
      <c r="K922" s="147"/>
    </row>
    <row r="923">
      <c r="A923" s="153">
        <v>920.0</v>
      </c>
      <c r="B923" s="154"/>
      <c r="C923" s="154" t="s">
        <v>208</v>
      </c>
      <c r="D923" s="154" t="s">
        <v>208</v>
      </c>
      <c r="E923" s="154" t="s">
        <v>208</v>
      </c>
      <c r="F923" s="154" t="s">
        <v>208</v>
      </c>
      <c r="G923" s="154" t="s">
        <v>208</v>
      </c>
      <c r="H923" s="155"/>
      <c r="I923" s="155"/>
      <c r="J923" s="155"/>
      <c r="K923" s="147"/>
    </row>
    <row r="924">
      <c r="A924" s="153">
        <v>921.0</v>
      </c>
      <c r="B924" s="154"/>
      <c r="C924" s="154" t="s">
        <v>208</v>
      </c>
      <c r="D924" s="154" t="s">
        <v>208</v>
      </c>
      <c r="E924" s="154" t="s">
        <v>208</v>
      </c>
      <c r="F924" s="154" t="s">
        <v>208</v>
      </c>
      <c r="G924" s="154" t="s">
        <v>208</v>
      </c>
      <c r="H924" s="155"/>
      <c r="I924" s="155"/>
      <c r="J924" s="155"/>
      <c r="K924" s="147"/>
    </row>
    <row r="925">
      <c r="A925" s="153">
        <v>922.0</v>
      </c>
      <c r="B925" s="154"/>
      <c r="C925" s="154" t="s">
        <v>208</v>
      </c>
      <c r="D925" s="154" t="s">
        <v>208</v>
      </c>
      <c r="E925" s="154" t="s">
        <v>208</v>
      </c>
      <c r="F925" s="154" t="s">
        <v>208</v>
      </c>
      <c r="G925" s="154" t="s">
        <v>208</v>
      </c>
      <c r="H925" s="155"/>
      <c r="I925" s="155"/>
      <c r="J925" s="155"/>
      <c r="K925" s="147"/>
    </row>
    <row r="926">
      <c r="A926" s="153">
        <v>923.0</v>
      </c>
      <c r="B926" s="154"/>
      <c r="C926" s="154" t="s">
        <v>208</v>
      </c>
      <c r="D926" s="154" t="s">
        <v>208</v>
      </c>
      <c r="E926" s="154" t="s">
        <v>208</v>
      </c>
      <c r="F926" s="154" t="s">
        <v>208</v>
      </c>
      <c r="G926" s="154" t="s">
        <v>208</v>
      </c>
      <c r="H926" s="155"/>
      <c r="I926" s="155"/>
      <c r="J926" s="155"/>
      <c r="K926" s="147"/>
    </row>
    <row r="927">
      <c r="A927" s="153">
        <v>924.0</v>
      </c>
      <c r="B927" s="154"/>
      <c r="C927" s="154" t="s">
        <v>208</v>
      </c>
      <c r="D927" s="154" t="s">
        <v>208</v>
      </c>
      <c r="E927" s="154" t="s">
        <v>208</v>
      </c>
      <c r="F927" s="154" t="s">
        <v>208</v>
      </c>
      <c r="G927" s="154" t="s">
        <v>208</v>
      </c>
      <c r="H927" s="155"/>
      <c r="I927" s="155"/>
      <c r="J927" s="155"/>
      <c r="K927" s="147"/>
    </row>
    <row r="928">
      <c r="A928" s="153">
        <v>925.0</v>
      </c>
      <c r="B928" s="154"/>
      <c r="C928" s="154" t="s">
        <v>208</v>
      </c>
      <c r="D928" s="154" t="s">
        <v>208</v>
      </c>
      <c r="E928" s="154" t="s">
        <v>208</v>
      </c>
      <c r="F928" s="154" t="s">
        <v>208</v>
      </c>
      <c r="G928" s="154" t="s">
        <v>208</v>
      </c>
      <c r="H928" s="155"/>
      <c r="I928" s="155"/>
      <c r="J928" s="155"/>
      <c r="K928" s="147"/>
    </row>
    <row r="929">
      <c r="A929" s="153">
        <v>926.0</v>
      </c>
      <c r="B929" s="154"/>
      <c r="C929" s="154" t="s">
        <v>208</v>
      </c>
      <c r="D929" s="154" t="s">
        <v>208</v>
      </c>
      <c r="E929" s="154" t="s">
        <v>208</v>
      </c>
      <c r="F929" s="154" t="s">
        <v>208</v>
      </c>
      <c r="G929" s="154" t="s">
        <v>208</v>
      </c>
      <c r="H929" s="155"/>
      <c r="I929" s="155"/>
      <c r="J929" s="155"/>
      <c r="K929" s="147"/>
    </row>
    <row r="930">
      <c r="A930" s="153">
        <v>927.0</v>
      </c>
      <c r="B930" s="154"/>
      <c r="C930" s="154" t="s">
        <v>208</v>
      </c>
      <c r="D930" s="154" t="s">
        <v>218</v>
      </c>
      <c r="E930" s="154"/>
      <c r="F930" s="154" t="s">
        <v>208</v>
      </c>
      <c r="G930" s="154" t="s">
        <v>208</v>
      </c>
      <c r="H930" s="153"/>
      <c r="I930" s="155"/>
      <c r="J930" s="155"/>
      <c r="K930" s="147"/>
    </row>
    <row r="931">
      <c r="A931" s="153">
        <v>928.0</v>
      </c>
      <c r="B931" s="154"/>
      <c r="C931" s="154"/>
      <c r="D931" s="154" t="s">
        <v>208</v>
      </c>
      <c r="E931" s="154"/>
      <c r="F931" s="154" t="s">
        <v>208</v>
      </c>
      <c r="G931" s="155"/>
      <c r="H931" s="154" t="s">
        <v>208</v>
      </c>
      <c r="I931" s="155"/>
      <c r="J931" s="155"/>
      <c r="K931" s="147"/>
    </row>
    <row r="932">
      <c r="A932" s="153">
        <v>929.0</v>
      </c>
      <c r="B932" s="154"/>
      <c r="C932" s="154" t="s">
        <v>208</v>
      </c>
      <c r="D932" s="154" t="s">
        <v>208</v>
      </c>
      <c r="E932" s="154" t="s">
        <v>208</v>
      </c>
      <c r="F932" s="154" t="s">
        <v>208</v>
      </c>
      <c r="G932" s="154" t="s">
        <v>208</v>
      </c>
      <c r="H932" s="155"/>
      <c r="I932" s="155"/>
      <c r="J932" s="155"/>
      <c r="K932" s="147"/>
    </row>
    <row r="933">
      <c r="A933" s="153">
        <v>930.0</v>
      </c>
      <c r="B933" s="154"/>
      <c r="C933" s="154" t="s">
        <v>208</v>
      </c>
      <c r="D933" s="154" t="s">
        <v>208</v>
      </c>
      <c r="E933" s="154" t="s">
        <v>208</v>
      </c>
      <c r="F933" s="154" t="s">
        <v>208</v>
      </c>
      <c r="G933" s="154" t="s">
        <v>208</v>
      </c>
      <c r="H933" s="155"/>
      <c r="I933" s="155"/>
      <c r="J933" s="155"/>
      <c r="K933" s="147"/>
    </row>
    <row r="934">
      <c r="A934" s="153">
        <v>931.0</v>
      </c>
      <c r="B934" s="154"/>
      <c r="C934" s="154" t="s">
        <v>208</v>
      </c>
      <c r="D934" s="154" t="s">
        <v>208</v>
      </c>
      <c r="E934" s="154" t="s">
        <v>208</v>
      </c>
      <c r="F934" s="154" t="s">
        <v>208</v>
      </c>
      <c r="G934" s="154" t="s">
        <v>208</v>
      </c>
      <c r="H934" s="155"/>
      <c r="I934" s="155"/>
      <c r="J934" s="155"/>
      <c r="K934" s="147"/>
    </row>
    <row r="935">
      <c r="A935" s="153">
        <v>932.0</v>
      </c>
      <c r="B935" s="154"/>
      <c r="C935" s="154" t="s">
        <v>208</v>
      </c>
      <c r="D935" s="154" t="s">
        <v>208</v>
      </c>
      <c r="E935" s="154" t="s">
        <v>208</v>
      </c>
      <c r="F935" s="154" t="s">
        <v>208</v>
      </c>
      <c r="G935" s="154" t="s">
        <v>208</v>
      </c>
      <c r="H935" s="155"/>
      <c r="I935" s="155"/>
      <c r="J935" s="155"/>
      <c r="K935" s="147"/>
    </row>
    <row r="936">
      <c r="A936" s="153">
        <v>933.0</v>
      </c>
      <c r="B936" s="154"/>
      <c r="C936" s="154" t="s">
        <v>208</v>
      </c>
      <c r="D936" s="154" t="s">
        <v>208</v>
      </c>
      <c r="E936" s="154" t="s">
        <v>208</v>
      </c>
      <c r="F936" s="154" t="s">
        <v>208</v>
      </c>
      <c r="G936" s="154" t="s">
        <v>208</v>
      </c>
      <c r="H936" s="155"/>
      <c r="I936" s="155"/>
      <c r="J936" s="155"/>
      <c r="K936" s="147"/>
    </row>
    <row r="937">
      <c r="A937" s="153">
        <v>934.0</v>
      </c>
      <c r="B937" s="154"/>
      <c r="C937" s="154" t="s">
        <v>208</v>
      </c>
      <c r="D937" s="154" t="s">
        <v>208</v>
      </c>
      <c r="E937" s="154" t="s">
        <v>208</v>
      </c>
      <c r="F937" s="154" t="s">
        <v>208</v>
      </c>
      <c r="G937" s="154" t="s">
        <v>208</v>
      </c>
      <c r="H937" s="155"/>
      <c r="I937" s="155"/>
      <c r="J937" s="155"/>
      <c r="K937" s="147"/>
    </row>
    <row r="938">
      <c r="A938" s="153">
        <v>935.0</v>
      </c>
      <c r="B938" s="154"/>
      <c r="C938" s="154"/>
      <c r="D938" s="154" t="s">
        <v>208</v>
      </c>
      <c r="E938" s="154" t="s">
        <v>208</v>
      </c>
      <c r="F938" s="154" t="s">
        <v>208</v>
      </c>
      <c r="G938" s="155"/>
      <c r="H938" s="154" t="s">
        <v>208</v>
      </c>
      <c r="I938" s="155"/>
      <c r="J938" s="155"/>
      <c r="K938" s="147"/>
    </row>
    <row r="939">
      <c r="A939" s="153">
        <v>936.0</v>
      </c>
      <c r="B939" s="154"/>
      <c r="C939" s="154" t="s">
        <v>208</v>
      </c>
      <c r="D939" s="154" t="s">
        <v>208</v>
      </c>
      <c r="E939" s="154" t="s">
        <v>208</v>
      </c>
      <c r="F939" s="154" t="s">
        <v>208</v>
      </c>
      <c r="G939" s="154" t="s">
        <v>208</v>
      </c>
      <c r="H939" s="155"/>
      <c r="I939" s="155"/>
      <c r="J939" s="155"/>
      <c r="K939" s="147"/>
    </row>
    <row r="940">
      <c r="A940" s="153">
        <v>937.0</v>
      </c>
      <c r="B940" s="154"/>
      <c r="C940" s="154" t="s">
        <v>208</v>
      </c>
      <c r="D940" s="154" t="s">
        <v>208</v>
      </c>
      <c r="E940" s="154" t="s">
        <v>208</v>
      </c>
      <c r="F940" s="154" t="s">
        <v>208</v>
      </c>
      <c r="G940" s="154" t="s">
        <v>208</v>
      </c>
      <c r="H940" s="155"/>
      <c r="I940" s="155"/>
      <c r="J940" s="155"/>
      <c r="K940" s="147"/>
    </row>
    <row r="941">
      <c r="A941" s="153">
        <v>938.0</v>
      </c>
      <c r="B941" s="154"/>
      <c r="C941" s="154" t="s">
        <v>208</v>
      </c>
      <c r="D941" s="154" t="s">
        <v>208</v>
      </c>
      <c r="E941" s="154" t="s">
        <v>208</v>
      </c>
      <c r="F941" s="154" t="s">
        <v>208</v>
      </c>
      <c r="G941" s="154" t="s">
        <v>208</v>
      </c>
      <c r="H941" s="155"/>
      <c r="I941" s="155"/>
      <c r="J941" s="155"/>
      <c r="K941" s="147"/>
    </row>
    <row r="942">
      <c r="A942" s="153">
        <v>939.0</v>
      </c>
      <c r="B942" s="154"/>
      <c r="C942" s="154" t="s">
        <v>208</v>
      </c>
      <c r="D942" s="154" t="s">
        <v>208</v>
      </c>
      <c r="E942" s="154" t="s">
        <v>208</v>
      </c>
      <c r="F942" s="154" t="s">
        <v>208</v>
      </c>
      <c r="G942" s="154" t="s">
        <v>208</v>
      </c>
      <c r="H942" s="155"/>
      <c r="I942" s="155"/>
      <c r="J942" s="155"/>
      <c r="K942" s="147"/>
    </row>
    <row r="943">
      <c r="A943" s="153">
        <v>940.0</v>
      </c>
      <c r="B943" s="154"/>
      <c r="C943" s="154" t="s">
        <v>208</v>
      </c>
      <c r="D943" s="154" t="s">
        <v>208</v>
      </c>
      <c r="E943" s="154" t="s">
        <v>208</v>
      </c>
      <c r="F943" s="154" t="s">
        <v>208</v>
      </c>
      <c r="G943" s="154" t="s">
        <v>208</v>
      </c>
      <c r="H943" s="155"/>
      <c r="I943" s="155"/>
      <c r="J943" s="155"/>
      <c r="K943" s="147"/>
    </row>
    <row r="944">
      <c r="A944" s="153">
        <v>941.0</v>
      </c>
      <c r="B944" s="154"/>
      <c r="C944" s="154" t="s">
        <v>208</v>
      </c>
      <c r="D944" s="154" t="s">
        <v>208</v>
      </c>
      <c r="E944" s="154" t="s">
        <v>208</v>
      </c>
      <c r="F944" s="154" t="s">
        <v>208</v>
      </c>
      <c r="G944" s="154" t="s">
        <v>208</v>
      </c>
      <c r="H944" s="155"/>
      <c r="I944" s="155"/>
      <c r="J944" s="155"/>
      <c r="K944" s="147"/>
    </row>
    <row r="945">
      <c r="A945" s="153">
        <v>942.0</v>
      </c>
      <c r="B945" s="154"/>
      <c r="C945" s="154" t="s">
        <v>208</v>
      </c>
      <c r="D945" s="154" t="s">
        <v>208</v>
      </c>
      <c r="E945" s="154" t="s">
        <v>208</v>
      </c>
      <c r="F945" s="154" t="s">
        <v>208</v>
      </c>
      <c r="G945" s="154" t="s">
        <v>208</v>
      </c>
      <c r="H945" s="155"/>
      <c r="I945" s="155"/>
      <c r="J945" s="155"/>
      <c r="K945" s="147"/>
    </row>
    <row r="946">
      <c r="A946" s="153">
        <v>943.0</v>
      </c>
      <c r="B946" s="154"/>
      <c r="C946" s="154" t="s">
        <v>208</v>
      </c>
      <c r="D946" s="154" t="s">
        <v>208</v>
      </c>
      <c r="E946" s="154" t="s">
        <v>208</v>
      </c>
      <c r="F946" s="154" t="s">
        <v>208</v>
      </c>
      <c r="G946" s="154" t="s">
        <v>208</v>
      </c>
      <c r="H946" s="155"/>
      <c r="I946" s="155"/>
      <c r="J946" s="155"/>
      <c r="K946" s="147"/>
    </row>
    <row r="947">
      <c r="A947" s="153">
        <v>944.0</v>
      </c>
      <c r="B947" s="154"/>
      <c r="C947" s="154" t="s">
        <v>208</v>
      </c>
      <c r="D947" s="154" t="s">
        <v>208</v>
      </c>
      <c r="E947" s="154" t="s">
        <v>208</v>
      </c>
      <c r="F947" s="154" t="s">
        <v>208</v>
      </c>
      <c r="G947" s="154" t="s">
        <v>208</v>
      </c>
      <c r="H947" s="155"/>
      <c r="I947" s="155"/>
      <c r="J947" s="155"/>
      <c r="K947" s="147"/>
    </row>
    <row r="948">
      <c r="A948" s="153">
        <v>945.0</v>
      </c>
      <c r="B948" s="154"/>
      <c r="C948" s="154" t="s">
        <v>208</v>
      </c>
      <c r="D948" s="154" t="s">
        <v>218</v>
      </c>
      <c r="E948" s="154" t="s">
        <v>208</v>
      </c>
      <c r="F948" s="154" t="s">
        <v>208</v>
      </c>
      <c r="G948" s="154" t="s">
        <v>208</v>
      </c>
      <c r="H948" s="155"/>
      <c r="I948" s="155"/>
      <c r="J948" s="155"/>
      <c r="K948" s="147"/>
    </row>
    <row r="949">
      <c r="A949" s="153">
        <v>946.0</v>
      </c>
      <c r="B949" s="154"/>
      <c r="C949" s="154" t="s">
        <v>208</v>
      </c>
      <c r="D949" s="154" t="s">
        <v>208</v>
      </c>
      <c r="E949" s="154" t="s">
        <v>208</v>
      </c>
      <c r="F949" s="154" t="s">
        <v>208</v>
      </c>
      <c r="G949" s="154" t="s">
        <v>208</v>
      </c>
      <c r="H949" s="155"/>
      <c r="I949" s="155"/>
      <c r="J949" s="155"/>
      <c r="K949" s="147"/>
    </row>
    <row r="950">
      <c r="A950" s="153">
        <v>947.0</v>
      </c>
      <c r="B950" s="154"/>
      <c r="C950" s="154" t="s">
        <v>208</v>
      </c>
      <c r="D950" s="154" t="s">
        <v>208</v>
      </c>
      <c r="E950" s="154" t="s">
        <v>208</v>
      </c>
      <c r="F950" s="154" t="s">
        <v>208</v>
      </c>
      <c r="G950" s="154" t="s">
        <v>208</v>
      </c>
      <c r="H950" s="155"/>
      <c r="I950" s="155"/>
      <c r="J950" s="155"/>
      <c r="K950" s="147"/>
    </row>
    <row r="951">
      <c r="A951" s="153">
        <v>948.0</v>
      </c>
      <c r="B951" s="154"/>
      <c r="C951" s="154"/>
      <c r="D951" s="154" t="s">
        <v>208</v>
      </c>
      <c r="E951" s="154" t="s">
        <v>208</v>
      </c>
      <c r="F951" s="154" t="s">
        <v>208</v>
      </c>
      <c r="G951" s="155"/>
      <c r="H951" s="154" t="s">
        <v>208</v>
      </c>
      <c r="I951" s="155"/>
      <c r="J951" s="155"/>
      <c r="K951" s="147"/>
    </row>
    <row r="952">
      <c r="A952" s="153">
        <v>949.0</v>
      </c>
      <c r="B952" s="154"/>
      <c r="C952" s="154"/>
      <c r="D952" s="154" t="s">
        <v>208</v>
      </c>
      <c r="E952" s="154" t="s">
        <v>208</v>
      </c>
      <c r="F952" s="154" t="s">
        <v>208</v>
      </c>
      <c r="G952" s="155"/>
      <c r="H952" s="154" t="s">
        <v>208</v>
      </c>
      <c r="I952" s="155"/>
      <c r="J952" s="155"/>
      <c r="K952" s="147"/>
    </row>
    <row r="953">
      <c r="A953" s="153">
        <v>950.0</v>
      </c>
      <c r="B953" s="154"/>
      <c r="C953" s="154" t="s">
        <v>208</v>
      </c>
      <c r="D953" s="154" t="s">
        <v>208</v>
      </c>
      <c r="E953" s="154" t="s">
        <v>208</v>
      </c>
      <c r="F953" s="154" t="s">
        <v>208</v>
      </c>
      <c r="G953" s="154" t="s">
        <v>208</v>
      </c>
      <c r="H953" s="153"/>
      <c r="I953" s="155"/>
      <c r="J953" s="155"/>
      <c r="K953" s="147"/>
    </row>
    <row r="954">
      <c r="A954" s="153">
        <v>951.0</v>
      </c>
      <c r="B954" s="154"/>
      <c r="C954" s="154" t="s">
        <v>208</v>
      </c>
      <c r="D954" s="154" t="s">
        <v>208</v>
      </c>
      <c r="E954" s="154" t="s">
        <v>208</v>
      </c>
      <c r="F954" s="154" t="s">
        <v>208</v>
      </c>
      <c r="G954" s="154" t="s">
        <v>208</v>
      </c>
      <c r="H954" s="153"/>
      <c r="I954" s="155"/>
      <c r="J954" s="155"/>
      <c r="K954" s="147"/>
    </row>
    <row r="955">
      <c r="A955" s="153">
        <v>952.0</v>
      </c>
      <c r="B955" s="154"/>
      <c r="C955" s="154" t="s">
        <v>208</v>
      </c>
      <c r="D955" s="154" t="s">
        <v>218</v>
      </c>
      <c r="E955" s="154" t="s">
        <v>208</v>
      </c>
      <c r="F955" s="154" t="s">
        <v>208</v>
      </c>
      <c r="G955" s="154" t="s">
        <v>208</v>
      </c>
      <c r="H955" s="153"/>
      <c r="I955" s="155"/>
      <c r="J955" s="155"/>
      <c r="K955" s="147"/>
    </row>
    <row r="956">
      <c r="A956" s="153">
        <v>953.0</v>
      </c>
      <c r="B956" s="154"/>
      <c r="C956" s="154" t="s">
        <v>208</v>
      </c>
      <c r="D956" s="154" t="s">
        <v>208</v>
      </c>
      <c r="E956" s="154" t="s">
        <v>208</v>
      </c>
      <c r="F956" s="154" t="s">
        <v>208</v>
      </c>
      <c r="G956" s="154" t="s">
        <v>208</v>
      </c>
      <c r="H956" s="153"/>
      <c r="I956" s="155"/>
      <c r="J956" s="155"/>
      <c r="K956" s="147"/>
    </row>
    <row r="957">
      <c r="A957" s="153">
        <v>954.0</v>
      </c>
      <c r="B957" s="154"/>
      <c r="C957" s="154" t="s">
        <v>208</v>
      </c>
      <c r="D957" s="154" t="s">
        <v>208</v>
      </c>
      <c r="E957" s="154" t="s">
        <v>208</v>
      </c>
      <c r="F957" s="154" t="s">
        <v>208</v>
      </c>
      <c r="G957" s="154" t="s">
        <v>208</v>
      </c>
      <c r="H957" s="153"/>
      <c r="I957" s="155"/>
      <c r="J957" s="155"/>
      <c r="K957" s="147"/>
    </row>
    <row r="958">
      <c r="A958" s="153">
        <v>955.0</v>
      </c>
      <c r="B958" s="154"/>
      <c r="C958" s="154" t="s">
        <v>208</v>
      </c>
      <c r="D958" s="154" t="s">
        <v>208</v>
      </c>
      <c r="E958" s="154" t="s">
        <v>208</v>
      </c>
      <c r="F958" s="154" t="s">
        <v>208</v>
      </c>
      <c r="G958" s="154" t="s">
        <v>208</v>
      </c>
      <c r="H958" s="153"/>
      <c r="I958" s="155"/>
      <c r="J958" s="155"/>
      <c r="K958" s="147"/>
    </row>
    <row r="959">
      <c r="A959" s="153">
        <v>956.0</v>
      </c>
      <c r="B959" s="154"/>
      <c r="C959" s="154" t="s">
        <v>208</v>
      </c>
      <c r="D959" s="154" t="s">
        <v>208</v>
      </c>
      <c r="E959" s="154" t="s">
        <v>208</v>
      </c>
      <c r="F959" s="154" t="s">
        <v>208</v>
      </c>
      <c r="G959" s="154" t="s">
        <v>208</v>
      </c>
      <c r="H959" s="155"/>
      <c r="I959" s="155"/>
      <c r="J959" s="155"/>
      <c r="K959" s="147"/>
    </row>
    <row r="960">
      <c r="A960" s="153">
        <v>957.0</v>
      </c>
      <c r="B960" s="154"/>
      <c r="C960" s="154" t="s">
        <v>208</v>
      </c>
      <c r="D960" s="154" t="s">
        <v>218</v>
      </c>
      <c r="E960" s="154" t="s">
        <v>208</v>
      </c>
      <c r="F960" s="154" t="s">
        <v>208</v>
      </c>
      <c r="G960" s="154" t="s">
        <v>208</v>
      </c>
      <c r="H960" s="155"/>
      <c r="I960" s="155"/>
      <c r="J960" s="155"/>
      <c r="K960" s="147"/>
    </row>
    <row r="961">
      <c r="A961" s="153">
        <v>958.0</v>
      </c>
      <c r="B961" s="154"/>
      <c r="C961" s="154" t="s">
        <v>208</v>
      </c>
      <c r="D961" s="154" t="s">
        <v>208</v>
      </c>
      <c r="E961" s="154" t="s">
        <v>208</v>
      </c>
      <c r="F961" s="154" t="s">
        <v>208</v>
      </c>
      <c r="G961" s="154" t="s">
        <v>208</v>
      </c>
      <c r="H961" s="155"/>
      <c r="I961" s="155"/>
      <c r="J961" s="155"/>
      <c r="K961" s="147"/>
    </row>
    <row r="962">
      <c r="A962" s="153">
        <v>959.0</v>
      </c>
      <c r="B962" s="154"/>
      <c r="C962" s="154" t="s">
        <v>208</v>
      </c>
      <c r="D962" s="154" t="s">
        <v>208</v>
      </c>
      <c r="E962" s="154" t="s">
        <v>208</v>
      </c>
      <c r="F962" s="154" t="s">
        <v>208</v>
      </c>
      <c r="G962" s="154" t="s">
        <v>208</v>
      </c>
      <c r="H962" s="155"/>
      <c r="I962" s="155"/>
      <c r="J962" s="155"/>
      <c r="K962" s="147"/>
    </row>
    <row r="963">
      <c r="A963" s="153">
        <v>960.0</v>
      </c>
      <c r="B963" s="154"/>
      <c r="C963" s="154" t="s">
        <v>208</v>
      </c>
      <c r="D963" s="154" t="s">
        <v>208</v>
      </c>
      <c r="E963" s="154" t="s">
        <v>208</v>
      </c>
      <c r="F963" s="154" t="s">
        <v>208</v>
      </c>
      <c r="G963" s="154" t="s">
        <v>208</v>
      </c>
      <c r="H963" s="155"/>
      <c r="I963" s="155"/>
      <c r="J963" s="155"/>
      <c r="K963" s="147"/>
    </row>
    <row r="964">
      <c r="A964" s="153">
        <v>961.0</v>
      </c>
      <c r="B964" s="154"/>
      <c r="C964" s="154" t="s">
        <v>208</v>
      </c>
      <c r="D964" s="154" t="s">
        <v>218</v>
      </c>
      <c r="E964" s="154" t="s">
        <v>208</v>
      </c>
      <c r="F964" s="154" t="s">
        <v>208</v>
      </c>
      <c r="G964" s="154" t="s">
        <v>208</v>
      </c>
      <c r="H964" s="155"/>
      <c r="I964" s="155"/>
      <c r="J964" s="155"/>
      <c r="K964" s="147"/>
    </row>
    <row r="965">
      <c r="A965" s="153">
        <v>962.0</v>
      </c>
      <c r="B965" s="154"/>
      <c r="C965" s="154" t="s">
        <v>208</v>
      </c>
      <c r="D965" s="154" t="s">
        <v>208</v>
      </c>
      <c r="E965" s="154" t="s">
        <v>208</v>
      </c>
      <c r="F965" s="154" t="s">
        <v>208</v>
      </c>
      <c r="G965" s="154" t="s">
        <v>208</v>
      </c>
      <c r="H965" s="155"/>
      <c r="I965" s="155"/>
      <c r="J965" s="155"/>
      <c r="K965" s="147"/>
    </row>
    <row r="966">
      <c r="A966" s="153">
        <v>963.0</v>
      </c>
      <c r="B966" s="154"/>
      <c r="C966" s="154" t="s">
        <v>208</v>
      </c>
      <c r="D966" s="154" t="s">
        <v>208</v>
      </c>
      <c r="E966" s="154" t="s">
        <v>208</v>
      </c>
      <c r="F966" s="154" t="s">
        <v>208</v>
      </c>
      <c r="G966" s="154" t="s">
        <v>208</v>
      </c>
      <c r="H966" s="155"/>
      <c r="I966" s="155"/>
      <c r="J966" s="155"/>
      <c r="K966" s="147"/>
    </row>
    <row r="967">
      <c r="A967" s="153">
        <v>964.0</v>
      </c>
      <c r="B967" s="154"/>
      <c r="C967" s="154" t="s">
        <v>208</v>
      </c>
      <c r="D967" s="154" t="s">
        <v>208</v>
      </c>
      <c r="E967" s="154" t="s">
        <v>208</v>
      </c>
      <c r="F967" s="154" t="s">
        <v>208</v>
      </c>
      <c r="G967" s="154" t="s">
        <v>208</v>
      </c>
      <c r="H967" s="155"/>
      <c r="I967" s="155"/>
      <c r="J967" s="155"/>
      <c r="K967" s="147"/>
    </row>
    <row r="968">
      <c r="A968" s="153">
        <v>965.0</v>
      </c>
      <c r="B968" s="154"/>
      <c r="C968" s="154" t="s">
        <v>208</v>
      </c>
      <c r="D968" s="154" t="s">
        <v>208</v>
      </c>
      <c r="E968" s="154" t="s">
        <v>208</v>
      </c>
      <c r="F968" s="154" t="s">
        <v>208</v>
      </c>
      <c r="G968" s="154" t="s">
        <v>208</v>
      </c>
      <c r="H968" s="155"/>
      <c r="I968" s="155"/>
      <c r="J968" s="155"/>
      <c r="K968" s="147"/>
    </row>
    <row r="969">
      <c r="A969" s="153">
        <v>966.0</v>
      </c>
      <c r="B969" s="154"/>
      <c r="C969" s="154"/>
      <c r="D969" s="154" t="s">
        <v>208</v>
      </c>
      <c r="E969" s="154"/>
      <c r="F969" s="154" t="s">
        <v>208</v>
      </c>
      <c r="G969" s="155"/>
      <c r="H969" s="154" t="s">
        <v>208</v>
      </c>
      <c r="I969" s="155"/>
      <c r="J969" s="155"/>
      <c r="K969" s="147"/>
    </row>
    <row r="970">
      <c r="A970" s="153">
        <v>967.0</v>
      </c>
      <c r="B970" s="154"/>
      <c r="C970" s="154" t="s">
        <v>208</v>
      </c>
      <c r="D970" s="154" t="s">
        <v>208</v>
      </c>
      <c r="E970" s="154" t="s">
        <v>208</v>
      </c>
      <c r="F970" s="154" t="s">
        <v>208</v>
      </c>
      <c r="G970" s="154" t="s">
        <v>208</v>
      </c>
      <c r="H970" s="155"/>
      <c r="I970" s="155"/>
      <c r="J970" s="155"/>
      <c r="K970" s="147"/>
    </row>
    <row r="971">
      <c r="A971" s="153">
        <v>968.0</v>
      </c>
      <c r="B971" s="154"/>
      <c r="C971" s="154"/>
      <c r="D971" s="154"/>
      <c r="E971" s="154"/>
      <c r="F971" s="154"/>
      <c r="G971" s="155"/>
      <c r="H971" s="155"/>
      <c r="I971" s="155"/>
      <c r="J971" s="154" t="s">
        <v>217</v>
      </c>
      <c r="K971" s="147"/>
    </row>
    <row r="972">
      <c r="A972" s="153">
        <v>969.0</v>
      </c>
      <c r="B972" s="154"/>
      <c r="C972" s="154" t="s">
        <v>208</v>
      </c>
      <c r="D972" s="154" t="s">
        <v>208</v>
      </c>
      <c r="E972" s="154" t="s">
        <v>208</v>
      </c>
      <c r="F972" s="154" t="s">
        <v>208</v>
      </c>
      <c r="G972" s="154" t="s">
        <v>208</v>
      </c>
      <c r="H972" s="155"/>
      <c r="I972" s="155"/>
      <c r="J972" s="155"/>
      <c r="K972" s="147"/>
    </row>
    <row r="973">
      <c r="A973" s="153">
        <v>970.0</v>
      </c>
      <c r="B973" s="154"/>
      <c r="C973" s="154" t="s">
        <v>208</v>
      </c>
      <c r="D973" s="154" t="s">
        <v>208</v>
      </c>
      <c r="E973" s="154" t="s">
        <v>208</v>
      </c>
      <c r="F973" s="154" t="s">
        <v>208</v>
      </c>
      <c r="G973" s="154" t="s">
        <v>208</v>
      </c>
      <c r="H973" s="155"/>
      <c r="I973" s="155"/>
      <c r="J973" s="155"/>
      <c r="K973" s="147"/>
    </row>
    <row r="974">
      <c r="A974" s="153">
        <v>971.0</v>
      </c>
      <c r="B974" s="154"/>
      <c r="C974" s="154" t="s">
        <v>208</v>
      </c>
      <c r="D974" s="154" t="s">
        <v>208</v>
      </c>
      <c r="E974" s="154" t="s">
        <v>208</v>
      </c>
      <c r="F974" s="154" t="s">
        <v>208</v>
      </c>
      <c r="G974" s="154" t="s">
        <v>208</v>
      </c>
      <c r="H974" s="155"/>
      <c r="I974" s="155"/>
      <c r="J974" s="155"/>
      <c r="K974" s="147"/>
    </row>
    <row r="975">
      <c r="A975" s="153">
        <v>972.0</v>
      </c>
      <c r="B975" s="154"/>
      <c r="C975" s="154" t="s">
        <v>208</v>
      </c>
      <c r="D975" s="154" t="s">
        <v>208</v>
      </c>
      <c r="E975" s="154" t="s">
        <v>208</v>
      </c>
      <c r="F975" s="154" t="s">
        <v>208</v>
      </c>
      <c r="G975" s="154" t="s">
        <v>208</v>
      </c>
      <c r="H975" s="155"/>
      <c r="I975" s="155"/>
      <c r="J975" s="155"/>
      <c r="K975" s="147"/>
    </row>
    <row r="976">
      <c r="A976" s="153">
        <v>973.0</v>
      </c>
      <c r="B976" s="154"/>
      <c r="C976" s="154" t="s">
        <v>208</v>
      </c>
      <c r="D976" s="154" t="s">
        <v>208</v>
      </c>
      <c r="E976" s="154" t="s">
        <v>208</v>
      </c>
      <c r="F976" s="154" t="s">
        <v>208</v>
      </c>
      <c r="G976" s="154" t="s">
        <v>208</v>
      </c>
      <c r="H976" s="155"/>
      <c r="I976" s="155"/>
      <c r="J976" s="155"/>
      <c r="K976" s="147"/>
    </row>
    <row r="977">
      <c r="A977" s="153">
        <v>974.0</v>
      </c>
      <c r="B977" s="154"/>
      <c r="C977" s="154" t="s">
        <v>208</v>
      </c>
      <c r="D977" s="154" t="s">
        <v>208</v>
      </c>
      <c r="E977" s="154" t="s">
        <v>208</v>
      </c>
      <c r="F977" s="154" t="s">
        <v>208</v>
      </c>
      <c r="G977" s="154" t="s">
        <v>208</v>
      </c>
      <c r="H977" s="155"/>
      <c r="I977" s="155"/>
      <c r="J977" s="155"/>
      <c r="K977" s="147"/>
    </row>
    <row r="978">
      <c r="A978" s="153">
        <v>975.0</v>
      </c>
      <c r="B978" s="154"/>
      <c r="C978" s="154" t="s">
        <v>208</v>
      </c>
      <c r="D978" s="154" t="s">
        <v>208</v>
      </c>
      <c r="E978" s="154" t="s">
        <v>208</v>
      </c>
      <c r="F978" s="154" t="s">
        <v>208</v>
      </c>
      <c r="G978" s="154" t="s">
        <v>208</v>
      </c>
      <c r="H978" s="155"/>
      <c r="I978" s="155"/>
      <c r="J978" s="155"/>
      <c r="K978" s="147"/>
    </row>
    <row r="979">
      <c r="A979" s="153">
        <v>976.0</v>
      </c>
      <c r="B979" s="154"/>
      <c r="C979" s="154"/>
      <c r="D979" s="154"/>
      <c r="E979" s="154"/>
      <c r="F979" s="154"/>
      <c r="G979" s="154"/>
      <c r="H979" s="155"/>
      <c r="I979" s="155"/>
      <c r="J979" s="155"/>
      <c r="K979" s="147"/>
    </row>
    <row r="980">
      <c r="A980" s="153">
        <v>977.0</v>
      </c>
      <c r="B980" s="154"/>
      <c r="C980" s="154"/>
      <c r="D980" s="154"/>
      <c r="E980" s="154"/>
      <c r="F980" s="154"/>
      <c r="G980" s="155"/>
      <c r="H980" s="155"/>
      <c r="I980" s="155"/>
      <c r="J980" s="155"/>
      <c r="K980" s="147"/>
    </row>
    <row r="981">
      <c r="A981" s="153">
        <v>978.0</v>
      </c>
      <c r="B981" s="154"/>
      <c r="C981" s="154" t="s">
        <v>208</v>
      </c>
      <c r="D981" s="154" t="s">
        <v>208</v>
      </c>
      <c r="E981" s="154" t="s">
        <v>208</v>
      </c>
      <c r="F981" s="154" t="s">
        <v>208</v>
      </c>
      <c r="G981" s="154" t="s">
        <v>208</v>
      </c>
      <c r="H981" s="155"/>
      <c r="I981" s="155"/>
      <c r="J981" s="155"/>
      <c r="K981" s="147"/>
    </row>
    <row r="982">
      <c r="A982" s="153">
        <v>979.0</v>
      </c>
      <c r="B982" s="154"/>
      <c r="C982" s="154" t="s">
        <v>208</v>
      </c>
      <c r="D982" s="154" t="s">
        <v>208</v>
      </c>
      <c r="E982" s="154" t="s">
        <v>208</v>
      </c>
      <c r="F982" s="154" t="s">
        <v>208</v>
      </c>
      <c r="G982" s="154" t="s">
        <v>208</v>
      </c>
      <c r="H982" s="155"/>
      <c r="I982" s="155"/>
      <c r="J982" s="155"/>
      <c r="K982" s="147"/>
    </row>
    <row r="983">
      <c r="A983" s="153">
        <v>980.0</v>
      </c>
      <c r="B983" s="154"/>
      <c r="C983" s="154"/>
      <c r="D983" s="154" t="s">
        <v>208</v>
      </c>
      <c r="E983" s="154" t="s">
        <v>208</v>
      </c>
      <c r="F983" s="154" t="s">
        <v>208</v>
      </c>
      <c r="G983" s="155"/>
      <c r="H983" s="154" t="s">
        <v>208</v>
      </c>
      <c r="I983" s="155"/>
      <c r="J983" s="155"/>
      <c r="K983" s="147"/>
    </row>
    <row r="984">
      <c r="A984" s="153">
        <v>981.0</v>
      </c>
      <c r="B984" s="154"/>
      <c r="C984" s="154"/>
      <c r="D984" s="154" t="s">
        <v>208</v>
      </c>
      <c r="E984" s="154" t="s">
        <v>208</v>
      </c>
      <c r="F984" s="154" t="s">
        <v>208</v>
      </c>
      <c r="G984" s="155"/>
      <c r="H984" s="154" t="s">
        <v>208</v>
      </c>
      <c r="I984" s="155"/>
      <c r="J984" s="155"/>
      <c r="K984" s="147"/>
    </row>
    <row r="985">
      <c r="A985" s="153">
        <v>982.0</v>
      </c>
      <c r="B985" s="154"/>
      <c r="C985" s="154"/>
      <c r="D985" s="154" t="s">
        <v>208</v>
      </c>
      <c r="E985" s="154" t="s">
        <v>208</v>
      </c>
      <c r="F985" s="154" t="s">
        <v>208</v>
      </c>
      <c r="G985" s="155"/>
      <c r="H985" s="154" t="s">
        <v>208</v>
      </c>
      <c r="I985" s="155"/>
      <c r="J985" s="155"/>
      <c r="K985" s="147"/>
    </row>
    <row r="986">
      <c r="A986" s="153">
        <v>983.0</v>
      </c>
      <c r="B986" s="154"/>
      <c r="C986" s="154" t="s">
        <v>208</v>
      </c>
      <c r="D986" s="154" t="s">
        <v>208</v>
      </c>
      <c r="E986" s="154" t="s">
        <v>208</v>
      </c>
      <c r="F986" s="154" t="s">
        <v>208</v>
      </c>
      <c r="G986" s="154" t="s">
        <v>208</v>
      </c>
      <c r="H986" s="155"/>
      <c r="I986" s="155"/>
      <c r="J986" s="155"/>
      <c r="K986" s="147"/>
    </row>
    <row r="987">
      <c r="A987" s="153">
        <v>984.0</v>
      </c>
      <c r="B987" s="154"/>
      <c r="C987" s="154" t="s">
        <v>208</v>
      </c>
      <c r="D987" s="154" t="s">
        <v>218</v>
      </c>
      <c r="E987" s="154" t="s">
        <v>208</v>
      </c>
      <c r="F987" s="154" t="s">
        <v>208</v>
      </c>
      <c r="G987" s="154" t="s">
        <v>208</v>
      </c>
      <c r="H987" s="155"/>
      <c r="I987" s="155"/>
      <c r="J987" s="155"/>
      <c r="K987" s="147"/>
    </row>
    <row r="988">
      <c r="A988" s="153">
        <v>985.0</v>
      </c>
      <c r="B988" s="154"/>
      <c r="C988" s="154" t="s">
        <v>208</v>
      </c>
      <c r="D988" s="154" t="s">
        <v>208</v>
      </c>
      <c r="E988" s="154" t="s">
        <v>208</v>
      </c>
      <c r="F988" s="154" t="s">
        <v>208</v>
      </c>
      <c r="G988" s="154" t="s">
        <v>208</v>
      </c>
      <c r="H988" s="155"/>
      <c r="I988" s="155"/>
      <c r="J988" s="155"/>
      <c r="K988" s="147"/>
    </row>
    <row r="989">
      <c r="A989" s="153">
        <v>986.0</v>
      </c>
      <c r="B989" s="154"/>
      <c r="C989" s="154" t="s">
        <v>208</v>
      </c>
      <c r="D989" s="154" t="s">
        <v>208</v>
      </c>
      <c r="E989" s="154" t="s">
        <v>208</v>
      </c>
      <c r="F989" s="154" t="s">
        <v>208</v>
      </c>
      <c r="G989" s="154" t="s">
        <v>208</v>
      </c>
      <c r="H989" s="155"/>
      <c r="I989" s="155"/>
      <c r="J989" s="155"/>
      <c r="K989" s="147"/>
    </row>
    <row r="990">
      <c r="A990" s="153">
        <v>987.0</v>
      </c>
      <c r="B990" s="154"/>
      <c r="C990" s="154" t="s">
        <v>208</v>
      </c>
      <c r="D990" s="154" t="s">
        <v>208</v>
      </c>
      <c r="E990" s="154" t="s">
        <v>208</v>
      </c>
      <c r="F990" s="154" t="s">
        <v>208</v>
      </c>
      <c r="G990" s="154" t="s">
        <v>208</v>
      </c>
      <c r="H990" s="155"/>
      <c r="I990" s="155"/>
      <c r="J990" s="155"/>
      <c r="K990" s="147"/>
    </row>
    <row r="991">
      <c r="A991" s="153">
        <v>988.0</v>
      </c>
      <c r="B991" s="154"/>
      <c r="C991" s="154" t="s">
        <v>208</v>
      </c>
      <c r="D991" s="154" t="s">
        <v>208</v>
      </c>
      <c r="E991" s="154" t="s">
        <v>208</v>
      </c>
      <c r="F991" s="154" t="s">
        <v>208</v>
      </c>
      <c r="G991" s="154" t="s">
        <v>208</v>
      </c>
      <c r="H991" s="155"/>
      <c r="I991" s="155"/>
      <c r="J991" s="155"/>
      <c r="K991" s="147"/>
    </row>
    <row r="992">
      <c r="A992" s="153">
        <v>989.0</v>
      </c>
      <c r="B992" s="154"/>
      <c r="C992" s="154"/>
      <c r="D992" s="154" t="s">
        <v>208</v>
      </c>
      <c r="E992" s="154" t="s">
        <v>208</v>
      </c>
      <c r="F992" s="154" t="s">
        <v>208</v>
      </c>
      <c r="G992" s="155"/>
      <c r="H992" s="154" t="s">
        <v>208</v>
      </c>
      <c r="I992" s="155"/>
      <c r="J992" s="155"/>
      <c r="K992" s="147"/>
    </row>
    <row r="993">
      <c r="A993" s="153">
        <v>990.0</v>
      </c>
      <c r="B993" s="154"/>
      <c r="C993" s="154" t="s">
        <v>208</v>
      </c>
      <c r="D993" s="154" t="s">
        <v>208</v>
      </c>
      <c r="E993" s="154" t="s">
        <v>208</v>
      </c>
      <c r="F993" s="154" t="s">
        <v>208</v>
      </c>
      <c r="G993" s="154" t="s">
        <v>208</v>
      </c>
      <c r="H993" s="155"/>
      <c r="I993" s="155"/>
      <c r="J993" s="155"/>
      <c r="K993" s="147"/>
    </row>
    <row r="994">
      <c r="A994" s="153">
        <v>991.0</v>
      </c>
      <c r="B994" s="154"/>
      <c r="C994" s="154" t="s">
        <v>208</v>
      </c>
      <c r="D994" s="154" t="s">
        <v>208</v>
      </c>
      <c r="E994" s="154" t="s">
        <v>208</v>
      </c>
      <c r="F994" s="154" t="s">
        <v>208</v>
      </c>
      <c r="G994" s="154" t="s">
        <v>208</v>
      </c>
      <c r="H994" s="155"/>
      <c r="I994" s="155"/>
      <c r="J994" s="155"/>
      <c r="K994" s="147"/>
    </row>
    <row r="995">
      <c r="A995" s="153">
        <v>992.0</v>
      </c>
      <c r="B995" s="154"/>
      <c r="C995" s="154" t="s">
        <v>208</v>
      </c>
      <c r="D995" s="154" t="s">
        <v>218</v>
      </c>
      <c r="E995" s="154" t="s">
        <v>208</v>
      </c>
      <c r="F995" s="154" t="s">
        <v>208</v>
      </c>
      <c r="G995" s="154" t="s">
        <v>208</v>
      </c>
      <c r="H995" s="155"/>
      <c r="I995" s="155"/>
      <c r="J995" s="155"/>
      <c r="K995" s="147"/>
    </row>
    <row r="996">
      <c r="A996" s="153">
        <v>993.0</v>
      </c>
      <c r="B996" s="154"/>
      <c r="C996" s="154" t="s">
        <v>208</v>
      </c>
      <c r="D996" s="154" t="s">
        <v>208</v>
      </c>
      <c r="E996" s="154" t="s">
        <v>208</v>
      </c>
      <c r="F996" s="154" t="s">
        <v>208</v>
      </c>
      <c r="G996" s="154" t="s">
        <v>208</v>
      </c>
      <c r="H996" s="155"/>
      <c r="I996" s="155"/>
      <c r="J996" s="155"/>
      <c r="K996" s="147"/>
    </row>
    <row r="997">
      <c r="A997" s="153">
        <v>994.0</v>
      </c>
      <c r="B997" s="154"/>
      <c r="C997" s="154" t="s">
        <v>208</v>
      </c>
      <c r="D997" s="154" t="s">
        <v>208</v>
      </c>
      <c r="E997" s="154" t="s">
        <v>208</v>
      </c>
      <c r="F997" s="154" t="s">
        <v>208</v>
      </c>
      <c r="G997" s="154" t="s">
        <v>208</v>
      </c>
      <c r="H997" s="155"/>
      <c r="I997" s="155"/>
      <c r="J997" s="155"/>
      <c r="K997" s="147"/>
    </row>
    <row r="998">
      <c r="A998" s="153">
        <v>995.0</v>
      </c>
      <c r="B998" s="154"/>
      <c r="C998" s="154" t="s">
        <v>208</v>
      </c>
      <c r="D998" s="154" t="s">
        <v>208</v>
      </c>
      <c r="E998" s="154" t="s">
        <v>208</v>
      </c>
      <c r="F998" s="154" t="s">
        <v>208</v>
      </c>
      <c r="G998" s="154" t="s">
        <v>208</v>
      </c>
      <c r="H998" s="155"/>
      <c r="I998" s="155"/>
      <c r="J998" s="155"/>
      <c r="K998" s="147"/>
    </row>
    <row r="999">
      <c r="A999" s="153">
        <v>996.0</v>
      </c>
      <c r="B999" s="154"/>
      <c r="C999" s="154" t="s">
        <v>208</v>
      </c>
      <c r="D999" s="154" t="s">
        <v>208</v>
      </c>
      <c r="E999" s="154" t="s">
        <v>208</v>
      </c>
      <c r="F999" s="154" t="s">
        <v>208</v>
      </c>
      <c r="G999" s="154" t="s">
        <v>208</v>
      </c>
      <c r="H999" s="155"/>
      <c r="I999" s="155"/>
      <c r="J999" s="155"/>
      <c r="K999" s="147"/>
    </row>
    <row r="1000">
      <c r="A1000" s="153">
        <v>997.0</v>
      </c>
      <c r="B1000" s="154"/>
      <c r="C1000" s="154" t="s">
        <v>208</v>
      </c>
      <c r="D1000" s="154" t="s">
        <v>218</v>
      </c>
      <c r="E1000" s="154" t="s">
        <v>208</v>
      </c>
      <c r="F1000" s="154" t="s">
        <v>208</v>
      </c>
      <c r="G1000" s="154" t="s">
        <v>208</v>
      </c>
      <c r="H1000" s="155"/>
      <c r="I1000" s="155"/>
      <c r="J1000" s="155"/>
      <c r="K1000" s="147"/>
    </row>
    <row r="1001">
      <c r="A1001" s="153">
        <v>998.0</v>
      </c>
      <c r="B1001" s="154"/>
      <c r="C1001" s="154" t="s">
        <v>208</v>
      </c>
      <c r="D1001" s="154" t="s">
        <v>208</v>
      </c>
      <c r="E1001" s="154" t="s">
        <v>208</v>
      </c>
      <c r="F1001" s="154" t="s">
        <v>208</v>
      </c>
      <c r="G1001" s="154" t="s">
        <v>208</v>
      </c>
      <c r="H1001" s="155"/>
      <c r="I1001" s="155"/>
      <c r="J1001" s="155"/>
      <c r="K1001" s="147"/>
    </row>
    <row r="1002">
      <c r="A1002" s="153">
        <v>999.0</v>
      </c>
      <c r="B1002" s="154"/>
      <c r="C1002" s="154" t="s">
        <v>208</v>
      </c>
      <c r="D1002" s="154" t="s">
        <v>208</v>
      </c>
      <c r="E1002" s="154" t="s">
        <v>208</v>
      </c>
      <c r="F1002" s="154" t="s">
        <v>208</v>
      </c>
      <c r="G1002" s="154" t="s">
        <v>208</v>
      </c>
      <c r="H1002" s="155"/>
      <c r="I1002" s="155"/>
      <c r="J1002" s="155"/>
      <c r="K1002" s="147"/>
    </row>
    <row r="1003">
      <c r="A1003" s="153">
        <v>1000.0</v>
      </c>
      <c r="B1003" s="154"/>
      <c r="C1003" s="154" t="s">
        <v>208</v>
      </c>
      <c r="D1003" s="154" t="s">
        <v>208</v>
      </c>
      <c r="E1003" s="154" t="s">
        <v>208</v>
      </c>
      <c r="F1003" s="154" t="s">
        <v>208</v>
      </c>
      <c r="G1003" s="154" t="s">
        <v>208</v>
      </c>
      <c r="H1003" s="155"/>
      <c r="I1003" s="155"/>
      <c r="J1003" s="155"/>
      <c r="K1003" s="147"/>
    </row>
    <row r="1004">
      <c r="A1004" s="153">
        <v>1001.0</v>
      </c>
      <c r="B1004" s="154"/>
      <c r="C1004" s="154" t="s">
        <v>208</v>
      </c>
      <c r="D1004" s="154" t="s">
        <v>208</v>
      </c>
      <c r="E1004" s="154" t="s">
        <v>208</v>
      </c>
      <c r="F1004" s="154" t="s">
        <v>208</v>
      </c>
      <c r="G1004" s="154" t="s">
        <v>208</v>
      </c>
      <c r="H1004" s="155"/>
      <c r="I1004" s="155"/>
      <c r="J1004" s="155"/>
      <c r="K1004" s="147"/>
    </row>
    <row r="1005">
      <c r="A1005" s="153">
        <v>1002.0</v>
      </c>
      <c r="B1005" s="154"/>
      <c r="C1005" s="154" t="s">
        <v>208</v>
      </c>
      <c r="D1005" s="154" t="s">
        <v>208</v>
      </c>
      <c r="E1005" s="154" t="s">
        <v>208</v>
      </c>
      <c r="F1005" s="154" t="s">
        <v>208</v>
      </c>
      <c r="G1005" s="154" t="s">
        <v>208</v>
      </c>
      <c r="H1005" s="155"/>
      <c r="I1005" s="155"/>
      <c r="J1005" s="155"/>
      <c r="K1005" s="147"/>
    </row>
    <row r="1006">
      <c r="A1006" s="153">
        <v>1003.0</v>
      </c>
      <c r="B1006" s="155"/>
      <c r="C1006" s="154"/>
      <c r="D1006" s="154" t="s">
        <v>208</v>
      </c>
      <c r="E1006" s="154" t="s">
        <v>208</v>
      </c>
      <c r="F1006" s="154" t="s">
        <v>208</v>
      </c>
      <c r="G1006" s="154"/>
      <c r="H1006" s="154" t="s">
        <v>208</v>
      </c>
      <c r="I1006" s="155"/>
      <c r="J1006" s="155"/>
      <c r="K1006" s="147"/>
    </row>
    <row r="1007">
      <c r="A1007" s="153">
        <v>1004.0</v>
      </c>
      <c r="B1007" s="154"/>
      <c r="C1007" s="154" t="s">
        <v>208</v>
      </c>
      <c r="D1007" s="154" t="s">
        <v>208</v>
      </c>
      <c r="E1007" s="154" t="s">
        <v>208</v>
      </c>
      <c r="F1007" s="154" t="s">
        <v>208</v>
      </c>
      <c r="G1007" s="154" t="s">
        <v>208</v>
      </c>
      <c r="H1007" s="155"/>
      <c r="I1007" s="155"/>
      <c r="J1007" s="155"/>
      <c r="K1007" s="147"/>
    </row>
    <row r="1008">
      <c r="A1008" s="153">
        <v>1005.0</v>
      </c>
      <c r="B1008" s="154"/>
      <c r="C1008" s="154" t="s">
        <v>208</v>
      </c>
      <c r="D1008" s="154" t="s">
        <v>208</v>
      </c>
      <c r="E1008" s="154" t="s">
        <v>208</v>
      </c>
      <c r="F1008" s="154" t="s">
        <v>208</v>
      </c>
      <c r="G1008" s="154" t="s">
        <v>208</v>
      </c>
      <c r="H1008" s="155"/>
      <c r="I1008" s="155"/>
      <c r="J1008" s="155"/>
      <c r="K1008" s="147"/>
    </row>
    <row r="1009">
      <c r="A1009" s="153">
        <v>1006.0</v>
      </c>
      <c r="B1009" s="154"/>
      <c r="C1009" s="154"/>
      <c r="D1009" s="154"/>
      <c r="E1009" s="154"/>
      <c r="F1009" s="154"/>
      <c r="G1009" s="155"/>
      <c r="H1009" s="155"/>
      <c r="I1009" s="155"/>
      <c r="J1009" s="154" t="s">
        <v>217</v>
      </c>
      <c r="K1009" s="147"/>
    </row>
    <row r="1010">
      <c r="A1010" s="153">
        <v>1007.0</v>
      </c>
      <c r="B1010" s="154"/>
      <c r="C1010" s="154" t="s">
        <v>208</v>
      </c>
      <c r="D1010" s="154" t="s">
        <v>208</v>
      </c>
      <c r="E1010" s="154" t="s">
        <v>208</v>
      </c>
      <c r="F1010" s="154" t="s">
        <v>208</v>
      </c>
      <c r="G1010" s="154" t="s">
        <v>208</v>
      </c>
      <c r="H1010" s="155"/>
      <c r="I1010" s="155"/>
      <c r="J1010" s="155"/>
      <c r="K1010" s="147"/>
    </row>
    <row r="1011">
      <c r="A1011" s="153">
        <v>1008.0</v>
      </c>
      <c r="B1011" s="154"/>
      <c r="C1011" s="154" t="s">
        <v>208</v>
      </c>
      <c r="D1011" s="154" t="s">
        <v>218</v>
      </c>
      <c r="E1011" s="154" t="s">
        <v>208</v>
      </c>
      <c r="F1011" s="154" t="s">
        <v>208</v>
      </c>
      <c r="G1011" s="154" t="s">
        <v>208</v>
      </c>
      <c r="H1011" s="155"/>
      <c r="I1011" s="155"/>
      <c r="J1011" s="155"/>
      <c r="K1011" s="147"/>
    </row>
    <row r="1012">
      <c r="A1012" s="153">
        <v>1009.0</v>
      </c>
      <c r="B1012" s="154"/>
      <c r="C1012" s="154"/>
      <c r="D1012" s="154" t="s">
        <v>208</v>
      </c>
      <c r="E1012" s="154" t="s">
        <v>208</v>
      </c>
      <c r="F1012" s="154" t="s">
        <v>208</v>
      </c>
      <c r="G1012" s="155"/>
      <c r="H1012" s="154" t="s">
        <v>208</v>
      </c>
      <c r="I1012" s="155"/>
      <c r="J1012" s="155"/>
      <c r="K1012" s="147"/>
    </row>
    <row r="1013">
      <c r="A1013" s="153">
        <v>1010.0</v>
      </c>
      <c r="B1013" s="154"/>
      <c r="C1013" s="154" t="s">
        <v>208</v>
      </c>
      <c r="D1013" s="154" t="s">
        <v>208</v>
      </c>
      <c r="E1013" s="154" t="s">
        <v>208</v>
      </c>
      <c r="F1013" s="154" t="s">
        <v>208</v>
      </c>
      <c r="G1013" s="154" t="s">
        <v>208</v>
      </c>
      <c r="H1013" s="153"/>
      <c r="I1013" s="155"/>
      <c r="J1013" s="155"/>
      <c r="K1013" s="147"/>
    </row>
    <row r="1014">
      <c r="A1014" s="153">
        <v>1011.0</v>
      </c>
      <c r="B1014" s="154"/>
      <c r="C1014" s="154" t="s">
        <v>208</v>
      </c>
      <c r="D1014" s="154" t="s">
        <v>208</v>
      </c>
      <c r="E1014" s="154" t="s">
        <v>208</v>
      </c>
      <c r="F1014" s="154" t="s">
        <v>208</v>
      </c>
      <c r="G1014" s="154" t="s">
        <v>208</v>
      </c>
      <c r="H1014" s="155"/>
      <c r="I1014" s="155"/>
      <c r="J1014" s="155"/>
      <c r="K1014" s="147"/>
    </row>
    <row r="1015">
      <c r="A1015" s="153">
        <v>1012.0</v>
      </c>
      <c r="B1015" s="154"/>
      <c r="C1015" s="154" t="s">
        <v>208</v>
      </c>
      <c r="D1015" s="154" t="s">
        <v>208</v>
      </c>
      <c r="E1015" s="154" t="s">
        <v>208</v>
      </c>
      <c r="F1015" s="154" t="s">
        <v>208</v>
      </c>
      <c r="G1015" s="154" t="s">
        <v>208</v>
      </c>
      <c r="H1015" s="155"/>
      <c r="I1015" s="155"/>
      <c r="J1015" s="155"/>
      <c r="K1015" s="147"/>
    </row>
    <row r="1016">
      <c r="A1016" s="153">
        <v>1013.0</v>
      </c>
      <c r="B1016" s="154"/>
      <c r="C1016" s="154" t="s">
        <v>208</v>
      </c>
      <c r="D1016" s="154" t="s">
        <v>208</v>
      </c>
      <c r="E1016" s="154" t="s">
        <v>208</v>
      </c>
      <c r="F1016" s="154" t="s">
        <v>208</v>
      </c>
      <c r="G1016" s="154" t="s">
        <v>208</v>
      </c>
      <c r="H1016" s="155"/>
      <c r="I1016" s="155"/>
      <c r="J1016" s="155"/>
      <c r="K1016" s="147"/>
    </row>
    <row r="1017">
      <c r="A1017" s="153">
        <v>1014.0</v>
      </c>
      <c r="B1017" s="154"/>
      <c r="C1017" s="154" t="s">
        <v>208</v>
      </c>
      <c r="D1017" s="154" t="s">
        <v>208</v>
      </c>
      <c r="E1017" s="154" t="s">
        <v>208</v>
      </c>
      <c r="F1017" s="154" t="s">
        <v>208</v>
      </c>
      <c r="G1017" s="154" t="s">
        <v>208</v>
      </c>
      <c r="H1017" s="155"/>
      <c r="I1017" s="155"/>
      <c r="J1017" s="155"/>
      <c r="K1017" s="147"/>
    </row>
    <row r="1018">
      <c r="A1018" s="153">
        <v>1015.0</v>
      </c>
      <c r="B1018" s="154"/>
      <c r="C1018" s="154" t="s">
        <v>208</v>
      </c>
      <c r="D1018" s="154" t="s">
        <v>218</v>
      </c>
      <c r="E1018" s="154" t="s">
        <v>208</v>
      </c>
      <c r="F1018" s="154" t="s">
        <v>208</v>
      </c>
      <c r="G1018" s="154" t="s">
        <v>208</v>
      </c>
      <c r="H1018" s="155"/>
      <c r="I1018" s="155"/>
      <c r="J1018" s="155"/>
      <c r="K1018" s="147"/>
    </row>
    <row r="1019">
      <c r="A1019" s="153">
        <v>1016.0</v>
      </c>
      <c r="B1019" s="154"/>
      <c r="C1019" s="154" t="s">
        <v>208</v>
      </c>
      <c r="D1019" s="154" t="s">
        <v>218</v>
      </c>
      <c r="E1019" s="154" t="s">
        <v>208</v>
      </c>
      <c r="F1019" s="154" t="s">
        <v>208</v>
      </c>
      <c r="G1019" s="154" t="s">
        <v>208</v>
      </c>
      <c r="H1019" s="155"/>
      <c r="I1019" s="155"/>
      <c r="J1019" s="155"/>
      <c r="K1019" s="147"/>
    </row>
    <row r="1020">
      <c r="A1020" s="153">
        <v>1017.0</v>
      </c>
      <c r="B1020" s="154"/>
      <c r="C1020" s="154" t="s">
        <v>208</v>
      </c>
      <c r="D1020" s="154" t="s">
        <v>208</v>
      </c>
      <c r="E1020" s="154" t="s">
        <v>208</v>
      </c>
      <c r="F1020" s="154" t="s">
        <v>208</v>
      </c>
      <c r="G1020" s="154" t="s">
        <v>208</v>
      </c>
      <c r="H1020" s="153"/>
      <c r="I1020" s="155"/>
      <c r="J1020" s="155"/>
      <c r="K1020" s="147"/>
    </row>
    <row r="1021">
      <c r="A1021" s="153">
        <v>1018.0</v>
      </c>
      <c r="B1021" s="154"/>
      <c r="C1021" s="154"/>
      <c r="D1021" s="154"/>
      <c r="E1021" s="154"/>
      <c r="F1021" s="154"/>
      <c r="G1021" s="155"/>
      <c r="H1021" s="155"/>
      <c r="I1021" s="155"/>
      <c r="J1021" s="154" t="s">
        <v>217</v>
      </c>
      <c r="K1021" s="147"/>
    </row>
    <row r="1022">
      <c r="A1022" s="153">
        <v>1019.0</v>
      </c>
      <c r="B1022" s="155"/>
      <c r="C1022" s="154"/>
      <c r="D1022" s="154" t="s">
        <v>208</v>
      </c>
      <c r="E1022" s="154" t="s">
        <v>208</v>
      </c>
      <c r="F1022" s="154" t="s">
        <v>208</v>
      </c>
      <c r="G1022" s="154"/>
      <c r="H1022" s="154" t="s">
        <v>208</v>
      </c>
      <c r="I1022" s="155"/>
      <c r="J1022" s="155"/>
      <c r="K1022" s="147"/>
    </row>
    <row r="1023">
      <c r="A1023" s="153">
        <v>1020.0</v>
      </c>
      <c r="B1023" s="154"/>
      <c r="C1023" s="154" t="s">
        <v>208</v>
      </c>
      <c r="D1023" s="154" t="s">
        <v>208</v>
      </c>
      <c r="E1023" s="154" t="s">
        <v>208</v>
      </c>
      <c r="F1023" s="154" t="s">
        <v>208</v>
      </c>
      <c r="G1023" s="154" t="s">
        <v>208</v>
      </c>
      <c r="H1023" s="155"/>
      <c r="I1023" s="155"/>
      <c r="J1023" s="155"/>
      <c r="K1023" s="147"/>
    </row>
    <row r="1024">
      <c r="A1024" s="153">
        <v>1021.0</v>
      </c>
      <c r="B1024" s="154"/>
      <c r="C1024" s="154" t="s">
        <v>208</v>
      </c>
      <c r="D1024" s="154" t="s">
        <v>208</v>
      </c>
      <c r="E1024" s="154" t="s">
        <v>208</v>
      </c>
      <c r="F1024" s="154" t="s">
        <v>208</v>
      </c>
      <c r="G1024" s="154" t="s">
        <v>208</v>
      </c>
      <c r="H1024" s="155"/>
      <c r="I1024" s="155"/>
      <c r="J1024" s="155"/>
      <c r="K1024" s="147"/>
    </row>
    <row r="1025">
      <c r="A1025" s="153">
        <v>1022.0</v>
      </c>
      <c r="B1025" s="154"/>
      <c r="C1025" s="154" t="s">
        <v>208</v>
      </c>
      <c r="D1025" s="154" t="s">
        <v>208</v>
      </c>
      <c r="E1025" s="154" t="s">
        <v>208</v>
      </c>
      <c r="F1025" s="154" t="s">
        <v>208</v>
      </c>
      <c r="G1025" s="154" t="s">
        <v>208</v>
      </c>
      <c r="H1025" s="155"/>
      <c r="I1025" s="155"/>
      <c r="J1025" s="155"/>
      <c r="K1025" s="147"/>
    </row>
    <row r="1026">
      <c r="A1026" s="153">
        <v>1023.0</v>
      </c>
      <c r="B1026" s="154"/>
      <c r="C1026" s="154" t="s">
        <v>208</v>
      </c>
      <c r="D1026" s="154" t="s">
        <v>218</v>
      </c>
      <c r="E1026" s="154" t="s">
        <v>208</v>
      </c>
      <c r="F1026" s="154" t="s">
        <v>208</v>
      </c>
      <c r="G1026" s="154" t="s">
        <v>208</v>
      </c>
      <c r="H1026" s="155"/>
      <c r="I1026" s="155"/>
      <c r="J1026" s="155"/>
      <c r="K1026" s="147"/>
    </row>
    <row r="1027">
      <c r="A1027" s="153">
        <v>1024.0</v>
      </c>
      <c r="B1027" s="154"/>
      <c r="C1027" s="154" t="s">
        <v>208</v>
      </c>
      <c r="D1027" s="154" t="s">
        <v>208</v>
      </c>
      <c r="E1027" s="154" t="s">
        <v>208</v>
      </c>
      <c r="F1027" s="154" t="s">
        <v>208</v>
      </c>
      <c r="G1027" s="154" t="s">
        <v>208</v>
      </c>
      <c r="H1027" s="155"/>
      <c r="I1027" s="155"/>
      <c r="J1027" s="155"/>
      <c r="K1027" s="147"/>
    </row>
    <row r="1028">
      <c r="A1028" s="153">
        <v>1025.0</v>
      </c>
      <c r="B1028" s="154"/>
      <c r="C1028" s="154" t="s">
        <v>208</v>
      </c>
      <c r="D1028" s="154" t="s">
        <v>208</v>
      </c>
      <c r="E1028" s="154" t="s">
        <v>208</v>
      </c>
      <c r="F1028" s="154" t="s">
        <v>208</v>
      </c>
      <c r="G1028" s="154" t="s">
        <v>208</v>
      </c>
      <c r="H1028" s="155"/>
      <c r="I1028" s="155"/>
      <c r="J1028" s="155"/>
      <c r="K1028" s="147"/>
    </row>
    <row r="1029">
      <c r="A1029" s="153">
        <v>1026.0</v>
      </c>
      <c r="B1029" s="154"/>
      <c r="C1029" s="154" t="s">
        <v>208</v>
      </c>
      <c r="D1029" s="154" t="s">
        <v>208</v>
      </c>
      <c r="E1029" s="154" t="s">
        <v>208</v>
      </c>
      <c r="F1029" s="154" t="s">
        <v>208</v>
      </c>
      <c r="G1029" s="154" t="s">
        <v>208</v>
      </c>
      <c r="H1029" s="155"/>
      <c r="I1029" s="155"/>
      <c r="J1029" s="155"/>
      <c r="K1029" s="147"/>
    </row>
    <row r="1030">
      <c r="A1030" s="153">
        <v>1027.0</v>
      </c>
      <c r="B1030" s="154"/>
      <c r="C1030" s="154" t="s">
        <v>208</v>
      </c>
      <c r="D1030" s="154" t="s">
        <v>208</v>
      </c>
      <c r="E1030" s="154" t="s">
        <v>208</v>
      </c>
      <c r="F1030" s="154" t="s">
        <v>208</v>
      </c>
      <c r="G1030" s="154" t="s">
        <v>208</v>
      </c>
      <c r="H1030" s="155"/>
      <c r="I1030" s="155"/>
      <c r="J1030" s="155"/>
      <c r="K1030" s="147"/>
    </row>
    <row r="1031">
      <c r="A1031" s="153">
        <v>1028.0</v>
      </c>
      <c r="B1031" s="154"/>
      <c r="C1031" s="154"/>
      <c r="D1031" s="154"/>
      <c r="E1031" s="154"/>
      <c r="F1031" s="154"/>
      <c r="G1031" s="155"/>
      <c r="H1031" s="155"/>
      <c r="I1031" s="155"/>
      <c r="J1031" s="154" t="s">
        <v>217</v>
      </c>
      <c r="K1031" s="147"/>
    </row>
    <row r="1032">
      <c r="A1032" s="153">
        <v>1029.0</v>
      </c>
      <c r="B1032" s="154"/>
      <c r="C1032" s="154" t="s">
        <v>208</v>
      </c>
      <c r="D1032" s="154" t="s">
        <v>208</v>
      </c>
      <c r="E1032" s="154" t="s">
        <v>208</v>
      </c>
      <c r="F1032" s="154" t="s">
        <v>208</v>
      </c>
      <c r="G1032" s="154" t="s">
        <v>208</v>
      </c>
      <c r="H1032" s="155"/>
      <c r="I1032" s="155"/>
      <c r="J1032" s="155"/>
      <c r="K1032" s="147"/>
    </row>
    <row r="1033">
      <c r="A1033" s="153">
        <v>1030.0</v>
      </c>
      <c r="B1033" s="154"/>
      <c r="C1033" s="154" t="s">
        <v>208</v>
      </c>
      <c r="D1033" s="154" t="s">
        <v>208</v>
      </c>
      <c r="E1033" s="154" t="s">
        <v>208</v>
      </c>
      <c r="F1033" s="154" t="s">
        <v>208</v>
      </c>
      <c r="G1033" s="154" t="s">
        <v>208</v>
      </c>
      <c r="H1033" s="155"/>
      <c r="I1033" s="155"/>
      <c r="J1033" s="155"/>
      <c r="K1033" s="147"/>
    </row>
    <row r="1034">
      <c r="A1034" s="153">
        <v>1031.0</v>
      </c>
      <c r="B1034" s="154"/>
      <c r="C1034" s="154" t="s">
        <v>208</v>
      </c>
      <c r="D1034" s="154" t="s">
        <v>208</v>
      </c>
      <c r="E1034" s="154" t="s">
        <v>208</v>
      </c>
      <c r="F1034" s="154" t="s">
        <v>208</v>
      </c>
      <c r="G1034" s="154" t="s">
        <v>208</v>
      </c>
      <c r="H1034" s="155"/>
      <c r="I1034" s="155"/>
      <c r="J1034" s="155"/>
      <c r="K1034" s="147"/>
    </row>
    <row r="1035">
      <c r="A1035" s="153">
        <v>1032.0</v>
      </c>
      <c r="B1035" s="154"/>
      <c r="C1035" s="154" t="s">
        <v>208</v>
      </c>
      <c r="D1035" s="154" t="s">
        <v>208</v>
      </c>
      <c r="E1035" s="154" t="s">
        <v>208</v>
      </c>
      <c r="F1035" s="154" t="s">
        <v>208</v>
      </c>
      <c r="G1035" s="154" t="s">
        <v>208</v>
      </c>
      <c r="H1035" s="155"/>
      <c r="I1035" s="155"/>
      <c r="J1035" s="155"/>
      <c r="K1035" s="147"/>
    </row>
    <row r="1036">
      <c r="A1036" s="153">
        <v>1033.0</v>
      </c>
      <c r="B1036" s="154"/>
      <c r="C1036" s="154" t="s">
        <v>208</v>
      </c>
      <c r="D1036" s="154" t="s">
        <v>208</v>
      </c>
      <c r="E1036" s="154" t="s">
        <v>208</v>
      </c>
      <c r="F1036" s="154" t="s">
        <v>208</v>
      </c>
      <c r="G1036" s="154" t="s">
        <v>208</v>
      </c>
      <c r="H1036" s="155"/>
      <c r="I1036" s="155"/>
      <c r="J1036" s="155"/>
      <c r="K1036" s="147"/>
    </row>
    <row r="1037">
      <c r="A1037" s="153">
        <v>1034.0</v>
      </c>
      <c r="B1037" s="154"/>
      <c r="C1037" s="154" t="s">
        <v>208</v>
      </c>
      <c r="D1037" s="154" t="s">
        <v>208</v>
      </c>
      <c r="E1037" s="154" t="s">
        <v>208</v>
      </c>
      <c r="F1037" s="154" t="s">
        <v>208</v>
      </c>
      <c r="G1037" s="154" t="s">
        <v>208</v>
      </c>
      <c r="H1037" s="155"/>
      <c r="I1037" s="155"/>
      <c r="J1037" s="155"/>
      <c r="K1037" s="147"/>
    </row>
    <row r="1038">
      <c r="A1038" s="153">
        <v>1035.0</v>
      </c>
      <c r="B1038" s="154"/>
      <c r="C1038" s="154" t="s">
        <v>208</v>
      </c>
      <c r="D1038" s="154" t="s">
        <v>208</v>
      </c>
      <c r="E1038" s="154" t="s">
        <v>208</v>
      </c>
      <c r="F1038" s="154" t="s">
        <v>208</v>
      </c>
      <c r="G1038" s="154" t="s">
        <v>208</v>
      </c>
      <c r="H1038" s="155"/>
      <c r="I1038" s="155"/>
      <c r="J1038" s="155"/>
      <c r="K1038" s="147"/>
    </row>
    <row r="1039">
      <c r="A1039" s="153">
        <v>1036.0</v>
      </c>
      <c r="B1039" s="154"/>
      <c r="C1039" s="154"/>
      <c r="D1039" s="154"/>
      <c r="E1039" s="154"/>
      <c r="F1039" s="154"/>
      <c r="G1039" s="155"/>
      <c r="H1039" s="155"/>
      <c r="I1039" s="155"/>
      <c r="J1039" s="154" t="s">
        <v>217</v>
      </c>
      <c r="K1039" s="147"/>
    </row>
    <row r="1040">
      <c r="A1040" s="153">
        <v>1037.0</v>
      </c>
      <c r="B1040" s="155"/>
      <c r="C1040" s="154"/>
      <c r="D1040" s="154"/>
      <c r="E1040" s="154"/>
      <c r="F1040" s="155"/>
      <c r="G1040" s="154"/>
      <c r="H1040" s="155"/>
      <c r="I1040" s="155"/>
      <c r="J1040" s="154" t="s">
        <v>217</v>
      </c>
      <c r="K1040" s="147"/>
    </row>
    <row r="1041">
      <c r="A1041" s="153">
        <v>1038.0</v>
      </c>
      <c r="B1041" s="155"/>
      <c r="C1041" s="154"/>
      <c r="D1041" s="154" t="s">
        <v>208</v>
      </c>
      <c r="E1041" s="154" t="s">
        <v>208</v>
      </c>
      <c r="F1041" s="154" t="s">
        <v>208</v>
      </c>
      <c r="G1041" s="154"/>
      <c r="H1041" s="154" t="s">
        <v>208</v>
      </c>
      <c r="I1041" s="155"/>
      <c r="J1041" s="155"/>
      <c r="K1041" s="147"/>
    </row>
    <row r="1042">
      <c r="A1042" s="153">
        <v>1039.0</v>
      </c>
      <c r="B1042" s="155"/>
      <c r="C1042" s="154"/>
      <c r="D1042" s="154" t="s">
        <v>208</v>
      </c>
      <c r="E1042" s="154" t="s">
        <v>208</v>
      </c>
      <c r="F1042" s="154" t="s">
        <v>208</v>
      </c>
      <c r="G1042" s="154"/>
      <c r="H1042" s="154" t="s">
        <v>208</v>
      </c>
      <c r="I1042" s="155"/>
      <c r="J1042" s="155"/>
      <c r="K1042" s="147"/>
    </row>
    <row r="1043">
      <c r="A1043" s="153">
        <v>1040.0</v>
      </c>
      <c r="B1043" s="154"/>
      <c r="C1043" s="154" t="s">
        <v>208</v>
      </c>
      <c r="D1043" s="154" t="s">
        <v>208</v>
      </c>
      <c r="E1043" s="154" t="s">
        <v>208</v>
      </c>
      <c r="F1043" s="154" t="s">
        <v>208</v>
      </c>
      <c r="G1043" s="154" t="s">
        <v>208</v>
      </c>
      <c r="H1043" s="155"/>
      <c r="I1043" s="155"/>
      <c r="J1043" s="155"/>
      <c r="K1043" s="147"/>
    </row>
    <row r="1044">
      <c r="A1044" s="153">
        <v>1041.0</v>
      </c>
      <c r="B1044" s="154"/>
      <c r="C1044" s="154" t="s">
        <v>208</v>
      </c>
      <c r="D1044" s="154" t="s">
        <v>208</v>
      </c>
      <c r="E1044" s="154" t="s">
        <v>208</v>
      </c>
      <c r="F1044" s="154" t="s">
        <v>208</v>
      </c>
      <c r="G1044" s="154" t="s">
        <v>208</v>
      </c>
      <c r="H1044" s="155"/>
      <c r="I1044" s="155"/>
      <c r="J1044" s="155"/>
      <c r="K1044" s="147"/>
    </row>
    <row r="1045">
      <c r="A1045" s="153">
        <v>1042.0</v>
      </c>
      <c r="B1045" s="154"/>
      <c r="C1045" s="154" t="s">
        <v>208</v>
      </c>
      <c r="D1045" s="154" t="s">
        <v>208</v>
      </c>
      <c r="E1045" s="154" t="s">
        <v>208</v>
      </c>
      <c r="F1045" s="154" t="s">
        <v>208</v>
      </c>
      <c r="G1045" s="154" t="s">
        <v>208</v>
      </c>
      <c r="H1045" s="153"/>
      <c r="I1045" s="155"/>
      <c r="J1045" s="155"/>
      <c r="K1045" s="147"/>
    </row>
    <row r="1046">
      <c r="A1046" s="153">
        <v>1043.0</v>
      </c>
      <c r="B1046" s="154"/>
      <c r="C1046" s="154"/>
      <c r="D1046" s="154"/>
      <c r="E1046" s="154"/>
      <c r="F1046" s="154"/>
      <c r="G1046" s="155"/>
      <c r="H1046" s="155"/>
      <c r="I1046" s="155"/>
      <c r="J1046" s="154" t="s">
        <v>217</v>
      </c>
      <c r="K1046" s="147"/>
    </row>
    <row r="1047">
      <c r="A1047" s="153">
        <v>1044.0</v>
      </c>
      <c r="B1047" s="154"/>
      <c r="C1047" s="154"/>
      <c r="D1047" s="154"/>
      <c r="E1047" s="154"/>
      <c r="F1047" s="154"/>
      <c r="G1047" s="155"/>
      <c r="H1047" s="155"/>
      <c r="I1047" s="155"/>
      <c r="J1047" s="154" t="s">
        <v>217</v>
      </c>
      <c r="K1047" s="147"/>
    </row>
    <row r="1048">
      <c r="A1048" s="153">
        <v>1045.0</v>
      </c>
      <c r="B1048" s="154"/>
      <c r="C1048" s="154"/>
      <c r="D1048" s="154"/>
      <c r="E1048" s="154"/>
      <c r="F1048" s="154"/>
      <c r="G1048" s="155"/>
      <c r="H1048" s="155"/>
      <c r="I1048" s="155"/>
      <c r="J1048" s="154" t="s">
        <v>217</v>
      </c>
      <c r="K1048" s="147"/>
    </row>
    <row r="1049">
      <c r="A1049" s="153">
        <v>1046.0</v>
      </c>
      <c r="B1049" s="154"/>
      <c r="C1049" s="154"/>
      <c r="D1049" s="154"/>
      <c r="E1049" s="154"/>
      <c r="F1049" s="154"/>
      <c r="G1049" s="155"/>
      <c r="H1049" s="155"/>
      <c r="I1049" s="155"/>
      <c r="J1049" s="154" t="s">
        <v>217</v>
      </c>
      <c r="K1049" s="147"/>
    </row>
    <row r="1050">
      <c r="A1050" s="153">
        <v>1047.0</v>
      </c>
      <c r="B1050" s="155"/>
      <c r="C1050" s="154"/>
      <c r="D1050" s="154"/>
      <c r="E1050" s="154"/>
      <c r="F1050" s="155"/>
      <c r="G1050" s="154"/>
      <c r="H1050" s="155"/>
      <c r="I1050" s="155"/>
      <c r="J1050" s="154" t="s">
        <v>217</v>
      </c>
      <c r="K1050" s="147"/>
    </row>
    <row r="1051">
      <c r="A1051" s="153">
        <v>1048.0</v>
      </c>
      <c r="B1051" s="154"/>
      <c r="C1051" s="154" t="s">
        <v>208</v>
      </c>
      <c r="D1051" s="154" t="s">
        <v>218</v>
      </c>
      <c r="E1051" s="154"/>
      <c r="F1051" s="154" t="s">
        <v>208</v>
      </c>
      <c r="G1051" s="154" t="s">
        <v>208</v>
      </c>
      <c r="H1051" s="155"/>
      <c r="I1051" s="155"/>
      <c r="J1051" s="155"/>
      <c r="K1051" s="147"/>
    </row>
    <row r="1052">
      <c r="A1052" s="153">
        <v>1049.0</v>
      </c>
      <c r="B1052" s="154"/>
      <c r="C1052" s="154"/>
      <c r="D1052" s="154"/>
      <c r="E1052" s="154"/>
      <c r="F1052" s="154"/>
      <c r="G1052" s="155"/>
      <c r="H1052" s="155"/>
      <c r="I1052" s="155"/>
      <c r="J1052" s="154" t="s">
        <v>217</v>
      </c>
      <c r="K1052" s="147"/>
    </row>
    <row r="1053">
      <c r="A1053" s="153">
        <v>1050.0</v>
      </c>
      <c r="B1053" s="155"/>
      <c r="C1053" s="154"/>
      <c r="D1053" s="154"/>
      <c r="E1053" s="154"/>
      <c r="F1053" s="155"/>
      <c r="G1053" s="154"/>
      <c r="H1053" s="155"/>
      <c r="I1053" s="155"/>
      <c r="J1053" s="154" t="s">
        <v>217</v>
      </c>
      <c r="K1053" s="147"/>
    </row>
    <row r="1054">
      <c r="A1054" s="153">
        <v>1051.0</v>
      </c>
      <c r="B1054" s="154"/>
      <c r="C1054" s="154"/>
      <c r="D1054" s="154"/>
      <c r="E1054" s="154"/>
      <c r="F1054" s="154"/>
      <c r="G1054" s="155"/>
      <c r="H1054" s="155"/>
      <c r="I1054" s="155"/>
      <c r="J1054" s="154" t="s">
        <v>217</v>
      </c>
      <c r="K1054" s="147"/>
    </row>
    <row r="1055">
      <c r="A1055" s="153">
        <v>1052.0</v>
      </c>
      <c r="B1055" s="154"/>
      <c r="C1055" s="154" t="s">
        <v>208</v>
      </c>
      <c r="D1055" s="154" t="s">
        <v>208</v>
      </c>
      <c r="E1055" s="154"/>
      <c r="F1055" s="154" t="s">
        <v>208</v>
      </c>
      <c r="G1055" s="154" t="s">
        <v>208</v>
      </c>
      <c r="H1055" s="155"/>
      <c r="I1055" s="155"/>
      <c r="J1055" s="155"/>
      <c r="K1055" s="147"/>
    </row>
    <row r="1056">
      <c r="A1056" s="153">
        <v>1053.0</v>
      </c>
      <c r="B1056" s="154"/>
      <c r="C1056" s="154" t="s">
        <v>208</v>
      </c>
      <c r="D1056" s="154" t="s">
        <v>218</v>
      </c>
      <c r="E1056" s="154" t="s">
        <v>208</v>
      </c>
      <c r="F1056" s="154" t="s">
        <v>208</v>
      </c>
      <c r="G1056" s="154" t="s">
        <v>208</v>
      </c>
      <c r="H1056" s="155"/>
      <c r="I1056" s="155"/>
      <c r="J1056" s="155"/>
      <c r="K1056" s="147"/>
    </row>
    <row r="1057">
      <c r="A1057" s="153">
        <v>1054.0</v>
      </c>
      <c r="B1057" s="155"/>
      <c r="C1057" s="154" t="s">
        <v>208</v>
      </c>
      <c r="D1057" s="154" t="s">
        <v>208</v>
      </c>
      <c r="E1057" s="154" t="s">
        <v>208</v>
      </c>
      <c r="F1057" s="154" t="s">
        <v>208</v>
      </c>
      <c r="G1057" s="154" t="s">
        <v>208</v>
      </c>
      <c r="H1057" s="155"/>
      <c r="I1057" s="155"/>
      <c r="J1057" s="155"/>
      <c r="K1057" s="147"/>
    </row>
    <row r="1058">
      <c r="A1058" s="153">
        <v>1055.0</v>
      </c>
      <c r="B1058" s="154"/>
      <c r="C1058" s="154" t="s">
        <v>208</v>
      </c>
      <c r="D1058" s="154" t="s">
        <v>208</v>
      </c>
      <c r="E1058" s="154" t="s">
        <v>208</v>
      </c>
      <c r="F1058" s="154" t="s">
        <v>208</v>
      </c>
      <c r="G1058" s="154" t="s">
        <v>208</v>
      </c>
      <c r="H1058" s="155"/>
      <c r="I1058" s="155"/>
      <c r="J1058" s="155"/>
      <c r="K1058" s="147"/>
    </row>
    <row r="1059">
      <c r="A1059" s="153">
        <v>1056.0</v>
      </c>
      <c r="B1059" s="154"/>
      <c r="C1059" s="154" t="s">
        <v>208</v>
      </c>
      <c r="D1059" s="154" t="s">
        <v>208</v>
      </c>
      <c r="E1059" s="154" t="s">
        <v>208</v>
      </c>
      <c r="F1059" s="154" t="s">
        <v>208</v>
      </c>
      <c r="G1059" s="154" t="s">
        <v>208</v>
      </c>
      <c r="H1059" s="155"/>
      <c r="I1059" s="155"/>
      <c r="J1059" s="155"/>
      <c r="K1059" s="147"/>
    </row>
    <row r="1060">
      <c r="A1060" s="153">
        <v>1057.0</v>
      </c>
      <c r="B1060" s="154"/>
      <c r="C1060" s="154" t="s">
        <v>208</v>
      </c>
      <c r="D1060" s="154" t="s">
        <v>208</v>
      </c>
      <c r="E1060" s="154" t="s">
        <v>208</v>
      </c>
      <c r="F1060" s="154" t="s">
        <v>208</v>
      </c>
      <c r="G1060" s="154" t="s">
        <v>208</v>
      </c>
      <c r="H1060" s="155"/>
      <c r="I1060" s="155"/>
      <c r="J1060" s="155"/>
      <c r="K1060" s="147"/>
    </row>
    <row r="1061">
      <c r="A1061" s="153">
        <v>1058.0</v>
      </c>
      <c r="B1061" s="154"/>
      <c r="C1061" s="154"/>
      <c r="D1061" s="154"/>
      <c r="E1061" s="154"/>
      <c r="F1061" s="154"/>
      <c r="G1061" s="155"/>
      <c r="H1061" s="155"/>
      <c r="I1061" s="155"/>
      <c r="J1061" s="154" t="s">
        <v>217</v>
      </c>
      <c r="K1061" s="147"/>
    </row>
    <row r="1062">
      <c r="A1062" s="153">
        <v>1059.0</v>
      </c>
      <c r="B1062" s="154"/>
      <c r="C1062" s="154"/>
      <c r="D1062" s="154"/>
      <c r="E1062" s="154"/>
      <c r="F1062" s="154"/>
      <c r="G1062" s="155"/>
      <c r="H1062" s="153"/>
      <c r="I1062" s="155"/>
      <c r="J1062" s="154" t="s">
        <v>217</v>
      </c>
      <c r="K1062" s="147"/>
    </row>
    <row r="1063">
      <c r="A1063" s="153">
        <v>1060.0</v>
      </c>
      <c r="B1063" s="154"/>
      <c r="C1063" s="154" t="s">
        <v>208</v>
      </c>
      <c r="D1063" s="154" t="s">
        <v>208</v>
      </c>
      <c r="E1063" s="154" t="s">
        <v>208</v>
      </c>
      <c r="F1063" s="154" t="s">
        <v>208</v>
      </c>
      <c r="G1063" s="154" t="s">
        <v>208</v>
      </c>
      <c r="H1063" s="155"/>
      <c r="I1063" s="155"/>
      <c r="J1063" s="155"/>
      <c r="K1063" s="147"/>
    </row>
    <row r="1064">
      <c r="A1064" s="153">
        <v>1061.0</v>
      </c>
      <c r="B1064" s="154"/>
      <c r="C1064" s="154" t="s">
        <v>208</v>
      </c>
      <c r="D1064" s="154" t="s">
        <v>208</v>
      </c>
      <c r="E1064" s="154" t="s">
        <v>208</v>
      </c>
      <c r="F1064" s="154" t="s">
        <v>208</v>
      </c>
      <c r="G1064" s="154" t="s">
        <v>208</v>
      </c>
      <c r="H1064" s="155"/>
      <c r="I1064" s="155"/>
      <c r="J1064" s="155"/>
      <c r="K1064" s="147"/>
    </row>
    <row r="1065">
      <c r="A1065" s="153">
        <v>1062.0</v>
      </c>
      <c r="B1065" s="154"/>
      <c r="C1065" s="154" t="s">
        <v>208</v>
      </c>
      <c r="D1065" s="154" t="s">
        <v>208</v>
      </c>
      <c r="E1065" s="154" t="s">
        <v>208</v>
      </c>
      <c r="F1065" s="154" t="s">
        <v>208</v>
      </c>
      <c r="G1065" s="154" t="s">
        <v>208</v>
      </c>
      <c r="H1065" s="155"/>
      <c r="I1065" s="155"/>
      <c r="J1065" s="155"/>
      <c r="K1065" s="147"/>
    </row>
    <row r="1066">
      <c r="A1066" s="153">
        <v>1063.0</v>
      </c>
      <c r="B1066" s="154"/>
      <c r="C1066" s="154" t="s">
        <v>208</v>
      </c>
      <c r="D1066" s="154" t="s">
        <v>208</v>
      </c>
      <c r="E1066" s="154" t="s">
        <v>208</v>
      </c>
      <c r="F1066" s="154" t="s">
        <v>208</v>
      </c>
      <c r="G1066" s="154" t="s">
        <v>208</v>
      </c>
      <c r="H1066" s="155"/>
      <c r="I1066" s="155"/>
      <c r="J1066" s="155"/>
      <c r="K1066" s="147"/>
    </row>
    <row r="1067">
      <c r="A1067" s="153">
        <v>1064.0</v>
      </c>
      <c r="B1067" s="154"/>
      <c r="C1067" s="154" t="s">
        <v>208</v>
      </c>
      <c r="D1067" s="154" t="s">
        <v>208</v>
      </c>
      <c r="E1067" s="154" t="s">
        <v>208</v>
      </c>
      <c r="F1067" s="154" t="s">
        <v>208</v>
      </c>
      <c r="G1067" s="154" t="s">
        <v>208</v>
      </c>
      <c r="H1067" s="155"/>
      <c r="I1067" s="155"/>
      <c r="J1067" s="155"/>
      <c r="K1067" s="147"/>
    </row>
    <row r="1068">
      <c r="A1068" s="153">
        <v>1065.0</v>
      </c>
      <c r="B1068" s="154"/>
      <c r="C1068" s="154"/>
      <c r="D1068" s="154" t="s">
        <v>208</v>
      </c>
      <c r="E1068" s="154" t="s">
        <v>208</v>
      </c>
      <c r="F1068" s="154" t="s">
        <v>208</v>
      </c>
      <c r="G1068" s="155"/>
      <c r="H1068" s="154" t="s">
        <v>208</v>
      </c>
      <c r="I1068" s="155"/>
      <c r="J1068" s="155"/>
      <c r="K1068" s="147"/>
    </row>
    <row r="1069">
      <c r="A1069" s="153">
        <v>1066.0</v>
      </c>
      <c r="B1069" s="154"/>
      <c r="C1069" s="154"/>
      <c r="D1069" s="154"/>
      <c r="E1069" s="154"/>
      <c r="F1069" s="154"/>
      <c r="G1069" s="155"/>
      <c r="H1069" s="153"/>
      <c r="I1069" s="155"/>
      <c r="J1069" s="154" t="s">
        <v>217</v>
      </c>
      <c r="K1069" s="147"/>
    </row>
    <row r="1070">
      <c r="A1070" s="153">
        <v>1067.0</v>
      </c>
      <c r="B1070" s="154"/>
      <c r="C1070" s="154"/>
      <c r="D1070" s="154" t="s">
        <v>208</v>
      </c>
      <c r="E1070" s="154" t="s">
        <v>208</v>
      </c>
      <c r="F1070" s="154" t="s">
        <v>208</v>
      </c>
      <c r="G1070" s="155"/>
      <c r="H1070" s="154" t="s">
        <v>208</v>
      </c>
      <c r="I1070" s="155"/>
      <c r="J1070" s="155"/>
      <c r="K1070" s="147"/>
    </row>
    <row r="1071">
      <c r="A1071" s="153">
        <v>1068.0</v>
      </c>
      <c r="B1071" s="154"/>
      <c r="C1071" s="154" t="s">
        <v>208</v>
      </c>
      <c r="D1071" s="154" t="s">
        <v>208</v>
      </c>
      <c r="E1071" s="154" t="s">
        <v>208</v>
      </c>
      <c r="F1071" s="154" t="s">
        <v>208</v>
      </c>
      <c r="G1071" s="154" t="s">
        <v>208</v>
      </c>
      <c r="H1071" s="155"/>
      <c r="I1071" s="155"/>
      <c r="J1071" s="155"/>
      <c r="K1071" s="147"/>
    </row>
    <row r="1072">
      <c r="A1072" s="153">
        <v>1069.0</v>
      </c>
      <c r="B1072" s="154"/>
      <c r="C1072" s="154" t="s">
        <v>208</v>
      </c>
      <c r="D1072" s="154" t="s">
        <v>218</v>
      </c>
      <c r="E1072" s="154" t="s">
        <v>208</v>
      </c>
      <c r="F1072" s="154" t="s">
        <v>208</v>
      </c>
      <c r="G1072" s="154" t="s">
        <v>208</v>
      </c>
      <c r="H1072" s="155"/>
      <c r="I1072" s="155"/>
      <c r="J1072" s="155"/>
      <c r="K1072" s="147"/>
    </row>
    <row r="1073">
      <c r="A1073" s="153">
        <v>1070.0</v>
      </c>
      <c r="B1073" s="154"/>
      <c r="C1073" s="154" t="s">
        <v>208</v>
      </c>
      <c r="D1073" s="154" t="s">
        <v>208</v>
      </c>
      <c r="E1073" s="154" t="s">
        <v>208</v>
      </c>
      <c r="F1073" s="154" t="s">
        <v>208</v>
      </c>
      <c r="G1073" s="154" t="s">
        <v>208</v>
      </c>
      <c r="H1073" s="155"/>
      <c r="I1073" s="155"/>
      <c r="J1073" s="155"/>
      <c r="K1073" s="147"/>
    </row>
    <row r="1074">
      <c r="A1074" s="153">
        <v>1071.0</v>
      </c>
      <c r="B1074" s="154"/>
      <c r="C1074" s="154" t="s">
        <v>208</v>
      </c>
      <c r="D1074" s="154" t="s">
        <v>208</v>
      </c>
      <c r="E1074" s="154" t="s">
        <v>208</v>
      </c>
      <c r="F1074" s="154" t="s">
        <v>208</v>
      </c>
      <c r="G1074" s="154" t="s">
        <v>208</v>
      </c>
      <c r="H1074" s="155"/>
      <c r="I1074" s="155"/>
      <c r="J1074" s="155"/>
      <c r="K1074" s="147"/>
    </row>
    <row r="1075">
      <c r="A1075" s="153">
        <v>1072.0</v>
      </c>
      <c r="B1075" s="154"/>
      <c r="C1075" s="154" t="s">
        <v>208</v>
      </c>
      <c r="D1075" s="154" t="s">
        <v>208</v>
      </c>
      <c r="E1075" s="154" t="s">
        <v>208</v>
      </c>
      <c r="F1075" s="154" t="s">
        <v>208</v>
      </c>
      <c r="G1075" s="154" t="s">
        <v>208</v>
      </c>
      <c r="H1075" s="155"/>
      <c r="I1075" s="155"/>
      <c r="J1075" s="155"/>
      <c r="K1075" s="147"/>
    </row>
    <row r="1076">
      <c r="A1076" s="153">
        <v>1073.0</v>
      </c>
      <c r="B1076" s="154"/>
      <c r="C1076" s="154" t="s">
        <v>208</v>
      </c>
      <c r="D1076" s="154" t="s">
        <v>208</v>
      </c>
      <c r="E1076" s="154" t="s">
        <v>208</v>
      </c>
      <c r="F1076" s="154" t="s">
        <v>208</v>
      </c>
      <c r="G1076" s="154" t="s">
        <v>208</v>
      </c>
      <c r="H1076" s="155"/>
      <c r="I1076" s="155"/>
      <c r="J1076" s="155"/>
      <c r="K1076" s="147"/>
    </row>
    <row r="1077">
      <c r="A1077" s="153">
        <v>1074.0</v>
      </c>
      <c r="B1077" s="154"/>
      <c r="C1077" s="154" t="s">
        <v>208</v>
      </c>
      <c r="D1077" s="154" t="s">
        <v>208</v>
      </c>
      <c r="E1077" s="154" t="s">
        <v>208</v>
      </c>
      <c r="F1077" s="154" t="s">
        <v>208</v>
      </c>
      <c r="G1077" s="154" t="s">
        <v>208</v>
      </c>
      <c r="H1077" s="155"/>
      <c r="I1077" s="155"/>
      <c r="J1077" s="155"/>
      <c r="K1077" s="147"/>
    </row>
    <row r="1078">
      <c r="A1078" s="153">
        <v>1075.0</v>
      </c>
      <c r="B1078" s="154"/>
      <c r="C1078" s="154" t="s">
        <v>208</v>
      </c>
      <c r="D1078" s="154" t="s">
        <v>208</v>
      </c>
      <c r="E1078" s="154" t="s">
        <v>208</v>
      </c>
      <c r="F1078" s="154" t="s">
        <v>208</v>
      </c>
      <c r="G1078" s="154" t="s">
        <v>208</v>
      </c>
      <c r="H1078" s="155"/>
      <c r="I1078" s="155"/>
      <c r="J1078" s="155"/>
      <c r="K1078" s="147"/>
    </row>
    <row r="1079">
      <c r="A1079" s="153">
        <v>1076.0</v>
      </c>
      <c r="B1079" s="154"/>
      <c r="C1079" s="154" t="s">
        <v>208</v>
      </c>
      <c r="D1079" s="154" t="s">
        <v>208</v>
      </c>
      <c r="E1079" s="154" t="s">
        <v>208</v>
      </c>
      <c r="F1079" s="154" t="s">
        <v>208</v>
      </c>
      <c r="G1079" s="154" t="s">
        <v>208</v>
      </c>
      <c r="H1079" s="155"/>
      <c r="I1079" s="155"/>
      <c r="J1079" s="155"/>
      <c r="K1079" s="147"/>
    </row>
    <row r="1080">
      <c r="A1080" s="153">
        <v>1077.0</v>
      </c>
      <c r="B1080" s="154"/>
      <c r="C1080" s="154" t="s">
        <v>208</v>
      </c>
      <c r="D1080" s="154" t="s">
        <v>208</v>
      </c>
      <c r="E1080" s="154" t="s">
        <v>208</v>
      </c>
      <c r="F1080" s="154" t="s">
        <v>208</v>
      </c>
      <c r="G1080" s="154" t="s">
        <v>208</v>
      </c>
      <c r="H1080" s="155"/>
      <c r="I1080" s="155"/>
      <c r="J1080" s="155"/>
      <c r="K1080" s="147"/>
    </row>
    <row r="1081">
      <c r="A1081" s="153">
        <v>1078.0</v>
      </c>
      <c r="B1081" s="154"/>
      <c r="C1081" s="154" t="s">
        <v>208</v>
      </c>
      <c r="D1081" s="154" t="s">
        <v>218</v>
      </c>
      <c r="E1081" s="154" t="s">
        <v>208</v>
      </c>
      <c r="F1081" s="154" t="s">
        <v>208</v>
      </c>
      <c r="G1081" s="154" t="s">
        <v>208</v>
      </c>
      <c r="H1081" s="155"/>
      <c r="I1081" s="155"/>
      <c r="J1081" s="155"/>
      <c r="K1081" s="147"/>
    </row>
    <row r="1082">
      <c r="A1082" s="153">
        <v>1079.0</v>
      </c>
      <c r="B1082" s="154"/>
      <c r="C1082" s="154" t="s">
        <v>208</v>
      </c>
      <c r="D1082" s="154" t="s">
        <v>208</v>
      </c>
      <c r="E1082" s="154" t="s">
        <v>208</v>
      </c>
      <c r="F1082" s="154" t="s">
        <v>208</v>
      </c>
      <c r="G1082" s="154" t="s">
        <v>208</v>
      </c>
      <c r="H1082" s="155"/>
      <c r="I1082" s="155"/>
      <c r="J1082" s="155"/>
      <c r="K1082" s="147"/>
    </row>
    <row r="1083">
      <c r="A1083" s="153">
        <v>1080.0</v>
      </c>
      <c r="B1083" s="154"/>
      <c r="C1083" s="154" t="s">
        <v>208</v>
      </c>
      <c r="D1083" s="154" t="s">
        <v>208</v>
      </c>
      <c r="E1083" s="154" t="s">
        <v>208</v>
      </c>
      <c r="F1083" s="154" t="s">
        <v>208</v>
      </c>
      <c r="G1083" s="154" t="s">
        <v>208</v>
      </c>
      <c r="H1083" s="155"/>
      <c r="I1083" s="155"/>
      <c r="J1083" s="155"/>
      <c r="K1083" s="147"/>
    </row>
    <row r="1084">
      <c r="A1084" s="153">
        <v>1081.0</v>
      </c>
      <c r="B1084" s="155"/>
      <c r="C1084" s="154" t="s">
        <v>208</v>
      </c>
      <c r="D1084" s="154" t="s">
        <v>208</v>
      </c>
      <c r="E1084" s="154" t="s">
        <v>208</v>
      </c>
      <c r="F1084" s="154" t="s">
        <v>218</v>
      </c>
      <c r="G1084" s="154" t="s">
        <v>208</v>
      </c>
      <c r="H1084" s="155"/>
      <c r="I1084" s="155"/>
      <c r="J1084" s="155"/>
      <c r="K1084" s="147"/>
    </row>
    <row r="1085">
      <c r="A1085" s="153">
        <v>1082.0</v>
      </c>
      <c r="B1085" s="155"/>
      <c r="C1085" s="154" t="s">
        <v>208</v>
      </c>
      <c r="D1085" s="154" t="s">
        <v>218</v>
      </c>
      <c r="E1085" s="154" t="s">
        <v>208</v>
      </c>
      <c r="F1085" s="154" t="s">
        <v>208</v>
      </c>
      <c r="G1085" s="154" t="s">
        <v>208</v>
      </c>
      <c r="H1085" s="155"/>
      <c r="I1085" s="155"/>
      <c r="J1085" s="155"/>
      <c r="K1085" s="147"/>
    </row>
    <row r="1086">
      <c r="A1086" s="153">
        <v>1083.0</v>
      </c>
      <c r="B1086" s="154"/>
      <c r="C1086" s="154"/>
      <c r="D1086" s="154"/>
      <c r="E1086" s="154"/>
      <c r="F1086" s="154"/>
      <c r="G1086" s="155"/>
      <c r="H1086" s="153"/>
      <c r="I1086" s="155"/>
      <c r="J1086" s="154" t="s">
        <v>217</v>
      </c>
      <c r="K1086" s="147"/>
    </row>
    <row r="1087">
      <c r="A1087" s="153">
        <v>1084.0</v>
      </c>
      <c r="B1087" s="154"/>
      <c r="C1087" s="154" t="s">
        <v>208</v>
      </c>
      <c r="D1087" s="154" t="s">
        <v>208</v>
      </c>
      <c r="E1087" s="154" t="s">
        <v>208</v>
      </c>
      <c r="F1087" s="154" t="s">
        <v>208</v>
      </c>
      <c r="G1087" s="154" t="s">
        <v>208</v>
      </c>
      <c r="H1087" s="155"/>
      <c r="I1087" s="155"/>
      <c r="J1087" s="155"/>
      <c r="K1087" s="147"/>
    </row>
    <row r="1088">
      <c r="A1088" s="153">
        <v>1085.0</v>
      </c>
      <c r="B1088" s="154"/>
      <c r="C1088" s="154" t="s">
        <v>208</v>
      </c>
      <c r="D1088" s="154"/>
      <c r="E1088" s="154" t="s">
        <v>208</v>
      </c>
      <c r="F1088" s="154" t="s">
        <v>208</v>
      </c>
      <c r="G1088" s="154" t="s">
        <v>208</v>
      </c>
      <c r="H1088" s="155"/>
      <c r="I1088" s="155"/>
      <c r="J1088" s="155"/>
      <c r="K1088" s="147"/>
    </row>
    <row r="1089">
      <c r="A1089" s="153">
        <v>1086.0</v>
      </c>
      <c r="B1089" s="154"/>
      <c r="C1089" s="154" t="s">
        <v>208</v>
      </c>
      <c r="D1089" s="154" t="s">
        <v>208</v>
      </c>
      <c r="E1089" s="154" t="s">
        <v>208</v>
      </c>
      <c r="F1089" s="154" t="s">
        <v>208</v>
      </c>
      <c r="G1089" s="154" t="s">
        <v>208</v>
      </c>
      <c r="H1089" s="155"/>
      <c r="I1089" s="155"/>
      <c r="J1089" s="155"/>
      <c r="K1089" s="147"/>
    </row>
    <row r="1090">
      <c r="A1090" s="153">
        <v>1087.0</v>
      </c>
      <c r="B1090" s="154"/>
      <c r="C1090" s="154" t="s">
        <v>208</v>
      </c>
      <c r="D1090" s="154" t="s">
        <v>208</v>
      </c>
      <c r="E1090" s="154" t="s">
        <v>208</v>
      </c>
      <c r="F1090" s="154" t="s">
        <v>208</v>
      </c>
      <c r="G1090" s="154" t="s">
        <v>208</v>
      </c>
      <c r="H1090" s="155"/>
      <c r="I1090" s="155"/>
      <c r="J1090" s="155"/>
      <c r="K1090" s="147"/>
    </row>
    <row r="1091">
      <c r="A1091" s="153">
        <v>1088.0</v>
      </c>
      <c r="B1091" s="154"/>
      <c r="C1091" s="154" t="s">
        <v>208</v>
      </c>
      <c r="D1091" s="154" t="s">
        <v>208</v>
      </c>
      <c r="E1091" s="154" t="s">
        <v>208</v>
      </c>
      <c r="F1091" s="154" t="s">
        <v>208</v>
      </c>
      <c r="G1091" s="154" t="s">
        <v>208</v>
      </c>
      <c r="H1091" s="155"/>
      <c r="I1091" s="155"/>
      <c r="J1091" s="155"/>
      <c r="K1091" s="147"/>
    </row>
    <row r="1092">
      <c r="A1092" s="153">
        <v>1089.0</v>
      </c>
      <c r="B1092" s="155"/>
      <c r="C1092" s="154" t="s">
        <v>208</v>
      </c>
      <c r="D1092" s="154" t="s">
        <v>208</v>
      </c>
      <c r="E1092" s="154" t="s">
        <v>208</v>
      </c>
      <c r="F1092" s="154" t="s">
        <v>208</v>
      </c>
      <c r="G1092" s="154" t="s">
        <v>208</v>
      </c>
      <c r="H1092" s="155"/>
      <c r="I1092" s="155"/>
      <c r="J1092" s="155"/>
      <c r="K1092" s="147"/>
    </row>
    <row r="1093">
      <c r="A1093" s="153">
        <v>1090.0</v>
      </c>
      <c r="B1093" s="154"/>
      <c r="C1093" s="154" t="s">
        <v>208</v>
      </c>
      <c r="D1093" s="154" t="s">
        <v>208</v>
      </c>
      <c r="E1093" s="154"/>
      <c r="F1093" s="154" t="s">
        <v>208</v>
      </c>
      <c r="G1093" s="154" t="s">
        <v>208</v>
      </c>
      <c r="H1093" s="153"/>
      <c r="I1093" s="155"/>
      <c r="J1093" s="155"/>
      <c r="K1093" s="147"/>
    </row>
    <row r="1094">
      <c r="A1094" s="153">
        <v>1091.0</v>
      </c>
      <c r="B1094" s="154"/>
      <c r="C1094" s="154" t="s">
        <v>208</v>
      </c>
      <c r="D1094" s="154" t="s">
        <v>208</v>
      </c>
      <c r="E1094" s="154" t="s">
        <v>208</v>
      </c>
      <c r="F1094" s="154" t="s">
        <v>208</v>
      </c>
      <c r="G1094" s="154" t="s">
        <v>208</v>
      </c>
      <c r="H1094" s="153"/>
      <c r="I1094" s="155"/>
      <c r="J1094" s="155"/>
      <c r="K1094" s="147"/>
    </row>
    <row r="1095">
      <c r="A1095" s="153">
        <v>1092.0</v>
      </c>
      <c r="B1095" s="154"/>
      <c r="C1095" s="154" t="s">
        <v>208</v>
      </c>
      <c r="D1095" s="154" t="s">
        <v>208</v>
      </c>
      <c r="E1095" s="154" t="s">
        <v>208</v>
      </c>
      <c r="F1095" s="154" t="s">
        <v>208</v>
      </c>
      <c r="G1095" s="154" t="s">
        <v>208</v>
      </c>
      <c r="H1095" s="155"/>
      <c r="I1095" s="155"/>
      <c r="J1095" s="155"/>
      <c r="K1095" s="147"/>
    </row>
    <row r="1096">
      <c r="A1096" s="153">
        <v>1093.0</v>
      </c>
      <c r="B1096" s="154"/>
      <c r="C1096" s="154" t="s">
        <v>208</v>
      </c>
      <c r="D1096" s="154" t="s">
        <v>208</v>
      </c>
      <c r="E1096" s="154" t="s">
        <v>208</v>
      </c>
      <c r="F1096" s="154" t="s">
        <v>208</v>
      </c>
      <c r="G1096" s="154" t="s">
        <v>208</v>
      </c>
      <c r="H1096" s="155"/>
      <c r="I1096" s="155"/>
      <c r="J1096" s="155"/>
      <c r="K1096" s="147"/>
    </row>
    <row r="1097">
      <c r="A1097" s="153">
        <v>1094.0</v>
      </c>
      <c r="B1097" s="154"/>
      <c r="C1097" s="154" t="s">
        <v>208</v>
      </c>
      <c r="D1097" s="154" t="s">
        <v>208</v>
      </c>
      <c r="E1097" s="154" t="s">
        <v>208</v>
      </c>
      <c r="F1097" s="154" t="s">
        <v>208</v>
      </c>
      <c r="G1097" s="154" t="s">
        <v>208</v>
      </c>
      <c r="H1097" s="155"/>
      <c r="I1097" s="155"/>
      <c r="J1097" s="155"/>
      <c r="K1097" s="147"/>
    </row>
    <row r="1098">
      <c r="A1098" s="153">
        <v>1095.0</v>
      </c>
      <c r="B1098" s="154"/>
      <c r="C1098" s="154" t="s">
        <v>208</v>
      </c>
      <c r="D1098" s="154" t="s">
        <v>218</v>
      </c>
      <c r="E1098" s="154" t="s">
        <v>208</v>
      </c>
      <c r="F1098" s="154" t="s">
        <v>208</v>
      </c>
      <c r="G1098" s="154" t="s">
        <v>208</v>
      </c>
      <c r="H1098" s="155"/>
      <c r="I1098" s="155"/>
      <c r="J1098" s="155"/>
      <c r="K1098" s="147"/>
    </row>
    <row r="1099">
      <c r="A1099" s="153">
        <v>1096.0</v>
      </c>
      <c r="B1099" s="154"/>
      <c r="C1099" s="154" t="s">
        <v>208</v>
      </c>
      <c r="D1099" s="154" t="s">
        <v>208</v>
      </c>
      <c r="E1099" s="154" t="s">
        <v>208</v>
      </c>
      <c r="F1099" s="154" t="s">
        <v>208</v>
      </c>
      <c r="G1099" s="154" t="s">
        <v>208</v>
      </c>
      <c r="H1099" s="155"/>
      <c r="I1099" s="155"/>
      <c r="J1099" s="155"/>
      <c r="K1099" s="147"/>
    </row>
    <row r="1100">
      <c r="A1100" s="153">
        <v>1097.0</v>
      </c>
      <c r="B1100" s="154"/>
      <c r="C1100" s="154" t="s">
        <v>208</v>
      </c>
      <c r="D1100" s="154" t="s">
        <v>208</v>
      </c>
      <c r="E1100" s="154" t="s">
        <v>208</v>
      </c>
      <c r="F1100" s="154" t="s">
        <v>208</v>
      </c>
      <c r="G1100" s="154" t="s">
        <v>208</v>
      </c>
      <c r="H1100" s="155"/>
      <c r="I1100" s="155"/>
      <c r="J1100" s="155"/>
      <c r="K1100" s="147"/>
    </row>
    <row r="1101">
      <c r="A1101" s="153">
        <v>1098.0</v>
      </c>
      <c r="B1101" s="154"/>
      <c r="C1101" s="154" t="s">
        <v>208</v>
      </c>
      <c r="D1101" s="154" t="s">
        <v>208</v>
      </c>
      <c r="E1101" s="154" t="s">
        <v>208</v>
      </c>
      <c r="F1101" s="154" t="s">
        <v>208</v>
      </c>
      <c r="G1101" s="154" t="s">
        <v>208</v>
      </c>
      <c r="H1101" s="155"/>
      <c r="I1101" s="155"/>
      <c r="J1101" s="155"/>
      <c r="K1101" s="147"/>
    </row>
    <row r="1102">
      <c r="A1102" s="153">
        <v>1099.0</v>
      </c>
      <c r="B1102" s="154"/>
      <c r="C1102" s="154" t="s">
        <v>208</v>
      </c>
      <c r="D1102" s="154" t="s">
        <v>208</v>
      </c>
      <c r="E1102" s="154" t="s">
        <v>208</v>
      </c>
      <c r="F1102" s="154" t="s">
        <v>208</v>
      </c>
      <c r="G1102" s="154" t="s">
        <v>208</v>
      </c>
      <c r="H1102" s="155"/>
      <c r="I1102" s="155"/>
      <c r="J1102" s="155"/>
      <c r="K1102" s="147"/>
    </row>
    <row r="1103">
      <c r="A1103" s="153">
        <v>1100.0</v>
      </c>
      <c r="B1103" s="154"/>
      <c r="C1103" s="154" t="s">
        <v>208</v>
      </c>
      <c r="D1103" s="154" t="s">
        <v>208</v>
      </c>
      <c r="E1103" s="154"/>
      <c r="F1103" s="154" t="s">
        <v>208</v>
      </c>
      <c r="G1103" s="154" t="s">
        <v>208</v>
      </c>
      <c r="H1103" s="153"/>
      <c r="I1103" s="155"/>
      <c r="J1103" s="155"/>
      <c r="K1103" s="147"/>
    </row>
    <row r="1104">
      <c r="A1104" s="153">
        <v>1101.0</v>
      </c>
      <c r="B1104" s="154"/>
      <c r="C1104" s="154"/>
      <c r="D1104" s="154"/>
      <c r="E1104" s="154"/>
      <c r="F1104" s="154" t="s">
        <v>208</v>
      </c>
      <c r="G1104" s="154" t="s">
        <v>208</v>
      </c>
      <c r="H1104" s="155"/>
      <c r="I1104" s="155"/>
      <c r="J1104" s="155"/>
      <c r="K1104" s="147"/>
    </row>
    <row r="1105">
      <c r="A1105" s="153">
        <v>1102.0</v>
      </c>
      <c r="B1105" s="154"/>
      <c r="C1105" s="154" t="s">
        <v>208</v>
      </c>
      <c r="D1105" s="154" t="s">
        <v>208</v>
      </c>
      <c r="E1105" s="154" t="s">
        <v>208</v>
      </c>
      <c r="F1105" s="154" t="s">
        <v>208</v>
      </c>
      <c r="G1105" s="154" t="s">
        <v>208</v>
      </c>
      <c r="H1105" s="153"/>
      <c r="I1105" s="155"/>
      <c r="J1105" s="155"/>
      <c r="K1105" s="147"/>
    </row>
    <row r="1106">
      <c r="A1106" s="153">
        <v>1103.0</v>
      </c>
      <c r="B1106" s="154"/>
      <c r="C1106" s="154" t="s">
        <v>208</v>
      </c>
      <c r="D1106" s="154" t="s">
        <v>208</v>
      </c>
      <c r="E1106" s="154"/>
      <c r="F1106" s="154" t="s">
        <v>208</v>
      </c>
      <c r="G1106" s="154" t="s">
        <v>208</v>
      </c>
      <c r="H1106" s="155"/>
      <c r="I1106" s="155"/>
      <c r="J1106" s="155"/>
      <c r="K1106" s="147"/>
    </row>
    <row r="1107">
      <c r="A1107" s="153">
        <v>1104.0</v>
      </c>
      <c r="B1107" s="154"/>
      <c r="C1107" s="154"/>
      <c r="D1107" s="154" t="s">
        <v>208</v>
      </c>
      <c r="E1107" s="154" t="s">
        <v>208</v>
      </c>
      <c r="F1107" s="154" t="s">
        <v>208</v>
      </c>
      <c r="G1107" s="155"/>
      <c r="H1107" s="154" t="s">
        <v>208</v>
      </c>
      <c r="I1107" s="155"/>
      <c r="J1107" s="155"/>
      <c r="K1107" s="147"/>
    </row>
    <row r="1108">
      <c r="A1108" s="153">
        <v>1105.0</v>
      </c>
      <c r="B1108" s="154"/>
      <c r="C1108" s="154" t="s">
        <v>208</v>
      </c>
      <c r="D1108" s="154" t="s">
        <v>208</v>
      </c>
      <c r="E1108" s="154" t="s">
        <v>208</v>
      </c>
      <c r="F1108" s="154" t="s">
        <v>208</v>
      </c>
      <c r="G1108" s="154" t="s">
        <v>208</v>
      </c>
      <c r="H1108" s="155"/>
      <c r="I1108" s="155"/>
      <c r="J1108" s="155"/>
      <c r="K1108" s="147"/>
    </row>
    <row r="1109">
      <c r="A1109" s="153">
        <v>1106.0</v>
      </c>
      <c r="B1109" s="154"/>
      <c r="C1109" s="154" t="s">
        <v>208</v>
      </c>
      <c r="D1109" s="154" t="s">
        <v>208</v>
      </c>
      <c r="E1109" s="154" t="s">
        <v>208</v>
      </c>
      <c r="F1109" s="154" t="s">
        <v>208</v>
      </c>
      <c r="G1109" s="154" t="s">
        <v>208</v>
      </c>
      <c r="H1109" s="155"/>
      <c r="I1109" s="155"/>
      <c r="J1109" s="155"/>
      <c r="K1109" s="147"/>
    </row>
    <row r="1110">
      <c r="A1110" s="153">
        <v>1107.0</v>
      </c>
      <c r="B1110" s="154"/>
      <c r="C1110" s="154" t="s">
        <v>208</v>
      </c>
      <c r="D1110" s="154" t="s">
        <v>208</v>
      </c>
      <c r="E1110" s="154"/>
      <c r="F1110" s="154" t="s">
        <v>208</v>
      </c>
      <c r="G1110" s="154" t="s">
        <v>208</v>
      </c>
      <c r="H1110" s="155"/>
      <c r="I1110" s="155"/>
      <c r="J1110" s="155"/>
      <c r="K1110" s="147"/>
    </row>
    <row r="1111">
      <c r="A1111" s="153">
        <v>1108.0</v>
      </c>
      <c r="B1111" s="154"/>
      <c r="C1111" s="154" t="s">
        <v>208</v>
      </c>
      <c r="D1111" s="154" t="s">
        <v>208</v>
      </c>
      <c r="E1111" s="154" t="s">
        <v>208</v>
      </c>
      <c r="F1111" s="154" t="s">
        <v>208</v>
      </c>
      <c r="G1111" s="154" t="s">
        <v>208</v>
      </c>
      <c r="H1111" s="155"/>
      <c r="I1111" s="155"/>
      <c r="J1111" s="155"/>
      <c r="K1111" s="147"/>
    </row>
    <row r="1112">
      <c r="A1112" s="153">
        <v>1109.0</v>
      </c>
      <c r="B1112" s="154"/>
      <c r="C1112" s="154" t="s">
        <v>208</v>
      </c>
      <c r="D1112" s="154" t="s">
        <v>218</v>
      </c>
      <c r="E1112" s="154" t="s">
        <v>208</v>
      </c>
      <c r="F1112" s="154" t="s">
        <v>208</v>
      </c>
      <c r="G1112" s="154" t="s">
        <v>208</v>
      </c>
      <c r="H1112" s="155"/>
      <c r="I1112" s="155"/>
      <c r="J1112" s="155"/>
      <c r="K1112" s="147"/>
    </row>
    <row r="1113">
      <c r="A1113" s="153">
        <v>1110.0</v>
      </c>
      <c r="B1113" s="154"/>
      <c r="C1113" s="154" t="s">
        <v>208</v>
      </c>
      <c r="D1113" s="154" t="s">
        <v>208</v>
      </c>
      <c r="E1113" s="154" t="s">
        <v>208</v>
      </c>
      <c r="F1113" s="154" t="s">
        <v>208</v>
      </c>
      <c r="G1113" s="154" t="s">
        <v>208</v>
      </c>
      <c r="H1113" s="155"/>
      <c r="I1113" s="155"/>
      <c r="J1113" s="155"/>
      <c r="K1113" s="147"/>
    </row>
    <row r="1114">
      <c r="A1114" s="153">
        <v>1111.0</v>
      </c>
      <c r="B1114" s="154"/>
      <c r="C1114" s="154" t="s">
        <v>208</v>
      </c>
      <c r="D1114" s="154" t="s">
        <v>208</v>
      </c>
      <c r="E1114" s="154" t="s">
        <v>208</v>
      </c>
      <c r="F1114" s="154" t="s">
        <v>208</v>
      </c>
      <c r="G1114" s="154" t="s">
        <v>208</v>
      </c>
      <c r="H1114" s="155"/>
      <c r="I1114" s="155"/>
      <c r="J1114" s="155"/>
      <c r="K1114" s="147"/>
    </row>
    <row r="1115">
      <c r="A1115" s="153">
        <v>1112.0</v>
      </c>
      <c r="B1115" s="154"/>
      <c r="C1115" s="154" t="s">
        <v>208</v>
      </c>
      <c r="D1115" s="154" t="s">
        <v>208</v>
      </c>
      <c r="E1115" s="154" t="s">
        <v>208</v>
      </c>
      <c r="F1115" s="154" t="s">
        <v>208</v>
      </c>
      <c r="G1115" s="154" t="s">
        <v>208</v>
      </c>
      <c r="H1115" s="155"/>
      <c r="I1115" s="155"/>
      <c r="J1115" s="155"/>
      <c r="K1115" s="147"/>
    </row>
    <row r="1116">
      <c r="A1116" s="153">
        <v>1113.0</v>
      </c>
      <c r="B1116" s="154"/>
      <c r="C1116" s="154" t="s">
        <v>208</v>
      </c>
      <c r="D1116" s="154" t="s">
        <v>208</v>
      </c>
      <c r="E1116" s="154" t="s">
        <v>208</v>
      </c>
      <c r="F1116" s="154" t="s">
        <v>208</v>
      </c>
      <c r="G1116" s="154" t="s">
        <v>208</v>
      </c>
      <c r="H1116" s="155"/>
      <c r="I1116" s="155"/>
      <c r="J1116" s="155"/>
      <c r="K1116" s="147"/>
    </row>
    <row r="1117">
      <c r="A1117" s="153">
        <v>1114.0</v>
      </c>
      <c r="B1117" s="155"/>
      <c r="C1117" s="154"/>
      <c r="D1117" s="154" t="s">
        <v>208</v>
      </c>
      <c r="E1117" s="154" t="s">
        <v>208</v>
      </c>
      <c r="F1117" s="154" t="s">
        <v>208</v>
      </c>
      <c r="G1117" s="154"/>
      <c r="H1117" s="154" t="s">
        <v>208</v>
      </c>
      <c r="I1117" s="155"/>
      <c r="J1117" s="155"/>
      <c r="K1117" s="147"/>
    </row>
    <row r="1118">
      <c r="A1118" s="153">
        <v>1115.0</v>
      </c>
      <c r="B1118" s="154"/>
      <c r="C1118" s="154" t="s">
        <v>208</v>
      </c>
      <c r="D1118" s="154" t="s">
        <v>208</v>
      </c>
      <c r="E1118" s="154" t="s">
        <v>208</v>
      </c>
      <c r="F1118" s="154" t="s">
        <v>208</v>
      </c>
      <c r="G1118" s="154" t="s">
        <v>208</v>
      </c>
      <c r="H1118" s="153"/>
      <c r="I1118" s="155"/>
      <c r="J1118" s="155"/>
      <c r="K1118" s="147"/>
    </row>
    <row r="1119">
      <c r="A1119" s="153">
        <v>1116.0</v>
      </c>
      <c r="B1119" s="154"/>
      <c r="C1119" s="154" t="s">
        <v>208</v>
      </c>
      <c r="D1119" s="154" t="s">
        <v>208</v>
      </c>
      <c r="E1119" s="154" t="s">
        <v>208</v>
      </c>
      <c r="F1119" s="154" t="s">
        <v>208</v>
      </c>
      <c r="G1119" s="154" t="s">
        <v>208</v>
      </c>
      <c r="H1119" s="155"/>
      <c r="I1119" s="155"/>
      <c r="J1119" s="155"/>
      <c r="K1119" s="147"/>
    </row>
    <row r="1120">
      <c r="A1120" s="153">
        <v>1117.0</v>
      </c>
      <c r="B1120" s="154"/>
      <c r="C1120" s="154" t="s">
        <v>208</v>
      </c>
      <c r="D1120" s="154" t="s">
        <v>208</v>
      </c>
      <c r="E1120" s="154" t="s">
        <v>208</v>
      </c>
      <c r="F1120" s="154" t="s">
        <v>208</v>
      </c>
      <c r="G1120" s="154" t="s">
        <v>208</v>
      </c>
      <c r="H1120" s="155"/>
      <c r="I1120" s="155"/>
      <c r="J1120" s="155"/>
      <c r="K1120" s="147"/>
    </row>
    <row r="1121">
      <c r="A1121" s="153">
        <v>1118.0</v>
      </c>
      <c r="B1121" s="154"/>
      <c r="C1121" s="154" t="s">
        <v>208</v>
      </c>
      <c r="D1121" s="154" t="s">
        <v>208</v>
      </c>
      <c r="E1121" s="154" t="s">
        <v>208</v>
      </c>
      <c r="F1121" s="154" t="s">
        <v>208</v>
      </c>
      <c r="G1121" s="154" t="s">
        <v>208</v>
      </c>
      <c r="H1121" s="155"/>
      <c r="I1121" s="155"/>
      <c r="J1121" s="155"/>
      <c r="K1121" s="147"/>
    </row>
    <row r="1122">
      <c r="A1122" s="153">
        <v>1119.0</v>
      </c>
      <c r="B1122" s="154"/>
      <c r="C1122" s="154" t="s">
        <v>208</v>
      </c>
      <c r="D1122" s="154" t="s">
        <v>218</v>
      </c>
      <c r="E1122" s="154"/>
      <c r="F1122" s="154" t="s">
        <v>208</v>
      </c>
      <c r="G1122" s="154" t="s">
        <v>208</v>
      </c>
      <c r="H1122" s="155"/>
      <c r="I1122" s="155"/>
      <c r="J1122" s="155"/>
      <c r="K1122" s="147"/>
    </row>
    <row r="1123">
      <c r="A1123" s="153">
        <v>1120.0</v>
      </c>
      <c r="B1123" s="154"/>
      <c r="C1123" s="154"/>
      <c r="D1123" s="154"/>
      <c r="E1123" s="154"/>
      <c r="F1123" s="154"/>
      <c r="G1123" s="154"/>
      <c r="H1123" s="155"/>
      <c r="I1123" s="155"/>
      <c r="J1123" s="154" t="s">
        <v>217</v>
      </c>
      <c r="K1123" s="147"/>
    </row>
    <row r="1124">
      <c r="A1124" s="153">
        <v>1121.0</v>
      </c>
      <c r="B1124" s="154"/>
      <c r="C1124" s="154" t="s">
        <v>208</v>
      </c>
      <c r="D1124" s="154" t="s">
        <v>208</v>
      </c>
      <c r="E1124" s="154" t="s">
        <v>208</v>
      </c>
      <c r="F1124" s="154" t="s">
        <v>208</v>
      </c>
      <c r="G1124" s="154" t="s">
        <v>208</v>
      </c>
      <c r="H1124" s="155"/>
      <c r="I1124" s="155"/>
      <c r="J1124" s="155"/>
      <c r="K1124" s="147"/>
    </row>
    <row r="1125">
      <c r="A1125" s="153">
        <v>1122.0</v>
      </c>
      <c r="B1125" s="154"/>
      <c r="C1125" s="154" t="s">
        <v>208</v>
      </c>
      <c r="D1125" s="154" t="s">
        <v>208</v>
      </c>
      <c r="E1125" s="154" t="s">
        <v>208</v>
      </c>
      <c r="F1125" s="154" t="s">
        <v>208</v>
      </c>
      <c r="G1125" s="154" t="s">
        <v>208</v>
      </c>
      <c r="H1125" s="155"/>
      <c r="I1125" s="155"/>
      <c r="J1125" s="155"/>
      <c r="K1125" s="147"/>
    </row>
    <row r="1126">
      <c r="A1126" s="153">
        <v>1123.0</v>
      </c>
      <c r="B1126" s="154"/>
      <c r="C1126" s="154" t="s">
        <v>208</v>
      </c>
      <c r="D1126" s="154" t="s">
        <v>208</v>
      </c>
      <c r="E1126" s="154" t="s">
        <v>208</v>
      </c>
      <c r="F1126" s="154" t="s">
        <v>208</v>
      </c>
      <c r="G1126" s="154" t="s">
        <v>208</v>
      </c>
      <c r="H1126" s="155"/>
      <c r="I1126" s="155"/>
      <c r="J1126" s="155"/>
      <c r="K1126" s="147"/>
    </row>
    <row r="1127">
      <c r="A1127" s="153">
        <v>1124.0</v>
      </c>
      <c r="B1127" s="155"/>
      <c r="C1127" s="154"/>
      <c r="D1127" s="154" t="s">
        <v>208</v>
      </c>
      <c r="E1127" s="154" t="s">
        <v>208</v>
      </c>
      <c r="F1127" s="154" t="s">
        <v>208</v>
      </c>
      <c r="G1127" s="154"/>
      <c r="H1127" s="154" t="s">
        <v>208</v>
      </c>
      <c r="I1127" s="155"/>
      <c r="J1127" s="155"/>
      <c r="K1127" s="147"/>
    </row>
    <row r="1128">
      <c r="A1128" s="153">
        <v>1125.0</v>
      </c>
      <c r="B1128" s="154"/>
      <c r="C1128" s="154" t="s">
        <v>208</v>
      </c>
      <c r="D1128" s="154" t="s">
        <v>208</v>
      </c>
      <c r="E1128" s="154" t="s">
        <v>208</v>
      </c>
      <c r="F1128" s="154" t="s">
        <v>208</v>
      </c>
      <c r="G1128" s="154" t="s">
        <v>208</v>
      </c>
      <c r="H1128" s="155"/>
      <c r="I1128" s="155"/>
      <c r="J1128" s="155"/>
      <c r="K1128" s="147"/>
    </row>
    <row r="1129">
      <c r="A1129" s="153">
        <v>1126.0</v>
      </c>
      <c r="B1129" s="154"/>
      <c r="C1129" s="154" t="s">
        <v>208</v>
      </c>
      <c r="D1129" s="154" t="s">
        <v>208</v>
      </c>
      <c r="E1129" s="154" t="s">
        <v>208</v>
      </c>
      <c r="F1129" s="154" t="s">
        <v>208</v>
      </c>
      <c r="G1129" s="154" t="s">
        <v>208</v>
      </c>
      <c r="H1129" s="155"/>
      <c r="I1129" s="155"/>
      <c r="J1129" s="155"/>
      <c r="K1129" s="147"/>
    </row>
    <row r="1130">
      <c r="A1130" s="153">
        <v>1127.0</v>
      </c>
      <c r="B1130" s="154"/>
      <c r="C1130" s="154" t="s">
        <v>208</v>
      </c>
      <c r="D1130" s="154" t="s">
        <v>208</v>
      </c>
      <c r="E1130" s="154" t="s">
        <v>208</v>
      </c>
      <c r="F1130" s="154" t="s">
        <v>208</v>
      </c>
      <c r="G1130" s="154" t="s">
        <v>208</v>
      </c>
      <c r="H1130" s="155"/>
      <c r="I1130" s="155"/>
      <c r="J1130" s="155"/>
      <c r="K1130" s="147"/>
    </row>
    <row r="1131">
      <c r="A1131" s="153">
        <v>1128.0</v>
      </c>
      <c r="B1131" s="154"/>
      <c r="C1131" s="154" t="s">
        <v>208</v>
      </c>
      <c r="D1131" s="154" t="s">
        <v>218</v>
      </c>
      <c r="E1131" s="154" t="s">
        <v>208</v>
      </c>
      <c r="F1131" s="154" t="s">
        <v>208</v>
      </c>
      <c r="G1131" s="154" t="s">
        <v>208</v>
      </c>
      <c r="H1131" s="155"/>
      <c r="I1131" s="155"/>
      <c r="J1131" s="155"/>
      <c r="K1131" s="147"/>
    </row>
    <row r="1132">
      <c r="A1132" s="153">
        <v>1129.0</v>
      </c>
      <c r="B1132" s="154"/>
      <c r="C1132" s="154" t="s">
        <v>208</v>
      </c>
      <c r="D1132" s="154" t="s">
        <v>208</v>
      </c>
      <c r="E1132" s="154" t="s">
        <v>208</v>
      </c>
      <c r="F1132" s="154" t="s">
        <v>208</v>
      </c>
      <c r="G1132" s="154" t="s">
        <v>208</v>
      </c>
      <c r="H1132" s="155"/>
      <c r="I1132" s="155"/>
      <c r="J1132" s="155"/>
      <c r="K1132" s="147"/>
    </row>
    <row r="1133">
      <c r="A1133" s="153">
        <v>1130.0</v>
      </c>
      <c r="B1133" s="154"/>
      <c r="C1133" s="154" t="s">
        <v>208</v>
      </c>
      <c r="D1133" s="154" t="s">
        <v>208</v>
      </c>
      <c r="E1133" s="154" t="s">
        <v>208</v>
      </c>
      <c r="F1133" s="154" t="s">
        <v>208</v>
      </c>
      <c r="G1133" s="154" t="s">
        <v>208</v>
      </c>
      <c r="H1133" s="155"/>
      <c r="I1133" s="155"/>
      <c r="J1133" s="155"/>
      <c r="K1133" s="147"/>
    </row>
    <row r="1134">
      <c r="A1134" s="153">
        <v>1131.0</v>
      </c>
      <c r="B1134" s="154"/>
      <c r="C1134" s="154" t="s">
        <v>208</v>
      </c>
      <c r="D1134" s="154" t="s">
        <v>208</v>
      </c>
      <c r="E1134" s="154" t="s">
        <v>208</v>
      </c>
      <c r="F1134" s="154" t="s">
        <v>208</v>
      </c>
      <c r="G1134" s="154" t="s">
        <v>208</v>
      </c>
      <c r="H1134" s="155"/>
      <c r="I1134" s="155"/>
      <c r="J1134" s="155"/>
      <c r="K1134" s="147"/>
    </row>
    <row r="1135">
      <c r="A1135" s="153">
        <v>1132.0</v>
      </c>
      <c r="B1135" s="154"/>
      <c r="C1135" s="154"/>
      <c r="D1135" s="154"/>
      <c r="E1135" s="154"/>
      <c r="F1135" s="154"/>
      <c r="G1135" s="154" t="s">
        <v>208</v>
      </c>
      <c r="H1135" s="155"/>
      <c r="I1135" s="155"/>
      <c r="J1135" s="155"/>
      <c r="K1135" s="147"/>
    </row>
    <row r="1136">
      <c r="A1136" s="153">
        <v>1133.0</v>
      </c>
      <c r="B1136" s="154"/>
      <c r="C1136" s="154"/>
      <c r="D1136" s="154"/>
      <c r="E1136" s="154"/>
      <c r="F1136" s="154"/>
      <c r="G1136" s="155"/>
      <c r="H1136" s="155"/>
      <c r="I1136" s="155"/>
      <c r="J1136" s="154" t="s">
        <v>217</v>
      </c>
      <c r="K1136" s="147"/>
    </row>
    <row r="1137">
      <c r="A1137" s="177">
        <v>1134.0</v>
      </c>
      <c r="B1137" s="154"/>
      <c r="C1137" s="154"/>
      <c r="D1137" s="154"/>
      <c r="E1137" s="154"/>
      <c r="F1137" s="154" t="s">
        <v>208</v>
      </c>
      <c r="G1137" s="155"/>
      <c r="H1137" s="155"/>
      <c r="I1137" s="155"/>
      <c r="J1137" s="155"/>
      <c r="K1137" s="147"/>
    </row>
    <row r="1138">
      <c r="A1138" s="177">
        <v>1134.0</v>
      </c>
      <c r="B1138" s="154"/>
      <c r="C1138" s="154"/>
      <c r="D1138" s="154"/>
      <c r="E1138" s="154"/>
      <c r="F1138" s="154" t="s">
        <v>208</v>
      </c>
      <c r="G1138" s="155"/>
      <c r="H1138" s="155"/>
      <c r="I1138" s="155"/>
      <c r="J1138" s="155"/>
      <c r="K1138" s="147"/>
    </row>
    <row r="1139">
      <c r="A1139" s="153">
        <v>1135.0</v>
      </c>
      <c r="B1139" s="154"/>
      <c r="C1139" s="154" t="s">
        <v>208</v>
      </c>
      <c r="D1139" s="154" t="s">
        <v>208</v>
      </c>
      <c r="E1139" s="154" t="s">
        <v>208</v>
      </c>
      <c r="F1139" s="154" t="s">
        <v>208</v>
      </c>
      <c r="G1139" s="154" t="s">
        <v>208</v>
      </c>
      <c r="H1139" s="155"/>
      <c r="I1139" s="155"/>
      <c r="J1139" s="155"/>
      <c r="K1139" s="147"/>
    </row>
    <row r="1140">
      <c r="A1140" s="153">
        <v>1136.0</v>
      </c>
      <c r="B1140" s="154"/>
      <c r="C1140" s="154"/>
      <c r="D1140" s="154" t="s">
        <v>208</v>
      </c>
      <c r="E1140" s="154" t="s">
        <v>208</v>
      </c>
      <c r="F1140" s="154" t="s">
        <v>208</v>
      </c>
      <c r="G1140" s="155"/>
      <c r="H1140" s="154" t="s">
        <v>208</v>
      </c>
      <c r="I1140" s="155"/>
      <c r="J1140" s="155"/>
      <c r="K1140" s="147"/>
    </row>
    <row r="1141">
      <c r="A1141" s="153">
        <v>1137.0</v>
      </c>
      <c r="B1141" s="154"/>
      <c r="C1141" s="154" t="s">
        <v>208</v>
      </c>
      <c r="D1141" s="154" t="s">
        <v>208</v>
      </c>
      <c r="E1141" s="154" t="s">
        <v>208</v>
      </c>
      <c r="F1141" s="154" t="s">
        <v>208</v>
      </c>
      <c r="G1141" s="154" t="s">
        <v>208</v>
      </c>
      <c r="H1141" s="155"/>
      <c r="I1141" s="155"/>
      <c r="J1141" s="155"/>
      <c r="K1141" s="147"/>
    </row>
    <row r="1142">
      <c r="A1142" s="153">
        <v>1138.0</v>
      </c>
      <c r="B1142" s="154"/>
      <c r="C1142" s="154" t="s">
        <v>208</v>
      </c>
      <c r="D1142" s="154" t="s">
        <v>208</v>
      </c>
      <c r="E1142" s="154" t="s">
        <v>208</v>
      </c>
      <c r="F1142" s="154" t="s">
        <v>208</v>
      </c>
      <c r="G1142" s="154" t="s">
        <v>208</v>
      </c>
      <c r="H1142" s="155"/>
      <c r="I1142" s="155"/>
      <c r="J1142" s="155"/>
      <c r="K1142" s="147"/>
    </row>
    <row r="1143">
      <c r="A1143" s="153">
        <v>1139.0</v>
      </c>
      <c r="B1143" s="155"/>
      <c r="C1143" s="154" t="s">
        <v>208</v>
      </c>
      <c r="D1143" s="154" t="s">
        <v>208</v>
      </c>
      <c r="E1143" s="154" t="s">
        <v>208</v>
      </c>
      <c r="F1143" s="154" t="s">
        <v>208</v>
      </c>
      <c r="G1143" s="154" t="s">
        <v>208</v>
      </c>
      <c r="H1143" s="155"/>
      <c r="I1143" s="155"/>
      <c r="J1143" s="155"/>
      <c r="K1143" s="147"/>
    </row>
    <row r="1144">
      <c r="A1144" s="153">
        <v>1140.0</v>
      </c>
      <c r="B1144" s="154"/>
      <c r="C1144" s="154" t="s">
        <v>208</v>
      </c>
      <c r="D1144" s="154" t="s">
        <v>208</v>
      </c>
      <c r="E1144" s="154" t="s">
        <v>208</v>
      </c>
      <c r="F1144" s="154" t="s">
        <v>208</v>
      </c>
      <c r="G1144" s="154" t="s">
        <v>208</v>
      </c>
      <c r="H1144" s="155"/>
      <c r="I1144" s="155"/>
      <c r="J1144" s="155"/>
      <c r="K1144" s="147"/>
    </row>
    <row r="1145">
      <c r="A1145" s="177">
        <v>1141.0</v>
      </c>
      <c r="B1145" s="154"/>
      <c r="C1145" s="154"/>
      <c r="D1145" s="154"/>
      <c r="E1145" s="154"/>
      <c r="F1145" s="154"/>
      <c r="G1145" s="154" t="s">
        <v>208</v>
      </c>
      <c r="H1145" s="155"/>
      <c r="I1145" s="155"/>
      <c r="J1145" s="155"/>
      <c r="K1145" s="147"/>
    </row>
    <row r="1146">
      <c r="A1146" s="177">
        <v>1141.0</v>
      </c>
      <c r="B1146" s="154"/>
      <c r="C1146" s="154"/>
      <c r="D1146" s="154"/>
      <c r="E1146" s="154"/>
      <c r="F1146" s="154"/>
      <c r="G1146" s="154" t="s">
        <v>208</v>
      </c>
      <c r="H1146" s="155"/>
      <c r="I1146" s="155"/>
      <c r="J1146" s="155"/>
      <c r="K1146" s="147"/>
    </row>
    <row r="1147">
      <c r="A1147" s="153">
        <v>1142.0</v>
      </c>
      <c r="B1147" s="154"/>
      <c r="C1147" s="154"/>
      <c r="D1147" s="154"/>
      <c r="E1147" s="154"/>
      <c r="F1147" s="154"/>
      <c r="G1147" s="154" t="s">
        <v>208</v>
      </c>
      <c r="H1147" s="155"/>
      <c r="I1147" s="155"/>
      <c r="J1147" s="155"/>
      <c r="K1147" s="147"/>
    </row>
    <row r="1148">
      <c r="A1148" s="153">
        <v>1143.0</v>
      </c>
      <c r="B1148" s="154"/>
      <c r="C1148" s="154"/>
      <c r="D1148" s="154"/>
      <c r="E1148" s="154"/>
      <c r="F1148" s="154"/>
      <c r="G1148" s="155"/>
      <c r="H1148" s="155"/>
      <c r="I1148" s="155"/>
      <c r="J1148" s="154" t="s">
        <v>217</v>
      </c>
      <c r="K1148" s="147"/>
    </row>
    <row r="1149">
      <c r="A1149" s="153">
        <v>1144.0</v>
      </c>
      <c r="B1149" s="154"/>
      <c r="C1149" s="154" t="s">
        <v>208</v>
      </c>
      <c r="D1149" s="154" t="s">
        <v>208</v>
      </c>
      <c r="E1149" s="154" t="s">
        <v>208</v>
      </c>
      <c r="F1149" s="154" t="s">
        <v>208</v>
      </c>
      <c r="G1149" s="154" t="s">
        <v>208</v>
      </c>
      <c r="H1149" s="155"/>
      <c r="I1149" s="155"/>
      <c r="J1149" s="155"/>
      <c r="K1149" s="147"/>
    </row>
    <row r="1150">
      <c r="A1150" s="153">
        <v>1145.0</v>
      </c>
      <c r="B1150" s="154"/>
      <c r="C1150" s="154" t="s">
        <v>208</v>
      </c>
      <c r="D1150" s="154" t="s">
        <v>208</v>
      </c>
      <c r="E1150" s="154" t="s">
        <v>208</v>
      </c>
      <c r="F1150" s="154" t="s">
        <v>208</v>
      </c>
      <c r="G1150" s="154" t="s">
        <v>208</v>
      </c>
      <c r="H1150" s="155"/>
      <c r="I1150" s="155"/>
      <c r="J1150" s="155"/>
      <c r="K1150" s="147"/>
    </row>
    <row r="1151">
      <c r="A1151" s="153">
        <v>1146.0</v>
      </c>
      <c r="B1151" s="154"/>
      <c r="C1151" s="154" t="s">
        <v>208</v>
      </c>
      <c r="D1151" s="154" t="s">
        <v>208</v>
      </c>
      <c r="E1151" s="154" t="s">
        <v>208</v>
      </c>
      <c r="F1151" s="154" t="s">
        <v>208</v>
      </c>
      <c r="G1151" s="154" t="s">
        <v>208</v>
      </c>
      <c r="H1151" s="155"/>
      <c r="I1151" s="155"/>
      <c r="J1151" s="155"/>
      <c r="K1151" s="147"/>
    </row>
    <row r="1152">
      <c r="A1152" s="153">
        <v>1147.0</v>
      </c>
      <c r="B1152" s="154"/>
      <c r="C1152" s="154" t="s">
        <v>208</v>
      </c>
      <c r="D1152" s="154" t="s">
        <v>208</v>
      </c>
      <c r="E1152" s="154" t="s">
        <v>208</v>
      </c>
      <c r="F1152" s="154" t="s">
        <v>208</v>
      </c>
      <c r="G1152" s="154" t="s">
        <v>208</v>
      </c>
      <c r="H1152" s="155"/>
      <c r="I1152" s="155"/>
      <c r="J1152" s="155"/>
      <c r="K1152" s="147"/>
    </row>
    <row r="1153">
      <c r="A1153" s="153">
        <v>1148.0</v>
      </c>
      <c r="B1153" s="154"/>
      <c r="C1153" s="154"/>
      <c r="D1153" s="154" t="s">
        <v>208</v>
      </c>
      <c r="E1153" s="154" t="s">
        <v>208</v>
      </c>
      <c r="F1153" s="154" t="s">
        <v>208</v>
      </c>
      <c r="G1153" s="155"/>
      <c r="H1153" s="154" t="s">
        <v>208</v>
      </c>
      <c r="I1153" s="155"/>
      <c r="J1153" s="155"/>
      <c r="K1153" s="147"/>
    </row>
    <row r="1154">
      <c r="A1154" s="153">
        <v>1149.0</v>
      </c>
      <c r="B1154" s="154"/>
      <c r="C1154" s="154"/>
      <c r="D1154" s="154"/>
      <c r="E1154" s="154"/>
      <c r="F1154" s="154"/>
      <c r="G1154" s="155"/>
      <c r="H1154" s="155"/>
      <c r="I1154" s="155"/>
      <c r="J1154" s="154" t="s">
        <v>217</v>
      </c>
      <c r="K1154" s="147"/>
    </row>
    <row r="1155">
      <c r="A1155" s="153">
        <v>1150.0</v>
      </c>
      <c r="B1155" s="154"/>
      <c r="C1155" s="154"/>
      <c r="D1155" s="154"/>
      <c r="E1155" s="154"/>
      <c r="F1155" s="154"/>
      <c r="G1155" s="155"/>
      <c r="H1155" s="155"/>
      <c r="I1155" s="155"/>
      <c r="J1155" s="154" t="s">
        <v>217</v>
      </c>
      <c r="K1155" s="147"/>
    </row>
    <row r="1156">
      <c r="A1156" s="153">
        <v>1151.0</v>
      </c>
      <c r="B1156" s="154"/>
      <c r="C1156" s="154"/>
      <c r="D1156" s="154"/>
      <c r="E1156" s="154"/>
      <c r="F1156" s="154"/>
      <c r="G1156" s="155"/>
      <c r="H1156" s="155"/>
      <c r="I1156" s="155"/>
      <c r="J1156" s="154" t="s">
        <v>217</v>
      </c>
      <c r="K1156" s="147"/>
    </row>
    <row r="1157">
      <c r="A1157" s="153">
        <v>1152.0</v>
      </c>
      <c r="B1157" s="154"/>
      <c r="C1157" s="154"/>
      <c r="D1157" s="154"/>
      <c r="E1157" s="154"/>
      <c r="F1157" s="154"/>
      <c r="G1157" s="155"/>
      <c r="H1157" s="153"/>
      <c r="I1157" s="155"/>
      <c r="J1157" s="154" t="s">
        <v>217</v>
      </c>
      <c r="K1157" s="147"/>
    </row>
    <row r="1158">
      <c r="A1158" s="153">
        <v>1153.0</v>
      </c>
      <c r="B1158" s="154"/>
      <c r="C1158" s="154"/>
      <c r="D1158" s="154"/>
      <c r="E1158" s="154"/>
      <c r="F1158" s="154"/>
      <c r="G1158" s="155"/>
      <c r="H1158" s="153"/>
      <c r="I1158" s="155"/>
      <c r="J1158" s="154" t="s">
        <v>217</v>
      </c>
      <c r="K1158" s="147"/>
    </row>
    <row r="1159">
      <c r="A1159" s="153">
        <v>1154.0</v>
      </c>
      <c r="B1159" s="154"/>
      <c r="C1159" s="154"/>
      <c r="D1159" s="154"/>
      <c r="E1159" s="154"/>
      <c r="F1159" s="154"/>
      <c r="G1159" s="155"/>
      <c r="H1159" s="153"/>
      <c r="I1159" s="155"/>
      <c r="J1159" s="154" t="s">
        <v>217</v>
      </c>
      <c r="K1159" s="147"/>
    </row>
    <row r="1160">
      <c r="A1160" s="153">
        <v>1155.0</v>
      </c>
      <c r="B1160" s="154"/>
      <c r="C1160" s="154"/>
      <c r="D1160" s="154"/>
      <c r="E1160" s="154"/>
      <c r="F1160" s="154"/>
      <c r="G1160" s="155"/>
      <c r="H1160" s="153"/>
      <c r="I1160" s="155"/>
      <c r="J1160" s="154" t="s">
        <v>217</v>
      </c>
      <c r="K1160" s="147"/>
    </row>
    <row r="1161">
      <c r="A1161" s="153">
        <v>1156.0</v>
      </c>
      <c r="B1161" s="154"/>
      <c r="C1161" s="154"/>
      <c r="D1161" s="154"/>
      <c r="E1161" s="154"/>
      <c r="F1161" s="154"/>
      <c r="G1161" s="155"/>
      <c r="H1161" s="153"/>
      <c r="I1161" s="155"/>
      <c r="J1161" s="154" t="s">
        <v>217</v>
      </c>
      <c r="K1161" s="147"/>
    </row>
    <row r="1162">
      <c r="A1162" s="153">
        <v>1157.0</v>
      </c>
      <c r="B1162" s="154"/>
      <c r="C1162" s="154"/>
      <c r="D1162" s="154"/>
      <c r="E1162" s="154"/>
      <c r="F1162" s="154"/>
      <c r="G1162" s="155"/>
      <c r="H1162" s="153"/>
      <c r="I1162" s="155"/>
      <c r="J1162" s="154" t="s">
        <v>217</v>
      </c>
      <c r="K1162" s="147"/>
    </row>
    <row r="1163">
      <c r="A1163" s="153">
        <v>1158.0</v>
      </c>
      <c r="B1163" s="154"/>
      <c r="C1163" s="154" t="s">
        <v>208</v>
      </c>
      <c r="D1163" s="154" t="s">
        <v>208</v>
      </c>
      <c r="E1163" s="154" t="s">
        <v>208</v>
      </c>
      <c r="F1163" s="154" t="s">
        <v>208</v>
      </c>
      <c r="G1163" s="154" t="s">
        <v>208</v>
      </c>
      <c r="H1163" s="155"/>
      <c r="I1163" s="155"/>
      <c r="J1163" s="155"/>
      <c r="K1163" s="147"/>
    </row>
    <row r="1164">
      <c r="A1164" s="153">
        <v>1159.0</v>
      </c>
      <c r="B1164" s="154"/>
      <c r="C1164" s="154" t="s">
        <v>208</v>
      </c>
      <c r="D1164" s="154" t="s">
        <v>208</v>
      </c>
      <c r="E1164" s="154" t="s">
        <v>208</v>
      </c>
      <c r="F1164" s="154" t="s">
        <v>208</v>
      </c>
      <c r="G1164" s="154" t="s">
        <v>208</v>
      </c>
      <c r="H1164" s="155"/>
      <c r="I1164" s="155"/>
      <c r="J1164" s="155"/>
      <c r="K1164" s="147"/>
    </row>
    <row r="1165">
      <c r="A1165" s="153">
        <v>1160.0</v>
      </c>
      <c r="B1165" s="154"/>
      <c r="C1165" s="154" t="s">
        <v>208</v>
      </c>
      <c r="D1165" s="154" t="s">
        <v>208</v>
      </c>
      <c r="E1165" s="154" t="s">
        <v>208</v>
      </c>
      <c r="F1165" s="154" t="s">
        <v>208</v>
      </c>
      <c r="G1165" s="154" t="s">
        <v>208</v>
      </c>
      <c r="H1165" s="155"/>
      <c r="I1165" s="155"/>
      <c r="J1165" s="155"/>
      <c r="K1165" s="147"/>
    </row>
    <row r="1166">
      <c r="A1166" s="153">
        <v>1161.0</v>
      </c>
      <c r="B1166" s="154"/>
      <c r="C1166" s="154" t="s">
        <v>208</v>
      </c>
      <c r="D1166" s="154" t="s">
        <v>208</v>
      </c>
      <c r="E1166" s="154" t="s">
        <v>208</v>
      </c>
      <c r="F1166" s="154" t="s">
        <v>208</v>
      </c>
      <c r="G1166" s="154" t="s">
        <v>208</v>
      </c>
      <c r="H1166" s="155"/>
      <c r="I1166" s="155"/>
      <c r="J1166" s="155"/>
      <c r="K1166" s="147"/>
    </row>
    <row r="1167">
      <c r="A1167" s="153">
        <v>1162.0</v>
      </c>
      <c r="B1167" s="154"/>
      <c r="C1167" s="154" t="s">
        <v>208</v>
      </c>
      <c r="D1167" s="154" t="s">
        <v>208</v>
      </c>
      <c r="E1167" s="154" t="s">
        <v>208</v>
      </c>
      <c r="F1167" s="154" t="s">
        <v>208</v>
      </c>
      <c r="G1167" s="154" t="s">
        <v>208</v>
      </c>
      <c r="H1167" s="155"/>
      <c r="I1167" s="155"/>
      <c r="J1167" s="155"/>
      <c r="K1167" s="147"/>
    </row>
    <row r="1168">
      <c r="A1168" s="153">
        <v>1163.0</v>
      </c>
      <c r="B1168" s="155"/>
      <c r="C1168" s="154" t="s">
        <v>208</v>
      </c>
      <c r="D1168" s="154" t="s">
        <v>208</v>
      </c>
      <c r="E1168" s="154"/>
      <c r="F1168" s="154" t="s">
        <v>208</v>
      </c>
      <c r="G1168" s="154" t="s">
        <v>208</v>
      </c>
      <c r="H1168" s="155"/>
      <c r="I1168" s="155"/>
      <c r="J1168" s="155"/>
      <c r="K1168" s="147"/>
    </row>
    <row r="1169">
      <c r="A1169" s="153">
        <v>1164.0</v>
      </c>
      <c r="B1169" s="154"/>
      <c r="C1169" s="154" t="s">
        <v>208</v>
      </c>
      <c r="D1169" s="154" t="s">
        <v>208</v>
      </c>
      <c r="E1169" s="154" t="s">
        <v>208</v>
      </c>
      <c r="F1169" s="154" t="s">
        <v>208</v>
      </c>
      <c r="G1169" s="154" t="s">
        <v>208</v>
      </c>
      <c r="H1169" s="155"/>
      <c r="I1169" s="155"/>
      <c r="J1169" s="155"/>
      <c r="K1169" s="147"/>
    </row>
    <row r="1170">
      <c r="A1170" s="153">
        <v>1165.0</v>
      </c>
      <c r="B1170" s="154"/>
      <c r="C1170" s="154" t="s">
        <v>208</v>
      </c>
      <c r="D1170" s="154" t="s">
        <v>208</v>
      </c>
      <c r="E1170" s="154" t="s">
        <v>208</v>
      </c>
      <c r="F1170" s="154" t="s">
        <v>208</v>
      </c>
      <c r="G1170" s="154" t="s">
        <v>208</v>
      </c>
      <c r="H1170" s="155"/>
      <c r="I1170" s="155"/>
      <c r="J1170" s="155"/>
      <c r="K1170" s="147"/>
    </row>
    <row r="1171">
      <c r="A1171" s="153">
        <v>1166.0</v>
      </c>
      <c r="B1171" s="154"/>
      <c r="C1171" s="154" t="s">
        <v>208</v>
      </c>
      <c r="D1171" s="154" t="s">
        <v>218</v>
      </c>
      <c r="E1171" s="154" t="s">
        <v>208</v>
      </c>
      <c r="F1171" s="154" t="s">
        <v>208</v>
      </c>
      <c r="G1171" s="154" t="s">
        <v>208</v>
      </c>
      <c r="H1171" s="155"/>
      <c r="I1171" s="155"/>
      <c r="J1171" s="155"/>
      <c r="K1171" s="147"/>
    </row>
    <row r="1172">
      <c r="A1172" s="153">
        <v>1167.0</v>
      </c>
      <c r="B1172" s="154"/>
      <c r="C1172" s="154" t="s">
        <v>208</v>
      </c>
      <c r="D1172" s="154" t="s">
        <v>208</v>
      </c>
      <c r="E1172" s="154" t="s">
        <v>208</v>
      </c>
      <c r="F1172" s="154" t="s">
        <v>208</v>
      </c>
      <c r="G1172" s="154" t="s">
        <v>208</v>
      </c>
      <c r="H1172" s="155"/>
      <c r="I1172" s="155"/>
      <c r="J1172" s="155"/>
      <c r="K1172" s="147"/>
    </row>
    <row r="1173">
      <c r="A1173" s="153">
        <v>1168.0</v>
      </c>
      <c r="B1173" s="154"/>
      <c r="C1173" s="154" t="s">
        <v>208</v>
      </c>
      <c r="D1173" s="154" t="s">
        <v>208</v>
      </c>
      <c r="E1173" s="154" t="s">
        <v>208</v>
      </c>
      <c r="F1173" s="154" t="s">
        <v>208</v>
      </c>
      <c r="G1173" s="154" t="s">
        <v>208</v>
      </c>
      <c r="H1173" s="155"/>
      <c r="I1173" s="155"/>
      <c r="J1173" s="155"/>
      <c r="K1173" s="147"/>
    </row>
    <row r="1174">
      <c r="A1174" s="153">
        <v>1169.0</v>
      </c>
      <c r="B1174" s="154"/>
      <c r="C1174" s="154" t="s">
        <v>208</v>
      </c>
      <c r="D1174" s="154" t="s">
        <v>208</v>
      </c>
      <c r="E1174" s="154" t="s">
        <v>208</v>
      </c>
      <c r="F1174" s="154" t="s">
        <v>208</v>
      </c>
      <c r="G1174" s="154" t="s">
        <v>208</v>
      </c>
      <c r="H1174" s="155"/>
      <c r="I1174" s="155"/>
      <c r="J1174" s="155"/>
      <c r="K1174" s="147"/>
    </row>
    <row r="1175">
      <c r="A1175" s="153">
        <v>1170.0</v>
      </c>
      <c r="B1175" s="154"/>
      <c r="C1175" s="154" t="s">
        <v>208</v>
      </c>
      <c r="D1175" s="154" t="s">
        <v>208</v>
      </c>
      <c r="E1175" s="154" t="s">
        <v>208</v>
      </c>
      <c r="F1175" s="154" t="s">
        <v>208</v>
      </c>
      <c r="G1175" s="154" t="s">
        <v>208</v>
      </c>
      <c r="H1175" s="155"/>
      <c r="I1175" s="155"/>
      <c r="J1175" s="155"/>
      <c r="K1175" s="147"/>
    </row>
    <row r="1176">
      <c r="A1176" s="153">
        <v>1171.0</v>
      </c>
      <c r="B1176" s="154"/>
      <c r="C1176" s="154" t="s">
        <v>208</v>
      </c>
      <c r="D1176" s="154" t="s">
        <v>208</v>
      </c>
      <c r="E1176" s="154" t="s">
        <v>208</v>
      </c>
      <c r="F1176" s="154" t="s">
        <v>208</v>
      </c>
      <c r="G1176" s="154" t="s">
        <v>208</v>
      </c>
      <c r="H1176" s="155"/>
      <c r="I1176" s="155"/>
      <c r="J1176" s="155"/>
      <c r="K1176" s="147"/>
    </row>
    <row r="1177">
      <c r="A1177" s="153">
        <v>1172.0</v>
      </c>
      <c r="B1177" s="154"/>
      <c r="C1177" s="154" t="s">
        <v>208</v>
      </c>
      <c r="D1177" s="154" t="s">
        <v>208</v>
      </c>
      <c r="E1177" s="154" t="s">
        <v>208</v>
      </c>
      <c r="F1177" s="154" t="s">
        <v>208</v>
      </c>
      <c r="G1177" s="154" t="s">
        <v>208</v>
      </c>
      <c r="H1177" s="155"/>
      <c r="I1177" s="155"/>
      <c r="J1177" s="155"/>
      <c r="K1177" s="147"/>
    </row>
    <row r="1178">
      <c r="A1178" s="153">
        <v>1173.0</v>
      </c>
      <c r="B1178" s="155"/>
      <c r="C1178" s="154"/>
      <c r="D1178" s="154" t="s">
        <v>208</v>
      </c>
      <c r="E1178" s="154" t="s">
        <v>208</v>
      </c>
      <c r="F1178" s="154" t="s">
        <v>208</v>
      </c>
      <c r="G1178" s="154"/>
      <c r="H1178" s="154" t="s">
        <v>208</v>
      </c>
      <c r="I1178" s="155"/>
      <c r="J1178" s="155"/>
      <c r="K1178" s="147"/>
    </row>
    <row r="1179">
      <c r="A1179" s="153">
        <v>1174.0</v>
      </c>
      <c r="B1179" s="154"/>
      <c r="C1179" s="154" t="s">
        <v>208</v>
      </c>
      <c r="D1179" s="154" t="s">
        <v>218</v>
      </c>
      <c r="E1179" s="154" t="s">
        <v>208</v>
      </c>
      <c r="F1179" s="154" t="s">
        <v>208</v>
      </c>
      <c r="G1179" s="154" t="s">
        <v>208</v>
      </c>
      <c r="H1179" s="155"/>
      <c r="I1179" s="155"/>
      <c r="J1179" s="155"/>
      <c r="K1179" s="147"/>
    </row>
    <row r="1180">
      <c r="A1180" s="153">
        <v>1175.0</v>
      </c>
      <c r="B1180" s="154"/>
      <c r="C1180" s="154" t="s">
        <v>208</v>
      </c>
      <c r="D1180" s="154" t="s">
        <v>208</v>
      </c>
      <c r="E1180" s="154" t="s">
        <v>208</v>
      </c>
      <c r="F1180" s="154" t="s">
        <v>208</v>
      </c>
      <c r="G1180" s="154" t="s">
        <v>208</v>
      </c>
      <c r="H1180" s="155"/>
      <c r="I1180" s="155"/>
      <c r="J1180" s="155"/>
      <c r="K1180" s="147"/>
    </row>
    <row r="1181">
      <c r="A1181" s="153">
        <v>1176.0</v>
      </c>
      <c r="B1181" s="154"/>
      <c r="C1181" s="154" t="s">
        <v>208</v>
      </c>
      <c r="D1181" s="154" t="s">
        <v>208</v>
      </c>
      <c r="E1181" s="154" t="s">
        <v>208</v>
      </c>
      <c r="F1181" s="154" t="s">
        <v>208</v>
      </c>
      <c r="G1181" s="154" t="s">
        <v>208</v>
      </c>
      <c r="H1181" s="155"/>
      <c r="I1181" s="155"/>
      <c r="J1181" s="155"/>
      <c r="K1181" s="147"/>
    </row>
    <row r="1182">
      <c r="A1182" s="153">
        <v>1177.0</v>
      </c>
      <c r="B1182" s="155"/>
      <c r="C1182" s="154"/>
      <c r="D1182" s="154" t="s">
        <v>208</v>
      </c>
      <c r="E1182" s="154" t="s">
        <v>208</v>
      </c>
      <c r="F1182" s="154" t="s">
        <v>208</v>
      </c>
      <c r="G1182" s="154"/>
      <c r="H1182" s="154" t="s">
        <v>208</v>
      </c>
      <c r="I1182" s="155"/>
      <c r="J1182" s="155"/>
      <c r="K1182" s="147"/>
    </row>
    <row r="1183">
      <c r="A1183" s="153">
        <v>1178.0</v>
      </c>
      <c r="B1183" s="154"/>
      <c r="C1183" s="154" t="s">
        <v>208</v>
      </c>
      <c r="D1183" s="154" t="s">
        <v>208</v>
      </c>
      <c r="E1183" s="154" t="s">
        <v>208</v>
      </c>
      <c r="F1183" s="154" t="s">
        <v>208</v>
      </c>
      <c r="G1183" s="154" t="s">
        <v>208</v>
      </c>
      <c r="H1183" s="155"/>
      <c r="I1183" s="155"/>
      <c r="J1183" s="155"/>
      <c r="K1183" s="147"/>
    </row>
    <row r="1184">
      <c r="A1184" s="153">
        <v>1179.0</v>
      </c>
      <c r="B1184" s="154"/>
      <c r="C1184" s="154"/>
      <c r="D1184" s="154"/>
      <c r="E1184" s="154"/>
      <c r="F1184" s="154"/>
      <c r="G1184" s="155"/>
      <c r="H1184" s="155"/>
      <c r="I1184" s="155"/>
      <c r="J1184" s="154" t="s">
        <v>217</v>
      </c>
      <c r="K1184" s="147"/>
    </row>
    <row r="1185">
      <c r="A1185" s="153">
        <v>1180.0</v>
      </c>
      <c r="B1185" s="154"/>
      <c r="C1185" s="154"/>
      <c r="D1185" s="154"/>
      <c r="E1185" s="154"/>
      <c r="F1185" s="154"/>
      <c r="G1185" s="155"/>
      <c r="H1185" s="153"/>
      <c r="I1185" s="155"/>
      <c r="J1185" s="154" t="s">
        <v>217</v>
      </c>
      <c r="K1185" s="147"/>
    </row>
    <row r="1186">
      <c r="A1186" s="153">
        <v>1181.0</v>
      </c>
      <c r="B1186" s="154"/>
      <c r="C1186" s="154" t="s">
        <v>208</v>
      </c>
      <c r="D1186" s="154" t="s">
        <v>208</v>
      </c>
      <c r="E1186" s="154" t="s">
        <v>208</v>
      </c>
      <c r="F1186" s="154" t="s">
        <v>208</v>
      </c>
      <c r="G1186" s="154" t="s">
        <v>208</v>
      </c>
      <c r="H1186" s="153"/>
      <c r="I1186" s="155"/>
      <c r="J1186" s="155"/>
      <c r="K1186" s="147"/>
    </row>
    <row r="1187">
      <c r="A1187" s="153">
        <v>1182.0</v>
      </c>
      <c r="B1187" s="154"/>
      <c r="C1187" s="154"/>
      <c r="D1187" s="154" t="s">
        <v>208</v>
      </c>
      <c r="E1187" s="154" t="s">
        <v>208</v>
      </c>
      <c r="F1187" s="154" t="s">
        <v>208</v>
      </c>
      <c r="G1187" s="155"/>
      <c r="H1187" s="154" t="s">
        <v>208</v>
      </c>
      <c r="I1187" s="155"/>
      <c r="J1187" s="155"/>
      <c r="K1187" s="147"/>
    </row>
    <row r="1188">
      <c r="A1188" s="153">
        <v>1183.0</v>
      </c>
      <c r="B1188" s="154"/>
      <c r="C1188" s="154" t="s">
        <v>208</v>
      </c>
      <c r="D1188" s="154" t="s">
        <v>208</v>
      </c>
      <c r="E1188" s="154" t="s">
        <v>208</v>
      </c>
      <c r="F1188" s="154" t="s">
        <v>208</v>
      </c>
      <c r="G1188" s="154" t="s">
        <v>208</v>
      </c>
      <c r="H1188" s="155"/>
      <c r="I1188" s="155"/>
      <c r="J1188" s="155"/>
      <c r="K1188" s="147"/>
    </row>
    <row r="1189">
      <c r="A1189" s="153">
        <v>1184.0</v>
      </c>
      <c r="B1189" s="155"/>
      <c r="C1189" s="154"/>
      <c r="D1189" s="154" t="s">
        <v>208</v>
      </c>
      <c r="E1189" s="154" t="s">
        <v>208</v>
      </c>
      <c r="F1189" s="154" t="s">
        <v>208</v>
      </c>
      <c r="G1189" s="154"/>
      <c r="H1189" s="154" t="s">
        <v>208</v>
      </c>
      <c r="I1189" s="155"/>
      <c r="J1189" s="155"/>
      <c r="K1189" s="147"/>
    </row>
    <row r="1190">
      <c r="A1190" s="153">
        <v>1185.0</v>
      </c>
      <c r="B1190" s="154"/>
      <c r="C1190" s="154" t="s">
        <v>208</v>
      </c>
      <c r="D1190" s="154" t="s">
        <v>218</v>
      </c>
      <c r="E1190" s="154" t="s">
        <v>208</v>
      </c>
      <c r="F1190" s="154" t="s">
        <v>208</v>
      </c>
      <c r="G1190" s="154" t="s">
        <v>208</v>
      </c>
      <c r="H1190" s="155"/>
      <c r="I1190" s="155"/>
      <c r="J1190" s="155"/>
      <c r="K1190" s="147"/>
    </row>
    <row r="1191">
      <c r="A1191" s="153">
        <v>1186.0</v>
      </c>
      <c r="B1191" s="154"/>
      <c r="C1191" s="154" t="s">
        <v>208</v>
      </c>
      <c r="D1191" s="154" t="s">
        <v>208</v>
      </c>
      <c r="E1191" s="154" t="s">
        <v>208</v>
      </c>
      <c r="F1191" s="154" t="s">
        <v>208</v>
      </c>
      <c r="G1191" s="154" t="s">
        <v>208</v>
      </c>
      <c r="H1191" s="155"/>
      <c r="I1191" s="155"/>
      <c r="J1191" s="155"/>
      <c r="K1191" s="147"/>
    </row>
    <row r="1192">
      <c r="A1192" s="153">
        <v>1187.0</v>
      </c>
      <c r="B1192" s="155"/>
      <c r="C1192" s="154"/>
      <c r="D1192" s="154" t="s">
        <v>208</v>
      </c>
      <c r="E1192" s="154" t="s">
        <v>208</v>
      </c>
      <c r="F1192" s="154" t="s">
        <v>208</v>
      </c>
      <c r="G1192" s="154"/>
      <c r="H1192" s="154" t="s">
        <v>208</v>
      </c>
      <c r="I1192" s="155"/>
      <c r="J1192" s="155"/>
      <c r="K1192" s="147"/>
    </row>
    <row r="1193">
      <c r="A1193" s="153">
        <v>1188.0</v>
      </c>
      <c r="B1193" s="154"/>
      <c r="C1193" s="154" t="s">
        <v>208</v>
      </c>
      <c r="D1193" s="154" t="s">
        <v>208</v>
      </c>
      <c r="E1193" s="154" t="s">
        <v>208</v>
      </c>
      <c r="F1193" s="154" t="s">
        <v>208</v>
      </c>
      <c r="G1193" s="154" t="s">
        <v>208</v>
      </c>
      <c r="H1193" s="155"/>
      <c r="I1193" s="155"/>
      <c r="J1193" s="155"/>
      <c r="K1193" s="147"/>
    </row>
    <row r="1194">
      <c r="A1194" s="153">
        <v>1189.0</v>
      </c>
      <c r="B1194" s="154"/>
      <c r="C1194" s="154" t="s">
        <v>208</v>
      </c>
      <c r="D1194" s="154" t="s">
        <v>208</v>
      </c>
      <c r="E1194" s="154" t="s">
        <v>208</v>
      </c>
      <c r="F1194" s="154" t="s">
        <v>208</v>
      </c>
      <c r="G1194" s="154" t="s">
        <v>208</v>
      </c>
      <c r="H1194" s="155"/>
      <c r="I1194" s="155"/>
      <c r="J1194" s="155"/>
      <c r="K1194" s="147"/>
    </row>
    <row r="1195">
      <c r="A1195" s="153">
        <v>1190.0</v>
      </c>
      <c r="B1195" s="154"/>
      <c r="C1195" s="154" t="s">
        <v>208</v>
      </c>
      <c r="D1195" s="154" t="s">
        <v>208</v>
      </c>
      <c r="E1195" s="154" t="s">
        <v>208</v>
      </c>
      <c r="F1195" s="154" t="s">
        <v>208</v>
      </c>
      <c r="G1195" s="154" t="s">
        <v>208</v>
      </c>
      <c r="H1195" s="155"/>
      <c r="I1195" s="155"/>
      <c r="J1195" s="155"/>
      <c r="K1195" s="147"/>
    </row>
    <row r="1196">
      <c r="A1196" s="153">
        <v>1191.0</v>
      </c>
      <c r="B1196" s="154"/>
      <c r="C1196" s="154" t="s">
        <v>208</v>
      </c>
      <c r="D1196" s="154" t="s">
        <v>208</v>
      </c>
      <c r="E1196" s="154" t="s">
        <v>208</v>
      </c>
      <c r="F1196" s="154" t="s">
        <v>208</v>
      </c>
      <c r="G1196" s="154" t="s">
        <v>208</v>
      </c>
      <c r="H1196" s="155"/>
      <c r="I1196" s="155"/>
      <c r="J1196" s="155"/>
      <c r="K1196" s="147"/>
    </row>
    <row r="1197">
      <c r="A1197" s="153">
        <v>1192.0</v>
      </c>
      <c r="B1197" s="154"/>
      <c r="C1197" s="154" t="s">
        <v>208</v>
      </c>
      <c r="D1197" s="154" t="s">
        <v>208</v>
      </c>
      <c r="E1197" s="154" t="s">
        <v>208</v>
      </c>
      <c r="F1197" s="154" t="s">
        <v>208</v>
      </c>
      <c r="G1197" s="154" t="s">
        <v>208</v>
      </c>
      <c r="H1197" s="155"/>
      <c r="I1197" s="155"/>
      <c r="J1197" s="155"/>
      <c r="K1197" s="147"/>
    </row>
    <row r="1198">
      <c r="A1198" s="153">
        <v>1193.0</v>
      </c>
      <c r="B1198" s="154"/>
      <c r="C1198" s="154"/>
      <c r="D1198" s="154" t="s">
        <v>208</v>
      </c>
      <c r="E1198" s="154" t="s">
        <v>208</v>
      </c>
      <c r="F1198" s="154" t="s">
        <v>208</v>
      </c>
      <c r="G1198" s="155"/>
      <c r="H1198" s="154" t="s">
        <v>208</v>
      </c>
      <c r="I1198" s="155"/>
      <c r="J1198" s="155"/>
      <c r="K1198" s="147"/>
    </row>
    <row r="1199">
      <c r="A1199" s="153">
        <v>1194.0</v>
      </c>
      <c r="B1199" s="154"/>
      <c r="C1199" s="154" t="s">
        <v>208</v>
      </c>
      <c r="D1199" s="154" t="s">
        <v>208</v>
      </c>
      <c r="E1199" s="154" t="s">
        <v>208</v>
      </c>
      <c r="F1199" s="154" t="s">
        <v>208</v>
      </c>
      <c r="G1199" s="154" t="s">
        <v>208</v>
      </c>
      <c r="H1199" s="155"/>
      <c r="I1199" s="155"/>
      <c r="J1199" s="155"/>
      <c r="K1199" s="147"/>
    </row>
    <row r="1200">
      <c r="A1200" s="153">
        <v>1195.0</v>
      </c>
      <c r="B1200" s="154"/>
      <c r="C1200" s="154" t="s">
        <v>208</v>
      </c>
      <c r="D1200" s="154" t="s">
        <v>218</v>
      </c>
      <c r="E1200" s="154" t="s">
        <v>208</v>
      </c>
      <c r="F1200" s="154" t="s">
        <v>208</v>
      </c>
      <c r="G1200" s="154" t="s">
        <v>208</v>
      </c>
      <c r="H1200" s="155"/>
      <c r="I1200" s="155"/>
      <c r="J1200" s="155"/>
      <c r="K1200" s="147"/>
    </row>
    <row r="1201">
      <c r="A1201" s="153">
        <v>1196.0</v>
      </c>
      <c r="B1201" s="154"/>
      <c r="C1201" s="154" t="s">
        <v>208</v>
      </c>
      <c r="D1201" s="154" t="s">
        <v>208</v>
      </c>
      <c r="E1201" s="154" t="s">
        <v>208</v>
      </c>
      <c r="F1201" s="154" t="s">
        <v>208</v>
      </c>
      <c r="G1201" s="154" t="s">
        <v>208</v>
      </c>
      <c r="H1201" s="155"/>
      <c r="I1201" s="155"/>
      <c r="J1201" s="155"/>
      <c r="K1201" s="147"/>
    </row>
    <row r="1202">
      <c r="A1202" s="153">
        <v>1197.0</v>
      </c>
      <c r="B1202" s="154"/>
      <c r="C1202" s="154" t="s">
        <v>208</v>
      </c>
      <c r="D1202" s="154" t="s">
        <v>208</v>
      </c>
      <c r="E1202" s="154" t="s">
        <v>208</v>
      </c>
      <c r="F1202" s="154" t="s">
        <v>208</v>
      </c>
      <c r="G1202" s="154" t="s">
        <v>208</v>
      </c>
      <c r="H1202" s="155"/>
      <c r="I1202" s="155"/>
      <c r="J1202" s="155"/>
      <c r="K1202" s="147"/>
    </row>
    <row r="1203">
      <c r="A1203" s="153">
        <v>1198.0</v>
      </c>
      <c r="B1203" s="154"/>
      <c r="C1203" s="154" t="s">
        <v>208</v>
      </c>
      <c r="D1203" s="154" t="s">
        <v>208</v>
      </c>
      <c r="E1203" s="154" t="s">
        <v>208</v>
      </c>
      <c r="F1203" s="154" t="s">
        <v>208</v>
      </c>
      <c r="G1203" s="154" t="s">
        <v>208</v>
      </c>
      <c r="H1203" s="155"/>
      <c r="I1203" s="155"/>
      <c r="J1203" s="155"/>
      <c r="K1203" s="147"/>
    </row>
    <row r="1204">
      <c r="A1204" s="153">
        <v>1199.0</v>
      </c>
      <c r="B1204" s="154"/>
      <c r="C1204" s="154" t="s">
        <v>208</v>
      </c>
      <c r="D1204" s="154" t="s">
        <v>208</v>
      </c>
      <c r="E1204" s="154" t="s">
        <v>208</v>
      </c>
      <c r="F1204" s="154" t="s">
        <v>208</v>
      </c>
      <c r="G1204" s="154" t="s">
        <v>208</v>
      </c>
      <c r="H1204" s="155"/>
      <c r="I1204" s="155"/>
      <c r="J1204" s="155"/>
      <c r="K1204" s="147"/>
    </row>
    <row r="1205">
      <c r="A1205" s="153">
        <v>1200.0</v>
      </c>
      <c r="B1205" s="154"/>
      <c r="C1205" s="154" t="s">
        <v>208</v>
      </c>
      <c r="D1205" s="154" t="s">
        <v>218</v>
      </c>
      <c r="E1205" s="154" t="s">
        <v>208</v>
      </c>
      <c r="F1205" s="154" t="s">
        <v>208</v>
      </c>
      <c r="G1205" s="154" t="s">
        <v>208</v>
      </c>
      <c r="H1205" s="155"/>
      <c r="I1205" s="155"/>
      <c r="J1205" s="155"/>
      <c r="K1205" s="147"/>
    </row>
    <row r="1206">
      <c r="A1206" s="153">
        <v>1201.0</v>
      </c>
      <c r="B1206" s="154"/>
      <c r="C1206" s="154" t="s">
        <v>208</v>
      </c>
      <c r="D1206" s="154" t="s">
        <v>218</v>
      </c>
      <c r="E1206" s="154" t="s">
        <v>208</v>
      </c>
      <c r="F1206" s="154" t="s">
        <v>208</v>
      </c>
      <c r="G1206" s="154" t="s">
        <v>208</v>
      </c>
      <c r="H1206" s="155"/>
      <c r="I1206" s="155"/>
      <c r="J1206" s="155"/>
      <c r="K1206" s="147"/>
    </row>
    <row r="1207">
      <c r="A1207" s="153">
        <v>1202.0</v>
      </c>
      <c r="B1207" s="154"/>
      <c r="C1207" s="154" t="s">
        <v>208</v>
      </c>
      <c r="D1207" s="154" t="s">
        <v>208</v>
      </c>
      <c r="E1207" s="154" t="s">
        <v>208</v>
      </c>
      <c r="F1207" s="154" t="s">
        <v>208</v>
      </c>
      <c r="G1207" s="154" t="s">
        <v>208</v>
      </c>
      <c r="H1207" s="155"/>
      <c r="I1207" s="155"/>
      <c r="J1207" s="155"/>
      <c r="K1207" s="147"/>
    </row>
    <row r="1208">
      <c r="A1208" s="153">
        <v>1203.0</v>
      </c>
      <c r="B1208" s="154"/>
      <c r="C1208" s="154" t="s">
        <v>208</v>
      </c>
      <c r="D1208" s="154" t="s">
        <v>208</v>
      </c>
      <c r="E1208" s="154" t="s">
        <v>208</v>
      </c>
      <c r="F1208" s="154" t="s">
        <v>208</v>
      </c>
      <c r="G1208" s="154" t="s">
        <v>208</v>
      </c>
      <c r="H1208" s="155"/>
      <c r="I1208" s="155"/>
      <c r="J1208" s="155"/>
      <c r="K1208" s="147"/>
    </row>
    <row r="1209">
      <c r="A1209" s="153">
        <v>1204.0</v>
      </c>
      <c r="B1209" s="154"/>
      <c r="C1209" s="154" t="s">
        <v>208</v>
      </c>
      <c r="D1209" s="154" t="s">
        <v>208</v>
      </c>
      <c r="E1209" s="154" t="s">
        <v>208</v>
      </c>
      <c r="F1209" s="154" t="s">
        <v>208</v>
      </c>
      <c r="G1209" s="154" t="s">
        <v>208</v>
      </c>
      <c r="H1209" s="155"/>
      <c r="I1209" s="155"/>
      <c r="J1209" s="155"/>
      <c r="K1209" s="147"/>
    </row>
    <row r="1210">
      <c r="A1210" s="153">
        <v>1205.0</v>
      </c>
      <c r="B1210" s="154"/>
      <c r="C1210" s="154" t="s">
        <v>208</v>
      </c>
      <c r="D1210" s="154" t="s">
        <v>208</v>
      </c>
      <c r="E1210" s="154" t="s">
        <v>208</v>
      </c>
      <c r="F1210" s="154" t="s">
        <v>208</v>
      </c>
      <c r="G1210" s="154" t="s">
        <v>208</v>
      </c>
      <c r="H1210" s="155"/>
      <c r="I1210" s="155"/>
      <c r="J1210" s="155"/>
      <c r="K1210" s="147"/>
    </row>
    <row r="1211">
      <c r="A1211" s="153">
        <v>1206.0</v>
      </c>
      <c r="B1211" s="154"/>
      <c r="C1211" s="154" t="s">
        <v>208</v>
      </c>
      <c r="D1211" s="154" t="s">
        <v>208</v>
      </c>
      <c r="E1211" s="154" t="s">
        <v>208</v>
      </c>
      <c r="F1211" s="154" t="s">
        <v>208</v>
      </c>
      <c r="G1211" s="154" t="s">
        <v>208</v>
      </c>
      <c r="H1211" s="155"/>
      <c r="I1211" s="155"/>
      <c r="J1211" s="155"/>
      <c r="K1211" s="147"/>
    </row>
    <row r="1212">
      <c r="A1212" s="153">
        <v>1207.0</v>
      </c>
      <c r="B1212" s="154"/>
      <c r="C1212" s="154" t="s">
        <v>208</v>
      </c>
      <c r="D1212" s="154" t="s">
        <v>208</v>
      </c>
      <c r="E1212" s="154" t="s">
        <v>208</v>
      </c>
      <c r="F1212" s="154" t="s">
        <v>208</v>
      </c>
      <c r="G1212" s="154" t="s">
        <v>208</v>
      </c>
      <c r="H1212" s="155"/>
      <c r="I1212" s="155"/>
      <c r="J1212" s="155"/>
      <c r="K1212" s="147"/>
    </row>
    <row r="1213">
      <c r="A1213" s="153">
        <v>1208.0</v>
      </c>
      <c r="B1213" s="154"/>
      <c r="C1213" s="154" t="s">
        <v>208</v>
      </c>
      <c r="D1213" s="154" t="s">
        <v>208</v>
      </c>
      <c r="E1213" s="154" t="s">
        <v>208</v>
      </c>
      <c r="F1213" s="154" t="s">
        <v>208</v>
      </c>
      <c r="G1213" s="154" t="s">
        <v>208</v>
      </c>
      <c r="H1213" s="155"/>
      <c r="I1213" s="155"/>
      <c r="J1213" s="155"/>
      <c r="K1213" s="147"/>
    </row>
    <row r="1214">
      <c r="A1214" s="153">
        <v>1209.0</v>
      </c>
      <c r="B1214" s="154"/>
      <c r="C1214" s="154"/>
      <c r="D1214" s="154"/>
      <c r="E1214" s="154"/>
      <c r="F1214" s="154"/>
      <c r="G1214" s="155"/>
      <c r="H1214" s="153"/>
      <c r="I1214" s="155"/>
      <c r="J1214" s="154" t="s">
        <v>217</v>
      </c>
      <c r="K1214" s="147"/>
    </row>
    <row r="1215">
      <c r="A1215" s="153">
        <v>1210.0</v>
      </c>
      <c r="B1215" s="154"/>
      <c r="C1215" s="154" t="s">
        <v>208</v>
      </c>
      <c r="D1215" s="154" t="s">
        <v>208</v>
      </c>
      <c r="E1215" s="154" t="s">
        <v>208</v>
      </c>
      <c r="F1215" s="154" t="s">
        <v>208</v>
      </c>
      <c r="G1215" s="154" t="s">
        <v>208</v>
      </c>
      <c r="H1215" s="155"/>
      <c r="I1215" s="155"/>
      <c r="J1215" s="155"/>
      <c r="K1215" s="147"/>
    </row>
    <row r="1216">
      <c r="A1216" s="153">
        <v>1211.0</v>
      </c>
      <c r="B1216" s="154"/>
      <c r="C1216" s="154" t="s">
        <v>208</v>
      </c>
      <c r="D1216" s="154" t="s">
        <v>208</v>
      </c>
      <c r="E1216" s="154" t="s">
        <v>208</v>
      </c>
      <c r="F1216" s="154" t="s">
        <v>208</v>
      </c>
      <c r="G1216" s="154" t="s">
        <v>208</v>
      </c>
      <c r="H1216" s="155"/>
      <c r="I1216" s="155"/>
      <c r="J1216" s="155"/>
      <c r="K1216" s="147"/>
    </row>
    <row r="1217">
      <c r="A1217" s="153" t="s">
        <v>245</v>
      </c>
      <c r="B1217" s="155"/>
      <c r="C1217" s="155"/>
      <c r="D1217" s="155"/>
      <c r="E1217" s="155"/>
      <c r="F1217" s="155"/>
      <c r="G1217" s="155"/>
      <c r="H1217" s="155"/>
      <c r="I1217" s="154" t="s">
        <v>208</v>
      </c>
      <c r="J1217" s="193"/>
      <c r="K1217" s="188" t="s">
        <v>34</v>
      </c>
      <c r="L1217" s="189" t="s">
        <v>33</v>
      </c>
    </row>
    <row r="1218">
      <c r="A1218" s="153" t="s">
        <v>245</v>
      </c>
      <c r="B1218" s="155"/>
      <c r="C1218" s="155"/>
      <c r="D1218" s="155"/>
      <c r="E1218" s="155"/>
      <c r="F1218" s="155"/>
      <c r="G1218" s="155"/>
      <c r="H1218" s="155"/>
      <c r="I1218" s="154" t="s">
        <v>208</v>
      </c>
      <c r="J1218" s="193"/>
      <c r="K1218" s="188" t="s">
        <v>49</v>
      </c>
      <c r="L1218" s="189" t="s">
        <v>48</v>
      </c>
    </row>
    <row r="1219">
      <c r="A1219" s="153" t="s">
        <v>245</v>
      </c>
      <c r="B1219" s="155"/>
      <c r="C1219" s="155"/>
      <c r="D1219" s="155"/>
      <c r="E1219" s="155"/>
      <c r="F1219" s="155"/>
      <c r="G1219" s="155"/>
      <c r="H1219" s="155"/>
      <c r="I1219" s="155"/>
      <c r="J1219" s="193"/>
      <c r="K1219" s="188" t="s">
        <v>246</v>
      </c>
      <c r="L1219" s="189" t="s">
        <v>247</v>
      </c>
    </row>
    <row r="1220">
      <c r="A1220" s="153" t="s">
        <v>245</v>
      </c>
      <c r="B1220" s="155"/>
      <c r="C1220" s="154"/>
      <c r="D1220" s="154" t="s">
        <v>208</v>
      </c>
      <c r="E1220" s="155"/>
      <c r="F1220" s="155"/>
      <c r="G1220" s="155"/>
      <c r="H1220" s="155"/>
      <c r="I1220" s="154" t="s">
        <v>208</v>
      </c>
      <c r="J1220" s="193"/>
      <c r="K1220" s="188" t="s">
        <v>54</v>
      </c>
      <c r="L1220" s="189" t="s">
        <v>53</v>
      </c>
    </row>
    <row r="1221">
      <c r="A1221" s="153" t="s">
        <v>245</v>
      </c>
      <c r="B1221" s="155"/>
      <c r="C1221" s="154"/>
      <c r="D1221" s="154" t="s">
        <v>208</v>
      </c>
      <c r="E1221" s="155"/>
      <c r="F1221" s="155"/>
      <c r="G1221" s="155"/>
      <c r="H1221" s="155"/>
      <c r="I1221" s="154" t="s">
        <v>208</v>
      </c>
      <c r="J1221" s="193"/>
      <c r="K1221" s="188" t="s">
        <v>62</v>
      </c>
      <c r="L1221" s="189" t="s">
        <v>61</v>
      </c>
    </row>
    <row r="1222">
      <c r="A1222" s="153" t="s">
        <v>245</v>
      </c>
      <c r="B1222" s="155"/>
      <c r="C1222" s="154"/>
      <c r="D1222" s="154" t="s">
        <v>208</v>
      </c>
      <c r="E1222" s="155"/>
      <c r="F1222" s="155"/>
      <c r="G1222" s="155"/>
      <c r="H1222" s="155"/>
      <c r="I1222" s="154" t="s">
        <v>208</v>
      </c>
      <c r="J1222" s="193"/>
      <c r="K1222" s="188" t="s">
        <v>64</v>
      </c>
      <c r="L1222" s="189" t="s">
        <v>61</v>
      </c>
    </row>
    <row r="1223">
      <c r="A1223" s="153" t="s">
        <v>245</v>
      </c>
      <c r="B1223" s="155"/>
      <c r="C1223" s="154"/>
      <c r="D1223" s="154" t="s">
        <v>208</v>
      </c>
      <c r="E1223" s="155"/>
      <c r="F1223" s="155"/>
      <c r="G1223" s="155"/>
      <c r="H1223" s="155"/>
      <c r="I1223" s="154" t="s">
        <v>208</v>
      </c>
      <c r="J1223" s="193"/>
      <c r="K1223" s="188" t="s">
        <v>72</v>
      </c>
      <c r="L1223" s="189" t="s">
        <v>61</v>
      </c>
    </row>
    <row r="1224">
      <c r="A1224" s="153" t="s">
        <v>245</v>
      </c>
      <c r="B1224" s="154"/>
      <c r="C1224" s="154" t="s">
        <v>208</v>
      </c>
      <c r="D1224" s="154" t="s">
        <v>208</v>
      </c>
      <c r="E1224" s="154"/>
      <c r="F1224" s="154" t="s">
        <v>208</v>
      </c>
      <c r="G1224" s="154" t="s">
        <v>208</v>
      </c>
      <c r="H1224" s="155"/>
      <c r="I1224" s="154" t="s">
        <v>208</v>
      </c>
      <c r="J1224" s="193"/>
      <c r="K1224" s="188" t="s">
        <v>99</v>
      </c>
      <c r="L1224" s="189" t="s">
        <v>98</v>
      </c>
    </row>
    <row r="1225">
      <c r="A1225" s="153" t="s">
        <v>245</v>
      </c>
      <c r="B1225" s="154"/>
      <c r="C1225" s="154" t="s">
        <v>208</v>
      </c>
      <c r="D1225" s="154" t="s">
        <v>208</v>
      </c>
      <c r="E1225" s="154"/>
      <c r="F1225" s="154" t="s">
        <v>208</v>
      </c>
      <c r="G1225" s="154" t="s">
        <v>208</v>
      </c>
      <c r="H1225" s="155"/>
      <c r="I1225" s="154" t="s">
        <v>208</v>
      </c>
      <c r="J1225" s="193"/>
      <c r="K1225" s="188" t="s">
        <v>107</v>
      </c>
      <c r="L1225" s="189" t="s">
        <v>104</v>
      </c>
    </row>
    <row r="1226">
      <c r="A1226" s="153" t="s">
        <v>245</v>
      </c>
      <c r="B1226" s="155"/>
      <c r="C1226" s="154"/>
      <c r="D1226" s="154" t="s">
        <v>208</v>
      </c>
      <c r="E1226" s="155"/>
      <c r="F1226" s="155"/>
      <c r="G1226" s="155"/>
      <c r="H1226" s="155"/>
      <c r="I1226" s="154" t="s">
        <v>208</v>
      </c>
      <c r="J1226" s="193"/>
      <c r="K1226" s="188" t="s">
        <v>113</v>
      </c>
      <c r="L1226" s="189" t="s">
        <v>112</v>
      </c>
    </row>
    <row r="1227">
      <c r="A1227" s="153" t="s">
        <v>245</v>
      </c>
      <c r="B1227" s="155"/>
      <c r="C1227" s="154"/>
      <c r="D1227" s="154" t="s">
        <v>208</v>
      </c>
      <c r="E1227" s="155"/>
      <c r="F1227" s="155"/>
      <c r="G1227" s="155"/>
      <c r="H1227" s="155"/>
      <c r="I1227" s="154" t="s">
        <v>208</v>
      </c>
      <c r="J1227" s="193"/>
      <c r="K1227" s="188" t="s">
        <v>116</v>
      </c>
      <c r="L1227" s="189" t="s">
        <v>115</v>
      </c>
    </row>
    <row r="1228">
      <c r="A1228" s="153" t="s">
        <v>245</v>
      </c>
      <c r="B1228" s="155"/>
      <c r="C1228" s="154"/>
      <c r="D1228" s="154" t="s">
        <v>208</v>
      </c>
      <c r="E1228" s="155"/>
      <c r="F1228" s="155"/>
      <c r="G1228" s="155"/>
      <c r="H1228" s="155"/>
      <c r="I1228" s="154" t="s">
        <v>208</v>
      </c>
      <c r="J1228" s="193"/>
      <c r="K1228" s="188" t="s">
        <v>119</v>
      </c>
      <c r="L1228" s="189" t="s">
        <v>118</v>
      </c>
    </row>
    <row r="1229">
      <c r="A1229" s="153" t="s">
        <v>245</v>
      </c>
      <c r="B1229" s="155"/>
      <c r="C1229" s="154"/>
      <c r="D1229" s="154" t="s">
        <v>208</v>
      </c>
      <c r="E1229" s="155"/>
      <c r="F1229" s="155"/>
      <c r="G1229" s="155"/>
      <c r="H1229" s="155"/>
      <c r="I1229" s="154" t="s">
        <v>208</v>
      </c>
      <c r="J1229" s="193"/>
      <c r="K1229" s="188" t="s">
        <v>122</v>
      </c>
      <c r="L1229" s="189" t="s">
        <v>118</v>
      </c>
    </row>
    <row r="1230">
      <c r="A1230" s="153" t="s">
        <v>245</v>
      </c>
      <c r="B1230" s="155"/>
      <c r="C1230" s="154"/>
      <c r="D1230" s="155"/>
      <c r="E1230" s="155"/>
      <c r="F1230" s="155"/>
      <c r="G1230" s="155"/>
      <c r="H1230" s="155"/>
      <c r="I1230" s="154" t="s">
        <v>208</v>
      </c>
      <c r="J1230" s="193"/>
      <c r="K1230" s="188" t="s">
        <v>125</v>
      </c>
      <c r="L1230" s="189" t="s">
        <v>124</v>
      </c>
    </row>
    <row r="1231">
      <c r="A1231" s="153" t="s">
        <v>245</v>
      </c>
      <c r="B1231" s="154"/>
      <c r="C1231" s="154" t="s">
        <v>208</v>
      </c>
      <c r="D1231" s="154" t="s">
        <v>208</v>
      </c>
      <c r="E1231" s="154"/>
      <c r="F1231" s="154" t="s">
        <v>208</v>
      </c>
      <c r="G1231" s="154" t="s">
        <v>208</v>
      </c>
      <c r="H1231" s="155"/>
      <c r="I1231" s="155"/>
      <c r="J1231" s="193"/>
      <c r="K1231" s="188" t="s">
        <v>248</v>
      </c>
      <c r="L1231" s="189" t="s">
        <v>142</v>
      </c>
    </row>
    <row r="1232">
      <c r="A1232" s="153" t="s">
        <v>245</v>
      </c>
      <c r="B1232" s="155"/>
      <c r="C1232" s="154"/>
      <c r="D1232" s="155"/>
      <c r="E1232" s="155"/>
      <c r="F1232" s="155"/>
      <c r="G1232" s="155"/>
      <c r="H1232" s="155"/>
      <c r="I1232" s="154"/>
      <c r="J1232" s="193"/>
      <c r="K1232" s="188" t="s">
        <v>143</v>
      </c>
      <c r="L1232" s="189" t="s">
        <v>142</v>
      </c>
    </row>
    <row r="1233">
      <c r="A1233" s="153" t="s">
        <v>245</v>
      </c>
      <c r="B1233" s="155"/>
      <c r="C1233" s="155"/>
      <c r="D1233" s="155"/>
      <c r="E1233" s="155"/>
      <c r="F1233" s="155"/>
      <c r="G1233" s="155"/>
      <c r="H1233" s="155"/>
      <c r="I1233" s="155"/>
      <c r="J1233" s="193"/>
      <c r="K1233" s="188" t="s">
        <v>249</v>
      </c>
      <c r="L1233" s="189" t="s">
        <v>124</v>
      </c>
    </row>
    <row r="1234">
      <c r="A1234" s="153" t="s">
        <v>245</v>
      </c>
      <c r="B1234" s="155"/>
      <c r="C1234" s="154"/>
      <c r="D1234" s="154" t="s">
        <v>208</v>
      </c>
      <c r="E1234" s="155"/>
      <c r="F1234" s="155"/>
      <c r="G1234" s="155"/>
      <c r="H1234" s="155"/>
      <c r="I1234" s="154" t="s">
        <v>208</v>
      </c>
      <c r="J1234" s="193"/>
      <c r="K1234" s="188" t="s">
        <v>145</v>
      </c>
      <c r="L1234" s="189" t="s">
        <v>144</v>
      </c>
    </row>
    <row r="1235">
      <c r="A1235" s="153" t="s">
        <v>245</v>
      </c>
      <c r="B1235" s="154"/>
      <c r="C1235" s="154" t="s">
        <v>208</v>
      </c>
      <c r="D1235" s="154" t="s">
        <v>208</v>
      </c>
      <c r="E1235" s="154"/>
      <c r="F1235" s="154" t="s">
        <v>208</v>
      </c>
      <c r="G1235" s="154" t="s">
        <v>208</v>
      </c>
      <c r="H1235" s="155"/>
      <c r="I1235" s="155"/>
      <c r="J1235" s="193"/>
      <c r="K1235" s="188" t="s">
        <v>250</v>
      </c>
      <c r="L1235" s="189" t="s">
        <v>136</v>
      </c>
    </row>
    <row r="1236">
      <c r="A1236" s="153" t="s">
        <v>245</v>
      </c>
      <c r="B1236" s="154"/>
      <c r="C1236" s="154" t="s">
        <v>208</v>
      </c>
      <c r="D1236" s="154" t="s">
        <v>208</v>
      </c>
      <c r="E1236" s="154"/>
      <c r="F1236" s="154" t="s">
        <v>208</v>
      </c>
      <c r="G1236" s="154" t="s">
        <v>208</v>
      </c>
      <c r="H1236" s="155"/>
      <c r="I1236" s="155"/>
      <c r="J1236" s="193"/>
      <c r="K1236" s="188" t="s">
        <v>130</v>
      </c>
      <c r="L1236" s="189" t="s">
        <v>129</v>
      </c>
    </row>
    <row r="1237">
      <c r="A1237" s="153" t="s">
        <v>245</v>
      </c>
      <c r="B1237" s="155"/>
      <c r="C1237" s="154"/>
      <c r="D1237" s="154" t="s">
        <v>208</v>
      </c>
      <c r="E1237" s="155"/>
      <c r="F1237" s="155"/>
      <c r="G1237" s="155"/>
      <c r="H1237" s="155"/>
      <c r="I1237" s="154" t="s">
        <v>208</v>
      </c>
      <c r="J1237" s="193"/>
      <c r="K1237" s="188" t="s">
        <v>148</v>
      </c>
      <c r="L1237" s="189" t="s">
        <v>144</v>
      </c>
    </row>
    <row r="1238">
      <c r="A1238" s="153" t="s">
        <v>245</v>
      </c>
      <c r="B1238" s="154"/>
      <c r="C1238" s="154" t="s">
        <v>208</v>
      </c>
      <c r="D1238" s="154" t="s">
        <v>208</v>
      </c>
      <c r="E1238" s="154"/>
      <c r="F1238" s="154" t="s">
        <v>208</v>
      </c>
      <c r="G1238" s="154" t="s">
        <v>208</v>
      </c>
      <c r="H1238" s="155"/>
      <c r="I1238" s="155"/>
      <c r="J1238" s="193"/>
      <c r="K1238" s="188" t="s">
        <v>251</v>
      </c>
      <c r="L1238" s="189" t="s">
        <v>136</v>
      </c>
    </row>
    <row r="1239">
      <c r="A1239" s="153" t="s">
        <v>245</v>
      </c>
      <c r="B1239" s="154"/>
      <c r="C1239" s="154" t="s">
        <v>208</v>
      </c>
      <c r="D1239" s="154" t="s">
        <v>208</v>
      </c>
      <c r="E1239" s="155"/>
      <c r="F1239" s="154" t="s">
        <v>218</v>
      </c>
      <c r="G1239" s="154" t="s">
        <v>208</v>
      </c>
      <c r="H1239" s="155"/>
      <c r="I1239" s="155"/>
      <c r="J1239" s="193"/>
      <c r="K1239" s="188" t="s">
        <v>252</v>
      </c>
      <c r="L1239" s="189" t="s">
        <v>136</v>
      </c>
    </row>
    <row r="1240">
      <c r="A1240" s="153" t="s">
        <v>245</v>
      </c>
      <c r="B1240" s="155"/>
      <c r="C1240" s="154"/>
      <c r="D1240" s="154" t="s">
        <v>208</v>
      </c>
      <c r="E1240" s="155"/>
      <c r="F1240" s="155"/>
      <c r="G1240" s="155"/>
      <c r="H1240" s="155"/>
      <c r="I1240" s="154" t="s">
        <v>208</v>
      </c>
      <c r="J1240" s="193"/>
      <c r="K1240" s="188" t="s">
        <v>152</v>
      </c>
      <c r="L1240" s="189" t="s">
        <v>144</v>
      </c>
    </row>
    <row r="1241">
      <c r="A1241" s="153" t="s">
        <v>245</v>
      </c>
      <c r="B1241" s="155"/>
      <c r="C1241" s="155"/>
      <c r="D1241" s="155"/>
      <c r="E1241" s="155"/>
      <c r="F1241" s="155"/>
      <c r="G1241" s="155"/>
      <c r="H1241" s="155"/>
      <c r="I1241" s="155"/>
      <c r="J1241" s="193"/>
      <c r="K1241" s="188" t="s">
        <v>167</v>
      </c>
      <c r="L1241" s="189" t="s">
        <v>161</v>
      </c>
    </row>
    <row r="1242">
      <c r="A1242" s="153" t="s">
        <v>245</v>
      </c>
      <c r="B1242" s="155"/>
      <c r="C1242" s="155"/>
      <c r="D1242" s="155"/>
      <c r="E1242" s="155"/>
      <c r="F1242" s="155"/>
      <c r="G1242" s="155"/>
      <c r="H1242" s="155"/>
      <c r="I1242" s="155"/>
      <c r="J1242" s="193"/>
      <c r="K1242" s="188" t="s">
        <v>253</v>
      </c>
      <c r="L1242" s="189" t="s">
        <v>161</v>
      </c>
    </row>
    <row r="1243">
      <c r="A1243" s="153" t="s">
        <v>245</v>
      </c>
      <c r="B1243" s="155"/>
      <c r="C1243" s="155"/>
      <c r="D1243" s="154" t="s">
        <v>208</v>
      </c>
      <c r="E1243" s="155"/>
      <c r="F1243" s="155"/>
      <c r="G1243" s="155"/>
      <c r="H1243" s="155"/>
      <c r="I1243" s="154" t="s">
        <v>208</v>
      </c>
      <c r="J1243" s="193"/>
      <c r="K1243" s="188" t="s">
        <v>254</v>
      </c>
      <c r="L1243" s="189" t="s">
        <v>161</v>
      </c>
    </row>
    <row r="1244">
      <c r="A1244" s="153" t="s">
        <v>245</v>
      </c>
      <c r="B1244" s="155"/>
      <c r="C1244" s="154"/>
      <c r="D1244" s="154" t="s">
        <v>208</v>
      </c>
      <c r="E1244" s="155"/>
      <c r="F1244" s="155"/>
      <c r="G1244" s="155"/>
      <c r="H1244" s="155"/>
      <c r="I1244" s="154" t="s">
        <v>208</v>
      </c>
      <c r="J1244" s="193"/>
      <c r="K1244" s="188" t="s">
        <v>162</v>
      </c>
      <c r="L1244" s="189" t="s">
        <v>161</v>
      </c>
    </row>
    <row r="1245">
      <c r="A1245" s="153" t="s">
        <v>245</v>
      </c>
      <c r="B1245" s="155"/>
      <c r="C1245" s="155"/>
      <c r="D1245" s="155"/>
      <c r="E1245" s="155"/>
      <c r="F1245" s="155"/>
      <c r="G1245" s="155"/>
      <c r="H1245" s="155"/>
      <c r="I1245" s="155"/>
      <c r="J1245" s="193"/>
      <c r="K1245" s="188" t="s">
        <v>255</v>
      </c>
      <c r="L1245" s="189" t="s">
        <v>161</v>
      </c>
    </row>
    <row r="1246">
      <c r="A1246" s="153" t="s">
        <v>245</v>
      </c>
      <c r="B1246" s="155"/>
      <c r="C1246" s="155"/>
      <c r="D1246" s="155"/>
      <c r="E1246" s="155"/>
      <c r="F1246" s="155"/>
      <c r="G1246" s="155"/>
      <c r="H1246" s="155"/>
      <c r="I1246" s="155"/>
      <c r="J1246" s="193"/>
      <c r="K1246" s="188" t="s">
        <v>256</v>
      </c>
      <c r="L1246" s="189" t="s">
        <v>161</v>
      </c>
    </row>
    <row r="1247">
      <c r="A1247" s="153" t="s">
        <v>245</v>
      </c>
      <c r="B1247" s="155"/>
      <c r="C1247" s="155"/>
      <c r="D1247" s="155"/>
      <c r="E1247" s="155"/>
      <c r="F1247" s="155"/>
      <c r="G1247" s="155"/>
      <c r="H1247" s="155"/>
      <c r="I1247" s="155"/>
      <c r="J1247" s="193"/>
      <c r="K1247" s="188" t="s">
        <v>257</v>
      </c>
      <c r="L1247" s="189" t="s">
        <v>161</v>
      </c>
    </row>
    <row r="1248">
      <c r="A1248" s="153" t="s">
        <v>245</v>
      </c>
      <c r="B1248" s="155"/>
      <c r="C1248" s="155"/>
      <c r="D1248" s="154" t="s">
        <v>208</v>
      </c>
      <c r="E1248" s="155"/>
      <c r="F1248" s="155"/>
      <c r="G1248" s="155"/>
      <c r="H1248" s="155"/>
      <c r="I1248" s="154" t="s">
        <v>208</v>
      </c>
      <c r="J1248" s="193"/>
      <c r="K1248" s="188" t="s">
        <v>169</v>
      </c>
      <c r="L1248" s="189" t="s">
        <v>161</v>
      </c>
    </row>
    <row r="1249">
      <c r="A1249" s="153" t="s">
        <v>245</v>
      </c>
      <c r="B1249" s="154"/>
      <c r="C1249" s="154" t="s">
        <v>208</v>
      </c>
      <c r="D1249" s="154" t="s">
        <v>208</v>
      </c>
      <c r="E1249" s="154"/>
      <c r="F1249" s="154" t="s">
        <v>208</v>
      </c>
      <c r="G1249" s="154" t="s">
        <v>208</v>
      </c>
      <c r="H1249" s="155"/>
      <c r="I1249" s="155"/>
      <c r="J1249" s="193"/>
      <c r="K1249" s="188" t="s">
        <v>258</v>
      </c>
      <c r="L1249" s="189" t="s">
        <v>136</v>
      </c>
    </row>
    <row r="1250">
      <c r="A1250" s="153" t="s">
        <v>245</v>
      </c>
      <c r="B1250" s="155"/>
      <c r="C1250" s="154"/>
      <c r="D1250" s="154" t="s">
        <v>208</v>
      </c>
      <c r="E1250" s="155"/>
      <c r="F1250" s="155"/>
      <c r="G1250" s="155"/>
      <c r="H1250" s="155"/>
      <c r="I1250" s="154" t="s">
        <v>208</v>
      </c>
      <c r="J1250" s="193"/>
      <c r="K1250" s="188" t="s">
        <v>156</v>
      </c>
      <c r="L1250" s="189" t="s">
        <v>144</v>
      </c>
    </row>
    <row r="1251">
      <c r="A1251" s="153" t="s">
        <v>245</v>
      </c>
      <c r="B1251" s="155"/>
      <c r="C1251" s="154"/>
      <c r="D1251" s="154" t="s">
        <v>208</v>
      </c>
      <c r="E1251" s="155"/>
      <c r="F1251" s="155"/>
      <c r="G1251" s="155"/>
      <c r="H1251" s="155"/>
      <c r="I1251" s="154" t="s">
        <v>208</v>
      </c>
      <c r="J1251" s="193"/>
      <c r="K1251" s="188" t="s">
        <v>170</v>
      </c>
      <c r="L1251" s="189" t="s">
        <v>161</v>
      </c>
    </row>
    <row r="1252">
      <c r="A1252" s="153" t="s">
        <v>245</v>
      </c>
      <c r="B1252" s="155"/>
      <c r="C1252" s="155"/>
      <c r="D1252" s="155"/>
      <c r="E1252" s="155"/>
      <c r="F1252" s="154"/>
      <c r="G1252" s="155"/>
      <c r="H1252" s="155"/>
      <c r="I1252" s="155"/>
      <c r="J1252" s="193"/>
      <c r="K1252" s="188" t="s">
        <v>259</v>
      </c>
      <c r="L1252" s="189" t="s">
        <v>161</v>
      </c>
    </row>
    <row r="1253">
      <c r="A1253" s="153" t="s">
        <v>245</v>
      </c>
      <c r="B1253" s="155"/>
      <c r="C1253" s="154"/>
      <c r="D1253" s="154" t="s">
        <v>208</v>
      </c>
      <c r="E1253" s="155"/>
      <c r="F1253" s="154" t="s">
        <v>208</v>
      </c>
      <c r="G1253" s="155"/>
      <c r="H1253" s="154" t="s">
        <v>208</v>
      </c>
      <c r="I1253" s="154"/>
      <c r="J1253" s="193"/>
      <c r="K1253" s="188" t="s">
        <v>171</v>
      </c>
      <c r="L1253" s="189" t="s">
        <v>161</v>
      </c>
    </row>
    <row r="1254">
      <c r="A1254" s="153" t="s">
        <v>245</v>
      </c>
      <c r="B1254" s="155"/>
      <c r="C1254" s="155"/>
      <c r="D1254" s="155"/>
      <c r="E1254" s="155"/>
      <c r="F1254" s="155"/>
      <c r="G1254" s="155"/>
      <c r="H1254" s="155"/>
      <c r="I1254" s="155"/>
      <c r="J1254" s="193"/>
      <c r="K1254" s="188" t="s">
        <v>166</v>
      </c>
      <c r="L1254" s="189" t="s">
        <v>161</v>
      </c>
    </row>
    <row r="1255">
      <c r="A1255" s="153" t="s">
        <v>245</v>
      </c>
      <c r="B1255" s="155"/>
      <c r="C1255" s="154"/>
      <c r="D1255" s="155"/>
      <c r="E1255" s="155"/>
      <c r="F1255" s="155"/>
      <c r="G1255" s="155"/>
      <c r="H1255" s="155"/>
      <c r="I1255" s="154"/>
      <c r="J1255" s="193"/>
      <c r="K1255" s="188" t="s">
        <v>172</v>
      </c>
      <c r="L1255" s="189" t="s">
        <v>161</v>
      </c>
    </row>
    <row r="1256">
      <c r="A1256" s="153" t="s">
        <v>245</v>
      </c>
      <c r="B1256" s="155"/>
      <c r="C1256" s="154"/>
      <c r="D1256" s="154" t="s">
        <v>208</v>
      </c>
      <c r="E1256" s="154"/>
      <c r="F1256" s="154" t="s">
        <v>208</v>
      </c>
      <c r="G1256" s="154"/>
      <c r="H1256" s="154" t="s">
        <v>208</v>
      </c>
      <c r="I1256" s="155"/>
      <c r="J1256" s="193"/>
      <c r="K1256" s="188" t="s">
        <v>260</v>
      </c>
      <c r="L1256" s="189" t="s">
        <v>161</v>
      </c>
    </row>
    <row r="1257">
      <c r="A1257" s="153" t="s">
        <v>245</v>
      </c>
      <c r="B1257" s="154"/>
      <c r="C1257" s="154" t="s">
        <v>208</v>
      </c>
      <c r="D1257" s="154" t="s">
        <v>208</v>
      </c>
      <c r="E1257" s="154"/>
      <c r="F1257" s="154" t="s">
        <v>208</v>
      </c>
      <c r="G1257" s="154" t="s">
        <v>208</v>
      </c>
      <c r="H1257" s="155"/>
      <c r="I1257" s="155"/>
      <c r="J1257" s="193"/>
      <c r="K1257" s="188" t="s">
        <v>261</v>
      </c>
      <c r="L1257" s="189" t="s">
        <v>262</v>
      </c>
    </row>
    <row r="1258">
      <c r="A1258" s="153" t="s">
        <v>245</v>
      </c>
      <c r="B1258" s="154"/>
      <c r="C1258" s="154" t="s">
        <v>208</v>
      </c>
      <c r="D1258" s="154" t="s">
        <v>208</v>
      </c>
      <c r="E1258" s="154"/>
      <c r="F1258" s="154" t="s">
        <v>208</v>
      </c>
      <c r="G1258" s="154" t="s">
        <v>208</v>
      </c>
      <c r="H1258" s="155"/>
      <c r="I1258" s="155"/>
      <c r="J1258" s="193"/>
      <c r="K1258" s="188" t="s">
        <v>263</v>
      </c>
      <c r="L1258" s="189" t="s">
        <v>264</v>
      </c>
    </row>
    <row r="1259">
      <c r="A1259" s="153" t="s">
        <v>245</v>
      </c>
      <c r="B1259" s="155"/>
      <c r="C1259" s="155"/>
      <c r="D1259" s="155"/>
      <c r="E1259" s="155"/>
      <c r="F1259" s="155"/>
      <c r="G1259" s="155"/>
      <c r="H1259" s="155"/>
      <c r="I1259" s="155"/>
      <c r="J1259" s="193"/>
      <c r="K1259" s="188" t="s">
        <v>265</v>
      </c>
      <c r="L1259" s="189" t="s">
        <v>161</v>
      </c>
    </row>
    <row r="1260">
      <c r="A1260" s="153" t="s">
        <v>245</v>
      </c>
      <c r="B1260" s="155"/>
      <c r="C1260" s="155"/>
      <c r="D1260" s="155"/>
      <c r="E1260" s="155"/>
      <c r="F1260" s="155"/>
      <c r="G1260" s="155"/>
      <c r="H1260" s="155"/>
      <c r="I1260" s="155"/>
      <c r="J1260" s="193"/>
      <c r="K1260" s="188" t="s">
        <v>266</v>
      </c>
      <c r="L1260" s="189" t="s">
        <v>161</v>
      </c>
    </row>
    <row r="1261">
      <c r="A1261" s="153" t="s">
        <v>245</v>
      </c>
      <c r="B1261" s="154"/>
      <c r="C1261" s="154" t="s">
        <v>208</v>
      </c>
      <c r="D1261" s="154" t="s">
        <v>208</v>
      </c>
      <c r="E1261" s="154"/>
      <c r="F1261" s="154" t="s">
        <v>208</v>
      </c>
      <c r="G1261" s="154" t="s">
        <v>208</v>
      </c>
      <c r="H1261" s="155"/>
      <c r="I1261" s="155"/>
      <c r="J1261" s="193"/>
      <c r="K1261" s="188" t="s">
        <v>267</v>
      </c>
      <c r="L1261" s="189" t="s">
        <v>136</v>
      </c>
    </row>
    <row r="1262">
      <c r="A1262" s="153" t="s">
        <v>245</v>
      </c>
      <c r="B1262" s="155"/>
      <c r="C1262" s="155"/>
      <c r="D1262" s="155"/>
      <c r="E1262" s="155"/>
      <c r="F1262" s="155"/>
      <c r="G1262" s="155"/>
      <c r="H1262" s="155"/>
      <c r="I1262" s="155"/>
      <c r="J1262" s="193"/>
      <c r="K1262" s="188" t="s">
        <v>268</v>
      </c>
      <c r="L1262" s="189" t="s">
        <v>269</v>
      </c>
    </row>
    <row r="1263">
      <c r="A1263" s="153" t="s">
        <v>245</v>
      </c>
      <c r="B1263" s="155"/>
      <c r="C1263" s="155"/>
      <c r="D1263" s="155"/>
      <c r="E1263" s="155"/>
      <c r="F1263" s="155"/>
      <c r="G1263" s="155"/>
      <c r="H1263" s="155"/>
      <c r="I1263" s="155"/>
      <c r="J1263" s="193"/>
      <c r="K1263" s="188" t="s">
        <v>270</v>
      </c>
      <c r="L1263" s="189" t="s">
        <v>269</v>
      </c>
    </row>
    <row r="1264">
      <c r="A1264" s="153" t="s">
        <v>245</v>
      </c>
      <c r="B1264" s="155"/>
      <c r="C1264" s="154"/>
      <c r="D1264" s="154" t="s">
        <v>208</v>
      </c>
      <c r="E1264" s="155"/>
      <c r="F1264" s="155"/>
      <c r="G1264" s="155"/>
      <c r="H1264" s="155"/>
      <c r="I1264" s="154" t="s">
        <v>208</v>
      </c>
      <c r="J1264" s="193"/>
      <c r="K1264" s="188" t="s">
        <v>159</v>
      </c>
      <c r="L1264" s="189" t="s">
        <v>158</v>
      </c>
    </row>
    <row r="1265">
      <c r="A1265" s="153" t="s">
        <v>245</v>
      </c>
      <c r="B1265" s="155"/>
      <c r="C1265" s="154"/>
      <c r="D1265" s="154" t="s">
        <v>208</v>
      </c>
      <c r="E1265" s="155"/>
      <c r="F1265" s="155"/>
      <c r="G1265" s="155"/>
      <c r="H1265" s="155"/>
      <c r="I1265" s="154" t="s">
        <v>208</v>
      </c>
      <c r="J1265" s="193"/>
      <c r="K1265" s="188" t="s">
        <v>271</v>
      </c>
      <c r="L1265" s="189" t="s">
        <v>161</v>
      </c>
    </row>
    <row r="1266">
      <c r="A1266" s="153" t="s">
        <v>245</v>
      </c>
      <c r="B1266" s="155"/>
      <c r="C1266" s="154"/>
      <c r="D1266" s="155"/>
      <c r="E1266" s="155"/>
      <c r="F1266" s="155"/>
      <c r="G1266" s="155"/>
      <c r="H1266" s="155"/>
      <c r="I1266" s="154"/>
      <c r="J1266" s="193"/>
      <c r="K1266" s="188" t="s">
        <v>272</v>
      </c>
      <c r="L1266" s="189" t="s">
        <v>161</v>
      </c>
    </row>
    <row r="1267">
      <c r="A1267" s="153" t="s">
        <v>245</v>
      </c>
      <c r="B1267" s="155"/>
      <c r="C1267" s="155"/>
      <c r="D1267" s="155"/>
      <c r="E1267" s="155"/>
      <c r="F1267" s="155"/>
      <c r="G1267" s="155"/>
      <c r="H1267" s="155"/>
      <c r="I1267" s="155"/>
      <c r="J1267" s="193"/>
      <c r="K1267" s="188" t="s">
        <v>273</v>
      </c>
      <c r="L1267" s="189" t="s">
        <v>274</v>
      </c>
    </row>
    <row r="1268">
      <c r="A1268" s="153" t="s">
        <v>245</v>
      </c>
      <c r="B1268" s="155"/>
      <c r="C1268" s="154"/>
      <c r="D1268" s="154" t="s">
        <v>208</v>
      </c>
      <c r="E1268" s="155"/>
      <c r="F1268" s="155"/>
      <c r="G1268" s="155"/>
      <c r="H1268" s="155"/>
      <c r="I1268" s="154" t="s">
        <v>208</v>
      </c>
      <c r="J1268" s="193"/>
      <c r="K1268" s="188" t="s">
        <v>133</v>
      </c>
      <c r="L1268" s="189" t="s">
        <v>129</v>
      </c>
    </row>
    <row r="1269">
      <c r="A1269" s="153" t="s">
        <v>245</v>
      </c>
      <c r="B1269" s="155"/>
      <c r="C1269" s="155"/>
      <c r="D1269" s="155"/>
      <c r="E1269" s="155"/>
      <c r="F1269" s="155"/>
      <c r="G1269" s="155"/>
      <c r="H1269" s="155"/>
      <c r="I1269" s="155"/>
      <c r="J1269" s="193"/>
      <c r="K1269" s="188" t="s">
        <v>275</v>
      </c>
      <c r="L1269" s="189" t="s">
        <v>129</v>
      </c>
    </row>
    <row r="1270">
      <c r="A1270" s="153" t="s">
        <v>245</v>
      </c>
      <c r="B1270" s="155"/>
      <c r="C1270" s="155"/>
      <c r="D1270" s="155"/>
      <c r="E1270" s="155"/>
      <c r="F1270" s="155"/>
      <c r="G1270" s="155"/>
      <c r="H1270" s="155"/>
      <c r="I1270" s="155"/>
      <c r="J1270" s="193"/>
      <c r="K1270" s="188" t="s">
        <v>276</v>
      </c>
      <c r="L1270" s="189" t="s">
        <v>274</v>
      </c>
    </row>
    <row r="1271">
      <c r="A1271" s="153" t="s">
        <v>245</v>
      </c>
      <c r="B1271" s="155"/>
      <c r="C1271" s="154"/>
      <c r="D1271" s="154" t="s">
        <v>208</v>
      </c>
      <c r="E1271" s="154" t="s">
        <v>208</v>
      </c>
      <c r="F1271" s="154" t="s">
        <v>208</v>
      </c>
      <c r="G1271" s="154"/>
      <c r="H1271" s="154" t="s">
        <v>208</v>
      </c>
      <c r="I1271" s="155"/>
      <c r="J1271" s="193"/>
      <c r="K1271" s="188" t="s">
        <v>277</v>
      </c>
      <c r="L1271" s="189" t="s">
        <v>278</v>
      </c>
    </row>
    <row r="1272">
      <c r="A1272" s="153" t="s">
        <v>245</v>
      </c>
      <c r="B1272" s="155"/>
      <c r="C1272" s="154"/>
      <c r="D1272" s="154" t="s">
        <v>208</v>
      </c>
      <c r="E1272" s="154" t="s">
        <v>208</v>
      </c>
      <c r="F1272" s="154" t="s">
        <v>208</v>
      </c>
      <c r="G1272" s="154"/>
      <c r="H1272" s="154" t="s">
        <v>208</v>
      </c>
      <c r="I1272" s="155"/>
      <c r="J1272" s="193"/>
      <c r="K1272" s="188" t="s">
        <v>279</v>
      </c>
      <c r="L1272" s="189" t="s">
        <v>278</v>
      </c>
    </row>
    <row r="1273">
      <c r="A1273" s="153" t="s">
        <v>245</v>
      </c>
      <c r="B1273" s="154"/>
      <c r="C1273" s="155"/>
      <c r="D1273" s="154" t="s">
        <v>208</v>
      </c>
      <c r="E1273" s="155"/>
      <c r="F1273" s="154"/>
      <c r="G1273" s="155"/>
      <c r="H1273" s="155"/>
      <c r="I1273" s="154" t="s">
        <v>208</v>
      </c>
      <c r="J1273" s="193"/>
      <c r="K1273" s="188" t="s">
        <v>280</v>
      </c>
    </row>
    <row r="1274">
      <c r="A1274" s="153" t="s">
        <v>245</v>
      </c>
      <c r="B1274" s="154"/>
      <c r="C1274" s="154"/>
      <c r="D1274" s="155"/>
      <c r="E1274" s="154"/>
      <c r="F1274" s="154"/>
      <c r="G1274" s="155"/>
      <c r="H1274" s="155"/>
      <c r="I1274" s="154" t="s">
        <v>208</v>
      </c>
      <c r="J1274" s="193"/>
      <c r="K1274" s="188" t="s">
        <v>281</v>
      </c>
    </row>
    <row r="1275">
      <c r="A1275" s="153" t="s">
        <v>245</v>
      </c>
      <c r="B1275" s="155"/>
      <c r="C1275" s="154" t="s">
        <v>208</v>
      </c>
      <c r="D1275" s="154" t="s">
        <v>208</v>
      </c>
      <c r="E1275" s="154"/>
      <c r="F1275" s="154" t="s">
        <v>208</v>
      </c>
      <c r="G1275" s="154" t="s">
        <v>208</v>
      </c>
      <c r="H1275" s="155"/>
      <c r="I1275" s="155"/>
      <c r="J1275" s="193"/>
      <c r="K1275" s="188" t="s">
        <v>283</v>
      </c>
    </row>
    <row r="1276">
      <c r="A1276" s="153" t="s">
        <v>245</v>
      </c>
      <c r="B1276" s="155"/>
      <c r="C1276" s="154"/>
      <c r="D1276" s="154" t="s">
        <v>208</v>
      </c>
      <c r="E1276" s="155"/>
      <c r="F1276" s="154"/>
      <c r="G1276" s="154" t="s">
        <v>208</v>
      </c>
      <c r="H1276" s="154" t="s">
        <v>208</v>
      </c>
      <c r="I1276" s="154" t="s">
        <v>208</v>
      </c>
      <c r="J1276" s="193"/>
      <c r="K1276" s="188" t="s">
        <v>174</v>
      </c>
    </row>
    <row r="1277">
      <c r="A1277" s="153" t="s">
        <v>245</v>
      </c>
      <c r="B1277" s="155"/>
      <c r="C1277" s="155"/>
      <c r="D1277" s="154" t="s">
        <v>208</v>
      </c>
      <c r="E1277" s="155"/>
      <c r="F1277" s="155"/>
      <c r="G1277" s="154" t="s">
        <v>208</v>
      </c>
      <c r="H1277" s="155"/>
      <c r="I1277" s="154" t="s">
        <v>208</v>
      </c>
      <c r="J1277" s="193"/>
      <c r="K1277" s="188" t="s">
        <v>174</v>
      </c>
    </row>
    <row r="1278">
      <c r="A1278" s="153" t="s">
        <v>245</v>
      </c>
      <c r="B1278" s="155"/>
      <c r="C1278" s="154"/>
      <c r="D1278" s="154" t="s">
        <v>208</v>
      </c>
      <c r="E1278" s="155"/>
      <c r="F1278" s="155"/>
      <c r="G1278" s="154" t="s">
        <v>208</v>
      </c>
      <c r="H1278" s="155"/>
      <c r="I1278" s="154"/>
      <c r="J1278" s="193"/>
      <c r="K1278" s="188" t="s">
        <v>174</v>
      </c>
    </row>
    <row r="1279">
      <c r="A1279" s="153" t="s">
        <v>245</v>
      </c>
      <c r="B1279" s="155"/>
      <c r="C1279" s="154" t="s">
        <v>208</v>
      </c>
      <c r="D1279" s="155"/>
      <c r="E1279" s="155"/>
      <c r="F1279" s="154"/>
      <c r="G1279" s="155"/>
      <c r="H1279" s="155"/>
      <c r="I1279" s="155"/>
      <c r="J1279" s="193"/>
      <c r="K1279" s="188" t="s">
        <v>284</v>
      </c>
    </row>
    <row r="1280">
      <c r="A1280" s="153" t="s">
        <v>245</v>
      </c>
      <c r="B1280" s="155"/>
      <c r="C1280" s="155"/>
      <c r="D1280" s="155"/>
      <c r="E1280" s="155"/>
      <c r="F1280" s="154"/>
      <c r="G1280" s="154" t="s">
        <v>208</v>
      </c>
      <c r="H1280" s="155"/>
      <c r="I1280" s="155"/>
      <c r="J1280" s="193"/>
      <c r="K1280" s="188" t="s">
        <v>285</v>
      </c>
    </row>
    <row r="1281">
      <c r="A1281" s="153" t="s">
        <v>245</v>
      </c>
      <c r="B1281" s="155"/>
      <c r="C1281" s="155"/>
      <c r="D1281" s="155"/>
      <c r="E1281" s="155"/>
      <c r="F1281" s="154"/>
      <c r="G1281" s="155"/>
      <c r="H1281" s="155"/>
      <c r="I1281" s="155"/>
      <c r="J1281" s="193"/>
      <c r="K1281" s="188"/>
    </row>
    <row r="1282">
      <c r="A1282" s="153" t="s">
        <v>245</v>
      </c>
      <c r="B1282" s="155"/>
      <c r="C1282" s="155"/>
      <c r="D1282" s="155"/>
      <c r="E1282" s="155"/>
      <c r="F1282" s="154"/>
      <c r="G1282" s="155"/>
      <c r="H1282" s="155"/>
      <c r="I1282" s="155"/>
      <c r="J1282" s="193"/>
      <c r="K1282" s="188"/>
    </row>
    <row r="1283">
      <c r="A1283" s="153" t="s">
        <v>245</v>
      </c>
      <c r="B1283" s="155"/>
      <c r="C1283" s="155"/>
      <c r="D1283" s="155"/>
      <c r="E1283" s="155"/>
      <c r="F1283" s="154"/>
      <c r="G1283" s="155"/>
      <c r="H1283" s="155"/>
      <c r="I1283" s="155"/>
      <c r="J1283" s="193"/>
      <c r="K1283" s="188"/>
    </row>
    <row r="1284">
      <c r="A1284" s="153" t="s">
        <v>245</v>
      </c>
      <c r="B1284" s="155"/>
      <c r="C1284" s="155"/>
      <c r="D1284" s="155"/>
      <c r="E1284" s="155"/>
      <c r="F1284" s="154"/>
      <c r="G1284" s="155"/>
      <c r="H1284" s="155"/>
      <c r="I1284" s="155"/>
      <c r="J1284" s="193"/>
      <c r="K1284" s="188"/>
    </row>
    <row r="1285">
      <c r="A1285" s="153" t="s">
        <v>245</v>
      </c>
      <c r="B1285" s="155"/>
      <c r="C1285" s="155"/>
      <c r="D1285" s="155"/>
      <c r="E1285" s="155"/>
      <c r="F1285" s="154"/>
      <c r="G1285" s="155"/>
      <c r="H1285" s="155"/>
      <c r="I1285" s="155"/>
      <c r="J1285" s="193"/>
      <c r="K1285" s="188"/>
    </row>
    <row r="1286">
      <c r="A1286" s="148"/>
      <c r="B1286" s="75"/>
      <c r="C1286" s="75"/>
      <c r="D1286" s="75"/>
      <c r="E1286" s="75"/>
      <c r="F1286" s="75"/>
      <c r="G1286" s="75"/>
      <c r="H1286" s="75"/>
      <c r="I1286" s="75"/>
      <c r="J1286" s="166"/>
      <c r="K1286" s="191"/>
    </row>
    <row r="1287">
      <c r="A1287" s="148"/>
      <c r="B1287" s="75"/>
      <c r="C1287" s="75"/>
      <c r="D1287" s="75"/>
      <c r="E1287" s="75"/>
      <c r="F1287" s="75"/>
      <c r="G1287" s="75"/>
      <c r="H1287" s="75"/>
      <c r="I1287" s="75"/>
      <c r="J1287" s="166"/>
      <c r="K1287" s="191"/>
    </row>
    <row r="1288">
      <c r="A1288" s="148"/>
      <c r="B1288" s="75"/>
      <c r="C1288" s="75"/>
      <c r="D1288" s="75"/>
      <c r="E1288" s="75"/>
      <c r="F1288" s="75"/>
      <c r="G1288" s="75"/>
      <c r="H1288" s="75"/>
      <c r="I1288" s="75"/>
      <c r="J1288" s="166"/>
      <c r="K1288" s="191"/>
    </row>
    <row r="1289">
      <c r="A1289" s="148"/>
      <c r="B1289" s="75"/>
      <c r="C1289" s="75"/>
      <c r="D1289" s="75"/>
      <c r="E1289" s="75"/>
      <c r="F1289" s="75"/>
      <c r="G1289" s="75"/>
      <c r="H1289" s="75"/>
      <c r="I1289" s="75"/>
      <c r="J1289" s="166"/>
      <c r="K1289" s="191"/>
    </row>
    <row r="1290">
      <c r="A1290" s="148"/>
      <c r="B1290" s="75"/>
      <c r="C1290" s="75"/>
      <c r="D1290" s="75"/>
      <c r="E1290" s="75"/>
      <c r="F1290" s="75"/>
      <c r="G1290" s="75"/>
      <c r="H1290" s="75"/>
      <c r="I1290" s="75"/>
      <c r="J1290" s="166"/>
      <c r="K1290" s="191"/>
    </row>
    <row r="1291">
      <c r="A1291" s="148"/>
      <c r="B1291" s="75"/>
      <c r="C1291" s="75"/>
      <c r="D1291" s="75"/>
      <c r="E1291" s="75"/>
      <c r="F1291" s="75"/>
      <c r="G1291" s="75"/>
      <c r="H1291" s="75"/>
      <c r="I1291" s="75"/>
      <c r="J1291" s="166"/>
      <c r="K1291" s="191"/>
    </row>
    <row r="1292">
      <c r="A1292" s="148"/>
      <c r="B1292" s="75"/>
      <c r="C1292" s="75"/>
      <c r="D1292" s="75"/>
      <c r="E1292" s="75"/>
      <c r="F1292" s="75"/>
      <c r="G1292" s="75"/>
      <c r="H1292" s="75"/>
      <c r="I1292" s="75"/>
      <c r="J1292" s="166"/>
      <c r="K1292" s="191"/>
    </row>
    <row r="1293">
      <c r="A1293" s="148"/>
      <c r="B1293" s="75"/>
      <c r="C1293" s="75"/>
      <c r="D1293" s="75"/>
      <c r="E1293" s="75"/>
      <c r="F1293" s="75"/>
      <c r="G1293" s="75"/>
      <c r="H1293" s="75"/>
      <c r="I1293" s="75"/>
      <c r="J1293" s="166"/>
      <c r="K1293" s="191"/>
    </row>
    <row r="1294">
      <c r="A1294" s="148"/>
      <c r="B1294" s="75"/>
      <c r="C1294" s="75"/>
      <c r="D1294" s="75"/>
      <c r="E1294" s="75"/>
      <c r="F1294" s="75"/>
      <c r="G1294" s="75"/>
      <c r="H1294" s="75"/>
      <c r="I1294" s="75"/>
      <c r="J1294" s="166"/>
      <c r="K1294" s="191"/>
    </row>
    <row r="1295">
      <c r="A1295" s="148"/>
      <c r="B1295" s="75"/>
      <c r="C1295" s="75"/>
      <c r="D1295" s="75"/>
      <c r="E1295" s="75"/>
      <c r="F1295" s="75"/>
      <c r="G1295" s="75"/>
      <c r="H1295" s="75"/>
      <c r="I1295" s="75"/>
      <c r="J1295" s="166"/>
      <c r="K1295" s="191"/>
    </row>
    <row r="1296">
      <c r="A1296" s="148"/>
      <c r="B1296" s="75"/>
      <c r="C1296" s="75"/>
      <c r="D1296" s="75"/>
      <c r="E1296" s="75"/>
      <c r="F1296" s="75"/>
      <c r="G1296" s="75"/>
      <c r="H1296" s="75"/>
      <c r="I1296" s="75"/>
      <c r="J1296" s="166"/>
      <c r="K1296" s="191"/>
    </row>
    <row r="1297">
      <c r="A1297" s="148"/>
      <c r="B1297" s="75"/>
      <c r="C1297" s="75"/>
      <c r="D1297" s="75"/>
      <c r="E1297" s="75"/>
      <c r="F1297" s="75"/>
      <c r="G1297" s="75"/>
      <c r="H1297" s="75"/>
      <c r="I1297" s="75"/>
      <c r="J1297" s="166"/>
      <c r="K1297" s="191"/>
    </row>
    <row r="1298">
      <c r="A1298" s="148"/>
      <c r="B1298" s="75"/>
      <c r="C1298" s="75"/>
      <c r="D1298" s="75"/>
      <c r="E1298" s="75"/>
      <c r="F1298" s="75"/>
      <c r="G1298" s="75"/>
      <c r="H1298" s="75"/>
      <c r="I1298" s="75"/>
      <c r="J1298" s="166"/>
      <c r="K1298" s="191"/>
    </row>
    <row r="1299">
      <c r="A1299" s="148"/>
      <c r="B1299" s="75"/>
      <c r="C1299" s="75"/>
      <c r="D1299" s="75"/>
      <c r="E1299" s="75"/>
      <c r="F1299" s="75"/>
      <c r="G1299" s="75"/>
      <c r="H1299" s="75"/>
      <c r="I1299" s="75"/>
      <c r="J1299" s="166"/>
      <c r="K1299" s="191"/>
    </row>
    <row r="1300">
      <c r="A1300" s="148"/>
      <c r="B1300" s="75"/>
      <c r="C1300" s="75"/>
      <c r="D1300" s="75"/>
      <c r="E1300" s="75"/>
      <c r="F1300" s="75"/>
      <c r="G1300" s="75"/>
      <c r="H1300" s="75"/>
      <c r="I1300" s="75"/>
      <c r="J1300" s="166"/>
      <c r="K1300" s="191"/>
    </row>
    <row r="1301">
      <c r="A1301" s="148"/>
      <c r="B1301" s="75"/>
      <c r="C1301" s="75"/>
      <c r="D1301" s="75"/>
      <c r="E1301" s="75"/>
      <c r="F1301" s="75"/>
      <c r="G1301" s="75"/>
      <c r="H1301" s="75"/>
      <c r="I1301" s="75"/>
      <c r="J1301" s="166"/>
      <c r="K1301" s="191"/>
    </row>
    <row r="1302">
      <c r="A1302" s="148"/>
      <c r="B1302" s="75"/>
      <c r="C1302" s="75"/>
      <c r="D1302" s="75"/>
      <c r="E1302" s="75"/>
      <c r="F1302" s="75"/>
      <c r="G1302" s="75"/>
      <c r="H1302" s="75"/>
      <c r="I1302" s="75"/>
      <c r="J1302" s="166"/>
      <c r="K1302" s="191"/>
    </row>
    <row r="1303">
      <c r="A1303" s="148"/>
      <c r="B1303" s="75"/>
      <c r="C1303" s="75"/>
      <c r="D1303" s="75"/>
      <c r="E1303" s="75"/>
      <c r="F1303" s="75"/>
      <c r="G1303" s="75"/>
      <c r="H1303" s="75"/>
      <c r="I1303" s="75"/>
      <c r="J1303" s="166"/>
      <c r="K1303" s="191"/>
    </row>
    <row r="1304">
      <c r="A1304" s="148"/>
      <c r="B1304" s="75"/>
      <c r="C1304" s="75"/>
      <c r="D1304" s="75"/>
      <c r="E1304" s="75"/>
      <c r="F1304" s="75"/>
      <c r="G1304" s="75"/>
      <c r="H1304" s="75"/>
      <c r="I1304" s="75"/>
      <c r="J1304" s="166"/>
      <c r="K1304" s="191"/>
    </row>
    <row r="1305">
      <c r="A1305" s="148"/>
      <c r="B1305" s="75"/>
      <c r="C1305" s="75"/>
      <c r="D1305" s="75"/>
      <c r="E1305" s="75"/>
      <c r="F1305" s="75"/>
      <c r="G1305" s="75"/>
      <c r="H1305" s="75"/>
      <c r="I1305" s="75"/>
      <c r="J1305" s="166"/>
      <c r="K1305" s="191"/>
    </row>
    <row r="1306">
      <c r="A1306" s="148"/>
      <c r="B1306" s="75"/>
      <c r="C1306" s="75"/>
      <c r="D1306" s="75"/>
      <c r="E1306" s="75"/>
      <c r="F1306" s="75"/>
      <c r="G1306" s="75"/>
      <c r="H1306" s="75"/>
      <c r="I1306" s="75"/>
      <c r="J1306" s="166"/>
      <c r="K1306" s="191"/>
    </row>
    <row r="1307">
      <c r="A1307" s="148"/>
      <c r="B1307" s="75"/>
      <c r="C1307" s="75"/>
      <c r="D1307" s="75"/>
      <c r="E1307" s="75"/>
      <c r="F1307" s="75"/>
      <c r="G1307" s="75"/>
      <c r="H1307" s="75"/>
      <c r="I1307" s="75"/>
      <c r="J1307" s="166"/>
      <c r="K1307" s="191"/>
    </row>
    <row r="1308">
      <c r="A1308" s="148"/>
      <c r="B1308" s="75"/>
      <c r="C1308" s="75"/>
      <c r="D1308" s="75"/>
      <c r="E1308" s="75"/>
      <c r="F1308" s="75"/>
      <c r="G1308" s="75"/>
      <c r="H1308" s="75"/>
      <c r="I1308" s="75"/>
      <c r="J1308" s="166"/>
      <c r="K1308" s="191"/>
    </row>
    <row r="1309">
      <c r="A1309" s="148"/>
      <c r="B1309" s="75"/>
      <c r="C1309" s="75"/>
      <c r="D1309" s="75"/>
      <c r="E1309" s="75"/>
      <c r="F1309" s="75"/>
      <c r="G1309" s="75"/>
      <c r="H1309" s="75"/>
      <c r="I1309" s="75"/>
      <c r="J1309" s="166"/>
      <c r="K1309" s="191"/>
    </row>
    <row r="1310">
      <c r="A1310" s="148"/>
      <c r="B1310" s="75"/>
      <c r="C1310" s="75"/>
      <c r="D1310" s="75"/>
      <c r="E1310" s="75"/>
      <c r="F1310" s="75"/>
      <c r="G1310" s="75"/>
      <c r="H1310" s="75"/>
      <c r="I1310" s="75"/>
      <c r="J1310" s="166"/>
      <c r="K1310" s="191"/>
    </row>
    <row r="1311">
      <c r="A1311" s="148"/>
      <c r="B1311" s="75"/>
      <c r="C1311" s="75"/>
      <c r="D1311" s="75"/>
      <c r="E1311" s="75"/>
      <c r="F1311" s="75"/>
      <c r="G1311" s="75"/>
      <c r="H1311" s="75"/>
      <c r="I1311" s="75"/>
      <c r="J1311" s="166"/>
      <c r="K1311" s="191"/>
    </row>
    <row r="1312">
      <c r="A1312" s="148"/>
      <c r="B1312" s="75"/>
      <c r="C1312" s="75"/>
      <c r="D1312" s="75"/>
      <c r="E1312" s="75"/>
      <c r="F1312" s="75"/>
      <c r="G1312" s="75"/>
      <c r="H1312" s="75"/>
      <c r="I1312" s="75"/>
      <c r="J1312" s="166"/>
      <c r="K1312" s="191"/>
    </row>
    <row r="1313">
      <c r="A1313" s="148"/>
      <c r="B1313" s="75"/>
      <c r="C1313" s="75"/>
      <c r="D1313" s="75"/>
      <c r="E1313" s="75"/>
      <c r="F1313" s="75"/>
      <c r="G1313" s="75"/>
      <c r="H1313" s="75"/>
      <c r="I1313" s="75"/>
      <c r="J1313" s="166"/>
      <c r="K1313" s="191"/>
    </row>
    <row r="1314">
      <c r="A1314" s="148"/>
      <c r="B1314" s="75"/>
      <c r="C1314" s="75"/>
      <c r="D1314" s="75"/>
      <c r="E1314" s="75"/>
      <c r="F1314" s="75"/>
      <c r="G1314" s="75"/>
      <c r="H1314" s="75"/>
      <c r="I1314" s="75"/>
      <c r="J1314" s="166"/>
      <c r="K1314" s="191"/>
    </row>
    <row r="1315">
      <c r="A1315" s="148"/>
      <c r="B1315" s="75"/>
      <c r="C1315" s="75"/>
      <c r="D1315" s="75"/>
      <c r="E1315" s="75"/>
      <c r="F1315" s="75"/>
      <c r="G1315" s="75"/>
      <c r="H1315" s="75"/>
      <c r="I1315" s="75"/>
      <c r="J1315" s="166"/>
      <c r="K1315" s="191"/>
    </row>
    <row r="1316">
      <c r="A1316" s="148"/>
      <c r="B1316" s="75"/>
      <c r="C1316" s="75"/>
      <c r="D1316" s="75"/>
      <c r="E1316" s="75"/>
      <c r="F1316" s="75"/>
      <c r="G1316" s="75"/>
      <c r="H1316" s="75"/>
      <c r="I1316" s="75"/>
      <c r="J1316" s="166"/>
      <c r="K1316" s="191"/>
    </row>
    <row r="1317">
      <c r="A1317" s="148"/>
      <c r="B1317" s="75"/>
      <c r="C1317" s="75"/>
      <c r="D1317" s="75"/>
      <c r="E1317" s="75"/>
      <c r="F1317" s="75"/>
      <c r="G1317" s="75"/>
      <c r="H1317" s="75"/>
      <c r="I1317" s="75"/>
      <c r="J1317" s="166"/>
      <c r="K1317" s="191"/>
    </row>
    <row r="1318">
      <c r="A1318" s="148"/>
      <c r="B1318" s="75"/>
      <c r="C1318" s="75"/>
      <c r="D1318" s="75"/>
      <c r="E1318" s="75"/>
      <c r="F1318" s="75"/>
      <c r="G1318" s="75"/>
      <c r="H1318" s="75"/>
      <c r="I1318" s="75"/>
      <c r="J1318" s="166"/>
      <c r="K1318" s="191"/>
    </row>
    <row r="1319">
      <c r="A1319" s="148"/>
      <c r="B1319" s="75"/>
      <c r="C1319" s="75"/>
      <c r="D1319" s="75"/>
      <c r="E1319" s="75"/>
      <c r="F1319" s="75"/>
      <c r="G1319" s="75"/>
      <c r="H1319" s="75"/>
      <c r="I1319" s="75"/>
      <c r="J1319" s="166"/>
      <c r="K1319" s="191"/>
    </row>
    <row r="1320">
      <c r="A1320" s="148"/>
      <c r="B1320" s="75"/>
      <c r="C1320" s="75"/>
      <c r="D1320" s="75"/>
      <c r="E1320" s="75"/>
      <c r="F1320" s="75"/>
      <c r="G1320" s="75"/>
      <c r="H1320" s="75"/>
      <c r="I1320" s="75"/>
      <c r="J1320" s="166"/>
      <c r="K1320" s="191"/>
    </row>
    <row r="1321">
      <c r="A1321" s="148"/>
      <c r="B1321" s="75"/>
      <c r="C1321" s="75"/>
      <c r="D1321" s="75"/>
      <c r="E1321" s="75"/>
      <c r="F1321" s="75"/>
      <c r="G1321" s="75"/>
      <c r="H1321" s="75"/>
      <c r="I1321" s="75"/>
      <c r="J1321" s="166"/>
      <c r="K1321" s="191"/>
    </row>
    <row r="1322">
      <c r="A1322" s="148"/>
      <c r="B1322" s="75"/>
      <c r="C1322" s="75"/>
      <c r="D1322" s="75"/>
      <c r="E1322" s="75"/>
      <c r="F1322" s="75"/>
      <c r="G1322" s="75"/>
      <c r="H1322" s="75"/>
      <c r="I1322" s="75"/>
      <c r="J1322" s="166"/>
      <c r="K1322" s="191"/>
    </row>
    <row r="1323">
      <c r="A1323" s="148"/>
      <c r="B1323" s="75"/>
      <c r="C1323" s="75"/>
      <c r="D1323" s="75"/>
      <c r="E1323" s="75"/>
      <c r="F1323" s="75"/>
      <c r="G1323" s="75"/>
      <c r="H1323" s="75"/>
      <c r="I1323" s="75"/>
      <c r="J1323" s="166"/>
      <c r="K1323" s="191"/>
    </row>
    <row r="1324">
      <c r="A1324" s="148"/>
      <c r="B1324" s="75"/>
      <c r="C1324" s="75"/>
      <c r="D1324" s="75"/>
      <c r="E1324" s="75"/>
      <c r="F1324" s="75"/>
      <c r="G1324" s="75"/>
      <c r="H1324" s="75"/>
      <c r="I1324" s="75"/>
      <c r="J1324" s="166"/>
      <c r="K1324" s="191"/>
    </row>
    <row r="1325">
      <c r="A1325" s="148"/>
      <c r="B1325" s="75"/>
      <c r="C1325" s="75"/>
      <c r="D1325" s="75"/>
      <c r="E1325" s="75"/>
      <c r="F1325" s="75"/>
      <c r="G1325" s="75"/>
      <c r="H1325" s="75"/>
      <c r="I1325" s="75"/>
      <c r="J1325" s="166"/>
      <c r="K1325" s="191"/>
    </row>
    <row r="1326">
      <c r="A1326" s="148"/>
      <c r="B1326" s="75"/>
      <c r="C1326" s="75"/>
      <c r="D1326" s="75"/>
      <c r="E1326" s="75"/>
      <c r="F1326" s="75"/>
      <c r="G1326" s="75"/>
      <c r="H1326" s="75"/>
      <c r="I1326" s="75"/>
      <c r="J1326" s="166"/>
      <c r="K1326" s="191"/>
    </row>
    <row r="1327">
      <c r="A1327" s="148"/>
      <c r="B1327" s="75"/>
      <c r="C1327" s="75"/>
      <c r="D1327" s="75"/>
      <c r="E1327" s="75"/>
      <c r="F1327" s="75"/>
      <c r="G1327" s="75"/>
      <c r="H1327" s="75"/>
      <c r="I1327" s="75"/>
      <c r="J1327" s="166"/>
      <c r="K1327" s="191"/>
    </row>
    <row r="1328">
      <c r="A1328" s="148"/>
      <c r="B1328" s="75"/>
      <c r="C1328" s="75"/>
      <c r="D1328" s="75"/>
      <c r="E1328" s="75"/>
      <c r="F1328" s="75"/>
      <c r="G1328" s="75"/>
      <c r="H1328" s="75"/>
      <c r="I1328" s="75"/>
      <c r="J1328" s="166"/>
      <c r="K1328" s="191"/>
    </row>
    <row r="1329">
      <c r="A1329" s="148"/>
      <c r="B1329" s="75"/>
      <c r="C1329" s="75"/>
      <c r="D1329" s="75"/>
      <c r="E1329" s="75"/>
      <c r="F1329" s="75"/>
      <c r="G1329" s="75"/>
      <c r="H1329" s="75"/>
      <c r="I1329" s="75"/>
      <c r="J1329" s="166"/>
      <c r="K1329" s="191"/>
    </row>
    <row r="1330">
      <c r="A1330" s="148"/>
      <c r="B1330" s="75"/>
      <c r="C1330" s="75"/>
      <c r="D1330" s="75"/>
      <c r="E1330" s="75"/>
      <c r="F1330" s="75"/>
      <c r="G1330" s="75"/>
      <c r="H1330" s="75"/>
      <c r="I1330" s="75"/>
      <c r="J1330" s="166"/>
      <c r="K1330" s="191"/>
    </row>
    <row r="1331">
      <c r="A1331" s="148"/>
      <c r="B1331" s="75"/>
      <c r="C1331" s="75"/>
      <c r="D1331" s="75"/>
      <c r="E1331" s="75"/>
      <c r="F1331" s="75"/>
      <c r="G1331" s="75"/>
      <c r="H1331" s="75"/>
      <c r="I1331" s="75"/>
      <c r="J1331" s="166"/>
      <c r="K1331" s="191"/>
    </row>
    <row r="1332">
      <c r="A1332" s="148"/>
      <c r="B1332" s="75"/>
      <c r="C1332" s="75"/>
      <c r="D1332" s="75"/>
      <c r="E1332" s="75"/>
      <c r="F1332" s="75"/>
      <c r="G1332" s="75"/>
      <c r="H1332" s="75"/>
      <c r="I1332" s="75"/>
      <c r="J1332" s="166"/>
      <c r="K1332" s="191"/>
    </row>
    <row r="1333">
      <c r="A1333" s="148"/>
      <c r="B1333" s="75"/>
      <c r="C1333" s="75"/>
      <c r="D1333" s="75"/>
      <c r="E1333" s="75"/>
      <c r="F1333" s="75"/>
      <c r="G1333" s="75"/>
      <c r="H1333" s="75"/>
      <c r="I1333" s="75"/>
      <c r="J1333" s="166"/>
      <c r="K1333" s="191"/>
    </row>
    <row r="1334">
      <c r="A1334" s="148"/>
      <c r="B1334" s="75"/>
      <c r="C1334" s="75"/>
      <c r="D1334" s="75"/>
      <c r="E1334" s="75"/>
      <c r="F1334" s="75"/>
      <c r="G1334" s="75"/>
      <c r="H1334" s="75"/>
      <c r="I1334" s="75"/>
      <c r="J1334" s="166"/>
      <c r="K1334" s="191"/>
    </row>
    <row r="1335">
      <c r="A1335" s="148"/>
      <c r="B1335" s="75"/>
      <c r="C1335" s="75"/>
      <c r="D1335" s="75"/>
      <c r="E1335" s="75"/>
      <c r="F1335" s="75"/>
      <c r="G1335" s="75"/>
      <c r="H1335" s="75"/>
      <c r="I1335" s="75"/>
      <c r="J1335" s="166"/>
      <c r="K1335" s="191"/>
    </row>
    <row r="1336">
      <c r="A1336" s="148"/>
      <c r="B1336" s="75"/>
      <c r="C1336" s="75"/>
      <c r="D1336" s="75"/>
      <c r="E1336" s="75"/>
      <c r="F1336" s="75"/>
      <c r="G1336" s="75"/>
      <c r="H1336" s="75"/>
      <c r="I1336" s="75"/>
      <c r="J1336" s="166"/>
      <c r="K1336" s="191"/>
    </row>
    <row r="1337">
      <c r="A1337" s="148"/>
      <c r="B1337" s="75"/>
      <c r="C1337" s="75"/>
      <c r="D1337" s="75"/>
      <c r="E1337" s="75"/>
      <c r="F1337" s="75"/>
      <c r="G1337" s="75"/>
      <c r="H1337" s="75"/>
      <c r="I1337" s="75"/>
      <c r="J1337" s="166"/>
      <c r="K1337" s="191"/>
    </row>
    <row r="1338">
      <c r="A1338" s="148"/>
      <c r="B1338" s="75"/>
      <c r="C1338" s="75"/>
      <c r="D1338" s="75"/>
      <c r="E1338" s="75"/>
      <c r="F1338" s="75"/>
      <c r="G1338" s="75"/>
      <c r="H1338" s="75"/>
      <c r="I1338" s="75"/>
      <c r="J1338" s="166"/>
      <c r="K1338" s="191"/>
    </row>
    <row r="1339">
      <c r="A1339" s="148"/>
      <c r="B1339" s="75"/>
      <c r="C1339" s="75"/>
      <c r="D1339" s="75"/>
      <c r="E1339" s="75"/>
      <c r="F1339" s="75"/>
      <c r="G1339" s="75"/>
      <c r="H1339" s="75"/>
      <c r="I1339" s="75"/>
      <c r="J1339" s="166"/>
      <c r="K1339" s="191"/>
    </row>
    <row r="1340">
      <c r="A1340" s="148"/>
      <c r="B1340" s="75"/>
      <c r="C1340" s="75"/>
      <c r="D1340" s="75"/>
      <c r="E1340" s="75"/>
      <c r="F1340" s="75"/>
      <c r="G1340" s="75"/>
      <c r="H1340" s="75"/>
      <c r="I1340" s="75"/>
      <c r="J1340" s="166"/>
      <c r="K1340" s="191"/>
    </row>
    <row r="1341">
      <c r="A1341" s="148"/>
      <c r="B1341" s="75"/>
      <c r="C1341" s="75"/>
      <c r="D1341" s="75"/>
      <c r="E1341" s="75"/>
      <c r="F1341" s="75"/>
      <c r="G1341" s="75"/>
      <c r="H1341" s="75"/>
      <c r="I1341" s="75"/>
      <c r="J1341" s="166"/>
      <c r="K1341" s="191"/>
    </row>
    <row r="1342">
      <c r="A1342" s="148"/>
      <c r="B1342" s="75"/>
      <c r="C1342" s="75"/>
      <c r="D1342" s="75"/>
      <c r="E1342" s="75"/>
      <c r="F1342" s="75"/>
      <c r="G1342" s="75"/>
      <c r="H1342" s="75"/>
      <c r="I1342" s="75"/>
      <c r="J1342" s="166"/>
      <c r="K1342" s="191"/>
    </row>
    <row r="1343">
      <c r="A1343" s="148"/>
      <c r="B1343" s="75"/>
      <c r="C1343" s="75"/>
      <c r="D1343" s="75"/>
      <c r="E1343" s="75"/>
      <c r="F1343" s="75"/>
      <c r="G1343" s="75"/>
      <c r="H1343" s="75"/>
      <c r="I1343" s="75"/>
      <c r="J1343" s="166"/>
      <c r="K1343" s="191"/>
    </row>
    <row r="1344">
      <c r="A1344" s="148"/>
      <c r="B1344" s="75"/>
      <c r="C1344" s="75"/>
      <c r="D1344" s="75"/>
      <c r="E1344" s="75"/>
      <c r="F1344" s="75"/>
      <c r="G1344" s="75"/>
      <c r="H1344" s="75"/>
      <c r="I1344" s="75"/>
      <c r="J1344" s="166"/>
      <c r="K1344" s="191"/>
    </row>
    <row r="1345">
      <c r="A1345" s="148"/>
      <c r="B1345" s="75"/>
      <c r="C1345" s="75"/>
      <c r="D1345" s="75"/>
      <c r="E1345" s="75"/>
      <c r="F1345" s="75"/>
      <c r="G1345" s="75"/>
      <c r="H1345" s="75"/>
      <c r="I1345" s="75"/>
      <c r="J1345" s="166"/>
      <c r="K1345" s="191"/>
    </row>
    <row r="1346">
      <c r="A1346" s="148"/>
      <c r="B1346" s="75"/>
      <c r="C1346" s="75"/>
      <c r="D1346" s="75"/>
      <c r="E1346" s="75"/>
      <c r="F1346" s="75"/>
      <c r="G1346" s="75"/>
      <c r="H1346" s="75"/>
      <c r="I1346" s="75"/>
      <c r="J1346" s="166"/>
      <c r="K1346" s="191"/>
    </row>
    <row r="1347">
      <c r="A1347" s="148"/>
      <c r="B1347" s="75"/>
      <c r="C1347" s="75"/>
      <c r="D1347" s="75"/>
      <c r="E1347" s="75"/>
      <c r="F1347" s="75"/>
      <c r="G1347" s="75"/>
      <c r="H1347" s="75"/>
      <c r="I1347" s="75"/>
      <c r="J1347" s="166"/>
      <c r="K1347" s="191"/>
    </row>
    <row r="1348">
      <c r="A1348" s="148"/>
      <c r="B1348" s="75"/>
      <c r="C1348" s="75"/>
      <c r="D1348" s="75"/>
      <c r="E1348" s="75"/>
      <c r="F1348" s="75"/>
      <c r="G1348" s="75"/>
      <c r="H1348" s="75"/>
      <c r="I1348" s="75"/>
      <c r="J1348" s="166"/>
      <c r="K1348" s="191"/>
    </row>
    <row r="1349">
      <c r="A1349" s="148"/>
      <c r="B1349" s="75"/>
      <c r="C1349" s="75"/>
      <c r="D1349" s="75"/>
      <c r="E1349" s="75"/>
      <c r="F1349" s="75"/>
      <c r="G1349" s="75"/>
      <c r="H1349" s="75"/>
      <c r="I1349" s="75"/>
      <c r="J1349" s="166"/>
      <c r="K1349" s="191"/>
    </row>
    <row r="1350">
      <c r="A1350" s="148"/>
      <c r="B1350" s="75"/>
      <c r="C1350" s="75"/>
      <c r="D1350" s="75"/>
      <c r="E1350" s="75"/>
      <c r="F1350" s="75"/>
      <c r="G1350" s="75"/>
      <c r="H1350" s="75"/>
      <c r="I1350" s="75"/>
      <c r="J1350" s="166"/>
      <c r="K1350" s="191"/>
    </row>
    <row r="1351">
      <c r="A1351" s="148"/>
      <c r="B1351" s="75"/>
      <c r="C1351" s="75"/>
      <c r="D1351" s="75"/>
      <c r="E1351" s="75"/>
      <c r="F1351" s="75"/>
      <c r="G1351" s="75"/>
      <c r="H1351" s="75"/>
      <c r="I1351" s="75"/>
      <c r="J1351" s="166"/>
      <c r="K1351" s="191"/>
    </row>
    <row r="1352">
      <c r="A1352" s="148"/>
      <c r="B1352" s="75"/>
      <c r="C1352" s="75"/>
      <c r="D1352" s="75"/>
      <c r="E1352" s="75"/>
      <c r="F1352" s="75"/>
      <c r="G1352" s="75"/>
      <c r="H1352" s="75"/>
      <c r="I1352" s="75"/>
      <c r="J1352" s="166"/>
      <c r="K1352" s="191"/>
    </row>
    <row r="1353">
      <c r="A1353" s="148"/>
      <c r="B1353" s="75"/>
      <c r="C1353" s="75"/>
      <c r="D1353" s="75"/>
      <c r="E1353" s="75"/>
      <c r="F1353" s="75"/>
      <c r="G1353" s="75"/>
      <c r="H1353" s="75"/>
      <c r="I1353" s="75"/>
      <c r="J1353" s="166"/>
      <c r="K1353" s="191"/>
    </row>
    <row r="1354">
      <c r="A1354" s="148"/>
      <c r="B1354" s="75"/>
      <c r="C1354" s="75"/>
      <c r="D1354" s="75"/>
      <c r="E1354" s="75"/>
      <c r="F1354" s="75"/>
      <c r="G1354" s="75"/>
      <c r="H1354" s="75"/>
      <c r="I1354" s="75"/>
      <c r="J1354" s="166"/>
      <c r="K1354" s="191"/>
    </row>
    <row r="1355">
      <c r="A1355" s="148"/>
      <c r="B1355" s="75"/>
      <c r="C1355" s="75"/>
      <c r="D1355" s="75"/>
      <c r="E1355" s="75"/>
      <c r="F1355" s="75"/>
      <c r="G1355" s="75"/>
      <c r="H1355" s="75"/>
      <c r="I1355" s="75"/>
      <c r="J1355" s="166"/>
      <c r="K1355" s="191"/>
    </row>
    <row r="1356">
      <c r="A1356" s="148"/>
      <c r="B1356" s="75"/>
      <c r="C1356" s="75"/>
      <c r="D1356" s="75"/>
      <c r="E1356" s="75"/>
      <c r="F1356" s="75"/>
      <c r="G1356" s="75"/>
      <c r="H1356" s="75"/>
      <c r="I1356" s="75"/>
      <c r="J1356" s="166"/>
      <c r="K1356" s="191"/>
    </row>
    <row r="1357">
      <c r="A1357" s="148"/>
      <c r="B1357" s="75"/>
      <c r="C1357" s="75"/>
      <c r="D1357" s="75"/>
      <c r="E1357" s="75"/>
      <c r="F1357" s="75"/>
      <c r="G1357" s="75"/>
      <c r="H1357" s="75"/>
      <c r="I1357" s="75"/>
      <c r="J1357" s="166"/>
      <c r="K1357" s="191"/>
    </row>
    <row r="1358">
      <c r="A1358" s="148"/>
      <c r="B1358" s="75"/>
      <c r="C1358" s="75"/>
      <c r="D1358" s="75"/>
      <c r="E1358" s="75"/>
      <c r="F1358" s="75"/>
      <c r="G1358" s="75"/>
      <c r="H1358" s="75"/>
      <c r="I1358" s="75"/>
      <c r="J1358" s="166"/>
      <c r="K1358" s="191"/>
    </row>
    <row r="1359">
      <c r="A1359" s="148"/>
      <c r="B1359" s="75"/>
      <c r="C1359" s="75"/>
      <c r="D1359" s="75"/>
      <c r="E1359" s="75"/>
      <c r="F1359" s="75"/>
      <c r="G1359" s="75"/>
      <c r="H1359" s="75"/>
      <c r="I1359" s="75"/>
      <c r="J1359" s="166"/>
      <c r="K1359" s="191"/>
    </row>
    <row r="1360">
      <c r="A1360" s="148"/>
      <c r="B1360" s="75"/>
      <c r="C1360" s="75"/>
      <c r="D1360" s="75"/>
      <c r="E1360" s="75"/>
      <c r="F1360" s="75"/>
      <c r="G1360" s="75"/>
      <c r="H1360" s="75"/>
      <c r="I1360" s="75"/>
      <c r="J1360" s="166"/>
      <c r="K1360" s="191"/>
    </row>
    <row r="1361">
      <c r="A1361" s="148"/>
      <c r="B1361" s="75"/>
      <c r="C1361" s="75"/>
      <c r="D1361" s="75"/>
      <c r="E1361" s="75"/>
      <c r="F1361" s="75"/>
      <c r="G1361" s="75"/>
      <c r="H1361" s="75"/>
      <c r="I1361" s="75"/>
      <c r="J1361" s="166"/>
      <c r="K1361" s="191"/>
    </row>
    <row r="1362">
      <c r="A1362" s="148"/>
      <c r="B1362" s="75"/>
      <c r="C1362" s="75"/>
      <c r="D1362" s="75"/>
      <c r="E1362" s="75"/>
      <c r="F1362" s="75"/>
      <c r="G1362" s="75"/>
      <c r="H1362" s="75"/>
      <c r="I1362" s="75"/>
      <c r="J1362" s="166"/>
      <c r="K1362" s="191"/>
    </row>
    <row r="1363">
      <c r="A1363" s="148"/>
      <c r="B1363" s="75"/>
      <c r="C1363" s="75"/>
      <c r="D1363" s="75"/>
      <c r="E1363" s="75"/>
      <c r="F1363" s="75"/>
      <c r="G1363" s="75"/>
      <c r="H1363" s="75"/>
      <c r="I1363" s="75"/>
      <c r="J1363" s="166"/>
      <c r="K1363" s="191"/>
    </row>
    <row r="1364">
      <c r="A1364" s="148"/>
      <c r="B1364" s="75"/>
      <c r="C1364" s="75"/>
      <c r="D1364" s="75"/>
      <c r="E1364" s="75"/>
      <c r="F1364" s="75"/>
      <c r="G1364" s="75"/>
      <c r="H1364" s="75"/>
      <c r="I1364" s="75"/>
      <c r="J1364" s="166"/>
      <c r="K1364" s="191"/>
    </row>
    <row r="1365">
      <c r="A1365" s="148"/>
      <c r="B1365" s="75"/>
      <c r="C1365" s="75"/>
      <c r="D1365" s="75"/>
      <c r="E1365" s="75"/>
      <c r="F1365" s="75"/>
      <c r="G1365" s="75"/>
      <c r="H1365" s="75"/>
      <c r="I1365" s="75"/>
      <c r="J1365" s="166"/>
      <c r="K1365" s="191"/>
    </row>
    <row r="1366">
      <c r="A1366" s="148"/>
      <c r="B1366" s="75"/>
      <c r="C1366" s="75"/>
      <c r="D1366" s="75"/>
      <c r="E1366" s="75"/>
      <c r="F1366" s="75"/>
      <c r="G1366" s="75"/>
      <c r="H1366" s="75"/>
      <c r="I1366" s="75"/>
      <c r="J1366" s="166"/>
      <c r="K1366" s="191"/>
    </row>
    <row r="1367">
      <c r="A1367" s="148"/>
      <c r="B1367" s="75"/>
      <c r="C1367" s="75"/>
      <c r="D1367" s="75"/>
      <c r="E1367" s="75"/>
      <c r="F1367" s="75"/>
      <c r="G1367" s="75"/>
      <c r="H1367" s="75"/>
      <c r="I1367" s="75"/>
      <c r="J1367" s="166"/>
      <c r="K1367" s="191"/>
    </row>
    <row r="1368">
      <c r="A1368" s="148"/>
      <c r="B1368" s="75"/>
      <c r="C1368" s="75"/>
      <c r="D1368" s="75"/>
      <c r="E1368" s="75"/>
      <c r="F1368" s="75"/>
      <c r="G1368" s="75"/>
      <c r="H1368" s="75"/>
      <c r="I1368" s="75"/>
      <c r="J1368" s="166"/>
      <c r="K1368" s="191"/>
    </row>
    <row r="1369">
      <c r="A1369" s="148"/>
      <c r="B1369" s="75"/>
      <c r="C1369" s="75"/>
      <c r="D1369" s="75"/>
      <c r="E1369" s="75"/>
      <c r="F1369" s="75"/>
      <c r="G1369" s="75"/>
      <c r="H1369" s="75"/>
      <c r="I1369" s="75"/>
      <c r="J1369" s="166"/>
      <c r="K1369" s="191"/>
    </row>
    <row r="1370">
      <c r="A1370" s="148"/>
      <c r="B1370" s="75"/>
      <c r="C1370" s="75"/>
      <c r="D1370" s="75"/>
      <c r="E1370" s="75"/>
      <c r="F1370" s="75"/>
      <c r="G1370" s="75"/>
      <c r="H1370" s="75"/>
      <c r="I1370" s="75"/>
      <c r="J1370" s="166"/>
      <c r="K1370" s="191"/>
    </row>
    <row r="1371">
      <c r="A1371" s="148"/>
      <c r="B1371" s="75"/>
      <c r="C1371" s="75"/>
      <c r="D1371" s="75"/>
      <c r="E1371" s="75"/>
      <c r="F1371" s="75"/>
      <c r="G1371" s="75"/>
      <c r="H1371" s="75"/>
      <c r="I1371" s="75"/>
      <c r="J1371" s="166"/>
      <c r="K1371" s="191"/>
    </row>
    <row r="1372">
      <c r="A1372" s="148"/>
      <c r="B1372" s="75"/>
      <c r="C1372" s="75"/>
      <c r="D1372" s="75"/>
      <c r="E1372" s="75"/>
      <c r="F1372" s="75"/>
      <c r="G1372" s="75"/>
      <c r="H1372" s="75"/>
      <c r="I1372" s="75"/>
      <c r="J1372" s="166"/>
      <c r="K1372" s="191"/>
    </row>
    <row r="1373">
      <c r="A1373" s="148"/>
      <c r="B1373" s="75"/>
      <c r="C1373" s="75"/>
      <c r="D1373" s="75"/>
      <c r="E1373" s="75"/>
      <c r="F1373" s="75"/>
      <c r="G1373" s="75"/>
      <c r="H1373" s="75"/>
      <c r="I1373" s="75"/>
      <c r="J1373" s="166"/>
      <c r="K1373" s="191"/>
    </row>
    <row r="1374">
      <c r="A1374" s="148"/>
      <c r="B1374" s="75"/>
      <c r="C1374" s="75"/>
      <c r="D1374" s="75"/>
      <c r="E1374" s="75"/>
      <c r="F1374" s="75"/>
      <c r="G1374" s="75"/>
      <c r="H1374" s="75"/>
      <c r="I1374" s="75"/>
      <c r="J1374" s="166"/>
      <c r="K1374" s="191"/>
    </row>
    <row r="1375">
      <c r="A1375" s="148"/>
      <c r="B1375" s="75"/>
      <c r="C1375" s="75"/>
      <c r="D1375" s="75"/>
      <c r="E1375" s="75"/>
      <c r="F1375" s="75"/>
      <c r="G1375" s="75"/>
      <c r="H1375" s="75"/>
      <c r="I1375" s="75"/>
      <c r="J1375" s="166"/>
      <c r="K1375" s="191"/>
    </row>
    <row r="1376">
      <c r="A1376" s="148"/>
      <c r="B1376" s="75"/>
      <c r="C1376" s="75"/>
      <c r="D1376" s="75"/>
      <c r="E1376" s="75"/>
      <c r="F1376" s="75"/>
      <c r="G1376" s="75"/>
      <c r="H1376" s="75"/>
      <c r="I1376" s="75"/>
      <c r="J1376" s="166"/>
      <c r="K1376" s="191"/>
    </row>
    <row r="1377">
      <c r="A1377" s="148"/>
      <c r="B1377" s="75"/>
      <c r="C1377" s="75"/>
      <c r="D1377" s="75"/>
      <c r="E1377" s="75"/>
      <c r="F1377" s="75"/>
      <c r="G1377" s="75"/>
      <c r="H1377" s="75"/>
      <c r="I1377" s="75"/>
      <c r="J1377" s="166"/>
      <c r="K1377" s="191"/>
    </row>
    <row r="1378">
      <c r="A1378" s="148"/>
      <c r="B1378" s="75"/>
      <c r="C1378" s="75"/>
      <c r="D1378" s="75"/>
      <c r="E1378" s="75"/>
      <c r="F1378" s="75"/>
      <c r="G1378" s="75"/>
      <c r="H1378" s="75"/>
      <c r="I1378" s="75"/>
      <c r="J1378" s="166"/>
      <c r="K1378" s="191"/>
    </row>
    <row r="1379">
      <c r="A1379" s="148"/>
      <c r="B1379" s="75"/>
      <c r="C1379" s="75"/>
      <c r="D1379" s="75"/>
      <c r="E1379" s="75"/>
      <c r="F1379" s="75"/>
      <c r="G1379" s="75"/>
      <c r="H1379" s="75"/>
      <c r="I1379" s="75"/>
      <c r="J1379" s="166"/>
      <c r="K1379" s="191"/>
    </row>
    <row r="1380">
      <c r="A1380" s="148"/>
      <c r="B1380" s="75"/>
      <c r="C1380" s="75"/>
      <c r="D1380" s="75"/>
      <c r="E1380" s="75"/>
      <c r="F1380" s="75"/>
      <c r="G1380" s="75"/>
      <c r="H1380" s="75"/>
      <c r="I1380" s="75"/>
      <c r="J1380" s="166"/>
      <c r="K1380" s="191"/>
    </row>
    <row r="1381">
      <c r="A1381" s="148"/>
      <c r="B1381" s="75"/>
      <c r="C1381" s="75"/>
      <c r="D1381" s="75"/>
      <c r="E1381" s="75"/>
      <c r="F1381" s="75"/>
      <c r="G1381" s="75"/>
      <c r="H1381" s="75"/>
      <c r="I1381" s="75"/>
      <c r="J1381" s="166"/>
      <c r="K1381" s="191"/>
    </row>
    <row r="1382">
      <c r="A1382" s="148"/>
      <c r="B1382" s="75"/>
      <c r="C1382" s="75"/>
      <c r="D1382" s="75"/>
      <c r="E1382" s="75"/>
      <c r="F1382" s="75"/>
      <c r="G1382" s="75"/>
      <c r="H1382" s="75"/>
      <c r="I1382" s="75"/>
      <c r="J1382" s="166"/>
      <c r="K1382" s="191"/>
    </row>
    <row r="1383">
      <c r="A1383" s="148"/>
      <c r="B1383" s="75"/>
      <c r="C1383" s="75"/>
      <c r="D1383" s="75"/>
      <c r="E1383" s="75"/>
      <c r="F1383" s="75"/>
      <c r="G1383" s="75"/>
      <c r="H1383" s="75"/>
      <c r="I1383" s="75"/>
      <c r="J1383" s="166"/>
      <c r="K1383" s="191"/>
    </row>
    <row r="1384">
      <c r="A1384" s="148"/>
      <c r="B1384" s="75"/>
      <c r="C1384" s="75"/>
      <c r="D1384" s="75"/>
      <c r="E1384" s="75"/>
      <c r="F1384" s="75"/>
      <c r="G1384" s="75"/>
      <c r="H1384" s="75"/>
      <c r="I1384" s="75"/>
      <c r="J1384" s="166"/>
      <c r="K1384" s="191"/>
    </row>
    <row r="1385">
      <c r="A1385" s="148"/>
      <c r="B1385" s="75"/>
      <c r="C1385" s="75"/>
      <c r="D1385" s="75"/>
      <c r="E1385" s="75"/>
      <c r="F1385" s="75"/>
      <c r="G1385" s="75"/>
      <c r="H1385" s="75"/>
      <c r="I1385" s="75"/>
      <c r="J1385" s="166"/>
      <c r="K1385" s="191"/>
    </row>
    <row r="1386">
      <c r="A1386" s="148"/>
      <c r="B1386" s="75"/>
      <c r="C1386" s="75"/>
      <c r="D1386" s="75"/>
      <c r="E1386" s="75"/>
      <c r="F1386" s="75"/>
      <c r="G1386" s="75"/>
      <c r="H1386" s="75"/>
      <c r="I1386" s="75"/>
      <c r="J1386" s="166"/>
      <c r="K1386" s="191"/>
    </row>
    <row r="1387">
      <c r="A1387" s="148"/>
      <c r="B1387" s="75"/>
      <c r="C1387" s="75"/>
      <c r="D1387" s="75"/>
      <c r="E1387" s="75"/>
      <c r="F1387" s="75"/>
      <c r="G1387" s="75"/>
      <c r="H1387" s="75"/>
      <c r="I1387" s="75"/>
      <c r="J1387" s="166"/>
      <c r="K1387" s="191"/>
    </row>
    <row r="1388">
      <c r="A1388" s="148"/>
      <c r="B1388" s="75"/>
      <c r="C1388" s="75"/>
      <c r="D1388" s="75"/>
      <c r="E1388" s="75"/>
      <c r="F1388" s="75"/>
      <c r="G1388" s="75"/>
      <c r="H1388" s="75"/>
      <c r="I1388" s="75"/>
      <c r="J1388" s="166"/>
      <c r="K1388" s="191"/>
    </row>
    <row r="1389">
      <c r="A1389" s="148"/>
      <c r="B1389" s="75"/>
      <c r="C1389" s="75"/>
      <c r="D1389" s="75"/>
      <c r="E1389" s="75"/>
      <c r="F1389" s="75"/>
      <c r="G1389" s="75"/>
      <c r="H1389" s="75"/>
      <c r="I1389" s="75"/>
      <c r="J1389" s="166"/>
      <c r="K1389" s="191"/>
    </row>
    <row r="1390">
      <c r="A1390" s="148"/>
      <c r="B1390" s="75"/>
      <c r="C1390" s="75"/>
      <c r="D1390" s="75"/>
      <c r="E1390" s="75"/>
      <c r="F1390" s="75"/>
      <c r="G1390" s="75"/>
      <c r="H1390" s="75"/>
      <c r="I1390" s="75"/>
      <c r="J1390" s="166"/>
      <c r="K1390" s="191"/>
    </row>
    <row r="1391">
      <c r="A1391" s="148"/>
      <c r="B1391" s="75"/>
      <c r="C1391" s="75"/>
      <c r="D1391" s="75"/>
      <c r="E1391" s="75"/>
      <c r="F1391" s="75"/>
      <c r="G1391" s="75"/>
      <c r="H1391" s="75"/>
      <c r="I1391" s="75"/>
      <c r="J1391" s="166"/>
      <c r="K1391" s="191"/>
    </row>
    <row r="1392">
      <c r="A1392" s="148"/>
      <c r="B1392" s="75"/>
      <c r="C1392" s="75"/>
      <c r="D1392" s="75"/>
      <c r="E1392" s="75"/>
      <c r="F1392" s="75"/>
      <c r="G1392" s="75"/>
      <c r="H1392" s="75"/>
      <c r="I1392" s="75"/>
      <c r="J1392" s="166"/>
      <c r="K1392" s="191"/>
    </row>
    <row r="1393">
      <c r="A1393" s="148"/>
      <c r="B1393" s="75"/>
      <c r="C1393" s="75"/>
      <c r="D1393" s="75"/>
      <c r="E1393" s="75"/>
      <c r="F1393" s="75"/>
      <c r="G1393" s="75"/>
      <c r="H1393" s="75"/>
      <c r="I1393" s="75"/>
      <c r="J1393" s="166"/>
      <c r="K1393" s="191"/>
    </row>
    <row r="1394">
      <c r="A1394" s="148"/>
      <c r="B1394" s="75"/>
      <c r="C1394" s="75"/>
      <c r="D1394" s="75"/>
      <c r="E1394" s="75"/>
      <c r="F1394" s="75"/>
      <c r="G1394" s="75"/>
      <c r="H1394" s="75"/>
      <c r="I1394" s="75"/>
      <c r="J1394" s="166"/>
      <c r="K1394" s="191"/>
    </row>
    <row r="1395">
      <c r="A1395" s="148"/>
      <c r="B1395" s="75"/>
      <c r="C1395" s="75"/>
      <c r="D1395" s="75"/>
      <c r="E1395" s="75"/>
      <c r="F1395" s="75"/>
      <c r="G1395" s="75"/>
      <c r="H1395" s="75"/>
      <c r="I1395" s="75"/>
      <c r="J1395" s="166"/>
      <c r="K1395" s="191"/>
    </row>
    <row r="1396">
      <c r="A1396" s="148"/>
      <c r="B1396" s="75"/>
      <c r="C1396" s="75"/>
      <c r="D1396" s="75"/>
      <c r="E1396" s="75"/>
      <c r="F1396" s="75"/>
      <c r="G1396" s="75"/>
      <c r="H1396" s="75"/>
      <c r="I1396" s="75"/>
      <c r="J1396" s="166"/>
      <c r="K1396" s="191"/>
    </row>
    <row r="1397">
      <c r="A1397" s="148"/>
      <c r="B1397" s="75"/>
      <c r="C1397" s="75"/>
      <c r="D1397" s="75"/>
      <c r="E1397" s="75"/>
      <c r="F1397" s="75"/>
      <c r="G1397" s="75"/>
      <c r="H1397" s="75"/>
      <c r="I1397" s="75"/>
      <c r="J1397" s="166"/>
      <c r="K1397" s="191"/>
    </row>
    <row r="1398">
      <c r="A1398" s="148"/>
      <c r="B1398" s="75"/>
      <c r="C1398" s="75"/>
      <c r="D1398" s="75"/>
      <c r="E1398" s="75"/>
      <c r="F1398" s="75"/>
      <c r="G1398" s="75"/>
      <c r="H1398" s="75"/>
      <c r="I1398" s="75"/>
      <c r="J1398" s="166"/>
      <c r="K1398" s="191"/>
    </row>
    <row r="1399">
      <c r="A1399" s="148"/>
      <c r="B1399" s="75"/>
      <c r="C1399" s="75"/>
      <c r="D1399" s="75"/>
      <c r="E1399" s="75"/>
      <c r="F1399" s="75"/>
      <c r="G1399" s="75"/>
      <c r="H1399" s="75"/>
      <c r="I1399" s="75"/>
      <c r="J1399" s="166"/>
      <c r="K1399" s="191"/>
    </row>
    <row r="1400">
      <c r="A1400" s="148"/>
      <c r="B1400" s="75"/>
      <c r="C1400" s="75"/>
      <c r="D1400" s="75"/>
      <c r="E1400" s="75"/>
      <c r="F1400" s="75"/>
      <c r="G1400" s="75"/>
      <c r="H1400" s="75"/>
      <c r="I1400" s="75"/>
      <c r="J1400" s="166"/>
      <c r="K1400" s="191"/>
    </row>
    <row r="1401">
      <c r="A1401" s="148"/>
      <c r="B1401" s="75"/>
      <c r="C1401" s="75"/>
      <c r="D1401" s="75"/>
      <c r="E1401" s="75"/>
      <c r="F1401" s="75"/>
      <c r="G1401" s="75"/>
      <c r="H1401" s="75"/>
      <c r="I1401" s="75"/>
      <c r="J1401" s="166"/>
      <c r="K1401" s="191"/>
    </row>
    <row r="1402">
      <c r="A1402" s="148"/>
      <c r="B1402" s="75"/>
      <c r="C1402" s="75"/>
      <c r="D1402" s="75"/>
      <c r="E1402" s="75"/>
      <c r="F1402" s="75"/>
      <c r="G1402" s="75"/>
      <c r="H1402" s="75"/>
      <c r="I1402" s="75"/>
      <c r="J1402" s="166"/>
      <c r="K1402" s="191"/>
    </row>
    <row r="1403">
      <c r="A1403" s="148"/>
      <c r="B1403" s="75"/>
      <c r="C1403" s="75"/>
      <c r="D1403" s="75"/>
      <c r="E1403" s="75"/>
      <c r="F1403" s="75"/>
      <c r="G1403" s="75"/>
      <c r="H1403" s="75"/>
      <c r="I1403" s="75"/>
      <c r="J1403" s="166"/>
      <c r="K1403" s="191"/>
    </row>
    <row r="1404">
      <c r="A1404" s="148"/>
      <c r="B1404" s="75"/>
      <c r="C1404" s="75"/>
      <c r="D1404" s="75"/>
      <c r="E1404" s="75"/>
      <c r="F1404" s="75"/>
      <c r="G1404" s="75"/>
      <c r="H1404" s="75"/>
      <c r="I1404" s="75"/>
      <c r="J1404" s="166"/>
      <c r="K1404" s="191"/>
    </row>
    <row r="1405">
      <c r="A1405" s="148"/>
      <c r="B1405" s="75"/>
      <c r="C1405" s="75"/>
      <c r="D1405" s="75"/>
      <c r="E1405" s="75"/>
      <c r="F1405" s="75"/>
      <c r="G1405" s="75"/>
      <c r="H1405" s="75"/>
      <c r="I1405" s="75"/>
      <c r="J1405" s="166"/>
      <c r="K1405" s="191"/>
    </row>
    <row r="1406">
      <c r="A1406" s="148"/>
      <c r="B1406" s="75"/>
      <c r="C1406" s="75"/>
      <c r="D1406" s="75"/>
      <c r="E1406" s="75"/>
      <c r="F1406" s="75"/>
      <c r="G1406" s="75"/>
      <c r="H1406" s="75"/>
      <c r="I1406" s="75"/>
      <c r="J1406" s="166"/>
      <c r="K1406" s="191"/>
    </row>
    <row r="1407">
      <c r="A1407" s="148"/>
      <c r="B1407" s="75"/>
      <c r="C1407" s="75"/>
      <c r="D1407" s="75"/>
      <c r="E1407" s="75"/>
      <c r="F1407" s="75"/>
      <c r="G1407" s="75"/>
      <c r="H1407" s="75"/>
      <c r="I1407" s="75"/>
      <c r="J1407" s="166"/>
      <c r="K1407" s="191"/>
    </row>
    <row r="1408">
      <c r="A1408" s="148"/>
      <c r="B1408" s="75"/>
      <c r="C1408" s="75"/>
      <c r="D1408" s="75"/>
      <c r="E1408" s="75"/>
      <c r="F1408" s="75"/>
      <c r="G1408" s="75"/>
      <c r="H1408" s="75"/>
      <c r="I1408" s="75"/>
      <c r="J1408" s="166"/>
      <c r="K1408" s="191"/>
    </row>
    <row r="1409">
      <c r="A1409" s="148"/>
      <c r="B1409" s="75"/>
      <c r="C1409" s="75"/>
      <c r="D1409" s="75"/>
      <c r="E1409" s="75"/>
      <c r="F1409" s="75"/>
      <c r="G1409" s="75"/>
      <c r="H1409" s="75"/>
      <c r="I1409" s="75"/>
      <c r="J1409" s="166"/>
      <c r="K1409" s="191"/>
    </row>
    <row r="1410">
      <c r="A1410" s="148"/>
      <c r="B1410" s="75"/>
      <c r="C1410" s="75"/>
      <c r="D1410" s="75"/>
      <c r="E1410" s="75"/>
      <c r="F1410" s="75"/>
      <c r="G1410" s="75"/>
      <c r="H1410" s="75"/>
      <c r="I1410" s="75"/>
      <c r="J1410" s="166"/>
      <c r="K1410" s="191"/>
    </row>
    <row r="1411">
      <c r="A1411" s="148"/>
      <c r="B1411" s="75"/>
      <c r="C1411" s="75"/>
      <c r="D1411" s="75"/>
      <c r="E1411" s="75"/>
      <c r="F1411" s="75"/>
      <c r="G1411" s="75"/>
      <c r="H1411" s="75"/>
      <c r="I1411" s="75"/>
      <c r="J1411" s="166"/>
      <c r="K1411" s="191"/>
    </row>
    <row r="1412">
      <c r="A1412" s="148"/>
      <c r="B1412" s="75"/>
      <c r="C1412" s="75"/>
      <c r="D1412" s="75"/>
      <c r="E1412" s="75"/>
      <c r="F1412" s="75"/>
      <c r="G1412" s="75"/>
      <c r="H1412" s="75"/>
      <c r="I1412" s="75"/>
      <c r="J1412" s="166"/>
      <c r="K1412" s="191"/>
    </row>
    <row r="1413">
      <c r="A1413" s="148"/>
      <c r="B1413" s="75"/>
      <c r="C1413" s="75"/>
      <c r="D1413" s="75"/>
      <c r="E1413" s="75"/>
      <c r="F1413" s="75"/>
      <c r="G1413" s="75"/>
      <c r="H1413" s="75"/>
      <c r="I1413" s="75"/>
      <c r="J1413" s="166"/>
      <c r="K1413" s="191"/>
    </row>
    <row r="1414">
      <c r="A1414" s="148"/>
      <c r="B1414" s="75"/>
      <c r="C1414" s="75"/>
      <c r="D1414" s="75"/>
      <c r="E1414" s="75"/>
      <c r="F1414" s="75"/>
      <c r="G1414" s="75"/>
      <c r="H1414" s="75"/>
      <c r="I1414" s="75"/>
      <c r="J1414" s="166"/>
      <c r="K1414" s="191"/>
    </row>
    <row r="1415">
      <c r="A1415" s="148"/>
      <c r="B1415" s="75"/>
      <c r="C1415" s="75"/>
      <c r="D1415" s="75"/>
      <c r="E1415" s="75"/>
      <c r="F1415" s="75"/>
      <c r="G1415" s="75"/>
      <c r="H1415" s="75"/>
      <c r="I1415" s="75"/>
      <c r="J1415" s="166"/>
      <c r="K1415" s="191"/>
    </row>
    <row r="1416">
      <c r="A1416" s="148"/>
      <c r="B1416" s="75"/>
      <c r="C1416" s="75"/>
      <c r="D1416" s="75"/>
      <c r="E1416" s="75"/>
      <c r="F1416" s="75"/>
      <c r="G1416" s="75"/>
      <c r="H1416" s="75"/>
      <c r="I1416" s="75"/>
      <c r="J1416" s="166"/>
      <c r="K1416" s="191"/>
    </row>
    <row r="1417">
      <c r="A1417" s="148"/>
      <c r="B1417" s="75"/>
      <c r="C1417" s="75"/>
      <c r="D1417" s="75"/>
      <c r="E1417" s="75"/>
      <c r="F1417" s="75"/>
      <c r="G1417" s="75"/>
      <c r="H1417" s="75"/>
      <c r="I1417" s="75"/>
      <c r="J1417" s="166"/>
      <c r="K1417" s="191"/>
    </row>
    <row r="1418">
      <c r="A1418" s="148"/>
      <c r="B1418" s="75"/>
      <c r="C1418" s="75"/>
      <c r="D1418" s="75"/>
      <c r="E1418" s="75"/>
      <c r="F1418" s="75"/>
      <c r="G1418" s="75"/>
      <c r="H1418" s="75"/>
      <c r="I1418" s="75"/>
      <c r="J1418" s="166"/>
      <c r="K1418" s="191"/>
    </row>
    <row r="1419">
      <c r="A1419" s="148"/>
      <c r="B1419" s="75"/>
      <c r="C1419" s="75"/>
      <c r="D1419" s="75"/>
      <c r="E1419" s="75"/>
      <c r="F1419" s="75"/>
      <c r="G1419" s="75"/>
      <c r="H1419" s="75"/>
      <c r="I1419" s="75"/>
      <c r="J1419" s="166"/>
      <c r="K1419" s="191"/>
    </row>
    <row r="1420">
      <c r="A1420" s="148"/>
      <c r="B1420" s="75"/>
      <c r="C1420" s="75"/>
      <c r="D1420" s="75"/>
      <c r="E1420" s="75"/>
      <c r="F1420" s="75"/>
      <c r="G1420" s="75"/>
      <c r="H1420" s="75"/>
      <c r="I1420" s="75"/>
      <c r="J1420" s="166"/>
      <c r="K1420" s="191"/>
    </row>
    <row r="1421">
      <c r="A1421" s="148"/>
      <c r="B1421" s="75"/>
      <c r="C1421" s="75"/>
      <c r="D1421" s="75"/>
      <c r="E1421" s="75"/>
      <c r="F1421" s="75"/>
      <c r="G1421" s="75"/>
      <c r="H1421" s="75"/>
      <c r="I1421" s="75"/>
      <c r="J1421" s="166"/>
      <c r="K1421" s="191"/>
    </row>
    <row r="1422">
      <c r="A1422" s="148"/>
      <c r="B1422" s="75"/>
      <c r="C1422" s="75"/>
      <c r="D1422" s="75"/>
      <c r="E1422" s="75"/>
      <c r="F1422" s="75"/>
      <c r="G1422" s="75"/>
      <c r="H1422" s="75"/>
      <c r="I1422" s="75"/>
      <c r="J1422" s="166"/>
      <c r="K1422" s="191"/>
    </row>
    <row r="1423">
      <c r="A1423" s="148"/>
      <c r="B1423" s="75"/>
      <c r="C1423" s="75"/>
      <c r="D1423" s="75"/>
      <c r="E1423" s="75"/>
      <c r="F1423" s="75"/>
      <c r="G1423" s="75"/>
      <c r="H1423" s="75"/>
      <c r="I1423" s="75"/>
      <c r="J1423" s="166"/>
      <c r="K1423" s="191"/>
    </row>
    <row r="1424">
      <c r="A1424" s="148"/>
      <c r="B1424" s="75"/>
      <c r="C1424" s="75"/>
      <c r="D1424" s="75"/>
      <c r="E1424" s="75"/>
      <c r="F1424" s="75"/>
      <c r="G1424" s="75"/>
      <c r="H1424" s="75"/>
      <c r="I1424" s="75"/>
      <c r="J1424" s="166"/>
      <c r="K1424" s="191"/>
    </row>
    <row r="1425">
      <c r="A1425" s="148"/>
      <c r="B1425" s="75"/>
      <c r="C1425" s="75"/>
      <c r="D1425" s="75"/>
      <c r="E1425" s="75"/>
      <c r="F1425" s="75"/>
      <c r="G1425" s="75"/>
      <c r="H1425" s="75"/>
      <c r="I1425" s="75"/>
      <c r="J1425" s="166"/>
      <c r="K1425" s="191"/>
    </row>
    <row r="1426">
      <c r="A1426" s="148"/>
      <c r="B1426" s="75"/>
      <c r="C1426" s="75"/>
      <c r="D1426" s="75"/>
      <c r="E1426" s="75"/>
      <c r="F1426" s="75"/>
      <c r="G1426" s="75"/>
      <c r="H1426" s="75"/>
      <c r="I1426" s="75"/>
      <c r="J1426" s="166"/>
      <c r="K1426" s="191"/>
    </row>
    <row r="1427">
      <c r="A1427" s="148"/>
      <c r="B1427" s="75"/>
      <c r="C1427" s="75"/>
      <c r="D1427" s="75"/>
      <c r="E1427" s="75"/>
      <c r="F1427" s="75"/>
      <c r="G1427" s="75"/>
      <c r="H1427" s="75"/>
      <c r="I1427" s="75"/>
      <c r="J1427" s="166"/>
      <c r="K1427" s="191"/>
    </row>
    <row r="1428">
      <c r="A1428" s="148"/>
      <c r="B1428" s="75"/>
      <c r="C1428" s="75"/>
      <c r="D1428" s="75"/>
      <c r="E1428" s="75"/>
      <c r="F1428" s="75"/>
      <c r="G1428" s="75"/>
      <c r="H1428" s="75"/>
      <c r="I1428" s="75"/>
      <c r="J1428" s="166"/>
      <c r="K1428" s="191"/>
    </row>
    <row r="1429">
      <c r="A1429" s="148"/>
      <c r="B1429" s="75"/>
      <c r="C1429" s="75"/>
      <c r="D1429" s="75"/>
      <c r="E1429" s="75"/>
      <c r="F1429" s="75"/>
      <c r="G1429" s="75"/>
      <c r="H1429" s="75"/>
      <c r="I1429" s="75"/>
      <c r="J1429" s="166"/>
      <c r="K1429" s="191"/>
    </row>
    <row r="1430">
      <c r="A1430" s="148"/>
      <c r="B1430" s="75"/>
      <c r="C1430" s="75"/>
      <c r="D1430" s="75"/>
      <c r="E1430" s="75"/>
      <c r="F1430" s="75"/>
      <c r="G1430" s="75"/>
      <c r="H1430" s="75"/>
      <c r="I1430" s="75"/>
      <c r="J1430" s="166"/>
      <c r="K1430" s="191"/>
    </row>
    <row r="1431">
      <c r="A1431" s="148"/>
      <c r="B1431" s="75"/>
      <c r="C1431" s="75"/>
      <c r="D1431" s="75"/>
      <c r="E1431" s="75"/>
      <c r="F1431" s="75"/>
      <c r="G1431" s="75"/>
      <c r="H1431" s="75"/>
      <c r="I1431" s="75"/>
      <c r="J1431" s="166"/>
      <c r="K1431" s="191"/>
    </row>
    <row r="1432">
      <c r="A1432" s="148"/>
      <c r="B1432" s="75"/>
      <c r="C1432" s="75"/>
      <c r="D1432" s="75"/>
      <c r="E1432" s="75"/>
      <c r="F1432" s="75"/>
      <c r="G1432" s="75"/>
      <c r="H1432" s="75"/>
      <c r="I1432" s="75"/>
      <c r="J1432" s="166"/>
      <c r="K1432" s="191"/>
    </row>
    <row r="1433">
      <c r="A1433" s="148"/>
      <c r="B1433" s="75"/>
      <c r="C1433" s="75"/>
      <c r="D1433" s="75"/>
      <c r="E1433" s="75"/>
      <c r="F1433" s="75"/>
      <c r="G1433" s="75"/>
      <c r="H1433" s="75"/>
      <c r="I1433" s="75"/>
      <c r="J1433" s="166"/>
      <c r="K1433" s="191"/>
    </row>
    <row r="1434">
      <c r="A1434" s="148"/>
      <c r="B1434" s="75"/>
      <c r="C1434" s="75"/>
      <c r="D1434" s="75"/>
      <c r="E1434" s="75"/>
      <c r="F1434" s="75"/>
      <c r="G1434" s="75"/>
      <c r="H1434" s="75"/>
      <c r="I1434" s="75"/>
      <c r="J1434" s="166"/>
      <c r="K1434" s="191"/>
    </row>
    <row r="1435">
      <c r="A1435" s="148"/>
      <c r="B1435" s="75"/>
      <c r="C1435" s="75"/>
      <c r="D1435" s="75"/>
      <c r="E1435" s="75"/>
      <c r="F1435" s="75"/>
      <c r="G1435" s="75"/>
      <c r="H1435" s="75"/>
      <c r="I1435" s="75"/>
      <c r="J1435" s="166"/>
      <c r="K1435" s="191"/>
    </row>
    <row r="1436">
      <c r="A1436" s="148"/>
      <c r="B1436" s="75"/>
      <c r="C1436" s="75"/>
      <c r="D1436" s="75"/>
      <c r="E1436" s="75"/>
      <c r="F1436" s="75"/>
      <c r="G1436" s="75"/>
      <c r="H1436" s="75"/>
      <c r="I1436" s="75"/>
      <c r="J1436" s="166"/>
      <c r="K1436" s="191"/>
    </row>
    <row r="1437">
      <c r="A1437" s="148"/>
      <c r="B1437" s="75"/>
      <c r="C1437" s="75"/>
      <c r="D1437" s="75"/>
      <c r="E1437" s="75"/>
      <c r="F1437" s="75"/>
      <c r="G1437" s="75"/>
      <c r="H1437" s="75"/>
      <c r="I1437" s="75"/>
      <c r="J1437" s="166"/>
      <c r="K1437" s="191"/>
    </row>
    <row r="1438">
      <c r="A1438" s="148"/>
      <c r="B1438" s="75"/>
      <c r="C1438" s="75"/>
      <c r="D1438" s="75"/>
      <c r="E1438" s="75"/>
      <c r="F1438" s="75"/>
      <c r="G1438" s="75"/>
      <c r="H1438" s="75"/>
      <c r="I1438" s="75"/>
      <c r="J1438" s="166"/>
      <c r="K1438" s="191"/>
    </row>
    <row r="1439">
      <c r="A1439" s="148"/>
      <c r="B1439" s="75"/>
      <c r="C1439" s="75"/>
      <c r="D1439" s="75"/>
      <c r="E1439" s="75"/>
      <c r="F1439" s="75"/>
      <c r="G1439" s="75"/>
      <c r="H1439" s="75"/>
      <c r="I1439" s="75"/>
      <c r="J1439" s="166"/>
      <c r="K1439" s="191"/>
    </row>
    <row r="1440">
      <c r="A1440" s="148"/>
      <c r="B1440" s="75"/>
      <c r="C1440" s="75"/>
      <c r="D1440" s="75"/>
      <c r="E1440" s="75"/>
      <c r="F1440" s="75"/>
      <c r="G1440" s="75"/>
      <c r="H1440" s="75"/>
      <c r="I1440" s="75"/>
      <c r="J1440" s="166"/>
      <c r="K1440" s="191"/>
    </row>
    <row r="1441">
      <c r="A1441" s="148"/>
      <c r="B1441" s="75"/>
      <c r="C1441" s="75"/>
      <c r="D1441" s="75"/>
      <c r="E1441" s="75"/>
      <c r="F1441" s="75"/>
      <c r="G1441" s="75"/>
      <c r="H1441" s="75"/>
      <c r="I1441" s="75"/>
      <c r="J1441" s="166"/>
      <c r="K1441" s="191"/>
    </row>
    <row r="1442">
      <c r="A1442" s="148"/>
      <c r="B1442" s="75"/>
      <c r="C1442" s="75"/>
      <c r="D1442" s="75"/>
      <c r="E1442" s="75"/>
      <c r="F1442" s="75"/>
      <c r="G1442" s="75"/>
      <c r="H1442" s="75"/>
      <c r="I1442" s="75"/>
      <c r="J1442" s="166"/>
      <c r="K1442" s="191"/>
    </row>
    <row r="1443">
      <c r="A1443" s="148"/>
      <c r="B1443" s="75"/>
      <c r="C1443" s="75"/>
      <c r="D1443" s="75"/>
      <c r="E1443" s="75"/>
      <c r="F1443" s="75"/>
      <c r="G1443" s="75"/>
      <c r="H1443" s="75"/>
      <c r="I1443" s="75"/>
      <c r="J1443" s="166"/>
      <c r="K1443" s="191"/>
    </row>
    <row r="1444">
      <c r="A1444" s="148"/>
      <c r="B1444" s="75"/>
      <c r="C1444" s="75"/>
      <c r="D1444" s="75"/>
      <c r="E1444" s="75"/>
      <c r="F1444" s="75"/>
      <c r="G1444" s="75"/>
      <c r="H1444" s="75"/>
      <c r="I1444" s="75"/>
      <c r="J1444" s="166"/>
      <c r="K1444" s="191"/>
    </row>
    <row r="1445">
      <c r="A1445" s="148"/>
      <c r="B1445" s="75"/>
      <c r="C1445" s="75"/>
      <c r="D1445" s="75"/>
      <c r="E1445" s="75"/>
      <c r="F1445" s="75"/>
      <c r="G1445" s="75"/>
      <c r="H1445" s="75"/>
      <c r="I1445" s="75"/>
      <c r="J1445" s="166"/>
      <c r="K1445" s="191"/>
    </row>
    <row r="1446">
      <c r="A1446" s="148"/>
      <c r="B1446" s="75"/>
      <c r="C1446" s="75"/>
      <c r="D1446" s="75"/>
      <c r="E1446" s="75"/>
      <c r="F1446" s="75"/>
      <c r="G1446" s="75"/>
      <c r="H1446" s="75"/>
      <c r="I1446" s="75"/>
      <c r="J1446" s="166"/>
      <c r="K1446" s="191"/>
    </row>
    <row r="1447">
      <c r="A1447" s="148"/>
      <c r="B1447" s="75"/>
      <c r="C1447" s="75"/>
      <c r="D1447" s="75"/>
      <c r="E1447" s="75"/>
      <c r="F1447" s="75"/>
      <c r="G1447" s="75"/>
      <c r="H1447" s="75"/>
      <c r="I1447" s="75"/>
      <c r="J1447" s="166"/>
      <c r="K1447" s="191"/>
    </row>
    <row r="1448">
      <c r="A1448" s="148"/>
      <c r="B1448" s="75"/>
      <c r="C1448" s="75"/>
      <c r="D1448" s="75"/>
      <c r="E1448" s="75"/>
      <c r="F1448" s="75"/>
      <c r="G1448" s="75"/>
      <c r="H1448" s="75"/>
      <c r="I1448" s="75"/>
      <c r="J1448" s="166"/>
      <c r="K1448" s="191"/>
    </row>
    <row r="1449">
      <c r="A1449" s="148"/>
      <c r="B1449" s="75"/>
      <c r="C1449" s="75"/>
      <c r="D1449" s="75"/>
      <c r="E1449" s="75"/>
      <c r="F1449" s="75"/>
      <c r="G1449" s="75"/>
      <c r="H1449" s="75"/>
      <c r="I1449" s="75"/>
      <c r="J1449" s="166"/>
      <c r="K1449" s="191"/>
    </row>
    <row r="1450">
      <c r="A1450" s="148"/>
      <c r="B1450" s="75"/>
      <c r="C1450" s="75"/>
      <c r="D1450" s="75"/>
      <c r="E1450" s="75"/>
      <c r="F1450" s="75"/>
      <c r="G1450" s="75"/>
      <c r="H1450" s="75"/>
      <c r="I1450" s="75"/>
      <c r="J1450" s="166"/>
      <c r="K1450" s="191"/>
    </row>
    <row r="1451">
      <c r="A1451" s="148"/>
      <c r="B1451" s="75"/>
      <c r="C1451" s="75"/>
      <c r="D1451" s="75"/>
      <c r="E1451" s="75"/>
      <c r="F1451" s="75"/>
      <c r="G1451" s="75"/>
      <c r="H1451" s="75"/>
      <c r="I1451" s="75"/>
      <c r="J1451" s="166"/>
      <c r="K1451" s="191"/>
    </row>
    <row r="1452">
      <c r="A1452" s="148"/>
      <c r="B1452" s="75"/>
      <c r="C1452" s="75"/>
      <c r="D1452" s="75"/>
      <c r="E1452" s="75"/>
      <c r="F1452" s="75"/>
      <c r="G1452" s="75"/>
      <c r="H1452" s="75"/>
      <c r="I1452" s="75"/>
      <c r="J1452" s="166"/>
      <c r="K1452" s="191"/>
    </row>
    <row r="1453">
      <c r="A1453" s="148"/>
      <c r="B1453" s="75"/>
      <c r="C1453" s="75"/>
      <c r="D1453" s="75"/>
      <c r="E1453" s="75"/>
      <c r="F1453" s="75"/>
      <c r="G1453" s="75"/>
      <c r="H1453" s="75"/>
      <c r="I1453" s="75"/>
      <c r="J1453" s="166"/>
      <c r="K1453" s="191"/>
    </row>
    <row r="1454">
      <c r="A1454" s="148"/>
      <c r="B1454" s="75"/>
      <c r="C1454" s="75"/>
      <c r="D1454" s="75"/>
      <c r="E1454" s="75"/>
      <c r="F1454" s="75"/>
      <c r="G1454" s="75"/>
      <c r="H1454" s="75"/>
      <c r="I1454" s="75"/>
      <c r="J1454" s="166"/>
      <c r="K1454" s="191"/>
    </row>
    <row r="1455">
      <c r="A1455" s="148"/>
      <c r="B1455" s="75"/>
      <c r="C1455" s="75"/>
      <c r="D1455" s="75"/>
      <c r="E1455" s="75"/>
      <c r="F1455" s="75"/>
      <c r="G1455" s="75"/>
      <c r="H1455" s="75"/>
      <c r="I1455" s="75"/>
      <c r="J1455" s="166"/>
      <c r="K1455" s="191"/>
    </row>
    <row r="1456">
      <c r="A1456" s="148"/>
      <c r="B1456" s="75"/>
      <c r="C1456" s="75"/>
      <c r="D1456" s="75"/>
      <c r="E1456" s="75"/>
      <c r="F1456" s="75"/>
      <c r="G1456" s="75"/>
      <c r="H1456" s="75"/>
      <c r="I1456" s="75"/>
      <c r="J1456" s="166"/>
      <c r="K1456" s="191"/>
    </row>
    <row r="1457">
      <c r="A1457" s="148"/>
      <c r="B1457" s="75"/>
      <c r="C1457" s="75"/>
      <c r="D1457" s="75"/>
      <c r="E1457" s="75"/>
      <c r="F1457" s="75"/>
      <c r="G1457" s="75"/>
      <c r="H1457" s="75"/>
      <c r="I1457" s="75"/>
      <c r="J1457" s="166"/>
      <c r="K1457" s="191"/>
    </row>
    <row r="1458">
      <c r="A1458" s="148"/>
      <c r="B1458" s="75"/>
      <c r="C1458" s="75"/>
      <c r="D1458" s="75"/>
      <c r="E1458" s="75"/>
      <c r="F1458" s="75"/>
      <c r="G1458" s="75"/>
      <c r="H1458" s="75"/>
      <c r="I1458" s="75"/>
      <c r="J1458" s="166"/>
      <c r="K1458" s="191"/>
    </row>
    <row r="1459">
      <c r="A1459" s="148"/>
      <c r="B1459" s="75"/>
      <c r="C1459" s="75"/>
      <c r="D1459" s="75"/>
      <c r="E1459" s="75"/>
      <c r="F1459" s="75"/>
      <c r="G1459" s="75"/>
      <c r="H1459" s="75"/>
      <c r="I1459" s="75"/>
      <c r="J1459" s="166"/>
      <c r="K1459" s="191"/>
    </row>
    <row r="1460">
      <c r="A1460" s="148"/>
      <c r="B1460" s="75"/>
      <c r="C1460" s="75"/>
      <c r="D1460" s="75"/>
      <c r="E1460" s="75"/>
      <c r="F1460" s="75"/>
      <c r="G1460" s="75"/>
      <c r="H1460" s="75"/>
      <c r="I1460" s="75"/>
      <c r="J1460" s="166"/>
      <c r="K1460" s="191"/>
    </row>
    <row r="1461">
      <c r="A1461" s="148"/>
      <c r="B1461" s="75"/>
      <c r="C1461" s="75"/>
      <c r="D1461" s="75"/>
      <c r="E1461" s="75"/>
      <c r="F1461" s="75"/>
      <c r="G1461" s="75"/>
      <c r="H1461" s="75"/>
      <c r="I1461" s="75"/>
      <c r="J1461" s="166"/>
      <c r="K1461" s="191"/>
    </row>
    <row r="1462">
      <c r="A1462" s="148"/>
      <c r="B1462" s="75"/>
      <c r="C1462" s="75"/>
      <c r="D1462" s="75"/>
      <c r="E1462" s="75"/>
      <c r="F1462" s="75"/>
      <c r="G1462" s="75"/>
      <c r="H1462" s="75"/>
      <c r="I1462" s="75"/>
      <c r="J1462" s="166"/>
      <c r="K1462" s="191"/>
    </row>
    <row r="1463">
      <c r="A1463" s="148"/>
      <c r="B1463" s="75"/>
      <c r="C1463" s="75"/>
      <c r="D1463" s="75"/>
      <c r="E1463" s="75"/>
      <c r="F1463" s="75"/>
      <c r="G1463" s="75"/>
      <c r="H1463" s="75"/>
      <c r="I1463" s="75"/>
      <c r="J1463" s="166"/>
      <c r="K1463" s="191"/>
    </row>
    <row r="1464">
      <c r="A1464" s="148"/>
      <c r="B1464" s="75"/>
      <c r="C1464" s="75"/>
      <c r="D1464" s="75"/>
      <c r="E1464" s="75"/>
      <c r="F1464" s="75"/>
      <c r="G1464" s="75"/>
      <c r="H1464" s="75"/>
      <c r="I1464" s="75"/>
      <c r="J1464" s="166"/>
      <c r="K1464" s="191"/>
    </row>
    <row r="1465">
      <c r="A1465" s="148"/>
      <c r="B1465" s="75"/>
      <c r="C1465" s="75"/>
      <c r="D1465" s="75"/>
      <c r="E1465" s="75"/>
      <c r="F1465" s="75"/>
      <c r="G1465" s="75"/>
      <c r="H1465" s="75"/>
      <c r="I1465" s="75"/>
      <c r="J1465" s="166"/>
      <c r="K1465" s="191"/>
    </row>
    <row r="1466">
      <c r="A1466" s="148"/>
      <c r="B1466" s="75"/>
      <c r="C1466" s="75"/>
      <c r="D1466" s="75"/>
      <c r="E1466" s="75"/>
      <c r="F1466" s="75"/>
      <c r="G1466" s="75"/>
      <c r="H1466" s="75"/>
      <c r="I1466" s="75"/>
      <c r="J1466" s="166"/>
      <c r="K1466" s="191"/>
    </row>
    <row r="1467">
      <c r="A1467" s="148"/>
      <c r="B1467" s="75"/>
      <c r="C1467" s="75"/>
      <c r="D1467" s="75"/>
      <c r="E1467" s="75"/>
      <c r="F1467" s="75"/>
      <c r="G1467" s="75"/>
      <c r="H1467" s="75"/>
      <c r="I1467" s="75"/>
      <c r="J1467" s="166"/>
      <c r="K1467" s="191"/>
    </row>
    <row r="1468">
      <c r="A1468" s="148"/>
      <c r="B1468" s="75"/>
      <c r="C1468" s="75"/>
      <c r="D1468" s="75"/>
      <c r="E1468" s="75"/>
      <c r="F1468" s="75"/>
      <c r="G1468" s="75"/>
      <c r="H1468" s="75"/>
      <c r="I1468" s="75"/>
      <c r="J1468" s="166"/>
      <c r="K1468" s="191"/>
    </row>
    <row r="1469">
      <c r="A1469" s="148"/>
      <c r="B1469" s="75"/>
      <c r="C1469" s="75"/>
      <c r="D1469" s="75"/>
      <c r="E1469" s="75"/>
      <c r="F1469" s="75"/>
      <c r="G1469" s="75"/>
      <c r="H1469" s="75"/>
      <c r="I1469" s="75"/>
      <c r="J1469" s="166"/>
      <c r="K1469" s="191"/>
    </row>
    <row r="1470">
      <c r="A1470" s="148"/>
      <c r="B1470" s="75"/>
      <c r="C1470" s="75"/>
      <c r="D1470" s="75"/>
      <c r="E1470" s="75"/>
      <c r="F1470" s="75"/>
      <c r="G1470" s="75"/>
      <c r="H1470" s="75"/>
      <c r="I1470" s="75"/>
      <c r="J1470" s="166"/>
      <c r="K1470" s="191"/>
    </row>
    <row r="1471">
      <c r="A1471" s="148"/>
      <c r="B1471" s="75"/>
      <c r="C1471" s="75"/>
      <c r="D1471" s="75"/>
      <c r="E1471" s="75"/>
      <c r="F1471" s="75"/>
      <c r="G1471" s="75"/>
      <c r="H1471" s="75"/>
      <c r="I1471" s="75"/>
      <c r="J1471" s="166"/>
      <c r="K1471" s="191"/>
    </row>
    <row r="1472">
      <c r="A1472" s="148"/>
      <c r="B1472" s="75"/>
      <c r="C1472" s="75"/>
      <c r="D1472" s="75"/>
      <c r="E1472" s="75"/>
      <c r="F1472" s="75"/>
      <c r="G1472" s="75"/>
      <c r="H1472" s="75"/>
      <c r="I1472" s="75"/>
      <c r="J1472" s="166"/>
      <c r="K1472" s="191"/>
    </row>
    <row r="1473">
      <c r="A1473" s="148"/>
      <c r="B1473" s="75"/>
      <c r="C1473" s="75"/>
      <c r="D1473" s="75"/>
      <c r="E1473" s="75"/>
      <c r="F1473" s="75"/>
      <c r="G1473" s="75"/>
      <c r="H1473" s="75"/>
      <c r="I1473" s="75"/>
      <c r="J1473" s="166"/>
      <c r="K1473" s="191"/>
    </row>
    <row r="1474">
      <c r="A1474" s="148"/>
      <c r="B1474" s="75"/>
      <c r="C1474" s="75"/>
      <c r="D1474" s="75"/>
      <c r="E1474" s="75"/>
      <c r="F1474" s="75"/>
      <c r="G1474" s="75"/>
      <c r="H1474" s="75"/>
      <c r="I1474" s="75"/>
      <c r="J1474" s="166"/>
      <c r="K1474" s="191"/>
    </row>
    <row r="1475">
      <c r="A1475" s="148"/>
      <c r="B1475" s="75"/>
      <c r="C1475" s="75"/>
      <c r="D1475" s="75"/>
      <c r="E1475" s="75"/>
      <c r="F1475" s="75"/>
      <c r="G1475" s="75"/>
      <c r="H1475" s="75"/>
      <c r="I1475" s="75"/>
      <c r="J1475" s="166"/>
      <c r="K1475" s="191"/>
    </row>
    <row r="1476">
      <c r="A1476" s="148"/>
      <c r="B1476" s="75"/>
      <c r="C1476" s="75"/>
      <c r="D1476" s="75"/>
      <c r="E1476" s="75"/>
      <c r="F1476" s="75"/>
      <c r="G1476" s="75"/>
      <c r="H1476" s="75"/>
      <c r="I1476" s="75"/>
      <c r="J1476" s="166"/>
      <c r="K1476" s="191"/>
    </row>
    <row r="1477">
      <c r="A1477" s="148"/>
      <c r="B1477" s="75"/>
      <c r="C1477" s="75"/>
      <c r="D1477" s="75"/>
      <c r="E1477" s="75"/>
      <c r="F1477" s="75"/>
      <c r="G1477" s="75"/>
      <c r="H1477" s="75"/>
      <c r="I1477" s="75"/>
      <c r="J1477" s="166"/>
      <c r="K1477" s="191"/>
    </row>
    <row r="1478">
      <c r="A1478" s="148"/>
      <c r="B1478" s="75"/>
      <c r="C1478" s="75"/>
      <c r="D1478" s="75"/>
      <c r="E1478" s="75"/>
      <c r="F1478" s="75"/>
      <c r="G1478" s="75"/>
      <c r="H1478" s="75"/>
      <c r="I1478" s="75"/>
      <c r="J1478" s="166"/>
      <c r="K1478" s="191"/>
    </row>
    <row r="1479">
      <c r="A1479" s="148"/>
      <c r="B1479" s="75"/>
      <c r="C1479" s="75"/>
      <c r="D1479" s="75"/>
      <c r="E1479" s="75"/>
      <c r="F1479" s="75"/>
      <c r="G1479" s="75"/>
      <c r="H1479" s="75"/>
      <c r="I1479" s="75"/>
      <c r="J1479" s="166"/>
      <c r="K1479" s="191"/>
    </row>
    <row r="1480">
      <c r="A1480" s="148"/>
      <c r="B1480" s="75"/>
      <c r="C1480" s="75"/>
      <c r="D1480" s="75"/>
      <c r="E1480" s="75"/>
      <c r="F1480" s="75"/>
      <c r="G1480" s="75"/>
      <c r="H1480" s="75"/>
      <c r="I1480" s="75"/>
      <c r="J1480" s="166"/>
      <c r="K1480" s="191"/>
    </row>
    <row r="1481">
      <c r="A1481" s="148"/>
      <c r="B1481" s="75"/>
      <c r="C1481" s="75"/>
      <c r="D1481" s="75"/>
      <c r="E1481" s="75"/>
      <c r="F1481" s="75"/>
      <c r="G1481" s="75"/>
      <c r="H1481" s="75"/>
      <c r="I1481" s="75"/>
      <c r="J1481" s="166"/>
      <c r="K1481" s="191"/>
    </row>
    <row r="1482">
      <c r="A1482" s="148"/>
      <c r="B1482" s="75"/>
      <c r="C1482" s="75"/>
      <c r="D1482" s="75"/>
      <c r="E1482" s="75"/>
      <c r="F1482" s="75"/>
      <c r="G1482" s="75"/>
      <c r="H1482" s="75"/>
      <c r="I1482" s="75"/>
      <c r="J1482" s="166"/>
      <c r="K1482" s="191"/>
    </row>
    <row r="1483">
      <c r="A1483" s="148"/>
      <c r="B1483" s="75"/>
      <c r="C1483" s="75"/>
      <c r="D1483" s="75"/>
      <c r="E1483" s="75"/>
      <c r="F1483" s="75"/>
      <c r="G1483" s="75"/>
      <c r="H1483" s="75"/>
      <c r="I1483" s="75"/>
      <c r="J1483" s="166"/>
      <c r="K1483" s="191"/>
    </row>
    <row r="1484">
      <c r="A1484" s="148"/>
      <c r="B1484" s="75"/>
      <c r="C1484" s="75"/>
      <c r="D1484" s="75"/>
      <c r="E1484" s="75"/>
      <c r="F1484" s="75"/>
      <c r="G1484" s="75"/>
      <c r="H1484" s="75"/>
      <c r="I1484" s="75"/>
      <c r="J1484" s="166"/>
      <c r="K1484" s="191"/>
    </row>
    <row r="1485">
      <c r="A1485" s="148"/>
      <c r="B1485" s="75"/>
      <c r="C1485" s="75"/>
      <c r="D1485" s="75"/>
      <c r="E1485" s="75"/>
      <c r="F1485" s="75"/>
      <c r="G1485" s="75"/>
      <c r="H1485" s="75"/>
      <c r="I1485" s="75"/>
      <c r="J1485" s="166"/>
      <c r="K1485" s="191"/>
    </row>
    <row r="1486">
      <c r="A1486" s="148"/>
      <c r="B1486" s="75"/>
      <c r="C1486" s="75"/>
      <c r="D1486" s="75"/>
      <c r="E1486" s="75"/>
      <c r="F1486" s="75"/>
      <c r="G1486" s="75"/>
      <c r="H1486" s="75"/>
      <c r="I1486" s="75"/>
      <c r="J1486" s="166"/>
      <c r="K1486" s="191"/>
    </row>
    <row r="1487">
      <c r="A1487" s="148"/>
      <c r="B1487" s="75"/>
      <c r="C1487" s="75"/>
      <c r="D1487" s="75"/>
      <c r="E1487" s="75"/>
      <c r="F1487" s="75"/>
      <c r="G1487" s="75"/>
      <c r="H1487" s="75"/>
      <c r="I1487" s="75"/>
      <c r="J1487" s="166"/>
      <c r="K1487" s="191"/>
    </row>
    <row r="1488">
      <c r="A1488" s="148"/>
      <c r="B1488" s="75"/>
      <c r="C1488" s="75"/>
      <c r="D1488" s="75"/>
      <c r="E1488" s="75"/>
      <c r="F1488" s="75"/>
      <c r="G1488" s="75"/>
      <c r="H1488" s="75"/>
      <c r="I1488" s="75"/>
      <c r="J1488" s="166"/>
      <c r="K1488" s="191"/>
    </row>
    <row r="1489">
      <c r="A1489" s="148"/>
      <c r="B1489" s="75"/>
      <c r="C1489" s="75"/>
      <c r="D1489" s="75"/>
      <c r="E1489" s="75"/>
      <c r="F1489" s="75"/>
      <c r="G1489" s="75"/>
      <c r="H1489" s="75"/>
      <c r="I1489" s="75"/>
      <c r="J1489" s="166"/>
      <c r="K1489" s="191"/>
    </row>
    <row r="1490">
      <c r="A1490" s="148"/>
      <c r="B1490" s="75"/>
      <c r="C1490" s="75"/>
      <c r="D1490" s="75"/>
      <c r="E1490" s="75"/>
      <c r="F1490" s="75"/>
      <c r="G1490" s="75"/>
      <c r="H1490" s="75"/>
      <c r="I1490" s="75"/>
      <c r="J1490" s="166"/>
      <c r="K1490" s="191"/>
    </row>
    <row r="1491">
      <c r="A1491" s="148"/>
      <c r="B1491" s="75"/>
      <c r="C1491" s="75"/>
      <c r="D1491" s="75"/>
      <c r="E1491" s="75"/>
      <c r="F1491" s="75"/>
      <c r="G1491" s="75"/>
      <c r="H1491" s="75"/>
      <c r="I1491" s="75"/>
      <c r="J1491" s="166"/>
      <c r="K1491" s="191"/>
    </row>
    <row r="1492">
      <c r="A1492" s="148"/>
      <c r="B1492" s="75"/>
      <c r="C1492" s="75"/>
      <c r="D1492" s="75"/>
      <c r="E1492" s="75"/>
      <c r="F1492" s="75"/>
      <c r="G1492" s="75"/>
      <c r="H1492" s="75"/>
      <c r="I1492" s="75"/>
      <c r="J1492" s="166"/>
      <c r="K1492" s="191"/>
    </row>
    <row r="1493">
      <c r="A1493" s="148"/>
      <c r="B1493" s="75"/>
      <c r="C1493" s="75"/>
      <c r="D1493" s="75"/>
      <c r="E1493" s="75"/>
      <c r="F1493" s="75"/>
      <c r="G1493" s="75"/>
      <c r="H1493" s="75"/>
      <c r="I1493" s="75"/>
      <c r="J1493" s="166"/>
      <c r="K1493" s="191"/>
    </row>
    <row r="1494">
      <c r="A1494" s="148"/>
      <c r="B1494" s="75"/>
      <c r="C1494" s="75"/>
      <c r="D1494" s="75"/>
      <c r="E1494" s="75"/>
      <c r="F1494" s="75"/>
      <c r="G1494" s="75"/>
      <c r="H1494" s="75"/>
      <c r="I1494" s="75"/>
      <c r="J1494" s="166"/>
      <c r="K1494" s="191"/>
    </row>
    <row r="1495">
      <c r="A1495" s="148"/>
      <c r="B1495" s="75"/>
      <c r="C1495" s="75"/>
      <c r="D1495" s="75"/>
      <c r="E1495" s="75"/>
      <c r="F1495" s="75"/>
      <c r="G1495" s="75"/>
      <c r="H1495" s="75"/>
      <c r="I1495" s="75"/>
      <c r="J1495" s="166"/>
      <c r="K1495" s="191"/>
    </row>
    <row r="1496">
      <c r="A1496" s="148"/>
      <c r="B1496" s="75"/>
      <c r="C1496" s="75"/>
      <c r="D1496" s="75"/>
      <c r="E1496" s="75"/>
      <c r="F1496" s="75"/>
      <c r="G1496" s="75"/>
      <c r="H1496" s="75"/>
      <c r="I1496" s="75"/>
      <c r="J1496" s="166"/>
      <c r="K1496" s="191"/>
    </row>
    <row r="1497">
      <c r="A1497" s="148"/>
      <c r="B1497" s="75"/>
      <c r="C1497" s="75"/>
      <c r="D1497" s="75"/>
      <c r="E1497" s="75"/>
      <c r="F1497" s="75"/>
      <c r="G1497" s="75"/>
      <c r="H1497" s="75"/>
      <c r="I1497" s="75"/>
      <c r="J1497" s="166"/>
      <c r="K1497" s="191"/>
    </row>
    <row r="1498">
      <c r="A1498" s="148"/>
      <c r="B1498" s="75"/>
      <c r="C1498" s="75"/>
      <c r="D1498" s="75"/>
      <c r="E1498" s="75"/>
      <c r="F1498" s="75"/>
      <c r="G1498" s="75"/>
      <c r="H1498" s="75"/>
      <c r="I1498" s="75"/>
      <c r="J1498" s="166"/>
      <c r="K1498" s="191"/>
    </row>
    <row r="1499">
      <c r="A1499" s="148"/>
      <c r="B1499" s="75"/>
      <c r="C1499" s="75"/>
      <c r="D1499" s="75"/>
      <c r="E1499" s="75"/>
      <c r="F1499" s="75"/>
      <c r="G1499" s="75"/>
      <c r="H1499" s="75"/>
      <c r="I1499" s="75"/>
      <c r="J1499" s="166"/>
      <c r="K1499" s="191"/>
    </row>
    <row r="1500">
      <c r="A1500" s="148"/>
      <c r="B1500" s="75"/>
      <c r="C1500" s="75"/>
      <c r="D1500" s="75"/>
      <c r="E1500" s="75"/>
      <c r="F1500" s="75"/>
      <c r="G1500" s="75"/>
      <c r="H1500" s="75"/>
      <c r="I1500" s="75"/>
      <c r="J1500" s="166"/>
      <c r="K1500" s="191"/>
    </row>
    <row r="1501">
      <c r="A1501" s="148"/>
      <c r="B1501" s="75"/>
      <c r="C1501" s="75"/>
      <c r="D1501" s="75"/>
      <c r="E1501" s="75"/>
      <c r="F1501" s="75"/>
      <c r="G1501" s="75"/>
      <c r="H1501" s="75"/>
      <c r="I1501" s="75"/>
      <c r="J1501" s="166"/>
      <c r="K1501" s="191"/>
    </row>
    <row r="1502">
      <c r="A1502" s="148"/>
      <c r="B1502" s="75"/>
      <c r="C1502" s="75"/>
      <c r="D1502" s="75"/>
      <c r="E1502" s="75"/>
      <c r="F1502" s="75"/>
      <c r="G1502" s="75"/>
      <c r="H1502" s="75"/>
      <c r="I1502" s="75"/>
      <c r="J1502" s="166"/>
      <c r="K1502" s="191"/>
    </row>
    <row r="1503">
      <c r="A1503" s="148"/>
      <c r="B1503" s="75"/>
      <c r="C1503" s="75"/>
      <c r="D1503" s="75"/>
      <c r="E1503" s="75"/>
      <c r="F1503" s="75"/>
      <c r="G1503" s="75"/>
      <c r="H1503" s="75"/>
      <c r="I1503" s="75"/>
      <c r="J1503" s="166"/>
      <c r="K1503" s="191"/>
    </row>
    <row r="1504">
      <c r="A1504" s="148"/>
      <c r="B1504" s="75"/>
      <c r="C1504" s="75"/>
      <c r="D1504" s="75"/>
      <c r="E1504" s="75"/>
      <c r="F1504" s="75"/>
      <c r="G1504" s="75"/>
      <c r="H1504" s="75"/>
      <c r="I1504" s="75"/>
      <c r="J1504" s="166"/>
      <c r="K1504" s="191"/>
    </row>
    <row r="1505">
      <c r="A1505" s="148"/>
      <c r="B1505" s="75"/>
      <c r="C1505" s="75"/>
      <c r="D1505" s="75"/>
      <c r="E1505" s="75"/>
      <c r="F1505" s="75"/>
      <c r="G1505" s="75"/>
      <c r="H1505" s="75"/>
      <c r="I1505" s="75"/>
      <c r="J1505" s="166"/>
      <c r="K1505" s="191"/>
    </row>
    <row r="1506">
      <c r="A1506" s="148"/>
      <c r="B1506" s="75"/>
      <c r="C1506" s="75"/>
      <c r="D1506" s="75"/>
      <c r="E1506" s="75"/>
      <c r="F1506" s="75"/>
      <c r="G1506" s="75"/>
      <c r="H1506" s="75"/>
      <c r="I1506" s="75"/>
      <c r="J1506" s="166"/>
      <c r="K1506" s="191"/>
    </row>
    <row r="1507">
      <c r="A1507" s="148"/>
      <c r="B1507" s="75"/>
      <c r="C1507" s="75"/>
      <c r="D1507" s="75"/>
      <c r="E1507" s="75"/>
      <c r="F1507" s="75"/>
      <c r="G1507" s="75"/>
      <c r="H1507" s="75"/>
      <c r="I1507" s="75"/>
      <c r="J1507" s="166"/>
      <c r="K1507" s="191"/>
    </row>
    <row r="1508">
      <c r="A1508" s="148"/>
      <c r="B1508" s="75"/>
      <c r="C1508" s="75"/>
      <c r="D1508" s="75"/>
      <c r="E1508" s="75"/>
      <c r="F1508" s="75"/>
      <c r="G1508" s="75"/>
      <c r="H1508" s="75"/>
      <c r="I1508" s="75"/>
      <c r="J1508" s="166"/>
      <c r="K1508" s="191"/>
    </row>
    <row r="1509">
      <c r="A1509" s="148"/>
      <c r="B1509" s="75"/>
      <c r="C1509" s="75"/>
      <c r="D1509" s="75"/>
      <c r="E1509" s="75"/>
      <c r="F1509" s="75"/>
      <c r="G1509" s="75"/>
      <c r="H1509" s="75"/>
      <c r="I1509" s="75"/>
      <c r="J1509" s="166"/>
      <c r="K1509" s="191"/>
    </row>
    <row r="1510">
      <c r="A1510" s="148"/>
      <c r="B1510" s="75"/>
      <c r="C1510" s="75"/>
      <c r="D1510" s="75"/>
      <c r="E1510" s="75"/>
      <c r="F1510" s="75"/>
      <c r="G1510" s="75"/>
      <c r="H1510" s="75"/>
      <c r="I1510" s="75"/>
      <c r="J1510" s="166"/>
      <c r="K1510" s="191"/>
    </row>
    <row r="1511">
      <c r="A1511" s="148"/>
      <c r="B1511" s="75"/>
      <c r="C1511" s="75"/>
      <c r="D1511" s="75"/>
      <c r="E1511" s="75"/>
      <c r="F1511" s="75"/>
      <c r="G1511" s="75"/>
      <c r="H1511" s="75"/>
      <c r="I1511" s="75"/>
      <c r="J1511" s="166"/>
      <c r="K1511" s="191"/>
    </row>
    <row r="1512">
      <c r="A1512" s="148"/>
      <c r="B1512" s="75"/>
      <c r="C1512" s="75"/>
      <c r="D1512" s="75"/>
      <c r="E1512" s="75"/>
      <c r="F1512" s="75"/>
      <c r="G1512" s="75"/>
      <c r="H1512" s="75"/>
      <c r="I1512" s="75"/>
      <c r="J1512" s="166"/>
      <c r="K1512" s="191"/>
    </row>
    <row r="1513">
      <c r="A1513" s="148"/>
      <c r="B1513" s="75"/>
      <c r="C1513" s="75"/>
      <c r="D1513" s="75"/>
      <c r="E1513" s="75"/>
      <c r="F1513" s="75"/>
      <c r="G1513" s="75"/>
      <c r="H1513" s="75"/>
      <c r="I1513" s="75"/>
      <c r="J1513" s="166"/>
      <c r="K1513" s="191"/>
    </row>
    <row r="1514">
      <c r="A1514" s="148"/>
      <c r="B1514" s="75"/>
      <c r="C1514" s="75"/>
      <c r="D1514" s="75"/>
      <c r="E1514" s="75"/>
      <c r="F1514" s="75"/>
      <c r="G1514" s="75"/>
      <c r="H1514" s="75"/>
      <c r="I1514" s="75"/>
      <c r="J1514" s="166"/>
      <c r="K1514" s="191"/>
    </row>
    <row r="1515">
      <c r="A1515" s="148"/>
      <c r="B1515" s="75"/>
      <c r="C1515" s="75"/>
      <c r="D1515" s="75"/>
      <c r="E1515" s="75"/>
      <c r="F1515" s="75"/>
      <c r="G1515" s="75"/>
      <c r="H1515" s="75"/>
      <c r="I1515" s="75"/>
      <c r="J1515" s="166"/>
      <c r="K1515" s="191"/>
    </row>
    <row r="1516">
      <c r="A1516" s="148"/>
      <c r="B1516" s="75"/>
      <c r="C1516" s="75"/>
      <c r="D1516" s="75"/>
      <c r="E1516" s="75"/>
      <c r="F1516" s="75"/>
      <c r="G1516" s="75"/>
      <c r="H1516" s="75"/>
      <c r="I1516" s="75"/>
      <c r="J1516" s="166"/>
      <c r="K1516" s="191"/>
    </row>
    <row r="1517">
      <c r="A1517" s="148"/>
      <c r="B1517" s="75"/>
      <c r="C1517" s="75"/>
      <c r="D1517" s="75"/>
      <c r="E1517" s="75"/>
      <c r="F1517" s="75"/>
      <c r="G1517" s="75"/>
      <c r="H1517" s="75"/>
      <c r="I1517" s="75"/>
      <c r="J1517" s="166"/>
      <c r="K1517" s="191"/>
    </row>
    <row r="1518">
      <c r="A1518" s="148"/>
      <c r="B1518" s="75"/>
      <c r="C1518" s="75"/>
      <c r="D1518" s="75"/>
      <c r="E1518" s="75"/>
      <c r="F1518" s="75"/>
      <c r="G1518" s="75"/>
      <c r="H1518" s="75"/>
      <c r="I1518" s="75"/>
      <c r="J1518" s="166"/>
      <c r="K1518" s="191"/>
    </row>
    <row r="1519">
      <c r="A1519" s="148"/>
      <c r="B1519" s="75"/>
      <c r="C1519" s="75"/>
      <c r="D1519" s="75"/>
      <c r="E1519" s="75"/>
      <c r="F1519" s="75"/>
      <c r="G1519" s="75"/>
      <c r="H1519" s="75"/>
      <c r="I1519" s="75"/>
      <c r="J1519" s="166"/>
      <c r="K1519" s="191"/>
    </row>
    <row r="1520">
      <c r="A1520" s="148"/>
      <c r="B1520" s="75"/>
      <c r="C1520" s="75"/>
      <c r="D1520" s="75"/>
      <c r="E1520" s="75"/>
      <c r="F1520" s="75"/>
      <c r="G1520" s="75"/>
      <c r="H1520" s="75"/>
      <c r="I1520" s="75"/>
      <c r="J1520" s="166"/>
      <c r="K1520" s="191"/>
    </row>
    <row r="1521">
      <c r="A1521" s="148"/>
      <c r="B1521" s="75"/>
      <c r="C1521" s="75"/>
      <c r="D1521" s="75"/>
      <c r="E1521" s="75"/>
      <c r="F1521" s="75"/>
      <c r="G1521" s="75"/>
      <c r="H1521" s="75"/>
      <c r="I1521" s="75"/>
      <c r="J1521" s="166"/>
      <c r="K1521" s="191"/>
    </row>
    <row r="1522">
      <c r="A1522" s="148"/>
      <c r="B1522" s="75"/>
      <c r="C1522" s="75"/>
      <c r="D1522" s="75"/>
      <c r="E1522" s="75"/>
      <c r="F1522" s="75"/>
      <c r="G1522" s="75"/>
      <c r="H1522" s="75"/>
      <c r="I1522" s="75"/>
      <c r="J1522" s="166"/>
      <c r="K1522" s="191"/>
    </row>
    <row r="1523">
      <c r="A1523" s="148"/>
      <c r="B1523" s="75"/>
      <c r="C1523" s="75"/>
      <c r="D1523" s="75"/>
      <c r="E1523" s="75"/>
      <c r="F1523" s="75"/>
      <c r="G1523" s="75"/>
      <c r="H1523" s="75"/>
      <c r="I1523" s="75"/>
      <c r="J1523" s="166"/>
      <c r="K1523" s="191"/>
    </row>
    <row r="1524">
      <c r="A1524" s="148"/>
      <c r="B1524" s="75"/>
      <c r="C1524" s="75"/>
      <c r="D1524" s="75"/>
      <c r="E1524" s="75"/>
      <c r="F1524" s="75"/>
      <c r="G1524" s="75"/>
      <c r="H1524" s="75"/>
      <c r="I1524" s="75"/>
      <c r="J1524" s="166"/>
      <c r="K1524" s="191"/>
    </row>
    <row r="1525">
      <c r="A1525" s="148"/>
      <c r="B1525" s="75"/>
      <c r="C1525" s="75"/>
      <c r="D1525" s="75"/>
      <c r="E1525" s="75"/>
      <c r="F1525" s="75"/>
      <c r="G1525" s="75"/>
      <c r="H1525" s="75"/>
      <c r="I1525" s="75"/>
      <c r="J1525" s="166"/>
      <c r="K1525" s="191"/>
    </row>
    <row r="1526">
      <c r="A1526" s="148"/>
      <c r="B1526" s="75"/>
      <c r="C1526" s="75"/>
      <c r="D1526" s="75"/>
      <c r="E1526" s="75"/>
      <c r="F1526" s="75"/>
      <c r="G1526" s="75"/>
      <c r="H1526" s="75"/>
      <c r="I1526" s="75"/>
      <c r="J1526" s="166"/>
      <c r="K1526" s="191"/>
    </row>
    <row r="1527">
      <c r="A1527" s="148"/>
      <c r="B1527" s="75"/>
      <c r="C1527" s="75"/>
      <c r="D1527" s="75"/>
      <c r="E1527" s="75"/>
      <c r="F1527" s="75"/>
      <c r="G1527" s="75"/>
      <c r="H1527" s="75"/>
      <c r="I1527" s="75"/>
      <c r="J1527" s="166"/>
      <c r="K1527" s="191"/>
    </row>
    <row r="1528">
      <c r="A1528" s="148"/>
      <c r="B1528" s="75"/>
      <c r="C1528" s="75"/>
      <c r="D1528" s="75"/>
      <c r="E1528" s="75"/>
      <c r="F1528" s="75"/>
      <c r="G1528" s="75"/>
      <c r="H1528" s="75"/>
      <c r="I1528" s="75"/>
      <c r="J1528" s="166"/>
      <c r="K1528" s="191"/>
    </row>
    <row r="1529">
      <c r="A1529" s="148"/>
      <c r="B1529" s="75"/>
      <c r="C1529" s="75"/>
      <c r="D1529" s="75"/>
      <c r="E1529" s="75"/>
      <c r="F1529" s="75"/>
      <c r="G1529" s="75"/>
      <c r="H1529" s="75"/>
      <c r="I1529" s="75"/>
      <c r="J1529" s="166"/>
      <c r="K1529" s="191"/>
    </row>
    <row r="1530">
      <c r="A1530" s="148"/>
      <c r="B1530" s="75"/>
      <c r="C1530" s="75"/>
      <c r="D1530" s="75"/>
      <c r="E1530" s="75"/>
      <c r="F1530" s="75"/>
      <c r="G1530" s="75"/>
      <c r="H1530" s="75"/>
      <c r="I1530" s="75"/>
      <c r="J1530" s="166"/>
      <c r="K1530" s="191"/>
    </row>
    <row r="1531">
      <c r="A1531" s="148"/>
      <c r="B1531" s="75"/>
      <c r="C1531" s="75"/>
      <c r="D1531" s="75"/>
      <c r="E1531" s="75"/>
      <c r="F1531" s="75"/>
      <c r="G1531" s="75"/>
      <c r="H1531" s="75"/>
      <c r="I1531" s="75"/>
      <c r="J1531" s="166"/>
      <c r="K1531" s="191"/>
    </row>
    <row r="1532">
      <c r="A1532" s="148"/>
      <c r="B1532" s="75"/>
      <c r="C1532" s="75"/>
      <c r="D1532" s="75"/>
      <c r="E1532" s="75"/>
      <c r="F1532" s="75"/>
      <c r="G1532" s="75"/>
      <c r="H1532" s="75"/>
      <c r="I1532" s="75"/>
      <c r="J1532" s="166"/>
      <c r="K1532" s="191"/>
    </row>
    <row r="1533">
      <c r="A1533" s="148"/>
      <c r="B1533" s="75"/>
      <c r="C1533" s="75"/>
      <c r="D1533" s="75"/>
      <c r="E1533" s="75"/>
      <c r="F1533" s="75"/>
      <c r="G1533" s="75"/>
      <c r="H1533" s="75"/>
      <c r="I1533" s="75"/>
      <c r="J1533" s="166"/>
      <c r="K1533" s="191"/>
    </row>
    <row r="1534">
      <c r="A1534" s="148"/>
      <c r="B1534" s="75"/>
      <c r="C1534" s="75"/>
      <c r="D1534" s="75"/>
      <c r="E1534" s="75"/>
      <c r="F1534" s="75"/>
      <c r="G1534" s="75"/>
      <c r="H1534" s="75"/>
      <c r="I1534" s="75"/>
      <c r="J1534" s="166"/>
      <c r="K1534" s="191"/>
    </row>
    <row r="1535">
      <c r="A1535" s="148"/>
      <c r="B1535" s="75"/>
      <c r="C1535" s="75"/>
      <c r="D1535" s="75"/>
      <c r="E1535" s="75"/>
      <c r="F1535" s="75"/>
      <c r="G1535" s="75"/>
      <c r="H1535" s="75"/>
      <c r="I1535" s="75"/>
      <c r="J1535" s="166"/>
      <c r="K1535" s="191"/>
    </row>
    <row r="1536">
      <c r="A1536" s="148"/>
      <c r="B1536" s="75"/>
      <c r="C1536" s="75"/>
      <c r="D1536" s="75"/>
      <c r="E1536" s="75"/>
      <c r="F1536" s="75"/>
      <c r="G1536" s="75"/>
      <c r="H1536" s="75"/>
      <c r="I1536" s="75"/>
      <c r="J1536" s="166"/>
      <c r="K1536" s="191"/>
    </row>
    <row r="1537">
      <c r="A1537" s="148"/>
      <c r="B1537" s="75"/>
      <c r="C1537" s="75"/>
      <c r="D1537" s="75"/>
      <c r="E1537" s="75"/>
      <c r="F1537" s="75"/>
      <c r="G1537" s="75"/>
      <c r="H1537" s="75"/>
      <c r="I1537" s="75"/>
      <c r="J1537" s="166"/>
      <c r="K1537" s="191"/>
    </row>
    <row r="1538">
      <c r="A1538" s="148"/>
      <c r="B1538" s="75"/>
      <c r="C1538" s="75"/>
      <c r="D1538" s="75"/>
      <c r="E1538" s="75"/>
      <c r="F1538" s="75"/>
      <c r="G1538" s="75"/>
      <c r="H1538" s="75"/>
      <c r="I1538" s="75"/>
      <c r="J1538" s="166"/>
      <c r="K1538" s="191"/>
    </row>
    <row r="1539">
      <c r="A1539" s="148"/>
      <c r="B1539" s="75"/>
      <c r="C1539" s="75"/>
      <c r="D1539" s="75"/>
      <c r="E1539" s="75"/>
      <c r="F1539" s="75"/>
      <c r="G1539" s="75"/>
      <c r="H1539" s="75"/>
      <c r="I1539" s="75"/>
      <c r="J1539" s="166"/>
      <c r="K1539" s="191"/>
    </row>
    <row r="1540">
      <c r="A1540" s="148"/>
      <c r="B1540" s="75"/>
      <c r="C1540" s="75"/>
      <c r="D1540" s="75"/>
      <c r="E1540" s="75"/>
      <c r="F1540" s="75"/>
      <c r="G1540" s="75"/>
      <c r="H1540" s="75"/>
      <c r="I1540" s="75"/>
      <c r="J1540" s="166"/>
      <c r="K1540" s="191"/>
    </row>
    <row r="1541">
      <c r="A1541" s="148"/>
      <c r="B1541" s="75"/>
      <c r="C1541" s="75"/>
      <c r="D1541" s="75"/>
      <c r="E1541" s="75"/>
      <c r="F1541" s="75"/>
      <c r="G1541" s="75"/>
      <c r="H1541" s="75"/>
      <c r="I1541" s="75"/>
      <c r="J1541" s="166"/>
      <c r="K1541" s="191"/>
    </row>
    <row r="1542">
      <c r="A1542" s="148"/>
      <c r="B1542" s="75"/>
      <c r="C1542" s="75"/>
      <c r="D1542" s="75"/>
      <c r="E1542" s="75"/>
      <c r="F1542" s="75"/>
      <c r="G1542" s="75"/>
      <c r="H1542" s="75"/>
      <c r="I1542" s="75"/>
      <c r="J1542" s="166"/>
      <c r="K1542" s="191"/>
    </row>
    <row r="1543">
      <c r="A1543" s="148"/>
      <c r="B1543" s="75"/>
      <c r="C1543" s="75"/>
      <c r="D1543" s="75"/>
      <c r="E1543" s="75"/>
      <c r="F1543" s="75"/>
      <c r="G1543" s="75"/>
      <c r="H1543" s="75"/>
      <c r="I1543" s="75"/>
      <c r="J1543" s="166"/>
      <c r="K1543" s="191"/>
    </row>
    <row r="1544">
      <c r="A1544" s="148"/>
      <c r="B1544" s="75"/>
      <c r="C1544" s="75"/>
      <c r="D1544" s="75"/>
      <c r="E1544" s="75"/>
      <c r="F1544" s="75"/>
      <c r="G1544" s="75"/>
      <c r="H1544" s="75"/>
      <c r="I1544" s="75"/>
      <c r="J1544" s="166"/>
      <c r="K1544" s="191"/>
    </row>
    <row r="1545">
      <c r="A1545" s="148"/>
      <c r="B1545" s="75"/>
      <c r="C1545" s="75"/>
      <c r="D1545" s="75"/>
      <c r="E1545" s="75"/>
      <c r="F1545" s="75"/>
      <c r="G1545" s="75"/>
      <c r="H1545" s="75"/>
      <c r="I1545" s="75"/>
      <c r="J1545" s="166"/>
      <c r="K1545" s="191"/>
    </row>
    <row r="1546">
      <c r="A1546" s="148"/>
      <c r="B1546" s="75"/>
      <c r="C1546" s="75"/>
      <c r="D1546" s="75"/>
      <c r="E1546" s="75"/>
      <c r="F1546" s="75"/>
      <c r="G1546" s="75"/>
      <c r="H1546" s="75"/>
      <c r="I1546" s="75"/>
      <c r="J1546" s="166"/>
      <c r="K1546" s="191"/>
    </row>
    <row r="1547">
      <c r="A1547" s="148"/>
      <c r="B1547" s="75"/>
      <c r="C1547" s="75"/>
      <c r="D1547" s="75"/>
      <c r="E1547" s="75"/>
      <c r="F1547" s="75"/>
      <c r="G1547" s="75"/>
      <c r="H1547" s="75"/>
      <c r="I1547" s="75"/>
      <c r="J1547" s="166"/>
      <c r="K1547" s="191"/>
    </row>
    <row r="1548">
      <c r="A1548" s="148"/>
      <c r="B1548" s="75"/>
      <c r="C1548" s="75"/>
      <c r="D1548" s="75"/>
      <c r="E1548" s="75"/>
      <c r="F1548" s="75"/>
      <c r="G1548" s="75"/>
      <c r="H1548" s="75"/>
      <c r="I1548" s="75"/>
      <c r="J1548" s="166"/>
      <c r="K1548" s="191"/>
    </row>
    <row r="1549">
      <c r="A1549" s="148"/>
      <c r="B1549" s="75"/>
      <c r="C1549" s="75"/>
      <c r="D1549" s="75"/>
      <c r="E1549" s="75"/>
      <c r="F1549" s="75"/>
      <c r="G1549" s="75"/>
      <c r="H1549" s="75"/>
      <c r="I1549" s="75"/>
      <c r="J1549" s="166"/>
      <c r="K1549" s="191"/>
    </row>
    <row r="1550">
      <c r="A1550" s="148"/>
      <c r="B1550" s="75"/>
      <c r="C1550" s="75"/>
      <c r="D1550" s="75"/>
      <c r="E1550" s="75"/>
      <c r="F1550" s="75"/>
      <c r="G1550" s="75"/>
      <c r="H1550" s="75"/>
      <c r="I1550" s="75"/>
      <c r="J1550" s="166"/>
      <c r="K1550" s="191"/>
    </row>
    <row r="1551">
      <c r="A1551" s="148"/>
      <c r="B1551" s="75"/>
      <c r="C1551" s="75"/>
      <c r="D1551" s="75"/>
      <c r="E1551" s="75"/>
      <c r="F1551" s="75"/>
      <c r="G1551" s="75"/>
      <c r="H1551" s="75"/>
      <c r="I1551" s="75"/>
      <c r="J1551" s="166"/>
      <c r="K1551" s="191"/>
    </row>
    <row r="1552">
      <c r="A1552" s="148"/>
      <c r="B1552" s="75"/>
      <c r="C1552" s="75"/>
      <c r="D1552" s="75"/>
      <c r="E1552" s="75"/>
      <c r="F1552" s="75"/>
      <c r="G1552" s="75"/>
      <c r="H1552" s="75"/>
      <c r="I1552" s="75"/>
      <c r="J1552" s="166"/>
      <c r="K1552" s="191"/>
    </row>
    <row r="1553">
      <c r="A1553" s="148"/>
      <c r="B1553" s="75"/>
      <c r="C1553" s="75"/>
      <c r="D1553" s="75"/>
      <c r="E1553" s="75"/>
      <c r="F1553" s="75"/>
      <c r="G1553" s="75"/>
      <c r="H1553" s="75"/>
      <c r="I1553" s="75"/>
      <c r="J1553" s="166"/>
      <c r="K1553" s="191"/>
    </row>
    <row r="1554">
      <c r="A1554" s="148"/>
      <c r="B1554" s="75"/>
      <c r="C1554" s="75"/>
      <c r="D1554" s="75"/>
      <c r="E1554" s="75"/>
      <c r="F1554" s="75"/>
      <c r="G1554" s="75"/>
      <c r="H1554" s="75"/>
      <c r="I1554" s="75"/>
      <c r="J1554" s="166"/>
      <c r="K1554" s="191"/>
    </row>
    <row r="1555">
      <c r="A1555" s="148"/>
      <c r="B1555" s="75"/>
      <c r="C1555" s="75"/>
      <c r="D1555" s="75"/>
      <c r="E1555" s="75"/>
      <c r="F1555" s="75"/>
      <c r="G1555" s="75"/>
      <c r="H1555" s="75"/>
      <c r="I1555" s="75"/>
      <c r="J1555" s="166"/>
      <c r="K1555" s="191"/>
    </row>
    <row r="1556">
      <c r="A1556" s="148"/>
      <c r="B1556" s="75"/>
      <c r="C1556" s="75"/>
      <c r="D1556" s="75"/>
      <c r="E1556" s="75"/>
      <c r="F1556" s="75"/>
      <c r="G1556" s="75"/>
      <c r="H1556" s="75"/>
      <c r="I1556" s="75"/>
      <c r="J1556" s="166"/>
      <c r="K1556" s="191"/>
    </row>
    <row r="1557">
      <c r="A1557" s="148"/>
      <c r="B1557" s="75"/>
      <c r="C1557" s="75"/>
      <c r="D1557" s="75"/>
      <c r="E1557" s="75"/>
      <c r="F1557" s="75"/>
      <c r="G1557" s="75"/>
      <c r="H1557" s="75"/>
      <c r="I1557" s="75"/>
      <c r="J1557" s="166"/>
      <c r="K1557" s="191"/>
    </row>
    <row r="1558">
      <c r="A1558" s="148"/>
      <c r="B1558" s="75"/>
      <c r="C1558" s="75"/>
      <c r="D1558" s="75"/>
      <c r="E1558" s="75"/>
      <c r="F1558" s="75"/>
      <c r="G1558" s="75"/>
      <c r="H1558" s="75"/>
      <c r="I1558" s="75"/>
      <c r="J1558" s="166"/>
      <c r="K1558" s="191"/>
    </row>
    <row r="1559">
      <c r="A1559" s="148"/>
      <c r="B1559" s="75"/>
      <c r="C1559" s="75"/>
      <c r="D1559" s="75"/>
      <c r="E1559" s="75"/>
      <c r="F1559" s="75"/>
      <c r="G1559" s="75"/>
      <c r="H1559" s="75"/>
      <c r="I1559" s="75"/>
      <c r="J1559" s="166"/>
      <c r="K1559" s="191"/>
    </row>
    <row r="1560">
      <c r="A1560" s="148"/>
      <c r="B1560" s="75"/>
      <c r="C1560" s="75"/>
      <c r="D1560" s="75"/>
      <c r="E1560" s="75"/>
      <c r="F1560" s="75"/>
      <c r="G1560" s="75"/>
      <c r="H1560" s="75"/>
      <c r="I1560" s="75"/>
      <c r="J1560" s="166"/>
      <c r="K1560" s="191"/>
    </row>
    <row r="1561">
      <c r="A1561" s="148"/>
      <c r="B1561" s="75"/>
      <c r="C1561" s="75"/>
      <c r="D1561" s="75"/>
      <c r="E1561" s="75"/>
      <c r="F1561" s="75"/>
      <c r="G1561" s="75"/>
      <c r="H1561" s="75"/>
      <c r="I1561" s="75"/>
      <c r="J1561" s="166"/>
      <c r="K1561" s="191"/>
    </row>
    <row r="1562">
      <c r="A1562" s="148"/>
      <c r="B1562" s="75"/>
      <c r="C1562" s="75"/>
      <c r="D1562" s="75"/>
      <c r="E1562" s="75"/>
      <c r="F1562" s="75"/>
      <c r="G1562" s="75"/>
      <c r="H1562" s="75"/>
      <c r="I1562" s="75"/>
      <c r="J1562" s="166"/>
      <c r="K1562" s="191"/>
    </row>
    <row r="1563">
      <c r="A1563" s="148"/>
      <c r="B1563" s="75"/>
      <c r="C1563" s="75"/>
      <c r="D1563" s="75"/>
      <c r="E1563" s="75"/>
      <c r="F1563" s="75"/>
      <c r="G1563" s="75"/>
      <c r="H1563" s="75"/>
      <c r="I1563" s="75"/>
      <c r="J1563" s="166"/>
      <c r="K1563" s="191"/>
    </row>
    <row r="1564">
      <c r="A1564" s="148"/>
      <c r="B1564" s="75"/>
      <c r="C1564" s="75"/>
      <c r="D1564" s="75"/>
      <c r="E1564" s="75"/>
      <c r="F1564" s="75"/>
      <c r="G1564" s="75"/>
      <c r="H1564" s="75"/>
      <c r="I1564" s="75"/>
      <c r="J1564" s="166"/>
      <c r="K1564" s="191"/>
    </row>
    <row r="1565">
      <c r="A1565" s="148"/>
      <c r="B1565" s="75"/>
      <c r="C1565" s="75"/>
      <c r="D1565" s="75"/>
      <c r="E1565" s="75"/>
      <c r="F1565" s="75"/>
      <c r="G1565" s="75"/>
      <c r="H1565" s="75"/>
      <c r="I1565" s="75"/>
      <c r="J1565" s="166"/>
      <c r="K1565" s="191"/>
    </row>
    <row r="1566">
      <c r="A1566" s="148"/>
      <c r="B1566" s="75"/>
      <c r="C1566" s="75"/>
      <c r="D1566" s="75"/>
      <c r="E1566" s="75"/>
      <c r="F1566" s="75"/>
      <c r="G1566" s="75"/>
      <c r="H1566" s="75"/>
      <c r="I1566" s="75"/>
      <c r="J1566" s="166"/>
      <c r="K1566" s="191"/>
    </row>
    <row r="1567">
      <c r="A1567" s="148"/>
      <c r="B1567" s="75"/>
      <c r="C1567" s="75"/>
      <c r="D1567" s="75"/>
      <c r="E1567" s="75"/>
      <c r="F1567" s="75"/>
      <c r="G1567" s="75"/>
      <c r="H1567" s="75"/>
      <c r="I1567" s="75"/>
      <c r="J1567" s="166"/>
      <c r="K1567" s="191"/>
    </row>
    <row r="1568">
      <c r="A1568" s="148"/>
      <c r="B1568" s="75"/>
      <c r="C1568" s="75"/>
      <c r="D1568" s="75"/>
      <c r="E1568" s="75"/>
      <c r="F1568" s="75"/>
      <c r="G1568" s="75"/>
      <c r="H1568" s="75"/>
      <c r="I1568" s="75"/>
      <c r="J1568" s="166"/>
      <c r="K1568" s="191"/>
    </row>
    <row r="1569">
      <c r="A1569" s="148"/>
      <c r="B1569" s="75"/>
      <c r="C1569" s="75"/>
      <c r="D1569" s="75"/>
      <c r="E1569" s="75"/>
      <c r="F1569" s="75"/>
      <c r="G1569" s="75"/>
      <c r="H1569" s="75"/>
      <c r="I1569" s="75"/>
      <c r="J1569" s="166"/>
      <c r="K1569" s="191"/>
    </row>
    <row r="1570">
      <c r="A1570" s="148"/>
      <c r="B1570" s="75"/>
      <c r="C1570" s="75"/>
      <c r="D1570" s="75"/>
      <c r="E1570" s="75"/>
      <c r="F1570" s="75"/>
      <c r="G1570" s="75"/>
      <c r="H1570" s="75"/>
      <c r="I1570" s="75"/>
      <c r="J1570" s="166"/>
      <c r="K1570" s="191"/>
    </row>
    <row r="1571">
      <c r="A1571" s="148"/>
      <c r="B1571" s="75"/>
      <c r="C1571" s="75"/>
      <c r="D1571" s="75"/>
      <c r="E1571" s="75"/>
      <c r="F1571" s="75"/>
      <c r="G1571" s="75"/>
      <c r="H1571" s="75"/>
      <c r="I1571" s="75"/>
      <c r="J1571" s="166"/>
      <c r="K1571" s="191"/>
    </row>
    <row r="1572">
      <c r="A1572" s="148"/>
      <c r="B1572" s="75"/>
      <c r="C1572" s="75"/>
      <c r="D1572" s="75"/>
      <c r="E1572" s="75"/>
      <c r="F1572" s="75"/>
      <c r="G1572" s="75"/>
      <c r="H1572" s="75"/>
      <c r="I1572" s="75"/>
      <c r="J1572" s="166"/>
      <c r="K1572" s="191"/>
    </row>
    <row r="1573">
      <c r="A1573" s="148"/>
      <c r="B1573" s="75"/>
      <c r="C1573" s="75"/>
      <c r="D1573" s="75"/>
      <c r="E1573" s="75"/>
      <c r="F1573" s="75"/>
      <c r="G1573" s="75"/>
      <c r="H1573" s="75"/>
      <c r="I1573" s="75"/>
      <c r="J1573" s="166"/>
      <c r="K1573" s="191"/>
    </row>
    <row r="1574">
      <c r="A1574" s="148"/>
      <c r="B1574" s="75"/>
      <c r="C1574" s="75"/>
      <c r="D1574" s="75"/>
      <c r="E1574" s="75"/>
      <c r="F1574" s="75"/>
      <c r="G1574" s="75"/>
      <c r="H1574" s="75"/>
      <c r="I1574" s="75"/>
      <c r="J1574" s="166"/>
      <c r="K1574" s="191"/>
    </row>
    <row r="1575">
      <c r="A1575" s="148"/>
      <c r="B1575" s="75"/>
      <c r="C1575" s="75"/>
      <c r="D1575" s="75"/>
      <c r="E1575" s="75"/>
      <c r="F1575" s="75"/>
      <c r="G1575" s="75"/>
      <c r="H1575" s="75"/>
      <c r="I1575" s="75"/>
      <c r="J1575" s="166"/>
      <c r="K1575" s="191"/>
    </row>
    <row r="1576">
      <c r="A1576" s="148"/>
      <c r="B1576" s="75"/>
      <c r="C1576" s="75"/>
      <c r="D1576" s="75"/>
      <c r="E1576" s="75"/>
      <c r="F1576" s="75"/>
      <c r="G1576" s="75"/>
      <c r="H1576" s="75"/>
      <c r="I1576" s="75"/>
      <c r="J1576" s="166"/>
      <c r="K1576" s="191"/>
    </row>
    <row r="1577">
      <c r="A1577" s="148"/>
      <c r="B1577" s="75"/>
      <c r="C1577" s="75"/>
      <c r="D1577" s="75"/>
      <c r="E1577" s="75"/>
      <c r="F1577" s="75"/>
      <c r="G1577" s="75"/>
      <c r="H1577" s="75"/>
      <c r="I1577" s="75"/>
      <c r="J1577" s="166"/>
      <c r="K1577" s="191"/>
    </row>
    <row r="1578">
      <c r="A1578" s="148"/>
      <c r="B1578" s="75"/>
      <c r="C1578" s="75"/>
      <c r="D1578" s="75"/>
      <c r="E1578" s="75"/>
      <c r="F1578" s="75"/>
      <c r="G1578" s="75"/>
      <c r="H1578" s="75"/>
      <c r="I1578" s="75"/>
      <c r="J1578" s="166"/>
      <c r="K1578" s="191"/>
    </row>
    <row r="1579">
      <c r="A1579" s="148"/>
      <c r="B1579" s="75"/>
      <c r="C1579" s="75"/>
      <c r="D1579" s="75"/>
      <c r="E1579" s="75"/>
      <c r="F1579" s="75"/>
      <c r="G1579" s="75"/>
      <c r="H1579" s="75"/>
      <c r="I1579" s="75"/>
      <c r="J1579" s="166"/>
      <c r="K1579" s="191"/>
    </row>
    <row r="1580">
      <c r="A1580" s="148"/>
      <c r="B1580" s="75"/>
      <c r="C1580" s="75"/>
      <c r="D1580" s="75"/>
      <c r="E1580" s="75"/>
      <c r="F1580" s="75"/>
      <c r="G1580" s="75"/>
      <c r="H1580" s="75"/>
      <c r="I1580" s="75"/>
      <c r="J1580" s="166"/>
      <c r="K1580" s="191"/>
    </row>
    <row r="1581">
      <c r="A1581" s="148"/>
      <c r="B1581" s="75"/>
      <c r="C1581" s="75"/>
      <c r="D1581" s="75"/>
      <c r="E1581" s="75"/>
      <c r="F1581" s="75"/>
      <c r="G1581" s="75"/>
      <c r="H1581" s="75"/>
      <c r="I1581" s="75"/>
      <c r="J1581" s="166"/>
      <c r="K1581" s="191"/>
    </row>
    <row r="1582">
      <c r="A1582" s="148"/>
      <c r="B1582" s="75"/>
      <c r="C1582" s="75"/>
      <c r="D1582" s="75"/>
      <c r="E1582" s="75"/>
      <c r="F1582" s="75"/>
      <c r="G1582" s="75"/>
      <c r="H1582" s="75"/>
      <c r="I1582" s="75"/>
      <c r="J1582" s="166"/>
      <c r="K1582" s="191"/>
    </row>
    <row r="1583">
      <c r="A1583" s="148"/>
      <c r="B1583" s="75"/>
      <c r="C1583" s="75"/>
      <c r="D1583" s="75"/>
      <c r="E1583" s="75"/>
      <c r="F1583" s="75"/>
      <c r="G1583" s="75"/>
      <c r="H1583" s="75"/>
      <c r="I1583" s="75"/>
      <c r="J1583" s="166"/>
      <c r="K1583" s="191"/>
    </row>
    <row r="1584">
      <c r="A1584" s="148"/>
      <c r="B1584" s="75"/>
      <c r="C1584" s="75"/>
      <c r="D1584" s="75"/>
      <c r="E1584" s="75"/>
      <c r="F1584" s="75"/>
      <c r="G1584" s="75"/>
      <c r="H1584" s="75"/>
      <c r="I1584" s="75"/>
      <c r="J1584" s="166"/>
      <c r="K1584" s="191"/>
    </row>
    <row r="1585">
      <c r="A1585" s="148"/>
      <c r="B1585" s="75"/>
      <c r="C1585" s="75"/>
      <c r="D1585" s="75"/>
      <c r="E1585" s="75"/>
      <c r="F1585" s="75"/>
      <c r="G1585" s="75"/>
      <c r="H1585" s="75"/>
      <c r="I1585" s="75"/>
      <c r="J1585" s="166"/>
      <c r="K1585" s="191"/>
    </row>
    <row r="1586">
      <c r="A1586" s="148"/>
      <c r="B1586" s="75"/>
      <c r="C1586" s="75"/>
      <c r="D1586" s="75"/>
      <c r="E1586" s="75"/>
      <c r="F1586" s="75"/>
      <c r="G1586" s="75"/>
      <c r="H1586" s="75"/>
      <c r="I1586" s="75"/>
      <c r="J1586" s="166"/>
      <c r="K1586" s="191"/>
    </row>
    <row r="1587">
      <c r="A1587" s="148"/>
      <c r="B1587" s="75"/>
      <c r="C1587" s="75"/>
      <c r="D1587" s="75"/>
      <c r="E1587" s="75"/>
      <c r="F1587" s="75"/>
      <c r="G1587" s="75"/>
      <c r="H1587" s="75"/>
      <c r="I1587" s="75"/>
      <c r="J1587" s="166"/>
      <c r="K1587" s="191"/>
    </row>
    <row r="1588">
      <c r="A1588" s="148"/>
      <c r="B1588" s="75"/>
      <c r="C1588" s="75"/>
      <c r="D1588" s="75"/>
      <c r="E1588" s="75"/>
      <c r="F1588" s="75"/>
      <c r="G1588" s="75"/>
      <c r="H1588" s="75"/>
      <c r="I1588" s="75"/>
      <c r="J1588" s="166"/>
      <c r="K1588" s="191"/>
    </row>
    <row r="1589">
      <c r="A1589" s="148"/>
      <c r="B1589" s="75"/>
      <c r="C1589" s="75"/>
      <c r="D1589" s="75"/>
      <c r="E1589" s="75"/>
      <c r="F1589" s="75"/>
      <c r="G1589" s="75"/>
      <c r="H1589" s="75"/>
      <c r="I1589" s="75"/>
      <c r="J1589" s="166"/>
      <c r="K1589" s="191"/>
    </row>
    <row r="1590">
      <c r="A1590" s="148"/>
      <c r="B1590" s="75"/>
      <c r="C1590" s="75"/>
      <c r="D1590" s="75"/>
      <c r="E1590" s="75"/>
      <c r="F1590" s="75"/>
      <c r="G1590" s="75"/>
      <c r="H1590" s="75"/>
      <c r="I1590" s="75"/>
      <c r="J1590" s="166"/>
      <c r="K1590" s="191"/>
    </row>
    <row r="1591">
      <c r="A1591" s="148"/>
      <c r="B1591" s="75"/>
      <c r="C1591" s="75"/>
      <c r="D1591" s="75"/>
      <c r="E1591" s="75"/>
      <c r="F1591" s="75"/>
      <c r="G1591" s="75"/>
      <c r="H1591" s="75"/>
      <c r="I1591" s="75"/>
      <c r="J1591" s="166"/>
      <c r="K1591" s="191"/>
    </row>
    <row r="1592">
      <c r="A1592" s="148"/>
      <c r="B1592" s="75"/>
      <c r="C1592" s="75"/>
      <c r="D1592" s="75"/>
      <c r="E1592" s="75"/>
      <c r="F1592" s="75"/>
      <c r="G1592" s="75"/>
      <c r="H1592" s="75"/>
      <c r="I1592" s="75"/>
      <c r="J1592" s="166"/>
      <c r="K1592" s="191"/>
    </row>
    <row r="1593">
      <c r="A1593" s="148"/>
      <c r="B1593" s="75"/>
      <c r="C1593" s="75"/>
      <c r="D1593" s="75"/>
      <c r="E1593" s="75"/>
      <c r="F1593" s="75"/>
      <c r="G1593" s="75"/>
      <c r="H1593" s="75"/>
      <c r="I1593" s="75"/>
      <c r="J1593" s="166"/>
      <c r="K1593" s="191"/>
    </row>
    <row r="1594">
      <c r="A1594" s="148"/>
      <c r="B1594" s="75"/>
      <c r="C1594" s="75"/>
      <c r="D1594" s="75"/>
      <c r="E1594" s="75"/>
      <c r="F1594" s="75"/>
      <c r="G1594" s="75"/>
      <c r="H1594" s="75"/>
      <c r="I1594" s="75"/>
      <c r="J1594" s="166"/>
      <c r="K1594" s="191"/>
    </row>
    <row r="1595">
      <c r="A1595" s="148"/>
      <c r="B1595" s="75"/>
      <c r="C1595" s="75"/>
      <c r="D1595" s="75"/>
      <c r="E1595" s="75"/>
      <c r="F1595" s="75"/>
      <c r="G1595" s="75"/>
      <c r="H1595" s="75"/>
      <c r="I1595" s="75"/>
      <c r="J1595" s="166"/>
      <c r="K1595" s="191"/>
    </row>
    <row r="1596">
      <c r="A1596" s="148"/>
      <c r="B1596" s="75"/>
      <c r="C1596" s="75"/>
      <c r="D1596" s="75"/>
      <c r="E1596" s="75"/>
      <c r="F1596" s="75"/>
      <c r="G1596" s="75"/>
      <c r="H1596" s="75"/>
      <c r="I1596" s="75"/>
      <c r="J1596" s="166"/>
      <c r="K1596" s="191"/>
    </row>
    <row r="1597">
      <c r="A1597" s="148"/>
      <c r="B1597" s="75"/>
      <c r="C1597" s="75"/>
      <c r="D1597" s="75"/>
      <c r="E1597" s="75"/>
      <c r="F1597" s="75"/>
      <c r="G1597" s="75"/>
      <c r="H1597" s="75"/>
      <c r="I1597" s="75"/>
      <c r="J1597" s="166"/>
      <c r="K1597" s="191"/>
    </row>
    <row r="1598">
      <c r="A1598" s="148"/>
      <c r="B1598" s="75"/>
      <c r="C1598" s="75"/>
      <c r="D1598" s="75"/>
      <c r="E1598" s="75"/>
      <c r="F1598" s="75"/>
      <c r="G1598" s="75"/>
      <c r="H1598" s="75"/>
      <c r="I1598" s="75"/>
      <c r="J1598" s="166"/>
      <c r="K1598" s="191"/>
    </row>
    <row r="1599">
      <c r="A1599" s="148"/>
      <c r="B1599" s="75"/>
      <c r="C1599" s="75"/>
      <c r="D1599" s="75"/>
      <c r="E1599" s="75"/>
      <c r="F1599" s="75"/>
      <c r="G1599" s="75"/>
      <c r="H1599" s="75"/>
      <c r="I1599" s="75"/>
      <c r="J1599" s="166"/>
      <c r="K1599" s="191"/>
    </row>
    <row r="1600">
      <c r="A1600" s="148"/>
      <c r="B1600" s="75"/>
      <c r="C1600" s="75"/>
      <c r="D1600" s="75"/>
      <c r="E1600" s="75"/>
      <c r="F1600" s="75"/>
      <c r="G1600" s="75"/>
      <c r="H1600" s="75"/>
      <c r="I1600" s="75"/>
      <c r="J1600" s="166"/>
      <c r="K1600" s="191"/>
    </row>
    <row r="1601">
      <c r="A1601" s="148"/>
      <c r="B1601" s="75"/>
      <c r="C1601" s="75"/>
      <c r="D1601" s="75"/>
      <c r="E1601" s="75"/>
      <c r="F1601" s="75"/>
      <c r="G1601" s="75"/>
      <c r="H1601" s="75"/>
      <c r="I1601" s="75"/>
      <c r="J1601" s="166"/>
      <c r="K1601" s="191"/>
    </row>
    <row r="1602">
      <c r="A1602" s="148"/>
      <c r="B1602" s="75"/>
      <c r="C1602" s="75"/>
      <c r="D1602" s="75"/>
      <c r="E1602" s="75"/>
      <c r="F1602" s="75"/>
      <c r="G1602" s="75"/>
      <c r="H1602" s="75"/>
      <c r="I1602" s="75"/>
      <c r="J1602" s="166"/>
      <c r="K1602" s="191"/>
    </row>
    <row r="1603">
      <c r="A1603" s="148"/>
      <c r="B1603" s="75"/>
      <c r="C1603" s="75"/>
      <c r="D1603" s="75"/>
      <c r="E1603" s="75"/>
      <c r="F1603" s="75"/>
      <c r="G1603" s="75"/>
      <c r="H1603" s="75"/>
      <c r="I1603" s="75"/>
      <c r="J1603" s="166"/>
      <c r="K1603" s="191"/>
    </row>
    <row r="1604">
      <c r="A1604" s="148"/>
      <c r="B1604" s="75"/>
      <c r="C1604" s="75"/>
      <c r="D1604" s="75"/>
      <c r="E1604" s="75"/>
      <c r="F1604" s="75"/>
      <c r="G1604" s="75"/>
      <c r="H1604" s="75"/>
      <c r="I1604" s="75"/>
      <c r="J1604" s="166"/>
      <c r="K1604" s="191"/>
    </row>
    <row r="1605">
      <c r="A1605" s="148"/>
      <c r="B1605" s="75"/>
      <c r="C1605" s="75"/>
      <c r="D1605" s="75"/>
      <c r="E1605" s="75"/>
      <c r="F1605" s="75"/>
      <c r="G1605" s="75"/>
      <c r="H1605" s="75"/>
      <c r="I1605" s="75"/>
      <c r="J1605" s="166"/>
      <c r="K1605" s="191"/>
    </row>
    <row r="1606">
      <c r="A1606" s="148"/>
      <c r="B1606" s="75"/>
      <c r="C1606" s="75"/>
      <c r="D1606" s="75"/>
      <c r="E1606" s="75"/>
      <c r="F1606" s="75"/>
      <c r="G1606" s="75"/>
      <c r="H1606" s="75"/>
      <c r="I1606" s="75"/>
      <c r="J1606" s="166"/>
      <c r="K1606" s="191"/>
    </row>
    <row r="1607">
      <c r="A1607" s="148"/>
      <c r="B1607" s="75"/>
      <c r="C1607" s="75"/>
      <c r="D1607" s="75"/>
      <c r="E1607" s="75"/>
      <c r="F1607" s="75"/>
      <c r="G1607" s="75"/>
      <c r="H1607" s="75"/>
      <c r="I1607" s="75"/>
      <c r="J1607" s="166"/>
      <c r="K1607" s="191"/>
    </row>
    <row r="1608">
      <c r="A1608" s="148"/>
      <c r="B1608" s="75"/>
      <c r="C1608" s="75"/>
      <c r="D1608" s="75"/>
      <c r="E1608" s="75"/>
      <c r="F1608" s="75"/>
      <c r="G1608" s="75"/>
      <c r="H1608" s="75"/>
      <c r="I1608" s="75"/>
      <c r="J1608" s="166"/>
      <c r="K1608" s="191"/>
    </row>
    <row r="1609">
      <c r="A1609" s="148"/>
      <c r="B1609" s="75"/>
      <c r="C1609" s="75"/>
      <c r="D1609" s="75"/>
      <c r="E1609" s="75"/>
      <c r="F1609" s="75"/>
      <c r="G1609" s="75"/>
      <c r="H1609" s="75"/>
      <c r="I1609" s="75"/>
      <c r="J1609" s="166"/>
      <c r="K1609" s="191"/>
    </row>
    <row r="1610">
      <c r="A1610" s="148"/>
      <c r="B1610" s="75"/>
      <c r="C1610" s="75"/>
      <c r="D1610" s="75"/>
      <c r="E1610" s="75"/>
      <c r="F1610" s="75"/>
      <c r="G1610" s="75"/>
      <c r="H1610" s="75"/>
      <c r="I1610" s="75"/>
      <c r="J1610" s="166"/>
      <c r="K1610" s="191"/>
    </row>
    <row r="1611">
      <c r="A1611" s="148"/>
      <c r="B1611" s="75"/>
      <c r="C1611" s="75"/>
      <c r="D1611" s="75"/>
      <c r="E1611" s="75"/>
      <c r="F1611" s="75"/>
      <c r="G1611" s="75"/>
      <c r="H1611" s="75"/>
      <c r="I1611" s="75"/>
      <c r="J1611" s="166"/>
      <c r="K1611" s="191"/>
    </row>
    <row r="1612">
      <c r="A1612" s="148"/>
      <c r="B1612" s="75"/>
      <c r="C1612" s="75"/>
      <c r="D1612" s="75"/>
      <c r="E1612" s="75"/>
      <c r="F1612" s="75"/>
      <c r="G1612" s="75"/>
      <c r="H1612" s="75"/>
      <c r="I1612" s="75"/>
      <c r="J1612" s="166"/>
      <c r="K1612" s="191"/>
    </row>
    <row r="1613">
      <c r="A1613" s="148"/>
      <c r="B1613" s="75"/>
      <c r="C1613" s="75"/>
      <c r="D1613" s="75"/>
      <c r="E1613" s="75"/>
      <c r="F1613" s="75"/>
      <c r="G1613" s="75"/>
      <c r="H1613" s="75"/>
      <c r="I1613" s="75"/>
      <c r="J1613" s="166"/>
      <c r="K1613" s="191"/>
    </row>
    <row r="1614">
      <c r="A1614" s="148"/>
      <c r="B1614" s="75"/>
      <c r="C1614" s="75"/>
      <c r="D1614" s="75"/>
      <c r="E1614" s="75"/>
      <c r="F1614" s="75"/>
      <c r="G1614" s="75"/>
      <c r="H1614" s="75"/>
      <c r="I1614" s="75"/>
      <c r="J1614" s="166"/>
      <c r="K1614" s="191"/>
    </row>
    <row r="1615">
      <c r="A1615" s="148"/>
      <c r="B1615" s="75"/>
      <c r="C1615" s="75"/>
      <c r="D1615" s="75"/>
      <c r="E1615" s="75"/>
      <c r="F1615" s="75"/>
      <c r="G1615" s="75"/>
      <c r="H1615" s="75"/>
      <c r="I1615" s="75"/>
      <c r="J1615" s="166"/>
      <c r="K1615" s="191"/>
    </row>
    <row r="1616">
      <c r="A1616" s="148"/>
      <c r="B1616" s="75"/>
      <c r="C1616" s="75"/>
      <c r="D1616" s="75"/>
      <c r="E1616" s="75"/>
      <c r="F1616" s="75"/>
      <c r="G1616" s="75"/>
      <c r="H1616" s="75"/>
      <c r="I1616" s="75"/>
      <c r="J1616" s="166"/>
      <c r="K1616" s="191"/>
    </row>
    <row r="1617">
      <c r="A1617" s="148"/>
      <c r="B1617" s="75"/>
      <c r="C1617" s="75"/>
      <c r="D1617" s="75"/>
      <c r="E1617" s="75"/>
      <c r="F1617" s="75"/>
      <c r="G1617" s="75"/>
      <c r="H1617" s="75"/>
      <c r="I1617" s="75"/>
      <c r="J1617" s="166"/>
      <c r="K1617" s="191"/>
    </row>
    <row r="1618">
      <c r="A1618" s="148"/>
      <c r="B1618" s="75"/>
      <c r="C1618" s="75"/>
      <c r="D1618" s="75"/>
      <c r="E1618" s="75"/>
      <c r="F1618" s="75"/>
      <c r="G1618" s="75"/>
      <c r="H1618" s="75"/>
      <c r="I1618" s="75"/>
      <c r="J1618" s="166"/>
      <c r="K1618" s="191"/>
    </row>
    <row r="1619">
      <c r="A1619" s="148"/>
      <c r="B1619" s="75"/>
      <c r="C1619" s="75"/>
      <c r="D1619" s="75"/>
      <c r="E1619" s="75"/>
      <c r="F1619" s="75"/>
      <c r="G1619" s="75"/>
      <c r="H1619" s="75"/>
      <c r="I1619" s="75"/>
      <c r="J1619" s="166"/>
      <c r="K1619" s="191"/>
    </row>
    <row r="1620">
      <c r="A1620" s="148"/>
      <c r="B1620" s="75"/>
      <c r="C1620" s="75"/>
      <c r="D1620" s="75"/>
      <c r="E1620" s="75"/>
      <c r="F1620" s="75"/>
      <c r="G1620" s="75"/>
      <c r="H1620" s="75"/>
      <c r="I1620" s="75"/>
      <c r="J1620" s="166"/>
      <c r="K1620" s="191"/>
    </row>
    <row r="1621">
      <c r="A1621" s="148"/>
      <c r="B1621" s="75"/>
      <c r="C1621" s="75"/>
      <c r="D1621" s="75"/>
      <c r="E1621" s="75"/>
      <c r="F1621" s="75"/>
      <c r="G1621" s="75"/>
      <c r="H1621" s="75"/>
      <c r="I1621" s="75"/>
      <c r="J1621" s="166"/>
      <c r="K1621" s="191"/>
    </row>
    <row r="1622">
      <c r="A1622" s="148"/>
      <c r="B1622" s="75"/>
      <c r="C1622" s="75"/>
      <c r="D1622" s="75"/>
      <c r="E1622" s="75"/>
      <c r="F1622" s="75"/>
      <c r="G1622" s="75"/>
      <c r="H1622" s="75"/>
      <c r="I1622" s="75"/>
      <c r="J1622" s="166"/>
      <c r="K1622" s="191"/>
    </row>
    <row r="1623">
      <c r="A1623" s="148"/>
      <c r="B1623" s="75"/>
      <c r="C1623" s="75"/>
      <c r="D1623" s="75"/>
      <c r="E1623" s="75"/>
      <c r="F1623" s="75"/>
      <c r="G1623" s="75"/>
      <c r="H1623" s="75"/>
      <c r="I1623" s="75"/>
      <c r="J1623" s="166"/>
      <c r="K1623" s="191"/>
    </row>
    <row r="1624">
      <c r="A1624" s="148"/>
      <c r="B1624" s="75"/>
      <c r="C1624" s="75"/>
      <c r="D1624" s="75"/>
      <c r="E1624" s="75"/>
      <c r="F1624" s="75"/>
      <c r="G1624" s="75"/>
      <c r="H1624" s="75"/>
      <c r="I1624" s="75"/>
      <c r="J1624" s="166"/>
      <c r="K1624" s="191"/>
    </row>
    <row r="1625">
      <c r="A1625" s="148"/>
      <c r="B1625" s="75"/>
      <c r="C1625" s="75"/>
      <c r="D1625" s="75"/>
      <c r="E1625" s="75"/>
      <c r="F1625" s="75"/>
      <c r="G1625" s="75"/>
      <c r="H1625" s="75"/>
      <c r="I1625" s="75"/>
      <c r="J1625" s="166"/>
      <c r="K1625" s="191"/>
    </row>
    <row r="1626">
      <c r="A1626" s="148"/>
      <c r="B1626" s="75"/>
      <c r="C1626" s="75"/>
      <c r="D1626" s="75"/>
      <c r="E1626" s="75"/>
      <c r="F1626" s="75"/>
      <c r="G1626" s="75"/>
      <c r="H1626" s="75"/>
      <c r="I1626" s="75"/>
      <c r="J1626" s="166"/>
      <c r="K1626" s="191"/>
    </row>
    <row r="1627">
      <c r="A1627" s="148"/>
      <c r="B1627" s="75"/>
      <c r="C1627" s="75"/>
      <c r="D1627" s="75"/>
      <c r="E1627" s="75"/>
      <c r="F1627" s="75"/>
      <c r="G1627" s="75"/>
      <c r="H1627" s="75"/>
      <c r="I1627" s="75"/>
      <c r="J1627" s="166"/>
      <c r="K1627" s="191"/>
    </row>
    <row r="1628">
      <c r="A1628" s="148"/>
      <c r="B1628" s="75"/>
      <c r="C1628" s="75"/>
      <c r="D1628" s="75"/>
      <c r="E1628" s="75"/>
      <c r="F1628" s="75"/>
      <c r="G1628" s="75"/>
      <c r="H1628" s="75"/>
      <c r="I1628" s="75"/>
      <c r="J1628" s="166"/>
      <c r="K1628" s="191"/>
    </row>
    <row r="1629">
      <c r="A1629" s="148"/>
      <c r="B1629" s="75"/>
      <c r="C1629" s="75"/>
      <c r="D1629" s="75"/>
      <c r="E1629" s="75"/>
      <c r="F1629" s="75"/>
      <c r="G1629" s="75"/>
      <c r="H1629" s="75"/>
      <c r="I1629" s="75"/>
      <c r="J1629" s="166"/>
      <c r="K1629" s="191"/>
    </row>
    <row r="1630">
      <c r="A1630" s="148"/>
      <c r="B1630" s="75"/>
      <c r="C1630" s="75"/>
      <c r="D1630" s="75"/>
      <c r="E1630" s="75"/>
      <c r="F1630" s="75"/>
      <c r="G1630" s="75"/>
      <c r="H1630" s="75"/>
      <c r="I1630" s="75"/>
      <c r="J1630" s="166"/>
      <c r="K1630" s="191"/>
    </row>
    <row r="1631">
      <c r="A1631" s="148"/>
      <c r="B1631" s="75"/>
      <c r="C1631" s="75"/>
      <c r="D1631" s="75"/>
      <c r="E1631" s="75"/>
      <c r="F1631" s="75"/>
      <c r="G1631" s="75"/>
      <c r="H1631" s="75"/>
      <c r="I1631" s="75"/>
      <c r="J1631" s="166"/>
      <c r="K1631" s="191"/>
    </row>
    <row r="1632">
      <c r="A1632" s="148"/>
      <c r="B1632" s="75"/>
      <c r="C1632" s="75"/>
      <c r="D1632" s="75"/>
      <c r="E1632" s="75"/>
      <c r="F1632" s="75"/>
      <c r="G1632" s="75"/>
      <c r="H1632" s="75"/>
      <c r="I1632" s="75"/>
      <c r="J1632" s="166"/>
      <c r="K1632" s="191"/>
    </row>
    <row r="1633">
      <c r="A1633" s="148"/>
      <c r="B1633" s="75"/>
      <c r="C1633" s="75"/>
      <c r="D1633" s="75"/>
      <c r="E1633" s="75"/>
      <c r="F1633" s="75"/>
      <c r="G1633" s="75"/>
      <c r="H1633" s="75"/>
      <c r="I1633" s="75"/>
      <c r="J1633" s="166"/>
      <c r="K1633" s="191"/>
    </row>
    <row r="1634">
      <c r="A1634" s="148"/>
      <c r="B1634" s="75"/>
      <c r="C1634" s="75"/>
      <c r="D1634" s="75"/>
      <c r="E1634" s="75"/>
      <c r="F1634" s="75"/>
      <c r="G1634" s="75"/>
      <c r="H1634" s="75"/>
      <c r="I1634" s="75"/>
      <c r="J1634" s="166"/>
      <c r="K1634" s="191"/>
    </row>
    <row r="1635">
      <c r="A1635" s="148"/>
      <c r="B1635" s="75"/>
      <c r="C1635" s="75"/>
      <c r="D1635" s="75"/>
      <c r="E1635" s="75"/>
      <c r="F1635" s="75"/>
      <c r="G1635" s="75"/>
      <c r="H1635" s="75"/>
      <c r="I1635" s="75"/>
      <c r="J1635" s="166"/>
      <c r="K1635" s="191"/>
    </row>
    <row r="1636">
      <c r="A1636" s="148"/>
      <c r="B1636" s="75"/>
      <c r="C1636" s="75"/>
      <c r="D1636" s="75"/>
      <c r="E1636" s="75"/>
      <c r="F1636" s="75"/>
      <c r="G1636" s="75"/>
      <c r="H1636" s="75"/>
      <c r="I1636" s="75"/>
      <c r="J1636" s="166"/>
      <c r="K1636" s="191"/>
    </row>
    <row r="1637">
      <c r="A1637" s="148"/>
      <c r="B1637" s="75"/>
      <c r="C1637" s="75"/>
      <c r="D1637" s="75"/>
      <c r="E1637" s="75"/>
      <c r="F1637" s="75"/>
      <c r="G1637" s="75"/>
      <c r="H1637" s="75"/>
      <c r="I1637" s="75"/>
      <c r="J1637" s="166"/>
      <c r="K1637" s="191"/>
    </row>
    <row r="1638">
      <c r="A1638" s="148"/>
      <c r="B1638" s="75"/>
      <c r="C1638" s="75"/>
      <c r="D1638" s="75"/>
      <c r="E1638" s="75"/>
      <c r="F1638" s="75"/>
      <c r="G1638" s="75"/>
      <c r="H1638" s="75"/>
      <c r="I1638" s="75"/>
      <c r="J1638" s="166"/>
      <c r="K1638" s="191"/>
    </row>
    <row r="1639">
      <c r="A1639" s="148"/>
      <c r="B1639" s="75"/>
      <c r="C1639" s="75"/>
      <c r="D1639" s="75"/>
      <c r="E1639" s="75"/>
      <c r="F1639" s="75"/>
      <c r="G1639" s="75"/>
      <c r="H1639" s="75"/>
      <c r="I1639" s="75"/>
      <c r="J1639" s="166"/>
      <c r="K1639" s="191"/>
    </row>
    <row r="1640">
      <c r="A1640" s="148"/>
      <c r="B1640" s="75"/>
      <c r="C1640" s="75"/>
      <c r="D1640" s="75"/>
      <c r="E1640" s="75"/>
      <c r="F1640" s="75"/>
      <c r="G1640" s="75"/>
      <c r="H1640" s="75"/>
      <c r="I1640" s="75"/>
      <c r="J1640" s="166"/>
      <c r="K1640" s="191"/>
    </row>
    <row r="1641">
      <c r="A1641" s="148"/>
      <c r="B1641" s="75"/>
      <c r="C1641" s="75"/>
      <c r="D1641" s="75"/>
      <c r="E1641" s="75"/>
      <c r="F1641" s="75"/>
      <c r="G1641" s="75"/>
      <c r="H1641" s="75"/>
      <c r="I1641" s="75"/>
      <c r="J1641" s="166"/>
      <c r="K1641" s="191"/>
    </row>
    <row r="1642">
      <c r="A1642" s="148"/>
      <c r="B1642" s="75"/>
      <c r="C1642" s="75"/>
      <c r="D1642" s="75"/>
      <c r="E1642" s="75"/>
      <c r="F1642" s="75"/>
      <c r="G1642" s="75"/>
      <c r="H1642" s="75"/>
      <c r="I1642" s="75"/>
      <c r="J1642" s="166"/>
      <c r="K1642" s="191"/>
    </row>
    <row r="1643">
      <c r="A1643" s="148"/>
      <c r="B1643" s="75"/>
      <c r="C1643" s="75"/>
      <c r="D1643" s="75"/>
      <c r="E1643" s="75"/>
      <c r="F1643" s="75"/>
      <c r="G1643" s="75"/>
      <c r="H1643" s="75"/>
      <c r="I1643" s="75"/>
      <c r="J1643" s="166"/>
      <c r="K1643" s="191"/>
    </row>
    <row r="1644">
      <c r="A1644" s="148"/>
      <c r="B1644" s="75"/>
      <c r="C1644" s="75"/>
      <c r="D1644" s="75"/>
      <c r="E1644" s="75"/>
      <c r="F1644" s="75"/>
      <c r="G1644" s="75"/>
      <c r="H1644" s="75"/>
      <c r="I1644" s="75"/>
      <c r="J1644" s="166"/>
      <c r="K1644" s="191"/>
    </row>
    <row r="1645">
      <c r="A1645" s="148"/>
      <c r="B1645" s="75"/>
      <c r="C1645" s="75"/>
      <c r="D1645" s="75"/>
      <c r="E1645" s="75"/>
      <c r="F1645" s="75"/>
      <c r="G1645" s="75"/>
      <c r="H1645" s="75"/>
      <c r="I1645" s="75"/>
      <c r="J1645" s="166"/>
      <c r="K1645" s="191"/>
    </row>
    <row r="1646">
      <c r="A1646" s="148"/>
      <c r="B1646" s="75"/>
      <c r="C1646" s="75"/>
      <c r="D1646" s="75"/>
      <c r="E1646" s="75"/>
      <c r="F1646" s="75"/>
      <c r="G1646" s="75"/>
      <c r="H1646" s="75"/>
      <c r="I1646" s="75"/>
      <c r="J1646" s="166"/>
      <c r="K1646" s="191"/>
    </row>
    <row r="1647">
      <c r="A1647" s="148"/>
      <c r="B1647" s="75"/>
      <c r="C1647" s="75"/>
      <c r="D1647" s="75"/>
      <c r="E1647" s="75"/>
      <c r="F1647" s="75"/>
      <c r="G1647" s="75"/>
      <c r="H1647" s="75"/>
      <c r="I1647" s="75"/>
      <c r="J1647" s="166"/>
      <c r="K1647" s="191"/>
    </row>
    <row r="1648">
      <c r="A1648" s="148"/>
      <c r="B1648" s="75"/>
      <c r="C1648" s="75"/>
      <c r="D1648" s="75"/>
      <c r="E1648" s="75"/>
      <c r="F1648" s="75"/>
      <c r="G1648" s="75"/>
      <c r="H1648" s="75"/>
      <c r="I1648" s="75"/>
      <c r="J1648" s="166"/>
      <c r="K1648" s="191"/>
    </row>
    <row r="1649">
      <c r="A1649" s="148"/>
      <c r="B1649" s="75"/>
      <c r="C1649" s="75"/>
      <c r="D1649" s="75"/>
      <c r="E1649" s="75"/>
      <c r="F1649" s="75"/>
      <c r="G1649" s="75"/>
      <c r="H1649" s="75"/>
      <c r="I1649" s="75"/>
      <c r="J1649" s="166"/>
      <c r="K1649" s="191"/>
    </row>
    <row r="1650">
      <c r="A1650" s="148"/>
      <c r="B1650" s="75"/>
      <c r="C1650" s="75"/>
      <c r="D1650" s="75"/>
      <c r="E1650" s="75"/>
      <c r="F1650" s="75"/>
      <c r="G1650" s="75"/>
      <c r="H1650" s="75"/>
      <c r="I1650" s="75"/>
      <c r="J1650" s="166"/>
      <c r="K1650" s="191"/>
    </row>
    <row r="1651">
      <c r="A1651" s="148"/>
      <c r="B1651" s="75"/>
      <c r="C1651" s="75"/>
      <c r="D1651" s="75"/>
      <c r="E1651" s="75"/>
      <c r="F1651" s="75"/>
      <c r="G1651" s="75"/>
      <c r="H1651" s="75"/>
      <c r="I1651" s="75"/>
      <c r="J1651" s="166"/>
      <c r="K1651" s="191"/>
    </row>
    <row r="1652">
      <c r="A1652" s="148"/>
      <c r="B1652" s="75"/>
      <c r="C1652" s="75"/>
      <c r="D1652" s="75"/>
      <c r="E1652" s="75"/>
      <c r="F1652" s="75"/>
      <c r="G1652" s="75"/>
      <c r="H1652" s="75"/>
      <c r="I1652" s="75"/>
      <c r="J1652" s="166"/>
      <c r="K1652" s="191"/>
    </row>
    <row r="1653">
      <c r="A1653" s="148"/>
      <c r="B1653" s="75"/>
      <c r="C1653" s="75"/>
      <c r="D1653" s="75"/>
      <c r="E1653" s="75"/>
      <c r="F1653" s="75"/>
      <c r="G1653" s="75"/>
      <c r="H1653" s="75"/>
      <c r="I1653" s="75"/>
      <c r="J1653" s="166"/>
      <c r="K1653" s="191"/>
    </row>
    <row r="1654">
      <c r="A1654" s="148"/>
      <c r="B1654" s="75"/>
      <c r="C1654" s="75"/>
      <c r="D1654" s="75"/>
      <c r="E1654" s="75"/>
      <c r="F1654" s="75"/>
      <c r="G1654" s="75"/>
      <c r="H1654" s="75"/>
      <c r="I1654" s="75"/>
      <c r="J1654" s="166"/>
      <c r="K1654" s="191"/>
    </row>
    <row r="1655">
      <c r="A1655" s="148"/>
      <c r="B1655" s="75"/>
      <c r="C1655" s="75"/>
      <c r="D1655" s="75"/>
      <c r="E1655" s="75"/>
      <c r="F1655" s="75"/>
      <c r="G1655" s="75"/>
      <c r="H1655" s="75"/>
      <c r="I1655" s="75"/>
      <c r="J1655" s="166"/>
      <c r="K1655" s="191"/>
    </row>
    <row r="1656">
      <c r="A1656" s="148"/>
      <c r="B1656" s="75"/>
      <c r="C1656" s="75"/>
      <c r="D1656" s="75"/>
      <c r="E1656" s="75"/>
      <c r="F1656" s="75"/>
      <c r="G1656" s="75"/>
      <c r="H1656" s="75"/>
      <c r="I1656" s="75"/>
      <c r="J1656" s="166"/>
      <c r="K1656" s="191"/>
    </row>
    <row r="1657">
      <c r="A1657" s="148"/>
      <c r="B1657" s="75"/>
      <c r="C1657" s="75"/>
      <c r="D1657" s="75"/>
      <c r="E1657" s="75"/>
      <c r="F1657" s="75"/>
      <c r="G1657" s="75"/>
      <c r="H1657" s="75"/>
      <c r="I1657" s="75"/>
      <c r="J1657" s="166"/>
      <c r="K1657" s="191"/>
    </row>
    <row r="1658">
      <c r="A1658" s="148"/>
      <c r="B1658" s="75"/>
      <c r="C1658" s="75"/>
      <c r="D1658" s="75"/>
      <c r="E1658" s="75"/>
      <c r="F1658" s="75"/>
      <c r="G1658" s="75"/>
      <c r="H1658" s="75"/>
      <c r="I1658" s="75"/>
      <c r="J1658" s="166"/>
      <c r="K1658" s="191"/>
    </row>
    <row r="1659">
      <c r="A1659" s="148"/>
      <c r="B1659" s="75"/>
      <c r="C1659" s="75"/>
      <c r="D1659" s="75"/>
      <c r="E1659" s="75"/>
      <c r="F1659" s="75"/>
      <c r="G1659" s="75"/>
      <c r="H1659" s="75"/>
      <c r="I1659" s="75"/>
      <c r="J1659" s="166"/>
      <c r="K1659" s="191"/>
    </row>
    <row r="1660">
      <c r="A1660" s="148"/>
      <c r="B1660" s="75"/>
      <c r="C1660" s="75"/>
      <c r="D1660" s="75"/>
      <c r="E1660" s="75"/>
      <c r="F1660" s="75"/>
      <c r="G1660" s="75"/>
      <c r="H1660" s="75"/>
      <c r="I1660" s="75"/>
      <c r="J1660" s="166"/>
      <c r="K1660" s="191"/>
    </row>
    <row r="1661">
      <c r="A1661" s="148"/>
      <c r="B1661" s="75"/>
      <c r="C1661" s="75"/>
      <c r="D1661" s="75"/>
      <c r="E1661" s="75"/>
      <c r="F1661" s="75"/>
      <c r="G1661" s="75"/>
      <c r="H1661" s="75"/>
      <c r="I1661" s="75"/>
      <c r="J1661" s="166"/>
      <c r="K1661" s="191"/>
    </row>
    <row r="1662">
      <c r="A1662" s="148"/>
      <c r="B1662" s="75"/>
      <c r="C1662" s="75"/>
      <c r="D1662" s="75"/>
      <c r="E1662" s="75"/>
      <c r="F1662" s="75"/>
      <c r="G1662" s="75"/>
      <c r="H1662" s="75"/>
      <c r="I1662" s="75"/>
      <c r="J1662" s="166"/>
      <c r="K1662" s="191"/>
    </row>
    <row r="1663">
      <c r="A1663" s="148"/>
      <c r="B1663" s="75"/>
      <c r="C1663" s="75"/>
      <c r="D1663" s="75"/>
      <c r="E1663" s="75"/>
      <c r="F1663" s="75"/>
      <c r="G1663" s="75"/>
      <c r="H1663" s="75"/>
      <c r="I1663" s="75"/>
      <c r="J1663" s="166"/>
      <c r="K1663" s="191"/>
    </row>
    <row r="1664">
      <c r="A1664" s="148"/>
      <c r="B1664" s="75"/>
      <c r="C1664" s="75"/>
      <c r="D1664" s="75"/>
      <c r="E1664" s="75"/>
      <c r="F1664" s="75"/>
      <c r="G1664" s="75"/>
      <c r="H1664" s="75"/>
      <c r="I1664" s="75"/>
      <c r="J1664" s="166"/>
      <c r="K1664" s="191"/>
    </row>
    <row r="1665">
      <c r="A1665" s="148"/>
      <c r="B1665" s="75"/>
      <c r="C1665" s="75"/>
      <c r="D1665" s="75"/>
      <c r="E1665" s="75"/>
      <c r="F1665" s="75"/>
      <c r="G1665" s="75"/>
      <c r="H1665" s="75"/>
      <c r="I1665" s="75"/>
      <c r="J1665" s="166"/>
      <c r="K1665" s="191"/>
    </row>
    <row r="1666">
      <c r="A1666" s="148"/>
      <c r="B1666" s="75"/>
      <c r="C1666" s="75"/>
      <c r="D1666" s="75"/>
      <c r="E1666" s="75"/>
      <c r="F1666" s="75"/>
      <c r="G1666" s="75"/>
      <c r="H1666" s="75"/>
      <c r="I1666" s="75"/>
      <c r="J1666" s="166"/>
      <c r="K1666" s="191"/>
    </row>
    <row r="1667">
      <c r="A1667" s="148"/>
      <c r="B1667" s="75"/>
      <c r="C1667" s="75"/>
      <c r="D1667" s="75"/>
      <c r="E1667" s="75"/>
      <c r="F1667" s="75"/>
      <c r="G1667" s="75"/>
      <c r="H1667" s="75"/>
      <c r="I1667" s="75"/>
      <c r="J1667" s="166"/>
      <c r="K1667" s="191"/>
    </row>
    <row r="1668">
      <c r="A1668" s="148"/>
      <c r="B1668" s="75"/>
      <c r="C1668" s="75"/>
      <c r="D1668" s="75"/>
      <c r="E1668" s="75"/>
      <c r="F1668" s="75"/>
      <c r="G1668" s="75"/>
      <c r="H1668" s="75"/>
      <c r="I1668" s="75"/>
      <c r="J1668" s="166"/>
      <c r="K1668" s="191"/>
    </row>
    <row r="1669">
      <c r="A1669" s="148"/>
      <c r="B1669" s="75"/>
      <c r="C1669" s="75"/>
      <c r="D1669" s="75"/>
      <c r="E1669" s="75"/>
      <c r="F1669" s="75"/>
      <c r="G1669" s="75"/>
      <c r="H1669" s="75"/>
      <c r="I1669" s="75"/>
      <c r="J1669" s="166"/>
      <c r="K1669" s="191"/>
    </row>
    <row r="1670">
      <c r="A1670" s="148"/>
      <c r="B1670" s="75"/>
      <c r="C1670" s="75"/>
      <c r="D1670" s="75"/>
      <c r="E1670" s="75"/>
      <c r="F1670" s="75"/>
      <c r="G1670" s="75"/>
      <c r="H1670" s="75"/>
      <c r="I1670" s="75"/>
      <c r="J1670" s="166"/>
      <c r="K1670" s="191"/>
    </row>
    <row r="1671">
      <c r="A1671" s="148"/>
      <c r="B1671" s="75"/>
      <c r="C1671" s="75"/>
      <c r="D1671" s="75"/>
      <c r="E1671" s="75"/>
      <c r="F1671" s="75"/>
      <c r="G1671" s="75"/>
      <c r="H1671" s="75"/>
      <c r="I1671" s="75"/>
      <c r="J1671" s="166"/>
      <c r="K1671" s="191"/>
    </row>
    <row r="1672">
      <c r="A1672" s="148"/>
      <c r="B1672" s="75"/>
      <c r="C1672" s="75"/>
      <c r="D1672" s="75"/>
      <c r="E1672" s="75"/>
      <c r="F1672" s="75"/>
      <c r="G1672" s="75"/>
      <c r="H1672" s="75"/>
      <c r="I1672" s="75"/>
      <c r="J1672" s="166"/>
      <c r="K1672" s="191"/>
    </row>
    <row r="1673">
      <c r="A1673" s="148"/>
      <c r="B1673" s="75"/>
      <c r="C1673" s="75"/>
      <c r="D1673" s="75"/>
      <c r="E1673" s="75"/>
      <c r="F1673" s="75"/>
      <c r="G1673" s="75"/>
      <c r="H1673" s="75"/>
      <c r="I1673" s="75"/>
      <c r="J1673" s="166"/>
      <c r="K1673" s="191"/>
    </row>
    <row r="1674">
      <c r="A1674" s="148"/>
      <c r="B1674" s="75"/>
      <c r="C1674" s="75"/>
      <c r="D1674" s="75"/>
      <c r="E1674" s="75"/>
      <c r="F1674" s="75"/>
      <c r="G1674" s="75"/>
      <c r="H1674" s="75"/>
      <c r="I1674" s="75"/>
      <c r="J1674" s="166"/>
      <c r="K1674" s="191"/>
    </row>
    <row r="1675">
      <c r="A1675" s="148"/>
      <c r="B1675" s="75"/>
      <c r="C1675" s="75"/>
      <c r="D1675" s="75"/>
      <c r="E1675" s="75"/>
      <c r="F1675" s="75"/>
      <c r="G1675" s="75"/>
      <c r="H1675" s="75"/>
      <c r="I1675" s="75"/>
      <c r="J1675" s="166"/>
      <c r="K1675" s="191"/>
    </row>
    <row r="1676">
      <c r="A1676" s="148"/>
      <c r="B1676" s="75"/>
      <c r="C1676" s="75"/>
      <c r="D1676" s="75"/>
      <c r="E1676" s="75"/>
      <c r="F1676" s="75"/>
      <c r="G1676" s="75"/>
      <c r="H1676" s="75"/>
      <c r="I1676" s="75"/>
      <c r="J1676" s="166"/>
      <c r="K1676" s="191"/>
    </row>
    <row r="1677">
      <c r="A1677" s="148"/>
      <c r="B1677" s="75"/>
      <c r="C1677" s="75"/>
      <c r="D1677" s="75"/>
      <c r="E1677" s="75"/>
      <c r="F1677" s="75"/>
      <c r="G1677" s="75"/>
      <c r="H1677" s="75"/>
      <c r="I1677" s="75"/>
      <c r="J1677" s="166"/>
      <c r="K1677" s="191"/>
    </row>
    <row r="1678">
      <c r="A1678" s="148"/>
      <c r="B1678" s="75"/>
      <c r="C1678" s="75"/>
      <c r="D1678" s="75"/>
      <c r="E1678" s="75"/>
      <c r="F1678" s="75"/>
      <c r="G1678" s="75"/>
      <c r="H1678" s="75"/>
      <c r="I1678" s="75"/>
      <c r="J1678" s="166"/>
      <c r="K1678" s="191"/>
    </row>
    <row r="1679">
      <c r="A1679" s="148"/>
      <c r="B1679" s="75"/>
      <c r="C1679" s="75"/>
      <c r="D1679" s="75"/>
      <c r="E1679" s="75"/>
      <c r="F1679" s="75"/>
      <c r="G1679" s="75"/>
      <c r="H1679" s="75"/>
      <c r="I1679" s="75"/>
      <c r="J1679" s="166"/>
      <c r="K1679" s="191"/>
    </row>
    <row r="1680">
      <c r="A1680" s="148"/>
      <c r="B1680" s="75"/>
      <c r="C1680" s="75"/>
      <c r="D1680" s="75"/>
      <c r="E1680" s="75"/>
      <c r="F1680" s="75"/>
      <c r="G1680" s="75"/>
      <c r="H1680" s="75"/>
      <c r="I1680" s="75"/>
      <c r="J1680" s="166"/>
      <c r="K1680" s="191"/>
    </row>
    <row r="1681">
      <c r="A1681" s="148"/>
      <c r="B1681" s="75"/>
      <c r="C1681" s="75"/>
      <c r="D1681" s="75"/>
      <c r="E1681" s="75"/>
      <c r="F1681" s="75"/>
      <c r="G1681" s="75"/>
      <c r="H1681" s="75"/>
      <c r="I1681" s="75"/>
      <c r="J1681" s="166"/>
      <c r="K1681" s="191"/>
    </row>
    <row r="1682">
      <c r="A1682" s="148"/>
      <c r="B1682" s="75"/>
      <c r="C1682" s="75"/>
      <c r="D1682" s="75"/>
      <c r="E1682" s="75"/>
      <c r="F1682" s="75"/>
      <c r="G1682" s="75"/>
      <c r="H1682" s="75"/>
      <c r="I1682" s="75"/>
      <c r="J1682" s="166"/>
      <c r="K1682" s="191"/>
    </row>
    <row r="1683">
      <c r="A1683" s="148"/>
      <c r="B1683" s="75"/>
      <c r="C1683" s="75"/>
      <c r="D1683" s="75"/>
      <c r="E1683" s="75"/>
      <c r="F1683" s="75"/>
      <c r="G1683" s="75"/>
      <c r="H1683" s="75"/>
      <c r="I1683" s="75"/>
      <c r="J1683" s="166"/>
      <c r="K1683" s="191"/>
    </row>
    <row r="1684">
      <c r="A1684" s="148"/>
      <c r="B1684" s="75"/>
      <c r="C1684" s="75"/>
      <c r="D1684" s="75"/>
      <c r="E1684" s="75"/>
      <c r="F1684" s="75"/>
      <c r="G1684" s="75"/>
      <c r="H1684" s="75"/>
      <c r="I1684" s="75"/>
      <c r="J1684" s="166"/>
      <c r="K1684" s="191"/>
    </row>
    <row r="1685">
      <c r="A1685" s="148"/>
      <c r="B1685" s="75"/>
      <c r="C1685" s="75"/>
      <c r="D1685" s="75"/>
      <c r="E1685" s="75"/>
      <c r="F1685" s="75"/>
      <c r="G1685" s="75"/>
      <c r="H1685" s="75"/>
      <c r="I1685" s="75"/>
      <c r="J1685" s="166"/>
      <c r="K1685" s="191"/>
    </row>
    <row r="1686">
      <c r="A1686" s="148"/>
      <c r="B1686" s="75"/>
      <c r="C1686" s="75"/>
      <c r="D1686" s="75"/>
      <c r="E1686" s="75"/>
      <c r="F1686" s="75"/>
      <c r="G1686" s="75"/>
      <c r="H1686" s="75"/>
      <c r="I1686" s="75"/>
      <c r="J1686" s="166"/>
      <c r="K1686" s="191"/>
    </row>
    <row r="1687">
      <c r="A1687" s="148"/>
      <c r="B1687" s="75"/>
      <c r="C1687" s="75"/>
      <c r="D1687" s="75"/>
      <c r="E1687" s="75"/>
      <c r="F1687" s="75"/>
      <c r="G1687" s="75"/>
      <c r="H1687" s="75"/>
      <c r="I1687" s="75"/>
      <c r="J1687" s="166"/>
      <c r="K1687" s="191"/>
    </row>
    <row r="1688">
      <c r="A1688" s="148"/>
      <c r="B1688" s="75"/>
      <c r="C1688" s="75"/>
      <c r="D1688" s="75"/>
      <c r="E1688" s="75"/>
      <c r="F1688" s="75"/>
      <c r="G1688" s="75"/>
      <c r="H1688" s="75"/>
      <c r="I1688" s="75"/>
      <c r="J1688" s="166"/>
      <c r="K1688" s="191"/>
    </row>
    <row r="1689">
      <c r="A1689" s="148"/>
      <c r="B1689" s="75"/>
      <c r="C1689" s="75"/>
      <c r="D1689" s="75"/>
      <c r="E1689" s="75"/>
      <c r="F1689" s="75"/>
      <c r="G1689" s="75"/>
      <c r="H1689" s="75"/>
      <c r="I1689" s="75"/>
      <c r="J1689" s="166"/>
      <c r="K1689" s="191"/>
    </row>
    <row r="1690">
      <c r="A1690" s="148"/>
      <c r="B1690" s="75"/>
      <c r="C1690" s="75"/>
      <c r="D1690" s="75"/>
      <c r="E1690" s="75"/>
      <c r="F1690" s="75"/>
      <c r="G1690" s="75"/>
      <c r="H1690" s="75"/>
      <c r="I1690" s="75"/>
      <c r="J1690" s="166"/>
      <c r="K1690" s="191"/>
    </row>
    <row r="1691">
      <c r="A1691" s="148"/>
      <c r="B1691" s="75"/>
      <c r="C1691" s="75"/>
      <c r="D1691" s="75"/>
      <c r="E1691" s="75"/>
      <c r="F1691" s="75"/>
      <c r="G1691" s="75"/>
      <c r="H1691" s="75"/>
      <c r="I1691" s="75"/>
      <c r="J1691" s="166"/>
      <c r="K1691" s="191"/>
    </row>
    <row r="1692">
      <c r="A1692" s="148"/>
      <c r="B1692" s="75"/>
      <c r="C1692" s="75"/>
      <c r="D1692" s="75"/>
      <c r="E1692" s="75"/>
      <c r="F1692" s="75"/>
      <c r="G1692" s="75"/>
      <c r="H1692" s="75"/>
      <c r="I1692" s="75"/>
      <c r="J1692" s="166"/>
      <c r="K1692" s="191"/>
    </row>
    <row r="1693">
      <c r="A1693" s="148"/>
      <c r="B1693" s="75"/>
      <c r="C1693" s="75"/>
      <c r="D1693" s="75"/>
      <c r="E1693" s="75"/>
      <c r="F1693" s="75"/>
      <c r="G1693" s="75"/>
      <c r="H1693" s="75"/>
      <c r="I1693" s="75"/>
      <c r="J1693" s="166"/>
      <c r="K1693" s="191"/>
    </row>
    <row r="1694">
      <c r="A1694" s="148"/>
      <c r="B1694" s="75"/>
      <c r="C1694" s="75"/>
      <c r="D1694" s="75"/>
      <c r="E1694" s="75"/>
      <c r="F1694" s="75"/>
      <c r="G1694" s="75"/>
      <c r="H1694" s="75"/>
      <c r="I1694" s="75"/>
      <c r="J1694" s="166"/>
      <c r="K1694" s="191"/>
    </row>
    <row r="1695">
      <c r="A1695" s="148"/>
      <c r="B1695" s="75"/>
      <c r="C1695" s="75"/>
      <c r="D1695" s="75"/>
      <c r="E1695" s="75"/>
      <c r="F1695" s="75"/>
      <c r="G1695" s="75"/>
      <c r="H1695" s="75"/>
      <c r="I1695" s="75"/>
      <c r="J1695" s="166"/>
      <c r="K1695" s="191"/>
    </row>
    <row r="1696">
      <c r="A1696" s="148"/>
      <c r="B1696" s="75"/>
      <c r="C1696" s="75"/>
      <c r="D1696" s="75"/>
      <c r="E1696" s="75"/>
      <c r="F1696" s="75"/>
      <c r="G1696" s="75"/>
      <c r="H1696" s="75"/>
      <c r="I1696" s="75"/>
      <c r="J1696" s="166"/>
      <c r="K1696" s="191"/>
    </row>
    <row r="1697">
      <c r="A1697" s="148"/>
      <c r="B1697" s="75"/>
      <c r="C1697" s="75"/>
      <c r="D1697" s="75"/>
      <c r="E1697" s="75"/>
      <c r="F1697" s="75"/>
      <c r="G1697" s="75"/>
      <c r="H1697" s="75"/>
      <c r="I1697" s="75"/>
      <c r="J1697" s="166"/>
      <c r="K1697" s="191"/>
    </row>
    <row r="1698">
      <c r="A1698" s="148"/>
      <c r="B1698" s="75"/>
      <c r="C1698" s="75"/>
      <c r="D1698" s="75"/>
      <c r="E1698" s="75"/>
      <c r="F1698" s="75"/>
      <c r="G1698" s="75"/>
      <c r="H1698" s="75"/>
      <c r="I1698" s="75"/>
      <c r="J1698" s="166"/>
      <c r="K1698" s="191"/>
    </row>
    <row r="1699">
      <c r="A1699" s="148"/>
      <c r="B1699" s="75"/>
      <c r="C1699" s="75"/>
      <c r="D1699" s="75"/>
      <c r="E1699" s="75"/>
      <c r="F1699" s="75"/>
      <c r="G1699" s="75"/>
      <c r="H1699" s="75"/>
      <c r="I1699" s="75"/>
      <c r="J1699" s="166"/>
      <c r="K1699" s="191"/>
    </row>
    <row r="1700">
      <c r="A1700" s="148"/>
      <c r="B1700" s="75"/>
      <c r="C1700" s="75"/>
      <c r="D1700" s="75"/>
      <c r="E1700" s="75"/>
      <c r="F1700" s="75"/>
      <c r="G1700" s="75"/>
      <c r="H1700" s="75"/>
      <c r="I1700" s="75"/>
      <c r="J1700" s="166"/>
      <c r="K1700" s="191"/>
    </row>
    <row r="1701">
      <c r="A1701" s="148"/>
      <c r="B1701" s="75"/>
      <c r="C1701" s="75"/>
      <c r="D1701" s="75"/>
      <c r="E1701" s="75"/>
      <c r="F1701" s="75"/>
      <c r="G1701" s="75"/>
      <c r="H1701" s="75"/>
      <c r="I1701" s="75"/>
      <c r="J1701" s="166"/>
      <c r="K1701" s="191"/>
    </row>
    <row r="1702">
      <c r="A1702" s="148"/>
      <c r="B1702" s="75"/>
      <c r="C1702" s="75"/>
      <c r="D1702" s="75"/>
      <c r="E1702" s="75"/>
      <c r="F1702" s="75"/>
      <c r="G1702" s="75"/>
      <c r="H1702" s="75"/>
      <c r="I1702" s="75"/>
      <c r="J1702" s="166"/>
      <c r="K1702" s="191"/>
    </row>
    <row r="1703">
      <c r="A1703" s="148"/>
      <c r="B1703" s="75"/>
      <c r="C1703" s="75"/>
      <c r="D1703" s="75"/>
      <c r="E1703" s="75"/>
      <c r="F1703" s="75"/>
      <c r="G1703" s="75"/>
      <c r="H1703" s="75"/>
      <c r="I1703" s="75"/>
      <c r="J1703" s="166"/>
      <c r="K1703" s="191"/>
    </row>
    <row r="1704">
      <c r="A1704" s="148"/>
      <c r="B1704" s="75"/>
      <c r="C1704" s="75"/>
      <c r="D1704" s="75"/>
      <c r="E1704" s="75"/>
      <c r="F1704" s="75"/>
      <c r="G1704" s="75"/>
      <c r="H1704" s="75"/>
      <c r="I1704" s="75"/>
      <c r="J1704" s="166"/>
      <c r="K1704" s="191"/>
    </row>
    <row r="1705">
      <c r="A1705" s="148"/>
      <c r="B1705" s="75"/>
      <c r="C1705" s="75"/>
      <c r="D1705" s="75"/>
      <c r="E1705" s="75"/>
      <c r="F1705" s="75"/>
      <c r="G1705" s="75"/>
      <c r="H1705" s="75"/>
      <c r="I1705" s="75"/>
      <c r="J1705" s="166"/>
      <c r="K1705" s="191"/>
    </row>
    <row r="1706">
      <c r="A1706" s="148"/>
      <c r="B1706" s="75"/>
      <c r="C1706" s="75"/>
      <c r="D1706" s="75"/>
      <c r="E1706" s="75"/>
      <c r="F1706" s="75"/>
      <c r="G1706" s="75"/>
      <c r="H1706" s="75"/>
      <c r="I1706" s="75"/>
      <c r="J1706" s="166"/>
      <c r="K1706" s="191"/>
    </row>
    <row r="1707">
      <c r="A1707" s="148"/>
      <c r="B1707" s="75"/>
      <c r="C1707" s="75"/>
      <c r="D1707" s="75"/>
      <c r="E1707" s="75"/>
      <c r="F1707" s="75"/>
      <c r="G1707" s="75"/>
      <c r="H1707" s="75"/>
      <c r="I1707" s="75"/>
      <c r="J1707" s="166"/>
      <c r="K1707" s="191"/>
    </row>
    <row r="1708">
      <c r="A1708" s="148"/>
      <c r="B1708" s="75"/>
      <c r="C1708" s="75"/>
      <c r="D1708" s="75"/>
      <c r="E1708" s="75"/>
      <c r="F1708" s="75"/>
      <c r="G1708" s="75"/>
      <c r="H1708" s="75"/>
      <c r="I1708" s="75"/>
      <c r="J1708" s="166"/>
      <c r="K1708" s="191"/>
    </row>
    <row r="1709">
      <c r="A1709" s="148"/>
      <c r="B1709" s="75"/>
      <c r="C1709" s="75"/>
      <c r="D1709" s="75"/>
      <c r="E1709" s="75"/>
      <c r="F1709" s="75"/>
      <c r="G1709" s="75"/>
      <c r="H1709" s="75"/>
      <c r="I1709" s="75"/>
      <c r="J1709" s="166"/>
      <c r="K1709" s="191"/>
    </row>
    <row r="1710">
      <c r="A1710" s="148"/>
      <c r="B1710" s="75"/>
      <c r="C1710" s="75"/>
      <c r="D1710" s="75"/>
      <c r="E1710" s="75"/>
      <c r="F1710" s="75"/>
      <c r="G1710" s="75"/>
      <c r="H1710" s="75"/>
      <c r="I1710" s="75"/>
      <c r="J1710" s="166"/>
      <c r="K1710" s="191"/>
    </row>
    <row r="1711">
      <c r="A1711" s="148"/>
      <c r="B1711" s="75"/>
      <c r="C1711" s="75"/>
      <c r="D1711" s="75"/>
      <c r="E1711" s="75"/>
      <c r="F1711" s="75"/>
      <c r="G1711" s="75"/>
      <c r="H1711" s="75"/>
      <c r="I1711" s="75"/>
      <c r="J1711" s="166"/>
      <c r="K1711" s="191"/>
    </row>
    <row r="1712">
      <c r="A1712" s="148"/>
      <c r="B1712" s="75"/>
      <c r="C1712" s="75"/>
      <c r="D1712" s="75"/>
      <c r="E1712" s="75"/>
      <c r="F1712" s="75"/>
      <c r="G1712" s="75"/>
      <c r="H1712" s="75"/>
      <c r="I1712" s="75"/>
      <c r="J1712" s="166"/>
      <c r="K1712" s="191"/>
    </row>
    <row r="1713">
      <c r="A1713" s="148"/>
      <c r="B1713" s="75"/>
      <c r="C1713" s="75"/>
      <c r="D1713" s="75"/>
      <c r="E1713" s="75"/>
      <c r="F1713" s="75"/>
      <c r="G1713" s="75"/>
      <c r="H1713" s="75"/>
      <c r="I1713" s="75"/>
      <c r="J1713" s="166"/>
      <c r="K1713" s="191"/>
    </row>
    <row r="1714">
      <c r="A1714" s="148"/>
      <c r="B1714" s="75"/>
      <c r="C1714" s="75"/>
      <c r="D1714" s="75"/>
      <c r="E1714" s="75"/>
      <c r="F1714" s="75"/>
      <c r="G1714" s="75"/>
      <c r="H1714" s="75"/>
      <c r="I1714" s="75"/>
      <c r="J1714" s="166"/>
      <c r="K1714" s="191"/>
    </row>
    <row r="1715">
      <c r="A1715" s="148"/>
      <c r="B1715" s="75"/>
      <c r="C1715" s="75"/>
      <c r="D1715" s="75"/>
      <c r="E1715" s="75"/>
      <c r="F1715" s="75"/>
      <c r="G1715" s="75"/>
      <c r="H1715" s="75"/>
      <c r="I1715" s="75"/>
      <c r="J1715" s="166"/>
      <c r="K1715" s="191"/>
    </row>
    <row r="1716">
      <c r="A1716" s="148"/>
      <c r="B1716" s="75"/>
      <c r="C1716" s="75"/>
      <c r="D1716" s="75"/>
      <c r="E1716" s="75"/>
      <c r="F1716" s="75"/>
      <c r="G1716" s="75"/>
      <c r="H1716" s="75"/>
      <c r="I1716" s="75"/>
      <c r="J1716" s="166"/>
      <c r="K1716" s="191"/>
    </row>
    <row r="1717">
      <c r="A1717" s="148"/>
      <c r="B1717" s="75"/>
      <c r="C1717" s="75"/>
      <c r="D1717" s="75"/>
      <c r="E1717" s="75"/>
      <c r="F1717" s="75"/>
      <c r="G1717" s="75"/>
      <c r="H1717" s="75"/>
      <c r="I1717" s="75"/>
      <c r="J1717" s="166"/>
      <c r="K1717" s="191"/>
    </row>
    <row r="1718">
      <c r="A1718" s="148"/>
      <c r="B1718" s="75"/>
      <c r="C1718" s="75"/>
      <c r="D1718" s="75"/>
      <c r="E1718" s="75"/>
      <c r="F1718" s="75"/>
      <c r="G1718" s="75"/>
      <c r="H1718" s="75"/>
      <c r="I1718" s="75"/>
      <c r="J1718" s="166"/>
      <c r="K1718" s="191"/>
    </row>
    <row r="1719">
      <c r="A1719" s="148"/>
      <c r="B1719" s="75"/>
      <c r="C1719" s="75"/>
      <c r="D1719" s="75"/>
      <c r="E1719" s="75"/>
      <c r="F1719" s="75"/>
      <c r="G1719" s="75"/>
      <c r="H1719" s="75"/>
      <c r="I1719" s="75"/>
      <c r="J1719" s="166"/>
      <c r="K1719" s="191"/>
    </row>
    <row r="1720">
      <c r="A1720" s="148"/>
      <c r="B1720" s="75"/>
      <c r="C1720" s="75"/>
      <c r="D1720" s="75"/>
      <c r="E1720" s="75"/>
      <c r="F1720" s="75"/>
      <c r="G1720" s="75"/>
      <c r="H1720" s="75"/>
      <c r="I1720" s="75"/>
      <c r="J1720" s="166"/>
      <c r="K1720" s="191"/>
    </row>
    <row r="1721">
      <c r="A1721" s="148"/>
      <c r="B1721" s="75"/>
      <c r="C1721" s="75"/>
      <c r="D1721" s="75"/>
      <c r="E1721" s="75"/>
      <c r="F1721" s="75"/>
      <c r="G1721" s="75"/>
      <c r="H1721" s="75"/>
      <c r="I1721" s="75"/>
      <c r="J1721" s="166"/>
      <c r="K1721" s="191"/>
    </row>
    <row r="1722">
      <c r="A1722" s="148"/>
      <c r="B1722" s="75"/>
      <c r="C1722" s="75"/>
      <c r="D1722" s="75"/>
      <c r="E1722" s="75"/>
      <c r="F1722" s="75"/>
      <c r="G1722" s="75"/>
      <c r="H1722" s="75"/>
      <c r="I1722" s="75"/>
      <c r="J1722" s="166"/>
      <c r="K1722" s="191"/>
    </row>
    <row r="1723">
      <c r="A1723" s="148"/>
      <c r="B1723" s="75"/>
      <c r="C1723" s="75"/>
      <c r="D1723" s="75"/>
      <c r="E1723" s="75"/>
      <c r="F1723" s="75"/>
      <c r="G1723" s="75"/>
      <c r="H1723" s="75"/>
      <c r="I1723" s="75"/>
      <c r="J1723" s="166"/>
      <c r="K1723" s="191"/>
    </row>
    <row r="1724">
      <c r="A1724" s="148"/>
      <c r="B1724" s="75"/>
      <c r="C1724" s="75"/>
      <c r="D1724" s="75"/>
      <c r="E1724" s="75"/>
      <c r="F1724" s="75"/>
      <c r="G1724" s="75"/>
      <c r="H1724" s="75"/>
      <c r="I1724" s="75"/>
      <c r="J1724" s="166"/>
      <c r="K1724" s="191"/>
    </row>
    <row r="1725">
      <c r="A1725" s="148"/>
      <c r="B1725" s="75"/>
      <c r="C1725" s="75"/>
      <c r="D1725" s="75"/>
      <c r="E1725" s="75"/>
      <c r="F1725" s="75"/>
      <c r="G1725" s="75"/>
      <c r="H1725" s="75"/>
      <c r="I1725" s="75"/>
      <c r="J1725" s="166"/>
      <c r="K1725" s="191"/>
    </row>
    <row r="1726">
      <c r="A1726" s="148"/>
      <c r="B1726" s="75"/>
      <c r="C1726" s="75"/>
      <c r="D1726" s="75"/>
      <c r="E1726" s="75"/>
      <c r="F1726" s="75"/>
      <c r="G1726" s="75"/>
      <c r="H1726" s="75"/>
      <c r="I1726" s="75"/>
      <c r="J1726" s="166"/>
      <c r="K1726" s="191"/>
    </row>
    <row r="1727">
      <c r="A1727" s="148"/>
      <c r="B1727" s="75"/>
      <c r="C1727" s="75"/>
      <c r="D1727" s="75"/>
      <c r="E1727" s="75"/>
      <c r="F1727" s="75"/>
      <c r="G1727" s="75"/>
      <c r="H1727" s="75"/>
      <c r="I1727" s="75"/>
      <c r="J1727" s="166"/>
      <c r="K1727" s="191"/>
    </row>
    <row r="1728">
      <c r="A1728" s="148"/>
      <c r="B1728" s="75"/>
      <c r="C1728" s="75"/>
      <c r="D1728" s="75"/>
      <c r="E1728" s="75"/>
      <c r="F1728" s="75"/>
      <c r="G1728" s="75"/>
      <c r="H1728" s="75"/>
      <c r="I1728" s="75"/>
      <c r="J1728" s="166"/>
      <c r="K1728" s="191"/>
    </row>
    <row r="1729">
      <c r="A1729" s="148"/>
      <c r="B1729" s="75"/>
      <c r="C1729" s="75"/>
      <c r="D1729" s="75"/>
      <c r="E1729" s="75"/>
      <c r="F1729" s="75"/>
      <c r="G1729" s="75"/>
      <c r="H1729" s="75"/>
      <c r="I1729" s="75"/>
      <c r="J1729" s="166"/>
      <c r="K1729" s="191"/>
    </row>
    <row r="1730">
      <c r="A1730" s="148"/>
      <c r="B1730" s="75"/>
      <c r="C1730" s="75"/>
      <c r="D1730" s="75"/>
      <c r="E1730" s="75"/>
      <c r="F1730" s="75"/>
      <c r="G1730" s="75"/>
      <c r="H1730" s="75"/>
      <c r="I1730" s="75"/>
      <c r="J1730" s="166"/>
      <c r="K1730" s="191"/>
    </row>
    <row r="1731">
      <c r="A1731" s="148"/>
      <c r="B1731" s="75"/>
      <c r="C1731" s="75"/>
      <c r="D1731" s="75"/>
      <c r="E1731" s="75"/>
      <c r="F1731" s="75"/>
      <c r="G1731" s="75"/>
      <c r="H1731" s="75"/>
      <c r="I1731" s="75"/>
      <c r="J1731" s="166"/>
      <c r="K1731" s="191"/>
    </row>
    <row r="1732">
      <c r="A1732" s="148"/>
      <c r="B1732" s="75"/>
      <c r="C1732" s="75"/>
      <c r="D1732" s="75"/>
      <c r="E1732" s="75"/>
      <c r="F1732" s="75"/>
      <c r="G1732" s="75"/>
      <c r="H1732" s="75"/>
      <c r="I1732" s="75"/>
      <c r="J1732" s="166"/>
      <c r="K1732" s="191"/>
    </row>
    <row r="1733">
      <c r="A1733" s="148"/>
      <c r="B1733" s="75"/>
      <c r="C1733" s="75"/>
      <c r="D1733" s="75"/>
      <c r="E1733" s="75"/>
      <c r="F1733" s="75"/>
      <c r="G1733" s="75"/>
      <c r="H1733" s="75"/>
      <c r="I1733" s="75"/>
      <c r="J1733" s="166"/>
      <c r="K1733" s="191"/>
    </row>
    <row r="1734">
      <c r="A1734" s="148"/>
      <c r="B1734" s="75"/>
      <c r="C1734" s="75"/>
      <c r="D1734" s="75"/>
      <c r="E1734" s="75"/>
      <c r="F1734" s="75"/>
      <c r="G1734" s="75"/>
      <c r="H1734" s="75"/>
      <c r="I1734" s="75"/>
      <c r="J1734" s="166"/>
      <c r="K1734" s="191"/>
    </row>
    <row r="1735">
      <c r="A1735" s="148"/>
      <c r="B1735" s="75"/>
      <c r="C1735" s="75"/>
      <c r="D1735" s="75"/>
      <c r="E1735" s="75"/>
      <c r="F1735" s="75"/>
      <c r="G1735" s="75"/>
      <c r="H1735" s="75"/>
      <c r="I1735" s="75"/>
      <c r="J1735" s="166"/>
      <c r="K1735" s="191"/>
    </row>
    <row r="1736">
      <c r="A1736" s="148"/>
      <c r="B1736" s="75"/>
      <c r="C1736" s="75"/>
      <c r="D1736" s="75"/>
      <c r="E1736" s="75"/>
      <c r="F1736" s="75"/>
      <c r="G1736" s="75"/>
      <c r="H1736" s="75"/>
      <c r="I1736" s="75"/>
      <c r="J1736" s="166"/>
      <c r="K1736" s="191"/>
    </row>
    <row r="1737">
      <c r="A1737" s="148"/>
      <c r="B1737" s="75"/>
      <c r="C1737" s="75"/>
      <c r="D1737" s="75"/>
      <c r="E1737" s="75"/>
      <c r="F1737" s="75"/>
      <c r="G1737" s="75"/>
      <c r="H1737" s="75"/>
      <c r="I1737" s="75"/>
      <c r="J1737" s="166"/>
      <c r="K1737" s="191"/>
    </row>
    <row r="1738">
      <c r="A1738" s="148"/>
      <c r="B1738" s="75"/>
      <c r="C1738" s="75"/>
      <c r="D1738" s="75"/>
      <c r="E1738" s="75"/>
      <c r="F1738" s="75"/>
      <c r="G1738" s="75"/>
      <c r="H1738" s="75"/>
      <c r="I1738" s="75"/>
      <c r="J1738" s="166"/>
      <c r="K1738" s="191"/>
    </row>
    <row r="1739">
      <c r="A1739" s="148"/>
      <c r="B1739" s="75"/>
      <c r="C1739" s="75"/>
      <c r="D1739" s="75"/>
      <c r="E1739" s="75"/>
      <c r="F1739" s="75"/>
      <c r="G1739" s="75"/>
      <c r="H1739" s="75"/>
      <c r="I1739" s="75"/>
      <c r="J1739" s="166"/>
      <c r="K1739" s="191"/>
    </row>
    <row r="1740">
      <c r="A1740" s="148"/>
      <c r="B1740" s="75"/>
      <c r="C1740" s="75"/>
      <c r="D1740" s="75"/>
      <c r="E1740" s="75"/>
      <c r="F1740" s="75"/>
      <c r="G1740" s="75"/>
      <c r="H1740" s="75"/>
      <c r="I1740" s="75"/>
      <c r="J1740" s="166"/>
      <c r="K1740" s="191"/>
    </row>
    <row r="1741">
      <c r="A1741" s="148"/>
      <c r="B1741" s="75"/>
      <c r="C1741" s="75"/>
      <c r="D1741" s="75"/>
      <c r="E1741" s="75"/>
      <c r="F1741" s="75"/>
      <c r="G1741" s="75"/>
      <c r="H1741" s="75"/>
      <c r="I1741" s="75"/>
      <c r="J1741" s="166"/>
      <c r="K1741" s="191"/>
    </row>
    <row r="1742">
      <c r="A1742" s="148"/>
      <c r="B1742" s="75"/>
      <c r="C1742" s="75"/>
      <c r="D1742" s="75"/>
      <c r="E1742" s="75"/>
      <c r="F1742" s="75"/>
      <c r="G1742" s="75"/>
      <c r="H1742" s="75"/>
      <c r="I1742" s="75"/>
      <c r="J1742" s="166"/>
      <c r="K1742" s="191"/>
    </row>
    <row r="1743">
      <c r="A1743" s="148"/>
      <c r="B1743" s="75"/>
      <c r="C1743" s="75"/>
      <c r="D1743" s="75"/>
      <c r="E1743" s="75"/>
      <c r="F1743" s="75"/>
      <c r="G1743" s="75"/>
      <c r="H1743" s="75"/>
      <c r="I1743" s="75"/>
      <c r="J1743" s="166"/>
      <c r="K1743" s="191"/>
    </row>
    <row r="1744">
      <c r="A1744" s="148"/>
      <c r="B1744" s="75"/>
      <c r="C1744" s="75"/>
      <c r="D1744" s="75"/>
      <c r="E1744" s="75"/>
      <c r="F1744" s="75"/>
      <c r="G1744" s="75"/>
      <c r="H1744" s="75"/>
      <c r="I1744" s="75"/>
      <c r="J1744" s="166"/>
      <c r="K1744" s="191"/>
    </row>
    <row r="1745">
      <c r="A1745" s="148"/>
      <c r="B1745" s="75"/>
      <c r="C1745" s="75"/>
      <c r="D1745" s="75"/>
      <c r="E1745" s="75"/>
      <c r="F1745" s="75"/>
      <c r="G1745" s="75"/>
      <c r="H1745" s="75"/>
      <c r="I1745" s="75"/>
      <c r="J1745" s="166"/>
      <c r="K1745" s="191"/>
    </row>
    <row r="1746">
      <c r="A1746" s="148"/>
      <c r="B1746" s="75"/>
      <c r="C1746" s="75"/>
      <c r="D1746" s="75"/>
      <c r="E1746" s="75"/>
      <c r="F1746" s="75"/>
      <c r="G1746" s="75"/>
      <c r="H1746" s="75"/>
      <c r="I1746" s="75"/>
      <c r="J1746" s="166"/>
      <c r="K1746" s="191"/>
    </row>
    <row r="1747">
      <c r="A1747" s="148"/>
      <c r="B1747" s="75"/>
      <c r="C1747" s="75"/>
      <c r="D1747" s="75"/>
      <c r="E1747" s="75"/>
      <c r="F1747" s="75"/>
      <c r="G1747" s="75"/>
      <c r="H1747" s="75"/>
      <c r="I1747" s="75"/>
      <c r="J1747" s="166"/>
      <c r="K1747" s="191"/>
    </row>
    <row r="1748">
      <c r="A1748" s="148"/>
      <c r="B1748" s="75"/>
      <c r="C1748" s="75"/>
      <c r="D1748" s="75"/>
      <c r="E1748" s="75"/>
      <c r="F1748" s="75"/>
      <c r="G1748" s="75"/>
      <c r="H1748" s="75"/>
      <c r="I1748" s="75"/>
      <c r="J1748" s="166"/>
      <c r="K1748" s="191"/>
    </row>
    <row r="1749">
      <c r="A1749" s="148"/>
      <c r="B1749" s="75"/>
      <c r="C1749" s="75"/>
      <c r="D1749" s="75"/>
      <c r="E1749" s="75"/>
      <c r="F1749" s="75"/>
      <c r="G1749" s="75"/>
      <c r="H1749" s="75"/>
      <c r="I1749" s="75"/>
      <c r="J1749" s="166"/>
      <c r="K1749" s="191"/>
    </row>
    <row r="1750">
      <c r="A1750" s="148"/>
      <c r="B1750" s="75"/>
      <c r="C1750" s="75"/>
      <c r="D1750" s="75"/>
      <c r="E1750" s="75"/>
      <c r="F1750" s="75"/>
      <c r="G1750" s="75"/>
      <c r="H1750" s="75"/>
      <c r="I1750" s="75"/>
      <c r="J1750" s="166"/>
      <c r="K1750" s="191"/>
    </row>
    <row r="1751">
      <c r="A1751" s="148"/>
      <c r="B1751" s="75"/>
      <c r="C1751" s="75"/>
      <c r="D1751" s="75"/>
      <c r="E1751" s="75"/>
      <c r="F1751" s="75"/>
      <c r="G1751" s="75"/>
      <c r="H1751" s="75"/>
      <c r="I1751" s="75"/>
      <c r="J1751" s="166"/>
      <c r="K1751" s="191"/>
    </row>
    <row r="1752">
      <c r="A1752" s="148"/>
      <c r="B1752" s="75"/>
      <c r="C1752" s="75"/>
      <c r="D1752" s="75"/>
      <c r="E1752" s="75"/>
      <c r="F1752" s="75"/>
      <c r="G1752" s="75"/>
      <c r="H1752" s="75"/>
      <c r="I1752" s="75"/>
      <c r="J1752" s="166"/>
      <c r="K1752" s="191"/>
    </row>
    <row r="1753">
      <c r="A1753" s="148"/>
      <c r="B1753" s="75"/>
      <c r="C1753" s="75"/>
      <c r="D1753" s="75"/>
      <c r="E1753" s="75"/>
      <c r="F1753" s="75"/>
      <c r="G1753" s="75"/>
      <c r="H1753" s="75"/>
      <c r="I1753" s="75"/>
      <c r="J1753" s="166"/>
      <c r="K1753" s="191"/>
    </row>
    <row r="1754">
      <c r="A1754" s="148"/>
      <c r="B1754" s="75"/>
      <c r="C1754" s="75"/>
      <c r="D1754" s="75"/>
      <c r="E1754" s="75"/>
      <c r="F1754" s="75"/>
      <c r="G1754" s="75"/>
      <c r="H1754" s="75"/>
      <c r="I1754" s="75"/>
      <c r="J1754" s="166"/>
      <c r="K1754" s="191"/>
    </row>
    <row r="1755">
      <c r="A1755" s="148"/>
      <c r="B1755" s="75"/>
      <c r="C1755" s="75"/>
      <c r="D1755" s="75"/>
      <c r="E1755" s="75"/>
      <c r="F1755" s="75"/>
      <c r="G1755" s="75"/>
      <c r="H1755" s="75"/>
      <c r="I1755" s="75"/>
      <c r="J1755" s="166"/>
      <c r="K1755" s="191"/>
    </row>
    <row r="1756">
      <c r="A1756" s="148"/>
      <c r="B1756" s="75"/>
      <c r="C1756" s="75"/>
      <c r="D1756" s="75"/>
      <c r="E1756" s="75"/>
      <c r="F1756" s="75"/>
      <c r="G1756" s="75"/>
      <c r="H1756" s="75"/>
      <c r="I1756" s="75"/>
      <c r="J1756" s="166"/>
      <c r="K1756" s="191"/>
    </row>
    <row r="1757">
      <c r="A1757" s="148"/>
      <c r="B1757" s="75"/>
      <c r="C1757" s="75"/>
      <c r="D1757" s="75"/>
      <c r="E1757" s="75"/>
      <c r="F1757" s="75"/>
      <c r="G1757" s="75"/>
      <c r="H1757" s="75"/>
      <c r="I1757" s="75"/>
      <c r="J1757" s="166"/>
      <c r="K1757" s="191"/>
    </row>
    <row r="1758">
      <c r="A1758" s="148"/>
      <c r="B1758" s="75"/>
      <c r="C1758" s="75"/>
      <c r="D1758" s="75"/>
      <c r="E1758" s="75"/>
      <c r="F1758" s="75"/>
      <c r="G1758" s="75"/>
      <c r="H1758" s="75"/>
      <c r="I1758" s="75"/>
      <c r="J1758" s="166"/>
      <c r="K1758" s="191"/>
    </row>
    <row r="1759">
      <c r="A1759" s="148"/>
      <c r="B1759" s="75"/>
      <c r="C1759" s="75"/>
      <c r="D1759" s="75"/>
      <c r="E1759" s="75"/>
      <c r="F1759" s="75"/>
      <c r="G1759" s="75"/>
      <c r="H1759" s="75"/>
      <c r="I1759" s="75"/>
      <c r="J1759" s="166"/>
      <c r="K1759" s="191"/>
    </row>
    <row r="1760">
      <c r="A1760" s="148"/>
      <c r="B1760" s="75"/>
      <c r="C1760" s="75"/>
      <c r="D1760" s="75"/>
      <c r="E1760" s="75"/>
      <c r="F1760" s="75"/>
      <c r="G1760" s="75"/>
      <c r="H1760" s="75"/>
      <c r="I1760" s="75"/>
      <c r="J1760" s="166"/>
      <c r="K1760" s="191"/>
    </row>
    <row r="1761">
      <c r="A1761" s="148"/>
      <c r="B1761" s="75"/>
      <c r="C1761" s="75"/>
      <c r="D1761" s="75"/>
      <c r="E1761" s="75"/>
      <c r="F1761" s="75"/>
      <c r="G1761" s="75"/>
      <c r="H1761" s="75"/>
      <c r="I1761" s="75"/>
      <c r="J1761" s="166"/>
      <c r="K1761" s="191"/>
    </row>
    <row r="1762">
      <c r="A1762" s="148"/>
      <c r="B1762" s="75"/>
      <c r="C1762" s="75"/>
      <c r="D1762" s="75"/>
      <c r="E1762" s="75"/>
      <c r="F1762" s="75"/>
      <c r="G1762" s="75"/>
      <c r="H1762" s="75"/>
      <c r="I1762" s="75"/>
      <c r="J1762" s="166"/>
      <c r="K1762" s="191"/>
    </row>
    <row r="1763">
      <c r="A1763" s="148"/>
      <c r="B1763" s="75"/>
      <c r="C1763" s="75"/>
      <c r="D1763" s="75"/>
      <c r="E1763" s="75"/>
      <c r="F1763" s="75"/>
      <c r="G1763" s="75"/>
      <c r="H1763" s="75"/>
      <c r="I1763" s="75"/>
      <c r="J1763" s="166"/>
      <c r="K1763" s="191"/>
    </row>
    <row r="1764">
      <c r="A1764" s="148"/>
      <c r="B1764" s="75"/>
      <c r="C1764" s="75"/>
      <c r="D1764" s="75"/>
      <c r="E1764" s="75"/>
      <c r="F1764" s="75"/>
      <c r="G1764" s="75"/>
      <c r="H1764" s="75"/>
      <c r="I1764" s="75"/>
      <c r="J1764" s="166"/>
      <c r="K1764" s="191"/>
    </row>
    <row r="1765">
      <c r="A1765" s="148"/>
      <c r="B1765" s="75"/>
      <c r="C1765" s="75"/>
      <c r="D1765" s="75"/>
      <c r="E1765" s="75"/>
      <c r="F1765" s="75"/>
      <c r="G1765" s="75"/>
      <c r="H1765" s="75"/>
      <c r="I1765" s="75"/>
      <c r="J1765" s="166"/>
      <c r="K1765" s="191"/>
    </row>
    <row r="1766">
      <c r="A1766" s="148"/>
      <c r="B1766" s="75"/>
      <c r="C1766" s="75"/>
      <c r="D1766" s="75"/>
      <c r="E1766" s="75"/>
      <c r="F1766" s="75"/>
      <c r="G1766" s="75"/>
      <c r="H1766" s="75"/>
      <c r="I1766" s="75"/>
      <c r="J1766" s="166"/>
      <c r="K1766" s="191"/>
    </row>
    <row r="1767">
      <c r="A1767" s="148"/>
      <c r="B1767" s="75"/>
      <c r="C1767" s="75"/>
      <c r="D1767" s="75"/>
      <c r="E1767" s="75"/>
      <c r="F1767" s="75"/>
      <c r="G1767" s="75"/>
      <c r="H1767" s="75"/>
      <c r="I1767" s="75"/>
      <c r="J1767" s="166"/>
      <c r="K1767" s="191"/>
    </row>
    <row r="1768">
      <c r="A1768" s="148"/>
      <c r="B1768" s="75"/>
      <c r="C1768" s="75"/>
      <c r="D1768" s="75"/>
      <c r="E1768" s="75"/>
      <c r="F1768" s="75"/>
      <c r="G1768" s="75"/>
      <c r="H1768" s="75"/>
      <c r="I1768" s="75"/>
      <c r="J1768" s="166"/>
      <c r="K1768" s="191"/>
    </row>
    <row r="1769">
      <c r="A1769" s="148"/>
      <c r="B1769" s="75"/>
      <c r="C1769" s="75"/>
      <c r="D1769" s="75"/>
      <c r="E1769" s="75"/>
      <c r="F1769" s="75"/>
      <c r="G1769" s="75"/>
      <c r="H1769" s="75"/>
      <c r="I1769" s="75"/>
      <c r="J1769" s="166"/>
      <c r="K1769" s="191"/>
    </row>
    <row r="1770">
      <c r="A1770" s="148"/>
      <c r="B1770" s="75"/>
      <c r="C1770" s="75"/>
      <c r="D1770" s="75"/>
      <c r="E1770" s="75"/>
      <c r="F1770" s="75"/>
      <c r="G1770" s="75"/>
      <c r="H1770" s="75"/>
      <c r="I1770" s="75"/>
      <c r="J1770" s="166"/>
      <c r="K1770" s="191"/>
    </row>
    <row r="1771">
      <c r="A1771" s="148"/>
      <c r="B1771" s="75"/>
      <c r="C1771" s="75"/>
      <c r="D1771" s="75"/>
      <c r="E1771" s="75"/>
      <c r="F1771" s="75"/>
      <c r="G1771" s="75"/>
      <c r="H1771" s="75"/>
      <c r="I1771" s="75"/>
      <c r="J1771" s="166"/>
      <c r="K1771" s="191"/>
    </row>
    <row r="1772">
      <c r="A1772" s="148"/>
      <c r="B1772" s="75"/>
      <c r="C1772" s="75"/>
      <c r="D1772" s="75"/>
      <c r="E1772" s="75"/>
      <c r="F1772" s="75"/>
      <c r="G1772" s="75"/>
      <c r="H1772" s="75"/>
      <c r="I1772" s="75"/>
      <c r="J1772" s="166"/>
      <c r="K1772" s="191"/>
    </row>
    <row r="1773">
      <c r="A1773" s="148"/>
      <c r="B1773" s="75"/>
      <c r="C1773" s="75"/>
      <c r="D1773" s="75"/>
      <c r="E1773" s="75"/>
      <c r="F1773" s="75"/>
      <c r="G1773" s="75"/>
      <c r="H1773" s="75"/>
      <c r="I1773" s="75"/>
      <c r="J1773" s="166"/>
      <c r="K1773" s="191"/>
    </row>
    <row r="1774">
      <c r="A1774" s="148"/>
      <c r="B1774" s="75"/>
      <c r="C1774" s="75"/>
      <c r="D1774" s="75"/>
      <c r="E1774" s="75"/>
      <c r="F1774" s="75"/>
      <c r="G1774" s="75"/>
      <c r="H1774" s="75"/>
      <c r="I1774" s="75"/>
      <c r="J1774" s="166"/>
      <c r="K1774" s="191"/>
    </row>
    <row r="1775">
      <c r="A1775" s="148"/>
      <c r="B1775" s="75"/>
      <c r="C1775" s="75"/>
      <c r="D1775" s="75"/>
      <c r="E1775" s="75"/>
      <c r="F1775" s="75"/>
      <c r="G1775" s="75"/>
      <c r="H1775" s="75"/>
      <c r="I1775" s="75"/>
      <c r="J1775" s="166"/>
      <c r="K1775" s="191"/>
    </row>
    <row r="1776">
      <c r="A1776" s="148"/>
      <c r="B1776" s="75"/>
      <c r="C1776" s="75"/>
      <c r="D1776" s="75"/>
      <c r="E1776" s="75"/>
      <c r="F1776" s="75"/>
      <c r="G1776" s="75"/>
      <c r="H1776" s="75"/>
      <c r="I1776" s="75"/>
      <c r="J1776" s="166"/>
      <c r="K1776" s="191"/>
    </row>
    <row r="1777">
      <c r="A1777" s="148"/>
      <c r="B1777" s="75"/>
      <c r="C1777" s="75"/>
      <c r="D1777" s="75"/>
      <c r="E1777" s="75"/>
      <c r="F1777" s="75"/>
      <c r="G1777" s="75"/>
      <c r="H1777" s="75"/>
      <c r="I1777" s="75"/>
      <c r="J1777" s="166"/>
      <c r="K1777" s="191"/>
    </row>
    <row r="1778">
      <c r="A1778" s="148"/>
      <c r="B1778" s="75"/>
      <c r="C1778" s="75"/>
      <c r="D1778" s="75"/>
      <c r="E1778" s="75"/>
      <c r="F1778" s="75"/>
      <c r="G1778" s="75"/>
      <c r="H1778" s="75"/>
      <c r="I1778" s="75"/>
      <c r="J1778" s="166"/>
      <c r="K1778" s="191"/>
    </row>
    <row r="1779">
      <c r="A1779" s="148"/>
      <c r="B1779" s="75"/>
      <c r="C1779" s="75"/>
      <c r="D1779" s="75"/>
      <c r="E1779" s="75"/>
      <c r="F1779" s="75"/>
      <c r="G1779" s="75"/>
      <c r="H1779" s="75"/>
      <c r="I1779" s="75"/>
      <c r="J1779" s="166"/>
      <c r="K1779" s="191"/>
    </row>
    <row r="1780">
      <c r="A1780" s="148"/>
      <c r="B1780" s="75"/>
      <c r="C1780" s="75"/>
      <c r="D1780" s="75"/>
      <c r="E1780" s="75"/>
      <c r="F1780" s="75"/>
      <c r="G1780" s="75"/>
      <c r="H1780" s="75"/>
      <c r="I1780" s="75"/>
      <c r="J1780" s="166"/>
      <c r="K1780" s="191"/>
    </row>
    <row r="1781">
      <c r="A1781" s="148"/>
      <c r="B1781" s="75"/>
      <c r="C1781" s="75"/>
      <c r="D1781" s="75"/>
      <c r="E1781" s="75"/>
      <c r="F1781" s="75"/>
      <c r="G1781" s="75"/>
      <c r="H1781" s="75"/>
      <c r="I1781" s="75"/>
      <c r="J1781" s="166"/>
      <c r="K1781" s="191"/>
    </row>
    <row r="1782">
      <c r="A1782" s="148"/>
      <c r="B1782" s="75"/>
      <c r="C1782" s="75"/>
      <c r="D1782" s="75"/>
      <c r="E1782" s="75"/>
      <c r="F1782" s="75"/>
      <c r="G1782" s="75"/>
      <c r="H1782" s="75"/>
      <c r="I1782" s="75"/>
      <c r="J1782" s="166"/>
      <c r="K1782" s="191"/>
    </row>
    <row r="1783">
      <c r="A1783" s="148"/>
      <c r="B1783" s="75"/>
      <c r="C1783" s="75"/>
      <c r="D1783" s="75"/>
      <c r="E1783" s="75"/>
      <c r="F1783" s="75"/>
      <c r="G1783" s="75"/>
      <c r="H1783" s="75"/>
      <c r="I1783" s="75"/>
      <c r="J1783" s="166"/>
      <c r="K1783" s="191"/>
    </row>
    <row r="1784">
      <c r="A1784" s="148"/>
      <c r="B1784" s="75"/>
      <c r="C1784" s="75"/>
      <c r="D1784" s="75"/>
      <c r="E1784" s="75"/>
      <c r="F1784" s="75"/>
      <c r="G1784" s="75"/>
      <c r="H1784" s="75"/>
      <c r="I1784" s="75"/>
      <c r="J1784" s="166"/>
      <c r="K1784" s="191"/>
    </row>
    <row r="1785">
      <c r="A1785" s="148"/>
      <c r="B1785" s="75"/>
      <c r="C1785" s="75"/>
      <c r="D1785" s="75"/>
      <c r="E1785" s="75"/>
      <c r="F1785" s="75"/>
      <c r="G1785" s="75"/>
      <c r="H1785" s="75"/>
      <c r="I1785" s="75"/>
      <c r="J1785" s="166"/>
      <c r="K1785" s="191"/>
    </row>
    <row r="1786">
      <c r="A1786" s="148"/>
      <c r="B1786" s="75"/>
      <c r="C1786" s="75"/>
      <c r="D1786" s="75"/>
      <c r="E1786" s="75"/>
      <c r="F1786" s="75"/>
      <c r="G1786" s="75"/>
      <c r="H1786" s="75"/>
      <c r="I1786" s="75"/>
      <c r="J1786" s="166"/>
      <c r="K1786" s="191"/>
    </row>
    <row r="1787">
      <c r="A1787" s="148"/>
      <c r="B1787" s="75"/>
      <c r="C1787" s="75"/>
      <c r="D1787" s="75"/>
      <c r="E1787" s="75"/>
      <c r="F1787" s="75"/>
      <c r="G1787" s="75"/>
      <c r="H1787" s="75"/>
      <c r="I1787" s="75"/>
      <c r="J1787" s="166"/>
      <c r="K1787" s="191"/>
    </row>
    <row r="1788">
      <c r="A1788" s="148"/>
      <c r="B1788" s="75"/>
      <c r="C1788" s="75"/>
      <c r="D1788" s="75"/>
      <c r="E1788" s="75"/>
      <c r="F1788" s="75"/>
      <c r="G1788" s="75"/>
      <c r="H1788" s="75"/>
      <c r="I1788" s="75"/>
      <c r="J1788" s="166"/>
      <c r="K1788" s="191"/>
    </row>
    <row r="1789">
      <c r="A1789" s="148"/>
      <c r="B1789" s="75"/>
      <c r="C1789" s="75"/>
      <c r="D1789" s="75"/>
      <c r="E1789" s="75"/>
      <c r="F1789" s="75"/>
      <c r="G1789" s="75"/>
      <c r="H1789" s="75"/>
      <c r="I1789" s="75"/>
      <c r="J1789" s="166"/>
      <c r="K1789" s="191"/>
    </row>
    <row r="1790">
      <c r="A1790" s="148"/>
      <c r="B1790" s="75"/>
      <c r="C1790" s="75"/>
      <c r="D1790" s="75"/>
      <c r="E1790" s="75"/>
      <c r="F1790" s="75"/>
      <c r="G1790" s="75"/>
      <c r="H1790" s="75"/>
      <c r="I1790" s="75"/>
      <c r="J1790" s="166"/>
      <c r="K1790" s="191"/>
    </row>
    <row r="1791">
      <c r="A1791" s="148"/>
      <c r="B1791" s="75"/>
      <c r="C1791" s="75"/>
      <c r="D1791" s="75"/>
      <c r="E1791" s="75"/>
      <c r="F1791" s="75"/>
      <c r="G1791" s="75"/>
      <c r="H1791" s="75"/>
      <c r="I1791" s="75"/>
      <c r="J1791" s="166"/>
      <c r="K1791" s="191"/>
    </row>
    <row r="1792">
      <c r="A1792" s="148"/>
      <c r="B1792" s="75"/>
      <c r="C1792" s="75"/>
      <c r="D1792" s="75"/>
      <c r="E1792" s="75"/>
      <c r="F1792" s="75"/>
      <c r="G1792" s="75"/>
      <c r="H1792" s="75"/>
      <c r="I1792" s="75"/>
      <c r="J1792" s="166"/>
      <c r="K1792" s="191"/>
    </row>
    <row r="1793">
      <c r="A1793" s="148"/>
      <c r="B1793" s="75"/>
      <c r="C1793" s="75"/>
      <c r="D1793" s="75"/>
      <c r="E1793" s="75"/>
      <c r="F1793" s="75"/>
      <c r="G1793" s="75"/>
      <c r="H1793" s="75"/>
      <c r="I1793" s="75"/>
      <c r="J1793" s="166"/>
      <c r="K1793" s="191"/>
    </row>
    <row r="1794">
      <c r="A1794" s="148"/>
      <c r="B1794" s="75"/>
      <c r="C1794" s="75"/>
      <c r="D1794" s="75"/>
      <c r="E1794" s="75"/>
      <c r="F1794" s="75"/>
      <c r="G1794" s="75"/>
      <c r="H1794" s="75"/>
      <c r="I1794" s="75"/>
      <c r="J1794" s="166"/>
      <c r="K1794" s="191"/>
    </row>
    <row r="1795">
      <c r="A1795" s="148"/>
      <c r="B1795" s="75"/>
      <c r="C1795" s="75"/>
      <c r="D1795" s="75"/>
      <c r="E1795" s="75"/>
      <c r="F1795" s="75"/>
      <c r="G1795" s="75"/>
      <c r="H1795" s="75"/>
      <c r="I1795" s="75"/>
      <c r="J1795" s="166"/>
      <c r="K1795" s="191"/>
    </row>
    <row r="1796">
      <c r="A1796" s="148"/>
      <c r="B1796" s="75"/>
      <c r="C1796" s="75"/>
      <c r="D1796" s="75"/>
      <c r="E1796" s="75"/>
      <c r="F1796" s="75"/>
      <c r="G1796" s="75"/>
      <c r="H1796" s="75"/>
      <c r="I1796" s="75"/>
      <c r="J1796" s="166"/>
      <c r="K1796" s="191"/>
    </row>
    <row r="1797">
      <c r="A1797" s="148"/>
      <c r="B1797" s="75"/>
      <c r="C1797" s="75"/>
      <c r="D1797" s="75"/>
      <c r="E1797" s="75"/>
      <c r="F1797" s="75"/>
      <c r="G1797" s="75"/>
      <c r="H1797" s="75"/>
      <c r="I1797" s="75"/>
      <c r="J1797" s="166"/>
      <c r="K1797" s="191"/>
    </row>
    <row r="1798">
      <c r="A1798" s="148"/>
      <c r="B1798" s="75"/>
      <c r="C1798" s="75"/>
      <c r="D1798" s="75"/>
      <c r="E1798" s="75"/>
      <c r="F1798" s="75"/>
      <c r="G1798" s="75"/>
      <c r="H1798" s="75"/>
      <c r="I1798" s="75"/>
      <c r="J1798" s="166"/>
      <c r="K1798" s="191"/>
    </row>
    <row r="1799">
      <c r="A1799" s="148"/>
      <c r="B1799" s="75"/>
      <c r="C1799" s="75"/>
      <c r="D1799" s="75"/>
      <c r="E1799" s="75"/>
      <c r="F1799" s="75"/>
      <c r="G1799" s="75"/>
      <c r="H1799" s="75"/>
      <c r="I1799" s="75"/>
      <c r="J1799" s="166"/>
      <c r="K1799" s="191"/>
    </row>
    <row r="1800">
      <c r="A1800" s="148"/>
      <c r="B1800" s="75"/>
      <c r="C1800" s="75"/>
      <c r="D1800" s="75"/>
      <c r="E1800" s="75"/>
      <c r="F1800" s="75"/>
      <c r="G1800" s="75"/>
      <c r="H1800" s="75"/>
      <c r="I1800" s="75"/>
      <c r="J1800" s="166"/>
      <c r="K1800" s="191"/>
    </row>
    <row r="1801">
      <c r="A1801" s="148"/>
      <c r="B1801" s="75"/>
      <c r="C1801" s="75"/>
      <c r="D1801" s="75"/>
      <c r="E1801" s="75"/>
      <c r="F1801" s="75"/>
      <c r="G1801" s="75"/>
      <c r="H1801" s="75"/>
      <c r="I1801" s="75"/>
      <c r="J1801" s="166"/>
      <c r="K1801" s="191"/>
    </row>
    <row r="1802">
      <c r="A1802" s="148"/>
      <c r="B1802" s="75"/>
      <c r="C1802" s="75"/>
      <c r="D1802" s="75"/>
      <c r="E1802" s="75"/>
      <c r="F1802" s="75"/>
      <c r="G1802" s="75"/>
      <c r="H1802" s="75"/>
      <c r="I1802" s="75"/>
      <c r="J1802" s="166"/>
      <c r="K1802" s="191"/>
    </row>
    <row r="1803">
      <c r="A1803" s="148"/>
      <c r="B1803" s="75"/>
      <c r="C1803" s="75"/>
      <c r="D1803" s="75"/>
      <c r="E1803" s="75"/>
      <c r="F1803" s="75"/>
      <c r="G1803" s="75"/>
      <c r="H1803" s="75"/>
      <c r="I1803" s="75"/>
      <c r="J1803" s="166"/>
      <c r="K1803" s="191"/>
    </row>
    <row r="1804">
      <c r="A1804" s="148"/>
      <c r="B1804" s="75"/>
      <c r="C1804" s="75"/>
      <c r="D1804" s="75"/>
      <c r="E1804" s="75"/>
      <c r="F1804" s="75"/>
      <c r="G1804" s="75"/>
      <c r="H1804" s="75"/>
      <c r="I1804" s="75"/>
      <c r="J1804" s="166"/>
      <c r="K1804" s="191"/>
    </row>
    <row r="1805">
      <c r="A1805" s="148"/>
      <c r="B1805" s="75"/>
      <c r="C1805" s="75"/>
      <c r="D1805" s="75"/>
      <c r="E1805" s="75"/>
      <c r="F1805" s="75"/>
      <c r="G1805" s="75"/>
      <c r="H1805" s="75"/>
      <c r="I1805" s="75"/>
      <c r="J1805" s="166"/>
      <c r="K1805" s="191"/>
    </row>
    <row r="1806">
      <c r="A1806" s="148"/>
      <c r="B1806" s="75"/>
      <c r="C1806" s="75"/>
      <c r="D1806" s="75"/>
      <c r="E1806" s="75"/>
      <c r="F1806" s="75"/>
      <c r="G1806" s="75"/>
      <c r="H1806" s="75"/>
      <c r="I1806" s="75"/>
      <c r="J1806" s="166"/>
      <c r="K1806" s="191"/>
    </row>
    <row r="1807">
      <c r="A1807" s="148"/>
      <c r="B1807" s="75"/>
      <c r="C1807" s="75"/>
      <c r="D1807" s="75"/>
      <c r="E1807" s="75"/>
      <c r="F1807" s="75"/>
      <c r="G1807" s="75"/>
      <c r="H1807" s="75"/>
      <c r="I1807" s="75"/>
      <c r="J1807" s="166"/>
      <c r="K1807" s="191"/>
    </row>
    <row r="1808">
      <c r="A1808" s="148"/>
      <c r="B1808" s="75"/>
      <c r="C1808" s="75"/>
      <c r="D1808" s="75"/>
      <c r="E1808" s="75"/>
      <c r="F1808" s="75"/>
      <c r="G1808" s="75"/>
      <c r="H1808" s="75"/>
      <c r="I1808" s="75"/>
      <c r="J1808" s="166"/>
      <c r="K1808" s="191"/>
    </row>
    <row r="1809">
      <c r="A1809" s="148"/>
      <c r="B1809" s="75"/>
      <c r="C1809" s="75"/>
      <c r="D1809" s="75"/>
      <c r="E1809" s="75"/>
      <c r="F1809" s="75"/>
      <c r="G1809" s="75"/>
      <c r="H1809" s="75"/>
      <c r="I1809" s="75"/>
      <c r="J1809" s="166"/>
      <c r="K1809" s="191"/>
    </row>
    <row r="1810">
      <c r="A1810" s="148"/>
      <c r="B1810" s="75"/>
      <c r="C1810" s="75"/>
      <c r="D1810" s="75"/>
      <c r="E1810" s="75"/>
      <c r="F1810" s="75"/>
      <c r="G1810" s="75"/>
      <c r="H1810" s="75"/>
      <c r="I1810" s="75"/>
      <c r="J1810" s="166"/>
      <c r="K1810" s="191"/>
    </row>
    <row r="1811">
      <c r="A1811" s="148"/>
      <c r="B1811" s="75"/>
      <c r="C1811" s="75"/>
      <c r="D1811" s="75"/>
      <c r="E1811" s="75"/>
      <c r="F1811" s="75"/>
      <c r="G1811" s="75"/>
      <c r="H1811" s="75"/>
      <c r="I1811" s="75"/>
      <c r="J1811" s="166"/>
      <c r="K1811" s="191"/>
    </row>
    <row r="1812">
      <c r="A1812" s="148"/>
      <c r="B1812" s="75"/>
      <c r="C1812" s="75"/>
      <c r="D1812" s="75"/>
      <c r="E1812" s="75"/>
      <c r="F1812" s="75"/>
      <c r="G1812" s="75"/>
      <c r="H1812" s="75"/>
      <c r="I1812" s="75"/>
      <c r="J1812" s="166"/>
      <c r="K1812" s="191"/>
    </row>
    <row r="1813">
      <c r="A1813" s="148"/>
      <c r="B1813" s="75"/>
      <c r="C1813" s="75"/>
      <c r="D1813" s="75"/>
      <c r="E1813" s="75"/>
      <c r="F1813" s="75"/>
      <c r="G1813" s="75"/>
      <c r="H1813" s="75"/>
      <c r="I1813" s="75"/>
      <c r="J1813" s="166"/>
      <c r="K1813" s="191"/>
    </row>
    <row r="1814">
      <c r="A1814" s="148"/>
      <c r="B1814" s="75"/>
      <c r="C1814" s="75"/>
      <c r="D1814" s="75"/>
      <c r="E1814" s="75"/>
      <c r="F1814" s="75"/>
      <c r="G1814" s="75"/>
      <c r="H1814" s="75"/>
      <c r="I1814" s="75"/>
      <c r="J1814" s="166"/>
      <c r="K1814" s="191"/>
    </row>
    <row r="1815">
      <c r="A1815" s="148"/>
      <c r="B1815" s="75"/>
      <c r="C1815" s="75"/>
      <c r="D1815" s="75"/>
      <c r="E1815" s="75"/>
      <c r="F1815" s="75"/>
      <c r="G1815" s="75"/>
      <c r="H1815" s="75"/>
      <c r="I1815" s="75"/>
      <c r="J1815" s="166"/>
      <c r="K1815" s="191"/>
    </row>
    <row r="1816">
      <c r="A1816" s="148"/>
      <c r="B1816" s="75"/>
      <c r="C1816" s="75"/>
      <c r="D1816" s="75"/>
      <c r="E1816" s="75"/>
      <c r="F1816" s="75"/>
      <c r="G1816" s="75"/>
      <c r="H1816" s="75"/>
      <c r="I1816" s="75"/>
      <c r="J1816" s="166"/>
      <c r="K1816" s="191"/>
    </row>
    <row r="1817">
      <c r="A1817" s="148"/>
      <c r="B1817" s="75"/>
      <c r="C1817" s="75"/>
      <c r="D1817" s="75"/>
      <c r="E1817" s="75"/>
      <c r="F1817" s="75"/>
      <c r="G1817" s="75"/>
      <c r="H1817" s="75"/>
      <c r="I1817" s="75"/>
      <c r="J1817" s="166"/>
      <c r="K1817" s="191"/>
    </row>
    <row r="1818">
      <c r="A1818" s="148"/>
      <c r="B1818" s="75"/>
      <c r="C1818" s="75"/>
      <c r="D1818" s="75"/>
      <c r="E1818" s="75"/>
      <c r="F1818" s="75"/>
      <c r="G1818" s="75"/>
      <c r="H1818" s="75"/>
      <c r="I1818" s="75"/>
      <c r="J1818" s="166"/>
      <c r="K1818" s="191"/>
    </row>
    <row r="1819">
      <c r="A1819" s="148"/>
      <c r="B1819" s="75"/>
      <c r="C1819" s="75"/>
      <c r="D1819" s="75"/>
      <c r="E1819" s="75"/>
      <c r="F1819" s="75"/>
      <c r="G1819" s="75"/>
      <c r="H1819" s="75"/>
      <c r="I1819" s="75"/>
      <c r="J1819" s="166"/>
      <c r="K1819" s="191"/>
    </row>
    <row r="1820">
      <c r="A1820" s="148"/>
      <c r="B1820" s="75"/>
      <c r="C1820" s="75"/>
      <c r="D1820" s="75"/>
      <c r="E1820" s="75"/>
      <c r="F1820" s="75"/>
      <c r="G1820" s="75"/>
      <c r="H1820" s="75"/>
      <c r="I1820" s="75"/>
      <c r="J1820" s="166"/>
      <c r="K1820" s="191"/>
    </row>
    <row r="1821">
      <c r="A1821" s="148"/>
      <c r="B1821" s="75"/>
      <c r="C1821" s="75"/>
      <c r="D1821" s="75"/>
      <c r="E1821" s="75"/>
      <c r="F1821" s="75"/>
      <c r="G1821" s="75"/>
      <c r="H1821" s="75"/>
      <c r="I1821" s="75"/>
      <c r="J1821" s="166"/>
      <c r="K1821" s="191"/>
    </row>
    <row r="1822">
      <c r="A1822" s="148"/>
      <c r="B1822" s="75"/>
      <c r="C1822" s="75"/>
      <c r="D1822" s="75"/>
      <c r="E1822" s="75"/>
      <c r="F1822" s="75"/>
      <c r="G1822" s="75"/>
      <c r="H1822" s="75"/>
      <c r="I1822" s="75"/>
      <c r="J1822" s="166"/>
      <c r="K1822" s="191"/>
    </row>
    <row r="1823">
      <c r="A1823" s="148"/>
      <c r="B1823" s="75"/>
      <c r="C1823" s="75"/>
      <c r="D1823" s="75"/>
      <c r="E1823" s="75"/>
      <c r="F1823" s="75"/>
      <c r="G1823" s="75"/>
      <c r="H1823" s="75"/>
      <c r="I1823" s="75"/>
      <c r="J1823" s="166"/>
      <c r="K1823" s="191"/>
    </row>
    <row r="1824">
      <c r="A1824" s="148"/>
      <c r="B1824" s="75"/>
      <c r="C1824" s="75"/>
      <c r="D1824" s="75"/>
      <c r="E1824" s="75"/>
      <c r="F1824" s="75"/>
      <c r="G1824" s="75"/>
      <c r="H1824" s="75"/>
      <c r="I1824" s="75"/>
      <c r="J1824" s="166"/>
      <c r="K1824" s="191"/>
    </row>
    <row r="1825">
      <c r="A1825" s="148"/>
      <c r="B1825" s="75"/>
      <c r="C1825" s="75"/>
      <c r="D1825" s="75"/>
      <c r="E1825" s="75"/>
      <c r="F1825" s="75"/>
      <c r="G1825" s="75"/>
      <c r="H1825" s="75"/>
      <c r="I1825" s="75"/>
      <c r="J1825" s="166"/>
      <c r="K1825" s="191"/>
    </row>
    <row r="1826">
      <c r="A1826" s="148"/>
      <c r="B1826" s="75"/>
      <c r="C1826" s="75"/>
      <c r="D1826" s="75"/>
      <c r="E1826" s="75"/>
      <c r="F1826" s="75"/>
      <c r="G1826" s="75"/>
      <c r="H1826" s="75"/>
      <c r="I1826" s="75"/>
      <c r="J1826" s="166"/>
      <c r="K1826" s="191"/>
    </row>
    <row r="1827">
      <c r="A1827" s="148"/>
      <c r="B1827" s="75"/>
      <c r="C1827" s="75"/>
      <c r="D1827" s="75"/>
      <c r="E1827" s="75"/>
      <c r="F1827" s="75"/>
      <c r="G1827" s="75"/>
      <c r="H1827" s="75"/>
      <c r="I1827" s="75"/>
      <c r="J1827" s="166"/>
      <c r="K1827" s="191"/>
    </row>
    <row r="1828">
      <c r="A1828" s="148"/>
      <c r="B1828" s="75"/>
      <c r="C1828" s="75"/>
      <c r="D1828" s="75"/>
      <c r="E1828" s="75"/>
      <c r="F1828" s="75"/>
      <c r="G1828" s="75"/>
      <c r="H1828" s="75"/>
      <c r="I1828" s="75"/>
      <c r="J1828" s="166"/>
      <c r="K1828" s="191"/>
    </row>
    <row r="1829">
      <c r="A1829" s="148"/>
      <c r="B1829" s="75"/>
      <c r="C1829" s="75"/>
      <c r="D1829" s="75"/>
      <c r="E1829" s="75"/>
      <c r="F1829" s="75"/>
      <c r="G1829" s="75"/>
      <c r="H1829" s="75"/>
      <c r="I1829" s="75"/>
      <c r="J1829" s="166"/>
      <c r="K1829" s="191"/>
    </row>
    <row r="1830">
      <c r="A1830" s="148"/>
      <c r="B1830" s="75"/>
      <c r="C1830" s="75"/>
      <c r="D1830" s="75"/>
      <c r="E1830" s="75"/>
      <c r="F1830" s="75"/>
      <c r="G1830" s="75"/>
      <c r="H1830" s="75"/>
      <c r="I1830" s="75"/>
      <c r="J1830" s="166"/>
      <c r="K1830" s="191"/>
    </row>
    <row r="1831">
      <c r="A1831" s="148"/>
      <c r="B1831" s="75"/>
      <c r="C1831" s="75"/>
      <c r="D1831" s="75"/>
      <c r="E1831" s="75"/>
      <c r="F1831" s="75"/>
      <c r="G1831" s="75"/>
      <c r="H1831" s="75"/>
      <c r="I1831" s="75"/>
      <c r="J1831" s="166"/>
      <c r="K1831" s="191"/>
    </row>
    <row r="1832">
      <c r="A1832" s="148"/>
      <c r="B1832" s="75"/>
      <c r="C1832" s="75"/>
      <c r="D1832" s="75"/>
      <c r="E1832" s="75"/>
      <c r="F1832" s="75"/>
      <c r="G1832" s="75"/>
      <c r="H1832" s="75"/>
      <c r="I1832" s="75"/>
      <c r="J1832" s="166"/>
      <c r="K1832" s="191"/>
    </row>
    <row r="1833">
      <c r="A1833" s="148"/>
      <c r="B1833" s="75"/>
      <c r="C1833" s="75"/>
      <c r="D1833" s="75"/>
      <c r="E1833" s="75"/>
      <c r="F1833" s="75"/>
      <c r="G1833" s="75"/>
      <c r="H1833" s="75"/>
      <c r="I1833" s="75"/>
      <c r="J1833" s="166"/>
      <c r="K1833" s="191"/>
    </row>
    <row r="1834">
      <c r="A1834" s="148"/>
      <c r="B1834" s="75"/>
      <c r="C1834" s="75"/>
      <c r="D1834" s="75"/>
      <c r="E1834" s="75"/>
      <c r="F1834" s="75"/>
      <c r="G1834" s="75"/>
      <c r="H1834" s="75"/>
      <c r="I1834" s="75"/>
      <c r="J1834" s="166"/>
      <c r="K1834" s="191"/>
    </row>
    <row r="1835">
      <c r="A1835" s="148"/>
      <c r="B1835" s="75"/>
      <c r="C1835" s="75"/>
      <c r="D1835" s="75"/>
      <c r="E1835" s="75"/>
      <c r="F1835" s="75"/>
      <c r="G1835" s="75"/>
      <c r="H1835" s="75"/>
      <c r="I1835" s="75"/>
      <c r="J1835" s="166"/>
      <c r="K1835" s="191"/>
    </row>
    <row r="1836">
      <c r="A1836" s="148"/>
      <c r="B1836" s="75"/>
      <c r="C1836" s="75"/>
      <c r="D1836" s="75"/>
      <c r="E1836" s="75"/>
      <c r="F1836" s="75"/>
      <c r="G1836" s="75"/>
      <c r="H1836" s="75"/>
      <c r="I1836" s="75"/>
      <c r="J1836" s="166"/>
      <c r="K1836" s="191"/>
    </row>
    <row r="1837">
      <c r="A1837" s="148"/>
      <c r="B1837" s="75"/>
      <c r="C1837" s="75"/>
      <c r="D1837" s="75"/>
      <c r="E1837" s="75"/>
      <c r="F1837" s="75"/>
      <c r="G1837" s="75"/>
      <c r="H1837" s="75"/>
      <c r="I1837" s="75"/>
      <c r="J1837" s="166"/>
      <c r="K1837" s="191"/>
    </row>
    <row r="1838">
      <c r="A1838" s="148"/>
      <c r="B1838" s="75"/>
      <c r="C1838" s="75"/>
      <c r="D1838" s="75"/>
      <c r="E1838" s="75"/>
      <c r="F1838" s="75"/>
      <c r="G1838" s="75"/>
      <c r="H1838" s="75"/>
      <c r="I1838" s="75"/>
      <c r="J1838" s="166"/>
      <c r="K1838" s="191"/>
    </row>
    <row r="1839">
      <c r="A1839" s="148"/>
      <c r="B1839" s="75"/>
      <c r="C1839" s="75"/>
      <c r="D1839" s="75"/>
      <c r="E1839" s="75"/>
      <c r="F1839" s="75"/>
      <c r="G1839" s="75"/>
      <c r="H1839" s="75"/>
      <c r="I1839" s="75"/>
      <c r="J1839" s="166"/>
      <c r="K1839" s="191"/>
    </row>
    <row r="1840">
      <c r="A1840" s="148"/>
      <c r="B1840" s="75"/>
      <c r="C1840" s="75"/>
      <c r="D1840" s="75"/>
      <c r="E1840" s="75"/>
      <c r="F1840" s="75"/>
      <c r="G1840" s="75"/>
      <c r="H1840" s="75"/>
      <c r="I1840" s="75"/>
      <c r="J1840" s="166"/>
      <c r="K1840" s="191"/>
    </row>
    <row r="1841">
      <c r="A1841" s="148"/>
      <c r="B1841" s="75"/>
      <c r="C1841" s="75"/>
      <c r="D1841" s="75"/>
      <c r="E1841" s="75"/>
      <c r="F1841" s="75"/>
      <c r="G1841" s="75"/>
      <c r="H1841" s="75"/>
      <c r="I1841" s="75"/>
      <c r="J1841" s="166"/>
      <c r="K1841" s="191"/>
    </row>
    <row r="1842">
      <c r="A1842" s="148"/>
      <c r="B1842" s="75"/>
      <c r="C1842" s="75"/>
      <c r="D1842" s="75"/>
      <c r="E1842" s="75"/>
      <c r="F1842" s="75"/>
      <c r="G1842" s="75"/>
      <c r="H1842" s="75"/>
      <c r="I1842" s="75"/>
      <c r="J1842" s="166"/>
      <c r="K1842" s="191"/>
    </row>
    <row r="1843">
      <c r="A1843" s="148"/>
      <c r="B1843" s="75"/>
      <c r="C1843" s="75"/>
      <c r="D1843" s="75"/>
      <c r="E1843" s="75"/>
      <c r="F1843" s="75"/>
      <c r="G1843" s="75"/>
      <c r="H1843" s="75"/>
      <c r="I1843" s="75"/>
      <c r="J1843" s="166"/>
      <c r="K1843" s="191"/>
    </row>
    <row r="1844">
      <c r="A1844" s="148"/>
      <c r="B1844" s="75"/>
      <c r="C1844" s="75"/>
      <c r="D1844" s="75"/>
      <c r="E1844" s="75"/>
      <c r="F1844" s="75"/>
      <c r="G1844" s="75"/>
      <c r="H1844" s="75"/>
      <c r="I1844" s="75"/>
      <c r="J1844" s="166"/>
      <c r="K1844" s="191"/>
    </row>
    <row r="1845">
      <c r="A1845" s="148"/>
      <c r="B1845" s="75"/>
      <c r="C1845" s="75"/>
      <c r="D1845" s="75"/>
      <c r="E1845" s="75"/>
      <c r="F1845" s="75"/>
      <c r="G1845" s="75"/>
      <c r="H1845" s="75"/>
      <c r="I1845" s="75"/>
      <c r="J1845" s="166"/>
      <c r="K1845" s="191"/>
    </row>
    <row r="1846">
      <c r="A1846" s="148"/>
      <c r="B1846" s="75"/>
      <c r="C1846" s="75"/>
      <c r="D1846" s="75"/>
      <c r="E1846" s="75"/>
      <c r="F1846" s="75"/>
      <c r="G1846" s="75"/>
      <c r="H1846" s="75"/>
      <c r="I1846" s="75"/>
      <c r="J1846" s="166"/>
      <c r="K1846" s="191"/>
    </row>
    <row r="1847">
      <c r="A1847" s="148"/>
      <c r="B1847" s="75"/>
      <c r="C1847" s="75"/>
      <c r="D1847" s="75"/>
      <c r="E1847" s="75"/>
      <c r="F1847" s="75"/>
      <c r="G1847" s="75"/>
      <c r="H1847" s="75"/>
      <c r="I1847" s="75"/>
      <c r="J1847" s="166"/>
      <c r="K1847" s="191"/>
    </row>
    <row r="1848">
      <c r="A1848" s="148"/>
      <c r="B1848" s="75"/>
      <c r="C1848" s="75"/>
      <c r="D1848" s="75"/>
      <c r="E1848" s="75"/>
      <c r="F1848" s="75"/>
      <c r="G1848" s="75"/>
      <c r="H1848" s="75"/>
      <c r="I1848" s="75"/>
      <c r="J1848" s="166"/>
      <c r="K1848" s="191"/>
    </row>
    <row r="1849">
      <c r="A1849" s="148"/>
      <c r="B1849" s="75"/>
      <c r="C1849" s="75"/>
      <c r="D1849" s="75"/>
      <c r="E1849" s="75"/>
      <c r="F1849" s="75"/>
      <c r="G1849" s="75"/>
      <c r="H1849" s="75"/>
      <c r="I1849" s="75"/>
      <c r="J1849" s="166"/>
      <c r="K1849" s="191"/>
    </row>
    <row r="1850">
      <c r="A1850" s="148"/>
      <c r="B1850" s="75"/>
      <c r="C1850" s="75"/>
      <c r="D1850" s="75"/>
      <c r="E1850" s="75"/>
      <c r="F1850" s="75"/>
      <c r="G1850" s="75"/>
      <c r="H1850" s="75"/>
      <c r="I1850" s="75"/>
      <c r="J1850" s="166"/>
      <c r="K1850" s="191"/>
    </row>
    <row r="1851">
      <c r="A1851" s="148"/>
      <c r="B1851" s="75"/>
      <c r="C1851" s="75"/>
      <c r="D1851" s="75"/>
      <c r="E1851" s="75"/>
      <c r="F1851" s="75"/>
      <c r="G1851" s="75"/>
      <c r="H1851" s="75"/>
      <c r="I1851" s="75"/>
      <c r="J1851" s="166"/>
      <c r="K1851" s="191"/>
    </row>
    <row r="1852">
      <c r="A1852" s="148"/>
      <c r="B1852" s="75"/>
      <c r="C1852" s="75"/>
      <c r="D1852" s="75"/>
      <c r="E1852" s="75"/>
      <c r="F1852" s="75"/>
      <c r="G1852" s="75"/>
      <c r="H1852" s="75"/>
      <c r="I1852" s="75"/>
      <c r="J1852" s="166"/>
      <c r="K1852" s="191"/>
    </row>
    <row r="1853">
      <c r="A1853" s="148"/>
      <c r="B1853" s="75"/>
      <c r="C1853" s="75"/>
      <c r="D1853" s="75"/>
      <c r="E1853" s="75"/>
      <c r="F1853" s="75"/>
      <c r="G1853" s="75"/>
      <c r="H1853" s="75"/>
      <c r="I1853" s="75"/>
      <c r="J1853" s="166"/>
      <c r="K1853" s="191"/>
    </row>
    <row r="1854">
      <c r="A1854" s="148"/>
      <c r="B1854" s="75"/>
      <c r="C1854" s="75"/>
      <c r="D1854" s="75"/>
      <c r="E1854" s="75"/>
      <c r="F1854" s="75"/>
      <c r="G1854" s="75"/>
      <c r="H1854" s="75"/>
      <c r="I1854" s="75"/>
      <c r="J1854" s="166"/>
      <c r="K1854" s="191"/>
    </row>
    <row r="1855">
      <c r="A1855" s="148"/>
      <c r="B1855" s="75"/>
      <c r="C1855" s="75"/>
      <c r="D1855" s="75"/>
      <c r="E1855" s="75"/>
      <c r="F1855" s="75"/>
      <c r="G1855" s="75"/>
      <c r="H1855" s="75"/>
      <c r="I1855" s="75"/>
      <c r="J1855" s="166"/>
      <c r="K1855" s="191"/>
    </row>
    <row r="1856">
      <c r="A1856" s="148"/>
      <c r="B1856" s="75"/>
      <c r="C1856" s="75"/>
      <c r="D1856" s="75"/>
      <c r="E1856" s="75"/>
      <c r="F1856" s="75"/>
      <c r="G1856" s="75"/>
      <c r="H1856" s="75"/>
      <c r="I1856" s="75"/>
      <c r="J1856" s="166"/>
      <c r="K1856" s="191"/>
    </row>
    <row r="1857">
      <c r="A1857" s="148"/>
      <c r="B1857" s="75"/>
      <c r="C1857" s="75"/>
      <c r="D1857" s="75"/>
      <c r="E1857" s="75"/>
      <c r="F1857" s="75"/>
      <c r="G1857" s="75"/>
      <c r="H1857" s="75"/>
      <c r="I1857" s="75"/>
      <c r="J1857" s="166"/>
      <c r="K1857" s="191"/>
    </row>
    <row r="1858">
      <c r="A1858" s="148"/>
      <c r="B1858" s="75"/>
      <c r="C1858" s="75"/>
      <c r="D1858" s="75"/>
      <c r="E1858" s="75"/>
      <c r="F1858" s="75"/>
      <c r="G1858" s="75"/>
      <c r="H1858" s="75"/>
      <c r="I1858" s="75"/>
      <c r="J1858" s="166"/>
      <c r="K1858" s="191"/>
    </row>
    <row r="1859">
      <c r="A1859" s="148"/>
      <c r="B1859" s="75"/>
      <c r="C1859" s="75"/>
      <c r="D1859" s="75"/>
      <c r="E1859" s="75"/>
      <c r="F1859" s="75"/>
      <c r="G1859" s="75"/>
      <c r="H1859" s="75"/>
      <c r="I1859" s="75"/>
      <c r="J1859" s="166"/>
      <c r="K1859" s="191"/>
    </row>
    <row r="1860">
      <c r="A1860" s="148"/>
      <c r="B1860" s="75"/>
      <c r="C1860" s="75"/>
      <c r="D1860" s="75"/>
      <c r="E1860" s="75"/>
      <c r="F1860" s="75"/>
      <c r="G1860" s="75"/>
      <c r="H1860" s="75"/>
      <c r="I1860" s="75"/>
      <c r="J1860" s="166"/>
      <c r="K1860" s="191"/>
    </row>
    <row r="1861">
      <c r="A1861" s="148"/>
      <c r="B1861" s="75"/>
      <c r="C1861" s="75"/>
      <c r="D1861" s="75"/>
      <c r="E1861" s="75"/>
      <c r="F1861" s="75"/>
      <c r="G1861" s="75"/>
      <c r="H1861" s="75"/>
      <c r="I1861" s="75"/>
      <c r="J1861" s="166"/>
      <c r="K1861" s="191"/>
    </row>
    <row r="1862">
      <c r="A1862" s="148"/>
      <c r="B1862" s="75"/>
      <c r="C1862" s="75"/>
      <c r="D1862" s="75"/>
      <c r="E1862" s="75"/>
      <c r="F1862" s="75"/>
      <c r="G1862" s="75"/>
      <c r="H1862" s="75"/>
      <c r="I1862" s="75"/>
      <c r="J1862" s="166"/>
      <c r="K1862" s="191"/>
    </row>
    <row r="1863">
      <c r="A1863" s="148"/>
      <c r="B1863" s="75"/>
      <c r="C1863" s="75"/>
      <c r="D1863" s="75"/>
      <c r="E1863" s="75"/>
      <c r="F1863" s="75"/>
      <c r="G1863" s="75"/>
      <c r="H1863" s="75"/>
      <c r="I1863" s="75"/>
      <c r="J1863" s="166"/>
      <c r="K1863" s="191"/>
    </row>
    <row r="1864">
      <c r="A1864" s="148"/>
      <c r="B1864" s="75"/>
      <c r="C1864" s="75"/>
      <c r="D1864" s="75"/>
      <c r="E1864" s="75"/>
      <c r="F1864" s="75"/>
      <c r="G1864" s="75"/>
      <c r="H1864" s="75"/>
      <c r="I1864" s="75"/>
      <c r="J1864" s="166"/>
      <c r="K1864" s="191"/>
    </row>
    <row r="1865">
      <c r="A1865" s="148"/>
      <c r="B1865" s="75"/>
      <c r="C1865" s="75"/>
      <c r="D1865" s="75"/>
      <c r="E1865" s="75"/>
      <c r="F1865" s="75"/>
      <c r="G1865" s="75"/>
      <c r="H1865" s="75"/>
      <c r="I1865" s="75"/>
      <c r="J1865" s="166"/>
      <c r="K1865" s="191"/>
    </row>
    <row r="1866">
      <c r="A1866" s="148"/>
      <c r="B1866" s="75"/>
      <c r="C1866" s="75"/>
      <c r="D1866" s="75"/>
      <c r="E1866" s="75"/>
      <c r="F1866" s="75"/>
      <c r="G1866" s="75"/>
      <c r="H1866" s="75"/>
      <c r="I1866" s="75"/>
      <c r="J1866" s="166"/>
      <c r="K1866" s="191"/>
    </row>
    <row r="1867">
      <c r="A1867" s="148"/>
      <c r="B1867" s="75"/>
      <c r="C1867" s="75"/>
      <c r="D1867" s="75"/>
      <c r="E1867" s="75"/>
      <c r="F1867" s="75"/>
      <c r="G1867" s="75"/>
      <c r="H1867" s="75"/>
      <c r="I1867" s="75"/>
      <c r="J1867" s="166"/>
      <c r="K1867" s="191"/>
    </row>
    <row r="1868">
      <c r="A1868" s="148"/>
      <c r="B1868" s="75"/>
      <c r="C1868" s="75"/>
      <c r="D1868" s="75"/>
      <c r="E1868" s="75"/>
      <c r="F1868" s="75"/>
      <c r="G1868" s="75"/>
      <c r="H1868" s="75"/>
      <c r="I1868" s="75"/>
      <c r="J1868" s="166"/>
      <c r="K1868" s="191"/>
    </row>
    <row r="1869">
      <c r="A1869" s="148"/>
      <c r="B1869" s="75"/>
      <c r="C1869" s="75"/>
      <c r="D1869" s="75"/>
      <c r="E1869" s="75"/>
      <c r="F1869" s="75"/>
      <c r="G1869" s="75"/>
      <c r="H1869" s="75"/>
      <c r="I1869" s="75"/>
      <c r="J1869" s="166"/>
      <c r="K1869" s="191"/>
    </row>
    <row r="1870">
      <c r="A1870" s="148"/>
      <c r="B1870" s="75"/>
      <c r="C1870" s="75"/>
      <c r="D1870" s="75"/>
      <c r="E1870" s="75"/>
      <c r="F1870" s="75"/>
      <c r="G1870" s="75"/>
      <c r="H1870" s="75"/>
      <c r="I1870" s="75"/>
      <c r="J1870" s="166"/>
      <c r="K1870" s="191"/>
    </row>
    <row r="1871">
      <c r="A1871" s="148"/>
      <c r="B1871" s="75"/>
      <c r="C1871" s="75"/>
      <c r="D1871" s="75"/>
      <c r="E1871" s="75"/>
      <c r="F1871" s="75"/>
      <c r="G1871" s="75"/>
      <c r="H1871" s="75"/>
      <c r="I1871" s="75"/>
      <c r="J1871" s="166"/>
      <c r="K1871" s="191"/>
    </row>
    <row r="1872">
      <c r="A1872" s="148"/>
      <c r="B1872" s="75"/>
      <c r="C1872" s="75"/>
      <c r="D1872" s="75"/>
      <c r="E1872" s="75"/>
      <c r="F1872" s="75"/>
      <c r="G1872" s="75"/>
      <c r="H1872" s="75"/>
      <c r="I1872" s="75"/>
      <c r="J1872" s="166"/>
      <c r="K1872" s="191"/>
    </row>
    <row r="1873">
      <c r="A1873" s="148"/>
      <c r="B1873" s="75"/>
      <c r="C1873" s="75"/>
      <c r="D1873" s="75"/>
      <c r="E1873" s="75"/>
      <c r="F1873" s="75"/>
      <c r="G1873" s="75"/>
      <c r="H1873" s="75"/>
      <c r="I1873" s="75"/>
      <c r="J1873" s="166"/>
      <c r="K1873" s="191"/>
    </row>
    <row r="1874">
      <c r="A1874" s="148"/>
      <c r="B1874" s="75"/>
      <c r="C1874" s="75"/>
      <c r="D1874" s="75"/>
      <c r="E1874" s="75"/>
      <c r="F1874" s="75"/>
      <c r="G1874" s="75"/>
      <c r="H1874" s="75"/>
      <c r="I1874" s="75"/>
      <c r="J1874" s="166"/>
      <c r="K1874" s="191"/>
    </row>
    <row r="1875">
      <c r="A1875" s="148"/>
      <c r="B1875" s="75"/>
      <c r="C1875" s="75"/>
      <c r="D1875" s="75"/>
      <c r="E1875" s="75"/>
      <c r="F1875" s="75"/>
      <c r="G1875" s="75"/>
      <c r="H1875" s="75"/>
      <c r="I1875" s="75"/>
      <c r="J1875" s="166"/>
      <c r="K1875" s="191"/>
    </row>
    <row r="1876">
      <c r="A1876" s="148"/>
      <c r="B1876" s="75"/>
      <c r="C1876" s="75"/>
      <c r="D1876" s="75"/>
      <c r="E1876" s="75"/>
      <c r="F1876" s="75"/>
      <c r="G1876" s="75"/>
      <c r="H1876" s="75"/>
      <c r="I1876" s="75"/>
      <c r="J1876" s="166"/>
      <c r="K1876" s="191"/>
    </row>
    <row r="1877">
      <c r="A1877" s="148"/>
      <c r="B1877" s="75"/>
      <c r="C1877" s="75"/>
      <c r="D1877" s="75"/>
      <c r="E1877" s="75"/>
      <c r="F1877" s="75"/>
      <c r="G1877" s="75"/>
      <c r="H1877" s="75"/>
      <c r="I1877" s="75"/>
      <c r="J1877" s="166"/>
      <c r="K1877" s="191"/>
    </row>
    <row r="1878">
      <c r="A1878" s="148"/>
      <c r="B1878" s="75"/>
      <c r="C1878" s="75"/>
      <c r="D1878" s="75"/>
      <c r="E1878" s="75"/>
      <c r="F1878" s="75"/>
      <c r="G1878" s="75"/>
      <c r="H1878" s="75"/>
      <c r="I1878" s="75"/>
      <c r="J1878" s="166"/>
      <c r="K1878" s="191"/>
    </row>
    <row r="1879">
      <c r="A1879" s="148"/>
      <c r="B1879" s="75"/>
      <c r="C1879" s="75"/>
      <c r="D1879" s="75"/>
      <c r="E1879" s="75"/>
      <c r="F1879" s="75"/>
      <c r="G1879" s="75"/>
      <c r="H1879" s="75"/>
      <c r="I1879" s="75"/>
      <c r="J1879" s="166"/>
      <c r="K1879" s="191"/>
    </row>
    <row r="1880">
      <c r="A1880" s="148"/>
      <c r="B1880" s="75"/>
      <c r="C1880" s="75"/>
      <c r="D1880" s="75"/>
      <c r="E1880" s="75"/>
      <c r="F1880" s="75"/>
      <c r="G1880" s="75"/>
      <c r="H1880" s="75"/>
      <c r="I1880" s="75"/>
      <c r="J1880" s="166"/>
      <c r="K1880" s="191"/>
    </row>
    <row r="1881">
      <c r="A1881" s="148"/>
      <c r="B1881" s="75"/>
      <c r="C1881" s="75"/>
      <c r="D1881" s="75"/>
      <c r="E1881" s="75"/>
      <c r="F1881" s="75"/>
      <c r="G1881" s="75"/>
      <c r="H1881" s="75"/>
      <c r="I1881" s="75"/>
      <c r="J1881" s="166"/>
      <c r="K1881" s="191"/>
    </row>
    <row r="1882">
      <c r="A1882" s="148"/>
      <c r="B1882" s="75"/>
      <c r="C1882" s="75"/>
      <c r="D1882" s="75"/>
      <c r="E1882" s="75"/>
      <c r="F1882" s="75"/>
      <c r="G1882" s="75"/>
      <c r="H1882" s="75"/>
      <c r="I1882" s="75"/>
      <c r="J1882" s="166"/>
      <c r="K1882" s="191"/>
    </row>
    <row r="1883">
      <c r="A1883" s="148"/>
      <c r="B1883" s="75"/>
      <c r="C1883" s="75"/>
      <c r="D1883" s="75"/>
      <c r="E1883" s="75"/>
      <c r="F1883" s="75"/>
      <c r="G1883" s="75"/>
      <c r="H1883" s="75"/>
      <c r="I1883" s="75"/>
      <c r="J1883" s="166"/>
      <c r="K1883" s="191"/>
    </row>
    <row r="1884">
      <c r="A1884" s="148"/>
      <c r="B1884" s="75"/>
      <c r="C1884" s="75"/>
      <c r="D1884" s="75"/>
      <c r="E1884" s="75"/>
      <c r="F1884" s="75"/>
      <c r="G1884" s="75"/>
      <c r="H1884" s="75"/>
      <c r="I1884" s="75"/>
      <c r="J1884" s="166"/>
      <c r="K1884" s="191"/>
    </row>
    <row r="1885">
      <c r="A1885" s="148"/>
      <c r="B1885" s="75"/>
      <c r="C1885" s="75"/>
      <c r="D1885" s="75"/>
      <c r="E1885" s="75"/>
      <c r="F1885" s="75"/>
      <c r="G1885" s="75"/>
      <c r="H1885" s="75"/>
      <c r="I1885" s="75"/>
      <c r="J1885" s="166"/>
      <c r="K1885" s="191"/>
    </row>
    <row r="1886">
      <c r="A1886" s="148"/>
      <c r="B1886" s="75"/>
      <c r="C1886" s="75"/>
      <c r="D1886" s="75"/>
      <c r="E1886" s="75"/>
      <c r="F1886" s="75"/>
      <c r="G1886" s="75"/>
      <c r="H1886" s="75"/>
      <c r="I1886" s="75"/>
      <c r="J1886" s="166"/>
      <c r="K1886" s="191"/>
    </row>
    <row r="1887">
      <c r="A1887" s="148"/>
      <c r="B1887" s="75"/>
      <c r="C1887" s="75"/>
      <c r="D1887" s="75"/>
      <c r="E1887" s="75"/>
      <c r="F1887" s="75"/>
      <c r="G1887" s="75"/>
      <c r="H1887" s="75"/>
      <c r="I1887" s="75"/>
      <c r="J1887" s="166"/>
      <c r="K1887" s="191"/>
    </row>
    <row r="1888">
      <c r="A1888" s="148"/>
      <c r="B1888" s="75"/>
      <c r="C1888" s="75"/>
      <c r="D1888" s="75"/>
      <c r="E1888" s="75"/>
      <c r="F1888" s="75"/>
      <c r="G1888" s="75"/>
      <c r="H1888" s="75"/>
      <c r="I1888" s="75"/>
      <c r="J1888" s="166"/>
      <c r="K1888" s="191"/>
    </row>
    <row r="1889">
      <c r="A1889" s="148"/>
      <c r="B1889" s="75"/>
      <c r="C1889" s="75"/>
      <c r="D1889" s="75"/>
      <c r="E1889" s="75"/>
      <c r="F1889" s="75"/>
      <c r="G1889" s="75"/>
      <c r="H1889" s="75"/>
      <c r="I1889" s="75"/>
      <c r="J1889" s="166"/>
      <c r="K1889" s="191"/>
    </row>
    <row r="1890">
      <c r="A1890" s="148"/>
      <c r="B1890" s="75"/>
      <c r="C1890" s="75"/>
      <c r="D1890" s="75"/>
      <c r="E1890" s="75"/>
      <c r="F1890" s="75"/>
      <c r="G1890" s="75"/>
      <c r="H1890" s="75"/>
      <c r="I1890" s="75"/>
      <c r="J1890" s="166"/>
      <c r="K1890" s="191"/>
    </row>
    <row r="1891">
      <c r="A1891" s="148"/>
      <c r="B1891" s="75"/>
      <c r="C1891" s="75"/>
      <c r="D1891" s="75"/>
      <c r="E1891" s="75"/>
      <c r="F1891" s="75"/>
      <c r="G1891" s="75"/>
      <c r="H1891" s="75"/>
      <c r="I1891" s="75"/>
      <c r="J1891" s="166"/>
      <c r="K1891" s="191"/>
    </row>
    <row r="1892">
      <c r="A1892" s="148"/>
      <c r="B1892" s="75"/>
      <c r="C1892" s="75"/>
      <c r="D1892" s="75"/>
      <c r="E1892" s="75"/>
      <c r="F1892" s="75"/>
      <c r="G1892" s="75"/>
      <c r="H1892" s="75"/>
      <c r="I1892" s="75"/>
      <c r="J1892" s="166"/>
      <c r="K1892" s="191"/>
    </row>
    <row r="1893">
      <c r="A1893" s="148"/>
      <c r="B1893" s="75"/>
      <c r="C1893" s="75"/>
      <c r="D1893" s="75"/>
      <c r="E1893" s="75"/>
      <c r="F1893" s="75"/>
      <c r="G1893" s="75"/>
      <c r="H1893" s="75"/>
      <c r="I1893" s="75"/>
      <c r="J1893" s="166"/>
      <c r="K1893" s="191"/>
    </row>
    <row r="1894">
      <c r="A1894" s="148"/>
      <c r="B1894" s="75"/>
      <c r="C1894" s="75"/>
      <c r="D1894" s="75"/>
      <c r="E1894" s="75"/>
      <c r="F1894" s="75"/>
      <c r="G1894" s="75"/>
      <c r="H1894" s="75"/>
      <c r="I1894" s="75"/>
      <c r="J1894" s="166"/>
      <c r="K1894" s="191"/>
    </row>
    <row r="1895">
      <c r="A1895" s="148"/>
      <c r="B1895" s="75"/>
      <c r="C1895" s="75"/>
      <c r="D1895" s="75"/>
      <c r="E1895" s="75"/>
      <c r="F1895" s="75"/>
      <c r="G1895" s="75"/>
      <c r="H1895" s="75"/>
      <c r="I1895" s="75"/>
      <c r="J1895" s="166"/>
      <c r="K1895" s="191"/>
    </row>
    <row r="1896">
      <c r="A1896" s="148"/>
      <c r="B1896" s="75"/>
      <c r="C1896" s="75"/>
      <c r="D1896" s="75"/>
      <c r="E1896" s="75"/>
      <c r="F1896" s="75"/>
      <c r="G1896" s="75"/>
      <c r="H1896" s="75"/>
      <c r="I1896" s="75"/>
      <c r="J1896" s="166"/>
      <c r="K1896" s="191"/>
    </row>
    <row r="1897">
      <c r="A1897" s="148"/>
      <c r="B1897" s="75"/>
      <c r="C1897" s="75"/>
      <c r="D1897" s="75"/>
      <c r="E1897" s="75"/>
      <c r="F1897" s="75"/>
      <c r="G1897" s="75"/>
      <c r="H1897" s="75"/>
      <c r="I1897" s="75"/>
      <c r="J1897" s="166"/>
      <c r="K1897" s="191"/>
    </row>
    <row r="1898">
      <c r="A1898" s="148"/>
      <c r="B1898" s="75"/>
      <c r="C1898" s="75"/>
      <c r="D1898" s="75"/>
      <c r="E1898" s="75"/>
      <c r="F1898" s="75"/>
      <c r="G1898" s="75"/>
      <c r="H1898" s="75"/>
      <c r="I1898" s="75"/>
      <c r="J1898" s="166"/>
      <c r="K1898" s="191"/>
    </row>
    <row r="1899">
      <c r="A1899" s="148"/>
      <c r="B1899" s="75"/>
      <c r="C1899" s="75"/>
      <c r="D1899" s="75"/>
      <c r="E1899" s="75"/>
      <c r="F1899" s="75"/>
      <c r="G1899" s="75"/>
      <c r="H1899" s="75"/>
      <c r="I1899" s="75"/>
      <c r="J1899" s="166"/>
      <c r="K1899" s="191"/>
    </row>
    <row r="1900">
      <c r="A1900" s="148"/>
      <c r="B1900" s="75"/>
      <c r="C1900" s="75"/>
      <c r="D1900" s="75"/>
      <c r="E1900" s="75"/>
      <c r="F1900" s="75"/>
      <c r="G1900" s="75"/>
      <c r="H1900" s="75"/>
      <c r="I1900" s="75"/>
      <c r="J1900" s="166"/>
      <c r="K1900" s="191"/>
    </row>
    <row r="1901">
      <c r="A1901" s="148"/>
      <c r="B1901" s="75"/>
      <c r="C1901" s="75"/>
      <c r="D1901" s="75"/>
      <c r="E1901" s="75"/>
      <c r="F1901" s="75"/>
      <c r="G1901" s="75"/>
      <c r="H1901" s="75"/>
      <c r="I1901" s="75"/>
      <c r="J1901" s="166"/>
      <c r="K1901" s="191"/>
    </row>
    <row r="1902">
      <c r="A1902" s="148"/>
      <c r="B1902" s="75"/>
      <c r="C1902" s="75"/>
      <c r="D1902" s="75"/>
      <c r="E1902" s="75"/>
      <c r="F1902" s="75"/>
      <c r="G1902" s="75"/>
      <c r="H1902" s="75"/>
      <c r="I1902" s="75"/>
      <c r="J1902" s="166"/>
      <c r="K1902" s="191"/>
    </row>
    <row r="1903">
      <c r="A1903" s="148"/>
      <c r="B1903" s="75"/>
      <c r="C1903" s="75"/>
      <c r="D1903" s="75"/>
      <c r="E1903" s="75"/>
      <c r="F1903" s="75"/>
      <c r="G1903" s="75"/>
      <c r="H1903" s="75"/>
      <c r="I1903" s="75"/>
      <c r="J1903" s="166"/>
      <c r="K1903" s="191"/>
    </row>
    <row r="1904">
      <c r="A1904" s="148"/>
      <c r="B1904" s="75"/>
      <c r="C1904" s="75"/>
      <c r="D1904" s="75"/>
      <c r="E1904" s="75"/>
      <c r="F1904" s="75"/>
      <c r="G1904" s="75"/>
      <c r="H1904" s="75"/>
      <c r="I1904" s="75"/>
      <c r="J1904" s="166"/>
      <c r="K1904" s="191"/>
    </row>
    <row r="1905">
      <c r="A1905" s="148"/>
      <c r="B1905" s="75"/>
      <c r="C1905" s="75"/>
      <c r="D1905" s="75"/>
      <c r="E1905" s="75"/>
      <c r="F1905" s="75"/>
      <c r="G1905" s="75"/>
      <c r="H1905" s="75"/>
      <c r="I1905" s="75"/>
      <c r="J1905" s="166"/>
      <c r="K1905" s="191"/>
    </row>
    <row r="1906">
      <c r="A1906" s="148"/>
      <c r="B1906" s="75"/>
      <c r="C1906" s="75"/>
      <c r="D1906" s="75"/>
      <c r="E1906" s="75"/>
      <c r="F1906" s="75"/>
      <c r="G1906" s="75"/>
      <c r="H1906" s="75"/>
      <c r="I1906" s="75"/>
      <c r="J1906" s="166"/>
      <c r="K1906" s="191"/>
    </row>
    <row r="1907">
      <c r="A1907" s="148"/>
      <c r="B1907" s="75"/>
      <c r="C1907" s="75"/>
      <c r="D1907" s="75"/>
      <c r="E1907" s="75"/>
      <c r="F1907" s="75"/>
      <c r="G1907" s="75"/>
      <c r="H1907" s="75"/>
      <c r="I1907" s="75"/>
      <c r="J1907" s="166"/>
      <c r="K1907" s="191"/>
    </row>
    <row r="1908">
      <c r="A1908" s="148"/>
      <c r="B1908" s="75"/>
      <c r="C1908" s="75"/>
      <c r="D1908" s="75"/>
      <c r="E1908" s="75"/>
      <c r="F1908" s="75"/>
      <c r="G1908" s="75"/>
      <c r="H1908" s="75"/>
      <c r="I1908" s="75"/>
      <c r="J1908" s="166"/>
      <c r="K1908" s="191"/>
    </row>
    <row r="1909">
      <c r="A1909" s="148"/>
      <c r="B1909" s="75"/>
      <c r="C1909" s="75"/>
      <c r="D1909" s="75"/>
      <c r="E1909" s="75"/>
      <c r="F1909" s="75"/>
      <c r="G1909" s="75"/>
      <c r="H1909" s="75"/>
      <c r="I1909" s="75"/>
      <c r="J1909" s="166"/>
      <c r="K1909" s="191"/>
    </row>
    <row r="1910">
      <c r="A1910" s="148"/>
      <c r="B1910" s="75"/>
      <c r="C1910" s="75"/>
      <c r="D1910" s="75"/>
      <c r="E1910" s="75"/>
      <c r="F1910" s="75"/>
      <c r="G1910" s="75"/>
      <c r="H1910" s="75"/>
      <c r="I1910" s="75"/>
      <c r="J1910" s="166"/>
      <c r="K1910" s="191"/>
    </row>
    <row r="1911">
      <c r="A1911" s="148"/>
      <c r="B1911" s="75"/>
      <c r="C1911" s="75"/>
      <c r="D1911" s="75"/>
      <c r="E1911" s="75"/>
      <c r="F1911" s="75"/>
      <c r="G1911" s="75"/>
      <c r="H1911" s="75"/>
      <c r="I1911" s="75"/>
      <c r="J1911" s="166"/>
      <c r="K1911" s="191"/>
    </row>
    <row r="1912">
      <c r="A1912" s="148"/>
      <c r="B1912" s="75"/>
      <c r="C1912" s="75"/>
      <c r="D1912" s="75"/>
      <c r="E1912" s="75"/>
      <c r="F1912" s="75"/>
      <c r="G1912" s="75"/>
      <c r="H1912" s="75"/>
      <c r="I1912" s="75"/>
      <c r="J1912" s="166"/>
      <c r="K1912" s="191"/>
    </row>
    <row r="1913">
      <c r="A1913" s="148"/>
      <c r="B1913" s="75"/>
      <c r="C1913" s="75"/>
      <c r="D1913" s="75"/>
      <c r="E1913" s="75"/>
      <c r="F1913" s="75"/>
      <c r="G1913" s="75"/>
      <c r="H1913" s="75"/>
      <c r="I1913" s="75"/>
      <c r="J1913" s="166"/>
      <c r="K1913" s="191"/>
    </row>
    <row r="1914">
      <c r="A1914" s="148"/>
      <c r="B1914" s="75"/>
      <c r="C1914" s="75"/>
      <c r="D1914" s="75"/>
      <c r="E1914" s="75"/>
      <c r="F1914" s="75"/>
      <c r="G1914" s="75"/>
      <c r="H1914" s="75"/>
      <c r="I1914" s="75"/>
      <c r="J1914" s="166"/>
      <c r="K1914" s="191"/>
    </row>
    <row r="1915">
      <c r="A1915" s="148"/>
      <c r="B1915" s="75"/>
      <c r="C1915" s="75"/>
      <c r="D1915" s="75"/>
      <c r="E1915" s="75"/>
      <c r="F1915" s="75"/>
      <c r="G1915" s="75"/>
      <c r="H1915" s="75"/>
      <c r="I1915" s="75"/>
      <c r="J1915" s="166"/>
      <c r="K1915" s="191"/>
    </row>
    <row r="1916">
      <c r="A1916" s="148"/>
      <c r="B1916" s="75"/>
      <c r="C1916" s="75"/>
      <c r="D1916" s="75"/>
      <c r="E1916" s="75"/>
      <c r="F1916" s="75"/>
      <c r="G1916" s="75"/>
      <c r="H1916" s="75"/>
      <c r="I1916" s="75"/>
      <c r="J1916" s="166"/>
      <c r="K1916" s="191"/>
    </row>
    <row r="1917">
      <c r="A1917" s="148"/>
      <c r="B1917" s="75"/>
      <c r="C1917" s="75"/>
      <c r="D1917" s="75"/>
      <c r="E1917" s="75"/>
      <c r="F1917" s="75"/>
      <c r="G1917" s="75"/>
      <c r="H1917" s="75"/>
      <c r="I1917" s="75"/>
      <c r="J1917" s="166"/>
      <c r="K1917" s="191"/>
    </row>
    <row r="1918">
      <c r="A1918" s="148"/>
      <c r="B1918" s="75"/>
      <c r="C1918" s="75"/>
      <c r="D1918" s="75"/>
      <c r="E1918" s="75"/>
      <c r="F1918" s="75"/>
      <c r="G1918" s="75"/>
      <c r="H1918" s="75"/>
      <c r="I1918" s="75"/>
      <c r="J1918" s="166"/>
      <c r="K1918" s="191"/>
    </row>
    <row r="1919">
      <c r="A1919" s="148"/>
      <c r="B1919" s="75"/>
      <c r="C1919" s="75"/>
      <c r="D1919" s="75"/>
      <c r="E1919" s="75"/>
      <c r="F1919" s="75"/>
      <c r="G1919" s="75"/>
      <c r="H1919" s="75"/>
      <c r="I1919" s="75"/>
      <c r="J1919" s="166"/>
      <c r="K1919" s="191"/>
    </row>
    <row r="1920">
      <c r="A1920" s="148"/>
      <c r="B1920" s="75"/>
      <c r="C1920" s="75"/>
      <c r="D1920" s="75"/>
      <c r="E1920" s="75"/>
      <c r="F1920" s="75"/>
      <c r="G1920" s="75"/>
      <c r="H1920" s="75"/>
      <c r="I1920" s="75"/>
      <c r="J1920" s="166"/>
      <c r="K1920" s="191"/>
    </row>
    <row r="1921">
      <c r="A1921" s="148"/>
      <c r="B1921" s="75"/>
      <c r="C1921" s="75"/>
      <c r="D1921" s="75"/>
      <c r="E1921" s="75"/>
      <c r="F1921" s="75"/>
      <c r="G1921" s="75"/>
      <c r="H1921" s="75"/>
      <c r="I1921" s="75"/>
      <c r="J1921" s="166"/>
      <c r="K1921" s="191"/>
    </row>
    <row r="1922">
      <c r="A1922" s="148"/>
      <c r="B1922" s="75"/>
      <c r="C1922" s="75"/>
      <c r="D1922" s="75"/>
      <c r="E1922" s="75"/>
      <c r="F1922" s="75"/>
      <c r="G1922" s="75"/>
      <c r="H1922" s="75"/>
      <c r="I1922" s="75"/>
      <c r="J1922" s="166"/>
      <c r="K1922" s="191"/>
    </row>
    <row r="1923">
      <c r="A1923" s="148"/>
      <c r="B1923" s="75"/>
      <c r="C1923" s="75"/>
      <c r="D1923" s="75"/>
      <c r="E1923" s="75"/>
      <c r="F1923" s="75"/>
      <c r="G1923" s="75"/>
      <c r="H1923" s="75"/>
      <c r="I1923" s="75"/>
      <c r="J1923" s="166"/>
      <c r="K1923" s="191"/>
    </row>
    <row r="1924">
      <c r="A1924" s="148"/>
      <c r="B1924" s="75"/>
      <c r="C1924" s="75"/>
      <c r="D1924" s="75"/>
      <c r="E1924" s="75"/>
      <c r="F1924" s="75"/>
      <c r="G1924" s="75"/>
      <c r="H1924" s="75"/>
      <c r="I1924" s="75"/>
      <c r="J1924" s="166"/>
      <c r="K1924" s="191"/>
    </row>
    <row r="1925">
      <c r="A1925" s="148"/>
      <c r="B1925" s="75"/>
      <c r="C1925" s="75"/>
      <c r="D1925" s="75"/>
      <c r="E1925" s="75"/>
      <c r="F1925" s="75"/>
      <c r="G1925" s="75"/>
      <c r="H1925" s="75"/>
      <c r="I1925" s="75"/>
      <c r="J1925" s="166"/>
      <c r="K1925" s="191"/>
    </row>
    <row r="1926">
      <c r="A1926" s="148"/>
      <c r="B1926" s="75"/>
      <c r="C1926" s="75"/>
      <c r="D1926" s="75"/>
      <c r="E1926" s="75"/>
      <c r="F1926" s="75"/>
      <c r="G1926" s="75"/>
      <c r="H1926" s="75"/>
      <c r="I1926" s="75"/>
      <c r="J1926" s="166"/>
      <c r="K1926" s="191"/>
    </row>
    <row r="1927">
      <c r="A1927" s="148"/>
      <c r="B1927" s="75"/>
      <c r="C1927" s="75"/>
      <c r="D1927" s="75"/>
      <c r="E1927" s="75"/>
      <c r="F1927" s="75"/>
      <c r="G1927" s="75"/>
      <c r="H1927" s="75"/>
      <c r="I1927" s="75"/>
      <c r="J1927" s="166"/>
      <c r="K1927" s="191"/>
    </row>
    <row r="1928">
      <c r="A1928" s="148"/>
      <c r="B1928" s="75"/>
      <c r="C1928" s="75"/>
      <c r="D1928" s="75"/>
      <c r="E1928" s="75"/>
      <c r="F1928" s="75"/>
      <c r="G1928" s="75"/>
      <c r="H1928" s="75"/>
      <c r="I1928" s="75"/>
      <c r="J1928" s="166"/>
      <c r="K1928" s="191"/>
    </row>
    <row r="1929">
      <c r="A1929" s="148"/>
      <c r="B1929" s="75"/>
      <c r="C1929" s="75"/>
      <c r="D1929" s="75"/>
      <c r="E1929" s="75"/>
      <c r="F1929" s="75"/>
      <c r="G1929" s="75"/>
      <c r="H1929" s="75"/>
      <c r="I1929" s="75"/>
      <c r="J1929" s="166"/>
      <c r="K1929" s="191"/>
    </row>
    <row r="1930">
      <c r="A1930" s="148"/>
      <c r="B1930" s="75"/>
      <c r="C1930" s="75"/>
      <c r="D1930" s="75"/>
      <c r="E1930" s="75"/>
      <c r="F1930" s="75"/>
      <c r="G1930" s="75"/>
      <c r="H1930" s="75"/>
      <c r="I1930" s="75"/>
      <c r="J1930" s="166"/>
      <c r="K1930" s="191"/>
    </row>
    <row r="1931">
      <c r="A1931" s="148"/>
      <c r="B1931" s="75"/>
      <c r="C1931" s="75"/>
      <c r="D1931" s="75"/>
      <c r="E1931" s="75"/>
      <c r="F1931" s="75"/>
      <c r="G1931" s="75"/>
      <c r="H1931" s="75"/>
      <c r="I1931" s="75"/>
      <c r="J1931" s="166"/>
      <c r="K1931" s="191"/>
    </row>
    <row r="1932">
      <c r="A1932" s="148"/>
      <c r="B1932" s="75"/>
      <c r="C1932" s="75"/>
      <c r="D1932" s="75"/>
      <c r="E1932" s="75"/>
      <c r="F1932" s="75"/>
      <c r="G1932" s="75"/>
      <c r="H1932" s="75"/>
      <c r="I1932" s="75"/>
      <c r="J1932" s="166"/>
      <c r="K1932" s="191"/>
    </row>
    <row r="1933">
      <c r="A1933" s="148"/>
      <c r="B1933" s="75"/>
      <c r="C1933" s="75"/>
      <c r="D1933" s="75"/>
      <c r="E1933" s="75"/>
      <c r="F1933" s="75"/>
      <c r="G1933" s="75"/>
      <c r="H1933" s="75"/>
      <c r="I1933" s="75"/>
      <c r="J1933" s="166"/>
      <c r="K1933" s="191"/>
    </row>
    <row r="1934">
      <c r="A1934" s="148"/>
      <c r="B1934" s="75"/>
      <c r="C1934" s="75"/>
      <c r="D1934" s="75"/>
      <c r="E1934" s="75"/>
      <c r="F1934" s="75"/>
      <c r="G1934" s="75"/>
      <c r="H1934" s="75"/>
      <c r="I1934" s="75"/>
      <c r="J1934" s="166"/>
      <c r="K1934" s="191"/>
    </row>
    <row r="1935">
      <c r="A1935" s="148"/>
      <c r="B1935" s="75"/>
      <c r="C1935" s="75"/>
      <c r="D1935" s="75"/>
      <c r="E1935" s="75"/>
      <c r="F1935" s="75"/>
      <c r="G1935" s="75"/>
      <c r="H1935" s="75"/>
      <c r="I1935" s="75"/>
      <c r="J1935" s="166"/>
      <c r="K1935" s="191"/>
    </row>
    <row r="1936">
      <c r="A1936" s="148"/>
      <c r="B1936" s="75"/>
      <c r="C1936" s="75"/>
      <c r="D1936" s="75"/>
      <c r="E1936" s="75"/>
      <c r="F1936" s="75"/>
      <c r="G1936" s="75"/>
      <c r="H1936" s="75"/>
      <c r="I1936" s="75"/>
      <c r="J1936" s="166"/>
      <c r="K1936" s="191"/>
    </row>
    <row r="1937">
      <c r="A1937" s="148"/>
      <c r="B1937" s="75"/>
      <c r="C1937" s="75"/>
      <c r="D1937" s="75"/>
      <c r="E1937" s="75"/>
      <c r="F1937" s="75"/>
      <c r="G1937" s="75"/>
      <c r="H1937" s="75"/>
      <c r="I1937" s="75"/>
      <c r="J1937" s="166"/>
      <c r="K1937" s="191"/>
    </row>
    <row r="1938">
      <c r="A1938" s="148"/>
      <c r="B1938" s="75"/>
      <c r="C1938" s="75"/>
      <c r="D1938" s="75"/>
      <c r="E1938" s="75"/>
      <c r="F1938" s="75"/>
      <c r="G1938" s="75"/>
      <c r="H1938" s="75"/>
      <c r="I1938" s="75"/>
      <c r="J1938" s="166"/>
      <c r="K1938" s="191"/>
    </row>
    <row r="1939">
      <c r="A1939" s="148"/>
      <c r="B1939" s="75"/>
      <c r="C1939" s="75"/>
      <c r="D1939" s="75"/>
      <c r="E1939" s="75"/>
      <c r="F1939" s="75"/>
      <c r="G1939" s="75"/>
      <c r="H1939" s="75"/>
      <c r="I1939" s="75"/>
      <c r="J1939" s="166"/>
      <c r="K1939" s="191"/>
    </row>
    <row r="1940">
      <c r="A1940" s="148"/>
      <c r="B1940" s="75"/>
      <c r="C1940" s="75"/>
      <c r="D1940" s="75"/>
      <c r="E1940" s="75"/>
      <c r="F1940" s="75"/>
      <c r="G1940" s="75"/>
      <c r="H1940" s="75"/>
      <c r="I1940" s="75"/>
      <c r="J1940" s="166"/>
      <c r="K1940" s="191"/>
    </row>
    <row r="1941">
      <c r="A1941" s="148"/>
      <c r="B1941" s="75"/>
      <c r="C1941" s="75"/>
      <c r="D1941" s="75"/>
      <c r="E1941" s="75"/>
      <c r="F1941" s="75"/>
      <c r="G1941" s="75"/>
      <c r="H1941" s="75"/>
      <c r="I1941" s="75"/>
      <c r="J1941" s="166"/>
      <c r="K1941" s="191"/>
    </row>
    <row r="1942">
      <c r="A1942" s="148"/>
      <c r="B1942" s="75"/>
      <c r="C1942" s="75"/>
      <c r="D1942" s="75"/>
      <c r="E1942" s="75"/>
      <c r="F1942" s="75"/>
      <c r="G1942" s="75"/>
      <c r="H1942" s="75"/>
      <c r="I1942" s="75"/>
      <c r="J1942" s="166"/>
      <c r="K1942" s="191"/>
    </row>
    <row r="1943">
      <c r="A1943" s="148"/>
      <c r="B1943" s="75"/>
      <c r="C1943" s="75"/>
      <c r="D1943" s="75"/>
      <c r="E1943" s="75"/>
      <c r="F1943" s="75"/>
      <c r="G1943" s="75"/>
      <c r="H1943" s="75"/>
      <c r="I1943" s="75"/>
      <c r="J1943" s="166"/>
      <c r="K1943" s="191"/>
    </row>
    <row r="1944">
      <c r="A1944" s="148"/>
      <c r="B1944" s="75"/>
      <c r="C1944" s="75"/>
      <c r="D1944" s="75"/>
      <c r="E1944" s="75"/>
      <c r="F1944" s="75"/>
      <c r="G1944" s="75"/>
      <c r="H1944" s="75"/>
      <c r="I1944" s="75"/>
      <c r="J1944" s="166"/>
      <c r="K1944" s="191"/>
    </row>
    <row r="1945">
      <c r="A1945" s="148"/>
      <c r="B1945" s="75"/>
      <c r="C1945" s="75"/>
      <c r="D1945" s="75"/>
      <c r="E1945" s="75"/>
      <c r="F1945" s="75"/>
      <c r="G1945" s="75"/>
      <c r="H1945" s="75"/>
      <c r="I1945" s="75"/>
      <c r="J1945" s="166"/>
      <c r="K1945" s="191"/>
    </row>
    <row r="1946">
      <c r="A1946" s="148"/>
      <c r="B1946" s="75"/>
      <c r="C1946" s="75"/>
      <c r="D1946" s="75"/>
      <c r="E1946" s="75"/>
      <c r="F1946" s="75"/>
      <c r="G1946" s="75"/>
      <c r="H1946" s="75"/>
      <c r="I1946" s="75"/>
      <c r="J1946" s="166"/>
      <c r="K1946" s="191"/>
    </row>
    <row r="1947">
      <c r="A1947" s="148"/>
      <c r="B1947" s="75"/>
      <c r="C1947" s="75"/>
      <c r="D1947" s="75"/>
      <c r="E1947" s="75"/>
      <c r="F1947" s="75"/>
      <c r="G1947" s="75"/>
      <c r="H1947" s="75"/>
      <c r="I1947" s="75"/>
      <c r="J1947" s="166"/>
      <c r="K1947" s="191"/>
    </row>
    <row r="1948">
      <c r="A1948" s="148"/>
      <c r="B1948" s="75"/>
      <c r="C1948" s="75"/>
      <c r="D1948" s="75"/>
      <c r="E1948" s="75"/>
      <c r="F1948" s="75"/>
      <c r="G1948" s="75"/>
      <c r="H1948" s="75"/>
      <c r="I1948" s="75"/>
      <c r="J1948" s="166"/>
      <c r="K1948" s="191"/>
    </row>
    <row r="1949">
      <c r="A1949" s="148"/>
      <c r="B1949" s="75"/>
      <c r="C1949" s="75"/>
      <c r="D1949" s="75"/>
      <c r="E1949" s="75"/>
      <c r="F1949" s="75"/>
      <c r="G1949" s="75"/>
      <c r="H1949" s="75"/>
      <c r="I1949" s="75"/>
      <c r="J1949" s="166"/>
      <c r="K1949" s="191"/>
    </row>
    <row r="1950">
      <c r="A1950" s="148"/>
      <c r="B1950" s="75"/>
      <c r="C1950" s="75"/>
      <c r="D1950" s="75"/>
      <c r="E1950" s="75"/>
      <c r="F1950" s="75"/>
      <c r="G1950" s="75"/>
      <c r="H1950" s="75"/>
      <c r="I1950" s="75"/>
      <c r="J1950" s="166"/>
      <c r="K1950" s="191"/>
    </row>
    <row r="1951">
      <c r="A1951" s="148"/>
      <c r="B1951" s="75"/>
      <c r="C1951" s="75"/>
      <c r="D1951" s="75"/>
      <c r="E1951" s="75"/>
      <c r="F1951" s="75"/>
      <c r="G1951" s="75"/>
      <c r="H1951" s="75"/>
      <c r="I1951" s="75"/>
      <c r="J1951" s="166"/>
      <c r="K1951" s="191"/>
    </row>
    <row r="1952">
      <c r="A1952" s="148"/>
      <c r="B1952" s="75"/>
      <c r="C1952" s="75"/>
      <c r="D1952" s="75"/>
      <c r="E1952" s="75"/>
      <c r="F1952" s="75"/>
      <c r="G1952" s="75"/>
      <c r="H1952" s="75"/>
      <c r="I1952" s="75"/>
      <c r="J1952" s="166"/>
      <c r="K1952" s="191"/>
    </row>
    <row r="1953">
      <c r="A1953" s="148"/>
      <c r="B1953" s="75"/>
      <c r="C1953" s="75"/>
      <c r="D1953" s="75"/>
      <c r="E1953" s="75"/>
      <c r="F1953" s="75"/>
      <c r="G1953" s="75"/>
      <c r="H1953" s="75"/>
      <c r="I1953" s="75"/>
      <c r="J1953" s="166"/>
      <c r="K1953" s="191"/>
    </row>
    <row r="1954">
      <c r="A1954" s="148"/>
      <c r="B1954" s="75"/>
      <c r="C1954" s="75"/>
      <c r="D1954" s="75"/>
      <c r="E1954" s="75"/>
      <c r="F1954" s="75"/>
      <c r="G1954" s="75"/>
      <c r="H1954" s="75"/>
      <c r="I1954" s="75"/>
      <c r="J1954" s="166"/>
      <c r="K1954" s="191"/>
    </row>
    <row r="1955">
      <c r="A1955" s="148"/>
      <c r="B1955" s="75"/>
      <c r="C1955" s="75"/>
      <c r="D1955" s="75"/>
      <c r="E1955" s="75"/>
      <c r="F1955" s="75"/>
      <c r="G1955" s="75"/>
      <c r="H1955" s="75"/>
      <c r="I1955" s="75"/>
      <c r="J1955" s="166"/>
      <c r="K1955" s="191"/>
    </row>
    <row r="1956">
      <c r="A1956" s="148"/>
      <c r="B1956" s="75"/>
      <c r="C1956" s="75"/>
      <c r="D1956" s="75"/>
      <c r="E1956" s="75"/>
      <c r="F1956" s="75"/>
      <c r="G1956" s="75"/>
      <c r="H1956" s="75"/>
      <c r="I1956" s="75"/>
      <c r="J1956" s="166"/>
      <c r="K1956" s="191"/>
    </row>
    <row r="1957">
      <c r="A1957" s="148"/>
      <c r="B1957" s="75"/>
      <c r="C1957" s="75"/>
      <c r="D1957" s="75"/>
      <c r="E1957" s="75"/>
      <c r="F1957" s="75"/>
      <c r="G1957" s="75"/>
      <c r="H1957" s="75"/>
      <c r="I1957" s="75"/>
      <c r="J1957" s="166"/>
      <c r="K1957" s="191"/>
    </row>
    <row r="1958">
      <c r="A1958" s="148"/>
      <c r="B1958" s="75"/>
      <c r="C1958" s="75"/>
      <c r="D1958" s="75"/>
      <c r="E1958" s="75"/>
      <c r="F1958" s="75"/>
      <c r="G1958" s="75"/>
      <c r="H1958" s="75"/>
      <c r="I1958" s="75"/>
      <c r="J1958" s="166"/>
      <c r="K1958" s="191"/>
    </row>
    <row r="1959">
      <c r="A1959" s="148"/>
      <c r="B1959" s="75"/>
      <c r="C1959" s="75"/>
      <c r="D1959" s="75"/>
      <c r="E1959" s="75"/>
      <c r="F1959" s="75"/>
      <c r="G1959" s="75"/>
      <c r="H1959" s="75"/>
      <c r="I1959" s="75"/>
      <c r="J1959" s="166"/>
      <c r="K1959" s="191"/>
    </row>
    <row r="1960">
      <c r="A1960" s="148"/>
      <c r="B1960" s="75"/>
      <c r="C1960" s="75"/>
      <c r="D1960" s="75"/>
      <c r="E1960" s="75"/>
      <c r="F1960" s="75"/>
      <c r="G1960" s="75"/>
      <c r="H1960" s="75"/>
      <c r="I1960" s="75"/>
      <c r="J1960" s="166"/>
      <c r="K1960" s="191"/>
    </row>
    <row r="1961">
      <c r="A1961" s="148"/>
      <c r="B1961" s="75"/>
      <c r="C1961" s="75"/>
      <c r="D1961" s="75"/>
      <c r="E1961" s="75"/>
      <c r="F1961" s="75"/>
      <c r="G1961" s="75"/>
      <c r="H1961" s="75"/>
      <c r="I1961" s="75"/>
      <c r="J1961" s="166"/>
      <c r="K1961" s="191"/>
    </row>
    <row r="1962">
      <c r="A1962" s="148"/>
      <c r="B1962" s="75"/>
      <c r="C1962" s="75"/>
      <c r="D1962" s="75"/>
      <c r="E1962" s="75"/>
      <c r="F1962" s="75"/>
      <c r="G1962" s="75"/>
      <c r="H1962" s="75"/>
      <c r="I1962" s="75"/>
      <c r="J1962" s="166"/>
      <c r="K1962" s="191"/>
    </row>
    <row r="1963">
      <c r="A1963" s="148"/>
      <c r="B1963" s="75"/>
      <c r="C1963" s="75"/>
      <c r="D1963" s="75"/>
      <c r="E1963" s="75"/>
      <c r="F1963" s="75"/>
      <c r="G1963" s="75"/>
      <c r="H1963" s="75"/>
      <c r="I1963" s="75"/>
      <c r="J1963" s="166"/>
      <c r="K1963" s="191"/>
    </row>
    <row r="1964">
      <c r="A1964" s="148"/>
      <c r="B1964" s="75"/>
      <c r="C1964" s="75"/>
      <c r="D1964" s="75"/>
      <c r="E1964" s="75"/>
      <c r="F1964" s="75"/>
      <c r="G1964" s="75"/>
      <c r="H1964" s="75"/>
      <c r="I1964" s="75"/>
      <c r="J1964" s="166"/>
      <c r="K1964" s="191"/>
    </row>
    <row r="1965">
      <c r="A1965" s="148"/>
      <c r="B1965" s="75"/>
      <c r="C1965" s="75"/>
      <c r="D1965" s="75"/>
      <c r="E1965" s="75"/>
      <c r="F1965" s="75"/>
      <c r="G1965" s="75"/>
      <c r="H1965" s="75"/>
      <c r="I1965" s="75"/>
      <c r="J1965" s="166"/>
      <c r="K1965" s="191"/>
    </row>
    <row r="1966">
      <c r="A1966" s="148"/>
      <c r="B1966" s="75"/>
      <c r="C1966" s="75"/>
      <c r="D1966" s="75"/>
      <c r="E1966" s="75"/>
      <c r="F1966" s="75"/>
      <c r="G1966" s="75"/>
      <c r="H1966" s="75"/>
      <c r="I1966" s="75"/>
      <c r="J1966" s="166"/>
      <c r="K1966" s="191"/>
    </row>
    <row r="1967">
      <c r="A1967" s="148"/>
      <c r="B1967" s="75"/>
      <c r="C1967" s="75"/>
      <c r="D1967" s="75"/>
      <c r="E1967" s="75"/>
      <c r="F1967" s="75"/>
      <c r="G1967" s="75"/>
      <c r="H1967" s="75"/>
      <c r="I1967" s="75"/>
      <c r="J1967" s="166"/>
      <c r="K1967" s="191"/>
    </row>
    <row r="1968">
      <c r="A1968" s="148"/>
      <c r="B1968" s="75"/>
      <c r="C1968" s="75"/>
      <c r="D1968" s="75"/>
      <c r="E1968" s="75"/>
      <c r="F1968" s="75"/>
      <c r="G1968" s="75"/>
      <c r="H1968" s="75"/>
      <c r="I1968" s="75"/>
      <c r="J1968" s="166"/>
      <c r="K1968" s="191"/>
    </row>
    <row r="1969">
      <c r="A1969" s="148"/>
      <c r="B1969" s="75"/>
      <c r="C1969" s="75"/>
      <c r="D1969" s="75"/>
      <c r="E1969" s="75"/>
      <c r="F1969" s="75"/>
      <c r="G1969" s="75"/>
      <c r="H1969" s="75"/>
      <c r="I1969" s="75"/>
      <c r="J1969" s="166"/>
      <c r="K1969" s="191"/>
    </row>
    <row r="1970">
      <c r="A1970" s="148"/>
      <c r="B1970" s="75"/>
      <c r="C1970" s="75"/>
      <c r="D1970" s="75"/>
      <c r="E1970" s="75"/>
      <c r="F1970" s="75"/>
      <c r="G1970" s="75"/>
      <c r="H1970" s="75"/>
      <c r="I1970" s="75"/>
      <c r="J1970" s="166"/>
      <c r="K1970" s="191"/>
    </row>
    <row r="1971">
      <c r="A1971" s="148"/>
      <c r="B1971" s="75"/>
      <c r="C1971" s="75"/>
      <c r="D1971" s="75"/>
      <c r="E1971" s="75"/>
      <c r="F1971" s="75"/>
      <c r="G1971" s="75"/>
      <c r="H1971" s="75"/>
      <c r="I1971" s="75"/>
      <c r="J1971" s="166"/>
      <c r="K1971" s="191"/>
    </row>
    <row r="1972">
      <c r="A1972" s="148"/>
      <c r="B1972" s="75"/>
      <c r="C1972" s="75"/>
      <c r="D1972" s="75"/>
      <c r="E1972" s="75"/>
      <c r="F1972" s="75"/>
      <c r="G1972" s="75"/>
      <c r="H1972" s="75"/>
      <c r="I1972" s="75"/>
      <c r="J1972" s="166"/>
      <c r="K1972" s="191"/>
    </row>
    <row r="1973">
      <c r="A1973" s="148"/>
      <c r="B1973" s="75"/>
      <c r="C1973" s="75"/>
      <c r="D1973" s="75"/>
      <c r="E1973" s="75"/>
      <c r="F1973" s="75"/>
      <c r="G1973" s="75"/>
      <c r="H1973" s="75"/>
      <c r="I1973" s="75"/>
      <c r="J1973" s="166"/>
      <c r="K1973" s="191"/>
    </row>
    <row r="1974">
      <c r="A1974" s="148"/>
      <c r="B1974" s="75"/>
      <c r="C1974" s="75"/>
      <c r="D1974" s="75"/>
      <c r="E1974" s="75"/>
      <c r="F1974" s="75"/>
      <c r="G1974" s="75"/>
      <c r="H1974" s="75"/>
      <c r="I1974" s="75"/>
      <c r="J1974" s="166"/>
      <c r="K1974" s="191"/>
    </row>
    <row r="1975">
      <c r="A1975" s="148"/>
      <c r="B1975" s="75"/>
      <c r="C1975" s="75"/>
      <c r="D1975" s="75"/>
      <c r="E1975" s="75"/>
      <c r="F1975" s="75"/>
      <c r="G1975" s="75"/>
      <c r="H1975" s="75"/>
      <c r="I1975" s="75"/>
      <c r="J1975" s="166"/>
      <c r="K1975" s="191"/>
    </row>
    <row r="1976">
      <c r="A1976" s="148"/>
      <c r="B1976" s="75"/>
      <c r="C1976" s="75"/>
      <c r="D1976" s="75"/>
      <c r="E1976" s="75"/>
      <c r="F1976" s="75"/>
      <c r="G1976" s="75"/>
      <c r="H1976" s="75"/>
      <c r="I1976" s="75"/>
      <c r="J1976" s="166"/>
      <c r="K1976" s="191"/>
    </row>
    <row r="1977">
      <c r="A1977" s="148"/>
      <c r="B1977" s="75"/>
      <c r="C1977" s="75"/>
      <c r="D1977" s="75"/>
      <c r="E1977" s="75"/>
      <c r="F1977" s="75"/>
      <c r="G1977" s="75"/>
      <c r="H1977" s="75"/>
      <c r="I1977" s="75"/>
      <c r="J1977" s="166"/>
      <c r="K1977" s="191"/>
    </row>
    <row r="1978">
      <c r="A1978" s="148"/>
      <c r="B1978" s="75"/>
      <c r="C1978" s="75"/>
      <c r="D1978" s="75"/>
      <c r="E1978" s="75"/>
      <c r="F1978" s="75"/>
      <c r="G1978" s="75"/>
      <c r="H1978" s="75"/>
      <c r="I1978" s="75"/>
      <c r="J1978" s="166"/>
      <c r="K1978" s="191"/>
    </row>
    <row r="1979">
      <c r="A1979" s="148"/>
      <c r="B1979" s="75"/>
      <c r="C1979" s="75"/>
      <c r="D1979" s="75"/>
      <c r="E1979" s="75"/>
      <c r="F1979" s="75"/>
      <c r="G1979" s="75"/>
      <c r="H1979" s="75"/>
      <c r="I1979" s="75"/>
      <c r="J1979" s="166"/>
      <c r="K1979" s="191"/>
    </row>
    <row r="1980">
      <c r="A1980" s="148"/>
      <c r="B1980" s="75"/>
      <c r="C1980" s="75"/>
      <c r="D1980" s="75"/>
      <c r="E1980" s="75"/>
      <c r="F1980" s="75"/>
      <c r="G1980" s="75"/>
      <c r="H1980" s="75"/>
      <c r="I1980" s="75"/>
      <c r="J1980" s="166"/>
      <c r="K1980" s="191"/>
    </row>
    <row r="1981">
      <c r="A1981" s="148"/>
      <c r="B1981" s="75"/>
      <c r="C1981" s="75"/>
      <c r="D1981" s="75"/>
      <c r="E1981" s="75"/>
      <c r="F1981" s="75"/>
      <c r="G1981" s="75"/>
      <c r="H1981" s="75"/>
      <c r="I1981" s="75"/>
      <c r="J1981" s="166"/>
      <c r="K1981" s="191"/>
    </row>
    <row r="1982">
      <c r="A1982" s="148"/>
      <c r="B1982" s="75"/>
      <c r="C1982" s="75"/>
      <c r="D1982" s="75"/>
      <c r="E1982" s="75"/>
      <c r="F1982" s="75"/>
      <c r="G1982" s="75"/>
      <c r="H1982" s="75"/>
      <c r="I1982" s="75"/>
      <c r="J1982" s="166"/>
      <c r="K1982" s="191"/>
    </row>
    <row r="1983">
      <c r="A1983" s="148"/>
      <c r="B1983" s="75"/>
      <c r="C1983" s="75"/>
      <c r="D1983" s="75"/>
      <c r="E1983" s="75"/>
      <c r="F1983" s="75"/>
      <c r="G1983" s="75"/>
      <c r="H1983" s="75"/>
      <c r="I1983" s="75"/>
      <c r="J1983" s="166"/>
      <c r="K1983" s="191"/>
    </row>
    <row r="1984">
      <c r="A1984" s="148"/>
      <c r="B1984" s="75"/>
      <c r="C1984" s="75"/>
      <c r="D1984" s="75"/>
      <c r="E1984" s="75"/>
      <c r="F1984" s="75"/>
      <c r="G1984" s="75"/>
      <c r="H1984" s="75"/>
      <c r="I1984" s="75"/>
      <c r="J1984" s="166"/>
      <c r="K1984" s="191"/>
    </row>
    <row r="1985">
      <c r="A1985" s="148"/>
      <c r="B1985" s="75"/>
      <c r="C1985" s="75"/>
      <c r="D1985" s="75"/>
      <c r="E1985" s="75"/>
      <c r="F1985" s="75"/>
      <c r="G1985" s="75"/>
      <c r="H1985" s="75"/>
      <c r="I1985" s="75"/>
      <c r="J1985" s="166"/>
      <c r="K1985" s="191"/>
    </row>
    <row r="1986">
      <c r="A1986" s="148"/>
      <c r="B1986" s="75"/>
      <c r="C1986" s="75"/>
      <c r="D1986" s="75"/>
      <c r="E1986" s="75"/>
      <c r="F1986" s="75"/>
      <c r="G1986" s="75"/>
      <c r="H1986" s="75"/>
      <c r="I1986" s="75"/>
      <c r="J1986" s="166"/>
      <c r="K1986" s="191"/>
    </row>
    <row r="1987">
      <c r="A1987" s="148"/>
      <c r="B1987" s="75"/>
      <c r="C1987" s="75"/>
      <c r="D1987" s="75"/>
      <c r="E1987" s="75"/>
      <c r="F1987" s="75"/>
      <c r="G1987" s="75"/>
      <c r="H1987" s="75"/>
      <c r="I1987" s="75"/>
      <c r="J1987" s="166"/>
      <c r="K1987" s="191"/>
    </row>
    <row r="1988">
      <c r="A1988" s="148"/>
      <c r="B1988" s="75"/>
      <c r="C1988" s="75"/>
      <c r="D1988" s="75"/>
      <c r="E1988" s="75"/>
      <c r="F1988" s="75"/>
      <c r="G1988" s="75"/>
      <c r="H1988" s="75"/>
      <c r="I1988" s="75"/>
      <c r="J1988" s="166"/>
      <c r="K1988" s="191"/>
    </row>
    <row r="1989">
      <c r="A1989" s="148"/>
      <c r="B1989" s="75"/>
      <c r="C1989" s="75"/>
      <c r="D1989" s="75"/>
      <c r="E1989" s="75"/>
      <c r="F1989" s="75"/>
      <c r="G1989" s="75"/>
      <c r="H1989" s="75"/>
      <c r="I1989" s="75"/>
      <c r="J1989" s="166"/>
      <c r="K1989" s="191"/>
    </row>
    <row r="1990">
      <c r="A1990" s="148"/>
      <c r="B1990" s="75"/>
      <c r="C1990" s="75"/>
      <c r="D1990" s="75"/>
      <c r="E1990" s="75"/>
      <c r="F1990" s="75"/>
      <c r="G1990" s="75"/>
      <c r="H1990" s="75"/>
      <c r="I1990" s="75"/>
      <c r="J1990" s="166"/>
      <c r="K1990" s="191"/>
    </row>
    <row r="1991">
      <c r="A1991" s="148"/>
      <c r="B1991" s="75"/>
      <c r="C1991" s="75"/>
      <c r="D1991" s="75"/>
      <c r="E1991" s="75"/>
      <c r="F1991" s="75"/>
      <c r="G1991" s="75"/>
      <c r="H1991" s="75"/>
      <c r="I1991" s="75"/>
      <c r="J1991" s="166"/>
      <c r="K1991" s="191"/>
    </row>
    <row r="1992">
      <c r="A1992" s="148"/>
      <c r="B1992" s="75"/>
      <c r="C1992" s="75"/>
      <c r="D1992" s="75"/>
      <c r="E1992" s="75"/>
      <c r="F1992" s="75"/>
      <c r="G1992" s="75"/>
      <c r="H1992" s="75"/>
      <c r="I1992" s="75"/>
      <c r="J1992" s="166"/>
      <c r="K1992" s="191"/>
    </row>
    <row r="1993">
      <c r="A1993" s="148"/>
      <c r="B1993" s="75"/>
      <c r="C1993" s="75"/>
      <c r="D1993" s="75"/>
      <c r="E1993" s="75"/>
      <c r="F1993" s="75"/>
      <c r="G1993" s="75"/>
      <c r="H1993" s="75"/>
      <c r="I1993" s="75"/>
      <c r="J1993" s="166"/>
      <c r="K1993" s="191"/>
    </row>
    <row r="1994">
      <c r="A1994" s="148"/>
      <c r="B1994" s="75"/>
      <c r="C1994" s="75"/>
      <c r="D1994" s="75"/>
      <c r="E1994" s="75"/>
      <c r="F1994" s="75"/>
      <c r="G1994" s="75"/>
      <c r="H1994" s="75"/>
      <c r="I1994" s="75"/>
      <c r="J1994" s="166"/>
      <c r="K1994" s="191"/>
    </row>
    <row r="1995">
      <c r="A1995" s="148"/>
      <c r="B1995" s="75"/>
      <c r="C1995" s="75"/>
      <c r="D1995" s="75"/>
      <c r="E1995" s="75"/>
      <c r="F1995" s="75"/>
      <c r="G1995" s="75"/>
      <c r="H1995" s="75"/>
      <c r="I1995" s="75"/>
      <c r="J1995" s="166"/>
      <c r="K1995" s="191"/>
    </row>
    <row r="1996">
      <c r="A1996" s="148"/>
      <c r="B1996" s="75"/>
      <c r="C1996" s="75"/>
      <c r="D1996" s="75"/>
      <c r="E1996" s="75"/>
      <c r="F1996" s="75"/>
      <c r="G1996" s="75"/>
      <c r="H1996" s="75"/>
      <c r="I1996" s="75"/>
      <c r="J1996" s="166"/>
      <c r="K1996" s="191"/>
    </row>
    <row r="1997">
      <c r="A1997" s="148"/>
      <c r="B1997" s="75"/>
      <c r="C1997" s="75"/>
      <c r="D1997" s="75"/>
      <c r="E1997" s="75"/>
      <c r="F1997" s="75"/>
      <c r="G1997" s="75"/>
      <c r="H1997" s="75"/>
      <c r="I1997" s="75"/>
      <c r="J1997" s="166"/>
      <c r="K1997" s="191"/>
    </row>
    <row r="1998">
      <c r="A1998" s="148"/>
      <c r="B1998" s="75"/>
      <c r="C1998" s="75"/>
      <c r="D1998" s="75"/>
      <c r="E1998" s="75"/>
      <c r="F1998" s="75"/>
      <c r="G1998" s="75"/>
      <c r="H1998" s="75"/>
      <c r="I1998" s="75"/>
      <c r="J1998" s="166"/>
      <c r="K1998" s="191"/>
    </row>
    <row r="1999">
      <c r="A1999" s="148"/>
      <c r="B1999" s="75"/>
      <c r="C1999" s="75"/>
      <c r="D1999" s="75"/>
      <c r="E1999" s="75"/>
      <c r="F1999" s="75"/>
      <c r="G1999" s="75"/>
      <c r="H1999" s="75"/>
      <c r="I1999" s="75"/>
      <c r="J1999" s="166"/>
      <c r="K1999" s="191"/>
    </row>
    <row r="2000">
      <c r="A2000" s="148"/>
      <c r="B2000" s="75"/>
      <c r="C2000" s="75"/>
      <c r="D2000" s="75"/>
      <c r="E2000" s="75"/>
      <c r="F2000" s="75"/>
      <c r="G2000" s="75"/>
      <c r="H2000" s="75"/>
      <c r="I2000" s="75"/>
      <c r="J2000" s="166"/>
      <c r="K2000" s="191"/>
    </row>
    <row r="2001">
      <c r="A2001" s="148"/>
      <c r="B2001" s="75"/>
      <c r="C2001" s="75"/>
      <c r="D2001" s="75"/>
      <c r="E2001" s="75"/>
      <c r="F2001" s="75"/>
      <c r="G2001" s="75"/>
      <c r="H2001" s="75"/>
      <c r="I2001" s="75"/>
      <c r="J2001" s="166"/>
      <c r="K2001" s="191"/>
    </row>
    <row r="2002">
      <c r="A2002" s="148"/>
      <c r="B2002" s="75"/>
      <c r="C2002" s="75"/>
      <c r="D2002" s="75"/>
      <c r="E2002" s="75"/>
      <c r="F2002" s="75"/>
      <c r="G2002" s="75"/>
      <c r="H2002" s="75"/>
      <c r="I2002" s="75"/>
      <c r="J2002" s="166"/>
      <c r="K2002" s="191"/>
    </row>
    <row r="2003">
      <c r="A2003" s="148"/>
      <c r="B2003" s="75"/>
      <c r="C2003" s="75"/>
      <c r="D2003" s="75"/>
      <c r="E2003" s="75"/>
      <c r="F2003" s="75"/>
      <c r="G2003" s="75"/>
      <c r="H2003" s="75"/>
      <c r="I2003" s="75"/>
      <c r="J2003" s="166"/>
      <c r="K2003" s="191"/>
    </row>
    <row r="2004">
      <c r="A2004" s="148"/>
      <c r="B2004" s="75"/>
      <c r="C2004" s="75"/>
      <c r="D2004" s="75"/>
      <c r="E2004" s="75"/>
      <c r="F2004" s="75"/>
      <c r="G2004" s="75"/>
      <c r="H2004" s="75"/>
      <c r="I2004" s="75"/>
      <c r="J2004" s="166"/>
      <c r="K2004" s="191"/>
    </row>
    <row r="2005">
      <c r="A2005" s="148"/>
      <c r="B2005" s="75"/>
      <c r="C2005" s="75"/>
      <c r="D2005" s="75"/>
      <c r="E2005" s="75"/>
      <c r="F2005" s="75"/>
      <c r="G2005" s="75"/>
      <c r="H2005" s="75"/>
      <c r="I2005" s="75"/>
      <c r="J2005" s="166"/>
      <c r="K2005" s="191"/>
    </row>
    <row r="2006">
      <c r="A2006" s="148"/>
      <c r="B2006" s="75"/>
      <c r="C2006" s="75"/>
      <c r="D2006" s="75"/>
      <c r="E2006" s="75"/>
      <c r="F2006" s="75"/>
      <c r="G2006" s="75"/>
      <c r="H2006" s="75"/>
      <c r="I2006" s="75"/>
      <c r="J2006" s="166"/>
      <c r="K2006" s="191"/>
    </row>
    <row r="2007">
      <c r="A2007" s="148"/>
      <c r="B2007" s="75"/>
      <c r="C2007" s="75"/>
      <c r="D2007" s="75"/>
      <c r="E2007" s="75"/>
      <c r="F2007" s="75"/>
      <c r="G2007" s="75"/>
      <c r="H2007" s="75"/>
      <c r="I2007" s="75"/>
      <c r="J2007" s="166"/>
      <c r="K2007" s="191"/>
    </row>
    <row r="2008">
      <c r="A2008" s="148"/>
      <c r="B2008" s="75"/>
      <c r="C2008" s="75"/>
      <c r="D2008" s="75"/>
      <c r="E2008" s="75"/>
      <c r="F2008" s="75"/>
      <c r="G2008" s="75"/>
      <c r="H2008" s="75"/>
      <c r="I2008" s="75"/>
      <c r="J2008" s="166"/>
      <c r="K2008" s="191"/>
    </row>
    <row r="2009">
      <c r="A2009" s="148"/>
      <c r="B2009" s="75"/>
      <c r="C2009" s="75"/>
      <c r="D2009" s="75"/>
      <c r="E2009" s="75"/>
      <c r="F2009" s="75"/>
      <c r="G2009" s="75"/>
      <c r="H2009" s="75"/>
      <c r="I2009" s="75"/>
      <c r="J2009" s="166"/>
      <c r="K2009" s="191"/>
    </row>
    <row r="2010">
      <c r="A2010" s="148"/>
      <c r="B2010" s="75"/>
      <c r="C2010" s="75"/>
      <c r="D2010" s="75"/>
      <c r="E2010" s="75"/>
      <c r="F2010" s="75"/>
      <c r="G2010" s="75"/>
      <c r="H2010" s="75"/>
      <c r="I2010" s="75"/>
      <c r="J2010" s="166"/>
      <c r="K2010" s="191"/>
    </row>
    <row r="2011">
      <c r="A2011" s="148"/>
      <c r="B2011" s="75"/>
      <c r="C2011" s="75"/>
      <c r="D2011" s="75"/>
      <c r="E2011" s="75"/>
      <c r="F2011" s="75"/>
      <c r="G2011" s="75"/>
      <c r="H2011" s="75"/>
      <c r="I2011" s="75"/>
      <c r="J2011" s="166"/>
      <c r="K2011" s="191"/>
    </row>
    <row r="2012">
      <c r="A2012" s="148"/>
      <c r="B2012" s="75"/>
      <c r="C2012" s="75"/>
      <c r="D2012" s="75"/>
      <c r="E2012" s="75"/>
      <c r="F2012" s="75"/>
      <c r="G2012" s="75"/>
      <c r="H2012" s="75"/>
      <c r="I2012" s="75"/>
      <c r="J2012" s="166"/>
      <c r="K2012" s="191"/>
    </row>
    <row r="2013">
      <c r="A2013" s="148"/>
      <c r="B2013" s="75"/>
      <c r="C2013" s="75"/>
      <c r="D2013" s="75"/>
      <c r="E2013" s="75"/>
      <c r="F2013" s="75"/>
      <c r="G2013" s="75"/>
      <c r="H2013" s="75"/>
      <c r="I2013" s="75"/>
      <c r="J2013" s="166"/>
      <c r="K2013" s="191"/>
    </row>
    <row r="2014">
      <c r="A2014" s="148"/>
      <c r="B2014" s="75"/>
      <c r="C2014" s="75"/>
      <c r="D2014" s="75"/>
      <c r="E2014" s="75"/>
      <c r="F2014" s="75"/>
      <c r="G2014" s="75"/>
      <c r="H2014" s="75"/>
      <c r="I2014" s="75"/>
      <c r="J2014" s="166"/>
      <c r="K2014" s="191"/>
    </row>
    <row r="2015">
      <c r="A2015" s="148"/>
      <c r="B2015" s="75"/>
      <c r="C2015" s="75"/>
      <c r="D2015" s="75"/>
      <c r="E2015" s="75"/>
      <c r="F2015" s="75"/>
      <c r="G2015" s="75"/>
      <c r="H2015" s="75"/>
      <c r="I2015" s="75"/>
      <c r="J2015" s="166"/>
      <c r="K2015" s="191"/>
    </row>
    <row r="2016">
      <c r="A2016" s="148"/>
      <c r="B2016" s="75"/>
      <c r="C2016" s="75"/>
      <c r="D2016" s="75"/>
      <c r="E2016" s="75"/>
      <c r="F2016" s="75"/>
      <c r="G2016" s="75"/>
      <c r="H2016" s="75"/>
      <c r="I2016" s="75"/>
      <c r="J2016" s="166"/>
      <c r="K2016" s="191"/>
    </row>
    <row r="2017">
      <c r="A2017" s="148"/>
      <c r="B2017" s="75"/>
      <c r="C2017" s="75"/>
      <c r="D2017" s="75"/>
      <c r="E2017" s="75"/>
      <c r="F2017" s="75"/>
      <c r="G2017" s="75"/>
      <c r="H2017" s="75"/>
      <c r="I2017" s="75"/>
      <c r="J2017" s="166"/>
      <c r="K2017" s="191"/>
    </row>
    <row r="2018">
      <c r="A2018" s="148"/>
      <c r="B2018" s="75"/>
      <c r="C2018" s="75"/>
      <c r="D2018" s="75"/>
      <c r="E2018" s="75"/>
      <c r="F2018" s="75"/>
      <c r="G2018" s="75"/>
      <c r="H2018" s="75"/>
      <c r="I2018" s="75"/>
      <c r="J2018" s="166"/>
      <c r="K2018" s="191"/>
    </row>
    <row r="2019">
      <c r="A2019" s="148"/>
      <c r="B2019" s="75"/>
      <c r="C2019" s="75"/>
      <c r="D2019" s="75"/>
      <c r="E2019" s="75"/>
      <c r="F2019" s="75"/>
      <c r="G2019" s="75"/>
      <c r="H2019" s="75"/>
      <c r="I2019" s="75"/>
      <c r="J2019" s="166"/>
      <c r="K2019" s="191"/>
    </row>
    <row r="2020">
      <c r="A2020" s="148"/>
      <c r="B2020" s="75"/>
      <c r="C2020" s="75"/>
      <c r="D2020" s="75"/>
      <c r="E2020" s="75"/>
      <c r="F2020" s="75"/>
      <c r="G2020" s="75"/>
      <c r="H2020" s="75"/>
      <c r="I2020" s="75"/>
      <c r="J2020" s="166"/>
      <c r="K2020" s="191"/>
    </row>
    <row r="2021">
      <c r="A2021" s="148"/>
      <c r="B2021" s="75"/>
      <c r="C2021" s="75"/>
      <c r="D2021" s="75"/>
      <c r="E2021" s="75"/>
      <c r="F2021" s="75"/>
      <c r="G2021" s="75"/>
      <c r="H2021" s="75"/>
      <c r="I2021" s="75"/>
      <c r="J2021" s="166"/>
      <c r="K2021" s="191"/>
    </row>
    <row r="2022">
      <c r="A2022" s="148"/>
      <c r="B2022" s="75"/>
      <c r="C2022" s="75"/>
      <c r="D2022" s="75"/>
      <c r="E2022" s="75"/>
      <c r="F2022" s="75"/>
      <c r="G2022" s="75"/>
      <c r="H2022" s="75"/>
      <c r="I2022" s="75"/>
      <c r="J2022" s="166"/>
      <c r="K2022" s="191"/>
    </row>
    <row r="2023">
      <c r="A2023" s="148"/>
      <c r="B2023" s="75"/>
      <c r="C2023" s="75"/>
      <c r="D2023" s="75"/>
      <c r="E2023" s="75"/>
      <c r="F2023" s="75"/>
      <c r="G2023" s="75"/>
      <c r="H2023" s="75"/>
      <c r="I2023" s="75"/>
      <c r="J2023" s="166"/>
      <c r="K2023" s="191"/>
    </row>
    <row r="2024">
      <c r="A2024" s="148"/>
      <c r="B2024" s="75"/>
      <c r="C2024" s="75"/>
      <c r="D2024" s="75"/>
      <c r="E2024" s="75"/>
      <c r="F2024" s="75"/>
      <c r="G2024" s="75"/>
      <c r="H2024" s="75"/>
      <c r="I2024" s="75"/>
      <c r="J2024" s="166"/>
      <c r="K2024" s="191"/>
    </row>
    <row r="2025">
      <c r="A2025" s="148"/>
      <c r="B2025" s="75"/>
      <c r="C2025" s="75"/>
      <c r="D2025" s="75"/>
      <c r="E2025" s="75"/>
      <c r="F2025" s="75"/>
      <c r="G2025" s="75"/>
      <c r="H2025" s="75"/>
      <c r="I2025" s="75"/>
      <c r="J2025" s="166"/>
      <c r="K2025" s="191"/>
    </row>
    <row r="2026">
      <c r="A2026" s="148"/>
      <c r="B2026" s="75"/>
      <c r="C2026" s="75"/>
      <c r="D2026" s="75"/>
      <c r="E2026" s="75"/>
      <c r="F2026" s="75"/>
      <c r="G2026" s="75"/>
      <c r="H2026" s="75"/>
      <c r="I2026" s="75"/>
      <c r="J2026" s="166"/>
      <c r="K2026" s="191"/>
    </row>
    <row r="2027">
      <c r="A2027" s="148"/>
      <c r="B2027" s="75"/>
      <c r="C2027" s="75"/>
      <c r="D2027" s="75"/>
      <c r="E2027" s="75"/>
      <c r="F2027" s="75"/>
      <c r="G2027" s="75"/>
      <c r="H2027" s="75"/>
      <c r="I2027" s="75"/>
      <c r="J2027" s="166"/>
      <c r="K2027" s="191"/>
    </row>
    <row r="2028">
      <c r="A2028" s="148"/>
      <c r="B2028" s="75"/>
      <c r="C2028" s="75"/>
      <c r="D2028" s="75"/>
      <c r="E2028" s="75"/>
      <c r="F2028" s="75"/>
      <c r="G2028" s="75"/>
      <c r="H2028" s="75"/>
      <c r="I2028" s="75"/>
      <c r="J2028" s="166"/>
      <c r="K2028" s="191"/>
    </row>
    <row r="2029">
      <c r="A2029" s="148"/>
      <c r="B2029" s="75"/>
      <c r="C2029" s="75"/>
      <c r="D2029" s="75"/>
      <c r="E2029" s="75"/>
      <c r="F2029" s="75"/>
      <c r="G2029" s="75"/>
      <c r="H2029" s="75"/>
      <c r="I2029" s="75"/>
      <c r="J2029" s="166"/>
      <c r="K2029" s="191"/>
    </row>
    <row r="2030">
      <c r="A2030" s="148"/>
      <c r="B2030" s="75"/>
      <c r="C2030" s="75"/>
      <c r="D2030" s="75"/>
      <c r="E2030" s="75"/>
      <c r="F2030" s="75"/>
      <c r="G2030" s="75"/>
      <c r="H2030" s="75"/>
      <c r="I2030" s="75"/>
      <c r="J2030" s="166"/>
      <c r="K2030" s="191"/>
    </row>
    <row r="2031">
      <c r="A2031" s="148"/>
      <c r="B2031" s="75"/>
      <c r="C2031" s="75"/>
      <c r="D2031" s="75"/>
      <c r="E2031" s="75"/>
      <c r="F2031" s="75"/>
      <c r="G2031" s="75"/>
      <c r="H2031" s="75"/>
      <c r="I2031" s="75"/>
      <c r="J2031" s="166"/>
      <c r="K2031" s="191"/>
    </row>
    <row r="2032">
      <c r="A2032" s="148"/>
      <c r="B2032" s="75"/>
      <c r="C2032" s="75"/>
      <c r="D2032" s="75"/>
      <c r="E2032" s="75"/>
      <c r="F2032" s="75"/>
      <c r="G2032" s="75"/>
      <c r="H2032" s="75"/>
      <c r="I2032" s="75"/>
      <c r="J2032" s="166"/>
      <c r="K2032" s="191"/>
    </row>
    <row r="2033">
      <c r="A2033" s="148"/>
      <c r="B2033" s="75"/>
      <c r="C2033" s="75"/>
      <c r="D2033" s="75"/>
      <c r="E2033" s="75"/>
      <c r="F2033" s="75"/>
      <c r="G2033" s="75"/>
      <c r="H2033" s="75"/>
      <c r="I2033" s="75"/>
      <c r="J2033" s="166"/>
      <c r="K2033" s="191"/>
    </row>
    <row r="2034">
      <c r="A2034" s="148"/>
      <c r="B2034" s="75"/>
      <c r="C2034" s="75"/>
      <c r="D2034" s="75"/>
      <c r="E2034" s="75"/>
      <c r="F2034" s="75"/>
      <c r="G2034" s="75"/>
      <c r="H2034" s="75"/>
      <c r="I2034" s="75"/>
      <c r="J2034" s="166"/>
      <c r="K2034" s="191"/>
    </row>
    <row r="2035">
      <c r="A2035" s="148"/>
      <c r="B2035" s="75"/>
      <c r="C2035" s="75"/>
      <c r="D2035" s="75"/>
      <c r="E2035" s="75"/>
      <c r="F2035" s="75"/>
      <c r="G2035" s="75"/>
      <c r="H2035" s="75"/>
      <c r="I2035" s="75"/>
      <c r="J2035" s="166"/>
      <c r="K2035" s="191"/>
    </row>
    <row r="2036">
      <c r="A2036" s="148"/>
      <c r="B2036" s="75"/>
      <c r="C2036" s="75"/>
      <c r="D2036" s="75"/>
      <c r="E2036" s="75"/>
      <c r="F2036" s="75"/>
      <c r="G2036" s="75"/>
      <c r="H2036" s="75"/>
      <c r="I2036" s="75"/>
      <c r="J2036" s="166"/>
      <c r="K2036" s="191"/>
    </row>
    <row r="2037">
      <c r="A2037" s="148"/>
      <c r="B2037" s="75"/>
      <c r="C2037" s="75"/>
      <c r="D2037" s="75"/>
      <c r="E2037" s="75"/>
      <c r="F2037" s="75"/>
      <c r="G2037" s="75"/>
      <c r="H2037" s="75"/>
      <c r="I2037" s="75"/>
      <c r="J2037" s="166"/>
      <c r="K2037" s="191"/>
    </row>
    <row r="2038">
      <c r="A2038" s="148"/>
      <c r="B2038" s="75"/>
      <c r="C2038" s="75"/>
      <c r="D2038" s="75"/>
      <c r="E2038" s="75"/>
      <c r="F2038" s="75"/>
      <c r="G2038" s="75"/>
      <c r="H2038" s="75"/>
      <c r="I2038" s="75"/>
      <c r="J2038" s="166"/>
      <c r="K2038" s="191"/>
    </row>
    <row r="2039">
      <c r="A2039" s="148"/>
      <c r="B2039" s="75"/>
      <c r="C2039" s="75"/>
      <c r="D2039" s="75"/>
      <c r="E2039" s="75"/>
      <c r="F2039" s="75"/>
      <c r="G2039" s="75"/>
      <c r="H2039" s="75"/>
      <c r="I2039" s="75"/>
      <c r="J2039" s="166"/>
      <c r="K2039" s="191"/>
    </row>
    <row r="2040">
      <c r="A2040" s="148"/>
      <c r="B2040" s="75"/>
      <c r="C2040" s="75"/>
      <c r="D2040" s="75"/>
      <c r="E2040" s="75"/>
      <c r="F2040" s="75"/>
      <c r="G2040" s="75"/>
      <c r="H2040" s="75"/>
      <c r="I2040" s="75"/>
      <c r="J2040" s="166"/>
      <c r="K2040" s="191"/>
    </row>
    <row r="2041">
      <c r="A2041" s="148"/>
      <c r="B2041" s="75"/>
      <c r="C2041" s="75"/>
      <c r="D2041" s="75"/>
      <c r="E2041" s="75"/>
      <c r="F2041" s="75"/>
      <c r="G2041" s="75"/>
      <c r="H2041" s="75"/>
      <c r="I2041" s="75"/>
      <c r="J2041" s="166"/>
      <c r="K2041" s="191"/>
    </row>
    <row r="2042">
      <c r="A2042" s="148"/>
      <c r="B2042" s="75"/>
      <c r="C2042" s="75"/>
      <c r="D2042" s="75"/>
      <c r="E2042" s="75"/>
      <c r="F2042" s="75"/>
      <c r="G2042" s="75"/>
      <c r="H2042" s="75"/>
      <c r="I2042" s="75"/>
      <c r="J2042" s="166"/>
      <c r="K2042" s="191"/>
    </row>
    <row r="2043">
      <c r="A2043" s="148"/>
      <c r="B2043" s="75"/>
      <c r="C2043" s="75"/>
      <c r="D2043" s="75"/>
      <c r="E2043" s="75"/>
      <c r="F2043" s="75"/>
      <c r="G2043" s="75"/>
      <c r="H2043" s="75"/>
      <c r="I2043" s="75"/>
      <c r="J2043" s="166"/>
      <c r="K2043" s="191"/>
    </row>
    <row r="2044">
      <c r="A2044" s="148"/>
      <c r="B2044" s="75"/>
      <c r="C2044" s="75"/>
      <c r="D2044" s="75"/>
      <c r="E2044" s="75"/>
      <c r="F2044" s="75"/>
      <c r="G2044" s="75"/>
      <c r="H2044" s="75"/>
      <c r="I2044" s="75"/>
      <c r="J2044" s="166"/>
      <c r="K2044" s="191"/>
    </row>
    <row r="2045">
      <c r="A2045" s="148"/>
      <c r="B2045" s="75"/>
      <c r="C2045" s="75"/>
      <c r="D2045" s="75"/>
      <c r="E2045" s="75"/>
      <c r="F2045" s="75"/>
      <c r="G2045" s="75"/>
      <c r="H2045" s="75"/>
      <c r="I2045" s="75"/>
      <c r="J2045" s="166"/>
      <c r="K2045" s="191"/>
    </row>
    <row r="2046">
      <c r="A2046" s="148"/>
      <c r="B2046" s="75"/>
      <c r="C2046" s="75"/>
      <c r="D2046" s="75"/>
      <c r="E2046" s="75"/>
      <c r="F2046" s="75"/>
      <c r="G2046" s="75"/>
      <c r="H2046" s="75"/>
      <c r="I2046" s="75"/>
      <c r="J2046" s="166"/>
      <c r="K2046" s="191"/>
    </row>
    <row r="2047">
      <c r="A2047" s="148"/>
      <c r="B2047" s="75"/>
      <c r="C2047" s="75"/>
      <c r="D2047" s="75"/>
      <c r="E2047" s="75"/>
      <c r="F2047" s="75"/>
      <c r="G2047" s="75"/>
      <c r="H2047" s="75"/>
      <c r="I2047" s="75"/>
      <c r="J2047" s="166"/>
      <c r="K2047" s="191"/>
    </row>
    <row r="2048">
      <c r="A2048" s="148"/>
      <c r="B2048" s="75"/>
      <c r="C2048" s="75"/>
      <c r="D2048" s="75"/>
      <c r="E2048" s="75"/>
      <c r="F2048" s="75"/>
      <c r="G2048" s="75"/>
      <c r="H2048" s="75"/>
      <c r="I2048" s="75"/>
      <c r="J2048" s="166"/>
      <c r="K2048" s="191"/>
    </row>
    <row r="2049">
      <c r="A2049" s="148"/>
      <c r="B2049" s="75"/>
      <c r="C2049" s="75"/>
      <c r="D2049" s="75"/>
      <c r="E2049" s="75"/>
      <c r="F2049" s="75"/>
      <c r="G2049" s="75"/>
      <c r="H2049" s="75"/>
      <c r="I2049" s="75"/>
      <c r="J2049" s="166"/>
      <c r="K2049" s="191"/>
    </row>
    <row r="2050">
      <c r="A2050" s="148"/>
      <c r="B2050" s="75"/>
      <c r="C2050" s="75"/>
      <c r="D2050" s="75"/>
      <c r="E2050" s="75"/>
      <c r="F2050" s="75"/>
      <c r="G2050" s="75"/>
      <c r="H2050" s="75"/>
      <c r="I2050" s="75"/>
      <c r="J2050" s="166"/>
      <c r="K2050" s="191"/>
    </row>
    <row r="2051">
      <c r="A2051" s="148"/>
      <c r="B2051" s="75"/>
      <c r="C2051" s="75"/>
      <c r="D2051" s="75"/>
      <c r="E2051" s="75"/>
      <c r="F2051" s="75"/>
      <c r="G2051" s="75"/>
      <c r="H2051" s="75"/>
      <c r="I2051" s="75"/>
      <c r="J2051" s="166"/>
      <c r="K2051" s="191"/>
    </row>
    <row r="2052">
      <c r="A2052" s="148"/>
      <c r="B2052" s="75"/>
      <c r="C2052" s="75"/>
      <c r="D2052" s="75"/>
      <c r="E2052" s="75"/>
      <c r="F2052" s="75"/>
      <c r="G2052" s="75"/>
      <c r="H2052" s="75"/>
      <c r="I2052" s="75"/>
      <c r="J2052" s="166"/>
      <c r="K2052" s="191"/>
    </row>
    <row r="2053">
      <c r="A2053" s="148"/>
      <c r="B2053" s="75"/>
      <c r="C2053" s="75"/>
      <c r="D2053" s="75"/>
      <c r="E2053" s="75"/>
      <c r="F2053" s="75"/>
      <c r="G2053" s="75"/>
      <c r="H2053" s="75"/>
      <c r="I2053" s="75"/>
      <c r="J2053" s="166"/>
      <c r="K2053" s="191"/>
    </row>
    <row r="2054">
      <c r="A2054" s="148"/>
      <c r="B2054" s="75"/>
      <c r="C2054" s="75"/>
      <c r="D2054" s="75"/>
      <c r="E2054" s="75"/>
      <c r="F2054" s="75"/>
      <c r="G2054" s="75"/>
      <c r="H2054" s="75"/>
      <c r="I2054" s="75"/>
      <c r="J2054" s="166"/>
      <c r="K2054" s="191"/>
    </row>
    <row r="2055">
      <c r="A2055" s="148"/>
      <c r="B2055" s="75"/>
      <c r="C2055" s="75"/>
      <c r="D2055" s="75"/>
      <c r="E2055" s="75"/>
      <c r="F2055" s="75"/>
      <c r="G2055" s="75"/>
      <c r="H2055" s="75"/>
      <c r="I2055" s="75"/>
      <c r="J2055" s="166"/>
      <c r="K2055" s="191"/>
    </row>
    <row r="2056">
      <c r="A2056" s="148"/>
      <c r="B2056" s="75"/>
      <c r="C2056" s="75"/>
      <c r="D2056" s="75"/>
      <c r="E2056" s="75"/>
      <c r="F2056" s="75"/>
      <c r="G2056" s="75"/>
      <c r="H2056" s="75"/>
      <c r="I2056" s="75"/>
      <c r="J2056" s="166"/>
      <c r="K2056" s="191"/>
    </row>
    <row r="2057">
      <c r="A2057" s="148"/>
      <c r="B2057" s="75"/>
      <c r="C2057" s="75"/>
      <c r="D2057" s="75"/>
      <c r="E2057" s="75"/>
      <c r="F2057" s="75"/>
      <c r="G2057" s="75"/>
      <c r="H2057" s="75"/>
      <c r="I2057" s="75"/>
      <c r="J2057" s="166"/>
      <c r="K2057" s="191"/>
    </row>
    <row r="2058">
      <c r="A2058" s="148"/>
      <c r="B2058" s="75"/>
      <c r="C2058" s="75"/>
      <c r="D2058" s="75"/>
      <c r="E2058" s="75"/>
      <c r="F2058" s="75"/>
      <c r="G2058" s="75"/>
      <c r="H2058" s="75"/>
      <c r="I2058" s="75"/>
      <c r="J2058" s="166"/>
      <c r="K2058" s="191"/>
    </row>
    <row r="2059">
      <c r="A2059" s="148"/>
      <c r="B2059" s="75"/>
      <c r="C2059" s="75"/>
      <c r="D2059" s="75"/>
      <c r="E2059" s="75"/>
      <c r="F2059" s="75"/>
      <c r="G2059" s="75"/>
      <c r="H2059" s="75"/>
      <c r="I2059" s="75"/>
      <c r="J2059" s="166"/>
      <c r="K2059" s="191"/>
    </row>
    <row r="2060">
      <c r="A2060" s="148"/>
      <c r="B2060" s="75"/>
      <c r="C2060" s="75"/>
      <c r="D2060" s="75"/>
      <c r="E2060" s="75"/>
      <c r="F2060" s="75"/>
      <c r="G2060" s="75"/>
      <c r="H2060" s="75"/>
      <c r="I2060" s="75"/>
      <c r="J2060" s="166"/>
      <c r="K2060" s="191"/>
    </row>
    <row r="2061">
      <c r="A2061" s="148"/>
      <c r="B2061" s="75"/>
      <c r="C2061" s="75"/>
      <c r="D2061" s="75"/>
      <c r="E2061" s="75"/>
      <c r="F2061" s="75"/>
      <c r="G2061" s="75"/>
      <c r="H2061" s="75"/>
      <c r="I2061" s="75"/>
      <c r="J2061" s="166"/>
      <c r="K2061" s="191"/>
    </row>
    <row r="2062">
      <c r="A2062" s="148"/>
      <c r="B2062" s="75"/>
      <c r="C2062" s="75"/>
      <c r="D2062" s="75"/>
      <c r="E2062" s="75"/>
      <c r="F2062" s="75"/>
      <c r="G2062" s="75"/>
      <c r="H2062" s="75"/>
      <c r="I2062" s="75"/>
      <c r="J2062" s="166"/>
      <c r="K2062" s="191"/>
    </row>
    <row r="2063">
      <c r="A2063" s="148"/>
      <c r="B2063" s="75"/>
      <c r="C2063" s="75"/>
      <c r="D2063" s="75"/>
      <c r="E2063" s="75"/>
      <c r="F2063" s="75"/>
      <c r="G2063" s="75"/>
      <c r="H2063" s="75"/>
      <c r="I2063" s="75"/>
      <c r="J2063" s="166"/>
      <c r="K2063" s="191"/>
    </row>
    <row r="2064">
      <c r="A2064" s="148"/>
      <c r="B2064" s="75"/>
      <c r="C2064" s="75"/>
      <c r="D2064" s="75"/>
      <c r="E2064" s="75"/>
      <c r="F2064" s="75"/>
      <c r="G2064" s="75"/>
      <c r="H2064" s="75"/>
      <c r="I2064" s="75"/>
      <c r="J2064" s="166"/>
      <c r="K2064" s="191"/>
    </row>
    <row r="2065">
      <c r="A2065" s="148"/>
      <c r="B2065" s="75"/>
      <c r="C2065" s="75"/>
      <c r="D2065" s="75"/>
      <c r="E2065" s="75"/>
      <c r="F2065" s="75"/>
      <c r="G2065" s="75"/>
      <c r="H2065" s="75"/>
      <c r="I2065" s="75"/>
      <c r="J2065" s="166"/>
      <c r="K2065" s="191"/>
    </row>
    <row r="2066">
      <c r="A2066" s="148"/>
      <c r="B2066" s="75"/>
      <c r="C2066" s="75"/>
      <c r="D2066" s="75"/>
      <c r="E2066" s="75"/>
      <c r="F2066" s="75"/>
      <c r="G2066" s="75"/>
      <c r="H2066" s="75"/>
      <c r="I2066" s="75"/>
      <c r="J2066" s="166"/>
      <c r="K2066" s="191"/>
    </row>
    <row r="2067">
      <c r="A2067" s="148"/>
      <c r="B2067" s="75"/>
      <c r="C2067" s="75"/>
      <c r="D2067" s="75"/>
      <c r="E2067" s="75"/>
      <c r="F2067" s="75"/>
      <c r="G2067" s="75"/>
      <c r="H2067" s="75"/>
      <c r="I2067" s="75"/>
      <c r="J2067" s="166"/>
      <c r="K2067" s="191"/>
    </row>
    <row r="2068">
      <c r="A2068" s="148"/>
      <c r="B2068" s="75"/>
      <c r="C2068" s="75"/>
      <c r="D2068" s="75"/>
      <c r="E2068" s="75"/>
      <c r="F2068" s="75"/>
      <c r="G2068" s="75"/>
      <c r="H2068" s="75"/>
      <c r="I2068" s="75"/>
      <c r="J2068" s="166"/>
      <c r="K2068" s="191"/>
    </row>
    <row r="2069">
      <c r="A2069" s="148"/>
      <c r="B2069" s="75"/>
      <c r="C2069" s="75"/>
      <c r="D2069" s="75"/>
      <c r="E2069" s="75"/>
      <c r="F2069" s="75"/>
      <c r="G2069" s="75"/>
      <c r="H2069" s="75"/>
      <c r="I2069" s="75"/>
      <c r="J2069" s="166"/>
      <c r="K2069" s="191"/>
    </row>
    <row r="2070">
      <c r="A2070" s="148"/>
      <c r="B2070" s="75"/>
      <c r="C2070" s="75"/>
      <c r="D2070" s="75"/>
      <c r="E2070" s="75"/>
      <c r="F2070" s="75"/>
      <c r="G2070" s="75"/>
      <c r="H2070" s="75"/>
      <c r="I2070" s="75"/>
      <c r="J2070" s="166"/>
      <c r="K2070" s="191"/>
    </row>
    <row r="2071">
      <c r="A2071" s="148"/>
      <c r="B2071" s="75"/>
      <c r="C2071" s="75"/>
      <c r="D2071" s="75"/>
      <c r="E2071" s="75"/>
      <c r="F2071" s="75"/>
      <c r="G2071" s="75"/>
      <c r="H2071" s="75"/>
      <c r="I2071" s="75"/>
      <c r="J2071" s="166"/>
      <c r="K2071" s="191"/>
    </row>
    <row r="2072">
      <c r="A2072" s="148"/>
      <c r="B2072" s="75"/>
      <c r="C2072" s="75"/>
      <c r="D2072" s="75"/>
      <c r="E2072" s="75"/>
      <c r="F2072" s="75"/>
      <c r="G2072" s="75"/>
      <c r="H2072" s="75"/>
      <c r="I2072" s="75"/>
      <c r="J2072" s="166"/>
      <c r="K2072" s="191"/>
    </row>
    <row r="2073">
      <c r="A2073" s="148"/>
      <c r="B2073" s="75"/>
      <c r="C2073" s="75"/>
      <c r="D2073" s="75"/>
      <c r="E2073" s="75"/>
      <c r="F2073" s="75"/>
      <c r="G2073" s="75"/>
      <c r="H2073" s="75"/>
      <c r="I2073" s="75"/>
      <c r="J2073" s="166"/>
      <c r="K2073" s="191"/>
    </row>
    <row r="2074">
      <c r="A2074" s="148"/>
      <c r="B2074" s="75"/>
      <c r="C2074" s="75"/>
      <c r="D2074" s="75"/>
      <c r="E2074" s="75"/>
      <c r="F2074" s="75"/>
      <c r="G2074" s="75"/>
      <c r="H2074" s="75"/>
      <c r="I2074" s="75"/>
      <c r="J2074" s="166"/>
      <c r="K2074" s="191"/>
    </row>
    <row r="2075">
      <c r="A2075" s="148"/>
      <c r="B2075" s="75"/>
      <c r="C2075" s="75"/>
      <c r="D2075" s="75"/>
      <c r="E2075" s="75"/>
      <c r="F2075" s="75"/>
      <c r="G2075" s="75"/>
      <c r="H2075" s="75"/>
      <c r="I2075" s="75"/>
      <c r="J2075" s="166"/>
      <c r="K2075" s="191"/>
    </row>
    <row r="2076">
      <c r="A2076" s="148"/>
      <c r="B2076" s="75"/>
      <c r="C2076" s="75"/>
      <c r="D2076" s="75"/>
      <c r="E2076" s="75"/>
      <c r="F2076" s="75"/>
      <c r="G2076" s="75"/>
      <c r="H2076" s="75"/>
      <c r="I2076" s="75"/>
      <c r="J2076" s="166"/>
      <c r="K2076" s="191"/>
    </row>
    <row r="2077">
      <c r="A2077" s="148"/>
      <c r="B2077" s="75"/>
      <c r="C2077" s="75"/>
      <c r="D2077" s="75"/>
      <c r="E2077" s="75"/>
      <c r="F2077" s="75"/>
      <c r="G2077" s="75"/>
      <c r="H2077" s="75"/>
      <c r="I2077" s="75"/>
      <c r="J2077" s="166"/>
      <c r="K2077" s="191"/>
    </row>
    <row r="2078">
      <c r="A2078" s="148"/>
      <c r="B2078" s="75"/>
      <c r="C2078" s="75"/>
      <c r="D2078" s="75"/>
      <c r="E2078" s="75"/>
      <c r="F2078" s="75"/>
      <c r="G2078" s="75"/>
      <c r="H2078" s="75"/>
      <c r="I2078" s="75"/>
      <c r="J2078" s="166"/>
      <c r="K2078" s="191"/>
    </row>
    <row r="2079">
      <c r="A2079" s="148"/>
      <c r="B2079" s="75"/>
      <c r="C2079" s="75"/>
      <c r="D2079" s="75"/>
      <c r="E2079" s="75"/>
      <c r="F2079" s="75"/>
      <c r="G2079" s="75"/>
      <c r="H2079" s="75"/>
      <c r="I2079" s="75"/>
      <c r="J2079" s="166"/>
      <c r="K2079" s="191"/>
    </row>
    <row r="2080">
      <c r="A2080" s="148"/>
      <c r="B2080" s="75"/>
      <c r="C2080" s="75"/>
      <c r="D2080" s="75"/>
      <c r="E2080" s="75"/>
      <c r="F2080" s="75"/>
      <c r="G2080" s="75"/>
      <c r="H2080" s="75"/>
      <c r="I2080" s="75"/>
      <c r="J2080" s="166"/>
      <c r="K2080" s="191"/>
    </row>
    <row r="2081">
      <c r="A2081" s="148"/>
      <c r="B2081" s="75"/>
      <c r="C2081" s="75"/>
      <c r="D2081" s="75"/>
      <c r="E2081" s="75"/>
      <c r="F2081" s="75"/>
      <c r="G2081" s="75"/>
      <c r="H2081" s="75"/>
      <c r="I2081" s="75"/>
      <c r="J2081" s="166"/>
      <c r="K2081" s="191"/>
    </row>
    <row r="2082">
      <c r="A2082" s="148"/>
      <c r="B2082" s="75"/>
      <c r="C2082" s="75"/>
      <c r="D2082" s="75"/>
      <c r="E2082" s="75"/>
      <c r="F2082" s="75"/>
      <c r="G2082" s="75"/>
      <c r="H2082" s="75"/>
      <c r="I2082" s="75"/>
      <c r="J2082" s="166"/>
      <c r="K2082" s="191"/>
    </row>
    <row r="2083">
      <c r="A2083" s="148"/>
      <c r="B2083" s="75"/>
      <c r="C2083" s="75"/>
      <c r="D2083" s="75"/>
      <c r="E2083" s="75"/>
      <c r="F2083" s="75"/>
      <c r="G2083" s="75"/>
      <c r="H2083" s="75"/>
      <c r="I2083" s="75"/>
      <c r="J2083" s="166"/>
      <c r="K2083" s="191"/>
    </row>
    <row r="2084">
      <c r="A2084" s="148"/>
      <c r="B2084" s="75"/>
      <c r="C2084" s="75"/>
      <c r="D2084" s="75"/>
      <c r="E2084" s="75"/>
      <c r="F2084" s="75"/>
      <c r="G2084" s="75"/>
      <c r="H2084" s="75"/>
      <c r="I2084" s="75"/>
      <c r="J2084" s="166"/>
      <c r="K2084" s="191"/>
    </row>
    <row r="2085">
      <c r="A2085" s="148"/>
      <c r="B2085" s="75"/>
      <c r="C2085" s="75"/>
      <c r="D2085" s="75"/>
      <c r="E2085" s="75"/>
      <c r="F2085" s="75"/>
      <c r="G2085" s="75"/>
      <c r="H2085" s="75"/>
      <c r="I2085" s="75"/>
      <c r="J2085" s="166"/>
      <c r="K2085" s="191"/>
    </row>
    <row r="2086">
      <c r="A2086" s="148"/>
      <c r="B2086" s="75"/>
      <c r="C2086" s="75"/>
      <c r="D2086" s="75"/>
      <c r="E2086" s="75"/>
      <c r="F2086" s="75"/>
      <c r="G2086" s="75"/>
      <c r="H2086" s="75"/>
      <c r="I2086" s="75"/>
      <c r="J2086" s="166"/>
      <c r="K2086" s="191"/>
    </row>
    <row r="2087">
      <c r="A2087" s="148"/>
      <c r="B2087" s="75"/>
      <c r="C2087" s="75"/>
      <c r="D2087" s="75"/>
      <c r="E2087" s="75"/>
      <c r="F2087" s="75"/>
      <c r="G2087" s="75"/>
      <c r="H2087" s="75"/>
      <c r="I2087" s="75"/>
      <c r="J2087" s="166"/>
      <c r="K2087" s="191"/>
    </row>
    <row r="2088">
      <c r="A2088" s="148"/>
      <c r="B2088" s="75"/>
      <c r="C2088" s="75"/>
      <c r="D2088" s="75"/>
      <c r="E2088" s="75"/>
      <c r="F2088" s="75"/>
      <c r="G2088" s="75"/>
      <c r="H2088" s="75"/>
      <c r="I2088" s="75"/>
      <c r="J2088" s="166"/>
      <c r="K2088" s="191"/>
    </row>
    <row r="2089">
      <c r="A2089" s="148"/>
      <c r="B2089" s="75"/>
      <c r="C2089" s="75"/>
      <c r="D2089" s="75"/>
      <c r="E2089" s="75"/>
      <c r="F2089" s="75"/>
      <c r="G2089" s="75"/>
      <c r="H2089" s="75"/>
      <c r="I2089" s="75"/>
      <c r="J2089" s="166"/>
      <c r="K2089" s="191"/>
    </row>
    <row r="2090">
      <c r="A2090" s="148"/>
      <c r="B2090" s="75"/>
      <c r="C2090" s="75"/>
      <c r="D2090" s="75"/>
      <c r="E2090" s="75"/>
      <c r="F2090" s="75"/>
      <c r="G2090" s="75"/>
      <c r="H2090" s="75"/>
      <c r="I2090" s="75"/>
      <c r="J2090" s="166"/>
      <c r="K2090" s="191"/>
    </row>
    <row r="2091">
      <c r="A2091" s="148"/>
      <c r="B2091" s="75"/>
      <c r="C2091" s="75"/>
      <c r="D2091" s="75"/>
      <c r="E2091" s="75"/>
      <c r="F2091" s="75"/>
      <c r="G2091" s="75"/>
      <c r="H2091" s="75"/>
      <c r="I2091" s="75"/>
      <c r="J2091" s="166"/>
      <c r="K2091" s="191"/>
    </row>
    <row r="2092">
      <c r="A2092" s="148"/>
      <c r="B2092" s="75"/>
      <c r="C2092" s="75"/>
      <c r="D2092" s="75"/>
      <c r="E2092" s="75"/>
      <c r="F2092" s="75"/>
      <c r="G2092" s="75"/>
      <c r="H2092" s="75"/>
      <c r="I2092" s="75"/>
      <c r="J2092" s="166"/>
      <c r="K2092" s="191"/>
    </row>
    <row r="2093">
      <c r="A2093" s="148"/>
      <c r="B2093" s="75"/>
      <c r="C2093" s="75"/>
      <c r="D2093" s="75"/>
      <c r="E2093" s="75"/>
      <c r="F2093" s="75"/>
      <c r="G2093" s="75"/>
      <c r="H2093" s="75"/>
      <c r="I2093" s="75"/>
      <c r="J2093" s="166"/>
      <c r="K2093" s="191"/>
    </row>
    <row r="2094">
      <c r="A2094" s="148"/>
      <c r="B2094" s="75"/>
      <c r="C2094" s="75"/>
      <c r="D2094" s="75"/>
      <c r="E2094" s="75"/>
      <c r="F2094" s="75"/>
      <c r="G2094" s="75"/>
      <c r="H2094" s="75"/>
      <c r="I2094" s="75"/>
      <c r="J2094" s="166"/>
      <c r="K2094" s="191"/>
    </row>
    <row r="2095">
      <c r="A2095" s="148"/>
      <c r="B2095" s="75"/>
      <c r="C2095" s="75"/>
      <c r="D2095" s="75"/>
      <c r="E2095" s="75"/>
      <c r="F2095" s="75"/>
      <c r="G2095" s="75"/>
      <c r="H2095" s="75"/>
      <c r="I2095" s="75"/>
      <c r="J2095" s="166"/>
      <c r="K2095" s="191"/>
    </row>
    <row r="2096">
      <c r="A2096" s="148"/>
      <c r="B2096" s="75"/>
      <c r="C2096" s="75"/>
      <c r="D2096" s="75"/>
      <c r="E2096" s="75"/>
      <c r="F2096" s="75"/>
      <c r="G2096" s="75"/>
      <c r="H2096" s="75"/>
      <c r="I2096" s="75"/>
      <c r="J2096" s="166"/>
      <c r="K2096" s="191"/>
    </row>
    <row r="2097">
      <c r="A2097" s="148"/>
      <c r="B2097" s="75"/>
      <c r="C2097" s="75"/>
      <c r="D2097" s="75"/>
      <c r="E2097" s="75"/>
      <c r="F2097" s="75"/>
      <c r="G2097" s="75"/>
      <c r="H2097" s="75"/>
      <c r="I2097" s="75"/>
      <c r="J2097" s="166"/>
      <c r="K2097" s="191"/>
    </row>
    <row r="2098">
      <c r="A2098" s="148"/>
      <c r="B2098" s="75"/>
      <c r="C2098" s="75"/>
      <c r="D2098" s="75"/>
      <c r="E2098" s="75"/>
      <c r="F2098" s="75"/>
      <c r="G2098" s="75"/>
      <c r="H2098" s="75"/>
      <c r="I2098" s="75"/>
      <c r="J2098" s="166"/>
      <c r="K2098" s="191"/>
    </row>
    <row r="2099">
      <c r="A2099" s="148"/>
      <c r="B2099" s="75"/>
      <c r="C2099" s="75"/>
      <c r="D2099" s="75"/>
      <c r="E2099" s="75"/>
      <c r="F2099" s="75"/>
      <c r="G2099" s="75"/>
      <c r="H2099" s="75"/>
      <c r="I2099" s="75"/>
      <c r="J2099" s="166"/>
      <c r="K2099" s="191"/>
    </row>
    <row r="2100">
      <c r="A2100" s="148"/>
      <c r="B2100" s="75"/>
      <c r="C2100" s="75"/>
      <c r="D2100" s="75"/>
      <c r="E2100" s="75"/>
      <c r="F2100" s="75"/>
      <c r="G2100" s="75"/>
      <c r="H2100" s="75"/>
      <c r="I2100" s="75"/>
      <c r="J2100" s="166"/>
      <c r="K2100" s="191"/>
    </row>
    <row r="2101">
      <c r="A2101" s="148"/>
      <c r="B2101" s="75"/>
      <c r="C2101" s="75"/>
      <c r="D2101" s="75"/>
      <c r="E2101" s="75"/>
      <c r="F2101" s="75"/>
      <c r="G2101" s="75"/>
      <c r="H2101" s="75"/>
      <c r="I2101" s="75"/>
      <c r="J2101" s="166"/>
      <c r="K2101" s="191"/>
    </row>
    <row r="2102">
      <c r="A2102" s="148"/>
      <c r="B2102" s="75"/>
      <c r="C2102" s="75"/>
      <c r="D2102" s="75"/>
      <c r="E2102" s="75"/>
      <c r="F2102" s="75"/>
      <c r="G2102" s="75"/>
      <c r="H2102" s="75"/>
      <c r="I2102" s="75"/>
      <c r="J2102" s="166"/>
      <c r="K2102" s="191"/>
    </row>
    <row r="2103">
      <c r="A2103" s="148"/>
      <c r="B2103" s="75"/>
      <c r="C2103" s="75"/>
      <c r="D2103" s="75"/>
      <c r="E2103" s="75"/>
      <c r="F2103" s="75"/>
      <c r="G2103" s="75"/>
      <c r="H2103" s="75"/>
      <c r="I2103" s="75"/>
      <c r="J2103" s="166"/>
      <c r="K2103" s="191"/>
    </row>
    <row r="2104">
      <c r="A2104" s="148"/>
      <c r="B2104" s="75"/>
      <c r="C2104" s="75"/>
      <c r="D2104" s="75"/>
      <c r="E2104" s="75"/>
      <c r="F2104" s="75"/>
      <c r="G2104" s="75"/>
      <c r="H2104" s="75"/>
      <c r="I2104" s="75"/>
      <c r="J2104" s="166"/>
      <c r="K2104" s="191"/>
    </row>
    <row r="2105">
      <c r="A2105" s="148"/>
      <c r="B2105" s="75"/>
      <c r="C2105" s="75"/>
      <c r="D2105" s="75"/>
      <c r="E2105" s="75"/>
      <c r="F2105" s="75"/>
      <c r="G2105" s="75"/>
      <c r="H2105" s="75"/>
      <c r="I2105" s="75"/>
      <c r="J2105" s="166"/>
      <c r="K2105" s="191"/>
    </row>
    <row r="2106">
      <c r="A2106" s="148"/>
      <c r="B2106" s="75"/>
      <c r="C2106" s="75"/>
      <c r="D2106" s="75"/>
      <c r="E2106" s="75"/>
      <c r="F2106" s="75"/>
      <c r="G2106" s="75"/>
      <c r="H2106" s="75"/>
      <c r="I2106" s="75"/>
      <c r="J2106" s="166"/>
      <c r="K2106" s="191"/>
    </row>
    <row r="2107">
      <c r="A2107" s="148"/>
      <c r="B2107" s="75"/>
      <c r="C2107" s="75"/>
      <c r="D2107" s="75"/>
      <c r="E2107" s="75"/>
      <c r="F2107" s="75"/>
      <c r="G2107" s="75"/>
      <c r="H2107" s="75"/>
      <c r="I2107" s="75"/>
      <c r="J2107" s="166"/>
      <c r="K2107" s="191"/>
    </row>
    <row r="2108">
      <c r="A2108" s="148"/>
      <c r="B2108" s="75"/>
      <c r="C2108" s="75"/>
      <c r="D2108" s="75"/>
      <c r="E2108" s="75"/>
      <c r="F2108" s="75"/>
      <c r="G2108" s="75"/>
      <c r="H2108" s="75"/>
      <c r="I2108" s="75"/>
      <c r="J2108" s="166"/>
      <c r="K2108" s="191"/>
    </row>
    <row r="2109">
      <c r="A2109" s="148"/>
      <c r="B2109" s="75"/>
      <c r="C2109" s="75"/>
      <c r="D2109" s="75"/>
      <c r="E2109" s="75"/>
      <c r="F2109" s="75"/>
      <c r="G2109" s="75"/>
      <c r="H2109" s="75"/>
      <c r="I2109" s="75"/>
      <c r="J2109" s="166"/>
      <c r="K2109" s="191"/>
    </row>
    <row r="2110">
      <c r="A2110" s="148"/>
      <c r="B2110" s="75"/>
      <c r="C2110" s="75"/>
      <c r="D2110" s="75"/>
      <c r="E2110" s="75"/>
      <c r="F2110" s="75"/>
      <c r="G2110" s="75"/>
      <c r="H2110" s="75"/>
      <c r="I2110" s="75"/>
      <c r="J2110" s="166"/>
      <c r="K2110" s="191"/>
    </row>
    <row r="2111">
      <c r="A2111" s="148"/>
      <c r="B2111" s="75"/>
      <c r="C2111" s="75"/>
      <c r="D2111" s="75"/>
      <c r="E2111" s="75"/>
      <c r="F2111" s="75"/>
      <c r="G2111" s="75"/>
      <c r="H2111" s="75"/>
      <c r="I2111" s="75"/>
      <c r="J2111" s="166"/>
      <c r="K2111" s="191"/>
    </row>
    <row r="2112">
      <c r="A2112" s="148"/>
      <c r="B2112" s="75"/>
      <c r="C2112" s="75"/>
      <c r="D2112" s="75"/>
      <c r="E2112" s="75"/>
      <c r="F2112" s="75"/>
      <c r="G2112" s="75"/>
      <c r="H2112" s="75"/>
      <c r="I2112" s="75"/>
      <c r="J2112" s="166"/>
      <c r="K2112" s="191"/>
    </row>
    <row r="2113">
      <c r="A2113" s="148"/>
      <c r="B2113" s="75"/>
      <c r="C2113" s="75"/>
      <c r="D2113" s="75"/>
      <c r="E2113" s="75"/>
      <c r="F2113" s="75"/>
      <c r="G2113" s="75"/>
      <c r="H2113" s="75"/>
      <c r="I2113" s="75"/>
      <c r="J2113" s="166"/>
      <c r="K2113" s="191"/>
    </row>
    <row r="2114">
      <c r="A2114" s="148"/>
      <c r="B2114" s="75"/>
      <c r="C2114" s="75"/>
      <c r="D2114" s="75"/>
      <c r="E2114" s="75"/>
      <c r="F2114" s="75"/>
      <c r="G2114" s="75"/>
      <c r="H2114" s="75"/>
      <c r="I2114" s="75"/>
      <c r="J2114" s="166"/>
      <c r="K2114" s="191"/>
    </row>
    <row r="2115">
      <c r="A2115" s="148"/>
      <c r="B2115" s="75"/>
      <c r="C2115" s="75"/>
      <c r="D2115" s="75"/>
      <c r="E2115" s="75"/>
      <c r="F2115" s="75"/>
      <c r="G2115" s="75"/>
      <c r="H2115" s="75"/>
      <c r="I2115" s="75"/>
      <c r="J2115" s="166"/>
      <c r="K2115" s="191"/>
    </row>
    <row r="2116">
      <c r="A2116" s="148"/>
      <c r="B2116" s="75"/>
      <c r="C2116" s="75"/>
      <c r="D2116" s="75"/>
      <c r="E2116" s="75"/>
      <c r="F2116" s="75"/>
      <c r="G2116" s="75"/>
      <c r="H2116" s="75"/>
      <c r="I2116" s="75"/>
      <c r="J2116" s="166"/>
      <c r="K2116" s="191"/>
    </row>
    <row r="2117">
      <c r="A2117" s="148"/>
      <c r="B2117" s="75"/>
      <c r="C2117" s="75"/>
      <c r="D2117" s="75"/>
      <c r="E2117" s="75"/>
      <c r="F2117" s="75"/>
      <c r="G2117" s="75"/>
      <c r="H2117" s="75"/>
      <c r="I2117" s="75"/>
      <c r="J2117" s="166"/>
      <c r="K2117" s="191"/>
    </row>
    <row r="2118">
      <c r="A2118" s="148"/>
      <c r="B2118" s="75"/>
      <c r="C2118" s="75"/>
      <c r="D2118" s="75"/>
      <c r="E2118" s="75"/>
      <c r="F2118" s="75"/>
      <c r="G2118" s="75"/>
      <c r="H2118" s="75"/>
      <c r="I2118" s="75"/>
      <c r="J2118" s="166"/>
      <c r="K2118" s="191"/>
    </row>
    <row r="2119">
      <c r="A2119" s="148"/>
      <c r="B2119" s="75"/>
      <c r="C2119" s="75"/>
      <c r="D2119" s="75"/>
      <c r="E2119" s="75"/>
      <c r="F2119" s="75"/>
      <c r="G2119" s="75"/>
      <c r="H2119" s="75"/>
      <c r="I2119" s="75"/>
      <c r="J2119" s="166"/>
      <c r="K2119" s="191"/>
    </row>
    <row r="2120">
      <c r="A2120" s="148"/>
      <c r="B2120" s="75"/>
      <c r="C2120" s="75"/>
      <c r="D2120" s="75"/>
      <c r="E2120" s="75"/>
      <c r="F2120" s="75"/>
      <c r="G2120" s="75"/>
      <c r="H2120" s="75"/>
      <c r="I2120" s="75"/>
      <c r="J2120" s="166"/>
      <c r="K2120" s="191"/>
    </row>
    <row r="2121">
      <c r="A2121" s="148"/>
      <c r="B2121" s="75"/>
      <c r="C2121" s="75"/>
      <c r="D2121" s="75"/>
      <c r="E2121" s="75"/>
      <c r="F2121" s="75"/>
      <c r="G2121" s="75"/>
      <c r="H2121" s="75"/>
      <c r="I2121" s="75"/>
      <c r="J2121" s="166"/>
      <c r="K2121" s="191"/>
    </row>
    <row r="2122">
      <c r="A2122" s="148"/>
      <c r="B2122" s="75"/>
      <c r="C2122" s="75"/>
      <c r="D2122" s="75"/>
      <c r="E2122" s="75"/>
      <c r="F2122" s="75"/>
      <c r="G2122" s="75"/>
      <c r="H2122" s="75"/>
      <c r="I2122" s="75"/>
      <c r="J2122" s="166"/>
      <c r="K2122" s="191"/>
    </row>
    <row r="2123">
      <c r="A2123" s="148"/>
      <c r="B2123" s="75"/>
      <c r="C2123" s="75"/>
      <c r="D2123" s="75"/>
      <c r="E2123" s="75"/>
      <c r="F2123" s="75"/>
      <c r="G2123" s="75"/>
      <c r="H2123" s="75"/>
      <c r="I2123" s="75"/>
      <c r="J2123" s="166"/>
      <c r="K2123" s="191"/>
    </row>
    <row r="2124">
      <c r="A2124" s="148"/>
      <c r="B2124" s="75"/>
      <c r="C2124" s="75"/>
      <c r="D2124" s="75"/>
      <c r="E2124" s="75"/>
      <c r="F2124" s="75"/>
      <c r="G2124" s="75"/>
      <c r="H2124" s="75"/>
      <c r="I2124" s="75"/>
      <c r="J2124" s="166"/>
      <c r="K2124" s="191"/>
    </row>
    <row r="2125">
      <c r="A2125" s="148"/>
      <c r="B2125" s="75"/>
      <c r="C2125" s="75"/>
      <c r="D2125" s="75"/>
      <c r="E2125" s="75"/>
      <c r="F2125" s="75"/>
      <c r="G2125" s="75"/>
      <c r="H2125" s="75"/>
      <c r="I2125" s="75"/>
      <c r="J2125" s="166"/>
      <c r="K2125" s="191"/>
    </row>
    <row r="2126">
      <c r="A2126" s="148"/>
      <c r="B2126" s="75"/>
      <c r="C2126" s="75"/>
      <c r="D2126" s="75"/>
      <c r="E2126" s="75"/>
      <c r="F2126" s="75"/>
      <c r="G2126" s="75"/>
      <c r="H2126" s="75"/>
      <c r="I2126" s="75"/>
      <c r="J2126" s="166"/>
      <c r="K2126" s="191"/>
    </row>
    <row r="2127">
      <c r="A2127" s="148"/>
      <c r="B2127" s="75"/>
      <c r="C2127" s="75"/>
      <c r="D2127" s="75"/>
      <c r="E2127" s="75"/>
      <c r="F2127" s="75"/>
      <c r="G2127" s="75"/>
      <c r="H2127" s="75"/>
      <c r="I2127" s="75"/>
      <c r="J2127" s="166"/>
      <c r="K2127" s="191"/>
    </row>
    <row r="2128">
      <c r="A2128" s="148"/>
      <c r="B2128" s="75"/>
      <c r="C2128" s="75"/>
      <c r="D2128" s="75"/>
      <c r="E2128" s="75"/>
      <c r="F2128" s="75"/>
      <c r="G2128" s="75"/>
      <c r="H2128" s="75"/>
      <c r="I2128" s="75"/>
      <c r="J2128" s="166"/>
      <c r="K2128" s="191"/>
    </row>
    <row r="2129">
      <c r="A2129" s="148"/>
      <c r="B2129" s="75"/>
      <c r="C2129" s="75"/>
      <c r="D2129" s="75"/>
      <c r="E2129" s="75"/>
      <c r="F2129" s="75"/>
      <c r="G2129" s="75"/>
      <c r="H2129" s="75"/>
      <c r="I2129" s="75"/>
      <c r="J2129" s="166"/>
      <c r="K2129" s="191"/>
    </row>
    <row r="2130">
      <c r="A2130" s="148"/>
      <c r="B2130" s="75"/>
      <c r="C2130" s="75"/>
      <c r="D2130" s="75"/>
      <c r="E2130" s="75"/>
      <c r="F2130" s="75"/>
      <c r="G2130" s="75"/>
      <c r="H2130" s="75"/>
      <c r="I2130" s="75"/>
      <c r="J2130" s="166"/>
      <c r="K2130" s="191"/>
    </row>
    <row r="2131">
      <c r="A2131" s="148"/>
      <c r="B2131" s="75"/>
      <c r="C2131" s="75"/>
      <c r="D2131" s="75"/>
      <c r="E2131" s="75"/>
      <c r="F2131" s="75"/>
      <c r="G2131" s="75"/>
      <c r="H2131" s="75"/>
      <c r="I2131" s="75"/>
      <c r="J2131" s="166"/>
      <c r="K2131" s="191"/>
    </row>
    <row r="2132">
      <c r="A2132" s="148"/>
      <c r="B2132" s="75"/>
      <c r="C2132" s="75"/>
      <c r="D2132" s="75"/>
      <c r="E2132" s="75"/>
      <c r="F2132" s="75"/>
      <c r="G2132" s="75"/>
      <c r="H2132" s="75"/>
      <c r="I2132" s="75"/>
      <c r="J2132" s="166"/>
      <c r="K2132" s="191"/>
    </row>
    <row r="2133">
      <c r="A2133" s="148"/>
      <c r="B2133" s="75"/>
      <c r="C2133" s="75"/>
      <c r="D2133" s="75"/>
      <c r="E2133" s="75"/>
      <c r="F2133" s="75"/>
      <c r="G2133" s="75"/>
      <c r="H2133" s="75"/>
      <c r="I2133" s="75"/>
      <c r="J2133" s="166"/>
      <c r="K2133" s="191"/>
    </row>
    <row r="2134">
      <c r="A2134" s="148"/>
      <c r="B2134" s="75"/>
      <c r="C2134" s="75"/>
      <c r="D2134" s="75"/>
      <c r="E2134" s="75"/>
      <c r="F2134" s="75"/>
      <c r="G2134" s="75"/>
      <c r="H2134" s="75"/>
      <c r="I2134" s="75"/>
      <c r="J2134" s="166"/>
      <c r="K2134" s="191"/>
    </row>
    <row r="2135">
      <c r="A2135" s="148"/>
      <c r="B2135" s="75"/>
      <c r="C2135" s="75"/>
      <c r="D2135" s="75"/>
      <c r="E2135" s="75"/>
      <c r="F2135" s="75"/>
      <c r="G2135" s="75"/>
      <c r="H2135" s="75"/>
      <c r="I2135" s="75"/>
      <c r="J2135" s="166"/>
      <c r="K2135" s="191"/>
    </row>
    <row r="2136">
      <c r="A2136" s="148"/>
      <c r="B2136" s="75"/>
      <c r="C2136" s="75"/>
      <c r="D2136" s="75"/>
      <c r="E2136" s="75"/>
      <c r="F2136" s="75"/>
      <c r="G2136" s="75"/>
      <c r="H2136" s="75"/>
      <c r="I2136" s="75"/>
      <c r="J2136" s="166"/>
      <c r="K2136" s="191"/>
    </row>
    <row r="2137">
      <c r="A2137" s="148"/>
      <c r="B2137" s="75"/>
      <c r="C2137" s="75"/>
      <c r="D2137" s="75"/>
      <c r="E2137" s="75"/>
      <c r="F2137" s="75"/>
      <c r="G2137" s="75"/>
      <c r="H2137" s="75"/>
      <c r="I2137" s="75"/>
      <c r="J2137" s="166"/>
      <c r="K2137" s="191"/>
    </row>
    <row r="2138">
      <c r="A2138" s="148"/>
      <c r="B2138" s="75"/>
      <c r="C2138" s="75"/>
      <c r="D2138" s="75"/>
      <c r="E2138" s="75"/>
      <c r="F2138" s="75"/>
      <c r="G2138" s="75"/>
      <c r="H2138" s="75"/>
      <c r="I2138" s="75"/>
      <c r="J2138" s="166"/>
      <c r="K2138" s="191"/>
    </row>
    <row r="2139">
      <c r="A2139" s="148"/>
      <c r="B2139" s="75"/>
      <c r="C2139" s="75"/>
      <c r="D2139" s="75"/>
      <c r="E2139" s="75"/>
      <c r="F2139" s="75"/>
      <c r="G2139" s="75"/>
      <c r="H2139" s="75"/>
      <c r="I2139" s="75"/>
      <c r="J2139" s="166"/>
      <c r="K2139" s="191"/>
    </row>
    <row r="2140">
      <c r="A2140" s="148"/>
      <c r="B2140" s="75"/>
      <c r="C2140" s="75"/>
      <c r="D2140" s="75"/>
      <c r="E2140" s="75"/>
      <c r="F2140" s="75"/>
      <c r="G2140" s="75"/>
      <c r="H2140" s="75"/>
      <c r="I2140" s="75"/>
      <c r="J2140" s="166"/>
      <c r="K2140" s="191"/>
    </row>
    <row r="2141">
      <c r="A2141" s="148"/>
      <c r="B2141" s="75"/>
      <c r="C2141" s="75"/>
      <c r="D2141" s="75"/>
      <c r="E2141" s="75"/>
      <c r="F2141" s="75"/>
      <c r="G2141" s="75"/>
      <c r="H2141" s="75"/>
      <c r="I2141" s="75"/>
      <c r="J2141" s="166"/>
      <c r="K2141" s="191"/>
    </row>
    <row r="2142">
      <c r="A2142" s="148"/>
      <c r="B2142" s="75"/>
      <c r="C2142" s="75"/>
      <c r="D2142" s="75"/>
      <c r="E2142" s="75"/>
      <c r="F2142" s="75"/>
      <c r="G2142" s="75"/>
      <c r="H2142" s="75"/>
      <c r="I2142" s="75"/>
      <c r="J2142" s="166"/>
      <c r="K2142" s="191"/>
    </row>
    <row r="2143">
      <c r="A2143" s="148"/>
      <c r="B2143" s="75"/>
      <c r="C2143" s="75"/>
      <c r="D2143" s="75"/>
      <c r="E2143" s="75"/>
      <c r="F2143" s="75"/>
      <c r="G2143" s="75"/>
      <c r="H2143" s="75"/>
      <c r="I2143" s="75"/>
      <c r="J2143" s="166"/>
      <c r="K2143" s="191"/>
    </row>
    <row r="2144">
      <c r="A2144" s="148"/>
      <c r="B2144" s="75"/>
      <c r="C2144" s="75"/>
      <c r="D2144" s="75"/>
      <c r="E2144" s="75"/>
      <c r="F2144" s="75"/>
      <c r="G2144" s="75"/>
      <c r="H2144" s="75"/>
      <c r="I2144" s="75"/>
      <c r="J2144" s="166"/>
      <c r="K2144" s="191"/>
    </row>
    <row r="2145">
      <c r="A2145" s="148"/>
      <c r="B2145" s="75"/>
      <c r="C2145" s="75"/>
      <c r="D2145" s="75"/>
      <c r="E2145" s="75"/>
      <c r="F2145" s="75"/>
      <c r="G2145" s="75"/>
      <c r="H2145" s="75"/>
      <c r="I2145" s="75"/>
      <c r="J2145" s="166"/>
      <c r="K2145" s="191"/>
    </row>
    <row r="2146">
      <c r="A2146" s="148"/>
      <c r="B2146" s="75"/>
      <c r="C2146" s="75"/>
      <c r="D2146" s="75"/>
      <c r="E2146" s="75"/>
      <c r="F2146" s="75"/>
      <c r="G2146" s="75"/>
      <c r="H2146" s="75"/>
      <c r="I2146" s="75"/>
      <c r="J2146" s="166"/>
      <c r="K2146" s="191"/>
    </row>
    <row r="2147">
      <c r="A2147" s="148"/>
      <c r="B2147" s="75"/>
      <c r="C2147" s="75"/>
      <c r="D2147" s="75"/>
      <c r="E2147" s="75"/>
      <c r="F2147" s="75"/>
      <c r="G2147" s="75"/>
      <c r="H2147" s="75"/>
      <c r="I2147" s="75"/>
      <c r="J2147" s="166"/>
      <c r="K2147" s="191"/>
    </row>
    <row r="2148">
      <c r="A2148" s="148"/>
      <c r="B2148" s="75"/>
      <c r="C2148" s="75"/>
      <c r="D2148" s="75"/>
      <c r="E2148" s="75"/>
      <c r="F2148" s="75"/>
      <c r="G2148" s="75"/>
      <c r="H2148" s="75"/>
      <c r="I2148" s="75"/>
      <c r="J2148" s="166"/>
      <c r="K2148" s="191"/>
    </row>
    <row r="2149">
      <c r="A2149" s="148"/>
      <c r="B2149" s="75"/>
      <c r="C2149" s="75"/>
      <c r="D2149" s="75"/>
      <c r="E2149" s="75"/>
      <c r="F2149" s="75"/>
      <c r="G2149" s="75"/>
      <c r="H2149" s="75"/>
      <c r="I2149" s="75"/>
      <c r="J2149" s="166"/>
      <c r="K2149" s="191"/>
    </row>
    <row r="2150">
      <c r="A2150" s="148"/>
      <c r="B2150" s="75"/>
      <c r="C2150" s="75"/>
      <c r="D2150" s="75"/>
      <c r="E2150" s="75"/>
      <c r="F2150" s="75"/>
      <c r="G2150" s="75"/>
      <c r="H2150" s="75"/>
      <c r="I2150" s="75"/>
      <c r="J2150" s="166"/>
      <c r="K2150" s="191"/>
    </row>
    <row r="2151">
      <c r="A2151" s="148"/>
      <c r="B2151" s="75"/>
      <c r="C2151" s="75"/>
      <c r="D2151" s="75"/>
      <c r="E2151" s="75"/>
      <c r="F2151" s="75"/>
      <c r="G2151" s="75"/>
      <c r="H2151" s="75"/>
      <c r="I2151" s="75"/>
      <c r="J2151" s="166"/>
      <c r="K2151" s="191"/>
    </row>
    <row r="2152">
      <c r="A2152" s="148"/>
      <c r="B2152" s="75"/>
      <c r="C2152" s="75"/>
      <c r="D2152" s="75"/>
      <c r="E2152" s="75"/>
      <c r="F2152" s="75"/>
      <c r="G2152" s="75"/>
      <c r="H2152" s="75"/>
      <c r="I2152" s="75"/>
      <c r="J2152" s="166"/>
      <c r="K2152" s="191"/>
    </row>
    <row r="2153">
      <c r="A2153" s="148"/>
      <c r="B2153" s="75"/>
      <c r="C2153" s="75"/>
      <c r="D2153" s="75"/>
      <c r="E2153" s="75"/>
      <c r="F2153" s="75"/>
      <c r="G2153" s="75"/>
      <c r="H2153" s="75"/>
      <c r="I2153" s="75"/>
      <c r="J2153" s="166"/>
      <c r="K2153" s="191"/>
    </row>
    <row r="2154">
      <c r="A2154" s="148"/>
      <c r="B2154" s="75"/>
      <c r="C2154" s="75"/>
      <c r="D2154" s="75"/>
      <c r="E2154" s="75"/>
      <c r="F2154" s="75"/>
      <c r="G2154" s="75"/>
      <c r="H2154" s="75"/>
      <c r="I2154" s="75"/>
      <c r="J2154" s="166"/>
      <c r="K2154" s="191"/>
    </row>
    <row r="2155">
      <c r="A2155" s="148"/>
      <c r="B2155" s="75"/>
      <c r="C2155" s="75"/>
      <c r="D2155" s="75"/>
      <c r="E2155" s="75"/>
      <c r="F2155" s="75"/>
      <c r="G2155" s="75"/>
      <c r="H2155" s="75"/>
      <c r="I2155" s="75"/>
      <c r="J2155" s="166"/>
      <c r="K2155" s="191"/>
    </row>
    <row r="2156">
      <c r="A2156" s="148"/>
      <c r="B2156" s="75"/>
      <c r="C2156" s="75"/>
      <c r="D2156" s="75"/>
      <c r="E2156" s="75"/>
      <c r="F2156" s="75"/>
      <c r="G2156" s="75"/>
      <c r="H2156" s="75"/>
      <c r="I2156" s="75"/>
      <c r="J2156" s="166"/>
      <c r="K2156" s="191"/>
    </row>
    <row r="2157">
      <c r="A2157" s="148"/>
      <c r="B2157" s="75"/>
      <c r="C2157" s="75"/>
      <c r="D2157" s="75"/>
      <c r="E2157" s="75"/>
      <c r="F2157" s="75"/>
      <c r="G2157" s="75"/>
      <c r="H2157" s="75"/>
      <c r="I2157" s="75"/>
      <c r="J2157" s="166"/>
      <c r="K2157" s="191"/>
    </row>
    <row r="2158">
      <c r="A2158" s="148"/>
      <c r="B2158" s="75"/>
      <c r="C2158" s="75"/>
      <c r="D2158" s="75"/>
      <c r="E2158" s="75"/>
      <c r="F2158" s="75"/>
      <c r="G2158" s="75"/>
      <c r="H2158" s="75"/>
      <c r="I2158" s="75"/>
      <c r="J2158" s="166"/>
      <c r="K2158" s="191"/>
    </row>
    <row r="2159">
      <c r="A2159" s="148"/>
      <c r="B2159" s="75"/>
      <c r="C2159" s="75"/>
      <c r="D2159" s="75"/>
      <c r="E2159" s="75"/>
      <c r="F2159" s="75"/>
      <c r="G2159" s="75"/>
      <c r="H2159" s="75"/>
      <c r="I2159" s="75"/>
      <c r="J2159" s="166"/>
      <c r="K2159" s="191"/>
    </row>
    <row r="2160">
      <c r="A2160" s="148"/>
      <c r="B2160" s="75"/>
      <c r="C2160" s="75"/>
      <c r="D2160" s="75"/>
      <c r="E2160" s="75"/>
      <c r="F2160" s="75"/>
      <c r="G2160" s="75"/>
      <c r="H2160" s="75"/>
      <c r="I2160" s="75"/>
      <c r="J2160" s="166"/>
      <c r="K2160" s="191"/>
    </row>
    <row r="2161">
      <c r="A2161" s="148"/>
      <c r="B2161" s="75"/>
      <c r="C2161" s="75"/>
      <c r="D2161" s="75"/>
      <c r="E2161" s="75"/>
      <c r="F2161" s="75"/>
      <c r="G2161" s="75"/>
      <c r="H2161" s="75"/>
      <c r="I2161" s="75"/>
      <c r="J2161" s="166"/>
      <c r="K2161" s="191"/>
    </row>
    <row r="2162">
      <c r="A2162" s="148"/>
      <c r="B2162" s="75"/>
      <c r="C2162" s="75"/>
      <c r="D2162" s="75"/>
      <c r="E2162" s="75"/>
      <c r="F2162" s="75"/>
      <c r="G2162" s="75"/>
      <c r="H2162" s="75"/>
      <c r="I2162" s="75"/>
      <c r="J2162" s="166"/>
      <c r="K2162" s="191"/>
    </row>
    <row r="2163">
      <c r="A2163" s="148"/>
      <c r="B2163" s="75"/>
      <c r="C2163" s="75"/>
      <c r="D2163" s="75"/>
      <c r="E2163" s="75"/>
      <c r="F2163" s="75"/>
      <c r="G2163" s="75"/>
      <c r="H2163" s="75"/>
      <c r="I2163" s="75"/>
      <c r="J2163" s="166"/>
      <c r="K2163" s="191"/>
    </row>
    <row r="2164">
      <c r="A2164" s="148"/>
      <c r="B2164" s="75"/>
      <c r="C2164" s="75"/>
      <c r="D2164" s="75"/>
      <c r="E2164" s="75"/>
      <c r="F2164" s="75"/>
      <c r="G2164" s="75"/>
      <c r="H2164" s="75"/>
      <c r="I2164" s="75"/>
      <c r="J2164" s="166"/>
      <c r="K2164" s="191"/>
    </row>
    <row r="2165">
      <c r="A2165" s="148"/>
      <c r="B2165" s="75"/>
      <c r="C2165" s="75"/>
      <c r="D2165" s="75"/>
      <c r="E2165" s="75"/>
      <c r="F2165" s="75"/>
      <c r="G2165" s="75"/>
      <c r="H2165" s="75"/>
      <c r="I2165" s="75"/>
      <c r="J2165" s="166"/>
      <c r="K2165" s="191"/>
    </row>
    <row r="2166">
      <c r="A2166" s="148"/>
      <c r="B2166" s="75"/>
      <c r="C2166" s="75"/>
      <c r="D2166" s="75"/>
      <c r="E2166" s="75"/>
      <c r="F2166" s="75"/>
      <c r="G2166" s="75"/>
      <c r="H2166" s="75"/>
      <c r="I2166" s="75"/>
      <c r="J2166" s="166"/>
      <c r="K2166" s="191"/>
    </row>
    <row r="2167">
      <c r="A2167" s="148"/>
      <c r="B2167" s="75"/>
      <c r="C2167" s="75"/>
      <c r="D2167" s="75"/>
      <c r="E2167" s="75"/>
      <c r="F2167" s="75"/>
      <c r="G2167" s="75"/>
      <c r="H2167" s="75"/>
      <c r="I2167" s="75"/>
      <c r="J2167" s="166"/>
      <c r="K2167" s="191"/>
    </row>
    <row r="2168">
      <c r="A2168" s="148"/>
      <c r="B2168" s="75"/>
      <c r="C2168" s="75"/>
      <c r="D2168" s="75"/>
      <c r="E2168" s="75"/>
      <c r="F2168" s="75"/>
      <c r="G2168" s="75"/>
      <c r="H2168" s="75"/>
      <c r="I2168" s="75"/>
      <c r="J2168" s="166"/>
      <c r="K2168" s="191"/>
    </row>
    <row r="2169">
      <c r="A2169" s="148"/>
      <c r="B2169" s="75"/>
      <c r="C2169" s="75"/>
      <c r="D2169" s="75"/>
      <c r="E2169" s="75"/>
      <c r="F2169" s="75"/>
      <c r="G2169" s="75"/>
      <c r="H2169" s="75"/>
      <c r="I2169" s="75"/>
      <c r="J2169" s="166"/>
      <c r="K2169" s="191"/>
    </row>
    <row r="2170">
      <c r="A2170" s="148"/>
      <c r="B2170" s="75"/>
      <c r="C2170" s="75"/>
      <c r="D2170" s="75"/>
      <c r="E2170" s="75"/>
      <c r="F2170" s="75"/>
      <c r="G2170" s="75"/>
      <c r="H2170" s="75"/>
      <c r="I2170" s="75"/>
      <c r="J2170" s="166"/>
      <c r="K2170" s="191"/>
    </row>
    <row r="2171">
      <c r="A2171" s="148"/>
      <c r="B2171" s="75"/>
      <c r="C2171" s="75"/>
      <c r="D2171" s="75"/>
      <c r="E2171" s="75"/>
      <c r="F2171" s="75"/>
      <c r="G2171" s="75"/>
      <c r="H2171" s="75"/>
      <c r="I2171" s="75"/>
      <c r="J2171" s="166"/>
      <c r="K2171" s="191"/>
    </row>
    <row r="2172">
      <c r="A2172" s="148"/>
      <c r="B2172" s="75"/>
      <c r="C2172" s="75"/>
      <c r="D2172" s="75"/>
      <c r="E2172" s="75"/>
      <c r="F2172" s="75"/>
      <c r="G2172" s="75"/>
      <c r="H2172" s="75"/>
      <c r="I2172" s="75"/>
      <c r="J2172" s="166"/>
      <c r="K2172" s="191"/>
    </row>
    <row r="2173">
      <c r="A2173" s="148"/>
      <c r="B2173" s="75"/>
      <c r="C2173" s="75"/>
      <c r="D2173" s="75"/>
      <c r="E2173" s="75"/>
      <c r="F2173" s="75"/>
      <c r="G2173" s="75"/>
      <c r="H2173" s="75"/>
      <c r="I2173" s="75"/>
      <c r="J2173" s="166"/>
      <c r="K2173" s="191"/>
    </row>
    <row r="2174">
      <c r="A2174" s="148"/>
      <c r="B2174" s="75"/>
      <c r="C2174" s="75"/>
      <c r="D2174" s="75"/>
      <c r="E2174" s="75"/>
      <c r="F2174" s="75"/>
      <c r="G2174" s="75"/>
      <c r="H2174" s="75"/>
      <c r="I2174" s="75"/>
      <c r="J2174" s="166"/>
      <c r="K2174" s="191"/>
    </row>
    <row r="2175">
      <c r="A2175" s="148"/>
      <c r="B2175" s="75"/>
      <c r="C2175" s="75"/>
      <c r="D2175" s="75"/>
      <c r="E2175" s="75"/>
      <c r="F2175" s="75"/>
      <c r="G2175" s="75"/>
      <c r="H2175" s="75"/>
      <c r="I2175" s="75"/>
      <c r="J2175" s="166"/>
      <c r="K2175" s="191"/>
    </row>
    <row r="2176">
      <c r="A2176" s="148"/>
      <c r="B2176" s="75"/>
      <c r="C2176" s="75"/>
      <c r="D2176" s="75"/>
      <c r="E2176" s="75"/>
      <c r="F2176" s="75"/>
      <c r="G2176" s="75"/>
      <c r="H2176" s="75"/>
      <c r="I2176" s="75"/>
      <c r="J2176" s="166"/>
      <c r="K2176" s="191"/>
    </row>
    <row r="2177">
      <c r="A2177" s="148"/>
      <c r="B2177" s="75"/>
      <c r="C2177" s="75"/>
      <c r="D2177" s="75"/>
      <c r="E2177" s="75"/>
      <c r="F2177" s="75"/>
      <c r="G2177" s="75"/>
      <c r="H2177" s="75"/>
      <c r="I2177" s="75"/>
      <c r="J2177" s="166"/>
      <c r="K2177" s="191"/>
    </row>
    <row r="2178">
      <c r="A2178" s="148"/>
      <c r="B2178" s="75"/>
      <c r="C2178" s="75"/>
      <c r="D2178" s="75"/>
      <c r="E2178" s="75"/>
      <c r="F2178" s="75"/>
      <c r="G2178" s="75"/>
      <c r="H2178" s="75"/>
      <c r="I2178" s="75"/>
      <c r="J2178" s="166"/>
      <c r="K2178" s="191"/>
    </row>
    <row r="2179">
      <c r="A2179" s="148"/>
      <c r="B2179" s="75"/>
      <c r="C2179" s="75"/>
      <c r="D2179" s="75"/>
      <c r="E2179" s="75"/>
      <c r="F2179" s="75"/>
      <c r="G2179" s="75"/>
      <c r="H2179" s="75"/>
      <c r="I2179" s="75"/>
      <c r="J2179" s="166"/>
      <c r="K2179" s="191"/>
    </row>
    <row r="2180">
      <c r="A2180" s="148"/>
      <c r="B2180" s="75"/>
      <c r="C2180" s="75"/>
      <c r="D2180" s="75"/>
      <c r="E2180" s="75"/>
      <c r="F2180" s="75"/>
      <c r="G2180" s="75"/>
      <c r="H2180" s="75"/>
      <c r="I2180" s="75"/>
      <c r="J2180" s="166"/>
      <c r="K2180" s="191"/>
    </row>
    <row r="2181">
      <c r="A2181" s="148"/>
      <c r="B2181" s="75"/>
      <c r="C2181" s="75"/>
      <c r="D2181" s="75"/>
      <c r="E2181" s="75"/>
      <c r="F2181" s="75"/>
      <c r="G2181" s="75"/>
      <c r="H2181" s="75"/>
      <c r="I2181" s="75"/>
      <c r="J2181" s="166"/>
      <c r="K2181" s="191"/>
    </row>
    <row r="2182">
      <c r="A2182" s="148"/>
      <c r="B2182" s="75"/>
      <c r="C2182" s="75"/>
      <c r="D2182" s="75"/>
      <c r="E2182" s="75"/>
      <c r="F2182" s="75"/>
      <c r="G2182" s="75"/>
      <c r="H2182" s="75"/>
      <c r="I2182" s="75"/>
      <c r="J2182" s="166"/>
      <c r="K2182" s="191"/>
    </row>
    <row r="2183">
      <c r="A2183" s="148"/>
      <c r="B2183" s="75"/>
      <c r="C2183" s="75"/>
      <c r="D2183" s="75"/>
      <c r="E2183" s="75"/>
      <c r="F2183" s="75"/>
      <c r="G2183" s="75"/>
      <c r="H2183" s="75"/>
      <c r="I2183" s="75"/>
      <c r="J2183" s="166"/>
      <c r="K2183" s="191"/>
    </row>
    <row r="2184">
      <c r="A2184" s="148"/>
      <c r="B2184" s="75"/>
      <c r="C2184" s="75"/>
      <c r="D2184" s="75"/>
      <c r="E2184" s="75"/>
      <c r="F2184" s="75"/>
      <c r="G2184" s="75"/>
      <c r="H2184" s="75"/>
      <c r="I2184" s="75"/>
      <c r="J2184" s="166"/>
      <c r="K2184" s="191"/>
    </row>
    <row r="2185">
      <c r="A2185" s="148"/>
      <c r="B2185" s="75"/>
      <c r="C2185" s="75"/>
      <c r="D2185" s="75"/>
      <c r="E2185" s="75"/>
      <c r="F2185" s="75"/>
      <c r="G2185" s="75"/>
      <c r="H2185" s="75"/>
      <c r="I2185" s="75"/>
      <c r="J2185" s="166"/>
      <c r="K2185" s="191"/>
    </row>
    <row r="2186">
      <c r="A2186" s="148"/>
      <c r="B2186" s="75"/>
      <c r="C2186" s="75"/>
      <c r="D2186" s="75"/>
      <c r="E2186" s="75"/>
      <c r="F2186" s="75"/>
      <c r="G2186" s="75"/>
      <c r="H2186" s="75"/>
      <c r="I2186" s="75"/>
      <c r="J2186" s="166"/>
      <c r="K2186" s="191"/>
    </row>
    <row r="2187">
      <c r="A2187" s="148"/>
      <c r="B2187" s="75"/>
      <c r="C2187" s="75"/>
      <c r="D2187" s="75"/>
      <c r="E2187" s="75"/>
      <c r="F2187" s="75"/>
      <c r="G2187" s="75"/>
      <c r="H2187" s="75"/>
      <c r="I2187" s="75"/>
      <c r="J2187" s="166"/>
      <c r="K2187" s="191"/>
    </row>
    <row r="2188">
      <c r="A2188" s="148"/>
      <c r="B2188" s="75"/>
      <c r="C2188" s="75"/>
      <c r="D2188" s="75"/>
      <c r="E2188" s="75"/>
      <c r="F2188" s="75"/>
      <c r="G2188" s="75"/>
      <c r="H2188" s="75"/>
      <c r="I2188" s="75"/>
      <c r="J2188" s="166"/>
      <c r="K2188" s="191"/>
    </row>
    <row r="2189">
      <c r="A2189" s="148"/>
      <c r="B2189" s="75"/>
      <c r="C2189" s="75"/>
      <c r="D2189" s="75"/>
      <c r="E2189" s="75"/>
      <c r="F2189" s="75"/>
      <c r="G2189" s="75"/>
      <c r="H2189" s="75"/>
      <c r="I2189" s="75"/>
      <c r="J2189" s="166"/>
      <c r="K2189" s="191"/>
    </row>
    <row r="2190">
      <c r="A2190" s="148"/>
      <c r="B2190" s="75"/>
      <c r="C2190" s="75"/>
      <c r="D2190" s="75"/>
      <c r="E2190" s="75"/>
      <c r="F2190" s="75"/>
      <c r="G2190" s="75"/>
      <c r="H2190" s="75"/>
      <c r="I2190" s="75"/>
      <c r="J2190" s="166"/>
      <c r="K2190" s="191"/>
    </row>
    <row r="2191">
      <c r="A2191" s="148"/>
      <c r="B2191" s="75"/>
      <c r="C2191" s="75"/>
      <c r="D2191" s="75"/>
      <c r="E2191" s="75"/>
      <c r="F2191" s="75"/>
      <c r="G2191" s="75"/>
      <c r="H2191" s="75"/>
      <c r="I2191" s="75"/>
      <c r="J2191" s="166"/>
      <c r="K2191" s="191"/>
    </row>
    <row r="2192">
      <c r="A2192" s="148"/>
      <c r="B2192" s="75"/>
      <c r="C2192" s="75"/>
      <c r="D2192" s="75"/>
      <c r="E2192" s="75"/>
      <c r="F2192" s="75"/>
      <c r="G2192" s="75"/>
      <c r="H2192" s="75"/>
      <c r="I2192" s="75"/>
      <c r="J2192" s="166"/>
      <c r="K2192" s="191"/>
    </row>
    <row r="2193">
      <c r="A2193" s="148"/>
      <c r="B2193" s="75"/>
      <c r="C2193" s="75"/>
      <c r="D2193" s="75"/>
      <c r="E2193" s="75"/>
      <c r="F2193" s="75"/>
      <c r="G2193" s="75"/>
      <c r="H2193" s="75"/>
      <c r="I2193" s="75"/>
      <c r="J2193" s="166"/>
      <c r="K2193" s="191"/>
    </row>
    <row r="2194">
      <c r="A2194" s="148"/>
      <c r="B2194" s="75"/>
      <c r="C2194" s="75"/>
      <c r="D2194" s="75"/>
      <c r="E2194" s="75"/>
      <c r="F2194" s="75"/>
      <c r="G2194" s="75"/>
      <c r="H2194" s="75"/>
      <c r="I2194" s="75"/>
      <c r="J2194" s="166"/>
      <c r="K2194" s="191"/>
    </row>
    <row r="2195">
      <c r="A2195" s="148"/>
      <c r="B2195" s="75"/>
      <c r="C2195" s="75"/>
      <c r="D2195" s="75"/>
      <c r="E2195" s="75"/>
      <c r="F2195" s="75"/>
      <c r="G2195" s="75"/>
      <c r="H2195" s="75"/>
      <c r="I2195" s="75"/>
      <c r="J2195" s="166"/>
      <c r="K2195" s="191"/>
    </row>
    <row r="2196">
      <c r="A2196" s="148"/>
      <c r="B2196" s="75"/>
      <c r="C2196" s="75"/>
      <c r="D2196" s="75"/>
      <c r="E2196" s="75"/>
      <c r="F2196" s="75"/>
      <c r="G2196" s="75"/>
      <c r="H2196" s="75"/>
      <c r="I2196" s="75"/>
      <c r="J2196" s="166"/>
      <c r="K2196" s="191"/>
    </row>
    <row r="2197">
      <c r="A2197" s="148"/>
      <c r="B2197" s="75"/>
      <c r="C2197" s="75"/>
      <c r="D2197" s="75"/>
      <c r="E2197" s="75"/>
      <c r="F2197" s="75"/>
      <c r="G2197" s="75"/>
      <c r="H2197" s="75"/>
      <c r="I2197" s="75"/>
      <c r="J2197" s="166"/>
      <c r="K2197" s="191"/>
    </row>
    <row r="2198">
      <c r="A2198" s="148"/>
      <c r="B2198" s="75"/>
      <c r="C2198" s="75"/>
      <c r="D2198" s="75"/>
      <c r="E2198" s="75"/>
      <c r="F2198" s="75"/>
      <c r="G2198" s="75"/>
      <c r="H2198" s="75"/>
      <c r="I2198" s="75"/>
      <c r="J2198" s="166"/>
      <c r="K2198" s="191"/>
    </row>
    <row r="2199">
      <c r="A2199" s="148"/>
      <c r="B2199" s="75"/>
      <c r="C2199" s="75"/>
      <c r="D2199" s="75"/>
      <c r="E2199" s="75"/>
      <c r="F2199" s="75"/>
      <c r="G2199" s="75"/>
      <c r="H2199" s="75"/>
      <c r="I2199" s="75"/>
      <c r="J2199" s="166"/>
      <c r="K2199" s="191"/>
    </row>
    <row r="2200">
      <c r="A2200" s="148"/>
      <c r="B2200" s="75"/>
      <c r="C2200" s="75"/>
      <c r="D2200" s="75"/>
      <c r="E2200" s="75"/>
      <c r="F2200" s="75"/>
      <c r="G2200" s="75"/>
      <c r="H2200" s="75"/>
      <c r="I2200" s="75"/>
      <c r="J2200" s="166"/>
      <c r="K2200" s="191"/>
    </row>
    <row r="2201">
      <c r="A2201" s="148"/>
      <c r="B2201" s="75"/>
      <c r="C2201" s="75"/>
      <c r="D2201" s="75"/>
      <c r="E2201" s="75"/>
      <c r="F2201" s="75"/>
      <c r="G2201" s="75"/>
      <c r="H2201" s="75"/>
      <c r="I2201" s="75"/>
      <c r="J2201" s="166"/>
      <c r="K2201" s="191"/>
    </row>
    <row r="2202">
      <c r="A2202" s="148"/>
      <c r="B2202" s="75"/>
      <c r="C2202" s="75"/>
      <c r="D2202" s="75"/>
      <c r="E2202" s="75"/>
      <c r="F2202" s="75"/>
      <c r="G2202" s="75"/>
      <c r="H2202" s="75"/>
      <c r="I2202" s="75"/>
      <c r="J2202" s="166"/>
      <c r="K2202" s="191"/>
    </row>
    <row r="2203">
      <c r="A2203" s="148"/>
      <c r="B2203" s="75"/>
      <c r="C2203" s="75"/>
      <c r="D2203" s="75"/>
      <c r="E2203" s="75"/>
      <c r="F2203" s="75"/>
      <c r="G2203" s="75"/>
      <c r="H2203" s="75"/>
      <c r="I2203" s="75"/>
      <c r="J2203" s="166"/>
      <c r="K2203" s="191"/>
    </row>
    <row r="2204">
      <c r="A2204" s="148"/>
      <c r="B2204" s="75"/>
      <c r="C2204" s="75"/>
      <c r="D2204" s="75"/>
      <c r="E2204" s="75"/>
      <c r="F2204" s="75"/>
      <c r="G2204" s="75"/>
      <c r="H2204" s="75"/>
      <c r="I2204" s="75"/>
      <c r="J2204" s="166"/>
      <c r="K2204" s="191"/>
    </row>
    <row r="2205">
      <c r="A2205" s="148"/>
      <c r="B2205" s="75"/>
      <c r="C2205" s="75"/>
      <c r="D2205" s="75"/>
      <c r="E2205" s="75"/>
      <c r="F2205" s="75"/>
      <c r="G2205" s="75"/>
      <c r="H2205" s="75"/>
      <c r="I2205" s="75"/>
      <c r="J2205" s="166"/>
      <c r="K2205" s="191"/>
    </row>
    <row r="2206">
      <c r="A2206" s="148"/>
      <c r="B2206" s="75"/>
      <c r="C2206" s="75"/>
      <c r="D2206" s="75"/>
      <c r="E2206" s="75"/>
      <c r="F2206" s="75"/>
      <c r="G2206" s="75"/>
      <c r="H2206" s="75"/>
      <c r="I2206" s="75"/>
      <c r="J2206" s="166"/>
      <c r="K2206" s="191"/>
    </row>
    <row r="2207">
      <c r="A2207" s="148"/>
      <c r="B2207" s="75"/>
      <c r="C2207" s="75"/>
      <c r="D2207" s="75"/>
      <c r="E2207" s="75"/>
      <c r="F2207" s="75"/>
      <c r="G2207" s="75"/>
      <c r="H2207" s="75"/>
      <c r="I2207" s="75"/>
      <c r="J2207" s="166"/>
      <c r="K2207" s="191"/>
    </row>
    <row r="2208">
      <c r="A2208" s="148"/>
      <c r="B2208" s="75"/>
      <c r="C2208" s="75"/>
      <c r="D2208" s="75"/>
      <c r="E2208" s="75"/>
      <c r="F2208" s="75"/>
      <c r="G2208" s="75"/>
      <c r="H2208" s="75"/>
      <c r="I2208" s="75"/>
      <c r="J2208" s="166"/>
      <c r="K2208" s="191"/>
    </row>
    <row r="2209">
      <c r="A2209" s="148"/>
      <c r="B2209" s="75"/>
      <c r="C2209" s="75"/>
      <c r="D2209" s="75"/>
      <c r="E2209" s="75"/>
      <c r="F2209" s="75"/>
      <c r="G2209" s="75"/>
      <c r="H2209" s="75"/>
      <c r="I2209" s="75"/>
      <c r="J2209" s="166"/>
      <c r="K2209" s="191"/>
    </row>
    <row r="2210">
      <c r="A2210" s="148"/>
      <c r="B2210" s="75"/>
      <c r="C2210" s="75"/>
      <c r="D2210" s="75"/>
      <c r="E2210" s="75"/>
      <c r="F2210" s="75"/>
      <c r="G2210" s="75"/>
      <c r="H2210" s="75"/>
      <c r="I2210" s="75"/>
      <c r="J2210" s="166"/>
      <c r="K2210" s="191"/>
    </row>
    <row r="2211">
      <c r="A2211" s="148"/>
      <c r="B2211" s="75"/>
      <c r="C2211" s="75"/>
      <c r="D2211" s="75"/>
      <c r="E2211" s="75"/>
      <c r="F2211" s="75"/>
      <c r="G2211" s="75"/>
      <c r="H2211" s="75"/>
      <c r="I2211" s="75"/>
      <c r="J2211" s="166"/>
      <c r="K2211" s="191"/>
    </row>
    <row r="2212">
      <c r="A2212" s="148"/>
      <c r="B2212" s="75"/>
      <c r="C2212" s="75"/>
      <c r="D2212" s="75"/>
      <c r="E2212" s="75"/>
      <c r="F2212" s="75"/>
      <c r="G2212" s="75"/>
      <c r="H2212" s="75"/>
      <c r="I2212" s="75"/>
      <c r="J2212" s="166"/>
      <c r="K2212" s="191"/>
    </row>
    <row r="2213">
      <c r="A2213" s="148"/>
      <c r="B2213" s="75"/>
      <c r="C2213" s="75"/>
      <c r="D2213" s="75"/>
      <c r="E2213" s="75"/>
      <c r="F2213" s="75"/>
      <c r="G2213" s="75"/>
      <c r="H2213" s="75"/>
      <c r="I2213" s="75"/>
      <c r="J2213" s="166"/>
      <c r="K2213" s="191"/>
    </row>
    <row r="2214">
      <c r="A2214" s="148"/>
      <c r="B2214" s="75"/>
      <c r="C2214" s="75"/>
      <c r="D2214" s="75"/>
      <c r="E2214" s="75"/>
      <c r="F2214" s="75"/>
      <c r="G2214" s="75"/>
      <c r="H2214" s="75"/>
      <c r="I2214" s="75"/>
      <c r="J2214" s="166"/>
      <c r="K2214" s="191"/>
    </row>
    <row r="2215">
      <c r="A2215" s="148"/>
      <c r="B2215" s="75"/>
      <c r="C2215" s="75"/>
      <c r="D2215" s="75"/>
      <c r="E2215" s="75"/>
      <c r="F2215" s="75"/>
      <c r="G2215" s="75"/>
      <c r="H2215" s="75"/>
      <c r="I2215" s="75"/>
      <c r="J2215" s="166"/>
      <c r="K2215" s="191"/>
    </row>
  </sheetData>
  <autoFilter ref="$A$1:$M$1280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2.25"/>
    <col customWidth="1" min="3" max="3" width="9.88"/>
    <col customWidth="1" min="4" max="4" width="11.25"/>
    <col customWidth="1" min="5" max="6" width="12.75"/>
    <col customWidth="1" min="7" max="7" width="11.88"/>
    <col customWidth="1" min="8" max="8" width="15.63"/>
    <col customWidth="1" min="9" max="9" width="10.13"/>
    <col customWidth="1" min="10" max="11" width="31.0"/>
    <col customWidth="1" min="13" max="13" width="17.25"/>
    <col customWidth="1" min="14" max="14" width="20.63"/>
    <col customWidth="1" min="17" max="17" width="16.5"/>
  </cols>
  <sheetData>
    <row r="1">
      <c r="A1" s="143" t="s">
        <v>199</v>
      </c>
      <c r="B1" s="143" t="s">
        <v>209</v>
      </c>
      <c r="C1" s="143" t="s">
        <v>71</v>
      </c>
      <c r="D1" s="143" t="s">
        <v>200</v>
      </c>
      <c r="E1" s="143" t="s">
        <v>201</v>
      </c>
      <c r="F1" s="143" t="s">
        <v>202</v>
      </c>
      <c r="G1" s="143" t="s">
        <v>203</v>
      </c>
      <c r="H1" s="156" t="s">
        <v>204</v>
      </c>
      <c r="I1" s="143" t="s">
        <v>206</v>
      </c>
      <c r="J1" s="151" t="s">
        <v>205</v>
      </c>
      <c r="K1" s="145" t="s">
        <v>207</v>
      </c>
      <c r="R1" s="157"/>
      <c r="S1" s="157" t="s">
        <v>39</v>
      </c>
    </row>
    <row r="2">
      <c r="A2" s="153">
        <v>1.0</v>
      </c>
      <c r="B2" s="154"/>
      <c r="C2" s="154" t="s">
        <v>208</v>
      </c>
      <c r="D2" s="154" t="s">
        <v>208</v>
      </c>
      <c r="E2" s="154" t="s">
        <v>208</v>
      </c>
      <c r="F2" s="154" t="s">
        <v>208</v>
      </c>
      <c r="G2" s="154" t="s">
        <v>208</v>
      </c>
      <c r="H2" s="155"/>
      <c r="I2" s="155"/>
      <c r="J2" s="155"/>
      <c r="K2" s="158" t="s">
        <v>215</v>
      </c>
      <c r="L2" s="148"/>
      <c r="M2" s="160" t="s">
        <v>213</v>
      </c>
      <c r="N2" s="161">
        <f>COUNTIF(B1:B1279,"V")</f>
        <v>5</v>
      </c>
      <c r="O2" s="161">
        <f>37-18</f>
        <v>19</v>
      </c>
      <c r="P2" s="163"/>
      <c r="Q2" s="161">
        <v>8.0</v>
      </c>
      <c r="R2" s="163"/>
      <c r="S2" s="164">
        <f t="shared" ref="S2:S11" si="1">N2+O2+P2+Q2+R2</f>
        <v>32</v>
      </c>
      <c r="T2" s="26">
        <v>18.0</v>
      </c>
    </row>
    <row r="3">
      <c r="A3" s="153">
        <f t="shared" ref="A3:A1212" si="2">A2+1</f>
        <v>2</v>
      </c>
      <c r="B3" s="154"/>
      <c r="C3" s="154" t="s">
        <v>208</v>
      </c>
      <c r="D3" s="154" t="s">
        <v>208</v>
      </c>
      <c r="E3" s="154" t="s">
        <v>208</v>
      </c>
      <c r="F3" s="154" t="s">
        <v>208</v>
      </c>
      <c r="G3" s="154" t="s">
        <v>208</v>
      </c>
      <c r="H3" s="155"/>
      <c r="I3" s="155"/>
      <c r="J3" s="155"/>
      <c r="K3" s="158" t="s">
        <v>215</v>
      </c>
      <c r="L3" s="148"/>
      <c r="M3" s="160" t="s">
        <v>71</v>
      </c>
      <c r="N3" s="161">
        <f>COUNTIF(C2:C1279,"V")</f>
        <v>1043</v>
      </c>
      <c r="O3" s="161">
        <v>28.0</v>
      </c>
      <c r="P3" s="161"/>
      <c r="Q3" s="163"/>
      <c r="R3" s="163"/>
      <c r="S3" s="164">
        <f t="shared" si="1"/>
        <v>1071</v>
      </c>
      <c r="U3" s="63">
        <f>42-26</f>
        <v>16</v>
      </c>
    </row>
    <row r="4">
      <c r="A4" s="153">
        <f t="shared" si="2"/>
        <v>3</v>
      </c>
      <c r="B4" s="154"/>
      <c r="C4" s="154" t="s">
        <v>208</v>
      </c>
      <c r="D4" s="154" t="s">
        <v>208</v>
      </c>
      <c r="E4" s="154" t="s">
        <v>208</v>
      </c>
      <c r="F4" s="154" t="s">
        <v>208</v>
      </c>
      <c r="G4" s="154" t="s">
        <v>208</v>
      </c>
      <c r="H4" s="155"/>
      <c r="I4" s="155"/>
      <c r="J4" s="155"/>
      <c r="K4" s="158" t="s">
        <v>215</v>
      </c>
      <c r="L4" s="148"/>
      <c r="M4" s="160" t="s">
        <v>211</v>
      </c>
      <c r="N4" s="161">
        <f>COUNTIF(H2:H1279,"V")</f>
        <v>93</v>
      </c>
      <c r="O4" s="161">
        <v>5.0</v>
      </c>
      <c r="P4" s="163"/>
      <c r="Q4" s="161">
        <v>1.0</v>
      </c>
      <c r="R4" s="161">
        <v>1.0</v>
      </c>
      <c r="S4" s="164">
        <f t="shared" si="1"/>
        <v>100</v>
      </c>
    </row>
    <row r="5">
      <c r="A5" s="153">
        <f t="shared" si="2"/>
        <v>4</v>
      </c>
      <c r="B5" s="154"/>
      <c r="C5" s="154" t="s">
        <v>208</v>
      </c>
      <c r="D5" s="154" t="s">
        <v>208</v>
      </c>
      <c r="E5" s="154" t="s">
        <v>208</v>
      </c>
      <c r="F5" s="154" t="s">
        <v>208</v>
      </c>
      <c r="G5" s="154" t="s">
        <v>208</v>
      </c>
      <c r="H5" s="155"/>
      <c r="I5" s="155"/>
      <c r="J5" s="155"/>
      <c r="K5" s="158" t="s">
        <v>215</v>
      </c>
      <c r="L5" s="148"/>
      <c r="M5" s="160" t="s">
        <v>50</v>
      </c>
      <c r="N5" s="161">
        <f>COUNTIF(D2:D1279,"V")</f>
        <v>1097</v>
      </c>
      <c r="O5" s="163"/>
      <c r="P5" s="161">
        <v>30.0</v>
      </c>
      <c r="Q5" s="161">
        <v>1.0</v>
      </c>
      <c r="R5" s="163"/>
      <c r="S5" s="164">
        <f t="shared" si="1"/>
        <v>1128</v>
      </c>
    </row>
    <row r="6">
      <c r="A6" s="153">
        <f t="shared" si="2"/>
        <v>5</v>
      </c>
      <c r="B6" s="154"/>
      <c r="C6" s="154" t="s">
        <v>208</v>
      </c>
      <c r="D6" s="154" t="s">
        <v>208</v>
      </c>
      <c r="E6" s="154" t="s">
        <v>208</v>
      </c>
      <c r="F6" s="154" t="s">
        <v>208</v>
      </c>
      <c r="G6" s="154" t="s">
        <v>208</v>
      </c>
      <c r="H6" s="155"/>
      <c r="I6" s="155"/>
      <c r="J6" s="155"/>
      <c r="K6" s="158" t="s">
        <v>215</v>
      </c>
      <c r="L6" s="148"/>
      <c r="M6" s="160" t="s">
        <v>66</v>
      </c>
      <c r="N6" s="161">
        <f>COUNTIF(E2:E1279,"V")</f>
        <v>1064</v>
      </c>
      <c r="O6" s="161"/>
      <c r="P6" s="163"/>
      <c r="Q6" s="163"/>
      <c r="R6" s="163"/>
      <c r="S6" s="164">
        <f t="shared" si="1"/>
        <v>1064</v>
      </c>
    </row>
    <row r="7">
      <c r="A7" s="153">
        <f t="shared" si="2"/>
        <v>6</v>
      </c>
      <c r="B7" s="154"/>
      <c r="C7" s="154" t="s">
        <v>208</v>
      </c>
      <c r="D7" s="154" t="s">
        <v>208</v>
      </c>
      <c r="E7" s="154" t="s">
        <v>208</v>
      </c>
      <c r="F7" s="154" t="s">
        <v>208</v>
      </c>
      <c r="G7" s="154" t="s">
        <v>208</v>
      </c>
      <c r="H7" s="155"/>
      <c r="I7" s="155"/>
      <c r="J7" s="155"/>
      <c r="K7" s="158" t="s">
        <v>215</v>
      </c>
      <c r="L7" s="148"/>
      <c r="M7" s="160" t="s">
        <v>74</v>
      </c>
      <c r="N7" s="161">
        <f>COUNTIF(F2:F1279,"V")</f>
        <v>1119</v>
      </c>
      <c r="O7" s="163"/>
      <c r="P7" s="161">
        <v>30.0</v>
      </c>
      <c r="Q7" s="161">
        <v>1.0</v>
      </c>
      <c r="R7" s="163"/>
      <c r="S7" s="164">
        <f t="shared" si="1"/>
        <v>1150</v>
      </c>
    </row>
    <row r="8">
      <c r="A8" s="153">
        <f t="shared" si="2"/>
        <v>7</v>
      </c>
      <c r="B8" s="154"/>
      <c r="C8" s="154" t="s">
        <v>208</v>
      </c>
      <c r="D8" s="154" t="s">
        <v>208</v>
      </c>
      <c r="E8" s="154" t="s">
        <v>208</v>
      </c>
      <c r="F8" s="154" t="s">
        <v>208</v>
      </c>
      <c r="G8" s="154" t="s">
        <v>208</v>
      </c>
      <c r="H8" s="155"/>
      <c r="I8" s="155"/>
      <c r="J8" s="155"/>
      <c r="K8" s="158" t="s">
        <v>215</v>
      </c>
      <c r="L8" s="148"/>
      <c r="M8" s="160" t="s">
        <v>75</v>
      </c>
      <c r="N8" s="161">
        <f>COUNTIF(G2:G1279,"V")</f>
        <v>1046</v>
      </c>
      <c r="O8" s="161">
        <v>18.0</v>
      </c>
      <c r="P8" s="161">
        <v>32.0</v>
      </c>
      <c r="Q8" s="163"/>
      <c r="R8" s="163"/>
      <c r="S8" s="163">
        <f t="shared" si="1"/>
        <v>1096</v>
      </c>
    </row>
    <row r="9">
      <c r="A9" s="153">
        <f t="shared" si="2"/>
        <v>8</v>
      </c>
      <c r="B9" s="154"/>
      <c r="C9" s="154" t="s">
        <v>208</v>
      </c>
      <c r="D9" s="154" t="s">
        <v>208</v>
      </c>
      <c r="E9" s="154" t="s">
        <v>208</v>
      </c>
      <c r="F9" s="154" t="s">
        <v>208</v>
      </c>
      <c r="G9" s="154" t="s">
        <v>208</v>
      </c>
      <c r="H9" s="155"/>
      <c r="I9" s="155"/>
      <c r="J9" s="155"/>
      <c r="K9" s="158" t="s">
        <v>215</v>
      </c>
      <c r="M9" s="160" t="s">
        <v>198</v>
      </c>
      <c r="N9" s="161">
        <f>COUNTIF(I2:I1279,"V")</f>
        <v>24</v>
      </c>
      <c r="O9" s="163"/>
      <c r="P9" s="163"/>
      <c r="Q9" s="163"/>
      <c r="R9" s="163"/>
      <c r="S9" s="163">
        <f t="shared" si="1"/>
        <v>24</v>
      </c>
    </row>
    <row r="10">
      <c r="A10" s="153">
        <f t="shared" si="2"/>
        <v>9</v>
      </c>
      <c r="B10" s="154"/>
      <c r="C10" s="154" t="s">
        <v>208</v>
      </c>
      <c r="D10" s="154" t="s">
        <v>208</v>
      </c>
      <c r="E10" s="154" t="s">
        <v>208</v>
      </c>
      <c r="F10" s="154" t="s">
        <v>208</v>
      </c>
      <c r="G10" s="154" t="s">
        <v>208</v>
      </c>
      <c r="H10" s="155"/>
      <c r="I10" s="155"/>
      <c r="J10" s="155"/>
      <c r="K10" s="158" t="s">
        <v>215</v>
      </c>
      <c r="M10" s="160" t="s">
        <v>217</v>
      </c>
      <c r="N10" s="161">
        <f>COUNTIF(J2:J1279,"MEJA KOSONG")</f>
        <v>90</v>
      </c>
      <c r="O10" s="163"/>
      <c r="P10" s="163"/>
      <c r="Q10" s="163"/>
      <c r="R10" s="163"/>
      <c r="S10" s="163">
        <f t="shared" si="1"/>
        <v>90</v>
      </c>
    </row>
    <row r="11">
      <c r="A11" s="153">
        <f t="shared" si="2"/>
        <v>10</v>
      </c>
      <c r="B11" s="154"/>
      <c r="C11" s="154" t="s">
        <v>208</v>
      </c>
      <c r="D11" s="154" t="s">
        <v>208</v>
      </c>
      <c r="E11" s="154" t="s">
        <v>208</v>
      </c>
      <c r="F11" s="154" t="s">
        <v>208</v>
      </c>
      <c r="G11" s="154" t="s">
        <v>208</v>
      </c>
      <c r="H11" s="155"/>
      <c r="I11" s="155"/>
      <c r="J11" s="155"/>
      <c r="K11" s="158" t="s">
        <v>215</v>
      </c>
      <c r="M11" s="160" t="s">
        <v>218</v>
      </c>
      <c r="N11" s="161">
        <f>COUNTIF(B2:I1279,"PRIBADI")</f>
        <v>43</v>
      </c>
      <c r="O11" s="163"/>
      <c r="P11" s="163"/>
      <c r="Q11" s="163"/>
      <c r="R11" s="163"/>
      <c r="S11" s="163">
        <f t="shared" si="1"/>
        <v>43</v>
      </c>
    </row>
    <row r="12">
      <c r="A12" s="153">
        <f t="shared" si="2"/>
        <v>11</v>
      </c>
      <c r="B12" s="154"/>
      <c r="C12" s="154" t="s">
        <v>208</v>
      </c>
      <c r="D12" s="154" t="s">
        <v>208</v>
      </c>
      <c r="E12" s="154" t="s">
        <v>208</v>
      </c>
      <c r="F12" s="154" t="s">
        <v>208</v>
      </c>
      <c r="G12" s="154" t="s">
        <v>208</v>
      </c>
      <c r="H12" s="155"/>
      <c r="I12" s="155"/>
      <c r="J12" s="155"/>
      <c r="K12" s="158" t="s">
        <v>215</v>
      </c>
      <c r="O12" s="173"/>
      <c r="P12" s="173"/>
      <c r="Q12" s="173"/>
      <c r="R12" s="173"/>
      <c r="S12" s="173"/>
    </row>
    <row r="13">
      <c r="A13" s="153">
        <f t="shared" si="2"/>
        <v>12</v>
      </c>
      <c r="B13" s="154"/>
      <c r="C13" s="154" t="s">
        <v>208</v>
      </c>
      <c r="D13" s="154" t="s">
        <v>208</v>
      </c>
      <c r="E13" s="154" t="s">
        <v>208</v>
      </c>
      <c r="F13" s="154" t="s">
        <v>208</v>
      </c>
      <c r="G13" s="154" t="s">
        <v>208</v>
      </c>
      <c r="H13" s="155"/>
      <c r="I13" s="155"/>
      <c r="J13" s="155"/>
      <c r="K13" s="158" t="s">
        <v>215</v>
      </c>
      <c r="N13" s="157" t="s">
        <v>231</v>
      </c>
      <c r="O13" s="157" t="s">
        <v>232</v>
      </c>
      <c r="P13" s="157" t="s">
        <v>233</v>
      </c>
      <c r="Q13" s="157" t="s">
        <v>234</v>
      </c>
      <c r="R13" s="157" t="s">
        <v>235</v>
      </c>
      <c r="S13" s="157" t="s">
        <v>39</v>
      </c>
    </row>
    <row r="14">
      <c r="A14" s="153">
        <f t="shared" si="2"/>
        <v>13</v>
      </c>
      <c r="B14" s="154"/>
      <c r="C14" s="154" t="s">
        <v>208</v>
      </c>
      <c r="D14" s="154" t="s">
        <v>208</v>
      </c>
      <c r="E14" s="154" t="s">
        <v>208</v>
      </c>
      <c r="F14" s="154" t="s">
        <v>208</v>
      </c>
      <c r="G14" s="154" t="s">
        <v>208</v>
      </c>
      <c r="H14" s="155"/>
      <c r="I14" s="155"/>
      <c r="J14" s="155"/>
      <c r="K14" s="158" t="s">
        <v>215</v>
      </c>
    </row>
    <row r="15">
      <c r="A15" s="153">
        <f t="shared" si="2"/>
        <v>14</v>
      </c>
      <c r="B15" s="154"/>
      <c r="C15" s="154" t="s">
        <v>208</v>
      </c>
      <c r="D15" s="154" t="s">
        <v>208</v>
      </c>
      <c r="E15" s="154" t="s">
        <v>208</v>
      </c>
      <c r="F15" s="154" t="s">
        <v>208</v>
      </c>
      <c r="G15" s="154" t="s">
        <v>208</v>
      </c>
      <c r="H15" s="154"/>
      <c r="I15" s="155"/>
      <c r="J15" s="155"/>
      <c r="K15" s="158" t="s">
        <v>215</v>
      </c>
      <c r="N15" s="63">
        <f>N3-17</f>
        <v>1026</v>
      </c>
      <c r="O15" s="26" t="s">
        <v>236</v>
      </c>
    </row>
    <row r="16">
      <c r="A16" s="153">
        <f t="shared" si="2"/>
        <v>15</v>
      </c>
      <c r="B16" s="154"/>
      <c r="C16" s="154" t="s">
        <v>208</v>
      </c>
      <c r="D16" s="154" t="s">
        <v>208</v>
      </c>
      <c r="E16" s="154" t="s">
        <v>208</v>
      </c>
      <c r="F16" s="154" t="s">
        <v>208</v>
      </c>
      <c r="G16" s="154" t="s">
        <v>208</v>
      </c>
      <c r="H16" s="155"/>
      <c r="I16" s="155"/>
      <c r="J16" s="155"/>
      <c r="K16" s="158" t="s">
        <v>215</v>
      </c>
      <c r="N16" s="26">
        <v>93.0</v>
      </c>
      <c r="O16" s="26" t="s">
        <v>237</v>
      </c>
    </row>
    <row r="17">
      <c r="A17" s="153">
        <f t="shared" si="2"/>
        <v>16</v>
      </c>
      <c r="B17" s="154"/>
      <c r="C17" s="154" t="s">
        <v>208</v>
      </c>
      <c r="D17" s="154" t="s">
        <v>208</v>
      </c>
      <c r="E17" s="154" t="s">
        <v>208</v>
      </c>
      <c r="F17" s="154" t="s">
        <v>208</v>
      </c>
      <c r="G17" s="154" t="s">
        <v>208</v>
      </c>
      <c r="H17" s="155"/>
      <c r="I17" s="155"/>
      <c r="J17" s="155"/>
      <c r="K17" s="158" t="s">
        <v>215</v>
      </c>
      <c r="N17" s="26">
        <v>90.0</v>
      </c>
      <c r="O17" s="26" t="s">
        <v>238</v>
      </c>
    </row>
    <row r="18">
      <c r="A18" s="153">
        <f t="shared" si="2"/>
        <v>17</v>
      </c>
      <c r="B18" s="154"/>
      <c r="C18" s="154"/>
      <c r="D18" s="154"/>
      <c r="E18" s="154"/>
      <c r="F18" s="154"/>
      <c r="G18" s="154"/>
      <c r="H18" s="155"/>
      <c r="I18" s="155"/>
      <c r="J18" s="154" t="s">
        <v>217</v>
      </c>
      <c r="K18" s="158" t="s">
        <v>215</v>
      </c>
      <c r="N18" s="26">
        <v>3.0</v>
      </c>
      <c r="O18" s="26" t="s">
        <v>239</v>
      </c>
    </row>
    <row r="19">
      <c r="A19" s="153">
        <f t="shared" si="2"/>
        <v>18</v>
      </c>
      <c r="B19" s="154"/>
      <c r="C19" s="154" t="s">
        <v>208</v>
      </c>
      <c r="D19" s="154" t="s">
        <v>208</v>
      </c>
      <c r="E19" s="154" t="s">
        <v>208</v>
      </c>
      <c r="F19" s="154" t="s">
        <v>208</v>
      </c>
      <c r="G19" s="154" t="s">
        <v>208</v>
      </c>
      <c r="H19" s="155"/>
      <c r="I19" s="155"/>
      <c r="J19" s="155"/>
      <c r="K19" s="158" t="s">
        <v>215</v>
      </c>
      <c r="N19" s="63">
        <f>SUM(N15:N18)</f>
        <v>1212</v>
      </c>
    </row>
    <row r="20">
      <c r="A20" s="153">
        <f t="shared" si="2"/>
        <v>19</v>
      </c>
      <c r="B20" s="154"/>
      <c r="C20" s="154" t="s">
        <v>208</v>
      </c>
      <c r="D20" s="154" t="s">
        <v>208</v>
      </c>
      <c r="E20" s="154" t="s">
        <v>208</v>
      </c>
      <c r="F20" s="154" t="s">
        <v>208</v>
      </c>
      <c r="G20" s="154" t="s">
        <v>208</v>
      </c>
      <c r="H20" s="155"/>
      <c r="I20" s="155"/>
      <c r="J20" s="155"/>
      <c r="K20" s="158" t="s">
        <v>215</v>
      </c>
    </row>
    <row r="21">
      <c r="A21" s="153">
        <f t="shared" si="2"/>
        <v>20</v>
      </c>
      <c r="B21" s="154"/>
      <c r="C21" s="154" t="s">
        <v>208</v>
      </c>
      <c r="D21" s="154" t="s">
        <v>208</v>
      </c>
      <c r="E21" s="154" t="s">
        <v>208</v>
      </c>
      <c r="F21" s="154" t="s">
        <v>208</v>
      </c>
      <c r="G21" s="154" t="s">
        <v>208</v>
      </c>
      <c r="H21" s="155"/>
      <c r="I21" s="155"/>
      <c r="J21" s="155"/>
      <c r="K21" s="158" t="s">
        <v>215</v>
      </c>
    </row>
    <row r="22">
      <c r="A22" s="153">
        <f t="shared" si="2"/>
        <v>21</v>
      </c>
      <c r="B22" s="154"/>
      <c r="C22" s="154" t="s">
        <v>208</v>
      </c>
      <c r="D22" s="154" t="s">
        <v>208</v>
      </c>
      <c r="E22" s="154" t="s">
        <v>208</v>
      </c>
      <c r="F22" s="154" t="s">
        <v>208</v>
      </c>
      <c r="G22" s="154" t="s">
        <v>208</v>
      </c>
      <c r="H22" s="155"/>
      <c r="I22" s="155"/>
      <c r="J22" s="155"/>
      <c r="K22" s="158" t="s">
        <v>215</v>
      </c>
    </row>
    <row r="23">
      <c r="A23" s="153">
        <f t="shared" si="2"/>
        <v>22</v>
      </c>
      <c r="B23" s="154"/>
      <c r="C23" s="154" t="s">
        <v>208</v>
      </c>
      <c r="D23" s="154" t="s">
        <v>208</v>
      </c>
      <c r="E23" s="154" t="s">
        <v>208</v>
      </c>
      <c r="F23" s="154" t="s">
        <v>208</v>
      </c>
      <c r="G23" s="154" t="s">
        <v>208</v>
      </c>
      <c r="H23" s="155"/>
      <c r="I23" s="155"/>
      <c r="J23" s="155"/>
      <c r="K23" s="158" t="s">
        <v>215</v>
      </c>
      <c r="N23" s="63">
        <f>N3-17</f>
        <v>1026</v>
      </c>
      <c r="O23" s="63">
        <f>N8-17</f>
        <v>1029</v>
      </c>
      <c r="P23" s="63">
        <f>1097-38</f>
        <v>1059</v>
      </c>
    </row>
    <row r="24">
      <c r="A24" s="153">
        <f t="shared" si="2"/>
        <v>23</v>
      </c>
      <c r="B24" s="154"/>
      <c r="C24" s="154" t="s">
        <v>208</v>
      </c>
      <c r="D24" s="154" t="s">
        <v>208</v>
      </c>
      <c r="E24" s="154" t="s">
        <v>208</v>
      </c>
      <c r="F24" s="154" t="s">
        <v>208</v>
      </c>
      <c r="G24" s="154" t="s">
        <v>208</v>
      </c>
      <c r="H24" s="155"/>
      <c r="I24" s="155"/>
      <c r="J24" s="155"/>
      <c r="K24" s="158" t="s">
        <v>215</v>
      </c>
    </row>
    <row r="25">
      <c r="A25" s="153">
        <f t="shared" si="2"/>
        <v>24</v>
      </c>
      <c r="B25" s="154"/>
      <c r="C25" s="154" t="s">
        <v>208</v>
      </c>
      <c r="D25" s="154" t="s">
        <v>208</v>
      </c>
      <c r="E25" s="154" t="s">
        <v>208</v>
      </c>
      <c r="F25" s="154" t="s">
        <v>208</v>
      </c>
      <c r="G25" s="154" t="s">
        <v>208</v>
      </c>
      <c r="H25" s="155"/>
      <c r="I25" s="155"/>
      <c r="J25" s="155"/>
      <c r="K25" s="158" t="s">
        <v>215</v>
      </c>
    </row>
    <row r="26">
      <c r="A26" s="153">
        <f t="shared" si="2"/>
        <v>25</v>
      </c>
      <c r="B26" s="154"/>
      <c r="C26" s="154" t="s">
        <v>208</v>
      </c>
      <c r="D26" s="154" t="s">
        <v>208</v>
      </c>
      <c r="E26" s="154" t="s">
        <v>208</v>
      </c>
      <c r="F26" s="154" t="s">
        <v>208</v>
      </c>
      <c r="G26" s="154" t="s">
        <v>208</v>
      </c>
      <c r="H26" s="155"/>
      <c r="I26" s="155"/>
      <c r="J26" s="155"/>
      <c r="K26" s="158" t="s">
        <v>215</v>
      </c>
    </row>
    <row r="27">
      <c r="A27" s="153">
        <f t="shared" si="2"/>
        <v>26</v>
      </c>
      <c r="B27" s="154"/>
      <c r="C27" s="154" t="s">
        <v>208</v>
      </c>
      <c r="D27" s="154" t="s">
        <v>208</v>
      </c>
      <c r="E27" s="154" t="s">
        <v>208</v>
      </c>
      <c r="F27" s="154" t="s">
        <v>208</v>
      </c>
      <c r="G27" s="154" t="s">
        <v>208</v>
      </c>
      <c r="H27" s="155"/>
      <c r="I27" s="155"/>
      <c r="J27" s="155"/>
      <c r="K27" s="158" t="s">
        <v>215</v>
      </c>
    </row>
    <row r="28">
      <c r="A28" s="153">
        <f t="shared" si="2"/>
        <v>27</v>
      </c>
      <c r="B28" s="154"/>
      <c r="C28" s="154" t="s">
        <v>208</v>
      </c>
      <c r="D28" s="154" t="s">
        <v>208</v>
      </c>
      <c r="E28" s="154" t="s">
        <v>208</v>
      </c>
      <c r="F28" s="154" t="s">
        <v>208</v>
      </c>
      <c r="G28" s="154" t="s">
        <v>208</v>
      </c>
      <c r="H28" s="155"/>
      <c r="I28" s="155"/>
      <c r="J28" s="155"/>
      <c r="K28" s="158" t="s">
        <v>215</v>
      </c>
    </row>
    <row r="29">
      <c r="A29" s="153">
        <f t="shared" si="2"/>
        <v>28</v>
      </c>
      <c r="B29" s="154"/>
      <c r="C29" s="154" t="s">
        <v>208</v>
      </c>
      <c r="D29" s="154" t="s">
        <v>208</v>
      </c>
      <c r="E29" s="154" t="s">
        <v>208</v>
      </c>
      <c r="F29" s="154" t="s">
        <v>208</v>
      </c>
      <c r="G29" s="154" t="s">
        <v>208</v>
      </c>
      <c r="H29" s="155"/>
      <c r="I29" s="155"/>
      <c r="J29" s="155"/>
      <c r="K29" s="158" t="s">
        <v>215</v>
      </c>
    </row>
    <row r="30">
      <c r="A30" s="153">
        <f t="shared" si="2"/>
        <v>29</v>
      </c>
      <c r="B30" s="154"/>
      <c r="C30" s="154" t="s">
        <v>208</v>
      </c>
      <c r="D30" s="154" t="s">
        <v>208</v>
      </c>
      <c r="E30" s="154" t="s">
        <v>208</v>
      </c>
      <c r="F30" s="154" t="s">
        <v>208</v>
      </c>
      <c r="G30" s="154" t="s">
        <v>208</v>
      </c>
      <c r="H30" s="155"/>
      <c r="I30" s="155"/>
      <c r="J30" s="155"/>
      <c r="K30" s="158" t="s">
        <v>215</v>
      </c>
    </row>
    <row r="31">
      <c r="A31" s="153">
        <f t="shared" si="2"/>
        <v>30</v>
      </c>
      <c r="B31" s="154"/>
      <c r="C31" s="154" t="s">
        <v>208</v>
      </c>
      <c r="D31" s="154" t="s">
        <v>208</v>
      </c>
      <c r="E31" s="154"/>
      <c r="F31" s="154" t="s">
        <v>208</v>
      </c>
      <c r="G31" s="154" t="s">
        <v>208</v>
      </c>
      <c r="H31" s="155"/>
      <c r="I31" s="155"/>
      <c r="J31" s="155"/>
      <c r="K31" s="158" t="s">
        <v>215</v>
      </c>
    </row>
    <row r="32">
      <c r="A32" s="153">
        <f t="shared" si="2"/>
        <v>31</v>
      </c>
      <c r="B32" s="154"/>
      <c r="C32" s="154" t="s">
        <v>208</v>
      </c>
      <c r="D32" s="154" t="s">
        <v>208</v>
      </c>
      <c r="E32" s="154"/>
      <c r="F32" s="154" t="s">
        <v>208</v>
      </c>
      <c r="G32" s="154" t="s">
        <v>208</v>
      </c>
      <c r="H32" s="155"/>
      <c r="I32" s="155"/>
      <c r="J32" s="155"/>
      <c r="K32" s="158" t="s">
        <v>215</v>
      </c>
    </row>
    <row r="33">
      <c r="A33" s="153">
        <f t="shared" si="2"/>
        <v>32</v>
      </c>
      <c r="B33" s="154"/>
      <c r="C33" s="154" t="s">
        <v>208</v>
      </c>
      <c r="D33" s="154" t="s">
        <v>208</v>
      </c>
      <c r="E33" s="154"/>
      <c r="F33" s="154" t="s">
        <v>208</v>
      </c>
      <c r="G33" s="154" t="s">
        <v>208</v>
      </c>
      <c r="H33" s="155"/>
      <c r="I33" s="155"/>
      <c r="J33" s="155"/>
      <c r="K33" s="158" t="s">
        <v>215</v>
      </c>
    </row>
    <row r="34">
      <c r="A34" s="153">
        <f t="shared" si="2"/>
        <v>33</v>
      </c>
      <c r="B34" s="154"/>
      <c r="C34" s="154" t="s">
        <v>208</v>
      </c>
      <c r="D34" s="154" t="s">
        <v>208</v>
      </c>
      <c r="E34" s="154" t="s">
        <v>208</v>
      </c>
      <c r="F34" s="154" t="s">
        <v>208</v>
      </c>
      <c r="G34" s="154" t="s">
        <v>208</v>
      </c>
      <c r="H34" s="155"/>
      <c r="I34" s="155"/>
      <c r="J34" s="155"/>
      <c r="K34" s="158" t="s">
        <v>215</v>
      </c>
    </row>
    <row r="35">
      <c r="A35" s="153">
        <f t="shared" si="2"/>
        <v>34</v>
      </c>
      <c r="B35" s="154"/>
      <c r="C35" s="154" t="s">
        <v>208</v>
      </c>
      <c r="D35" s="154" t="s">
        <v>208</v>
      </c>
      <c r="E35" s="154" t="s">
        <v>208</v>
      </c>
      <c r="F35" s="154" t="s">
        <v>208</v>
      </c>
      <c r="G35" s="154" t="s">
        <v>208</v>
      </c>
      <c r="H35" s="155"/>
      <c r="I35" s="155"/>
      <c r="J35" s="155"/>
      <c r="K35" s="158" t="s">
        <v>215</v>
      </c>
    </row>
    <row r="36">
      <c r="A36" s="153">
        <f t="shared" si="2"/>
        <v>35</v>
      </c>
      <c r="B36" s="154"/>
      <c r="C36" s="154" t="s">
        <v>208</v>
      </c>
      <c r="D36" s="154" t="s">
        <v>208</v>
      </c>
      <c r="E36" s="154" t="s">
        <v>208</v>
      </c>
      <c r="F36" s="154" t="s">
        <v>208</v>
      </c>
      <c r="G36" s="154" t="s">
        <v>208</v>
      </c>
      <c r="H36" s="155"/>
      <c r="I36" s="155"/>
      <c r="J36" s="155"/>
      <c r="K36" s="158" t="s">
        <v>215</v>
      </c>
    </row>
    <row r="37">
      <c r="A37" s="153">
        <f t="shared" si="2"/>
        <v>36</v>
      </c>
      <c r="B37" s="154"/>
      <c r="C37" s="154" t="s">
        <v>208</v>
      </c>
      <c r="D37" s="154" t="s">
        <v>208</v>
      </c>
      <c r="E37" s="154" t="s">
        <v>208</v>
      </c>
      <c r="F37" s="154" t="s">
        <v>208</v>
      </c>
      <c r="G37" s="154" t="s">
        <v>208</v>
      </c>
      <c r="H37" s="155"/>
      <c r="I37" s="155"/>
      <c r="J37" s="155"/>
      <c r="K37" s="158" t="s">
        <v>215</v>
      </c>
    </row>
    <row r="38">
      <c r="A38" s="153">
        <f t="shared" si="2"/>
        <v>37</v>
      </c>
      <c r="B38" s="154"/>
      <c r="C38" s="154" t="s">
        <v>208</v>
      </c>
      <c r="D38" s="154" t="s">
        <v>208</v>
      </c>
      <c r="E38" s="154" t="s">
        <v>208</v>
      </c>
      <c r="F38" s="154" t="s">
        <v>208</v>
      </c>
      <c r="G38" s="154" t="s">
        <v>208</v>
      </c>
      <c r="H38" s="155"/>
      <c r="I38" s="155"/>
      <c r="J38" s="155"/>
      <c r="K38" s="158" t="s">
        <v>215</v>
      </c>
    </row>
    <row r="39">
      <c r="A39" s="153">
        <f t="shared" si="2"/>
        <v>38</v>
      </c>
      <c r="B39" s="154"/>
      <c r="C39" s="154" t="s">
        <v>208</v>
      </c>
      <c r="D39" s="154" t="s">
        <v>208</v>
      </c>
      <c r="E39" s="154" t="s">
        <v>208</v>
      </c>
      <c r="F39" s="154" t="s">
        <v>208</v>
      </c>
      <c r="G39" s="154" t="s">
        <v>208</v>
      </c>
      <c r="H39" s="155"/>
      <c r="I39" s="155"/>
      <c r="J39" s="155"/>
      <c r="K39" s="158" t="s">
        <v>215</v>
      </c>
    </row>
    <row r="40">
      <c r="A40" s="153">
        <f t="shared" si="2"/>
        <v>39</v>
      </c>
      <c r="B40" s="154"/>
      <c r="C40" s="154"/>
      <c r="D40" s="154"/>
      <c r="E40" s="154"/>
      <c r="F40" s="154"/>
      <c r="G40" s="155"/>
      <c r="H40" s="155"/>
      <c r="I40" s="155"/>
      <c r="J40" s="154" t="s">
        <v>217</v>
      </c>
      <c r="K40" s="158" t="s">
        <v>215</v>
      </c>
    </row>
    <row r="41">
      <c r="A41" s="153">
        <f t="shared" si="2"/>
        <v>40</v>
      </c>
      <c r="B41" s="155"/>
      <c r="C41" s="154" t="s">
        <v>208</v>
      </c>
      <c r="D41" s="154" t="s">
        <v>208</v>
      </c>
      <c r="E41" s="154" t="s">
        <v>208</v>
      </c>
      <c r="F41" s="154" t="s">
        <v>208</v>
      </c>
      <c r="G41" s="154" t="s">
        <v>208</v>
      </c>
      <c r="H41" s="155"/>
      <c r="I41" s="155"/>
      <c r="J41" s="155"/>
      <c r="K41" s="158" t="s">
        <v>215</v>
      </c>
    </row>
    <row r="42">
      <c r="A42" s="153">
        <f t="shared" si="2"/>
        <v>41</v>
      </c>
      <c r="B42" s="155"/>
      <c r="C42" s="154" t="s">
        <v>208</v>
      </c>
      <c r="D42" s="154" t="s">
        <v>208</v>
      </c>
      <c r="E42" s="154" t="s">
        <v>208</v>
      </c>
      <c r="F42" s="154" t="s">
        <v>208</v>
      </c>
      <c r="G42" s="154" t="s">
        <v>208</v>
      </c>
      <c r="H42" s="155"/>
      <c r="I42" s="155"/>
      <c r="J42" s="155"/>
      <c r="K42" s="158" t="s">
        <v>215</v>
      </c>
    </row>
    <row r="43">
      <c r="A43" s="153">
        <f t="shared" si="2"/>
        <v>42</v>
      </c>
      <c r="B43" s="154"/>
      <c r="C43" s="154" t="s">
        <v>208</v>
      </c>
      <c r="D43" s="154" t="s">
        <v>208</v>
      </c>
      <c r="E43" s="154" t="s">
        <v>208</v>
      </c>
      <c r="F43" s="154" t="s">
        <v>208</v>
      </c>
      <c r="G43" s="154" t="s">
        <v>208</v>
      </c>
      <c r="H43" s="155"/>
      <c r="I43" s="155"/>
      <c r="J43" s="155"/>
      <c r="K43" s="158" t="s">
        <v>215</v>
      </c>
    </row>
    <row r="44">
      <c r="A44" s="153">
        <f t="shared" si="2"/>
        <v>43</v>
      </c>
      <c r="B44" s="154"/>
      <c r="C44" s="154" t="s">
        <v>208</v>
      </c>
      <c r="D44" s="154" t="s">
        <v>208</v>
      </c>
      <c r="E44" s="154" t="s">
        <v>208</v>
      </c>
      <c r="F44" s="154" t="s">
        <v>208</v>
      </c>
      <c r="G44" s="154" t="s">
        <v>208</v>
      </c>
      <c r="H44" s="155"/>
      <c r="I44" s="155"/>
      <c r="J44" s="155"/>
      <c r="K44" s="158" t="s">
        <v>215</v>
      </c>
    </row>
    <row r="45">
      <c r="A45" s="153">
        <f t="shared" si="2"/>
        <v>44</v>
      </c>
      <c r="B45" s="154"/>
      <c r="C45" s="154" t="s">
        <v>208</v>
      </c>
      <c r="D45" s="154" t="s">
        <v>208</v>
      </c>
      <c r="E45" s="154" t="s">
        <v>208</v>
      </c>
      <c r="F45" s="154" t="s">
        <v>208</v>
      </c>
      <c r="G45" s="154" t="s">
        <v>208</v>
      </c>
      <c r="H45" s="155"/>
      <c r="I45" s="155"/>
      <c r="J45" s="155"/>
      <c r="K45" s="158" t="s">
        <v>215</v>
      </c>
    </row>
    <row r="46">
      <c r="A46" s="153">
        <f t="shared" si="2"/>
        <v>45</v>
      </c>
      <c r="B46" s="154"/>
      <c r="C46" s="154" t="s">
        <v>208</v>
      </c>
      <c r="D46" s="154" t="s">
        <v>208</v>
      </c>
      <c r="E46" s="154" t="s">
        <v>208</v>
      </c>
      <c r="F46" s="154" t="s">
        <v>208</v>
      </c>
      <c r="G46" s="154" t="s">
        <v>208</v>
      </c>
      <c r="H46" s="155"/>
      <c r="I46" s="155"/>
      <c r="J46" s="155"/>
      <c r="K46" s="158" t="s">
        <v>215</v>
      </c>
    </row>
    <row r="47">
      <c r="A47" s="153">
        <f t="shared" si="2"/>
        <v>46</v>
      </c>
      <c r="B47" s="154"/>
      <c r="C47" s="154" t="s">
        <v>208</v>
      </c>
      <c r="D47" s="154" t="s">
        <v>208</v>
      </c>
      <c r="E47" s="154" t="s">
        <v>208</v>
      </c>
      <c r="F47" s="154" t="s">
        <v>208</v>
      </c>
      <c r="G47" s="154" t="s">
        <v>208</v>
      </c>
      <c r="H47" s="155"/>
      <c r="I47" s="155"/>
      <c r="J47" s="155"/>
      <c r="K47" s="158" t="s">
        <v>215</v>
      </c>
    </row>
    <row r="48">
      <c r="A48" s="177">
        <f t="shared" si="2"/>
        <v>47</v>
      </c>
      <c r="B48" s="154"/>
      <c r="C48" s="154"/>
      <c r="D48" s="154" t="s">
        <v>208</v>
      </c>
      <c r="E48" s="154" t="s">
        <v>208</v>
      </c>
      <c r="F48" s="154" t="s">
        <v>208</v>
      </c>
      <c r="G48" s="154"/>
      <c r="H48" s="154" t="s">
        <v>208</v>
      </c>
      <c r="I48" s="155"/>
      <c r="J48" s="155"/>
      <c r="K48" s="158" t="s">
        <v>215</v>
      </c>
    </row>
    <row r="49">
      <c r="A49" s="153">
        <f t="shared" si="2"/>
        <v>48</v>
      </c>
      <c r="B49" s="154"/>
      <c r="C49" s="154"/>
      <c r="D49" s="154"/>
      <c r="E49" s="154"/>
      <c r="F49" s="154"/>
      <c r="G49" s="154"/>
      <c r="H49" s="154"/>
      <c r="I49" s="155"/>
      <c r="J49" s="154" t="s">
        <v>217</v>
      </c>
      <c r="K49" s="158" t="s">
        <v>215</v>
      </c>
    </row>
    <row r="50">
      <c r="A50" s="153">
        <f t="shared" si="2"/>
        <v>49</v>
      </c>
      <c r="B50" s="154"/>
      <c r="C50" s="154" t="s">
        <v>208</v>
      </c>
      <c r="D50" s="154" t="s">
        <v>208</v>
      </c>
      <c r="E50" s="154"/>
      <c r="F50" s="154" t="s">
        <v>208</v>
      </c>
      <c r="G50" s="154" t="s">
        <v>208</v>
      </c>
      <c r="H50" s="155"/>
      <c r="I50" s="155"/>
      <c r="J50" s="155"/>
      <c r="K50" s="158" t="s">
        <v>215</v>
      </c>
    </row>
    <row r="51">
      <c r="A51" s="153">
        <f t="shared" si="2"/>
        <v>50</v>
      </c>
      <c r="B51" s="154"/>
      <c r="C51" s="154" t="s">
        <v>208</v>
      </c>
      <c r="D51" s="154" t="s">
        <v>208</v>
      </c>
      <c r="E51" s="154" t="s">
        <v>208</v>
      </c>
      <c r="F51" s="154" t="s">
        <v>208</v>
      </c>
      <c r="G51" s="154" t="s">
        <v>208</v>
      </c>
      <c r="H51" s="155"/>
      <c r="I51" s="155"/>
      <c r="J51" s="155"/>
      <c r="K51" s="158" t="s">
        <v>215</v>
      </c>
    </row>
    <row r="52">
      <c r="A52" s="153">
        <f t="shared" si="2"/>
        <v>51</v>
      </c>
      <c r="B52" s="154"/>
      <c r="C52" s="154" t="s">
        <v>208</v>
      </c>
      <c r="D52" s="154" t="s">
        <v>208</v>
      </c>
      <c r="E52" s="154" t="s">
        <v>208</v>
      </c>
      <c r="F52" s="154" t="s">
        <v>208</v>
      </c>
      <c r="G52" s="154" t="s">
        <v>208</v>
      </c>
      <c r="H52" s="155"/>
      <c r="I52" s="155"/>
      <c r="J52" s="155"/>
      <c r="K52" s="158" t="s">
        <v>215</v>
      </c>
    </row>
    <row r="53">
      <c r="A53" s="153">
        <f t="shared" si="2"/>
        <v>52</v>
      </c>
      <c r="B53" s="154"/>
      <c r="C53" s="154" t="s">
        <v>208</v>
      </c>
      <c r="D53" s="154" t="s">
        <v>208</v>
      </c>
      <c r="E53" s="154" t="s">
        <v>208</v>
      </c>
      <c r="F53" s="154" t="s">
        <v>208</v>
      </c>
      <c r="G53" s="154" t="s">
        <v>208</v>
      </c>
      <c r="H53" s="155"/>
      <c r="I53" s="155"/>
      <c r="J53" s="155"/>
      <c r="K53" s="158" t="s">
        <v>215</v>
      </c>
    </row>
    <row r="54">
      <c r="A54" s="153">
        <f t="shared" si="2"/>
        <v>53</v>
      </c>
      <c r="B54" s="155"/>
      <c r="C54" s="154" t="s">
        <v>208</v>
      </c>
      <c r="D54" s="154" t="s">
        <v>208</v>
      </c>
      <c r="E54" s="154" t="s">
        <v>208</v>
      </c>
      <c r="F54" s="154" t="s">
        <v>208</v>
      </c>
      <c r="G54" s="154" t="s">
        <v>208</v>
      </c>
      <c r="H54" s="155"/>
      <c r="I54" s="155"/>
      <c r="J54" s="155"/>
      <c r="K54" s="158" t="s">
        <v>215</v>
      </c>
    </row>
    <row r="55">
      <c r="A55" s="153">
        <f t="shared" si="2"/>
        <v>54</v>
      </c>
      <c r="B55" s="154"/>
      <c r="C55" s="154" t="s">
        <v>208</v>
      </c>
      <c r="D55" s="154" t="s">
        <v>208</v>
      </c>
      <c r="E55" s="154" t="s">
        <v>208</v>
      </c>
      <c r="F55" s="154" t="s">
        <v>208</v>
      </c>
      <c r="G55" s="154" t="s">
        <v>208</v>
      </c>
      <c r="H55" s="155"/>
      <c r="I55" s="155"/>
      <c r="J55" s="155"/>
      <c r="K55" s="158" t="s">
        <v>215</v>
      </c>
    </row>
    <row r="56">
      <c r="A56" s="153">
        <f t="shared" si="2"/>
        <v>55</v>
      </c>
      <c r="B56" s="154"/>
      <c r="C56" s="154" t="s">
        <v>208</v>
      </c>
      <c r="D56" s="154" t="s">
        <v>208</v>
      </c>
      <c r="E56" s="154" t="s">
        <v>208</v>
      </c>
      <c r="F56" s="154" t="s">
        <v>208</v>
      </c>
      <c r="G56" s="154" t="s">
        <v>208</v>
      </c>
      <c r="H56" s="155"/>
      <c r="I56" s="155"/>
      <c r="J56" s="155"/>
      <c r="K56" s="158" t="s">
        <v>215</v>
      </c>
    </row>
    <row r="57">
      <c r="A57" s="153">
        <f t="shared" si="2"/>
        <v>56</v>
      </c>
      <c r="B57" s="154"/>
      <c r="C57" s="154" t="s">
        <v>208</v>
      </c>
      <c r="D57" s="154" t="s">
        <v>208</v>
      </c>
      <c r="E57" s="154" t="s">
        <v>208</v>
      </c>
      <c r="F57" s="154" t="s">
        <v>208</v>
      </c>
      <c r="G57" s="154" t="s">
        <v>208</v>
      </c>
      <c r="H57" s="155"/>
      <c r="I57" s="155"/>
      <c r="J57" s="155"/>
      <c r="K57" s="158" t="s">
        <v>215</v>
      </c>
    </row>
    <row r="58">
      <c r="A58" s="153">
        <f t="shared" si="2"/>
        <v>57</v>
      </c>
      <c r="B58" s="154"/>
      <c r="C58" s="154"/>
      <c r="D58" s="154"/>
      <c r="E58" s="154"/>
      <c r="F58" s="154"/>
      <c r="G58" s="154"/>
      <c r="H58" s="155"/>
      <c r="I58" s="155"/>
      <c r="J58" s="154" t="s">
        <v>217</v>
      </c>
      <c r="K58" s="158" t="s">
        <v>215</v>
      </c>
    </row>
    <row r="59">
      <c r="A59" s="153">
        <f t="shared" si="2"/>
        <v>58</v>
      </c>
      <c r="B59" s="154"/>
      <c r="C59" s="154" t="s">
        <v>208</v>
      </c>
      <c r="D59" s="154" t="s">
        <v>208</v>
      </c>
      <c r="E59" s="154" t="s">
        <v>208</v>
      </c>
      <c r="F59" s="154" t="s">
        <v>208</v>
      </c>
      <c r="G59" s="154" t="s">
        <v>208</v>
      </c>
      <c r="H59" s="155"/>
      <c r="I59" s="155"/>
      <c r="J59" s="155"/>
      <c r="K59" s="158" t="s">
        <v>215</v>
      </c>
    </row>
    <row r="60">
      <c r="A60" s="153">
        <f t="shared" si="2"/>
        <v>59</v>
      </c>
      <c r="B60" s="154"/>
      <c r="C60" s="154" t="s">
        <v>208</v>
      </c>
      <c r="D60" s="154" t="s">
        <v>208</v>
      </c>
      <c r="E60" s="154" t="s">
        <v>208</v>
      </c>
      <c r="F60" s="154" t="s">
        <v>208</v>
      </c>
      <c r="G60" s="154" t="s">
        <v>208</v>
      </c>
      <c r="H60" s="155"/>
      <c r="I60" s="155"/>
      <c r="J60" s="155"/>
      <c r="K60" s="158" t="s">
        <v>215</v>
      </c>
    </row>
    <row r="61">
      <c r="A61" s="153">
        <f t="shared" si="2"/>
        <v>60</v>
      </c>
      <c r="B61" s="154"/>
      <c r="C61" s="154" t="s">
        <v>208</v>
      </c>
      <c r="D61" s="154" t="s">
        <v>208</v>
      </c>
      <c r="E61" s="154" t="s">
        <v>208</v>
      </c>
      <c r="F61" s="154" t="s">
        <v>208</v>
      </c>
      <c r="G61" s="154" t="s">
        <v>208</v>
      </c>
      <c r="H61" s="155"/>
      <c r="I61" s="155"/>
      <c r="J61" s="155"/>
      <c r="K61" s="158" t="s">
        <v>215</v>
      </c>
    </row>
    <row r="62">
      <c r="A62" s="153">
        <f t="shared" si="2"/>
        <v>61</v>
      </c>
      <c r="B62" s="154"/>
      <c r="C62" s="154" t="s">
        <v>208</v>
      </c>
      <c r="D62" s="154" t="s">
        <v>208</v>
      </c>
      <c r="E62" s="154" t="s">
        <v>208</v>
      </c>
      <c r="F62" s="154" t="s">
        <v>208</v>
      </c>
      <c r="G62" s="154" t="s">
        <v>208</v>
      </c>
      <c r="H62" s="155"/>
      <c r="I62" s="155"/>
      <c r="J62" s="155"/>
      <c r="K62" s="158" t="s">
        <v>215</v>
      </c>
    </row>
    <row r="63">
      <c r="A63" s="153">
        <f t="shared" si="2"/>
        <v>62</v>
      </c>
      <c r="B63" s="154"/>
      <c r="C63" s="154" t="s">
        <v>208</v>
      </c>
      <c r="D63" s="154" t="s">
        <v>208</v>
      </c>
      <c r="E63" s="154" t="s">
        <v>208</v>
      </c>
      <c r="F63" s="154" t="s">
        <v>208</v>
      </c>
      <c r="G63" s="154" t="s">
        <v>208</v>
      </c>
      <c r="H63" s="155"/>
      <c r="I63" s="155"/>
      <c r="J63" s="155"/>
      <c r="K63" s="158" t="s">
        <v>215</v>
      </c>
    </row>
    <row r="64">
      <c r="A64" s="153">
        <f t="shared" si="2"/>
        <v>63</v>
      </c>
      <c r="B64" s="154"/>
      <c r="C64" s="154" t="s">
        <v>208</v>
      </c>
      <c r="D64" s="154" t="s">
        <v>208</v>
      </c>
      <c r="E64" s="154" t="s">
        <v>208</v>
      </c>
      <c r="F64" s="154" t="s">
        <v>208</v>
      </c>
      <c r="G64" s="154" t="s">
        <v>208</v>
      </c>
      <c r="H64" s="155"/>
      <c r="I64" s="155"/>
      <c r="J64" s="155"/>
      <c r="K64" s="158" t="s">
        <v>215</v>
      </c>
    </row>
    <row r="65">
      <c r="A65" s="153">
        <f t="shared" si="2"/>
        <v>64</v>
      </c>
      <c r="B65" s="154"/>
      <c r="C65" s="154" t="s">
        <v>208</v>
      </c>
      <c r="D65" s="154" t="s">
        <v>208</v>
      </c>
      <c r="E65" s="154" t="s">
        <v>208</v>
      </c>
      <c r="F65" s="154" t="s">
        <v>208</v>
      </c>
      <c r="G65" s="154" t="s">
        <v>208</v>
      </c>
      <c r="H65" s="155"/>
      <c r="I65" s="155"/>
      <c r="J65" s="155"/>
      <c r="K65" s="158" t="s">
        <v>215</v>
      </c>
    </row>
    <row r="66">
      <c r="A66" s="153">
        <f t="shared" si="2"/>
        <v>65</v>
      </c>
      <c r="B66" s="154"/>
      <c r="C66" s="154" t="s">
        <v>208</v>
      </c>
      <c r="D66" s="154" t="s">
        <v>208</v>
      </c>
      <c r="E66" s="154" t="s">
        <v>208</v>
      </c>
      <c r="F66" s="154" t="s">
        <v>208</v>
      </c>
      <c r="G66" s="154" t="s">
        <v>208</v>
      </c>
      <c r="H66" s="155"/>
      <c r="I66" s="155"/>
      <c r="J66" s="155"/>
      <c r="K66" s="158" t="s">
        <v>215</v>
      </c>
    </row>
    <row r="67">
      <c r="A67" s="153">
        <f t="shared" si="2"/>
        <v>66</v>
      </c>
      <c r="B67" s="154"/>
      <c r="C67" s="154" t="s">
        <v>208</v>
      </c>
      <c r="D67" s="154" t="s">
        <v>208</v>
      </c>
      <c r="E67" s="154" t="s">
        <v>208</v>
      </c>
      <c r="F67" s="154" t="s">
        <v>208</v>
      </c>
      <c r="G67" s="154" t="s">
        <v>208</v>
      </c>
      <c r="H67" s="155"/>
      <c r="I67" s="155"/>
      <c r="J67" s="155"/>
      <c r="K67" s="158" t="s">
        <v>215</v>
      </c>
    </row>
    <row r="68">
      <c r="A68" s="153">
        <f t="shared" si="2"/>
        <v>67</v>
      </c>
      <c r="B68" s="154"/>
      <c r="C68" s="154" t="s">
        <v>208</v>
      </c>
      <c r="D68" s="154" t="s">
        <v>208</v>
      </c>
      <c r="E68" s="154" t="s">
        <v>208</v>
      </c>
      <c r="F68" s="154" t="s">
        <v>208</v>
      </c>
      <c r="G68" s="154" t="s">
        <v>208</v>
      </c>
      <c r="H68" s="155"/>
      <c r="I68" s="155"/>
      <c r="J68" s="155"/>
      <c r="K68" s="158" t="s">
        <v>215</v>
      </c>
    </row>
    <row r="69">
      <c r="A69" s="153">
        <f t="shared" si="2"/>
        <v>68</v>
      </c>
      <c r="B69" s="154"/>
      <c r="C69" s="154" t="s">
        <v>208</v>
      </c>
      <c r="D69" s="154" t="s">
        <v>208</v>
      </c>
      <c r="E69" s="154" t="s">
        <v>208</v>
      </c>
      <c r="F69" s="154" t="s">
        <v>208</v>
      </c>
      <c r="G69" s="154" t="s">
        <v>208</v>
      </c>
      <c r="H69" s="155"/>
      <c r="I69" s="155"/>
      <c r="J69" s="155"/>
      <c r="K69" s="158" t="s">
        <v>215</v>
      </c>
    </row>
    <row r="70">
      <c r="A70" s="153">
        <f t="shared" si="2"/>
        <v>69</v>
      </c>
      <c r="B70" s="154"/>
      <c r="C70" s="154" t="s">
        <v>208</v>
      </c>
      <c r="D70" s="154" t="s">
        <v>208</v>
      </c>
      <c r="E70" s="154" t="s">
        <v>208</v>
      </c>
      <c r="F70" s="154" t="s">
        <v>208</v>
      </c>
      <c r="G70" s="154" t="s">
        <v>208</v>
      </c>
      <c r="H70" s="155"/>
      <c r="I70" s="155"/>
      <c r="J70" s="155"/>
      <c r="K70" s="158" t="s">
        <v>215</v>
      </c>
    </row>
    <row r="71">
      <c r="A71" s="153">
        <f t="shared" si="2"/>
        <v>70</v>
      </c>
      <c r="B71" s="154"/>
      <c r="C71" s="154" t="s">
        <v>208</v>
      </c>
      <c r="D71" s="154" t="s">
        <v>208</v>
      </c>
      <c r="E71" s="154" t="s">
        <v>208</v>
      </c>
      <c r="F71" s="154" t="s">
        <v>208</v>
      </c>
      <c r="G71" s="154" t="s">
        <v>208</v>
      </c>
      <c r="H71" s="155"/>
      <c r="I71" s="155"/>
      <c r="J71" s="155"/>
      <c r="K71" s="158" t="s">
        <v>215</v>
      </c>
    </row>
    <row r="72">
      <c r="A72" s="153">
        <f t="shared" si="2"/>
        <v>71</v>
      </c>
      <c r="B72" s="154"/>
      <c r="C72" s="154"/>
      <c r="D72" s="154"/>
      <c r="E72" s="154"/>
      <c r="F72" s="154"/>
      <c r="G72" s="154"/>
      <c r="H72" s="155"/>
      <c r="I72" s="155"/>
      <c r="J72" s="154" t="s">
        <v>217</v>
      </c>
      <c r="K72" s="158" t="s">
        <v>215</v>
      </c>
    </row>
    <row r="73">
      <c r="A73" s="153">
        <f t="shared" si="2"/>
        <v>72</v>
      </c>
      <c r="B73" s="154"/>
      <c r="C73" s="154" t="s">
        <v>208</v>
      </c>
      <c r="D73" s="154" t="s">
        <v>208</v>
      </c>
      <c r="E73" s="154" t="s">
        <v>208</v>
      </c>
      <c r="F73" s="154" t="s">
        <v>208</v>
      </c>
      <c r="G73" s="154" t="s">
        <v>208</v>
      </c>
      <c r="H73" s="155"/>
      <c r="I73" s="155"/>
      <c r="J73" s="155"/>
      <c r="K73" s="158" t="s">
        <v>215</v>
      </c>
    </row>
    <row r="74">
      <c r="A74" s="153">
        <f t="shared" si="2"/>
        <v>73</v>
      </c>
      <c r="B74" s="154"/>
      <c r="C74" s="154" t="s">
        <v>208</v>
      </c>
      <c r="D74" s="154" t="s">
        <v>208</v>
      </c>
      <c r="E74" s="154" t="s">
        <v>208</v>
      </c>
      <c r="F74" s="154" t="s">
        <v>208</v>
      </c>
      <c r="G74" s="154" t="s">
        <v>208</v>
      </c>
      <c r="H74" s="155"/>
      <c r="I74" s="155"/>
      <c r="J74" s="155"/>
      <c r="K74" s="158" t="s">
        <v>215</v>
      </c>
    </row>
    <row r="75">
      <c r="A75" s="153">
        <f t="shared" si="2"/>
        <v>74</v>
      </c>
      <c r="B75" s="154"/>
      <c r="C75" s="154" t="s">
        <v>208</v>
      </c>
      <c r="D75" s="154" t="s">
        <v>208</v>
      </c>
      <c r="E75" s="154" t="s">
        <v>208</v>
      </c>
      <c r="F75" s="154" t="s">
        <v>208</v>
      </c>
      <c r="G75" s="154" t="s">
        <v>208</v>
      </c>
      <c r="H75" s="155"/>
      <c r="I75" s="155"/>
      <c r="J75" s="155"/>
      <c r="K75" s="158" t="s">
        <v>215</v>
      </c>
    </row>
    <row r="76">
      <c r="A76" s="153">
        <f t="shared" si="2"/>
        <v>75</v>
      </c>
      <c r="B76" s="154"/>
      <c r="C76" s="154" t="s">
        <v>208</v>
      </c>
      <c r="D76" s="154" t="s">
        <v>208</v>
      </c>
      <c r="E76" s="154" t="s">
        <v>208</v>
      </c>
      <c r="F76" s="154" t="s">
        <v>208</v>
      </c>
      <c r="G76" s="154" t="s">
        <v>208</v>
      </c>
      <c r="H76" s="155"/>
      <c r="I76" s="155"/>
      <c r="J76" s="155"/>
      <c r="K76" s="158" t="s">
        <v>215</v>
      </c>
    </row>
    <row r="77">
      <c r="A77" s="153">
        <f t="shared" si="2"/>
        <v>76</v>
      </c>
      <c r="B77" s="154"/>
      <c r="C77" s="154" t="s">
        <v>208</v>
      </c>
      <c r="D77" s="154" t="s">
        <v>208</v>
      </c>
      <c r="E77" s="154" t="s">
        <v>208</v>
      </c>
      <c r="F77" s="154" t="s">
        <v>208</v>
      </c>
      <c r="G77" s="154" t="s">
        <v>208</v>
      </c>
      <c r="H77" s="155"/>
      <c r="I77" s="155"/>
      <c r="J77" s="155"/>
      <c r="K77" s="158" t="s">
        <v>215</v>
      </c>
    </row>
    <row r="78">
      <c r="A78" s="153">
        <f t="shared" si="2"/>
        <v>77</v>
      </c>
      <c r="B78" s="154"/>
      <c r="C78" s="154" t="s">
        <v>208</v>
      </c>
      <c r="D78" s="154" t="s">
        <v>208</v>
      </c>
      <c r="E78" s="154" t="s">
        <v>208</v>
      </c>
      <c r="F78" s="154" t="s">
        <v>208</v>
      </c>
      <c r="G78" s="154" t="s">
        <v>208</v>
      </c>
      <c r="H78" s="155"/>
      <c r="I78" s="155"/>
      <c r="J78" s="155"/>
      <c r="K78" s="158" t="s">
        <v>215</v>
      </c>
    </row>
    <row r="79">
      <c r="A79" s="153">
        <f t="shared" si="2"/>
        <v>78</v>
      </c>
      <c r="B79" s="154"/>
      <c r="C79" s="154" t="s">
        <v>208</v>
      </c>
      <c r="D79" s="154" t="s">
        <v>208</v>
      </c>
      <c r="E79" s="154" t="s">
        <v>208</v>
      </c>
      <c r="F79" s="154" t="s">
        <v>208</v>
      </c>
      <c r="G79" s="154" t="s">
        <v>208</v>
      </c>
      <c r="H79" s="155"/>
      <c r="I79" s="155"/>
      <c r="J79" s="155"/>
      <c r="K79" s="158" t="s">
        <v>215</v>
      </c>
    </row>
    <row r="80">
      <c r="A80" s="153">
        <f t="shared" si="2"/>
        <v>79</v>
      </c>
      <c r="B80" s="154"/>
      <c r="C80" s="154" t="s">
        <v>208</v>
      </c>
      <c r="D80" s="154" t="s">
        <v>208</v>
      </c>
      <c r="E80" s="154" t="s">
        <v>208</v>
      </c>
      <c r="F80" s="154" t="s">
        <v>208</v>
      </c>
      <c r="G80" s="154" t="s">
        <v>208</v>
      </c>
      <c r="H80" s="155"/>
      <c r="I80" s="155"/>
      <c r="J80" s="155"/>
      <c r="K80" s="158" t="s">
        <v>215</v>
      </c>
    </row>
    <row r="81">
      <c r="A81" s="153">
        <f t="shared" si="2"/>
        <v>80</v>
      </c>
      <c r="B81" s="154"/>
      <c r="C81" s="154"/>
      <c r="D81" s="154"/>
      <c r="E81" s="154"/>
      <c r="F81" s="154"/>
      <c r="G81" s="154"/>
      <c r="H81" s="155"/>
      <c r="I81" s="155"/>
      <c r="J81" s="154" t="s">
        <v>217</v>
      </c>
      <c r="K81" s="158" t="s">
        <v>215</v>
      </c>
    </row>
    <row r="82">
      <c r="A82" s="153">
        <f t="shared" si="2"/>
        <v>81</v>
      </c>
      <c r="B82" s="154"/>
      <c r="C82" s="154" t="s">
        <v>208</v>
      </c>
      <c r="D82" s="154" t="s">
        <v>208</v>
      </c>
      <c r="E82" s="154" t="s">
        <v>208</v>
      </c>
      <c r="F82" s="154" t="s">
        <v>208</v>
      </c>
      <c r="G82" s="154" t="s">
        <v>208</v>
      </c>
      <c r="H82" s="155"/>
      <c r="I82" s="155"/>
      <c r="J82" s="155"/>
      <c r="K82" s="158" t="s">
        <v>215</v>
      </c>
    </row>
    <row r="83">
      <c r="A83" s="153">
        <f t="shared" si="2"/>
        <v>82</v>
      </c>
      <c r="B83" s="154"/>
      <c r="C83" s="154" t="s">
        <v>208</v>
      </c>
      <c r="D83" s="154" t="s">
        <v>208</v>
      </c>
      <c r="E83" s="154" t="s">
        <v>208</v>
      </c>
      <c r="F83" s="154" t="s">
        <v>208</v>
      </c>
      <c r="G83" s="154" t="s">
        <v>208</v>
      </c>
      <c r="H83" s="155"/>
      <c r="I83" s="155"/>
      <c r="J83" s="155"/>
      <c r="K83" s="158" t="s">
        <v>215</v>
      </c>
    </row>
    <row r="84">
      <c r="A84" s="153">
        <f t="shared" si="2"/>
        <v>83</v>
      </c>
      <c r="B84" s="154"/>
      <c r="C84" s="154" t="s">
        <v>208</v>
      </c>
      <c r="D84" s="154" t="s">
        <v>208</v>
      </c>
      <c r="E84" s="154" t="s">
        <v>208</v>
      </c>
      <c r="F84" s="154" t="s">
        <v>208</v>
      </c>
      <c r="G84" s="154" t="s">
        <v>208</v>
      </c>
      <c r="H84" s="153"/>
      <c r="I84" s="154"/>
      <c r="J84" s="154"/>
      <c r="K84" s="158" t="s">
        <v>215</v>
      </c>
    </row>
    <row r="85">
      <c r="A85" s="153">
        <f t="shared" si="2"/>
        <v>84</v>
      </c>
      <c r="B85" s="154"/>
      <c r="C85" s="154" t="s">
        <v>208</v>
      </c>
      <c r="D85" s="154" t="s">
        <v>208</v>
      </c>
      <c r="E85" s="154" t="s">
        <v>208</v>
      </c>
      <c r="F85" s="154" t="s">
        <v>208</v>
      </c>
      <c r="G85" s="154" t="s">
        <v>208</v>
      </c>
      <c r="H85" s="155"/>
      <c r="I85" s="155"/>
      <c r="J85" s="155"/>
      <c r="K85" s="158" t="s">
        <v>215</v>
      </c>
    </row>
    <row r="86">
      <c r="A86" s="153">
        <f t="shared" si="2"/>
        <v>85</v>
      </c>
      <c r="B86" s="154"/>
      <c r="C86" s="154"/>
      <c r="D86" s="154"/>
      <c r="E86" s="154"/>
      <c r="F86" s="154"/>
      <c r="G86" s="155"/>
      <c r="H86" s="155"/>
      <c r="I86" s="155"/>
      <c r="J86" s="154" t="s">
        <v>217</v>
      </c>
      <c r="K86" s="158" t="s">
        <v>215</v>
      </c>
    </row>
    <row r="87">
      <c r="A87" s="153">
        <f t="shared" si="2"/>
        <v>86</v>
      </c>
      <c r="B87" s="154"/>
      <c r="C87" s="154" t="s">
        <v>208</v>
      </c>
      <c r="D87" s="154" t="s">
        <v>208</v>
      </c>
      <c r="E87" s="154" t="s">
        <v>208</v>
      </c>
      <c r="F87" s="154" t="s">
        <v>208</v>
      </c>
      <c r="G87" s="154" t="s">
        <v>208</v>
      </c>
      <c r="H87" s="153"/>
      <c r="I87" s="154"/>
      <c r="J87" s="155"/>
      <c r="K87" s="158" t="s">
        <v>215</v>
      </c>
    </row>
    <row r="88">
      <c r="A88" s="153">
        <f t="shared" si="2"/>
        <v>87</v>
      </c>
      <c r="B88" s="154"/>
      <c r="C88" s="154" t="s">
        <v>208</v>
      </c>
      <c r="D88" s="154" t="s">
        <v>208</v>
      </c>
      <c r="E88" s="154" t="s">
        <v>208</v>
      </c>
      <c r="F88" s="154" t="s">
        <v>208</v>
      </c>
      <c r="G88" s="154" t="s">
        <v>208</v>
      </c>
      <c r="H88" s="155"/>
      <c r="I88" s="155"/>
      <c r="J88" s="155"/>
      <c r="K88" s="158" t="s">
        <v>215</v>
      </c>
    </row>
    <row r="89">
      <c r="A89" s="153">
        <f t="shared" si="2"/>
        <v>88</v>
      </c>
      <c r="B89" s="154"/>
      <c r="C89" s="154" t="s">
        <v>208</v>
      </c>
      <c r="D89" s="154" t="s">
        <v>208</v>
      </c>
      <c r="E89" s="154" t="s">
        <v>208</v>
      </c>
      <c r="F89" s="154" t="s">
        <v>208</v>
      </c>
      <c r="G89" s="154" t="s">
        <v>208</v>
      </c>
      <c r="H89" s="155"/>
      <c r="I89" s="155"/>
      <c r="J89" s="155"/>
      <c r="K89" s="158" t="s">
        <v>215</v>
      </c>
    </row>
    <row r="90">
      <c r="A90" s="153">
        <f t="shared" si="2"/>
        <v>89</v>
      </c>
      <c r="B90" s="154"/>
      <c r="C90" s="154" t="s">
        <v>208</v>
      </c>
      <c r="D90" s="154" t="s">
        <v>208</v>
      </c>
      <c r="E90" s="154" t="s">
        <v>208</v>
      </c>
      <c r="F90" s="154" t="s">
        <v>208</v>
      </c>
      <c r="G90" s="154" t="s">
        <v>208</v>
      </c>
      <c r="H90" s="155"/>
      <c r="I90" s="155"/>
      <c r="J90" s="155"/>
      <c r="K90" s="158" t="s">
        <v>215</v>
      </c>
    </row>
    <row r="91">
      <c r="A91" s="153">
        <f t="shared" si="2"/>
        <v>90</v>
      </c>
      <c r="B91" s="154"/>
      <c r="C91" s="154" t="s">
        <v>208</v>
      </c>
      <c r="D91" s="154" t="s">
        <v>208</v>
      </c>
      <c r="E91" s="154" t="s">
        <v>208</v>
      </c>
      <c r="F91" s="154" t="s">
        <v>208</v>
      </c>
      <c r="G91" s="154" t="s">
        <v>208</v>
      </c>
      <c r="H91" s="155"/>
      <c r="I91" s="155"/>
      <c r="J91" s="155"/>
      <c r="K91" s="158" t="s">
        <v>215</v>
      </c>
    </row>
    <row r="92">
      <c r="A92" s="153">
        <f t="shared" si="2"/>
        <v>91</v>
      </c>
      <c r="B92" s="154"/>
      <c r="C92" s="154" t="s">
        <v>208</v>
      </c>
      <c r="D92" s="154" t="s">
        <v>208</v>
      </c>
      <c r="E92" s="154" t="s">
        <v>208</v>
      </c>
      <c r="F92" s="154" t="s">
        <v>208</v>
      </c>
      <c r="G92" s="154" t="s">
        <v>208</v>
      </c>
      <c r="H92" s="155"/>
      <c r="I92" s="155"/>
      <c r="J92" s="155"/>
      <c r="K92" s="158" t="s">
        <v>215</v>
      </c>
    </row>
    <row r="93">
      <c r="A93" s="153">
        <f t="shared" si="2"/>
        <v>92</v>
      </c>
      <c r="B93" s="154"/>
      <c r="C93" s="154" t="s">
        <v>208</v>
      </c>
      <c r="D93" s="154" t="s">
        <v>208</v>
      </c>
      <c r="E93" s="154" t="s">
        <v>208</v>
      </c>
      <c r="F93" s="154" t="s">
        <v>208</v>
      </c>
      <c r="G93" s="154" t="s">
        <v>208</v>
      </c>
      <c r="H93" s="155"/>
      <c r="I93" s="155"/>
      <c r="J93" s="155"/>
      <c r="K93" s="158" t="s">
        <v>215</v>
      </c>
    </row>
    <row r="94">
      <c r="A94" s="153">
        <f t="shared" si="2"/>
        <v>93</v>
      </c>
      <c r="B94" s="154"/>
      <c r="C94" s="154" t="s">
        <v>208</v>
      </c>
      <c r="D94" s="154" t="s">
        <v>208</v>
      </c>
      <c r="E94" s="154" t="s">
        <v>208</v>
      </c>
      <c r="F94" s="154" t="s">
        <v>208</v>
      </c>
      <c r="G94" s="154" t="s">
        <v>208</v>
      </c>
      <c r="H94" s="155"/>
      <c r="I94" s="155"/>
      <c r="J94" s="155"/>
      <c r="K94" s="158" t="s">
        <v>215</v>
      </c>
    </row>
    <row r="95">
      <c r="A95" s="153">
        <f t="shared" si="2"/>
        <v>94</v>
      </c>
      <c r="B95" s="154"/>
      <c r="C95" s="154" t="s">
        <v>208</v>
      </c>
      <c r="D95" s="154" t="s">
        <v>208</v>
      </c>
      <c r="E95" s="154" t="s">
        <v>208</v>
      </c>
      <c r="F95" s="154" t="s">
        <v>208</v>
      </c>
      <c r="G95" s="154" t="s">
        <v>208</v>
      </c>
      <c r="H95" s="155"/>
      <c r="I95" s="155"/>
      <c r="J95" s="155"/>
      <c r="K95" s="158" t="s">
        <v>215</v>
      </c>
    </row>
    <row r="96">
      <c r="A96" s="153">
        <f t="shared" si="2"/>
        <v>95</v>
      </c>
      <c r="B96" s="154"/>
      <c r="C96" s="154" t="s">
        <v>208</v>
      </c>
      <c r="D96" s="154" t="s">
        <v>208</v>
      </c>
      <c r="E96" s="154" t="s">
        <v>208</v>
      </c>
      <c r="F96" s="154" t="s">
        <v>208</v>
      </c>
      <c r="G96" s="154" t="s">
        <v>208</v>
      </c>
      <c r="H96" s="155"/>
      <c r="I96" s="155"/>
      <c r="J96" s="155"/>
      <c r="K96" s="158" t="s">
        <v>215</v>
      </c>
    </row>
    <row r="97">
      <c r="A97" s="153">
        <f t="shared" si="2"/>
        <v>96</v>
      </c>
      <c r="B97" s="154"/>
      <c r="C97" s="154"/>
      <c r="D97" s="154"/>
      <c r="E97" s="154"/>
      <c r="F97" s="154"/>
      <c r="G97" s="154"/>
      <c r="H97" s="155"/>
      <c r="I97" s="155"/>
      <c r="J97" s="154" t="s">
        <v>217</v>
      </c>
      <c r="K97" s="158" t="s">
        <v>215</v>
      </c>
    </row>
    <row r="98">
      <c r="A98" s="153">
        <f t="shared" si="2"/>
        <v>97</v>
      </c>
      <c r="B98" s="154"/>
      <c r="C98" s="154"/>
      <c r="D98" s="154"/>
      <c r="E98" s="154"/>
      <c r="F98" s="154"/>
      <c r="G98" s="155"/>
      <c r="H98" s="155"/>
      <c r="I98" s="155"/>
      <c r="J98" s="154" t="s">
        <v>217</v>
      </c>
      <c r="K98" s="158" t="s">
        <v>215</v>
      </c>
    </row>
    <row r="99">
      <c r="A99" s="153">
        <f t="shared" si="2"/>
        <v>98</v>
      </c>
      <c r="B99" s="154"/>
      <c r="C99" s="154"/>
      <c r="D99" s="154"/>
      <c r="E99" s="154"/>
      <c r="F99" s="154"/>
      <c r="G99" s="154"/>
      <c r="H99" s="155"/>
      <c r="I99" s="155"/>
      <c r="J99" s="154" t="s">
        <v>217</v>
      </c>
      <c r="K99" s="158" t="s">
        <v>215</v>
      </c>
    </row>
    <row r="100">
      <c r="A100" s="153">
        <f t="shared" si="2"/>
        <v>99</v>
      </c>
      <c r="B100" s="154"/>
      <c r="C100" s="154" t="s">
        <v>208</v>
      </c>
      <c r="D100" s="154" t="s">
        <v>208</v>
      </c>
      <c r="E100" s="154" t="s">
        <v>208</v>
      </c>
      <c r="F100" s="154" t="s">
        <v>208</v>
      </c>
      <c r="G100" s="154" t="s">
        <v>208</v>
      </c>
      <c r="H100" s="155"/>
      <c r="I100" s="155"/>
      <c r="J100" s="155"/>
      <c r="K100" s="158" t="s">
        <v>215</v>
      </c>
    </row>
    <row r="101">
      <c r="A101" s="153">
        <f t="shared" si="2"/>
        <v>100</v>
      </c>
      <c r="B101" s="154"/>
      <c r="C101" s="154" t="s">
        <v>208</v>
      </c>
      <c r="D101" s="154" t="s">
        <v>208</v>
      </c>
      <c r="E101" s="154" t="s">
        <v>208</v>
      </c>
      <c r="F101" s="154" t="s">
        <v>208</v>
      </c>
      <c r="G101" s="154" t="s">
        <v>208</v>
      </c>
      <c r="H101" s="155"/>
      <c r="I101" s="155"/>
      <c r="J101" s="155"/>
      <c r="K101" s="158" t="s">
        <v>215</v>
      </c>
    </row>
    <row r="102">
      <c r="A102" s="153">
        <f t="shared" si="2"/>
        <v>101</v>
      </c>
      <c r="B102" s="154"/>
      <c r="C102" s="154" t="s">
        <v>208</v>
      </c>
      <c r="D102" s="154" t="s">
        <v>208</v>
      </c>
      <c r="E102" s="154" t="s">
        <v>208</v>
      </c>
      <c r="F102" s="154" t="s">
        <v>208</v>
      </c>
      <c r="G102" s="154" t="s">
        <v>208</v>
      </c>
      <c r="H102" s="155"/>
      <c r="I102" s="155"/>
      <c r="J102" s="155"/>
      <c r="K102" s="158" t="s">
        <v>215</v>
      </c>
    </row>
    <row r="103">
      <c r="A103" s="153">
        <f t="shared" si="2"/>
        <v>102</v>
      </c>
      <c r="B103" s="154"/>
      <c r="C103" s="154" t="s">
        <v>208</v>
      </c>
      <c r="D103" s="154" t="s">
        <v>208</v>
      </c>
      <c r="E103" s="154" t="s">
        <v>208</v>
      </c>
      <c r="F103" s="154" t="s">
        <v>208</v>
      </c>
      <c r="G103" s="154" t="s">
        <v>208</v>
      </c>
      <c r="H103" s="155"/>
      <c r="I103" s="155"/>
      <c r="J103" s="155"/>
      <c r="K103" s="158" t="s">
        <v>215</v>
      </c>
    </row>
    <row r="104">
      <c r="A104" s="153">
        <f t="shared" si="2"/>
        <v>103</v>
      </c>
      <c r="B104" s="154"/>
      <c r="C104" s="154" t="s">
        <v>208</v>
      </c>
      <c r="D104" s="154" t="s">
        <v>208</v>
      </c>
      <c r="E104" s="154" t="s">
        <v>208</v>
      </c>
      <c r="F104" s="154" t="s">
        <v>208</v>
      </c>
      <c r="G104" s="154" t="s">
        <v>208</v>
      </c>
      <c r="H104" s="155"/>
      <c r="I104" s="155"/>
      <c r="J104" s="155"/>
      <c r="K104" s="158" t="s">
        <v>215</v>
      </c>
    </row>
    <row r="105">
      <c r="A105" s="153">
        <f t="shared" si="2"/>
        <v>104</v>
      </c>
      <c r="B105" s="154"/>
      <c r="C105" s="154" t="s">
        <v>208</v>
      </c>
      <c r="D105" s="154" t="s">
        <v>208</v>
      </c>
      <c r="E105" s="154" t="s">
        <v>208</v>
      </c>
      <c r="F105" s="154" t="s">
        <v>208</v>
      </c>
      <c r="G105" s="154" t="s">
        <v>208</v>
      </c>
      <c r="H105" s="155"/>
      <c r="I105" s="155"/>
      <c r="J105" s="155"/>
      <c r="K105" s="158" t="s">
        <v>215</v>
      </c>
    </row>
    <row r="106">
      <c r="A106" s="177">
        <f t="shared" si="2"/>
        <v>105</v>
      </c>
      <c r="B106" s="154"/>
      <c r="C106" s="154"/>
      <c r="D106" s="154" t="s">
        <v>208</v>
      </c>
      <c r="E106" s="154" t="s">
        <v>208</v>
      </c>
      <c r="F106" s="154" t="s">
        <v>208</v>
      </c>
      <c r="G106" s="154"/>
      <c r="H106" s="154" t="s">
        <v>208</v>
      </c>
      <c r="I106" s="155"/>
      <c r="J106" s="155"/>
      <c r="K106" s="158" t="s">
        <v>215</v>
      </c>
    </row>
    <row r="107">
      <c r="A107" s="153">
        <f t="shared" si="2"/>
        <v>106</v>
      </c>
      <c r="B107" s="154"/>
      <c r="C107" s="154" t="s">
        <v>208</v>
      </c>
      <c r="D107" s="154" t="s">
        <v>208</v>
      </c>
      <c r="E107" s="154" t="s">
        <v>208</v>
      </c>
      <c r="F107" s="154" t="s">
        <v>208</v>
      </c>
      <c r="G107" s="154" t="s">
        <v>208</v>
      </c>
      <c r="H107" s="155"/>
      <c r="I107" s="155"/>
      <c r="J107" s="155"/>
      <c r="K107" s="158" t="s">
        <v>215</v>
      </c>
    </row>
    <row r="108">
      <c r="A108" s="153">
        <f t="shared" si="2"/>
        <v>107</v>
      </c>
      <c r="B108" s="154"/>
      <c r="C108" s="154" t="s">
        <v>208</v>
      </c>
      <c r="D108" s="154" t="s">
        <v>208</v>
      </c>
      <c r="E108" s="154" t="s">
        <v>208</v>
      </c>
      <c r="F108" s="154" t="s">
        <v>208</v>
      </c>
      <c r="G108" s="154" t="s">
        <v>208</v>
      </c>
      <c r="H108" s="155"/>
      <c r="I108" s="155"/>
      <c r="J108" s="155"/>
      <c r="K108" s="158" t="s">
        <v>215</v>
      </c>
    </row>
    <row r="109">
      <c r="A109" s="153">
        <f t="shared" si="2"/>
        <v>108</v>
      </c>
      <c r="B109" s="154"/>
      <c r="C109" s="154" t="s">
        <v>208</v>
      </c>
      <c r="D109" s="154" t="s">
        <v>208</v>
      </c>
      <c r="E109" s="154" t="s">
        <v>208</v>
      </c>
      <c r="F109" s="154" t="s">
        <v>208</v>
      </c>
      <c r="G109" s="154" t="s">
        <v>208</v>
      </c>
      <c r="H109" s="155"/>
      <c r="I109" s="155"/>
      <c r="J109" s="155"/>
      <c r="K109" s="158" t="s">
        <v>215</v>
      </c>
    </row>
    <row r="110">
      <c r="A110" s="153">
        <f t="shared" si="2"/>
        <v>109</v>
      </c>
      <c r="B110" s="154"/>
      <c r="C110" s="154" t="s">
        <v>208</v>
      </c>
      <c r="D110" s="154" t="s">
        <v>208</v>
      </c>
      <c r="E110" s="154" t="s">
        <v>208</v>
      </c>
      <c r="F110" s="154" t="s">
        <v>208</v>
      </c>
      <c r="G110" s="154" t="s">
        <v>208</v>
      </c>
      <c r="H110" s="155"/>
      <c r="I110" s="155"/>
      <c r="J110" s="155"/>
      <c r="K110" s="158" t="s">
        <v>215</v>
      </c>
    </row>
    <row r="111">
      <c r="A111" s="153">
        <f t="shared" si="2"/>
        <v>110</v>
      </c>
      <c r="B111" s="154"/>
      <c r="C111" s="154"/>
      <c r="D111" s="154"/>
      <c r="E111" s="154"/>
      <c r="F111" s="154"/>
      <c r="G111" s="154"/>
      <c r="H111" s="155"/>
      <c r="I111" s="155"/>
      <c r="J111" s="154" t="s">
        <v>217</v>
      </c>
      <c r="K111" s="158" t="s">
        <v>215</v>
      </c>
    </row>
    <row r="112">
      <c r="A112" s="153">
        <f t="shared" si="2"/>
        <v>111</v>
      </c>
      <c r="B112" s="154"/>
      <c r="C112" s="154" t="s">
        <v>208</v>
      </c>
      <c r="D112" s="154" t="s">
        <v>208</v>
      </c>
      <c r="E112" s="154" t="s">
        <v>208</v>
      </c>
      <c r="F112" s="154" t="s">
        <v>208</v>
      </c>
      <c r="G112" s="154" t="s">
        <v>208</v>
      </c>
      <c r="H112" s="155"/>
      <c r="I112" s="155"/>
      <c r="J112" s="155"/>
      <c r="K112" s="158" t="s">
        <v>215</v>
      </c>
    </row>
    <row r="113">
      <c r="A113" s="153">
        <f t="shared" si="2"/>
        <v>112</v>
      </c>
      <c r="B113" s="154"/>
      <c r="C113" s="154" t="s">
        <v>208</v>
      </c>
      <c r="D113" s="154" t="s">
        <v>208</v>
      </c>
      <c r="E113" s="154" t="s">
        <v>208</v>
      </c>
      <c r="F113" s="154" t="s">
        <v>208</v>
      </c>
      <c r="G113" s="154" t="s">
        <v>208</v>
      </c>
      <c r="H113" s="155"/>
      <c r="I113" s="155"/>
      <c r="J113" s="155"/>
      <c r="K113" s="158" t="s">
        <v>215</v>
      </c>
    </row>
    <row r="114">
      <c r="A114" s="153">
        <f t="shared" si="2"/>
        <v>113</v>
      </c>
      <c r="B114" s="154"/>
      <c r="C114" s="154" t="s">
        <v>208</v>
      </c>
      <c r="D114" s="154" t="s">
        <v>208</v>
      </c>
      <c r="E114" s="154" t="s">
        <v>208</v>
      </c>
      <c r="F114" s="154" t="s">
        <v>208</v>
      </c>
      <c r="G114" s="154" t="s">
        <v>208</v>
      </c>
      <c r="H114" s="155"/>
      <c r="I114" s="155"/>
      <c r="J114" s="155"/>
      <c r="K114" s="158" t="s">
        <v>215</v>
      </c>
    </row>
    <row r="115">
      <c r="A115" s="153">
        <f t="shared" si="2"/>
        <v>114</v>
      </c>
      <c r="B115" s="154"/>
      <c r="C115" s="154" t="s">
        <v>208</v>
      </c>
      <c r="D115" s="154" t="s">
        <v>208</v>
      </c>
      <c r="E115" s="154" t="s">
        <v>208</v>
      </c>
      <c r="F115" s="154" t="s">
        <v>208</v>
      </c>
      <c r="G115" s="154" t="s">
        <v>208</v>
      </c>
      <c r="H115" s="155"/>
      <c r="I115" s="155"/>
      <c r="J115" s="155"/>
      <c r="K115" s="158" t="s">
        <v>215</v>
      </c>
    </row>
    <row r="116">
      <c r="A116" s="153">
        <f t="shared" si="2"/>
        <v>115</v>
      </c>
      <c r="B116" s="154"/>
      <c r="C116" s="154" t="s">
        <v>208</v>
      </c>
      <c r="D116" s="154" t="s">
        <v>208</v>
      </c>
      <c r="E116" s="154" t="s">
        <v>208</v>
      </c>
      <c r="F116" s="154" t="s">
        <v>208</v>
      </c>
      <c r="G116" s="154" t="s">
        <v>208</v>
      </c>
      <c r="H116" s="155"/>
      <c r="I116" s="155"/>
      <c r="J116" s="155"/>
      <c r="K116" s="158" t="s">
        <v>215</v>
      </c>
    </row>
    <row r="117">
      <c r="A117" s="153">
        <f t="shared" si="2"/>
        <v>116</v>
      </c>
      <c r="B117" s="154"/>
      <c r="C117" s="154" t="s">
        <v>208</v>
      </c>
      <c r="D117" s="154" t="s">
        <v>208</v>
      </c>
      <c r="E117" s="154" t="s">
        <v>208</v>
      </c>
      <c r="F117" s="154" t="s">
        <v>208</v>
      </c>
      <c r="G117" s="154" t="s">
        <v>208</v>
      </c>
      <c r="H117" s="155"/>
      <c r="I117" s="155"/>
      <c r="J117" s="155"/>
      <c r="K117" s="158" t="s">
        <v>215</v>
      </c>
    </row>
    <row r="118">
      <c r="A118" s="153">
        <f t="shared" si="2"/>
        <v>117</v>
      </c>
      <c r="B118" s="155"/>
      <c r="C118" s="154" t="s">
        <v>208</v>
      </c>
      <c r="D118" s="154" t="s">
        <v>208</v>
      </c>
      <c r="E118" s="154" t="s">
        <v>208</v>
      </c>
      <c r="F118" s="154" t="s">
        <v>208</v>
      </c>
      <c r="G118" s="154" t="s">
        <v>208</v>
      </c>
      <c r="H118" s="155"/>
      <c r="I118" s="155"/>
      <c r="J118" s="155"/>
      <c r="K118" s="158" t="s">
        <v>215</v>
      </c>
    </row>
    <row r="119">
      <c r="A119" s="153">
        <f t="shared" si="2"/>
        <v>118</v>
      </c>
      <c r="B119" s="154"/>
      <c r="C119" s="154" t="s">
        <v>208</v>
      </c>
      <c r="D119" s="154" t="s">
        <v>208</v>
      </c>
      <c r="E119" s="154" t="s">
        <v>208</v>
      </c>
      <c r="F119" s="154" t="s">
        <v>208</v>
      </c>
      <c r="G119" s="154" t="s">
        <v>208</v>
      </c>
      <c r="H119" s="155"/>
      <c r="I119" s="155"/>
      <c r="J119" s="155"/>
      <c r="K119" s="158" t="s">
        <v>215</v>
      </c>
    </row>
    <row r="120">
      <c r="A120" s="153">
        <f t="shared" si="2"/>
        <v>119</v>
      </c>
      <c r="B120" s="154"/>
      <c r="C120" s="154" t="s">
        <v>208</v>
      </c>
      <c r="D120" s="154" t="s">
        <v>208</v>
      </c>
      <c r="E120" s="154" t="s">
        <v>208</v>
      </c>
      <c r="F120" s="154" t="s">
        <v>208</v>
      </c>
      <c r="G120" s="154" t="s">
        <v>208</v>
      </c>
      <c r="H120" s="155"/>
      <c r="I120" s="155"/>
      <c r="J120" s="155"/>
      <c r="K120" s="158" t="s">
        <v>215</v>
      </c>
    </row>
    <row r="121">
      <c r="A121" s="153">
        <f t="shared" si="2"/>
        <v>120</v>
      </c>
      <c r="B121" s="154"/>
      <c r="C121" s="154" t="s">
        <v>208</v>
      </c>
      <c r="D121" s="154" t="s">
        <v>208</v>
      </c>
      <c r="E121" s="154" t="s">
        <v>208</v>
      </c>
      <c r="F121" s="154" t="s">
        <v>208</v>
      </c>
      <c r="G121" s="154" t="s">
        <v>208</v>
      </c>
      <c r="H121" s="155"/>
      <c r="I121" s="155"/>
      <c r="J121" s="155"/>
      <c r="K121" s="158" t="s">
        <v>215</v>
      </c>
    </row>
    <row r="122">
      <c r="A122" s="177">
        <f t="shared" si="2"/>
        <v>121</v>
      </c>
      <c r="B122" s="154"/>
      <c r="C122" s="154"/>
      <c r="D122" s="154" t="s">
        <v>208</v>
      </c>
      <c r="E122" s="154" t="s">
        <v>208</v>
      </c>
      <c r="F122" s="154" t="s">
        <v>208</v>
      </c>
      <c r="G122" s="155"/>
      <c r="H122" s="154" t="s">
        <v>208</v>
      </c>
      <c r="I122" s="155"/>
      <c r="J122" s="154"/>
      <c r="K122" s="158" t="s">
        <v>215</v>
      </c>
    </row>
    <row r="123">
      <c r="A123" s="177">
        <f t="shared" si="2"/>
        <v>122</v>
      </c>
      <c r="B123" s="154"/>
      <c r="C123" s="154"/>
      <c r="D123" s="154" t="s">
        <v>208</v>
      </c>
      <c r="E123" s="154" t="s">
        <v>208</v>
      </c>
      <c r="F123" s="154" t="s">
        <v>208</v>
      </c>
      <c r="G123" s="155"/>
      <c r="H123" s="154" t="s">
        <v>208</v>
      </c>
      <c r="I123" s="155"/>
      <c r="J123" s="154"/>
      <c r="K123" s="158" t="s">
        <v>215</v>
      </c>
    </row>
    <row r="124">
      <c r="A124" s="153">
        <f t="shared" si="2"/>
        <v>123</v>
      </c>
      <c r="B124" s="154"/>
      <c r="C124" s="154" t="s">
        <v>208</v>
      </c>
      <c r="D124" s="154" t="s">
        <v>208</v>
      </c>
      <c r="E124" s="154" t="s">
        <v>208</v>
      </c>
      <c r="F124" s="154" t="s">
        <v>208</v>
      </c>
      <c r="G124" s="154" t="s">
        <v>208</v>
      </c>
      <c r="H124" s="155"/>
      <c r="I124" s="155"/>
      <c r="J124" s="155"/>
      <c r="K124" s="158" t="s">
        <v>215</v>
      </c>
    </row>
    <row r="125">
      <c r="A125" s="153">
        <f t="shared" si="2"/>
        <v>124</v>
      </c>
      <c r="B125" s="154"/>
      <c r="C125" s="154" t="s">
        <v>208</v>
      </c>
      <c r="D125" s="154" t="s">
        <v>208</v>
      </c>
      <c r="E125" s="154" t="s">
        <v>208</v>
      </c>
      <c r="F125" s="154" t="s">
        <v>208</v>
      </c>
      <c r="G125" s="154" t="s">
        <v>208</v>
      </c>
      <c r="H125" s="155"/>
      <c r="I125" s="155"/>
      <c r="J125" s="155"/>
      <c r="K125" s="158" t="s">
        <v>215</v>
      </c>
    </row>
    <row r="126">
      <c r="A126" s="153">
        <f t="shared" si="2"/>
        <v>125</v>
      </c>
      <c r="B126" s="154"/>
      <c r="C126" s="154" t="s">
        <v>208</v>
      </c>
      <c r="D126" s="154" t="s">
        <v>208</v>
      </c>
      <c r="E126" s="154" t="s">
        <v>208</v>
      </c>
      <c r="F126" s="154" t="s">
        <v>208</v>
      </c>
      <c r="G126" s="154" t="s">
        <v>208</v>
      </c>
      <c r="H126" s="155"/>
      <c r="I126" s="155"/>
      <c r="J126" s="155"/>
      <c r="K126" s="158" t="s">
        <v>215</v>
      </c>
    </row>
    <row r="127">
      <c r="A127" s="153">
        <f t="shared" si="2"/>
        <v>126</v>
      </c>
      <c r="B127" s="154"/>
      <c r="C127" s="154" t="s">
        <v>208</v>
      </c>
      <c r="D127" s="154" t="s">
        <v>208</v>
      </c>
      <c r="E127" s="154" t="s">
        <v>208</v>
      </c>
      <c r="F127" s="154" t="s">
        <v>208</v>
      </c>
      <c r="G127" s="154" t="s">
        <v>208</v>
      </c>
      <c r="H127" s="155"/>
      <c r="I127" s="155"/>
      <c r="J127" s="155"/>
      <c r="K127" s="158" t="s">
        <v>215</v>
      </c>
    </row>
    <row r="128">
      <c r="A128" s="153">
        <f t="shared" si="2"/>
        <v>127</v>
      </c>
      <c r="B128" s="154"/>
      <c r="C128" s="154" t="s">
        <v>208</v>
      </c>
      <c r="D128" s="154" t="s">
        <v>208</v>
      </c>
      <c r="E128" s="154" t="s">
        <v>208</v>
      </c>
      <c r="F128" s="154" t="s">
        <v>208</v>
      </c>
      <c r="G128" s="154" t="s">
        <v>208</v>
      </c>
      <c r="H128" s="155"/>
      <c r="I128" s="155"/>
      <c r="J128" s="155"/>
      <c r="K128" s="158" t="s">
        <v>215</v>
      </c>
    </row>
    <row r="129">
      <c r="A129" s="153">
        <f t="shared" si="2"/>
        <v>128</v>
      </c>
      <c r="B129" s="154"/>
      <c r="C129" s="154" t="s">
        <v>208</v>
      </c>
      <c r="D129" s="154" t="s">
        <v>208</v>
      </c>
      <c r="E129" s="154" t="s">
        <v>208</v>
      </c>
      <c r="F129" s="154" t="s">
        <v>208</v>
      </c>
      <c r="G129" s="154" t="s">
        <v>208</v>
      </c>
      <c r="H129" s="155"/>
      <c r="I129" s="155"/>
      <c r="J129" s="155"/>
      <c r="K129" s="158" t="s">
        <v>215</v>
      </c>
    </row>
    <row r="130">
      <c r="A130" s="153">
        <f t="shared" si="2"/>
        <v>129</v>
      </c>
      <c r="B130" s="154"/>
      <c r="C130" s="154" t="s">
        <v>208</v>
      </c>
      <c r="D130" s="154" t="s">
        <v>208</v>
      </c>
      <c r="E130" s="154" t="s">
        <v>208</v>
      </c>
      <c r="F130" s="154" t="s">
        <v>208</v>
      </c>
      <c r="G130" s="154" t="s">
        <v>208</v>
      </c>
      <c r="H130" s="155"/>
      <c r="I130" s="155"/>
      <c r="J130" s="154"/>
      <c r="K130" s="158" t="s">
        <v>215</v>
      </c>
    </row>
    <row r="131">
      <c r="A131" s="153">
        <f t="shared" si="2"/>
        <v>130</v>
      </c>
      <c r="B131" s="154"/>
      <c r="C131" s="154" t="s">
        <v>208</v>
      </c>
      <c r="D131" s="154" t="s">
        <v>208</v>
      </c>
      <c r="E131" s="154" t="s">
        <v>208</v>
      </c>
      <c r="F131" s="154" t="s">
        <v>208</v>
      </c>
      <c r="G131" s="154" t="s">
        <v>208</v>
      </c>
      <c r="H131" s="155"/>
      <c r="I131" s="155"/>
      <c r="J131" s="155"/>
      <c r="K131" s="158" t="s">
        <v>215</v>
      </c>
    </row>
    <row r="132">
      <c r="A132" s="153">
        <f t="shared" si="2"/>
        <v>131</v>
      </c>
      <c r="B132" s="154"/>
      <c r="C132" s="154" t="s">
        <v>208</v>
      </c>
      <c r="D132" s="154" t="s">
        <v>208</v>
      </c>
      <c r="E132" s="154" t="s">
        <v>208</v>
      </c>
      <c r="F132" s="154"/>
      <c r="G132" s="154" t="s">
        <v>208</v>
      </c>
      <c r="H132" s="155"/>
      <c r="I132" s="155"/>
      <c r="J132" s="155"/>
      <c r="K132" s="158" t="s">
        <v>215</v>
      </c>
    </row>
    <row r="133">
      <c r="A133" s="153">
        <f t="shared" si="2"/>
        <v>132</v>
      </c>
      <c r="B133" s="154"/>
      <c r="C133" s="154" t="s">
        <v>208</v>
      </c>
      <c r="D133" s="154" t="s">
        <v>208</v>
      </c>
      <c r="E133" s="154" t="s">
        <v>208</v>
      </c>
      <c r="F133" s="154" t="s">
        <v>208</v>
      </c>
      <c r="G133" s="154" t="s">
        <v>208</v>
      </c>
      <c r="H133" s="155"/>
      <c r="I133" s="155"/>
      <c r="J133" s="155"/>
      <c r="K133" s="158" t="s">
        <v>215</v>
      </c>
    </row>
    <row r="134">
      <c r="A134" s="153">
        <f t="shared" si="2"/>
        <v>133</v>
      </c>
      <c r="B134" s="154"/>
      <c r="C134" s="154" t="s">
        <v>208</v>
      </c>
      <c r="D134" s="154" t="s">
        <v>208</v>
      </c>
      <c r="E134" s="154" t="s">
        <v>208</v>
      </c>
      <c r="F134" s="154" t="s">
        <v>208</v>
      </c>
      <c r="G134" s="154" t="s">
        <v>208</v>
      </c>
      <c r="H134" s="155"/>
      <c r="I134" s="155"/>
      <c r="J134" s="155"/>
      <c r="K134" s="158" t="s">
        <v>215</v>
      </c>
    </row>
    <row r="135">
      <c r="A135" s="153">
        <f t="shared" si="2"/>
        <v>134</v>
      </c>
      <c r="B135" s="154"/>
      <c r="C135" s="154" t="s">
        <v>208</v>
      </c>
      <c r="D135" s="154" t="s">
        <v>208</v>
      </c>
      <c r="E135" s="154" t="s">
        <v>208</v>
      </c>
      <c r="F135" s="154" t="s">
        <v>208</v>
      </c>
      <c r="G135" s="154" t="s">
        <v>208</v>
      </c>
      <c r="H135" s="155"/>
      <c r="I135" s="155"/>
      <c r="J135" s="155"/>
      <c r="K135" s="158" t="s">
        <v>215</v>
      </c>
    </row>
    <row r="136">
      <c r="A136" s="153">
        <f t="shared" si="2"/>
        <v>135</v>
      </c>
      <c r="B136" s="154"/>
      <c r="C136" s="154" t="s">
        <v>208</v>
      </c>
      <c r="D136" s="154" t="s">
        <v>208</v>
      </c>
      <c r="E136" s="154" t="s">
        <v>208</v>
      </c>
      <c r="F136" s="154" t="s">
        <v>208</v>
      </c>
      <c r="G136" s="154" t="s">
        <v>208</v>
      </c>
      <c r="H136" s="155"/>
      <c r="I136" s="155"/>
      <c r="J136" s="155"/>
      <c r="K136" s="158" t="s">
        <v>215</v>
      </c>
    </row>
    <row r="137">
      <c r="A137" s="177">
        <f t="shared" si="2"/>
        <v>136</v>
      </c>
      <c r="B137" s="154"/>
      <c r="C137" s="154"/>
      <c r="D137" s="154" t="s">
        <v>208</v>
      </c>
      <c r="E137" s="154" t="s">
        <v>208</v>
      </c>
      <c r="F137" s="154" t="s">
        <v>208</v>
      </c>
      <c r="G137" s="154"/>
      <c r="H137" s="154" t="s">
        <v>208</v>
      </c>
      <c r="I137" s="155"/>
      <c r="J137" s="155"/>
      <c r="K137" s="158" t="s">
        <v>215</v>
      </c>
    </row>
    <row r="138">
      <c r="A138" s="177">
        <f t="shared" si="2"/>
        <v>137</v>
      </c>
      <c r="B138" s="154"/>
      <c r="C138" s="154"/>
      <c r="D138" s="154" t="s">
        <v>208</v>
      </c>
      <c r="E138" s="154" t="s">
        <v>208</v>
      </c>
      <c r="F138" s="154" t="s">
        <v>208</v>
      </c>
      <c r="G138" s="154"/>
      <c r="H138" s="154" t="s">
        <v>208</v>
      </c>
      <c r="I138" s="155"/>
      <c r="J138" s="155"/>
      <c r="K138" s="158" t="s">
        <v>215</v>
      </c>
    </row>
    <row r="139">
      <c r="A139" s="153">
        <f t="shared" si="2"/>
        <v>138</v>
      </c>
      <c r="B139" s="154"/>
      <c r="C139" s="154" t="s">
        <v>208</v>
      </c>
      <c r="D139" s="154" t="s">
        <v>208</v>
      </c>
      <c r="E139" s="154" t="s">
        <v>208</v>
      </c>
      <c r="F139" s="154" t="s">
        <v>208</v>
      </c>
      <c r="G139" s="154" t="s">
        <v>208</v>
      </c>
      <c r="H139" s="155"/>
      <c r="I139" s="155"/>
      <c r="J139" s="155"/>
      <c r="K139" s="158" t="s">
        <v>215</v>
      </c>
    </row>
    <row r="140">
      <c r="A140" s="153">
        <f t="shared" si="2"/>
        <v>139</v>
      </c>
      <c r="B140" s="154"/>
      <c r="C140" s="154" t="s">
        <v>208</v>
      </c>
      <c r="D140" s="154" t="s">
        <v>208</v>
      </c>
      <c r="E140" s="154" t="s">
        <v>208</v>
      </c>
      <c r="F140" s="154" t="s">
        <v>208</v>
      </c>
      <c r="G140" s="154" t="s">
        <v>208</v>
      </c>
      <c r="H140" s="155"/>
      <c r="I140" s="155"/>
      <c r="J140" s="155"/>
      <c r="K140" s="158" t="s">
        <v>215</v>
      </c>
    </row>
    <row r="141">
      <c r="A141" s="153">
        <f t="shared" si="2"/>
        <v>140</v>
      </c>
      <c r="B141" s="154"/>
      <c r="C141" s="154" t="s">
        <v>208</v>
      </c>
      <c r="D141" s="154" t="s">
        <v>208</v>
      </c>
      <c r="E141" s="154" t="s">
        <v>208</v>
      </c>
      <c r="F141" s="154" t="s">
        <v>208</v>
      </c>
      <c r="G141" s="154" t="s">
        <v>208</v>
      </c>
      <c r="H141" s="155"/>
      <c r="I141" s="155"/>
      <c r="J141" s="155"/>
      <c r="K141" s="158" t="s">
        <v>215</v>
      </c>
    </row>
    <row r="142">
      <c r="A142" s="153">
        <f t="shared" si="2"/>
        <v>141</v>
      </c>
      <c r="B142" s="154"/>
      <c r="C142" s="154" t="s">
        <v>208</v>
      </c>
      <c r="D142" s="154" t="s">
        <v>208</v>
      </c>
      <c r="E142" s="154" t="s">
        <v>208</v>
      </c>
      <c r="F142" s="154" t="s">
        <v>208</v>
      </c>
      <c r="G142" s="154" t="s">
        <v>208</v>
      </c>
      <c r="H142" s="155"/>
      <c r="I142" s="155"/>
      <c r="J142" s="155"/>
      <c r="K142" s="158" t="s">
        <v>215</v>
      </c>
    </row>
    <row r="143">
      <c r="A143" s="153">
        <f t="shared" si="2"/>
        <v>142</v>
      </c>
      <c r="B143" s="154"/>
      <c r="C143" s="154" t="s">
        <v>208</v>
      </c>
      <c r="D143" s="154" t="s">
        <v>208</v>
      </c>
      <c r="E143" s="154" t="s">
        <v>208</v>
      </c>
      <c r="F143" s="154" t="s">
        <v>208</v>
      </c>
      <c r="G143" s="154" t="s">
        <v>208</v>
      </c>
      <c r="H143" s="155"/>
      <c r="I143" s="155"/>
      <c r="J143" s="155"/>
      <c r="K143" s="158" t="s">
        <v>215</v>
      </c>
    </row>
    <row r="144">
      <c r="A144" s="153">
        <f t="shared" si="2"/>
        <v>143</v>
      </c>
      <c r="B144" s="154"/>
      <c r="C144" s="154" t="s">
        <v>208</v>
      </c>
      <c r="D144" s="154" t="s">
        <v>208</v>
      </c>
      <c r="E144" s="154" t="s">
        <v>208</v>
      </c>
      <c r="F144" s="154" t="s">
        <v>208</v>
      </c>
      <c r="G144" s="154" t="s">
        <v>208</v>
      </c>
      <c r="H144" s="155"/>
      <c r="I144" s="155"/>
      <c r="J144" s="155"/>
      <c r="K144" s="158" t="s">
        <v>215</v>
      </c>
    </row>
    <row r="145">
      <c r="A145" s="153">
        <f t="shared" si="2"/>
        <v>144</v>
      </c>
      <c r="B145" s="154"/>
      <c r="C145" s="154" t="s">
        <v>208</v>
      </c>
      <c r="D145" s="154" t="s">
        <v>208</v>
      </c>
      <c r="E145" s="154" t="s">
        <v>208</v>
      </c>
      <c r="F145" s="154" t="s">
        <v>208</v>
      </c>
      <c r="G145" s="154" t="s">
        <v>208</v>
      </c>
      <c r="H145" s="155"/>
      <c r="I145" s="155"/>
      <c r="J145" s="155"/>
      <c r="K145" s="158" t="s">
        <v>215</v>
      </c>
    </row>
    <row r="146">
      <c r="A146" s="153">
        <f t="shared" si="2"/>
        <v>145</v>
      </c>
      <c r="B146" s="154"/>
      <c r="C146" s="154" t="s">
        <v>208</v>
      </c>
      <c r="D146" s="154" t="s">
        <v>208</v>
      </c>
      <c r="E146" s="154" t="s">
        <v>208</v>
      </c>
      <c r="F146" s="154" t="s">
        <v>208</v>
      </c>
      <c r="G146" s="154" t="s">
        <v>208</v>
      </c>
      <c r="H146" s="155"/>
      <c r="I146" s="155"/>
      <c r="J146" s="155"/>
      <c r="K146" s="158" t="s">
        <v>215</v>
      </c>
    </row>
    <row r="147">
      <c r="A147" s="153">
        <f t="shared" si="2"/>
        <v>146</v>
      </c>
      <c r="B147" s="154"/>
      <c r="C147" s="154"/>
      <c r="D147" s="154"/>
      <c r="E147" s="154"/>
      <c r="F147" s="154"/>
      <c r="G147" s="154"/>
      <c r="H147" s="155"/>
      <c r="I147" s="155"/>
      <c r="J147" s="154" t="s">
        <v>217</v>
      </c>
      <c r="K147" s="158" t="s">
        <v>215</v>
      </c>
    </row>
    <row r="148">
      <c r="A148" s="153">
        <f t="shared" si="2"/>
        <v>147</v>
      </c>
      <c r="B148" s="154"/>
      <c r="C148" s="154"/>
      <c r="D148" s="154"/>
      <c r="E148" s="154"/>
      <c r="F148" s="154"/>
      <c r="G148" s="155"/>
      <c r="H148" s="155"/>
      <c r="I148" s="155"/>
      <c r="J148" s="154" t="s">
        <v>217</v>
      </c>
      <c r="K148" s="158" t="s">
        <v>215</v>
      </c>
    </row>
    <row r="149">
      <c r="A149" s="153">
        <f t="shared" si="2"/>
        <v>148</v>
      </c>
      <c r="B149" s="154"/>
      <c r="C149" s="154" t="s">
        <v>208</v>
      </c>
      <c r="D149" s="154" t="s">
        <v>208</v>
      </c>
      <c r="E149" s="154" t="s">
        <v>208</v>
      </c>
      <c r="F149" s="154" t="s">
        <v>208</v>
      </c>
      <c r="G149" s="154" t="s">
        <v>208</v>
      </c>
      <c r="H149" s="155"/>
      <c r="I149" s="155"/>
      <c r="J149" s="155"/>
      <c r="K149" s="158" t="s">
        <v>215</v>
      </c>
    </row>
    <row r="150">
      <c r="A150" s="153">
        <f t="shared" si="2"/>
        <v>149</v>
      </c>
      <c r="B150" s="154"/>
      <c r="C150" s="154"/>
      <c r="D150" s="154"/>
      <c r="E150" s="154"/>
      <c r="F150" s="154"/>
      <c r="G150" s="154"/>
      <c r="H150" s="155"/>
      <c r="I150" s="155"/>
      <c r="J150" s="154" t="s">
        <v>217</v>
      </c>
      <c r="K150" s="158" t="s">
        <v>215</v>
      </c>
    </row>
    <row r="151">
      <c r="A151" s="153">
        <f t="shared" si="2"/>
        <v>150</v>
      </c>
      <c r="B151" s="154"/>
      <c r="C151" s="154" t="s">
        <v>208</v>
      </c>
      <c r="D151" s="154" t="s">
        <v>208</v>
      </c>
      <c r="E151" s="154" t="s">
        <v>208</v>
      </c>
      <c r="F151" s="154" t="s">
        <v>208</v>
      </c>
      <c r="G151" s="154" t="s">
        <v>208</v>
      </c>
      <c r="H151" s="155"/>
      <c r="I151" s="155"/>
      <c r="J151" s="155"/>
      <c r="K151" s="158" t="s">
        <v>215</v>
      </c>
    </row>
    <row r="152">
      <c r="A152" s="153">
        <f t="shared" si="2"/>
        <v>151</v>
      </c>
      <c r="B152" s="154"/>
      <c r="C152" s="154" t="s">
        <v>208</v>
      </c>
      <c r="D152" s="154" t="s">
        <v>208</v>
      </c>
      <c r="E152" s="154" t="s">
        <v>208</v>
      </c>
      <c r="F152" s="154" t="s">
        <v>208</v>
      </c>
      <c r="G152" s="154" t="s">
        <v>208</v>
      </c>
      <c r="H152" s="155"/>
      <c r="I152" s="155"/>
      <c r="J152" s="155"/>
      <c r="K152" s="158" t="s">
        <v>215</v>
      </c>
    </row>
    <row r="153">
      <c r="A153" s="153">
        <f t="shared" si="2"/>
        <v>152</v>
      </c>
      <c r="B153" s="154"/>
      <c r="C153" s="154" t="s">
        <v>208</v>
      </c>
      <c r="D153" s="154" t="s">
        <v>208</v>
      </c>
      <c r="E153" s="154" t="s">
        <v>208</v>
      </c>
      <c r="F153" s="154" t="s">
        <v>208</v>
      </c>
      <c r="G153" s="154" t="s">
        <v>208</v>
      </c>
      <c r="H153" s="155"/>
      <c r="I153" s="155"/>
      <c r="J153" s="155"/>
      <c r="K153" s="158" t="s">
        <v>215</v>
      </c>
    </row>
    <row r="154">
      <c r="A154" s="153">
        <f t="shared" si="2"/>
        <v>153</v>
      </c>
      <c r="B154" s="154"/>
      <c r="C154" s="154" t="s">
        <v>208</v>
      </c>
      <c r="D154" s="154" t="s">
        <v>208</v>
      </c>
      <c r="E154" s="154" t="s">
        <v>208</v>
      </c>
      <c r="F154" s="154" t="s">
        <v>208</v>
      </c>
      <c r="G154" s="154" t="s">
        <v>208</v>
      </c>
      <c r="H154" s="155"/>
      <c r="I154" s="155"/>
      <c r="J154" s="155"/>
      <c r="K154" s="158" t="s">
        <v>215</v>
      </c>
    </row>
    <row r="155">
      <c r="A155" s="153">
        <f t="shared" si="2"/>
        <v>154</v>
      </c>
      <c r="B155" s="154"/>
      <c r="C155" s="154" t="s">
        <v>208</v>
      </c>
      <c r="D155" s="154" t="s">
        <v>208</v>
      </c>
      <c r="E155" s="154" t="s">
        <v>208</v>
      </c>
      <c r="F155" s="154" t="s">
        <v>208</v>
      </c>
      <c r="G155" s="154" t="s">
        <v>208</v>
      </c>
      <c r="H155" s="155"/>
      <c r="I155" s="155"/>
      <c r="J155" s="155"/>
      <c r="K155" s="158" t="s">
        <v>215</v>
      </c>
    </row>
    <row r="156">
      <c r="A156" s="153">
        <f t="shared" si="2"/>
        <v>155</v>
      </c>
      <c r="B156" s="154"/>
      <c r="C156" s="154" t="s">
        <v>208</v>
      </c>
      <c r="D156" s="154" t="s">
        <v>208</v>
      </c>
      <c r="E156" s="154" t="s">
        <v>208</v>
      </c>
      <c r="F156" s="154" t="s">
        <v>208</v>
      </c>
      <c r="G156" s="154" t="s">
        <v>208</v>
      </c>
      <c r="H156" s="155"/>
      <c r="I156" s="155"/>
      <c r="J156" s="155"/>
      <c r="K156" s="158" t="s">
        <v>215</v>
      </c>
    </row>
    <row r="157">
      <c r="A157" s="153">
        <f t="shared" si="2"/>
        <v>156</v>
      </c>
      <c r="B157" s="154"/>
      <c r="C157" s="154" t="s">
        <v>208</v>
      </c>
      <c r="D157" s="154" t="s">
        <v>208</v>
      </c>
      <c r="E157" s="154" t="s">
        <v>208</v>
      </c>
      <c r="F157" s="154" t="s">
        <v>208</v>
      </c>
      <c r="G157" s="154" t="s">
        <v>208</v>
      </c>
      <c r="H157" s="155"/>
      <c r="I157" s="155"/>
      <c r="J157" s="155"/>
      <c r="K157" s="158" t="s">
        <v>215</v>
      </c>
    </row>
    <row r="158">
      <c r="A158" s="153">
        <f t="shared" si="2"/>
        <v>157</v>
      </c>
      <c r="B158" s="155"/>
      <c r="C158" s="154" t="s">
        <v>208</v>
      </c>
      <c r="D158" s="154" t="s">
        <v>208</v>
      </c>
      <c r="E158" s="154" t="s">
        <v>208</v>
      </c>
      <c r="F158" s="154" t="s">
        <v>208</v>
      </c>
      <c r="G158" s="154" t="s">
        <v>208</v>
      </c>
      <c r="H158" s="155"/>
      <c r="I158" s="155"/>
      <c r="J158" s="155"/>
      <c r="K158" s="158" t="s">
        <v>215</v>
      </c>
    </row>
    <row r="159">
      <c r="A159" s="153">
        <f t="shared" si="2"/>
        <v>158</v>
      </c>
      <c r="B159" s="154"/>
      <c r="C159" s="154" t="s">
        <v>208</v>
      </c>
      <c r="D159" s="154" t="s">
        <v>208</v>
      </c>
      <c r="E159" s="154" t="s">
        <v>208</v>
      </c>
      <c r="F159" s="154" t="s">
        <v>208</v>
      </c>
      <c r="G159" s="154" t="s">
        <v>208</v>
      </c>
      <c r="H159" s="155"/>
      <c r="I159" s="155"/>
      <c r="J159" s="155"/>
      <c r="K159" s="158" t="s">
        <v>215</v>
      </c>
    </row>
    <row r="160">
      <c r="A160" s="153">
        <f t="shared" si="2"/>
        <v>159</v>
      </c>
      <c r="B160" s="154"/>
      <c r="C160" s="154" t="s">
        <v>208</v>
      </c>
      <c r="D160" s="154" t="s">
        <v>208</v>
      </c>
      <c r="E160" s="154" t="s">
        <v>208</v>
      </c>
      <c r="F160" s="154" t="s">
        <v>208</v>
      </c>
      <c r="G160" s="154" t="s">
        <v>208</v>
      </c>
      <c r="H160" s="155"/>
      <c r="I160" s="155"/>
      <c r="J160" s="155"/>
      <c r="K160" s="158" t="s">
        <v>215</v>
      </c>
    </row>
    <row r="161">
      <c r="A161" s="153">
        <f t="shared" si="2"/>
        <v>160</v>
      </c>
      <c r="B161" s="154"/>
      <c r="C161" s="154" t="s">
        <v>208</v>
      </c>
      <c r="D161" s="154" t="s">
        <v>208</v>
      </c>
      <c r="E161" s="154" t="s">
        <v>208</v>
      </c>
      <c r="F161" s="154" t="s">
        <v>208</v>
      </c>
      <c r="G161" s="154" t="s">
        <v>208</v>
      </c>
      <c r="H161" s="155"/>
      <c r="I161" s="155"/>
      <c r="J161" s="155"/>
      <c r="K161" s="158" t="s">
        <v>215</v>
      </c>
    </row>
    <row r="162">
      <c r="A162" s="153">
        <f t="shared" si="2"/>
        <v>161</v>
      </c>
      <c r="B162" s="154"/>
      <c r="C162" s="154" t="s">
        <v>208</v>
      </c>
      <c r="D162" s="154" t="s">
        <v>208</v>
      </c>
      <c r="E162" s="154" t="s">
        <v>208</v>
      </c>
      <c r="F162" s="154" t="s">
        <v>208</v>
      </c>
      <c r="G162" s="154" t="s">
        <v>208</v>
      </c>
      <c r="H162" s="155"/>
      <c r="I162" s="155"/>
      <c r="J162" s="155"/>
      <c r="K162" s="158" t="s">
        <v>215</v>
      </c>
    </row>
    <row r="163">
      <c r="A163" s="153">
        <f t="shared" si="2"/>
        <v>162</v>
      </c>
      <c r="B163" s="154"/>
      <c r="C163" s="154" t="s">
        <v>208</v>
      </c>
      <c r="D163" s="154" t="s">
        <v>208</v>
      </c>
      <c r="E163" s="154" t="s">
        <v>208</v>
      </c>
      <c r="F163" s="154" t="s">
        <v>208</v>
      </c>
      <c r="G163" s="154" t="s">
        <v>208</v>
      </c>
      <c r="H163" s="155"/>
      <c r="I163" s="155"/>
      <c r="J163" s="155"/>
      <c r="K163" s="158" t="s">
        <v>215</v>
      </c>
    </row>
    <row r="164">
      <c r="A164" s="153">
        <f t="shared" si="2"/>
        <v>163</v>
      </c>
      <c r="B164" s="154"/>
      <c r="C164" s="154" t="s">
        <v>208</v>
      </c>
      <c r="D164" s="154" t="s">
        <v>208</v>
      </c>
      <c r="E164" s="154" t="s">
        <v>208</v>
      </c>
      <c r="F164" s="154" t="s">
        <v>208</v>
      </c>
      <c r="G164" s="154" t="s">
        <v>208</v>
      </c>
      <c r="H164" s="155"/>
      <c r="I164" s="155"/>
      <c r="J164" s="155"/>
      <c r="K164" s="158" t="s">
        <v>215</v>
      </c>
    </row>
    <row r="165">
      <c r="A165" s="153">
        <f t="shared" si="2"/>
        <v>164</v>
      </c>
      <c r="B165" s="154"/>
      <c r="C165" s="154" t="s">
        <v>208</v>
      </c>
      <c r="D165" s="154" t="s">
        <v>208</v>
      </c>
      <c r="E165" s="154" t="s">
        <v>208</v>
      </c>
      <c r="F165" s="154" t="s">
        <v>208</v>
      </c>
      <c r="G165" s="154" t="s">
        <v>208</v>
      </c>
      <c r="H165" s="155"/>
      <c r="I165" s="155"/>
      <c r="J165" s="155"/>
      <c r="K165" s="158" t="s">
        <v>215</v>
      </c>
    </row>
    <row r="166">
      <c r="A166" s="153">
        <f t="shared" si="2"/>
        <v>165</v>
      </c>
      <c r="B166" s="154"/>
      <c r="C166" s="154"/>
      <c r="D166" s="154"/>
      <c r="E166" s="154"/>
      <c r="F166" s="154"/>
      <c r="G166" s="154"/>
      <c r="H166" s="155"/>
      <c r="I166" s="155"/>
      <c r="J166" s="154" t="s">
        <v>217</v>
      </c>
      <c r="K166" s="158" t="s">
        <v>215</v>
      </c>
    </row>
    <row r="167">
      <c r="A167" s="153">
        <f t="shared" si="2"/>
        <v>166</v>
      </c>
      <c r="B167" s="154"/>
      <c r="C167" s="154" t="s">
        <v>208</v>
      </c>
      <c r="D167" s="154" t="s">
        <v>208</v>
      </c>
      <c r="E167" s="154" t="s">
        <v>208</v>
      </c>
      <c r="F167" s="154" t="s">
        <v>208</v>
      </c>
      <c r="G167" s="154" t="s">
        <v>208</v>
      </c>
      <c r="H167" s="155"/>
      <c r="I167" s="155"/>
      <c r="J167" s="155"/>
      <c r="K167" s="158" t="s">
        <v>215</v>
      </c>
    </row>
    <row r="168">
      <c r="A168" s="153">
        <f t="shared" si="2"/>
        <v>167</v>
      </c>
      <c r="B168" s="154"/>
      <c r="C168" s="154" t="s">
        <v>208</v>
      </c>
      <c r="D168" s="154" t="s">
        <v>208</v>
      </c>
      <c r="E168" s="154" t="s">
        <v>208</v>
      </c>
      <c r="F168" s="154" t="s">
        <v>208</v>
      </c>
      <c r="G168" s="154" t="s">
        <v>208</v>
      </c>
      <c r="H168" s="155"/>
      <c r="I168" s="155"/>
      <c r="J168" s="155"/>
      <c r="K168" s="158" t="s">
        <v>215</v>
      </c>
    </row>
    <row r="169">
      <c r="A169" s="153">
        <f t="shared" si="2"/>
        <v>168</v>
      </c>
      <c r="B169" s="154"/>
      <c r="C169" s="154" t="s">
        <v>208</v>
      </c>
      <c r="D169" s="154" t="s">
        <v>208</v>
      </c>
      <c r="E169" s="154" t="s">
        <v>208</v>
      </c>
      <c r="F169" s="154" t="s">
        <v>208</v>
      </c>
      <c r="G169" s="154" t="s">
        <v>208</v>
      </c>
      <c r="H169" s="155"/>
      <c r="I169" s="155"/>
      <c r="J169" s="155"/>
      <c r="K169" s="158" t="s">
        <v>215</v>
      </c>
    </row>
    <row r="170">
      <c r="A170" s="153">
        <f t="shared" si="2"/>
        <v>169</v>
      </c>
      <c r="B170" s="154"/>
      <c r="C170" s="154" t="s">
        <v>208</v>
      </c>
      <c r="D170" s="154" t="s">
        <v>208</v>
      </c>
      <c r="E170" s="154" t="s">
        <v>208</v>
      </c>
      <c r="F170" s="154" t="s">
        <v>208</v>
      </c>
      <c r="G170" s="154" t="s">
        <v>208</v>
      </c>
      <c r="H170" s="153"/>
      <c r="I170" s="155"/>
      <c r="J170" s="155"/>
      <c r="K170" s="158" t="s">
        <v>215</v>
      </c>
    </row>
    <row r="171">
      <c r="A171" s="153">
        <f t="shared" si="2"/>
        <v>170</v>
      </c>
      <c r="B171" s="154"/>
      <c r="C171" s="154" t="s">
        <v>208</v>
      </c>
      <c r="D171" s="154" t="s">
        <v>208</v>
      </c>
      <c r="E171" s="154" t="s">
        <v>208</v>
      </c>
      <c r="F171" s="154" t="s">
        <v>208</v>
      </c>
      <c r="G171" s="154" t="s">
        <v>208</v>
      </c>
      <c r="H171" s="155"/>
      <c r="I171" s="155"/>
      <c r="J171" s="155"/>
      <c r="K171" s="158" t="s">
        <v>215</v>
      </c>
    </row>
    <row r="172">
      <c r="A172" s="153">
        <f t="shared" si="2"/>
        <v>171</v>
      </c>
      <c r="B172" s="154"/>
      <c r="C172" s="154" t="s">
        <v>208</v>
      </c>
      <c r="D172" s="154" t="s">
        <v>208</v>
      </c>
      <c r="E172" s="154" t="s">
        <v>208</v>
      </c>
      <c r="F172" s="154" t="s">
        <v>208</v>
      </c>
      <c r="G172" s="154" t="s">
        <v>208</v>
      </c>
      <c r="H172" s="155"/>
      <c r="I172" s="155"/>
      <c r="J172" s="155"/>
      <c r="K172" s="158" t="s">
        <v>215</v>
      </c>
    </row>
    <row r="173">
      <c r="A173" s="153">
        <f t="shared" si="2"/>
        <v>172</v>
      </c>
      <c r="B173" s="154"/>
      <c r="C173" s="154" t="s">
        <v>208</v>
      </c>
      <c r="D173" s="154" t="s">
        <v>208</v>
      </c>
      <c r="E173" s="154" t="s">
        <v>208</v>
      </c>
      <c r="F173" s="154" t="s">
        <v>208</v>
      </c>
      <c r="G173" s="154" t="s">
        <v>208</v>
      </c>
      <c r="H173" s="155"/>
      <c r="I173" s="155"/>
      <c r="J173" s="155"/>
      <c r="K173" s="158" t="s">
        <v>215</v>
      </c>
    </row>
    <row r="174">
      <c r="A174" s="153">
        <f t="shared" si="2"/>
        <v>173</v>
      </c>
      <c r="B174" s="154"/>
      <c r="C174" s="154" t="s">
        <v>208</v>
      </c>
      <c r="D174" s="154" t="s">
        <v>208</v>
      </c>
      <c r="E174" s="154" t="s">
        <v>208</v>
      </c>
      <c r="F174" s="154" t="s">
        <v>208</v>
      </c>
      <c r="G174" s="154" t="s">
        <v>208</v>
      </c>
      <c r="H174" s="155"/>
      <c r="I174" s="155"/>
      <c r="J174" s="155"/>
      <c r="K174" s="158" t="s">
        <v>215</v>
      </c>
    </row>
    <row r="175">
      <c r="A175" s="153">
        <f t="shared" si="2"/>
        <v>174</v>
      </c>
      <c r="B175" s="154"/>
      <c r="C175" s="154" t="s">
        <v>208</v>
      </c>
      <c r="D175" s="154" t="s">
        <v>208</v>
      </c>
      <c r="E175" s="154" t="s">
        <v>208</v>
      </c>
      <c r="F175" s="154" t="s">
        <v>208</v>
      </c>
      <c r="G175" s="154" t="s">
        <v>208</v>
      </c>
      <c r="H175" s="155"/>
      <c r="I175" s="155"/>
      <c r="J175" s="155"/>
      <c r="K175" s="158" t="s">
        <v>215</v>
      </c>
    </row>
    <row r="176">
      <c r="A176" s="153">
        <f t="shared" si="2"/>
        <v>175</v>
      </c>
      <c r="B176" s="154"/>
      <c r="C176" s="154" t="s">
        <v>208</v>
      </c>
      <c r="D176" s="154" t="s">
        <v>208</v>
      </c>
      <c r="E176" s="154" t="s">
        <v>208</v>
      </c>
      <c r="F176" s="154" t="s">
        <v>208</v>
      </c>
      <c r="G176" s="154" t="s">
        <v>208</v>
      </c>
      <c r="H176" s="155"/>
      <c r="I176" s="155"/>
      <c r="J176" s="155"/>
      <c r="K176" s="158" t="s">
        <v>215</v>
      </c>
    </row>
    <row r="177">
      <c r="A177" s="153">
        <f t="shared" si="2"/>
        <v>176</v>
      </c>
      <c r="B177" s="154"/>
      <c r="C177" s="154" t="s">
        <v>208</v>
      </c>
      <c r="D177" s="154" t="s">
        <v>208</v>
      </c>
      <c r="E177" s="154" t="s">
        <v>208</v>
      </c>
      <c r="F177" s="154" t="s">
        <v>208</v>
      </c>
      <c r="G177" s="154" t="s">
        <v>208</v>
      </c>
      <c r="H177" s="155"/>
      <c r="I177" s="155"/>
      <c r="J177" s="155"/>
      <c r="K177" s="158" t="s">
        <v>215</v>
      </c>
    </row>
    <row r="178">
      <c r="A178" s="153">
        <f t="shared" si="2"/>
        <v>177</v>
      </c>
      <c r="B178" s="155"/>
      <c r="C178" s="154" t="s">
        <v>208</v>
      </c>
      <c r="D178" s="154" t="s">
        <v>208</v>
      </c>
      <c r="E178" s="154" t="s">
        <v>208</v>
      </c>
      <c r="F178" s="154" t="s">
        <v>208</v>
      </c>
      <c r="G178" s="154" t="s">
        <v>208</v>
      </c>
      <c r="H178" s="155"/>
      <c r="I178" s="155"/>
      <c r="J178" s="155"/>
      <c r="K178" s="158" t="s">
        <v>215</v>
      </c>
    </row>
    <row r="179">
      <c r="A179" s="153">
        <f t="shared" si="2"/>
        <v>178</v>
      </c>
      <c r="B179" s="154"/>
      <c r="C179" s="154" t="s">
        <v>208</v>
      </c>
      <c r="D179" s="154" t="s">
        <v>208</v>
      </c>
      <c r="E179" s="154" t="s">
        <v>208</v>
      </c>
      <c r="F179" s="154" t="s">
        <v>208</v>
      </c>
      <c r="G179" s="154" t="s">
        <v>208</v>
      </c>
      <c r="H179" s="155"/>
      <c r="I179" s="155"/>
      <c r="J179" s="155"/>
      <c r="K179" s="158" t="s">
        <v>215</v>
      </c>
    </row>
    <row r="180">
      <c r="A180" s="153">
        <f t="shared" si="2"/>
        <v>179</v>
      </c>
      <c r="B180" s="154"/>
      <c r="C180" s="154" t="s">
        <v>208</v>
      </c>
      <c r="D180" s="154" t="s">
        <v>208</v>
      </c>
      <c r="E180" s="154" t="s">
        <v>208</v>
      </c>
      <c r="F180" s="154" t="s">
        <v>208</v>
      </c>
      <c r="G180" s="154" t="s">
        <v>208</v>
      </c>
      <c r="H180" s="155"/>
      <c r="I180" s="155"/>
      <c r="J180" s="155"/>
      <c r="K180" s="158" t="s">
        <v>215</v>
      </c>
    </row>
    <row r="181">
      <c r="A181" s="153">
        <f t="shared" si="2"/>
        <v>180</v>
      </c>
      <c r="B181" s="154"/>
      <c r="C181" s="154" t="s">
        <v>208</v>
      </c>
      <c r="D181" s="154" t="s">
        <v>208</v>
      </c>
      <c r="E181" s="154" t="s">
        <v>208</v>
      </c>
      <c r="F181" s="154" t="s">
        <v>208</v>
      </c>
      <c r="G181" s="154" t="s">
        <v>208</v>
      </c>
      <c r="H181" s="155"/>
      <c r="I181" s="155"/>
      <c r="J181" s="155"/>
      <c r="K181" s="158" t="s">
        <v>215</v>
      </c>
    </row>
    <row r="182">
      <c r="A182" s="153">
        <f t="shared" si="2"/>
        <v>181</v>
      </c>
      <c r="B182" s="154"/>
      <c r="C182" s="154" t="s">
        <v>208</v>
      </c>
      <c r="D182" s="154" t="s">
        <v>208</v>
      </c>
      <c r="E182" s="154" t="s">
        <v>208</v>
      </c>
      <c r="F182" s="154" t="s">
        <v>208</v>
      </c>
      <c r="G182" s="154" t="s">
        <v>208</v>
      </c>
      <c r="H182" s="155"/>
      <c r="I182" s="155"/>
      <c r="J182" s="155"/>
      <c r="K182" s="158" t="s">
        <v>215</v>
      </c>
    </row>
    <row r="183">
      <c r="A183" s="153">
        <f t="shared" si="2"/>
        <v>182</v>
      </c>
      <c r="B183" s="154"/>
      <c r="C183" s="154" t="s">
        <v>208</v>
      </c>
      <c r="D183" s="154" t="s">
        <v>208</v>
      </c>
      <c r="E183" s="154" t="s">
        <v>208</v>
      </c>
      <c r="F183" s="154" t="s">
        <v>208</v>
      </c>
      <c r="G183" s="154" t="s">
        <v>208</v>
      </c>
      <c r="H183" s="155"/>
      <c r="I183" s="155"/>
      <c r="J183" s="155"/>
      <c r="K183" s="158" t="s">
        <v>215</v>
      </c>
    </row>
    <row r="184">
      <c r="A184" s="153">
        <f t="shared" si="2"/>
        <v>183</v>
      </c>
      <c r="B184" s="154"/>
      <c r="C184" s="154" t="s">
        <v>208</v>
      </c>
      <c r="D184" s="154" t="s">
        <v>208</v>
      </c>
      <c r="E184" s="154" t="s">
        <v>208</v>
      </c>
      <c r="F184" s="154" t="s">
        <v>208</v>
      </c>
      <c r="G184" s="154" t="s">
        <v>208</v>
      </c>
      <c r="H184" s="155"/>
      <c r="I184" s="155"/>
      <c r="J184" s="155"/>
      <c r="K184" s="158" t="s">
        <v>215</v>
      </c>
    </row>
    <row r="185">
      <c r="A185" s="153">
        <f t="shared" si="2"/>
        <v>184</v>
      </c>
      <c r="B185" s="154"/>
      <c r="C185" s="154" t="s">
        <v>208</v>
      </c>
      <c r="D185" s="154" t="s">
        <v>208</v>
      </c>
      <c r="E185" s="154" t="s">
        <v>208</v>
      </c>
      <c r="F185" s="154" t="s">
        <v>208</v>
      </c>
      <c r="G185" s="154" t="s">
        <v>208</v>
      </c>
      <c r="H185" s="155"/>
      <c r="I185" s="155"/>
      <c r="J185" s="155"/>
      <c r="K185" s="158" t="s">
        <v>215</v>
      </c>
    </row>
    <row r="186">
      <c r="A186" s="153">
        <f t="shared" si="2"/>
        <v>185</v>
      </c>
      <c r="B186" s="154"/>
      <c r="C186" s="154"/>
      <c r="D186" s="154"/>
      <c r="E186" s="154"/>
      <c r="F186" s="154"/>
      <c r="G186" s="154"/>
      <c r="H186" s="155"/>
      <c r="I186" s="155"/>
      <c r="J186" s="154" t="s">
        <v>217</v>
      </c>
      <c r="K186" s="158" t="s">
        <v>215</v>
      </c>
    </row>
    <row r="187">
      <c r="A187" s="153">
        <f t="shared" si="2"/>
        <v>186</v>
      </c>
      <c r="B187" s="154"/>
      <c r="C187" s="154" t="s">
        <v>208</v>
      </c>
      <c r="D187" s="154" t="s">
        <v>208</v>
      </c>
      <c r="E187" s="154" t="s">
        <v>208</v>
      </c>
      <c r="F187" s="154" t="s">
        <v>208</v>
      </c>
      <c r="G187" s="154" t="s">
        <v>208</v>
      </c>
      <c r="H187" s="155"/>
      <c r="I187" s="155"/>
      <c r="J187" s="155"/>
      <c r="K187" s="158" t="s">
        <v>215</v>
      </c>
    </row>
    <row r="188">
      <c r="A188" s="153">
        <f t="shared" si="2"/>
        <v>187</v>
      </c>
      <c r="B188" s="155"/>
      <c r="C188" s="154"/>
      <c r="D188" s="154"/>
      <c r="E188" s="154"/>
      <c r="F188" s="154"/>
      <c r="G188" s="154"/>
      <c r="H188" s="155"/>
      <c r="I188" s="155"/>
      <c r="J188" s="154" t="s">
        <v>217</v>
      </c>
      <c r="K188" s="158" t="s">
        <v>215</v>
      </c>
    </row>
    <row r="189">
      <c r="A189" s="153">
        <f t="shared" si="2"/>
        <v>188</v>
      </c>
      <c r="B189" s="154"/>
      <c r="C189" s="154" t="s">
        <v>208</v>
      </c>
      <c r="D189" s="154" t="s">
        <v>208</v>
      </c>
      <c r="E189" s="154" t="s">
        <v>208</v>
      </c>
      <c r="F189" s="154" t="s">
        <v>208</v>
      </c>
      <c r="G189" s="154" t="s">
        <v>208</v>
      </c>
      <c r="H189" s="155"/>
      <c r="I189" s="155"/>
      <c r="J189" s="155"/>
      <c r="K189" s="158" t="s">
        <v>215</v>
      </c>
    </row>
    <row r="190">
      <c r="A190" s="153">
        <f t="shared" si="2"/>
        <v>189</v>
      </c>
      <c r="B190" s="154"/>
      <c r="C190" s="154" t="s">
        <v>208</v>
      </c>
      <c r="D190" s="154" t="s">
        <v>208</v>
      </c>
      <c r="E190" s="154" t="s">
        <v>208</v>
      </c>
      <c r="F190" s="154" t="s">
        <v>208</v>
      </c>
      <c r="G190" s="154" t="s">
        <v>208</v>
      </c>
      <c r="H190" s="155"/>
      <c r="I190" s="155"/>
      <c r="J190" s="155"/>
      <c r="K190" s="158" t="s">
        <v>215</v>
      </c>
    </row>
    <row r="191">
      <c r="A191" s="153">
        <f t="shared" si="2"/>
        <v>190</v>
      </c>
      <c r="B191" s="154"/>
      <c r="C191" s="154" t="s">
        <v>208</v>
      </c>
      <c r="D191" s="154" t="s">
        <v>208</v>
      </c>
      <c r="E191" s="154" t="s">
        <v>208</v>
      </c>
      <c r="F191" s="154" t="s">
        <v>208</v>
      </c>
      <c r="G191" s="154" t="s">
        <v>208</v>
      </c>
      <c r="H191" s="155"/>
      <c r="I191" s="155"/>
      <c r="J191" s="155"/>
      <c r="K191" s="158" t="s">
        <v>215</v>
      </c>
    </row>
    <row r="192">
      <c r="A192" s="153">
        <f t="shared" si="2"/>
        <v>191</v>
      </c>
      <c r="B192" s="154"/>
      <c r="C192" s="154" t="s">
        <v>208</v>
      </c>
      <c r="D192" s="154" t="s">
        <v>208</v>
      </c>
      <c r="E192" s="154" t="s">
        <v>208</v>
      </c>
      <c r="F192" s="154" t="s">
        <v>208</v>
      </c>
      <c r="G192" s="154" t="s">
        <v>208</v>
      </c>
      <c r="H192" s="155"/>
      <c r="I192" s="155"/>
      <c r="J192" s="155"/>
      <c r="K192" s="158" t="s">
        <v>215</v>
      </c>
    </row>
    <row r="193">
      <c r="A193" s="153">
        <f t="shared" si="2"/>
        <v>192</v>
      </c>
      <c r="B193" s="154"/>
      <c r="C193" s="154" t="s">
        <v>208</v>
      </c>
      <c r="D193" s="154" t="s">
        <v>208</v>
      </c>
      <c r="E193" s="154" t="s">
        <v>208</v>
      </c>
      <c r="F193" s="154" t="s">
        <v>208</v>
      </c>
      <c r="G193" s="154" t="s">
        <v>208</v>
      </c>
      <c r="H193" s="155"/>
      <c r="I193" s="155"/>
      <c r="J193" s="155"/>
      <c r="K193" s="158" t="s">
        <v>215</v>
      </c>
    </row>
    <row r="194">
      <c r="A194" s="153">
        <f t="shared" si="2"/>
        <v>193</v>
      </c>
      <c r="B194" s="154"/>
      <c r="C194" s="154" t="s">
        <v>208</v>
      </c>
      <c r="D194" s="154" t="s">
        <v>208</v>
      </c>
      <c r="E194" s="154" t="s">
        <v>208</v>
      </c>
      <c r="F194" s="154" t="s">
        <v>208</v>
      </c>
      <c r="G194" s="154" t="s">
        <v>208</v>
      </c>
      <c r="H194" s="155"/>
      <c r="I194" s="155"/>
      <c r="J194" s="155"/>
      <c r="K194" s="158" t="s">
        <v>215</v>
      </c>
    </row>
    <row r="195">
      <c r="A195" s="153">
        <f t="shared" si="2"/>
        <v>194</v>
      </c>
      <c r="B195" s="154"/>
      <c r="C195" s="154" t="s">
        <v>208</v>
      </c>
      <c r="D195" s="154" t="s">
        <v>208</v>
      </c>
      <c r="E195" s="154" t="s">
        <v>208</v>
      </c>
      <c r="F195" s="154" t="s">
        <v>208</v>
      </c>
      <c r="G195" s="154" t="s">
        <v>208</v>
      </c>
      <c r="H195" s="155"/>
      <c r="I195" s="155"/>
      <c r="J195" s="155"/>
      <c r="K195" s="158" t="s">
        <v>215</v>
      </c>
    </row>
    <row r="196">
      <c r="A196" s="153">
        <f t="shared" si="2"/>
        <v>195</v>
      </c>
      <c r="B196" s="154"/>
      <c r="C196" s="154" t="s">
        <v>208</v>
      </c>
      <c r="D196" s="154" t="s">
        <v>208</v>
      </c>
      <c r="E196" s="154" t="s">
        <v>208</v>
      </c>
      <c r="F196" s="154" t="s">
        <v>208</v>
      </c>
      <c r="G196" s="154" t="s">
        <v>208</v>
      </c>
      <c r="H196" s="155"/>
      <c r="I196" s="155"/>
      <c r="J196" s="155"/>
      <c r="K196" s="158" t="s">
        <v>215</v>
      </c>
    </row>
    <row r="197">
      <c r="A197" s="153">
        <f t="shared" si="2"/>
        <v>196</v>
      </c>
      <c r="B197" s="154"/>
      <c r="C197" s="154" t="s">
        <v>208</v>
      </c>
      <c r="D197" s="154" t="s">
        <v>208</v>
      </c>
      <c r="E197" s="154" t="s">
        <v>208</v>
      </c>
      <c r="F197" s="154" t="s">
        <v>208</v>
      </c>
      <c r="G197" s="154" t="s">
        <v>208</v>
      </c>
      <c r="H197" s="155"/>
      <c r="I197" s="155"/>
      <c r="J197" s="155"/>
      <c r="K197" s="158" t="s">
        <v>215</v>
      </c>
    </row>
    <row r="198">
      <c r="A198" s="153">
        <f t="shared" si="2"/>
        <v>197</v>
      </c>
      <c r="B198" s="154"/>
      <c r="C198" s="154" t="s">
        <v>208</v>
      </c>
      <c r="D198" s="154" t="s">
        <v>208</v>
      </c>
      <c r="E198" s="154" t="s">
        <v>208</v>
      </c>
      <c r="F198" s="154" t="s">
        <v>208</v>
      </c>
      <c r="G198" s="154" t="s">
        <v>208</v>
      </c>
      <c r="H198" s="155"/>
      <c r="I198" s="155"/>
      <c r="J198" s="155"/>
      <c r="K198" s="158" t="s">
        <v>215</v>
      </c>
    </row>
    <row r="199">
      <c r="A199" s="153">
        <f t="shared" si="2"/>
        <v>198</v>
      </c>
      <c r="B199" s="154"/>
      <c r="C199" s="154" t="s">
        <v>208</v>
      </c>
      <c r="D199" s="154" t="s">
        <v>208</v>
      </c>
      <c r="E199" s="154" t="s">
        <v>208</v>
      </c>
      <c r="F199" s="154" t="s">
        <v>208</v>
      </c>
      <c r="G199" s="154" t="s">
        <v>208</v>
      </c>
      <c r="H199" s="155"/>
      <c r="I199" s="155"/>
      <c r="J199" s="155"/>
      <c r="K199" s="158" t="s">
        <v>215</v>
      </c>
    </row>
    <row r="200">
      <c r="A200" s="153">
        <f t="shared" si="2"/>
        <v>199</v>
      </c>
      <c r="B200" s="154"/>
      <c r="C200" s="154"/>
      <c r="D200" s="154"/>
      <c r="E200" s="154"/>
      <c r="F200" s="154"/>
      <c r="G200" s="154"/>
      <c r="H200" s="155"/>
      <c r="I200" s="155"/>
      <c r="J200" s="154" t="s">
        <v>217</v>
      </c>
      <c r="K200" s="158" t="s">
        <v>215</v>
      </c>
    </row>
    <row r="201">
      <c r="A201" s="153">
        <f t="shared" si="2"/>
        <v>200</v>
      </c>
      <c r="B201" s="154"/>
      <c r="C201" s="154" t="s">
        <v>208</v>
      </c>
      <c r="D201" s="154" t="s">
        <v>208</v>
      </c>
      <c r="E201" s="154" t="s">
        <v>208</v>
      </c>
      <c r="F201" s="154" t="s">
        <v>208</v>
      </c>
      <c r="G201" s="154" t="s">
        <v>208</v>
      </c>
      <c r="H201" s="155"/>
      <c r="I201" s="155"/>
      <c r="J201" s="155"/>
      <c r="K201" s="158" t="s">
        <v>215</v>
      </c>
    </row>
    <row r="202">
      <c r="A202" s="153">
        <f t="shared" si="2"/>
        <v>201</v>
      </c>
      <c r="B202" s="154"/>
      <c r="C202" s="154" t="s">
        <v>208</v>
      </c>
      <c r="D202" s="154" t="s">
        <v>208</v>
      </c>
      <c r="E202" s="154" t="s">
        <v>208</v>
      </c>
      <c r="F202" s="154" t="s">
        <v>208</v>
      </c>
      <c r="G202" s="154" t="s">
        <v>208</v>
      </c>
      <c r="H202" s="155"/>
      <c r="I202" s="155"/>
      <c r="J202" s="155"/>
      <c r="K202" s="158" t="s">
        <v>215</v>
      </c>
    </row>
    <row r="203">
      <c r="A203" s="153">
        <f t="shared" si="2"/>
        <v>202</v>
      </c>
      <c r="B203" s="154"/>
      <c r="C203" s="154" t="s">
        <v>208</v>
      </c>
      <c r="D203" s="154" t="s">
        <v>208</v>
      </c>
      <c r="E203" s="154" t="s">
        <v>208</v>
      </c>
      <c r="F203" s="154" t="s">
        <v>208</v>
      </c>
      <c r="G203" s="154" t="s">
        <v>208</v>
      </c>
      <c r="H203" s="155"/>
      <c r="I203" s="155"/>
      <c r="J203" s="155"/>
      <c r="K203" s="158" t="s">
        <v>215</v>
      </c>
    </row>
    <row r="204">
      <c r="A204" s="153">
        <f t="shared" si="2"/>
        <v>203</v>
      </c>
      <c r="B204" s="154"/>
      <c r="C204" s="154" t="s">
        <v>208</v>
      </c>
      <c r="D204" s="154" t="s">
        <v>208</v>
      </c>
      <c r="E204" s="154" t="s">
        <v>208</v>
      </c>
      <c r="F204" s="154" t="s">
        <v>208</v>
      </c>
      <c r="G204" s="154" t="s">
        <v>208</v>
      </c>
      <c r="H204" s="155"/>
      <c r="I204" s="155"/>
      <c r="J204" s="155"/>
      <c r="K204" s="158" t="s">
        <v>215</v>
      </c>
    </row>
    <row r="205">
      <c r="A205" s="153">
        <f t="shared" si="2"/>
        <v>204</v>
      </c>
      <c r="B205" s="154"/>
      <c r="C205" s="154" t="s">
        <v>208</v>
      </c>
      <c r="D205" s="154" t="s">
        <v>208</v>
      </c>
      <c r="E205" s="154" t="s">
        <v>208</v>
      </c>
      <c r="F205" s="154" t="s">
        <v>208</v>
      </c>
      <c r="G205" s="154" t="s">
        <v>208</v>
      </c>
      <c r="H205" s="155"/>
      <c r="I205" s="155"/>
      <c r="J205" s="155"/>
      <c r="K205" s="158" t="s">
        <v>215</v>
      </c>
    </row>
    <row r="206">
      <c r="A206" s="153">
        <f t="shared" si="2"/>
        <v>205</v>
      </c>
      <c r="B206" s="154"/>
      <c r="C206" s="154" t="s">
        <v>208</v>
      </c>
      <c r="D206" s="154" t="s">
        <v>208</v>
      </c>
      <c r="E206" s="154" t="s">
        <v>208</v>
      </c>
      <c r="F206" s="154" t="s">
        <v>208</v>
      </c>
      <c r="G206" s="154" t="s">
        <v>208</v>
      </c>
      <c r="H206" s="155"/>
      <c r="I206" s="155"/>
      <c r="J206" s="155"/>
      <c r="K206" s="158" t="s">
        <v>215</v>
      </c>
    </row>
    <row r="207">
      <c r="A207" s="153">
        <f t="shared" si="2"/>
        <v>206</v>
      </c>
      <c r="B207" s="154"/>
      <c r="C207" s="154" t="s">
        <v>208</v>
      </c>
      <c r="D207" s="154" t="s">
        <v>208</v>
      </c>
      <c r="E207" s="154" t="s">
        <v>208</v>
      </c>
      <c r="F207" s="154" t="s">
        <v>208</v>
      </c>
      <c r="G207" s="154" t="s">
        <v>208</v>
      </c>
      <c r="H207" s="155"/>
      <c r="I207" s="155"/>
      <c r="J207" s="155"/>
      <c r="K207" s="158" t="s">
        <v>215</v>
      </c>
    </row>
    <row r="208">
      <c r="A208" s="153">
        <f t="shared" si="2"/>
        <v>207</v>
      </c>
      <c r="B208" s="154"/>
      <c r="C208" s="154" t="s">
        <v>208</v>
      </c>
      <c r="D208" s="154" t="s">
        <v>208</v>
      </c>
      <c r="E208" s="154"/>
      <c r="F208" s="154" t="s">
        <v>208</v>
      </c>
      <c r="G208" s="154" t="s">
        <v>208</v>
      </c>
      <c r="H208" s="155"/>
      <c r="I208" s="155"/>
      <c r="J208" s="155"/>
      <c r="K208" s="158" t="s">
        <v>215</v>
      </c>
    </row>
    <row r="209">
      <c r="A209" s="153">
        <f t="shared" si="2"/>
        <v>208</v>
      </c>
      <c r="B209" s="155"/>
      <c r="C209" s="154" t="s">
        <v>208</v>
      </c>
      <c r="D209" s="154" t="s">
        <v>208</v>
      </c>
      <c r="E209" s="154" t="s">
        <v>208</v>
      </c>
      <c r="F209" s="154" t="s">
        <v>208</v>
      </c>
      <c r="G209" s="154" t="s">
        <v>208</v>
      </c>
      <c r="H209" s="155"/>
      <c r="I209" s="155"/>
      <c r="J209" s="155"/>
      <c r="K209" s="158" t="s">
        <v>215</v>
      </c>
    </row>
    <row r="210">
      <c r="A210" s="153">
        <f t="shared" si="2"/>
        <v>209</v>
      </c>
      <c r="B210" s="154"/>
      <c r="C210" s="154" t="s">
        <v>208</v>
      </c>
      <c r="D210" s="154" t="s">
        <v>208</v>
      </c>
      <c r="E210" s="154"/>
      <c r="F210" s="154" t="s">
        <v>208</v>
      </c>
      <c r="G210" s="154" t="s">
        <v>208</v>
      </c>
      <c r="H210" s="153"/>
      <c r="I210" s="155"/>
      <c r="J210" s="155"/>
      <c r="K210" s="158" t="s">
        <v>215</v>
      </c>
    </row>
    <row r="211">
      <c r="A211" s="153">
        <f t="shared" si="2"/>
        <v>210</v>
      </c>
      <c r="B211" s="154"/>
      <c r="C211" s="154"/>
      <c r="D211" s="154"/>
      <c r="E211" s="154"/>
      <c r="F211" s="154"/>
      <c r="G211" s="154"/>
      <c r="H211" s="155"/>
      <c r="I211" s="155"/>
      <c r="J211" s="154" t="s">
        <v>217</v>
      </c>
      <c r="K211" s="158" t="s">
        <v>215</v>
      </c>
    </row>
    <row r="212">
      <c r="A212" s="153">
        <f t="shared" si="2"/>
        <v>211</v>
      </c>
      <c r="B212" s="154"/>
      <c r="C212" s="154"/>
      <c r="D212" s="154"/>
      <c r="E212" s="154"/>
      <c r="F212" s="154"/>
      <c r="G212" s="155"/>
      <c r="H212" s="155"/>
      <c r="I212" s="155"/>
      <c r="J212" s="154" t="s">
        <v>217</v>
      </c>
      <c r="K212" s="158" t="s">
        <v>215</v>
      </c>
    </row>
    <row r="213">
      <c r="A213" s="153">
        <f t="shared" si="2"/>
        <v>212</v>
      </c>
      <c r="B213" s="154"/>
      <c r="C213" s="154"/>
      <c r="D213" s="154"/>
      <c r="E213" s="154"/>
      <c r="F213" s="154"/>
      <c r="G213" s="154"/>
      <c r="H213" s="155"/>
      <c r="I213" s="155"/>
      <c r="J213" s="154" t="s">
        <v>217</v>
      </c>
      <c r="K213" s="158" t="s">
        <v>215</v>
      </c>
    </row>
    <row r="214">
      <c r="A214" s="153">
        <f t="shared" si="2"/>
        <v>213</v>
      </c>
      <c r="B214" s="154"/>
      <c r="C214" s="154" t="s">
        <v>208</v>
      </c>
      <c r="D214" s="154" t="s">
        <v>208</v>
      </c>
      <c r="E214" s="154" t="s">
        <v>208</v>
      </c>
      <c r="F214" s="154" t="s">
        <v>208</v>
      </c>
      <c r="G214" s="154" t="s">
        <v>208</v>
      </c>
      <c r="H214" s="155"/>
      <c r="I214" s="155"/>
      <c r="J214" s="155"/>
      <c r="K214" s="158" t="s">
        <v>215</v>
      </c>
    </row>
    <row r="215">
      <c r="A215" s="153">
        <f t="shared" si="2"/>
        <v>214</v>
      </c>
      <c r="B215" s="154"/>
      <c r="C215" s="154" t="s">
        <v>208</v>
      </c>
      <c r="D215" s="154" t="s">
        <v>208</v>
      </c>
      <c r="E215" s="154" t="s">
        <v>208</v>
      </c>
      <c r="F215" s="154" t="s">
        <v>208</v>
      </c>
      <c r="G215" s="154" t="s">
        <v>208</v>
      </c>
      <c r="H215" s="155"/>
      <c r="I215" s="155"/>
      <c r="J215" s="155"/>
      <c r="K215" s="158" t="s">
        <v>215</v>
      </c>
    </row>
    <row r="216">
      <c r="A216" s="153">
        <f t="shared" si="2"/>
        <v>215</v>
      </c>
      <c r="B216" s="155"/>
      <c r="C216" s="154" t="s">
        <v>208</v>
      </c>
      <c r="D216" s="154" t="s">
        <v>208</v>
      </c>
      <c r="E216" s="154" t="s">
        <v>208</v>
      </c>
      <c r="F216" s="154" t="s">
        <v>208</v>
      </c>
      <c r="G216" s="154" t="s">
        <v>208</v>
      </c>
      <c r="H216" s="155"/>
      <c r="I216" s="155"/>
      <c r="J216" s="155"/>
      <c r="K216" s="158" t="s">
        <v>215</v>
      </c>
    </row>
    <row r="217">
      <c r="A217" s="153">
        <f t="shared" si="2"/>
        <v>216</v>
      </c>
      <c r="B217" s="154"/>
      <c r="C217" s="154" t="s">
        <v>208</v>
      </c>
      <c r="D217" s="154" t="s">
        <v>208</v>
      </c>
      <c r="E217" s="154" t="s">
        <v>208</v>
      </c>
      <c r="F217" s="154" t="s">
        <v>208</v>
      </c>
      <c r="G217" s="154" t="s">
        <v>208</v>
      </c>
      <c r="H217" s="155"/>
      <c r="I217" s="155"/>
      <c r="J217" s="155"/>
      <c r="K217" s="158" t="s">
        <v>215</v>
      </c>
    </row>
    <row r="218">
      <c r="A218" s="153">
        <f t="shared" si="2"/>
        <v>217</v>
      </c>
      <c r="B218" s="154"/>
      <c r="C218" s="154" t="s">
        <v>208</v>
      </c>
      <c r="D218" s="154" t="s">
        <v>208</v>
      </c>
      <c r="E218" s="154" t="s">
        <v>208</v>
      </c>
      <c r="F218" s="154" t="s">
        <v>208</v>
      </c>
      <c r="G218" s="154" t="s">
        <v>208</v>
      </c>
      <c r="H218" s="155"/>
      <c r="I218" s="155"/>
      <c r="J218" s="155"/>
      <c r="K218" s="158" t="s">
        <v>215</v>
      </c>
    </row>
    <row r="219">
      <c r="A219" s="153">
        <f t="shared" si="2"/>
        <v>218</v>
      </c>
      <c r="B219" s="154"/>
      <c r="C219" s="154" t="s">
        <v>208</v>
      </c>
      <c r="D219" s="154" t="s">
        <v>208</v>
      </c>
      <c r="E219" s="154" t="s">
        <v>208</v>
      </c>
      <c r="F219" s="154" t="s">
        <v>208</v>
      </c>
      <c r="G219" s="154" t="s">
        <v>208</v>
      </c>
      <c r="H219" s="155"/>
      <c r="I219" s="155"/>
      <c r="J219" s="155"/>
      <c r="K219" s="158" t="s">
        <v>215</v>
      </c>
    </row>
    <row r="220">
      <c r="A220" s="153">
        <f t="shared" si="2"/>
        <v>219</v>
      </c>
      <c r="B220" s="154"/>
      <c r="C220" s="154" t="s">
        <v>208</v>
      </c>
      <c r="D220" s="154" t="s">
        <v>208</v>
      </c>
      <c r="E220" s="154" t="s">
        <v>208</v>
      </c>
      <c r="F220" s="154" t="s">
        <v>208</v>
      </c>
      <c r="G220" s="154" t="s">
        <v>208</v>
      </c>
      <c r="H220" s="155"/>
      <c r="I220" s="155"/>
      <c r="J220" s="155"/>
      <c r="K220" s="158" t="s">
        <v>215</v>
      </c>
    </row>
    <row r="221">
      <c r="A221" s="153">
        <f t="shared" si="2"/>
        <v>220</v>
      </c>
      <c r="B221" s="154"/>
      <c r="C221" s="154" t="s">
        <v>208</v>
      </c>
      <c r="D221" s="154" t="s">
        <v>208</v>
      </c>
      <c r="E221" s="154" t="s">
        <v>208</v>
      </c>
      <c r="F221" s="154" t="s">
        <v>208</v>
      </c>
      <c r="G221" s="154" t="s">
        <v>208</v>
      </c>
      <c r="H221" s="155"/>
      <c r="I221" s="155"/>
      <c r="J221" s="154"/>
      <c r="K221" s="158" t="s">
        <v>215</v>
      </c>
    </row>
    <row r="222">
      <c r="A222" s="153">
        <f t="shared" si="2"/>
        <v>221</v>
      </c>
      <c r="B222" s="155"/>
      <c r="C222" s="154" t="s">
        <v>208</v>
      </c>
      <c r="D222" s="154" t="s">
        <v>208</v>
      </c>
      <c r="E222" s="154"/>
      <c r="F222" s="154" t="s">
        <v>208</v>
      </c>
      <c r="G222" s="154" t="s">
        <v>208</v>
      </c>
      <c r="H222" s="155"/>
      <c r="I222" s="154"/>
      <c r="J222" s="154"/>
      <c r="K222" s="158" t="s">
        <v>215</v>
      </c>
    </row>
    <row r="223">
      <c r="A223" s="153">
        <f t="shared" si="2"/>
        <v>222</v>
      </c>
      <c r="B223" s="154"/>
      <c r="C223" s="154" t="s">
        <v>208</v>
      </c>
      <c r="D223" s="154" t="s">
        <v>208</v>
      </c>
      <c r="E223" s="154" t="s">
        <v>208</v>
      </c>
      <c r="F223" s="154" t="s">
        <v>208</v>
      </c>
      <c r="G223" s="154" t="s">
        <v>208</v>
      </c>
      <c r="H223" s="154"/>
      <c r="I223" s="154"/>
      <c r="J223" s="154"/>
      <c r="K223" s="158" t="s">
        <v>215</v>
      </c>
    </row>
    <row r="224">
      <c r="A224" s="153">
        <f t="shared" si="2"/>
        <v>223</v>
      </c>
      <c r="B224" s="154"/>
      <c r="C224" s="154" t="s">
        <v>208</v>
      </c>
      <c r="D224" s="154" t="s">
        <v>208</v>
      </c>
      <c r="E224" s="154" t="s">
        <v>208</v>
      </c>
      <c r="F224" s="154" t="s">
        <v>208</v>
      </c>
      <c r="G224" s="154" t="s">
        <v>208</v>
      </c>
      <c r="H224" s="155"/>
      <c r="I224" s="155"/>
      <c r="J224" s="154"/>
      <c r="K224" s="158" t="s">
        <v>215</v>
      </c>
    </row>
    <row r="225">
      <c r="A225" s="153">
        <f t="shared" si="2"/>
        <v>224</v>
      </c>
      <c r="B225" s="155"/>
      <c r="C225" s="154" t="s">
        <v>208</v>
      </c>
      <c r="D225" s="154" t="s">
        <v>208</v>
      </c>
      <c r="E225" s="154" t="s">
        <v>208</v>
      </c>
      <c r="F225" s="154" t="s">
        <v>208</v>
      </c>
      <c r="G225" s="154" t="s">
        <v>208</v>
      </c>
      <c r="H225" s="155"/>
      <c r="I225" s="155"/>
      <c r="J225" s="154"/>
      <c r="K225" s="158" t="s">
        <v>215</v>
      </c>
    </row>
    <row r="226">
      <c r="A226" s="153">
        <f t="shared" si="2"/>
        <v>225</v>
      </c>
      <c r="B226" s="155"/>
      <c r="C226" s="154" t="s">
        <v>208</v>
      </c>
      <c r="D226" s="154" t="s">
        <v>208</v>
      </c>
      <c r="E226" s="154" t="s">
        <v>208</v>
      </c>
      <c r="F226" s="154" t="s">
        <v>208</v>
      </c>
      <c r="G226" s="154" t="s">
        <v>208</v>
      </c>
      <c r="H226" s="155"/>
      <c r="I226" s="155"/>
      <c r="J226" s="154"/>
      <c r="K226" s="158" t="s">
        <v>215</v>
      </c>
    </row>
    <row r="227">
      <c r="A227" s="153">
        <f t="shared" si="2"/>
        <v>226</v>
      </c>
      <c r="B227" s="154"/>
      <c r="C227" s="154" t="s">
        <v>208</v>
      </c>
      <c r="D227" s="154" t="s">
        <v>208</v>
      </c>
      <c r="E227" s="154" t="s">
        <v>208</v>
      </c>
      <c r="F227" s="154" t="s">
        <v>208</v>
      </c>
      <c r="G227" s="154" t="s">
        <v>208</v>
      </c>
      <c r="H227" s="155"/>
      <c r="I227" s="155"/>
      <c r="J227" s="154"/>
      <c r="K227" s="158" t="s">
        <v>215</v>
      </c>
    </row>
    <row r="228">
      <c r="A228" s="153">
        <f t="shared" si="2"/>
        <v>227</v>
      </c>
      <c r="B228" s="154"/>
      <c r="C228" s="154" t="s">
        <v>208</v>
      </c>
      <c r="D228" s="154" t="s">
        <v>208</v>
      </c>
      <c r="E228" s="154" t="s">
        <v>208</v>
      </c>
      <c r="F228" s="154" t="s">
        <v>208</v>
      </c>
      <c r="G228" s="154" t="s">
        <v>208</v>
      </c>
      <c r="H228" s="155"/>
      <c r="I228" s="155"/>
      <c r="J228" s="154"/>
      <c r="K228" s="158" t="s">
        <v>215</v>
      </c>
    </row>
    <row r="229">
      <c r="A229" s="153">
        <f t="shared" si="2"/>
        <v>228</v>
      </c>
      <c r="B229" s="154"/>
      <c r="C229" s="154" t="s">
        <v>208</v>
      </c>
      <c r="D229" s="154" t="s">
        <v>208</v>
      </c>
      <c r="E229" s="154" t="s">
        <v>208</v>
      </c>
      <c r="F229" s="154" t="s">
        <v>208</v>
      </c>
      <c r="G229" s="154" t="s">
        <v>208</v>
      </c>
      <c r="H229" s="155"/>
      <c r="I229" s="155"/>
      <c r="J229" s="154"/>
      <c r="K229" s="158" t="s">
        <v>215</v>
      </c>
    </row>
    <row r="230">
      <c r="A230" s="153">
        <f t="shared" si="2"/>
        <v>229</v>
      </c>
      <c r="B230" s="154"/>
      <c r="C230" s="154" t="s">
        <v>208</v>
      </c>
      <c r="D230" s="154" t="s">
        <v>208</v>
      </c>
      <c r="E230" s="154" t="s">
        <v>208</v>
      </c>
      <c r="F230" s="154" t="s">
        <v>208</v>
      </c>
      <c r="G230" s="154" t="s">
        <v>208</v>
      </c>
      <c r="H230" s="155"/>
      <c r="I230" s="155"/>
      <c r="J230" s="154"/>
      <c r="K230" s="158" t="s">
        <v>215</v>
      </c>
    </row>
    <row r="231">
      <c r="A231" s="153">
        <f t="shared" si="2"/>
        <v>230</v>
      </c>
      <c r="B231" s="154"/>
      <c r="C231" s="154"/>
      <c r="D231" s="154"/>
      <c r="E231" s="154"/>
      <c r="F231" s="154"/>
      <c r="G231" s="154"/>
      <c r="H231" s="155"/>
      <c r="I231" s="155"/>
      <c r="J231" s="154" t="s">
        <v>217</v>
      </c>
      <c r="K231" s="158" t="s">
        <v>215</v>
      </c>
    </row>
    <row r="232">
      <c r="A232" s="153">
        <f t="shared" si="2"/>
        <v>231</v>
      </c>
      <c r="B232" s="154"/>
      <c r="C232" s="154"/>
      <c r="D232" s="154"/>
      <c r="E232" s="154"/>
      <c r="F232" s="154"/>
      <c r="G232" s="155"/>
      <c r="H232" s="155"/>
      <c r="I232" s="155"/>
      <c r="J232" s="154" t="s">
        <v>217</v>
      </c>
      <c r="K232" s="158" t="s">
        <v>215</v>
      </c>
    </row>
    <row r="233">
      <c r="A233" s="153">
        <f t="shared" si="2"/>
        <v>232</v>
      </c>
      <c r="B233" s="154"/>
      <c r="C233" s="154" t="s">
        <v>208</v>
      </c>
      <c r="D233" s="154" t="s">
        <v>208</v>
      </c>
      <c r="E233" s="154" t="s">
        <v>208</v>
      </c>
      <c r="F233" s="154" t="s">
        <v>208</v>
      </c>
      <c r="G233" s="154" t="s">
        <v>208</v>
      </c>
      <c r="H233" s="155"/>
      <c r="I233" s="155"/>
      <c r="J233" s="155"/>
      <c r="K233" s="158" t="s">
        <v>215</v>
      </c>
    </row>
    <row r="234">
      <c r="A234" s="153">
        <f t="shared" si="2"/>
        <v>233</v>
      </c>
      <c r="B234" s="154"/>
      <c r="C234" s="154" t="s">
        <v>208</v>
      </c>
      <c r="D234" s="154" t="s">
        <v>208</v>
      </c>
      <c r="E234" s="154" t="s">
        <v>208</v>
      </c>
      <c r="F234" s="154" t="s">
        <v>208</v>
      </c>
      <c r="G234" s="154" t="s">
        <v>208</v>
      </c>
      <c r="H234" s="155"/>
      <c r="I234" s="155"/>
      <c r="J234" s="155"/>
      <c r="K234" s="158" t="s">
        <v>215</v>
      </c>
    </row>
    <row r="235">
      <c r="A235" s="153">
        <f t="shared" si="2"/>
        <v>234</v>
      </c>
      <c r="B235" s="154"/>
      <c r="C235" s="154" t="s">
        <v>208</v>
      </c>
      <c r="D235" s="154" t="s">
        <v>208</v>
      </c>
      <c r="E235" s="154" t="s">
        <v>208</v>
      </c>
      <c r="F235" s="154" t="s">
        <v>208</v>
      </c>
      <c r="G235" s="154" t="s">
        <v>208</v>
      </c>
      <c r="H235" s="155"/>
      <c r="I235" s="155"/>
      <c r="J235" s="155"/>
      <c r="K235" s="158" t="s">
        <v>215</v>
      </c>
    </row>
    <row r="236">
      <c r="A236" s="153">
        <f t="shared" si="2"/>
        <v>235</v>
      </c>
      <c r="B236" s="154"/>
      <c r="C236" s="154" t="s">
        <v>208</v>
      </c>
      <c r="D236" s="154" t="s">
        <v>208</v>
      </c>
      <c r="E236" s="154" t="s">
        <v>208</v>
      </c>
      <c r="F236" s="154" t="s">
        <v>208</v>
      </c>
      <c r="G236" s="154" t="s">
        <v>208</v>
      </c>
      <c r="H236" s="155"/>
      <c r="I236" s="155"/>
      <c r="J236" s="155"/>
      <c r="K236" s="158" t="s">
        <v>215</v>
      </c>
    </row>
    <row r="237">
      <c r="A237" s="153">
        <f t="shared" si="2"/>
        <v>236</v>
      </c>
      <c r="B237" s="154"/>
      <c r="C237" s="154" t="s">
        <v>208</v>
      </c>
      <c r="D237" s="154" t="s">
        <v>208</v>
      </c>
      <c r="E237" s="154" t="s">
        <v>208</v>
      </c>
      <c r="F237" s="154" t="s">
        <v>208</v>
      </c>
      <c r="G237" s="154" t="s">
        <v>208</v>
      </c>
      <c r="H237" s="155"/>
      <c r="I237" s="155"/>
      <c r="J237" s="155"/>
      <c r="K237" s="158" t="s">
        <v>215</v>
      </c>
    </row>
    <row r="238">
      <c r="A238" s="177">
        <f t="shared" si="2"/>
        <v>237</v>
      </c>
      <c r="B238" s="154"/>
      <c r="C238" s="154"/>
      <c r="D238" s="154" t="s">
        <v>208</v>
      </c>
      <c r="E238" s="154" t="s">
        <v>208</v>
      </c>
      <c r="F238" s="154" t="s">
        <v>208</v>
      </c>
      <c r="G238" s="154"/>
      <c r="H238" s="154" t="s">
        <v>208</v>
      </c>
      <c r="I238" s="155"/>
      <c r="J238" s="155"/>
      <c r="K238" s="158" t="s">
        <v>215</v>
      </c>
    </row>
    <row r="239">
      <c r="A239" s="153">
        <f t="shared" si="2"/>
        <v>238</v>
      </c>
      <c r="B239" s="154"/>
      <c r="C239" s="154" t="s">
        <v>208</v>
      </c>
      <c r="D239" s="154" t="s">
        <v>208</v>
      </c>
      <c r="E239" s="154" t="s">
        <v>208</v>
      </c>
      <c r="F239" s="154" t="s">
        <v>208</v>
      </c>
      <c r="G239" s="154" t="s">
        <v>208</v>
      </c>
      <c r="H239" s="155"/>
      <c r="I239" s="155"/>
      <c r="J239" s="155"/>
      <c r="K239" s="158" t="s">
        <v>215</v>
      </c>
    </row>
    <row r="240">
      <c r="A240" s="177">
        <f t="shared" si="2"/>
        <v>239</v>
      </c>
      <c r="B240" s="154"/>
      <c r="C240" s="154"/>
      <c r="D240" s="154" t="s">
        <v>208</v>
      </c>
      <c r="E240" s="154" t="s">
        <v>208</v>
      </c>
      <c r="F240" s="154" t="s">
        <v>208</v>
      </c>
      <c r="G240" s="155"/>
      <c r="H240" s="154" t="s">
        <v>208</v>
      </c>
      <c r="I240" s="155"/>
      <c r="J240" s="155"/>
      <c r="K240" s="158" t="s">
        <v>215</v>
      </c>
    </row>
    <row r="241">
      <c r="A241" s="153">
        <f t="shared" si="2"/>
        <v>240</v>
      </c>
      <c r="B241" s="154"/>
      <c r="C241" s="154" t="s">
        <v>208</v>
      </c>
      <c r="D241" s="154" t="s">
        <v>208</v>
      </c>
      <c r="E241" s="154" t="s">
        <v>208</v>
      </c>
      <c r="F241" s="154" t="s">
        <v>208</v>
      </c>
      <c r="G241" s="154" t="s">
        <v>208</v>
      </c>
      <c r="H241" s="155"/>
      <c r="I241" s="155"/>
      <c r="J241" s="155"/>
      <c r="K241" s="158" t="s">
        <v>215</v>
      </c>
    </row>
    <row r="242">
      <c r="A242" s="153">
        <f t="shared" si="2"/>
        <v>241</v>
      </c>
      <c r="B242" s="155"/>
      <c r="C242" s="154" t="s">
        <v>208</v>
      </c>
      <c r="D242" s="154" t="s">
        <v>208</v>
      </c>
      <c r="E242" s="154" t="s">
        <v>208</v>
      </c>
      <c r="F242" s="154" t="s">
        <v>208</v>
      </c>
      <c r="G242" s="154" t="s">
        <v>208</v>
      </c>
      <c r="H242" s="155"/>
      <c r="I242" s="155"/>
      <c r="J242" s="155"/>
      <c r="K242" s="158" t="s">
        <v>215</v>
      </c>
    </row>
    <row r="243">
      <c r="A243" s="153">
        <f t="shared" si="2"/>
        <v>242</v>
      </c>
      <c r="B243" s="154"/>
      <c r="C243" s="154"/>
      <c r="D243" s="154"/>
      <c r="E243" s="154"/>
      <c r="F243" s="154"/>
      <c r="G243" s="154"/>
      <c r="H243" s="155"/>
      <c r="I243" s="155"/>
      <c r="J243" s="154" t="s">
        <v>217</v>
      </c>
      <c r="K243" s="158" t="s">
        <v>215</v>
      </c>
    </row>
    <row r="244">
      <c r="A244" s="153">
        <f t="shared" si="2"/>
        <v>243</v>
      </c>
      <c r="B244" s="154"/>
      <c r="C244" s="154" t="s">
        <v>208</v>
      </c>
      <c r="D244" s="154" t="s">
        <v>208</v>
      </c>
      <c r="E244" s="154" t="s">
        <v>208</v>
      </c>
      <c r="F244" s="154" t="s">
        <v>208</v>
      </c>
      <c r="G244" s="154" t="s">
        <v>208</v>
      </c>
      <c r="H244" s="155"/>
      <c r="I244" s="155"/>
      <c r="J244" s="155"/>
      <c r="K244" s="158" t="s">
        <v>215</v>
      </c>
    </row>
    <row r="245">
      <c r="A245" s="153">
        <f t="shared" si="2"/>
        <v>244</v>
      </c>
      <c r="B245" s="154"/>
      <c r="C245" s="154" t="s">
        <v>208</v>
      </c>
      <c r="D245" s="154" t="s">
        <v>208</v>
      </c>
      <c r="E245" s="154" t="s">
        <v>208</v>
      </c>
      <c r="F245" s="154" t="s">
        <v>208</v>
      </c>
      <c r="G245" s="154" t="s">
        <v>208</v>
      </c>
      <c r="H245" s="155"/>
      <c r="I245" s="155"/>
      <c r="J245" s="155"/>
      <c r="K245" s="158" t="s">
        <v>215</v>
      </c>
    </row>
    <row r="246">
      <c r="A246" s="153">
        <f t="shared" si="2"/>
        <v>245</v>
      </c>
      <c r="B246" s="155"/>
      <c r="C246" s="154" t="s">
        <v>208</v>
      </c>
      <c r="D246" s="154" t="s">
        <v>208</v>
      </c>
      <c r="E246" s="154" t="s">
        <v>208</v>
      </c>
      <c r="F246" s="154" t="s">
        <v>208</v>
      </c>
      <c r="G246" s="154" t="s">
        <v>208</v>
      </c>
      <c r="H246" s="155"/>
      <c r="I246" s="155"/>
      <c r="J246" s="155"/>
      <c r="K246" s="158" t="s">
        <v>215</v>
      </c>
    </row>
    <row r="247">
      <c r="A247" s="153">
        <f t="shared" si="2"/>
        <v>246</v>
      </c>
      <c r="B247" s="154"/>
      <c r="C247" s="154" t="s">
        <v>208</v>
      </c>
      <c r="D247" s="154" t="s">
        <v>208</v>
      </c>
      <c r="E247" s="154" t="s">
        <v>208</v>
      </c>
      <c r="F247" s="154" t="s">
        <v>208</v>
      </c>
      <c r="G247" s="154" t="s">
        <v>208</v>
      </c>
      <c r="H247" s="155"/>
      <c r="I247" s="155"/>
      <c r="J247" s="155"/>
      <c r="K247" s="158" t="s">
        <v>215</v>
      </c>
    </row>
    <row r="248">
      <c r="A248" s="177">
        <f t="shared" si="2"/>
        <v>247</v>
      </c>
      <c r="B248" s="154"/>
      <c r="C248" s="154"/>
      <c r="D248" s="154" t="s">
        <v>208</v>
      </c>
      <c r="E248" s="154" t="s">
        <v>208</v>
      </c>
      <c r="F248" s="154" t="s">
        <v>208</v>
      </c>
      <c r="G248" s="155"/>
      <c r="H248" s="154" t="s">
        <v>208</v>
      </c>
      <c r="I248" s="155"/>
      <c r="J248" s="155"/>
      <c r="K248" s="158" t="s">
        <v>215</v>
      </c>
    </row>
    <row r="249">
      <c r="A249" s="153">
        <f t="shared" si="2"/>
        <v>248</v>
      </c>
      <c r="B249" s="154"/>
      <c r="C249" s="154" t="s">
        <v>208</v>
      </c>
      <c r="D249" s="154" t="s">
        <v>208</v>
      </c>
      <c r="E249" s="154" t="s">
        <v>208</v>
      </c>
      <c r="F249" s="154" t="s">
        <v>208</v>
      </c>
      <c r="G249" s="154" t="s">
        <v>208</v>
      </c>
      <c r="H249" s="155"/>
      <c r="I249" s="155"/>
      <c r="J249" s="155"/>
      <c r="K249" s="158" t="s">
        <v>215</v>
      </c>
    </row>
    <row r="250">
      <c r="A250" s="153">
        <f t="shared" si="2"/>
        <v>249</v>
      </c>
      <c r="B250" s="154"/>
      <c r="C250" s="154" t="s">
        <v>208</v>
      </c>
      <c r="D250" s="154" t="s">
        <v>208</v>
      </c>
      <c r="E250" s="154" t="s">
        <v>208</v>
      </c>
      <c r="F250" s="154" t="s">
        <v>208</v>
      </c>
      <c r="G250" s="154" t="s">
        <v>208</v>
      </c>
      <c r="H250" s="155"/>
      <c r="I250" s="155"/>
      <c r="J250" s="155"/>
      <c r="K250" s="158" t="s">
        <v>215</v>
      </c>
    </row>
    <row r="251">
      <c r="A251" s="153">
        <f t="shared" si="2"/>
        <v>250</v>
      </c>
      <c r="B251" s="154"/>
      <c r="C251" s="154" t="s">
        <v>208</v>
      </c>
      <c r="D251" s="154" t="s">
        <v>208</v>
      </c>
      <c r="E251" s="154" t="s">
        <v>208</v>
      </c>
      <c r="F251" s="154" t="s">
        <v>208</v>
      </c>
      <c r="G251" s="154" t="s">
        <v>208</v>
      </c>
      <c r="H251" s="155"/>
      <c r="I251" s="155"/>
      <c r="J251" s="155"/>
      <c r="K251" s="158" t="s">
        <v>215</v>
      </c>
    </row>
    <row r="252">
      <c r="A252" s="153">
        <f t="shared" si="2"/>
        <v>251</v>
      </c>
      <c r="B252" s="154"/>
      <c r="C252" s="154" t="s">
        <v>208</v>
      </c>
      <c r="D252" s="154" t="s">
        <v>208</v>
      </c>
      <c r="E252" s="154" t="s">
        <v>208</v>
      </c>
      <c r="F252" s="154" t="s">
        <v>208</v>
      </c>
      <c r="G252" s="154" t="s">
        <v>208</v>
      </c>
      <c r="H252" s="155"/>
      <c r="I252" s="155"/>
      <c r="J252" s="155"/>
      <c r="K252" s="158" t="s">
        <v>215</v>
      </c>
    </row>
    <row r="253">
      <c r="A253" s="153">
        <f t="shared" si="2"/>
        <v>252</v>
      </c>
      <c r="B253" s="154"/>
      <c r="C253" s="154" t="s">
        <v>208</v>
      </c>
      <c r="D253" s="154" t="s">
        <v>208</v>
      </c>
      <c r="E253" s="154" t="s">
        <v>208</v>
      </c>
      <c r="F253" s="154" t="s">
        <v>208</v>
      </c>
      <c r="G253" s="154" t="s">
        <v>208</v>
      </c>
      <c r="H253" s="155"/>
      <c r="I253" s="155"/>
      <c r="J253" s="155"/>
      <c r="K253" s="158" t="s">
        <v>215</v>
      </c>
    </row>
    <row r="254">
      <c r="A254" s="153">
        <f t="shared" si="2"/>
        <v>253</v>
      </c>
      <c r="B254" s="154"/>
      <c r="C254" s="154" t="s">
        <v>208</v>
      </c>
      <c r="D254" s="154" t="s">
        <v>208</v>
      </c>
      <c r="E254" s="154" t="s">
        <v>208</v>
      </c>
      <c r="F254" s="154" t="s">
        <v>208</v>
      </c>
      <c r="G254" s="154" t="s">
        <v>208</v>
      </c>
      <c r="H254" s="155"/>
      <c r="I254" s="155"/>
      <c r="J254" s="155"/>
      <c r="K254" s="158" t="s">
        <v>215</v>
      </c>
    </row>
    <row r="255">
      <c r="A255" s="177">
        <f t="shared" si="2"/>
        <v>254</v>
      </c>
      <c r="B255" s="154"/>
      <c r="C255" s="154"/>
      <c r="D255" s="154" t="s">
        <v>208</v>
      </c>
      <c r="E255" s="154" t="s">
        <v>208</v>
      </c>
      <c r="F255" s="154" t="s">
        <v>208</v>
      </c>
      <c r="G255" s="155"/>
      <c r="H255" s="154" t="s">
        <v>208</v>
      </c>
      <c r="I255" s="155"/>
      <c r="J255" s="155"/>
      <c r="K255" s="158" t="s">
        <v>215</v>
      </c>
    </row>
    <row r="256">
      <c r="A256" s="153">
        <f t="shared" si="2"/>
        <v>255</v>
      </c>
      <c r="B256" s="154"/>
      <c r="C256" s="154" t="s">
        <v>208</v>
      </c>
      <c r="D256" s="154" t="s">
        <v>208</v>
      </c>
      <c r="E256" s="154"/>
      <c r="F256" s="154" t="s">
        <v>208</v>
      </c>
      <c r="G256" s="154" t="s">
        <v>208</v>
      </c>
      <c r="H256" s="155"/>
      <c r="I256" s="155"/>
      <c r="J256" s="155"/>
      <c r="K256" s="158" t="s">
        <v>215</v>
      </c>
    </row>
    <row r="257">
      <c r="A257" s="153">
        <f t="shared" si="2"/>
        <v>256</v>
      </c>
      <c r="B257" s="154"/>
      <c r="C257" s="154" t="s">
        <v>208</v>
      </c>
      <c r="D257" s="154" t="s">
        <v>208</v>
      </c>
      <c r="E257" s="154" t="s">
        <v>208</v>
      </c>
      <c r="F257" s="154" t="s">
        <v>208</v>
      </c>
      <c r="G257" s="154" t="s">
        <v>208</v>
      </c>
      <c r="H257" s="155"/>
      <c r="I257" s="155"/>
      <c r="J257" s="154"/>
      <c r="K257" s="158" t="s">
        <v>215</v>
      </c>
    </row>
    <row r="258">
      <c r="A258" s="153">
        <f t="shared" si="2"/>
        <v>257</v>
      </c>
      <c r="B258" s="154"/>
      <c r="C258" s="154" t="s">
        <v>208</v>
      </c>
      <c r="D258" s="154" t="s">
        <v>208</v>
      </c>
      <c r="E258" s="154" t="s">
        <v>208</v>
      </c>
      <c r="F258" s="154" t="s">
        <v>208</v>
      </c>
      <c r="G258" s="154" t="s">
        <v>208</v>
      </c>
      <c r="H258" s="155"/>
      <c r="I258" s="155"/>
      <c r="J258" s="155"/>
      <c r="K258" s="158" t="s">
        <v>215</v>
      </c>
    </row>
    <row r="259">
      <c r="A259" s="153">
        <f t="shared" si="2"/>
        <v>258</v>
      </c>
      <c r="B259" s="154"/>
      <c r="C259" s="154" t="s">
        <v>208</v>
      </c>
      <c r="D259" s="154" t="s">
        <v>208</v>
      </c>
      <c r="E259" s="154" t="s">
        <v>208</v>
      </c>
      <c r="F259" s="154" t="s">
        <v>208</v>
      </c>
      <c r="G259" s="154" t="s">
        <v>208</v>
      </c>
      <c r="H259" s="155"/>
      <c r="I259" s="155"/>
      <c r="J259" s="155"/>
      <c r="K259" s="158" t="s">
        <v>215</v>
      </c>
    </row>
    <row r="260">
      <c r="A260" s="153">
        <f t="shared" si="2"/>
        <v>259</v>
      </c>
      <c r="B260" s="154"/>
      <c r="C260" s="154" t="s">
        <v>208</v>
      </c>
      <c r="D260" s="154" t="s">
        <v>208</v>
      </c>
      <c r="E260" s="154" t="s">
        <v>208</v>
      </c>
      <c r="F260" s="154" t="s">
        <v>208</v>
      </c>
      <c r="G260" s="154" t="s">
        <v>208</v>
      </c>
      <c r="H260" s="155"/>
      <c r="I260" s="155"/>
      <c r="J260" s="155"/>
      <c r="K260" s="158" t="s">
        <v>215</v>
      </c>
    </row>
    <row r="261">
      <c r="A261" s="153">
        <f t="shared" si="2"/>
        <v>260</v>
      </c>
      <c r="B261" s="154"/>
      <c r="C261" s="154" t="s">
        <v>208</v>
      </c>
      <c r="D261" s="154" t="s">
        <v>208</v>
      </c>
      <c r="E261" s="154" t="s">
        <v>208</v>
      </c>
      <c r="F261" s="154" t="s">
        <v>208</v>
      </c>
      <c r="G261" s="154" t="s">
        <v>208</v>
      </c>
      <c r="H261" s="155"/>
      <c r="I261" s="155"/>
      <c r="J261" s="155"/>
      <c r="K261" s="158" t="s">
        <v>215</v>
      </c>
    </row>
    <row r="262">
      <c r="A262" s="153">
        <f t="shared" si="2"/>
        <v>261</v>
      </c>
      <c r="B262" s="154"/>
      <c r="C262" s="154" t="s">
        <v>208</v>
      </c>
      <c r="D262" s="154" t="s">
        <v>208</v>
      </c>
      <c r="E262" s="154" t="s">
        <v>208</v>
      </c>
      <c r="F262" s="154" t="s">
        <v>208</v>
      </c>
      <c r="G262" s="154" t="s">
        <v>208</v>
      </c>
      <c r="H262" s="155"/>
      <c r="I262" s="155"/>
      <c r="J262" s="155"/>
      <c r="K262" s="158" t="s">
        <v>215</v>
      </c>
    </row>
    <row r="263">
      <c r="A263" s="153">
        <f t="shared" si="2"/>
        <v>262</v>
      </c>
      <c r="B263" s="154"/>
      <c r="C263" s="154" t="s">
        <v>208</v>
      </c>
      <c r="D263" s="154" t="s">
        <v>208</v>
      </c>
      <c r="E263" s="154" t="s">
        <v>208</v>
      </c>
      <c r="F263" s="154" t="s">
        <v>208</v>
      </c>
      <c r="G263" s="154" t="s">
        <v>208</v>
      </c>
      <c r="H263" s="155"/>
      <c r="I263" s="155"/>
      <c r="J263" s="155"/>
      <c r="K263" s="158" t="s">
        <v>215</v>
      </c>
    </row>
    <row r="264">
      <c r="A264" s="153">
        <f t="shared" si="2"/>
        <v>263</v>
      </c>
      <c r="B264" s="154"/>
      <c r="C264" s="154" t="s">
        <v>208</v>
      </c>
      <c r="D264" s="154" t="s">
        <v>218</v>
      </c>
      <c r="E264" s="154" t="s">
        <v>208</v>
      </c>
      <c r="F264" s="154" t="s">
        <v>208</v>
      </c>
      <c r="G264" s="154" t="s">
        <v>208</v>
      </c>
      <c r="H264" s="155"/>
      <c r="I264" s="155"/>
      <c r="J264" s="155"/>
      <c r="K264" s="158" t="s">
        <v>215</v>
      </c>
    </row>
    <row r="265">
      <c r="A265" s="153">
        <f t="shared" si="2"/>
        <v>264</v>
      </c>
      <c r="B265" s="154"/>
      <c r="C265" s="154" t="s">
        <v>208</v>
      </c>
      <c r="D265" s="154" t="s">
        <v>208</v>
      </c>
      <c r="E265" s="154" t="s">
        <v>208</v>
      </c>
      <c r="F265" s="154" t="s">
        <v>208</v>
      </c>
      <c r="G265" s="154" t="s">
        <v>208</v>
      </c>
      <c r="H265" s="155"/>
      <c r="I265" s="155"/>
      <c r="J265" s="155"/>
      <c r="K265" s="158" t="s">
        <v>215</v>
      </c>
    </row>
    <row r="266">
      <c r="A266" s="153">
        <f t="shared" si="2"/>
        <v>265</v>
      </c>
      <c r="B266" s="154"/>
      <c r="C266" s="154" t="s">
        <v>208</v>
      </c>
      <c r="D266" s="154" t="s">
        <v>208</v>
      </c>
      <c r="E266" s="154" t="s">
        <v>208</v>
      </c>
      <c r="F266" s="154" t="s">
        <v>208</v>
      </c>
      <c r="G266" s="154" t="s">
        <v>208</v>
      </c>
      <c r="H266" s="155"/>
      <c r="I266" s="155"/>
      <c r="J266" s="155"/>
      <c r="K266" s="158" t="s">
        <v>215</v>
      </c>
    </row>
    <row r="267">
      <c r="A267" s="153">
        <f t="shared" si="2"/>
        <v>266</v>
      </c>
      <c r="B267" s="154"/>
      <c r="C267" s="154" t="s">
        <v>208</v>
      </c>
      <c r="D267" s="154" t="s">
        <v>208</v>
      </c>
      <c r="E267" s="154" t="s">
        <v>208</v>
      </c>
      <c r="F267" s="154" t="s">
        <v>208</v>
      </c>
      <c r="G267" s="154" t="s">
        <v>208</v>
      </c>
      <c r="H267" s="155"/>
      <c r="I267" s="155"/>
      <c r="J267" s="155"/>
      <c r="K267" s="158" t="s">
        <v>215</v>
      </c>
    </row>
    <row r="268">
      <c r="A268" s="153">
        <f t="shared" si="2"/>
        <v>267</v>
      </c>
      <c r="B268" s="154"/>
      <c r="C268" s="154" t="s">
        <v>208</v>
      </c>
      <c r="D268" s="154" t="s">
        <v>208</v>
      </c>
      <c r="E268" s="154" t="s">
        <v>208</v>
      </c>
      <c r="F268" s="154" t="s">
        <v>208</v>
      </c>
      <c r="G268" s="154" t="s">
        <v>208</v>
      </c>
      <c r="H268" s="155"/>
      <c r="I268" s="155"/>
      <c r="J268" s="155"/>
      <c r="K268" s="158" t="s">
        <v>215</v>
      </c>
    </row>
    <row r="269">
      <c r="A269" s="153">
        <f t="shared" si="2"/>
        <v>268</v>
      </c>
      <c r="B269" s="154"/>
      <c r="C269" s="154" t="s">
        <v>208</v>
      </c>
      <c r="D269" s="154" t="s">
        <v>208</v>
      </c>
      <c r="E269" s="154" t="s">
        <v>208</v>
      </c>
      <c r="F269" s="154" t="s">
        <v>208</v>
      </c>
      <c r="G269" s="154" t="s">
        <v>208</v>
      </c>
      <c r="H269" s="155"/>
      <c r="I269" s="155"/>
      <c r="J269" s="155"/>
      <c r="K269" s="158" t="s">
        <v>215</v>
      </c>
    </row>
    <row r="270">
      <c r="A270" s="153">
        <f t="shared" si="2"/>
        <v>269</v>
      </c>
      <c r="B270" s="154"/>
      <c r="C270" s="154" t="s">
        <v>208</v>
      </c>
      <c r="D270" s="154" t="s">
        <v>208</v>
      </c>
      <c r="E270" s="154" t="s">
        <v>208</v>
      </c>
      <c r="F270" s="154" t="s">
        <v>208</v>
      </c>
      <c r="G270" s="154" t="s">
        <v>208</v>
      </c>
      <c r="H270" s="155"/>
      <c r="I270" s="155"/>
      <c r="J270" s="155"/>
      <c r="K270" s="158" t="s">
        <v>215</v>
      </c>
    </row>
    <row r="271">
      <c r="A271" s="153">
        <f t="shared" si="2"/>
        <v>270</v>
      </c>
      <c r="B271" s="154"/>
      <c r="C271" s="154" t="s">
        <v>208</v>
      </c>
      <c r="D271" s="154" t="s">
        <v>208</v>
      </c>
      <c r="E271" s="154" t="s">
        <v>208</v>
      </c>
      <c r="F271" s="154" t="s">
        <v>208</v>
      </c>
      <c r="G271" s="154" t="s">
        <v>208</v>
      </c>
      <c r="H271" s="155"/>
      <c r="I271" s="155"/>
      <c r="J271" s="155"/>
      <c r="K271" s="158" t="s">
        <v>215</v>
      </c>
    </row>
    <row r="272">
      <c r="A272" s="153">
        <f t="shared" si="2"/>
        <v>271</v>
      </c>
      <c r="B272" s="154"/>
      <c r="C272" s="154" t="s">
        <v>208</v>
      </c>
      <c r="D272" s="154" t="s">
        <v>208</v>
      </c>
      <c r="E272" s="154" t="s">
        <v>208</v>
      </c>
      <c r="F272" s="154" t="s">
        <v>208</v>
      </c>
      <c r="G272" s="154" t="s">
        <v>208</v>
      </c>
      <c r="H272" s="155"/>
      <c r="I272" s="155"/>
      <c r="J272" s="155"/>
      <c r="K272" s="158" t="s">
        <v>215</v>
      </c>
    </row>
    <row r="273">
      <c r="A273" s="153">
        <f t="shared" si="2"/>
        <v>272</v>
      </c>
      <c r="B273" s="154"/>
      <c r="C273" s="154" t="s">
        <v>208</v>
      </c>
      <c r="D273" s="154" t="s">
        <v>208</v>
      </c>
      <c r="E273" s="154" t="s">
        <v>208</v>
      </c>
      <c r="F273" s="154" t="s">
        <v>208</v>
      </c>
      <c r="G273" s="154" t="s">
        <v>208</v>
      </c>
      <c r="H273" s="155"/>
      <c r="I273" s="155"/>
      <c r="J273" s="155"/>
      <c r="K273" s="158" t="s">
        <v>215</v>
      </c>
    </row>
    <row r="274">
      <c r="A274" s="153">
        <f t="shared" si="2"/>
        <v>273</v>
      </c>
      <c r="B274" s="154"/>
      <c r="C274" s="154" t="s">
        <v>208</v>
      </c>
      <c r="D274" s="154" t="s">
        <v>218</v>
      </c>
      <c r="E274" s="154" t="s">
        <v>208</v>
      </c>
      <c r="F274" s="154" t="s">
        <v>208</v>
      </c>
      <c r="G274" s="154" t="s">
        <v>208</v>
      </c>
      <c r="H274" s="155"/>
      <c r="I274" s="155"/>
      <c r="J274" s="155"/>
      <c r="K274" s="158" t="s">
        <v>215</v>
      </c>
    </row>
    <row r="275">
      <c r="A275" s="153">
        <f t="shared" si="2"/>
        <v>274</v>
      </c>
      <c r="B275" s="154"/>
      <c r="C275" s="154" t="s">
        <v>208</v>
      </c>
      <c r="D275" s="154" t="s">
        <v>218</v>
      </c>
      <c r="E275" s="154" t="s">
        <v>208</v>
      </c>
      <c r="F275" s="154" t="s">
        <v>208</v>
      </c>
      <c r="G275" s="154" t="s">
        <v>208</v>
      </c>
      <c r="H275" s="155"/>
      <c r="I275" s="155"/>
      <c r="J275" s="155"/>
      <c r="K275" s="158" t="s">
        <v>215</v>
      </c>
    </row>
    <row r="276">
      <c r="A276" s="177">
        <f t="shared" si="2"/>
        <v>275</v>
      </c>
      <c r="B276" s="154"/>
      <c r="C276" s="154"/>
      <c r="D276" s="154" t="s">
        <v>208</v>
      </c>
      <c r="E276" s="154" t="s">
        <v>208</v>
      </c>
      <c r="F276" s="154" t="s">
        <v>208</v>
      </c>
      <c r="G276" s="155"/>
      <c r="H276" s="154" t="s">
        <v>208</v>
      </c>
      <c r="I276" s="155"/>
      <c r="J276" s="155"/>
      <c r="K276" s="158" t="s">
        <v>215</v>
      </c>
    </row>
    <row r="277">
      <c r="A277" s="153">
        <f t="shared" si="2"/>
        <v>276</v>
      </c>
      <c r="B277" s="154"/>
      <c r="C277" s="154" t="s">
        <v>208</v>
      </c>
      <c r="D277" s="154" t="s">
        <v>218</v>
      </c>
      <c r="E277" s="154" t="s">
        <v>208</v>
      </c>
      <c r="F277" s="154" t="s">
        <v>208</v>
      </c>
      <c r="G277" s="154" t="s">
        <v>208</v>
      </c>
      <c r="H277" s="155"/>
      <c r="I277" s="155"/>
      <c r="J277" s="155"/>
      <c r="K277" s="158" t="s">
        <v>215</v>
      </c>
    </row>
    <row r="278">
      <c r="A278" s="153">
        <f t="shared" si="2"/>
        <v>277</v>
      </c>
      <c r="B278" s="154"/>
      <c r="C278" s="154" t="s">
        <v>208</v>
      </c>
      <c r="D278" s="154" t="s">
        <v>208</v>
      </c>
      <c r="E278" s="154" t="s">
        <v>208</v>
      </c>
      <c r="F278" s="154" t="s">
        <v>208</v>
      </c>
      <c r="G278" s="154" t="s">
        <v>208</v>
      </c>
      <c r="H278" s="155"/>
      <c r="I278" s="155"/>
      <c r="J278" s="155"/>
      <c r="K278" s="158" t="s">
        <v>215</v>
      </c>
    </row>
    <row r="279">
      <c r="A279" s="153">
        <f t="shared" si="2"/>
        <v>278</v>
      </c>
      <c r="B279" s="154"/>
      <c r="C279" s="154" t="s">
        <v>208</v>
      </c>
      <c r="D279" s="154" t="s">
        <v>208</v>
      </c>
      <c r="E279" s="154" t="s">
        <v>208</v>
      </c>
      <c r="F279" s="154" t="s">
        <v>208</v>
      </c>
      <c r="G279" s="154" t="s">
        <v>208</v>
      </c>
      <c r="H279" s="155"/>
      <c r="I279" s="155"/>
      <c r="J279" s="155"/>
      <c r="K279" s="158" t="s">
        <v>215</v>
      </c>
    </row>
    <row r="280">
      <c r="A280" s="153">
        <f t="shared" si="2"/>
        <v>279</v>
      </c>
      <c r="B280" s="154"/>
      <c r="C280" s="154" t="s">
        <v>208</v>
      </c>
      <c r="D280" s="154" t="s">
        <v>208</v>
      </c>
      <c r="E280" s="154" t="s">
        <v>208</v>
      </c>
      <c r="F280" s="154" t="s">
        <v>208</v>
      </c>
      <c r="G280" s="154" t="s">
        <v>208</v>
      </c>
      <c r="H280" s="155"/>
      <c r="I280" s="155"/>
      <c r="J280" s="155"/>
      <c r="K280" s="158" t="s">
        <v>215</v>
      </c>
    </row>
    <row r="281">
      <c r="A281" s="153">
        <f t="shared" si="2"/>
        <v>280</v>
      </c>
      <c r="B281" s="154"/>
      <c r="C281" s="154" t="s">
        <v>208</v>
      </c>
      <c r="D281" s="154" t="s">
        <v>208</v>
      </c>
      <c r="E281" s="154"/>
      <c r="F281" s="154" t="s">
        <v>208</v>
      </c>
      <c r="G281" s="154" t="s">
        <v>208</v>
      </c>
      <c r="H281" s="155"/>
      <c r="I281" s="155"/>
      <c r="J281" s="155"/>
      <c r="K281" s="158" t="s">
        <v>215</v>
      </c>
    </row>
    <row r="282">
      <c r="A282" s="153">
        <f t="shared" si="2"/>
        <v>281</v>
      </c>
      <c r="B282" s="154"/>
      <c r="C282" s="154" t="s">
        <v>208</v>
      </c>
      <c r="D282" s="154" t="s">
        <v>208</v>
      </c>
      <c r="E282" s="154" t="s">
        <v>208</v>
      </c>
      <c r="F282" s="154" t="s">
        <v>208</v>
      </c>
      <c r="G282" s="154" t="s">
        <v>208</v>
      </c>
      <c r="H282" s="155"/>
      <c r="I282" s="155"/>
      <c r="J282" s="155"/>
      <c r="K282" s="158" t="s">
        <v>215</v>
      </c>
    </row>
    <row r="283">
      <c r="A283" s="153">
        <f t="shared" si="2"/>
        <v>282</v>
      </c>
      <c r="B283" s="154"/>
      <c r="C283" s="154" t="s">
        <v>208</v>
      </c>
      <c r="D283" s="154" t="s">
        <v>208</v>
      </c>
      <c r="E283" s="154" t="s">
        <v>208</v>
      </c>
      <c r="F283" s="154" t="s">
        <v>208</v>
      </c>
      <c r="G283" s="154" t="s">
        <v>208</v>
      </c>
      <c r="H283" s="155"/>
      <c r="I283" s="155"/>
      <c r="J283" s="155"/>
      <c r="K283" s="158" t="s">
        <v>215</v>
      </c>
    </row>
    <row r="284">
      <c r="A284" s="153">
        <f t="shared" si="2"/>
        <v>283</v>
      </c>
      <c r="B284" s="154"/>
      <c r="C284" s="154" t="s">
        <v>208</v>
      </c>
      <c r="D284" s="154" t="s">
        <v>208</v>
      </c>
      <c r="E284" s="154" t="s">
        <v>208</v>
      </c>
      <c r="F284" s="154" t="s">
        <v>208</v>
      </c>
      <c r="G284" s="154" t="s">
        <v>208</v>
      </c>
      <c r="H284" s="155"/>
      <c r="I284" s="155"/>
      <c r="J284" s="155"/>
      <c r="K284" s="158" t="s">
        <v>215</v>
      </c>
    </row>
    <row r="285">
      <c r="A285" s="153">
        <f t="shared" si="2"/>
        <v>284</v>
      </c>
      <c r="B285" s="154"/>
      <c r="C285" s="154" t="s">
        <v>208</v>
      </c>
      <c r="D285" s="154" t="s">
        <v>208</v>
      </c>
      <c r="E285" s="154" t="s">
        <v>208</v>
      </c>
      <c r="F285" s="154" t="s">
        <v>208</v>
      </c>
      <c r="G285" s="154" t="s">
        <v>208</v>
      </c>
      <c r="H285" s="155"/>
      <c r="I285" s="155"/>
      <c r="J285" s="155"/>
      <c r="K285" s="158" t="s">
        <v>215</v>
      </c>
    </row>
    <row r="286">
      <c r="A286" s="153">
        <f t="shared" si="2"/>
        <v>285</v>
      </c>
      <c r="B286" s="154"/>
      <c r="C286" s="154" t="s">
        <v>208</v>
      </c>
      <c r="D286" s="154" t="s">
        <v>208</v>
      </c>
      <c r="E286" s="154" t="s">
        <v>208</v>
      </c>
      <c r="F286" s="154" t="s">
        <v>208</v>
      </c>
      <c r="G286" s="154" t="s">
        <v>208</v>
      </c>
      <c r="H286" s="155"/>
      <c r="I286" s="155"/>
      <c r="J286" s="155"/>
      <c r="K286" s="158" t="s">
        <v>215</v>
      </c>
    </row>
    <row r="287">
      <c r="A287" s="177">
        <f t="shared" si="2"/>
        <v>286</v>
      </c>
      <c r="B287" s="154"/>
      <c r="C287" s="154"/>
      <c r="D287" s="154" t="s">
        <v>208</v>
      </c>
      <c r="E287" s="154" t="s">
        <v>208</v>
      </c>
      <c r="F287" s="154" t="s">
        <v>208</v>
      </c>
      <c r="G287" s="155"/>
      <c r="H287" s="154" t="s">
        <v>208</v>
      </c>
      <c r="I287" s="155"/>
      <c r="J287" s="155"/>
      <c r="K287" s="158" t="s">
        <v>215</v>
      </c>
    </row>
    <row r="288">
      <c r="A288" s="153">
        <f t="shared" si="2"/>
        <v>287</v>
      </c>
      <c r="B288" s="154"/>
      <c r="C288" s="154" t="s">
        <v>208</v>
      </c>
      <c r="D288" s="154" t="s">
        <v>208</v>
      </c>
      <c r="E288" s="154" t="s">
        <v>208</v>
      </c>
      <c r="F288" s="154" t="s">
        <v>208</v>
      </c>
      <c r="G288" s="154" t="s">
        <v>208</v>
      </c>
      <c r="H288" s="155"/>
      <c r="I288" s="155"/>
      <c r="J288" s="155"/>
      <c r="K288" s="158" t="s">
        <v>215</v>
      </c>
    </row>
    <row r="289">
      <c r="A289" s="153">
        <f t="shared" si="2"/>
        <v>288</v>
      </c>
      <c r="B289" s="154"/>
      <c r="C289" s="154" t="s">
        <v>208</v>
      </c>
      <c r="D289" s="154" t="s">
        <v>208</v>
      </c>
      <c r="E289" s="154" t="s">
        <v>208</v>
      </c>
      <c r="F289" s="154" t="s">
        <v>208</v>
      </c>
      <c r="G289" s="154" t="s">
        <v>208</v>
      </c>
      <c r="H289" s="155"/>
      <c r="I289" s="155"/>
      <c r="J289" s="155"/>
      <c r="K289" s="158" t="s">
        <v>215</v>
      </c>
    </row>
    <row r="290">
      <c r="A290" s="153">
        <f t="shared" si="2"/>
        <v>289</v>
      </c>
      <c r="B290" s="154"/>
      <c r="C290" s="154" t="s">
        <v>208</v>
      </c>
      <c r="D290" s="154" t="s">
        <v>208</v>
      </c>
      <c r="E290" s="154" t="s">
        <v>208</v>
      </c>
      <c r="F290" s="154" t="s">
        <v>208</v>
      </c>
      <c r="G290" s="154" t="s">
        <v>208</v>
      </c>
      <c r="H290" s="155"/>
      <c r="I290" s="155"/>
      <c r="J290" s="155"/>
      <c r="K290" s="158" t="s">
        <v>215</v>
      </c>
    </row>
    <row r="291">
      <c r="A291" s="153">
        <f t="shared" si="2"/>
        <v>290</v>
      </c>
      <c r="B291" s="154"/>
      <c r="C291" s="154" t="s">
        <v>208</v>
      </c>
      <c r="D291" s="154" t="s">
        <v>208</v>
      </c>
      <c r="E291" s="154" t="s">
        <v>208</v>
      </c>
      <c r="F291" s="154" t="s">
        <v>208</v>
      </c>
      <c r="G291" s="154" t="s">
        <v>208</v>
      </c>
      <c r="H291" s="155"/>
      <c r="I291" s="155"/>
      <c r="J291" s="155"/>
      <c r="K291" s="158" t="s">
        <v>215</v>
      </c>
    </row>
    <row r="292">
      <c r="A292" s="153">
        <f t="shared" si="2"/>
        <v>291</v>
      </c>
      <c r="B292" s="154"/>
      <c r="C292" s="154" t="s">
        <v>208</v>
      </c>
      <c r="D292" s="154" t="s">
        <v>208</v>
      </c>
      <c r="E292" s="154" t="s">
        <v>208</v>
      </c>
      <c r="F292" s="154" t="s">
        <v>208</v>
      </c>
      <c r="G292" s="154" t="s">
        <v>208</v>
      </c>
      <c r="H292" s="155"/>
      <c r="I292" s="155"/>
      <c r="J292" s="155"/>
      <c r="K292" s="158" t="s">
        <v>215</v>
      </c>
    </row>
    <row r="293">
      <c r="A293" s="153">
        <f t="shared" si="2"/>
        <v>292</v>
      </c>
      <c r="B293" s="154"/>
      <c r="C293" s="154" t="s">
        <v>208</v>
      </c>
      <c r="D293" s="154" t="s">
        <v>208</v>
      </c>
      <c r="E293" s="154"/>
      <c r="F293" s="154" t="s">
        <v>208</v>
      </c>
      <c r="G293" s="154" t="s">
        <v>208</v>
      </c>
      <c r="H293" s="155"/>
      <c r="I293" s="155"/>
      <c r="J293" s="155"/>
      <c r="K293" s="158" t="s">
        <v>215</v>
      </c>
    </row>
    <row r="294">
      <c r="A294" s="153">
        <f t="shared" si="2"/>
        <v>293</v>
      </c>
      <c r="B294" s="154"/>
      <c r="C294" s="154" t="s">
        <v>208</v>
      </c>
      <c r="D294" s="154" t="s">
        <v>208</v>
      </c>
      <c r="E294" s="154" t="s">
        <v>208</v>
      </c>
      <c r="F294" s="154" t="s">
        <v>208</v>
      </c>
      <c r="G294" s="154" t="s">
        <v>208</v>
      </c>
      <c r="H294" s="155"/>
      <c r="I294" s="155"/>
      <c r="J294" s="155"/>
      <c r="K294" s="158" t="s">
        <v>215</v>
      </c>
    </row>
    <row r="295">
      <c r="A295" s="153">
        <f t="shared" si="2"/>
        <v>294</v>
      </c>
      <c r="B295" s="154"/>
      <c r="C295" s="154" t="s">
        <v>208</v>
      </c>
      <c r="D295" s="154" t="s">
        <v>208</v>
      </c>
      <c r="E295" s="154" t="s">
        <v>208</v>
      </c>
      <c r="F295" s="154" t="s">
        <v>208</v>
      </c>
      <c r="G295" s="154" t="s">
        <v>208</v>
      </c>
      <c r="H295" s="155"/>
      <c r="I295" s="155"/>
      <c r="J295" s="155"/>
      <c r="K295" s="158" t="s">
        <v>215</v>
      </c>
    </row>
    <row r="296">
      <c r="A296" s="153">
        <f t="shared" si="2"/>
        <v>295</v>
      </c>
      <c r="B296" s="154"/>
      <c r="C296" s="154" t="s">
        <v>208</v>
      </c>
      <c r="D296" s="154" t="s">
        <v>208</v>
      </c>
      <c r="E296" s="154" t="s">
        <v>208</v>
      </c>
      <c r="F296" s="154" t="s">
        <v>208</v>
      </c>
      <c r="G296" s="154" t="s">
        <v>208</v>
      </c>
      <c r="H296" s="155"/>
      <c r="I296" s="155"/>
      <c r="J296" s="155"/>
      <c r="K296" s="158" t="s">
        <v>215</v>
      </c>
    </row>
    <row r="297">
      <c r="A297" s="153">
        <f t="shared" si="2"/>
        <v>296</v>
      </c>
      <c r="B297" s="154"/>
      <c r="C297" s="154"/>
      <c r="D297" s="154"/>
      <c r="E297" s="154"/>
      <c r="F297" s="154"/>
      <c r="G297" s="154"/>
      <c r="H297" s="155"/>
      <c r="I297" s="155"/>
      <c r="J297" s="154" t="s">
        <v>217</v>
      </c>
      <c r="K297" s="158" t="s">
        <v>215</v>
      </c>
    </row>
    <row r="298">
      <c r="A298" s="153">
        <f t="shared" si="2"/>
        <v>297</v>
      </c>
      <c r="B298" s="154"/>
      <c r="C298" s="154" t="s">
        <v>208</v>
      </c>
      <c r="D298" s="154" t="s">
        <v>208</v>
      </c>
      <c r="E298" s="154" t="s">
        <v>208</v>
      </c>
      <c r="F298" s="154" t="s">
        <v>208</v>
      </c>
      <c r="G298" s="154" t="s">
        <v>208</v>
      </c>
      <c r="H298" s="155"/>
      <c r="I298" s="155"/>
      <c r="J298" s="155"/>
      <c r="K298" s="158" t="s">
        <v>215</v>
      </c>
    </row>
    <row r="299">
      <c r="A299" s="153">
        <f t="shared" si="2"/>
        <v>298</v>
      </c>
      <c r="B299" s="154"/>
      <c r="C299" s="154" t="s">
        <v>208</v>
      </c>
      <c r="D299" s="154" t="s">
        <v>208</v>
      </c>
      <c r="E299" s="154" t="s">
        <v>208</v>
      </c>
      <c r="F299" s="154" t="s">
        <v>208</v>
      </c>
      <c r="G299" s="154" t="s">
        <v>208</v>
      </c>
      <c r="H299" s="155"/>
      <c r="I299" s="155"/>
      <c r="J299" s="155"/>
      <c r="K299" s="158" t="s">
        <v>215</v>
      </c>
    </row>
    <row r="300">
      <c r="A300" s="153">
        <f t="shared" si="2"/>
        <v>299</v>
      </c>
      <c r="B300" s="154"/>
      <c r="C300" s="154" t="s">
        <v>208</v>
      </c>
      <c r="D300" s="154" t="s">
        <v>208</v>
      </c>
      <c r="E300" s="154" t="s">
        <v>208</v>
      </c>
      <c r="F300" s="154" t="s">
        <v>208</v>
      </c>
      <c r="G300" s="154" t="s">
        <v>208</v>
      </c>
      <c r="H300" s="155"/>
      <c r="I300" s="155"/>
      <c r="J300" s="155"/>
      <c r="K300" s="158" t="s">
        <v>215</v>
      </c>
    </row>
    <row r="301">
      <c r="A301" s="153">
        <f t="shared" si="2"/>
        <v>300</v>
      </c>
      <c r="B301" s="154"/>
      <c r="C301" s="154" t="s">
        <v>208</v>
      </c>
      <c r="D301" s="154" t="s">
        <v>208</v>
      </c>
      <c r="E301" s="154" t="s">
        <v>208</v>
      </c>
      <c r="F301" s="154" t="s">
        <v>208</v>
      </c>
      <c r="G301" s="154" t="s">
        <v>208</v>
      </c>
      <c r="H301" s="155"/>
      <c r="I301" s="155"/>
      <c r="J301" s="155"/>
      <c r="K301" s="158" t="s">
        <v>215</v>
      </c>
    </row>
    <row r="302">
      <c r="A302" s="153">
        <f t="shared" si="2"/>
        <v>301</v>
      </c>
      <c r="B302" s="154"/>
      <c r="C302" s="154" t="s">
        <v>208</v>
      </c>
      <c r="D302" s="154" t="s">
        <v>208</v>
      </c>
      <c r="E302" s="154" t="s">
        <v>208</v>
      </c>
      <c r="F302" s="154" t="s">
        <v>208</v>
      </c>
      <c r="G302" s="154" t="s">
        <v>208</v>
      </c>
      <c r="H302" s="155"/>
      <c r="I302" s="155"/>
      <c r="J302" s="155"/>
      <c r="K302" s="158" t="s">
        <v>215</v>
      </c>
    </row>
    <row r="303">
      <c r="A303" s="153">
        <f t="shared" si="2"/>
        <v>302</v>
      </c>
      <c r="B303" s="154"/>
      <c r="C303" s="154" t="s">
        <v>208</v>
      </c>
      <c r="D303" s="154" t="s">
        <v>208</v>
      </c>
      <c r="E303" s="154" t="s">
        <v>208</v>
      </c>
      <c r="F303" s="154" t="s">
        <v>208</v>
      </c>
      <c r="G303" s="154" t="s">
        <v>208</v>
      </c>
      <c r="H303" s="155"/>
      <c r="I303" s="155"/>
      <c r="J303" s="155"/>
      <c r="K303" s="158" t="s">
        <v>215</v>
      </c>
    </row>
    <row r="304">
      <c r="A304" s="153">
        <f t="shared" si="2"/>
        <v>303</v>
      </c>
      <c r="B304" s="154"/>
      <c r="C304" s="154" t="s">
        <v>208</v>
      </c>
      <c r="D304" s="154" t="s">
        <v>208</v>
      </c>
      <c r="E304" s="154" t="s">
        <v>208</v>
      </c>
      <c r="F304" s="154" t="s">
        <v>208</v>
      </c>
      <c r="G304" s="154" t="s">
        <v>208</v>
      </c>
      <c r="H304" s="155"/>
      <c r="I304" s="155"/>
      <c r="J304" s="155"/>
      <c r="K304" s="158" t="s">
        <v>215</v>
      </c>
    </row>
    <row r="305">
      <c r="A305" s="153">
        <f t="shared" si="2"/>
        <v>304</v>
      </c>
      <c r="B305" s="154"/>
      <c r="C305" s="154" t="s">
        <v>208</v>
      </c>
      <c r="D305" s="154" t="s">
        <v>208</v>
      </c>
      <c r="E305" s="154" t="s">
        <v>208</v>
      </c>
      <c r="F305" s="154" t="s">
        <v>208</v>
      </c>
      <c r="G305" s="154" t="s">
        <v>208</v>
      </c>
      <c r="H305" s="155"/>
      <c r="I305" s="155"/>
      <c r="J305" s="155"/>
      <c r="K305" s="158" t="s">
        <v>215</v>
      </c>
    </row>
    <row r="306">
      <c r="A306" s="153">
        <f t="shared" si="2"/>
        <v>305</v>
      </c>
      <c r="B306" s="154"/>
      <c r="C306" s="154" t="s">
        <v>208</v>
      </c>
      <c r="D306" s="154" t="s">
        <v>208</v>
      </c>
      <c r="E306" s="154" t="s">
        <v>208</v>
      </c>
      <c r="F306" s="154" t="s">
        <v>208</v>
      </c>
      <c r="G306" s="154" t="s">
        <v>208</v>
      </c>
      <c r="H306" s="155"/>
      <c r="I306" s="155"/>
      <c r="J306" s="155"/>
      <c r="K306" s="158" t="s">
        <v>215</v>
      </c>
    </row>
    <row r="307">
      <c r="A307" s="153">
        <f t="shared" si="2"/>
        <v>306</v>
      </c>
      <c r="B307" s="154"/>
      <c r="C307" s="154" t="s">
        <v>208</v>
      </c>
      <c r="D307" s="154" t="s">
        <v>208</v>
      </c>
      <c r="E307" s="154" t="s">
        <v>208</v>
      </c>
      <c r="F307" s="154" t="s">
        <v>208</v>
      </c>
      <c r="G307" s="154" t="s">
        <v>208</v>
      </c>
      <c r="H307" s="155"/>
      <c r="I307" s="155"/>
      <c r="J307" s="155"/>
      <c r="K307" s="158" t="s">
        <v>215</v>
      </c>
    </row>
    <row r="308">
      <c r="A308" s="153">
        <f t="shared" si="2"/>
        <v>307</v>
      </c>
      <c r="B308" s="154"/>
      <c r="C308" s="154" t="s">
        <v>208</v>
      </c>
      <c r="D308" s="154" t="s">
        <v>208</v>
      </c>
      <c r="E308" s="154" t="s">
        <v>208</v>
      </c>
      <c r="F308" s="154" t="s">
        <v>208</v>
      </c>
      <c r="G308" s="154" t="s">
        <v>208</v>
      </c>
      <c r="H308" s="155"/>
      <c r="I308" s="155"/>
      <c r="J308" s="155"/>
      <c r="K308" s="158" t="s">
        <v>215</v>
      </c>
    </row>
    <row r="309">
      <c r="A309" s="153">
        <f t="shared" si="2"/>
        <v>308</v>
      </c>
      <c r="B309" s="154"/>
      <c r="C309" s="154" t="s">
        <v>208</v>
      </c>
      <c r="D309" s="154" t="s">
        <v>208</v>
      </c>
      <c r="E309" s="154" t="s">
        <v>208</v>
      </c>
      <c r="F309" s="154" t="s">
        <v>208</v>
      </c>
      <c r="G309" s="154" t="s">
        <v>208</v>
      </c>
      <c r="H309" s="155"/>
      <c r="I309" s="155"/>
      <c r="J309" s="155"/>
      <c r="K309" s="158" t="s">
        <v>215</v>
      </c>
    </row>
    <row r="310">
      <c r="A310" s="153">
        <f t="shared" si="2"/>
        <v>309</v>
      </c>
      <c r="B310" s="154"/>
      <c r="C310" s="154" t="s">
        <v>208</v>
      </c>
      <c r="D310" s="154" t="s">
        <v>208</v>
      </c>
      <c r="E310" s="154" t="s">
        <v>208</v>
      </c>
      <c r="F310" s="154" t="s">
        <v>208</v>
      </c>
      <c r="G310" s="154" t="s">
        <v>208</v>
      </c>
      <c r="H310" s="155"/>
      <c r="I310" s="155"/>
      <c r="J310" s="155"/>
      <c r="K310" s="158" t="s">
        <v>215</v>
      </c>
    </row>
    <row r="311">
      <c r="A311" s="153">
        <f t="shared" si="2"/>
        <v>310</v>
      </c>
      <c r="B311" s="154"/>
      <c r="C311" s="154" t="s">
        <v>208</v>
      </c>
      <c r="D311" s="154" t="s">
        <v>208</v>
      </c>
      <c r="E311" s="154" t="s">
        <v>208</v>
      </c>
      <c r="F311" s="154" t="s">
        <v>208</v>
      </c>
      <c r="G311" s="154" t="s">
        <v>208</v>
      </c>
      <c r="H311" s="155"/>
      <c r="I311" s="155"/>
      <c r="J311" s="155"/>
      <c r="K311" s="158" t="s">
        <v>215</v>
      </c>
    </row>
    <row r="312">
      <c r="A312" s="153">
        <f t="shared" si="2"/>
        <v>311</v>
      </c>
      <c r="B312" s="154"/>
      <c r="C312" s="154"/>
      <c r="D312" s="154"/>
      <c r="E312" s="154"/>
      <c r="F312" s="154"/>
      <c r="G312" s="155"/>
      <c r="H312" s="154"/>
      <c r="I312" s="155"/>
      <c r="J312" s="154" t="s">
        <v>217</v>
      </c>
      <c r="K312" s="158" t="s">
        <v>215</v>
      </c>
    </row>
    <row r="313">
      <c r="A313" s="153">
        <f t="shared" si="2"/>
        <v>312</v>
      </c>
      <c r="B313" s="154"/>
      <c r="C313" s="154" t="s">
        <v>208</v>
      </c>
      <c r="D313" s="154" t="s">
        <v>208</v>
      </c>
      <c r="E313" s="154" t="s">
        <v>208</v>
      </c>
      <c r="F313" s="154" t="s">
        <v>208</v>
      </c>
      <c r="G313" s="154" t="s">
        <v>208</v>
      </c>
      <c r="H313" s="155"/>
      <c r="I313" s="155"/>
      <c r="J313" s="155"/>
      <c r="K313" s="158" t="s">
        <v>215</v>
      </c>
    </row>
    <row r="314">
      <c r="A314" s="153">
        <f t="shared" si="2"/>
        <v>313</v>
      </c>
      <c r="B314" s="154"/>
      <c r="C314" s="154" t="s">
        <v>208</v>
      </c>
      <c r="D314" s="154" t="s">
        <v>208</v>
      </c>
      <c r="E314" s="154" t="s">
        <v>208</v>
      </c>
      <c r="F314" s="154" t="s">
        <v>208</v>
      </c>
      <c r="G314" s="154" t="s">
        <v>208</v>
      </c>
      <c r="H314" s="155"/>
      <c r="I314" s="155"/>
      <c r="J314" s="155"/>
      <c r="K314" s="158" t="s">
        <v>215</v>
      </c>
    </row>
    <row r="315">
      <c r="A315" s="153">
        <f t="shared" si="2"/>
        <v>314</v>
      </c>
      <c r="B315" s="154"/>
      <c r="C315" s="154" t="s">
        <v>208</v>
      </c>
      <c r="D315" s="154" t="s">
        <v>218</v>
      </c>
      <c r="E315" s="154" t="s">
        <v>208</v>
      </c>
      <c r="F315" s="154" t="s">
        <v>208</v>
      </c>
      <c r="G315" s="154" t="s">
        <v>208</v>
      </c>
      <c r="H315" s="155"/>
      <c r="I315" s="155"/>
      <c r="J315" s="155"/>
      <c r="K315" s="158" t="s">
        <v>215</v>
      </c>
    </row>
    <row r="316">
      <c r="A316" s="153">
        <f t="shared" si="2"/>
        <v>315</v>
      </c>
      <c r="B316" s="154"/>
      <c r="C316" s="154" t="s">
        <v>208</v>
      </c>
      <c r="D316" s="154" t="s">
        <v>208</v>
      </c>
      <c r="E316" s="154" t="s">
        <v>208</v>
      </c>
      <c r="F316" s="154" t="s">
        <v>208</v>
      </c>
      <c r="G316" s="154" t="s">
        <v>208</v>
      </c>
      <c r="H316" s="154"/>
      <c r="I316" s="155"/>
      <c r="J316" s="155"/>
      <c r="K316" s="158" t="s">
        <v>215</v>
      </c>
    </row>
    <row r="317">
      <c r="A317" s="153">
        <f t="shared" si="2"/>
        <v>316</v>
      </c>
      <c r="B317" s="154"/>
      <c r="C317" s="154" t="s">
        <v>208</v>
      </c>
      <c r="D317" s="154" t="s">
        <v>208</v>
      </c>
      <c r="E317" s="154"/>
      <c r="F317" s="154" t="s">
        <v>208</v>
      </c>
      <c r="G317" s="154" t="s">
        <v>208</v>
      </c>
      <c r="H317" s="155"/>
      <c r="I317" s="155"/>
      <c r="J317" s="155"/>
      <c r="K317" s="158" t="s">
        <v>215</v>
      </c>
    </row>
    <row r="318">
      <c r="A318" s="153">
        <f t="shared" si="2"/>
        <v>317</v>
      </c>
      <c r="B318" s="154"/>
      <c r="C318" s="154" t="s">
        <v>208</v>
      </c>
      <c r="D318" s="154" t="s">
        <v>208</v>
      </c>
      <c r="E318" s="154" t="s">
        <v>208</v>
      </c>
      <c r="F318" s="154" t="s">
        <v>208</v>
      </c>
      <c r="G318" s="154" t="s">
        <v>208</v>
      </c>
      <c r="H318" s="155"/>
      <c r="I318" s="155"/>
      <c r="J318" s="155"/>
      <c r="K318" s="158" t="s">
        <v>215</v>
      </c>
    </row>
    <row r="319">
      <c r="A319" s="153">
        <f t="shared" si="2"/>
        <v>318</v>
      </c>
      <c r="B319" s="154"/>
      <c r="C319" s="154" t="s">
        <v>208</v>
      </c>
      <c r="D319" s="154" t="s">
        <v>208</v>
      </c>
      <c r="E319" s="154" t="s">
        <v>208</v>
      </c>
      <c r="F319" s="154" t="s">
        <v>208</v>
      </c>
      <c r="G319" s="154" t="s">
        <v>208</v>
      </c>
      <c r="H319" s="155"/>
      <c r="I319" s="155"/>
      <c r="J319" s="155"/>
      <c r="K319" s="158" t="s">
        <v>215</v>
      </c>
    </row>
    <row r="320">
      <c r="A320" s="153">
        <f t="shared" si="2"/>
        <v>319</v>
      </c>
      <c r="B320" s="154"/>
      <c r="C320" s="154" t="s">
        <v>208</v>
      </c>
      <c r="D320" s="154" t="s">
        <v>208</v>
      </c>
      <c r="E320" s="154" t="s">
        <v>208</v>
      </c>
      <c r="F320" s="154" t="s">
        <v>208</v>
      </c>
      <c r="G320" s="154" t="s">
        <v>208</v>
      </c>
      <c r="H320" s="155"/>
      <c r="I320" s="155"/>
      <c r="J320" s="155"/>
      <c r="K320" s="158" t="s">
        <v>215</v>
      </c>
    </row>
    <row r="321">
      <c r="A321" s="177">
        <f t="shared" si="2"/>
        <v>320</v>
      </c>
      <c r="B321" s="155"/>
      <c r="C321" s="154"/>
      <c r="D321" s="154" t="s">
        <v>208</v>
      </c>
      <c r="E321" s="154" t="s">
        <v>208</v>
      </c>
      <c r="F321" s="154" t="s">
        <v>208</v>
      </c>
      <c r="G321" s="154"/>
      <c r="H321" s="154" t="s">
        <v>208</v>
      </c>
      <c r="I321" s="155"/>
      <c r="J321" s="155"/>
      <c r="K321" s="158" t="s">
        <v>215</v>
      </c>
    </row>
    <row r="322">
      <c r="A322" s="153">
        <f t="shared" si="2"/>
        <v>321</v>
      </c>
      <c r="B322" s="154"/>
      <c r="C322" s="154" t="s">
        <v>208</v>
      </c>
      <c r="D322" s="154" t="s">
        <v>208</v>
      </c>
      <c r="E322" s="154" t="s">
        <v>208</v>
      </c>
      <c r="F322" s="154" t="s">
        <v>208</v>
      </c>
      <c r="G322" s="154" t="s">
        <v>208</v>
      </c>
      <c r="H322" s="155"/>
      <c r="I322" s="155"/>
      <c r="J322" s="155"/>
      <c r="K322" s="158" t="s">
        <v>215</v>
      </c>
    </row>
    <row r="323">
      <c r="A323" s="153">
        <f t="shared" si="2"/>
        <v>322</v>
      </c>
      <c r="B323" s="154"/>
      <c r="C323" s="154" t="s">
        <v>208</v>
      </c>
      <c r="D323" s="154" t="s">
        <v>208</v>
      </c>
      <c r="E323" s="154" t="s">
        <v>208</v>
      </c>
      <c r="F323" s="154" t="s">
        <v>208</v>
      </c>
      <c r="G323" s="154" t="s">
        <v>208</v>
      </c>
      <c r="H323" s="155"/>
      <c r="I323" s="155"/>
      <c r="J323" s="155"/>
      <c r="K323" s="158" t="s">
        <v>215</v>
      </c>
    </row>
    <row r="324">
      <c r="A324" s="153">
        <f t="shared" si="2"/>
        <v>323</v>
      </c>
      <c r="B324" s="154"/>
      <c r="C324" s="154" t="s">
        <v>208</v>
      </c>
      <c r="D324" s="154" t="s">
        <v>208</v>
      </c>
      <c r="E324" s="154" t="s">
        <v>208</v>
      </c>
      <c r="F324" s="154" t="s">
        <v>208</v>
      </c>
      <c r="G324" s="154" t="s">
        <v>208</v>
      </c>
      <c r="H324" s="155"/>
      <c r="I324" s="155"/>
      <c r="J324" s="155"/>
      <c r="K324" s="158" t="s">
        <v>215</v>
      </c>
    </row>
    <row r="325">
      <c r="A325" s="153">
        <f t="shared" si="2"/>
        <v>324</v>
      </c>
      <c r="B325" s="154"/>
      <c r="C325" s="154" t="s">
        <v>208</v>
      </c>
      <c r="D325" s="154" t="s">
        <v>218</v>
      </c>
      <c r="E325" s="154" t="s">
        <v>208</v>
      </c>
      <c r="F325" s="154" t="s">
        <v>208</v>
      </c>
      <c r="G325" s="154" t="s">
        <v>208</v>
      </c>
      <c r="H325" s="155"/>
      <c r="I325" s="155"/>
      <c r="J325" s="155"/>
      <c r="K325" s="158" t="s">
        <v>215</v>
      </c>
    </row>
    <row r="326">
      <c r="A326" s="153">
        <f t="shared" si="2"/>
        <v>325</v>
      </c>
      <c r="B326" s="154"/>
      <c r="C326" s="154" t="s">
        <v>208</v>
      </c>
      <c r="D326" s="154" t="s">
        <v>208</v>
      </c>
      <c r="E326" s="154" t="s">
        <v>208</v>
      </c>
      <c r="F326" s="154" t="s">
        <v>208</v>
      </c>
      <c r="G326" s="154" t="s">
        <v>208</v>
      </c>
      <c r="H326" s="155"/>
      <c r="I326" s="155"/>
      <c r="J326" s="155"/>
      <c r="K326" s="158" t="s">
        <v>215</v>
      </c>
    </row>
    <row r="327">
      <c r="A327" s="153">
        <f t="shared" si="2"/>
        <v>326</v>
      </c>
      <c r="B327" s="154"/>
      <c r="C327" s="154" t="s">
        <v>208</v>
      </c>
      <c r="D327" s="154" t="s">
        <v>208</v>
      </c>
      <c r="E327" s="154" t="s">
        <v>208</v>
      </c>
      <c r="F327" s="154" t="s">
        <v>208</v>
      </c>
      <c r="G327" s="154" t="s">
        <v>208</v>
      </c>
      <c r="H327" s="155"/>
      <c r="I327" s="155"/>
      <c r="J327" s="155"/>
      <c r="K327" s="158" t="s">
        <v>215</v>
      </c>
    </row>
    <row r="328">
      <c r="A328" s="153">
        <f t="shared" si="2"/>
        <v>327</v>
      </c>
      <c r="B328" s="154"/>
      <c r="C328" s="154" t="s">
        <v>208</v>
      </c>
      <c r="D328" s="154" t="s">
        <v>208</v>
      </c>
      <c r="E328" s="154" t="s">
        <v>208</v>
      </c>
      <c r="F328" s="154" t="s">
        <v>208</v>
      </c>
      <c r="G328" s="154" t="s">
        <v>208</v>
      </c>
      <c r="H328" s="155"/>
      <c r="I328" s="155"/>
      <c r="J328" s="155"/>
      <c r="K328" s="158" t="s">
        <v>215</v>
      </c>
    </row>
    <row r="329">
      <c r="A329" s="153">
        <f t="shared" si="2"/>
        <v>328</v>
      </c>
      <c r="B329" s="154"/>
      <c r="C329" s="154" t="s">
        <v>208</v>
      </c>
      <c r="D329" s="154" t="s">
        <v>208</v>
      </c>
      <c r="E329" s="154"/>
      <c r="F329" s="154" t="s">
        <v>208</v>
      </c>
      <c r="G329" s="154" t="s">
        <v>208</v>
      </c>
      <c r="H329" s="155"/>
      <c r="I329" s="155"/>
      <c r="J329" s="155"/>
      <c r="K329" s="158" t="s">
        <v>215</v>
      </c>
    </row>
    <row r="330">
      <c r="A330" s="153">
        <f t="shared" si="2"/>
        <v>329</v>
      </c>
      <c r="B330" s="154"/>
      <c r="C330" s="154" t="s">
        <v>208</v>
      </c>
      <c r="D330" s="154" t="s">
        <v>208</v>
      </c>
      <c r="E330" s="154" t="s">
        <v>208</v>
      </c>
      <c r="F330" s="154" t="s">
        <v>208</v>
      </c>
      <c r="G330" s="154" t="s">
        <v>208</v>
      </c>
      <c r="H330" s="155"/>
      <c r="I330" s="155"/>
      <c r="J330" s="155"/>
      <c r="K330" s="158" t="s">
        <v>215</v>
      </c>
    </row>
    <row r="331">
      <c r="A331" s="177">
        <f t="shared" si="2"/>
        <v>330</v>
      </c>
      <c r="B331" s="154"/>
      <c r="C331" s="154"/>
      <c r="D331" s="154" t="s">
        <v>208</v>
      </c>
      <c r="E331" s="154" t="s">
        <v>208</v>
      </c>
      <c r="F331" s="154" t="s">
        <v>208</v>
      </c>
      <c r="G331" s="155"/>
      <c r="H331" s="154" t="s">
        <v>208</v>
      </c>
      <c r="I331" s="155"/>
      <c r="J331" s="155"/>
      <c r="K331" s="158" t="s">
        <v>215</v>
      </c>
    </row>
    <row r="332">
      <c r="A332" s="153">
        <f t="shared" si="2"/>
        <v>331</v>
      </c>
      <c r="B332" s="154"/>
      <c r="C332" s="154" t="s">
        <v>208</v>
      </c>
      <c r="D332" s="154" t="s">
        <v>208</v>
      </c>
      <c r="E332" s="154" t="s">
        <v>208</v>
      </c>
      <c r="F332" s="154" t="s">
        <v>208</v>
      </c>
      <c r="G332" s="154" t="s">
        <v>208</v>
      </c>
      <c r="H332" s="155"/>
      <c r="I332" s="155"/>
      <c r="J332" s="155"/>
      <c r="K332" s="158" t="s">
        <v>215</v>
      </c>
    </row>
    <row r="333">
      <c r="A333" s="153">
        <f t="shared" si="2"/>
        <v>332</v>
      </c>
      <c r="B333" s="154"/>
      <c r="C333" s="154" t="s">
        <v>208</v>
      </c>
      <c r="D333" s="154" t="s">
        <v>208</v>
      </c>
      <c r="E333" s="154" t="s">
        <v>208</v>
      </c>
      <c r="F333" s="154" t="s">
        <v>208</v>
      </c>
      <c r="G333" s="154" t="s">
        <v>208</v>
      </c>
      <c r="H333" s="155"/>
      <c r="I333" s="155"/>
      <c r="J333" s="155"/>
      <c r="K333" s="158" t="s">
        <v>215</v>
      </c>
    </row>
    <row r="334">
      <c r="A334" s="153">
        <f t="shared" si="2"/>
        <v>333</v>
      </c>
      <c r="B334" s="155"/>
      <c r="C334" s="154" t="s">
        <v>208</v>
      </c>
      <c r="D334" s="154" t="s">
        <v>208</v>
      </c>
      <c r="E334" s="154" t="s">
        <v>208</v>
      </c>
      <c r="F334" s="154" t="s">
        <v>208</v>
      </c>
      <c r="G334" s="154" t="s">
        <v>208</v>
      </c>
      <c r="H334" s="155"/>
      <c r="I334" s="155"/>
      <c r="J334" s="155"/>
      <c r="K334" s="158" t="s">
        <v>215</v>
      </c>
    </row>
    <row r="335">
      <c r="A335" s="153">
        <f t="shared" si="2"/>
        <v>334</v>
      </c>
      <c r="B335" s="154"/>
      <c r="C335" s="154" t="s">
        <v>208</v>
      </c>
      <c r="D335" s="154" t="s">
        <v>218</v>
      </c>
      <c r="E335" s="154" t="s">
        <v>208</v>
      </c>
      <c r="F335" s="154" t="s">
        <v>208</v>
      </c>
      <c r="G335" s="154" t="s">
        <v>208</v>
      </c>
      <c r="H335" s="155"/>
      <c r="I335" s="155"/>
      <c r="J335" s="155"/>
      <c r="K335" s="158" t="s">
        <v>215</v>
      </c>
    </row>
    <row r="336">
      <c r="A336" s="177">
        <f t="shared" si="2"/>
        <v>335</v>
      </c>
      <c r="B336" s="155"/>
      <c r="C336" s="154"/>
      <c r="D336" s="154" t="s">
        <v>208</v>
      </c>
      <c r="E336" s="154" t="s">
        <v>208</v>
      </c>
      <c r="F336" s="154" t="s">
        <v>208</v>
      </c>
      <c r="G336" s="154"/>
      <c r="H336" s="154" t="s">
        <v>208</v>
      </c>
      <c r="I336" s="155"/>
      <c r="J336" s="155"/>
      <c r="K336" s="158" t="s">
        <v>215</v>
      </c>
    </row>
    <row r="337">
      <c r="A337" s="153">
        <f t="shared" si="2"/>
        <v>336</v>
      </c>
      <c r="B337" s="154"/>
      <c r="C337" s="154"/>
      <c r="D337" s="183"/>
      <c r="E337" s="183"/>
      <c r="F337" s="183"/>
      <c r="G337" s="155"/>
      <c r="H337" s="183"/>
      <c r="I337" s="155"/>
      <c r="J337" s="154" t="s">
        <v>217</v>
      </c>
      <c r="K337" s="158" t="s">
        <v>215</v>
      </c>
    </row>
    <row r="338">
      <c r="A338" s="153">
        <f t="shared" si="2"/>
        <v>337</v>
      </c>
      <c r="B338" s="154"/>
      <c r="C338" s="154" t="s">
        <v>208</v>
      </c>
      <c r="D338" s="154" t="s">
        <v>208</v>
      </c>
      <c r="E338" s="154" t="s">
        <v>208</v>
      </c>
      <c r="F338" s="154" t="s">
        <v>208</v>
      </c>
      <c r="G338" s="154" t="s">
        <v>208</v>
      </c>
      <c r="H338" s="155"/>
      <c r="I338" s="155"/>
      <c r="J338" s="155"/>
      <c r="K338" s="158" t="s">
        <v>215</v>
      </c>
    </row>
    <row r="339">
      <c r="A339" s="153">
        <f t="shared" si="2"/>
        <v>338</v>
      </c>
      <c r="B339" s="154"/>
      <c r="C339" s="154" t="s">
        <v>208</v>
      </c>
      <c r="D339" s="154" t="s">
        <v>208</v>
      </c>
      <c r="E339" s="154"/>
      <c r="F339" s="154" t="s">
        <v>208</v>
      </c>
      <c r="G339" s="154" t="s">
        <v>208</v>
      </c>
      <c r="H339" s="155"/>
      <c r="I339" s="155"/>
      <c r="J339" s="155"/>
      <c r="K339" s="158" t="s">
        <v>215</v>
      </c>
    </row>
    <row r="340">
      <c r="A340" s="153">
        <f t="shared" si="2"/>
        <v>339</v>
      </c>
      <c r="B340" s="154"/>
      <c r="C340" s="154" t="s">
        <v>208</v>
      </c>
      <c r="D340" s="154" t="s">
        <v>208</v>
      </c>
      <c r="E340" s="154"/>
      <c r="F340" s="154" t="s">
        <v>208</v>
      </c>
      <c r="G340" s="154" t="s">
        <v>208</v>
      </c>
      <c r="H340" s="155"/>
      <c r="I340" s="155"/>
      <c r="J340" s="155"/>
      <c r="K340" s="158" t="s">
        <v>215</v>
      </c>
    </row>
    <row r="341">
      <c r="A341" s="153">
        <f t="shared" si="2"/>
        <v>340</v>
      </c>
      <c r="B341" s="154"/>
      <c r="C341" s="154" t="s">
        <v>208</v>
      </c>
      <c r="D341" s="154" t="s">
        <v>218</v>
      </c>
      <c r="E341" s="154" t="s">
        <v>208</v>
      </c>
      <c r="F341" s="154" t="s">
        <v>208</v>
      </c>
      <c r="G341" s="154" t="s">
        <v>208</v>
      </c>
      <c r="H341" s="155"/>
      <c r="I341" s="155"/>
      <c r="J341" s="155"/>
      <c r="K341" s="158" t="s">
        <v>215</v>
      </c>
    </row>
    <row r="342">
      <c r="A342" s="153">
        <f t="shared" si="2"/>
        <v>341</v>
      </c>
      <c r="B342" s="154"/>
      <c r="C342" s="154" t="s">
        <v>208</v>
      </c>
      <c r="D342" s="154" t="s">
        <v>218</v>
      </c>
      <c r="E342" s="154" t="s">
        <v>208</v>
      </c>
      <c r="F342" s="154" t="s">
        <v>218</v>
      </c>
      <c r="G342" s="154" t="s">
        <v>208</v>
      </c>
      <c r="H342" s="155"/>
      <c r="I342" s="155"/>
      <c r="J342" s="155"/>
      <c r="K342" s="158" t="s">
        <v>215</v>
      </c>
    </row>
    <row r="343">
      <c r="A343" s="153">
        <f t="shared" si="2"/>
        <v>342</v>
      </c>
      <c r="B343" s="154"/>
      <c r="C343" s="154" t="s">
        <v>208</v>
      </c>
      <c r="D343" s="154" t="s">
        <v>208</v>
      </c>
      <c r="E343" s="154" t="s">
        <v>208</v>
      </c>
      <c r="F343" s="154" t="s">
        <v>208</v>
      </c>
      <c r="G343" s="154" t="s">
        <v>208</v>
      </c>
      <c r="H343" s="155"/>
      <c r="I343" s="155"/>
      <c r="J343" s="155"/>
      <c r="K343" s="158" t="s">
        <v>215</v>
      </c>
    </row>
    <row r="344">
      <c r="A344" s="153">
        <f t="shared" si="2"/>
        <v>343</v>
      </c>
      <c r="B344" s="154"/>
      <c r="C344" s="154" t="s">
        <v>208</v>
      </c>
      <c r="D344" s="154" t="s">
        <v>208</v>
      </c>
      <c r="E344" s="154" t="s">
        <v>208</v>
      </c>
      <c r="F344" s="154" t="s">
        <v>208</v>
      </c>
      <c r="G344" s="154" t="s">
        <v>208</v>
      </c>
      <c r="H344" s="155"/>
      <c r="I344" s="155"/>
      <c r="J344" s="155"/>
      <c r="K344" s="158" t="s">
        <v>215</v>
      </c>
    </row>
    <row r="345">
      <c r="A345" s="177">
        <f t="shared" si="2"/>
        <v>344</v>
      </c>
      <c r="B345" s="154"/>
      <c r="C345" s="154"/>
      <c r="D345" s="154" t="s">
        <v>208</v>
      </c>
      <c r="E345" s="154" t="s">
        <v>208</v>
      </c>
      <c r="F345" s="154" t="s">
        <v>208</v>
      </c>
      <c r="G345" s="155"/>
      <c r="H345" s="154" t="s">
        <v>208</v>
      </c>
      <c r="I345" s="155"/>
      <c r="J345" s="155"/>
      <c r="K345" s="158" t="s">
        <v>215</v>
      </c>
    </row>
    <row r="346">
      <c r="A346" s="153">
        <f t="shared" si="2"/>
        <v>345</v>
      </c>
      <c r="B346" s="154"/>
      <c r="C346" s="154" t="s">
        <v>208</v>
      </c>
      <c r="D346" s="154" t="s">
        <v>208</v>
      </c>
      <c r="E346" s="154" t="s">
        <v>208</v>
      </c>
      <c r="F346" s="154" t="s">
        <v>208</v>
      </c>
      <c r="G346" s="154" t="s">
        <v>208</v>
      </c>
      <c r="H346" s="155"/>
      <c r="I346" s="155"/>
      <c r="J346" s="155"/>
      <c r="K346" s="158" t="s">
        <v>215</v>
      </c>
    </row>
    <row r="347">
      <c r="A347" s="153">
        <f t="shared" si="2"/>
        <v>346</v>
      </c>
      <c r="B347" s="154"/>
      <c r="C347" s="154" t="s">
        <v>208</v>
      </c>
      <c r="D347" s="154" t="s">
        <v>208</v>
      </c>
      <c r="E347" s="154" t="s">
        <v>208</v>
      </c>
      <c r="F347" s="154" t="s">
        <v>208</v>
      </c>
      <c r="G347" s="154" t="s">
        <v>208</v>
      </c>
      <c r="H347" s="155"/>
      <c r="I347" s="155"/>
      <c r="J347" s="155"/>
      <c r="K347" s="158" t="s">
        <v>215</v>
      </c>
    </row>
    <row r="348">
      <c r="A348" s="153">
        <f t="shared" si="2"/>
        <v>347</v>
      </c>
      <c r="B348" s="154"/>
      <c r="C348" s="154" t="s">
        <v>208</v>
      </c>
      <c r="D348" s="154" t="s">
        <v>208</v>
      </c>
      <c r="E348" s="154" t="s">
        <v>208</v>
      </c>
      <c r="F348" s="154" t="s">
        <v>208</v>
      </c>
      <c r="G348" s="154" t="s">
        <v>208</v>
      </c>
      <c r="H348" s="155"/>
      <c r="I348" s="155"/>
      <c r="J348" s="155"/>
      <c r="K348" s="158" t="s">
        <v>215</v>
      </c>
    </row>
    <row r="349">
      <c r="A349" s="153">
        <f t="shared" si="2"/>
        <v>348</v>
      </c>
      <c r="B349" s="154"/>
      <c r="C349" s="154" t="s">
        <v>208</v>
      </c>
      <c r="D349" s="154" t="s">
        <v>208</v>
      </c>
      <c r="E349" s="154" t="s">
        <v>208</v>
      </c>
      <c r="F349" s="154" t="s">
        <v>208</v>
      </c>
      <c r="G349" s="154" t="s">
        <v>208</v>
      </c>
      <c r="H349" s="155"/>
      <c r="I349" s="155"/>
      <c r="J349" s="155"/>
      <c r="K349" s="158" t="s">
        <v>215</v>
      </c>
    </row>
    <row r="350">
      <c r="A350" s="153">
        <f t="shared" si="2"/>
        <v>349</v>
      </c>
      <c r="B350" s="154"/>
      <c r="C350" s="154" t="s">
        <v>208</v>
      </c>
      <c r="D350" s="154" t="s">
        <v>208</v>
      </c>
      <c r="E350" s="154" t="s">
        <v>208</v>
      </c>
      <c r="F350" s="154" t="s">
        <v>208</v>
      </c>
      <c r="G350" s="154" t="s">
        <v>208</v>
      </c>
      <c r="H350" s="155"/>
      <c r="I350" s="155"/>
      <c r="J350" s="155"/>
      <c r="K350" s="158" t="s">
        <v>215</v>
      </c>
    </row>
    <row r="351">
      <c r="A351" s="153">
        <f t="shared" si="2"/>
        <v>350</v>
      </c>
      <c r="B351" s="154"/>
      <c r="C351" s="154" t="s">
        <v>208</v>
      </c>
      <c r="D351" s="154" t="s">
        <v>218</v>
      </c>
      <c r="E351" s="154" t="s">
        <v>208</v>
      </c>
      <c r="F351" s="154" t="s">
        <v>208</v>
      </c>
      <c r="G351" s="154" t="s">
        <v>208</v>
      </c>
      <c r="H351" s="155"/>
      <c r="I351" s="155"/>
      <c r="J351" s="155"/>
      <c r="K351" s="158" t="s">
        <v>215</v>
      </c>
    </row>
    <row r="352">
      <c r="A352" s="153">
        <f t="shared" si="2"/>
        <v>351</v>
      </c>
      <c r="B352" s="154"/>
      <c r="C352" s="154" t="s">
        <v>208</v>
      </c>
      <c r="D352" s="154" t="s">
        <v>208</v>
      </c>
      <c r="E352" s="154" t="s">
        <v>208</v>
      </c>
      <c r="F352" s="154" t="s">
        <v>208</v>
      </c>
      <c r="G352" s="154" t="s">
        <v>208</v>
      </c>
      <c r="H352" s="155"/>
      <c r="I352" s="155"/>
      <c r="J352" s="155"/>
      <c r="K352" s="158" t="s">
        <v>215</v>
      </c>
    </row>
    <row r="353">
      <c r="A353" s="153">
        <f t="shared" si="2"/>
        <v>352</v>
      </c>
      <c r="B353" s="154"/>
      <c r="C353" s="154" t="s">
        <v>208</v>
      </c>
      <c r="D353" s="154" t="s">
        <v>208</v>
      </c>
      <c r="E353" s="154" t="s">
        <v>208</v>
      </c>
      <c r="F353" s="154" t="s">
        <v>208</v>
      </c>
      <c r="G353" s="154" t="s">
        <v>208</v>
      </c>
      <c r="H353" s="155"/>
      <c r="I353" s="155"/>
      <c r="J353" s="155"/>
      <c r="K353" s="158" t="s">
        <v>215</v>
      </c>
    </row>
    <row r="354">
      <c r="A354" s="153">
        <f t="shared" si="2"/>
        <v>353</v>
      </c>
      <c r="B354" s="154"/>
      <c r="C354" s="154" t="s">
        <v>208</v>
      </c>
      <c r="D354" s="154" t="s">
        <v>208</v>
      </c>
      <c r="E354" s="154" t="s">
        <v>208</v>
      </c>
      <c r="F354" s="154" t="s">
        <v>208</v>
      </c>
      <c r="G354" s="154" t="s">
        <v>208</v>
      </c>
      <c r="H354" s="155"/>
      <c r="I354" s="155"/>
      <c r="J354" s="155"/>
      <c r="K354" s="158" t="s">
        <v>215</v>
      </c>
    </row>
    <row r="355">
      <c r="A355" s="153">
        <f t="shared" si="2"/>
        <v>354</v>
      </c>
      <c r="B355" s="154"/>
      <c r="C355" s="154" t="s">
        <v>208</v>
      </c>
      <c r="D355" s="154" t="s">
        <v>208</v>
      </c>
      <c r="E355" s="154" t="s">
        <v>208</v>
      </c>
      <c r="F355" s="154" t="s">
        <v>208</v>
      </c>
      <c r="G355" s="154" t="s">
        <v>208</v>
      </c>
      <c r="H355" s="155"/>
      <c r="I355" s="155"/>
      <c r="J355" s="155"/>
      <c r="K355" s="158" t="s">
        <v>215</v>
      </c>
    </row>
    <row r="356">
      <c r="A356" s="153">
        <f t="shared" si="2"/>
        <v>355</v>
      </c>
      <c r="B356" s="154"/>
      <c r="C356" s="154" t="s">
        <v>208</v>
      </c>
      <c r="D356" s="154" t="s">
        <v>208</v>
      </c>
      <c r="E356" s="154" t="s">
        <v>208</v>
      </c>
      <c r="F356" s="154" t="s">
        <v>208</v>
      </c>
      <c r="G356" s="154" t="s">
        <v>208</v>
      </c>
      <c r="H356" s="155"/>
      <c r="I356" s="155"/>
      <c r="J356" s="155"/>
      <c r="K356" s="158" t="s">
        <v>215</v>
      </c>
    </row>
    <row r="357">
      <c r="A357" s="153">
        <f t="shared" si="2"/>
        <v>356</v>
      </c>
      <c r="B357" s="154"/>
      <c r="C357" s="154" t="s">
        <v>208</v>
      </c>
      <c r="D357" s="154" t="s">
        <v>208</v>
      </c>
      <c r="E357" s="154" t="s">
        <v>208</v>
      </c>
      <c r="F357" s="154" t="s">
        <v>208</v>
      </c>
      <c r="G357" s="154" t="s">
        <v>208</v>
      </c>
      <c r="H357" s="155"/>
      <c r="I357" s="155"/>
      <c r="J357" s="155"/>
      <c r="K357" s="158" t="s">
        <v>215</v>
      </c>
    </row>
    <row r="358">
      <c r="A358" s="153">
        <f t="shared" si="2"/>
        <v>357</v>
      </c>
      <c r="B358" s="154"/>
      <c r="C358" s="154"/>
      <c r="D358" s="183"/>
      <c r="E358" s="183"/>
      <c r="F358" s="183"/>
      <c r="G358" s="155"/>
      <c r="H358" s="183"/>
      <c r="I358" s="155"/>
      <c r="J358" s="154" t="s">
        <v>217</v>
      </c>
      <c r="K358" s="158" t="s">
        <v>215</v>
      </c>
    </row>
    <row r="359">
      <c r="A359" s="153">
        <f t="shared" si="2"/>
        <v>358</v>
      </c>
      <c r="B359" s="154"/>
      <c r="C359" s="154" t="s">
        <v>208</v>
      </c>
      <c r="D359" s="154" t="s">
        <v>208</v>
      </c>
      <c r="E359" s="154" t="s">
        <v>208</v>
      </c>
      <c r="F359" s="154" t="s">
        <v>208</v>
      </c>
      <c r="G359" s="154" t="s">
        <v>208</v>
      </c>
      <c r="H359" s="155"/>
      <c r="I359" s="155"/>
      <c r="J359" s="155"/>
      <c r="K359" s="158" t="s">
        <v>215</v>
      </c>
    </row>
    <row r="360">
      <c r="A360" s="177">
        <f t="shared" si="2"/>
        <v>359</v>
      </c>
      <c r="B360" s="155"/>
      <c r="C360" s="154"/>
      <c r="D360" s="154" t="s">
        <v>208</v>
      </c>
      <c r="E360" s="154" t="s">
        <v>208</v>
      </c>
      <c r="F360" s="154" t="s">
        <v>208</v>
      </c>
      <c r="G360" s="154"/>
      <c r="H360" s="154" t="s">
        <v>208</v>
      </c>
      <c r="I360" s="155"/>
      <c r="J360" s="155"/>
      <c r="K360" s="158" t="s">
        <v>215</v>
      </c>
    </row>
    <row r="361">
      <c r="A361" s="153">
        <f t="shared" si="2"/>
        <v>360</v>
      </c>
      <c r="B361" s="154"/>
      <c r="C361" s="154" t="s">
        <v>208</v>
      </c>
      <c r="D361" s="154" t="s">
        <v>208</v>
      </c>
      <c r="E361" s="154" t="s">
        <v>208</v>
      </c>
      <c r="F361" s="154" t="s">
        <v>208</v>
      </c>
      <c r="G361" s="154" t="s">
        <v>208</v>
      </c>
      <c r="H361" s="155"/>
      <c r="I361" s="155"/>
      <c r="J361" s="155"/>
      <c r="K361" s="158" t="s">
        <v>215</v>
      </c>
    </row>
    <row r="362">
      <c r="A362" s="153">
        <f t="shared" si="2"/>
        <v>361</v>
      </c>
      <c r="B362" s="154"/>
      <c r="C362" s="154" t="s">
        <v>208</v>
      </c>
      <c r="D362" s="154" t="s">
        <v>208</v>
      </c>
      <c r="E362" s="154" t="s">
        <v>208</v>
      </c>
      <c r="F362" s="154" t="s">
        <v>208</v>
      </c>
      <c r="G362" s="154" t="s">
        <v>208</v>
      </c>
      <c r="H362" s="155"/>
      <c r="I362" s="155"/>
      <c r="J362" s="155"/>
      <c r="K362" s="158" t="s">
        <v>215</v>
      </c>
    </row>
    <row r="363">
      <c r="A363" s="177">
        <f t="shared" si="2"/>
        <v>362</v>
      </c>
      <c r="B363" s="155"/>
      <c r="C363" s="154"/>
      <c r="D363" s="154" t="s">
        <v>208</v>
      </c>
      <c r="E363" s="154" t="s">
        <v>208</v>
      </c>
      <c r="F363" s="154" t="s">
        <v>208</v>
      </c>
      <c r="G363" s="154"/>
      <c r="H363" s="154" t="s">
        <v>208</v>
      </c>
      <c r="I363" s="155"/>
      <c r="J363" s="155"/>
      <c r="K363" s="158" t="s">
        <v>215</v>
      </c>
    </row>
    <row r="364">
      <c r="A364" s="177">
        <f t="shared" si="2"/>
        <v>363</v>
      </c>
      <c r="B364" s="154"/>
      <c r="C364" s="154"/>
      <c r="D364" s="154" t="s">
        <v>208</v>
      </c>
      <c r="E364" s="154" t="s">
        <v>208</v>
      </c>
      <c r="F364" s="154" t="s">
        <v>208</v>
      </c>
      <c r="G364" s="155"/>
      <c r="H364" s="154" t="s">
        <v>208</v>
      </c>
      <c r="I364" s="155"/>
      <c r="J364" s="155"/>
      <c r="K364" s="158" t="s">
        <v>215</v>
      </c>
    </row>
    <row r="365">
      <c r="A365" s="153">
        <f t="shared" si="2"/>
        <v>364</v>
      </c>
      <c r="B365" s="154"/>
      <c r="C365" s="183"/>
      <c r="D365" s="183"/>
      <c r="E365" s="154"/>
      <c r="F365" s="183"/>
      <c r="G365" s="183"/>
      <c r="H365" s="155"/>
      <c r="I365" s="155"/>
      <c r="J365" s="154" t="s">
        <v>217</v>
      </c>
      <c r="K365" s="158" t="s">
        <v>215</v>
      </c>
    </row>
    <row r="366">
      <c r="A366" s="153">
        <f t="shared" si="2"/>
        <v>365</v>
      </c>
      <c r="B366" s="154"/>
      <c r="C366" s="154" t="s">
        <v>208</v>
      </c>
      <c r="D366" s="154" t="s">
        <v>208</v>
      </c>
      <c r="E366" s="154" t="s">
        <v>208</v>
      </c>
      <c r="F366" s="154" t="s">
        <v>208</v>
      </c>
      <c r="G366" s="154" t="s">
        <v>208</v>
      </c>
      <c r="H366" s="155"/>
      <c r="I366" s="155"/>
      <c r="J366" s="155"/>
      <c r="K366" s="158" t="s">
        <v>215</v>
      </c>
    </row>
    <row r="367">
      <c r="A367" s="153">
        <f t="shared" si="2"/>
        <v>366</v>
      </c>
      <c r="B367" s="154"/>
      <c r="C367" s="154" t="s">
        <v>208</v>
      </c>
      <c r="D367" s="154" t="s">
        <v>208</v>
      </c>
      <c r="E367" s="154" t="s">
        <v>208</v>
      </c>
      <c r="F367" s="154" t="s">
        <v>208</v>
      </c>
      <c r="G367" s="154" t="s">
        <v>208</v>
      </c>
      <c r="H367" s="155"/>
      <c r="I367" s="155"/>
      <c r="J367" s="155"/>
      <c r="K367" s="158" t="s">
        <v>215</v>
      </c>
    </row>
    <row r="368">
      <c r="A368" s="153">
        <f t="shared" si="2"/>
        <v>367</v>
      </c>
      <c r="B368" s="154"/>
      <c r="C368" s="154" t="s">
        <v>208</v>
      </c>
      <c r="D368" s="154" t="s">
        <v>208</v>
      </c>
      <c r="E368" s="154" t="s">
        <v>208</v>
      </c>
      <c r="F368" s="154" t="s">
        <v>208</v>
      </c>
      <c r="G368" s="154" t="s">
        <v>208</v>
      </c>
      <c r="H368" s="155"/>
      <c r="I368" s="155"/>
      <c r="J368" s="155"/>
      <c r="K368" s="158" t="s">
        <v>215</v>
      </c>
    </row>
    <row r="369">
      <c r="A369" s="153">
        <f t="shared" si="2"/>
        <v>368</v>
      </c>
      <c r="B369" s="154"/>
      <c r="C369" s="154" t="s">
        <v>208</v>
      </c>
      <c r="D369" s="154" t="s">
        <v>208</v>
      </c>
      <c r="E369" s="154" t="s">
        <v>208</v>
      </c>
      <c r="F369" s="154" t="s">
        <v>208</v>
      </c>
      <c r="G369" s="154" t="s">
        <v>208</v>
      </c>
      <c r="H369" s="155"/>
      <c r="I369" s="155"/>
      <c r="J369" s="155"/>
      <c r="K369" s="158" t="s">
        <v>215</v>
      </c>
    </row>
    <row r="370">
      <c r="A370" s="153">
        <f t="shared" si="2"/>
        <v>369</v>
      </c>
      <c r="B370" s="154"/>
      <c r="C370" s="154" t="s">
        <v>208</v>
      </c>
      <c r="D370" s="154" t="s">
        <v>208</v>
      </c>
      <c r="E370" s="154" t="s">
        <v>208</v>
      </c>
      <c r="F370" s="154" t="s">
        <v>208</v>
      </c>
      <c r="G370" s="154" t="s">
        <v>208</v>
      </c>
      <c r="H370" s="155"/>
      <c r="I370" s="155"/>
      <c r="J370" s="155"/>
      <c r="K370" s="158" t="s">
        <v>215</v>
      </c>
    </row>
    <row r="371">
      <c r="A371" s="177">
        <f t="shared" si="2"/>
        <v>370</v>
      </c>
      <c r="B371" s="155"/>
      <c r="C371" s="154"/>
      <c r="D371" s="154" t="s">
        <v>208</v>
      </c>
      <c r="E371" s="154" t="s">
        <v>208</v>
      </c>
      <c r="F371" s="154" t="s">
        <v>208</v>
      </c>
      <c r="G371" s="154"/>
      <c r="H371" s="154" t="s">
        <v>208</v>
      </c>
      <c r="I371" s="155"/>
      <c r="J371" s="155"/>
      <c r="K371" s="158" t="s">
        <v>215</v>
      </c>
    </row>
    <row r="372">
      <c r="A372" s="153">
        <f t="shared" si="2"/>
        <v>371</v>
      </c>
      <c r="B372" s="154"/>
      <c r="C372" s="154" t="s">
        <v>208</v>
      </c>
      <c r="D372" s="154" t="s">
        <v>208</v>
      </c>
      <c r="E372" s="154" t="s">
        <v>208</v>
      </c>
      <c r="F372" s="154" t="s">
        <v>208</v>
      </c>
      <c r="G372" s="154" t="s">
        <v>208</v>
      </c>
      <c r="H372" s="155"/>
      <c r="I372" s="155"/>
      <c r="J372" s="155"/>
      <c r="K372" s="158" t="s">
        <v>215</v>
      </c>
    </row>
    <row r="373">
      <c r="A373" s="153">
        <f t="shared" si="2"/>
        <v>372</v>
      </c>
      <c r="B373" s="154"/>
      <c r="C373" s="154" t="s">
        <v>208</v>
      </c>
      <c r="D373" s="154" t="s">
        <v>208</v>
      </c>
      <c r="E373" s="154" t="s">
        <v>208</v>
      </c>
      <c r="F373" s="154" t="s">
        <v>208</v>
      </c>
      <c r="G373" s="154" t="s">
        <v>208</v>
      </c>
      <c r="H373" s="155"/>
      <c r="I373" s="155"/>
      <c r="J373" s="155"/>
      <c r="K373" s="158" t="s">
        <v>215</v>
      </c>
    </row>
    <row r="374">
      <c r="A374" s="153">
        <f t="shared" si="2"/>
        <v>373</v>
      </c>
      <c r="B374" s="154"/>
      <c r="C374" s="183"/>
      <c r="D374" s="183"/>
      <c r="E374" s="183"/>
      <c r="F374" s="183"/>
      <c r="G374" s="183"/>
      <c r="H374" s="155"/>
      <c r="I374" s="155"/>
      <c r="J374" s="154" t="s">
        <v>217</v>
      </c>
      <c r="K374" s="158" t="s">
        <v>215</v>
      </c>
    </row>
    <row r="375">
      <c r="A375" s="153">
        <f t="shared" si="2"/>
        <v>374</v>
      </c>
      <c r="B375" s="154"/>
      <c r="C375" s="154" t="s">
        <v>208</v>
      </c>
      <c r="D375" s="154" t="s">
        <v>208</v>
      </c>
      <c r="E375" s="154" t="s">
        <v>208</v>
      </c>
      <c r="F375" s="154" t="s">
        <v>208</v>
      </c>
      <c r="G375" s="154" t="s">
        <v>208</v>
      </c>
      <c r="H375" s="155"/>
      <c r="I375" s="155"/>
      <c r="J375" s="155"/>
      <c r="K375" s="158" t="s">
        <v>215</v>
      </c>
    </row>
    <row r="376">
      <c r="A376" s="153">
        <f t="shared" si="2"/>
        <v>375</v>
      </c>
      <c r="B376" s="154"/>
      <c r="C376" s="183"/>
      <c r="D376" s="183"/>
      <c r="E376" s="183"/>
      <c r="F376" s="183"/>
      <c r="G376" s="183"/>
      <c r="H376" s="155"/>
      <c r="I376" s="155"/>
      <c r="J376" s="154" t="s">
        <v>217</v>
      </c>
      <c r="K376" s="158" t="s">
        <v>215</v>
      </c>
    </row>
    <row r="377">
      <c r="A377" s="153">
        <f t="shared" si="2"/>
        <v>376</v>
      </c>
      <c r="B377" s="154"/>
      <c r="C377" s="154" t="s">
        <v>208</v>
      </c>
      <c r="D377" s="154" t="s">
        <v>208</v>
      </c>
      <c r="E377" s="154" t="s">
        <v>208</v>
      </c>
      <c r="F377" s="154" t="s">
        <v>208</v>
      </c>
      <c r="G377" s="154" t="s">
        <v>208</v>
      </c>
      <c r="H377" s="155"/>
      <c r="I377" s="155"/>
      <c r="J377" s="155"/>
      <c r="K377" s="158" t="s">
        <v>215</v>
      </c>
    </row>
    <row r="378">
      <c r="A378" s="153">
        <f t="shared" si="2"/>
        <v>377</v>
      </c>
      <c r="B378" s="154"/>
      <c r="C378" s="154" t="s">
        <v>208</v>
      </c>
      <c r="D378" s="154" t="s">
        <v>208</v>
      </c>
      <c r="E378" s="154" t="s">
        <v>208</v>
      </c>
      <c r="F378" s="154" t="s">
        <v>208</v>
      </c>
      <c r="G378" s="154" t="s">
        <v>208</v>
      </c>
      <c r="H378" s="155"/>
      <c r="I378" s="155"/>
      <c r="J378" s="155"/>
      <c r="K378" s="158" t="s">
        <v>215</v>
      </c>
    </row>
    <row r="379">
      <c r="A379" s="153">
        <f t="shared" si="2"/>
        <v>378</v>
      </c>
      <c r="B379" s="154"/>
      <c r="C379" s="154" t="s">
        <v>208</v>
      </c>
      <c r="D379" s="154" t="s">
        <v>208</v>
      </c>
      <c r="E379" s="154" t="s">
        <v>208</v>
      </c>
      <c r="F379" s="154" t="s">
        <v>208</v>
      </c>
      <c r="G379" s="154" t="s">
        <v>208</v>
      </c>
      <c r="H379" s="155"/>
      <c r="I379" s="155"/>
      <c r="J379" s="155"/>
      <c r="K379" s="158" t="s">
        <v>215</v>
      </c>
    </row>
    <row r="380">
      <c r="A380" s="177">
        <f t="shared" si="2"/>
        <v>379</v>
      </c>
      <c r="B380" s="155"/>
      <c r="C380" s="154"/>
      <c r="D380" s="154" t="s">
        <v>208</v>
      </c>
      <c r="E380" s="154" t="s">
        <v>208</v>
      </c>
      <c r="F380" s="154" t="s">
        <v>208</v>
      </c>
      <c r="G380" s="154"/>
      <c r="H380" s="154" t="s">
        <v>208</v>
      </c>
      <c r="I380" s="155"/>
      <c r="J380" s="155"/>
      <c r="K380" s="158" t="s">
        <v>215</v>
      </c>
    </row>
    <row r="381">
      <c r="A381" s="153">
        <f t="shared" si="2"/>
        <v>380</v>
      </c>
      <c r="B381" s="154"/>
      <c r="C381" s="154" t="s">
        <v>208</v>
      </c>
      <c r="D381" s="154" t="s">
        <v>208</v>
      </c>
      <c r="E381" s="154"/>
      <c r="F381" s="154" t="s">
        <v>208</v>
      </c>
      <c r="G381" s="154" t="s">
        <v>208</v>
      </c>
      <c r="H381" s="155"/>
      <c r="I381" s="155"/>
      <c r="J381" s="155"/>
      <c r="K381" s="158" t="s">
        <v>215</v>
      </c>
    </row>
    <row r="382">
      <c r="A382" s="153">
        <f t="shared" si="2"/>
        <v>381</v>
      </c>
      <c r="B382" s="154"/>
      <c r="C382" s="154" t="s">
        <v>208</v>
      </c>
      <c r="D382" s="154" t="s">
        <v>208</v>
      </c>
      <c r="E382" s="154" t="s">
        <v>208</v>
      </c>
      <c r="F382" s="154" t="s">
        <v>208</v>
      </c>
      <c r="G382" s="154" t="s">
        <v>208</v>
      </c>
      <c r="H382" s="155"/>
      <c r="I382" s="155"/>
      <c r="J382" s="155"/>
      <c r="K382" s="158" t="s">
        <v>215</v>
      </c>
    </row>
    <row r="383">
      <c r="A383" s="153">
        <f t="shared" si="2"/>
        <v>382</v>
      </c>
      <c r="B383" s="154"/>
      <c r="C383" s="154" t="s">
        <v>208</v>
      </c>
      <c r="D383" s="154" t="s">
        <v>208</v>
      </c>
      <c r="E383" s="154" t="s">
        <v>208</v>
      </c>
      <c r="F383" s="154" t="s">
        <v>208</v>
      </c>
      <c r="G383" s="154" t="s">
        <v>208</v>
      </c>
      <c r="H383" s="155"/>
      <c r="I383" s="155"/>
      <c r="J383" s="155"/>
      <c r="K383" s="158" t="s">
        <v>215</v>
      </c>
    </row>
    <row r="384">
      <c r="A384" s="153">
        <f t="shared" si="2"/>
        <v>383</v>
      </c>
      <c r="B384" s="154"/>
      <c r="C384" s="154" t="s">
        <v>208</v>
      </c>
      <c r="D384" s="154" t="s">
        <v>208</v>
      </c>
      <c r="E384" s="154" t="s">
        <v>208</v>
      </c>
      <c r="F384" s="154" t="s">
        <v>208</v>
      </c>
      <c r="G384" s="154" t="s">
        <v>208</v>
      </c>
      <c r="H384" s="155"/>
      <c r="I384" s="155"/>
      <c r="J384" s="155"/>
      <c r="K384" s="158" t="s">
        <v>215</v>
      </c>
    </row>
    <row r="385">
      <c r="A385" s="153">
        <f t="shared" si="2"/>
        <v>384</v>
      </c>
      <c r="B385" s="154"/>
      <c r="C385" s="183"/>
      <c r="D385" s="183"/>
      <c r="E385" s="183"/>
      <c r="F385" s="183"/>
      <c r="G385" s="183"/>
      <c r="H385" s="155"/>
      <c r="I385" s="155"/>
      <c r="J385" s="154" t="s">
        <v>217</v>
      </c>
      <c r="K385" s="158" t="s">
        <v>215</v>
      </c>
    </row>
    <row r="386">
      <c r="A386" s="153">
        <f t="shared" si="2"/>
        <v>385</v>
      </c>
      <c r="B386" s="154"/>
      <c r="C386" s="154" t="s">
        <v>208</v>
      </c>
      <c r="D386" s="154" t="s">
        <v>208</v>
      </c>
      <c r="E386" s="154" t="s">
        <v>208</v>
      </c>
      <c r="F386" s="154" t="s">
        <v>208</v>
      </c>
      <c r="G386" s="154" t="s">
        <v>208</v>
      </c>
      <c r="H386" s="155"/>
      <c r="I386" s="155"/>
      <c r="J386" s="155"/>
      <c r="K386" s="158" t="s">
        <v>215</v>
      </c>
    </row>
    <row r="387">
      <c r="A387" s="153">
        <f t="shared" si="2"/>
        <v>386</v>
      </c>
      <c r="B387" s="154"/>
      <c r="C387" s="154" t="s">
        <v>208</v>
      </c>
      <c r="D387" s="154" t="s">
        <v>208</v>
      </c>
      <c r="E387" s="154" t="s">
        <v>208</v>
      </c>
      <c r="F387" s="154" t="s">
        <v>208</v>
      </c>
      <c r="G387" s="154" t="s">
        <v>208</v>
      </c>
      <c r="H387" s="155"/>
      <c r="I387" s="155"/>
      <c r="J387" s="155"/>
      <c r="K387" s="158" t="s">
        <v>215</v>
      </c>
    </row>
    <row r="388">
      <c r="A388" s="153">
        <f t="shared" si="2"/>
        <v>387</v>
      </c>
      <c r="B388" s="154"/>
      <c r="C388" s="154"/>
      <c r="D388" s="183"/>
      <c r="E388" s="183"/>
      <c r="F388" s="183"/>
      <c r="G388" s="155"/>
      <c r="H388" s="183"/>
      <c r="I388" s="155"/>
      <c r="J388" s="154" t="s">
        <v>217</v>
      </c>
      <c r="K388" s="158" t="s">
        <v>215</v>
      </c>
    </row>
    <row r="389">
      <c r="A389" s="177">
        <f t="shared" si="2"/>
        <v>388</v>
      </c>
      <c r="B389" s="155"/>
      <c r="C389" s="154"/>
      <c r="D389" s="154" t="s">
        <v>208</v>
      </c>
      <c r="E389" s="154" t="s">
        <v>208</v>
      </c>
      <c r="F389" s="154" t="s">
        <v>208</v>
      </c>
      <c r="G389" s="154"/>
      <c r="H389" s="154" t="s">
        <v>208</v>
      </c>
      <c r="I389" s="155"/>
      <c r="J389" s="155"/>
      <c r="K389" s="158" t="s">
        <v>215</v>
      </c>
    </row>
    <row r="390">
      <c r="A390" s="177">
        <f t="shared" si="2"/>
        <v>389</v>
      </c>
      <c r="B390" s="155"/>
      <c r="C390" s="154"/>
      <c r="D390" s="154" t="s">
        <v>208</v>
      </c>
      <c r="E390" s="154" t="s">
        <v>208</v>
      </c>
      <c r="F390" s="154" t="s">
        <v>208</v>
      </c>
      <c r="G390" s="154"/>
      <c r="H390" s="154" t="s">
        <v>208</v>
      </c>
      <c r="I390" s="155"/>
      <c r="J390" s="155"/>
      <c r="K390" s="158" t="s">
        <v>215</v>
      </c>
    </row>
    <row r="391">
      <c r="A391" s="177">
        <f t="shared" si="2"/>
        <v>390</v>
      </c>
      <c r="B391" s="155"/>
      <c r="C391" s="154"/>
      <c r="D391" s="154" t="s">
        <v>208</v>
      </c>
      <c r="E391" s="154" t="s">
        <v>208</v>
      </c>
      <c r="F391" s="154" t="s">
        <v>208</v>
      </c>
      <c r="G391" s="154"/>
      <c r="H391" s="154" t="s">
        <v>208</v>
      </c>
      <c r="I391" s="155"/>
      <c r="J391" s="155"/>
      <c r="K391" s="158" t="s">
        <v>215</v>
      </c>
    </row>
    <row r="392">
      <c r="A392" s="153">
        <f t="shared" si="2"/>
        <v>391</v>
      </c>
      <c r="B392" s="155"/>
      <c r="C392" s="154" t="s">
        <v>208</v>
      </c>
      <c r="D392" s="154" t="s">
        <v>208</v>
      </c>
      <c r="E392" s="154" t="s">
        <v>208</v>
      </c>
      <c r="F392" s="154" t="s">
        <v>208</v>
      </c>
      <c r="G392" s="154" t="s">
        <v>208</v>
      </c>
      <c r="H392" s="155"/>
      <c r="I392" s="155"/>
      <c r="J392" s="155"/>
      <c r="K392" s="158" t="s">
        <v>215</v>
      </c>
    </row>
    <row r="393">
      <c r="A393" s="177">
        <f t="shared" si="2"/>
        <v>392</v>
      </c>
      <c r="B393" s="155"/>
      <c r="C393" s="154"/>
      <c r="D393" s="154" t="s">
        <v>208</v>
      </c>
      <c r="E393" s="154" t="s">
        <v>208</v>
      </c>
      <c r="F393" s="154" t="s">
        <v>208</v>
      </c>
      <c r="G393" s="154"/>
      <c r="H393" s="154" t="s">
        <v>208</v>
      </c>
      <c r="I393" s="155"/>
      <c r="J393" s="155"/>
      <c r="K393" s="158" t="s">
        <v>215</v>
      </c>
    </row>
    <row r="394">
      <c r="A394" s="153">
        <f t="shared" si="2"/>
        <v>393</v>
      </c>
      <c r="B394" s="154"/>
      <c r="C394" s="154" t="s">
        <v>208</v>
      </c>
      <c r="D394" s="154" t="s">
        <v>208</v>
      </c>
      <c r="E394" s="154" t="s">
        <v>208</v>
      </c>
      <c r="F394" s="154" t="s">
        <v>208</v>
      </c>
      <c r="G394" s="154" t="s">
        <v>208</v>
      </c>
      <c r="H394" s="155"/>
      <c r="I394" s="155"/>
      <c r="J394" s="155"/>
      <c r="K394" s="158" t="s">
        <v>215</v>
      </c>
    </row>
    <row r="395">
      <c r="A395" s="153">
        <f t="shared" si="2"/>
        <v>394</v>
      </c>
      <c r="B395" s="154"/>
      <c r="C395" s="154" t="s">
        <v>208</v>
      </c>
      <c r="D395" s="154" t="s">
        <v>208</v>
      </c>
      <c r="E395" s="154" t="s">
        <v>208</v>
      </c>
      <c r="F395" s="154" t="s">
        <v>208</v>
      </c>
      <c r="G395" s="154" t="s">
        <v>208</v>
      </c>
      <c r="H395" s="155"/>
      <c r="I395" s="155"/>
      <c r="J395" s="155"/>
      <c r="K395" s="158" t="s">
        <v>215</v>
      </c>
    </row>
    <row r="396">
      <c r="A396" s="153">
        <f t="shared" si="2"/>
        <v>395</v>
      </c>
      <c r="B396" s="154"/>
      <c r="C396" s="154" t="s">
        <v>208</v>
      </c>
      <c r="D396" s="154" t="s">
        <v>208</v>
      </c>
      <c r="E396" s="154"/>
      <c r="F396" s="154" t="s">
        <v>208</v>
      </c>
      <c r="G396" s="154" t="s">
        <v>208</v>
      </c>
      <c r="H396" s="155"/>
      <c r="I396" s="155"/>
      <c r="J396" s="155"/>
      <c r="K396" s="158" t="s">
        <v>215</v>
      </c>
    </row>
    <row r="397">
      <c r="A397" s="153">
        <f t="shared" si="2"/>
        <v>396</v>
      </c>
      <c r="B397" s="154"/>
      <c r="C397" s="154" t="s">
        <v>208</v>
      </c>
      <c r="D397" s="154" t="s">
        <v>208</v>
      </c>
      <c r="E397" s="154" t="s">
        <v>208</v>
      </c>
      <c r="F397" s="154" t="s">
        <v>208</v>
      </c>
      <c r="G397" s="154" t="s">
        <v>208</v>
      </c>
      <c r="H397" s="155"/>
      <c r="I397" s="155"/>
      <c r="J397" s="155"/>
      <c r="K397" s="158" t="s">
        <v>215</v>
      </c>
    </row>
    <row r="398">
      <c r="A398" s="153">
        <f t="shared" si="2"/>
        <v>397</v>
      </c>
      <c r="B398" s="154"/>
      <c r="C398" s="154" t="s">
        <v>208</v>
      </c>
      <c r="D398" s="154" t="s">
        <v>208</v>
      </c>
      <c r="E398" s="154" t="s">
        <v>208</v>
      </c>
      <c r="F398" s="154" t="s">
        <v>208</v>
      </c>
      <c r="G398" s="154" t="s">
        <v>208</v>
      </c>
      <c r="H398" s="155"/>
      <c r="I398" s="155"/>
      <c r="J398" s="155"/>
      <c r="K398" s="158" t="s">
        <v>215</v>
      </c>
    </row>
    <row r="399">
      <c r="A399" s="153">
        <f t="shared" si="2"/>
        <v>398</v>
      </c>
      <c r="B399" s="154"/>
      <c r="C399" s="154" t="s">
        <v>208</v>
      </c>
      <c r="D399" s="154" t="s">
        <v>208</v>
      </c>
      <c r="E399" s="154" t="s">
        <v>208</v>
      </c>
      <c r="F399" s="154" t="s">
        <v>208</v>
      </c>
      <c r="G399" s="154" t="s">
        <v>208</v>
      </c>
      <c r="H399" s="155"/>
      <c r="I399" s="155"/>
      <c r="J399" s="155"/>
      <c r="K399" s="158" t="s">
        <v>215</v>
      </c>
    </row>
    <row r="400">
      <c r="A400" s="153">
        <f t="shared" si="2"/>
        <v>399</v>
      </c>
      <c r="B400" s="154"/>
      <c r="C400" s="154" t="s">
        <v>208</v>
      </c>
      <c r="D400" s="154" t="s">
        <v>208</v>
      </c>
      <c r="E400" s="154" t="s">
        <v>208</v>
      </c>
      <c r="F400" s="154" t="s">
        <v>208</v>
      </c>
      <c r="G400" s="154" t="s">
        <v>208</v>
      </c>
      <c r="H400" s="155"/>
      <c r="I400" s="155"/>
      <c r="J400" s="155"/>
      <c r="K400" s="158" t="s">
        <v>215</v>
      </c>
    </row>
    <row r="401">
      <c r="A401" s="153">
        <f t="shared" si="2"/>
        <v>400</v>
      </c>
      <c r="B401" s="154"/>
      <c r="C401" s="154" t="s">
        <v>208</v>
      </c>
      <c r="D401" s="154" t="s">
        <v>208</v>
      </c>
      <c r="E401" s="154" t="s">
        <v>208</v>
      </c>
      <c r="F401" s="154" t="s">
        <v>208</v>
      </c>
      <c r="G401" s="154" t="s">
        <v>208</v>
      </c>
      <c r="H401" s="155"/>
      <c r="I401" s="155"/>
      <c r="J401" s="155"/>
      <c r="K401" s="158" t="s">
        <v>215</v>
      </c>
    </row>
    <row r="402">
      <c r="A402" s="153">
        <f t="shared" si="2"/>
        <v>401</v>
      </c>
      <c r="B402" s="154"/>
      <c r="C402" s="154" t="s">
        <v>208</v>
      </c>
      <c r="D402" s="154" t="s">
        <v>208</v>
      </c>
      <c r="E402" s="154" t="s">
        <v>208</v>
      </c>
      <c r="F402" s="154" t="s">
        <v>208</v>
      </c>
      <c r="G402" s="154" t="s">
        <v>208</v>
      </c>
      <c r="H402" s="155"/>
      <c r="I402" s="155"/>
      <c r="J402" s="155"/>
      <c r="K402" s="158" t="s">
        <v>215</v>
      </c>
    </row>
    <row r="403">
      <c r="A403" s="153">
        <f t="shared" si="2"/>
        <v>402</v>
      </c>
      <c r="B403" s="154"/>
      <c r="C403" s="154" t="s">
        <v>208</v>
      </c>
      <c r="D403" s="154" t="s">
        <v>208</v>
      </c>
      <c r="E403" s="154" t="s">
        <v>208</v>
      </c>
      <c r="F403" s="154" t="s">
        <v>208</v>
      </c>
      <c r="G403" s="154" t="s">
        <v>208</v>
      </c>
      <c r="H403" s="155"/>
      <c r="I403" s="155"/>
      <c r="J403" s="155"/>
      <c r="K403" s="158" t="s">
        <v>215</v>
      </c>
    </row>
    <row r="404">
      <c r="A404" s="153">
        <f t="shared" si="2"/>
        <v>403</v>
      </c>
      <c r="B404" s="154"/>
      <c r="C404" s="154" t="s">
        <v>208</v>
      </c>
      <c r="D404" s="154" t="s">
        <v>208</v>
      </c>
      <c r="E404" s="154" t="s">
        <v>208</v>
      </c>
      <c r="F404" s="154" t="s">
        <v>208</v>
      </c>
      <c r="G404" s="154" t="s">
        <v>208</v>
      </c>
      <c r="H404" s="155"/>
      <c r="I404" s="155"/>
      <c r="J404" s="155"/>
      <c r="K404" s="158" t="s">
        <v>215</v>
      </c>
    </row>
    <row r="405">
      <c r="A405" s="153">
        <f t="shared" si="2"/>
        <v>404</v>
      </c>
      <c r="B405" s="154"/>
      <c r="C405" s="154" t="s">
        <v>208</v>
      </c>
      <c r="D405" s="154" t="s">
        <v>208</v>
      </c>
      <c r="E405" s="154" t="s">
        <v>208</v>
      </c>
      <c r="F405" s="154" t="s">
        <v>208</v>
      </c>
      <c r="G405" s="154" t="s">
        <v>208</v>
      </c>
      <c r="H405" s="183"/>
      <c r="I405" s="155"/>
      <c r="J405" s="155"/>
      <c r="K405" s="158" t="s">
        <v>215</v>
      </c>
    </row>
    <row r="406">
      <c r="A406" s="177">
        <f t="shared" si="2"/>
        <v>405</v>
      </c>
      <c r="B406" s="155"/>
      <c r="C406" s="154"/>
      <c r="D406" s="154" t="s">
        <v>208</v>
      </c>
      <c r="E406" s="154" t="s">
        <v>208</v>
      </c>
      <c r="F406" s="154" t="s">
        <v>208</v>
      </c>
      <c r="G406" s="154"/>
      <c r="H406" s="154" t="s">
        <v>208</v>
      </c>
      <c r="I406" s="155"/>
      <c r="J406" s="155"/>
      <c r="K406" s="158" t="s">
        <v>215</v>
      </c>
    </row>
    <row r="407">
      <c r="A407" s="153">
        <f t="shared" si="2"/>
        <v>406</v>
      </c>
      <c r="B407" s="154"/>
      <c r="C407" s="154" t="s">
        <v>208</v>
      </c>
      <c r="D407" s="154" t="s">
        <v>218</v>
      </c>
      <c r="E407" s="154" t="s">
        <v>208</v>
      </c>
      <c r="F407" s="154" t="s">
        <v>218</v>
      </c>
      <c r="G407" s="154" t="s">
        <v>208</v>
      </c>
      <c r="H407" s="155"/>
      <c r="I407" s="155"/>
      <c r="J407" s="155"/>
      <c r="K407" s="158" t="s">
        <v>215</v>
      </c>
    </row>
    <row r="408">
      <c r="A408" s="153">
        <f t="shared" si="2"/>
        <v>407</v>
      </c>
      <c r="B408" s="154"/>
      <c r="C408" s="154" t="s">
        <v>208</v>
      </c>
      <c r="D408" s="154" t="s">
        <v>208</v>
      </c>
      <c r="E408" s="154" t="s">
        <v>208</v>
      </c>
      <c r="F408" s="154" t="s">
        <v>208</v>
      </c>
      <c r="G408" s="154" t="s">
        <v>208</v>
      </c>
      <c r="H408" s="155"/>
      <c r="I408" s="155"/>
      <c r="J408" s="155"/>
      <c r="K408" s="158" t="s">
        <v>215</v>
      </c>
    </row>
    <row r="409">
      <c r="A409" s="153">
        <f t="shared" si="2"/>
        <v>408</v>
      </c>
      <c r="B409" s="154"/>
      <c r="C409" s="154" t="s">
        <v>208</v>
      </c>
      <c r="D409" s="154" t="s">
        <v>218</v>
      </c>
      <c r="E409" s="154" t="s">
        <v>208</v>
      </c>
      <c r="F409" s="154" t="s">
        <v>208</v>
      </c>
      <c r="G409" s="154" t="s">
        <v>208</v>
      </c>
      <c r="H409" s="155"/>
      <c r="I409" s="155"/>
      <c r="J409" s="155"/>
      <c r="K409" s="158" t="s">
        <v>215</v>
      </c>
    </row>
    <row r="410">
      <c r="A410" s="153">
        <f t="shared" si="2"/>
        <v>409</v>
      </c>
      <c r="B410" s="154"/>
      <c r="C410" s="154" t="s">
        <v>208</v>
      </c>
      <c r="D410" s="154" t="s">
        <v>208</v>
      </c>
      <c r="E410" s="154" t="s">
        <v>208</v>
      </c>
      <c r="F410" s="154" t="s">
        <v>208</v>
      </c>
      <c r="G410" s="154" t="s">
        <v>208</v>
      </c>
      <c r="H410" s="155"/>
      <c r="I410" s="155"/>
      <c r="J410" s="155"/>
      <c r="K410" s="158" t="s">
        <v>215</v>
      </c>
    </row>
    <row r="411">
      <c r="A411" s="177">
        <f t="shared" si="2"/>
        <v>410</v>
      </c>
      <c r="B411" s="154"/>
      <c r="C411" s="183"/>
      <c r="D411" s="154" t="s">
        <v>218</v>
      </c>
      <c r="E411" s="154" t="s">
        <v>208</v>
      </c>
      <c r="F411" s="154" t="s">
        <v>208</v>
      </c>
      <c r="G411" s="183"/>
      <c r="H411" s="154" t="s">
        <v>208</v>
      </c>
      <c r="I411" s="155"/>
      <c r="J411" s="155"/>
      <c r="K411" s="158" t="s">
        <v>215</v>
      </c>
    </row>
    <row r="412">
      <c r="A412" s="153">
        <f t="shared" si="2"/>
        <v>411</v>
      </c>
      <c r="B412" s="154"/>
      <c r="C412" s="154" t="s">
        <v>208</v>
      </c>
      <c r="D412" s="186" t="s">
        <v>218</v>
      </c>
      <c r="E412" s="154" t="s">
        <v>208</v>
      </c>
      <c r="F412" s="154" t="s">
        <v>208</v>
      </c>
      <c r="G412" s="154" t="s">
        <v>208</v>
      </c>
      <c r="H412" s="155"/>
      <c r="I412" s="155"/>
      <c r="J412" s="155"/>
      <c r="K412" s="158" t="s">
        <v>215</v>
      </c>
    </row>
    <row r="413">
      <c r="A413" s="153">
        <f t="shared" si="2"/>
        <v>412</v>
      </c>
      <c r="B413" s="154"/>
      <c r="C413" s="154" t="s">
        <v>208</v>
      </c>
      <c r="D413" s="154" t="s">
        <v>208</v>
      </c>
      <c r="E413" s="154" t="s">
        <v>208</v>
      </c>
      <c r="F413" s="154" t="s">
        <v>208</v>
      </c>
      <c r="G413" s="154" t="s">
        <v>208</v>
      </c>
      <c r="H413" s="155"/>
      <c r="I413" s="155"/>
      <c r="J413" s="155"/>
      <c r="K413" s="158" t="s">
        <v>215</v>
      </c>
    </row>
    <row r="414">
      <c r="A414" s="153">
        <f t="shared" si="2"/>
        <v>413</v>
      </c>
      <c r="B414" s="155"/>
      <c r="C414" s="154" t="s">
        <v>208</v>
      </c>
      <c r="D414" s="154" t="s">
        <v>208</v>
      </c>
      <c r="E414" s="154" t="s">
        <v>208</v>
      </c>
      <c r="F414" s="154" t="s">
        <v>208</v>
      </c>
      <c r="G414" s="154" t="s">
        <v>208</v>
      </c>
      <c r="H414" s="155"/>
      <c r="I414" s="155"/>
      <c r="J414" s="155"/>
      <c r="K414" s="158" t="s">
        <v>215</v>
      </c>
    </row>
    <row r="415">
      <c r="A415" s="153">
        <f t="shared" si="2"/>
        <v>414</v>
      </c>
      <c r="B415" s="154" t="s">
        <v>208</v>
      </c>
      <c r="C415" s="183"/>
      <c r="D415" s="183"/>
      <c r="E415" s="154"/>
      <c r="F415" s="183"/>
      <c r="G415" s="154" t="s">
        <v>208</v>
      </c>
      <c r="H415" s="155"/>
      <c r="I415" s="155"/>
      <c r="J415" s="155"/>
      <c r="K415" s="158" t="s">
        <v>215</v>
      </c>
    </row>
    <row r="416">
      <c r="A416" s="153">
        <f t="shared" si="2"/>
        <v>415</v>
      </c>
      <c r="B416" s="154"/>
      <c r="C416" s="154" t="s">
        <v>208</v>
      </c>
      <c r="D416" s="154" t="s">
        <v>208</v>
      </c>
      <c r="E416" s="154" t="s">
        <v>208</v>
      </c>
      <c r="F416" s="154" t="s">
        <v>208</v>
      </c>
      <c r="G416" s="154" t="s">
        <v>208</v>
      </c>
      <c r="H416" s="155"/>
      <c r="I416" s="155"/>
      <c r="J416" s="155"/>
      <c r="K416" s="158" t="s">
        <v>215</v>
      </c>
    </row>
    <row r="417">
      <c r="A417" s="153">
        <f t="shared" si="2"/>
        <v>416</v>
      </c>
      <c r="B417" s="154"/>
      <c r="C417" s="154" t="s">
        <v>208</v>
      </c>
      <c r="D417" s="154" t="s">
        <v>208</v>
      </c>
      <c r="E417" s="154" t="s">
        <v>208</v>
      </c>
      <c r="F417" s="154" t="s">
        <v>208</v>
      </c>
      <c r="G417" s="154" t="s">
        <v>208</v>
      </c>
      <c r="H417" s="155"/>
      <c r="I417" s="155"/>
      <c r="J417" s="155"/>
      <c r="K417" s="158" t="s">
        <v>215</v>
      </c>
    </row>
    <row r="418">
      <c r="A418" s="153">
        <f t="shared" si="2"/>
        <v>417</v>
      </c>
      <c r="B418" s="154"/>
      <c r="C418" s="154" t="s">
        <v>208</v>
      </c>
      <c r="D418" s="154" t="s">
        <v>208</v>
      </c>
      <c r="E418" s="154"/>
      <c r="F418" s="154" t="s">
        <v>208</v>
      </c>
      <c r="G418" s="154" t="s">
        <v>208</v>
      </c>
      <c r="H418" s="155"/>
      <c r="I418" s="155"/>
      <c r="J418" s="155"/>
      <c r="K418" s="158" t="s">
        <v>215</v>
      </c>
    </row>
    <row r="419">
      <c r="A419" s="153">
        <f t="shared" si="2"/>
        <v>418</v>
      </c>
      <c r="B419" s="154"/>
      <c r="C419" s="154" t="s">
        <v>208</v>
      </c>
      <c r="D419" s="154" t="s">
        <v>208</v>
      </c>
      <c r="E419" s="154" t="s">
        <v>208</v>
      </c>
      <c r="F419" s="154" t="s">
        <v>208</v>
      </c>
      <c r="G419" s="154" t="s">
        <v>208</v>
      </c>
      <c r="H419" s="155"/>
      <c r="I419" s="155"/>
      <c r="J419" s="155"/>
      <c r="K419" s="158" t="s">
        <v>215</v>
      </c>
    </row>
    <row r="420">
      <c r="A420" s="153">
        <f t="shared" si="2"/>
        <v>419</v>
      </c>
      <c r="B420" s="154"/>
      <c r="C420" s="154" t="s">
        <v>208</v>
      </c>
      <c r="D420" s="154" t="s">
        <v>208</v>
      </c>
      <c r="E420" s="154" t="s">
        <v>208</v>
      </c>
      <c r="F420" s="154" t="s">
        <v>208</v>
      </c>
      <c r="G420" s="154" t="s">
        <v>208</v>
      </c>
      <c r="H420" s="155"/>
      <c r="I420" s="155"/>
      <c r="J420" s="155"/>
      <c r="K420" s="158" t="s">
        <v>215</v>
      </c>
    </row>
    <row r="421">
      <c r="A421" s="153">
        <f t="shared" si="2"/>
        <v>420</v>
      </c>
      <c r="B421" s="154"/>
      <c r="C421" s="154" t="s">
        <v>208</v>
      </c>
      <c r="D421" s="154" t="s">
        <v>208</v>
      </c>
      <c r="E421" s="154" t="s">
        <v>208</v>
      </c>
      <c r="F421" s="154" t="s">
        <v>208</v>
      </c>
      <c r="G421" s="154" t="s">
        <v>208</v>
      </c>
      <c r="H421" s="155"/>
      <c r="I421" s="155"/>
      <c r="J421" s="155"/>
      <c r="K421" s="158" t="s">
        <v>215</v>
      </c>
    </row>
    <row r="422">
      <c r="A422" s="153">
        <f t="shared" si="2"/>
        <v>421</v>
      </c>
      <c r="B422" s="154"/>
      <c r="C422" s="154" t="s">
        <v>208</v>
      </c>
      <c r="D422" s="154" t="s">
        <v>208</v>
      </c>
      <c r="E422" s="154" t="s">
        <v>208</v>
      </c>
      <c r="F422" s="154" t="s">
        <v>208</v>
      </c>
      <c r="G422" s="154" t="s">
        <v>208</v>
      </c>
      <c r="H422" s="155"/>
      <c r="I422" s="155"/>
      <c r="J422" s="155"/>
      <c r="K422" s="158" t="s">
        <v>215</v>
      </c>
      <c r="R422" s="163"/>
      <c r="S422" s="163"/>
    </row>
    <row r="423">
      <c r="A423" s="153">
        <f t="shared" si="2"/>
        <v>422</v>
      </c>
      <c r="B423" s="154"/>
      <c r="C423" s="154" t="s">
        <v>208</v>
      </c>
      <c r="D423" s="154" t="s">
        <v>208</v>
      </c>
      <c r="E423" s="154" t="s">
        <v>208</v>
      </c>
      <c r="F423" s="154" t="s">
        <v>208</v>
      </c>
      <c r="G423" s="154" t="s">
        <v>208</v>
      </c>
      <c r="H423" s="155"/>
      <c r="I423" s="155"/>
      <c r="J423" s="155"/>
      <c r="K423" s="158" t="s">
        <v>215</v>
      </c>
      <c r="R423" s="163"/>
      <c r="S423" s="163"/>
    </row>
    <row r="424">
      <c r="A424" s="153">
        <f t="shared" si="2"/>
        <v>423</v>
      </c>
      <c r="B424" s="154"/>
      <c r="C424" s="154" t="s">
        <v>208</v>
      </c>
      <c r="D424" s="154" t="s">
        <v>208</v>
      </c>
      <c r="E424" s="154" t="s">
        <v>208</v>
      </c>
      <c r="F424" s="154" t="s">
        <v>208</v>
      </c>
      <c r="G424" s="154" t="s">
        <v>208</v>
      </c>
      <c r="H424" s="155"/>
      <c r="I424" s="155"/>
      <c r="J424" s="155"/>
      <c r="K424" s="158" t="s">
        <v>215</v>
      </c>
      <c r="R424" s="163"/>
      <c r="S424" s="163"/>
    </row>
    <row r="425">
      <c r="A425" s="153">
        <f t="shared" si="2"/>
        <v>424</v>
      </c>
      <c r="B425" s="154"/>
      <c r="C425" s="154" t="s">
        <v>208</v>
      </c>
      <c r="D425" s="154" t="s">
        <v>208</v>
      </c>
      <c r="E425" s="154" t="s">
        <v>208</v>
      </c>
      <c r="F425" s="154" t="s">
        <v>208</v>
      </c>
      <c r="G425" s="154" t="s">
        <v>208</v>
      </c>
      <c r="H425" s="155"/>
      <c r="I425" s="155"/>
      <c r="J425" s="155"/>
      <c r="K425" s="158" t="s">
        <v>215</v>
      </c>
      <c r="R425" s="163"/>
      <c r="S425" s="163"/>
    </row>
    <row r="426">
      <c r="A426" s="153">
        <f t="shared" si="2"/>
        <v>425</v>
      </c>
      <c r="B426" s="154"/>
      <c r="C426" s="154" t="s">
        <v>208</v>
      </c>
      <c r="D426" s="154" t="s">
        <v>208</v>
      </c>
      <c r="E426" s="154" t="s">
        <v>208</v>
      </c>
      <c r="F426" s="154" t="s">
        <v>208</v>
      </c>
      <c r="G426" s="154" t="s">
        <v>208</v>
      </c>
      <c r="H426" s="155"/>
      <c r="I426" s="155"/>
      <c r="J426" s="155"/>
      <c r="K426" s="158" t="s">
        <v>215</v>
      </c>
      <c r="R426" s="163"/>
      <c r="S426" s="163"/>
    </row>
    <row r="427">
      <c r="A427" s="153">
        <f t="shared" si="2"/>
        <v>426</v>
      </c>
      <c r="B427" s="154"/>
      <c r="C427" s="154" t="s">
        <v>208</v>
      </c>
      <c r="D427" s="154" t="s">
        <v>208</v>
      </c>
      <c r="E427" s="154"/>
      <c r="F427" s="154" t="s">
        <v>208</v>
      </c>
      <c r="G427" s="154" t="s">
        <v>208</v>
      </c>
      <c r="H427" s="155"/>
      <c r="I427" s="155"/>
      <c r="J427" s="155"/>
      <c r="K427" s="158" t="s">
        <v>215</v>
      </c>
      <c r="R427" s="163"/>
      <c r="S427" s="163"/>
    </row>
    <row r="428">
      <c r="A428" s="153">
        <f t="shared" si="2"/>
        <v>427</v>
      </c>
      <c r="B428" s="154"/>
      <c r="C428" s="154" t="s">
        <v>208</v>
      </c>
      <c r="D428" s="154" t="s">
        <v>208</v>
      </c>
      <c r="E428" s="154" t="s">
        <v>208</v>
      </c>
      <c r="F428" s="154" t="s">
        <v>208</v>
      </c>
      <c r="G428" s="154" t="s">
        <v>208</v>
      </c>
      <c r="H428" s="155"/>
      <c r="I428" s="155"/>
      <c r="J428" s="155"/>
      <c r="K428" s="158" t="s">
        <v>215</v>
      </c>
      <c r="R428" s="163"/>
      <c r="S428" s="163"/>
    </row>
    <row r="429">
      <c r="A429" s="153">
        <f t="shared" si="2"/>
        <v>428</v>
      </c>
      <c r="B429" s="154"/>
      <c r="C429" s="154" t="s">
        <v>208</v>
      </c>
      <c r="D429" s="154" t="s">
        <v>208</v>
      </c>
      <c r="E429" s="154" t="s">
        <v>208</v>
      </c>
      <c r="F429" s="154" t="s">
        <v>208</v>
      </c>
      <c r="G429" s="154" t="s">
        <v>208</v>
      </c>
      <c r="H429" s="155"/>
      <c r="I429" s="155"/>
      <c r="J429" s="155"/>
      <c r="K429" s="158" t="s">
        <v>215</v>
      </c>
      <c r="R429" s="163"/>
      <c r="S429" s="163"/>
    </row>
    <row r="430">
      <c r="A430" s="153">
        <f t="shared" si="2"/>
        <v>429</v>
      </c>
      <c r="B430" s="154"/>
      <c r="C430" s="154" t="s">
        <v>208</v>
      </c>
      <c r="D430" s="154" t="s">
        <v>208</v>
      </c>
      <c r="E430" s="154" t="s">
        <v>208</v>
      </c>
      <c r="F430" s="154" t="s">
        <v>208</v>
      </c>
      <c r="G430" s="154" t="s">
        <v>208</v>
      </c>
      <c r="H430" s="155"/>
      <c r="I430" s="155"/>
      <c r="J430" s="155"/>
      <c r="K430" s="158" t="s">
        <v>215</v>
      </c>
      <c r="R430" s="163"/>
      <c r="S430" s="163"/>
    </row>
    <row r="431">
      <c r="A431" s="153">
        <f t="shared" si="2"/>
        <v>430</v>
      </c>
      <c r="B431" s="154"/>
      <c r="C431" s="154" t="s">
        <v>208</v>
      </c>
      <c r="D431" s="154" t="s">
        <v>208</v>
      </c>
      <c r="E431" s="154" t="s">
        <v>208</v>
      </c>
      <c r="F431" s="154" t="s">
        <v>208</v>
      </c>
      <c r="G431" s="154" t="s">
        <v>208</v>
      </c>
      <c r="H431" s="155"/>
      <c r="I431" s="155"/>
      <c r="J431" s="155"/>
      <c r="K431" s="158" t="s">
        <v>215</v>
      </c>
      <c r="R431" s="163"/>
      <c r="S431" s="163"/>
    </row>
    <row r="432">
      <c r="A432" s="153">
        <f t="shared" si="2"/>
        <v>431</v>
      </c>
      <c r="B432" s="154"/>
      <c r="C432" s="154" t="s">
        <v>208</v>
      </c>
      <c r="D432" s="154" t="s">
        <v>208</v>
      </c>
      <c r="E432" s="154" t="s">
        <v>208</v>
      </c>
      <c r="F432" s="154" t="s">
        <v>208</v>
      </c>
      <c r="G432" s="154" t="s">
        <v>208</v>
      </c>
      <c r="H432" s="155"/>
      <c r="I432" s="155"/>
      <c r="J432" s="155"/>
      <c r="K432" s="158" t="s">
        <v>215</v>
      </c>
      <c r="R432" s="173"/>
      <c r="S432" s="173"/>
    </row>
    <row r="433">
      <c r="A433" s="153">
        <f t="shared" si="2"/>
        <v>432</v>
      </c>
      <c r="B433" s="154"/>
      <c r="C433" s="154" t="s">
        <v>208</v>
      </c>
      <c r="D433" s="154" t="s">
        <v>208</v>
      </c>
      <c r="E433" s="154" t="s">
        <v>208</v>
      </c>
      <c r="F433" s="154" t="s">
        <v>208</v>
      </c>
      <c r="G433" s="154" t="s">
        <v>208</v>
      </c>
      <c r="H433" s="155"/>
      <c r="I433" s="155"/>
      <c r="J433" s="155"/>
      <c r="K433" s="158" t="s">
        <v>215</v>
      </c>
      <c r="R433" s="157"/>
      <c r="S433" s="157"/>
    </row>
    <row r="434">
      <c r="A434" s="153">
        <f t="shared" si="2"/>
        <v>433</v>
      </c>
      <c r="B434" s="154"/>
      <c r="C434" s="154" t="s">
        <v>208</v>
      </c>
      <c r="D434" s="154" t="s">
        <v>208</v>
      </c>
      <c r="E434" s="154" t="s">
        <v>208</v>
      </c>
      <c r="F434" s="154" t="s">
        <v>208</v>
      </c>
      <c r="G434" s="154" t="s">
        <v>208</v>
      </c>
      <c r="H434" s="155"/>
      <c r="I434" s="155"/>
      <c r="J434" s="154"/>
      <c r="K434" s="158" t="s">
        <v>215</v>
      </c>
      <c r="R434" s="163"/>
      <c r="S434" s="163"/>
    </row>
    <row r="435">
      <c r="A435" s="153">
        <f t="shared" si="2"/>
        <v>434</v>
      </c>
      <c r="B435" s="154"/>
      <c r="C435" s="154" t="s">
        <v>208</v>
      </c>
      <c r="D435" s="154" t="s">
        <v>208</v>
      </c>
      <c r="E435" s="154" t="s">
        <v>208</v>
      </c>
      <c r="F435" s="154" t="s">
        <v>208</v>
      </c>
      <c r="G435" s="154" t="s">
        <v>208</v>
      </c>
      <c r="H435" s="155"/>
      <c r="I435" s="155"/>
      <c r="J435" s="155"/>
      <c r="K435" s="158" t="s">
        <v>215</v>
      </c>
      <c r="R435" s="163"/>
      <c r="S435" s="163"/>
    </row>
    <row r="436">
      <c r="A436" s="177">
        <f t="shared" si="2"/>
        <v>435</v>
      </c>
      <c r="B436" s="154"/>
      <c r="C436" s="183"/>
      <c r="D436" s="154" t="s">
        <v>208</v>
      </c>
      <c r="E436" s="154" t="s">
        <v>208</v>
      </c>
      <c r="F436" s="154" t="s">
        <v>208</v>
      </c>
      <c r="G436" s="183"/>
      <c r="H436" s="154" t="s">
        <v>208</v>
      </c>
      <c r="I436" s="155"/>
      <c r="J436" s="155"/>
      <c r="K436" s="158" t="s">
        <v>215</v>
      </c>
      <c r="R436" s="163"/>
      <c r="S436" s="163"/>
    </row>
    <row r="437">
      <c r="A437" s="153">
        <f t="shared" si="2"/>
        <v>436</v>
      </c>
      <c r="B437" s="154"/>
      <c r="C437" s="154" t="s">
        <v>208</v>
      </c>
      <c r="D437" s="154" t="s">
        <v>208</v>
      </c>
      <c r="E437" s="154"/>
      <c r="F437" s="154" t="s">
        <v>208</v>
      </c>
      <c r="G437" s="154" t="s">
        <v>208</v>
      </c>
      <c r="H437" s="155"/>
      <c r="I437" s="155"/>
      <c r="J437" s="155"/>
      <c r="K437" s="158" t="s">
        <v>215</v>
      </c>
      <c r="R437" s="163"/>
      <c r="S437" s="163"/>
    </row>
    <row r="438">
      <c r="A438" s="153">
        <f t="shared" si="2"/>
        <v>437</v>
      </c>
      <c r="B438" s="154" t="s">
        <v>208</v>
      </c>
      <c r="C438" s="183"/>
      <c r="D438" s="186" t="s">
        <v>208</v>
      </c>
      <c r="E438" s="183"/>
      <c r="F438" s="183"/>
      <c r="G438" s="186" t="s">
        <v>208</v>
      </c>
      <c r="H438" s="155"/>
      <c r="I438" s="155"/>
      <c r="J438" s="155"/>
      <c r="K438" s="158" t="s">
        <v>215</v>
      </c>
      <c r="R438" s="163"/>
      <c r="S438" s="163"/>
    </row>
    <row r="439">
      <c r="A439" s="153">
        <f t="shared" si="2"/>
        <v>438</v>
      </c>
      <c r="B439" s="154"/>
      <c r="C439" s="154" t="s">
        <v>208</v>
      </c>
      <c r="D439" s="154" t="s">
        <v>208</v>
      </c>
      <c r="E439" s="154" t="s">
        <v>208</v>
      </c>
      <c r="F439" s="154" t="s">
        <v>208</v>
      </c>
      <c r="G439" s="154" t="s">
        <v>208</v>
      </c>
      <c r="H439" s="155"/>
      <c r="I439" s="155"/>
      <c r="J439" s="155"/>
      <c r="K439" s="158" t="s">
        <v>215</v>
      </c>
      <c r="R439" s="163"/>
      <c r="S439" s="163"/>
    </row>
    <row r="440">
      <c r="A440" s="153">
        <f t="shared" si="2"/>
        <v>439</v>
      </c>
      <c r="B440" s="154"/>
      <c r="C440" s="154" t="s">
        <v>208</v>
      </c>
      <c r="D440" s="154" t="s">
        <v>208</v>
      </c>
      <c r="E440" s="154" t="s">
        <v>208</v>
      </c>
      <c r="F440" s="154" t="s">
        <v>208</v>
      </c>
      <c r="G440" s="154" t="s">
        <v>208</v>
      </c>
      <c r="H440" s="155"/>
      <c r="I440" s="155"/>
      <c r="J440" s="155"/>
      <c r="K440" s="158" t="s">
        <v>215</v>
      </c>
      <c r="R440" s="163"/>
      <c r="S440" s="163"/>
    </row>
    <row r="441">
      <c r="A441" s="153">
        <f t="shared" si="2"/>
        <v>440</v>
      </c>
      <c r="B441" s="154"/>
      <c r="C441" s="154" t="s">
        <v>208</v>
      </c>
      <c r="D441" s="154" t="s">
        <v>208</v>
      </c>
      <c r="E441" s="154" t="s">
        <v>208</v>
      </c>
      <c r="F441" s="154" t="s">
        <v>208</v>
      </c>
      <c r="G441" s="154" t="s">
        <v>208</v>
      </c>
      <c r="H441" s="155"/>
      <c r="I441" s="155"/>
      <c r="J441" s="155"/>
      <c r="K441" s="158" t="s">
        <v>215</v>
      </c>
      <c r="R441" s="163"/>
      <c r="S441" s="163"/>
    </row>
    <row r="442">
      <c r="A442" s="153">
        <f t="shared" si="2"/>
        <v>441</v>
      </c>
      <c r="B442" s="154"/>
      <c r="C442" s="154" t="s">
        <v>208</v>
      </c>
      <c r="D442" s="154" t="s">
        <v>208</v>
      </c>
      <c r="E442" s="154" t="s">
        <v>208</v>
      </c>
      <c r="F442" s="154" t="s">
        <v>208</v>
      </c>
      <c r="G442" s="154" t="s">
        <v>208</v>
      </c>
      <c r="H442" s="155"/>
      <c r="I442" s="155"/>
      <c r="J442" s="155"/>
      <c r="K442" s="158" t="s">
        <v>215</v>
      </c>
      <c r="R442" s="163"/>
      <c r="S442" s="163"/>
    </row>
    <row r="443">
      <c r="A443" s="153">
        <f t="shared" si="2"/>
        <v>442</v>
      </c>
      <c r="B443" s="154"/>
      <c r="C443" s="154" t="s">
        <v>208</v>
      </c>
      <c r="D443" s="154" t="s">
        <v>208</v>
      </c>
      <c r="E443" s="154" t="s">
        <v>208</v>
      </c>
      <c r="F443" s="154" t="s">
        <v>208</v>
      </c>
      <c r="G443" s="154" t="s">
        <v>208</v>
      </c>
      <c r="H443" s="155"/>
      <c r="I443" s="155"/>
      <c r="J443" s="155"/>
      <c r="K443" s="158" t="s">
        <v>215</v>
      </c>
      <c r="R443" s="163"/>
      <c r="S443" s="163"/>
    </row>
    <row r="444">
      <c r="A444" s="153">
        <f t="shared" si="2"/>
        <v>443</v>
      </c>
      <c r="B444" s="154"/>
      <c r="C444" s="154" t="s">
        <v>208</v>
      </c>
      <c r="D444" s="154" t="s">
        <v>208</v>
      </c>
      <c r="E444" s="154" t="s">
        <v>208</v>
      </c>
      <c r="F444" s="154" t="s">
        <v>208</v>
      </c>
      <c r="G444" s="154" t="s">
        <v>208</v>
      </c>
      <c r="H444" s="155"/>
      <c r="I444" s="155"/>
      <c r="J444" s="155"/>
      <c r="K444" s="158" t="s">
        <v>215</v>
      </c>
      <c r="R444" s="173"/>
      <c r="S444" s="173"/>
    </row>
    <row r="445">
      <c r="A445" s="153">
        <f t="shared" si="2"/>
        <v>444</v>
      </c>
      <c r="B445" s="154"/>
      <c r="C445" s="154" t="s">
        <v>208</v>
      </c>
      <c r="D445" s="154" t="s">
        <v>208</v>
      </c>
      <c r="E445" s="154"/>
      <c r="F445" s="154" t="s">
        <v>208</v>
      </c>
      <c r="G445" s="154" t="s">
        <v>208</v>
      </c>
      <c r="H445" s="155"/>
      <c r="I445" s="155"/>
      <c r="J445" s="155"/>
      <c r="K445" s="158" t="s">
        <v>215</v>
      </c>
      <c r="R445" s="157"/>
      <c r="S445" s="157"/>
    </row>
    <row r="446">
      <c r="A446" s="153">
        <f t="shared" si="2"/>
        <v>445</v>
      </c>
      <c r="B446" s="154"/>
      <c r="C446" s="154" t="s">
        <v>208</v>
      </c>
      <c r="D446" s="154" t="s">
        <v>208</v>
      </c>
      <c r="E446" s="154" t="s">
        <v>208</v>
      </c>
      <c r="F446" s="154" t="s">
        <v>208</v>
      </c>
      <c r="G446" s="154" t="s">
        <v>208</v>
      </c>
      <c r="H446" s="155"/>
      <c r="I446" s="155"/>
      <c r="J446" s="155"/>
      <c r="K446" s="158" t="s">
        <v>215</v>
      </c>
      <c r="R446" s="163"/>
      <c r="S446" s="163"/>
    </row>
    <row r="447">
      <c r="A447" s="153">
        <f t="shared" si="2"/>
        <v>446</v>
      </c>
      <c r="B447" s="154"/>
      <c r="C447" s="154" t="s">
        <v>208</v>
      </c>
      <c r="D447" s="154" t="s">
        <v>208</v>
      </c>
      <c r="E447" s="154" t="s">
        <v>208</v>
      </c>
      <c r="F447" s="154" t="s">
        <v>208</v>
      </c>
      <c r="G447" s="154" t="s">
        <v>208</v>
      </c>
      <c r="H447" s="155"/>
      <c r="I447" s="155"/>
      <c r="J447" s="155"/>
      <c r="K447" s="158" t="s">
        <v>215</v>
      </c>
      <c r="R447" s="163"/>
      <c r="S447" s="163"/>
    </row>
    <row r="448">
      <c r="A448" s="153">
        <f t="shared" si="2"/>
        <v>447</v>
      </c>
      <c r="B448" s="154"/>
      <c r="C448" s="154" t="s">
        <v>208</v>
      </c>
      <c r="D448" s="154" t="s">
        <v>208</v>
      </c>
      <c r="E448" s="154" t="s">
        <v>208</v>
      </c>
      <c r="F448" s="154" t="s">
        <v>208</v>
      </c>
      <c r="G448" s="154" t="s">
        <v>208</v>
      </c>
      <c r="H448" s="155"/>
      <c r="I448" s="155"/>
      <c r="J448" s="155"/>
      <c r="K448" s="158" t="s">
        <v>215</v>
      </c>
      <c r="R448" s="163"/>
      <c r="S448" s="163"/>
    </row>
    <row r="449">
      <c r="A449" s="153">
        <f t="shared" si="2"/>
        <v>448</v>
      </c>
      <c r="B449" s="154"/>
      <c r="C449" s="154" t="s">
        <v>208</v>
      </c>
      <c r="D449" s="154" t="s">
        <v>208</v>
      </c>
      <c r="E449" s="154" t="s">
        <v>208</v>
      </c>
      <c r="F449" s="154" t="s">
        <v>218</v>
      </c>
      <c r="G449" s="154" t="s">
        <v>208</v>
      </c>
      <c r="H449" s="155"/>
      <c r="I449" s="155"/>
      <c r="J449" s="155"/>
      <c r="K449" s="158" t="s">
        <v>215</v>
      </c>
      <c r="R449" s="163"/>
      <c r="S449" s="163"/>
    </row>
    <row r="450">
      <c r="A450" s="153">
        <f t="shared" si="2"/>
        <v>449</v>
      </c>
      <c r="B450" s="154"/>
      <c r="C450" s="154" t="s">
        <v>208</v>
      </c>
      <c r="D450" s="154" t="s">
        <v>208</v>
      </c>
      <c r="E450" s="154" t="s">
        <v>208</v>
      </c>
      <c r="F450" s="154" t="s">
        <v>208</v>
      </c>
      <c r="G450" s="154" t="s">
        <v>208</v>
      </c>
      <c r="H450" s="155"/>
      <c r="I450" s="155"/>
      <c r="J450" s="155"/>
      <c r="K450" s="158" t="s">
        <v>215</v>
      </c>
      <c r="R450" s="163"/>
      <c r="S450" s="163"/>
    </row>
    <row r="451">
      <c r="A451" s="153">
        <f t="shared" si="2"/>
        <v>450</v>
      </c>
      <c r="B451" s="154"/>
      <c r="C451" s="154" t="s">
        <v>208</v>
      </c>
      <c r="D451" s="154" t="s">
        <v>208</v>
      </c>
      <c r="E451" s="154" t="s">
        <v>208</v>
      </c>
      <c r="F451" s="154" t="s">
        <v>208</v>
      </c>
      <c r="G451" s="154" t="s">
        <v>208</v>
      </c>
      <c r="H451" s="155"/>
      <c r="I451" s="155"/>
      <c r="J451" s="155"/>
      <c r="K451" s="158" t="s">
        <v>215</v>
      </c>
      <c r="R451" s="163"/>
      <c r="S451" s="163"/>
    </row>
    <row r="452">
      <c r="A452" s="153">
        <f t="shared" si="2"/>
        <v>451</v>
      </c>
      <c r="B452" s="155"/>
      <c r="C452" s="154" t="s">
        <v>208</v>
      </c>
      <c r="D452" s="154" t="s">
        <v>208</v>
      </c>
      <c r="E452" s="154" t="s">
        <v>208</v>
      </c>
      <c r="F452" s="154" t="s">
        <v>208</v>
      </c>
      <c r="G452" s="154" t="s">
        <v>208</v>
      </c>
      <c r="H452" s="155"/>
      <c r="I452" s="155"/>
      <c r="J452" s="155"/>
      <c r="K452" s="158" t="s">
        <v>215</v>
      </c>
      <c r="R452" s="163"/>
      <c r="S452" s="163"/>
    </row>
    <row r="453">
      <c r="A453" s="153">
        <f t="shared" si="2"/>
        <v>452</v>
      </c>
      <c r="B453" s="154"/>
      <c r="C453" s="154" t="s">
        <v>208</v>
      </c>
      <c r="D453" s="154" t="s">
        <v>208</v>
      </c>
      <c r="E453" s="154" t="s">
        <v>208</v>
      </c>
      <c r="F453" s="154" t="s">
        <v>208</v>
      </c>
      <c r="G453" s="154" t="s">
        <v>208</v>
      </c>
      <c r="H453" s="155"/>
      <c r="I453" s="155"/>
      <c r="J453" s="155"/>
      <c r="K453" s="158" t="s">
        <v>215</v>
      </c>
      <c r="R453" s="163"/>
      <c r="S453" s="163"/>
    </row>
    <row r="454">
      <c r="A454" s="153">
        <f t="shared" si="2"/>
        <v>453</v>
      </c>
      <c r="B454" s="154"/>
      <c r="C454" s="154" t="s">
        <v>208</v>
      </c>
      <c r="D454" s="154" t="s">
        <v>208</v>
      </c>
      <c r="E454" s="154" t="s">
        <v>208</v>
      </c>
      <c r="F454" s="154" t="s">
        <v>208</v>
      </c>
      <c r="G454" s="154" t="s">
        <v>208</v>
      </c>
      <c r="H454" s="155"/>
      <c r="I454" s="155"/>
      <c r="J454" s="155"/>
      <c r="K454" s="158" t="s">
        <v>215</v>
      </c>
      <c r="R454" s="163"/>
      <c r="S454" s="163"/>
    </row>
    <row r="455">
      <c r="A455" s="153">
        <f t="shared" si="2"/>
        <v>454</v>
      </c>
      <c r="B455" s="154"/>
      <c r="C455" s="154" t="s">
        <v>208</v>
      </c>
      <c r="D455" s="154" t="s">
        <v>208</v>
      </c>
      <c r="E455" s="154" t="s">
        <v>208</v>
      </c>
      <c r="F455" s="154" t="s">
        <v>208</v>
      </c>
      <c r="G455" s="154" t="s">
        <v>208</v>
      </c>
      <c r="H455" s="155"/>
      <c r="I455" s="155"/>
      <c r="J455" s="155"/>
      <c r="K455" s="158" t="s">
        <v>215</v>
      </c>
      <c r="R455" s="163"/>
      <c r="S455" s="163"/>
    </row>
    <row r="456">
      <c r="A456" s="153">
        <f t="shared" si="2"/>
        <v>455</v>
      </c>
      <c r="B456" s="154"/>
      <c r="C456" s="154" t="s">
        <v>208</v>
      </c>
      <c r="D456" s="154" t="s">
        <v>208</v>
      </c>
      <c r="E456" s="154" t="s">
        <v>208</v>
      </c>
      <c r="F456" s="154" t="s">
        <v>208</v>
      </c>
      <c r="G456" s="154" t="s">
        <v>208</v>
      </c>
      <c r="H456" s="155"/>
      <c r="I456" s="155"/>
      <c r="J456" s="155"/>
      <c r="K456" s="158" t="s">
        <v>215</v>
      </c>
      <c r="R456" s="173"/>
      <c r="S456" s="173"/>
    </row>
    <row r="457">
      <c r="A457" s="153">
        <f t="shared" si="2"/>
        <v>456</v>
      </c>
      <c r="B457" s="154"/>
      <c r="C457" s="154" t="s">
        <v>208</v>
      </c>
      <c r="D457" s="154" t="s">
        <v>208</v>
      </c>
      <c r="E457" s="154" t="s">
        <v>208</v>
      </c>
      <c r="F457" s="154" t="s">
        <v>208</v>
      </c>
      <c r="G457" s="154" t="s">
        <v>208</v>
      </c>
      <c r="H457" s="155"/>
      <c r="I457" s="155"/>
      <c r="J457" s="155"/>
      <c r="K457" s="158" t="s">
        <v>215</v>
      </c>
      <c r="R457" s="157"/>
      <c r="S457" s="157"/>
    </row>
    <row r="458">
      <c r="A458" s="177">
        <f t="shared" si="2"/>
        <v>457</v>
      </c>
      <c r="B458" s="154"/>
      <c r="C458" s="183"/>
      <c r="D458" s="154" t="s">
        <v>208</v>
      </c>
      <c r="E458" s="154" t="s">
        <v>208</v>
      </c>
      <c r="F458" s="154" t="s">
        <v>208</v>
      </c>
      <c r="G458" s="183"/>
      <c r="H458" s="154" t="s">
        <v>208</v>
      </c>
      <c r="I458" s="155"/>
      <c r="J458" s="155"/>
      <c r="K458" s="158" t="s">
        <v>215</v>
      </c>
      <c r="R458" s="163"/>
      <c r="S458" s="163"/>
    </row>
    <row r="459">
      <c r="A459" s="153">
        <f t="shared" si="2"/>
        <v>458</v>
      </c>
      <c r="B459" s="155"/>
      <c r="C459" s="154" t="s">
        <v>208</v>
      </c>
      <c r="D459" s="154" t="s">
        <v>208</v>
      </c>
      <c r="E459" s="154" t="s">
        <v>208</v>
      </c>
      <c r="F459" s="154" t="s">
        <v>208</v>
      </c>
      <c r="G459" s="154" t="s">
        <v>208</v>
      </c>
      <c r="H459" s="155"/>
      <c r="I459" s="155"/>
      <c r="J459" s="155"/>
      <c r="K459" s="158" t="s">
        <v>215</v>
      </c>
      <c r="R459" s="163"/>
      <c r="S459" s="163"/>
    </row>
    <row r="460">
      <c r="A460" s="153">
        <f t="shared" si="2"/>
        <v>459</v>
      </c>
      <c r="B460" s="154"/>
      <c r="C460" s="154" t="s">
        <v>208</v>
      </c>
      <c r="D460" s="154" t="s">
        <v>208</v>
      </c>
      <c r="E460" s="154" t="s">
        <v>208</v>
      </c>
      <c r="F460" s="154" t="s">
        <v>208</v>
      </c>
      <c r="G460" s="154" t="s">
        <v>208</v>
      </c>
      <c r="H460" s="155"/>
      <c r="I460" s="155"/>
      <c r="J460" s="155"/>
      <c r="K460" s="158" t="s">
        <v>215</v>
      </c>
      <c r="R460" s="163"/>
      <c r="S460" s="163"/>
    </row>
    <row r="461">
      <c r="A461" s="153">
        <f t="shared" si="2"/>
        <v>460</v>
      </c>
      <c r="B461" s="154"/>
      <c r="C461" s="154" t="s">
        <v>208</v>
      </c>
      <c r="D461" s="154" t="s">
        <v>208</v>
      </c>
      <c r="E461" s="154" t="s">
        <v>208</v>
      </c>
      <c r="F461" s="154" t="s">
        <v>208</v>
      </c>
      <c r="G461" s="154" t="s">
        <v>208</v>
      </c>
      <c r="H461" s="155"/>
      <c r="I461" s="155"/>
      <c r="J461" s="155"/>
      <c r="K461" s="158" t="s">
        <v>215</v>
      </c>
      <c r="R461" s="163"/>
      <c r="S461" s="163"/>
    </row>
    <row r="462">
      <c r="A462" s="153">
        <f t="shared" si="2"/>
        <v>461</v>
      </c>
      <c r="B462" s="154"/>
      <c r="C462" s="154" t="s">
        <v>208</v>
      </c>
      <c r="D462" s="154" t="s">
        <v>208</v>
      </c>
      <c r="E462" s="154" t="s">
        <v>208</v>
      </c>
      <c r="F462" s="154" t="s">
        <v>208</v>
      </c>
      <c r="G462" s="154" t="s">
        <v>208</v>
      </c>
      <c r="H462" s="155"/>
      <c r="I462" s="155"/>
      <c r="J462" s="155"/>
      <c r="K462" s="158" t="s">
        <v>215</v>
      </c>
      <c r="R462" s="163"/>
      <c r="S462" s="163"/>
    </row>
    <row r="463">
      <c r="A463" s="153">
        <f t="shared" si="2"/>
        <v>462</v>
      </c>
      <c r="B463" s="154"/>
      <c r="C463" s="154" t="s">
        <v>208</v>
      </c>
      <c r="D463" s="154" t="s">
        <v>208</v>
      </c>
      <c r="E463" s="154" t="s">
        <v>208</v>
      </c>
      <c r="F463" s="154" t="s">
        <v>208</v>
      </c>
      <c r="G463" s="154" t="s">
        <v>208</v>
      </c>
      <c r="H463" s="155"/>
      <c r="I463" s="155"/>
      <c r="J463" s="155"/>
      <c r="K463" s="158" t="s">
        <v>215</v>
      </c>
      <c r="R463" s="163"/>
      <c r="S463" s="163"/>
    </row>
    <row r="464">
      <c r="A464" s="153">
        <f t="shared" si="2"/>
        <v>463</v>
      </c>
      <c r="B464" s="154"/>
      <c r="C464" s="154" t="s">
        <v>208</v>
      </c>
      <c r="D464" s="154" t="s">
        <v>208</v>
      </c>
      <c r="E464" s="154" t="s">
        <v>208</v>
      </c>
      <c r="F464" s="154" t="s">
        <v>208</v>
      </c>
      <c r="G464" s="154" t="s">
        <v>208</v>
      </c>
      <c r="H464" s="155"/>
      <c r="I464" s="155"/>
      <c r="J464" s="155"/>
      <c r="K464" s="158" t="s">
        <v>215</v>
      </c>
      <c r="R464" s="163"/>
      <c r="S464" s="163"/>
    </row>
    <row r="465">
      <c r="A465" s="153">
        <f t="shared" si="2"/>
        <v>464</v>
      </c>
      <c r="B465" s="154"/>
      <c r="C465" s="154" t="s">
        <v>208</v>
      </c>
      <c r="D465" s="154" t="s">
        <v>208</v>
      </c>
      <c r="E465" s="154" t="s">
        <v>208</v>
      </c>
      <c r="F465" s="154" t="s">
        <v>208</v>
      </c>
      <c r="G465" s="154" t="s">
        <v>208</v>
      </c>
      <c r="H465" s="155"/>
      <c r="I465" s="155"/>
      <c r="J465" s="155"/>
      <c r="K465" s="158" t="s">
        <v>215</v>
      </c>
      <c r="R465" s="163"/>
      <c r="S465" s="163"/>
    </row>
    <row r="466">
      <c r="A466" s="153">
        <f t="shared" si="2"/>
        <v>465</v>
      </c>
      <c r="B466" s="154"/>
      <c r="C466" s="154" t="s">
        <v>208</v>
      </c>
      <c r="D466" s="154" t="s">
        <v>218</v>
      </c>
      <c r="E466" s="154" t="s">
        <v>208</v>
      </c>
      <c r="F466" s="154" t="s">
        <v>208</v>
      </c>
      <c r="G466" s="154" t="s">
        <v>208</v>
      </c>
      <c r="H466" s="155"/>
      <c r="I466" s="155"/>
      <c r="J466" s="155"/>
      <c r="K466" s="158" t="s">
        <v>215</v>
      </c>
      <c r="R466" s="163"/>
      <c r="S466" s="163"/>
    </row>
    <row r="467">
      <c r="A467" s="153">
        <f t="shared" si="2"/>
        <v>466</v>
      </c>
      <c r="B467" s="154"/>
      <c r="C467" s="154" t="s">
        <v>208</v>
      </c>
      <c r="D467" s="154" t="s">
        <v>208</v>
      </c>
      <c r="E467" s="154" t="s">
        <v>208</v>
      </c>
      <c r="F467" s="154" t="s">
        <v>208</v>
      </c>
      <c r="G467" s="154" t="s">
        <v>208</v>
      </c>
      <c r="H467" s="155"/>
      <c r="I467" s="155"/>
      <c r="J467" s="155"/>
      <c r="K467" s="158" t="s">
        <v>215</v>
      </c>
      <c r="R467" s="163"/>
      <c r="S467" s="163"/>
    </row>
    <row r="468">
      <c r="A468" s="153">
        <f t="shared" si="2"/>
        <v>467</v>
      </c>
      <c r="B468" s="154"/>
      <c r="C468" s="154" t="s">
        <v>208</v>
      </c>
      <c r="D468" s="154" t="s">
        <v>218</v>
      </c>
      <c r="E468" s="154" t="s">
        <v>208</v>
      </c>
      <c r="F468" s="154" t="s">
        <v>208</v>
      </c>
      <c r="G468" s="154" t="s">
        <v>208</v>
      </c>
      <c r="H468" s="155"/>
      <c r="I468" s="155"/>
      <c r="J468" s="155"/>
      <c r="K468" s="158" t="s">
        <v>215</v>
      </c>
      <c r="R468" s="173"/>
      <c r="S468" s="173"/>
    </row>
    <row r="469">
      <c r="A469" s="153">
        <f t="shared" si="2"/>
        <v>468</v>
      </c>
      <c r="B469" s="154"/>
      <c r="C469" s="154" t="s">
        <v>208</v>
      </c>
      <c r="D469" s="154" t="s">
        <v>208</v>
      </c>
      <c r="E469" s="154" t="s">
        <v>208</v>
      </c>
      <c r="F469" s="154" t="s">
        <v>208</v>
      </c>
      <c r="G469" s="154" t="s">
        <v>208</v>
      </c>
      <c r="H469" s="155"/>
      <c r="I469" s="155"/>
      <c r="J469" s="155"/>
      <c r="K469" s="158" t="s">
        <v>215</v>
      </c>
      <c r="R469" s="157"/>
      <c r="S469" s="157"/>
    </row>
    <row r="470">
      <c r="A470" s="153">
        <f t="shared" si="2"/>
        <v>469</v>
      </c>
      <c r="B470" s="154"/>
      <c r="C470" s="154" t="s">
        <v>208</v>
      </c>
      <c r="D470" s="154" t="s">
        <v>208</v>
      </c>
      <c r="E470" s="154" t="s">
        <v>208</v>
      </c>
      <c r="F470" s="154" t="s">
        <v>208</v>
      </c>
      <c r="G470" s="154" t="s">
        <v>208</v>
      </c>
      <c r="H470" s="155"/>
      <c r="I470" s="155"/>
      <c r="J470" s="155"/>
      <c r="K470" s="158" t="s">
        <v>215</v>
      </c>
      <c r="R470" s="163"/>
      <c r="S470" s="163"/>
    </row>
    <row r="471">
      <c r="A471" s="177">
        <f t="shared" si="2"/>
        <v>470</v>
      </c>
      <c r="B471" s="155"/>
      <c r="C471" s="154"/>
      <c r="D471" s="154" t="s">
        <v>208</v>
      </c>
      <c r="E471" s="154" t="s">
        <v>208</v>
      </c>
      <c r="F471" s="154" t="s">
        <v>208</v>
      </c>
      <c r="G471" s="154"/>
      <c r="H471" s="154" t="s">
        <v>208</v>
      </c>
      <c r="I471" s="155"/>
      <c r="J471" s="155"/>
      <c r="K471" s="158" t="s">
        <v>215</v>
      </c>
      <c r="R471" s="163"/>
      <c r="S471" s="163"/>
    </row>
    <row r="472">
      <c r="A472" s="153">
        <f t="shared" si="2"/>
        <v>471</v>
      </c>
      <c r="B472" s="154"/>
      <c r="C472" s="154" t="s">
        <v>208</v>
      </c>
      <c r="D472" s="154" t="s">
        <v>208</v>
      </c>
      <c r="E472" s="154" t="s">
        <v>208</v>
      </c>
      <c r="F472" s="154" t="s">
        <v>208</v>
      </c>
      <c r="G472" s="154" t="s">
        <v>208</v>
      </c>
      <c r="H472" s="155"/>
      <c r="I472" s="155"/>
      <c r="J472" s="155"/>
      <c r="K472" s="158" t="s">
        <v>215</v>
      </c>
      <c r="R472" s="163"/>
      <c r="S472" s="163"/>
    </row>
    <row r="473">
      <c r="A473" s="153">
        <f t="shared" si="2"/>
        <v>472</v>
      </c>
      <c r="B473" s="154"/>
      <c r="C473" s="154" t="s">
        <v>208</v>
      </c>
      <c r="D473" s="154" t="s">
        <v>208</v>
      </c>
      <c r="E473" s="154" t="s">
        <v>208</v>
      </c>
      <c r="F473" s="154" t="s">
        <v>208</v>
      </c>
      <c r="G473" s="154" t="s">
        <v>208</v>
      </c>
      <c r="H473" s="155"/>
      <c r="I473" s="155"/>
      <c r="J473" s="155"/>
      <c r="K473" s="158" t="s">
        <v>215</v>
      </c>
      <c r="R473" s="163"/>
      <c r="S473" s="163"/>
    </row>
    <row r="474">
      <c r="A474" s="153">
        <f t="shared" si="2"/>
        <v>473</v>
      </c>
      <c r="B474" s="154"/>
      <c r="C474" s="154" t="s">
        <v>208</v>
      </c>
      <c r="D474" s="154" t="s">
        <v>208</v>
      </c>
      <c r="E474" s="154" t="s">
        <v>208</v>
      </c>
      <c r="F474" s="154" t="s">
        <v>208</v>
      </c>
      <c r="G474" s="154" t="s">
        <v>208</v>
      </c>
      <c r="H474" s="155"/>
      <c r="I474" s="155"/>
      <c r="J474" s="155"/>
      <c r="K474" s="158" t="s">
        <v>215</v>
      </c>
      <c r="R474" s="163"/>
      <c r="S474" s="163"/>
    </row>
    <row r="475">
      <c r="A475" s="153">
        <f t="shared" si="2"/>
        <v>474</v>
      </c>
      <c r="B475" s="154"/>
      <c r="C475" s="154" t="s">
        <v>208</v>
      </c>
      <c r="D475" s="154" t="s">
        <v>208</v>
      </c>
      <c r="E475" s="154" t="s">
        <v>208</v>
      </c>
      <c r="F475" s="154" t="s">
        <v>208</v>
      </c>
      <c r="G475" s="154" t="s">
        <v>208</v>
      </c>
      <c r="H475" s="155"/>
      <c r="I475" s="155"/>
      <c r="J475" s="155"/>
      <c r="K475" s="158" t="s">
        <v>215</v>
      </c>
      <c r="R475" s="163"/>
      <c r="S475" s="163"/>
    </row>
    <row r="476">
      <c r="A476" s="153">
        <f t="shared" si="2"/>
        <v>475</v>
      </c>
      <c r="B476" s="154"/>
      <c r="C476" s="154" t="s">
        <v>208</v>
      </c>
      <c r="D476" s="154" t="s">
        <v>208</v>
      </c>
      <c r="E476" s="154" t="s">
        <v>208</v>
      </c>
      <c r="F476" s="154" t="s">
        <v>208</v>
      </c>
      <c r="G476" s="154" t="s">
        <v>208</v>
      </c>
      <c r="H476" s="155"/>
      <c r="I476" s="155"/>
      <c r="J476" s="155"/>
      <c r="K476" s="158" t="s">
        <v>215</v>
      </c>
      <c r="R476" s="163"/>
      <c r="S476" s="163"/>
    </row>
    <row r="477">
      <c r="A477" s="153">
        <f t="shared" si="2"/>
        <v>476</v>
      </c>
      <c r="B477" s="154"/>
      <c r="C477" s="154" t="s">
        <v>208</v>
      </c>
      <c r="D477" s="154" t="s">
        <v>208</v>
      </c>
      <c r="E477" s="154" t="s">
        <v>208</v>
      </c>
      <c r="F477" s="154" t="s">
        <v>208</v>
      </c>
      <c r="G477" s="154" t="s">
        <v>208</v>
      </c>
      <c r="H477" s="155"/>
      <c r="I477" s="155"/>
      <c r="J477" s="155"/>
      <c r="K477" s="158" t="s">
        <v>215</v>
      </c>
      <c r="R477" s="163"/>
      <c r="S477" s="163"/>
    </row>
    <row r="478">
      <c r="A478" s="177">
        <f t="shared" si="2"/>
        <v>477</v>
      </c>
      <c r="B478" s="155"/>
      <c r="C478" s="154"/>
      <c r="D478" s="154" t="s">
        <v>208</v>
      </c>
      <c r="E478" s="154" t="s">
        <v>208</v>
      </c>
      <c r="F478" s="154" t="s">
        <v>208</v>
      </c>
      <c r="G478" s="154"/>
      <c r="H478" s="154" t="s">
        <v>208</v>
      </c>
      <c r="I478" s="155"/>
      <c r="J478" s="155"/>
      <c r="K478" s="158" t="s">
        <v>215</v>
      </c>
      <c r="R478" s="163"/>
      <c r="S478" s="163"/>
    </row>
    <row r="479">
      <c r="A479" s="153">
        <f t="shared" si="2"/>
        <v>478</v>
      </c>
      <c r="B479" s="154"/>
      <c r="C479" s="154" t="s">
        <v>208</v>
      </c>
      <c r="D479" s="154" t="s">
        <v>208</v>
      </c>
      <c r="E479" s="154" t="s">
        <v>208</v>
      </c>
      <c r="F479" s="154" t="s">
        <v>208</v>
      </c>
      <c r="G479" s="154" t="s">
        <v>208</v>
      </c>
      <c r="H479" s="155"/>
      <c r="I479" s="155"/>
      <c r="J479" s="155"/>
      <c r="K479" s="158" t="s">
        <v>215</v>
      </c>
      <c r="R479" s="163"/>
      <c r="S479" s="163"/>
    </row>
    <row r="480">
      <c r="A480" s="153">
        <f t="shared" si="2"/>
        <v>479</v>
      </c>
      <c r="B480" s="154"/>
      <c r="C480" s="154" t="s">
        <v>208</v>
      </c>
      <c r="D480" s="154" t="s">
        <v>208</v>
      </c>
      <c r="E480" s="154" t="s">
        <v>208</v>
      </c>
      <c r="F480" s="154" t="s">
        <v>208</v>
      </c>
      <c r="G480" s="154" t="s">
        <v>208</v>
      </c>
      <c r="H480" s="155"/>
      <c r="I480" s="155"/>
      <c r="J480" s="155"/>
      <c r="K480" s="158" t="s">
        <v>215</v>
      </c>
      <c r="R480" s="173"/>
      <c r="S480" s="173"/>
    </row>
    <row r="481">
      <c r="A481" s="153">
        <f t="shared" si="2"/>
        <v>480</v>
      </c>
      <c r="B481" s="154"/>
      <c r="C481" s="154" t="s">
        <v>208</v>
      </c>
      <c r="D481" s="154" t="s">
        <v>208</v>
      </c>
      <c r="E481" s="154" t="s">
        <v>208</v>
      </c>
      <c r="F481" s="154" t="s">
        <v>208</v>
      </c>
      <c r="G481" s="154" t="s">
        <v>208</v>
      </c>
      <c r="H481" s="155"/>
      <c r="I481" s="155"/>
      <c r="J481" s="155"/>
      <c r="K481" s="158" t="s">
        <v>215</v>
      </c>
      <c r="R481" s="157"/>
      <c r="S481" s="157"/>
    </row>
    <row r="482">
      <c r="A482" s="153">
        <f t="shared" si="2"/>
        <v>481</v>
      </c>
      <c r="B482" s="154"/>
      <c r="C482" s="154" t="s">
        <v>208</v>
      </c>
      <c r="D482" s="154" t="s">
        <v>208</v>
      </c>
      <c r="E482" s="154" t="s">
        <v>208</v>
      </c>
      <c r="F482" s="154" t="s">
        <v>208</v>
      </c>
      <c r="G482" s="154" t="s">
        <v>208</v>
      </c>
      <c r="H482" s="155"/>
      <c r="I482" s="155"/>
      <c r="J482" s="155"/>
      <c r="K482" s="158" t="s">
        <v>215</v>
      </c>
      <c r="R482" s="163"/>
      <c r="S482" s="163"/>
    </row>
    <row r="483">
      <c r="A483" s="153">
        <f t="shared" si="2"/>
        <v>482</v>
      </c>
      <c r="B483" s="154"/>
      <c r="C483" s="154" t="s">
        <v>208</v>
      </c>
      <c r="D483" s="154" t="s">
        <v>208</v>
      </c>
      <c r="E483" s="154" t="s">
        <v>208</v>
      </c>
      <c r="F483" s="154" t="s">
        <v>208</v>
      </c>
      <c r="G483" s="154" t="s">
        <v>208</v>
      </c>
      <c r="H483" s="155"/>
      <c r="I483" s="155"/>
      <c r="J483" s="155"/>
      <c r="K483" s="158" t="s">
        <v>215</v>
      </c>
      <c r="R483" s="163"/>
      <c r="S483" s="163"/>
    </row>
    <row r="484">
      <c r="A484" s="153">
        <f t="shared" si="2"/>
        <v>483</v>
      </c>
      <c r="B484" s="154"/>
      <c r="C484" s="154" t="s">
        <v>208</v>
      </c>
      <c r="D484" s="154" t="s">
        <v>218</v>
      </c>
      <c r="E484" s="154" t="s">
        <v>208</v>
      </c>
      <c r="F484" s="154" t="s">
        <v>208</v>
      </c>
      <c r="G484" s="154" t="s">
        <v>208</v>
      </c>
      <c r="H484" s="155"/>
      <c r="I484" s="155"/>
      <c r="J484" s="155"/>
      <c r="K484" s="158" t="s">
        <v>215</v>
      </c>
      <c r="R484" s="163"/>
      <c r="S484" s="163"/>
    </row>
    <row r="485">
      <c r="A485" s="153">
        <f t="shared" si="2"/>
        <v>484</v>
      </c>
      <c r="B485" s="154"/>
      <c r="C485" s="154" t="s">
        <v>208</v>
      </c>
      <c r="D485" s="154" t="s">
        <v>208</v>
      </c>
      <c r="E485" s="154" t="s">
        <v>208</v>
      </c>
      <c r="F485" s="154" t="s">
        <v>208</v>
      </c>
      <c r="G485" s="154" t="s">
        <v>208</v>
      </c>
      <c r="H485" s="155"/>
      <c r="I485" s="155"/>
      <c r="J485" s="155"/>
      <c r="K485" s="158" t="s">
        <v>215</v>
      </c>
      <c r="R485" s="163"/>
      <c r="S485" s="163"/>
    </row>
    <row r="486">
      <c r="A486" s="153">
        <f t="shared" si="2"/>
        <v>485</v>
      </c>
      <c r="B486" s="154"/>
      <c r="C486" s="154" t="s">
        <v>208</v>
      </c>
      <c r="D486" s="154" t="s">
        <v>208</v>
      </c>
      <c r="E486" s="154" t="s">
        <v>208</v>
      </c>
      <c r="F486" s="154" t="s">
        <v>208</v>
      </c>
      <c r="G486" s="154" t="s">
        <v>208</v>
      </c>
      <c r="H486" s="155"/>
      <c r="I486" s="155"/>
      <c r="J486" s="155"/>
      <c r="K486" s="158" t="s">
        <v>215</v>
      </c>
      <c r="R486" s="163"/>
      <c r="S486" s="163"/>
    </row>
    <row r="487">
      <c r="A487" s="153">
        <f t="shared" si="2"/>
        <v>486</v>
      </c>
      <c r="B487" s="155"/>
      <c r="C487" s="154" t="s">
        <v>208</v>
      </c>
      <c r="D487" s="154" t="s">
        <v>208</v>
      </c>
      <c r="E487" s="154" t="s">
        <v>208</v>
      </c>
      <c r="F487" s="154" t="s">
        <v>208</v>
      </c>
      <c r="G487" s="154" t="s">
        <v>208</v>
      </c>
      <c r="H487" s="155"/>
      <c r="I487" s="155"/>
      <c r="J487" s="155"/>
      <c r="K487" s="158" t="s">
        <v>215</v>
      </c>
      <c r="R487" s="163"/>
      <c r="S487" s="163"/>
    </row>
    <row r="488">
      <c r="A488" s="153">
        <f t="shared" si="2"/>
        <v>487</v>
      </c>
      <c r="B488" s="154"/>
      <c r="C488" s="154" t="s">
        <v>208</v>
      </c>
      <c r="D488" s="154" t="s">
        <v>208</v>
      </c>
      <c r="E488" s="154" t="s">
        <v>208</v>
      </c>
      <c r="F488" s="154" t="s">
        <v>208</v>
      </c>
      <c r="G488" s="154" t="s">
        <v>208</v>
      </c>
      <c r="H488" s="155"/>
      <c r="I488" s="155"/>
      <c r="J488" s="155"/>
      <c r="K488" s="158" t="s">
        <v>215</v>
      </c>
      <c r="R488" s="163"/>
      <c r="S488" s="163"/>
    </row>
    <row r="489">
      <c r="A489" s="153">
        <f t="shared" si="2"/>
        <v>488</v>
      </c>
      <c r="B489" s="154"/>
      <c r="C489" s="154" t="s">
        <v>208</v>
      </c>
      <c r="D489" s="154" t="s">
        <v>208</v>
      </c>
      <c r="E489" s="154" t="s">
        <v>208</v>
      </c>
      <c r="F489" s="154" t="s">
        <v>208</v>
      </c>
      <c r="G489" s="154" t="s">
        <v>208</v>
      </c>
      <c r="H489" s="155"/>
      <c r="I489" s="155"/>
      <c r="J489" s="155"/>
      <c r="K489" s="158" t="s">
        <v>215</v>
      </c>
      <c r="R489" s="163"/>
      <c r="S489" s="163"/>
    </row>
    <row r="490">
      <c r="A490" s="153">
        <f t="shared" si="2"/>
        <v>489</v>
      </c>
      <c r="B490" s="155"/>
      <c r="C490" s="154" t="s">
        <v>208</v>
      </c>
      <c r="D490" s="154" t="s">
        <v>208</v>
      </c>
      <c r="E490" s="154" t="s">
        <v>208</v>
      </c>
      <c r="F490" s="154" t="s">
        <v>208</v>
      </c>
      <c r="G490" s="154" t="s">
        <v>208</v>
      </c>
      <c r="H490" s="155"/>
      <c r="I490" s="155"/>
      <c r="J490" s="155"/>
      <c r="K490" s="158" t="s">
        <v>215</v>
      </c>
      <c r="R490" s="163"/>
      <c r="S490" s="163"/>
    </row>
    <row r="491">
      <c r="A491" s="153">
        <f t="shared" si="2"/>
        <v>490</v>
      </c>
      <c r="B491" s="154"/>
      <c r="C491" s="154" t="s">
        <v>208</v>
      </c>
      <c r="D491" s="154" t="s">
        <v>208</v>
      </c>
      <c r="E491" s="154" t="s">
        <v>208</v>
      </c>
      <c r="F491" s="154" t="s">
        <v>208</v>
      </c>
      <c r="G491" s="154" t="s">
        <v>208</v>
      </c>
      <c r="H491" s="155"/>
      <c r="I491" s="155"/>
      <c r="J491" s="155"/>
      <c r="K491" s="158" t="s">
        <v>215</v>
      </c>
      <c r="R491" s="163"/>
      <c r="S491" s="163"/>
    </row>
    <row r="492">
      <c r="A492" s="153">
        <f t="shared" si="2"/>
        <v>491</v>
      </c>
      <c r="B492" s="155"/>
      <c r="C492" s="154" t="s">
        <v>208</v>
      </c>
      <c r="D492" s="154" t="s">
        <v>208</v>
      </c>
      <c r="E492" s="154" t="s">
        <v>208</v>
      </c>
      <c r="F492" s="154" t="s">
        <v>208</v>
      </c>
      <c r="G492" s="154" t="s">
        <v>208</v>
      </c>
      <c r="H492" s="155"/>
      <c r="I492" s="155"/>
      <c r="J492" s="155"/>
      <c r="K492" s="158" t="s">
        <v>215</v>
      </c>
      <c r="R492" s="173"/>
      <c r="S492" s="173"/>
    </row>
    <row r="493">
      <c r="A493" s="153">
        <f t="shared" si="2"/>
        <v>492</v>
      </c>
      <c r="B493" s="154"/>
      <c r="C493" s="154" t="s">
        <v>208</v>
      </c>
      <c r="D493" s="154" t="s">
        <v>208</v>
      </c>
      <c r="E493" s="154" t="s">
        <v>208</v>
      </c>
      <c r="F493" s="154" t="s">
        <v>208</v>
      </c>
      <c r="G493" s="154" t="s">
        <v>208</v>
      </c>
      <c r="H493" s="155"/>
      <c r="I493" s="155"/>
      <c r="J493" s="155"/>
      <c r="K493" s="158" t="s">
        <v>215</v>
      </c>
      <c r="R493" s="157"/>
      <c r="S493" s="157"/>
    </row>
    <row r="494">
      <c r="A494" s="153">
        <f t="shared" si="2"/>
        <v>493</v>
      </c>
      <c r="B494" s="154"/>
      <c r="C494" s="154" t="s">
        <v>208</v>
      </c>
      <c r="D494" s="154" t="s">
        <v>208</v>
      </c>
      <c r="E494" s="154" t="s">
        <v>208</v>
      </c>
      <c r="F494" s="154" t="s">
        <v>208</v>
      </c>
      <c r="G494" s="154" t="s">
        <v>208</v>
      </c>
      <c r="H494" s="155"/>
      <c r="I494" s="155"/>
      <c r="J494" s="155"/>
      <c r="K494" s="158" t="s">
        <v>215</v>
      </c>
      <c r="R494" s="163"/>
      <c r="S494" s="163"/>
    </row>
    <row r="495">
      <c r="A495" s="153">
        <f t="shared" si="2"/>
        <v>494</v>
      </c>
      <c r="B495" s="154"/>
      <c r="C495" s="154" t="s">
        <v>208</v>
      </c>
      <c r="D495" s="154" t="s">
        <v>208</v>
      </c>
      <c r="E495" s="154" t="s">
        <v>208</v>
      </c>
      <c r="F495" s="154" t="s">
        <v>208</v>
      </c>
      <c r="G495" s="154" t="s">
        <v>208</v>
      </c>
      <c r="H495" s="155"/>
      <c r="I495" s="155"/>
      <c r="J495" s="155"/>
      <c r="K495" s="158" t="s">
        <v>215</v>
      </c>
      <c r="R495" s="163"/>
      <c r="S495" s="163"/>
    </row>
    <row r="496">
      <c r="A496" s="153">
        <f t="shared" si="2"/>
        <v>495</v>
      </c>
      <c r="B496" s="154"/>
      <c r="C496" s="154" t="s">
        <v>208</v>
      </c>
      <c r="D496" s="154" t="s">
        <v>208</v>
      </c>
      <c r="E496" s="154" t="s">
        <v>208</v>
      </c>
      <c r="F496" s="154" t="s">
        <v>208</v>
      </c>
      <c r="G496" s="154" t="s">
        <v>208</v>
      </c>
      <c r="H496" s="155"/>
      <c r="I496" s="155"/>
      <c r="J496" s="155"/>
      <c r="K496" s="158" t="s">
        <v>215</v>
      </c>
      <c r="R496" s="163"/>
      <c r="S496" s="163"/>
    </row>
    <row r="497">
      <c r="A497" s="153">
        <f t="shared" si="2"/>
        <v>496</v>
      </c>
      <c r="B497" s="154"/>
      <c r="C497" s="154" t="s">
        <v>208</v>
      </c>
      <c r="D497" s="154" t="s">
        <v>208</v>
      </c>
      <c r="E497" s="154" t="s">
        <v>208</v>
      </c>
      <c r="F497" s="154" t="s">
        <v>208</v>
      </c>
      <c r="G497" s="154" t="s">
        <v>208</v>
      </c>
      <c r="H497" s="155"/>
      <c r="I497" s="155"/>
      <c r="J497" s="155"/>
      <c r="K497" s="158" t="s">
        <v>215</v>
      </c>
      <c r="R497" s="163"/>
      <c r="S497" s="163"/>
    </row>
    <row r="498">
      <c r="A498" s="153">
        <f t="shared" si="2"/>
        <v>497</v>
      </c>
      <c r="B498" s="155"/>
      <c r="C498" s="154" t="s">
        <v>208</v>
      </c>
      <c r="D498" s="154" t="s">
        <v>218</v>
      </c>
      <c r="E498" s="154" t="s">
        <v>208</v>
      </c>
      <c r="F498" s="154" t="s">
        <v>208</v>
      </c>
      <c r="G498" s="154" t="s">
        <v>208</v>
      </c>
      <c r="H498" s="155"/>
      <c r="I498" s="155"/>
      <c r="J498" s="155"/>
      <c r="K498" s="158" t="s">
        <v>215</v>
      </c>
      <c r="R498" s="163"/>
      <c r="S498" s="163"/>
    </row>
    <row r="499">
      <c r="A499" s="153">
        <f t="shared" si="2"/>
        <v>498</v>
      </c>
      <c r="B499" s="154"/>
      <c r="C499" s="154" t="s">
        <v>208</v>
      </c>
      <c r="D499" s="154" t="s">
        <v>208</v>
      </c>
      <c r="E499" s="154" t="s">
        <v>208</v>
      </c>
      <c r="F499" s="154" t="s">
        <v>208</v>
      </c>
      <c r="G499" s="154" t="s">
        <v>208</v>
      </c>
      <c r="H499" s="155"/>
      <c r="I499" s="155"/>
      <c r="J499" s="155"/>
      <c r="K499" s="158" t="s">
        <v>215</v>
      </c>
      <c r="R499" s="163"/>
      <c r="S499" s="163"/>
    </row>
    <row r="500">
      <c r="A500" s="153">
        <f t="shared" si="2"/>
        <v>499</v>
      </c>
      <c r="B500" s="154"/>
      <c r="C500" s="154" t="s">
        <v>208</v>
      </c>
      <c r="D500" s="154" t="s">
        <v>208</v>
      </c>
      <c r="E500" s="154" t="s">
        <v>208</v>
      </c>
      <c r="F500" s="154" t="s">
        <v>218</v>
      </c>
      <c r="G500" s="154" t="s">
        <v>208</v>
      </c>
      <c r="H500" s="155"/>
      <c r="I500" s="155"/>
      <c r="J500" s="155"/>
      <c r="K500" s="158" t="s">
        <v>215</v>
      </c>
      <c r="R500" s="163"/>
      <c r="S500" s="163"/>
    </row>
    <row r="501">
      <c r="A501" s="153">
        <f t="shared" si="2"/>
        <v>500</v>
      </c>
      <c r="B501" s="154"/>
      <c r="C501" s="154" t="s">
        <v>208</v>
      </c>
      <c r="D501" s="154" t="s">
        <v>208</v>
      </c>
      <c r="E501" s="154" t="s">
        <v>208</v>
      </c>
      <c r="F501" s="154" t="s">
        <v>208</v>
      </c>
      <c r="G501" s="154" t="s">
        <v>208</v>
      </c>
      <c r="H501" s="155"/>
      <c r="I501" s="155"/>
      <c r="J501" s="155"/>
      <c r="K501" s="158" t="s">
        <v>215</v>
      </c>
      <c r="R501" s="163"/>
      <c r="S501" s="163"/>
    </row>
    <row r="502">
      <c r="A502" s="153">
        <f t="shared" si="2"/>
        <v>501</v>
      </c>
      <c r="B502" s="154"/>
      <c r="C502" s="154" t="s">
        <v>208</v>
      </c>
      <c r="D502" s="154" t="s">
        <v>208</v>
      </c>
      <c r="E502" s="154" t="s">
        <v>208</v>
      </c>
      <c r="F502" s="154" t="s">
        <v>208</v>
      </c>
      <c r="G502" s="154" t="s">
        <v>208</v>
      </c>
      <c r="H502" s="155"/>
      <c r="I502" s="155"/>
      <c r="J502" s="155"/>
      <c r="K502" s="158" t="s">
        <v>215</v>
      </c>
      <c r="R502" s="163"/>
      <c r="S502" s="163"/>
    </row>
    <row r="503">
      <c r="A503" s="153">
        <f t="shared" si="2"/>
        <v>502</v>
      </c>
      <c r="B503" s="154"/>
      <c r="C503" s="154" t="s">
        <v>208</v>
      </c>
      <c r="D503" s="154" t="s">
        <v>208</v>
      </c>
      <c r="E503" s="154" t="s">
        <v>208</v>
      </c>
      <c r="F503" s="154" t="s">
        <v>208</v>
      </c>
      <c r="G503" s="154" t="s">
        <v>208</v>
      </c>
      <c r="H503" s="155"/>
      <c r="I503" s="155"/>
      <c r="J503" s="155"/>
      <c r="K503" s="158" t="s">
        <v>215</v>
      </c>
      <c r="R503" s="163"/>
      <c r="S503" s="163"/>
    </row>
    <row r="504">
      <c r="A504" s="153">
        <f t="shared" si="2"/>
        <v>503</v>
      </c>
      <c r="B504" s="154"/>
      <c r="C504" s="154" t="s">
        <v>208</v>
      </c>
      <c r="D504" s="154" t="s">
        <v>208</v>
      </c>
      <c r="E504" s="154" t="s">
        <v>208</v>
      </c>
      <c r="F504" s="154" t="s">
        <v>208</v>
      </c>
      <c r="G504" s="154" t="s">
        <v>208</v>
      </c>
      <c r="H504" s="155"/>
      <c r="I504" s="155"/>
      <c r="J504" s="155"/>
      <c r="K504" s="158" t="s">
        <v>215</v>
      </c>
      <c r="R504" s="173"/>
      <c r="S504" s="173"/>
    </row>
    <row r="505">
      <c r="A505" s="153">
        <f t="shared" si="2"/>
        <v>504</v>
      </c>
      <c r="B505" s="154"/>
      <c r="C505" s="154" t="s">
        <v>208</v>
      </c>
      <c r="D505" s="154" t="s">
        <v>208</v>
      </c>
      <c r="E505" s="154" t="s">
        <v>208</v>
      </c>
      <c r="F505" s="154" t="s">
        <v>208</v>
      </c>
      <c r="G505" s="154" t="s">
        <v>208</v>
      </c>
      <c r="H505" s="155"/>
      <c r="I505" s="155"/>
      <c r="J505" s="155"/>
      <c r="K505" s="158" t="s">
        <v>215</v>
      </c>
      <c r="R505" s="157"/>
      <c r="S505" s="157"/>
    </row>
    <row r="506">
      <c r="A506" s="153">
        <f t="shared" si="2"/>
        <v>505</v>
      </c>
      <c r="B506" s="154"/>
      <c r="C506" s="154" t="s">
        <v>208</v>
      </c>
      <c r="D506" s="154" t="s">
        <v>218</v>
      </c>
      <c r="E506" s="154" t="s">
        <v>208</v>
      </c>
      <c r="F506" s="154" t="s">
        <v>208</v>
      </c>
      <c r="G506" s="154" t="s">
        <v>208</v>
      </c>
      <c r="H506" s="155"/>
      <c r="I506" s="155"/>
      <c r="J506" s="155"/>
      <c r="K506" s="158" t="s">
        <v>215</v>
      </c>
      <c r="R506" s="163"/>
      <c r="S506" s="163"/>
    </row>
    <row r="507">
      <c r="A507" s="153">
        <f t="shared" si="2"/>
        <v>506</v>
      </c>
      <c r="B507" s="154"/>
      <c r="C507" s="154" t="s">
        <v>208</v>
      </c>
      <c r="D507" s="154" t="s">
        <v>208</v>
      </c>
      <c r="E507" s="154" t="s">
        <v>208</v>
      </c>
      <c r="F507" s="154" t="s">
        <v>208</v>
      </c>
      <c r="G507" s="154" t="s">
        <v>208</v>
      </c>
      <c r="H507" s="155"/>
      <c r="I507" s="155"/>
      <c r="J507" s="155"/>
      <c r="K507" s="158" t="s">
        <v>215</v>
      </c>
      <c r="R507" s="163"/>
      <c r="S507" s="163"/>
    </row>
    <row r="508">
      <c r="A508" s="153">
        <f t="shared" si="2"/>
        <v>507</v>
      </c>
      <c r="B508" s="154"/>
      <c r="C508" s="154" t="s">
        <v>208</v>
      </c>
      <c r="D508" s="154" t="s">
        <v>208</v>
      </c>
      <c r="E508" s="154" t="s">
        <v>208</v>
      </c>
      <c r="F508" s="154" t="s">
        <v>208</v>
      </c>
      <c r="G508" s="154" t="s">
        <v>208</v>
      </c>
      <c r="H508" s="155"/>
      <c r="I508" s="155"/>
      <c r="J508" s="155"/>
      <c r="K508" s="158" t="s">
        <v>215</v>
      </c>
      <c r="R508" s="163"/>
      <c r="S508" s="163"/>
    </row>
    <row r="509">
      <c r="A509" s="153">
        <f t="shared" si="2"/>
        <v>508</v>
      </c>
      <c r="B509" s="154"/>
      <c r="C509" s="154" t="s">
        <v>208</v>
      </c>
      <c r="D509" s="154" t="s">
        <v>208</v>
      </c>
      <c r="E509" s="154"/>
      <c r="F509" s="154" t="s">
        <v>208</v>
      </c>
      <c r="G509" s="154" t="s">
        <v>208</v>
      </c>
      <c r="H509" s="155"/>
      <c r="I509" s="155"/>
      <c r="J509" s="155"/>
      <c r="K509" s="158" t="s">
        <v>215</v>
      </c>
      <c r="R509" s="163"/>
      <c r="S509" s="163"/>
    </row>
    <row r="510">
      <c r="A510" s="177">
        <f t="shared" si="2"/>
        <v>509</v>
      </c>
      <c r="B510" s="155"/>
      <c r="C510" s="154"/>
      <c r="D510" s="154" t="s">
        <v>208</v>
      </c>
      <c r="E510" s="154" t="s">
        <v>208</v>
      </c>
      <c r="F510" s="154" t="s">
        <v>208</v>
      </c>
      <c r="G510" s="154"/>
      <c r="H510" s="154" t="s">
        <v>208</v>
      </c>
      <c r="I510" s="155"/>
      <c r="J510" s="155"/>
      <c r="K510" s="158" t="s">
        <v>215</v>
      </c>
      <c r="R510" s="163"/>
      <c r="S510" s="163"/>
    </row>
    <row r="511">
      <c r="A511" s="177">
        <f t="shared" si="2"/>
        <v>510</v>
      </c>
      <c r="B511" s="155"/>
      <c r="C511" s="183"/>
      <c r="D511" s="154" t="s">
        <v>208</v>
      </c>
      <c r="E511" s="154" t="s">
        <v>208</v>
      </c>
      <c r="F511" s="154" t="s">
        <v>208</v>
      </c>
      <c r="G511" s="183"/>
      <c r="H511" s="154" t="s">
        <v>208</v>
      </c>
      <c r="I511" s="155"/>
      <c r="J511" s="155"/>
      <c r="K511" s="158" t="s">
        <v>215</v>
      </c>
      <c r="R511" s="163"/>
      <c r="S511" s="163"/>
    </row>
    <row r="512">
      <c r="A512" s="153">
        <f t="shared" si="2"/>
        <v>511</v>
      </c>
      <c r="B512" s="154"/>
      <c r="C512" s="154" t="s">
        <v>208</v>
      </c>
      <c r="D512" s="154" t="s">
        <v>208</v>
      </c>
      <c r="E512" s="154" t="s">
        <v>208</v>
      </c>
      <c r="F512" s="154" t="s">
        <v>208</v>
      </c>
      <c r="G512" s="154" t="s">
        <v>208</v>
      </c>
      <c r="H512" s="155"/>
      <c r="I512" s="155"/>
      <c r="J512" s="155"/>
      <c r="K512" s="158" t="s">
        <v>215</v>
      </c>
      <c r="R512" s="163"/>
      <c r="S512" s="163"/>
    </row>
    <row r="513">
      <c r="A513" s="153">
        <f t="shared" si="2"/>
        <v>512</v>
      </c>
      <c r="B513" s="154"/>
      <c r="C513" s="154" t="s">
        <v>208</v>
      </c>
      <c r="D513" s="154" t="s">
        <v>208</v>
      </c>
      <c r="E513" s="154" t="s">
        <v>208</v>
      </c>
      <c r="F513" s="154" t="s">
        <v>208</v>
      </c>
      <c r="G513" s="154" t="s">
        <v>208</v>
      </c>
      <c r="H513" s="155"/>
      <c r="I513" s="155"/>
      <c r="J513" s="155"/>
      <c r="K513" s="158" t="s">
        <v>215</v>
      </c>
      <c r="R513" s="163"/>
      <c r="S513" s="163"/>
    </row>
    <row r="514">
      <c r="A514" s="153">
        <f t="shared" si="2"/>
        <v>513</v>
      </c>
      <c r="B514" s="154"/>
      <c r="C514" s="154" t="s">
        <v>208</v>
      </c>
      <c r="D514" s="154" t="s">
        <v>208</v>
      </c>
      <c r="E514" s="154" t="s">
        <v>208</v>
      </c>
      <c r="F514" s="154" t="s">
        <v>208</v>
      </c>
      <c r="G514" s="154" t="s">
        <v>208</v>
      </c>
      <c r="H514" s="155"/>
      <c r="I514" s="155"/>
      <c r="J514" s="155"/>
      <c r="K514" s="158" t="s">
        <v>215</v>
      </c>
      <c r="R514" s="163"/>
      <c r="S514" s="163"/>
    </row>
    <row r="515">
      <c r="A515" s="153">
        <f t="shared" si="2"/>
        <v>514</v>
      </c>
      <c r="B515" s="154"/>
      <c r="C515" s="154" t="s">
        <v>208</v>
      </c>
      <c r="D515" s="154" t="s">
        <v>208</v>
      </c>
      <c r="E515" s="154" t="s">
        <v>208</v>
      </c>
      <c r="F515" s="154" t="s">
        <v>208</v>
      </c>
      <c r="G515" s="154" t="s">
        <v>208</v>
      </c>
      <c r="H515" s="155"/>
      <c r="I515" s="155"/>
      <c r="J515" s="155"/>
      <c r="K515" s="158" t="s">
        <v>215</v>
      </c>
      <c r="R515" s="163"/>
      <c r="S515" s="163"/>
    </row>
    <row r="516">
      <c r="A516" s="153">
        <f t="shared" si="2"/>
        <v>515</v>
      </c>
      <c r="B516" s="154"/>
      <c r="C516" s="154" t="s">
        <v>208</v>
      </c>
      <c r="D516" s="154" t="s">
        <v>208</v>
      </c>
      <c r="E516" s="154" t="s">
        <v>208</v>
      </c>
      <c r="F516" s="154" t="s">
        <v>208</v>
      </c>
      <c r="G516" s="154" t="s">
        <v>208</v>
      </c>
      <c r="H516" s="155"/>
      <c r="I516" s="155"/>
      <c r="J516" s="155"/>
      <c r="K516" s="158" t="s">
        <v>215</v>
      </c>
      <c r="R516" s="173"/>
      <c r="S516" s="173"/>
    </row>
    <row r="517">
      <c r="A517" s="153">
        <f t="shared" si="2"/>
        <v>516</v>
      </c>
      <c r="B517" s="154"/>
      <c r="C517" s="154" t="s">
        <v>208</v>
      </c>
      <c r="D517" s="154" t="s">
        <v>208</v>
      </c>
      <c r="E517" s="154" t="s">
        <v>208</v>
      </c>
      <c r="F517" s="154" t="s">
        <v>208</v>
      </c>
      <c r="G517" s="154" t="s">
        <v>208</v>
      </c>
      <c r="H517" s="155"/>
      <c r="I517" s="155"/>
      <c r="J517" s="155"/>
      <c r="K517" s="158" t="s">
        <v>215</v>
      </c>
      <c r="R517" s="157"/>
      <c r="S517" s="157"/>
    </row>
    <row r="518">
      <c r="A518" s="153">
        <f t="shared" si="2"/>
        <v>517</v>
      </c>
      <c r="B518" s="154"/>
      <c r="C518" s="154" t="s">
        <v>208</v>
      </c>
      <c r="D518" s="154" t="s">
        <v>208</v>
      </c>
      <c r="E518" s="154" t="s">
        <v>208</v>
      </c>
      <c r="F518" s="154" t="s">
        <v>208</v>
      </c>
      <c r="G518" s="154" t="s">
        <v>208</v>
      </c>
      <c r="H518" s="155"/>
      <c r="I518" s="155"/>
      <c r="J518" s="155"/>
      <c r="K518" s="158" t="s">
        <v>215</v>
      </c>
      <c r="R518" s="163"/>
      <c r="S518" s="163"/>
    </row>
    <row r="519">
      <c r="A519" s="153">
        <f t="shared" si="2"/>
        <v>518</v>
      </c>
      <c r="B519" s="154"/>
      <c r="C519" s="154" t="s">
        <v>208</v>
      </c>
      <c r="D519" s="154" t="s">
        <v>208</v>
      </c>
      <c r="E519" s="154" t="s">
        <v>208</v>
      </c>
      <c r="F519" s="154" t="s">
        <v>208</v>
      </c>
      <c r="G519" s="154" t="s">
        <v>208</v>
      </c>
      <c r="H519" s="155"/>
      <c r="I519" s="155"/>
      <c r="J519" s="155"/>
      <c r="K519" s="158" t="s">
        <v>215</v>
      </c>
      <c r="R519" s="163"/>
      <c r="S519" s="163"/>
    </row>
    <row r="520">
      <c r="A520" s="153">
        <f t="shared" si="2"/>
        <v>519</v>
      </c>
      <c r="B520" s="154"/>
      <c r="C520" s="154" t="s">
        <v>208</v>
      </c>
      <c r="D520" s="154" t="s">
        <v>208</v>
      </c>
      <c r="E520" s="154"/>
      <c r="F520" s="154" t="s">
        <v>208</v>
      </c>
      <c r="G520" s="154" t="s">
        <v>208</v>
      </c>
      <c r="H520" s="155"/>
      <c r="I520" s="155"/>
      <c r="J520" s="155"/>
      <c r="K520" s="158" t="s">
        <v>215</v>
      </c>
      <c r="R520" s="163"/>
      <c r="S520" s="163"/>
    </row>
    <row r="521">
      <c r="A521" s="153">
        <f t="shared" si="2"/>
        <v>520</v>
      </c>
      <c r="B521" s="154"/>
      <c r="C521" s="154" t="s">
        <v>208</v>
      </c>
      <c r="D521" s="154" t="s">
        <v>208</v>
      </c>
      <c r="E521" s="154" t="s">
        <v>208</v>
      </c>
      <c r="F521" s="154" t="s">
        <v>208</v>
      </c>
      <c r="G521" s="154" t="s">
        <v>208</v>
      </c>
      <c r="H521" s="155"/>
      <c r="I521" s="155"/>
      <c r="J521" s="155"/>
      <c r="K521" s="158" t="s">
        <v>215</v>
      </c>
      <c r="R521" s="163"/>
      <c r="S521" s="163"/>
    </row>
    <row r="522">
      <c r="A522" s="153">
        <f t="shared" si="2"/>
        <v>521</v>
      </c>
      <c r="B522" s="154"/>
      <c r="C522" s="154" t="s">
        <v>208</v>
      </c>
      <c r="D522" s="154" t="s">
        <v>208</v>
      </c>
      <c r="E522" s="154"/>
      <c r="F522" s="154" t="s">
        <v>208</v>
      </c>
      <c r="G522" s="154" t="s">
        <v>208</v>
      </c>
      <c r="H522" s="155"/>
      <c r="I522" s="155"/>
      <c r="J522" s="155"/>
      <c r="K522" s="158" t="s">
        <v>215</v>
      </c>
      <c r="R522" s="163"/>
      <c r="S522" s="163"/>
    </row>
    <row r="523">
      <c r="A523" s="153">
        <f t="shared" si="2"/>
        <v>522</v>
      </c>
      <c r="B523" s="154"/>
      <c r="C523" s="154" t="s">
        <v>208</v>
      </c>
      <c r="D523" s="154" t="s">
        <v>208</v>
      </c>
      <c r="E523" s="154" t="s">
        <v>208</v>
      </c>
      <c r="F523" s="154" t="s">
        <v>208</v>
      </c>
      <c r="G523" s="154" t="s">
        <v>208</v>
      </c>
      <c r="H523" s="155"/>
      <c r="I523" s="155"/>
      <c r="J523" s="155"/>
      <c r="K523" s="158" t="s">
        <v>215</v>
      </c>
      <c r="R523" s="163"/>
      <c r="S523" s="163"/>
    </row>
    <row r="524">
      <c r="A524" s="153">
        <f t="shared" si="2"/>
        <v>523</v>
      </c>
      <c r="B524" s="155"/>
      <c r="C524" s="154" t="s">
        <v>208</v>
      </c>
      <c r="D524" s="154" t="s">
        <v>208</v>
      </c>
      <c r="E524" s="154" t="s">
        <v>208</v>
      </c>
      <c r="F524" s="154" t="s">
        <v>208</v>
      </c>
      <c r="G524" s="154" t="s">
        <v>208</v>
      </c>
      <c r="H524" s="183"/>
      <c r="I524" s="155"/>
      <c r="J524" s="155"/>
      <c r="K524" s="158" t="s">
        <v>215</v>
      </c>
      <c r="R524" s="163"/>
      <c r="S524" s="163"/>
    </row>
    <row r="525">
      <c r="A525" s="153">
        <f t="shared" si="2"/>
        <v>524</v>
      </c>
      <c r="B525" s="154"/>
      <c r="C525" s="154" t="s">
        <v>208</v>
      </c>
      <c r="D525" s="154" t="s">
        <v>208</v>
      </c>
      <c r="E525" s="154" t="s">
        <v>208</v>
      </c>
      <c r="F525" s="154" t="s">
        <v>208</v>
      </c>
      <c r="G525" s="154" t="s">
        <v>208</v>
      </c>
      <c r="H525" s="155"/>
      <c r="I525" s="155"/>
      <c r="J525" s="155"/>
      <c r="K525" s="158" t="s">
        <v>215</v>
      </c>
      <c r="R525" s="163"/>
      <c r="S525" s="163"/>
    </row>
    <row r="526">
      <c r="A526" s="153">
        <f t="shared" si="2"/>
        <v>525</v>
      </c>
      <c r="B526" s="154"/>
      <c r="C526" s="154" t="s">
        <v>208</v>
      </c>
      <c r="D526" s="154" t="s">
        <v>208</v>
      </c>
      <c r="E526" s="154" t="s">
        <v>208</v>
      </c>
      <c r="F526" s="154" t="s">
        <v>208</v>
      </c>
      <c r="G526" s="154" t="s">
        <v>208</v>
      </c>
      <c r="H526" s="155"/>
      <c r="I526" s="155"/>
      <c r="J526" s="155"/>
      <c r="K526" s="158" t="s">
        <v>215</v>
      </c>
      <c r="R526" s="163"/>
      <c r="S526" s="163"/>
    </row>
    <row r="527">
      <c r="A527" s="153">
        <f t="shared" si="2"/>
        <v>526</v>
      </c>
      <c r="B527" s="154"/>
      <c r="C527" s="154" t="s">
        <v>208</v>
      </c>
      <c r="D527" s="154" t="s">
        <v>208</v>
      </c>
      <c r="E527" s="154" t="s">
        <v>208</v>
      </c>
      <c r="F527" s="154" t="s">
        <v>208</v>
      </c>
      <c r="G527" s="154" t="s">
        <v>208</v>
      </c>
      <c r="H527" s="155"/>
      <c r="I527" s="155"/>
      <c r="J527" s="155"/>
      <c r="K527" s="158" t="s">
        <v>215</v>
      </c>
      <c r="R527" s="163"/>
      <c r="S527" s="163"/>
    </row>
    <row r="528">
      <c r="A528" s="153">
        <f t="shared" si="2"/>
        <v>527</v>
      </c>
      <c r="B528" s="154"/>
      <c r="C528" s="154" t="s">
        <v>208</v>
      </c>
      <c r="D528" s="154" t="s">
        <v>208</v>
      </c>
      <c r="E528" s="154" t="s">
        <v>208</v>
      </c>
      <c r="F528" s="154" t="s">
        <v>208</v>
      </c>
      <c r="G528" s="154" t="s">
        <v>208</v>
      </c>
      <c r="H528" s="155"/>
      <c r="I528" s="155"/>
      <c r="J528" s="155"/>
      <c r="K528" s="158" t="s">
        <v>215</v>
      </c>
      <c r="R528" s="173"/>
      <c r="S528" s="173"/>
    </row>
    <row r="529">
      <c r="A529" s="153">
        <f t="shared" si="2"/>
        <v>528</v>
      </c>
      <c r="B529" s="154"/>
      <c r="C529" s="154" t="s">
        <v>208</v>
      </c>
      <c r="D529" s="154" t="s">
        <v>208</v>
      </c>
      <c r="E529" s="154" t="s">
        <v>208</v>
      </c>
      <c r="F529" s="154" t="s">
        <v>208</v>
      </c>
      <c r="G529" s="154" t="s">
        <v>208</v>
      </c>
      <c r="H529" s="155"/>
      <c r="I529" s="155"/>
      <c r="J529" s="155"/>
      <c r="K529" s="158" t="s">
        <v>215</v>
      </c>
      <c r="R529" s="157"/>
      <c r="S529" s="157"/>
    </row>
    <row r="530">
      <c r="A530" s="177">
        <f t="shared" si="2"/>
        <v>529</v>
      </c>
      <c r="B530" s="155"/>
      <c r="C530" s="154"/>
      <c r="D530" s="154" t="s">
        <v>208</v>
      </c>
      <c r="E530" s="154" t="s">
        <v>208</v>
      </c>
      <c r="F530" s="154" t="s">
        <v>208</v>
      </c>
      <c r="G530" s="154"/>
      <c r="H530" s="154" t="s">
        <v>208</v>
      </c>
      <c r="I530" s="155"/>
      <c r="J530" s="155"/>
      <c r="K530" s="158" t="s">
        <v>215</v>
      </c>
      <c r="R530" s="163"/>
      <c r="S530" s="163"/>
    </row>
    <row r="531">
      <c r="A531" s="153">
        <f t="shared" si="2"/>
        <v>530</v>
      </c>
      <c r="B531" s="154"/>
      <c r="C531" s="154" t="s">
        <v>208</v>
      </c>
      <c r="D531" s="154" t="s">
        <v>208</v>
      </c>
      <c r="E531" s="154" t="s">
        <v>208</v>
      </c>
      <c r="F531" s="154" t="s">
        <v>208</v>
      </c>
      <c r="G531" s="154" t="s">
        <v>208</v>
      </c>
      <c r="H531" s="155"/>
      <c r="I531" s="155"/>
      <c r="J531" s="155"/>
      <c r="K531" s="158" t="s">
        <v>215</v>
      </c>
      <c r="R531" s="163"/>
      <c r="S531" s="163"/>
    </row>
    <row r="532">
      <c r="A532" s="153">
        <f t="shared" si="2"/>
        <v>531</v>
      </c>
      <c r="B532" s="154"/>
      <c r="C532" s="154" t="s">
        <v>208</v>
      </c>
      <c r="D532" s="154" t="s">
        <v>208</v>
      </c>
      <c r="E532" s="154" t="s">
        <v>208</v>
      </c>
      <c r="F532" s="154" t="s">
        <v>208</v>
      </c>
      <c r="G532" s="154" t="s">
        <v>208</v>
      </c>
      <c r="H532" s="155"/>
      <c r="I532" s="155"/>
      <c r="J532" s="155"/>
      <c r="K532" s="158" t="s">
        <v>215</v>
      </c>
      <c r="R532" s="163"/>
      <c r="S532" s="163"/>
    </row>
    <row r="533">
      <c r="A533" s="153">
        <f t="shared" si="2"/>
        <v>532</v>
      </c>
      <c r="B533" s="154"/>
      <c r="C533" s="154" t="s">
        <v>208</v>
      </c>
      <c r="D533" s="154" t="s">
        <v>208</v>
      </c>
      <c r="E533" s="154"/>
      <c r="F533" s="154" t="s">
        <v>208</v>
      </c>
      <c r="G533" s="154" t="s">
        <v>208</v>
      </c>
      <c r="H533" s="153"/>
      <c r="I533" s="155"/>
      <c r="J533" s="155"/>
      <c r="K533" s="158" t="s">
        <v>215</v>
      </c>
      <c r="R533" s="163"/>
      <c r="S533" s="163"/>
    </row>
    <row r="534">
      <c r="A534" s="153">
        <f t="shared" si="2"/>
        <v>533</v>
      </c>
      <c r="B534" s="154"/>
      <c r="C534" s="154" t="s">
        <v>208</v>
      </c>
      <c r="D534" s="154" t="s">
        <v>208</v>
      </c>
      <c r="E534" s="154" t="s">
        <v>208</v>
      </c>
      <c r="F534" s="154" t="s">
        <v>208</v>
      </c>
      <c r="G534" s="154" t="s">
        <v>208</v>
      </c>
      <c r="H534" s="153"/>
      <c r="I534" s="155"/>
      <c r="J534" s="155"/>
      <c r="K534" s="158" t="s">
        <v>215</v>
      </c>
      <c r="R534" s="163"/>
      <c r="S534" s="163"/>
    </row>
    <row r="535">
      <c r="A535" s="153">
        <f t="shared" si="2"/>
        <v>534</v>
      </c>
      <c r="B535" s="154"/>
      <c r="C535" s="154" t="s">
        <v>208</v>
      </c>
      <c r="D535" s="154" t="s">
        <v>208</v>
      </c>
      <c r="E535" s="154" t="s">
        <v>208</v>
      </c>
      <c r="F535" s="154" t="s">
        <v>208</v>
      </c>
      <c r="G535" s="154" t="s">
        <v>208</v>
      </c>
      <c r="H535" s="153"/>
      <c r="I535" s="155"/>
      <c r="J535" s="155"/>
      <c r="K535" s="158" t="s">
        <v>215</v>
      </c>
      <c r="R535" s="163"/>
      <c r="S535" s="163"/>
    </row>
    <row r="536">
      <c r="A536" s="153">
        <f t="shared" si="2"/>
        <v>535</v>
      </c>
      <c r="B536" s="154"/>
      <c r="C536" s="154" t="s">
        <v>208</v>
      </c>
      <c r="D536" s="154" t="s">
        <v>208</v>
      </c>
      <c r="E536" s="154" t="s">
        <v>208</v>
      </c>
      <c r="F536" s="154" t="s">
        <v>208</v>
      </c>
      <c r="G536" s="154" t="s">
        <v>208</v>
      </c>
      <c r="H536" s="153"/>
      <c r="I536" s="155"/>
      <c r="J536" s="155"/>
      <c r="K536" s="158" t="s">
        <v>215</v>
      </c>
      <c r="R536" s="163"/>
      <c r="S536" s="163"/>
    </row>
    <row r="537">
      <c r="A537" s="153">
        <f t="shared" si="2"/>
        <v>536</v>
      </c>
      <c r="B537" s="154"/>
      <c r="C537" s="154"/>
      <c r="D537" s="154"/>
      <c r="E537" s="154"/>
      <c r="F537" s="154"/>
      <c r="G537" s="154"/>
      <c r="H537" s="153"/>
      <c r="I537" s="155"/>
      <c r="J537" s="154" t="s">
        <v>217</v>
      </c>
      <c r="K537" s="158" t="s">
        <v>215</v>
      </c>
      <c r="R537" s="163"/>
      <c r="S537" s="163"/>
    </row>
    <row r="538">
      <c r="A538" s="153">
        <f t="shared" si="2"/>
        <v>537</v>
      </c>
      <c r="B538" s="154"/>
      <c r="C538" s="154"/>
      <c r="D538" s="154"/>
      <c r="E538" s="154"/>
      <c r="F538" s="154"/>
      <c r="G538" s="154"/>
      <c r="H538" s="153"/>
      <c r="I538" s="155"/>
      <c r="J538" s="154" t="s">
        <v>217</v>
      </c>
      <c r="K538" s="158" t="s">
        <v>215</v>
      </c>
      <c r="R538" s="163"/>
      <c r="S538" s="163"/>
    </row>
    <row r="539">
      <c r="A539" s="153">
        <f t="shared" si="2"/>
        <v>538</v>
      </c>
      <c r="B539" s="154"/>
      <c r="C539" s="154"/>
      <c r="D539" s="154"/>
      <c r="E539" s="154"/>
      <c r="F539" s="154"/>
      <c r="G539" s="154"/>
      <c r="H539" s="153"/>
      <c r="I539" s="155"/>
      <c r="J539" s="154" t="s">
        <v>217</v>
      </c>
      <c r="K539" s="158" t="s">
        <v>215</v>
      </c>
      <c r="R539" s="163"/>
      <c r="S539" s="163"/>
    </row>
    <row r="540">
      <c r="A540" s="153">
        <f t="shared" si="2"/>
        <v>539</v>
      </c>
      <c r="B540" s="154"/>
      <c r="C540" s="154"/>
      <c r="D540" s="154"/>
      <c r="E540" s="154"/>
      <c r="F540" s="154"/>
      <c r="G540" s="154"/>
      <c r="H540" s="153"/>
      <c r="I540" s="155"/>
      <c r="J540" s="154" t="s">
        <v>217</v>
      </c>
      <c r="K540" s="158" t="s">
        <v>215</v>
      </c>
      <c r="R540" s="173"/>
      <c r="S540" s="173"/>
    </row>
    <row r="541">
      <c r="A541" s="153">
        <f t="shared" si="2"/>
        <v>540</v>
      </c>
      <c r="B541" s="154"/>
      <c r="C541" s="154"/>
      <c r="D541" s="154"/>
      <c r="E541" s="154"/>
      <c r="F541" s="154"/>
      <c r="G541" s="155"/>
      <c r="H541" s="155"/>
      <c r="I541" s="155"/>
      <c r="J541" s="154" t="s">
        <v>217</v>
      </c>
      <c r="K541" s="158" t="s">
        <v>215</v>
      </c>
      <c r="R541" s="157"/>
      <c r="S541" s="157"/>
    </row>
    <row r="542">
      <c r="A542" s="153">
        <f t="shared" si="2"/>
        <v>541</v>
      </c>
      <c r="B542" s="155"/>
      <c r="C542" s="154"/>
      <c r="D542" s="154"/>
      <c r="E542" s="154"/>
      <c r="F542" s="155"/>
      <c r="G542" s="154"/>
      <c r="H542" s="155"/>
      <c r="I542" s="155"/>
      <c r="J542" s="154" t="s">
        <v>217</v>
      </c>
      <c r="K542" s="158" t="s">
        <v>215</v>
      </c>
      <c r="R542" s="163"/>
      <c r="S542" s="163"/>
    </row>
    <row r="543">
      <c r="A543" s="153">
        <f t="shared" si="2"/>
        <v>542</v>
      </c>
      <c r="B543" s="154"/>
      <c r="C543" s="154"/>
      <c r="D543" s="154"/>
      <c r="E543" s="154"/>
      <c r="F543" s="154"/>
      <c r="G543" s="155"/>
      <c r="H543" s="155"/>
      <c r="I543" s="155"/>
      <c r="J543" s="154" t="s">
        <v>217</v>
      </c>
      <c r="K543" s="158" t="s">
        <v>215</v>
      </c>
      <c r="R543" s="163"/>
      <c r="S543" s="163"/>
    </row>
    <row r="544">
      <c r="A544" s="153">
        <f t="shared" si="2"/>
        <v>543</v>
      </c>
      <c r="B544" s="154"/>
      <c r="C544" s="154"/>
      <c r="D544" s="154"/>
      <c r="E544" s="154"/>
      <c r="F544" s="154"/>
      <c r="G544" s="155"/>
      <c r="H544" s="155"/>
      <c r="I544" s="155"/>
      <c r="J544" s="154" t="s">
        <v>217</v>
      </c>
      <c r="K544" s="158" t="s">
        <v>215</v>
      </c>
      <c r="R544" s="163"/>
      <c r="S544" s="163"/>
    </row>
    <row r="545">
      <c r="A545" s="153">
        <f t="shared" si="2"/>
        <v>544</v>
      </c>
      <c r="B545" s="154"/>
      <c r="C545" s="154" t="s">
        <v>208</v>
      </c>
      <c r="D545" s="154" t="s">
        <v>208</v>
      </c>
      <c r="E545" s="154" t="s">
        <v>208</v>
      </c>
      <c r="F545" s="154" t="s">
        <v>208</v>
      </c>
      <c r="G545" s="154" t="s">
        <v>208</v>
      </c>
      <c r="H545" s="155"/>
      <c r="I545" s="155"/>
      <c r="J545" s="155"/>
      <c r="K545" s="158" t="s">
        <v>215</v>
      </c>
      <c r="R545" s="163"/>
      <c r="S545" s="163"/>
    </row>
    <row r="546">
      <c r="A546" s="153">
        <f t="shared" si="2"/>
        <v>545</v>
      </c>
      <c r="B546" s="154"/>
      <c r="C546" s="154" t="s">
        <v>208</v>
      </c>
      <c r="D546" s="154" t="s">
        <v>208</v>
      </c>
      <c r="E546" s="154" t="s">
        <v>208</v>
      </c>
      <c r="F546" s="154" t="s">
        <v>208</v>
      </c>
      <c r="G546" s="154" t="s">
        <v>208</v>
      </c>
      <c r="H546" s="155"/>
      <c r="I546" s="155"/>
      <c r="J546" s="155"/>
      <c r="K546" s="158" t="s">
        <v>215</v>
      </c>
      <c r="R546" s="163"/>
      <c r="S546" s="163"/>
    </row>
    <row r="547">
      <c r="A547" s="153">
        <f t="shared" si="2"/>
        <v>546</v>
      </c>
      <c r="B547" s="154"/>
      <c r="C547" s="154" t="s">
        <v>208</v>
      </c>
      <c r="D547" s="154" t="s">
        <v>208</v>
      </c>
      <c r="E547" s="154" t="s">
        <v>208</v>
      </c>
      <c r="F547" s="154" t="s">
        <v>208</v>
      </c>
      <c r="G547" s="154" t="s">
        <v>208</v>
      </c>
      <c r="H547" s="155"/>
      <c r="I547" s="155"/>
      <c r="J547" s="155"/>
      <c r="K547" s="158" t="s">
        <v>215</v>
      </c>
      <c r="R547" s="163"/>
      <c r="S547" s="163"/>
    </row>
    <row r="548">
      <c r="A548" s="153">
        <f t="shared" si="2"/>
        <v>547</v>
      </c>
      <c r="B548" s="154"/>
      <c r="C548" s="154" t="s">
        <v>208</v>
      </c>
      <c r="D548" s="154" t="s">
        <v>208</v>
      </c>
      <c r="E548" s="154" t="s">
        <v>208</v>
      </c>
      <c r="F548" s="154" t="s">
        <v>208</v>
      </c>
      <c r="G548" s="154" t="s">
        <v>208</v>
      </c>
      <c r="H548" s="155"/>
      <c r="I548" s="155"/>
      <c r="J548" s="155"/>
      <c r="K548" s="158" t="s">
        <v>215</v>
      </c>
      <c r="R548" s="163"/>
      <c r="S548" s="163"/>
    </row>
    <row r="549">
      <c r="A549" s="153">
        <f t="shared" si="2"/>
        <v>548</v>
      </c>
      <c r="B549" s="154"/>
      <c r="C549" s="154" t="s">
        <v>208</v>
      </c>
      <c r="D549" s="154" t="s">
        <v>208</v>
      </c>
      <c r="E549" s="154" t="s">
        <v>208</v>
      </c>
      <c r="F549" s="154" t="s">
        <v>208</v>
      </c>
      <c r="G549" s="154" t="s">
        <v>208</v>
      </c>
      <c r="H549" s="155"/>
      <c r="I549" s="155"/>
      <c r="J549" s="155"/>
      <c r="K549" s="158" t="s">
        <v>215</v>
      </c>
      <c r="R549" s="163"/>
      <c r="S549" s="163"/>
    </row>
    <row r="550">
      <c r="A550" s="153">
        <f t="shared" si="2"/>
        <v>549</v>
      </c>
      <c r="B550" s="154"/>
      <c r="C550" s="154" t="s">
        <v>208</v>
      </c>
      <c r="D550" s="154" t="s">
        <v>208</v>
      </c>
      <c r="E550" s="154" t="s">
        <v>208</v>
      </c>
      <c r="F550" s="154" t="s">
        <v>208</v>
      </c>
      <c r="G550" s="154" t="s">
        <v>208</v>
      </c>
      <c r="H550" s="155"/>
      <c r="I550" s="155"/>
      <c r="J550" s="155"/>
      <c r="K550" s="158" t="s">
        <v>215</v>
      </c>
      <c r="R550" s="163"/>
      <c r="S550" s="163"/>
    </row>
    <row r="551">
      <c r="A551" s="153">
        <f t="shared" si="2"/>
        <v>550</v>
      </c>
      <c r="B551" s="154"/>
      <c r="C551" s="154" t="s">
        <v>208</v>
      </c>
      <c r="D551" s="154" t="s">
        <v>208</v>
      </c>
      <c r="E551" s="154" t="s">
        <v>208</v>
      </c>
      <c r="F551" s="154" t="s">
        <v>208</v>
      </c>
      <c r="G551" s="154" t="s">
        <v>208</v>
      </c>
      <c r="H551" s="155"/>
      <c r="I551" s="155"/>
      <c r="J551" s="155"/>
      <c r="K551" s="158" t="s">
        <v>215</v>
      </c>
      <c r="R551" s="163"/>
      <c r="S551" s="163"/>
    </row>
    <row r="552">
      <c r="A552" s="153">
        <f t="shared" si="2"/>
        <v>551</v>
      </c>
      <c r="B552" s="154"/>
      <c r="C552" s="154" t="s">
        <v>208</v>
      </c>
      <c r="D552" s="154" t="s">
        <v>208</v>
      </c>
      <c r="E552" s="154"/>
      <c r="F552" s="154" t="s">
        <v>208</v>
      </c>
      <c r="G552" s="154" t="s">
        <v>208</v>
      </c>
      <c r="H552" s="155"/>
      <c r="I552" s="155"/>
      <c r="J552" s="155"/>
      <c r="K552" s="158" t="s">
        <v>215</v>
      </c>
      <c r="R552" s="173"/>
      <c r="S552" s="173"/>
    </row>
    <row r="553">
      <c r="A553" s="153">
        <f t="shared" si="2"/>
        <v>552</v>
      </c>
      <c r="B553" s="154"/>
      <c r="C553" s="154"/>
      <c r="D553" s="154"/>
      <c r="E553" s="154"/>
      <c r="F553" s="154"/>
      <c r="G553" s="154"/>
      <c r="H553" s="155"/>
      <c r="I553" s="155"/>
      <c r="J553" s="154" t="s">
        <v>217</v>
      </c>
      <c r="K553" s="158" t="s">
        <v>215</v>
      </c>
      <c r="R553" s="157"/>
      <c r="S553" s="157"/>
    </row>
    <row r="554">
      <c r="A554" s="153">
        <f t="shared" si="2"/>
        <v>553</v>
      </c>
      <c r="B554" s="154"/>
      <c r="C554" s="154"/>
      <c r="D554" s="154"/>
      <c r="E554" s="154"/>
      <c r="F554" s="154"/>
      <c r="G554" s="154"/>
      <c r="H554" s="155"/>
      <c r="I554" s="155"/>
      <c r="J554" s="154" t="s">
        <v>217</v>
      </c>
      <c r="K554" s="158" t="s">
        <v>215</v>
      </c>
      <c r="R554" s="163"/>
      <c r="S554" s="163"/>
    </row>
    <row r="555">
      <c r="A555" s="153">
        <f t="shared" si="2"/>
        <v>554</v>
      </c>
      <c r="B555" s="154"/>
      <c r="C555" s="154" t="s">
        <v>208</v>
      </c>
      <c r="D555" s="154" t="s">
        <v>208</v>
      </c>
      <c r="E555" s="154" t="s">
        <v>208</v>
      </c>
      <c r="F555" s="154" t="s">
        <v>208</v>
      </c>
      <c r="G555" s="154" t="s">
        <v>208</v>
      </c>
      <c r="H555" s="155"/>
      <c r="I555" s="155"/>
      <c r="J555" s="155"/>
      <c r="K555" s="158" t="s">
        <v>215</v>
      </c>
      <c r="R555" s="163"/>
      <c r="S555" s="163"/>
    </row>
    <row r="556">
      <c r="A556" s="153">
        <f t="shared" si="2"/>
        <v>555</v>
      </c>
      <c r="B556" s="154"/>
      <c r="C556" s="154" t="s">
        <v>208</v>
      </c>
      <c r="D556" s="154" t="s">
        <v>208</v>
      </c>
      <c r="E556" s="154" t="s">
        <v>208</v>
      </c>
      <c r="F556" s="154" t="s">
        <v>208</v>
      </c>
      <c r="G556" s="154" t="s">
        <v>208</v>
      </c>
      <c r="H556" s="155"/>
      <c r="I556" s="155"/>
      <c r="J556" s="155"/>
      <c r="K556" s="158" t="s">
        <v>215</v>
      </c>
      <c r="R556" s="163"/>
      <c r="S556" s="163"/>
    </row>
    <row r="557">
      <c r="A557" s="153">
        <f t="shared" si="2"/>
        <v>556</v>
      </c>
      <c r="B557" s="154"/>
      <c r="C557" s="154" t="s">
        <v>208</v>
      </c>
      <c r="D557" s="154" t="s">
        <v>208</v>
      </c>
      <c r="E557" s="154" t="s">
        <v>208</v>
      </c>
      <c r="F557" s="154" t="s">
        <v>208</v>
      </c>
      <c r="G557" s="154" t="s">
        <v>208</v>
      </c>
      <c r="H557" s="155"/>
      <c r="I557" s="155"/>
      <c r="J557" s="155"/>
      <c r="K557" s="158" t="s">
        <v>215</v>
      </c>
      <c r="R557" s="163"/>
      <c r="S557" s="163"/>
    </row>
    <row r="558">
      <c r="A558" s="153">
        <f t="shared" si="2"/>
        <v>557</v>
      </c>
      <c r="B558" s="154"/>
      <c r="C558" s="154" t="s">
        <v>208</v>
      </c>
      <c r="D558" s="154" t="s">
        <v>208</v>
      </c>
      <c r="E558" s="154" t="s">
        <v>208</v>
      </c>
      <c r="F558" s="154" t="s">
        <v>208</v>
      </c>
      <c r="G558" s="154" t="s">
        <v>208</v>
      </c>
      <c r="H558" s="155"/>
      <c r="I558" s="155"/>
      <c r="J558" s="155"/>
      <c r="K558" s="158" t="s">
        <v>215</v>
      </c>
      <c r="R558" s="163"/>
      <c r="S558" s="163"/>
    </row>
    <row r="559">
      <c r="A559" s="153">
        <f t="shared" si="2"/>
        <v>558</v>
      </c>
      <c r="B559" s="154"/>
      <c r="C559" s="154" t="s">
        <v>208</v>
      </c>
      <c r="D559" s="154" t="s">
        <v>208</v>
      </c>
      <c r="E559" s="154" t="s">
        <v>208</v>
      </c>
      <c r="F559" s="154" t="s">
        <v>208</v>
      </c>
      <c r="G559" s="154" t="s">
        <v>208</v>
      </c>
      <c r="H559" s="155"/>
      <c r="I559" s="155"/>
      <c r="J559" s="155"/>
      <c r="K559" s="158" t="s">
        <v>215</v>
      </c>
      <c r="R559" s="163"/>
      <c r="S559" s="163"/>
    </row>
    <row r="560">
      <c r="A560" s="153">
        <f t="shared" si="2"/>
        <v>559</v>
      </c>
      <c r="B560" s="154"/>
      <c r="C560" s="154" t="s">
        <v>208</v>
      </c>
      <c r="D560" s="154" t="s">
        <v>208</v>
      </c>
      <c r="E560" s="154" t="s">
        <v>208</v>
      </c>
      <c r="F560" s="154" t="s">
        <v>208</v>
      </c>
      <c r="G560" s="154" t="s">
        <v>208</v>
      </c>
      <c r="H560" s="155"/>
      <c r="I560" s="155"/>
      <c r="J560" s="155"/>
      <c r="K560" s="158" t="s">
        <v>215</v>
      </c>
      <c r="R560" s="163"/>
      <c r="S560" s="163"/>
    </row>
    <row r="561">
      <c r="A561" s="153">
        <f t="shared" si="2"/>
        <v>560</v>
      </c>
      <c r="B561" s="154"/>
      <c r="C561" s="154"/>
      <c r="D561" s="154"/>
      <c r="E561" s="154"/>
      <c r="F561" s="154"/>
      <c r="G561" s="154"/>
      <c r="H561" s="155"/>
      <c r="I561" s="155"/>
      <c r="J561" s="154" t="s">
        <v>217</v>
      </c>
      <c r="K561" s="158" t="s">
        <v>215</v>
      </c>
      <c r="R561" s="163"/>
      <c r="S561" s="163"/>
    </row>
    <row r="562">
      <c r="A562" s="153">
        <f t="shared" si="2"/>
        <v>561</v>
      </c>
      <c r="B562" s="154"/>
      <c r="C562" s="154" t="s">
        <v>208</v>
      </c>
      <c r="D562" s="154" t="s">
        <v>208</v>
      </c>
      <c r="E562" s="154" t="s">
        <v>208</v>
      </c>
      <c r="F562" s="154" t="s">
        <v>208</v>
      </c>
      <c r="G562" s="154" t="s">
        <v>208</v>
      </c>
      <c r="H562" s="155"/>
      <c r="I562" s="155"/>
      <c r="J562" s="155"/>
      <c r="K562" s="158" t="s">
        <v>215</v>
      </c>
      <c r="R562" s="163"/>
      <c r="S562" s="163"/>
    </row>
    <row r="563">
      <c r="A563" s="153">
        <f t="shared" si="2"/>
        <v>562</v>
      </c>
      <c r="B563" s="154"/>
      <c r="C563" s="154" t="s">
        <v>208</v>
      </c>
      <c r="D563" s="154" t="s">
        <v>208</v>
      </c>
      <c r="E563" s="154" t="s">
        <v>208</v>
      </c>
      <c r="F563" s="154" t="s">
        <v>208</v>
      </c>
      <c r="G563" s="154" t="s">
        <v>208</v>
      </c>
      <c r="H563" s="155"/>
      <c r="I563" s="155"/>
      <c r="J563" s="155"/>
      <c r="K563" s="158" t="s">
        <v>215</v>
      </c>
      <c r="R563" s="163"/>
      <c r="S563" s="163"/>
    </row>
    <row r="564">
      <c r="A564" s="153">
        <f t="shared" si="2"/>
        <v>563</v>
      </c>
      <c r="B564" s="154"/>
      <c r="C564" s="154"/>
      <c r="D564" s="154"/>
      <c r="E564" s="154"/>
      <c r="F564" s="154"/>
      <c r="G564" s="154"/>
      <c r="H564" s="155"/>
      <c r="I564" s="155"/>
      <c r="J564" s="154" t="s">
        <v>217</v>
      </c>
      <c r="K564" s="158" t="s">
        <v>215</v>
      </c>
      <c r="R564" s="173"/>
      <c r="S564" s="173"/>
    </row>
    <row r="565">
      <c r="A565" s="153">
        <f t="shared" si="2"/>
        <v>564</v>
      </c>
      <c r="B565" s="154"/>
      <c r="C565" s="154"/>
      <c r="D565" s="154"/>
      <c r="E565" s="154"/>
      <c r="F565" s="154"/>
      <c r="G565" s="154"/>
      <c r="H565" s="155"/>
      <c r="I565" s="155"/>
      <c r="J565" s="154" t="s">
        <v>217</v>
      </c>
      <c r="K565" s="158" t="s">
        <v>215</v>
      </c>
      <c r="R565" s="157"/>
      <c r="S565" s="157"/>
    </row>
    <row r="566">
      <c r="A566" s="153">
        <f t="shared" si="2"/>
        <v>565</v>
      </c>
      <c r="B566" s="154"/>
      <c r="C566" s="154" t="s">
        <v>208</v>
      </c>
      <c r="D566" s="154" t="s">
        <v>208</v>
      </c>
      <c r="E566" s="154" t="s">
        <v>208</v>
      </c>
      <c r="F566" s="154" t="s">
        <v>208</v>
      </c>
      <c r="G566" s="154" t="s">
        <v>208</v>
      </c>
      <c r="H566" s="155"/>
      <c r="I566" s="155"/>
      <c r="J566" s="155"/>
      <c r="K566" s="158" t="s">
        <v>215</v>
      </c>
      <c r="R566" s="163"/>
      <c r="S566" s="163"/>
    </row>
    <row r="567">
      <c r="A567" s="177">
        <f t="shared" si="2"/>
        <v>566</v>
      </c>
      <c r="B567" s="154"/>
      <c r="C567" s="154"/>
      <c r="D567" s="154" t="s">
        <v>208</v>
      </c>
      <c r="E567" s="154" t="s">
        <v>208</v>
      </c>
      <c r="F567" s="154" t="s">
        <v>208</v>
      </c>
      <c r="G567" s="154"/>
      <c r="H567" s="154" t="s">
        <v>208</v>
      </c>
      <c r="I567" s="155"/>
      <c r="J567" s="155"/>
      <c r="K567" s="158" t="s">
        <v>215</v>
      </c>
      <c r="R567" s="163"/>
      <c r="S567" s="163"/>
    </row>
    <row r="568">
      <c r="A568" s="153">
        <f t="shared" si="2"/>
        <v>567</v>
      </c>
      <c r="B568" s="154"/>
      <c r="C568" s="154" t="s">
        <v>208</v>
      </c>
      <c r="D568" s="154" t="s">
        <v>208</v>
      </c>
      <c r="E568" s="154" t="s">
        <v>208</v>
      </c>
      <c r="F568" s="154" t="s">
        <v>208</v>
      </c>
      <c r="G568" s="154" t="s">
        <v>208</v>
      </c>
      <c r="H568" s="155"/>
      <c r="I568" s="155"/>
      <c r="J568" s="155"/>
      <c r="K568" s="158" t="s">
        <v>215</v>
      </c>
      <c r="R568" s="163"/>
      <c r="S568" s="163"/>
    </row>
    <row r="569">
      <c r="A569" s="177">
        <f t="shared" si="2"/>
        <v>568</v>
      </c>
      <c r="B569" s="154"/>
      <c r="C569" s="154"/>
      <c r="D569" s="154" t="s">
        <v>208</v>
      </c>
      <c r="E569" s="154" t="s">
        <v>208</v>
      </c>
      <c r="F569" s="154" t="s">
        <v>208</v>
      </c>
      <c r="G569" s="154"/>
      <c r="H569" s="154" t="s">
        <v>208</v>
      </c>
      <c r="I569" s="155"/>
      <c r="J569" s="155"/>
      <c r="K569" s="158" t="s">
        <v>215</v>
      </c>
      <c r="R569" s="163"/>
      <c r="S569" s="163"/>
    </row>
    <row r="570">
      <c r="A570" s="153">
        <f t="shared" si="2"/>
        <v>569</v>
      </c>
      <c r="B570" s="154"/>
      <c r="C570" s="154" t="s">
        <v>208</v>
      </c>
      <c r="D570" s="154" t="s">
        <v>208</v>
      </c>
      <c r="E570" s="154" t="s">
        <v>208</v>
      </c>
      <c r="F570" s="154" t="s">
        <v>208</v>
      </c>
      <c r="G570" s="154" t="s">
        <v>208</v>
      </c>
      <c r="H570" s="155"/>
      <c r="I570" s="155"/>
      <c r="J570" s="155"/>
      <c r="K570" s="158" t="s">
        <v>215</v>
      </c>
      <c r="R570" s="163"/>
      <c r="S570" s="163"/>
    </row>
    <row r="571">
      <c r="A571" s="153">
        <f t="shared" si="2"/>
        <v>570</v>
      </c>
      <c r="B571" s="154"/>
      <c r="C571" s="154" t="s">
        <v>208</v>
      </c>
      <c r="D571" s="154" t="s">
        <v>208</v>
      </c>
      <c r="E571" s="154" t="s">
        <v>208</v>
      </c>
      <c r="F571" s="154" t="s">
        <v>208</v>
      </c>
      <c r="G571" s="154" t="s">
        <v>208</v>
      </c>
      <c r="H571" s="155"/>
      <c r="I571" s="155"/>
      <c r="J571" s="155"/>
      <c r="K571" s="158" t="s">
        <v>215</v>
      </c>
      <c r="R571" s="163"/>
      <c r="S571" s="163"/>
    </row>
    <row r="572">
      <c r="A572" s="153">
        <f t="shared" si="2"/>
        <v>571</v>
      </c>
      <c r="B572" s="154"/>
      <c r="C572" s="154" t="s">
        <v>208</v>
      </c>
      <c r="D572" s="154" t="s">
        <v>208</v>
      </c>
      <c r="E572" s="154" t="s">
        <v>208</v>
      </c>
      <c r="F572" s="154" t="s">
        <v>208</v>
      </c>
      <c r="G572" s="154" t="s">
        <v>208</v>
      </c>
      <c r="H572" s="155"/>
      <c r="I572" s="155"/>
      <c r="J572" s="155"/>
      <c r="K572" s="158" t="s">
        <v>215</v>
      </c>
      <c r="R572" s="163"/>
      <c r="S572" s="163"/>
    </row>
    <row r="573">
      <c r="A573" s="153">
        <f t="shared" si="2"/>
        <v>572</v>
      </c>
      <c r="B573" s="154"/>
      <c r="C573" s="154" t="s">
        <v>208</v>
      </c>
      <c r="D573" s="154"/>
      <c r="E573" s="154"/>
      <c r="F573" s="154" t="s">
        <v>208</v>
      </c>
      <c r="G573" s="154" t="s">
        <v>208</v>
      </c>
      <c r="H573" s="155"/>
      <c r="I573" s="155"/>
      <c r="J573" s="155"/>
      <c r="K573" s="158" t="s">
        <v>215</v>
      </c>
      <c r="R573" s="163"/>
      <c r="S573" s="163"/>
    </row>
    <row r="574">
      <c r="A574" s="153">
        <f t="shared" si="2"/>
        <v>573</v>
      </c>
      <c r="B574" s="154"/>
      <c r="C574" s="154" t="s">
        <v>208</v>
      </c>
      <c r="D574" s="154" t="s">
        <v>208</v>
      </c>
      <c r="E574" s="154" t="s">
        <v>208</v>
      </c>
      <c r="F574" s="154" t="s">
        <v>208</v>
      </c>
      <c r="G574" s="154" t="s">
        <v>208</v>
      </c>
      <c r="H574" s="155"/>
      <c r="I574" s="155"/>
      <c r="J574" s="155"/>
      <c r="K574" s="158" t="s">
        <v>215</v>
      </c>
      <c r="R574" s="163"/>
      <c r="S574" s="163"/>
    </row>
    <row r="575">
      <c r="A575" s="153">
        <f t="shared" si="2"/>
        <v>574</v>
      </c>
      <c r="B575" s="154"/>
      <c r="C575" s="154" t="s">
        <v>208</v>
      </c>
      <c r="D575" s="154" t="s">
        <v>208</v>
      </c>
      <c r="E575" s="154" t="s">
        <v>208</v>
      </c>
      <c r="F575" s="154" t="s">
        <v>208</v>
      </c>
      <c r="G575" s="154" t="s">
        <v>208</v>
      </c>
      <c r="H575" s="155"/>
      <c r="I575" s="155"/>
      <c r="J575" s="155"/>
      <c r="K575" s="158" t="s">
        <v>215</v>
      </c>
      <c r="R575" s="163"/>
      <c r="S575" s="163"/>
    </row>
    <row r="576">
      <c r="A576" s="153">
        <f t="shared" si="2"/>
        <v>575</v>
      </c>
      <c r="B576" s="154"/>
      <c r="C576" s="154" t="s">
        <v>208</v>
      </c>
      <c r="D576" s="154" t="s">
        <v>208</v>
      </c>
      <c r="E576" s="154" t="s">
        <v>208</v>
      </c>
      <c r="F576" s="154" t="s">
        <v>208</v>
      </c>
      <c r="G576" s="154" t="s">
        <v>208</v>
      </c>
      <c r="H576" s="155"/>
      <c r="I576" s="155"/>
      <c r="J576" s="155"/>
      <c r="K576" s="158" t="s">
        <v>215</v>
      </c>
      <c r="R576" s="173"/>
      <c r="S576" s="173"/>
    </row>
    <row r="577">
      <c r="A577" s="153">
        <f t="shared" si="2"/>
        <v>576</v>
      </c>
      <c r="B577" s="154"/>
      <c r="C577" s="154" t="s">
        <v>208</v>
      </c>
      <c r="D577" s="154" t="s">
        <v>208</v>
      </c>
      <c r="E577" s="154" t="s">
        <v>208</v>
      </c>
      <c r="F577" s="154" t="s">
        <v>208</v>
      </c>
      <c r="G577" s="154" t="s">
        <v>208</v>
      </c>
      <c r="H577" s="155"/>
      <c r="I577" s="155"/>
      <c r="J577" s="155"/>
      <c r="K577" s="158" t="s">
        <v>215</v>
      </c>
      <c r="R577" s="157"/>
      <c r="S577" s="157"/>
    </row>
    <row r="578">
      <c r="A578" s="153">
        <f t="shared" si="2"/>
        <v>577</v>
      </c>
      <c r="B578" s="154"/>
      <c r="C578" s="154" t="s">
        <v>208</v>
      </c>
      <c r="D578" s="154" t="s">
        <v>208</v>
      </c>
      <c r="E578" s="154" t="s">
        <v>208</v>
      </c>
      <c r="F578" s="154" t="s">
        <v>208</v>
      </c>
      <c r="G578" s="154" t="s">
        <v>208</v>
      </c>
      <c r="H578" s="155"/>
      <c r="I578" s="155"/>
      <c r="J578" s="155"/>
      <c r="K578" s="158" t="s">
        <v>215</v>
      </c>
      <c r="R578" s="163"/>
      <c r="S578" s="163"/>
    </row>
    <row r="579">
      <c r="A579" s="153">
        <f t="shared" si="2"/>
        <v>578</v>
      </c>
      <c r="B579" s="154"/>
      <c r="C579" s="154" t="s">
        <v>208</v>
      </c>
      <c r="D579" s="154" t="s">
        <v>208</v>
      </c>
      <c r="E579" s="154" t="s">
        <v>208</v>
      </c>
      <c r="F579" s="154" t="s">
        <v>208</v>
      </c>
      <c r="G579" s="154" t="s">
        <v>208</v>
      </c>
      <c r="H579" s="155"/>
      <c r="I579" s="155"/>
      <c r="J579" s="155"/>
      <c r="K579" s="158" t="s">
        <v>215</v>
      </c>
      <c r="R579" s="163"/>
      <c r="S579" s="163"/>
    </row>
    <row r="580">
      <c r="A580" s="153">
        <f t="shared" si="2"/>
        <v>579</v>
      </c>
      <c r="B580" s="154"/>
      <c r="C580" s="154" t="s">
        <v>208</v>
      </c>
      <c r="D580" s="154" t="s">
        <v>208</v>
      </c>
      <c r="E580" s="154" t="s">
        <v>208</v>
      </c>
      <c r="F580" s="154" t="s">
        <v>208</v>
      </c>
      <c r="G580" s="154" t="s">
        <v>208</v>
      </c>
      <c r="H580" s="155"/>
      <c r="I580" s="155"/>
      <c r="J580" s="155"/>
      <c r="K580" s="158" t="s">
        <v>215</v>
      </c>
      <c r="R580" s="163"/>
      <c r="S580" s="163"/>
    </row>
    <row r="581">
      <c r="A581" s="153">
        <f t="shared" si="2"/>
        <v>580</v>
      </c>
      <c r="B581" s="154"/>
      <c r="C581" s="154"/>
      <c r="D581" s="154"/>
      <c r="E581" s="154"/>
      <c r="F581" s="154"/>
      <c r="G581" s="154"/>
      <c r="H581" s="155"/>
      <c r="I581" s="155"/>
      <c r="J581" s="154" t="s">
        <v>217</v>
      </c>
      <c r="K581" s="158" t="s">
        <v>215</v>
      </c>
      <c r="R581" s="163"/>
      <c r="S581" s="163"/>
    </row>
    <row r="582">
      <c r="A582" s="153">
        <f t="shared" si="2"/>
        <v>581</v>
      </c>
      <c r="B582" s="154"/>
      <c r="C582" s="154"/>
      <c r="D582" s="154"/>
      <c r="E582" s="154"/>
      <c r="F582" s="154"/>
      <c r="G582" s="154"/>
      <c r="H582" s="155"/>
      <c r="I582" s="155"/>
      <c r="J582" s="154" t="s">
        <v>217</v>
      </c>
      <c r="K582" s="158" t="s">
        <v>215</v>
      </c>
      <c r="R582" s="163"/>
      <c r="S582" s="163"/>
    </row>
    <row r="583">
      <c r="A583" s="153">
        <f t="shared" si="2"/>
        <v>582</v>
      </c>
      <c r="B583" s="154"/>
      <c r="C583" s="154"/>
      <c r="D583" s="154"/>
      <c r="E583" s="154"/>
      <c r="F583" s="154"/>
      <c r="G583" s="154"/>
      <c r="H583" s="155"/>
      <c r="I583" s="155"/>
      <c r="J583" s="154" t="s">
        <v>217</v>
      </c>
      <c r="K583" s="158" t="s">
        <v>215</v>
      </c>
      <c r="R583" s="163"/>
      <c r="S583" s="163"/>
    </row>
    <row r="584">
      <c r="A584" s="153">
        <f t="shared" si="2"/>
        <v>583</v>
      </c>
      <c r="B584" s="154"/>
      <c r="C584" s="154" t="s">
        <v>208</v>
      </c>
      <c r="D584" s="154"/>
      <c r="E584" s="154"/>
      <c r="F584" s="154"/>
      <c r="G584" s="154" t="s">
        <v>208</v>
      </c>
      <c r="H584" s="155"/>
      <c r="I584" s="155"/>
      <c r="J584" s="155"/>
      <c r="K584" s="158" t="s">
        <v>215</v>
      </c>
      <c r="R584" s="163"/>
      <c r="S584" s="163"/>
    </row>
    <row r="585">
      <c r="A585" s="153">
        <f t="shared" si="2"/>
        <v>584</v>
      </c>
      <c r="B585" s="154"/>
      <c r="C585" s="154" t="s">
        <v>208</v>
      </c>
      <c r="D585" s="154"/>
      <c r="E585" s="154"/>
      <c r="F585" s="154"/>
      <c r="G585" s="154"/>
      <c r="H585" s="155"/>
      <c r="I585" s="155"/>
      <c r="J585" s="154"/>
      <c r="K585" s="158" t="s">
        <v>215</v>
      </c>
      <c r="R585" s="163"/>
      <c r="S585" s="163"/>
    </row>
    <row r="586">
      <c r="A586" s="153">
        <f t="shared" si="2"/>
        <v>585</v>
      </c>
      <c r="B586" s="154"/>
      <c r="C586" s="154"/>
      <c r="D586" s="154"/>
      <c r="E586" s="154"/>
      <c r="F586" s="154"/>
      <c r="G586" s="154"/>
      <c r="H586" s="155"/>
      <c r="I586" s="155"/>
      <c r="J586" s="154" t="s">
        <v>217</v>
      </c>
      <c r="K586" s="158" t="s">
        <v>215</v>
      </c>
      <c r="R586" s="163"/>
      <c r="S586" s="163"/>
    </row>
    <row r="587">
      <c r="A587" s="153">
        <f t="shared" si="2"/>
        <v>586</v>
      </c>
      <c r="B587" s="154"/>
      <c r="C587" s="154"/>
      <c r="D587" s="154"/>
      <c r="E587" s="154"/>
      <c r="F587" s="154"/>
      <c r="G587" s="154"/>
      <c r="H587" s="155"/>
      <c r="I587" s="155"/>
      <c r="J587" s="154" t="s">
        <v>217</v>
      </c>
      <c r="K587" s="158" t="s">
        <v>215</v>
      </c>
      <c r="R587" s="163"/>
      <c r="S587" s="163"/>
    </row>
    <row r="588">
      <c r="A588" s="153">
        <f t="shared" si="2"/>
        <v>587</v>
      </c>
      <c r="B588" s="154"/>
      <c r="C588" s="154"/>
      <c r="D588" s="154"/>
      <c r="E588" s="154"/>
      <c r="F588" s="154"/>
      <c r="G588" s="154"/>
      <c r="H588" s="155"/>
      <c r="I588" s="155"/>
      <c r="J588" s="154" t="s">
        <v>217</v>
      </c>
      <c r="K588" s="158" t="s">
        <v>215</v>
      </c>
      <c r="R588" s="173"/>
      <c r="S588" s="173"/>
    </row>
    <row r="589">
      <c r="A589" s="153">
        <f t="shared" si="2"/>
        <v>588</v>
      </c>
      <c r="B589" s="154"/>
      <c r="C589" s="154"/>
      <c r="D589" s="154"/>
      <c r="E589" s="154"/>
      <c r="F589" s="154"/>
      <c r="G589" s="155"/>
      <c r="H589" s="155"/>
      <c r="I589" s="155"/>
      <c r="J589" s="154" t="s">
        <v>217</v>
      </c>
      <c r="K589" s="158" t="s">
        <v>215</v>
      </c>
      <c r="R589" s="157"/>
      <c r="S589" s="157"/>
    </row>
    <row r="590">
      <c r="A590" s="153">
        <f t="shared" si="2"/>
        <v>589</v>
      </c>
      <c r="B590" s="154"/>
      <c r="C590" s="154"/>
      <c r="D590" s="154"/>
      <c r="E590" s="154"/>
      <c r="F590" s="154"/>
      <c r="G590" s="154"/>
      <c r="H590" s="155"/>
      <c r="I590" s="155"/>
      <c r="J590" s="154" t="s">
        <v>217</v>
      </c>
      <c r="K590" s="158" t="s">
        <v>215</v>
      </c>
      <c r="R590" s="163"/>
      <c r="S590" s="163"/>
    </row>
    <row r="591">
      <c r="A591" s="153">
        <f t="shared" si="2"/>
        <v>590</v>
      </c>
      <c r="B591" s="154"/>
      <c r="C591" s="154"/>
      <c r="D591" s="154"/>
      <c r="E591" s="154"/>
      <c r="F591" s="154"/>
      <c r="G591" s="154"/>
      <c r="H591" s="155"/>
      <c r="I591" s="155"/>
      <c r="J591" s="154" t="s">
        <v>217</v>
      </c>
      <c r="K591" s="158" t="s">
        <v>215</v>
      </c>
      <c r="R591" s="163"/>
      <c r="S591" s="163"/>
    </row>
    <row r="592">
      <c r="A592" s="153">
        <f t="shared" si="2"/>
        <v>591</v>
      </c>
      <c r="B592" s="154"/>
      <c r="C592" s="154"/>
      <c r="D592" s="154"/>
      <c r="E592" s="154"/>
      <c r="F592" s="154"/>
      <c r="G592" s="154"/>
      <c r="H592" s="155"/>
      <c r="I592" s="155"/>
      <c r="J592" s="154" t="s">
        <v>217</v>
      </c>
      <c r="K592" s="158" t="s">
        <v>215</v>
      </c>
      <c r="R592" s="163"/>
      <c r="S592" s="163"/>
    </row>
    <row r="593">
      <c r="A593" s="177">
        <f t="shared" si="2"/>
        <v>592</v>
      </c>
      <c r="B593" s="154"/>
      <c r="C593" s="154"/>
      <c r="D593" s="154" t="s">
        <v>208</v>
      </c>
      <c r="E593" s="154"/>
      <c r="F593" s="154"/>
      <c r="G593" s="154"/>
      <c r="H593" s="154" t="s">
        <v>208</v>
      </c>
      <c r="I593" s="155"/>
      <c r="J593" s="155"/>
      <c r="K593" s="158" t="s">
        <v>215</v>
      </c>
      <c r="R593" s="163"/>
      <c r="S593" s="163"/>
    </row>
    <row r="594">
      <c r="A594" s="153">
        <f t="shared" si="2"/>
        <v>593</v>
      </c>
      <c r="B594" s="154"/>
      <c r="C594" s="154"/>
      <c r="D594" s="154"/>
      <c r="E594" s="154"/>
      <c r="F594" s="154"/>
      <c r="G594" s="154"/>
      <c r="H594" s="155"/>
      <c r="I594" s="155"/>
      <c r="J594" s="154" t="s">
        <v>217</v>
      </c>
      <c r="K594" s="158" t="s">
        <v>215</v>
      </c>
      <c r="R594" s="163"/>
      <c r="S594" s="163"/>
    </row>
    <row r="595">
      <c r="A595" s="153">
        <f t="shared" si="2"/>
        <v>594</v>
      </c>
      <c r="B595" s="154"/>
      <c r="C595" s="154"/>
      <c r="D595" s="154"/>
      <c r="E595" s="154"/>
      <c r="F595" s="154"/>
      <c r="G595" s="155"/>
      <c r="H595" s="154"/>
      <c r="I595" s="155"/>
      <c r="J595" s="154" t="s">
        <v>217</v>
      </c>
      <c r="K595" s="158" t="s">
        <v>215</v>
      </c>
      <c r="R595" s="163"/>
      <c r="S595" s="163"/>
    </row>
    <row r="596">
      <c r="A596" s="153">
        <f t="shared" si="2"/>
        <v>595</v>
      </c>
      <c r="B596" s="154"/>
      <c r="C596" s="154"/>
      <c r="D596" s="154"/>
      <c r="E596" s="154"/>
      <c r="F596" s="154"/>
      <c r="G596" s="154"/>
      <c r="H596" s="155"/>
      <c r="I596" s="155"/>
      <c r="J596" s="154" t="s">
        <v>217</v>
      </c>
      <c r="K596" s="158" t="s">
        <v>215</v>
      </c>
      <c r="R596" s="163"/>
      <c r="S596" s="163"/>
    </row>
    <row r="597">
      <c r="A597" s="153">
        <f t="shared" si="2"/>
        <v>596</v>
      </c>
      <c r="B597" s="154"/>
      <c r="C597" s="154"/>
      <c r="D597" s="154"/>
      <c r="E597" s="154"/>
      <c r="F597" s="154"/>
      <c r="G597" s="154"/>
      <c r="H597" s="155"/>
      <c r="I597" s="155"/>
      <c r="J597" s="154" t="s">
        <v>217</v>
      </c>
      <c r="K597" s="158" t="s">
        <v>215</v>
      </c>
      <c r="R597" s="163"/>
      <c r="S597" s="163"/>
    </row>
    <row r="598">
      <c r="A598" s="153">
        <f t="shared" si="2"/>
        <v>597</v>
      </c>
      <c r="B598" s="154"/>
      <c r="C598" s="154"/>
      <c r="D598" s="154"/>
      <c r="E598" s="154"/>
      <c r="F598" s="154"/>
      <c r="G598" s="154"/>
      <c r="H598" s="155"/>
      <c r="I598" s="155"/>
      <c r="J598" s="154" t="s">
        <v>217</v>
      </c>
      <c r="K598" s="158" t="s">
        <v>215</v>
      </c>
      <c r="R598" s="163"/>
      <c r="S598" s="163"/>
    </row>
    <row r="599">
      <c r="A599" s="153">
        <f t="shared" si="2"/>
        <v>598</v>
      </c>
      <c r="B599" s="154"/>
      <c r="C599" s="154" t="s">
        <v>208</v>
      </c>
      <c r="D599" s="154" t="s">
        <v>208</v>
      </c>
      <c r="E599" s="154" t="s">
        <v>208</v>
      </c>
      <c r="F599" s="154" t="s">
        <v>208</v>
      </c>
      <c r="G599" s="154" t="s">
        <v>208</v>
      </c>
      <c r="H599" s="155"/>
      <c r="I599" s="155"/>
      <c r="J599" s="155"/>
      <c r="K599" s="158" t="s">
        <v>215</v>
      </c>
      <c r="R599" s="163"/>
      <c r="S599" s="163"/>
    </row>
    <row r="600">
      <c r="A600" s="153">
        <f t="shared" si="2"/>
        <v>599</v>
      </c>
      <c r="B600" s="154"/>
      <c r="C600" s="154" t="s">
        <v>208</v>
      </c>
      <c r="D600" s="154" t="s">
        <v>208</v>
      </c>
      <c r="E600" s="154" t="s">
        <v>208</v>
      </c>
      <c r="F600" s="154" t="s">
        <v>208</v>
      </c>
      <c r="G600" s="154" t="s">
        <v>208</v>
      </c>
      <c r="H600" s="155"/>
      <c r="I600" s="155"/>
      <c r="J600" s="155"/>
      <c r="K600" s="158" t="s">
        <v>215</v>
      </c>
      <c r="R600" s="173"/>
      <c r="S600" s="173"/>
    </row>
    <row r="601">
      <c r="A601" s="153">
        <f t="shared" si="2"/>
        <v>600</v>
      </c>
      <c r="B601" s="154"/>
      <c r="C601" s="154" t="s">
        <v>208</v>
      </c>
      <c r="D601" s="154" t="s">
        <v>208</v>
      </c>
      <c r="E601" s="154" t="s">
        <v>208</v>
      </c>
      <c r="F601" s="154" t="s">
        <v>208</v>
      </c>
      <c r="G601" s="154" t="s">
        <v>208</v>
      </c>
      <c r="H601" s="154"/>
      <c r="I601" s="155"/>
      <c r="J601" s="155"/>
      <c r="K601" s="158" t="s">
        <v>215</v>
      </c>
      <c r="R601" s="157"/>
      <c r="S601" s="157"/>
    </row>
    <row r="602">
      <c r="A602" s="153">
        <f t="shared" si="2"/>
        <v>601</v>
      </c>
      <c r="B602" s="154"/>
      <c r="C602" s="154" t="s">
        <v>208</v>
      </c>
      <c r="D602" s="154" t="s">
        <v>208</v>
      </c>
      <c r="E602" s="154" t="s">
        <v>208</v>
      </c>
      <c r="F602" s="154" t="s">
        <v>208</v>
      </c>
      <c r="G602" s="154" t="s">
        <v>208</v>
      </c>
      <c r="H602" s="154"/>
      <c r="I602" s="155"/>
      <c r="J602" s="155"/>
      <c r="K602" s="158" t="s">
        <v>215</v>
      </c>
      <c r="R602" s="163"/>
      <c r="S602" s="163"/>
    </row>
    <row r="603">
      <c r="A603" s="153">
        <f t="shared" si="2"/>
        <v>602</v>
      </c>
      <c r="B603" s="154"/>
      <c r="C603" s="154" t="s">
        <v>208</v>
      </c>
      <c r="D603" s="154" t="s">
        <v>208</v>
      </c>
      <c r="E603" s="154" t="s">
        <v>208</v>
      </c>
      <c r="F603" s="154" t="s">
        <v>208</v>
      </c>
      <c r="G603" s="154" t="s">
        <v>208</v>
      </c>
      <c r="H603" s="154"/>
      <c r="I603" s="155"/>
      <c r="J603" s="155"/>
      <c r="K603" s="158" t="s">
        <v>215</v>
      </c>
      <c r="R603" s="163"/>
      <c r="S603" s="163"/>
    </row>
    <row r="604">
      <c r="A604" s="177">
        <f t="shared" si="2"/>
        <v>603</v>
      </c>
      <c r="B604" s="154"/>
      <c r="C604" s="154"/>
      <c r="D604" s="154" t="s">
        <v>208</v>
      </c>
      <c r="E604" s="154" t="s">
        <v>208</v>
      </c>
      <c r="F604" s="154" t="s">
        <v>208</v>
      </c>
      <c r="G604" s="154"/>
      <c r="H604" s="154" t="s">
        <v>208</v>
      </c>
      <c r="I604" s="155"/>
      <c r="J604" s="155"/>
      <c r="K604" s="158" t="s">
        <v>215</v>
      </c>
      <c r="R604" s="163"/>
      <c r="S604" s="163"/>
    </row>
    <row r="605">
      <c r="A605" s="177">
        <f t="shared" si="2"/>
        <v>604</v>
      </c>
      <c r="B605" s="154"/>
      <c r="C605" s="154"/>
      <c r="D605" s="154" t="s">
        <v>208</v>
      </c>
      <c r="E605" s="154"/>
      <c r="F605" s="154" t="s">
        <v>208</v>
      </c>
      <c r="G605" s="154"/>
      <c r="H605" s="154" t="s">
        <v>208</v>
      </c>
      <c r="I605" s="155"/>
      <c r="J605" s="155"/>
      <c r="K605" s="158" t="s">
        <v>215</v>
      </c>
      <c r="R605" s="163"/>
      <c r="S605" s="163"/>
    </row>
    <row r="606">
      <c r="A606" s="153">
        <f t="shared" si="2"/>
        <v>605</v>
      </c>
      <c r="B606" s="154"/>
      <c r="C606" s="154" t="s">
        <v>208</v>
      </c>
      <c r="D606" s="154" t="s">
        <v>208</v>
      </c>
      <c r="E606" s="154" t="s">
        <v>208</v>
      </c>
      <c r="F606" s="154" t="s">
        <v>208</v>
      </c>
      <c r="G606" s="154" t="s">
        <v>208</v>
      </c>
      <c r="H606" s="155"/>
      <c r="I606" s="155"/>
      <c r="J606" s="155"/>
      <c r="K606" s="158" t="s">
        <v>215</v>
      </c>
      <c r="R606" s="163"/>
      <c r="S606" s="163"/>
    </row>
    <row r="607">
      <c r="A607" s="177">
        <f t="shared" si="2"/>
        <v>606</v>
      </c>
      <c r="B607" s="154"/>
      <c r="C607" s="154"/>
      <c r="D607" s="154" t="s">
        <v>208</v>
      </c>
      <c r="E607" s="154" t="s">
        <v>208</v>
      </c>
      <c r="F607" s="154" t="s">
        <v>208</v>
      </c>
      <c r="G607" s="154"/>
      <c r="H607" s="154" t="s">
        <v>208</v>
      </c>
      <c r="I607" s="155"/>
      <c r="J607" s="155"/>
      <c r="K607" s="158" t="s">
        <v>215</v>
      </c>
      <c r="R607" s="163"/>
      <c r="S607" s="163"/>
    </row>
    <row r="608">
      <c r="A608" s="153">
        <f t="shared" si="2"/>
        <v>607</v>
      </c>
      <c r="B608" s="154"/>
      <c r="C608" s="154" t="s">
        <v>208</v>
      </c>
      <c r="D608" s="154" t="s">
        <v>208</v>
      </c>
      <c r="E608" s="154" t="s">
        <v>208</v>
      </c>
      <c r="F608" s="154" t="s">
        <v>208</v>
      </c>
      <c r="G608" s="154" t="s">
        <v>208</v>
      </c>
      <c r="H608" s="155"/>
      <c r="I608" s="155"/>
      <c r="J608" s="155"/>
      <c r="K608" s="158" t="s">
        <v>215</v>
      </c>
      <c r="R608" s="163"/>
      <c r="S608" s="163"/>
    </row>
    <row r="609">
      <c r="A609" s="177">
        <f t="shared" si="2"/>
        <v>608</v>
      </c>
      <c r="B609" s="154"/>
      <c r="C609" s="154"/>
      <c r="D609" s="154" t="s">
        <v>208</v>
      </c>
      <c r="E609" s="154" t="s">
        <v>208</v>
      </c>
      <c r="F609" s="154" t="s">
        <v>208</v>
      </c>
      <c r="G609" s="154"/>
      <c r="H609" s="154" t="s">
        <v>208</v>
      </c>
      <c r="I609" s="155"/>
      <c r="J609" s="155"/>
      <c r="K609" s="158" t="s">
        <v>215</v>
      </c>
      <c r="R609" s="163"/>
      <c r="S609" s="163"/>
    </row>
    <row r="610">
      <c r="A610" s="177">
        <f t="shared" si="2"/>
        <v>609</v>
      </c>
      <c r="B610" s="154"/>
      <c r="C610" s="154"/>
      <c r="D610" s="154" t="s">
        <v>208</v>
      </c>
      <c r="E610" s="154" t="s">
        <v>208</v>
      </c>
      <c r="F610" s="154" t="s">
        <v>208</v>
      </c>
      <c r="G610" s="154"/>
      <c r="H610" s="154" t="s">
        <v>208</v>
      </c>
      <c r="I610" s="155"/>
      <c r="J610" s="155"/>
      <c r="K610" s="158" t="s">
        <v>215</v>
      </c>
      <c r="R610" s="163"/>
      <c r="S610" s="163"/>
    </row>
    <row r="611">
      <c r="A611" s="153">
        <f t="shared" si="2"/>
        <v>610</v>
      </c>
      <c r="B611" s="154"/>
      <c r="C611" s="154" t="s">
        <v>208</v>
      </c>
      <c r="D611" s="154" t="s">
        <v>208</v>
      </c>
      <c r="E611" s="154" t="s">
        <v>208</v>
      </c>
      <c r="F611" s="154" t="s">
        <v>208</v>
      </c>
      <c r="G611" s="154" t="s">
        <v>208</v>
      </c>
      <c r="H611" s="155"/>
      <c r="I611" s="155"/>
      <c r="J611" s="155"/>
      <c r="K611" s="158" t="s">
        <v>215</v>
      </c>
      <c r="R611" s="163"/>
      <c r="S611" s="163"/>
    </row>
    <row r="612">
      <c r="A612" s="153">
        <f t="shared" si="2"/>
        <v>611</v>
      </c>
      <c r="B612" s="154"/>
      <c r="C612" s="154" t="s">
        <v>208</v>
      </c>
      <c r="D612" s="154" t="s">
        <v>208</v>
      </c>
      <c r="E612" s="154" t="s">
        <v>208</v>
      </c>
      <c r="F612" s="154" t="s">
        <v>208</v>
      </c>
      <c r="G612" s="154" t="s">
        <v>208</v>
      </c>
      <c r="H612" s="155"/>
      <c r="I612" s="155"/>
      <c r="J612" s="155"/>
      <c r="K612" s="158" t="s">
        <v>215</v>
      </c>
      <c r="R612" s="173"/>
      <c r="S612" s="173"/>
    </row>
    <row r="613">
      <c r="A613" s="153">
        <f t="shared" si="2"/>
        <v>612</v>
      </c>
      <c r="B613" s="154"/>
      <c r="C613" s="154" t="s">
        <v>208</v>
      </c>
      <c r="D613" s="154" t="s">
        <v>208</v>
      </c>
      <c r="E613" s="154" t="s">
        <v>208</v>
      </c>
      <c r="F613" s="154" t="s">
        <v>208</v>
      </c>
      <c r="G613" s="154" t="s">
        <v>208</v>
      </c>
      <c r="H613" s="155"/>
      <c r="I613" s="155"/>
      <c r="J613" s="155"/>
      <c r="K613" s="158" t="s">
        <v>215</v>
      </c>
      <c r="R613" s="157"/>
      <c r="S613" s="157"/>
    </row>
    <row r="614">
      <c r="A614" s="153">
        <f t="shared" si="2"/>
        <v>613</v>
      </c>
      <c r="B614" s="154"/>
      <c r="C614" s="154" t="s">
        <v>208</v>
      </c>
      <c r="D614" s="154" t="s">
        <v>208</v>
      </c>
      <c r="E614" s="154" t="s">
        <v>208</v>
      </c>
      <c r="F614" s="154" t="s">
        <v>208</v>
      </c>
      <c r="G614" s="154" t="s">
        <v>208</v>
      </c>
      <c r="H614" s="155"/>
      <c r="I614" s="155"/>
      <c r="J614" s="155"/>
      <c r="K614" s="158" t="s">
        <v>215</v>
      </c>
      <c r="R614" s="163"/>
      <c r="S614" s="163"/>
    </row>
    <row r="615">
      <c r="A615" s="177">
        <f t="shared" si="2"/>
        <v>614</v>
      </c>
      <c r="B615" s="154"/>
      <c r="C615" s="154"/>
      <c r="D615" s="154" t="s">
        <v>208</v>
      </c>
      <c r="E615" s="154" t="s">
        <v>208</v>
      </c>
      <c r="F615" s="154" t="s">
        <v>208</v>
      </c>
      <c r="G615" s="154"/>
      <c r="H615" s="154" t="s">
        <v>208</v>
      </c>
      <c r="I615" s="155"/>
      <c r="J615" s="155"/>
      <c r="K615" s="158" t="s">
        <v>215</v>
      </c>
      <c r="R615" s="163"/>
      <c r="S615" s="163"/>
    </row>
    <row r="616">
      <c r="A616" s="153">
        <f t="shared" si="2"/>
        <v>615</v>
      </c>
      <c r="B616" s="154"/>
      <c r="C616" s="154" t="s">
        <v>208</v>
      </c>
      <c r="D616" s="154" t="s">
        <v>208</v>
      </c>
      <c r="E616" s="154" t="s">
        <v>208</v>
      </c>
      <c r="F616" s="154" t="s">
        <v>208</v>
      </c>
      <c r="G616" s="154" t="s">
        <v>208</v>
      </c>
      <c r="H616" s="155"/>
      <c r="I616" s="155"/>
      <c r="J616" s="155"/>
      <c r="K616" s="158" t="s">
        <v>215</v>
      </c>
      <c r="R616" s="163"/>
      <c r="S616" s="163"/>
    </row>
    <row r="617">
      <c r="A617" s="153">
        <f t="shared" si="2"/>
        <v>616</v>
      </c>
      <c r="B617" s="154"/>
      <c r="C617" s="154" t="s">
        <v>208</v>
      </c>
      <c r="D617" s="154" t="s">
        <v>208</v>
      </c>
      <c r="E617" s="154"/>
      <c r="F617" s="154" t="s">
        <v>208</v>
      </c>
      <c r="G617" s="154" t="s">
        <v>208</v>
      </c>
      <c r="H617" s="153"/>
      <c r="I617" s="155"/>
      <c r="J617" s="155"/>
      <c r="K617" s="158" t="s">
        <v>215</v>
      </c>
      <c r="R617" s="163"/>
      <c r="S617" s="163"/>
    </row>
    <row r="618">
      <c r="A618" s="153">
        <f t="shared" si="2"/>
        <v>617</v>
      </c>
      <c r="B618" s="154"/>
      <c r="C618" s="154"/>
      <c r="D618" s="154"/>
      <c r="E618" s="154"/>
      <c r="F618" s="154"/>
      <c r="G618" s="154"/>
      <c r="H618" s="153"/>
      <c r="I618" s="155"/>
      <c r="J618" s="154" t="s">
        <v>217</v>
      </c>
      <c r="K618" s="158" t="s">
        <v>215</v>
      </c>
      <c r="R618" s="163"/>
      <c r="S618" s="163"/>
    </row>
    <row r="619">
      <c r="A619" s="153">
        <f t="shared" si="2"/>
        <v>618</v>
      </c>
      <c r="B619" s="154"/>
      <c r="C619" s="154" t="s">
        <v>208</v>
      </c>
      <c r="D619" s="154" t="s">
        <v>208</v>
      </c>
      <c r="E619" s="154" t="s">
        <v>208</v>
      </c>
      <c r="F619" s="154" t="s">
        <v>208</v>
      </c>
      <c r="G619" s="154" t="s">
        <v>208</v>
      </c>
      <c r="H619" s="153"/>
      <c r="I619" s="155"/>
      <c r="J619" s="155"/>
      <c r="K619" s="158" t="s">
        <v>215</v>
      </c>
      <c r="R619" s="163"/>
      <c r="S619" s="163"/>
    </row>
    <row r="620">
      <c r="A620" s="153">
        <f t="shared" si="2"/>
        <v>619</v>
      </c>
      <c r="B620" s="154"/>
      <c r="C620" s="154" t="s">
        <v>208</v>
      </c>
      <c r="D620" s="154" t="s">
        <v>208</v>
      </c>
      <c r="E620" s="154" t="s">
        <v>208</v>
      </c>
      <c r="F620" s="154" t="s">
        <v>208</v>
      </c>
      <c r="G620" s="154" t="s">
        <v>208</v>
      </c>
      <c r="H620" s="153"/>
      <c r="I620" s="155"/>
      <c r="J620" s="155"/>
      <c r="K620" s="158" t="s">
        <v>215</v>
      </c>
      <c r="R620" s="163"/>
      <c r="S620" s="163"/>
    </row>
    <row r="621">
      <c r="A621" s="153">
        <f t="shared" si="2"/>
        <v>620</v>
      </c>
      <c r="B621" s="155"/>
      <c r="C621" s="154" t="s">
        <v>208</v>
      </c>
      <c r="D621" s="154" t="s">
        <v>208</v>
      </c>
      <c r="E621" s="154" t="s">
        <v>208</v>
      </c>
      <c r="F621" s="154" t="s">
        <v>208</v>
      </c>
      <c r="G621" s="154" t="s">
        <v>208</v>
      </c>
      <c r="H621" s="155"/>
      <c r="I621" s="155"/>
      <c r="J621" s="155"/>
      <c r="K621" s="158" t="s">
        <v>215</v>
      </c>
      <c r="R621" s="163"/>
      <c r="S621" s="163"/>
    </row>
    <row r="622">
      <c r="A622" s="153">
        <f t="shared" si="2"/>
        <v>621</v>
      </c>
      <c r="B622" s="154"/>
      <c r="C622" s="154" t="s">
        <v>208</v>
      </c>
      <c r="D622" s="154" t="s">
        <v>208</v>
      </c>
      <c r="E622" s="154" t="s">
        <v>208</v>
      </c>
      <c r="F622" s="154" t="s">
        <v>208</v>
      </c>
      <c r="G622" s="154" t="s">
        <v>208</v>
      </c>
      <c r="H622" s="155"/>
      <c r="I622" s="155"/>
      <c r="J622" s="154"/>
      <c r="K622" s="158" t="s">
        <v>215</v>
      </c>
      <c r="R622" s="163"/>
      <c r="S622" s="163"/>
    </row>
    <row r="623">
      <c r="A623" s="153">
        <f t="shared" si="2"/>
        <v>622</v>
      </c>
      <c r="B623" s="154"/>
      <c r="C623" s="154" t="s">
        <v>208</v>
      </c>
      <c r="D623" s="154" t="s">
        <v>208</v>
      </c>
      <c r="E623" s="154" t="s">
        <v>208</v>
      </c>
      <c r="F623" s="154" t="s">
        <v>208</v>
      </c>
      <c r="G623" s="154" t="s">
        <v>208</v>
      </c>
      <c r="H623" s="155"/>
      <c r="I623" s="155"/>
      <c r="J623" s="154"/>
      <c r="K623" s="158" t="s">
        <v>215</v>
      </c>
      <c r="R623" s="163"/>
      <c r="S623" s="163"/>
    </row>
    <row r="624">
      <c r="A624" s="153">
        <f t="shared" si="2"/>
        <v>623</v>
      </c>
      <c r="B624" s="154"/>
      <c r="C624" s="154" t="s">
        <v>208</v>
      </c>
      <c r="D624" s="154" t="s">
        <v>208</v>
      </c>
      <c r="E624" s="154" t="s">
        <v>208</v>
      </c>
      <c r="F624" s="154" t="s">
        <v>208</v>
      </c>
      <c r="G624" s="154" t="s">
        <v>208</v>
      </c>
      <c r="H624" s="155"/>
      <c r="I624" s="155"/>
      <c r="J624" s="154"/>
      <c r="K624" s="158" t="s">
        <v>215</v>
      </c>
      <c r="R624" s="173"/>
      <c r="S624" s="173"/>
    </row>
    <row r="625">
      <c r="A625" s="153">
        <f t="shared" si="2"/>
        <v>624</v>
      </c>
      <c r="B625" s="154"/>
      <c r="C625" s="154" t="s">
        <v>208</v>
      </c>
      <c r="D625" s="154" t="s">
        <v>208</v>
      </c>
      <c r="E625" s="154" t="s">
        <v>208</v>
      </c>
      <c r="F625" s="154" t="s">
        <v>208</v>
      </c>
      <c r="G625" s="154" t="s">
        <v>208</v>
      </c>
      <c r="H625" s="155"/>
      <c r="I625" s="155"/>
      <c r="J625" s="154"/>
      <c r="K625" s="158" t="s">
        <v>215</v>
      </c>
      <c r="R625" s="157"/>
      <c r="S625" s="157"/>
    </row>
    <row r="626">
      <c r="A626" s="153">
        <f t="shared" si="2"/>
        <v>625</v>
      </c>
      <c r="B626" s="155"/>
      <c r="C626" s="154"/>
      <c r="D626" s="154"/>
      <c r="E626" s="154"/>
      <c r="F626" s="154"/>
      <c r="G626" s="154"/>
      <c r="H626" s="155"/>
      <c r="I626" s="155"/>
      <c r="J626" s="154" t="s">
        <v>217</v>
      </c>
      <c r="K626" s="158" t="s">
        <v>215</v>
      </c>
      <c r="R626" s="163"/>
      <c r="S626" s="163"/>
    </row>
    <row r="627">
      <c r="A627" s="153">
        <f t="shared" si="2"/>
        <v>626</v>
      </c>
      <c r="B627" s="155"/>
      <c r="C627" s="154" t="s">
        <v>208</v>
      </c>
      <c r="D627" s="154" t="s">
        <v>208</v>
      </c>
      <c r="E627" s="154" t="s">
        <v>208</v>
      </c>
      <c r="F627" s="154" t="s">
        <v>208</v>
      </c>
      <c r="G627" s="154" t="s">
        <v>208</v>
      </c>
      <c r="H627" s="155"/>
      <c r="I627" s="155"/>
      <c r="J627" s="154"/>
      <c r="K627" s="158" t="s">
        <v>215</v>
      </c>
      <c r="R627" s="163"/>
      <c r="S627" s="163"/>
    </row>
    <row r="628">
      <c r="A628" s="153">
        <f t="shared" si="2"/>
        <v>627</v>
      </c>
      <c r="B628" s="155"/>
      <c r="C628" s="154" t="s">
        <v>208</v>
      </c>
      <c r="D628" s="154" t="s">
        <v>208</v>
      </c>
      <c r="E628" s="154" t="s">
        <v>208</v>
      </c>
      <c r="F628" s="154" t="s">
        <v>208</v>
      </c>
      <c r="G628" s="154" t="s">
        <v>208</v>
      </c>
      <c r="H628" s="155"/>
      <c r="I628" s="155"/>
      <c r="J628" s="154"/>
      <c r="K628" s="158" t="s">
        <v>215</v>
      </c>
      <c r="R628" s="163"/>
      <c r="S628" s="163"/>
    </row>
    <row r="629">
      <c r="A629" s="153">
        <f t="shared" si="2"/>
        <v>628</v>
      </c>
      <c r="B629" s="155"/>
      <c r="C629" s="154" t="s">
        <v>208</v>
      </c>
      <c r="D629" s="154" t="s">
        <v>208</v>
      </c>
      <c r="E629" s="154" t="s">
        <v>208</v>
      </c>
      <c r="F629" s="154" t="s">
        <v>208</v>
      </c>
      <c r="G629" s="154" t="s">
        <v>208</v>
      </c>
      <c r="H629" s="154"/>
      <c r="I629" s="155"/>
      <c r="J629" s="155"/>
      <c r="K629" s="158" t="s">
        <v>215</v>
      </c>
      <c r="R629" s="163"/>
      <c r="S629" s="163"/>
    </row>
    <row r="630">
      <c r="A630" s="177">
        <f t="shared" si="2"/>
        <v>629</v>
      </c>
      <c r="B630" s="154"/>
      <c r="C630" s="154"/>
      <c r="D630" s="154" t="s">
        <v>208</v>
      </c>
      <c r="E630" s="154" t="s">
        <v>208</v>
      </c>
      <c r="F630" s="154" t="s">
        <v>208</v>
      </c>
      <c r="G630" s="154"/>
      <c r="H630" s="154" t="s">
        <v>208</v>
      </c>
      <c r="I630" s="155"/>
      <c r="J630" s="155"/>
      <c r="K630" s="158" t="s">
        <v>215</v>
      </c>
      <c r="R630" s="163"/>
      <c r="S630" s="163"/>
    </row>
    <row r="631">
      <c r="A631" s="153">
        <f t="shared" si="2"/>
        <v>630</v>
      </c>
      <c r="B631" s="154"/>
      <c r="C631" s="154"/>
      <c r="D631" s="154" t="s">
        <v>208</v>
      </c>
      <c r="E631" s="154" t="s">
        <v>208</v>
      </c>
      <c r="F631" s="154" t="s">
        <v>208</v>
      </c>
      <c r="G631" s="154"/>
      <c r="H631" s="154" t="s">
        <v>208</v>
      </c>
      <c r="I631" s="155"/>
      <c r="J631" s="155"/>
      <c r="K631" s="158" t="s">
        <v>215</v>
      </c>
      <c r="R631" s="163"/>
      <c r="S631" s="163"/>
    </row>
    <row r="632">
      <c r="A632" s="153">
        <f t="shared" si="2"/>
        <v>631</v>
      </c>
      <c r="B632" s="154"/>
      <c r="C632" s="154" t="s">
        <v>208</v>
      </c>
      <c r="D632" s="154" t="s">
        <v>208</v>
      </c>
      <c r="E632" s="154" t="s">
        <v>208</v>
      </c>
      <c r="F632" s="154" t="s">
        <v>208</v>
      </c>
      <c r="G632" s="154" t="s">
        <v>208</v>
      </c>
      <c r="H632" s="153"/>
      <c r="I632" s="155"/>
      <c r="J632" s="155"/>
      <c r="K632" s="158" t="s">
        <v>215</v>
      </c>
      <c r="R632" s="163"/>
      <c r="S632" s="163"/>
    </row>
    <row r="633">
      <c r="A633" s="153">
        <f t="shared" si="2"/>
        <v>632</v>
      </c>
      <c r="B633" s="154"/>
      <c r="C633" s="154" t="s">
        <v>208</v>
      </c>
      <c r="D633" s="154" t="s">
        <v>208</v>
      </c>
      <c r="E633" s="154"/>
      <c r="F633" s="154" t="s">
        <v>208</v>
      </c>
      <c r="G633" s="154" t="s">
        <v>208</v>
      </c>
      <c r="H633" s="153"/>
      <c r="I633" s="155"/>
      <c r="J633" s="155"/>
      <c r="K633" s="158" t="s">
        <v>215</v>
      </c>
      <c r="R633" s="163"/>
      <c r="S633" s="163"/>
    </row>
    <row r="634">
      <c r="A634" s="153">
        <f t="shared" si="2"/>
        <v>633</v>
      </c>
      <c r="B634" s="154"/>
      <c r="C634" s="154"/>
      <c r="D634" s="154"/>
      <c r="E634" s="154"/>
      <c r="F634" s="154"/>
      <c r="G634" s="154"/>
      <c r="H634" s="154"/>
      <c r="I634" s="155"/>
      <c r="J634" s="154" t="s">
        <v>217</v>
      </c>
      <c r="K634" s="158" t="s">
        <v>215</v>
      </c>
      <c r="R634" s="163"/>
      <c r="S634" s="163"/>
    </row>
    <row r="635">
      <c r="A635" s="153">
        <f t="shared" si="2"/>
        <v>634</v>
      </c>
      <c r="B635" s="154"/>
      <c r="C635" s="154" t="s">
        <v>208</v>
      </c>
      <c r="D635" s="154" t="s">
        <v>208</v>
      </c>
      <c r="E635" s="154" t="s">
        <v>208</v>
      </c>
      <c r="F635" s="154" t="s">
        <v>208</v>
      </c>
      <c r="G635" s="154" t="s">
        <v>208</v>
      </c>
      <c r="H635" s="155"/>
      <c r="I635" s="155"/>
      <c r="J635" s="155"/>
      <c r="K635" s="158" t="s">
        <v>215</v>
      </c>
      <c r="R635" s="163"/>
      <c r="S635" s="163"/>
    </row>
    <row r="636">
      <c r="A636" s="153">
        <f t="shared" si="2"/>
        <v>635</v>
      </c>
      <c r="B636" s="154"/>
      <c r="C636" s="154"/>
      <c r="D636" s="154"/>
      <c r="E636" s="154"/>
      <c r="F636" s="154"/>
      <c r="G636" s="154"/>
      <c r="H636" s="155"/>
      <c r="I636" s="155"/>
      <c r="J636" s="154" t="s">
        <v>217</v>
      </c>
      <c r="K636" s="158" t="s">
        <v>215</v>
      </c>
      <c r="R636" s="173"/>
      <c r="S636" s="173"/>
    </row>
    <row r="637">
      <c r="A637" s="153">
        <f t="shared" si="2"/>
        <v>636</v>
      </c>
      <c r="B637" s="154"/>
      <c r="C637" s="154" t="s">
        <v>208</v>
      </c>
      <c r="D637" s="154" t="s">
        <v>208</v>
      </c>
      <c r="E637" s="154" t="s">
        <v>208</v>
      </c>
      <c r="F637" s="154" t="s">
        <v>208</v>
      </c>
      <c r="G637" s="154" t="s">
        <v>208</v>
      </c>
      <c r="H637" s="155"/>
      <c r="I637" s="155"/>
      <c r="J637" s="155"/>
      <c r="K637" s="158" t="s">
        <v>215</v>
      </c>
      <c r="R637" s="157"/>
      <c r="S637" s="157"/>
    </row>
    <row r="638">
      <c r="A638" s="153">
        <f t="shared" si="2"/>
        <v>637</v>
      </c>
      <c r="B638" s="154"/>
      <c r="C638" s="154" t="s">
        <v>208</v>
      </c>
      <c r="D638" s="154" t="s">
        <v>208</v>
      </c>
      <c r="E638" s="154" t="s">
        <v>208</v>
      </c>
      <c r="F638" s="154" t="s">
        <v>208</v>
      </c>
      <c r="G638" s="154" t="s">
        <v>208</v>
      </c>
      <c r="H638" s="155"/>
      <c r="I638" s="155"/>
      <c r="J638" s="155"/>
      <c r="K638" s="158" t="s">
        <v>215</v>
      </c>
      <c r="R638" s="163"/>
      <c r="S638" s="163"/>
    </row>
    <row r="639">
      <c r="A639" s="153">
        <f t="shared" si="2"/>
        <v>638</v>
      </c>
      <c r="B639" s="154"/>
      <c r="C639" s="154" t="s">
        <v>208</v>
      </c>
      <c r="D639" s="154" t="s">
        <v>208</v>
      </c>
      <c r="E639" s="154" t="s">
        <v>208</v>
      </c>
      <c r="F639" s="154" t="s">
        <v>208</v>
      </c>
      <c r="G639" s="154" t="s">
        <v>208</v>
      </c>
      <c r="H639" s="155"/>
      <c r="I639" s="155"/>
      <c r="J639" s="155"/>
      <c r="K639" s="158" t="s">
        <v>215</v>
      </c>
      <c r="R639" s="163"/>
      <c r="S639" s="163"/>
    </row>
    <row r="640">
      <c r="A640" s="153">
        <f t="shared" si="2"/>
        <v>639</v>
      </c>
      <c r="B640" s="154"/>
      <c r="C640" s="154" t="s">
        <v>208</v>
      </c>
      <c r="D640" s="154" t="s">
        <v>208</v>
      </c>
      <c r="E640" s="154" t="s">
        <v>208</v>
      </c>
      <c r="F640" s="154" t="s">
        <v>208</v>
      </c>
      <c r="G640" s="154" t="s">
        <v>208</v>
      </c>
      <c r="H640" s="155"/>
      <c r="I640" s="155"/>
      <c r="J640" s="155"/>
      <c r="K640" s="158" t="s">
        <v>215</v>
      </c>
      <c r="R640" s="163"/>
      <c r="S640" s="163"/>
    </row>
    <row r="641">
      <c r="A641" s="153">
        <f t="shared" si="2"/>
        <v>640</v>
      </c>
      <c r="B641" s="154"/>
      <c r="C641" s="154" t="s">
        <v>208</v>
      </c>
      <c r="D641" s="154" t="s">
        <v>208</v>
      </c>
      <c r="E641" s="154" t="s">
        <v>208</v>
      </c>
      <c r="F641" s="154" t="s">
        <v>208</v>
      </c>
      <c r="G641" s="154" t="s">
        <v>208</v>
      </c>
      <c r="H641" s="155"/>
      <c r="I641" s="155"/>
      <c r="J641" s="155"/>
      <c r="K641" s="158" t="s">
        <v>215</v>
      </c>
      <c r="R641" s="163"/>
      <c r="S641" s="163"/>
    </row>
    <row r="642">
      <c r="A642" s="177">
        <f t="shared" si="2"/>
        <v>641</v>
      </c>
      <c r="B642" s="154"/>
      <c r="C642" s="154"/>
      <c r="D642" s="154"/>
      <c r="E642" s="154"/>
      <c r="F642" s="154"/>
      <c r="G642" s="155"/>
      <c r="H642" s="154" t="s">
        <v>208</v>
      </c>
      <c r="I642" s="155"/>
      <c r="J642" s="155"/>
      <c r="K642" s="158" t="s">
        <v>215</v>
      </c>
      <c r="R642" s="163"/>
      <c r="S642" s="163"/>
    </row>
    <row r="643">
      <c r="A643" s="153">
        <f t="shared" si="2"/>
        <v>642</v>
      </c>
      <c r="B643" s="154"/>
      <c r="C643" s="154"/>
      <c r="D643" s="154"/>
      <c r="E643" s="154"/>
      <c r="F643" s="154"/>
      <c r="G643" s="154"/>
      <c r="H643" s="155"/>
      <c r="I643" s="155"/>
      <c r="J643" s="154" t="s">
        <v>217</v>
      </c>
      <c r="K643" s="158" t="s">
        <v>215</v>
      </c>
      <c r="R643" s="163"/>
      <c r="S643" s="163"/>
    </row>
    <row r="644">
      <c r="A644" s="177">
        <f t="shared" si="2"/>
        <v>643</v>
      </c>
      <c r="B644" s="154"/>
      <c r="C644" s="154"/>
      <c r="D644" s="154"/>
      <c r="E644" s="154"/>
      <c r="F644" s="154"/>
      <c r="G644" s="154"/>
      <c r="H644" s="154" t="s">
        <v>208</v>
      </c>
      <c r="I644" s="155"/>
      <c r="J644" s="155"/>
      <c r="K644" s="158" t="s">
        <v>215</v>
      </c>
      <c r="R644" s="163"/>
      <c r="S644" s="163"/>
    </row>
    <row r="645">
      <c r="A645" s="177">
        <f t="shared" si="2"/>
        <v>644</v>
      </c>
      <c r="B645" s="154"/>
      <c r="C645" s="154"/>
      <c r="D645" s="154" t="s">
        <v>208</v>
      </c>
      <c r="E645" s="154" t="s">
        <v>208</v>
      </c>
      <c r="F645" s="154" t="s">
        <v>208</v>
      </c>
      <c r="G645" s="154"/>
      <c r="H645" s="154" t="s">
        <v>208</v>
      </c>
      <c r="I645" s="155"/>
      <c r="J645" s="155"/>
      <c r="K645" s="158" t="s">
        <v>215</v>
      </c>
      <c r="R645" s="163"/>
      <c r="S645" s="163"/>
    </row>
    <row r="646">
      <c r="A646" s="153">
        <f t="shared" si="2"/>
        <v>645</v>
      </c>
      <c r="B646" s="154"/>
      <c r="C646" s="154" t="s">
        <v>208</v>
      </c>
      <c r="D646" s="154" t="s">
        <v>208</v>
      </c>
      <c r="E646" s="154" t="s">
        <v>208</v>
      </c>
      <c r="F646" s="154" t="s">
        <v>208</v>
      </c>
      <c r="G646" s="154" t="s">
        <v>208</v>
      </c>
      <c r="H646" s="155"/>
      <c r="I646" s="155"/>
      <c r="J646" s="155"/>
      <c r="K646" s="158" t="s">
        <v>215</v>
      </c>
      <c r="R646" s="163"/>
      <c r="S646" s="163"/>
    </row>
    <row r="647">
      <c r="A647" s="153">
        <f t="shared" si="2"/>
        <v>646</v>
      </c>
      <c r="B647" s="154"/>
      <c r="C647" s="154" t="s">
        <v>208</v>
      </c>
      <c r="D647" s="154" t="s">
        <v>208</v>
      </c>
      <c r="E647" s="154" t="s">
        <v>208</v>
      </c>
      <c r="F647" s="154" t="s">
        <v>208</v>
      </c>
      <c r="G647" s="154" t="s">
        <v>208</v>
      </c>
      <c r="H647" s="155"/>
      <c r="I647" s="155"/>
      <c r="J647" s="155"/>
      <c r="K647" s="158" t="s">
        <v>215</v>
      </c>
      <c r="R647" s="163"/>
      <c r="S647" s="163"/>
    </row>
    <row r="648">
      <c r="A648" s="153">
        <f t="shared" si="2"/>
        <v>647</v>
      </c>
      <c r="B648" s="154"/>
      <c r="C648" s="154" t="s">
        <v>208</v>
      </c>
      <c r="D648" s="154" t="s">
        <v>208</v>
      </c>
      <c r="E648" s="154" t="s">
        <v>208</v>
      </c>
      <c r="F648" s="154" t="s">
        <v>208</v>
      </c>
      <c r="G648" s="154" t="s">
        <v>208</v>
      </c>
      <c r="H648" s="155"/>
      <c r="I648" s="155"/>
      <c r="J648" s="155"/>
      <c r="K648" s="158" t="s">
        <v>215</v>
      </c>
      <c r="R648" s="173"/>
      <c r="S648" s="173"/>
    </row>
    <row r="649">
      <c r="A649" s="153">
        <f t="shared" si="2"/>
        <v>648</v>
      </c>
      <c r="B649" s="154"/>
      <c r="C649" s="154" t="s">
        <v>208</v>
      </c>
      <c r="D649" s="154" t="s">
        <v>208</v>
      </c>
      <c r="E649" s="154" t="s">
        <v>208</v>
      </c>
      <c r="F649" s="154" t="s">
        <v>208</v>
      </c>
      <c r="G649" s="154" t="s">
        <v>208</v>
      </c>
      <c r="H649" s="155"/>
      <c r="I649" s="155"/>
      <c r="J649" s="155"/>
      <c r="K649" s="158" t="s">
        <v>215</v>
      </c>
      <c r="R649" s="157"/>
      <c r="S649" s="157"/>
    </row>
    <row r="650">
      <c r="A650" s="153">
        <f t="shared" si="2"/>
        <v>649</v>
      </c>
      <c r="B650" s="154"/>
      <c r="C650" s="154" t="s">
        <v>208</v>
      </c>
      <c r="D650" s="154" t="s">
        <v>208</v>
      </c>
      <c r="E650" s="154" t="s">
        <v>208</v>
      </c>
      <c r="F650" s="154" t="s">
        <v>208</v>
      </c>
      <c r="G650" s="154" t="s">
        <v>208</v>
      </c>
      <c r="H650" s="154"/>
      <c r="I650" s="155"/>
      <c r="J650" s="155"/>
      <c r="K650" s="158" t="s">
        <v>215</v>
      </c>
      <c r="R650" s="163"/>
      <c r="S650" s="163"/>
    </row>
    <row r="651">
      <c r="A651" s="153">
        <f t="shared" si="2"/>
        <v>650</v>
      </c>
      <c r="B651" s="154"/>
      <c r="C651" s="154" t="s">
        <v>208</v>
      </c>
      <c r="D651" s="154" t="s">
        <v>208</v>
      </c>
      <c r="E651" s="154" t="s">
        <v>208</v>
      </c>
      <c r="F651" s="154" t="s">
        <v>208</v>
      </c>
      <c r="G651" s="154" t="s">
        <v>208</v>
      </c>
      <c r="H651" s="155"/>
      <c r="I651" s="155"/>
      <c r="J651" s="155"/>
      <c r="K651" s="158" t="s">
        <v>215</v>
      </c>
      <c r="R651" s="163"/>
      <c r="S651" s="163"/>
    </row>
    <row r="652">
      <c r="A652" s="153">
        <f t="shared" si="2"/>
        <v>651</v>
      </c>
      <c r="B652" s="154"/>
      <c r="C652" s="154" t="s">
        <v>208</v>
      </c>
      <c r="D652" s="154" t="s">
        <v>208</v>
      </c>
      <c r="E652" s="154" t="s">
        <v>208</v>
      </c>
      <c r="F652" s="154" t="s">
        <v>208</v>
      </c>
      <c r="G652" s="154" t="s">
        <v>208</v>
      </c>
      <c r="H652" s="155"/>
      <c r="I652" s="155"/>
      <c r="J652" s="155"/>
      <c r="K652" s="158" t="s">
        <v>215</v>
      </c>
      <c r="R652" s="163"/>
      <c r="S652" s="163"/>
    </row>
    <row r="653">
      <c r="A653" s="153">
        <f t="shared" si="2"/>
        <v>652</v>
      </c>
      <c r="B653" s="154" t="s">
        <v>208</v>
      </c>
      <c r="C653" s="154"/>
      <c r="D653" s="154"/>
      <c r="E653" s="154" t="s">
        <v>208</v>
      </c>
      <c r="F653" s="154" t="s">
        <v>208</v>
      </c>
      <c r="G653" s="154" t="s">
        <v>208</v>
      </c>
      <c r="H653" s="155"/>
      <c r="I653" s="155"/>
      <c r="J653" s="155"/>
      <c r="K653" s="158" t="s">
        <v>215</v>
      </c>
      <c r="R653" s="163"/>
      <c r="S653" s="163"/>
    </row>
    <row r="654">
      <c r="A654" s="153">
        <f t="shared" si="2"/>
        <v>653</v>
      </c>
      <c r="B654" s="154"/>
      <c r="C654" s="154" t="s">
        <v>208</v>
      </c>
      <c r="D654" s="154" t="s">
        <v>208</v>
      </c>
      <c r="E654" s="154" t="s">
        <v>208</v>
      </c>
      <c r="F654" s="154" t="s">
        <v>208</v>
      </c>
      <c r="G654" s="154" t="s">
        <v>208</v>
      </c>
      <c r="H654" s="155"/>
      <c r="I654" s="155"/>
      <c r="J654" s="155"/>
      <c r="K654" s="158" t="s">
        <v>215</v>
      </c>
      <c r="R654" s="163"/>
      <c r="S654" s="163"/>
    </row>
    <row r="655">
      <c r="A655" s="153">
        <f t="shared" si="2"/>
        <v>654</v>
      </c>
      <c r="B655" s="154"/>
      <c r="C655" s="154" t="s">
        <v>208</v>
      </c>
      <c r="D655" s="154" t="s">
        <v>208</v>
      </c>
      <c r="E655" s="154" t="s">
        <v>208</v>
      </c>
      <c r="F655" s="154" t="s">
        <v>208</v>
      </c>
      <c r="G655" s="154" t="s">
        <v>208</v>
      </c>
      <c r="H655" s="155"/>
      <c r="I655" s="155"/>
      <c r="J655" s="155"/>
      <c r="K655" s="158" t="s">
        <v>215</v>
      </c>
      <c r="R655" s="163"/>
      <c r="S655" s="163"/>
    </row>
    <row r="656">
      <c r="A656" s="153">
        <f t="shared" si="2"/>
        <v>655</v>
      </c>
      <c r="B656" s="154"/>
      <c r="C656" s="154" t="s">
        <v>208</v>
      </c>
      <c r="D656" s="154" t="s">
        <v>208</v>
      </c>
      <c r="E656" s="154" t="s">
        <v>208</v>
      </c>
      <c r="F656" s="154" t="s">
        <v>208</v>
      </c>
      <c r="G656" s="154" t="s">
        <v>208</v>
      </c>
      <c r="H656" s="155"/>
      <c r="I656" s="155"/>
      <c r="J656" s="155"/>
      <c r="K656" s="158" t="s">
        <v>215</v>
      </c>
      <c r="R656" s="163"/>
      <c r="S656" s="163"/>
    </row>
    <row r="657">
      <c r="A657" s="153">
        <f t="shared" si="2"/>
        <v>656</v>
      </c>
      <c r="B657" s="154"/>
      <c r="C657" s="154" t="s">
        <v>208</v>
      </c>
      <c r="D657" s="154"/>
      <c r="E657" s="154" t="s">
        <v>208</v>
      </c>
      <c r="F657" s="154" t="s">
        <v>208</v>
      </c>
      <c r="G657" s="154" t="s">
        <v>208</v>
      </c>
      <c r="H657" s="155"/>
      <c r="I657" s="155"/>
      <c r="J657" s="155"/>
      <c r="K657" s="158" t="s">
        <v>215</v>
      </c>
      <c r="R657" s="163"/>
      <c r="S657" s="163"/>
    </row>
    <row r="658">
      <c r="A658" s="153">
        <f t="shared" si="2"/>
        <v>657</v>
      </c>
      <c r="B658" s="154"/>
      <c r="C658" s="154" t="s">
        <v>208</v>
      </c>
      <c r="D658" s="154"/>
      <c r="E658" s="154" t="s">
        <v>208</v>
      </c>
      <c r="F658" s="154" t="s">
        <v>208</v>
      </c>
      <c r="G658" s="154" t="s">
        <v>208</v>
      </c>
      <c r="H658" s="153"/>
      <c r="I658" s="155"/>
      <c r="J658" s="155"/>
      <c r="K658" s="158" t="s">
        <v>215</v>
      </c>
      <c r="R658" s="163"/>
      <c r="S658" s="163"/>
    </row>
    <row r="659">
      <c r="A659" s="153">
        <f t="shared" si="2"/>
        <v>658</v>
      </c>
      <c r="B659" s="154"/>
      <c r="C659" s="154" t="s">
        <v>208</v>
      </c>
      <c r="D659" s="154" t="s">
        <v>208</v>
      </c>
      <c r="E659" s="154" t="s">
        <v>208</v>
      </c>
      <c r="F659" s="154" t="s">
        <v>208</v>
      </c>
      <c r="G659" s="154" t="s">
        <v>208</v>
      </c>
      <c r="H659" s="153"/>
      <c r="I659" s="155"/>
      <c r="J659" s="155"/>
      <c r="K659" s="158" t="s">
        <v>215</v>
      </c>
      <c r="R659" s="163"/>
      <c r="S659" s="163"/>
    </row>
    <row r="660">
      <c r="A660" s="177">
        <f t="shared" si="2"/>
        <v>659</v>
      </c>
      <c r="B660" s="154"/>
      <c r="C660" s="154"/>
      <c r="D660" s="154" t="s">
        <v>208</v>
      </c>
      <c r="E660" s="154" t="s">
        <v>208</v>
      </c>
      <c r="F660" s="154" t="s">
        <v>208</v>
      </c>
      <c r="G660" s="154"/>
      <c r="H660" s="154" t="s">
        <v>208</v>
      </c>
      <c r="I660" s="155"/>
      <c r="J660" s="155"/>
      <c r="K660" s="158" t="s">
        <v>215</v>
      </c>
      <c r="R660" s="173"/>
      <c r="S660" s="173"/>
    </row>
    <row r="661">
      <c r="A661" s="153">
        <f t="shared" si="2"/>
        <v>660</v>
      </c>
      <c r="B661" s="154"/>
      <c r="C661" s="154" t="s">
        <v>208</v>
      </c>
      <c r="D661" s="154" t="s">
        <v>208</v>
      </c>
      <c r="E661" s="154" t="s">
        <v>208</v>
      </c>
      <c r="F661" s="154" t="s">
        <v>208</v>
      </c>
      <c r="G661" s="154" t="s">
        <v>208</v>
      </c>
      <c r="H661" s="153"/>
      <c r="I661" s="155"/>
      <c r="J661" s="154"/>
      <c r="K661" s="158" t="s">
        <v>215</v>
      </c>
      <c r="R661" s="157"/>
      <c r="S661" s="157"/>
    </row>
    <row r="662">
      <c r="A662" s="177">
        <f t="shared" si="2"/>
        <v>661</v>
      </c>
      <c r="B662" s="154"/>
      <c r="C662" s="154"/>
      <c r="D662" s="154"/>
      <c r="E662" s="154"/>
      <c r="F662" s="154"/>
      <c r="G662" s="154"/>
      <c r="H662" s="154" t="s">
        <v>208</v>
      </c>
      <c r="I662" s="155"/>
      <c r="J662" s="155"/>
      <c r="K662" s="158" t="s">
        <v>215</v>
      </c>
      <c r="R662" s="163"/>
      <c r="S662" s="163"/>
    </row>
    <row r="663">
      <c r="A663" s="153">
        <f t="shared" si="2"/>
        <v>662</v>
      </c>
      <c r="B663" s="154"/>
      <c r="C663" s="154" t="s">
        <v>208</v>
      </c>
      <c r="D663" s="154" t="s">
        <v>208</v>
      </c>
      <c r="E663" s="154" t="s">
        <v>208</v>
      </c>
      <c r="F663" s="154" t="s">
        <v>208</v>
      </c>
      <c r="G663" s="154" t="s">
        <v>208</v>
      </c>
      <c r="H663" s="155"/>
      <c r="I663" s="155"/>
      <c r="J663" s="155"/>
      <c r="K663" s="158" t="s">
        <v>215</v>
      </c>
      <c r="R663" s="163"/>
      <c r="S663" s="163"/>
    </row>
    <row r="664">
      <c r="A664" s="153">
        <f t="shared" si="2"/>
        <v>663</v>
      </c>
      <c r="B664" s="154"/>
      <c r="C664" s="154" t="s">
        <v>208</v>
      </c>
      <c r="D664" s="154" t="s">
        <v>208</v>
      </c>
      <c r="E664" s="154" t="s">
        <v>208</v>
      </c>
      <c r="F664" s="154" t="s">
        <v>208</v>
      </c>
      <c r="G664" s="154" t="s">
        <v>208</v>
      </c>
      <c r="H664" s="155"/>
      <c r="I664" s="155"/>
      <c r="J664" s="155"/>
      <c r="K664" s="158" t="s">
        <v>215</v>
      </c>
      <c r="R664" s="163"/>
      <c r="S664" s="163"/>
    </row>
    <row r="665">
      <c r="A665" s="153">
        <f t="shared" si="2"/>
        <v>664</v>
      </c>
      <c r="B665" s="154"/>
      <c r="C665" s="154" t="s">
        <v>208</v>
      </c>
      <c r="D665" s="154" t="s">
        <v>208</v>
      </c>
      <c r="E665" s="154" t="s">
        <v>208</v>
      </c>
      <c r="F665" s="154" t="s">
        <v>208</v>
      </c>
      <c r="G665" s="154" t="s">
        <v>208</v>
      </c>
      <c r="H665" s="154"/>
      <c r="I665" s="155"/>
      <c r="J665" s="155"/>
      <c r="K665" s="158" t="s">
        <v>215</v>
      </c>
      <c r="R665" s="163"/>
      <c r="S665" s="163"/>
    </row>
    <row r="666">
      <c r="A666" s="153">
        <f t="shared" si="2"/>
        <v>665</v>
      </c>
      <c r="B666" s="154"/>
      <c r="C666" s="154" t="s">
        <v>208</v>
      </c>
      <c r="D666" s="154" t="s">
        <v>208</v>
      </c>
      <c r="E666" s="154" t="s">
        <v>208</v>
      </c>
      <c r="F666" s="154" t="s">
        <v>208</v>
      </c>
      <c r="G666" s="154" t="s">
        <v>208</v>
      </c>
      <c r="H666" s="155"/>
      <c r="I666" s="155"/>
      <c r="J666" s="155"/>
      <c r="K666" s="158" t="s">
        <v>215</v>
      </c>
      <c r="R666" s="163"/>
      <c r="S666" s="163"/>
    </row>
    <row r="667">
      <c r="A667" s="153">
        <f t="shared" si="2"/>
        <v>666</v>
      </c>
      <c r="B667" s="154"/>
      <c r="C667" s="154" t="s">
        <v>208</v>
      </c>
      <c r="D667" s="154" t="s">
        <v>208</v>
      </c>
      <c r="E667" s="154" t="s">
        <v>208</v>
      </c>
      <c r="F667" s="154" t="s">
        <v>208</v>
      </c>
      <c r="G667" s="154" t="s">
        <v>208</v>
      </c>
      <c r="H667" s="155"/>
      <c r="I667" s="155"/>
      <c r="J667" s="155"/>
      <c r="K667" s="158" t="s">
        <v>215</v>
      </c>
      <c r="R667" s="163"/>
      <c r="S667" s="163"/>
    </row>
    <row r="668">
      <c r="A668" s="153">
        <f t="shared" si="2"/>
        <v>667</v>
      </c>
      <c r="B668" s="154"/>
      <c r="C668" s="154" t="s">
        <v>208</v>
      </c>
      <c r="D668" s="154" t="s">
        <v>208</v>
      </c>
      <c r="E668" s="154" t="s">
        <v>208</v>
      </c>
      <c r="F668" s="154" t="s">
        <v>208</v>
      </c>
      <c r="G668" s="154" t="s">
        <v>208</v>
      </c>
      <c r="H668" s="155"/>
      <c r="I668" s="155"/>
      <c r="J668" s="155"/>
      <c r="K668" s="158" t="s">
        <v>215</v>
      </c>
      <c r="R668" s="163"/>
      <c r="S668" s="163"/>
    </row>
    <row r="669">
      <c r="A669" s="153">
        <f t="shared" si="2"/>
        <v>668</v>
      </c>
      <c r="B669" s="154"/>
      <c r="C669" s="154" t="s">
        <v>208</v>
      </c>
      <c r="D669" s="154" t="s">
        <v>208</v>
      </c>
      <c r="E669" s="154" t="s">
        <v>208</v>
      </c>
      <c r="F669" s="154" t="s">
        <v>208</v>
      </c>
      <c r="G669" s="154" t="s">
        <v>208</v>
      </c>
      <c r="H669" s="154"/>
      <c r="I669" s="155"/>
      <c r="J669" s="155"/>
      <c r="K669" s="158" t="s">
        <v>215</v>
      </c>
      <c r="R669" s="163"/>
      <c r="S669" s="163"/>
    </row>
    <row r="670">
      <c r="A670" s="177">
        <f t="shared" si="2"/>
        <v>669</v>
      </c>
      <c r="B670" s="154"/>
      <c r="C670" s="154"/>
      <c r="D670" s="154" t="s">
        <v>208</v>
      </c>
      <c r="E670" s="154" t="s">
        <v>208</v>
      </c>
      <c r="F670" s="154" t="s">
        <v>208</v>
      </c>
      <c r="G670" s="154"/>
      <c r="H670" s="154" t="s">
        <v>208</v>
      </c>
      <c r="I670" s="155"/>
      <c r="J670" s="155"/>
      <c r="K670" s="158" t="s">
        <v>215</v>
      </c>
      <c r="R670" s="163"/>
      <c r="S670" s="163"/>
    </row>
    <row r="671">
      <c r="A671" s="153">
        <f t="shared" si="2"/>
        <v>670</v>
      </c>
      <c r="B671" s="154"/>
      <c r="C671" s="154" t="s">
        <v>208</v>
      </c>
      <c r="D671" s="154" t="s">
        <v>208</v>
      </c>
      <c r="E671" s="154" t="s">
        <v>208</v>
      </c>
      <c r="F671" s="154" t="s">
        <v>208</v>
      </c>
      <c r="G671" s="154" t="s">
        <v>208</v>
      </c>
      <c r="H671" s="155"/>
      <c r="I671" s="155"/>
      <c r="J671" s="155"/>
      <c r="K671" s="158" t="s">
        <v>215</v>
      </c>
      <c r="R671" s="163"/>
      <c r="S671" s="163"/>
    </row>
    <row r="672">
      <c r="A672" s="153">
        <f t="shared" si="2"/>
        <v>671</v>
      </c>
      <c r="B672" s="154"/>
      <c r="C672" s="154" t="s">
        <v>208</v>
      </c>
      <c r="D672" s="154" t="s">
        <v>208</v>
      </c>
      <c r="E672" s="154" t="s">
        <v>208</v>
      </c>
      <c r="F672" s="154" t="s">
        <v>208</v>
      </c>
      <c r="G672" s="154" t="s">
        <v>208</v>
      </c>
      <c r="H672" s="155"/>
      <c r="I672" s="155"/>
      <c r="J672" s="155"/>
      <c r="K672" s="158" t="s">
        <v>215</v>
      </c>
      <c r="R672" s="173"/>
      <c r="S672" s="173"/>
    </row>
    <row r="673">
      <c r="A673" s="153">
        <f t="shared" si="2"/>
        <v>672</v>
      </c>
      <c r="B673" s="154"/>
      <c r="C673" s="154" t="s">
        <v>208</v>
      </c>
      <c r="D673" s="154" t="s">
        <v>208</v>
      </c>
      <c r="E673" s="154" t="s">
        <v>208</v>
      </c>
      <c r="F673" s="154" t="s">
        <v>208</v>
      </c>
      <c r="G673" s="154" t="s">
        <v>208</v>
      </c>
      <c r="H673" s="155"/>
      <c r="I673" s="155"/>
      <c r="J673" s="155"/>
      <c r="K673" s="158" t="s">
        <v>215</v>
      </c>
      <c r="R673" s="157"/>
      <c r="S673" s="157"/>
    </row>
    <row r="674">
      <c r="A674" s="153">
        <f t="shared" si="2"/>
        <v>673</v>
      </c>
      <c r="B674" s="154"/>
      <c r="C674" s="154" t="s">
        <v>208</v>
      </c>
      <c r="D674" s="154" t="s">
        <v>208</v>
      </c>
      <c r="E674" s="154" t="s">
        <v>208</v>
      </c>
      <c r="F674" s="154" t="s">
        <v>208</v>
      </c>
      <c r="G674" s="154" t="s">
        <v>208</v>
      </c>
      <c r="H674" s="155"/>
      <c r="I674" s="155"/>
      <c r="J674" s="155"/>
      <c r="K674" s="158" t="s">
        <v>215</v>
      </c>
      <c r="R674" s="163"/>
      <c r="S674" s="163"/>
    </row>
    <row r="675">
      <c r="A675" s="177">
        <f t="shared" si="2"/>
        <v>674</v>
      </c>
      <c r="B675" s="154"/>
      <c r="C675" s="154"/>
      <c r="D675" s="154" t="s">
        <v>208</v>
      </c>
      <c r="E675" s="154" t="s">
        <v>208</v>
      </c>
      <c r="F675" s="154" t="s">
        <v>208</v>
      </c>
      <c r="G675" s="154"/>
      <c r="H675" s="154" t="s">
        <v>208</v>
      </c>
      <c r="I675" s="155"/>
      <c r="J675" s="155"/>
      <c r="K675" s="158" t="s">
        <v>215</v>
      </c>
      <c r="R675" s="163"/>
      <c r="S675" s="163"/>
    </row>
    <row r="676">
      <c r="A676" s="153">
        <f t="shared" si="2"/>
        <v>675</v>
      </c>
      <c r="B676" s="154"/>
      <c r="C676" s="154" t="s">
        <v>208</v>
      </c>
      <c r="D676" s="154" t="s">
        <v>208</v>
      </c>
      <c r="E676" s="154" t="s">
        <v>208</v>
      </c>
      <c r="F676" s="154" t="s">
        <v>208</v>
      </c>
      <c r="G676" s="154" t="s">
        <v>208</v>
      </c>
      <c r="H676" s="155"/>
      <c r="I676" s="155"/>
      <c r="J676" s="155"/>
      <c r="K676" s="158" t="s">
        <v>215</v>
      </c>
      <c r="R676" s="163"/>
      <c r="S676" s="163"/>
    </row>
    <row r="677">
      <c r="A677" s="153">
        <f t="shared" si="2"/>
        <v>676</v>
      </c>
      <c r="B677" s="154"/>
      <c r="C677" s="154" t="s">
        <v>208</v>
      </c>
      <c r="D677" s="154" t="s">
        <v>208</v>
      </c>
      <c r="E677" s="154" t="s">
        <v>208</v>
      </c>
      <c r="F677" s="154" t="s">
        <v>208</v>
      </c>
      <c r="G677" s="154" t="s">
        <v>208</v>
      </c>
      <c r="H677" s="155"/>
      <c r="I677" s="155"/>
      <c r="J677" s="155"/>
      <c r="K677" s="158" t="s">
        <v>215</v>
      </c>
      <c r="R677" s="163"/>
      <c r="S677" s="163"/>
    </row>
    <row r="678">
      <c r="A678" s="153">
        <f t="shared" si="2"/>
        <v>677</v>
      </c>
      <c r="B678" s="154"/>
      <c r="C678" s="154" t="s">
        <v>208</v>
      </c>
      <c r="D678" s="154" t="s">
        <v>208</v>
      </c>
      <c r="E678" s="154" t="s">
        <v>208</v>
      </c>
      <c r="F678" s="154" t="s">
        <v>208</v>
      </c>
      <c r="G678" s="154" t="s">
        <v>208</v>
      </c>
      <c r="H678" s="155"/>
      <c r="I678" s="155"/>
      <c r="J678" s="155"/>
      <c r="K678" s="158" t="s">
        <v>215</v>
      </c>
      <c r="R678" s="163"/>
      <c r="S678" s="163"/>
    </row>
    <row r="679">
      <c r="A679" s="153">
        <f t="shared" si="2"/>
        <v>678</v>
      </c>
      <c r="B679" s="154"/>
      <c r="C679" s="154" t="s">
        <v>208</v>
      </c>
      <c r="D679" s="154" t="s">
        <v>208</v>
      </c>
      <c r="E679" s="154"/>
      <c r="F679" s="154" t="s">
        <v>208</v>
      </c>
      <c r="G679" s="154" t="s">
        <v>208</v>
      </c>
      <c r="H679" s="155"/>
      <c r="I679" s="155"/>
      <c r="J679" s="155"/>
      <c r="K679" s="158" t="s">
        <v>215</v>
      </c>
      <c r="R679" s="163"/>
      <c r="S679" s="163"/>
    </row>
    <row r="680">
      <c r="A680" s="153">
        <f t="shared" si="2"/>
        <v>679</v>
      </c>
      <c r="B680" s="154"/>
      <c r="C680" s="154" t="s">
        <v>208</v>
      </c>
      <c r="D680" s="154" t="s">
        <v>208</v>
      </c>
      <c r="E680" s="154" t="s">
        <v>208</v>
      </c>
      <c r="F680" s="154" t="s">
        <v>208</v>
      </c>
      <c r="G680" s="154" t="s">
        <v>208</v>
      </c>
      <c r="H680" s="155"/>
      <c r="I680" s="155"/>
      <c r="J680" s="155"/>
      <c r="K680" s="158" t="s">
        <v>215</v>
      </c>
      <c r="R680" s="163"/>
      <c r="S680" s="163"/>
    </row>
    <row r="681">
      <c r="A681" s="153">
        <f t="shared" si="2"/>
        <v>680</v>
      </c>
      <c r="B681" s="154" t="s">
        <v>208</v>
      </c>
      <c r="C681" s="154"/>
      <c r="D681" s="154"/>
      <c r="E681" s="154" t="s">
        <v>208</v>
      </c>
      <c r="F681" s="154"/>
      <c r="G681" s="154" t="s">
        <v>208</v>
      </c>
      <c r="H681" s="154"/>
      <c r="I681" s="155"/>
      <c r="J681" s="155"/>
      <c r="K681" s="158" t="s">
        <v>215</v>
      </c>
      <c r="R681" s="163"/>
      <c r="S681" s="163"/>
    </row>
    <row r="682">
      <c r="A682" s="153">
        <f t="shared" si="2"/>
        <v>681</v>
      </c>
      <c r="B682" s="154"/>
      <c r="C682" s="154" t="s">
        <v>208</v>
      </c>
      <c r="D682" s="154" t="s">
        <v>208</v>
      </c>
      <c r="E682" s="154"/>
      <c r="F682" s="154" t="s">
        <v>208</v>
      </c>
      <c r="G682" s="154" t="s">
        <v>208</v>
      </c>
      <c r="H682" s="155"/>
      <c r="I682" s="155"/>
      <c r="J682" s="155"/>
      <c r="K682" s="158" t="s">
        <v>215</v>
      </c>
      <c r="R682" s="163"/>
      <c r="S682" s="163"/>
    </row>
    <row r="683">
      <c r="A683" s="153">
        <f t="shared" si="2"/>
        <v>682</v>
      </c>
      <c r="B683" s="154"/>
      <c r="C683" s="154" t="s">
        <v>208</v>
      </c>
      <c r="D683" s="154" t="s">
        <v>208</v>
      </c>
      <c r="E683" s="154" t="s">
        <v>208</v>
      </c>
      <c r="F683" s="154" t="s">
        <v>208</v>
      </c>
      <c r="G683" s="154" t="s">
        <v>208</v>
      </c>
      <c r="H683" s="155"/>
      <c r="I683" s="155"/>
      <c r="J683" s="155"/>
      <c r="K683" s="158" t="s">
        <v>215</v>
      </c>
      <c r="R683" s="163"/>
      <c r="S683" s="163"/>
    </row>
    <row r="684">
      <c r="A684" s="153">
        <f t="shared" si="2"/>
        <v>683</v>
      </c>
      <c r="B684" s="154"/>
      <c r="C684" s="154" t="s">
        <v>208</v>
      </c>
      <c r="D684" s="154" t="s">
        <v>208</v>
      </c>
      <c r="E684" s="154" t="s">
        <v>208</v>
      </c>
      <c r="F684" s="154" t="s">
        <v>208</v>
      </c>
      <c r="G684" s="154" t="s">
        <v>208</v>
      </c>
      <c r="H684" s="155"/>
      <c r="I684" s="155"/>
      <c r="J684" s="155"/>
      <c r="K684" s="158" t="s">
        <v>215</v>
      </c>
      <c r="R684" s="173"/>
      <c r="S684" s="173"/>
    </row>
    <row r="685">
      <c r="A685" s="153">
        <f t="shared" si="2"/>
        <v>684</v>
      </c>
      <c r="B685" s="154"/>
      <c r="C685" s="154" t="s">
        <v>208</v>
      </c>
      <c r="D685" s="154" t="s">
        <v>208</v>
      </c>
      <c r="E685" s="154" t="s">
        <v>208</v>
      </c>
      <c r="F685" s="154" t="s">
        <v>208</v>
      </c>
      <c r="G685" s="154" t="s">
        <v>208</v>
      </c>
      <c r="H685" s="155"/>
      <c r="I685" s="155"/>
      <c r="J685" s="155"/>
      <c r="K685" s="158" t="s">
        <v>215</v>
      </c>
      <c r="R685" s="157"/>
      <c r="S685" s="157"/>
    </row>
    <row r="686">
      <c r="A686" s="153">
        <f t="shared" si="2"/>
        <v>685</v>
      </c>
      <c r="B686" s="154"/>
      <c r="C686" s="154" t="s">
        <v>208</v>
      </c>
      <c r="D686" s="154" t="s">
        <v>208</v>
      </c>
      <c r="E686" s="154" t="s">
        <v>208</v>
      </c>
      <c r="F686" s="154" t="s">
        <v>208</v>
      </c>
      <c r="G686" s="154" t="s">
        <v>208</v>
      </c>
      <c r="H686" s="155"/>
      <c r="I686" s="155"/>
      <c r="J686" s="155"/>
      <c r="K686" s="158" t="s">
        <v>215</v>
      </c>
      <c r="R686" s="163"/>
      <c r="S686" s="163"/>
    </row>
    <row r="687">
      <c r="A687" s="177">
        <f t="shared" si="2"/>
        <v>686</v>
      </c>
      <c r="B687" s="154"/>
      <c r="C687" s="154"/>
      <c r="D687" s="154" t="s">
        <v>208</v>
      </c>
      <c r="E687" s="154" t="s">
        <v>208</v>
      </c>
      <c r="F687" s="154" t="s">
        <v>208</v>
      </c>
      <c r="G687" s="155"/>
      <c r="H687" s="154" t="s">
        <v>208</v>
      </c>
      <c r="I687" s="155"/>
      <c r="J687" s="154"/>
      <c r="K687" s="158" t="s">
        <v>215</v>
      </c>
      <c r="R687" s="163"/>
      <c r="S687" s="163"/>
    </row>
    <row r="688">
      <c r="A688" s="153">
        <f t="shared" si="2"/>
        <v>687</v>
      </c>
      <c r="B688" s="154"/>
      <c r="C688" s="154" t="s">
        <v>208</v>
      </c>
      <c r="D688" s="154" t="s">
        <v>208</v>
      </c>
      <c r="E688" s="154" t="s">
        <v>208</v>
      </c>
      <c r="F688" s="154" t="s">
        <v>208</v>
      </c>
      <c r="G688" s="154" t="s">
        <v>208</v>
      </c>
      <c r="H688" s="155"/>
      <c r="I688" s="155"/>
      <c r="J688" s="155"/>
      <c r="K688" s="158" t="s">
        <v>215</v>
      </c>
      <c r="R688" s="163"/>
      <c r="S688" s="163"/>
    </row>
    <row r="689">
      <c r="A689" s="153">
        <f t="shared" si="2"/>
        <v>688</v>
      </c>
      <c r="B689" s="154" t="s">
        <v>208</v>
      </c>
      <c r="C689" s="154"/>
      <c r="D689" s="154"/>
      <c r="E689" s="154"/>
      <c r="F689" s="154"/>
      <c r="G689" s="154"/>
      <c r="H689" s="155"/>
      <c r="I689" s="155"/>
      <c r="J689" s="154"/>
      <c r="K689" s="158" t="s">
        <v>215</v>
      </c>
      <c r="R689" s="163"/>
      <c r="S689" s="163"/>
    </row>
    <row r="690">
      <c r="A690" s="153">
        <f t="shared" si="2"/>
        <v>689</v>
      </c>
      <c r="B690" s="154"/>
      <c r="C690" s="154" t="s">
        <v>208</v>
      </c>
      <c r="D690" s="154" t="s">
        <v>208</v>
      </c>
      <c r="E690" s="154" t="s">
        <v>208</v>
      </c>
      <c r="F690" s="154" t="s">
        <v>208</v>
      </c>
      <c r="G690" s="154" t="s">
        <v>208</v>
      </c>
      <c r="H690" s="155"/>
      <c r="I690" s="155"/>
      <c r="J690" s="155"/>
      <c r="K690" s="158" t="s">
        <v>215</v>
      </c>
      <c r="R690" s="163"/>
      <c r="S690" s="163"/>
    </row>
    <row r="691">
      <c r="A691" s="153">
        <f t="shared" si="2"/>
        <v>690</v>
      </c>
      <c r="B691" s="154"/>
      <c r="C691" s="154" t="s">
        <v>208</v>
      </c>
      <c r="D691" s="154" t="s">
        <v>208</v>
      </c>
      <c r="E691" s="154" t="s">
        <v>208</v>
      </c>
      <c r="F691" s="154" t="s">
        <v>208</v>
      </c>
      <c r="G691" s="154" t="s">
        <v>208</v>
      </c>
      <c r="H691" s="155"/>
      <c r="I691" s="155"/>
      <c r="J691" s="155"/>
      <c r="K691" s="158" t="s">
        <v>215</v>
      </c>
      <c r="R691" s="163"/>
      <c r="S691" s="163"/>
    </row>
    <row r="692">
      <c r="A692" s="153">
        <f t="shared" si="2"/>
        <v>691</v>
      </c>
      <c r="B692" s="154"/>
      <c r="C692" s="154" t="s">
        <v>208</v>
      </c>
      <c r="D692" s="154" t="s">
        <v>208</v>
      </c>
      <c r="E692" s="154" t="s">
        <v>208</v>
      </c>
      <c r="F692" s="154" t="s">
        <v>208</v>
      </c>
      <c r="G692" s="154" t="s">
        <v>208</v>
      </c>
      <c r="H692" s="155"/>
      <c r="I692" s="155"/>
      <c r="J692" s="155"/>
      <c r="K692" s="158" t="s">
        <v>215</v>
      </c>
      <c r="R692" s="163"/>
      <c r="S692" s="163"/>
    </row>
    <row r="693">
      <c r="A693" s="153">
        <f t="shared" si="2"/>
        <v>692</v>
      </c>
      <c r="B693" s="154"/>
      <c r="C693" s="154" t="s">
        <v>208</v>
      </c>
      <c r="D693" s="154"/>
      <c r="E693" s="154" t="s">
        <v>208</v>
      </c>
      <c r="F693" s="154" t="s">
        <v>208</v>
      </c>
      <c r="G693" s="154" t="s">
        <v>208</v>
      </c>
      <c r="H693" s="155"/>
      <c r="I693" s="155"/>
      <c r="J693" s="155"/>
      <c r="K693" s="158" t="s">
        <v>215</v>
      </c>
      <c r="R693" s="163"/>
      <c r="S693" s="163"/>
    </row>
    <row r="694">
      <c r="A694" s="153">
        <f t="shared" si="2"/>
        <v>693</v>
      </c>
      <c r="B694" s="154"/>
      <c r="C694" s="154" t="s">
        <v>208</v>
      </c>
      <c r="D694" s="154" t="s">
        <v>208</v>
      </c>
      <c r="E694" s="154" t="s">
        <v>208</v>
      </c>
      <c r="F694" s="154" t="s">
        <v>208</v>
      </c>
      <c r="G694" s="154" t="s">
        <v>208</v>
      </c>
      <c r="H694" s="155"/>
      <c r="I694" s="155"/>
      <c r="J694" s="155"/>
      <c r="K694" s="158" t="s">
        <v>215</v>
      </c>
      <c r="R694" s="163"/>
      <c r="S694" s="163"/>
    </row>
    <row r="695">
      <c r="A695" s="153">
        <f t="shared" si="2"/>
        <v>694</v>
      </c>
      <c r="B695" s="154"/>
      <c r="C695" s="154" t="s">
        <v>208</v>
      </c>
      <c r="D695" s="154" t="s">
        <v>208</v>
      </c>
      <c r="E695" s="154" t="s">
        <v>208</v>
      </c>
      <c r="F695" s="154" t="s">
        <v>208</v>
      </c>
      <c r="G695" s="154" t="s">
        <v>208</v>
      </c>
      <c r="H695" s="155"/>
      <c r="I695" s="155"/>
      <c r="J695" s="155"/>
      <c r="K695" s="158" t="s">
        <v>215</v>
      </c>
      <c r="R695" s="163"/>
      <c r="S695" s="163"/>
    </row>
    <row r="696">
      <c r="A696" s="153">
        <f t="shared" si="2"/>
        <v>695</v>
      </c>
      <c r="B696" s="154"/>
      <c r="C696" s="154" t="s">
        <v>208</v>
      </c>
      <c r="D696" s="154" t="s">
        <v>208</v>
      </c>
      <c r="E696" s="154" t="s">
        <v>208</v>
      </c>
      <c r="F696" s="154" t="s">
        <v>208</v>
      </c>
      <c r="G696" s="154" t="s">
        <v>208</v>
      </c>
      <c r="H696" s="155"/>
      <c r="I696" s="155"/>
      <c r="J696" s="155"/>
      <c r="K696" s="158" t="s">
        <v>215</v>
      </c>
      <c r="R696" s="173"/>
      <c r="S696" s="173"/>
    </row>
    <row r="697">
      <c r="A697" s="153">
        <f t="shared" si="2"/>
        <v>696</v>
      </c>
      <c r="B697" s="154"/>
      <c r="C697" s="154" t="s">
        <v>208</v>
      </c>
      <c r="D697" s="154" t="s">
        <v>208</v>
      </c>
      <c r="E697" s="154"/>
      <c r="F697" s="154" t="s">
        <v>208</v>
      </c>
      <c r="G697" s="154" t="s">
        <v>208</v>
      </c>
      <c r="H697" s="155"/>
      <c r="I697" s="155"/>
      <c r="J697" s="154"/>
      <c r="K697" s="158" t="s">
        <v>215</v>
      </c>
      <c r="R697" s="157"/>
      <c r="S697" s="157"/>
    </row>
    <row r="698">
      <c r="A698" s="153">
        <f t="shared" si="2"/>
        <v>697</v>
      </c>
      <c r="B698" s="154"/>
      <c r="C698" s="154" t="s">
        <v>208</v>
      </c>
      <c r="D698" s="154" t="s">
        <v>208</v>
      </c>
      <c r="E698" s="154" t="s">
        <v>208</v>
      </c>
      <c r="F698" s="154" t="s">
        <v>208</v>
      </c>
      <c r="G698" s="154" t="s">
        <v>208</v>
      </c>
      <c r="H698" s="155"/>
      <c r="I698" s="155"/>
      <c r="J698" s="155"/>
      <c r="K698" s="158" t="s">
        <v>244</v>
      </c>
      <c r="R698" s="163"/>
      <c r="S698" s="163"/>
    </row>
    <row r="699">
      <c r="A699" s="153">
        <f t="shared" si="2"/>
        <v>698</v>
      </c>
      <c r="B699" s="155"/>
      <c r="C699" s="154" t="s">
        <v>208</v>
      </c>
      <c r="D699" s="154" t="s">
        <v>208</v>
      </c>
      <c r="E699" s="154" t="s">
        <v>208</v>
      </c>
      <c r="F699" s="154" t="s">
        <v>208</v>
      </c>
      <c r="G699" s="154" t="s">
        <v>208</v>
      </c>
      <c r="H699" s="155"/>
      <c r="I699" s="155"/>
      <c r="J699" s="155"/>
      <c r="K699" s="158" t="s">
        <v>244</v>
      </c>
      <c r="R699" s="163"/>
      <c r="S699" s="163"/>
    </row>
    <row r="700">
      <c r="A700" s="153">
        <f t="shared" si="2"/>
        <v>699</v>
      </c>
      <c r="B700" s="154"/>
      <c r="C700" s="154" t="s">
        <v>208</v>
      </c>
      <c r="D700" s="154" t="s">
        <v>218</v>
      </c>
      <c r="E700" s="154" t="s">
        <v>208</v>
      </c>
      <c r="F700" s="154" t="s">
        <v>208</v>
      </c>
      <c r="G700" s="154" t="s">
        <v>208</v>
      </c>
      <c r="H700" s="153"/>
      <c r="I700" s="155"/>
      <c r="J700" s="155"/>
      <c r="K700" s="158" t="s">
        <v>244</v>
      </c>
      <c r="R700" s="163"/>
      <c r="S700" s="163"/>
    </row>
    <row r="701">
      <c r="A701" s="153">
        <f t="shared" si="2"/>
        <v>700</v>
      </c>
      <c r="B701" s="154"/>
      <c r="C701" s="154" t="s">
        <v>208</v>
      </c>
      <c r="D701" s="154" t="s">
        <v>208</v>
      </c>
      <c r="E701" s="154" t="s">
        <v>208</v>
      </c>
      <c r="F701" s="154" t="s">
        <v>208</v>
      </c>
      <c r="G701" s="154" t="s">
        <v>208</v>
      </c>
      <c r="H701" s="155"/>
      <c r="I701" s="155"/>
      <c r="J701" s="155"/>
      <c r="K701" s="158" t="s">
        <v>244</v>
      </c>
      <c r="R701" s="163"/>
      <c r="S701" s="163"/>
    </row>
    <row r="702">
      <c r="A702" s="153">
        <f t="shared" si="2"/>
        <v>701</v>
      </c>
      <c r="B702" s="154"/>
      <c r="C702" s="154" t="s">
        <v>208</v>
      </c>
      <c r="D702" s="154" t="s">
        <v>208</v>
      </c>
      <c r="E702" s="154" t="s">
        <v>208</v>
      </c>
      <c r="F702" s="154" t="s">
        <v>208</v>
      </c>
      <c r="G702" s="154" t="s">
        <v>208</v>
      </c>
      <c r="H702" s="155"/>
      <c r="I702" s="155"/>
      <c r="J702" s="155"/>
      <c r="K702" s="158" t="s">
        <v>244</v>
      </c>
      <c r="R702" s="163"/>
      <c r="S702" s="163"/>
    </row>
    <row r="703">
      <c r="A703" s="153">
        <f t="shared" si="2"/>
        <v>702</v>
      </c>
      <c r="B703" s="154"/>
      <c r="C703" s="154" t="s">
        <v>208</v>
      </c>
      <c r="D703" s="154" t="s">
        <v>208</v>
      </c>
      <c r="E703" s="154" t="s">
        <v>208</v>
      </c>
      <c r="F703" s="154" t="s">
        <v>208</v>
      </c>
      <c r="G703" s="154" t="s">
        <v>208</v>
      </c>
      <c r="H703" s="155"/>
      <c r="I703" s="155"/>
      <c r="J703" s="154"/>
      <c r="K703" s="158" t="s">
        <v>244</v>
      </c>
      <c r="R703" s="163"/>
      <c r="S703" s="163"/>
    </row>
    <row r="704">
      <c r="A704" s="153">
        <f t="shared" si="2"/>
        <v>703</v>
      </c>
      <c r="B704" s="155"/>
      <c r="C704" s="154" t="s">
        <v>208</v>
      </c>
      <c r="D704" s="154" t="s">
        <v>208</v>
      </c>
      <c r="E704" s="154" t="s">
        <v>208</v>
      </c>
      <c r="F704" s="154" t="s">
        <v>208</v>
      </c>
      <c r="G704" s="154" t="s">
        <v>208</v>
      </c>
      <c r="H704" s="155"/>
      <c r="I704" s="154"/>
      <c r="J704" s="154"/>
      <c r="K704" s="158" t="s">
        <v>244</v>
      </c>
      <c r="R704" s="163"/>
      <c r="S704" s="163"/>
    </row>
    <row r="705">
      <c r="A705" s="153">
        <f t="shared" si="2"/>
        <v>704</v>
      </c>
      <c r="B705" s="154"/>
      <c r="C705" s="154" t="s">
        <v>208</v>
      </c>
      <c r="D705" s="154" t="s">
        <v>218</v>
      </c>
      <c r="E705" s="154" t="s">
        <v>208</v>
      </c>
      <c r="F705" s="154" t="s">
        <v>218</v>
      </c>
      <c r="G705" s="154" t="s">
        <v>208</v>
      </c>
      <c r="H705" s="153"/>
      <c r="I705" s="155"/>
      <c r="J705" s="154"/>
      <c r="K705" s="158" t="s">
        <v>244</v>
      </c>
      <c r="R705" s="163"/>
      <c r="S705" s="163"/>
    </row>
    <row r="706">
      <c r="A706" s="153">
        <f t="shared" si="2"/>
        <v>705</v>
      </c>
      <c r="B706" s="154"/>
      <c r="C706" s="154" t="s">
        <v>208</v>
      </c>
      <c r="D706" s="154" t="s">
        <v>208</v>
      </c>
      <c r="E706" s="154" t="s">
        <v>208</v>
      </c>
      <c r="F706" s="154" t="s">
        <v>208</v>
      </c>
      <c r="G706" s="154" t="s">
        <v>208</v>
      </c>
      <c r="H706" s="153"/>
      <c r="I706" s="155"/>
      <c r="J706" s="154"/>
      <c r="K706" s="158" t="s">
        <v>244</v>
      </c>
      <c r="R706" s="163"/>
      <c r="S706" s="163"/>
    </row>
    <row r="707">
      <c r="A707" s="153">
        <f t="shared" si="2"/>
        <v>706</v>
      </c>
      <c r="B707" s="154"/>
      <c r="C707" s="154" t="s">
        <v>208</v>
      </c>
      <c r="D707" s="154" t="s">
        <v>208</v>
      </c>
      <c r="E707" s="154" t="s">
        <v>208</v>
      </c>
      <c r="F707" s="154" t="s">
        <v>208</v>
      </c>
      <c r="G707" s="154" t="s">
        <v>208</v>
      </c>
      <c r="H707" s="153"/>
      <c r="I707" s="155"/>
      <c r="J707" s="154"/>
      <c r="K707" s="158" t="s">
        <v>244</v>
      </c>
      <c r="R707" s="163"/>
      <c r="S707" s="163"/>
    </row>
    <row r="708">
      <c r="A708" s="177">
        <f t="shared" si="2"/>
        <v>707</v>
      </c>
      <c r="B708" s="154"/>
      <c r="C708" s="154"/>
      <c r="D708" s="154"/>
      <c r="E708" s="154" t="s">
        <v>208</v>
      </c>
      <c r="F708" s="154" t="s">
        <v>208</v>
      </c>
      <c r="G708" s="155"/>
      <c r="H708" s="154" t="s">
        <v>208</v>
      </c>
      <c r="I708" s="155"/>
      <c r="J708" s="154"/>
      <c r="K708" s="158" t="s">
        <v>244</v>
      </c>
      <c r="R708" s="173"/>
      <c r="S708" s="173"/>
    </row>
    <row r="709">
      <c r="A709" s="153">
        <f t="shared" si="2"/>
        <v>708</v>
      </c>
      <c r="B709" s="154"/>
      <c r="C709" s="154" t="s">
        <v>208</v>
      </c>
      <c r="D709" s="154" t="s">
        <v>208</v>
      </c>
      <c r="E709" s="154"/>
      <c r="F709" s="154" t="s">
        <v>208</v>
      </c>
      <c r="G709" s="154" t="s">
        <v>208</v>
      </c>
      <c r="H709" s="155"/>
      <c r="I709" s="155"/>
      <c r="J709" s="154"/>
      <c r="K709" s="158" t="s">
        <v>244</v>
      </c>
      <c r="R709" s="157"/>
      <c r="S709" s="157"/>
    </row>
    <row r="710">
      <c r="A710" s="153">
        <f t="shared" si="2"/>
        <v>709</v>
      </c>
      <c r="B710" s="154"/>
      <c r="C710" s="154" t="s">
        <v>208</v>
      </c>
      <c r="D710" s="154" t="s">
        <v>208</v>
      </c>
      <c r="E710" s="154" t="s">
        <v>208</v>
      </c>
      <c r="F710" s="154" t="s">
        <v>208</v>
      </c>
      <c r="G710" s="154" t="s">
        <v>208</v>
      </c>
      <c r="H710" s="155"/>
      <c r="I710" s="155"/>
      <c r="J710" s="154"/>
      <c r="K710" s="158" t="s">
        <v>244</v>
      </c>
      <c r="R710" s="163"/>
      <c r="S710" s="163"/>
    </row>
    <row r="711">
      <c r="A711" s="153">
        <f t="shared" si="2"/>
        <v>710</v>
      </c>
      <c r="B711" s="154"/>
      <c r="C711" s="154" t="s">
        <v>208</v>
      </c>
      <c r="D711" s="154" t="s">
        <v>208</v>
      </c>
      <c r="E711" s="154" t="s">
        <v>208</v>
      </c>
      <c r="F711" s="154" t="s">
        <v>208</v>
      </c>
      <c r="G711" s="154" t="s">
        <v>208</v>
      </c>
      <c r="H711" s="155"/>
      <c r="I711" s="155"/>
      <c r="J711" s="155"/>
      <c r="K711" s="158" t="s">
        <v>244</v>
      </c>
      <c r="R711" s="163"/>
      <c r="S711" s="163"/>
    </row>
    <row r="712">
      <c r="A712" s="153">
        <f t="shared" si="2"/>
        <v>711</v>
      </c>
      <c r="B712" s="154"/>
      <c r="C712" s="154" t="s">
        <v>208</v>
      </c>
      <c r="D712" s="154" t="s">
        <v>208</v>
      </c>
      <c r="E712" s="154" t="s">
        <v>208</v>
      </c>
      <c r="F712" s="154" t="s">
        <v>208</v>
      </c>
      <c r="G712" s="154" t="s">
        <v>208</v>
      </c>
      <c r="H712" s="155"/>
      <c r="I712" s="155"/>
      <c r="J712" s="155"/>
      <c r="K712" s="158" t="s">
        <v>244</v>
      </c>
      <c r="R712" s="163"/>
      <c r="S712" s="163"/>
    </row>
    <row r="713">
      <c r="A713" s="153">
        <f t="shared" si="2"/>
        <v>712</v>
      </c>
      <c r="B713" s="154"/>
      <c r="C713" s="154" t="s">
        <v>208</v>
      </c>
      <c r="D713" s="154" t="s">
        <v>208</v>
      </c>
      <c r="E713" s="154"/>
      <c r="F713" s="154" t="s">
        <v>208</v>
      </c>
      <c r="G713" s="154" t="s">
        <v>208</v>
      </c>
      <c r="H713" s="153"/>
      <c r="I713" s="155"/>
      <c r="J713" s="155"/>
      <c r="K713" s="158" t="s">
        <v>244</v>
      </c>
      <c r="R713" s="163"/>
      <c r="S713" s="163"/>
    </row>
    <row r="714">
      <c r="A714" s="153">
        <f t="shared" si="2"/>
        <v>713</v>
      </c>
      <c r="B714" s="154"/>
      <c r="C714" s="154" t="s">
        <v>208</v>
      </c>
      <c r="D714" s="154" t="s">
        <v>208</v>
      </c>
      <c r="E714" s="154"/>
      <c r="F714" s="154" t="s">
        <v>208</v>
      </c>
      <c r="G714" s="154" t="s">
        <v>208</v>
      </c>
      <c r="H714" s="153"/>
      <c r="I714" s="155"/>
      <c r="J714" s="155"/>
      <c r="K714" s="158" t="s">
        <v>244</v>
      </c>
      <c r="R714" s="163"/>
      <c r="S714" s="163"/>
    </row>
    <row r="715">
      <c r="A715" s="153">
        <f t="shared" si="2"/>
        <v>714</v>
      </c>
      <c r="B715" s="154"/>
      <c r="C715" s="154"/>
      <c r="D715" s="154"/>
      <c r="E715" s="154"/>
      <c r="F715" s="154"/>
      <c r="G715" s="155"/>
      <c r="H715" s="153"/>
      <c r="I715" s="155"/>
      <c r="J715" s="154" t="s">
        <v>217</v>
      </c>
      <c r="K715" s="158" t="s">
        <v>244</v>
      </c>
      <c r="R715" s="163"/>
      <c r="S715" s="163"/>
    </row>
    <row r="716">
      <c r="A716" s="153">
        <f t="shared" si="2"/>
        <v>715</v>
      </c>
      <c r="B716" s="154"/>
      <c r="C716" s="154" t="s">
        <v>208</v>
      </c>
      <c r="D716" s="154" t="s">
        <v>208</v>
      </c>
      <c r="E716" s="154"/>
      <c r="F716" s="154" t="s">
        <v>208</v>
      </c>
      <c r="G716" s="154" t="s">
        <v>208</v>
      </c>
      <c r="H716" s="153"/>
      <c r="I716" s="155"/>
      <c r="J716" s="155"/>
      <c r="K716" s="158" t="s">
        <v>244</v>
      </c>
      <c r="R716" s="163"/>
      <c r="S716" s="163"/>
    </row>
    <row r="717">
      <c r="A717" s="177">
        <f t="shared" si="2"/>
        <v>716</v>
      </c>
      <c r="B717" s="154"/>
      <c r="C717" s="154"/>
      <c r="D717" s="154" t="s">
        <v>208</v>
      </c>
      <c r="E717" s="154" t="s">
        <v>208</v>
      </c>
      <c r="F717" s="154" t="s">
        <v>208</v>
      </c>
      <c r="G717" s="154"/>
      <c r="H717" s="154" t="s">
        <v>208</v>
      </c>
      <c r="I717" s="155"/>
      <c r="J717" s="155"/>
      <c r="K717" s="158" t="s">
        <v>244</v>
      </c>
      <c r="R717" s="163"/>
      <c r="S717" s="163"/>
    </row>
    <row r="718">
      <c r="A718" s="153">
        <f t="shared" si="2"/>
        <v>717</v>
      </c>
      <c r="B718" s="154"/>
      <c r="C718" s="154" t="s">
        <v>208</v>
      </c>
      <c r="D718" s="154" t="s">
        <v>208</v>
      </c>
      <c r="E718" s="154"/>
      <c r="F718" s="154" t="s">
        <v>208</v>
      </c>
      <c r="G718" s="154" t="s">
        <v>208</v>
      </c>
      <c r="H718" s="153"/>
      <c r="I718" s="155"/>
      <c r="J718" s="155"/>
      <c r="K718" s="158" t="s">
        <v>244</v>
      </c>
      <c r="R718" s="163"/>
      <c r="S718" s="163"/>
    </row>
    <row r="719">
      <c r="A719" s="153">
        <f t="shared" si="2"/>
        <v>718</v>
      </c>
      <c r="B719" s="154"/>
      <c r="C719" s="154" t="s">
        <v>208</v>
      </c>
      <c r="D719" s="154" t="s">
        <v>208</v>
      </c>
      <c r="E719" s="154"/>
      <c r="F719" s="154" t="s">
        <v>208</v>
      </c>
      <c r="G719" s="154" t="s">
        <v>208</v>
      </c>
      <c r="H719" s="153"/>
      <c r="I719" s="155"/>
      <c r="J719" s="155"/>
      <c r="K719" s="158" t="s">
        <v>244</v>
      </c>
      <c r="R719" s="163"/>
      <c r="S719" s="163"/>
    </row>
    <row r="720">
      <c r="A720" s="153">
        <f t="shared" si="2"/>
        <v>719</v>
      </c>
      <c r="B720" s="154"/>
      <c r="C720" s="154" t="s">
        <v>208</v>
      </c>
      <c r="D720" s="154" t="s">
        <v>208</v>
      </c>
      <c r="E720" s="154"/>
      <c r="F720" s="154" t="s">
        <v>208</v>
      </c>
      <c r="G720" s="154" t="s">
        <v>208</v>
      </c>
      <c r="H720" s="154"/>
      <c r="I720" s="155"/>
      <c r="J720" s="155"/>
      <c r="K720" s="158" t="s">
        <v>244</v>
      </c>
      <c r="R720" s="173"/>
      <c r="S720" s="173"/>
    </row>
    <row r="721">
      <c r="A721" s="153">
        <f t="shared" si="2"/>
        <v>720</v>
      </c>
      <c r="B721" s="154"/>
      <c r="C721" s="154" t="s">
        <v>208</v>
      </c>
      <c r="D721" s="154" t="s">
        <v>208</v>
      </c>
      <c r="E721" s="154" t="s">
        <v>208</v>
      </c>
      <c r="F721" s="154" t="s">
        <v>208</v>
      </c>
      <c r="G721" s="154" t="s">
        <v>208</v>
      </c>
      <c r="H721" s="153"/>
      <c r="I721" s="155"/>
      <c r="J721" s="154"/>
      <c r="K721" s="158" t="s">
        <v>244</v>
      </c>
      <c r="R721" s="157"/>
      <c r="S721" s="157"/>
    </row>
    <row r="722">
      <c r="A722" s="153">
        <f t="shared" si="2"/>
        <v>721</v>
      </c>
      <c r="B722" s="154"/>
      <c r="C722" s="154" t="s">
        <v>208</v>
      </c>
      <c r="D722" s="154" t="s">
        <v>208</v>
      </c>
      <c r="E722" s="154" t="s">
        <v>208</v>
      </c>
      <c r="F722" s="154" t="s">
        <v>208</v>
      </c>
      <c r="G722" s="154" t="s">
        <v>208</v>
      </c>
      <c r="H722" s="153"/>
      <c r="I722" s="155"/>
      <c r="J722" s="154"/>
      <c r="K722" s="158" t="s">
        <v>244</v>
      </c>
      <c r="R722" s="163"/>
      <c r="S722" s="163"/>
    </row>
    <row r="723">
      <c r="A723" s="153">
        <f t="shared" si="2"/>
        <v>722</v>
      </c>
      <c r="B723" s="155"/>
      <c r="C723" s="154" t="s">
        <v>208</v>
      </c>
      <c r="D723" s="154" t="s">
        <v>208</v>
      </c>
      <c r="E723" s="154" t="s">
        <v>208</v>
      </c>
      <c r="F723" s="154" t="s">
        <v>208</v>
      </c>
      <c r="G723" s="154" t="s">
        <v>208</v>
      </c>
      <c r="H723" s="155"/>
      <c r="I723" s="155"/>
      <c r="J723" s="154"/>
      <c r="K723" s="158" t="s">
        <v>244</v>
      </c>
      <c r="R723" s="163"/>
      <c r="S723" s="163"/>
    </row>
    <row r="724">
      <c r="A724" s="153">
        <f t="shared" si="2"/>
        <v>723</v>
      </c>
      <c r="B724" s="154"/>
      <c r="C724" s="154" t="s">
        <v>208</v>
      </c>
      <c r="D724" s="154" t="s">
        <v>208</v>
      </c>
      <c r="E724" s="154" t="s">
        <v>208</v>
      </c>
      <c r="F724" s="154" t="s">
        <v>208</v>
      </c>
      <c r="G724" s="154" t="s">
        <v>208</v>
      </c>
      <c r="H724" s="155"/>
      <c r="I724" s="155"/>
      <c r="J724" s="155"/>
      <c r="K724" s="158" t="s">
        <v>244</v>
      </c>
      <c r="R724" s="163"/>
      <c r="S724" s="163"/>
    </row>
    <row r="725">
      <c r="A725" s="153">
        <f t="shared" si="2"/>
        <v>724</v>
      </c>
      <c r="B725" s="154"/>
      <c r="C725" s="154" t="s">
        <v>208</v>
      </c>
      <c r="D725" s="154" t="s">
        <v>208</v>
      </c>
      <c r="E725" s="154" t="s">
        <v>208</v>
      </c>
      <c r="F725" s="154" t="s">
        <v>208</v>
      </c>
      <c r="G725" s="154" t="s">
        <v>208</v>
      </c>
      <c r="H725" s="155"/>
      <c r="I725" s="155"/>
      <c r="J725" s="155"/>
      <c r="K725" s="158" t="s">
        <v>244</v>
      </c>
      <c r="R725" s="163"/>
      <c r="S725" s="163"/>
    </row>
    <row r="726">
      <c r="A726" s="177">
        <f t="shared" si="2"/>
        <v>725</v>
      </c>
      <c r="B726" s="154"/>
      <c r="C726" s="154"/>
      <c r="D726" s="154" t="s">
        <v>208</v>
      </c>
      <c r="E726" s="154" t="s">
        <v>208</v>
      </c>
      <c r="F726" s="154" t="s">
        <v>208</v>
      </c>
      <c r="G726" s="155"/>
      <c r="H726" s="154" t="s">
        <v>208</v>
      </c>
      <c r="I726" s="155"/>
      <c r="J726" s="155"/>
      <c r="K726" s="158" t="s">
        <v>244</v>
      </c>
      <c r="R726" s="163"/>
      <c r="S726" s="163"/>
    </row>
    <row r="727">
      <c r="A727" s="153">
        <f t="shared" si="2"/>
        <v>726</v>
      </c>
      <c r="B727" s="154"/>
      <c r="C727" s="154" t="s">
        <v>208</v>
      </c>
      <c r="D727" s="154" t="s">
        <v>208</v>
      </c>
      <c r="E727" s="154" t="s">
        <v>208</v>
      </c>
      <c r="F727" s="154" t="s">
        <v>208</v>
      </c>
      <c r="G727" s="154" t="s">
        <v>208</v>
      </c>
      <c r="H727" s="155"/>
      <c r="I727" s="155"/>
      <c r="J727" s="155"/>
      <c r="K727" s="158" t="s">
        <v>244</v>
      </c>
      <c r="R727" s="163"/>
      <c r="S727" s="163"/>
    </row>
    <row r="728">
      <c r="A728" s="153">
        <f t="shared" si="2"/>
        <v>727</v>
      </c>
      <c r="B728" s="154"/>
      <c r="C728" s="154" t="s">
        <v>208</v>
      </c>
      <c r="D728" s="154" t="s">
        <v>208</v>
      </c>
      <c r="E728" s="154" t="s">
        <v>208</v>
      </c>
      <c r="F728" s="154" t="s">
        <v>208</v>
      </c>
      <c r="G728" s="154" t="s">
        <v>208</v>
      </c>
      <c r="H728" s="155"/>
      <c r="I728" s="155"/>
      <c r="J728" s="155"/>
      <c r="K728" s="158" t="s">
        <v>244</v>
      </c>
      <c r="R728" s="163"/>
      <c r="S728" s="163"/>
    </row>
    <row r="729">
      <c r="A729" s="153">
        <f t="shared" si="2"/>
        <v>728</v>
      </c>
      <c r="B729" s="154"/>
      <c r="C729" s="154" t="s">
        <v>208</v>
      </c>
      <c r="D729" s="154" t="s">
        <v>208</v>
      </c>
      <c r="E729" s="154" t="s">
        <v>208</v>
      </c>
      <c r="F729" s="154" t="s">
        <v>208</v>
      </c>
      <c r="G729" s="154" t="s">
        <v>208</v>
      </c>
      <c r="H729" s="155"/>
      <c r="I729" s="155"/>
      <c r="J729" s="155"/>
      <c r="K729" s="158" t="s">
        <v>244</v>
      </c>
      <c r="R729" s="163"/>
      <c r="S729" s="163"/>
    </row>
    <row r="730">
      <c r="A730" s="153">
        <f t="shared" si="2"/>
        <v>729</v>
      </c>
      <c r="B730" s="154"/>
      <c r="C730" s="154" t="s">
        <v>208</v>
      </c>
      <c r="D730" s="154" t="s">
        <v>208</v>
      </c>
      <c r="E730" s="154" t="s">
        <v>208</v>
      </c>
      <c r="F730" s="154" t="s">
        <v>208</v>
      </c>
      <c r="G730" s="154" t="s">
        <v>208</v>
      </c>
      <c r="H730" s="155"/>
      <c r="I730" s="155"/>
      <c r="J730" s="155"/>
      <c r="K730" s="158" t="s">
        <v>244</v>
      </c>
      <c r="R730" s="163"/>
      <c r="S730" s="163"/>
    </row>
    <row r="731">
      <c r="A731" s="153">
        <f t="shared" si="2"/>
        <v>730</v>
      </c>
      <c r="B731" s="154"/>
      <c r="C731" s="154" t="s">
        <v>208</v>
      </c>
      <c r="D731" s="154" t="s">
        <v>208</v>
      </c>
      <c r="E731" s="154" t="s">
        <v>208</v>
      </c>
      <c r="F731" s="154" t="s">
        <v>208</v>
      </c>
      <c r="G731" s="154" t="s">
        <v>208</v>
      </c>
      <c r="H731" s="155"/>
      <c r="I731" s="155"/>
      <c r="J731" s="155"/>
      <c r="K731" s="158" t="s">
        <v>244</v>
      </c>
      <c r="R731" s="163"/>
      <c r="S731" s="163"/>
    </row>
    <row r="732">
      <c r="A732" s="153">
        <f t="shared" si="2"/>
        <v>731</v>
      </c>
      <c r="B732" s="154"/>
      <c r="C732" s="154" t="s">
        <v>208</v>
      </c>
      <c r="D732" s="154" t="s">
        <v>208</v>
      </c>
      <c r="E732" s="154" t="s">
        <v>208</v>
      </c>
      <c r="F732" s="154" t="s">
        <v>208</v>
      </c>
      <c r="G732" s="154" t="s">
        <v>208</v>
      </c>
      <c r="H732" s="155"/>
      <c r="I732" s="155"/>
      <c r="J732" s="155"/>
      <c r="K732" s="158" t="s">
        <v>244</v>
      </c>
      <c r="R732" s="173"/>
      <c r="S732" s="173"/>
    </row>
    <row r="733">
      <c r="A733" s="153">
        <f t="shared" si="2"/>
        <v>732</v>
      </c>
      <c r="B733" s="154"/>
      <c r="C733" s="154" t="s">
        <v>208</v>
      </c>
      <c r="D733" s="154" t="s">
        <v>208</v>
      </c>
      <c r="E733" s="154" t="s">
        <v>208</v>
      </c>
      <c r="F733" s="154" t="s">
        <v>208</v>
      </c>
      <c r="G733" s="154" t="s">
        <v>208</v>
      </c>
      <c r="H733" s="155"/>
      <c r="I733" s="155"/>
      <c r="J733" s="155"/>
      <c r="K733" s="158" t="s">
        <v>244</v>
      </c>
      <c r="R733" s="157"/>
      <c r="S733" s="157"/>
    </row>
    <row r="734">
      <c r="A734" s="177">
        <f t="shared" si="2"/>
        <v>733</v>
      </c>
      <c r="B734" s="154"/>
      <c r="C734" s="154"/>
      <c r="D734" s="154" t="s">
        <v>208</v>
      </c>
      <c r="E734" s="154" t="s">
        <v>208</v>
      </c>
      <c r="F734" s="154" t="s">
        <v>208</v>
      </c>
      <c r="G734" s="154"/>
      <c r="H734" s="154" t="s">
        <v>208</v>
      </c>
      <c r="I734" s="155"/>
      <c r="J734" s="155"/>
      <c r="K734" s="158" t="s">
        <v>244</v>
      </c>
      <c r="R734" s="163"/>
      <c r="S734" s="163"/>
    </row>
    <row r="735">
      <c r="A735" s="153">
        <f t="shared" si="2"/>
        <v>734</v>
      </c>
      <c r="B735" s="154"/>
      <c r="C735" s="154"/>
      <c r="D735" s="154"/>
      <c r="E735" s="154"/>
      <c r="F735" s="154"/>
      <c r="G735" s="155"/>
      <c r="H735" s="153"/>
      <c r="I735" s="155"/>
      <c r="J735" s="154" t="s">
        <v>217</v>
      </c>
      <c r="K735" s="158" t="s">
        <v>244</v>
      </c>
      <c r="R735" s="163"/>
      <c r="S735" s="163"/>
    </row>
    <row r="736">
      <c r="A736" s="153">
        <f t="shared" si="2"/>
        <v>735</v>
      </c>
      <c r="B736" s="154"/>
      <c r="C736" s="154"/>
      <c r="D736" s="154"/>
      <c r="E736" s="154"/>
      <c r="F736" s="154"/>
      <c r="G736" s="155"/>
      <c r="H736" s="153"/>
      <c r="I736" s="155"/>
      <c r="J736" s="154" t="s">
        <v>217</v>
      </c>
      <c r="K736" s="158" t="s">
        <v>244</v>
      </c>
      <c r="R736" s="163"/>
      <c r="S736" s="163"/>
    </row>
    <row r="737">
      <c r="A737" s="177">
        <f t="shared" si="2"/>
        <v>736</v>
      </c>
      <c r="B737" s="154"/>
      <c r="C737" s="154"/>
      <c r="D737" s="154" t="s">
        <v>208</v>
      </c>
      <c r="E737" s="154" t="s">
        <v>208</v>
      </c>
      <c r="F737" s="154" t="s">
        <v>208</v>
      </c>
      <c r="G737" s="155"/>
      <c r="H737" s="154" t="s">
        <v>208</v>
      </c>
      <c r="I737" s="155"/>
      <c r="J737" s="154"/>
      <c r="K737" s="158" t="s">
        <v>244</v>
      </c>
      <c r="R737" s="163"/>
      <c r="S737" s="163"/>
    </row>
    <row r="738">
      <c r="A738" s="153">
        <f t="shared" si="2"/>
        <v>737</v>
      </c>
      <c r="B738" s="154"/>
      <c r="C738" s="154" t="s">
        <v>208</v>
      </c>
      <c r="D738" s="154" t="s">
        <v>208</v>
      </c>
      <c r="E738" s="154" t="s">
        <v>208</v>
      </c>
      <c r="F738" s="154" t="s">
        <v>208</v>
      </c>
      <c r="G738" s="154" t="s">
        <v>208</v>
      </c>
      <c r="H738" s="153"/>
      <c r="I738" s="155"/>
      <c r="J738" s="155"/>
      <c r="K738" s="158" t="s">
        <v>244</v>
      </c>
      <c r="R738" s="163"/>
      <c r="S738" s="163"/>
    </row>
    <row r="739">
      <c r="A739" s="153">
        <f t="shared" si="2"/>
        <v>738</v>
      </c>
      <c r="B739" s="154"/>
      <c r="C739" s="154" t="s">
        <v>208</v>
      </c>
      <c r="D739" s="154" t="s">
        <v>208</v>
      </c>
      <c r="E739" s="154" t="s">
        <v>208</v>
      </c>
      <c r="F739" s="154" t="s">
        <v>208</v>
      </c>
      <c r="G739" s="154" t="s">
        <v>208</v>
      </c>
      <c r="H739" s="155"/>
      <c r="I739" s="155"/>
      <c r="J739" s="155"/>
      <c r="K739" s="158" t="s">
        <v>244</v>
      </c>
      <c r="R739" s="163"/>
      <c r="S739" s="163"/>
    </row>
    <row r="740">
      <c r="A740" s="153">
        <f t="shared" si="2"/>
        <v>739</v>
      </c>
      <c r="B740" s="154"/>
      <c r="C740" s="154" t="s">
        <v>208</v>
      </c>
      <c r="D740" s="154" t="s">
        <v>208</v>
      </c>
      <c r="E740" s="154" t="s">
        <v>208</v>
      </c>
      <c r="F740" s="154" t="s">
        <v>208</v>
      </c>
      <c r="G740" s="154" t="s">
        <v>208</v>
      </c>
      <c r="H740" s="155"/>
      <c r="I740" s="155"/>
      <c r="J740" s="155"/>
      <c r="K740" s="158" t="s">
        <v>244</v>
      </c>
      <c r="R740" s="163"/>
      <c r="S740" s="163"/>
    </row>
    <row r="741">
      <c r="A741" s="153">
        <f t="shared" si="2"/>
        <v>740</v>
      </c>
      <c r="B741" s="154"/>
      <c r="C741" s="154" t="s">
        <v>208</v>
      </c>
      <c r="D741" s="154" t="s">
        <v>208</v>
      </c>
      <c r="E741" s="154" t="s">
        <v>208</v>
      </c>
      <c r="F741" s="154" t="s">
        <v>208</v>
      </c>
      <c r="G741" s="154" t="s">
        <v>208</v>
      </c>
      <c r="H741" s="155"/>
      <c r="I741" s="155"/>
      <c r="J741" s="155"/>
      <c r="K741" s="158" t="s">
        <v>244</v>
      </c>
      <c r="R741" s="163"/>
      <c r="S741" s="163"/>
    </row>
    <row r="742">
      <c r="A742" s="153">
        <f t="shared" si="2"/>
        <v>741</v>
      </c>
      <c r="B742" s="154"/>
      <c r="C742" s="154" t="s">
        <v>208</v>
      </c>
      <c r="D742" s="154" t="s">
        <v>208</v>
      </c>
      <c r="E742" s="154" t="s">
        <v>208</v>
      </c>
      <c r="F742" s="154" t="s">
        <v>208</v>
      </c>
      <c r="G742" s="154" t="s">
        <v>208</v>
      </c>
      <c r="H742" s="155"/>
      <c r="I742" s="155"/>
      <c r="J742" s="155"/>
      <c r="K742" s="158" t="s">
        <v>244</v>
      </c>
      <c r="R742" s="163"/>
      <c r="S742" s="163"/>
    </row>
    <row r="743">
      <c r="A743" s="153">
        <f t="shared" si="2"/>
        <v>742</v>
      </c>
      <c r="B743" s="154"/>
      <c r="C743" s="154" t="s">
        <v>208</v>
      </c>
      <c r="D743" s="154" t="s">
        <v>208</v>
      </c>
      <c r="E743" s="154" t="s">
        <v>208</v>
      </c>
      <c r="F743" s="154" t="s">
        <v>208</v>
      </c>
      <c r="G743" s="154" t="s">
        <v>208</v>
      </c>
      <c r="H743" s="155"/>
      <c r="I743" s="155"/>
      <c r="J743" s="155"/>
      <c r="K743" s="158" t="s">
        <v>244</v>
      </c>
      <c r="R743" s="163"/>
      <c r="S743" s="163"/>
    </row>
    <row r="744">
      <c r="A744" s="153">
        <f t="shared" si="2"/>
        <v>743</v>
      </c>
      <c r="B744" s="154"/>
      <c r="C744" s="154"/>
      <c r="D744" s="154"/>
      <c r="E744" s="154"/>
      <c r="F744" s="154"/>
      <c r="G744" s="155"/>
      <c r="H744" s="154"/>
      <c r="I744" s="155"/>
      <c r="J744" s="154" t="s">
        <v>217</v>
      </c>
      <c r="K744" s="158" t="s">
        <v>244</v>
      </c>
      <c r="R744" s="173"/>
      <c r="S744" s="173"/>
    </row>
    <row r="745">
      <c r="A745" s="153">
        <f t="shared" si="2"/>
        <v>744</v>
      </c>
      <c r="B745" s="154"/>
      <c r="C745" s="154"/>
      <c r="D745" s="154"/>
      <c r="E745" s="154"/>
      <c r="F745" s="154"/>
      <c r="G745" s="154"/>
      <c r="H745" s="155"/>
      <c r="I745" s="155"/>
      <c r="J745" s="154" t="s">
        <v>217</v>
      </c>
      <c r="K745" s="158" t="s">
        <v>244</v>
      </c>
      <c r="R745" s="157"/>
      <c r="S745" s="157"/>
    </row>
    <row r="746">
      <c r="A746" s="153">
        <f t="shared" si="2"/>
        <v>745</v>
      </c>
      <c r="B746" s="154"/>
      <c r="C746" s="154" t="s">
        <v>208</v>
      </c>
      <c r="D746" s="154" t="s">
        <v>208</v>
      </c>
      <c r="E746" s="154" t="s">
        <v>208</v>
      </c>
      <c r="F746" s="154" t="s">
        <v>208</v>
      </c>
      <c r="G746" s="154" t="s">
        <v>208</v>
      </c>
      <c r="H746" s="155"/>
      <c r="I746" s="155"/>
      <c r="J746" s="155"/>
      <c r="K746" s="158" t="s">
        <v>244</v>
      </c>
      <c r="R746" s="163"/>
      <c r="S746" s="163"/>
    </row>
    <row r="747">
      <c r="A747" s="153">
        <f t="shared" si="2"/>
        <v>746</v>
      </c>
      <c r="B747" s="154"/>
      <c r="C747" s="154" t="s">
        <v>208</v>
      </c>
      <c r="D747" s="154" t="s">
        <v>208</v>
      </c>
      <c r="E747" s="154" t="s">
        <v>208</v>
      </c>
      <c r="F747" s="154" t="s">
        <v>208</v>
      </c>
      <c r="G747" s="154" t="s">
        <v>208</v>
      </c>
      <c r="H747" s="155"/>
      <c r="I747" s="155"/>
      <c r="J747" s="155"/>
      <c r="K747" s="158" t="s">
        <v>244</v>
      </c>
      <c r="R747" s="163"/>
      <c r="S747" s="163"/>
    </row>
    <row r="748">
      <c r="A748" s="153">
        <f t="shared" si="2"/>
        <v>747</v>
      </c>
      <c r="B748" s="154"/>
      <c r="C748" s="154" t="s">
        <v>208</v>
      </c>
      <c r="D748" s="154" t="s">
        <v>208</v>
      </c>
      <c r="E748" s="154" t="s">
        <v>208</v>
      </c>
      <c r="F748" s="154" t="s">
        <v>208</v>
      </c>
      <c r="G748" s="154" t="s">
        <v>208</v>
      </c>
      <c r="H748" s="155"/>
      <c r="I748" s="155"/>
      <c r="J748" s="155"/>
      <c r="K748" s="158" t="s">
        <v>244</v>
      </c>
      <c r="R748" s="163"/>
      <c r="S748" s="163"/>
    </row>
    <row r="749">
      <c r="A749" s="153">
        <f t="shared" si="2"/>
        <v>748</v>
      </c>
      <c r="B749" s="154"/>
      <c r="C749" s="154" t="s">
        <v>208</v>
      </c>
      <c r="D749" s="154" t="s">
        <v>208</v>
      </c>
      <c r="E749" s="154" t="s">
        <v>208</v>
      </c>
      <c r="F749" s="154" t="s">
        <v>208</v>
      </c>
      <c r="G749" s="154" t="s">
        <v>208</v>
      </c>
      <c r="H749" s="155"/>
      <c r="I749" s="155"/>
      <c r="J749" s="155"/>
      <c r="K749" s="158" t="s">
        <v>244</v>
      </c>
      <c r="R749" s="163"/>
      <c r="S749" s="163"/>
    </row>
    <row r="750">
      <c r="A750" s="153">
        <f t="shared" si="2"/>
        <v>749</v>
      </c>
      <c r="B750" s="155"/>
      <c r="C750" s="154" t="s">
        <v>208</v>
      </c>
      <c r="D750" s="154" t="s">
        <v>208</v>
      </c>
      <c r="E750" s="154" t="s">
        <v>208</v>
      </c>
      <c r="F750" s="154" t="s">
        <v>208</v>
      </c>
      <c r="G750" s="154" t="s">
        <v>208</v>
      </c>
      <c r="H750" s="154"/>
      <c r="I750" s="154"/>
      <c r="J750" s="155"/>
      <c r="K750" s="158" t="s">
        <v>244</v>
      </c>
      <c r="R750" s="163"/>
      <c r="S750" s="163"/>
    </row>
    <row r="751">
      <c r="A751" s="153">
        <f t="shared" si="2"/>
        <v>750</v>
      </c>
      <c r="B751" s="154"/>
      <c r="C751" s="154" t="s">
        <v>208</v>
      </c>
      <c r="D751" s="154" t="s">
        <v>208</v>
      </c>
      <c r="E751" s="154" t="s">
        <v>208</v>
      </c>
      <c r="F751" s="154" t="s">
        <v>208</v>
      </c>
      <c r="G751" s="154" t="s">
        <v>208</v>
      </c>
      <c r="H751" s="155"/>
      <c r="I751" s="155"/>
      <c r="J751" s="155"/>
      <c r="K751" s="158" t="s">
        <v>244</v>
      </c>
      <c r="R751" s="163"/>
      <c r="S751" s="163"/>
    </row>
    <row r="752">
      <c r="A752" s="153">
        <f t="shared" si="2"/>
        <v>751</v>
      </c>
      <c r="B752" s="154"/>
      <c r="C752" s="154" t="s">
        <v>208</v>
      </c>
      <c r="D752" s="154" t="s">
        <v>208</v>
      </c>
      <c r="E752" s="154" t="s">
        <v>208</v>
      </c>
      <c r="F752" s="154" t="s">
        <v>208</v>
      </c>
      <c r="G752" s="154" t="s">
        <v>208</v>
      </c>
      <c r="H752" s="153"/>
      <c r="I752" s="154"/>
      <c r="J752" s="155"/>
      <c r="K752" s="158" t="s">
        <v>244</v>
      </c>
      <c r="R752" s="163"/>
      <c r="S752" s="163"/>
    </row>
    <row r="753">
      <c r="A753" s="177">
        <f t="shared" si="2"/>
        <v>752</v>
      </c>
      <c r="B753" s="154"/>
      <c r="C753" s="154"/>
      <c r="D753" s="154" t="s">
        <v>208</v>
      </c>
      <c r="E753" s="154" t="s">
        <v>208</v>
      </c>
      <c r="F753" s="154" t="s">
        <v>208</v>
      </c>
      <c r="G753" s="155"/>
      <c r="H753" s="154" t="s">
        <v>208</v>
      </c>
      <c r="I753" s="155"/>
      <c r="J753" s="154"/>
      <c r="K753" s="158" t="s">
        <v>244</v>
      </c>
      <c r="R753" s="163"/>
      <c r="S753" s="163"/>
    </row>
    <row r="754">
      <c r="A754" s="153">
        <f t="shared" si="2"/>
        <v>753</v>
      </c>
      <c r="B754" s="154"/>
      <c r="C754" s="154" t="s">
        <v>208</v>
      </c>
      <c r="D754" s="154" t="s">
        <v>208</v>
      </c>
      <c r="E754" s="154" t="s">
        <v>208</v>
      </c>
      <c r="F754" s="154" t="s">
        <v>208</v>
      </c>
      <c r="G754" s="154" t="s">
        <v>208</v>
      </c>
      <c r="H754" s="155"/>
      <c r="I754" s="155"/>
      <c r="J754" s="155"/>
      <c r="K754" s="158" t="s">
        <v>244</v>
      </c>
      <c r="R754" s="163"/>
      <c r="S754" s="163"/>
    </row>
    <row r="755">
      <c r="A755" s="153">
        <f t="shared" si="2"/>
        <v>754</v>
      </c>
      <c r="B755" s="155"/>
      <c r="C755" s="154" t="s">
        <v>208</v>
      </c>
      <c r="D755" s="154" t="s">
        <v>208</v>
      </c>
      <c r="E755" s="154" t="s">
        <v>208</v>
      </c>
      <c r="F755" s="154" t="s">
        <v>208</v>
      </c>
      <c r="G755" s="154" t="s">
        <v>208</v>
      </c>
      <c r="H755" s="155"/>
      <c r="I755" s="155"/>
      <c r="J755" s="155"/>
      <c r="K755" s="158" t="s">
        <v>244</v>
      </c>
      <c r="R755" s="163"/>
      <c r="S755" s="163"/>
    </row>
    <row r="756">
      <c r="A756" s="153">
        <f t="shared" si="2"/>
        <v>755</v>
      </c>
      <c r="B756" s="154"/>
      <c r="C756" s="154" t="s">
        <v>208</v>
      </c>
      <c r="D756" s="154" t="s">
        <v>208</v>
      </c>
      <c r="E756" s="154" t="s">
        <v>208</v>
      </c>
      <c r="F756" s="154" t="s">
        <v>208</v>
      </c>
      <c r="G756" s="154" t="s">
        <v>208</v>
      </c>
      <c r="H756" s="155"/>
      <c r="I756" s="155"/>
      <c r="J756" s="155"/>
      <c r="K756" s="158" t="s">
        <v>244</v>
      </c>
      <c r="R756" s="173"/>
      <c r="S756" s="173"/>
    </row>
    <row r="757">
      <c r="A757" s="153">
        <f t="shared" si="2"/>
        <v>756</v>
      </c>
      <c r="B757" s="154"/>
      <c r="C757" s="154" t="s">
        <v>208</v>
      </c>
      <c r="D757" s="154" t="s">
        <v>208</v>
      </c>
      <c r="E757" s="154" t="s">
        <v>208</v>
      </c>
      <c r="F757" s="154" t="s">
        <v>208</v>
      </c>
      <c r="G757" s="154" t="s">
        <v>208</v>
      </c>
      <c r="H757" s="155"/>
      <c r="I757" s="155"/>
      <c r="J757" s="155"/>
      <c r="K757" s="158" t="s">
        <v>244</v>
      </c>
      <c r="R757" s="157"/>
      <c r="S757" s="157"/>
    </row>
    <row r="758">
      <c r="A758" s="153">
        <f t="shared" si="2"/>
        <v>757</v>
      </c>
      <c r="B758" s="154"/>
      <c r="C758" s="154" t="s">
        <v>208</v>
      </c>
      <c r="D758" s="154" t="s">
        <v>208</v>
      </c>
      <c r="E758" s="154" t="s">
        <v>208</v>
      </c>
      <c r="F758" s="154" t="s">
        <v>208</v>
      </c>
      <c r="G758" s="154" t="s">
        <v>208</v>
      </c>
      <c r="H758" s="155"/>
      <c r="I758" s="155"/>
      <c r="J758" s="155"/>
      <c r="K758" s="158" t="s">
        <v>244</v>
      </c>
      <c r="R758" s="163"/>
      <c r="S758" s="163"/>
    </row>
    <row r="759">
      <c r="A759" s="153">
        <f t="shared" si="2"/>
        <v>758</v>
      </c>
      <c r="B759" s="155"/>
      <c r="C759" s="154" t="s">
        <v>208</v>
      </c>
      <c r="D759" s="154" t="s">
        <v>208</v>
      </c>
      <c r="E759" s="154" t="s">
        <v>208</v>
      </c>
      <c r="F759" s="154" t="s">
        <v>208</v>
      </c>
      <c r="G759" s="154" t="s">
        <v>208</v>
      </c>
      <c r="H759" s="155"/>
      <c r="I759" s="155"/>
      <c r="J759" s="155"/>
      <c r="K759" s="158" t="s">
        <v>244</v>
      </c>
      <c r="R759" s="163"/>
      <c r="S759" s="163"/>
    </row>
    <row r="760">
      <c r="A760" s="153">
        <f t="shared" si="2"/>
        <v>759</v>
      </c>
      <c r="B760" s="154"/>
      <c r="C760" s="154" t="s">
        <v>208</v>
      </c>
      <c r="D760" s="154" t="s">
        <v>208</v>
      </c>
      <c r="E760" s="154" t="s">
        <v>208</v>
      </c>
      <c r="F760" s="154" t="s">
        <v>208</v>
      </c>
      <c r="G760" s="154" t="s">
        <v>208</v>
      </c>
      <c r="H760" s="155"/>
      <c r="I760" s="155"/>
      <c r="J760" s="155"/>
      <c r="K760" s="158" t="s">
        <v>244</v>
      </c>
      <c r="R760" s="163"/>
      <c r="S760" s="163"/>
    </row>
    <row r="761">
      <c r="A761" s="177">
        <f t="shared" si="2"/>
        <v>760</v>
      </c>
      <c r="B761" s="154"/>
      <c r="C761" s="154"/>
      <c r="D761" s="154" t="s">
        <v>208</v>
      </c>
      <c r="E761" s="154" t="s">
        <v>208</v>
      </c>
      <c r="F761" s="154" t="s">
        <v>208</v>
      </c>
      <c r="G761" s="155"/>
      <c r="H761" s="154" t="s">
        <v>208</v>
      </c>
      <c r="I761" s="155"/>
      <c r="J761" s="155"/>
      <c r="K761" s="158" t="s">
        <v>244</v>
      </c>
      <c r="R761" s="163"/>
      <c r="S761" s="163"/>
    </row>
    <row r="762">
      <c r="A762" s="177">
        <f t="shared" si="2"/>
        <v>761</v>
      </c>
      <c r="B762" s="154"/>
      <c r="C762" s="154"/>
      <c r="D762" s="154" t="s">
        <v>218</v>
      </c>
      <c r="E762" s="154" t="s">
        <v>208</v>
      </c>
      <c r="F762" s="154" t="s">
        <v>208</v>
      </c>
      <c r="G762" s="155"/>
      <c r="H762" s="154" t="s">
        <v>208</v>
      </c>
      <c r="I762" s="155"/>
      <c r="J762" s="155"/>
      <c r="K762" s="158" t="s">
        <v>244</v>
      </c>
      <c r="R762" s="163"/>
      <c r="S762" s="163"/>
    </row>
    <row r="763">
      <c r="A763" s="153">
        <f t="shared" si="2"/>
        <v>762</v>
      </c>
      <c r="B763" s="154"/>
      <c r="C763" s="154" t="s">
        <v>208</v>
      </c>
      <c r="D763" s="154" t="s">
        <v>208</v>
      </c>
      <c r="E763" s="154" t="s">
        <v>208</v>
      </c>
      <c r="F763" s="154" t="s">
        <v>208</v>
      </c>
      <c r="G763" s="154" t="s">
        <v>208</v>
      </c>
      <c r="H763" s="153"/>
      <c r="I763" s="155"/>
      <c r="J763" s="155"/>
      <c r="K763" s="158" t="s">
        <v>244</v>
      </c>
      <c r="R763" s="163"/>
      <c r="S763" s="163"/>
    </row>
    <row r="764">
      <c r="A764" s="153">
        <f t="shared" si="2"/>
        <v>763</v>
      </c>
      <c r="B764" s="154"/>
      <c r="C764" s="154" t="s">
        <v>208</v>
      </c>
      <c r="D764" s="154" t="s">
        <v>208</v>
      </c>
      <c r="E764" s="154" t="s">
        <v>208</v>
      </c>
      <c r="F764" s="154" t="s">
        <v>208</v>
      </c>
      <c r="G764" s="154" t="s">
        <v>208</v>
      </c>
      <c r="H764" s="154"/>
      <c r="I764" s="155"/>
      <c r="J764" s="155"/>
      <c r="K764" s="158" t="s">
        <v>244</v>
      </c>
      <c r="R764" s="163"/>
      <c r="S764" s="163"/>
    </row>
    <row r="765">
      <c r="A765" s="153">
        <f t="shared" si="2"/>
        <v>764</v>
      </c>
      <c r="B765" s="154"/>
      <c r="C765" s="154" t="s">
        <v>208</v>
      </c>
      <c r="D765" s="154" t="s">
        <v>208</v>
      </c>
      <c r="E765" s="154" t="s">
        <v>208</v>
      </c>
      <c r="F765" s="154" t="s">
        <v>208</v>
      </c>
      <c r="G765" s="154" t="s">
        <v>208</v>
      </c>
      <c r="H765" s="154"/>
      <c r="I765" s="155"/>
      <c r="J765" s="155"/>
      <c r="K765" s="158" t="s">
        <v>244</v>
      </c>
      <c r="R765" s="163"/>
      <c r="S765" s="163"/>
    </row>
    <row r="766">
      <c r="A766" s="153">
        <f t="shared" si="2"/>
        <v>765</v>
      </c>
      <c r="B766" s="154"/>
      <c r="C766" s="154" t="s">
        <v>208</v>
      </c>
      <c r="D766" s="154" t="s">
        <v>208</v>
      </c>
      <c r="E766" s="154" t="s">
        <v>208</v>
      </c>
      <c r="F766" s="154" t="s">
        <v>208</v>
      </c>
      <c r="G766" s="154" t="s">
        <v>208</v>
      </c>
      <c r="H766" s="155"/>
      <c r="I766" s="155"/>
      <c r="J766" s="155"/>
      <c r="K766" s="158" t="s">
        <v>244</v>
      </c>
      <c r="R766" s="163"/>
      <c r="S766" s="163"/>
    </row>
    <row r="767">
      <c r="A767" s="153">
        <f t="shared" si="2"/>
        <v>766</v>
      </c>
      <c r="B767" s="154"/>
      <c r="C767" s="154" t="s">
        <v>208</v>
      </c>
      <c r="D767" s="154" t="s">
        <v>208</v>
      </c>
      <c r="E767" s="154" t="s">
        <v>208</v>
      </c>
      <c r="F767" s="154" t="s">
        <v>208</v>
      </c>
      <c r="G767" s="154" t="s">
        <v>208</v>
      </c>
      <c r="H767" s="155"/>
      <c r="I767" s="155"/>
      <c r="J767" s="155"/>
      <c r="K767" s="158" t="s">
        <v>244</v>
      </c>
      <c r="R767" s="163"/>
      <c r="S767" s="163"/>
    </row>
    <row r="768">
      <c r="A768" s="153">
        <f t="shared" si="2"/>
        <v>767</v>
      </c>
      <c r="B768" s="154"/>
      <c r="C768" s="154" t="s">
        <v>208</v>
      </c>
      <c r="D768" s="154" t="s">
        <v>208</v>
      </c>
      <c r="E768" s="154" t="s">
        <v>208</v>
      </c>
      <c r="F768" s="154" t="s">
        <v>208</v>
      </c>
      <c r="G768" s="154" t="s">
        <v>208</v>
      </c>
      <c r="H768" s="155"/>
      <c r="I768" s="155"/>
      <c r="J768" s="154"/>
      <c r="K768" s="158" t="s">
        <v>244</v>
      </c>
      <c r="R768" s="173"/>
      <c r="S768" s="173"/>
    </row>
    <row r="769">
      <c r="A769" s="153">
        <f t="shared" si="2"/>
        <v>768</v>
      </c>
      <c r="B769" s="155"/>
      <c r="C769" s="154" t="s">
        <v>208</v>
      </c>
      <c r="D769" s="154" t="s">
        <v>208</v>
      </c>
      <c r="E769" s="154" t="s">
        <v>208</v>
      </c>
      <c r="F769" s="154" t="s">
        <v>208</v>
      </c>
      <c r="G769" s="154" t="s">
        <v>208</v>
      </c>
      <c r="H769" s="155"/>
      <c r="I769" s="155"/>
      <c r="J769" s="155"/>
      <c r="K769" s="158" t="s">
        <v>244</v>
      </c>
      <c r="R769" s="157"/>
      <c r="S769" s="157"/>
    </row>
    <row r="770">
      <c r="A770" s="153">
        <f t="shared" si="2"/>
        <v>769</v>
      </c>
      <c r="B770" s="154"/>
      <c r="C770" s="154" t="s">
        <v>208</v>
      </c>
      <c r="D770" s="154" t="s">
        <v>208</v>
      </c>
      <c r="E770" s="154" t="s">
        <v>208</v>
      </c>
      <c r="F770" s="154" t="s">
        <v>208</v>
      </c>
      <c r="G770" s="154" t="s">
        <v>208</v>
      </c>
      <c r="H770" s="155"/>
      <c r="I770" s="155"/>
      <c r="J770" s="155"/>
      <c r="K770" s="158" t="s">
        <v>244</v>
      </c>
      <c r="R770" s="163"/>
      <c r="S770" s="163"/>
    </row>
    <row r="771">
      <c r="A771" s="153">
        <f t="shared" si="2"/>
        <v>770</v>
      </c>
      <c r="B771" s="154"/>
      <c r="C771" s="154" t="s">
        <v>208</v>
      </c>
      <c r="D771" s="154" t="s">
        <v>208</v>
      </c>
      <c r="E771" s="154" t="s">
        <v>208</v>
      </c>
      <c r="F771" s="154" t="s">
        <v>208</v>
      </c>
      <c r="G771" s="154" t="s">
        <v>208</v>
      </c>
      <c r="H771" s="155"/>
      <c r="I771" s="155"/>
      <c r="J771" s="155"/>
      <c r="K771" s="158" t="s">
        <v>244</v>
      </c>
      <c r="R771" s="163"/>
      <c r="S771" s="163"/>
    </row>
    <row r="772">
      <c r="A772" s="153">
        <f t="shared" si="2"/>
        <v>771</v>
      </c>
      <c r="B772" s="154"/>
      <c r="C772" s="154" t="s">
        <v>208</v>
      </c>
      <c r="D772" s="154" t="s">
        <v>208</v>
      </c>
      <c r="E772" s="154" t="s">
        <v>208</v>
      </c>
      <c r="F772" s="154" t="s">
        <v>208</v>
      </c>
      <c r="G772" s="154" t="s">
        <v>208</v>
      </c>
      <c r="H772" s="155"/>
      <c r="I772" s="155"/>
      <c r="J772" s="155"/>
      <c r="K772" s="158" t="s">
        <v>244</v>
      </c>
      <c r="R772" s="163"/>
      <c r="S772" s="163"/>
    </row>
    <row r="773">
      <c r="A773" s="153">
        <f t="shared" si="2"/>
        <v>772</v>
      </c>
      <c r="B773" s="154"/>
      <c r="C773" s="154" t="s">
        <v>208</v>
      </c>
      <c r="D773" s="154" t="s">
        <v>208</v>
      </c>
      <c r="E773" s="154" t="s">
        <v>208</v>
      </c>
      <c r="F773" s="154" t="s">
        <v>208</v>
      </c>
      <c r="G773" s="154" t="s">
        <v>208</v>
      </c>
      <c r="H773" s="155"/>
      <c r="I773" s="155"/>
      <c r="J773" s="155"/>
      <c r="K773" s="158" t="s">
        <v>244</v>
      </c>
      <c r="R773" s="163"/>
      <c r="S773" s="163"/>
    </row>
    <row r="774">
      <c r="A774" s="153">
        <f t="shared" si="2"/>
        <v>773</v>
      </c>
      <c r="B774" s="154"/>
      <c r="C774" s="154" t="s">
        <v>208</v>
      </c>
      <c r="D774" s="154" t="s">
        <v>208</v>
      </c>
      <c r="E774" s="154" t="s">
        <v>208</v>
      </c>
      <c r="F774" s="154" t="s">
        <v>208</v>
      </c>
      <c r="G774" s="154" t="s">
        <v>208</v>
      </c>
      <c r="H774" s="155"/>
      <c r="I774" s="155"/>
      <c r="J774" s="154"/>
      <c r="K774" s="158" t="s">
        <v>244</v>
      </c>
      <c r="R774" s="163"/>
      <c r="S774" s="163"/>
    </row>
    <row r="775">
      <c r="A775" s="153">
        <f t="shared" si="2"/>
        <v>774</v>
      </c>
      <c r="B775" s="154"/>
      <c r="C775" s="154" t="s">
        <v>208</v>
      </c>
      <c r="D775" s="154" t="s">
        <v>208</v>
      </c>
      <c r="E775" s="154" t="s">
        <v>208</v>
      </c>
      <c r="F775" s="154" t="s">
        <v>208</v>
      </c>
      <c r="G775" s="154" t="s">
        <v>208</v>
      </c>
      <c r="H775" s="155"/>
      <c r="I775" s="155"/>
      <c r="J775" s="155"/>
      <c r="K775" s="158" t="s">
        <v>244</v>
      </c>
      <c r="R775" s="163"/>
      <c r="S775" s="163"/>
    </row>
    <row r="776">
      <c r="A776" s="153">
        <f t="shared" si="2"/>
        <v>775</v>
      </c>
      <c r="B776" s="154"/>
      <c r="C776" s="154" t="s">
        <v>208</v>
      </c>
      <c r="D776" s="154" t="s">
        <v>208</v>
      </c>
      <c r="E776" s="154" t="s">
        <v>208</v>
      </c>
      <c r="F776" s="154" t="s">
        <v>208</v>
      </c>
      <c r="G776" s="154" t="s">
        <v>208</v>
      </c>
      <c r="H776" s="155"/>
      <c r="I776" s="155"/>
      <c r="J776" s="155"/>
      <c r="K776" s="158" t="s">
        <v>244</v>
      </c>
      <c r="R776" s="163"/>
      <c r="S776" s="163"/>
    </row>
    <row r="777">
      <c r="A777" s="153">
        <f t="shared" si="2"/>
        <v>776</v>
      </c>
      <c r="B777" s="154"/>
      <c r="C777" s="154" t="s">
        <v>208</v>
      </c>
      <c r="D777" s="154" t="s">
        <v>208</v>
      </c>
      <c r="E777" s="154" t="s">
        <v>208</v>
      </c>
      <c r="F777" s="154" t="s">
        <v>208</v>
      </c>
      <c r="G777" s="154" t="s">
        <v>208</v>
      </c>
      <c r="H777" s="155"/>
      <c r="I777" s="155"/>
      <c r="J777" s="155"/>
      <c r="K777" s="158" t="s">
        <v>244</v>
      </c>
      <c r="R777" s="163"/>
      <c r="S777" s="163"/>
    </row>
    <row r="778">
      <c r="A778" s="177">
        <f t="shared" si="2"/>
        <v>777</v>
      </c>
      <c r="B778" s="154"/>
      <c r="C778" s="154"/>
      <c r="D778" s="154" t="s">
        <v>208</v>
      </c>
      <c r="E778" s="154" t="s">
        <v>208</v>
      </c>
      <c r="F778" s="154" t="s">
        <v>208</v>
      </c>
      <c r="G778" s="155"/>
      <c r="H778" s="154" t="s">
        <v>208</v>
      </c>
      <c r="I778" s="155"/>
      <c r="J778" s="155"/>
      <c r="K778" s="158" t="s">
        <v>244</v>
      </c>
      <c r="R778" s="163"/>
      <c r="S778" s="163"/>
    </row>
    <row r="779">
      <c r="A779" s="153">
        <f t="shared" si="2"/>
        <v>778</v>
      </c>
      <c r="B779" s="154"/>
      <c r="C779" s="154" t="s">
        <v>208</v>
      </c>
      <c r="D779" s="154" t="s">
        <v>208</v>
      </c>
      <c r="E779" s="154" t="s">
        <v>208</v>
      </c>
      <c r="F779" s="154" t="s">
        <v>208</v>
      </c>
      <c r="G779" s="154" t="s">
        <v>208</v>
      </c>
      <c r="H779" s="153"/>
      <c r="I779" s="155"/>
      <c r="J779" s="155"/>
      <c r="K779" s="158" t="s">
        <v>244</v>
      </c>
      <c r="R779" s="163"/>
      <c r="S779" s="163"/>
    </row>
    <row r="780">
      <c r="A780" s="153">
        <f t="shared" si="2"/>
        <v>779</v>
      </c>
      <c r="B780" s="154"/>
      <c r="C780" s="154" t="s">
        <v>208</v>
      </c>
      <c r="D780" s="154" t="s">
        <v>208</v>
      </c>
      <c r="E780" s="154" t="s">
        <v>208</v>
      </c>
      <c r="F780" s="154" t="s">
        <v>208</v>
      </c>
      <c r="G780" s="154" t="s">
        <v>208</v>
      </c>
      <c r="H780" s="153"/>
      <c r="I780" s="155"/>
      <c r="J780" s="155"/>
      <c r="K780" s="158" t="s">
        <v>244</v>
      </c>
      <c r="R780" s="173"/>
      <c r="S780" s="173"/>
    </row>
    <row r="781">
      <c r="A781" s="177">
        <f t="shared" si="2"/>
        <v>780</v>
      </c>
      <c r="B781" s="154"/>
      <c r="C781" s="154"/>
      <c r="D781" s="154" t="s">
        <v>208</v>
      </c>
      <c r="E781" s="154" t="s">
        <v>208</v>
      </c>
      <c r="F781" s="154" t="s">
        <v>208</v>
      </c>
      <c r="G781" s="155"/>
      <c r="H781" s="154" t="s">
        <v>208</v>
      </c>
      <c r="I781" s="155"/>
      <c r="J781" s="155"/>
      <c r="K781" s="158" t="s">
        <v>244</v>
      </c>
      <c r="R781" s="157"/>
      <c r="S781" s="157"/>
    </row>
    <row r="782">
      <c r="A782" s="153">
        <f t="shared" si="2"/>
        <v>781</v>
      </c>
      <c r="B782" s="154"/>
      <c r="C782" s="154" t="s">
        <v>208</v>
      </c>
      <c r="D782" s="154" t="s">
        <v>208</v>
      </c>
      <c r="E782" s="154" t="s">
        <v>208</v>
      </c>
      <c r="F782" s="154" t="s">
        <v>208</v>
      </c>
      <c r="G782" s="154" t="s">
        <v>208</v>
      </c>
      <c r="H782" s="153"/>
      <c r="I782" s="155"/>
      <c r="J782" s="155"/>
      <c r="K782" s="158" t="s">
        <v>244</v>
      </c>
      <c r="R782" s="163"/>
      <c r="S782" s="163"/>
    </row>
    <row r="783">
      <c r="A783" s="153">
        <f t="shared" si="2"/>
        <v>782</v>
      </c>
      <c r="B783" s="154"/>
      <c r="C783" s="154" t="s">
        <v>208</v>
      </c>
      <c r="D783" s="154" t="s">
        <v>208</v>
      </c>
      <c r="E783" s="154" t="s">
        <v>208</v>
      </c>
      <c r="F783" s="154" t="s">
        <v>208</v>
      </c>
      <c r="G783" s="154" t="s">
        <v>208</v>
      </c>
      <c r="H783" s="155"/>
      <c r="I783" s="155"/>
      <c r="J783" s="155"/>
      <c r="K783" s="158" t="s">
        <v>244</v>
      </c>
      <c r="R783" s="163"/>
      <c r="S783" s="163"/>
    </row>
    <row r="784">
      <c r="A784" s="153">
        <f t="shared" si="2"/>
        <v>783</v>
      </c>
      <c r="B784" s="154"/>
      <c r="C784" s="154" t="s">
        <v>208</v>
      </c>
      <c r="D784" s="154" t="s">
        <v>208</v>
      </c>
      <c r="E784" s="154" t="s">
        <v>208</v>
      </c>
      <c r="F784" s="154" t="s">
        <v>208</v>
      </c>
      <c r="G784" s="154" t="s">
        <v>208</v>
      </c>
      <c r="H784" s="155"/>
      <c r="I784" s="155"/>
      <c r="J784" s="155"/>
      <c r="K784" s="158" t="s">
        <v>244</v>
      </c>
      <c r="R784" s="163"/>
      <c r="S784" s="163"/>
    </row>
    <row r="785">
      <c r="A785" s="153">
        <f t="shared" si="2"/>
        <v>784</v>
      </c>
      <c r="B785" s="154"/>
      <c r="C785" s="154" t="s">
        <v>208</v>
      </c>
      <c r="D785" s="154" t="s">
        <v>208</v>
      </c>
      <c r="E785" s="154" t="s">
        <v>208</v>
      </c>
      <c r="F785" s="154" t="s">
        <v>208</v>
      </c>
      <c r="G785" s="154" t="s">
        <v>208</v>
      </c>
      <c r="H785" s="155"/>
      <c r="I785" s="155"/>
      <c r="J785" s="155"/>
      <c r="K785" s="158" t="s">
        <v>244</v>
      </c>
      <c r="R785" s="163"/>
      <c r="S785" s="163"/>
    </row>
    <row r="786">
      <c r="A786" s="153">
        <f t="shared" si="2"/>
        <v>785</v>
      </c>
      <c r="B786" s="154"/>
      <c r="C786" s="154" t="s">
        <v>208</v>
      </c>
      <c r="D786" s="154" t="s">
        <v>208</v>
      </c>
      <c r="E786" s="154" t="s">
        <v>208</v>
      </c>
      <c r="F786" s="154" t="s">
        <v>208</v>
      </c>
      <c r="G786" s="154" t="s">
        <v>208</v>
      </c>
      <c r="H786" s="155"/>
      <c r="I786" s="155"/>
      <c r="J786" s="155"/>
      <c r="K786" s="158" t="s">
        <v>244</v>
      </c>
      <c r="R786" s="163"/>
      <c r="S786" s="163"/>
    </row>
    <row r="787">
      <c r="A787" s="153">
        <f t="shared" si="2"/>
        <v>786</v>
      </c>
      <c r="B787" s="154"/>
      <c r="C787" s="154" t="s">
        <v>208</v>
      </c>
      <c r="D787" s="154" t="s">
        <v>208</v>
      </c>
      <c r="E787" s="154" t="s">
        <v>208</v>
      </c>
      <c r="F787" s="154" t="s">
        <v>208</v>
      </c>
      <c r="G787" s="154" t="s">
        <v>208</v>
      </c>
      <c r="H787" s="155"/>
      <c r="I787" s="155"/>
      <c r="J787" s="154"/>
      <c r="K787" s="158" t="s">
        <v>244</v>
      </c>
      <c r="R787" s="163"/>
      <c r="S787" s="163"/>
    </row>
    <row r="788">
      <c r="A788" s="153">
        <f t="shared" si="2"/>
        <v>787</v>
      </c>
      <c r="B788" s="155"/>
      <c r="C788" s="154" t="s">
        <v>208</v>
      </c>
      <c r="D788" s="154" t="s">
        <v>208</v>
      </c>
      <c r="E788" s="154" t="s">
        <v>208</v>
      </c>
      <c r="F788" s="154" t="s">
        <v>208</v>
      </c>
      <c r="G788" s="154" t="s">
        <v>208</v>
      </c>
      <c r="H788" s="155"/>
      <c r="I788" s="155"/>
      <c r="J788" s="155"/>
      <c r="K788" s="158" t="s">
        <v>244</v>
      </c>
      <c r="R788" s="163"/>
      <c r="S788" s="163"/>
    </row>
    <row r="789">
      <c r="A789" s="153">
        <f t="shared" si="2"/>
        <v>788</v>
      </c>
      <c r="B789" s="154"/>
      <c r="C789" s="154" t="s">
        <v>208</v>
      </c>
      <c r="D789" s="154" t="s">
        <v>208</v>
      </c>
      <c r="E789" s="154" t="s">
        <v>208</v>
      </c>
      <c r="F789" s="154" t="s">
        <v>208</v>
      </c>
      <c r="G789" s="154" t="s">
        <v>208</v>
      </c>
      <c r="H789" s="153"/>
      <c r="I789" s="155"/>
      <c r="J789" s="155"/>
      <c r="K789" s="158" t="s">
        <v>244</v>
      </c>
      <c r="R789" s="163"/>
      <c r="S789" s="163"/>
    </row>
    <row r="790">
      <c r="A790" s="153">
        <f t="shared" si="2"/>
        <v>789</v>
      </c>
      <c r="B790" s="155"/>
      <c r="C790" s="154" t="s">
        <v>208</v>
      </c>
      <c r="D790" s="154" t="s">
        <v>208</v>
      </c>
      <c r="E790" s="154" t="s">
        <v>208</v>
      </c>
      <c r="F790" s="154" t="s">
        <v>208</v>
      </c>
      <c r="G790" s="154" t="s">
        <v>208</v>
      </c>
      <c r="H790" s="155"/>
      <c r="I790" s="155"/>
      <c r="J790" s="154"/>
      <c r="K790" s="158" t="s">
        <v>244</v>
      </c>
      <c r="R790" s="163"/>
      <c r="S790" s="163"/>
    </row>
    <row r="791">
      <c r="A791" s="153">
        <f t="shared" si="2"/>
        <v>790</v>
      </c>
      <c r="B791" s="154"/>
      <c r="C791" s="154" t="s">
        <v>208</v>
      </c>
      <c r="D791" s="154" t="s">
        <v>208</v>
      </c>
      <c r="E791" s="154" t="s">
        <v>208</v>
      </c>
      <c r="F791" s="154" t="s">
        <v>208</v>
      </c>
      <c r="G791" s="154" t="s">
        <v>208</v>
      </c>
      <c r="H791" s="155"/>
      <c r="I791" s="155"/>
      <c r="J791" s="155"/>
      <c r="K791" s="158" t="s">
        <v>244</v>
      </c>
      <c r="R791" s="163"/>
      <c r="S791" s="163"/>
    </row>
    <row r="792">
      <c r="A792" s="153">
        <f t="shared" si="2"/>
        <v>791</v>
      </c>
      <c r="B792" s="155"/>
      <c r="C792" s="154" t="s">
        <v>208</v>
      </c>
      <c r="D792" s="154" t="s">
        <v>208</v>
      </c>
      <c r="E792" s="154"/>
      <c r="F792" s="154" t="s">
        <v>208</v>
      </c>
      <c r="G792" s="154" t="s">
        <v>208</v>
      </c>
      <c r="H792" s="154"/>
      <c r="I792" s="155"/>
      <c r="J792" s="155"/>
      <c r="K792" s="158" t="s">
        <v>244</v>
      </c>
      <c r="R792" s="173"/>
      <c r="S792" s="173"/>
    </row>
    <row r="793">
      <c r="A793" s="153">
        <f t="shared" si="2"/>
        <v>792</v>
      </c>
      <c r="B793" s="154"/>
      <c r="C793" s="154" t="s">
        <v>208</v>
      </c>
      <c r="D793" s="154" t="s">
        <v>208</v>
      </c>
      <c r="E793" s="154" t="s">
        <v>208</v>
      </c>
      <c r="F793" s="154" t="s">
        <v>208</v>
      </c>
      <c r="G793" s="154" t="s">
        <v>208</v>
      </c>
      <c r="H793" s="155"/>
      <c r="I793" s="155"/>
      <c r="J793" s="155"/>
      <c r="K793" s="158" t="s">
        <v>244</v>
      </c>
      <c r="R793" s="157"/>
      <c r="S793" s="157"/>
    </row>
    <row r="794">
      <c r="A794" s="153">
        <f t="shared" si="2"/>
        <v>793</v>
      </c>
      <c r="B794" s="154"/>
      <c r="C794" s="154" t="s">
        <v>208</v>
      </c>
      <c r="D794" s="154" t="s">
        <v>208</v>
      </c>
      <c r="E794" s="154" t="s">
        <v>208</v>
      </c>
      <c r="F794" s="154" t="s">
        <v>208</v>
      </c>
      <c r="G794" s="154" t="s">
        <v>208</v>
      </c>
      <c r="H794" s="155"/>
      <c r="I794" s="155"/>
      <c r="J794" s="155"/>
      <c r="K794" s="158" t="s">
        <v>244</v>
      </c>
      <c r="R794" s="163"/>
      <c r="S794" s="163"/>
    </row>
    <row r="795">
      <c r="A795" s="153">
        <f t="shared" si="2"/>
        <v>794</v>
      </c>
      <c r="B795" s="154"/>
      <c r="C795" s="154" t="s">
        <v>208</v>
      </c>
      <c r="D795" s="154" t="s">
        <v>208</v>
      </c>
      <c r="E795" s="154" t="s">
        <v>208</v>
      </c>
      <c r="F795" s="154" t="s">
        <v>208</v>
      </c>
      <c r="G795" s="154" t="s">
        <v>208</v>
      </c>
      <c r="H795" s="155"/>
      <c r="I795" s="155"/>
      <c r="J795" s="155"/>
      <c r="K795" s="158" t="s">
        <v>244</v>
      </c>
      <c r="R795" s="163"/>
      <c r="S795" s="163"/>
    </row>
    <row r="796">
      <c r="A796" s="153">
        <f t="shared" si="2"/>
        <v>795</v>
      </c>
      <c r="B796" s="155"/>
      <c r="C796" s="154" t="s">
        <v>208</v>
      </c>
      <c r="D796" s="154" t="s">
        <v>208</v>
      </c>
      <c r="E796" s="154" t="s">
        <v>208</v>
      </c>
      <c r="F796" s="154" t="s">
        <v>208</v>
      </c>
      <c r="G796" s="154" t="s">
        <v>208</v>
      </c>
      <c r="H796" s="155"/>
      <c r="I796" s="155"/>
      <c r="J796" s="155"/>
      <c r="K796" s="158" t="s">
        <v>244</v>
      </c>
      <c r="R796" s="163"/>
      <c r="S796" s="163"/>
    </row>
    <row r="797">
      <c r="A797" s="153">
        <f t="shared" si="2"/>
        <v>796</v>
      </c>
      <c r="B797" s="154"/>
      <c r="C797" s="154" t="s">
        <v>208</v>
      </c>
      <c r="D797" s="154" t="s">
        <v>208</v>
      </c>
      <c r="E797" s="154" t="s">
        <v>208</v>
      </c>
      <c r="F797" s="154" t="s">
        <v>208</v>
      </c>
      <c r="G797" s="154" t="s">
        <v>208</v>
      </c>
      <c r="H797" s="155"/>
      <c r="I797" s="155"/>
      <c r="J797" s="155"/>
      <c r="K797" s="158" t="s">
        <v>244</v>
      </c>
      <c r="R797" s="163"/>
      <c r="S797" s="163"/>
    </row>
    <row r="798">
      <c r="A798" s="153">
        <f t="shared" si="2"/>
        <v>797</v>
      </c>
      <c r="B798" s="154"/>
      <c r="C798" s="154" t="s">
        <v>208</v>
      </c>
      <c r="D798" s="154" t="s">
        <v>208</v>
      </c>
      <c r="E798" s="154" t="s">
        <v>208</v>
      </c>
      <c r="F798" s="154" t="s">
        <v>208</v>
      </c>
      <c r="G798" s="154" t="s">
        <v>208</v>
      </c>
      <c r="H798" s="153"/>
      <c r="I798" s="155"/>
      <c r="J798" s="154"/>
      <c r="K798" s="158" t="s">
        <v>244</v>
      </c>
      <c r="R798" s="163"/>
      <c r="S798" s="163"/>
    </row>
    <row r="799">
      <c r="A799" s="153">
        <f t="shared" si="2"/>
        <v>798</v>
      </c>
      <c r="B799" s="154"/>
      <c r="C799" s="154" t="s">
        <v>208</v>
      </c>
      <c r="D799" s="154" t="s">
        <v>208</v>
      </c>
      <c r="E799" s="154" t="s">
        <v>208</v>
      </c>
      <c r="F799" s="154" t="s">
        <v>208</v>
      </c>
      <c r="G799" s="154" t="s">
        <v>208</v>
      </c>
      <c r="H799" s="153"/>
      <c r="I799" s="155"/>
      <c r="J799" s="155"/>
      <c r="K799" s="158" t="s">
        <v>244</v>
      </c>
      <c r="R799" s="163"/>
      <c r="S799" s="163"/>
    </row>
    <row r="800">
      <c r="A800" s="153">
        <f t="shared" si="2"/>
        <v>799</v>
      </c>
      <c r="B800" s="154"/>
      <c r="C800" s="154" t="s">
        <v>208</v>
      </c>
      <c r="D800" s="154" t="s">
        <v>208</v>
      </c>
      <c r="E800" s="154" t="s">
        <v>208</v>
      </c>
      <c r="F800" s="154" t="s">
        <v>208</v>
      </c>
      <c r="G800" s="154" t="s">
        <v>208</v>
      </c>
      <c r="H800" s="155"/>
      <c r="I800" s="155"/>
      <c r="J800" s="155"/>
      <c r="K800" s="158" t="s">
        <v>244</v>
      </c>
      <c r="R800" s="163"/>
      <c r="S800" s="163"/>
    </row>
    <row r="801">
      <c r="A801" s="153">
        <f t="shared" si="2"/>
        <v>800</v>
      </c>
      <c r="B801" s="154"/>
      <c r="C801" s="154" t="s">
        <v>208</v>
      </c>
      <c r="D801" s="154" t="s">
        <v>208</v>
      </c>
      <c r="E801" s="154" t="s">
        <v>208</v>
      </c>
      <c r="F801" s="154" t="s">
        <v>208</v>
      </c>
      <c r="G801" s="154" t="s">
        <v>208</v>
      </c>
      <c r="H801" s="155"/>
      <c r="I801" s="155"/>
      <c r="J801" s="155"/>
      <c r="K801" s="158" t="s">
        <v>244</v>
      </c>
      <c r="R801" s="163"/>
      <c r="S801" s="163"/>
    </row>
    <row r="802">
      <c r="A802" s="153">
        <f t="shared" si="2"/>
        <v>801</v>
      </c>
      <c r="B802" s="154"/>
      <c r="C802" s="154" t="s">
        <v>208</v>
      </c>
      <c r="D802" s="154" t="s">
        <v>208</v>
      </c>
      <c r="E802" s="154" t="s">
        <v>208</v>
      </c>
      <c r="F802" s="154" t="s">
        <v>208</v>
      </c>
      <c r="G802" s="154" t="s">
        <v>208</v>
      </c>
      <c r="H802" s="155"/>
      <c r="I802" s="155"/>
      <c r="J802" s="155"/>
      <c r="K802" s="158" t="s">
        <v>244</v>
      </c>
      <c r="R802" s="163"/>
      <c r="S802" s="163"/>
    </row>
    <row r="803">
      <c r="A803" s="153">
        <f t="shared" si="2"/>
        <v>802</v>
      </c>
      <c r="B803" s="154"/>
      <c r="C803" s="154" t="s">
        <v>208</v>
      </c>
      <c r="D803" s="154" t="s">
        <v>208</v>
      </c>
      <c r="E803" s="154" t="s">
        <v>208</v>
      </c>
      <c r="F803" s="154" t="s">
        <v>208</v>
      </c>
      <c r="G803" s="154" t="s">
        <v>208</v>
      </c>
      <c r="H803" s="155"/>
      <c r="I803" s="155"/>
      <c r="J803" s="155"/>
      <c r="K803" s="158" t="s">
        <v>244</v>
      </c>
      <c r="R803" s="163"/>
      <c r="S803" s="163"/>
    </row>
    <row r="804">
      <c r="A804" s="153">
        <f t="shared" si="2"/>
        <v>803</v>
      </c>
      <c r="B804" s="154"/>
      <c r="C804" s="154" t="s">
        <v>208</v>
      </c>
      <c r="D804" s="154" t="s">
        <v>208</v>
      </c>
      <c r="E804" s="154" t="s">
        <v>208</v>
      </c>
      <c r="F804" s="154" t="s">
        <v>208</v>
      </c>
      <c r="G804" s="154" t="s">
        <v>208</v>
      </c>
      <c r="H804" s="155"/>
      <c r="I804" s="155"/>
      <c r="J804" s="155"/>
      <c r="K804" s="158" t="s">
        <v>244</v>
      </c>
      <c r="R804" s="173"/>
      <c r="S804" s="173"/>
    </row>
    <row r="805">
      <c r="A805" s="153">
        <f t="shared" si="2"/>
        <v>804</v>
      </c>
      <c r="B805" s="154"/>
      <c r="C805" s="154" t="s">
        <v>208</v>
      </c>
      <c r="D805" s="154" t="s">
        <v>208</v>
      </c>
      <c r="E805" s="154" t="s">
        <v>208</v>
      </c>
      <c r="F805" s="154" t="s">
        <v>208</v>
      </c>
      <c r="G805" s="154" t="s">
        <v>208</v>
      </c>
      <c r="H805" s="155"/>
      <c r="I805" s="155"/>
      <c r="J805" s="155"/>
      <c r="K805" s="158" t="s">
        <v>244</v>
      </c>
      <c r="R805" s="157"/>
      <c r="S805" s="157"/>
    </row>
    <row r="806">
      <c r="A806" s="153">
        <f t="shared" si="2"/>
        <v>805</v>
      </c>
      <c r="B806" s="154"/>
      <c r="C806" s="154" t="s">
        <v>208</v>
      </c>
      <c r="D806" s="154" t="s">
        <v>208</v>
      </c>
      <c r="E806" s="154" t="s">
        <v>208</v>
      </c>
      <c r="F806" s="154" t="s">
        <v>208</v>
      </c>
      <c r="G806" s="154" t="s">
        <v>208</v>
      </c>
      <c r="H806" s="155"/>
      <c r="I806" s="155"/>
      <c r="J806" s="155"/>
      <c r="K806" s="158" t="s">
        <v>244</v>
      </c>
      <c r="R806" s="163"/>
      <c r="S806" s="163"/>
    </row>
    <row r="807">
      <c r="A807" s="153">
        <f t="shared" si="2"/>
        <v>806</v>
      </c>
      <c r="B807" s="155"/>
      <c r="C807" s="154" t="s">
        <v>208</v>
      </c>
      <c r="D807" s="154" t="s">
        <v>208</v>
      </c>
      <c r="E807" s="154" t="s">
        <v>208</v>
      </c>
      <c r="F807" s="154" t="s">
        <v>208</v>
      </c>
      <c r="G807" s="154" t="s">
        <v>208</v>
      </c>
      <c r="H807" s="155"/>
      <c r="I807" s="155"/>
      <c r="J807" s="155"/>
      <c r="K807" s="158" t="s">
        <v>244</v>
      </c>
      <c r="R807" s="163"/>
      <c r="S807" s="163"/>
    </row>
    <row r="808">
      <c r="A808" s="153">
        <f t="shared" si="2"/>
        <v>807</v>
      </c>
      <c r="B808" s="155"/>
      <c r="C808" s="154" t="s">
        <v>208</v>
      </c>
      <c r="D808" s="154" t="s">
        <v>208</v>
      </c>
      <c r="E808" s="154" t="s">
        <v>208</v>
      </c>
      <c r="F808" s="154" t="s">
        <v>208</v>
      </c>
      <c r="G808" s="154" t="s">
        <v>208</v>
      </c>
      <c r="H808" s="155"/>
      <c r="I808" s="155"/>
      <c r="J808" s="155"/>
      <c r="K808" s="158" t="s">
        <v>244</v>
      </c>
      <c r="R808" s="163"/>
      <c r="S808" s="163"/>
    </row>
    <row r="809">
      <c r="A809" s="153">
        <f t="shared" si="2"/>
        <v>808</v>
      </c>
      <c r="B809" s="154"/>
      <c r="C809" s="154" t="s">
        <v>208</v>
      </c>
      <c r="D809" s="154" t="s">
        <v>208</v>
      </c>
      <c r="E809" s="154" t="s">
        <v>208</v>
      </c>
      <c r="F809" s="154" t="s">
        <v>208</v>
      </c>
      <c r="G809" s="154" t="s">
        <v>208</v>
      </c>
      <c r="H809" s="155"/>
      <c r="I809" s="155"/>
      <c r="J809" s="155"/>
      <c r="K809" s="158" t="s">
        <v>244</v>
      </c>
      <c r="R809" s="163"/>
      <c r="S809" s="163"/>
    </row>
    <row r="810">
      <c r="A810" s="153">
        <f t="shared" si="2"/>
        <v>809</v>
      </c>
      <c r="B810" s="154"/>
      <c r="C810" s="154" t="s">
        <v>208</v>
      </c>
      <c r="D810" s="154" t="s">
        <v>208</v>
      </c>
      <c r="E810" s="154" t="s">
        <v>208</v>
      </c>
      <c r="F810" s="154" t="s">
        <v>208</v>
      </c>
      <c r="G810" s="154" t="s">
        <v>208</v>
      </c>
      <c r="H810" s="155"/>
      <c r="I810" s="155"/>
      <c r="J810" s="155"/>
      <c r="K810" s="158" t="s">
        <v>244</v>
      </c>
      <c r="R810" s="163"/>
      <c r="S810" s="163"/>
    </row>
    <row r="811">
      <c r="A811" s="153">
        <f t="shared" si="2"/>
        <v>810</v>
      </c>
      <c r="B811" s="154"/>
      <c r="C811" s="154" t="s">
        <v>208</v>
      </c>
      <c r="D811" s="154" t="s">
        <v>208</v>
      </c>
      <c r="E811" s="154" t="s">
        <v>208</v>
      </c>
      <c r="F811" s="154" t="s">
        <v>208</v>
      </c>
      <c r="G811" s="154" t="s">
        <v>208</v>
      </c>
      <c r="H811" s="155"/>
      <c r="I811" s="155"/>
      <c r="J811" s="155"/>
      <c r="K811" s="158" t="s">
        <v>244</v>
      </c>
      <c r="R811" s="163"/>
      <c r="S811" s="163"/>
    </row>
    <row r="812">
      <c r="A812" s="153">
        <f t="shared" si="2"/>
        <v>811</v>
      </c>
      <c r="B812" s="154"/>
      <c r="C812" s="154" t="s">
        <v>208</v>
      </c>
      <c r="D812" s="154" t="s">
        <v>208</v>
      </c>
      <c r="E812" s="154" t="s">
        <v>208</v>
      </c>
      <c r="F812" s="154" t="s">
        <v>208</v>
      </c>
      <c r="G812" s="154" t="s">
        <v>208</v>
      </c>
      <c r="H812" s="155"/>
      <c r="I812" s="155"/>
      <c r="J812" s="155"/>
      <c r="K812" s="158" t="s">
        <v>244</v>
      </c>
      <c r="R812" s="163"/>
      <c r="S812" s="163"/>
    </row>
    <row r="813">
      <c r="A813" s="153">
        <f t="shared" si="2"/>
        <v>812</v>
      </c>
      <c r="B813" s="154"/>
      <c r="C813" s="154" t="s">
        <v>208</v>
      </c>
      <c r="D813" s="154" t="s">
        <v>208</v>
      </c>
      <c r="E813" s="154" t="s">
        <v>208</v>
      </c>
      <c r="F813" s="154" t="s">
        <v>208</v>
      </c>
      <c r="G813" s="154" t="s">
        <v>208</v>
      </c>
      <c r="H813" s="153"/>
      <c r="I813" s="155"/>
      <c r="J813" s="155"/>
      <c r="K813" s="158" t="s">
        <v>244</v>
      </c>
      <c r="R813" s="163"/>
      <c r="S813" s="163"/>
    </row>
    <row r="814">
      <c r="A814" s="153">
        <f t="shared" si="2"/>
        <v>813</v>
      </c>
      <c r="B814" s="155"/>
      <c r="C814" s="154" t="s">
        <v>208</v>
      </c>
      <c r="D814" s="154" t="s">
        <v>208</v>
      </c>
      <c r="E814" s="154" t="s">
        <v>208</v>
      </c>
      <c r="F814" s="154" t="s">
        <v>208</v>
      </c>
      <c r="G814" s="154" t="s">
        <v>208</v>
      </c>
      <c r="H814" s="155"/>
      <c r="I814" s="155"/>
      <c r="J814" s="155"/>
      <c r="K814" s="158" t="s">
        <v>244</v>
      </c>
      <c r="R814" s="163"/>
      <c r="S814" s="163"/>
    </row>
    <row r="815">
      <c r="A815" s="153">
        <f t="shared" si="2"/>
        <v>814</v>
      </c>
      <c r="B815" s="154"/>
      <c r="C815" s="154" t="s">
        <v>208</v>
      </c>
      <c r="D815" s="154" t="s">
        <v>208</v>
      </c>
      <c r="E815" s="154" t="s">
        <v>208</v>
      </c>
      <c r="F815" s="154" t="s">
        <v>208</v>
      </c>
      <c r="G815" s="154" t="s">
        <v>208</v>
      </c>
      <c r="H815" s="155"/>
      <c r="I815" s="155"/>
      <c r="J815" s="155"/>
      <c r="K815" s="158" t="s">
        <v>244</v>
      </c>
      <c r="R815" s="163"/>
      <c r="S815" s="163"/>
    </row>
    <row r="816">
      <c r="A816" s="153">
        <f t="shared" si="2"/>
        <v>815</v>
      </c>
      <c r="B816" s="154"/>
      <c r="C816" s="154" t="s">
        <v>208</v>
      </c>
      <c r="D816" s="154" t="s">
        <v>208</v>
      </c>
      <c r="E816" s="154" t="s">
        <v>208</v>
      </c>
      <c r="F816" s="154" t="s">
        <v>208</v>
      </c>
      <c r="G816" s="154" t="s">
        <v>208</v>
      </c>
      <c r="H816" s="155"/>
      <c r="I816" s="155"/>
      <c r="J816" s="155"/>
      <c r="K816" s="158" t="s">
        <v>244</v>
      </c>
      <c r="R816" s="173"/>
      <c r="S816" s="173"/>
    </row>
    <row r="817">
      <c r="A817" s="153">
        <f t="shared" si="2"/>
        <v>816</v>
      </c>
      <c r="B817" s="154"/>
      <c r="C817" s="154" t="s">
        <v>208</v>
      </c>
      <c r="D817" s="154" t="s">
        <v>208</v>
      </c>
      <c r="E817" s="154" t="s">
        <v>208</v>
      </c>
      <c r="F817" s="154" t="s">
        <v>208</v>
      </c>
      <c r="G817" s="154" t="s">
        <v>208</v>
      </c>
      <c r="H817" s="155"/>
      <c r="I817" s="155"/>
      <c r="J817" s="155"/>
      <c r="K817" s="158" t="s">
        <v>244</v>
      </c>
      <c r="R817" s="157"/>
      <c r="S817" s="157"/>
    </row>
    <row r="818">
      <c r="A818" s="153">
        <f t="shared" si="2"/>
        <v>817</v>
      </c>
      <c r="B818" s="154"/>
      <c r="C818" s="154" t="s">
        <v>208</v>
      </c>
      <c r="D818" s="154" t="s">
        <v>208</v>
      </c>
      <c r="E818" s="154" t="s">
        <v>208</v>
      </c>
      <c r="F818" s="154" t="s">
        <v>208</v>
      </c>
      <c r="G818" s="154" t="s">
        <v>208</v>
      </c>
      <c r="H818" s="155"/>
      <c r="I818" s="155"/>
      <c r="J818" s="155"/>
      <c r="K818" s="158" t="s">
        <v>244</v>
      </c>
      <c r="R818" s="163"/>
      <c r="S818" s="163"/>
    </row>
    <row r="819">
      <c r="A819" s="153">
        <f t="shared" si="2"/>
        <v>818</v>
      </c>
      <c r="B819" s="154"/>
      <c r="C819" s="154" t="s">
        <v>208</v>
      </c>
      <c r="D819" s="154" t="s">
        <v>208</v>
      </c>
      <c r="E819" s="154" t="s">
        <v>208</v>
      </c>
      <c r="F819" s="154" t="s">
        <v>208</v>
      </c>
      <c r="G819" s="154" t="s">
        <v>208</v>
      </c>
      <c r="H819" s="155"/>
      <c r="I819" s="155"/>
      <c r="J819" s="155"/>
      <c r="K819" s="158" t="s">
        <v>244</v>
      </c>
      <c r="R819" s="163"/>
      <c r="S819" s="163"/>
    </row>
    <row r="820">
      <c r="A820" s="153">
        <f t="shared" si="2"/>
        <v>819</v>
      </c>
      <c r="B820" s="154"/>
      <c r="C820" s="154" t="s">
        <v>208</v>
      </c>
      <c r="D820" s="154" t="s">
        <v>208</v>
      </c>
      <c r="E820" s="154" t="s">
        <v>208</v>
      </c>
      <c r="F820" s="154" t="s">
        <v>208</v>
      </c>
      <c r="G820" s="154" t="s">
        <v>208</v>
      </c>
      <c r="H820" s="155"/>
      <c r="I820" s="155"/>
      <c r="J820" s="155"/>
      <c r="K820" s="158" t="s">
        <v>244</v>
      </c>
      <c r="R820" s="163"/>
      <c r="S820" s="163"/>
    </row>
    <row r="821">
      <c r="A821" s="153">
        <f t="shared" si="2"/>
        <v>820</v>
      </c>
      <c r="B821" s="154"/>
      <c r="C821" s="154" t="s">
        <v>208</v>
      </c>
      <c r="D821" s="154" t="s">
        <v>208</v>
      </c>
      <c r="E821" s="154" t="s">
        <v>208</v>
      </c>
      <c r="F821" s="154" t="s">
        <v>208</v>
      </c>
      <c r="G821" s="154" t="s">
        <v>208</v>
      </c>
      <c r="H821" s="155"/>
      <c r="I821" s="155"/>
      <c r="J821" s="155"/>
      <c r="K821" s="158" t="s">
        <v>244</v>
      </c>
      <c r="R821" s="163"/>
      <c r="S821" s="163"/>
    </row>
    <row r="822">
      <c r="A822" s="153">
        <f t="shared" si="2"/>
        <v>821</v>
      </c>
      <c r="B822" s="154"/>
      <c r="C822" s="154" t="s">
        <v>208</v>
      </c>
      <c r="D822" s="154" t="s">
        <v>208</v>
      </c>
      <c r="E822" s="154" t="s">
        <v>208</v>
      </c>
      <c r="F822" s="154" t="s">
        <v>208</v>
      </c>
      <c r="G822" s="154" t="s">
        <v>208</v>
      </c>
      <c r="H822" s="155"/>
      <c r="I822" s="155"/>
      <c r="J822" s="155"/>
      <c r="K822" s="158" t="s">
        <v>244</v>
      </c>
      <c r="R822" s="163"/>
      <c r="S822" s="163"/>
    </row>
    <row r="823">
      <c r="A823" s="153">
        <f t="shared" si="2"/>
        <v>822</v>
      </c>
      <c r="B823" s="154"/>
      <c r="C823" s="154"/>
      <c r="D823" s="154"/>
      <c r="E823" s="154"/>
      <c r="F823" s="154"/>
      <c r="G823" s="154"/>
      <c r="H823" s="155"/>
      <c r="I823" s="155"/>
      <c r="J823" s="154" t="s">
        <v>217</v>
      </c>
      <c r="K823" s="158" t="s">
        <v>244</v>
      </c>
      <c r="R823" s="163"/>
      <c r="S823" s="163"/>
    </row>
    <row r="824">
      <c r="A824" s="153">
        <f t="shared" si="2"/>
        <v>823</v>
      </c>
      <c r="B824" s="154"/>
      <c r="C824" s="154" t="s">
        <v>208</v>
      </c>
      <c r="D824" s="154" t="s">
        <v>208</v>
      </c>
      <c r="E824" s="154" t="s">
        <v>208</v>
      </c>
      <c r="F824" s="154" t="s">
        <v>208</v>
      </c>
      <c r="G824" s="154" t="s">
        <v>208</v>
      </c>
      <c r="H824" s="154"/>
      <c r="I824" s="155"/>
      <c r="J824" s="155"/>
      <c r="K824" s="158" t="s">
        <v>244</v>
      </c>
      <c r="R824" s="163"/>
      <c r="S824" s="163"/>
    </row>
    <row r="825">
      <c r="A825" s="153">
        <f t="shared" si="2"/>
        <v>824</v>
      </c>
      <c r="B825" s="154"/>
      <c r="C825" s="154" t="s">
        <v>208</v>
      </c>
      <c r="D825" s="154" t="s">
        <v>208</v>
      </c>
      <c r="E825" s="154" t="s">
        <v>208</v>
      </c>
      <c r="F825" s="154" t="s">
        <v>208</v>
      </c>
      <c r="G825" s="154" t="s">
        <v>208</v>
      </c>
      <c r="H825" s="155"/>
      <c r="I825" s="155"/>
      <c r="J825" s="155"/>
      <c r="K825" s="158" t="s">
        <v>244</v>
      </c>
      <c r="R825" s="163"/>
      <c r="S825" s="163"/>
    </row>
    <row r="826">
      <c r="A826" s="153">
        <f t="shared" si="2"/>
        <v>825</v>
      </c>
      <c r="B826" s="154"/>
      <c r="C826" s="154" t="s">
        <v>208</v>
      </c>
      <c r="D826" s="154" t="s">
        <v>208</v>
      </c>
      <c r="E826" s="154" t="s">
        <v>208</v>
      </c>
      <c r="F826" s="154" t="s">
        <v>208</v>
      </c>
      <c r="G826" s="154" t="s">
        <v>208</v>
      </c>
      <c r="H826" s="155"/>
      <c r="I826" s="155"/>
      <c r="J826" s="155"/>
      <c r="K826" s="158" t="s">
        <v>244</v>
      </c>
      <c r="R826" s="163"/>
      <c r="S826" s="163"/>
    </row>
    <row r="827">
      <c r="A827" s="153">
        <f t="shared" si="2"/>
        <v>826</v>
      </c>
      <c r="B827" s="154"/>
      <c r="C827" s="154" t="s">
        <v>208</v>
      </c>
      <c r="D827" s="154" t="s">
        <v>208</v>
      </c>
      <c r="E827" s="154" t="s">
        <v>208</v>
      </c>
      <c r="F827" s="154" t="s">
        <v>208</v>
      </c>
      <c r="G827" s="154" t="s">
        <v>208</v>
      </c>
      <c r="H827" s="155"/>
      <c r="I827" s="155"/>
      <c r="J827" s="155"/>
      <c r="K827" s="158" t="s">
        <v>244</v>
      </c>
      <c r="R827" s="163"/>
      <c r="S827" s="163"/>
    </row>
    <row r="828">
      <c r="A828" s="153">
        <f t="shared" si="2"/>
        <v>827</v>
      </c>
      <c r="B828" s="154"/>
      <c r="C828" s="154" t="s">
        <v>208</v>
      </c>
      <c r="D828" s="154" t="s">
        <v>208</v>
      </c>
      <c r="E828" s="154" t="s">
        <v>208</v>
      </c>
      <c r="F828" s="154" t="s">
        <v>208</v>
      </c>
      <c r="G828" s="154" t="s">
        <v>208</v>
      </c>
      <c r="H828" s="155"/>
      <c r="I828" s="155"/>
      <c r="J828" s="155"/>
      <c r="K828" s="158" t="s">
        <v>244</v>
      </c>
      <c r="R828" s="173"/>
      <c r="S828" s="173"/>
    </row>
    <row r="829">
      <c r="A829" s="153">
        <f t="shared" si="2"/>
        <v>828</v>
      </c>
      <c r="B829" s="154"/>
      <c r="C829" s="154" t="s">
        <v>208</v>
      </c>
      <c r="D829" s="154" t="s">
        <v>208</v>
      </c>
      <c r="E829" s="154" t="s">
        <v>208</v>
      </c>
      <c r="F829" s="154" t="s">
        <v>208</v>
      </c>
      <c r="G829" s="154" t="s">
        <v>208</v>
      </c>
      <c r="H829" s="155"/>
      <c r="I829" s="155"/>
      <c r="J829" s="155"/>
      <c r="K829" s="158" t="s">
        <v>244</v>
      </c>
      <c r="R829" s="157"/>
      <c r="S829" s="157"/>
    </row>
    <row r="830">
      <c r="A830" s="153">
        <f t="shared" si="2"/>
        <v>829</v>
      </c>
      <c r="B830" s="154"/>
      <c r="C830" s="154" t="s">
        <v>208</v>
      </c>
      <c r="D830" s="154" t="s">
        <v>208</v>
      </c>
      <c r="E830" s="154" t="s">
        <v>208</v>
      </c>
      <c r="F830" s="154" t="s">
        <v>208</v>
      </c>
      <c r="G830" s="154" t="s">
        <v>208</v>
      </c>
      <c r="H830" s="155"/>
      <c r="I830" s="155"/>
      <c r="J830" s="155"/>
      <c r="K830" s="158" t="s">
        <v>244</v>
      </c>
      <c r="R830" s="163"/>
      <c r="S830" s="163"/>
    </row>
    <row r="831">
      <c r="A831" s="153">
        <f t="shared" si="2"/>
        <v>830</v>
      </c>
      <c r="B831" s="154"/>
      <c r="C831" s="154" t="s">
        <v>208</v>
      </c>
      <c r="D831" s="154" t="s">
        <v>208</v>
      </c>
      <c r="E831" s="154" t="s">
        <v>208</v>
      </c>
      <c r="F831" s="154" t="s">
        <v>208</v>
      </c>
      <c r="G831" s="154" t="s">
        <v>208</v>
      </c>
      <c r="H831" s="155"/>
      <c r="I831" s="155"/>
      <c r="J831" s="155"/>
      <c r="K831" s="158" t="s">
        <v>244</v>
      </c>
      <c r="R831" s="163"/>
      <c r="S831" s="163"/>
    </row>
    <row r="832">
      <c r="A832" s="153">
        <f t="shared" si="2"/>
        <v>831</v>
      </c>
      <c r="B832" s="154"/>
      <c r="C832" s="154" t="s">
        <v>208</v>
      </c>
      <c r="D832" s="154" t="s">
        <v>208</v>
      </c>
      <c r="E832" s="154" t="s">
        <v>208</v>
      </c>
      <c r="F832" s="154" t="s">
        <v>208</v>
      </c>
      <c r="G832" s="154" t="s">
        <v>208</v>
      </c>
      <c r="H832" s="155"/>
      <c r="I832" s="155"/>
      <c r="J832" s="155"/>
      <c r="K832" s="158" t="s">
        <v>244</v>
      </c>
      <c r="R832" s="163"/>
      <c r="S832" s="163"/>
    </row>
    <row r="833">
      <c r="A833" s="153">
        <f t="shared" si="2"/>
        <v>832</v>
      </c>
      <c r="B833" s="154"/>
      <c r="C833" s="154" t="s">
        <v>208</v>
      </c>
      <c r="D833" s="154" t="s">
        <v>208</v>
      </c>
      <c r="E833" s="154" t="s">
        <v>208</v>
      </c>
      <c r="F833" s="154" t="s">
        <v>208</v>
      </c>
      <c r="G833" s="154" t="s">
        <v>208</v>
      </c>
      <c r="H833" s="155"/>
      <c r="I833" s="155"/>
      <c r="J833" s="155"/>
      <c r="K833" s="158" t="s">
        <v>244</v>
      </c>
      <c r="R833" s="163"/>
      <c r="S833" s="163"/>
    </row>
    <row r="834">
      <c r="A834" s="177">
        <f t="shared" si="2"/>
        <v>833</v>
      </c>
      <c r="B834" s="155"/>
      <c r="C834" s="154"/>
      <c r="D834" s="154" t="s">
        <v>208</v>
      </c>
      <c r="E834" s="154" t="s">
        <v>208</v>
      </c>
      <c r="F834" s="154" t="s">
        <v>208</v>
      </c>
      <c r="G834" s="154"/>
      <c r="H834" s="154" t="s">
        <v>208</v>
      </c>
      <c r="I834" s="155"/>
      <c r="J834" s="155"/>
      <c r="K834" s="158" t="s">
        <v>244</v>
      </c>
      <c r="R834" s="163"/>
      <c r="S834" s="163"/>
    </row>
    <row r="835">
      <c r="A835" s="153">
        <f t="shared" si="2"/>
        <v>834</v>
      </c>
      <c r="B835" s="154"/>
      <c r="C835" s="154" t="s">
        <v>208</v>
      </c>
      <c r="D835" s="154" t="s">
        <v>208</v>
      </c>
      <c r="E835" s="154" t="s">
        <v>208</v>
      </c>
      <c r="F835" s="154" t="s">
        <v>208</v>
      </c>
      <c r="G835" s="154" t="s">
        <v>208</v>
      </c>
      <c r="H835" s="155"/>
      <c r="I835" s="155"/>
      <c r="J835" s="155"/>
      <c r="K835" s="158" t="s">
        <v>244</v>
      </c>
      <c r="R835" s="163"/>
      <c r="S835" s="163"/>
    </row>
    <row r="836">
      <c r="A836" s="153">
        <f t="shared" si="2"/>
        <v>835</v>
      </c>
      <c r="B836" s="154"/>
      <c r="C836" s="154" t="s">
        <v>208</v>
      </c>
      <c r="D836" s="154" t="s">
        <v>208</v>
      </c>
      <c r="E836" s="154" t="s">
        <v>208</v>
      </c>
      <c r="F836" s="154" t="s">
        <v>208</v>
      </c>
      <c r="G836" s="154" t="s">
        <v>208</v>
      </c>
      <c r="H836" s="155"/>
      <c r="I836" s="155"/>
      <c r="J836" s="155"/>
      <c r="K836" s="158" t="s">
        <v>244</v>
      </c>
      <c r="R836" s="163"/>
      <c r="S836" s="163"/>
    </row>
    <row r="837">
      <c r="A837" s="153">
        <f t="shared" si="2"/>
        <v>836</v>
      </c>
      <c r="B837" s="154"/>
      <c r="C837" s="154" t="s">
        <v>208</v>
      </c>
      <c r="D837" s="154" t="s">
        <v>208</v>
      </c>
      <c r="E837" s="154" t="s">
        <v>208</v>
      </c>
      <c r="F837" s="154" t="s">
        <v>208</v>
      </c>
      <c r="G837" s="154" t="s">
        <v>208</v>
      </c>
      <c r="H837" s="155"/>
      <c r="I837" s="155"/>
      <c r="J837" s="155"/>
      <c r="K837" s="158" t="s">
        <v>244</v>
      </c>
      <c r="R837" s="163"/>
      <c r="S837" s="163"/>
    </row>
    <row r="838">
      <c r="A838" s="153">
        <f t="shared" si="2"/>
        <v>837</v>
      </c>
      <c r="B838" s="154"/>
      <c r="C838" s="154" t="s">
        <v>208</v>
      </c>
      <c r="D838" s="154" t="s">
        <v>208</v>
      </c>
      <c r="E838" s="154" t="s">
        <v>208</v>
      </c>
      <c r="F838" s="154" t="s">
        <v>208</v>
      </c>
      <c r="G838" s="154" t="s">
        <v>208</v>
      </c>
      <c r="H838" s="155"/>
      <c r="I838" s="155"/>
      <c r="J838" s="155"/>
      <c r="K838" s="158" t="s">
        <v>244</v>
      </c>
      <c r="R838" s="163"/>
      <c r="S838" s="163"/>
    </row>
    <row r="839">
      <c r="A839" s="153">
        <f t="shared" si="2"/>
        <v>838</v>
      </c>
      <c r="B839" s="155"/>
      <c r="C839" s="154" t="s">
        <v>208</v>
      </c>
      <c r="D839" s="154" t="s">
        <v>208</v>
      </c>
      <c r="E839" s="154" t="s">
        <v>208</v>
      </c>
      <c r="F839" s="154" t="s">
        <v>208</v>
      </c>
      <c r="G839" s="154" t="s">
        <v>208</v>
      </c>
      <c r="H839" s="154"/>
      <c r="I839" s="155"/>
      <c r="J839" s="155"/>
      <c r="K839" s="158" t="s">
        <v>244</v>
      </c>
      <c r="R839" s="163"/>
      <c r="S839" s="163"/>
    </row>
    <row r="840">
      <c r="A840" s="153">
        <f t="shared" si="2"/>
        <v>839</v>
      </c>
      <c r="B840" s="154"/>
      <c r="C840" s="154" t="s">
        <v>208</v>
      </c>
      <c r="D840" s="154" t="s">
        <v>208</v>
      </c>
      <c r="E840" s="154" t="s">
        <v>208</v>
      </c>
      <c r="F840" s="154" t="s">
        <v>208</v>
      </c>
      <c r="G840" s="154" t="s">
        <v>208</v>
      </c>
      <c r="H840" s="155"/>
      <c r="I840" s="155"/>
      <c r="J840" s="155"/>
      <c r="K840" s="158" t="s">
        <v>244</v>
      </c>
      <c r="R840" s="173"/>
      <c r="S840" s="173"/>
    </row>
    <row r="841">
      <c r="A841" s="153">
        <f t="shared" si="2"/>
        <v>840</v>
      </c>
      <c r="B841" s="155"/>
      <c r="C841" s="154" t="s">
        <v>208</v>
      </c>
      <c r="D841" s="154" t="s">
        <v>208</v>
      </c>
      <c r="E841" s="154" t="s">
        <v>208</v>
      </c>
      <c r="F841" s="154" t="s">
        <v>208</v>
      </c>
      <c r="G841" s="154" t="s">
        <v>208</v>
      </c>
      <c r="H841" s="155"/>
      <c r="I841" s="155"/>
      <c r="J841" s="155"/>
      <c r="K841" s="158" t="s">
        <v>244</v>
      </c>
      <c r="R841" s="157"/>
      <c r="S841" s="157"/>
    </row>
    <row r="842">
      <c r="A842" s="153">
        <f t="shared" si="2"/>
        <v>841</v>
      </c>
      <c r="B842" s="154"/>
      <c r="C842" s="154"/>
      <c r="D842" s="154"/>
      <c r="E842" s="154"/>
      <c r="F842" s="154"/>
      <c r="G842" s="154"/>
      <c r="H842" s="155"/>
      <c r="I842" s="155"/>
      <c r="J842" s="154" t="s">
        <v>217</v>
      </c>
      <c r="K842" s="158" t="s">
        <v>244</v>
      </c>
      <c r="R842" s="163"/>
      <c r="S842" s="163"/>
    </row>
    <row r="843">
      <c r="A843" s="153">
        <f t="shared" si="2"/>
        <v>842</v>
      </c>
      <c r="B843" s="154"/>
      <c r="C843" s="154" t="s">
        <v>208</v>
      </c>
      <c r="D843" s="154" t="s">
        <v>208</v>
      </c>
      <c r="E843" s="154" t="s">
        <v>208</v>
      </c>
      <c r="F843" s="154" t="s">
        <v>208</v>
      </c>
      <c r="G843" s="154" t="s">
        <v>208</v>
      </c>
      <c r="H843" s="155"/>
      <c r="I843" s="155"/>
      <c r="J843" s="155"/>
      <c r="K843" s="158" t="s">
        <v>244</v>
      </c>
      <c r="R843" s="163"/>
      <c r="S843" s="163"/>
    </row>
    <row r="844">
      <c r="A844" s="153">
        <f t="shared" si="2"/>
        <v>843</v>
      </c>
      <c r="B844" s="154"/>
      <c r="C844" s="154"/>
      <c r="D844" s="154"/>
      <c r="E844" s="154"/>
      <c r="F844" s="154"/>
      <c r="G844" s="154"/>
      <c r="H844" s="153"/>
      <c r="I844" s="155"/>
      <c r="J844" s="154" t="s">
        <v>217</v>
      </c>
      <c r="K844" s="158" t="s">
        <v>244</v>
      </c>
      <c r="R844" s="163"/>
      <c r="S844" s="163"/>
    </row>
    <row r="845">
      <c r="A845" s="153">
        <f t="shared" si="2"/>
        <v>844</v>
      </c>
      <c r="B845" s="154"/>
      <c r="C845" s="154" t="s">
        <v>208</v>
      </c>
      <c r="D845" s="154" t="s">
        <v>208</v>
      </c>
      <c r="E845" s="154" t="s">
        <v>208</v>
      </c>
      <c r="F845" s="154" t="s">
        <v>208</v>
      </c>
      <c r="G845" s="154" t="s">
        <v>208</v>
      </c>
      <c r="H845" s="155"/>
      <c r="I845" s="155"/>
      <c r="J845" s="155"/>
      <c r="K845" s="158" t="s">
        <v>244</v>
      </c>
      <c r="R845" s="163"/>
      <c r="S845" s="163"/>
    </row>
    <row r="846">
      <c r="A846" s="153">
        <f t="shared" si="2"/>
        <v>845</v>
      </c>
      <c r="B846" s="154"/>
      <c r="C846" s="154" t="s">
        <v>208</v>
      </c>
      <c r="D846" s="154"/>
      <c r="E846" s="154" t="s">
        <v>208</v>
      </c>
      <c r="F846" s="154" t="s">
        <v>208</v>
      </c>
      <c r="G846" s="154" t="s">
        <v>208</v>
      </c>
      <c r="H846" s="155"/>
      <c r="I846" s="155"/>
      <c r="J846" s="155"/>
      <c r="K846" s="158" t="s">
        <v>244</v>
      </c>
      <c r="R846" s="163"/>
      <c r="S846" s="163"/>
    </row>
    <row r="847">
      <c r="A847" s="153">
        <f t="shared" si="2"/>
        <v>846</v>
      </c>
      <c r="B847" s="154"/>
      <c r="C847" s="154" t="s">
        <v>208</v>
      </c>
      <c r="D847" s="154" t="s">
        <v>208</v>
      </c>
      <c r="E847" s="154" t="s">
        <v>208</v>
      </c>
      <c r="F847" s="154" t="s">
        <v>208</v>
      </c>
      <c r="G847" s="154" t="s">
        <v>208</v>
      </c>
      <c r="H847" s="154"/>
      <c r="I847" s="155"/>
      <c r="J847" s="155"/>
      <c r="K847" s="158" t="s">
        <v>244</v>
      </c>
      <c r="R847" s="163"/>
      <c r="S847" s="163"/>
    </row>
    <row r="848">
      <c r="A848" s="153">
        <f t="shared" si="2"/>
        <v>847</v>
      </c>
      <c r="B848" s="154"/>
      <c r="C848" s="154" t="s">
        <v>208</v>
      </c>
      <c r="D848" s="154" t="s">
        <v>208</v>
      </c>
      <c r="E848" s="154" t="s">
        <v>208</v>
      </c>
      <c r="F848" s="154" t="s">
        <v>208</v>
      </c>
      <c r="G848" s="154" t="s">
        <v>208</v>
      </c>
      <c r="H848" s="155"/>
      <c r="I848" s="155"/>
      <c r="J848" s="155"/>
      <c r="K848" s="158" t="s">
        <v>244</v>
      </c>
      <c r="R848" s="163"/>
      <c r="S848" s="163"/>
    </row>
    <row r="849">
      <c r="A849" s="153">
        <f t="shared" si="2"/>
        <v>848</v>
      </c>
      <c r="B849" s="154"/>
      <c r="C849" s="154" t="s">
        <v>208</v>
      </c>
      <c r="D849" s="154" t="s">
        <v>208</v>
      </c>
      <c r="E849" s="154" t="s">
        <v>208</v>
      </c>
      <c r="F849" s="154" t="s">
        <v>208</v>
      </c>
      <c r="G849" s="154" t="s">
        <v>208</v>
      </c>
      <c r="H849" s="155"/>
      <c r="I849" s="155"/>
      <c r="J849" s="155"/>
      <c r="K849" s="158" t="s">
        <v>244</v>
      </c>
      <c r="R849" s="163"/>
      <c r="S849" s="163"/>
    </row>
    <row r="850">
      <c r="A850" s="153">
        <f t="shared" si="2"/>
        <v>849</v>
      </c>
      <c r="B850" s="154"/>
      <c r="C850" s="154" t="s">
        <v>208</v>
      </c>
      <c r="D850" s="154" t="s">
        <v>208</v>
      </c>
      <c r="E850" s="154" t="s">
        <v>208</v>
      </c>
      <c r="F850" s="154" t="s">
        <v>208</v>
      </c>
      <c r="G850" s="154" t="s">
        <v>208</v>
      </c>
      <c r="H850" s="155"/>
      <c r="I850" s="155"/>
      <c r="J850" s="155"/>
      <c r="K850" s="158" t="s">
        <v>244</v>
      </c>
      <c r="R850" s="163"/>
      <c r="S850" s="163"/>
    </row>
    <row r="851">
      <c r="A851" s="153">
        <f t="shared" si="2"/>
        <v>850</v>
      </c>
      <c r="B851" s="154"/>
      <c r="C851" s="154" t="s">
        <v>208</v>
      </c>
      <c r="D851" s="154" t="s">
        <v>218</v>
      </c>
      <c r="E851" s="154" t="s">
        <v>208</v>
      </c>
      <c r="F851" s="154" t="s">
        <v>208</v>
      </c>
      <c r="G851" s="154" t="s">
        <v>208</v>
      </c>
      <c r="H851" s="155"/>
      <c r="I851" s="155"/>
      <c r="J851" s="155"/>
      <c r="K851" s="158" t="s">
        <v>244</v>
      </c>
      <c r="R851" s="163"/>
      <c r="S851" s="163"/>
    </row>
    <row r="852">
      <c r="A852" s="153">
        <f t="shared" si="2"/>
        <v>851</v>
      </c>
      <c r="B852" s="155"/>
      <c r="C852" s="154" t="s">
        <v>208</v>
      </c>
      <c r="D852" s="154" t="s">
        <v>208</v>
      </c>
      <c r="E852" s="154" t="s">
        <v>208</v>
      </c>
      <c r="F852" s="154" t="s">
        <v>208</v>
      </c>
      <c r="G852" s="154" t="s">
        <v>208</v>
      </c>
      <c r="H852" s="155"/>
      <c r="I852" s="155"/>
      <c r="J852" s="155"/>
      <c r="K852" s="158" t="s">
        <v>244</v>
      </c>
      <c r="R852" s="173"/>
      <c r="S852" s="173"/>
    </row>
    <row r="853">
      <c r="A853" s="153">
        <f t="shared" si="2"/>
        <v>852</v>
      </c>
      <c r="B853" s="154"/>
      <c r="C853" s="154" t="s">
        <v>208</v>
      </c>
      <c r="D853" s="154" t="s">
        <v>208</v>
      </c>
      <c r="E853" s="154" t="s">
        <v>208</v>
      </c>
      <c r="F853" s="154" t="s">
        <v>208</v>
      </c>
      <c r="G853" s="154" t="s">
        <v>208</v>
      </c>
      <c r="H853" s="155"/>
      <c r="I853" s="155"/>
      <c r="J853" s="155"/>
      <c r="K853" s="158" t="s">
        <v>244</v>
      </c>
      <c r="R853" s="157"/>
      <c r="S853" s="157"/>
    </row>
    <row r="854">
      <c r="A854" s="153">
        <f t="shared" si="2"/>
        <v>853</v>
      </c>
      <c r="B854" s="154"/>
      <c r="C854" s="154" t="s">
        <v>208</v>
      </c>
      <c r="D854" s="154" t="s">
        <v>208</v>
      </c>
      <c r="E854" s="154" t="s">
        <v>208</v>
      </c>
      <c r="F854" s="154" t="s">
        <v>208</v>
      </c>
      <c r="G854" s="154" t="s">
        <v>208</v>
      </c>
      <c r="H854" s="155"/>
      <c r="I854" s="155"/>
      <c r="J854" s="155"/>
      <c r="K854" s="158" t="s">
        <v>244</v>
      </c>
      <c r="R854" s="163"/>
      <c r="S854" s="163"/>
    </row>
    <row r="855">
      <c r="A855" s="153">
        <f t="shared" si="2"/>
        <v>854</v>
      </c>
      <c r="B855" s="154"/>
      <c r="C855" s="154" t="s">
        <v>208</v>
      </c>
      <c r="D855" s="154" t="s">
        <v>208</v>
      </c>
      <c r="E855" s="154" t="s">
        <v>208</v>
      </c>
      <c r="F855" s="154" t="s">
        <v>208</v>
      </c>
      <c r="G855" s="154" t="s">
        <v>208</v>
      </c>
      <c r="H855" s="155"/>
      <c r="I855" s="155"/>
      <c r="J855" s="155"/>
      <c r="K855" s="158" t="s">
        <v>244</v>
      </c>
      <c r="R855" s="163"/>
      <c r="S855" s="163"/>
    </row>
    <row r="856">
      <c r="A856" s="153">
        <f t="shared" si="2"/>
        <v>855</v>
      </c>
      <c r="B856" s="154"/>
      <c r="C856" s="154" t="s">
        <v>208</v>
      </c>
      <c r="D856" s="154" t="s">
        <v>208</v>
      </c>
      <c r="E856" s="154" t="s">
        <v>208</v>
      </c>
      <c r="F856" s="154" t="s">
        <v>208</v>
      </c>
      <c r="G856" s="154" t="s">
        <v>208</v>
      </c>
      <c r="H856" s="155"/>
      <c r="I856" s="155"/>
      <c r="J856" s="155"/>
      <c r="K856" s="158" t="s">
        <v>244</v>
      </c>
      <c r="R856" s="163"/>
      <c r="S856" s="163"/>
    </row>
    <row r="857">
      <c r="A857" s="153">
        <f t="shared" si="2"/>
        <v>856</v>
      </c>
      <c r="B857" s="154"/>
      <c r="C857" s="154" t="s">
        <v>208</v>
      </c>
      <c r="D857" s="154" t="s">
        <v>208</v>
      </c>
      <c r="E857" s="154" t="s">
        <v>208</v>
      </c>
      <c r="F857" s="154" t="s">
        <v>208</v>
      </c>
      <c r="G857" s="154" t="s">
        <v>208</v>
      </c>
      <c r="H857" s="154"/>
      <c r="I857" s="155"/>
      <c r="J857" s="155"/>
      <c r="K857" s="158" t="s">
        <v>244</v>
      </c>
      <c r="R857" s="163"/>
      <c r="S857" s="163"/>
    </row>
    <row r="858">
      <c r="A858" s="153">
        <f t="shared" si="2"/>
        <v>857</v>
      </c>
      <c r="B858" s="154"/>
      <c r="C858" s="154" t="s">
        <v>208</v>
      </c>
      <c r="D858" s="154" t="s">
        <v>208</v>
      </c>
      <c r="E858" s="154" t="s">
        <v>208</v>
      </c>
      <c r="F858" s="154" t="s">
        <v>208</v>
      </c>
      <c r="G858" s="154" t="s">
        <v>208</v>
      </c>
      <c r="H858" s="155"/>
      <c r="I858" s="155"/>
      <c r="J858" s="155"/>
      <c r="K858" s="158" t="s">
        <v>244</v>
      </c>
      <c r="R858" s="163"/>
      <c r="S858" s="163"/>
    </row>
    <row r="859">
      <c r="A859" s="153">
        <f t="shared" si="2"/>
        <v>858</v>
      </c>
      <c r="B859" s="154"/>
      <c r="C859" s="154" t="s">
        <v>208</v>
      </c>
      <c r="D859" s="154" t="s">
        <v>208</v>
      </c>
      <c r="E859" s="154" t="s">
        <v>208</v>
      </c>
      <c r="F859" s="154" t="s">
        <v>208</v>
      </c>
      <c r="G859" s="154" t="s">
        <v>208</v>
      </c>
      <c r="H859" s="155"/>
      <c r="I859" s="155"/>
      <c r="J859" s="155"/>
      <c r="K859" s="158" t="s">
        <v>244</v>
      </c>
      <c r="R859" s="163"/>
      <c r="S859" s="163"/>
    </row>
    <row r="860">
      <c r="A860" s="177">
        <f t="shared" si="2"/>
        <v>859</v>
      </c>
      <c r="B860" s="154"/>
      <c r="C860" s="154"/>
      <c r="D860" s="154" t="s">
        <v>208</v>
      </c>
      <c r="E860" s="154" t="s">
        <v>208</v>
      </c>
      <c r="F860" s="154" t="s">
        <v>208</v>
      </c>
      <c r="G860" s="155"/>
      <c r="H860" s="154" t="s">
        <v>208</v>
      </c>
      <c r="I860" s="155"/>
      <c r="J860" s="154"/>
      <c r="K860" s="158" t="s">
        <v>244</v>
      </c>
      <c r="R860" s="163"/>
      <c r="S860" s="163"/>
    </row>
    <row r="861">
      <c r="A861" s="153">
        <f t="shared" si="2"/>
        <v>860</v>
      </c>
      <c r="B861" s="154"/>
      <c r="C861" s="154"/>
      <c r="D861" s="154"/>
      <c r="E861" s="154"/>
      <c r="F861" s="154"/>
      <c r="G861" s="154"/>
      <c r="H861" s="153"/>
      <c r="I861" s="155"/>
      <c r="J861" s="154" t="s">
        <v>217</v>
      </c>
      <c r="K861" s="158" t="s">
        <v>244</v>
      </c>
      <c r="R861" s="163"/>
      <c r="S861" s="163"/>
    </row>
    <row r="862">
      <c r="A862" s="153">
        <f t="shared" si="2"/>
        <v>861</v>
      </c>
      <c r="B862" s="154"/>
      <c r="C862" s="154" t="s">
        <v>208</v>
      </c>
      <c r="D862" s="154" t="s">
        <v>218</v>
      </c>
      <c r="E862" s="154" t="s">
        <v>208</v>
      </c>
      <c r="F862" s="154" t="s">
        <v>208</v>
      </c>
      <c r="G862" s="154" t="s">
        <v>208</v>
      </c>
      <c r="H862" s="154"/>
      <c r="I862" s="155"/>
      <c r="J862" s="155"/>
      <c r="K862" s="158" t="s">
        <v>244</v>
      </c>
      <c r="R862" s="163"/>
      <c r="S862" s="163"/>
    </row>
    <row r="863">
      <c r="A863" s="153">
        <f t="shared" si="2"/>
        <v>862</v>
      </c>
      <c r="B863" s="154"/>
      <c r="C863" s="154" t="s">
        <v>208</v>
      </c>
      <c r="D863" s="154" t="s">
        <v>208</v>
      </c>
      <c r="E863" s="154" t="s">
        <v>208</v>
      </c>
      <c r="F863" s="154" t="s">
        <v>208</v>
      </c>
      <c r="G863" s="154" t="s">
        <v>208</v>
      </c>
      <c r="H863" s="155"/>
      <c r="I863" s="155"/>
      <c r="J863" s="155"/>
      <c r="K863" s="158" t="s">
        <v>244</v>
      </c>
      <c r="R863" s="163"/>
      <c r="S863" s="163"/>
    </row>
    <row r="864">
      <c r="A864" s="153">
        <f t="shared" si="2"/>
        <v>863</v>
      </c>
      <c r="B864" s="154"/>
      <c r="C864" s="154" t="s">
        <v>208</v>
      </c>
      <c r="D864" s="154" t="s">
        <v>208</v>
      </c>
      <c r="E864" s="154" t="s">
        <v>208</v>
      </c>
      <c r="F864" s="154" t="s">
        <v>208</v>
      </c>
      <c r="G864" s="154" t="s">
        <v>208</v>
      </c>
      <c r="H864" s="155"/>
      <c r="I864" s="155"/>
      <c r="J864" s="155"/>
      <c r="K864" s="158" t="s">
        <v>244</v>
      </c>
      <c r="R864" s="173"/>
      <c r="S864" s="173"/>
    </row>
    <row r="865">
      <c r="A865" s="153">
        <f t="shared" si="2"/>
        <v>864</v>
      </c>
      <c r="B865" s="154"/>
      <c r="C865" s="154" t="s">
        <v>208</v>
      </c>
      <c r="D865" s="154" t="s">
        <v>208</v>
      </c>
      <c r="E865" s="154" t="s">
        <v>208</v>
      </c>
      <c r="F865" s="154" t="s">
        <v>208</v>
      </c>
      <c r="G865" s="154" t="s">
        <v>208</v>
      </c>
      <c r="H865" s="155"/>
      <c r="I865" s="155"/>
      <c r="J865" s="155"/>
      <c r="K865" s="158" t="s">
        <v>244</v>
      </c>
      <c r="R865" s="157"/>
      <c r="S865" s="157"/>
    </row>
    <row r="866">
      <c r="A866" s="153">
        <f t="shared" si="2"/>
        <v>865</v>
      </c>
      <c r="B866" s="154"/>
      <c r="C866" s="154" t="s">
        <v>208</v>
      </c>
      <c r="D866" s="154" t="s">
        <v>208</v>
      </c>
      <c r="E866" s="154" t="s">
        <v>208</v>
      </c>
      <c r="F866" s="154" t="s">
        <v>208</v>
      </c>
      <c r="G866" s="154" t="s">
        <v>208</v>
      </c>
      <c r="H866" s="155"/>
      <c r="I866" s="155"/>
      <c r="J866" s="155"/>
      <c r="K866" s="158" t="s">
        <v>244</v>
      </c>
      <c r="R866" s="163"/>
      <c r="S866" s="163"/>
    </row>
    <row r="867">
      <c r="A867" s="153">
        <f t="shared" si="2"/>
        <v>866</v>
      </c>
      <c r="B867" s="154"/>
      <c r="C867" s="154" t="s">
        <v>208</v>
      </c>
      <c r="D867" s="154" t="s">
        <v>208</v>
      </c>
      <c r="E867" s="154" t="s">
        <v>208</v>
      </c>
      <c r="F867" s="154" t="s">
        <v>208</v>
      </c>
      <c r="G867" s="154" t="s">
        <v>208</v>
      </c>
      <c r="H867" s="155"/>
      <c r="I867" s="155"/>
      <c r="J867" s="155"/>
      <c r="K867" s="158" t="s">
        <v>244</v>
      </c>
      <c r="R867" s="163"/>
      <c r="S867" s="163"/>
    </row>
    <row r="868">
      <c r="A868" s="153">
        <f t="shared" si="2"/>
        <v>867</v>
      </c>
      <c r="B868" s="154"/>
      <c r="C868" s="154" t="s">
        <v>208</v>
      </c>
      <c r="D868" s="154" t="s">
        <v>208</v>
      </c>
      <c r="E868" s="154" t="s">
        <v>208</v>
      </c>
      <c r="F868" s="154" t="s">
        <v>208</v>
      </c>
      <c r="G868" s="154" t="s">
        <v>208</v>
      </c>
      <c r="H868" s="155"/>
      <c r="I868" s="155"/>
      <c r="J868" s="155"/>
      <c r="K868" s="158" t="s">
        <v>244</v>
      </c>
      <c r="R868" s="163"/>
      <c r="S868" s="163"/>
    </row>
    <row r="869">
      <c r="A869" s="153">
        <f t="shared" si="2"/>
        <v>868</v>
      </c>
      <c r="B869" s="154"/>
      <c r="C869" s="154" t="s">
        <v>208</v>
      </c>
      <c r="D869" s="154" t="s">
        <v>208</v>
      </c>
      <c r="E869" s="154" t="s">
        <v>208</v>
      </c>
      <c r="F869" s="154" t="s">
        <v>208</v>
      </c>
      <c r="G869" s="154" t="s">
        <v>208</v>
      </c>
      <c r="H869" s="155"/>
      <c r="I869" s="155"/>
      <c r="J869" s="155"/>
      <c r="K869" s="158" t="s">
        <v>244</v>
      </c>
      <c r="R869" s="163"/>
      <c r="S869" s="163"/>
    </row>
    <row r="870">
      <c r="A870" s="153">
        <f t="shared" si="2"/>
        <v>869</v>
      </c>
      <c r="B870" s="154"/>
      <c r="C870" s="154" t="s">
        <v>208</v>
      </c>
      <c r="D870" s="154" t="s">
        <v>208</v>
      </c>
      <c r="E870" s="154" t="s">
        <v>208</v>
      </c>
      <c r="F870" s="154" t="s">
        <v>208</v>
      </c>
      <c r="G870" s="154" t="s">
        <v>208</v>
      </c>
      <c r="H870" s="155"/>
      <c r="I870" s="155"/>
      <c r="J870" s="155"/>
      <c r="K870" s="158" t="s">
        <v>244</v>
      </c>
      <c r="R870" s="163"/>
      <c r="S870" s="163"/>
    </row>
    <row r="871">
      <c r="A871" s="153">
        <f t="shared" si="2"/>
        <v>870</v>
      </c>
      <c r="B871" s="154"/>
      <c r="C871" s="154" t="s">
        <v>208</v>
      </c>
      <c r="D871" s="154" t="s">
        <v>208</v>
      </c>
      <c r="E871" s="154" t="s">
        <v>208</v>
      </c>
      <c r="F871" s="154" t="s">
        <v>208</v>
      </c>
      <c r="G871" s="154" t="s">
        <v>208</v>
      </c>
      <c r="H871" s="155"/>
      <c r="I871" s="155"/>
      <c r="J871" s="155"/>
      <c r="K871" s="158" t="s">
        <v>244</v>
      </c>
      <c r="R871" s="163"/>
      <c r="S871" s="163"/>
    </row>
    <row r="872">
      <c r="A872" s="153">
        <f t="shared" si="2"/>
        <v>871</v>
      </c>
      <c r="B872" s="154"/>
      <c r="C872" s="154" t="s">
        <v>208</v>
      </c>
      <c r="D872" s="154" t="s">
        <v>208</v>
      </c>
      <c r="E872" s="154" t="s">
        <v>208</v>
      </c>
      <c r="F872" s="154" t="s">
        <v>208</v>
      </c>
      <c r="G872" s="154" t="s">
        <v>208</v>
      </c>
      <c r="H872" s="155"/>
      <c r="I872" s="155"/>
      <c r="J872" s="155"/>
      <c r="K872" s="158" t="s">
        <v>244</v>
      </c>
      <c r="R872" s="163"/>
      <c r="S872" s="163"/>
    </row>
    <row r="873">
      <c r="A873" s="153">
        <f t="shared" si="2"/>
        <v>872</v>
      </c>
      <c r="B873" s="154"/>
      <c r="C873" s="154" t="s">
        <v>208</v>
      </c>
      <c r="D873" s="154" t="s">
        <v>208</v>
      </c>
      <c r="E873" s="154" t="s">
        <v>208</v>
      </c>
      <c r="F873" s="154" t="s">
        <v>208</v>
      </c>
      <c r="G873" s="154" t="s">
        <v>208</v>
      </c>
      <c r="H873" s="155"/>
      <c r="I873" s="155"/>
      <c r="J873" s="155"/>
      <c r="K873" s="158" t="s">
        <v>244</v>
      </c>
      <c r="R873" s="163"/>
      <c r="S873" s="163"/>
    </row>
    <row r="874">
      <c r="A874" s="153">
        <f t="shared" si="2"/>
        <v>873</v>
      </c>
      <c r="B874" s="154"/>
      <c r="C874" s="154" t="s">
        <v>208</v>
      </c>
      <c r="D874" s="154" t="s">
        <v>208</v>
      </c>
      <c r="E874" s="154" t="s">
        <v>208</v>
      </c>
      <c r="F874" s="154" t="s">
        <v>208</v>
      </c>
      <c r="G874" s="154" t="s">
        <v>208</v>
      </c>
      <c r="H874" s="155"/>
      <c r="I874" s="155"/>
      <c r="J874" s="155"/>
      <c r="K874" s="158" t="s">
        <v>244</v>
      </c>
      <c r="R874" s="163"/>
      <c r="S874" s="163"/>
    </row>
    <row r="875">
      <c r="A875" s="153">
        <f t="shared" si="2"/>
        <v>874</v>
      </c>
      <c r="B875" s="155"/>
      <c r="C875" s="154" t="s">
        <v>208</v>
      </c>
      <c r="D875" s="154" t="s">
        <v>208</v>
      </c>
      <c r="E875" s="154" t="s">
        <v>208</v>
      </c>
      <c r="F875" s="154" t="s">
        <v>208</v>
      </c>
      <c r="G875" s="154" t="s">
        <v>208</v>
      </c>
      <c r="H875" s="154"/>
      <c r="I875" s="155"/>
      <c r="J875" s="155"/>
      <c r="K875" s="158" t="s">
        <v>244</v>
      </c>
      <c r="R875" s="163"/>
      <c r="S875" s="163"/>
    </row>
    <row r="876">
      <c r="A876" s="153">
        <f t="shared" si="2"/>
        <v>875</v>
      </c>
      <c r="B876" s="154"/>
      <c r="C876" s="154" t="s">
        <v>208</v>
      </c>
      <c r="D876" s="154" t="s">
        <v>208</v>
      </c>
      <c r="E876" s="154" t="s">
        <v>208</v>
      </c>
      <c r="F876" s="154" t="s">
        <v>208</v>
      </c>
      <c r="G876" s="154" t="s">
        <v>208</v>
      </c>
      <c r="H876" s="153"/>
      <c r="I876" s="155"/>
      <c r="J876" s="155"/>
      <c r="K876" s="158" t="s">
        <v>244</v>
      </c>
      <c r="R876" s="173"/>
      <c r="S876" s="173"/>
    </row>
    <row r="877">
      <c r="A877" s="153">
        <f t="shared" si="2"/>
        <v>876</v>
      </c>
      <c r="B877" s="155"/>
      <c r="C877" s="154" t="s">
        <v>208</v>
      </c>
      <c r="D877" s="154" t="s">
        <v>208</v>
      </c>
      <c r="E877" s="154" t="s">
        <v>208</v>
      </c>
      <c r="F877" s="154" t="s">
        <v>208</v>
      </c>
      <c r="G877" s="154" t="s">
        <v>208</v>
      </c>
      <c r="H877" s="154"/>
      <c r="I877" s="155"/>
      <c r="J877" s="155"/>
      <c r="K877" s="158" t="s">
        <v>244</v>
      </c>
      <c r="R877" s="157"/>
      <c r="S877" s="157"/>
    </row>
    <row r="878">
      <c r="A878" s="153">
        <f t="shared" si="2"/>
        <v>877</v>
      </c>
      <c r="B878" s="154"/>
      <c r="C878" s="154" t="s">
        <v>208</v>
      </c>
      <c r="D878" s="154" t="s">
        <v>208</v>
      </c>
      <c r="E878" s="154" t="s">
        <v>208</v>
      </c>
      <c r="F878" s="154" t="s">
        <v>208</v>
      </c>
      <c r="G878" s="154" t="s">
        <v>208</v>
      </c>
      <c r="H878" s="155"/>
      <c r="I878" s="155"/>
      <c r="J878" s="155"/>
      <c r="K878" s="158" t="s">
        <v>244</v>
      </c>
      <c r="R878" s="163"/>
      <c r="S878" s="163"/>
    </row>
    <row r="879">
      <c r="A879" s="153">
        <f t="shared" si="2"/>
        <v>878</v>
      </c>
      <c r="B879" s="154"/>
      <c r="C879" s="154" t="s">
        <v>208</v>
      </c>
      <c r="D879" s="154" t="s">
        <v>208</v>
      </c>
      <c r="E879" s="154" t="s">
        <v>208</v>
      </c>
      <c r="F879" s="154" t="s">
        <v>208</v>
      </c>
      <c r="G879" s="154" t="s">
        <v>208</v>
      </c>
      <c r="H879" s="154"/>
      <c r="I879" s="155"/>
      <c r="J879" s="155"/>
      <c r="K879" s="158" t="s">
        <v>244</v>
      </c>
      <c r="R879" s="163"/>
      <c r="S879" s="163"/>
    </row>
    <row r="880">
      <c r="A880" s="153">
        <f t="shared" si="2"/>
        <v>879</v>
      </c>
      <c r="B880" s="154"/>
      <c r="C880" s="154" t="s">
        <v>208</v>
      </c>
      <c r="D880" s="154" t="s">
        <v>208</v>
      </c>
      <c r="E880" s="154" t="s">
        <v>208</v>
      </c>
      <c r="F880" s="154" t="s">
        <v>208</v>
      </c>
      <c r="G880" s="154" t="s">
        <v>208</v>
      </c>
      <c r="H880" s="155"/>
      <c r="I880" s="155"/>
      <c r="J880" s="155"/>
      <c r="K880" s="158" t="s">
        <v>244</v>
      </c>
      <c r="R880" s="163"/>
      <c r="S880" s="163"/>
    </row>
    <row r="881">
      <c r="A881" s="153">
        <f t="shared" si="2"/>
        <v>880</v>
      </c>
      <c r="B881" s="154"/>
      <c r="C881" s="154" t="s">
        <v>208</v>
      </c>
      <c r="D881" s="154" t="s">
        <v>208</v>
      </c>
      <c r="E881" s="154" t="s">
        <v>208</v>
      </c>
      <c r="F881" s="154" t="s">
        <v>208</v>
      </c>
      <c r="G881" s="154" t="s">
        <v>208</v>
      </c>
      <c r="H881" s="155"/>
      <c r="I881" s="155"/>
      <c r="J881" s="155"/>
      <c r="K881" s="158" t="s">
        <v>244</v>
      </c>
      <c r="R881" s="163"/>
      <c r="S881" s="163"/>
    </row>
    <row r="882">
      <c r="A882" s="153">
        <f t="shared" si="2"/>
        <v>881</v>
      </c>
      <c r="B882" s="154"/>
      <c r="C882" s="154" t="s">
        <v>208</v>
      </c>
      <c r="D882" s="154" t="s">
        <v>208</v>
      </c>
      <c r="E882" s="154" t="s">
        <v>208</v>
      </c>
      <c r="F882" s="154" t="s">
        <v>208</v>
      </c>
      <c r="G882" s="154" t="s">
        <v>208</v>
      </c>
      <c r="H882" s="155"/>
      <c r="I882" s="155"/>
      <c r="J882" s="155"/>
      <c r="K882" s="158" t="s">
        <v>244</v>
      </c>
      <c r="R882" s="163"/>
      <c r="S882" s="163"/>
    </row>
    <row r="883">
      <c r="A883" s="153">
        <f t="shared" si="2"/>
        <v>882</v>
      </c>
      <c r="B883" s="154"/>
      <c r="C883" s="154" t="s">
        <v>208</v>
      </c>
      <c r="D883" s="154" t="s">
        <v>208</v>
      </c>
      <c r="E883" s="154" t="s">
        <v>208</v>
      </c>
      <c r="F883" s="154" t="s">
        <v>208</v>
      </c>
      <c r="G883" s="154" t="s">
        <v>208</v>
      </c>
      <c r="H883" s="155"/>
      <c r="I883" s="155"/>
      <c r="J883" s="155"/>
      <c r="K883" s="158" t="s">
        <v>244</v>
      </c>
      <c r="R883" s="163"/>
      <c r="S883" s="163"/>
    </row>
    <row r="884">
      <c r="A884" s="153">
        <f t="shared" si="2"/>
        <v>883</v>
      </c>
      <c r="B884" s="154"/>
      <c r="C884" s="154" t="s">
        <v>208</v>
      </c>
      <c r="D884" s="154" t="s">
        <v>208</v>
      </c>
      <c r="E884" s="154" t="s">
        <v>208</v>
      </c>
      <c r="F884" s="154" t="s">
        <v>208</v>
      </c>
      <c r="G884" s="154" t="s">
        <v>208</v>
      </c>
      <c r="H884" s="155"/>
      <c r="I884" s="155"/>
      <c r="J884" s="155"/>
      <c r="K884" s="158" t="s">
        <v>244</v>
      </c>
      <c r="R884" s="163"/>
      <c r="S884" s="163"/>
    </row>
    <row r="885">
      <c r="A885" s="153">
        <f t="shared" si="2"/>
        <v>884</v>
      </c>
      <c r="B885" s="154"/>
      <c r="C885" s="154" t="s">
        <v>208</v>
      </c>
      <c r="D885" s="154" t="s">
        <v>208</v>
      </c>
      <c r="E885" s="154" t="s">
        <v>208</v>
      </c>
      <c r="F885" s="154" t="s">
        <v>208</v>
      </c>
      <c r="G885" s="154" t="s">
        <v>208</v>
      </c>
      <c r="H885" s="155"/>
      <c r="I885" s="155"/>
      <c r="J885" s="155"/>
      <c r="K885" s="158" t="s">
        <v>244</v>
      </c>
      <c r="R885" s="163"/>
      <c r="S885" s="163"/>
    </row>
    <row r="886">
      <c r="A886" s="153">
        <f t="shared" si="2"/>
        <v>885</v>
      </c>
      <c r="B886" s="154"/>
      <c r="C886" s="154" t="s">
        <v>208</v>
      </c>
      <c r="D886" s="154" t="s">
        <v>208</v>
      </c>
      <c r="E886" s="154" t="s">
        <v>208</v>
      </c>
      <c r="F886" s="154" t="s">
        <v>208</v>
      </c>
      <c r="G886" s="154" t="s">
        <v>208</v>
      </c>
      <c r="H886" s="155"/>
      <c r="I886" s="155"/>
      <c r="J886" s="155"/>
      <c r="K886" s="158" t="s">
        <v>244</v>
      </c>
      <c r="R886" s="163"/>
      <c r="S886" s="163"/>
    </row>
    <row r="887">
      <c r="A887" s="153">
        <f t="shared" si="2"/>
        <v>886</v>
      </c>
      <c r="B887" s="154"/>
      <c r="C887" s="154" t="s">
        <v>208</v>
      </c>
      <c r="D887" s="154" t="s">
        <v>208</v>
      </c>
      <c r="E887" s="154" t="s">
        <v>208</v>
      </c>
      <c r="F887" s="154" t="s">
        <v>208</v>
      </c>
      <c r="G887" s="154" t="s">
        <v>208</v>
      </c>
      <c r="H887" s="155"/>
      <c r="I887" s="155"/>
      <c r="J887" s="155"/>
      <c r="K887" s="158" t="s">
        <v>244</v>
      </c>
      <c r="R887" s="163"/>
      <c r="S887" s="163"/>
    </row>
    <row r="888">
      <c r="A888" s="153">
        <f t="shared" si="2"/>
        <v>887</v>
      </c>
      <c r="B888" s="155"/>
      <c r="C888" s="154" t="s">
        <v>208</v>
      </c>
      <c r="D888" s="154" t="s">
        <v>208</v>
      </c>
      <c r="E888" s="154" t="s">
        <v>208</v>
      </c>
      <c r="F888" s="154" t="s">
        <v>208</v>
      </c>
      <c r="G888" s="154" t="s">
        <v>208</v>
      </c>
      <c r="H888" s="155"/>
      <c r="I888" s="155"/>
      <c r="J888" s="155"/>
      <c r="K888" s="158" t="s">
        <v>244</v>
      </c>
      <c r="R888" s="173"/>
      <c r="S888" s="173"/>
    </row>
    <row r="889">
      <c r="A889" s="153">
        <f t="shared" si="2"/>
        <v>888</v>
      </c>
      <c r="B889" s="154"/>
      <c r="C889" s="154" t="s">
        <v>208</v>
      </c>
      <c r="D889" s="154" t="s">
        <v>208</v>
      </c>
      <c r="E889" s="154" t="s">
        <v>208</v>
      </c>
      <c r="F889" s="154" t="s">
        <v>208</v>
      </c>
      <c r="G889" s="154" t="s">
        <v>208</v>
      </c>
      <c r="H889" s="155"/>
      <c r="I889" s="155"/>
      <c r="J889" s="155"/>
      <c r="K889" s="158" t="s">
        <v>244</v>
      </c>
      <c r="R889" s="157"/>
      <c r="S889" s="157"/>
    </row>
    <row r="890">
      <c r="A890" s="177">
        <f t="shared" si="2"/>
        <v>889</v>
      </c>
      <c r="B890" s="154"/>
      <c r="C890" s="154"/>
      <c r="D890" s="154" t="s">
        <v>208</v>
      </c>
      <c r="E890" s="154" t="s">
        <v>208</v>
      </c>
      <c r="F890" s="154" t="s">
        <v>208</v>
      </c>
      <c r="G890" s="154"/>
      <c r="H890" s="154" t="s">
        <v>208</v>
      </c>
      <c r="I890" s="155"/>
      <c r="J890" s="155"/>
      <c r="K890" s="158" t="s">
        <v>244</v>
      </c>
      <c r="R890" s="163"/>
      <c r="S890" s="163"/>
    </row>
    <row r="891">
      <c r="A891" s="153">
        <f t="shared" si="2"/>
        <v>890</v>
      </c>
      <c r="B891" s="154"/>
      <c r="C891" s="154" t="s">
        <v>208</v>
      </c>
      <c r="D891" s="154" t="s">
        <v>208</v>
      </c>
      <c r="E891" s="154" t="s">
        <v>208</v>
      </c>
      <c r="F891" s="154" t="s">
        <v>208</v>
      </c>
      <c r="G891" s="154" t="s">
        <v>208</v>
      </c>
      <c r="H891" s="155"/>
      <c r="I891" s="155"/>
      <c r="J891" s="155"/>
      <c r="K891" s="158" t="s">
        <v>244</v>
      </c>
      <c r="R891" s="163"/>
      <c r="S891" s="163"/>
    </row>
    <row r="892">
      <c r="A892" s="153">
        <f t="shared" si="2"/>
        <v>891</v>
      </c>
      <c r="B892" s="154"/>
      <c r="C892" s="154"/>
      <c r="D892" s="154"/>
      <c r="E892" s="154"/>
      <c r="F892" s="154"/>
      <c r="G892" s="154"/>
      <c r="H892" s="155"/>
      <c r="I892" s="155"/>
      <c r="J892" s="154" t="s">
        <v>217</v>
      </c>
      <c r="K892" s="158" t="s">
        <v>244</v>
      </c>
      <c r="R892" s="163"/>
      <c r="S892" s="163"/>
    </row>
    <row r="893">
      <c r="A893" s="153">
        <f t="shared" si="2"/>
        <v>892</v>
      </c>
      <c r="B893" s="155"/>
      <c r="C893" s="154" t="s">
        <v>208</v>
      </c>
      <c r="D893" s="154" t="s">
        <v>208</v>
      </c>
      <c r="E893" s="154" t="s">
        <v>208</v>
      </c>
      <c r="F893" s="154" t="s">
        <v>208</v>
      </c>
      <c r="G893" s="154" t="s">
        <v>208</v>
      </c>
      <c r="H893" s="154"/>
      <c r="I893" s="155"/>
      <c r="J893" s="155"/>
      <c r="K893" s="158" t="s">
        <v>244</v>
      </c>
      <c r="R893" s="163"/>
      <c r="S893" s="163"/>
    </row>
    <row r="894">
      <c r="A894" s="153">
        <f t="shared" si="2"/>
        <v>893</v>
      </c>
      <c r="B894" s="154"/>
      <c r="C894" s="154" t="s">
        <v>208</v>
      </c>
      <c r="D894" s="154" t="s">
        <v>208</v>
      </c>
      <c r="E894" s="154"/>
      <c r="F894" s="154" t="s">
        <v>208</v>
      </c>
      <c r="G894" s="154" t="s">
        <v>208</v>
      </c>
      <c r="H894" s="155"/>
      <c r="I894" s="155"/>
      <c r="J894" s="155"/>
      <c r="K894" s="158" t="s">
        <v>244</v>
      </c>
      <c r="R894" s="163"/>
      <c r="S894" s="163"/>
    </row>
    <row r="895">
      <c r="A895" s="153">
        <f t="shared" si="2"/>
        <v>894</v>
      </c>
      <c r="B895" s="154"/>
      <c r="C895" s="154" t="s">
        <v>208</v>
      </c>
      <c r="D895" s="154" t="s">
        <v>218</v>
      </c>
      <c r="E895" s="154" t="s">
        <v>208</v>
      </c>
      <c r="F895" s="154" t="s">
        <v>218</v>
      </c>
      <c r="G895" s="154" t="s">
        <v>208</v>
      </c>
      <c r="H895" s="155"/>
      <c r="I895" s="155"/>
      <c r="J895" s="155"/>
      <c r="K895" s="158" t="s">
        <v>244</v>
      </c>
      <c r="R895" s="163"/>
      <c r="S895" s="163"/>
    </row>
    <row r="896">
      <c r="A896" s="153">
        <f t="shared" si="2"/>
        <v>895</v>
      </c>
      <c r="B896" s="154"/>
      <c r="C896" s="154" t="s">
        <v>208</v>
      </c>
      <c r="D896" s="154" t="s">
        <v>208</v>
      </c>
      <c r="E896" s="154" t="s">
        <v>208</v>
      </c>
      <c r="F896" s="154" t="s">
        <v>208</v>
      </c>
      <c r="G896" s="154" t="s">
        <v>208</v>
      </c>
      <c r="H896" s="155"/>
      <c r="I896" s="155"/>
      <c r="J896" s="155"/>
      <c r="K896" s="158" t="s">
        <v>244</v>
      </c>
      <c r="R896" s="163"/>
      <c r="S896" s="163"/>
    </row>
    <row r="897">
      <c r="A897" s="153">
        <f t="shared" si="2"/>
        <v>896</v>
      </c>
      <c r="B897" s="154"/>
      <c r="C897" s="154" t="s">
        <v>208</v>
      </c>
      <c r="D897" s="154" t="s">
        <v>208</v>
      </c>
      <c r="E897" s="154" t="s">
        <v>208</v>
      </c>
      <c r="F897" s="154" t="s">
        <v>208</v>
      </c>
      <c r="G897" s="154" t="s">
        <v>208</v>
      </c>
      <c r="H897" s="155"/>
      <c r="I897" s="155"/>
      <c r="J897" s="155"/>
      <c r="K897" s="158" t="s">
        <v>244</v>
      </c>
      <c r="R897" s="163"/>
      <c r="S897" s="163"/>
    </row>
    <row r="898">
      <c r="A898" s="153">
        <f t="shared" si="2"/>
        <v>897</v>
      </c>
      <c r="B898" s="154"/>
      <c r="C898" s="154" t="s">
        <v>208</v>
      </c>
      <c r="D898" s="154" t="s">
        <v>208</v>
      </c>
      <c r="E898" s="154" t="s">
        <v>208</v>
      </c>
      <c r="F898" s="154" t="s">
        <v>208</v>
      </c>
      <c r="G898" s="154" t="s">
        <v>208</v>
      </c>
      <c r="H898" s="155"/>
      <c r="I898" s="155"/>
      <c r="J898" s="155"/>
      <c r="K898" s="158" t="s">
        <v>244</v>
      </c>
      <c r="R898" s="163"/>
      <c r="S898" s="163"/>
    </row>
    <row r="899">
      <c r="A899" s="153">
        <f t="shared" si="2"/>
        <v>898</v>
      </c>
      <c r="B899" s="154"/>
      <c r="C899" s="154" t="s">
        <v>208</v>
      </c>
      <c r="D899" s="154" t="s">
        <v>208</v>
      </c>
      <c r="E899" s="154" t="s">
        <v>208</v>
      </c>
      <c r="F899" s="154" t="s">
        <v>208</v>
      </c>
      <c r="G899" s="154" t="s">
        <v>208</v>
      </c>
      <c r="H899" s="155"/>
      <c r="I899" s="155"/>
      <c r="J899" s="155"/>
      <c r="K899" s="158" t="s">
        <v>244</v>
      </c>
      <c r="R899" s="163"/>
      <c r="S899" s="163"/>
    </row>
    <row r="900">
      <c r="A900" s="153">
        <f t="shared" si="2"/>
        <v>899</v>
      </c>
      <c r="B900" s="154"/>
      <c r="C900" s="154"/>
      <c r="D900" s="154"/>
      <c r="E900" s="154"/>
      <c r="F900" s="154"/>
      <c r="G900" s="154"/>
      <c r="H900" s="155"/>
      <c r="I900" s="155"/>
      <c r="J900" s="154" t="s">
        <v>217</v>
      </c>
      <c r="K900" s="158" t="s">
        <v>244</v>
      </c>
      <c r="R900" s="173"/>
      <c r="S900" s="173"/>
    </row>
    <row r="901">
      <c r="A901" s="153">
        <f t="shared" si="2"/>
        <v>900</v>
      </c>
      <c r="B901" s="154"/>
      <c r="C901" s="154" t="s">
        <v>208</v>
      </c>
      <c r="D901" s="154" t="s">
        <v>208</v>
      </c>
      <c r="E901" s="154" t="s">
        <v>208</v>
      </c>
      <c r="F901" s="154" t="s">
        <v>208</v>
      </c>
      <c r="G901" s="154" t="s">
        <v>208</v>
      </c>
      <c r="H901" s="155"/>
      <c r="I901" s="155"/>
      <c r="J901" s="155"/>
      <c r="K901" s="158" t="s">
        <v>244</v>
      </c>
      <c r="R901" s="157"/>
      <c r="S901" s="157"/>
    </row>
    <row r="902">
      <c r="A902" s="153">
        <f t="shared" si="2"/>
        <v>901</v>
      </c>
      <c r="B902" s="154"/>
      <c r="C902" s="154" t="s">
        <v>208</v>
      </c>
      <c r="D902" s="154" t="s">
        <v>208</v>
      </c>
      <c r="E902" s="154" t="s">
        <v>208</v>
      </c>
      <c r="F902" s="154" t="s">
        <v>208</v>
      </c>
      <c r="G902" s="154" t="s">
        <v>208</v>
      </c>
      <c r="H902" s="155"/>
      <c r="I902" s="155"/>
      <c r="J902" s="155"/>
      <c r="K902" s="158" t="s">
        <v>244</v>
      </c>
      <c r="R902" s="163"/>
      <c r="S902" s="163"/>
    </row>
    <row r="903">
      <c r="A903" s="153">
        <f t="shared" si="2"/>
        <v>902</v>
      </c>
      <c r="B903" s="154"/>
      <c r="C903" s="154" t="s">
        <v>208</v>
      </c>
      <c r="D903" s="154" t="s">
        <v>208</v>
      </c>
      <c r="E903" s="154" t="s">
        <v>208</v>
      </c>
      <c r="F903" s="154" t="s">
        <v>218</v>
      </c>
      <c r="G903" s="154" t="s">
        <v>208</v>
      </c>
      <c r="H903" s="155"/>
      <c r="I903" s="155"/>
      <c r="J903" s="155"/>
      <c r="K903" s="158" t="s">
        <v>244</v>
      </c>
      <c r="R903" s="163"/>
      <c r="S903" s="163"/>
    </row>
    <row r="904">
      <c r="A904" s="153">
        <f t="shared" si="2"/>
        <v>903</v>
      </c>
      <c r="B904" s="154"/>
      <c r="C904" s="154" t="s">
        <v>208</v>
      </c>
      <c r="D904" s="154" t="s">
        <v>208</v>
      </c>
      <c r="E904" s="154" t="s">
        <v>208</v>
      </c>
      <c r="F904" s="154" t="s">
        <v>208</v>
      </c>
      <c r="G904" s="154" t="s">
        <v>208</v>
      </c>
      <c r="H904" s="155"/>
      <c r="I904" s="155"/>
      <c r="J904" s="155"/>
      <c r="K904" s="158" t="s">
        <v>244</v>
      </c>
      <c r="R904" s="163"/>
      <c r="S904" s="163"/>
    </row>
    <row r="905">
      <c r="A905" s="153">
        <f t="shared" si="2"/>
        <v>904</v>
      </c>
      <c r="B905" s="154"/>
      <c r="C905" s="154"/>
      <c r="D905" s="154"/>
      <c r="E905" s="154"/>
      <c r="F905" s="154"/>
      <c r="G905" s="155"/>
      <c r="H905" s="153"/>
      <c r="I905" s="155"/>
      <c r="J905" s="154" t="s">
        <v>217</v>
      </c>
      <c r="K905" s="158" t="s">
        <v>244</v>
      </c>
      <c r="R905" s="163"/>
      <c r="S905" s="163"/>
    </row>
    <row r="906">
      <c r="A906" s="153">
        <f t="shared" si="2"/>
        <v>905</v>
      </c>
      <c r="B906" s="154"/>
      <c r="C906" s="154" t="s">
        <v>208</v>
      </c>
      <c r="D906" s="154" t="s">
        <v>208</v>
      </c>
      <c r="E906" s="154" t="s">
        <v>208</v>
      </c>
      <c r="F906" s="154" t="s">
        <v>208</v>
      </c>
      <c r="G906" s="154" t="s">
        <v>208</v>
      </c>
      <c r="H906" s="155"/>
      <c r="I906" s="155"/>
      <c r="J906" s="155"/>
      <c r="K906" s="158" t="s">
        <v>244</v>
      </c>
      <c r="R906" s="163"/>
      <c r="S906" s="163"/>
    </row>
    <row r="907">
      <c r="A907" s="153">
        <f t="shared" si="2"/>
        <v>906</v>
      </c>
      <c r="B907" s="154"/>
      <c r="C907" s="154" t="s">
        <v>208</v>
      </c>
      <c r="D907" s="154" t="s">
        <v>208</v>
      </c>
      <c r="E907" s="154" t="s">
        <v>208</v>
      </c>
      <c r="F907" s="154" t="s">
        <v>208</v>
      </c>
      <c r="G907" s="154" t="s">
        <v>208</v>
      </c>
      <c r="H907" s="155"/>
      <c r="I907" s="155"/>
      <c r="J907" s="155"/>
      <c r="K907" s="158" t="s">
        <v>244</v>
      </c>
      <c r="R907" s="163"/>
      <c r="S907" s="163"/>
    </row>
    <row r="908">
      <c r="A908" s="153">
        <f t="shared" si="2"/>
        <v>907</v>
      </c>
      <c r="B908" s="154"/>
      <c r="C908" s="154" t="s">
        <v>208</v>
      </c>
      <c r="D908" s="154" t="s">
        <v>208</v>
      </c>
      <c r="E908" s="154" t="s">
        <v>208</v>
      </c>
      <c r="F908" s="154" t="s">
        <v>208</v>
      </c>
      <c r="G908" s="154" t="s">
        <v>208</v>
      </c>
      <c r="H908" s="155"/>
      <c r="I908" s="155"/>
      <c r="J908" s="155"/>
      <c r="K908" s="158" t="s">
        <v>244</v>
      </c>
      <c r="R908" s="163"/>
      <c r="S908" s="163"/>
    </row>
    <row r="909">
      <c r="A909" s="153">
        <f t="shared" si="2"/>
        <v>908</v>
      </c>
      <c r="B909" s="154"/>
      <c r="C909" s="154" t="s">
        <v>208</v>
      </c>
      <c r="D909" s="154" t="s">
        <v>208</v>
      </c>
      <c r="E909" s="154" t="s">
        <v>208</v>
      </c>
      <c r="F909" s="154" t="s">
        <v>208</v>
      </c>
      <c r="G909" s="154" t="s">
        <v>208</v>
      </c>
      <c r="H909" s="155"/>
      <c r="I909" s="155"/>
      <c r="J909" s="155"/>
      <c r="K909" s="158" t="s">
        <v>244</v>
      </c>
      <c r="R909" s="163"/>
      <c r="S909" s="163"/>
    </row>
    <row r="910">
      <c r="A910" s="153">
        <f t="shared" si="2"/>
        <v>909</v>
      </c>
      <c r="B910" s="154"/>
      <c r="C910" s="154" t="s">
        <v>208</v>
      </c>
      <c r="D910" s="154" t="s">
        <v>208</v>
      </c>
      <c r="E910" s="154" t="s">
        <v>208</v>
      </c>
      <c r="F910" s="154" t="s">
        <v>208</v>
      </c>
      <c r="G910" s="154" t="s">
        <v>208</v>
      </c>
      <c r="H910" s="155"/>
      <c r="I910" s="155"/>
      <c r="J910" s="155"/>
      <c r="K910" s="158" t="s">
        <v>244</v>
      </c>
      <c r="R910" s="163"/>
      <c r="S910" s="163"/>
    </row>
    <row r="911">
      <c r="A911" s="153">
        <f t="shared" si="2"/>
        <v>910</v>
      </c>
      <c r="B911" s="154"/>
      <c r="C911" s="154" t="s">
        <v>208</v>
      </c>
      <c r="D911" s="154" t="s">
        <v>208</v>
      </c>
      <c r="E911" s="154" t="s">
        <v>208</v>
      </c>
      <c r="F911" s="154" t="s">
        <v>208</v>
      </c>
      <c r="G911" s="154" t="s">
        <v>208</v>
      </c>
      <c r="H911" s="155"/>
      <c r="I911" s="155"/>
      <c r="J911" s="155"/>
      <c r="K911" s="158" t="s">
        <v>244</v>
      </c>
      <c r="R911" s="163"/>
      <c r="S911" s="163"/>
    </row>
    <row r="912">
      <c r="A912" s="153">
        <f t="shared" si="2"/>
        <v>911</v>
      </c>
      <c r="B912" s="154"/>
      <c r="C912" s="154" t="s">
        <v>208</v>
      </c>
      <c r="D912" s="154" t="s">
        <v>208</v>
      </c>
      <c r="E912" s="154" t="s">
        <v>208</v>
      </c>
      <c r="F912" s="154" t="s">
        <v>208</v>
      </c>
      <c r="G912" s="154" t="s">
        <v>208</v>
      </c>
      <c r="H912" s="155"/>
      <c r="I912" s="155"/>
      <c r="J912" s="155"/>
      <c r="K912" s="158" t="s">
        <v>244</v>
      </c>
      <c r="R912" s="173"/>
      <c r="S912" s="173"/>
    </row>
    <row r="913">
      <c r="A913" s="153">
        <f t="shared" si="2"/>
        <v>912</v>
      </c>
      <c r="B913" s="154"/>
      <c r="C913" s="154" t="s">
        <v>208</v>
      </c>
      <c r="D913" s="154" t="s">
        <v>208</v>
      </c>
      <c r="E913" s="154" t="s">
        <v>208</v>
      </c>
      <c r="F913" s="154" t="s">
        <v>208</v>
      </c>
      <c r="G913" s="154" t="s">
        <v>208</v>
      </c>
      <c r="H913" s="155"/>
      <c r="I913" s="155"/>
      <c r="J913" s="155"/>
      <c r="K913" s="158" t="s">
        <v>244</v>
      </c>
      <c r="R913" s="157"/>
      <c r="S913" s="157"/>
    </row>
    <row r="914">
      <c r="A914" s="153">
        <f t="shared" si="2"/>
        <v>913</v>
      </c>
      <c r="B914" s="154"/>
      <c r="C914" s="154" t="s">
        <v>208</v>
      </c>
      <c r="D914" s="154" t="s">
        <v>208</v>
      </c>
      <c r="E914" s="154" t="s">
        <v>208</v>
      </c>
      <c r="F914" s="154" t="s">
        <v>208</v>
      </c>
      <c r="G914" s="154" t="s">
        <v>208</v>
      </c>
      <c r="H914" s="155"/>
      <c r="I914" s="155"/>
      <c r="J914" s="155"/>
      <c r="K914" s="158" t="s">
        <v>244</v>
      </c>
      <c r="R914" s="163"/>
      <c r="S914" s="163"/>
    </row>
    <row r="915">
      <c r="A915" s="153">
        <f t="shared" si="2"/>
        <v>914</v>
      </c>
      <c r="B915" s="154"/>
      <c r="C915" s="154" t="s">
        <v>208</v>
      </c>
      <c r="D915" s="154" t="s">
        <v>208</v>
      </c>
      <c r="E915" s="154" t="s">
        <v>208</v>
      </c>
      <c r="F915" s="154" t="s">
        <v>208</v>
      </c>
      <c r="G915" s="154" t="s">
        <v>208</v>
      </c>
      <c r="H915" s="155"/>
      <c r="I915" s="155"/>
      <c r="J915" s="155"/>
      <c r="K915" s="158" t="s">
        <v>244</v>
      </c>
      <c r="R915" s="163"/>
      <c r="S915" s="163"/>
    </row>
    <row r="916">
      <c r="A916" s="153">
        <f t="shared" si="2"/>
        <v>915</v>
      </c>
      <c r="B916" s="154"/>
      <c r="C916" s="154" t="s">
        <v>208</v>
      </c>
      <c r="D916" s="154" t="s">
        <v>208</v>
      </c>
      <c r="E916" s="154" t="s">
        <v>208</v>
      </c>
      <c r="F916" s="154" t="s">
        <v>208</v>
      </c>
      <c r="G916" s="154" t="s">
        <v>208</v>
      </c>
      <c r="H916" s="155"/>
      <c r="I916" s="155"/>
      <c r="J916" s="155"/>
      <c r="K916" s="158" t="s">
        <v>244</v>
      </c>
      <c r="R916" s="163"/>
      <c r="S916" s="163"/>
    </row>
    <row r="917">
      <c r="A917" s="153">
        <f t="shared" si="2"/>
        <v>916</v>
      </c>
      <c r="B917" s="154"/>
      <c r="C917" s="154" t="s">
        <v>208</v>
      </c>
      <c r="D917" s="154" t="s">
        <v>208</v>
      </c>
      <c r="E917" s="154" t="s">
        <v>208</v>
      </c>
      <c r="F917" s="154" t="s">
        <v>208</v>
      </c>
      <c r="G917" s="154" t="s">
        <v>208</v>
      </c>
      <c r="H917" s="155"/>
      <c r="I917" s="155"/>
      <c r="J917" s="155"/>
      <c r="K917" s="158" t="s">
        <v>244</v>
      </c>
      <c r="R917" s="163"/>
      <c r="S917" s="163"/>
    </row>
    <row r="918">
      <c r="A918" s="153">
        <f t="shared" si="2"/>
        <v>917</v>
      </c>
      <c r="B918" s="154"/>
      <c r="C918" s="154" t="s">
        <v>208</v>
      </c>
      <c r="D918" s="154"/>
      <c r="E918" s="154" t="s">
        <v>208</v>
      </c>
      <c r="F918" s="154" t="s">
        <v>208</v>
      </c>
      <c r="G918" s="154" t="s">
        <v>208</v>
      </c>
      <c r="H918" s="155"/>
      <c r="I918" s="155"/>
      <c r="J918" s="155"/>
      <c r="K918" s="158" t="s">
        <v>244</v>
      </c>
      <c r="R918" s="163"/>
      <c r="S918" s="163"/>
    </row>
    <row r="919">
      <c r="A919" s="153">
        <f t="shared" si="2"/>
        <v>918</v>
      </c>
      <c r="B919" s="154"/>
      <c r="C919" s="154" t="s">
        <v>208</v>
      </c>
      <c r="D919" s="154" t="s">
        <v>208</v>
      </c>
      <c r="E919" s="154" t="s">
        <v>208</v>
      </c>
      <c r="F919" s="154" t="s">
        <v>208</v>
      </c>
      <c r="G919" s="154" t="s">
        <v>208</v>
      </c>
      <c r="H919" s="155"/>
      <c r="I919" s="155"/>
      <c r="J919" s="155"/>
      <c r="K919" s="158" t="s">
        <v>244</v>
      </c>
      <c r="R919" s="163"/>
      <c r="S919" s="163"/>
    </row>
    <row r="920">
      <c r="A920" s="153">
        <f t="shared" si="2"/>
        <v>919</v>
      </c>
      <c r="B920" s="154"/>
      <c r="C920" s="154" t="s">
        <v>208</v>
      </c>
      <c r="D920" s="154" t="s">
        <v>208</v>
      </c>
      <c r="E920" s="154" t="s">
        <v>208</v>
      </c>
      <c r="F920" s="154" t="s">
        <v>208</v>
      </c>
      <c r="G920" s="154" t="s">
        <v>208</v>
      </c>
      <c r="H920" s="155"/>
      <c r="I920" s="155"/>
      <c r="J920" s="155"/>
      <c r="K920" s="158" t="s">
        <v>244</v>
      </c>
      <c r="R920" s="163"/>
      <c r="S920" s="163"/>
    </row>
    <row r="921">
      <c r="A921" s="153">
        <f t="shared" si="2"/>
        <v>920</v>
      </c>
      <c r="B921" s="154"/>
      <c r="C921" s="154" t="s">
        <v>208</v>
      </c>
      <c r="D921" s="154" t="s">
        <v>208</v>
      </c>
      <c r="E921" s="154" t="s">
        <v>208</v>
      </c>
      <c r="F921" s="154" t="s">
        <v>208</v>
      </c>
      <c r="G921" s="154" t="s">
        <v>208</v>
      </c>
      <c r="H921" s="155"/>
      <c r="I921" s="155"/>
      <c r="J921" s="155"/>
      <c r="K921" s="158" t="s">
        <v>244</v>
      </c>
      <c r="R921" s="163"/>
      <c r="S921" s="163"/>
    </row>
    <row r="922">
      <c r="A922" s="153">
        <f t="shared" si="2"/>
        <v>921</v>
      </c>
      <c r="B922" s="154"/>
      <c r="C922" s="154" t="s">
        <v>208</v>
      </c>
      <c r="D922" s="154" t="s">
        <v>208</v>
      </c>
      <c r="E922" s="154" t="s">
        <v>208</v>
      </c>
      <c r="F922" s="154" t="s">
        <v>208</v>
      </c>
      <c r="G922" s="154" t="s">
        <v>208</v>
      </c>
      <c r="H922" s="155"/>
      <c r="I922" s="155"/>
      <c r="J922" s="155"/>
      <c r="K922" s="158" t="s">
        <v>244</v>
      </c>
      <c r="R922" s="163"/>
      <c r="S922" s="163"/>
    </row>
    <row r="923">
      <c r="A923" s="153">
        <f t="shared" si="2"/>
        <v>922</v>
      </c>
      <c r="B923" s="154"/>
      <c r="C923" s="154" t="s">
        <v>208</v>
      </c>
      <c r="D923" s="154" t="s">
        <v>208</v>
      </c>
      <c r="E923" s="154" t="s">
        <v>208</v>
      </c>
      <c r="F923" s="154" t="s">
        <v>208</v>
      </c>
      <c r="G923" s="154" t="s">
        <v>208</v>
      </c>
      <c r="H923" s="155"/>
      <c r="I923" s="155"/>
      <c r="J923" s="155"/>
      <c r="K923" s="158" t="s">
        <v>244</v>
      </c>
      <c r="R923" s="163"/>
      <c r="S923" s="163"/>
    </row>
    <row r="924">
      <c r="A924" s="153">
        <f t="shared" si="2"/>
        <v>923</v>
      </c>
      <c r="B924" s="154"/>
      <c r="C924" s="154" t="s">
        <v>208</v>
      </c>
      <c r="D924" s="154" t="s">
        <v>208</v>
      </c>
      <c r="E924" s="154" t="s">
        <v>208</v>
      </c>
      <c r="F924" s="154" t="s">
        <v>208</v>
      </c>
      <c r="G924" s="154" t="s">
        <v>208</v>
      </c>
      <c r="H924" s="155"/>
      <c r="I924" s="155"/>
      <c r="J924" s="155"/>
      <c r="K924" s="158" t="s">
        <v>244</v>
      </c>
      <c r="R924" s="173"/>
      <c r="S924" s="173"/>
    </row>
    <row r="925">
      <c r="A925" s="153">
        <f t="shared" si="2"/>
        <v>924</v>
      </c>
      <c r="B925" s="154"/>
      <c r="C925" s="154" t="s">
        <v>208</v>
      </c>
      <c r="D925" s="154" t="s">
        <v>208</v>
      </c>
      <c r="E925" s="154" t="s">
        <v>208</v>
      </c>
      <c r="F925" s="154" t="s">
        <v>208</v>
      </c>
      <c r="G925" s="154" t="s">
        <v>208</v>
      </c>
      <c r="H925" s="155"/>
      <c r="I925" s="155"/>
      <c r="J925" s="155"/>
      <c r="K925" s="158" t="s">
        <v>244</v>
      </c>
      <c r="R925" s="157"/>
      <c r="S925" s="157"/>
    </row>
    <row r="926">
      <c r="A926" s="153">
        <f t="shared" si="2"/>
        <v>925</v>
      </c>
      <c r="B926" s="154"/>
      <c r="C926" s="154" t="s">
        <v>208</v>
      </c>
      <c r="D926" s="154" t="s">
        <v>208</v>
      </c>
      <c r="E926" s="154" t="s">
        <v>208</v>
      </c>
      <c r="F926" s="154" t="s">
        <v>208</v>
      </c>
      <c r="G926" s="154" t="s">
        <v>208</v>
      </c>
      <c r="H926" s="155"/>
      <c r="I926" s="155"/>
      <c r="J926" s="155"/>
      <c r="K926" s="158" t="s">
        <v>244</v>
      </c>
      <c r="R926" s="163"/>
      <c r="S926" s="163"/>
    </row>
    <row r="927">
      <c r="A927" s="153">
        <f t="shared" si="2"/>
        <v>926</v>
      </c>
      <c r="B927" s="154"/>
      <c r="C927" s="154" t="s">
        <v>208</v>
      </c>
      <c r="D927" s="154" t="s">
        <v>208</v>
      </c>
      <c r="E927" s="154" t="s">
        <v>208</v>
      </c>
      <c r="F927" s="154" t="s">
        <v>208</v>
      </c>
      <c r="G927" s="154" t="s">
        <v>208</v>
      </c>
      <c r="H927" s="155"/>
      <c r="I927" s="155"/>
      <c r="J927" s="155"/>
      <c r="K927" s="158" t="s">
        <v>244</v>
      </c>
      <c r="R927" s="163"/>
      <c r="S927" s="163"/>
    </row>
    <row r="928">
      <c r="A928" s="153">
        <f t="shared" si="2"/>
        <v>927</v>
      </c>
      <c r="B928" s="154"/>
      <c r="C928" s="154" t="s">
        <v>208</v>
      </c>
      <c r="D928" s="154"/>
      <c r="E928" s="154"/>
      <c r="F928" s="154" t="s">
        <v>208</v>
      </c>
      <c r="G928" s="154" t="s">
        <v>208</v>
      </c>
      <c r="H928" s="153"/>
      <c r="I928" s="155"/>
      <c r="J928" s="155"/>
      <c r="K928" s="158" t="s">
        <v>244</v>
      </c>
      <c r="R928" s="163"/>
      <c r="S928" s="163"/>
    </row>
    <row r="929">
      <c r="A929" s="177">
        <f t="shared" si="2"/>
        <v>928</v>
      </c>
      <c r="B929" s="154"/>
      <c r="C929" s="154"/>
      <c r="D929" s="154" t="s">
        <v>208</v>
      </c>
      <c r="E929" s="154" t="s">
        <v>208</v>
      </c>
      <c r="F929" s="154" t="s">
        <v>208</v>
      </c>
      <c r="G929" s="155"/>
      <c r="H929" s="154" t="s">
        <v>208</v>
      </c>
      <c r="I929" s="155"/>
      <c r="J929" s="155"/>
      <c r="K929" s="158" t="s">
        <v>244</v>
      </c>
      <c r="R929" s="163"/>
      <c r="S929" s="163"/>
    </row>
    <row r="930">
      <c r="A930" s="153">
        <f t="shared" si="2"/>
        <v>929</v>
      </c>
      <c r="B930" s="154"/>
      <c r="C930" s="154" t="s">
        <v>208</v>
      </c>
      <c r="D930" s="154" t="s">
        <v>208</v>
      </c>
      <c r="E930" s="154" t="s">
        <v>208</v>
      </c>
      <c r="F930" s="154" t="s">
        <v>208</v>
      </c>
      <c r="G930" s="154" t="s">
        <v>208</v>
      </c>
      <c r="H930" s="155"/>
      <c r="I930" s="155"/>
      <c r="J930" s="155"/>
      <c r="K930" s="158" t="s">
        <v>244</v>
      </c>
      <c r="R930" s="163"/>
      <c r="S930" s="163"/>
    </row>
    <row r="931">
      <c r="A931" s="153">
        <f t="shared" si="2"/>
        <v>930</v>
      </c>
      <c r="B931" s="154"/>
      <c r="C931" s="154" t="s">
        <v>208</v>
      </c>
      <c r="D931" s="154" t="s">
        <v>208</v>
      </c>
      <c r="E931" s="154" t="s">
        <v>208</v>
      </c>
      <c r="F931" s="154" t="s">
        <v>208</v>
      </c>
      <c r="G931" s="154" t="s">
        <v>208</v>
      </c>
      <c r="H931" s="155"/>
      <c r="I931" s="155"/>
      <c r="J931" s="155"/>
      <c r="K931" s="158" t="s">
        <v>244</v>
      </c>
      <c r="R931" s="163"/>
      <c r="S931" s="163"/>
    </row>
    <row r="932">
      <c r="A932" s="153">
        <f t="shared" si="2"/>
        <v>931</v>
      </c>
      <c r="B932" s="154"/>
      <c r="C932" s="154" t="s">
        <v>208</v>
      </c>
      <c r="D932" s="154" t="s">
        <v>208</v>
      </c>
      <c r="E932" s="154" t="s">
        <v>208</v>
      </c>
      <c r="F932" s="154" t="s">
        <v>208</v>
      </c>
      <c r="G932" s="154" t="s">
        <v>208</v>
      </c>
      <c r="H932" s="155"/>
      <c r="I932" s="155"/>
      <c r="J932" s="155"/>
      <c r="K932" s="158" t="s">
        <v>244</v>
      </c>
      <c r="R932" s="163"/>
      <c r="S932" s="163"/>
    </row>
    <row r="933">
      <c r="A933" s="153">
        <f t="shared" si="2"/>
        <v>932</v>
      </c>
      <c r="B933" s="154"/>
      <c r="C933" s="154" t="s">
        <v>208</v>
      </c>
      <c r="D933" s="154" t="s">
        <v>208</v>
      </c>
      <c r="E933" s="154" t="s">
        <v>208</v>
      </c>
      <c r="F933" s="154" t="s">
        <v>208</v>
      </c>
      <c r="G933" s="154" t="s">
        <v>208</v>
      </c>
      <c r="H933" s="155"/>
      <c r="I933" s="155"/>
      <c r="J933" s="155"/>
      <c r="K933" s="158" t="s">
        <v>244</v>
      </c>
      <c r="R933" s="163"/>
      <c r="S933" s="163"/>
    </row>
    <row r="934">
      <c r="A934" s="153">
        <f t="shared" si="2"/>
        <v>933</v>
      </c>
      <c r="B934" s="154"/>
      <c r="C934" s="154"/>
      <c r="D934" s="154" t="s">
        <v>208</v>
      </c>
      <c r="E934" s="154" t="s">
        <v>208</v>
      </c>
      <c r="F934" s="154" t="s">
        <v>208</v>
      </c>
      <c r="G934" s="155"/>
      <c r="H934" s="154" t="s">
        <v>208</v>
      </c>
      <c r="I934" s="155"/>
      <c r="J934" s="154"/>
      <c r="K934" s="158" t="s">
        <v>244</v>
      </c>
      <c r="R934" s="163"/>
      <c r="S934" s="163"/>
    </row>
    <row r="935">
      <c r="A935" s="153">
        <f t="shared" si="2"/>
        <v>934</v>
      </c>
      <c r="B935" s="154"/>
      <c r="C935" s="154"/>
      <c r="D935" s="154"/>
      <c r="E935" s="154"/>
      <c r="F935" s="154"/>
      <c r="G935" s="154"/>
      <c r="H935" s="155"/>
      <c r="I935" s="155"/>
      <c r="J935" s="154" t="s">
        <v>217</v>
      </c>
      <c r="K935" s="158" t="s">
        <v>244</v>
      </c>
      <c r="R935" s="163"/>
      <c r="S935" s="163"/>
    </row>
    <row r="936">
      <c r="A936" s="177">
        <f t="shared" si="2"/>
        <v>935</v>
      </c>
      <c r="B936" s="154"/>
      <c r="C936" s="154"/>
      <c r="D936" s="154" t="s">
        <v>208</v>
      </c>
      <c r="E936" s="154" t="s">
        <v>208</v>
      </c>
      <c r="F936" s="154" t="s">
        <v>208</v>
      </c>
      <c r="G936" s="155"/>
      <c r="H936" s="154" t="s">
        <v>208</v>
      </c>
      <c r="I936" s="155"/>
      <c r="J936" s="155"/>
      <c r="K936" s="158" t="s">
        <v>244</v>
      </c>
      <c r="R936" s="173"/>
      <c r="S936" s="173"/>
    </row>
    <row r="937">
      <c r="A937" s="153">
        <f t="shared" si="2"/>
        <v>936</v>
      </c>
      <c r="B937" s="154"/>
      <c r="C937" s="154" t="s">
        <v>208</v>
      </c>
      <c r="D937" s="154" t="s">
        <v>208</v>
      </c>
      <c r="E937" s="154" t="s">
        <v>208</v>
      </c>
      <c r="F937" s="154" t="s">
        <v>208</v>
      </c>
      <c r="G937" s="154" t="s">
        <v>208</v>
      </c>
      <c r="H937" s="155"/>
      <c r="I937" s="155"/>
      <c r="J937" s="155"/>
      <c r="K937" s="158" t="s">
        <v>244</v>
      </c>
      <c r="R937" s="157"/>
      <c r="S937" s="157"/>
    </row>
    <row r="938">
      <c r="A938" s="153">
        <f t="shared" si="2"/>
        <v>937</v>
      </c>
      <c r="B938" s="154"/>
      <c r="C938" s="154" t="s">
        <v>208</v>
      </c>
      <c r="D938" s="154" t="s">
        <v>208</v>
      </c>
      <c r="E938" s="154" t="s">
        <v>208</v>
      </c>
      <c r="F938" s="154" t="s">
        <v>208</v>
      </c>
      <c r="G938" s="154" t="s">
        <v>208</v>
      </c>
      <c r="H938" s="155"/>
      <c r="I938" s="155"/>
      <c r="J938" s="155"/>
      <c r="K938" s="158" t="s">
        <v>244</v>
      </c>
      <c r="R938" s="163"/>
      <c r="S938" s="163"/>
    </row>
    <row r="939">
      <c r="A939" s="153">
        <f t="shared" si="2"/>
        <v>938</v>
      </c>
      <c r="B939" s="154"/>
      <c r="C939" s="154" t="s">
        <v>208</v>
      </c>
      <c r="D939" s="154" t="s">
        <v>208</v>
      </c>
      <c r="E939" s="154" t="s">
        <v>208</v>
      </c>
      <c r="F939" s="154" t="s">
        <v>208</v>
      </c>
      <c r="G939" s="154" t="s">
        <v>208</v>
      </c>
      <c r="H939" s="155"/>
      <c r="I939" s="155"/>
      <c r="J939" s="155"/>
      <c r="K939" s="158" t="s">
        <v>244</v>
      </c>
      <c r="R939" s="163"/>
      <c r="S939" s="163"/>
    </row>
    <row r="940">
      <c r="A940" s="153">
        <f t="shared" si="2"/>
        <v>939</v>
      </c>
      <c r="B940" s="154"/>
      <c r="C940" s="154" t="s">
        <v>208</v>
      </c>
      <c r="D940" s="154" t="s">
        <v>208</v>
      </c>
      <c r="E940" s="154" t="s">
        <v>208</v>
      </c>
      <c r="F940" s="154" t="s">
        <v>208</v>
      </c>
      <c r="G940" s="154" t="s">
        <v>208</v>
      </c>
      <c r="H940" s="155"/>
      <c r="I940" s="155"/>
      <c r="J940" s="155"/>
      <c r="K940" s="158" t="s">
        <v>244</v>
      </c>
      <c r="R940" s="163"/>
      <c r="S940" s="163"/>
    </row>
    <row r="941">
      <c r="A941" s="153">
        <f t="shared" si="2"/>
        <v>940</v>
      </c>
      <c r="B941" s="154"/>
      <c r="C941" s="154" t="s">
        <v>208</v>
      </c>
      <c r="D941" s="154" t="s">
        <v>208</v>
      </c>
      <c r="E941" s="154"/>
      <c r="F941" s="154" t="s">
        <v>208</v>
      </c>
      <c r="G941" s="154" t="s">
        <v>208</v>
      </c>
      <c r="H941" s="155"/>
      <c r="I941" s="155"/>
      <c r="J941" s="155"/>
      <c r="K941" s="158" t="s">
        <v>244</v>
      </c>
      <c r="R941" s="163"/>
      <c r="S941" s="163"/>
    </row>
    <row r="942">
      <c r="A942" s="153">
        <f t="shared" si="2"/>
        <v>941</v>
      </c>
      <c r="B942" s="154"/>
      <c r="C942" s="154"/>
      <c r="D942" s="154"/>
      <c r="E942" s="154"/>
      <c r="F942" s="154"/>
      <c r="G942" s="154"/>
      <c r="H942" s="155"/>
      <c r="I942" s="155"/>
      <c r="J942" s="154" t="s">
        <v>217</v>
      </c>
      <c r="K942" s="158" t="s">
        <v>244</v>
      </c>
      <c r="R942" s="163"/>
      <c r="S942" s="163"/>
    </row>
    <row r="943">
      <c r="A943" s="153">
        <f t="shared" si="2"/>
        <v>942</v>
      </c>
      <c r="B943" s="154"/>
      <c r="C943" s="154" t="s">
        <v>208</v>
      </c>
      <c r="D943" s="154" t="s">
        <v>208</v>
      </c>
      <c r="E943" s="154" t="s">
        <v>208</v>
      </c>
      <c r="F943" s="154" t="s">
        <v>208</v>
      </c>
      <c r="G943" s="154" t="s">
        <v>208</v>
      </c>
      <c r="H943" s="155"/>
      <c r="I943" s="155"/>
      <c r="J943" s="155"/>
      <c r="K943" s="158" t="s">
        <v>244</v>
      </c>
      <c r="R943" s="163"/>
      <c r="S943" s="163"/>
    </row>
    <row r="944">
      <c r="A944" s="153">
        <f t="shared" si="2"/>
        <v>943</v>
      </c>
      <c r="B944" s="154"/>
      <c r="C944" s="154" t="s">
        <v>208</v>
      </c>
      <c r="D944" s="154" t="s">
        <v>208</v>
      </c>
      <c r="E944" s="154" t="s">
        <v>208</v>
      </c>
      <c r="F944" s="154" t="s">
        <v>208</v>
      </c>
      <c r="G944" s="154" t="s">
        <v>208</v>
      </c>
      <c r="H944" s="155"/>
      <c r="I944" s="155"/>
      <c r="J944" s="155"/>
      <c r="K944" s="158" t="s">
        <v>244</v>
      </c>
      <c r="R944" s="163"/>
      <c r="S944" s="163"/>
    </row>
    <row r="945">
      <c r="A945" s="153">
        <f t="shared" si="2"/>
        <v>944</v>
      </c>
      <c r="B945" s="154"/>
      <c r="C945" s="154" t="s">
        <v>208</v>
      </c>
      <c r="D945" s="154" t="s">
        <v>208</v>
      </c>
      <c r="E945" s="154" t="s">
        <v>208</v>
      </c>
      <c r="F945" s="154" t="s">
        <v>208</v>
      </c>
      <c r="G945" s="154" t="s">
        <v>208</v>
      </c>
      <c r="H945" s="155"/>
      <c r="I945" s="155"/>
      <c r="J945" s="155"/>
      <c r="K945" s="158" t="s">
        <v>244</v>
      </c>
      <c r="R945" s="163"/>
      <c r="S945" s="163"/>
    </row>
    <row r="946">
      <c r="A946" s="153">
        <f t="shared" si="2"/>
        <v>945</v>
      </c>
      <c r="B946" s="154"/>
      <c r="C946" s="154" t="s">
        <v>208</v>
      </c>
      <c r="D946" s="154" t="s">
        <v>208</v>
      </c>
      <c r="E946" s="154" t="s">
        <v>208</v>
      </c>
      <c r="F946" s="154" t="s">
        <v>208</v>
      </c>
      <c r="G946" s="154" t="s">
        <v>208</v>
      </c>
      <c r="H946" s="155"/>
      <c r="I946" s="155"/>
      <c r="J946" s="155"/>
      <c r="K946" s="158" t="s">
        <v>244</v>
      </c>
      <c r="R946" s="163"/>
      <c r="S946" s="163"/>
    </row>
    <row r="947">
      <c r="A947" s="153">
        <f t="shared" si="2"/>
        <v>946</v>
      </c>
      <c r="B947" s="154"/>
      <c r="C947" s="154" t="s">
        <v>208</v>
      </c>
      <c r="D947" s="154" t="s">
        <v>208</v>
      </c>
      <c r="E947" s="154" t="s">
        <v>208</v>
      </c>
      <c r="F947" s="154" t="s">
        <v>208</v>
      </c>
      <c r="G947" s="154" t="s">
        <v>208</v>
      </c>
      <c r="H947" s="155"/>
      <c r="I947" s="155"/>
      <c r="J947" s="155"/>
      <c r="K947" s="158" t="s">
        <v>244</v>
      </c>
      <c r="R947" s="163"/>
      <c r="S947" s="163"/>
    </row>
    <row r="948">
      <c r="A948" s="153">
        <f t="shared" si="2"/>
        <v>947</v>
      </c>
      <c r="B948" s="154"/>
      <c r="C948" s="154" t="s">
        <v>208</v>
      </c>
      <c r="D948" s="154" t="s">
        <v>208</v>
      </c>
      <c r="E948" s="154" t="s">
        <v>208</v>
      </c>
      <c r="F948" s="154" t="s">
        <v>208</v>
      </c>
      <c r="G948" s="154" t="s">
        <v>208</v>
      </c>
      <c r="H948" s="155"/>
      <c r="I948" s="155"/>
      <c r="J948" s="155"/>
      <c r="K948" s="158" t="s">
        <v>244</v>
      </c>
      <c r="R948" s="173"/>
      <c r="S948" s="173"/>
    </row>
    <row r="949">
      <c r="A949" s="153">
        <f t="shared" si="2"/>
        <v>948</v>
      </c>
      <c r="B949" s="154"/>
      <c r="C949" s="154" t="s">
        <v>208</v>
      </c>
      <c r="D949" s="154" t="s">
        <v>208</v>
      </c>
      <c r="E949" s="154" t="s">
        <v>208</v>
      </c>
      <c r="F949" s="154" t="s">
        <v>208</v>
      </c>
      <c r="G949" s="154" t="s">
        <v>208</v>
      </c>
      <c r="H949" s="154"/>
      <c r="I949" s="155"/>
      <c r="J949" s="155"/>
      <c r="K949" s="158" t="s">
        <v>244</v>
      </c>
      <c r="R949" s="157"/>
      <c r="S949" s="157"/>
    </row>
    <row r="950">
      <c r="A950" s="153">
        <f t="shared" si="2"/>
        <v>949</v>
      </c>
      <c r="B950" s="154"/>
      <c r="C950" s="154" t="s">
        <v>208</v>
      </c>
      <c r="D950" s="154" t="s">
        <v>208</v>
      </c>
      <c r="E950" s="154" t="s">
        <v>208</v>
      </c>
      <c r="F950" s="154" t="s">
        <v>208</v>
      </c>
      <c r="G950" s="154" t="s">
        <v>208</v>
      </c>
      <c r="H950" s="154"/>
      <c r="I950" s="155"/>
      <c r="J950" s="155"/>
      <c r="K950" s="158" t="s">
        <v>244</v>
      </c>
      <c r="R950" s="163"/>
      <c r="S950" s="163"/>
    </row>
    <row r="951">
      <c r="A951" s="153">
        <f t="shared" si="2"/>
        <v>950</v>
      </c>
      <c r="B951" s="154"/>
      <c r="C951" s="154" t="s">
        <v>208</v>
      </c>
      <c r="D951" s="154" t="s">
        <v>208</v>
      </c>
      <c r="E951" s="154" t="s">
        <v>208</v>
      </c>
      <c r="F951" s="154" t="s">
        <v>208</v>
      </c>
      <c r="G951" s="154" t="s">
        <v>208</v>
      </c>
      <c r="H951" s="153"/>
      <c r="I951" s="155"/>
      <c r="J951" s="155"/>
      <c r="K951" s="158" t="s">
        <v>244</v>
      </c>
      <c r="R951" s="163"/>
      <c r="S951" s="163"/>
    </row>
    <row r="952">
      <c r="A952" s="153">
        <f t="shared" si="2"/>
        <v>951</v>
      </c>
      <c r="B952" s="154"/>
      <c r="C952" s="154" t="s">
        <v>208</v>
      </c>
      <c r="D952" s="154" t="s">
        <v>208</v>
      </c>
      <c r="E952" s="154"/>
      <c r="F952" s="154" t="s">
        <v>208</v>
      </c>
      <c r="G952" s="154" t="s">
        <v>208</v>
      </c>
      <c r="H952" s="153"/>
      <c r="I952" s="155"/>
      <c r="J952" s="155"/>
      <c r="K952" s="158" t="s">
        <v>244</v>
      </c>
      <c r="R952" s="163"/>
      <c r="S952" s="163"/>
    </row>
    <row r="953">
      <c r="A953" s="153">
        <f t="shared" si="2"/>
        <v>952</v>
      </c>
      <c r="B953" s="154"/>
      <c r="C953" s="154" t="s">
        <v>208</v>
      </c>
      <c r="D953" s="154"/>
      <c r="E953" s="154" t="s">
        <v>208</v>
      </c>
      <c r="F953" s="154" t="s">
        <v>208</v>
      </c>
      <c r="G953" s="154" t="s">
        <v>208</v>
      </c>
      <c r="H953" s="153"/>
      <c r="I953" s="155"/>
      <c r="J953" s="155"/>
      <c r="K953" s="158" t="s">
        <v>244</v>
      </c>
      <c r="R953" s="163"/>
      <c r="S953" s="163"/>
    </row>
    <row r="954">
      <c r="A954" s="153">
        <f t="shared" si="2"/>
        <v>953</v>
      </c>
      <c r="B954" s="154"/>
      <c r="C954" s="154" t="s">
        <v>208</v>
      </c>
      <c r="D954" s="154" t="s">
        <v>208</v>
      </c>
      <c r="E954" s="154" t="s">
        <v>208</v>
      </c>
      <c r="F954" s="154" t="s">
        <v>208</v>
      </c>
      <c r="G954" s="154" t="s">
        <v>208</v>
      </c>
      <c r="H954" s="153"/>
      <c r="I954" s="155"/>
      <c r="J954" s="155"/>
      <c r="K954" s="158" t="s">
        <v>244</v>
      </c>
      <c r="R954" s="163"/>
      <c r="S954" s="163"/>
    </row>
    <row r="955">
      <c r="A955" s="153">
        <f t="shared" si="2"/>
        <v>954</v>
      </c>
      <c r="B955" s="154"/>
      <c r="C955" s="154" t="s">
        <v>208</v>
      </c>
      <c r="D955" s="154" t="s">
        <v>208</v>
      </c>
      <c r="E955" s="154" t="s">
        <v>208</v>
      </c>
      <c r="F955" s="154" t="s">
        <v>208</v>
      </c>
      <c r="G955" s="154" t="s">
        <v>208</v>
      </c>
      <c r="H955" s="153"/>
      <c r="I955" s="155"/>
      <c r="J955" s="155"/>
      <c r="K955" s="158" t="s">
        <v>244</v>
      </c>
      <c r="R955" s="163"/>
      <c r="S955" s="163"/>
    </row>
    <row r="956">
      <c r="A956" s="153">
        <f t="shared" si="2"/>
        <v>955</v>
      </c>
      <c r="B956" s="154"/>
      <c r="C956" s="154" t="s">
        <v>208</v>
      </c>
      <c r="D956" s="154" t="s">
        <v>208</v>
      </c>
      <c r="E956" s="154" t="s">
        <v>208</v>
      </c>
      <c r="F956" s="154" t="s">
        <v>208</v>
      </c>
      <c r="G956" s="154" t="s">
        <v>208</v>
      </c>
      <c r="H956" s="153"/>
      <c r="I956" s="155"/>
      <c r="J956" s="155"/>
      <c r="K956" s="158" t="s">
        <v>244</v>
      </c>
      <c r="R956" s="163"/>
      <c r="S956" s="163"/>
    </row>
    <row r="957">
      <c r="A957" s="153">
        <f t="shared" si="2"/>
        <v>956</v>
      </c>
      <c r="B957" s="154"/>
      <c r="C957" s="154"/>
      <c r="D957" s="154"/>
      <c r="E957" s="154"/>
      <c r="F957" s="154"/>
      <c r="G957" s="154"/>
      <c r="H957" s="155"/>
      <c r="I957" s="155"/>
      <c r="J957" s="154" t="s">
        <v>217</v>
      </c>
      <c r="K957" s="158" t="s">
        <v>244</v>
      </c>
      <c r="R957" s="163"/>
      <c r="S957" s="163"/>
    </row>
    <row r="958">
      <c r="A958" s="153">
        <f t="shared" si="2"/>
        <v>957</v>
      </c>
      <c r="B958" s="154"/>
      <c r="C958" s="154" t="s">
        <v>208</v>
      </c>
      <c r="D958" s="154" t="s">
        <v>208</v>
      </c>
      <c r="E958" s="154" t="s">
        <v>208</v>
      </c>
      <c r="F958" s="154" t="s">
        <v>208</v>
      </c>
      <c r="G958" s="154" t="s">
        <v>208</v>
      </c>
      <c r="H958" s="155"/>
      <c r="I958" s="155"/>
      <c r="J958" s="155"/>
      <c r="K958" s="158" t="s">
        <v>244</v>
      </c>
      <c r="R958" s="163"/>
      <c r="S958" s="163"/>
    </row>
    <row r="959">
      <c r="A959" s="153">
        <f t="shared" si="2"/>
        <v>958</v>
      </c>
      <c r="B959" s="154"/>
      <c r="C959" s="154"/>
      <c r="D959" s="154"/>
      <c r="E959" s="154"/>
      <c r="F959" s="154"/>
      <c r="G959" s="154"/>
      <c r="H959" s="155"/>
      <c r="I959" s="155"/>
      <c r="J959" s="154" t="s">
        <v>217</v>
      </c>
      <c r="K959" s="158" t="s">
        <v>244</v>
      </c>
      <c r="R959" s="163"/>
      <c r="S959" s="163"/>
    </row>
    <row r="960">
      <c r="A960" s="153">
        <f t="shared" si="2"/>
        <v>959</v>
      </c>
      <c r="B960" s="154"/>
      <c r="C960" s="154" t="s">
        <v>208</v>
      </c>
      <c r="D960" s="154" t="s">
        <v>208</v>
      </c>
      <c r="E960" s="154" t="s">
        <v>208</v>
      </c>
      <c r="F960" s="154" t="s">
        <v>208</v>
      </c>
      <c r="G960" s="154" t="s">
        <v>208</v>
      </c>
      <c r="H960" s="155"/>
      <c r="I960" s="155"/>
      <c r="J960" s="155"/>
      <c r="K960" s="158" t="s">
        <v>244</v>
      </c>
      <c r="R960" s="173"/>
      <c r="S960" s="173"/>
    </row>
    <row r="961">
      <c r="A961" s="153">
        <f t="shared" si="2"/>
        <v>960</v>
      </c>
      <c r="B961" s="154"/>
      <c r="C961" s="154" t="s">
        <v>208</v>
      </c>
      <c r="D961" s="154" t="s">
        <v>208</v>
      </c>
      <c r="E961" s="154" t="s">
        <v>208</v>
      </c>
      <c r="F961" s="154" t="s">
        <v>208</v>
      </c>
      <c r="G961" s="154" t="s">
        <v>208</v>
      </c>
      <c r="H961" s="155"/>
      <c r="I961" s="155"/>
      <c r="J961" s="155"/>
      <c r="K961" s="158" t="s">
        <v>244</v>
      </c>
      <c r="R961" s="157"/>
      <c r="S961" s="157"/>
    </row>
    <row r="962">
      <c r="A962" s="153">
        <f t="shared" si="2"/>
        <v>961</v>
      </c>
      <c r="B962" s="154"/>
      <c r="C962" s="154" t="s">
        <v>208</v>
      </c>
      <c r="D962" s="154" t="s">
        <v>208</v>
      </c>
      <c r="E962" s="154" t="s">
        <v>208</v>
      </c>
      <c r="F962" s="154" t="s">
        <v>208</v>
      </c>
      <c r="G962" s="154" t="s">
        <v>208</v>
      </c>
      <c r="H962" s="155"/>
      <c r="I962" s="155"/>
      <c r="J962" s="155"/>
      <c r="K962" s="158" t="s">
        <v>244</v>
      </c>
      <c r="R962" s="163"/>
      <c r="S962" s="163"/>
    </row>
    <row r="963">
      <c r="A963" s="153">
        <f t="shared" si="2"/>
        <v>962</v>
      </c>
      <c r="B963" s="154"/>
      <c r="C963" s="154" t="s">
        <v>208</v>
      </c>
      <c r="D963" s="154" t="s">
        <v>208</v>
      </c>
      <c r="E963" s="154" t="s">
        <v>208</v>
      </c>
      <c r="F963" s="154" t="s">
        <v>208</v>
      </c>
      <c r="G963" s="154" t="s">
        <v>208</v>
      </c>
      <c r="H963" s="155"/>
      <c r="I963" s="155"/>
      <c r="J963" s="155"/>
      <c r="K963" s="158" t="s">
        <v>244</v>
      </c>
      <c r="R963" s="163"/>
      <c r="S963" s="163"/>
    </row>
    <row r="964">
      <c r="A964" s="153">
        <f t="shared" si="2"/>
        <v>963</v>
      </c>
      <c r="B964" s="154"/>
      <c r="C964" s="154" t="s">
        <v>208</v>
      </c>
      <c r="D964" s="154" t="s">
        <v>208</v>
      </c>
      <c r="E964" s="154" t="s">
        <v>208</v>
      </c>
      <c r="F964" s="154" t="s">
        <v>208</v>
      </c>
      <c r="G964" s="154" t="s">
        <v>208</v>
      </c>
      <c r="H964" s="155"/>
      <c r="I964" s="155"/>
      <c r="J964" s="155"/>
      <c r="K964" s="158" t="s">
        <v>244</v>
      </c>
      <c r="R964" s="163"/>
      <c r="S964" s="163"/>
    </row>
    <row r="965">
      <c r="A965" s="153">
        <f t="shared" si="2"/>
        <v>964</v>
      </c>
      <c r="B965" s="154"/>
      <c r="C965" s="154" t="s">
        <v>208</v>
      </c>
      <c r="D965" s="154" t="s">
        <v>208</v>
      </c>
      <c r="E965" s="154" t="s">
        <v>208</v>
      </c>
      <c r="F965" s="154" t="s">
        <v>208</v>
      </c>
      <c r="G965" s="154" t="s">
        <v>208</v>
      </c>
      <c r="H965" s="155"/>
      <c r="I965" s="155"/>
      <c r="J965" s="155"/>
      <c r="K965" s="158" t="s">
        <v>244</v>
      </c>
      <c r="R965" s="163"/>
      <c r="S965" s="163"/>
    </row>
    <row r="966">
      <c r="A966" s="153">
        <f t="shared" si="2"/>
        <v>965</v>
      </c>
      <c r="B966" s="154"/>
      <c r="C966" s="154" t="s">
        <v>208</v>
      </c>
      <c r="D966" s="154" t="s">
        <v>208</v>
      </c>
      <c r="E966" s="154" t="s">
        <v>208</v>
      </c>
      <c r="F966" s="154" t="s">
        <v>208</v>
      </c>
      <c r="G966" s="154" t="s">
        <v>208</v>
      </c>
      <c r="H966" s="155"/>
      <c r="I966" s="155"/>
      <c r="J966" s="155"/>
      <c r="K966" s="158" t="s">
        <v>244</v>
      </c>
      <c r="R966" s="163"/>
      <c r="S966" s="163"/>
    </row>
    <row r="967">
      <c r="A967" s="153">
        <f t="shared" si="2"/>
        <v>966</v>
      </c>
      <c r="B967" s="154"/>
      <c r="C967" s="154" t="s">
        <v>208</v>
      </c>
      <c r="D967" s="154" t="s">
        <v>208</v>
      </c>
      <c r="E967" s="154" t="s">
        <v>208</v>
      </c>
      <c r="F967" s="154" t="s">
        <v>208</v>
      </c>
      <c r="G967" s="154" t="s">
        <v>208</v>
      </c>
      <c r="H967" s="154"/>
      <c r="I967" s="155"/>
      <c r="J967" s="155"/>
      <c r="K967" s="158" t="s">
        <v>244</v>
      </c>
      <c r="R967" s="163"/>
      <c r="S967" s="163"/>
    </row>
    <row r="968">
      <c r="A968" s="153">
        <f t="shared" si="2"/>
        <v>967</v>
      </c>
      <c r="B968" s="154"/>
      <c r="C968" s="154" t="s">
        <v>208</v>
      </c>
      <c r="D968" s="154" t="s">
        <v>208</v>
      </c>
      <c r="E968" s="154" t="s">
        <v>208</v>
      </c>
      <c r="F968" s="154" t="s">
        <v>208</v>
      </c>
      <c r="G968" s="154" t="s">
        <v>208</v>
      </c>
      <c r="H968" s="155"/>
      <c r="I968" s="155"/>
      <c r="J968" s="155"/>
      <c r="K968" s="158" t="s">
        <v>244</v>
      </c>
      <c r="R968" s="163"/>
      <c r="S968" s="163"/>
    </row>
    <row r="969">
      <c r="A969" s="153">
        <f t="shared" si="2"/>
        <v>968</v>
      </c>
      <c r="B969" s="154"/>
      <c r="C969" s="154" t="s">
        <v>208</v>
      </c>
      <c r="D969" s="154" t="s">
        <v>208</v>
      </c>
      <c r="E969" s="154" t="s">
        <v>208</v>
      </c>
      <c r="F969" s="154" t="s">
        <v>208</v>
      </c>
      <c r="G969" s="154" t="s">
        <v>208</v>
      </c>
      <c r="H969" s="155"/>
      <c r="I969" s="155"/>
      <c r="J969" s="154"/>
      <c r="K969" s="158" t="s">
        <v>244</v>
      </c>
      <c r="R969" s="163"/>
      <c r="S969" s="163"/>
    </row>
    <row r="970">
      <c r="A970" s="153">
        <f t="shared" si="2"/>
        <v>969</v>
      </c>
      <c r="B970" s="154"/>
      <c r="C970" s="154" t="s">
        <v>208</v>
      </c>
      <c r="D970" s="154" t="s">
        <v>208</v>
      </c>
      <c r="E970" s="154" t="s">
        <v>208</v>
      </c>
      <c r="F970" s="154" t="s">
        <v>208</v>
      </c>
      <c r="G970" s="154" t="s">
        <v>208</v>
      </c>
      <c r="H970" s="155"/>
      <c r="I970" s="155"/>
      <c r="J970" s="155"/>
      <c r="K970" s="158" t="s">
        <v>244</v>
      </c>
      <c r="R970" s="163"/>
      <c r="S970" s="163"/>
    </row>
    <row r="971">
      <c r="A971" s="153">
        <f t="shared" si="2"/>
        <v>970</v>
      </c>
      <c r="B971" s="154"/>
      <c r="C971" s="154" t="s">
        <v>208</v>
      </c>
      <c r="D971" s="154" t="s">
        <v>208</v>
      </c>
      <c r="E971" s="154" t="s">
        <v>208</v>
      </c>
      <c r="F971" s="154" t="s">
        <v>208</v>
      </c>
      <c r="G971" s="154" t="s">
        <v>208</v>
      </c>
      <c r="H971" s="155"/>
      <c r="I971" s="155"/>
      <c r="J971" s="155"/>
      <c r="K971" s="158" t="s">
        <v>244</v>
      </c>
      <c r="R971" s="163"/>
      <c r="S971" s="163"/>
    </row>
    <row r="972">
      <c r="A972" s="153">
        <f t="shared" si="2"/>
        <v>971</v>
      </c>
      <c r="B972" s="154"/>
      <c r="C972" s="154" t="s">
        <v>208</v>
      </c>
      <c r="D972" s="154" t="s">
        <v>208</v>
      </c>
      <c r="E972" s="154" t="s">
        <v>208</v>
      </c>
      <c r="F972" s="154" t="s">
        <v>208</v>
      </c>
      <c r="G972" s="154" t="s">
        <v>208</v>
      </c>
      <c r="H972" s="155"/>
      <c r="I972" s="155"/>
      <c r="J972" s="155"/>
      <c r="K972" s="158" t="s">
        <v>244</v>
      </c>
      <c r="R972" s="173"/>
      <c r="S972" s="173"/>
    </row>
    <row r="973">
      <c r="A973" s="153">
        <f t="shared" si="2"/>
        <v>972</v>
      </c>
      <c r="B973" s="154"/>
      <c r="C973" s="154" t="s">
        <v>208</v>
      </c>
      <c r="D973" s="154" t="s">
        <v>208</v>
      </c>
      <c r="E973" s="154" t="s">
        <v>208</v>
      </c>
      <c r="F973" s="154" t="s">
        <v>208</v>
      </c>
      <c r="G973" s="154" t="s">
        <v>208</v>
      </c>
      <c r="H973" s="155"/>
      <c r="I973" s="155"/>
      <c r="J973" s="155"/>
      <c r="K973" s="158" t="s">
        <v>244</v>
      </c>
      <c r="R973" s="157"/>
      <c r="S973" s="157"/>
    </row>
    <row r="974">
      <c r="A974" s="153">
        <f t="shared" si="2"/>
        <v>973</v>
      </c>
      <c r="B974" s="154"/>
      <c r="C974" s="154" t="s">
        <v>208</v>
      </c>
      <c r="D974" s="154" t="s">
        <v>208</v>
      </c>
      <c r="E974" s="154" t="s">
        <v>208</v>
      </c>
      <c r="F974" s="154" t="s">
        <v>208</v>
      </c>
      <c r="G974" s="154" t="s">
        <v>208</v>
      </c>
      <c r="H974" s="155"/>
      <c r="I974" s="155"/>
      <c r="J974" s="155"/>
      <c r="K974" s="158" t="s">
        <v>244</v>
      </c>
      <c r="R974" s="163"/>
      <c r="S974" s="163"/>
    </row>
    <row r="975">
      <c r="A975" s="153">
        <f t="shared" si="2"/>
        <v>974</v>
      </c>
      <c r="B975" s="154"/>
      <c r="C975" s="154" t="s">
        <v>208</v>
      </c>
      <c r="D975" s="154" t="s">
        <v>208</v>
      </c>
      <c r="E975" s="154" t="s">
        <v>208</v>
      </c>
      <c r="F975" s="154" t="s">
        <v>208</v>
      </c>
      <c r="G975" s="154" t="s">
        <v>208</v>
      </c>
      <c r="H975" s="155"/>
      <c r="I975" s="155"/>
      <c r="J975" s="155"/>
      <c r="K975" s="158" t="s">
        <v>244</v>
      </c>
      <c r="R975" s="163"/>
      <c r="S975" s="163"/>
    </row>
    <row r="976">
      <c r="A976" s="153">
        <f t="shared" si="2"/>
        <v>975</v>
      </c>
      <c r="B976" s="154"/>
      <c r="C976" s="154" t="s">
        <v>208</v>
      </c>
      <c r="D976" s="154" t="s">
        <v>208</v>
      </c>
      <c r="E976" s="154" t="s">
        <v>208</v>
      </c>
      <c r="F976" s="154" t="s">
        <v>208</v>
      </c>
      <c r="G976" s="154" t="s">
        <v>208</v>
      </c>
      <c r="H976" s="155"/>
      <c r="I976" s="155"/>
      <c r="J976" s="155"/>
      <c r="K976" s="158" t="s">
        <v>244</v>
      </c>
      <c r="R976" s="163"/>
      <c r="S976" s="163"/>
    </row>
    <row r="977">
      <c r="A977" s="153">
        <f t="shared" si="2"/>
        <v>976</v>
      </c>
      <c r="B977" s="154"/>
      <c r="C977" s="154" t="s">
        <v>208</v>
      </c>
      <c r="D977" s="154" t="s">
        <v>208</v>
      </c>
      <c r="E977" s="154" t="s">
        <v>208</v>
      </c>
      <c r="F977" s="154" t="s">
        <v>208</v>
      </c>
      <c r="G977" s="154" t="s">
        <v>208</v>
      </c>
      <c r="H977" s="155"/>
      <c r="I977" s="155"/>
      <c r="J977" s="155"/>
      <c r="K977" s="158" t="s">
        <v>244</v>
      </c>
      <c r="R977" s="163"/>
      <c r="S977" s="163"/>
    </row>
    <row r="978">
      <c r="A978" s="153">
        <f t="shared" si="2"/>
        <v>977</v>
      </c>
      <c r="B978" s="154"/>
      <c r="C978" s="154" t="s">
        <v>208</v>
      </c>
      <c r="D978" s="154" t="s">
        <v>208</v>
      </c>
      <c r="E978" s="154" t="s">
        <v>208</v>
      </c>
      <c r="F978" s="154" t="s">
        <v>208</v>
      </c>
      <c r="G978" s="154" t="s">
        <v>208</v>
      </c>
      <c r="H978" s="155"/>
      <c r="I978" s="155"/>
      <c r="J978" s="155"/>
      <c r="K978" s="158" t="s">
        <v>244</v>
      </c>
      <c r="R978" s="163"/>
      <c r="S978" s="163"/>
    </row>
    <row r="979">
      <c r="A979" s="153">
        <f t="shared" si="2"/>
        <v>978</v>
      </c>
      <c r="B979" s="154"/>
      <c r="C979" s="154" t="s">
        <v>208</v>
      </c>
      <c r="D979" s="154" t="s">
        <v>208</v>
      </c>
      <c r="E979" s="154" t="s">
        <v>208</v>
      </c>
      <c r="F979" s="154" t="s">
        <v>208</v>
      </c>
      <c r="G979" s="154" t="s">
        <v>208</v>
      </c>
      <c r="H979" s="155"/>
      <c r="I979" s="155"/>
      <c r="J979" s="155"/>
      <c r="K979" s="158" t="s">
        <v>244</v>
      </c>
      <c r="R979" s="163"/>
      <c r="S979" s="163"/>
    </row>
    <row r="980">
      <c r="A980" s="153">
        <f t="shared" si="2"/>
        <v>979</v>
      </c>
      <c r="B980" s="154"/>
      <c r="C980" s="154" t="s">
        <v>208</v>
      </c>
      <c r="D980" s="154" t="s">
        <v>208</v>
      </c>
      <c r="E980" s="154" t="s">
        <v>208</v>
      </c>
      <c r="F980" s="154" t="s">
        <v>208</v>
      </c>
      <c r="G980" s="154" t="s">
        <v>208</v>
      </c>
      <c r="H980" s="155"/>
      <c r="I980" s="155"/>
      <c r="J980" s="155"/>
      <c r="K980" s="158" t="s">
        <v>244</v>
      </c>
      <c r="R980" s="163"/>
      <c r="S980" s="163"/>
    </row>
    <row r="981">
      <c r="A981" s="153">
        <f t="shared" si="2"/>
        <v>980</v>
      </c>
      <c r="B981" s="154"/>
      <c r="C981" s="154"/>
      <c r="D981" s="154"/>
      <c r="E981" s="154"/>
      <c r="F981" s="154"/>
      <c r="G981" s="155"/>
      <c r="H981" s="154"/>
      <c r="I981" s="155"/>
      <c r="J981" s="154" t="s">
        <v>217</v>
      </c>
      <c r="K981" s="158" t="s">
        <v>244</v>
      </c>
      <c r="R981" s="163"/>
      <c r="S981" s="163"/>
    </row>
    <row r="982">
      <c r="A982" s="153">
        <f t="shared" si="2"/>
        <v>981</v>
      </c>
      <c r="B982" s="154"/>
      <c r="C982" s="154" t="s">
        <v>208</v>
      </c>
      <c r="D982" s="154" t="s">
        <v>208</v>
      </c>
      <c r="E982" s="154" t="s">
        <v>208</v>
      </c>
      <c r="F982" s="154" t="s">
        <v>208</v>
      </c>
      <c r="G982" s="154" t="s">
        <v>208</v>
      </c>
      <c r="H982" s="154"/>
      <c r="I982" s="155"/>
      <c r="J982" s="155"/>
      <c r="K982" s="158" t="s">
        <v>244</v>
      </c>
      <c r="R982" s="163"/>
      <c r="S982" s="163"/>
    </row>
    <row r="983">
      <c r="A983" s="153">
        <f t="shared" si="2"/>
        <v>982</v>
      </c>
      <c r="B983" s="154"/>
      <c r="C983" s="154" t="s">
        <v>208</v>
      </c>
      <c r="D983" s="154" t="s">
        <v>208</v>
      </c>
      <c r="E983" s="154" t="s">
        <v>208</v>
      </c>
      <c r="F983" s="154" t="s">
        <v>208</v>
      </c>
      <c r="G983" s="154" t="s">
        <v>208</v>
      </c>
      <c r="H983" s="154"/>
      <c r="I983" s="155"/>
      <c r="J983" s="155"/>
      <c r="K983" s="158" t="s">
        <v>244</v>
      </c>
      <c r="R983" s="163"/>
      <c r="S983" s="163"/>
    </row>
    <row r="984">
      <c r="A984" s="153">
        <f t="shared" si="2"/>
        <v>983</v>
      </c>
      <c r="B984" s="154"/>
      <c r="C984" s="154" t="s">
        <v>208</v>
      </c>
      <c r="D984" s="154" t="s">
        <v>208</v>
      </c>
      <c r="E984" s="154" t="s">
        <v>208</v>
      </c>
      <c r="F984" s="154" t="s">
        <v>208</v>
      </c>
      <c r="G984" s="154" t="s">
        <v>208</v>
      </c>
      <c r="H984" s="155"/>
      <c r="I984" s="155"/>
      <c r="J984" s="155"/>
      <c r="K984" s="158" t="s">
        <v>244</v>
      </c>
      <c r="R984" s="173"/>
      <c r="S984" s="173"/>
    </row>
    <row r="985">
      <c r="A985" s="153">
        <f t="shared" si="2"/>
        <v>984</v>
      </c>
      <c r="B985" s="154"/>
      <c r="C985" s="154" t="s">
        <v>208</v>
      </c>
      <c r="D985" s="154" t="s">
        <v>208</v>
      </c>
      <c r="E985" s="154" t="s">
        <v>208</v>
      </c>
      <c r="F985" s="154" t="s">
        <v>208</v>
      </c>
      <c r="G985" s="154" t="s">
        <v>208</v>
      </c>
      <c r="H985" s="155"/>
      <c r="I985" s="155"/>
      <c r="J985" s="155"/>
      <c r="K985" s="158" t="s">
        <v>244</v>
      </c>
      <c r="R985" s="157"/>
      <c r="S985" s="157"/>
    </row>
    <row r="986">
      <c r="A986" s="153">
        <f t="shared" si="2"/>
        <v>985</v>
      </c>
      <c r="B986" s="154"/>
      <c r="C986" s="154" t="s">
        <v>208</v>
      </c>
      <c r="D986" s="154" t="s">
        <v>208</v>
      </c>
      <c r="E986" s="154" t="s">
        <v>208</v>
      </c>
      <c r="F986" s="154" t="s">
        <v>208</v>
      </c>
      <c r="G986" s="154" t="s">
        <v>208</v>
      </c>
      <c r="H986" s="155"/>
      <c r="I986" s="155"/>
      <c r="J986" s="155"/>
      <c r="K986" s="158" t="s">
        <v>244</v>
      </c>
      <c r="R986" s="163"/>
      <c r="S986" s="163"/>
    </row>
    <row r="987">
      <c r="A987" s="153">
        <f t="shared" si="2"/>
        <v>986</v>
      </c>
      <c r="B987" s="154"/>
      <c r="C987" s="154" t="s">
        <v>208</v>
      </c>
      <c r="D987" s="154" t="s">
        <v>208</v>
      </c>
      <c r="E987" s="154" t="s">
        <v>208</v>
      </c>
      <c r="F987" s="154" t="s">
        <v>208</v>
      </c>
      <c r="G987" s="154" t="s">
        <v>208</v>
      </c>
      <c r="H987" s="155"/>
      <c r="I987" s="155"/>
      <c r="J987" s="155"/>
      <c r="K987" s="158" t="s">
        <v>244</v>
      </c>
      <c r="R987" s="163"/>
      <c r="S987" s="163"/>
    </row>
    <row r="988">
      <c r="A988" s="153">
        <f t="shared" si="2"/>
        <v>987</v>
      </c>
      <c r="B988" s="154"/>
      <c r="C988" s="154" t="s">
        <v>208</v>
      </c>
      <c r="D988" s="154" t="s">
        <v>208</v>
      </c>
      <c r="E988" s="154" t="s">
        <v>208</v>
      </c>
      <c r="F988" s="154" t="s">
        <v>208</v>
      </c>
      <c r="G988" s="154" t="s">
        <v>208</v>
      </c>
      <c r="H988" s="155"/>
      <c r="I988" s="155"/>
      <c r="J988" s="155"/>
      <c r="K988" s="158" t="s">
        <v>244</v>
      </c>
      <c r="R988" s="163"/>
      <c r="S988" s="163"/>
    </row>
    <row r="989">
      <c r="A989" s="153">
        <f t="shared" si="2"/>
        <v>988</v>
      </c>
      <c r="B989" s="154"/>
      <c r="C989" s="154" t="s">
        <v>208</v>
      </c>
      <c r="D989" s="154" t="s">
        <v>208</v>
      </c>
      <c r="E989" s="154" t="s">
        <v>208</v>
      </c>
      <c r="F989" s="154" t="s">
        <v>208</v>
      </c>
      <c r="G989" s="154" t="s">
        <v>208</v>
      </c>
      <c r="H989" s="155"/>
      <c r="I989" s="155"/>
      <c r="J989" s="155"/>
      <c r="K989" s="158" t="s">
        <v>244</v>
      </c>
      <c r="R989" s="163"/>
      <c r="S989" s="163"/>
    </row>
    <row r="990">
      <c r="A990" s="177">
        <f t="shared" si="2"/>
        <v>989</v>
      </c>
      <c r="B990" s="154"/>
      <c r="C990" s="154"/>
      <c r="D990" s="154" t="s">
        <v>208</v>
      </c>
      <c r="E990" s="154" t="s">
        <v>208</v>
      </c>
      <c r="F990" s="154" t="s">
        <v>208</v>
      </c>
      <c r="G990" s="155"/>
      <c r="H990" s="154" t="s">
        <v>208</v>
      </c>
      <c r="I990" s="155"/>
      <c r="J990" s="155"/>
      <c r="K990" s="158" t="s">
        <v>244</v>
      </c>
      <c r="R990" s="163"/>
      <c r="S990" s="163"/>
    </row>
    <row r="991">
      <c r="A991" s="153">
        <f t="shared" si="2"/>
        <v>990</v>
      </c>
      <c r="B991" s="154"/>
      <c r="C991" s="154" t="s">
        <v>208</v>
      </c>
      <c r="D991" s="154" t="s">
        <v>208</v>
      </c>
      <c r="E991" s="154" t="s">
        <v>208</v>
      </c>
      <c r="F991" s="154" t="s">
        <v>208</v>
      </c>
      <c r="G991" s="154" t="s">
        <v>208</v>
      </c>
      <c r="H991" s="155"/>
      <c r="I991" s="155"/>
      <c r="J991" s="155"/>
      <c r="K991" s="158" t="s">
        <v>244</v>
      </c>
      <c r="R991" s="163"/>
      <c r="S991" s="163"/>
    </row>
    <row r="992">
      <c r="A992" s="153">
        <f t="shared" si="2"/>
        <v>991</v>
      </c>
      <c r="B992" s="154"/>
      <c r="C992" s="154" t="s">
        <v>208</v>
      </c>
      <c r="D992" s="154" t="s">
        <v>208</v>
      </c>
      <c r="E992" s="154" t="s">
        <v>208</v>
      </c>
      <c r="F992" s="154" t="s">
        <v>208</v>
      </c>
      <c r="G992" s="154" t="s">
        <v>208</v>
      </c>
      <c r="H992" s="155"/>
      <c r="I992" s="155"/>
      <c r="J992" s="155"/>
      <c r="K992" s="158" t="s">
        <v>244</v>
      </c>
      <c r="R992" s="163"/>
      <c r="S992" s="163"/>
    </row>
    <row r="993">
      <c r="A993" s="153">
        <f t="shared" si="2"/>
        <v>992</v>
      </c>
      <c r="B993" s="154"/>
      <c r="C993" s="154" t="s">
        <v>208</v>
      </c>
      <c r="D993" s="154" t="s">
        <v>208</v>
      </c>
      <c r="E993" s="154" t="s">
        <v>208</v>
      </c>
      <c r="F993" s="154" t="s">
        <v>208</v>
      </c>
      <c r="G993" s="154" t="s">
        <v>208</v>
      </c>
      <c r="H993" s="155"/>
      <c r="I993" s="155"/>
      <c r="J993" s="155"/>
      <c r="K993" s="158" t="s">
        <v>244</v>
      </c>
      <c r="R993" s="163"/>
      <c r="S993" s="163"/>
    </row>
    <row r="994">
      <c r="A994" s="153">
        <f t="shared" si="2"/>
        <v>993</v>
      </c>
      <c r="B994" s="154"/>
      <c r="C994" s="154" t="s">
        <v>208</v>
      </c>
      <c r="D994" s="154" t="s">
        <v>208</v>
      </c>
      <c r="E994" s="154" t="s">
        <v>208</v>
      </c>
      <c r="F994" s="154" t="s">
        <v>208</v>
      </c>
      <c r="G994" s="154" t="s">
        <v>208</v>
      </c>
      <c r="H994" s="155"/>
      <c r="I994" s="155"/>
      <c r="J994" s="155"/>
      <c r="K994" s="158" t="s">
        <v>244</v>
      </c>
      <c r="R994" s="163"/>
      <c r="S994" s="163"/>
    </row>
    <row r="995">
      <c r="A995" s="153">
        <f t="shared" si="2"/>
        <v>994</v>
      </c>
      <c r="B995" s="154"/>
      <c r="C995" s="154" t="s">
        <v>208</v>
      </c>
      <c r="D995" s="154" t="s">
        <v>208</v>
      </c>
      <c r="E995" s="154" t="s">
        <v>208</v>
      </c>
      <c r="F995" s="154" t="s">
        <v>208</v>
      </c>
      <c r="G995" s="154" t="s">
        <v>208</v>
      </c>
      <c r="H995" s="155"/>
      <c r="I995" s="155"/>
      <c r="J995" s="155"/>
      <c r="K995" s="158" t="s">
        <v>244</v>
      </c>
      <c r="R995" s="163"/>
      <c r="S995" s="163"/>
    </row>
    <row r="996">
      <c r="A996" s="153">
        <f t="shared" si="2"/>
        <v>995</v>
      </c>
      <c r="B996" s="154"/>
      <c r="C996" s="154" t="s">
        <v>208</v>
      </c>
      <c r="D996" s="154" t="s">
        <v>208</v>
      </c>
      <c r="E996" s="154" t="s">
        <v>208</v>
      </c>
      <c r="F996" s="154" t="s">
        <v>208</v>
      </c>
      <c r="G996" s="154" t="s">
        <v>208</v>
      </c>
      <c r="H996" s="155"/>
      <c r="I996" s="155"/>
      <c r="J996" s="155"/>
      <c r="K996" s="158" t="s">
        <v>244</v>
      </c>
      <c r="R996" s="173"/>
      <c r="S996" s="173"/>
    </row>
    <row r="997">
      <c r="A997" s="153">
        <f t="shared" si="2"/>
        <v>996</v>
      </c>
      <c r="B997" s="154"/>
      <c r="C997" s="154" t="s">
        <v>208</v>
      </c>
      <c r="D997" s="154" t="s">
        <v>208</v>
      </c>
      <c r="E997" s="154" t="s">
        <v>208</v>
      </c>
      <c r="F997" s="154" t="s">
        <v>208</v>
      </c>
      <c r="G997" s="154" t="s">
        <v>208</v>
      </c>
      <c r="H997" s="155"/>
      <c r="I997" s="155"/>
      <c r="J997" s="155"/>
      <c r="K997" s="158" t="s">
        <v>244</v>
      </c>
      <c r="R997" s="157"/>
      <c r="S997" s="157"/>
    </row>
    <row r="998">
      <c r="A998" s="153">
        <f t="shared" si="2"/>
        <v>997</v>
      </c>
      <c r="B998" s="154"/>
      <c r="C998" s="154" t="s">
        <v>208</v>
      </c>
      <c r="D998" s="154" t="s">
        <v>208</v>
      </c>
      <c r="E998" s="154" t="s">
        <v>208</v>
      </c>
      <c r="F998" s="154" t="s">
        <v>208</v>
      </c>
      <c r="G998" s="154" t="s">
        <v>208</v>
      </c>
      <c r="H998" s="155"/>
      <c r="I998" s="155"/>
      <c r="J998" s="155"/>
      <c r="K998" s="158" t="s">
        <v>244</v>
      </c>
      <c r="R998" s="163"/>
      <c r="S998" s="163"/>
    </row>
    <row r="999">
      <c r="A999" s="153">
        <f t="shared" si="2"/>
        <v>998</v>
      </c>
      <c r="B999" s="154"/>
      <c r="C999" s="154"/>
      <c r="D999" s="154" t="s">
        <v>208</v>
      </c>
      <c r="E999" s="154" t="s">
        <v>208</v>
      </c>
      <c r="F999" s="154" t="s">
        <v>208</v>
      </c>
      <c r="G999" s="154"/>
      <c r="H999" s="154" t="s">
        <v>208</v>
      </c>
      <c r="I999" s="155"/>
      <c r="J999" s="155"/>
      <c r="K999" s="158" t="s">
        <v>244</v>
      </c>
      <c r="R999" s="163"/>
      <c r="S999" s="163"/>
    </row>
    <row r="1000">
      <c r="A1000" s="153">
        <f t="shared" si="2"/>
        <v>999</v>
      </c>
      <c r="B1000" s="154"/>
      <c r="C1000" s="154" t="s">
        <v>208</v>
      </c>
      <c r="D1000" s="154" t="s">
        <v>208</v>
      </c>
      <c r="E1000" s="154"/>
      <c r="F1000" s="154" t="s">
        <v>208</v>
      </c>
      <c r="G1000" s="154" t="s">
        <v>208</v>
      </c>
      <c r="H1000" s="154"/>
      <c r="I1000" s="155"/>
      <c r="J1000" s="154" t="s">
        <v>217</v>
      </c>
      <c r="K1000" s="158" t="s">
        <v>244</v>
      </c>
      <c r="R1000" s="163"/>
      <c r="S1000" s="163"/>
    </row>
    <row r="1001">
      <c r="A1001" s="153">
        <f t="shared" si="2"/>
        <v>1000</v>
      </c>
      <c r="B1001" s="154"/>
      <c r="C1001" s="154" t="s">
        <v>208</v>
      </c>
      <c r="D1001" s="154" t="s">
        <v>208</v>
      </c>
      <c r="E1001" s="154" t="s">
        <v>208</v>
      </c>
      <c r="F1001" s="154" t="s">
        <v>208</v>
      </c>
      <c r="G1001" s="154" t="s">
        <v>208</v>
      </c>
      <c r="H1001" s="155"/>
      <c r="I1001" s="155"/>
      <c r="J1001" s="155"/>
      <c r="K1001" s="158" t="s">
        <v>244</v>
      </c>
      <c r="R1001" s="163"/>
      <c r="S1001" s="163"/>
    </row>
    <row r="1002">
      <c r="A1002" s="153">
        <f t="shared" si="2"/>
        <v>1001</v>
      </c>
      <c r="B1002" s="154"/>
      <c r="C1002" s="154" t="s">
        <v>208</v>
      </c>
      <c r="D1002" s="154" t="s">
        <v>208</v>
      </c>
      <c r="E1002" s="154" t="s">
        <v>208</v>
      </c>
      <c r="F1002" s="154" t="s">
        <v>208</v>
      </c>
      <c r="G1002" s="154" t="s">
        <v>208</v>
      </c>
      <c r="H1002" s="155"/>
      <c r="I1002" s="155"/>
      <c r="J1002" s="155"/>
      <c r="K1002" s="158" t="s">
        <v>244</v>
      </c>
      <c r="R1002" s="163"/>
      <c r="S1002" s="163"/>
    </row>
    <row r="1003">
      <c r="A1003" s="153">
        <f t="shared" si="2"/>
        <v>1002</v>
      </c>
      <c r="B1003" s="154"/>
      <c r="C1003" s="154" t="s">
        <v>208</v>
      </c>
      <c r="D1003" s="154" t="s">
        <v>208</v>
      </c>
      <c r="E1003" s="154" t="s">
        <v>208</v>
      </c>
      <c r="F1003" s="154" t="s">
        <v>208</v>
      </c>
      <c r="G1003" s="154" t="s">
        <v>208</v>
      </c>
      <c r="H1003" s="155"/>
      <c r="I1003" s="155"/>
      <c r="J1003" s="155"/>
      <c r="K1003" s="158" t="s">
        <v>244</v>
      </c>
      <c r="R1003" s="163"/>
      <c r="S1003" s="163"/>
    </row>
    <row r="1004">
      <c r="A1004" s="153">
        <f t="shared" si="2"/>
        <v>1003</v>
      </c>
      <c r="B1004" s="155"/>
      <c r="C1004" s="154" t="s">
        <v>208</v>
      </c>
      <c r="D1004" s="154"/>
      <c r="E1004" s="154" t="s">
        <v>208</v>
      </c>
      <c r="F1004" s="154" t="s">
        <v>208</v>
      </c>
      <c r="G1004" s="154" t="s">
        <v>208</v>
      </c>
      <c r="H1004" s="154"/>
      <c r="I1004" s="155"/>
      <c r="J1004" s="155"/>
      <c r="K1004" s="158" t="s">
        <v>244</v>
      </c>
      <c r="R1004" s="163"/>
      <c r="S1004" s="163"/>
    </row>
    <row r="1005">
      <c r="A1005" s="153">
        <f t="shared" si="2"/>
        <v>1004</v>
      </c>
      <c r="B1005" s="154"/>
      <c r="C1005" s="154"/>
      <c r="D1005" s="154"/>
      <c r="E1005" s="154"/>
      <c r="F1005" s="154"/>
      <c r="G1005" s="154"/>
      <c r="H1005" s="155"/>
      <c r="I1005" s="155"/>
      <c r="J1005" s="154" t="s">
        <v>217</v>
      </c>
      <c r="K1005" s="158" t="s">
        <v>244</v>
      </c>
      <c r="R1005" s="163"/>
      <c r="S1005" s="163"/>
    </row>
    <row r="1006">
      <c r="A1006" s="153">
        <f t="shared" si="2"/>
        <v>1005</v>
      </c>
      <c r="B1006" s="154"/>
      <c r="C1006" s="154" t="s">
        <v>208</v>
      </c>
      <c r="D1006" s="154" t="s">
        <v>208</v>
      </c>
      <c r="E1006" s="154" t="s">
        <v>208</v>
      </c>
      <c r="F1006" s="154" t="s">
        <v>208</v>
      </c>
      <c r="G1006" s="154" t="s">
        <v>208</v>
      </c>
      <c r="H1006" s="155"/>
      <c r="I1006" s="155"/>
      <c r="J1006" s="155"/>
      <c r="K1006" s="158" t="s">
        <v>244</v>
      </c>
      <c r="R1006" s="163"/>
      <c r="S1006" s="163"/>
    </row>
    <row r="1007">
      <c r="A1007" s="153">
        <f t="shared" si="2"/>
        <v>1006</v>
      </c>
      <c r="B1007" s="154"/>
      <c r="C1007" s="154" t="s">
        <v>208</v>
      </c>
      <c r="D1007" s="154" t="s">
        <v>208</v>
      </c>
      <c r="E1007" s="154" t="s">
        <v>208</v>
      </c>
      <c r="F1007" s="154" t="s">
        <v>208</v>
      </c>
      <c r="G1007" s="154" t="s">
        <v>208</v>
      </c>
      <c r="H1007" s="155"/>
      <c r="I1007" s="155"/>
      <c r="J1007" s="154"/>
      <c r="K1007" s="158" t="s">
        <v>244</v>
      </c>
      <c r="R1007" s="163"/>
      <c r="S1007" s="163"/>
    </row>
    <row r="1008">
      <c r="A1008" s="153">
        <f t="shared" si="2"/>
        <v>1007</v>
      </c>
      <c r="B1008" s="154"/>
      <c r="C1008" s="154" t="s">
        <v>208</v>
      </c>
      <c r="D1008" s="154" t="s">
        <v>208</v>
      </c>
      <c r="E1008" s="154" t="s">
        <v>208</v>
      </c>
      <c r="F1008" s="154" t="s">
        <v>208</v>
      </c>
      <c r="G1008" s="154" t="s">
        <v>208</v>
      </c>
      <c r="H1008" s="155"/>
      <c r="I1008" s="155"/>
      <c r="J1008" s="155"/>
      <c r="K1008" s="158" t="s">
        <v>244</v>
      </c>
      <c r="R1008" s="173"/>
      <c r="S1008" s="173"/>
    </row>
    <row r="1009">
      <c r="A1009" s="153">
        <f t="shared" si="2"/>
        <v>1008</v>
      </c>
      <c r="B1009" s="154"/>
      <c r="C1009" s="154" t="s">
        <v>208</v>
      </c>
      <c r="D1009" s="154" t="s">
        <v>208</v>
      </c>
      <c r="E1009" s="154" t="s">
        <v>208</v>
      </c>
      <c r="F1009" s="154" t="s">
        <v>208</v>
      </c>
      <c r="G1009" s="154" t="s">
        <v>208</v>
      </c>
      <c r="H1009" s="155"/>
      <c r="I1009" s="155"/>
      <c r="J1009" s="155"/>
      <c r="K1009" s="158" t="s">
        <v>244</v>
      </c>
      <c r="R1009" s="157"/>
      <c r="S1009" s="157"/>
    </row>
    <row r="1010">
      <c r="A1010" s="153">
        <f t="shared" si="2"/>
        <v>1009</v>
      </c>
      <c r="B1010" s="154"/>
      <c r="C1010" s="154" t="s">
        <v>208</v>
      </c>
      <c r="D1010" s="154"/>
      <c r="E1010" s="154" t="s">
        <v>208</v>
      </c>
      <c r="F1010" s="154" t="s">
        <v>208</v>
      </c>
      <c r="G1010" s="154" t="s">
        <v>208</v>
      </c>
      <c r="H1010" s="154"/>
      <c r="I1010" s="155"/>
      <c r="J1010" s="155"/>
      <c r="K1010" s="158" t="s">
        <v>244</v>
      </c>
      <c r="R1010" s="163"/>
      <c r="S1010" s="163"/>
    </row>
    <row r="1011">
      <c r="A1011" s="153">
        <f t="shared" si="2"/>
        <v>1010</v>
      </c>
      <c r="B1011" s="154"/>
      <c r="C1011" s="154" t="s">
        <v>208</v>
      </c>
      <c r="D1011" s="154"/>
      <c r="E1011" s="154" t="s">
        <v>208</v>
      </c>
      <c r="F1011" s="154" t="s">
        <v>208</v>
      </c>
      <c r="G1011" s="154" t="s">
        <v>208</v>
      </c>
      <c r="H1011" s="153"/>
      <c r="I1011" s="155"/>
      <c r="J1011" s="155"/>
      <c r="K1011" s="158" t="s">
        <v>244</v>
      </c>
      <c r="R1011" s="163"/>
      <c r="S1011" s="163"/>
    </row>
    <row r="1012">
      <c r="A1012" s="153">
        <f t="shared" si="2"/>
        <v>1011</v>
      </c>
      <c r="B1012" s="154"/>
      <c r="C1012" s="154" t="s">
        <v>208</v>
      </c>
      <c r="D1012" s="154" t="s">
        <v>208</v>
      </c>
      <c r="E1012" s="154" t="s">
        <v>208</v>
      </c>
      <c r="F1012" s="154" t="s">
        <v>208</v>
      </c>
      <c r="G1012" s="154" t="s">
        <v>208</v>
      </c>
      <c r="H1012" s="155"/>
      <c r="I1012" s="155"/>
      <c r="J1012" s="155"/>
      <c r="K1012" s="158" t="s">
        <v>244</v>
      </c>
      <c r="R1012" s="163"/>
      <c r="S1012" s="163"/>
    </row>
    <row r="1013">
      <c r="A1013" s="153">
        <f t="shared" si="2"/>
        <v>1012</v>
      </c>
      <c r="B1013" s="154"/>
      <c r="C1013" s="154" t="s">
        <v>208</v>
      </c>
      <c r="D1013" s="154" t="s">
        <v>208</v>
      </c>
      <c r="E1013" s="154" t="s">
        <v>208</v>
      </c>
      <c r="F1013" s="154" t="s">
        <v>208</v>
      </c>
      <c r="G1013" s="154" t="s">
        <v>208</v>
      </c>
      <c r="H1013" s="155"/>
      <c r="I1013" s="155"/>
      <c r="J1013" s="155"/>
      <c r="K1013" s="158" t="s">
        <v>244</v>
      </c>
      <c r="R1013" s="163"/>
      <c r="S1013" s="163"/>
    </row>
    <row r="1014">
      <c r="A1014" s="153">
        <f t="shared" si="2"/>
        <v>1013</v>
      </c>
      <c r="B1014" s="154"/>
      <c r="C1014" s="154" t="s">
        <v>208</v>
      </c>
      <c r="D1014" s="154" t="s">
        <v>208</v>
      </c>
      <c r="E1014" s="154" t="s">
        <v>208</v>
      </c>
      <c r="F1014" s="154" t="s">
        <v>208</v>
      </c>
      <c r="G1014" s="154" t="s">
        <v>208</v>
      </c>
      <c r="H1014" s="155"/>
      <c r="I1014" s="155"/>
      <c r="J1014" s="155"/>
      <c r="K1014" s="158" t="s">
        <v>244</v>
      </c>
      <c r="R1014" s="163"/>
      <c r="S1014" s="163"/>
    </row>
    <row r="1015">
      <c r="A1015" s="153">
        <f t="shared" si="2"/>
        <v>1014</v>
      </c>
      <c r="B1015" s="154"/>
      <c r="C1015" s="154" t="s">
        <v>208</v>
      </c>
      <c r="D1015" s="154" t="s">
        <v>208</v>
      </c>
      <c r="E1015" s="154" t="s">
        <v>208</v>
      </c>
      <c r="F1015" s="154" t="s">
        <v>208</v>
      </c>
      <c r="G1015" s="154" t="s">
        <v>208</v>
      </c>
      <c r="H1015" s="155"/>
      <c r="I1015" s="155"/>
      <c r="J1015" s="155"/>
      <c r="K1015" s="158" t="s">
        <v>244</v>
      </c>
      <c r="R1015" s="163"/>
      <c r="S1015" s="163"/>
    </row>
    <row r="1016">
      <c r="A1016" s="153">
        <f t="shared" si="2"/>
        <v>1015</v>
      </c>
      <c r="B1016" s="154"/>
      <c r="C1016" s="154" t="s">
        <v>208</v>
      </c>
      <c r="D1016" s="154" t="s">
        <v>208</v>
      </c>
      <c r="E1016" s="154" t="s">
        <v>208</v>
      </c>
      <c r="F1016" s="154" t="s">
        <v>208</v>
      </c>
      <c r="G1016" s="154" t="s">
        <v>208</v>
      </c>
      <c r="H1016" s="155"/>
      <c r="I1016" s="155"/>
      <c r="J1016" s="155"/>
      <c r="K1016" s="158" t="s">
        <v>244</v>
      </c>
      <c r="R1016" s="163"/>
      <c r="S1016" s="163"/>
    </row>
    <row r="1017">
      <c r="A1017" s="153">
        <f t="shared" si="2"/>
        <v>1016</v>
      </c>
      <c r="B1017" s="154"/>
      <c r="C1017" s="154" t="s">
        <v>208</v>
      </c>
      <c r="D1017" s="154" t="s">
        <v>208</v>
      </c>
      <c r="E1017" s="154" t="s">
        <v>208</v>
      </c>
      <c r="F1017" s="154" t="s">
        <v>208</v>
      </c>
      <c r="G1017" s="154" t="s">
        <v>208</v>
      </c>
      <c r="H1017" s="155"/>
      <c r="I1017" s="155"/>
      <c r="J1017" s="155"/>
      <c r="K1017" s="158" t="s">
        <v>244</v>
      </c>
      <c r="R1017" s="163"/>
      <c r="S1017" s="163"/>
    </row>
    <row r="1018">
      <c r="A1018" s="153">
        <f t="shared" si="2"/>
        <v>1017</v>
      </c>
      <c r="B1018" s="154"/>
      <c r="C1018" s="154" t="s">
        <v>208</v>
      </c>
      <c r="D1018" s="154" t="s">
        <v>208</v>
      </c>
      <c r="E1018" s="154" t="s">
        <v>208</v>
      </c>
      <c r="F1018" s="154" t="s">
        <v>208</v>
      </c>
      <c r="G1018" s="154" t="s">
        <v>208</v>
      </c>
      <c r="H1018" s="153"/>
      <c r="I1018" s="155"/>
      <c r="J1018" s="155"/>
      <c r="K1018" s="158" t="s">
        <v>244</v>
      </c>
      <c r="R1018" s="163"/>
      <c r="S1018" s="163"/>
    </row>
    <row r="1019">
      <c r="A1019" s="177">
        <f t="shared" si="2"/>
        <v>1018</v>
      </c>
      <c r="B1019" s="154"/>
      <c r="C1019" s="154"/>
      <c r="D1019" s="154" t="s">
        <v>208</v>
      </c>
      <c r="E1019" s="154" t="s">
        <v>208</v>
      </c>
      <c r="F1019" s="154" t="s">
        <v>208</v>
      </c>
      <c r="G1019" s="155"/>
      <c r="H1019" s="154" t="s">
        <v>208</v>
      </c>
      <c r="I1019" s="155"/>
      <c r="J1019" s="154"/>
      <c r="K1019" s="158" t="s">
        <v>244</v>
      </c>
      <c r="R1019" s="163"/>
      <c r="S1019" s="163"/>
    </row>
    <row r="1020">
      <c r="A1020" s="153">
        <f t="shared" si="2"/>
        <v>1019</v>
      </c>
      <c r="B1020" s="155"/>
      <c r="C1020" s="154" t="s">
        <v>208</v>
      </c>
      <c r="D1020" s="154"/>
      <c r="E1020" s="154" t="s">
        <v>208</v>
      </c>
      <c r="F1020" s="154" t="s">
        <v>208</v>
      </c>
      <c r="G1020" s="154" t="s">
        <v>208</v>
      </c>
      <c r="H1020" s="154"/>
      <c r="I1020" s="155"/>
      <c r="J1020" s="155"/>
      <c r="K1020" s="158" t="s">
        <v>244</v>
      </c>
      <c r="R1020" s="173"/>
      <c r="S1020" s="173"/>
    </row>
    <row r="1021">
      <c r="A1021" s="153">
        <f t="shared" si="2"/>
        <v>1020</v>
      </c>
      <c r="B1021" s="154"/>
      <c r="C1021" s="154" t="s">
        <v>208</v>
      </c>
      <c r="D1021" s="154"/>
      <c r="E1021" s="154" t="s">
        <v>208</v>
      </c>
      <c r="F1021" s="154" t="s">
        <v>208</v>
      </c>
      <c r="G1021" s="154" t="s">
        <v>208</v>
      </c>
      <c r="H1021" s="155"/>
      <c r="I1021" s="155"/>
      <c r="J1021" s="155"/>
      <c r="K1021" s="158" t="s">
        <v>244</v>
      </c>
      <c r="R1021" s="157"/>
      <c r="S1021" s="157"/>
    </row>
    <row r="1022">
      <c r="A1022" s="153">
        <f t="shared" si="2"/>
        <v>1021</v>
      </c>
      <c r="B1022" s="154"/>
      <c r="C1022" s="154" t="s">
        <v>208</v>
      </c>
      <c r="D1022" s="154" t="s">
        <v>208</v>
      </c>
      <c r="E1022" s="154" t="s">
        <v>208</v>
      </c>
      <c r="F1022" s="154" t="s">
        <v>208</v>
      </c>
      <c r="G1022" s="154" t="s">
        <v>208</v>
      </c>
      <c r="H1022" s="155"/>
      <c r="I1022" s="155"/>
      <c r="J1022" s="154"/>
      <c r="K1022" s="158" t="s">
        <v>244</v>
      </c>
      <c r="R1022" s="163"/>
      <c r="S1022" s="163"/>
    </row>
    <row r="1023">
      <c r="A1023" s="153">
        <f t="shared" si="2"/>
        <v>1022</v>
      </c>
      <c r="B1023" s="154"/>
      <c r="C1023" s="154" t="s">
        <v>208</v>
      </c>
      <c r="D1023" s="154" t="s">
        <v>208</v>
      </c>
      <c r="E1023" s="154" t="s">
        <v>208</v>
      </c>
      <c r="F1023" s="154" t="s">
        <v>208</v>
      </c>
      <c r="G1023" s="154" t="s">
        <v>208</v>
      </c>
      <c r="H1023" s="155"/>
      <c r="I1023" s="155"/>
      <c r="J1023" s="155"/>
      <c r="K1023" s="158" t="s">
        <v>244</v>
      </c>
      <c r="R1023" s="163"/>
      <c r="S1023" s="163"/>
    </row>
    <row r="1024">
      <c r="A1024" s="153">
        <f t="shared" si="2"/>
        <v>1023</v>
      </c>
      <c r="B1024" s="154"/>
      <c r="C1024" s="154" t="s">
        <v>208</v>
      </c>
      <c r="D1024" s="154" t="s">
        <v>208</v>
      </c>
      <c r="E1024" s="154" t="s">
        <v>208</v>
      </c>
      <c r="F1024" s="154" t="s">
        <v>208</v>
      </c>
      <c r="G1024" s="154" t="s">
        <v>208</v>
      </c>
      <c r="H1024" s="155"/>
      <c r="I1024" s="155"/>
      <c r="J1024" s="155"/>
      <c r="K1024" s="158" t="s">
        <v>244</v>
      </c>
      <c r="R1024" s="163"/>
      <c r="S1024" s="163"/>
    </row>
    <row r="1025">
      <c r="A1025" s="153">
        <f t="shared" si="2"/>
        <v>1024</v>
      </c>
      <c r="B1025" s="154"/>
      <c r="C1025" s="154" t="s">
        <v>208</v>
      </c>
      <c r="D1025" s="154" t="s">
        <v>208</v>
      </c>
      <c r="E1025" s="154" t="s">
        <v>208</v>
      </c>
      <c r="F1025" s="154" t="s">
        <v>208</v>
      </c>
      <c r="G1025" s="154" t="s">
        <v>208</v>
      </c>
      <c r="H1025" s="155"/>
      <c r="I1025" s="155"/>
      <c r="J1025" s="155"/>
      <c r="K1025" s="158" t="s">
        <v>244</v>
      </c>
      <c r="R1025" s="163"/>
      <c r="S1025" s="163"/>
    </row>
    <row r="1026">
      <c r="A1026" s="153">
        <f t="shared" si="2"/>
        <v>1025</v>
      </c>
      <c r="B1026" s="154"/>
      <c r="C1026" s="154" t="s">
        <v>208</v>
      </c>
      <c r="D1026" s="154" t="s">
        <v>208</v>
      </c>
      <c r="E1026" s="154" t="s">
        <v>208</v>
      </c>
      <c r="F1026" s="154" t="s">
        <v>208</v>
      </c>
      <c r="G1026" s="154" t="s">
        <v>208</v>
      </c>
      <c r="H1026" s="155"/>
      <c r="I1026" s="155"/>
      <c r="J1026" s="155"/>
      <c r="K1026" s="158" t="s">
        <v>244</v>
      </c>
      <c r="R1026" s="163"/>
      <c r="S1026" s="163"/>
    </row>
    <row r="1027">
      <c r="A1027" s="153">
        <f t="shared" si="2"/>
        <v>1026</v>
      </c>
      <c r="B1027" s="154"/>
      <c r="C1027" s="154" t="s">
        <v>208</v>
      </c>
      <c r="D1027" s="154" t="s">
        <v>208</v>
      </c>
      <c r="E1027" s="154" t="s">
        <v>208</v>
      </c>
      <c r="F1027" s="154" t="s">
        <v>208</v>
      </c>
      <c r="G1027" s="154" t="s">
        <v>208</v>
      </c>
      <c r="H1027" s="155"/>
      <c r="I1027" s="155"/>
      <c r="J1027" s="155"/>
      <c r="K1027" s="158" t="s">
        <v>244</v>
      </c>
      <c r="R1027" s="163"/>
      <c r="S1027" s="163"/>
    </row>
    <row r="1028">
      <c r="A1028" s="153">
        <f t="shared" si="2"/>
        <v>1027</v>
      </c>
      <c r="B1028" s="154"/>
      <c r="C1028" s="154" t="s">
        <v>208</v>
      </c>
      <c r="D1028" s="154"/>
      <c r="E1028" s="154" t="s">
        <v>208</v>
      </c>
      <c r="F1028" s="154" t="s">
        <v>208</v>
      </c>
      <c r="G1028" s="154" t="s">
        <v>208</v>
      </c>
      <c r="H1028" s="155"/>
      <c r="I1028" s="155"/>
      <c r="J1028" s="155"/>
      <c r="K1028" s="158" t="s">
        <v>244</v>
      </c>
      <c r="R1028" s="163"/>
      <c r="S1028" s="163"/>
    </row>
    <row r="1029">
      <c r="A1029" s="153">
        <f t="shared" si="2"/>
        <v>1028</v>
      </c>
      <c r="B1029" s="154"/>
      <c r="C1029" s="154" t="s">
        <v>208</v>
      </c>
      <c r="D1029" s="154" t="s">
        <v>208</v>
      </c>
      <c r="E1029" s="154" t="s">
        <v>208</v>
      </c>
      <c r="F1029" s="154" t="s">
        <v>208</v>
      </c>
      <c r="G1029" s="154" t="s">
        <v>208</v>
      </c>
      <c r="H1029" s="155"/>
      <c r="I1029" s="155"/>
      <c r="J1029" s="154"/>
      <c r="K1029" s="158" t="s">
        <v>244</v>
      </c>
      <c r="R1029" s="163"/>
      <c r="S1029" s="163"/>
    </row>
    <row r="1030">
      <c r="A1030" s="153">
        <f t="shared" si="2"/>
        <v>1029</v>
      </c>
      <c r="B1030" s="154"/>
      <c r="C1030" s="154" t="s">
        <v>208</v>
      </c>
      <c r="D1030" s="154" t="s">
        <v>208</v>
      </c>
      <c r="E1030" s="154" t="s">
        <v>208</v>
      </c>
      <c r="F1030" s="154" t="s">
        <v>208</v>
      </c>
      <c r="G1030" s="154" t="s">
        <v>208</v>
      </c>
      <c r="H1030" s="155"/>
      <c r="I1030" s="155"/>
      <c r="J1030" s="155"/>
      <c r="K1030" s="158" t="s">
        <v>244</v>
      </c>
      <c r="R1030" s="163"/>
      <c r="S1030" s="163"/>
    </row>
    <row r="1031">
      <c r="A1031" s="153">
        <f t="shared" si="2"/>
        <v>1030</v>
      </c>
      <c r="B1031" s="154"/>
      <c r="C1031" s="154"/>
      <c r="D1031" s="154" t="s">
        <v>208</v>
      </c>
      <c r="E1031" s="154" t="s">
        <v>208</v>
      </c>
      <c r="F1031" s="154" t="s">
        <v>208</v>
      </c>
      <c r="G1031" s="155"/>
      <c r="H1031" s="154" t="s">
        <v>208</v>
      </c>
      <c r="I1031" s="155"/>
      <c r="J1031" s="155"/>
      <c r="K1031" s="158" t="s">
        <v>244</v>
      </c>
      <c r="R1031" s="163"/>
      <c r="S1031" s="163"/>
    </row>
    <row r="1032">
      <c r="A1032" s="153">
        <f t="shared" si="2"/>
        <v>1031</v>
      </c>
      <c r="B1032" s="154"/>
      <c r="C1032" s="154" t="s">
        <v>208</v>
      </c>
      <c r="D1032" s="154" t="s">
        <v>208</v>
      </c>
      <c r="E1032" s="154" t="s">
        <v>208</v>
      </c>
      <c r="F1032" s="154" t="s">
        <v>208</v>
      </c>
      <c r="G1032" s="154" t="s">
        <v>208</v>
      </c>
      <c r="H1032" s="155"/>
      <c r="I1032" s="155"/>
      <c r="J1032" s="155"/>
      <c r="K1032" s="158" t="s">
        <v>244</v>
      </c>
      <c r="R1032" s="173"/>
      <c r="S1032" s="173"/>
    </row>
    <row r="1033">
      <c r="A1033" s="153">
        <f t="shared" si="2"/>
        <v>1032</v>
      </c>
      <c r="B1033" s="154"/>
      <c r="C1033" s="154" t="s">
        <v>208</v>
      </c>
      <c r="D1033" s="154" t="s">
        <v>208</v>
      </c>
      <c r="E1033" s="154" t="s">
        <v>208</v>
      </c>
      <c r="F1033" s="154" t="s">
        <v>208</v>
      </c>
      <c r="G1033" s="154" t="s">
        <v>208</v>
      </c>
      <c r="H1033" s="155"/>
      <c r="I1033" s="155"/>
      <c r="J1033" s="155"/>
      <c r="K1033" s="158" t="s">
        <v>244</v>
      </c>
      <c r="R1033" s="157"/>
      <c r="S1033" s="157"/>
    </row>
    <row r="1034">
      <c r="A1034" s="153">
        <f t="shared" si="2"/>
        <v>1033</v>
      </c>
      <c r="B1034" s="154"/>
      <c r="C1034" s="154" t="s">
        <v>208</v>
      </c>
      <c r="D1034" s="154" t="s">
        <v>208</v>
      </c>
      <c r="E1034" s="154" t="s">
        <v>208</v>
      </c>
      <c r="F1034" s="154" t="s">
        <v>208</v>
      </c>
      <c r="G1034" s="154" t="s">
        <v>208</v>
      </c>
      <c r="H1034" s="155"/>
      <c r="I1034" s="155"/>
      <c r="J1034" s="155"/>
      <c r="K1034" s="158" t="s">
        <v>244</v>
      </c>
      <c r="R1034" s="163"/>
      <c r="S1034" s="163"/>
    </row>
    <row r="1035">
      <c r="A1035" s="153">
        <f t="shared" si="2"/>
        <v>1034</v>
      </c>
      <c r="B1035" s="154"/>
      <c r="C1035" s="154" t="s">
        <v>208</v>
      </c>
      <c r="D1035" s="154"/>
      <c r="E1035" s="154" t="s">
        <v>208</v>
      </c>
      <c r="F1035" s="154" t="s">
        <v>208</v>
      </c>
      <c r="G1035" s="154" t="s">
        <v>208</v>
      </c>
      <c r="H1035" s="155"/>
      <c r="I1035" s="155"/>
      <c r="J1035" s="155"/>
      <c r="K1035" s="158" t="s">
        <v>244</v>
      </c>
      <c r="R1035" s="163"/>
      <c r="S1035" s="163"/>
    </row>
    <row r="1036">
      <c r="A1036" s="177">
        <f t="shared" si="2"/>
        <v>1035</v>
      </c>
      <c r="B1036" s="154"/>
      <c r="C1036" s="154"/>
      <c r="D1036" s="154" t="s">
        <v>208</v>
      </c>
      <c r="E1036" s="154" t="s">
        <v>208</v>
      </c>
      <c r="F1036" s="154" t="s">
        <v>208</v>
      </c>
      <c r="G1036" s="154"/>
      <c r="H1036" s="154" t="s">
        <v>208</v>
      </c>
      <c r="I1036" s="155"/>
      <c r="J1036" s="155"/>
      <c r="K1036" s="158" t="s">
        <v>244</v>
      </c>
      <c r="R1036" s="163"/>
      <c r="S1036" s="163"/>
    </row>
    <row r="1037">
      <c r="A1037" s="177">
        <f t="shared" si="2"/>
        <v>1036</v>
      </c>
      <c r="B1037" s="154"/>
      <c r="C1037" s="154"/>
      <c r="D1037" s="154" t="s">
        <v>208</v>
      </c>
      <c r="E1037" s="154" t="s">
        <v>208</v>
      </c>
      <c r="F1037" s="154" t="s">
        <v>208</v>
      </c>
      <c r="G1037" s="155"/>
      <c r="H1037" s="154" t="s">
        <v>208</v>
      </c>
      <c r="I1037" s="155"/>
      <c r="J1037" s="154"/>
      <c r="K1037" s="158" t="s">
        <v>244</v>
      </c>
      <c r="R1037" s="163"/>
      <c r="S1037" s="163"/>
    </row>
    <row r="1038">
      <c r="A1038" s="153">
        <f t="shared" si="2"/>
        <v>1037</v>
      </c>
      <c r="B1038" s="155"/>
      <c r="C1038" s="154" t="s">
        <v>208</v>
      </c>
      <c r="D1038" s="154" t="s">
        <v>208</v>
      </c>
      <c r="E1038" s="154" t="s">
        <v>208</v>
      </c>
      <c r="F1038" s="154" t="s">
        <v>208</v>
      </c>
      <c r="G1038" s="154" t="s">
        <v>208</v>
      </c>
      <c r="H1038" s="155"/>
      <c r="I1038" s="155"/>
      <c r="J1038" s="154"/>
      <c r="K1038" s="158" t="s">
        <v>244</v>
      </c>
      <c r="R1038" s="163"/>
      <c r="S1038" s="163"/>
    </row>
    <row r="1039">
      <c r="A1039" s="153">
        <f t="shared" si="2"/>
        <v>1038</v>
      </c>
      <c r="B1039" s="155"/>
      <c r="C1039" s="154" t="s">
        <v>208</v>
      </c>
      <c r="D1039" s="154" t="s">
        <v>208</v>
      </c>
      <c r="E1039" s="154" t="s">
        <v>208</v>
      </c>
      <c r="F1039" s="154" t="s">
        <v>208</v>
      </c>
      <c r="G1039" s="154" t="s">
        <v>208</v>
      </c>
      <c r="H1039" s="154"/>
      <c r="I1039" s="155"/>
      <c r="J1039" s="155"/>
      <c r="K1039" s="158" t="s">
        <v>244</v>
      </c>
      <c r="R1039" s="163"/>
      <c r="S1039" s="163"/>
    </row>
    <row r="1040">
      <c r="A1040" s="153">
        <f t="shared" si="2"/>
        <v>1039</v>
      </c>
      <c r="B1040" s="155"/>
      <c r="C1040" s="154" t="s">
        <v>208</v>
      </c>
      <c r="D1040" s="154" t="s">
        <v>208</v>
      </c>
      <c r="E1040" s="154" t="s">
        <v>208</v>
      </c>
      <c r="F1040" s="154" t="s">
        <v>208</v>
      </c>
      <c r="G1040" s="154" t="s">
        <v>208</v>
      </c>
      <c r="H1040" s="154"/>
      <c r="I1040" s="155"/>
      <c r="J1040" s="155"/>
      <c r="K1040" s="158" t="s">
        <v>244</v>
      </c>
      <c r="R1040" s="163"/>
      <c r="S1040" s="163"/>
    </row>
    <row r="1041">
      <c r="A1041" s="153">
        <f t="shared" si="2"/>
        <v>1040</v>
      </c>
      <c r="B1041" s="154"/>
      <c r="C1041" s="154" t="s">
        <v>208</v>
      </c>
      <c r="D1041" s="154" t="s">
        <v>208</v>
      </c>
      <c r="E1041" s="154" t="s">
        <v>208</v>
      </c>
      <c r="F1041" s="154"/>
      <c r="G1041" s="154" t="s">
        <v>208</v>
      </c>
      <c r="H1041" s="155"/>
      <c r="I1041" s="155"/>
      <c r="J1041" s="155"/>
      <c r="K1041" s="158" t="s">
        <v>244</v>
      </c>
      <c r="R1041" s="163"/>
      <c r="S1041" s="163"/>
    </row>
    <row r="1042">
      <c r="A1042" s="153">
        <f t="shared" si="2"/>
        <v>1041</v>
      </c>
      <c r="B1042" s="154"/>
      <c r="C1042" s="154" t="s">
        <v>208</v>
      </c>
      <c r="D1042" s="154" t="s">
        <v>208</v>
      </c>
      <c r="E1042" s="154" t="s">
        <v>208</v>
      </c>
      <c r="F1042" s="154" t="s">
        <v>208</v>
      </c>
      <c r="G1042" s="154" t="s">
        <v>208</v>
      </c>
      <c r="H1042" s="155"/>
      <c r="I1042" s="155"/>
      <c r="J1042" s="155"/>
      <c r="K1042" s="158" t="s">
        <v>244</v>
      </c>
      <c r="R1042" s="163"/>
      <c r="S1042" s="163"/>
    </row>
    <row r="1043">
      <c r="A1043" s="153">
        <f t="shared" si="2"/>
        <v>1042</v>
      </c>
      <c r="B1043" s="154"/>
      <c r="C1043" s="154" t="s">
        <v>208</v>
      </c>
      <c r="D1043" s="154" t="s">
        <v>208</v>
      </c>
      <c r="E1043" s="154" t="s">
        <v>208</v>
      </c>
      <c r="F1043" s="154" t="s">
        <v>208</v>
      </c>
      <c r="G1043" s="154" t="s">
        <v>208</v>
      </c>
      <c r="H1043" s="153"/>
      <c r="I1043" s="155"/>
      <c r="J1043" s="155"/>
      <c r="K1043" s="158" t="s">
        <v>244</v>
      </c>
      <c r="R1043" s="163"/>
      <c r="S1043" s="163"/>
    </row>
    <row r="1044">
      <c r="A1044" s="177">
        <f t="shared" si="2"/>
        <v>1043</v>
      </c>
      <c r="B1044" s="154"/>
      <c r="C1044" s="154"/>
      <c r="D1044" s="154" t="s">
        <v>208</v>
      </c>
      <c r="E1044" s="154" t="s">
        <v>208</v>
      </c>
      <c r="F1044" s="154" t="s">
        <v>208</v>
      </c>
      <c r="G1044" s="155"/>
      <c r="H1044" s="154" t="s">
        <v>208</v>
      </c>
      <c r="I1044" s="155"/>
      <c r="J1044" s="154"/>
      <c r="K1044" s="158" t="s">
        <v>244</v>
      </c>
      <c r="R1044" s="173"/>
      <c r="S1044" s="173"/>
    </row>
    <row r="1045">
      <c r="A1045" s="177">
        <f t="shared" si="2"/>
        <v>1044</v>
      </c>
      <c r="B1045" s="154"/>
      <c r="C1045" s="154"/>
      <c r="D1045" s="154" t="s">
        <v>208</v>
      </c>
      <c r="E1045" s="154" t="s">
        <v>208</v>
      </c>
      <c r="F1045" s="154" t="s">
        <v>208</v>
      </c>
      <c r="G1045" s="155"/>
      <c r="H1045" s="154" t="s">
        <v>208</v>
      </c>
      <c r="I1045" s="155"/>
      <c r="J1045" s="154"/>
      <c r="K1045" s="158" t="s">
        <v>244</v>
      </c>
      <c r="R1045" s="157"/>
      <c r="S1045" s="157"/>
    </row>
    <row r="1046">
      <c r="A1046" s="177">
        <f t="shared" si="2"/>
        <v>1045</v>
      </c>
      <c r="B1046" s="154"/>
      <c r="C1046" s="154"/>
      <c r="D1046" s="154" t="s">
        <v>208</v>
      </c>
      <c r="E1046" s="154" t="s">
        <v>208</v>
      </c>
      <c r="F1046" s="154" t="s">
        <v>208</v>
      </c>
      <c r="G1046" s="155"/>
      <c r="H1046" s="154" t="s">
        <v>208</v>
      </c>
      <c r="I1046" s="155"/>
      <c r="J1046" s="154"/>
      <c r="K1046" s="158" t="s">
        <v>244</v>
      </c>
      <c r="R1046" s="163"/>
      <c r="S1046" s="163"/>
    </row>
    <row r="1047">
      <c r="A1047" s="153">
        <f t="shared" si="2"/>
        <v>1046</v>
      </c>
      <c r="B1047" s="154"/>
      <c r="C1047" s="154" t="s">
        <v>208</v>
      </c>
      <c r="D1047" s="154" t="s">
        <v>208</v>
      </c>
      <c r="E1047" s="154" t="s">
        <v>208</v>
      </c>
      <c r="F1047" s="154" t="s">
        <v>208</v>
      </c>
      <c r="G1047" s="154" t="s">
        <v>208</v>
      </c>
      <c r="H1047" s="155"/>
      <c r="I1047" s="155"/>
      <c r="J1047" s="154"/>
      <c r="K1047" s="158" t="s">
        <v>244</v>
      </c>
      <c r="R1047" s="163"/>
      <c r="S1047" s="163"/>
    </row>
    <row r="1048">
      <c r="A1048" s="177">
        <f t="shared" si="2"/>
        <v>1047</v>
      </c>
      <c r="B1048" s="155"/>
      <c r="C1048" s="154"/>
      <c r="D1048" s="154" t="s">
        <v>208</v>
      </c>
      <c r="E1048" s="154" t="s">
        <v>208</v>
      </c>
      <c r="F1048" s="154" t="s">
        <v>208</v>
      </c>
      <c r="G1048" s="154"/>
      <c r="H1048" s="154" t="s">
        <v>208</v>
      </c>
      <c r="I1048" s="155"/>
      <c r="J1048" s="154"/>
      <c r="K1048" s="158" t="s">
        <v>244</v>
      </c>
      <c r="R1048" s="163"/>
      <c r="S1048" s="163"/>
    </row>
    <row r="1049">
      <c r="A1049" s="153">
        <f t="shared" si="2"/>
        <v>1048</v>
      </c>
      <c r="B1049" s="154"/>
      <c r="C1049" s="154" t="s">
        <v>208</v>
      </c>
      <c r="D1049" s="154" t="s">
        <v>208</v>
      </c>
      <c r="E1049" s="154" t="s">
        <v>208</v>
      </c>
      <c r="F1049" s="154" t="s">
        <v>208</v>
      </c>
      <c r="G1049" s="154" t="s">
        <v>208</v>
      </c>
      <c r="H1049" s="155"/>
      <c r="I1049" s="155"/>
      <c r="J1049" s="155"/>
      <c r="K1049" s="158" t="s">
        <v>244</v>
      </c>
      <c r="R1049" s="163"/>
      <c r="S1049" s="163"/>
    </row>
    <row r="1050">
      <c r="A1050" s="153">
        <f t="shared" si="2"/>
        <v>1049</v>
      </c>
      <c r="B1050" s="154"/>
      <c r="C1050" s="154" t="s">
        <v>208</v>
      </c>
      <c r="D1050" s="154" t="s">
        <v>208</v>
      </c>
      <c r="E1050" s="154" t="s">
        <v>208</v>
      </c>
      <c r="F1050" s="154" t="s">
        <v>208</v>
      </c>
      <c r="G1050" s="154" t="s">
        <v>208</v>
      </c>
      <c r="H1050" s="155"/>
      <c r="I1050" s="155"/>
      <c r="J1050" s="154"/>
      <c r="K1050" s="158" t="s">
        <v>244</v>
      </c>
      <c r="R1050" s="163"/>
      <c r="S1050" s="163"/>
    </row>
    <row r="1051">
      <c r="A1051" s="153">
        <f t="shared" si="2"/>
        <v>1050</v>
      </c>
      <c r="B1051" s="155"/>
      <c r="C1051" s="154" t="s">
        <v>208</v>
      </c>
      <c r="D1051" s="154" t="s">
        <v>208</v>
      </c>
      <c r="E1051" s="154" t="s">
        <v>208</v>
      </c>
      <c r="F1051" s="154" t="s">
        <v>208</v>
      </c>
      <c r="G1051" s="154" t="s">
        <v>208</v>
      </c>
      <c r="H1051" s="155"/>
      <c r="I1051" s="155"/>
      <c r="J1051" s="154"/>
      <c r="K1051" s="158" t="s">
        <v>244</v>
      </c>
      <c r="R1051" s="163"/>
      <c r="S1051" s="163"/>
    </row>
    <row r="1052">
      <c r="A1052" s="153">
        <f t="shared" si="2"/>
        <v>1051</v>
      </c>
      <c r="B1052" s="154"/>
      <c r="C1052" s="154" t="s">
        <v>208</v>
      </c>
      <c r="D1052" s="154" t="s">
        <v>208</v>
      </c>
      <c r="E1052" s="154" t="s">
        <v>208</v>
      </c>
      <c r="F1052" s="154" t="s">
        <v>208</v>
      </c>
      <c r="G1052" s="154" t="s">
        <v>208</v>
      </c>
      <c r="H1052" s="155"/>
      <c r="I1052" s="155"/>
      <c r="J1052" s="154"/>
      <c r="K1052" s="158" t="s">
        <v>244</v>
      </c>
      <c r="R1052" s="163"/>
      <c r="S1052" s="163"/>
    </row>
    <row r="1053">
      <c r="A1053" s="153">
        <f t="shared" si="2"/>
        <v>1052</v>
      </c>
      <c r="B1053" s="154"/>
      <c r="C1053" s="154" t="s">
        <v>208</v>
      </c>
      <c r="D1053" s="154" t="s">
        <v>208</v>
      </c>
      <c r="E1053" s="154" t="s">
        <v>208</v>
      </c>
      <c r="F1053" s="154" t="s">
        <v>208</v>
      </c>
      <c r="G1053" s="154" t="s">
        <v>208</v>
      </c>
      <c r="H1053" s="155"/>
      <c r="I1053" s="155"/>
      <c r="J1053" s="155"/>
      <c r="K1053" s="158" t="s">
        <v>244</v>
      </c>
      <c r="R1053" s="163"/>
      <c r="S1053" s="163"/>
    </row>
    <row r="1054">
      <c r="A1054" s="153">
        <f t="shared" si="2"/>
        <v>1053</v>
      </c>
      <c r="B1054" s="154"/>
      <c r="C1054" s="154" t="s">
        <v>208</v>
      </c>
      <c r="D1054" s="154" t="s">
        <v>208</v>
      </c>
      <c r="E1054" s="154" t="s">
        <v>208</v>
      </c>
      <c r="F1054" s="154" t="s">
        <v>208</v>
      </c>
      <c r="G1054" s="154" t="s">
        <v>208</v>
      </c>
      <c r="H1054" s="155"/>
      <c r="I1054" s="155"/>
      <c r="J1054" s="155"/>
      <c r="K1054" s="158" t="s">
        <v>244</v>
      </c>
      <c r="R1054" s="163"/>
      <c r="S1054" s="163"/>
    </row>
    <row r="1055">
      <c r="A1055" s="153">
        <f t="shared" si="2"/>
        <v>1054</v>
      </c>
      <c r="B1055" s="155"/>
      <c r="C1055" s="154" t="s">
        <v>208</v>
      </c>
      <c r="D1055" s="154" t="s">
        <v>218</v>
      </c>
      <c r="E1055" s="154" t="s">
        <v>208</v>
      </c>
      <c r="F1055" s="154" t="s">
        <v>218</v>
      </c>
      <c r="G1055" s="154" t="s">
        <v>208</v>
      </c>
      <c r="H1055" s="155"/>
      <c r="I1055" s="155"/>
      <c r="J1055" s="155"/>
      <c r="K1055" s="158" t="s">
        <v>244</v>
      </c>
      <c r="R1055" s="163"/>
      <c r="S1055" s="163"/>
    </row>
    <row r="1056">
      <c r="A1056" s="153">
        <f t="shared" si="2"/>
        <v>1055</v>
      </c>
      <c r="B1056" s="154"/>
      <c r="C1056" s="154" t="s">
        <v>208</v>
      </c>
      <c r="D1056" s="154" t="s">
        <v>208</v>
      </c>
      <c r="E1056" s="154" t="s">
        <v>208</v>
      </c>
      <c r="F1056" s="154" t="s">
        <v>208</v>
      </c>
      <c r="G1056" s="154" t="s">
        <v>208</v>
      </c>
      <c r="H1056" s="155"/>
      <c r="I1056" s="155"/>
      <c r="J1056" s="155"/>
      <c r="K1056" s="158" t="s">
        <v>244</v>
      </c>
      <c r="R1056" s="173"/>
      <c r="S1056" s="173"/>
    </row>
    <row r="1057">
      <c r="A1057" s="153">
        <f t="shared" si="2"/>
        <v>1056</v>
      </c>
      <c r="B1057" s="154"/>
      <c r="C1057" s="154" t="s">
        <v>208</v>
      </c>
      <c r="D1057" s="154" t="s">
        <v>208</v>
      </c>
      <c r="E1057" s="154" t="s">
        <v>208</v>
      </c>
      <c r="F1057" s="154" t="s">
        <v>208</v>
      </c>
      <c r="G1057" s="154" t="s">
        <v>208</v>
      </c>
      <c r="H1057" s="155"/>
      <c r="I1057" s="155"/>
      <c r="J1057" s="155"/>
      <c r="K1057" s="158" t="s">
        <v>244</v>
      </c>
      <c r="R1057" s="157"/>
      <c r="S1057" s="157"/>
    </row>
    <row r="1058">
      <c r="A1058" s="153">
        <f t="shared" si="2"/>
        <v>1057</v>
      </c>
      <c r="B1058" s="154"/>
      <c r="C1058" s="154" t="s">
        <v>208</v>
      </c>
      <c r="D1058" s="154" t="s">
        <v>208</v>
      </c>
      <c r="E1058" s="154" t="s">
        <v>208</v>
      </c>
      <c r="F1058" s="154" t="s">
        <v>208</v>
      </c>
      <c r="G1058" s="154" t="s">
        <v>208</v>
      </c>
      <c r="H1058" s="155"/>
      <c r="I1058" s="155"/>
      <c r="J1058" s="155"/>
      <c r="K1058" s="158" t="s">
        <v>244</v>
      </c>
      <c r="R1058" s="163"/>
      <c r="S1058" s="163"/>
    </row>
    <row r="1059">
      <c r="A1059" s="153">
        <f t="shared" si="2"/>
        <v>1058</v>
      </c>
      <c r="B1059" s="154"/>
      <c r="C1059" s="154" t="s">
        <v>208</v>
      </c>
      <c r="D1059" s="154" t="s">
        <v>218</v>
      </c>
      <c r="E1059" s="154" t="s">
        <v>208</v>
      </c>
      <c r="F1059" s="154" t="s">
        <v>208</v>
      </c>
      <c r="G1059" s="154" t="s">
        <v>208</v>
      </c>
      <c r="H1059" s="155"/>
      <c r="I1059" s="155"/>
      <c r="J1059" s="154"/>
      <c r="K1059" s="158" t="s">
        <v>244</v>
      </c>
      <c r="R1059" s="163"/>
      <c r="S1059" s="163"/>
    </row>
    <row r="1060">
      <c r="A1060" s="153">
        <f t="shared" si="2"/>
        <v>1059</v>
      </c>
      <c r="B1060" s="154"/>
      <c r="C1060" s="154" t="s">
        <v>208</v>
      </c>
      <c r="D1060" s="154" t="s">
        <v>208</v>
      </c>
      <c r="E1060" s="154"/>
      <c r="F1060" s="154" t="s">
        <v>208</v>
      </c>
      <c r="G1060" s="154" t="s">
        <v>208</v>
      </c>
      <c r="H1060" s="153"/>
      <c r="I1060" s="155"/>
      <c r="J1060" s="154"/>
      <c r="K1060" s="158" t="s">
        <v>244</v>
      </c>
      <c r="R1060" s="163"/>
      <c r="S1060" s="163"/>
    </row>
    <row r="1061">
      <c r="A1061" s="153">
        <f t="shared" si="2"/>
        <v>1060</v>
      </c>
      <c r="B1061" s="154"/>
      <c r="C1061" s="154" t="s">
        <v>208</v>
      </c>
      <c r="D1061" s="154" t="s">
        <v>208</v>
      </c>
      <c r="E1061" s="154" t="s">
        <v>208</v>
      </c>
      <c r="F1061" s="154" t="s">
        <v>208</v>
      </c>
      <c r="G1061" s="154" t="s">
        <v>208</v>
      </c>
      <c r="H1061" s="155"/>
      <c r="I1061" s="155"/>
      <c r="J1061" s="155"/>
      <c r="K1061" s="158" t="s">
        <v>244</v>
      </c>
      <c r="R1061" s="163"/>
      <c r="S1061" s="163"/>
    </row>
    <row r="1062">
      <c r="A1062" s="153">
        <f t="shared" si="2"/>
        <v>1061</v>
      </c>
      <c r="B1062" s="154"/>
      <c r="C1062" s="154" t="s">
        <v>208</v>
      </c>
      <c r="D1062" s="154" t="s">
        <v>208</v>
      </c>
      <c r="E1062" s="154" t="s">
        <v>208</v>
      </c>
      <c r="F1062" s="154" t="s">
        <v>208</v>
      </c>
      <c r="G1062" s="154" t="s">
        <v>208</v>
      </c>
      <c r="H1062" s="155"/>
      <c r="I1062" s="155"/>
      <c r="J1062" s="155"/>
      <c r="K1062" s="158" t="s">
        <v>244</v>
      </c>
      <c r="R1062" s="163"/>
      <c r="S1062" s="163"/>
    </row>
    <row r="1063">
      <c r="A1063" s="177">
        <f t="shared" si="2"/>
        <v>1062</v>
      </c>
      <c r="B1063" s="154"/>
      <c r="C1063" s="154"/>
      <c r="D1063" s="154" t="s">
        <v>208</v>
      </c>
      <c r="E1063" s="154" t="s">
        <v>208</v>
      </c>
      <c r="F1063" s="154" t="s">
        <v>208</v>
      </c>
      <c r="G1063" s="154"/>
      <c r="H1063" s="154" t="s">
        <v>208</v>
      </c>
      <c r="I1063" s="155"/>
      <c r="J1063" s="155"/>
      <c r="K1063" s="158" t="s">
        <v>244</v>
      </c>
      <c r="R1063" s="163"/>
      <c r="S1063" s="163"/>
    </row>
    <row r="1064">
      <c r="A1064" s="153">
        <f t="shared" si="2"/>
        <v>1063</v>
      </c>
      <c r="B1064" s="154"/>
      <c r="C1064" s="154" t="s">
        <v>208</v>
      </c>
      <c r="D1064" s="154" t="s">
        <v>208</v>
      </c>
      <c r="E1064" s="154" t="s">
        <v>208</v>
      </c>
      <c r="F1064" s="154" t="s">
        <v>208</v>
      </c>
      <c r="G1064" s="154" t="s">
        <v>208</v>
      </c>
      <c r="H1064" s="155"/>
      <c r="I1064" s="155"/>
      <c r="J1064" s="155"/>
      <c r="K1064" s="158" t="s">
        <v>244</v>
      </c>
      <c r="R1064" s="163"/>
      <c r="S1064" s="163"/>
    </row>
    <row r="1065">
      <c r="A1065" s="153">
        <f t="shared" si="2"/>
        <v>1064</v>
      </c>
      <c r="B1065" s="154"/>
      <c r="C1065" s="154" t="s">
        <v>208</v>
      </c>
      <c r="D1065" s="154" t="s">
        <v>208</v>
      </c>
      <c r="E1065" s="154" t="s">
        <v>208</v>
      </c>
      <c r="F1065" s="154" t="s">
        <v>208</v>
      </c>
      <c r="G1065" s="154" t="s">
        <v>208</v>
      </c>
      <c r="H1065" s="155"/>
      <c r="I1065" s="155"/>
      <c r="J1065" s="155"/>
      <c r="K1065" s="158" t="s">
        <v>244</v>
      </c>
      <c r="R1065" s="163"/>
      <c r="S1065" s="163"/>
    </row>
    <row r="1066">
      <c r="A1066" s="153">
        <f t="shared" si="2"/>
        <v>1065</v>
      </c>
      <c r="B1066" s="154"/>
      <c r="C1066" s="154" t="s">
        <v>208</v>
      </c>
      <c r="D1066" s="154" t="s">
        <v>208</v>
      </c>
      <c r="E1066" s="154" t="s">
        <v>208</v>
      </c>
      <c r="F1066" s="154" t="s">
        <v>208</v>
      </c>
      <c r="G1066" s="154" t="s">
        <v>208</v>
      </c>
      <c r="H1066" s="154"/>
      <c r="I1066" s="155"/>
      <c r="J1066" s="155"/>
      <c r="K1066" s="158" t="s">
        <v>244</v>
      </c>
      <c r="R1066" s="163"/>
      <c r="S1066" s="163"/>
    </row>
    <row r="1067">
      <c r="A1067" s="153">
        <f t="shared" si="2"/>
        <v>1066</v>
      </c>
      <c r="B1067" s="154"/>
      <c r="C1067" s="154" t="s">
        <v>208</v>
      </c>
      <c r="D1067" s="154" t="s">
        <v>208</v>
      </c>
      <c r="E1067" s="154" t="s">
        <v>208</v>
      </c>
      <c r="F1067" s="154" t="s">
        <v>208</v>
      </c>
      <c r="G1067" s="154" t="s">
        <v>208</v>
      </c>
      <c r="H1067" s="153"/>
      <c r="I1067" s="155"/>
      <c r="J1067" s="154"/>
      <c r="K1067" s="158" t="s">
        <v>244</v>
      </c>
      <c r="R1067" s="163"/>
      <c r="S1067" s="163"/>
    </row>
    <row r="1068">
      <c r="A1068" s="153">
        <f t="shared" si="2"/>
        <v>1067</v>
      </c>
      <c r="B1068" s="154"/>
      <c r="C1068" s="154" t="s">
        <v>208</v>
      </c>
      <c r="D1068" s="154" t="s">
        <v>208</v>
      </c>
      <c r="E1068" s="154" t="s">
        <v>208</v>
      </c>
      <c r="F1068" s="154" t="s">
        <v>208</v>
      </c>
      <c r="G1068" s="154" t="s">
        <v>208</v>
      </c>
      <c r="H1068" s="154"/>
      <c r="I1068" s="155"/>
      <c r="J1068" s="155"/>
      <c r="K1068" s="158" t="s">
        <v>244</v>
      </c>
      <c r="R1068" s="173"/>
      <c r="S1068" s="173"/>
    </row>
    <row r="1069">
      <c r="A1069" s="153">
        <f t="shared" si="2"/>
        <v>1068</v>
      </c>
      <c r="B1069" s="154"/>
      <c r="C1069" s="154" t="s">
        <v>208</v>
      </c>
      <c r="D1069" s="154" t="s">
        <v>208</v>
      </c>
      <c r="E1069" s="154" t="s">
        <v>208</v>
      </c>
      <c r="F1069" s="154" t="s">
        <v>208</v>
      </c>
      <c r="G1069" s="154" t="s">
        <v>208</v>
      </c>
      <c r="H1069" s="155"/>
      <c r="I1069" s="155"/>
      <c r="J1069" s="155"/>
      <c r="K1069" s="158" t="s">
        <v>244</v>
      </c>
      <c r="R1069" s="157"/>
      <c r="S1069" s="157"/>
    </row>
    <row r="1070">
      <c r="A1070" s="153">
        <f t="shared" si="2"/>
        <v>1069</v>
      </c>
      <c r="B1070" s="154"/>
      <c r="C1070" s="154" t="s">
        <v>208</v>
      </c>
      <c r="D1070" s="154" t="s">
        <v>208</v>
      </c>
      <c r="E1070" s="154" t="s">
        <v>208</v>
      </c>
      <c r="F1070" s="154" t="s">
        <v>208</v>
      </c>
      <c r="G1070" s="154" t="s">
        <v>208</v>
      </c>
      <c r="H1070" s="155"/>
      <c r="I1070" s="155"/>
      <c r="J1070" s="155"/>
      <c r="K1070" s="158" t="s">
        <v>244</v>
      </c>
      <c r="R1070" s="163"/>
      <c r="S1070" s="163"/>
    </row>
    <row r="1071">
      <c r="A1071" s="153">
        <f t="shared" si="2"/>
        <v>1070</v>
      </c>
      <c r="B1071" s="154"/>
      <c r="C1071" s="154" t="s">
        <v>208</v>
      </c>
      <c r="D1071" s="154" t="s">
        <v>208</v>
      </c>
      <c r="E1071" s="154" t="s">
        <v>208</v>
      </c>
      <c r="F1071" s="154" t="s">
        <v>208</v>
      </c>
      <c r="G1071" s="154" t="s">
        <v>208</v>
      </c>
      <c r="H1071" s="155"/>
      <c r="I1071" s="155"/>
      <c r="J1071" s="155"/>
      <c r="K1071" s="158" t="s">
        <v>244</v>
      </c>
      <c r="R1071" s="163"/>
      <c r="S1071" s="163"/>
    </row>
    <row r="1072">
      <c r="A1072" s="177">
        <f t="shared" si="2"/>
        <v>1071</v>
      </c>
      <c r="B1072" s="154"/>
      <c r="C1072" s="154"/>
      <c r="D1072" s="154" t="s">
        <v>208</v>
      </c>
      <c r="E1072" s="154" t="s">
        <v>208</v>
      </c>
      <c r="F1072" s="154" t="s">
        <v>208</v>
      </c>
      <c r="G1072" s="154"/>
      <c r="H1072" s="154" t="s">
        <v>208</v>
      </c>
      <c r="I1072" s="155"/>
      <c r="J1072" s="155"/>
      <c r="K1072" s="158" t="s">
        <v>244</v>
      </c>
      <c r="R1072" s="163"/>
      <c r="S1072" s="163"/>
    </row>
    <row r="1073">
      <c r="A1073" s="153">
        <f t="shared" si="2"/>
        <v>1072</v>
      </c>
      <c r="B1073" s="154"/>
      <c r="C1073" s="154" t="s">
        <v>208</v>
      </c>
      <c r="D1073" s="154" t="s">
        <v>208</v>
      </c>
      <c r="E1073" s="154" t="s">
        <v>208</v>
      </c>
      <c r="F1073" s="154" t="s">
        <v>208</v>
      </c>
      <c r="G1073" s="154" t="s">
        <v>208</v>
      </c>
      <c r="H1073" s="155"/>
      <c r="I1073" s="155"/>
      <c r="J1073" s="155"/>
      <c r="K1073" s="158" t="s">
        <v>244</v>
      </c>
      <c r="R1073" s="163"/>
      <c r="S1073" s="163"/>
    </row>
    <row r="1074">
      <c r="A1074" s="153">
        <f t="shared" si="2"/>
        <v>1073</v>
      </c>
      <c r="B1074" s="154"/>
      <c r="C1074" s="154" t="s">
        <v>208</v>
      </c>
      <c r="D1074" s="154" t="s">
        <v>208</v>
      </c>
      <c r="E1074" s="154" t="s">
        <v>208</v>
      </c>
      <c r="F1074" s="154" t="s">
        <v>208</v>
      </c>
      <c r="G1074" s="154" t="s">
        <v>208</v>
      </c>
      <c r="H1074" s="155"/>
      <c r="I1074" s="155"/>
      <c r="J1074" s="155"/>
      <c r="K1074" s="158" t="s">
        <v>244</v>
      </c>
      <c r="R1074" s="163"/>
      <c r="S1074" s="163"/>
    </row>
    <row r="1075">
      <c r="A1075" s="153">
        <f t="shared" si="2"/>
        <v>1074</v>
      </c>
      <c r="B1075" s="154"/>
      <c r="C1075" s="154" t="s">
        <v>208</v>
      </c>
      <c r="D1075" s="154" t="s">
        <v>208</v>
      </c>
      <c r="E1075" s="154" t="s">
        <v>208</v>
      </c>
      <c r="F1075" s="154" t="s">
        <v>208</v>
      </c>
      <c r="G1075" s="154" t="s">
        <v>208</v>
      </c>
      <c r="H1075" s="155"/>
      <c r="I1075" s="155"/>
      <c r="J1075" s="155"/>
      <c r="K1075" s="158" t="s">
        <v>244</v>
      </c>
      <c r="R1075" s="163"/>
      <c r="S1075" s="163"/>
    </row>
    <row r="1076">
      <c r="A1076" s="153">
        <f t="shared" si="2"/>
        <v>1075</v>
      </c>
      <c r="B1076" s="154"/>
      <c r="C1076" s="154" t="s">
        <v>208</v>
      </c>
      <c r="D1076" s="154" t="s">
        <v>208</v>
      </c>
      <c r="E1076" s="154" t="s">
        <v>208</v>
      </c>
      <c r="F1076" s="154" t="s">
        <v>208</v>
      </c>
      <c r="G1076" s="154" t="s">
        <v>208</v>
      </c>
      <c r="H1076" s="155"/>
      <c r="I1076" s="155"/>
      <c r="J1076" s="155"/>
      <c r="K1076" s="158" t="s">
        <v>244</v>
      </c>
      <c r="R1076" s="163"/>
      <c r="S1076" s="163"/>
    </row>
    <row r="1077">
      <c r="A1077" s="153">
        <f t="shared" si="2"/>
        <v>1076</v>
      </c>
      <c r="B1077" s="154"/>
      <c r="C1077" s="154" t="s">
        <v>208</v>
      </c>
      <c r="D1077" s="154" t="s">
        <v>218</v>
      </c>
      <c r="E1077" s="154" t="s">
        <v>208</v>
      </c>
      <c r="F1077" s="154" t="s">
        <v>208</v>
      </c>
      <c r="G1077" s="154" t="s">
        <v>208</v>
      </c>
      <c r="H1077" s="155"/>
      <c r="I1077" s="155"/>
      <c r="J1077" s="155"/>
      <c r="K1077" s="158" t="s">
        <v>244</v>
      </c>
      <c r="R1077" s="163"/>
      <c r="S1077" s="163"/>
    </row>
    <row r="1078">
      <c r="A1078" s="153">
        <f t="shared" si="2"/>
        <v>1077</v>
      </c>
      <c r="B1078" s="154"/>
      <c r="C1078" s="154" t="s">
        <v>208</v>
      </c>
      <c r="D1078" s="154" t="s">
        <v>218</v>
      </c>
      <c r="E1078" s="154" t="s">
        <v>208</v>
      </c>
      <c r="F1078" s="154" t="s">
        <v>218</v>
      </c>
      <c r="G1078" s="154" t="s">
        <v>208</v>
      </c>
      <c r="H1078" s="155"/>
      <c r="I1078" s="155"/>
      <c r="J1078" s="155"/>
      <c r="K1078" s="158" t="s">
        <v>244</v>
      </c>
      <c r="R1078" s="163"/>
      <c r="S1078" s="163"/>
    </row>
    <row r="1079">
      <c r="A1079" s="153">
        <f t="shared" si="2"/>
        <v>1078</v>
      </c>
      <c r="B1079" s="154"/>
      <c r="C1079" s="154" t="s">
        <v>208</v>
      </c>
      <c r="D1079" s="154" t="s">
        <v>208</v>
      </c>
      <c r="E1079" s="154" t="s">
        <v>208</v>
      </c>
      <c r="F1079" s="154" t="s">
        <v>208</v>
      </c>
      <c r="G1079" s="154" t="s">
        <v>208</v>
      </c>
      <c r="H1079" s="155"/>
      <c r="I1079" s="155"/>
      <c r="J1079" s="155"/>
      <c r="K1079" s="158" t="s">
        <v>244</v>
      </c>
      <c r="R1079" s="163"/>
      <c r="S1079" s="163"/>
    </row>
    <row r="1080">
      <c r="A1080" s="153">
        <f t="shared" si="2"/>
        <v>1079</v>
      </c>
      <c r="B1080" s="154"/>
      <c r="C1080" s="154" t="s">
        <v>208</v>
      </c>
      <c r="D1080" s="154" t="s">
        <v>208</v>
      </c>
      <c r="E1080" s="154" t="s">
        <v>208</v>
      </c>
      <c r="F1080" s="154" t="s">
        <v>208</v>
      </c>
      <c r="G1080" s="154" t="s">
        <v>208</v>
      </c>
      <c r="H1080" s="155"/>
      <c r="I1080" s="155"/>
      <c r="J1080" s="155"/>
      <c r="K1080" s="158" t="s">
        <v>244</v>
      </c>
      <c r="R1080" s="173"/>
      <c r="S1080" s="173"/>
    </row>
    <row r="1081">
      <c r="A1081" s="153">
        <f t="shared" si="2"/>
        <v>1080</v>
      </c>
      <c r="B1081" s="154"/>
      <c r="C1081" s="154" t="s">
        <v>208</v>
      </c>
      <c r="D1081" s="154" t="s">
        <v>208</v>
      </c>
      <c r="E1081" s="154" t="s">
        <v>208</v>
      </c>
      <c r="F1081" s="154" t="s">
        <v>208</v>
      </c>
      <c r="G1081" s="154" t="s">
        <v>208</v>
      </c>
      <c r="H1081" s="155"/>
      <c r="I1081" s="155"/>
      <c r="J1081" s="155"/>
      <c r="K1081" s="158" t="s">
        <v>244</v>
      </c>
      <c r="R1081" s="157"/>
      <c r="S1081" s="157"/>
    </row>
    <row r="1082">
      <c r="A1082" s="153">
        <f t="shared" si="2"/>
        <v>1081</v>
      </c>
      <c r="B1082" s="155"/>
      <c r="C1082" s="154" t="s">
        <v>208</v>
      </c>
      <c r="D1082" s="154" t="s">
        <v>208</v>
      </c>
      <c r="E1082" s="154" t="s">
        <v>208</v>
      </c>
      <c r="F1082" s="154" t="s">
        <v>208</v>
      </c>
      <c r="G1082" s="154" t="s">
        <v>208</v>
      </c>
      <c r="H1082" s="155"/>
      <c r="I1082" s="155"/>
      <c r="J1082" s="155"/>
      <c r="K1082" s="158" t="s">
        <v>244</v>
      </c>
      <c r="R1082" s="163"/>
      <c r="S1082" s="163"/>
    </row>
    <row r="1083">
      <c r="A1083" s="153">
        <f t="shared" si="2"/>
        <v>1082</v>
      </c>
      <c r="B1083" s="155"/>
      <c r="C1083" s="154" t="s">
        <v>208</v>
      </c>
      <c r="D1083" s="154" t="s">
        <v>208</v>
      </c>
      <c r="E1083" s="154" t="s">
        <v>208</v>
      </c>
      <c r="F1083" s="154" t="s">
        <v>208</v>
      </c>
      <c r="G1083" s="154" t="s">
        <v>208</v>
      </c>
      <c r="H1083" s="155"/>
      <c r="I1083" s="155"/>
      <c r="J1083" s="155"/>
      <c r="K1083" s="158" t="s">
        <v>244</v>
      </c>
      <c r="R1083" s="163"/>
      <c r="S1083" s="163"/>
    </row>
    <row r="1084">
      <c r="A1084" s="177">
        <f t="shared" si="2"/>
        <v>1083</v>
      </c>
      <c r="B1084" s="154"/>
      <c r="C1084" s="154"/>
      <c r="D1084" s="154" t="s">
        <v>208</v>
      </c>
      <c r="E1084" s="154" t="s">
        <v>208</v>
      </c>
      <c r="F1084" s="154" t="s">
        <v>208</v>
      </c>
      <c r="G1084" s="155"/>
      <c r="H1084" s="154" t="s">
        <v>208</v>
      </c>
      <c r="I1084" s="155"/>
      <c r="J1084" s="154"/>
      <c r="K1084" s="158" t="s">
        <v>244</v>
      </c>
      <c r="R1084" s="163"/>
      <c r="S1084" s="163"/>
    </row>
    <row r="1085">
      <c r="A1085" s="153">
        <f t="shared" si="2"/>
        <v>1084</v>
      </c>
      <c r="B1085" s="154"/>
      <c r="C1085" s="154" t="s">
        <v>208</v>
      </c>
      <c r="D1085" s="154" t="s">
        <v>208</v>
      </c>
      <c r="E1085" s="154" t="s">
        <v>208</v>
      </c>
      <c r="F1085" s="154" t="s">
        <v>208</v>
      </c>
      <c r="G1085" s="154" t="s">
        <v>208</v>
      </c>
      <c r="H1085" s="155"/>
      <c r="I1085" s="155"/>
      <c r="J1085" s="155"/>
      <c r="K1085" s="158" t="s">
        <v>244</v>
      </c>
      <c r="R1085" s="163"/>
      <c r="S1085" s="163"/>
    </row>
    <row r="1086">
      <c r="A1086" s="153">
        <f t="shared" si="2"/>
        <v>1085</v>
      </c>
      <c r="B1086" s="154"/>
      <c r="C1086" s="154" t="s">
        <v>208</v>
      </c>
      <c r="D1086" s="154" t="s">
        <v>208</v>
      </c>
      <c r="E1086" s="154" t="s">
        <v>208</v>
      </c>
      <c r="F1086" s="154" t="s">
        <v>208</v>
      </c>
      <c r="G1086" s="154" t="s">
        <v>208</v>
      </c>
      <c r="H1086" s="155"/>
      <c r="I1086" s="155"/>
      <c r="J1086" s="155"/>
      <c r="K1086" s="158" t="s">
        <v>244</v>
      </c>
      <c r="R1086" s="163"/>
      <c r="S1086" s="163"/>
    </row>
    <row r="1087">
      <c r="A1087" s="153">
        <f t="shared" si="2"/>
        <v>1086</v>
      </c>
      <c r="B1087" s="154"/>
      <c r="C1087" s="154" t="s">
        <v>208</v>
      </c>
      <c r="D1087" s="154" t="s">
        <v>208</v>
      </c>
      <c r="E1087" s="154" t="s">
        <v>208</v>
      </c>
      <c r="F1087" s="154" t="s">
        <v>208</v>
      </c>
      <c r="G1087" s="154" t="s">
        <v>208</v>
      </c>
      <c r="H1087" s="155"/>
      <c r="I1087" s="155"/>
      <c r="J1087" s="155"/>
      <c r="K1087" s="158" t="s">
        <v>244</v>
      </c>
      <c r="R1087" s="163"/>
      <c r="S1087" s="163"/>
    </row>
    <row r="1088">
      <c r="A1088" s="153">
        <f t="shared" si="2"/>
        <v>1087</v>
      </c>
      <c r="B1088" s="154"/>
      <c r="C1088" s="154" t="s">
        <v>208</v>
      </c>
      <c r="D1088" s="154" t="s">
        <v>208</v>
      </c>
      <c r="E1088" s="154" t="s">
        <v>208</v>
      </c>
      <c r="F1088" s="154" t="s">
        <v>208</v>
      </c>
      <c r="G1088" s="154" t="s">
        <v>208</v>
      </c>
      <c r="H1088" s="155"/>
      <c r="I1088" s="155"/>
      <c r="J1088" s="155"/>
      <c r="K1088" s="158" t="s">
        <v>244</v>
      </c>
      <c r="R1088" s="163"/>
      <c r="S1088" s="163"/>
    </row>
    <row r="1089">
      <c r="A1089" s="153">
        <f t="shared" si="2"/>
        <v>1088</v>
      </c>
      <c r="B1089" s="154"/>
      <c r="C1089" s="154" t="s">
        <v>208</v>
      </c>
      <c r="D1089" s="154" t="s">
        <v>208</v>
      </c>
      <c r="E1089" s="154" t="s">
        <v>208</v>
      </c>
      <c r="F1089" s="154" t="s">
        <v>208</v>
      </c>
      <c r="G1089" s="154" t="s">
        <v>208</v>
      </c>
      <c r="H1089" s="155"/>
      <c r="I1089" s="155"/>
      <c r="J1089" s="155"/>
      <c r="K1089" s="158" t="s">
        <v>244</v>
      </c>
      <c r="R1089" s="163"/>
      <c r="S1089" s="163"/>
    </row>
    <row r="1090">
      <c r="A1090" s="153">
        <f t="shared" si="2"/>
        <v>1089</v>
      </c>
      <c r="B1090" s="155"/>
      <c r="C1090" s="154" t="s">
        <v>208</v>
      </c>
      <c r="D1090" s="154" t="s">
        <v>208</v>
      </c>
      <c r="E1090" s="154" t="s">
        <v>208</v>
      </c>
      <c r="F1090" s="154" t="s">
        <v>208</v>
      </c>
      <c r="G1090" s="154" t="s">
        <v>208</v>
      </c>
      <c r="H1090" s="155"/>
      <c r="I1090" s="155"/>
      <c r="J1090" s="155"/>
      <c r="K1090" s="158" t="s">
        <v>244</v>
      </c>
      <c r="R1090" s="163"/>
      <c r="S1090" s="163"/>
    </row>
    <row r="1091">
      <c r="A1091" s="153">
        <f t="shared" si="2"/>
        <v>1090</v>
      </c>
      <c r="B1091" s="154"/>
      <c r="C1091" s="154" t="s">
        <v>208</v>
      </c>
      <c r="D1091" s="154" t="s">
        <v>218</v>
      </c>
      <c r="E1091" s="154" t="s">
        <v>208</v>
      </c>
      <c r="F1091" s="154" t="s">
        <v>208</v>
      </c>
      <c r="G1091" s="154" t="s">
        <v>208</v>
      </c>
      <c r="H1091" s="153"/>
      <c r="I1091" s="155"/>
      <c r="J1091" s="155"/>
      <c r="K1091" s="158" t="s">
        <v>244</v>
      </c>
      <c r="R1091" s="163"/>
      <c r="S1091" s="163"/>
    </row>
    <row r="1092">
      <c r="A1092" s="153">
        <f t="shared" si="2"/>
        <v>1091</v>
      </c>
      <c r="B1092" s="154"/>
      <c r="C1092" s="154" t="s">
        <v>208</v>
      </c>
      <c r="D1092" s="154" t="s">
        <v>208</v>
      </c>
      <c r="E1092" s="154" t="s">
        <v>208</v>
      </c>
      <c r="F1092" s="154" t="s">
        <v>218</v>
      </c>
      <c r="G1092" s="154" t="s">
        <v>208</v>
      </c>
      <c r="H1092" s="153"/>
      <c r="I1092" s="155"/>
      <c r="J1092" s="155"/>
      <c r="K1092" s="158" t="s">
        <v>244</v>
      </c>
      <c r="R1092" s="173"/>
      <c r="S1092" s="173"/>
    </row>
    <row r="1093">
      <c r="A1093" s="153">
        <f t="shared" si="2"/>
        <v>1092</v>
      </c>
      <c r="B1093" s="154"/>
      <c r="C1093" s="154" t="s">
        <v>208</v>
      </c>
      <c r="D1093" s="154" t="s">
        <v>208</v>
      </c>
      <c r="E1093" s="154" t="s">
        <v>208</v>
      </c>
      <c r="F1093" s="154" t="s">
        <v>208</v>
      </c>
      <c r="G1093" s="154" t="s">
        <v>208</v>
      </c>
      <c r="H1093" s="155"/>
      <c r="I1093" s="155"/>
      <c r="J1093" s="155"/>
      <c r="K1093" s="158" t="s">
        <v>244</v>
      </c>
      <c r="R1093" s="157"/>
      <c r="S1093" s="157"/>
    </row>
    <row r="1094">
      <c r="A1094" s="153">
        <f t="shared" si="2"/>
        <v>1093</v>
      </c>
      <c r="B1094" s="154"/>
      <c r="C1094" s="154" t="s">
        <v>208</v>
      </c>
      <c r="D1094" s="154" t="s">
        <v>208</v>
      </c>
      <c r="E1094" s="154" t="s">
        <v>208</v>
      </c>
      <c r="F1094" s="154" t="s">
        <v>208</v>
      </c>
      <c r="G1094" s="154" t="s">
        <v>208</v>
      </c>
      <c r="H1094" s="155"/>
      <c r="I1094" s="155"/>
      <c r="J1094" s="155"/>
      <c r="K1094" s="158" t="s">
        <v>244</v>
      </c>
      <c r="R1094" s="163"/>
      <c r="S1094" s="163"/>
    </row>
    <row r="1095">
      <c r="A1095" s="153">
        <f t="shared" si="2"/>
        <v>1094</v>
      </c>
      <c r="B1095" s="154"/>
      <c r="C1095" s="154" t="s">
        <v>208</v>
      </c>
      <c r="D1095" s="154" t="s">
        <v>208</v>
      </c>
      <c r="E1095" s="154" t="s">
        <v>208</v>
      </c>
      <c r="F1095" s="154" t="s">
        <v>208</v>
      </c>
      <c r="G1095" s="154" t="s">
        <v>208</v>
      </c>
      <c r="H1095" s="155"/>
      <c r="I1095" s="155"/>
      <c r="J1095" s="155"/>
      <c r="K1095" s="158" t="s">
        <v>244</v>
      </c>
      <c r="R1095" s="163"/>
      <c r="S1095" s="163"/>
    </row>
    <row r="1096">
      <c r="A1096" s="153">
        <f t="shared" si="2"/>
        <v>1095</v>
      </c>
      <c r="B1096" s="154"/>
      <c r="C1096" s="154" t="s">
        <v>208</v>
      </c>
      <c r="D1096" s="154" t="s">
        <v>208</v>
      </c>
      <c r="E1096" s="154" t="s">
        <v>208</v>
      </c>
      <c r="F1096" s="154" t="s">
        <v>208</v>
      </c>
      <c r="G1096" s="154" t="s">
        <v>208</v>
      </c>
      <c r="H1096" s="155"/>
      <c r="I1096" s="155"/>
      <c r="J1096" s="155"/>
      <c r="K1096" s="158" t="s">
        <v>244</v>
      </c>
      <c r="R1096" s="163"/>
      <c r="S1096" s="163"/>
    </row>
    <row r="1097">
      <c r="A1097" s="153">
        <f t="shared" si="2"/>
        <v>1096</v>
      </c>
      <c r="B1097" s="154"/>
      <c r="C1097" s="154" t="s">
        <v>208</v>
      </c>
      <c r="D1097" s="154" t="s">
        <v>208</v>
      </c>
      <c r="E1097" s="154" t="s">
        <v>208</v>
      </c>
      <c r="F1097" s="154" t="s">
        <v>208</v>
      </c>
      <c r="G1097" s="154" t="s">
        <v>208</v>
      </c>
      <c r="H1097" s="155"/>
      <c r="I1097" s="155"/>
      <c r="J1097" s="155"/>
      <c r="K1097" s="158" t="s">
        <v>244</v>
      </c>
      <c r="R1097" s="163"/>
      <c r="S1097" s="163"/>
    </row>
    <row r="1098">
      <c r="A1098" s="153">
        <f t="shared" si="2"/>
        <v>1097</v>
      </c>
      <c r="B1098" s="154"/>
      <c r="C1098" s="154" t="s">
        <v>208</v>
      </c>
      <c r="D1098" s="154" t="s">
        <v>208</v>
      </c>
      <c r="E1098" s="154" t="s">
        <v>208</v>
      </c>
      <c r="F1098" s="154" t="s">
        <v>208</v>
      </c>
      <c r="G1098" s="154" t="s">
        <v>208</v>
      </c>
      <c r="H1098" s="155"/>
      <c r="I1098" s="155"/>
      <c r="J1098" s="155"/>
      <c r="K1098" s="158" t="s">
        <v>244</v>
      </c>
      <c r="R1098" s="163"/>
      <c r="S1098" s="163"/>
    </row>
    <row r="1099">
      <c r="A1099" s="153">
        <f t="shared" si="2"/>
        <v>1098</v>
      </c>
      <c r="B1099" s="154"/>
      <c r="C1099" s="154" t="s">
        <v>208</v>
      </c>
      <c r="D1099" s="154" t="s">
        <v>208</v>
      </c>
      <c r="E1099" s="154" t="s">
        <v>208</v>
      </c>
      <c r="F1099" s="154" t="s">
        <v>208</v>
      </c>
      <c r="G1099" s="154" t="s">
        <v>208</v>
      </c>
      <c r="H1099" s="155"/>
      <c r="I1099" s="155"/>
      <c r="J1099" s="155"/>
      <c r="K1099" s="158" t="s">
        <v>244</v>
      </c>
      <c r="R1099" s="163"/>
      <c r="S1099" s="163"/>
    </row>
    <row r="1100">
      <c r="A1100" s="153">
        <f t="shared" si="2"/>
        <v>1099</v>
      </c>
      <c r="B1100" s="154"/>
      <c r="C1100" s="154" t="s">
        <v>208</v>
      </c>
      <c r="D1100" s="154" t="s">
        <v>208</v>
      </c>
      <c r="E1100" s="154" t="s">
        <v>208</v>
      </c>
      <c r="F1100" s="154" t="s">
        <v>208</v>
      </c>
      <c r="G1100" s="154" t="s">
        <v>208</v>
      </c>
      <c r="H1100" s="155"/>
      <c r="I1100" s="155"/>
      <c r="J1100" s="155"/>
      <c r="K1100" s="158" t="s">
        <v>244</v>
      </c>
      <c r="R1100" s="163"/>
      <c r="S1100" s="163"/>
    </row>
    <row r="1101">
      <c r="A1101" s="153">
        <f t="shared" si="2"/>
        <v>1100</v>
      </c>
      <c r="B1101" s="154"/>
      <c r="C1101" s="154" t="s">
        <v>208</v>
      </c>
      <c r="D1101" s="154" t="s">
        <v>208</v>
      </c>
      <c r="E1101" s="154" t="s">
        <v>208</v>
      </c>
      <c r="F1101" s="154" t="s">
        <v>208</v>
      </c>
      <c r="G1101" s="154" t="s">
        <v>208</v>
      </c>
      <c r="H1101" s="153"/>
      <c r="I1101" s="155"/>
      <c r="J1101" s="155"/>
      <c r="K1101" s="158" t="s">
        <v>244</v>
      </c>
      <c r="R1101" s="163"/>
      <c r="S1101" s="163"/>
    </row>
    <row r="1102">
      <c r="A1102" s="153">
        <f t="shared" si="2"/>
        <v>1101</v>
      </c>
      <c r="B1102" s="154"/>
      <c r="C1102" s="154" t="s">
        <v>208</v>
      </c>
      <c r="D1102" s="154" t="s">
        <v>208</v>
      </c>
      <c r="E1102" s="154" t="s">
        <v>208</v>
      </c>
      <c r="F1102" s="154" t="s">
        <v>208</v>
      </c>
      <c r="G1102" s="154" t="s">
        <v>208</v>
      </c>
      <c r="H1102" s="155"/>
      <c r="I1102" s="155"/>
      <c r="J1102" s="155"/>
      <c r="K1102" s="158" t="s">
        <v>244</v>
      </c>
      <c r="R1102" s="163"/>
      <c r="S1102" s="163"/>
    </row>
    <row r="1103">
      <c r="A1103" s="153">
        <f t="shared" si="2"/>
        <v>1102</v>
      </c>
      <c r="B1103" s="154"/>
      <c r="C1103" s="154" t="s">
        <v>208</v>
      </c>
      <c r="D1103" s="154" t="s">
        <v>208</v>
      </c>
      <c r="E1103" s="154" t="s">
        <v>208</v>
      </c>
      <c r="F1103" s="154" t="s">
        <v>208</v>
      </c>
      <c r="G1103" s="154" t="s">
        <v>208</v>
      </c>
      <c r="H1103" s="153"/>
      <c r="I1103" s="155"/>
      <c r="J1103" s="155"/>
      <c r="K1103" s="158" t="s">
        <v>244</v>
      </c>
      <c r="R1103" s="163"/>
      <c r="S1103" s="163"/>
    </row>
    <row r="1104">
      <c r="A1104" s="153">
        <f t="shared" si="2"/>
        <v>1103</v>
      </c>
      <c r="B1104" s="154"/>
      <c r="C1104" s="154" t="s">
        <v>208</v>
      </c>
      <c r="D1104" s="154" t="s">
        <v>208</v>
      </c>
      <c r="E1104" s="154" t="s">
        <v>208</v>
      </c>
      <c r="F1104" s="154" t="s">
        <v>208</v>
      </c>
      <c r="G1104" s="154" t="s">
        <v>208</v>
      </c>
      <c r="H1104" s="155"/>
      <c r="I1104" s="155"/>
      <c r="J1104" s="155"/>
      <c r="K1104" s="158" t="s">
        <v>244</v>
      </c>
      <c r="R1104" s="173"/>
      <c r="S1104" s="173"/>
    </row>
    <row r="1105">
      <c r="A1105" s="153">
        <f t="shared" si="2"/>
        <v>1104</v>
      </c>
      <c r="B1105" s="154"/>
      <c r="C1105" s="154" t="s">
        <v>208</v>
      </c>
      <c r="D1105" s="154" t="s">
        <v>208</v>
      </c>
      <c r="E1105" s="154" t="s">
        <v>208</v>
      </c>
      <c r="F1105" s="154" t="s">
        <v>208</v>
      </c>
      <c r="G1105" s="154" t="s">
        <v>208</v>
      </c>
      <c r="H1105" s="154"/>
      <c r="I1105" s="155"/>
      <c r="J1105" s="155"/>
      <c r="K1105" s="158" t="s">
        <v>244</v>
      </c>
      <c r="R1105" s="157"/>
      <c r="S1105" s="157"/>
    </row>
    <row r="1106">
      <c r="A1106" s="153">
        <f t="shared" si="2"/>
        <v>1105</v>
      </c>
      <c r="B1106" s="154"/>
      <c r="C1106" s="154" t="s">
        <v>208</v>
      </c>
      <c r="D1106" s="154" t="s">
        <v>208</v>
      </c>
      <c r="E1106" s="154" t="s">
        <v>208</v>
      </c>
      <c r="F1106" s="154" t="s">
        <v>208</v>
      </c>
      <c r="G1106" s="154" t="s">
        <v>208</v>
      </c>
      <c r="H1106" s="155"/>
      <c r="I1106" s="155"/>
      <c r="J1106" s="155"/>
      <c r="K1106" s="158" t="s">
        <v>244</v>
      </c>
      <c r="R1106" s="163"/>
      <c r="S1106" s="163"/>
    </row>
    <row r="1107">
      <c r="A1107" s="153">
        <f t="shared" si="2"/>
        <v>1106</v>
      </c>
      <c r="B1107" s="154"/>
      <c r="C1107" s="154" t="s">
        <v>208</v>
      </c>
      <c r="D1107" s="154" t="s">
        <v>208</v>
      </c>
      <c r="E1107" s="154" t="s">
        <v>208</v>
      </c>
      <c r="F1107" s="154" t="s">
        <v>208</v>
      </c>
      <c r="G1107" s="154" t="s">
        <v>208</v>
      </c>
      <c r="H1107" s="155"/>
      <c r="I1107" s="155"/>
      <c r="J1107" s="155"/>
      <c r="K1107" s="158" t="s">
        <v>244</v>
      </c>
      <c r="R1107" s="163"/>
      <c r="S1107" s="163"/>
    </row>
    <row r="1108">
      <c r="A1108" s="153">
        <f t="shared" si="2"/>
        <v>1107</v>
      </c>
      <c r="B1108" s="154"/>
      <c r="C1108" s="154" t="s">
        <v>208</v>
      </c>
      <c r="D1108" s="154" t="s">
        <v>208</v>
      </c>
      <c r="E1108" s="154" t="s">
        <v>208</v>
      </c>
      <c r="F1108" s="154" t="s">
        <v>208</v>
      </c>
      <c r="G1108" s="154" t="s">
        <v>208</v>
      </c>
      <c r="H1108" s="155"/>
      <c r="I1108" s="155"/>
      <c r="J1108" s="155"/>
      <c r="K1108" s="158" t="s">
        <v>244</v>
      </c>
      <c r="R1108" s="163"/>
      <c r="S1108" s="163"/>
    </row>
    <row r="1109">
      <c r="A1109" s="177">
        <f t="shared" si="2"/>
        <v>1108</v>
      </c>
      <c r="B1109" s="154"/>
      <c r="C1109" s="154"/>
      <c r="D1109" s="154" t="s">
        <v>208</v>
      </c>
      <c r="E1109" s="154" t="s">
        <v>208</v>
      </c>
      <c r="F1109" s="154" t="s">
        <v>208</v>
      </c>
      <c r="G1109" s="154"/>
      <c r="H1109" s="154" t="s">
        <v>208</v>
      </c>
      <c r="I1109" s="155"/>
      <c r="J1109" s="155"/>
      <c r="K1109" s="158" t="s">
        <v>244</v>
      </c>
      <c r="R1109" s="163"/>
      <c r="S1109" s="163"/>
    </row>
    <row r="1110">
      <c r="A1110" s="153">
        <f t="shared" si="2"/>
        <v>1109</v>
      </c>
      <c r="B1110" s="154"/>
      <c r="C1110" s="154" t="s">
        <v>208</v>
      </c>
      <c r="D1110" s="154" t="s">
        <v>208</v>
      </c>
      <c r="E1110" s="154" t="s">
        <v>208</v>
      </c>
      <c r="F1110" s="154" t="s">
        <v>208</v>
      </c>
      <c r="G1110" s="154" t="s">
        <v>208</v>
      </c>
      <c r="H1110" s="155"/>
      <c r="I1110" s="155"/>
      <c r="J1110" s="155"/>
      <c r="K1110" s="158" t="s">
        <v>244</v>
      </c>
      <c r="R1110" s="163"/>
      <c r="S1110" s="163"/>
    </row>
    <row r="1111">
      <c r="A1111" s="153">
        <f t="shared" si="2"/>
        <v>1110</v>
      </c>
      <c r="B1111" s="154"/>
      <c r="C1111" s="154" t="s">
        <v>208</v>
      </c>
      <c r="D1111" s="154" t="s">
        <v>208</v>
      </c>
      <c r="E1111" s="154" t="s">
        <v>208</v>
      </c>
      <c r="F1111" s="154" t="s">
        <v>208</v>
      </c>
      <c r="G1111" s="154" t="s">
        <v>208</v>
      </c>
      <c r="H1111" s="155"/>
      <c r="I1111" s="155"/>
      <c r="J1111" s="155"/>
      <c r="K1111" s="158" t="s">
        <v>244</v>
      </c>
      <c r="R1111" s="163"/>
      <c r="S1111" s="163"/>
    </row>
    <row r="1112">
      <c r="A1112" s="153">
        <f t="shared" si="2"/>
        <v>1111</v>
      </c>
      <c r="B1112" s="154"/>
      <c r="C1112" s="154" t="s">
        <v>208</v>
      </c>
      <c r="D1112" s="154" t="s">
        <v>208</v>
      </c>
      <c r="E1112" s="154" t="s">
        <v>208</v>
      </c>
      <c r="F1112" s="154" t="s">
        <v>208</v>
      </c>
      <c r="G1112" s="154" t="s">
        <v>208</v>
      </c>
      <c r="H1112" s="154"/>
      <c r="I1112" s="155"/>
      <c r="J1112" s="155"/>
      <c r="K1112" s="158" t="s">
        <v>244</v>
      </c>
      <c r="R1112" s="163"/>
      <c r="S1112" s="163"/>
    </row>
    <row r="1113">
      <c r="A1113" s="153">
        <f t="shared" si="2"/>
        <v>1112</v>
      </c>
      <c r="B1113" s="154"/>
      <c r="C1113" s="154" t="s">
        <v>208</v>
      </c>
      <c r="D1113" s="154" t="s">
        <v>208</v>
      </c>
      <c r="E1113" s="154" t="s">
        <v>208</v>
      </c>
      <c r="F1113" s="154" t="s">
        <v>208</v>
      </c>
      <c r="G1113" s="154" t="s">
        <v>208</v>
      </c>
      <c r="H1113" s="155"/>
      <c r="I1113" s="155"/>
      <c r="J1113" s="155"/>
      <c r="K1113" s="158" t="s">
        <v>244</v>
      </c>
      <c r="R1113" s="163"/>
      <c r="S1113" s="163"/>
    </row>
    <row r="1114">
      <c r="A1114" s="153">
        <f t="shared" si="2"/>
        <v>1113</v>
      </c>
      <c r="B1114" s="154"/>
      <c r="C1114" s="154" t="s">
        <v>208</v>
      </c>
      <c r="D1114" s="154" t="s">
        <v>208</v>
      </c>
      <c r="E1114" s="154" t="s">
        <v>208</v>
      </c>
      <c r="F1114" s="154" t="s">
        <v>208</v>
      </c>
      <c r="G1114" s="154" t="s">
        <v>208</v>
      </c>
      <c r="H1114" s="155"/>
      <c r="I1114" s="155"/>
      <c r="J1114" s="155"/>
      <c r="K1114" s="158" t="s">
        <v>244</v>
      </c>
      <c r="R1114" s="163"/>
      <c r="S1114" s="163"/>
    </row>
    <row r="1115">
      <c r="A1115" s="153">
        <f t="shared" si="2"/>
        <v>1114</v>
      </c>
      <c r="B1115" s="155"/>
      <c r="C1115" s="154" t="s">
        <v>208</v>
      </c>
      <c r="D1115" s="154" t="s">
        <v>208</v>
      </c>
      <c r="E1115" s="154" t="s">
        <v>208</v>
      </c>
      <c r="F1115" s="154" t="s">
        <v>208</v>
      </c>
      <c r="G1115" s="154" t="s">
        <v>208</v>
      </c>
      <c r="H1115" s="154"/>
      <c r="I1115" s="155"/>
      <c r="J1115" s="155"/>
      <c r="K1115" s="158" t="s">
        <v>244</v>
      </c>
      <c r="R1115" s="163"/>
      <c r="S1115" s="163"/>
    </row>
    <row r="1116">
      <c r="A1116" s="153">
        <f t="shared" si="2"/>
        <v>1115</v>
      </c>
      <c r="B1116" s="154"/>
      <c r="C1116" s="154" t="s">
        <v>208</v>
      </c>
      <c r="D1116" s="154" t="s">
        <v>208</v>
      </c>
      <c r="E1116" s="154" t="s">
        <v>208</v>
      </c>
      <c r="F1116" s="154" t="s">
        <v>208</v>
      </c>
      <c r="G1116" s="154" t="s">
        <v>208</v>
      </c>
      <c r="H1116" s="153"/>
      <c r="I1116" s="155"/>
      <c r="J1116" s="155"/>
      <c r="K1116" s="158" t="s">
        <v>244</v>
      </c>
      <c r="R1116" s="173"/>
      <c r="S1116" s="173"/>
    </row>
    <row r="1117">
      <c r="A1117" s="153">
        <f t="shared" si="2"/>
        <v>1116</v>
      </c>
      <c r="B1117" s="154"/>
      <c r="C1117" s="154" t="s">
        <v>208</v>
      </c>
      <c r="D1117" s="154" t="s">
        <v>208</v>
      </c>
      <c r="E1117" s="154" t="s">
        <v>208</v>
      </c>
      <c r="F1117" s="154" t="s">
        <v>208</v>
      </c>
      <c r="G1117" s="154" t="s">
        <v>208</v>
      </c>
      <c r="H1117" s="155"/>
      <c r="I1117" s="155"/>
      <c r="J1117" s="155"/>
      <c r="K1117" s="158" t="s">
        <v>244</v>
      </c>
      <c r="R1117" s="157"/>
      <c r="S1117" s="157"/>
    </row>
    <row r="1118">
      <c r="A1118" s="153">
        <f t="shared" si="2"/>
        <v>1117</v>
      </c>
      <c r="B1118" s="154"/>
      <c r="C1118" s="154" t="s">
        <v>208</v>
      </c>
      <c r="D1118" s="154" t="s">
        <v>208</v>
      </c>
      <c r="E1118" s="154" t="s">
        <v>208</v>
      </c>
      <c r="F1118" s="154" t="s">
        <v>208</v>
      </c>
      <c r="G1118" s="154" t="s">
        <v>208</v>
      </c>
      <c r="H1118" s="155"/>
      <c r="I1118" s="155"/>
      <c r="J1118" s="155"/>
      <c r="K1118" s="158" t="s">
        <v>244</v>
      </c>
      <c r="R1118" s="163"/>
      <c r="S1118" s="163"/>
    </row>
    <row r="1119">
      <c r="A1119" s="153">
        <f t="shared" si="2"/>
        <v>1118</v>
      </c>
      <c r="B1119" s="154"/>
      <c r="C1119" s="154" t="s">
        <v>208</v>
      </c>
      <c r="D1119" s="154" t="s">
        <v>208</v>
      </c>
      <c r="E1119" s="154" t="s">
        <v>208</v>
      </c>
      <c r="F1119" s="154" t="s">
        <v>208</v>
      </c>
      <c r="G1119" s="154" t="s">
        <v>208</v>
      </c>
      <c r="H1119" s="155"/>
      <c r="I1119" s="155"/>
      <c r="J1119" s="155"/>
      <c r="K1119" s="158" t="s">
        <v>244</v>
      </c>
      <c r="R1119" s="163"/>
      <c r="S1119" s="163"/>
    </row>
    <row r="1120">
      <c r="A1120" s="153">
        <f t="shared" si="2"/>
        <v>1119</v>
      </c>
      <c r="B1120" s="154"/>
      <c r="C1120" s="154" t="s">
        <v>208</v>
      </c>
      <c r="D1120" s="154" t="s">
        <v>208</v>
      </c>
      <c r="E1120" s="154" t="s">
        <v>208</v>
      </c>
      <c r="F1120" s="154" t="s">
        <v>208</v>
      </c>
      <c r="G1120" s="154" t="s">
        <v>208</v>
      </c>
      <c r="H1120" s="155"/>
      <c r="I1120" s="155"/>
      <c r="J1120" s="155"/>
      <c r="K1120" s="158" t="s">
        <v>244</v>
      </c>
      <c r="R1120" s="163"/>
      <c r="S1120" s="163"/>
    </row>
    <row r="1121">
      <c r="A1121" s="153">
        <f t="shared" si="2"/>
        <v>1120</v>
      </c>
      <c r="B1121" s="154"/>
      <c r="C1121" s="154" t="s">
        <v>208</v>
      </c>
      <c r="D1121" s="154" t="s">
        <v>208</v>
      </c>
      <c r="E1121" s="154"/>
      <c r="F1121" s="154" t="s">
        <v>208</v>
      </c>
      <c r="G1121" s="154" t="s">
        <v>208</v>
      </c>
      <c r="H1121" s="155"/>
      <c r="I1121" s="155"/>
      <c r="J1121" s="154"/>
      <c r="K1121" s="158" t="s">
        <v>244</v>
      </c>
      <c r="R1121" s="163"/>
      <c r="S1121" s="163"/>
    </row>
    <row r="1122">
      <c r="A1122" s="153">
        <f t="shared" si="2"/>
        <v>1121</v>
      </c>
      <c r="B1122" s="154"/>
      <c r="C1122" s="154"/>
      <c r="D1122" s="154"/>
      <c r="E1122" s="154"/>
      <c r="F1122" s="154"/>
      <c r="G1122" s="154"/>
      <c r="H1122" s="155"/>
      <c r="I1122" s="155"/>
      <c r="J1122" s="154" t="s">
        <v>217</v>
      </c>
      <c r="K1122" s="158" t="s">
        <v>244</v>
      </c>
      <c r="R1122" s="163"/>
      <c r="S1122" s="163"/>
    </row>
    <row r="1123">
      <c r="A1123" s="177">
        <f t="shared" si="2"/>
        <v>1122</v>
      </c>
      <c r="B1123" s="154"/>
      <c r="C1123" s="154"/>
      <c r="D1123" s="154" t="s">
        <v>208</v>
      </c>
      <c r="E1123" s="154" t="s">
        <v>208</v>
      </c>
      <c r="F1123" s="154" t="s">
        <v>208</v>
      </c>
      <c r="G1123" s="154"/>
      <c r="H1123" s="154" t="s">
        <v>208</v>
      </c>
      <c r="I1123" s="155"/>
      <c r="J1123" s="155"/>
      <c r="K1123" s="158" t="s">
        <v>244</v>
      </c>
      <c r="R1123" s="163"/>
      <c r="S1123" s="163"/>
    </row>
    <row r="1124">
      <c r="A1124" s="153">
        <f t="shared" si="2"/>
        <v>1123</v>
      </c>
      <c r="B1124" s="154"/>
      <c r="C1124" s="154" t="s">
        <v>208</v>
      </c>
      <c r="D1124" s="154" t="s">
        <v>208</v>
      </c>
      <c r="E1124" s="154" t="s">
        <v>208</v>
      </c>
      <c r="F1124" s="154" t="s">
        <v>208</v>
      </c>
      <c r="G1124" s="154" t="s">
        <v>208</v>
      </c>
      <c r="H1124" s="155"/>
      <c r="I1124" s="155"/>
      <c r="J1124" s="155"/>
      <c r="K1124" s="158" t="s">
        <v>244</v>
      </c>
      <c r="R1124" s="163"/>
      <c r="S1124" s="163"/>
    </row>
    <row r="1125">
      <c r="A1125" s="153">
        <f t="shared" si="2"/>
        <v>1124</v>
      </c>
      <c r="B1125" s="155"/>
      <c r="C1125" s="154" t="s">
        <v>208</v>
      </c>
      <c r="D1125" s="154" t="s">
        <v>208</v>
      </c>
      <c r="E1125" s="154" t="s">
        <v>208</v>
      </c>
      <c r="F1125" s="154" t="s">
        <v>208</v>
      </c>
      <c r="G1125" s="154" t="s">
        <v>208</v>
      </c>
      <c r="H1125" s="154"/>
      <c r="I1125" s="155"/>
      <c r="J1125" s="155"/>
      <c r="K1125" s="158" t="s">
        <v>244</v>
      </c>
      <c r="R1125" s="163"/>
      <c r="S1125" s="163"/>
    </row>
    <row r="1126">
      <c r="A1126" s="153">
        <f t="shared" si="2"/>
        <v>1125</v>
      </c>
      <c r="B1126" s="154"/>
      <c r="C1126" s="154" t="s">
        <v>208</v>
      </c>
      <c r="D1126" s="154" t="s">
        <v>208</v>
      </c>
      <c r="E1126" s="154" t="s">
        <v>208</v>
      </c>
      <c r="F1126" s="154" t="s">
        <v>208</v>
      </c>
      <c r="G1126" s="154" t="s">
        <v>208</v>
      </c>
      <c r="H1126" s="155"/>
      <c r="I1126" s="155"/>
      <c r="J1126" s="155"/>
      <c r="K1126" s="158" t="s">
        <v>244</v>
      </c>
      <c r="R1126" s="163"/>
      <c r="S1126" s="163"/>
    </row>
    <row r="1127">
      <c r="A1127" s="177">
        <f t="shared" si="2"/>
        <v>1126</v>
      </c>
      <c r="B1127" s="154"/>
      <c r="C1127" s="154"/>
      <c r="D1127" s="154" t="s">
        <v>208</v>
      </c>
      <c r="E1127" s="154" t="s">
        <v>208</v>
      </c>
      <c r="F1127" s="154" t="s">
        <v>208</v>
      </c>
      <c r="G1127" s="154"/>
      <c r="H1127" s="154" t="s">
        <v>208</v>
      </c>
      <c r="I1127" s="155"/>
      <c r="J1127" s="155"/>
      <c r="K1127" s="158" t="s">
        <v>244</v>
      </c>
      <c r="R1127" s="163"/>
      <c r="S1127" s="163"/>
    </row>
    <row r="1128">
      <c r="A1128" s="153">
        <f t="shared" si="2"/>
        <v>1127</v>
      </c>
      <c r="B1128" s="154"/>
      <c r="C1128" s="154" t="s">
        <v>208</v>
      </c>
      <c r="D1128" s="154" t="s">
        <v>208</v>
      </c>
      <c r="E1128" s="154" t="s">
        <v>208</v>
      </c>
      <c r="F1128" s="154" t="s">
        <v>208</v>
      </c>
      <c r="G1128" s="154" t="s">
        <v>208</v>
      </c>
      <c r="H1128" s="155"/>
      <c r="I1128" s="155"/>
      <c r="J1128" s="155"/>
      <c r="K1128" s="158" t="s">
        <v>244</v>
      </c>
      <c r="R1128" s="173"/>
      <c r="S1128" s="173"/>
    </row>
    <row r="1129">
      <c r="A1129" s="153">
        <f t="shared" si="2"/>
        <v>1128</v>
      </c>
      <c r="B1129" s="154"/>
      <c r="C1129" s="154" t="s">
        <v>208</v>
      </c>
      <c r="D1129" s="154"/>
      <c r="E1129" s="154" t="s">
        <v>208</v>
      </c>
      <c r="F1129" s="154" t="s">
        <v>208</v>
      </c>
      <c r="G1129" s="154" t="s">
        <v>208</v>
      </c>
      <c r="H1129" s="155"/>
      <c r="I1129" s="155"/>
      <c r="J1129" s="155"/>
      <c r="K1129" s="158" t="s">
        <v>244</v>
      </c>
      <c r="R1129" s="157"/>
      <c r="S1129" s="157"/>
    </row>
    <row r="1130">
      <c r="A1130" s="153">
        <f t="shared" si="2"/>
        <v>1129</v>
      </c>
      <c r="B1130" s="154"/>
      <c r="C1130" s="154" t="s">
        <v>208</v>
      </c>
      <c r="D1130" s="154" t="s">
        <v>208</v>
      </c>
      <c r="E1130" s="154" t="s">
        <v>208</v>
      </c>
      <c r="F1130" s="154" t="s">
        <v>208</v>
      </c>
      <c r="G1130" s="154" t="s">
        <v>208</v>
      </c>
      <c r="H1130" s="155"/>
      <c r="I1130" s="155"/>
      <c r="J1130" s="155"/>
      <c r="K1130" s="158" t="s">
        <v>244</v>
      </c>
      <c r="R1130" s="163"/>
      <c r="S1130" s="163"/>
    </row>
    <row r="1131">
      <c r="A1131" s="153">
        <f t="shared" si="2"/>
        <v>1130</v>
      </c>
      <c r="B1131" s="154"/>
      <c r="C1131" s="154" t="s">
        <v>208</v>
      </c>
      <c r="D1131" s="154" t="s">
        <v>208</v>
      </c>
      <c r="E1131" s="154" t="s">
        <v>208</v>
      </c>
      <c r="F1131" s="154" t="s">
        <v>208</v>
      </c>
      <c r="G1131" s="154" t="s">
        <v>208</v>
      </c>
      <c r="H1131" s="155"/>
      <c r="I1131" s="155"/>
      <c r="J1131" s="155"/>
      <c r="K1131" s="158" t="s">
        <v>244</v>
      </c>
      <c r="R1131" s="163"/>
      <c r="S1131" s="163"/>
    </row>
    <row r="1132">
      <c r="A1132" s="153">
        <f t="shared" si="2"/>
        <v>1131</v>
      </c>
      <c r="B1132" s="154"/>
      <c r="C1132" s="154" t="s">
        <v>208</v>
      </c>
      <c r="D1132" s="154" t="s">
        <v>208</v>
      </c>
      <c r="E1132" s="154" t="s">
        <v>208</v>
      </c>
      <c r="F1132" s="154" t="s">
        <v>208</v>
      </c>
      <c r="G1132" s="154" t="s">
        <v>208</v>
      </c>
      <c r="H1132" s="155"/>
      <c r="I1132" s="155"/>
      <c r="J1132" s="155"/>
      <c r="K1132" s="158" t="s">
        <v>244</v>
      </c>
      <c r="R1132" s="163"/>
      <c r="S1132" s="163"/>
    </row>
    <row r="1133">
      <c r="A1133" s="153">
        <f t="shared" si="2"/>
        <v>1132</v>
      </c>
      <c r="B1133" s="154"/>
      <c r="C1133" s="154" t="s">
        <v>208</v>
      </c>
      <c r="D1133" s="154" t="s">
        <v>208</v>
      </c>
      <c r="E1133" s="154" t="s">
        <v>208</v>
      </c>
      <c r="F1133" s="154" t="s">
        <v>208</v>
      </c>
      <c r="G1133" s="154" t="s">
        <v>208</v>
      </c>
      <c r="H1133" s="155"/>
      <c r="I1133" s="155"/>
      <c r="J1133" s="155"/>
      <c r="K1133" s="158" t="s">
        <v>244</v>
      </c>
      <c r="R1133" s="163"/>
      <c r="S1133" s="163"/>
    </row>
    <row r="1134">
      <c r="A1134" s="153">
        <f t="shared" si="2"/>
        <v>1133</v>
      </c>
      <c r="B1134" s="154"/>
      <c r="C1134" s="154" t="s">
        <v>208</v>
      </c>
      <c r="D1134" s="154" t="s">
        <v>208</v>
      </c>
      <c r="E1134" s="154"/>
      <c r="F1134" s="154" t="s">
        <v>208</v>
      </c>
      <c r="G1134" s="154" t="s">
        <v>208</v>
      </c>
      <c r="H1134" s="155"/>
      <c r="I1134" s="155"/>
      <c r="J1134" s="154"/>
      <c r="K1134" s="158" t="s">
        <v>244</v>
      </c>
      <c r="R1134" s="163"/>
      <c r="S1134" s="163"/>
    </row>
    <row r="1135">
      <c r="A1135" s="153">
        <f t="shared" si="2"/>
        <v>1134</v>
      </c>
      <c r="B1135" s="154"/>
      <c r="C1135" s="154" t="s">
        <v>208</v>
      </c>
      <c r="D1135" s="154" t="s">
        <v>208</v>
      </c>
      <c r="E1135" s="154" t="s">
        <v>208</v>
      </c>
      <c r="F1135" s="154" t="s">
        <v>208</v>
      </c>
      <c r="G1135" s="154" t="s">
        <v>208</v>
      </c>
      <c r="H1135" s="155"/>
      <c r="I1135" s="155"/>
      <c r="J1135" s="155"/>
      <c r="K1135" s="158" t="s">
        <v>244</v>
      </c>
      <c r="R1135" s="163"/>
      <c r="S1135" s="163"/>
    </row>
    <row r="1136">
      <c r="A1136" s="153">
        <f t="shared" si="2"/>
        <v>1135</v>
      </c>
      <c r="B1136" s="154"/>
      <c r="C1136" s="154" t="s">
        <v>208</v>
      </c>
      <c r="D1136" s="154" t="s">
        <v>208</v>
      </c>
      <c r="E1136" s="154" t="s">
        <v>208</v>
      </c>
      <c r="F1136" s="154" t="s">
        <v>208</v>
      </c>
      <c r="G1136" s="154" t="s">
        <v>208</v>
      </c>
      <c r="H1136" s="155"/>
      <c r="I1136" s="155"/>
      <c r="J1136" s="155"/>
      <c r="K1136" s="158" t="s">
        <v>244</v>
      </c>
      <c r="R1136" s="163"/>
      <c r="S1136" s="163"/>
    </row>
    <row r="1137">
      <c r="A1137" s="153">
        <f t="shared" si="2"/>
        <v>1136</v>
      </c>
      <c r="B1137" s="154"/>
      <c r="C1137" s="154" t="s">
        <v>208</v>
      </c>
      <c r="D1137" s="154" t="s">
        <v>208</v>
      </c>
      <c r="E1137" s="154" t="s">
        <v>208</v>
      </c>
      <c r="F1137" s="154" t="s">
        <v>208</v>
      </c>
      <c r="G1137" s="154" t="s">
        <v>208</v>
      </c>
      <c r="H1137" s="155"/>
      <c r="I1137" s="155"/>
      <c r="J1137" s="155"/>
      <c r="K1137" s="158" t="s">
        <v>244</v>
      </c>
      <c r="R1137" s="163"/>
      <c r="S1137" s="163"/>
    </row>
    <row r="1138">
      <c r="A1138" s="153">
        <f t="shared" si="2"/>
        <v>1137</v>
      </c>
      <c r="B1138" s="154"/>
      <c r="C1138" s="154" t="s">
        <v>208</v>
      </c>
      <c r="D1138" s="154" t="s">
        <v>208</v>
      </c>
      <c r="E1138" s="154" t="s">
        <v>208</v>
      </c>
      <c r="F1138" s="154" t="s">
        <v>208</v>
      </c>
      <c r="G1138" s="154" t="s">
        <v>208</v>
      </c>
      <c r="H1138" s="154"/>
      <c r="I1138" s="155"/>
      <c r="J1138" s="155"/>
      <c r="K1138" s="158" t="s">
        <v>244</v>
      </c>
      <c r="R1138" s="163"/>
      <c r="S1138" s="163"/>
    </row>
    <row r="1139">
      <c r="A1139" s="153">
        <f t="shared" si="2"/>
        <v>1138</v>
      </c>
      <c r="B1139" s="154"/>
      <c r="C1139" s="154" t="s">
        <v>208</v>
      </c>
      <c r="D1139" s="154" t="s">
        <v>208</v>
      </c>
      <c r="E1139" s="154" t="s">
        <v>208</v>
      </c>
      <c r="F1139" s="154" t="s">
        <v>208</v>
      </c>
      <c r="G1139" s="154" t="s">
        <v>208</v>
      </c>
      <c r="H1139" s="155"/>
      <c r="I1139" s="155"/>
      <c r="J1139" s="155"/>
      <c r="K1139" s="158" t="s">
        <v>244</v>
      </c>
      <c r="R1139" s="163"/>
      <c r="S1139" s="163"/>
    </row>
    <row r="1140">
      <c r="A1140" s="153">
        <f t="shared" si="2"/>
        <v>1139</v>
      </c>
      <c r="B1140" s="154"/>
      <c r="C1140" s="154" t="s">
        <v>208</v>
      </c>
      <c r="D1140" s="154" t="s">
        <v>208</v>
      </c>
      <c r="E1140" s="154" t="s">
        <v>208</v>
      </c>
      <c r="F1140" s="154" t="s">
        <v>208</v>
      </c>
      <c r="G1140" s="154" t="s">
        <v>208</v>
      </c>
      <c r="H1140" s="155"/>
      <c r="I1140" s="155"/>
      <c r="J1140" s="155"/>
      <c r="K1140" s="158" t="s">
        <v>244</v>
      </c>
      <c r="R1140" s="173"/>
      <c r="S1140" s="173"/>
    </row>
    <row r="1141">
      <c r="A1141" s="153">
        <f t="shared" si="2"/>
        <v>1140</v>
      </c>
      <c r="B1141" s="155"/>
      <c r="C1141" s="154" t="s">
        <v>208</v>
      </c>
      <c r="D1141" s="154" t="s">
        <v>208</v>
      </c>
      <c r="E1141" s="154" t="s">
        <v>208</v>
      </c>
      <c r="F1141" s="154" t="s">
        <v>208</v>
      </c>
      <c r="G1141" s="154" t="s">
        <v>208</v>
      </c>
      <c r="H1141" s="155"/>
      <c r="I1141" s="155"/>
      <c r="J1141" s="155"/>
      <c r="K1141" s="158" t="s">
        <v>244</v>
      </c>
      <c r="R1141" s="157"/>
      <c r="S1141" s="157"/>
    </row>
    <row r="1142">
      <c r="A1142" s="153">
        <f t="shared" si="2"/>
        <v>1141</v>
      </c>
      <c r="B1142" s="154"/>
      <c r="C1142" s="154" t="s">
        <v>208</v>
      </c>
      <c r="D1142" s="154" t="s">
        <v>208</v>
      </c>
      <c r="E1142" s="154" t="s">
        <v>208</v>
      </c>
      <c r="F1142" s="154" t="s">
        <v>208</v>
      </c>
      <c r="G1142" s="154" t="s">
        <v>208</v>
      </c>
      <c r="H1142" s="155"/>
      <c r="I1142" s="155"/>
      <c r="J1142" s="155"/>
      <c r="K1142" s="158" t="s">
        <v>244</v>
      </c>
      <c r="R1142" s="163"/>
      <c r="S1142" s="163"/>
    </row>
    <row r="1143">
      <c r="A1143" s="153">
        <f t="shared" si="2"/>
        <v>1142</v>
      </c>
      <c r="B1143" s="154"/>
      <c r="C1143" s="154" t="s">
        <v>208</v>
      </c>
      <c r="D1143" s="154" t="s">
        <v>208</v>
      </c>
      <c r="E1143" s="154" t="s">
        <v>208</v>
      </c>
      <c r="F1143" s="154" t="s">
        <v>208</v>
      </c>
      <c r="G1143" s="154" t="s">
        <v>208</v>
      </c>
      <c r="H1143" s="155"/>
      <c r="I1143" s="155"/>
      <c r="J1143" s="155"/>
      <c r="K1143" s="158" t="s">
        <v>244</v>
      </c>
      <c r="R1143" s="163"/>
      <c r="S1143" s="163"/>
    </row>
    <row r="1144">
      <c r="A1144" s="153">
        <f t="shared" si="2"/>
        <v>1143</v>
      </c>
      <c r="B1144" s="154"/>
      <c r="C1144" s="154" t="s">
        <v>208</v>
      </c>
      <c r="D1144" s="154" t="s">
        <v>208</v>
      </c>
      <c r="E1144" s="154" t="s">
        <v>208</v>
      </c>
      <c r="F1144" s="154" t="s">
        <v>208</v>
      </c>
      <c r="G1144" s="154" t="s">
        <v>208</v>
      </c>
      <c r="H1144" s="155"/>
      <c r="I1144" s="155"/>
      <c r="J1144" s="155"/>
      <c r="K1144" s="158" t="s">
        <v>244</v>
      </c>
      <c r="R1144" s="163"/>
      <c r="S1144" s="163"/>
    </row>
    <row r="1145">
      <c r="A1145" s="153">
        <f t="shared" si="2"/>
        <v>1144</v>
      </c>
      <c r="B1145" s="154"/>
      <c r="C1145" s="154" t="s">
        <v>208</v>
      </c>
      <c r="D1145" s="154" t="s">
        <v>208</v>
      </c>
      <c r="E1145" s="154" t="s">
        <v>208</v>
      </c>
      <c r="F1145" s="154" t="s">
        <v>208</v>
      </c>
      <c r="G1145" s="154" t="s">
        <v>208</v>
      </c>
      <c r="H1145" s="155"/>
      <c r="I1145" s="155"/>
      <c r="J1145" s="155"/>
      <c r="K1145" s="158" t="s">
        <v>244</v>
      </c>
      <c r="R1145" s="163"/>
      <c r="S1145" s="163"/>
    </row>
    <row r="1146">
      <c r="A1146" s="153">
        <f t="shared" si="2"/>
        <v>1145</v>
      </c>
      <c r="B1146" s="154"/>
      <c r="C1146" s="154" t="s">
        <v>208</v>
      </c>
      <c r="D1146" s="154" t="s">
        <v>208</v>
      </c>
      <c r="E1146" s="154" t="s">
        <v>208</v>
      </c>
      <c r="F1146" s="154" t="s">
        <v>208</v>
      </c>
      <c r="G1146" s="154" t="s">
        <v>208</v>
      </c>
      <c r="H1146" s="155"/>
      <c r="I1146" s="155"/>
      <c r="J1146" s="154"/>
      <c r="K1146" s="158" t="s">
        <v>244</v>
      </c>
      <c r="R1146" s="163"/>
      <c r="S1146" s="163"/>
    </row>
    <row r="1147">
      <c r="A1147" s="153">
        <f t="shared" si="2"/>
        <v>1146</v>
      </c>
      <c r="B1147" s="154"/>
      <c r="C1147" s="154" t="s">
        <v>208</v>
      </c>
      <c r="D1147" s="154" t="s">
        <v>208</v>
      </c>
      <c r="E1147" s="154" t="s">
        <v>208</v>
      </c>
      <c r="F1147" s="154" t="s">
        <v>208</v>
      </c>
      <c r="G1147" s="154" t="s">
        <v>208</v>
      </c>
      <c r="H1147" s="155"/>
      <c r="I1147" s="155"/>
      <c r="J1147" s="155"/>
      <c r="K1147" s="158" t="s">
        <v>244</v>
      </c>
      <c r="R1147" s="163"/>
      <c r="S1147" s="163"/>
    </row>
    <row r="1148">
      <c r="A1148" s="153">
        <f t="shared" si="2"/>
        <v>1147</v>
      </c>
      <c r="B1148" s="154"/>
      <c r="C1148" s="154" t="s">
        <v>208</v>
      </c>
      <c r="D1148" s="154" t="s">
        <v>208</v>
      </c>
      <c r="E1148" s="154" t="s">
        <v>208</v>
      </c>
      <c r="F1148" s="154" t="s">
        <v>208</v>
      </c>
      <c r="G1148" s="154" t="s">
        <v>208</v>
      </c>
      <c r="H1148" s="155"/>
      <c r="I1148" s="155"/>
      <c r="J1148" s="155"/>
      <c r="K1148" s="158" t="s">
        <v>244</v>
      </c>
      <c r="R1148" s="163"/>
      <c r="S1148" s="163"/>
    </row>
    <row r="1149">
      <c r="A1149" s="153">
        <f t="shared" si="2"/>
        <v>1148</v>
      </c>
      <c r="B1149" s="154"/>
      <c r="C1149" s="154" t="s">
        <v>208</v>
      </c>
      <c r="D1149" s="154" t="s">
        <v>208</v>
      </c>
      <c r="E1149" s="154" t="s">
        <v>208</v>
      </c>
      <c r="F1149" s="154" t="s">
        <v>208</v>
      </c>
      <c r="G1149" s="154" t="s">
        <v>208</v>
      </c>
      <c r="H1149" s="155"/>
      <c r="I1149" s="155"/>
      <c r="J1149" s="155"/>
      <c r="K1149" s="158" t="s">
        <v>244</v>
      </c>
      <c r="R1149" s="163"/>
      <c r="S1149" s="163"/>
    </row>
    <row r="1150">
      <c r="A1150" s="153">
        <f t="shared" si="2"/>
        <v>1149</v>
      </c>
      <c r="B1150" s="154"/>
      <c r="C1150" s="154" t="s">
        <v>208</v>
      </c>
      <c r="D1150" s="154" t="s">
        <v>208</v>
      </c>
      <c r="E1150" s="154" t="s">
        <v>208</v>
      </c>
      <c r="F1150" s="154" t="s">
        <v>208</v>
      </c>
      <c r="G1150" s="154" t="s">
        <v>208</v>
      </c>
      <c r="H1150" s="155"/>
      <c r="I1150" s="155"/>
      <c r="J1150" s="155"/>
      <c r="K1150" s="158" t="s">
        <v>244</v>
      </c>
      <c r="R1150" s="163"/>
      <c r="S1150" s="163"/>
    </row>
    <row r="1151">
      <c r="A1151" s="153">
        <f t="shared" si="2"/>
        <v>1150</v>
      </c>
      <c r="B1151" s="154"/>
      <c r="C1151" s="154" t="s">
        <v>208</v>
      </c>
      <c r="D1151" s="154"/>
      <c r="E1151" s="154" t="s">
        <v>208</v>
      </c>
      <c r="F1151" s="154" t="s">
        <v>208</v>
      </c>
      <c r="G1151" s="154" t="s">
        <v>208</v>
      </c>
      <c r="H1151" s="154"/>
      <c r="I1151" s="155"/>
      <c r="J1151" s="155"/>
      <c r="K1151" s="158" t="s">
        <v>244</v>
      </c>
      <c r="R1151" s="163"/>
      <c r="S1151" s="163"/>
    </row>
    <row r="1152">
      <c r="A1152" s="153">
        <f t="shared" si="2"/>
        <v>1151</v>
      </c>
      <c r="B1152" s="154"/>
      <c r="C1152" s="154" t="s">
        <v>208</v>
      </c>
      <c r="D1152" s="154" t="s">
        <v>208</v>
      </c>
      <c r="E1152" s="154" t="s">
        <v>208</v>
      </c>
      <c r="F1152" s="154" t="s">
        <v>208</v>
      </c>
      <c r="G1152" s="154" t="s">
        <v>208</v>
      </c>
      <c r="H1152" s="155"/>
      <c r="I1152" s="155"/>
      <c r="J1152" s="154"/>
      <c r="K1152" s="158" t="s">
        <v>244</v>
      </c>
      <c r="R1152" s="173"/>
      <c r="S1152" s="173"/>
    </row>
    <row r="1153">
      <c r="A1153" s="153">
        <f t="shared" si="2"/>
        <v>1152</v>
      </c>
      <c r="B1153" s="154"/>
      <c r="C1153" s="154" t="s">
        <v>208</v>
      </c>
      <c r="D1153" s="154" t="s">
        <v>208</v>
      </c>
      <c r="E1153" s="154" t="s">
        <v>208</v>
      </c>
      <c r="F1153" s="154" t="s">
        <v>208</v>
      </c>
      <c r="G1153" s="154" t="s">
        <v>208</v>
      </c>
      <c r="H1153" s="155"/>
      <c r="I1153" s="155"/>
      <c r="J1153" s="154"/>
      <c r="K1153" s="158" t="s">
        <v>244</v>
      </c>
      <c r="R1153" s="157"/>
      <c r="S1153" s="157"/>
    </row>
    <row r="1154">
      <c r="A1154" s="153">
        <f t="shared" si="2"/>
        <v>1153</v>
      </c>
      <c r="B1154" s="154"/>
      <c r="C1154" s="154" t="s">
        <v>208</v>
      </c>
      <c r="D1154" s="154"/>
      <c r="E1154" s="154" t="s">
        <v>208</v>
      </c>
      <c r="F1154" s="154" t="s">
        <v>208</v>
      </c>
      <c r="G1154" s="154" t="s">
        <v>208</v>
      </c>
      <c r="H1154" s="155"/>
      <c r="I1154" s="155"/>
      <c r="J1154" s="154"/>
      <c r="K1154" s="158" t="s">
        <v>244</v>
      </c>
      <c r="R1154" s="163"/>
      <c r="S1154" s="163"/>
    </row>
    <row r="1155">
      <c r="A1155" s="153">
        <f t="shared" si="2"/>
        <v>1154</v>
      </c>
      <c r="B1155" s="154"/>
      <c r="C1155" s="154" t="s">
        <v>208</v>
      </c>
      <c r="D1155" s="154" t="s">
        <v>208</v>
      </c>
      <c r="E1155" s="154" t="s">
        <v>208</v>
      </c>
      <c r="F1155" s="154" t="s">
        <v>208</v>
      </c>
      <c r="G1155" s="154" t="s">
        <v>208</v>
      </c>
      <c r="H1155" s="153"/>
      <c r="I1155" s="155"/>
      <c r="J1155" s="154"/>
      <c r="K1155" s="158" t="s">
        <v>244</v>
      </c>
      <c r="R1155" s="163"/>
      <c r="S1155" s="163"/>
    </row>
    <row r="1156">
      <c r="A1156" s="153">
        <f t="shared" si="2"/>
        <v>1155</v>
      </c>
      <c r="B1156" s="154"/>
      <c r="C1156" s="154" t="s">
        <v>208</v>
      </c>
      <c r="D1156" s="154" t="s">
        <v>208</v>
      </c>
      <c r="E1156" s="154"/>
      <c r="F1156" s="154" t="s">
        <v>208</v>
      </c>
      <c r="G1156" s="154" t="s">
        <v>208</v>
      </c>
      <c r="H1156" s="153"/>
      <c r="I1156" s="155"/>
      <c r="J1156" s="154"/>
      <c r="K1156" s="158" t="s">
        <v>244</v>
      </c>
      <c r="R1156" s="163"/>
      <c r="S1156" s="163"/>
    </row>
    <row r="1157">
      <c r="A1157" s="153">
        <f t="shared" si="2"/>
        <v>1156</v>
      </c>
      <c r="B1157" s="154"/>
      <c r="C1157" s="154" t="s">
        <v>208</v>
      </c>
      <c r="D1157" s="154" t="s">
        <v>208</v>
      </c>
      <c r="E1157" s="154" t="s">
        <v>208</v>
      </c>
      <c r="F1157" s="154" t="s">
        <v>208</v>
      </c>
      <c r="G1157" s="154" t="s">
        <v>208</v>
      </c>
      <c r="H1157" s="153"/>
      <c r="I1157" s="155"/>
      <c r="J1157" s="154"/>
      <c r="K1157" s="158" t="s">
        <v>244</v>
      </c>
      <c r="R1157" s="163"/>
      <c r="S1157" s="163"/>
    </row>
    <row r="1158">
      <c r="A1158" s="153">
        <f t="shared" si="2"/>
        <v>1157</v>
      </c>
      <c r="B1158" s="154"/>
      <c r="C1158" s="154" t="s">
        <v>208</v>
      </c>
      <c r="D1158" s="154" t="s">
        <v>208</v>
      </c>
      <c r="E1158" s="154" t="s">
        <v>208</v>
      </c>
      <c r="F1158" s="154" t="s">
        <v>208</v>
      </c>
      <c r="G1158" s="154" t="s">
        <v>208</v>
      </c>
      <c r="H1158" s="153"/>
      <c r="I1158" s="155"/>
      <c r="J1158" s="154"/>
      <c r="K1158" s="158" t="s">
        <v>244</v>
      </c>
      <c r="R1158" s="163"/>
      <c r="S1158" s="163"/>
    </row>
    <row r="1159">
      <c r="A1159" s="153">
        <f t="shared" si="2"/>
        <v>1158</v>
      </c>
      <c r="B1159" s="154"/>
      <c r="C1159" s="154" t="s">
        <v>208</v>
      </c>
      <c r="D1159" s="154" t="s">
        <v>208</v>
      </c>
      <c r="E1159" s="154" t="s">
        <v>208</v>
      </c>
      <c r="F1159" s="154" t="s">
        <v>208</v>
      </c>
      <c r="G1159" s="154" t="s">
        <v>208</v>
      </c>
      <c r="H1159" s="153"/>
      <c r="I1159" s="155"/>
      <c r="J1159" s="154"/>
      <c r="K1159" s="158" t="s">
        <v>244</v>
      </c>
      <c r="R1159" s="163"/>
      <c r="S1159" s="163"/>
    </row>
    <row r="1160">
      <c r="A1160" s="153">
        <f t="shared" si="2"/>
        <v>1159</v>
      </c>
      <c r="B1160" s="154"/>
      <c r="C1160" s="154" t="s">
        <v>208</v>
      </c>
      <c r="D1160" s="154" t="s">
        <v>208</v>
      </c>
      <c r="E1160" s="154" t="s">
        <v>208</v>
      </c>
      <c r="F1160" s="154" t="s">
        <v>208</v>
      </c>
      <c r="G1160" s="154" t="s">
        <v>208</v>
      </c>
      <c r="H1160" s="153"/>
      <c r="I1160" s="155"/>
      <c r="J1160" s="154"/>
      <c r="K1160" s="158" t="s">
        <v>244</v>
      </c>
      <c r="R1160" s="163"/>
      <c r="S1160" s="163"/>
    </row>
    <row r="1161">
      <c r="A1161" s="153">
        <f t="shared" si="2"/>
        <v>1160</v>
      </c>
      <c r="B1161" s="154"/>
      <c r="C1161" s="154" t="s">
        <v>208</v>
      </c>
      <c r="D1161" s="154" t="s">
        <v>208</v>
      </c>
      <c r="E1161" s="154" t="s">
        <v>208</v>
      </c>
      <c r="F1161" s="154" t="s">
        <v>208</v>
      </c>
      <c r="G1161" s="154" t="s">
        <v>208</v>
      </c>
      <c r="H1161" s="155"/>
      <c r="I1161" s="155"/>
      <c r="J1161" s="155"/>
      <c r="K1161" s="158" t="s">
        <v>244</v>
      </c>
      <c r="R1161" s="163"/>
      <c r="S1161" s="163"/>
    </row>
    <row r="1162">
      <c r="A1162" s="153">
        <f t="shared" si="2"/>
        <v>1161</v>
      </c>
      <c r="B1162" s="154"/>
      <c r="C1162" s="154" t="s">
        <v>208</v>
      </c>
      <c r="D1162" s="154" t="s">
        <v>208</v>
      </c>
      <c r="E1162" s="154" t="s">
        <v>208</v>
      </c>
      <c r="F1162" s="154" t="s">
        <v>208</v>
      </c>
      <c r="G1162" s="154" t="s">
        <v>208</v>
      </c>
      <c r="H1162" s="155"/>
      <c r="I1162" s="155"/>
      <c r="J1162" s="155"/>
      <c r="K1162" s="158" t="s">
        <v>244</v>
      </c>
      <c r="R1162" s="163"/>
      <c r="S1162" s="163"/>
    </row>
    <row r="1163">
      <c r="A1163" s="153">
        <f t="shared" si="2"/>
        <v>1162</v>
      </c>
      <c r="B1163" s="154"/>
      <c r="C1163" s="154" t="s">
        <v>208</v>
      </c>
      <c r="D1163" s="154" t="s">
        <v>208</v>
      </c>
      <c r="E1163" s="154" t="s">
        <v>208</v>
      </c>
      <c r="F1163" s="154" t="s">
        <v>208</v>
      </c>
      <c r="G1163" s="154" t="s">
        <v>208</v>
      </c>
      <c r="H1163" s="155"/>
      <c r="I1163" s="155"/>
      <c r="J1163" s="155"/>
      <c r="K1163" s="158" t="s">
        <v>244</v>
      </c>
      <c r="R1163" s="163"/>
      <c r="S1163" s="163"/>
    </row>
    <row r="1164">
      <c r="A1164" s="153">
        <f t="shared" si="2"/>
        <v>1163</v>
      </c>
      <c r="B1164" s="154"/>
      <c r="C1164" s="154" t="s">
        <v>208</v>
      </c>
      <c r="D1164" s="154"/>
      <c r="E1164" s="154"/>
      <c r="F1164" s="154" t="s">
        <v>208</v>
      </c>
      <c r="G1164" s="154" t="s">
        <v>208</v>
      </c>
      <c r="H1164" s="155"/>
      <c r="I1164" s="155"/>
      <c r="J1164" s="155"/>
      <c r="K1164" s="158" t="s">
        <v>244</v>
      </c>
      <c r="R1164" s="173"/>
      <c r="S1164" s="173"/>
    </row>
    <row r="1165">
      <c r="A1165" s="177">
        <f t="shared" si="2"/>
        <v>1164</v>
      </c>
      <c r="B1165" s="154"/>
      <c r="C1165" s="154"/>
      <c r="D1165" s="154" t="s">
        <v>208</v>
      </c>
      <c r="E1165" s="154" t="s">
        <v>208</v>
      </c>
      <c r="F1165" s="154" t="s">
        <v>208</v>
      </c>
      <c r="G1165" s="154"/>
      <c r="H1165" s="154" t="s">
        <v>208</v>
      </c>
      <c r="I1165" s="155"/>
      <c r="J1165" s="155"/>
      <c r="K1165" s="158" t="s">
        <v>244</v>
      </c>
      <c r="R1165" s="157"/>
      <c r="S1165" s="157"/>
    </row>
    <row r="1166">
      <c r="A1166" s="153">
        <f t="shared" si="2"/>
        <v>1165</v>
      </c>
      <c r="B1166" s="155"/>
      <c r="C1166" s="154" t="s">
        <v>208</v>
      </c>
      <c r="D1166" s="154" t="s">
        <v>208</v>
      </c>
      <c r="E1166" s="154" t="s">
        <v>208</v>
      </c>
      <c r="F1166" s="154" t="s">
        <v>208</v>
      </c>
      <c r="G1166" s="154" t="s">
        <v>208</v>
      </c>
      <c r="H1166" s="155"/>
      <c r="I1166" s="155"/>
      <c r="J1166" s="155"/>
      <c r="K1166" s="158" t="s">
        <v>244</v>
      </c>
      <c r="R1166" s="163"/>
      <c r="S1166" s="163"/>
    </row>
    <row r="1167">
      <c r="A1167" s="153">
        <f t="shared" si="2"/>
        <v>1166</v>
      </c>
      <c r="B1167" s="154"/>
      <c r="C1167" s="154" t="s">
        <v>208</v>
      </c>
      <c r="D1167" s="154" t="s">
        <v>208</v>
      </c>
      <c r="E1167" s="154" t="s">
        <v>208</v>
      </c>
      <c r="F1167" s="154" t="s">
        <v>208</v>
      </c>
      <c r="G1167" s="154" t="s">
        <v>208</v>
      </c>
      <c r="H1167" s="155"/>
      <c r="I1167" s="155"/>
      <c r="J1167" s="155"/>
      <c r="K1167" s="158" t="s">
        <v>244</v>
      </c>
      <c r="R1167" s="163"/>
      <c r="S1167" s="163"/>
    </row>
    <row r="1168">
      <c r="A1168" s="153">
        <f t="shared" si="2"/>
        <v>1167</v>
      </c>
      <c r="B1168" s="154"/>
      <c r="C1168" s="154" t="s">
        <v>208</v>
      </c>
      <c r="D1168" s="154" t="s">
        <v>208</v>
      </c>
      <c r="E1168" s="154" t="s">
        <v>208</v>
      </c>
      <c r="F1168" s="154" t="s">
        <v>208</v>
      </c>
      <c r="G1168" s="154" t="s">
        <v>208</v>
      </c>
      <c r="H1168" s="155"/>
      <c r="I1168" s="155"/>
      <c r="J1168" s="155"/>
      <c r="K1168" s="158" t="s">
        <v>244</v>
      </c>
      <c r="R1168" s="163"/>
      <c r="S1168" s="163"/>
    </row>
    <row r="1169">
      <c r="A1169" s="153">
        <f t="shared" si="2"/>
        <v>1168</v>
      </c>
      <c r="B1169" s="154"/>
      <c r="C1169" s="154" t="s">
        <v>208</v>
      </c>
      <c r="D1169" s="154" t="s">
        <v>208</v>
      </c>
      <c r="E1169" s="154" t="s">
        <v>208</v>
      </c>
      <c r="F1169" s="154" t="s">
        <v>208</v>
      </c>
      <c r="G1169" s="154" t="s">
        <v>208</v>
      </c>
      <c r="H1169" s="155"/>
      <c r="I1169" s="155"/>
      <c r="J1169" s="155"/>
      <c r="K1169" s="158" t="s">
        <v>244</v>
      </c>
      <c r="R1169" s="163"/>
      <c r="S1169" s="163"/>
    </row>
    <row r="1170">
      <c r="A1170" s="153">
        <f t="shared" si="2"/>
        <v>1169</v>
      </c>
      <c r="B1170" s="154"/>
      <c r="C1170" s="154" t="s">
        <v>208</v>
      </c>
      <c r="D1170" s="154" t="s">
        <v>208</v>
      </c>
      <c r="E1170" s="154" t="s">
        <v>208</v>
      </c>
      <c r="F1170" s="154" t="s">
        <v>208</v>
      </c>
      <c r="G1170" s="154" t="s">
        <v>208</v>
      </c>
      <c r="H1170" s="155"/>
      <c r="I1170" s="155"/>
      <c r="J1170" s="155"/>
      <c r="K1170" s="158" t="s">
        <v>244</v>
      </c>
      <c r="R1170" s="163"/>
      <c r="S1170" s="163"/>
    </row>
    <row r="1171">
      <c r="A1171" s="153">
        <f t="shared" si="2"/>
        <v>1170</v>
      </c>
      <c r="B1171" s="154"/>
      <c r="C1171" s="154"/>
      <c r="D1171" s="154"/>
      <c r="E1171" s="154"/>
      <c r="F1171" s="154"/>
      <c r="G1171" s="154"/>
      <c r="H1171" s="155"/>
      <c r="I1171" s="155"/>
      <c r="J1171" s="154" t="s">
        <v>217</v>
      </c>
      <c r="K1171" s="158" t="s">
        <v>244</v>
      </c>
      <c r="R1171" s="163"/>
      <c r="S1171" s="163"/>
    </row>
    <row r="1172">
      <c r="A1172" s="153">
        <f t="shared" si="2"/>
        <v>1171</v>
      </c>
      <c r="B1172" s="154"/>
      <c r="C1172" s="154" t="s">
        <v>208</v>
      </c>
      <c r="D1172" s="154" t="s">
        <v>208</v>
      </c>
      <c r="E1172" s="154" t="s">
        <v>208</v>
      </c>
      <c r="F1172" s="154" t="s">
        <v>208</v>
      </c>
      <c r="G1172" s="154" t="s">
        <v>208</v>
      </c>
      <c r="H1172" s="155"/>
      <c r="I1172" s="155"/>
      <c r="J1172" s="155"/>
      <c r="K1172" s="158" t="s">
        <v>244</v>
      </c>
      <c r="R1172" s="163"/>
      <c r="S1172" s="163"/>
    </row>
    <row r="1173">
      <c r="A1173" s="153">
        <f t="shared" si="2"/>
        <v>1172</v>
      </c>
      <c r="B1173" s="154"/>
      <c r="C1173" s="154" t="s">
        <v>208</v>
      </c>
      <c r="D1173" s="154" t="s">
        <v>218</v>
      </c>
      <c r="E1173" s="154" t="s">
        <v>208</v>
      </c>
      <c r="F1173" s="154" t="s">
        <v>208</v>
      </c>
      <c r="G1173" s="154" t="s">
        <v>208</v>
      </c>
      <c r="H1173" s="155"/>
      <c r="I1173" s="155"/>
      <c r="J1173" s="155"/>
      <c r="K1173" s="158" t="s">
        <v>244</v>
      </c>
      <c r="R1173" s="163"/>
      <c r="S1173" s="163"/>
    </row>
    <row r="1174">
      <c r="A1174" s="153">
        <f t="shared" si="2"/>
        <v>1173</v>
      </c>
      <c r="B1174" s="154"/>
      <c r="C1174" s="154" t="s">
        <v>208</v>
      </c>
      <c r="D1174" s="154" t="s">
        <v>208</v>
      </c>
      <c r="E1174" s="154" t="s">
        <v>208</v>
      </c>
      <c r="F1174" s="154" t="s">
        <v>208</v>
      </c>
      <c r="G1174" s="154" t="s">
        <v>208</v>
      </c>
      <c r="H1174" s="155"/>
      <c r="I1174" s="155"/>
      <c r="J1174" s="155"/>
      <c r="K1174" s="158" t="s">
        <v>244</v>
      </c>
      <c r="R1174" s="163"/>
      <c r="S1174" s="163"/>
    </row>
    <row r="1175">
      <c r="A1175" s="153">
        <f t="shared" si="2"/>
        <v>1174</v>
      </c>
      <c r="B1175" s="154"/>
      <c r="C1175" s="154" t="s">
        <v>208</v>
      </c>
      <c r="D1175" s="154" t="s">
        <v>208</v>
      </c>
      <c r="E1175" s="154" t="s">
        <v>208</v>
      </c>
      <c r="F1175" s="154" t="s">
        <v>208</v>
      </c>
      <c r="G1175" s="154" t="s">
        <v>208</v>
      </c>
      <c r="H1175" s="155"/>
      <c r="I1175" s="155"/>
      <c r="J1175" s="155"/>
      <c r="K1175" s="158" t="s">
        <v>244</v>
      </c>
      <c r="R1175" s="163"/>
      <c r="S1175" s="163"/>
    </row>
    <row r="1176">
      <c r="A1176" s="153">
        <f t="shared" si="2"/>
        <v>1175</v>
      </c>
      <c r="B1176" s="155"/>
      <c r="C1176" s="154" t="s">
        <v>208</v>
      </c>
      <c r="D1176" s="154" t="s">
        <v>208</v>
      </c>
      <c r="E1176" s="154" t="s">
        <v>208</v>
      </c>
      <c r="F1176" s="154" t="s">
        <v>208</v>
      </c>
      <c r="G1176" s="154" t="s">
        <v>208</v>
      </c>
      <c r="H1176" s="154"/>
      <c r="I1176" s="155"/>
      <c r="J1176" s="155"/>
      <c r="K1176" s="158" t="s">
        <v>244</v>
      </c>
      <c r="R1176" s="173"/>
      <c r="S1176" s="173"/>
    </row>
    <row r="1177">
      <c r="A1177" s="153">
        <f t="shared" si="2"/>
        <v>1176</v>
      </c>
      <c r="B1177" s="154"/>
      <c r="C1177" s="154" t="s">
        <v>208</v>
      </c>
      <c r="D1177" s="154" t="s">
        <v>208</v>
      </c>
      <c r="E1177" s="154" t="s">
        <v>208</v>
      </c>
      <c r="F1177" s="154" t="s">
        <v>208</v>
      </c>
      <c r="G1177" s="154" t="s">
        <v>208</v>
      </c>
      <c r="H1177" s="155"/>
      <c r="I1177" s="155"/>
      <c r="J1177" s="155"/>
      <c r="K1177" s="158" t="s">
        <v>244</v>
      </c>
      <c r="R1177" s="157"/>
      <c r="S1177" s="157"/>
    </row>
    <row r="1178">
      <c r="A1178" s="177">
        <f t="shared" si="2"/>
        <v>1177</v>
      </c>
      <c r="B1178" s="154"/>
      <c r="C1178" s="154"/>
      <c r="D1178" s="154" t="s">
        <v>208</v>
      </c>
      <c r="E1178" s="154" t="s">
        <v>208</v>
      </c>
      <c r="F1178" s="154" t="s">
        <v>208</v>
      </c>
      <c r="G1178" s="154"/>
      <c r="H1178" s="154" t="s">
        <v>208</v>
      </c>
      <c r="I1178" s="155"/>
      <c r="J1178" s="155"/>
      <c r="K1178" s="158" t="s">
        <v>244</v>
      </c>
      <c r="R1178" s="163"/>
      <c r="S1178" s="163"/>
    </row>
    <row r="1179">
      <c r="A1179" s="153">
        <f t="shared" si="2"/>
        <v>1178</v>
      </c>
      <c r="B1179" s="154"/>
      <c r="C1179" s="154" t="s">
        <v>208</v>
      </c>
      <c r="D1179" s="154" t="s">
        <v>208</v>
      </c>
      <c r="E1179" s="154" t="s">
        <v>208</v>
      </c>
      <c r="F1179" s="154" t="s">
        <v>208</v>
      </c>
      <c r="G1179" s="154" t="s">
        <v>208</v>
      </c>
      <c r="H1179" s="155"/>
      <c r="I1179" s="155"/>
      <c r="J1179" s="155"/>
      <c r="K1179" s="158" t="s">
        <v>244</v>
      </c>
      <c r="R1179" s="163"/>
      <c r="S1179" s="163"/>
    </row>
    <row r="1180">
      <c r="A1180" s="153">
        <f t="shared" si="2"/>
        <v>1179</v>
      </c>
      <c r="B1180" s="155"/>
      <c r="C1180" s="154" t="s">
        <v>208</v>
      </c>
      <c r="D1180" s="154" t="s">
        <v>208</v>
      </c>
      <c r="E1180" s="154" t="s">
        <v>208</v>
      </c>
      <c r="F1180" s="154" t="s">
        <v>208</v>
      </c>
      <c r="G1180" s="154" t="s">
        <v>208</v>
      </c>
      <c r="H1180" s="154"/>
      <c r="I1180" s="155"/>
      <c r="J1180" s="154"/>
      <c r="K1180" s="158" t="s">
        <v>244</v>
      </c>
      <c r="R1180" s="163"/>
      <c r="S1180" s="163"/>
    </row>
    <row r="1181">
      <c r="A1181" s="153">
        <f t="shared" si="2"/>
        <v>1180</v>
      </c>
      <c r="B1181" s="154"/>
      <c r="C1181" s="154" t="s">
        <v>208</v>
      </c>
      <c r="D1181" s="154" t="s">
        <v>208</v>
      </c>
      <c r="E1181" s="154" t="s">
        <v>208</v>
      </c>
      <c r="F1181" s="154" t="s">
        <v>208</v>
      </c>
      <c r="G1181" s="154" t="s">
        <v>208</v>
      </c>
      <c r="H1181" s="155"/>
      <c r="I1181" s="155"/>
      <c r="J1181" s="154"/>
      <c r="K1181" s="158" t="s">
        <v>244</v>
      </c>
      <c r="R1181" s="163"/>
      <c r="S1181" s="163"/>
    </row>
    <row r="1182">
      <c r="A1182" s="153">
        <f t="shared" si="2"/>
        <v>1181</v>
      </c>
      <c r="B1182" s="154"/>
      <c r="C1182" s="154" t="s">
        <v>208</v>
      </c>
      <c r="D1182" s="154" t="s">
        <v>208</v>
      </c>
      <c r="E1182" s="154" t="s">
        <v>208</v>
      </c>
      <c r="F1182" s="154" t="s">
        <v>208</v>
      </c>
      <c r="G1182" s="154" t="s">
        <v>208</v>
      </c>
      <c r="H1182" s="155"/>
      <c r="I1182" s="155"/>
      <c r="J1182" s="154"/>
      <c r="K1182" s="158" t="s">
        <v>244</v>
      </c>
      <c r="R1182" s="163"/>
      <c r="S1182" s="163"/>
    </row>
    <row r="1183">
      <c r="A1183" s="177">
        <f t="shared" si="2"/>
        <v>1182</v>
      </c>
      <c r="B1183" s="154"/>
      <c r="C1183" s="154"/>
      <c r="D1183" s="154" t="s">
        <v>208</v>
      </c>
      <c r="E1183" s="154" t="s">
        <v>208</v>
      </c>
      <c r="F1183" s="154" t="s">
        <v>208</v>
      </c>
      <c r="G1183" s="155"/>
      <c r="H1183" s="154" t="s">
        <v>208</v>
      </c>
      <c r="I1183" s="155"/>
      <c r="J1183" s="154"/>
      <c r="K1183" s="158" t="s">
        <v>244</v>
      </c>
      <c r="R1183" s="163"/>
      <c r="S1183" s="163"/>
    </row>
    <row r="1184">
      <c r="A1184" s="153">
        <f t="shared" si="2"/>
        <v>1183</v>
      </c>
      <c r="B1184" s="154"/>
      <c r="C1184" s="154" t="s">
        <v>208</v>
      </c>
      <c r="D1184" s="154" t="s">
        <v>208</v>
      </c>
      <c r="E1184" s="154" t="s">
        <v>208</v>
      </c>
      <c r="F1184" s="154" t="s">
        <v>208</v>
      </c>
      <c r="G1184" s="154" t="s">
        <v>208</v>
      </c>
      <c r="H1184" s="153"/>
      <c r="I1184" s="155"/>
      <c r="J1184" s="155"/>
      <c r="K1184" s="158" t="s">
        <v>244</v>
      </c>
      <c r="R1184" s="163"/>
      <c r="S1184" s="163"/>
    </row>
    <row r="1185">
      <c r="A1185" s="177">
        <f t="shared" si="2"/>
        <v>1184</v>
      </c>
      <c r="B1185" s="154"/>
      <c r="C1185" s="154"/>
      <c r="D1185" s="154" t="s">
        <v>208</v>
      </c>
      <c r="E1185" s="154" t="s">
        <v>208</v>
      </c>
      <c r="F1185" s="154" t="s">
        <v>208</v>
      </c>
      <c r="G1185" s="155"/>
      <c r="H1185" s="154" t="s">
        <v>208</v>
      </c>
      <c r="I1185" s="155"/>
      <c r="J1185" s="155"/>
      <c r="K1185" s="158" t="s">
        <v>244</v>
      </c>
      <c r="R1185" s="163"/>
      <c r="S1185" s="163"/>
    </row>
    <row r="1186">
      <c r="A1186" s="153">
        <f t="shared" si="2"/>
        <v>1185</v>
      </c>
      <c r="B1186" s="154"/>
      <c r="C1186" s="154" t="s">
        <v>208</v>
      </c>
      <c r="D1186" s="154" t="s">
        <v>208</v>
      </c>
      <c r="E1186" s="154" t="s">
        <v>208</v>
      </c>
      <c r="F1186" s="154" t="s">
        <v>208</v>
      </c>
      <c r="G1186" s="154" t="s">
        <v>208</v>
      </c>
      <c r="H1186" s="155"/>
      <c r="I1186" s="155"/>
      <c r="J1186" s="155"/>
      <c r="K1186" s="158" t="s">
        <v>244</v>
      </c>
      <c r="R1186" s="163"/>
      <c r="S1186" s="163"/>
    </row>
    <row r="1187">
      <c r="A1187" s="153">
        <f t="shared" si="2"/>
        <v>1186</v>
      </c>
      <c r="B1187" s="155"/>
      <c r="C1187" s="154" t="s">
        <v>208</v>
      </c>
      <c r="D1187" s="154" t="s">
        <v>208</v>
      </c>
      <c r="E1187" s="154" t="s">
        <v>208</v>
      </c>
      <c r="F1187" s="154" t="s">
        <v>208</v>
      </c>
      <c r="G1187" s="154" t="s">
        <v>208</v>
      </c>
      <c r="H1187" s="154"/>
      <c r="I1187" s="155"/>
      <c r="J1187" s="154"/>
      <c r="K1187" s="158" t="s">
        <v>244</v>
      </c>
      <c r="R1187" s="163"/>
      <c r="S1187" s="163"/>
    </row>
    <row r="1188">
      <c r="A1188" s="177">
        <f t="shared" si="2"/>
        <v>1187</v>
      </c>
      <c r="B1188" s="154"/>
      <c r="C1188" s="154"/>
      <c r="D1188" s="154" t="s">
        <v>208</v>
      </c>
      <c r="E1188" s="154" t="s">
        <v>208</v>
      </c>
      <c r="F1188" s="154" t="s">
        <v>208</v>
      </c>
      <c r="G1188" s="154"/>
      <c r="H1188" s="154" t="s">
        <v>208</v>
      </c>
      <c r="I1188" s="155"/>
      <c r="J1188" s="155"/>
      <c r="K1188" s="158" t="s">
        <v>244</v>
      </c>
      <c r="R1188" s="173"/>
      <c r="S1188" s="173"/>
    </row>
    <row r="1189">
      <c r="A1189" s="153">
        <f t="shared" si="2"/>
        <v>1188</v>
      </c>
      <c r="B1189" s="154"/>
      <c r="C1189" s="154" t="s">
        <v>208</v>
      </c>
      <c r="D1189" s="154" t="s">
        <v>208</v>
      </c>
      <c r="E1189" s="154" t="s">
        <v>208</v>
      </c>
      <c r="F1189" s="154" t="s">
        <v>208</v>
      </c>
      <c r="G1189" s="154" t="s">
        <v>208</v>
      </c>
      <c r="H1189" s="155"/>
      <c r="I1189" s="155"/>
      <c r="J1189" s="155"/>
      <c r="K1189" s="158" t="s">
        <v>244</v>
      </c>
      <c r="R1189" s="157"/>
      <c r="S1189" s="157"/>
    </row>
    <row r="1190">
      <c r="A1190" s="153">
        <f t="shared" si="2"/>
        <v>1189</v>
      </c>
      <c r="B1190" s="155"/>
      <c r="C1190" s="154" t="s">
        <v>208</v>
      </c>
      <c r="D1190" s="154" t="s">
        <v>208</v>
      </c>
      <c r="E1190" s="154" t="s">
        <v>208</v>
      </c>
      <c r="F1190" s="154" t="s">
        <v>208</v>
      </c>
      <c r="G1190" s="154" t="s">
        <v>208</v>
      </c>
      <c r="H1190" s="154"/>
      <c r="I1190" s="155"/>
      <c r="J1190" s="155"/>
      <c r="K1190" s="158" t="s">
        <v>244</v>
      </c>
      <c r="R1190" s="163"/>
      <c r="S1190" s="163"/>
    </row>
    <row r="1191">
      <c r="A1191" s="153">
        <f t="shared" si="2"/>
        <v>1190</v>
      </c>
      <c r="B1191" s="154"/>
      <c r="C1191" s="154" t="s">
        <v>208</v>
      </c>
      <c r="D1191" s="154" t="s">
        <v>208</v>
      </c>
      <c r="E1191" s="154" t="s">
        <v>208</v>
      </c>
      <c r="F1191" s="154" t="s">
        <v>208</v>
      </c>
      <c r="G1191" s="154" t="s">
        <v>208</v>
      </c>
      <c r="H1191" s="155"/>
      <c r="I1191" s="155"/>
      <c r="J1191" s="155"/>
      <c r="K1191" s="158" t="s">
        <v>244</v>
      </c>
      <c r="R1191" s="163"/>
      <c r="S1191" s="163"/>
    </row>
    <row r="1192">
      <c r="A1192" s="153">
        <f t="shared" si="2"/>
        <v>1191</v>
      </c>
      <c r="B1192" s="154"/>
      <c r="C1192" s="154" t="s">
        <v>208</v>
      </c>
      <c r="D1192" s="154" t="s">
        <v>208</v>
      </c>
      <c r="E1192" s="154" t="s">
        <v>208</v>
      </c>
      <c r="F1192" s="154" t="s">
        <v>208</v>
      </c>
      <c r="G1192" s="154" t="s">
        <v>208</v>
      </c>
      <c r="H1192" s="155"/>
      <c r="I1192" s="155"/>
      <c r="J1192" s="155"/>
      <c r="K1192" s="158" t="s">
        <v>244</v>
      </c>
      <c r="R1192" s="163"/>
      <c r="S1192" s="163"/>
    </row>
    <row r="1193">
      <c r="A1193" s="153">
        <f t="shared" si="2"/>
        <v>1192</v>
      </c>
      <c r="B1193" s="154"/>
      <c r="C1193" s="154" t="s">
        <v>208</v>
      </c>
      <c r="D1193" s="154" t="s">
        <v>208</v>
      </c>
      <c r="E1193" s="154" t="s">
        <v>208</v>
      </c>
      <c r="F1193" s="154" t="s">
        <v>208</v>
      </c>
      <c r="G1193" s="154" t="s">
        <v>208</v>
      </c>
      <c r="H1193" s="155"/>
      <c r="I1193" s="155"/>
      <c r="J1193" s="155"/>
      <c r="K1193" s="158" t="s">
        <v>244</v>
      </c>
      <c r="R1193" s="163"/>
      <c r="S1193" s="163"/>
    </row>
    <row r="1194">
      <c r="A1194" s="177">
        <f t="shared" si="2"/>
        <v>1193</v>
      </c>
      <c r="B1194" s="154"/>
      <c r="C1194" s="154"/>
      <c r="D1194" s="154" t="s">
        <v>208</v>
      </c>
      <c r="E1194" s="154" t="s">
        <v>208</v>
      </c>
      <c r="F1194" s="154" t="s">
        <v>208</v>
      </c>
      <c r="G1194" s="154"/>
      <c r="H1194" s="154" t="s">
        <v>208</v>
      </c>
      <c r="I1194" s="155"/>
      <c r="J1194" s="155"/>
      <c r="K1194" s="158" t="s">
        <v>244</v>
      </c>
      <c r="R1194" s="163"/>
      <c r="S1194" s="163"/>
    </row>
    <row r="1195">
      <c r="A1195" s="153">
        <f t="shared" si="2"/>
        <v>1194</v>
      </c>
      <c r="B1195" s="154"/>
      <c r="C1195" s="154" t="s">
        <v>208</v>
      </c>
      <c r="D1195" s="154" t="s">
        <v>208</v>
      </c>
      <c r="E1195" s="154" t="s">
        <v>208</v>
      </c>
      <c r="F1195" s="154" t="s">
        <v>208</v>
      </c>
      <c r="G1195" s="154" t="s">
        <v>208</v>
      </c>
      <c r="H1195" s="155"/>
      <c r="I1195" s="155"/>
      <c r="J1195" s="155"/>
      <c r="K1195" s="158" t="s">
        <v>244</v>
      </c>
      <c r="R1195" s="163"/>
      <c r="S1195" s="163"/>
    </row>
    <row r="1196">
      <c r="A1196" s="153">
        <f t="shared" si="2"/>
        <v>1195</v>
      </c>
      <c r="B1196" s="154"/>
      <c r="C1196" s="154" t="s">
        <v>208</v>
      </c>
      <c r="D1196" s="154" t="s">
        <v>208</v>
      </c>
      <c r="E1196" s="154" t="s">
        <v>208</v>
      </c>
      <c r="F1196" s="154" t="s">
        <v>208</v>
      </c>
      <c r="G1196" s="154" t="s">
        <v>208</v>
      </c>
      <c r="H1196" s="154"/>
      <c r="I1196" s="155"/>
      <c r="J1196" s="155"/>
      <c r="K1196" s="158" t="s">
        <v>244</v>
      </c>
      <c r="R1196" s="163"/>
      <c r="S1196" s="163"/>
    </row>
    <row r="1197">
      <c r="A1197" s="153">
        <f t="shared" si="2"/>
        <v>1196</v>
      </c>
      <c r="B1197" s="154"/>
      <c r="C1197" s="154" t="s">
        <v>208</v>
      </c>
      <c r="D1197" s="154" t="s">
        <v>208</v>
      </c>
      <c r="E1197" s="154" t="s">
        <v>208</v>
      </c>
      <c r="F1197" s="154" t="s">
        <v>208</v>
      </c>
      <c r="G1197" s="154" t="s">
        <v>208</v>
      </c>
      <c r="H1197" s="155"/>
      <c r="I1197" s="155"/>
      <c r="J1197" s="155"/>
      <c r="K1197" s="158" t="s">
        <v>244</v>
      </c>
      <c r="R1197" s="163"/>
      <c r="S1197" s="163"/>
    </row>
    <row r="1198">
      <c r="A1198" s="153">
        <f t="shared" si="2"/>
        <v>1197</v>
      </c>
      <c r="B1198" s="154"/>
      <c r="C1198" s="154" t="s">
        <v>208</v>
      </c>
      <c r="D1198" s="154" t="s">
        <v>208</v>
      </c>
      <c r="E1198" s="154" t="s">
        <v>208</v>
      </c>
      <c r="F1198" s="154" t="s">
        <v>208</v>
      </c>
      <c r="G1198" s="154" t="s">
        <v>208</v>
      </c>
      <c r="H1198" s="155"/>
      <c r="I1198" s="155"/>
      <c r="J1198" s="155"/>
      <c r="K1198" s="158" t="s">
        <v>244</v>
      </c>
      <c r="R1198" s="163"/>
      <c r="S1198" s="163"/>
    </row>
    <row r="1199">
      <c r="A1199" s="153">
        <f t="shared" si="2"/>
        <v>1198</v>
      </c>
      <c r="B1199" s="154"/>
      <c r="C1199" s="154" t="s">
        <v>208</v>
      </c>
      <c r="D1199" s="154" t="s">
        <v>208</v>
      </c>
      <c r="E1199" s="154" t="s">
        <v>208</v>
      </c>
      <c r="F1199" s="154" t="s">
        <v>208</v>
      </c>
      <c r="G1199" s="154" t="s">
        <v>208</v>
      </c>
      <c r="H1199" s="155"/>
      <c r="I1199" s="155"/>
      <c r="J1199" s="155"/>
      <c r="K1199" s="158" t="s">
        <v>244</v>
      </c>
      <c r="R1199" s="163"/>
      <c r="S1199" s="163"/>
    </row>
    <row r="1200">
      <c r="A1200" s="153">
        <f t="shared" si="2"/>
        <v>1199</v>
      </c>
      <c r="B1200" s="154"/>
      <c r="C1200" s="154" t="s">
        <v>208</v>
      </c>
      <c r="D1200" s="154" t="s">
        <v>208</v>
      </c>
      <c r="E1200" s="154" t="s">
        <v>208</v>
      </c>
      <c r="F1200" s="154" t="s">
        <v>208</v>
      </c>
      <c r="G1200" s="154" t="s">
        <v>208</v>
      </c>
      <c r="H1200" s="155"/>
      <c r="I1200" s="155"/>
      <c r="J1200" s="155"/>
      <c r="K1200" s="158" t="s">
        <v>244</v>
      </c>
      <c r="R1200" s="173"/>
      <c r="S1200" s="173"/>
    </row>
    <row r="1201">
      <c r="A1201" s="153">
        <f t="shared" si="2"/>
        <v>1200</v>
      </c>
      <c r="B1201" s="154"/>
      <c r="C1201" s="154" t="s">
        <v>208</v>
      </c>
      <c r="D1201" s="154" t="s">
        <v>208</v>
      </c>
      <c r="E1201" s="154" t="s">
        <v>208</v>
      </c>
      <c r="F1201" s="154" t="s">
        <v>208</v>
      </c>
      <c r="G1201" s="154" t="s">
        <v>208</v>
      </c>
      <c r="H1201" s="155"/>
      <c r="I1201" s="155"/>
      <c r="J1201" s="155"/>
      <c r="K1201" s="158" t="s">
        <v>244</v>
      </c>
      <c r="R1201" s="157"/>
      <c r="S1201" s="157"/>
    </row>
    <row r="1202">
      <c r="A1202" s="153">
        <f t="shared" si="2"/>
        <v>1201</v>
      </c>
      <c r="B1202" s="154"/>
      <c r="C1202" s="154" t="s">
        <v>208</v>
      </c>
      <c r="D1202" s="154" t="s">
        <v>218</v>
      </c>
      <c r="E1202" s="154" t="s">
        <v>208</v>
      </c>
      <c r="F1202" s="154" t="s">
        <v>208</v>
      </c>
      <c r="G1202" s="154" t="s">
        <v>208</v>
      </c>
      <c r="H1202" s="155"/>
      <c r="I1202" s="155"/>
      <c r="J1202" s="155"/>
      <c r="K1202" s="158" t="s">
        <v>244</v>
      </c>
      <c r="R1202" s="163"/>
      <c r="S1202" s="163"/>
    </row>
    <row r="1203">
      <c r="A1203" s="153">
        <f t="shared" si="2"/>
        <v>1202</v>
      </c>
      <c r="B1203" s="154"/>
      <c r="C1203" s="154" t="s">
        <v>208</v>
      </c>
      <c r="D1203" s="154" t="s">
        <v>208</v>
      </c>
      <c r="E1203" s="154" t="s">
        <v>208</v>
      </c>
      <c r="F1203" s="154" t="s">
        <v>208</v>
      </c>
      <c r="G1203" s="154" t="s">
        <v>208</v>
      </c>
      <c r="H1203" s="155"/>
      <c r="I1203" s="155"/>
      <c r="J1203" s="155"/>
      <c r="K1203" s="158" t="s">
        <v>244</v>
      </c>
      <c r="R1203" s="163"/>
      <c r="S1203" s="163"/>
    </row>
    <row r="1204">
      <c r="A1204" s="153">
        <f t="shared" si="2"/>
        <v>1203</v>
      </c>
      <c r="B1204" s="154"/>
      <c r="C1204" s="154" t="s">
        <v>208</v>
      </c>
      <c r="D1204" s="154" t="s">
        <v>208</v>
      </c>
      <c r="E1204" s="154" t="s">
        <v>208</v>
      </c>
      <c r="F1204" s="154" t="s">
        <v>208</v>
      </c>
      <c r="G1204" s="154" t="s">
        <v>208</v>
      </c>
      <c r="H1204" s="155"/>
      <c r="I1204" s="155"/>
      <c r="J1204" s="155"/>
      <c r="K1204" s="158" t="s">
        <v>244</v>
      </c>
      <c r="R1204" s="163"/>
      <c r="S1204" s="163"/>
    </row>
    <row r="1205">
      <c r="A1205" s="153">
        <f t="shared" si="2"/>
        <v>1204</v>
      </c>
      <c r="B1205" s="154"/>
      <c r="C1205" s="154" t="s">
        <v>208</v>
      </c>
      <c r="D1205" s="154" t="s">
        <v>208</v>
      </c>
      <c r="E1205" s="154" t="s">
        <v>208</v>
      </c>
      <c r="F1205" s="154" t="s">
        <v>208</v>
      </c>
      <c r="G1205" s="154" t="s">
        <v>208</v>
      </c>
      <c r="H1205" s="155"/>
      <c r="I1205" s="155"/>
      <c r="J1205" s="155"/>
      <c r="K1205" s="158" t="s">
        <v>244</v>
      </c>
      <c r="R1205" s="163"/>
      <c r="S1205" s="163"/>
    </row>
    <row r="1206">
      <c r="A1206" s="153">
        <f t="shared" si="2"/>
        <v>1205</v>
      </c>
      <c r="B1206" s="154"/>
      <c r="C1206" s="154" t="s">
        <v>208</v>
      </c>
      <c r="D1206" s="154" t="s">
        <v>208</v>
      </c>
      <c r="E1206" s="154" t="s">
        <v>208</v>
      </c>
      <c r="F1206" s="154" t="s">
        <v>208</v>
      </c>
      <c r="G1206" s="154" t="s">
        <v>208</v>
      </c>
      <c r="H1206" s="155"/>
      <c r="I1206" s="155"/>
      <c r="J1206" s="155"/>
      <c r="K1206" s="158" t="s">
        <v>244</v>
      </c>
      <c r="R1206" s="163"/>
      <c r="S1206" s="163"/>
    </row>
    <row r="1207">
      <c r="A1207" s="153">
        <f t="shared" si="2"/>
        <v>1206</v>
      </c>
      <c r="B1207" s="154"/>
      <c r="C1207" s="154"/>
      <c r="D1207" s="154"/>
      <c r="E1207" s="154"/>
      <c r="F1207" s="154"/>
      <c r="G1207" s="154"/>
      <c r="H1207" s="155"/>
      <c r="I1207" s="155"/>
      <c r="J1207" s="154" t="s">
        <v>217</v>
      </c>
      <c r="K1207" s="158" t="s">
        <v>244</v>
      </c>
      <c r="R1207" s="163"/>
      <c r="S1207" s="163"/>
    </row>
    <row r="1208">
      <c r="A1208" s="153">
        <f t="shared" si="2"/>
        <v>1207</v>
      </c>
      <c r="B1208" s="154"/>
      <c r="C1208" s="154"/>
      <c r="D1208" s="154"/>
      <c r="E1208" s="154"/>
      <c r="F1208" s="154"/>
      <c r="G1208" s="154"/>
      <c r="H1208" s="155"/>
      <c r="I1208" s="155"/>
      <c r="J1208" s="154" t="s">
        <v>217</v>
      </c>
      <c r="K1208" s="158" t="s">
        <v>244</v>
      </c>
      <c r="R1208" s="163"/>
      <c r="S1208" s="163"/>
    </row>
    <row r="1209">
      <c r="A1209" s="153">
        <f t="shared" si="2"/>
        <v>1208</v>
      </c>
      <c r="B1209" s="154"/>
      <c r="C1209" s="154"/>
      <c r="D1209" s="154"/>
      <c r="E1209" s="154"/>
      <c r="F1209" s="154"/>
      <c r="G1209" s="154"/>
      <c r="H1209" s="155"/>
      <c r="I1209" s="155"/>
      <c r="J1209" s="154" t="s">
        <v>217</v>
      </c>
      <c r="K1209" s="158" t="s">
        <v>244</v>
      </c>
      <c r="R1209" s="163"/>
      <c r="S1209" s="163"/>
    </row>
    <row r="1210">
      <c r="A1210" s="153">
        <f t="shared" si="2"/>
        <v>1209</v>
      </c>
      <c r="B1210" s="154"/>
      <c r="C1210" s="154" t="s">
        <v>208</v>
      </c>
      <c r="D1210" s="154"/>
      <c r="E1210" s="154" t="s">
        <v>208</v>
      </c>
      <c r="F1210" s="154" t="s">
        <v>208</v>
      </c>
      <c r="G1210" s="154" t="s">
        <v>208</v>
      </c>
      <c r="H1210" s="155"/>
      <c r="I1210" s="155"/>
      <c r="J1210" s="154"/>
      <c r="K1210" s="158" t="s">
        <v>244</v>
      </c>
      <c r="R1210" s="163"/>
      <c r="S1210" s="163"/>
    </row>
    <row r="1211">
      <c r="A1211" s="153">
        <f t="shared" si="2"/>
        <v>1210</v>
      </c>
      <c r="B1211" s="154"/>
      <c r="C1211" s="154" t="s">
        <v>208</v>
      </c>
      <c r="D1211" s="154" t="s">
        <v>208</v>
      </c>
      <c r="E1211" s="154" t="s">
        <v>208</v>
      </c>
      <c r="F1211" s="154" t="s">
        <v>208</v>
      </c>
      <c r="G1211" s="154" t="s">
        <v>208</v>
      </c>
      <c r="H1211" s="155"/>
      <c r="I1211" s="155"/>
      <c r="J1211" s="155"/>
      <c r="K1211" s="158" t="s">
        <v>244</v>
      </c>
      <c r="R1211" s="163"/>
      <c r="S1211" s="163"/>
    </row>
    <row r="1212">
      <c r="A1212" s="153">
        <f t="shared" si="2"/>
        <v>1211</v>
      </c>
      <c r="B1212" s="154"/>
      <c r="C1212" s="154" t="s">
        <v>208</v>
      </c>
      <c r="D1212" s="154" t="s">
        <v>208</v>
      </c>
      <c r="E1212" s="154" t="s">
        <v>208</v>
      </c>
      <c r="F1212" s="154" t="s">
        <v>208</v>
      </c>
      <c r="G1212" s="154" t="s">
        <v>208</v>
      </c>
      <c r="H1212" s="153"/>
      <c r="I1212" s="155"/>
      <c r="J1212" s="154"/>
      <c r="K1212" s="158" t="s">
        <v>244</v>
      </c>
      <c r="R1212" s="173"/>
      <c r="S1212" s="173"/>
    </row>
    <row r="1213">
      <c r="A1213" s="153" t="s">
        <v>245</v>
      </c>
      <c r="B1213" s="155"/>
      <c r="C1213" s="155"/>
      <c r="D1213" s="155"/>
      <c r="E1213" s="155"/>
      <c r="F1213" s="155"/>
      <c r="G1213" s="155"/>
      <c r="H1213" s="155"/>
      <c r="I1213" s="154" t="s">
        <v>208</v>
      </c>
      <c r="J1213" s="193"/>
      <c r="K1213" s="188" t="s">
        <v>34</v>
      </c>
      <c r="L1213" s="189" t="s">
        <v>33</v>
      </c>
      <c r="R1213" s="157"/>
      <c r="S1213" s="157"/>
    </row>
    <row r="1214">
      <c r="A1214" s="153" t="s">
        <v>245</v>
      </c>
      <c r="B1214" s="155"/>
      <c r="C1214" s="155"/>
      <c r="D1214" s="155"/>
      <c r="E1214" s="155"/>
      <c r="F1214" s="155"/>
      <c r="G1214" s="155"/>
      <c r="H1214" s="155"/>
      <c r="I1214" s="154" t="s">
        <v>208</v>
      </c>
      <c r="J1214" s="193"/>
      <c r="K1214" s="188" t="s">
        <v>49</v>
      </c>
      <c r="L1214" s="189" t="s">
        <v>48</v>
      </c>
      <c r="R1214" s="163"/>
      <c r="S1214" s="163"/>
    </row>
    <row r="1215">
      <c r="A1215" s="153" t="s">
        <v>245</v>
      </c>
      <c r="B1215" s="155"/>
      <c r="C1215" s="155"/>
      <c r="D1215" s="155"/>
      <c r="E1215" s="155"/>
      <c r="F1215" s="155"/>
      <c r="G1215" s="155"/>
      <c r="H1215" s="155"/>
      <c r="I1215" s="155"/>
      <c r="J1215" s="193"/>
      <c r="K1215" s="188" t="s">
        <v>246</v>
      </c>
      <c r="L1215" s="189" t="s">
        <v>247</v>
      </c>
      <c r="R1215" s="163"/>
      <c r="S1215" s="163"/>
    </row>
    <row r="1216">
      <c r="A1216" s="153" t="s">
        <v>245</v>
      </c>
      <c r="B1216" s="155"/>
      <c r="C1216" s="154"/>
      <c r="D1216" s="154" t="s">
        <v>208</v>
      </c>
      <c r="E1216" s="155"/>
      <c r="F1216" s="155"/>
      <c r="G1216" s="155"/>
      <c r="H1216" s="155"/>
      <c r="I1216" s="154" t="s">
        <v>208</v>
      </c>
      <c r="J1216" s="193"/>
      <c r="K1216" s="188" t="s">
        <v>54</v>
      </c>
      <c r="L1216" s="189" t="s">
        <v>53</v>
      </c>
      <c r="R1216" s="163"/>
      <c r="S1216" s="163"/>
    </row>
    <row r="1217">
      <c r="A1217" s="153" t="s">
        <v>245</v>
      </c>
      <c r="B1217" s="155"/>
      <c r="C1217" s="154"/>
      <c r="D1217" s="154" t="s">
        <v>208</v>
      </c>
      <c r="E1217" s="155"/>
      <c r="F1217" s="155"/>
      <c r="G1217" s="155"/>
      <c r="H1217" s="155"/>
      <c r="I1217" s="154" t="s">
        <v>208</v>
      </c>
      <c r="J1217" s="193"/>
      <c r="K1217" s="188" t="s">
        <v>62</v>
      </c>
      <c r="L1217" s="189" t="s">
        <v>61</v>
      </c>
      <c r="R1217" s="163"/>
      <c r="S1217" s="163"/>
    </row>
    <row r="1218">
      <c r="A1218" s="153" t="s">
        <v>245</v>
      </c>
      <c r="B1218" s="155"/>
      <c r="C1218" s="154"/>
      <c r="D1218" s="154" t="s">
        <v>208</v>
      </c>
      <c r="E1218" s="155"/>
      <c r="F1218" s="155"/>
      <c r="G1218" s="155"/>
      <c r="H1218" s="155"/>
      <c r="I1218" s="154" t="s">
        <v>208</v>
      </c>
      <c r="J1218" s="193"/>
      <c r="K1218" s="188" t="s">
        <v>64</v>
      </c>
      <c r="L1218" s="189" t="s">
        <v>61</v>
      </c>
      <c r="R1218" s="163"/>
      <c r="S1218" s="163"/>
    </row>
    <row r="1219">
      <c r="A1219" s="153" t="s">
        <v>245</v>
      </c>
      <c r="B1219" s="155"/>
      <c r="C1219" s="154"/>
      <c r="D1219" s="154" t="s">
        <v>208</v>
      </c>
      <c r="E1219" s="155"/>
      <c r="F1219" s="155"/>
      <c r="G1219" s="155"/>
      <c r="H1219" s="155"/>
      <c r="I1219" s="154" t="s">
        <v>208</v>
      </c>
      <c r="J1219" s="193"/>
      <c r="K1219" s="188" t="s">
        <v>72</v>
      </c>
      <c r="L1219" s="189" t="s">
        <v>61</v>
      </c>
      <c r="R1219" s="163"/>
      <c r="S1219" s="163"/>
    </row>
    <row r="1220">
      <c r="A1220" s="153" t="s">
        <v>245</v>
      </c>
      <c r="B1220" s="154"/>
      <c r="C1220" s="154" t="s">
        <v>208</v>
      </c>
      <c r="D1220" s="154" t="s">
        <v>208</v>
      </c>
      <c r="E1220" s="154"/>
      <c r="F1220" s="154" t="s">
        <v>208</v>
      </c>
      <c r="G1220" s="154" t="s">
        <v>208</v>
      </c>
      <c r="H1220" s="155"/>
      <c r="I1220" s="154" t="s">
        <v>208</v>
      </c>
      <c r="J1220" s="193"/>
      <c r="K1220" s="188" t="s">
        <v>99</v>
      </c>
      <c r="L1220" s="189" t="s">
        <v>98</v>
      </c>
      <c r="R1220" s="163"/>
      <c r="S1220" s="163"/>
    </row>
    <row r="1221">
      <c r="A1221" s="153" t="s">
        <v>245</v>
      </c>
      <c r="B1221" s="154"/>
      <c r="C1221" s="154" t="s">
        <v>208</v>
      </c>
      <c r="D1221" s="154" t="s">
        <v>208</v>
      </c>
      <c r="E1221" s="154"/>
      <c r="F1221" s="154" t="s">
        <v>208</v>
      </c>
      <c r="G1221" s="154" t="s">
        <v>208</v>
      </c>
      <c r="H1221" s="155"/>
      <c r="I1221" s="154" t="s">
        <v>208</v>
      </c>
      <c r="J1221" s="193"/>
      <c r="K1221" s="188" t="s">
        <v>107</v>
      </c>
      <c r="L1221" s="189" t="s">
        <v>104</v>
      </c>
      <c r="R1221" s="163"/>
      <c r="S1221" s="163"/>
    </row>
    <row r="1222">
      <c r="A1222" s="153" t="s">
        <v>245</v>
      </c>
      <c r="B1222" s="155"/>
      <c r="C1222" s="154"/>
      <c r="D1222" s="154" t="s">
        <v>208</v>
      </c>
      <c r="E1222" s="155"/>
      <c r="F1222" s="155"/>
      <c r="G1222" s="155"/>
      <c r="H1222" s="155"/>
      <c r="I1222" s="154" t="s">
        <v>208</v>
      </c>
      <c r="J1222" s="193"/>
      <c r="K1222" s="188" t="s">
        <v>116</v>
      </c>
      <c r="L1222" s="189" t="s">
        <v>115</v>
      </c>
      <c r="R1222" s="163"/>
      <c r="S1222" s="163"/>
    </row>
    <row r="1223">
      <c r="A1223" s="153" t="s">
        <v>245</v>
      </c>
      <c r="B1223" s="155"/>
      <c r="C1223" s="154"/>
      <c r="D1223" s="154" t="s">
        <v>208</v>
      </c>
      <c r="E1223" s="155"/>
      <c r="F1223" s="155"/>
      <c r="G1223" s="155"/>
      <c r="H1223" s="155"/>
      <c r="I1223" s="154" t="s">
        <v>208</v>
      </c>
      <c r="J1223" s="193"/>
      <c r="K1223" s="188" t="s">
        <v>119</v>
      </c>
      <c r="L1223" s="189" t="s">
        <v>118</v>
      </c>
      <c r="R1223" s="163"/>
      <c r="S1223" s="163"/>
    </row>
    <row r="1224">
      <c r="A1224" s="153" t="s">
        <v>245</v>
      </c>
      <c r="B1224" s="155"/>
      <c r="C1224" s="154"/>
      <c r="D1224" s="154" t="s">
        <v>208</v>
      </c>
      <c r="E1224" s="155"/>
      <c r="F1224" s="155"/>
      <c r="G1224" s="155"/>
      <c r="H1224" s="155"/>
      <c r="I1224" s="154" t="s">
        <v>208</v>
      </c>
      <c r="J1224" s="193"/>
      <c r="K1224" s="188" t="s">
        <v>122</v>
      </c>
      <c r="L1224" s="189" t="s">
        <v>118</v>
      </c>
      <c r="R1224" s="173"/>
      <c r="S1224" s="173"/>
    </row>
    <row r="1225">
      <c r="A1225" s="153" t="s">
        <v>245</v>
      </c>
      <c r="B1225" s="155"/>
      <c r="C1225" s="154"/>
      <c r="D1225" s="154" t="s">
        <v>208</v>
      </c>
      <c r="E1225" s="155"/>
      <c r="F1225" s="155"/>
      <c r="G1225" s="155"/>
      <c r="H1225" s="155"/>
      <c r="I1225" s="154" t="s">
        <v>208</v>
      </c>
      <c r="J1225" s="193"/>
      <c r="K1225" s="188" t="s">
        <v>113</v>
      </c>
      <c r="L1225" s="189" t="s">
        <v>118</v>
      </c>
      <c r="R1225" s="157"/>
      <c r="S1225" s="157"/>
    </row>
    <row r="1226">
      <c r="A1226" s="153" t="s">
        <v>245</v>
      </c>
      <c r="B1226" s="155"/>
      <c r="C1226" s="154"/>
      <c r="D1226" s="154" t="s">
        <v>208</v>
      </c>
      <c r="E1226" s="155"/>
      <c r="F1226" s="155"/>
      <c r="G1226" s="155"/>
      <c r="H1226" s="155"/>
      <c r="I1226" s="154" t="s">
        <v>208</v>
      </c>
      <c r="J1226" s="193"/>
      <c r="K1226" s="188" t="s">
        <v>125</v>
      </c>
      <c r="L1226" s="189" t="s">
        <v>124</v>
      </c>
      <c r="R1226" s="163"/>
      <c r="S1226" s="163"/>
    </row>
    <row r="1227">
      <c r="A1227" s="153" t="s">
        <v>245</v>
      </c>
      <c r="B1227" s="154"/>
      <c r="C1227" s="154"/>
      <c r="D1227" s="154"/>
      <c r="E1227" s="154"/>
      <c r="F1227" s="154"/>
      <c r="G1227" s="154"/>
      <c r="H1227" s="155"/>
      <c r="I1227" s="155"/>
      <c r="J1227" s="193"/>
      <c r="K1227" s="188" t="s">
        <v>249</v>
      </c>
      <c r="L1227" s="189" t="s">
        <v>124</v>
      </c>
      <c r="R1227" s="163"/>
      <c r="S1227" s="163"/>
    </row>
    <row r="1228">
      <c r="A1228" s="153" t="s">
        <v>245</v>
      </c>
      <c r="B1228" s="155"/>
      <c r="C1228" s="154" t="s">
        <v>208</v>
      </c>
      <c r="D1228" s="154" t="s">
        <v>208</v>
      </c>
      <c r="E1228" s="155"/>
      <c r="F1228" s="154" t="s">
        <v>208</v>
      </c>
      <c r="G1228" s="154" t="s">
        <v>208</v>
      </c>
      <c r="H1228" s="155"/>
      <c r="I1228" s="154"/>
      <c r="J1228" s="193"/>
      <c r="K1228" s="188" t="s">
        <v>248</v>
      </c>
      <c r="L1228" s="189" t="s">
        <v>142</v>
      </c>
      <c r="R1228" s="163"/>
      <c r="S1228" s="163"/>
    </row>
    <row r="1229">
      <c r="A1229" s="153" t="s">
        <v>245</v>
      </c>
      <c r="B1229" s="155"/>
      <c r="C1229" s="155"/>
      <c r="D1229" s="154" t="s">
        <v>208</v>
      </c>
      <c r="E1229" s="155"/>
      <c r="F1229" s="155"/>
      <c r="G1229" s="155"/>
      <c r="H1229" s="155"/>
      <c r="I1229" s="154" t="s">
        <v>208</v>
      </c>
      <c r="J1229" s="193"/>
      <c r="K1229" s="188" t="s">
        <v>143</v>
      </c>
      <c r="L1229" s="189" t="s">
        <v>142</v>
      </c>
      <c r="R1229" s="163"/>
      <c r="S1229" s="163"/>
    </row>
    <row r="1230">
      <c r="A1230" s="153" t="s">
        <v>245</v>
      </c>
      <c r="B1230" s="155"/>
      <c r="C1230" s="154" t="s">
        <v>208</v>
      </c>
      <c r="D1230" s="154" t="s">
        <v>208</v>
      </c>
      <c r="E1230" s="155"/>
      <c r="F1230" s="154" t="s">
        <v>208</v>
      </c>
      <c r="G1230" s="154" t="s">
        <v>208</v>
      </c>
      <c r="H1230" s="155"/>
      <c r="I1230" s="154"/>
      <c r="J1230" s="193"/>
      <c r="K1230" s="188" t="s">
        <v>250</v>
      </c>
      <c r="L1230" s="189" t="s">
        <v>136</v>
      </c>
      <c r="R1230" s="163"/>
      <c r="S1230" s="163"/>
    </row>
    <row r="1231">
      <c r="A1231" s="153" t="s">
        <v>245</v>
      </c>
      <c r="B1231" s="154"/>
      <c r="C1231" s="154" t="s">
        <v>208</v>
      </c>
      <c r="D1231" s="154" t="s">
        <v>208</v>
      </c>
      <c r="E1231" s="154"/>
      <c r="F1231" s="154" t="s">
        <v>208</v>
      </c>
      <c r="G1231" s="154" t="s">
        <v>208</v>
      </c>
      <c r="H1231" s="155"/>
      <c r="I1231" s="155"/>
      <c r="J1231" s="193"/>
      <c r="K1231" s="188" t="s">
        <v>130</v>
      </c>
      <c r="L1231" s="189" t="s">
        <v>129</v>
      </c>
      <c r="R1231" s="163"/>
      <c r="S1231" s="163"/>
    </row>
    <row r="1232">
      <c r="A1232" s="153" t="s">
        <v>245</v>
      </c>
      <c r="B1232" s="154"/>
      <c r="C1232" s="154"/>
      <c r="D1232" s="154" t="s">
        <v>208</v>
      </c>
      <c r="E1232" s="154"/>
      <c r="F1232" s="154"/>
      <c r="G1232" s="154"/>
      <c r="H1232" s="155"/>
      <c r="I1232" s="154" t="s">
        <v>208</v>
      </c>
      <c r="J1232" s="193"/>
      <c r="K1232" s="188" t="s">
        <v>148</v>
      </c>
      <c r="L1232" s="189" t="s">
        <v>144</v>
      </c>
      <c r="R1232" s="163"/>
      <c r="S1232" s="163"/>
    </row>
    <row r="1233">
      <c r="A1233" s="153" t="s">
        <v>245</v>
      </c>
      <c r="B1233" s="155"/>
      <c r="C1233" s="154" t="s">
        <v>208</v>
      </c>
      <c r="D1233" s="154" t="s">
        <v>208</v>
      </c>
      <c r="E1233" s="155"/>
      <c r="F1233" s="154" t="s">
        <v>208</v>
      </c>
      <c r="G1233" s="154" t="s">
        <v>208</v>
      </c>
      <c r="H1233" s="155"/>
      <c r="I1233" s="154"/>
      <c r="J1233" s="193"/>
      <c r="K1233" s="188" t="s">
        <v>251</v>
      </c>
      <c r="L1233" s="189" t="s">
        <v>136</v>
      </c>
      <c r="R1233" s="163"/>
      <c r="S1233" s="163"/>
    </row>
    <row r="1234">
      <c r="A1234" s="153" t="s">
        <v>245</v>
      </c>
      <c r="B1234" s="154"/>
      <c r="C1234" s="154" t="s">
        <v>208</v>
      </c>
      <c r="D1234" s="154" t="s">
        <v>208</v>
      </c>
      <c r="E1234" s="154"/>
      <c r="F1234" s="154" t="s">
        <v>218</v>
      </c>
      <c r="G1234" s="154" t="s">
        <v>208</v>
      </c>
      <c r="H1234" s="155"/>
      <c r="I1234" s="155"/>
      <c r="J1234" s="193"/>
      <c r="K1234" s="188" t="s">
        <v>252</v>
      </c>
      <c r="L1234" s="189" t="s">
        <v>136</v>
      </c>
      <c r="R1234" s="163"/>
      <c r="S1234" s="163"/>
    </row>
    <row r="1235">
      <c r="A1235" s="153" t="s">
        <v>245</v>
      </c>
      <c r="B1235" s="154"/>
      <c r="C1235" s="154"/>
      <c r="D1235" s="154" t="s">
        <v>208</v>
      </c>
      <c r="E1235" s="155"/>
      <c r="F1235" s="154"/>
      <c r="G1235" s="154"/>
      <c r="H1235" s="155"/>
      <c r="I1235" s="154" t="s">
        <v>208</v>
      </c>
      <c r="J1235" s="193"/>
      <c r="K1235" s="188" t="s">
        <v>152</v>
      </c>
      <c r="L1235" s="189" t="s">
        <v>144</v>
      </c>
      <c r="R1235" s="163"/>
      <c r="S1235" s="163"/>
    </row>
    <row r="1236">
      <c r="A1236" s="153" t="s">
        <v>245</v>
      </c>
      <c r="B1236" s="155"/>
      <c r="C1236" s="154"/>
      <c r="D1236" s="154" t="s">
        <v>208</v>
      </c>
      <c r="E1236" s="155"/>
      <c r="F1236" s="155"/>
      <c r="G1236" s="155"/>
      <c r="H1236" s="155"/>
      <c r="I1236" s="154" t="s">
        <v>208</v>
      </c>
      <c r="J1236" s="193"/>
      <c r="K1236" s="188" t="s">
        <v>167</v>
      </c>
      <c r="L1236" s="189" t="s">
        <v>161</v>
      </c>
      <c r="R1236" s="173"/>
      <c r="S1236" s="173"/>
    </row>
    <row r="1237">
      <c r="A1237" s="153" t="s">
        <v>245</v>
      </c>
      <c r="B1237" s="155"/>
      <c r="C1237" s="155"/>
      <c r="D1237" s="155"/>
      <c r="E1237" s="155"/>
      <c r="F1237" s="155"/>
      <c r="G1237" s="155"/>
      <c r="H1237" s="155"/>
      <c r="I1237" s="155"/>
      <c r="J1237" s="193"/>
      <c r="K1237" s="188" t="s">
        <v>253</v>
      </c>
      <c r="L1237" s="189" t="s">
        <v>161</v>
      </c>
      <c r="R1237" s="157"/>
      <c r="S1237" s="157"/>
    </row>
    <row r="1238">
      <c r="A1238" s="153" t="s">
        <v>245</v>
      </c>
      <c r="B1238" s="155"/>
      <c r="C1238" s="155"/>
      <c r="D1238" s="155"/>
      <c r="E1238" s="155"/>
      <c r="F1238" s="155"/>
      <c r="G1238" s="155"/>
      <c r="H1238" s="155"/>
      <c r="I1238" s="155"/>
      <c r="J1238" s="193"/>
      <c r="K1238" s="188" t="s">
        <v>254</v>
      </c>
      <c r="L1238" s="189" t="s">
        <v>161</v>
      </c>
      <c r="R1238" s="163"/>
      <c r="S1238" s="163"/>
    </row>
    <row r="1239">
      <c r="A1239" s="153" t="s">
        <v>245</v>
      </c>
      <c r="B1239" s="155"/>
      <c r="C1239" s="154" t="s">
        <v>208</v>
      </c>
      <c r="D1239" s="154" t="s">
        <v>208</v>
      </c>
      <c r="E1239" s="155"/>
      <c r="F1239" s="154" t="s">
        <v>208</v>
      </c>
      <c r="G1239" s="154" t="s">
        <v>208</v>
      </c>
      <c r="H1239" s="155"/>
      <c r="I1239" s="154"/>
      <c r="J1239" s="193"/>
      <c r="K1239" s="188" t="s">
        <v>162</v>
      </c>
      <c r="L1239" s="189" t="s">
        <v>161</v>
      </c>
      <c r="R1239" s="163"/>
      <c r="S1239" s="163"/>
    </row>
    <row r="1240">
      <c r="A1240" s="153" t="s">
        <v>245</v>
      </c>
      <c r="B1240" s="155"/>
      <c r="C1240" s="154"/>
      <c r="D1240" s="154"/>
      <c r="E1240" s="155"/>
      <c r="F1240" s="155"/>
      <c r="G1240" s="155"/>
      <c r="H1240" s="155"/>
      <c r="I1240" s="154"/>
      <c r="J1240" s="193"/>
      <c r="K1240" s="188" t="s">
        <v>255</v>
      </c>
      <c r="L1240" s="189" t="s">
        <v>161</v>
      </c>
      <c r="R1240" s="163"/>
      <c r="S1240" s="163"/>
    </row>
    <row r="1241">
      <c r="A1241" s="153" t="s">
        <v>245</v>
      </c>
      <c r="B1241" s="155"/>
      <c r="C1241" s="155"/>
      <c r="D1241" s="155"/>
      <c r="E1241" s="155"/>
      <c r="F1241" s="155"/>
      <c r="G1241" s="155"/>
      <c r="H1241" s="155"/>
      <c r="I1241" s="155"/>
      <c r="J1241" s="193"/>
      <c r="K1241" s="188" t="s">
        <v>256</v>
      </c>
      <c r="L1241" s="189" t="s">
        <v>161</v>
      </c>
      <c r="R1241" s="163"/>
      <c r="S1241" s="163"/>
    </row>
    <row r="1242">
      <c r="A1242" s="153" t="s">
        <v>245</v>
      </c>
      <c r="B1242" s="155"/>
      <c r="C1242" s="155"/>
      <c r="D1242" s="154" t="s">
        <v>208</v>
      </c>
      <c r="E1242" s="155"/>
      <c r="F1242" s="155"/>
      <c r="G1242" s="155"/>
      <c r="H1242" s="155"/>
      <c r="I1242" s="154" t="s">
        <v>208</v>
      </c>
      <c r="J1242" s="193"/>
      <c r="K1242" s="188" t="s">
        <v>257</v>
      </c>
      <c r="L1242" s="189" t="s">
        <v>161</v>
      </c>
      <c r="R1242" s="163"/>
      <c r="S1242" s="163"/>
    </row>
    <row r="1243">
      <c r="A1243" s="153" t="s">
        <v>245</v>
      </c>
      <c r="B1243" s="155"/>
      <c r="C1243" s="155"/>
      <c r="D1243" s="155"/>
      <c r="E1243" s="155"/>
      <c r="F1243" s="155"/>
      <c r="G1243" s="155"/>
      <c r="H1243" s="155"/>
      <c r="I1243" s="155"/>
      <c r="J1243" s="193"/>
      <c r="K1243" s="188" t="s">
        <v>169</v>
      </c>
      <c r="L1243" s="189" t="s">
        <v>161</v>
      </c>
      <c r="R1243" s="163"/>
      <c r="S1243" s="163"/>
    </row>
    <row r="1244">
      <c r="A1244" s="153" t="s">
        <v>245</v>
      </c>
      <c r="B1244" s="155"/>
      <c r="C1244" s="154" t="s">
        <v>208</v>
      </c>
      <c r="D1244" s="154" t="s">
        <v>208</v>
      </c>
      <c r="E1244" s="155"/>
      <c r="F1244" s="154" t="s">
        <v>208</v>
      </c>
      <c r="G1244" s="154" t="s">
        <v>208</v>
      </c>
      <c r="H1244" s="155"/>
      <c r="I1244" s="154"/>
      <c r="J1244" s="193"/>
      <c r="K1244" s="188" t="s">
        <v>258</v>
      </c>
      <c r="L1244" s="189" t="s">
        <v>136</v>
      </c>
      <c r="R1244" s="163"/>
      <c r="S1244" s="163"/>
    </row>
    <row r="1245">
      <c r="A1245" s="153" t="s">
        <v>245</v>
      </c>
      <c r="B1245" s="154"/>
      <c r="C1245" s="154"/>
      <c r="D1245" s="154" t="s">
        <v>208</v>
      </c>
      <c r="E1245" s="154"/>
      <c r="F1245" s="154"/>
      <c r="G1245" s="154"/>
      <c r="H1245" s="155"/>
      <c r="I1245" s="154" t="s">
        <v>208</v>
      </c>
      <c r="J1245" s="193"/>
      <c r="K1245" s="188" t="s">
        <v>156</v>
      </c>
      <c r="L1245" s="189" t="s">
        <v>144</v>
      </c>
      <c r="R1245" s="163"/>
      <c r="S1245" s="163"/>
    </row>
    <row r="1246">
      <c r="A1246" s="153" t="s">
        <v>245</v>
      </c>
      <c r="B1246" s="155"/>
      <c r="C1246" s="154" t="s">
        <v>208</v>
      </c>
      <c r="D1246" s="154" t="s">
        <v>208</v>
      </c>
      <c r="E1246" s="155"/>
      <c r="F1246" s="154" t="s">
        <v>208</v>
      </c>
      <c r="G1246" s="154" t="s">
        <v>208</v>
      </c>
      <c r="H1246" s="155"/>
      <c r="I1246" s="154"/>
      <c r="J1246" s="193"/>
      <c r="K1246" s="188" t="s">
        <v>170</v>
      </c>
      <c r="L1246" s="189" t="s">
        <v>161</v>
      </c>
      <c r="R1246" s="163"/>
      <c r="S1246" s="163"/>
    </row>
    <row r="1247">
      <c r="A1247" s="153" t="s">
        <v>245</v>
      </c>
      <c r="B1247" s="155"/>
      <c r="C1247" s="154"/>
      <c r="D1247" s="154"/>
      <c r="E1247" s="155"/>
      <c r="F1247" s="155"/>
      <c r="G1247" s="155"/>
      <c r="H1247" s="155"/>
      <c r="I1247" s="154"/>
      <c r="J1247" s="193"/>
      <c r="K1247" s="188" t="s">
        <v>259</v>
      </c>
      <c r="L1247" s="189" t="s">
        <v>161</v>
      </c>
      <c r="R1247" s="163"/>
      <c r="S1247" s="163"/>
    </row>
    <row r="1248">
      <c r="A1248" s="153" t="s">
        <v>245</v>
      </c>
      <c r="B1248" s="155"/>
      <c r="C1248" s="154" t="s">
        <v>208</v>
      </c>
      <c r="D1248" s="154" t="s">
        <v>208</v>
      </c>
      <c r="E1248" s="155"/>
      <c r="F1248" s="154" t="s">
        <v>208</v>
      </c>
      <c r="G1248" s="154" t="s">
        <v>208</v>
      </c>
      <c r="H1248" s="155"/>
      <c r="I1248" s="155"/>
      <c r="J1248" s="193"/>
      <c r="K1248" s="188" t="s">
        <v>171</v>
      </c>
      <c r="L1248" s="189" t="s">
        <v>161</v>
      </c>
      <c r="R1248" s="173"/>
      <c r="S1248" s="173"/>
    </row>
    <row r="1249">
      <c r="A1249" s="153" t="s">
        <v>245</v>
      </c>
      <c r="B1249" s="155"/>
      <c r="C1249" s="154"/>
      <c r="D1249" s="154" t="s">
        <v>208</v>
      </c>
      <c r="E1249" s="154" t="s">
        <v>208</v>
      </c>
      <c r="F1249" s="154"/>
      <c r="G1249" s="155"/>
      <c r="H1249" s="154"/>
      <c r="I1249" s="154" t="s">
        <v>208</v>
      </c>
      <c r="J1249" s="193"/>
      <c r="K1249" s="188" t="s">
        <v>166</v>
      </c>
      <c r="L1249" s="189" t="s">
        <v>161</v>
      </c>
      <c r="R1249" s="157"/>
      <c r="S1249" s="157"/>
    </row>
    <row r="1250">
      <c r="A1250" s="153" t="s">
        <v>245</v>
      </c>
      <c r="B1250" s="155"/>
      <c r="C1250" s="154" t="s">
        <v>208</v>
      </c>
      <c r="D1250" s="154" t="s">
        <v>208</v>
      </c>
      <c r="E1250" s="155"/>
      <c r="F1250" s="154" t="s">
        <v>208</v>
      </c>
      <c r="G1250" s="154" t="s">
        <v>208</v>
      </c>
      <c r="H1250" s="155"/>
      <c r="I1250" s="155"/>
      <c r="J1250" s="193"/>
      <c r="K1250" s="188" t="s">
        <v>172</v>
      </c>
      <c r="L1250" s="189" t="s">
        <v>161</v>
      </c>
      <c r="R1250" s="163"/>
      <c r="S1250" s="163"/>
    </row>
    <row r="1251">
      <c r="A1251" s="153" t="s">
        <v>245</v>
      </c>
      <c r="B1251" s="155"/>
      <c r="C1251" s="154"/>
      <c r="D1251" s="155"/>
      <c r="E1251" s="155"/>
      <c r="F1251" s="155"/>
      <c r="G1251" s="155"/>
      <c r="H1251" s="155"/>
      <c r="I1251" s="154"/>
      <c r="J1251" s="193"/>
      <c r="K1251" s="188" t="s">
        <v>260</v>
      </c>
      <c r="L1251" s="189" t="s">
        <v>161</v>
      </c>
      <c r="R1251" s="163"/>
      <c r="S1251" s="163"/>
    </row>
    <row r="1252">
      <c r="A1252" s="153" t="s">
        <v>245</v>
      </c>
      <c r="B1252" s="155"/>
      <c r="C1252" s="154" t="s">
        <v>208</v>
      </c>
      <c r="D1252" s="154" t="s">
        <v>208</v>
      </c>
      <c r="E1252" s="154"/>
      <c r="F1252" s="154" t="s">
        <v>208</v>
      </c>
      <c r="G1252" s="154" t="s">
        <v>208</v>
      </c>
      <c r="H1252" s="154"/>
      <c r="I1252" s="155"/>
      <c r="J1252" s="193"/>
      <c r="K1252" s="188" t="s">
        <v>261</v>
      </c>
      <c r="L1252" s="189" t="s">
        <v>262</v>
      </c>
      <c r="R1252" s="163"/>
      <c r="S1252" s="163"/>
    </row>
    <row r="1253">
      <c r="A1253" s="153" t="s">
        <v>245</v>
      </c>
      <c r="B1253" s="154"/>
      <c r="C1253" s="154" t="s">
        <v>208</v>
      </c>
      <c r="D1253" s="154" t="s">
        <v>208</v>
      </c>
      <c r="E1253" s="154"/>
      <c r="F1253" s="154" t="s">
        <v>208</v>
      </c>
      <c r="G1253" s="154" t="s">
        <v>208</v>
      </c>
      <c r="H1253" s="155"/>
      <c r="I1253" s="155"/>
      <c r="J1253" s="193"/>
      <c r="K1253" s="188" t="s">
        <v>263</v>
      </c>
      <c r="L1253" s="189" t="s">
        <v>264</v>
      </c>
      <c r="R1253" s="163"/>
      <c r="S1253" s="163"/>
    </row>
    <row r="1254">
      <c r="A1254" s="153" t="s">
        <v>245</v>
      </c>
      <c r="B1254" s="154"/>
      <c r="C1254" s="154"/>
      <c r="D1254" s="154"/>
      <c r="E1254" s="154"/>
      <c r="F1254" s="154"/>
      <c r="G1254" s="154"/>
      <c r="H1254" s="155"/>
      <c r="I1254" s="155"/>
      <c r="J1254" s="193"/>
      <c r="K1254" s="188" t="s">
        <v>265</v>
      </c>
      <c r="L1254" s="189" t="s">
        <v>161</v>
      </c>
      <c r="R1254" s="163"/>
      <c r="S1254" s="163"/>
    </row>
    <row r="1255">
      <c r="A1255" s="153" t="s">
        <v>245</v>
      </c>
      <c r="B1255" s="155"/>
      <c r="C1255" s="155"/>
      <c r="D1255" s="155"/>
      <c r="E1255" s="155"/>
      <c r="F1255" s="155"/>
      <c r="G1255" s="155"/>
      <c r="H1255" s="155"/>
      <c r="I1255" s="155"/>
      <c r="J1255" s="193"/>
      <c r="K1255" s="188" t="s">
        <v>266</v>
      </c>
      <c r="L1255" s="189" t="s">
        <v>161</v>
      </c>
      <c r="R1255" s="163"/>
      <c r="S1255" s="163"/>
    </row>
    <row r="1256">
      <c r="A1256" s="153" t="s">
        <v>245</v>
      </c>
      <c r="B1256" s="155"/>
      <c r="C1256" s="154" t="s">
        <v>208</v>
      </c>
      <c r="D1256" s="154" t="s">
        <v>208</v>
      </c>
      <c r="E1256" s="155"/>
      <c r="F1256" s="154" t="s">
        <v>208</v>
      </c>
      <c r="G1256" s="154" t="s">
        <v>208</v>
      </c>
      <c r="H1256" s="155"/>
      <c r="I1256" s="155"/>
      <c r="J1256" s="193"/>
      <c r="K1256" s="188" t="s">
        <v>267</v>
      </c>
      <c r="L1256" s="189" t="s">
        <v>136</v>
      </c>
      <c r="R1256" s="163"/>
      <c r="S1256" s="163"/>
    </row>
    <row r="1257">
      <c r="A1257" s="153" t="s">
        <v>245</v>
      </c>
      <c r="B1257" s="154"/>
      <c r="C1257" s="154"/>
      <c r="D1257" s="154"/>
      <c r="E1257" s="154"/>
      <c r="F1257" s="154"/>
      <c r="G1257" s="154"/>
      <c r="H1257" s="155"/>
      <c r="I1257" s="155"/>
      <c r="J1257" s="193"/>
      <c r="K1257" s="188" t="s">
        <v>268</v>
      </c>
      <c r="L1257" s="189" t="s">
        <v>269</v>
      </c>
      <c r="R1257" s="163"/>
      <c r="S1257" s="163"/>
    </row>
    <row r="1258">
      <c r="A1258" s="153" t="s">
        <v>245</v>
      </c>
      <c r="B1258" s="155"/>
      <c r="C1258" s="155"/>
      <c r="D1258" s="155"/>
      <c r="E1258" s="155"/>
      <c r="F1258" s="155"/>
      <c r="G1258" s="155"/>
      <c r="H1258" s="155"/>
      <c r="I1258" s="155"/>
      <c r="J1258" s="193"/>
      <c r="K1258" s="188" t="s">
        <v>270</v>
      </c>
      <c r="L1258" s="189" t="s">
        <v>269</v>
      </c>
      <c r="R1258" s="163"/>
      <c r="S1258" s="163"/>
    </row>
    <row r="1259">
      <c r="A1259" s="153" t="s">
        <v>245</v>
      </c>
      <c r="B1259" s="155"/>
      <c r="C1259" s="155"/>
      <c r="D1259" s="154" t="s">
        <v>208</v>
      </c>
      <c r="E1259" s="155"/>
      <c r="F1259" s="155"/>
      <c r="G1259" s="155"/>
      <c r="H1259" s="155"/>
      <c r="I1259" s="154" t="s">
        <v>208</v>
      </c>
      <c r="J1259" s="193"/>
      <c r="K1259" s="188" t="s">
        <v>159</v>
      </c>
      <c r="L1259" s="189" t="s">
        <v>158</v>
      </c>
      <c r="R1259" s="163"/>
      <c r="S1259" s="163"/>
    </row>
    <row r="1260">
      <c r="A1260" s="153" t="s">
        <v>245</v>
      </c>
      <c r="B1260" s="155"/>
      <c r="C1260" s="154"/>
      <c r="D1260" s="154"/>
      <c r="E1260" s="155"/>
      <c r="F1260" s="155"/>
      <c r="G1260" s="155"/>
      <c r="H1260" s="155"/>
      <c r="I1260" s="154"/>
      <c r="J1260" s="193"/>
      <c r="K1260" s="188" t="s">
        <v>272</v>
      </c>
      <c r="L1260" s="189" t="s">
        <v>161</v>
      </c>
      <c r="R1260" s="173"/>
      <c r="S1260" s="173"/>
    </row>
    <row r="1261">
      <c r="A1261" s="153" t="s">
        <v>245</v>
      </c>
      <c r="B1261" s="155"/>
      <c r="C1261" s="154"/>
      <c r="D1261" s="154"/>
      <c r="E1261" s="155"/>
      <c r="F1261" s="155"/>
      <c r="G1261" s="155"/>
      <c r="H1261" s="155"/>
      <c r="I1261" s="154"/>
      <c r="J1261" s="193"/>
      <c r="K1261" s="188" t="s">
        <v>273</v>
      </c>
      <c r="L1261" s="189" t="s">
        <v>274</v>
      </c>
      <c r="R1261" s="157"/>
      <c r="S1261" s="157"/>
    </row>
    <row r="1262">
      <c r="A1262" s="153" t="s">
        <v>245</v>
      </c>
      <c r="B1262" s="155"/>
      <c r="C1262" s="154"/>
      <c r="D1262" s="154" t="s">
        <v>208</v>
      </c>
      <c r="E1262" s="155"/>
      <c r="F1262" s="155"/>
      <c r="G1262" s="155"/>
      <c r="H1262" s="155"/>
      <c r="I1262" s="154" t="s">
        <v>208</v>
      </c>
      <c r="J1262" s="193"/>
      <c r="K1262" s="188" t="s">
        <v>133</v>
      </c>
      <c r="L1262" s="189" t="s">
        <v>129</v>
      </c>
      <c r="R1262" s="163"/>
      <c r="S1262" s="163"/>
    </row>
    <row r="1263">
      <c r="A1263" s="153" t="s">
        <v>245</v>
      </c>
      <c r="B1263" s="155"/>
      <c r="C1263" s="155"/>
      <c r="D1263" s="155"/>
      <c r="E1263" s="155"/>
      <c r="F1263" s="155"/>
      <c r="G1263" s="155"/>
      <c r="H1263" s="155"/>
      <c r="I1263" s="155"/>
      <c r="J1263" s="193"/>
      <c r="K1263" s="188" t="s">
        <v>275</v>
      </c>
      <c r="L1263" s="189" t="s">
        <v>129</v>
      </c>
      <c r="R1263" s="163"/>
      <c r="S1263" s="163"/>
    </row>
    <row r="1264">
      <c r="A1264" s="153" t="s">
        <v>245</v>
      </c>
      <c r="B1264" s="155"/>
      <c r="C1264" s="154"/>
      <c r="D1264" s="154"/>
      <c r="E1264" s="155"/>
      <c r="F1264" s="154"/>
      <c r="G1264" s="154"/>
      <c r="H1264" s="155"/>
      <c r="I1264" s="154"/>
      <c r="J1264" s="193"/>
      <c r="K1264" s="188" t="s">
        <v>276</v>
      </c>
      <c r="L1264" s="189" t="s">
        <v>274</v>
      </c>
      <c r="R1264" s="163"/>
      <c r="S1264" s="163"/>
    </row>
    <row r="1265">
      <c r="A1265" s="153" t="s">
        <v>245</v>
      </c>
      <c r="B1265" s="155"/>
      <c r="C1265" s="154" t="s">
        <v>208</v>
      </c>
      <c r="D1265" s="154" t="s">
        <v>208</v>
      </c>
      <c r="E1265" s="155"/>
      <c r="F1265" s="154" t="s">
        <v>208</v>
      </c>
      <c r="G1265" s="154" t="s">
        <v>208</v>
      </c>
      <c r="H1265" s="155"/>
      <c r="I1265" s="155"/>
      <c r="J1265" s="193"/>
      <c r="K1265" s="188" t="s">
        <v>289</v>
      </c>
      <c r="L1265" s="189" t="s">
        <v>136</v>
      </c>
      <c r="R1265" s="163"/>
      <c r="S1265" s="163"/>
    </row>
    <row r="1266">
      <c r="A1266" s="153" t="s">
        <v>245</v>
      </c>
      <c r="B1266" s="155"/>
      <c r="C1266" s="155"/>
      <c r="D1266" s="155"/>
      <c r="E1266" s="155"/>
      <c r="F1266" s="155"/>
      <c r="G1266" s="155"/>
      <c r="H1266" s="155"/>
      <c r="I1266" s="155"/>
      <c r="J1266" s="193"/>
      <c r="K1266" s="188" t="s">
        <v>290</v>
      </c>
      <c r="L1266" s="189" t="s">
        <v>161</v>
      </c>
      <c r="R1266" s="163"/>
      <c r="S1266" s="163"/>
    </row>
    <row r="1267">
      <c r="A1267" s="153" t="s">
        <v>245</v>
      </c>
      <c r="B1267" s="155"/>
      <c r="C1267" s="154" t="s">
        <v>208</v>
      </c>
      <c r="D1267" s="154" t="s">
        <v>208</v>
      </c>
      <c r="E1267" s="154"/>
      <c r="F1267" s="154" t="s">
        <v>208</v>
      </c>
      <c r="G1267" s="154" t="s">
        <v>208</v>
      </c>
      <c r="H1267" s="154"/>
      <c r="I1267" s="155"/>
      <c r="J1267" s="193"/>
      <c r="K1267" s="188" t="s">
        <v>291</v>
      </c>
      <c r="L1267" s="189" t="s">
        <v>161</v>
      </c>
      <c r="R1267" s="163"/>
      <c r="S1267" s="163"/>
    </row>
    <row r="1268">
      <c r="A1268" s="153" t="s">
        <v>245</v>
      </c>
      <c r="B1268" s="155"/>
      <c r="C1268" s="154"/>
      <c r="D1268" s="154"/>
      <c r="E1268" s="154"/>
      <c r="F1268" s="154"/>
      <c r="G1268" s="154"/>
      <c r="H1268" s="154"/>
      <c r="I1268" s="155"/>
      <c r="J1268" s="193"/>
      <c r="K1268" s="188" t="s">
        <v>292</v>
      </c>
      <c r="L1268" s="189" t="s">
        <v>161</v>
      </c>
      <c r="R1268" s="163"/>
      <c r="S1268" s="163"/>
    </row>
    <row r="1269">
      <c r="A1269" s="153" t="s">
        <v>245</v>
      </c>
      <c r="B1269" s="154"/>
      <c r="C1269" s="155"/>
      <c r="D1269" s="154"/>
      <c r="E1269" s="155"/>
      <c r="F1269" s="154"/>
      <c r="G1269" s="155"/>
      <c r="H1269" s="155"/>
      <c r="I1269" s="154"/>
      <c r="J1269" s="193"/>
      <c r="K1269" s="188" t="s">
        <v>293</v>
      </c>
      <c r="L1269" s="139" t="s">
        <v>161</v>
      </c>
      <c r="R1269" s="163"/>
      <c r="S1269" s="163"/>
    </row>
    <row r="1270">
      <c r="A1270" s="153" t="s">
        <v>245</v>
      </c>
      <c r="B1270" s="154"/>
      <c r="C1270" s="154"/>
      <c r="D1270" s="155"/>
      <c r="E1270" s="154"/>
      <c r="F1270" s="154"/>
      <c r="G1270" s="155"/>
      <c r="H1270" s="155"/>
      <c r="I1270" s="154"/>
      <c r="J1270" s="193"/>
      <c r="K1270" s="188" t="s">
        <v>294</v>
      </c>
      <c r="L1270" s="139" t="s">
        <v>161</v>
      </c>
      <c r="R1270" s="163"/>
      <c r="S1270" s="163"/>
    </row>
    <row r="1271">
      <c r="A1271" s="153" t="s">
        <v>245</v>
      </c>
      <c r="B1271" s="155"/>
      <c r="C1271" s="154"/>
      <c r="D1271" s="154" t="s">
        <v>208</v>
      </c>
      <c r="E1271" s="154"/>
      <c r="F1271" s="154" t="s">
        <v>208</v>
      </c>
      <c r="G1271" s="154"/>
      <c r="H1271" s="154" t="s">
        <v>208</v>
      </c>
      <c r="I1271" s="154"/>
      <c r="J1271" s="193"/>
      <c r="K1271" s="188" t="s">
        <v>277</v>
      </c>
      <c r="L1271" s="139" t="s">
        <v>278</v>
      </c>
      <c r="R1271" s="163"/>
      <c r="S1271" s="163"/>
    </row>
    <row r="1272">
      <c r="A1272" s="153" t="s">
        <v>245</v>
      </c>
      <c r="B1272" s="155"/>
      <c r="C1272" s="154"/>
      <c r="D1272" s="154" t="s">
        <v>208</v>
      </c>
      <c r="E1272" s="155"/>
      <c r="F1272" s="154" t="s">
        <v>208</v>
      </c>
      <c r="G1272" s="154"/>
      <c r="H1272" s="154" t="s">
        <v>208</v>
      </c>
      <c r="I1272" s="154"/>
      <c r="J1272" s="193"/>
      <c r="K1272" s="188" t="s">
        <v>279</v>
      </c>
      <c r="L1272" s="139" t="s">
        <v>278</v>
      </c>
      <c r="R1272" s="173"/>
      <c r="S1272" s="173"/>
    </row>
    <row r="1273">
      <c r="A1273" s="153" t="s">
        <v>245</v>
      </c>
      <c r="B1273" s="155"/>
      <c r="C1273" s="154"/>
      <c r="D1273" s="154"/>
      <c r="E1273" s="155"/>
      <c r="F1273" s="155"/>
      <c r="G1273" s="154"/>
      <c r="H1273" s="155"/>
      <c r="I1273" s="154"/>
      <c r="J1273" s="193"/>
      <c r="K1273" s="188" t="s">
        <v>282</v>
      </c>
      <c r="R1273" s="157"/>
      <c r="S1273" s="157"/>
    </row>
    <row r="1274">
      <c r="A1274" s="153" t="s">
        <v>245</v>
      </c>
      <c r="B1274" s="155"/>
      <c r="C1274" s="155"/>
      <c r="D1274" s="155"/>
      <c r="E1274" s="155"/>
      <c r="F1274" s="154" t="s">
        <v>208</v>
      </c>
      <c r="G1274" s="154"/>
      <c r="H1274" s="155"/>
      <c r="I1274" s="154" t="s">
        <v>208</v>
      </c>
      <c r="J1274" s="193"/>
      <c r="K1274" s="188" t="s">
        <v>280</v>
      </c>
      <c r="R1274" s="163"/>
      <c r="S1274" s="163"/>
    </row>
    <row r="1275">
      <c r="A1275" s="153" t="s">
        <v>245</v>
      </c>
      <c r="B1275" s="155"/>
      <c r="C1275" s="155"/>
      <c r="D1275" s="155"/>
      <c r="E1275" s="155"/>
      <c r="F1275" s="154"/>
      <c r="G1275" s="155"/>
      <c r="H1275" s="155"/>
      <c r="I1275" s="154" t="s">
        <v>208</v>
      </c>
      <c r="J1275" s="193"/>
      <c r="K1275" s="188" t="s">
        <v>281</v>
      </c>
      <c r="R1275" s="163"/>
      <c r="S1275" s="163"/>
    </row>
    <row r="1276">
      <c r="A1276" s="153" t="s">
        <v>245</v>
      </c>
      <c r="B1276" s="155"/>
      <c r="C1276" s="155"/>
      <c r="D1276" s="155"/>
      <c r="E1276" s="155"/>
      <c r="F1276" s="154"/>
      <c r="G1276" s="155"/>
      <c r="H1276" s="155"/>
      <c r="I1276" s="155"/>
      <c r="J1276" s="193"/>
      <c r="K1276" s="188"/>
      <c r="R1276" s="163"/>
      <c r="S1276" s="163"/>
    </row>
    <row r="1277">
      <c r="A1277" s="153" t="s">
        <v>245</v>
      </c>
      <c r="B1277" s="155"/>
      <c r="C1277" s="155"/>
      <c r="D1277" s="155"/>
      <c r="E1277" s="155"/>
      <c r="F1277" s="154"/>
      <c r="G1277" s="155"/>
      <c r="H1277" s="155"/>
      <c r="I1277" s="155"/>
      <c r="J1277" s="193"/>
      <c r="K1277" s="188"/>
      <c r="R1277" s="163"/>
      <c r="S1277" s="163"/>
    </row>
    <row r="1278">
      <c r="A1278" s="153" t="s">
        <v>245</v>
      </c>
      <c r="B1278" s="155"/>
      <c r="C1278" s="155"/>
      <c r="D1278" s="155"/>
      <c r="E1278" s="155"/>
      <c r="F1278" s="154"/>
      <c r="G1278" s="155"/>
      <c r="H1278" s="155"/>
      <c r="I1278" s="155"/>
      <c r="J1278" s="193"/>
      <c r="K1278" s="188"/>
      <c r="R1278" s="163"/>
      <c r="S1278" s="163"/>
    </row>
    <row r="1279">
      <c r="A1279" s="153" t="s">
        <v>245</v>
      </c>
      <c r="B1279" s="155"/>
      <c r="C1279" s="155"/>
      <c r="D1279" s="155"/>
      <c r="E1279" s="155"/>
      <c r="F1279" s="154"/>
      <c r="G1279" s="155"/>
      <c r="H1279" s="155"/>
      <c r="I1279" s="155"/>
      <c r="J1279" s="193"/>
      <c r="K1279" s="188"/>
      <c r="R1279" s="163"/>
      <c r="S1279" s="163"/>
    </row>
    <row r="1280">
      <c r="A1280" s="148"/>
      <c r="B1280" s="75"/>
      <c r="C1280" s="75"/>
      <c r="D1280" s="75"/>
      <c r="E1280" s="75"/>
      <c r="F1280" s="75"/>
      <c r="G1280" s="75"/>
      <c r="H1280" s="75"/>
      <c r="I1280" s="75"/>
      <c r="J1280" s="166"/>
      <c r="K1280" s="166"/>
      <c r="R1280" s="163"/>
      <c r="S1280" s="163"/>
    </row>
    <row r="1281">
      <c r="A1281" s="148"/>
      <c r="B1281" s="75"/>
      <c r="C1281" s="75"/>
      <c r="D1281" s="75"/>
      <c r="E1281" s="75"/>
      <c r="F1281" s="75"/>
      <c r="G1281" s="75"/>
      <c r="H1281" s="75"/>
      <c r="I1281" s="75"/>
      <c r="J1281" s="166"/>
      <c r="K1281" s="166"/>
      <c r="R1281" s="163"/>
      <c r="S1281" s="163"/>
    </row>
    <row r="1282">
      <c r="A1282" s="148"/>
      <c r="B1282" s="75"/>
      <c r="C1282" s="75"/>
      <c r="D1282" s="75"/>
      <c r="E1282" s="75"/>
      <c r="F1282" s="75"/>
      <c r="G1282" s="75"/>
      <c r="H1282" s="75"/>
      <c r="I1282" s="75"/>
      <c r="J1282" s="166"/>
      <c r="K1282" s="166"/>
      <c r="R1282" s="163"/>
      <c r="S1282" s="163"/>
    </row>
    <row r="1283">
      <c r="A1283" s="148"/>
      <c r="B1283" s="75"/>
      <c r="C1283" s="75"/>
      <c r="D1283" s="75"/>
      <c r="E1283" s="75"/>
      <c r="F1283" s="75"/>
      <c r="G1283" s="75"/>
      <c r="H1283" s="75"/>
      <c r="I1283" s="75"/>
      <c r="J1283" s="166"/>
      <c r="K1283" s="166"/>
      <c r="R1283" s="163"/>
      <c r="S1283" s="163"/>
    </row>
    <row r="1284">
      <c r="A1284" s="148"/>
      <c r="B1284" s="75"/>
      <c r="C1284" s="75"/>
      <c r="D1284" s="75"/>
      <c r="E1284" s="75"/>
      <c r="F1284" s="75"/>
      <c r="G1284" s="75"/>
      <c r="H1284" s="75"/>
      <c r="I1284" s="75"/>
      <c r="J1284" s="166"/>
      <c r="K1284" s="166"/>
      <c r="R1284" s="173"/>
      <c r="S1284" s="173"/>
    </row>
    <row r="1285">
      <c r="A1285" s="148"/>
      <c r="B1285" s="75"/>
      <c r="C1285" s="75"/>
      <c r="D1285" s="75"/>
      <c r="E1285" s="75"/>
      <c r="F1285" s="75"/>
      <c r="G1285" s="75"/>
      <c r="H1285" s="194"/>
      <c r="I1285" s="75"/>
      <c r="J1285" s="166"/>
      <c r="K1285" s="166"/>
      <c r="R1285" s="157"/>
      <c r="S1285" s="157"/>
    </row>
    <row r="1286">
      <c r="A1286" s="148"/>
      <c r="B1286" s="75"/>
      <c r="C1286" s="75"/>
      <c r="D1286" s="75"/>
      <c r="E1286" s="75"/>
      <c r="F1286" s="75"/>
      <c r="G1286" s="75"/>
      <c r="H1286" s="75"/>
      <c r="I1286" s="75"/>
      <c r="J1286" s="166"/>
      <c r="K1286" s="166"/>
      <c r="R1286" s="163"/>
      <c r="S1286" s="163"/>
    </row>
    <row r="1287">
      <c r="A1287" s="148"/>
      <c r="B1287" s="75"/>
      <c r="C1287" s="75"/>
      <c r="D1287" s="75"/>
      <c r="E1287" s="75"/>
      <c r="F1287" s="75"/>
      <c r="G1287" s="75"/>
      <c r="H1287" s="75"/>
      <c r="I1287" s="75"/>
      <c r="J1287" s="166"/>
      <c r="K1287" s="166"/>
      <c r="R1287" s="163"/>
      <c r="S1287" s="163"/>
    </row>
    <row r="1288">
      <c r="A1288" s="148"/>
      <c r="B1288" s="75"/>
      <c r="C1288" s="75"/>
      <c r="D1288" s="75"/>
      <c r="E1288" s="75"/>
      <c r="F1288" s="75"/>
      <c r="G1288" s="75"/>
      <c r="H1288" s="75"/>
      <c r="I1288" s="75"/>
      <c r="J1288" s="166"/>
      <c r="K1288" s="166"/>
      <c r="R1288" s="163"/>
      <c r="S1288" s="163"/>
    </row>
    <row r="1289">
      <c r="A1289" s="148"/>
      <c r="B1289" s="75"/>
      <c r="C1289" s="75"/>
      <c r="D1289" s="75"/>
      <c r="E1289" s="75"/>
      <c r="F1289" s="75"/>
      <c r="G1289" s="75"/>
      <c r="H1289" s="75"/>
      <c r="I1289" s="75"/>
      <c r="J1289" s="166"/>
      <c r="K1289" s="166"/>
      <c r="R1289" s="163"/>
      <c r="S1289" s="163"/>
    </row>
    <row r="1290">
      <c r="A1290" s="148"/>
      <c r="B1290" s="75"/>
      <c r="C1290" s="75"/>
      <c r="D1290" s="75"/>
      <c r="E1290" s="75"/>
      <c r="F1290" s="75"/>
      <c r="G1290" s="75"/>
      <c r="H1290" s="75"/>
      <c r="I1290" s="75"/>
      <c r="J1290" s="166"/>
      <c r="K1290" s="166"/>
      <c r="R1290" s="163"/>
      <c r="S1290" s="163"/>
    </row>
    <row r="1291">
      <c r="A1291" s="148"/>
      <c r="B1291" s="75"/>
      <c r="C1291" s="75"/>
      <c r="D1291" s="75"/>
      <c r="E1291" s="75"/>
      <c r="F1291" s="75"/>
      <c r="G1291" s="75"/>
      <c r="H1291" s="75"/>
      <c r="I1291" s="75"/>
      <c r="J1291" s="166"/>
      <c r="K1291" s="166"/>
      <c r="R1291" s="163"/>
      <c r="S1291" s="163"/>
    </row>
    <row r="1292">
      <c r="A1292" s="148"/>
      <c r="B1292" s="75"/>
      <c r="C1292" s="75"/>
      <c r="D1292" s="75"/>
      <c r="E1292" s="75"/>
      <c r="F1292" s="75"/>
      <c r="G1292" s="75"/>
      <c r="H1292" s="75"/>
      <c r="I1292" s="75"/>
      <c r="J1292" s="166"/>
      <c r="K1292" s="166"/>
      <c r="R1292" s="163"/>
      <c r="S1292" s="163"/>
    </row>
    <row r="1293">
      <c r="A1293" s="148"/>
      <c r="B1293" s="75"/>
      <c r="C1293" s="75"/>
      <c r="D1293" s="75"/>
      <c r="E1293" s="75"/>
      <c r="F1293" s="75"/>
      <c r="G1293" s="75"/>
      <c r="H1293" s="75"/>
      <c r="I1293" s="75"/>
      <c r="J1293" s="166"/>
      <c r="K1293" s="166"/>
      <c r="R1293" s="163"/>
      <c r="S1293" s="163"/>
    </row>
    <row r="1294">
      <c r="A1294" s="148"/>
      <c r="B1294" s="75"/>
      <c r="C1294" s="75"/>
      <c r="D1294" s="75"/>
      <c r="E1294" s="75"/>
      <c r="F1294" s="75"/>
      <c r="G1294" s="75"/>
      <c r="H1294" s="75"/>
      <c r="I1294" s="75"/>
      <c r="J1294" s="166"/>
      <c r="K1294" s="166"/>
      <c r="R1294" s="163"/>
      <c r="S1294" s="163"/>
    </row>
    <row r="1295">
      <c r="A1295" s="148"/>
      <c r="B1295" s="75"/>
      <c r="C1295" s="75"/>
      <c r="D1295" s="75"/>
      <c r="E1295" s="75"/>
      <c r="F1295" s="75"/>
      <c r="G1295" s="75"/>
      <c r="H1295" s="75"/>
      <c r="I1295" s="75"/>
      <c r="J1295" s="166"/>
      <c r="K1295" s="166"/>
      <c r="R1295" s="163"/>
      <c r="S1295" s="163"/>
    </row>
    <row r="1296">
      <c r="A1296" s="148"/>
      <c r="B1296" s="75"/>
      <c r="C1296" s="75"/>
      <c r="D1296" s="75"/>
      <c r="E1296" s="75"/>
      <c r="F1296" s="75"/>
      <c r="G1296" s="75"/>
      <c r="H1296" s="75"/>
      <c r="I1296" s="75"/>
      <c r="J1296" s="166"/>
      <c r="K1296" s="166"/>
      <c r="R1296" s="173"/>
      <c r="S1296" s="173"/>
    </row>
    <row r="1297">
      <c r="A1297" s="148"/>
      <c r="B1297" s="75"/>
      <c r="C1297" s="75"/>
      <c r="D1297" s="75"/>
      <c r="E1297" s="75"/>
      <c r="F1297" s="75"/>
      <c r="G1297" s="75"/>
      <c r="H1297" s="75"/>
      <c r="I1297" s="75"/>
      <c r="J1297" s="166"/>
      <c r="K1297" s="166"/>
      <c r="R1297" s="157"/>
      <c r="S1297" s="157"/>
    </row>
    <row r="1298">
      <c r="A1298" s="148"/>
      <c r="B1298" s="75"/>
      <c r="C1298" s="75"/>
      <c r="D1298" s="75"/>
      <c r="E1298" s="75"/>
      <c r="F1298" s="75"/>
      <c r="G1298" s="75"/>
      <c r="H1298" s="75"/>
      <c r="I1298" s="75"/>
      <c r="J1298" s="166"/>
      <c r="K1298" s="166"/>
      <c r="R1298" s="163"/>
      <c r="S1298" s="163"/>
    </row>
    <row r="1299">
      <c r="A1299" s="148"/>
      <c r="B1299" s="75"/>
      <c r="C1299" s="75"/>
      <c r="D1299" s="75"/>
      <c r="E1299" s="75"/>
      <c r="F1299" s="75"/>
      <c r="G1299" s="75"/>
      <c r="H1299" s="75"/>
      <c r="I1299" s="75"/>
      <c r="J1299" s="166"/>
      <c r="K1299" s="166"/>
      <c r="R1299" s="163"/>
      <c r="S1299" s="163"/>
    </row>
    <row r="1300">
      <c r="A1300" s="148"/>
      <c r="B1300" s="75"/>
      <c r="C1300" s="75"/>
      <c r="D1300" s="75"/>
      <c r="E1300" s="75"/>
      <c r="F1300" s="75"/>
      <c r="G1300" s="75"/>
      <c r="H1300" s="75"/>
      <c r="I1300" s="75"/>
      <c r="J1300" s="166"/>
      <c r="K1300" s="166"/>
      <c r="R1300" s="163"/>
      <c r="S1300" s="163"/>
    </row>
    <row r="1301">
      <c r="A1301" s="148"/>
      <c r="B1301" s="75"/>
      <c r="C1301" s="75"/>
      <c r="D1301" s="75"/>
      <c r="E1301" s="75"/>
      <c r="F1301" s="75"/>
      <c r="G1301" s="75"/>
      <c r="H1301" s="75"/>
      <c r="I1301" s="75"/>
      <c r="J1301" s="166"/>
      <c r="K1301" s="166"/>
      <c r="R1301" s="163"/>
      <c r="S1301" s="163"/>
    </row>
    <row r="1302">
      <c r="A1302" s="148"/>
      <c r="B1302" s="75"/>
      <c r="C1302" s="75"/>
      <c r="D1302" s="75"/>
      <c r="E1302" s="75"/>
      <c r="F1302" s="75"/>
      <c r="G1302" s="75"/>
      <c r="H1302" s="75"/>
      <c r="I1302" s="75"/>
      <c r="J1302" s="166"/>
      <c r="K1302" s="166"/>
      <c r="R1302" s="163"/>
      <c r="S1302" s="163"/>
    </row>
    <row r="1303">
      <c r="A1303" s="148"/>
      <c r="B1303" s="75"/>
      <c r="C1303" s="75"/>
      <c r="D1303" s="75"/>
      <c r="E1303" s="75"/>
      <c r="F1303" s="75"/>
      <c r="G1303" s="75"/>
      <c r="H1303" s="75"/>
      <c r="I1303" s="75"/>
      <c r="J1303" s="166"/>
      <c r="K1303" s="166"/>
      <c r="R1303" s="163"/>
      <c r="S1303" s="163"/>
    </row>
    <row r="1304">
      <c r="A1304" s="148"/>
      <c r="B1304" s="75"/>
      <c r="C1304" s="75"/>
      <c r="D1304" s="75"/>
      <c r="E1304" s="75"/>
      <c r="F1304" s="75"/>
      <c r="G1304" s="75"/>
      <c r="H1304" s="75"/>
      <c r="I1304" s="75"/>
      <c r="J1304" s="166"/>
      <c r="K1304" s="166"/>
      <c r="R1304" s="163"/>
      <c r="S1304" s="163"/>
    </row>
    <row r="1305">
      <c r="A1305" s="148"/>
      <c r="B1305" s="75"/>
      <c r="C1305" s="75"/>
      <c r="D1305" s="75"/>
      <c r="E1305" s="75"/>
      <c r="F1305" s="75"/>
      <c r="G1305" s="75"/>
      <c r="H1305" s="75"/>
      <c r="I1305" s="75"/>
      <c r="J1305" s="166"/>
      <c r="K1305" s="166"/>
      <c r="R1305" s="163"/>
      <c r="S1305" s="163"/>
    </row>
    <row r="1306">
      <c r="A1306" s="148"/>
      <c r="B1306" s="75"/>
      <c r="C1306" s="75"/>
      <c r="D1306" s="75"/>
      <c r="E1306" s="75"/>
      <c r="F1306" s="75"/>
      <c r="G1306" s="75"/>
      <c r="H1306" s="75"/>
      <c r="I1306" s="75"/>
      <c r="J1306" s="166"/>
      <c r="K1306" s="166"/>
      <c r="R1306" s="163"/>
      <c r="S1306" s="163"/>
    </row>
    <row r="1307">
      <c r="A1307" s="148"/>
      <c r="B1307" s="75"/>
      <c r="C1307" s="75"/>
      <c r="D1307" s="75"/>
      <c r="E1307" s="75"/>
      <c r="F1307" s="75"/>
      <c r="G1307" s="75"/>
      <c r="H1307" s="75"/>
      <c r="I1307" s="75"/>
      <c r="J1307" s="166"/>
      <c r="K1307" s="166"/>
      <c r="R1307" s="163"/>
      <c r="S1307" s="163"/>
    </row>
    <row r="1308">
      <c r="A1308" s="148"/>
      <c r="B1308" s="75"/>
      <c r="C1308" s="75"/>
      <c r="D1308" s="75"/>
      <c r="E1308" s="75"/>
      <c r="F1308" s="75"/>
      <c r="G1308" s="75"/>
      <c r="H1308" s="75"/>
      <c r="I1308" s="75"/>
      <c r="J1308" s="166"/>
      <c r="K1308" s="166"/>
      <c r="R1308" s="173"/>
      <c r="S1308" s="173"/>
    </row>
    <row r="1309">
      <c r="A1309" s="148"/>
      <c r="B1309" s="75"/>
      <c r="C1309" s="75"/>
      <c r="D1309" s="75"/>
      <c r="E1309" s="75"/>
      <c r="F1309" s="75"/>
      <c r="G1309" s="75"/>
      <c r="H1309" s="75"/>
      <c r="I1309" s="75"/>
      <c r="J1309" s="166"/>
      <c r="K1309" s="166"/>
      <c r="R1309" s="157"/>
      <c r="S1309" s="157"/>
    </row>
    <row r="1310">
      <c r="A1310" s="148"/>
      <c r="B1310" s="75"/>
      <c r="C1310" s="75"/>
      <c r="D1310" s="75"/>
      <c r="E1310" s="75"/>
      <c r="F1310" s="75"/>
      <c r="G1310" s="75"/>
      <c r="H1310" s="75"/>
      <c r="I1310" s="75"/>
      <c r="J1310" s="166"/>
      <c r="K1310" s="166"/>
      <c r="R1310" s="163"/>
      <c r="S1310" s="163"/>
    </row>
    <row r="1311">
      <c r="A1311" s="148"/>
      <c r="B1311" s="75"/>
      <c r="C1311" s="75"/>
      <c r="D1311" s="75"/>
      <c r="E1311" s="75"/>
      <c r="F1311" s="75"/>
      <c r="G1311" s="75"/>
      <c r="H1311" s="75"/>
      <c r="I1311" s="75"/>
      <c r="J1311" s="166"/>
      <c r="K1311" s="166"/>
      <c r="R1311" s="163"/>
      <c r="S1311" s="163"/>
    </row>
    <row r="1312">
      <c r="A1312" s="148"/>
      <c r="B1312" s="75"/>
      <c r="C1312" s="75"/>
      <c r="D1312" s="75"/>
      <c r="E1312" s="75"/>
      <c r="F1312" s="75"/>
      <c r="G1312" s="75"/>
      <c r="H1312" s="75"/>
      <c r="I1312" s="75"/>
      <c r="J1312" s="166"/>
      <c r="K1312" s="166"/>
      <c r="R1312" s="163"/>
      <c r="S1312" s="163"/>
    </row>
    <row r="1313">
      <c r="A1313" s="148"/>
      <c r="B1313" s="75"/>
      <c r="C1313" s="75"/>
      <c r="D1313" s="75"/>
      <c r="E1313" s="75"/>
      <c r="F1313" s="75"/>
      <c r="G1313" s="75"/>
      <c r="H1313" s="75"/>
      <c r="I1313" s="75"/>
      <c r="J1313" s="166"/>
      <c r="K1313" s="166"/>
      <c r="R1313" s="163"/>
      <c r="S1313" s="163"/>
    </row>
    <row r="1314">
      <c r="A1314" s="148"/>
      <c r="B1314" s="75"/>
      <c r="C1314" s="75"/>
      <c r="D1314" s="75"/>
      <c r="E1314" s="75"/>
      <c r="F1314" s="75"/>
      <c r="G1314" s="75"/>
      <c r="H1314" s="75"/>
      <c r="I1314" s="75"/>
      <c r="J1314" s="166"/>
      <c r="K1314" s="166"/>
      <c r="R1314" s="163"/>
      <c r="S1314" s="163"/>
    </row>
    <row r="1315">
      <c r="A1315" s="148"/>
      <c r="B1315" s="75"/>
      <c r="C1315" s="75"/>
      <c r="D1315" s="75"/>
      <c r="E1315" s="75"/>
      <c r="F1315" s="75"/>
      <c r="G1315" s="75"/>
      <c r="H1315" s="75"/>
      <c r="I1315" s="75"/>
      <c r="J1315" s="166"/>
      <c r="K1315" s="166"/>
      <c r="R1315" s="163"/>
      <c r="S1315" s="163"/>
    </row>
    <row r="1316">
      <c r="A1316" s="148"/>
      <c r="B1316" s="75"/>
      <c r="C1316" s="75"/>
      <c r="D1316" s="75"/>
      <c r="E1316" s="75"/>
      <c r="F1316" s="75"/>
      <c r="G1316" s="75"/>
      <c r="H1316" s="75"/>
      <c r="I1316" s="75"/>
      <c r="J1316" s="166"/>
      <c r="K1316" s="166"/>
      <c r="R1316" s="163"/>
      <c r="S1316" s="163"/>
    </row>
    <row r="1317">
      <c r="A1317" s="148"/>
      <c r="B1317" s="75"/>
      <c r="C1317" s="75"/>
      <c r="D1317" s="75"/>
      <c r="E1317" s="75"/>
      <c r="F1317" s="75"/>
      <c r="G1317" s="75"/>
      <c r="H1317" s="75"/>
      <c r="I1317" s="75"/>
      <c r="J1317" s="166"/>
      <c r="K1317" s="166"/>
      <c r="R1317" s="163"/>
      <c r="S1317" s="163"/>
    </row>
    <row r="1318">
      <c r="A1318" s="148"/>
      <c r="B1318" s="75"/>
      <c r="C1318" s="75"/>
      <c r="D1318" s="75"/>
      <c r="E1318" s="75"/>
      <c r="F1318" s="75"/>
      <c r="G1318" s="75"/>
      <c r="H1318" s="75"/>
      <c r="I1318" s="75"/>
      <c r="J1318" s="166"/>
      <c r="K1318" s="166"/>
      <c r="R1318" s="163"/>
      <c r="S1318" s="163"/>
    </row>
    <row r="1319">
      <c r="A1319" s="148"/>
      <c r="B1319" s="75"/>
      <c r="C1319" s="75"/>
      <c r="D1319" s="75"/>
      <c r="E1319" s="75"/>
      <c r="F1319" s="75"/>
      <c r="G1319" s="75"/>
      <c r="H1319" s="75"/>
      <c r="I1319" s="75"/>
      <c r="J1319" s="166"/>
      <c r="K1319" s="166"/>
      <c r="R1319" s="163"/>
      <c r="S1319" s="163"/>
    </row>
    <row r="1320">
      <c r="A1320" s="148"/>
      <c r="B1320" s="75"/>
      <c r="C1320" s="75"/>
      <c r="D1320" s="75"/>
      <c r="E1320" s="75"/>
      <c r="F1320" s="75"/>
      <c r="G1320" s="75"/>
      <c r="H1320" s="75"/>
      <c r="I1320" s="75"/>
      <c r="J1320" s="166"/>
      <c r="K1320" s="166"/>
      <c r="R1320" s="173"/>
      <c r="S1320" s="173"/>
    </row>
    <row r="1321">
      <c r="A1321" s="148"/>
      <c r="B1321" s="75"/>
      <c r="C1321" s="75"/>
      <c r="D1321" s="75"/>
      <c r="E1321" s="75"/>
      <c r="F1321" s="75"/>
      <c r="G1321" s="75"/>
      <c r="H1321" s="75"/>
      <c r="I1321" s="75"/>
      <c r="J1321" s="166"/>
      <c r="K1321" s="166"/>
      <c r="R1321" s="157"/>
      <c r="S1321" s="157"/>
    </row>
    <row r="1322">
      <c r="A1322" s="148"/>
      <c r="B1322" s="75"/>
      <c r="C1322" s="75"/>
      <c r="D1322" s="75"/>
      <c r="E1322" s="75"/>
      <c r="F1322" s="75"/>
      <c r="G1322" s="75"/>
      <c r="H1322" s="75"/>
      <c r="I1322" s="75"/>
      <c r="J1322" s="166"/>
      <c r="K1322" s="166"/>
      <c r="R1322" s="163"/>
      <c r="S1322" s="163"/>
    </row>
    <row r="1323">
      <c r="A1323" s="148"/>
      <c r="B1323" s="75"/>
      <c r="C1323" s="75"/>
      <c r="D1323" s="75"/>
      <c r="E1323" s="75"/>
      <c r="F1323" s="75"/>
      <c r="G1323" s="75"/>
      <c r="H1323" s="75"/>
      <c r="I1323" s="75"/>
      <c r="J1323" s="166"/>
      <c r="K1323" s="166"/>
      <c r="R1323" s="163"/>
      <c r="S1323" s="163"/>
    </row>
    <row r="1324">
      <c r="A1324" s="148"/>
      <c r="B1324" s="75"/>
      <c r="C1324" s="75"/>
      <c r="D1324" s="75"/>
      <c r="E1324" s="75"/>
      <c r="F1324" s="75"/>
      <c r="G1324" s="75"/>
      <c r="H1324" s="75"/>
      <c r="I1324" s="75"/>
      <c r="J1324" s="166"/>
      <c r="K1324" s="166"/>
      <c r="R1324" s="163"/>
      <c r="S1324" s="163"/>
    </row>
    <row r="1325">
      <c r="A1325" s="148"/>
      <c r="B1325" s="75"/>
      <c r="C1325" s="75"/>
      <c r="D1325" s="75"/>
      <c r="E1325" s="75"/>
      <c r="F1325" s="75"/>
      <c r="G1325" s="75"/>
      <c r="H1325" s="75"/>
      <c r="I1325" s="75"/>
      <c r="J1325" s="166"/>
      <c r="K1325" s="166"/>
      <c r="R1325" s="163"/>
      <c r="S1325" s="163"/>
    </row>
    <row r="1326">
      <c r="A1326" s="148"/>
      <c r="B1326" s="75"/>
      <c r="C1326" s="75"/>
      <c r="D1326" s="75"/>
      <c r="E1326" s="75"/>
      <c r="F1326" s="75"/>
      <c r="G1326" s="75"/>
      <c r="H1326" s="75"/>
      <c r="I1326" s="75"/>
      <c r="J1326" s="166"/>
      <c r="K1326" s="166"/>
      <c r="R1326" s="163"/>
      <c r="S1326" s="163"/>
    </row>
    <row r="1327">
      <c r="A1327" s="148"/>
      <c r="B1327" s="75"/>
      <c r="C1327" s="75"/>
      <c r="D1327" s="75"/>
      <c r="E1327" s="75"/>
      <c r="F1327" s="75"/>
      <c r="G1327" s="75"/>
      <c r="H1327" s="75"/>
      <c r="I1327" s="75"/>
      <c r="J1327" s="166"/>
      <c r="K1327" s="166"/>
      <c r="R1327" s="163"/>
      <c r="S1327" s="163"/>
    </row>
    <row r="1328">
      <c r="A1328" s="148"/>
      <c r="B1328" s="75"/>
      <c r="C1328" s="75"/>
      <c r="D1328" s="75"/>
      <c r="E1328" s="75"/>
      <c r="F1328" s="75"/>
      <c r="G1328" s="75"/>
      <c r="H1328" s="75"/>
      <c r="I1328" s="75"/>
      <c r="J1328" s="166"/>
      <c r="K1328" s="166"/>
      <c r="R1328" s="163"/>
      <c r="S1328" s="163"/>
    </row>
    <row r="1329">
      <c r="A1329" s="148"/>
      <c r="B1329" s="75"/>
      <c r="C1329" s="75"/>
      <c r="D1329" s="75"/>
      <c r="E1329" s="75"/>
      <c r="F1329" s="75"/>
      <c r="G1329" s="75"/>
      <c r="H1329" s="75"/>
      <c r="I1329" s="75"/>
      <c r="J1329" s="166"/>
      <c r="K1329" s="166"/>
      <c r="R1329" s="163"/>
      <c r="S1329" s="163"/>
    </row>
    <row r="1330">
      <c r="A1330" s="148"/>
      <c r="B1330" s="75"/>
      <c r="C1330" s="75"/>
      <c r="D1330" s="75"/>
      <c r="E1330" s="75"/>
      <c r="F1330" s="75"/>
      <c r="G1330" s="75"/>
      <c r="H1330" s="75"/>
      <c r="I1330" s="75"/>
      <c r="J1330" s="166"/>
      <c r="K1330" s="166"/>
      <c r="R1330" s="163"/>
      <c r="S1330" s="163"/>
    </row>
    <row r="1331">
      <c r="A1331" s="148"/>
      <c r="B1331" s="75"/>
      <c r="C1331" s="75"/>
      <c r="D1331" s="75"/>
      <c r="E1331" s="75"/>
      <c r="F1331" s="75"/>
      <c r="G1331" s="75"/>
      <c r="H1331" s="75"/>
      <c r="I1331" s="75"/>
      <c r="J1331" s="166"/>
      <c r="K1331" s="166"/>
      <c r="R1331" s="163"/>
      <c r="S1331" s="163"/>
    </row>
    <row r="1332">
      <c r="A1332" s="148"/>
      <c r="B1332" s="75"/>
      <c r="C1332" s="75"/>
      <c r="D1332" s="75"/>
      <c r="E1332" s="75"/>
      <c r="F1332" s="75"/>
      <c r="G1332" s="75"/>
      <c r="H1332" s="75"/>
      <c r="I1332" s="75"/>
      <c r="J1332" s="166"/>
      <c r="K1332" s="166"/>
      <c r="R1332" s="173"/>
      <c r="S1332" s="173"/>
    </row>
    <row r="1333">
      <c r="A1333" s="148"/>
      <c r="B1333" s="75"/>
      <c r="C1333" s="75"/>
      <c r="D1333" s="75"/>
      <c r="E1333" s="75"/>
      <c r="F1333" s="75"/>
      <c r="G1333" s="75"/>
      <c r="H1333" s="75"/>
      <c r="I1333" s="75"/>
      <c r="J1333" s="166"/>
      <c r="K1333" s="166"/>
      <c r="R1333" s="157"/>
      <c r="S1333" s="157"/>
    </row>
    <row r="1334">
      <c r="A1334" s="148"/>
      <c r="B1334" s="75"/>
      <c r="C1334" s="75"/>
      <c r="D1334" s="75"/>
      <c r="E1334" s="75"/>
      <c r="F1334" s="75"/>
      <c r="G1334" s="75"/>
      <c r="H1334" s="75"/>
      <c r="I1334" s="75"/>
      <c r="J1334" s="166"/>
      <c r="K1334" s="166"/>
      <c r="R1334" s="163"/>
      <c r="S1334" s="163"/>
    </row>
    <row r="1335">
      <c r="A1335" s="148"/>
      <c r="B1335" s="75"/>
      <c r="C1335" s="75"/>
      <c r="D1335" s="75"/>
      <c r="E1335" s="75"/>
      <c r="F1335" s="75"/>
      <c r="G1335" s="75"/>
      <c r="H1335" s="75"/>
      <c r="I1335" s="75"/>
      <c r="J1335" s="166"/>
      <c r="K1335" s="166"/>
      <c r="R1335" s="163"/>
      <c r="S1335" s="163"/>
    </row>
    <row r="1336">
      <c r="A1336" s="148"/>
      <c r="B1336" s="75"/>
      <c r="C1336" s="75"/>
      <c r="D1336" s="75"/>
      <c r="E1336" s="75"/>
      <c r="F1336" s="75"/>
      <c r="G1336" s="75"/>
      <c r="H1336" s="75"/>
      <c r="I1336" s="75"/>
      <c r="J1336" s="166"/>
      <c r="K1336" s="166"/>
      <c r="R1336" s="163"/>
      <c r="S1336" s="163"/>
    </row>
    <row r="1337">
      <c r="A1337" s="148"/>
      <c r="B1337" s="75"/>
      <c r="C1337" s="75"/>
      <c r="D1337" s="75"/>
      <c r="E1337" s="75"/>
      <c r="F1337" s="75"/>
      <c r="G1337" s="75"/>
      <c r="H1337" s="75"/>
      <c r="I1337" s="75"/>
      <c r="J1337" s="166"/>
      <c r="K1337" s="166"/>
      <c r="R1337" s="163"/>
      <c r="S1337" s="163"/>
    </row>
    <row r="1338">
      <c r="A1338" s="148"/>
      <c r="B1338" s="75"/>
      <c r="C1338" s="75"/>
      <c r="D1338" s="75"/>
      <c r="E1338" s="75"/>
      <c r="F1338" s="75"/>
      <c r="G1338" s="75"/>
      <c r="H1338" s="75"/>
      <c r="I1338" s="75"/>
      <c r="J1338" s="166"/>
      <c r="K1338" s="166"/>
      <c r="R1338" s="163"/>
      <c r="S1338" s="163"/>
    </row>
    <row r="1339">
      <c r="A1339" s="148"/>
      <c r="B1339" s="75"/>
      <c r="C1339" s="75"/>
      <c r="D1339" s="75"/>
      <c r="E1339" s="75"/>
      <c r="F1339" s="75"/>
      <c r="G1339" s="75"/>
      <c r="H1339" s="75"/>
      <c r="I1339" s="75"/>
      <c r="J1339" s="166"/>
      <c r="K1339" s="166"/>
      <c r="R1339" s="163"/>
      <c r="S1339" s="163"/>
    </row>
    <row r="1340">
      <c r="A1340" s="148"/>
      <c r="B1340" s="75"/>
      <c r="C1340" s="75"/>
      <c r="D1340" s="75"/>
      <c r="E1340" s="75"/>
      <c r="F1340" s="75"/>
      <c r="G1340" s="75"/>
      <c r="H1340" s="75"/>
      <c r="I1340" s="75"/>
      <c r="J1340" s="166"/>
      <c r="K1340" s="166"/>
      <c r="R1340" s="163"/>
      <c r="S1340" s="163"/>
    </row>
    <row r="1341">
      <c r="A1341" s="148"/>
      <c r="B1341" s="75"/>
      <c r="C1341" s="75"/>
      <c r="D1341" s="75"/>
      <c r="E1341" s="75"/>
      <c r="F1341" s="75"/>
      <c r="G1341" s="75"/>
      <c r="H1341" s="75"/>
      <c r="I1341" s="75"/>
      <c r="J1341" s="166"/>
      <c r="K1341" s="166"/>
      <c r="R1341" s="163"/>
      <c r="S1341" s="163"/>
    </row>
    <row r="1342">
      <c r="A1342" s="148"/>
      <c r="B1342" s="75"/>
      <c r="C1342" s="75"/>
      <c r="D1342" s="75"/>
      <c r="E1342" s="75"/>
      <c r="F1342" s="75"/>
      <c r="G1342" s="75"/>
      <c r="H1342" s="75"/>
      <c r="I1342" s="75"/>
      <c r="J1342" s="166"/>
      <c r="K1342" s="166"/>
      <c r="R1342" s="163"/>
      <c r="S1342" s="163"/>
    </row>
    <row r="1343">
      <c r="A1343" s="148"/>
      <c r="B1343" s="75"/>
      <c r="C1343" s="75"/>
      <c r="D1343" s="75"/>
      <c r="E1343" s="75"/>
      <c r="F1343" s="75"/>
      <c r="G1343" s="75"/>
      <c r="H1343" s="75"/>
      <c r="I1343" s="75"/>
      <c r="J1343" s="166"/>
      <c r="K1343" s="166"/>
      <c r="R1343" s="163"/>
      <c r="S1343" s="163"/>
    </row>
    <row r="1344">
      <c r="A1344" s="148"/>
      <c r="B1344" s="75"/>
      <c r="C1344" s="75"/>
      <c r="D1344" s="75"/>
      <c r="E1344" s="75"/>
      <c r="F1344" s="75"/>
      <c r="G1344" s="75"/>
      <c r="H1344" s="75"/>
      <c r="I1344" s="75"/>
      <c r="J1344" s="166"/>
      <c r="K1344" s="166"/>
      <c r="R1344" s="173"/>
      <c r="S1344" s="173"/>
    </row>
    <row r="1345">
      <c r="A1345" s="148"/>
      <c r="B1345" s="75"/>
      <c r="C1345" s="75"/>
      <c r="D1345" s="75"/>
      <c r="E1345" s="75"/>
      <c r="F1345" s="75"/>
      <c r="G1345" s="75"/>
      <c r="H1345" s="75"/>
      <c r="I1345" s="75"/>
      <c r="J1345" s="166"/>
      <c r="K1345" s="166"/>
      <c r="R1345" s="157"/>
      <c r="S1345" s="157"/>
    </row>
    <row r="1346">
      <c r="A1346" s="148"/>
      <c r="B1346" s="75"/>
      <c r="C1346" s="75"/>
      <c r="D1346" s="75"/>
      <c r="E1346" s="75"/>
      <c r="F1346" s="75"/>
      <c r="G1346" s="75"/>
      <c r="H1346" s="75"/>
      <c r="I1346" s="75"/>
      <c r="J1346" s="166"/>
      <c r="K1346" s="166"/>
      <c r="R1346" s="163"/>
      <c r="S1346" s="163"/>
    </row>
    <row r="1347">
      <c r="A1347" s="148"/>
      <c r="B1347" s="75"/>
      <c r="C1347" s="75"/>
      <c r="D1347" s="75"/>
      <c r="E1347" s="75"/>
      <c r="F1347" s="75"/>
      <c r="G1347" s="75"/>
      <c r="H1347" s="75"/>
      <c r="I1347" s="75"/>
      <c r="J1347" s="166"/>
      <c r="K1347" s="166"/>
      <c r="R1347" s="163"/>
      <c r="S1347" s="163"/>
    </row>
    <row r="1348">
      <c r="A1348" s="148"/>
      <c r="B1348" s="75"/>
      <c r="C1348" s="75"/>
      <c r="D1348" s="75"/>
      <c r="E1348" s="75"/>
      <c r="F1348" s="75"/>
      <c r="G1348" s="75"/>
      <c r="H1348" s="75"/>
      <c r="I1348" s="75"/>
      <c r="J1348" s="166"/>
      <c r="K1348" s="166"/>
      <c r="R1348" s="163"/>
      <c r="S1348" s="163"/>
    </row>
    <row r="1349">
      <c r="A1349" s="148"/>
      <c r="B1349" s="75"/>
      <c r="C1349" s="75"/>
      <c r="D1349" s="75"/>
      <c r="E1349" s="75"/>
      <c r="F1349" s="75"/>
      <c r="G1349" s="75"/>
      <c r="H1349" s="75"/>
      <c r="I1349" s="75"/>
      <c r="J1349" s="166"/>
      <c r="K1349" s="166"/>
      <c r="R1349" s="163"/>
      <c r="S1349" s="163"/>
    </row>
    <row r="1350">
      <c r="A1350" s="148"/>
      <c r="B1350" s="75"/>
      <c r="C1350" s="75"/>
      <c r="D1350" s="75"/>
      <c r="E1350" s="75"/>
      <c r="F1350" s="75"/>
      <c r="G1350" s="75"/>
      <c r="H1350" s="75"/>
      <c r="I1350" s="75"/>
      <c r="J1350" s="166"/>
      <c r="K1350" s="166"/>
      <c r="R1350" s="163"/>
      <c r="S1350" s="163"/>
    </row>
    <row r="1351">
      <c r="A1351" s="148"/>
      <c r="B1351" s="75"/>
      <c r="C1351" s="75"/>
      <c r="D1351" s="75"/>
      <c r="E1351" s="75"/>
      <c r="F1351" s="75"/>
      <c r="G1351" s="75"/>
      <c r="H1351" s="75"/>
      <c r="I1351" s="75"/>
      <c r="J1351" s="166"/>
      <c r="K1351" s="166"/>
      <c r="R1351" s="163"/>
      <c r="S1351" s="163"/>
    </row>
    <row r="1352">
      <c r="A1352" s="148"/>
      <c r="B1352" s="75"/>
      <c r="C1352" s="75"/>
      <c r="D1352" s="75"/>
      <c r="E1352" s="75"/>
      <c r="F1352" s="75"/>
      <c r="G1352" s="75"/>
      <c r="H1352" s="75"/>
      <c r="I1352" s="75"/>
      <c r="J1352" s="166"/>
      <c r="K1352" s="166"/>
      <c r="R1352" s="163"/>
      <c r="S1352" s="163"/>
    </row>
    <row r="1353">
      <c r="A1353" s="148"/>
      <c r="B1353" s="75"/>
      <c r="C1353" s="75"/>
      <c r="D1353" s="75"/>
      <c r="E1353" s="75"/>
      <c r="F1353" s="75"/>
      <c r="G1353" s="75"/>
      <c r="H1353" s="75"/>
      <c r="I1353" s="75"/>
      <c r="J1353" s="166"/>
      <c r="K1353" s="166"/>
      <c r="R1353" s="163"/>
      <c r="S1353" s="163"/>
    </row>
    <row r="1354">
      <c r="A1354" s="148"/>
      <c r="B1354" s="75"/>
      <c r="C1354" s="75"/>
      <c r="D1354" s="75"/>
      <c r="E1354" s="75"/>
      <c r="F1354" s="75"/>
      <c r="G1354" s="75"/>
      <c r="H1354" s="75"/>
      <c r="I1354" s="75"/>
      <c r="J1354" s="166"/>
      <c r="K1354" s="166"/>
      <c r="R1354" s="163"/>
      <c r="S1354" s="163"/>
    </row>
    <row r="1355">
      <c r="A1355" s="148"/>
      <c r="B1355" s="75"/>
      <c r="C1355" s="75"/>
      <c r="D1355" s="75"/>
      <c r="E1355" s="75"/>
      <c r="F1355" s="75"/>
      <c r="G1355" s="75"/>
      <c r="H1355" s="75"/>
      <c r="I1355" s="75"/>
      <c r="J1355" s="166"/>
      <c r="K1355" s="166"/>
      <c r="R1355" s="163"/>
      <c r="S1355" s="163"/>
    </row>
    <row r="1356">
      <c r="A1356" s="148"/>
      <c r="B1356" s="75"/>
      <c r="C1356" s="75"/>
      <c r="D1356" s="75"/>
      <c r="E1356" s="75"/>
      <c r="F1356" s="75"/>
      <c r="G1356" s="75"/>
      <c r="H1356" s="75"/>
      <c r="I1356" s="75"/>
      <c r="J1356" s="166"/>
      <c r="K1356" s="166"/>
      <c r="R1356" s="173"/>
      <c r="S1356" s="173"/>
    </row>
    <row r="1357">
      <c r="A1357" s="148"/>
      <c r="B1357" s="75"/>
      <c r="C1357" s="75"/>
      <c r="D1357" s="75"/>
      <c r="E1357" s="75"/>
      <c r="F1357" s="75"/>
      <c r="G1357" s="75"/>
      <c r="H1357" s="75"/>
      <c r="I1357" s="75"/>
      <c r="J1357" s="166"/>
      <c r="K1357" s="166"/>
      <c r="R1357" s="157"/>
      <c r="S1357" s="157"/>
    </row>
    <row r="1358">
      <c r="A1358" s="148"/>
      <c r="B1358" s="75"/>
      <c r="C1358" s="75"/>
      <c r="D1358" s="75"/>
      <c r="E1358" s="75"/>
      <c r="F1358" s="75"/>
      <c r="G1358" s="75"/>
      <c r="H1358" s="75"/>
      <c r="I1358" s="75"/>
      <c r="J1358" s="166"/>
      <c r="K1358" s="166"/>
      <c r="R1358" s="163"/>
      <c r="S1358" s="163"/>
    </row>
    <row r="1359">
      <c r="A1359" s="148"/>
      <c r="B1359" s="75"/>
      <c r="C1359" s="75"/>
      <c r="D1359" s="75"/>
      <c r="E1359" s="75"/>
      <c r="F1359" s="75"/>
      <c r="G1359" s="75"/>
      <c r="H1359" s="75"/>
      <c r="I1359" s="75"/>
      <c r="J1359" s="166"/>
      <c r="K1359" s="166"/>
      <c r="R1359" s="163"/>
      <c r="S1359" s="163"/>
    </row>
    <row r="1360">
      <c r="A1360" s="148"/>
      <c r="B1360" s="75"/>
      <c r="C1360" s="75"/>
      <c r="D1360" s="75"/>
      <c r="E1360" s="75"/>
      <c r="F1360" s="75"/>
      <c r="G1360" s="75"/>
      <c r="H1360" s="75"/>
      <c r="I1360" s="75"/>
      <c r="J1360" s="166"/>
      <c r="K1360" s="166"/>
      <c r="R1360" s="163"/>
      <c r="S1360" s="163"/>
    </row>
    <row r="1361">
      <c r="A1361" s="148"/>
      <c r="B1361" s="75"/>
      <c r="C1361" s="75"/>
      <c r="D1361" s="75"/>
      <c r="E1361" s="75"/>
      <c r="F1361" s="75"/>
      <c r="G1361" s="75"/>
      <c r="H1361" s="75"/>
      <c r="I1361" s="75"/>
      <c r="J1361" s="166"/>
      <c r="K1361" s="166"/>
      <c r="R1361" s="163"/>
      <c r="S1361" s="163"/>
    </row>
    <row r="1362">
      <c r="A1362" s="148"/>
      <c r="B1362" s="75"/>
      <c r="C1362" s="75"/>
      <c r="D1362" s="75"/>
      <c r="E1362" s="75"/>
      <c r="F1362" s="75"/>
      <c r="G1362" s="75"/>
      <c r="H1362" s="75"/>
      <c r="I1362" s="75"/>
      <c r="J1362" s="166"/>
      <c r="K1362" s="166"/>
      <c r="R1362" s="163"/>
      <c r="S1362" s="163"/>
    </row>
    <row r="1363">
      <c r="A1363" s="148"/>
      <c r="B1363" s="75"/>
      <c r="C1363" s="75"/>
      <c r="D1363" s="75"/>
      <c r="E1363" s="75"/>
      <c r="F1363" s="75"/>
      <c r="G1363" s="75"/>
      <c r="H1363" s="75"/>
      <c r="I1363" s="75"/>
      <c r="J1363" s="166"/>
      <c r="K1363" s="166"/>
      <c r="R1363" s="163"/>
      <c r="S1363" s="163"/>
    </row>
    <row r="1364">
      <c r="A1364" s="148"/>
      <c r="B1364" s="75"/>
      <c r="C1364" s="75"/>
      <c r="D1364" s="75"/>
      <c r="E1364" s="75"/>
      <c r="F1364" s="75"/>
      <c r="G1364" s="75"/>
      <c r="H1364" s="75"/>
      <c r="I1364" s="75"/>
      <c r="J1364" s="166"/>
      <c r="K1364" s="166"/>
      <c r="R1364" s="163"/>
      <c r="S1364" s="163"/>
    </row>
    <row r="1365">
      <c r="A1365" s="148"/>
      <c r="B1365" s="75"/>
      <c r="C1365" s="75"/>
      <c r="D1365" s="75"/>
      <c r="E1365" s="75"/>
      <c r="F1365" s="75"/>
      <c r="G1365" s="75"/>
      <c r="H1365" s="75"/>
      <c r="I1365" s="75"/>
      <c r="J1365" s="166"/>
      <c r="K1365" s="166"/>
      <c r="R1365" s="163"/>
      <c r="S1365" s="163"/>
    </row>
    <row r="1366">
      <c r="A1366" s="148"/>
      <c r="B1366" s="75"/>
      <c r="C1366" s="75"/>
      <c r="D1366" s="75"/>
      <c r="E1366" s="75"/>
      <c r="F1366" s="75"/>
      <c r="G1366" s="75"/>
      <c r="H1366" s="75"/>
      <c r="I1366" s="75"/>
      <c r="J1366" s="166"/>
      <c r="K1366" s="166"/>
      <c r="R1366" s="163"/>
      <c r="S1366" s="163"/>
    </row>
    <row r="1367">
      <c r="A1367" s="148"/>
      <c r="B1367" s="75"/>
      <c r="C1367" s="75"/>
      <c r="D1367" s="75"/>
      <c r="E1367" s="75"/>
      <c r="F1367" s="75"/>
      <c r="G1367" s="75"/>
      <c r="H1367" s="75"/>
      <c r="I1367" s="75"/>
      <c r="J1367" s="166"/>
      <c r="K1367" s="166"/>
      <c r="R1367" s="163"/>
      <c r="S1367" s="163"/>
    </row>
    <row r="1368">
      <c r="A1368" s="148"/>
      <c r="B1368" s="75"/>
      <c r="C1368" s="75"/>
      <c r="D1368" s="75"/>
      <c r="E1368" s="75"/>
      <c r="F1368" s="75"/>
      <c r="G1368" s="75"/>
      <c r="H1368" s="75"/>
      <c r="I1368" s="75"/>
      <c r="J1368" s="166"/>
      <c r="K1368" s="166"/>
      <c r="R1368" s="173"/>
      <c r="S1368" s="173"/>
    </row>
    <row r="1369">
      <c r="A1369" s="148"/>
      <c r="B1369" s="75"/>
      <c r="C1369" s="75"/>
      <c r="D1369" s="75"/>
      <c r="E1369" s="75"/>
      <c r="F1369" s="75"/>
      <c r="G1369" s="75"/>
      <c r="H1369" s="75"/>
      <c r="I1369" s="75"/>
      <c r="J1369" s="166"/>
      <c r="K1369" s="166"/>
      <c r="R1369" s="157"/>
      <c r="S1369" s="157"/>
    </row>
    <row r="1370">
      <c r="A1370" s="148"/>
      <c r="B1370" s="75"/>
      <c r="C1370" s="75"/>
      <c r="D1370" s="75"/>
      <c r="E1370" s="75"/>
      <c r="F1370" s="75"/>
      <c r="G1370" s="75"/>
      <c r="H1370" s="75"/>
      <c r="I1370" s="75"/>
      <c r="J1370" s="166"/>
      <c r="K1370" s="166"/>
      <c r="R1370" s="163"/>
      <c r="S1370" s="163"/>
    </row>
    <row r="1371">
      <c r="A1371" s="148"/>
      <c r="B1371" s="75"/>
      <c r="C1371" s="75"/>
      <c r="D1371" s="75"/>
      <c r="E1371" s="75"/>
      <c r="F1371" s="75"/>
      <c r="G1371" s="75"/>
      <c r="H1371" s="75"/>
      <c r="I1371" s="75"/>
      <c r="J1371" s="166"/>
      <c r="K1371" s="166"/>
      <c r="R1371" s="163"/>
      <c r="S1371" s="163"/>
    </row>
    <row r="1372">
      <c r="A1372" s="148"/>
      <c r="B1372" s="75"/>
      <c r="C1372" s="75"/>
      <c r="D1372" s="75"/>
      <c r="E1372" s="75"/>
      <c r="F1372" s="75"/>
      <c r="G1372" s="75"/>
      <c r="H1372" s="75"/>
      <c r="I1372" s="75"/>
      <c r="J1372" s="166"/>
      <c r="K1372" s="166"/>
      <c r="R1372" s="163"/>
      <c r="S1372" s="163"/>
    </row>
    <row r="1373">
      <c r="A1373" s="148"/>
      <c r="B1373" s="75"/>
      <c r="C1373" s="75"/>
      <c r="D1373" s="75"/>
      <c r="E1373" s="75"/>
      <c r="F1373" s="75"/>
      <c r="G1373" s="75"/>
      <c r="H1373" s="75"/>
      <c r="I1373" s="75"/>
      <c r="J1373" s="166"/>
      <c r="K1373" s="166"/>
      <c r="R1373" s="163"/>
      <c r="S1373" s="163"/>
    </row>
    <row r="1374">
      <c r="A1374" s="148"/>
      <c r="B1374" s="75"/>
      <c r="C1374" s="75"/>
      <c r="D1374" s="75"/>
      <c r="E1374" s="75"/>
      <c r="F1374" s="75"/>
      <c r="G1374" s="75"/>
      <c r="H1374" s="75"/>
      <c r="I1374" s="75"/>
      <c r="J1374" s="166"/>
      <c r="K1374" s="166"/>
      <c r="R1374" s="163"/>
      <c r="S1374" s="163"/>
    </row>
    <row r="1375">
      <c r="A1375" s="148"/>
      <c r="B1375" s="75"/>
      <c r="C1375" s="75"/>
      <c r="D1375" s="75"/>
      <c r="E1375" s="75"/>
      <c r="F1375" s="75"/>
      <c r="G1375" s="75"/>
      <c r="H1375" s="75"/>
      <c r="I1375" s="75"/>
      <c r="J1375" s="166"/>
      <c r="K1375" s="166"/>
      <c r="R1375" s="163"/>
      <c r="S1375" s="163"/>
    </row>
    <row r="1376">
      <c r="A1376" s="148"/>
      <c r="B1376" s="75"/>
      <c r="C1376" s="75"/>
      <c r="D1376" s="75"/>
      <c r="E1376" s="75"/>
      <c r="F1376" s="75"/>
      <c r="G1376" s="75"/>
      <c r="H1376" s="75"/>
      <c r="I1376" s="75"/>
      <c r="J1376" s="166"/>
      <c r="K1376" s="166"/>
      <c r="R1376" s="163"/>
      <c r="S1376" s="163"/>
    </row>
    <row r="1377">
      <c r="A1377" s="148"/>
      <c r="B1377" s="75"/>
      <c r="C1377" s="75"/>
      <c r="D1377" s="75"/>
      <c r="E1377" s="75"/>
      <c r="F1377" s="75"/>
      <c r="G1377" s="75"/>
      <c r="H1377" s="75"/>
      <c r="I1377" s="75"/>
      <c r="J1377" s="166"/>
      <c r="K1377" s="166"/>
      <c r="R1377" s="163"/>
      <c r="S1377" s="163"/>
    </row>
    <row r="1378">
      <c r="A1378" s="148"/>
      <c r="B1378" s="75"/>
      <c r="C1378" s="75"/>
      <c r="D1378" s="75"/>
      <c r="E1378" s="75"/>
      <c r="F1378" s="75"/>
      <c r="G1378" s="75"/>
      <c r="H1378" s="75"/>
      <c r="I1378" s="75"/>
      <c r="J1378" s="166"/>
      <c r="K1378" s="166"/>
      <c r="R1378" s="163"/>
      <c r="S1378" s="163"/>
    </row>
    <row r="1379">
      <c r="A1379" s="148"/>
      <c r="B1379" s="75"/>
      <c r="C1379" s="75"/>
      <c r="D1379" s="75"/>
      <c r="E1379" s="75"/>
      <c r="F1379" s="75"/>
      <c r="G1379" s="75"/>
      <c r="H1379" s="75"/>
      <c r="I1379" s="75"/>
      <c r="J1379" s="166"/>
      <c r="K1379" s="166"/>
      <c r="R1379" s="163"/>
      <c r="S1379" s="163"/>
    </row>
    <row r="1380">
      <c r="A1380" s="148"/>
      <c r="B1380" s="75"/>
      <c r="C1380" s="75"/>
      <c r="D1380" s="75"/>
      <c r="E1380" s="75"/>
      <c r="F1380" s="75"/>
      <c r="G1380" s="75"/>
      <c r="H1380" s="75"/>
      <c r="I1380" s="75"/>
      <c r="J1380" s="166"/>
      <c r="K1380" s="166"/>
      <c r="R1380" s="173"/>
      <c r="S1380" s="173"/>
    </row>
    <row r="1381">
      <c r="A1381" s="148"/>
      <c r="B1381" s="75"/>
      <c r="C1381" s="75"/>
      <c r="D1381" s="75"/>
      <c r="E1381" s="75"/>
      <c r="F1381" s="75"/>
      <c r="G1381" s="75"/>
      <c r="H1381" s="75"/>
      <c r="I1381" s="75"/>
      <c r="J1381" s="166"/>
      <c r="K1381" s="166"/>
      <c r="R1381" s="157"/>
      <c r="S1381" s="157"/>
    </row>
    <row r="1382">
      <c r="A1382" s="148"/>
      <c r="B1382" s="75"/>
      <c r="C1382" s="75"/>
      <c r="D1382" s="75"/>
      <c r="E1382" s="75"/>
      <c r="F1382" s="75"/>
      <c r="G1382" s="75"/>
      <c r="H1382" s="75"/>
      <c r="I1382" s="75"/>
      <c r="J1382" s="166"/>
      <c r="K1382" s="166"/>
      <c r="R1382" s="163"/>
      <c r="S1382" s="163"/>
    </row>
    <row r="1383">
      <c r="A1383" s="148"/>
      <c r="B1383" s="75"/>
      <c r="C1383" s="75"/>
      <c r="D1383" s="75"/>
      <c r="E1383" s="75"/>
      <c r="F1383" s="75"/>
      <c r="G1383" s="75"/>
      <c r="H1383" s="75"/>
      <c r="I1383" s="75"/>
      <c r="J1383" s="166"/>
      <c r="K1383" s="166"/>
      <c r="R1383" s="163"/>
      <c r="S1383" s="163"/>
    </row>
    <row r="1384">
      <c r="A1384" s="148"/>
      <c r="B1384" s="75"/>
      <c r="C1384" s="75"/>
      <c r="D1384" s="75"/>
      <c r="E1384" s="75"/>
      <c r="F1384" s="75"/>
      <c r="G1384" s="75"/>
      <c r="H1384" s="75"/>
      <c r="I1384" s="75"/>
      <c r="J1384" s="166"/>
      <c r="K1384" s="166"/>
      <c r="R1384" s="163"/>
      <c r="S1384" s="163"/>
    </row>
    <row r="1385">
      <c r="A1385" s="148"/>
      <c r="B1385" s="75"/>
      <c r="C1385" s="75"/>
      <c r="D1385" s="75"/>
      <c r="E1385" s="75"/>
      <c r="F1385" s="75"/>
      <c r="G1385" s="75"/>
      <c r="H1385" s="75"/>
      <c r="I1385" s="75"/>
      <c r="J1385" s="166"/>
      <c r="K1385" s="166"/>
      <c r="R1385" s="163"/>
      <c r="S1385" s="163"/>
    </row>
    <row r="1386">
      <c r="A1386" s="148"/>
      <c r="B1386" s="75"/>
      <c r="C1386" s="75"/>
      <c r="D1386" s="75"/>
      <c r="E1386" s="75"/>
      <c r="F1386" s="75"/>
      <c r="G1386" s="75"/>
      <c r="H1386" s="75"/>
      <c r="I1386" s="75"/>
      <c r="J1386" s="166"/>
      <c r="K1386" s="166"/>
      <c r="R1386" s="163"/>
      <c r="S1386" s="163"/>
    </row>
    <row r="1387">
      <c r="A1387" s="148"/>
      <c r="B1387" s="75"/>
      <c r="C1387" s="75"/>
      <c r="D1387" s="75"/>
      <c r="E1387" s="75"/>
      <c r="F1387" s="75"/>
      <c r="G1387" s="75"/>
      <c r="H1387" s="75"/>
      <c r="I1387" s="75"/>
      <c r="J1387" s="166"/>
      <c r="K1387" s="166"/>
      <c r="R1387" s="163"/>
      <c r="S1387" s="163"/>
    </row>
    <row r="1388">
      <c r="A1388" s="148"/>
      <c r="B1388" s="75"/>
      <c r="C1388" s="75"/>
      <c r="D1388" s="75"/>
      <c r="E1388" s="75"/>
      <c r="F1388" s="75"/>
      <c r="G1388" s="75"/>
      <c r="H1388" s="75"/>
      <c r="I1388" s="75"/>
      <c r="J1388" s="166"/>
      <c r="K1388" s="166"/>
      <c r="R1388" s="163"/>
      <c r="S1388" s="163"/>
    </row>
    <row r="1389">
      <c r="A1389" s="148"/>
      <c r="B1389" s="75"/>
      <c r="C1389" s="75"/>
      <c r="D1389" s="75"/>
      <c r="E1389" s="75"/>
      <c r="F1389" s="75"/>
      <c r="G1389" s="75"/>
      <c r="H1389" s="75"/>
      <c r="I1389" s="75"/>
      <c r="J1389" s="166"/>
      <c r="K1389" s="166"/>
      <c r="R1389" s="163"/>
      <c r="S1389" s="163"/>
    </row>
    <row r="1390">
      <c r="A1390" s="148"/>
      <c r="B1390" s="75"/>
      <c r="C1390" s="75"/>
      <c r="D1390" s="75"/>
      <c r="E1390" s="75"/>
      <c r="F1390" s="75"/>
      <c r="G1390" s="75"/>
      <c r="H1390" s="75"/>
      <c r="I1390" s="75"/>
      <c r="J1390" s="166"/>
      <c r="K1390" s="166"/>
      <c r="R1390" s="163"/>
      <c r="S1390" s="163"/>
    </row>
    <row r="1391">
      <c r="A1391" s="148"/>
      <c r="B1391" s="75"/>
      <c r="C1391" s="75"/>
      <c r="D1391" s="75"/>
      <c r="E1391" s="75"/>
      <c r="F1391" s="75"/>
      <c r="G1391" s="75"/>
      <c r="H1391" s="75"/>
      <c r="I1391" s="75"/>
      <c r="J1391" s="166"/>
      <c r="K1391" s="166"/>
      <c r="R1391" s="163"/>
      <c r="S1391" s="163"/>
    </row>
    <row r="1392">
      <c r="A1392" s="148"/>
      <c r="B1392" s="75"/>
      <c r="C1392" s="75"/>
      <c r="D1392" s="75"/>
      <c r="E1392" s="75"/>
      <c r="F1392" s="75"/>
      <c r="G1392" s="75"/>
      <c r="H1392" s="75"/>
      <c r="I1392" s="75"/>
      <c r="J1392" s="166"/>
      <c r="K1392" s="166"/>
      <c r="R1392" s="173"/>
      <c r="S1392" s="173"/>
    </row>
    <row r="1393">
      <c r="A1393" s="148"/>
      <c r="B1393" s="75"/>
      <c r="C1393" s="75"/>
      <c r="D1393" s="75"/>
      <c r="E1393" s="75"/>
      <c r="F1393" s="75"/>
      <c r="G1393" s="75"/>
      <c r="H1393" s="75"/>
      <c r="I1393" s="75"/>
      <c r="J1393" s="166"/>
      <c r="K1393" s="166"/>
      <c r="R1393" s="157"/>
      <c r="S1393" s="157"/>
    </row>
    <row r="1394">
      <c r="A1394" s="148"/>
      <c r="B1394" s="75"/>
      <c r="C1394" s="75"/>
      <c r="D1394" s="75"/>
      <c r="E1394" s="75"/>
      <c r="F1394" s="75"/>
      <c r="G1394" s="75"/>
      <c r="H1394" s="75"/>
      <c r="I1394" s="75"/>
      <c r="J1394" s="166"/>
      <c r="K1394" s="166"/>
      <c r="R1394" s="163"/>
      <c r="S1394" s="163"/>
    </row>
    <row r="1395">
      <c r="A1395" s="148"/>
      <c r="B1395" s="75"/>
      <c r="C1395" s="75"/>
      <c r="D1395" s="75"/>
      <c r="E1395" s="75"/>
      <c r="F1395" s="75"/>
      <c r="G1395" s="75"/>
      <c r="H1395" s="75"/>
      <c r="I1395" s="75"/>
      <c r="J1395" s="166"/>
      <c r="K1395" s="166"/>
      <c r="R1395" s="163"/>
      <c r="S1395" s="163"/>
    </row>
    <row r="1396">
      <c r="A1396" s="148"/>
      <c r="B1396" s="75"/>
      <c r="C1396" s="75"/>
      <c r="D1396" s="75"/>
      <c r="E1396" s="75"/>
      <c r="F1396" s="75"/>
      <c r="G1396" s="75"/>
      <c r="H1396" s="75"/>
      <c r="I1396" s="75"/>
      <c r="J1396" s="166"/>
      <c r="K1396" s="166"/>
      <c r="R1396" s="163"/>
      <c r="S1396" s="163"/>
    </row>
    <row r="1397">
      <c r="A1397" s="148"/>
      <c r="B1397" s="75"/>
      <c r="C1397" s="75"/>
      <c r="D1397" s="75"/>
      <c r="E1397" s="75"/>
      <c r="F1397" s="75"/>
      <c r="G1397" s="75"/>
      <c r="H1397" s="75"/>
      <c r="I1397" s="75"/>
      <c r="J1397" s="166"/>
      <c r="K1397" s="166"/>
      <c r="R1397" s="163"/>
      <c r="S1397" s="163"/>
    </row>
    <row r="1398">
      <c r="A1398" s="148"/>
      <c r="B1398" s="75"/>
      <c r="C1398" s="75"/>
      <c r="D1398" s="75"/>
      <c r="E1398" s="75"/>
      <c r="F1398" s="75"/>
      <c r="G1398" s="75"/>
      <c r="H1398" s="75"/>
      <c r="I1398" s="75"/>
      <c r="J1398" s="166"/>
      <c r="K1398" s="166"/>
      <c r="R1398" s="163"/>
      <c r="S1398" s="163"/>
    </row>
    <row r="1399">
      <c r="A1399" s="148"/>
      <c r="B1399" s="75"/>
      <c r="C1399" s="75"/>
      <c r="D1399" s="75"/>
      <c r="E1399" s="75"/>
      <c r="F1399" s="75"/>
      <c r="G1399" s="75"/>
      <c r="H1399" s="75"/>
      <c r="I1399" s="75"/>
      <c r="J1399" s="166"/>
      <c r="K1399" s="166"/>
      <c r="R1399" s="163"/>
      <c r="S1399" s="163"/>
    </row>
    <row r="1400">
      <c r="A1400" s="148"/>
      <c r="B1400" s="75"/>
      <c r="C1400" s="75"/>
      <c r="D1400" s="75"/>
      <c r="E1400" s="75"/>
      <c r="F1400" s="75"/>
      <c r="G1400" s="75"/>
      <c r="H1400" s="75"/>
      <c r="I1400" s="75"/>
      <c r="J1400" s="166"/>
      <c r="K1400" s="166"/>
      <c r="R1400" s="163"/>
      <c r="S1400" s="163"/>
    </row>
    <row r="1401">
      <c r="A1401" s="148"/>
      <c r="B1401" s="75"/>
      <c r="C1401" s="75"/>
      <c r="D1401" s="75"/>
      <c r="E1401" s="75"/>
      <c r="F1401" s="75"/>
      <c r="G1401" s="75"/>
      <c r="H1401" s="75"/>
      <c r="I1401" s="75"/>
      <c r="J1401" s="166"/>
      <c r="K1401" s="166"/>
      <c r="R1401" s="163"/>
      <c r="S1401" s="163"/>
    </row>
    <row r="1402">
      <c r="A1402" s="148"/>
      <c r="B1402" s="75"/>
      <c r="C1402" s="75"/>
      <c r="D1402" s="75"/>
      <c r="E1402" s="75"/>
      <c r="F1402" s="75"/>
      <c r="G1402" s="75"/>
      <c r="H1402" s="75"/>
      <c r="I1402" s="75"/>
      <c r="J1402" s="166"/>
      <c r="K1402" s="166"/>
      <c r="R1402" s="163"/>
      <c r="S1402" s="163"/>
    </row>
    <row r="1403">
      <c r="A1403" s="148"/>
      <c r="B1403" s="75"/>
      <c r="C1403" s="75"/>
      <c r="D1403" s="75"/>
      <c r="E1403" s="75"/>
      <c r="F1403" s="75"/>
      <c r="G1403" s="75"/>
      <c r="H1403" s="75"/>
      <c r="I1403" s="75"/>
      <c r="J1403" s="166"/>
      <c r="K1403" s="166"/>
      <c r="R1403" s="163"/>
      <c r="S1403" s="163"/>
    </row>
    <row r="1404">
      <c r="A1404" s="148"/>
      <c r="B1404" s="75"/>
      <c r="C1404" s="75"/>
      <c r="D1404" s="75"/>
      <c r="E1404" s="75"/>
      <c r="F1404" s="75"/>
      <c r="G1404" s="75"/>
      <c r="H1404" s="75"/>
      <c r="I1404" s="75"/>
      <c r="J1404" s="166"/>
      <c r="K1404" s="166"/>
      <c r="R1404" s="173"/>
      <c r="S1404" s="173"/>
    </row>
    <row r="1405">
      <c r="A1405" s="148"/>
      <c r="B1405" s="75"/>
      <c r="C1405" s="75"/>
      <c r="D1405" s="75"/>
      <c r="E1405" s="75"/>
      <c r="F1405" s="75"/>
      <c r="G1405" s="75"/>
      <c r="H1405" s="75"/>
      <c r="I1405" s="75"/>
      <c r="J1405" s="166"/>
      <c r="K1405" s="166"/>
      <c r="R1405" s="157"/>
      <c r="S1405" s="157"/>
    </row>
    <row r="1406">
      <c r="A1406" s="148"/>
      <c r="B1406" s="75"/>
      <c r="C1406" s="75"/>
      <c r="D1406" s="75"/>
      <c r="E1406" s="75"/>
      <c r="F1406" s="75"/>
      <c r="G1406" s="75"/>
      <c r="H1406" s="75"/>
      <c r="I1406" s="75"/>
      <c r="J1406" s="166"/>
      <c r="K1406" s="166"/>
      <c r="R1406" s="163"/>
      <c r="S1406" s="163"/>
    </row>
    <row r="1407">
      <c r="A1407" s="148"/>
      <c r="B1407" s="75"/>
      <c r="C1407" s="75"/>
      <c r="D1407" s="75"/>
      <c r="E1407" s="75"/>
      <c r="F1407" s="75"/>
      <c r="G1407" s="75"/>
      <c r="H1407" s="75"/>
      <c r="I1407" s="75"/>
      <c r="J1407" s="166"/>
      <c r="K1407" s="166"/>
      <c r="R1407" s="163"/>
      <c r="S1407" s="163"/>
    </row>
    <row r="1408">
      <c r="A1408" s="148"/>
      <c r="B1408" s="75"/>
      <c r="C1408" s="75"/>
      <c r="D1408" s="75"/>
      <c r="E1408" s="75"/>
      <c r="F1408" s="75"/>
      <c r="G1408" s="75"/>
      <c r="H1408" s="75"/>
      <c r="I1408" s="75"/>
      <c r="J1408" s="166"/>
      <c r="K1408" s="166"/>
      <c r="R1408" s="163"/>
      <c r="S1408" s="163"/>
    </row>
    <row r="1409">
      <c r="A1409" s="148"/>
      <c r="B1409" s="75"/>
      <c r="C1409" s="75"/>
      <c r="D1409" s="75"/>
      <c r="E1409" s="75"/>
      <c r="F1409" s="75"/>
      <c r="G1409" s="75"/>
      <c r="H1409" s="75"/>
      <c r="I1409" s="75"/>
      <c r="J1409" s="166"/>
      <c r="K1409" s="166"/>
      <c r="R1409" s="163"/>
      <c r="S1409" s="163"/>
    </row>
    <row r="1410">
      <c r="A1410" s="148"/>
      <c r="B1410" s="75"/>
      <c r="C1410" s="75"/>
      <c r="D1410" s="75"/>
      <c r="E1410" s="75"/>
      <c r="F1410" s="75"/>
      <c r="G1410" s="75"/>
      <c r="H1410" s="75"/>
      <c r="I1410" s="75"/>
      <c r="J1410" s="166"/>
      <c r="K1410" s="166"/>
      <c r="R1410" s="163"/>
      <c r="S1410" s="163"/>
    </row>
    <row r="1411">
      <c r="A1411" s="148"/>
      <c r="B1411" s="75"/>
      <c r="C1411" s="75"/>
      <c r="D1411" s="75"/>
      <c r="E1411" s="75"/>
      <c r="F1411" s="75"/>
      <c r="G1411" s="75"/>
      <c r="H1411" s="75"/>
      <c r="I1411" s="75"/>
      <c r="J1411" s="166"/>
      <c r="K1411" s="166"/>
      <c r="R1411" s="163"/>
      <c r="S1411" s="163"/>
    </row>
    <row r="1412">
      <c r="A1412" s="148"/>
      <c r="B1412" s="75"/>
      <c r="C1412" s="75"/>
      <c r="D1412" s="75"/>
      <c r="E1412" s="75"/>
      <c r="F1412" s="75"/>
      <c r="G1412" s="75"/>
      <c r="H1412" s="75"/>
      <c r="I1412" s="75"/>
      <c r="J1412" s="166"/>
      <c r="K1412" s="166"/>
      <c r="R1412" s="163"/>
      <c r="S1412" s="163"/>
    </row>
    <row r="1413">
      <c r="A1413" s="148"/>
      <c r="B1413" s="75"/>
      <c r="C1413" s="75"/>
      <c r="D1413" s="75"/>
      <c r="E1413" s="75"/>
      <c r="F1413" s="75"/>
      <c r="G1413" s="75"/>
      <c r="H1413" s="75"/>
      <c r="I1413" s="75"/>
      <c r="J1413" s="166"/>
      <c r="K1413" s="166"/>
      <c r="R1413" s="163"/>
      <c r="S1413" s="163"/>
    </row>
    <row r="1414">
      <c r="A1414" s="148"/>
      <c r="B1414" s="75"/>
      <c r="C1414" s="75"/>
      <c r="D1414" s="75"/>
      <c r="E1414" s="75"/>
      <c r="F1414" s="75"/>
      <c r="G1414" s="75"/>
      <c r="H1414" s="75"/>
      <c r="I1414" s="75"/>
      <c r="J1414" s="166"/>
      <c r="K1414" s="166"/>
      <c r="R1414" s="163"/>
      <c r="S1414" s="163"/>
    </row>
    <row r="1415">
      <c r="A1415" s="148"/>
      <c r="B1415" s="75"/>
      <c r="C1415" s="75"/>
      <c r="D1415" s="75"/>
      <c r="E1415" s="75"/>
      <c r="F1415" s="75"/>
      <c r="G1415" s="75"/>
      <c r="H1415" s="75"/>
      <c r="I1415" s="75"/>
      <c r="J1415" s="166"/>
      <c r="K1415" s="166"/>
      <c r="R1415" s="163"/>
      <c r="S1415" s="163"/>
    </row>
    <row r="1416">
      <c r="A1416" s="148"/>
      <c r="B1416" s="75"/>
      <c r="C1416" s="75"/>
      <c r="D1416" s="75"/>
      <c r="E1416" s="75"/>
      <c r="F1416" s="75"/>
      <c r="G1416" s="75"/>
      <c r="H1416" s="75"/>
      <c r="I1416" s="75"/>
      <c r="J1416" s="166"/>
      <c r="K1416" s="166"/>
      <c r="R1416" s="173"/>
      <c r="S1416" s="173"/>
    </row>
    <row r="1417">
      <c r="A1417" s="148"/>
      <c r="B1417" s="75"/>
      <c r="C1417" s="75"/>
      <c r="D1417" s="75"/>
      <c r="E1417" s="75"/>
      <c r="F1417" s="75"/>
      <c r="G1417" s="75"/>
      <c r="H1417" s="75"/>
      <c r="I1417" s="75"/>
      <c r="J1417" s="166"/>
      <c r="K1417" s="166"/>
      <c r="R1417" s="157"/>
      <c r="S1417" s="157"/>
    </row>
    <row r="1418">
      <c r="A1418" s="148"/>
      <c r="B1418" s="75"/>
      <c r="C1418" s="75"/>
      <c r="D1418" s="75"/>
      <c r="E1418" s="75"/>
      <c r="F1418" s="75"/>
      <c r="G1418" s="75"/>
      <c r="H1418" s="75"/>
      <c r="I1418" s="75"/>
      <c r="J1418" s="166"/>
      <c r="K1418" s="166"/>
      <c r="R1418" s="163"/>
      <c r="S1418" s="163"/>
    </row>
    <row r="1419">
      <c r="A1419" s="148"/>
      <c r="B1419" s="75"/>
      <c r="C1419" s="75"/>
      <c r="D1419" s="75"/>
      <c r="E1419" s="75"/>
      <c r="F1419" s="75"/>
      <c r="G1419" s="75"/>
      <c r="H1419" s="75"/>
      <c r="I1419" s="75"/>
      <c r="J1419" s="166"/>
      <c r="K1419" s="166"/>
      <c r="R1419" s="163"/>
      <c r="S1419" s="163"/>
    </row>
    <row r="1420">
      <c r="A1420" s="148"/>
      <c r="B1420" s="75"/>
      <c r="C1420" s="75"/>
      <c r="D1420" s="75"/>
      <c r="E1420" s="75"/>
      <c r="F1420" s="75"/>
      <c r="G1420" s="75"/>
      <c r="H1420" s="75"/>
      <c r="I1420" s="75"/>
      <c r="J1420" s="166"/>
      <c r="K1420" s="166"/>
      <c r="R1420" s="163"/>
      <c r="S1420" s="163"/>
    </row>
    <row r="1421">
      <c r="A1421" s="148"/>
      <c r="B1421" s="75"/>
      <c r="C1421" s="75"/>
      <c r="D1421" s="75"/>
      <c r="E1421" s="75"/>
      <c r="F1421" s="75"/>
      <c r="G1421" s="75"/>
      <c r="H1421" s="75"/>
      <c r="I1421" s="75"/>
      <c r="J1421" s="166"/>
      <c r="K1421" s="166"/>
      <c r="R1421" s="163"/>
      <c r="S1421" s="163"/>
    </row>
    <row r="1422">
      <c r="A1422" s="148"/>
      <c r="B1422" s="75"/>
      <c r="C1422" s="75"/>
      <c r="D1422" s="75"/>
      <c r="E1422" s="75"/>
      <c r="F1422" s="75"/>
      <c r="G1422" s="75"/>
      <c r="H1422" s="75"/>
      <c r="I1422" s="75"/>
      <c r="J1422" s="166"/>
      <c r="K1422" s="166"/>
      <c r="R1422" s="163"/>
      <c r="S1422" s="163"/>
    </row>
    <row r="1423">
      <c r="A1423" s="148"/>
      <c r="B1423" s="75"/>
      <c r="C1423" s="75"/>
      <c r="D1423" s="75"/>
      <c r="E1423" s="75"/>
      <c r="F1423" s="75"/>
      <c r="G1423" s="75"/>
      <c r="H1423" s="75"/>
      <c r="I1423" s="75"/>
      <c r="J1423" s="166"/>
      <c r="K1423" s="166"/>
      <c r="R1423" s="163"/>
      <c r="S1423" s="163"/>
    </row>
    <row r="1424">
      <c r="A1424" s="148"/>
      <c r="B1424" s="75"/>
      <c r="C1424" s="75"/>
      <c r="D1424" s="75"/>
      <c r="E1424" s="75"/>
      <c r="F1424" s="75"/>
      <c r="G1424" s="75"/>
      <c r="H1424" s="75"/>
      <c r="I1424" s="75"/>
      <c r="J1424" s="166"/>
      <c r="K1424" s="166"/>
      <c r="R1424" s="163"/>
      <c r="S1424" s="163"/>
    </row>
    <row r="1425">
      <c r="A1425" s="148"/>
      <c r="B1425" s="75"/>
      <c r="C1425" s="75"/>
      <c r="D1425" s="75"/>
      <c r="E1425" s="75"/>
      <c r="F1425" s="75"/>
      <c r="G1425" s="75"/>
      <c r="H1425" s="75"/>
      <c r="I1425" s="75"/>
      <c r="J1425" s="166"/>
      <c r="K1425" s="166"/>
      <c r="R1425" s="163"/>
      <c r="S1425" s="163"/>
    </row>
    <row r="1426">
      <c r="A1426" s="148"/>
      <c r="B1426" s="75"/>
      <c r="C1426" s="75"/>
      <c r="D1426" s="75"/>
      <c r="E1426" s="75"/>
      <c r="F1426" s="75"/>
      <c r="G1426" s="75"/>
      <c r="H1426" s="75"/>
      <c r="I1426" s="75"/>
      <c r="J1426" s="166"/>
      <c r="K1426" s="166"/>
      <c r="R1426" s="163"/>
      <c r="S1426" s="163"/>
    </row>
    <row r="1427">
      <c r="A1427" s="148"/>
      <c r="B1427" s="75"/>
      <c r="C1427" s="75"/>
      <c r="D1427" s="75"/>
      <c r="E1427" s="75"/>
      <c r="F1427" s="75"/>
      <c r="G1427" s="75"/>
      <c r="H1427" s="75"/>
      <c r="I1427" s="75"/>
      <c r="J1427" s="166"/>
      <c r="K1427" s="166"/>
      <c r="R1427" s="163"/>
      <c r="S1427" s="163"/>
    </row>
    <row r="1428">
      <c r="A1428" s="148"/>
      <c r="B1428" s="75"/>
      <c r="C1428" s="75"/>
      <c r="D1428" s="75"/>
      <c r="E1428" s="75"/>
      <c r="F1428" s="75"/>
      <c r="G1428" s="75"/>
      <c r="H1428" s="75"/>
      <c r="I1428" s="75"/>
      <c r="J1428" s="166"/>
      <c r="K1428" s="166"/>
      <c r="R1428" s="173"/>
      <c r="S1428" s="173"/>
    </row>
    <row r="1429">
      <c r="A1429" s="148"/>
      <c r="B1429" s="75"/>
      <c r="C1429" s="75"/>
      <c r="D1429" s="75"/>
      <c r="E1429" s="75"/>
      <c r="F1429" s="75"/>
      <c r="G1429" s="75"/>
      <c r="H1429" s="75"/>
      <c r="I1429" s="75"/>
      <c r="J1429" s="166"/>
      <c r="K1429" s="166"/>
      <c r="R1429" s="157"/>
      <c r="S1429" s="157"/>
    </row>
    <row r="1430">
      <c r="A1430" s="148"/>
      <c r="B1430" s="75"/>
      <c r="C1430" s="75"/>
      <c r="D1430" s="75"/>
      <c r="E1430" s="75"/>
      <c r="F1430" s="75"/>
      <c r="G1430" s="75"/>
      <c r="H1430" s="75"/>
      <c r="I1430" s="75"/>
      <c r="J1430" s="166"/>
      <c r="K1430" s="166"/>
      <c r="R1430" s="163"/>
      <c r="S1430" s="163"/>
    </row>
    <row r="1431">
      <c r="A1431" s="148"/>
      <c r="B1431" s="75"/>
      <c r="C1431" s="75"/>
      <c r="D1431" s="75"/>
      <c r="E1431" s="75"/>
      <c r="F1431" s="75"/>
      <c r="G1431" s="75"/>
      <c r="H1431" s="75"/>
      <c r="I1431" s="75"/>
      <c r="J1431" s="166"/>
      <c r="K1431" s="166"/>
      <c r="R1431" s="163"/>
      <c r="S1431" s="163"/>
    </row>
    <row r="1432">
      <c r="A1432" s="148"/>
      <c r="B1432" s="75"/>
      <c r="C1432" s="75"/>
      <c r="D1432" s="75"/>
      <c r="E1432" s="75"/>
      <c r="F1432" s="75"/>
      <c r="G1432" s="75"/>
      <c r="H1432" s="75"/>
      <c r="I1432" s="75"/>
      <c r="J1432" s="166"/>
      <c r="K1432" s="166"/>
      <c r="R1432" s="163"/>
      <c r="S1432" s="163"/>
    </row>
    <row r="1433">
      <c r="A1433" s="148"/>
      <c r="B1433" s="75"/>
      <c r="C1433" s="75"/>
      <c r="D1433" s="75"/>
      <c r="E1433" s="75"/>
      <c r="F1433" s="75"/>
      <c r="G1433" s="75"/>
      <c r="H1433" s="75"/>
      <c r="I1433" s="75"/>
      <c r="J1433" s="166"/>
      <c r="K1433" s="166"/>
      <c r="R1433" s="163"/>
      <c r="S1433" s="163"/>
    </row>
    <row r="1434">
      <c r="A1434" s="148"/>
      <c r="B1434" s="75"/>
      <c r="C1434" s="75"/>
      <c r="D1434" s="75"/>
      <c r="E1434" s="75"/>
      <c r="F1434" s="75"/>
      <c r="G1434" s="75"/>
      <c r="H1434" s="75"/>
      <c r="I1434" s="75"/>
      <c r="J1434" s="166"/>
      <c r="K1434" s="166"/>
      <c r="R1434" s="163"/>
      <c r="S1434" s="163"/>
    </row>
    <row r="1435">
      <c r="A1435" s="148"/>
      <c r="B1435" s="75"/>
      <c r="C1435" s="75"/>
      <c r="D1435" s="75"/>
      <c r="E1435" s="75"/>
      <c r="F1435" s="75"/>
      <c r="G1435" s="75"/>
      <c r="H1435" s="75"/>
      <c r="I1435" s="75"/>
      <c r="J1435" s="166"/>
      <c r="K1435" s="166"/>
      <c r="R1435" s="163"/>
      <c r="S1435" s="163"/>
    </row>
    <row r="1436">
      <c r="A1436" s="148"/>
      <c r="B1436" s="75"/>
      <c r="C1436" s="75"/>
      <c r="D1436" s="75"/>
      <c r="E1436" s="75"/>
      <c r="F1436" s="75"/>
      <c r="G1436" s="75"/>
      <c r="H1436" s="75"/>
      <c r="I1436" s="75"/>
      <c r="J1436" s="166"/>
      <c r="K1436" s="166"/>
      <c r="R1436" s="163"/>
      <c r="S1436" s="163"/>
    </row>
    <row r="1437">
      <c r="A1437" s="148"/>
      <c r="B1437" s="75"/>
      <c r="C1437" s="75"/>
      <c r="D1437" s="75"/>
      <c r="E1437" s="75"/>
      <c r="F1437" s="75"/>
      <c r="G1437" s="75"/>
      <c r="H1437" s="75"/>
      <c r="I1437" s="75"/>
      <c r="J1437" s="166"/>
      <c r="K1437" s="166"/>
      <c r="R1437" s="163"/>
      <c r="S1437" s="163"/>
    </row>
    <row r="1438">
      <c r="A1438" s="148"/>
      <c r="B1438" s="75"/>
      <c r="C1438" s="75"/>
      <c r="D1438" s="75"/>
      <c r="E1438" s="75"/>
      <c r="F1438" s="75"/>
      <c r="G1438" s="75"/>
      <c r="H1438" s="75"/>
      <c r="I1438" s="75"/>
      <c r="J1438" s="166"/>
      <c r="K1438" s="166"/>
      <c r="R1438" s="163"/>
      <c r="S1438" s="163"/>
    </row>
    <row r="1439">
      <c r="A1439" s="148"/>
      <c r="B1439" s="75"/>
      <c r="C1439" s="75"/>
      <c r="D1439" s="75"/>
      <c r="E1439" s="75"/>
      <c r="F1439" s="75"/>
      <c r="G1439" s="75"/>
      <c r="H1439" s="75"/>
      <c r="I1439" s="75"/>
      <c r="J1439" s="166"/>
      <c r="K1439" s="166"/>
      <c r="R1439" s="163"/>
      <c r="S1439" s="163"/>
    </row>
    <row r="1440">
      <c r="A1440" s="148"/>
      <c r="B1440" s="75"/>
      <c r="C1440" s="75"/>
      <c r="D1440" s="75"/>
      <c r="E1440" s="75"/>
      <c r="F1440" s="75"/>
      <c r="G1440" s="75"/>
      <c r="H1440" s="75"/>
      <c r="I1440" s="75"/>
      <c r="J1440" s="166"/>
      <c r="K1440" s="166"/>
      <c r="R1440" s="173"/>
      <c r="S1440" s="173"/>
    </row>
    <row r="1441">
      <c r="A1441" s="148"/>
      <c r="B1441" s="75"/>
      <c r="C1441" s="75"/>
      <c r="D1441" s="75"/>
      <c r="E1441" s="75"/>
      <c r="F1441" s="75"/>
      <c r="G1441" s="75"/>
      <c r="H1441" s="75"/>
      <c r="I1441" s="75"/>
      <c r="J1441" s="166"/>
      <c r="K1441" s="166"/>
      <c r="R1441" s="157"/>
      <c r="S1441" s="157"/>
    </row>
    <row r="1442">
      <c r="A1442" s="148"/>
      <c r="B1442" s="75"/>
      <c r="C1442" s="75"/>
      <c r="D1442" s="75"/>
      <c r="E1442" s="75"/>
      <c r="F1442" s="75"/>
      <c r="G1442" s="75"/>
      <c r="H1442" s="75"/>
      <c r="I1442" s="75"/>
      <c r="J1442" s="166"/>
      <c r="K1442" s="166"/>
      <c r="R1442" s="163"/>
      <c r="S1442" s="163"/>
    </row>
    <row r="1443">
      <c r="A1443" s="148"/>
      <c r="B1443" s="75"/>
      <c r="C1443" s="75"/>
      <c r="D1443" s="75"/>
      <c r="E1443" s="75"/>
      <c r="F1443" s="75"/>
      <c r="G1443" s="75"/>
      <c r="H1443" s="75"/>
      <c r="I1443" s="75"/>
      <c r="J1443" s="166"/>
      <c r="K1443" s="166"/>
      <c r="R1443" s="163"/>
      <c r="S1443" s="163"/>
    </row>
    <row r="1444">
      <c r="A1444" s="148"/>
      <c r="B1444" s="75"/>
      <c r="C1444" s="75"/>
      <c r="D1444" s="75"/>
      <c r="E1444" s="75"/>
      <c r="F1444" s="75"/>
      <c r="G1444" s="75"/>
      <c r="H1444" s="75"/>
      <c r="I1444" s="75"/>
      <c r="J1444" s="166"/>
      <c r="K1444" s="166"/>
      <c r="R1444" s="163"/>
      <c r="S1444" s="163"/>
    </row>
    <row r="1445">
      <c r="A1445" s="148"/>
      <c r="B1445" s="75"/>
      <c r="C1445" s="75"/>
      <c r="D1445" s="75"/>
      <c r="E1445" s="75"/>
      <c r="F1445" s="75"/>
      <c r="G1445" s="75"/>
      <c r="H1445" s="75"/>
      <c r="I1445" s="75"/>
      <c r="J1445" s="166"/>
      <c r="K1445" s="166"/>
      <c r="R1445" s="163"/>
      <c r="S1445" s="163"/>
    </row>
    <row r="1446">
      <c r="A1446" s="148"/>
      <c r="B1446" s="75"/>
      <c r="C1446" s="75"/>
      <c r="D1446" s="75"/>
      <c r="E1446" s="75"/>
      <c r="F1446" s="75"/>
      <c r="G1446" s="75"/>
      <c r="H1446" s="75"/>
      <c r="I1446" s="75"/>
      <c r="J1446" s="166"/>
      <c r="K1446" s="166"/>
      <c r="R1446" s="163"/>
      <c r="S1446" s="163"/>
    </row>
    <row r="1447">
      <c r="A1447" s="148"/>
      <c r="B1447" s="75"/>
      <c r="C1447" s="75"/>
      <c r="D1447" s="75"/>
      <c r="E1447" s="75"/>
      <c r="F1447" s="75"/>
      <c r="G1447" s="75"/>
      <c r="H1447" s="75"/>
      <c r="I1447" s="75"/>
      <c r="J1447" s="166"/>
      <c r="K1447" s="166"/>
      <c r="R1447" s="163"/>
      <c r="S1447" s="163"/>
    </row>
    <row r="1448">
      <c r="A1448" s="148"/>
      <c r="B1448" s="75"/>
      <c r="C1448" s="75"/>
      <c r="D1448" s="75"/>
      <c r="E1448" s="75"/>
      <c r="F1448" s="75"/>
      <c r="G1448" s="75"/>
      <c r="H1448" s="75"/>
      <c r="I1448" s="75"/>
      <c r="J1448" s="166"/>
      <c r="K1448" s="166"/>
      <c r="R1448" s="163"/>
      <c r="S1448" s="163"/>
    </row>
    <row r="1449">
      <c r="A1449" s="148"/>
      <c r="B1449" s="75"/>
      <c r="C1449" s="75"/>
      <c r="D1449" s="75"/>
      <c r="E1449" s="75"/>
      <c r="F1449" s="75"/>
      <c r="G1449" s="75"/>
      <c r="H1449" s="75"/>
      <c r="I1449" s="75"/>
      <c r="J1449" s="166"/>
      <c r="K1449" s="166"/>
      <c r="R1449" s="163"/>
      <c r="S1449" s="163"/>
    </row>
    <row r="1450">
      <c r="A1450" s="148"/>
      <c r="B1450" s="75"/>
      <c r="C1450" s="75"/>
      <c r="D1450" s="75"/>
      <c r="E1450" s="75"/>
      <c r="F1450" s="75"/>
      <c r="G1450" s="75"/>
      <c r="H1450" s="75"/>
      <c r="I1450" s="75"/>
      <c r="J1450" s="166"/>
      <c r="K1450" s="166"/>
      <c r="R1450" s="163"/>
      <c r="S1450" s="163"/>
    </row>
    <row r="1451">
      <c r="A1451" s="148"/>
      <c r="B1451" s="75"/>
      <c r="C1451" s="75"/>
      <c r="D1451" s="75"/>
      <c r="E1451" s="75"/>
      <c r="F1451" s="75"/>
      <c r="G1451" s="75"/>
      <c r="H1451" s="75"/>
      <c r="I1451" s="75"/>
      <c r="J1451" s="166"/>
      <c r="K1451" s="166"/>
      <c r="R1451" s="163"/>
      <c r="S1451" s="163"/>
    </row>
    <row r="1452">
      <c r="A1452" s="148"/>
      <c r="B1452" s="75"/>
      <c r="C1452" s="75"/>
      <c r="D1452" s="75"/>
      <c r="E1452" s="75"/>
      <c r="F1452" s="75"/>
      <c r="G1452" s="75"/>
      <c r="H1452" s="75"/>
      <c r="I1452" s="75"/>
      <c r="J1452" s="166"/>
      <c r="K1452" s="166"/>
      <c r="R1452" s="173"/>
      <c r="S1452" s="173"/>
    </row>
    <row r="1453">
      <c r="A1453" s="148"/>
      <c r="B1453" s="75"/>
      <c r="C1453" s="75"/>
      <c r="D1453" s="75"/>
      <c r="E1453" s="75"/>
      <c r="F1453" s="75"/>
      <c r="G1453" s="75"/>
      <c r="H1453" s="75"/>
      <c r="I1453" s="75"/>
      <c r="J1453" s="166"/>
      <c r="K1453" s="166"/>
      <c r="R1453" s="157"/>
      <c r="S1453" s="157"/>
    </row>
    <row r="1454">
      <c r="A1454" s="148"/>
      <c r="B1454" s="75"/>
      <c r="C1454" s="75"/>
      <c r="D1454" s="75"/>
      <c r="E1454" s="75"/>
      <c r="F1454" s="75"/>
      <c r="G1454" s="75"/>
      <c r="H1454" s="75"/>
      <c r="I1454" s="75"/>
      <c r="J1454" s="166"/>
      <c r="K1454" s="166"/>
      <c r="R1454" s="163"/>
      <c r="S1454" s="163"/>
    </row>
    <row r="1455">
      <c r="A1455" s="148"/>
      <c r="B1455" s="75"/>
      <c r="C1455" s="75"/>
      <c r="D1455" s="75"/>
      <c r="E1455" s="75"/>
      <c r="F1455" s="75"/>
      <c r="G1455" s="75"/>
      <c r="H1455" s="75"/>
      <c r="I1455" s="75"/>
      <c r="J1455" s="166"/>
      <c r="K1455" s="166"/>
      <c r="R1455" s="163"/>
      <c r="S1455" s="163"/>
    </row>
    <row r="1456">
      <c r="A1456" s="148"/>
      <c r="B1456" s="75"/>
      <c r="C1456" s="75"/>
      <c r="D1456" s="75"/>
      <c r="E1456" s="75"/>
      <c r="F1456" s="75"/>
      <c r="G1456" s="75"/>
      <c r="H1456" s="75"/>
      <c r="I1456" s="75"/>
      <c r="J1456" s="166"/>
      <c r="K1456" s="166"/>
      <c r="R1456" s="163"/>
      <c r="S1456" s="163"/>
    </row>
    <row r="1457">
      <c r="A1457" s="148"/>
      <c r="B1457" s="75"/>
      <c r="C1457" s="75"/>
      <c r="D1457" s="75"/>
      <c r="E1457" s="75"/>
      <c r="F1457" s="75"/>
      <c r="G1457" s="75"/>
      <c r="H1457" s="75"/>
      <c r="I1457" s="75"/>
      <c r="J1457" s="166"/>
      <c r="K1457" s="166"/>
      <c r="R1457" s="163"/>
      <c r="S1457" s="163"/>
    </row>
    <row r="1458">
      <c r="A1458" s="148"/>
      <c r="B1458" s="75"/>
      <c r="C1458" s="75"/>
      <c r="D1458" s="75"/>
      <c r="E1458" s="75"/>
      <c r="F1458" s="75"/>
      <c r="G1458" s="75"/>
      <c r="H1458" s="75"/>
      <c r="I1458" s="75"/>
      <c r="J1458" s="166"/>
      <c r="K1458" s="166"/>
      <c r="R1458" s="163"/>
      <c r="S1458" s="163"/>
    </row>
    <row r="1459">
      <c r="A1459" s="148"/>
      <c r="B1459" s="75"/>
      <c r="C1459" s="75"/>
      <c r="D1459" s="75"/>
      <c r="E1459" s="75"/>
      <c r="F1459" s="75"/>
      <c r="G1459" s="75"/>
      <c r="H1459" s="75"/>
      <c r="I1459" s="75"/>
      <c r="J1459" s="166"/>
      <c r="K1459" s="166"/>
      <c r="R1459" s="163"/>
      <c r="S1459" s="163"/>
    </row>
    <row r="1460">
      <c r="A1460" s="148"/>
      <c r="B1460" s="75"/>
      <c r="C1460" s="75"/>
      <c r="D1460" s="75"/>
      <c r="E1460" s="75"/>
      <c r="F1460" s="75"/>
      <c r="G1460" s="75"/>
      <c r="H1460" s="75"/>
      <c r="I1460" s="75"/>
      <c r="J1460" s="166"/>
      <c r="K1460" s="166"/>
      <c r="R1460" s="163"/>
      <c r="S1460" s="163"/>
    </row>
    <row r="1461">
      <c r="A1461" s="148"/>
      <c r="B1461" s="75"/>
      <c r="C1461" s="75"/>
      <c r="D1461" s="75"/>
      <c r="E1461" s="75"/>
      <c r="F1461" s="75"/>
      <c r="G1461" s="75"/>
      <c r="H1461" s="75"/>
      <c r="I1461" s="75"/>
      <c r="J1461" s="166"/>
      <c r="K1461" s="166"/>
      <c r="R1461" s="163"/>
      <c r="S1461" s="163"/>
    </row>
    <row r="1462">
      <c r="A1462" s="148"/>
      <c r="B1462" s="75"/>
      <c r="C1462" s="75"/>
      <c r="D1462" s="75"/>
      <c r="E1462" s="75"/>
      <c r="F1462" s="75"/>
      <c r="G1462" s="75"/>
      <c r="H1462" s="75"/>
      <c r="I1462" s="75"/>
      <c r="J1462" s="166"/>
      <c r="K1462" s="166"/>
      <c r="R1462" s="163"/>
      <c r="S1462" s="163"/>
    </row>
    <row r="1463">
      <c r="A1463" s="148"/>
      <c r="B1463" s="75"/>
      <c r="C1463" s="75"/>
      <c r="D1463" s="75"/>
      <c r="E1463" s="75"/>
      <c r="F1463" s="75"/>
      <c r="G1463" s="75"/>
      <c r="H1463" s="75"/>
      <c r="I1463" s="75"/>
      <c r="J1463" s="166"/>
      <c r="K1463" s="166"/>
      <c r="R1463" s="163"/>
      <c r="S1463" s="163"/>
    </row>
    <row r="1464">
      <c r="A1464" s="148"/>
      <c r="B1464" s="75"/>
      <c r="C1464" s="75"/>
      <c r="D1464" s="75"/>
      <c r="E1464" s="75"/>
      <c r="F1464" s="75"/>
      <c r="G1464" s="75"/>
      <c r="H1464" s="75"/>
      <c r="I1464" s="75"/>
      <c r="J1464" s="166"/>
      <c r="K1464" s="166"/>
      <c r="R1464" s="173"/>
      <c r="S1464" s="173"/>
    </row>
    <row r="1465">
      <c r="A1465" s="148"/>
      <c r="B1465" s="75"/>
      <c r="C1465" s="75"/>
      <c r="D1465" s="75"/>
      <c r="E1465" s="75"/>
      <c r="F1465" s="75"/>
      <c r="G1465" s="75"/>
      <c r="H1465" s="75"/>
      <c r="I1465" s="75"/>
      <c r="J1465" s="166"/>
      <c r="K1465" s="166"/>
      <c r="R1465" s="157"/>
      <c r="S1465" s="157"/>
    </row>
    <row r="1466">
      <c r="A1466" s="148"/>
      <c r="B1466" s="75"/>
      <c r="C1466" s="75"/>
      <c r="D1466" s="75"/>
      <c r="E1466" s="75"/>
      <c r="F1466" s="75"/>
      <c r="G1466" s="75"/>
      <c r="H1466" s="75"/>
      <c r="I1466" s="75"/>
      <c r="J1466" s="166"/>
      <c r="K1466" s="166"/>
      <c r="R1466" s="163"/>
      <c r="S1466" s="163"/>
    </row>
    <row r="1467">
      <c r="A1467" s="148"/>
      <c r="B1467" s="75"/>
      <c r="C1467" s="75"/>
      <c r="D1467" s="75"/>
      <c r="E1467" s="75"/>
      <c r="F1467" s="75"/>
      <c r="G1467" s="75"/>
      <c r="H1467" s="75"/>
      <c r="I1467" s="75"/>
      <c r="J1467" s="166"/>
      <c r="K1467" s="166"/>
      <c r="R1467" s="163"/>
      <c r="S1467" s="163"/>
    </row>
    <row r="1468">
      <c r="A1468" s="148"/>
      <c r="B1468" s="75"/>
      <c r="C1468" s="75"/>
      <c r="D1468" s="75"/>
      <c r="E1468" s="75"/>
      <c r="F1468" s="75"/>
      <c r="G1468" s="75"/>
      <c r="H1468" s="75"/>
      <c r="I1468" s="75"/>
      <c r="J1468" s="166"/>
      <c r="K1468" s="166"/>
      <c r="R1468" s="163"/>
      <c r="S1468" s="163"/>
    </row>
    <row r="1469">
      <c r="A1469" s="148"/>
      <c r="B1469" s="75"/>
      <c r="C1469" s="75"/>
      <c r="D1469" s="75"/>
      <c r="E1469" s="75"/>
      <c r="F1469" s="75"/>
      <c r="G1469" s="75"/>
      <c r="H1469" s="75"/>
      <c r="I1469" s="75"/>
      <c r="J1469" s="166"/>
      <c r="K1469" s="166"/>
      <c r="R1469" s="163"/>
      <c r="S1469" s="163"/>
    </row>
    <row r="1470">
      <c r="A1470" s="148"/>
      <c r="B1470" s="75"/>
      <c r="C1470" s="75"/>
      <c r="D1470" s="75"/>
      <c r="E1470" s="75"/>
      <c r="F1470" s="75"/>
      <c r="G1470" s="75"/>
      <c r="H1470" s="75"/>
      <c r="I1470" s="75"/>
      <c r="J1470" s="166"/>
      <c r="K1470" s="166"/>
      <c r="R1470" s="163"/>
      <c r="S1470" s="163"/>
    </row>
    <row r="1471">
      <c r="A1471" s="148"/>
      <c r="B1471" s="75"/>
      <c r="C1471" s="75"/>
      <c r="D1471" s="75"/>
      <c r="E1471" s="75"/>
      <c r="F1471" s="75"/>
      <c r="G1471" s="75"/>
      <c r="H1471" s="75"/>
      <c r="I1471" s="75"/>
      <c r="J1471" s="166"/>
      <c r="K1471" s="166"/>
      <c r="R1471" s="163"/>
      <c r="S1471" s="163"/>
    </row>
    <row r="1472">
      <c r="A1472" s="148"/>
      <c r="B1472" s="75"/>
      <c r="C1472" s="75"/>
      <c r="D1472" s="75"/>
      <c r="E1472" s="75"/>
      <c r="F1472" s="75"/>
      <c r="G1472" s="75"/>
      <c r="H1472" s="75"/>
      <c r="I1472" s="75"/>
      <c r="J1472" s="166"/>
      <c r="K1472" s="166"/>
      <c r="R1472" s="163"/>
      <c r="S1472" s="163"/>
    </row>
    <row r="1473">
      <c r="A1473" s="148"/>
      <c r="B1473" s="75"/>
      <c r="C1473" s="75"/>
      <c r="D1473" s="75"/>
      <c r="E1473" s="75"/>
      <c r="F1473" s="75"/>
      <c r="G1473" s="75"/>
      <c r="H1473" s="75"/>
      <c r="I1473" s="75"/>
      <c r="J1473" s="166"/>
      <c r="K1473" s="166"/>
      <c r="R1473" s="163"/>
      <c r="S1473" s="163"/>
    </row>
    <row r="1474">
      <c r="A1474" s="148"/>
      <c r="B1474" s="75"/>
      <c r="C1474" s="75"/>
      <c r="D1474" s="75"/>
      <c r="E1474" s="75"/>
      <c r="F1474" s="75"/>
      <c r="G1474" s="75"/>
      <c r="H1474" s="75"/>
      <c r="I1474" s="75"/>
      <c r="J1474" s="166"/>
      <c r="K1474" s="166"/>
      <c r="R1474" s="163"/>
      <c r="S1474" s="163"/>
    </row>
    <row r="1475">
      <c r="A1475" s="148"/>
      <c r="B1475" s="75"/>
      <c r="C1475" s="75"/>
      <c r="D1475" s="75"/>
      <c r="E1475" s="75"/>
      <c r="F1475" s="75"/>
      <c r="G1475" s="75"/>
      <c r="H1475" s="75"/>
      <c r="I1475" s="75"/>
      <c r="J1475" s="166"/>
      <c r="K1475" s="166"/>
      <c r="R1475" s="163"/>
      <c r="S1475" s="163"/>
    </row>
    <row r="1476">
      <c r="A1476" s="148"/>
      <c r="B1476" s="75"/>
      <c r="C1476" s="75"/>
      <c r="D1476" s="75"/>
      <c r="E1476" s="75"/>
      <c r="F1476" s="75"/>
      <c r="G1476" s="75"/>
      <c r="H1476" s="75"/>
      <c r="I1476" s="75"/>
      <c r="J1476" s="166"/>
      <c r="K1476" s="166"/>
      <c r="R1476" s="173"/>
      <c r="S1476" s="173"/>
    </row>
    <row r="1477">
      <c r="A1477" s="148"/>
      <c r="B1477" s="75"/>
      <c r="C1477" s="75"/>
      <c r="D1477" s="75"/>
      <c r="E1477" s="75"/>
      <c r="F1477" s="75"/>
      <c r="G1477" s="75"/>
      <c r="H1477" s="75"/>
      <c r="I1477" s="75"/>
      <c r="J1477" s="166"/>
      <c r="K1477" s="166"/>
      <c r="R1477" s="157"/>
      <c r="S1477" s="157"/>
    </row>
    <row r="1478">
      <c r="A1478" s="148"/>
      <c r="B1478" s="75"/>
      <c r="C1478" s="75"/>
      <c r="D1478" s="75"/>
      <c r="E1478" s="75"/>
      <c r="F1478" s="75"/>
      <c r="G1478" s="75"/>
      <c r="H1478" s="75"/>
      <c r="I1478" s="75"/>
      <c r="J1478" s="166"/>
      <c r="K1478" s="166"/>
      <c r="R1478" s="163"/>
      <c r="S1478" s="163"/>
    </row>
    <row r="1479">
      <c r="A1479" s="148"/>
      <c r="B1479" s="75"/>
      <c r="C1479" s="75"/>
      <c r="D1479" s="75"/>
      <c r="E1479" s="75"/>
      <c r="F1479" s="75"/>
      <c r="G1479" s="75"/>
      <c r="H1479" s="75"/>
      <c r="I1479" s="75"/>
      <c r="J1479" s="166"/>
      <c r="K1479" s="166"/>
      <c r="R1479" s="163"/>
      <c r="S1479" s="163"/>
    </row>
    <row r="1480">
      <c r="A1480" s="148"/>
      <c r="B1480" s="75"/>
      <c r="C1480" s="75"/>
      <c r="D1480" s="75"/>
      <c r="E1480" s="75"/>
      <c r="F1480" s="75"/>
      <c r="G1480" s="75"/>
      <c r="H1480" s="75"/>
      <c r="I1480" s="75"/>
      <c r="J1480" s="166"/>
      <c r="K1480" s="166"/>
      <c r="R1480" s="163"/>
      <c r="S1480" s="163"/>
    </row>
    <row r="1481">
      <c r="A1481" s="148"/>
      <c r="B1481" s="75"/>
      <c r="C1481" s="75"/>
      <c r="D1481" s="75"/>
      <c r="E1481" s="75"/>
      <c r="F1481" s="75"/>
      <c r="G1481" s="75"/>
      <c r="H1481" s="75"/>
      <c r="I1481" s="75"/>
      <c r="J1481" s="166"/>
      <c r="K1481" s="166"/>
      <c r="R1481" s="163"/>
      <c r="S1481" s="163"/>
    </row>
    <row r="1482">
      <c r="A1482" s="148"/>
      <c r="B1482" s="75"/>
      <c r="C1482" s="75"/>
      <c r="D1482" s="75"/>
      <c r="E1482" s="75"/>
      <c r="F1482" s="75"/>
      <c r="G1482" s="75"/>
      <c r="H1482" s="75"/>
      <c r="I1482" s="75"/>
      <c r="J1482" s="166"/>
      <c r="K1482" s="166"/>
      <c r="R1482" s="163"/>
      <c r="S1482" s="163"/>
    </row>
    <row r="1483">
      <c r="A1483" s="148"/>
      <c r="B1483" s="75"/>
      <c r="C1483" s="75"/>
      <c r="D1483" s="75"/>
      <c r="E1483" s="75"/>
      <c r="F1483" s="75"/>
      <c r="G1483" s="75"/>
      <c r="H1483" s="75"/>
      <c r="I1483" s="75"/>
      <c r="J1483" s="166"/>
      <c r="K1483" s="166"/>
      <c r="R1483" s="163"/>
      <c r="S1483" s="163"/>
    </row>
    <row r="1484">
      <c r="A1484" s="148"/>
      <c r="B1484" s="75"/>
      <c r="C1484" s="75"/>
      <c r="D1484" s="75"/>
      <c r="E1484" s="75"/>
      <c r="F1484" s="75"/>
      <c r="G1484" s="75"/>
      <c r="H1484" s="75"/>
      <c r="I1484" s="75"/>
      <c r="J1484" s="166"/>
      <c r="K1484" s="166"/>
      <c r="R1484" s="163"/>
      <c r="S1484" s="163"/>
    </row>
    <row r="1485">
      <c r="A1485" s="148"/>
      <c r="B1485" s="75"/>
      <c r="C1485" s="75"/>
      <c r="D1485" s="75"/>
      <c r="E1485" s="75"/>
      <c r="F1485" s="75"/>
      <c r="G1485" s="75"/>
      <c r="H1485" s="75"/>
      <c r="I1485" s="75"/>
      <c r="J1485" s="166"/>
      <c r="K1485" s="166"/>
      <c r="R1485" s="163"/>
      <c r="S1485" s="163"/>
    </row>
    <row r="1486">
      <c r="A1486" s="148"/>
      <c r="B1486" s="75"/>
      <c r="C1486" s="75"/>
      <c r="D1486" s="75"/>
      <c r="E1486" s="75"/>
      <c r="F1486" s="75"/>
      <c r="G1486" s="75"/>
      <c r="H1486" s="75"/>
      <c r="I1486" s="75"/>
      <c r="J1486" s="166"/>
      <c r="K1486" s="166"/>
      <c r="R1486" s="163"/>
      <c r="S1486" s="163"/>
    </row>
    <row r="1487">
      <c r="A1487" s="148"/>
      <c r="B1487" s="75"/>
      <c r="C1487" s="75"/>
      <c r="D1487" s="75"/>
      <c r="E1487" s="75"/>
      <c r="F1487" s="75"/>
      <c r="G1487" s="75"/>
      <c r="H1487" s="75"/>
      <c r="I1487" s="75"/>
      <c r="J1487" s="166"/>
      <c r="K1487" s="166"/>
      <c r="R1487" s="163"/>
      <c r="S1487" s="163"/>
    </row>
    <row r="1488">
      <c r="A1488" s="148"/>
      <c r="B1488" s="75"/>
      <c r="C1488" s="75"/>
      <c r="D1488" s="75"/>
      <c r="E1488" s="75"/>
      <c r="F1488" s="75"/>
      <c r="G1488" s="75"/>
      <c r="H1488" s="75"/>
      <c r="I1488" s="75"/>
      <c r="J1488" s="166"/>
      <c r="K1488" s="166"/>
      <c r="R1488" s="173"/>
      <c r="S1488" s="173"/>
    </row>
    <row r="1489">
      <c r="A1489" s="148"/>
      <c r="B1489" s="75"/>
      <c r="C1489" s="75"/>
      <c r="D1489" s="75"/>
      <c r="E1489" s="75"/>
      <c r="F1489" s="75"/>
      <c r="G1489" s="75"/>
      <c r="H1489" s="75"/>
      <c r="I1489" s="75"/>
      <c r="J1489" s="166"/>
      <c r="K1489" s="166"/>
      <c r="R1489" s="157"/>
      <c r="S1489" s="157"/>
    </row>
    <row r="1490">
      <c r="A1490" s="148"/>
      <c r="B1490" s="75"/>
      <c r="C1490" s="75"/>
      <c r="D1490" s="75"/>
      <c r="E1490" s="75"/>
      <c r="F1490" s="75"/>
      <c r="G1490" s="75"/>
      <c r="H1490" s="75"/>
      <c r="I1490" s="75"/>
      <c r="J1490" s="166"/>
      <c r="K1490" s="166"/>
      <c r="R1490" s="163"/>
      <c r="S1490" s="163"/>
    </row>
    <row r="1491">
      <c r="A1491" s="148"/>
      <c r="B1491" s="75"/>
      <c r="C1491" s="75"/>
      <c r="D1491" s="75"/>
      <c r="E1491" s="75"/>
      <c r="F1491" s="75"/>
      <c r="G1491" s="75"/>
      <c r="H1491" s="75"/>
      <c r="I1491" s="75"/>
      <c r="J1491" s="166"/>
      <c r="K1491" s="166"/>
      <c r="R1491" s="163"/>
      <c r="S1491" s="163"/>
    </row>
    <row r="1492">
      <c r="A1492" s="148"/>
      <c r="B1492" s="75"/>
      <c r="C1492" s="75"/>
      <c r="D1492" s="75"/>
      <c r="E1492" s="75"/>
      <c r="F1492" s="75"/>
      <c r="G1492" s="75"/>
      <c r="H1492" s="75"/>
      <c r="I1492" s="75"/>
      <c r="J1492" s="166"/>
      <c r="K1492" s="166"/>
      <c r="R1492" s="163"/>
      <c r="S1492" s="163"/>
    </row>
    <row r="1493">
      <c r="A1493" s="148"/>
      <c r="B1493" s="75"/>
      <c r="C1493" s="75"/>
      <c r="D1493" s="75"/>
      <c r="E1493" s="75"/>
      <c r="F1493" s="75"/>
      <c r="G1493" s="75"/>
      <c r="H1493" s="75"/>
      <c r="I1493" s="75"/>
      <c r="J1493" s="166"/>
      <c r="K1493" s="166"/>
      <c r="R1493" s="163"/>
      <c r="S1493" s="163"/>
    </row>
    <row r="1494">
      <c r="A1494" s="148"/>
      <c r="B1494" s="75"/>
      <c r="C1494" s="75"/>
      <c r="D1494" s="75"/>
      <c r="E1494" s="75"/>
      <c r="F1494" s="75"/>
      <c r="G1494" s="75"/>
      <c r="H1494" s="75"/>
      <c r="I1494" s="75"/>
      <c r="J1494" s="166"/>
      <c r="K1494" s="166"/>
      <c r="R1494" s="163"/>
      <c r="S1494" s="163"/>
    </row>
    <row r="1495">
      <c r="A1495" s="148"/>
      <c r="B1495" s="75"/>
      <c r="C1495" s="75"/>
      <c r="D1495" s="75"/>
      <c r="E1495" s="75"/>
      <c r="F1495" s="75"/>
      <c r="G1495" s="75"/>
      <c r="H1495" s="75"/>
      <c r="I1495" s="75"/>
      <c r="J1495" s="166"/>
      <c r="K1495" s="166"/>
      <c r="R1495" s="163"/>
      <c r="S1495" s="163"/>
    </row>
    <row r="1496">
      <c r="A1496" s="148"/>
      <c r="B1496" s="75"/>
      <c r="C1496" s="75"/>
      <c r="D1496" s="75"/>
      <c r="E1496" s="75"/>
      <c r="F1496" s="75"/>
      <c r="G1496" s="75"/>
      <c r="H1496" s="75"/>
      <c r="I1496" s="75"/>
      <c r="J1496" s="166"/>
      <c r="K1496" s="166"/>
      <c r="R1496" s="163"/>
      <c r="S1496" s="163"/>
    </row>
    <row r="1497">
      <c r="A1497" s="148"/>
      <c r="B1497" s="75"/>
      <c r="C1497" s="75"/>
      <c r="D1497" s="75"/>
      <c r="E1497" s="75"/>
      <c r="F1497" s="75"/>
      <c r="G1497" s="75"/>
      <c r="H1497" s="75"/>
      <c r="I1497" s="75"/>
      <c r="J1497" s="166"/>
      <c r="K1497" s="166"/>
      <c r="R1497" s="163"/>
      <c r="S1497" s="163"/>
    </row>
    <row r="1498">
      <c r="A1498" s="148"/>
      <c r="B1498" s="75"/>
      <c r="C1498" s="75"/>
      <c r="D1498" s="75"/>
      <c r="E1498" s="75"/>
      <c r="F1498" s="75"/>
      <c r="G1498" s="75"/>
      <c r="H1498" s="75"/>
      <c r="I1498" s="75"/>
      <c r="J1498" s="166"/>
      <c r="K1498" s="166"/>
      <c r="R1498" s="163"/>
      <c r="S1498" s="163"/>
    </row>
    <row r="1499">
      <c r="A1499" s="148"/>
      <c r="B1499" s="75"/>
      <c r="C1499" s="75"/>
      <c r="D1499" s="75"/>
      <c r="E1499" s="75"/>
      <c r="F1499" s="75"/>
      <c r="G1499" s="75"/>
      <c r="H1499" s="75"/>
      <c r="I1499" s="75"/>
      <c r="J1499" s="166"/>
      <c r="K1499" s="166"/>
      <c r="R1499" s="163"/>
      <c r="S1499" s="163"/>
    </row>
    <row r="1500">
      <c r="A1500" s="148"/>
      <c r="B1500" s="75"/>
      <c r="C1500" s="75"/>
      <c r="D1500" s="75"/>
      <c r="E1500" s="75"/>
      <c r="F1500" s="75"/>
      <c r="G1500" s="75"/>
      <c r="H1500" s="75"/>
      <c r="I1500" s="75"/>
      <c r="J1500" s="166"/>
      <c r="K1500" s="166"/>
      <c r="R1500" s="173"/>
      <c r="S1500" s="173"/>
    </row>
    <row r="1501">
      <c r="A1501" s="148"/>
      <c r="B1501" s="75"/>
      <c r="C1501" s="75"/>
      <c r="D1501" s="75"/>
      <c r="E1501" s="75"/>
      <c r="F1501" s="75"/>
      <c r="G1501" s="75"/>
      <c r="H1501" s="75"/>
      <c r="I1501" s="75"/>
      <c r="J1501" s="166"/>
      <c r="K1501" s="166"/>
      <c r="R1501" s="157"/>
      <c r="S1501" s="157"/>
    </row>
    <row r="1502">
      <c r="A1502" s="148"/>
      <c r="B1502" s="75"/>
      <c r="C1502" s="75"/>
      <c r="D1502" s="75"/>
      <c r="E1502" s="75"/>
      <c r="F1502" s="75"/>
      <c r="G1502" s="75"/>
      <c r="H1502" s="75"/>
      <c r="I1502" s="75"/>
      <c r="J1502" s="166"/>
      <c r="K1502" s="166"/>
      <c r="R1502" s="163"/>
      <c r="S1502" s="163"/>
    </row>
    <row r="1503">
      <c r="A1503" s="148"/>
      <c r="B1503" s="75"/>
      <c r="C1503" s="75"/>
      <c r="D1503" s="75"/>
      <c r="E1503" s="75"/>
      <c r="F1503" s="75"/>
      <c r="G1503" s="75"/>
      <c r="H1503" s="75"/>
      <c r="I1503" s="75"/>
      <c r="J1503" s="166"/>
      <c r="K1503" s="166"/>
      <c r="R1503" s="163"/>
      <c r="S1503" s="163"/>
    </row>
    <row r="1504">
      <c r="A1504" s="148"/>
      <c r="B1504" s="75"/>
      <c r="C1504" s="75"/>
      <c r="D1504" s="75"/>
      <c r="E1504" s="75"/>
      <c r="F1504" s="75"/>
      <c r="G1504" s="75"/>
      <c r="H1504" s="75"/>
      <c r="I1504" s="75"/>
      <c r="J1504" s="166"/>
      <c r="K1504" s="166"/>
      <c r="R1504" s="163"/>
      <c r="S1504" s="163"/>
    </row>
    <row r="1505">
      <c r="A1505" s="148"/>
      <c r="B1505" s="75"/>
      <c r="C1505" s="75"/>
      <c r="D1505" s="75"/>
      <c r="E1505" s="75"/>
      <c r="F1505" s="75"/>
      <c r="G1505" s="75"/>
      <c r="H1505" s="75"/>
      <c r="I1505" s="75"/>
      <c r="J1505" s="166"/>
      <c r="K1505" s="166"/>
      <c r="R1505" s="163"/>
      <c r="S1505" s="163"/>
    </row>
    <row r="1506">
      <c r="A1506" s="148"/>
      <c r="B1506" s="75"/>
      <c r="C1506" s="75"/>
      <c r="D1506" s="75"/>
      <c r="E1506" s="75"/>
      <c r="F1506" s="75"/>
      <c r="G1506" s="75"/>
      <c r="H1506" s="75"/>
      <c r="I1506" s="75"/>
      <c r="J1506" s="166"/>
      <c r="K1506" s="166"/>
      <c r="R1506" s="163"/>
      <c r="S1506" s="163"/>
    </row>
    <row r="1507">
      <c r="A1507" s="148"/>
      <c r="B1507" s="75"/>
      <c r="C1507" s="75"/>
      <c r="D1507" s="75"/>
      <c r="E1507" s="75"/>
      <c r="F1507" s="75"/>
      <c r="G1507" s="75"/>
      <c r="H1507" s="75"/>
      <c r="I1507" s="75"/>
      <c r="J1507" s="166"/>
      <c r="K1507" s="166"/>
      <c r="R1507" s="163"/>
      <c r="S1507" s="163"/>
    </row>
    <row r="1508">
      <c r="A1508" s="148"/>
      <c r="B1508" s="75"/>
      <c r="C1508" s="75"/>
      <c r="D1508" s="75"/>
      <c r="E1508" s="75"/>
      <c r="F1508" s="75"/>
      <c r="G1508" s="75"/>
      <c r="H1508" s="75"/>
      <c r="I1508" s="75"/>
      <c r="J1508" s="166"/>
      <c r="K1508" s="166"/>
      <c r="R1508" s="163"/>
      <c r="S1508" s="163"/>
    </row>
    <row r="1509">
      <c r="A1509" s="148"/>
      <c r="B1509" s="75"/>
      <c r="C1509" s="75"/>
      <c r="D1509" s="75"/>
      <c r="E1509" s="75"/>
      <c r="F1509" s="75"/>
      <c r="G1509" s="75"/>
      <c r="H1509" s="75"/>
      <c r="I1509" s="75"/>
      <c r="J1509" s="166"/>
      <c r="K1509" s="166"/>
      <c r="R1509" s="163"/>
      <c r="S1509" s="163"/>
    </row>
    <row r="1510">
      <c r="A1510" s="148"/>
      <c r="B1510" s="75"/>
      <c r="C1510" s="75"/>
      <c r="D1510" s="75"/>
      <c r="E1510" s="75"/>
      <c r="F1510" s="75"/>
      <c r="G1510" s="75"/>
      <c r="H1510" s="75"/>
      <c r="I1510" s="75"/>
      <c r="J1510" s="166"/>
      <c r="K1510" s="166"/>
      <c r="R1510" s="163"/>
      <c r="S1510" s="163"/>
    </row>
    <row r="1511">
      <c r="A1511" s="148"/>
      <c r="B1511" s="75"/>
      <c r="C1511" s="75"/>
      <c r="D1511" s="75"/>
      <c r="E1511" s="75"/>
      <c r="F1511" s="75"/>
      <c r="G1511" s="75"/>
      <c r="H1511" s="75"/>
      <c r="I1511" s="75"/>
      <c r="J1511" s="166"/>
      <c r="K1511" s="166"/>
      <c r="R1511" s="163"/>
      <c r="S1511" s="163"/>
    </row>
    <row r="1512">
      <c r="A1512" s="148"/>
      <c r="B1512" s="75"/>
      <c r="C1512" s="75"/>
      <c r="D1512" s="75"/>
      <c r="E1512" s="75"/>
      <c r="F1512" s="75"/>
      <c r="G1512" s="75"/>
      <c r="H1512" s="75"/>
      <c r="I1512" s="75"/>
      <c r="J1512" s="166"/>
      <c r="K1512" s="166"/>
      <c r="R1512" s="173"/>
      <c r="S1512" s="173"/>
    </row>
    <row r="1513">
      <c r="A1513" s="148"/>
      <c r="B1513" s="75"/>
      <c r="C1513" s="75"/>
      <c r="D1513" s="75"/>
      <c r="E1513" s="75"/>
      <c r="F1513" s="75"/>
      <c r="G1513" s="75"/>
      <c r="H1513" s="75"/>
      <c r="I1513" s="75"/>
      <c r="J1513" s="166"/>
      <c r="K1513" s="166"/>
      <c r="R1513" s="157"/>
      <c r="S1513" s="157"/>
    </row>
    <row r="1514">
      <c r="A1514" s="148"/>
      <c r="B1514" s="75"/>
      <c r="C1514" s="75"/>
      <c r="D1514" s="75"/>
      <c r="E1514" s="75"/>
      <c r="F1514" s="75"/>
      <c r="G1514" s="75"/>
      <c r="H1514" s="75"/>
      <c r="I1514" s="75"/>
      <c r="J1514" s="166"/>
      <c r="K1514" s="166"/>
      <c r="R1514" s="163"/>
      <c r="S1514" s="163"/>
    </row>
    <row r="1515">
      <c r="A1515" s="148"/>
      <c r="B1515" s="75"/>
      <c r="C1515" s="75"/>
      <c r="D1515" s="75"/>
      <c r="E1515" s="75"/>
      <c r="F1515" s="75"/>
      <c r="G1515" s="75"/>
      <c r="H1515" s="75"/>
      <c r="I1515" s="75"/>
      <c r="J1515" s="166"/>
      <c r="K1515" s="166"/>
      <c r="R1515" s="163"/>
      <c r="S1515" s="163"/>
    </row>
    <row r="1516">
      <c r="A1516" s="148"/>
      <c r="B1516" s="75"/>
      <c r="C1516" s="75"/>
      <c r="D1516" s="75"/>
      <c r="E1516" s="75"/>
      <c r="F1516" s="75"/>
      <c r="G1516" s="75"/>
      <c r="H1516" s="75"/>
      <c r="I1516" s="75"/>
      <c r="J1516" s="166"/>
      <c r="K1516" s="166"/>
      <c r="R1516" s="163"/>
      <c r="S1516" s="163"/>
    </row>
    <row r="1517">
      <c r="A1517" s="148"/>
      <c r="B1517" s="75"/>
      <c r="C1517" s="75"/>
      <c r="D1517" s="75"/>
      <c r="E1517" s="75"/>
      <c r="F1517" s="75"/>
      <c r="G1517" s="75"/>
      <c r="H1517" s="75"/>
      <c r="I1517" s="75"/>
      <c r="J1517" s="166"/>
      <c r="K1517" s="166"/>
      <c r="R1517" s="163"/>
      <c r="S1517" s="163"/>
    </row>
    <row r="1518">
      <c r="A1518" s="148"/>
      <c r="B1518" s="75"/>
      <c r="C1518" s="75"/>
      <c r="D1518" s="75"/>
      <c r="E1518" s="75"/>
      <c r="F1518" s="75"/>
      <c r="G1518" s="75"/>
      <c r="H1518" s="75"/>
      <c r="I1518" s="75"/>
      <c r="J1518" s="166"/>
      <c r="K1518" s="166"/>
      <c r="R1518" s="163"/>
      <c r="S1518" s="163"/>
    </row>
    <row r="1519">
      <c r="A1519" s="148"/>
      <c r="B1519" s="75"/>
      <c r="C1519" s="75"/>
      <c r="D1519" s="75"/>
      <c r="E1519" s="75"/>
      <c r="F1519" s="75"/>
      <c r="G1519" s="75"/>
      <c r="H1519" s="75"/>
      <c r="I1519" s="75"/>
      <c r="J1519" s="166"/>
      <c r="K1519" s="166"/>
      <c r="R1519" s="163"/>
      <c r="S1519" s="163"/>
    </row>
    <row r="1520">
      <c r="A1520" s="148"/>
      <c r="B1520" s="75"/>
      <c r="C1520" s="75"/>
      <c r="D1520" s="75"/>
      <c r="E1520" s="75"/>
      <c r="F1520" s="75"/>
      <c r="G1520" s="75"/>
      <c r="H1520" s="75"/>
      <c r="I1520" s="75"/>
      <c r="J1520" s="166"/>
      <c r="K1520" s="166"/>
      <c r="R1520" s="163"/>
      <c r="S1520" s="163"/>
    </row>
    <row r="1521">
      <c r="A1521" s="148"/>
      <c r="B1521" s="75"/>
      <c r="C1521" s="75"/>
      <c r="D1521" s="75"/>
      <c r="E1521" s="75"/>
      <c r="F1521" s="75"/>
      <c r="G1521" s="75"/>
      <c r="H1521" s="75"/>
      <c r="I1521" s="75"/>
      <c r="J1521" s="166"/>
      <c r="K1521" s="166"/>
      <c r="R1521" s="163"/>
      <c r="S1521" s="163"/>
    </row>
    <row r="1522">
      <c r="A1522" s="148"/>
      <c r="B1522" s="75"/>
      <c r="C1522" s="75"/>
      <c r="D1522" s="75"/>
      <c r="E1522" s="75"/>
      <c r="F1522" s="75"/>
      <c r="G1522" s="75"/>
      <c r="H1522" s="75"/>
      <c r="I1522" s="75"/>
      <c r="J1522" s="166"/>
      <c r="K1522" s="166"/>
      <c r="R1522" s="163"/>
      <c r="S1522" s="163"/>
    </row>
    <row r="1523">
      <c r="A1523" s="148"/>
      <c r="B1523" s="75"/>
      <c r="C1523" s="75"/>
      <c r="D1523" s="75"/>
      <c r="E1523" s="75"/>
      <c r="F1523" s="75"/>
      <c r="G1523" s="75"/>
      <c r="H1523" s="75"/>
      <c r="I1523" s="75"/>
      <c r="J1523" s="166"/>
      <c r="K1523" s="166"/>
      <c r="R1523" s="163"/>
      <c r="S1523" s="163"/>
    </row>
    <row r="1524">
      <c r="A1524" s="148"/>
      <c r="B1524" s="75"/>
      <c r="C1524" s="75"/>
      <c r="D1524" s="75"/>
      <c r="E1524" s="75"/>
      <c r="F1524" s="75"/>
      <c r="G1524" s="75"/>
      <c r="H1524" s="75"/>
      <c r="I1524" s="75"/>
      <c r="J1524" s="166"/>
      <c r="K1524" s="166"/>
      <c r="R1524" s="173"/>
      <c r="S1524" s="173"/>
    </row>
    <row r="1525">
      <c r="A1525" s="148"/>
      <c r="B1525" s="75"/>
      <c r="C1525" s="75"/>
      <c r="D1525" s="75"/>
      <c r="E1525" s="75"/>
      <c r="F1525" s="75"/>
      <c r="G1525" s="75"/>
      <c r="H1525" s="75"/>
      <c r="I1525" s="75"/>
      <c r="J1525" s="166"/>
      <c r="K1525" s="166"/>
      <c r="R1525" s="157"/>
      <c r="S1525" s="157"/>
    </row>
    <row r="1526">
      <c r="A1526" s="148"/>
      <c r="B1526" s="75"/>
      <c r="C1526" s="75"/>
      <c r="D1526" s="75"/>
      <c r="E1526" s="75"/>
      <c r="F1526" s="75"/>
      <c r="G1526" s="75"/>
      <c r="H1526" s="75"/>
      <c r="I1526" s="75"/>
      <c r="J1526" s="166"/>
      <c r="K1526" s="166"/>
      <c r="R1526" s="163"/>
      <c r="S1526" s="163"/>
    </row>
    <row r="1527">
      <c r="A1527" s="148"/>
      <c r="B1527" s="75"/>
      <c r="C1527" s="75"/>
      <c r="D1527" s="75"/>
      <c r="E1527" s="75"/>
      <c r="F1527" s="75"/>
      <c r="G1527" s="75"/>
      <c r="H1527" s="75"/>
      <c r="I1527" s="75"/>
      <c r="J1527" s="166"/>
      <c r="K1527" s="166"/>
      <c r="R1527" s="163"/>
      <c r="S1527" s="163"/>
    </row>
    <row r="1528">
      <c r="A1528" s="148"/>
      <c r="B1528" s="75"/>
      <c r="C1528" s="75"/>
      <c r="D1528" s="75"/>
      <c r="E1528" s="75"/>
      <c r="F1528" s="75"/>
      <c r="G1528" s="75"/>
      <c r="H1528" s="75"/>
      <c r="I1528" s="75"/>
      <c r="J1528" s="166"/>
      <c r="K1528" s="166"/>
      <c r="R1528" s="163"/>
      <c r="S1528" s="163"/>
    </row>
    <row r="1529">
      <c r="A1529" s="148"/>
      <c r="B1529" s="75"/>
      <c r="C1529" s="75"/>
      <c r="D1529" s="75"/>
      <c r="E1529" s="75"/>
      <c r="F1529" s="75"/>
      <c r="G1529" s="75"/>
      <c r="H1529" s="75"/>
      <c r="I1529" s="75"/>
      <c r="J1529" s="166"/>
      <c r="K1529" s="166"/>
      <c r="R1529" s="163"/>
      <c r="S1529" s="163"/>
    </row>
    <row r="1530">
      <c r="A1530" s="148"/>
      <c r="B1530" s="75"/>
      <c r="C1530" s="75"/>
      <c r="D1530" s="75"/>
      <c r="E1530" s="75"/>
      <c r="F1530" s="75"/>
      <c r="G1530" s="75"/>
      <c r="H1530" s="75"/>
      <c r="I1530" s="75"/>
      <c r="J1530" s="166"/>
      <c r="K1530" s="166"/>
      <c r="R1530" s="163"/>
      <c r="S1530" s="163"/>
    </row>
    <row r="1531">
      <c r="A1531" s="148"/>
      <c r="B1531" s="75"/>
      <c r="C1531" s="75"/>
      <c r="D1531" s="75"/>
      <c r="E1531" s="75"/>
      <c r="F1531" s="75"/>
      <c r="G1531" s="75"/>
      <c r="H1531" s="75"/>
      <c r="I1531" s="75"/>
      <c r="J1531" s="166"/>
      <c r="K1531" s="166"/>
      <c r="R1531" s="163"/>
      <c r="S1531" s="163"/>
    </row>
    <row r="1532">
      <c r="A1532" s="148"/>
      <c r="B1532" s="75"/>
      <c r="C1532" s="75"/>
      <c r="D1532" s="75"/>
      <c r="E1532" s="75"/>
      <c r="F1532" s="75"/>
      <c r="G1532" s="75"/>
      <c r="H1532" s="75"/>
      <c r="I1532" s="75"/>
      <c r="J1532" s="166"/>
      <c r="K1532" s="166"/>
      <c r="R1532" s="163"/>
      <c r="S1532" s="163"/>
    </row>
    <row r="1533">
      <c r="A1533" s="148"/>
      <c r="B1533" s="75"/>
      <c r="C1533" s="75"/>
      <c r="D1533" s="75"/>
      <c r="E1533" s="75"/>
      <c r="F1533" s="75"/>
      <c r="G1533" s="75"/>
      <c r="H1533" s="75"/>
      <c r="I1533" s="75"/>
      <c r="J1533" s="166"/>
      <c r="K1533" s="166"/>
      <c r="R1533" s="163"/>
      <c r="S1533" s="163"/>
    </row>
    <row r="1534">
      <c r="A1534" s="148"/>
      <c r="B1534" s="75"/>
      <c r="C1534" s="75"/>
      <c r="D1534" s="75"/>
      <c r="E1534" s="75"/>
      <c r="F1534" s="75"/>
      <c r="G1534" s="75"/>
      <c r="H1534" s="75"/>
      <c r="I1534" s="75"/>
      <c r="J1534" s="166"/>
      <c r="K1534" s="166"/>
      <c r="R1534" s="163"/>
      <c r="S1534" s="163"/>
    </row>
    <row r="1535">
      <c r="A1535" s="148"/>
      <c r="B1535" s="75"/>
      <c r="C1535" s="75"/>
      <c r="D1535" s="75"/>
      <c r="E1535" s="75"/>
      <c r="F1535" s="75"/>
      <c r="G1535" s="75"/>
      <c r="H1535" s="75"/>
      <c r="I1535" s="75"/>
      <c r="J1535" s="166"/>
      <c r="K1535" s="166"/>
      <c r="R1535" s="163"/>
      <c r="S1535" s="163"/>
    </row>
    <row r="1536">
      <c r="A1536" s="148"/>
      <c r="B1536" s="75"/>
      <c r="C1536" s="75"/>
      <c r="D1536" s="75"/>
      <c r="E1536" s="75"/>
      <c r="F1536" s="75"/>
      <c r="G1536" s="75"/>
      <c r="H1536" s="75"/>
      <c r="I1536" s="75"/>
      <c r="J1536" s="166"/>
      <c r="K1536" s="166"/>
      <c r="R1536" s="173"/>
      <c r="S1536" s="173"/>
    </row>
    <row r="1537">
      <c r="A1537" s="148"/>
      <c r="B1537" s="75"/>
      <c r="C1537" s="75"/>
      <c r="D1537" s="75"/>
      <c r="E1537" s="75"/>
      <c r="F1537" s="75"/>
      <c r="G1537" s="75"/>
      <c r="H1537" s="75"/>
      <c r="I1537" s="75"/>
      <c r="J1537" s="166"/>
      <c r="K1537" s="166"/>
      <c r="R1537" s="157"/>
      <c r="S1537" s="157"/>
    </row>
    <row r="1538">
      <c r="A1538" s="148"/>
      <c r="B1538" s="75"/>
      <c r="C1538" s="75"/>
      <c r="D1538" s="75"/>
      <c r="E1538" s="75"/>
      <c r="F1538" s="75"/>
      <c r="G1538" s="75"/>
      <c r="H1538" s="75"/>
      <c r="I1538" s="75"/>
      <c r="J1538" s="166"/>
      <c r="K1538" s="166"/>
      <c r="R1538" s="163"/>
      <c r="S1538" s="163"/>
    </row>
    <row r="1539">
      <c r="A1539" s="148"/>
      <c r="B1539" s="75"/>
      <c r="C1539" s="75"/>
      <c r="D1539" s="75"/>
      <c r="E1539" s="75"/>
      <c r="F1539" s="75"/>
      <c r="G1539" s="75"/>
      <c r="H1539" s="75"/>
      <c r="I1539" s="75"/>
      <c r="J1539" s="166"/>
      <c r="K1539" s="166"/>
      <c r="R1539" s="163"/>
      <c r="S1539" s="163"/>
    </row>
    <row r="1540">
      <c r="A1540" s="148"/>
      <c r="B1540" s="75"/>
      <c r="C1540" s="75"/>
      <c r="D1540" s="75"/>
      <c r="E1540" s="75"/>
      <c r="F1540" s="75"/>
      <c r="G1540" s="75"/>
      <c r="H1540" s="75"/>
      <c r="I1540" s="75"/>
      <c r="J1540" s="166"/>
      <c r="K1540" s="166"/>
      <c r="R1540" s="163"/>
      <c r="S1540" s="163"/>
    </row>
    <row r="1541">
      <c r="A1541" s="148"/>
      <c r="B1541" s="75"/>
      <c r="C1541" s="75"/>
      <c r="D1541" s="75"/>
      <c r="E1541" s="75"/>
      <c r="F1541" s="75"/>
      <c r="G1541" s="75"/>
      <c r="H1541" s="75"/>
      <c r="I1541" s="75"/>
      <c r="J1541" s="166"/>
      <c r="K1541" s="166"/>
      <c r="R1541" s="163"/>
      <c r="S1541" s="163"/>
    </row>
    <row r="1542">
      <c r="A1542" s="148"/>
      <c r="B1542" s="75"/>
      <c r="C1542" s="75"/>
      <c r="D1542" s="75"/>
      <c r="E1542" s="75"/>
      <c r="F1542" s="75"/>
      <c r="G1542" s="75"/>
      <c r="H1542" s="75"/>
      <c r="I1542" s="75"/>
      <c r="J1542" s="166"/>
      <c r="K1542" s="166"/>
      <c r="R1542" s="163"/>
      <c r="S1542" s="163"/>
    </row>
    <row r="1543">
      <c r="A1543" s="148"/>
      <c r="B1543" s="75"/>
      <c r="C1543" s="75"/>
      <c r="D1543" s="75"/>
      <c r="E1543" s="75"/>
      <c r="F1543" s="75"/>
      <c r="G1543" s="75"/>
      <c r="H1543" s="75"/>
      <c r="I1543" s="75"/>
      <c r="J1543" s="166"/>
      <c r="K1543" s="166"/>
      <c r="R1543" s="163"/>
      <c r="S1543" s="163"/>
    </row>
    <row r="1544">
      <c r="A1544" s="148"/>
      <c r="B1544" s="75"/>
      <c r="C1544" s="75"/>
      <c r="D1544" s="75"/>
      <c r="E1544" s="75"/>
      <c r="F1544" s="75"/>
      <c r="G1544" s="75"/>
      <c r="H1544" s="75"/>
      <c r="I1544" s="75"/>
      <c r="J1544" s="166"/>
      <c r="K1544" s="166"/>
      <c r="R1544" s="163"/>
      <c r="S1544" s="163"/>
    </row>
    <row r="1545">
      <c r="A1545" s="148"/>
      <c r="B1545" s="75"/>
      <c r="C1545" s="75"/>
      <c r="D1545" s="75"/>
      <c r="E1545" s="75"/>
      <c r="F1545" s="75"/>
      <c r="G1545" s="75"/>
      <c r="H1545" s="75"/>
      <c r="I1545" s="75"/>
      <c r="J1545" s="166"/>
      <c r="K1545" s="166"/>
      <c r="R1545" s="163"/>
      <c r="S1545" s="163"/>
    </row>
    <row r="1546">
      <c r="A1546" s="148"/>
      <c r="B1546" s="75"/>
      <c r="C1546" s="75"/>
      <c r="D1546" s="75"/>
      <c r="E1546" s="75"/>
      <c r="F1546" s="75"/>
      <c r="G1546" s="75"/>
      <c r="H1546" s="75"/>
      <c r="I1546" s="75"/>
      <c r="J1546" s="166"/>
      <c r="K1546" s="166"/>
      <c r="R1546" s="163"/>
      <c r="S1546" s="163"/>
    </row>
    <row r="1547">
      <c r="A1547" s="148"/>
      <c r="B1547" s="75"/>
      <c r="C1547" s="75"/>
      <c r="D1547" s="75"/>
      <c r="E1547" s="75"/>
      <c r="F1547" s="75"/>
      <c r="G1547" s="75"/>
      <c r="H1547" s="75"/>
      <c r="I1547" s="75"/>
      <c r="J1547" s="166"/>
      <c r="K1547" s="166"/>
      <c r="R1547" s="163"/>
      <c r="S1547" s="163"/>
    </row>
    <row r="1548">
      <c r="A1548" s="148"/>
      <c r="B1548" s="75"/>
      <c r="C1548" s="75"/>
      <c r="D1548" s="75"/>
      <c r="E1548" s="75"/>
      <c r="F1548" s="75"/>
      <c r="G1548" s="75"/>
      <c r="H1548" s="75"/>
      <c r="I1548" s="75"/>
      <c r="J1548" s="166"/>
      <c r="K1548" s="166"/>
      <c r="R1548" s="173"/>
      <c r="S1548" s="173"/>
    </row>
    <row r="1549">
      <c r="A1549" s="148"/>
      <c r="B1549" s="75"/>
      <c r="C1549" s="75"/>
      <c r="D1549" s="75"/>
      <c r="E1549" s="75"/>
      <c r="F1549" s="75"/>
      <c r="G1549" s="75"/>
      <c r="H1549" s="75"/>
      <c r="I1549" s="75"/>
      <c r="J1549" s="166"/>
      <c r="K1549" s="166"/>
      <c r="R1549" s="157"/>
      <c r="S1549" s="157"/>
    </row>
    <row r="1550">
      <c r="A1550" s="148"/>
      <c r="B1550" s="75"/>
      <c r="C1550" s="75"/>
      <c r="D1550" s="75"/>
      <c r="E1550" s="75"/>
      <c r="F1550" s="75"/>
      <c r="G1550" s="75"/>
      <c r="H1550" s="75"/>
      <c r="I1550" s="75"/>
      <c r="J1550" s="166"/>
      <c r="K1550" s="166"/>
      <c r="R1550" s="163"/>
      <c r="S1550" s="163"/>
    </row>
    <row r="1551">
      <c r="A1551" s="148"/>
      <c r="B1551" s="75"/>
      <c r="C1551" s="75"/>
      <c r="D1551" s="75"/>
      <c r="E1551" s="75"/>
      <c r="F1551" s="75"/>
      <c r="G1551" s="75"/>
      <c r="H1551" s="75"/>
      <c r="I1551" s="75"/>
      <c r="J1551" s="166"/>
      <c r="K1551" s="166"/>
      <c r="R1551" s="163"/>
      <c r="S1551" s="163"/>
    </row>
    <row r="1552">
      <c r="A1552" s="148"/>
      <c r="B1552" s="75"/>
      <c r="C1552" s="75"/>
      <c r="D1552" s="75"/>
      <c r="E1552" s="75"/>
      <c r="F1552" s="75"/>
      <c r="G1552" s="75"/>
      <c r="H1552" s="75"/>
      <c r="I1552" s="75"/>
      <c r="J1552" s="166"/>
      <c r="K1552" s="166"/>
      <c r="R1552" s="163"/>
      <c r="S1552" s="163"/>
    </row>
    <row r="1553">
      <c r="A1553" s="148"/>
      <c r="B1553" s="75"/>
      <c r="C1553" s="75"/>
      <c r="D1553" s="75"/>
      <c r="E1553" s="75"/>
      <c r="F1553" s="75"/>
      <c r="G1553" s="75"/>
      <c r="H1553" s="75"/>
      <c r="I1553" s="75"/>
      <c r="J1553" s="166"/>
      <c r="K1553" s="166"/>
      <c r="R1553" s="163"/>
      <c r="S1553" s="163"/>
    </row>
    <row r="1554">
      <c r="A1554" s="148"/>
      <c r="B1554" s="75"/>
      <c r="C1554" s="75"/>
      <c r="D1554" s="75"/>
      <c r="E1554" s="75"/>
      <c r="F1554" s="75"/>
      <c r="G1554" s="75"/>
      <c r="H1554" s="75"/>
      <c r="I1554" s="75"/>
      <c r="J1554" s="166"/>
      <c r="K1554" s="166"/>
      <c r="R1554" s="163"/>
      <c r="S1554" s="163"/>
    </row>
    <row r="1555">
      <c r="A1555" s="148"/>
      <c r="B1555" s="75"/>
      <c r="C1555" s="75"/>
      <c r="D1555" s="75"/>
      <c r="E1555" s="75"/>
      <c r="F1555" s="75"/>
      <c r="G1555" s="75"/>
      <c r="H1555" s="75"/>
      <c r="I1555" s="75"/>
      <c r="J1555" s="166"/>
      <c r="K1555" s="166"/>
      <c r="R1555" s="163"/>
      <c r="S1555" s="163"/>
    </row>
    <row r="1556">
      <c r="A1556" s="148"/>
      <c r="B1556" s="75"/>
      <c r="C1556" s="75"/>
      <c r="D1556" s="75"/>
      <c r="E1556" s="75"/>
      <c r="F1556" s="75"/>
      <c r="G1556" s="75"/>
      <c r="H1556" s="75"/>
      <c r="I1556" s="75"/>
      <c r="J1556" s="166"/>
      <c r="K1556" s="166"/>
      <c r="R1556" s="163"/>
      <c r="S1556" s="163"/>
    </row>
    <row r="1557">
      <c r="A1557" s="148"/>
      <c r="B1557" s="75"/>
      <c r="C1557" s="75"/>
      <c r="D1557" s="75"/>
      <c r="E1557" s="75"/>
      <c r="F1557" s="75"/>
      <c r="G1557" s="75"/>
      <c r="H1557" s="75"/>
      <c r="I1557" s="75"/>
      <c r="J1557" s="166"/>
      <c r="K1557" s="166"/>
      <c r="R1557" s="163"/>
      <c r="S1557" s="163"/>
    </row>
    <row r="1558">
      <c r="A1558" s="148"/>
      <c r="B1558" s="75"/>
      <c r="C1558" s="75"/>
      <c r="D1558" s="75"/>
      <c r="E1558" s="75"/>
      <c r="F1558" s="75"/>
      <c r="G1558" s="75"/>
      <c r="H1558" s="75"/>
      <c r="I1558" s="75"/>
      <c r="J1558" s="166"/>
      <c r="K1558" s="166"/>
      <c r="R1558" s="163"/>
      <c r="S1558" s="163"/>
    </row>
    <row r="1559">
      <c r="A1559" s="148"/>
      <c r="B1559" s="75"/>
      <c r="C1559" s="75"/>
      <c r="D1559" s="75"/>
      <c r="E1559" s="75"/>
      <c r="F1559" s="75"/>
      <c r="G1559" s="75"/>
      <c r="H1559" s="75"/>
      <c r="I1559" s="75"/>
      <c r="J1559" s="166"/>
      <c r="K1559" s="166"/>
      <c r="R1559" s="163"/>
      <c r="S1559" s="163"/>
    </row>
    <row r="1560">
      <c r="A1560" s="148"/>
      <c r="B1560" s="75"/>
      <c r="C1560" s="75"/>
      <c r="D1560" s="75"/>
      <c r="E1560" s="75"/>
      <c r="F1560" s="75"/>
      <c r="G1560" s="75"/>
      <c r="H1560" s="75"/>
      <c r="I1560" s="75"/>
      <c r="J1560" s="166"/>
      <c r="K1560" s="166"/>
      <c r="R1560" s="173"/>
      <c r="S1560" s="173"/>
    </row>
    <row r="1561">
      <c r="A1561" s="148"/>
      <c r="B1561" s="75"/>
      <c r="C1561" s="75"/>
      <c r="D1561" s="75"/>
      <c r="E1561" s="75"/>
      <c r="F1561" s="75"/>
      <c r="G1561" s="75"/>
      <c r="H1561" s="75"/>
      <c r="I1561" s="75"/>
      <c r="J1561" s="166"/>
      <c r="K1561" s="166"/>
      <c r="R1561" s="157"/>
      <c r="S1561" s="157"/>
    </row>
    <row r="1562">
      <c r="A1562" s="148"/>
      <c r="B1562" s="75"/>
      <c r="C1562" s="75"/>
      <c r="D1562" s="75"/>
      <c r="E1562" s="75"/>
      <c r="F1562" s="75"/>
      <c r="G1562" s="75"/>
      <c r="H1562" s="75"/>
      <c r="I1562" s="75"/>
      <c r="J1562" s="166"/>
      <c r="K1562" s="166"/>
      <c r="R1562" s="163"/>
      <c r="S1562" s="163"/>
    </row>
    <row r="1563">
      <c r="A1563" s="148"/>
      <c r="B1563" s="75"/>
      <c r="C1563" s="75"/>
      <c r="D1563" s="75"/>
      <c r="E1563" s="75"/>
      <c r="F1563" s="75"/>
      <c r="G1563" s="75"/>
      <c r="H1563" s="75"/>
      <c r="I1563" s="75"/>
      <c r="J1563" s="166"/>
      <c r="K1563" s="166"/>
      <c r="R1563" s="163"/>
      <c r="S1563" s="163"/>
    </row>
    <row r="1564">
      <c r="A1564" s="148"/>
      <c r="B1564" s="75"/>
      <c r="C1564" s="75"/>
      <c r="D1564" s="75"/>
      <c r="E1564" s="75"/>
      <c r="F1564" s="75"/>
      <c r="G1564" s="75"/>
      <c r="H1564" s="75"/>
      <c r="I1564" s="75"/>
      <c r="J1564" s="166"/>
      <c r="K1564" s="166"/>
      <c r="R1564" s="163"/>
      <c r="S1564" s="163"/>
    </row>
    <row r="1565">
      <c r="A1565" s="148"/>
      <c r="B1565" s="75"/>
      <c r="C1565" s="75"/>
      <c r="D1565" s="75"/>
      <c r="E1565" s="75"/>
      <c r="F1565" s="75"/>
      <c r="G1565" s="75"/>
      <c r="H1565" s="75"/>
      <c r="I1565" s="75"/>
      <c r="J1565" s="166"/>
      <c r="K1565" s="166"/>
      <c r="R1565" s="163"/>
      <c r="S1565" s="163"/>
    </row>
    <row r="1566">
      <c r="A1566" s="148"/>
      <c r="B1566" s="75"/>
      <c r="C1566" s="75"/>
      <c r="D1566" s="75"/>
      <c r="E1566" s="75"/>
      <c r="F1566" s="75"/>
      <c r="G1566" s="75"/>
      <c r="H1566" s="75"/>
      <c r="I1566" s="75"/>
      <c r="J1566" s="166"/>
      <c r="K1566" s="166"/>
      <c r="R1566" s="163"/>
      <c r="S1566" s="163"/>
    </row>
    <row r="1567">
      <c r="A1567" s="148"/>
      <c r="B1567" s="75"/>
      <c r="C1567" s="75"/>
      <c r="D1567" s="75"/>
      <c r="E1567" s="75"/>
      <c r="F1567" s="75"/>
      <c r="G1567" s="75"/>
      <c r="H1567" s="75"/>
      <c r="I1567" s="75"/>
      <c r="J1567" s="166"/>
      <c r="K1567" s="166"/>
      <c r="R1567" s="163"/>
      <c r="S1567" s="163"/>
    </row>
    <row r="1568">
      <c r="A1568" s="148"/>
      <c r="B1568" s="75"/>
      <c r="C1568" s="75"/>
      <c r="D1568" s="75"/>
      <c r="E1568" s="75"/>
      <c r="F1568" s="75"/>
      <c r="G1568" s="75"/>
      <c r="H1568" s="75"/>
      <c r="I1568" s="75"/>
      <c r="J1568" s="166"/>
      <c r="K1568" s="166"/>
      <c r="R1568" s="163"/>
      <c r="S1568" s="163"/>
    </row>
    <row r="1569">
      <c r="A1569" s="148"/>
      <c r="B1569" s="75"/>
      <c r="C1569" s="75"/>
      <c r="D1569" s="75"/>
      <c r="E1569" s="75"/>
      <c r="F1569" s="75"/>
      <c r="G1569" s="75"/>
      <c r="H1569" s="75"/>
      <c r="I1569" s="75"/>
      <c r="J1569" s="166"/>
      <c r="K1569" s="166"/>
      <c r="R1569" s="163"/>
      <c r="S1569" s="163"/>
    </row>
    <row r="1570">
      <c r="A1570" s="148"/>
      <c r="B1570" s="75"/>
      <c r="C1570" s="75"/>
      <c r="D1570" s="75"/>
      <c r="E1570" s="75"/>
      <c r="F1570" s="75"/>
      <c r="G1570" s="75"/>
      <c r="H1570" s="75"/>
      <c r="I1570" s="75"/>
      <c r="J1570" s="166"/>
      <c r="K1570" s="166"/>
      <c r="R1570" s="163"/>
      <c r="S1570" s="163"/>
    </row>
    <row r="1571">
      <c r="A1571" s="148"/>
      <c r="B1571" s="75"/>
      <c r="C1571" s="75"/>
      <c r="D1571" s="75"/>
      <c r="E1571" s="75"/>
      <c r="F1571" s="75"/>
      <c r="G1571" s="75"/>
      <c r="H1571" s="75"/>
      <c r="I1571" s="75"/>
      <c r="J1571" s="166"/>
      <c r="K1571" s="166"/>
      <c r="R1571" s="163"/>
      <c r="S1571" s="163"/>
    </row>
    <row r="1572">
      <c r="A1572" s="148"/>
      <c r="B1572" s="75"/>
      <c r="C1572" s="75"/>
      <c r="D1572" s="75"/>
      <c r="E1572" s="75"/>
      <c r="F1572" s="75"/>
      <c r="G1572" s="75"/>
      <c r="H1572" s="75"/>
      <c r="I1572" s="75"/>
      <c r="J1572" s="166"/>
      <c r="K1572" s="166"/>
      <c r="R1572" s="173"/>
      <c r="S1572" s="173"/>
    </row>
    <row r="1573">
      <c r="A1573" s="148"/>
      <c r="B1573" s="75"/>
      <c r="C1573" s="75"/>
      <c r="D1573" s="75"/>
      <c r="E1573" s="75"/>
      <c r="F1573" s="75"/>
      <c r="G1573" s="75"/>
      <c r="H1573" s="75"/>
      <c r="I1573" s="75"/>
      <c r="J1573" s="166"/>
      <c r="K1573" s="166"/>
      <c r="R1573" s="157"/>
      <c r="S1573" s="157"/>
    </row>
    <row r="1574">
      <c r="A1574" s="148"/>
      <c r="B1574" s="75"/>
      <c r="C1574" s="75"/>
      <c r="D1574" s="75"/>
      <c r="E1574" s="75"/>
      <c r="F1574" s="75"/>
      <c r="G1574" s="75"/>
      <c r="H1574" s="75"/>
      <c r="I1574" s="75"/>
      <c r="J1574" s="166"/>
      <c r="K1574" s="166"/>
      <c r="R1574" s="163"/>
      <c r="S1574" s="163"/>
    </row>
    <row r="1575">
      <c r="A1575" s="148"/>
      <c r="B1575" s="75"/>
      <c r="C1575" s="75"/>
      <c r="D1575" s="75"/>
      <c r="E1575" s="75"/>
      <c r="F1575" s="75"/>
      <c r="G1575" s="75"/>
      <c r="H1575" s="75"/>
      <c r="I1575" s="75"/>
      <c r="J1575" s="166"/>
      <c r="K1575" s="166"/>
      <c r="R1575" s="163"/>
      <c r="S1575" s="163"/>
    </row>
    <row r="1576">
      <c r="A1576" s="148"/>
      <c r="B1576" s="75"/>
      <c r="C1576" s="75"/>
      <c r="D1576" s="75"/>
      <c r="E1576" s="75"/>
      <c r="F1576" s="75"/>
      <c r="G1576" s="75"/>
      <c r="H1576" s="75"/>
      <c r="I1576" s="75"/>
      <c r="J1576" s="166"/>
      <c r="K1576" s="166"/>
      <c r="R1576" s="163"/>
      <c r="S1576" s="163"/>
    </row>
    <row r="1577">
      <c r="A1577" s="148"/>
      <c r="B1577" s="75"/>
      <c r="C1577" s="75"/>
      <c r="D1577" s="75"/>
      <c r="E1577" s="75"/>
      <c r="F1577" s="75"/>
      <c r="G1577" s="75"/>
      <c r="H1577" s="75"/>
      <c r="I1577" s="75"/>
      <c r="J1577" s="166"/>
      <c r="K1577" s="166"/>
      <c r="R1577" s="163"/>
      <c r="S1577" s="163"/>
    </row>
    <row r="1578">
      <c r="A1578" s="148"/>
      <c r="B1578" s="75"/>
      <c r="C1578" s="75"/>
      <c r="D1578" s="75"/>
      <c r="E1578" s="75"/>
      <c r="F1578" s="75"/>
      <c r="G1578" s="75"/>
      <c r="H1578" s="75"/>
      <c r="I1578" s="75"/>
      <c r="J1578" s="166"/>
      <c r="K1578" s="166"/>
      <c r="R1578" s="163"/>
      <c r="S1578" s="163"/>
    </row>
    <row r="1579">
      <c r="A1579" s="148"/>
      <c r="B1579" s="75"/>
      <c r="C1579" s="75"/>
      <c r="D1579" s="75"/>
      <c r="E1579" s="75"/>
      <c r="F1579" s="75"/>
      <c r="G1579" s="75"/>
      <c r="H1579" s="75"/>
      <c r="I1579" s="75"/>
      <c r="J1579" s="166"/>
      <c r="K1579" s="166"/>
      <c r="R1579" s="163"/>
      <c r="S1579" s="163"/>
    </row>
    <row r="1580">
      <c r="A1580" s="148"/>
      <c r="B1580" s="75"/>
      <c r="C1580" s="75"/>
      <c r="D1580" s="75"/>
      <c r="E1580" s="75"/>
      <c r="F1580" s="75"/>
      <c r="G1580" s="75"/>
      <c r="H1580" s="75"/>
      <c r="I1580" s="75"/>
      <c r="J1580" s="166"/>
      <c r="K1580" s="166"/>
      <c r="R1580" s="163"/>
      <c r="S1580" s="163"/>
    </row>
    <row r="1581">
      <c r="A1581" s="148"/>
      <c r="B1581" s="75"/>
      <c r="C1581" s="75"/>
      <c r="D1581" s="75"/>
      <c r="E1581" s="75"/>
      <c r="F1581" s="75"/>
      <c r="G1581" s="75"/>
      <c r="H1581" s="75"/>
      <c r="I1581" s="75"/>
      <c r="J1581" s="166"/>
      <c r="K1581" s="166"/>
      <c r="R1581" s="163"/>
      <c r="S1581" s="163"/>
    </row>
    <row r="1582">
      <c r="A1582" s="148"/>
      <c r="B1582" s="75"/>
      <c r="C1582" s="75"/>
      <c r="D1582" s="75"/>
      <c r="E1582" s="75"/>
      <c r="F1582" s="75"/>
      <c r="G1582" s="75"/>
      <c r="H1582" s="75"/>
      <c r="I1582" s="75"/>
      <c r="J1582" s="166"/>
      <c r="K1582" s="166"/>
      <c r="R1582" s="163"/>
      <c r="S1582" s="163"/>
    </row>
    <row r="1583">
      <c r="A1583" s="148"/>
      <c r="B1583" s="75"/>
      <c r="C1583" s="75"/>
      <c r="D1583" s="75"/>
      <c r="E1583" s="75"/>
      <c r="F1583" s="75"/>
      <c r="G1583" s="75"/>
      <c r="H1583" s="75"/>
      <c r="I1583" s="75"/>
      <c r="J1583" s="166"/>
      <c r="K1583" s="166"/>
      <c r="R1583" s="163"/>
      <c r="S1583" s="163"/>
    </row>
    <row r="1584">
      <c r="A1584" s="148"/>
      <c r="B1584" s="75"/>
      <c r="C1584" s="75"/>
      <c r="D1584" s="75"/>
      <c r="E1584" s="75"/>
      <c r="F1584" s="75"/>
      <c r="G1584" s="75"/>
      <c r="H1584" s="75"/>
      <c r="I1584" s="75"/>
      <c r="J1584" s="166"/>
      <c r="K1584" s="166"/>
      <c r="R1584" s="173"/>
      <c r="S1584" s="173"/>
    </row>
    <row r="1585">
      <c r="A1585" s="148"/>
      <c r="B1585" s="75"/>
      <c r="C1585" s="75"/>
      <c r="D1585" s="75"/>
      <c r="E1585" s="75"/>
      <c r="F1585" s="75"/>
      <c r="G1585" s="75"/>
      <c r="H1585" s="75"/>
      <c r="I1585" s="75"/>
      <c r="J1585" s="166"/>
      <c r="K1585" s="166"/>
      <c r="R1585" s="157"/>
      <c r="S1585" s="157"/>
    </row>
    <row r="1586">
      <c r="A1586" s="148"/>
      <c r="B1586" s="75"/>
      <c r="C1586" s="75"/>
      <c r="D1586" s="75"/>
      <c r="E1586" s="75"/>
      <c r="F1586" s="75"/>
      <c r="G1586" s="75"/>
      <c r="H1586" s="75"/>
      <c r="I1586" s="75"/>
      <c r="J1586" s="166"/>
      <c r="K1586" s="166"/>
      <c r="R1586" s="163"/>
      <c r="S1586" s="163"/>
    </row>
    <row r="1587">
      <c r="A1587" s="148"/>
      <c r="B1587" s="75"/>
      <c r="C1587" s="75"/>
      <c r="D1587" s="75"/>
      <c r="E1587" s="75"/>
      <c r="F1587" s="75"/>
      <c r="G1587" s="75"/>
      <c r="H1587" s="75"/>
      <c r="I1587" s="75"/>
      <c r="J1587" s="166"/>
      <c r="K1587" s="166"/>
      <c r="R1587" s="163"/>
      <c r="S1587" s="163"/>
    </row>
    <row r="1588">
      <c r="A1588" s="148"/>
      <c r="B1588" s="75"/>
      <c r="C1588" s="75"/>
      <c r="D1588" s="75"/>
      <c r="E1588" s="75"/>
      <c r="F1588" s="75"/>
      <c r="G1588" s="75"/>
      <c r="H1588" s="75"/>
      <c r="I1588" s="75"/>
      <c r="J1588" s="166"/>
      <c r="K1588" s="166"/>
      <c r="R1588" s="163"/>
      <c r="S1588" s="163"/>
    </row>
    <row r="1589">
      <c r="A1589" s="148"/>
      <c r="B1589" s="75"/>
      <c r="C1589" s="75"/>
      <c r="D1589" s="75"/>
      <c r="E1589" s="75"/>
      <c r="F1589" s="75"/>
      <c r="G1589" s="75"/>
      <c r="H1589" s="75"/>
      <c r="I1589" s="75"/>
      <c r="J1589" s="166"/>
      <c r="K1589" s="166"/>
      <c r="R1589" s="163"/>
      <c r="S1589" s="163"/>
    </row>
    <row r="1590">
      <c r="A1590" s="148"/>
      <c r="B1590" s="75"/>
      <c r="C1590" s="75"/>
      <c r="D1590" s="75"/>
      <c r="E1590" s="75"/>
      <c r="F1590" s="75"/>
      <c r="G1590" s="75"/>
      <c r="H1590" s="75"/>
      <c r="I1590" s="75"/>
      <c r="J1590" s="166"/>
      <c r="K1590" s="166"/>
      <c r="R1590" s="163"/>
      <c r="S1590" s="163"/>
    </row>
    <row r="1591">
      <c r="A1591" s="148"/>
      <c r="B1591" s="75"/>
      <c r="C1591" s="75"/>
      <c r="D1591" s="75"/>
      <c r="E1591" s="75"/>
      <c r="F1591" s="75"/>
      <c r="G1591" s="75"/>
      <c r="H1591" s="75"/>
      <c r="I1591" s="75"/>
      <c r="J1591" s="166"/>
      <c r="K1591" s="166"/>
      <c r="R1591" s="163"/>
      <c r="S1591" s="163"/>
    </row>
    <row r="1592">
      <c r="A1592" s="148"/>
      <c r="B1592" s="75"/>
      <c r="C1592" s="75"/>
      <c r="D1592" s="75"/>
      <c r="E1592" s="75"/>
      <c r="F1592" s="75"/>
      <c r="G1592" s="75"/>
      <c r="H1592" s="75"/>
      <c r="I1592" s="75"/>
      <c r="J1592" s="166"/>
      <c r="K1592" s="166"/>
      <c r="R1592" s="163"/>
      <c r="S1592" s="163"/>
    </row>
    <row r="1593">
      <c r="A1593" s="148"/>
      <c r="B1593" s="75"/>
      <c r="C1593" s="75"/>
      <c r="D1593" s="75"/>
      <c r="E1593" s="75"/>
      <c r="F1593" s="75"/>
      <c r="G1593" s="75"/>
      <c r="H1593" s="75"/>
      <c r="I1593" s="75"/>
      <c r="J1593" s="166"/>
      <c r="K1593" s="166"/>
      <c r="R1593" s="163"/>
      <c r="S1593" s="163"/>
    </row>
    <row r="1594">
      <c r="A1594" s="148"/>
      <c r="B1594" s="75"/>
      <c r="C1594" s="75"/>
      <c r="D1594" s="75"/>
      <c r="E1594" s="75"/>
      <c r="F1594" s="75"/>
      <c r="G1594" s="75"/>
      <c r="H1594" s="75"/>
      <c r="I1594" s="75"/>
      <c r="J1594" s="166"/>
      <c r="K1594" s="166"/>
      <c r="R1594" s="163"/>
      <c r="S1594" s="163"/>
    </row>
    <row r="1595">
      <c r="A1595" s="148"/>
      <c r="B1595" s="75"/>
      <c r="C1595" s="75"/>
      <c r="D1595" s="75"/>
      <c r="E1595" s="75"/>
      <c r="F1595" s="75"/>
      <c r="G1595" s="75"/>
      <c r="H1595" s="75"/>
      <c r="I1595" s="75"/>
      <c r="J1595" s="166"/>
      <c r="K1595" s="166"/>
      <c r="R1595" s="163"/>
      <c r="S1595" s="163"/>
    </row>
    <row r="1596">
      <c r="A1596" s="148"/>
      <c r="B1596" s="75"/>
      <c r="C1596" s="75"/>
      <c r="D1596" s="75"/>
      <c r="E1596" s="75"/>
      <c r="F1596" s="75"/>
      <c r="G1596" s="75"/>
      <c r="H1596" s="75"/>
      <c r="I1596" s="75"/>
      <c r="J1596" s="166"/>
      <c r="K1596" s="166"/>
      <c r="R1596" s="173"/>
      <c r="S1596" s="173"/>
    </row>
    <row r="1597">
      <c r="A1597" s="148"/>
      <c r="B1597" s="75"/>
      <c r="C1597" s="75"/>
      <c r="D1597" s="75"/>
      <c r="E1597" s="75"/>
      <c r="F1597" s="75"/>
      <c r="G1597" s="75"/>
      <c r="H1597" s="75"/>
      <c r="I1597" s="75"/>
      <c r="J1597" s="166"/>
      <c r="K1597" s="166"/>
      <c r="R1597" s="157"/>
      <c r="S1597" s="157"/>
    </row>
    <row r="1598">
      <c r="A1598" s="148"/>
      <c r="B1598" s="75"/>
      <c r="C1598" s="75"/>
      <c r="D1598" s="75"/>
      <c r="E1598" s="75"/>
      <c r="F1598" s="75"/>
      <c r="G1598" s="75"/>
      <c r="H1598" s="75"/>
      <c r="I1598" s="75"/>
      <c r="J1598" s="166"/>
      <c r="K1598" s="166"/>
      <c r="R1598" s="163"/>
      <c r="S1598" s="163"/>
    </row>
    <row r="1599">
      <c r="A1599" s="148"/>
      <c r="B1599" s="75"/>
      <c r="C1599" s="75"/>
      <c r="D1599" s="75"/>
      <c r="E1599" s="75"/>
      <c r="F1599" s="75"/>
      <c r="G1599" s="75"/>
      <c r="H1599" s="75"/>
      <c r="I1599" s="75"/>
      <c r="J1599" s="166"/>
      <c r="K1599" s="166"/>
      <c r="R1599" s="163"/>
      <c r="S1599" s="163"/>
    </row>
    <row r="1600">
      <c r="A1600" s="148"/>
      <c r="B1600" s="75"/>
      <c r="C1600" s="75"/>
      <c r="D1600" s="75"/>
      <c r="E1600" s="75"/>
      <c r="F1600" s="75"/>
      <c r="G1600" s="75"/>
      <c r="H1600" s="75"/>
      <c r="I1600" s="75"/>
      <c r="J1600" s="166"/>
      <c r="K1600" s="166"/>
      <c r="R1600" s="163"/>
      <c r="S1600" s="163"/>
    </row>
    <row r="1601">
      <c r="A1601" s="148"/>
      <c r="B1601" s="75"/>
      <c r="C1601" s="75"/>
      <c r="D1601" s="75"/>
      <c r="E1601" s="75"/>
      <c r="F1601" s="75"/>
      <c r="G1601" s="75"/>
      <c r="H1601" s="75"/>
      <c r="I1601" s="75"/>
      <c r="J1601" s="166"/>
      <c r="K1601" s="166"/>
      <c r="R1601" s="163"/>
      <c r="S1601" s="163"/>
    </row>
    <row r="1602">
      <c r="A1602" s="148"/>
      <c r="B1602" s="75"/>
      <c r="C1602" s="75"/>
      <c r="D1602" s="75"/>
      <c r="E1602" s="75"/>
      <c r="F1602" s="75"/>
      <c r="G1602" s="75"/>
      <c r="H1602" s="75"/>
      <c r="I1602" s="75"/>
      <c r="J1602" s="166"/>
      <c r="K1602" s="166"/>
      <c r="R1602" s="163"/>
      <c r="S1602" s="163"/>
    </row>
    <row r="1603">
      <c r="A1603" s="148"/>
      <c r="B1603" s="75"/>
      <c r="C1603" s="75"/>
      <c r="D1603" s="75"/>
      <c r="E1603" s="75"/>
      <c r="F1603" s="75"/>
      <c r="G1603" s="75"/>
      <c r="H1603" s="75"/>
      <c r="I1603" s="75"/>
      <c r="J1603" s="166"/>
      <c r="K1603" s="166"/>
      <c r="R1603" s="163"/>
      <c r="S1603" s="163"/>
    </row>
    <row r="1604">
      <c r="A1604" s="148"/>
      <c r="B1604" s="75"/>
      <c r="C1604" s="75"/>
      <c r="D1604" s="75"/>
      <c r="E1604" s="75"/>
      <c r="F1604" s="75"/>
      <c r="G1604" s="75"/>
      <c r="H1604" s="75"/>
      <c r="I1604" s="75"/>
      <c r="J1604" s="166"/>
      <c r="K1604" s="166"/>
      <c r="R1604" s="163"/>
      <c r="S1604" s="163"/>
    </row>
    <row r="1605">
      <c r="A1605" s="148"/>
      <c r="B1605" s="75"/>
      <c r="C1605" s="75"/>
      <c r="D1605" s="75"/>
      <c r="E1605" s="75"/>
      <c r="F1605" s="75"/>
      <c r="G1605" s="75"/>
      <c r="H1605" s="75"/>
      <c r="I1605" s="75"/>
      <c r="J1605" s="166"/>
      <c r="K1605" s="166"/>
      <c r="R1605" s="163"/>
      <c r="S1605" s="163"/>
    </row>
    <row r="1606">
      <c r="A1606" s="148"/>
      <c r="B1606" s="75"/>
      <c r="C1606" s="75"/>
      <c r="D1606" s="75"/>
      <c r="E1606" s="75"/>
      <c r="F1606" s="75"/>
      <c r="G1606" s="75"/>
      <c r="H1606" s="75"/>
      <c r="I1606" s="75"/>
      <c r="J1606" s="166"/>
      <c r="K1606" s="166"/>
      <c r="R1606" s="163"/>
      <c r="S1606" s="163"/>
    </row>
    <row r="1607">
      <c r="A1607" s="148"/>
      <c r="B1607" s="75"/>
      <c r="C1607" s="75"/>
      <c r="D1607" s="75"/>
      <c r="E1607" s="75"/>
      <c r="F1607" s="75"/>
      <c r="G1607" s="75"/>
      <c r="H1607" s="75"/>
      <c r="I1607" s="75"/>
      <c r="J1607" s="166"/>
      <c r="K1607" s="166"/>
      <c r="R1607" s="163"/>
      <c r="S1607" s="163"/>
    </row>
    <row r="1608">
      <c r="A1608" s="148"/>
      <c r="B1608" s="75"/>
      <c r="C1608" s="75"/>
      <c r="D1608" s="75"/>
      <c r="E1608" s="75"/>
      <c r="F1608" s="75"/>
      <c r="G1608" s="75"/>
      <c r="H1608" s="75"/>
      <c r="I1608" s="75"/>
      <c r="J1608" s="166"/>
      <c r="K1608" s="166"/>
      <c r="R1608" s="173"/>
      <c r="S1608" s="173"/>
    </row>
    <row r="1609">
      <c r="A1609" s="148"/>
      <c r="B1609" s="75"/>
      <c r="C1609" s="75"/>
      <c r="D1609" s="75"/>
      <c r="E1609" s="75"/>
      <c r="F1609" s="75"/>
      <c r="G1609" s="75"/>
      <c r="H1609" s="75"/>
      <c r="I1609" s="75"/>
      <c r="J1609" s="166"/>
      <c r="K1609" s="166"/>
      <c r="R1609" s="157"/>
      <c r="S1609" s="157"/>
    </row>
    <row r="1610">
      <c r="A1610" s="148"/>
      <c r="B1610" s="75"/>
      <c r="C1610" s="75"/>
      <c r="D1610" s="75"/>
      <c r="E1610" s="75"/>
      <c r="F1610" s="75"/>
      <c r="G1610" s="75"/>
      <c r="H1610" s="75"/>
      <c r="I1610" s="75"/>
      <c r="J1610" s="166"/>
      <c r="K1610" s="166"/>
      <c r="R1610" s="163"/>
      <c r="S1610" s="163"/>
    </row>
    <row r="1611">
      <c r="A1611" s="148"/>
      <c r="B1611" s="75"/>
      <c r="C1611" s="75"/>
      <c r="D1611" s="75"/>
      <c r="E1611" s="75"/>
      <c r="F1611" s="75"/>
      <c r="G1611" s="75"/>
      <c r="H1611" s="75"/>
      <c r="I1611" s="75"/>
      <c r="J1611" s="166"/>
      <c r="K1611" s="166"/>
      <c r="R1611" s="163"/>
      <c r="S1611" s="163"/>
    </row>
    <row r="1612">
      <c r="A1612" s="148"/>
      <c r="B1612" s="75"/>
      <c r="C1612" s="75"/>
      <c r="D1612" s="75"/>
      <c r="E1612" s="75"/>
      <c r="F1612" s="75"/>
      <c r="G1612" s="75"/>
      <c r="H1612" s="75"/>
      <c r="I1612" s="75"/>
      <c r="J1612" s="166"/>
      <c r="K1612" s="166"/>
      <c r="R1612" s="163"/>
      <c r="S1612" s="163"/>
    </row>
    <row r="1613">
      <c r="A1613" s="148"/>
      <c r="B1613" s="75"/>
      <c r="C1613" s="75"/>
      <c r="D1613" s="75"/>
      <c r="E1613" s="75"/>
      <c r="F1613" s="75"/>
      <c r="G1613" s="75"/>
      <c r="H1613" s="75"/>
      <c r="I1613" s="75"/>
      <c r="J1613" s="166"/>
      <c r="K1613" s="166"/>
      <c r="R1613" s="163"/>
      <c r="S1613" s="163"/>
    </row>
    <row r="1614">
      <c r="A1614" s="148"/>
      <c r="B1614" s="75"/>
      <c r="C1614" s="75"/>
      <c r="D1614" s="75"/>
      <c r="E1614" s="75"/>
      <c r="F1614" s="75"/>
      <c r="G1614" s="75"/>
      <c r="H1614" s="75"/>
      <c r="I1614" s="75"/>
      <c r="J1614" s="166"/>
      <c r="K1614" s="166"/>
      <c r="R1614" s="163"/>
      <c r="S1614" s="163"/>
    </row>
    <row r="1615">
      <c r="A1615" s="148"/>
      <c r="B1615" s="75"/>
      <c r="C1615" s="75"/>
      <c r="D1615" s="75"/>
      <c r="E1615" s="75"/>
      <c r="F1615" s="75"/>
      <c r="G1615" s="75"/>
      <c r="H1615" s="75"/>
      <c r="I1615" s="75"/>
      <c r="J1615" s="166"/>
      <c r="K1615" s="166"/>
      <c r="R1615" s="163"/>
      <c r="S1615" s="163"/>
    </row>
    <row r="1616">
      <c r="A1616" s="148"/>
      <c r="B1616" s="75"/>
      <c r="C1616" s="75"/>
      <c r="D1616" s="75"/>
      <c r="E1616" s="75"/>
      <c r="F1616" s="75"/>
      <c r="G1616" s="75"/>
      <c r="H1616" s="75"/>
      <c r="I1616" s="75"/>
      <c r="J1616" s="166"/>
      <c r="K1616" s="166"/>
      <c r="R1616" s="163"/>
      <c r="S1616" s="163"/>
    </row>
    <row r="1617">
      <c r="A1617" s="148"/>
      <c r="B1617" s="75"/>
      <c r="C1617" s="75"/>
      <c r="D1617" s="75"/>
      <c r="E1617" s="75"/>
      <c r="F1617" s="75"/>
      <c r="G1617" s="75"/>
      <c r="H1617" s="75"/>
      <c r="I1617" s="75"/>
      <c r="J1617" s="166"/>
      <c r="K1617" s="166"/>
      <c r="R1617" s="163"/>
      <c r="S1617" s="163"/>
    </row>
    <row r="1618">
      <c r="A1618" s="148"/>
      <c r="B1618" s="75"/>
      <c r="C1618" s="75"/>
      <c r="D1618" s="75"/>
      <c r="E1618" s="75"/>
      <c r="F1618" s="75"/>
      <c r="G1618" s="75"/>
      <c r="H1618" s="75"/>
      <c r="I1618" s="75"/>
      <c r="J1618" s="166"/>
      <c r="K1618" s="166"/>
      <c r="R1618" s="163"/>
      <c r="S1618" s="163"/>
    </row>
    <row r="1619">
      <c r="A1619" s="148"/>
      <c r="B1619" s="75"/>
      <c r="C1619" s="75"/>
      <c r="D1619" s="75"/>
      <c r="E1619" s="75"/>
      <c r="F1619" s="75"/>
      <c r="G1619" s="75"/>
      <c r="H1619" s="75"/>
      <c r="I1619" s="75"/>
      <c r="J1619" s="166"/>
      <c r="K1619" s="166"/>
      <c r="R1619" s="163"/>
      <c r="S1619" s="163"/>
    </row>
    <row r="1620">
      <c r="A1620" s="148"/>
      <c r="B1620" s="75"/>
      <c r="C1620" s="75"/>
      <c r="D1620" s="75"/>
      <c r="E1620" s="75"/>
      <c r="F1620" s="75"/>
      <c r="G1620" s="75"/>
      <c r="H1620" s="75"/>
      <c r="I1620" s="75"/>
      <c r="J1620" s="166"/>
      <c r="K1620" s="166"/>
      <c r="R1620" s="173"/>
      <c r="S1620" s="173"/>
    </row>
    <row r="1621">
      <c r="A1621" s="148"/>
      <c r="B1621" s="75"/>
      <c r="C1621" s="75"/>
      <c r="D1621" s="75"/>
      <c r="E1621" s="75"/>
      <c r="F1621" s="75"/>
      <c r="G1621" s="75"/>
      <c r="H1621" s="75"/>
      <c r="I1621" s="75"/>
      <c r="J1621" s="166"/>
      <c r="K1621" s="166"/>
      <c r="R1621" s="157"/>
      <c r="S1621" s="157"/>
    </row>
    <row r="1622">
      <c r="A1622" s="148"/>
      <c r="B1622" s="75"/>
      <c r="C1622" s="75"/>
      <c r="D1622" s="75"/>
      <c r="E1622" s="75"/>
      <c r="F1622" s="75"/>
      <c r="G1622" s="75"/>
      <c r="H1622" s="75"/>
      <c r="I1622" s="75"/>
      <c r="J1622" s="166"/>
      <c r="K1622" s="166"/>
      <c r="R1622" s="163"/>
      <c r="S1622" s="163"/>
    </row>
    <row r="1623">
      <c r="A1623" s="148"/>
      <c r="B1623" s="75"/>
      <c r="C1623" s="75"/>
      <c r="D1623" s="75"/>
      <c r="E1623" s="75"/>
      <c r="F1623" s="75"/>
      <c r="G1623" s="75"/>
      <c r="H1623" s="75"/>
      <c r="I1623" s="75"/>
      <c r="J1623" s="166"/>
      <c r="K1623" s="166"/>
      <c r="R1623" s="163"/>
      <c r="S1623" s="163"/>
    </row>
    <row r="1624">
      <c r="A1624" s="148"/>
      <c r="B1624" s="75"/>
      <c r="C1624" s="75"/>
      <c r="D1624" s="75"/>
      <c r="E1624" s="75"/>
      <c r="F1624" s="75"/>
      <c r="G1624" s="75"/>
      <c r="H1624" s="75"/>
      <c r="I1624" s="75"/>
      <c r="J1624" s="166"/>
      <c r="K1624" s="166"/>
      <c r="R1624" s="163"/>
      <c r="S1624" s="163"/>
    </row>
    <row r="1625">
      <c r="A1625" s="148"/>
      <c r="B1625" s="75"/>
      <c r="C1625" s="75"/>
      <c r="D1625" s="75"/>
      <c r="E1625" s="75"/>
      <c r="F1625" s="75"/>
      <c r="G1625" s="75"/>
      <c r="H1625" s="75"/>
      <c r="I1625" s="75"/>
      <c r="J1625" s="166"/>
      <c r="K1625" s="166"/>
      <c r="R1625" s="163"/>
      <c r="S1625" s="163"/>
    </row>
    <row r="1626">
      <c r="A1626" s="148"/>
      <c r="B1626" s="75"/>
      <c r="C1626" s="75"/>
      <c r="D1626" s="75"/>
      <c r="E1626" s="75"/>
      <c r="F1626" s="75"/>
      <c r="G1626" s="75"/>
      <c r="H1626" s="75"/>
      <c r="I1626" s="75"/>
      <c r="J1626" s="166"/>
      <c r="K1626" s="166"/>
      <c r="R1626" s="163"/>
      <c r="S1626" s="163"/>
    </row>
    <row r="1627">
      <c r="A1627" s="148"/>
      <c r="B1627" s="75"/>
      <c r="C1627" s="75"/>
      <c r="D1627" s="75"/>
      <c r="E1627" s="75"/>
      <c r="F1627" s="75"/>
      <c r="G1627" s="75"/>
      <c r="H1627" s="75"/>
      <c r="I1627" s="75"/>
      <c r="J1627" s="166"/>
      <c r="K1627" s="166"/>
      <c r="R1627" s="163"/>
      <c r="S1627" s="163"/>
    </row>
    <row r="1628">
      <c r="A1628" s="148"/>
      <c r="B1628" s="75"/>
      <c r="C1628" s="75"/>
      <c r="D1628" s="75"/>
      <c r="E1628" s="75"/>
      <c r="F1628" s="75"/>
      <c r="G1628" s="75"/>
      <c r="H1628" s="75"/>
      <c r="I1628" s="75"/>
      <c r="J1628" s="166"/>
      <c r="K1628" s="166"/>
      <c r="R1628" s="163"/>
      <c r="S1628" s="163"/>
    </row>
    <row r="1629">
      <c r="A1629" s="148"/>
      <c r="B1629" s="75"/>
      <c r="C1629" s="75"/>
      <c r="D1629" s="75"/>
      <c r="E1629" s="75"/>
      <c r="F1629" s="75"/>
      <c r="G1629" s="75"/>
      <c r="H1629" s="75"/>
      <c r="I1629" s="75"/>
      <c r="J1629" s="166"/>
      <c r="K1629" s="166"/>
      <c r="R1629" s="163"/>
      <c r="S1629" s="163"/>
    </row>
    <row r="1630">
      <c r="A1630" s="148"/>
      <c r="B1630" s="75"/>
      <c r="C1630" s="75"/>
      <c r="D1630" s="75"/>
      <c r="E1630" s="75"/>
      <c r="F1630" s="75"/>
      <c r="G1630" s="75"/>
      <c r="H1630" s="75"/>
      <c r="I1630" s="75"/>
      <c r="J1630" s="166"/>
      <c r="K1630" s="166"/>
      <c r="R1630" s="163"/>
      <c r="S1630" s="163"/>
    </row>
    <row r="1631">
      <c r="A1631" s="148"/>
      <c r="B1631" s="75"/>
      <c r="C1631" s="75"/>
      <c r="D1631" s="75"/>
      <c r="E1631" s="75"/>
      <c r="F1631" s="75"/>
      <c r="G1631" s="75"/>
      <c r="H1631" s="75"/>
      <c r="I1631" s="75"/>
      <c r="J1631" s="166"/>
      <c r="K1631" s="166"/>
      <c r="R1631" s="163"/>
      <c r="S1631" s="163"/>
    </row>
    <row r="1632">
      <c r="A1632" s="148"/>
      <c r="B1632" s="75"/>
      <c r="C1632" s="75"/>
      <c r="D1632" s="75"/>
      <c r="E1632" s="75"/>
      <c r="F1632" s="75"/>
      <c r="G1632" s="75"/>
      <c r="H1632" s="75"/>
      <c r="I1632" s="75"/>
      <c r="J1632" s="166"/>
      <c r="K1632" s="166"/>
      <c r="R1632" s="173"/>
      <c r="S1632" s="173"/>
    </row>
    <row r="1633">
      <c r="A1633" s="148"/>
      <c r="B1633" s="75"/>
      <c r="C1633" s="75"/>
      <c r="D1633" s="75"/>
      <c r="E1633" s="75"/>
      <c r="F1633" s="75"/>
      <c r="G1633" s="75"/>
      <c r="H1633" s="75"/>
      <c r="I1633" s="75"/>
      <c r="J1633" s="166"/>
      <c r="K1633" s="166"/>
      <c r="R1633" s="157"/>
      <c r="S1633" s="157"/>
    </row>
    <row r="1634">
      <c r="A1634" s="148"/>
      <c r="B1634" s="75"/>
      <c r="C1634" s="75"/>
      <c r="D1634" s="75"/>
      <c r="E1634" s="75"/>
      <c r="F1634" s="75"/>
      <c r="G1634" s="75"/>
      <c r="H1634" s="75"/>
      <c r="I1634" s="75"/>
      <c r="J1634" s="166"/>
      <c r="K1634" s="166"/>
      <c r="R1634" s="163"/>
      <c r="S1634" s="163"/>
    </row>
    <row r="1635">
      <c r="A1635" s="148"/>
      <c r="B1635" s="75"/>
      <c r="C1635" s="75"/>
      <c r="D1635" s="75"/>
      <c r="E1635" s="75"/>
      <c r="F1635" s="75"/>
      <c r="G1635" s="75"/>
      <c r="H1635" s="75"/>
      <c r="I1635" s="75"/>
      <c r="J1635" s="166"/>
      <c r="K1635" s="166"/>
      <c r="R1635" s="163"/>
      <c r="S1635" s="163"/>
    </row>
    <row r="1636">
      <c r="A1636" s="148"/>
      <c r="B1636" s="75"/>
      <c r="C1636" s="75"/>
      <c r="D1636" s="75"/>
      <c r="E1636" s="75"/>
      <c r="F1636" s="75"/>
      <c r="G1636" s="75"/>
      <c r="H1636" s="75"/>
      <c r="I1636" s="75"/>
      <c r="J1636" s="166"/>
      <c r="K1636" s="166"/>
      <c r="R1636" s="163"/>
      <c r="S1636" s="163"/>
    </row>
    <row r="1637">
      <c r="A1637" s="148"/>
      <c r="B1637" s="75"/>
      <c r="C1637" s="75"/>
      <c r="D1637" s="75"/>
      <c r="E1637" s="75"/>
      <c r="F1637" s="75"/>
      <c r="G1637" s="75"/>
      <c r="H1637" s="75"/>
      <c r="I1637" s="75"/>
      <c r="J1637" s="166"/>
      <c r="K1637" s="166"/>
      <c r="R1637" s="163"/>
      <c r="S1637" s="163"/>
    </row>
    <row r="1638">
      <c r="A1638" s="148"/>
      <c r="B1638" s="75"/>
      <c r="C1638" s="75"/>
      <c r="D1638" s="75"/>
      <c r="E1638" s="75"/>
      <c r="F1638" s="75"/>
      <c r="G1638" s="75"/>
      <c r="H1638" s="75"/>
      <c r="I1638" s="75"/>
      <c r="J1638" s="166"/>
      <c r="K1638" s="166"/>
      <c r="R1638" s="163"/>
      <c r="S1638" s="163"/>
    </row>
    <row r="1639">
      <c r="A1639" s="148"/>
      <c r="B1639" s="75"/>
      <c r="C1639" s="75"/>
      <c r="D1639" s="75"/>
      <c r="E1639" s="75"/>
      <c r="F1639" s="75"/>
      <c r="G1639" s="75"/>
      <c r="H1639" s="75"/>
      <c r="I1639" s="75"/>
      <c r="J1639" s="166"/>
      <c r="K1639" s="166"/>
      <c r="R1639" s="163"/>
      <c r="S1639" s="163"/>
    </row>
    <row r="1640">
      <c r="A1640" s="148"/>
      <c r="B1640" s="75"/>
      <c r="C1640" s="75"/>
      <c r="D1640" s="75"/>
      <c r="E1640" s="75"/>
      <c r="F1640" s="75"/>
      <c r="G1640" s="75"/>
      <c r="H1640" s="75"/>
      <c r="I1640" s="75"/>
      <c r="J1640" s="166"/>
      <c r="K1640" s="166"/>
      <c r="R1640" s="163"/>
      <c r="S1640" s="163"/>
    </row>
    <row r="1641">
      <c r="A1641" s="148"/>
      <c r="B1641" s="75"/>
      <c r="C1641" s="75"/>
      <c r="D1641" s="75"/>
      <c r="E1641" s="75"/>
      <c r="F1641" s="75"/>
      <c r="G1641" s="75"/>
      <c r="H1641" s="75"/>
      <c r="I1641" s="75"/>
      <c r="J1641" s="166"/>
      <c r="K1641" s="166"/>
      <c r="R1641" s="163"/>
      <c r="S1641" s="163"/>
    </row>
    <row r="1642">
      <c r="A1642" s="148"/>
      <c r="B1642" s="75"/>
      <c r="C1642" s="75"/>
      <c r="D1642" s="75"/>
      <c r="E1642" s="75"/>
      <c r="F1642" s="75"/>
      <c r="G1642" s="75"/>
      <c r="H1642" s="75"/>
      <c r="I1642" s="75"/>
      <c r="J1642" s="166"/>
      <c r="K1642" s="166"/>
      <c r="R1642" s="163"/>
      <c r="S1642" s="163"/>
    </row>
    <row r="1643">
      <c r="A1643" s="148"/>
      <c r="B1643" s="75"/>
      <c r="C1643" s="75"/>
      <c r="D1643" s="75"/>
      <c r="E1643" s="75"/>
      <c r="F1643" s="75"/>
      <c r="G1643" s="75"/>
      <c r="H1643" s="75"/>
      <c r="I1643" s="75"/>
      <c r="J1643" s="166"/>
      <c r="K1643" s="166"/>
      <c r="R1643" s="163"/>
      <c r="S1643" s="163"/>
    </row>
    <row r="1644">
      <c r="A1644" s="148"/>
      <c r="B1644" s="75"/>
      <c r="C1644" s="75"/>
      <c r="D1644" s="75"/>
      <c r="E1644" s="75"/>
      <c r="F1644" s="75"/>
      <c r="G1644" s="75"/>
      <c r="H1644" s="75"/>
      <c r="I1644" s="75"/>
      <c r="J1644" s="166"/>
      <c r="K1644" s="166"/>
      <c r="R1644" s="173"/>
      <c r="S1644" s="173"/>
    </row>
    <row r="1645">
      <c r="A1645" s="148"/>
      <c r="B1645" s="75"/>
      <c r="C1645" s="75"/>
      <c r="D1645" s="75"/>
      <c r="E1645" s="75"/>
      <c r="F1645" s="75"/>
      <c r="G1645" s="75"/>
      <c r="H1645" s="75"/>
      <c r="I1645" s="75"/>
      <c r="J1645" s="166"/>
      <c r="K1645" s="166"/>
      <c r="R1645" s="157"/>
      <c r="S1645" s="157"/>
    </row>
    <row r="1646">
      <c r="A1646" s="148"/>
      <c r="B1646" s="75"/>
      <c r="C1646" s="75"/>
      <c r="D1646" s="75"/>
      <c r="E1646" s="75"/>
      <c r="F1646" s="75"/>
      <c r="G1646" s="75"/>
      <c r="H1646" s="75"/>
      <c r="I1646" s="75"/>
      <c r="J1646" s="166"/>
      <c r="K1646" s="166"/>
      <c r="R1646" s="163"/>
      <c r="S1646" s="163"/>
    </row>
    <row r="1647">
      <c r="A1647" s="148"/>
      <c r="B1647" s="75"/>
      <c r="C1647" s="75"/>
      <c r="D1647" s="75"/>
      <c r="E1647" s="75"/>
      <c r="F1647" s="75"/>
      <c r="G1647" s="75"/>
      <c r="H1647" s="75"/>
      <c r="I1647" s="75"/>
      <c r="J1647" s="166"/>
      <c r="K1647" s="166"/>
      <c r="R1647" s="163"/>
      <c r="S1647" s="163"/>
    </row>
    <row r="1648">
      <c r="A1648" s="148"/>
      <c r="B1648" s="75"/>
      <c r="C1648" s="75"/>
      <c r="D1648" s="75"/>
      <c r="E1648" s="75"/>
      <c r="F1648" s="75"/>
      <c r="G1648" s="75"/>
      <c r="H1648" s="75"/>
      <c r="I1648" s="75"/>
      <c r="J1648" s="166"/>
      <c r="K1648" s="166"/>
      <c r="R1648" s="163"/>
      <c r="S1648" s="163"/>
    </row>
    <row r="1649">
      <c r="A1649" s="148"/>
      <c r="B1649" s="75"/>
      <c r="C1649" s="75"/>
      <c r="D1649" s="75"/>
      <c r="E1649" s="75"/>
      <c r="F1649" s="75"/>
      <c r="G1649" s="75"/>
      <c r="H1649" s="75"/>
      <c r="I1649" s="75"/>
      <c r="J1649" s="166"/>
      <c r="K1649" s="166"/>
      <c r="R1649" s="163"/>
      <c r="S1649" s="163"/>
    </row>
    <row r="1650">
      <c r="A1650" s="148"/>
      <c r="B1650" s="75"/>
      <c r="C1650" s="75"/>
      <c r="D1650" s="75"/>
      <c r="E1650" s="75"/>
      <c r="F1650" s="75"/>
      <c r="G1650" s="75"/>
      <c r="H1650" s="75"/>
      <c r="I1650" s="75"/>
      <c r="J1650" s="166"/>
      <c r="K1650" s="166"/>
      <c r="R1650" s="163"/>
      <c r="S1650" s="163"/>
    </row>
    <row r="1651">
      <c r="A1651" s="148"/>
      <c r="B1651" s="75"/>
      <c r="C1651" s="75"/>
      <c r="D1651" s="75"/>
      <c r="E1651" s="75"/>
      <c r="F1651" s="75"/>
      <c r="G1651" s="75"/>
      <c r="H1651" s="75"/>
      <c r="I1651" s="75"/>
      <c r="J1651" s="166"/>
      <c r="K1651" s="166"/>
      <c r="R1651" s="163"/>
      <c r="S1651" s="163"/>
    </row>
    <row r="1652">
      <c r="A1652" s="148"/>
      <c r="B1652" s="75"/>
      <c r="C1652" s="75"/>
      <c r="D1652" s="75"/>
      <c r="E1652" s="75"/>
      <c r="F1652" s="75"/>
      <c r="G1652" s="75"/>
      <c r="H1652" s="75"/>
      <c r="I1652" s="75"/>
      <c r="J1652" s="166"/>
      <c r="K1652" s="166"/>
      <c r="R1652" s="163"/>
      <c r="S1652" s="163"/>
    </row>
    <row r="1653">
      <c r="A1653" s="148"/>
      <c r="B1653" s="75"/>
      <c r="C1653" s="75"/>
      <c r="D1653" s="75"/>
      <c r="E1653" s="75"/>
      <c r="F1653" s="75"/>
      <c r="G1653" s="75"/>
      <c r="H1653" s="75"/>
      <c r="I1653" s="75"/>
      <c r="J1653" s="166"/>
      <c r="K1653" s="166"/>
      <c r="R1653" s="163"/>
      <c r="S1653" s="163"/>
    </row>
    <row r="1654">
      <c r="A1654" s="148"/>
      <c r="B1654" s="75"/>
      <c r="C1654" s="75"/>
      <c r="D1654" s="75"/>
      <c r="E1654" s="75"/>
      <c r="F1654" s="75"/>
      <c r="G1654" s="75"/>
      <c r="H1654" s="75"/>
      <c r="I1654" s="75"/>
      <c r="J1654" s="166"/>
      <c r="K1654" s="166"/>
      <c r="R1654" s="163"/>
      <c r="S1654" s="163"/>
    </row>
    <row r="1655">
      <c r="A1655" s="148"/>
      <c r="B1655" s="75"/>
      <c r="C1655" s="75"/>
      <c r="D1655" s="75"/>
      <c r="E1655" s="75"/>
      <c r="F1655" s="75"/>
      <c r="G1655" s="75"/>
      <c r="H1655" s="75"/>
      <c r="I1655" s="75"/>
      <c r="J1655" s="166"/>
      <c r="K1655" s="166"/>
      <c r="R1655" s="163"/>
      <c r="S1655" s="163"/>
    </row>
    <row r="1656">
      <c r="A1656" s="148"/>
      <c r="B1656" s="75"/>
      <c r="C1656" s="75"/>
      <c r="D1656" s="75"/>
      <c r="E1656" s="75"/>
      <c r="F1656" s="75"/>
      <c r="G1656" s="75"/>
      <c r="H1656" s="75"/>
      <c r="I1656" s="75"/>
      <c r="J1656" s="166"/>
      <c r="K1656" s="166"/>
      <c r="R1656" s="173"/>
      <c r="S1656" s="173"/>
    </row>
    <row r="1657">
      <c r="A1657" s="148"/>
      <c r="B1657" s="75"/>
      <c r="C1657" s="75"/>
      <c r="D1657" s="75"/>
      <c r="E1657" s="75"/>
      <c r="F1657" s="75"/>
      <c r="G1657" s="75"/>
      <c r="H1657" s="75"/>
      <c r="I1657" s="75"/>
      <c r="J1657" s="166"/>
      <c r="K1657" s="166"/>
      <c r="R1657" s="157"/>
      <c r="S1657" s="157"/>
    </row>
    <row r="1658">
      <c r="A1658" s="148"/>
      <c r="B1658" s="75"/>
      <c r="C1658" s="75"/>
      <c r="D1658" s="75"/>
      <c r="E1658" s="75"/>
      <c r="F1658" s="75"/>
      <c r="G1658" s="75"/>
      <c r="H1658" s="75"/>
      <c r="I1658" s="75"/>
      <c r="J1658" s="166"/>
      <c r="K1658" s="166"/>
      <c r="R1658" s="163"/>
      <c r="S1658" s="163"/>
    </row>
    <row r="1659">
      <c r="A1659" s="148"/>
      <c r="B1659" s="75"/>
      <c r="C1659" s="75"/>
      <c r="D1659" s="75"/>
      <c r="E1659" s="75"/>
      <c r="F1659" s="75"/>
      <c r="G1659" s="75"/>
      <c r="H1659" s="75"/>
      <c r="I1659" s="75"/>
      <c r="J1659" s="166"/>
      <c r="K1659" s="166"/>
      <c r="R1659" s="163"/>
      <c r="S1659" s="163"/>
    </row>
    <row r="1660">
      <c r="A1660" s="148"/>
      <c r="B1660" s="75"/>
      <c r="C1660" s="75"/>
      <c r="D1660" s="75"/>
      <c r="E1660" s="75"/>
      <c r="F1660" s="75"/>
      <c r="G1660" s="75"/>
      <c r="H1660" s="75"/>
      <c r="I1660" s="75"/>
      <c r="J1660" s="166"/>
      <c r="K1660" s="166"/>
      <c r="R1660" s="163"/>
      <c r="S1660" s="163"/>
    </row>
    <row r="1661">
      <c r="A1661" s="148"/>
      <c r="B1661" s="75"/>
      <c r="C1661" s="75"/>
      <c r="D1661" s="75"/>
      <c r="E1661" s="75"/>
      <c r="F1661" s="75"/>
      <c r="G1661" s="75"/>
      <c r="H1661" s="75"/>
      <c r="I1661" s="75"/>
      <c r="J1661" s="166"/>
      <c r="K1661" s="166"/>
      <c r="R1661" s="163"/>
      <c r="S1661" s="163"/>
    </row>
    <row r="1662">
      <c r="A1662" s="148"/>
      <c r="B1662" s="75"/>
      <c r="C1662" s="75"/>
      <c r="D1662" s="75"/>
      <c r="E1662" s="75"/>
      <c r="F1662" s="75"/>
      <c r="G1662" s="75"/>
      <c r="H1662" s="75"/>
      <c r="I1662" s="75"/>
      <c r="J1662" s="166"/>
      <c r="K1662" s="166"/>
      <c r="R1662" s="163"/>
      <c r="S1662" s="163"/>
    </row>
    <row r="1663">
      <c r="A1663" s="148"/>
      <c r="B1663" s="75"/>
      <c r="C1663" s="75"/>
      <c r="D1663" s="75"/>
      <c r="E1663" s="75"/>
      <c r="F1663" s="75"/>
      <c r="G1663" s="75"/>
      <c r="H1663" s="75"/>
      <c r="I1663" s="75"/>
      <c r="J1663" s="166"/>
      <c r="K1663" s="166"/>
      <c r="R1663" s="163"/>
      <c r="S1663" s="163"/>
    </row>
    <row r="1664">
      <c r="A1664" s="148"/>
      <c r="B1664" s="75"/>
      <c r="C1664" s="75"/>
      <c r="D1664" s="75"/>
      <c r="E1664" s="75"/>
      <c r="F1664" s="75"/>
      <c r="G1664" s="75"/>
      <c r="H1664" s="75"/>
      <c r="I1664" s="75"/>
      <c r="J1664" s="166"/>
      <c r="K1664" s="166"/>
      <c r="R1664" s="163"/>
      <c r="S1664" s="163"/>
    </row>
    <row r="1665">
      <c r="A1665" s="148"/>
      <c r="B1665" s="75"/>
      <c r="C1665" s="75"/>
      <c r="D1665" s="75"/>
      <c r="E1665" s="75"/>
      <c r="F1665" s="75"/>
      <c r="G1665" s="75"/>
      <c r="H1665" s="75"/>
      <c r="I1665" s="75"/>
      <c r="J1665" s="166"/>
      <c r="K1665" s="166"/>
      <c r="R1665" s="163"/>
      <c r="S1665" s="163"/>
    </row>
    <row r="1666">
      <c r="A1666" s="148"/>
      <c r="B1666" s="75"/>
      <c r="C1666" s="75"/>
      <c r="D1666" s="75"/>
      <c r="E1666" s="75"/>
      <c r="F1666" s="75"/>
      <c r="G1666" s="75"/>
      <c r="H1666" s="75"/>
      <c r="I1666" s="75"/>
      <c r="J1666" s="166"/>
      <c r="K1666" s="166"/>
      <c r="R1666" s="163"/>
      <c r="S1666" s="163"/>
    </row>
    <row r="1667">
      <c r="A1667" s="148"/>
      <c r="B1667" s="75"/>
      <c r="C1667" s="75"/>
      <c r="D1667" s="75"/>
      <c r="E1667" s="75"/>
      <c r="F1667" s="75"/>
      <c r="G1667" s="75"/>
      <c r="H1667" s="75"/>
      <c r="I1667" s="75"/>
      <c r="J1667" s="166"/>
      <c r="K1667" s="166"/>
      <c r="R1667" s="163"/>
      <c r="S1667" s="163"/>
    </row>
    <row r="1668">
      <c r="A1668" s="148"/>
      <c r="B1668" s="75"/>
      <c r="C1668" s="75"/>
      <c r="D1668" s="75"/>
      <c r="E1668" s="75"/>
      <c r="F1668" s="75"/>
      <c r="G1668" s="75"/>
      <c r="H1668" s="75"/>
      <c r="I1668" s="75"/>
      <c r="J1668" s="166"/>
      <c r="K1668" s="166"/>
      <c r="R1668" s="173"/>
      <c r="S1668" s="173"/>
    </row>
    <row r="1669">
      <c r="A1669" s="148"/>
      <c r="B1669" s="75"/>
      <c r="C1669" s="75"/>
      <c r="D1669" s="75"/>
      <c r="E1669" s="75"/>
      <c r="F1669" s="75"/>
      <c r="G1669" s="75"/>
      <c r="H1669" s="75"/>
      <c r="I1669" s="75"/>
      <c r="J1669" s="166"/>
      <c r="K1669" s="166"/>
      <c r="R1669" s="157"/>
      <c r="S1669" s="157"/>
    </row>
    <row r="1670">
      <c r="A1670" s="148"/>
      <c r="B1670" s="75"/>
      <c r="C1670" s="75"/>
      <c r="D1670" s="75"/>
      <c r="E1670" s="75"/>
      <c r="F1670" s="75"/>
      <c r="G1670" s="75"/>
      <c r="H1670" s="75"/>
      <c r="I1670" s="75"/>
      <c r="J1670" s="166"/>
      <c r="K1670" s="166"/>
      <c r="R1670" s="163"/>
      <c r="S1670" s="163"/>
    </row>
    <row r="1671">
      <c r="A1671" s="148"/>
      <c r="B1671" s="75"/>
      <c r="C1671" s="75"/>
      <c r="D1671" s="75"/>
      <c r="E1671" s="75"/>
      <c r="F1671" s="75"/>
      <c r="G1671" s="75"/>
      <c r="H1671" s="75"/>
      <c r="I1671" s="75"/>
      <c r="J1671" s="166"/>
      <c r="K1671" s="166"/>
      <c r="R1671" s="163"/>
      <c r="S1671" s="163"/>
    </row>
    <row r="1672">
      <c r="A1672" s="148"/>
      <c r="B1672" s="75"/>
      <c r="C1672" s="75"/>
      <c r="D1672" s="75"/>
      <c r="E1672" s="75"/>
      <c r="F1672" s="75"/>
      <c r="G1672" s="75"/>
      <c r="H1672" s="75"/>
      <c r="I1672" s="75"/>
      <c r="J1672" s="166"/>
      <c r="K1672" s="166"/>
      <c r="R1672" s="163"/>
      <c r="S1672" s="163"/>
    </row>
    <row r="1673">
      <c r="A1673" s="148"/>
      <c r="B1673" s="75"/>
      <c r="C1673" s="75"/>
      <c r="D1673" s="75"/>
      <c r="E1673" s="75"/>
      <c r="F1673" s="75"/>
      <c r="G1673" s="75"/>
      <c r="H1673" s="75"/>
      <c r="I1673" s="75"/>
      <c r="J1673" s="166"/>
      <c r="K1673" s="166"/>
      <c r="R1673" s="163"/>
      <c r="S1673" s="163"/>
    </row>
    <row r="1674">
      <c r="A1674" s="148"/>
      <c r="B1674" s="75"/>
      <c r="C1674" s="75"/>
      <c r="D1674" s="75"/>
      <c r="E1674" s="75"/>
      <c r="F1674" s="75"/>
      <c r="G1674" s="75"/>
      <c r="H1674" s="75"/>
      <c r="I1674" s="75"/>
      <c r="J1674" s="166"/>
      <c r="K1674" s="166"/>
      <c r="R1674" s="163"/>
      <c r="S1674" s="163"/>
    </row>
    <row r="1675">
      <c r="A1675" s="148"/>
      <c r="B1675" s="75"/>
      <c r="C1675" s="75"/>
      <c r="D1675" s="75"/>
      <c r="E1675" s="75"/>
      <c r="F1675" s="75"/>
      <c r="G1675" s="75"/>
      <c r="H1675" s="75"/>
      <c r="I1675" s="75"/>
      <c r="J1675" s="166"/>
      <c r="K1675" s="166"/>
      <c r="R1675" s="163"/>
      <c r="S1675" s="163"/>
    </row>
    <row r="1676">
      <c r="A1676" s="148"/>
      <c r="B1676" s="75"/>
      <c r="C1676" s="75"/>
      <c r="D1676" s="75"/>
      <c r="E1676" s="75"/>
      <c r="F1676" s="75"/>
      <c r="G1676" s="75"/>
      <c r="H1676" s="75"/>
      <c r="I1676" s="75"/>
      <c r="J1676" s="166"/>
      <c r="K1676" s="166"/>
      <c r="R1676" s="163"/>
      <c r="S1676" s="163"/>
    </row>
    <row r="1677">
      <c r="A1677" s="148"/>
      <c r="B1677" s="75"/>
      <c r="C1677" s="75"/>
      <c r="D1677" s="75"/>
      <c r="E1677" s="75"/>
      <c r="F1677" s="75"/>
      <c r="G1677" s="75"/>
      <c r="H1677" s="75"/>
      <c r="I1677" s="75"/>
      <c r="J1677" s="166"/>
      <c r="K1677" s="166"/>
      <c r="R1677" s="163"/>
      <c r="S1677" s="163"/>
    </row>
    <row r="1678">
      <c r="A1678" s="148"/>
      <c r="B1678" s="75"/>
      <c r="C1678" s="75"/>
      <c r="D1678" s="75"/>
      <c r="E1678" s="75"/>
      <c r="F1678" s="75"/>
      <c r="G1678" s="75"/>
      <c r="H1678" s="75"/>
      <c r="I1678" s="75"/>
      <c r="J1678" s="166"/>
      <c r="K1678" s="166"/>
      <c r="R1678" s="163"/>
      <c r="S1678" s="163"/>
    </row>
    <row r="1679">
      <c r="A1679" s="148"/>
      <c r="B1679" s="75"/>
      <c r="C1679" s="75"/>
      <c r="D1679" s="75"/>
      <c r="E1679" s="75"/>
      <c r="F1679" s="75"/>
      <c r="G1679" s="75"/>
      <c r="H1679" s="75"/>
      <c r="I1679" s="75"/>
      <c r="J1679" s="166"/>
      <c r="K1679" s="166"/>
      <c r="R1679" s="163"/>
      <c r="S1679" s="163"/>
    </row>
    <row r="1680">
      <c r="A1680" s="148"/>
      <c r="B1680" s="75"/>
      <c r="C1680" s="75"/>
      <c r="D1680" s="75"/>
      <c r="E1680" s="75"/>
      <c r="F1680" s="75"/>
      <c r="G1680" s="75"/>
      <c r="H1680" s="75"/>
      <c r="I1680" s="75"/>
      <c r="J1680" s="166"/>
      <c r="K1680" s="166"/>
      <c r="R1680" s="173"/>
      <c r="S1680" s="173"/>
    </row>
    <row r="1681">
      <c r="A1681" s="148"/>
      <c r="B1681" s="75"/>
      <c r="C1681" s="75"/>
      <c r="D1681" s="75"/>
      <c r="E1681" s="75"/>
      <c r="F1681" s="75"/>
      <c r="G1681" s="75"/>
      <c r="H1681" s="75"/>
      <c r="I1681" s="75"/>
      <c r="J1681" s="166"/>
      <c r="K1681" s="166"/>
      <c r="R1681" s="157"/>
      <c r="S1681" s="157"/>
    </row>
    <row r="1682">
      <c r="A1682" s="148"/>
      <c r="B1682" s="75"/>
      <c r="C1682" s="75"/>
      <c r="D1682" s="75"/>
      <c r="E1682" s="75"/>
      <c r="F1682" s="75"/>
      <c r="G1682" s="75"/>
      <c r="H1682" s="75"/>
      <c r="I1682" s="75"/>
      <c r="J1682" s="166"/>
      <c r="K1682" s="166"/>
      <c r="R1682" s="163"/>
      <c r="S1682" s="163"/>
    </row>
    <row r="1683">
      <c r="A1683" s="148"/>
      <c r="B1683" s="75"/>
      <c r="C1683" s="75"/>
      <c r="D1683" s="75"/>
      <c r="E1683" s="75"/>
      <c r="F1683" s="75"/>
      <c r="G1683" s="75"/>
      <c r="H1683" s="75"/>
      <c r="I1683" s="75"/>
      <c r="J1683" s="166"/>
      <c r="K1683" s="166"/>
      <c r="R1683" s="163"/>
      <c r="S1683" s="163"/>
    </row>
    <row r="1684">
      <c r="A1684" s="148"/>
      <c r="B1684" s="75"/>
      <c r="C1684" s="75"/>
      <c r="D1684" s="75"/>
      <c r="E1684" s="75"/>
      <c r="F1684" s="75"/>
      <c r="G1684" s="75"/>
      <c r="H1684" s="75"/>
      <c r="I1684" s="75"/>
      <c r="J1684" s="166"/>
      <c r="K1684" s="166"/>
      <c r="R1684" s="163"/>
      <c r="S1684" s="163"/>
    </row>
    <row r="1685">
      <c r="A1685" s="148"/>
      <c r="B1685" s="75"/>
      <c r="C1685" s="75"/>
      <c r="D1685" s="75"/>
      <c r="E1685" s="75"/>
      <c r="F1685" s="75"/>
      <c r="G1685" s="75"/>
      <c r="H1685" s="75"/>
      <c r="I1685" s="75"/>
      <c r="J1685" s="166"/>
      <c r="K1685" s="166"/>
      <c r="R1685" s="163"/>
      <c r="S1685" s="163"/>
    </row>
    <row r="1686">
      <c r="A1686" s="148"/>
      <c r="B1686" s="75"/>
      <c r="C1686" s="75"/>
      <c r="D1686" s="75"/>
      <c r="E1686" s="75"/>
      <c r="F1686" s="75"/>
      <c r="G1686" s="75"/>
      <c r="H1686" s="75"/>
      <c r="I1686" s="75"/>
      <c r="J1686" s="166"/>
      <c r="K1686" s="166"/>
      <c r="R1686" s="163"/>
      <c r="S1686" s="163"/>
    </row>
    <row r="1687">
      <c r="A1687" s="148"/>
      <c r="B1687" s="75"/>
      <c r="C1687" s="75"/>
      <c r="D1687" s="75"/>
      <c r="E1687" s="75"/>
      <c r="F1687" s="75"/>
      <c r="G1687" s="75"/>
      <c r="H1687" s="75"/>
      <c r="I1687" s="75"/>
      <c r="J1687" s="166"/>
      <c r="K1687" s="166"/>
      <c r="R1687" s="163"/>
      <c r="S1687" s="163"/>
    </row>
    <row r="1688">
      <c r="A1688" s="148"/>
      <c r="B1688" s="75"/>
      <c r="C1688" s="75"/>
      <c r="D1688" s="75"/>
      <c r="E1688" s="75"/>
      <c r="F1688" s="75"/>
      <c r="G1688" s="75"/>
      <c r="H1688" s="75"/>
      <c r="I1688" s="75"/>
      <c r="J1688" s="166"/>
      <c r="K1688" s="166"/>
      <c r="R1688" s="163"/>
      <c r="S1688" s="163"/>
    </row>
    <row r="1689">
      <c r="A1689" s="148"/>
      <c r="B1689" s="75"/>
      <c r="C1689" s="75"/>
      <c r="D1689" s="75"/>
      <c r="E1689" s="75"/>
      <c r="F1689" s="75"/>
      <c r="G1689" s="75"/>
      <c r="H1689" s="75"/>
      <c r="I1689" s="75"/>
      <c r="J1689" s="166"/>
      <c r="K1689" s="166"/>
      <c r="R1689" s="163"/>
      <c r="S1689" s="163"/>
    </row>
    <row r="1690">
      <c r="A1690" s="148"/>
      <c r="B1690" s="75"/>
      <c r="C1690" s="75"/>
      <c r="D1690" s="75"/>
      <c r="E1690" s="75"/>
      <c r="F1690" s="75"/>
      <c r="G1690" s="75"/>
      <c r="H1690" s="75"/>
      <c r="I1690" s="75"/>
      <c r="J1690" s="166"/>
      <c r="K1690" s="166"/>
      <c r="R1690" s="163"/>
      <c r="S1690" s="163"/>
    </row>
    <row r="1691">
      <c r="A1691" s="148"/>
      <c r="B1691" s="75"/>
      <c r="C1691" s="75"/>
      <c r="D1691" s="75"/>
      <c r="E1691" s="75"/>
      <c r="F1691" s="75"/>
      <c r="G1691" s="75"/>
      <c r="H1691" s="75"/>
      <c r="I1691" s="75"/>
      <c r="J1691" s="166"/>
      <c r="K1691" s="166"/>
      <c r="R1691" s="163"/>
      <c r="S1691" s="163"/>
    </row>
    <row r="1692">
      <c r="A1692" s="148"/>
      <c r="B1692" s="75"/>
      <c r="C1692" s="75"/>
      <c r="D1692" s="75"/>
      <c r="E1692" s="75"/>
      <c r="F1692" s="75"/>
      <c r="G1692" s="75"/>
      <c r="H1692" s="75"/>
      <c r="I1692" s="75"/>
      <c r="J1692" s="166"/>
      <c r="K1692" s="166"/>
      <c r="R1692" s="173"/>
      <c r="S1692" s="173"/>
    </row>
    <row r="1693">
      <c r="A1693" s="148"/>
      <c r="B1693" s="75"/>
      <c r="C1693" s="75"/>
      <c r="D1693" s="75"/>
      <c r="E1693" s="75"/>
      <c r="F1693" s="75"/>
      <c r="G1693" s="75"/>
      <c r="H1693" s="75"/>
      <c r="I1693" s="75"/>
      <c r="J1693" s="166"/>
      <c r="K1693" s="166"/>
      <c r="R1693" s="157"/>
      <c r="S1693" s="157"/>
    </row>
    <row r="1694">
      <c r="A1694" s="148"/>
      <c r="B1694" s="75"/>
      <c r="C1694" s="75"/>
      <c r="D1694" s="75"/>
      <c r="E1694" s="75"/>
      <c r="F1694" s="75"/>
      <c r="G1694" s="75"/>
      <c r="H1694" s="75"/>
      <c r="I1694" s="75"/>
      <c r="J1694" s="166"/>
      <c r="K1694" s="166"/>
      <c r="R1694" s="163"/>
      <c r="S1694" s="163"/>
    </row>
    <row r="1695">
      <c r="A1695" s="148"/>
      <c r="B1695" s="75"/>
      <c r="C1695" s="75"/>
      <c r="D1695" s="75"/>
      <c r="E1695" s="75"/>
      <c r="F1695" s="75"/>
      <c r="G1695" s="75"/>
      <c r="H1695" s="75"/>
      <c r="I1695" s="75"/>
      <c r="J1695" s="166"/>
      <c r="K1695" s="166"/>
      <c r="R1695" s="163"/>
      <c r="S1695" s="163"/>
    </row>
    <row r="1696">
      <c r="A1696" s="148"/>
      <c r="B1696" s="75"/>
      <c r="C1696" s="75"/>
      <c r="D1696" s="75"/>
      <c r="E1696" s="75"/>
      <c r="F1696" s="75"/>
      <c r="G1696" s="75"/>
      <c r="H1696" s="75"/>
      <c r="I1696" s="75"/>
      <c r="J1696" s="166"/>
      <c r="K1696" s="166"/>
      <c r="R1696" s="163"/>
      <c r="S1696" s="163"/>
    </row>
    <row r="1697">
      <c r="A1697" s="148"/>
      <c r="B1697" s="75"/>
      <c r="C1697" s="75"/>
      <c r="D1697" s="75"/>
      <c r="E1697" s="75"/>
      <c r="F1697" s="75"/>
      <c r="G1697" s="75"/>
      <c r="H1697" s="75"/>
      <c r="I1697" s="75"/>
      <c r="J1697" s="166"/>
      <c r="K1697" s="166"/>
      <c r="R1697" s="163"/>
      <c r="S1697" s="163"/>
    </row>
    <row r="1698">
      <c r="A1698" s="148"/>
      <c r="B1698" s="75"/>
      <c r="C1698" s="75"/>
      <c r="D1698" s="75"/>
      <c r="E1698" s="75"/>
      <c r="F1698" s="75"/>
      <c r="G1698" s="75"/>
      <c r="H1698" s="75"/>
      <c r="I1698" s="75"/>
      <c r="J1698" s="166"/>
      <c r="K1698" s="166"/>
      <c r="R1698" s="163"/>
      <c r="S1698" s="163"/>
    </row>
    <row r="1699">
      <c r="A1699" s="148"/>
      <c r="B1699" s="75"/>
      <c r="C1699" s="75"/>
      <c r="D1699" s="75"/>
      <c r="E1699" s="75"/>
      <c r="F1699" s="75"/>
      <c r="G1699" s="75"/>
      <c r="H1699" s="75"/>
      <c r="I1699" s="75"/>
      <c r="J1699" s="166"/>
      <c r="K1699" s="166"/>
      <c r="R1699" s="163"/>
      <c r="S1699" s="163"/>
    </row>
    <row r="1700">
      <c r="A1700" s="148"/>
      <c r="B1700" s="75"/>
      <c r="C1700" s="75"/>
      <c r="D1700" s="75"/>
      <c r="E1700" s="75"/>
      <c r="F1700" s="75"/>
      <c r="G1700" s="75"/>
      <c r="H1700" s="75"/>
      <c r="I1700" s="75"/>
      <c r="J1700" s="166"/>
      <c r="K1700" s="166"/>
      <c r="R1700" s="163"/>
      <c r="S1700" s="163"/>
    </row>
    <row r="1701">
      <c r="A1701" s="148"/>
      <c r="B1701" s="75"/>
      <c r="C1701" s="75"/>
      <c r="D1701" s="75"/>
      <c r="E1701" s="75"/>
      <c r="F1701" s="75"/>
      <c r="G1701" s="75"/>
      <c r="H1701" s="75"/>
      <c r="I1701" s="75"/>
      <c r="J1701" s="166"/>
      <c r="K1701" s="166"/>
      <c r="R1701" s="163"/>
      <c r="S1701" s="163"/>
    </row>
    <row r="1702">
      <c r="A1702" s="148"/>
      <c r="B1702" s="75"/>
      <c r="C1702" s="75"/>
      <c r="D1702" s="75"/>
      <c r="E1702" s="75"/>
      <c r="F1702" s="75"/>
      <c r="G1702" s="75"/>
      <c r="H1702" s="75"/>
      <c r="I1702" s="75"/>
      <c r="J1702" s="166"/>
      <c r="K1702" s="166"/>
      <c r="R1702" s="163"/>
      <c r="S1702" s="163"/>
    </row>
    <row r="1703">
      <c r="A1703" s="148"/>
      <c r="B1703" s="75"/>
      <c r="C1703" s="75"/>
      <c r="D1703" s="75"/>
      <c r="E1703" s="75"/>
      <c r="F1703" s="75"/>
      <c r="G1703" s="75"/>
      <c r="H1703" s="75"/>
      <c r="I1703" s="75"/>
      <c r="J1703" s="166"/>
      <c r="K1703" s="166"/>
      <c r="R1703" s="163"/>
      <c r="S1703" s="163"/>
    </row>
    <row r="1704">
      <c r="A1704" s="148"/>
      <c r="B1704" s="75"/>
      <c r="C1704" s="75"/>
      <c r="D1704" s="75"/>
      <c r="E1704" s="75"/>
      <c r="F1704" s="75"/>
      <c r="G1704" s="75"/>
      <c r="H1704" s="75"/>
      <c r="I1704" s="75"/>
      <c r="J1704" s="166"/>
      <c r="K1704" s="166"/>
      <c r="R1704" s="173"/>
      <c r="S1704" s="173"/>
    </row>
    <row r="1705">
      <c r="A1705" s="148"/>
      <c r="B1705" s="75"/>
      <c r="C1705" s="75"/>
      <c r="D1705" s="75"/>
      <c r="E1705" s="75"/>
      <c r="F1705" s="75"/>
      <c r="G1705" s="75"/>
      <c r="H1705" s="75"/>
      <c r="I1705" s="75"/>
      <c r="J1705" s="166"/>
      <c r="K1705" s="166"/>
      <c r="R1705" s="157"/>
      <c r="S1705" s="157"/>
    </row>
    <row r="1706">
      <c r="A1706" s="148"/>
      <c r="B1706" s="75"/>
      <c r="C1706" s="75"/>
      <c r="D1706" s="75"/>
      <c r="E1706" s="75"/>
      <c r="F1706" s="75"/>
      <c r="G1706" s="75"/>
      <c r="H1706" s="75"/>
      <c r="I1706" s="75"/>
      <c r="J1706" s="166"/>
      <c r="K1706" s="166"/>
      <c r="R1706" s="163"/>
      <c r="S1706" s="163"/>
    </row>
    <row r="1707">
      <c r="A1707" s="148"/>
      <c r="B1707" s="75"/>
      <c r="C1707" s="75"/>
      <c r="D1707" s="75"/>
      <c r="E1707" s="75"/>
      <c r="F1707" s="75"/>
      <c r="G1707" s="75"/>
      <c r="H1707" s="75"/>
      <c r="I1707" s="75"/>
      <c r="J1707" s="166"/>
      <c r="K1707" s="166"/>
      <c r="R1707" s="163"/>
      <c r="S1707" s="163"/>
    </row>
    <row r="1708">
      <c r="A1708" s="148"/>
      <c r="B1708" s="75"/>
      <c r="C1708" s="75"/>
      <c r="D1708" s="75"/>
      <c r="E1708" s="75"/>
      <c r="F1708" s="75"/>
      <c r="G1708" s="75"/>
      <c r="H1708" s="75"/>
      <c r="I1708" s="75"/>
      <c r="J1708" s="166"/>
      <c r="K1708" s="166"/>
      <c r="R1708" s="163"/>
      <c r="S1708" s="163"/>
    </row>
    <row r="1709">
      <c r="A1709" s="148"/>
      <c r="B1709" s="75"/>
      <c r="C1709" s="75"/>
      <c r="D1709" s="75"/>
      <c r="E1709" s="75"/>
      <c r="F1709" s="75"/>
      <c r="G1709" s="75"/>
      <c r="H1709" s="75"/>
      <c r="I1709" s="75"/>
      <c r="J1709" s="166"/>
      <c r="K1709" s="166"/>
      <c r="R1709" s="163"/>
      <c r="S1709" s="163"/>
    </row>
    <row r="1710">
      <c r="A1710" s="148"/>
      <c r="B1710" s="75"/>
      <c r="C1710" s="75"/>
      <c r="D1710" s="75"/>
      <c r="E1710" s="75"/>
      <c r="F1710" s="75"/>
      <c r="G1710" s="75"/>
      <c r="H1710" s="75"/>
      <c r="I1710" s="75"/>
      <c r="J1710" s="166"/>
      <c r="K1710" s="166"/>
      <c r="R1710" s="163"/>
      <c r="S1710" s="163"/>
    </row>
    <row r="1711">
      <c r="A1711" s="148"/>
      <c r="B1711" s="75"/>
      <c r="C1711" s="75"/>
      <c r="D1711" s="75"/>
      <c r="E1711" s="75"/>
      <c r="F1711" s="75"/>
      <c r="G1711" s="75"/>
      <c r="H1711" s="75"/>
      <c r="I1711" s="75"/>
      <c r="J1711" s="166"/>
      <c r="K1711" s="166"/>
      <c r="R1711" s="163"/>
      <c r="S1711" s="163"/>
    </row>
    <row r="1712">
      <c r="A1712" s="148"/>
      <c r="B1712" s="75"/>
      <c r="C1712" s="75"/>
      <c r="D1712" s="75"/>
      <c r="E1712" s="75"/>
      <c r="F1712" s="75"/>
      <c r="G1712" s="75"/>
      <c r="H1712" s="75"/>
      <c r="I1712" s="75"/>
      <c r="J1712" s="166"/>
      <c r="K1712" s="166"/>
      <c r="R1712" s="163"/>
      <c r="S1712" s="163"/>
    </row>
    <row r="1713">
      <c r="A1713" s="148"/>
      <c r="B1713" s="75"/>
      <c r="C1713" s="75"/>
      <c r="D1713" s="75"/>
      <c r="E1713" s="75"/>
      <c r="F1713" s="75"/>
      <c r="G1713" s="75"/>
      <c r="H1713" s="75"/>
      <c r="I1713" s="75"/>
      <c r="J1713" s="166"/>
      <c r="K1713" s="166"/>
      <c r="R1713" s="163"/>
      <c r="S1713" s="163"/>
    </row>
    <row r="1714">
      <c r="A1714" s="148"/>
      <c r="B1714" s="75"/>
      <c r="C1714" s="75"/>
      <c r="D1714" s="75"/>
      <c r="E1714" s="75"/>
      <c r="F1714" s="75"/>
      <c r="G1714" s="75"/>
      <c r="H1714" s="75"/>
      <c r="I1714" s="75"/>
      <c r="J1714" s="166"/>
      <c r="K1714" s="166"/>
      <c r="R1714" s="163"/>
      <c r="S1714" s="163"/>
    </row>
    <row r="1715">
      <c r="A1715" s="148"/>
      <c r="B1715" s="75"/>
      <c r="C1715" s="75"/>
      <c r="D1715" s="75"/>
      <c r="E1715" s="75"/>
      <c r="F1715" s="75"/>
      <c r="G1715" s="75"/>
      <c r="H1715" s="75"/>
      <c r="I1715" s="75"/>
      <c r="J1715" s="166"/>
      <c r="K1715" s="166"/>
      <c r="R1715" s="163"/>
      <c r="S1715" s="163"/>
    </row>
    <row r="1716">
      <c r="A1716" s="148"/>
      <c r="B1716" s="75"/>
      <c r="C1716" s="75"/>
      <c r="D1716" s="75"/>
      <c r="E1716" s="75"/>
      <c r="F1716" s="75"/>
      <c r="G1716" s="75"/>
      <c r="H1716" s="75"/>
      <c r="I1716" s="75"/>
      <c r="J1716" s="166"/>
      <c r="K1716" s="166"/>
      <c r="R1716" s="173"/>
      <c r="S1716" s="173"/>
    </row>
    <row r="1717">
      <c r="A1717" s="148"/>
      <c r="B1717" s="75"/>
      <c r="C1717" s="75"/>
      <c r="D1717" s="75"/>
      <c r="E1717" s="75"/>
      <c r="F1717" s="75"/>
      <c r="G1717" s="75"/>
      <c r="H1717" s="75"/>
      <c r="I1717" s="75"/>
      <c r="J1717" s="166"/>
      <c r="K1717" s="166"/>
      <c r="R1717" s="157"/>
      <c r="S1717" s="157"/>
    </row>
    <row r="1718">
      <c r="A1718" s="148"/>
      <c r="B1718" s="75"/>
      <c r="C1718" s="75"/>
      <c r="D1718" s="75"/>
      <c r="E1718" s="75"/>
      <c r="F1718" s="75"/>
      <c r="G1718" s="75"/>
      <c r="H1718" s="75"/>
      <c r="I1718" s="75"/>
      <c r="J1718" s="166"/>
      <c r="K1718" s="166"/>
      <c r="R1718" s="163"/>
      <c r="S1718" s="163"/>
    </row>
    <row r="1719">
      <c r="A1719" s="148"/>
      <c r="B1719" s="75"/>
      <c r="C1719" s="75"/>
      <c r="D1719" s="75"/>
      <c r="E1719" s="75"/>
      <c r="F1719" s="75"/>
      <c r="G1719" s="75"/>
      <c r="H1719" s="75"/>
      <c r="I1719" s="75"/>
      <c r="J1719" s="166"/>
      <c r="K1719" s="166"/>
      <c r="R1719" s="163"/>
      <c r="S1719" s="163"/>
    </row>
    <row r="1720">
      <c r="A1720" s="148"/>
      <c r="B1720" s="75"/>
      <c r="C1720" s="75"/>
      <c r="D1720" s="75"/>
      <c r="E1720" s="75"/>
      <c r="F1720" s="75"/>
      <c r="G1720" s="75"/>
      <c r="H1720" s="75"/>
      <c r="I1720" s="75"/>
      <c r="J1720" s="166"/>
      <c r="K1720" s="166"/>
      <c r="R1720" s="163"/>
      <c r="S1720" s="163"/>
    </row>
    <row r="1721">
      <c r="A1721" s="148"/>
      <c r="B1721" s="75"/>
      <c r="C1721" s="75"/>
      <c r="D1721" s="75"/>
      <c r="E1721" s="75"/>
      <c r="F1721" s="75"/>
      <c r="G1721" s="75"/>
      <c r="H1721" s="75"/>
      <c r="I1721" s="75"/>
      <c r="J1721" s="166"/>
      <c r="K1721" s="166"/>
      <c r="R1721" s="163"/>
      <c r="S1721" s="163"/>
    </row>
    <row r="1722">
      <c r="A1722" s="148"/>
      <c r="B1722" s="75"/>
      <c r="C1722" s="75"/>
      <c r="D1722" s="75"/>
      <c r="E1722" s="75"/>
      <c r="F1722" s="75"/>
      <c r="G1722" s="75"/>
      <c r="H1722" s="75"/>
      <c r="I1722" s="75"/>
      <c r="J1722" s="166"/>
      <c r="K1722" s="166"/>
      <c r="R1722" s="163"/>
      <c r="S1722" s="163"/>
    </row>
    <row r="1723">
      <c r="A1723" s="148"/>
      <c r="B1723" s="75"/>
      <c r="C1723" s="75"/>
      <c r="D1723" s="75"/>
      <c r="E1723" s="75"/>
      <c r="F1723" s="75"/>
      <c r="G1723" s="75"/>
      <c r="H1723" s="75"/>
      <c r="I1723" s="75"/>
      <c r="J1723" s="166"/>
      <c r="K1723" s="166"/>
      <c r="R1723" s="163"/>
      <c r="S1723" s="163"/>
    </row>
    <row r="1724">
      <c r="A1724" s="148"/>
      <c r="B1724" s="75"/>
      <c r="C1724" s="75"/>
      <c r="D1724" s="75"/>
      <c r="E1724" s="75"/>
      <c r="F1724" s="75"/>
      <c r="G1724" s="75"/>
      <c r="H1724" s="75"/>
      <c r="I1724" s="75"/>
      <c r="J1724" s="166"/>
      <c r="K1724" s="166"/>
      <c r="R1724" s="163"/>
      <c r="S1724" s="163"/>
    </row>
    <row r="1725">
      <c r="A1725" s="148"/>
      <c r="B1725" s="75"/>
      <c r="C1725" s="75"/>
      <c r="D1725" s="75"/>
      <c r="E1725" s="75"/>
      <c r="F1725" s="75"/>
      <c r="G1725" s="75"/>
      <c r="H1725" s="75"/>
      <c r="I1725" s="75"/>
      <c r="J1725" s="166"/>
      <c r="K1725" s="166"/>
      <c r="R1725" s="163"/>
      <c r="S1725" s="163"/>
    </row>
    <row r="1726">
      <c r="A1726" s="148"/>
      <c r="B1726" s="75"/>
      <c r="C1726" s="75"/>
      <c r="D1726" s="75"/>
      <c r="E1726" s="75"/>
      <c r="F1726" s="75"/>
      <c r="G1726" s="75"/>
      <c r="H1726" s="75"/>
      <c r="I1726" s="75"/>
      <c r="J1726" s="166"/>
      <c r="K1726" s="166"/>
      <c r="R1726" s="163"/>
      <c r="S1726" s="163"/>
    </row>
    <row r="1727">
      <c r="A1727" s="148"/>
      <c r="B1727" s="75"/>
      <c r="C1727" s="75"/>
      <c r="D1727" s="75"/>
      <c r="E1727" s="75"/>
      <c r="F1727" s="75"/>
      <c r="G1727" s="75"/>
      <c r="H1727" s="75"/>
      <c r="I1727" s="75"/>
      <c r="J1727" s="166"/>
      <c r="K1727" s="166"/>
      <c r="R1727" s="163"/>
      <c r="S1727" s="163"/>
    </row>
    <row r="1728">
      <c r="A1728" s="148"/>
      <c r="B1728" s="75"/>
      <c r="C1728" s="75"/>
      <c r="D1728" s="75"/>
      <c r="E1728" s="75"/>
      <c r="F1728" s="75"/>
      <c r="G1728" s="75"/>
      <c r="H1728" s="75"/>
      <c r="I1728" s="75"/>
      <c r="J1728" s="166"/>
      <c r="K1728" s="166"/>
      <c r="R1728" s="173"/>
      <c r="S1728" s="173"/>
    </row>
    <row r="1729">
      <c r="A1729" s="148"/>
      <c r="B1729" s="75"/>
      <c r="C1729" s="75"/>
      <c r="D1729" s="75"/>
      <c r="E1729" s="75"/>
      <c r="F1729" s="75"/>
      <c r="G1729" s="75"/>
      <c r="H1729" s="75"/>
      <c r="I1729" s="75"/>
      <c r="J1729" s="166"/>
      <c r="K1729" s="166"/>
      <c r="R1729" s="157"/>
      <c r="S1729" s="157"/>
    </row>
    <row r="1730">
      <c r="A1730" s="148"/>
      <c r="B1730" s="75"/>
      <c r="C1730" s="75"/>
      <c r="D1730" s="75"/>
      <c r="E1730" s="75"/>
      <c r="F1730" s="75"/>
      <c r="G1730" s="75"/>
      <c r="H1730" s="75"/>
      <c r="I1730" s="75"/>
      <c r="J1730" s="166"/>
      <c r="K1730" s="166"/>
      <c r="R1730" s="163"/>
      <c r="S1730" s="163"/>
    </row>
    <row r="1731">
      <c r="A1731" s="148"/>
      <c r="B1731" s="75"/>
      <c r="C1731" s="75"/>
      <c r="D1731" s="75"/>
      <c r="E1731" s="75"/>
      <c r="F1731" s="75"/>
      <c r="G1731" s="75"/>
      <c r="H1731" s="75"/>
      <c r="I1731" s="75"/>
      <c r="J1731" s="166"/>
      <c r="K1731" s="166"/>
      <c r="R1731" s="163"/>
      <c r="S1731" s="163"/>
    </row>
    <row r="1732">
      <c r="A1732" s="148"/>
      <c r="B1732" s="75"/>
      <c r="C1732" s="75"/>
      <c r="D1732" s="75"/>
      <c r="E1732" s="75"/>
      <c r="F1732" s="75"/>
      <c r="G1732" s="75"/>
      <c r="H1732" s="75"/>
      <c r="I1732" s="75"/>
      <c r="J1732" s="166"/>
      <c r="K1732" s="166"/>
      <c r="R1732" s="163"/>
      <c r="S1732" s="163"/>
    </row>
    <row r="1733">
      <c r="A1733" s="148"/>
      <c r="B1733" s="75"/>
      <c r="C1733" s="75"/>
      <c r="D1733" s="75"/>
      <c r="E1733" s="75"/>
      <c r="F1733" s="75"/>
      <c r="G1733" s="75"/>
      <c r="H1733" s="75"/>
      <c r="I1733" s="75"/>
      <c r="J1733" s="166"/>
      <c r="K1733" s="166"/>
      <c r="R1733" s="163"/>
      <c r="S1733" s="163"/>
    </row>
    <row r="1734">
      <c r="A1734" s="148"/>
      <c r="B1734" s="75"/>
      <c r="C1734" s="75"/>
      <c r="D1734" s="75"/>
      <c r="E1734" s="75"/>
      <c r="F1734" s="75"/>
      <c r="G1734" s="75"/>
      <c r="H1734" s="75"/>
      <c r="I1734" s="75"/>
      <c r="J1734" s="166"/>
      <c r="K1734" s="166"/>
      <c r="R1734" s="163"/>
      <c r="S1734" s="163"/>
    </row>
    <row r="1735">
      <c r="A1735" s="148"/>
      <c r="B1735" s="75"/>
      <c r="C1735" s="75"/>
      <c r="D1735" s="75"/>
      <c r="E1735" s="75"/>
      <c r="F1735" s="75"/>
      <c r="G1735" s="75"/>
      <c r="H1735" s="75"/>
      <c r="I1735" s="75"/>
      <c r="J1735" s="166"/>
      <c r="K1735" s="166"/>
      <c r="R1735" s="163"/>
      <c r="S1735" s="163"/>
    </row>
    <row r="1736">
      <c r="A1736" s="148"/>
      <c r="B1736" s="75"/>
      <c r="C1736" s="75"/>
      <c r="D1736" s="75"/>
      <c r="E1736" s="75"/>
      <c r="F1736" s="75"/>
      <c r="G1736" s="75"/>
      <c r="H1736" s="75"/>
      <c r="I1736" s="75"/>
      <c r="J1736" s="166"/>
      <c r="K1736" s="166"/>
      <c r="R1736" s="163"/>
      <c r="S1736" s="163"/>
    </row>
    <row r="1737">
      <c r="A1737" s="148"/>
      <c r="B1737" s="75"/>
      <c r="C1737" s="75"/>
      <c r="D1737" s="75"/>
      <c r="E1737" s="75"/>
      <c r="F1737" s="75"/>
      <c r="G1737" s="75"/>
      <c r="H1737" s="75"/>
      <c r="I1737" s="75"/>
      <c r="J1737" s="166"/>
      <c r="K1737" s="166"/>
      <c r="R1737" s="163"/>
      <c r="S1737" s="163"/>
    </row>
    <row r="1738">
      <c r="A1738" s="148"/>
      <c r="B1738" s="75"/>
      <c r="C1738" s="75"/>
      <c r="D1738" s="75"/>
      <c r="E1738" s="75"/>
      <c r="F1738" s="75"/>
      <c r="G1738" s="75"/>
      <c r="H1738" s="75"/>
      <c r="I1738" s="75"/>
      <c r="J1738" s="166"/>
      <c r="K1738" s="166"/>
      <c r="R1738" s="163"/>
      <c r="S1738" s="163"/>
    </row>
    <row r="1739">
      <c r="A1739" s="148"/>
      <c r="B1739" s="75"/>
      <c r="C1739" s="75"/>
      <c r="D1739" s="75"/>
      <c r="E1739" s="75"/>
      <c r="F1739" s="75"/>
      <c r="G1739" s="75"/>
      <c r="H1739" s="75"/>
      <c r="I1739" s="75"/>
      <c r="J1739" s="166"/>
      <c r="K1739" s="166"/>
      <c r="R1739" s="163"/>
      <c r="S1739" s="163"/>
    </row>
    <row r="1740">
      <c r="A1740" s="148"/>
      <c r="B1740" s="75"/>
      <c r="C1740" s="75"/>
      <c r="D1740" s="75"/>
      <c r="E1740" s="75"/>
      <c r="F1740" s="75"/>
      <c r="G1740" s="75"/>
      <c r="H1740" s="75"/>
      <c r="I1740" s="75"/>
      <c r="J1740" s="166"/>
      <c r="K1740" s="166"/>
      <c r="R1740" s="173"/>
      <c r="S1740" s="173"/>
    </row>
    <row r="1741">
      <c r="A1741" s="148"/>
      <c r="B1741" s="75"/>
      <c r="C1741" s="75"/>
      <c r="D1741" s="75"/>
      <c r="E1741" s="75"/>
      <c r="F1741" s="75"/>
      <c r="G1741" s="75"/>
      <c r="H1741" s="75"/>
      <c r="I1741" s="75"/>
      <c r="J1741" s="166"/>
      <c r="K1741" s="166"/>
      <c r="R1741" s="157"/>
      <c r="S1741" s="157"/>
    </row>
    <row r="1742">
      <c r="A1742" s="148"/>
      <c r="B1742" s="75"/>
      <c r="C1742" s="75"/>
      <c r="D1742" s="75"/>
      <c r="E1742" s="75"/>
      <c r="F1742" s="75"/>
      <c r="G1742" s="75"/>
      <c r="H1742" s="75"/>
      <c r="I1742" s="75"/>
      <c r="J1742" s="166"/>
      <c r="K1742" s="166"/>
      <c r="R1742" s="163"/>
      <c r="S1742" s="163"/>
    </row>
    <row r="1743">
      <c r="A1743" s="148"/>
      <c r="B1743" s="75"/>
      <c r="C1743" s="75"/>
      <c r="D1743" s="75"/>
      <c r="E1743" s="75"/>
      <c r="F1743" s="75"/>
      <c r="G1743" s="75"/>
      <c r="H1743" s="75"/>
      <c r="I1743" s="75"/>
      <c r="J1743" s="166"/>
      <c r="K1743" s="166"/>
      <c r="R1743" s="163"/>
      <c r="S1743" s="163"/>
    </row>
    <row r="1744">
      <c r="A1744" s="148"/>
      <c r="B1744" s="75"/>
      <c r="C1744" s="75"/>
      <c r="D1744" s="75"/>
      <c r="E1744" s="75"/>
      <c r="F1744" s="75"/>
      <c r="G1744" s="75"/>
      <c r="H1744" s="75"/>
      <c r="I1744" s="75"/>
      <c r="J1744" s="166"/>
      <c r="K1744" s="166"/>
      <c r="R1744" s="163"/>
      <c r="S1744" s="163"/>
    </row>
    <row r="1745">
      <c r="A1745" s="148"/>
      <c r="B1745" s="75"/>
      <c r="C1745" s="75"/>
      <c r="D1745" s="75"/>
      <c r="E1745" s="75"/>
      <c r="F1745" s="75"/>
      <c r="G1745" s="75"/>
      <c r="H1745" s="75"/>
      <c r="I1745" s="75"/>
      <c r="J1745" s="166"/>
      <c r="K1745" s="166"/>
      <c r="R1745" s="163"/>
      <c r="S1745" s="163"/>
    </row>
    <row r="1746">
      <c r="A1746" s="148"/>
      <c r="B1746" s="75"/>
      <c r="C1746" s="75"/>
      <c r="D1746" s="75"/>
      <c r="E1746" s="75"/>
      <c r="F1746" s="75"/>
      <c r="G1746" s="75"/>
      <c r="H1746" s="75"/>
      <c r="I1746" s="75"/>
      <c r="J1746" s="166"/>
      <c r="K1746" s="166"/>
      <c r="R1746" s="163"/>
      <c r="S1746" s="163"/>
    </row>
    <row r="1747">
      <c r="A1747" s="148"/>
      <c r="B1747" s="75"/>
      <c r="C1747" s="75"/>
      <c r="D1747" s="75"/>
      <c r="E1747" s="75"/>
      <c r="F1747" s="75"/>
      <c r="G1747" s="75"/>
      <c r="H1747" s="75"/>
      <c r="I1747" s="75"/>
      <c r="J1747" s="166"/>
      <c r="K1747" s="166"/>
      <c r="R1747" s="163"/>
      <c r="S1747" s="163"/>
    </row>
    <row r="1748">
      <c r="A1748" s="148"/>
      <c r="B1748" s="75"/>
      <c r="C1748" s="75"/>
      <c r="D1748" s="75"/>
      <c r="E1748" s="75"/>
      <c r="F1748" s="75"/>
      <c r="G1748" s="75"/>
      <c r="H1748" s="75"/>
      <c r="I1748" s="75"/>
      <c r="J1748" s="166"/>
      <c r="K1748" s="166"/>
      <c r="R1748" s="163"/>
      <c r="S1748" s="163"/>
    </row>
    <row r="1749">
      <c r="A1749" s="148"/>
      <c r="B1749" s="75"/>
      <c r="C1749" s="75"/>
      <c r="D1749" s="75"/>
      <c r="E1749" s="75"/>
      <c r="F1749" s="75"/>
      <c r="G1749" s="75"/>
      <c r="H1749" s="75"/>
      <c r="I1749" s="75"/>
      <c r="J1749" s="166"/>
      <c r="K1749" s="166"/>
      <c r="R1749" s="163"/>
      <c r="S1749" s="163"/>
    </row>
    <row r="1750">
      <c r="A1750" s="148"/>
      <c r="B1750" s="75"/>
      <c r="C1750" s="75"/>
      <c r="D1750" s="75"/>
      <c r="E1750" s="75"/>
      <c r="F1750" s="75"/>
      <c r="G1750" s="75"/>
      <c r="H1750" s="75"/>
      <c r="I1750" s="75"/>
      <c r="J1750" s="166"/>
      <c r="K1750" s="166"/>
      <c r="R1750" s="163"/>
      <c r="S1750" s="163"/>
    </row>
    <row r="1751">
      <c r="A1751" s="148"/>
      <c r="B1751" s="75"/>
      <c r="C1751" s="75"/>
      <c r="D1751" s="75"/>
      <c r="E1751" s="75"/>
      <c r="F1751" s="75"/>
      <c r="G1751" s="75"/>
      <c r="H1751" s="75"/>
      <c r="I1751" s="75"/>
      <c r="J1751" s="166"/>
      <c r="K1751" s="166"/>
      <c r="R1751" s="163"/>
      <c r="S1751" s="163"/>
    </row>
    <row r="1752">
      <c r="A1752" s="148"/>
      <c r="B1752" s="75"/>
      <c r="C1752" s="75"/>
      <c r="D1752" s="75"/>
      <c r="E1752" s="75"/>
      <c r="F1752" s="75"/>
      <c r="G1752" s="75"/>
      <c r="H1752" s="75"/>
      <c r="I1752" s="75"/>
      <c r="J1752" s="166"/>
      <c r="K1752" s="166"/>
      <c r="R1752" s="173"/>
      <c r="S1752" s="173"/>
    </row>
    <row r="1753">
      <c r="A1753" s="148"/>
      <c r="B1753" s="75"/>
      <c r="C1753" s="75"/>
      <c r="D1753" s="75"/>
      <c r="E1753" s="75"/>
      <c r="F1753" s="75"/>
      <c r="G1753" s="75"/>
      <c r="H1753" s="75"/>
      <c r="I1753" s="75"/>
      <c r="J1753" s="166"/>
      <c r="K1753" s="166"/>
      <c r="R1753" s="157"/>
      <c r="S1753" s="157"/>
    </row>
    <row r="1754">
      <c r="A1754" s="148"/>
      <c r="B1754" s="75"/>
      <c r="C1754" s="75"/>
      <c r="D1754" s="75"/>
      <c r="E1754" s="75"/>
      <c r="F1754" s="75"/>
      <c r="G1754" s="75"/>
      <c r="H1754" s="75"/>
      <c r="I1754" s="75"/>
      <c r="J1754" s="166"/>
      <c r="K1754" s="166"/>
      <c r="R1754" s="163"/>
      <c r="S1754" s="163"/>
    </row>
    <row r="1755">
      <c r="A1755" s="148"/>
      <c r="B1755" s="75"/>
      <c r="C1755" s="75"/>
      <c r="D1755" s="75"/>
      <c r="E1755" s="75"/>
      <c r="F1755" s="75"/>
      <c r="G1755" s="75"/>
      <c r="H1755" s="75"/>
      <c r="I1755" s="75"/>
      <c r="J1755" s="166"/>
      <c r="K1755" s="166"/>
      <c r="R1755" s="163"/>
      <c r="S1755" s="163"/>
    </row>
    <row r="1756">
      <c r="A1756" s="148"/>
      <c r="B1756" s="75"/>
      <c r="C1756" s="75"/>
      <c r="D1756" s="75"/>
      <c r="E1756" s="75"/>
      <c r="F1756" s="75"/>
      <c r="G1756" s="75"/>
      <c r="H1756" s="75"/>
      <c r="I1756" s="75"/>
      <c r="J1756" s="166"/>
      <c r="K1756" s="166"/>
      <c r="R1756" s="163"/>
      <c r="S1756" s="163"/>
    </row>
    <row r="1757">
      <c r="A1757" s="148"/>
      <c r="B1757" s="75"/>
      <c r="C1757" s="75"/>
      <c r="D1757" s="75"/>
      <c r="E1757" s="75"/>
      <c r="F1757" s="75"/>
      <c r="G1757" s="75"/>
      <c r="H1757" s="75"/>
      <c r="I1757" s="75"/>
      <c r="J1757" s="166"/>
      <c r="K1757" s="166"/>
      <c r="R1757" s="163"/>
      <c r="S1757" s="163"/>
    </row>
    <row r="1758">
      <c r="A1758" s="148"/>
      <c r="B1758" s="75"/>
      <c r="C1758" s="75"/>
      <c r="D1758" s="75"/>
      <c r="E1758" s="75"/>
      <c r="F1758" s="75"/>
      <c r="G1758" s="75"/>
      <c r="H1758" s="75"/>
      <c r="I1758" s="75"/>
      <c r="J1758" s="166"/>
      <c r="K1758" s="166"/>
      <c r="R1758" s="163"/>
      <c r="S1758" s="163"/>
    </row>
    <row r="1759">
      <c r="A1759" s="148"/>
      <c r="B1759" s="75"/>
      <c r="C1759" s="75"/>
      <c r="D1759" s="75"/>
      <c r="E1759" s="75"/>
      <c r="F1759" s="75"/>
      <c r="G1759" s="75"/>
      <c r="H1759" s="75"/>
      <c r="I1759" s="75"/>
      <c r="J1759" s="166"/>
      <c r="K1759" s="166"/>
      <c r="R1759" s="163"/>
      <c r="S1759" s="163"/>
    </row>
    <row r="1760">
      <c r="A1760" s="148"/>
      <c r="B1760" s="75"/>
      <c r="C1760" s="75"/>
      <c r="D1760" s="75"/>
      <c r="E1760" s="75"/>
      <c r="F1760" s="75"/>
      <c r="G1760" s="75"/>
      <c r="H1760" s="75"/>
      <c r="I1760" s="75"/>
      <c r="J1760" s="166"/>
      <c r="K1760" s="166"/>
      <c r="R1760" s="163"/>
      <c r="S1760" s="163"/>
    </row>
    <row r="1761">
      <c r="A1761" s="148"/>
      <c r="B1761" s="75"/>
      <c r="C1761" s="75"/>
      <c r="D1761" s="75"/>
      <c r="E1761" s="75"/>
      <c r="F1761" s="75"/>
      <c r="G1761" s="75"/>
      <c r="H1761" s="75"/>
      <c r="I1761" s="75"/>
      <c r="J1761" s="166"/>
      <c r="K1761" s="166"/>
      <c r="R1761" s="163"/>
      <c r="S1761" s="163"/>
    </row>
    <row r="1762">
      <c r="A1762" s="148"/>
      <c r="B1762" s="75"/>
      <c r="C1762" s="75"/>
      <c r="D1762" s="75"/>
      <c r="E1762" s="75"/>
      <c r="F1762" s="75"/>
      <c r="G1762" s="75"/>
      <c r="H1762" s="75"/>
      <c r="I1762" s="75"/>
      <c r="J1762" s="166"/>
      <c r="K1762" s="166"/>
      <c r="R1762" s="163"/>
      <c r="S1762" s="163"/>
    </row>
    <row r="1763">
      <c r="A1763" s="148"/>
      <c r="B1763" s="75"/>
      <c r="C1763" s="75"/>
      <c r="D1763" s="75"/>
      <c r="E1763" s="75"/>
      <c r="F1763" s="75"/>
      <c r="G1763" s="75"/>
      <c r="H1763" s="75"/>
      <c r="I1763" s="75"/>
      <c r="J1763" s="166"/>
      <c r="K1763" s="166"/>
      <c r="R1763" s="163"/>
      <c r="S1763" s="163"/>
    </row>
    <row r="1764">
      <c r="A1764" s="148"/>
      <c r="B1764" s="75"/>
      <c r="C1764" s="75"/>
      <c r="D1764" s="75"/>
      <c r="E1764" s="75"/>
      <c r="F1764" s="75"/>
      <c r="G1764" s="75"/>
      <c r="H1764" s="75"/>
      <c r="I1764" s="75"/>
      <c r="J1764" s="166"/>
      <c r="K1764" s="166"/>
      <c r="R1764" s="173"/>
      <c r="S1764" s="173"/>
    </row>
    <row r="1765">
      <c r="A1765" s="148"/>
      <c r="B1765" s="75"/>
      <c r="C1765" s="75"/>
      <c r="D1765" s="75"/>
      <c r="E1765" s="75"/>
      <c r="F1765" s="75"/>
      <c r="G1765" s="75"/>
      <c r="H1765" s="75"/>
      <c r="I1765" s="75"/>
      <c r="J1765" s="166"/>
      <c r="K1765" s="166"/>
      <c r="R1765" s="157"/>
      <c r="S1765" s="157"/>
    </row>
    <row r="1766">
      <c r="A1766" s="148"/>
      <c r="B1766" s="75"/>
      <c r="C1766" s="75"/>
      <c r="D1766" s="75"/>
      <c r="E1766" s="75"/>
      <c r="F1766" s="75"/>
      <c r="G1766" s="75"/>
      <c r="H1766" s="75"/>
      <c r="I1766" s="75"/>
      <c r="J1766" s="166"/>
      <c r="K1766" s="166"/>
      <c r="R1766" s="163"/>
      <c r="S1766" s="163"/>
    </row>
    <row r="1767">
      <c r="A1767" s="148"/>
      <c r="B1767" s="75"/>
      <c r="C1767" s="75"/>
      <c r="D1767" s="75"/>
      <c r="E1767" s="75"/>
      <c r="F1767" s="75"/>
      <c r="G1767" s="75"/>
      <c r="H1767" s="75"/>
      <c r="I1767" s="75"/>
      <c r="J1767" s="166"/>
      <c r="K1767" s="166"/>
      <c r="R1767" s="163"/>
      <c r="S1767" s="163"/>
    </row>
    <row r="1768">
      <c r="A1768" s="148"/>
      <c r="B1768" s="75"/>
      <c r="C1768" s="75"/>
      <c r="D1768" s="75"/>
      <c r="E1768" s="75"/>
      <c r="F1768" s="75"/>
      <c r="G1768" s="75"/>
      <c r="H1768" s="75"/>
      <c r="I1768" s="75"/>
      <c r="J1768" s="166"/>
      <c r="K1768" s="166"/>
      <c r="R1768" s="163"/>
      <c r="S1768" s="163"/>
    </row>
    <row r="1769">
      <c r="A1769" s="148"/>
      <c r="B1769" s="75"/>
      <c r="C1769" s="75"/>
      <c r="D1769" s="75"/>
      <c r="E1769" s="75"/>
      <c r="F1769" s="75"/>
      <c r="G1769" s="75"/>
      <c r="H1769" s="75"/>
      <c r="I1769" s="75"/>
      <c r="J1769" s="166"/>
      <c r="K1769" s="166"/>
      <c r="R1769" s="163"/>
      <c r="S1769" s="163"/>
    </row>
    <row r="1770">
      <c r="A1770" s="148"/>
      <c r="B1770" s="75"/>
      <c r="C1770" s="75"/>
      <c r="D1770" s="75"/>
      <c r="E1770" s="75"/>
      <c r="F1770" s="75"/>
      <c r="G1770" s="75"/>
      <c r="H1770" s="75"/>
      <c r="I1770" s="75"/>
      <c r="J1770" s="166"/>
      <c r="K1770" s="166"/>
      <c r="R1770" s="163"/>
      <c r="S1770" s="163"/>
    </row>
    <row r="1771">
      <c r="A1771" s="148"/>
      <c r="B1771" s="75"/>
      <c r="C1771" s="75"/>
      <c r="D1771" s="75"/>
      <c r="E1771" s="75"/>
      <c r="F1771" s="75"/>
      <c r="G1771" s="75"/>
      <c r="H1771" s="75"/>
      <c r="I1771" s="75"/>
      <c r="J1771" s="166"/>
      <c r="K1771" s="166"/>
      <c r="R1771" s="163"/>
      <c r="S1771" s="163"/>
    </row>
    <row r="1772">
      <c r="A1772" s="148"/>
      <c r="B1772" s="75"/>
      <c r="C1772" s="75"/>
      <c r="D1772" s="75"/>
      <c r="E1772" s="75"/>
      <c r="F1772" s="75"/>
      <c r="G1772" s="75"/>
      <c r="H1772" s="75"/>
      <c r="I1772" s="75"/>
      <c r="J1772" s="166"/>
      <c r="K1772" s="166"/>
      <c r="R1772" s="163"/>
      <c r="S1772" s="163"/>
    </row>
    <row r="1773">
      <c r="A1773" s="148"/>
      <c r="B1773" s="75"/>
      <c r="C1773" s="75"/>
      <c r="D1773" s="75"/>
      <c r="E1773" s="75"/>
      <c r="F1773" s="75"/>
      <c r="G1773" s="75"/>
      <c r="H1773" s="75"/>
      <c r="I1773" s="75"/>
      <c r="J1773" s="166"/>
      <c r="K1773" s="166"/>
      <c r="R1773" s="163"/>
      <c r="S1773" s="163"/>
    </row>
    <row r="1774">
      <c r="A1774" s="148"/>
      <c r="B1774" s="75"/>
      <c r="C1774" s="75"/>
      <c r="D1774" s="75"/>
      <c r="E1774" s="75"/>
      <c r="F1774" s="75"/>
      <c r="G1774" s="75"/>
      <c r="H1774" s="75"/>
      <c r="I1774" s="75"/>
      <c r="J1774" s="166"/>
      <c r="K1774" s="166"/>
      <c r="R1774" s="163"/>
      <c r="S1774" s="163"/>
    </row>
    <row r="1775">
      <c r="A1775" s="148"/>
      <c r="B1775" s="75"/>
      <c r="C1775" s="75"/>
      <c r="D1775" s="75"/>
      <c r="E1775" s="75"/>
      <c r="F1775" s="75"/>
      <c r="G1775" s="75"/>
      <c r="H1775" s="75"/>
      <c r="I1775" s="75"/>
      <c r="J1775" s="166"/>
      <c r="K1775" s="166"/>
      <c r="R1775" s="163"/>
      <c r="S1775" s="163"/>
    </row>
    <row r="1776">
      <c r="A1776" s="148"/>
      <c r="B1776" s="75"/>
      <c r="C1776" s="75"/>
      <c r="D1776" s="75"/>
      <c r="E1776" s="75"/>
      <c r="F1776" s="75"/>
      <c r="G1776" s="75"/>
      <c r="H1776" s="75"/>
      <c r="I1776" s="75"/>
      <c r="J1776" s="166"/>
      <c r="K1776" s="166"/>
      <c r="R1776" s="173"/>
      <c r="S1776" s="173"/>
    </row>
    <row r="1777">
      <c r="A1777" s="148"/>
      <c r="B1777" s="75"/>
      <c r="C1777" s="75"/>
      <c r="D1777" s="75"/>
      <c r="E1777" s="75"/>
      <c r="F1777" s="75"/>
      <c r="G1777" s="75"/>
      <c r="H1777" s="75"/>
      <c r="I1777" s="75"/>
      <c r="J1777" s="166"/>
      <c r="K1777" s="166"/>
      <c r="R1777" s="157"/>
      <c r="S1777" s="157"/>
    </row>
    <row r="1778">
      <c r="A1778" s="148"/>
      <c r="B1778" s="75"/>
      <c r="C1778" s="75"/>
      <c r="D1778" s="75"/>
      <c r="E1778" s="75"/>
      <c r="F1778" s="75"/>
      <c r="G1778" s="75"/>
      <c r="H1778" s="75"/>
      <c r="I1778" s="75"/>
      <c r="J1778" s="166"/>
      <c r="K1778" s="166"/>
      <c r="R1778" s="163"/>
      <c r="S1778" s="163"/>
    </row>
    <row r="1779">
      <c r="A1779" s="148"/>
      <c r="B1779" s="75"/>
      <c r="C1779" s="75"/>
      <c r="D1779" s="75"/>
      <c r="E1779" s="75"/>
      <c r="F1779" s="75"/>
      <c r="G1779" s="75"/>
      <c r="H1779" s="75"/>
      <c r="I1779" s="75"/>
      <c r="J1779" s="166"/>
      <c r="K1779" s="166"/>
      <c r="R1779" s="163"/>
      <c r="S1779" s="163"/>
    </row>
    <row r="1780">
      <c r="A1780" s="148"/>
      <c r="B1780" s="75"/>
      <c r="C1780" s="75"/>
      <c r="D1780" s="75"/>
      <c r="E1780" s="75"/>
      <c r="F1780" s="75"/>
      <c r="G1780" s="75"/>
      <c r="H1780" s="75"/>
      <c r="I1780" s="75"/>
      <c r="J1780" s="166"/>
      <c r="K1780" s="166"/>
      <c r="R1780" s="163"/>
      <c r="S1780" s="163"/>
    </row>
    <row r="1781">
      <c r="A1781" s="148"/>
      <c r="B1781" s="75"/>
      <c r="C1781" s="75"/>
      <c r="D1781" s="75"/>
      <c r="E1781" s="75"/>
      <c r="F1781" s="75"/>
      <c r="G1781" s="75"/>
      <c r="H1781" s="75"/>
      <c r="I1781" s="75"/>
      <c r="J1781" s="166"/>
      <c r="K1781" s="166"/>
      <c r="R1781" s="163"/>
      <c r="S1781" s="163"/>
    </row>
    <row r="1782">
      <c r="A1782" s="148"/>
      <c r="B1782" s="75"/>
      <c r="C1782" s="75"/>
      <c r="D1782" s="75"/>
      <c r="E1782" s="75"/>
      <c r="F1782" s="75"/>
      <c r="G1782" s="75"/>
      <c r="H1782" s="75"/>
      <c r="I1782" s="75"/>
      <c r="J1782" s="166"/>
      <c r="K1782" s="166"/>
      <c r="R1782" s="163"/>
      <c r="S1782" s="163"/>
    </row>
    <row r="1783">
      <c r="A1783" s="148"/>
      <c r="B1783" s="75"/>
      <c r="C1783" s="75"/>
      <c r="D1783" s="75"/>
      <c r="E1783" s="75"/>
      <c r="F1783" s="75"/>
      <c r="G1783" s="75"/>
      <c r="H1783" s="75"/>
      <c r="I1783" s="75"/>
      <c r="J1783" s="166"/>
      <c r="K1783" s="166"/>
      <c r="R1783" s="163"/>
      <c r="S1783" s="163"/>
    </row>
    <row r="1784">
      <c r="A1784" s="148"/>
      <c r="B1784" s="75"/>
      <c r="C1784" s="75"/>
      <c r="D1784" s="75"/>
      <c r="E1784" s="75"/>
      <c r="F1784" s="75"/>
      <c r="G1784" s="75"/>
      <c r="H1784" s="75"/>
      <c r="I1784" s="75"/>
      <c r="J1784" s="166"/>
      <c r="K1784" s="166"/>
      <c r="R1784" s="163"/>
      <c r="S1784" s="163"/>
    </row>
    <row r="1785">
      <c r="A1785" s="148"/>
      <c r="B1785" s="75"/>
      <c r="C1785" s="75"/>
      <c r="D1785" s="75"/>
      <c r="E1785" s="75"/>
      <c r="F1785" s="75"/>
      <c r="G1785" s="75"/>
      <c r="H1785" s="75"/>
      <c r="I1785" s="75"/>
      <c r="J1785" s="166"/>
      <c r="K1785" s="166"/>
      <c r="R1785" s="163"/>
      <c r="S1785" s="163"/>
    </row>
    <row r="1786">
      <c r="A1786" s="148"/>
      <c r="B1786" s="75"/>
      <c r="C1786" s="75"/>
      <c r="D1786" s="75"/>
      <c r="E1786" s="75"/>
      <c r="F1786" s="75"/>
      <c r="G1786" s="75"/>
      <c r="H1786" s="75"/>
      <c r="I1786" s="75"/>
      <c r="J1786" s="166"/>
      <c r="K1786" s="166"/>
      <c r="R1786" s="163"/>
      <c r="S1786" s="163"/>
    </row>
    <row r="1787">
      <c r="A1787" s="148"/>
      <c r="B1787" s="75"/>
      <c r="C1787" s="75"/>
      <c r="D1787" s="75"/>
      <c r="E1787" s="75"/>
      <c r="F1787" s="75"/>
      <c r="G1787" s="75"/>
      <c r="H1787" s="75"/>
      <c r="I1787" s="75"/>
      <c r="J1787" s="166"/>
      <c r="K1787" s="166"/>
      <c r="R1787" s="163"/>
      <c r="S1787" s="163"/>
    </row>
    <row r="1788">
      <c r="A1788" s="148"/>
      <c r="B1788" s="75"/>
      <c r="C1788" s="75"/>
      <c r="D1788" s="75"/>
      <c r="E1788" s="75"/>
      <c r="F1788" s="75"/>
      <c r="G1788" s="75"/>
      <c r="H1788" s="75"/>
      <c r="I1788" s="75"/>
      <c r="J1788" s="166"/>
      <c r="K1788" s="166"/>
      <c r="R1788" s="173"/>
      <c r="S1788" s="173"/>
    </row>
    <row r="1789">
      <c r="A1789" s="148"/>
      <c r="B1789" s="75"/>
      <c r="C1789" s="75"/>
      <c r="D1789" s="75"/>
      <c r="E1789" s="75"/>
      <c r="F1789" s="75"/>
      <c r="G1789" s="75"/>
      <c r="H1789" s="75"/>
      <c r="I1789" s="75"/>
      <c r="J1789" s="166"/>
      <c r="K1789" s="166"/>
      <c r="R1789" s="157"/>
      <c r="S1789" s="157"/>
    </row>
    <row r="1790">
      <c r="A1790" s="148"/>
      <c r="B1790" s="75"/>
      <c r="C1790" s="75"/>
      <c r="D1790" s="75"/>
      <c r="E1790" s="75"/>
      <c r="F1790" s="75"/>
      <c r="G1790" s="75"/>
      <c r="H1790" s="75"/>
      <c r="I1790" s="75"/>
      <c r="J1790" s="166"/>
      <c r="K1790" s="166"/>
      <c r="R1790" s="163"/>
      <c r="S1790" s="163"/>
    </row>
    <row r="1791">
      <c r="A1791" s="148"/>
      <c r="B1791" s="75"/>
      <c r="C1791" s="75"/>
      <c r="D1791" s="75"/>
      <c r="E1791" s="75"/>
      <c r="F1791" s="75"/>
      <c r="G1791" s="75"/>
      <c r="H1791" s="75"/>
      <c r="I1791" s="75"/>
      <c r="J1791" s="166"/>
      <c r="K1791" s="166"/>
      <c r="R1791" s="163"/>
      <c r="S1791" s="163"/>
    </row>
    <row r="1792">
      <c r="A1792" s="148"/>
      <c r="B1792" s="75"/>
      <c r="C1792" s="75"/>
      <c r="D1792" s="75"/>
      <c r="E1792" s="75"/>
      <c r="F1792" s="75"/>
      <c r="G1792" s="75"/>
      <c r="H1792" s="75"/>
      <c r="I1792" s="75"/>
      <c r="J1792" s="166"/>
      <c r="K1792" s="166"/>
      <c r="R1792" s="163"/>
      <c r="S1792" s="163"/>
    </row>
    <row r="1793">
      <c r="A1793" s="148"/>
      <c r="B1793" s="75"/>
      <c r="C1793" s="75"/>
      <c r="D1793" s="75"/>
      <c r="E1793" s="75"/>
      <c r="F1793" s="75"/>
      <c r="G1793" s="75"/>
      <c r="H1793" s="75"/>
      <c r="I1793" s="75"/>
      <c r="J1793" s="166"/>
      <c r="K1793" s="166"/>
      <c r="R1793" s="163"/>
      <c r="S1793" s="163"/>
    </row>
    <row r="1794">
      <c r="A1794" s="148"/>
      <c r="B1794" s="75"/>
      <c r="C1794" s="75"/>
      <c r="D1794" s="75"/>
      <c r="E1794" s="75"/>
      <c r="F1794" s="75"/>
      <c r="G1794" s="75"/>
      <c r="H1794" s="75"/>
      <c r="I1794" s="75"/>
      <c r="J1794" s="166"/>
      <c r="K1794" s="166"/>
      <c r="R1794" s="163"/>
      <c r="S1794" s="163"/>
    </row>
    <row r="1795">
      <c r="A1795" s="148"/>
      <c r="B1795" s="75"/>
      <c r="C1795" s="75"/>
      <c r="D1795" s="75"/>
      <c r="E1795" s="75"/>
      <c r="F1795" s="75"/>
      <c r="G1795" s="75"/>
      <c r="H1795" s="75"/>
      <c r="I1795" s="75"/>
      <c r="J1795" s="166"/>
      <c r="K1795" s="166"/>
      <c r="R1795" s="163"/>
      <c r="S1795" s="163"/>
    </row>
    <row r="1796">
      <c r="A1796" s="148"/>
      <c r="B1796" s="75"/>
      <c r="C1796" s="75"/>
      <c r="D1796" s="75"/>
      <c r="E1796" s="75"/>
      <c r="F1796" s="75"/>
      <c r="G1796" s="75"/>
      <c r="H1796" s="75"/>
      <c r="I1796" s="75"/>
      <c r="J1796" s="166"/>
      <c r="K1796" s="166"/>
      <c r="R1796" s="163"/>
      <c r="S1796" s="163"/>
    </row>
    <row r="1797">
      <c r="A1797" s="148"/>
      <c r="B1797" s="75"/>
      <c r="C1797" s="75"/>
      <c r="D1797" s="75"/>
      <c r="E1797" s="75"/>
      <c r="F1797" s="75"/>
      <c r="G1797" s="75"/>
      <c r="H1797" s="75"/>
      <c r="I1797" s="75"/>
      <c r="J1797" s="166"/>
      <c r="K1797" s="166"/>
      <c r="R1797" s="163"/>
      <c r="S1797" s="163"/>
    </row>
    <row r="1798">
      <c r="A1798" s="148"/>
      <c r="B1798" s="75"/>
      <c r="C1798" s="75"/>
      <c r="D1798" s="75"/>
      <c r="E1798" s="75"/>
      <c r="F1798" s="75"/>
      <c r="G1798" s="75"/>
      <c r="H1798" s="75"/>
      <c r="I1798" s="75"/>
      <c r="J1798" s="166"/>
      <c r="K1798" s="166"/>
      <c r="R1798" s="163"/>
      <c r="S1798" s="163"/>
    </row>
    <row r="1799">
      <c r="A1799" s="148"/>
      <c r="B1799" s="75"/>
      <c r="C1799" s="75"/>
      <c r="D1799" s="75"/>
      <c r="E1799" s="75"/>
      <c r="F1799" s="75"/>
      <c r="G1799" s="75"/>
      <c r="H1799" s="75"/>
      <c r="I1799" s="75"/>
      <c r="J1799" s="166"/>
      <c r="K1799" s="166"/>
      <c r="R1799" s="163"/>
      <c r="S1799" s="163"/>
    </row>
    <row r="1800">
      <c r="A1800" s="148"/>
      <c r="B1800" s="75"/>
      <c r="C1800" s="75"/>
      <c r="D1800" s="75"/>
      <c r="E1800" s="75"/>
      <c r="F1800" s="75"/>
      <c r="G1800" s="75"/>
      <c r="H1800" s="75"/>
      <c r="I1800" s="75"/>
      <c r="J1800" s="166"/>
      <c r="K1800" s="166"/>
      <c r="R1800" s="173"/>
      <c r="S1800" s="173"/>
    </row>
    <row r="1801">
      <c r="A1801" s="148"/>
      <c r="B1801" s="75"/>
      <c r="C1801" s="75"/>
      <c r="D1801" s="75"/>
      <c r="E1801" s="75"/>
      <c r="F1801" s="75"/>
      <c r="G1801" s="75"/>
      <c r="H1801" s="75"/>
      <c r="I1801" s="75"/>
      <c r="J1801" s="166"/>
      <c r="K1801" s="166"/>
      <c r="R1801" s="157"/>
      <c r="S1801" s="157"/>
    </row>
    <row r="1802">
      <c r="A1802" s="148"/>
      <c r="B1802" s="75"/>
      <c r="C1802" s="75"/>
      <c r="D1802" s="75"/>
      <c r="E1802" s="75"/>
      <c r="F1802" s="75"/>
      <c r="G1802" s="75"/>
      <c r="H1802" s="75"/>
      <c r="I1802" s="75"/>
      <c r="J1802" s="166"/>
      <c r="K1802" s="166"/>
      <c r="R1802" s="163"/>
      <c r="S1802" s="163"/>
    </row>
    <row r="1803">
      <c r="A1803" s="148"/>
      <c r="B1803" s="75"/>
      <c r="C1803" s="75"/>
      <c r="D1803" s="75"/>
      <c r="E1803" s="75"/>
      <c r="F1803" s="75"/>
      <c r="G1803" s="75"/>
      <c r="H1803" s="75"/>
      <c r="I1803" s="75"/>
      <c r="J1803" s="166"/>
      <c r="K1803" s="166"/>
      <c r="R1803" s="163"/>
      <c r="S1803" s="163"/>
    </row>
    <row r="1804">
      <c r="A1804" s="148"/>
      <c r="B1804" s="75"/>
      <c r="C1804" s="75"/>
      <c r="D1804" s="75"/>
      <c r="E1804" s="75"/>
      <c r="F1804" s="75"/>
      <c r="G1804" s="75"/>
      <c r="H1804" s="75"/>
      <c r="I1804" s="75"/>
      <c r="J1804" s="166"/>
      <c r="K1804" s="166"/>
      <c r="R1804" s="163"/>
      <c r="S1804" s="163"/>
    </row>
    <row r="1805">
      <c r="A1805" s="148"/>
      <c r="B1805" s="75"/>
      <c r="C1805" s="75"/>
      <c r="D1805" s="75"/>
      <c r="E1805" s="75"/>
      <c r="F1805" s="75"/>
      <c r="G1805" s="75"/>
      <c r="H1805" s="75"/>
      <c r="I1805" s="75"/>
      <c r="J1805" s="166"/>
      <c r="K1805" s="166"/>
      <c r="R1805" s="163"/>
      <c r="S1805" s="163"/>
    </row>
    <row r="1806">
      <c r="A1806" s="148"/>
      <c r="B1806" s="75"/>
      <c r="C1806" s="75"/>
      <c r="D1806" s="75"/>
      <c r="E1806" s="75"/>
      <c r="F1806" s="75"/>
      <c r="G1806" s="75"/>
      <c r="H1806" s="75"/>
      <c r="I1806" s="75"/>
      <c r="J1806" s="166"/>
      <c r="K1806" s="166"/>
      <c r="R1806" s="163"/>
      <c r="S1806" s="163"/>
    </row>
    <row r="1807">
      <c r="A1807" s="148"/>
      <c r="B1807" s="75"/>
      <c r="C1807" s="75"/>
      <c r="D1807" s="75"/>
      <c r="E1807" s="75"/>
      <c r="F1807" s="75"/>
      <c r="G1807" s="75"/>
      <c r="H1807" s="75"/>
      <c r="I1807" s="75"/>
      <c r="J1807" s="166"/>
      <c r="K1807" s="166"/>
      <c r="R1807" s="163"/>
      <c r="S1807" s="163"/>
    </row>
    <row r="1808">
      <c r="A1808" s="148"/>
      <c r="B1808" s="75"/>
      <c r="C1808" s="75"/>
      <c r="D1808" s="75"/>
      <c r="E1808" s="75"/>
      <c r="F1808" s="75"/>
      <c r="G1808" s="75"/>
      <c r="H1808" s="75"/>
      <c r="I1808" s="75"/>
      <c r="J1808" s="166"/>
      <c r="K1808" s="166"/>
      <c r="R1808" s="163"/>
      <c r="S1808" s="163"/>
    </row>
    <row r="1809">
      <c r="A1809" s="148"/>
      <c r="B1809" s="75"/>
      <c r="C1809" s="75"/>
      <c r="D1809" s="75"/>
      <c r="E1809" s="75"/>
      <c r="F1809" s="75"/>
      <c r="G1809" s="75"/>
      <c r="H1809" s="75"/>
      <c r="I1809" s="75"/>
      <c r="J1809" s="166"/>
      <c r="K1809" s="166"/>
      <c r="R1809" s="163"/>
      <c r="S1809" s="163"/>
    </row>
    <row r="1810">
      <c r="A1810" s="148"/>
      <c r="B1810" s="75"/>
      <c r="C1810" s="75"/>
      <c r="D1810" s="75"/>
      <c r="E1810" s="75"/>
      <c r="F1810" s="75"/>
      <c r="G1810" s="75"/>
      <c r="H1810" s="75"/>
      <c r="I1810" s="75"/>
      <c r="J1810" s="166"/>
      <c r="K1810" s="166"/>
      <c r="R1810" s="163"/>
      <c r="S1810" s="163"/>
    </row>
    <row r="1811">
      <c r="A1811" s="148"/>
      <c r="B1811" s="75"/>
      <c r="C1811" s="75"/>
      <c r="D1811" s="75"/>
      <c r="E1811" s="75"/>
      <c r="F1811" s="75"/>
      <c r="G1811" s="75"/>
      <c r="H1811" s="75"/>
      <c r="I1811" s="75"/>
      <c r="J1811" s="166"/>
      <c r="K1811" s="166"/>
      <c r="R1811" s="163"/>
      <c r="S1811" s="163"/>
    </row>
    <row r="1812">
      <c r="A1812" s="148"/>
      <c r="B1812" s="75"/>
      <c r="C1812" s="75"/>
      <c r="D1812" s="75"/>
      <c r="E1812" s="75"/>
      <c r="F1812" s="75"/>
      <c r="G1812" s="75"/>
      <c r="H1812" s="75"/>
      <c r="I1812" s="75"/>
      <c r="J1812" s="166"/>
      <c r="K1812" s="166"/>
      <c r="R1812" s="173"/>
      <c r="S1812" s="173"/>
    </row>
    <row r="1813">
      <c r="A1813" s="148"/>
      <c r="B1813" s="75"/>
      <c r="C1813" s="75"/>
      <c r="D1813" s="75"/>
      <c r="E1813" s="75"/>
      <c r="F1813" s="75"/>
      <c r="G1813" s="75"/>
      <c r="H1813" s="75"/>
      <c r="I1813" s="75"/>
      <c r="J1813" s="166"/>
      <c r="K1813" s="166"/>
      <c r="R1813" s="157"/>
      <c r="S1813" s="157"/>
    </row>
    <row r="1814">
      <c r="A1814" s="148"/>
      <c r="B1814" s="75"/>
      <c r="C1814" s="75"/>
      <c r="D1814" s="75"/>
      <c r="E1814" s="75"/>
      <c r="F1814" s="75"/>
      <c r="G1814" s="75"/>
      <c r="H1814" s="75"/>
      <c r="I1814" s="75"/>
      <c r="J1814" s="166"/>
      <c r="K1814" s="166"/>
      <c r="R1814" s="163"/>
      <c r="S1814" s="163"/>
    </row>
    <row r="1815">
      <c r="A1815" s="148"/>
      <c r="B1815" s="75"/>
      <c r="C1815" s="75"/>
      <c r="D1815" s="75"/>
      <c r="E1815" s="75"/>
      <c r="F1815" s="75"/>
      <c r="G1815" s="75"/>
      <c r="H1815" s="75"/>
      <c r="I1815" s="75"/>
      <c r="J1815" s="166"/>
      <c r="K1815" s="166"/>
      <c r="R1815" s="163"/>
      <c r="S1815" s="163"/>
    </row>
    <row r="1816">
      <c r="A1816" s="148"/>
      <c r="B1816" s="75"/>
      <c r="C1816" s="75"/>
      <c r="D1816" s="75"/>
      <c r="E1816" s="75"/>
      <c r="F1816" s="75"/>
      <c r="G1816" s="75"/>
      <c r="H1816" s="75"/>
      <c r="I1816" s="75"/>
      <c r="J1816" s="166"/>
      <c r="K1816" s="166"/>
      <c r="R1816" s="163"/>
      <c r="S1816" s="163"/>
    </row>
    <row r="1817">
      <c r="A1817" s="148"/>
      <c r="B1817" s="75"/>
      <c r="C1817" s="75"/>
      <c r="D1817" s="75"/>
      <c r="E1817" s="75"/>
      <c r="F1817" s="75"/>
      <c r="G1817" s="75"/>
      <c r="H1817" s="75"/>
      <c r="I1817" s="75"/>
      <c r="J1817" s="166"/>
      <c r="K1817" s="166"/>
      <c r="R1817" s="163"/>
      <c r="S1817" s="163"/>
    </row>
    <row r="1818">
      <c r="A1818" s="148"/>
      <c r="B1818" s="75"/>
      <c r="C1818" s="75"/>
      <c r="D1818" s="75"/>
      <c r="E1818" s="75"/>
      <c r="F1818" s="75"/>
      <c r="G1818" s="75"/>
      <c r="H1818" s="75"/>
      <c r="I1818" s="75"/>
      <c r="J1818" s="166"/>
      <c r="K1818" s="166"/>
      <c r="R1818" s="163"/>
      <c r="S1818" s="163"/>
    </row>
    <row r="1819">
      <c r="A1819" s="148"/>
      <c r="B1819" s="75"/>
      <c r="C1819" s="75"/>
      <c r="D1819" s="75"/>
      <c r="E1819" s="75"/>
      <c r="F1819" s="75"/>
      <c r="G1819" s="75"/>
      <c r="H1819" s="75"/>
      <c r="I1819" s="75"/>
      <c r="J1819" s="166"/>
      <c r="K1819" s="166"/>
      <c r="R1819" s="163"/>
      <c r="S1819" s="163"/>
    </row>
    <row r="1820">
      <c r="A1820" s="148"/>
      <c r="B1820" s="75"/>
      <c r="C1820" s="75"/>
      <c r="D1820" s="75"/>
      <c r="E1820" s="75"/>
      <c r="F1820" s="75"/>
      <c r="G1820" s="75"/>
      <c r="H1820" s="75"/>
      <c r="I1820" s="75"/>
      <c r="J1820" s="166"/>
      <c r="K1820" s="166"/>
      <c r="R1820" s="163"/>
      <c r="S1820" s="163"/>
    </row>
    <row r="1821">
      <c r="A1821" s="148"/>
      <c r="B1821" s="75"/>
      <c r="C1821" s="75"/>
      <c r="D1821" s="75"/>
      <c r="E1821" s="75"/>
      <c r="F1821" s="75"/>
      <c r="G1821" s="75"/>
      <c r="H1821" s="75"/>
      <c r="I1821" s="75"/>
      <c r="J1821" s="166"/>
      <c r="K1821" s="166"/>
      <c r="R1821" s="163"/>
      <c r="S1821" s="163"/>
    </row>
    <row r="1822">
      <c r="A1822" s="148"/>
      <c r="B1822" s="75"/>
      <c r="C1822" s="75"/>
      <c r="D1822" s="75"/>
      <c r="E1822" s="75"/>
      <c r="F1822" s="75"/>
      <c r="G1822" s="75"/>
      <c r="H1822" s="75"/>
      <c r="I1822" s="75"/>
      <c r="J1822" s="166"/>
      <c r="K1822" s="166"/>
      <c r="R1822" s="163"/>
      <c r="S1822" s="163"/>
    </row>
    <row r="1823">
      <c r="A1823" s="148"/>
      <c r="B1823" s="75"/>
      <c r="C1823" s="75"/>
      <c r="D1823" s="75"/>
      <c r="E1823" s="75"/>
      <c r="F1823" s="75"/>
      <c r="G1823" s="75"/>
      <c r="H1823" s="75"/>
      <c r="I1823" s="75"/>
      <c r="J1823" s="166"/>
      <c r="K1823" s="166"/>
      <c r="R1823" s="163"/>
      <c r="S1823" s="163"/>
    </row>
    <row r="1824">
      <c r="A1824" s="148"/>
      <c r="B1824" s="75"/>
      <c r="C1824" s="75"/>
      <c r="D1824" s="75"/>
      <c r="E1824" s="75"/>
      <c r="F1824" s="75"/>
      <c r="G1824" s="75"/>
      <c r="H1824" s="75"/>
      <c r="I1824" s="75"/>
      <c r="J1824" s="166"/>
      <c r="K1824" s="166"/>
      <c r="R1824" s="173"/>
      <c r="S1824" s="173"/>
    </row>
    <row r="1825">
      <c r="A1825" s="148"/>
      <c r="B1825" s="75"/>
      <c r="C1825" s="75"/>
      <c r="D1825" s="75"/>
      <c r="E1825" s="75"/>
      <c r="F1825" s="75"/>
      <c r="G1825" s="75"/>
      <c r="H1825" s="75"/>
      <c r="I1825" s="75"/>
      <c r="J1825" s="166"/>
      <c r="K1825" s="166"/>
      <c r="R1825" s="157"/>
      <c r="S1825" s="157"/>
    </row>
    <row r="1826">
      <c r="A1826" s="148"/>
      <c r="B1826" s="75"/>
      <c r="C1826" s="75"/>
      <c r="D1826" s="75"/>
      <c r="E1826" s="75"/>
      <c r="F1826" s="75"/>
      <c r="G1826" s="75"/>
      <c r="H1826" s="75"/>
      <c r="I1826" s="75"/>
      <c r="J1826" s="166"/>
      <c r="K1826" s="166"/>
      <c r="R1826" s="163"/>
      <c r="S1826" s="163"/>
    </row>
    <row r="1827">
      <c r="A1827" s="148"/>
      <c r="B1827" s="75"/>
      <c r="C1827" s="75"/>
      <c r="D1827" s="75"/>
      <c r="E1827" s="75"/>
      <c r="F1827" s="75"/>
      <c r="G1827" s="75"/>
      <c r="H1827" s="75"/>
      <c r="I1827" s="75"/>
      <c r="J1827" s="166"/>
      <c r="K1827" s="166"/>
      <c r="R1827" s="163"/>
      <c r="S1827" s="163"/>
    </row>
    <row r="1828">
      <c r="A1828" s="148"/>
      <c r="B1828" s="75"/>
      <c r="C1828" s="75"/>
      <c r="D1828" s="75"/>
      <c r="E1828" s="75"/>
      <c r="F1828" s="75"/>
      <c r="G1828" s="75"/>
      <c r="H1828" s="75"/>
      <c r="I1828" s="75"/>
      <c r="J1828" s="166"/>
      <c r="K1828" s="166"/>
      <c r="R1828" s="163"/>
      <c r="S1828" s="163"/>
    </row>
    <row r="1829">
      <c r="A1829" s="148"/>
      <c r="B1829" s="75"/>
      <c r="C1829" s="75"/>
      <c r="D1829" s="75"/>
      <c r="E1829" s="75"/>
      <c r="F1829" s="75"/>
      <c r="G1829" s="75"/>
      <c r="H1829" s="75"/>
      <c r="I1829" s="75"/>
      <c r="J1829" s="166"/>
      <c r="K1829" s="166"/>
      <c r="R1829" s="163"/>
      <c r="S1829" s="163"/>
    </row>
    <row r="1830">
      <c r="A1830" s="148"/>
      <c r="B1830" s="75"/>
      <c r="C1830" s="75"/>
      <c r="D1830" s="75"/>
      <c r="E1830" s="75"/>
      <c r="F1830" s="75"/>
      <c r="G1830" s="75"/>
      <c r="H1830" s="75"/>
      <c r="I1830" s="75"/>
      <c r="J1830" s="166"/>
      <c r="K1830" s="166"/>
      <c r="R1830" s="163"/>
      <c r="S1830" s="163"/>
    </row>
    <row r="1831">
      <c r="A1831" s="148"/>
      <c r="B1831" s="75"/>
      <c r="C1831" s="75"/>
      <c r="D1831" s="75"/>
      <c r="E1831" s="75"/>
      <c r="F1831" s="75"/>
      <c r="G1831" s="75"/>
      <c r="H1831" s="75"/>
      <c r="I1831" s="75"/>
      <c r="J1831" s="166"/>
      <c r="K1831" s="166"/>
      <c r="R1831" s="163"/>
      <c r="S1831" s="163"/>
    </row>
    <row r="1832">
      <c r="A1832" s="148"/>
      <c r="B1832" s="75"/>
      <c r="C1832" s="75"/>
      <c r="D1832" s="75"/>
      <c r="E1832" s="75"/>
      <c r="F1832" s="75"/>
      <c r="G1832" s="75"/>
      <c r="H1832" s="75"/>
      <c r="I1832" s="75"/>
      <c r="J1832" s="166"/>
      <c r="K1832" s="166"/>
      <c r="R1832" s="163"/>
      <c r="S1832" s="163"/>
    </row>
    <row r="1833">
      <c r="A1833" s="148"/>
      <c r="B1833" s="75"/>
      <c r="C1833" s="75"/>
      <c r="D1833" s="75"/>
      <c r="E1833" s="75"/>
      <c r="F1833" s="75"/>
      <c r="G1833" s="75"/>
      <c r="H1833" s="75"/>
      <c r="I1833" s="75"/>
      <c r="J1833" s="166"/>
      <c r="K1833" s="166"/>
      <c r="R1833" s="163"/>
      <c r="S1833" s="163"/>
    </row>
    <row r="1834">
      <c r="A1834" s="148"/>
      <c r="B1834" s="75"/>
      <c r="C1834" s="75"/>
      <c r="D1834" s="75"/>
      <c r="E1834" s="75"/>
      <c r="F1834" s="75"/>
      <c r="G1834" s="75"/>
      <c r="H1834" s="75"/>
      <c r="I1834" s="75"/>
      <c r="J1834" s="166"/>
      <c r="K1834" s="166"/>
      <c r="R1834" s="163"/>
      <c r="S1834" s="163"/>
    </row>
    <row r="1835">
      <c r="A1835" s="148"/>
      <c r="B1835" s="75"/>
      <c r="C1835" s="75"/>
      <c r="D1835" s="75"/>
      <c r="E1835" s="75"/>
      <c r="F1835" s="75"/>
      <c r="G1835" s="75"/>
      <c r="H1835" s="75"/>
      <c r="I1835" s="75"/>
      <c r="J1835" s="166"/>
      <c r="K1835" s="166"/>
      <c r="R1835" s="163"/>
      <c r="S1835" s="163"/>
    </row>
    <row r="1836">
      <c r="A1836" s="148"/>
      <c r="B1836" s="75"/>
      <c r="C1836" s="75"/>
      <c r="D1836" s="75"/>
      <c r="E1836" s="75"/>
      <c r="F1836" s="75"/>
      <c r="G1836" s="75"/>
      <c r="H1836" s="75"/>
      <c r="I1836" s="75"/>
      <c r="J1836" s="166"/>
      <c r="K1836" s="166"/>
      <c r="R1836" s="173"/>
      <c r="S1836" s="173"/>
    </row>
    <row r="1837">
      <c r="A1837" s="148"/>
      <c r="B1837" s="75"/>
      <c r="C1837" s="75"/>
      <c r="D1837" s="75"/>
      <c r="E1837" s="75"/>
      <c r="F1837" s="75"/>
      <c r="G1837" s="75"/>
      <c r="H1837" s="75"/>
      <c r="I1837" s="75"/>
      <c r="J1837" s="166"/>
      <c r="K1837" s="166"/>
      <c r="R1837" s="157"/>
      <c r="S1837" s="157"/>
    </row>
    <row r="1838">
      <c r="A1838" s="148"/>
      <c r="B1838" s="75"/>
      <c r="C1838" s="75"/>
      <c r="D1838" s="75"/>
      <c r="E1838" s="75"/>
      <c r="F1838" s="75"/>
      <c r="G1838" s="75"/>
      <c r="H1838" s="75"/>
      <c r="I1838" s="75"/>
      <c r="J1838" s="166"/>
      <c r="K1838" s="166"/>
      <c r="R1838" s="163"/>
      <c r="S1838" s="163"/>
    </row>
    <row r="1839">
      <c r="A1839" s="148"/>
      <c r="B1839" s="75"/>
      <c r="C1839" s="75"/>
      <c r="D1839" s="75"/>
      <c r="E1839" s="75"/>
      <c r="F1839" s="75"/>
      <c r="G1839" s="75"/>
      <c r="H1839" s="75"/>
      <c r="I1839" s="75"/>
      <c r="J1839" s="166"/>
      <c r="K1839" s="166"/>
      <c r="R1839" s="163"/>
      <c r="S1839" s="163"/>
    </row>
    <row r="1840">
      <c r="A1840" s="148"/>
      <c r="B1840" s="75"/>
      <c r="C1840" s="75"/>
      <c r="D1840" s="75"/>
      <c r="E1840" s="75"/>
      <c r="F1840" s="75"/>
      <c r="G1840" s="75"/>
      <c r="H1840" s="75"/>
      <c r="I1840" s="75"/>
      <c r="J1840" s="166"/>
      <c r="K1840" s="166"/>
      <c r="R1840" s="163"/>
      <c r="S1840" s="163"/>
    </row>
    <row r="1841">
      <c r="A1841" s="148"/>
      <c r="B1841" s="75"/>
      <c r="C1841" s="75"/>
      <c r="D1841" s="75"/>
      <c r="E1841" s="75"/>
      <c r="F1841" s="75"/>
      <c r="G1841" s="75"/>
      <c r="H1841" s="75"/>
      <c r="I1841" s="75"/>
      <c r="J1841" s="166"/>
      <c r="K1841" s="166"/>
      <c r="R1841" s="163"/>
      <c r="S1841" s="163"/>
    </row>
    <row r="1842">
      <c r="A1842" s="148"/>
      <c r="B1842" s="75"/>
      <c r="C1842" s="75"/>
      <c r="D1842" s="75"/>
      <c r="E1842" s="75"/>
      <c r="F1842" s="75"/>
      <c r="G1842" s="75"/>
      <c r="H1842" s="75"/>
      <c r="I1842" s="75"/>
      <c r="J1842" s="166"/>
      <c r="K1842" s="166"/>
      <c r="R1842" s="163"/>
      <c r="S1842" s="163"/>
    </row>
    <row r="1843">
      <c r="A1843" s="148"/>
      <c r="B1843" s="75"/>
      <c r="C1843" s="75"/>
      <c r="D1843" s="75"/>
      <c r="E1843" s="75"/>
      <c r="F1843" s="75"/>
      <c r="G1843" s="75"/>
      <c r="H1843" s="75"/>
      <c r="I1843" s="75"/>
      <c r="J1843" s="166"/>
      <c r="K1843" s="166"/>
      <c r="R1843" s="163"/>
      <c r="S1843" s="163"/>
    </row>
    <row r="1844">
      <c r="A1844" s="148"/>
      <c r="B1844" s="75"/>
      <c r="C1844" s="75"/>
      <c r="D1844" s="75"/>
      <c r="E1844" s="75"/>
      <c r="F1844" s="75"/>
      <c r="G1844" s="75"/>
      <c r="H1844" s="75"/>
      <c r="I1844" s="75"/>
      <c r="J1844" s="166"/>
      <c r="K1844" s="166"/>
      <c r="R1844" s="163"/>
      <c r="S1844" s="163"/>
    </row>
    <row r="1845">
      <c r="A1845" s="148"/>
      <c r="B1845" s="75"/>
      <c r="C1845" s="75"/>
      <c r="D1845" s="75"/>
      <c r="E1845" s="75"/>
      <c r="F1845" s="75"/>
      <c r="G1845" s="75"/>
      <c r="H1845" s="75"/>
      <c r="I1845" s="75"/>
      <c r="J1845" s="166"/>
      <c r="K1845" s="166"/>
      <c r="R1845" s="163"/>
      <c r="S1845" s="163"/>
    </row>
    <row r="1846">
      <c r="A1846" s="148"/>
      <c r="B1846" s="75"/>
      <c r="C1846" s="75"/>
      <c r="D1846" s="75"/>
      <c r="E1846" s="75"/>
      <c r="F1846" s="75"/>
      <c r="G1846" s="75"/>
      <c r="H1846" s="75"/>
      <c r="I1846" s="75"/>
      <c r="J1846" s="166"/>
      <c r="K1846" s="166"/>
      <c r="R1846" s="163"/>
      <c r="S1846" s="163"/>
    </row>
    <row r="1847">
      <c r="A1847" s="148"/>
      <c r="B1847" s="75"/>
      <c r="C1847" s="75"/>
      <c r="D1847" s="75"/>
      <c r="E1847" s="75"/>
      <c r="F1847" s="75"/>
      <c r="G1847" s="75"/>
      <c r="H1847" s="75"/>
      <c r="I1847" s="75"/>
      <c r="J1847" s="166"/>
      <c r="K1847" s="166"/>
      <c r="R1847" s="163"/>
      <c r="S1847" s="163"/>
    </row>
    <row r="1848">
      <c r="A1848" s="148"/>
      <c r="B1848" s="75"/>
      <c r="C1848" s="75"/>
      <c r="D1848" s="75"/>
      <c r="E1848" s="75"/>
      <c r="F1848" s="75"/>
      <c r="G1848" s="75"/>
      <c r="H1848" s="75"/>
      <c r="I1848" s="75"/>
      <c r="J1848" s="166"/>
      <c r="K1848" s="166"/>
      <c r="R1848" s="173"/>
      <c r="S1848" s="173"/>
    </row>
    <row r="1849">
      <c r="A1849" s="148"/>
      <c r="B1849" s="75"/>
      <c r="C1849" s="75"/>
      <c r="D1849" s="75"/>
      <c r="E1849" s="75"/>
      <c r="F1849" s="75"/>
      <c r="G1849" s="75"/>
      <c r="H1849" s="75"/>
      <c r="I1849" s="75"/>
      <c r="J1849" s="166"/>
      <c r="K1849" s="166"/>
      <c r="R1849" s="157"/>
      <c r="S1849" s="157"/>
    </row>
    <row r="1850">
      <c r="A1850" s="148"/>
      <c r="B1850" s="75"/>
      <c r="C1850" s="75"/>
      <c r="D1850" s="75"/>
      <c r="E1850" s="75"/>
      <c r="F1850" s="75"/>
      <c r="G1850" s="75"/>
      <c r="H1850" s="75"/>
      <c r="I1850" s="75"/>
      <c r="J1850" s="166"/>
      <c r="K1850" s="166"/>
      <c r="R1850" s="163"/>
      <c r="S1850" s="163"/>
    </row>
    <row r="1851">
      <c r="A1851" s="148"/>
      <c r="B1851" s="75"/>
      <c r="C1851" s="75"/>
      <c r="D1851" s="75"/>
      <c r="E1851" s="75"/>
      <c r="F1851" s="75"/>
      <c r="G1851" s="75"/>
      <c r="H1851" s="75"/>
      <c r="I1851" s="75"/>
      <c r="J1851" s="166"/>
      <c r="K1851" s="166"/>
      <c r="R1851" s="163"/>
      <c r="S1851" s="163"/>
    </row>
    <row r="1852">
      <c r="A1852" s="148"/>
      <c r="B1852" s="75"/>
      <c r="C1852" s="75"/>
      <c r="D1852" s="75"/>
      <c r="E1852" s="75"/>
      <c r="F1852" s="75"/>
      <c r="G1852" s="75"/>
      <c r="H1852" s="75"/>
      <c r="I1852" s="75"/>
      <c r="J1852" s="166"/>
      <c r="K1852" s="166"/>
      <c r="R1852" s="163"/>
      <c r="S1852" s="163"/>
    </row>
    <row r="1853">
      <c r="A1853" s="148"/>
      <c r="B1853" s="75"/>
      <c r="C1853" s="75"/>
      <c r="D1853" s="75"/>
      <c r="E1853" s="75"/>
      <c r="F1853" s="75"/>
      <c r="G1853" s="75"/>
      <c r="H1853" s="75"/>
      <c r="I1853" s="75"/>
      <c r="J1853" s="166"/>
      <c r="K1853" s="166"/>
      <c r="R1853" s="163"/>
      <c r="S1853" s="163"/>
    </row>
    <row r="1854">
      <c r="A1854" s="148"/>
      <c r="B1854" s="75"/>
      <c r="C1854" s="75"/>
      <c r="D1854" s="75"/>
      <c r="E1854" s="75"/>
      <c r="F1854" s="75"/>
      <c r="G1854" s="75"/>
      <c r="H1854" s="75"/>
      <c r="I1854" s="75"/>
      <c r="J1854" s="166"/>
      <c r="K1854" s="166"/>
      <c r="R1854" s="163"/>
      <c r="S1854" s="163"/>
    </row>
    <row r="1855">
      <c r="A1855" s="148"/>
      <c r="B1855" s="75"/>
      <c r="C1855" s="75"/>
      <c r="D1855" s="75"/>
      <c r="E1855" s="75"/>
      <c r="F1855" s="75"/>
      <c r="G1855" s="75"/>
      <c r="H1855" s="75"/>
      <c r="I1855" s="75"/>
      <c r="J1855" s="166"/>
      <c r="K1855" s="166"/>
      <c r="R1855" s="163"/>
      <c r="S1855" s="163"/>
    </row>
    <row r="1856">
      <c r="A1856" s="148"/>
      <c r="B1856" s="75"/>
      <c r="C1856" s="75"/>
      <c r="D1856" s="75"/>
      <c r="E1856" s="75"/>
      <c r="F1856" s="75"/>
      <c r="G1856" s="75"/>
      <c r="H1856" s="75"/>
      <c r="I1856" s="75"/>
      <c r="J1856" s="166"/>
      <c r="K1856" s="166"/>
      <c r="R1856" s="163"/>
      <c r="S1856" s="163"/>
    </row>
    <row r="1857">
      <c r="A1857" s="148"/>
      <c r="B1857" s="75"/>
      <c r="C1857" s="75"/>
      <c r="D1857" s="75"/>
      <c r="E1857" s="75"/>
      <c r="F1857" s="75"/>
      <c r="G1857" s="75"/>
      <c r="H1857" s="75"/>
      <c r="I1857" s="75"/>
      <c r="J1857" s="166"/>
      <c r="K1857" s="166"/>
      <c r="R1857" s="163"/>
      <c r="S1857" s="163"/>
    </row>
    <row r="1858">
      <c r="A1858" s="148"/>
      <c r="B1858" s="75"/>
      <c r="C1858" s="75"/>
      <c r="D1858" s="75"/>
      <c r="E1858" s="75"/>
      <c r="F1858" s="75"/>
      <c r="G1858" s="75"/>
      <c r="H1858" s="75"/>
      <c r="I1858" s="75"/>
      <c r="J1858" s="166"/>
      <c r="K1858" s="166"/>
      <c r="R1858" s="163"/>
      <c r="S1858" s="163"/>
    </row>
    <row r="1859">
      <c r="A1859" s="148"/>
      <c r="B1859" s="75"/>
      <c r="C1859" s="75"/>
      <c r="D1859" s="75"/>
      <c r="E1859" s="75"/>
      <c r="F1859" s="75"/>
      <c r="G1859" s="75"/>
      <c r="H1859" s="75"/>
      <c r="I1859" s="75"/>
      <c r="J1859" s="166"/>
      <c r="K1859" s="166"/>
      <c r="R1859" s="163"/>
      <c r="S1859" s="163"/>
    </row>
    <row r="1860">
      <c r="A1860" s="148"/>
      <c r="B1860" s="75"/>
      <c r="C1860" s="75"/>
      <c r="D1860" s="75"/>
      <c r="E1860" s="75"/>
      <c r="F1860" s="75"/>
      <c r="G1860" s="75"/>
      <c r="H1860" s="75"/>
      <c r="I1860" s="75"/>
      <c r="J1860" s="166"/>
      <c r="K1860" s="166"/>
      <c r="R1860" s="173"/>
      <c r="S1860" s="173"/>
    </row>
    <row r="1861">
      <c r="A1861" s="148"/>
      <c r="B1861" s="75"/>
      <c r="C1861" s="75"/>
      <c r="D1861" s="75"/>
      <c r="E1861" s="75"/>
      <c r="F1861" s="75"/>
      <c r="G1861" s="75"/>
      <c r="H1861" s="75"/>
      <c r="I1861" s="75"/>
      <c r="J1861" s="166"/>
      <c r="K1861" s="166"/>
      <c r="R1861" s="157"/>
      <c r="S1861" s="157"/>
    </row>
    <row r="1862">
      <c r="A1862" s="148"/>
      <c r="B1862" s="75"/>
      <c r="C1862" s="75"/>
      <c r="D1862" s="75"/>
      <c r="E1862" s="75"/>
      <c r="F1862" s="75"/>
      <c r="G1862" s="75"/>
      <c r="H1862" s="75"/>
      <c r="I1862" s="75"/>
      <c r="J1862" s="166"/>
      <c r="K1862" s="166"/>
      <c r="R1862" s="163"/>
      <c r="S1862" s="163"/>
    </row>
    <row r="1863">
      <c r="A1863" s="148"/>
      <c r="B1863" s="75"/>
      <c r="C1863" s="75"/>
      <c r="D1863" s="75"/>
      <c r="E1863" s="75"/>
      <c r="F1863" s="75"/>
      <c r="G1863" s="75"/>
      <c r="H1863" s="75"/>
      <c r="I1863" s="75"/>
      <c r="J1863" s="166"/>
      <c r="K1863" s="166"/>
      <c r="R1863" s="163"/>
      <c r="S1863" s="163"/>
    </row>
    <row r="1864">
      <c r="A1864" s="148"/>
      <c r="B1864" s="75"/>
      <c r="C1864" s="75"/>
      <c r="D1864" s="75"/>
      <c r="E1864" s="75"/>
      <c r="F1864" s="75"/>
      <c r="G1864" s="75"/>
      <c r="H1864" s="75"/>
      <c r="I1864" s="75"/>
      <c r="J1864" s="166"/>
      <c r="K1864" s="166"/>
      <c r="R1864" s="163"/>
      <c r="S1864" s="163"/>
    </row>
    <row r="1865">
      <c r="A1865" s="148"/>
      <c r="B1865" s="75"/>
      <c r="C1865" s="75"/>
      <c r="D1865" s="75"/>
      <c r="E1865" s="75"/>
      <c r="F1865" s="75"/>
      <c r="G1865" s="75"/>
      <c r="H1865" s="75"/>
      <c r="I1865" s="75"/>
      <c r="J1865" s="166"/>
      <c r="K1865" s="166"/>
      <c r="R1865" s="163"/>
      <c r="S1865" s="163"/>
    </row>
    <row r="1866">
      <c r="A1866" s="148"/>
      <c r="B1866" s="75"/>
      <c r="C1866" s="75"/>
      <c r="D1866" s="75"/>
      <c r="E1866" s="75"/>
      <c r="F1866" s="75"/>
      <c r="G1866" s="75"/>
      <c r="H1866" s="75"/>
      <c r="I1866" s="75"/>
      <c r="J1866" s="166"/>
      <c r="K1866" s="166"/>
      <c r="R1866" s="163"/>
      <c r="S1866" s="163"/>
    </row>
    <row r="1867">
      <c r="A1867" s="148"/>
      <c r="B1867" s="75"/>
      <c r="C1867" s="75"/>
      <c r="D1867" s="75"/>
      <c r="E1867" s="75"/>
      <c r="F1867" s="75"/>
      <c r="G1867" s="75"/>
      <c r="H1867" s="75"/>
      <c r="I1867" s="75"/>
      <c r="J1867" s="166"/>
      <c r="K1867" s="166"/>
      <c r="R1867" s="163"/>
      <c r="S1867" s="163"/>
    </row>
    <row r="1868">
      <c r="A1868" s="148"/>
      <c r="B1868" s="75"/>
      <c r="C1868" s="75"/>
      <c r="D1868" s="75"/>
      <c r="E1868" s="75"/>
      <c r="F1868" s="75"/>
      <c r="G1868" s="75"/>
      <c r="H1868" s="75"/>
      <c r="I1868" s="75"/>
      <c r="J1868" s="166"/>
      <c r="K1868" s="166"/>
      <c r="R1868" s="163"/>
      <c r="S1868" s="163"/>
    </row>
    <row r="1869">
      <c r="A1869" s="148"/>
      <c r="B1869" s="75"/>
      <c r="C1869" s="75"/>
      <c r="D1869" s="75"/>
      <c r="E1869" s="75"/>
      <c r="F1869" s="75"/>
      <c r="G1869" s="75"/>
      <c r="H1869" s="75"/>
      <c r="I1869" s="75"/>
      <c r="J1869" s="166"/>
      <c r="K1869" s="166"/>
      <c r="R1869" s="163"/>
      <c r="S1869" s="163"/>
    </row>
    <row r="1870">
      <c r="A1870" s="148"/>
      <c r="B1870" s="75"/>
      <c r="C1870" s="75"/>
      <c r="D1870" s="75"/>
      <c r="E1870" s="75"/>
      <c r="F1870" s="75"/>
      <c r="G1870" s="75"/>
      <c r="H1870" s="75"/>
      <c r="I1870" s="75"/>
      <c r="J1870" s="166"/>
      <c r="K1870" s="166"/>
      <c r="R1870" s="163"/>
      <c r="S1870" s="163"/>
    </row>
    <row r="1871">
      <c r="A1871" s="148"/>
      <c r="B1871" s="75"/>
      <c r="C1871" s="75"/>
      <c r="D1871" s="75"/>
      <c r="E1871" s="75"/>
      <c r="F1871" s="75"/>
      <c r="G1871" s="75"/>
      <c r="H1871" s="75"/>
      <c r="I1871" s="75"/>
      <c r="J1871" s="166"/>
      <c r="K1871" s="166"/>
      <c r="R1871" s="163"/>
      <c r="S1871" s="163"/>
    </row>
    <row r="1872">
      <c r="A1872" s="148"/>
      <c r="B1872" s="75"/>
      <c r="C1872" s="75"/>
      <c r="D1872" s="75"/>
      <c r="E1872" s="75"/>
      <c r="F1872" s="75"/>
      <c r="G1872" s="75"/>
      <c r="H1872" s="75"/>
      <c r="I1872" s="75"/>
      <c r="J1872" s="166"/>
      <c r="K1872" s="166"/>
      <c r="R1872" s="173"/>
      <c r="S1872" s="173"/>
    </row>
    <row r="1873">
      <c r="A1873" s="148"/>
      <c r="B1873" s="75"/>
      <c r="C1873" s="75"/>
      <c r="D1873" s="75"/>
      <c r="E1873" s="75"/>
      <c r="F1873" s="75"/>
      <c r="G1873" s="75"/>
      <c r="H1873" s="75"/>
      <c r="I1873" s="75"/>
      <c r="J1873" s="166"/>
      <c r="K1873" s="166"/>
      <c r="R1873" s="157"/>
      <c r="S1873" s="157"/>
    </row>
    <row r="1874">
      <c r="A1874" s="148"/>
      <c r="B1874" s="75"/>
      <c r="C1874" s="75"/>
      <c r="D1874" s="75"/>
      <c r="E1874" s="75"/>
      <c r="F1874" s="75"/>
      <c r="G1874" s="75"/>
      <c r="H1874" s="75"/>
      <c r="I1874" s="75"/>
      <c r="J1874" s="166"/>
      <c r="K1874" s="166"/>
      <c r="R1874" s="163"/>
      <c r="S1874" s="163"/>
    </row>
    <row r="1875">
      <c r="A1875" s="148"/>
      <c r="B1875" s="75"/>
      <c r="C1875" s="75"/>
      <c r="D1875" s="75"/>
      <c r="E1875" s="75"/>
      <c r="F1875" s="75"/>
      <c r="G1875" s="75"/>
      <c r="H1875" s="75"/>
      <c r="I1875" s="75"/>
      <c r="J1875" s="166"/>
      <c r="K1875" s="166"/>
      <c r="R1875" s="163"/>
      <c r="S1875" s="163"/>
    </row>
    <row r="1876">
      <c r="A1876" s="148"/>
      <c r="B1876" s="75"/>
      <c r="C1876" s="75"/>
      <c r="D1876" s="75"/>
      <c r="E1876" s="75"/>
      <c r="F1876" s="75"/>
      <c r="G1876" s="75"/>
      <c r="H1876" s="75"/>
      <c r="I1876" s="75"/>
      <c r="J1876" s="166"/>
      <c r="K1876" s="166"/>
      <c r="R1876" s="163"/>
      <c r="S1876" s="163"/>
    </row>
    <row r="1877">
      <c r="A1877" s="148"/>
      <c r="B1877" s="75"/>
      <c r="C1877" s="75"/>
      <c r="D1877" s="75"/>
      <c r="E1877" s="75"/>
      <c r="F1877" s="75"/>
      <c r="G1877" s="75"/>
      <c r="H1877" s="75"/>
      <c r="I1877" s="75"/>
      <c r="J1877" s="166"/>
      <c r="K1877" s="166"/>
      <c r="R1877" s="163"/>
      <c r="S1877" s="163"/>
    </row>
    <row r="1878">
      <c r="A1878" s="148"/>
      <c r="B1878" s="75"/>
      <c r="C1878" s="75"/>
      <c r="D1878" s="75"/>
      <c r="E1878" s="75"/>
      <c r="F1878" s="75"/>
      <c r="G1878" s="75"/>
      <c r="H1878" s="75"/>
      <c r="I1878" s="75"/>
      <c r="J1878" s="166"/>
      <c r="K1878" s="166"/>
      <c r="R1878" s="163"/>
      <c r="S1878" s="163"/>
    </row>
    <row r="1879">
      <c r="A1879" s="148"/>
      <c r="B1879" s="75"/>
      <c r="C1879" s="75"/>
      <c r="D1879" s="75"/>
      <c r="E1879" s="75"/>
      <c r="F1879" s="75"/>
      <c r="G1879" s="75"/>
      <c r="H1879" s="75"/>
      <c r="I1879" s="75"/>
      <c r="J1879" s="166"/>
      <c r="K1879" s="166"/>
      <c r="R1879" s="163"/>
      <c r="S1879" s="163"/>
    </row>
    <row r="1880">
      <c r="A1880" s="148"/>
      <c r="B1880" s="75"/>
      <c r="C1880" s="75"/>
      <c r="D1880" s="75"/>
      <c r="E1880" s="75"/>
      <c r="F1880" s="75"/>
      <c r="G1880" s="75"/>
      <c r="H1880" s="75"/>
      <c r="I1880" s="75"/>
      <c r="J1880" s="166"/>
      <c r="K1880" s="166"/>
      <c r="R1880" s="163"/>
      <c r="S1880" s="163"/>
    </row>
    <row r="1881">
      <c r="A1881" s="148"/>
      <c r="B1881" s="75"/>
      <c r="C1881" s="75"/>
      <c r="D1881" s="75"/>
      <c r="E1881" s="75"/>
      <c r="F1881" s="75"/>
      <c r="G1881" s="75"/>
      <c r="H1881" s="75"/>
      <c r="I1881" s="75"/>
      <c r="J1881" s="166"/>
      <c r="K1881" s="166"/>
      <c r="R1881" s="163"/>
      <c r="S1881" s="163"/>
    </row>
    <row r="1882">
      <c r="A1882" s="148"/>
      <c r="B1882" s="75"/>
      <c r="C1882" s="75"/>
      <c r="D1882" s="75"/>
      <c r="E1882" s="75"/>
      <c r="F1882" s="75"/>
      <c r="G1882" s="75"/>
      <c r="H1882" s="75"/>
      <c r="I1882" s="75"/>
      <c r="J1882" s="166"/>
      <c r="K1882" s="166"/>
      <c r="R1882" s="163"/>
      <c r="S1882" s="163"/>
    </row>
    <row r="1883">
      <c r="A1883" s="148"/>
      <c r="B1883" s="75"/>
      <c r="C1883" s="75"/>
      <c r="D1883" s="75"/>
      <c r="E1883" s="75"/>
      <c r="F1883" s="75"/>
      <c r="G1883" s="75"/>
      <c r="H1883" s="75"/>
      <c r="I1883" s="75"/>
      <c r="J1883" s="166"/>
      <c r="K1883" s="166"/>
      <c r="R1883" s="163"/>
      <c r="S1883" s="163"/>
    </row>
    <row r="1884">
      <c r="A1884" s="148"/>
      <c r="B1884" s="75"/>
      <c r="C1884" s="75"/>
      <c r="D1884" s="75"/>
      <c r="E1884" s="75"/>
      <c r="F1884" s="75"/>
      <c r="G1884" s="75"/>
      <c r="H1884" s="75"/>
      <c r="I1884" s="75"/>
      <c r="J1884" s="166"/>
      <c r="K1884" s="166"/>
      <c r="R1884" s="173"/>
      <c r="S1884" s="173"/>
    </row>
    <row r="1885">
      <c r="A1885" s="148"/>
      <c r="B1885" s="75"/>
      <c r="C1885" s="75"/>
      <c r="D1885" s="75"/>
      <c r="E1885" s="75"/>
      <c r="F1885" s="75"/>
      <c r="G1885" s="75"/>
      <c r="H1885" s="75"/>
      <c r="I1885" s="75"/>
      <c r="J1885" s="166"/>
      <c r="K1885" s="166"/>
      <c r="R1885" s="157"/>
      <c r="S1885" s="157"/>
    </row>
    <row r="1886">
      <c r="A1886" s="148"/>
      <c r="B1886" s="75"/>
      <c r="C1886" s="75"/>
      <c r="D1886" s="75"/>
      <c r="E1886" s="75"/>
      <c r="F1886" s="75"/>
      <c r="G1886" s="75"/>
      <c r="H1886" s="75"/>
      <c r="I1886" s="75"/>
      <c r="J1886" s="166"/>
      <c r="K1886" s="166"/>
      <c r="R1886" s="163"/>
      <c r="S1886" s="163"/>
    </row>
    <row r="1887">
      <c r="A1887" s="148"/>
      <c r="B1887" s="75"/>
      <c r="C1887" s="75"/>
      <c r="D1887" s="75"/>
      <c r="E1887" s="75"/>
      <c r="F1887" s="75"/>
      <c r="G1887" s="75"/>
      <c r="H1887" s="75"/>
      <c r="I1887" s="75"/>
      <c r="J1887" s="166"/>
      <c r="K1887" s="166"/>
      <c r="R1887" s="163"/>
      <c r="S1887" s="163"/>
    </row>
    <row r="1888">
      <c r="A1888" s="148"/>
      <c r="B1888" s="75"/>
      <c r="C1888" s="75"/>
      <c r="D1888" s="75"/>
      <c r="E1888" s="75"/>
      <c r="F1888" s="75"/>
      <c r="G1888" s="75"/>
      <c r="H1888" s="75"/>
      <c r="I1888" s="75"/>
      <c r="J1888" s="166"/>
      <c r="K1888" s="166"/>
      <c r="R1888" s="163"/>
      <c r="S1888" s="163"/>
    </row>
    <row r="1889">
      <c r="A1889" s="148"/>
      <c r="B1889" s="75"/>
      <c r="C1889" s="75"/>
      <c r="D1889" s="75"/>
      <c r="E1889" s="75"/>
      <c r="F1889" s="75"/>
      <c r="G1889" s="75"/>
      <c r="H1889" s="75"/>
      <c r="I1889" s="75"/>
      <c r="J1889" s="166"/>
      <c r="K1889" s="166"/>
      <c r="R1889" s="163"/>
      <c r="S1889" s="163"/>
    </row>
    <row r="1890">
      <c r="A1890" s="148"/>
      <c r="B1890" s="75"/>
      <c r="C1890" s="75"/>
      <c r="D1890" s="75"/>
      <c r="E1890" s="75"/>
      <c r="F1890" s="75"/>
      <c r="G1890" s="75"/>
      <c r="H1890" s="75"/>
      <c r="I1890" s="75"/>
      <c r="J1890" s="166"/>
      <c r="K1890" s="166"/>
      <c r="R1890" s="163"/>
      <c r="S1890" s="163"/>
    </row>
    <row r="1891">
      <c r="A1891" s="148"/>
      <c r="B1891" s="75"/>
      <c r="C1891" s="75"/>
      <c r="D1891" s="75"/>
      <c r="E1891" s="75"/>
      <c r="F1891" s="75"/>
      <c r="G1891" s="75"/>
      <c r="H1891" s="75"/>
      <c r="I1891" s="75"/>
      <c r="J1891" s="166"/>
      <c r="K1891" s="166"/>
      <c r="R1891" s="163"/>
      <c r="S1891" s="163"/>
    </row>
    <row r="1892">
      <c r="A1892" s="148"/>
      <c r="B1892" s="75"/>
      <c r="C1892" s="75"/>
      <c r="D1892" s="75"/>
      <c r="E1892" s="75"/>
      <c r="F1892" s="75"/>
      <c r="G1892" s="75"/>
      <c r="H1892" s="75"/>
      <c r="I1892" s="75"/>
      <c r="J1892" s="166"/>
      <c r="K1892" s="166"/>
      <c r="R1892" s="163"/>
      <c r="S1892" s="163"/>
    </row>
    <row r="1893">
      <c r="A1893" s="148"/>
      <c r="B1893" s="75"/>
      <c r="C1893" s="75"/>
      <c r="D1893" s="75"/>
      <c r="E1893" s="75"/>
      <c r="F1893" s="75"/>
      <c r="G1893" s="75"/>
      <c r="H1893" s="75"/>
      <c r="I1893" s="75"/>
      <c r="J1893" s="166"/>
      <c r="K1893" s="166"/>
      <c r="R1893" s="163"/>
      <c r="S1893" s="163"/>
    </row>
    <row r="1894">
      <c r="A1894" s="148"/>
      <c r="B1894" s="75"/>
      <c r="C1894" s="75"/>
      <c r="D1894" s="75"/>
      <c r="E1894" s="75"/>
      <c r="F1894" s="75"/>
      <c r="G1894" s="75"/>
      <c r="H1894" s="75"/>
      <c r="I1894" s="75"/>
      <c r="J1894" s="166"/>
      <c r="K1894" s="166"/>
      <c r="R1894" s="163"/>
      <c r="S1894" s="163"/>
    </row>
    <row r="1895">
      <c r="A1895" s="148"/>
      <c r="B1895" s="75"/>
      <c r="C1895" s="75"/>
      <c r="D1895" s="75"/>
      <c r="E1895" s="75"/>
      <c r="F1895" s="75"/>
      <c r="G1895" s="75"/>
      <c r="H1895" s="75"/>
      <c r="I1895" s="75"/>
      <c r="J1895" s="166"/>
      <c r="K1895" s="166"/>
      <c r="R1895" s="163"/>
      <c r="S1895" s="163"/>
    </row>
    <row r="1896">
      <c r="A1896" s="148"/>
      <c r="B1896" s="75"/>
      <c r="C1896" s="75"/>
      <c r="D1896" s="75"/>
      <c r="E1896" s="75"/>
      <c r="F1896" s="75"/>
      <c r="G1896" s="75"/>
      <c r="H1896" s="75"/>
      <c r="I1896" s="75"/>
      <c r="J1896" s="166"/>
      <c r="K1896" s="166"/>
      <c r="R1896" s="173"/>
      <c r="S1896" s="173"/>
    </row>
    <row r="1897">
      <c r="A1897" s="148"/>
      <c r="B1897" s="75"/>
      <c r="C1897" s="75"/>
      <c r="D1897" s="75"/>
      <c r="E1897" s="75"/>
      <c r="F1897" s="75"/>
      <c r="G1897" s="75"/>
      <c r="H1897" s="75"/>
      <c r="I1897" s="75"/>
      <c r="J1897" s="166"/>
      <c r="K1897" s="166"/>
      <c r="R1897" s="157"/>
      <c r="S1897" s="157"/>
    </row>
    <row r="1898">
      <c r="A1898" s="148"/>
      <c r="B1898" s="75"/>
      <c r="C1898" s="75"/>
      <c r="D1898" s="75"/>
      <c r="E1898" s="75"/>
      <c r="F1898" s="75"/>
      <c r="G1898" s="75"/>
      <c r="H1898" s="75"/>
      <c r="I1898" s="75"/>
      <c r="J1898" s="166"/>
      <c r="K1898" s="166"/>
      <c r="R1898" s="163"/>
      <c r="S1898" s="163"/>
    </row>
    <row r="1899">
      <c r="A1899" s="148"/>
      <c r="B1899" s="75"/>
      <c r="C1899" s="75"/>
      <c r="D1899" s="75"/>
      <c r="E1899" s="75"/>
      <c r="F1899" s="75"/>
      <c r="G1899" s="75"/>
      <c r="H1899" s="75"/>
      <c r="I1899" s="75"/>
      <c r="J1899" s="166"/>
      <c r="K1899" s="166"/>
      <c r="R1899" s="163"/>
      <c r="S1899" s="163"/>
    </row>
    <row r="1900">
      <c r="A1900" s="148"/>
      <c r="B1900" s="75"/>
      <c r="C1900" s="75"/>
      <c r="D1900" s="75"/>
      <c r="E1900" s="75"/>
      <c r="F1900" s="75"/>
      <c r="G1900" s="75"/>
      <c r="H1900" s="75"/>
      <c r="I1900" s="75"/>
      <c r="J1900" s="166"/>
      <c r="K1900" s="166"/>
      <c r="R1900" s="163"/>
      <c r="S1900" s="163"/>
    </row>
    <row r="1901">
      <c r="A1901" s="148"/>
      <c r="B1901" s="75"/>
      <c r="C1901" s="75"/>
      <c r="D1901" s="75"/>
      <c r="E1901" s="75"/>
      <c r="F1901" s="75"/>
      <c r="G1901" s="75"/>
      <c r="H1901" s="75"/>
      <c r="I1901" s="75"/>
      <c r="J1901" s="166"/>
      <c r="K1901" s="166"/>
      <c r="R1901" s="163"/>
      <c r="S1901" s="163"/>
    </row>
    <row r="1902">
      <c r="A1902" s="148"/>
      <c r="B1902" s="75"/>
      <c r="C1902" s="75"/>
      <c r="D1902" s="75"/>
      <c r="E1902" s="75"/>
      <c r="F1902" s="75"/>
      <c r="G1902" s="75"/>
      <c r="H1902" s="75"/>
      <c r="I1902" s="75"/>
      <c r="J1902" s="166"/>
      <c r="K1902" s="166"/>
      <c r="R1902" s="163"/>
      <c r="S1902" s="163"/>
    </row>
    <row r="1903">
      <c r="A1903" s="148"/>
      <c r="B1903" s="75"/>
      <c r="C1903" s="75"/>
      <c r="D1903" s="75"/>
      <c r="E1903" s="75"/>
      <c r="F1903" s="75"/>
      <c r="G1903" s="75"/>
      <c r="H1903" s="75"/>
      <c r="I1903" s="75"/>
      <c r="J1903" s="166"/>
      <c r="K1903" s="166"/>
      <c r="R1903" s="163"/>
      <c r="S1903" s="163"/>
    </row>
    <row r="1904">
      <c r="A1904" s="148"/>
      <c r="B1904" s="75"/>
      <c r="C1904" s="75"/>
      <c r="D1904" s="75"/>
      <c r="E1904" s="75"/>
      <c r="F1904" s="75"/>
      <c r="G1904" s="75"/>
      <c r="H1904" s="75"/>
      <c r="I1904" s="75"/>
      <c r="J1904" s="166"/>
      <c r="K1904" s="166"/>
      <c r="R1904" s="163"/>
      <c r="S1904" s="163"/>
    </row>
    <row r="1905">
      <c r="A1905" s="148"/>
      <c r="B1905" s="75"/>
      <c r="C1905" s="75"/>
      <c r="D1905" s="75"/>
      <c r="E1905" s="75"/>
      <c r="F1905" s="75"/>
      <c r="G1905" s="75"/>
      <c r="H1905" s="75"/>
      <c r="I1905" s="75"/>
      <c r="J1905" s="166"/>
      <c r="K1905" s="166"/>
      <c r="R1905" s="163"/>
      <c r="S1905" s="163"/>
    </row>
    <row r="1906">
      <c r="A1906" s="148"/>
      <c r="B1906" s="75"/>
      <c r="C1906" s="75"/>
      <c r="D1906" s="75"/>
      <c r="E1906" s="75"/>
      <c r="F1906" s="75"/>
      <c r="G1906" s="75"/>
      <c r="H1906" s="75"/>
      <c r="I1906" s="75"/>
      <c r="J1906" s="166"/>
      <c r="K1906" s="166"/>
      <c r="R1906" s="163"/>
      <c r="S1906" s="163"/>
    </row>
    <row r="1907">
      <c r="A1907" s="148"/>
      <c r="B1907" s="75"/>
      <c r="C1907" s="75"/>
      <c r="D1907" s="75"/>
      <c r="E1907" s="75"/>
      <c r="F1907" s="75"/>
      <c r="G1907" s="75"/>
      <c r="H1907" s="75"/>
      <c r="I1907" s="75"/>
      <c r="J1907" s="166"/>
      <c r="K1907" s="166"/>
      <c r="R1907" s="163"/>
      <c r="S1907" s="163"/>
    </row>
    <row r="1908">
      <c r="A1908" s="148"/>
      <c r="B1908" s="75"/>
      <c r="C1908" s="75"/>
      <c r="D1908" s="75"/>
      <c r="E1908" s="75"/>
      <c r="F1908" s="75"/>
      <c r="G1908" s="75"/>
      <c r="H1908" s="75"/>
      <c r="I1908" s="75"/>
      <c r="J1908" s="166"/>
      <c r="K1908" s="166"/>
      <c r="R1908" s="173"/>
      <c r="S1908" s="173"/>
    </row>
    <row r="1909">
      <c r="A1909" s="148"/>
      <c r="B1909" s="75"/>
      <c r="C1909" s="75"/>
      <c r="D1909" s="75"/>
      <c r="E1909" s="75"/>
      <c r="F1909" s="75"/>
      <c r="G1909" s="75"/>
      <c r="H1909" s="75"/>
      <c r="I1909" s="75"/>
      <c r="J1909" s="166"/>
      <c r="K1909" s="166"/>
      <c r="R1909" s="157"/>
      <c r="S1909" s="157"/>
    </row>
    <row r="1910">
      <c r="A1910" s="148"/>
      <c r="B1910" s="75"/>
      <c r="C1910" s="75"/>
      <c r="D1910" s="75"/>
      <c r="E1910" s="75"/>
      <c r="F1910" s="75"/>
      <c r="G1910" s="75"/>
      <c r="H1910" s="75"/>
      <c r="I1910" s="75"/>
      <c r="J1910" s="166"/>
      <c r="K1910" s="166"/>
      <c r="R1910" s="163"/>
      <c r="S1910" s="163"/>
    </row>
    <row r="1911">
      <c r="A1911" s="148"/>
      <c r="B1911" s="75"/>
      <c r="C1911" s="75"/>
      <c r="D1911" s="75"/>
      <c r="E1911" s="75"/>
      <c r="F1911" s="75"/>
      <c r="G1911" s="75"/>
      <c r="H1911" s="75"/>
      <c r="I1911" s="75"/>
      <c r="J1911" s="166"/>
      <c r="K1911" s="166"/>
      <c r="R1911" s="163"/>
      <c r="S1911" s="163"/>
    </row>
    <row r="1912">
      <c r="A1912" s="148"/>
      <c r="B1912" s="75"/>
      <c r="C1912" s="75"/>
      <c r="D1912" s="75"/>
      <c r="E1912" s="75"/>
      <c r="F1912" s="75"/>
      <c r="G1912" s="75"/>
      <c r="H1912" s="75"/>
      <c r="I1912" s="75"/>
      <c r="J1912" s="166"/>
      <c r="K1912" s="166"/>
      <c r="R1912" s="163"/>
      <c r="S1912" s="163"/>
    </row>
    <row r="1913">
      <c r="A1913" s="148"/>
      <c r="B1913" s="75"/>
      <c r="C1913" s="75"/>
      <c r="D1913" s="75"/>
      <c r="E1913" s="75"/>
      <c r="F1913" s="75"/>
      <c r="G1913" s="75"/>
      <c r="H1913" s="75"/>
      <c r="I1913" s="75"/>
      <c r="J1913" s="166"/>
      <c r="K1913" s="166"/>
      <c r="R1913" s="163"/>
      <c r="S1913" s="163"/>
    </row>
    <row r="1914">
      <c r="A1914" s="148"/>
      <c r="B1914" s="75"/>
      <c r="C1914" s="75"/>
      <c r="D1914" s="75"/>
      <c r="E1914" s="75"/>
      <c r="F1914" s="75"/>
      <c r="G1914" s="75"/>
      <c r="H1914" s="75"/>
      <c r="I1914" s="75"/>
      <c r="J1914" s="166"/>
      <c r="K1914" s="166"/>
      <c r="R1914" s="163"/>
      <c r="S1914" s="163"/>
    </row>
    <row r="1915">
      <c r="A1915" s="148"/>
      <c r="B1915" s="75"/>
      <c r="C1915" s="75"/>
      <c r="D1915" s="75"/>
      <c r="E1915" s="75"/>
      <c r="F1915" s="75"/>
      <c r="G1915" s="75"/>
      <c r="H1915" s="75"/>
      <c r="I1915" s="75"/>
      <c r="J1915" s="166"/>
      <c r="K1915" s="166"/>
      <c r="R1915" s="163"/>
      <c r="S1915" s="163"/>
    </row>
    <row r="1916">
      <c r="A1916" s="148"/>
      <c r="B1916" s="75"/>
      <c r="C1916" s="75"/>
      <c r="D1916" s="75"/>
      <c r="E1916" s="75"/>
      <c r="F1916" s="75"/>
      <c r="G1916" s="75"/>
      <c r="H1916" s="75"/>
      <c r="I1916" s="75"/>
      <c r="J1916" s="166"/>
      <c r="K1916" s="166"/>
      <c r="R1916" s="163"/>
      <c r="S1916" s="163"/>
    </row>
    <row r="1917">
      <c r="A1917" s="148"/>
      <c r="B1917" s="75"/>
      <c r="C1917" s="75"/>
      <c r="D1917" s="75"/>
      <c r="E1917" s="75"/>
      <c r="F1917" s="75"/>
      <c r="G1917" s="75"/>
      <c r="H1917" s="75"/>
      <c r="I1917" s="75"/>
      <c r="J1917" s="166"/>
      <c r="K1917" s="166"/>
      <c r="R1917" s="163"/>
      <c r="S1917" s="163"/>
    </row>
    <row r="1918">
      <c r="A1918" s="148"/>
      <c r="B1918" s="75"/>
      <c r="C1918" s="75"/>
      <c r="D1918" s="75"/>
      <c r="E1918" s="75"/>
      <c r="F1918" s="75"/>
      <c r="G1918" s="75"/>
      <c r="H1918" s="75"/>
      <c r="I1918" s="75"/>
      <c r="J1918" s="166"/>
      <c r="K1918" s="166"/>
      <c r="R1918" s="163"/>
      <c r="S1918" s="163"/>
    </row>
    <row r="1919">
      <c r="A1919" s="148"/>
      <c r="B1919" s="75"/>
      <c r="C1919" s="75"/>
      <c r="D1919" s="75"/>
      <c r="E1919" s="75"/>
      <c r="F1919" s="75"/>
      <c r="G1919" s="75"/>
      <c r="H1919" s="75"/>
      <c r="I1919" s="75"/>
      <c r="J1919" s="166"/>
      <c r="K1919" s="166"/>
      <c r="R1919" s="163"/>
      <c r="S1919" s="163"/>
    </row>
    <row r="1920">
      <c r="A1920" s="148"/>
      <c r="B1920" s="75"/>
      <c r="C1920" s="75"/>
      <c r="D1920" s="75"/>
      <c r="E1920" s="75"/>
      <c r="F1920" s="75"/>
      <c r="G1920" s="75"/>
      <c r="H1920" s="75"/>
      <c r="I1920" s="75"/>
      <c r="J1920" s="166"/>
      <c r="K1920" s="166"/>
      <c r="R1920" s="173"/>
      <c r="S1920" s="173"/>
    </row>
    <row r="1921">
      <c r="A1921" s="148"/>
      <c r="B1921" s="75"/>
      <c r="C1921" s="75"/>
      <c r="D1921" s="75"/>
      <c r="E1921" s="75"/>
      <c r="F1921" s="75"/>
      <c r="G1921" s="75"/>
      <c r="H1921" s="75"/>
      <c r="I1921" s="75"/>
      <c r="J1921" s="166"/>
      <c r="K1921" s="166"/>
      <c r="R1921" s="157"/>
      <c r="S1921" s="157"/>
    </row>
    <row r="1922">
      <c r="A1922" s="148"/>
      <c r="B1922" s="75"/>
      <c r="C1922" s="75"/>
      <c r="D1922" s="75"/>
      <c r="E1922" s="75"/>
      <c r="F1922" s="75"/>
      <c r="G1922" s="75"/>
      <c r="H1922" s="75"/>
      <c r="I1922" s="75"/>
      <c r="J1922" s="166"/>
      <c r="K1922" s="166"/>
      <c r="R1922" s="163"/>
      <c r="S1922" s="163"/>
    </row>
    <row r="1923">
      <c r="A1923" s="148"/>
      <c r="B1923" s="75"/>
      <c r="C1923" s="75"/>
      <c r="D1923" s="75"/>
      <c r="E1923" s="75"/>
      <c r="F1923" s="75"/>
      <c r="G1923" s="75"/>
      <c r="H1923" s="75"/>
      <c r="I1923" s="75"/>
      <c r="J1923" s="166"/>
      <c r="K1923" s="166"/>
      <c r="R1923" s="163"/>
      <c r="S1923" s="163"/>
    </row>
    <row r="1924">
      <c r="A1924" s="148"/>
      <c r="B1924" s="75"/>
      <c r="C1924" s="75"/>
      <c r="D1924" s="75"/>
      <c r="E1924" s="75"/>
      <c r="F1924" s="75"/>
      <c r="G1924" s="75"/>
      <c r="H1924" s="75"/>
      <c r="I1924" s="75"/>
      <c r="J1924" s="166"/>
      <c r="K1924" s="166"/>
      <c r="R1924" s="163"/>
      <c r="S1924" s="163"/>
    </row>
    <row r="1925">
      <c r="A1925" s="148"/>
      <c r="B1925" s="75"/>
      <c r="C1925" s="75"/>
      <c r="D1925" s="75"/>
      <c r="E1925" s="75"/>
      <c r="F1925" s="75"/>
      <c r="G1925" s="75"/>
      <c r="H1925" s="75"/>
      <c r="I1925" s="75"/>
      <c r="J1925" s="166"/>
      <c r="K1925" s="166"/>
      <c r="R1925" s="163"/>
      <c r="S1925" s="163"/>
    </row>
    <row r="1926">
      <c r="A1926" s="148"/>
      <c r="B1926" s="75"/>
      <c r="C1926" s="75"/>
      <c r="D1926" s="75"/>
      <c r="E1926" s="75"/>
      <c r="F1926" s="75"/>
      <c r="G1926" s="75"/>
      <c r="H1926" s="75"/>
      <c r="I1926" s="75"/>
      <c r="J1926" s="166"/>
      <c r="K1926" s="166"/>
      <c r="R1926" s="163"/>
      <c r="S1926" s="163"/>
    </row>
    <row r="1927">
      <c r="A1927" s="148"/>
      <c r="B1927" s="75"/>
      <c r="C1927" s="75"/>
      <c r="D1927" s="75"/>
      <c r="E1927" s="75"/>
      <c r="F1927" s="75"/>
      <c r="G1927" s="75"/>
      <c r="H1927" s="75"/>
      <c r="I1927" s="75"/>
      <c r="J1927" s="166"/>
      <c r="K1927" s="166"/>
      <c r="R1927" s="163"/>
      <c r="S1927" s="163"/>
    </row>
    <row r="1928">
      <c r="A1928" s="148"/>
      <c r="B1928" s="75"/>
      <c r="C1928" s="75"/>
      <c r="D1928" s="75"/>
      <c r="E1928" s="75"/>
      <c r="F1928" s="75"/>
      <c r="G1928" s="75"/>
      <c r="H1928" s="75"/>
      <c r="I1928" s="75"/>
      <c r="J1928" s="166"/>
      <c r="K1928" s="166"/>
      <c r="R1928" s="163"/>
      <c r="S1928" s="163"/>
    </row>
    <row r="1929">
      <c r="A1929" s="148"/>
      <c r="B1929" s="75"/>
      <c r="C1929" s="75"/>
      <c r="D1929" s="75"/>
      <c r="E1929" s="75"/>
      <c r="F1929" s="75"/>
      <c r="G1929" s="75"/>
      <c r="H1929" s="75"/>
      <c r="I1929" s="75"/>
      <c r="J1929" s="166"/>
      <c r="K1929" s="166"/>
      <c r="R1929" s="163"/>
      <c r="S1929" s="163"/>
    </row>
    <row r="1930">
      <c r="A1930" s="148"/>
      <c r="B1930" s="75"/>
      <c r="C1930" s="75"/>
      <c r="D1930" s="75"/>
      <c r="E1930" s="75"/>
      <c r="F1930" s="75"/>
      <c r="G1930" s="75"/>
      <c r="H1930" s="75"/>
      <c r="I1930" s="75"/>
      <c r="J1930" s="166"/>
      <c r="K1930" s="166"/>
      <c r="R1930" s="163"/>
      <c r="S1930" s="163"/>
    </row>
    <row r="1931">
      <c r="A1931" s="148"/>
      <c r="B1931" s="75"/>
      <c r="C1931" s="75"/>
      <c r="D1931" s="75"/>
      <c r="E1931" s="75"/>
      <c r="F1931" s="75"/>
      <c r="G1931" s="75"/>
      <c r="H1931" s="75"/>
      <c r="I1931" s="75"/>
      <c r="J1931" s="166"/>
      <c r="K1931" s="166"/>
      <c r="R1931" s="163"/>
      <c r="S1931" s="163"/>
    </row>
    <row r="1932">
      <c r="A1932" s="148"/>
      <c r="B1932" s="75"/>
      <c r="C1932" s="75"/>
      <c r="D1932" s="75"/>
      <c r="E1932" s="75"/>
      <c r="F1932" s="75"/>
      <c r="G1932" s="75"/>
      <c r="H1932" s="75"/>
      <c r="I1932" s="75"/>
      <c r="J1932" s="166"/>
      <c r="K1932" s="166"/>
      <c r="R1932" s="173"/>
      <c r="S1932" s="173"/>
    </row>
    <row r="1933">
      <c r="A1933" s="148"/>
      <c r="B1933" s="75"/>
      <c r="C1933" s="75"/>
      <c r="D1933" s="75"/>
      <c r="E1933" s="75"/>
      <c r="F1933" s="75"/>
      <c r="G1933" s="75"/>
      <c r="H1933" s="75"/>
      <c r="I1933" s="75"/>
      <c r="J1933" s="166"/>
      <c r="K1933" s="166"/>
      <c r="R1933" s="157"/>
      <c r="S1933" s="157"/>
    </row>
    <row r="1934">
      <c r="A1934" s="148"/>
      <c r="B1934" s="75"/>
      <c r="C1934" s="75"/>
      <c r="D1934" s="75"/>
      <c r="E1934" s="75"/>
      <c r="F1934" s="75"/>
      <c r="G1934" s="75"/>
      <c r="H1934" s="75"/>
      <c r="I1934" s="75"/>
      <c r="J1934" s="166"/>
      <c r="K1934" s="166"/>
      <c r="R1934" s="163"/>
      <c r="S1934" s="163"/>
    </row>
    <row r="1935">
      <c r="A1935" s="148"/>
      <c r="B1935" s="75"/>
      <c r="C1935" s="75"/>
      <c r="D1935" s="75"/>
      <c r="E1935" s="75"/>
      <c r="F1935" s="75"/>
      <c r="G1935" s="75"/>
      <c r="H1935" s="75"/>
      <c r="I1935" s="75"/>
      <c r="J1935" s="166"/>
      <c r="K1935" s="166"/>
      <c r="R1935" s="163"/>
      <c r="S1935" s="163"/>
    </row>
    <row r="1936">
      <c r="A1936" s="148"/>
      <c r="B1936" s="75"/>
      <c r="C1936" s="75"/>
      <c r="D1936" s="75"/>
      <c r="E1936" s="75"/>
      <c r="F1936" s="75"/>
      <c r="G1936" s="75"/>
      <c r="H1936" s="75"/>
      <c r="I1936" s="75"/>
      <c r="J1936" s="166"/>
      <c r="K1936" s="166"/>
      <c r="R1936" s="163"/>
      <c r="S1936" s="163"/>
    </row>
    <row r="1937">
      <c r="A1937" s="148"/>
      <c r="B1937" s="75"/>
      <c r="C1937" s="75"/>
      <c r="D1937" s="75"/>
      <c r="E1937" s="75"/>
      <c r="F1937" s="75"/>
      <c r="G1937" s="75"/>
      <c r="H1937" s="75"/>
      <c r="I1937" s="75"/>
      <c r="J1937" s="166"/>
      <c r="K1937" s="166"/>
      <c r="R1937" s="163"/>
      <c r="S1937" s="163"/>
    </row>
    <row r="1938">
      <c r="A1938" s="148"/>
      <c r="B1938" s="75"/>
      <c r="C1938" s="75"/>
      <c r="D1938" s="75"/>
      <c r="E1938" s="75"/>
      <c r="F1938" s="75"/>
      <c r="G1938" s="75"/>
      <c r="H1938" s="75"/>
      <c r="I1938" s="75"/>
      <c r="J1938" s="166"/>
      <c r="K1938" s="166"/>
      <c r="R1938" s="163"/>
      <c r="S1938" s="163"/>
    </row>
    <row r="1939">
      <c r="A1939" s="148"/>
      <c r="B1939" s="75"/>
      <c r="C1939" s="75"/>
      <c r="D1939" s="75"/>
      <c r="E1939" s="75"/>
      <c r="F1939" s="75"/>
      <c r="G1939" s="75"/>
      <c r="H1939" s="75"/>
      <c r="I1939" s="75"/>
      <c r="J1939" s="166"/>
      <c r="K1939" s="166"/>
      <c r="R1939" s="163"/>
      <c r="S1939" s="163"/>
    </row>
    <row r="1940">
      <c r="A1940" s="148"/>
      <c r="B1940" s="75"/>
      <c r="C1940" s="75"/>
      <c r="D1940" s="75"/>
      <c r="E1940" s="75"/>
      <c r="F1940" s="75"/>
      <c r="G1940" s="75"/>
      <c r="H1940" s="75"/>
      <c r="I1940" s="75"/>
      <c r="J1940" s="166"/>
      <c r="K1940" s="166"/>
      <c r="R1940" s="163"/>
      <c r="S1940" s="163"/>
    </row>
    <row r="1941">
      <c r="A1941" s="148"/>
      <c r="B1941" s="75"/>
      <c r="C1941" s="75"/>
      <c r="D1941" s="75"/>
      <c r="E1941" s="75"/>
      <c r="F1941" s="75"/>
      <c r="G1941" s="75"/>
      <c r="H1941" s="75"/>
      <c r="I1941" s="75"/>
      <c r="J1941" s="166"/>
      <c r="K1941" s="166"/>
      <c r="R1941" s="163"/>
      <c r="S1941" s="163"/>
    </row>
    <row r="1942">
      <c r="A1942" s="148"/>
      <c r="B1942" s="75"/>
      <c r="C1942" s="75"/>
      <c r="D1942" s="75"/>
      <c r="E1942" s="75"/>
      <c r="F1942" s="75"/>
      <c r="G1942" s="75"/>
      <c r="H1942" s="75"/>
      <c r="I1942" s="75"/>
      <c r="J1942" s="166"/>
      <c r="K1942" s="166"/>
      <c r="R1942" s="163"/>
      <c r="S1942" s="163"/>
    </row>
    <row r="1943">
      <c r="A1943" s="148"/>
      <c r="B1943" s="75"/>
      <c r="C1943" s="75"/>
      <c r="D1943" s="75"/>
      <c r="E1943" s="75"/>
      <c r="F1943" s="75"/>
      <c r="G1943" s="75"/>
      <c r="H1943" s="75"/>
      <c r="I1943" s="75"/>
      <c r="J1943" s="166"/>
      <c r="K1943" s="166"/>
      <c r="R1943" s="163"/>
      <c r="S1943" s="163"/>
    </row>
    <row r="1944">
      <c r="A1944" s="148"/>
      <c r="B1944" s="75"/>
      <c r="C1944" s="75"/>
      <c r="D1944" s="75"/>
      <c r="E1944" s="75"/>
      <c r="F1944" s="75"/>
      <c r="G1944" s="75"/>
      <c r="H1944" s="75"/>
      <c r="I1944" s="75"/>
      <c r="J1944" s="166"/>
      <c r="K1944" s="166"/>
      <c r="R1944" s="173"/>
      <c r="S1944" s="173"/>
    </row>
    <row r="1945">
      <c r="A1945" s="148"/>
      <c r="B1945" s="75"/>
      <c r="C1945" s="75"/>
      <c r="D1945" s="75"/>
      <c r="E1945" s="75"/>
      <c r="F1945" s="75"/>
      <c r="G1945" s="75"/>
      <c r="H1945" s="75"/>
      <c r="I1945" s="75"/>
      <c r="J1945" s="166"/>
      <c r="K1945" s="166"/>
      <c r="R1945" s="157"/>
      <c r="S1945" s="157"/>
    </row>
    <row r="1946">
      <c r="A1946" s="148"/>
      <c r="B1946" s="75"/>
      <c r="C1946" s="75"/>
      <c r="D1946" s="75"/>
      <c r="E1946" s="75"/>
      <c r="F1946" s="75"/>
      <c r="G1946" s="75"/>
      <c r="H1946" s="75"/>
      <c r="I1946" s="75"/>
      <c r="J1946" s="166"/>
      <c r="K1946" s="166"/>
      <c r="R1946" s="163"/>
      <c r="S1946" s="163"/>
    </row>
    <row r="1947">
      <c r="A1947" s="148"/>
      <c r="B1947" s="75"/>
      <c r="C1947" s="75"/>
      <c r="D1947" s="75"/>
      <c r="E1947" s="75"/>
      <c r="F1947" s="75"/>
      <c r="G1947" s="75"/>
      <c r="H1947" s="75"/>
      <c r="I1947" s="75"/>
      <c r="J1947" s="166"/>
      <c r="K1947" s="166"/>
      <c r="R1947" s="163"/>
      <c r="S1947" s="163"/>
    </row>
    <row r="1948">
      <c r="A1948" s="148"/>
      <c r="B1948" s="75"/>
      <c r="C1948" s="75"/>
      <c r="D1948" s="75"/>
      <c r="E1948" s="75"/>
      <c r="F1948" s="75"/>
      <c r="G1948" s="75"/>
      <c r="H1948" s="75"/>
      <c r="I1948" s="75"/>
      <c r="J1948" s="166"/>
      <c r="K1948" s="166"/>
      <c r="R1948" s="163"/>
      <c r="S1948" s="163"/>
    </row>
    <row r="1949">
      <c r="A1949" s="148"/>
      <c r="B1949" s="75"/>
      <c r="C1949" s="75"/>
      <c r="D1949" s="75"/>
      <c r="E1949" s="75"/>
      <c r="F1949" s="75"/>
      <c r="G1949" s="75"/>
      <c r="H1949" s="75"/>
      <c r="I1949" s="75"/>
      <c r="J1949" s="166"/>
      <c r="K1949" s="166"/>
      <c r="R1949" s="163"/>
      <c r="S1949" s="163"/>
    </row>
    <row r="1950">
      <c r="A1950" s="148"/>
      <c r="B1950" s="75"/>
      <c r="C1950" s="75"/>
      <c r="D1950" s="75"/>
      <c r="E1950" s="75"/>
      <c r="F1950" s="75"/>
      <c r="G1950" s="75"/>
      <c r="H1950" s="75"/>
      <c r="I1950" s="75"/>
      <c r="J1950" s="166"/>
      <c r="K1950" s="166"/>
      <c r="R1950" s="163"/>
      <c r="S1950" s="163"/>
    </row>
    <row r="1951">
      <c r="A1951" s="148"/>
      <c r="B1951" s="75"/>
      <c r="C1951" s="75"/>
      <c r="D1951" s="75"/>
      <c r="E1951" s="75"/>
      <c r="F1951" s="75"/>
      <c r="G1951" s="75"/>
      <c r="H1951" s="75"/>
      <c r="I1951" s="75"/>
      <c r="J1951" s="166"/>
      <c r="K1951" s="166"/>
      <c r="R1951" s="163"/>
      <c r="S1951" s="163"/>
    </row>
    <row r="1952">
      <c r="A1952" s="148"/>
      <c r="B1952" s="75"/>
      <c r="C1952" s="75"/>
      <c r="D1952" s="75"/>
      <c r="E1952" s="75"/>
      <c r="F1952" s="75"/>
      <c r="G1952" s="75"/>
      <c r="H1952" s="75"/>
      <c r="I1952" s="75"/>
      <c r="J1952" s="166"/>
      <c r="K1952" s="166"/>
      <c r="R1952" s="163"/>
      <c r="S1952" s="163"/>
    </row>
    <row r="1953">
      <c r="A1953" s="148"/>
      <c r="B1953" s="75"/>
      <c r="C1953" s="75"/>
      <c r="D1953" s="75"/>
      <c r="E1953" s="75"/>
      <c r="F1953" s="75"/>
      <c r="G1953" s="75"/>
      <c r="H1953" s="75"/>
      <c r="I1953" s="75"/>
      <c r="J1953" s="166"/>
      <c r="K1953" s="166"/>
      <c r="R1953" s="163"/>
      <c r="S1953" s="163"/>
    </row>
    <row r="1954">
      <c r="A1954" s="148"/>
      <c r="B1954" s="75"/>
      <c r="C1954" s="75"/>
      <c r="D1954" s="75"/>
      <c r="E1954" s="75"/>
      <c r="F1954" s="75"/>
      <c r="G1954" s="75"/>
      <c r="H1954" s="75"/>
      <c r="I1954" s="75"/>
      <c r="J1954" s="166"/>
      <c r="K1954" s="166"/>
      <c r="R1954" s="163"/>
      <c r="S1954" s="163"/>
    </row>
    <row r="1955">
      <c r="A1955" s="148"/>
      <c r="B1955" s="75"/>
      <c r="C1955" s="75"/>
      <c r="D1955" s="75"/>
      <c r="E1955" s="75"/>
      <c r="F1955" s="75"/>
      <c r="G1955" s="75"/>
      <c r="H1955" s="75"/>
      <c r="I1955" s="75"/>
      <c r="J1955" s="166"/>
      <c r="K1955" s="166"/>
      <c r="R1955" s="163"/>
      <c r="S1955" s="163"/>
    </row>
    <row r="1956">
      <c r="A1956" s="148"/>
      <c r="B1956" s="75"/>
      <c r="C1956" s="75"/>
      <c r="D1956" s="75"/>
      <c r="E1956" s="75"/>
      <c r="F1956" s="75"/>
      <c r="G1956" s="75"/>
      <c r="H1956" s="75"/>
      <c r="I1956" s="75"/>
      <c r="J1956" s="166"/>
      <c r="K1956" s="166"/>
      <c r="R1956" s="173"/>
      <c r="S1956" s="173"/>
    </row>
    <row r="1957">
      <c r="A1957" s="148"/>
      <c r="B1957" s="75"/>
      <c r="C1957" s="75"/>
      <c r="D1957" s="75"/>
      <c r="E1957" s="75"/>
      <c r="F1957" s="75"/>
      <c r="G1957" s="75"/>
      <c r="H1957" s="75"/>
      <c r="I1957" s="75"/>
      <c r="J1957" s="166"/>
      <c r="K1957" s="166"/>
      <c r="R1957" s="157"/>
      <c r="S1957" s="157"/>
    </row>
    <row r="1958">
      <c r="A1958" s="148"/>
      <c r="B1958" s="75"/>
      <c r="C1958" s="75"/>
      <c r="D1958" s="75"/>
      <c r="E1958" s="75"/>
      <c r="F1958" s="75"/>
      <c r="G1958" s="75"/>
      <c r="H1958" s="75"/>
      <c r="I1958" s="75"/>
      <c r="J1958" s="166"/>
      <c r="K1958" s="166"/>
      <c r="R1958" s="163"/>
      <c r="S1958" s="163"/>
    </row>
    <row r="1959">
      <c r="A1959" s="148"/>
      <c r="B1959" s="75"/>
      <c r="C1959" s="75"/>
      <c r="D1959" s="75"/>
      <c r="E1959" s="75"/>
      <c r="F1959" s="75"/>
      <c r="G1959" s="75"/>
      <c r="H1959" s="75"/>
      <c r="I1959" s="75"/>
      <c r="J1959" s="166"/>
      <c r="K1959" s="166"/>
      <c r="R1959" s="163"/>
      <c r="S1959" s="163"/>
    </row>
    <row r="1960">
      <c r="A1960" s="148"/>
      <c r="B1960" s="75"/>
      <c r="C1960" s="75"/>
      <c r="D1960" s="75"/>
      <c r="E1960" s="75"/>
      <c r="F1960" s="75"/>
      <c r="G1960" s="75"/>
      <c r="H1960" s="75"/>
      <c r="I1960" s="75"/>
      <c r="J1960" s="166"/>
      <c r="K1960" s="166"/>
      <c r="R1960" s="163"/>
      <c r="S1960" s="163"/>
    </row>
    <row r="1961">
      <c r="A1961" s="148"/>
      <c r="B1961" s="75"/>
      <c r="C1961" s="75"/>
      <c r="D1961" s="75"/>
      <c r="E1961" s="75"/>
      <c r="F1961" s="75"/>
      <c r="G1961" s="75"/>
      <c r="H1961" s="75"/>
      <c r="I1961" s="75"/>
      <c r="J1961" s="166"/>
      <c r="K1961" s="166"/>
      <c r="R1961" s="163"/>
      <c r="S1961" s="163"/>
    </row>
    <row r="1962">
      <c r="A1962" s="148"/>
      <c r="B1962" s="75"/>
      <c r="C1962" s="75"/>
      <c r="D1962" s="75"/>
      <c r="E1962" s="75"/>
      <c r="F1962" s="75"/>
      <c r="G1962" s="75"/>
      <c r="H1962" s="75"/>
      <c r="I1962" s="75"/>
      <c r="J1962" s="166"/>
      <c r="K1962" s="166"/>
      <c r="R1962" s="163"/>
      <c r="S1962" s="163"/>
    </row>
    <row r="1963">
      <c r="A1963" s="148"/>
      <c r="B1963" s="75"/>
      <c r="C1963" s="75"/>
      <c r="D1963" s="75"/>
      <c r="E1963" s="75"/>
      <c r="F1963" s="75"/>
      <c r="G1963" s="75"/>
      <c r="H1963" s="75"/>
      <c r="I1963" s="75"/>
      <c r="J1963" s="166"/>
      <c r="K1963" s="166"/>
      <c r="R1963" s="163"/>
      <c r="S1963" s="163"/>
    </row>
    <row r="1964">
      <c r="A1964" s="148"/>
      <c r="B1964" s="75"/>
      <c r="C1964" s="75"/>
      <c r="D1964" s="75"/>
      <c r="E1964" s="75"/>
      <c r="F1964" s="75"/>
      <c r="G1964" s="75"/>
      <c r="H1964" s="75"/>
      <c r="I1964" s="75"/>
      <c r="J1964" s="166"/>
      <c r="K1964" s="166"/>
      <c r="R1964" s="163"/>
      <c r="S1964" s="163"/>
    </row>
    <row r="1965">
      <c r="A1965" s="148"/>
      <c r="B1965" s="75"/>
      <c r="C1965" s="75"/>
      <c r="D1965" s="75"/>
      <c r="E1965" s="75"/>
      <c r="F1965" s="75"/>
      <c r="G1965" s="75"/>
      <c r="H1965" s="75"/>
      <c r="I1965" s="75"/>
      <c r="J1965" s="166"/>
      <c r="K1965" s="166"/>
      <c r="R1965" s="163"/>
      <c r="S1965" s="163"/>
    </row>
    <row r="1966">
      <c r="A1966" s="148"/>
      <c r="B1966" s="75"/>
      <c r="C1966" s="75"/>
      <c r="D1966" s="75"/>
      <c r="E1966" s="75"/>
      <c r="F1966" s="75"/>
      <c r="G1966" s="75"/>
      <c r="H1966" s="75"/>
      <c r="I1966" s="75"/>
      <c r="J1966" s="166"/>
      <c r="K1966" s="166"/>
      <c r="R1966" s="163"/>
      <c r="S1966" s="163"/>
    </row>
    <row r="1967">
      <c r="A1967" s="148"/>
      <c r="B1967" s="75"/>
      <c r="C1967" s="75"/>
      <c r="D1967" s="75"/>
      <c r="E1967" s="75"/>
      <c r="F1967" s="75"/>
      <c r="G1967" s="75"/>
      <c r="H1967" s="75"/>
      <c r="I1967" s="75"/>
      <c r="J1967" s="166"/>
      <c r="K1967" s="166"/>
      <c r="R1967" s="163"/>
      <c r="S1967" s="163"/>
    </row>
    <row r="1968">
      <c r="A1968" s="148"/>
      <c r="B1968" s="75"/>
      <c r="C1968" s="75"/>
      <c r="D1968" s="75"/>
      <c r="E1968" s="75"/>
      <c r="F1968" s="75"/>
      <c r="G1968" s="75"/>
      <c r="H1968" s="75"/>
      <c r="I1968" s="75"/>
      <c r="J1968" s="166"/>
      <c r="K1968" s="166"/>
      <c r="R1968" s="173"/>
      <c r="S1968" s="173"/>
    </row>
    <row r="1969">
      <c r="A1969" s="148"/>
      <c r="B1969" s="75"/>
      <c r="C1969" s="75"/>
      <c r="D1969" s="75"/>
      <c r="E1969" s="75"/>
      <c r="F1969" s="75"/>
      <c r="G1969" s="75"/>
      <c r="H1969" s="75"/>
      <c r="I1969" s="75"/>
      <c r="J1969" s="166"/>
      <c r="K1969" s="166"/>
      <c r="R1969" s="157"/>
      <c r="S1969" s="157"/>
    </row>
    <row r="1970">
      <c r="A1970" s="148"/>
      <c r="B1970" s="75"/>
      <c r="C1970" s="75"/>
      <c r="D1970" s="75"/>
      <c r="E1970" s="75"/>
      <c r="F1970" s="75"/>
      <c r="G1970" s="75"/>
      <c r="H1970" s="75"/>
      <c r="I1970" s="75"/>
      <c r="J1970" s="166"/>
      <c r="K1970" s="166"/>
      <c r="R1970" s="163"/>
      <c r="S1970" s="163"/>
    </row>
    <row r="1971">
      <c r="A1971" s="148"/>
      <c r="B1971" s="75"/>
      <c r="C1971" s="75"/>
      <c r="D1971" s="75"/>
      <c r="E1971" s="75"/>
      <c r="F1971" s="75"/>
      <c r="G1971" s="75"/>
      <c r="H1971" s="75"/>
      <c r="I1971" s="75"/>
      <c r="J1971" s="166"/>
      <c r="K1971" s="166"/>
      <c r="R1971" s="163"/>
      <c r="S1971" s="163"/>
    </row>
    <row r="1972">
      <c r="A1972" s="148"/>
      <c r="B1972" s="75"/>
      <c r="C1972" s="75"/>
      <c r="D1972" s="75"/>
      <c r="E1972" s="75"/>
      <c r="F1972" s="75"/>
      <c r="G1972" s="75"/>
      <c r="H1972" s="75"/>
      <c r="I1972" s="75"/>
      <c r="J1972" s="166"/>
      <c r="K1972" s="166"/>
      <c r="R1972" s="163"/>
      <c r="S1972" s="163"/>
    </row>
    <row r="1973">
      <c r="A1973" s="148"/>
      <c r="B1973" s="75"/>
      <c r="C1973" s="75"/>
      <c r="D1973" s="75"/>
      <c r="E1973" s="75"/>
      <c r="F1973" s="75"/>
      <c r="G1973" s="75"/>
      <c r="H1973" s="75"/>
      <c r="I1973" s="75"/>
      <c r="J1973" s="166"/>
      <c r="K1973" s="166"/>
      <c r="R1973" s="163"/>
      <c r="S1973" s="163"/>
    </row>
    <row r="1974">
      <c r="A1974" s="148"/>
      <c r="B1974" s="75"/>
      <c r="C1974" s="75"/>
      <c r="D1974" s="75"/>
      <c r="E1974" s="75"/>
      <c r="F1974" s="75"/>
      <c r="G1974" s="75"/>
      <c r="H1974" s="75"/>
      <c r="I1974" s="75"/>
      <c r="J1974" s="166"/>
      <c r="K1974" s="166"/>
      <c r="R1974" s="163"/>
      <c r="S1974" s="163"/>
    </row>
    <row r="1975">
      <c r="A1975" s="148"/>
      <c r="B1975" s="75"/>
      <c r="C1975" s="75"/>
      <c r="D1975" s="75"/>
      <c r="E1975" s="75"/>
      <c r="F1975" s="75"/>
      <c r="G1975" s="75"/>
      <c r="H1975" s="75"/>
      <c r="I1975" s="75"/>
      <c r="J1975" s="166"/>
      <c r="K1975" s="166"/>
      <c r="R1975" s="163"/>
      <c r="S1975" s="163"/>
    </row>
    <row r="1976">
      <c r="A1976" s="148"/>
      <c r="B1976" s="75"/>
      <c r="C1976" s="75"/>
      <c r="D1976" s="75"/>
      <c r="E1976" s="75"/>
      <c r="F1976" s="75"/>
      <c r="G1976" s="75"/>
      <c r="H1976" s="75"/>
      <c r="I1976" s="75"/>
      <c r="J1976" s="166"/>
      <c r="K1976" s="166"/>
      <c r="R1976" s="163"/>
      <c r="S1976" s="163"/>
    </row>
    <row r="1977">
      <c r="A1977" s="148"/>
      <c r="B1977" s="75"/>
      <c r="C1977" s="75"/>
      <c r="D1977" s="75"/>
      <c r="E1977" s="75"/>
      <c r="F1977" s="75"/>
      <c r="G1977" s="75"/>
      <c r="H1977" s="75"/>
      <c r="I1977" s="75"/>
      <c r="J1977" s="166"/>
      <c r="K1977" s="166"/>
      <c r="R1977" s="163"/>
      <c r="S1977" s="163"/>
    </row>
    <row r="1978">
      <c r="A1978" s="148"/>
      <c r="B1978" s="75"/>
      <c r="C1978" s="75"/>
      <c r="D1978" s="75"/>
      <c r="E1978" s="75"/>
      <c r="F1978" s="75"/>
      <c r="G1978" s="75"/>
      <c r="H1978" s="75"/>
      <c r="I1978" s="75"/>
      <c r="J1978" s="166"/>
      <c r="K1978" s="166"/>
      <c r="R1978" s="163"/>
      <c r="S1978" s="163"/>
    </row>
    <row r="1979">
      <c r="A1979" s="148"/>
      <c r="B1979" s="75"/>
      <c r="C1979" s="75"/>
      <c r="D1979" s="75"/>
      <c r="E1979" s="75"/>
      <c r="F1979" s="75"/>
      <c r="G1979" s="75"/>
      <c r="H1979" s="75"/>
      <c r="I1979" s="75"/>
      <c r="J1979" s="166"/>
      <c r="K1979" s="166"/>
      <c r="R1979" s="163"/>
      <c r="S1979" s="163"/>
    </row>
    <row r="1980">
      <c r="A1980" s="148"/>
      <c r="B1980" s="75"/>
      <c r="C1980" s="75"/>
      <c r="D1980" s="75"/>
      <c r="E1980" s="75"/>
      <c r="F1980" s="75"/>
      <c r="G1980" s="75"/>
      <c r="H1980" s="75"/>
      <c r="I1980" s="75"/>
      <c r="J1980" s="166"/>
      <c r="K1980" s="166"/>
      <c r="R1980" s="173"/>
      <c r="S1980" s="173"/>
    </row>
    <row r="1981">
      <c r="A1981" s="148"/>
      <c r="B1981" s="75"/>
      <c r="C1981" s="75"/>
      <c r="D1981" s="75"/>
      <c r="E1981" s="75"/>
      <c r="F1981" s="75"/>
      <c r="G1981" s="75"/>
      <c r="H1981" s="75"/>
      <c r="I1981" s="75"/>
      <c r="J1981" s="166"/>
      <c r="K1981" s="166"/>
      <c r="R1981" s="157"/>
      <c r="S1981" s="157"/>
    </row>
    <row r="1982">
      <c r="A1982" s="148"/>
      <c r="B1982" s="75"/>
      <c r="C1982" s="75"/>
      <c r="D1982" s="75"/>
      <c r="E1982" s="75"/>
      <c r="F1982" s="75"/>
      <c r="G1982" s="75"/>
      <c r="H1982" s="75"/>
      <c r="I1982" s="75"/>
      <c r="J1982" s="166"/>
      <c r="K1982" s="166"/>
      <c r="R1982" s="163"/>
      <c r="S1982" s="163"/>
    </row>
    <row r="1983">
      <c r="A1983" s="148"/>
      <c r="B1983" s="75"/>
      <c r="C1983" s="75"/>
      <c r="D1983" s="75"/>
      <c r="E1983" s="75"/>
      <c r="F1983" s="75"/>
      <c r="G1983" s="75"/>
      <c r="H1983" s="75"/>
      <c r="I1983" s="75"/>
      <c r="J1983" s="166"/>
      <c r="K1983" s="166"/>
      <c r="R1983" s="163"/>
      <c r="S1983" s="163"/>
    </row>
    <row r="1984">
      <c r="A1984" s="148"/>
      <c r="B1984" s="75"/>
      <c r="C1984" s="75"/>
      <c r="D1984" s="75"/>
      <c r="E1984" s="75"/>
      <c r="F1984" s="75"/>
      <c r="G1984" s="75"/>
      <c r="H1984" s="75"/>
      <c r="I1984" s="75"/>
      <c r="J1984" s="166"/>
      <c r="K1984" s="166"/>
      <c r="R1984" s="163"/>
      <c r="S1984" s="163"/>
    </row>
    <row r="1985">
      <c r="A1985" s="148"/>
      <c r="B1985" s="75"/>
      <c r="C1985" s="75"/>
      <c r="D1985" s="75"/>
      <c r="E1985" s="75"/>
      <c r="F1985" s="75"/>
      <c r="G1985" s="75"/>
      <c r="H1985" s="75"/>
      <c r="I1985" s="75"/>
      <c r="J1985" s="166"/>
      <c r="K1985" s="166"/>
      <c r="R1985" s="163"/>
      <c r="S1985" s="163"/>
    </row>
    <row r="1986">
      <c r="A1986" s="148"/>
      <c r="B1986" s="75"/>
      <c r="C1986" s="75"/>
      <c r="D1986" s="75"/>
      <c r="E1986" s="75"/>
      <c r="F1986" s="75"/>
      <c r="G1986" s="75"/>
      <c r="H1986" s="75"/>
      <c r="I1986" s="75"/>
      <c r="J1986" s="166"/>
      <c r="K1986" s="166"/>
      <c r="R1986" s="163"/>
      <c r="S1986" s="163"/>
    </row>
    <row r="1987">
      <c r="A1987" s="148"/>
      <c r="B1987" s="75"/>
      <c r="C1987" s="75"/>
      <c r="D1987" s="75"/>
      <c r="E1987" s="75"/>
      <c r="F1987" s="75"/>
      <c r="G1987" s="75"/>
      <c r="H1987" s="75"/>
      <c r="I1987" s="75"/>
      <c r="J1987" s="166"/>
      <c r="K1987" s="166"/>
      <c r="R1987" s="163"/>
      <c r="S1987" s="163"/>
    </row>
    <row r="1988">
      <c r="A1988" s="148"/>
      <c r="B1988" s="75"/>
      <c r="C1988" s="75"/>
      <c r="D1988" s="75"/>
      <c r="E1988" s="75"/>
      <c r="F1988" s="75"/>
      <c r="G1988" s="75"/>
      <c r="H1988" s="75"/>
      <c r="I1988" s="75"/>
      <c r="J1988" s="166"/>
      <c r="K1988" s="166"/>
      <c r="R1988" s="163"/>
      <c r="S1988" s="163"/>
    </row>
    <row r="1989">
      <c r="A1989" s="148"/>
      <c r="B1989" s="75"/>
      <c r="C1989" s="75"/>
      <c r="D1989" s="75"/>
      <c r="E1989" s="75"/>
      <c r="F1989" s="75"/>
      <c r="G1989" s="75"/>
      <c r="H1989" s="75"/>
      <c r="I1989" s="75"/>
      <c r="J1989" s="166"/>
      <c r="K1989" s="166"/>
      <c r="R1989" s="163"/>
      <c r="S1989" s="163"/>
    </row>
    <row r="1990">
      <c r="A1990" s="148"/>
      <c r="B1990" s="75"/>
      <c r="C1990" s="75"/>
      <c r="D1990" s="75"/>
      <c r="E1990" s="75"/>
      <c r="F1990" s="75"/>
      <c r="G1990" s="75"/>
      <c r="H1990" s="75"/>
      <c r="I1990" s="75"/>
      <c r="J1990" s="166"/>
      <c r="K1990" s="166"/>
      <c r="R1990" s="163"/>
      <c r="S1990" s="163"/>
    </row>
    <row r="1991">
      <c r="A1991" s="148"/>
      <c r="B1991" s="75"/>
      <c r="C1991" s="75"/>
      <c r="D1991" s="75"/>
      <c r="E1991" s="75"/>
      <c r="F1991" s="75"/>
      <c r="G1991" s="75"/>
      <c r="H1991" s="75"/>
      <c r="I1991" s="75"/>
      <c r="J1991" s="166"/>
      <c r="K1991" s="166"/>
      <c r="R1991" s="163"/>
      <c r="S1991" s="163"/>
    </row>
    <row r="1992">
      <c r="A1992" s="148"/>
      <c r="B1992" s="75"/>
      <c r="C1992" s="75"/>
      <c r="D1992" s="75"/>
      <c r="E1992" s="75"/>
      <c r="F1992" s="75"/>
      <c r="G1992" s="75"/>
      <c r="H1992" s="75"/>
      <c r="I1992" s="75"/>
      <c r="J1992" s="166"/>
      <c r="K1992" s="166"/>
      <c r="R1992" s="173"/>
      <c r="S1992" s="173"/>
    </row>
    <row r="1993">
      <c r="A1993" s="148"/>
      <c r="B1993" s="75"/>
      <c r="C1993" s="75"/>
      <c r="D1993" s="75"/>
      <c r="E1993" s="75"/>
      <c r="F1993" s="75"/>
      <c r="G1993" s="75"/>
      <c r="H1993" s="75"/>
      <c r="I1993" s="75"/>
      <c r="J1993" s="166"/>
      <c r="K1993" s="166"/>
      <c r="R1993" s="157"/>
      <c r="S1993" s="157"/>
    </row>
    <row r="1994">
      <c r="A1994" s="148"/>
      <c r="B1994" s="75"/>
      <c r="C1994" s="75"/>
      <c r="D1994" s="75"/>
      <c r="E1994" s="75"/>
      <c r="F1994" s="75"/>
      <c r="G1994" s="75"/>
      <c r="H1994" s="75"/>
      <c r="I1994" s="75"/>
      <c r="J1994" s="166"/>
      <c r="K1994" s="166"/>
      <c r="R1994" s="163"/>
      <c r="S1994" s="163"/>
    </row>
    <row r="1995">
      <c r="A1995" s="148"/>
      <c r="B1995" s="75"/>
      <c r="C1995" s="75"/>
      <c r="D1995" s="75"/>
      <c r="E1995" s="75"/>
      <c r="F1995" s="75"/>
      <c r="G1995" s="75"/>
      <c r="H1995" s="75"/>
      <c r="I1995" s="75"/>
      <c r="J1995" s="166"/>
      <c r="K1995" s="166"/>
      <c r="R1995" s="163"/>
      <c r="S1995" s="163"/>
    </row>
    <row r="1996">
      <c r="A1996" s="148"/>
      <c r="B1996" s="75"/>
      <c r="C1996" s="75"/>
      <c r="D1996" s="75"/>
      <c r="E1996" s="75"/>
      <c r="F1996" s="75"/>
      <c r="G1996" s="75"/>
      <c r="H1996" s="75"/>
      <c r="I1996" s="75"/>
      <c r="J1996" s="166"/>
      <c r="K1996" s="166"/>
      <c r="R1996" s="163"/>
      <c r="S1996" s="163"/>
    </row>
    <row r="1997">
      <c r="A1997" s="148"/>
      <c r="B1997" s="75"/>
      <c r="C1997" s="75"/>
      <c r="D1997" s="75"/>
      <c r="E1997" s="75"/>
      <c r="F1997" s="75"/>
      <c r="G1997" s="75"/>
      <c r="H1997" s="75"/>
      <c r="I1997" s="75"/>
      <c r="J1997" s="166"/>
      <c r="K1997" s="166"/>
      <c r="R1997" s="163"/>
      <c r="S1997" s="163"/>
    </row>
    <row r="1998">
      <c r="A1998" s="148"/>
      <c r="B1998" s="75"/>
      <c r="C1998" s="75"/>
      <c r="D1998" s="75"/>
      <c r="E1998" s="75"/>
      <c r="F1998" s="75"/>
      <c r="G1998" s="75"/>
      <c r="H1998" s="75"/>
      <c r="I1998" s="75"/>
      <c r="J1998" s="166"/>
      <c r="K1998" s="166"/>
      <c r="R1998" s="163"/>
      <c r="S1998" s="163"/>
    </row>
    <row r="1999">
      <c r="A1999" s="148"/>
      <c r="B1999" s="75"/>
      <c r="C1999" s="75"/>
      <c r="D1999" s="75"/>
      <c r="E1999" s="75"/>
      <c r="F1999" s="75"/>
      <c r="G1999" s="75"/>
      <c r="H1999" s="75"/>
      <c r="I1999" s="75"/>
      <c r="J1999" s="166"/>
      <c r="K1999" s="166"/>
      <c r="R1999" s="163"/>
      <c r="S1999" s="163"/>
    </row>
    <row r="2000">
      <c r="A2000" s="148"/>
      <c r="B2000" s="75"/>
      <c r="C2000" s="75"/>
      <c r="D2000" s="75"/>
      <c r="E2000" s="75"/>
      <c r="F2000" s="75"/>
      <c r="G2000" s="75"/>
      <c r="H2000" s="75"/>
      <c r="I2000" s="75"/>
      <c r="J2000" s="166"/>
      <c r="K2000" s="166"/>
      <c r="R2000" s="163"/>
      <c r="S2000" s="163"/>
    </row>
    <row r="2001">
      <c r="A2001" s="148"/>
      <c r="B2001" s="75"/>
      <c r="C2001" s="75"/>
      <c r="D2001" s="75"/>
      <c r="E2001" s="75"/>
      <c r="F2001" s="75"/>
      <c r="G2001" s="75"/>
      <c r="H2001" s="75"/>
      <c r="I2001" s="75"/>
      <c r="J2001" s="166"/>
      <c r="K2001" s="166"/>
      <c r="R2001" s="163"/>
      <c r="S2001" s="163"/>
    </row>
    <row r="2002">
      <c r="A2002" s="148"/>
      <c r="B2002" s="75"/>
      <c r="C2002" s="75"/>
      <c r="D2002" s="75"/>
      <c r="E2002" s="75"/>
      <c r="F2002" s="75"/>
      <c r="G2002" s="75"/>
      <c r="H2002" s="75"/>
      <c r="I2002" s="75"/>
      <c r="J2002" s="166"/>
      <c r="K2002" s="166"/>
      <c r="R2002" s="163"/>
      <c r="S2002" s="163"/>
    </row>
    <row r="2003">
      <c r="A2003" s="148"/>
      <c r="B2003" s="75"/>
      <c r="C2003" s="75"/>
      <c r="D2003" s="75"/>
      <c r="E2003" s="75"/>
      <c r="F2003" s="75"/>
      <c r="G2003" s="75"/>
      <c r="H2003" s="75"/>
      <c r="I2003" s="75"/>
      <c r="J2003" s="166"/>
      <c r="K2003" s="166"/>
      <c r="R2003" s="163"/>
      <c r="S2003" s="163"/>
    </row>
    <row r="2004">
      <c r="A2004" s="148"/>
      <c r="B2004" s="75"/>
      <c r="C2004" s="75"/>
      <c r="D2004" s="75"/>
      <c r="E2004" s="75"/>
      <c r="F2004" s="75"/>
      <c r="G2004" s="75"/>
      <c r="H2004" s="75"/>
      <c r="I2004" s="75"/>
      <c r="J2004" s="166"/>
      <c r="K2004" s="166"/>
      <c r="R2004" s="173"/>
      <c r="S2004" s="173"/>
    </row>
    <row r="2005">
      <c r="A2005" s="148"/>
      <c r="B2005" s="75"/>
      <c r="C2005" s="75"/>
      <c r="D2005" s="75"/>
      <c r="E2005" s="75"/>
      <c r="F2005" s="75"/>
      <c r="G2005" s="75"/>
      <c r="H2005" s="75"/>
      <c r="I2005" s="75"/>
      <c r="J2005" s="166"/>
      <c r="K2005" s="166"/>
      <c r="R2005" s="157"/>
      <c r="S2005" s="157"/>
    </row>
    <row r="2006">
      <c r="A2006" s="148"/>
      <c r="B2006" s="75"/>
      <c r="C2006" s="75"/>
      <c r="D2006" s="75"/>
      <c r="E2006" s="75"/>
      <c r="F2006" s="75"/>
      <c r="G2006" s="75"/>
      <c r="H2006" s="75"/>
      <c r="I2006" s="75"/>
      <c r="J2006" s="166"/>
      <c r="K2006" s="166"/>
      <c r="R2006" s="163"/>
      <c r="S2006" s="163"/>
    </row>
    <row r="2007">
      <c r="A2007" s="148"/>
      <c r="B2007" s="75"/>
      <c r="C2007" s="75"/>
      <c r="D2007" s="75"/>
      <c r="E2007" s="75"/>
      <c r="F2007" s="75"/>
      <c r="G2007" s="75"/>
      <c r="H2007" s="75"/>
      <c r="I2007" s="75"/>
      <c r="J2007" s="166"/>
      <c r="K2007" s="166"/>
      <c r="R2007" s="163"/>
      <c r="S2007" s="163"/>
    </row>
    <row r="2008">
      <c r="A2008" s="148"/>
      <c r="B2008" s="75"/>
      <c r="C2008" s="75"/>
      <c r="D2008" s="75"/>
      <c r="E2008" s="75"/>
      <c r="F2008" s="75"/>
      <c r="G2008" s="75"/>
      <c r="H2008" s="75"/>
      <c r="I2008" s="75"/>
      <c r="J2008" s="166"/>
      <c r="K2008" s="166"/>
      <c r="R2008" s="163"/>
      <c r="S2008" s="163"/>
    </row>
    <row r="2009">
      <c r="A2009" s="148"/>
      <c r="B2009" s="75"/>
      <c r="C2009" s="75"/>
      <c r="D2009" s="75"/>
      <c r="E2009" s="75"/>
      <c r="F2009" s="75"/>
      <c r="G2009" s="75"/>
      <c r="H2009" s="75"/>
      <c r="I2009" s="75"/>
      <c r="J2009" s="166"/>
      <c r="K2009" s="166"/>
      <c r="R2009" s="163"/>
      <c r="S2009" s="163"/>
    </row>
    <row r="2010">
      <c r="A2010" s="148"/>
      <c r="B2010" s="75"/>
      <c r="C2010" s="75"/>
      <c r="D2010" s="75"/>
      <c r="E2010" s="75"/>
      <c r="F2010" s="75"/>
      <c r="G2010" s="75"/>
      <c r="H2010" s="75"/>
      <c r="I2010" s="75"/>
      <c r="J2010" s="166"/>
      <c r="K2010" s="166"/>
      <c r="R2010" s="163"/>
      <c r="S2010" s="163"/>
    </row>
    <row r="2011">
      <c r="A2011" s="148"/>
      <c r="B2011" s="75"/>
      <c r="C2011" s="75"/>
      <c r="D2011" s="75"/>
      <c r="E2011" s="75"/>
      <c r="F2011" s="75"/>
      <c r="G2011" s="75"/>
      <c r="H2011" s="75"/>
      <c r="I2011" s="75"/>
      <c r="J2011" s="166"/>
      <c r="K2011" s="166"/>
      <c r="R2011" s="163"/>
      <c r="S2011" s="163"/>
    </row>
    <row r="2012">
      <c r="A2012" s="148"/>
      <c r="B2012" s="75"/>
      <c r="C2012" s="75"/>
      <c r="D2012" s="75"/>
      <c r="E2012" s="75"/>
      <c r="F2012" s="75"/>
      <c r="G2012" s="75"/>
      <c r="H2012" s="75"/>
      <c r="I2012" s="75"/>
      <c r="J2012" s="166"/>
      <c r="K2012" s="166"/>
      <c r="R2012" s="163"/>
      <c r="S2012" s="163"/>
    </row>
    <row r="2013">
      <c r="A2013" s="148"/>
      <c r="B2013" s="75"/>
      <c r="C2013" s="75"/>
      <c r="D2013" s="75"/>
      <c r="E2013" s="75"/>
      <c r="F2013" s="75"/>
      <c r="G2013" s="75"/>
      <c r="H2013" s="75"/>
      <c r="I2013" s="75"/>
      <c r="J2013" s="166"/>
      <c r="K2013" s="166"/>
      <c r="R2013" s="163"/>
      <c r="S2013" s="163"/>
    </row>
    <row r="2014">
      <c r="A2014" s="148"/>
      <c r="B2014" s="75"/>
      <c r="C2014" s="75"/>
      <c r="D2014" s="75"/>
      <c r="E2014" s="75"/>
      <c r="F2014" s="75"/>
      <c r="G2014" s="75"/>
      <c r="H2014" s="75"/>
      <c r="I2014" s="75"/>
      <c r="J2014" s="166"/>
      <c r="K2014" s="166"/>
      <c r="R2014" s="163"/>
      <c r="S2014" s="163"/>
    </row>
    <row r="2015">
      <c r="A2015" s="148"/>
      <c r="B2015" s="75"/>
      <c r="C2015" s="75"/>
      <c r="D2015" s="75"/>
      <c r="E2015" s="75"/>
      <c r="F2015" s="75"/>
      <c r="G2015" s="75"/>
      <c r="H2015" s="75"/>
      <c r="I2015" s="75"/>
      <c r="J2015" s="166"/>
      <c r="K2015" s="166"/>
      <c r="R2015" s="163"/>
      <c r="S2015" s="163"/>
    </row>
    <row r="2016">
      <c r="A2016" s="148"/>
      <c r="B2016" s="75"/>
      <c r="C2016" s="75"/>
      <c r="D2016" s="75"/>
      <c r="E2016" s="75"/>
      <c r="F2016" s="75"/>
      <c r="G2016" s="75"/>
      <c r="H2016" s="75"/>
      <c r="I2016" s="75"/>
      <c r="J2016" s="166"/>
      <c r="K2016" s="166"/>
      <c r="R2016" s="173"/>
      <c r="S2016" s="173"/>
    </row>
    <row r="2017">
      <c r="A2017" s="148"/>
      <c r="B2017" s="75"/>
      <c r="C2017" s="75"/>
      <c r="D2017" s="75"/>
      <c r="E2017" s="75"/>
      <c r="F2017" s="75"/>
      <c r="G2017" s="75"/>
      <c r="H2017" s="75"/>
      <c r="I2017" s="75"/>
      <c r="J2017" s="166"/>
      <c r="K2017" s="166"/>
      <c r="R2017" s="157"/>
      <c r="S2017" s="157"/>
    </row>
    <row r="2018">
      <c r="A2018" s="148"/>
      <c r="B2018" s="75"/>
      <c r="C2018" s="75"/>
      <c r="D2018" s="75"/>
      <c r="E2018" s="75"/>
      <c r="F2018" s="75"/>
      <c r="G2018" s="75"/>
      <c r="H2018" s="75"/>
      <c r="I2018" s="75"/>
      <c r="J2018" s="166"/>
      <c r="K2018" s="166"/>
      <c r="R2018" s="163"/>
      <c r="S2018" s="163"/>
    </row>
    <row r="2019">
      <c r="A2019" s="148"/>
      <c r="B2019" s="75"/>
      <c r="C2019" s="75"/>
      <c r="D2019" s="75"/>
      <c r="E2019" s="75"/>
      <c r="F2019" s="75"/>
      <c r="G2019" s="75"/>
      <c r="H2019" s="75"/>
      <c r="I2019" s="75"/>
      <c r="J2019" s="166"/>
      <c r="K2019" s="166"/>
      <c r="R2019" s="163"/>
      <c r="S2019" s="163"/>
    </row>
    <row r="2020">
      <c r="A2020" s="148"/>
      <c r="B2020" s="75"/>
      <c r="C2020" s="75"/>
      <c r="D2020" s="75"/>
      <c r="E2020" s="75"/>
      <c r="F2020" s="75"/>
      <c r="G2020" s="75"/>
      <c r="H2020" s="75"/>
      <c r="I2020" s="75"/>
      <c r="J2020" s="166"/>
      <c r="K2020" s="166"/>
      <c r="R2020" s="163"/>
      <c r="S2020" s="163"/>
    </row>
    <row r="2021">
      <c r="A2021" s="148"/>
      <c r="B2021" s="75"/>
      <c r="C2021" s="75"/>
      <c r="D2021" s="75"/>
      <c r="E2021" s="75"/>
      <c r="F2021" s="75"/>
      <c r="G2021" s="75"/>
      <c r="H2021" s="75"/>
      <c r="I2021" s="75"/>
      <c r="J2021" s="166"/>
      <c r="K2021" s="166"/>
      <c r="R2021" s="163"/>
      <c r="S2021" s="163"/>
    </row>
    <row r="2022">
      <c r="A2022" s="148"/>
      <c r="B2022" s="75"/>
      <c r="C2022" s="75"/>
      <c r="D2022" s="75"/>
      <c r="E2022" s="75"/>
      <c r="F2022" s="75"/>
      <c r="G2022" s="75"/>
      <c r="H2022" s="75"/>
      <c r="I2022" s="75"/>
      <c r="J2022" s="166"/>
      <c r="K2022" s="166"/>
      <c r="R2022" s="163"/>
      <c r="S2022" s="163"/>
    </row>
    <row r="2023">
      <c r="A2023" s="148"/>
      <c r="B2023" s="75"/>
      <c r="C2023" s="75"/>
      <c r="D2023" s="75"/>
      <c r="E2023" s="75"/>
      <c r="F2023" s="75"/>
      <c r="G2023" s="75"/>
      <c r="H2023" s="75"/>
      <c r="I2023" s="75"/>
      <c r="J2023" s="166"/>
      <c r="K2023" s="166"/>
      <c r="R2023" s="163"/>
      <c r="S2023" s="163"/>
    </row>
    <row r="2024">
      <c r="A2024" s="148"/>
      <c r="B2024" s="75"/>
      <c r="C2024" s="75"/>
      <c r="D2024" s="75"/>
      <c r="E2024" s="75"/>
      <c r="F2024" s="75"/>
      <c r="G2024" s="75"/>
      <c r="H2024" s="75"/>
      <c r="I2024" s="75"/>
      <c r="J2024" s="166"/>
      <c r="K2024" s="166"/>
      <c r="R2024" s="163"/>
      <c r="S2024" s="163"/>
    </row>
    <row r="2025">
      <c r="A2025" s="148"/>
      <c r="B2025" s="75"/>
      <c r="C2025" s="75"/>
      <c r="D2025" s="75"/>
      <c r="E2025" s="75"/>
      <c r="F2025" s="75"/>
      <c r="G2025" s="75"/>
      <c r="H2025" s="75"/>
      <c r="I2025" s="75"/>
      <c r="J2025" s="166"/>
      <c r="K2025" s="166"/>
      <c r="R2025" s="163"/>
      <c r="S2025" s="163"/>
    </row>
    <row r="2026">
      <c r="A2026" s="148"/>
      <c r="B2026" s="75"/>
      <c r="C2026" s="75"/>
      <c r="D2026" s="75"/>
      <c r="E2026" s="75"/>
      <c r="F2026" s="75"/>
      <c r="G2026" s="75"/>
      <c r="H2026" s="75"/>
      <c r="I2026" s="75"/>
      <c r="J2026" s="166"/>
      <c r="K2026" s="166"/>
      <c r="R2026" s="163"/>
      <c r="S2026" s="163"/>
    </row>
    <row r="2027">
      <c r="A2027" s="148"/>
      <c r="B2027" s="75"/>
      <c r="C2027" s="75"/>
      <c r="D2027" s="75"/>
      <c r="E2027" s="75"/>
      <c r="F2027" s="75"/>
      <c r="G2027" s="75"/>
      <c r="H2027" s="75"/>
      <c r="I2027" s="75"/>
      <c r="J2027" s="166"/>
      <c r="K2027" s="166"/>
      <c r="R2027" s="163"/>
      <c r="S2027" s="163"/>
    </row>
    <row r="2028">
      <c r="A2028" s="148"/>
      <c r="B2028" s="75"/>
      <c r="C2028" s="75"/>
      <c r="D2028" s="75"/>
      <c r="E2028" s="75"/>
      <c r="F2028" s="75"/>
      <c r="G2028" s="75"/>
      <c r="H2028" s="75"/>
      <c r="I2028" s="75"/>
      <c r="J2028" s="166"/>
      <c r="K2028" s="166"/>
      <c r="R2028" s="173"/>
      <c r="S2028" s="173"/>
    </row>
    <row r="2029">
      <c r="A2029" s="148"/>
      <c r="B2029" s="75"/>
      <c r="C2029" s="75"/>
      <c r="D2029" s="75"/>
      <c r="E2029" s="75"/>
      <c r="F2029" s="75"/>
      <c r="G2029" s="75"/>
      <c r="H2029" s="75"/>
      <c r="I2029" s="75"/>
      <c r="J2029" s="166"/>
      <c r="K2029" s="166"/>
      <c r="R2029" s="157"/>
      <c r="S2029" s="157"/>
    </row>
    <row r="2030">
      <c r="A2030" s="148"/>
      <c r="B2030" s="75"/>
      <c r="C2030" s="75"/>
      <c r="D2030" s="75"/>
      <c r="E2030" s="75"/>
      <c r="F2030" s="75"/>
      <c r="G2030" s="75"/>
      <c r="H2030" s="75"/>
      <c r="I2030" s="75"/>
      <c r="J2030" s="166"/>
      <c r="K2030" s="166"/>
      <c r="R2030" s="163"/>
      <c r="S2030" s="163"/>
    </row>
    <row r="2031">
      <c r="A2031" s="148"/>
      <c r="B2031" s="75"/>
      <c r="C2031" s="75"/>
      <c r="D2031" s="75"/>
      <c r="E2031" s="75"/>
      <c r="F2031" s="75"/>
      <c r="G2031" s="75"/>
      <c r="H2031" s="75"/>
      <c r="I2031" s="75"/>
      <c r="J2031" s="166"/>
      <c r="K2031" s="166"/>
      <c r="R2031" s="163"/>
      <c r="S2031" s="163"/>
    </row>
    <row r="2032">
      <c r="A2032" s="148"/>
      <c r="B2032" s="75"/>
      <c r="C2032" s="75"/>
      <c r="D2032" s="75"/>
      <c r="E2032" s="75"/>
      <c r="F2032" s="75"/>
      <c r="G2032" s="75"/>
      <c r="H2032" s="75"/>
      <c r="I2032" s="75"/>
      <c r="J2032" s="166"/>
      <c r="K2032" s="166"/>
      <c r="R2032" s="163"/>
      <c r="S2032" s="163"/>
    </row>
    <row r="2033">
      <c r="A2033" s="148"/>
      <c r="B2033" s="75"/>
      <c r="C2033" s="75"/>
      <c r="D2033" s="75"/>
      <c r="E2033" s="75"/>
      <c r="F2033" s="75"/>
      <c r="G2033" s="75"/>
      <c r="H2033" s="75"/>
      <c r="I2033" s="75"/>
      <c r="J2033" s="166"/>
      <c r="K2033" s="166"/>
      <c r="R2033" s="163"/>
      <c r="S2033" s="163"/>
    </row>
    <row r="2034">
      <c r="A2034" s="148"/>
      <c r="B2034" s="75"/>
      <c r="C2034" s="75"/>
      <c r="D2034" s="75"/>
      <c r="E2034" s="75"/>
      <c r="F2034" s="75"/>
      <c r="G2034" s="75"/>
      <c r="H2034" s="75"/>
      <c r="I2034" s="75"/>
      <c r="J2034" s="166"/>
      <c r="K2034" s="166"/>
      <c r="R2034" s="163"/>
      <c r="S2034" s="163"/>
    </row>
    <row r="2035">
      <c r="A2035" s="148"/>
      <c r="B2035" s="75"/>
      <c r="C2035" s="75"/>
      <c r="D2035" s="75"/>
      <c r="E2035" s="75"/>
      <c r="F2035" s="75"/>
      <c r="G2035" s="75"/>
      <c r="H2035" s="75"/>
      <c r="I2035" s="75"/>
      <c r="J2035" s="166"/>
      <c r="K2035" s="166"/>
      <c r="R2035" s="163"/>
      <c r="S2035" s="163"/>
    </row>
    <row r="2036">
      <c r="A2036" s="148"/>
      <c r="B2036" s="75"/>
      <c r="C2036" s="75"/>
      <c r="D2036" s="75"/>
      <c r="E2036" s="75"/>
      <c r="F2036" s="75"/>
      <c r="G2036" s="75"/>
      <c r="H2036" s="75"/>
      <c r="I2036" s="75"/>
      <c r="J2036" s="166"/>
      <c r="K2036" s="166"/>
      <c r="R2036" s="163"/>
      <c r="S2036" s="163"/>
    </row>
    <row r="2037">
      <c r="A2037" s="148"/>
      <c r="B2037" s="75"/>
      <c r="C2037" s="75"/>
      <c r="D2037" s="75"/>
      <c r="E2037" s="75"/>
      <c r="F2037" s="75"/>
      <c r="G2037" s="75"/>
      <c r="H2037" s="75"/>
      <c r="I2037" s="75"/>
      <c r="J2037" s="166"/>
      <c r="K2037" s="166"/>
      <c r="R2037" s="163"/>
      <c r="S2037" s="163"/>
    </row>
    <row r="2038">
      <c r="A2038" s="148"/>
      <c r="B2038" s="75"/>
      <c r="C2038" s="75"/>
      <c r="D2038" s="75"/>
      <c r="E2038" s="75"/>
      <c r="F2038" s="75"/>
      <c r="G2038" s="75"/>
      <c r="H2038" s="75"/>
      <c r="I2038" s="75"/>
      <c r="J2038" s="166"/>
      <c r="K2038" s="166"/>
      <c r="R2038" s="163"/>
      <c r="S2038" s="163"/>
    </row>
    <row r="2039">
      <c r="A2039" s="148"/>
      <c r="B2039" s="75"/>
      <c r="C2039" s="75"/>
      <c r="D2039" s="75"/>
      <c r="E2039" s="75"/>
      <c r="F2039" s="75"/>
      <c r="G2039" s="75"/>
      <c r="H2039" s="75"/>
      <c r="I2039" s="75"/>
      <c r="J2039" s="166"/>
      <c r="K2039" s="166"/>
      <c r="R2039" s="163"/>
      <c r="S2039" s="163"/>
    </row>
    <row r="2040">
      <c r="A2040" s="148"/>
      <c r="B2040" s="75"/>
      <c r="C2040" s="75"/>
      <c r="D2040" s="75"/>
      <c r="E2040" s="75"/>
      <c r="F2040" s="75"/>
      <c r="G2040" s="75"/>
      <c r="H2040" s="75"/>
      <c r="I2040" s="75"/>
      <c r="J2040" s="166"/>
      <c r="K2040" s="166"/>
      <c r="R2040" s="173"/>
      <c r="S2040" s="173"/>
    </row>
    <row r="2041">
      <c r="A2041" s="148"/>
      <c r="B2041" s="75"/>
      <c r="C2041" s="75"/>
      <c r="D2041" s="75"/>
      <c r="E2041" s="75"/>
      <c r="F2041" s="75"/>
      <c r="G2041" s="75"/>
      <c r="H2041" s="75"/>
      <c r="I2041" s="75"/>
      <c r="J2041" s="166"/>
      <c r="K2041" s="166"/>
      <c r="R2041" s="157"/>
      <c r="S2041" s="157"/>
    </row>
    <row r="2042">
      <c r="A2042" s="148"/>
      <c r="B2042" s="75"/>
      <c r="C2042" s="75"/>
      <c r="D2042" s="75"/>
      <c r="E2042" s="75"/>
      <c r="F2042" s="75"/>
      <c r="G2042" s="75"/>
      <c r="H2042" s="75"/>
      <c r="I2042" s="75"/>
      <c r="J2042" s="166"/>
      <c r="K2042" s="166"/>
      <c r="R2042" s="163"/>
      <c r="S2042" s="163"/>
    </row>
    <row r="2043">
      <c r="A2043" s="148"/>
      <c r="B2043" s="75"/>
      <c r="C2043" s="75"/>
      <c r="D2043" s="75"/>
      <c r="E2043" s="75"/>
      <c r="F2043" s="75"/>
      <c r="G2043" s="75"/>
      <c r="H2043" s="75"/>
      <c r="I2043" s="75"/>
      <c r="J2043" s="166"/>
      <c r="K2043" s="166"/>
      <c r="R2043" s="163"/>
      <c r="S2043" s="163"/>
    </row>
    <row r="2044">
      <c r="A2044" s="148"/>
      <c r="B2044" s="75"/>
      <c r="C2044" s="75"/>
      <c r="D2044" s="75"/>
      <c r="E2044" s="75"/>
      <c r="F2044" s="75"/>
      <c r="G2044" s="75"/>
      <c r="H2044" s="75"/>
      <c r="I2044" s="75"/>
      <c r="J2044" s="166"/>
      <c r="K2044" s="166"/>
      <c r="R2044" s="163"/>
      <c r="S2044" s="163"/>
    </row>
    <row r="2045">
      <c r="A2045" s="148"/>
      <c r="B2045" s="75"/>
      <c r="C2045" s="75"/>
      <c r="D2045" s="75"/>
      <c r="E2045" s="75"/>
      <c r="F2045" s="75"/>
      <c r="G2045" s="75"/>
      <c r="H2045" s="75"/>
      <c r="I2045" s="75"/>
      <c r="J2045" s="166"/>
      <c r="K2045" s="166"/>
      <c r="R2045" s="163"/>
      <c r="S2045" s="163"/>
    </row>
    <row r="2046">
      <c r="A2046" s="148"/>
      <c r="B2046" s="75"/>
      <c r="C2046" s="75"/>
      <c r="D2046" s="75"/>
      <c r="E2046" s="75"/>
      <c r="F2046" s="75"/>
      <c r="G2046" s="75"/>
      <c r="H2046" s="75"/>
      <c r="I2046" s="75"/>
      <c r="J2046" s="166"/>
      <c r="K2046" s="166"/>
      <c r="R2046" s="163"/>
      <c r="S2046" s="163"/>
    </row>
    <row r="2047">
      <c r="A2047" s="148"/>
      <c r="B2047" s="75"/>
      <c r="C2047" s="75"/>
      <c r="D2047" s="75"/>
      <c r="E2047" s="75"/>
      <c r="F2047" s="75"/>
      <c r="G2047" s="75"/>
      <c r="H2047" s="75"/>
      <c r="I2047" s="75"/>
      <c r="J2047" s="166"/>
      <c r="K2047" s="166"/>
      <c r="R2047" s="163"/>
      <c r="S2047" s="163"/>
    </row>
    <row r="2048">
      <c r="A2048" s="148"/>
      <c r="B2048" s="75"/>
      <c r="C2048" s="75"/>
      <c r="D2048" s="75"/>
      <c r="E2048" s="75"/>
      <c r="F2048" s="75"/>
      <c r="G2048" s="75"/>
      <c r="H2048" s="75"/>
      <c r="I2048" s="75"/>
      <c r="J2048" s="166"/>
      <c r="K2048" s="166"/>
      <c r="R2048" s="163"/>
      <c r="S2048" s="163"/>
    </row>
    <row r="2049">
      <c r="A2049" s="148"/>
      <c r="B2049" s="75"/>
      <c r="C2049" s="75"/>
      <c r="D2049" s="75"/>
      <c r="E2049" s="75"/>
      <c r="F2049" s="75"/>
      <c r="G2049" s="75"/>
      <c r="H2049" s="75"/>
      <c r="I2049" s="75"/>
      <c r="J2049" s="166"/>
      <c r="K2049" s="166"/>
      <c r="R2049" s="163"/>
      <c r="S2049" s="163"/>
    </row>
    <row r="2050">
      <c r="A2050" s="148"/>
      <c r="B2050" s="75"/>
      <c r="C2050" s="75"/>
      <c r="D2050" s="75"/>
      <c r="E2050" s="75"/>
      <c r="F2050" s="75"/>
      <c r="G2050" s="75"/>
      <c r="H2050" s="75"/>
      <c r="I2050" s="75"/>
      <c r="J2050" s="166"/>
      <c r="K2050" s="166"/>
      <c r="R2050" s="163"/>
      <c r="S2050" s="163"/>
    </row>
    <row r="2051">
      <c r="A2051" s="148"/>
      <c r="B2051" s="75"/>
      <c r="C2051" s="75"/>
      <c r="D2051" s="75"/>
      <c r="E2051" s="75"/>
      <c r="F2051" s="75"/>
      <c r="G2051" s="75"/>
      <c r="H2051" s="75"/>
      <c r="I2051" s="75"/>
      <c r="J2051" s="166"/>
      <c r="K2051" s="166"/>
      <c r="R2051" s="163"/>
      <c r="S2051" s="163"/>
    </row>
    <row r="2052">
      <c r="A2052" s="148"/>
      <c r="B2052" s="75"/>
      <c r="C2052" s="75"/>
      <c r="D2052" s="75"/>
      <c r="E2052" s="75"/>
      <c r="F2052" s="75"/>
      <c r="G2052" s="75"/>
      <c r="H2052" s="75"/>
      <c r="I2052" s="75"/>
      <c r="J2052" s="166"/>
      <c r="K2052" s="166"/>
      <c r="R2052" s="173"/>
      <c r="S2052" s="173"/>
    </row>
    <row r="2053">
      <c r="A2053" s="148"/>
      <c r="B2053" s="75"/>
      <c r="C2053" s="75"/>
      <c r="D2053" s="75"/>
      <c r="E2053" s="75"/>
      <c r="F2053" s="75"/>
      <c r="G2053" s="75"/>
      <c r="H2053" s="75"/>
      <c r="I2053" s="75"/>
      <c r="J2053" s="166"/>
      <c r="K2053" s="166"/>
      <c r="R2053" s="157"/>
      <c r="S2053" s="157"/>
    </row>
    <row r="2054">
      <c r="A2054" s="148"/>
      <c r="B2054" s="75"/>
      <c r="C2054" s="75"/>
      <c r="D2054" s="75"/>
      <c r="E2054" s="75"/>
      <c r="F2054" s="75"/>
      <c r="G2054" s="75"/>
      <c r="H2054" s="75"/>
      <c r="I2054" s="75"/>
      <c r="J2054" s="166"/>
      <c r="K2054" s="166"/>
      <c r="R2054" s="163"/>
      <c r="S2054" s="163"/>
    </row>
    <row r="2055">
      <c r="A2055" s="148"/>
      <c r="B2055" s="75"/>
      <c r="C2055" s="75"/>
      <c r="D2055" s="75"/>
      <c r="E2055" s="75"/>
      <c r="F2055" s="75"/>
      <c r="G2055" s="75"/>
      <c r="H2055" s="75"/>
      <c r="I2055" s="75"/>
      <c r="J2055" s="166"/>
      <c r="K2055" s="166"/>
      <c r="R2055" s="163"/>
      <c r="S2055" s="163"/>
    </row>
    <row r="2056">
      <c r="A2056" s="148"/>
      <c r="B2056" s="75"/>
      <c r="C2056" s="75"/>
      <c r="D2056" s="75"/>
      <c r="E2056" s="75"/>
      <c r="F2056" s="75"/>
      <c r="G2056" s="75"/>
      <c r="H2056" s="75"/>
      <c r="I2056" s="75"/>
      <c r="J2056" s="166"/>
      <c r="K2056" s="166"/>
      <c r="R2056" s="163"/>
      <c r="S2056" s="163"/>
    </row>
    <row r="2057">
      <c r="A2057" s="148"/>
      <c r="B2057" s="75"/>
      <c r="C2057" s="75"/>
      <c r="D2057" s="75"/>
      <c r="E2057" s="75"/>
      <c r="F2057" s="75"/>
      <c r="G2057" s="75"/>
      <c r="H2057" s="75"/>
      <c r="I2057" s="75"/>
      <c r="J2057" s="166"/>
      <c r="K2057" s="166"/>
      <c r="R2057" s="163"/>
      <c r="S2057" s="163"/>
    </row>
    <row r="2058">
      <c r="A2058" s="148"/>
      <c r="B2058" s="75"/>
      <c r="C2058" s="75"/>
      <c r="D2058" s="75"/>
      <c r="E2058" s="75"/>
      <c r="F2058" s="75"/>
      <c r="G2058" s="75"/>
      <c r="H2058" s="75"/>
      <c r="I2058" s="75"/>
      <c r="J2058" s="166"/>
      <c r="K2058" s="166"/>
      <c r="R2058" s="163"/>
      <c r="S2058" s="163"/>
    </row>
    <row r="2059">
      <c r="A2059" s="148"/>
      <c r="B2059" s="75"/>
      <c r="C2059" s="75"/>
      <c r="D2059" s="75"/>
      <c r="E2059" s="75"/>
      <c r="F2059" s="75"/>
      <c r="G2059" s="75"/>
      <c r="H2059" s="75"/>
      <c r="I2059" s="75"/>
      <c r="J2059" s="166"/>
      <c r="K2059" s="166"/>
      <c r="R2059" s="163"/>
      <c r="S2059" s="163"/>
    </row>
    <row r="2060">
      <c r="A2060" s="148"/>
      <c r="B2060" s="75"/>
      <c r="C2060" s="75"/>
      <c r="D2060" s="75"/>
      <c r="E2060" s="75"/>
      <c r="F2060" s="75"/>
      <c r="G2060" s="75"/>
      <c r="H2060" s="75"/>
      <c r="I2060" s="75"/>
      <c r="J2060" s="166"/>
      <c r="K2060" s="166"/>
      <c r="R2060" s="163"/>
      <c r="S2060" s="163"/>
    </row>
    <row r="2061">
      <c r="A2061" s="148"/>
      <c r="B2061" s="75"/>
      <c r="C2061" s="75"/>
      <c r="D2061" s="75"/>
      <c r="E2061" s="75"/>
      <c r="F2061" s="75"/>
      <c r="G2061" s="75"/>
      <c r="H2061" s="75"/>
      <c r="I2061" s="75"/>
      <c r="J2061" s="166"/>
      <c r="K2061" s="166"/>
      <c r="R2061" s="163"/>
      <c r="S2061" s="163"/>
    </row>
    <row r="2062">
      <c r="A2062" s="148"/>
      <c r="B2062" s="75"/>
      <c r="C2062" s="75"/>
      <c r="D2062" s="75"/>
      <c r="E2062" s="75"/>
      <c r="F2062" s="75"/>
      <c r="G2062" s="75"/>
      <c r="H2062" s="75"/>
      <c r="I2062" s="75"/>
      <c r="J2062" s="166"/>
      <c r="K2062" s="166"/>
      <c r="R2062" s="163"/>
      <c r="S2062" s="163"/>
    </row>
    <row r="2063">
      <c r="A2063" s="148"/>
      <c r="B2063" s="75"/>
      <c r="C2063" s="75"/>
      <c r="D2063" s="75"/>
      <c r="E2063" s="75"/>
      <c r="F2063" s="75"/>
      <c r="G2063" s="75"/>
      <c r="H2063" s="75"/>
      <c r="I2063" s="75"/>
      <c r="J2063" s="166"/>
      <c r="K2063" s="166"/>
      <c r="R2063" s="163"/>
      <c r="S2063" s="163"/>
    </row>
    <row r="2064">
      <c r="A2064" s="148"/>
      <c r="B2064" s="75"/>
      <c r="C2064" s="75"/>
      <c r="D2064" s="75"/>
      <c r="E2064" s="75"/>
      <c r="F2064" s="75"/>
      <c r="G2064" s="75"/>
      <c r="H2064" s="75"/>
      <c r="I2064" s="75"/>
      <c r="J2064" s="166"/>
      <c r="K2064" s="166"/>
      <c r="R2064" s="173"/>
      <c r="S2064" s="173"/>
    </row>
    <row r="2065">
      <c r="A2065" s="148"/>
      <c r="B2065" s="75"/>
      <c r="C2065" s="75"/>
      <c r="D2065" s="75"/>
      <c r="E2065" s="75"/>
      <c r="F2065" s="75"/>
      <c r="G2065" s="75"/>
      <c r="H2065" s="75"/>
      <c r="I2065" s="75"/>
      <c r="J2065" s="166"/>
      <c r="K2065" s="166"/>
      <c r="R2065" s="157"/>
      <c r="S2065" s="157"/>
    </row>
    <row r="2066">
      <c r="A2066" s="148"/>
      <c r="B2066" s="75"/>
      <c r="C2066" s="75"/>
      <c r="D2066" s="75"/>
      <c r="E2066" s="75"/>
      <c r="F2066" s="75"/>
      <c r="G2066" s="75"/>
      <c r="H2066" s="75"/>
      <c r="I2066" s="75"/>
      <c r="J2066" s="166"/>
      <c r="K2066" s="166"/>
      <c r="R2066" s="163"/>
      <c r="S2066" s="163"/>
    </row>
    <row r="2067">
      <c r="A2067" s="148"/>
      <c r="B2067" s="75"/>
      <c r="C2067" s="75"/>
      <c r="D2067" s="75"/>
      <c r="E2067" s="75"/>
      <c r="F2067" s="75"/>
      <c r="G2067" s="75"/>
      <c r="H2067" s="75"/>
      <c r="I2067" s="75"/>
      <c r="J2067" s="166"/>
      <c r="K2067" s="166"/>
      <c r="R2067" s="163"/>
      <c r="S2067" s="163"/>
    </row>
    <row r="2068">
      <c r="A2068" s="148"/>
      <c r="B2068" s="75"/>
      <c r="C2068" s="75"/>
      <c r="D2068" s="75"/>
      <c r="E2068" s="75"/>
      <c r="F2068" s="75"/>
      <c r="G2068" s="75"/>
      <c r="H2068" s="75"/>
      <c r="I2068" s="75"/>
      <c r="J2068" s="166"/>
      <c r="K2068" s="166"/>
      <c r="R2068" s="163"/>
      <c r="S2068" s="163"/>
    </row>
    <row r="2069">
      <c r="A2069" s="148"/>
      <c r="B2069" s="75"/>
      <c r="C2069" s="75"/>
      <c r="D2069" s="75"/>
      <c r="E2069" s="75"/>
      <c r="F2069" s="75"/>
      <c r="G2069" s="75"/>
      <c r="H2069" s="75"/>
      <c r="I2069" s="75"/>
      <c r="J2069" s="166"/>
      <c r="K2069" s="166"/>
      <c r="R2069" s="163"/>
      <c r="S2069" s="163"/>
    </row>
    <row r="2070">
      <c r="A2070" s="148"/>
      <c r="B2070" s="75"/>
      <c r="C2070" s="75"/>
      <c r="D2070" s="75"/>
      <c r="E2070" s="75"/>
      <c r="F2070" s="75"/>
      <c r="G2070" s="75"/>
      <c r="H2070" s="75"/>
      <c r="I2070" s="75"/>
      <c r="J2070" s="166"/>
      <c r="K2070" s="166"/>
      <c r="R2070" s="163"/>
      <c r="S2070" s="163"/>
    </row>
    <row r="2071">
      <c r="A2071" s="148"/>
      <c r="B2071" s="75"/>
      <c r="C2071" s="75"/>
      <c r="D2071" s="75"/>
      <c r="E2071" s="75"/>
      <c r="F2071" s="75"/>
      <c r="G2071" s="75"/>
      <c r="H2071" s="75"/>
      <c r="I2071" s="75"/>
      <c r="J2071" s="166"/>
      <c r="K2071" s="166"/>
      <c r="R2071" s="163"/>
      <c r="S2071" s="163"/>
    </row>
    <row r="2072">
      <c r="A2072" s="148"/>
      <c r="B2072" s="75"/>
      <c r="C2072" s="75"/>
      <c r="D2072" s="75"/>
      <c r="E2072" s="75"/>
      <c r="F2072" s="75"/>
      <c r="G2072" s="75"/>
      <c r="H2072" s="75"/>
      <c r="I2072" s="75"/>
      <c r="J2072" s="166"/>
      <c r="K2072" s="166"/>
      <c r="R2072" s="163"/>
      <c r="S2072" s="163"/>
    </row>
    <row r="2073">
      <c r="A2073" s="148"/>
      <c r="B2073" s="75"/>
      <c r="C2073" s="75"/>
      <c r="D2073" s="75"/>
      <c r="E2073" s="75"/>
      <c r="F2073" s="75"/>
      <c r="G2073" s="75"/>
      <c r="H2073" s="75"/>
      <c r="I2073" s="75"/>
      <c r="J2073" s="166"/>
      <c r="K2073" s="166"/>
      <c r="R2073" s="163"/>
      <c r="S2073" s="163"/>
    </row>
    <row r="2074">
      <c r="A2074" s="148"/>
      <c r="B2074" s="75"/>
      <c r="C2074" s="75"/>
      <c r="D2074" s="75"/>
      <c r="E2074" s="75"/>
      <c r="F2074" s="75"/>
      <c r="G2074" s="75"/>
      <c r="H2074" s="75"/>
      <c r="I2074" s="75"/>
      <c r="J2074" s="166"/>
      <c r="K2074" s="166"/>
      <c r="R2074" s="163"/>
      <c r="S2074" s="163"/>
    </row>
    <row r="2075">
      <c r="A2075" s="148"/>
      <c r="B2075" s="75"/>
      <c r="C2075" s="75"/>
      <c r="D2075" s="75"/>
      <c r="E2075" s="75"/>
      <c r="F2075" s="75"/>
      <c r="G2075" s="75"/>
      <c r="H2075" s="75"/>
      <c r="I2075" s="75"/>
      <c r="J2075" s="166"/>
      <c r="K2075" s="166"/>
      <c r="R2075" s="163"/>
      <c r="S2075" s="163"/>
    </row>
    <row r="2076">
      <c r="A2076" s="148"/>
      <c r="B2076" s="75"/>
      <c r="C2076" s="75"/>
      <c r="D2076" s="75"/>
      <c r="E2076" s="75"/>
      <c r="F2076" s="75"/>
      <c r="G2076" s="75"/>
      <c r="H2076" s="75"/>
      <c r="I2076" s="75"/>
      <c r="J2076" s="166"/>
      <c r="K2076" s="166"/>
      <c r="R2076" s="173"/>
      <c r="S2076" s="173"/>
    </row>
    <row r="2077">
      <c r="A2077" s="148"/>
      <c r="B2077" s="75"/>
      <c r="C2077" s="75"/>
      <c r="D2077" s="75"/>
      <c r="E2077" s="75"/>
      <c r="F2077" s="75"/>
      <c r="G2077" s="75"/>
      <c r="H2077" s="75"/>
      <c r="I2077" s="75"/>
      <c r="J2077" s="166"/>
      <c r="K2077" s="166"/>
      <c r="R2077" s="157"/>
      <c r="S2077" s="157"/>
    </row>
    <row r="2078">
      <c r="A2078" s="148"/>
      <c r="B2078" s="75"/>
      <c r="C2078" s="75"/>
      <c r="D2078" s="75"/>
      <c r="E2078" s="75"/>
      <c r="F2078" s="75"/>
      <c r="G2078" s="75"/>
      <c r="H2078" s="75"/>
      <c r="I2078" s="75"/>
      <c r="J2078" s="166"/>
      <c r="K2078" s="166"/>
      <c r="R2078" s="163"/>
      <c r="S2078" s="163"/>
    </row>
    <row r="2079">
      <c r="A2079" s="148"/>
      <c r="B2079" s="75"/>
      <c r="C2079" s="75"/>
      <c r="D2079" s="75"/>
      <c r="E2079" s="75"/>
      <c r="F2079" s="75"/>
      <c r="G2079" s="75"/>
      <c r="H2079" s="75"/>
      <c r="I2079" s="75"/>
      <c r="J2079" s="166"/>
      <c r="K2079" s="166"/>
      <c r="R2079" s="163"/>
      <c r="S2079" s="163"/>
    </row>
    <row r="2080">
      <c r="A2080" s="148"/>
      <c r="B2080" s="75"/>
      <c r="C2080" s="75"/>
      <c r="D2080" s="75"/>
      <c r="E2080" s="75"/>
      <c r="F2080" s="75"/>
      <c r="G2080" s="75"/>
      <c r="H2080" s="75"/>
      <c r="I2080" s="75"/>
      <c r="J2080" s="166"/>
      <c r="K2080" s="166"/>
      <c r="R2080" s="163"/>
      <c r="S2080" s="163"/>
    </row>
    <row r="2081">
      <c r="A2081" s="148"/>
      <c r="B2081" s="75"/>
      <c r="C2081" s="75"/>
      <c r="D2081" s="75"/>
      <c r="E2081" s="75"/>
      <c r="F2081" s="75"/>
      <c r="G2081" s="75"/>
      <c r="H2081" s="75"/>
      <c r="I2081" s="75"/>
      <c r="J2081" s="166"/>
      <c r="K2081" s="166"/>
      <c r="R2081" s="163"/>
      <c r="S2081" s="163"/>
    </row>
    <row r="2082">
      <c r="A2082" s="148"/>
      <c r="B2082" s="75"/>
      <c r="C2082" s="75"/>
      <c r="D2082" s="75"/>
      <c r="E2082" s="75"/>
      <c r="F2082" s="75"/>
      <c r="G2082" s="75"/>
      <c r="H2082" s="75"/>
      <c r="I2082" s="75"/>
      <c r="J2082" s="166"/>
      <c r="K2082" s="166"/>
      <c r="R2082" s="163"/>
      <c r="S2082" s="163"/>
    </row>
    <row r="2083">
      <c r="A2083" s="148"/>
      <c r="B2083" s="75"/>
      <c r="C2083" s="75"/>
      <c r="D2083" s="75"/>
      <c r="E2083" s="75"/>
      <c r="F2083" s="75"/>
      <c r="G2083" s="75"/>
      <c r="H2083" s="75"/>
      <c r="I2083" s="75"/>
      <c r="J2083" s="166"/>
      <c r="K2083" s="166"/>
      <c r="R2083" s="163"/>
      <c r="S2083" s="163"/>
    </row>
    <row r="2084">
      <c r="A2084" s="148"/>
      <c r="B2084" s="75"/>
      <c r="C2084" s="75"/>
      <c r="D2084" s="75"/>
      <c r="E2084" s="75"/>
      <c r="F2084" s="75"/>
      <c r="G2084" s="75"/>
      <c r="H2084" s="75"/>
      <c r="I2084" s="75"/>
      <c r="J2084" s="166"/>
      <c r="K2084" s="166"/>
      <c r="R2084" s="163"/>
      <c r="S2084" s="163"/>
    </row>
    <row r="2085">
      <c r="A2085" s="148"/>
      <c r="B2085" s="75"/>
      <c r="C2085" s="75"/>
      <c r="D2085" s="75"/>
      <c r="E2085" s="75"/>
      <c r="F2085" s="75"/>
      <c r="G2085" s="75"/>
      <c r="H2085" s="75"/>
      <c r="I2085" s="75"/>
      <c r="J2085" s="166"/>
      <c r="K2085" s="166"/>
      <c r="R2085" s="163"/>
      <c r="S2085" s="163"/>
    </row>
    <row r="2086">
      <c r="A2086" s="148"/>
      <c r="B2086" s="75"/>
      <c r="C2086" s="75"/>
      <c r="D2086" s="75"/>
      <c r="E2086" s="75"/>
      <c r="F2086" s="75"/>
      <c r="G2086" s="75"/>
      <c r="H2086" s="75"/>
      <c r="I2086" s="75"/>
      <c r="J2086" s="166"/>
      <c r="K2086" s="166"/>
      <c r="R2086" s="163"/>
      <c r="S2086" s="163"/>
    </row>
    <row r="2087">
      <c r="A2087" s="148"/>
      <c r="B2087" s="75"/>
      <c r="C2087" s="75"/>
      <c r="D2087" s="75"/>
      <c r="E2087" s="75"/>
      <c r="F2087" s="75"/>
      <c r="G2087" s="75"/>
      <c r="H2087" s="75"/>
      <c r="I2087" s="75"/>
      <c r="J2087" s="166"/>
      <c r="K2087" s="166"/>
      <c r="R2087" s="163"/>
      <c r="S2087" s="163"/>
    </row>
    <row r="2088">
      <c r="A2088" s="148"/>
      <c r="B2088" s="75"/>
      <c r="C2088" s="75"/>
      <c r="D2088" s="75"/>
      <c r="E2088" s="75"/>
      <c r="F2088" s="75"/>
      <c r="G2088" s="75"/>
      <c r="H2088" s="75"/>
      <c r="I2088" s="75"/>
      <c r="J2088" s="166"/>
      <c r="K2088" s="166"/>
      <c r="R2088" s="173"/>
      <c r="S2088" s="173"/>
    </row>
    <row r="2089">
      <c r="A2089" s="148"/>
      <c r="B2089" s="75"/>
      <c r="C2089" s="75"/>
      <c r="D2089" s="75"/>
      <c r="E2089" s="75"/>
      <c r="F2089" s="75"/>
      <c r="G2089" s="75"/>
      <c r="H2089" s="75"/>
      <c r="I2089" s="75"/>
      <c r="J2089" s="166"/>
      <c r="K2089" s="166"/>
      <c r="R2089" s="157"/>
      <c r="S2089" s="157"/>
    </row>
    <row r="2090">
      <c r="A2090" s="148"/>
      <c r="B2090" s="75"/>
      <c r="C2090" s="75"/>
      <c r="D2090" s="75"/>
      <c r="E2090" s="75"/>
      <c r="F2090" s="75"/>
      <c r="G2090" s="75"/>
      <c r="H2090" s="75"/>
      <c r="I2090" s="75"/>
      <c r="J2090" s="166"/>
      <c r="K2090" s="166"/>
      <c r="R2090" s="163"/>
      <c r="S2090" s="163"/>
    </row>
    <row r="2091">
      <c r="A2091" s="148"/>
      <c r="B2091" s="75"/>
      <c r="C2091" s="75"/>
      <c r="D2091" s="75"/>
      <c r="E2091" s="75"/>
      <c r="F2091" s="75"/>
      <c r="G2091" s="75"/>
      <c r="H2091" s="75"/>
      <c r="I2091" s="75"/>
      <c r="J2091" s="166"/>
      <c r="K2091" s="166"/>
      <c r="R2091" s="163"/>
      <c r="S2091" s="163"/>
    </row>
    <row r="2092">
      <c r="A2092" s="148"/>
      <c r="B2092" s="75"/>
      <c r="C2092" s="75"/>
      <c r="D2092" s="75"/>
      <c r="E2092" s="75"/>
      <c r="F2092" s="75"/>
      <c r="G2092" s="75"/>
      <c r="H2092" s="75"/>
      <c r="I2092" s="75"/>
      <c r="J2092" s="166"/>
      <c r="K2092" s="166"/>
      <c r="R2092" s="163"/>
      <c r="S2092" s="163"/>
    </row>
    <row r="2093">
      <c r="A2093" s="148"/>
      <c r="B2093" s="75"/>
      <c r="C2093" s="75"/>
      <c r="D2093" s="75"/>
      <c r="E2093" s="75"/>
      <c r="F2093" s="75"/>
      <c r="G2093" s="75"/>
      <c r="H2093" s="75"/>
      <c r="I2093" s="75"/>
      <c r="J2093" s="166"/>
      <c r="K2093" s="166"/>
      <c r="R2093" s="163"/>
      <c r="S2093" s="163"/>
    </row>
    <row r="2094">
      <c r="A2094" s="148"/>
      <c r="B2094" s="75"/>
      <c r="C2094" s="75"/>
      <c r="D2094" s="75"/>
      <c r="E2094" s="75"/>
      <c r="F2094" s="75"/>
      <c r="G2094" s="75"/>
      <c r="H2094" s="75"/>
      <c r="I2094" s="75"/>
      <c r="J2094" s="166"/>
      <c r="K2094" s="166"/>
      <c r="R2094" s="163"/>
      <c r="S2094" s="163"/>
    </row>
    <row r="2095">
      <c r="A2095" s="148"/>
      <c r="B2095" s="75"/>
      <c r="C2095" s="75"/>
      <c r="D2095" s="75"/>
      <c r="E2095" s="75"/>
      <c r="F2095" s="75"/>
      <c r="G2095" s="75"/>
      <c r="H2095" s="75"/>
      <c r="I2095" s="75"/>
      <c r="J2095" s="166"/>
      <c r="K2095" s="166"/>
      <c r="R2095" s="163"/>
      <c r="S2095" s="163"/>
    </row>
    <row r="2096">
      <c r="A2096" s="148"/>
      <c r="B2096" s="75"/>
      <c r="C2096" s="75"/>
      <c r="D2096" s="75"/>
      <c r="E2096" s="75"/>
      <c r="F2096" s="75"/>
      <c r="G2096" s="75"/>
      <c r="H2096" s="75"/>
      <c r="I2096" s="75"/>
      <c r="J2096" s="166"/>
      <c r="K2096" s="166"/>
      <c r="R2096" s="163"/>
      <c r="S2096" s="163"/>
    </row>
    <row r="2097">
      <c r="A2097" s="148"/>
      <c r="B2097" s="75"/>
      <c r="C2097" s="75"/>
      <c r="D2097" s="75"/>
      <c r="E2097" s="75"/>
      <c r="F2097" s="75"/>
      <c r="G2097" s="75"/>
      <c r="H2097" s="75"/>
      <c r="I2097" s="75"/>
      <c r="J2097" s="166"/>
      <c r="K2097" s="166"/>
      <c r="R2097" s="163"/>
      <c r="S2097" s="163"/>
    </row>
    <row r="2098">
      <c r="A2098" s="148"/>
      <c r="B2098" s="75"/>
      <c r="C2098" s="75"/>
      <c r="D2098" s="75"/>
      <c r="E2098" s="75"/>
      <c r="F2098" s="75"/>
      <c r="G2098" s="75"/>
      <c r="H2098" s="75"/>
      <c r="I2098" s="75"/>
      <c r="J2098" s="166"/>
      <c r="K2098" s="166"/>
      <c r="R2098" s="163"/>
      <c r="S2098" s="163"/>
    </row>
    <row r="2099">
      <c r="A2099" s="148"/>
      <c r="B2099" s="75"/>
      <c r="C2099" s="75"/>
      <c r="D2099" s="75"/>
      <c r="E2099" s="75"/>
      <c r="F2099" s="75"/>
      <c r="G2099" s="75"/>
      <c r="H2099" s="75"/>
      <c r="I2099" s="75"/>
      <c r="J2099" s="166"/>
      <c r="K2099" s="166"/>
      <c r="R2099" s="163"/>
      <c r="S2099" s="163"/>
    </row>
    <row r="2100">
      <c r="A2100" s="148"/>
      <c r="B2100" s="75"/>
      <c r="C2100" s="75"/>
      <c r="D2100" s="75"/>
      <c r="E2100" s="75"/>
      <c r="F2100" s="75"/>
      <c r="G2100" s="75"/>
      <c r="H2100" s="75"/>
      <c r="I2100" s="75"/>
      <c r="J2100" s="166"/>
      <c r="K2100" s="166"/>
      <c r="R2100" s="173"/>
      <c r="S2100" s="173"/>
    </row>
    <row r="2101">
      <c r="A2101" s="148"/>
      <c r="B2101" s="75"/>
      <c r="C2101" s="75"/>
      <c r="D2101" s="75"/>
      <c r="E2101" s="75"/>
      <c r="F2101" s="75"/>
      <c r="G2101" s="75"/>
      <c r="H2101" s="75"/>
      <c r="I2101" s="75"/>
      <c r="J2101" s="166"/>
      <c r="K2101" s="166"/>
      <c r="R2101" s="157"/>
      <c r="S2101" s="157"/>
    </row>
    <row r="2102">
      <c r="A2102" s="148"/>
      <c r="B2102" s="75"/>
      <c r="C2102" s="75"/>
      <c r="D2102" s="75"/>
      <c r="E2102" s="75"/>
      <c r="F2102" s="75"/>
      <c r="G2102" s="75"/>
      <c r="H2102" s="75"/>
      <c r="I2102" s="75"/>
      <c r="J2102" s="166"/>
      <c r="K2102" s="166"/>
      <c r="R2102" s="163"/>
      <c r="S2102" s="163"/>
    </row>
    <row r="2103">
      <c r="A2103" s="148"/>
      <c r="B2103" s="75"/>
      <c r="C2103" s="75"/>
      <c r="D2103" s="75"/>
      <c r="E2103" s="75"/>
      <c r="F2103" s="75"/>
      <c r="G2103" s="75"/>
      <c r="H2103" s="75"/>
      <c r="I2103" s="75"/>
      <c r="J2103" s="166"/>
      <c r="K2103" s="166"/>
      <c r="R2103" s="163"/>
      <c r="S2103" s="163"/>
    </row>
    <row r="2104">
      <c r="A2104" s="148"/>
      <c r="B2104" s="75"/>
      <c r="C2104" s="75"/>
      <c r="D2104" s="75"/>
      <c r="E2104" s="75"/>
      <c r="F2104" s="75"/>
      <c r="G2104" s="75"/>
      <c r="H2104" s="75"/>
      <c r="I2104" s="75"/>
      <c r="J2104" s="166"/>
      <c r="K2104" s="166"/>
      <c r="R2104" s="163"/>
      <c r="S2104" s="163"/>
    </row>
    <row r="2105">
      <c r="A2105" s="148"/>
      <c r="B2105" s="75"/>
      <c r="C2105" s="75"/>
      <c r="D2105" s="75"/>
      <c r="E2105" s="75"/>
      <c r="F2105" s="75"/>
      <c r="G2105" s="75"/>
      <c r="H2105" s="75"/>
      <c r="I2105" s="75"/>
      <c r="J2105" s="166"/>
      <c r="K2105" s="166"/>
      <c r="R2105" s="163"/>
      <c r="S2105" s="163"/>
    </row>
    <row r="2106">
      <c r="A2106" s="148"/>
      <c r="B2106" s="75"/>
      <c r="C2106" s="75"/>
      <c r="D2106" s="75"/>
      <c r="E2106" s="75"/>
      <c r="F2106" s="75"/>
      <c r="G2106" s="75"/>
      <c r="H2106" s="75"/>
      <c r="I2106" s="75"/>
      <c r="J2106" s="166"/>
      <c r="K2106" s="166"/>
      <c r="R2106" s="163"/>
      <c r="S2106" s="163"/>
    </row>
    <row r="2107">
      <c r="A2107" s="148"/>
      <c r="B2107" s="75"/>
      <c r="C2107" s="75"/>
      <c r="D2107" s="75"/>
      <c r="E2107" s="75"/>
      <c r="F2107" s="75"/>
      <c r="G2107" s="75"/>
      <c r="H2107" s="75"/>
      <c r="I2107" s="75"/>
      <c r="J2107" s="166"/>
      <c r="K2107" s="166"/>
      <c r="R2107" s="163"/>
      <c r="S2107" s="163"/>
    </row>
    <row r="2108">
      <c r="A2108" s="148"/>
      <c r="B2108" s="75"/>
      <c r="C2108" s="75"/>
      <c r="D2108" s="75"/>
      <c r="E2108" s="75"/>
      <c r="F2108" s="75"/>
      <c r="G2108" s="75"/>
      <c r="H2108" s="75"/>
      <c r="I2108" s="75"/>
      <c r="J2108" s="166"/>
      <c r="K2108" s="166"/>
      <c r="R2108" s="163"/>
      <c r="S2108" s="163"/>
    </row>
    <row r="2109">
      <c r="A2109" s="148"/>
      <c r="B2109" s="75"/>
      <c r="C2109" s="75"/>
      <c r="D2109" s="75"/>
      <c r="E2109" s="75"/>
      <c r="F2109" s="75"/>
      <c r="G2109" s="75"/>
      <c r="H2109" s="75"/>
      <c r="I2109" s="75"/>
      <c r="J2109" s="166"/>
      <c r="K2109" s="166"/>
      <c r="R2109" s="163"/>
      <c r="S2109" s="163"/>
    </row>
    <row r="2110">
      <c r="A2110" s="148"/>
      <c r="B2110" s="75"/>
      <c r="C2110" s="75"/>
      <c r="D2110" s="75"/>
      <c r="E2110" s="75"/>
      <c r="F2110" s="75"/>
      <c r="G2110" s="75"/>
      <c r="H2110" s="75"/>
      <c r="I2110" s="75"/>
      <c r="J2110" s="166"/>
      <c r="K2110" s="166"/>
      <c r="R2110" s="163"/>
      <c r="S2110" s="163"/>
    </row>
    <row r="2111">
      <c r="A2111" s="148"/>
      <c r="B2111" s="75"/>
      <c r="C2111" s="75"/>
      <c r="D2111" s="75"/>
      <c r="E2111" s="75"/>
      <c r="F2111" s="75"/>
      <c r="G2111" s="75"/>
      <c r="H2111" s="75"/>
      <c r="I2111" s="75"/>
      <c r="J2111" s="166"/>
      <c r="K2111" s="166"/>
      <c r="R2111" s="163"/>
      <c r="S2111" s="163"/>
    </row>
    <row r="2112">
      <c r="A2112" s="148"/>
      <c r="B2112" s="75"/>
      <c r="C2112" s="75"/>
      <c r="D2112" s="75"/>
      <c r="E2112" s="75"/>
      <c r="F2112" s="75"/>
      <c r="G2112" s="75"/>
      <c r="H2112" s="75"/>
      <c r="I2112" s="75"/>
      <c r="J2112" s="166"/>
      <c r="K2112" s="166"/>
      <c r="R2112" s="173"/>
      <c r="S2112" s="173"/>
    </row>
    <row r="2113">
      <c r="A2113" s="148"/>
      <c r="B2113" s="75"/>
      <c r="C2113" s="75"/>
      <c r="D2113" s="75"/>
      <c r="E2113" s="75"/>
      <c r="F2113" s="75"/>
      <c r="G2113" s="75"/>
      <c r="H2113" s="75"/>
      <c r="I2113" s="75"/>
      <c r="J2113" s="166"/>
      <c r="K2113" s="166"/>
      <c r="R2113" s="157"/>
      <c r="S2113" s="157"/>
    </row>
    <row r="2114">
      <c r="A2114" s="148"/>
      <c r="B2114" s="75"/>
      <c r="C2114" s="75"/>
      <c r="D2114" s="75"/>
      <c r="E2114" s="75"/>
      <c r="F2114" s="75"/>
      <c r="G2114" s="75"/>
      <c r="H2114" s="75"/>
      <c r="I2114" s="75"/>
      <c r="J2114" s="166"/>
      <c r="K2114" s="166"/>
      <c r="R2114" s="163"/>
      <c r="S2114" s="163"/>
    </row>
    <row r="2115">
      <c r="A2115" s="148"/>
      <c r="B2115" s="75"/>
      <c r="C2115" s="75"/>
      <c r="D2115" s="75"/>
      <c r="E2115" s="75"/>
      <c r="F2115" s="75"/>
      <c r="G2115" s="75"/>
      <c r="H2115" s="75"/>
      <c r="I2115" s="75"/>
      <c r="J2115" s="166"/>
      <c r="K2115" s="166"/>
      <c r="R2115" s="163"/>
      <c r="S2115" s="163"/>
    </row>
    <row r="2116">
      <c r="A2116" s="148"/>
      <c r="B2116" s="75"/>
      <c r="C2116" s="75"/>
      <c r="D2116" s="75"/>
      <c r="E2116" s="75"/>
      <c r="F2116" s="75"/>
      <c r="G2116" s="75"/>
      <c r="H2116" s="75"/>
      <c r="I2116" s="75"/>
      <c r="J2116" s="166"/>
      <c r="K2116" s="166"/>
      <c r="R2116" s="163"/>
      <c r="S2116" s="163"/>
    </row>
    <row r="2117">
      <c r="A2117" s="148"/>
      <c r="B2117" s="75"/>
      <c r="C2117" s="75"/>
      <c r="D2117" s="75"/>
      <c r="E2117" s="75"/>
      <c r="F2117" s="75"/>
      <c r="G2117" s="75"/>
      <c r="H2117" s="75"/>
      <c r="I2117" s="75"/>
      <c r="J2117" s="166"/>
      <c r="K2117" s="166"/>
      <c r="R2117" s="163"/>
      <c r="S2117" s="163"/>
    </row>
    <row r="2118">
      <c r="A2118" s="148"/>
      <c r="B2118" s="75"/>
      <c r="C2118" s="75"/>
      <c r="D2118" s="75"/>
      <c r="E2118" s="75"/>
      <c r="F2118" s="75"/>
      <c r="G2118" s="75"/>
      <c r="H2118" s="75"/>
      <c r="I2118" s="75"/>
      <c r="J2118" s="166"/>
      <c r="K2118" s="166"/>
      <c r="R2118" s="163"/>
      <c r="S2118" s="163"/>
    </row>
    <row r="2119">
      <c r="A2119" s="148"/>
      <c r="B2119" s="75"/>
      <c r="C2119" s="75"/>
      <c r="D2119" s="75"/>
      <c r="E2119" s="75"/>
      <c r="F2119" s="75"/>
      <c r="G2119" s="75"/>
      <c r="H2119" s="75"/>
      <c r="I2119" s="75"/>
      <c r="J2119" s="166"/>
      <c r="K2119" s="166"/>
      <c r="R2119" s="163"/>
      <c r="S2119" s="163"/>
    </row>
    <row r="2120">
      <c r="A2120" s="148"/>
      <c r="B2120" s="75"/>
      <c r="C2120" s="75"/>
      <c r="D2120" s="75"/>
      <c r="E2120" s="75"/>
      <c r="F2120" s="75"/>
      <c r="G2120" s="75"/>
      <c r="H2120" s="75"/>
      <c r="I2120" s="75"/>
      <c r="J2120" s="166"/>
      <c r="K2120" s="166"/>
      <c r="R2120" s="163"/>
      <c r="S2120" s="163"/>
    </row>
    <row r="2121">
      <c r="A2121" s="148"/>
      <c r="B2121" s="75"/>
      <c r="C2121" s="75"/>
      <c r="D2121" s="75"/>
      <c r="E2121" s="75"/>
      <c r="F2121" s="75"/>
      <c r="G2121" s="75"/>
      <c r="H2121" s="75"/>
      <c r="I2121" s="75"/>
      <c r="J2121" s="166"/>
      <c r="K2121" s="166"/>
      <c r="R2121" s="163"/>
      <c r="S2121" s="163"/>
    </row>
    <row r="2122">
      <c r="A2122" s="148"/>
      <c r="B2122" s="75"/>
      <c r="C2122" s="75"/>
      <c r="D2122" s="75"/>
      <c r="E2122" s="75"/>
      <c r="F2122" s="75"/>
      <c r="G2122" s="75"/>
      <c r="H2122" s="75"/>
      <c r="I2122" s="75"/>
      <c r="J2122" s="166"/>
      <c r="K2122" s="166"/>
      <c r="R2122" s="163"/>
      <c r="S2122" s="163"/>
    </row>
    <row r="2123">
      <c r="A2123" s="148"/>
      <c r="B2123" s="75"/>
      <c r="C2123" s="75"/>
      <c r="D2123" s="75"/>
      <c r="E2123" s="75"/>
      <c r="F2123" s="75"/>
      <c r="G2123" s="75"/>
      <c r="H2123" s="75"/>
      <c r="I2123" s="75"/>
      <c r="J2123" s="166"/>
      <c r="K2123" s="166"/>
      <c r="R2123" s="163"/>
      <c r="S2123" s="163"/>
    </row>
    <row r="2124">
      <c r="A2124" s="148"/>
      <c r="B2124" s="75"/>
      <c r="C2124" s="75"/>
      <c r="D2124" s="75"/>
      <c r="E2124" s="75"/>
      <c r="F2124" s="75"/>
      <c r="G2124" s="75"/>
      <c r="H2124" s="75"/>
      <c r="I2124" s="75"/>
      <c r="J2124" s="166"/>
      <c r="K2124" s="166"/>
      <c r="R2124" s="173"/>
      <c r="S2124" s="173"/>
    </row>
    <row r="2125">
      <c r="A2125" s="148"/>
      <c r="B2125" s="75"/>
      <c r="C2125" s="75"/>
      <c r="D2125" s="75"/>
      <c r="E2125" s="75"/>
      <c r="F2125" s="75"/>
      <c r="G2125" s="75"/>
      <c r="H2125" s="75"/>
      <c r="I2125" s="75"/>
      <c r="J2125" s="166"/>
      <c r="K2125" s="166"/>
      <c r="R2125" s="157"/>
      <c r="S2125" s="157"/>
    </row>
    <row r="2126">
      <c r="A2126" s="148"/>
      <c r="B2126" s="75"/>
      <c r="C2126" s="75"/>
      <c r="D2126" s="75"/>
      <c r="E2126" s="75"/>
      <c r="F2126" s="75"/>
      <c r="G2126" s="75"/>
      <c r="H2126" s="75"/>
      <c r="I2126" s="75"/>
      <c r="J2126" s="166"/>
      <c r="K2126" s="166"/>
      <c r="R2126" s="163"/>
      <c r="S2126" s="163"/>
    </row>
    <row r="2127">
      <c r="A2127" s="148"/>
      <c r="B2127" s="75"/>
      <c r="C2127" s="75"/>
      <c r="D2127" s="75"/>
      <c r="E2127" s="75"/>
      <c r="F2127" s="75"/>
      <c r="G2127" s="75"/>
      <c r="H2127" s="75"/>
      <c r="I2127" s="75"/>
      <c r="J2127" s="166"/>
      <c r="K2127" s="166"/>
      <c r="R2127" s="163"/>
      <c r="S2127" s="163"/>
    </row>
    <row r="2128">
      <c r="A2128" s="148"/>
      <c r="B2128" s="75"/>
      <c r="C2128" s="75"/>
      <c r="D2128" s="75"/>
      <c r="E2128" s="75"/>
      <c r="F2128" s="75"/>
      <c r="G2128" s="75"/>
      <c r="H2128" s="75"/>
      <c r="I2128" s="75"/>
      <c r="J2128" s="166"/>
      <c r="K2128" s="166"/>
      <c r="R2128" s="163"/>
      <c r="S2128" s="163"/>
    </row>
    <row r="2129">
      <c r="A2129" s="148"/>
      <c r="B2129" s="75"/>
      <c r="C2129" s="75"/>
      <c r="D2129" s="75"/>
      <c r="E2129" s="75"/>
      <c r="F2129" s="75"/>
      <c r="G2129" s="75"/>
      <c r="H2129" s="75"/>
      <c r="I2129" s="75"/>
      <c r="J2129" s="166"/>
      <c r="K2129" s="166"/>
      <c r="R2129" s="163"/>
      <c r="S2129" s="163"/>
    </row>
    <row r="2130">
      <c r="A2130" s="148"/>
      <c r="B2130" s="75"/>
      <c r="C2130" s="75"/>
      <c r="D2130" s="75"/>
      <c r="E2130" s="75"/>
      <c r="F2130" s="75"/>
      <c r="G2130" s="75"/>
      <c r="H2130" s="75"/>
      <c r="I2130" s="75"/>
      <c r="J2130" s="166"/>
      <c r="K2130" s="166"/>
      <c r="R2130" s="163"/>
      <c r="S2130" s="163"/>
    </row>
    <row r="2131">
      <c r="A2131" s="148"/>
      <c r="B2131" s="75"/>
      <c r="C2131" s="75"/>
      <c r="D2131" s="75"/>
      <c r="E2131" s="75"/>
      <c r="F2131" s="75"/>
      <c r="G2131" s="75"/>
      <c r="H2131" s="75"/>
      <c r="I2131" s="75"/>
      <c r="J2131" s="166"/>
      <c r="K2131" s="166"/>
      <c r="R2131" s="163"/>
      <c r="S2131" s="163"/>
    </row>
    <row r="2132">
      <c r="A2132" s="148"/>
      <c r="B2132" s="75"/>
      <c r="C2132" s="75"/>
      <c r="D2132" s="75"/>
      <c r="E2132" s="75"/>
      <c r="F2132" s="75"/>
      <c r="G2132" s="75"/>
      <c r="H2132" s="75"/>
      <c r="I2132" s="75"/>
      <c r="J2132" s="166"/>
      <c r="K2132" s="166"/>
      <c r="R2132" s="163"/>
      <c r="S2132" s="163"/>
    </row>
    <row r="2133">
      <c r="A2133" s="148"/>
      <c r="B2133" s="75"/>
      <c r="C2133" s="75"/>
      <c r="D2133" s="75"/>
      <c r="E2133" s="75"/>
      <c r="F2133" s="75"/>
      <c r="G2133" s="75"/>
      <c r="H2133" s="75"/>
      <c r="I2133" s="75"/>
      <c r="J2133" s="166"/>
      <c r="K2133" s="166"/>
      <c r="R2133" s="163"/>
      <c r="S2133" s="163"/>
    </row>
    <row r="2134">
      <c r="A2134" s="148"/>
      <c r="B2134" s="75"/>
      <c r="C2134" s="75"/>
      <c r="D2134" s="75"/>
      <c r="E2134" s="75"/>
      <c r="F2134" s="75"/>
      <c r="G2134" s="75"/>
      <c r="H2134" s="75"/>
      <c r="I2134" s="75"/>
      <c r="J2134" s="166"/>
      <c r="K2134" s="166"/>
      <c r="R2134" s="163"/>
      <c r="S2134" s="163"/>
    </row>
    <row r="2135">
      <c r="A2135" s="148"/>
      <c r="B2135" s="75"/>
      <c r="C2135" s="75"/>
      <c r="D2135" s="75"/>
      <c r="E2135" s="75"/>
      <c r="F2135" s="75"/>
      <c r="G2135" s="75"/>
      <c r="H2135" s="75"/>
      <c r="I2135" s="75"/>
      <c r="J2135" s="166"/>
      <c r="K2135" s="166"/>
      <c r="R2135" s="163"/>
      <c r="S2135" s="163"/>
    </row>
    <row r="2136">
      <c r="A2136" s="148"/>
      <c r="B2136" s="75"/>
      <c r="C2136" s="75"/>
      <c r="D2136" s="75"/>
      <c r="E2136" s="75"/>
      <c r="F2136" s="75"/>
      <c r="G2136" s="75"/>
      <c r="H2136" s="75"/>
      <c r="I2136" s="75"/>
      <c r="J2136" s="166"/>
      <c r="K2136" s="166"/>
      <c r="R2136" s="173"/>
      <c r="S2136" s="173"/>
    </row>
    <row r="2137">
      <c r="A2137" s="148"/>
      <c r="B2137" s="75"/>
      <c r="C2137" s="75"/>
      <c r="D2137" s="75"/>
      <c r="E2137" s="75"/>
      <c r="F2137" s="75"/>
      <c r="G2137" s="75"/>
      <c r="H2137" s="75"/>
      <c r="I2137" s="75"/>
      <c r="J2137" s="166"/>
      <c r="K2137" s="166"/>
      <c r="R2137" s="157"/>
      <c r="S2137" s="157"/>
    </row>
    <row r="2138">
      <c r="A2138" s="148"/>
      <c r="B2138" s="75"/>
      <c r="C2138" s="75"/>
      <c r="D2138" s="75"/>
      <c r="E2138" s="75"/>
      <c r="F2138" s="75"/>
      <c r="G2138" s="75"/>
      <c r="H2138" s="75"/>
      <c r="I2138" s="75"/>
      <c r="J2138" s="166"/>
      <c r="K2138" s="166"/>
      <c r="R2138" s="163"/>
      <c r="S2138" s="163"/>
    </row>
    <row r="2139">
      <c r="A2139" s="148"/>
      <c r="B2139" s="75"/>
      <c r="C2139" s="75"/>
      <c r="D2139" s="75"/>
      <c r="E2139" s="75"/>
      <c r="F2139" s="75"/>
      <c r="G2139" s="75"/>
      <c r="H2139" s="75"/>
      <c r="I2139" s="75"/>
      <c r="J2139" s="166"/>
      <c r="K2139" s="166"/>
      <c r="R2139" s="163"/>
      <c r="S2139" s="163"/>
    </row>
    <row r="2140">
      <c r="A2140" s="148"/>
      <c r="B2140" s="75"/>
      <c r="C2140" s="75"/>
      <c r="D2140" s="75"/>
      <c r="E2140" s="75"/>
      <c r="F2140" s="75"/>
      <c r="G2140" s="75"/>
      <c r="H2140" s="75"/>
      <c r="I2140" s="75"/>
      <c r="J2140" s="166"/>
      <c r="K2140" s="166"/>
      <c r="R2140" s="163"/>
      <c r="S2140" s="163"/>
    </row>
    <row r="2141">
      <c r="A2141" s="148"/>
      <c r="B2141" s="75"/>
      <c r="C2141" s="75"/>
      <c r="D2141" s="75"/>
      <c r="E2141" s="75"/>
      <c r="F2141" s="75"/>
      <c r="G2141" s="75"/>
      <c r="H2141" s="75"/>
      <c r="I2141" s="75"/>
      <c r="J2141" s="166"/>
      <c r="K2141" s="166"/>
      <c r="R2141" s="163"/>
      <c r="S2141" s="163"/>
    </row>
    <row r="2142">
      <c r="A2142" s="148"/>
      <c r="B2142" s="75"/>
      <c r="C2142" s="75"/>
      <c r="D2142" s="75"/>
      <c r="E2142" s="75"/>
      <c r="F2142" s="75"/>
      <c r="G2142" s="75"/>
      <c r="H2142" s="75"/>
      <c r="I2142" s="75"/>
      <c r="J2142" s="166"/>
      <c r="K2142" s="166"/>
      <c r="R2142" s="163"/>
      <c r="S2142" s="163"/>
    </row>
    <row r="2143">
      <c r="A2143" s="148"/>
      <c r="B2143" s="75"/>
      <c r="C2143" s="75"/>
      <c r="D2143" s="75"/>
      <c r="E2143" s="75"/>
      <c r="F2143" s="75"/>
      <c r="G2143" s="75"/>
      <c r="H2143" s="75"/>
      <c r="I2143" s="75"/>
      <c r="J2143" s="166"/>
      <c r="K2143" s="166"/>
      <c r="R2143" s="163"/>
      <c r="S2143" s="163"/>
    </row>
    <row r="2144">
      <c r="A2144" s="148"/>
      <c r="B2144" s="75"/>
      <c r="C2144" s="75"/>
      <c r="D2144" s="75"/>
      <c r="E2144" s="75"/>
      <c r="F2144" s="75"/>
      <c r="G2144" s="75"/>
      <c r="H2144" s="75"/>
      <c r="I2144" s="75"/>
      <c r="J2144" s="166"/>
      <c r="K2144" s="166"/>
      <c r="R2144" s="163"/>
      <c r="S2144" s="163"/>
    </row>
    <row r="2145">
      <c r="A2145" s="148"/>
      <c r="B2145" s="75"/>
      <c r="C2145" s="75"/>
      <c r="D2145" s="75"/>
      <c r="E2145" s="75"/>
      <c r="F2145" s="75"/>
      <c r="G2145" s="75"/>
      <c r="H2145" s="75"/>
      <c r="I2145" s="75"/>
      <c r="J2145" s="166"/>
      <c r="K2145" s="166"/>
      <c r="R2145" s="163"/>
      <c r="S2145" s="163"/>
    </row>
    <row r="2146">
      <c r="A2146" s="148"/>
      <c r="B2146" s="75"/>
      <c r="C2146" s="75"/>
      <c r="D2146" s="75"/>
      <c r="E2146" s="75"/>
      <c r="F2146" s="75"/>
      <c r="G2146" s="75"/>
      <c r="H2146" s="75"/>
      <c r="I2146" s="75"/>
      <c r="J2146" s="166"/>
      <c r="K2146" s="166"/>
      <c r="R2146" s="163"/>
      <c r="S2146" s="163"/>
    </row>
    <row r="2147">
      <c r="A2147" s="148"/>
      <c r="B2147" s="75"/>
      <c r="C2147" s="75"/>
      <c r="D2147" s="75"/>
      <c r="E2147" s="75"/>
      <c r="F2147" s="75"/>
      <c r="G2147" s="75"/>
      <c r="H2147" s="75"/>
      <c r="I2147" s="75"/>
      <c r="J2147" s="166"/>
      <c r="K2147" s="166"/>
      <c r="R2147" s="163"/>
      <c r="S2147" s="163"/>
    </row>
    <row r="2148">
      <c r="A2148" s="148"/>
      <c r="B2148" s="75"/>
      <c r="C2148" s="75"/>
      <c r="D2148" s="75"/>
      <c r="E2148" s="75"/>
      <c r="F2148" s="75"/>
      <c r="G2148" s="75"/>
      <c r="H2148" s="75"/>
      <c r="I2148" s="75"/>
      <c r="J2148" s="166"/>
      <c r="K2148" s="166"/>
      <c r="R2148" s="173"/>
      <c r="S2148" s="173"/>
    </row>
    <row r="2149">
      <c r="A2149" s="148"/>
      <c r="B2149" s="75"/>
      <c r="C2149" s="75"/>
      <c r="D2149" s="75"/>
      <c r="E2149" s="75"/>
      <c r="F2149" s="75"/>
      <c r="G2149" s="75"/>
      <c r="H2149" s="75"/>
      <c r="I2149" s="75"/>
      <c r="J2149" s="166"/>
      <c r="K2149" s="166"/>
      <c r="R2149" s="157"/>
      <c r="S2149" s="157"/>
    </row>
    <row r="2150">
      <c r="A2150" s="148"/>
      <c r="B2150" s="75"/>
      <c r="C2150" s="75"/>
      <c r="D2150" s="75"/>
      <c r="E2150" s="75"/>
      <c r="F2150" s="75"/>
      <c r="G2150" s="75"/>
      <c r="H2150" s="75"/>
      <c r="I2150" s="75"/>
      <c r="J2150" s="166"/>
      <c r="K2150" s="166"/>
      <c r="R2150" s="163"/>
      <c r="S2150" s="163"/>
    </row>
    <row r="2151">
      <c r="A2151" s="148"/>
      <c r="B2151" s="75"/>
      <c r="C2151" s="75"/>
      <c r="D2151" s="75"/>
      <c r="E2151" s="75"/>
      <c r="F2151" s="75"/>
      <c r="G2151" s="75"/>
      <c r="H2151" s="75"/>
      <c r="I2151" s="75"/>
      <c r="J2151" s="166"/>
      <c r="K2151" s="166"/>
      <c r="R2151" s="163"/>
      <c r="S2151" s="163"/>
    </row>
    <row r="2152">
      <c r="A2152" s="148"/>
      <c r="B2152" s="75"/>
      <c r="C2152" s="75"/>
      <c r="D2152" s="75"/>
      <c r="E2152" s="75"/>
      <c r="F2152" s="75"/>
      <c r="G2152" s="75"/>
      <c r="H2152" s="75"/>
      <c r="I2152" s="75"/>
      <c r="J2152" s="166"/>
      <c r="K2152" s="166"/>
      <c r="R2152" s="163"/>
      <c r="S2152" s="163"/>
    </row>
    <row r="2153">
      <c r="A2153" s="148"/>
      <c r="B2153" s="75"/>
      <c r="C2153" s="75"/>
      <c r="D2153" s="75"/>
      <c r="E2153" s="75"/>
      <c r="F2153" s="75"/>
      <c r="G2153" s="75"/>
      <c r="H2153" s="75"/>
      <c r="I2153" s="75"/>
      <c r="J2153" s="166"/>
      <c r="K2153" s="166"/>
      <c r="R2153" s="163"/>
      <c r="S2153" s="163"/>
    </row>
    <row r="2154">
      <c r="A2154" s="148"/>
      <c r="B2154" s="75"/>
      <c r="C2154" s="75"/>
      <c r="D2154" s="75"/>
      <c r="E2154" s="75"/>
      <c r="F2154" s="75"/>
      <c r="G2154" s="75"/>
      <c r="H2154" s="75"/>
      <c r="I2154" s="75"/>
      <c r="J2154" s="166"/>
      <c r="K2154" s="166"/>
      <c r="R2154" s="163"/>
      <c r="S2154" s="163"/>
    </row>
    <row r="2155">
      <c r="A2155" s="148"/>
      <c r="B2155" s="75"/>
      <c r="C2155" s="75"/>
      <c r="D2155" s="75"/>
      <c r="E2155" s="75"/>
      <c r="F2155" s="75"/>
      <c r="G2155" s="75"/>
      <c r="H2155" s="75"/>
      <c r="I2155" s="75"/>
      <c r="J2155" s="166"/>
      <c r="K2155" s="166"/>
      <c r="R2155" s="163"/>
      <c r="S2155" s="163"/>
    </row>
    <row r="2156">
      <c r="A2156" s="148"/>
      <c r="B2156" s="75"/>
      <c r="C2156" s="75"/>
      <c r="D2156" s="75"/>
      <c r="E2156" s="75"/>
      <c r="F2156" s="75"/>
      <c r="G2156" s="75"/>
      <c r="H2156" s="75"/>
      <c r="I2156" s="75"/>
      <c r="J2156" s="166"/>
      <c r="K2156" s="166"/>
      <c r="R2156" s="163"/>
      <c r="S2156" s="163"/>
    </row>
    <row r="2157">
      <c r="A2157" s="148"/>
      <c r="B2157" s="75"/>
      <c r="C2157" s="75"/>
      <c r="D2157" s="75"/>
      <c r="E2157" s="75"/>
      <c r="F2157" s="75"/>
      <c r="G2157" s="75"/>
      <c r="H2157" s="75"/>
      <c r="I2157" s="75"/>
      <c r="J2157" s="166"/>
      <c r="K2157" s="166"/>
      <c r="R2157" s="163"/>
      <c r="S2157" s="163"/>
    </row>
    <row r="2158">
      <c r="A2158" s="148"/>
      <c r="B2158" s="75"/>
      <c r="C2158" s="75"/>
      <c r="D2158" s="75"/>
      <c r="E2158" s="75"/>
      <c r="F2158" s="75"/>
      <c r="G2158" s="75"/>
      <c r="H2158" s="75"/>
      <c r="I2158" s="75"/>
      <c r="J2158" s="166"/>
      <c r="K2158" s="166"/>
      <c r="R2158" s="163"/>
      <c r="S2158" s="163"/>
    </row>
    <row r="2159">
      <c r="A2159" s="148"/>
      <c r="B2159" s="75"/>
      <c r="C2159" s="75"/>
      <c r="D2159" s="75"/>
      <c r="E2159" s="75"/>
      <c r="F2159" s="75"/>
      <c r="G2159" s="75"/>
      <c r="H2159" s="75"/>
      <c r="I2159" s="75"/>
      <c r="J2159" s="166"/>
      <c r="K2159" s="166"/>
      <c r="R2159" s="163"/>
      <c r="S2159" s="163"/>
    </row>
    <row r="2160">
      <c r="A2160" s="148"/>
      <c r="B2160" s="75"/>
      <c r="C2160" s="75"/>
      <c r="D2160" s="75"/>
      <c r="E2160" s="75"/>
      <c r="F2160" s="75"/>
      <c r="G2160" s="75"/>
      <c r="H2160" s="75"/>
      <c r="I2160" s="75"/>
      <c r="J2160" s="166"/>
      <c r="K2160" s="166"/>
      <c r="R2160" s="173"/>
      <c r="S2160" s="173"/>
    </row>
    <row r="2161">
      <c r="A2161" s="148"/>
      <c r="B2161" s="75"/>
      <c r="C2161" s="75"/>
      <c r="D2161" s="75"/>
      <c r="E2161" s="75"/>
      <c r="F2161" s="75"/>
      <c r="G2161" s="75"/>
      <c r="H2161" s="75"/>
      <c r="I2161" s="75"/>
      <c r="J2161" s="166"/>
      <c r="K2161" s="166"/>
      <c r="R2161" s="157"/>
      <c r="S2161" s="157"/>
    </row>
    <row r="2162">
      <c r="A2162" s="148"/>
      <c r="B2162" s="75"/>
      <c r="C2162" s="75"/>
      <c r="D2162" s="75"/>
      <c r="E2162" s="75"/>
      <c r="F2162" s="75"/>
      <c r="G2162" s="75"/>
      <c r="H2162" s="75"/>
      <c r="I2162" s="75"/>
      <c r="J2162" s="166"/>
      <c r="K2162" s="166"/>
      <c r="R2162" s="163"/>
      <c r="S2162" s="163"/>
    </row>
    <row r="2163">
      <c r="A2163" s="148"/>
      <c r="B2163" s="75"/>
      <c r="C2163" s="75"/>
      <c r="D2163" s="75"/>
      <c r="E2163" s="75"/>
      <c r="F2163" s="75"/>
      <c r="G2163" s="75"/>
      <c r="H2163" s="75"/>
      <c r="I2163" s="75"/>
      <c r="J2163" s="166"/>
      <c r="K2163" s="166"/>
      <c r="R2163" s="163"/>
      <c r="S2163" s="163"/>
    </row>
    <row r="2164">
      <c r="A2164" s="148"/>
      <c r="B2164" s="75"/>
      <c r="C2164" s="75"/>
      <c r="D2164" s="75"/>
      <c r="E2164" s="75"/>
      <c r="F2164" s="75"/>
      <c r="G2164" s="75"/>
      <c r="H2164" s="75"/>
      <c r="I2164" s="75"/>
      <c r="J2164" s="166"/>
      <c r="K2164" s="166"/>
      <c r="R2164" s="163"/>
      <c r="S2164" s="163"/>
    </row>
    <row r="2165">
      <c r="A2165" s="148"/>
      <c r="B2165" s="75"/>
      <c r="C2165" s="75"/>
      <c r="D2165" s="75"/>
      <c r="E2165" s="75"/>
      <c r="F2165" s="75"/>
      <c r="G2165" s="75"/>
      <c r="H2165" s="75"/>
      <c r="I2165" s="75"/>
      <c r="J2165" s="166"/>
      <c r="K2165" s="166"/>
      <c r="R2165" s="163"/>
      <c r="S2165" s="163"/>
    </row>
    <row r="2166">
      <c r="A2166" s="148"/>
      <c r="B2166" s="75"/>
      <c r="C2166" s="75"/>
      <c r="D2166" s="75"/>
      <c r="E2166" s="75"/>
      <c r="F2166" s="75"/>
      <c r="G2166" s="75"/>
      <c r="H2166" s="75"/>
      <c r="I2166" s="75"/>
      <c r="J2166" s="166"/>
      <c r="K2166" s="166"/>
      <c r="R2166" s="163"/>
      <c r="S2166" s="163"/>
    </row>
    <row r="2167">
      <c r="A2167" s="148"/>
      <c r="B2167" s="75"/>
      <c r="C2167" s="75"/>
      <c r="D2167" s="75"/>
      <c r="E2167" s="75"/>
      <c r="F2167" s="75"/>
      <c r="G2167" s="75"/>
      <c r="H2167" s="75"/>
      <c r="I2167" s="75"/>
      <c r="J2167" s="166"/>
      <c r="K2167" s="166"/>
      <c r="R2167" s="163"/>
      <c r="S2167" s="163"/>
    </row>
    <row r="2168">
      <c r="A2168" s="148"/>
      <c r="B2168" s="75"/>
      <c r="C2168" s="75"/>
      <c r="D2168" s="75"/>
      <c r="E2168" s="75"/>
      <c r="F2168" s="75"/>
      <c r="G2168" s="75"/>
      <c r="H2168" s="75"/>
      <c r="I2168" s="75"/>
      <c r="J2168" s="166"/>
      <c r="K2168" s="166"/>
      <c r="R2168" s="163"/>
      <c r="S2168" s="163"/>
    </row>
    <row r="2169">
      <c r="A2169" s="148"/>
      <c r="B2169" s="75"/>
      <c r="C2169" s="75"/>
      <c r="D2169" s="75"/>
      <c r="E2169" s="75"/>
      <c r="F2169" s="75"/>
      <c r="G2169" s="75"/>
      <c r="H2169" s="75"/>
      <c r="I2169" s="75"/>
      <c r="J2169" s="166"/>
      <c r="K2169" s="166"/>
      <c r="R2169" s="163"/>
      <c r="S2169" s="163"/>
    </row>
    <row r="2170">
      <c r="A2170" s="148"/>
      <c r="B2170" s="75"/>
      <c r="C2170" s="75"/>
      <c r="D2170" s="75"/>
      <c r="E2170" s="75"/>
      <c r="F2170" s="75"/>
      <c r="G2170" s="75"/>
      <c r="H2170" s="75"/>
      <c r="I2170" s="75"/>
      <c r="J2170" s="166"/>
      <c r="K2170" s="166"/>
      <c r="R2170" s="163"/>
      <c r="S2170" s="163"/>
    </row>
    <row r="2171">
      <c r="A2171" s="148"/>
      <c r="B2171" s="75"/>
      <c r="C2171" s="75"/>
      <c r="D2171" s="75"/>
      <c r="E2171" s="75"/>
      <c r="F2171" s="75"/>
      <c r="G2171" s="75"/>
      <c r="H2171" s="75"/>
      <c r="I2171" s="75"/>
      <c r="J2171" s="166"/>
      <c r="K2171" s="166"/>
      <c r="R2171" s="163"/>
      <c r="S2171" s="163"/>
    </row>
    <row r="2172">
      <c r="A2172" s="148"/>
      <c r="B2172" s="75"/>
      <c r="C2172" s="75"/>
      <c r="D2172" s="75"/>
      <c r="E2172" s="75"/>
      <c r="F2172" s="75"/>
      <c r="G2172" s="75"/>
      <c r="H2172" s="75"/>
      <c r="I2172" s="75"/>
      <c r="J2172" s="166"/>
      <c r="K2172" s="166"/>
      <c r="R2172" s="173"/>
      <c r="S2172" s="173"/>
    </row>
    <row r="2173">
      <c r="A2173" s="148"/>
      <c r="B2173" s="75"/>
      <c r="C2173" s="75"/>
      <c r="D2173" s="75"/>
      <c r="E2173" s="75"/>
      <c r="F2173" s="75"/>
      <c r="G2173" s="75"/>
      <c r="H2173" s="75"/>
      <c r="I2173" s="75"/>
      <c r="J2173" s="166"/>
      <c r="K2173" s="166"/>
      <c r="R2173" s="157"/>
      <c r="S2173" s="157"/>
    </row>
    <row r="2174">
      <c r="A2174" s="148"/>
      <c r="B2174" s="75"/>
      <c r="C2174" s="75"/>
      <c r="D2174" s="75"/>
      <c r="E2174" s="75"/>
      <c r="F2174" s="75"/>
      <c r="G2174" s="75"/>
      <c r="H2174" s="75"/>
      <c r="I2174" s="75"/>
      <c r="J2174" s="166"/>
      <c r="K2174" s="166"/>
      <c r="R2174" s="163"/>
      <c r="S2174" s="163"/>
    </row>
    <row r="2175">
      <c r="A2175" s="148"/>
      <c r="B2175" s="75"/>
      <c r="C2175" s="75"/>
      <c r="D2175" s="75"/>
      <c r="E2175" s="75"/>
      <c r="F2175" s="75"/>
      <c r="G2175" s="75"/>
      <c r="H2175" s="75"/>
      <c r="I2175" s="75"/>
      <c r="J2175" s="166"/>
      <c r="K2175" s="166"/>
      <c r="R2175" s="163"/>
      <c r="S2175" s="163"/>
    </row>
    <row r="2176">
      <c r="A2176" s="148"/>
      <c r="B2176" s="75"/>
      <c r="C2176" s="75"/>
      <c r="D2176" s="75"/>
      <c r="E2176" s="75"/>
      <c r="F2176" s="75"/>
      <c r="G2176" s="75"/>
      <c r="H2176" s="75"/>
      <c r="I2176" s="75"/>
      <c r="J2176" s="166"/>
      <c r="K2176" s="166"/>
      <c r="R2176" s="163"/>
      <c r="S2176" s="163"/>
    </row>
    <row r="2177">
      <c r="A2177" s="148"/>
      <c r="B2177" s="75"/>
      <c r="C2177" s="75"/>
      <c r="D2177" s="75"/>
      <c r="E2177" s="75"/>
      <c r="F2177" s="75"/>
      <c r="G2177" s="75"/>
      <c r="H2177" s="75"/>
      <c r="I2177" s="75"/>
      <c r="J2177" s="166"/>
      <c r="K2177" s="166"/>
      <c r="R2177" s="163"/>
      <c r="S2177" s="163"/>
    </row>
    <row r="2178">
      <c r="A2178" s="148"/>
      <c r="B2178" s="75"/>
      <c r="C2178" s="75"/>
      <c r="D2178" s="75"/>
      <c r="E2178" s="75"/>
      <c r="F2178" s="75"/>
      <c r="G2178" s="75"/>
      <c r="H2178" s="75"/>
      <c r="I2178" s="75"/>
      <c r="J2178" s="166"/>
      <c r="K2178" s="166"/>
      <c r="R2178" s="163"/>
      <c r="S2178" s="163"/>
    </row>
    <row r="2179">
      <c r="A2179" s="148"/>
      <c r="B2179" s="75"/>
      <c r="C2179" s="75"/>
      <c r="D2179" s="75"/>
      <c r="E2179" s="75"/>
      <c r="F2179" s="75"/>
      <c r="G2179" s="75"/>
      <c r="H2179" s="75"/>
      <c r="I2179" s="75"/>
      <c r="J2179" s="166"/>
      <c r="K2179" s="166"/>
      <c r="R2179" s="163"/>
      <c r="S2179" s="163"/>
    </row>
    <row r="2180">
      <c r="A2180" s="148"/>
      <c r="B2180" s="75"/>
      <c r="C2180" s="75"/>
      <c r="D2180" s="75"/>
      <c r="E2180" s="75"/>
      <c r="F2180" s="75"/>
      <c r="G2180" s="75"/>
      <c r="H2180" s="75"/>
      <c r="I2180" s="75"/>
      <c r="J2180" s="166"/>
      <c r="K2180" s="166"/>
      <c r="R2180" s="163"/>
      <c r="S2180" s="163"/>
    </row>
    <row r="2181">
      <c r="A2181" s="148"/>
      <c r="B2181" s="75"/>
      <c r="C2181" s="75"/>
      <c r="D2181" s="75"/>
      <c r="E2181" s="75"/>
      <c r="F2181" s="75"/>
      <c r="G2181" s="75"/>
      <c r="H2181" s="75"/>
      <c r="I2181" s="75"/>
      <c r="J2181" s="166"/>
      <c r="K2181" s="166"/>
      <c r="R2181" s="163"/>
      <c r="S2181" s="163"/>
    </row>
    <row r="2182">
      <c r="A2182" s="148"/>
      <c r="B2182" s="75"/>
      <c r="C2182" s="75"/>
      <c r="D2182" s="75"/>
      <c r="E2182" s="75"/>
      <c r="F2182" s="75"/>
      <c r="G2182" s="75"/>
      <c r="H2182" s="75"/>
      <c r="I2182" s="75"/>
      <c r="J2182" s="166"/>
      <c r="K2182" s="166"/>
      <c r="R2182" s="163"/>
      <c r="S2182" s="163"/>
    </row>
    <row r="2183">
      <c r="A2183" s="148"/>
      <c r="B2183" s="75"/>
      <c r="C2183" s="75"/>
      <c r="D2183" s="75"/>
      <c r="E2183" s="75"/>
      <c r="F2183" s="75"/>
      <c r="G2183" s="75"/>
      <c r="H2183" s="75"/>
      <c r="I2183" s="75"/>
      <c r="J2183" s="166"/>
      <c r="K2183" s="166"/>
      <c r="R2183" s="163"/>
      <c r="S2183" s="163"/>
    </row>
    <row r="2184">
      <c r="A2184" s="148"/>
      <c r="B2184" s="75"/>
      <c r="C2184" s="75"/>
      <c r="D2184" s="75"/>
      <c r="E2184" s="75"/>
      <c r="F2184" s="75"/>
      <c r="G2184" s="75"/>
      <c r="H2184" s="75"/>
      <c r="I2184" s="75"/>
      <c r="J2184" s="166"/>
      <c r="K2184" s="166"/>
      <c r="R2184" s="173"/>
      <c r="S2184" s="173"/>
    </row>
    <row r="2185">
      <c r="A2185" s="148"/>
      <c r="B2185" s="75"/>
      <c r="C2185" s="75"/>
      <c r="D2185" s="75"/>
      <c r="E2185" s="75"/>
      <c r="F2185" s="75"/>
      <c r="G2185" s="75"/>
      <c r="H2185" s="75"/>
      <c r="I2185" s="75"/>
      <c r="J2185" s="166"/>
      <c r="K2185" s="166"/>
      <c r="R2185" s="157"/>
      <c r="S2185" s="157"/>
    </row>
    <row r="2186">
      <c r="A2186" s="148"/>
      <c r="B2186" s="75"/>
      <c r="C2186" s="75"/>
      <c r="D2186" s="75"/>
      <c r="E2186" s="75"/>
      <c r="F2186" s="75"/>
      <c r="G2186" s="75"/>
      <c r="H2186" s="75"/>
      <c r="I2186" s="75"/>
      <c r="J2186" s="166"/>
      <c r="K2186" s="166"/>
      <c r="R2186" s="163"/>
      <c r="S2186" s="163"/>
    </row>
    <row r="2187">
      <c r="A2187" s="148"/>
      <c r="B2187" s="75"/>
      <c r="C2187" s="75"/>
      <c r="D2187" s="75"/>
      <c r="E2187" s="75"/>
      <c r="F2187" s="75"/>
      <c r="G2187" s="75"/>
      <c r="H2187" s="75"/>
      <c r="I2187" s="75"/>
      <c r="J2187" s="166"/>
      <c r="K2187" s="166"/>
      <c r="R2187" s="163"/>
      <c r="S2187" s="163"/>
    </row>
    <row r="2188">
      <c r="A2188" s="148"/>
      <c r="B2188" s="75"/>
      <c r="C2188" s="75"/>
      <c r="D2188" s="75"/>
      <c r="E2188" s="75"/>
      <c r="F2188" s="75"/>
      <c r="G2188" s="75"/>
      <c r="H2188" s="75"/>
      <c r="I2188" s="75"/>
      <c r="J2188" s="166"/>
      <c r="K2188" s="166"/>
      <c r="R2188" s="163"/>
      <c r="S2188" s="163"/>
    </row>
    <row r="2189">
      <c r="A2189" s="148"/>
      <c r="B2189" s="75"/>
      <c r="C2189" s="75"/>
      <c r="D2189" s="75"/>
      <c r="E2189" s="75"/>
      <c r="F2189" s="75"/>
      <c r="G2189" s="75"/>
      <c r="H2189" s="75"/>
      <c r="I2189" s="75"/>
      <c r="J2189" s="166"/>
      <c r="K2189" s="166"/>
      <c r="R2189" s="163"/>
      <c r="S2189" s="163"/>
    </row>
    <row r="2190">
      <c r="A2190" s="148"/>
      <c r="B2190" s="75"/>
      <c r="C2190" s="75"/>
      <c r="D2190" s="75"/>
      <c r="E2190" s="75"/>
      <c r="F2190" s="75"/>
      <c r="G2190" s="75"/>
      <c r="H2190" s="75"/>
      <c r="I2190" s="75"/>
      <c r="J2190" s="166"/>
      <c r="K2190" s="166"/>
      <c r="R2190" s="163"/>
      <c r="S2190" s="163"/>
    </row>
    <row r="2191">
      <c r="A2191" s="148"/>
      <c r="B2191" s="75"/>
      <c r="C2191" s="75"/>
      <c r="D2191" s="75"/>
      <c r="E2191" s="75"/>
      <c r="F2191" s="75"/>
      <c r="G2191" s="75"/>
      <c r="H2191" s="75"/>
      <c r="I2191" s="75"/>
      <c r="J2191" s="166"/>
      <c r="K2191" s="166"/>
      <c r="R2191" s="163"/>
      <c r="S2191" s="163"/>
    </row>
    <row r="2192">
      <c r="A2192" s="148"/>
      <c r="B2192" s="75"/>
      <c r="C2192" s="75"/>
      <c r="D2192" s="75"/>
      <c r="E2192" s="75"/>
      <c r="F2192" s="75"/>
      <c r="G2192" s="75"/>
      <c r="H2192" s="75"/>
      <c r="I2192" s="75"/>
      <c r="J2192" s="166"/>
      <c r="K2192" s="166"/>
      <c r="R2192" s="163"/>
      <c r="S2192" s="163"/>
    </row>
    <row r="2193">
      <c r="A2193" s="148"/>
      <c r="B2193" s="75"/>
      <c r="C2193" s="75"/>
      <c r="D2193" s="75"/>
      <c r="E2193" s="75"/>
      <c r="F2193" s="75"/>
      <c r="G2193" s="75"/>
      <c r="H2193" s="75"/>
      <c r="I2193" s="75"/>
      <c r="J2193" s="166"/>
      <c r="K2193" s="166"/>
      <c r="R2193" s="163"/>
      <c r="S2193" s="163"/>
    </row>
    <row r="2194">
      <c r="A2194" s="148"/>
      <c r="B2194" s="75"/>
      <c r="C2194" s="75"/>
      <c r="D2194" s="75"/>
      <c r="E2194" s="75"/>
      <c r="F2194" s="75"/>
      <c r="G2194" s="75"/>
      <c r="H2194" s="75"/>
      <c r="I2194" s="75"/>
      <c r="J2194" s="166"/>
      <c r="K2194" s="166"/>
      <c r="R2194" s="163"/>
      <c r="S2194" s="163"/>
    </row>
    <row r="2195">
      <c r="A2195" s="148"/>
      <c r="B2195" s="75"/>
      <c r="C2195" s="75"/>
      <c r="D2195" s="75"/>
      <c r="E2195" s="75"/>
      <c r="F2195" s="75"/>
      <c r="G2195" s="75"/>
      <c r="H2195" s="75"/>
      <c r="I2195" s="75"/>
      <c r="J2195" s="166"/>
      <c r="K2195" s="166"/>
      <c r="R2195" s="163"/>
      <c r="S2195" s="163"/>
    </row>
    <row r="2196">
      <c r="A2196" s="148"/>
      <c r="B2196" s="75"/>
      <c r="C2196" s="75"/>
      <c r="D2196" s="75"/>
      <c r="E2196" s="75"/>
      <c r="F2196" s="75"/>
      <c r="G2196" s="75"/>
      <c r="H2196" s="75"/>
      <c r="I2196" s="75"/>
      <c r="J2196" s="166"/>
      <c r="K2196" s="166"/>
      <c r="R2196" s="173"/>
      <c r="S2196" s="173"/>
    </row>
    <row r="2197">
      <c r="A2197" s="148"/>
      <c r="B2197" s="75"/>
      <c r="C2197" s="75"/>
      <c r="D2197" s="75"/>
      <c r="E2197" s="75"/>
      <c r="F2197" s="75"/>
      <c r="G2197" s="75"/>
      <c r="H2197" s="75"/>
      <c r="I2197" s="75"/>
      <c r="J2197" s="166"/>
      <c r="K2197" s="166"/>
      <c r="R2197" s="157"/>
      <c r="S2197" s="157"/>
    </row>
    <row r="2198">
      <c r="A2198" s="148"/>
      <c r="B2198" s="75"/>
      <c r="C2198" s="75"/>
      <c r="D2198" s="75"/>
      <c r="E2198" s="75"/>
      <c r="F2198" s="75"/>
      <c r="G2198" s="75"/>
      <c r="H2198" s="75"/>
      <c r="I2198" s="75"/>
      <c r="J2198" s="166"/>
      <c r="K2198" s="166"/>
      <c r="R2198" s="163"/>
      <c r="S2198" s="163"/>
    </row>
    <row r="2199">
      <c r="A2199" s="148"/>
      <c r="B2199" s="75"/>
      <c r="C2199" s="75"/>
      <c r="D2199" s="75"/>
      <c r="E2199" s="75"/>
      <c r="F2199" s="75"/>
      <c r="G2199" s="75"/>
      <c r="H2199" s="75"/>
      <c r="I2199" s="75"/>
      <c r="J2199" s="166"/>
      <c r="K2199" s="166"/>
      <c r="R2199" s="163"/>
      <c r="S2199" s="163"/>
    </row>
    <row r="2200">
      <c r="A2200" s="148"/>
      <c r="B2200" s="75"/>
      <c r="C2200" s="75"/>
      <c r="D2200" s="75"/>
      <c r="E2200" s="75"/>
      <c r="F2200" s="75"/>
      <c r="G2200" s="75"/>
      <c r="H2200" s="75"/>
      <c r="I2200" s="75"/>
      <c r="J2200" s="166"/>
      <c r="K2200" s="166"/>
      <c r="R2200" s="163"/>
      <c r="S2200" s="163"/>
    </row>
    <row r="2201">
      <c r="A2201" s="148"/>
      <c r="B2201" s="75"/>
      <c r="C2201" s="75"/>
      <c r="D2201" s="75"/>
      <c r="E2201" s="75"/>
      <c r="F2201" s="75"/>
      <c r="G2201" s="75"/>
      <c r="H2201" s="75"/>
      <c r="I2201" s="75"/>
      <c r="J2201" s="166"/>
      <c r="K2201" s="166"/>
      <c r="R2201" s="163"/>
      <c r="S2201" s="163"/>
    </row>
    <row r="2202">
      <c r="A2202" s="148"/>
      <c r="B2202" s="75"/>
      <c r="C2202" s="75"/>
      <c r="D2202" s="75"/>
      <c r="E2202" s="75"/>
      <c r="F2202" s="75"/>
      <c r="G2202" s="75"/>
      <c r="H2202" s="75"/>
      <c r="I2202" s="75"/>
      <c r="J2202" s="166"/>
      <c r="K2202" s="166"/>
      <c r="R2202" s="163"/>
      <c r="S2202" s="163"/>
    </row>
    <row r="2203">
      <c r="A2203" s="148"/>
      <c r="B2203" s="75"/>
      <c r="C2203" s="75"/>
      <c r="D2203" s="75"/>
      <c r="E2203" s="75"/>
      <c r="F2203" s="75"/>
      <c r="G2203" s="75"/>
      <c r="H2203" s="75"/>
      <c r="I2203" s="75"/>
      <c r="J2203" s="166"/>
      <c r="K2203" s="166"/>
      <c r="R2203" s="163"/>
      <c r="S2203" s="163"/>
    </row>
    <row r="2204">
      <c r="A2204" s="148"/>
      <c r="B2204" s="75"/>
      <c r="C2204" s="75"/>
      <c r="D2204" s="75"/>
      <c r="E2204" s="75"/>
      <c r="F2204" s="75"/>
      <c r="G2204" s="75"/>
      <c r="H2204" s="75"/>
      <c r="I2204" s="75"/>
      <c r="J2204" s="166"/>
      <c r="K2204" s="166"/>
      <c r="R2204" s="163"/>
      <c r="S2204" s="163"/>
    </row>
    <row r="2205">
      <c r="A2205" s="148"/>
      <c r="B2205" s="75"/>
      <c r="C2205" s="75"/>
      <c r="D2205" s="75"/>
      <c r="E2205" s="75"/>
      <c r="F2205" s="75"/>
      <c r="G2205" s="75"/>
      <c r="H2205" s="75"/>
      <c r="I2205" s="75"/>
      <c r="J2205" s="166"/>
      <c r="K2205" s="166"/>
      <c r="R2205" s="163"/>
      <c r="S2205" s="163"/>
    </row>
    <row r="2206">
      <c r="A2206" s="148"/>
      <c r="B2206" s="75"/>
      <c r="C2206" s="75"/>
      <c r="D2206" s="75"/>
      <c r="E2206" s="75"/>
      <c r="F2206" s="75"/>
      <c r="G2206" s="75"/>
      <c r="H2206" s="75"/>
      <c r="I2206" s="75"/>
      <c r="J2206" s="166"/>
      <c r="K2206" s="166"/>
      <c r="R2206" s="163"/>
      <c r="S2206" s="163"/>
    </row>
    <row r="2207">
      <c r="A2207" s="148"/>
      <c r="B2207" s="75"/>
      <c r="C2207" s="75"/>
      <c r="D2207" s="75"/>
      <c r="E2207" s="75"/>
      <c r="F2207" s="75"/>
      <c r="G2207" s="75"/>
      <c r="H2207" s="75"/>
      <c r="I2207" s="75"/>
      <c r="J2207" s="166"/>
      <c r="K2207" s="166"/>
      <c r="R2207" s="163"/>
      <c r="S2207" s="163"/>
    </row>
    <row r="2208">
      <c r="A2208" s="148"/>
      <c r="B2208" s="75"/>
      <c r="C2208" s="75"/>
      <c r="D2208" s="75"/>
      <c r="E2208" s="75"/>
      <c r="F2208" s="75"/>
      <c r="G2208" s="75"/>
      <c r="H2208" s="75"/>
      <c r="I2208" s="75"/>
      <c r="J2208" s="166"/>
      <c r="K2208" s="166"/>
      <c r="R2208" s="173"/>
      <c r="S2208" s="173"/>
    </row>
    <row r="2209">
      <c r="A2209" s="148"/>
      <c r="B2209" s="75"/>
      <c r="C2209" s="75"/>
      <c r="D2209" s="75"/>
      <c r="E2209" s="75"/>
      <c r="F2209" s="75"/>
      <c r="G2209" s="75"/>
      <c r="H2209" s="75"/>
      <c r="I2209" s="75"/>
      <c r="J2209" s="166"/>
      <c r="K2209" s="166"/>
      <c r="R2209" s="157"/>
      <c r="S2209" s="157"/>
    </row>
  </sheetData>
  <autoFilter ref="$A$1:$K$1279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2.25"/>
    <col customWidth="1" min="3" max="3" width="9.88"/>
    <col customWidth="1" min="4" max="4" width="11.25"/>
    <col customWidth="1" min="5" max="6" width="12.75"/>
    <col customWidth="1" min="7" max="8" width="11.88"/>
    <col customWidth="1" min="9" max="9" width="10.13"/>
    <col customWidth="1" min="10" max="11" width="31.0"/>
    <col customWidth="1" min="13" max="13" width="17.25"/>
    <col customWidth="1" min="14" max="14" width="20.63"/>
    <col customWidth="1" min="17" max="17" width="16.5"/>
  </cols>
  <sheetData>
    <row r="1">
      <c r="A1" s="143" t="s">
        <v>199</v>
      </c>
      <c r="B1" s="143" t="s">
        <v>209</v>
      </c>
      <c r="C1" s="143" t="s">
        <v>71</v>
      </c>
      <c r="D1" s="143" t="s">
        <v>200</v>
      </c>
      <c r="E1" s="143" t="s">
        <v>201</v>
      </c>
      <c r="F1" s="143" t="s">
        <v>202</v>
      </c>
      <c r="G1" s="143" t="s">
        <v>203</v>
      </c>
      <c r="H1" s="156" t="s">
        <v>204</v>
      </c>
      <c r="I1" s="143" t="s">
        <v>206</v>
      </c>
      <c r="J1" s="151" t="s">
        <v>205</v>
      </c>
      <c r="K1" s="145" t="s">
        <v>207</v>
      </c>
      <c r="R1" s="157"/>
      <c r="S1" s="157" t="s">
        <v>39</v>
      </c>
    </row>
    <row r="2">
      <c r="A2" s="179">
        <v>1.0</v>
      </c>
      <c r="B2" s="180"/>
      <c r="C2" s="180" t="s">
        <v>208</v>
      </c>
      <c r="D2" s="180" t="s">
        <v>208</v>
      </c>
      <c r="E2" s="180" t="s">
        <v>208</v>
      </c>
      <c r="F2" s="180" t="s">
        <v>208</v>
      </c>
      <c r="G2" s="180" t="s">
        <v>208</v>
      </c>
      <c r="H2" s="181"/>
      <c r="I2" s="181"/>
      <c r="J2" s="181"/>
      <c r="K2" s="182" t="s">
        <v>240</v>
      </c>
      <c r="L2" s="148"/>
      <c r="M2" s="160" t="s">
        <v>213</v>
      </c>
      <c r="N2" s="161">
        <f>COUNTIF(B1:B1348,"V")</f>
        <v>0</v>
      </c>
      <c r="O2" s="161">
        <v>32.0</v>
      </c>
      <c r="P2" s="163"/>
      <c r="Q2" s="161"/>
      <c r="R2" s="163"/>
      <c r="S2" s="164">
        <f t="shared" ref="S2:S11" si="1">N2+O2+P2+Q2+R2</f>
        <v>32</v>
      </c>
    </row>
    <row r="3">
      <c r="A3" s="179">
        <f t="shared" ref="A3:A1281" si="2">A2+1</f>
        <v>2</v>
      </c>
      <c r="B3" s="180"/>
      <c r="C3" s="180" t="s">
        <v>208</v>
      </c>
      <c r="D3" s="180" t="s">
        <v>208</v>
      </c>
      <c r="E3" s="180" t="s">
        <v>208</v>
      </c>
      <c r="F3" s="180" t="s">
        <v>208</v>
      </c>
      <c r="G3" s="180" t="s">
        <v>208</v>
      </c>
      <c r="H3" s="181"/>
      <c r="I3" s="181"/>
      <c r="J3" s="181"/>
      <c r="K3" s="182" t="s">
        <v>240</v>
      </c>
      <c r="L3" s="148"/>
      <c r="M3" s="160" t="s">
        <v>71</v>
      </c>
      <c r="N3" s="161">
        <f>COUNTIF(C2:C1348,"V")</f>
        <v>1109</v>
      </c>
      <c r="O3" s="161"/>
      <c r="P3" s="161">
        <v>2.0</v>
      </c>
      <c r="Q3" s="163"/>
      <c r="R3" s="163"/>
      <c r="S3" s="164">
        <f t="shared" si="1"/>
        <v>1111</v>
      </c>
    </row>
    <row r="4">
      <c r="A4" s="179">
        <f t="shared" si="2"/>
        <v>3</v>
      </c>
      <c r="B4" s="180"/>
      <c r="C4" s="180" t="s">
        <v>208</v>
      </c>
      <c r="D4" s="180" t="s">
        <v>208</v>
      </c>
      <c r="E4" s="180" t="s">
        <v>208</v>
      </c>
      <c r="F4" s="180" t="s">
        <v>208</v>
      </c>
      <c r="G4" s="180" t="s">
        <v>208</v>
      </c>
      <c r="H4" s="181"/>
      <c r="I4" s="181"/>
      <c r="J4" s="181"/>
      <c r="K4" s="182" t="s">
        <v>240</v>
      </c>
      <c r="L4" s="148"/>
      <c r="M4" s="160" t="s">
        <v>211</v>
      </c>
      <c r="N4" s="161">
        <f>COUNTIF(H2:H1348,"V")</f>
        <v>54</v>
      </c>
      <c r="O4" s="161">
        <v>9.0</v>
      </c>
      <c r="P4" s="161">
        <v>24.0</v>
      </c>
      <c r="Q4" s="161">
        <v>1.0</v>
      </c>
      <c r="R4" s="161">
        <v>1.0</v>
      </c>
      <c r="S4" s="164">
        <f t="shared" si="1"/>
        <v>89</v>
      </c>
    </row>
    <row r="5">
      <c r="A5" s="179">
        <f t="shared" si="2"/>
        <v>4</v>
      </c>
      <c r="B5" s="180"/>
      <c r="C5" s="180" t="s">
        <v>208</v>
      </c>
      <c r="D5" s="180" t="s">
        <v>208</v>
      </c>
      <c r="E5" s="180" t="s">
        <v>208</v>
      </c>
      <c r="F5" s="180" t="s">
        <v>208</v>
      </c>
      <c r="G5" s="180" t="s">
        <v>208</v>
      </c>
      <c r="H5" s="181"/>
      <c r="I5" s="181"/>
      <c r="J5" s="181"/>
      <c r="K5" s="182" t="s">
        <v>240</v>
      </c>
      <c r="L5" s="148"/>
      <c r="M5" s="160" t="s">
        <v>50</v>
      </c>
      <c r="N5" s="161">
        <f>COUNTIF(D2:D1348,"V")</f>
        <v>1118</v>
      </c>
      <c r="O5" s="161">
        <v>1.0</v>
      </c>
      <c r="P5" s="161">
        <v>60.0</v>
      </c>
      <c r="Q5" s="161">
        <v>1.0</v>
      </c>
      <c r="R5" s="163"/>
      <c r="S5" s="164">
        <f t="shared" si="1"/>
        <v>1180</v>
      </c>
    </row>
    <row r="6">
      <c r="A6" s="179">
        <f t="shared" si="2"/>
        <v>5</v>
      </c>
      <c r="B6" s="180"/>
      <c r="C6" s="180" t="s">
        <v>208</v>
      </c>
      <c r="D6" s="180" t="s">
        <v>208</v>
      </c>
      <c r="E6" s="180" t="s">
        <v>208</v>
      </c>
      <c r="F6" s="180" t="s">
        <v>208</v>
      </c>
      <c r="G6" s="180" t="s">
        <v>208</v>
      </c>
      <c r="H6" s="181"/>
      <c r="I6" s="181"/>
      <c r="J6" s="181"/>
      <c r="K6" s="182" t="s">
        <v>240</v>
      </c>
      <c r="L6" s="148"/>
      <c r="M6" s="160" t="s">
        <v>66</v>
      </c>
      <c r="N6" s="161">
        <f>COUNTIF(E2:E1348,"V")</f>
        <v>1098</v>
      </c>
      <c r="O6" s="161">
        <v>2.0</v>
      </c>
      <c r="P6" s="163"/>
      <c r="Q6" s="163"/>
      <c r="R6" s="163"/>
      <c r="S6" s="164">
        <f t="shared" si="1"/>
        <v>1100</v>
      </c>
    </row>
    <row r="7">
      <c r="A7" s="179">
        <f t="shared" si="2"/>
        <v>6</v>
      </c>
      <c r="B7" s="180"/>
      <c r="C7" s="180" t="s">
        <v>208</v>
      </c>
      <c r="D7" s="180" t="s">
        <v>208</v>
      </c>
      <c r="E7" s="180" t="s">
        <v>208</v>
      </c>
      <c r="F7" s="180" t="s">
        <v>208</v>
      </c>
      <c r="G7" s="180" t="s">
        <v>208</v>
      </c>
      <c r="H7" s="181"/>
      <c r="I7" s="181"/>
      <c r="J7" s="181"/>
      <c r="K7" s="182" t="s">
        <v>240</v>
      </c>
      <c r="L7" s="148"/>
      <c r="M7" s="160" t="s">
        <v>74</v>
      </c>
      <c r="N7" s="161">
        <f>COUNTIF(F2:F1348,"V")</f>
        <v>1154</v>
      </c>
      <c r="O7" s="161">
        <v>1.0</v>
      </c>
      <c r="P7" s="161">
        <v>62.0</v>
      </c>
      <c r="Q7" s="161">
        <v>1.0</v>
      </c>
      <c r="R7" s="163"/>
      <c r="S7" s="164">
        <f t="shared" si="1"/>
        <v>1218</v>
      </c>
    </row>
    <row r="8">
      <c r="A8" s="179">
        <f t="shared" si="2"/>
        <v>7</v>
      </c>
      <c r="B8" s="180"/>
      <c r="C8" s="180" t="s">
        <v>208</v>
      </c>
      <c r="D8" s="180" t="s">
        <v>208</v>
      </c>
      <c r="E8" s="180" t="s">
        <v>208</v>
      </c>
      <c r="F8" s="180" t="s">
        <v>208</v>
      </c>
      <c r="G8" s="180" t="s">
        <v>208</v>
      </c>
      <c r="H8" s="181"/>
      <c r="I8" s="181"/>
      <c r="J8" s="181"/>
      <c r="K8" s="182" t="s">
        <v>240</v>
      </c>
      <c r="L8" s="148"/>
      <c r="M8" s="160" t="s">
        <v>75</v>
      </c>
      <c r="N8" s="161">
        <f>COUNTIF(G2:G1348,"V")</f>
        <v>1114</v>
      </c>
      <c r="O8" s="161">
        <v>7.0</v>
      </c>
      <c r="P8" s="161">
        <v>4.0</v>
      </c>
      <c r="Q8" s="163"/>
      <c r="R8" s="163"/>
      <c r="S8" s="163">
        <f t="shared" si="1"/>
        <v>1125</v>
      </c>
    </row>
    <row r="9">
      <c r="A9" s="179">
        <f t="shared" si="2"/>
        <v>8</v>
      </c>
      <c r="B9" s="180"/>
      <c r="C9" s="180" t="s">
        <v>208</v>
      </c>
      <c r="D9" s="180" t="s">
        <v>208</v>
      </c>
      <c r="E9" s="180" t="s">
        <v>208</v>
      </c>
      <c r="F9" s="180" t="s">
        <v>208</v>
      </c>
      <c r="G9" s="180" t="s">
        <v>208</v>
      </c>
      <c r="H9" s="181"/>
      <c r="I9" s="181"/>
      <c r="J9" s="181"/>
      <c r="K9" s="182" t="s">
        <v>240</v>
      </c>
      <c r="M9" s="160" t="s">
        <v>198</v>
      </c>
      <c r="N9" s="161">
        <f>COUNTIF(I2:I1348,"V")</f>
        <v>26</v>
      </c>
      <c r="O9" s="163"/>
      <c r="P9" s="163"/>
      <c r="Q9" s="163"/>
      <c r="R9" s="163"/>
      <c r="S9" s="163">
        <f t="shared" si="1"/>
        <v>26</v>
      </c>
    </row>
    <row r="10">
      <c r="A10" s="179">
        <f t="shared" si="2"/>
        <v>9</v>
      </c>
      <c r="B10" s="180"/>
      <c r="C10" s="180" t="s">
        <v>208</v>
      </c>
      <c r="D10" s="180" t="s">
        <v>208</v>
      </c>
      <c r="E10" s="180"/>
      <c r="F10" s="180" t="s">
        <v>208</v>
      </c>
      <c r="G10" s="180" t="s">
        <v>208</v>
      </c>
      <c r="H10" s="181"/>
      <c r="I10" s="181"/>
      <c r="J10" s="181"/>
      <c r="K10" s="182" t="s">
        <v>240</v>
      </c>
      <c r="M10" s="160" t="s">
        <v>217</v>
      </c>
      <c r="N10" s="161">
        <f>COUNTIF(J2:J1348,"MK")</f>
        <v>131</v>
      </c>
      <c r="O10" s="163"/>
      <c r="P10" s="163"/>
      <c r="Q10" s="163"/>
      <c r="R10" s="163"/>
      <c r="S10" s="163">
        <f t="shared" si="1"/>
        <v>131</v>
      </c>
    </row>
    <row r="11">
      <c r="A11" s="179">
        <f t="shared" si="2"/>
        <v>10</v>
      </c>
      <c r="B11" s="180"/>
      <c r="C11" s="180" t="s">
        <v>208</v>
      </c>
      <c r="D11" s="180" t="s">
        <v>208</v>
      </c>
      <c r="E11" s="180" t="s">
        <v>208</v>
      </c>
      <c r="F11" s="180" t="s">
        <v>208</v>
      </c>
      <c r="G11" s="180" t="s">
        <v>208</v>
      </c>
      <c r="H11" s="181"/>
      <c r="I11" s="181"/>
      <c r="J11" s="181"/>
      <c r="K11" s="182" t="s">
        <v>240</v>
      </c>
      <c r="M11" s="160" t="s">
        <v>218</v>
      </c>
      <c r="N11" s="161">
        <f>COUNTIF(B2:I1348,"P")</f>
        <v>72</v>
      </c>
      <c r="O11" s="163"/>
      <c r="P11" s="163"/>
      <c r="Q11" s="163"/>
      <c r="R11" s="163"/>
      <c r="S11" s="163">
        <f t="shared" si="1"/>
        <v>72</v>
      </c>
    </row>
    <row r="12">
      <c r="A12" s="179">
        <f t="shared" si="2"/>
        <v>11</v>
      </c>
      <c r="B12" s="180"/>
      <c r="C12" s="180" t="s">
        <v>208</v>
      </c>
      <c r="D12" s="180" t="s">
        <v>208</v>
      </c>
      <c r="E12" s="180" t="s">
        <v>208</v>
      </c>
      <c r="F12" s="180" t="s">
        <v>208</v>
      </c>
      <c r="G12" s="180" t="s">
        <v>208</v>
      </c>
      <c r="H12" s="181"/>
      <c r="I12" s="181"/>
      <c r="J12" s="181"/>
      <c r="K12" s="182" t="s">
        <v>240</v>
      </c>
      <c r="O12" s="173"/>
      <c r="P12" s="173"/>
      <c r="Q12" s="173"/>
      <c r="R12" s="173"/>
      <c r="S12" s="173"/>
    </row>
    <row r="13">
      <c r="A13" s="179">
        <f t="shared" si="2"/>
        <v>12</v>
      </c>
      <c r="B13" s="180"/>
      <c r="C13" s="180" t="s">
        <v>208</v>
      </c>
      <c r="D13" s="180" t="s">
        <v>208</v>
      </c>
      <c r="E13" s="180" t="s">
        <v>208</v>
      </c>
      <c r="F13" s="180" t="s">
        <v>208</v>
      </c>
      <c r="G13" s="180" t="s">
        <v>208</v>
      </c>
      <c r="H13" s="181"/>
      <c r="I13" s="181"/>
      <c r="J13" s="181"/>
      <c r="K13" s="182" t="s">
        <v>240</v>
      </c>
      <c r="N13" s="157" t="s">
        <v>231</v>
      </c>
      <c r="O13" s="157" t="s">
        <v>232</v>
      </c>
      <c r="P13" s="157" t="s">
        <v>241</v>
      </c>
      <c r="Q13" s="157" t="s">
        <v>234</v>
      </c>
      <c r="R13" s="157" t="s">
        <v>235</v>
      </c>
      <c r="S13" s="157" t="s">
        <v>39</v>
      </c>
    </row>
    <row r="14">
      <c r="A14" s="179">
        <f t="shared" si="2"/>
        <v>13</v>
      </c>
      <c r="B14" s="180"/>
      <c r="C14" s="180" t="s">
        <v>208</v>
      </c>
      <c r="D14" s="180" t="s">
        <v>208</v>
      </c>
      <c r="E14" s="180" t="s">
        <v>208</v>
      </c>
      <c r="F14" s="180" t="s">
        <v>208</v>
      </c>
      <c r="G14" s="180" t="s">
        <v>208</v>
      </c>
      <c r="H14" s="181"/>
      <c r="I14" s="181"/>
      <c r="J14" s="181"/>
      <c r="K14" s="182" t="s">
        <v>240</v>
      </c>
    </row>
    <row r="15">
      <c r="A15" s="179">
        <f t="shared" si="2"/>
        <v>14</v>
      </c>
      <c r="B15" s="180"/>
      <c r="C15" s="180" t="s">
        <v>208</v>
      </c>
      <c r="D15" s="180" t="s">
        <v>208</v>
      </c>
      <c r="E15" s="180" t="s">
        <v>208</v>
      </c>
      <c r="F15" s="180" t="s">
        <v>208</v>
      </c>
      <c r="G15" s="180" t="s">
        <v>208</v>
      </c>
      <c r="H15" s="180"/>
      <c r="I15" s="181"/>
      <c r="J15" s="181"/>
      <c r="K15" s="182" t="s">
        <v>240</v>
      </c>
    </row>
    <row r="16">
      <c r="A16" s="179">
        <f t="shared" si="2"/>
        <v>15</v>
      </c>
      <c r="B16" s="180"/>
      <c r="C16" s="180"/>
      <c r="D16" s="180"/>
      <c r="E16" s="180"/>
      <c r="F16" s="180"/>
      <c r="G16" s="180"/>
      <c r="H16" s="181"/>
      <c r="I16" s="181"/>
      <c r="J16" s="180" t="s">
        <v>242</v>
      </c>
      <c r="K16" s="182" t="s">
        <v>240</v>
      </c>
    </row>
    <row r="17">
      <c r="A17" s="179">
        <f t="shared" si="2"/>
        <v>16</v>
      </c>
      <c r="B17" s="180"/>
      <c r="C17" s="180" t="s">
        <v>208</v>
      </c>
      <c r="D17" s="180" t="s">
        <v>208</v>
      </c>
      <c r="E17" s="180" t="s">
        <v>208</v>
      </c>
      <c r="F17" s="180" t="s">
        <v>208</v>
      </c>
      <c r="G17" s="180" t="s">
        <v>208</v>
      </c>
      <c r="H17" s="181"/>
      <c r="I17" s="181"/>
      <c r="J17" s="181"/>
      <c r="K17" s="182" t="s">
        <v>240</v>
      </c>
    </row>
    <row r="18">
      <c r="A18" s="179">
        <f t="shared" si="2"/>
        <v>17</v>
      </c>
      <c r="B18" s="180"/>
      <c r="C18" s="180" t="s">
        <v>208</v>
      </c>
      <c r="D18" s="180" t="s">
        <v>208</v>
      </c>
      <c r="E18" s="180" t="s">
        <v>208</v>
      </c>
      <c r="F18" s="180" t="s">
        <v>208</v>
      </c>
      <c r="G18" s="180" t="s">
        <v>208</v>
      </c>
      <c r="H18" s="181"/>
      <c r="I18" s="181"/>
      <c r="J18" s="180"/>
      <c r="K18" s="182" t="s">
        <v>240</v>
      </c>
    </row>
    <row r="19">
      <c r="A19" s="179">
        <f t="shared" si="2"/>
        <v>18</v>
      </c>
      <c r="B19" s="180"/>
      <c r="C19" s="180" t="s">
        <v>208</v>
      </c>
      <c r="D19" s="180" t="s">
        <v>208</v>
      </c>
      <c r="E19" s="180"/>
      <c r="F19" s="180" t="s">
        <v>208</v>
      </c>
      <c r="G19" s="180" t="s">
        <v>208</v>
      </c>
      <c r="H19" s="181"/>
      <c r="I19" s="181"/>
      <c r="J19" s="181"/>
      <c r="K19" s="182" t="s">
        <v>240</v>
      </c>
    </row>
    <row r="20">
      <c r="A20" s="179">
        <f t="shared" si="2"/>
        <v>19</v>
      </c>
      <c r="B20" s="180"/>
      <c r="C20" s="180" t="s">
        <v>208</v>
      </c>
      <c r="D20" s="180" t="s">
        <v>208</v>
      </c>
      <c r="E20" s="180" t="s">
        <v>208</v>
      </c>
      <c r="F20" s="180" t="s">
        <v>208</v>
      </c>
      <c r="G20" s="180" t="s">
        <v>208</v>
      </c>
      <c r="H20" s="181"/>
      <c r="I20" s="181"/>
      <c r="J20" s="181"/>
      <c r="K20" s="182" t="s">
        <v>240</v>
      </c>
    </row>
    <row r="21">
      <c r="A21" s="179">
        <f t="shared" si="2"/>
        <v>20</v>
      </c>
      <c r="B21" s="180"/>
      <c r="C21" s="180" t="s">
        <v>208</v>
      </c>
      <c r="D21" s="180" t="s">
        <v>208</v>
      </c>
      <c r="E21" s="180" t="s">
        <v>208</v>
      </c>
      <c r="F21" s="180" t="s">
        <v>208</v>
      </c>
      <c r="G21" s="180" t="s">
        <v>208</v>
      </c>
      <c r="H21" s="181"/>
      <c r="I21" s="181"/>
      <c r="J21" s="181"/>
      <c r="K21" s="182" t="s">
        <v>240</v>
      </c>
    </row>
    <row r="22">
      <c r="A22" s="179">
        <f t="shared" si="2"/>
        <v>21</v>
      </c>
      <c r="B22" s="180"/>
      <c r="C22" s="180" t="s">
        <v>208</v>
      </c>
      <c r="D22" s="180" t="s">
        <v>208</v>
      </c>
      <c r="E22" s="180" t="s">
        <v>208</v>
      </c>
      <c r="F22" s="180" t="s">
        <v>208</v>
      </c>
      <c r="G22" s="180" t="s">
        <v>208</v>
      </c>
      <c r="H22" s="181"/>
      <c r="I22" s="181"/>
      <c r="J22" s="181"/>
      <c r="K22" s="182" t="s">
        <v>240</v>
      </c>
    </row>
    <row r="23">
      <c r="A23" s="179">
        <f t="shared" si="2"/>
        <v>22</v>
      </c>
      <c r="B23" s="180"/>
      <c r="C23" s="180" t="s">
        <v>208</v>
      </c>
      <c r="D23" s="180" t="s">
        <v>208</v>
      </c>
      <c r="E23" s="180" t="s">
        <v>208</v>
      </c>
      <c r="F23" s="180" t="s">
        <v>208</v>
      </c>
      <c r="G23" s="180" t="s">
        <v>208</v>
      </c>
      <c r="H23" s="181"/>
      <c r="I23" s="181"/>
      <c r="J23" s="181"/>
      <c r="K23" s="182" t="s">
        <v>240</v>
      </c>
    </row>
    <row r="24">
      <c r="A24" s="179">
        <f t="shared" si="2"/>
        <v>23</v>
      </c>
      <c r="B24" s="180"/>
      <c r="C24" s="180" t="s">
        <v>208</v>
      </c>
      <c r="D24" s="180" t="s">
        <v>208</v>
      </c>
      <c r="E24" s="180" t="s">
        <v>208</v>
      </c>
      <c r="F24" s="180" t="s">
        <v>208</v>
      </c>
      <c r="G24" s="180" t="s">
        <v>208</v>
      </c>
      <c r="H24" s="181"/>
      <c r="I24" s="181"/>
      <c r="J24" s="181"/>
      <c r="K24" s="182" t="s">
        <v>240</v>
      </c>
    </row>
    <row r="25">
      <c r="A25" s="179">
        <f t="shared" si="2"/>
        <v>24</v>
      </c>
      <c r="B25" s="180"/>
      <c r="C25" s="180" t="s">
        <v>208</v>
      </c>
      <c r="D25" s="180" t="s">
        <v>208</v>
      </c>
      <c r="E25" s="180" t="s">
        <v>208</v>
      </c>
      <c r="F25" s="180" t="s">
        <v>208</v>
      </c>
      <c r="G25" s="180" t="s">
        <v>208</v>
      </c>
      <c r="H25" s="181"/>
      <c r="I25" s="181"/>
      <c r="J25" s="181"/>
      <c r="K25" s="182" t="s">
        <v>240</v>
      </c>
    </row>
    <row r="26">
      <c r="A26" s="179">
        <f t="shared" si="2"/>
        <v>25</v>
      </c>
      <c r="B26" s="180"/>
      <c r="C26" s="180" t="s">
        <v>208</v>
      </c>
      <c r="D26" s="180" t="s">
        <v>208</v>
      </c>
      <c r="E26" s="180" t="s">
        <v>208</v>
      </c>
      <c r="F26" s="180" t="s">
        <v>208</v>
      </c>
      <c r="G26" s="180" t="s">
        <v>208</v>
      </c>
      <c r="H26" s="181"/>
      <c r="I26" s="181"/>
      <c r="J26" s="181"/>
      <c r="K26" s="182" t="s">
        <v>240</v>
      </c>
    </row>
    <row r="27">
      <c r="A27" s="179">
        <f t="shared" si="2"/>
        <v>26</v>
      </c>
      <c r="B27" s="180"/>
      <c r="C27" s="180" t="s">
        <v>208</v>
      </c>
      <c r="D27" s="180" t="s">
        <v>208</v>
      </c>
      <c r="E27" s="180" t="s">
        <v>208</v>
      </c>
      <c r="F27" s="180" t="s">
        <v>208</v>
      </c>
      <c r="G27" s="180" t="s">
        <v>208</v>
      </c>
      <c r="H27" s="181"/>
      <c r="I27" s="181"/>
      <c r="J27" s="181"/>
      <c r="K27" s="182" t="s">
        <v>240</v>
      </c>
    </row>
    <row r="28">
      <c r="A28" s="179">
        <f t="shared" si="2"/>
        <v>27</v>
      </c>
      <c r="B28" s="180"/>
      <c r="C28" s="180" t="s">
        <v>208</v>
      </c>
      <c r="D28" s="180" t="s">
        <v>208</v>
      </c>
      <c r="E28" s="180" t="s">
        <v>208</v>
      </c>
      <c r="F28" s="180" t="s">
        <v>208</v>
      </c>
      <c r="G28" s="180" t="s">
        <v>208</v>
      </c>
      <c r="H28" s="181"/>
      <c r="I28" s="181"/>
      <c r="J28" s="181"/>
      <c r="K28" s="182" t="s">
        <v>240</v>
      </c>
    </row>
    <row r="29">
      <c r="A29" s="179">
        <f t="shared" si="2"/>
        <v>28</v>
      </c>
      <c r="B29" s="180"/>
      <c r="C29" s="180" t="s">
        <v>208</v>
      </c>
      <c r="D29" s="180" t="s">
        <v>208</v>
      </c>
      <c r="E29" s="180" t="s">
        <v>208</v>
      </c>
      <c r="F29" s="180" t="s">
        <v>208</v>
      </c>
      <c r="G29" s="180" t="s">
        <v>208</v>
      </c>
      <c r="H29" s="181"/>
      <c r="I29" s="181"/>
      <c r="J29" s="181"/>
      <c r="K29" s="182" t="s">
        <v>240</v>
      </c>
    </row>
    <row r="30">
      <c r="A30" s="179">
        <f t="shared" si="2"/>
        <v>29</v>
      </c>
      <c r="B30" s="180"/>
      <c r="C30" s="180" t="s">
        <v>208</v>
      </c>
      <c r="D30" s="180" t="s">
        <v>208</v>
      </c>
      <c r="E30" s="180" t="s">
        <v>208</v>
      </c>
      <c r="F30" s="180" t="s">
        <v>208</v>
      </c>
      <c r="G30" s="180" t="s">
        <v>208</v>
      </c>
      <c r="H30" s="181"/>
      <c r="I30" s="181"/>
      <c r="J30" s="181"/>
      <c r="K30" s="182" t="s">
        <v>240</v>
      </c>
    </row>
    <row r="31">
      <c r="A31" s="179">
        <f t="shared" si="2"/>
        <v>30</v>
      </c>
      <c r="B31" s="180"/>
      <c r="C31" s="180" t="s">
        <v>208</v>
      </c>
      <c r="D31" s="180" t="s">
        <v>208</v>
      </c>
      <c r="E31" s="180" t="s">
        <v>208</v>
      </c>
      <c r="F31" s="180" t="s">
        <v>208</v>
      </c>
      <c r="G31" s="180" t="s">
        <v>208</v>
      </c>
      <c r="H31" s="181"/>
      <c r="I31" s="181"/>
      <c r="J31" s="181"/>
      <c r="K31" s="182" t="s">
        <v>240</v>
      </c>
    </row>
    <row r="32">
      <c r="A32" s="179">
        <f t="shared" si="2"/>
        <v>31</v>
      </c>
      <c r="B32" s="180"/>
      <c r="C32" s="180" t="s">
        <v>208</v>
      </c>
      <c r="D32" s="180" t="s">
        <v>208</v>
      </c>
      <c r="E32" s="180"/>
      <c r="F32" s="180" t="s">
        <v>208</v>
      </c>
      <c r="G32" s="180" t="s">
        <v>208</v>
      </c>
      <c r="H32" s="181"/>
      <c r="I32" s="181"/>
      <c r="J32" s="181"/>
      <c r="K32" s="182" t="s">
        <v>240</v>
      </c>
    </row>
    <row r="33">
      <c r="A33" s="179">
        <f t="shared" si="2"/>
        <v>32</v>
      </c>
      <c r="B33" s="180"/>
      <c r="C33" s="180" t="s">
        <v>208</v>
      </c>
      <c r="D33" s="180" t="s">
        <v>208</v>
      </c>
      <c r="E33" s="180" t="s">
        <v>208</v>
      </c>
      <c r="F33" s="180" t="s">
        <v>208</v>
      </c>
      <c r="G33" s="180" t="s">
        <v>208</v>
      </c>
      <c r="H33" s="181"/>
      <c r="I33" s="181"/>
      <c r="J33" s="181"/>
      <c r="K33" s="182" t="s">
        <v>240</v>
      </c>
    </row>
    <row r="34">
      <c r="A34" s="179">
        <f t="shared" si="2"/>
        <v>33</v>
      </c>
      <c r="B34" s="180"/>
      <c r="C34" s="180" t="s">
        <v>208</v>
      </c>
      <c r="D34" s="180" t="s">
        <v>208</v>
      </c>
      <c r="E34" s="180" t="s">
        <v>208</v>
      </c>
      <c r="F34" s="180" t="s">
        <v>208</v>
      </c>
      <c r="G34" s="180" t="s">
        <v>208</v>
      </c>
      <c r="H34" s="181"/>
      <c r="I34" s="181"/>
      <c r="J34" s="181"/>
      <c r="K34" s="182" t="s">
        <v>240</v>
      </c>
    </row>
    <row r="35">
      <c r="A35" s="179">
        <f t="shared" si="2"/>
        <v>34</v>
      </c>
      <c r="B35" s="180"/>
      <c r="C35" s="180" t="s">
        <v>208</v>
      </c>
      <c r="D35" s="180" t="s">
        <v>208</v>
      </c>
      <c r="E35" s="180" t="s">
        <v>208</v>
      </c>
      <c r="F35" s="180" t="s">
        <v>208</v>
      </c>
      <c r="G35" s="180" t="s">
        <v>208</v>
      </c>
      <c r="H35" s="181"/>
      <c r="I35" s="181"/>
      <c r="J35" s="181"/>
      <c r="K35" s="182" t="s">
        <v>240</v>
      </c>
    </row>
    <row r="36">
      <c r="A36" s="179">
        <f t="shared" si="2"/>
        <v>35</v>
      </c>
      <c r="B36" s="180"/>
      <c r="C36" s="180" t="s">
        <v>208</v>
      </c>
      <c r="D36" s="180" t="s">
        <v>208</v>
      </c>
      <c r="E36" s="180" t="s">
        <v>208</v>
      </c>
      <c r="F36" s="180" t="s">
        <v>208</v>
      </c>
      <c r="G36" s="180" t="s">
        <v>208</v>
      </c>
      <c r="H36" s="181"/>
      <c r="I36" s="181"/>
      <c r="J36" s="181"/>
      <c r="K36" s="182" t="s">
        <v>240</v>
      </c>
    </row>
    <row r="37">
      <c r="A37" s="179">
        <f t="shared" si="2"/>
        <v>36</v>
      </c>
      <c r="B37" s="180"/>
      <c r="C37" s="180" t="s">
        <v>208</v>
      </c>
      <c r="D37" s="180" t="s">
        <v>208</v>
      </c>
      <c r="E37" s="180" t="s">
        <v>208</v>
      </c>
      <c r="F37" s="180" t="s">
        <v>208</v>
      </c>
      <c r="G37" s="180" t="s">
        <v>208</v>
      </c>
      <c r="H37" s="181"/>
      <c r="I37" s="181"/>
      <c r="J37" s="181"/>
      <c r="K37" s="182" t="s">
        <v>240</v>
      </c>
    </row>
    <row r="38">
      <c r="A38" s="179">
        <f t="shared" si="2"/>
        <v>37</v>
      </c>
      <c r="B38" s="180"/>
      <c r="C38" s="180" t="s">
        <v>208</v>
      </c>
      <c r="D38" s="180" t="s">
        <v>208</v>
      </c>
      <c r="E38" s="180" t="s">
        <v>208</v>
      </c>
      <c r="F38" s="180" t="s">
        <v>208</v>
      </c>
      <c r="G38" s="180" t="s">
        <v>208</v>
      </c>
      <c r="H38" s="181"/>
      <c r="I38" s="181"/>
      <c r="J38" s="181"/>
      <c r="K38" s="182" t="s">
        <v>240</v>
      </c>
    </row>
    <row r="39">
      <c r="A39" s="179">
        <f t="shared" si="2"/>
        <v>38</v>
      </c>
      <c r="B39" s="180"/>
      <c r="C39" s="180" t="s">
        <v>208</v>
      </c>
      <c r="D39" s="180" t="s">
        <v>208</v>
      </c>
      <c r="E39" s="180"/>
      <c r="F39" s="180" t="s">
        <v>208</v>
      </c>
      <c r="G39" s="180" t="s">
        <v>208</v>
      </c>
      <c r="H39" s="181"/>
      <c r="I39" s="181"/>
      <c r="J39" s="181"/>
      <c r="K39" s="182" t="s">
        <v>240</v>
      </c>
    </row>
    <row r="40">
      <c r="A40" s="179">
        <f t="shared" si="2"/>
        <v>39</v>
      </c>
      <c r="B40" s="180"/>
      <c r="C40" s="180" t="s">
        <v>208</v>
      </c>
      <c r="D40" s="180" t="s">
        <v>208</v>
      </c>
      <c r="E40" s="180" t="s">
        <v>208</v>
      </c>
      <c r="F40" s="180" t="s">
        <v>208</v>
      </c>
      <c r="G40" s="180" t="s">
        <v>208</v>
      </c>
      <c r="H40" s="181"/>
      <c r="I40" s="181"/>
      <c r="J40" s="180"/>
      <c r="K40" s="182" t="s">
        <v>240</v>
      </c>
    </row>
    <row r="41">
      <c r="A41" s="179">
        <f t="shared" si="2"/>
        <v>40</v>
      </c>
      <c r="B41" s="181"/>
      <c r="C41" s="180" t="s">
        <v>208</v>
      </c>
      <c r="D41" s="180" t="s">
        <v>208</v>
      </c>
      <c r="E41" s="180" t="s">
        <v>208</v>
      </c>
      <c r="F41" s="180" t="s">
        <v>208</v>
      </c>
      <c r="G41" s="180" t="s">
        <v>208</v>
      </c>
      <c r="H41" s="181"/>
      <c r="I41" s="181"/>
      <c r="J41" s="181"/>
      <c r="K41" s="182" t="s">
        <v>240</v>
      </c>
    </row>
    <row r="42">
      <c r="A42" s="179">
        <f t="shared" si="2"/>
        <v>41</v>
      </c>
      <c r="B42" s="181"/>
      <c r="C42" s="180" t="s">
        <v>208</v>
      </c>
      <c r="D42" s="180" t="s">
        <v>208</v>
      </c>
      <c r="E42" s="180" t="s">
        <v>208</v>
      </c>
      <c r="F42" s="180" t="s">
        <v>208</v>
      </c>
      <c r="G42" s="180" t="s">
        <v>208</v>
      </c>
      <c r="H42" s="181"/>
      <c r="I42" s="181"/>
      <c r="J42" s="181"/>
      <c r="K42" s="182" t="s">
        <v>240</v>
      </c>
    </row>
    <row r="43">
      <c r="A43" s="179">
        <f t="shared" si="2"/>
        <v>42</v>
      </c>
      <c r="B43" s="180"/>
      <c r="C43" s="180" t="s">
        <v>208</v>
      </c>
      <c r="D43" s="180" t="s">
        <v>208</v>
      </c>
      <c r="E43" s="180" t="s">
        <v>208</v>
      </c>
      <c r="F43" s="180" t="s">
        <v>208</v>
      </c>
      <c r="G43" s="180" t="s">
        <v>208</v>
      </c>
      <c r="H43" s="181"/>
      <c r="I43" s="181"/>
      <c r="J43" s="181"/>
      <c r="K43" s="182" t="s">
        <v>240</v>
      </c>
    </row>
    <row r="44">
      <c r="A44" s="179">
        <f t="shared" si="2"/>
        <v>43</v>
      </c>
      <c r="B44" s="180"/>
      <c r="C44" s="180" t="s">
        <v>208</v>
      </c>
      <c r="D44" s="180" t="s">
        <v>208</v>
      </c>
      <c r="E44" s="180" t="s">
        <v>208</v>
      </c>
      <c r="F44" s="180" t="s">
        <v>208</v>
      </c>
      <c r="G44" s="180" t="s">
        <v>208</v>
      </c>
      <c r="H44" s="181"/>
      <c r="I44" s="181"/>
      <c r="J44" s="181"/>
      <c r="K44" s="182" t="s">
        <v>240</v>
      </c>
    </row>
    <row r="45">
      <c r="A45" s="179">
        <f t="shared" si="2"/>
        <v>44</v>
      </c>
      <c r="B45" s="180"/>
      <c r="C45" s="180" t="s">
        <v>208</v>
      </c>
      <c r="D45" s="180" t="s">
        <v>208</v>
      </c>
      <c r="E45" s="180" t="s">
        <v>208</v>
      </c>
      <c r="F45" s="180" t="s">
        <v>208</v>
      </c>
      <c r="G45" s="180" t="s">
        <v>208</v>
      </c>
      <c r="H45" s="181"/>
      <c r="I45" s="181"/>
      <c r="J45" s="181"/>
      <c r="K45" s="182" t="s">
        <v>240</v>
      </c>
    </row>
    <row r="46">
      <c r="A46" s="179">
        <f t="shared" si="2"/>
        <v>45</v>
      </c>
      <c r="B46" s="180"/>
      <c r="C46" s="180" t="s">
        <v>208</v>
      </c>
      <c r="D46" s="180" t="s">
        <v>208</v>
      </c>
      <c r="E46" s="180" t="s">
        <v>208</v>
      </c>
      <c r="F46" s="180" t="s">
        <v>208</v>
      </c>
      <c r="G46" s="180" t="s">
        <v>208</v>
      </c>
      <c r="H46" s="181"/>
      <c r="I46" s="181"/>
      <c r="J46" s="181"/>
      <c r="K46" s="182" t="s">
        <v>240</v>
      </c>
    </row>
    <row r="47">
      <c r="A47" s="179">
        <f t="shared" si="2"/>
        <v>46</v>
      </c>
      <c r="B47" s="180"/>
      <c r="C47" s="180" t="s">
        <v>208</v>
      </c>
      <c r="D47" s="180" t="s">
        <v>208</v>
      </c>
      <c r="E47" s="180" t="s">
        <v>208</v>
      </c>
      <c r="F47" s="180" t="s">
        <v>208</v>
      </c>
      <c r="G47" s="180" t="s">
        <v>208</v>
      </c>
      <c r="H47" s="181"/>
      <c r="I47" s="181"/>
      <c r="J47" s="181"/>
      <c r="K47" s="182" t="s">
        <v>240</v>
      </c>
    </row>
    <row r="48">
      <c r="A48" s="179">
        <f t="shared" si="2"/>
        <v>47</v>
      </c>
      <c r="B48" s="180"/>
      <c r="C48" s="180" t="s">
        <v>208</v>
      </c>
      <c r="D48" s="180" t="s">
        <v>208</v>
      </c>
      <c r="E48" s="180"/>
      <c r="F48" s="180" t="s">
        <v>208</v>
      </c>
      <c r="G48" s="180" t="s">
        <v>208</v>
      </c>
      <c r="H48" s="180"/>
      <c r="I48" s="181"/>
      <c r="J48" s="181"/>
      <c r="K48" s="182" t="s">
        <v>240</v>
      </c>
    </row>
    <row r="49">
      <c r="A49" s="179">
        <f t="shared" si="2"/>
        <v>48</v>
      </c>
      <c r="B49" s="180"/>
      <c r="C49" s="180" t="s">
        <v>208</v>
      </c>
      <c r="D49" s="180" t="s">
        <v>208</v>
      </c>
      <c r="E49" s="180"/>
      <c r="F49" s="180" t="s">
        <v>208</v>
      </c>
      <c r="G49" s="180" t="s">
        <v>208</v>
      </c>
      <c r="H49" s="180"/>
      <c r="I49" s="181"/>
      <c r="J49" s="180"/>
      <c r="K49" s="182" t="s">
        <v>240</v>
      </c>
    </row>
    <row r="50">
      <c r="A50" s="179">
        <f t="shared" si="2"/>
        <v>49</v>
      </c>
      <c r="B50" s="180"/>
      <c r="C50" s="180" t="s">
        <v>208</v>
      </c>
      <c r="D50" s="180" t="s">
        <v>208</v>
      </c>
      <c r="E50" s="180" t="s">
        <v>208</v>
      </c>
      <c r="F50" s="180" t="s">
        <v>208</v>
      </c>
      <c r="G50" s="180" t="s">
        <v>208</v>
      </c>
      <c r="H50" s="181"/>
      <c r="I50" s="181"/>
      <c r="J50" s="181"/>
      <c r="K50" s="182" t="s">
        <v>240</v>
      </c>
    </row>
    <row r="51">
      <c r="A51" s="179">
        <f t="shared" si="2"/>
        <v>50</v>
      </c>
      <c r="B51" s="180"/>
      <c r="C51" s="180" t="s">
        <v>208</v>
      </c>
      <c r="D51" s="180" t="s">
        <v>208</v>
      </c>
      <c r="E51" s="180" t="s">
        <v>208</v>
      </c>
      <c r="F51" s="180" t="s">
        <v>208</v>
      </c>
      <c r="G51" s="180" t="s">
        <v>208</v>
      </c>
      <c r="H51" s="181"/>
      <c r="I51" s="181"/>
      <c r="J51" s="181"/>
      <c r="K51" s="182" t="s">
        <v>240</v>
      </c>
    </row>
    <row r="52">
      <c r="A52" s="179">
        <f t="shared" si="2"/>
        <v>51</v>
      </c>
      <c r="B52" s="180"/>
      <c r="C52" s="180" t="s">
        <v>208</v>
      </c>
      <c r="D52" s="180" t="s">
        <v>208</v>
      </c>
      <c r="E52" s="180" t="s">
        <v>208</v>
      </c>
      <c r="F52" s="180" t="s">
        <v>208</v>
      </c>
      <c r="G52" s="180" t="s">
        <v>208</v>
      </c>
      <c r="H52" s="181"/>
      <c r="I52" s="181"/>
      <c r="J52" s="181"/>
      <c r="K52" s="182" t="s">
        <v>240</v>
      </c>
    </row>
    <row r="53">
      <c r="A53" s="179">
        <f t="shared" si="2"/>
        <v>52</v>
      </c>
      <c r="B53" s="180"/>
      <c r="C53" s="180" t="s">
        <v>208</v>
      </c>
      <c r="D53" s="180" t="s">
        <v>208</v>
      </c>
      <c r="E53" s="180"/>
      <c r="F53" s="180" t="s">
        <v>208</v>
      </c>
      <c r="G53" s="180" t="s">
        <v>208</v>
      </c>
      <c r="H53" s="181"/>
      <c r="I53" s="181"/>
      <c r="J53" s="181"/>
      <c r="K53" s="182" t="s">
        <v>240</v>
      </c>
    </row>
    <row r="54">
      <c r="A54" s="179">
        <f t="shared" si="2"/>
        <v>53</v>
      </c>
      <c r="B54" s="181"/>
      <c r="C54" s="180" t="s">
        <v>208</v>
      </c>
      <c r="D54" s="180" t="s">
        <v>208</v>
      </c>
      <c r="E54" s="180" t="s">
        <v>208</v>
      </c>
      <c r="F54" s="180" t="s">
        <v>208</v>
      </c>
      <c r="G54" s="180" t="s">
        <v>208</v>
      </c>
      <c r="H54" s="181"/>
      <c r="I54" s="181"/>
      <c r="J54" s="181"/>
      <c r="K54" s="182" t="s">
        <v>240</v>
      </c>
    </row>
    <row r="55">
      <c r="A55" s="179">
        <f t="shared" si="2"/>
        <v>54</v>
      </c>
      <c r="B55" s="180"/>
      <c r="C55" s="180" t="s">
        <v>208</v>
      </c>
      <c r="D55" s="180" t="s">
        <v>208</v>
      </c>
      <c r="E55" s="180" t="s">
        <v>208</v>
      </c>
      <c r="F55" s="180" t="s">
        <v>208</v>
      </c>
      <c r="G55" s="180" t="s">
        <v>208</v>
      </c>
      <c r="H55" s="181"/>
      <c r="I55" s="181"/>
      <c r="J55" s="181"/>
      <c r="K55" s="182" t="s">
        <v>240</v>
      </c>
    </row>
    <row r="56">
      <c r="A56" s="179">
        <f t="shared" si="2"/>
        <v>55</v>
      </c>
      <c r="B56" s="180"/>
      <c r="C56" s="180" t="s">
        <v>208</v>
      </c>
      <c r="D56" s="180" t="s">
        <v>208</v>
      </c>
      <c r="E56" s="180" t="s">
        <v>208</v>
      </c>
      <c r="F56" s="180" t="s">
        <v>208</v>
      </c>
      <c r="G56" s="180" t="s">
        <v>208</v>
      </c>
      <c r="H56" s="181"/>
      <c r="I56" s="181"/>
      <c r="J56" s="181"/>
      <c r="K56" s="182" t="s">
        <v>240</v>
      </c>
    </row>
    <row r="57">
      <c r="A57" s="179">
        <f t="shared" si="2"/>
        <v>56</v>
      </c>
      <c r="B57" s="180"/>
      <c r="C57" s="180" t="s">
        <v>208</v>
      </c>
      <c r="D57" s="180" t="s">
        <v>208</v>
      </c>
      <c r="E57" s="180" t="s">
        <v>208</v>
      </c>
      <c r="F57" s="180" t="s">
        <v>208</v>
      </c>
      <c r="G57" s="180" t="s">
        <v>208</v>
      </c>
      <c r="H57" s="181"/>
      <c r="I57" s="181"/>
      <c r="J57" s="181"/>
      <c r="K57" s="182" t="s">
        <v>240</v>
      </c>
    </row>
    <row r="58">
      <c r="A58" s="179">
        <f t="shared" si="2"/>
        <v>57</v>
      </c>
      <c r="B58" s="180"/>
      <c r="C58" s="180" t="s">
        <v>208</v>
      </c>
      <c r="D58" s="180" t="s">
        <v>208</v>
      </c>
      <c r="E58" s="180" t="s">
        <v>208</v>
      </c>
      <c r="F58" s="180" t="s">
        <v>208</v>
      </c>
      <c r="G58" s="180" t="s">
        <v>208</v>
      </c>
      <c r="H58" s="181"/>
      <c r="I58" s="181"/>
      <c r="J58" s="180"/>
      <c r="K58" s="182" t="s">
        <v>240</v>
      </c>
    </row>
    <row r="59">
      <c r="A59" s="179">
        <f t="shared" si="2"/>
        <v>58</v>
      </c>
      <c r="B59" s="180"/>
      <c r="C59" s="180" t="s">
        <v>208</v>
      </c>
      <c r="D59" s="180" t="s">
        <v>208</v>
      </c>
      <c r="E59" s="180" t="s">
        <v>208</v>
      </c>
      <c r="F59" s="180" t="s">
        <v>208</v>
      </c>
      <c r="G59" s="180" t="s">
        <v>208</v>
      </c>
      <c r="H59" s="181"/>
      <c r="I59" s="181"/>
      <c r="J59" s="181"/>
      <c r="K59" s="182" t="s">
        <v>240</v>
      </c>
    </row>
    <row r="60">
      <c r="A60" s="179">
        <f t="shared" si="2"/>
        <v>59</v>
      </c>
      <c r="B60" s="180"/>
      <c r="C60" s="180" t="s">
        <v>208</v>
      </c>
      <c r="D60" s="180" t="s">
        <v>208</v>
      </c>
      <c r="E60" s="180" t="s">
        <v>208</v>
      </c>
      <c r="F60" s="180" t="s">
        <v>208</v>
      </c>
      <c r="G60" s="180" t="s">
        <v>208</v>
      </c>
      <c r="H60" s="181"/>
      <c r="I60" s="181"/>
      <c r="J60" s="181"/>
      <c r="K60" s="182" t="s">
        <v>240</v>
      </c>
    </row>
    <row r="61">
      <c r="A61" s="179">
        <f t="shared" si="2"/>
        <v>60</v>
      </c>
      <c r="B61" s="180"/>
      <c r="C61" s="180" t="s">
        <v>208</v>
      </c>
      <c r="D61" s="180" t="s">
        <v>208</v>
      </c>
      <c r="E61" s="180" t="s">
        <v>208</v>
      </c>
      <c r="F61" s="180" t="s">
        <v>208</v>
      </c>
      <c r="G61" s="180" t="s">
        <v>208</v>
      </c>
      <c r="H61" s="181"/>
      <c r="I61" s="181"/>
      <c r="J61" s="181"/>
      <c r="K61" s="182" t="s">
        <v>240</v>
      </c>
    </row>
    <row r="62">
      <c r="A62" s="179">
        <f t="shared" si="2"/>
        <v>61</v>
      </c>
      <c r="B62" s="180"/>
      <c r="C62" s="180" t="s">
        <v>208</v>
      </c>
      <c r="D62" s="180" t="s">
        <v>208</v>
      </c>
      <c r="E62" s="180" t="s">
        <v>208</v>
      </c>
      <c r="F62" s="180" t="s">
        <v>208</v>
      </c>
      <c r="G62" s="180" t="s">
        <v>208</v>
      </c>
      <c r="H62" s="181"/>
      <c r="I62" s="181"/>
      <c r="J62" s="181"/>
      <c r="K62" s="182" t="s">
        <v>240</v>
      </c>
    </row>
    <row r="63">
      <c r="A63" s="179">
        <f t="shared" si="2"/>
        <v>62</v>
      </c>
      <c r="B63" s="180"/>
      <c r="C63" s="180" t="s">
        <v>208</v>
      </c>
      <c r="D63" s="180" t="s">
        <v>208</v>
      </c>
      <c r="E63" s="180" t="s">
        <v>208</v>
      </c>
      <c r="F63" s="180" t="s">
        <v>208</v>
      </c>
      <c r="G63" s="180" t="s">
        <v>208</v>
      </c>
      <c r="H63" s="181"/>
      <c r="I63" s="181"/>
      <c r="J63" s="181"/>
      <c r="K63" s="182" t="s">
        <v>240</v>
      </c>
    </row>
    <row r="64">
      <c r="A64" s="179">
        <f t="shared" si="2"/>
        <v>63</v>
      </c>
      <c r="B64" s="180"/>
      <c r="C64" s="180" t="s">
        <v>208</v>
      </c>
      <c r="D64" s="180" t="s">
        <v>208</v>
      </c>
      <c r="E64" s="180" t="s">
        <v>208</v>
      </c>
      <c r="F64" s="180" t="s">
        <v>208</v>
      </c>
      <c r="G64" s="180" t="s">
        <v>208</v>
      </c>
      <c r="H64" s="181"/>
      <c r="I64" s="181"/>
      <c r="J64" s="181"/>
      <c r="K64" s="182" t="s">
        <v>240</v>
      </c>
    </row>
    <row r="65">
      <c r="A65" s="179">
        <f t="shared" si="2"/>
        <v>64</v>
      </c>
      <c r="B65" s="180"/>
      <c r="C65" s="180" t="s">
        <v>208</v>
      </c>
      <c r="D65" s="180" t="s">
        <v>208</v>
      </c>
      <c r="E65" s="180" t="s">
        <v>208</v>
      </c>
      <c r="F65" s="180" t="s">
        <v>208</v>
      </c>
      <c r="G65" s="180" t="s">
        <v>208</v>
      </c>
      <c r="H65" s="181"/>
      <c r="I65" s="181"/>
      <c r="J65" s="181"/>
      <c r="K65" s="182" t="s">
        <v>240</v>
      </c>
    </row>
    <row r="66">
      <c r="A66" s="179">
        <f t="shared" si="2"/>
        <v>65</v>
      </c>
      <c r="B66" s="180"/>
      <c r="C66" s="180" t="s">
        <v>208</v>
      </c>
      <c r="D66" s="180" t="s">
        <v>208</v>
      </c>
      <c r="E66" s="180" t="s">
        <v>208</v>
      </c>
      <c r="F66" s="180" t="s">
        <v>208</v>
      </c>
      <c r="G66" s="180" t="s">
        <v>208</v>
      </c>
      <c r="H66" s="181"/>
      <c r="I66" s="181"/>
      <c r="J66" s="181"/>
      <c r="K66" s="182" t="s">
        <v>240</v>
      </c>
    </row>
    <row r="67">
      <c r="A67" s="179">
        <f t="shared" si="2"/>
        <v>66</v>
      </c>
      <c r="B67" s="180"/>
      <c r="C67" s="180" t="s">
        <v>208</v>
      </c>
      <c r="D67" s="180" t="s">
        <v>208</v>
      </c>
      <c r="E67" s="180" t="s">
        <v>208</v>
      </c>
      <c r="F67" s="180" t="s">
        <v>208</v>
      </c>
      <c r="G67" s="180" t="s">
        <v>208</v>
      </c>
      <c r="H67" s="181"/>
      <c r="I67" s="181"/>
      <c r="J67" s="181"/>
      <c r="K67" s="182" t="s">
        <v>240</v>
      </c>
    </row>
    <row r="68">
      <c r="A68" s="179">
        <f t="shared" si="2"/>
        <v>67</v>
      </c>
      <c r="B68" s="180"/>
      <c r="C68" s="180" t="s">
        <v>208</v>
      </c>
      <c r="D68" s="180" t="s">
        <v>208</v>
      </c>
      <c r="E68" s="180" t="s">
        <v>208</v>
      </c>
      <c r="F68" s="180" t="s">
        <v>208</v>
      </c>
      <c r="G68" s="180" t="s">
        <v>208</v>
      </c>
      <c r="H68" s="181"/>
      <c r="I68" s="181"/>
      <c r="J68" s="181"/>
      <c r="K68" s="182" t="s">
        <v>240</v>
      </c>
    </row>
    <row r="69">
      <c r="A69" s="179">
        <f t="shared" si="2"/>
        <v>68</v>
      </c>
      <c r="B69" s="180"/>
      <c r="C69" s="180" t="s">
        <v>208</v>
      </c>
      <c r="D69" s="180" t="s">
        <v>208</v>
      </c>
      <c r="E69" s="180" t="s">
        <v>208</v>
      </c>
      <c r="F69" s="180" t="s">
        <v>208</v>
      </c>
      <c r="G69" s="180" t="s">
        <v>208</v>
      </c>
      <c r="H69" s="181"/>
      <c r="I69" s="181"/>
      <c r="J69" s="181"/>
      <c r="K69" s="182" t="s">
        <v>240</v>
      </c>
    </row>
    <row r="70">
      <c r="A70" s="179">
        <f t="shared" si="2"/>
        <v>69</v>
      </c>
      <c r="B70" s="180"/>
      <c r="C70" s="180" t="s">
        <v>208</v>
      </c>
      <c r="D70" s="180" t="s">
        <v>208</v>
      </c>
      <c r="E70" s="180" t="s">
        <v>208</v>
      </c>
      <c r="F70" s="180" t="s">
        <v>208</v>
      </c>
      <c r="G70" s="180" t="s">
        <v>208</v>
      </c>
      <c r="H70" s="181"/>
      <c r="I70" s="181"/>
      <c r="J70" s="181"/>
      <c r="K70" s="182" t="s">
        <v>240</v>
      </c>
    </row>
    <row r="71">
      <c r="A71" s="179">
        <f t="shared" si="2"/>
        <v>70</v>
      </c>
      <c r="B71" s="180"/>
      <c r="C71" s="180" t="s">
        <v>208</v>
      </c>
      <c r="D71" s="180" t="s">
        <v>208</v>
      </c>
      <c r="E71" s="180" t="s">
        <v>208</v>
      </c>
      <c r="F71" s="180" t="s">
        <v>208</v>
      </c>
      <c r="G71" s="180" t="s">
        <v>208</v>
      </c>
      <c r="H71" s="181"/>
      <c r="I71" s="181"/>
      <c r="J71" s="181"/>
      <c r="K71" s="182" t="s">
        <v>240</v>
      </c>
    </row>
    <row r="72">
      <c r="A72" s="179">
        <f t="shared" si="2"/>
        <v>71</v>
      </c>
      <c r="B72" s="180"/>
      <c r="C72" s="180" t="s">
        <v>208</v>
      </c>
      <c r="D72" s="180" t="s">
        <v>208</v>
      </c>
      <c r="E72" s="180" t="s">
        <v>208</v>
      </c>
      <c r="F72" s="180" t="s">
        <v>208</v>
      </c>
      <c r="G72" s="180" t="s">
        <v>208</v>
      </c>
      <c r="H72" s="181"/>
      <c r="I72" s="181"/>
      <c r="J72" s="180"/>
      <c r="K72" s="182" t="s">
        <v>240</v>
      </c>
    </row>
    <row r="73">
      <c r="A73" s="179">
        <f t="shared" si="2"/>
        <v>72</v>
      </c>
      <c r="B73" s="180"/>
      <c r="C73" s="180" t="s">
        <v>208</v>
      </c>
      <c r="D73" s="180" t="s">
        <v>208</v>
      </c>
      <c r="E73" s="180" t="s">
        <v>208</v>
      </c>
      <c r="F73" s="180" t="s">
        <v>208</v>
      </c>
      <c r="G73" s="180" t="s">
        <v>208</v>
      </c>
      <c r="H73" s="181"/>
      <c r="I73" s="181"/>
      <c r="J73" s="181"/>
      <c r="K73" s="182" t="s">
        <v>240</v>
      </c>
    </row>
    <row r="74">
      <c r="A74" s="179">
        <f t="shared" si="2"/>
        <v>73</v>
      </c>
      <c r="B74" s="180"/>
      <c r="C74" s="180" t="s">
        <v>208</v>
      </c>
      <c r="D74" s="180" t="s">
        <v>208</v>
      </c>
      <c r="E74" s="180" t="s">
        <v>208</v>
      </c>
      <c r="F74" s="180" t="s">
        <v>208</v>
      </c>
      <c r="G74" s="180" t="s">
        <v>208</v>
      </c>
      <c r="H74" s="181"/>
      <c r="I74" s="181"/>
      <c r="J74" s="181"/>
      <c r="K74" s="182" t="s">
        <v>240</v>
      </c>
    </row>
    <row r="75">
      <c r="A75" s="179">
        <f t="shared" si="2"/>
        <v>74</v>
      </c>
      <c r="B75" s="180"/>
      <c r="C75" s="180" t="s">
        <v>208</v>
      </c>
      <c r="D75" s="180" t="s">
        <v>208</v>
      </c>
      <c r="E75" s="180" t="s">
        <v>208</v>
      </c>
      <c r="F75" s="180" t="s">
        <v>208</v>
      </c>
      <c r="G75" s="180" t="s">
        <v>208</v>
      </c>
      <c r="H75" s="181"/>
      <c r="I75" s="181"/>
      <c r="J75" s="181"/>
      <c r="K75" s="182" t="s">
        <v>240</v>
      </c>
    </row>
    <row r="76">
      <c r="A76" s="179">
        <f t="shared" si="2"/>
        <v>75</v>
      </c>
      <c r="B76" s="180"/>
      <c r="C76" s="180" t="s">
        <v>208</v>
      </c>
      <c r="D76" s="180" t="s">
        <v>208</v>
      </c>
      <c r="E76" s="180" t="s">
        <v>208</v>
      </c>
      <c r="F76" s="180" t="s">
        <v>208</v>
      </c>
      <c r="G76" s="180" t="s">
        <v>208</v>
      </c>
      <c r="H76" s="181"/>
      <c r="I76" s="181"/>
      <c r="J76" s="181"/>
      <c r="K76" s="182" t="s">
        <v>240</v>
      </c>
    </row>
    <row r="77">
      <c r="A77" s="179">
        <f t="shared" si="2"/>
        <v>76</v>
      </c>
      <c r="B77" s="180"/>
      <c r="C77" s="180" t="s">
        <v>208</v>
      </c>
      <c r="D77" s="180" t="s">
        <v>208</v>
      </c>
      <c r="E77" s="180" t="s">
        <v>208</v>
      </c>
      <c r="F77" s="180" t="s">
        <v>208</v>
      </c>
      <c r="G77" s="180" t="s">
        <v>208</v>
      </c>
      <c r="H77" s="181"/>
      <c r="I77" s="181"/>
      <c r="J77" s="181"/>
      <c r="K77" s="182" t="s">
        <v>240</v>
      </c>
    </row>
    <row r="78">
      <c r="A78" s="179">
        <f t="shared" si="2"/>
        <v>77</v>
      </c>
      <c r="B78" s="180"/>
      <c r="C78" s="180" t="s">
        <v>208</v>
      </c>
      <c r="D78" s="180" t="s">
        <v>208</v>
      </c>
      <c r="E78" s="180" t="s">
        <v>208</v>
      </c>
      <c r="F78" s="180" t="s">
        <v>208</v>
      </c>
      <c r="G78" s="180" t="s">
        <v>208</v>
      </c>
      <c r="H78" s="181"/>
      <c r="I78" s="181"/>
      <c r="J78" s="181"/>
      <c r="K78" s="182" t="s">
        <v>240</v>
      </c>
    </row>
    <row r="79">
      <c r="A79" s="179">
        <f t="shared" si="2"/>
        <v>78</v>
      </c>
      <c r="B79" s="180"/>
      <c r="C79" s="180" t="s">
        <v>208</v>
      </c>
      <c r="D79" s="180" t="s">
        <v>208</v>
      </c>
      <c r="E79" s="180" t="s">
        <v>208</v>
      </c>
      <c r="F79" s="180" t="s">
        <v>208</v>
      </c>
      <c r="G79" s="180" t="s">
        <v>208</v>
      </c>
      <c r="H79" s="181"/>
      <c r="I79" s="181"/>
      <c r="J79" s="181"/>
      <c r="K79" s="182" t="s">
        <v>240</v>
      </c>
    </row>
    <row r="80">
      <c r="A80" s="179">
        <f t="shared" si="2"/>
        <v>79</v>
      </c>
      <c r="B80" s="180"/>
      <c r="C80" s="180" t="s">
        <v>208</v>
      </c>
      <c r="D80" s="180" t="s">
        <v>208</v>
      </c>
      <c r="E80" s="180" t="s">
        <v>208</v>
      </c>
      <c r="F80" s="180" t="s">
        <v>208</v>
      </c>
      <c r="G80" s="180" t="s">
        <v>208</v>
      </c>
      <c r="H80" s="181"/>
      <c r="I80" s="181"/>
      <c r="J80" s="181"/>
      <c r="K80" s="182" t="s">
        <v>240</v>
      </c>
    </row>
    <row r="81">
      <c r="A81" s="179">
        <f t="shared" si="2"/>
        <v>80</v>
      </c>
      <c r="B81" s="180"/>
      <c r="C81" s="180"/>
      <c r="D81" s="180"/>
      <c r="E81" s="180"/>
      <c r="F81" s="180"/>
      <c r="G81" s="180"/>
      <c r="H81" s="181"/>
      <c r="I81" s="181"/>
      <c r="J81" s="180" t="s">
        <v>242</v>
      </c>
      <c r="K81" s="182" t="s">
        <v>240</v>
      </c>
    </row>
    <row r="82">
      <c r="A82" s="179">
        <f t="shared" si="2"/>
        <v>81</v>
      </c>
      <c r="B82" s="180"/>
      <c r="C82" s="180" t="s">
        <v>208</v>
      </c>
      <c r="D82" s="180" t="s">
        <v>208</v>
      </c>
      <c r="E82" s="180" t="s">
        <v>208</v>
      </c>
      <c r="F82" s="180" t="s">
        <v>208</v>
      </c>
      <c r="G82" s="180" t="s">
        <v>208</v>
      </c>
      <c r="H82" s="181"/>
      <c r="I82" s="181"/>
      <c r="J82" s="181"/>
      <c r="K82" s="182" t="s">
        <v>240</v>
      </c>
    </row>
    <row r="83">
      <c r="A83" s="179">
        <f t="shared" si="2"/>
        <v>82</v>
      </c>
      <c r="B83" s="180"/>
      <c r="C83" s="180" t="s">
        <v>208</v>
      </c>
      <c r="D83" s="180" t="s">
        <v>208</v>
      </c>
      <c r="E83" s="180" t="s">
        <v>208</v>
      </c>
      <c r="F83" s="180" t="s">
        <v>208</v>
      </c>
      <c r="G83" s="180" t="s">
        <v>208</v>
      </c>
      <c r="H83" s="181"/>
      <c r="I83" s="181"/>
      <c r="J83" s="181"/>
      <c r="K83" s="182" t="s">
        <v>240</v>
      </c>
    </row>
    <row r="84">
      <c r="A84" s="179">
        <f t="shared" si="2"/>
        <v>83</v>
      </c>
      <c r="B84" s="180"/>
      <c r="C84" s="180" t="s">
        <v>208</v>
      </c>
      <c r="D84" s="180" t="s">
        <v>208</v>
      </c>
      <c r="E84" s="180" t="s">
        <v>208</v>
      </c>
      <c r="F84" s="180" t="s">
        <v>208</v>
      </c>
      <c r="G84" s="180" t="s">
        <v>208</v>
      </c>
      <c r="H84" s="185"/>
      <c r="I84" s="180"/>
      <c r="J84" s="180"/>
      <c r="K84" s="182" t="s">
        <v>240</v>
      </c>
    </row>
    <row r="85">
      <c r="A85" s="179">
        <f t="shared" si="2"/>
        <v>84</v>
      </c>
      <c r="B85" s="180"/>
      <c r="C85" s="180" t="s">
        <v>208</v>
      </c>
      <c r="D85" s="180" t="s">
        <v>208</v>
      </c>
      <c r="E85" s="180" t="s">
        <v>208</v>
      </c>
      <c r="F85" s="180" t="s">
        <v>208</v>
      </c>
      <c r="G85" s="180" t="s">
        <v>208</v>
      </c>
      <c r="H85" s="181"/>
      <c r="I85" s="181"/>
      <c r="J85" s="181"/>
      <c r="K85" s="182" t="s">
        <v>240</v>
      </c>
    </row>
    <row r="86">
      <c r="A86" s="179">
        <f t="shared" si="2"/>
        <v>85</v>
      </c>
      <c r="B86" s="180"/>
      <c r="C86" s="180"/>
      <c r="D86" s="180"/>
      <c r="E86" s="180"/>
      <c r="F86" s="180"/>
      <c r="G86" s="181"/>
      <c r="H86" s="181"/>
      <c r="I86" s="181"/>
      <c r="J86" s="180" t="s">
        <v>242</v>
      </c>
      <c r="K86" s="182" t="s">
        <v>240</v>
      </c>
    </row>
    <row r="87">
      <c r="A87" s="179">
        <f t="shared" si="2"/>
        <v>86</v>
      </c>
      <c r="B87" s="180"/>
      <c r="C87" s="180" t="s">
        <v>208</v>
      </c>
      <c r="D87" s="180" t="s">
        <v>208</v>
      </c>
      <c r="E87" s="180" t="s">
        <v>208</v>
      </c>
      <c r="F87" s="180" t="s">
        <v>208</v>
      </c>
      <c r="G87" s="180" t="s">
        <v>208</v>
      </c>
      <c r="H87" s="185"/>
      <c r="I87" s="180"/>
      <c r="J87" s="181"/>
      <c r="K87" s="182" t="s">
        <v>240</v>
      </c>
    </row>
    <row r="88">
      <c r="A88" s="179">
        <f t="shared" si="2"/>
        <v>87</v>
      </c>
      <c r="B88" s="180"/>
      <c r="C88" s="180" t="s">
        <v>208</v>
      </c>
      <c r="D88" s="180" t="s">
        <v>208</v>
      </c>
      <c r="E88" s="180" t="s">
        <v>208</v>
      </c>
      <c r="F88" s="180" t="s">
        <v>208</v>
      </c>
      <c r="G88" s="180" t="s">
        <v>208</v>
      </c>
      <c r="H88" s="181"/>
      <c r="I88" s="181"/>
      <c r="J88" s="181"/>
      <c r="K88" s="182" t="s">
        <v>240</v>
      </c>
    </row>
    <row r="89">
      <c r="A89" s="179">
        <f t="shared" si="2"/>
        <v>88</v>
      </c>
      <c r="B89" s="180"/>
      <c r="C89" s="180" t="s">
        <v>208</v>
      </c>
      <c r="D89" s="180" t="s">
        <v>208</v>
      </c>
      <c r="E89" s="180" t="s">
        <v>208</v>
      </c>
      <c r="F89" s="180" t="s">
        <v>208</v>
      </c>
      <c r="G89" s="180" t="s">
        <v>208</v>
      </c>
      <c r="H89" s="181"/>
      <c r="I89" s="181"/>
      <c r="J89" s="181"/>
      <c r="K89" s="182" t="s">
        <v>240</v>
      </c>
    </row>
    <row r="90">
      <c r="A90" s="179">
        <f t="shared" si="2"/>
        <v>89</v>
      </c>
      <c r="B90" s="180"/>
      <c r="C90" s="180" t="s">
        <v>208</v>
      </c>
      <c r="D90" s="180" t="s">
        <v>208</v>
      </c>
      <c r="E90" s="180" t="s">
        <v>208</v>
      </c>
      <c r="F90" s="180" t="s">
        <v>208</v>
      </c>
      <c r="G90" s="180" t="s">
        <v>208</v>
      </c>
      <c r="H90" s="181"/>
      <c r="I90" s="181"/>
      <c r="J90" s="181"/>
      <c r="K90" s="182" t="s">
        <v>240</v>
      </c>
    </row>
    <row r="91">
      <c r="A91" s="179">
        <f t="shared" si="2"/>
        <v>90</v>
      </c>
      <c r="B91" s="180"/>
      <c r="C91" s="180" t="s">
        <v>208</v>
      </c>
      <c r="D91" s="180" t="s">
        <v>208</v>
      </c>
      <c r="E91" s="180" t="s">
        <v>208</v>
      </c>
      <c r="F91" s="180" t="s">
        <v>208</v>
      </c>
      <c r="G91" s="180" t="s">
        <v>208</v>
      </c>
      <c r="H91" s="181"/>
      <c r="I91" s="181"/>
      <c r="J91" s="181"/>
      <c r="K91" s="182" t="s">
        <v>240</v>
      </c>
    </row>
    <row r="92">
      <c r="A92" s="179">
        <f t="shared" si="2"/>
        <v>91</v>
      </c>
      <c r="B92" s="180"/>
      <c r="C92" s="180" t="s">
        <v>208</v>
      </c>
      <c r="D92" s="180" t="s">
        <v>208</v>
      </c>
      <c r="E92" s="180" t="s">
        <v>208</v>
      </c>
      <c r="F92" s="180" t="s">
        <v>208</v>
      </c>
      <c r="G92" s="180" t="s">
        <v>208</v>
      </c>
      <c r="H92" s="181"/>
      <c r="I92" s="181"/>
      <c r="J92" s="181"/>
      <c r="K92" s="182" t="s">
        <v>240</v>
      </c>
    </row>
    <row r="93">
      <c r="A93" s="179">
        <f t="shared" si="2"/>
        <v>92</v>
      </c>
      <c r="B93" s="180"/>
      <c r="C93" s="180" t="s">
        <v>208</v>
      </c>
      <c r="D93" s="180" t="s">
        <v>208</v>
      </c>
      <c r="E93" s="180" t="s">
        <v>208</v>
      </c>
      <c r="F93" s="180" t="s">
        <v>208</v>
      </c>
      <c r="G93" s="180" t="s">
        <v>208</v>
      </c>
      <c r="H93" s="181"/>
      <c r="I93" s="181"/>
      <c r="J93" s="181"/>
      <c r="K93" s="182" t="s">
        <v>240</v>
      </c>
    </row>
    <row r="94">
      <c r="A94" s="179">
        <f t="shared" si="2"/>
        <v>93</v>
      </c>
      <c r="B94" s="180"/>
      <c r="C94" s="180" t="s">
        <v>208</v>
      </c>
      <c r="D94" s="180" t="s">
        <v>208</v>
      </c>
      <c r="E94" s="180" t="s">
        <v>208</v>
      </c>
      <c r="F94" s="180" t="s">
        <v>208</v>
      </c>
      <c r="G94" s="180" t="s">
        <v>208</v>
      </c>
      <c r="H94" s="181"/>
      <c r="I94" s="181"/>
      <c r="J94" s="181"/>
      <c r="K94" s="182" t="s">
        <v>240</v>
      </c>
    </row>
    <row r="95">
      <c r="A95" s="179">
        <f t="shared" si="2"/>
        <v>94</v>
      </c>
      <c r="B95" s="180"/>
      <c r="C95" s="180" t="s">
        <v>208</v>
      </c>
      <c r="D95" s="180" t="s">
        <v>208</v>
      </c>
      <c r="E95" s="180" t="s">
        <v>208</v>
      </c>
      <c r="F95" s="180" t="s">
        <v>208</v>
      </c>
      <c r="G95" s="180" t="s">
        <v>208</v>
      </c>
      <c r="H95" s="181"/>
      <c r="I95" s="181"/>
      <c r="J95" s="181"/>
      <c r="K95" s="182" t="s">
        <v>240</v>
      </c>
    </row>
    <row r="96">
      <c r="A96" s="179">
        <f t="shared" si="2"/>
        <v>95</v>
      </c>
      <c r="B96" s="180"/>
      <c r="C96" s="180" t="s">
        <v>208</v>
      </c>
      <c r="D96" s="180" t="s">
        <v>208</v>
      </c>
      <c r="E96" s="180" t="s">
        <v>208</v>
      </c>
      <c r="F96" s="180" t="s">
        <v>208</v>
      </c>
      <c r="G96" s="180" t="s">
        <v>208</v>
      </c>
      <c r="H96" s="181"/>
      <c r="I96" s="181"/>
      <c r="J96" s="181"/>
      <c r="K96" s="182" t="s">
        <v>240</v>
      </c>
    </row>
    <row r="97">
      <c r="A97" s="179">
        <f t="shared" si="2"/>
        <v>96</v>
      </c>
      <c r="B97" s="180"/>
      <c r="C97" s="180" t="s">
        <v>208</v>
      </c>
      <c r="D97" s="180" t="s">
        <v>208</v>
      </c>
      <c r="E97" s="180"/>
      <c r="F97" s="180" t="s">
        <v>208</v>
      </c>
      <c r="G97" s="180" t="s">
        <v>208</v>
      </c>
      <c r="H97" s="181"/>
      <c r="I97" s="181"/>
      <c r="J97" s="180"/>
      <c r="K97" s="182" t="s">
        <v>240</v>
      </c>
    </row>
    <row r="98">
      <c r="A98" s="179">
        <f t="shared" si="2"/>
        <v>97</v>
      </c>
      <c r="B98" s="180"/>
      <c r="C98" s="180" t="s">
        <v>208</v>
      </c>
      <c r="D98" s="180" t="s">
        <v>208</v>
      </c>
      <c r="E98" s="180" t="s">
        <v>208</v>
      </c>
      <c r="F98" s="180" t="s">
        <v>208</v>
      </c>
      <c r="G98" s="180" t="s">
        <v>208</v>
      </c>
      <c r="H98" s="181"/>
      <c r="I98" s="181"/>
      <c r="J98" s="180"/>
      <c r="K98" s="182" t="s">
        <v>240</v>
      </c>
    </row>
    <row r="99">
      <c r="A99" s="179">
        <f t="shared" si="2"/>
        <v>98</v>
      </c>
      <c r="B99" s="180"/>
      <c r="C99" s="180" t="s">
        <v>208</v>
      </c>
      <c r="D99" s="180" t="s">
        <v>208</v>
      </c>
      <c r="E99" s="180" t="s">
        <v>208</v>
      </c>
      <c r="F99" s="180" t="s">
        <v>208</v>
      </c>
      <c r="G99" s="180" t="s">
        <v>208</v>
      </c>
      <c r="H99" s="181"/>
      <c r="I99" s="181"/>
      <c r="J99" s="180"/>
      <c r="K99" s="182" t="s">
        <v>240</v>
      </c>
    </row>
    <row r="100">
      <c r="A100" s="179">
        <f t="shared" si="2"/>
        <v>99</v>
      </c>
      <c r="B100" s="180"/>
      <c r="C100" s="180" t="s">
        <v>208</v>
      </c>
      <c r="D100" s="180" t="s">
        <v>243</v>
      </c>
      <c r="E100" s="180" t="s">
        <v>208</v>
      </c>
      <c r="F100" s="180" t="s">
        <v>208</v>
      </c>
      <c r="G100" s="180" t="s">
        <v>208</v>
      </c>
      <c r="H100" s="181"/>
      <c r="I100" s="181"/>
      <c r="J100" s="181"/>
      <c r="K100" s="182" t="s">
        <v>240</v>
      </c>
    </row>
    <row r="101">
      <c r="A101" s="179">
        <f t="shared" si="2"/>
        <v>100</v>
      </c>
      <c r="B101" s="180"/>
      <c r="C101" s="180" t="s">
        <v>208</v>
      </c>
      <c r="D101" s="180" t="s">
        <v>208</v>
      </c>
      <c r="E101" s="180" t="s">
        <v>208</v>
      </c>
      <c r="F101" s="180" t="s">
        <v>208</v>
      </c>
      <c r="G101" s="180" t="s">
        <v>208</v>
      </c>
      <c r="H101" s="181"/>
      <c r="I101" s="181"/>
      <c r="J101" s="181"/>
      <c r="K101" s="182" t="s">
        <v>240</v>
      </c>
    </row>
    <row r="102">
      <c r="A102" s="179">
        <f t="shared" si="2"/>
        <v>101</v>
      </c>
      <c r="B102" s="180"/>
      <c r="C102" s="180" t="s">
        <v>208</v>
      </c>
      <c r="D102" s="180" t="s">
        <v>208</v>
      </c>
      <c r="E102" s="180" t="s">
        <v>208</v>
      </c>
      <c r="F102" s="180" t="s">
        <v>208</v>
      </c>
      <c r="G102" s="180" t="s">
        <v>208</v>
      </c>
      <c r="H102" s="181"/>
      <c r="I102" s="181"/>
      <c r="J102" s="181"/>
      <c r="K102" s="182" t="s">
        <v>240</v>
      </c>
    </row>
    <row r="103">
      <c r="A103" s="179">
        <f t="shared" si="2"/>
        <v>102</v>
      </c>
      <c r="B103" s="180"/>
      <c r="C103" s="180" t="s">
        <v>208</v>
      </c>
      <c r="D103" s="180" t="s">
        <v>208</v>
      </c>
      <c r="E103" s="180" t="s">
        <v>208</v>
      </c>
      <c r="F103" s="180" t="s">
        <v>208</v>
      </c>
      <c r="G103" s="180" t="s">
        <v>208</v>
      </c>
      <c r="H103" s="181"/>
      <c r="I103" s="181"/>
      <c r="J103" s="181"/>
      <c r="K103" s="182" t="s">
        <v>240</v>
      </c>
    </row>
    <row r="104">
      <c r="A104" s="179">
        <f t="shared" si="2"/>
        <v>103</v>
      </c>
      <c r="B104" s="180"/>
      <c r="C104" s="180" t="s">
        <v>208</v>
      </c>
      <c r="D104" s="180" t="s">
        <v>208</v>
      </c>
      <c r="E104" s="180" t="s">
        <v>208</v>
      </c>
      <c r="F104" s="180" t="s">
        <v>208</v>
      </c>
      <c r="G104" s="180" t="s">
        <v>208</v>
      </c>
      <c r="H104" s="181"/>
      <c r="I104" s="181"/>
      <c r="J104" s="181"/>
      <c r="K104" s="182" t="s">
        <v>240</v>
      </c>
    </row>
    <row r="105">
      <c r="A105" s="179">
        <f t="shared" si="2"/>
        <v>104</v>
      </c>
      <c r="B105" s="180"/>
      <c r="C105" s="180" t="s">
        <v>208</v>
      </c>
      <c r="D105" s="180" t="s">
        <v>208</v>
      </c>
      <c r="E105" s="180" t="s">
        <v>208</v>
      </c>
      <c r="F105" s="180" t="s">
        <v>208</v>
      </c>
      <c r="G105" s="180" t="s">
        <v>208</v>
      </c>
      <c r="H105" s="181"/>
      <c r="I105" s="181"/>
      <c r="J105" s="181"/>
      <c r="K105" s="182" t="s">
        <v>240</v>
      </c>
    </row>
    <row r="106">
      <c r="A106" s="179">
        <f t="shared" si="2"/>
        <v>105</v>
      </c>
      <c r="B106" s="180"/>
      <c r="C106" s="180" t="s">
        <v>208</v>
      </c>
      <c r="D106" s="180" t="s">
        <v>208</v>
      </c>
      <c r="E106" s="180" t="s">
        <v>208</v>
      </c>
      <c r="F106" s="180" t="s">
        <v>208</v>
      </c>
      <c r="G106" s="180" t="s">
        <v>208</v>
      </c>
      <c r="H106" s="180"/>
      <c r="I106" s="181"/>
      <c r="J106" s="181"/>
      <c r="K106" s="182" t="s">
        <v>240</v>
      </c>
    </row>
    <row r="107">
      <c r="A107" s="179">
        <f t="shared" si="2"/>
        <v>106</v>
      </c>
      <c r="B107" s="180"/>
      <c r="C107" s="180" t="s">
        <v>208</v>
      </c>
      <c r="D107" s="180" t="s">
        <v>208</v>
      </c>
      <c r="E107" s="180" t="s">
        <v>208</v>
      </c>
      <c r="F107" s="180" t="s">
        <v>208</v>
      </c>
      <c r="G107" s="180" t="s">
        <v>208</v>
      </c>
      <c r="H107" s="181"/>
      <c r="I107" s="181"/>
      <c r="J107" s="181"/>
      <c r="K107" s="182" t="s">
        <v>240</v>
      </c>
    </row>
    <row r="108">
      <c r="A108" s="179">
        <f t="shared" si="2"/>
        <v>107</v>
      </c>
      <c r="B108" s="180"/>
      <c r="C108" s="180" t="s">
        <v>208</v>
      </c>
      <c r="D108" s="180" t="s">
        <v>208</v>
      </c>
      <c r="E108" s="180" t="s">
        <v>208</v>
      </c>
      <c r="F108" s="180" t="s">
        <v>208</v>
      </c>
      <c r="G108" s="180" t="s">
        <v>208</v>
      </c>
      <c r="H108" s="181"/>
      <c r="I108" s="181"/>
      <c r="J108" s="181"/>
      <c r="K108" s="182" t="s">
        <v>240</v>
      </c>
    </row>
    <row r="109">
      <c r="A109" s="179">
        <f t="shared" si="2"/>
        <v>108</v>
      </c>
      <c r="B109" s="180"/>
      <c r="C109" s="180" t="s">
        <v>208</v>
      </c>
      <c r="D109" s="180" t="s">
        <v>208</v>
      </c>
      <c r="E109" s="180" t="s">
        <v>208</v>
      </c>
      <c r="F109" s="180" t="s">
        <v>208</v>
      </c>
      <c r="G109" s="180" t="s">
        <v>208</v>
      </c>
      <c r="H109" s="181"/>
      <c r="I109" s="181"/>
      <c r="J109" s="181"/>
      <c r="K109" s="182" t="s">
        <v>240</v>
      </c>
    </row>
    <row r="110">
      <c r="A110" s="179">
        <f t="shared" si="2"/>
        <v>109</v>
      </c>
      <c r="B110" s="180"/>
      <c r="C110" s="180" t="s">
        <v>208</v>
      </c>
      <c r="D110" s="180" t="s">
        <v>243</v>
      </c>
      <c r="E110" s="180" t="s">
        <v>208</v>
      </c>
      <c r="F110" s="180" t="s">
        <v>208</v>
      </c>
      <c r="G110" s="180" t="s">
        <v>208</v>
      </c>
      <c r="H110" s="181"/>
      <c r="I110" s="181"/>
      <c r="J110" s="181"/>
      <c r="K110" s="182" t="s">
        <v>240</v>
      </c>
    </row>
    <row r="111">
      <c r="A111" s="179">
        <f t="shared" si="2"/>
        <v>110</v>
      </c>
      <c r="B111" s="180"/>
      <c r="C111" s="180" t="s">
        <v>208</v>
      </c>
      <c r="D111" s="180" t="s">
        <v>208</v>
      </c>
      <c r="E111" s="180" t="s">
        <v>208</v>
      </c>
      <c r="F111" s="180"/>
      <c r="G111" s="180" t="s">
        <v>208</v>
      </c>
      <c r="H111" s="181"/>
      <c r="I111" s="181"/>
      <c r="J111" s="180"/>
      <c r="K111" s="182" t="s">
        <v>240</v>
      </c>
    </row>
    <row r="112">
      <c r="A112" s="179">
        <f t="shared" si="2"/>
        <v>111</v>
      </c>
      <c r="B112" s="180"/>
      <c r="C112" s="180" t="s">
        <v>208</v>
      </c>
      <c r="D112" s="180" t="s">
        <v>208</v>
      </c>
      <c r="E112" s="180" t="s">
        <v>208</v>
      </c>
      <c r="F112" s="180" t="s">
        <v>208</v>
      </c>
      <c r="G112" s="180" t="s">
        <v>208</v>
      </c>
      <c r="H112" s="181"/>
      <c r="I112" s="181"/>
      <c r="J112" s="181"/>
      <c r="K112" s="182" t="s">
        <v>240</v>
      </c>
    </row>
    <row r="113">
      <c r="A113" s="179">
        <f t="shared" si="2"/>
        <v>112</v>
      </c>
      <c r="B113" s="180"/>
      <c r="C113" s="180" t="s">
        <v>208</v>
      </c>
      <c r="D113" s="180" t="s">
        <v>208</v>
      </c>
      <c r="E113" s="180" t="s">
        <v>208</v>
      </c>
      <c r="F113" s="180"/>
      <c r="G113" s="180" t="s">
        <v>208</v>
      </c>
      <c r="H113" s="181"/>
      <c r="I113" s="181"/>
      <c r="J113" s="181"/>
      <c r="K113" s="182" t="s">
        <v>240</v>
      </c>
    </row>
    <row r="114">
      <c r="A114" s="179">
        <f t="shared" si="2"/>
        <v>113</v>
      </c>
      <c r="B114" s="180"/>
      <c r="C114" s="180" t="s">
        <v>208</v>
      </c>
      <c r="D114" s="180" t="s">
        <v>208</v>
      </c>
      <c r="E114" s="180" t="s">
        <v>208</v>
      </c>
      <c r="F114" s="180" t="s">
        <v>208</v>
      </c>
      <c r="G114" s="180" t="s">
        <v>208</v>
      </c>
      <c r="H114" s="181"/>
      <c r="I114" s="181"/>
      <c r="J114" s="181"/>
      <c r="K114" s="182" t="s">
        <v>240</v>
      </c>
    </row>
    <row r="115">
      <c r="A115" s="179">
        <f t="shared" si="2"/>
        <v>114</v>
      </c>
      <c r="B115" s="180"/>
      <c r="C115" s="180" t="s">
        <v>208</v>
      </c>
      <c r="D115" s="180" t="s">
        <v>208</v>
      </c>
      <c r="E115" s="180" t="s">
        <v>208</v>
      </c>
      <c r="F115" s="180" t="s">
        <v>208</v>
      </c>
      <c r="G115" s="180" t="s">
        <v>208</v>
      </c>
      <c r="H115" s="181"/>
      <c r="I115" s="181"/>
      <c r="J115" s="181"/>
      <c r="K115" s="182" t="s">
        <v>240</v>
      </c>
    </row>
    <row r="116">
      <c r="A116" s="179">
        <f t="shared" si="2"/>
        <v>115</v>
      </c>
      <c r="B116" s="180"/>
      <c r="C116" s="180" t="s">
        <v>208</v>
      </c>
      <c r="D116" s="180" t="s">
        <v>208</v>
      </c>
      <c r="E116" s="180"/>
      <c r="F116" s="180" t="s">
        <v>208</v>
      </c>
      <c r="G116" s="180" t="s">
        <v>208</v>
      </c>
      <c r="H116" s="181"/>
      <c r="I116" s="181"/>
      <c r="J116" s="181"/>
      <c r="K116" s="182" t="s">
        <v>240</v>
      </c>
    </row>
    <row r="117">
      <c r="A117" s="179">
        <f t="shared" si="2"/>
        <v>116</v>
      </c>
      <c r="B117" s="180"/>
      <c r="C117" s="180" t="s">
        <v>208</v>
      </c>
      <c r="D117" s="180" t="s">
        <v>208</v>
      </c>
      <c r="E117" s="180" t="s">
        <v>208</v>
      </c>
      <c r="F117" s="180" t="s">
        <v>208</v>
      </c>
      <c r="G117" s="180" t="s">
        <v>208</v>
      </c>
      <c r="H117" s="181"/>
      <c r="I117" s="181"/>
      <c r="J117" s="181"/>
      <c r="K117" s="182" t="s">
        <v>240</v>
      </c>
    </row>
    <row r="118">
      <c r="A118" s="179">
        <f t="shared" si="2"/>
        <v>117</v>
      </c>
      <c r="B118" s="181"/>
      <c r="C118" s="180" t="s">
        <v>208</v>
      </c>
      <c r="D118" s="180" t="s">
        <v>208</v>
      </c>
      <c r="E118" s="180" t="s">
        <v>208</v>
      </c>
      <c r="F118" s="180" t="s">
        <v>208</v>
      </c>
      <c r="G118" s="180" t="s">
        <v>208</v>
      </c>
      <c r="H118" s="181"/>
      <c r="I118" s="181"/>
      <c r="J118" s="181"/>
      <c r="K118" s="182" t="s">
        <v>240</v>
      </c>
    </row>
    <row r="119">
      <c r="A119" s="179">
        <f t="shared" si="2"/>
        <v>118</v>
      </c>
      <c r="B119" s="180"/>
      <c r="C119" s="180" t="s">
        <v>208</v>
      </c>
      <c r="D119" s="180" t="s">
        <v>208</v>
      </c>
      <c r="E119" s="180" t="s">
        <v>208</v>
      </c>
      <c r="F119" s="180" t="s">
        <v>208</v>
      </c>
      <c r="G119" s="180" t="s">
        <v>208</v>
      </c>
      <c r="H119" s="181"/>
      <c r="I119" s="181"/>
      <c r="J119" s="181"/>
      <c r="K119" s="182" t="s">
        <v>240</v>
      </c>
    </row>
    <row r="120">
      <c r="A120" s="179">
        <f t="shared" si="2"/>
        <v>119</v>
      </c>
      <c r="B120" s="180"/>
      <c r="C120" s="180" t="s">
        <v>208</v>
      </c>
      <c r="D120" s="180" t="s">
        <v>208</v>
      </c>
      <c r="E120" s="180" t="s">
        <v>208</v>
      </c>
      <c r="F120" s="180" t="s">
        <v>208</v>
      </c>
      <c r="G120" s="180" t="s">
        <v>208</v>
      </c>
      <c r="H120" s="181"/>
      <c r="I120" s="181"/>
      <c r="J120" s="181"/>
      <c r="K120" s="182" t="s">
        <v>240</v>
      </c>
    </row>
    <row r="121">
      <c r="A121" s="179">
        <f t="shared" si="2"/>
        <v>120</v>
      </c>
      <c r="B121" s="180"/>
      <c r="C121" s="180" t="s">
        <v>208</v>
      </c>
      <c r="D121" s="180" t="s">
        <v>208</v>
      </c>
      <c r="E121" s="180" t="s">
        <v>208</v>
      </c>
      <c r="F121" s="180" t="s">
        <v>208</v>
      </c>
      <c r="G121" s="180" t="s">
        <v>208</v>
      </c>
      <c r="H121" s="181"/>
      <c r="I121" s="181"/>
      <c r="J121" s="181"/>
      <c r="K121" s="182" t="s">
        <v>240</v>
      </c>
    </row>
    <row r="122">
      <c r="A122" s="179">
        <f t="shared" si="2"/>
        <v>121</v>
      </c>
      <c r="B122" s="180"/>
      <c r="C122" s="180" t="s">
        <v>208</v>
      </c>
      <c r="D122" s="180" t="s">
        <v>208</v>
      </c>
      <c r="E122" s="180" t="s">
        <v>208</v>
      </c>
      <c r="F122" s="180" t="s">
        <v>208</v>
      </c>
      <c r="G122" s="180" t="s">
        <v>208</v>
      </c>
      <c r="H122" s="180"/>
      <c r="I122" s="181"/>
      <c r="J122" s="180"/>
      <c r="K122" s="182" t="s">
        <v>240</v>
      </c>
    </row>
    <row r="123">
      <c r="A123" s="179">
        <f t="shared" si="2"/>
        <v>122</v>
      </c>
      <c r="B123" s="180"/>
      <c r="C123" s="180" t="s">
        <v>208</v>
      </c>
      <c r="D123" s="180" t="s">
        <v>208</v>
      </c>
      <c r="E123" s="180" t="s">
        <v>208</v>
      </c>
      <c r="F123" s="180" t="s">
        <v>208</v>
      </c>
      <c r="G123" s="180" t="s">
        <v>208</v>
      </c>
      <c r="H123" s="180"/>
      <c r="I123" s="181"/>
      <c r="J123" s="180"/>
      <c r="K123" s="182" t="s">
        <v>240</v>
      </c>
    </row>
    <row r="124">
      <c r="A124" s="179">
        <f t="shared" si="2"/>
        <v>123</v>
      </c>
      <c r="B124" s="180"/>
      <c r="C124" s="180" t="s">
        <v>208</v>
      </c>
      <c r="D124" s="180" t="s">
        <v>208</v>
      </c>
      <c r="E124" s="180" t="s">
        <v>208</v>
      </c>
      <c r="F124" s="180" t="s">
        <v>208</v>
      </c>
      <c r="G124" s="180" t="s">
        <v>208</v>
      </c>
      <c r="H124" s="181"/>
      <c r="I124" s="181"/>
      <c r="J124" s="181"/>
      <c r="K124" s="182" t="s">
        <v>240</v>
      </c>
    </row>
    <row r="125">
      <c r="A125" s="179">
        <f t="shared" si="2"/>
        <v>124</v>
      </c>
      <c r="B125" s="180"/>
      <c r="C125" s="180" t="s">
        <v>208</v>
      </c>
      <c r="D125" s="180" t="s">
        <v>208</v>
      </c>
      <c r="E125" s="180" t="s">
        <v>208</v>
      </c>
      <c r="F125" s="180" t="s">
        <v>208</v>
      </c>
      <c r="G125" s="180" t="s">
        <v>208</v>
      </c>
      <c r="H125" s="181"/>
      <c r="I125" s="181"/>
      <c r="J125" s="181"/>
      <c r="K125" s="182" t="s">
        <v>240</v>
      </c>
    </row>
    <row r="126">
      <c r="A126" s="179">
        <f t="shared" si="2"/>
        <v>125</v>
      </c>
      <c r="B126" s="180"/>
      <c r="C126" s="180" t="s">
        <v>208</v>
      </c>
      <c r="D126" s="180" t="s">
        <v>208</v>
      </c>
      <c r="E126" s="180" t="s">
        <v>208</v>
      </c>
      <c r="F126" s="180" t="s">
        <v>208</v>
      </c>
      <c r="G126" s="180" t="s">
        <v>208</v>
      </c>
      <c r="H126" s="181"/>
      <c r="I126" s="181"/>
      <c r="J126" s="181"/>
      <c r="K126" s="182" t="s">
        <v>240</v>
      </c>
    </row>
    <row r="127">
      <c r="A127" s="179">
        <f t="shared" si="2"/>
        <v>126</v>
      </c>
      <c r="B127" s="180"/>
      <c r="C127" s="180" t="s">
        <v>208</v>
      </c>
      <c r="D127" s="180" t="s">
        <v>208</v>
      </c>
      <c r="E127" s="180" t="s">
        <v>208</v>
      </c>
      <c r="F127" s="180" t="s">
        <v>208</v>
      </c>
      <c r="G127" s="180" t="s">
        <v>208</v>
      </c>
      <c r="H127" s="181"/>
      <c r="I127" s="181"/>
      <c r="J127" s="181"/>
      <c r="K127" s="182" t="s">
        <v>240</v>
      </c>
    </row>
    <row r="128">
      <c r="A128" s="179">
        <f t="shared" si="2"/>
        <v>127</v>
      </c>
      <c r="B128" s="180"/>
      <c r="C128" s="180" t="s">
        <v>208</v>
      </c>
      <c r="D128" s="180" t="s">
        <v>208</v>
      </c>
      <c r="E128" s="180" t="s">
        <v>208</v>
      </c>
      <c r="F128" s="180" t="s">
        <v>208</v>
      </c>
      <c r="G128" s="180" t="s">
        <v>208</v>
      </c>
      <c r="H128" s="181"/>
      <c r="I128" s="181"/>
      <c r="J128" s="181"/>
      <c r="K128" s="182" t="s">
        <v>240</v>
      </c>
    </row>
    <row r="129">
      <c r="A129" s="179">
        <f t="shared" si="2"/>
        <v>128</v>
      </c>
      <c r="B129" s="180"/>
      <c r="C129" s="180" t="s">
        <v>208</v>
      </c>
      <c r="D129" s="180" t="s">
        <v>208</v>
      </c>
      <c r="E129" s="180" t="s">
        <v>208</v>
      </c>
      <c r="F129" s="180" t="s">
        <v>208</v>
      </c>
      <c r="G129" s="180" t="s">
        <v>208</v>
      </c>
      <c r="H129" s="181"/>
      <c r="I129" s="181"/>
      <c r="J129" s="181"/>
      <c r="K129" s="182" t="s">
        <v>240</v>
      </c>
    </row>
    <row r="130">
      <c r="A130" s="179">
        <f t="shared" si="2"/>
        <v>129</v>
      </c>
      <c r="B130" s="180"/>
      <c r="C130" s="180" t="s">
        <v>208</v>
      </c>
      <c r="D130" s="180" t="s">
        <v>208</v>
      </c>
      <c r="E130" s="180" t="s">
        <v>208</v>
      </c>
      <c r="F130" s="180" t="s">
        <v>208</v>
      </c>
      <c r="G130" s="180" t="s">
        <v>208</v>
      </c>
      <c r="H130" s="181"/>
      <c r="I130" s="181"/>
      <c r="J130" s="180"/>
      <c r="K130" s="182" t="s">
        <v>240</v>
      </c>
    </row>
    <row r="131">
      <c r="A131" s="179">
        <f t="shared" si="2"/>
        <v>130</v>
      </c>
      <c r="B131" s="180"/>
      <c r="C131" s="180" t="s">
        <v>208</v>
      </c>
      <c r="D131" s="180" t="s">
        <v>208</v>
      </c>
      <c r="E131" s="180"/>
      <c r="F131" s="180" t="s">
        <v>208</v>
      </c>
      <c r="G131" s="180" t="s">
        <v>208</v>
      </c>
      <c r="H131" s="181"/>
      <c r="I131" s="181"/>
      <c r="J131" s="181"/>
      <c r="K131" s="182" t="s">
        <v>240</v>
      </c>
    </row>
    <row r="132">
      <c r="A132" s="179">
        <f t="shared" si="2"/>
        <v>131</v>
      </c>
      <c r="B132" s="180"/>
      <c r="C132" s="180" t="s">
        <v>208</v>
      </c>
      <c r="D132" s="180" t="s">
        <v>243</v>
      </c>
      <c r="E132" s="180"/>
      <c r="F132" s="180" t="s">
        <v>243</v>
      </c>
      <c r="G132" s="180" t="s">
        <v>208</v>
      </c>
      <c r="H132" s="181"/>
      <c r="I132" s="181"/>
      <c r="J132" s="181"/>
      <c r="K132" s="182" t="s">
        <v>240</v>
      </c>
    </row>
    <row r="133">
      <c r="A133" s="179">
        <f t="shared" si="2"/>
        <v>132</v>
      </c>
      <c r="B133" s="180"/>
      <c r="C133" s="180" t="s">
        <v>208</v>
      </c>
      <c r="D133" s="180" t="s">
        <v>208</v>
      </c>
      <c r="E133" s="180" t="s">
        <v>208</v>
      </c>
      <c r="F133" s="180" t="s">
        <v>208</v>
      </c>
      <c r="G133" s="180" t="s">
        <v>208</v>
      </c>
      <c r="H133" s="181"/>
      <c r="I133" s="181"/>
      <c r="J133" s="181"/>
      <c r="K133" s="182" t="s">
        <v>240</v>
      </c>
    </row>
    <row r="134">
      <c r="A134" s="179">
        <f t="shared" si="2"/>
        <v>133</v>
      </c>
      <c r="B134" s="180"/>
      <c r="C134" s="180" t="s">
        <v>208</v>
      </c>
      <c r="D134" s="180" t="s">
        <v>208</v>
      </c>
      <c r="E134" s="180" t="s">
        <v>208</v>
      </c>
      <c r="F134" s="180" t="s">
        <v>208</v>
      </c>
      <c r="G134" s="180" t="s">
        <v>208</v>
      </c>
      <c r="H134" s="181"/>
      <c r="I134" s="181"/>
      <c r="J134" s="181"/>
      <c r="K134" s="182" t="s">
        <v>240</v>
      </c>
    </row>
    <row r="135">
      <c r="A135" s="179">
        <f t="shared" si="2"/>
        <v>134</v>
      </c>
      <c r="B135" s="180"/>
      <c r="C135" s="180" t="s">
        <v>208</v>
      </c>
      <c r="D135" s="180" t="s">
        <v>208</v>
      </c>
      <c r="E135" s="180" t="s">
        <v>208</v>
      </c>
      <c r="F135" s="180" t="s">
        <v>208</v>
      </c>
      <c r="G135" s="180" t="s">
        <v>208</v>
      </c>
      <c r="H135" s="181"/>
      <c r="I135" s="181"/>
      <c r="J135" s="181"/>
      <c r="K135" s="182" t="s">
        <v>240</v>
      </c>
    </row>
    <row r="136">
      <c r="A136" s="179">
        <f t="shared" si="2"/>
        <v>135</v>
      </c>
      <c r="B136" s="180"/>
      <c r="C136" s="180" t="s">
        <v>208</v>
      </c>
      <c r="D136" s="180" t="s">
        <v>208</v>
      </c>
      <c r="E136" s="180" t="s">
        <v>208</v>
      </c>
      <c r="F136" s="180" t="s">
        <v>208</v>
      </c>
      <c r="G136" s="180" t="s">
        <v>208</v>
      </c>
      <c r="H136" s="181"/>
      <c r="I136" s="181"/>
      <c r="J136" s="181"/>
      <c r="K136" s="182" t="s">
        <v>240</v>
      </c>
    </row>
    <row r="137">
      <c r="A137" s="179">
        <f t="shared" si="2"/>
        <v>136</v>
      </c>
      <c r="B137" s="180"/>
      <c r="C137" s="180" t="s">
        <v>208</v>
      </c>
      <c r="D137" s="180" t="s">
        <v>208</v>
      </c>
      <c r="E137" s="180" t="s">
        <v>208</v>
      </c>
      <c r="F137" s="180" t="s">
        <v>208</v>
      </c>
      <c r="G137" s="180" t="s">
        <v>208</v>
      </c>
      <c r="H137" s="180"/>
      <c r="I137" s="181"/>
      <c r="J137" s="181"/>
      <c r="K137" s="182" t="s">
        <v>240</v>
      </c>
    </row>
    <row r="138">
      <c r="A138" s="179">
        <f t="shared" si="2"/>
        <v>137</v>
      </c>
      <c r="B138" s="180"/>
      <c r="C138" s="180" t="s">
        <v>208</v>
      </c>
      <c r="D138" s="180" t="s">
        <v>208</v>
      </c>
      <c r="E138" s="180" t="s">
        <v>208</v>
      </c>
      <c r="F138" s="180" t="s">
        <v>208</v>
      </c>
      <c r="G138" s="180" t="s">
        <v>208</v>
      </c>
      <c r="H138" s="180"/>
      <c r="I138" s="181"/>
      <c r="J138" s="181"/>
      <c r="K138" s="182" t="s">
        <v>240</v>
      </c>
    </row>
    <row r="139">
      <c r="A139" s="179">
        <f t="shared" si="2"/>
        <v>138</v>
      </c>
      <c r="B139" s="180"/>
      <c r="C139" s="180" t="s">
        <v>208</v>
      </c>
      <c r="D139" s="180" t="s">
        <v>208</v>
      </c>
      <c r="E139" s="180" t="s">
        <v>208</v>
      </c>
      <c r="F139" s="180" t="s">
        <v>208</v>
      </c>
      <c r="G139" s="180" t="s">
        <v>208</v>
      </c>
      <c r="H139" s="181"/>
      <c r="I139" s="181"/>
      <c r="J139" s="181"/>
      <c r="K139" s="182" t="s">
        <v>240</v>
      </c>
    </row>
    <row r="140">
      <c r="A140" s="179">
        <f t="shared" si="2"/>
        <v>139</v>
      </c>
      <c r="B140" s="180"/>
      <c r="C140" s="180" t="s">
        <v>208</v>
      </c>
      <c r="D140" s="180" t="s">
        <v>243</v>
      </c>
      <c r="E140" s="180" t="s">
        <v>208</v>
      </c>
      <c r="F140" s="180" t="s">
        <v>208</v>
      </c>
      <c r="G140" s="180" t="s">
        <v>208</v>
      </c>
      <c r="H140" s="181"/>
      <c r="I140" s="181"/>
      <c r="J140" s="181"/>
      <c r="K140" s="182" t="s">
        <v>240</v>
      </c>
    </row>
    <row r="141">
      <c r="A141" s="179">
        <f t="shared" si="2"/>
        <v>140</v>
      </c>
      <c r="B141" s="180"/>
      <c r="C141" s="180" t="s">
        <v>208</v>
      </c>
      <c r="D141" s="180" t="s">
        <v>208</v>
      </c>
      <c r="E141" s="180" t="s">
        <v>208</v>
      </c>
      <c r="F141" s="180" t="s">
        <v>208</v>
      </c>
      <c r="G141" s="180" t="s">
        <v>208</v>
      </c>
      <c r="H141" s="181"/>
      <c r="I141" s="181"/>
      <c r="J141" s="181"/>
      <c r="K141" s="182" t="s">
        <v>240</v>
      </c>
    </row>
    <row r="142">
      <c r="A142" s="179">
        <f t="shared" si="2"/>
        <v>141</v>
      </c>
      <c r="B142" s="180"/>
      <c r="C142" s="180" t="s">
        <v>208</v>
      </c>
      <c r="D142" s="180" t="s">
        <v>208</v>
      </c>
      <c r="E142" s="180" t="s">
        <v>208</v>
      </c>
      <c r="F142" s="180" t="s">
        <v>208</v>
      </c>
      <c r="G142" s="180" t="s">
        <v>208</v>
      </c>
      <c r="H142" s="181"/>
      <c r="I142" s="181"/>
      <c r="J142" s="181"/>
      <c r="K142" s="182" t="s">
        <v>240</v>
      </c>
    </row>
    <row r="143">
      <c r="A143" s="179">
        <f t="shared" si="2"/>
        <v>142</v>
      </c>
      <c r="B143" s="180"/>
      <c r="C143" s="180" t="s">
        <v>208</v>
      </c>
      <c r="D143" s="180" t="s">
        <v>208</v>
      </c>
      <c r="E143" s="180" t="s">
        <v>208</v>
      </c>
      <c r="F143" s="180" t="s">
        <v>208</v>
      </c>
      <c r="G143" s="180" t="s">
        <v>208</v>
      </c>
      <c r="H143" s="181"/>
      <c r="I143" s="181"/>
      <c r="J143" s="181"/>
      <c r="K143" s="182" t="s">
        <v>240</v>
      </c>
    </row>
    <row r="144">
      <c r="A144" s="179">
        <f t="shared" si="2"/>
        <v>143</v>
      </c>
      <c r="B144" s="180"/>
      <c r="C144" s="180" t="s">
        <v>208</v>
      </c>
      <c r="D144" s="180" t="s">
        <v>208</v>
      </c>
      <c r="E144" s="180" t="s">
        <v>208</v>
      </c>
      <c r="F144" s="180" t="s">
        <v>208</v>
      </c>
      <c r="G144" s="180" t="s">
        <v>208</v>
      </c>
      <c r="H144" s="181"/>
      <c r="I144" s="181"/>
      <c r="J144" s="181"/>
      <c r="K144" s="182" t="s">
        <v>240</v>
      </c>
    </row>
    <row r="145">
      <c r="A145" s="179">
        <f t="shared" si="2"/>
        <v>144</v>
      </c>
      <c r="B145" s="180"/>
      <c r="C145" s="180" t="s">
        <v>208</v>
      </c>
      <c r="D145" s="180" t="s">
        <v>208</v>
      </c>
      <c r="E145" s="180" t="s">
        <v>208</v>
      </c>
      <c r="F145" s="180" t="s">
        <v>208</v>
      </c>
      <c r="G145" s="180" t="s">
        <v>208</v>
      </c>
      <c r="H145" s="181"/>
      <c r="I145" s="181"/>
      <c r="J145" s="181"/>
      <c r="K145" s="182" t="s">
        <v>240</v>
      </c>
    </row>
    <row r="146">
      <c r="A146" s="179">
        <f t="shared" si="2"/>
        <v>145</v>
      </c>
      <c r="B146" s="180"/>
      <c r="C146" s="180" t="s">
        <v>208</v>
      </c>
      <c r="D146" s="180" t="s">
        <v>243</v>
      </c>
      <c r="E146" s="180" t="s">
        <v>208</v>
      </c>
      <c r="F146" s="180" t="s">
        <v>208</v>
      </c>
      <c r="G146" s="180" t="s">
        <v>208</v>
      </c>
      <c r="H146" s="181"/>
      <c r="I146" s="181"/>
      <c r="J146" s="181"/>
      <c r="K146" s="182" t="s">
        <v>240</v>
      </c>
    </row>
    <row r="147">
      <c r="A147" s="179">
        <f t="shared" si="2"/>
        <v>146</v>
      </c>
      <c r="B147" s="180"/>
      <c r="C147" s="180" t="s">
        <v>208</v>
      </c>
      <c r="D147" s="180" t="s">
        <v>208</v>
      </c>
      <c r="E147" s="180" t="s">
        <v>208</v>
      </c>
      <c r="F147" s="180" t="s">
        <v>208</v>
      </c>
      <c r="G147" s="180" t="s">
        <v>208</v>
      </c>
      <c r="H147" s="181"/>
      <c r="I147" s="181"/>
      <c r="J147" s="180"/>
      <c r="K147" s="182" t="s">
        <v>240</v>
      </c>
    </row>
    <row r="148">
      <c r="A148" s="179">
        <f t="shared" si="2"/>
        <v>147</v>
      </c>
      <c r="B148" s="180"/>
      <c r="C148" s="180" t="s">
        <v>208</v>
      </c>
      <c r="D148" s="180" t="s">
        <v>243</v>
      </c>
      <c r="E148" s="180" t="s">
        <v>208</v>
      </c>
      <c r="F148" s="180" t="s">
        <v>208</v>
      </c>
      <c r="G148" s="180" t="s">
        <v>208</v>
      </c>
      <c r="H148" s="181"/>
      <c r="I148" s="181"/>
      <c r="J148" s="180"/>
      <c r="K148" s="182" t="s">
        <v>240</v>
      </c>
    </row>
    <row r="149">
      <c r="A149" s="179">
        <f t="shared" si="2"/>
        <v>148</v>
      </c>
      <c r="B149" s="180"/>
      <c r="C149" s="180"/>
      <c r="D149" s="180"/>
      <c r="E149" s="180"/>
      <c r="F149" s="180"/>
      <c r="G149" s="180"/>
      <c r="H149" s="181"/>
      <c r="I149" s="181"/>
      <c r="J149" s="180" t="s">
        <v>242</v>
      </c>
      <c r="K149" s="182" t="s">
        <v>240</v>
      </c>
    </row>
    <row r="150">
      <c r="A150" s="179">
        <f t="shared" si="2"/>
        <v>149</v>
      </c>
      <c r="B150" s="180"/>
      <c r="C150" s="180" t="s">
        <v>208</v>
      </c>
      <c r="D150" s="180" t="s">
        <v>208</v>
      </c>
      <c r="E150" s="180" t="s">
        <v>208</v>
      </c>
      <c r="F150" s="180" t="s">
        <v>208</v>
      </c>
      <c r="G150" s="180" t="s">
        <v>208</v>
      </c>
      <c r="H150" s="181"/>
      <c r="I150" s="181"/>
      <c r="J150" s="180"/>
      <c r="K150" s="182" t="s">
        <v>240</v>
      </c>
    </row>
    <row r="151">
      <c r="A151" s="179">
        <f t="shared" si="2"/>
        <v>150</v>
      </c>
      <c r="B151" s="180"/>
      <c r="C151" s="180" t="s">
        <v>208</v>
      </c>
      <c r="D151" s="180" t="s">
        <v>208</v>
      </c>
      <c r="E151" s="180" t="s">
        <v>208</v>
      </c>
      <c r="F151" s="180" t="s">
        <v>208</v>
      </c>
      <c r="G151" s="180" t="s">
        <v>208</v>
      </c>
      <c r="H151" s="181"/>
      <c r="I151" s="181"/>
      <c r="J151" s="181"/>
      <c r="K151" s="182" t="s">
        <v>240</v>
      </c>
    </row>
    <row r="152">
      <c r="A152" s="179">
        <f t="shared" si="2"/>
        <v>151</v>
      </c>
      <c r="B152" s="180"/>
      <c r="C152" s="180" t="s">
        <v>208</v>
      </c>
      <c r="D152" s="180" t="s">
        <v>208</v>
      </c>
      <c r="E152" s="180" t="s">
        <v>208</v>
      </c>
      <c r="F152" s="180" t="s">
        <v>208</v>
      </c>
      <c r="G152" s="180" t="s">
        <v>208</v>
      </c>
      <c r="H152" s="181"/>
      <c r="I152" s="181"/>
      <c r="J152" s="181"/>
      <c r="K152" s="182" t="s">
        <v>240</v>
      </c>
    </row>
    <row r="153">
      <c r="A153" s="179">
        <f t="shared" si="2"/>
        <v>152</v>
      </c>
      <c r="B153" s="180"/>
      <c r="C153" s="180" t="s">
        <v>208</v>
      </c>
      <c r="D153" s="180" t="s">
        <v>208</v>
      </c>
      <c r="E153" s="180" t="s">
        <v>208</v>
      </c>
      <c r="F153" s="180" t="s">
        <v>208</v>
      </c>
      <c r="G153" s="180" t="s">
        <v>208</v>
      </c>
      <c r="H153" s="181"/>
      <c r="I153" s="181"/>
      <c r="J153" s="181"/>
      <c r="K153" s="182" t="s">
        <v>240</v>
      </c>
    </row>
    <row r="154">
      <c r="A154" s="179">
        <f t="shared" si="2"/>
        <v>153</v>
      </c>
      <c r="B154" s="180"/>
      <c r="C154" s="180" t="s">
        <v>208</v>
      </c>
      <c r="D154" s="180" t="s">
        <v>208</v>
      </c>
      <c r="E154" s="180" t="s">
        <v>208</v>
      </c>
      <c r="F154" s="180" t="s">
        <v>208</v>
      </c>
      <c r="G154" s="180" t="s">
        <v>208</v>
      </c>
      <c r="H154" s="181"/>
      <c r="I154" s="181"/>
      <c r="J154" s="181"/>
      <c r="K154" s="182" t="s">
        <v>240</v>
      </c>
    </row>
    <row r="155">
      <c r="A155" s="179">
        <f t="shared" si="2"/>
        <v>154</v>
      </c>
      <c r="B155" s="180"/>
      <c r="C155" s="180" t="s">
        <v>208</v>
      </c>
      <c r="D155" s="180" t="s">
        <v>208</v>
      </c>
      <c r="E155" s="180" t="s">
        <v>208</v>
      </c>
      <c r="F155" s="180" t="s">
        <v>208</v>
      </c>
      <c r="G155" s="180" t="s">
        <v>208</v>
      </c>
      <c r="H155" s="181"/>
      <c r="I155" s="181"/>
      <c r="J155" s="181"/>
      <c r="K155" s="182" t="s">
        <v>240</v>
      </c>
    </row>
    <row r="156">
      <c r="A156" s="179">
        <f t="shared" si="2"/>
        <v>155</v>
      </c>
      <c r="B156" s="180"/>
      <c r="C156" s="180" t="s">
        <v>208</v>
      </c>
      <c r="D156" s="180" t="s">
        <v>208</v>
      </c>
      <c r="E156" s="180" t="s">
        <v>208</v>
      </c>
      <c r="F156" s="180" t="s">
        <v>208</v>
      </c>
      <c r="G156" s="180" t="s">
        <v>208</v>
      </c>
      <c r="H156" s="181"/>
      <c r="I156" s="181"/>
      <c r="J156" s="181"/>
      <c r="K156" s="182" t="s">
        <v>240</v>
      </c>
    </row>
    <row r="157">
      <c r="A157" s="179">
        <f t="shared" si="2"/>
        <v>156</v>
      </c>
      <c r="B157" s="180"/>
      <c r="C157" s="180" t="s">
        <v>208</v>
      </c>
      <c r="D157" s="180" t="s">
        <v>208</v>
      </c>
      <c r="E157" s="180" t="s">
        <v>208</v>
      </c>
      <c r="F157" s="180" t="s">
        <v>208</v>
      </c>
      <c r="G157" s="180" t="s">
        <v>208</v>
      </c>
      <c r="H157" s="181"/>
      <c r="I157" s="181"/>
      <c r="J157" s="181"/>
      <c r="K157" s="182" t="s">
        <v>240</v>
      </c>
    </row>
    <row r="158">
      <c r="A158" s="179">
        <f t="shared" si="2"/>
        <v>157</v>
      </c>
      <c r="B158" s="181"/>
      <c r="C158" s="180" t="s">
        <v>208</v>
      </c>
      <c r="D158" s="180" t="s">
        <v>208</v>
      </c>
      <c r="E158" s="180" t="s">
        <v>208</v>
      </c>
      <c r="F158" s="180" t="s">
        <v>208</v>
      </c>
      <c r="G158" s="180" t="s">
        <v>208</v>
      </c>
      <c r="H158" s="181"/>
      <c r="I158" s="181"/>
      <c r="J158" s="181"/>
      <c r="K158" s="182" t="s">
        <v>240</v>
      </c>
    </row>
    <row r="159">
      <c r="A159" s="179">
        <f t="shared" si="2"/>
        <v>158</v>
      </c>
      <c r="B159" s="180"/>
      <c r="C159" s="180" t="s">
        <v>208</v>
      </c>
      <c r="D159" s="180" t="s">
        <v>208</v>
      </c>
      <c r="E159" s="180" t="s">
        <v>208</v>
      </c>
      <c r="F159" s="180" t="s">
        <v>208</v>
      </c>
      <c r="G159" s="180" t="s">
        <v>208</v>
      </c>
      <c r="H159" s="181"/>
      <c r="I159" s="181"/>
      <c r="J159" s="181"/>
      <c r="K159" s="182" t="s">
        <v>240</v>
      </c>
    </row>
    <row r="160">
      <c r="A160" s="179">
        <f t="shared" si="2"/>
        <v>159</v>
      </c>
      <c r="B160" s="180"/>
      <c r="C160" s="180" t="s">
        <v>208</v>
      </c>
      <c r="D160" s="180" t="s">
        <v>208</v>
      </c>
      <c r="E160" s="180" t="s">
        <v>208</v>
      </c>
      <c r="F160" s="180" t="s">
        <v>208</v>
      </c>
      <c r="G160" s="180" t="s">
        <v>208</v>
      </c>
      <c r="H160" s="181"/>
      <c r="I160" s="181"/>
      <c r="J160" s="181"/>
      <c r="K160" s="182" t="s">
        <v>240</v>
      </c>
    </row>
    <row r="161">
      <c r="A161" s="179">
        <f t="shared" si="2"/>
        <v>160</v>
      </c>
      <c r="B161" s="180"/>
      <c r="C161" s="180" t="s">
        <v>208</v>
      </c>
      <c r="D161" s="180" t="s">
        <v>208</v>
      </c>
      <c r="E161" s="180" t="s">
        <v>208</v>
      </c>
      <c r="F161" s="180" t="s">
        <v>208</v>
      </c>
      <c r="G161" s="180" t="s">
        <v>208</v>
      </c>
      <c r="H161" s="181"/>
      <c r="I161" s="181"/>
      <c r="J161" s="181"/>
      <c r="K161" s="182" t="s">
        <v>240</v>
      </c>
    </row>
    <row r="162">
      <c r="A162" s="179">
        <f t="shared" si="2"/>
        <v>161</v>
      </c>
      <c r="B162" s="180"/>
      <c r="C162" s="180" t="s">
        <v>208</v>
      </c>
      <c r="D162" s="180" t="s">
        <v>208</v>
      </c>
      <c r="E162" s="180" t="s">
        <v>208</v>
      </c>
      <c r="F162" s="180" t="s">
        <v>208</v>
      </c>
      <c r="G162" s="180" t="s">
        <v>208</v>
      </c>
      <c r="H162" s="181"/>
      <c r="I162" s="181"/>
      <c r="J162" s="181"/>
      <c r="K162" s="182" t="s">
        <v>240</v>
      </c>
    </row>
    <row r="163">
      <c r="A163" s="179">
        <f t="shared" si="2"/>
        <v>162</v>
      </c>
      <c r="B163" s="180"/>
      <c r="C163" s="180" t="s">
        <v>208</v>
      </c>
      <c r="D163" s="180" t="s">
        <v>208</v>
      </c>
      <c r="E163" s="180" t="s">
        <v>208</v>
      </c>
      <c r="F163" s="180" t="s">
        <v>208</v>
      </c>
      <c r="G163" s="180" t="s">
        <v>208</v>
      </c>
      <c r="H163" s="181"/>
      <c r="I163" s="181"/>
      <c r="J163" s="181"/>
      <c r="K163" s="182" t="s">
        <v>240</v>
      </c>
    </row>
    <row r="164">
      <c r="A164" s="179">
        <f t="shared" si="2"/>
        <v>163</v>
      </c>
      <c r="B164" s="180"/>
      <c r="C164" s="180" t="s">
        <v>208</v>
      </c>
      <c r="D164" s="180" t="s">
        <v>208</v>
      </c>
      <c r="E164" s="180" t="s">
        <v>208</v>
      </c>
      <c r="F164" s="180" t="s">
        <v>208</v>
      </c>
      <c r="G164" s="180" t="s">
        <v>208</v>
      </c>
      <c r="H164" s="181"/>
      <c r="I164" s="181"/>
      <c r="J164" s="181"/>
      <c r="K164" s="182" t="s">
        <v>240</v>
      </c>
    </row>
    <row r="165">
      <c r="A165" s="179">
        <f t="shared" si="2"/>
        <v>164</v>
      </c>
      <c r="B165" s="180"/>
      <c r="C165" s="180" t="s">
        <v>208</v>
      </c>
      <c r="D165" s="180" t="s">
        <v>208</v>
      </c>
      <c r="E165" s="180" t="s">
        <v>208</v>
      </c>
      <c r="F165" s="180" t="s">
        <v>208</v>
      </c>
      <c r="G165" s="180" t="s">
        <v>208</v>
      </c>
      <c r="H165" s="181"/>
      <c r="I165" s="181"/>
      <c r="J165" s="181"/>
      <c r="K165" s="182" t="s">
        <v>240</v>
      </c>
    </row>
    <row r="166">
      <c r="A166" s="179">
        <f t="shared" si="2"/>
        <v>165</v>
      </c>
      <c r="B166" s="180"/>
      <c r="C166" s="180" t="s">
        <v>208</v>
      </c>
      <c r="D166" s="180" t="s">
        <v>208</v>
      </c>
      <c r="E166" s="180" t="s">
        <v>208</v>
      </c>
      <c r="F166" s="180" t="s">
        <v>208</v>
      </c>
      <c r="G166" s="180" t="s">
        <v>208</v>
      </c>
      <c r="H166" s="181"/>
      <c r="I166" s="181"/>
      <c r="J166" s="180"/>
      <c r="K166" s="182" t="s">
        <v>240</v>
      </c>
    </row>
    <row r="167">
      <c r="A167" s="179">
        <f t="shared" si="2"/>
        <v>166</v>
      </c>
      <c r="B167" s="180"/>
      <c r="C167" s="180" t="s">
        <v>208</v>
      </c>
      <c r="D167" s="180" t="s">
        <v>243</v>
      </c>
      <c r="E167" s="180" t="s">
        <v>208</v>
      </c>
      <c r="F167" s="180" t="s">
        <v>208</v>
      </c>
      <c r="G167" s="180" t="s">
        <v>208</v>
      </c>
      <c r="H167" s="181"/>
      <c r="I167" s="181"/>
      <c r="J167" s="181"/>
      <c r="K167" s="182" t="s">
        <v>240</v>
      </c>
    </row>
    <row r="168">
      <c r="A168" s="179">
        <f t="shared" si="2"/>
        <v>167</v>
      </c>
      <c r="B168" s="180"/>
      <c r="C168" s="180" t="s">
        <v>208</v>
      </c>
      <c r="D168" s="180" t="s">
        <v>208</v>
      </c>
      <c r="E168" s="180" t="s">
        <v>208</v>
      </c>
      <c r="F168" s="180" t="s">
        <v>208</v>
      </c>
      <c r="G168" s="180" t="s">
        <v>208</v>
      </c>
      <c r="H168" s="181"/>
      <c r="I168" s="181"/>
      <c r="J168" s="181"/>
      <c r="K168" s="182" t="s">
        <v>240</v>
      </c>
    </row>
    <row r="169">
      <c r="A169" s="179">
        <f t="shared" si="2"/>
        <v>168</v>
      </c>
      <c r="B169" s="180"/>
      <c r="C169" s="180" t="s">
        <v>208</v>
      </c>
      <c r="D169" s="180" t="s">
        <v>208</v>
      </c>
      <c r="E169" s="180" t="s">
        <v>208</v>
      </c>
      <c r="F169" s="180" t="s">
        <v>208</v>
      </c>
      <c r="G169" s="180" t="s">
        <v>208</v>
      </c>
      <c r="H169" s="181"/>
      <c r="I169" s="181"/>
      <c r="J169" s="181"/>
      <c r="K169" s="182" t="s">
        <v>240</v>
      </c>
    </row>
    <row r="170">
      <c r="A170" s="179">
        <f t="shared" si="2"/>
        <v>169</v>
      </c>
      <c r="B170" s="180"/>
      <c r="C170" s="180" t="s">
        <v>208</v>
      </c>
      <c r="D170" s="180" t="s">
        <v>208</v>
      </c>
      <c r="E170" s="180" t="s">
        <v>208</v>
      </c>
      <c r="F170" s="180" t="s">
        <v>208</v>
      </c>
      <c r="G170" s="180" t="s">
        <v>208</v>
      </c>
      <c r="H170" s="185"/>
      <c r="I170" s="181"/>
      <c r="J170" s="181"/>
      <c r="K170" s="182" t="s">
        <v>240</v>
      </c>
    </row>
    <row r="171">
      <c r="A171" s="179">
        <f t="shared" si="2"/>
        <v>170</v>
      </c>
      <c r="B171" s="180"/>
      <c r="C171" s="180" t="s">
        <v>208</v>
      </c>
      <c r="D171" s="180" t="s">
        <v>208</v>
      </c>
      <c r="E171" s="180" t="s">
        <v>208</v>
      </c>
      <c r="F171" s="180" t="s">
        <v>208</v>
      </c>
      <c r="G171" s="180" t="s">
        <v>208</v>
      </c>
      <c r="H171" s="181"/>
      <c r="I171" s="181"/>
      <c r="J171" s="181"/>
      <c r="K171" s="182" t="s">
        <v>240</v>
      </c>
    </row>
    <row r="172">
      <c r="A172" s="179">
        <f t="shared" si="2"/>
        <v>171</v>
      </c>
      <c r="B172" s="180"/>
      <c r="C172" s="180" t="s">
        <v>208</v>
      </c>
      <c r="D172" s="180" t="s">
        <v>208</v>
      </c>
      <c r="E172" s="180" t="s">
        <v>208</v>
      </c>
      <c r="F172" s="180" t="s">
        <v>208</v>
      </c>
      <c r="G172" s="180" t="s">
        <v>208</v>
      </c>
      <c r="H172" s="181"/>
      <c r="I172" s="181"/>
      <c r="J172" s="181"/>
      <c r="K172" s="182" t="s">
        <v>240</v>
      </c>
    </row>
    <row r="173">
      <c r="A173" s="179">
        <f t="shared" si="2"/>
        <v>172</v>
      </c>
      <c r="B173" s="180"/>
      <c r="C173" s="180" t="s">
        <v>208</v>
      </c>
      <c r="D173" s="180" t="s">
        <v>208</v>
      </c>
      <c r="E173" s="180" t="s">
        <v>208</v>
      </c>
      <c r="F173" s="180" t="s">
        <v>208</v>
      </c>
      <c r="G173" s="180" t="s">
        <v>208</v>
      </c>
      <c r="H173" s="181"/>
      <c r="I173" s="181"/>
      <c r="J173" s="181"/>
      <c r="K173" s="182" t="s">
        <v>240</v>
      </c>
    </row>
    <row r="174">
      <c r="A174" s="179">
        <f t="shared" si="2"/>
        <v>173</v>
      </c>
      <c r="B174" s="180"/>
      <c r="C174" s="180" t="s">
        <v>208</v>
      </c>
      <c r="D174" s="180" t="s">
        <v>208</v>
      </c>
      <c r="E174" s="180" t="s">
        <v>208</v>
      </c>
      <c r="F174" s="180" t="s">
        <v>208</v>
      </c>
      <c r="G174" s="180" t="s">
        <v>208</v>
      </c>
      <c r="H174" s="181"/>
      <c r="I174" s="181"/>
      <c r="J174" s="181"/>
      <c r="K174" s="182" t="s">
        <v>240</v>
      </c>
    </row>
    <row r="175">
      <c r="A175" s="179">
        <f t="shared" si="2"/>
        <v>174</v>
      </c>
      <c r="B175" s="180"/>
      <c r="C175" s="180" t="s">
        <v>208</v>
      </c>
      <c r="D175" s="180" t="s">
        <v>208</v>
      </c>
      <c r="E175" s="180" t="s">
        <v>208</v>
      </c>
      <c r="F175" s="180" t="s">
        <v>208</v>
      </c>
      <c r="G175" s="180" t="s">
        <v>208</v>
      </c>
      <c r="H175" s="181"/>
      <c r="I175" s="181"/>
      <c r="J175" s="181"/>
      <c r="K175" s="182" t="s">
        <v>240</v>
      </c>
    </row>
    <row r="176">
      <c r="A176" s="179">
        <f t="shared" si="2"/>
        <v>175</v>
      </c>
      <c r="B176" s="180"/>
      <c r="C176" s="180" t="s">
        <v>208</v>
      </c>
      <c r="D176" s="180" t="s">
        <v>208</v>
      </c>
      <c r="E176" s="180" t="s">
        <v>208</v>
      </c>
      <c r="F176" s="180" t="s">
        <v>208</v>
      </c>
      <c r="G176" s="180" t="s">
        <v>208</v>
      </c>
      <c r="H176" s="181"/>
      <c r="I176" s="181"/>
      <c r="J176" s="181"/>
      <c r="K176" s="182" t="s">
        <v>240</v>
      </c>
    </row>
    <row r="177">
      <c r="A177" s="179">
        <f t="shared" si="2"/>
        <v>176</v>
      </c>
      <c r="B177" s="180"/>
      <c r="C177" s="180" t="s">
        <v>208</v>
      </c>
      <c r="D177" s="180" t="s">
        <v>208</v>
      </c>
      <c r="E177" s="180" t="s">
        <v>208</v>
      </c>
      <c r="F177" s="180" t="s">
        <v>208</v>
      </c>
      <c r="G177" s="180" t="s">
        <v>208</v>
      </c>
      <c r="H177" s="181"/>
      <c r="I177" s="181"/>
      <c r="J177" s="181"/>
      <c r="K177" s="182" t="s">
        <v>240</v>
      </c>
    </row>
    <row r="178">
      <c r="A178" s="179">
        <f t="shared" si="2"/>
        <v>177</v>
      </c>
      <c r="B178" s="181"/>
      <c r="C178" s="180" t="s">
        <v>208</v>
      </c>
      <c r="D178" s="180" t="s">
        <v>208</v>
      </c>
      <c r="E178" s="180" t="s">
        <v>208</v>
      </c>
      <c r="F178" s="180" t="s">
        <v>208</v>
      </c>
      <c r="G178" s="180" t="s">
        <v>208</v>
      </c>
      <c r="H178" s="181"/>
      <c r="I178" s="181"/>
      <c r="J178" s="181"/>
      <c r="K178" s="182" t="s">
        <v>240</v>
      </c>
    </row>
    <row r="179">
      <c r="A179" s="179">
        <f t="shared" si="2"/>
        <v>178</v>
      </c>
      <c r="B179" s="180"/>
      <c r="C179" s="180" t="s">
        <v>208</v>
      </c>
      <c r="D179" s="180" t="s">
        <v>208</v>
      </c>
      <c r="E179" s="180" t="s">
        <v>208</v>
      </c>
      <c r="F179" s="180" t="s">
        <v>208</v>
      </c>
      <c r="G179" s="180" t="s">
        <v>208</v>
      </c>
      <c r="H179" s="181"/>
      <c r="I179" s="181"/>
      <c r="J179" s="181"/>
      <c r="K179" s="182" t="s">
        <v>240</v>
      </c>
    </row>
    <row r="180">
      <c r="A180" s="179">
        <f t="shared" si="2"/>
        <v>179</v>
      </c>
      <c r="B180" s="180"/>
      <c r="C180" s="180" t="s">
        <v>208</v>
      </c>
      <c r="D180" s="180" t="s">
        <v>208</v>
      </c>
      <c r="E180" s="180" t="s">
        <v>208</v>
      </c>
      <c r="F180" s="180" t="s">
        <v>208</v>
      </c>
      <c r="G180" s="180" t="s">
        <v>208</v>
      </c>
      <c r="H180" s="181"/>
      <c r="I180" s="181"/>
      <c r="J180" s="181"/>
      <c r="K180" s="182" t="s">
        <v>240</v>
      </c>
    </row>
    <row r="181">
      <c r="A181" s="179">
        <f t="shared" si="2"/>
        <v>180</v>
      </c>
      <c r="B181" s="180"/>
      <c r="C181" s="180" t="s">
        <v>208</v>
      </c>
      <c r="D181" s="180" t="s">
        <v>208</v>
      </c>
      <c r="E181" s="180" t="s">
        <v>208</v>
      </c>
      <c r="F181" s="180" t="s">
        <v>208</v>
      </c>
      <c r="G181" s="180" t="s">
        <v>208</v>
      </c>
      <c r="H181" s="181"/>
      <c r="I181" s="181"/>
      <c r="J181" s="181"/>
      <c r="K181" s="182" t="s">
        <v>240</v>
      </c>
    </row>
    <row r="182">
      <c r="A182" s="179">
        <f t="shared" si="2"/>
        <v>181</v>
      </c>
      <c r="B182" s="180"/>
      <c r="C182" s="180" t="s">
        <v>208</v>
      </c>
      <c r="D182" s="180" t="s">
        <v>208</v>
      </c>
      <c r="E182" s="180" t="s">
        <v>208</v>
      </c>
      <c r="F182" s="180" t="s">
        <v>208</v>
      </c>
      <c r="G182" s="180" t="s">
        <v>208</v>
      </c>
      <c r="H182" s="181"/>
      <c r="I182" s="181"/>
      <c r="J182" s="181"/>
      <c r="K182" s="182" t="s">
        <v>240</v>
      </c>
    </row>
    <row r="183">
      <c r="A183" s="179">
        <f t="shared" si="2"/>
        <v>182</v>
      </c>
      <c r="B183" s="180"/>
      <c r="C183" s="180" t="s">
        <v>208</v>
      </c>
      <c r="D183" s="180" t="s">
        <v>208</v>
      </c>
      <c r="E183" s="180" t="s">
        <v>208</v>
      </c>
      <c r="F183" s="180" t="s">
        <v>208</v>
      </c>
      <c r="G183" s="180" t="s">
        <v>208</v>
      </c>
      <c r="H183" s="181"/>
      <c r="I183" s="181"/>
      <c r="J183" s="181"/>
      <c r="K183" s="182" t="s">
        <v>240</v>
      </c>
    </row>
    <row r="184">
      <c r="A184" s="179">
        <f t="shared" si="2"/>
        <v>183</v>
      </c>
      <c r="B184" s="180"/>
      <c r="C184" s="180" t="s">
        <v>208</v>
      </c>
      <c r="D184" s="180" t="s">
        <v>208</v>
      </c>
      <c r="E184" s="180" t="s">
        <v>208</v>
      </c>
      <c r="F184" s="180" t="s">
        <v>208</v>
      </c>
      <c r="G184" s="180" t="s">
        <v>208</v>
      </c>
      <c r="H184" s="181"/>
      <c r="I184" s="181"/>
      <c r="J184" s="181"/>
      <c r="K184" s="182" t="s">
        <v>240</v>
      </c>
    </row>
    <row r="185">
      <c r="A185" s="179">
        <f t="shared" si="2"/>
        <v>184</v>
      </c>
      <c r="B185" s="180"/>
      <c r="C185" s="180" t="s">
        <v>208</v>
      </c>
      <c r="D185" s="180" t="s">
        <v>208</v>
      </c>
      <c r="E185" s="180" t="s">
        <v>208</v>
      </c>
      <c r="F185" s="180" t="s">
        <v>208</v>
      </c>
      <c r="G185" s="180" t="s">
        <v>208</v>
      </c>
      <c r="H185" s="181"/>
      <c r="I185" s="181"/>
      <c r="J185" s="181"/>
      <c r="K185" s="182" t="s">
        <v>240</v>
      </c>
    </row>
    <row r="186">
      <c r="A186" s="179">
        <f t="shared" si="2"/>
        <v>185</v>
      </c>
      <c r="B186" s="180"/>
      <c r="C186" s="180" t="s">
        <v>208</v>
      </c>
      <c r="D186" s="180"/>
      <c r="E186" s="180"/>
      <c r="F186" s="180" t="s">
        <v>208</v>
      </c>
      <c r="G186" s="180" t="s">
        <v>208</v>
      </c>
      <c r="H186" s="181"/>
      <c r="I186" s="181"/>
      <c r="J186" s="180"/>
      <c r="K186" s="182" t="s">
        <v>240</v>
      </c>
    </row>
    <row r="187">
      <c r="A187" s="179">
        <f t="shared" si="2"/>
        <v>186</v>
      </c>
      <c r="B187" s="180"/>
      <c r="C187" s="180" t="s">
        <v>208</v>
      </c>
      <c r="D187" s="180" t="s">
        <v>208</v>
      </c>
      <c r="E187" s="180" t="s">
        <v>208</v>
      </c>
      <c r="F187" s="180" t="s">
        <v>208</v>
      </c>
      <c r="G187" s="180" t="s">
        <v>208</v>
      </c>
      <c r="H187" s="181"/>
      <c r="I187" s="181"/>
      <c r="J187" s="181"/>
      <c r="K187" s="182" t="s">
        <v>240</v>
      </c>
    </row>
    <row r="188">
      <c r="A188" s="179">
        <f t="shared" si="2"/>
        <v>187</v>
      </c>
      <c r="B188" s="181"/>
      <c r="C188" s="180" t="s">
        <v>208</v>
      </c>
      <c r="D188" s="180" t="s">
        <v>208</v>
      </c>
      <c r="E188" s="180" t="s">
        <v>208</v>
      </c>
      <c r="F188" s="180" t="s">
        <v>208</v>
      </c>
      <c r="G188" s="180" t="s">
        <v>208</v>
      </c>
      <c r="H188" s="181"/>
      <c r="I188" s="181"/>
      <c r="J188" s="180"/>
      <c r="K188" s="182" t="s">
        <v>240</v>
      </c>
    </row>
    <row r="189">
      <c r="A189" s="179">
        <f t="shared" si="2"/>
        <v>188</v>
      </c>
      <c r="B189" s="180"/>
      <c r="C189" s="180" t="s">
        <v>208</v>
      </c>
      <c r="D189" s="180" t="s">
        <v>208</v>
      </c>
      <c r="E189" s="180" t="s">
        <v>208</v>
      </c>
      <c r="F189" s="180" t="s">
        <v>208</v>
      </c>
      <c r="G189" s="180" t="s">
        <v>208</v>
      </c>
      <c r="H189" s="181"/>
      <c r="I189" s="181"/>
      <c r="J189" s="181"/>
      <c r="K189" s="182" t="s">
        <v>240</v>
      </c>
    </row>
    <row r="190">
      <c r="A190" s="179">
        <f t="shared" si="2"/>
        <v>189</v>
      </c>
      <c r="B190" s="180"/>
      <c r="C190" s="180" t="s">
        <v>208</v>
      </c>
      <c r="D190" s="180" t="s">
        <v>208</v>
      </c>
      <c r="E190" s="180" t="s">
        <v>208</v>
      </c>
      <c r="F190" s="180" t="s">
        <v>208</v>
      </c>
      <c r="G190" s="180" t="s">
        <v>208</v>
      </c>
      <c r="H190" s="181"/>
      <c r="I190" s="181"/>
      <c r="J190" s="181"/>
      <c r="K190" s="182" t="s">
        <v>240</v>
      </c>
    </row>
    <row r="191">
      <c r="A191" s="179">
        <f t="shared" si="2"/>
        <v>190</v>
      </c>
      <c r="B191" s="180"/>
      <c r="C191" s="180" t="s">
        <v>208</v>
      </c>
      <c r="D191" s="180" t="s">
        <v>243</v>
      </c>
      <c r="E191" s="180" t="s">
        <v>208</v>
      </c>
      <c r="F191" s="180" t="s">
        <v>208</v>
      </c>
      <c r="G191" s="180" t="s">
        <v>208</v>
      </c>
      <c r="H191" s="181"/>
      <c r="I191" s="181"/>
      <c r="J191" s="181"/>
      <c r="K191" s="182" t="s">
        <v>240</v>
      </c>
    </row>
    <row r="192">
      <c r="A192" s="179">
        <f t="shared" si="2"/>
        <v>191</v>
      </c>
      <c r="B192" s="180"/>
      <c r="C192" s="180" t="s">
        <v>208</v>
      </c>
      <c r="D192" s="180" t="s">
        <v>208</v>
      </c>
      <c r="E192" s="180"/>
      <c r="F192" s="180" t="s">
        <v>208</v>
      </c>
      <c r="G192" s="180" t="s">
        <v>208</v>
      </c>
      <c r="H192" s="181"/>
      <c r="I192" s="181"/>
      <c r="J192" s="181"/>
      <c r="K192" s="182" t="s">
        <v>240</v>
      </c>
    </row>
    <row r="193">
      <c r="A193" s="179">
        <f t="shared" si="2"/>
        <v>192</v>
      </c>
      <c r="B193" s="180"/>
      <c r="C193" s="180" t="s">
        <v>208</v>
      </c>
      <c r="D193" s="180" t="s">
        <v>208</v>
      </c>
      <c r="E193" s="180" t="s">
        <v>208</v>
      </c>
      <c r="F193" s="180" t="s">
        <v>208</v>
      </c>
      <c r="G193" s="180" t="s">
        <v>208</v>
      </c>
      <c r="H193" s="181"/>
      <c r="I193" s="181"/>
      <c r="J193" s="181"/>
      <c r="K193" s="182" t="s">
        <v>240</v>
      </c>
    </row>
    <row r="194">
      <c r="A194" s="179">
        <f t="shared" si="2"/>
        <v>193</v>
      </c>
      <c r="B194" s="180"/>
      <c r="C194" s="180" t="s">
        <v>208</v>
      </c>
      <c r="D194" s="180" t="s">
        <v>208</v>
      </c>
      <c r="E194" s="180"/>
      <c r="F194" s="180" t="s">
        <v>208</v>
      </c>
      <c r="G194" s="180" t="s">
        <v>208</v>
      </c>
      <c r="H194" s="181"/>
      <c r="I194" s="181"/>
      <c r="J194" s="181"/>
      <c r="K194" s="182" t="s">
        <v>240</v>
      </c>
    </row>
    <row r="195">
      <c r="A195" s="179">
        <f t="shared" si="2"/>
        <v>194</v>
      </c>
      <c r="B195" s="180"/>
      <c r="C195" s="180" t="s">
        <v>208</v>
      </c>
      <c r="D195" s="180" t="s">
        <v>208</v>
      </c>
      <c r="E195" s="180" t="s">
        <v>208</v>
      </c>
      <c r="F195" s="180" t="s">
        <v>208</v>
      </c>
      <c r="G195" s="180" t="s">
        <v>208</v>
      </c>
      <c r="H195" s="181"/>
      <c r="I195" s="181"/>
      <c r="J195" s="181"/>
      <c r="K195" s="182" t="s">
        <v>240</v>
      </c>
    </row>
    <row r="196">
      <c r="A196" s="179">
        <f t="shared" si="2"/>
        <v>195</v>
      </c>
      <c r="B196" s="180"/>
      <c r="C196" s="180" t="s">
        <v>208</v>
      </c>
      <c r="D196" s="180" t="s">
        <v>208</v>
      </c>
      <c r="E196" s="180" t="s">
        <v>208</v>
      </c>
      <c r="F196" s="180" t="s">
        <v>208</v>
      </c>
      <c r="G196" s="180" t="s">
        <v>208</v>
      </c>
      <c r="H196" s="181"/>
      <c r="I196" s="181"/>
      <c r="J196" s="181"/>
      <c r="K196" s="182" t="s">
        <v>240</v>
      </c>
    </row>
    <row r="197">
      <c r="A197" s="179">
        <f t="shared" si="2"/>
        <v>196</v>
      </c>
      <c r="B197" s="180"/>
      <c r="C197" s="180" t="s">
        <v>208</v>
      </c>
      <c r="D197" s="180" t="s">
        <v>208</v>
      </c>
      <c r="E197" s="180" t="s">
        <v>208</v>
      </c>
      <c r="F197" s="180" t="s">
        <v>208</v>
      </c>
      <c r="G197" s="180" t="s">
        <v>208</v>
      </c>
      <c r="H197" s="181"/>
      <c r="I197" s="181"/>
      <c r="J197" s="181"/>
      <c r="K197" s="182" t="s">
        <v>240</v>
      </c>
    </row>
    <row r="198">
      <c r="A198" s="179">
        <f t="shared" si="2"/>
        <v>197</v>
      </c>
      <c r="B198" s="180"/>
      <c r="C198" s="180" t="s">
        <v>208</v>
      </c>
      <c r="D198" s="180" t="s">
        <v>208</v>
      </c>
      <c r="E198" s="180" t="s">
        <v>208</v>
      </c>
      <c r="F198" s="180" t="s">
        <v>208</v>
      </c>
      <c r="G198" s="180" t="s">
        <v>208</v>
      </c>
      <c r="H198" s="181"/>
      <c r="I198" s="181"/>
      <c r="J198" s="181"/>
      <c r="K198" s="182" t="s">
        <v>240</v>
      </c>
    </row>
    <row r="199">
      <c r="A199" s="179">
        <f t="shared" si="2"/>
        <v>198</v>
      </c>
      <c r="B199" s="180"/>
      <c r="C199" s="180" t="s">
        <v>208</v>
      </c>
      <c r="D199" s="180" t="s">
        <v>208</v>
      </c>
      <c r="E199" s="180" t="s">
        <v>208</v>
      </c>
      <c r="F199" s="180" t="s">
        <v>208</v>
      </c>
      <c r="G199" s="180" t="s">
        <v>208</v>
      </c>
      <c r="H199" s="181"/>
      <c r="I199" s="181"/>
      <c r="J199" s="181"/>
      <c r="K199" s="182" t="s">
        <v>240</v>
      </c>
    </row>
    <row r="200">
      <c r="A200" s="179">
        <f t="shared" si="2"/>
        <v>199</v>
      </c>
      <c r="B200" s="180"/>
      <c r="C200" s="180" t="s">
        <v>208</v>
      </c>
      <c r="D200" s="180" t="s">
        <v>208</v>
      </c>
      <c r="E200" s="180" t="s">
        <v>208</v>
      </c>
      <c r="F200" s="180" t="s">
        <v>208</v>
      </c>
      <c r="G200" s="180" t="s">
        <v>208</v>
      </c>
      <c r="H200" s="181"/>
      <c r="I200" s="181"/>
      <c r="J200" s="180"/>
      <c r="K200" s="182" t="s">
        <v>240</v>
      </c>
    </row>
    <row r="201">
      <c r="A201" s="179">
        <f t="shared" si="2"/>
        <v>200</v>
      </c>
      <c r="B201" s="180"/>
      <c r="C201" s="180" t="s">
        <v>208</v>
      </c>
      <c r="D201" s="180" t="s">
        <v>208</v>
      </c>
      <c r="E201" s="180" t="s">
        <v>208</v>
      </c>
      <c r="F201" s="180" t="s">
        <v>208</v>
      </c>
      <c r="G201" s="180" t="s">
        <v>208</v>
      </c>
      <c r="H201" s="181"/>
      <c r="I201" s="181"/>
      <c r="J201" s="181"/>
      <c r="K201" s="182" t="s">
        <v>240</v>
      </c>
    </row>
    <row r="202">
      <c r="A202" s="179">
        <f t="shared" si="2"/>
        <v>201</v>
      </c>
      <c r="B202" s="180"/>
      <c r="C202" s="180" t="s">
        <v>208</v>
      </c>
      <c r="D202" s="180" t="s">
        <v>208</v>
      </c>
      <c r="E202" s="180" t="s">
        <v>208</v>
      </c>
      <c r="F202" s="180" t="s">
        <v>208</v>
      </c>
      <c r="G202" s="180" t="s">
        <v>208</v>
      </c>
      <c r="H202" s="181"/>
      <c r="I202" s="181"/>
      <c r="J202" s="181"/>
      <c r="K202" s="182" t="s">
        <v>240</v>
      </c>
    </row>
    <row r="203">
      <c r="A203" s="179">
        <f t="shared" si="2"/>
        <v>202</v>
      </c>
      <c r="B203" s="180"/>
      <c r="C203" s="180" t="s">
        <v>208</v>
      </c>
      <c r="D203" s="180" t="s">
        <v>208</v>
      </c>
      <c r="E203" s="180" t="s">
        <v>208</v>
      </c>
      <c r="F203" s="180" t="s">
        <v>208</v>
      </c>
      <c r="G203" s="180" t="s">
        <v>208</v>
      </c>
      <c r="H203" s="181"/>
      <c r="I203" s="181"/>
      <c r="J203" s="181"/>
      <c r="K203" s="182" t="s">
        <v>240</v>
      </c>
    </row>
    <row r="204">
      <c r="A204" s="179">
        <f t="shared" si="2"/>
        <v>203</v>
      </c>
      <c r="B204" s="180"/>
      <c r="C204" s="180" t="s">
        <v>208</v>
      </c>
      <c r="D204" s="180" t="s">
        <v>208</v>
      </c>
      <c r="E204" s="180" t="s">
        <v>208</v>
      </c>
      <c r="F204" s="180" t="s">
        <v>208</v>
      </c>
      <c r="G204" s="180" t="s">
        <v>208</v>
      </c>
      <c r="H204" s="181"/>
      <c r="I204" s="181"/>
      <c r="J204" s="181"/>
      <c r="K204" s="182" t="s">
        <v>240</v>
      </c>
    </row>
    <row r="205">
      <c r="A205" s="179">
        <f t="shared" si="2"/>
        <v>204</v>
      </c>
      <c r="B205" s="180"/>
      <c r="C205" s="180" t="s">
        <v>208</v>
      </c>
      <c r="D205" s="180" t="s">
        <v>208</v>
      </c>
      <c r="E205" s="180" t="s">
        <v>208</v>
      </c>
      <c r="F205" s="180" t="s">
        <v>208</v>
      </c>
      <c r="G205" s="180" t="s">
        <v>208</v>
      </c>
      <c r="H205" s="181"/>
      <c r="I205" s="181"/>
      <c r="J205" s="181"/>
      <c r="K205" s="182" t="s">
        <v>240</v>
      </c>
    </row>
    <row r="206">
      <c r="A206" s="179">
        <f t="shared" si="2"/>
        <v>205</v>
      </c>
      <c r="B206" s="180"/>
      <c r="C206" s="180" t="s">
        <v>208</v>
      </c>
      <c r="D206" s="180" t="s">
        <v>208</v>
      </c>
      <c r="E206" s="180"/>
      <c r="F206" s="180" t="s">
        <v>208</v>
      </c>
      <c r="G206" s="180" t="s">
        <v>208</v>
      </c>
      <c r="H206" s="181"/>
      <c r="I206" s="181"/>
      <c r="J206" s="181"/>
      <c r="K206" s="182" t="s">
        <v>240</v>
      </c>
    </row>
    <row r="207">
      <c r="A207" s="179">
        <f t="shared" si="2"/>
        <v>206</v>
      </c>
      <c r="B207" s="180"/>
      <c r="C207" s="180" t="s">
        <v>208</v>
      </c>
      <c r="D207" s="180" t="s">
        <v>208</v>
      </c>
      <c r="E207" s="180" t="s">
        <v>208</v>
      </c>
      <c r="F207" s="180" t="s">
        <v>208</v>
      </c>
      <c r="G207" s="180" t="s">
        <v>208</v>
      </c>
      <c r="H207" s="181"/>
      <c r="I207" s="181"/>
      <c r="J207" s="181"/>
      <c r="K207" s="182" t="s">
        <v>240</v>
      </c>
    </row>
    <row r="208">
      <c r="A208" s="179">
        <f t="shared" si="2"/>
        <v>207</v>
      </c>
      <c r="B208" s="180"/>
      <c r="C208" s="180" t="s">
        <v>208</v>
      </c>
      <c r="D208" s="180" t="s">
        <v>208</v>
      </c>
      <c r="E208" s="180" t="s">
        <v>208</v>
      </c>
      <c r="F208" s="180" t="s">
        <v>208</v>
      </c>
      <c r="G208" s="180" t="s">
        <v>208</v>
      </c>
      <c r="H208" s="181"/>
      <c r="I208" s="181"/>
      <c r="J208" s="181"/>
      <c r="K208" s="182" t="s">
        <v>240</v>
      </c>
    </row>
    <row r="209">
      <c r="A209" s="179">
        <f t="shared" si="2"/>
        <v>208</v>
      </c>
      <c r="B209" s="181"/>
      <c r="C209" s="180" t="s">
        <v>208</v>
      </c>
      <c r="D209" s="180" t="s">
        <v>208</v>
      </c>
      <c r="E209" s="180" t="s">
        <v>208</v>
      </c>
      <c r="F209" s="180" t="s">
        <v>208</v>
      </c>
      <c r="G209" s="180" t="s">
        <v>208</v>
      </c>
      <c r="H209" s="181"/>
      <c r="I209" s="181"/>
      <c r="J209" s="181"/>
      <c r="K209" s="182" t="s">
        <v>240</v>
      </c>
    </row>
    <row r="210">
      <c r="A210" s="179">
        <f t="shared" si="2"/>
        <v>209</v>
      </c>
      <c r="B210" s="180"/>
      <c r="C210" s="180" t="s">
        <v>208</v>
      </c>
      <c r="D210" s="180" t="s">
        <v>208</v>
      </c>
      <c r="E210" s="180"/>
      <c r="F210" s="180" t="s">
        <v>208</v>
      </c>
      <c r="G210" s="180" t="s">
        <v>208</v>
      </c>
      <c r="H210" s="185"/>
      <c r="I210" s="181"/>
      <c r="J210" s="181"/>
      <c r="K210" s="182" t="s">
        <v>240</v>
      </c>
    </row>
    <row r="211">
      <c r="A211" s="179">
        <f t="shared" si="2"/>
        <v>210</v>
      </c>
      <c r="B211" s="180"/>
      <c r="C211" s="180" t="s">
        <v>208</v>
      </c>
      <c r="D211" s="180" t="s">
        <v>208</v>
      </c>
      <c r="E211" s="180"/>
      <c r="F211" s="180" t="s">
        <v>208</v>
      </c>
      <c r="G211" s="180" t="s">
        <v>208</v>
      </c>
      <c r="H211" s="181"/>
      <c r="I211" s="181"/>
      <c r="J211" s="180"/>
      <c r="K211" s="182" t="s">
        <v>240</v>
      </c>
    </row>
    <row r="212">
      <c r="A212" s="179">
        <f t="shared" si="2"/>
        <v>211</v>
      </c>
      <c r="B212" s="180"/>
      <c r="C212" s="180" t="s">
        <v>208</v>
      </c>
      <c r="D212" s="180" t="s">
        <v>208</v>
      </c>
      <c r="E212" s="180" t="s">
        <v>208</v>
      </c>
      <c r="F212" s="180" t="s">
        <v>208</v>
      </c>
      <c r="G212" s="180" t="s">
        <v>208</v>
      </c>
      <c r="H212" s="181"/>
      <c r="I212" s="181"/>
      <c r="J212" s="180"/>
      <c r="K212" s="182" t="s">
        <v>240</v>
      </c>
    </row>
    <row r="213">
      <c r="A213" s="179">
        <f t="shared" si="2"/>
        <v>212</v>
      </c>
      <c r="B213" s="180"/>
      <c r="C213" s="180"/>
      <c r="D213" s="180" t="s">
        <v>208</v>
      </c>
      <c r="E213" s="180"/>
      <c r="F213" s="180" t="s">
        <v>208</v>
      </c>
      <c r="G213" s="180" t="s">
        <v>208</v>
      </c>
      <c r="H213" s="181"/>
      <c r="I213" s="181"/>
      <c r="J213" s="180"/>
      <c r="K213" s="182" t="s">
        <v>240</v>
      </c>
    </row>
    <row r="214">
      <c r="A214" s="179">
        <f t="shared" si="2"/>
        <v>213</v>
      </c>
      <c r="B214" s="180"/>
      <c r="C214" s="180" t="s">
        <v>208</v>
      </c>
      <c r="D214" s="180" t="s">
        <v>208</v>
      </c>
      <c r="E214" s="180" t="s">
        <v>208</v>
      </c>
      <c r="F214" s="180" t="s">
        <v>208</v>
      </c>
      <c r="G214" s="180" t="s">
        <v>208</v>
      </c>
      <c r="H214" s="181"/>
      <c r="I214" s="181"/>
      <c r="J214" s="181"/>
      <c r="K214" s="182" t="s">
        <v>240</v>
      </c>
    </row>
    <row r="215">
      <c r="A215" s="179">
        <f t="shared" si="2"/>
        <v>214</v>
      </c>
      <c r="B215" s="180"/>
      <c r="C215" s="180" t="s">
        <v>208</v>
      </c>
      <c r="D215" s="180" t="s">
        <v>208</v>
      </c>
      <c r="E215" s="180" t="s">
        <v>208</v>
      </c>
      <c r="F215" s="180" t="s">
        <v>208</v>
      </c>
      <c r="G215" s="180" t="s">
        <v>208</v>
      </c>
      <c r="H215" s="181"/>
      <c r="I215" s="181"/>
      <c r="J215" s="181"/>
      <c r="K215" s="182" t="s">
        <v>240</v>
      </c>
    </row>
    <row r="216">
      <c r="A216" s="179">
        <f t="shared" si="2"/>
        <v>215</v>
      </c>
      <c r="B216" s="181"/>
      <c r="C216" s="180" t="s">
        <v>208</v>
      </c>
      <c r="D216" s="180" t="s">
        <v>208</v>
      </c>
      <c r="E216" s="180"/>
      <c r="F216" s="180" t="s">
        <v>208</v>
      </c>
      <c r="G216" s="180" t="s">
        <v>208</v>
      </c>
      <c r="H216" s="181"/>
      <c r="I216" s="181"/>
      <c r="J216" s="181"/>
      <c r="K216" s="182" t="s">
        <v>240</v>
      </c>
    </row>
    <row r="217">
      <c r="A217" s="179">
        <f t="shared" si="2"/>
        <v>216</v>
      </c>
      <c r="B217" s="180"/>
      <c r="C217" s="180" t="s">
        <v>208</v>
      </c>
      <c r="D217" s="180" t="s">
        <v>208</v>
      </c>
      <c r="E217" s="180"/>
      <c r="F217" s="180" t="s">
        <v>208</v>
      </c>
      <c r="G217" s="180" t="s">
        <v>208</v>
      </c>
      <c r="H217" s="181"/>
      <c r="I217" s="181"/>
      <c r="J217" s="181"/>
      <c r="K217" s="182" t="s">
        <v>240</v>
      </c>
    </row>
    <row r="218">
      <c r="A218" s="179">
        <f t="shared" si="2"/>
        <v>217</v>
      </c>
      <c r="B218" s="180"/>
      <c r="C218" s="180" t="s">
        <v>208</v>
      </c>
      <c r="D218" s="180" t="s">
        <v>208</v>
      </c>
      <c r="E218" s="180"/>
      <c r="F218" s="180" t="s">
        <v>208</v>
      </c>
      <c r="G218" s="180" t="s">
        <v>208</v>
      </c>
      <c r="H218" s="181"/>
      <c r="I218" s="181"/>
      <c r="J218" s="181"/>
      <c r="K218" s="182" t="s">
        <v>240</v>
      </c>
    </row>
    <row r="219">
      <c r="A219" s="179">
        <f t="shared" si="2"/>
        <v>218</v>
      </c>
      <c r="B219" s="180"/>
      <c r="C219" s="180" t="s">
        <v>208</v>
      </c>
      <c r="D219" s="180" t="s">
        <v>208</v>
      </c>
      <c r="E219" s="180"/>
      <c r="F219" s="180" t="s">
        <v>208</v>
      </c>
      <c r="G219" s="180" t="s">
        <v>208</v>
      </c>
      <c r="H219" s="181"/>
      <c r="I219" s="181"/>
      <c r="J219" s="181"/>
      <c r="K219" s="182" t="s">
        <v>240</v>
      </c>
    </row>
    <row r="220">
      <c r="A220" s="179">
        <f t="shared" si="2"/>
        <v>219</v>
      </c>
      <c r="B220" s="180"/>
      <c r="C220" s="180" t="s">
        <v>208</v>
      </c>
      <c r="D220" s="180" t="s">
        <v>208</v>
      </c>
      <c r="E220" s="180" t="s">
        <v>208</v>
      </c>
      <c r="F220" s="180" t="s">
        <v>208</v>
      </c>
      <c r="G220" s="180" t="s">
        <v>208</v>
      </c>
      <c r="H220" s="181"/>
      <c r="I220" s="181"/>
      <c r="J220" s="181"/>
      <c r="K220" s="182" t="s">
        <v>240</v>
      </c>
    </row>
    <row r="221">
      <c r="A221" s="179">
        <f t="shared" si="2"/>
        <v>220</v>
      </c>
      <c r="B221" s="180"/>
      <c r="C221" s="180" t="s">
        <v>208</v>
      </c>
      <c r="D221" s="180" t="s">
        <v>208</v>
      </c>
      <c r="E221" s="180" t="s">
        <v>208</v>
      </c>
      <c r="F221" s="180" t="s">
        <v>208</v>
      </c>
      <c r="G221" s="180" t="s">
        <v>208</v>
      </c>
      <c r="H221" s="181"/>
      <c r="I221" s="181"/>
      <c r="J221" s="180"/>
      <c r="K221" s="182" t="s">
        <v>240</v>
      </c>
    </row>
    <row r="222">
      <c r="A222" s="179">
        <f t="shared" si="2"/>
        <v>221</v>
      </c>
      <c r="B222" s="181"/>
      <c r="C222" s="180" t="s">
        <v>208</v>
      </c>
      <c r="D222" s="180" t="s">
        <v>208</v>
      </c>
      <c r="E222" s="180" t="s">
        <v>208</v>
      </c>
      <c r="F222" s="180" t="s">
        <v>208</v>
      </c>
      <c r="G222" s="180" t="s">
        <v>208</v>
      </c>
      <c r="H222" s="181"/>
      <c r="I222" s="180"/>
      <c r="J222" s="180"/>
      <c r="K222" s="182" t="s">
        <v>240</v>
      </c>
    </row>
    <row r="223">
      <c r="A223" s="179">
        <f t="shared" si="2"/>
        <v>222</v>
      </c>
      <c r="B223" s="180"/>
      <c r="C223" s="180" t="s">
        <v>208</v>
      </c>
      <c r="D223" s="180" t="s">
        <v>208</v>
      </c>
      <c r="E223" s="180" t="s">
        <v>208</v>
      </c>
      <c r="F223" s="180" t="s">
        <v>208</v>
      </c>
      <c r="G223" s="180" t="s">
        <v>208</v>
      </c>
      <c r="H223" s="180"/>
      <c r="I223" s="180"/>
      <c r="J223" s="180"/>
      <c r="K223" s="182" t="s">
        <v>240</v>
      </c>
    </row>
    <row r="224">
      <c r="A224" s="179">
        <f t="shared" si="2"/>
        <v>223</v>
      </c>
      <c r="B224" s="180"/>
      <c r="C224" s="180" t="s">
        <v>208</v>
      </c>
      <c r="D224" s="180" t="s">
        <v>208</v>
      </c>
      <c r="E224" s="180" t="s">
        <v>208</v>
      </c>
      <c r="F224" s="180" t="s">
        <v>208</v>
      </c>
      <c r="G224" s="180" t="s">
        <v>208</v>
      </c>
      <c r="H224" s="181"/>
      <c r="I224" s="181"/>
      <c r="J224" s="180"/>
      <c r="K224" s="182" t="s">
        <v>240</v>
      </c>
    </row>
    <row r="225">
      <c r="A225" s="179">
        <f t="shared" si="2"/>
        <v>224</v>
      </c>
      <c r="B225" s="181"/>
      <c r="C225" s="180" t="s">
        <v>208</v>
      </c>
      <c r="D225" s="180" t="s">
        <v>208</v>
      </c>
      <c r="E225" s="180" t="s">
        <v>208</v>
      </c>
      <c r="F225" s="180" t="s">
        <v>208</v>
      </c>
      <c r="G225" s="180" t="s">
        <v>208</v>
      </c>
      <c r="H225" s="181"/>
      <c r="I225" s="181"/>
      <c r="J225" s="180"/>
      <c r="K225" s="182" t="s">
        <v>240</v>
      </c>
    </row>
    <row r="226">
      <c r="A226" s="179">
        <f t="shared" si="2"/>
        <v>225</v>
      </c>
      <c r="B226" s="181"/>
      <c r="C226" s="180" t="s">
        <v>208</v>
      </c>
      <c r="D226" s="180" t="s">
        <v>208</v>
      </c>
      <c r="E226" s="180" t="s">
        <v>208</v>
      </c>
      <c r="F226" s="180" t="s">
        <v>208</v>
      </c>
      <c r="G226" s="180" t="s">
        <v>208</v>
      </c>
      <c r="H226" s="181"/>
      <c r="I226" s="181"/>
      <c r="J226" s="180"/>
      <c r="K226" s="182" t="s">
        <v>240</v>
      </c>
    </row>
    <row r="227">
      <c r="A227" s="179">
        <f t="shared" si="2"/>
        <v>226</v>
      </c>
      <c r="B227" s="180"/>
      <c r="C227" s="180" t="s">
        <v>208</v>
      </c>
      <c r="D227" s="180" t="s">
        <v>208</v>
      </c>
      <c r="E227" s="180" t="s">
        <v>208</v>
      </c>
      <c r="F227" s="180" t="s">
        <v>208</v>
      </c>
      <c r="G227" s="180" t="s">
        <v>208</v>
      </c>
      <c r="H227" s="181"/>
      <c r="I227" s="181"/>
      <c r="J227" s="180"/>
      <c r="K227" s="182" t="s">
        <v>240</v>
      </c>
    </row>
    <row r="228">
      <c r="A228" s="179">
        <f t="shared" si="2"/>
        <v>227</v>
      </c>
      <c r="B228" s="180"/>
      <c r="C228" s="180" t="s">
        <v>208</v>
      </c>
      <c r="D228" s="180" t="s">
        <v>208</v>
      </c>
      <c r="E228" s="180" t="s">
        <v>208</v>
      </c>
      <c r="F228" s="180" t="s">
        <v>208</v>
      </c>
      <c r="G228" s="180" t="s">
        <v>208</v>
      </c>
      <c r="H228" s="181"/>
      <c r="I228" s="181"/>
      <c r="J228" s="180"/>
      <c r="K228" s="182" t="s">
        <v>240</v>
      </c>
    </row>
    <row r="229">
      <c r="A229" s="179">
        <f t="shared" si="2"/>
        <v>228</v>
      </c>
      <c r="B229" s="180"/>
      <c r="C229" s="180" t="s">
        <v>208</v>
      </c>
      <c r="D229" s="180" t="s">
        <v>208</v>
      </c>
      <c r="E229" s="180" t="s">
        <v>208</v>
      </c>
      <c r="F229" s="180" t="s">
        <v>208</v>
      </c>
      <c r="G229" s="180" t="s">
        <v>208</v>
      </c>
      <c r="H229" s="181"/>
      <c r="I229" s="181"/>
      <c r="J229" s="180"/>
      <c r="K229" s="182" t="s">
        <v>240</v>
      </c>
    </row>
    <row r="230">
      <c r="A230" s="179">
        <f t="shared" si="2"/>
        <v>229</v>
      </c>
      <c r="B230" s="180"/>
      <c r="C230" s="180" t="s">
        <v>208</v>
      </c>
      <c r="D230" s="180" t="s">
        <v>208</v>
      </c>
      <c r="E230" s="180" t="s">
        <v>208</v>
      </c>
      <c r="F230" s="180" t="s">
        <v>208</v>
      </c>
      <c r="G230" s="180" t="s">
        <v>208</v>
      </c>
      <c r="H230" s="181"/>
      <c r="I230" s="181"/>
      <c r="J230" s="180"/>
      <c r="K230" s="182" t="s">
        <v>240</v>
      </c>
    </row>
    <row r="231">
      <c r="A231" s="179">
        <f t="shared" si="2"/>
        <v>230</v>
      </c>
      <c r="B231" s="180"/>
      <c r="C231" s="180" t="s">
        <v>208</v>
      </c>
      <c r="D231" s="180" t="s">
        <v>208</v>
      </c>
      <c r="E231" s="180" t="s">
        <v>208</v>
      </c>
      <c r="F231" s="180" t="s">
        <v>208</v>
      </c>
      <c r="G231" s="180" t="s">
        <v>208</v>
      </c>
      <c r="H231" s="181"/>
      <c r="I231" s="181"/>
      <c r="J231" s="180"/>
      <c r="K231" s="182" t="s">
        <v>240</v>
      </c>
    </row>
    <row r="232">
      <c r="A232" s="179">
        <f t="shared" si="2"/>
        <v>231</v>
      </c>
      <c r="B232" s="180"/>
      <c r="C232" s="180" t="s">
        <v>208</v>
      </c>
      <c r="D232" s="180" t="s">
        <v>208</v>
      </c>
      <c r="E232" s="180" t="s">
        <v>208</v>
      </c>
      <c r="F232" s="180" t="s">
        <v>208</v>
      </c>
      <c r="G232" s="180" t="s">
        <v>208</v>
      </c>
      <c r="H232" s="181"/>
      <c r="I232" s="181"/>
      <c r="J232" s="180"/>
      <c r="K232" s="182" t="s">
        <v>240</v>
      </c>
    </row>
    <row r="233">
      <c r="A233" s="179">
        <f t="shared" si="2"/>
        <v>232</v>
      </c>
      <c r="B233" s="180"/>
      <c r="C233" s="180" t="s">
        <v>208</v>
      </c>
      <c r="D233" s="180" t="s">
        <v>208</v>
      </c>
      <c r="E233" s="180" t="s">
        <v>208</v>
      </c>
      <c r="F233" s="180" t="s">
        <v>208</v>
      </c>
      <c r="G233" s="180" t="s">
        <v>208</v>
      </c>
      <c r="H233" s="181"/>
      <c r="I233" s="181"/>
      <c r="J233" s="181"/>
      <c r="K233" s="182" t="s">
        <v>240</v>
      </c>
    </row>
    <row r="234">
      <c r="A234" s="179">
        <f t="shared" si="2"/>
        <v>233</v>
      </c>
      <c r="B234" s="180"/>
      <c r="C234" s="180" t="s">
        <v>208</v>
      </c>
      <c r="D234" s="180"/>
      <c r="E234" s="180" t="s">
        <v>208</v>
      </c>
      <c r="F234" s="180" t="s">
        <v>208</v>
      </c>
      <c r="G234" s="180" t="s">
        <v>208</v>
      </c>
      <c r="H234" s="181"/>
      <c r="I234" s="181"/>
      <c r="J234" s="181"/>
      <c r="K234" s="182" t="s">
        <v>240</v>
      </c>
    </row>
    <row r="235">
      <c r="A235" s="179">
        <f t="shared" si="2"/>
        <v>234</v>
      </c>
      <c r="B235" s="180"/>
      <c r="C235" s="180" t="s">
        <v>208</v>
      </c>
      <c r="D235" s="180" t="s">
        <v>208</v>
      </c>
      <c r="E235" s="180" t="s">
        <v>208</v>
      </c>
      <c r="F235" s="180" t="s">
        <v>208</v>
      </c>
      <c r="G235" s="180" t="s">
        <v>208</v>
      </c>
      <c r="H235" s="181"/>
      <c r="I235" s="181"/>
      <c r="J235" s="181"/>
      <c r="K235" s="182" t="s">
        <v>240</v>
      </c>
    </row>
    <row r="236">
      <c r="A236" s="179">
        <f t="shared" si="2"/>
        <v>235</v>
      </c>
      <c r="B236" s="180"/>
      <c r="C236" s="180" t="s">
        <v>208</v>
      </c>
      <c r="D236" s="180" t="s">
        <v>208</v>
      </c>
      <c r="E236" s="180" t="s">
        <v>208</v>
      </c>
      <c r="F236" s="180" t="s">
        <v>208</v>
      </c>
      <c r="G236" s="180" t="s">
        <v>208</v>
      </c>
      <c r="H236" s="181"/>
      <c r="I236" s="181"/>
      <c r="J236" s="181"/>
      <c r="K236" s="182" t="s">
        <v>240</v>
      </c>
    </row>
    <row r="237">
      <c r="A237" s="179">
        <f t="shared" si="2"/>
        <v>236</v>
      </c>
      <c r="B237" s="180"/>
      <c r="C237" s="180" t="s">
        <v>208</v>
      </c>
      <c r="D237" s="180" t="s">
        <v>208</v>
      </c>
      <c r="E237" s="180" t="s">
        <v>208</v>
      </c>
      <c r="F237" s="180" t="s">
        <v>208</v>
      </c>
      <c r="G237" s="180" t="s">
        <v>208</v>
      </c>
      <c r="H237" s="181"/>
      <c r="I237" s="181"/>
      <c r="J237" s="181"/>
      <c r="K237" s="182" t="s">
        <v>240</v>
      </c>
    </row>
    <row r="238">
      <c r="A238" s="179">
        <f t="shared" si="2"/>
        <v>237</v>
      </c>
      <c r="B238" s="180"/>
      <c r="C238" s="180" t="s">
        <v>208</v>
      </c>
      <c r="D238" s="180" t="s">
        <v>208</v>
      </c>
      <c r="E238" s="180" t="s">
        <v>208</v>
      </c>
      <c r="F238" s="180" t="s">
        <v>208</v>
      </c>
      <c r="G238" s="180" t="s">
        <v>208</v>
      </c>
      <c r="H238" s="180"/>
      <c r="I238" s="181"/>
      <c r="J238" s="181"/>
      <c r="K238" s="182" t="s">
        <v>240</v>
      </c>
    </row>
    <row r="239">
      <c r="A239" s="179">
        <f t="shared" si="2"/>
        <v>238</v>
      </c>
      <c r="B239" s="180"/>
      <c r="C239" s="180" t="s">
        <v>208</v>
      </c>
      <c r="D239" s="180" t="s">
        <v>208</v>
      </c>
      <c r="E239" s="180" t="s">
        <v>208</v>
      </c>
      <c r="F239" s="180" t="s">
        <v>208</v>
      </c>
      <c r="G239" s="180" t="s">
        <v>208</v>
      </c>
      <c r="H239" s="181"/>
      <c r="I239" s="181"/>
      <c r="J239" s="181"/>
      <c r="K239" s="182" t="s">
        <v>240</v>
      </c>
    </row>
    <row r="240">
      <c r="A240" s="179">
        <f t="shared" si="2"/>
        <v>239</v>
      </c>
      <c r="B240" s="180"/>
      <c r="C240" s="180" t="s">
        <v>208</v>
      </c>
      <c r="D240" s="180" t="s">
        <v>243</v>
      </c>
      <c r="E240" s="180" t="s">
        <v>208</v>
      </c>
      <c r="F240" s="180" t="s">
        <v>243</v>
      </c>
      <c r="G240" s="180" t="s">
        <v>208</v>
      </c>
      <c r="H240" s="180"/>
      <c r="I240" s="181"/>
      <c r="J240" s="181"/>
      <c r="K240" s="182" t="s">
        <v>240</v>
      </c>
    </row>
    <row r="241">
      <c r="A241" s="179">
        <f t="shared" si="2"/>
        <v>240</v>
      </c>
      <c r="B241" s="180"/>
      <c r="C241" s="180" t="s">
        <v>208</v>
      </c>
      <c r="D241" s="180" t="s">
        <v>208</v>
      </c>
      <c r="E241" s="180" t="s">
        <v>208</v>
      </c>
      <c r="F241" s="180" t="s">
        <v>208</v>
      </c>
      <c r="G241" s="180" t="s">
        <v>208</v>
      </c>
      <c r="H241" s="181"/>
      <c r="I241" s="181"/>
      <c r="J241" s="181"/>
      <c r="K241" s="182" t="s">
        <v>240</v>
      </c>
    </row>
    <row r="242">
      <c r="A242" s="179">
        <f t="shared" si="2"/>
        <v>241</v>
      </c>
      <c r="B242" s="181"/>
      <c r="C242" s="180" t="s">
        <v>208</v>
      </c>
      <c r="D242" s="180" t="s">
        <v>208</v>
      </c>
      <c r="E242" s="180" t="s">
        <v>208</v>
      </c>
      <c r="F242" s="180" t="s">
        <v>208</v>
      </c>
      <c r="G242" s="180" t="s">
        <v>208</v>
      </c>
      <c r="H242" s="181"/>
      <c r="I242" s="181"/>
      <c r="J242" s="181"/>
      <c r="K242" s="182" t="s">
        <v>240</v>
      </c>
    </row>
    <row r="243">
      <c r="A243" s="179">
        <f t="shared" si="2"/>
        <v>242</v>
      </c>
      <c r="B243" s="180"/>
      <c r="C243" s="180" t="s">
        <v>208</v>
      </c>
      <c r="D243" s="180" t="s">
        <v>243</v>
      </c>
      <c r="E243" s="180" t="s">
        <v>208</v>
      </c>
      <c r="F243" s="180" t="s">
        <v>208</v>
      </c>
      <c r="G243" s="180" t="s">
        <v>208</v>
      </c>
      <c r="H243" s="181"/>
      <c r="I243" s="181"/>
      <c r="J243" s="180"/>
      <c r="K243" s="182" t="s">
        <v>240</v>
      </c>
    </row>
    <row r="244">
      <c r="A244" s="179">
        <f t="shared" si="2"/>
        <v>243</v>
      </c>
      <c r="B244" s="180"/>
      <c r="C244" s="180" t="s">
        <v>208</v>
      </c>
      <c r="D244" s="180" t="s">
        <v>208</v>
      </c>
      <c r="E244" s="180" t="s">
        <v>208</v>
      </c>
      <c r="F244" s="180" t="s">
        <v>208</v>
      </c>
      <c r="G244" s="180" t="s">
        <v>208</v>
      </c>
      <c r="H244" s="181"/>
      <c r="I244" s="181"/>
      <c r="J244" s="181"/>
      <c r="K244" s="182" t="s">
        <v>240</v>
      </c>
    </row>
    <row r="245">
      <c r="A245" s="179">
        <f t="shared" si="2"/>
        <v>244</v>
      </c>
      <c r="B245" s="180"/>
      <c r="C245" s="180" t="s">
        <v>208</v>
      </c>
      <c r="D245" s="180" t="s">
        <v>208</v>
      </c>
      <c r="E245" s="180" t="s">
        <v>208</v>
      </c>
      <c r="F245" s="180" t="s">
        <v>208</v>
      </c>
      <c r="G245" s="180" t="s">
        <v>208</v>
      </c>
      <c r="H245" s="181"/>
      <c r="I245" s="181"/>
      <c r="J245" s="181"/>
      <c r="K245" s="182" t="s">
        <v>240</v>
      </c>
    </row>
    <row r="246">
      <c r="A246" s="179">
        <f t="shared" si="2"/>
        <v>245</v>
      </c>
      <c r="B246" s="181"/>
      <c r="C246" s="180" t="s">
        <v>208</v>
      </c>
      <c r="D246" s="180" t="s">
        <v>208</v>
      </c>
      <c r="E246" s="180" t="s">
        <v>208</v>
      </c>
      <c r="F246" s="180" t="s">
        <v>208</v>
      </c>
      <c r="G246" s="180" t="s">
        <v>208</v>
      </c>
      <c r="H246" s="181"/>
      <c r="I246" s="181"/>
      <c r="J246" s="181"/>
      <c r="K246" s="182" t="s">
        <v>240</v>
      </c>
    </row>
    <row r="247">
      <c r="A247" s="179">
        <f t="shared" si="2"/>
        <v>246</v>
      </c>
      <c r="B247" s="180"/>
      <c r="C247" s="180" t="s">
        <v>208</v>
      </c>
      <c r="D247" s="180" t="s">
        <v>208</v>
      </c>
      <c r="E247" s="180" t="s">
        <v>208</v>
      </c>
      <c r="F247" s="180" t="s">
        <v>208</v>
      </c>
      <c r="G247" s="180" t="s">
        <v>208</v>
      </c>
      <c r="H247" s="181"/>
      <c r="I247" s="181"/>
      <c r="J247" s="181"/>
      <c r="K247" s="182" t="s">
        <v>240</v>
      </c>
    </row>
    <row r="248">
      <c r="A248" s="179">
        <f t="shared" si="2"/>
        <v>247</v>
      </c>
      <c r="B248" s="180"/>
      <c r="C248" s="180" t="s">
        <v>208</v>
      </c>
      <c r="D248" s="180" t="s">
        <v>208</v>
      </c>
      <c r="E248" s="180" t="s">
        <v>208</v>
      </c>
      <c r="F248" s="180" t="s">
        <v>208</v>
      </c>
      <c r="G248" s="180" t="s">
        <v>208</v>
      </c>
      <c r="H248" s="180"/>
      <c r="I248" s="181"/>
      <c r="J248" s="181"/>
      <c r="K248" s="182" t="s">
        <v>240</v>
      </c>
    </row>
    <row r="249">
      <c r="A249" s="179">
        <f t="shared" si="2"/>
        <v>248</v>
      </c>
      <c r="B249" s="180"/>
      <c r="C249" s="180" t="s">
        <v>208</v>
      </c>
      <c r="D249" s="180" t="s">
        <v>208</v>
      </c>
      <c r="E249" s="180" t="s">
        <v>208</v>
      </c>
      <c r="F249" s="180" t="s">
        <v>208</v>
      </c>
      <c r="G249" s="180" t="s">
        <v>208</v>
      </c>
      <c r="H249" s="181"/>
      <c r="I249" s="181"/>
      <c r="J249" s="181"/>
      <c r="K249" s="182" t="s">
        <v>240</v>
      </c>
    </row>
    <row r="250">
      <c r="A250" s="179">
        <f t="shared" si="2"/>
        <v>249</v>
      </c>
      <c r="B250" s="180"/>
      <c r="C250" s="180" t="s">
        <v>208</v>
      </c>
      <c r="D250" s="180" t="s">
        <v>208</v>
      </c>
      <c r="E250" s="180" t="s">
        <v>208</v>
      </c>
      <c r="F250" s="180" t="s">
        <v>208</v>
      </c>
      <c r="G250" s="180" t="s">
        <v>208</v>
      </c>
      <c r="H250" s="181"/>
      <c r="I250" s="181"/>
      <c r="J250" s="181"/>
      <c r="K250" s="182" t="s">
        <v>240</v>
      </c>
    </row>
    <row r="251">
      <c r="A251" s="179">
        <f t="shared" si="2"/>
        <v>250</v>
      </c>
      <c r="B251" s="180"/>
      <c r="C251" s="180" t="s">
        <v>208</v>
      </c>
      <c r="D251" s="180" t="s">
        <v>208</v>
      </c>
      <c r="E251" s="180" t="s">
        <v>208</v>
      </c>
      <c r="F251" s="180" t="s">
        <v>208</v>
      </c>
      <c r="G251" s="180" t="s">
        <v>208</v>
      </c>
      <c r="H251" s="181"/>
      <c r="I251" s="181"/>
      <c r="J251" s="181"/>
      <c r="K251" s="182" t="s">
        <v>240</v>
      </c>
    </row>
    <row r="252">
      <c r="A252" s="179">
        <f t="shared" si="2"/>
        <v>251</v>
      </c>
      <c r="B252" s="180"/>
      <c r="C252" s="180" t="s">
        <v>208</v>
      </c>
      <c r="D252" s="180" t="s">
        <v>208</v>
      </c>
      <c r="E252" s="180" t="s">
        <v>208</v>
      </c>
      <c r="F252" s="180" t="s">
        <v>208</v>
      </c>
      <c r="G252" s="180" t="s">
        <v>208</v>
      </c>
      <c r="H252" s="181"/>
      <c r="I252" s="181"/>
      <c r="J252" s="181"/>
      <c r="K252" s="182" t="s">
        <v>240</v>
      </c>
    </row>
    <row r="253">
      <c r="A253" s="179">
        <f t="shared" si="2"/>
        <v>252</v>
      </c>
      <c r="B253" s="180"/>
      <c r="C253" s="180" t="s">
        <v>208</v>
      </c>
      <c r="D253" s="180" t="s">
        <v>208</v>
      </c>
      <c r="E253" s="180" t="s">
        <v>208</v>
      </c>
      <c r="F253" s="180" t="s">
        <v>208</v>
      </c>
      <c r="G253" s="180" t="s">
        <v>208</v>
      </c>
      <c r="H253" s="181"/>
      <c r="I253" s="181"/>
      <c r="J253" s="181"/>
      <c r="K253" s="182" t="s">
        <v>240</v>
      </c>
    </row>
    <row r="254">
      <c r="A254" s="179">
        <f t="shared" si="2"/>
        <v>253</v>
      </c>
      <c r="B254" s="180"/>
      <c r="C254" s="180" t="s">
        <v>208</v>
      </c>
      <c r="D254" s="180" t="s">
        <v>208</v>
      </c>
      <c r="E254" s="180" t="s">
        <v>208</v>
      </c>
      <c r="F254" s="180" t="s">
        <v>208</v>
      </c>
      <c r="G254" s="180" t="s">
        <v>208</v>
      </c>
      <c r="H254" s="181"/>
      <c r="I254" s="181"/>
      <c r="J254" s="181"/>
      <c r="K254" s="182" t="s">
        <v>240</v>
      </c>
    </row>
    <row r="255">
      <c r="A255" s="179">
        <f t="shared" si="2"/>
        <v>254</v>
      </c>
      <c r="B255" s="180"/>
      <c r="C255" s="180"/>
      <c r="D255" s="180" t="s">
        <v>243</v>
      </c>
      <c r="E255" s="180" t="s">
        <v>208</v>
      </c>
      <c r="F255" s="180" t="s">
        <v>208</v>
      </c>
      <c r="G255" s="181"/>
      <c r="H255" s="180" t="s">
        <v>208</v>
      </c>
      <c r="I255" s="181"/>
      <c r="J255" s="181"/>
      <c r="K255" s="182" t="s">
        <v>240</v>
      </c>
    </row>
    <row r="256">
      <c r="A256" s="179">
        <f t="shared" si="2"/>
        <v>255</v>
      </c>
      <c r="B256" s="180"/>
      <c r="C256" s="180" t="s">
        <v>208</v>
      </c>
      <c r="D256" s="180" t="s">
        <v>208</v>
      </c>
      <c r="E256" s="180" t="s">
        <v>208</v>
      </c>
      <c r="F256" s="180" t="s">
        <v>208</v>
      </c>
      <c r="G256" s="180" t="s">
        <v>208</v>
      </c>
      <c r="H256" s="181"/>
      <c r="I256" s="181"/>
      <c r="J256" s="181"/>
      <c r="K256" s="182" t="s">
        <v>240</v>
      </c>
    </row>
    <row r="257">
      <c r="A257" s="179">
        <f t="shared" si="2"/>
        <v>256</v>
      </c>
      <c r="B257" s="180"/>
      <c r="C257" s="180" t="s">
        <v>208</v>
      </c>
      <c r="D257" s="180" t="s">
        <v>208</v>
      </c>
      <c r="E257" s="180" t="s">
        <v>208</v>
      </c>
      <c r="F257" s="180" t="s">
        <v>208</v>
      </c>
      <c r="G257" s="180" t="s">
        <v>208</v>
      </c>
      <c r="H257" s="181"/>
      <c r="I257" s="181"/>
      <c r="J257" s="180"/>
      <c r="K257" s="182" t="s">
        <v>240</v>
      </c>
    </row>
    <row r="258">
      <c r="A258" s="179">
        <f t="shared" si="2"/>
        <v>257</v>
      </c>
      <c r="B258" s="180"/>
      <c r="C258" s="180" t="s">
        <v>208</v>
      </c>
      <c r="D258" s="180" t="s">
        <v>208</v>
      </c>
      <c r="E258" s="180" t="s">
        <v>208</v>
      </c>
      <c r="F258" s="180" t="s">
        <v>208</v>
      </c>
      <c r="G258" s="180" t="s">
        <v>208</v>
      </c>
      <c r="H258" s="181"/>
      <c r="I258" s="181"/>
      <c r="J258" s="181"/>
      <c r="K258" s="182" t="s">
        <v>240</v>
      </c>
    </row>
    <row r="259">
      <c r="A259" s="179">
        <f t="shared" si="2"/>
        <v>258</v>
      </c>
      <c r="B259" s="180"/>
      <c r="C259" s="180" t="s">
        <v>208</v>
      </c>
      <c r="D259" s="180" t="s">
        <v>208</v>
      </c>
      <c r="E259" s="180" t="s">
        <v>208</v>
      </c>
      <c r="F259" s="180" t="s">
        <v>208</v>
      </c>
      <c r="G259" s="180" t="s">
        <v>208</v>
      </c>
      <c r="H259" s="181"/>
      <c r="I259" s="181"/>
      <c r="J259" s="181"/>
      <c r="K259" s="182" t="s">
        <v>240</v>
      </c>
    </row>
    <row r="260">
      <c r="A260" s="179">
        <f t="shared" si="2"/>
        <v>259</v>
      </c>
      <c r="B260" s="180"/>
      <c r="C260" s="180" t="s">
        <v>208</v>
      </c>
      <c r="D260" s="180" t="s">
        <v>208</v>
      </c>
      <c r="E260" s="180" t="s">
        <v>208</v>
      </c>
      <c r="F260" s="180" t="s">
        <v>208</v>
      </c>
      <c r="G260" s="180" t="s">
        <v>208</v>
      </c>
      <c r="H260" s="181"/>
      <c r="I260" s="181"/>
      <c r="J260" s="181"/>
      <c r="K260" s="182" t="s">
        <v>240</v>
      </c>
    </row>
    <row r="261">
      <c r="A261" s="179">
        <f t="shared" si="2"/>
        <v>260</v>
      </c>
      <c r="B261" s="180"/>
      <c r="C261" s="180" t="s">
        <v>208</v>
      </c>
      <c r="D261" s="180" t="s">
        <v>208</v>
      </c>
      <c r="E261" s="180" t="s">
        <v>208</v>
      </c>
      <c r="F261" s="180" t="s">
        <v>208</v>
      </c>
      <c r="G261" s="180" t="s">
        <v>208</v>
      </c>
      <c r="H261" s="181"/>
      <c r="I261" s="181"/>
      <c r="J261" s="181"/>
      <c r="K261" s="182" t="s">
        <v>240</v>
      </c>
    </row>
    <row r="262">
      <c r="A262" s="179">
        <f t="shared" si="2"/>
        <v>261</v>
      </c>
      <c r="B262" s="180"/>
      <c r="C262" s="180" t="s">
        <v>208</v>
      </c>
      <c r="D262" s="180" t="s">
        <v>208</v>
      </c>
      <c r="E262" s="180" t="s">
        <v>208</v>
      </c>
      <c r="F262" s="180" t="s">
        <v>208</v>
      </c>
      <c r="G262" s="180" t="s">
        <v>208</v>
      </c>
      <c r="H262" s="181"/>
      <c r="I262" s="181"/>
      <c r="J262" s="181"/>
      <c r="K262" s="182" t="s">
        <v>240</v>
      </c>
    </row>
    <row r="263">
      <c r="A263" s="179">
        <f t="shared" si="2"/>
        <v>262</v>
      </c>
      <c r="B263" s="180"/>
      <c r="C263" s="180" t="s">
        <v>208</v>
      </c>
      <c r="D263" s="180" t="s">
        <v>208</v>
      </c>
      <c r="E263" s="180" t="s">
        <v>208</v>
      </c>
      <c r="F263" s="180" t="s">
        <v>208</v>
      </c>
      <c r="G263" s="180" t="s">
        <v>208</v>
      </c>
      <c r="H263" s="181"/>
      <c r="I263" s="181"/>
      <c r="J263" s="181"/>
      <c r="K263" s="182" t="s">
        <v>240</v>
      </c>
    </row>
    <row r="264">
      <c r="A264" s="179">
        <f t="shared" si="2"/>
        <v>263</v>
      </c>
      <c r="B264" s="180"/>
      <c r="C264" s="180" t="s">
        <v>208</v>
      </c>
      <c r="D264" s="180" t="s">
        <v>208</v>
      </c>
      <c r="E264" s="180" t="s">
        <v>208</v>
      </c>
      <c r="F264" s="180" t="s">
        <v>208</v>
      </c>
      <c r="G264" s="180" t="s">
        <v>208</v>
      </c>
      <c r="H264" s="181"/>
      <c r="I264" s="181"/>
      <c r="J264" s="181"/>
      <c r="K264" s="182" t="s">
        <v>240</v>
      </c>
    </row>
    <row r="265">
      <c r="A265" s="179">
        <f t="shared" si="2"/>
        <v>264</v>
      </c>
      <c r="B265" s="180"/>
      <c r="C265" s="180" t="s">
        <v>208</v>
      </c>
      <c r="D265" s="180" t="s">
        <v>208</v>
      </c>
      <c r="E265" s="180" t="s">
        <v>208</v>
      </c>
      <c r="F265" s="180" t="s">
        <v>208</v>
      </c>
      <c r="G265" s="180" t="s">
        <v>208</v>
      </c>
      <c r="H265" s="181"/>
      <c r="I265" s="181"/>
      <c r="J265" s="181"/>
      <c r="K265" s="182" t="s">
        <v>240</v>
      </c>
    </row>
    <row r="266">
      <c r="A266" s="179">
        <f t="shared" si="2"/>
        <v>265</v>
      </c>
      <c r="B266" s="180"/>
      <c r="C266" s="180" t="s">
        <v>208</v>
      </c>
      <c r="D266" s="180" t="s">
        <v>208</v>
      </c>
      <c r="E266" s="180" t="s">
        <v>208</v>
      </c>
      <c r="F266" s="180" t="s">
        <v>208</v>
      </c>
      <c r="G266" s="180" t="s">
        <v>208</v>
      </c>
      <c r="H266" s="181"/>
      <c r="I266" s="181"/>
      <c r="J266" s="181"/>
      <c r="K266" s="182" t="s">
        <v>240</v>
      </c>
    </row>
    <row r="267">
      <c r="A267" s="179">
        <f t="shared" si="2"/>
        <v>266</v>
      </c>
      <c r="B267" s="180"/>
      <c r="C267" s="180" t="s">
        <v>208</v>
      </c>
      <c r="D267" s="180" t="s">
        <v>208</v>
      </c>
      <c r="E267" s="180" t="s">
        <v>208</v>
      </c>
      <c r="F267" s="180" t="s">
        <v>208</v>
      </c>
      <c r="G267" s="180" t="s">
        <v>208</v>
      </c>
      <c r="H267" s="181"/>
      <c r="I267" s="181"/>
      <c r="J267" s="181"/>
      <c r="K267" s="182" t="s">
        <v>240</v>
      </c>
    </row>
    <row r="268">
      <c r="A268" s="179">
        <f t="shared" si="2"/>
        <v>267</v>
      </c>
      <c r="B268" s="180"/>
      <c r="C268" s="180" t="s">
        <v>208</v>
      </c>
      <c r="D268" s="180" t="s">
        <v>243</v>
      </c>
      <c r="E268" s="180" t="s">
        <v>208</v>
      </c>
      <c r="F268" s="180" t="s">
        <v>208</v>
      </c>
      <c r="G268" s="180" t="s">
        <v>208</v>
      </c>
      <c r="H268" s="181"/>
      <c r="I268" s="181"/>
      <c r="J268" s="181"/>
      <c r="K268" s="182" t="s">
        <v>240</v>
      </c>
    </row>
    <row r="269">
      <c r="A269" s="179">
        <f t="shared" si="2"/>
        <v>268</v>
      </c>
      <c r="B269" s="180"/>
      <c r="C269" s="180" t="s">
        <v>208</v>
      </c>
      <c r="D269" s="180" t="s">
        <v>208</v>
      </c>
      <c r="E269" s="180" t="s">
        <v>208</v>
      </c>
      <c r="F269" s="180" t="s">
        <v>208</v>
      </c>
      <c r="G269" s="180" t="s">
        <v>208</v>
      </c>
      <c r="H269" s="181"/>
      <c r="I269" s="181"/>
      <c r="J269" s="181"/>
      <c r="K269" s="182" t="s">
        <v>240</v>
      </c>
    </row>
    <row r="270">
      <c r="A270" s="179">
        <f t="shared" si="2"/>
        <v>269</v>
      </c>
      <c r="B270" s="180"/>
      <c r="C270" s="180" t="s">
        <v>208</v>
      </c>
      <c r="D270" s="180" t="s">
        <v>208</v>
      </c>
      <c r="E270" s="180" t="s">
        <v>208</v>
      </c>
      <c r="F270" s="180" t="s">
        <v>208</v>
      </c>
      <c r="G270" s="180" t="s">
        <v>208</v>
      </c>
      <c r="H270" s="181"/>
      <c r="I270" s="181"/>
      <c r="J270" s="181"/>
      <c r="K270" s="182" t="s">
        <v>240</v>
      </c>
    </row>
    <row r="271">
      <c r="A271" s="179">
        <f t="shared" si="2"/>
        <v>270</v>
      </c>
      <c r="B271" s="180"/>
      <c r="C271" s="180" t="s">
        <v>208</v>
      </c>
      <c r="D271" s="180" t="s">
        <v>208</v>
      </c>
      <c r="E271" s="180" t="s">
        <v>208</v>
      </c>
      <c r="F271" s="180" t="s">
        <v>208</v>
      </c>
      <c r="G271" s="180" t="s">
        <v>208</v>
      </c>
      <c r="H271" s="181"/>
      <c r="I271" s="181"/>
      <c r="J271" s="181"/>
      <c r="K271" s="182" t="s">
        <v>240</v>
      </c>
    </row>
    <row r="272">
      <c r="A272" s="179">
        <f t="shared" si="2"/>
        <v>271</v>
      </c>
      <c r="B272" s="180"/>
      <c r="C272" s="180" t="s">
        <v>208</v>
      </c>
      <c r="D272" s="180" t="s">
        <v>208</v>
      </c>
      <c r="E272" s="180" t="s">
        <v>208</v>
      </c>
      <c r="F272" s="180" t="s">
        <v>208</v>
      </c>
      <c r="G272" s="180" t="s">
        <v>208</v>
      </c>
      <c r="H272" s="181"/>
      <c r="I272" s="181"/>
      <c r="J272" s="181"/>
      <c r="K272" s="182" t="s">
        <v>240</v>
      </c>
    </row>
    <row r="273">
      <c r="A273" s="179">
        <f t="shared" si="2"/>
        <v>272</v>
      </c>
      <c r="B273" s="180"/>
      <c r="C273" s="180" t="s">
        <v>208</v>
      </c>
      <c r="D273" s="180" t="s">
        <v>208</v>
      </c>
      <c r="E273" s="180" t="s">
        <v>208</v>
      </c>
      <c r="F273" s="180" t="s">
        <v>208</v>
      </c>
      <c r="G273" s="180" t="s">
        <v>208</v>
      </c>
      <c r="H273" s="181"/>
      <c r="I273" s="181"/>
      <c r="J273" s="181"/>
      <c r="K273" s="182" t="s">
        <v>240</v>
      </c>
    </row>
    <row r="274">
      <c r="A274" s="179">
        <f t="shared" si="2"/>
        <v>273</v>
      </c>
      <c r="B274" s="180"/>
      <c r="C274" s="180" t="s">
        <v>208</v>
      </c>
      <c r="D274" s="180" t="s">
        <v>208</v>
      </c>
      <c r="E274" s="180" t="s">
        <v>208</v>
      </c>
      <c r="F274" s="180" t="s">
        <v>208</v>
      </c>
      <c r="G274" s="180"/>
      <c r="H274" s="181"/>
      <c r="I274" s="181"/>
      <c r="J274" s="181"/>
      <c r="K274" s="182" t="s">
        <v>240</v>
      </c>
    </row>
    <row r="275">
      <c r="A275" s="179">
        <f t="shared" si="2"/>
        <v>274</v>
      </c>
      <c r="B275" s="180"/>
      <c r="C275" s="180" t="s">
        <v>208</v>
      </c>
      <c r="D275" s="180" t="s">
        <v>208</v>
      </c>
      <c r="E275" s="180" t="s">
        <v>208</v>
      </c>
      <c r="F275" s="180" t="s">
        <v>208</v>
      </c>
      <c r="G275" s="180" t="s">
        <v>208</v>
      </c>
      <c r="H275" s="181"/>
      <c r="I275" s="181"/>
      <c r="J275" s="181"/>
      <c r="K275" s="182" t="s">
        <v>240</v>
      </c>
    </row>
    <row r="276">
      <c r="A276" s="179">
        <f t="shared" si="2"/>
        <v>275</v>
      </c>
      <c r="B276" s="180"/>
      <c r="C276" s="180"/>
      <c r="D276" s="180" t="s">
        <v>208</v>
      </c>
      <c r="E276" s="180" t="s">
        <v>208</v>
      </c>
      <c r="F276" s="180" t="s">
        <v>208</v>
      </c>
      <c r="G276" s="181"/>
      <c r="H276" s="180" t="s">
        <v>208</v>
      </c>
      <c r="I276" s="181"/>
      <c r="J276" s="181"/>
      <c r="K276" s="182" t="s">
        <v>240</v>
      </c>
    </row>
    <row r="277">
      <c r="A277" s="179">
        <f t="shared" si="2"/>
        <v>276</v>
      </c>
      <c r="B277" s="180"/>
      <c r="C277" s="180" t="s">
        <v>208</v>
      </c>
      <c r="D277" s="180" t="s">
        <v>208</v>
      </c>
      <c r="E277" s="180" t="s">
        <v>208</v>
      </c>
      <c r="F277" s="180" t="s">
        <v>208</v>
      </c>
      <c r="G277" s="180" t="s">
        <v>208</v>
      </c>
      <c r="H277" s="181"/>
      <c r="I277" s="181"/>
      <c r="J277" s="181"/>
      <c r="K277" s="182" t="s">
        <v>240</v>
      </c>
    </row>
    <row r="278">
      <c r="A278" s="179">
        <f t="shared" si="2"/>
        <v>277</v>
      </c>
      <c r="B278" s="180"/>
      <c r="C278" s="180" t="s">
        <v>208</v>
      </c>
      <c r="D278" s="180" t="s">
        <v>208</v>
      </c>
      <c r="E278" s="180" t="s">
        <v>208</v>
      </c>
      <c r="F278" s="180" t="s">
        <v>208</v>
      </c>
      <c r="G278" s="180" t="s">
        <v>208</v>
      </c>
      <c r="H278" s="181"/>
      <c r="I278" s="181"/>
      <c r="J278" s="181"/>
      <c r="K278" s="182" t="s">
        <v>240</v>
      </c>
    </row>
    <row r="279">
      <c r="A279" s="179">
        <f t="shared" si="2"/>
        <v>278</v>
      </c>
      <c r="B279" s="180"/>
      <c r="C279" s="180" t="s">
        <v>208</v>
      </c>
      <c r="D279" s="180" t="s">
        <v>208</v>
      </c>
      <c r="E279" s="180" t="s">
        <v>208</v>
      </c>
      <c r="F279" s="180" t="s">
        <v>208</v>
      </c>
      <c r="G279" s="180" t="s">
        <v>208</v>
      </c>
      <c r="H279" s="181"/>
      <c r="I279" s="181"/>
      <c r="J279" s="181"/>
      <c r="K279" s="182" t="s">
        <v>240</v>
      </c>
    </row>
    <row r="280">
      <c r="A280" s="179">
        <f t="shared" si="2"/>
        <v>279</v>
      </c>
      <c r="B280" s="180"/>
      <c r="C280" s="180" t="s">
        <v>208</v>
      </c>
      <c r="D280" s="180" t="s">
        <v>243</v>
      </c>
      <c r="E280" s="180" t="s">
        <v>208</v>
      </c>
      <c r="F280" s="180" t="s">
        <v>208</v>
      </c>
      <c r="G280" s="180" t="s">
        <v>208</v>
      </c>
      <c r="H280" s="181"/>
      <c r="I280" s="181"/>
      <c r="J280" s="181"/>
      <c r="K280" s="182" t="s">
        <v>240</v>
      </c>
    </row>
    <row r="281">
      <c r="A281" s="179">
        <f t="shared" si="2"/>
        <v>280</v>
      </c>
      <c r="B281" s="180"/>
      <c r="C281" s="180" t="s">
        <v>208</v>
      </c>
      <c r="D281" s="180" t="s">
        <v>208</v>
      </c>
      <c r="E281" s="180" t="s">
        <v>208</v>
      </c>
      <c r="F281" s="180" t="s">
        <v>208</v>
      </c>
      <c r="G281" s="180" t="s">
        <v>208</v>
      </c>
      <c r="H281" s="181"/>
      <c r="I281" s="181"/>
      <c r="J281" s="181"/>
      <c r="K281" s="182" t="s">
        <v>240</v>
      </c>
    </row>
    <row r="282">
      <c r="A282" s="179">
        <f t="shared" si="2"/>
        <v>281</v>
      </c>
      <c r="B282" s="180"/>
      <c r="C282" s="180" t="s">
        <v>208</v>
      </c>
      <c r="D282" s="180" t="s">
        <v>208</v>
      </c>
      <c r="E282" s="180" t="s">
        <v>208</v>
      </c>
      <c r="F282" s="180" t="s">
        <v>208</v>
      </c>
      <c r="G282" s="180" t="s">
        <v>208</v>
      </c>
      <c r="H282" s="181"/>
      <c r="I282" s="181"/>
      <c r="J282" s="181"/>
      <c r="K282" s="182" t="s">
        <v>240</v>
      </c>
    </row>
    <row r="283">
      <c r="A283" s="179">
        <f t="shared" si="2"/>
        <v>282</v>
      </c>
      <c r="B283" s="180"/>
      <c r="C283" s="180" t="s">
        <v>208</v>
      </c>
      <c r="D283" s="180" t="s">
        <v>208</v>
      </c>
      <c r="E283" s="180" t="s">
        <v>208</v>
      </c>
      <c r="F283" s="180" t="s">
        <v>208</v>
      </c>
      <c r="G283" s="180" t="s">
        <v>208</v>
      </c>
      <c r="H283" s="181"/>
      <c r="I283" s="181"/>
      <c r="J283" s="181"/>
      <c r="K283" s="182" t="s">
        <v>240</v>
      </c>
    </row>
    <row r="284">
      <c r="A284" s="179">
        <f t="shared" si="2"/>
        <v>283</v>
      </c>
      <c r="B284" s="180"/>
      <c r="C284" s="180" t="s">
        <v>208</v>
      </c>
      <c r="D284" s="180" t="s">
        <v>208</v>
      </c>
      <c r="E284" s="180" t="s">
        <v>208</v>
      </c>
      <c r="F284" s="180" t="s">
        <v>208</v>
      </c>
      <c r="G284" s="180" t="s">
        <v>208</v>
      </c>
      <c r="H284" s="181"/>
      <c r="I284" s="181"/>
      <c r="J284" s="181"/>
      <c r="K284" s="182" t="s">
        <v>240</v>
      </c>
    </row>
    <row r="285">
      <c r="A285" s="179">
        <f t="shared" si="2"/>
        <v>284</v>
      </c>
      <c r="B285" s="180"/>
      <c r="C285" s="180" t="s">
        <v>208</v>
      </c>
      <c r="D285" s="180" t="s">
        <v>208</v>
      </c>
      <c r="E285" s="180" t="s">
        <v>208</v>
      </c>
      <c r="F285" s="180" t="s">
        <v>208</v>
      </c>
      <c r="G285" s="180" t="s">
        <v>208</v>
      </c>
      <c r="H285" s="181"/>
      <c r="I285" s="181"/>
      <c r="J285" s="181"/>
      <c r="K285" s="182" t="s">
        <v>240</v>
      </c>
    </row>
    <row r="286">
      <c r="A286" s="179">
        <f t="shared" si="2"/>
        <v>285</v>
      </c>
      <c r="B286" s="180"/>
      <c r="C286" s="180" t="s">
        <v>208</v>
      </c>
      <c r="D286" s="180" t="s">
        <v>208</v>
      </c>
      <c r="E286" s="180" t="s">
        <v>208</v>
      </c>
      <c r="F286" s="180" t="s">
        <v>208</v>
      </c>
      <c r="G286" s="180" t="s">
        <v>208</v>
      </c>
      <c r="H286" s="181"/>
      <c r="I286" s="181"/>
      <c r="J286" s="181"/>
      <c r="K286" s="182" t="s">
        <v>240</v>
      </c>
    </row>
    <row r="287">
      <c r="A287" s="179">
        <f t="shared" si="2"/>
        <v>286</v>
      </c>
      <c r="B287" s="180"/>
      <c r="C287" s="180"/>
      <c r="D287" s="180" t="s">
        <v>208</v>
      </c>
      <c r="E287" s="180" t="s">
        <v>208</v>
      </c>
      <c r="F287" s="180" t="s">
        <v>208</v>
      </c>
      <c r="G287" s="181"/>
      <c r="H287" s="180" t="s">
        <v>208</v>
      </c>
      <c r="I287" s="181"/>
      <c r="J287" s="181"/>
      <c r="K287" s="182" t="s">
        <v>240</v>
      </c>
    </row>
    <row r="288">
      <c r="A288" s="179">
        <f t="shared" si="2"/>
        <v>287</v>
      </c>
      <c r="B288" s="180"/>
      <c r="C288" s="180" t="s">
        <v>208</v>
      </c>
      <c r="D288" s="180" t="s">
        <v>208</v>
      </c>
      <c r="E288" s="180" t="s">
        <v>208</v>
      </c>
      <c r="F288" s="180" t="s">
        <v>208</v>
      </c>
      <c r="G288" s="180" t="s">
        <v>208</v>
      </c>
      <c r="H288" s="181"/>
      <c r="I288" s="181"/>
      <c r="J288" s="181"/>
      <c r="K288" s="182" t="s">
        <v>240</v>
      </c>
    </row>
    <row r="289">
      <c r="A289" s="179">
        <f t="shared" si="2"/>
        <v>288</v>
      </c>
      <c r="B289" s="180"/>
      <c r="C289" s="180" t="s">
        <v>208</v>
      </c>
      <c r="D289" s="180" t="s">
        <v>208</v>
      </c>
      <c r="E289" s="180" t="s">
        <v>208</v>
      </c>
      <c r="F289" s="180" t="s">
        <v>208</v>
      </c>
      <c r="G289" s="180" t="s">
        <v>208</v>
      </c>
      <c r="H289" s="181"/>
      <c r="I289" s="181"/>
      <c r="J289" s="181"/>
      <c r="K289" s="182" t="s">
        <v>240</v>
      </c>
    </row>
    <row r="290">
      <c r="A290" s="179">
        <f t="shared" si="2"/>
        <v>289</v>
      </c>
      <c r="B290" s="180"/>
      <c r="C290" s="180" t="s">
        <v>208</v>
      </c>
      <c r="D290" s="180" t="s">
        <v>208</v>
      </c>
      <c r="E290" s="180" t="s">
        <v>208</v>
      </c>
      <c r="F290" s="180" t="s">
        <v>208</v>
      </c>
      <c r="G290" s="180" t="s">
        <v>208</v>
      </c>
      <c r="H290" s="181"/>
      <c r="I290" s="181"/>
      <c r="J290" s="181"/>
      <c r="K290" s="182" t="s">
        <v>240</v>
      </c>
    </row>
    <row r="291">
      <c r="A291" s="179">
        <f t="shared" si="2"/>
        <v>290</v>
      </c>
      <c r="B291" s="180"/>
      <c r="C291" s="180" t="s">
        <v>208</v>
      </c>
      <c r="D291" s="180" t="s">
        <v>208</v>
      </c>
      <c r="E291" s="180" t="s">
        <v>208</v>
      </c>
      <c r="F291" s="180" t="s">
        <v>208</v>
      </c>
      <c r="G291" s="180" t="s">
        <v>208</v>
      </c>
      <c r="H291" s="181"/>
      <c r="I291" s="181"/>
      <c r="J291" s="181"/>
      <c r="K291" s="182" t="s">
        <v>240</v>
      </c>
    </row>
    <row r="292">
      <c r="A292" s="179">
        <f t="shared" si="2"/>
        <v>291</v>
      </c>
      <c r="B292" s="180"/>
      <c r="C292" s="180" t="s">
        <v>208</v>
      </c>
      <c r="D292" s="180" t="s">
        <v>208</v>
      </c>
      <c r="E292" s="180" t="s">
        <v>208</v>
      </c>
      <c r="F292" s="180" t="s">
        <v>208</v>
      </c>
      <c r="G292" s="180" t="s">
        <v>208</v>
      </c>
      <c r="H292" s="181"/>
      <c r="I292" s="181"/>
      <c r="J292" s="181"/>
      <c r="K292" s="182" t="s">
        <v>240</v>
      </c>
    </row>
    <row r="293">
      <c r="A293" s="179">
        <f t="shared" si="2"/>
        <v>292</v>
      </c>
      <c r="B293" s="180"/>
      <c r="C293" s="180" t="s">
        <v>208</v>
      </c>
      <c r="D293" s="180" t="s">
        <v>208</v>
      </c>
      <c r="E293" s="180" t="s">
        <v>208</v>
      </c>
      <c r="F293" s="180" t="s">
        <v>208</v>
      </c>
      <c r="G293" s="180" t="s">
        <v>208</v>
      </c>
      <c r="H293" s="181"/>
      <c r="I293" s="181"/>
      <c r="J293" s="181"/>
      <c r="K293" s="182" t="s">
        <v>240</v>
      </c>
    </row>
    <row r="294">
      <c r="A294" s="179">
        <f t="shared" si="2"/>
        <v>293</v>
      </c>
      <c r="B294" s="180"/>
      <c r="C294" s="180" t="s">
        <v>208</v>
      </c>
      <c r="D294" s="180" t="s">
        <v>208</v>
      </c>
      <c r="E294" s="180" t="s">
        <v>208</v>
      </c>
      <c r="F294" s="180" t="s">
        <v>208</v>
      </c>
      <c r="G294" s="180" t="s">
        <v>208</v>
      </c>
      <c r="H294" s="181"/>
      <c r="I294" s="181"/>
      <c r="J294" s="181"/>
      <c r="K294" s="182" t="s">
        <v>240</v>
      </c>
    </row>
    <row r="295">
      <c r="A295" s="179">
        <f t="shared" si="2"/>
        <v>294</v>
      </c>
      <c r="B295" s="180"/>
      <c r="C295" s="180" t="s">
        <v>208</v>
      </c>
      <c r="D295" s="180" t="s">
        <v>208</v>
      </c>
      <c r="E295" s="180" t="s">
        <v>208</v>
      </c>
      <c r="F295" s="180" t="s">
        <v>208</v>
      </c>
      <c r="G295" s="180" t="s">
        <v>208</v>
      </c>
      <c r="H295" s="181"/>
      <c r="I295" s="181"/>
      <c r="J295" s="181"/>
      <c r="K295" s="182" t="s">
        <v>240</v>
      </c>
    </row>
    <row r="296">
      <c r="A296" s="179">
        <f t="shared" si="2"/>
        <v>295</v>
      </c>
      <c r="B296" s="180"/>
      <c r="C296" s="180" t="s">
        <v>208</v>
      </c>
      <c r="D296" s="180" t="s">
        <v>208</v>
      </c>
      <c r="E296" s="180" t="s">
        <v>208</v>
      </c>
      <c r="F296" s="180" t="s">
        <v>208</v>
      </c>
      <c r="G296" s="180" t="s">
        <v>208</v>
      </c>
      <c r="H296" s="181"/>
      <c r="I296" s="181"/>
      <c r="J296" s="181"/>
      <c r="K296" s="182" t="s">
        <v>240</v>
      </c>
    </row>
    <row r="297">
      <c r="A297" s="179">
        <f t="shared" si="2"/>
        <v>296</v>
      </c>
      <c r="B297" s="180"/>
      <c r="C297" s="180" t="s">
        <v>208</v>
      </c>
      <c r="D297" s="180" t="s">
        <v>208</v>
      </c>
      <c r="E297" s="180" t="s">
        <v>208</v>
      </c>
      <c r="F297" s="180" t="s">
        <v>208</v>
      </c>
      <c r="G297" s="180" t="s">
        <v>208</v>
      </c>
      <c r="H297" s="181"/>
      <c r="I297" s="181"/>
      <c r="J297" s="180"/>
      <c r="K297" s="182" t="s">
        <v>240</v>
      </c>
    </row>
    <row r="298">
      <c r="A298" s="179">
        <f t="shared" si="2"/>
        <v>297</v>
      </c>
      <c r="B298" s="180"/>
      <c r="C298" s="180" t="s">
        <v>208</v>
      </c>
      <c r="D298" s="180" t="s">
        <v>208</v>
      </c>
      <c r="E298" s="180" t="s">
        <v>208</v>
      </c>
      <c r="F298" s="180" t="s">
        <v>208</v>
      </c>
      <c r="G298" s="180" t="s">
        <v>208</v>
      </c>
      <c r="H298" s="181"/>
      <c r="I298" s="181"/>
      <c r="J298" s="181"/>
      <c r="K298" s="182" t="s">
        <v>240</v>
      </c>
    </row>
    <row r="299">
      <c r="A299" s="179">
        <f t="shared" si="2"/>
        <v>298</v>
      </c>
      <c r="B299" s="180"/>
      <c r="C299" s="180" t="s">
        <v>208</v>
      </c>
      <c r="D299" s="180" t="s">
        <v>208</v>
      </c>
      <c r="E299" s="180" t="s">
        <v>208</v>
      </c>
      <c r="F299" s="180" t="s">
        <v>208</v>
      </c>
      <c r="G299" s="180" t="s">
        <v>208</v>
      </c>
      <c r="H299" s="181"/>
      <c r="I299" s="181"/>
      <c r="J299" s="181"/>
      <c r="K299" s="182" t="s">
        <v>240</v>
      </c>
    </row>
    <row r="300">
      <c r="A300" s="179">
        <f t="shared" si="2"/>
        <v>299</v>
      </c>
      <c r="B300" s="180"/>
      <c r="C300" s="180" t="s">
        <v>208</v>
      </c>
      <c r="D300" s="180" t="s">
        <v>208</v>
      </c>
      <c r="E300" s="180" t="s">
        <v>208</v>
      </c>
      <c r="F300" s="180" t="s">
        <v>208</v>
      </c>
      <c r="G300" s="180" t="s">
        <v>208</v>
      </c>
      <c r="H300" s="181"/>
      <c r="I300" s="181"/>
      <c r="J300" s="181"/>
      <c r="K300" s="182" t="s">
        <v>240</v>
      </c>
    </row>
    <row r="301">
      <c r="A301" s="179">
        <f t="shared" si="2"/>
        <v>300</v>
      </c>
      <c r="B301" s="180"/>
      <c r="C301" s="180" t="s">
        <v>208</v>
      </c>
      <c r="D301" s="180" t="s">
        <v>208</v>
      </c>
      <c r="E301" s="180" t="s">
        <v>208</v>
      </c>
      <c r="F301" s="180" t="s">
        <v>208</v>
      </c>
      <c r="G301" s="180" t="s">
        <v>208</v>
      </c>
      <c r="H301" s="181"/>
      <c r="I301" s="181"/>
      <c r="J301" s="181"/>
      <c r="K301" s="182" t="s">
        <v>240</v>
      </c>
    </row>
    <row r="302">
      <c r="A302" s="179">
        <f t="shared" si="2"/>
        <v>301</v>
      </c>
      <c r="B302" s="180"/>
      <c r="C302" s="180" t="s">
        <v>208</v>
      </c>
      <c r="D302" s="180" t="s">
        <v>208</v>
      </c>
      <c r="E302" s="180" t="s">
        <v>208</v>
      </c>
      <c r="F302" s="180" t="s">
        <v>208</v>
      </c>
      <c r="G302" s="180" t="s">
        <v>208</v>
      </c>
      <c r="H302" s="181"/>
      <c r="I302" s="181"/>
      <c r="J302" s="181"/>
      <c r="K302" s="182" t="s">
        <v>240</v>
      </c>
    </row>
    <row r="303">
      <c r="A303" s="179">
        <f t="shared" si="2"/>
        <v>302</v>
      </c>
      <c r="B303" s="180"/>
      <c r="C303" s="180" t="s">
        <v>208</v>
      </c>
      <c r="D303" s="180" t="s">
        <v>208</v>
      </c>
      <c r="E303" s="180" t="s">
        <v>208</v>
      </c>
      <c r="F303" s="180" t="s">
        <v>208</v>
      </c>
      <c r="G303" s="180" t="s">
        <v>208</v>
      </c>
      <c r="H303" s="181"/>
      <c r="I303" s="181"/>
      <c r="J303" s="181"/>
      <c r="K303" s="182" t="s">
        <v>240</v>
      </c>
    </row>
    <row r="304">
      <c r="A304" s="179">
        <f t="shared" si="2"/>
        <v>303</v>
      </c>
      <c r="B304" s="180"/>
      <c r="C304" s="180" t="s">
        <v>208</v>
      </c>
      <c r="D304" s="180" t="s">
        <v>208</v>
      </c>
      <c r="E304" s="180"/>
      <c r="F304" s="180" t="s">
        <v>208</v>
      </c>
      <c r="G304" s="180" t="s">
        <v>208</v>
      </c>
      <c r="H304" s="181"/>
      <c r="I304" s="181"/>
      <c r="J304" s="181"/>
      <c r="K304" s="182" t="s">
        <v>240</v>
      </c>
    </row>
    <row r="305">
      <c r="A305" s="179">
        <f t="shared" si="2"/>
        <v>304</v>
      </c>
      <c r="B305" s="180"/>
      <c r="C305" s="180" t="s">
        <v>208</v>
      </c>
      <c r="D305" s="180" t="s">
        <v>208</v>
      </c>
      <c r="E305" s="180"/>
      <c r="F305" s="180" t="s">
        <v>208</v>
      </c>
      <c r="G305" s="180" t="s">
        <v>208</v>
      </c>
      <c r="H305" s="181"/>
      <c r="I305" s="181"/>
      <c r="J305" s="181"/>
      <c r="K305" s="182" t="s">
        <v>240</v>
      </c>
    </row>
    <row r="306">
      <c r="A306" s="179">
        <f t="shared" si="2"/>
        <v>305</v>
      </c>
      <c r="B306" s="180"/>
      <c r="C306" s="180" t="s">
        <v>208</v>
      </c>
      <c r="D306" s="180" t="s">
        <v>208</v>
      </c>
      <c r="E306" s="180" t="s">
        <v>208</v>
      </c>
      <c r="F306" s="180" t="s">
        <v>208</v>
      </c>
      <c r="G306" s="180" t="s">
        <v>208</v>
      </c>
      <c r="H306" s="181"/>
      <c r="I306" s="181"/>
      <c r="J306" s="181"/>
      <c r="K306" s="182" t="s">
        <v>240</v>
      </c>
    </row>
    <row r="307">
      <c r="A307" s="179">
        <f t="shared" si="2"/>
        <v>306</v>
      </c>
      <c r="B307" s="180"/>
      <c r="C307" s="180" t="s">
        <v>208</v>
      </c>
      <c r="D307" s="180" t="s">
        <v>208</v>
      </c>
      <c r="E307" s="180" t="s">
        <v>208</v>
      </c>
      <c r="F307" s="180" t="s">
        <v>208</v>
      </c>
      <c r="G307" s="180" t="s">
        <v>208</v>
      </c>
      <c r="H307" s="181"/>
      <c r="I307" s="181"/>
      <c r="J307" s="181"/>
      <c r="K307" s="182" t="s">
        <v>240</v>
      </c>
    </row>
    <row r="308">
      <c r="A308" s="179">
        <f t="shared" si="2"/>
        <v>307</v>
      </c>
      <c r="B308" s="180"/>
      <c r="C308" s="180" t="s">
        <v>208</v>
      </c>
      <c r="D308" s="180" t="s">
        <v>208</v>
      </c>
      <c r="E308" s="180" t="s">
        <v>208</v>
      </c>
      <c r="F308" s="180" t="s">
        <v>208</v>
      </c>
      <c r="G308" s="180" t="s">
        <v>208</v>
      </c>
      <c r="H308" s="181"/>
      <c r="I308" s="181"/>
      <c r="J308" s="181"/>
      <c r="K308" s="182" t="s">
        <v>240</v>
      </c>
    </row>
    <row r="309">
      <c r="A309" s="179">
        <f t="shared" si="2"/>
        <v>308</v>
      </c>
      <c r="B309" s="180"/>
      <c r="C309" s="180" t="s">
        <v>208</v>
      </c>
      <c r="D309" s="180" t="s">
        <v>208</v>
      </c>
      <c r="E309" s="180" t="s">
        <v>208</v>
      </c>
      <c r="F309" s="180" t="s">
        <v>208</v>
      </c>
      <c r="G309" s="180" t="s">
        <v>208</v>
      </c>
      <c r="H309" s="181"/>
      <c r="I309" s="181"/>
      <c r="J309" s="181"/>
      <c r="K309" s="182" t="s">
        <v>240</v>
      </c>
    </row>
    <row r="310">
      <c r="A310" s="179">
        <f t="shared" si="2"/>
        <v>309</v>
      </c>
      <c r="B310" s="180"/>
      <c r="C310" s="180" t="s">
        <v>208</v>
      </c>
      <c r="D310" s="180" t="s">
        <v>208</v>
      </c>
      <c r="E310" s="180" t="s">
        <v>208</v>
      </c>
      <c r="F310" s="180" t="s">
        <v>208</v>
      </c>
      <c r="G310" s="180" t="s">
        <v>208</v>
      </c>
      <c r="H310" s="181"/>
      <c r="I310" s="181"/>
      <c r="J310" s="181"/>
      <c r="K310" s="182" t="s">
        <v>240</v>
      </c>
    </row>
    <row r="311">
      <c r="A311" s="179">
        <f t="shared" si="2"/>
        <v>310</v>
      </c>
      <c r="B311" s="180"/>
      <c r="C311" s="180" t="s">
        <v>208</v>
      </c>
      <c r="D311" s="180" t="s">
        <v>208</v>
      </c>
      <c r="E311" s="180" t="s">
        <v>208</v>
      </c>
      <c r="F311" s="180" t="s">
        <v>208</v>
      </c>
      <c r="G311" s="180" t="s">
        <v>208</v>
      </c>
      <c r="H311" s="181"/>
      <c r="I311" s="181"/>
      <c r="J311" s="181"/>
      <c r="K311" s="182" t="s">
        <v>240</v>
      </c>
    </row>
    <row r="312">
      <c r="A312" s="179">
        <f t="shared" si="2"/>
        <v>311</v>
      </c>
      <c r="B312" s="180"/>
      <c r="C312" s="180" t="s">
        <v>208</v>
      </c>
      <c r="D312" s="180" t="s">
        <v>208</v>
      </c>
      <c r="E312" s="180" t="s">
        <v>208</v>
      </c>
      <c r="F312" s="180" t="s">
        <v>208</v>
      </c>
      <c r="G312" s="180" t="s">
        <v>208</v>
      </c>
      <c r="H312" s="180"/>
      <c r="I312" s="181"/>
      <c r="J312" s="180"/>
      <c r="K312" s="182" t="s">
        <v>240</v>
      </c>
    </row>
    <row r="313">
      <c r="A313" s="179">
        <f t="shared" si="2"/>
        <v>312</v>
      </c>
      <c r="B313" s="180"/>
      <c r="C313" s="180" t="s">
        <v>208</v>
      </c>
      <c r="D313" s="180" t="s">
        <v>208</v>
      </c>
      <c r="E313" s="180" t="s">
        <v>208</v>
      </c>
      <c r="F313" s="180" t="s">
        <v>208</v>
      </c>
      <c r="G313" s="180" t="s">
        <v>208</v>
      </c>
      <c r="H313" s="181"/>
      <c r="I313" s="181"/>
      <c r="J313" s="181"/>
      <c r="K313" s="182" t="s">
        <v>240</v>
      </c>
    </row>
    <row r="314">
      <c r="A314" s="179">
        <f t="shared" si="2"/>
        <v>313</v>
      </c>
      <c r="B314" s="180"/>
      <c r="C314" s="180" t="s">
        <v>208</v>
      </c>
      <c r="D314" s="180" t="s">
        <v>208</v>
      </c>
      <c r="E314" s="180" t="s">
        <v>208</v>
      </c>
      <c r="F314" s="180" t="s">
        <v>208</v>
      </c>
      <c r="G314" s="180" t="s">
        <v>208</v>
      </c>
      <c r="H314" s="181"/>
      <c r="I314" s="181"/>
      <c r="J314" s="181"/>
      <c r="K314" s="182" t="s">
        <v>240</v>
      </c>
    </row>
    <row r="315">
      <c r="A315" s="179">
        <f t="shared" si="2"/>
        <v>314</v>
      </c>
      <c r="B315" s="180"/>
      <c r="C315" s="180" t="s">
        <v>208</v>
      </c>
      <c r="D315" s="180" t="s">
        <v>208</v>
      </c>
      <c r="E315" s="180" t="s">
        <v>208</v>
      </c>
      <c r="F315" s="180" t="s">
        <v>208</v>
      </c>
      <c r="G315" s="180" t="s">
        <v>208</v>
      </c>
      <c r="H315" s="181"/>
      <c r="I315" s="181"/>
      <c r="J315" s="181"/>
      <c r="K315" s="182" t="s">
        <v>240</v>
      </c>
    </row>
    <row r="316">
      <c r="A316" s="179">
        <f t="shared" si="2"/>
        <v>315</v>
      </c>
      <c r="B316" s="180"/>
      <c r="C316" s="180" t="s">
        <v>208</v>
      </c>
      <c r="D316" s="180" t="s">
        <v>208</v>
      </c>
      <c r="E316" s="180" t="s">
        <v>208</v>
      </c>
      <c r="F316" s="180" t="s">
        <v>208</v>
      </c>
      <c r="G316" s="180" t="s">
        <v>208</v>
      </c>
      <c r="H316" s="180"/>
      <c r="I316" s="181"/>
      <c r="J316" s="181"/>
      <c r="K316" s="182" t="s">
        <v>240</v>
      </c>
    </row>
    <row r="317">
      <c r="A317" s="179">
        <f t="shared" si="2"/>
        <v>316</v>
      </c>
      <c r="B317" s="180"/>
      <c r="C317" s="180" t="s">
        <v>208</v>
      </c>
      <c r="D317" s="180" t="s">
        <v>208</v>
      </c>
      <c r="E317" s="180" t="s">
        <v>208</v>
      </c>
      <c r="F317" s="180" t="s">
        <v>208</v>
      </c>
      <c r="G317" s="180" t="s">
        <v>208</v>
      </c>
      <c r="H317" s="181"/>
      <c r="I317" s="181"/>
      <c r="J317" s="181"/>
      <c r="K317" s="182" t="s">
        <v>240</v>
      </c>
    </row>
    <row r="318">
      <c r="A318" s="179">
        <f t="shared" si="2"/>
        <v>317</v>
      </c>
      <c r="B318" s="180"/>
      <c r="C318" s="180" t="s">
        <v>208</v>
      </c>
      <c r="D318" s="180" t="s">
        <v>208</v>
      </c>
      <c r="E318" s="180" t="s">
        <v>208</v>
      </c>
      <c r="F318" s="180" t="s">
        <v>208</v>
      </c>
      <c r="G318" s="180" t="s">
        <v>208</v>
      </c>
      <c r="H318" s="181"/>
      <c r="I318" s="181"/>
      <c r="J318" s="181"/>
      <c r="K318" s="182" t="s">
        <v>240</v>
      </c>
    </row>
    <row r="319">
      <c r="A319" s="179">
        <f t="shared" si="2"/>
        <v>318</v>
      </c>
      <c r="B319" s="180"/>
      <c r="C319" s="180" t="s">
        <v>208</v>
      </c>
      <c r="D319" s="180" t="s">
        <v>208</v>
      </c>
      <c r="E319" s="180" t="s">
        <v>208</v>
      </c>
      <c r="F319" s="180" t="s">
        <v>208</v>
      </c>
      <c r="G319" s="180" t="s">
        <v>208</v>
      </c>
      <c r="H319" s="181"/>
      <c r="I319" s="181"/>
      <c r="J319" s="181"/>
      <c r="K319" s="182" t="s">
        <v>240</v>
      </c>
    </row>
    <row r="320">
      <c r="A320" s="179">
        <f t="shared" si="2"/>
        <v>319</v>
      </c>
      <c r="B320" s="180"/>
      <c r="C320" s="180" t="s">
        <v>208</v>
      </c>
      <c r="D320" s="180" t="s">
        <v>208</v>
      </c>
      <c r="E320" s="180" t="s">
        <v>208</v>
      </c>
      <c r="F320" s="180" t="s">
        <v>208</v>
      </c>
      <c r="G320" s="180" t="s">
        <v>208</v>
      </c>
      <c r="H320" s="181"/>
      <c r="I320" s="181"/>
      <c r="J320" s="181"/>
      <c r="K320" s="182" t="s">
        <v>240</v>
      </c>
    </row>
    <row r="321">
      <c r="A321" s="179">
        <f t="shared" si="2"/>
        <v>320</v>
      </c>
      <c r="B321" s="181"/>
      <c r="C321" s="180"/>
      <c r="D321" s="180" t="s">
        <v>208</v>
      </c>
      <c r="E321" s="180" t="s">
        <v>208</v>
      </c>
      <c r="F321" s="180" t="s">
        <v>208</v>
      </c>
      <c r="G321" s="180"/>
      <c r="H321" s="180" t="s">
        <v>208</v>
      </c>
      <c r="I321" s="181"/>
      <c r="J321" s="181"/>
      <c r="K321" s="182" t="s">
        <v>240</v>
      </c>
    </row>
    <row r="322">
      <c r="A322" s="179">
        <f t="shared" si="2"/>
        <v>321</v>
      </c>
      <c r="B322" s="180"/>
      <c r="C322" s="180" t="s">
        <v>208</v>
      </c>
      <c r="D322" s="180" t="s">
        <v>208</v>
      </c>
      <c r="E322" s="180" t="s">
        <v>208</v>
      </c>
      <c r="F322" s="180" t="s">
        <v>208</v>
      </c>
      <c r="G322" s="180" t="s">
        <v>208</v>
      </c>
      <c r="H322" s="181"/>
      <c r="I322" s="181"/>
      <c r="J322" s="181"/>
      <c r="K322" s="182" t="s">
        <v>240</v>
      </c>
    </row>
    <row r="323">
      <c r="A323" s="179">
        <f t="shared" si="2"/>
        <v>322</v>
      </c>
      <c r="B323" s="180"/>
      <c r="C323" s="180" t="s">
        <v>208</v>
      </c>
      <c r="D323" s="180" t="s">
        <v>208</v>
      </c>
      <c r="E323" s="180" t="s">
        <v>208</v>
      </c>
      <c r="F323" s="180" t="s">
        <v>208</v>
      </c>
      <c r="G323" s="180" t="s">
        <v>208</v>
      </c>
      <c r="H323" s="181"/>
      <c r="I323" s="181"/>
      <c r="J323" s="181"/>
      <c r="K323" s="182" t="s">
        <v>240</v>
      </c>
    </row>
    <row r="324">
      <c r="A324" s="179">
        <f t="shared" si="2"/>
        <v>323</v>
      </c>
      <c r="B324" s="180"/>
      <c r="C324" s="180" t="s">
        <v>208</v>
      </c>
      <c r="D324" s="180" t="s">
        <v>208</v>
      </c>
      <c r="E324" s="180" t="s">
        <v>208</v>
      </c>
      <c r="F324" s="180" t="s">
        <v>208</v>
      </c>
      <c r="G324" s="180" t="s">
        <v>208</v>
      </c>
      <c r="H324" s="181"/>
      <c r="I324" s="181"/>
      <c r="J324" s="181"/>
      <c r="K324" s="182" t="s">
        <v>240</v>
      </c>
    </row>
    <row r="325">
      <c r="A325" s="179">
        <f t="shared" si="2"/>
        <v>324</v>
      </c>
      <c r="B325" s="180"/>
      <c r="C325" s="180" t="s">
        <v>208</v>
      </c>
      <c r="D325" s="180" t="s">
        <v>208</v>
      </c>
      <c r="E325" s="180" t="s">
        <v>208</v>
      </c>
      <c r="F325" s="180" t="s">
        <v>208</v>
      </c>
      <c r="G325" s="180" t="s">
        <v>208</v>
      </c>
      <c r="H325" s="181"/>
      <c r="I325" s="181"/>
      <c r="J325" s="181"/>
      <c r="K325" s="182" t="s">
        <v>240</v>
      </c>
    </row>
    <row r="326">
      <c r="A326" s="179">
        <f t="shared" si="2"/>
        <v>325</v>
      </c>
      <c r="B326" s="180"/>
      <c r="C326" s="180" t="s">
        <v>208</v>
      </c>
      <c r="D326" s="180" t="s">
        <v>208</v>
      </c>
      <c r="E326" s="180" t="s">
        <v>208</v>
      </c>
      <c r="F326" s="180" t="s">
        <v>208</v>
      </c>
      <c r="G326" s="180" t="s">
        <v>208</v>
      </c>
      <c r="H326" s="181"/>
      <c r="I326" s="181"/>
      <c r="J326" s="181"/>
      <c r="K326" s="182" t="s">
        <v>240</v>
      </c>
    </row>
    <row r="327">
      <c r="A327" s="179">
        <f t="shared" si="2"/>
        <v>326</v>
      </c>
      <c r="B327" s="180"/>
      <c r="C327" s="180" t="s">
        <v>208</v>
      </c>
      <c r="D327" s="180" t="s">
        <v>208</v>
      </c>
      <c r="E327" s="180" t="s">
        <v>208</v>
      </c>
      <c r="F327" s="180" t="s">
        <v>208</v>
      </c>
      <c r="G327" s="180" t="s">
        <v>208</v>
      </c>
      <c r="H327" s="181"/>
      <c r="I327" s="181"/>
      <c r="J327" s="181"/>
      <c r="K327" s="182" t="s">
        <v>240</v>
      </c>
    </row>
    <row r="328">
      <c r="A328" s="179">
        <f t="shared" si="2"/>
        <v>327</v>
      </c>
      <c r="B328" s="180"/>
      <c r="C328" s="180" t="s">
        <v>208</v>
      </c>
      <c r="D328" s="180" t="s">
        <v>208</v>
      </c>
      <c r="E328" s="180" t="s">
        <v>208</v>
      </c>
      <c r="F328" s="180" t="s">
        <v>208</v>
      </c>
      <c r="G328" s="180" t="s">
        <v>208</v>
      </c>
      <c r="H328" s="181"/>
      <c r="I328" s="181"/>
      <c r="J328" s="181"/>
      <c r="K328" s="182" t="s">
        <v>240</v>
      </c>
    </row>
    <row r="329">
      <c r="A329" s="179">
        <f t="shared" si="2"/>
        <v>328</v>
      </c>
      <c r="B329" s="180"/>
      <c r="C329" s="180" t="s">
        <v>208</v>
      </c>
      <c r="D329" s="180" t="s">
        <v>208</v>
      </c>
      <c r="E329" s="180" t="s">
        <v>208</v>
      </c>
      <c r="F329" s="180" t="s">
        <v>208</v>
      </c>
      <c r="G329" s="180" t="s">
        <v>208</v>
      </c>
      <c r="H329" s="181"/>
      <c r="I329" s="181"/>
      <c r="J329" s="181"/>
      <c r="K329" s="182" t="s">
        <v>240</v>
      </c>
    </row>
    <row r="330">
      <c r="A330" s="179">
        <f t="shared" si="2"/>
        <v>329</v>
      </c>
      <c r="B330" s="180"/>
      <c r="C330" s="180" t="s">
        <v>208</v>
      </c>
      <c r="D330" s="180" t="s">
        <v>208</v>
      </c>
      <c r="E330" s="180" t="s">
        <v>208</v>
      </c>
      <c r="F330" s="180" t="s">
        <v>208</v>
      </c>
      <c r="G330" s="180" t="s">
        <v>208</v>
      </c>
      <c r="H330" s="181"/>
      <c r="I330" s="181"/>
      <c r="J330" s="181"/>
      <c r="K330" s="182" t="s">
        <v>240</v>
      </c>
    </row>
    <row r="331">
      <c r="A331" s="179">
        <f t="shared" si="2"/>
        <v>330</v>
      </c>
      <c r="B331" s="180"/>
      <c r="C331" s="180"/>
      <c r="D331" s="180" t="s">
        <v>208</v>
      </c>
      <c r="E331" s="180" t="s">
        <v>208</v>
      </c>
      <c r="F331" s="180" t="s">
        <v>208</v>
      </c>
      <c r="G331" s="181"/>
      <c r="H331" s="180" t="s">
        <v>208</v>
      </c>
      <c r="I331" s="181"/>
      <c r="J331" s="181"/>
      <c r="K331" s="182" t="s">
        <v>240</v>
      </c>
    </row>
    <row r="332">
      <c r="A332" s="179">
        <f t="shared" si="2"/>
        <v>331</v>
      </c>
      <c r="B332" s="180"/>
      <c r="C332" s="180" t="s">
        <v>208</v>
      </c>
      <c r="D332" s="180" t="s">
        <v>208</v>
      </c>
      <c r="E332" s="180" t="s">
        <v>208</v>
      </c>
      <c r="F332" s="180" t="s">
        <v>208</v>
      </c>
      <c r="G332" s="180" t="s">
        <v>208</v>
      </c>
      <c r="H332" s="181"/>
      <c r="I332" s="181"/>
      <c r="J332" s="181"/>
      <c r="K332" s="182" t="s">
        <v>240</v>
      </c>
    </row>
    <row r="333">
      <c r="A333" s="179">
        <f t="shared" si="2"/>
        <v>332</v>
      </c>
      <c r="B333" s="180"/>
      <c r="C333" s="180" t="s">
        <v>208</v>
      </c>
      <c r="D333" s="180" t="s">
        <v>208</v>
      </c>
      <c r="E333" s="180" t="s">
        <v>208</v>
      </c>
      <c r="F333" s="180" t="s">
        <v>208</v>
      </c>
      <c r="G333" s="180" t="s">
        <v>208</v>
      </c>
      <c r="H333" s="181"/>
      <c r="I333" s="181"/>
      <c r="J333" s="181"/>
      <c r="K333" s="182" t="s">
        <v>240</v>
      </c>
    </row>
    <row r="334">
      <c r="A334" s="179">
        <f t="shared" si="2"/>
        <v>333</v>
      </c>
      <c r="B334" s="181"/>
      <c r="C334" s="180" t="s">
        <v>208</v>
      </c>
      <c r="D334" s="180" t="s">
        <v>208</v>
      </c>
      <c r="E334" s="180" t="s">
        <v>208</v>
      </c>
      <c r="F334" s="180" t="s">
        <v>208</v>
      </c>
      <c r="G334" s="180" t="s">
        <v>208</v>
      </c>
      <c r="H334" s="181"/>
      <c r="I334" s="181"/>
      <c r="J334" s="181"/>
      <c r="K334" s="182" t="s">
        <v>240</v>
      </c>
    </row>
    <row r="335">
      <c r="A335" s="179">
        <f t="shared" si="2"/>
        <v>334</v>
      </c>
      <c r="B335" s="180"/>
      <c r="C335" s="180" t="s">
        <v>208</v>
      </c>
      <c r="D335" s="180" t="s">
        <v>208</v>
      </c>
      <c r="E335" s="180" t="s">
        <v>208</v>
      </c>
      <c r="F335" s="180" t="s">
        <v>208</v>
      </c>
      <c r="G335" s="180" t="s">
        <v>208</v>
      </c>
      <c r="H335" s="181"/>
      <c r="I335" s="181"/>
      <c r="J335" s="181"/>
      <c r="K335" s="182" t="s">
        <v>240</v>
      </c>
    </row>
    <row r="336">
      <c r="A336" s="179">
        <f t="shared" si="2"/>
        <v>335</v>
      </c>
      <c r="B336" s="181"/>
      <c r="C336" s="180"/>
      <c r="D336" s="180" t="s">
        <v>208</v>
      </c>
      <c r="E336" s="180" t="s">
        <v>208</v>
      </c>
      <c r="F336" s="180" t="s">
        <v>208</v>
      </c>
      <c r="G336" s="180"/>
      <c r="H336" s="180" t="s">
        <v>208</v>
      </c>
      <c r="I336" s="181"/>
      <c r="J336" s="181"/>
      <c r="K336" s="182" t="s">
        <v>240</v>
      </c>
    </row>
    <row r="337">
      <c r="A337" s="179">
        <f t="shared" si="2"/>
        <v>336</v>
      </c>
      <c r="B337" s="180"/>
      <c r="C337" s="180"/>
      <c r="D337" s="190" t="s">
        <v>208</v>
      </c>
      <c r="E337" s="190" t="s">
        <v>208</v>
      </c>
      <c r="F337" s="190" t="s">
        <v>208</v>
      </c>
      <c r="G337" s="181"/>
      <c r="H337" s="190" t="s">
        <v>208</v>
      </c>
      <c r="I337" s="181"/>
      <c r="J337" s="180"/>
      <c r="K337" s="182" t="s">
        <v>240</v>
      </c>
    </row>
    <row r="338">
      <c r="A338" s="179">
        <f t="shared" si="2"/>
        <v>337</v>
      </c>
      <c r="B338" s="180"/>
      <c r="C338" s="180" t="s">
        <v>208</v>
      </c>
      <c r="D338" s="180" t="s">
        <v>208</v>
      </c>
      <c r="E338" s="180" t="s">
        <v>208</v>
      </c>
      <c r="F338" s="180" t="s">
        <v>208</v>
      </c>
      <c r="G338" s="180" t="s">
        <v>208</v>
      </c>
      <c r="H338" s="181"/>
      <c r="I338" s="181"/>
      <c r="J338" s="181"/>
      <c r="K338" s="182" t="s">
        <v>240</v>
      </c>
    </row>
    <row r="339">
      <c r="A339" s="179">
        <f t="shared" si="2"/>
        <v>338</v>
      </c>
      <c r="B339" s="180"/>
      <c r="C339" s="180" t="s">
        <v>208</v>
      </c>
      <c r="D339" s="180" t="s">
        <v>208</v>
      </c>
      <c r="E339" s="180" t="s">
        <v>208</v>
      </c>
      <c r="F339" s="180" t="s">
        <v>208</v>
      </c>
      <c r="G339" s="180" t="s">
        <v>208</v>
      </c>
      <c r="H339" s="181"/>
      <c r="I339" s="181"/>
      <c r="J339" s="181"/>
      <c r="K339" s="182" t="s">
        <v>240</v>
      </c>
    </row>
    <row r="340">
      <c r="A340" s="179">
        <f t="shared" si="2"/>
        <v>339</v>
      </c>
      <c r="B340" s="180"/>
      <c r="C340" s="180" t="s">
        <v>208</v>
      </c>
      <c r="D340" s="180" t="s">
        <v>208</v>
      </c>
      <c r="E340" s="180"/>
      <c r="F340" s="180" t="s">
        <v>208</v>
      </c>
      <c r="G340" s="180" t="s">
        <v>208</v>
      </c>
      <c r="H340" s="181"/>
      <c r="I340" s="181"/>
      <c r="J340" s="181"/>
      <c r="K340" s="182" t="s">
        <v>240</v>
      </c>
    </row>
    <row r="341">
      <c r="A341" s="179">
        <f t="shared" si="2"/>
        <v>340</v>
      </c>
      <c r="B341" s="180"/>
      <c r="C341" s="180" t="s">
        <v>208</v>
      </c>
      <c r="D341" s="180" t="s">
        <v>208</v>
      </c>
      <c r="E341" s="180"/>
      <c r="F341" s="180" t="s">
        <v>208</v>
      </c>
      <c r="G341" s="180" t="s">
        <v>208</v>
      </c>
      <c r="H341" s="181"/>
      <c r="I341" s="181"/>
      <c r="J341" s="181"/>
      <c r="K341" s="182" t="s">
        <v>240</v>
      </c>
    </row>
    <row r="342">
      <c r="A342" s="179">
        <f t="shared" si="2"/>
        <v>341</v>
      </c>
      <c r="B342" s="180"/>
      <c r="C342" s="180" t="s">
        <v>208</v>
      </c>
      <c r="D342" s="180" t="s">
        <v>208</v>
      </c>
      <c r="E342" s="180" t="s">
        <v>208</v>
      </c>
      <c r="F342" s="180" t="s">
        <v>208</v>
      </c>
      <c r="G342" s="180" t="s">
        <v>208</v>
      </c>
      <c r="H342" s="181"/>
      <c r="I342" s="181"/>
      <c r="J342" s="181"/>
      <c r="K342" s="182" t="s">
        <v>240</v>
      </c>
    </row>
    <row r="343">
      <c r="A343" s="179">
        <f t="shared" si="2"/>
        <v>342</v>
      </c>
      <c r="B343" s="180"/>
      <c r="C343" s="180" t="s">
        <v>208</v>
      </c>
      <c r="D343" s="180" t="s">
        <v>208</v>
      </c>
      <c r="E343" s="180" t="s">
        <v>208</v>
      </c>
      <c r="F343" s="180" t="s">
        <v>208</v>
      </c>
      <c r="G343" s="180" t="s">
        <v>208</v>
      </c>
      <c r="H343" s="181"/>
      <c r="I343" s="181"/>
      <c r="J343" s="181"/>
      <c r="K343" s="182" t="s">
        <v>240</v>
      </c>
    </row>
    <row r="344">
      <c r="A344" s="179">
        <f t="shared" si="2"/>
        <v>343</v>
      </c>
      <c r="B344" s="180"/>
      <c r="C344" s="180" t="s">
        <v>208</v>
      </c>
      <c r="D344" s="180" t="s">
        <v>208</v>
      </c>
      <c r="E344" s="180" t="s">
        <v>208</v>
      </c>
      <c r="F344" s="180" t="s">
        <v>208</v>
      </c>
      <c r="G344" s="180" t="s">
        <v>208</v>
      </c>
      <c r="H344" s="181"/>
      <c r="I344" s="181"/>
      <c r="J344" s="181"/>
      <c r="K344" s="182" t="s">
        <v>240</v>
      </c>
    </row>
    <row r="345">
      <c r="A345" s="179">
        <f t="shared" si="2"/>
        <v>344</v>
      </c>
      <c r="B345" s="180"/>
      <c r="C345" s="180"/>
      <c r="D345" s="180" t="s">
        <v>208</v>
      </c>
      <c r="E345" s="180" t="s">
        <v>208</v>
      </c>
      <c r="F345" s="180" t="s">
        <v>208</v>
      </c>
      <c r="G345" s="181"/>
      <c r="H345" s="180" t="s">
        <v>208</v>
      </c>
      <c r="I345" s="181"/>
      <c r="J345" s="181"/>
      <c r="K345" s="182" t="s">
        <v>240</v>
      </c>
    </row>
    <row r="346">
      <c r="A346" s="179">
        <f t="shared" si="2"/>
        <v>345</v>
      </c>
      <c r="B346" s="180"/>
      <c r="C346" s="180" t="s">
        <v>208</v>
      </c>
      <c r="D346" s="180" t="s">
        <v>208</v>
      </c>
      <c r="E346" s="180" t="s">
        <v>208</v>
      </c>
      <c r="F346" s="180" t="s">
        <v>208</v>
      </c>
      <c r="G346" s="180" t="s">
        <v>208</v>
      </c>
      <c r="H346" s="181"/>
      <c r="I346" s="181"/>
      <c r="J346" s="181"/>
      <c r="K346" s="182" t="s">
        <v>240</v>
      </c>
    </row>
    <row r="347">
      <c r="A347" s="179">
        <f t="shared" si="2"/>
        <v>346</v>
      </c>
      <c r="B347" s="180"/>
      <c r="C347" s="180" t="s">
        <v>208</v>
      </c>
      <c r="D347" s="180" t="s">
        <v>208</v>
      </c>
      <c r="E347" s="180" t="s">
        <v>208</v>
      </c>
      <c r="F347" s="180" t="s">
        <v>208</v>
      </c>
      <c r="G347" s="180" t="s">
        <v>208</v>
      </c>
      <c r="H347" s="181"/>
      <c r="I347" s="181"/>
      <c r="J347" s="181"/>
      <c r="K347" s="182" t="s">
        <v>240</v>
      </c>
    </row>
    <row r="348">
      <c r="A348" s="179">
        <f t="shared" si="2"/>
        <v>347</v>
      </c>
      <c r="B348" s="180"/>
      <c r="C348" s="180" t="s">
        <v>208</v>
      </c>
      <c r="D348" s="180" t="s">
        <v>208</v>
      </c>
      <c r="E348" s="180" t="s">
        <v>208</v>
      </c>
      <c r="F348" s="180" t="s">
        <v>208</v>
      </c>
      <c r="G348" s="180" t="s">
        <v>208</v>
      </c>
      <c r="H348" s="181"/>
      <c r="I348" s="181"/>
      <c r="J348" s="181"/>
      <c r="K348" s="182" t="s">
        <v>240</v>
      </c>
    </row>
    <row r="349">
      <c r="A349" s="179">
        <f t="shared" si="2"/>
        <v>348</v>
      </c>
      <c r="B349" s="180"/>
      <c r="C349" s="180" t="s">
        <v>208</v>
      </c>
      <c r="D349" s="180" t="s">
        <v>208</v>
      </c>
      <c r="E349" s="180" t="s">
        <v>208</v>
      </c>
      <c r="F349" s="180" t="s">
        <v>208</v>
      </c>
      <c r="G349" s="180" t="s">
        <v>208</v>
      </c>
      <c r="H349" s="181"/>
      <c r="I349" s="181"/>
      <c r="J349" s="181"/>
      <c r="K349" s="182" t="s">
        <v>240</v>
      </c>
    </row>
    <row r="350">
      <c r="A350" s="179">
        <f t="shared" si="2"/>
        <v>349</v>
      </c>
      <c r="B350" s="180"/>
      <c r="C350" s="180" t="s">
        <v>208</v>
      </c>
      <c r="D350" s="180" t="s">
        <v>208</v>
      </c>
      <c r="E350" s="180" t="s">
        <v>208</v>
      </c>
      <c r="F350" s="180" t="s">
        <v>208</v>
      </c>
      <c r="G350" s="180" t="s">
        <v>208</v>
      </c>
      <c r="H350" s="181"/>
      <c r="I350" s="181"/>
      <c r="J350" s="181"/>
      <c r="K350" s="182" t="s">
        <v>240</v>
      </c>
    </row>
    <row r="351">
      <c r="A351" s="179">
        <f t="shared" si="2"/>
        <v>350</v>
      </c>
      <c r="B351" s="180"/>
      <c r="C351" s="180" t="s">
        <v>208</v>
      </c>
      <c r="D351" s="180" t="s">
        <v>208</v>
      </c>
      <c r="E351" s="180" t="s">
        <v>208</v>
      </c>
      <c r="F351" s="180" t="s">
        <v>208</v>
      </c>
      <c r="G351" s="180" t="s">
        <v>208</v>
      </c>
      <c r="H351" s="181"/>
      <c r="I351" s="181"/>
      <c r="J351" s="181"/>
      <c r="K351" s="182" t="s">
        <v>240</v>
      </c>
    </row>
    <row r="352">
      <c r="A352" s="179">
        <f t="shared" si="2"/>
        <v>351</v>
      </c>
      <c r="B352" s="180"/>
      <c r="C352" s="180" t="s">
        <v>208</v>
      </c>
      <c r="D352" s="180" t="s">
        <v>208</v>
      </c>
      <c r="E352" s="180" t="s">
        <v>208</v>
      </c>
      <c r="F352" s="180" t="s">
        <v>208</v>
      </c>
      <c r="G352" s="180" t="s">
        <v>208</v>
      </c>
      <c r="H352" s="181"/>
      <c r="I352" s="181"/>
      <c r="J352" s="181"/>
      <c r="K352" s="182" t="s">
        <v>240</v>
      </c>
    </row>
    <row r="353">
      <c r="A353" s="179">
        <f t="shared" si="2"/>
        <v>352</v>
      </c>
      <c r="B353" s="180"/>
      <c r="C353" s="180" t="s">
        <v>208</v>
      </c>
      <c r="D353" s="180" t="s">
        <v>208</v>
      </c>
      <c r="E353" s="180" t="s">
        <v>208</v>
      </c>
      <c r="F353" s="180" t="s">
        <v>208</v>
      </c>
      <c r="G353" s="180" t="s">
        <v>208</v>
      </c>
      <c r="H353" s="181"/>
      <c r="I353" s="181"/>
      <c r="J353" s="181"/>
      <c r="K353" s="182" t="s">
        <v>240</v>
      </c>
    </row>
    <row r="354">
      <c r="A354" s="179">
        <f t="shared" si="2"/>
        <v>353</v>
      </c>
      <c r="B354" s="180"/>
      <c r="C354" s="180" t="s">
        <v>208</v>
      </c>
      <c r="D354" s="180" t="s">
        <v>208</v>
      </c>
      <c r="E354" s="180" t="s">
        <v>208</v>
      </c>
      <c r="F354" s="180" t="s">
        <v>208</v>
      </c>
      <c r="G354" s="180" t="s">
        <v>208</v>
      </c>
      <c r="H354" s="181"/>
      <c r="I354" s="181"/>
      <c r="J354" s="181"/>
      <c r="K354" s="182" t="s">
        <v>240</v>
      </c>
    </row>
    <row r="355">
      <c r="A355" s="179">
        <f t="shared" si="2"/>
        <v>354</v>
      </c>
      <c r="B355" s="180"/>
      <c r="C355" s="180" t="s">
        <v>208</v>
      </c>
      <c r="D355" s="180" t="s">
        <v>208</v>
      </c>
      <c r="E355" s="180" t="s">
        <v>208</v>
      </c>
      <c r="F355" s="180" t="s">
        <v>208</v>
      </c>
      <c r="G355" s="180" t="s">
        <v>208</v>
      </c>
      <c r="H355" s="181"/>
      <c r="I355" s="181"/>
      <c r="J355" s="181"/>
      <c r="K355" s="182" t="s">
        <v>240</v>
      </c>
    </row>
    <row r="356">
      <c r="A356" s="179">
        <f t="shared" si="2"/>
        <v>355</v>
      </c>
      <c r="B356" s="180"/>
      <c r="C356" s="180" t="s">
        <v>208</v>
      </c>
      <c r="D356" s="180" t="s">
        <v>208</v>
      </c>
      <c r="E356" s="180" t="s">
        <v>208</v>
      </c>
      <c r="F356" s="180" t="s">
        <v>208</v>
      </c>
      <c r="G356" s="180" t="s">
        <v>208</v>
      </c>
      <c r="H356" s="181"/>
      <c r="I356" s="181"/>
      <c r="J356" s="181"/>
      <c r="K356" s="182" t="s">
        <v>240</v>
      </c>
    </row>
    <row r="357">
      <c r="A357" s="179">
        <f t="shared" si="2"/>
        <v>356</v>
      </c>
      <c r="B357" s="180"/>
      <c r="C357" s="180" t="s">
        <v>208</v>
      </c>
      <c r="D357" s="180" t="s">
        <v>208</v>
      </c>
      <c r="E357" s="180" t="s">
        <v>208</v>
      </c>
      <c r="F357" s="180" t="s">
        <v>208</v>
      </c>
      <c r="G357" s="180" t="s">
        <v>208</v>
      </c>
      <c r="H357" s="181"/>
      <c r="I357" s="181"/>
      <c r="J357" s="181"/>
      <c r="K357" s="182" t="s">
        <v>240</v>
      </c>
    </row>
    <row r="358">
      <c r="A358" s="179">
        <f t="shared" si="2"/>
        <v>357</v>
      </c>
      <c r="B358" s="180"/>
      <c r="C358" s="180"/>
      <c r="D358" s="190" t="s">
        <v>208</v>
      </c>
      <c r="E358" s="190" t="s">
        <v>208</v>
      </c>
      <c r="F358" s="190" t="s">
        <v>208</v>
      </c>
      <c r="G358" s="181"/>
      <c r="H358" s="190" t="s">
        <v>208</v>
      </c>
      <c r="I358" s="181"/>
      <c r="J358" s="180"/>
      <c r="K358" s="182" t="s">
        <v>240</v>
      </c>
    </row>
    <row r="359">
      <c r="A359" s="179">
        <f t="shared" si="2"/>
        <v>358</v>
      </c>
      <c r="B359" s="180"/>
      <c r="C359" s="180" t="s">
        <v>208</v>
      </c>
      <c r="D359" s="180" t="s">
        <v>208</v>
      </c>
      <c r="E359" s="180" t="s">
        <v>208</v>
      </c>
      <c r="F359" s="180" t="s">
        <v>208</v>
      </c>
      <c r="G359" s="180" t="s">
        <v>208</v>
      </c>
      <c r="H359" s="181"/>
      <c r="I359" s="181"/>
      <c r="J359" s="181"/>
      <c r="K359" s="182" t="s">
        <v>240</v>
      </c>
    </row>
    <row r="360">
      <c r="A360" s="179">
        <f t="shared" si="2"/>
        <v>359</v>
      </c>
      <c r="B360" s="181"/>
      <c r="C360" s="180"/>
      <c r="D360" s="180" t="s">
        <v>208</v>
      </c>
      <c r="E360" s="180" t="s">
        <v>208</v>
      </c>
      <c r="F360" s="180" t="s">
        <v>208</v>
      </c>
      <c r="G360" s="180"/>
      <c r="H360" s="180" t="s">
        <v>208</v>
      </c>
      <c r="I360" s="181"/>
      <c r="J360" s="181"/>
      <c r="K360" s="182" t="s">
        <v>240</v>
      </c>
    </row>
    <row r="361">
      <c r="A361" s="179">
        <f t="shared" si="2"/>
        <v>360</v>
      </c>
      <c r="B361" s="180"/>
      <c r="C361" s="180"/>
      <c r="D361" s="180"/>
      <c r="E361" s="180"/>
      <c r="F361" s="180"/>
      <c r="G361" s="180"/>
      <c r="H361" s="181"/>
      <c r="I361" s="181"/>
      <c r="J361" s="180" t="s">
        <v>242</v>
      </c>
      <c r="K361" s="182" t="s">
        <v>240</v>
      </c>
    </row>
    <row r="362">
      <c r="A362" s="179">
        <f t="shared" si="2"/>
        <v>361</v>
      </c>
      <c r="B362" s="180"/>
      <c r="C362" s="180" t="s">
        <v>208</v>
      </c>
      <c r="D362" s="180" t="s">
        <v>208</v>
      </c>
      <c r="E362" s="180" t="s">
        <v>208</v>
      </c>
      <c r="F362" s="180" t="s">
        <v>208</v>
      </c>
      <c r="G362" s="180" t="s">
        <v>208</v>
      </c>
      <c r="H362" s="181"/>
      <c r="I362" s="181"/>
      <c r="J362" s="181"/>
      <c r="K362" s="182" t="s">
        <v>240</v>
      </c>
    </row>
    <row r="363">
      <c r="A363" s="179">
        <f t="shared" si="2"/>
        <v>362</v>
      </c>
      <c r="B363" s="181"/>
      <c r="C363" s="180"/>
      <c r="D363" s="180" t="s">
        <v>208</v>
      </c>
      <c r="E363" s="180" t="s">
        <v>208</v>
      </c>
      <c r="F363" s="180" t="s">
        <v>208</v>
      </c>
      <c r="G363" s="180"/>
      <c r="H363" s="180" t="s">
        <v>208</v>
      </c>
      <c r="I363" s="181"/>
      <c r="J363" s="181"/>
      <c r="K363" s="182" t="s">
        <v>240</v>
      </c>
    </row>
    <row r="364">
      <c r="A364" s="179">
        <f t="shared" si="2"/>
        <v>363</v>
      </c>
      <c r="B364" s="180"/>
      <c r="C364" s="180"/>
      <c r="D364" s="180" t="s">
        <v>208</v>
      </c>
      <c r="E364" s="180" t="s">
        <v>208</v>
      </c>
      <c r="F364" s="180" t="s">
        <v>208</v>
      </c>
      <c r="G364" s="181"/>
      <c r="H364" s="180" t="s">
        <v>208</v>
      </c>
      <c r="I364" s="181"/>
      <c r="J364" s="181"/>
      <c r="K364" s="182" t="s">
        <v>240</v>
      </c>
    </row>
    <row r="365">
      <c r="A365" s="179">
        <f t="shared" si="2"/>
        <v>364</v>
      </c>
      <c r="B365" s="180"/>
      <c r="C365" s="180" t="s">
        <v>208</v>
      </c>
      <c r="D365" s="180" t="s">
        <v>208</v>
      </c>
      <c r="E365" s="180" t="s">
        <v>208</v>
      </c>
      <c r="F365" s="180" t="s">
        <v>208</v>
      </c>
      <c r="G365" s="180" t="s">
        <v>208</v>
      </c>
      <c r="H365" s="181"/>
      <c r="I365" s="181"/>
      <c r="J365" s="180"/>
      <c r="K365" s="182" t="s">
        <v>240</v>
      </c>
    </row>
    <row r="366">
      <c r="A366" s="179">
        <f t="shared" si="2"/>
        <v>365</v>
      </c>
      <c r="B366" s="180"/>
      <c r="C366" s="180" t="s">
        <v>208</v>
      </c>
      <c r="D366" s="180" t="s">
        <v>208</v>
      </c>
      <c r="E366" s="180" t="s">
        <v>208</v>
      </c>
      <c r="F366" s="180" t="s">
        <v>208</v>
      </c>
      <c r="G366" s="180" t="s">
        <v>208</v>
      </c>
      <c r="H366" s="181"/>
      <c r="I366" s="181"/>
      <c r="J366" s="181"/>
      <c r="K366" s="182" t="s">
        <v>240</v>
      </c>
    </row>
    <row r="367">
      <c r="A367" s="179">
        <f t="shared" si="2"/>
        <v>366</v>
      </c>
      <c r="B367" s="180"/>
      <c r="C367" s="180" t="s">
        <v>208</v>
      </c>
      <c r="D367" s="180" t="s">
        <v>208</v>
      </c>
      <c r="E367" s="180" t="s">
        <v>208</v>
      </c>
      <c r="F367" s="180" t="s">
        <v>208</v>
      </c>
      <c r="G367" s="180" t="s">
        <v>208</v>
      </c>
      <c r="H367" s="181"/>
      <c r="I367" s="181"/>
      <c r="J367" s="181"/>
      <c r="K367" s="182" t="s">
        <v>240</v>
      </c>
    </row>
    <row r="368">
      <c r="A368" s="179">
        <f t="shared" si="2"/>
        <v>367</v>
      </c>
      <c r="B368" s="180"/>
      <c r="C368" s="180" t="s">
        <v>208</v>
      </c>
      <c r="D368" s="180" t="s">
        <v>208</v>
      </c>
      <c r="E368" s="180" t="s">
        <v>208</v>
      </c>
      <c r="F368" s="180" t="s">
        <v>208</v>
      </c>
      <c r="G368" s="180" t="s">
        <v>208</v>
      </c>
      <c r="H368" s="181"/>
      <c r="I368" s="181"/>
      <c r="J368" s="181"/>
      <c r="K368" s="182" t="s">
        <v>240</v>
      </c>
    </row>
    <row r="369">
      <c r="A369" s="179">
        <f t="shared" si="2"/>
        <v>368</v>
      </c>
      <c r="B369" s="180"/>
      <c r="C369" s="180" t="s">
        <v>208</v>
      </c>
      <c r="D369" s="180" t="s">
        <v>208</v>
      </c>
      <c r="E369" s="180" t="s">
        <v>208</v>
      </c>
      <c r="F369" s="180" t="s">
        <v>208</v>
      </c>
      <c r="G369" s="180" t="s">
        <v>208</v>
      </c>
      <c r="H369" s="181"/>
      <c r="I369" s="181"/>
      <c r="J369" s="181"/>
      <c r="K369" s="182" t="s">
        <v>240</v>
      </c>
    </row>
    <row r="370">
      <c r="A370" s="179">
        <f t="shared" si="2"/>
        <v>369</v>
      </c>
      <c r="B370" s="180"/>
      <c r="C370" s="180" t="s">
        <v>208</v>
      </c>
      <c r="D370" s="180" t="s">
        <v>208</v>
      </c>
      <c r="E370" s="180" t="s">
        <v>208</v>
      </c>
      <c r="F370" s="180" t="s">
        <v>208</v>
      </c>
      <c r="G370" s="180" t="s">
        <v>208</v>
      </c>
      <c r="H370" s="181"/>
      <c r="I370" s="181"/>
      <c r="J370" s="181"/>
      <c r="K370" s="182" t="s">
        <v>240</v>
      </c>
    </row>
    <row r="371">
      <c r="A371" s="179">
        <f t="shared" si="2"/>
        <v>370</v>
      </c>
      <c r="B371" s="181"/>
      <c r="C371" s="180" t="s">
        <v>208</v>
      </c>
      <c r="D371" s="180" t="s">
        <v>208</v>
      </c>
      <c r="E371" s="180" t="s">
        <v>208</v>
      </c>
      <c r="F371" s="180" t="s">
        <v>208</v>
      </c>
      <c r="G371" s="180" t="s">
        <v>208</v>
      </c>
      <c r="H371" s="180"/>
      <c r="I371" s="181"/>
      <c r="J371" s="181"/>
      <c r="K371" s="182" t="s">
        <v>240</v>
      </c>
    </row>
    <row r="372">
      <c r="A372" s="179">
        <f t="shared" si="2"/>
        <v>371</v>
      </c>
      <c r="B372" s="180"/>
      <c r="C372" s="180" t="s">
        <v>208</v>
      </c>
      <c r="D372" s="180" t="s">
        <v>208</v>
      </c>
      <c r="E372" s="180" t="s">
        <v>208</v>
      </c>
      <c r="F372" s="180" t="s">
        <v>208</v>
      </c>
      <c r="G372" s="180" t="s">
        <v>208</v>
      </c>
      <c r="H372" s="181"/>
      <c r="I372" s="181"/>
      <c r="J372" s="181"/>
      <c r="K372" s="182" t="s">
        <v>240</v>
      </c>
    </row>
    <row r="373">
      <c r="A373" s="179">
        <f t="shared" si="2"/>
        <v>372</v>
      </c>
      <c r="B373" s="180"/>
      <c r="C373" s="180" t="s">
        <v>208</v>
      </c>
      <c r="D373" s="180" t="s">
        <v>208</v>
      </c>
      <c r="E373" s="180" t="s">
        <v>208</v>
      </c>
      <c r="F373" s="180" t="s">
        <v>208</v>
      </c>
      <c r="G373" s="180" t="s">
        <v>208</v>
      </c>
      <c r="H373" s="181"/>
      <c r="I373" s="181"/>
      <c r="J373" s="181"/>
      <c r="K373" s="182" t="s">
        <v>240</v>
      </c>
    </row>
    <row r="374">
      <c r="A374" s="179">
        <f t="shared" si="2"/>
        <v>373</v>
      </c>
      <c r="B374" s="180"/>
      <c r="C374" s="180" t="s">
        <v>208</v>
      </c>
      <c r="D374" s="180" t="s">
        <v>208</v>
      </c>
      <c r="E374" s="180" t="s">
        <v>208</v>
      </c>
      <c r="F374" s="180" t="s">
        <v>208</v>
      </c>
      <c r="G374" s="180" t="s">
        <v>208</v>
      </c>
      <c r="H374" s="181"/>
      <c r="I374" s="181"/>
      <c r="J374" s="180"/>
      <c r="K374" s="182" t="s">
        <v>240</v>
      </c>
    </row>
    <row r="375">
      <c r="A375" s="179">
        <f t="shared" si="2"/>
        <v>374</v>
      </c>
      <c r="B375" s="180"/>
      <c r="C375" s="180" t="s">
        <v>208</v>
      </c>
      <c r="D375" s="180" t="s">
        <v>208</v>
      </c>
      <c r="E375" s="180" t="s">
        <v>208</v>
      </c>
      <c r="F375" s="180" t="s">
        <v>208</v>
      </c>
      <c r="G375" s="180" t="s">
        <v>208</v>
      </c>
      <c r="H375" s="181"/>
      <c r="I375" s="181"/>
      <c r="J375" s="181"/>
      <c r="K375" s="182" t="s">
        <v>240</v>
      </c>
    </row>
    <row r="376">
      <c r="A376" s="179">
        <f t="shared" si="2"/>
        <v>375</v>
      </c>
      <c r="B376" s="180"/>
      <c r="C376" s="180" t="s">
        <v>208</v>
      </c>
      <c r="D376" s="180" t="s">
        <v>208</v>
      </c>
      <c r="E376" s="180" t="s">
        <v>208</v>
      </c>
      <c r="F376" s="180" t="s">
        <v>208</v>
      </c>
      <c r="G376" s="180" t="s">
        <v>208</v>
      </c>
      <c r="H376" s="181"/>
      <c r="I376" s="181"/>
      <c r="J376" s="180"/>
      <c r="K376" s="182" t="s">
        <v>240</v>
      </c>
    </row>
    <row r="377">
      <c r="A377" s="179">
        <f t="shared" si="2"/>
        <v>376</v>
      </c>
      <c r="B377" s="180"/>
      <c r="C377" s="180" t="s">
        <v>208</v>
      </c>
      <c r="D377" s="180" t="s">
        <v>208</v>
      </c>
      <c r="E377" s="180" t="s">
        <v>208</v>
      </c>
      <c r="F377" s="180" t="s">
        <v>208</v>
      </c>
      <c r="G377" s="180" t="s">
        <v>208</v>
      </c>
      <c r="H377" s="181"/>
      <c r="I377" s="181"/>
      <c r="J377" s="181"/>
      <c r="K377" s="182" t="s">
        <v>240</v>
      </c>
    </row>
    <row r="378">
      <c r="A378" s="179">
        <f t="shared" si="2"/>
        <v>377</v>
      </c>
      <c r="B378" s="180"/>
      <c r="C378" s="180" t="s">
        <v>208</v>
      </c>
      <c r="D378" s="180" t="s">
        <v>208</v>
      </c>
      <c r="E378" s="180" t="s">
        <v>208</v>
      </c>
      <c r="F378" s="180" t="s">
        <v>208</v>
      </c>
      <c r="G378" s="180" t="s">
        <v>208</v>
      </c>
      <c r="H378" s="181"/>
      <c r="I378" s="181"/>
      <c r="J378" s="181"/>
      <c r="K378" s="182" t="s">
        <v>240</v>
      </c>
    </row>
    <row r="379">
      <c r="A379" s="179">
        <f t="shared" si="2"/>
        <v>378</v>
      </c>
      <c r="B379" s="180"/>
      <c r="C379" s="180" t="s">
        <v>208</v>
      </c>
      <c r="D379" s="180" t="s">
        <v>208</v>
      </c>
      <c r="E379" s="180" t="s">
        <v>208</v>
      </c>
      <c r="F379" s="180" t="s">
        <v>208</v>
      </c>
      <c r="G379" s="180" t="s">
        <v>208</v>
      </c>
      <c r="H379" s="181"/>
      <c r="I379" s="181"/>
      <c r="J379" s="181"/>
      <c r="K379" s="182" t="s">
        <v>240</v>
      </c>
    </row>
    <row r="380">
      <c r="A380" s="179">
        <f t="shared" si="2"/>
        <v>379</v>
      </c>
      <c r="B380" s="181"/>
      <c r="C380" s="180" t="s">
        <v>208</v>
      </c>
      <c r="D380" s="180" t="s">
        <v>208</v>
      </c>
      <c r="E380" s="180" t="s">
        <v>208</v>
      </c>
      <c r="F380" s="180" t="s">
        <v>208</v>
      </c>
      <c r="G380" s="180" t="s">
        <v>208</v>
      </c>
      <c r="H380" s="180"/>
      <c r="I380" s="181"/>
      <c r="J380" s="181"/>
      <c r="K380" s="182" t="s">
        <v>240</v>
      </c>
    </row>
    <row r="381">
      <c r="A381" s="179">
        <f t="shared" si="2"/>
        <v>380</v>
      </c>
      <c r="B381" s="180"/>
      <c r="C381" s="180" t="s">
        <v>208</v>
      </c>
      <c r="D381" s="180" t="s">
        <v>208</v>
      </c>
      <c r="E381" s="180" t="s">
        <v>208</v>
      </c>
      <c r="F381" s="180" t="s">
        <v>208</v>
      </c>
      <c r="G381" s="180" t="s">
        <v>208</v>
      </c>
      <c r="H381" s="181"/>
      <c r="I381" s="181"/>
      <c r="J381" s="181"/>
      <c r="K381" s="182" t="s">
        <v>240</v>
      </c>
    </row>
    <row r="382">
      <c r="A382" s="179">
        <f t="shared" si="2"/>
        <v>381</v>
      </c>
      <c r="B382" s="180"/>
      <c r="C382" s="180" t="s">
        <v>208</v>
      </c>
      <c r="D382" s="180" t="s">
        <v>208</v>
      </c>
      <c r="E382" s="180" t="s">
        <v>208</v>
      </c>
      <c r="F382" s="180" t="s">
        <v>208</v>
      </c>
      <c r="G382" s="180" t="s">
        <v>208</v>
      </c>
      <c r="H382" s="181"/>
      <c r="I382" s="181"/>
      <c r="J382" s="181"/>
      <c r="K382" s="182" t="s">
        <v>240</v>
      </c>
    </row>
    <row r="383">
      <c r="A383" s="179">
        <f t="shared" si="2"/>
        <v>382</v>
      </c>
      <c r="B383" s="180"/>
      <c r="C383" s="180" t="s">
        <v>208</v>
      </c>
      <c r="D383" s="180" t="s">
        <v>208</v>
      </c>
      <c r="E383" s="180" t="s">
        <v>208</v>
      </c>
      <c r="F383" s="180" t="s">
        <v>208</v>
      </c>
      <c r="G383" s="180" t="s">
        <v>208</v>
      </c>
      <c r="H383" s="181"/>
      <c r="I383" s="181"/>
      <c r="J383" s="181"/>
      <c r="K383" s="182" t="s">
        <v>240</v>
      </c>
    </row>
    <row r="384">
      <c r="A384" s="179">
        <f t="shared" si="2"/>
        <v>383</v>
      </c>
      <c r="B384" s="180"/>
      <c r="C384" s="180" t="s">
        <v>208</v>
      </c>
      <c r="D384" s="180" t="s">
        <v>208</v>
      </c>
      <c r="E384" s="180" t="s">
        <v>208</v>
      </c>
      <c r="F384" s="180" t="s">
        <v>208</v>
      </c>
      <c r="G384" s="180" t="s">
        <v>208</v>
      </c>
      <c r="H384" s="181"/>
      <c r="I384" s="181"/>
      <c r="J384" s="181"/>
      <c r="K384" s="182" t="s">
        <v>240</v>
      </c>
    </row>
    <row r="385">
      <c r="A385" s="179">
        <f t="shared" si="2"/>
        <v>384</v>
      </c>
      <c r="B385" s="180"/>
      <c r="C385" s="192"/>
      <c r="D385" s="180" t="s">
        <v>208</v>
      </c>
      <c r="E385" s="180" t="s">
        <v>208</v>
      </c>
      <c r="F385" s="180" t="s">
        <v>208</v>
      </c>
      <c r="G385" s="192"/>
      <c r="H385" s="180" t="s">
        <v>208</v>
      </c>
      <c r="I385" s="181"/>
      <c r="J385" s="180"/>
      <c r="K385" s="182" t="s">
        <v>240</v>
      </c>
    </row>
    <row r="386">
      <c r="A386" s="179">
        <f t="shared" si="2"/>
        <v>385</v>
      </c>
      <c r="B386" s="180"/>
      <c r="C386" s="180" t="s">
        <v>208</v>
      </c>
      <c r="D386" s="180" t="s">
        <v>208</v>
      </c>
      <c r="E386" s="180" t="s">
        <v>208</v>
      </c>
      <c r="F386" s="180" t="s">
        <v>208</v>
      </c>
      <c r="G386" s="180" t="s">
        <v>208</v>
      </c>
      <c r="H386" s="181"/>
      <c r="I386" s="181"/>
      <c r="J386" s="181"/>
      <c r="K386" s="182" t="s">
        <v>240</v>
      </c>
    </row>
    <row r="387">
      <c r="A387" s="179">
        <f t="shared" si="2"/>
        <v>386</v>
      </c>
      <c r="B387" s="180"/>
      <c r="C387" s="180" t="s">
        <v>208</v>
      </c>
      <c r="D387" s="180" t="s">
        <v>208</v>
      </c>
      <c r="E387" s="180" t="s">
        <v>208</v>
      </c>
      <c r="F387" s="180" t="s">
        <v>208</v>
      </c>
      <c r="G387" s="180" t="s">
        <v>208</v>
      </c>
      <c r="H387" s="181"/>
      <c r="I387" s="181"/>
      <c r="J387" s="181"/>
      <c r="K387" s="182" t="s">
        <v>240</v>
      </c>
    </row>
    <row r="388">
      <c r="A388" s="179">
        <f t="shared" si="2"/>
        <v>387</v>
      </c>
      <c r="B388" s="180"/>
      <c r="C388" s="180"/>
      <c r="D388" s="180" t="s">
        <v>208</v>
      </c>
      <c r="E388" s="180" t="s">
        <v>208</v>
      </c>
      <c r="F388" s="180" t="s">
        <v>208</v>
      </c>
      <c r="G388" s="181"/>
      <c r="H388" s="180" t="s">
        <v>208</v>
      </c>
      <c r="I388" s="181"/>
      <c r="J388" s="180"/>
      <c r="K388" s="182" t="s">
        <v>240</v>
      </c>
    </row>
    <row r="389">
      <c r="A389" s="179">
        <f t="shared" si="2"/>
        <v>388</v>
      </c>
      <c r="B389" s="181"/>
      <c r="C389" s="180" t="s">
        <v>208</v>
      </c>
      <c r="D389" s="180" t="s">
        <v>208</v>
      </c>
      <c r="E389" s="180" t="s">
        <v>208</v>
      </c>
      <c r="F389" s="180" t="s">
        <v>208</v>
      </c>
      <c r="G389" s="180" t="s">
        <v>208</v>
      </c>
      <c r="H389" s="180"/>
      <c r="I389" s="181"/>
      <c r="J389" s="181"/>
      <c r="K389" s="182" t="s">
        <v>240</v>
      </c>
    </row>
    <row r="390">
      <c r="A390" s="179">
        <f t="shared" si="2"/>
        <v>389</v>
      </c>
      <c r="B390" s="181"/>
      <c r="C390" s="180" t="s">
        <v>208</v>
      </c>
      <c r="D390" s="180" t="s">
        <v>208</v>
      </c>
      <c r="E390" s="180" t="s">
        <v>208</v>
      </c>
      <c r="F390" s="180" t="s">
        <v>208</v>
      </c>
      <c r="G390" s="180" t="s">
        <v>208</v>
      </c>
      <c r="H390" s="180"/>
      <c r="I390" s="181"/>
      <c r="J390" s="181"/>
      <c r="K390" s="182" t="s">
        <v>240</v>
      </c>
    </row>
    <row r="391">
      <c r="A391" s="179">
        <f t="shared" si="2"/>
        <v>390</v>
      </c>
      <c r="B391" s="181"/>
      <c r="C391" s="180" t="s">
        <v>208</v>
      </c>
      <c r="D391" s="180" t="s">
        <v>208</v>
      </c>
      <c r="E391" s="180" t="s">
        <v>208</v>
      </c>
      <c r="F391" s="180" t="s">
        <v>208</v>
      </c>
      <c r="G391" s="180" t="s">
        <v>208</v>
      </c>
      <c r="H391" s="180"/>
      <c r="I391" s="181"/>
      <c r="J391" s="181"/>
      <c r="K391" s="182" t="s">
        <v>240</v>
      </c>
    </row>
    <row r="392">
      <c r="A392" s="179">
        <f t="shared" si="2"/>
        <v>391</v>
      </c>
      <c r="B392" s="181"/>
      <c r="C392" s="180" t="s">
        <v>208</v>
      </c>
      <c r="D392" s="180" t="s">
        <v>208</v>
      </c>
      <c r="E392" s="180" t="s">
        <v>208</v>
      </c>
      <c r="F392" s="180" t="s">
        <v>208</v>
      </c>
      <c r="G392" s="180" t="s">
        <v>208</v>
      </c>
      <c r="H392" s="181"/>
      <c r="I392" s="181"/>
      <c r="J392" s="181"/>
      <c r="K392" s="182" t="s">
        <v>240</v>
      </c>
    </row>
    <row r="393">
      <c r="A393" s="179">
        <f t="shared" si="2"/>
        <v>392</v>
      </c>
      <c r="B393" s="181"/>
      <c r="C393" s="180" t="s">
        <v>208</v>
      </c>
      <c r="D393" s="180" t="s">
        <v>208</v>
      </c>
      <c r="E393" s="180" t="s">
        <v>208</v>
      </c>
      <c r="F393" s="180" t="s">
        <v>208</v>
      </c>
      <c r="G393" s="180" t="s">
        <v>208</v>
      </c>
      <c r="H393" s="180"/>
      <c r="I393" s="181"/>
      <c r="J393" s="181"/>
      <c r="K393" s="182" t="s">
        <v>240</v>
      </c>
    </row>
    <row r="394">
      <c r="A394" s="179">
        <f t="shared" si="2"/>
        <v>393</v>
      </c>
      <c r="B394" s="180"/>
      <c r="C394" s="180" t="s">
        <v>208</v>
      </c>
      <c r="D394" s="180" t="s">
        <v>208</v>
      </c>
      <c r="E394" s="180" t="s">
        <v>208</v>
      </c>
      <c r="F394" s="180" t="s">
        <v>208</v>
      </c>
      <c r="G394" s="180" t="s">
        <v>208</v>
      </c>
      <c r="H394" s="181"/>
      <c r="I394" s="181"/>
      <c r="J394" s="181"/>
      <c r="K394" s="182" t="s">
        <v>240</v>
      </c>
    </row>
    <row r="395">
      <c r="A395" s="179">
        <f t="shared" si="2"/>
        <v>394</v>
      </c>
      <c r="B395" s="180"/>
      <c r="C395" s="180" t="s">
        <v>208</v>
      </c>
      <c r="D395" s="180" t="s">
        <v>208</v>
      </c>
      <c r="E395" s="180" t="s">
        <v>208</v>
      </c>
      <c r="F395" s="180" t="s">
        <v>208</v>
      </c>
      <c r="G395" s="180" t="s">
        <v>208</v>
      </c>
      <c r="H395" s="181"/>
      <c r="I395" s="181"/>
      <c r="J395" s="181"/>
      <c r="K395" s="182" t="s">
        <v>240</v>
      </c>
    </row>
    <row r="396">
      <c r="A396" s="179">
        <f t="shared" si="2"/>
        <v>395</v>
      </c>
      <c r="B396" s="180"/>
      <c r="C396" s="180" t="s">
        <v>208</v>
      </c>
      <c r="D396" s="180" t="s">
        <v>208</v>
      </c>
      <c r="E396" s="180" t="s">
        <v>208</v>
      </c>
      <c r="F396" s="180" t="s">
        <v>208</v>
      </c>
      <c r="G396" s="180" t="s">
        <v>208</v>
      </c>
      <c r="H396" s="181"/>
      <c r="I396" s="181"/>
      <c r="J396" s="181"/>
      <c r="K396" s="182" t="s">
        <v>240</v>
      </c>
    </row>
    <row r="397">
      <c r="A397" s="179">
        <f t="shared" si="2"/>
        <v>396</v>
      </c>
      <c r="B397" s="180"/>
      <c r="C397" s="180" t="s">
        <v>208</v>
      </c>
      <c r="D397" s="180" t="s">
        <v>208</v>
      </c>
      <c r="E397" s="180" t="s">
        <v>208</v>
      </c>
      <c r="F397" s="180" t="s">
        <v>208</v>
      </c>
      <c r="G397" s="180" t="s">
        <v>208</v>
      </c>
      <c r="H397" s="181"/>
      <c r="I397" s="181"/>
      <c r="J397" s="181"/>
      <c r="K397" s="182" t="s">
        <v>240</v>
      </c>
    </row>
    <row r="398">
      <c r="A398" s="179">
        <f t="shared" si="2"/>
        <v>397</v>
      </c>
      <c r="B398" s="180"/>
      <c r="C398" s="180" t="s">
        <v>208</v>
      </c>
      <c r="D398" s="180" t="s">
        <v>208</v>
      </c>
      <c r="E398" s="180" t="s">
        <v>208</v>
      </c>
      <c r="F398" s="180" t="s">
        <v>208</v>
      </c>
      <c r="G398" s="180" t="s">
        <v>208</v>
      </c>
      <c r="H398" s="181"/>
      <c r="I398" s="181"/>
      <c r="J398" s="181"/>
      <c r="K398" s="182" t="s">
        <v>240</v>
      </c>
    </row>
    <row r="399">
      <c r="A399" s="179">
        <f t="shared" si="2"/>
        <v>398</v>
      </c>
      <c r="B399" s="180"/>
      <c r="C399" s="180" t="s">
        <v>208</v>
      </c>
      <c r="D399" s="180" t="s">
        <v>208</v>
      </c>
      <c r="E399" s="180" t="s">
        <v>208</v>
      </c>
      <c r="F399" s="180" t="s">
        <v>208</v>
      </c>
      <c r="G399" s="180" t="s">
        <v>208</v>
      </c>
      <c r="H399" s="181"/>
      <c r="I399" s="181"/>
      <c r="J399" s="181"/>
      <c r="K399" s="182" t="s">
        <v>240</v>
      </c>
    </row>
    <row r="400">
      <c r="A400" s="179">
        <f t="shared" si="2"/>
        <v>399</v>
      </c>
      <c r="B400" s="180"/>
      <c r="C400" s="180" t="s">
        <v>208</v>
      </c>
      <c r="D400" s="180" t="s">
        <v>208</v>
      </c>
      <c r="E400" s="180" t="s">
        <v>208</v>
      </c>
      <c r="F400" s="180" t="s">
        <v>208</v>
      </c>
      <c r="G400" s="180" t="s">
        <v>208</v>
      </c>
      <c r="H400" s="181"/>
      <c r="I400" s="181"/>
      <c r="J400" s="181"/>
      <c r="K400" s="182" t="s">
        <v>240</v>
      </c>
    </row>
    <row r="401">
      <c r="A401" s="179">
        <f t="shared" si="2"/>
        <v>400</v>
      </c>
      <c r="B401" s="180"/>
      <c r="C401" s="180" t="s">
        <v>208</v>
      </c>
      <c r="D401" s="180" t="s">
        <v>208</v>
      </c>
      <c r="E401" s="180" t="s">
        <v>208</v>
      </c>
      <c r="F401" s="180" t="s">
        <v>208</v>
      </c>
      <c r="G401" s="180" t="s">
        <v>208</v>
      </c>
      <c r="H401" s="181"/>
      <c r="I401" s="181"/>
      <c r="J401" s="181"/>
      <c r="K401" s="182" t="s">
        <v>240</v>
      </c>
    </row>
    <row r="402">
      <c r="A402" s="179">
        <f t="shared" si="2"/>
        <v>401</v>
      </c>
      <c r="B402" s="180"/>
      <c r="C402" s="180" t="s">
        <v>208</v>
      </c>
      <c r="D402" s="180" t="s">
        <v>208</v>
      </c>
      <c r="E402" s="180" t="s">
        <v>208</v>
      </c>
      <c r="F402" s="180" t="s">
        <v>208</v>
      </c>
      <c r="G402" s="180" t="s">
        <v>208</v>
      </c>
      <c r="H402" s="181"/>
      <c r="I402" s="181"/>
      <c r="J402" s="181"/>
      <c r="K402" s="182" t="s">
        <v>240</v>
      </c>
    </row>
    <row r="403">
      <c r="A403" s="179">
        <f t="shared" si="2"/>
        <v>402</v>
      </c>
      <c r="B403" s="180"/>
      <c r="C403" s="180" t="s">
        <v>208</v>
      </c>
      <c r="D403" s="180" t="s">
        <v>208</v>
      </c>
      <c r="E403" s="180" t="s">
        <v>208</v>
      </c>
      <c r="F403" s="180" t="s">
        <v>208</v>
      </c>
      <c r="G403" s="180" t="s">
        <v>208</v>
      </c>
      <c r="H403" s="181"/>
      <c r="I403" s="181"/>
      <c r="J403" s="181"/>
      <c r="K403" s="182" t="s">
        <v>240</v>
      </c>
    </row>
    <row r="404">
      <c r="A404" s="179">
        <f t="shared" si="2"/>
        <v>403</v>
      </c>
      <c r="B404" s="180"/>
      <c r="C404" s="180" t="s">
        <v>208</v>
      </c>
      <c r="D404" s="180" t="s">
        <v>208</v>
      </c>
      <c r="E404" s="180" t="s">
        <v>208</v>
      </c>
      <c r="F404" s="180" t="s">
        <v>208</v>
      </c>
      <c r="G404" s="180" t="s">
        <v>208</v>
      </c>
      <c r="H404" s="181"/>
      <c r="I404" s="181"/>
      <c r="J404" s="181"/>
      <c r="K404" s="182" t="s">
        <v>240</v>
      </c>
    </row>
    <row r="405">
      <c r="A405" s="179">
        <f t="shared" si="2"/>
        <v>404</v>
      </c>
      <c r="B405" s="180"/>
      <c r="C405" s="180" t="s">
        <v>208</v>
      </c>
      <c r="D405" s="180" t="s">
        <v>208</v>
      </c>
      <c r="E405" s="180" t="s">
        <v>208</v>
      </c>
      <c r="F405" s="180" t="s">
        <v>208</v>
      </c>
      <c r="G405" s="180" t="s">
        <v>208</v>
      </c>
      <c r="H405" s="192"/>
      <c r="I405" s="181"/>
      <c r="J405" s="181"/>
      <c r="K405" s="182" t="s">
        <v>240</v>
      </c>
    </row>
    <row r="406">
      <c r="A406" s="179">
        <f t="shared" si="2"/>
        <v>405</v>
      </c>
      <c r="B406" s="181"/>
      <c r="C406" s="180" t="s">
        <v>208</v>
      </c>
      <c r="D406" s="180" t="s">
        <v>208</v>
      </c>
      <c r="E406" s="180" t="s">
        <v>208</v>
      </c>
      <c r="F406" s="180" t="s">
        <v>208</v>
      </c>
      <c r="G406" s="180" t="s">
        <v>208</v>
      </c>
      <c r="H406" s="180"/>
      <c r="I406" s="181"/>
      <c r="J406" s="181"/>
      <c r="K406" s="182" t="s">
        <v>240</v>
      </c>
    </row>
    <row r="407">
      <c r="A407" s="179">
        <f t="shared" si="2"/>
        <v>406</v>
      </c>
      <c r="B407" s="180"/>
      <c r="C407" s="180" t="s">
        <v>208</v>
      </c>
      <c r="D407" s="180" t="s">
        <v>208</v>
      </c>
      <c r="E407" s="180" t="s">
        <v>208</v>
      </c>
      <c r="F407" s="180" t="s">
        <v>208</v>
      </c>
      <c r="G407" s="180" t="s">
        <v>208</v>
      </c>
      <c r="H407" s="181"/>
      <c r="I407" s="181"/>
      <c r="J407" s="181"/>
      <c r="K407" s="182" t="s">
        <v>240</v>
      </c>
    </row>
    <row r="408">
      <c r="A408" s="179">
        <f t="shared" si="2"/>
        <v>407</v>
      </c>
      <c r="B408" s="180"/>
      <c r="C408" s="180" t="s">
        <v>208</v>
      </c>
      <c r="D408" s="180" t="s">
        <v>208</v>
      </c>
      <c r="E408" s="180" t="s">
        <v>208</v>
      </c>
      <c r="F408" s="180" t="s">
        <v>208</v>
      </c>
      <c r="G408" s="180" t="s">
        <v>208</v>
      </c>
      <c r="H408" s="181"/>
      <c r="I408" s="181"/>
      <c r="J408" s="181"/>
      <c r="K408" s="182" t="s">
        <v>240</v>
      </c>
    </row>
    <row r="409">
      <c r="A409" s="179">
        <f t="shared" si="2"/>
        <v>408</v>
      </c>
      <c r="B409" s="180"/>
      <c r="C409" s="180" t="s">
        <v>208</v>
      </c>
      <c r="D409" s="180" t="s">
        <v>208</v>
      </c>
      <c r="E409" s="180" t="s">
        <v>208</v>
      </c>
      <c r="F409" s="180" t="s">
        <v>208</v>
      </c>
      <c r="G409" s="180" t="s">
        <v>208</v>
      </c>
      <c r="H409" s="181"/>
      <c r="I409" s="181"/>
      <c r="J409" s="181"/>
      <c r="K409" s="182" t="s">
        <v>240</v>
      </c>
    </row>
    <row r="410">
      <c r="A410" s="179">
        <f t="shared" si="2"/>
        <v>409</v>
      </c>
      <c r="B410" s="180"/>
      <c r="C410" s="180" t="s">
        <v>208</v>
      </c>
      <c r="D410" s="180" t="s">
        <v>208</v>
      </c>
      <c r="E410" s="180" t="s">
        <v>208</v>
      </c>
      <c r="F410" s="180" t="s">
        <v>208</v>
      </c>
      <c r="G410" s="180" t="s">
        <v>208</v>
      </c>
      <c r="H410" s="181"/>
      <c r="I410" s="181"/>
      <c r="J410" s="181"/>
      <c r="K410" s="182" t="s">
        <v>240</v>
      </c>
    </row>
    <row r="411">
      <c r="A411" s="179">
        <f t="shared" si="2"/>
        <v>410</v>
      </c>
      <c r="B411" s="180"/>
      <c r="C411" s="180" t="s">
        <v>208</v>
      </c>
      <c r="D411" s="180" t="s">
        <v>208</v>
      </c>
      <c r="E411" s="180" t="s">
        <v>208</v>
      </c>
      <c r="F411" s="180" t="s">
        <v>208</v>
      </c>
      <c r="G411" s="180" t="s">
        <v>208</v>
      </c>
      <c r="H411" s="180"/>
      <c r="I411" s="181"/>
      <c r="J411" s="181"/>
      <c r="K411" s="182" t="s">
        <v>240</v>
      </c>
    </row>
    <row r="412">
      <c r="A412" s="179">
        <f t="shared" si="2"/>
        <v>411</v>
      </c>
      <c r="B412" s="180"/>
      <c r="C412" s="180" t="s">
        <v>208</v>
      </c>
      <c r="D412" s="180" t="s">
        <v>208</v>
      </c>
      <c r="E412" s="180" t="s">
        <v>208</v>
      </c>
      <c r="F412" s="180" t="s">
        <v>208</v>
      </c>
      <c r="G412" s="180" t="s">
        <v>208</v>
      </c>
      <c r="H412" s="181"/>
      <c r="I412" s="181"/>
      <c r="J412" s="181"/>
      <c r="K412" s="182" t="s">
        <v>240</v>
      </c>
    </row>
    <row r="413">
      <c r="A413" s="179">
        <f t="shared" si="2"/>
        <v>412</v>
      </c>
      <c r="B413" s="180"/>
      <c r="C413" s="180" t="s">
        <v>208</v>
      </c>
      <c r="D413" s="180" t="s">
        <v>208</v>
      </c>
      <c r="E413" s="180" t="s">
        <v>208</v>
      </c>
      <c r="F413" s="180" t="s">
        <v>208</v>
      </c>
      <c r="G413" s="180" t="s">
        <v>208</v>
      </c>
      <c r="H413" s="181"/>
      <c r="I413" s="181"/>
      <c r="J413" s="181"/>
      <c r="K413" s="182" t="s">
        <v>240</v>
      </c>
    </row>
    <row r="414">
      <c r="A414" s="179">
        <f t="shared" si="2"/>
        <v>413</v>
      </c>
      <c r="B414" s="181"/>
      <c r="C414" s="180" t="s">
        <v>208</v>
      </c>
      <c r="D414" s="180" t="s">
        <v>208</v>
      </c>
      <c r="E414" s="180" t="s">
        <v>208</v>
      </c>
      <c r="F414" s="180" t="s">
        <v>208</v>
      </c>
      <c r="G414" s="180" t="s">
        <v>208</v>
      </c>
      <c r="H414" s="181"/>
      <c r="I414" s="181"/>
      <c r="J414" s="181"/>
      <c r="K414" s="182" t="s">
        <v>240</v>
      </c>
    </row>
    <row r="415">
      <c r="A415" s="179">
        <f t="shared" si="2"/>
        <v>414</v>
      </c>
      <c r="B415" s="180"/>
      <c r="C415" s="180" t="s">
        <v>208</v>
      </c>
      <c r="D415" s="180" t="s">
        <v>208</v>
      </c>
      <c r="E415" s="180" t="s">
        <v>208</v>
      </c>
      <c r="F415" s="180" t="s">
        <v>208</v>
      </c>
      <c r="G415" s="180" t="s">
        <v>208</v>
      </c>
      <c r="H415" s="181"/>
      <c r="I415" s="181"/>
      <c r="J415" s="181"/>
      <c r="K415" s="182" t="s">
        <v>240</v>
      </c>
    </row>
    <row r="416">
      <c r="A416" s="179">
        <f t="shared" si="2"/>
        <v>415</v>
      </c>
      <c r="B416" s="180"/>
      <c r="C416" s="180" t="s">
        <v>208</v>
      </c>
      <c r="D416" s="180" t="s">
        <v>208</v>
      </c>
      <c r="E416" s="180" t="s">
        <v>208</v>
      </c>
      <c r="F416" s="180" t="s">
        <v>208</v>
      </c>
      <c r="G416" s="180" t="s">
        <v>208</v>
      </c>
      <c r="H416" s="181"/>
      <c r="I416" s="181"/>
      <c r="J416" s="181"/>
      <c r="K416" s="182" t="s">
        <v>240</v>
      </c>
    </row>
    <row r="417">
      <c r="A417" s="179">
        <f t="shared" si="2"/>
        <v>416</v>
      </c>
      <c r="B417" s="180"/>
      <c r="C417" s="180" t="s">
        <v>208</v>
      </c>
      <c r="D417" s="180" t="s">
        <v>208</v>
      </c>
      <c r="E417" s="180" t="s">
        <v>208</v>
      </c>
      <c r="F417" s="180" t="s">
        <v>208</v>
      </c>
      <c r="G417" s="180" t="s">
        <v>208</v>
      </c>
      <c r="H417" s="181"/>
      <c r="I417" s="181"/>
      <c r="J417" s="181"/>
      <c r="K417" s="182" t="s">
        <v>240</v>
      </c>
    </row>
    <row r="418">
      <c r="A418" s="179">
        <f t="shared" si="2"/>
        <v>417</v>
      </c>
      <c r="B418" s="180"/>
      <c r="C418" s="180" t="s">
        <v>208</v>
      </c>
      <c r="D418" s="180" t="s">
        <v>208</v>
      </c>
      <c r="E418" s="180" t="s">
        <v>208</v>
      </c>
      <c r="F418" s="180" t="s">
        <v>208</v>
      </c>
      <c r="G418" s="180" t="s">
        <v>208</v>
      </c>
      <c r="H418" s="181"/>
      <c r="I418" s="181"/>
      <c r="J418" s="181"/>
      <c r="K418" s="182" t="s">
        <v>240</v>
      </c>
    </row>
    <row r="419">
      <c r="A419" s="179">
        <f t="shared" si="2"/>
        <v>418</v>
      </c>
      <c r="B419" s="180"/>
      <c r="C419" s="180" t="s">
        <v>208</v>
      </c>
      <c r="D419" s="180" t="s">
        <v>208</v>
      </c>
      <c r="E419" s="180" t="s">
        <v>208</v>
      </c>
      <c r="F419" s="180" t="s">
        <v>208</v>
      </c>
      <c r="G419" s="180" t="s">
        <v>208</v>
      </c>
      <c r="H419" s="181"/>
      <c r="I419" s="181"/>
      <c r="J419" s="181"/>
      <c r="K419" s="182" t="s">
        <v>240</v>
      </c>
    </row>
    <row r="420">
      <c r="A420" s="179">
        <f t="shared" si="2"/>
        <v>419</v>
      </c>
      <c r="B420" s="180"/>
      <c r="C420" s="180" t="s">
        <v>208</v>
      </c>
      <c r="D420" s="180" t="s">
        <v>208</v>
      </c>
      <c r="E420" s="180" t="s">
        <v>208</v>
      </c>
      <c r="F420" s="180" t="s">
        <v>208</v>
      </c>
      <c r="G420" s="180" t="s">
        <v>208</v>
      </c>
      <c r="H420" s="181"/>
      <c r="I420" s="181"/>
      <c r="J420" s="181"/>
      <c r="K420" s="182" t="s">
        <v>240</v>
      </c>
    </row>
    <row r="421">
      <c r="A421" s="179">
        <f t="shared" si="2"/>
        <v>420</v>
      </c>
      <c r="B421" s="180"/>
      <c r="C421" s="180" t="s">
        <v>208</v>
      </c>
      <c r="D421" s="180" t="s">
        <v>208</v>
      </c>
      <c r="E421" s="180" t="s">
        <v>208</v>
      </c>
      <c r="F421" s="180" t="s">
        <v>208</v>
      </c>
      <c r="G421" s="180" t="s">
        <v>208</v>
      </c>
      <c r="H421" s="181"/>
      <c r="I421" s="181"/>
      <c r="J421" s="181"/>
      <c r="K421" s="182" t="s">
        <v>240</v>
      </c>
    </row>
    <row r="422">
      <c r="A422" s="179">
        <f t="shared" si="2"/>
        <v>421</v>
      </c>
      <c r="B422" s="180"/>
      <c r="C422" s="180" t="s">
        <v>208</v>
      </c>
      <c r="D422" s="180" t="s">
        <v>208</v>
      </c>
      <c r="E422" s="180" t="s">
        <v>208</v>
      </c>
      <c r="F422" s="180" t="s">
        <v>208</v>
      </c>
      <c r="G422" s="180" t="s">
        <v>208</v>
      </c>
      <c r="H422" s="181"/>
      <c r="I422" s="181"/>
      <c r="J422" s="181"/>
      <c r="K422" s="182" t="s">
        <v>240</v>
      </c>
      <c r="R422" s="163"/>
      <c r="S422" s="163"/>
    </row>
    <row r="423">
      <c r="A423" s="179">
        <f t="shared" si="2"/>
        <v>422</v>
      </c>
      <c r="B423" s="180"/>
      <c r="C423" s="180" t="s">
        <v>208</v>
      </c>
      <c r="D423" s="180" t="s">
        <v>208</v>
      </c>
      <c r="E423" s="180" t="s">
        <v>208</v>
      </c>
      <c r="F423" s="180" t="s">
        <v>208</v>
      </c>
      <c r="G423" s="180" t="s">
        <v>208</v>
      </c>
      <c r="H423" s="181"/>
      <c r="I423" s="181"/>
      <c r="J423" s="181"/>
      <c r="K423" s="182" t="s">
        <v>240</v>
      </c>
      <c r="R423" s="163"/>
      <c r="S423" s="163"/>
    </row>
    <row r="424">
      <c r="A424" s="179">
        <f t="shared" si="2"/>
        <v>423</v>
      </c>
      <c r="B424" s="180"/>
      <c r="C424" s="180" t="s">
        <v>208</v>
      </c>
      <c r="D424" s="180" t="s">
        <v>208</v>
      </c>
      <c r="E424" s="180" t="s">
        <v>208</v>
      </c>
      <c r="F424" s="180" t="s">
        <v>208</v>
      </c>
      <c r="G424" s="180" t="s">
        <v>208</v>
      </c>
      <c r="H424" s="181"/>
      <c r="I424" s="181"/>
      <c r="J424" s="181"/>
      <c r="K424" s="182" t="s">
        <v>240</v>
      </c>
      <c r="R424" s="163"/>
      <c r="S424" s="163"/>
    </row>
    <row r="425">
      <c r="A425" s="179">
        <f t="shared" si="2"/>
        <v>424</v>
      </c>
      <c r="B425" s="180"/>
      <c r="C425" s="180" t="s">
        <v>208</v>
      </c>
      <c r="D425" s="180" t="s">
        <v>208</v>
      </c>
      <c r="E425" s="180" t="s">
        <v>208</v>
      </c>
      <c r="F425" s="180" t="s">
        <v>208</v>
      </c>
      <c r="G425" s="180" t="s">
        <v>208</v>
      </c>
      <c r="H425" s="181"/>
      <c r="I425" s="181"/>
      <c r="J425" s="181"/>
      <c r="K425" s="182" t="s">
        <v>240</v>
      </c>
      <c r="R425" s="163"/>
      <c r="S425" s="163"/>
    </row>
    <row r="426">
      <c r="A426" s="179">
        <f t="shared" si="2"/>
        <v>425</v>
      </c>
      <c r="B426" s="180"/>
      <c r="C426" s="180" t="s">
        <v>208</v>
      </c>
      <c r="D426" s="180" t="s">
        <v>208</v>
      </c>
      <c r="E426" s="180" t="s">
        <v>208</v>
      </c>
      <c r="F426" s="180" t="s">
        <v>208</v>
      </c>
      <c r="G426" s="180" t="s">
        <v>208</v>
      </c>
      <c r="H426" s="181"/>
      <c r="I426" s="181"/>
      <c r="J426" s="181"/>
      <c r="K426" s="182" t="s">
        <v>240</v>
      </c>
      <c r="R426" s="163"/>
      <c r="S426" s="163"/>
    </row>
    <row r="427">
      <c r="A427" s="179">
        <f t="shared" si="2"/>
        <v>426</v>
      </c>
      <c r="B427" s="180"/>
      <c r="C427" s="180" t="s">
        <v>208</v>
      </c>
      <c r="D427" s="180" t="s">
        <v>208</v>
      </c>
      <c r="E427" s="180" t="s">
        <v>208</v>
      </c>
      <c r="F427" s="180" t="s">
        <v>208</v>
      </c>
      <c r="G427" s="180" t="s">
        <v>208</v>
      </c>
      <c r="H427" s="181"/>
      <c r="I427" s="181"/>
      <c r="J427" s="181"/>
      <c r="K427" s="182" t="s">
        <v>240</v>
      </c>
      <c r="R427" s="163"/>
      <c r="S427" s="163"/>
    </row>
    <row r="428">
      <c r="A428" s="179">
        <f t="shared" si="2"/>
        <v>427</v>
      </c>
      <c r="B428" s="180"/>
      <c r="C428" s="180" t="s">
        <v>208</v>
      </c>
      <c r="D428" s="180" t="s">
        <v>208</v>
      </c>
      <c r="E428" s="180" t="s">
        <v>208</v>
      </c>
      <c r="F428" s="180" t="s">
        <v>208</v>
      </c>
      <c r="G428" s="180" t="s">
        <v>208</v>
      </c>
      <c r="H428" s="181"/>
      <c r="I428" s="181"/>
      <c r="J428" s="181"/>
      <c r="K428" s="182" t="s">
        <v>240</v>
      </c>
      <c r="R428" s="163"/>
      <c r="S428" s="163"/>
    </row>
    <row r="429">
      <c r="A429" s="179">
        <f t="shared" si="2"/>
        <v>428</v>
      </c>
      <c r="B429" s="180"/>
      <c r="C429" s="180" t="s">
        <v>208</v>
      </c>
      <c r="D429" s="180" t="s">
        <v>208</v>
      </c>
      <c r="E429" s="180" t="s">
        <v>208</v>
      </c>
      <c r="F429" s="180" t="s">
        <v>208</v>
      </c>
      <c r="G429" s="180" t="s">
        <v>208</v>
      </c>
      <c r="H429" s="181"/>
      <c r="I429" s="181"/>
      <c r="J429" s="181"/>
      <c r="K429" s="182" t="s">
        <v>240</v>
      </c>
      <c r="R429" s="163"/>
      <c r="S429" s="163"/>
    </row>
    <row r="430">
      <c r="A430" s="179">
        <f t="shared" si="2"/>
        <v>429</v>
      </c>
      <c r="B430" s="180"/>
      <c r="C430" s="180" t="s">
        <v>208</v>
      </c>
      <c r="D430" s="180" t="s">
        <v>208</v>
      </c>
      <c r="E430" s="180" t="s">
        <v>208</v>
      </c>
      <c r="F430" s="180" t="s">
        <v>208</v>
      </c>
      <c r="G430" s="180" t="s">
        <v>208</v>
      </c>
      <c r="H430" s="181"/>
      <c r="I430" s="181"/>
      <c r="J430" s="181"/>
      <c r="K430" s="182" t="s">
        <v>240</v>
      </c>
      <c r="R430" s="163"/>
      <c r="S430" s="163"/>
    </row>
    <row r="431">
      <c r="A431" s="179">
        <f t="shared" si="2"/>
        <v>430</v>
      </c>
      <c r="B431" s="180"/>
      <c r="C431" s="180" t="s">
        <v>208</v>
      </c>
      <c r="D431" s="180" t="s">
        <v>208</v>
      </c>
      <c r="E431" s="180" t="s">
        <v>208</v>
      </c>
      <c r="F431" s="180" t="s">
        <v>208</v>
      </c>
      <c r="G431" s="180" t="s">
        <v>208</v>
      </c>
      <c r="H431" s="181"/>
      <c r="I431" s="181"/>
      <c r="J431" s="181"/>
      <c r="K431" s="182" t="s">
        <v>240</v>
      </c>
      <c r="R431" s="163"/>
      <c r="S431" s="163"/>
    </row>
    <row r="432">
      <c r="A432" s="179">
        <f t="shared" si="2"/>
        <v>431</v>
      </c>
      <c r="B432" s="180"/>
      <c r="C432" s="180" t="s">
        <v>208</v>
      </c>
      <c r="D432" s="180" t="s">
        <v>208</v>
      </c>
      <c r="E432" s="180" t="s">
        <v>208</v>
      </c>
      <c r="F432" s="180" t="s">
        <v>208</v>
      </c>
      <c r="G432" s="180" t="s">
        <v>208</v>
      </c>
      <c r="H432" s="181"/>
      <c r="I432" s="181"/>
      <c r="J432" s="181"/>
      <c r="K432" s="182" t="s">
        <v>240</v>
      </c>
      <c r="R432" s="173"/>
      <c r="S432" s="173"/>
    </row>
    <row r="433">
      <c r="A433" s="179">
        <f t="shared" si="2"/>
        <v>432</v>
      </c>
      <c r="B433" s="180"/>
      <c r="C433" s="180" t="s">
        <v>208</v>
      </c>
      <c r="D433" s="180" t="s">
        <v>208</v>
      </c>
      <c r="E433" s="180" t="s">
        <v>208</v>
      </c>
      <c r="F433" s="180" t="s">
        <v>208</v>
      </c>
      <c r="G433" s="180" t="s">
        <v>208</v>
      </c>
      <c r="H433" s="181"/>
      <c r="I433" s="181"/>
      <c r="J433" s="181"/>
      <c r="K433" s="182" t="s">
        <v>240</v>
      </c>
      <c r="R433" s="157"/>
      <c r="S433" s="157"/>
    </row>
    <row r="434">
      <c r="A434" s="179">
        <f t="shared" si="2"/>
        <v>433</v>
      </c>
      <c r="B434" s="180"/>
      <c r="C434" s="180" t="s">
        <v>208</v>
      </c>
      <c r="D434" s="180" t="s">
        <v>208</v>
      </c>
      <c r="E434" s="180" t="s">
        <v>208</v>
      </c>
      <c r="F434" s="180" t="s">
        <v>208</v>
      </c>
      <c r="G434" s="180" t="s">
        <v>208</v>
      </c>
      <c r="H434" s="181"/>
      <c r="I434" s="181"/>
      <c r="J434" s="180"/>
      <c r="K434" s="182" t="s">
        <v>240</v>
      </c>
      <c r="R434" s="163"/>
      <c r="S434" s="163"/>
    </row>
    <row r="435">
      <c r="A435" s="179">
        <f t="shared" si="2"/>
        <v>434</v>
      </c>
      <c r="B435" s="180"/>
      <c r="C435" s="180" t="s">
        <v>208</v>
      </c>
      <c r="D435" s="180" t="s">
        <v>208</v>
      </c>
      <c r="E435" s="180" t="s">
        <v>208</v>
      </c>
      <c r="F435" s="180" t="s">
        <v>208</v>
      </c>
      <c r="G435" s="180" t="s">
        <v>208</v>
      </c>
      <c r="H435" s="181"/>
      <c r="I435" s="181"/>
      <c r="J435" s="181"/>
      <c r="K435" s="182" t="s">
        <v>240</v>
      </c>
      <c r="R435" s="163"/>
      <c r="S435" s="163"/>
    </row>
    <row r="436">
      <c r="A436" s="179">
        <f t="shared" si="2"/>
        <v>435</v>
      </c>
      <c r="B436" s="180"/>
      <c r="C436" s="180" t="s">
        <v>208</v>
      </c>
      <c r="D436" s="180" t="s">
        <v>208</v>
      </c>
      <c r="E436" s="180" t="s">
        <v>208</v>
      </c>
      <c r="F436" s="180" t="s">
        <v>208</v>
      </c>
      <c r="G436" s="180" t="s">
        <v>208</v>
      </c>
      <c r="H436" s="180"/>
      <c r="I436" s="181"/>
      <c r="J436" s="181"/>
      <c r="K436" s="182" t="s">
        <v>240</v>
      </c>
      <c r="R436" s="163"/>
      <c r="S436" s="163"/>
    </row>
    <row r="437">
      <c r="A437" s="179">
        <f t="shared" si="2"/>
        <v>436</v>
      </c>
      <c r="B437" s="180"/>
      <c r="C437" s="180" t="s">
        <v>208</v>
      </c>
      <c r="D437" s="180" t="s">
        <v>243</v>
      </c>
      <c r="E437" s="180" t="s">
        <v>208</v>
      </c>
      <c r="F437" s="180" t="s">
        <v>208</v>
      </c>
      <c r="G437" s="180" t="s">
        <v>208</v>
      </c>
      <c r="H437" s="181"/>
      <c r="I437" s="181"/>
      <c r="J437" s="181"/>
      <c r="K437" s="182" t="s">
        <v>240</v>
      </c>
      <c r="R437" s="163"/>
      <c r="S437" s="163"/>
    </row>
    <row r="438">
      <c r="A438" s="179">
        <f t="shared" si="2"/>
        <v>437</v>
      </c>
      <c r="B438" s="180"/>
      <c r="C438" s="180" t="s">
        <v>208</v>
      </c>
      <c r="D438" s="180" t="s">
        <v>208</v>
      </c>
      <c r="E438" s="180" t="s">
        <v>208</v>
      </c>
      <c r="F438" s="180" t="s">
        <v>208</v>
      </c>
      <c r="G438" s="180" t="s">
        <v>208</v>
      </c>
      <c r="H438" s="181"/>
      <c r="I438" s="181"/>
      <c r="J438" s="181"/>
      <c r="K438" s="182" t="s">
        <v>240</v>
      </c>
      <c r="R438" s="163"/>
      <c r="S438" s="163"/>
    </row>
    <row r="439">
      <c r="A439" s="179">
        <f t="shared" si="2"/>
        <v>438</v>
      </c>
      <c r="B439" s="180"/>
      <c r="C439" s="180" t="s">
        <v>208</v>
      </c>
      <c r="D439" s="180" t="s">
        <v>208</v>
      </c>
      <c r="E439" s="180" t="s">
        <v>208</v>
      </c>
      <c r="F439" s="180" t="s">
        <v>208</v>
      </c>
      <c r="G439" s="180" t="s">
        <v>208</v>
      </c>
      <c r="H439" s="181"/>
      <c r="I439" s="181"/>
      <c r="J439" s="181"/>
      <c r="K439" s="182" t="s">
        <v>240</v>
      </c>
      <c r="R439" s="163"/>
      <c r="S439" s="163"/>
    </row>
    <row r="440">
      <c r="A440" s="179">
        <f t="shared" si="2"/>
        <v>439</v>
      </c>
      <c r="B440" s="180"/>
      <c r="C440" s="180" t="s">
        <v>208</v>
      </c>
      <c r="D440" s="180" t="s">
        <v>208</v>
      </c>
      <c r="E440" s="180" t="s">
        <v>208</v>
      </c>
      <c r="F440" s="180" t="s">
        <v>208</v>
      </c>
      <c r="G440" s="180" t="s">
        <v>208</v>
      </c>
      <c r="H440" s="181"/>
      <c r="I440" s="181"/>
      <c r="J440" s="181"/>
      <c r="K440" s="182" t="s">
        <v>240</v>
      </c>
      <c r="R440" s="163"/>
      <c r="S440" s="163"/>
    </row>
    <row r="441">
      <c r="A441" s="179">
        <f t="shared" si="2"/>
        <v>440</v>
      </c>
      <c r="B441" s="180"/>
      <c r="C441" s="180" t="s">
        <v>208</v>
      </c>
      <c r="D441" s="180" t="s">
        <v>208</v>
      </c>
      <c r="E441" s="180" t="s">
        <v>208</v>
      </c>
      <c r="F441" s="180" t="s">
        <v>208</v>
      </c>
      <c r="G441" s="180" t="s">
        <v>208</v>
      </c>
      <c r="H441" s="181"/>
      <c r="I441" s="181"/>
      <c r="J441" s="181"/>
      <c r="K441" s="182" t="s">
        <v>240</v>
      </c>
      <c r="R441" s="163"/>
      <c r="S441" s="163"/>
    </row>
    <row r="442">
      <c r="A442" s="179">
        <f t="shared" si="2"/>
        <v>441</v>
      </c>
      <c r="B442" s="180"/>
      <c r="C442" s="180" t="s">
        <v>208</v>
      </c>
      <c r="D442" s="180" t="s">
        <v>208</v>
      </c>
      <c r="E442" s="180" t="s">
        <v>208</v>
      </c>
      <c r="F442" s="180" t="s">
        <v>208</v>
      </c>
      <c r="G442" s="180" t="s">
        <v>208</v>
      </c>
      <c r="H442" s="181"/>
      <c r="I442" s="181"/>
      <c r="J442" s="181"/>
      <c r="K442" s="182" t="s">
        <v>240</v>
      </c>
      <c r="R442" s="163"/>
      <c r="S442" s="163"/>
    </row>
    <row r="443">
      <c r="A443" s="179">
        <f t="shared" si="2"/>
        <v>442</v>
      </c>
      <c r="B443" s="180"/>
      <c r="C443" s="180" t="s">
        <v>208</v>
      </c>
      <c r="D443" s="180" t="s">
        <v>208</v>
      </c>
      <c r="E443" s="180" t="s">
        <v>208</v>
      </c>
      <c r="F443" s="180" t="s">
        <v>208</v>
      </c>
      <c r="G443" s="180" t="s">
        <v>208</v>
      </c>
      <c r="H443" s="181"/>
      <c r="I443" s="181"/>
      <c r="J443" s="181"/>
      <c r="K443" s="182" t="s">
        <v>240</v>
      </c>
      <c r="R443" s="163"/>
      <c r="S443" s="163"/>
    </row>
    <row r="444">
      <c r="A444" s="179">
        <f t="shared" si="2"/>
        <v>443</v>
      </c>
      <c r="B444" s="180"/>
      <c r="C444" s="180" t="s">
        <v>208</v>
      </c>
      <c r="D444" s="180" t="s">
        <v>208</v>
      </c>
      <c r="E444" s="180" t="s">
        <v>208</v>
      </c>
      <c r="F444" s="180" t="s">
        <v>208</v>
      </c>
      <c r="G444" s="180" t="s">
        <v>208</v>
      </c>
      <c r="H444" s="181"/>
      <c r="I444" s="181"/>
      <c r="J444" s="181"/>
      <c r="K444" s="182" t="s">
        <v>240</v>
      </c>
      <c r="R444" s="173"/>
      <c r="S444" s="173"/>
    </row>
    <row r="445">
      <c r="A445" s="179">
        <f t="shared" si="2"/>
        <v>444</v>
      </c>
      <c r="B445" s="180"/>
      <c r="C445" s="180" t="s">
        <v>208</v>
      </c>
      <c r="D445" s="180" t="s">
        <v>208</v>
      </c>
      <c r="E445" s="180" t="s">
        <v>208</v>
      </c>
      <c r="F445" s="180" t="s">
        <v>208</v>
      </c>
      <c r="G445" s="180" t="s">
        <v>208</v>
      </c>
      <c r="H445" s="181"/>
      <c r="I445" s="181"/>
      <c r="J445" s="181"/>
      <c r="K445" s="182" t="s">
        <v>240</v>
      </c>
      <c r="R445" s="157"/>
      <c r="S445" s="157"/>
    </row>
    <row r="446">
      <c r="A446" s="179">
        <f t="shared" si="2"/>
        <v>445</v>
      </c>
      <c r="B446" s="180"/>
      <c r="C446" s="180" t="s">
        <v>208</v>
      </c>
      <c r="D446" s="180" t="s">
        <v>208</v>
      </c>
      <c r="E446" s="180" t="s">
        <v>208</v>
      </c>
      <c r="F446" s="180" t="s">
        <v>208</v>
      </c>
      <c r="G446" s="180" t="s">
        <v>208</v>
      </c>
      <c r="H446" s="181"/>
      <c r="I446" s="181"/>
      <c r="J446" s="181"/>
      <c r="K446" s="182" t="s">
        <v>240</v>
      </c>
      <c r="R446" s="163"/>
      <c r="S446" s="163"/>
    </row>
    <row r="447">
      <c r="A447" s="179">
        <f t="shared" si="2"/>
        <v>446</v>
      </c>
      <c r="B447" s="180"/>
      <c r="C447" s="180" t="s">
        <v>208</v>
      </c>
      <c r="D447" s="180" t="s">
        <v>208</v>
      </c>
      <c r="E447" s="180" t="s">
        <v>208</v>
      </c>
      <c r="F447" s="180" t="s">
        <v>208</v>
      </c>
      <c r="G447" s="180" t="s">
        <v>208</v>
      </c>
      <c r="H447" s="181"/>
      <c r="I447" s="181"/>
      <c r="J447" s="181"/>
      <c r="K447" s="182" t="s">
        <v>240</v>
      </c>
      <c r="R447" s="163"/>
      <c r="S447" s="163"/>
    </row>
    <row r="448">
      <c r="A448" s="179">
        <f t="shared" si="2"/>
        <v>447</v>
      </c>
      <c r="B448" s="180"/>
      <c r="C448" s="180" t="s">
        <v>208</v>
      </c>
      <c r="D448" s="180" t="s">
        <v>208</v>
      </c>
      <c r="E448" s="180" t="s">
        <v>208</v>
      </c>
      <c r="F448" s="180" t="s">
        <v>208</v>
      </c>
      <c r="G448" s="180" t="s">
        <v>208</v>
      </c>
      <c r="H448" s="181"/>
      <c r="I448" s="181"/>
      <c r="J448" s="181"/>
      <c r="K448" s="182" t="s">
        <v>240</v>
      </c>
      <c r="R448" s="163"/>
      <c r="S448" s="163"/>
    </row>
    <row r="449">
      <c r="A449" s="179">
        <f t="shared" si="2"/>
        <v>448</v>
      </c>
      <c r="B449" s="180"/>
      <c r="C449" s="180" t="s">
        <v>208</v>
      </c>
      <c r="D449" s="180" t="s">
        <v>208</v>
      </c>
      <c r="E449" s="180" t="s">
        <v>208</v>
      </c>
      <c r="F449" s="180" t="s">
        <v>208</v>
      </c>
      <c r="G449" s="180" t="s">
        <v>208</v>
      </c>
      <c r="H449" s="181"/>
      <c r="I449" s="181"/>
      <c r="J449" s="181"/>
      <c r="K449" s="182" t="s">
        <v>240</v>
      </c>
      <c r="R449" s="163"/>
      <c r="S449" s="163"/>
    </row>
    <row r="450">
      <c r="A450" s="179">
        <f t="shared" si="2"/>
        <v>449</v>
      </c>
      <c r="B450" s="180"/>
      <c r="C450" s="180" t="s">
        <v>208</v>
      </c>
      <c r="D450" s="180" t="s">
        <v>208</v>
      </c>
      <c r="E450" s="180" t="s">
        <v>208</v>
      </c>
      <c r="F450" s="180" t="s">
        <v>208</v>
      </c>
      <c r="G450" s="180" t="s">
        <v>208</v>
      </c>
      <c r="H450" s="181"/>
      <c r="I450" s="181"/>
      <c r="J450" s="181"/>
      <c r="K450" s="182" t="s">
        <v>240</v>
      </c>
      <c r="R450" s="163"/>
      <c r="S450" s="163"/>
    </row>
    <row r="451">
      <c r="A451" s="179">
        <f t="shared" si="2"/>
        <v>450</v>
      </c>
      <c r="B451" s="180"/>
      <c r="C451" s="180" t="s">
        <v>208</v>
      </c>
      <c r="D451" s="180" t="s">
        <v>208</v>
      </c>
      <c r="E451" s="180" t="s">
        <v>208</v>
      </c>
      <c r="F451" s="180" t="s">
        <v>208</v>
      </c>
      <c r="G451" s="180" t="s">
        <v>208</v>
      </c>
      <c r="H451" s="181"/>
      <c r="I451" s="181"/>
      <c r="J451" s="181"/>
      <c r="K451" s="182" t="s">
        <v>240</v>
      </c>
      <c r="R451" s="163"/>
      <c r="S451" s="163"/>
    </row>
    <row r="452">
      <c r="A452" s="179">
        <f t="shared" si="2"/>
        <v>451</v>
      </c>
      <c r="B452" s="181"/>
      <c r="C452" s="180" t="s">
        <v>208</v>
      </c>
      <c r="D452" s="180" t="s">
        <v>208</v>
      </c>
      <c r="E452" s="180" t="s">
        <v>208</v>
      </c>
      <c r="F452" s="180" t="s">
        <v>208</v>
      </c>
      <c r="G452" s="180" t="s">
        <v>208</v>
      </c>
      <c r="H452" s="181"/>
      <c r="I452" s="181"/>
      <c r="J452" s="181"/>
      <c r="K452" s="182" t="s">
        <v>240</v>
      </c>
      <c r="R452" s="163"/>
      <c r="S452" s="163"/>
    </row>
    <row r="453">
      <c r="A453" s="179">
        <f t="shared" si="2"/>
        <v>452</v>
      </c>
      <c r="B453" s="180"/>
      <c r="C453" s="180" t="s">
        <v>208</v>
      </c>
      <c r="D453" s="180" t="s">
        <v>208</v>
      </c>
      <c r="E453" s="180" t="s">
        <v>208</v>
      </c>
      <c r="F453" s="180" t="s">
        <v>208</v>
      </c>
      <c r="G453" s="180" t="s">
        <v>208</v>
      </c>
      <c r="H453" s="181"/>
      <c r="I453" s="181"/>
      <c r="J453" s="181"/>
      <c r="K453" s="182" t="s">
        <v>240</v>
      </c>
      <c r="R453" s="163"/>
      <c r="S453" s="163"/>
    </row>
    <row r="454">
      <c r="A454" s="179">
        <f t="shared" si="2"/>
        <v>453</v>
      </c>
      <c r="B454" s="180"/>
      <c r="C454" s="180" t="s">
        <v>208</v>
      </c>
      <c r="D454" s="180" t="s">
        <v>208</v>
      </c>
      <c r="E454" s="180" t="s">
        <v>208</v>
      </c>
      <c r="F454" s="180" t="s">
        <v>208</v>
      </c>
      <c r="G454" s="180" t="s">
        <v>208</v>
      </c>
      <c r="H454" s="181"/>
      <c r="I454" s="181"/>
      <c r="J454" s="181"/>
      <c r="K454" s="182" t="s">
        <v>240</v>
      </c>
      <c r="R454" s="163"/>
      <c r="S454" s="163"/>
    </row>
    <row r="455">
      <c r="A455" s="179">
        <f t="shared" si="2"/>
        <v>454</v>
      </c>
      <c r="B455" s="180"/>
      <c r="C455" s="180" t="s">
        <v>208</v>
      </c>
      <c r="D455" s="180" t="s">
        <v>208</v>
      </c>
      <c r="E455" s="180" t="s">
        <v>208</v>
      </c>
      <c r="F455" s="180" t="s">
        <v>208</v>
      </c>
      <c r="G455" s="180" t="s">
        <v>208</v>
      </c>
      <c r="H455" s="181"/>
      <c r="I455" s="181"/>
      <c r="J455" s="181"/>
      <c r="K455" s="182" t="s">
        <v>240</v>
      </c>
      <c r="R455" s="163"/>
      <c r="S455" s="163"/>
    </row>
    <row r="456">
      <c r="A456" s="179">
        <f t="shared" si="2"/>
        <v>455</v>
      </c>
      <c r="B456" s="180"/>
      <c r="C456" s="180" t="s">
        <v>208</v>
      </c>
      <c r="D456" s="180" t="s">
        <v>208</v>
      </c>
      <c r="E456" s="180" t="s">
        <v>208</v>
      </c>
      <c r="F456" s="180" t="s">
        <v>208</v>
      </c>
      <c r="G456" s="180" t="s">
        <v>208</v>
      </c>
      <c r="H456" s="181"/>
      <c r="I456" s="181"/>
      <c r="J456" s="181"/>
      <c r="K456" s="182" t="s">
        <v>240</v>
      </c>
      <c r="R456" s="173"/>
      <c r="S456" s="173"/>
    </row>
    <row r="457">
      <c r="A457" s="179">
        <f t="shared" si="2"/>
        <v>456</v>
      </c>
      <c r="B457" s="180"/>
      <c r="C457" s="180" t="s">
        <v>208</v>
      </c>
      <c r="D457" s="180" t="s">
        <v>208</v>
      </c>
      <c r="E457" s="180" t="s">
        <v>208</v>
      </c>
      <c r="F457" s="180" t="s">
        <v>208</v>
      </c>
      <c r="G457" s="180" t="s">
        <v>208</v>
      </c>
      <c r="H457" s="181"/>
      <c r="I457" s="181"/>
      <c r="J457" s="181"/>
      <c r="K457" s="182" t="s">
        <v>240</v>
      </c>
      <c r="R457" s="157"/>
      <c r="S457" s="157"/>
    </row>
    <row r="458">
      <c r="A458" s="179">
        <f t="shared" si="2"/>
        <v>457</v>
      </c>
      <c r="B458" s="180"/>
      <c r="C458" s="180" t="s">
        <v>208</v>
      </c>
      <c r="D458" s="180" t="s">
        <v>208</v>
      </c>
      <c r="E458" s="180" t="s">
        <v>208</v>
      </c>
      <c r="F458" s="180" t="s">
        <v>208</v>
      </c>
      <c r="G458" s="180" t="s">
        <v>208</v>
      </c>
      <c r="H458" s="180"/>
      <c r="I458" s="181"/>
      <c r="J458" s="181"/>
      <c r="K458" s="182" t="s">
        <v>240</v>
      </c>
      <c r="R458" s="163"/>
      <c r="S458" s="163"/>
    </row>
    <row r="459">
      <c r="A459" s="179">
        <f t="shared" si="2"/>
        <v>458</v>
      </c>
      <c r="B459" s="181"/>
      <c r="C459" s="180" t="s">
        <v>208</v>
      </c>
      <c r="D459" s="180" t="s">
        <v>208</v>
      </c>
      <c r="E459" s="180" t="s">
        <v>208</v>
      </c>
      <c r="F459" s="180" t="s">
        <v>208</v>
      </c>
      <c r="G459" s="180" t="s">
        <v>208</v>
      </c>
      <c r="H459" s="181"/>
      <c r="I459" s="181"/>
      <c r="J459" s="181"/>
      <c r="K459" s="182" t="s">
        <v>240</v>
      </c>
      <c r="R459" s="163"/>
      <c r="S459" s="163"/>
    </row>
    <row r="460">
      <c r="A460" s="179">
        <f t="shared" si="2"/>
        <v>459</v>
      </c>
      <c r="B460" s="180"/>
      <c r="C460" s="180" t="s">
        <v>208</v>
      </c>
      <c r="D460" s="180" t="s">
        <v>208</v>
      </c>
      <c r="E460" s="180" t="s">
        <v>208</v>
      </c>
      <c r="F460" s="180" t="s">
        <v>208</v>
      </c>
      <c r="G460" s="180" t="s">
        <v>208</v>
      </c>
      <c r="H460" s="181"/>
      <c r="I460" s="181"/>
      <c r="J460" s="181"/>
      <c r="K460" s="182" t="s">
        <v>240</v>
      </c>
      <c r="R460" s="163"/>
      <c r="S460" s="163"/>
    </row>
    <row r="461">
      <c r="A461" s="179">
        <f t="shared" si="2"/>
        <v>460</v>
      </c>
      <c r="B461" s="180"/>
      <c r="C461" s="180" t="s">
        <v>208</v>
      </c>
      <c r="D461" s="180" t="s">
        <v>208</v>
      </c>
      <c r="E461" s="180" t="s">
        <v>208</v>
      </c>
      <c r="F461" s="180" t="s">
        <v>208</v>
      </c>
      <c r="G461" s="180" t="s">
        <v>208</v>
      </c>
      <c r="H461" s="181"/>
      <c r="I461" s="181"/>
      <c r="J461" s="181"/>
      <c r="K461" s="182" t="s">
        <v>240</v>
      </c>
      <c r="R461" s="163"/>
      <c r="S461" s="163"/>
    </row>
    <row r="462">
      <c r="A462" s="179">
        <f t="shared" si="2"/>
        <v>461</v>
      </c>
      <c r="B462" s="180"/>
      <c r="C462" s="180" t="s">
        <v>208</v>
      </c>
      <c r="D462" s="180" t="s">
        <v>208</v>
      </c>
      <c r="E462" s="180" t="s">
        <v>208</v>
      </c>
      <c r="F462" s="180" t="s">
        <v>208</v>
      </c>
      <c r="G462" s="180" t="s">
        <v>208</v>
      </c>
      <c r="H462" s="181"/>
      <c r="I462" s="181"/>
      <c r="J462" s="181"/>
      <c r="K462" s="182" t="s">
        <v>240</v>
      </c>
      <c r="R462" s="163"/>
      <c r="S462" s="163"/>
    </row>
    <row r="463">
      <c r="A463" s="179">
        <f t="shared" si="2"/>
        <v>462</v>
      </c>
      <c r="B463" s="180"/>
      <c r="C463" s="180" t="s">
        <v>208</v>
      </c>
      <c r="D463" s="180" t="s">
        <v>208</v>
      </c>
      <c r="E463" s="180" t="s">
        <v>208</v>
      </c>
      <c r="F463" s="180" t="s">
        <v>208</v>
      </c>
      <c r="G463" s="180" t="s">
        <v>208</v>
      </c>
      <c r="H463" s="181"/>
      <c r="I463" s="181"/>
      <c r="J463" s="181"/>
      <c r="K463" s="182" t="s">
        <v>240</v>
      </c>
      <c r="R463" s="163"/>
      <c r="S463" s="163"/>
    </row>
    <row r="464">
      <c r="A464" s="179">
        <f t="shared" si="2"/>
        <v>463</v>
      </c>
      <c r="B464" s="180"/>
      <c r="C464" s="180" t="s">
        <v>208</v>
      </c>
      <c r="D464" s="180" t="s">
        <v>208</v>
      </c>
      <c r="E464" s="180" t="s">
        <v>208</v>
      </c>
      <c r="F464" s="180" t="s">
        <v>208</v>
      </c>
      <c r="G464" s="180" t="s">
        <v>208</v>
      </c>
      <c r="H464" s="181"/>
      <c r="I464" s="181"/>
      <c r="J464" s="181"/>
      <c r="K464" s="182" t="s">
        <v>240</v>
      </c>
      <c r="R464" s="163"/>
      <c r="S464" s="163"/>
    </row>
    <row r="465">
      <c r="A465" s="179">
        <f t="shared" si="2"/>
        <v>464</v>
      </c>
      <c r="B465" s="180"/>
      <c r="C465" s="180" t="s">
        <v>208</v>
      </c>
      <c r="D465" s="180" t="s">
        <v>208</v>
      </c>
      <c r="E465" s="180" t="s">
        <v>208</v>
      </c>
      <c r="F465" s="180" t="s">
        <v>208</v>
      </c>
      <c r="G465" s="180" t="s">
        <v>208</v>
      </c>
      <c r="H465" s="181"/>
      <c r="I465" s="181"/>
      <c r="J465" s="181"/>
      <c r="K465" s="182" t="s">
        <v>240</v>
      </c>
      <c r="R465" s="163"/>
      <c r="S465" s="163"/>
    </row>
    <row r="466">
      <c r="A466" s="179">
        <f t="shared" si="2"/>
        <v>465</v>
      </c>
      <c r="B466" s="180"/>
      <c r="C466" s="180" t="s">
        <v>208</v>
      </c>
      <c r="D466" s="180" t="s">
        <v>208</v>
      </c>
      <c r="E466" s="180" t="s">
        <v>208</v>
      </c>
      <c r="F466" s="180" t="s">
        <v>208</v>
      </c>
      <c r="G466" s="180" t="s">
        <v>208</v>
      </c>
      <c r="H466" s="181"/>
      <c r="I466" s="181"/>
      <c r="J466" s="181"/>
      <c r="K466" s="182" t="s">
        <v>240</v>
      </c>
      <c r="R466" s="163"/>
      <c r="S466" s="163"/>
    </row>
    <row r="467">
      <c r="A467" s="179">
        <f t="shared" si="2"/>
        <v>466</v>
      </c>
      <c r="B467" s="180"/>
      <c r="C467" s="180" t="s">
        <v>208</v>
      </c>
      <c r="D467" s="180" t="s">
        <v>208</v>
      </c>
      <c r="E467" s="180" t="s">
        <v>208</v>
      </c>
      <c r="F467" s="180" t="s">
        <v>208</v>
      </c>
      <c r="G467" s="180" t="s">
        <v>208</v>
      </c>
      <c r="H467" s="181"/>
      <c r="I467" s="181"/>
      <c r="J467" s="181"/>
      <c r="K467" s="182" t="s">
        <v>240</v>
      </c>
      <c r="R467" s="163"/>
      <c r="S467" s="163"/>
    </row>
    <row r="468">
      <c r="A468" s="179">
        <f t="shared" si="2"/>
        <v>467</v>
      </c>
      <c r="B468" s="180"/>
      <c r="C468" s="180" t="s">
        <v>208</v>
      </c>
      <c r="D468" s="180" t="s">
        <v>208</v>
      </c>
      <c r="E468" s="180" t="s">
        <v>208</v>
      </c>
      <c r="F468" s="180" t="s">
        <v>208</v>
      </c>
      <c r="G468" s="180" t="s">
        <v>208</v>
      </c>
      <c r="H468" s="181"/>
      <c r="I468" s="181"/>
      <c r="J468" s="181"/>
      <c r="K468" s="182" t="s">
        <v>240</v>
      </c>
      <c r="R468" s="173"/>
      <c r="S468" s="173"/>
    </row>
    <row r="469">
      <c r="A469" s="179">
        <f t="shared" si="2"/>
        <v>468</v>
      </c>
      <c r="B469" s="180"/>
      <c r="C469" s="180" t="s">
        <v>208</v>
      </c>
      <c r="D469" s="180" t="s">
        <v>208</v>
      </c>
      <c r="E469" s="180" t="s">
        <v>208</v>
      </c>
      <c r="F469" s="180" t="s">
        <v>208</v>
      </c>
      <c r="G469" s="180" t="s">
        <v>208</v>
      </c>
      <c r="H469" s="181"/>
      <c r="I469" s="181"/>
      <c r="J469" s="181"/>
      <c r="K469" s="182" t="s">
        <v>240</v>
      </c>
      <c r="R469" s="157"/>
      <c r="S469" s="157"/>
    </row>
    <row r="470">
      <c r="A470" s="179">
        <f t="shared" si="2"/>
        <v>469</v>
      </c>
      <c r="B470" s="180"/>
      <c r="C470" s="180" t="s">
        <v>208</v>
      </c>
      <c r="D470" s="180" t="s">
        <v>208</v>
      </c>
      <c r="E470" s="180" t="s">
        <v>208</v>
      </c>
      <c r="F470" s="180" t="s">
        <v>208</v>
      </c>
      <c r="G470" s="180" t="s">
        <v>208</v>
      </c>
      <c r="H470" s="181"/>
      <c r="I470" s="181"/>
      <c r="J470" s="181"/>
      <c r="K470" s="182" t="s">
        <v>240</v>
      </c>
      <c r="R470" s="163"/>
      <c r="S470" s="163"/>
    </row>
    <row r="471">
      <c r="A471" s="179">
        <f t="shared" si="2"/>
        <v>470</v>
      </c>
      <c r="B471" s="181"/>
      <c r="C471" s="180" t="s">
        <v>208</v>
      </c>
      <c r="D471" s="180" t="s">
        <v>208</v>
      </c>
      <c r="E471" s="180" t="s">
        <v>208</v>
      </c>
      <c r="F471" s="180" t="s">
        <v>208</v>
      </c>
      <c r="G471" s="180" t="s">
        <v>208</v>
      </c>
      <c r="H471" s="180"/>
      <c r="I471" s="181"/>
      <c r="J471" s="181"/>
      <c r="K471" s="182" t="s">
        <v>240</v>
      </c>
      <c r="R471" s="163"/>
      <c r="S471" s="163"/>
    </row>
    <row r="472">
      <c r="A472" s="179">
        <f t="shared" si="2"/>
        <v>471</v>
      </c>
      <c r="B472" s="180"/>
      <c r="C472" s="180" t="s">
        <v>208</v>
      </c>
      <c r="D472" s="180" t="s">
        <v>208</v>
      </c>
      <c r="E472" s="180" t="s">
        <v>208</v>
      </c>
      <c r="F472" s="180" t="s">
        <v>208</v>
      </c>
      <c r="G472" s="180" t="s">
        <v>208</v>
      </c>
      <c r="H472" s="181"/>
      <c r="I472" s="181"/>
      <c r="J472" s="181"/>
      <c r="K472" s="182" t="s">
        <v>240</v>
      </c>
      <c r="R472" s="163"/>
      <c r="S472" s="163"/>
    </row>
    <row r="473">
      <c r="A473" s="179">
        <f t="shared" si="2"/>
        <v>472</v>
      </c>
      <c r="B473" s="180"/>
      <c r="C473" s="180" t="s">
        <v>208</v>
      </c>
      <c r="D473" s="180" t="s">
        <v>208</v>
      </c>
      <c r="E473" s="180" t="s">
        <v>208</v>
      </c>
      <c r="F473" s="180" t="s">
        <v>208</v>
      </c>
      <c r="G473" s="180" t="s">
        <v>208</v>
      </c>
      <c r="H473" s="181"/>
      <c r="I473" s="181"/>
      <c r="J473" s="181"/>
      <c r="K473" s="182" t="s">
        <v>240</v>
      </c>
      <c r="R473" s="163"/>
      <c r="S473" s="163"/>
    </row>
    <row r="474">
      <c r="A474" s="179">
        <f t="shared" si="2"/>
        <v>473</v>
      </c>
      <c r="B474" s="180"/>
      <c r="C474" s="180" t="s">
        <v>208</v>
      </c>
      <c r="D474" s="180" t="s">
        <v>208</v>
      </c>
      <c r="E474" s="180" t="s">
        <v>208</v>
      </c>
      <c r="F474" s="180" t="s">
        <v>208</v>
      </c>
      <c r="G474" s="180" t="s">
        <v>208</v>
      </c>
      <c r="H474" s="181"/>
      <c r="I474" s="181"/>
      <c r="J474" s="181"/>
      <c r="K474" s="182" t="s">
        <v>240</v>
      </c>
      <c r="R474" s="163"/>
      <c r="S474" s="163"/>
    </row>
    <row r="475">
      <c r="A475" s="179">
        <f t="shared" si="2"/>
        <v>474</v>
      </c>
      <c r="B475" s="180"/>
      <c r="C475" s="180" t="s">
        <v>208</v>
      </c>
      <c r="D475" s="180" t="s">
        <v>208</v>
      </c>
      <c r="E475" s="180" t="s">
        <v>208</v>
      </c>
      <c r="F475" s="180" t="s">
        <v>208</v>
      </c>
      <c r="G475" s="180" t="s">
        <v>208</v>
      </c>
      <c r="H475" s="181"/>
      <c r="I475" s="181"/>
      <c r="J475" s="181"/>
      <c r="K475" s="182" t="s">
        <v>240</v>
      </c>
      <c r="R475" s="163"/>
      <c r="S475" s="163"/>
    </row>
    <row r="476">
      <c r="A476" s="179">
        <f t="shared" si="2"/>
        <v>475</v>
      </c>
      <c r="B476" s="180"/>
      <c r="C476" s="180" t="s">
        <v>208</v>
      </c>
      <c r="D476" s="180" t="s">
        <v>208</v>
      </c>
      <c r="E476" s="180" t="s">
        <v>208</v>
      </c>
      <c r="F476" s="180" t="s">
        <v>208</v>
      </c>
      <c r="G476" s="180" t="s">
        <v>208</v>
      </c>
      <c r="H476" s="181"/>
      <c r="I476" s="181"/>
      <c r="J476" s="181"/>
      <c r="K476" s="182" t="s">
        <v>240</v>
      </c>
      <c r="R476" s="163"/>
      <c r="S476" s="163"/>
    </row>
    <row r="477">
      <c r="A477" s="179">
        <f t="shared" si="2"/>
        <v>476</v>
      </c>
      <c r="B477" s="180"/>
      <c r="C477" s="180" t="s">
        <v>208</v>
      </c>
      <c r="D477" s="180" t="s">
        <v>208</v>
      </c>
      <c r="E477" s="180" t="s">
        <v>208</v>
      </c>
      <c r="F477" s="180" t="s">
        <v>208</v>
      </c>
      <c r="G477" s="180" t="s">
        <v>208</v>
      </c>
      <c r="H477" s="181"/>
      <c r="I477" s="181"/>
      <c r="J477" s="181"/>
      <c r="K477" s="182" t="s">
        <v>240</v>
      </c>
      <c r="R477" s="163"/>
      <c r="S477" s="163"/>
    </row>
    <row r="478">
      <c r="A478" s="179">
        <f t="shared" si="2"/>
        <v>477</v>
      </c>
      <c r="B478" s="181"/>
      <c r="C478" s="180" t="s">
        <v>208</v>
      </c>
      <c r="D478" s="180" t="s">
        <v>208</v>
      </c>
      <c r="E478" s="180" t="s">
        <v>208</v>
      </c>
      <c r="F478" s="180" t="s">
        <v>208</v>
      </c>
      <c r="G478" s="180" t="s">
        <v>208</v>
      </c>
      <c r="H478" s="180"/>
      <c r="I478" s="181"/>
      <c r="J478" s="181"/>
      <c r="K478" s="182" t="s">
        <v>240</v>
      </c>
      <c r="R478" s="163"/>
      <c r="S478" s="163"/>
    </row>
    <row r="479">
      <c r="A479" s="179">
        <f t="shared" si="2"/>
        <v>478</v>
      </c>
      <c r="B479" s="180"/>
      <c r="C479" s="180" t="s">
        <v>208</v>
      </c>
      <c r="D479" s="180" t="s">
        <v>208</v>
      </c>
      <c r="E479" s="180" t="s">
        <v>208</v>
      </c>
      <c r="F479" s="180" t="s">
        <v>208</v>
      </c>
      <c r="G479" s="180" t="s">
        <v>208</v>
      </c>
      <c r="H479" s="181"/>
      <c r="I479" s="181"/>
      <c r="J479" s="181"/>
      <c r="K479" s="182" t="s">
        <v>240</v>
      </c>
      <c r="R479" s="163"/>
      <c r="S479" s="163"/>
    </row>
    <row r="480">
      <c r="A480" s="179">
        <f t="shared" si="2"/>
        <v>479</v>
      </c>
      <c r="B480" s="180"/>
      <c r="C480" s="180" t="s">
        <v>208</v>
      </c>
      <c r="D480" s="180" t="s">
        <v>208</v>
      </c>
      <c r="E480" s="180" t="s">
        <v>208</v>
      </c>
      <c r="F480" s="180" t="s">
        <v>208</v>
      </c>
      <c r="G480" s="180" t="s">
        <v>208</v>
      </c>
      <c r="H480" s="181"/>
      <c r="I480" s="181"/>
      <c r="J480" s="181"/>
      <c r="K480" s="182" t="s">
        <v>240</v>
      </c>
      <c r="R480" s="173"/>
      <c r="S480" s="173"/>
    </row>
    <row r="481">
      <c r="A481" s="179">
        <f t="shared" si="2"/>
        <v>480</v>
      </c>
      <c r="B481" s="180"/>
      <c r="C481" s="180" t="s">
        <v>208</v>
      </c>
      <c r="D481" s="180" t="s">
        <v>243</v>
      </c>
      <c r="E481" s="180" t="s">
        <v>208</v>
      </c>
      <c r="F481" s="180" t="s">
        <v>208</v>
      </c>
      <c r="G481" s="180" t="s">
        <v>208</v>
      </c>
      <c r="H481" s="181"/>
      <c r="I481" s="181"/>
      <c r="J481" s="181"/>
      <c r="K481" s="182" t="s">
        <v>240</v>
      </c>
      <c r="R481" s="157"/>
      <c r="S481" s="157"/>
    </row>
    <row r="482">
      <c r="A482" s="179">
        <f t="shared" si="2"/>
        <v>481</v>
      </c>
      <c r="B482" s="180"/>
      <c r="C482" s="180" t="s">
        <v>208</v>
      </c>
      <c r="D482" s="180" t="s">
        <v>208</v>
      </c>
      <c r="E482" s="180" t="s">
        <v>208</v>
      </c>
      <c r="F482" s="180" t="s">
        <v>208</v>
      </c>
      <c r="G482" s="180" t="s">
        <v>208</v>
      </c>
      <c r="H482" s="181"/>
      <c r="I482" s="181"/>
      <c r="J482" s="181"/>
      <c r="K482" s="182" t="s">
        <v>240</v>
      </c>
      <c r="R482" s="163"/>
      <c r="S482" s="163"/>
    </row>
    <row r="483">
      <c r="A483" s="179">
        <f t="shared" si="2"/>
        <v>482</v>
      </c>
      <c r="B483" s="180"/>
      <c r="C483" s="180" t="s">
        <v>208</v>
      </c>
      <c r="D483" s="180" t="s">
        <v>208</v>
      </c>
      <c r="E483" s="180" t="s">
        <v>208</v>
      </c>
      <c r="F483" s="180" t="s">
        <v>208</v>
      </c>
      <c r="G483" s="180" t="s">
        <v>208</v>
      </c>
      <c r="H483" s="181"/>
      <c r="I483" s="181"/>
      <c r="J483" s="181"/>
      <c r="K483" s="182" t="s">
        <v>240</v>
      </c>
      <c r="R483" s="163"/>
      <c r="S483" s="163"/>
    </row>
    <row r="484">
      <c r="A484" s="179">
        <f t="shared" si="2"/>
        <v>483</v>
      </c>
      <c r="B484" s="180"/>
      <c r="C484" s="180" t="s">
        <v>208</v>
      </c>
      <c r="D484" s="180" t="s">
        <v>208</v>
      </c>
      <c r="E484" s="180" t="s">
        <v>208</v>
      </c>
      <c r="F484" s="180" t="s">
        <v>208</v>
      </c>
      <c r="G484" s="180" t="s">
        <v>208</v>
      </c>
      <c r="H484" s="181"/>
      <c r="I484" s="181"/>
      <c r="J484" s="181"/>
      <c r="K484" s="182" t="s">
        <v>240</v>
      </c>
      <c r="R484" s="163"/>
      <c r="S484" s="163"/>
    </row>
    <row r="485">
      <c r="A485" s="179">
        <f t="shared" si="2"/>
        <v>484</v>
      </c>
      <c r="B485" s="180"/>
      <c r="C485" s="180" t="s">
        <v>208</v>
      </c>
      <c r="D485" s="180" t="s">
        <v>208</v>
      </c>
      <c r="E485" s="180" t="s">
        <v>208</v>
      </c>
      <c r="F485" s="180" t="s">
        <v>208</v>
      </c>
      <c r="G485" s="180" t="s">
        <v>208</v>
      </c>
      <c r="H485" s="181"/>
      <c r="I485" s="181"/>
      <c r="J485" s="181"/>
      <c r="K485" s="182" t="s">
        <v>240</v>
      </c>
      <c r="R485" s="163"/>
      <c r="S485" s="163"/>
    </row>
    <row r="486">
      <c r="A486" s="179">
        <f t="shared" si="2"/>
        <v>485</v>
      </c>
      <c r="B486" s="180"/>
      <c r="C486" s="180" t="s">
        <v>208</v>
      </c>
      <c r="D486" s="180" t="s">
        <v>208</v>
      </c>
      <c r="E486" s="180" t="s">
        <v>208</v>
      </c>
      <c r="F486" s="180" t="s">
        <v>208</v>
      </c>
      <c r="G486" s="180" t="s">
        <v>208</v>
      </c>
      <c r="H486" s="181"/>
      <c r="I486" s="181"/>
      <c r="J486" s="181"/>
      <c r="K486" s="182" t="s">
        <v>240</v>
      </c>
      <c r="R486" s="163"/>
      <c r="S486" s="163"/>
    </row>
    <row r="487">
      <c r="A487" s="179">
        <f t="shared" si="2"/>
        <v>486</v>
      </c>
      <c r="B487" s="181"/>
      <c r="C487" s="180" t="s">
        <v>208</v>
      </c>
      <c r="D487" s="180" t="s">
        <v>208</v>
      </c>
      <c r="E487" s="180" t="s">
        <v>208</v>
      </c>
      <c r="F487" s="180" t="s">
        <v>208</v>
      </c>
      <c r="G487" s="180" t="s">
        <v>208</v>
      </c>
      <c r="H487" s="181"/>
      <c r="I487" s="181"/>
      <c r="J487" s="181"/>
      <c r="K487" s="182" t="s">
        <v>240</v>
      </c>
      <c r="R487" s="163"/>
      <c r="S487" s="163"/>
    </row>
    <row r="488">
      <c r="A488" s="179">
        <f t="shared" si="2"/>
        <v>487</v>
      </c>
      <c r="B488" s="180"/>
      <c r="C488" s="180" t="s">
        <v>208</v>
      </c>
      <c r="D488" s="180" t="s">
        <v>208</v>
      </c>
      <c r="E488" s="180" t="s">
        <v>208</v>
      </c>
      <c r="F488" s="180" t="s">
        <v>208</v>
      </c>
      <c r="G488" s="180" t="s">
        <v>208</v>
      </c>
      <c r="H488" s="181"/>
      <c r="I488" s="181"/>
      <c r="J488" s="181"/>
      <c r="K488" s="182" t="s">
        <v>240</v>
      </c>
      <c r="R488" s="163"/>
      <c r="S488" s="163"/>
    </row>
    <row r="489">
      <c r="A489" s="179">
        <f t="shared" si="2"/>
        <v>488</v>
      </c>
      <c r="B489" s="180"/>
      <c r="C489" s="180" t="s">
        <v>208</v>
      </c>
      <c r="D489" s="180" t="s">
        <v>208</v>
      </c>
      <c r="E489" s="180" t="s">
        <v>208</v>
      </c>
      <c r="F489" s="180" t="s">
        <v>208</v>
      </c>
      <c r="G489" s="180" t="s">
        <v>208</v>
      </c>
      <c r="H489" s="181"/>
      <c r="I489" s="181"/>
      <c r="J489" s="181"/>
      <c r="K489" s="182" t="s">
        <v>240</v>
      </c>
      <c r="R489" s="163"/>
      <c r="S489" s="163"/>
    </row>
    <row r="490">
      <c r="A490" s="179">
        <f t="shared" si="2"/>
        <v>489</v>
      </c>
      <c r="B490" s="181"/>
      <c r="C490" s="180" t="s">
        <v>208</v>
      </c>
      <c r="D490" s="180" t="s">
        <v>208</v>
      </c>
      <c r="E490" s="180" t="s">
        <v>208</v>
      </c>
      <c r="F490" s="180" t="s">
        <v>208</v>
      </c>
      <c r="G490" s="180" t="s">
        <v>208</v>
      </c>
      <c r="H490" s="181"/>
      <c r="I490" s="181"/>
      <c r="J490" s="181"/>
      <c r="K490" s="182" t="s">
        <v>240</v>
      </c>
      <c r="R490" s="163"/>
      <c r="S490" s="163"/>
    </row>
    <row r="491">
      <c r="A491" s="179">
        <f t="shared" si="2"/>
        <v>490</v>
      </c>
      <c r="B491" s="180"/>
      <c r="C491" s="180" t="s">
        <v>208</v>
      </c>
      <c r="D491" s="180" t="s">
        <v>208</v>
      </c>
      <c r="E491" s="180" t="s">
        <v>208</v>
      </c>
      <c r="F491" s="180" t="s">
        <v>208</v>
      </c>
      <c r="G491" s="180" t="s">
        <v>208</v>
      </c>
      <c r="H491" s="181"/>
      <c r="I491" s="181"/>
      <c r="J491" s="181"/>
      <c r="K491" s="182" t="s">
        <v>240</v>
      </c>
      <c r="R491" s="163"/>
      <c r="S491" s="163"/>
    </row>
    <row r="492">
      <c r="A492" s="179">
        <f t="shared" si="2"/>
        <v>491</v>
      </c>
      <c r="B492" s="181"/>
      <c r="C492" s="180" t="s">
        <v>208</v>
      </c>
      <c r="D492" s="180" t="s">
        <v>208</v>
      </c>
      <c r="E492" s="180" t="s">
        <v>208</v>
      </c>
      <c r="F492" s="180" t="s">
        <v>208</v>
      </c>
      <c r="G492" s="180" t="s">
        <v>208</v>
      </c>
      <c r="H492" s="181"/>
      <c r="I492" s="181"/>
      <c r="J492" s="181"/>
      <c r="K492" s="182" t="s">
        <v>240</v>
      </c>
      <c r="R492" s="173"/>
      <c r="S492" s="173"/>
    </row>
    <row r="493">
      <c r="A493" s="179">
        <f t="shared" si="2"/>
        <v>492</v>
      </c>
      <c r="B493" s="180"/>
      <c r="C493" s="180" t="s">
        <v>208</v>
      </c>
      <c r="D493" s="180" t="s">
        <v>208</v>
      </c>
      <c r="E493" s="180" t="s">
        <v>208</v>
      </c>
      <c r="F493" s="180" t="s">
        <v>208</v>
      </c>
      <c r="G493" s="180" t="s">
        <v>208</v>
      </c>
      <c r="H493" s="181"/>
      <c r="I493" s="181"/>
      <c r="J493" s="181"/>
      <c r="K493" s="182" t="s">
        <v>240</v>
      </c>
      <c r="R493" s="157"/>
      <c r="S493" s="157"/>
    </row>
    <row r="494">
      <c r="A494" s="179">
        <f t="shared" si="2"/>
        <v>493</v>
      </c>
      <c r="B494" s="180"/>
      <c r="C494" s="180" t="s">
        <v>208</v>
      </c>
      <c r="D494" s="180" t="s">
        <v>208</v>
      </c>
      <c r="E494" s="180" t="s">
        <v>208</v>
      </c>
      <c r="F494" s="180" t="s">
        <v>208</v>
      </c>
      <c r="G494" s="180" t="s">
        <v>208</v>
      </c>
      <c r="H494" s="181"/>
      <c r="I494" s="181"/>
      <c r="J494" s="181"/>
      <c r="K494" s="182" t="s">
        <v>240</v>
      </c>
      <c r="R494" s="163"/>
      <c r="S494" s="163"/>
    </row>
    <row r="495">
      <c r="A495" s="179">
        <f t="shared" si="2"/>
        <v>494</v>
      </c>
      <c r="B495" s="180"/>
      <c r="C495" s="180" t="s">
        <v>208</v>
      </c>
      <c r="D495" s="180" t="s">
        <v>208</v>
      </c>
      <c r="E495" s="180" t="s">
        <v>208</v>
      </c>
      <c r="F495" s="180" t="s">
        <v>208</v>
      </c>
      <c r="G495" s="180" t="s">
        <v>208</v>
      </c>
      <c r="H495" s="181"/>
      <c r="I495" s="181"/>
      <c r="J495" s="181"/>
      <c r="K495" s="182" t="s">
        <v>240</v>
      </c>
      <c r="R495" s="163"/>
      <c r="S495" s="163"/>
    </row>
    <row r="496">
      <c r="A496" s="179">
        <f t="shared" si="2"/>
        <v>495</v>
      </c>
      <c r="B496" s="180"/>
      <c r="C496" s="180" t="s">
        <v>208</v>
      </c>
      <c r="D496" s="180" t="s">
        <v>208</v>
      </c>
      <c r="E496" s="180" t="s">
        <v>208</v>
      </c>
      <c r="F496" s="180" t="s">
        <v>208</v>
      </c>
      <c r="G496" s="180" t="s">
        <v>208</v>
      </c>
      <c r="H496" s="181"/>
      <c r="I496" s="181"/>
      <c r="J496" s="181"/>
      <c r="K496" s="182" t="s">
        <v>240</v>
      </c>
      <c r="R496" s="163"/>
      <c r="S496" s="163"/>
    </row>
    <row r="497">
      <c r="A497" s="179">
        <f t="shared" si="2"/>
        <v>496</v>
      </c>
      <c r="B497" s="180"/>
      <c r="C497" s="180" t="s">
        <v>208</v>
      </c>
      <c r="D497" s="180" t="s">
        <v>208</v>
      </c>
      <c r="E497" s="180" t="s">
        <v>208</v>
      </c>
      <c r="F497" s="180" t="s">
        <v>208</v>
      </c>
      <c r="G497" s="180" t="s">
        <v>208</v>
      </c>
      <c r="H497" s="181"/>
      <c r="I497" s="181"/>
      <c r="J497" s="181"/>
      <c r="K497" s="182" t="s">
        <v>240</v>
      </c>
      <c r="R497" s="163"/>
      <c r="S497" s="163"/>
    </row>
    <row r="498">
      <c r="A498" s="179">
        <f t="shared" si="2"/>
        <v>497</v>
      </c>
      <c r="B498" s="181"/>
      <c r="C498" s="180" t="s">
        <v>208</v>
      </c>
      <c r="D498" s="180" t="s">
        <v>208</v>
      </c>
      <c r="E498" s="180" t="s">
        <v>208</v>
      </c>
      <c r="F498" s="180" t="s">
        <v>208</v>
      </c>
      <c r="G498" s="180" t="s">
        <v>208</v>
      </c>
      <c r="H498" s="181"/>
      <c r="I498" s="181"/>
      <c r="J498" s="181"/>
      <c r="K498" s="182" t="s">
        <v>240</v>
      </c>
      <c r="R498" s="163"/>
      <c r="S498" s="163"/>
    </row>
    <row r="499">
      <c r="A499" s="179">
        <f t="shared" si="2"/>
        <v>498</v>
      </c>
      <c r="B499" s="180"/>
      <c r="C499" s="180" t="s">
        <v>208</v>
      </c>
      <c r="D499" s="180" t="s">
        <v>243</v>
      </c>
      <c r="E499" s="180" t="s">
        <v>208</v>
      </c>
      <c r="F499" s="180" t="s">
        <v>208</v>
      </c>
      <c r="G499" s="180" t="s">
        <v>208</v>
      </c>
      <c r="H499" s="181"/>
      <c r="I499" s="181"/>
      <c r="J499" s="181"/>
      <c r="K499" s="182" t="s">
        <v>240</v>
      </c>
      <c r="R499" s="163"/>
      <c r="S499" s="163"/>
    </row>
    <row r="500">
      <c r="A500" s="179">
        <f t="shared" si="2"/>
        <v>499</v>
      </c>
      <c r="B500" s="180"/>
      <c r="C500" s="180" t="s">
        <v>208</v>
      </c>
      <c r="D500" s="180" t="s">
        <v>208</v>
      </c>
      <c r="E500" s="180" t="s">
        <v>208</v>
      </c>
      <c r="F500" s="180" t="s">
        <v>208</v>
      </c>
      <c r="G500" s="180" t="s">
        <v>208</v>
      </c>
      <c r="H500" s="181"/>
      <c r="I500" s="181"/>
      <c r="J500" s="181"/>
      <c r="K500" s="182" t="s">
        <v>240</v>
      </c>
      <c r="R500" s="163"/>
      <c r="S500" s="163"/>
    </row>
    <row r="501">
      <c r="A501" s="179">
        <f t="shared" si="2"/>
        <v>500</v>
      </c>
      <c r="B501" s="180"/>
      <c r="C501" s="180" t="s">
        <v>208</v>
      </c>
      <c r="D501" s="180" t="s">
        <v>208</v>
      </c>
      <c r="E501" s="180" t="s">
        <v>208</v>
      </c>
      <c r="F501" s="180" t="s">
        <v>208</v>
      </c>
      <c r="G501" s="180" t="s">
        <v>208</v>
      </c>
      <c r="H501" s="181"/>
      <c r="I501" s="181"/>
      <c r="J501" s="181"/>
      <c r="K501" s="182" t="s">
        <v>240</v>
      </c>
      <c r="R501" s="163"/>
      <c r="S501" s="163"/>
    </row>
    <row r="502">
      <c r="A502" s="179">
        <f t="shared" si="2"/>
        <v>501</v>
      </c>
      <c r="B502" s="180"/>
      <c r="C502" s="180" t="s">
        <v>208</v>
      </c>
      <c r="D502" s="180" t="s">
        <v>208</v>
      </c>
      <c r="E502" s="180" t="s">
        <v>208</v>
      </c>
      <c r="F502" s="180" t="s">
        <v>208</v>
      </c>
      <c r="G502" s="180" t="s">
        <v>208</v>
      </c>
      <c r="H502" s="181"/>
      <c r="I502" s="181"/>
      <c r="J502" s="181"/>
      <c r="K502" s="182" t="s">
        <v>240</v>
      </c>
      <c r="R502" s="163"/>
      <c r="S502" s="163"/>
    </row>
    <row r="503">
      <c r="A503" s="179">
        <f t="shared" si="2"/>
        <v>502</v>
      </c>
      <c r="B503" s="180"/>
      <c r="C503" s="180" t="s">
        <v>208</v>
      </c>
      <c r="D503" s="180" t="s">
        <v>208</v>
      </c>
      <c r="E503" s="180" t="s">
        <v>208</v>
      </c>
      <c r="F503" s="180" t="s">
        <v>208</v>
      </c>
      <c r="G503" s="180" t="s">
        <v>208</v>
      </c>
      <c r="H503" s="181"/>
      <c r="I503" s="181"/>
      <c r="J503" s="181"/>
      <c r="K503" s="182" t="s">
        <v>240</v>
      </c>
      <c r="R503" s="163"/>
      <c r="S503" s="163"/>
    </row>
    <row r="504">
      <c r="A504" s="179">
        <f t="shared" si="2"/>
        <v>503</v>
      </c>
      <c r="B504" s="180"/>
      <c r="C504" s="180" t="s">
        <v>208</v>
      </c>
      <c r="D504" s="180" t="s">
        <v>208</v>
      </c>
      <c r="E504" s="180" t="s">
        <v>208</v>
      </c>
      <c r="F504" s="180" t="s">
        <v>208</v>
      </c>
      <c r="G504" s="180" t="s">
        <v>208</v>
      </c>
      <c r="H504" s="181"/>
      <c r="I504" s="181"/>
      <c r="J504" s="181"/>
      <c r="K504" s="182" t="s">
        <v>240</v>
      </c>
      <c r="R504" s="173"/>
      <c r="S504" s="173"/>
    </row>
    <row r="505">
      <c r="A505" s="179">
        <f t="shared" si="2"/>
        <v>504</v>
      </c>
      <c r="B505" s="180"/>
      <c r="C505" s="180" t="s">
        <v>208</v>
      </c>
      <c r="D505" s="180" t="s">
        <v>208</v>
      </c>
      <c r="E505" s="180" t="s">
        <v>208</v>
      </c>
      <c r="F505" s="180" t="s">
        <v>208</v>
      </c>
      <c r="G505" s="180" t="s">
        <v>208</v>
      </c>
      <c r="H505" s="181"/>
      <c r="I505" s="181"/>
      <c r="J505" s="181"/>
      <c r="K505" s="182" t="s">
        <v>240</v>
      </c>
      <c r="R505" s="157"/>
      <c r="S505" s="157"/>
    </row>
    <row r="506">
      <c r="A506" s="179">
        <f t="shared" si="2"/>
        <v>505</v>
      </c>
      <c r="B506" s="180"/>
      <c r="C506" s="180" t="s">
        <v>208</v>
      </c>
      <c r="D506" s="180" t="s">
        <v>208</v>
      </c>
      <c r="E506" s="180" t="s">
        <v>208</v>
      </c>
      <c r="F506" s="180" t="s">
        <v>208</v>
      </c>
      <c r="G506" s="180" t="s">
        <v>208</v>
      </c>
      <c r="H506" s="181"/>
      <c r="I506" s="181"/>
      <c r="J506" s="181"/>
      <c r="K506" s="182" t="s">
        <v>240</v>
      </c>
      <c r="R506" s="163"/>
      <c r="S506" s="163"/>
    </row>
    <row r="507">
      <c r="A507" s="179">
        <f t="shared" si="2"/>
        <v>506</v>
      </c>
      <c r="B507" s="180"/>
      <c r="C507" s="180" t="s">
        <v>208</v>
      </c>
      <c r="D507" s="180" t="s">
        <v>208</v>
      </c>
      <c r="E507" s="180" t="s">
        <v>208</v>
      </c>
      <c r="F507" s="180" t="s">
        <v>208</v>
      </c>
      <c r="G507" s="180" t="s">
        <v>208</v>
      </c>
      <c r="H507" s="181"/>
      <c r="I507" s="181"/>
      <c r="J507" s="181"/>
      <c r="K507" s="182" t="s">
        <v>240</v>
      </c>
      <c r="R507" s="163"/>
      <c r="S507" s="163"/>
    </row>
    <row r="508">
      <c r="A508" s="179">
        <f t="shared" si="2"/>
        <v>507</v>
      </c>
      <c r="B508" s="180"/>
      <c r="C508" s="180" t="s">
        <v>208</v>
      </c>
      <c r="D508" s="180" t="s">
        <v>208</v>
      </c>
      <c r="E508" s="180" t="s">
        <v>208</v>
      </c>
      <c r="F508" s="180" t="s">
        <v>208</v>
      </c>
      <c r="G508" s="180" t="s">
        <v>208</v>
      </c>
      <c r="H508" s="181"/>
      <c r="I508" s="181"/>
      <c r="J508" s="181"/>
      <c r="K508" s="182" t="s">
        <v>240</v>
      </c>
      <c r="R508" s="163"/>
      <c r="S508" s="163"/>
    </row>
    <row r="509">
      <c r="A509" s="179">
        <f t="shared" si="2"/>
        <v>508</v>
      </c>
      <c r="B509" s="180"/>
      <c r="C509" s="180" t="s">
        <v>208</v>
      </c>
      <c r="D509" s="180" t="s">
        <v>208</v>
      </c>
      <c r="E509" s="180" t="s">
        <v>208</v>
      </c>
      <c r="F509" s="180" t="s">
        <v>208</v>
      </c>
      <c r="G509" s="180" t="s">
        <v>208</v>
      </c>
      <c r="H509" s="181"/>
      <c r="I509" s="181"/>
      <c r="J509" s="181"/>
      <c r="K509" s="182" t="s">
        <v>240</v>
      </c>
      <c r="R509" s="163"/>
      <c r="S509" s="163"/>
    </row>
    <row r="510">
      <c r="A510" s="179">
        <f t="shared" si="2"/>
        <v>509</v>
      </c>
      <c r="B510" s="181"/>
      <c r="C510" s="180" t="s">
        <v>208</v>
      </c>
      <c r="D510" s="180" t="s">
        <v>208</v>
      </c>
      <c r="E510" s="180" t="s">
        <v>208</v>
      </c>
      <c r="F510" s="180" t="s">
        <v>208</v>
      </c>
      <c r="G510" s="180" t="s">
        <v>208</v>
      </c>
      <c r="H510" s="180"/>
      <c r="I510" s="181"/>
      <c r="J510" s="181"/>
      <c r="K510" s="182" t="s">
        <v>240</v>
      </c>
      <c r="R510" s="163"/>
      <c r="S510" s="163"/>
    </row>
    <row r="511">
      <c r="A511" s="179">
        <f t="shared" si="2"/>
        <v>510</v>
      </c>
      <c r="B511" s="181"/>
      <c r="C511" s="180" t="s">
        <v>208</v>
      </c>
      <c r="D511" s="180" t="s">
        <v>208</v>
      </c>
      <c r="E511" s="180" t="s">
        <v>208</v>
      </c>
      <c r="F511" s="180" t="s">
        <v>208</v>
      </c>
      <c r="G511" s="180" t="s">
        <v>208</v>
      </c>
      <c r="H511" s="180"/>
      <c r="I511" s="181"/>
      <c r="J511" s="181"/>
      <c r="K511" s="182" t="s">
        <v>240</v>
      </c>
      <c r="R511" s="163"/>
      <c r="S511" s="163"/>
    </row>
    <row r="512">
      <c r="A512" s="179">
        <f t="shared" si="2"/>
        <v>511</v>
      </c>
      <c r="B512" s="180"/>
      <c r="C512" s="180" t="s">
        <v>208</v>
      </c>
      <c r="D512" s="180" t="s">
        <v>208</v>
      </c>
      <c r="E512" s="180" t="s">
        <v>208</v>
      </c>
      <c r="F512" s="180" t="s">
        <v>208</v>
      </c>
      <c r="G512" s="180" t="s">
        <v>208</v>
      </c>
      <c r="H512" s="181"/>
      <c r="I512" s="181"/>
      <c r="J512" s="181"/>
      <c r="K512" s="182" t="s">
        <v>240</v>
      </c>
      <c r="R512" s="163"/>
      <c r="S512" s="163"/>
    </row>
    <row r="513">
      <c r="A513" s="179">
        <f t="shared" si="2"/>
        <v>512</v>
      </c>
      <c r="B513" s="180"/>
      <c r="C513" s="180" t="s">
        <v>208</v>
      </c>
      <c r="D513" s="180" t="s">
        <v>243</v>
      </c>
      <c r="E513" s="180" t="s">
        <v>208</v>
      </c>
      <c r="F513" s="180" t="s">
        <v>208</v>
      </c>
      <c r="G513" s="180" t="s">
        <v>208</v>
      </c>
      <c r="H513" s="181"/>
      <c r="I513" s="181"/>
      <c r="J513" s="181"/>
      <c r="K513" s="182" t="s">
        <v>240</v>
      </c>
      <c r="R513" s="163"/>
      <c r="S513" s="163"/>
    </row>
    <row r="514">
      <c r="A514" s="179">
        <f t="shared" si="2"/>
        <v>513</v>
      </c>
      <c r="B514" s="180"/>
      <c r="C514" s="180" t="s">
        <v>208</v>
      </c>
      <c r="D514" s="180" t="s">
        <v>208</v>
      </c>
      <c r="E514" s="180" t="s">
        <v>208</v>
      </c>
      <c r="F514" s="180" t="s">
        <v>208</v>
      </c>
      <c r="G514" s="180" t="s">
        <v>208</v>
      </c>
      <c r="H514" s="181"/>
      <c r="I514" s="181"/>
      <c r="J514" s="181"/>
      <c r="K514" s="182" t="s">
        <v>240</v>
      </c>
      <c r="R514" s="163"/>
      <c r="S514" s="163"/>
    </row>
    <row r="515">
      <c r="A515" s="179">
        <f t="shared" si="2"/>
        <v>514</v>
      </c>
      <c r="B515" s="180"/>
      <c r="C515" s="180" t="s">
        <v>208</v>
      </c>
      <c r="D515" s="180" t="s">
        <v>243</v>
      </c>
      <c r="E515" s="180" t="s">
        <v>208</v>
      </c>
      <c r="F515" s="180" t="s">
        <v>208</v>
      </c>
      <c r="G515" s="180" t="s">
        <v>208</v>
      </c>
      <c r="H515" s="181"/>
      <c r="I515" s="181"/>
      <c r="J515" s="181"/>
      <c r="K515" s="182" t="s">
        <v>240</v>
      </c>
      <c r="R515" s="163"/>
      <c r="S515" s="163"/>
    </row>
    <row r="516">
      <c r="A516" s="179">
        <f t="shared" si="2"/>
        <v>515</v>
      </c>
      <c r="B516" s="180"/>
      <c r="C516" s="180" t="s">
        <v>208</v>
      </c>
      <c r="D516" s="180" t="s">
        <v>208</v>
      </c>
      <c r="E516" s="180" t="s">
        <v>208</v>
      </c>
      <c r="F516" s="180" t="s">
        <v>208</v>
      </c>
      <c r="G516" s="180" t="s">
        <v>208</v>
      </c>
      <c r="H516" s="181"/>
      <c r="I516" s="181"/>
      <c r="J516" s="181"/>
      <c r="K516" s="182" t="s">
        <v>240</v>
      </c>
      <c r="R516" s="173"/>
      <c r="S516" s="173"/>
    </row>
    <row r="517">
      <c r="A517" s="179">
        <f t="shared" si="2"/>
        <v>516</v>
      </c>
      <c r="B517" s="180"/>
      <c r="C517" s="180" t="s">
        <v>208</v>
      </c>
      <c r="D517" s="180" t="s">
        <v>208</v>
      </c>
      <c r="E517" s="180" t="s">
        <v>208</v>
      </c>
      <c r="F517" s="180" t="s">
        <v>208</v>
      </c>
      <c r="G517" s="180" t="s">
        <v>208</v>
      </c>
      <c r="H517" s="181"/>
      <c r="I517" s="181"/>
      <c r="J517" s="181"/>
      <c r="K517" s="182" t="s">
        <v>240</v>
      </c>
      <c r="R517" s="157"/>
      <c r="S517" s="157"/>
    </row>
    <row r="518">
      <c r="A518" s="179">
        <f t="shared" si="2"/>
        <v>517</v>
      </c>
      <c r="B518" s="180"/>
      <c r="C518" s="180" t="s">
        <v>208</v>
      </c>
      <c r="D518" s="180" t="s">
        <v>208</v>
      </c>
      <c r="E518" s="180" t="s">
        <v>208</v>
      </c>
      <c r="F518" s="180" t="s">
        <v>208</v>
      </c>
      <c r="G518" s="180" t="s">
        <v>208</v>
      </c>
      <c r="H518" s="181"/>
      <c r="I518" s="181"/>
      <c r="J518" s="181"/>
      <c r="K518" s="182" t="s">
        <v>240</v>
      </c>
      <c r="R518" s="163"/>
      <c r="S518" s="163"/>
    </row>
    <row r="519">
      <c r="A519" s="179">
        <f t="shared" si="2"/>
        <v>518</v>
      </c>
      <c r="B519" s="180"/>
      <c r="C519" s="180" t="s">
        <v>208</v>
      </c>
      <c r="D519" s="180" t="s">
        <v>208</v>
      </c>
      <c r="E519" s="180" t="s">
        <v>208</v>
      </c>
      <c r="F519" s="180" t="s">
        <v>208</v>
      </c>
      <c r="G519" s="180" t="s">
        <v>208</v>
      </c>
      <c r="H519" s="181"/>
      <c r="I519" s="181"/>
      <c r="J519" s="181"/>
      <c r="K519" s="182" t="s">
        <v>240</v>
      </c>
      <c r="R519" s="163"/>
      <c r="S519" s="163"/>
    </row>
    <row r="520">
      <c r="A520" s="179">
        <f t="shared" si="2"/>
        <v>519</v>
      </c>
      <c r="B520" s="180"/>
      <c r="C520" s="180" t="s">
        <v>208</v>
      </c>
      <c r="D520" s="180" t="s">
        <v>208</v>
      </c>
      <c r="E520" s="180" t="s">
        <v>208</v>
      </c>
      <c r="F520" s="180" t="s">
        <v>208</v>
      </c>
      <c r="G520" s="180" t="s">
        <v>208</v>
      </c>
      <c r="H520" s="181"/>
      <c r="I520" s="181"/>
      <c r="J520" s="181"/>
      <c r="K520" s="182" t="s">
        <v>240</v>
      </c>
      <c r="R520" s="163"/>
      <c r="S520" s="163"/>
    </row>
    <row r="521">
      <c r="A521" s="179">
        <f t="shared" si="2"/>
        <v>520</v>
      </c>
      <c r="B521" s="180"/>
      <c r="C521" s="180" t="s">
        <v>208</v>
      </c>
      <c r="D521" s="180" t="s">
        <v>208</v>
      </c>
      <c r="E521" s="180" t="s">
        <v>208</v>
      </c>
      <c r="F521" s="180" t="s">
        <v>208</v>
      </c>
      <c r="G521" s="180" t="s">
        <v>208</v>
      </c>
      <c r="H521" s="181"/>
      <c r="I521" s="181"/>
      <c r="J521" s="181"/>
      <c r="K521" s="182" t="s">
        <v>240</v>
      </c>
      <c r="R521" s="163"/>
      <c r="S521" s="163"/>
    </row>
    <row r="522">
      <c r="A522" s="179">
        <f t="shared" si="2"/>
        <v>521</v>
      </c>
      <c r="B522" s="180"/>
      <c r="C522" s="180" t="s">
        <v>208</v>
      </c>
      <c r="D522" s="180" t="s">
        <v>208</v>
      </c>
      <c r="E522" s="180" t="s">
        <v>208</v>
      </c>
      <c r="F522" s="180" t="s">
        <v>208</v>
      </c>
      <c r="G522" s="180" t="s">
        <v>208</v>
      </c>
      <c r="H522" s="181"/>
      <c r="I522" s="181"/>
      <c r="J522" s="181"/>
      <c r="K522" s="182" t="s">
        <v>240</v>
      </c>
      <c r="R522" s="163"/>
      <c r="S522" s="163"/>
    </row>
    <row r="523">
      <c r="A523" s="179">
        <f t="shared" si="2"/>
        <v>522</v>
      </c>
      <c r="B523" s="180"/>
      <c r="C523" s="180" t="s">
        <v>208</v>
      </c>
      <c r="D523" s="180" t="s">
        <v>208</v>
      </c>
      <c r="E523" s="180" t="s">
        <v>208</v>
      </c>
      <c r="F523" s="180" t="s">
        <v>208</v>
      </c>
      <c r="G523" s="180" t="s">
        <v>208</v>
      </c>
      <c r="H523" s="181"/>
      <c r="I523" s="181"/>
      <c r="J523" s="181"/>
      <c r="K523" s="182" t="s">
        <v>240</v>
      </c>
      <c r="R523" s="163"/>
      <c r="S523" s="163"/>
    </row>
    <row r="524">
      <c r="A524" s="179">
        <f t="shared" si="2"/>
        <v>523</v>
      </c>
      <c r="B524" s="181"/>
      <c r="C524" s="180" t="s">
        <v>208</v>
      </c>
      <c r="D524" s="180" t="s">
        <v>208</v>
      </c>
      <c r="E524" s="180" t="s">
        <v>208</v>
      </c>
      <c r="F524" s="180" t="s">
        <v>208</v>
      </c>
      <c r="G524" s="180" t="s">
        <v>208</v>
      </c>
      <c r="H524" s="192"/>
      <c r="I524" s="181"/>
      <c r="J524" s="181"/>
      <c r="K524" s="182" t="s">
        <v>240</v>
      </c>
      <c r="R524" s="163"/>
      <c r="S524" s="163"/>
    </row>
    <row r="525">
      <c r="A525" s="179">
        <f t="shared" si="2"/>
        <v>524</v>
      </c>
      <c r="B525" s="180"/>
      <c r="C525" s="180" t="s">
        <v>208</v>
      </c>
      <c r="D525" s="180" t="s">
        <v>208</v>
      </c>
      <c r="E525" s="180" t="s">
        <v>208</v>
      </c>
      <c r="F525" s="180" t="s">
        <v>208</v>
      </c>
      <c r="G525" s="180" t="s">
        <v>208</v>
      </c>
      <c r="H525" s="181"/>
      <c r="I525" s="181"/>
      <c r="J525" s="181"/>
      <c r="K525" s="182" t="s">
        <v>240</v>
      </c>
      <c r="R525" s="163"/>
      <c r="S525" s="163"/>
    </row>
    <row r="526">
      <c r="A526" s="179">
        <f t="shared" si="2"/>
        <v>525</v>
      </c>
      <c r="B526" s="180"/>
      <c r="C526" s="180" t="s">
        <v>208</v>
      </c>
      <c r="D526" s="180" t="s">
        <v>208</v>
      </c>
      <c r="E526" s="180" t="s">
        <v>208</v>
      </c>
      <c r="F526" s="180" t="s">
        <v>208</v>
      </c>
      <c r="G526" s="180" t="s">
        <v>208</v>
      </c>
      <c r="H526" s="181"/>
      <c r="I526" s="181"/>
      <c r="J526" s="181"/>
      <c r="K526" s="182" t="s">
        <v>240</v>
      </c>
      <c r="R526" s="163"/>
      <c r="S526" s="163"/>
    </row>
    <row r="527">
      <c r="A527" s="179">
        <f t="shared" si="2"/>
        <v>526</v>
      </c>
      <c r="B527" s="180"/>
      <c r="C527" s="180" t="s">
        <v>208</v>
      </c>
      <c r="D527" s="180" t="s">
        <v>208</v>
      </c>
      <c r="E527" s="180" t="s">
        <v>208</v>
      </c>
      <c r="F527" s="180" t="s">
        <v>208</v>
      </c>
      <c r="G527" s="180" t="s">
        <v>208</v>
      </c>
      <c r="H527" s="181"/>
      <c r="I527" s="181"/>
      <c r="J527" s="181"/>
      <c r="K527" s="182" t="s">
        <v>240</v>
      </c>
      <c r="R527" s="163"/>
      <c r="S527" s="163"/>
    </row>
    <row r="528">
      <c r="A528" s="179">
        <f t="shared" si="2"/>
        <v>527</v>
      </c>
      <c r="B528" s="180"/>
      <c r="C528" s="180" t="s">
        <v>208</v>
      </c>
      <c r="D528" s="180" t="s">
        <v>208</v>
      </c>
      <c r="E528" s="180" t="s">
        <v>208</v>
      </c>
      <c r="F528" s="180" t="s">
        <v>208</v>
      </c>
      <c r="G528" s="180" t="s">
        <v>208</v>
      </c>
      <c r="H528" s="181"/>
      <c r="I528" s="181"/>
      <c r="J528" s="181"/>
      <c r="K528" s="182" t="s">
        <v>240</v>
      </c>
      <c r="R528" s="173"/>
      <c r="S528" s="173"/>
    </row>
    <row r="529">
      <c r="A529" s="179">
        <f t="shared" si="2"/>
        <v>528</v>
      </c>
      <c r="B529" s="180"/>
      <c r="C529" s="180"/>
      <c r="D529" s="180"/>
      <c r="E529" s="180"/>
      <c r="F529" s="180"/>
      <c r="G529" s="180"/>
      <c r="H529" s="181"/>
      <c r="I529" s="181"/>
      <c r="J529" s="180" t="s">
        <v>242</v>
      </c>
      <c r="K529" s="182" t="s">
        <v>240</v>
      </c>
      <c r="R529" s="157"/>
      <c r="S529" s="157"/>
    </row>
    <row r="530">
      <c r="A530" s="179">
        <f t="shared" si="2"/>
        <v>529</v>
      </c>
      <c r="B530" s="181"/>
      <c r="C530" s="180"/>
      <c r="D530" s="180"/>
      <c r="E530" s="180"/>
      <c r="F530" s="180"/>
      <c r="G530" s="180"/>
      <c r="H530" s="180"/>
      <c r="I530" s="181"/>
      <c r="J530" s="180" t="s">
        <v>242</v>
      </c>
      <c r="K530" s="182" t="s">
        <v>240</v>
      </c>
      <c r="R530" s="163"/>
      <c r="S530" s="163"/>
    </row>
    <row r="531">
      <c r="A531" s="179">
        <f t="shared" si="2"/>
        <v>530</v>
      </c>
      <c r="B531" s="180"/>
      <c r="C531" s="180"/>
      <c r="D531" s="180"/>
      <c r="E531" s="180"/>
      <c r="F531" s="180"/>
      <c r="G531" s="180"/>
      <c r="H531" s="181"/>
      <c r="I531" s="181"/>
      <c r="J531" s="180" t="s">
        <v>242</v>
      </c>
      <c r="K531" s="182" t="s">
        <v>240</v>
      </c>
      <c r="R531" s="163"/>
      <c r="S531" s="163"/>
    </row>
    <row r="532">
      <c r="A532" s="179">
        <f t="shared" si="2"/>
        <v>531</v>
      </c>
      <c r="B532" s="180"/>
      <c r="C532" s="180"/>
      <c r="D532" s="180"/>
      <c r="E532" s="180"/>
      <c r="F532" s="180"/>
      <c r="G532" s="180"/>
      <c r="H532" s="181"/>
      <c r="I532" s="181"/>
      <c r="J532" s="180" t="s">
        <v>242</v>
      </c>
      <c r="K532" s="182" t="s">
        <v>240</v>
      </c>
      <c r="R532" s="163"/>
      <c r="S532" s="163"/>
    </row>
    <row r="533">
      <c r="A533" s="179">
        <f t="shared" si="2"/>
        <v>532</v>
      </c>
      <c r="B533" s="180"/>
      <c r="C533" s="180"/>
      <c r="D533" s="180"/>
      <c r="E533" s="180"/>
      <c r="F533" s="180"/>
      <c r="G533" s="180"/>
      <c r="H533" s="185"/>
      <c r="I533" s="181"/>
      <c r="J533" s="180" t="s">
        <v>242</v>
      </c>
      <c r="K533" s="182" t="s">
        <v>240</v>
      </c>
      <c r="R533" s="163"/>
      <c r="S533" s="163"/>
    </row>
    <row r="534">
      <c r="A534" s="179">
        <f t="shared" si="2"/>
        <v>533</v>
      </c>
      <c r="B534" s="180"/>
      <c r="C534" s="180"/>
      <c r="D534" s="180"/>
      <c r="E534" s="180"/>
      <c r="F534" s="180"/>
      <c r="G534" s="180"/>
      <c r="H534" s="185"/>
      <c r="I534" s="181"/>
      <c r="J534" s="180" t="s">
        <v>242</v>
      </c>
      <c r="K534" s="182" t="s">
        <v>240</v>
      </c>
      <c r="R534" s="163"/>
      <c r="S534" s="163"/>
    </row>
    <row r="535">
      <c r="A535" s="179">
        <f t="shared" si="2"/>
        <v>534</v>
      </c>
      <c r="B535" s="180"/>
      <c r="C535" s="180"/>
      <c r="D535" s="180"/>
      <c r="E535" s="180"/>
      <c r="F535" s="180"/>
      <c r="G535" s="180"/>
      <c r="H535" s="185"/>
      <c r="I535" s="181"/>
      <c r="J535" s="180" t="s">
        <v>242</v>
      </c>
      <c r="K535" s="182" t="s">
        <v>240</v>
      </c>
      <c r="R535" s="163"/>
      <c r="S535" s="163"/>
    </row>
    <row r="536">
      <c r="A536" s="179">
        <f t="shared" si="2"/>
        <v>535</v>
      </c>
      <c r="B536" s="180"/>
      <c r="C536" s="180"/>
      <c r="D536" s="180"/>
      <c r="E536" s="180"/>
      <c r="F536" s="180"/>
      <c r="G536" s="180"/>
      <c r="H536" s="185"/>
      <c r="I536" s="181"/>
      <c r="J536" s="180" t="s">
        <v>242</v>
      </c>
      <c r="K536" s="182" t="s">
        <v>240</v>
      </c>
      <c r="R536" s="163"/>
      <c r="S536" s="163"/>
    </row>
    <row r="537">
      <c r="A537" s="179">
        <f t="shared" si="2"/>
        <v>536</v>
      </c>
      <c r="B537" s="180"/>
      <c r="C537" s="180"/>
      <c r="D537" s="180"/>
      <c r="E537" s="180"/>
      <c r="F537" s="180"/>
      <c r="G537" s="180"/>
      <c r="H537" s="185"/>
      <c r="I537" s="181"/>
      <c r="J537" s="180" t="s">
        <v>242</v>
      </c>
      <c r="K537" s="182" t="s">
        <v>240</v>
      </c>
      <c r="R537" s="163"/>
      <c r="S537" s="163"/>
    </row>
    <row r="538">
      <c r="A538" s="179">
        <f t="shared" si="2"/>
        <v>537</v>
      </c>
      <c r="B538" s="180"/>
      <c r="C538" s="180"/>
      <c r="D538" s="180"/>
      <c r="E538" s="180"/>
      <c r="F538" s="180"/>
      <c r="G538" s="180"/>
      <c r="H538" s="185"/>
      <c r="I538" s="181"/>
      <c r="J538" s="180" t="s">
        <v>242</v>
      </c>
      <c r="K538" s="182" t="s">
        <v>240</v>
      </c>
      <c r="R538" s="163"/>
      <c r="S538" s="163"/>
    </row>
    <row r="539">
      <c r="A539" s="179">
        <f t="shared" si="2"/>
        <v>538</v>
      </c>
      <c r="B539" s="180"/>
      <c r="C539" s="180"/>
      <c r="D539" s="180"/>
      <c r="E539" s="180"/>
      <c r="F539" s="180"/>
      <c r="G539" s="180"/>
      <c r="H539" s="185"/>
      <c r="I539" s="181"/>
      <c r="J539" s="180" t="s">
        <v>242</v>
      </c>
      <c r="K539" s="182" t="s">
        <v>240</v>
      </c>
      <c r="R539" s="163"/>
      <c r="S539" s="163"/>
    </row>
    <row r="540">
      <c r="A540" s="179">
        <f t="shared" si="2"/>
        <v>539</v>
      </c>
      <c r="B540" s="180"/>
      <c r="C540" s="180"/>
      <c r="D540" s="180"/>
      <c r="E540" s="180"/>
      <c r="F540" s="180"/>
      <c r="G540" s="180"/>
      <c r="H540" s="185"/>
      <c r="I540" s="181"/>
      <c r="J540" s="180" t="s">
        <v>242</v>
      </c>
      <c r="K540" s="182" t="s">
        <v>240</v>
      </c>
      <c r="R540" s="173"/>
      <c r="S540" s="173"/>
    </row>
    <row r="541">
      <c r="A541" s="179">
        <f t="shared" si="2"/>
        <v>540</v>
      </c>
      <c r="B541" s="180"/>
      <c r="C541" s="180"/>
      <c r="D541" s="180"/>
      <c r="E541" s="180"/>
      <c r="F541" s="180"/>
      <c r="G541" s="181"/>
      <c r="H541" s="181"/>
      <c r="I541" s="181"/>
      <c r="J541" s="180" t="s">
        <v>242</v>
      </c>
      <c r="K541" s="182" t="s">
        <v>240</v>
      </c>
      <c r="R541" s="157"/>
      <c r="S541" s="157"/>
    </row>
    <row r="542">
      <c r="A542" s="179">
        <f t="shared" si="2"/>
        <v>541</v>
      </c>
      <c r="B542" s="181"/>
      <c r="C542" s="180"/>
      <c r="D542" s="180"/>
      <c r="E542" s="180"/>
      <c r="F542" s="181"/>
      <c r="G542" s="180"/>
      <c r="H542" s="181"/>
      <c r="I542" s="181"/>
      <c r="J542" s="180" t="s">
        <v>242</v>
      </c>
      <c r="K542" s="182" t="s">
        <v>240</v>
      </c>
      <c r="R542" s="163"/>
      <c r="S542" s="163"/>
    </row>
    <row r="543">
      <c r="A543" s="179">
        <f t="shared" si="2"/>
        <v>542</v>
      </c>
      <c r="B543" s="180"/>
      <c r="C543" s="180" t="s">
        <v>208</v>
      </c>
      <c r="D543" s="180" t="s">
        <v>208</v>
      </c>
      <c r="E543" s="180" t="s">
        <v>208</v>
      </c>
      <c r="F543" s="180" t="s">
        <v>208</v>
      </c>
      <c r="G543" s="180" t="s">
        <v>208</v>
      </c>
      <c r="H543" s="181"/>
      <c r="I543" s="181"/>
      <c r="J543" s="180"/>
      <c r="K543" s="182" t="s">
        <v>240</v>
      </c>
      <c r="R543" s="163"/>
      <c r="S543" s="163"/>
    </row>
    <row r="544">
      <c r="A544" s="179">
        <f t="shared" si="2"/>
        <v>543</v>
      </c>
      <c r="B544" s="180"/>
      <c r="C544" s="180" t="s">
        <v>208</v>
      </c>
      <c r="D544" s="180" t="s">
        <v>208</v>
      </c>
      <c r="E544" s="180" t="s">
        <v>208</v>
      </c>
      <c r="F544" s="180" t="s">
        <v>208</v>
      </c>
      <c r="G544" s="180" t="s">
        <v>208</v>
      </c>
      <c r="H544" s="181"/>
      <c r="I544" s="181"/>
      <c r="J544" s="180"/>
      <c r="K544" s="182" t="s">
        <v>240</v>
      </c>
      <c r="R544" s="163"/>
      <c r="S544" s="163"/>
    </row>
    <row r="545">
      <c r="A545" s="179">
        <f t="shared" si="2"/>
        <v>544</v>
      </c>
      <c r="B545" s="180"/>
      <c r="C545" s="180" t="s">
        <v>208</v>
      </c>
      <c r="D545" s="180" t="s">
        <v>208</v>
      </c>
      <c r="E545" s="180" t="s">
        <v>208</v>
      </c>
      <c r="F545" s="180" t="s">
        <v>208</v>
      </c>
      <c r="G545" s="180" t="s">
        <v>208</v>
      </c>
      <c r="H545" s="181"/>
      <c r="I545" s="181"/>
      <c r="J545" s="181"/>
      <c r="K545" s="182" t="s">
        <v>240</v>
      </c>
      <c r="R545" s="163"/>
      <c r="S545" s="163"/>
    </row>
    <row r="546">
      <c r="A546" s="179">
        <f t="shared" si="2"/>
        <v>545</v>
      </c>
      <c r="B546" s="180"/>
      <c r="C546" s="180" t="s">
        <v>208</v>
      </c>
      <c r="D546" s="180" t="s">
        <v>208</v>
      </c>
      <c r="E546" s="180" t="s">
        <v>208</v>
      </c>
      <c r="F546" s="180" t="s">
        <v>208</v>
      </c>
      <c r="G546" s="180" t="s">
        <v>208</v>
      </c>
      <c r="H546" s="181"/>
      <c r="I546" s="181"/>
      <c r="J546" s="181"/>
      <c r="K546" s="182" t="s">
        <v>240</v>
      </c>
      <c r="R546" s="163"/>
      <c r="S546" s="163"/>
    </row>
    <row r="547">
      <c r="A547" s="179">
        <f t="shared" si="2"/>
        <v>546</v>
      </c>
      <c r="B547" s="180"/>
      <c r="C547" s="180" t="s">
        <v>208</v>
      </c>
      <c r="D547" s="180" t="s">
        <v>208</v>
      </c>
      <c r="E547" s="180" t="s">
        <v>208</v>
      </c>
      <c r="F547" s="180" t="s">
        <v>208</v>
      </c>
      <c r="G547" s="180" t="s">
        <v>208</v>
      </c>
      <c r="H547" s="181"/>
      <c r="I547" s="181"/>
      <c r="J547" s="181"/>
      <c r="K547" s="182" t="s">
        <v>240</v>
      </c>
      <c r="R547" s="163"/>
      <c r="S547" s="163"/>
    </row>
    <row r="548">
      <c r="A548" s="179">
        <f t="shared" si="2"/>
        <v>547</v>
      </c>
      <c r="B548" s="180"/>
      <c r="C548" s="180" t="s">
        <v>208</v>
      </c>
      <c r="D548" s="180" t="s">
        <v>208</v>
      </c>
      <c r="E548" s="180" t="s">
        <v>208</v>
      </c>
      <c r="F548" s="180" t="s">
        <v>208</v>
      </c>
      <c r="G548" s="180" t="s">
        <v>208</v>
      </c>
      <c r="H548" s="181"/>
      <c r="I548" s="181"/>
      <c r="J548" s="181"/>
      <c r="K548" s="182" t="s">
        <v>240</v>
      </c>
      <c r="R548" s="163"/>
      <c r="S548" s="163"/>
    </row>
    <row r="549">
      <c r="A549" s="179">
        <f t="shared" si="2"/>
        <v>548</v>
      </c>
      <c r="B549" s="180"/>
      <c r="C549" s="180" t="s">
        <v>208</v>
      </c>
      <c r="D549" s="180" t="s">
        <v>208</v>
      </c>
      <c r="E549" s="180" t="s">
        <v>208</v>
      </c>
      <c r="F549" s="180" t="s">
        <v>208</v>
      </c>
      <c r="G549" s="180" t="s">
        <v>208</v>
      </c>
      <c r="H549" s="181"/>
      <c r="I549" s="181"/>
      <c r="J549" s="181"/>
      <c r="K549" s="182" t="s">
        <v>240</v>
      </c>
      <c r="R549" s="163"/>
      <c r="S549" s="163"/>
    </row>
    <row r="550">
      <c r="A550" s="179">
        <f t="shared" si="2"/>
        <v>549</v>
      </c>
      <c r="B550" s="180"/>
      <c r="C550" s="180" t="s">
        <v>208</v>
      </c>
      <c r="D550" s="180" t="s">
        <v>208</v>
      </c>
      <c r="E550" s="180" t="s">
        <v>208</v>
      </c>
      <c r="F550" s="180" t="s">
        <v>208</v>
      </c>
      <c r="G550" s="180" t="s">
        <v>208</v>
      </c>
      <c r="H550" s="181"/>
      <c r="I550" s="181"/>
      <c r="J550" s="181"/>
      <c r="K550" s="182" t="s">
        <v>240</v>
      </c>
      <c r="R550" s="163"/>
      <c r="S550" s="163"/>
    </row>
    <row r="551">
      <c r="A551" s="179">
        <f t="shared" si="2"/>
        <v>550</v>
      </c>
      <c r="B551" s="180"/>
      <c r="C551" s="180" t="s">
        <v>208</v>
      </c>
      <c r="D551" s="180" t="s">
        <v>208</v>
      </c>
      <c r="E551" s="180" t="s">
        <v>208</v>
      </c>
      <c r="F551" s="180" t="s">
        <v>208</v>
      </c>
      <c r="G551" s="180" t="s">
        <v>208</v>
      </c>
      <c r="H551" s="181"/>
      <c r="I551" s="181"/>
      <c r="J551" s="181"/>
      <c r="K551" s="182" t="s">
        <v>240</v>
      </c>
      <c r="R551" s="163"/>
      <c r="S551" s="163"/>
    </row>
    <row r="552">
      <c r="A552" s="179">
        <f t="shared" si="2"/>
        <v>551</v>
      </c>
      <c r="B552" s="180"/>
      <c r="C552" s="180" t="s">
        <v>208</v>
      </c>
      <c r="D552" s="180" t="s">
        <v>208</v>
      </c>
      <c r="E552" s="180" t="s">
        <v>208</v>
      </c>
      <c r="F552" s="180" t="s">
        <v>208</v>
      </c>
      <c r="G552" s="180" t="s">
        <v>208</v>
      </c>
      <c r="H552" s="181"/>
      <c r="I552" s="181"/>
      <c r="J552" s="181"/>
      <c r="K552" s="182" t="s">
        <v>240</v>
      </c>
      <c r="R552" s="173"/>
      <c r="S552" s="173"/>
    </row>
    <row r="553">
      <c r="A553" s="179">
        <f t="shared" si="2"/>
        <v>552</v>
      </c>
      <c r="B553" s="180"/>
      <c r="C553" s="180" t="s">
        <v>208</v>
      </c>
      <c r="D553" s="180" t="s">
        <v>243</v>
      </c>
      <c r="E553" s="180" t="s">
        <v>208</v>
      </c>
      <c r="F553" s="180" t="s">
        <v>208</v>
      </c>
      <c r="G553" s="180" t="s">
        <v>208</v>
      </c>
      <c r="H553" s="181"/>
      <c r="I553" s="181"/>
      <c r="J553" s="180"/>
      <c r="K553" s="182" t="s">
        <v>240</v>
      </c>
      <c r="R553" s="157"/>
      <c r="S553" s="157"/>
    </row>
    <row r="554">
      <c r="A554" s="179">
        <f t="shared" si="2"/>
        <v>553</v>
      </c>
      <c r="B554" s="180"/>
      <c r="C554" s="180" t="s">
        <v>208</v>
      </c>
      <c r="D554" s="180" t="s">
        <v>208</v>
      </c>
      <c r="E554" s="180" t="s">
        <v>208</v>
      </c>
      <c r="F554" s="180" t="s">
        <v>208</v>
      </c>
      <c r="G554" s="180" t="s">
        <v>208</v>
      </c>
      <c r="H554" s="181"/>
      <c r="I554" s="181"/>
      <c r="J554" s="180"/>
      <c r="K554" s="182" t="s">
        <v>240</v>
      </c>
      <c r="R554" s="163"/>
      <c r="S554" s="163"/>
    </row>
    <row r="555">
      <c r="A555" s="179">
        <f t="shared" si="2"/>
        <v>554</v>
      </c>
      <c r="B555" s="180"/>
      <c r="C555" s="180" t="s">
        <v>208</v>
      </c>
      <c r="D555" s="180" t="s">
        <v>208</v>
      </c>
      <c r="E555" s="180" t="s">
        <v>208</v>
      </c>
      <c r="F555" s="180" t="s">
        <v>208</v>
      </c>
      <c r="G555" s="180" t="s">
        <v>208</v>
      </c>
      <c r="H555" s="181"/>
      <c r="I555" s="181"/>
      <c r="J555" s="181"/>
      <c r="K555" s="182" t="s">
        <v>240</v>
      </c>
      <c r="R555" s="163"/>
      <c r="S555" s="163"/>
    </row>
    <row r="556">
      <c r="A556" s="179">
        <f t="shared" si="2"/>
        <v>555</v>
      </c>
      <c r="B556" s="180"/>
      <c r="C556" s="180" t="s">
        <v>208</v>
      </c>
      <c r="D556" s="180" t="s">
        <v>243</v>
      </c>
      <c r="E556" s="180" t="s">
        <v>208</v>
      </c>
      <c r="F556" s="180" t="s">
        <v>208</v>
      </c>
      <c r="G556" s="180" t="s">
        <v>208</v>
      </c>
      <c r="H556" s="181"/>
      <c r="I556" s="181"/>
      <c r="J556" s="181"/>
      <c r="K556" s="182" t="s">
        <v>240</v>
      </c>
      <c r="R556" s="163"/>
      <c r="S556" s="163"/>
    </row>
    <row r="557">
      <c r="A557" s="179">
        <f t="shared" si="2"/>
        <v>556</v>
      </c>
      <c r="B557" s="180"/>
      <c r="C557" s="180" t="s">
        <v>208</v>
      </c>
      <c r="D557" s="180" t="s">
        <v>208</v>
      </c>
      <c r="E557" s="180" t="s">
        <v>208</v>
      </c>
      <c r="F557" s="180" t="s">
        <v>208</v>
      </c>
      <c r="G557" s="180" t="s">
        <v>208</v>
      </c>
      <c r="H557" s="181"/>
      <c r="I557" s="181"/>
      <c r="J557" s="181"/>
      <c r="K557" s="182" t="s">
        <v>240</v>
      </c>
      <c r="R557" s="163"/>
      <c r="S557" s="163"/>
    </row>
    <row r="558">
      <c r="A558" s="179">
        <f t="shared" si="2"/>
        <v>557</v>
      </c>
      <c r="B558" s="180"/>
      <c r="C558" s="180" t="s">
        <v>208</v>
      </c>
      <c r="D558" s="180" t="s">
        <v>208</v>
      </c>
      <c r="E558" s="180" t="s">
        <v>208</v>
      </c>
      <c r="F558" s="180" t="s">
        <v>208</v>
      </c>
      <c r="G558" s="180" t="s">
        <v>208</v>
      </c>
      <c r="H558" s="181"/>
      <c r="I558" s="181"/>
      <c r="J558" s="181"/>
      <c r="K558" s="182" t="s">
        <v>240</v>
      </c>
      <c r="R558" s="163"/>
      <c r="S558" s="163"/>
    </row>
    <row r="559">
      <c r="A559" s="179">
        <f t="shared" si="2"/>
        <v>558</v>
      </c>
      <c r="B559" s="180"/>
      <c r="C559" s="180" t="s">
        <v>208</v>
      </c>
      <c r="D559" s="180" t="s">
        <v>208</v>
      </c>
      <c r="E559" s="180" t="s">
        <v>208</v>
      </c>
      <c r="F559" s="180" t="s">
        <v>208</v>
      </c>
      <c r="G559" s="180" t="s">
        <v>208</v>
      </c>
      <c r="H559" s="181"/>
      <c r="I559" s="181"/>
      <c r="J559" s="181"/>
      <c r="K559" s="182" t="s">
        <v>240</v>
      </c>
      <c r="R559" s="163"/>
      <c r="S559" s="163"/>
    </row>
    <row r="560">
      <c r="A560" s="179">
        <f t="shared" si="2"/>
        <v>559</v>
      </c>
      <c r="B560" s="180"/>
      <c r="C560" s="180" t="s">
        <v>208</v>
      </c>
      <c r="D560" s="180" t="s">
        <v>208</v>
      </c>
      <c r="E560" s="180" t="s">
        <v>208</v>
      </c>
      <c r="F560" s="180" t="s">
        <v>208</v>
      </c>
      <c r="G560" s="180" t="s">
        <v>208</v>
      </c>
      <c r="H560" s="181"/>
      <c r="I560" s="181"/>
      <c r="J560" s="181"/>
      <c r="K560" s="182" t="s">
        <v>240</v>
      </c>
      <c r="R560" s="163"/>
      <c r="S560" s="163"/>
    </row>
    <row r="561">
      <c r="A561" s="179">
        <f t="shared" si="2"/>
        <v>560</v>
      </c>
      <c r="B561" s="180"/>
      <c r="C561" s="180" t="s">
        <v>208</v>
      </c>
      <c r="D561" s="180" t="s">
        <v>208</v>
      </c>
      <c r="E561" s="180" t="s">
        <v>208</v>
      </c>
      <c r="F561" s="180" t="s">
        <v>208</v>
      </c>
      <c r="G561" s="180" t="s">
        <v>208</v>
      </c>
      <c r="H561" s="181"/>
      <c r="I561" s="181"/>
      <c r="J561" s="180"/>
      <c r="K561" s="182" t="s">
        <v>240</v>
      </c>
      <c r="R561" s="163"/>
      <c r="S561" s="163"/>
    </row>
    <row r="562">
      <c r="A562" s="179">
        <f t="shared" si="2"/>
        <v>561</v>
      </c>
      <c r="B562" s="180"/>
      <c r="C562" s="180" t="s">
        <v>208</v>
      </c>
      <c r="D562" s="180" t="s">
        <v>208</v>
      </c>
      <c r="E562" s="180" t="s">
        <v>208</v>
      </c>
      <c r="F562" s="180" t="s">
        <v>208</v>
      </c>
      <c r="G562" s="180" t="s">
        <v>208</v>
      </c>
      <c r="H562" s="181"/>
      <c r="I562" s="181"/>
      <c r="J562" s="181"/>
      <c r="K562" s="182" t="s">
        <v>240</v>
      </c>
      <c r="R562" s="163"/>
      <c r="S562" s="163"/>
    </row>
    <row r="563">
      <c r="A563" s="179">
        <f t="shared" si="2"/>
        <v>562</v>
      </c>
      <c r="B563" s="180"/>
      <c r="C563" s="180" t="s">
        <v>208</v>
      </c>
      <c r="D563" s="180" t="s">
        <v>208</v>
      </c>
      <c r="E563" s="180" t="s">
        <v>208</v>
      </c>
      <c r="F563" s="180" t="s">
        <v>208</v>
      </c>
      <c r="G563" s="180" t="s">
        <v>208</v>
      </c>
      <c r="H563" s="181"/>
      <c r="I563" s="181"/>
      <c r="J563" s="181"/>
      <c r="K563" s="182" t="s">
        <v>240</v>
      </c>
      <c r="R563" s="163"/>
      <c r="S563" s="163"/>
    </row>
    <row r="564">
      <c r="A564" s="179">
        <f t="shared" si="2"/>
        <v>563</v>
      </c>
      <c r="B564" s="180"/>
      <c r="C564" s="180" t="s">
        <v>208</v>
      </c>
      <c r="D564" s="180" t="s">
        <v>208</v>
      </c>
      <c r="E564" s="180" t="s">
        <v>208</v>
      </c>
      <c r="F564" s="180" t="s">
        <v>208</v>
      </c>
      <c r="G564" s="180" t="s">
        <v>208</v>
      </c>
      <c r="H564" s="181"/>
      <c r="I564" s="181"/>
      <c r="J564" s="180"/>
      <c r="K564" s="182" t="s">
        <v>240</v>
      </c>
      <c r="R564" s="173"/>
      <c r="S564" s="173"/>
    </row>
    <row r="565">
      <c r="A565" s="179">
        <f t="shared" si="2"/>
        <v>564</v>
      </c>
      <c r="B565" s="180"/>
      <c r="C565" s="180" t="s">
        <v>208</v>
      </c>
      <c r="D565" s="180" t="s">
        <v>208</v>
      </c>
      <c r="E565" s="180" t="s">
        <v>208</v>
      </c>
      <c r="F565" s="180" t="s">
        <v>208</v>
      </c>
      <c r="G565" s="180" t="s">
        <v>208</v>
      </c>
      <c r="H565" s="181"/>
      <c r="I565" s="181"/>
      <c r="J565" s="180"/>
      <c r="K565" s="182" t="s">
        <v>240</v>
      </c>
      <c r="R565" s="157"/>
      <c r="S565" s="157"/>
    </row>
    <row r="566">
      <c r="A566" s="179">
        <f t="shared" si="2"/>
        <v>565</v>
      </c>
      <c r="B566" s="180"/>
      <c r="C566" s="180" t="s">
        <v>208</v>
      </c>
      <c r="D566" s="180" t="s">
        <v>208</v>
      </c>
      <c r="E566" s="180" t="s">
        <v>208</v>
      </c>
      <c r="F566" s="180" t="s">
        <v>208</v>
      </c>
      <c r="G566" s="180" t="s">
        <v>208</v>
      </c>
      <c r="H566" s="181"/>
      <c r="I566" s="181"/>
      <c r="J566" s="181"/>
      <c r="K566" s="182" t="s">
        <v>240</v>
      </c>
      <c r="R566" s="163"/>
      <c r="S566" s="163"/>
    </row>
    <row r="567">
      <c r="A567" s="179">
        <f t="shared" si="2"/>
        <v>566</v>
      </c>
      <c r="B567" s="180"/>
      <c r="C567" s="180" t="s">
        <v>208</v>
      </c>
      <c r="D567" s="180" t="s">
        <v>208</v>
      </c>
      <c r="E567" s="180" t="s">
        <v>208</v>
      </c>
      <c r="F567" s="180" t="s">
        <v>208</v>
      </c>
      <c r="G567" s="180" t="s">
        <v>208</v>
      </c>
      <c r="H567" s="180"/>
      <c r="I567" s="181"/>
      <c r="J567" s="181"/>
      <c r="K567" s="182" t="s">
        <v>240</v>
      </c>
      <c r="R567" s="163"/>
      <c r="S567" s="163"/>
    </row>
    <row r="568">
      <c r="A568" s="179">
        <f t="shared" si="2"/>
        <v>567</v>
      </c>
      <c r="B568" s="180"/>
      <c r="C568" s="180" t="s">
        <v>208</v>
      </c>
      <c r="D568" s="180" t="s">
        <v>208</v>
      </c>
      <c r="E568" s="180" t="s">
        <v>208</v>
      </c>
      <c r="F568" s="180" t="s">
        <v>208</v>
      </c>
      <c r="G568" s="180" t="s">
        <v>208</v>
      </c>
      <c r="H568" s="181"/>
      <c r="I568" s="181"/>
      <c r="J568" s="181"/>
      <c r="K568" s="182" t="s">
        <v>240</v>
      </c>
      <c r="R568" s="163"/>
      <c r="S568" s="163"/>
    </row>
    <row r="569">
      <c r="A569" s="179">
        <f t="shared" si="2"/>
        <v>568</v>
      </c>
      <c r="B569" s="180"/>
      <c r="C569" s="180" t="s">
        <v>208</v>
      </c>
      <c r="D569" s="180" t="s">
        <v>208</v>
      </c>
      <c r="E569" s="180" t="s">
        <v>208</v>
      </c>
      <c r="F569" s="180" t="s">
        <v>208</v>
      </c>
      <c r="G569" s="180" t="s">
        <v>208</v>
      </c>
      <c r="H569" s="180"/>
      <c r="I569" s="181"/>
      <c r="J569" s="181"/>
      <c r="K569" s="182" t="s">
        <v>240</v>
      </c>
      <c r="R569" s="163"/>
      <c r="S569" s="163"/>
    </row>
    <row r="570">
      <c r="A570" s="179">
        <f t="shared" si="2"/>
        <v>569</v>
      </c>
      <c r="B570" s="180"/>
      <c r="C570" s="180" t="s">
        <v>208</v>
      </c>
      <c r="D570" s="180" t="s">
        <v>208</v>
      </c>
      <c r="E570" s="180" t="s">
        <v>208</v>
      </c>
      <c r="F570" s="180" t="s">
        <v>208</v>
      </c>
      <c r="G570" s="180" t="s">
        <v>208</v>
      </c>
      <c r="H570" s="181"/>
      <c r="I570" s="181"/>
      <c r="J570" s="181"/>
      <c r="K570" s="182" t="s">
        <v>240</v>
      </c>
      <c r="R570" s="163"/>
      <c r="S570" s="163"/>
    </row>
    <row r="571">
      <c r="A571" s="179">
        <f t="shared" si="2"/>
        <v>570</v>
      </c>
      <c r="B571" s="180"/>
      <c r="C571" s="180" t="s">
        <v>208</v>
      </c>
      <c r="D571" s="180" t="s">
        <v>208</v>
      </c>
      <c r="E571" s="180" t="s">
        <v>208</v>
      </c>
      <c r="F571" s="180" t="s">
        <v>208</v>
      </c>
      <c r="G571" s="180" t="s">
        <v>208</v>
      </c>
      <c r="H571" s="181"/>
      <c r="I571" s="181"/>
      <c r="J571" s="181"/>
      <c r="K571" s="182" t="s">
        <v>240</v>
      </c>
      <c r="R571" s="163"/>
      <c r="S571" s="163"/>
    </row>
    <row r="572">
      <c r="A572" s="179">
        <f t="shared" si="2"/>
        <v>571</v>
      </c>
      <c r="B572" s="180"/>
      <c r="C572" s="180"/>
      <c r="D572" s="180"/>
      <c r="E572" s="180"/>
      <c r="F572" s="180"/>
      <c r="G572" s="180"/>
      <c r="H572" s="181"/>
      <c r="I572" s="181"/>
      <c r="J572" s="180" t="s">
        <v>242</v>
      </c>
      <c r="K572" s="182" t="s">
        <v>240</v>
      </c>
      <c r="R572" s="163"/>
      <c r="S572" s="163"/>
    </row>
    <row r="573">
      <c r="A573" s="179">
        <f t="shared" si="2"/>
        <v>572</v>
      </c>
      <c r="B573" s="180"/>
      <c r="C573" s="180"/>
      <c r="D573" s="180"/>
      <c r="E573" s="180"/>
      <c r="F573" s="180"/>
      <c r="G573" s="180"/>
      <c r="H573" s="181"/>
      <c r="I573" s="181"/>
      <c r="J573" s="180" t="s">
        <v>242</v>
      </c>
      <c r="K573" s="182" t="s">
        <v>240</v>
      </c>
      <c r="R573" s="163"/>
      <c r="S573" s="163"/>
    </row>
    <row r="574">
      <c r="A574" s="179">
        <f t="shared" si="2"/>
        <v>573</v>
      </c>
      <c r="B574" s="180"/>
      <c r="C574" s="180"/>
      <c r="D574" s="180"/>
      <c r="E574" s="180"/>
      <c r="F574" s="180"/>
      <c r="G574" s="180"/>
      <c r="H574" s="181"/>
      <c r="I574" s="181"/>
      <c r="J574" s="180" t="s">
        <v>242</v>
      </c>
      <c r="K574" s="182" t="s">
        <v>240</v>
      </c>
      <c r="R574" s="163"/>
      <c r="S574" s="163"/>
    </row>
    <row r="575">
      <c r="A575" s="179">
        <f t="shared" si="2"/>
        <v>574</v>
      </c>
      <c r="B575" s="180"/>
      <c r="C575" s="180"/>
      <c r="D575" s="180"/>
      <c r="E575" s="180"/>
      <c r="F575" s="180"/>
      <c r="G575" s="180"/>
      <c r="H575" s="181"/>
      <c r="I575" s="181"/>
      <c r="J575" s="180" t="s">
        <v>242</v>
      </c>
      <c r="K575" s="182" t="s">
        <v>240</v>
      </c>
      <c r="R575" s="163"/>
      <c r="S575" s="163"/>
    </row>
    <row r="576">
      <c r="A576" s="179">
        <f t="shared" si="2"/>
        <v>575</v>
      </c>
      <c r="B576" s="180"/>
      <c r="C576" s="180" t="s">
        <v>208</v>
      </c>
      <c r="D576" s="180" t="s">
        <v>208</v>
      </c>
      <c r="E576" s="180" t="s">
        <v>208</v>
      </c>
      <c r="F576" s="180" t="s">
        <v>208</v>
      </c>
      <c r="G576" s="180" t="s">
        <v>208</v>
      </c>
      <c r="H576" s="181"/>
      <c r="I576" s="181"/>
      <c r="J576" s="181"/>
      <c r="K576" s="182" t="s">
        <v>240</v>
      </c>
      <c r="R576" s="173"/>
      <c r="S576" s="173"/>
    </row>
    <row r="577">
      <c r="A577" s="179">
        <f t="shared" si="2"/>
        <v>576</v>
      </c>
      <c r="B577" s="180"/>
      <c r="C577" s="180" t="s">
        <v>208</v>
      </c>
      <c r="D577" s="180" t="s">
        <v>208</v>
      </c>
      <c r="E577" s="180" t="s">
        <v>208</v>
      </c>
      <c r="F577" s="180" t="s">
        <v>208</v>
      </c>
      <c r="G577" s="180" t="s">
        <v>208</v>
      </c>
      <c r="H577" s="181"/>
      <c r="I577" s="181"/>
      <c r="J577" s="181"/>
      <c r="K577" s="182" t="s">
        <v>240</v>
      </c>
      <c r="R577" s="157"/>
      <c r="S577" s="157"/>
    </row>
    <row r="578">
      <c r="A578" s="179">
        <f t="shared" si="2"/>
        <v>577</v>
      </c>
      <c r="B578" s="180"/>
      <c r="C578" s="180" t="s">
        <v>208</v>
      </c>
      <c r="D578" s="180" t="s">
        <v>208</v>
      </c>
      <c r="E578" s="180" t="s">
        <v>208</v>
      </c>
      <c r="F578" s="180" t="s">
        <v>208</v>
      </c>
      <c r="G578" s="180" t="s">
        <v>208</v>
      </c>
      <c r="H578" s="181"/>
      <c r="I578" s="181"/>
      <c r="J578" s="181"/>
      <c r="K578" s="182" t="s">
        <v>240</v>
      </c>
      <c r="R578" s="163"/>
      <c r="S578" s="163"/>
    </row>
    <row r="579">
      <c r="A579" s="179">
        <f t="shared" si="2"/>
        <v>578</v>
      </c>
      <c r="B579" s="180"/>
      <c r="C579" s="180" t="s">
        <v>208</v>
      </c>
      <c r="D579" s="180" t="s">
        <v>208</v>
      </c>
      <c r="E579" s="180" t="s">
        <v>208</v>
      </c>
      <c r="F579" s="180" t="s">
        <v>208</v>
      </c>
      <c r="G579" s="180" t="s">
        <v>208</v>
      </c>
      <c r="H579" s="181"/>
      <c r="I579" s="181"/>
      <c r="J579" s="181"/>
      <c r="K579" s="182" t="s">
        <v>240</v>
      </c>
      <c r="R579" s="163"/>
      <c r="S579" s="163"/>
    </row>
    <row r="580">
      <c r="A580" s="179">
        <f t="shared" si="2"/>
        <v>579</v>
      </c>
      <c r="B580" s="180"/>
      <c r="C580" s="180" t="s">
        <v>208</v>
      </c>
      <c r="D580" s="180" t="s">
        <v>208</v>
      </c>
      <c r="E580" s="180" t="s">
        <v>208</v>
      </c>
      <c r="F580" s="180" t="s">
        <v>208</v>
      </c>
      <c r="G580" s="180" t="s">
        <v>208</v>
      </c>
      <c r="H580" s="181"/>
      <c r="I580" s="181"/>
      <c r="J580" s="181"/>
      <c r="K580" s="182" t="s">
        <v>240</v>
      </c>
      <c r="R580" s="163"/>
      <c r="S580" s="163"/>
    </row>
    <row r="581">
      <c r="A581" s="179">
        <f t="shared" si="2"/>
        <v>580</v>
      </c>
      <c r="B581" s="180"/>
      <c r="C581" s="180" t="s">
        <v>208</v>
      </c>
      <c r="D581" s="180" t="s">
        <v>208</v>
      </c>
      <c r="E581" s="180" t="s">
        <v>208</v>
      </c>
      <c r="F581" s="180" t="s">
        <v>208</v>
      </c>
      <c r="G581" s="180" t="s">
        <v>208</v>
      </c>
      <c r="H581" s="181"/>
      <c r="I581" s="181"/>
      <c r="J581" s="180"/>
      <c r="K581" s="182" t="s">
        <v>240</v>
      </c>
      <c r="R581" s="163"/>
      <c r="S581" s="163"/>
    </row>
    <row r="582">
      <c r="A582" s="179">
        <f t="shared" si="2"/>
        <v>581</v>
      </c>
      <c r="B582" s="180"/>
      <c r="C582" s="180" t="s">
        <v>208</v>
      </c>
      <c r="D582" s="180" t="s">
        <v>208</v>
      </c>
      <c r="E582" s="180" t="s">
        <v>208</v>
      </c>
      <c r="F582" s="180" t="s">
        <v>208</v>
      </c>
      <c r="G582" s="180" t="s">
        <v>208</v>
      </c>
      <c r="H582" s="181"/>
      <c r="I582" s="181"/>
      <c r="J582" s="180"/>
      <c r="K582" s="182" t="s">
        <v>240</v>
      </c>
      <c r="R582" s="163"/>
      <c r="S582" s="163"/>
    </row>
    <row r="583">
      <c r="A583" s="179">
        <f t="shared" si="2"/>
        <v>582</v>
      </c>
      <c r="B583" s="180"/>
      <c r="C583" s="180" t="s">
        <v>208</v>
      </c>
      <c r="D583" s="180" t="s">
        <v>208</v>
      </c>
      <c r="E583" s="180" t="s">
        <v>208</v>
      </c>
      <c r="F583" s="180" t="s">
        <v>208</v>
      </c>
      <c r="G583" s="180" t="s">
        <v>208</v>
      </c>
      <c r="H583" s="181"/>
      <c r="I583" s="181"/>
      <c r="J583" s="180"/>
      <c r="K583" s="182" t="s">
        <v>240</v>
      </c>
      <c r="R583" s="163"/>
      <c r="S583" s="163"/>
    </row>
    <row r="584">
      <c r="A584" s="179">
        <f t="shared" si="2"/>
        <v>583</v>
      </c>
      <c r="B584" s="180"/>
      <c r="C584" s="180"/>
      <c r="D584" s="180" t="s">
        <v>208</v>
      </c>
      <c r="E584" s="180" t="s">
        <v>208</v>
      </c>
      <c r="F584" s="180" t="s">
        <v>208</v>
      </c>
      <c r="G584" s="180"/>
      <c r="H584" s="180" t="s">
        <v>208</v>
      </c>
      <c r="I584" s="181"/>
      <c r="J584" s="181"/>
      <c r="K584" s="182" t="s">
        <v>240</v>
      </c>
      <c r="R584" s="163"/>
      <c r="S584" s="163"/>
    </row>
    <row r="585">
      <c r="A585" s="179">
        <f t="shared" si="2"/>
        <v>584</v>
      </c>
      <c r="B585" s="180"/>
      <c r="C585" s="180" t="s">
        <v>208</v>
      </c>
      <c r="D585" s="180" t="s">
        <v>208</v>
      </c>
      <c r="E585" s="180" t="s">
        <v>208</v>
      </c>
      <c r="F585" s="180" t="s">
        <v>208</v>
      </c>
      <c r="G585" s="180" t="s">
        <v>208</v>
      </c>
      <c r="H585" s="181"/>
      <c r="I585" s="181"/>
      <c r="J585" s="180"/>
      <c r="K585" s="182" t="s">
        <v>240</v>
      </c>
      <c r="R585" s="163"/>
      <c r="S585" s="163"/>
    </row>
    <row r="586">
      <c r="A586" s="179">
        <f t="shared" si="2"/>
        <v>585</v>
      </c>
      <c r="B586" s="180"/>
      <c r="C586" s="180" t="s">
        <v>208</v>
      </c>
      <c r="D586" s="180" t="s">
        <v>208</v>
      </c>
      <c r="E586" s="180" t="s">
        <v>208</v>
      </c>
      <c r="F586" s="180" t="s">
        <v>208</v>
      </c>
      <c r="G586" s="180" t="s">
        <v>208</v>
      </c>
      <c r="H586" s="181"/>
      <c r="I586" s="181"/>
      <c r="J586" s="180"/>
      <c r="K586" s="182" t="s">
        <v>240</v>
      </c>
      <c r="R586" s="163"/>
      <c r="S586" s="163"/>
    </row>
    <row r="587">
      <c r="A587" s="179">
        <f t="shared" si="2"/>
        <v>586</v>
      </c>
      <c r="B587" s="180"/>
      <c r="C587" s="180" t="s">
        <v>208</v>
      </c>
      <c r="D587" s="180" t="s">
        <v>208</v>
      </c>
      <c r="E587" s="180" t="s">
        <v>208</v>
      </c>
      <c r="F587" s="180" t="s">
        <v>208</v>
      </c>
      <c r="G587" s="180" t="s">
        <v>208</v>
      </c>
      <c r="H587" s="181"/>
      <c r="I587" s="181"/>
      <c r="J587" s="180"/>
      <c r="K587" s="182" t="s">
        <v>240</v>
      </c>
      <c r="R587" s="163"/>
      <c r="S587" s="163"/>
    </row>
    <row r="588">
      <c r="A588" s="179">
        <f t="shared" si="2"/>
        <v>587</v>
      </c>
      <c r="B588" s="180"/>
      <c r="C588" s="180" t="s">
        <v>208</v>
      </c>
      <c r="D588" s="180" t="s">
        <v>208</v>
      </c>
      <c r="E588" s="180" t="s">
        <v>208</v>
      </c>
      <c r="F588" s="180" t="s">
        <v>208</v>
      </c>
      <c r="G588" s="180" t="s">
        <v>208</v>
      </c>
      <c r="H588" s="181"/>
      <c r="I588" s="181"/>
      <c r="J588" s="180"/>
      <c r="K588" s="182" t="s">
        <v>240</v>
      </c>
      <c r="R588" s="173"/>
      <c r="S588" s="173"/>
    </row>
    <row r="589">
      <c r="A589" s="179">
        <f t="shared" si="2"/>
        <v>588</v>
      </c>
      <c r="B589" s="180"/>
      <c r="C589" s="180" t="s">
        <v>208</v>
      </c>
      <c r="D589" s="180" t="s">
        <v>208</v>
      </c>
      <c r="E589" s="180" t="s">
        <v>208</v>
      </c>
      <c r="F589" s="180" t="s">
        <v>208</v>
      </c>
      <c r="G589" s="180" t="s">
        <v>208</v>
      </c>
      <c r="H589" s="181"/>
      <c r="I589" s="181"/>
      <c r="J589" s="180"/>
      <c r="K589" s="182" t="s">
        <v>240</v>
      </c>
      <c r="R589" s="157"/>
      <c r="S589" s="157"/>
    </row>
    <row r="590">
      <c r="A590" s="179">
        <f t="shared" si="2"/>
        <v>589</v>
      </c>
      <c r="B590" s="180"/>
      <c r="C590" s="180" t="s">
        <v>208</v>
      </c>
      <c r="D590" s="180" t="s">
        <v>208</v>
      </c>
      <c r="E590" s="180" t="s">
        <v>208</v>
      </c>
      <c r="F590" s="180" t="s">
        <v>208</v>
      </c>
      <c r="G590" s="180" t="s">
        <v>208</v>
      </c>
      <c r="H590" s="181"/>
      <c r="I590" s="181"/>
      <c r="J590" s="180"/>
      <c r="K590" s="182" t="s">
        <v>240</v>
      </c>
      <c r="R590" s="163"/>
      <c r="S590" s="163"/>
    </row>
    <row r="591">
      <c r="A591" s="179">
        <f t="shared" si="2"/>
        <v>590</v>
      </c>
      <c r="B591" s="180"/>
      <c r="C591" s="180" t="s">
        <v>208</v>
      </c>
      <c r="D591" s="180" t="s">
        <v>208</v>
      </c>
      <c r="E591" s="180" t="s">
        <v>208</v>
      </c>
      <c r="F591" s="180" t="s">
        <v>208</v>
      </c>
      <c r="G591" s="180" t="s">
        <v>208</v>
      </c>
      <c r="H591" s="181"/>
      <c r="I591" s="181"/>
      <c r="J591" s="180"/>
      <c r="K591" s="182" t="s">
        <v>240</v>
      </c>
      <c r="R591" s="163"/>
      <c r="S591" s="163"/>
    </row>
    <row r="592">
      <c r="A592" s="179">
        <f t="shared" si="2"/>
        <v>591</v>
      </c>
      <c r="B592" s="180"/>
      <c r="C592" s="180" t="s">
        <v>208</v>
      </c>
      <c r="D592" s="180" t="s">
        <v>208</v>
      </c>
      <c r="E592" s="180" t="s">
        <v>208</v>
      </c>
      <c r="F592" s="180" t="s">
        <v>208</v>
      </c>
      <c r="G592" s="180" t="s">
        <v>208</v>
      </c>
      <c r="H592" s="181"/>
      <c r="I592" s="181"/>
      <c r="J592" s="180"/>
      <c r="K592" s="182" t="s">
        <v>240</v>
      </c>
      <c r="R592" s="163"/>
      <c r="S592" s="163"/>
    </row>
    <row r="593">
      <c r="A593" s="179">
        <f t="shared" si="2"/>
        <v>592</v>
      </c>
      <c r="B593" s="180"/>
      <c r="C593" s="180" t="s">
        <v>208</v>
      </c>
      <c r="D593" s="180" t="s">
        <v>208</v>
      </c>
      <c r="E593" s="180" t="s">
        <v>208</v>
      </c>
      <c r="F593" s="180" t="s">
        <v>208</v>
      </c>
      <c r="G593" s="180" t="s">
        <v>208</v>
      </c>
      <c r="H593" s="180"/>
      <c r="I593" s="181"/>
      <c r="J593" s="181"/>
      <c r="K593" s="182" t="s">
        <v>240</v>
      </c>
      <c r="R593" s="163"/>
      <c r="S593" s="163"/>
    </row>
    <row r="594">
      <c r="A594" s="179">
        <f t="shared" si="2"/>
        <v>593</v>
      </c>
      <c r="B594" s="180"/>
      <c r="C594" s="180" t="s">
        <v>208</v>
      </c>
      <c r="D594" s="180" t="s">
        <v>208</v>
      </c>
      <c r="E594" s="180" t="s">
        <v>208</v>
      </c>
      <c r="F594" s="180" t="s">
        <v>208</v>
      </c>
      <c r="G594" s="180" t="s">
        <v>208</v>
      </c>
      <c r="H594" s="181"/>
      <c r="I594" s="181"/>
      <c r="J594" s="180"/>
      <c r="K594" s="182" t="s">
        <v>240</v>
      </c>
      <c r="R594" s="163"/>
      <c r="S594" s="163"/>
    </row>
    <row r="595">
      <c r="A595" s="179">
        <f t="shared" si="2"/>
        <v>594</v>
      </c>
      <c r="B595" s="180"/>
      <c r="C595" s="180"/>
      <c r="D595" s="180" t="s">
        <v>208</v>
      </c>
      <c r="E595" s="180" t="s">
        <v>208</v>
      </c>
      <c r="F595" s="180" t="s">
        <v>208</v>
      </c>
      <c r="G595" s="181"/>
      <c r="H595" s="180" t="s">
        <v>208</v>
      </c>
      <c r="I595" s="181"/>
      <c r="J595" s="180"/>
      <c r="K595" s="182" t="s">
        <v>240</v>
      </c>
      <c r="R595" s="163"/>
      <c r="S595" s="163"/>
    </row>
    <row r="596">
      <c r="A596" s="179">
        <f t="shared" si="2"/>
        <v>595</v>
      </c>
      <c r="B596" s="180"/>
      <c r="C596" s="180" t="s">
        <v>208</v>
      </c>
      <c r="D596" s="180" t="s">
        <v>208</v>
      </c>
      <c r="E596" s="180" t="s">
        <v>208</v>
      </c>
      <c r="F596" s="180" t="s">
        <v>208</v>
      </c>
      <c r="G596" s="180" t="s">
        <v>208</v>
      </c>
      <c r="H596" s="181"/>
      <c r="I596" s="181"/>
      <c r="J596" s="180"/>
      <c r="K596" s="182" t="s">
        <v>240</v>
      </c>
      <c r="R596" s="163"/>
      <c r="S596" s="163"/>
    </row>
    <row r="597">
      <c r="A597" s="179">
        <f t="shared" si="2"/>
        <v>596</v>
      </c>
      <c r="B597" s="180"/>
      <c r="C597" s="180" t="s">
        <v>208</v>
      </c>
      <c r="D597" s="180" t="s">
        <v>208</v>
      </c>
      <c r="E597" s="180" t="s">
        <v>208</v>
      </c>
      <c r="F597" s="180" t="s">
        <v>208</v>
      </c>
      <c r="G597" s="180" t="s">
        <v>208</v>
      </c>
      <c r="H597" s="181"/>
      <c r="I597" s="181"/>
      <c r="J597" s="180"/>
      <c r="K597" s="182" t="s">
        <v>240</v>
      </c>
      <c r="R597" s="163"/>
      <c r="S597" s="163"/>
    </row>
    <row r="598">
      <c r="A598" s="179">
        <f t="shared" si="2"/>
        <v>597</v>
      </c>
      <c r="B598" s="180"/>
      <c r="C598" s="180" t="s">
        <v>208</v>
      </c>
      <c r="D598" s="180" t="s">
        <v>208</v>
      </c>
      <c r="E598" s="180" t="s">
        <v>208</v>
      </c>
      <c r="F598" s="180" t="s">
        <v>208</v>
      </c>
      <c r="G598" s="180" t="s">
        <v>208</v>
      </c>
      <c r="H598" s="181"/>
      <c r="I598" s="181"/>
      <c r="J598" s="180"/>
      <c r="K598" s="182" t="s">
        <v>240</v>
      </c>
      <c r="R598" s="163"/>
      <c r="S598" s="163"/>
    </row>
    <row r="599">
      <c r="A599" s="179">
        <f t="shared" si="2"/>
        <v>598</v>
      </c>
      <c r="B599" s="180"/>
      <c r="C599" s="180"/>
      <c r="D599" s="180"/>
      <c r="E599" s="180"/>
      <c r="F599" s="180"/>
      <c r="G599" s="180"/>
      <c r="H599" s="181"/>
      <c r="I599" s="181"/>
      <c r="J599" s="180" t="s">
        <v>242</v>
      </c>
      <c r="K599" s="182" t="s">
        <v>240</v>
      </c>
      <c r="R599" s="163"/>
      <c r="S599" s="163"/>
    </row>
    <row r="600">
      <c r="A600" s="179">
        <f t="shared" si="2"/>
        <v>599</v>
      </c>
      <c r="B600" s="180"/>
      <c r="C600" s="180" t="s">
        <v>208</v>
      </c>
      <c r="D600" s="180" t="s">
        <v>208</v>
      </c>
      <c r="E600" s="180" t="s">
        <v>208</v>
      </c>
      <c r="F600" s="180" t="s">
        <v>208</v>
      </c>
      <c r="G600" s="180" t="s">
        <v>208</v>
      </c>
      <c r="H600" s="181"/>
      <c r="I600" s="181"/>
      <c r="J600" s="181"/>
      <c r="K600" s="182" t="s">
        <v>240</v>
      </c>
      <c r="R600" s="173"/>
      <c r="S600" s="173"/>
    </row>
    <row r="601">
      <c r="A601" s="179">
        <f t="shared" si="2"/>
        <v>600</v>
      </c>
      <c r="B601" s="180"/>
      <c r="C601" s="180" t="s">
        <v>208</v>
      </c>
      <c r="D601" s="180" t="s">
        <v>208</v>
      </c>
      <c r="E601" s="180" t="s">
        <v>208</v>
      </c>
      <c r="F601" s="180" t="s">
        <v>208</v>
      </c>
      <c r="G601" s="180" t="s">
        <v>208</v>
      </c>
      <c r="H601" s="180"/>
      <c r="I601" s="181"/>
      <c r="J601" s="181"/>
      <c r="K601" s="182" t="s">
        <v>240</v>
      </c>
      <c r="R601" s="157"/>
      <c r="S601" s="157"/>
    </row>
    <row r="602">
      <c r="A602" s="179">
        <f t="shared" si="2"/>
        <v>601</v>
      </c>
      <c r="B602" s="180"/>
      <c r="C602" s="180" t="s">
        <v>208</v>
      </c>
      <c r="D602" s="180" t="s">
        <v>208</v>
      </c>
      <c r="E602" s="180" t="s">
        <v>208</v>
      </c>
      <c r="F602" s="180" t="s">
        <v>208</v>
      </c>
      <c r="G602" s="180" t="s">
        <v>208</v>
      </c>
      <c r="H602" s="180"/>
      <c r="I602" s="181"/>
      <c r="J602" s="181"/>
      <c r="K602" s="182" t="s">
        <v>240</v>
      </c>
      <c r="R602" s="163"/>
      <c r="S602" s="163"/>
    </row>
    <row r="603">
      <c r="A603" s="179">
        <f t="shared" si="2"/>
        <v>602</v>
      </c>
      <c r="B603" s="180"/>
      <c r="C603" s="180" t="s">
        <v>208</v>
      </c>
      <c r="D603" s="180" t="s">
        <v>208</v>
      </c>
      <c r="E603" s="180" t="s">
        <v>208</v>
      </c>
      <c r="F603" s="180" t="s">
        <v>208</v>
      </c>
      <c r="G603" s="180" t="s">
        <v>208</v>
      </c>
      <c r="H603" s="180"/>
      <c r="I603" s="181"/>
      <c r="J603" s="181"/>
      <c r="K603" s="182" t="s">
        <v>240</v>
      </c>
      <c r="R603" s="163"/>
      <c r="S603" s="163"/>
    </row>
    <row r="604">
      <c r="A604" s="179">
        <f t="shared" si="2"/>
        <v>603</v>
      </c>
      <c r="B604" s="180"/>
      <c r="C604" s="180" t="s">
        <v>208</v>
      </c>
      <c r="D604" s="180" t="s">
        <v>208</v>
      </c>
      <c r="E604" s="180" t="s">
        <v>208</v>
      </c>
      <c r="F604" s="180" t="s">
        <v>208</v>
      </c>
      <c r="G604" s="180" t="s">
        <v>208</v>
      </c>
      <c r="H604" s="180"/>
      <c r="I604" s="181"/>
      <c r="J604" s="181"/>
      <c r="K604" s="182" t="s">
        <v>240</v>
      </c>
      <c r="R604" s="163"/>
      <c r="S604" s="163"/>
    </row>
    <row r="605">
      <c r="A605" s="179">
        <f t="shared" si="2"/>
        <v>604</v>
      </c>
      <c r="B605" s="180"/>
      <c r="C605" s="180" t="s">
        <v>208</v>
      </c>
      <c r="D605" s="180" t="s">
        <v>208</v>
      </c>
      <c r="E605" s="180" t="s">
        <v>208</v>
      </c>
      <c r="F605" s="180" t="s">
        <v>208</v>
      </c>
      <c r="G605" s="180" t="s">
        <v>208</v>
      </c>
      <c r="H605" s="180"/>
      <c r="I605" s="181"/>
      <c r="J605" s="181"/>
      <c r="K605" s="182" t="s">
        <v>240</v>
      </c>
      <c r="R605" s="163"/>
      <c r="S605" s="163"/>
    </row>
    <row r="606">
      <c r="A606" s="179">
        <f t="shared" si="2"/>
        <v>605</v>
      </c>
      <c r="B606" s="180"/>
      <c r="C606" s="180" t="s">
        <v>208</v>
      </c>
      <c r="D606" s="180" t="s">
        <v>208</v>
      </c>
      <c r="E606" s="180" t="s">
        <v>208</v>
      </c>
      <c r="F606" s="180" t="s">
        <v>208</v>
      </c>
      <c r="G606" s="180" t="s">
        <v>208</v>
      </c>
      <c r="H606" s="181"/>
      <c r="I606" s="181"/>
      <c r="J606" s="181"/>
      <c r="K606" s="182" t="s">
        <v>240</v>
      </c>
      <c r="R606" s="163"/>
      <c r="S606" s="163"/>
    </row>
    <row r="607">
      <c r="A607" s="179">
        <f t="shared" si="2"/>
        <v>606</v>
      </c>
      <c r="B607" s="180"/>
      <c r="C607" s="180" t="s">
        <v>208</v>
      </c>
      <c r="D607" s="180" t="s">
        <v>208</v>
      </c>
      <c r="E607" s="180" t="s">
        <v>208</v>
      </c>
      <c r="F607" s="180" t="s">
        <v>208</v>
      </c>
      <c r="G607" s="180" t="s">
        <v>208</v>
      </c>
      <c r="H607" s="180"/>
      <c r="I607" s="181"/>
      <c r="J607" s="181"/>
      <c r="K607" s="182" t="s">
        <v>240</v>
      </c>
      <c r="R607" s="163"/>
      <c r="S607" s="163"/>
    </row>
    <row r="608">
      <c r="A608" s="179">
        <f t="shared" si="2"/>
        <v>607</v>
      </c>
      <c r="B608" s="180"/>
      <c r="C608" s="180" t="s">
        <v>208</v>
      </c>
      <c r="D608" s="180" t="s">
        <v>208</v>
      </c>
      <c r="E608" s="180" t="s">
        <v>208</v>
      </c>
      <c r="F608" s="180" t="s">
        <v>208</v>
      </c>
      <c r="G608" s="180" t="s">
        <v>208</v>
      </c>
      <c r="H608" s="181"/>
      <c r="I608" s="181"/>
      <c r="J608" s="181"/>
      <c r="K608" s="182" t="s">
        <v>240</v>
      </c>
      <c r="R608" s="163"/>
      <c r="S608" s="163"/>
    </row>
    <row r="609">
      <c r="A609" s="179">
        <f t="shared" si="2"/>
        <v>608</v>
      </c>
      <c r="B609" s="180"/>
      <c r="C609" s="180" t="s">
        <v>208</v>
      </c>
      <c r="D609" s="180" t="s">
        <v>208</v>
      </c>
      <c r="E609" s="180" t="s">
        <v>208</v>
      </c>
      <c r="F609" s="180" t="s">
        <v>208</v>
      </c>
      <c r="G609" s="180" t="s">
        <v>208</v>
      </c>
      <c r="H609" s="180"/>
      <c r="I609" s="181"/>
      <c r="J609" s="181"/>
      <c r="K609" s="182" t="s">
        <v>240</v>
      </c>
      <c r="R609" s="163"/>
      <c r="S609" s="163"/>
    </row>
    <row r="610">
      <c r="A610" s="179">
        <f t="shared" si="2"/>
        <v>609</v>
      </c>
      <c r="B610" s="180"/>
      <c r="C610" s="180" t="s">
        <v>208</v>
      </c>
      <c r="D610" s="180" t="s">
        <v>208</v>
      </c>
      <c r="E610" s="180" t="s">
        <v>208</v>
      </c>
      <c r="F610" s="180" t="s">
        <v>208</v>
      </c>
      <c r="G610" s="180" t="s">
        <v>208</v>
      </c>
      <c r="H610" s="180"/>
      <c r="I610" s="181"/>
      <c r="J610" s="181"/>
      <c r="K610" s="182" t="s">
        <v>240</v>
      </c>
      <c r="R610" s="163"/>
      <c r="S610" s="163"/>
    </row>
    <row r="611">
      <c r="A611" s="179">
        <f t="shared" si="2"/>
        <v>610</v>
      </c>
      <c r="B611" s="180"/>
      <c r="C611" s="180" t="s">
        <v>208</v>
      </c>
      <c r="D611" s="180" t="s">
        <v>208</v>
      </c>
      <c r="E611" s="180" t="s">
        <v>208</v>
      </c>
      <c r="F611" s="180" t="s">
        <v>208</v>
      </c>
      <c r="G611" s="180" t="s">
        <v>208</v>
      </c>
      <c r="H611" s="181"/>
      <c r="I611" s="181"/>
      <c r="J611" s="181"/>
      <c r="K611" s="182" t="s">
        <v>240</v>
      </c>
      <c r="R611" s="163"/>
      <c r="S611" s="163"/>
    </row>
    <row r="612">
      <c r="A612" s="179">
        <f t="shared" si="2"/>
        <v>611</v>
      </c>
      <c r="B612" s="180"/>
      <c r="C612" s="180" t="s">
        <v>208</v>
      </c>
      <c r="D612" s="180" t="s">
        <v>243</v>
      </c>
      <c r="E612" s="180" t="s">
        <v>208</v>
      </c>
      <c r="F612" s="180" t="s">
        <v>208</v>
      </c>
      <c r="G612" s="180" t="s">
        <v>208</v>
      </c>
      <c r="H612" s="181"/>
      <c r="I612" s="181"/>
      <c r="J612" s="181"/>
      <c r="K612" s="182" t="s">
        <v>240</v>
      </c>
      <c r="R612" s="173"/>
      <c r="S612" s="173"/>
    </row>
    <row r="613">
      <c r="A613" s="179">
        <f t="shared" si="2"/>
        <v>612</v>
      </c>
      <c r="B613" s="180"/>
      <c r="C613" s="180" t="s">
        <v>208</v>
      </c>
      <c r="D613" s="180" t="s">
        <v>208</v>
      </c>
      <c r="E613" s="180" t="s">
        <v>208</v>
      </c>
      <c r="F613" s="180" t="s">
        <v>208</v>
      </c>
      <c r="G613" s="180" t="s">
        <v>208</v>
      </c>
      <c r="H613" s="181"/>
      <c r="I613" s="181"/>
      <c r="J613" s="181"/>
      <c r="K613" s="182" t="s">
        <v>240</v>
      </c>
      <c r="R613" s="157"/>
      <c r="S613" s="157"/>
    </row>
    <row r="614">
      <c r="A614" s="179">
        <f t="shared" si="2"/>
        <v>613</v>
      </c>
      <c r="B614" s="180"/>
      <c r="C614" s="180"/>
      <c r="D614" s="180"/>
      <c r="E614" s="180"/>
      <c r="F614" s="180"/>
      <c r="G614" s="180"/>
      <c r="H614" s="181"/>
      <c r="I614" s="181"/>
      <c r="J614" s="180" t="s">
        <v>242</v>
      </c>
      <c r="K614" s="182" t="s">
        <v>240</v>
      </c>
      <c r="R614" s="163"/>
      <c r="S614" s="163"/>
    </row>
    <row r="615">
      <c r="A615" s="179">
        <f t="shared" si="2"/>
        <v>614</v>
      </c>
      <c r="B615" s="180"/>
      <c r="C615" s="180"/>
      <c r="D615" s="180"/>
      <c r="E615" s="180"/>
      <c r="F615" s="180"/>
      <c r="G615" s="180"/>
      <c r="H615" s="180"/>
      <c r="I615" s="181"/>
      <c r="J615" s="180" t="s">
        <v>242</v>
      </c>
      <c r="K615" s="182" t="s">
        <v>240</v>
      </c>
      <c r="R615" s="163"/>
      <c r="S615" s="163"/>
    </row>
    <row r="616">
      <c r="A616" s="179">
        <f t="shared" si="2"/>
        <v>615</v>
      </c>
      <c r="B616" s="180"/>
      <c r="C616" s="180"/>
      <c r="D616" s="180"/>
      <c r="E616" s="180"/>
      <c r="F616" s="180"/>
      <c r="G616" s="180"/>
      <c r="H616" s="181"/>
      <c r="I616" s="181"/>
      <c r="J616" s="180" t="s">
        <v>242</v>
      </c>
      <c r="K616" s="182" t="s">
        <v>240</v>
      </c>
      <c r="R616" s="163"/>
      <c r="S616" s="163"/>
    </row>
    <row r="617">
      <c r="A617" s="179">
        <f t="shared" si="2"/>
        <v>616</v>
      </c>
      <c r="B617" s="180"/>
      <c r="C617" s="180"/>
      <c r="D617" s="180"/>
      <c r="E617" s="180"/>
      <c r="F617" s="180"/>
      <c r="G617" s="180"/>
      <c r="H617" s="185"/>
      <c r="I617" s="181"/>
      <c r="J617" s="180" t="s">
        <v>242</v>
      </c>
      <c r="K617" s="182" t="s">
        <v>240</v>
      </c>
      <c r="R617" s="163"/>
      <c r="S617" s="163"/>
    </row>
    <row r="618">
      <c r="A618" s="179">
        <f t="shared" si="2"/>
        <v>617</v>
      </c>
      <c r="B618" s="180"/>
      <c r="C618" s="180"/>
      <c r="D618" s="180"/>
      <c r="E618" s="180"/>
      <c r="F618" s="180"/>
      <c r="G618" s="180"/>
      <c r="H618" s="185"/>
      <c r="I618" s="181"/>
      <c r="J618" s="180" t="s">
        <v>242</v>
      </c>
      <c r="K618" s="182" t="s">
        <v>240</v>
      </c>
      <c r="R618" s="163"/>
      <c r="S618" s="163"/>
    </row>
    <row r="619">
      <c r="A619" s="179">
        <f t="shared" si="2"/>
        <v>618</v>
      </c>
      <c r="B619" s="180"/>
      <c r="C619" s="180"/>
      <c r="D619" s="180"/>
      <c r="E619" s="180"/>
      <c r="F619" s="180"/>
      <c r="G619" s="180"/>
      <c r="H619" s="185"/>
      <c r="I619" s="181"/>
      <c r="J619" s="180" t="s">
        <v>242</v>
      </c>
      <c r="K619" s="182" t="s">
        <v>240</v>
      </c>
      <c r="R619" s="163"/>
      <c r="S619" s="163"/>
    </row>
    <row r="620">
      <c r="A620" s="179">
        <f t="shared" si="2"/>
        <v>619</v>
      </c>
      <c r="B620" s="180"/>
      <c r="C620" s="180"/>
      <c r="D620" s="180"/>
      <c r="E620" s="180"/>
      <c r="F620" s="180"/>
      <c r="G620" s="180"/>
      <c r="H620" s="185"/>
      <c r="I620" s="181"/>
      <c r="J620" s="180" t="s">
        <v>242</v>
      </c>
      <c r="K620" s="182" t="s">
        <v>240</v>
      </c>
      <c r="R620" s="163"/>
      <c r="S620" s="163"/>
    </row>
    <row r="621">
      <c r="A621" s="179">
        <f t="shared" si="2"/>
        <v>620</v>
      </c>
      <c r="B621" s="181"/>
      <c r="C621" s="180"/>
      <c r="D621" s="180"/>
      <c r="E621" s="180"/>
      <c r="F621" s="180"/>
      <c r="G621" s="180"/>
      <c r="H621" s="181"/>
      <c r="I621" s="181"/>
      <c r="J621" s="180" t="s">
        <v>242</v>
      </c>
      <c r="K621" s="182" t="s">
        <v>240</v>
      </c>
      <c r="R621" s="163"/>
      <c r="S621" s="163"/>
    </row>
    <row r="622">
      <c r="A622" s="179">
        <f t="shared" si="2"/>
        <v>621</v>
      </c>
      <c r="B622" s="180"/>
      <c r="C622" s="180"/>
      <c r="D622" s="180"/>
      <c r="E622" s="180"/>
      <c r="F622" s="180"/>
      <c r="G622" s="180"/>
      <c r="H622" s="181"/>
      <c r="I622" s="181"/>
      <c r="J622" s="180" t="s">
        <v>242</v>
      </c>
      <c r="K622" s="182" t="s">
        <v>240</v>
      </c>
      <c r="R622" s="163"/>
      <c r="S622" s="163"/>
    </row>
    <row r="623">
      <c r="A623" s="179">
        <f t="shared" si="2"/>
        <v>622</v>
      </c>
      <c r="B623" s="180"/>
      <c r="C623" s="180"/>
      <c r="D623" s="180"/>
      <c r="E623" s="180"/>
      <c r="F623" s="180"/>
      <c r="G623" s="180"/>
      <c r="H623" s="181"/>
      <c r="I623" s="181"/>
      <c r="J623" s="180" t="s">
        <v>242</v>
      </c>
      <c r="K623" s="182" t="s">
        <v>240</v>
      </c>
      <c r="R623" s="163"/>
      <c r="S623" s="163"/>
    </row>
    <row r="624">
      <c r="A624" s="179">
        <f t="shared" si="2"/>
        <v>623</v>
      </c>
      <c r="B624" s="180"/>
      <c r="C624" s="180"/>
      <c r="D624" s="180"/>
      <c r="E624" s="180"/>
      <c r="F624" s="180"/>
      <c r="G624" s="180"/>
      <c r="H624" s="181"/>
      <c r="I624" s="181"/>
      <c r="J624" s="180" t="s">
        <v>242</v>
      </c>
      <c r="K624" s="182" t="s">
        <v>240</v>
      </c>
      <c r="R624" s="173"/>
      <c r="S624" s="173"/>
    </row>
    <row r="625">
      <c r="A625" s="179">
        <f t="shared" si="2"/>
        <v>624</v>
      </c>
      <c r="B625" s="180"/>
      <c r="C625" s="180"/>
      <c r="D625" s="180"/>
      <c r="E625" s="180"/>
      <c r="F625" s="180"/>
      <c r="G625" s="180"/>
      <c r="H625" s="181"/>
      <c r="I625" s="181"/>
      <c r="J625" s="180" t="s">
        <v>242</v>
      </c>
      <c r="K625" s="182" t="s">
        <v>240</v>
      </c>
      <c r="R625" s="157"/>
      <c r="S625" s="157"/>
    </row>
    <row r="626">
      <c r="A626" s="179">
        <f t="shared" si="2"/>
        <v>625</v>
      </c>
      <c r="B626" s="181"/>
      <c r="C626" s="180"/>
      <c r="D626" s="180"/>
      <c r="E626" s="180"/>
      <c r="F626" s="180"/>
      <c r="G626" s="180"/>
      <c r="H626" s="181"/>
      <c r="I626" s="181"/>
      <c r="J626" s="180" t="s">
        <v>242</v>
      </c>
      <c r="K626" s="182" t="s">
        <v>240</v>
      </c>
      <c r="R626" s="163"/>
      <c r="S626" s="163"/>
    </row>
    <row r="627">
      <c r="A627" s="179">
        <f t="shared" si="2"/>
        <v>626</v>
      </c>
      <c r="B627" s="181"/>
      <c r="C627" s="180"/>
      <c r="D627" s="180"/>
      <c r="E627" s="180"/>
      <c r="F627" s="180"/>
      <c r="G627" s="180"/>
      <c r="H627" s="181"/>
      <c r="I627" s="181"/>
      <c r="J627" s="180" t="s">
        <v>242</v>
      </c>
      <c r="K627" s="182" t="s">
        <v>240</v>
      </c>
      <c r="R627" s="163"/>
      <c r="S627" s="163"/>
    </row>
    <row r="628">
      <c r="A628" s="179">
        <f t="shared" si="2"/>
        <v>627</v>
      </c>
      <c r="B628" s="181"/>
      <c r="C628" s="180"/>
      <c r="D628" s="180"/>
      <c r="E628" s="180"/>
      <c r="F628" s="180"/>
      <c r="G628" s="180"/>
      <c r="H628" s="181"/>
      <c r="I628" s="181"/>
      <c r="J628" s="180" t="s">
        <v>242</v>
      </c>
      <c r="K628" s="182" t="s">
        <v>240</v>
      </c>
      <c r="R628" s="163"/>
      <c r="S628" s="163"/>
    </row>
    <row r="629">
      <c r="A629" s="179">
        <f t="shared" si="2"/>
        <v>628</v>
      </c>
      <c r="B629" s="181"/>
      <c r="C629" s="180"/>
      <c r="D629" s="180"/>
      <c r="E629" s="180"/>
      <c r="F629" s="180"/>
      <c r="G629" s="180"/>
      <c r="H629" s="180"/>
      <c r="I629" s="181"/>
      <c r="J629" s="180" t="s">
        <v>242</v>
      </c>
      <c r="K629" s="182" t="s">
        <v>240</v>
      </c>
      <c r="R629" s="163"/>
      <c r="S629" s="163"/>
    </row>
    <row r="630">
      <c r="A630" s="179">
        <f t="shared" si="2"/>
        <v>629</v>
      </c>
      <c r="B630" s="180"/>
      <c r="C630" s="180"/>
      <c r="D630" s="180"/>
      <c r="E630" s="180"/>
      <c r="F630" s="180"/>
      <c r="G630" s="180"/>
      <c r="H630" s="180"/>
      <c r="I630" s="181"/>
      <c r="J630" s="180" t="s">
        <v>242</v>
      </c>
      <c r="K630" s="182" t="s">
        <v>240</v>
      </c>
      <c r="R630" s="163"/>
      <c r="S630" s="163"/>
    </row>
    <row r="631">
      <c r="A631" s="179">
        <f t="shared" si="2"/>
        <v>630</v>
      </c>
      <c r="B631" s="180"/>
      <c r="C631" s="180"/>
      <c r="D631" s="180"/>
      <c r="E631" s="180"/>
      <c r="F631" s="180"/>
      <c r="G631" s="180"/>
      <c r="H631" s="180"/>
      <c r="I631" s="181"/>
      <c r="J631" s="180" t="s">
        <v>242</v>
      </c>
      <c r="K631" s="182" t="s">
        <v>240</v>
      </c>
      <c r="R631" s="163"/>
      <c r="S631" s="163"/>
    </row>
    <row r="632">
      <c r="A632" s="179">
        <f t="shared" si="2"/>
        <v>631</v>
      </c>
      <c r="B632" s="180"/>
      <c r="C632" s="180"/>
      <c r="D632" s="180"/>
      <c r="E632" s="180"/>
      <c r="F632" s="180"/>
      <c r="G632" s="180"/>
      <c r="H632" s="185"/>
      <c r="I632" s="181"/>
      <c r="J632" s="180" t="s">
        <v>242</v>
      </c>
      <c r="K632" s="182" t="s">
        <v>240</v>
      </c>
      <c r="R632" s="163"/>
      <c r="S632" s="163"/>
    </row>
    <row r="633">
      <c r="A633" s="179">
        <f t="shared" si="2"/>
        <v>632</v>
      </c>
      <c r="B633" s="180"/>
      <c r="C633" s="180"/>
      <c r="D633" s="180"/>
      <c r="E633" s="180"/>
      <c r="F633" s="180"/>
      <c r="G633" s="180"/>
      <c r="H633" s="185"/>
      <c r="I633" s="181"/>
      <c r="J633" s="180" t="s">
        <v>242</v>
      </c>
      <c r="K633" s="182" t="s">
        <v>240</v>
      </c>
      <c r="R633" s="163"/>
      <c r="S633" s="163"/>
    </row>
    <row r="634">
      <c r="A634" s="179">
        <f t="shared" si="2"/>
        <v>633</v>
      </c>
      <c r="B634" s="180"/>
      <c r="C634" s="180"/>
      <c r="D634" s="180"/>
      <c r="E634" s="180"/>
      <c r="F634" s="180"/>
      <c r="G634" s="180"/>
      <c r="H634" s="180"/>
      <c r="I634" s="181"/>
      <c r="J634" s="180" t="s">
        <v>242</v>
      </c>
      <c r="K634" s="182" t="s">
        <v>240</v>
      </c>
      <c r="R634" s="163"/>
      <c r="S634" s="163"/>
    </row>
    <row r="635">
      <c r="A635" s="179">
        <f t="shared" si="2"/>
        <v>634</v>
      </c>
      <c r="B635" s="180"/>
      <c r="C635" s="180" t="s">
        <v>208</v>
      </c>
      <c r="D635" s="180" t="s">
        <v>208</v>
      </c>
      <c r="E635" s="180" t="s">
        <v>208</v>
      </c>
      <c r="F635" s="180" t="s">
        <v>208</v>
      </c>
      <c r="G635" s="180" t="s">
        <v>208</v>
      </c>
      <c r="H635" s="181"/>
      <c r="I635" s="181"/>
      <c r="J635" s="181"/>
      <c r="K635" s="182" t="s">
        <v>240</v>
      </c>
      <c r="R635" s="163"/>
      <c r="S635" s="163"/>
    </row>
    <row r="636">
      <c r="A636" s="179">
        <f t="shared" si="2"/>
        <v>635</v>
      </c>
      <c r="B636" s="180"/>
      <c r="C636" s="180" t="s">
        <v>208</v>
      </c>
      <c r="D636" s="180" t="s">
        <v>208</v>
      </c>
      <c r="E636" s="180" t="s">
        <v>208</v>
      </c>
      <c r="F636" s="180" t="s">
        <v>208</v>
      </c>
      <c r="G636" s="180" t="s">
        <v>208</v>
      </c>
      <c r="H636" s="181"/>
      <c r="I636" s="181"/>
      <c r="J636" s="180"/>
      <c r="K636" s="182" t="s">
        <v>240</v>
      </c>
      <c r="R636" s="173"/>
      <c r="S636" s="173"/>
    </row>
    <row r="637">
      <c r="A637" s="179">
        <f t="shared" si="2"/>
        <v>636</v>
      </c>
      <c r="B637" s="180"/>
      <c r="C637" s="180" t="s">
        <v>208</v>
      </c>
      <c r="D637" s="180" t="s">
        <v>208</v>
      </c>
      <c r="E637" s="180" t="s">
        <v>208</v>
      </c>
      <c r="F637" s="180" t="s">
        <v>208</v>
      </c>
      <c r="G637" s="180" t="s">
        <v>208</v>
      </c>
      <c r="H637" s="181"/>
      <c r="I637" s="181"/>
      <c r="J637" s="181"/>
      <c r="K637" s="182" t="s">
        <v>240</v>
      </c>
      <c r="R637" s="157"/>
      <c r="S637" s="157"/>
    </row>
    <row r="638">
      <c r="A638" s="179">
        <f t="shared" si="2"/>
        <v>637</v>
      </c>
      <c r="B638" s="180"/>
      <c r="C638" s="180" t="s">
        <v>208</v>
      </c>
      <c r="D638" s="180" t="s">
        <v>208</v>
      </c>
      <c r="E638" s="180" t="s">
        <v>208</v>
      </c>
      <c r="F638" s="180" t="s">
        <v>208</v>
      </c>
      <c r="G638" s="180" t="s">
        <v>208</v>
      </c>
      <c r="H638" s="181"/>
      <c r="I638" s="181"/>
      <c r="J638" s="181"/>
      <c r="K638" s="182" t="s">
        <v>240</v>
      </c>
      <c r="R638" s="163"/>
      <c r="S638" s="163"/>
    </row>
    <row r="639">
      <c r="A639" s="179">
        <f t="shared" si="2"/>
        <v>638</v>
      </c>
      <c r="B639" s="180"/>
      <c r="C639" s="180" t="s">
        <v>208</v>
      </c>
      <c r="D639" s="180" t="s">
        <v>208</v>
      </c>
      <c r="E639" s="180" t="s">
        <v>208</v>
      </c>
      <c r="F639" s="180" t="s">
        <v>208</v>
      </c>
      <c r="G639" s="180" t="s">
        <v>208</v>
      </c>
      <c r="H639" s="181"/>
      <c r="I639" s="181"/>
      <c r="J639" s="181"/>
      <c r="K639" s="182" t="s">
        <v>240</v>
      </c>
      <c r="R639" s="163"/>
      <c r="S639" s="163"/>
    </row>
    <row r="640">
      <c r="A640" s="179">
        <f t="shared" si="2"/>
        <v>639</v>
      </c>
      <c r="B640" s="180"/>
      <c r="C640" s="180" t="s">
        <v>208</v>
      </c>
      <c r="D640" s="180" t="s">
        <v>208</v>
      </c>
      <c r="E640" s="180" t="s">
        <v>208</v>
      </c>
      <c r="F640" s="180" t="s">
        <v>208</v>
      </c>
      <c r="G640" s="180" t="s">
        <v>208</v>
      </c>
      <c r="H640" s="181"/>
      <c r="I640" s="181"/>
      <c r="J640" s="181"/>
      <c r="K640" s="182" t="s">
        <v>240</v>
      </c>
      <c r="R640" s="163"/>
      <c r="S640" s="163"/>
    </row>
    <row r="641">
      <c r="A641" s="179">
        <f t="shared" si="2"/>
        <v>640</v>
      </c>
      <c r="B641" s="180"/>
      <c r="C641" s="180" t="s">
        <v>208</v>
      </c>
      <c r="D641" s="180" t="s">
        <v>208</v>
      </c>
      <c r="E641" s="180" t="s">
        <v>208</v>
      </c>
      <c r="F641" s="180" t="s">
        <v>208</v>
      </c>
      <c r="G641" s="180" t="s">
        <v>208</v>
      </c>
      <c r="H641" s="181"/>
      <c r="I641" s="181"/>
      <c r="J641" s="181"/>
      <c r="K641" s="182" t="s">
        <v>240</v>
      </c>
      <c r="R641" s="163"/>
      <c r="S641" s="163"/>
    </row>
    <row r="642">
      <c r="A642" s="179">
        <f t="shared" si="2"/>
        <v>641</v>
      </c>
      <c r="B642" s="180"/>
      <c r="C642" s="180" t="s">
        <v>208</v>
      </c>
      <c r="D642" s="180" t="s">
        <v>208</v>
      </c>
      <c r="E642" s="180" t="s">
        <v>208</v>
      </c>
      <c r="F642" s="180" t="s">
        <v>208</v>
      </c>
      <c r="G642" s="180" t="s">
        <v>208</v>
      </c>
      <c r="H642" s="180"/>
      <c r="I642" s="181"/>
      <c r="J642" s="181"/>
      <c r="K642" s="182" t="s">
        <v>240</v>
      </c>
      <c r="R642" s="163"/>
      <c r="S642" s="163"/>
    </row>
    <row r="643">
      <c r="A643" s="179">
        <f t="shared" si="2"/>
        <v>642</v>
      </c>
      <c r="B643" s="180"/>
      <c r="C643" s="180" t="s">
        <v>208</v>
      </c>
      <c r="D643" s="180" t="s">
        <v>208</v>
      </c>
      <c r="E643" s="180" t="s">
        <v>208</v>
      </c>
      <c r="F643" s="180" t="s">
        <v>208</v>
      </c>
      <c r="G643" s="180" t="s">
        <v>208</v>
      </c>
      <c r="H643" s="181"/>
      <c r="I643" s="181"/>
      <c r="J643" s="180"/>
      <c r="K643" s="182" t="s">
        <v>240</v>
      </c>
      <c r="R643" s="163"/>
      <c r="S643" s="163"/>
    </row>
    <row r="644">
      <c r="A644" s="179">
        <f t="shared" si="2"/>
        <v>643</v>
      </c>
      <c r="B644" s="180"/>
      <c r="C644" s="180" t="s">
        <v>208</v>
      </c>
      <c r="D644" s="180" t="s">
        <v>208</v>
      </c>
      <c r="E644" s="180" t="s">
        <v>208</v>
      </c>
      <c r="F644" s="180" t="s">
        <v>208</v>
      </c>
      <c r="G644" s="180" t="s">
        <v>208</v>
      </c>
      <c r="H644" s="180"/>
      <c r="I644" s="181"/>
      <c r="J644" s="181"/>
      <c r="K644" s="182" t="s">
        <v>240</v>
      </c>
      <c r="R644" s="163"/>
      <c r="S644" s="163"/>
    </row>
    <row r="645">
      <c r="A645" s="179">
        <f t="shared" si="2"/>
        <v>644</v>
      </c>
      <c r="B645" s="180"/>
      <c r="C645" s="180" t="s">
        <v>208</v>
      </c>
      <c r="D645" s="180" t="s">
        <v>208</v>
      </c>
      <c r="E645" s="180" t="s">
        <v>208</v>
      </c>
      <c r="F645" s="180" t="s">
        <v>208</v>
      </c>
      <c r="G645" s="180" t="s">
        <v>208</v>
      </c>
      <c r="H645" s="180"/>
      <c r="I645" s="181"/>
      <c r="J645" s="181"/>
      <c r="K645" s="182" t="s">
        <v>240</v>
      </c>
      <c r="R645" s="163"/>
      <c r="S645" s="163"/>
    </row>
    <row r="646">
      <c r="A646" s="179">
        <f t="shared" si="2"/>
        <v>645</v>
      </c>
      <c r="B646" s="180"/>
      <c r="C646" s="180" t="s">
        <v>208</v>
      </c>
      <c r="D646" s="180" t="s">
        <v>208</v>
      </c>
      <c r="E646" s="180" t="s">
        <v>208</v>
      </c>
      <c r="F646" s="180" t="s">
        <v>208</v>
      </c>
      <c r="G646" s="180" t="s">
        <v>208</v>
      </c>
      <c r="H646" s="181"/>
      <c r="I646" s="181"/>
      <c r="J646" s="181"/>
      <c r="K646" s="182" t="s">
        <v>240</v>
      </c>
      <c r="R646" s="163"/>
      <c r="S646" s="163"/>
    </row>
    <row r="647">
      <c r="A647" s="179">
        <f t="shared" si="2"/>
        <v>646</v>
      </c>
      <c r="B647" s="180"/>
      <c r="C647" s="180" t="s">
        <v>208</v>
      </c>
      <c r="D647" s="180" t="s">
        <v>208</v>
      </c>
      <c r="E647" s="180" t="s">
        <v>208</v>
      </c>
      <c r="F647" s="180" t="s">
        <v>208</v>
      </c>
      <c r="G647" s="180" t="s">
        <v>208</v>
      </c>
      <c r="H647" s="181"/>
      <c r="I647" s="181"/>
      <c r="J647" s="181"/>
      <c r="K647" s="182" t="s">
        <v>240</v>
      </c>
      <c r="R647" s="163"/>
      <c r="S647" s="163"/>
    </row>
    <row r="648">
      <c r="A648" s="179">
        <f t="shared" si="2"/>
        <v>647</v>
      </c>
      <c r="B648" s="180"/>
      <c r="C648" s="180" t="s">
        <v>208</v>
      </c>
      <c r="D648" s="180" t="s">
        <v>208</v>
      </c>
      <c r="E648" s="180" t="s">
        <v>208</v>
      </c>
      <c r="F648" s="180" t="s">
        <v>208</v>
      </c>
      <c r="G648" s="180" t="s">
        <v>208</v>
      </c>
      <c r="H648" s="181"/>
      <c r="I648" s="181"/>
      <c r="J648" s="181"/>
      <c r="K648" s="182" t="s">
        <v>240</v>
      </c>
      <c r="R648" s="173"/>
      <c r="S648" s="173"/>
    </row>
    <row r="649">
      <c r="A649" s="179">
        <f t="shared" si="2"/>
        <v>648</v>
      </c>
      <c r="B649" s="180"/>
      <c r="C649" s="180" t="s">
        <v>208</v>
      </c>
      <c r="D649" s="180" t="s">
        <v>208</v>
      </c>
      <c r="E649" s="180" t="s">
        <v>208</v>
      </c>
      <c r="F649" s="180" t="s">
        <v>208</v>
      </c>
      <c r="G649" s="180" t="s">
        <v>208</v>
      </c>
      <c r="H649" s="181"/>
      <c r="I649" s="181"/>
      <c r="J649" s="181"/>
      <c r="K649" s="182" t="s">
        <v>240</v>
      </c>
      <c r="R649" s="157"/>
      <c r="S649" s="157"/>
    </row>
    <row r="650">
      <c r="A650" s="179">
        <f t="shared" si="2"/>
        <v>649</v>
      </c>
      <c r="B650" s="180"/>
      <c r="C650" s="180" t="s">
        <v>208</v>
      </c>
      <c r="D650" s="180" t="s">
        <v>208</v>
      </c>
      <c r="E650" s="180" t="s">
        <v>208</v>
      </c>
      <c r="F650" s="180" t="s">
        <v>208</v>
      </c>
      <c r="G650" s="180" t="s">
        <v>208</v>
      </c>
      <c r="H650" s="180"/>
      <c r="I650" s="181"/>
      <c r="J650" s="181"/>
      <c r="K650" s="182" t="s">
        <v>240</v>
      </c>
      <c r="R650" s="163"/>
      <c r="S650" s="163"/>
    </row>
    <row r="651">
      <c r="A651" s="179">
        <f t="shared" si="2"/>
        <v>650</v>
      </c>
      <c r="B651" s="180"/>
      <c r="C651" s="180" t="s">
        <v>208</v>
      </c>
      <c r="D651" s="180" t="s">
        <v>208</v>
      </c>
      <c r="E651" s="180" t="s">
        <v>208</v>
      </c>
      <c r="F651" s="180" t="s">
        <v>208</v>
      </c>
      <c r="G651" s="180" t="s">
        <v>208</v>
      </c>
      <c r="H651" s="181"/>
      <c r="I651" s="181"/>
      <c r="J651" s="181"/>
      <c r="K651" s="182" t="s">
        <v>240</v>
      </c>
      <c r="R651" s="163"/>
      <c r="S651" s="163"/>
    </row>
    <row r="652">
      <c r="A652" s="179">
        <f t="shared" si="2"/>
        <v>651</v>
      </c>
      <c r="B652" s="180"/>
      <c r="C652" s="180" t="s">
        <v>208</v>
      </c>
      <c r="D652" s="180" t="s">
        <v>208</v>
      </c>
      <c r="E652" s="180" t="s">
        <v>208</v>
      </c>
      <c r="F652" s="180" t="s">
        <v>208</v>
      </c>
      <c r="G652" s="180" t="s">
        <v>208</v>
      </c>
      <c r="H652" s="181"/>
      <c r="I652" s="181"/>
      <c r="J652" s="181"/>
      <c r="K652" s="182" t="s">
        <v>240</v>
      </c>
      <c r="R652" s="163"/>
      <c r="S652" s="163"/>
    </row>
    <row r="653">
      <c r="A653" s="179">
        <f t="shared" si="2"/>
        <v>652</v>
      </c>
      <c r="B653" s="180"/>
      <c r="C653" s="180" t="s">
        <v>208</v>
      </c>
      <c r="D653" s="180" t="s">
        <v>208</v>
      </c>
      <c r="E653" s="180" t="s">
        <v>208</v>
      </c>
      <c r="F653" s="180" t="s">
        <v>208</v>
      </c>
      <c r="G653" s="180" t="s">
        <v>208</v>
      </c>
      <c r="H653" s="181"/>
      <c r="I653" s="181"/>
      <c r="J653" s="181"/>
      <c r="K653" s="182" t="s">
        <v>240</v>
      </c>
      <c r="R653" s="163"/>
      <c r="S653" s="163"/>
    </row>
    <row r="654">
      <c r="A654" s="179">
        <f t="shared" si="2"/>
        <v>653</v>
      </c>
      <c r="B654" s="180"/>
      <c r="C654" s="180" t="s">
        <v>208</v>
      </c>
      <c r="D654" s="180" t="s">
        <v>208</v>
      </c>
      <c r="E654" s="180" t="s">
        <v>208</v>
      </c>
      <c r="F654" s="180" t="s">
        <v>208</v>
      </c>
      <c r="G654" s="180" t="s">
        <v>208</v>
      </c>
      <c r="H654" s="181"/>
      <c r="I654" s="181"/>
      <c r="J654" s="181"/>
      <c r="K654" s="182" t="s">
        <v>240</v>
      </c>
      <c r="R654" s="163"/>
      <c r="S654" s="163"/>
    </row>
    <row r="655">
      <c r="A655" s="179">
        <f t="shared" si="2"/>
        <v>654</v>
      </c>
      <c r="B655" s="180"/>
      <c r="C655" s="180" t="s">
        <v>208</v>
      </c>
      <c r="D655" s="180" t="s">
        <v>208</v>
      </c>
      <c r="E655" s="180" t="s">
        <v>208</v>
      </c>
      <c r="F655" s="180" t="s">
        <v>208</v>
      </c>
      <c r="G655" s="180" t="s">
        <v>208</v>
      </c>
      <c r="H655" s="181"/>
      <c r="I655" s="181"/>
      <c r="J655" s="181"/>
      <c r="K655" s="182" t="s">
        <v>240</v>
      </c>
      <c r="R655" s="163"/>
      <c r="S655" s="163"/>
    </row>
    <row r="656">
      <c r="A656" s="179">
        <f t="shared" si="2"/>
        <v>655</v>
      </c>
      <c r="B656" s="180"/>
      <c r="C656" s="180" t="s">
        <v>208</v>
      </c>
      <c r="D656" s="180" t="s">
        <v>208</v>
      </c>
      <c r="E656" s="180" t="s">
        <v>208</v>
      </c>
      <c r="F656" s="180" t="s">
        <v>208</v>
      </c>
      <c r="G656" s="180" t="s">
        <v>208</v>
      </c>
      <c r="H656" s="181"/>
      <c r="I656" s="181"/>
      <c r="J656" s="181"/>
      <c r="K656" s="182" t="s">
        <v>240</v>
      </c>
      <c r="R656" s="163"/>
      <c r="S656" s="163"/>
    </row>
    <row r="657">
      <c r="A657" s="179">
        <f t="shared" si="2"/>
        <v>656</v>
      </c>
      <c r="B657" s="180"/>
      <c r="C657" s="180" t="s">
        <v>208</v>
      </c>
      <c r="D657" s="180" t="s">
        <v>208</v>
      </c>
      <c r="E657" s="180" t="s">
        <v>208</v>
      </c>
      <c r="F657" s="180" t="s">
        <v>208</v>
      </c>
      <c r="G657" s="180" t="s">
        <v>208</v>
      </c>
      <c r="H657" s="181"/>
      <c r="I657" s="181"/>
      <c r="J657" s="181"/>
      <c r="K657" s="182" t="s">
        <v>240</v>
      </c>
      <c r="R657" s="163"/>
      <c r="S657" s="163"/>
    </row>
    <row r="658">
      <c r="A658" s="179">
        <f t="shared" si="2"/>
        <v>657</v>
      </c>
      <c r="B658" s="180"/>
      <c r="C658" s="180" t="s">
        <v>208</v>
      </c>
      <c r="D658" s="180" t="s">
        <v>208</v>
      </c>
      <c r="E658" s="180" t="s">
        <v>208</v>
      </c>
      <c r="F658" s="180" t="s">
        <v>208</v>
      </c>
      <c r="G658" s="180" t="s">
        <v>208</v>
      </c>
      <c r="H658" s="185"/>
      <c r="I658" s="181"/>
      <c r="J658" s="181"/>
      <c r="K658" s="182" t="s">
        <v>240</v>
      </c>
      <c r="R658" s="163"/>
      <c r="S658" s="163"/>
    </row>
    <row r="659">
      <c r="A659" s="179">
        <f t="shared" si="2"/>
        <v>658</v>
      </c>
      <c r="B659" s="180"/>
      <c r="C659" s="180" t="s">
        <v>208</v>
      </c>
      <c r="D659" s="180" t="s">
        <v>208</v>
      </c>
      <c r="E659" s="180" t="s">
        <v>208</v>
      </c>
      <c r="F659" s="180" t="s">
        <v>208</v>
      </c>
      <c r="G659" s="180" t="s">
        <v>208</v>
      </c>
      <c r="H659" s="185"/>
      <c r="I659" s="181"/>
      <c r="J659" s="181"/>
      <c r="K659" s="182" t="s">
        <v>240</v>
      </c>
      <c r="R659" s="163"/>
      <c r="S659" s="163"/>
    </row>
    <row r="660">
      <c r="A660" s="179">
        <f t="shared" si="2"/>
        <v>659</v>
      </c>
      <c r="B660" s="180"/>
      <c r="C660" s="180" t="s">
        <v>208</v>
      </c>
      <c r="D660" s="180" t="s">
        <v>208</v>
      </c>
      <c r="E660" s="180" t="s">
        <v>208</v>
      </c>
      <c r="F660" s="180" t="s">
        <v>208</v>
      </c>
      <c r="G660" s="180" t="s">
        <v>208</v>
      </c>
      <c r="H660" s="180"/>
      <c r="I660" s="181"/>
      <c r="J660" s="181"/>
      <c r="K660" s="182" t="s">
        <v>240</v>
      </c>
      <c r="R660" s="173"/>
      <c r="S660" s="173"/>
    </row>
    <row r="661">
      <c r="A661" s="179">
        <f t="shared" si="2"/>
        <v>660</v>
      </c>
      <c r="B661" s="180"/>
      <c r="C661" s="180" t="s">
        <v>208</v>
      </c>
      <c r="D661" s="180" t="s">
        <v>208</v>
      </c>
      <c r="E661" s="180" t="s">
        <v>208</v>
      </c>
      <c r="F661" s="180" t="s">
        <v>208</v>
      </c>
      <c r="G661" s="180" t="s">
        <v>208</v>
      </c>
      <c r="H661" s="185"/>
      <c r="I661" s="181"/>
      <c r="J661" s="180"/>
      <c r="K661" s="182" t="s">
        <v>240</v>
      </c>
      <c r="R661" s="157"/>
      <c r="S661" s="157"/>
    </row>
    <row r="662">
      <c r="A662" s="179">
        <f t="shared" si="2"/>
        <v>661</v>
      </c>
      <c r="B662" s="180"/>
      <c r="C662" s="180" t="s">
        <v>208</v>
      </c>
      <c r="D662" s="180" t="s">
        <v>208</v>
      </c>
      <c r="E662" s="180" t="s">
        <v>208</v>
      </c>
      <c r="F662" s="180" t="s">
        <v>208</v>
      </c>
      <c r="G662" s="180" t="s">
        <v>208</v>
      </c>
      <c r="H662" s="180"/>
      <c r="I662" s="181"/>
      <c r="J662" s="181"/>
      <c r="K662" s="182" t="s">
        <v>240</v>
      </c>
      <c r="R662" s="163"/>
      <c r="S662" s="163"/>
    </row>
    <row r="663">
      <c r="A663" s="179">
        <f t="shared" si="2"/>
        <v>662</v>
      </c>
      <c r="B663" s="180"/>
      <c r="C663" s="180" t="s">
        <v>208</v>
      </c>
      <c r="D663" s="180" t="s">
        <v>208</v>
      </c>
      <c r="E663" s="180" t="s">
        <v>208</v>
      </c>
      <c r="F663" s="180" t="s">
        <v>208</v>
      </c>
      <c r="G663" s="180" t="s">
        <v>208</v>
      </c>
      <c r="H663" s="181"/>
      <c r="I663" s="181"/>
      <c r="J663" s="181"/>
      <c r="K663" s="182" t="s">
        <v>240</v>
      </c>
      <c r="R663" s="163"/>
      <c r="S663" s="163"/>
    </row>
    <row r="664">
      <c r="A664" s="179">
        <f t="shared" si="2"/>
        <v>663</v>
      </c>
      <c r="B664" s="180"/>
      <c r="C664" s="180" t="s">
        <v>208</v>
      </c>
      <c r="D664" s="180" t="s">
        <v>208</v>
      </c>
      <c r="E664" s="180" t="s">
        <v>208</v>
      </c>
      <c r="F664" s="180" t="s">
        <v>208</v>
      </c>
      <c r="G664" s="180" t="s">
        <v>208</v>
      </c>
      <c r="H664" s="181"/>
      <c r="I664" s="181"/>
      <c r="J664" s="181"/>
      <c r="K664" s="182" t="s">
        <v>240</v>
      </c>
      <c r="R664" s="163"/>
      <c r="S664" s="163"/>
    </row>
    <row r="665">
      <c r="A665" s="179">
        <f t="shared" si="2"/>
        <v>664</v>
      </c>
      <c r="B665" s="180"/>
      <c r="C665" s="180" t="s">
        <v>208</v>
      </c>
      <c r="D665" s="180" t="s">
        <v>243</v>
      </c>
      <c r="E665" s="180" t="s">
        <v>208</v>
      </c>
      <c r="F665" s="180" t="s">
        <v>208</v>
      </c>
      <c r="G665" s="180" t="s">
        <v>208</v>
      </c>
      <c r="H665" s="180"/>
      <c r="I665" s="181"/>
      <c r="J665" s="181"/>
      <c r="K665" s="182" t="s">
        <v>240</v>
      </c>
      <c r="R665" s="163"/>
      <c r="S665" s="163"/>
    </row>
    <row r="666">
      <c r="A666" s="179">
        <f t="shared" si="2"/>
        <v>665</v>
      </c>
      <c r="B666" s="180"/>
      <c r="C666" s="180" t="s">
        <v>208</v>
      </c>
      <c r="D666" s="180" t="s">
        <v>208</v>
      </c>
      <c r="E666" s="180" t="s">
        <v>208</v>
      </c>
      <c r="F666" s="180" t="s">
        <v>208</v>
      </c>
      <c r="G666" s="180" t="s">
        <v>208</v>
      </c>
      <c r="H666" s="181"/>
      <c r="I666" s="181"/>
      <c r="J666" s="181"/>
      <c r="K666" s="182" t="s">
        <v>240</v>
      </c>
      <c r="R666" s="163"/>
      <c r="S666" s="163"/>
    </row>
    <row r="667">
      <c r="A667" s="179">
        <f t="shared" si="2"/>
        <v>666</v>
      </c>
      <c r="B667" s="180"/>
      <c r="C667" s="180" t="s">
        <v>208</v>
      </c>
      <c r="D667" s="180" t="s">
        <v>208</v>
      </c>
      <c r="E667" s="180" t="s">
        <v>208</v>
      </c>
      <c r="F667" s="180" t="s">
        <v>208</v>
      </c>
      <c r="G667" s="180" t="s">
        <v>208</v>
      </c>
      <c r="H667" s="181"/>
      <c r="I667" s="181"/>
      <c r="J667" s="181"/>
      <c r="K667" s="182" t="s">
        <v>240</v>
      </c>
      <c r="R667" s="163"/>
      <c r="S667" s="163"/>
    </row>
    <row r="668">
      <c r="A668" s="179">
        <f t="shared" si="2"/>
        <v>667</v>
      </c>
      <c r="B668" s="180"/>
      <c r="C668" s="180" t="s">
        <v>208</v>
      </c>
      <c r="D668" s="180" t="s">
        <v>208</v>
      </c>
      <c r="E668" s="180" t="s">
        <v>208</v>
      </c>
      <c r="F668" s="180" t="s">
        <v>208</v>
      </c>
      <c r="G668" s="180" t="s">
        <v>208</v>
      </c>
      <c r="H668" s="181"/>
      <c r="I668" s="181"/>
      <c r="J668" s="181"/>
      <c r="K668" s="182" t="s">
        <v>240</v>
      </c>
      <c r="R668" s="163"/>
      <c r="S668" s="163"/>
    </row>
    <row r="669">
      <c r="A669" s="179">
        <f t="shared" si="2"/>
        <v>668</v>
      </c>
      <c r="B669" s="180"/>
      <c r="C669" s="180" t="s">
        <v>208</v>
      </c>
      <c r="D669" s="180" t="s">
        <v>208</v>
      </c>
      <c r="E669" s="180" t="s">
        <v>208</v>
      </c>
      <c r="F669" s="180" t="s">
        <v>208</v>
      </c>
      <c r="G669" s="180" t="s">
        <v>208</v>
      </c>
      <c r="H669" s="180"/>
      <c r="I669" s="181"/>
      <c r="J669" s="181"/>
      <c r="K669" s="182" t="s">
        <v>240</v>
      </c>
      <c r="R669" s="163"/>
      <c r="S669" s="163"/>
    </row>
    <row r="670">
      <c r="A670" s="179">
        <f t="shared" si="2"/>
        <v>669</v>
      </c>
      <c r="B670" s="180"/>
      <c r="C670" s="180" t="s">
        <v>208</v>
      </c>
      <c r="D670" s="180" t="s">
        <v>208</v>
      </c>
      <c r="E670" s="180" t="s">
        <v>208</v>
      </c>
      <c r="F670" s="180" t="s">
        <v>208</v>
      </c>
      <c r="G670" s="180" t="s">
        <v>208</v>
      </c>
      <c r="H670" s="180"/>
      <c r="I670" s="181"/>
      <c r="J670" s="181"/>
      <c r="K670" s="182" t="s">
        <v>240</v>
      </c>
      <c r="R670" s="163"/>
      <c r="S670" s="163"/>
    </row>
    <row r="671">
      <c r="A671" s="179">
        <f t="shared" si="2"/>
        <v>670</v>
      </c>
      <c r="B671" s="180"/>
      <c r="C671" s="180" t="s">
        <v>208</v>
      </c>
      <c r="D671" s="180" t="s">
        <v>208</v>
      </c>
      <c r="E671" s="180" t="s">
        <v>208</v>
      </c>
      <c r="F671" s="180" t="s">
        <v>208</v>
      </c>
      <c r="G671" s="180" t="s">
        <v>208</v>
      </c>
      <c r="H671" s="181"/>
      <c r="I671" s="181"/>
      <c r="J671" s="181"/>
      <c r="K671" s="182" t="s">
        <v>240</v>
      </c>
      <c r="R671" s="163"/>
      <c r="S671" s="163"/>
    </row>
    <row r="672">
      <c r="A672" s="179">
        <f t="shared" si="2"/>
        <v>671</v>
      </c>
      <c r="B672" s="180"/>
      <c r="C672" s="180" t="s">
        <v>208</v>
      </c>
      <c r="D672" s="180" t="s">
        <v>208</v>
      </c>
      <c r="E672" s="180" t="s">
        <v>208</v>
      </c>
      <c r="F672" s="180" t="s">
        <v>208</v>
      </c>
      <c r="G672" s="180" t="s">
        <v>208</v>
      </c>
      <c r="H672" s="181"/>
      <c r="I672" s="181"/>
      <c r="J672" s="181"/>
      <c r="K672" s="182" t="s">
        <v>240</v>
      </c>
      <c r="R672" s="173"/>
      <c r="S672" s="173"/>
    </row>
    <row r="673">
      <c r="A673" s="179">
        <f t="shared" si="2"/>
        <v>672</v>
      </c>
      <c r="B673" s="180"/>
      <c r="C673" s="180" t="s">
        <v>208</v>
      </c>
      <c r="D673" s="180" t="s">
        <v>208</v>
      </c>
      <c r="E673" s="180" t="s">
        <v>208</v>
      </c>
      <c r="F673" s="180" t="s">
        <v>208</v>
      </c>
      <c r="G673" s="180" t="s">
        <v>208</v>
      </c>
      <c r="H673" s="181"/>
      <c r="I673" s="181"/>
      <c r="J673" s="181"/>
      <c r="K673" s="182" t="s">
        <v>240</v>
      </c>
      <c r="R673" s="157"/>
      <c r="S673" s="157"/>
    </row>
    <row r="674">
      <c r="A674" s="179">
        <f t="shared" si="2"/>
        <v>673</v>
      </c>
      <c r="B674" s="180"/>
      <c r="C674" s="180" t="s">
        <v>208</v>
      </c>
      <c r="D674" s="180" t="s">
        <v>208</v>
      </c>
      <c r="E674" s="180" t="s">
        <v>208</v>
      </c>
      <c r="F674" s="180" t="s">
        <v>208</v>
      </c>
      <c r="G674" s="180" t="s">
        <v>208</v>
      </c>
      <c r="H674" s="181"/>
      <c r="I674" s="181"/>
      <c r="J674" s="181"/>
      <c r="K674" s="182" t="s">
        <v>240</v>
      </c>
      <c r="R674" s="163"/>
      <c r="S674" s="163"/>
    </row>
    <row r="675">
      <c r="A675" s="179">
        <f t="shared" si="2"/>
        <v>674</v>
      </c>
      <c r="B675" s="180"/>
      <c r="C675" s="180" t="s">
        <v>208</v>
      </c>
      <c r="D675" s="180" t="s">
        <v>208</v>
      </c>
      <c r="E675" s="180" t="s">
        <v>208</v>
      </c>
      <c r="F675" s="180" t="s">
        <v>208</v>
      </c>
      <c r="G675" s="180" t="s">
        <v>208</v>
      </c>
      <c r="H675" s="180"/>
      <c r="I675" s="181"/>
      <c r="J675" s="181"/>
      <c r="K675" s="182" t="s">
        <v>240</v>
      </c>
      <c r="R675" s="163"/>
      <c r="S675" s="163"/>
    </row>
    <row r="676">
      <c r="A676" s="179">
        <f t="shared" si="2"/>
        <v>675</v>
      </c>
      <c r="B676" s="180"/>
      <c r="C676" s="180" t="s">
        <v>208</v>
      </c>
      <c r="D676" s="180" t="s">
        <v>208</v>
      </c>
      <c r="E676" s="180" t="s">
        <v>208</v>
      </c>
      <c r="F676" s="180" t="s">
        <v>208</v>
      </c>
      <c r="G676" s="180" t="s">
        <v>208</v>
      </c>
      <c r="H676" s="181"/>
      <c r="I676" s="181"/>
      <c r="J676" s="181"/>
      <c r="K676" s="182" t="s">
        <v>240</v>
      </c>
      <c r="R676" s="163"/>
      <c r="S676" s="163"/>
    </row>
    <row r="677">
      <c r="A677" s="179">
        <f t="shared" si="2"/>
        <v>676</v>
      </c>
      <c r="B677" s="180"/>
      <c r="C677" s="180" t="s">
        <v>208</v>
      </c>
      <c r="D677" s="180" t="s">
        <v>208</v>
      </c>
      <c r="E677" s="180" t="s">
        <v>208</v>
      </c>
      <c r="F677" s="180" t="s">
        <v>208</v>
      </c>
      <c r="G677" s="180" t="s">
        <v>208</v>
      </c>
      <c r="H677" s="181"/>
      <c r="I677" s="181"/>
      <c r="J677" s="181"/>
      <c r="K677" s="182" t="s">
        <v>240</v>
      </c>
      <c r="R677" s="163"/>
      <c r="S677" s="163"/>
    </row>
    <row r="678">
      <c r="A678" s="179">
        <f t="shared" si="2"/>
        <v>677</v>
      </c>
      <c r="B678" s="180"/>
      <c r="C678" s="180" t="s">
        <v>208</v>
      </c>
      <c r="D678" s="180" t="s">
        <v>208</v>
      </c>
      <c r="E678" s="180" t="s">
        <v>208</v>
      </c>
      <c r="F678" s="180" t="s">
        <v>208</v>
      </c>
      <c r="G678" s="180" t="s">
        <v>208</v>
      </c>
      <c r="H678" s="181"/>
      <c r="I678" s="181"/>
      <c r="J678" s="181"/>
      <c r="K678" s="182" t="s">
        <v>240</v>
      </c>
      <c r="R678" s="163"/>
      <c r="S678" s="163"/>
    </row>
    <row r="679">
      <c r="A679" s="179">
        <f t="shared" si="2"/>
        <v>678</v>
      </c>
      <c r="B679" s="180"/>
      <c r="C679" s="180" t="s">
        <v>208</v>
      </c>
      <c r="D679" s="180" t="s">
        <v>208</v>
      </c>
      <c r="E679" s="180" t="s">
        <v>208</v>
      </c>
      <c r="F679" s="180" t="s">
        <v>208</v>
      </c>
      <c r="G679" s="180" t="s">
        <v>208</v>
      </c>
      <c r="H679" s="181"/>
      <c r="I679" s="181"/>
      <c r="J679" s="181"/>
      <c r="K679" s="182" t="s">
        <v>240</v>
      </c>
      <c r="R679" s="163"/>
      <c r="S679" s="163"/>
    </row>
    <row r="680">
      <c r="A680" s="179">
        <f t="shared" si="2"/>
        <v>679</v>
      </c>
      <c r="B680" s="180"/>
      <c r="C680" s="180" t="s">
        <v>208</v>
      </c>
      <c r="D680" s="180" t="s">
        <v>243</v>
      </c>
      <c r="E680" s="180" t="s">
        <v>208</v>
      </c>
      <c r="F680" s="180" t="s">
        <v>208</v>
      </c>
      <c r="G680" s="180" t="s">
        <v>208</v>
      </c>
      <c r="H680" s="181"/>
      <c r="I680" s="181"/>
      <c r="J680" s="181"/>
      <c r="K680" s="182" t="s">
        <v>240</v>
      </c>
      <c r="R680" s="163"/>
      <c r="S680" s="163"/>
    </row>
    <row r="681">
      <c r="A681" s="201">
        <f t="shared" si="2"/>
        <v>680</v>
      </c>
      <c r="B681" s="202"/>
      <c r="C681" s="202" t="s">
        <v>208</v>
      </c>
      <c r="D681" s="202" t="s">
        <v>208</v>
      </c>
      <c r="E681" s="202" t="s">
        <v>208</v>
      </c>
      <c r="F681" s="202" t="s">
        <v>208</v>
      </c>
      <c r="G681" s="202" t="s">
        <v>208</v>
      </c>
      <c r="H681" s="202"/>
      <c r="I681" s="203"/>
      <c r="J681" s="202" t="s">
        <v>242</v>
      </c>
      <c r="K681" s="182" t="s">
        <v>240</v>
      </c>
      <c r="R681" s="163"/>
      <c r="S681" s="163"/>
    </row>
    <row r="682">
      <c r="A682" s="179">
        <f t="shared" si="2"/>
        <v>681</v>
      </c>
      <c r="B682" s="180"/>
      <c r="C682" s="180" t="s">
        <v>208</v>
      </c>
      <c r="D682" s="180" t="s">
        <v>208</v>
      </c>
      <c r="E682" s="180" t="s">
        <v>208</v>
      </c>
      <c r="F682" s="180" t="s">
        <v>208</v>
      </c>
      <c r="G682" s="180" t="s">
        <v>208</v>
      </c>
      <c r="H682" s="181"/>
      <c r="I682" s="181"/>
      <c r="J682" s="181"/>
      <c r="K682" s="182" t="s">
        <v>240</v>
      </c>
      <c r="R682" s="163"/>
      <c r="S682" s="163"/>
    </row>
    <row r="683">
      <c r="A683" s="179">
        <f t="shared" si="2"/>
        <v>682</v>
      </c>
      <c r="B683" s="180"/>
      <c r="C683" s="180" t="s">
        <v>208</v>
      </c>
      <c r="D683" s="180" t="s">
        <v>208</v>
      </c>
      <c r="E683" s="180" t="s">
        <v>208</v>
      </c>
      <c r="F683" s="180" t="s">
        <v>208</v>
      </c>
      <c r="G683" s="180" t="s">
        <v>208</v>
      </c>
      <c r="H683" s="181"/>
      <c r="I683" s="181"/>
      <c r="J683" s="181"/>
      <c r="K683" s="182" t="s">
        <v>240</v>
      </c>
      <c r="R683" s="163"/>
      <c r="S683" s="163"/>
    </row>
    <row r="684">
      <c r="A684" s="179">
        <f t="shared" si="2"/>
        <v>683</v>
      </c>
      <c r="B684" s="180"/>
      <c r="C684" s="180" t="s">
        <v>208</v>
      </c>
      <c r="D684" s="180" t="s">
        <v>243</v>
      </c>
      <c r="E684" s="180" t="s">
        <v>208</v>
      </c>
      <c r="F684" s="180" t="s">
        <v>208</v>
      </c>
      <c r="G684" s="180" t="s">
        <v>208</v>
      </c>
      <c r="H684" s="181"/>
      <c r="I684" s="181"/>
      <c r="J684" s="181"/>
      <c r="K684" s="182" t="s">
        <v>240</v>
      </c>
      <c r="R684" s="173"/>
      <c r="S684" s="173"/>
    </row>
    <row r="685">
      <c r="A685" s="179">
        <f t="shared" si="2"/>
        <v>684</v>
      </c>
      <c r="B685" s="180"/>
      <c r="C685" s="180" t="s">
        <v>208</v>
      </c>
      <c r="D685" s="180" t="s">
        <v>208</v>
      </c>
      <c r="E685" s="180" t="s">
        <v>208</v>
      </c>
      <c r="F685" s="180" t="s">
        <v>208</v>
      </c>
      <c r="G685" s="180" t="s">
        <v>208</v>
      </c>
      <c r="H685" s="181"/>
      <c r="I685" s="181"/>
      <c r="J685" s="181"/>
      <c r="K685" s="182" t="s">
        <v>240</v>
      </c>
      <c r="R685" s="157"/>
      <c r="S685" s="157"/>
    </row>
    <row r="686">
      <c r="A686" s="179">
        <f t="shared" si="2"/>
        <v>685</v>
      </c>
      <c r="B686" s="180"/>
      <c r="C686" s="180" t="s">
        <v>208</v>
      </c>
      <c r="D686" s="180" t="s">
        <v>208</v>
      </c>
      <c r="E686" s="180" t="s">
        <v>208</v>
      </c>
      <c r="F686" s="180" t="s">
        <v>208</v>
      </c>
      <c r="G686" s="180" t="s">
        <v>208</v>
      </c>
      <c r="H686" s="181"/>
      <c r="I686" s="181"/>
      <c r="J686" s="181"/>
      <c r="K686" s="182" t="s">
        <v>240</v>
      </c>
      <c r="R686" s="163"/>
      <c r="S686" s="163"/>
    </row>
    <row r="687">
      <c r="A687" s="179">
        <f t="shared" si="2"/>
        <v>686</v>
      </c>
      <c r="B687" s="180"/>
      <c r="C687" s="180" t="s">
        <v>208</v>
      </c>
      <c r="D687" s="180" t="s">
        <v>208</v>
      </c>
      <c r="E687" s="180" t="s">
        <v>208</v>
      </c>
      <c r="F687" s="180" t="s">
        <v>208</v>
      </c>
      <c r="G687" s="180" t="s">
        <v>208</v>
      </c>
      <c r="H687" s="180"/>
      <c r="I687" s="181"/>
      <c r="J687" s="180"/>
      <c r="K687" s="182" t="s">
        <v>240</v>
      </c>
      <c r="R687" s="163"/>
      <c r="S687" s="163"/>
    </row>
    <row r="688">
      <c r="A688" s="179">
        <f t="shared" si="2"/>
        <v>687</v>
      </c>
      <c r="B688" s="180"/>
      <c r="C688" s="180" t="s">
        <v>208</v>
      </c>
      <c r="D688" s="180" t="s">
        <v>208</v>
      </c>
      <c r="E688" s="180" t="s">
        <v>208</v>
      </c>
      <c r="F688" s="180" t="s">
        <v>208</v>
      </c>
      <c r="G688" s="180" t="s">
        <v>208</v>
      </c>
      <c r="H688" s="181"/>
      <c r="I688" s="181"/>
      <c r="J688" s="181"/>
      <c r="K688" s="182" t="s">
        <v>240</v>
      </c>
      <c r="R688" s="163"/>
      <c r="S688" s="163"/>
    </row>
    <row r="689">
      <c r="A689" s="179">
        <f t="shared" si="2"/>
        <v>688</v>
      </c>
      <c r="B689" s="180"/>
      <c r="C689" s="180" t="s">
        <v>208</v>
      </c>
      <c r="D689" s="180" t="s">
        <v>208</v>
      </c>
      <c r="E689" s="180" t="s">
        <v>208</v>
      </c>
      <c r="F689" s="180" t="s">
        <v>208</v>
      </c>
      <c r="G689" s="180" t="s">
        <v>208</v>
      </c>
      <c r="H689" s="181"/>
      <c r="I689" s="181"/>
      <c r="J689" s="180"/>
      <c r="K689" s="182" t="s">
        <v>240</v>
      </c>
      <c r="R689" s="163"/>
      <c r="S689" s="163"/>
    </row>
    <row r="690">
      <c r="A690" s="179">
        <f t="shared" si="2"/>
        <v>689</v>
      </c>
      <c r="B690" s="180"/>
      <c r="C690" s="180" t="s">
        <v>208</v>
      </c>
      <c r="D690" s="180" t="s">
        <v>208</v>
      </c>
      <c r="E690" s="180" t="s">
        <v>208</v>
      </c>
      <c r="F690" s="180" t="s">
        <v>208</v>
      </c>
      <c r="G690" s="180" t="s">
        <v>208</v>
      </c>
      <c r="H690" s="181"/>
      <c r="I690" s="181"/>
      <c r="J690" s="181"/>
      <c r="K690" s="182" t="s">
        <v>240</v>
      </c>
      <c r="R690" s="163"/>
      <c r="S690" s="163"/>
    </row>
    <row r="691">
      <c r="A691" s="179">
        <f t="shared" si="2"/>
        <v>690</v>
      </c>
      <c r="B691" s="180"/>
      <c r="C691" s="180" t="s">
        <v>208</v>
      </c>
      <c r="D691" s="180" t="s">
        <v>208</v>
      </c>
      <c r="E691" s="180" t="s">
        <v>208</v>
      </c>
      <c r="F691" s="180" t="s">
        <v>208</v>
      </c>
      <c r="G691" s="180" t="s">
        <v>208</v>
      </c>
      <c r="H691" s="181"/>
      <c r="I691" s="181"/>
      <c r="J691" s="181"/>
      <c r="K691" s="182" t="s">
        <v>240</v>
      </c>
      <c r="R691" s="163"/>
      <c r="S691" s="163"/>
    </row>
    <row r="692">
      <c r="A692" s="179">
        <f t="shared" si="2"/>
        <v>691</v>
      </c>
      <c r="B692" s="180"/>
      <c r="C692" s="180" t="s">
        <v>208</v>
      </c>
      <c r="D692" s="180" t="s">
        <v>208</v>
      </c>
      <c r="E692" s="180" t="s">
        <v>208</v>
      </c>
      <c r="F692" s="180" t="s">
        <v>208</v>
      </c>
      <c r="G692" s="180" t="s">
        <v>208</v>
      </c>
      <c r="H692" s="181"/>
      <c r="I692" s="181"/>
      <c r="J692" s="181"/>
      <c r="K692" s="182" t="s">
        <v>240</v>
      </c>
      <c r="R692" s="163"/>
      <c r="S692" s="163"/>
    </row>
    <row r="693">
      <c r="A693" s="179">
        <f t="shared" si="2"/>
        <v>692</v>
      </c>
      <c r="B693" s="180"/>
      <c r="C693" s="180" t="s">
        <v>208</v>
      </c>
      <c r="D693" s="180" t="s">
        <v>208</v>
      </c>
      <c r="E693" s="180" t="s">
        <v>208</v>
      </c>
      <c r="F693" s="180" t="s">
        <v>208</v>
      </c>
      <c r="G693" s="180" t="s">
        <v>208</v>
      </c>
      <c r="H693" s="181"/>
      <c r="I693" s="181"/>
      <c r="J693" s="181"/>
      <c r="K693" s="182" t="s">
        <v>240</v>
      </c>
      <c r="R693" s="163"/>
      <c r="S693" s="163"/>
    </row>
    <row r="694">
      <c r="A694" s="179">
        <f t="shared" si="2"/>
        <v>693</v>
      </c>
      <c r="B694" s="180"/>
      <c r="C694" s="180" t="s">
        <v>208</v>
      </c>
      <c r="D694" s="180" t="s">
        <v>208</v>
      </c>
      <c r="E694" s="180" t="s">
        <v>208</v>
      </c>
      <c r="F694" s="180" t="s">
        <v>208</v>
      </c>
      <c r="G694" s="180" t="s">
        <v>208</v>
      </c>
      <c r="H694" s="181"/>
      <c r="I694" s="181"/>
      <c r="J694" s="181"/>
      <c r="K694" s="182" t="s">
        <v>240</v>
      </c>
      <c r="R694" s="163"/>
      <c r="S694" s="163"/>
    </row>
    <row r="695">
      <c r="A695" s="179">
        <f t="shared" si="2"/>
        <v>694</v>
      </c>
      <c r="B695" s="180"/>
      <c r="C695" s="180" t="s">
        <v>208</v>
      </c>
      <c r="D695" s="180" t="s">
        <v>208</v>
      </c>
      <c r="E695" s="180" t="s">
        <v>208</v>
      </c>
      <c r="F695" s="180" t="s">
        <v>208</v>
      </c>
      <c r="G695" s="180" t="s">
        <v>208</v>
      </c>
      <c r="H695" s="181"/>
      <c r="I695" s="181"/>
      <c r="J695" s="181"/>
      <c r="K695" s="182" t="s">
        <v>240</v>
      </c>
      <c r="R695" s="163"/>
      <c r="S695" s="163"/>
    </row>
    <row r="696">
      <c r="A696" s="179">
        <f t="shared" si="2"/>
        <v>695</v>
      </c>
      <c r="B696" s="180"/>
      <c r="C696" s="180" t="s">
        <v>208</v>
      </c>
      <c r="D696" s="180" t="s">
        <v>208</v>
      </c>
      <c r="E696" s="180" t="s">
        <v>208</v>
      </c>
      <c r="F696" s="180" t="s">
        <v>208</v>
      </c>
      <c r="G696" s="180" t="s">
        <v>208</v>
      </c>
      <c r="H696" s="181"/>
      <c r="I696" s="181"/>
      <c r="J696" s="181"/>
      <c r="K696" s="182" t="s">
        <v>240</v>
      </c>
      <c r="R696" s="173"/>
      <c r="S696" s="173"/>
    </row>
    <row r="697">
      <c r="A697" s="179">
        <f t="shared" si="2"/>
        <v>696</v>
      </c>
      <c r="B697" s="180"/>
      <c r="C697" s="180" t="s">
        <v>208</v>
      </c>
      <c r="D697" s="180" t="s">
        <v>208</v>
      </c>
      <c r="E697" s="180" t="s">
        <v>208</v>
      </c>
      <c r="F697" s="180" t="s">
        <v>208</v>
      </c>
      <c r="G697" s="180" t="s">
        <v>208</v>
      </c>
      <c r="H697" s="181"/>
      <c r="I697" s="181"/>
      <c r="J697" s="180"/>
      <c r="K697" s="182" t="s">
        <v>240</v>
      </c>
      <c r="R697" s="157"/>
      <c r="S697" s="157"/>
    </row>
    <row r="698">
      <c r="A698" s="179">
        <f t="shared" si="2"/>
        <v>697</v>
      </c>
      <c r="B698" s="180"/>
      <c r="C698" s="180" t="s">
        <v>208</v>
      </c>
      <c r="D698" s="180" t="s">
        <v>208</v>
      </c>
      <c r="E698" s="180" t="s">
        <v>208</v>
      </c>
      <c r="F698" s="180" t="s">
        <v>208</v>
      </c>
      <c r="G698" s="180" t="s">
        <v>208</v>
      </c>
      <c r="H698" s="181"/>
      <c r="I698" s="181"/>
      <c r="J698" s="181"/>
      <c r="K698" s="182" t="s">
        <v>363</v>
      </c>
      <c r="R698" s="163"/>
      <c r="S698" s="163"/>
    </row>
    <row r="699">
      <c r="A699" s="179">
        <f t="shared" si="2"/>
        <v>698</v>
      </c>
      <c r="B699" s="181"/>
      <c r="C699" s="180" t="s">
        <v>208</v>
      </c>
      <c r="D699" s="180" t="s">
        <v>208</v>
      </c>
      <c r="E699" s="180" t="s">
        <v>208</v>
      </c>
      <c r="F699" s="180" t="s">
        <v>208</v>
      </c>
      <c r="G699" s="180" t="s">
        <v>208</v>
      </c>
      <c r="H699" s="181"/>
      <c r="I699" s="181"/>
      <c r="J699" s="181"/>
      <c r="K699" s="182" t="s">
        <v>363</v>
      </c>
      <c r="R699" s="163"/>
      <c r="S699" s="163"/>
    </row>
    <row r="700">
      <c r="A700" s="179">
        <f t="shared" si="2"/>
        <v>699</v>
      </c>
      <c r="B700" s="180"/>
      <c r="C700" s="180" t="s">
        <v>208</v>
      </c>
      <c r="D700" s="180" t="s">
        <v>208</v>
      </c>
      <c r="E700" s="180" t="s">
        <v>208</v>
      </c>
      <c r="F700" s="180" t="s">
        <v>208</v>
      </c>
      <c r="G700" s="180" t="s">
        <v>208</v>
      </c>
      <c r="H700" s="185"/>
      <c r="I700" s="181"/>
      <c r="J700" s="181"/>
      <c r="K700" s="182" t="s">
        <v>363</v>
      </c>
      <c r="R700" s="163"/>
      <c r="S700" s="163"/>
    </row>
    <row r="701">
      <c r="A701" s="179">
        <f t="shared" si="2"/>
        <v>700</v>
      </c>
      <c r="B701" s="180"/>
      <c r="C701" s="180" t="s">
        <v>208</v>
      </c>
      <c r="D701" s="180" t="s">
        <v>208</v>
      </c>
      <c r="E701" s="180" t="s">
        <v>208</v>
      </c>
      <c r="F701" s="180" t="s">
        <v>208</v>
      </c>
      <c r="G701" s="180" t="s">
        <v>208</v>
      </c>
      <c r="H701" s="181"/>
      <c r="I701" s="181"/>
      <c r="J701" s="181"/>
      <c r="K701" s="182" t="s">
        <v>363</v>
      </c>
      <c r="R701" s="163"/>
      <c r="S701" s="163"/>
    </row>
    <row r="702">
      <c r="A702" s="179">
        <f t="shared" si="2"/>
        <v>701</v>
      </c>
      <c r="B702" s="180"/>
      <c r="C702" s="180" t="s">
        <v>208</v>
      </c>
      <c r="D702" s="180" t="s">
        <v>208</v>
      </c>
      <c r="E702" s="180" t="s">
        <v>208</v>
      </c>
      <c r="F702" s="180" t="s">
        <v>208</v>
      </c>
      <c r="G702" s="180" t="s">
        <v>208</v>
      </c>
      <c r="H702" s="181"/>
      <c r="I702" s="181"/>
      <c r="J702" s="181"/>
      <c r="K702" s="182" t="s">
        <v>363</v>
      </c>
      <c r="R702" s="163"/>
      <c r="S702" s="163"/>
    </row>
    <row r="703">
      <c r="A703" s="179">
        <f t="shared" si="2"/>
        <v>702</v>
      </c>
      <c r="B703" s="180"/>
      <c r="C703" s="180" t="s">
        <v>208</v>
      </c>
      <c r="D703" s="180" t="s">
        <v>208</v>
      </c>
      <c r="E703" s="180"/>
      <c r="F703" s="180" t="s">
        <v>208</v>
      </c>
      <c r="G703" s="180" t="s">
        <v>208</v>
      </c>
      <c r="H703" s="181"/>
      <c r="I703" s="181"/>
      <c r="J703" s="180"/>
      <c r="K703" s="182" t="s">
        <v>363</v>
      </c>
      <c r="R703" s="163"/>
      <c r="S703" s="163"/>
    </row>
    <row r="704">
      <c r="A704" s="179">
        <f t="shared" si="2"/>
        <v>703</v>
      </c>
      <c r="B704" s="181"/>
      <c r="C704" s="180" t="s">
        <v>208</v>
      </c>
      <c r="D704" s="180" t="s">
        <v>208</v>
      </c>
      <c r="E704" s="180" t="s">
        <v>208</v>
      </c>
      <c r="F704" s="180" t="s">
        <v>208</v>
      </c>
      <c r="G704" s="180" t="s">
        <v>208</v>
      </c>
      <c r="H704" s="181"/>
      <c r="I704" s="180"/>
      <c r="J704" s="180"/>
      <c r="K704" s="182" t="s">
        <v>363</v>
      </c>
      <c r="R704" s="163"/>
      <c r="S704" s="163"/>
    </row>
    <row r="705">
      <c r="A705" s="179">
        <f t="shared" si="2"/>
        <v>704</v>
      </c>
      <c r="B705" s="180"/>
      <c r="C705" s="180" t="s">
        <v>208</v>
      </c>
      <c r="D705" s="180" t="s">
        <v>208</v>
      </c>
      <c r="E705" s="180" t="s">
        <v>208</v>
      </c>
      <c r="F705" s="180" t="s">
        <v>208</v>
      </c>
      <c r="G705" s="180" t="s">
        <v>208</v>
      </c>
      <c r="H705" s="185"/>
      <c r="I705" s="181"/>
      <c r="J705" s="180"/>
      <c r="K705" s="182" t="s">
        <v>363</v>
      </c>
      <c r="R705" s="163"/>
      <c r="S705" s="163"/>
    </row>
    <row r="706">
      <c r="A706" s="179">
        <f t="shared" si="2"/>
        <v>705</v>
      </c>
      <c r="B706" s="180"/>
      <c r="C706" s="180"/>
      <c r="D706" s="180"/>
      <c r="E706" s="180"/>
      <c r="F706" s="180"/>
      <c r="G706" s="180"/>
      <c r="H706" s="185"/>
      <c r="I706" s="181"/>
      <c r="J706" s="180" t="s">
        <v>242</v>
      </c>
      <c r="K706" s="182" t="s">
        <v>363</v>
      </c>
      <c r="R706" s="163"/>
      <c r="S706" s="163"/>
    </row>
    <row r="707">
      <c r="A707" s="179">
        <f t="shared" si="2"/>
        <v>706</v>
      </c>
      <c r="B707" s="180"/>
      <c r="C707" s="180"/>
      <c r="D707" s="180"/>
      <c r="E707" s="180"/>
      <c r="F707" s="180"/>
      <c r="G707" s="180"/>
      <c r="H707" s="185"/>
      <c r="I707" s="181"/>
      <c r="J707" s="180" t="s">
        <v>242</v>
      </c>
      <c r="K707" s="182" t="s">
        <v>363</v>
      </c>
      <c r="R707" s="163"/>
      <c r="S707" s="163"/>
    </row>
    <row r="708">
      <c r="A708" s="179">
        <f t="shared" si="2"/>
        <v>707</v>
      </c>
      <c r="B708" s="180"/>
      <c r="C708" s="180"/>
      <c r="D708" s="180"/>
      <c r="E708" s="180"/>
      <c r="F708" s="180"/>
      <c r="G708" s="181"/>
      <c r="H708" s="180"/>
      <c r="I708" s="181"/>
      <c r="J708" s="180" t="s">
        <v>242</v>
      </c>
      <c r="K708" s="182" t="s">
        <v>363</v>
      </c>
      <c r="R708" s="173"/>
      <c r="S708" s="173"/>
    </row>
    <row r="709">
      <c r="A709" s="179">
        <f t="shared" si="2"/>
        <v>708</v>
      </c>
      <c r="B709" s="180"/>
      <c r="C709" s="180"/>
      <c r="D709" s="180"/>
      <c r="E709" s="180"/>
      <c r="F709" s="180"/>
      <c r="G709" s="180"/>
      <c r="H709" s="181"/>
      <c r="I709" s="181"/>
      <c r="J709" s="180" t="s">
        <v>242</v>
      </c>
      <c r="K709" s="182" t="s">
        <v>363</v>
      </c>
      <c r="R709" s="157"/>
      <c r="S709" s="157"/>
    </row>
    <row r="710">
      <c r="A710" s="179">
        <f t="shared" si="2"/>
        <v>709</v>
      </c>
      <c r="B710" s="180"/>
      <c r="C710" s="180"/>
      <c r="D710" s="180"/>
      <c r="E710" s="180"/>
      <c r="F710" s="180"/>
      <c r="G710" s="180"/>
      <c r="H710" s="181"/>
      <c r="I710" s="181"/>
      <c r="J710" s="180" t="s">
        <v>242</v>
      </c>
      <c r="K710" s="182" t="s">
        <v>363</v>
      </c>
      <c r="R710" s="163"/>
      <c r="S710" s="163"/>
    </row>
    <row r="711">
      <c r="A711" s="179">
        <f t="shared" si="2"/>
        <v>710</v>
      </c>
      <c r="B711" s="180"/>
      <c r="C711" s="180"/>
      <c r="D711" s="180"/>
      <c r="E711" s="180"/>
      <c r="F711" s="180"/>
      <c r="G711" s="180"/>
      <c r="H711" s="181"/>
      <c r="I711" s="181"/>
      <c r="J711" s="180" t="s">
        <v>242</v>
      </c>
      <c r="K711" s="182" t="s">
        <v>363</v>
      </c>
      <c r="R711" s="163"/>
      <c r="S711" s="163"/>
    </row>
    <row r="712">
      <c r="A712" s="179">
        <f t="shared" si="2"/>
        <v>711</v>
      </c>
      <c r="B712" s="180"/>
      <c r="C712" s="180" t="s">
        <v>208</v>
      </c>
      <c r="D712" s="180" t="s">
        <v>243</v>
      </c>
      <c r="E712" s="180"/>
      <c r="F712" s="180" t="s">
        <v>208</v>
      </c>
      <c r="G712" s="180" t="s">
        <v>208</v>
      </c>
      <c r="H712" s="181"/>
      <c r="I712" s="181"/>
      <c r="J712" s="181"/>
      <c r="K712" s="182" t="s">
        <v>363</v>
      </c>
      <c r="R712" s="163"/>
      <c r="S712" s="163"/>
    </row>
    <row r="713">
      <c r="A713" s="179">
        <f t="shared" si="2"/>
        <v>712</v>
      </c>
      <c r="B713" s="180"/>
      <c r="C713" s="180" t="s">
        <v>208</v>
      </c>
      <c r="D713" s="180" t="s">
        <v>208</v>
      </c>
      <c r="E713" s="180"/>
      <c r="F713" s="180" t="s">
        <v>208</v>
      </c>
      <c r="G713" s="180" t="s">
        <v>208</v>
      </c>
      <c r="H713" s="185"/>
      <c r="I713" s="181"/>
      <c r="J713" s="181"/>
      <c r="K713" s="182" t="s">
        <v>363</v>
      </c>
      <c r="R713" s="163"/>
      <c r="S713" s="163"/>
    </row>
    <row r="714">
      <c r="A714" s="179">
        <f t="shared" si="2"/>
        <v>713</v>
      </c>
      <c r="B714" s="180"/>
      <c r="C714" s="180" t="s">
        <v>208</v>
      </c>
      <c r="D714" s="180" t="s">
        <v>208</v>
      </c>
      <c r="E714" s="180"/>
      <c r="F714" s="180" t="s">
        <v>208</v>
      </c>
      <c r="G714" s="180" t="s">
        <v>208</v>
      </c>
      <c r="H714" s="185"/>
      <c r="I714" s="181"/>
      <c r="J714" s="181"/>
      <c r="K714" s="182" t="s">
        <v>363</v>
      </c>
      <c r="R714" s="163"/>
      <c r="S714" s="163"/>
    </row>
    <row r="715">
      <c r="A715" s="179">
        <f t="shared" si="2"/>
        <v>714</v>
      </c>
      <c r="B715" s="180"/>
      <c r="C715" s="180"/>
      <c r="D715" s="180"/>
      <c r="E715" s="180"/>
      <c r="F715" s="180"/>
      <c r="G715" s="181"/>
      <c r="H715" s="185"/>
      <c r="I715" s="181"/>
      <c r="J715" s="180" t="s">
        <v>242</v>
      </c>
      <c r="K715" s="182" t="s">
        <v>363</v>
      </c>
      <c r="R715" s="163"/>
      <c r="S715" s="163"/>
    </row>
    <row r="716">
      <c r="A716" s="179">
        <f t="shared" si="2"/>
        <v>715</v>
      </c>
      <c r="B716" s="180"/>
      <c r="C716" s="180"/>
      <c r="D716" s="180"/>
      <c r="E716" s="180"/>
      <c r="F716" s="180"/>
      <c r="G716" s="180"/>
      <c r="H716" s="185"/>
      <c r="I716" s="181"/>
      <c r="J716" s="180" t="s">
        <v>242</v>
      </c>
      <c r="K716" s="182" t="s">
        <v>363</v>
      </c>
      <c r="R716" s="163"/>
      <c r="S716" s="163"/>
    </row>
    <row r="717">
      <c r="A717" s="179">
        <f t="shared" si="2"/>
        <v>716</v>
      </c>
      <c r="B717" s="180"/>
      <c r="C717" s="180"/>
      <c r="D717" s="180"/>
      <c r="E717" s="180"/>
      <c r="F717" s="180"/>
      <c r="G717" s="180"/>
      <c r="H717" s="180"/>
      <c r="I717" s="181"/>
      <c r="J717" s="180" t="s">
        <v>242</v>
      </c>
      <c r="K717" s="182" t="s">
        <v>363</v>
      </c>
      <c r="R717" s="163"/>
      <c r="S717" s="163"/>
    </row>
    <row r="718">
      <c r="A718" s="179">
        <f t="shared" si="2"/>
        <v>717</v>
      </c>
      <c r="B718" s="180"/>
      <c r="C718" s="180" t="s">
        <v>208</v>
      </c>
      <c r="D718" s="180" t="s">
        <v>208</v>
      </c>
      <c r="E718" s="180" t="s">
        <v>208</v>
      </c>
      <c r="F718" s="180" t="s">
        <v>208</v>
      </c>
      <c r="G718" s="180" t="s">
        <v>208</v>
      </c>
      <c r="H718" s="185"/>
      <c r="I718" s="181"/>
      <c r="J718" s="181"/>
      <c r="K718" s="182" t="s">
        <v>363</v>
      </c>
      <c r="R718" s="163"/>
      <c r="S718" s="163"/>
    </row>
    <row r="719">
      <c r="A719" s="179">
        <f t="shared" si="2"/>
        <v>718</v>
      </c>
      <c r="B719" s="180"/>
      <c r="C719" s="180" t="s">
        <v>208</v>
      </c>
      <c r="D719" s="180" t="s">
        <v>208</v>
      </c>
      <c r="E719" s="180"/>
      <c r="F719" s="180" t="s">
        <v>208</v>
      </c>
      <c r="G719" s="180" t="s">
        <v>208</v>
      </c>
      <c r="H719" s="185"/>
      <c r="I719" s="181"/>
      <c r="J719" s="181"/>
      <c r="K719" s="182" t="s">
        <v>363</v>
      </c>
      <c r="R719" s="163"/>
      <c r="S719" s="163"/>
    </row>
    <row r="720">
      <c r="A720" s="179">
        <f t="shared" si="2"/>
        <v>719</v>
      </c>
      <c r="B720" s="180"/>
      <c r="C720" s="180"/>
      <c r="D720" s="180" t="s">
        <v>243</v>
      </c>
      <c r="E720" s="180" t="s">
        <v>208</v>
      </c>
      <c r="F720" s="180" t="s">
        <v>208</v>
      </c>
      <c r="G720" s="180"/>
      <c r="H720" s="180" t="s">
        <v>208</v>
      </c>
      <c r="I720" s="181"/>
      <c r="J720" s="181"/>
      <c r="K720" s="182" t="s">
        <v>363</v>
      </c>
      <c r="R720" s="173"/>
      <c r="S720" s="173"/>
    </row>
    <row r="721">
      <c r="A721" s="179">
        <f t="shared" si="2"/>
        <v>720</v>
      </c>
      <c r="B721" s="180"/>
      <c r="C721" s="180" t="s">
        <v>208</v>
      </c>
      <c r="D721" s="180" t="s">
        <v>208</v>
      </c>
      <c r="E721" s="180"/>
      <c r="F721" s="180" t="s">
        <v>208</v>
      </c>
      <c r="G721" s="180" t="s">
        <v>208</v>
      </c>
      <c r="H721" s="185"/>
      <c r="I721" s="181"/>
      <c r="J721" s="180"/>
      <c r="K721" s="182" t="s">
        <v>363</v>
      </c>
      <c r="R721" s="157"/>
      <c r="S721" s="157"/>
    </row>
    <row r="722">
      <c r="A722" s="179">
        <f t="shared" si="2"/>
        <v>721</v>
      </c>
      <c r="B722" s="180"/>
      <c r="C722" s="180"/>
      <c r="D722" s="180" t="s">
        <v>208</v>
      </c>
      <c r="E722" s="180" t="s">
        <v>208</v>
      </c>
      <c r="F722" s="180" t="s">
        <v>208</v>
      </c>
      <c r="G722" s="180"/>
      <c r="H722" s="180" t="s">
        <v>208</v>
      </c>
      <c r="I722" s="181"/>
      <c r="J722" s="180"/>
      <c r="K722" s="182" t="s">
        <v>363</v>
      </c>
      <c r="R722" s="163"/>
      <c r="S722" s="163"/>
    </row>
    <row r="723">
      <c r="A723" s="179">
        <f t="shared" si="2"/>
        <v>722</v>
      </c>
      <c r="B723" s="181"/>
      <c r="C723" s="180" t="s">
        <v>208</v>
      </c>
      <c r="D723" s="180" t="s">
        <v>208</v>
      </c>
      <c r="E723" s="180" t="s">
        <v>208</v>
      </c>
      <c r="F723" s="180" t="s">
        <v>208</v>
      </c>
      <c r="G723" s="180" t="s">
        <v>208</v>
      </c>
      <c r="H723" s="181"/>
      <c r="I723" s="181"/>
      <c r="J723" s="180"/>
      <c r="K723" s="182" t="s">
        <v>363</v>
      </c>
      <c r="R723" s="163"/>
      <c r="S723" s="163"/>
    </row>
    <row r="724">
      <c r="A724" s="179">
        <f t="shared" si="2"/>
        <v>723</v>
      </c>
      <c r="B724" s="180"/>
      <c r="C724" s="180"/>
      <c r="D724" s="180"/>
      <c r="E724" s="180"/>
      <c r="F724" s="180"/>
      <c r="G724" s="180" t="s">
        <v>208</v>
      </c>
      <c r="H724" s="181"/>
      <c r="I724" s="181"/>
      <c r="J724" s="181"/>
      <c r="K724" s="182" t="s">
        <v>363</v>
      </c>
      <c r="R724" s="163"/>
      <c r="S724" s="163"/>
    </row>
    <row r="725">
      <c r="A725" s="179">
        <f t="shared" si="2"/>
        <v>724</v>
      </c>
      <c r="B725" s="180"/>
      <c r="C725" s="180"/>
      <c r="D725" s="180"/>
      <c r="E725" s="180"/>
      <c r="F725" s="180"/>
      <c r="G725" s="180" t="s">
        <v>208</v>
      </c>
      <c r="H725" s="181"/>
      <c r="I725" s="181"/>
      <c r="J725" s="181"/>
      <c r="K725" s="182" t="s">
        <v>363</v>
      </c>
      <c r="R725" s="163"/>
      <c r="S725" s="163"/>
    </row>
    <row r="726">
      <c r="A726" s="179">
        <f t="shared" si="2"/>
        <v>725</v>
      </c>
      <c r="B726" s="180"/>
      <c r="C726" s="180"/>
      <c r="D726" s="180"/>
      <c r="E726" s="180"/>
      <c r="F726" s="180"/>
      <c r="G726" s="181"/>
      <c r="H726" s="180"/>
      <c r="I726" s="181"/>
      <c r="J726" s="180" t="s">
        <v>242</v>
      </c>
      <c r="K726" s="182" t="s">
        <v>363</v>
      </c>
      <c r="R726" s="163"/>
      <c r="S726" s="163"/>
    </row>
    <row r="727">
      <c r="A727" s="179">
        <f t="shared" si="2"/>
        <v>726</v>
      </c>
      <c r="B727" s="180"/>
      <c r="C727" s="180" t="s">
        <v>208</v>
      </c>
      <c r="D727" s="180" t="s">
        <v>208</v>
      </c>
      <c r="E727" s="180" t="s">
        <v>208</v>
      </c>
      <c r="F727" s="180" t="s">
        <v>208</v>
      </c>
      <c r="G727" s="180" t="s">
        <v>208</v>
      </c>
      <c r="H727" s="181"/>
      <c r="I727" s="181"/>
      <c r="J727" s="181"/>
      <c r="K727" s="182" t="s">
        <v>363</v>
      </c>
      <c r="R727" s="163"/>
      <c r="S727" s="163"/>
    </row>
    <row r="728">
      <c r="A728" s="179">
        <f t="shared" si="2"/>
        <v>727</v>
      </c>
      <c r="B728" s="180"/>
      <c r="C728" s="180" t="s">
        <v>208</v>
      </c>
      <c r="D728" s="180" t="s">
        <v>208</v>
      </c>
      <c r="E728" s="180" t="s">
        <v>208</v>
      </c>
      <c r="F728" s="180" t="s">
        <v>208</v>
      </c>
      <c r="G728" s="180" t="s">
        <v>208</v>
      </c>
      <c r="H728" s="181"/>
      <c r="I728" s="181"/>
      <c r="J728" s="181"/>
      <c r="K728" s="182" t="s">
        <v>363</v>
      </c>
      <c r="R728" s="163"/>
      <c r="S728" s="163"/>
    </row>
    <row r="729">
      <c r="A729" s="179">
        <f t="shared" si="2"/>
        <v>728</v>
      </c>
      <c r="B729" s="180"/>
      <c r="C729" s="180" t="s">
        <v>208</v>
      </c>
      <c r="D729" s="180" t="s">
        <v>208</v>
      </c>
      <c r="E729" s="180" t="s">
        <v>208</v>
      </c>
      <c r="F729" s="180" t="s">
        <v>208</v>
      </c>
      <c r="G729" s="180" t="s">
        <v>208</v>
      </c>
      <c r="H729" s="181"/>
      <c r="I729" s="181"/>
      <c r="J729" s="181"/>
      <c r="K729" s="182" t="s">
        <v>363</v>
      </c>
      <c r="R729" s="163"/>
      <c r="S729" s="163"/>
    </row>
    <row r="730">
      <c r="A730" s="179">
        <f t="shared" si="2"/>
        <v>729</v>
      </c>
      <c r="B730" s="180"/>
      <c r="C730" s="180" t="s">
        <v>208</v>
      </c>
      <c r="D730" s="180" t="s">
        <v>208</v>
      </c>
      <c r="E730" s="180" t="s">
        <v>208</v>
      </c>
      <c r="F730" s="180" t="s">
        <v>208</v>
      </c>
      <c r="G730" s="180" t="s">
        <v>208</v>
      </c>
      <c r="H730" s="181"/>
      <c r="I730" s="181"/>
      <c r="J730" s="181"/>
      <c r="K730" s="182" t="s">
        <v>363</v>
      </c>
      <c r="R730" s="163"/>
      <c r="S730" s="163"/>
    </row>
    <row r="731">
      <c r="A731" s="179">
        <f t="shared" si="2"/>
        <v>730</v>
      </c>
      <c r="B731" s="180"/>
      <c r="C731" s="180" t="s">
        <v>208</v>
      </c>
      <c r="D731" s="180" t="s">
        <v>208</v>
      </c>
      <c r="E731" s="180" t="s">
        <v>208</v>
      </c>
      <c r="F731" s="180" t="s">
        <v>208</v>
      </c>
      <c r="G731" s="180" t="s">
        <v>208</v>
      </c>
      <c r="H731" s="181"/>
      <c r="I731" s="181"/>
      <c r="J731" s="181"/>
      <c r="K731" s="182" t="s">
        <v>363</v>
      </c>
      <c r="R731" s="163"/>
      <c r="S731" s="163"/>
    </row>
    <row r="732">
      <c r="A732" s="179">
        <f t="shared" si="2"/>
        <v>731</v>
      </c>
      <c r="B732" s="180"/>
      <c r="C732" s="180" t="s">
        <v>208</v>
      </c>
      <c r="D732" s="180" t="s">
        <v>208</v>
      </c>
      <c r="E732" s="180" t="s">
        <v>208</v>
      </c>
      <c r="F732" s="180" t="s">
        <v>208</v>
      </c>
      <c r="G732" s="180" t="s">
        <v>208</v>
      </c>
      <c r="H732" s="181"/>
      <c r="I732" s="181"/>
      <c r="J732" s="181"/>
      <c r="K732" s="182" t="s">
        <v>363</v>
      </c>
      <c r="R732" s="173"/>
      <c r="S732" s="173"/>
    </row>
    <row r="733">
      <c r="A733" s="179">
        <f t="shared" si="2"/>
        <v>732</v>
      </c>
      <c r="B733" s="180"/>
      <c r="C733" s="180" t="s">
        <v>208</v>
      </c>
      <c r="D733" s="180" t="s">
        <v>208</v>
      </c>
      <c r="E733" s="180" t="s">
        <v>208</v>
      </c>
      <c r="F733" s="180" t="s">
        <v>208</v>
      </c>
      <c r="G733" s="180" t="s">
        <v>208</v>
      </c>
      <c r="H733" s="181"/>
      <c r="I733" s="181"/>
      <c r="J733" s="181"/>
      <c r="K733" s="182" t="s">
        <v>363</v>
      </c>
      <c r="R733" s="157"/>
      <c r="S733" s="157"/>
    </row>
    <row r="734">
      <c r="A734" s="179">
        <f t="shared" si="2"/>
        <v>733</v>
      </c>
      <c r="B734" s="180"/>
      <c r="C734" s="180" t="s">
        <v>208</v>
      </c>
      <c r="D734" s="180" t="s">
        <v>208</v>
      </c>
      <c r="E734" s="180" t="s">
        <v>208</v>
      </c>
      <c r="F734" s="180" t="s">
        <v>208</v>
      </c>
      <c r="G734" s="180" t="s">
        <v>208</v>
      </c>
      <c r="H734" s="180"/>
      <c r="I734" s="181"/>
      <c r="J734" s="181"/>
      <c r="K734" s="182" t="s">
        <v>363</v>
      </c>
      <c r="R734" s="163"/>
      <c r="S734" s="163"/>
    </row>
    <row r="735">
      <c r="A735" s="179">
        <f t="shared" si="2"/>
        <v>734</v>
      </c>
      <c r="B735" s="180"/>
      <c r="C735" s="180"/>
      <c r="D735" s="180"/>
      <c r="E735" s="180"/>
      <c r="F735" s="180"/>
      <c r="G735" s="181"/>
      <c r="H735" s="185"/>
      <c r="I735" s="181"/>
      <c r="J735" s="180" t="s">
        <v>242</v>
      </c>
      <c r="K735" s="182" t="s">
        <v>363</v>
      </c>
      <c r="R735" s="163"/>
      <c r="S735" s="163"/>
    </row>
    <row r="736">
      <c r="A736" s="179">
        <f t="shared" si="2"/>
        <v>735</v>
      </c>
      <c r="B736" s="180"/>
      <c r="C736" s="180"/>
      <c r="D736" s="180"/>
      <c r="E736" s="180"/>
      <c r="F736" s="180"/>
      <c r="G736" s="181"/>
      <c r="H736" s="185"/>
      <c r="I736" s="181"/>
      <c r="J736" s="180" t="s">
        <v>242</v>
      </c>
      <c r="K736" s="182" t="s">
        <v>363</v>
      </c>
      <c r="R736" s="163"/>
      <c r="S736" s="163"/>
    </row>
    <row r="737">
      <c r="A737" s="179">
        <f t="shared" si="2"/>
        <v>736</v>
      </c>
      <c r="B737" s="180"/>
      <c r="C737" s="180" t="s">
        <v>208</v>
      </c>
      <c r="D737" s="180" t="s">
        <v>208</v>
      </c>
      <c r="E737" s="180" t="s">
        <v>208</v>
      </c>
      <c r="F737" s="180" t="s">
        <v>208</v>
      </c>
      <c r="G737" s="180" t="s">
        <v>208</v>
      </c>
      <c r="H737" s="180"/>
      <c r="I737" s="181"/>
      <c r="J737" s="180"/>
      <c r="K737" s="182" t="s">
        <v>363</v>
      </c>
      <c r="R737" s="163"/>
      <c r="S737" s="163"/>
    </row>
    <row r="738">
      <c r="A738" s="179">
        <f t="shared" si="2"/>
        <v>737</v>
      </c>
      <c r="B738" s="180"/>
      <c r="C738" s="180" t="s">
        <v>208</v>
      </c>
      <c r="D738" s="180" t="s">
        <v>208</v>
      </c>
      <c r="E738" s="180" t="s">
        <v>208</v>
      </c>
      <c r="F738" s="180" t="s">
        <v>208</v>
      </c>
      <c r="G738" s="180" t="s">
        <v>208</v>
      </c>
      <c r="H738" s="185"/>
      <c r="I738" s="181"/>
      <c r="J738" s="181"/>
      <c r="K738" s="182" t="s">
        <v>363</v>
      </c>
      <c r="R738" s="163"/>
      <c r="S738" s="163"/>
    </row>
    <row r="739">
      <c r="A739" s="179">
        <f t="shared" si="2"/>
        <v>738</v>
      </c>
      <c r="B739" s="180"/>
      <c r="C739" s="180" t="s">
        <v>208</v>
      </c>
      <c r="D739" s="180" t="s">
        <v>208</v>
      </c>
      <c r="E739" s="180" t="s">
        <v>208</v>
      </c>
      <c r="F739" s="180" t="s">
        <v>208</v>
      </c>
      <c r="G739" s="180" t="s">
        <v>208</v>
      </c>
      <c r="H739" s="181"/>
      <c r="I739" s="181"/>
      <c r="J739" s="181"/>
      <c r="K739" s="182" t="s">
        <v>363</v>
      </c>
      <c r="R739" s="163"/>
      <c r="S739" s="163"/>
    </row>
    <row r="740">
      <c r="A740" s="179">
        <f t="shared" si="2"/>
        <v>739</v>
      </c>
      <c r="B740" s="180"/>
      <c r="C740" s="180"/>
      <c r="D740" s="180"/>
      <c r="E740" s="180"/>
      <c r="F740" s="180"/>
      <c r="G740" s="180"/>
      <c r="H740" s="181"/>
      <c r="I740" s="181"/>
      <c r="J740" s="180" t="s">
        <v>242</v>
      </c>
      <c r="K740" s="182" t="s">
        <v>363</v>
      </c>
      <c r="R740" s="163"/>
      <c r="S740" s="163"/>
    </row>
    <row r="741">
      <c r="A741" s="179">
        <f t="shared" si="2"/>
        <v>740</v>
      </c>
      <c r="B741" s="180"/>
      <c r="C741" s="180"/>
      <c r="D741" s="180"/>
      <c r="E741" s="180"/>
      <c r="F741" s="180"/>
      <c r="G741" s="180"/>
      <c r="H741" s="181"/>
      <c r="I741" s="181"/>
      <c r="J741" s="180" t="s">
        <v>242</v>
      </c>
      <c r="K741" s="182" t="s">
        <v>363</v>
      </c>
      <c r="R741" s="163"/>
      <c r="S741" s="163"/>
    </row>
    <row r="742">
      <c r="A742" s="179">
        <f t="shared" si="2"/>
        <v>741</v>
      </c>
      <c r="B742" s="180"/>
      <c r="C742" s="180" t="s">
        <v>208</v>
      </c>
      <c r="D742" s="180" t="s">
        <v>208</v>
      </c>
      <c r="E742" s="180" t="s">
        <v>208</v>
      </c>
      <c r="F742" s="180" t="s">
        <v>208</v>
      </c>
      <c r="G742" s="180" t="s">
        <v>208</v>
      </c>
      <c r="H742" s="181"/>
      <c r="I742" s="181"/>
      <c r="J742" s="181"/>
      <c r="K742" s="182" t="s">
        <v>363</v>
      </c>
      <c r="R742" s="163"/>
      <c r="S742" s="163"/>
    </row>
    <row r="743">
      <c r="A743" s="179">
        <f t="shared" si="2"/>
        <v>742</v>
      </c>
      <c r="B743" s="180"/>
      <c r="C743" s="180" t="s">
        <v>208</v>
      </c>
      <c r="D743" s="180" t="s">
        <v>208</v>
      </c>
      <c r="E743" s="180" t="s">
        <v>208</v>
      </c>
      <c r="F743" s="180" t="s">
        <v>208</v>
      </c>
      <c r="G743" s="180" t="s">
        <v>208</v>
      </c>
      <c r="H743" s="181"/>
      <c r="I743" s="181"/>
      <c r="J743" s="181"/>
      <c r="K743" s="182" t="s">
        <v>363</v>
      </c>
      <c r="R743" s="163"/>
      <c r="S743" s="163"/>
    </row>
    <row r="744">
      <c r="A744" s="179">
        <f t="shared" si="2"/>
        <v>743</v>
      </c>
      <c r="B744" s="180"/>
      <c r="C744" s="180" t="s">
        <v>208</v>
      </c>
      <c r="D744" s="180" t="s">
        <v>208</v>
      </c>
      <c r="E744" s="180" t="s">
        <v>208</v>
      </c>
      <c r="F744" s="180" t="s">
        <v>208</v>
      </c>
      <c r="G744" s="180" t="s">
        <v>208</v>
      </c>
      <c r="H744" s="180"/>
      <c r="I744" s="181"/>
      <c r="J744" s="180"/>
      <c r="K744" s="182" t="s">
        <v>363</v>
      </c>
      <c r="R744" s="173"/>
      <c r="S744" s="173"/>
    </row>
    <row r="745">
      <c r="A745" s="179">
        <f t="shared" si="2"/>
        <v>744</v>
      </c>
      <c r="B745" s="180"/>
      <c r="C745" s="180" t="s">
        <v>208</v>
      </c>
      <c r="D745" s="180" t="s">
        <v>208</v>
      </c>
      <c r="E745" s="180" t="s">
        <v>208</v>
      </c>
      <c r="F745" s="180" t="s">
        <v>208</v>
      </c>
      <c r="G745" s="180" t="s">
        <v>208</v>
      </c>
      <c r="H745" s="181"/>
      <c r="I745" s="181"/>
      <c r="J745" s="180"/>
      <c r="K745" s="182" t="s">
        <v>363</v>
      </c>
      <c r="R745" s="157"/>
      <c r="S745" s="157"/>
    </row>
    <row r="746">
      <c r="A746" s="179">
        <f t="shared" si="2"/>
        <v>745</v>
      </c>
      <c r="B746" s="180"/>
      <c r="C746" s="180" t="s">
        <v>208</v>
      </c>
      <c r="D746" s="180" t="s">
        <v>208</v>
      </c>
      <c r="E746" s="180" t="s">
        <v>208</v>
      </c>
      <c r="F746" s="180" t="s">
        <v>208</v>
      </c>
      <c r="G746" s="180" t="s">
        <v>208</v>
      </c>
      <c r="H746" s="181"/>
      <c r="I746" s="181"/>
      <c r="J746" s="181"/>
      <c r="K746" s="182" t="s">
        <v>363</v>
      </c>
      <c r="R746" s="163"/>
      <c r="S746" s="163"/>
    </row>
    <row r="747">
      <c r="A747" s="179">
        <f t="shared" si="2"/>
        <v>746</v>
      </c>
      <c r="B747" s="180"/>
      <c r="C747" s="180" t="s">
        <v>208</v>
      </c>
      <c r="D747" s="180" t="s">
        <v>208</v>
      </c>
      <c r="E747" s="180" t="s">
        <v>208</v>
      </c>
      <c r="F747" s="180" t="s">
        <v>208</v>
      </c>
      <c r="G747" s="180" t="s">
        <v>208</v>
      </c>
      <c r="H747" s="181"/>
      <c r="I747" s="181"/>
      <c r="J747" s="181"/>
      <c r="K747" s="182" t="s">
        <v>363</v>
      </c>
      <c r="R747" s="163"/>
      <c r="S747" s="163"/>
    </row>
    <row r="748">
      <c r="A748" s="179">
        <f t="shared" si="2"/>
        <v>747</v>
      </c>
      <c r="B748" s="180"/>
      <c r="C748" s="180" t="s">
        <v>208</v>
      </c>
      <c r="D748" s="180" t="s">
        <v>208</v>
      </c>
      <c r="E748" s="180" t="s">
        <v>208</v>
      </c>
      <c r="F748" s="180" t="s">
        <v>208</v>
      </c>
      <c r="G748" s="180" t="s">
        <v>208</v>
      </c>
      <c r="H748" s="181"/>
      <c r="I748" s="181"/>
      <c r="J748" s="181"/>
      <c r="K748" s="182" t="s">
        <v>363</v>
      </c>
      <c r="R748" s="163"/>
      <c r="S748" s="163"/>
    </row>
    <row r="749">
      <c r="A749" s="179">
        <f t="shared" si="2"/>
        <v>748</v>
      </c>
      <c r="B749" s="180"/>
      <c r="C749" s="180"/>
      <c r="D749" s="180"/>
      <c r="E749" s="180"/>
      <c r="F749" s="180"/>
      <c r="G749" s="180"/>
      <c r="H749" s="181"/>
      <c r="I749" s="181"/>
      <c r="J749" s="180" t="s">
        <v>242</v>
      </c>
      <c r="K749" s="182" t="s">
        <v>363</v>
      </c>
      <c r="R749" s="163"/>
      <c r="S749" s="163"/>
    </row>
    <row r="750">
      <c r="A750" s="179">
        <f t="shared" si="2"/>
        <v>749</v>
      </c>
      <c r="B750" s="181"/>
      <c r="C750" s="180" t="s">
        <v>208</v>
      </c>
      <c r="D750" s="180" t="s">
        <v>208</v>
      </c>
      <c r="E750" s="180" t="s">
        <v>208</v>
      </c>
      <c r="F750" s="180" t="s">
        <v>208</v>
      </c>
      <c r="G750" s="180" t="s">
        <v>208</v>
      </c>
      <c r="H750" s="180"/>
      <c r="I750" s="180"/>
      <c r="J750" s="181"/>
      <c r="K750" s="182" t="s">
        <v>363</v>
      </c>
      <c r="R750" s="163"/>
      <c r="S750" s="163"/>
    </row>
    <row r="751">
      <c r="A751" s="179">
        <f t="shared" si="2"/>
        <v>750</v>
      </c>
      <c r="B751" s="180"/>
      <c r="C751" s="180" t="s">
        <v>208</v>
      </c>
      <c r="D751" s="180" t="s">
        <v>208</v>
      </c>
      <c r="E751" s="180" t="s">
        <v>208</v>
      </c>
      <c r="F751" s="180" t="s">
        <v>208</v>
      </c>
      <c r="G751" s="180" t="s">
        <v>208</v>
      </c>
      <c r="H751" s="181"/>
      <c r="I751" s="181"/>
      <c r="J751" s="181"/>
      <c r="K751" s="182" t="s">
        <v>363</v>
      </c>
      <c r="R751" s="163"/>
      <c r="S751" s="163"/>
    </row>
    <row r="752">
      <c r="A752" s="179">
        <f t="shared" si="2"/>
        <v>751</v>
      </c>
      <c r="B752" s="180"/>
      <c r="C752" s="180" t="s">
        <v>208</v>
      </c>
      <c r="D752" s="180" t="s">
        <v>208</v>
      </c>
      <c r="E752" s="180" t="s">
        <v>208</v>
      </c>
      <c r="F752" s="180" t="s">
        <v>208</v>
      </c>
      <c r="G752" s="180" t="s">
        <v>208</v>
      </c>
      <c r="H752" s="185"/>
      <c r="I752" s="180"/>
      <c r="J752" s="181"/>
      <c r="K752" s="182" t="s">
        <v>363</v>
      </c>
      <c r="R752" s="163"/>
      <c r="S752" s="163"/>
    </row>
    <row r="753">
      <c r="A753" s="179">
        <f t="shared" si="2"/>
        <v>752</v>
      </c>
      <c r="B753" s="180"/>
      <c r="C753" s="180" t="s">
        <v>208</v>
      </c>
      <c r="D753" s="180" t="s">
        <v>208</v>
      </c>
      <c r="E753" s="180" t="s">
        <v>208</v>
      </c>
      <c r="F753" s="180" t="s">
        <v>208</v>
      </c>
      <c r="G753" s="180" t="s">
        <v>208</v>
      </c>
      <c r="H753" s="180"/>
      <c r="I753" s="181"/>
      <c r="J753" s="180"/>
      <c r="K753" s="182" t="s">
        <v>363</v>
      </c>
      <c r="R753" s="163"/>
      <c r="S753" s="163"/>
    </row>
    <row r="754">
      <c r="A754" s="179">
        <f t="shared" si="2"/>
        <v>753</v>
      </c>
      <c r="B754" s="180"/>
      <c r="C754" s="180" t="s">
        <v>208</v>
      </c>
      <c r="D754" s="180" t="s">
        <v>208</v>
      </c>
      <c r="E754" s="180" t="s">
        <v>208</v>
      </c>
      <c r="F754" s="180" t="s">
        <v>208</v>
      </c>
      <c r="G754" s="180" t="s">
        <v>208</v>
      </c>
      <c r="H754" s="181"/>
      <c r="I754" s="181"/>
      <c r="J754" s="181"/>
      <c r="K754" s="182" t="s">
        <v>363</v>
      </c>
      <c r="R754" s="163"/>
      <c r="S754" s="163"/>
    </row>
    <row r="755">
      <c r="A755" s="179">
        <f t="shared" si="2"/>
        <v>754</v>
      </c>
      <c r="B755" s="181"/>
      <c r="C755" s="180" t="s">
        <v>208</v>
      </c>
      <c r="D755" s="180" t="s">
        <v>208</v>
      </c>
      <c r="E755" s="180" t="s">
        <v>208</v>
      </c>
      <c r="F755" s="180" t="s">
        <v>208</v>
      </c>
      <c r="G755" s="180" t="s">
        <v>208</v>
      </c>
      <c r="H755" s="181"/>
      <c r="I755" s="181"/>
      <c r="J755" s="181"/>
      <c r="K755" s="182" t="s">
        <v>363</v>
      </c>
      <c r="R755" s="163"/>
      <c r="S755" s="163"/>
    </row>
    <row r="756">
      <c r="A756" s="179">
        <f t="shared" si="2"/>
        <v>755</v>
      </c>
      <c r="B756" s="180"/>
      <c r="C756" s="180" t="s">
        <v>208</v>
      </c>
      <c r="D756" s="180" t="s">
        <v>208</v>
      </c>
      <c r="E756" s="180" t="s">
        <v>208</v>
      </c>
      <c r="F756" s="180" t="s">
        <v>208</v>
      </c>
      <c r="G756" s="180" t="s">
        <v>208</v>
      </c>
      <c r="H756" s="181"/>
      <c r="I756" s="181"/>
      <c r="J756" s="181"/>
      <c r="K756" s="182" t="s">
        <v>363</v>
      </c>
      <c r="R756" s="173"/>
      <c r="S756" s="173"/>
    </row>
    <row r="757">
      <c r="A757" s="179">
        <f t="shared" si="2"/>
        <v>756</v>
      </c>
      <c r="B757" s="180"/>
      <c r="C757" s="180" t="s">
        <v>208</v>
      </c>
      <c r="D757" s="180" t="s">
        <v>208</v>
      </c>
      <c r="E757" s="180" t="s">
        <v>208</v>
      </c>
      <c r="F757" s="180" t="s">
        <v>208</v>
      </c>
      <c r="G757" s="180" t="s">
        <v>208</v>
      </c>
      <c r="H757" s="181"/>
      <c r="I757" s="181"/>
      <c r="J757" s="181"/>
      <c r="K757" s="182" t="s">
        <v>363</v>
      </c>
      <c r="R757" s="157"/>
      <c r="S757" s="157"/>
    </row>
    <row r="758">
      <c r="A758" s="179">
        <f t="shared" si="2"/>
        <v>757</v>
      </c>
      <c r="B758" s="180"/>
      <c r="C758" s="180" t="s">
        <v>208</v>
      </c>
      <c r="D758" s="180" t="s">
        <v>208</v>
      </c>
      <c r="E758" s="180" t="s">
        <v>208</v>
      </c>
      <c r="F758" s="180" t="s">
        <v>208</v>
      </c>
      <c r="G758" s="180" t="s">
        <v>208</v>
      </c>
      <c r="H758" s="181"/>
      <c r="I758" s="181"/>
      <c r="J758" s="181"/>
      <c r="K758" s="182" t="s">
        <v>363</v>
      </c>
      <c r="R758" s="163"/>
      <c r="S758" s="163"/>
    </row>
    <row r="759">
      <c r="A759" s="179">
        <f t="shared" si="2"/>
        <v>758</v>
      </c>
      <c r="B759" s="181"/>
      <c r="C759" s="180" t="s">
        <v>208</v>
      </c>
      <c r="D759" s="180" t="s">
        <v>208</v>
      </c>
      <c r="E759" s="180" t="s">
        <v>208</v>
      </c>
      <c r="F759" s="180" t="s">
        <v>208</v>
      </c>
      <c r="G759" s="180" t="s">
        <v>208</v>
      </c>
      <c r="H759" s="181"/>
      <c r="I759" s="181"/>
      <c r="J759" s="181"/>
      <c r="K759" s="182" t="s">
        <v>363</v>
      </c>
      <c r="R759" s="163"/>
      <c r="S759" s="163"/>
    </row>
    <row r="760">
      <c r="A760" s="179">
        <f t="shared" si="2"/>
        <v>759</v>
      </c>
      <c r="B760" s="180"/>
      <c r="C760" s="180" t="s">
        <v>208</v>
      </c>
      <c r="D760" s="180" t="s">
        <v>208</v>
      </c>
      <c r="E760" s="180" t="s">
        <v>208</v>
      </c>
      <c r="F760" s="180" t="s">
        <v>208</v>
      </c>
      <c r="G760" s="180" t="s">
        <v>208</v>
      </c>
      <c r="H760" s="181"/>
      <c r="I760" s="181"/>
      <c r="J760" s="181"/>
      <c r="K760" s="182" t="s">
        <v>363</v>
      </c>
      <c r="R760" s="163"/>
      <c r="S760" s="163"/>
    </row>
    <row r="761">
      <c r="A761" s="179">
        <f t="shared" si="2"/>
        <v>760</v>
      </c>
      <c r="B761" s="180"/>
      <c r="C761" s="180" t="s">
        <v>208</v>
      </c>
      <c r="D761" s="180" t="s">
        <v>208</v>
      </c>
      <c r="E761" s="180" t="s">
        <v>208</v>
      </c>
      <c r="F761" s="180" t="s">
        <v>208</v>
      </c>
      <c r="G761" s="180" t="s">
        <v>208</v>
      </c>
      <c r="H761" s="180"/>
      <c r="I761" s="181"/>
      <c r="J761" s="181"/>
      <c r="K761" s="182" t="s">
        <v>363</v>
      </c>
      <c r="R761" s="163"/>
      <c r="S761" s="163"/>
    </row>
    <row r="762">
      <c r="A762" s="179">
        <f t="shared" si="2"/>
        <v>761</v>
      </c>
      <c r="B762" s="180"/>
      <c r="C762" s="180"/>
      <c r="D762" s="180" t="s">
        <v>208</v>
      </c>
      <c r="E762" s="180" t="s">
        <v>208</v>
      </c>
      <c r="F762" s="180" t="s">
        <v>208</v>
      </c>
      <c r="G762" s="181"/>
      <c r="H762" s="180" t="s">
        <v>208</v>
      </c>
      <c r="I762" s="181"/>
      <c r="J762" s="181"/>
      <c r="K762" s="182" t="s">
        <v>363</v>
      </c>
      <c r="R762" s="163"/>
      <c r="S762" s="163"/>
    </row>
    <row r="763">
      <c r="A763" s="179">
        <f t="shared" si="2"/>
        <v>762</v>
      </c>
      <c r="B763" s="180"/>
      <c r="C763" s="180" t="s">
        <v>208</v>
      </c>
      <c r="D763" s="180" t="s">
        <v>208</v>
      </c>
      <c r="E763" s="180" t="s">
        <v>208</v>
      </c>
      <c r="F763" s="180" t="s">
        <v>208</v>
      </c>
      <c r="G763" s="180" t="s">
        <v>208</v>
      </c>
      <c r="H763" s="185"/>
      <c r="I763" s="181"/>
      <c r="J763" s="181"/>
      <c r="K763" s="182" t="s">
        <v>363</v>
      </c>
      <c r="R763" s="163"/>
      <c r="S763" s="163"/>
    </row>
    <row r="764">
      <c r="A764" s="179">
        <f t="shared" si="2"/>
        <v>763</v>
      </c>
      <c r="B764" s="180"/>
      <c r="C764" s="180" t="s">
        <v>208</v>
      </c>
      <c r="D764" s="180" t="s">
        <v>208</v>
      </c>
      <c r="E764" s="180" t="s">
        <v>208</v>
      </c>
      <c r="F764" s="180" t="s">
        <v>208</v>
      </c>
      <c r="G764" s="180" t="s">
        <v>208</v>
      </c>
      <c r="H764" s="180"/>
      <c r="I764" s="181"/>
      <c r="J764" s="181"/>
      <c r="K764" s="182" t="s">
        <v>363</v>
      </c>
      <c r="R764" s="163"/>
      <c r="S764" s="163"/>
    </row>
    <row r="765">
      <c r="A765" s="179">
        <f t="shared" si="2"/>
        <v>764</v>
      </c>
      <c r="B765" s="180"/>
      <c r="C765" s="180" t="s">
        <v>208</v>
      </c>
      <c r="D765" s="180" t="s">
        <v>208</v>
      </c>
      <c r="E765" s="180" t="s">
        <v>208</v>
      </c>
      <c r="F765" s="180" t="s">
        <v>208</v>
      </c>
      <c r="G765" s="180" t="s">
        <v>208</v>
      </c>
      <c r="H765" s="180"/>
      <c r="I765" s="181"/>
      <c r="J765" s="181"/>
      <c r="K765" s="182" t="s">
        <v>363</v>
      </c>
      <c r="R765" s="163"/>
      <c r="S765" s="163"/>
    </row>
    <row r="766">
      <c r="A766" s="179">
        <f t="shared" si="2"/>
        <v>765</v>
      </c>
      <c r="B766" s="180"/>
      <c r="C766" s="180" t="s">
        <v>208</v>
      </c>
      <c r="D766" s="180" t="s">
        <v>208</v>
      </c>
      <c r="E766" s="180" t="s">
        <v>208</v>
      </c>
      <c r="F766" s="180" t="s">
        <v>208</v>
      </c>
      <c r="G766" s="180" t="s">
        <v>208</v>
      </c>
      <c r="H766" s="181"/>
      <c r="I766" s="181"/>
      <c r="J766" s="181"/>
      <c r="K766" s="182" t="s">
        <v>363</v>
      </c>
      <c r="R766" s="163"/>
      <c r="S766" s="163"/>
    </row>
    <row r="767">
      <c r="A767" s="179">
        <f t="shared" si="2"/>
        <v>766</v>
      </c>
      <c r="B767" s="180"/>
      <c r="C767" s="180" t="s">
        <v>208</v>
      </c>
      <c r="D767" s="180" t="s">
        <v>208</v>
      </c>
      <c r="E767" s="180" t="s">
        <v>208</v>
      </c>
      <c r="F767" s="180" t="s">
        <v>208</v>
      </c>
      <c r="G767" s="180" t="s">
        <v>208</v>
      </c>
      <c r="H767" s="181"/>
      <c r="I767" s="181"/>
      <c r="J767" s="181"/>
      <c r="K767" s="182" t="s">
        <v>363</v>
      </c>
      <c r="R767" s="163"/>
      <c r="S767" s="163"/>
    </row>
    <row r="768">
      <c r="A768" s="179">
        <f t="shared" si="2"/>
        <v>767</v>
      </c>
      <c r="B768" s="180"/>
      <c r="C768" s="180" t="s">
        <v>208</v>
      </c>
      <c r="D768" s="180" t="s">
        <v>208</v>
      </c>
      <c r="E768" s="180" t="s">
        <v>208</v>
      </c>
      <c r="F768" s="180" t="s">
        <v>208</v>
      </c>
      <c r="G768" s="180" t="s">
        <v>208</v>
      </c>
      <c r="H768" s="181"/>
      <c r="I768" s="181"/>
      <c r="J768" s="180"/>
      <c r="K768" s="182" t="s">
        <v>363</v>
      </c>
      <c r="R768" s="173"/>
      <c r="S768" s="173"/>
    </row>
    <row r="769">
      <c r="A769" s="179">
        <f t="shared" si="2"/>
        <v>768</v>
      </c>
      <c r="B769" s="181"/>
      <c r="C769" s="180" t="s">
        <v>208</v>
      </c>
      <c r="D769" s="180" t="s">
        <v>208</v>
      </c>
      <c r="E769" s="180" t="s">
        <v>208</v>
      </c>
      <c r="F769" s="180" t="s">
        <v>208</v>
      </c>
      <c r="G769" s="180" t="s">
        <v>208</v>
      </c>
      <c r="H769" s="181"/>
      <c r="I769" s="181"/>
      <c r="J769" s="181"/>
      <c r="K769" s="182" t="s">
        <v>363</v>
      </c>
      <c r="R769" s="157"/>
      <c r="S769" s="157"/>
    </row>
    <row r="770">
      <c r="A770" s="179">
        <f t="shared" si="2"/>
        <v>769</v>
      </c>
      <c r="B770" s="180"/>
      <c r="C770" s="180" t="s">
        <v>208</v>
      </c>
      <c r="D770" s="180" t="s">
        <v>208</v>
      </c>
      <c r="E770" s="180" t="s">
        <v>208</v>
      </c>
      <c r="F770" s="180" t="s">
        <v>208</v>
      </c>
      <c r="G770" s="180" t="s">
        <v>208</v>
      </c>
      <c r="H770" s="181"/>
      <c r="I770" s="181"/>
      <c r="J770" s="181"/>
      <c r="K770" s="182" t="s">
        <v>363</v>
      </c>
      <c r="R770" s="163"/>
      <c r="S770" s="163"/>
    </row>
    <row r="771">
      <c r="A771" s="179">
        <f t="shared" si="2"/>
        <v>770</v>
      </c>
      <c r="B771" s="180"/>
      <c r="C771" s="180" t="s">
        <v>208</v>
      </c>
      <c r="D771" s="180" t="s">
        <v>208</v>
      </c>
      <c r="E771" s="180" t="s">
        <v>208</v>
      </c>
      <c r="F771" s="180" t="s">
        <v>208</v>
      </c>
      <c r="G771" s="180" t="s">
        <v>208</v>
      </c>
      <c r="H771" s="181"/>
      <c r="I771" s="181"/>
      <c r="J771" s="181"/>
      <c r="K771" s="182" t="s">
        <v>363</v>
      </c>
      <c r="R771" s="163"/>
      <c r="S771" s="163"/>
    </row>
    <row r="772">
      <c r="A772" s="179">
        <f t="shared" si="2"/>
        <v>771</v>
      </c>
      <c r="B772" s="180"/>
      <c r="C772" s="180" t="s">
        <v>208</v>
      </c>
      <c r="D772" s="180" t="s">
        <v>208</v>
      </c>
      <c r="E772" s="180" t="s">
        <v>208</v>
      </c>
      <c r="F772" s="180" t="s">
        <v>208</v>
      </c>
      <c r="G772" s="180" t="s">
        <v>208</v>
      </c>
      <c r="H772" s="181"/>
      <c r="I772" s="181"/>
      <c r="J772" s="181"/>
      <c r="K772" s="182" t="s">
        <v>363</v>
      </c>
      <c r="R772" s="163"/>
      <c r="S772" s="163"/>
    </row>
    <row r="773">
      <c r="A773" s="179">
        <f t="shared" si="2"/>
        <v>772</v>
      </c>
      <c r="B773" s="180"/>
      <c r="C773" s="180" t="s">
        <v>208</v>
      </c>
      <c r="D773" s="180" t="s">
        <v>208</v>
      </c>
      <c r="E773" s="180" t="s">
        <v>208</v>
      </c>
      <c r="F773" s="180" t="s">
        <v>208</v>
      </c>
      <c r="G773" s="180" t="s">
        <v>208</v>
      </c>
      <c r="H773" s="181"/>
      <c r="I773" s="181"/>
      <c r="J773" s="181"/>
      <c r="K773" s="182" t="s">
        <v>363</v>
      </c>
      <c r="R773" s="163"/>
      <c r="S773" s="163"/>
    </row>
    <row r="774">
      <c r="A774" s="179">
        <f t="shared" si="2"/>
        <v>773</v>
      </c>
      <c r="B774" s="180"/>
      <c r="C774" s="180" t="s">
        <v>208</v>
      </c>
      <c r="D774" s="180" t="s">
        <v>208</v>
      </c>
      <c r="E774" s="180" t="s">
        <v>208</v>
      </c>
      <c r="F774" s="180" t="s">
        <v>208</v>
      </c>
      <c r="G774" s="180" t="s">
        <v>208</v>
      </c>
      <c r="H774" s="181"/>
      <c r="I774" s="181"/>
      <c r="J774" s="180"/>
      <c r="K774" s="182" t="s">
        <v>363</v>
      </c>
      <c r="R774" s="163"/>
      <c r="S774" s="163"/>
    </row>
    <row r="775">
      <c r="A775" s="179">
        <f t="shared" si="2"/>
        <v>774</v>
      </c>
      <c r="B775" s="180"/>
      <c r="C775" s="180" t="s">
        <v>208</v>
      </c>
      <c r="D775" s="180" t="s">
        <v>208</v>
      </c>
      <c r="E775" s="180" t="s">
        <v>208</v>
      </c>
      <c r="F775" s="180" t="s">
        <v>208</v>
      </c>
      <c r="G775" s="180" t="s">
        <v>208</v>
      </c>
      <c r="H775" s="181"/>
      <c r="I775" s="181"/>
      <c r="J775" s="181"/>
      <c r="K775" s="182" t="s">
        <v>363</v>
      </c>
      <c r="R775" s="163"/>
      <c r="S775" s="163"/>
    </row>
    <row r="776">
      <c r="A776" s="179">
        <f t="shared" si="2"/>
        <v>775</v>
      </c>
      <c r="B776" s="180"/>
      <c r="C776" s="180" t="s">
        <v>208</v>
      </c>
      <c r="D776" s="180" t="s">
        <v>208</v>
      </c>
      <c r="E776" s="180" t="s">
        <v>208</v>
      </c>
      <c r="F776" s="180" t="s">
        <v>208</v>
      </c>
      <c r="G776" s="180" t="s">
        <v>208</v>
      </c>
      <c r="H776" s="181"/>
      <c r="I776" s="181"/>
      <c r="J776" s="181"/>
      <c r="K776" s="182" t="s">
        <v>363</v>
      </c>
      <c r="R776" s="163"/>
      <c r="S776" s="163"/>
    </row>
    <row r="777">
      <c r="A777" s="179">
        <f t="shared" si="2"/>
        <v>776</v>
      </c>
      <c r="B777" s="180"/>
      <c r="C777" s="180" t="s">
        <v>208</v>
      </c>
      <c r="D777" s="180" t="s">
        <v>208</v>
      </c>
      <c r="E777" s="180" t="s">
        <v>208</v>
      </c>
      <c r="F777" s="180" t="s">
        <v>208</v>
      </c>
      <c r="G777" s="180" t="s">
        <v>208</v>
      </c>
      <c r="H777" s="181"/>
      <c r="I777" s="181"/>
      <c r="J777" s="181"/>
      <c r="K777" s="182" t="s">
        <v>363</v>
      </c>
      <c r="R777" s="163"/>
      <c r="S777" s="163"/>
    </row>
    <row r="778">
      <c r="A778" s="179">
        <f t="shared" si="2"/>
        <v>777</v>
      </c>
      <c r="B778" s="180"/>
      <c r="C778" s="180" t="s">
        <v>208</v>
      </c>
      <c r="D778" s="180" t="s">
        <v>208</v>
      </c>
      <c r="E778" s="180" t="s">
        <v>208</v>
      </c>
      <c r="F778" s="180" t="s">
        <v>208</v>
      </c>
      <c r="G778" s="180" t="s">
        <v>208</v>
      </c>
      <c r="H778" s="180"/>
      <c r="I778" s="181"/>
      <c r="J778" s="181"/>
      <c r="K778" s="182" t="s">
        <v>363</v>
      </c>
      <c r="R778" s="163"/>
      <c r="S778" s="163"/>
    </row>
    <row r="779">
      <c r="A779" s="179">
        <f t="shared" si="2"/>
        <v>778</v>
      </c>
      <c r="B779" s="180"/>
      <c r="C779" s="180" t="s">
        <v>208</v>
      </c>
      <c r="D779" s="180" t="s">
        <v>208</v>
      </c>
      <c r="E779" s="180" t="s">
        <v>208</v>
      </c>
      <c r="F779" s="180" t="s">
        <v>208</v>
      </c>
      <c r="G779" s="180" t="s">
        <v>208</v>
      </c>
      <c r="H779" s="185"/>
      <c r="I779" s="181"/>
      <c r="J779" s="181"/>
      <c r="K779" s="182" t="s">
        <v>363</v>
      </c>
      <c r="R779" s="163"/>
      <c r="S779" s="163"/>
    </row>
    <row r="780">
      <c r="A780" s="179">
        <f t="shared" si="2"/>
        <v>779</v>
      </c>
      <c r="B780" s="180"/>
      <c r="C780" s="180" t="s">
        <v>208</v>
      </c>
      <c r="D780" s="180" t="s">
        <v>208</v>
      </c>
      <c r="E780" s="180" t="s">
        <v>208</v>
      </c>
      <c r="F780" s="180" t="s">
        <v>208</v>
      </c>
      <c r="G780" s="180" t="s">
        <v>208</v>
      </c>
      <c r="H780" s="185"/>
      <c r="I780" s="181"/>
      <c r="J780" s="181"/>
      <c r="K780" s="182" t="s">
        <v>363</v>
      </c>
      <c r="R780" s="173"/>
      <c r="S780" s="173"/>
    </row>
    <row r="781">
      <c r="A781" s="179">
        <f t="shared" si="2"/>
        <v>780</v>
      </c>
      <c r="B781" s="180"/>
      <c r="C781" s="180" t="s">
        <v>208</v>
      </c>
      <c r="D781" s="180" t="s">
        <v>208</v>
      </c>
      <c r="E781" s="180" t="s">
        <v>208</v>
      </c>
      <c r="F781" s="180" t="s">
        <v>208</v>
      </c>
      <c r="G781" s="180" t="s">
        <v>208</v>
      </c>
      <c r="H781" s="180"/>
      <c r="I781" s="181"/>
      <c r="J781" s="181"/>
      <c r="K781" s="182" t="s">
        <v>363</v>
      </c>
      <c r="R781" s="157"/>
      <c r="S781" s="157"/>
    </row>
    <row r="782">
      <c r="A782" s="179">
        <f t="shared" si="2"/>
        <v>781</v>
      </c>
      <c r="B782" s="180"/>
      <c r="C782" s="180" t="s">
        <v>208</v>
      </c>
      <c r="D782" s="180" t="s">
        <v>208</v>
      </c>
      <c r="E782" s="180" t="s">
        <v>208</v>
      </c>
      <c r="F782" s="180" t="s">
        <v>208</v>
      </c>
      <c r="G782" s="180" t="s">
        <v>208</v>
      </c>
      <c r="H782" s="185"/>
      <c r="I782" s="181"/>
      <c r="J782" s="181"/>
      <c r="K782" s="182" t="s">
        <v>363</v>
      </c>
      <c r="R782" s="163"/>
      <c r="S782" s="163"/>
    </row>
    <row r="783">
      <c r="A783" s="179">
        <f t="shared" si="2"/>
        <v>782</v>
      </c>
      <c r="B783" s="180"/>
      <c r="C783" s="180" t="s">
        <v>208</v>
      </c>
      <c r="D783" s="180" t="s">
        <v>208</v>
      </c>
      <c r="E783" s="180" t="s">
        <v>208</v>
      </c>
      <c r="F783" s="180" t="s">
        <v>208</v>
      </c>
      <c r="G783" s="180" t="s">
        <v>208</v>
      </c>
      <c r="H783" s="181"/>
      <c r="I783" s="181"/>
      <c r="J783" s="181"/>
      <c r="K783" s="182" t="s">
        <v>363</v>
      </c>
      <c r="R783" s="163"/>
      <c r="S783" s="163"/>
    </row>
    <row r="784">
      <c r="A784" s="179">
        <f t="shared" si="2"/>
        <v>783</v>
      </c>
      <c r="B784" s="180"/>
      <c r="C784" s="180" t="s">
        <v>208</v>
      </c>
      <c r="D784" s="180" t="s">
        <v>208</v>
      </c>
      <c r="E784" s="180"/>
      <c r="F784" s="180" t="s">
        <v>208</v>
      </c>
      <c r="G784" s="180" t="s">
        <v>208</v>
      </c>
      <c r="H784" s="181"/>
      <c r="I784" s="181"/>
      <c r="J784" s="181"/>
      <c r="K784" s="182" t="s">
        <v>363</v>
      </c>
      <c r="R784" s="163"/>
      <c r="S784" s="163"/>
    </row>
    <row r="785">
      <c r="A785" s="179">
        <f t="shared" si="2"/>
        <v>784</v>
      </c>
      <c r="B785" s="180"/>
      <c r="C785" s="180" t="s">
        <v>208</v>
      </c>
      <c r="D785" s="180" t="s">
        <v>243</v>
      </c>
      <c r="E785" s="180" t="s">
        <v>208</v>
      </c>
      <c r="F785" s="180" t="s">
        <v>243</v>
      </c>
      <c r="G785" s="180" t="s">
        <v>208</v>
      </c>
      <c r="H785" s="181"/>
      <c r="I785" s="181"/>
      <c r="J785" s="181"/>
      <c r="K785" s="182" t="s">
        <v>363</v>
      </c>
      <c r="R785" s="163"/>
      <c r="S785" s="163"/>
    </row>
    <row r="786">
      <c r="A786" s="179">
        <f t="shared" si="2"/>
        <v>785</v>
      </c>
      <c r="B786" s="180"/>
      <c r="C786" s="180" t="s">
        <v>208</v>
      </c>
      <c r="D786" s="180" t="s">
        <v>208</v>
      </c>
      <c r="E786" s="180" t="s">
        <v>208</v>
      </c>
      <c r="F786" s="180" t="s">
        <v>208</v>
      </c>
      <c r="G786" s="180" t="s">
        <v>208</v>
      </c>
      <c r="H786" s="181"/>
      <c r="I786" s="181"/>
      <c r="J786" s="181"/>
      <c r="K786" s="182" t="s">
        <v>363</v>
      </c>
      <c r="R786" s="163"/>
      <c r="S786" s="163"/>
    </row>
    <row r="787">
      <c r="A787" s="179">
        <f t="shared" si="2"/>
        <v>786</v>
      </c>
      <c r="B787" s="180"/>
      <c r="C787" s="180" t="s">
        <v>208</v>
      </c>
      <c r="D787" s="180" t="s">
        <v>208</v>
      </c>
      <c r="E787" s="180" t="s">
        <v>208</v>
      </c>
      <c r="F787" s="180" t="s">
        <v>208</v>
      </c>
      <c r="G787" s="180" t="s">
        <v>208</v>
      </c>
      <c r="H787" s="181"/>
      <c r="I787" s="181"/>
      <c r="J787" s="180"/>
      <c r="K787" s="182" t="s">
        <v>363</v>
      </c>
      <c r="R787" s="163"/>
      <c r="S787" s="163"/>
    </row>
    <row r="788">
      <c r="A788" s="179">
        <f t="shared" si="2"/>
        <v>787</v>
      </c>
      <c r="B788" s="181"/>
      <c r="C788" s="180" t="s">
        <v>208</v>
      </c>
      <c r="D788" s="180" t="s">
        <v>208</v>
      </c>
      <c r="E788" s="180" t="s">
        <v>208</v>
      </c>
      <c r="F788" s="180" t="s">
        <v>208</v>
      </c>
      <c r="G788" s="180" t="s">
        <v>208</v>
      </c>
      <c r="H788" s="181"/>
      <c r="I788" s="181"/>
      <c r="J788" s="181"/>
      <c r="K788" s="182" t="s">
        <v>363</v>
      </c>
      <c r="R788" s="163"/>
      <c r="S788" s="163"/>
    </row>
    <row r="789">
      <c r="A789" s="179">
        <f t="shared" si="2"/>
        <v>788</v>
      </c>
      <c r="B789" s="180"/>
      <c r="C789" s="180" t="s">
        <v>208</v>
      </c>
      <c r="D789" s="180" t="s">
        <v>208</v>
      </c>
      <c r="E789" s="180" t="s">
        <v>208</v>
      </c>
      <c r="F789" s="180" t="s">
        <v>208</v>
      </c>
      <c r="G789" s="180" t="s">
        <v>208</v>
      </c>
      <c r="H789" s="185"/>
      <c r="I789" s="181"/>
      <c r="J789" s="181"/>
      <c r="K789" s="182" t="s">
        <v>363</v>
      </c>
      <c r="R789" s="163"/>
      <c r="S789" s="163"/>
    </row>
    <row r="790">
      <c r="A790" s="179">
        <f t="shared" si="2"/>
        <v>789</v>
      </c>
      <c r="B790" s="181"/>
      <c r="C790" s="180"/>
      <c r="D790" s="180"/>
      <c r="E790" s="180"/>
      <c r="F790" s="180"/>
      <c r="G790" s="180"/>
      <c r="H790" s="181"/>
      <c r="I790" s="181"/>
      <c r="J790" s="180" t="s">
        <v>242</v>
      </c>
      <c r="K790" s="182" t="s">
        <v>363</v>
      </c>
      <c r="R790" s="163"/>
      <c r="S790" s="163"/>
    </row>
    <row r="791">
      <c r="A791" s="179">
        <f t="shared" si="2"/>
        <v>790</v>
      </c>
      <c r="B791" s="180"/>
      <c r="C791" s="180" t="s">
        <v>208</v>
      </c>
      <c r="D791" s="180" t="s">
        <v>208</v>
      </c>
      <c r="E791" s="180" t="s">
        <v>208</v>
      </c>
      <c r="F791" s="180" t="s">
        <v>208</v>
      </c>
      <c r="G791" s="180" t="s">
        <v>208</v>
      </c>
      <c r="H791" s="181"/>
      <c r="I791" s="181"/>
      <c r="J791" s="181"/>
      <c r="K791" s="182" t="s">
        <v>363</v>
      </c>
      <c r="R791" s="163"/>
      <c r="S791" s="163"/>
    </row>
    <row r="792">
      <c r="A792" s="179">
        <f t="shared" si="2"/>
        <v>791</v>
      </c>
      <c r="B792" s="181"/>
      <c r="C792" s="180" t="s">
        <v>208</v>
      </c>
      <c r="D792" s="180" t="s">
        <v>208</v>
      </c>
      <c r="E792" s="180" t="s">
        <v>208</v>
      </c>
      <c r="F792" s="180" t="s">
        <v>208</v>
      </c>
      <c r="G792" s="180" t="s">
        <v>208</v>
      </c>
      <c r="H792" s="180"/>
      <c r="I792" s="181"/>
      <c r="J792" s="181"/>
      <c r="K792" s="182" t="s">
        <v>363</v>
      </c>
      <c r="R792" s="173"/>
      <c r="S792" s="173"/>
    </row>
    <row r="793">
      <c r="A793" s="179">
        <f t="shared" si="2"/>
        <v>792</v>
      </c>
      <c r="B793" s="180"/>
      <c r="C793" s="180" t="s">
        <v>208</v>
      </c>
      <c r="D793" s="180" t="s">
        <v>208</v>
      </c>
      <c r="E793" s="180" t="s">
        <v>208</v>
      </c>
      <c r="F793" s="180" t="s">
        <v>208</v>
      </c>
      <c r="G793" s="180" t="s">
        <v>208</v>
      </c>
      <c r="H793" s="181"/>
      <c r="I793" s="181"/>
      <c r="J793" s="181"/>
      <c r="K793" s="182" t="s">
        <v>363</v>
      </c>
      <c r="R793" s="157"/>
      <c r="S793" s="157"/>
    </row>
    <row r="794">
      <c r="A794" s="179">
        <f t="shared" si="2"/>
        <v>793</v>
      </c>
      <c r="B794" s="180"/>
      <c r="C794" s="180" t="s">
        <v>208</v>
      </c>
      <c r="D794" s="180" t="s">
        <v>208</v>
      </c>
      <c r="E794" s="180" t="s">
        <v>208</v>
      </c>
      <c r="F794" s="180" t="s">
        <v>208</v>
      </c>
      <c r="G794" s="180" t="s">
        <v>208</v>
      </c>
      <c r="H794" s="181"/>
      <c r="I794" s="181"/>
      <c r="J794" s="181"/>
      <c r="K794" s="182" t="s">
        <v>363</v>
      </c>
      <c r="R794" s="163"/>
      <c r="S794" s="163"/>
    </row>
    <row r="795">
      <c r="A795" s="179">
        <f t="shared" si="2"/>
        <v>794</v>
      </c>
      <c r="B795" s="180"/>
      <c r="C795" s="180" t="s">
        <v>208</v>
      </c>
      <c r="D795" s="180" t="s">
        <v>208</v>
      </c>
      <c r="E795" s="180" t="s">
        <v>208</v>
      </c>
      <c r="F795" s="180" t="s">
        <v>208</v>
      </c>
      <c r="G795" s="180" t="s">
        <v>208</v>
      </c>
      <c r="H795" s="181"/>
      <c r="I795" s="181"/>
      <c r="J795" s="181"/>
      <c r="K795" s="182" t="s">
        <v>363</v>
      </c>
      <c r="R795" s="163"/>
      <c r="S795" s="163"/>
    </row>
    <row r="796">
      <c r="A796" s="179">
        <f t="shared" si="2"/>
        <v>795</v>
      </c>
      <c r="B796" s="181"/>
      <c r="C796" s="180" t="s">
        <v>208</v>
      </c>
      <c r="D796" s="180" t="s">
        <v>208</v>
      </c>
      <c r="E796" s="180" t="s">
        <v>208</v>
      </c>
      <c r="F796" s="180" t="s">
        <v>208</v>
      </c>
      <c r="G796" s="180" t="s">
        <v>208</v>
      </c>
      <c r="H796" s="181"/>
      <c r="I796" s="181"/>
      <c r="J796" s="181"/>
      <c r="K796" s="182" t="s">
        <v>363</v>
      </c>
      <c r="R796" s="163"/>
      <c r="S796" s="163"/>
    </row>
    <row r="797">
      <c r="A797" s="179">
        <f t="shared" si="2"/>
        <v>796</v>
      </c>
      <c r="B797" s="180"/>
      <c r="C797" s="180"/>
      <c r="D797" s="180"/>
      <c r="E797" s="180"/>
      <c r="F797" s="180"/>
      <c r="G797" s="180"/>
      <c r="H797" s="181"/>
      <c r="I797" s="181"/>
      <c r="J797" s="180" t="s">
        <v>242</v>
      </c>
      <c r="K797" s="182" t="s">
        <v>363</v>
      </c>
      <c r="R797" s="163"/>
      <c r="S797" s="163"/>
    </row>
    <row r="798">
      <c r="A798" s="179">
        <f t="shared" si="2"/>
        <v>797</v>
      </c>
      <c r="B798" s="180"/>
      <c r="C798" s="180"/>
      <c r="D798" s="180"/>
      <c r="E798" s="180"/>
      <c r="F798" s="180"/>
      <c r="G798" s="180"/>
      <c r="H798" s="185"/>
      <c r="I798" s="181"/>
      <c r="J798" s="180" t="s">
        <v>242</v>
      </c>
      <c r="K798" s="182" t="s">
        <v>363</v>
      </c>
      <c r="R798" s="163"/>
      <c r="S798" s="163"/>
    </row>
    <row r="799">
      <c r="A799" s="179">
        <f t="shared" si="2"/>
        <v>798</v>
      </c>
      <c r="B799" s="180"/>
      <c r="C799" s="180"/>
      <c r="D799" s="180"/>
      <c r="E799" s="180"/>
      <c r="F799" s="180" t="s">
        <v>208</v>
      </c>
      <c r="G799" s="180"/>
      <c r="H799" s="185"/>
      <c r="I799" s="181"/>
      <c r="J799" s="181"/>
      <c r="K799" s="182" t="s">
        <v>363</v>
      </c>
      <c r="R799" s="163"/>
      <c r="S799" s="163"/>
    </row>
    <row r="800">
      <c r="A800" s="179">
        <f t="shared" si="2"/>
        <v>799</v>
      </c>
      <c r="B800" s="180"/>
      <c r="C800" s="180"/>
      <c r="D800" s="180"/>
      <c r="E800" s="180"/>
      <c r="F800" s="180"/>
      <c r="G800" s="180"/>
      <c r="H800" s="181"/>
      <c r="I800" s="181"/>
      <c r="J800" s="180" t="s">
        <v>242</v>
      </c>
      <c r="K800" s="182" t="s">
        <v>363</v>
      </c>
      <c r="R800" s="163"/>
      <c r="S800" s="163"/>
    </row>
    <row r="801">
      <c r="A801" s="179">
        <f t="shared" si="2"/>
        <v>800</v>
      </c>
      <c r="B801" s="180"/>
      <c r="C801" s="180"/>
      <c r="D801" s="180"/>
      <c r="E801" s="180"/>
      <c r="F801" s="180"/>
      <c r="G801" s="180"/>
      <c r="H801" s="181"/>
      <c r="I801" s="181"/>
      <c r="J801" s="180" t="s">
        <v>242</v>
      </c>
      <c r="K801" s="182" t="s">
        <v>363</v>
      </c>
      <c r="R801" s="163"/>
      <c r="S801" s="163"/>
    </row>
    <row r="802">
      <c r="A802" s="179">
        <f t="shared" si="2"/>
        <v>801</v>
      </c>
      <c r="B802" s="180"/>
      <c r="C802" s="180" t="s">
        <v>208</v>
      </c>
      <c r="D802" s="180" t="s">
        <v>208</v>
      </c>
      <c r="E802" s="180" t="s">
        <v>208</v>
      </c>
      <c r="F802" s="180" t="s">
        <v>208</v>
      </c>
      <c r="G802" s="180" t="s">
        <v>208</v>
      </c>
      <c r="H802" s="181"/>
      <c r="I802" s="181"/>
      <c r="J802" s="181"/>
      <c r="K802" s="182" t="s">
        <v>363</v>
      </c>
      <c r="R802" s="163"/>
      <c r="S802" s="163"/>
    </row>
    <row r="803">
      <c r="A803" s="179">
        <f t="shared" si="2"/>
        <v>802</v>
      </c>
      <c r="B803" s="180"/>
      <c r="C803" s="180" t="s">
        <v>208</v>
      </c>
      <c r="D803" s="180" t="s">
        <v>208</v>
      </c>
      <c r="E803" s="180" t="s">
        <v>208</v>
      </c>
      <c r="F803" s="180" t="s">
        <v>208</v>
      </c>
      <c r="G803" s="180" t="s">
        <v>208</v>
      </c>
      <c r="H803" s="181"/>
      <c r="I803" s="181"/>
      <c r="J803" s="181"/>
      <c r="K803" s="182" t="s">
        <v>363</v>
      </c>
      <c r="R803" s="163"/>
      <c r="S803" s="163"/>
    </row>
    <row r="804">
      <c r="A804" s="179">
        <f t="shared" si="2"/>
        <v>803</v>
      </c>
      <c r="B804" s="180"/>
      <c r="C804" s="180" t="s">
        <v>208</v>
      </c>
      <c r="D804" s="180" t="s">
        <v>208</v>
      </c>
      <c r="E804" s="180" t="s">
        <v>208</v>
      </c>
      <c r="F804" s="180" t="s">
        <v>208</v>
      </c>
      <c r="G804" s="180" t="s">
        <v>208</v>
      </c>
      <c r="H804" s="181"/>
      <c r="I804" s="181"/>
      <c r="J804" s="181"/>
      <c r="K804" s="182" t="s">
        <v>363</v>
      </c>
      <c r="R804" s="173"/>
      <c r="S804" s="173"/>
    </row>
    <row r="805">
      <c r="A805" s="179">
        <f t="shared" si="2"/>
        <v>804</v>
      </c>
      <c r="B805" s="180"/>
      <c r="C805" s="180" t="s">
        <v>208</v>
      </c>
      <c r="D805" s="180" t="s">
        <v>208</v>
      </c>
      <c r="E805" s="180" t="s">
        <v>208</v>
      </c>
      <c r="F805" s="180" t="s">
        <v>208</v>
      </c>
      <c r="G805" s="180" t="s">
        <v>208</v>
      </c>
      <c r="H805" s="181"/>
      <c r="I805" s="181"/>
      <c r="J805" s="181"/>
      <c r="K805" s="182" t="s">
        <v>363</v>
      </c>
      <c r="R805" s="157"/>
      <c r="S805" s="157"/>
    </row>
    <row r="806">
      <c r="A806" s="179">
        <f t="shared" si="2"/>
        <v>805</v>
      </c>
      <c r="B806" s="180"/>
      <c r="C806" s="180" t="s">
        <v>208</v>
      </c>
      <c r="D806" s="180" t="s">
        <v>208</v>
      </c>
      <c r="E806" s="180" t="s">
        <v>208</v>
      </c>
      <c r="F806" s="180" t="s">
        <v>208</v>
      </c>
      <c r="G806" s="180" t="s">
        <v>208</v>
      </c>
      <c r="H806" s="181"/>
      <c r="I806" s="181"/>
      <c r="J806" s="181"/>
      <c r="K806" s="182" t="s">
        <v>363</v>
      </c>
      <c r="R806" s="163"/>
      <c r="S806" s="163"/>
    </row>
    <row r="807">
      <c r="A807" s="179">
        <f t="shared" si="2"/>
        <v>806</v>
      </c>
      <c r="B807" s="181"/>
      <c r="C807" s="180" t="s">
        <v>208</v>
      </c>
      <c r="D807" s="180" t="s">
        <v>208</v>
      </c>
      <c r="E807" s="180" t="s">
        <v>208</v>
      </c>
      <c r="F807" s="180" t="s">
        <v>208</v>
      </c>
      <c r="G807" s="180" t="s">
        <v>208</v>
      </c>
      <c r="H807" s="181"/>
      <c r="I807" s="181"/>
      <c r="J807" s="181"/>
      <c r="K807" s="182" t="s">
        <v>363</v>
      </c>
      <c r="R807" s="163"/>
      <c r="S807" s="163"/>
    </row>
    <row r="808">
      <c r="A808" s="179">
        <f t="shared" si="2"/>
        <v>807</v>
      </c>
      <c r="B808" s="181"/>
      <c r="C808" s="180" t="s">
        <v>208</v>
      </c>
      <c r="D808" s="180" t="s">
        <v>208</v>
      </c>
      <c r="E808" s="180" t="s">
        <v>208</v>
      </c>
      <c r="F808" s="180" t="s">
        <v>208</v>
      </c>
      <c r="G808" s="180" t="s">
        <v>208</v>
      </c>
      <c r="H808" s="181"/>
      <c r="I808" s="181"/>
      <c r="J808" s="181"/>
      <c r="K808" s="182" t="s">
        <v>363</v>
      </c>
      <c r="R808" s="163"/>
      <c r="S808" s="163"/>
    </row>
    <row r="809">
      <c r="A809" s="179">
        <f t="shared" si="2"/>
        <v>808</v>
      </c>
      <c r="B809" s="180"/>
      <c r="C809" s="180" t="s">
        <v>208</v>
      </c>
      <c r="D809" s="180" t="s">
        <v>208</v>
      </c>
      <c r="E809" s="180" t="s">
        <v>208</v>
      </c>
      <c r="F809" s="180" t="s">
        <v>208</v>
      </c>
      <c r="G809" s="180" t="s">
        <v>208</v>
      </c>
      <c r="H809" s="181"/>
      <c r="I809" s="181"/>
      <c r="J809" s="181"/>
      <c r="K809" s="182" t="s">
        <v>363</v>
      </c>
      <c r="R809" s="163"/>
      <c r="S809" s="163"/>
    </row>
    <row r="810">
      <c r="A810" s="179">
        <f t="shared" si="2"/>
        <v>809</v>
      </c>
      <c r="B810" s="180"/>
      <c r="C810" s="180" t="s">
        <v>208</v>
      </c>
      <c r="D810" s="180" t="s">
        <v>208</v>
      </c>
      <c r="E810" s="180" t="s">
        <v>208</v>
      </c>
      <c r="F810" s="180" t="s">
        <v>208</v>
      </c>
      <c r="G810" s="180" t="s">
        <v>208</v>
      </c>
      <c r="H810" s="181"/>
      <c r="I810" s="181"/>
      <c r="J810" s="181"/>
      <c r="K810" s="182" t="s">
        <v>363</v>
      </c>
      <c r="R810" s="163"/>
      <c r="S810" s="163"/>
    </row>
    <row r="811">
      <c r="A811" s="179">
        <f t="shared" si="2"/>
        <v>810</v>
      </c>
      <c r="B811" s="180"/>
      <c r="C811" s="180" t="s">
        <v>208</v>
      </c>
      <c r="D811" s="180" t="s">
        <v>208</v>
      </c>
      <c r="E811" s="180" t="s">
        <v>208</v>
      </c>
      <c r="F811" s="180" t="s">
        <v>208</v>
      </c>
      <c r="G811" s="180" t="s">
        <v>208</v>
      </c>
      <c r="H811" s="181"/>
      <c r="I811" s="181"/>
      <c r="J811" s="181"/>
      <c r="K811" s="182" t="s">
        <v>363</v>
      </c>
      <c r="R811" s="163"/>
      <c r="S811" s="163"/>
    </row>
    <row r="812">
      <c r="A812" s="179">
        <f t="shared" si="2"/>
        <v>811</v>
      </c>
      <c r="B812" s="180"/>
      <c r="C812" s="180" t="s">
        <v>208</v>
      </c>
      <c r="D812" s="180" t="s">
        <v>208</v>
      </c>
      <c r="E812" s="180" t="s">
        <v>208</v>
      </c>
      <c r="F812" s="180" t="s">
        <v>208</v>
      </c>
      <c r="G812" s="180" t="s">
        <v>208</v>
      </c>
      <c r="H812" s="181"/>
      <c r="I812" s="181"/>
      <c r="J812" s="181"/>
      <c r="K812" s="182" t="s">
        <v>363</v>
      </c>
      <c r="R812" s="163"/>
      <c r="S812" s="163"/>
    </row>
    <row r="813">
      <c r="A813" s="179">
        <f t="shared" si="2"/>
        <v>812</v>
      </c>
      <c r="B813" s="180"/>
      <c r="C813" s="180" t="s">
        <v>208</v>
      </c>
      <c r="D813" s="180" t="s">
        <v>208</v>
      </c>
      <c r="E813" s="180" t="s">
        <v>208</v>
      </c>
      <c r="F813" s="180" t="s">
        <v>208</v>
      </c>
      <c r="G813" s="180" t="s">
        <v>208</v>
      </c>
      <c r="H813" s="185"/>
      <c r="I813" s="181"/>
      <c r="J813" s="181"/>
      <c r="K813" s="182" t="s">
        <v>363</v>
      </c>
      <c r="R813" s="163"/>
      <c r="S813" s="163"/>
    </row>
    <row r="814">
      <c r="A814" s="179">
        <f t="shared" si="2"/>
        <v>813</v>
      </c>
      <c r="B814" s="181"/>
      <c r="C814" s="180" t="s">
        <v>208</v>
      </c>
      <c r="D814" s="180" t="s">
        <v>208</v>
      </c>
      <c r="E814" s="180" t="s">
        <v>208</v>
      </c>
      <c r="F814" s="180" t="s">
        <v>208</v>
      </c>
      <c r="G814" s="180" t="s">
        <v>208</v>
      </c>
      <c r="H814" s="181"/>
      <c r="I814" s="181"/>
      <c r="J814" s="181"/>
      <c r="K814" s="182" t="s">
        <v>363</v>
      </c>
      <c r="R814" s="163"/>
      <c r="S814" s="163"/>
    </row>
    <row r="815">
      <c r="A815" s="179">
        <f t="shared" si="2"/>
        <v>814</v>
      </c>
      <c r="B815" s="180"/>
      <c r="C815" s="180" t="s">
        <v>208</v>
      </c>
      <c r="D815" s="180" t="s">
        <v>208</v>
      </c>
      <c r="E815" s="180" t="s">
        <v>208</v>
      </c>
      <c r="F815" s="180" t="s">
        <v>208</v>
      </c>
      <c r="G815" s="180" t="s">
        <v>208</v>
      </c>
      <c r="H815" s="181"/>
      <c r="I815" s="181"/>
      <c r="J815" s="181"/>
      <c r="K815" s="182" t="s">
        <v>363</v>
      </c>
      <c r="R815" s="163"/>
      <c r="S815" s="163"/>
    </row>
    <row r="816">
      <c r="A816" s="179">
        <f t="shared" si="2"/>
        <v>815</v>
      </c>
      <c r="B816" s="180"/>
      <c r="C816" s="180" t="s">
        <v>208</v>
      </c>
      <c r="D816" s="180" t="s">
        <v>208</v>
      </c>
      <c r="E816" s="180" t="s">
        <v>208</v>
      </c>
      <c r="F816" s="180" t="s">
        <v>208</v>
      </c>
      <c r="G816" s="180" t="s">
        <v>208</v>
      </c>
      <c r="H816" s="181"/>
      <c r="I816" s="181"/>
      <c r="J816" s="181"/>
      <c r="K816" s="182" t="s">
        <v>363</v>
      </c>
      <c r="R816" s="173"/>
      <c r="S816" s="173"/>
    </row>
    <row r="817">
      <c r="A817" s="179">
        <f t="shared" si="2"/>
        <v>816</v>
      </c>
      <c r="B817" s="180"/>
      <c r="C817" s="180" t="s">
        <v>208</v>
      </c>
      <c r="D817" s="180" t="s">
        <v>208</v>
      </c>
      <c r="E817" s="180" t="s">
        <v>208</v>
      </c>
      <c r="F817" s="180" t="s">
        <v>208</v>
      </c>
      <c r="G817" s="180" t="s">
        <v>208</v>
      </c>
      <c r="H817" s="181"/>
      <c r="I817" s="181"/>
      <c r="J817" s="181"/>
      <c r="K817" s="182" t="s">
        <v>363</v>
      </c>
      <c r="R817" s="157"/>
      <c r="S817" s="157"/>
    </row>
    <row r="818">
      <c r="A818" s="179">
        <f t="shared" si="2"/>
        <v>817</v>
      </c>
      <c r="B818" s="180"/>
      <c r="C818" s="180" t="s">
        <v>208</v>
      </c>
      <c r="D818" s="180" t="s">
        <v>208</v>
      </c>
      <c r="E818" s="180" t="s">
        <v>208</v>
      </c>
      <c r="F818" s="180" t="s">
        <v>208</v>
      </c>
      <c r="G818" s="180" t="s">
        <v>208</v>
      </c>
      <c r="H818" s="181"/>
      <c r="I818" s="181"/>
      <c r="J818" s="181"/>
      <c r="K818" s="182" t="s">
        <v>363</v>
      </c>
      <c r="R818" s="163"/>
      <c r="S818" s="163"/>
    </row>
    <row r="819">
      <c r="A819" s="179">
        <f t="shared" si="2"/>
        <v>818</v>
      </c>
      <c r="B819" s="180"/>
      <c r="C819" s="180" t="s">
        <v>208</v>
      </c>
      <c r="D819" s="180" t="s">
        <v>208</v>
      </c>
      <c r="E819" s="180" t="s">
        <v>208</v>
      </c>
      <c r="F819" s="180" t="s">
        <v>208</v>
      </c>
      <c r="G819" s="180" t="s">
        <v>208</v>
      </c>
      <c r="H819" s="181"/>
      <c r="I819" s="181"/>
      <c r="J819" s="181"/>
      <c r="K819" s="182" t="s">
        <v>363</v>
      </c>
      <c r="R819" s="163"/>
      <c r="S819" s="163"/>
    </row>
    <row r="820">
      <c r="A820" s="179">
        <f t="shared" si="2"/>
        <v>819</v>
      </c>
      <c r="B820" s="180"/>
      <c r="C820" s="180" t="s">
        <v>208</v>
      </c>
      <c r="D820" s="180" t="s">
        <v>208</v>
      </c>
      <c r="E820" s="180" t="s">
        <v>208</v>
      </c>
      <c r="F820" s="180" t="s">
        <v>208</v>
      </c>
      <c r="G820" s="180" t="s">
        <v>208</v>
      </c>
      <c r="H820" s="181"/>
      <c r="I820" s="181"/>
      <c r="J820" s="181"/>
      <c r="K820" s="182" t="s">
        <v>363</v>
      </c>
      <c r="R820" s="163"/>
      <c r="S820" s="163"/>
    </row>
    <row r="821">
      <c r="A821" s="179">
        <f t="shared" si="2"/>
        <v>820</v>
      </c>
      <c r="B821" s="180"/>
      <c r="C821" s="180" t="s">
        <v>208</v>
      </c>
      <c r="D821" s="180" t="s">
        <v>208</v>
      </c>
      <c r="E821" s="180" t="s">
        <v>208</v>
      </c>
      <c r="F821" s="180" t="s">
        <v>208</v>
      </c>
      <c r="G821" s="180" t="s">
        <v>208</v>
      </c>
      <c r="H821" s="181"/>
      <c r="I821" s="181"/>
      <c r="J821" s="181"/>
      <c r="K821" s="182" t="s">
        <v>363</v>
      </c>
      <c r="R821" s="163"/>
      <c r="S821" s="163"/>
    </row>
    <row r="822">
      <c r="A822" s="179">
        <f t="shared" si="2"/>
        <v>821</v>
      </c>
      <c r="B822" s="180"/>
      <c r="C822" s="180" t="s">
        <v>208</v>
      </c>
      <c r="D822" s="180" t="s">
        <v>208</v>
      </c>
      <c r="E822" s="180" t="s">
        <v>208</v>
      </c>
      <c r="F822" s="180" t="s">
        <v>208</v>
      </c>
      <c r="G822" s="180" t="s">
        <v>208</v>
      </c>
      <c r="H822" s="181"/>
      <c r="I822" s="181"/>
      <c r="J822" s="181"/>
      <c r="K822" s="182" t="s">
        <v>363</v>
      </c>
      <c r="R822" s="163"/>
      <c r="S822" s="163"/>
    </row>
    <row r="823">
      <c r="A823" s="179">
        <f t="shared" si="2"/>
        <v>822</v>
      </c>
      <c r="B823" s="180"/>
      <c r="C823" s="180" t="s">
        <v>208</v>
      </c>
      <c r="D823" s="180" t="s">
        <v>208</v>
      </c>
      <c r="E823" s="180" t="s">
        <v>208</v>
      </c>
      <c r="F823" s="180" t="s">
        <v>208</v>
      </c>
      <c r="G823" s="180" t="s">
        <v>208</v>
      </c>
      <c r="H823" s="181"/>
      <c r="I823" s="181"/>
      <c r="J823" s="180"/>
      <c r="K823" s="182" t="s">
        <v>363</v>
      </c>
      <c r="R823" s="163"/>
      <c r="S823" s="163"/>
    </row>
    <row r="824">
      <c r="A824" s="179">
        <f t="shared" si="2"/>
        <v>823</v>
      </c>
      <c r="B824" s="180"/>
      <c r="C824" s="180" t="s">
        <v>208</v>
      </c>
      <c r="D824" s="180" t="s">
        <v>208</v>
      </c>
      <c r="E824" s="180" t="s">
        <v>208</v>
      </c>
      <c r="F824" s="180" t="s">
        <v>208</v>
      </c>
      <c r="G824" s="180" t="s">
        <v>208</v>
      </c>
      <c r="H824" s="180"/>
      <c r="I824" s="181"/>
      <c r="J824" s="181"/>
      <c r="K824" s="182" t="s">
        <v>363</v>
      </c>
      <c r="R824" s="163"/>
      <c r="S824" s="163"/>
    </row>
    <row r="825">
      <c r="A825" s="179">
        <f t="shared" si="2"/>
        <v>824</v>
      </c>
      <c r="B825" s="180"/>
      <c r="C825" s="180" t="s">
        <v>208</v>
      </c>
      <c r="D825" s="180" t="s">
        <v>208</v>
      </c>
      <c r="E825" s="180" t="s">
        <v>208</v>
      </c>
      <c r="F825" s="180" t="s">
        <v>208</v>
      </c>
      <c r="G825" s="180" t="s">
        <v>208</v>
      </c>
      <c r="H825" s="181"/>
      <c r="I825" s="181"/>
      <c r="J825" s="181"/>
      <c r="K825" s="182" t="s">
        <v>363</v>
      </c>
      <c r="R825" s="163"/>
      <c r="S825" s="163"/>
    </row>
    <row r="826">
      <c r="A826" s="179">
        <f t="shared" si="2"/>
        <v>825</v>
      </c>
      <c r="B826" s="180"/>
      <c r="C826" s="180" t="s">
        <v>208</v>
      </c>
      <c r="D826" s="180" t="s">
        <v>243</v>
      </c>
      <c r="E826" s="180" t="s">
        <v>208</v>
      </c>
      <c r="F826" s="180" t="s">
        <v>208</v>
      </c>
      <c r="G826" s="180" t="s">
        <v>208</v>
      </c>
      <c r="H826" s="181"/>
      <c r="I826" s="181"/>
      <c r="J826" s="181"/>
      <c r="K826" s="182" t="s">
        <v>363</v>
      </c>
      <c r="R826" s="163"/>
      <c r="S826" s="163"/>
    </row>
    <row r="827">
      <c r="A827" s="179">
        <f t="shared" si="2"/>
        <v>826</v>
      </c>
      <c r="B827" s="180"/>
      <c r="C827" s="180" t="s">
        <v>208</v>
      </c>
      <c r="D827" s="180" t="s">
        <v>208</v>
      </c>
      <c r="E827" s="180" t="s">
        <v>208</v>
      </c>
      <c r="F827" s="180" t="s">
        <v>208</v>
      </c>
      <c r="G827" s="180" t="s">
        <v>208</v>
      </c>
      <c r="H827" s="181"/>
      <c r="I827" s="181"/>
      <c r="J827" s="181"/>
      <c r="K827" s="182" t="s">
        <v>363</v>
      </c>
      <c r="R827" s="163"/>
      <c r="S827" s="163"/>
    </row>
    <row r="828">
      <c r="A828" s="179">
        <f t="shared" si="2"/>
        <v>827</v>
      </c>
      <c r="B828" s="180"/>
      <c r="C828" s="180" t="s">
        <v>208</v>
      </c>
      <c r="D828" s="180" t="s">
        <v>208</v>
      </c>
      <c r="E828" s="180" t="s">
        <v>208</v>
      </c>
      <c r="F828" s="180" t="s">
        <v>208</v>
      </c>
      <c r="G828" s="180" t="s">
        <v>208</v>
      </c>
      <c r="H828" s="181"/>
      <c r="I828" s="181"/>
      <c r="J828" s="181"/>
      <c r="K828" s="182" t="s">
        <v>363</v>
      </c>
      <c r="R828" s="173"/>
      <c r="S828" s="173"/>
    </row>
    <row r="829">
      <c r="A829" s="179">
        <f t="shared" si="2"/>
        <v>828</v>
      </c>
      <c r="B829" s="180"/>
      <c r="C829" s="180" t="s">
        <v>208</v>
      </c>
      <c r="D829" s="180" t="s">
        <v>208</v>
      </c>
      <c r="E829" s="180" t="s">
        <v>208</v>
      </c>
      <c r="F829" s="180" t="s">
        <v>208</v>
      </c>
      <c r="G829" s="180" t="s">
        <v>208</v>
      </c>
      <c r="H829" s="181"/>
      <c r="I829" s="181"/>
      <c r="J829" s="181"/>
      <c r="K829" s="182" t="s">
        <v>363</v>
      </c>
      <c r="R829" s="157"/>
      <c r="S829" s="157"/>
    </row>
    <row r="830">
      <c r="A830" s="179">
        <f t="shared" si="2"/>
        <v>829</v>
      </c>
      <c r="B830" s="180"/>
      <c r="C830" s="180" t="s">
        <v>208</v>
      </c>
      <c r="D830" s="180" t="s">
        <v>208</v>
      </c>
      <c r="E830" s="180" t="s">
        <v>208</v>
      </c>
      <c r="F830" s="180" t="s">
        <v>208</v>
      </c>
      <c r="G830" s="180" t="s">
        <v>208</v>
      </c>
      <c r="H830" s="181"/>
      <c r="I830" s="181"/>
      <c r="J830" s="181"/>
      <c r="K830" s="182" t="s">
        <v>363</v>
      </c>
      <c r="R830" s="163"/>
      <c r="S830" s="163"/>
    </row>
    <row r="831">
      <c r="A831" s="179">
        <f t="shared" si="2"/>
        <v>830</v>
      </c>
      <c r="B831" s="180"/>
      <c r="C831" s="180" t="s">
        <v>208</v>
      </c>
      <c r="D831" s="180" t="s">
        <v>208</v>
      </c>
      <c r="E831" s="180" t="s">
        <v>208</v>
      </c>
      <c r="F831" s="180" t="s">
        <v>208</v>
      </c>
      <c r="G831" s="180" t="s">
        <v>208</v>
      </c>
      <c r="H831" s="181"/>
      <c r="I831" s="181"/>
      <c r="J831" s="181"/>
      <c r="K831" s="182" t="s">
        <v>363</v>
      </c>
      <c r="R831" s="163"/>
      <c r="S831" s="163"/>
    </row>
    <row r="832">
      <c r="A832" s="179">
        <f t="shared" si="2"/>
        <v>831</v>
      </c>
      <c r="B832" s="180"/>
      <c r="C832" s="180" t="s">
        <v>208</v>
      </c>
      <c r="D832" s="180" t="s">
        <v>208</v>
      </c>
      <c r="E832" s="180" t="s">
        <v>208</v>
      </c>
      <c r="F832" s="180" t="s">
        <v>208</v>
      </c>
      <c r="G832" s="180" t="s">
        <v>208</v>
      </c>
      <c r="H832" s="181"/>
      <c r="I832" s="181"/>
      <c r="J832" s="181"/>
      <c r="K832" s="182" t="s">
        <v>363</v>
      </c>
      <c r="R832" s="163"/>
      <c r="S832" s="163"/>
    </row>
    <row r="833">
      <c r="A833" s="179">
        <f t="shared" si="2"/>
        <v>832</v>
      </c>
      <c r="B833" s="180"/>
      <c r="C833" s="180" t="s">
        <v>208</v>
      </c>
      <c r="D833" s="180" t="s">
        <v>208</v>
      </c>
      <c r="E833" s="180" t="s">
        <v>208</v>
      </c>
      <c r="F833" s="180" t="s">
        <v>208</v>
      </c>
      <c r="G833" s="180" t="s">
        <v>208</v>
      </c>
      <c r="H833" s="181"/>
      <c r="I833" s="181"/>
      <c r="J833" s="181"/>
      <c r="K833" s="182" t="s">
        <v>363</v>
      </c>
      <c r="R833" s="163"/>
      <c r="S833" s="163"/>
    </row>
    <row r="834">
      <c r="A834" s="179">
        <f t="shared" si="2"/>
        <v>833</v>
      </c>
      <c r="B834" s="181"/>
      <c r="C834" s="180" t="s">
        <v>208</v>
      </c>
      <c r="D834" s="180" t="s">
        <v>208</v>
      </c>
      <c r="E834" s="180" t="s">
        <v>208</v>
      </c>
      <c r="F834" s="180" t="s">
        <v>208</v>
      </c>
      <c r="G834" s="180" t="s">
        <v>208</v>
      </c>
      <c r="H834" s="180"/>
      <c r="I834" s="181"/>
      <c r="J834" s="181"/>
      <c r="K834" s="182" t="s">
        <v>363</v>
      </c>
      <c r="R834" s="163"/>
      <c r="S834" s="163"/>
    </row>
    <row r="835">
      <c r="A835" s="179">
        <f t="shared" si="2"/>
        <v>834</v>
      </c>
      <c r="B835" s="180"/>
      <c r="C835" s="180" t="s">
        <v>208</v>
      </c>
      <c r="D835" s="180" t="s">
        <v>208</v>
      </c>
      <c r="E835" s="180" t="s">
        <v>208</v>
      </c>
      <c r="F835" s="180" t="s">
        <v>208</v>
      </c>
      <c r="G835" s="180" t="s">
        <v>208</v>
      </c>
      <c r="H835" s="181"/>
      <c r="I835" s="181"/>
      <c r="J835" s="181"/>
      <c r="K835" s="182" t="s">
        <v>363</v>
      </c>
      <c r="R835" s="163"/>
      <c r="S835" s="163"/>
    </row>
    <row r="836">
      <c r="A836" s="179">
        <f t="shared" si="2"/>
        <v>835</v>
      </c>
      <c r="B836" s="180"/>
      <c r="C836" s="180" t="s">
        <v>208</v>
      </c>
      <c r="D836" s="180" t="s">
        <v>208</v>
      </c>
      <c r="E836" s="180" t="s">
        <v>208</v>
      </c>
      <c r="F836" s="180" t="s">
        <v>208</v>
      </c>
      <c r="G836" s="180" t="s">
        <v>208</v>
      </c>
      <c r="H836" s="181"/>
      <c r="I836" s="181"/>
      <c r="J836" s="181"/>
      <c r="K836" s="182" t="s">
        <v>363</v>
      </c>
      <c r="R836" s="163"/>
      <c r="S836" s="163"/>
    </row>
    <row r="837">
      <c r="A837" s="179">
        <f t="shared" si="2"/>
        <v>836</v>
      </c>
      <c r="B837" s="180"/>
      <c r="C837" s="180"/>
      <c r="D837" s="180"/>
      <c r="E837" s="180"/>
      <c r="F837" s="180"/>
      <c r="G837" s="180"/>
      <c r="H837" s="181"/>
      <c r="I837" s="181"/>
      <c r="J837" s="180" t="s">
        <v>242</v>
      </c>
      <c r="K837" s="182" t="s">
        <v>363</v>
      </c>
      <c r="R837" s="163"/>
      <c r="S837" s="163"/>
    </row>
    <row r="838">
      <c r="A838" s="179">
        <f t="shared" si="2"/>
        <v>837</v>
      </c>
      <c r="B838" s="180"/>
      <c r="C838" s="180" t="s">
        <v>208</v>
      </c>
      <c r="D838" s="180" t="s">
        <v>208</v>
      </c>
      <c r="E838" s="180" t="s">
        <v>208</v>
      </c>
      <c r="F838" s="180" t="s">
        <v>208</v>
      </c>
      <c r="G838" s="180" t="s">
        <v>208</v>
      </c>
      <c r="H838" s="181"/>
      <c r="I838" s="181"/>
      <c r="J838" s="181"/>
      <c r="K838" s="182" t="s">
        <v>363</v>
      </c>
      <c r="R838" s="163"/>
      <c r="S838" s="163"/>
    </row>
    <row r="839">
      <c r="A839" s="179">
        <f t="shared" si="2"/>
        <v>838</v>
      </c>
      <c r="B839" s="181"/>
      <c r="C839" s="180" t="s">
        <v>208</v>
      </c>
      <c r="D839" s="180" t="s">
        <v>208</v>
      </c>
      <c r="E839" s="180" t="s">
        <v>208</v>
      </c>
      <c r="F839" s="180" t="s">
        <v>208</v>
      </c>
      <c r="G839" s="180" t="s">
        <v>208</v>
      </c>
      <c r="H839" s="180"/>
      <c r="I839" s="181"/>
      <c r="J839" s="181"/>
      <c r="K839" s="182" t="s">
        <v>363</v>
      </c>
      <c r="R839" s="163"/>
      <c r="S839" s="163"/>
    </row>
    <row r="840">
      <c r="A840" s="179">
        <f t="shared" si="2"/>
        <v>839</v>
      </c>
      <c r="B840" s="180"/>
      <c r="C840" s="180" t="s">
        <v>208</v>
      </c>
      <c r="D840" s="180" t="s">
        <v>243</v>
      </c>
      <c r="E840" s="180" t="s">
        <v>208</v>
      </c>
      <c r="F840" s="180" t="s">
        <v>208</v>
      </c>
      <c r="G840" s="180" t="s">
        <v>208</v>
      </c>
      <c r="H840" s="181"/>
      <c r="I840" s="181"/>
      <c r="J840" s="181"/>
      <c r="K840" s="182" t="s">
        <v>363</v>
      </c>
      <c r="R840" s="173"/>
      <c r="S840" s="173"/>
    </row>
    <row r="841">
      <c r="A841" s="179">
        <f t="shared" si="2"/>
        <v>840</v>
      </c>
      <c r="B841" s="181"/>
      <c r="C841" s="180" t="s">
        <v>208</v>
      </c>
      <c r="D841" s="180" t="s">
        <v>208</v>
      </c>
      <c r="E841" s="180" t="s">
        <v>208</v>
      </c>
      <c r="F841" s="180" t="s">
        <v>208</v>
      </c>
      <c r="G841" s="180" t="s">
        <v>208</v>
      </c>
      <c r="H841" s="181"/>
      <c r="I841" s="181"/>
      <c r="J841" s="181"/>
      <c r="K841" s="182" t="s">
        <v>363</v>
      </c>
      <c r="R841" s="157"/>
      <c r="S841" s="157"/>
    </row>
    <row r="842">
      <c r="A842" s="179">
        <f t="shared" si="2"/>
        <v>841</v>
      </c>
      <c r="B842" s="180"/>
      <c r="C842" s="180" t="s">
        <v>208</v>
      </c>
      <c r="D842" s="180" t="s">
        <v>208</v>
      </c>
      <c r="E842" s="180" t="s">
        <v>208</v>
      </c>
      <c r="F842" s="180" t="s">
        <v>208</v>
      </c>
      <c r="G842" s="180" t="s">
        <v>208</v>
      </c>
      <c r="H842" s="181"/>
      <c r="I842" s="181"/>
      <c r="J842" s="180"/>
      <c r="K842" s="182" t="s">
        <v>363</v>
      </c>
      <c r="R842" s="163"/>
      <c r="S842" s="163"/>
    </row>
    <row r="843">
      <c r="A843" s="179">
        <f t="shared" si="2"/>
        <v>842</v>
      </c>
      <c r="B843" s="180"/>
      <c r="C843" s="180" t="s">
        <v>208</v>
      </c>
      <c r="D843" s="180" t="s">
        <v>208</v>
      </c>
      <c r="E843" s="180" t="s">
        <v>208</v>
      </c>
      <c r="F843" s="180" t="s">
        <v>208</v>
      </c>
      <c r="G843" s="180" t="s">
        <v>208</v>
      </c>
      <c r="H843" s="181"/>
      <c r="I843" s="181"/>
      <c r="J843" s="181"/>
      <c r="K843" s="182" t="s">
        <v>363</v>
      </c>
      <c r="R843" s="163"/>
      <c r="S843" s="163"/>
    </row>
    <row r="844">
      <c r="A844" s="179">
        <f t="shared" si="2"/>
        <v>843</v>
      </c>
      <c r="B844" s="180"/>
      <c r="C844" s="180" t="s">
        <v>208</v>
      </c>
      <c r="D844" s="180" t="s">
        <v>208</v>
      </c>
      <c r="E844" s="180" t="s">
        <v>208</v>
      </c>
      <c r="F844" s="180" t="s">
        <v>208</v>
      </c>
      <c r="G844" s="180" t="s">
        <v>208</v>
      </c>
      <c r="H844" s="185"/>
      <c r="I844" s="181"/>
      <c r="J844" s="180"/>
      <c r="K844" s="182" t="s">
        <v>363</v>
      </c>
      <c r="R844" s="163"/>
      <c r="S844" s="163"/>
    </row>
    <row r="845">
      <c r="A845" s="179">
        <f t="shared" si="2"/>
        <v>844</v>
      </c>
      <c r="B845" s="180"/>
      <c r="C845" s="180"/>
      <c r="D845" s="180"/>
      <c r="E845" s="180"/>
      <c r="F845" s="180"/>
      <c r="G845" s="180"/>
      <c r="H845" s="181"/>
      <c r="I845" s="181"/>
      <c r="J845" s="180" t="s">
        <v>242</v>
      </c>
      <c r="K845" s="182" t="s">
        <v>363</v>
      </c>
      <c r="R845" s="163"/>
      <c r="S845" s="163"/>
    </row>
    <row r="846">
      <c r="A846" s="179">
        <f t="shared" si="2"/>
        <v>845</v>
      </c>
      <c r="B846" s="180"/>
      <c r="C846" s="180" t="s">
        <v>208</v>
      </c>
      <c r="D846" s="180" t="s">
        <v>208</v>
      </c>
      <c r="E846" s="180" t="s">
        <v>208</v>
      </c>
      <c r="F846" s="180" t="s">
        <v>208</v>
      </c>
      <c r="G846" s="180" t="s">
        <v>208</v>
      </c>
      <c r="H846" s="181"/>
      <c r="I846" s="181"/>
      <c r="J846" s="181"/>
      <c r="K846" s="182" t="s">
        <v>363</v>
      </c>
      <c r="R846" s="163"/>
      <c r="S846" s="163"/>
    </row>
    <row r="847">
      <c r="A847" s="179">
        <f t="shared" si="2"/>
        <v>846</v>
      </c>
      <c r="B847" s="180"/>
      <c r="C847" s="180" t="s">
        <v>208</v>
      </c>
      <c r="D847" s="180" t="s">
        <v>208</v>
      </c>
      <c r="E847" s="180" t="s">
        <v>208</v>
      </c>
      <c r="F847" s="180" t="s">
        <v>208</v>
      </c>
      <c r="G847" s="180" t="s">
        <v>208</v>
      </c>
      <c r="H847" s="180"/>
      <c r="I847" s="181"/>
      <c r="J847" s="181"/>
      <c r="K847" s="182" t="s">
        <v>363</v>
      </c>
      <c r="R847" s="163"/>
      <c r="S847" s="163"/>
    </row>
    <row r="848">
      <c r="A848" s="179">
        <f t="shared" si="2"/>
        <v>847</v>
      </c>
      <c r="B848" s="180"/>
      <c r="C848" s="180" t="s">
        <v>208</v>
      </c>
      <c r="D848" s="180" t="s">
        <v>208</v>
      </c>
      <c r="E848" s="180" t="s">
        <v>208</v>
      </c>
      <c r="F848" s="180" t="s">
        <v>208</v>
      </c>
      <c r="G848" s="180" t="s">
        <v>208</v>
      </c>
      <c r="H848" s="181"/>
      <c r="I848" s="181"/>
      <c r="J848" s="181"/>
      <c r="K848" s="182" t="s">
        <v>363</v>
      </c>
      <c r="R848" s="163"/>
      <c r="S848" s="163"/>
    </row>
    <row r="849">
      <c r="A849" s="179">
        <f t="shared" si="2"/>
        <v>848</v>
      </c>
      <c r="B849" s="180"/>
      <c r="C849" s="180" t="s">
        <v>208</v>
      </c>
      <c r="D849" s="180" t="s">
        <v>208</v>
      </c>
      <c r="E849" s="180" t="s">
        <v>208</v>
      </c>
      <c r="F849" s="180" t="s">
        <v>208</v>
      </c>
      <c r="G849" s="180" t="s">
        <v>208</v>
      </c>
      <c r="H849" s="181"/>
      <c r="I849" s="181"/>
      <c r="J849" s="181"/>
      <c r="K849" s="182" t="s">
        <v>363</v>
      </c>
      <c r="R849" s="163"/>
      <c r="S849" s="163"/>
    </row>
    <row r="850">
      <c r="A850" s="179">
        <f t="shared" si="2"/>
        <v>849</v>
      </c>
      <c r="B850" s="180"/>
      <c r="C850" s="180" t="s">
        <v>208</v>
      </c>
      <c r="D850" s="180" t="s">
        <v>208</v>
      </c>
      <c r="E850" s="180" t="s">
        <v>208</v>
      </c>
      <c r="F850" s="180" t="s">
        <v>208</v>
      </c>
      <c r="G850" s="180" t="s">
        <v>208</v>
      </c>
      <c r="H850" s="181"/>
      <c r="I850" s="181"/>
      <c r="J850" s="181"/>
      <c r="K850" s="182" t="s">
        <v>363</v>
      </c>
      <c r="R850" s="163"/>
      <c r="S850" s="163"/>
    </row>
    <row r="851">
      <c r="A851" s="179">
        <f t="shared" si="2"/>
        <v>850</v>
      </c>
      <c r="B851" s="180"/>
      <c r="C851" s="180" t="s">
        <v>208</v>
      </c>
      <c r="D851" s="180" t="s">
        <v>208</v>
      </c>
      <c r="E851" s="180" t="s">
        <v>208</v>
      </c>
      <c r="F851" s="180" t="s">
        <v>208</v>
      </c>
      <c r="G851" s="180" t="s">
        <v>208</v>
      </c>
      <c r="H851" s="181"/>
      <c r="I851" s="181"/>
      <c r="J851" s="181"/>
      <c r="K851" s="182" t="s">
        <v>363</v>
      </c>
      <c r="R851" s="163"/>
      <c r="S851" s="163"/>
    </row>
    <row r="852">
      <c r="A852" s="179">
        <f t="shared" si="2"/>
        <v>851</v>
      </c>
      <c r="B852" s="181"/>
      <c r="C852" s="180" t="s">
        <v>208</v>
      </c>
      <c r="D852" s="180" t="s">
        <v>208</v>
      </c>
      <c r="E852" s="180" t="s">
        <v>208</v>
      </c>
      <c r="F852" s="180" t="s">
        <v>208</v>
      </c>
      <c r="G852" s="180" t="s">
        <v>208</v>
      </c>
      <c r="H852" s="181"/>
      <c r="I852" s="181"/>
      <c r="J852" s="181"/>
      <c r="K852" s="182" t="s">
        <v>363</v>
      </c>
      <c r="R852" s="173"/>
      <c r="S852" s="173"/>
    </row>
    <row r="853">
      <c r="A853" s="179">
        <f t="shared" si="2"/>
        <v>852</v>
      </c>
      <c r="B853" s="180"/>
      <c r="C853" s="180" t="s">
        <v>208</v>
      </c>
      <c r="D853" s="180" t="s">
        <v>243</v>
      </c>
      <c r="E853" s="180" t="s">
        <v>208</v>
      </c>
      <c r="F853" s="180" t="s">
        <v>208</v>
      </c>
      <c r="G853" s="180" t="s">
        <v>208</v>
      </c>
      <c r="H853" s="181"/>
      <c r="I853" s="181"/>
      <c r="J853" s="181"/>
      <c r="K853" s="182" t="s">
        <v>363</v>
      </c>
      <c r="R853" s="157"/>
      <c r="S853" s="157"/>
    </row>
    <row r="854">
      <c r="A854" s="179">
        <f t="shared" si="2"/>
        <v>853</v>
      </c>
      <c r="B854" s="180"/>
      <c r="C854" s="180" t="s">
        <v>208</v>
      </c>
      <c r="D854" s="180" t="s">
        <v>208</v>
      </c>
      <c r="E854" s="180" t="s">
        <v>208</v>
      </c>
      <c r="F854" s="180" t="s">
        <v>208</v>
      </c>
      <c r="G854" s="180" t="s">
        <v>208</v>
      </c>
      <c r="H854" s="181"/>
      <c r="I854" s="181"/>
      <c r="J854" s="181"/>
      <c r="K854" s="182" t="s">
        <v>363</v>
      </c>
      <c r="R854" s="163"/>
      <c r="S854" s="163"/>
    </row>
    <row r="855">
      <c r="A855" s="179">
        <f t="shared" si="2"/>
        <v>854</v>
      </c>
      <c r="B855" s="180"/>
      <c r="C855" s="180" t="s">
        <v>208</v>
      </c>
      <c r="D855" s="180" t="s">
        <v>208</v>
      </c>
      <c r="E855" s="180" t="s">
        <v>208</v>
      </c>
      <c r="F855" s="180" t="s">
        <v>208</v>
      </c>
      <c r="G855" s="180" t="s">
        <v>208</v>
      </c>
      <c r="H855" s="181"/>
      <c r="I855" s="181"/>
      <c r="J855" s="181"/>
      <c r="K855" s="182" t="s">
        <v>363</v>
      </c>
      <c r="R855" s="163"/>
      <c r="S855" s="163"/>
    </row>
    <row r="856">
      <c r="A856" s="179">
        <f t="shared" si="2"/>
        <v>855</v>
      </c>
      <c r="B856" s="180"/>
      <c r="C856" s="180" t="s">
        <v>208</v>
      </c>
      <c r="D856" s="180" t="s">
        <v>208</v>
      </c>
      <c r="E856" s="180" t="s">
        <v>208</v>
      </c>
      <c r="F856" s="180" t="s">
        <v>208</v>
      </c>
      <c r="G856" s="180" t="s">
        <v>208</v>
      </c>
      <c r="H856" s="181"/>
      <c r="I856" s="181"/>
      <c r="J856" s="181"/>
      <c r="K856" s="182" t="s">
        <v>363</v>
      </c>
      <c r="R856" s="163"/>
      <c r="S856" s="163"/>
    </row>
    <row r="857">
      <c r="A857" s="179">
        <f t="shared" si="2"/>
        <v>856</v>
      </c>
      <c r="B857" s="180"/>
      <c r="C857" s="180" t="s">
        <v>208</v>
      </c>
      <c r="D857" s="180" t="s">
        <v>208</v>
      </c>
      <c r="E857" s="180" t="s">
        <v>208</v>
      </c>
      <c r="F857" s="180" t="s">
        <v>208</v>
      </c>
      <c r="G857" s="180" t="s">
        <v>208</v>
      </c>
      <c r="H857" s="180"/>
      <c r="I857" s="181"/>
      <c r="J857" s="181"/>
      <c r="K857" s="182" t="s">
        <v>363</v>
      </c>
      <c r="R857" s="163"/>
      <c r="S857" s="163"/>
    </row>
    <row r="858">
      <c r="A858" s="179">
        <f t="shared" si="2"/>
        <v>857</v>
      </c>
      <c r="B858" s="180"/>
      <c r="C858" s="180" t="s">
        <v>208</v>
      </c>
      <c r="D858" s="180" t="s">
        <v>208</v>
      </c>
      <c r="E858" s="180" t="s">
        <v>208</v>
      </c>
      <c r="F858" s="180" t="s">
        <v>208</v>
      </c>
      <c r="G858" s="180" t="s">
        <v>208</v>
      </c>
      <c r="H858" s="181"/>
      <c r="I858" s="181"/>
      <c r="J858" s="181"/>
      <c r="K858" s="182" t="s">
        <v>363</v>
      </c>
      <c r="R858" s="163"/>
      <c r="S858" s="163"/>
    </row>
    <row r="859">
      <c r="A859" s="179">
        <f t="shared" si="2"/>
        <v>858</v>
      </c>
      <c r="B859" s="180"/>
      <c r="C859" s="180"/>
      <c r="D859" s="180"/>
      <c r="E859" s="180"/>
      <c r="F859" s="180"/>
      <c r="G859" s="180"/>
      <c r="H859" s="181"/>
      <c r="I859" s="181"/>
      <c r="J859" s="180" t="s">
        <v>242</v>
      </c>
      <c r="K859" s="182" t="s">
        <v>363</v>
      </c>
      <c r="R859" s="163"/>
      <c r="S859" s="163"/>
    </row>
    <row r="860">
      <c r="A860" s="179">
        <f t="shared" si="2"/>
        <v>859</v>
      </c>
      <c r="B860" s="180"/>
      <c r="C860" s="180"/>
      <c r="D860" s="180"/>
      <c r="E860" s="180"/>
      <c r="F860" s="180"/>
      <c r="G860" s="181"/>
      <c r="H860" s="180"/>
      <c r="I860" s="181"/>
      <c r="J860" s="180" t="s">
        <v>242</v>
      </c>
      <c r="K860" s="182" t="s">
        <v>363</v>
      </c>
      <c r="R860" s="163"/>
      <c r="S860" s="163"/>
    </row>
    <row r="861">
      <c r="A861" s="179">
        <f t="shared" si="2"/>
        <v>860</v>
      </c>
      <c r="B861" s="180"/>
      <c r="C861" s="180" t="s">
        <v>208</v>
      </c>
      <c r="D861" s="180" t="s">
        <v>208</v>
      </c>
      <c r="E861" s="180" t="s">
        <v>208</v>
      </c>
      <c r="F861" s="180" t="s">
        <v>208</v>
      </c>
      <c r="G861" s="180" t="s">
        <v>208</v>
      </c>
      <c r="H861" s="185"/>
      <c r="I861" s="181"/>
      <c r="J861" s="180"/>
      <c r="K861" s="182" t="s">
        <v>363</v>
      </c>
      <c r="R861" s="163"/>
      <c r="S861" s="163"/>
    </row>
    <row r="862">
      <c r="A862" s="179">
        <f t="shared" si="2"/>
        <v>861</v>
      </c>
      <c r="B862" s="180"/>
      <c r="C862" s="180" t="s">
        <v>208</v>
      </c>
      <c r="D862" s="180" t="s">
        <v>208</v>
      </c>
      <c r="E862" s="180" t="s">
        <v>208</v>
      </c>
      <c r="F862" s="180" t="s">
        <v>208</v>
      </c>
      <c r="G862" s="180" t="s">
        <v>208</v>
      </c>
      <c r="H862" s="180"/>
      <c r="I862" s="181"/>
      <c r="J862" s="181"/>
      <c r="K862" s="182" t="s">
        <v>363</v>
      </c>
      <c r="R862" s="163"/>
      <c r="S862" s="163"/>
    </row>
    <row r="863">
      <c r="A863" s="179">
        <f t="shared" si="2"/>
        <v>862</v>
      </c>
      <c r="B863" s="180"/>
      <c r="C863" s="180" t="s">
        <v>208</v>
      </c>
      <c r="D863" s="180" t="s">
        <v>208</v>
      </c>
      <c r="E863" s="180" t="s">
        <v>208</v>
      </c>
      <c r="F863" s="180" t="s">
        <v>208</v>
      </c>
      <c r="G863" s="180" t="s">
        <v>208</v>
      </c>
      <c r="H863" s="181"/>
      <c r="I863" s="181"/>
      <c r="J863" s="181"/>
      <c r="K863" s="182" t="s">
        <v>363</v>
      </c>
      <c r="R863" s="163"/>
      <c r="S863" s="163"/>
    </row>
    <row r="864">
      <c r="A864" s="179">
        <f t="shared" si="2"/>
        <v>863</v>
      </c>
      <c r="B864" s="180"/>
      <c r="C864" s="180" t="s">
        <v>208</v>
      </c>
      <c r="D864" s="180" t="s">
        <v>208</v>
      </c>
      <c r="E864" s="180" t="s">
        <v>208</v>
      </c>
      <c r="F864" s="180" t="s">
        <v>208</v>
      </c>
      <c r="G864" s="180" t="s">
        <v>208</v>
      </c>
      <c r="H864" s="181"/>
      <c r="I864" s="181"/>
      <c r="J864" s="181"/>
      <c r="K864" s="182" t="s">
        <v>363</v>
      </c>
      <c r="R864" s="173"/>
      <c r="S864" s="173"/>
    </row>
    <row r="865">
      <c r="A865" s="179">
        <f t="shared" si="2"/>
        <v>864</v>
      </c>
      <c r="B865" s="180"/>
      <c r="C865" s="180" t="s">
        <v>208</v>
      </c>
      <c r="D865" s="180" t="s">
        <v>208</v>
      </c>
      <c r="E865" s="180" t="s">
        <v>208</v>
      </c>
      <c r="F865" s="180" t="s">
        <v>208</v>
      </c>
      <c r="G865" s="180" t="s">
        <v>208</v>
      </c>
      <c r="H865" s="181"/>
      <c r="I865" s="181"/>
      <c r="J865" s="181"/>
      <c r="K865" s="182" t="s">
        <v>363</v>
      </c>
      <c r="R865" s="157"/>
      <c r="S865" s="157"/>
    </row>
    <row r="866">
      <c r="A866" s="179">
        <f t="shared" si="2"/>
        <v>865</v>
      </c>
      <c r="B866" s="180"/>
      <c r="C866" s="180" t="s">
        <v>208</v>
      </c>
      <c r="D866" s="180" t="s">
        <v>208</v>
      </c>
      <c r="E866" s="180" t="s">
        <v>208</v>
      </c>
      <c r="F866" s="180" t="s">
        <v>208</v>
      </c>
      <c r="G866" s="180" t="s">
        <v>208</v>
      </c>
      <c r="H866" s="181"/>
      <c r="I866" s="181"/>
      <c r="J866" s="181"/>
      <c r="K866" s="182" t="s">
        <v>363</v>
      </c>
      <c r="R866" s="163"/>
      <c r="S866" s="163"/>
    </row>
    <row r="867">
      <c r="A867" s="179">
        <f t="shared" si="2"/>
        <v>866</v>
      </c>
      <c r="B867" s="180"/>
      <c r="C867" s="180" t="s">
        <v>208</v>
      </c>
      <c r="D867" s="180" t="s">
        <v>208</v>
      </c>
      <c r="E867" s="180" t="s">
        <v>208</v>
      </c>
      <c r="F867" s="180" t="s">
        <v>208</v>
      </c>
      <c r="G867" s="180" t="s">
        <v>208</v>
      </c>
      <c r="H867" s="181"/>
      <c r="I867" s="181"/>
      <c r="J867" s="181"/>
      <c r="K867" s="182" t="s">
        <v>363</v>
      </c>
      <c r="R867" s="163"/>
      <c r="S867" s="163"/>
    </row>
    <row r="868">
      <c r="A868" s="179">
        <f t="shared" si="2"/>
        <v>867</v>
      </c>
      <c r="B868" s="180"/>
      <c r="C868" s="180" t="s">
        <v>208</v>
      </c>
      <c r="D868" s="180" t="s">
        <v>208</v>
      </c>
      <c r="E868" s="180" t="s">
        <v>208</v>
      </c>
      <c r="F868" s="180" t="s">
        <v>208</v>
      </c>
      <c r="G868" s="180" t="s">
        <v>208</v>
      </c>
      <c r="H868" s="181"/>
      <c r="I868" s="181"/>
      <c r="J868" s="181"/>
      <c r="K868" s="182" t="s">
        <v>363</v>
      </c>
      <c r="R868" s="163"/>
      <c r="S868" s="163"/>
    </row>
    <row r="869">
      <c r="A869" s="179">
        <f t="shared" si="2"/>
        <v>868</v>
      </c>
      <c r="B869" s="180"/>
      <c r="C869" s="180" t="s">
        <v>208</v>
      </c>
      <c r="D869" s="180" t="s">
        <v>208</v>
      </c>
      <c r="E869" s="180" t="s">
        <v>208</v>
      </c>
      <c r="F869" s="180" t="s">
        <v>208</v>
      </c>
      <c r="G869" s="180" t="s">
        <v>208</v>
      </c>
      <c r="H869" s="181"/>
      <c r="I869" s="181"/>
      <c r="J869" s="181"/>
      <c r="K869" s="182" t="s">
        <v>363</v>
      </c>
      <c r="R869" s="163"/>
      <c r="S869" s="163"/>
    </row>
    <row r="870">
      <c r="A870" s="179">
        <f t="shared" si="2"/>
        <v>869</v>
      </c>
      <c r="B870" s="180"/>
      <c r="C870" s="180" t="s">
        <v>208</v>
      </c>
      <c r="D870" s="180" t="s">
        <v>208</v>
      </c>
      <c r="E870" s="180" t="s">
        <v>208</v>
      </c>
      <c r="F870" s="180" t="s">
        <v>208</v>
      </c>
      <c r="G870" s="180" t="s">
        <v>208</v>
      </c>
      <c r="H870" s="181"/>
      <c r="I870" s="181"/>
      <c r="J870" s="181"/>
      <c r="K870" s="182" t="s">
        <v>363</v>
      </c>
      <c r="R870" s="163"/>
      <c r="S870" s="163"/>
    </row>
    <row r="871">
      <c r="A871" s="179">
        <f t="shared" si="2"/>
        <v>870</v>
      </c>
      <c r="B871" s="180"/>
      <c r="C871" s="180" t="s">
        <v>208</v>
      </c>
      <c r="D871" s="180" t="s">
        <v>208</v>
      </c>
      <c r="E871" s="180" t="s">
        <v>208</v>
      </c>
      <c r="F871" s="180" t="s">
        <v>208</v>
      </c>
      <c r="G871" s="180" t="s">
        <v>208</v>
      </c>
      <c r="H871" s="181"/>
      <c r="I871" s="181"/>
      <c r="J871" s="181"/>
      <c r="K871" s="182" t="s">
        <v>363</v>
      </c>
      <c r="R871" s="163"/>
      <c r="S871" s="163"/>
    </row>
    <row r="872">
      <c r="A872" s="179">
        <f t="shared" si="2"/>
        <v>871</v>
      </c>
      <c r="B872" s="180"/>
      <c r="C872" s="180" t="s">
        <v>208</v>
      </c>
      <c r="D872" s="180" t="s">
        <v>208</v>
      </c>
      <c r="E872" s="180" t="s">
        <v>208</v>
      </c>
      <c r="F872" s="180" t="s">
        <v>208</v>
      </c>
      <c r="G872" s="180" t="s">
        <v>208</v>
      </c>
      <c r="H872" s="181"/>
      <c r="I872" s="181"/>
      <c r="J872" s="181"/>
      <c r="K872" s="182" t="s">
        <v>363</v>
      </c>
      <c r="R872" s="163"/>
      <c r="S872" s="163"/>
    </row>
    <row r="873">
      <c r="A873" s="179">
        <f t="shared" si="2"/>
        <v>872</v>
      </c>
      <c r="B873" s="180"/>
      <c r="C873" s="180" t="s">
        <v>208</v>
      </c>
      <c r="D873" s="180" t="s">
        <v>208</v>
      </c>
      <c r="E873" s="180" t="s">
        <v>208</v>
      </c>
      <c r="F873" s="180" t="s">
        <v>208</v>
      </c>
      <c r="G873" s="180" t="s">
        <v>208</v>
      </c>
      <c r="H873" s="181"/>
      <c r="I873" s="181"/>
      <c r="J873" s="181"/>
      <c r="K873" s="182" t="s">
        <v>363</v>
      </c>
      <c r="R873" s="163"/>
      <c r="S873" s="163"/>
    </row>
    <row r="874">
      <c r="A874" s="179">
        <f t="shared" si="2"/>
        <v>873</v>
      </c>
      <c r="B874" s="180"/>
      <c r="C874" s="180" t="s">
        <v>208</v>
      </c>
      <c r="D874" s="180" t="s">
        <v>208</v>
      </c>
      <c r="E874" s="180" t="s">
        <v>208</v>
      </c>
      <c r="F874" s="180" t="s">
        <v>208</v>
      </c>
      <c r="G874" s="180" t="s">
        <v>208</v>
      </c>
      <c r="H874" s="181"/>
      <c r="I874" s="181"/>
      <c r="J874" s="181"/>
      <c r="K874" s="182" t="s">
        <v>363</v>
      </c>
      <c r="R874" s="163"/>
      <c r="S874" s="163"/>
    </row>
    <row r="875">
      <c r="A875" s="179">
        <f t="shared" si="2"/>
        <v>874</v>
      </c>
      <c r="B875" s="181"/>
      <c r="C875" s="180" t="s">
        <v>208</v>
      </c>
      <c r="D875" s="180" t="s">
        <v>208</v>
      </c>
      <c r="E875" s="180" t="s">
        <v>208</v>
      </c>
      <c r="F875" s="180" t="s">
        <v>208</v>
      </c>
      <c r="G875" s="180" t="s">
        <v>208</v>
      </c>
      <c r="H875" s="180"/>
      <c r="I875" s="181"/>
      <c r="J875" s="181"/>
      <c r="K875" s="182" t="s">
        <v>363</v>
      </c>
      <c r="R875" s="163"/>
      <c r="S875" s="163"/>
    </row>
    <row r="876">
      <c r="A876" s="179">
        <f t="shared" si="2"/>
        <v>875</v>
      </c>
      <c r="B876" s="180"/>
      <c r="C876" s="180" t="s">
        <v>208</v>
      </c>
      <c r="D876" s="180" t="s">
        <v>208</v>
      </c>
      <c r="E876" s="180" t="s">
        <v>208</v>
      </c>
      <c r="F876" s="180" t="s">
        <v>208</v>
      </c>
      <c r="G876" s="180" t="s">
        <v>208</v>
      </c>
      <c r="H876" s="185"/>
      <c r="I876" s="181"/>
      <c r="J876" s="181"/>
      <c r="K876" s="182" t="s">
        <v>363</v>
      </c>
      <c r="R876" s="173"/>
      <c r="S876" s="173"/>
    </row>
    <row r="877">
      <c r="A877" s="179">
        <f t="shared" si="2"/>
        <v>876</v>
      </c>
      <c r="B877" s="181"/>
      <c r="C877" s="180" t="s">
        <v>208</v>
      </c>
      <c r="D877" s="180" t="s">
        <v>208</v>
      </c>
      <c r="E877" s="180" t="s">
        <v>208</v>
      </c>
      <c r="F877" s="180" t="s">
        <v>208</v>
      </c>
      <c r="G877" s="180" t="s">
        <v>208</v>
      </c>
      <c r="H877" s="180"/>
      <c r="I877" s="181"/>
      <c r="J877" s="181"/>
      <c r="K877" s="182" t="s">
        <v>363</v>
      </c>
      <c r="R877" s="157"/>
      <c r="S877" s="157"/>
    </row>
    <row r="878">
      <c r="A878" s="179">
        <f t="shared" si="2"/>
        <v>877</v>
      </c>
      <c r="B878" s="180"/>
      <c r="C878" s="180" t="s">
        <v>208</v>
      </c>
      <c r="D878" s="180" t="s">
        <v>208</v>
      </c>
      <c r="E878" s="180" t="s">
        <v>208</v>
      </c>
      <c r="F878" s="180" t="s">
        <v>208</v>
      </c>
      <c r="G878" s="180" t="s">
        <v>208</v>
      </c>
      <c r="H878" s="181"/>
      <c r="I878" s="181"/>
      <c r="J878" s="181"/>
      <c r="K878" s="182" t="s">
        <v>363</v>
      </c>
      <c r="R878" s="163"/>
      <c r="S878" s="163"/>
    </row>
    <row r="879">
      <c r="A879" s="179">
        <f t="shared" si="2"/>
        <v>878</v>
      </c>
      <c r="B879" s="180"/>
      <c r="C879" s="180" t="s">
        <v>208</v>
      </c>
      <c r="D879" s="180" t="s">
        <v>208</v>
      </c>
      <c r="E879" s="180" t="s">
        <v>208</v>
      </c>
      <c r="F879" s="180" t="s">
        <v>208</v>
      </c>
      <c r="G879" s="180" t="s">
        <v>208</v>
      </c>
      <c r="H879" s="180"/>
      <c r="I879" s="181"/>
      <c r="J879" s="181"/>
      <c r="K879" s="182" t="s">
        <v>363</v>
      </c>
      <c r="R879" s="163"/>
      <c r="S879" s="163"/>
    </row>
    <row r="880">
      <c r="A880" s="179">
        <f t="shared" si="2"/>
        <v>879</v>
      </c>
      <c r="B880" s="180"/>
      <c r="C880" s="180" t="s">
        <v>208</v>
      </c>
      <c r="D880" s="180" t="s">
        <v>208</v>
      </c>
      <c r="E880" s="180" t="s">
        <v>208</v>
      </c>
      <c r="F880" s="180" t="s">
        <v>208</v>
      </c>
      <c r="G880" s="180" t="s">
        <v>208</v>
      </c>
      <c r="H880" s="181"/>
      <c r="I880" s="181"/>
      <c r="J880" s="181"/>
      <c r="K880" s="182" t="s">
        <v>363</v>
      </c>
      <c r="R880" s="163"/>
      <c r="S880" s="163"/>
    </row>
    <row r="881">
      <c r="A881" s="179">
        <f t="shared" si="2"/>
        <v>880</v>
      </c>
      <c r="B881" s="180"/>
      <c r="C881" s="180" t="s">
        <v>208</v>
      </c>
      <c r="D881" s="180" t="s">
        <v>208</v>
      </c>
      <c r="E881" s="180" t="s">
        <v>208</v>
      </c>
      <c r="F881" s="180" t="s">
        <v>208</v>
      </c>
      <c r="G881" s="180" t="s">
        <v>208</v>
      </c>
      <c r="H881" s="181"/>
      <c r="I881" s="181"/>
      <c r="J881" s="181"/>
      <c r="K881" s="182" t="s">
        <v>363</v>
      </c>
      <c r="R881" s="163"/>
      <c r="S881" s="163"/>
    </row>
    <row r="882">
      <c r="A882" s="179">
        <f t="shared" si="2"/>
        <v>881</v>
      </c>
      <c r="B882" s="180"/>
      <c r="C882" s="180" t="s">
        <v>208</v>
      </c>
      <c r="D882" s="180" t="s">
        <v>208</v>
      </c>
      <c r="E882" s="180" t="s">
        <v>208</v>
      </c>
      <c r="F882" s="180" t="s">
        <v>208</v>
      </c>
      <c r="G882" s="180" t="s">
        <v>208</v>
      </c>
      <c r="H882" s="181"/>
      <c r="I882" s="181"/>
      <c r="J882" s="181"/>
      <c r="K882" s="182" t="s">
        <v>363</v>
      </c>
      <c r="R882" s="163"/>
      <c r="S882" s="163"/>
    </row>
    <row r="883">
      <c r="A883" s="179">
        <f t="shared" si="2"/>
        <v>882</v>
      </c>
      <c r="B883" s="180"/>
      <c r="C883" s="180" t="s">
        <v>208</v>
      </c>
      <c r="D883" s="180" t="s">
        <v>208</v>
      </c>
      <c r="E883" s="180" t="s">
        <v>208</v>
      </c>
      <c r="F883" s="180" t="s">
        <v>208</v>
      </c>
      <c r="G883" s="180" t="s">
        <v>208</v>
      </c>
      <c r="H883" s="181"/>
      <c r="I883" s="181"/>
      <c r="J883" s="181"/>
      <c r="K883" s="182" t="s">
        <v>363</v>
      </c>
      <c r="R883" s="163"/>
      <c r="S883" s="163"/>
    </row>
    <row r="884">
      <c r="A884" s="179">
        <f t="shared" si="2"/>
        <v>883</v>
      </c>
      <c r="B884" s="180"/>
      <c r="C884" s="180" t="s">
        <v>208</v>
      </c>
      <c r="D884" s="180" t="s">
        <v>208</v>
      </c>
      <c r="E884" s="180" t="s">
        <v>208</v>
      </c>
      <c r="F884" s="180" t="s">
        <v>208</v>
      </c>
      <c r="G884" s="180" t="s">
        <v>208</v>
      </c>
      <c r="H884" s="181"/>
      <c r="I884" s="181"/>
      <c r="J884" s="181"/>
      <c r="K884" s="182" t="s">
        <v>363</v>
      </c>
      <c r="R884" s="163"/>
      <c r="S884" s="163"/>
    </row>
    <row r="885">
      <c r="A885" s="179">
        <f t="shared" si="2"/>
        <v>884</v>
      </c>
      <c r="B885" s="180"/>
      <c r="C885" s="180" t="s">
        <v>208</v>
      </c>
      <c r="D885" s="180" t="s">
        <v>208</v>
      </c>
      <c r="E885" s="180" t="s">
        <v>208</v>
      </c>
      <c r="F885" s="180" t="s">
        <v>208</v>
      </c>
      <c r="G885" s="180" t="s">
        <v>208</v>
      </c>
      <c r="H885" s="181"/>
      <c r="I885" s="181"/>
      <c r="J885" s="181"/>
      <c r="K885" s="182" t="s">
        <v>363</v>
      </c>
      <c r="R885" s="163"/>
      <c r="S885" s="163"/>
    </row>
    <row r="886">
      <c r="A886" s="179">
        <f t="shared" si="2"/>
        <v>885</v>
      </c>
      <c r="B886" s="180"/>
      <c r="C886" s="180" t="s">
        <v>208</v>
      </c>
      <c r="D886" s="180" t="s">
        <v>208</v>
      </c>
      <c r="E886" s="180"/>
      <c r="F886" s="180" t="s">
        <v>208</v>
      </c>
      <c r="G886" s="180" t="s">
        <v>208</v>
      </c>
      <c r="H886" s="181"/>
      <c r="I886" s="181"/>
      <c r="J886" s="181"/>
      <c r="K886" s="182" t="s">
        <v>363</v>
      </c>
      <c r="R886" s="163"/>
      <c r="S886" s="163"/>
    </row>
    <row r="887">
      <c r="A887" s="179">
        <f t="shared" si="2"/>
        <v>886</v>
      </c>
      <c r="B887" s="180"/>
      <c r="C887" s="180" t="s">
        <v>208</v>
      </c>
      <c r="D887" s="180" t="s">
        <v>208</v>
      </c>
      <c r="E887" s="180" t="s">
        <v>208</v>
      </c>
      <c r="F887" s="180" t="s">
        <v>208</v>
      </c>
      <c r="G887" s="180" t="s">
        <v>208</v>
      </c>
      <c r="H887" s="181"/>
      <c r="I887" s="181"/>
      <c r="J887" s="181"/>
      <c r="K887" s="182" t="s">
        <v>363</v>
      </c>
      <c r="R887" s="163"/>
      <c r="S887" s="163"/>
    </row>
    <row r="888">
      <c r="A888" s="179">
        <f t="shared" si="2"/>
        <v>887</v>
      </c>
      <c r="B888" s="181"/>
      <c r="C888" s="180" t="s">
        <v>208</v>
      </c>
      <c r="D888" s="180" t="s">
        <v>208</v>
      </c>
      <c r="E888" s="180" t="s">
        <v>208</v>
      </c>
      <c r="F888" s="180" t="s">
        <v>208</v>
      </c>
      <c r="G888" s="180" t="s">
        <v>208</v>
      </c>
      <c r="H888" s="181"/>
      <c r="I888" s="181"/>
      <c r="J888" s="181"/>
      <c r="K888" s="182" t="s">
        <v>363</v>
      </c>
      <c r="R888" s="173"/>
      <c r="S888" s="173"/>
    </row>
    <row r="889">
      <c r="A889" s="179">
        <f t="shared" si="2"/>
        <v>888</v>
      </c>
      <c r="B889" s="180"/>
      <c r="C889" s="180" t="s">
        <v>208</v>
      </c>
      <c r="D889" s="180" t="s">
        <v>208</v>
      </c>
      <c r="E889" s="180" t="s">
        <v>208</v>
      </c>
      <c r="F889" s="180" t="s">
        <v>208</v>
      </c>
      <c r="G889" s="180" t="s">
        <v>208</v>
      </c>
      <c r="H889" s="181"/>
      <c r="I889" s="181"/>
      <c r="J889" s="181"/>
      <c r="K889" s="182" t="s">
        <v>363</v>
      </c>
      <c r="R889" s="157"/>
      <c r="S889" s="157"/>
    </row>
    <row r="890">
      <c r="A890" s="179">
        <f t="shared" si="2"/>
        <v>889</v>
      </c>
      <c r="B890" s="180"/>
      <c r="C890" s="180" t="s">
        <v>208</v>
      </c>
      <c r="D890" s="180" t="s">
        <v>243</v>
      </c>
      <c r="E890" s="180" t="s">
        <v>208</v>
      </c>
      <c r="F890" s="180" t="s">
        <v>208</v>
      </c>
      <c r="G890" s="180" t="s">
        <v>208</v>
      </c>
      <c r="H890" s="180"/>
      <c r="I890" s="181"/>
      <c r="J890" s="181"/>
      <c r="K890" s="182" t="s">
        <v>363</v>
      </c>
      <c r="R890" s="163"/>
      <c r="S890" s="163"/>
    </row>
    <row r="891">
      <c r="A891" s="179">
        <f t="shared" si="2"/>
        <v>890</v>
      </c>
      <c r="B891" s="180"/>
      <c r="C891" s="180" t="s">
        <v>208</v>
      </c>
      <c r="D891" s="180" t="s">
        <v>208</v>
      </c>
      <c r="E891" s="180" t="s">
        <v>208</v>
      </c>
      <c r="F891" s="180" t="s">
        <v>208</v>
      </c>
      <c r="G891" s="180" t="s">
        <v>208</v>
      </c>
      <c r="H891" s="181"/>
      <c r="I891" s="181"/>
      <c r="J891" s="181"/>
      <c r="K891" s="182" t="s">
        <v>363</v>
      </c>
      <c r="R891" s="163"/>
      <c r="S891" s="163"/>
    </row>
    <row r="892">
      <c r="A892" s="179">
        <f t="shared" si="2"/>
        <v>891</v>
      </c>
      <c r="B892" s="180"/>
      <c r="C892" s="180" t="s">
        <v>208</v>
      </c>
      <c r="D892" s="180" t="s">
        <v>208</v>
      </c>
      <c r="E892" s="180" t="s">
        <v>208</v>
      </c>
      <c r="F892" s="180" t="s">
        <v>208</v>
      </c>
      <c r="G892" s="180" t="s">
        <v>208</v>
      </c>
      <c r="H892" s="181"/>
      <c r="I892" s="181"/>
      <c r="J892" s="180"/>
      <c r="K892" s="182" t="s">
        <v>363</v>
      </c>
      <c r="R892" s="163"/>
      <c r="S892" s="163"/>
    </row>
    <row r="893">
      <c r="A893" s="179">
        <f t="shared" si="2"/>
        <v>892</v>
      </c>
      <c r="B893" s="181"/>
      <c r="C893" s="180" t="s">
        <v>208</v>
      </c>
      <c r="D893" s="180" t="s">
        <v>208</v>
      </c>
      <c r="E893" s="180" t="s">
        <v>208</v>
      </c>
      <c r="F893" s="180" t="s">
        <v>208</v>
      </c>
      <c r="G893" s="180" t="s">
        <v>208</v>
      </c>
      <c r="H893" s="180"/>
      <c r="I893" s="181"/>
      <c r="J893" s="181"/>
      <c r="K893" s="182" t="s">
        <v>363</v>
      </c>
      <c r="R893" s="163"/>
      <c r="S893" s="163"/>
    </row>
    <row r="894">
      <c r="A894" s="179">
        <f t="shared" si="2"/>
        <v>893</v>
      </c>
      <c r="B894" s="180"/>
      <c r="C894" s="180" t="s">
        <v>208</v>
      </c>
      <c r="D894" s="180" t="s">
        <v>208</v>
      </c>
      <c r="E894" s="180" t="s">
        <v>208</v>
      </c>
      <c r="F894" s="180" t="s">
        <v>208</v>
      </c>
      <c r="G894" s="180" t="s">
        <v>208</v>
      </c>
      <c r="H894" s="181"/>
      <c r="I894" s="181"/>
      <c r="J894" s="181"/>
      <c r="K894" s="182" t="s">
        <v>363</v>
      </c>
      <c r="R894" s="163"/>
      <c r="S894" s="163"/>
    </row>
    <row r="895">
      <c r="A895" s="179">
        <f t="shared" si="2"/>
        <v>894</v>
      </c>
      <c r="B895" s="180"/>
      <c r="C895" s="180" t="s">
        <v>208</v>
      </c>
      <c r="D895" s="180" t="s">
        <v>208</v>
      </c>
      <c r="E895" s="180" t="s">
        <v>208</v>
      </c>
      <c r="F895" s="180" t="s">
        <v>208</v>
      </c>
      <c r="G895" s="180" t="s">
        <v>208</v>
      </c>
      <c r="H895" s="181"/>
      <c r="I895" s="181"/>
      <c r="J895" s="181"/>
      <c r="K895" s="182" t="s">
        <v>363</v>
      </c>
      <c r="R895" s="163"/>
      <c r="S895" s="163"/>
    </row>
    <row r="896">
      <c r="A896" s="179">
        <f t="shared" si="2"/>
        <v>895</v>
      </c>
      <c r="B896" s="180"/>
      <c r="C896" s="180" t="s">
        <v>208</v>
      </c>
      <c r="D896" s="180" t="s">
        <v>208</v>
      </c>
      <c r="E896" s="180" t="s">
        <v>208</v>
      </c>
      <c r="F896" s="180" t="s">
        <v>208</v>
      </c>
      <c r="G896" s="180" t="s">
        <v>208</v>
      </c>
      <c r="H896" s="181"/>
      <c r="I896" s="181"/>
      <c r="J896" s="181"/>
      <c r="K896" s="182" t="s">
        <v>363</v>
      </c>
      <c r="R896" s="163"/>
      <c r="S896" s="163"/>
    </row>
    <row r="897">
      <c r="A897" s="179">
        <f t="shared" si="2"/>
        <v>896</v>
      </c>
      <c r="B897" s="180"/>
      <c r="C897" s="180" t="s">
        <v>208</v>
      </c>
      <c r="D897" s="180" t="s">
        <v>208</v>
      </c>
      <c r="E897" s="180" t="s">
        <v>208</v>
      </c>
      <c r="F897" s="180" t="s">
        <v>208</v>
      </c>
      <c r="G897" s="180" t="s">
        <v>208</v>
      </c>
      <c r="H897" s="181"/>
      <c r="I897" s="181"/>
      <c r="J897" s="181"/>
      <c r="K897" s="182" t="s">
        <v>363</v>
      </c>
      <c r="R897" s="163"/>
      <c r="S897" s="163"/>
    </row>
    <row r="898">
      <c r="A898" s="179">
        <f t="shared" si="2"/>
        <v>897</v>
      </c>
      <c r="B898" s="180"/>
      <c r="C898" s="180" t="s">
        <v>208</v>
      </c>
      <c r="D898" s="180" t="s">
        <v>208</v>
      </c>
      <c r="E898" s="180" t="s">
        <v>208</v>
      </c>
      <c r="F898" s="180" t="s">
        <v>208</v>
      </c>
      <c r="G898" s="180" t="s">
        <v>208</v>
      </c>
      <c r="H898" s="181"/>
      <c r="I898" s="181"/>
      <c r="J898" s="181"/>
      <c r="K898" s="182" t="s">
        <v>363</v>
      </c>
      <c r="R898" s="163"/>
      <c r="S898" s="163"/>
    </row>
    <row r="899">
      <c r="A899" s="179">
        <f t="shared" si="2"/>
        <v>898</v>
      </c>
      <c r="B899" s="180"/>
      <c r="C899" s="180" t="s">
        <v>208</v>
      </c>
      <c r="D899" s="180" t="s">
        <v>208</v>
      </c>
      <c r="E899" s="180" t="s">
        <v>208</v>
      </c>
      <c r="F899" s="180" t="s">
        <v>208</v>
      </c>
      <c r="G899" s="180" t="s">
        <v>208</v>
      </c>
      <c r="H899" s="181"/>
      <c r="I899" s="181"/>
      <c r="J899" s="181"/>
      <c r="K899" s="182" t="s">
        <v>363</v>
      </c>
      <c r="R899" s="163"/>
      <c r="S899" s="163"/>
    </row>
    <row r="900">
      <c r="A900" s="179">
        <f t="shared" si="2"/>
        <v>899</v>
      </c>
      <c r="B900" s="180"/>
      <c r="C900" s="180"/>
      <c r="D900" s="180"/>
      <c r="E900" s="180"/>
      <c r="F900" s="180"/>
      <c r="G900" s="180"/>
      <c r="H900" s="181"/>
      <c r="I900" s="181"/>
      <c r="J900" s="180" t="s">
        <v>242</v>
      </c>
      <c r="K900" s="182" t="s">
        <v>363</v>
      </c>
      <c r="R900" s="173"/>
      <c r="S900" s="173"/>
    </row>
    <row r="901">
      <c r="A901" s="179">
        <f t="shared" si="2"/>
        <v>900</v>
      </c>
      <c r="B901" s="180"/>
      <c r="C901" s="180" t="s">
        <v>208</v>
      </c>
      <c r="D901" s="180" t="s">
        <v>208</v>
      </c>
      <c r="E901" s="180" t="s">
        <v>208</v>
      </c>
      <c r="F901" s="180" t="s">
        <v>208</v>
      </c>
      <c r="G901" s="180" t="s">
        <v>208</v>
      </c>
      <c r="H901" s="181"/>
      <c r="I901" s="181"/>
      <c r="J901" s="181"/>
      <c r="K901" s="182" t="s">
        <v>363</v>
      </c>
      <c r="R901" s="157"/>
      <c r="S901" s="157"/>
    </row>
    <row r="902">
      <c r="A902" s="179">
        <f t="shared" si="2"/>
        <v>901</v>
      </c>
      <c r="B902" s="180"/>
      <c r="C902" s="180" t="s">
        <v>208</v>
      </c>
      <c r="D902" s="180" t="s">
        <v>208</v>
      </c>
      <c r="E902" s="180" t="s">
        <v>208</v>
      </c>
      <c r="F902" s="180" t="s">
        <v>208</v>
      </c>
      <c r="G902" s="180" t="s">
        <v>208</v>
      </c>
      <c r="H902" s="181"/>
      <c r="I902" s="181"/>
      <c r="J902" s="181"/>
      <c r="K902" s="182" t="s">
        <v>363</v>
      </c>
      <c r="R902" s="163"/>
      <c r="S902" s="163"/>
    </row>
    <row r="903">
      <c r="A903" s="179">
        <f t="shared" si="2"/>
        <v>902</v>
      </c>
      <c r="B903" s="180"/>
      <c r="C903" s="180" t="s">
        <v>208</v>
      </c>
      <c r="D903" s="180" t="s">
        <v>208</v>
      </c>
      <c r="E903" s="180" t="s">
        <v>208</v>
      </c>
      <c r="F903" s="180" t="s">
        <v>208</v>
      </c>
      <c r="G903" s="180" t="s">
        <v>208</v>
      </c>
      <c r="H903" s="181"/>
      <c r="I903" s="181"/>
      <c r="J903" s="181"/>
      <c r="K903" s="182" t="s">
        <v>363</v>
      </c>
      <c r="R903" s="163"/>
      <c r="S903" s="163"/>
    </row>
    <row r="904">
      <c r="A904" s="179">
        <f t="shared" si="2"/>
        <v>903</v>
      </c>
      <c r="B904" s="180"/>
      <c r="C904" s="180" t="s">
        <v>208</v>
      </c>
      <c r="D904" s="180" t="s">
        <v>208</v>
      </c>
      <c r="E904" s="180" t="s">
        <v>208</v>
      </c>
      <c r="F904" s="180" t="s">
        <v>208</v>
      </c>
      <c r="G904" s="180" t="s">
        <v>208</v>
      </c>
      <c r="H904" s="181"/>
      <c r="I904" s="181"/>
      <c r="J904" s="181"/>
      <c r="K904" s="182" t="s">
        <v>363</v>
      </c>
      <c r="R904" s="163"/>
      <c r="S904" s="163"/>
    </row>
    <row r="905">
      <c r="A905" s="179">
        <f t="shared" si="2"/>
        <v>904</v>
      </c>
      <c r="B905" s="180"/>
      <c r="C905" s="180"/>
      <c r="D905" s="180"/>
      <c r="E905" s="180"/>
      <c r="F905" s="180"/>
      <c r="G905" s="181"/>
      <c r="H905" s="185"/>
      <c r="I905" s="181"/>
      <c r="J905" s="180" t="s">
        <v>242</v>
      </c>
      <c r="K905" s="182" t="s">
        <v>363</v>
      </c>
      <c r="R905" s="163"/>
      <c r="S905" s="163"/>
    </row>
    <row r="906">
      <c r="A906" s="179">
        <f t="shared" si="2"/>
        <v>905</v>
      </c>
      <c r="B906" s="180"/>
      <c r="C906" s="180"/>
      <c r="D906" s="180"/>
      <c r="E906" s="180"/>
      <c r="F906" s="180"/>
      <c r="G906" s="180"/>
      <c r="H906" s="181"/>
      <c r="I906" s="181"/>
      <c r="J906" s="180" t="s">
        <v>242</v>
      </c>
      <c r="K906" s="182" t="s">
        <v>363</v>
      </c>
      <c r="R906" s="163"/>
      <c r="S906" s="163"/>
    </row>
    <row r="907">
      <c r="A907" s="179">
        <f t="shared" si="2"/>
        <v>906</v>
      </c>
      <c r="B907" s="180"/>
      <c r="C907" s="180"/>
      <c r="D907" s="180"/>
      <c r="E907" s="180"/>
      <c r="F907" s="180"/>
      <c r="G907" s="180"/>
      <c r="H907" s="181"/>
      <c r="I907" s="181"/>
      <c r="J907" s="180" t="s">
        <v>242</v>
      </c>
      <c r="K907" s="182" t="s">
        <v>363</v>
      </c>
      <c r="R907" s="163"/>
      <c r="S907" s="163"/>
    </row>
    <row r="908">
      <c r="A908" s="179">
        <f t="shared" si="2"/>
        <v>907</v>
      </c>
      <c r="B908" s="180"/>
      <c r="C908" s="180"/>
      <c r="D908" s="180"/>
      <c r="E908" s="180"/>
      <c r="F908" s="180"/>
      <c r="G908" s="180"/>
      <c r="H908" s="181"/>
      <c r="I908" s="181"/>
      <c r="J908" s="180" t="s">
        <v>242</v>
      </c>
      <c r="K908" s="182" t="s">
        <v>363</v>
      </c>
      <c r="R908" s="163"/>
      <c r="S908" s="163"/>
    </row>
    <row r="909">
      <c r="A909" s="179">
        <f t="shared" si="2"/>
        <v>908</v>
      </c>
      <c r="B909" s="180"/>
      <c r="C909" s="180"/>
      <c r="D909" s="180"/>
      <c r="E909" s="180"/>
      <c r="F909" s="180"/>
      <c r="G909" s="180"/>
      <c r="H909" s="181"/>
      <c r="I909" s="181"/>
      <c r="J909" s="180" t="s">
        <v>242</v>
      </c>
      <c r="K909" s="182" t="s">
        <v>363</v>
      </c>
      <c r="R909" s="163"/>
      <c r="S909" s="163"/>
    </row>
    <row r="910">
      <c r="A910" s="179">
        <f t="shared" si="2"/>
        <v>909</v>
      </c>
      <c r="B910" s="180"/>
      <c r="C910" s="180"/>
      <c r="D910" s="180"/>
      <c r="E910" s="180"/>
      <c r="F910" s="180"/>
      <c r="G910" s="180"/>
      <c r="H910" s="181"/>
      <c r="I910" s="181"/>
      <c r="J910" s="180" t="s">
        <v>242</v>
      </c>
      <c r="K910" s="182" t="s">
        <v>363</v>
      </c>
      <c r="R910" s="163"/>
      <c r="S910" s="163"/>
    </row>
    <row r="911">
      <c r="A911" s="179">
        <f t="shared" si="2"/>
        <v>910</v>
      </c>
      <c r="B911" s="180"/>
      <c r="C911" s="180"/>
      <c r="D911" s="180"/>
      <c r="E911" s="180"/>
      <c r="F911" s="180"/>
      <c r="G911" s="180"/>
      <c r="H911" s="181"/>
      <c r="I911" s="181"/>
      <c r="J911" s="180" t="s">
        <v>242</v>
      </c>
      <c r="K911" s="182" t="s">
        <v>363</v>
      </c>
      <c r="R911" s="163"/>
      <c r="S911" s="163"/>
    </row>
    <row r="912">
      <c r="A912" s="179">
        <f t="shared" si="2"/>
        <v>911</v>
      </c>
      <c r="B912" s="180"/>
      <c r="C912" s="180"/>
      <c r="D912" s="180"/>
      <c r="E912" s="180"/>
      <c r="F912" s="180"/>
      <c r="G912" s="180"/>
      <c r="H912" s="181"/>
      <c r="I912" s="181"/>
      <c r="J912" s="180" t="s">
        <v>242</v>
      </c>
      <c r="K912" s="182" t="s">
        <v>363</v>
      </c>
      <c r="R912" s="173"/>
      <c r="S912" s="173"/>
    </row>
    <row r="913">
      <c r="A913" s="179">
        <f t="shared" si="2"/>
        <v>912</v>
      </c>
      <c r="B913" s="180"/>
      <c r="C913" s="180"/>
      <c r="D913" s="180"/>
      <c r="E913" s="180"/>
      <c r="F913" s="180"/>
      <c r="G913" s="180"/>
      <c r="H913" s="181"/>
      <c r="I913" s="181"/>
      <c r="J913" s="180" t="s">
        <v>242</v>
      </c>
      <c r="K913" s="182" t="s">
        <v>363</v>
      </c>
      <c r="R913" s="157"/>
      <c r="S913" s="157"/>
    </row>
    <row r="914">
      <c r="A914" s="179">
        <f t="shared" si="2"/>
        <v>913</v>
      </c>
      <c r="B914" s="180"/>
      <c r="C914" s="180"/>
      <c r="D914" s="180"/>
      <c r="E914" s="180"/>
      <c r="F914" s="180"/>
      <c r="G914" s="180"/>
      <c r="H914" s="181"/>
      <c r="I914" s="181"/>
      <c r="J914" s="180" t="s">
        <v>242</v>
      </c>
      <c r="K914" s="182" t="s">
        <v>363</v>
      </c>
      <c r="R914" s="163"/>
      <c r="S914" s="163"/>
    </row>
    <row r="915">
      <c r="A915" s="179">
        <f t="shared" si="2"/>
        <v>914</v>
      </c>
      <c r="B915" s="180"/>
      <c r="C915" s="180"/>
      <c r="D915" s="180"/>
      <c r="E915" s="180"/>
      <c r="F915" s="180"/>
      <c r="G915" s="180"/>
      <c r="H915" s="181"/>
      <c r="I915" s="181"/>
      <c r="J915" s="180" t="s">
        <v>242</v>
      </c>
      <c r="K915" s="182" t="s">
        <v>363</v>
      </c>
      <c r="R915" s="163"/>
      <c r="S915" s="163"/>
    </row>
    <row r="916">
      <c r="A916" s="179">
        <f t="shared" si="2"/>
        <v>915</v>
      </c>
      <c r="B916" s="180"/>
      <c r="C916" s="180"/>
      <c r="D916" s="180"/>
      <c r="E916" s="180"/>
      <c r="F916" s="180"/>
      <c r="G916" s="180"/>
      <c r="H916" s="181"/>
      <c r="I916" s="181"/>
      <c r="J916" s="180" t="s">
        <v>242</v>
      </c>
      <c r="K916" s="182" t="s">
        <v>363</v>
      </c>
      <c r="R916" s="163"/>
      <c r="S916" s="163"/>
    </row>
    <row r="917">
      <c r="A917" s="179">
        <f t="shared" si="2"/>
        <v>916</v>
      </c>
      <c r="B917" s="180"/>
      <c r="C917" s="180"/>
      <c r="D917" s="180"/>
      <c r="E917" s="180"/>
      <c r="F917" s="180"/>
      <c r="G917" s="180"/>
      <c r="H917" s="181"/>
      <c r="I917" s="181"/>
      <c r="J917" s="180" t="s">
        <v>242</v>
      </c>
      <c r="K917" s="182" t="s">
        <v>363</v>
      </c>
      <c r="R917" s="163"/>
      <c r="S917" s="163"/>
    </row>
    <row r="918">
      <c r="A918" s="179">
        <f t="shared" si="2"/>
        <v>917</v>
      </c>
      <c r="B918" s="180"/>
      <c r="C918" s="180"/>
      <c r="D918" s="180"/>
      <c r="E918" s="180"/>
      <c r="F918" s="180"/>
      <c r="G918" s="180"/>
      <c r="H918" s="181"/>
      <c r="I918" s="181"/>
      <c r="J918" s="180" t="s">
        <v>242</v>
      </c>
      <c r="K918" s="182" t="s">
        <v>363</v>
      </c>
      <c r="R918" s="163"/>
      <c r="S918" s="163"/>
    </row>
    <row r="919">
      <c r="A919" s="179">
        <f t="shared" si="2"/>
        <v>918</v>
      </c>
      <c r="B919" s="180"/>
      <c r="C919" s="180"/>
      <c r="D919" s="180"/>
      <c r="E919" s="180"/>
      <c r="F919" s="180"/>
      <c r="G919" s="180"/>
      <c r="H919" s="181"/>
      <c r="I919" s="181"/>
      <c r="J919" s="180" t="s">
        <v>242</v>
      </c>
      <c r="K919" s="182" t="s">
        <v>363</v>
      </c>
      <c r="R919" s="163"/>
      <c r="S919" s="163"/>
    </row>
    <row r="920">
      <c r="A920" s="179">
        <f t="shared" si="2"/>
        <v>919</v>
      </c>
      <c r="B920" s="180"/>
      <c r="C920" s="180"/>
      <c r="D920" s="180"/>
      <c r="E920" s="180"/>
      <c r="F920" s="180"/>
      <c r="G920" s="180"/>
      <c r="H920" s="181"/>
      <c r="I920" s="181"/>
      <c r="J920" s="180" t="s">
        <v>242</v>
      </c>
      <c r="K920" s="182" t="s">
        <v>363</v>
      </c>
      <c r="R920" s="163"/>
      <c r="S920" s="163"/>
    </row>
    <row r="921">
      <c r="A921" s="179">
        <f t="shared" si="2"/>
        <v>920</v>
      </c>
      <c r="B921" s="180"/>
      <c r="C921" s="180"/>
      <c r="D921" s="180"/>
      <c r="E921" s="180"/>
      <c r="F921" s="180"/>
      <c r="G921" s="180"/>
      <c r="H921" s="181"/>
      <c r="I921" s="181"/>
      <c r="J921" s="180" t="s">
        <v>242</v>
      </c>
      <c r="K921" s="182" t="s">
        <v>363</v>
      </c>
      <c r="R921" s="163"/>
      <c r="S921" s="163"/>
    </row>
    <row r="922">
      <c r="A922" s="179">
        <f t="shared" si="2"/>
        <v>921</v>
      </c>
      <c r="B922" s="180"/>
      <c r="C922" s="180"/>
      <c r="D922" s="180"/>
      <c r="E922" s="180"/>
      <c r="F922" s="180"/>
      <c r="G922" s="180"/>
      <c r="H922" s="181"/>
      <c r="I922" s="181"/>
      <c r="J922" s="180" t="s">
        <v>242</v>
      </c>
      <c r="K922" s="182" t="s">
        <v>363</v>
      </c>
      <c r="R922" s="163"/>
      <c r="S922" s="163"/>
    </row>
    <row r="923">
      <c r="A923" s="179">
        <f t="shared" si="2"/>
        <v>922</v>
      </c>
      <c r="B923" s="180"/>
      <c r="C923" s="180"/>
      <c r="D923" s="180"/>
      <c r="E923" s="180"/>
      <c r="F923" s="180"/>
      <c r="G923" s="180"/>
      <c r="H923" s="181"/>
      <c r="I923" s="181"/>
      <c r="J923" s="180" t="s">
        <v>242</v>
      </c>
      <c r="K923" s="182" t="s">
        <v>363</v>
      </c>
      <c r="R923" s="163"/>
      <c r="S923" s="163"/>
    </row>
    <row r="924">
      <c r="A924" s="179">
        <f t="shared" si="2"/>
        <v>923</v>
      </c>
      <c r="B924" s="180"/>
      <c r="C924" s="180"/>
      <c r="D924" s="180"/>
      <c r="E924" s="180"/>
      <c r="F924" s="180"/>
      <c r="G924" s="180"/>
      <c r="H924" s="181"/>
      <c r="I924" s="181"/>
      <c r="J924" s="180" t="s">
        <v>242</v>
      </c>
      <c r="K924" s="182" t="s">
        <v>363</v>
      </c>
      <c r="R924" s="173"/>
      <c r="S924" s="173"/>
    </row>
    <row r="925">
      <c r="A925" s="179">
        <f t="shared" si="2"/>
        <v>924</v>
      </c>
      <c r="B925" s="180"/>
      <c r="C925" s="180"/>
      <c r="D925" s="180"/>
      <c r="E925" s="180"/>
      <c r="F925" s="180"/>
      <c r="G925" s="180"/>
      <c r="H925" s="181"/>
      <c r="I925" s="181"/>
      <c r="J925" s="180" t="s">
        <v>242</v>
      </c>
      <c r="K925" s="182" t="s">
        <v>363</v>
      </c>
      <c r="R925" s="157"/>
      <c r="S925" s="157"/>
    </row>
    <row r="926">
      <c r="A926" s="179">
        <f t="shared" si="2"/>
        <v>925</v>
      </c>
      <c r="B926" s="180"/>
      <c r="C926" s="180"/>
      <c r="D926" s="180"/>
      <c r="E926" s="180"/>
      <c r="F926" s="180"/>
      <c r="G926" s="180"/>
      <c r="H926" s="181"/>
      <c r="I926" s="181"/>
      <c r="J926" s="180" t="s">
        <v>242</v>
      </c>
      <c r="K926" s="182" t="s">
        <v>363</v>
      </c>
      <c r="R926" s="163"/>
      <c r="S926" s="163"/>
    </row>
    <row r="927">
      <c r="A927" s="179">
        <f t="shared" si="2"/>
        <v>926</v>
      </c>
      <c r="B927" s="180"/>
      <c r="C927" s="180"/>
      <c r="D927" s="180"/>
      <c r="E927" s="180"/>
      <c r="F927" s="180"/>
      <c r="G927" s="180"/>
      <c r="H927" s="181"/>
      <c r="I927" s="181"/>
      <c r="J927" s="180" t="s">
        <v>242</v>
      </c>
      <c r="K927" s="182" t="s">
        <v>363</v>
      </c>
      <c r="R927" s="163"/>
      <c r="S927" s="163"/>
    </row>
    <row r="928">
      <c r="A928" s="179">
        <f t="shared" si="2"/>
        <v>927</v>
      </c>
      <c r="B928" s="180"/>
      <c r="C928" s="180"/>
      <c r="D928" s="180"/>
      <c r="E928" s="180"/>
      <c r="F928" s="180"/>
      <c r="G928" s="180"/>
      <c r="H928" s="185"/>
      <c r="I928" s="181"/>
      <c r="J928" s="180" t="s">
        <v>242</v>
      </c>
      <c r="K928" s="182" t="s">
        <v>363</v>
      </c>
      <c r="R928" s="163"/>
      <c r="S928" s="163"/>
    </row>
    <row r="929">
      <c r="A929" s="179">
        <f t="shared" si="2"/>
        <v>928</v>
      </c>
      <c r="B929" s="180"/>
      <c r="C929" s="180"/>
      <c r="D929" s="180"/>
      <c r="E929" s="180"/>
      <c r="F929" s="180"/>
      <c r="G929" s="181"/>
      <c r="H929" s="180"/>
      <c r="I929" s="181"/>
      <c r="J929" s="180" t="s">
        <v>242</v>
      </c>
      <c r="K929" s="182" t="s">
        <v>363</v>
      </c>
      <c r="R929" s="163"/>
      <c r="S929" s="163"/>
    </row>
    <row r="930">
      <c r="A930" s="179">
        <f t="shared" si="2"/>
        <v>929</v>
      </c>
      <c r="B930" s="180"/>
      <c r="C930" s="180"/>
      <c r="D930" s="180"/>
      <c r="E930" s="180"/>
      <c r="F930" s="180"/>
      <c r="G930" s="180"/>
      <c r="H930" s="181"/>
      <c r="I930" s="181"/>
      <c r="J930" s="180" t="s">
        <v>242</v>
      </c>
      <c r="K930" s="182" t="s">
        <v>363</v>
      </c>
      <c r="R930" s="163"/>
      <c r="S930" s="163"/>
    </row>
    <row r="931">
      <c r="A931" s="179">
        <f t="shared" si="2"/>
        <v>930</v>
      </c>
      <c r="B931" s="180"/>
      <c r="C931" s="180"/>
      <c r="D931" s="180"/>
      <c r="E931" s="180"/>
      <c r="F931" s="180"/>
      <c r="G931" s="180"/>
      <c r="H931" s="181"/>
      <c r="I931" s="181"/>
      <c r="J931" s="180" t="s">
        <v>242</v>
      </c>
      <c r="K931" s="182" t="s">
        <v>363</v>
      </c>
      <c r="R931" s="163"/>
      <c r="S931" s="163"/>
    </row>
    <row r="932">
      <c r="A932" s="179">
        <f t="shared" si="2"/>
        <v>931</v>
      </c>
      <c r="B932" s="180"/>
      <c r="C932" s="180"/>
      <c r="D932" s="180"/>
      <c r="E932" s="180"/>
      <c r="F932" s="180"/>
      <c r="G932" s="180"/>
      <c r="H932" s="181"/>
      <c r="I932" s="181"/>
      <c r="J932" s="180" t="s">
        <v>242</v>
      </c>
      <c r="K932" s="182" t="s">
        <v>363</v>
      </c>
      <c r="R932" s="163"/>
      <c r="S932" s="163"/>
    </row>
    <row r="933">
      <c r="A933" s="179">
        <f t="shared" si="2"/>
        <v>932</v>
      </c>
      <c r="B933" s="180"/>
      <c r="C933" s="180"/>
      <c r="D933" s="180"/>
      <c r="E933" s="180"/>
      <c r="F933" s="180"/>
      <c r="G933" s="180"/>
      <c r="H933" s="181"/>
      <c r="I933" s="181"/>
      <c r="J933" s="180" t="s">
        <v>242</v>
      </c>
      <c r="K933" s="182" t="s">
        <v>363</v>
      </c>
      <c r="R933" s="163"/>
      <c r="S933" s="163"/>
    </row>
    <row r="934">
      <c r="A934" s="179">
        <f t="shared" si="2"/>
        <v>933</v>
      </c>
      <c r="B934" s="180"/>
      <c r="C934" s="180"/>
      <c r="D934" s="180"/>
      <c r="E934" s="180"/>
      <c r="F934" s="180"/>
      <c r="G934" s="181"/>
      <c r="H934" s="180"/>
      <c r="I934" s="181"/>
      <c r="J934" s="180" t="s">
        <v>242</v>
      </c>
      <c r="K934" s="182" t="s">
        <v>363</v>
      </c>
      <c r="R934" s="163"/>
      <c r="S934" s="163"/>
    </row>
    <row r="935">
      <c r="A935" s="179">
        <f t="shared" si="2"/>
        <v>934</v>
      </c>
      <c r="B935" s="180"/>
      <c r="C935" s="180"/>
      <c r="D935" s="180"/>
      <c r="E935" s="180"/>
      <c r="F935" s="180"/>
      <c r="G935" s="180"/>
      <c r="H935" s="181"/>
      <c r="I935" s="181"/>
      <c r="J935" s="180" t="s">
        <v>242</v>
      </c>
      <c r="K935" s="182" t="s">
        <v>363</v>
      </c>
      <c r="R935" s="163"/>
      <c r="S935" s="163"/>
    </row>
    <row r="936">
      <c r="A936" s="179">
        <f t="shared" si="2"/>
        <v>935</v>
      </c>
      <c r="B936" s="180"/>
      <c r="C936" s="180"/>
      <c r="D936" s="180"/>
      <c r="E936" s="180"/>
      <c r="F936" s="180"/>
      <c r="G936" s="181"/>
      <c r="H936" s="180"/>
      <c r="I936" s="181"/>
      <c r="J936" s="180" t="s">
        <v>242</v>
      </c>
      <c r="K936" s="182" t="s">
        <v>363</v>
      </c>
      <c r="R936" s="173"/>
      <c r="S936" s="173"/>
    </row>
    <row r="937">
      <c r="A937" s="179">
        <f t="shared" si="2"/>
        <v>936</v>
      </c>
      <c r="B937" s="180"/>
      <c r="C937" s="180"/>
      <c r="D937" s="180"/>
      <c r="E937" s="180"/>
      <c r="F937" s="180"/>
      <c r="G937" s="180"/>
      <c r="H937" s="181"/>
      <c r="I937" s="181"/>
      <c r="J937" s="180" t="s">
        <v>242</v>
      </c>
      <c r="K937" s="182" t="s">
        <v>363</v>
      </c>
      <c r="R937" s="157"/>
      <c r="S937" s="157"/>
    </row>
    <row r="938">
      <c r="A938" s="179">
        <f t="shared" si="2"/>
        <v>937</v>
      </c>
      <c r="B938" s="180"/>
      <c r="C938" s="180"/>
      <c r="D938" s="180"/>
      <c r="E938" s="180"/>
      <c r="F938" s="180"/>
      <c r="G938" s="180"/>
      <c r="H938" s="181"/>
      <c r="I938" s="181"/>
      <c r="J938" s="180" t="s">
        <v>242</v>
      </c>
      <c r="K938" s="182" t="s">
        <v>363</v>
      </c>
      <c r="R938" s="163"/>
      <c r="S938" s="163"/>
    </row>
    <row r="939">
      <c r="A939" s="179">
        <f t="shared" si="2"/>
        <v>938</v>
      </c>
      <c r="B939" s="180"/>
      <c r="C939" s="180"/>
      <c r="D939" s="180"/>
      <c r="E939" s="180"/>
      <c r="F939" s="180"/>
      <c r="G939" s="180"/>
      <c r="H939" s="181"/>
      <c r="I939" s="181"/>
      <c r="J939" s="180" t="s">
        <v>242</v>
      </c>
      <c r="K939" s="182" t="s">
        <v>363</v>
      </c>
      <c r="R939" s="163"/>
      <c r="S939" s="163"/>
    </row>
    <row r="940">
      <c r="A940" s="179">
        <f t="shared" si="2"/>
        <v>939</v>
      </c>
      <c r="B940" s="180"/>
      <c r="C940" s="180"/>
      <c r="D940" s="180"/>
      <c r="E940" s="180"/>
      <c r="F940" s="180"/>
      <c r="G940" s="180"/>
      <c r="H940" s="181"/>
      <c r="I940" s="181"/>
      <c r="J940" s="180" t="s">
        <v>242</v>
      </c>
      <c r="K940" s="182" t="s">
        <v>363</v>
      </c>
      <c r="R940" s="163"/>
      <c r="S940" s="163"/>
    </row>
    <row r="941">
      <c r="A941" s="179">
        <f t="shared" si="2"/>
        <v>940</v>
      </c>
      <c r="B941" s="180"/>
      <c r="C941" s="180" t="s">
        <v>208</v>
      </c>
      <c r="D941" s="180" t="s">
        <v>208</v>
      </c>
      <c r="E941" s="180" t="s">
        <v>208</v>
      </c>
      <c r="F941" s="180" t="s">
        <v>208</v>
      </c>
      <c r="G941" s="180" t="s">
        <v>208</v>
      </c>
      <c r="H941" s="181"/>
      <c r="I941" s="181"/>
      <c r="J941" s="181"/>
      <c r="K941" s="182" t="s">
        <v>363</v>
      </c>
      <c r="R941" s="163"/>
      <c r="S941" s="163"/>
    </row>
    <row r="942">
      <c r="A942" s="179">
        <f t="shared" si="2"/>
        <v>941</v>
      </c>
      <c r="B942" s="180"/>
      <c r="C942" s="180"/>
      <c r="D942" s="180"/>
      <c r="E942" s="180"/>
      <c r="F942" s="180" t="s">
        <v>208</v>
      </c>
      <c r="G942" s="180" t="s">
        <v>208</v>
      </c>
      <c r="H942" s="181"/>
      <c r="I942" s="181"/>
      <c r="J942" s="180"/>
      <c r="K942" s="182" t="s">
        <v>363</v>
      </c>
      <c r="R942" s="163"/>
      <c r="S942" s="163"/>
    </row>
    <row r="943">
      <c r="A943" s="179">
        <f t="shared" si="2"/>
        <v>942</v>
      </c>
      <c r="B943" s="180"/>
      <c r="C943" s="180" t="s">
        <v>208</v>
      </c>
      <c r="D943" s="180" t="s">
        <v>208</v>
      </c>
      <c r="E943" s="180" t="s">
        <v>208</v>
      </c>
      <c r="F943" s="180" t="s">
        <v>208</v>
      </c>
      <c r="G943" s="180" t="s">
        <v>208</v>
      </c>
      <c r="H943" s="181"/>
      <c r="I943" s="181"/>
      <c r="J943" s="181"/>
      <c r="K943" s="182" t="s">
        <v>363</v>
      </c>
      <c r="R943" s="163"/>
      <c r="S943" s="163"/>
    </row>
    <row r="944">
      <c r="A944" s="179">
        <f t="shared" si="2"/>
        <v>943</v>
      </c>
      <c r="B944" s="180"/>
      <c r="C944" s="180" t="s">
        <v>208</v>
      </c>
      <c r="D944" s="180" t="s">
        <v>208</v>
      </c>
      <c r="E944" s="180" t="s">
        <v>208</v>
      </c>
      <c r="F944" s="180" t="s">
        <v>208</v>
      </c>
      <c r="G944" s="180" t="s">
        <v>208</v>
      </c>
      <c r="H944" s="181"/>
      <c r="I944" s="181"/>
      <c r="J944" s="181"/>
      <c r="K944" s="182" t="s">
        <v>363</v>
      </c>
      <c r="R944" s="163"/>
      <c r="S944" s="163"/>
    </row>
    <row r="945">
      <c r="A945" s="179">
        <f t="shared" si="2"/>
        <v>944</v>
      </c>
      <c r="B945" s="180"/>
      <c r="C945" s="180" t="s">
        <v>208</v>
      </c>
      <c r="D945" s="180" t="s">
        <v>208</v>
      </c>
      <c r="E945" s="180" t="s">
        <v>208</v>
      </c>
      <c r="F945" s="180" t="s">
        <v>208</v>
      </c>
      <c r="G945" s="180" t="s">
        <v>208</v>
      </c>
      <c r="H945" s="181"/>
      <c r="I945" s="181"/>
      <c r="J945" s="181"/>
      <c r="K945" s="182" t="s">
        <v>363</v>
      </c>
      <c r="R945" s="163"/>
      <c r="S945" s="163"/>
    </row>
    <row r="946">
      <c r="A946" s="179">
        <f t="shared" si="2"/>
        <v>945</v>
      </c>
      <c r="B946" s="180"/>
      <c r="C946" s="180"/>
      <c r="D946" s="180"/>
      <c r="E946" s="180"/>
      <c r="F946" s="180"/>
      <c r="G946" s="180"/>
      <c r="H946" s="181"/>
      <c r="I946" s="181"/>
      <c r="J946" s="180" t="s">
        <v>242</v>
      </c>
      <c r="K946" s="182" t="s">
        <v>363</v>
      </c>
      <c r="R946" s="163"/>
      <c r="S946" s="163"/>
    </row>
    <row r="947">
      <c r="A947" s="179">
        <f t="shared" si="2"/>
        <v>946</v>
      </c>
      <c r="B947" s="180"/>
      <c r="C947" s="180" t="s">
        <v>208</v>
      </c>
      <c r="D947" s="180" t="s">
        <v>208</v>
      </c>
      <c r="E947" s="180" t="s">
        <v>208</v>
      </c>
      <c r="F947" s="180" t="s">
        <v>208</v>
      </c>
      <c r="G947" s="180" t="s">
        <v>208</v>
      </c>
      <c r="H947" s="181"/>
      <c r="I947" s="181"/>
      <c r="J947" s="181"/>
      <c r="K947" s="182" t="s">
        <v>363</v>
      </c>
      <c r="R947" s="163"/>
      <c r="S947" s="163"/>
    </row>
    <row r="948">
      <c r="A948" s="179">
        <f t="shared" si="2"/>
        <v>947</v>
      </c>
      <c r="B948" s="180"/>
      <c r="C948" s="180" t="s">
        <v>208</v>
      </c>
      <c r="D948" s="180" t="s">
        <v>208</v>
      </c>
      <c r="E948" s="180" t="s">
        <v>208</v>
      </c>
      <c r="F948" s="180" t="s">
        <v>208</v>
      </c>
      <c r="G948" s="180" t="s">
        <v>208</v>
      </c>
      <c r="H948" s="181"/>
      <c r="I948" s="181"/>
      <c r="J948" s="181"/>
      <c r="K948" s="182" t="s">
        <v>363</v>
      </c>
      <c r="R948" s="173"/>
      <c r="S948" s="173"/>
    </row>
    <row r="949">
      <c r="A949" s="179">
        <f t="shared" si="2"/>
        <v>948</v>
      </c>
      <c r="B949" s="180"/>
      <c r="C949" s="180" t="s">
        <v>208</v>
      </c>
      <c r="D949" s="180" t="s">
        <v>208</v>
      </c>
      <c r="E949" s="180" t="s">
        <v>208</v>
      </c>
      <c r="F949" s="180" t="s">
        <v>208</v>
      </c>
      <c r="G949" s="180" t="s">
        <v>208</v>
      </c>
      <c r="H949" s="180"/>
      <c r="I949" s="181"/>
      <c r="J949" s="181"/>
      <c r="K949" s="182" t="s">
        <v>363</v>
      </c>
      <c r="R949" s="157"/>
      <c r="S949" s="157"/>
    </row>
    <row r="950">
      <c r="A950" s="179">
        <f t="shared" si="2"/>
        <v>949</v>
      </c>
      <c r="B950" s="180"/>
      <c r="C950" s="180" t="s">
        <v>208</v>
      </c>
      <c r="D950" s="180" t="s">
        <v>208</v>
      </c>
      <c r="E950" s="180" t="s">
        <v>208</v>
      </c>
      <c r="F950" s="180" t="s">
        <v>208</v>
      </c>
      <c r="G950" s="180" t="s">
        <v>208</v>
      </c>
      <c r="H950" s="180"/>
      <c r="I950" s="181"/>
      <c r="J950" s="181"/>
      <c r="K950" s="182" t="s">
        <v>363</v>
      </c>
      <c r="R950" s="163"/>
      <c r="S950" s="163"/>
    </row>
    <row r="951">
      <c r="A951" s="179">
        <f t="shared" si="2"/>
        <v>950</v>
      </c>
      <c r="B951" s="180"/>
      <c r="C951" s="180" t="s">
        <v>208</v>
      </c>
      <c r="D951" s="180" t="s">
        <v>208</v>
      </c>
      <c r="E951" s="180" t="s">
        <v>208</v>
      </c>
      <c r="F951" s="180" t="s">
        <v>208</v>
      </c>
      <c r="G951" s="180" t="s">
        <v>208</v>
      </c>
      <c r="H951" s="185"/>
      <c r="I951" s="181"/>
      <c r="J951" s="181"/>
      <c r="K951" s="182" t="s">
        <v>363</v>
      </c>
      <c r="R951" s="163"/>
      <c r="S951" s="163"/>
    </row>
    <row r="952">
      <c r="A952" s="179">
        <f t="shared" si="2"/>
        <v>951</v>
      </c>
      <c r="B952" s="180"/>
      <c r="C952" s="180" t="s">
        <v>208</v>
      </c>
      <c r="D952" s="180" t="s">
        <v>243</v>
      </c>
      <c r="E952" s="180"/>
      <c r="F952" s="180" t="s">
        <v>208</v>
      </c>
      <c r="G952" s="180" t="s">
        <v>208</v>
      </c>
      <c r="H952" s="185"/>
      <c r="I952" s="181"/>
      <c r="J952" s="181"/>
      <c r="K952" s="182" t="s">
        <v>363</v>
      </c>
      <c r="R952" s="163"/>
      <c r="S952" s="163"/>
    </row>
    <row r="953">
      <c r="A953" s="179">
        <f t="shared" si="2"/>
        <v>952</v>
      </c>
      <c r="B953" s="180"/>
      <c r="C953" s="180" t="s">
        <v>208</v>
      </c>
      <c r="D953" s="180" t="s">
        <v>208</v>
      </c>
      <c r="E953" s="180" t="s">
        <v>208</v>
      </c>
      <c r="F953" s="180" t="s">
        <v>208</v>
      </c>
      <c r="G953" s="180" t="s">
        <v>208</v>
      </c>
      <c r="H953" s="185"/>
      <c r="I953" s="181"/>
      <c r="J953" s="181"/>
      <c r="K953" s="182" t="s">
        <v>363</v>
      </c>
      <c r="R953" s="163"/>
      <c r="S953" s="163"/>
    </row>
    <row r="954">
      <c r="A954" s="179">
        <f t="shared" si="2"/>
        <v>953</v>
      </c>
      <c r="B954" s="180"/>
      <c r="C954" s="180" t="s">
        <v>208</v>
      </c>
      <c r="D954" s="180" t="s">
        <v>208</v>
      </c>
      <c r="E954" s="180" t="s">
        <v>208</v>
      </c>
      <c r="F954" s="180" t="s">
        <v>208</v>
      </c>
      <c r="G954" s="180" t="s">
        <v>208</v>
      </c>
      <c r="H954" s="185"/>
      <c r="I954" s="181"/>
      <c r="J954" s="181"/>
      <c r="K954" s="182" t="s">
        <v>363</v>
      </c>
      <c r="R954" s="163"/>
      <c r="S954" s="163"/>
    </row>
    <row r="955">
      <c r="A955" s="179">
        <f t="shared" si="2"/>
        <v>954</v>
      </c>
      <c r="B955" s="180"/>
      <c r="C955" s="180" t="s">
        <v>208</v>
      </c>
      <c r="D955" s="180" t="s">
        <v>208</v>
      </c>
      <c r="E955" s="180" t="s">
        <v>208</v>
      </c>
      <c r="F955" s="180" t="s">
        <v>208</v>
      </c>
      <c r="G955" s="180" t="s">
        <v>208</v>
      </c>
      <c r="H955" s="185"/>
      <c r="I955" s="181"/>
      <c r="J955" s="181"/>
      <c r="K955" s="182" t="s">
        <v>363</v>
      </c>
      <c r="R955" s="163"/>
      <c r="S955" s="163"/>
    </row>
    <row r="956">
      <c r="A956" s="179">
        <f t="shared" si="2"/>
        <v>955</v>
      </c>
      <c r="B956" s="180"/>
      <c r="C956" s="180" t="s">
        <v>208</v>
      </c>
      <c r="D956" s="180" t="s">
        <v>208</v>
      </c>
      <c r="E956" s="180" t="s">
        <v>208</v>
      </c>
      <c r="F956" s="180" t="s">
        <v>208</v>
      </c>
      <c r="G956" s="180" t="s">
        <v>208</v>
      </c>
      <c r="H956" s="185"/>
      <c r="I956" s="181"/>
      <c r="J956" s="181"/>
      <c r="K956" s="182" t="s">
        <v>363</v>
      </c>
      <c r="R956" s="163"/>
      <c r="S956" s="163"/>
    </row>
    <row r="957">
      <c r="A957" s="179">
        <f t="shared" si="2"/>
        <v>956</v>
      </c>
      <c r="B957" s="180"/>
      <c r="C957" s="180" t="s">
        <v>208</v>
      </c>
      <c r="D957" s="180" t="s">
        <v>208</v>
      </c>
      <c r="E957" s="180" t="s">
        <v>208</v>
      </c>
      <c r="F957" s="180" t="s">
        <v>208</v>
      </c>
      <c r="G957" s="180" t="s">
        <v>208</v>
      </c>
      <c r="H957" s="181"/>
      <c r="I957" s="181"/>
      <c r="J957" s="180"/>
      <c r="K957" s="182" t="s">
        <v>363</v>
      </c>
      <c r="R957" s="163"/>
      <c r="S957" s="163"/>
    </row>
    <row r="958">
      <c r="A958" s="179">
        <f t="shared" si="2"/>
        <v>957</v>
      </c>
      <c r="B958" s="180"/>
      <c r="C958" s="180" t="s">
        <v>208</v>
      </c>
      <c r="D958" s="180" t="s">
        <v>208</v>
      </c>
      <c r="E958" s="180" t="s">
        <v>208</v>
      </c>
      <c r="F958" s="180" t="s">
        <v>208</v>
      </c>
      <c r="G958" s="180" t="s">
        <v>208</v>
      </c>
      <c r="H958" s="181"/>
      <c r="I958" s="181"/>
      <c r="J958" s="181"/>
      <c r="K958" s="182" t="s">
        <v>363</v>
      </c>
      <c r="R958" s="163"/>
      <c r="S958" s="163"/>
    </row>
    <row r="959">
      <c r="A959" s="179">
        <f t="shared" si="2"/>
        <v>958</v>
      </c>
      <c r="B959" s="180"/>
      <c r="C959" s="180"/>
      <c r="D959" s="180"/>
      <c r="E959" s="180"/>
      <c r="F959" s="180"/>
      <c r="G959" s="180" t="s">
        <v>208</v>
      </c>
      <c r="H959" s="181"/>
      <c r="I959" s="181"/>
      <c r="J959" s="180"/>
      <c r="K959" s="182" t="s">
        <v>363</v>
      </c>
      <c r="R959" s="163"/>
      <c r="S959" s="163"/>
    </row>
    <row r="960">
      <c r="A960" s="179">
        <f t="shared" si="2"/>
        <v>959</v>
      </c>
      <c r="B960" s="180"/>
      <c r="C960" s="180"/>
      <c r="D960" s="180"/>
      <c r="E960" s="180"/>
      <c r="F960" s="180"/>
      <c r="G960" s="180"/>
      <c r="H960" s="181"/>
      <c r="I960" s="181"/>
      <c r="J960" s="180" t="s">
        <v>242</v>
      </c>
      <c r="K960" s="182" t="s">
        <v>363</v>
      </c>
      <c r="R960" s="173"/>
      <c r="S960" s="173"/>
    </row>
    <row r="961">
      <c r="A961" s="179">
        <f t="shared" si="2"/>
        <v>960</v>
      </c>
      <c r="B961" s="180"/>
      <c r="C961" s="180" t="s">
        <v>208</v>
      </c>
      <c r="D961" s="180" t="s">
        <v>208</v>
      </c>
      <c r="E961" s="180" t="s">
        <v>208</v>
      </c>
      <c r="F961" s="180" t="s">
        <v>208</v>
      </c>
      <c r="G961" s="180" t="s">
        <v>208</v>
      </c>
      <c r="H961" s="181"/>
      <c r="I961" s="181"/>
      <c r="J961" s="181"/>
      <c r="K961" s="182" t="s">
        <v>363</v>
      </c>
      <c r="R961" s="157"/>
      <c r="S961" s="157"/>
    </row>
    <row r="962">
      <c r="A962" s="179">
        <f t="shared" si="2"/>
        <v>961</v>
      </c>
      <c r="B962" s="180"/>
      <c r="C962" s="180" t="s">
        <v>208</v>
      </c>
      <c r="D962" s="180" t="s">
        <v>208</v>
      </c>
      <c r="E962" s="180" t="s">
        <v>208</v>
      </c>
      <c r="F962" s="180" t="s">
        <v>208</v>
      </c>
      <c r="G962" s="180" t="s">
        <v>208</v>
      </c>
      <c r="H962" s="181"/>
      <c r="I962" s="181"/>
      <c r="J962" s="181"/>
      <c r="K962" s="182" t="s">
        <v>363</v>
      </c>
      <c r="R962" s="163"/>
      <c r="S962" s="163"/>
    </row>
    <row r="963">
      <c r="A963" s="179">
        <f t="shared" si="2"/>
        <v>962</v>
      </c>
      <c r="B963" s="180"/>
      <c r="C963" s="180" t="s">
        <v>208</v>
      </c>
      <c r="D963" s="180" t="s">
        <v>208</v>
      </c>
      <c r="E963" s="180" t="s">
        <v>208</v>
      </c>
      <c r="F963" s="180" t="s">
        <v>208</v>
      </c>
      <c r="G963" s="180" t="s">
        <v>208</v>
      </c>
      <c r="H963" s="181"/>
      <c r="I963" s="181"/>
      <c r="J963" s="181"/>
      <c r="K963" s="182" t="s">
        <v>363</v>
      </c>
      <c r="R963" s="163"/>
      <c r="S963" s="163"/>
    </row>
    <row r="964">
      <c r="A964" s="179">
        <f t="shared" si="2"/>
        <v>963</v>
      </c>
      <c r="B964" s="180"/>
      <c r="C964" s="180" t="s">
        <v>208</v>
      </c>
      <c r="D964" s="180" t="s">
        <v>208</v>
      </c>
      <c r="E964" s="180" t="s">
        <v>208</v>
      </c>
      <c r="F964" s="180" t="s">
        <v>208</v>
      </c>
      <c r="G964" s="180" t="s">
        <v>208</v>
      </c>
      <c r="H964" s="181"/>
      <c r="I964" s="181"/>
      <c r="J964" s="181"/>
      <c r="K964" s="182" t="s">
        <v>363</v>
      </c>
      <c r="R964" s="163"/>
      <c r="S964" s="163"/>
    </row>
    <row r="965">
      <c r="A965" s="179">
        <f t="shared" si="2"/>
        <v>964</v>
      </c>
      <c r="B965" s="180"/>
      <c r="C965" s="180"/>
      <c r="D965" s="180"/>
      <c r="E965" s="180"/>
      <c r="F965" s="180"/>
      <c r="G965" s="180"/>
      <c r="H965" s="181"/>
      <c r="I965" s="181"/>
      <c r="J965" s="180" t="s">
        <v>242</v>
      </c>
      <c r="K965" s="182" t="s">
        <v>363</v>
      </c>
      <c r="R965" s="163"/>
      <c r="S965" s="163"/>
    </row>
    <row r="966">
      <c r="A966" s="179">
        <f t="shared" si="2"/>
        <v>965</v>
      </c>
      <c r="B966" s="180"/>
      <c r="C966" s="180"/>
      <c r="D966" s="180"/>
      <c r="E966" s="180"/>
      <c r="F966" s="180"/>
      <c r="G966" s="180"/>
      <c r="H966" s="181"/>
      <c r="I966" s="181"/>
      <c r="J966" s="180" t="s">
        <v>242</v>
      </c>
      <c r="K966" s="182" t="s">
        <v>363</v>
      </c>
      <c r="R966" s="163"/>
      <c r="S966" s="163"/>
    </row>
    <row r="967">
      <c r="A967" s="179">
        <f t="shared" si="2"/>
        <v>966</v>
      </c>
      <c r="B967" s="180"/>
      <c r="C967" s="180" t="s">
        <v>208</v>
      </c>
      <c r="D967" s="180" t="s">
        <v>208</v>
      </c>
      <c r="E967" s="180" t="s">
        <v>208</v>
      </c>
      <c r="F967" s="180" t="s">
        <v>208</v>
      </c>
      <c r="G967" s="180" t="s">
        <v>208</v>
      </c>
      <c r="H967" s="180"/>
      <c r="I967" s="181"/>
      <c r="J967" s="181"/>
      <c r="K967" s="182" t="s">
        <v>363</v>
      </c>
      <c r="R967" s="163"/>
      <c r="S967" s="163"/>
    </row>
    <row r="968">
      <c r="A968" s="179">
        <f t="shared" si="2"/>
        <v>967</v>
      </c>
      <c r="B968" s="180"/>
      <c r="C968" s="180" t="s">
        <v>208</v>
      </c>
      <c r="D968" s="180" t="s">
        <v>208</v>
      </c>
      <c r="E968" s="180" t="s">
        <v>208</v>
      </c>
      <c r="F968" s="180" t="s">
        <v>208</v>
      </c>
      <c r="G968" s="180" t="s">
        <v>208</v>
      </c>
      <c r="H968" s="181"/>
      <c r="I968" s="181"/>
      <c r="J968" s="181"/>
      <c r="K968" s="182" t="s">
        <v>363</v>
      </c>
      <c r="R968" s="163"/>
      <c r="S968" s="163"/>
    </row>
    <row r="969">
      <c r="A969" s="179">
        <f t="shared" si="2"/>
        <v>968</v>
      </c>
      <c r="B969" s="180"/>
      <c r="C969" s="180" t="s">
        <v>208</v>
      </c>
      <c r="D969" s="180" t="s">
        <v>208</v>
      </c>
      <c r="E969" s="180" t="s">
        <v>208</v>
      </c>
      <c r="F969" s="180" t="s">
        <v>208</v>
      </c>
      <c r="G969" s="180" t="s">
        <v>208</v>
      </c>
      <c r="H969" s="181"/>
      <c r="I969" s="181"/>
      <c r="J969" s="180"/>
      <c r="K969" s="182" t="s">
        <v>363</v>
      </c>
      <c r="R969" s="163"/>
      <c r="S969" s="163"/>
    </row>
    <row r="970">
      <c r="A970" s="179">
        <f t="shared" si="2"/>
        <v>969</v>
      </c>
      <c r="B970" s="180"/>
      <c r="C970" s="180" t="s">
        <v>208</v>
      </c>
      <c r="D970" s="180" t="s">
        <v>208</v>
      </c>
      <c r="E970" s="180" t="s">
        <v>208</v>
      </c>
      <c r="F970" s="180" t="s">
        <v>208</v>
      </c>
      <c r="G970" s="180" t="s">
        <v>208</v>
      </c>
      <c r="H970" s="181"/>
      <c r="I970" s="181"/>
      <c r="J970" s="181"/>
      <c r="K970" s="182" t="s">
        <v>363</v>
      </c>
      <c r="R970" s="163"/>
      <c r="S970" s="163"/>
    </row>
    <row r="971">
      <c r="A971" s="179">
        <f t="shared" si="2"/>
        <v>970</v>
      </c>
      <c r="B971" s="180"/>
      <c r="C971" s="180" t="s">
        <v>208</v>
      </c>
      <c r="D971" s="180" t="s">
        <v>208</v>
      </c>
      <c r="E971" s="180" t="s">
        <v>208</v>
      </c>
      <c r="F971" s="180" t="s">
        <v>208</v>
      </c>
      <c r="G971" s="180" t="s">
        <v>208</v>
      </c>
      <c r="H971" s="181"/>
      <c r="I971" s="181"/>
      <c r="J971" s="181"/>
      <c r="K971" s="182" t="s">
        <v>363</v>
      </c>
      <c r="R971" s="163"/>
      <c r="S971" s="163"/>
    </row>
    <row r="972">
      <c r="A972" s="179">
        <f t="shared" si="2"/>
        <v>971</v>
      </c>
      <c r="B972" s="180"/>
      <c r="C972" s="180" t="s">
        <v>208</v>
      </c>
      <c r="D972" s="180" t="s">
        <v>208</v>
      </c>
      <c r="E972" s="180" t="s">
        <v>208</v>
      </c>
      <c r="F972" s="180" t="s">
        <v>208</v>
      </c>
      <c r="G972" s="180" t="s">
        <v>208</v>
      </c>
      <c r="H972" s="181"/>
      <c r="I972" s="181"/>
      <c r="J972" s="181"/>
      <c r="K972" s="182" t="s">
        <v>363</v>
      </c>
      <c r="R972" s="173"/>
      <c r="S972" s="173"/>
    </row>
    <row r="973">
      <c r="A973" s="179">
        <f t="shared" si="2"/>
        <v>972</v>
      </c>
      <c r="B973" s="180"/>
      <c r="C973" s="180" t="s">
        <v>208</v>
      </c>
      <c r="D973" s="180" t="s">
        <v>243</v>
      </c>
      <c r="E973" s="180" t="s">
        <v>208</v>
      </c>
      <c r="F973" s="180" t="s">
        <v>208</v>
      </c>
      <c r="G973" s="180" t="s">
        <v>208</v>
      </c>
      <c r="H973" s="181"/>
      <c r="I973" s="181"/>
      <c r="J973" s="181"/>
      <c r="K973" s="182" t="s">
        <v>363</v>
      </c>
      <c r="R973" s="157"/>
      <c r="S973" s="157"/>
    </row>
    <row r="974">
      <c r="A974" s="179">
        <f t="shared" si="2"/>
        <v>973</v>
      </c>
      <c r="B974" s="180"/>
      <c r="C974" s="180" t="s">
        <v>208</v>
      </c>
      <c r="D974" s="180" t="s">
        <v>208</v>
      </c>
      <c r="E974" s="180" t="s">
        <v>208</v>
      </c>
      <c r="F974" s="180" t="s">
        <v>208</v>
      </c>
      <c r="G974" s="180" t="s">
        <v>208</v>
      </c>
      <c r="H974" s="181"/>
      <c r="I974" s="181"/>
      <c r="J974" s="181"/>
      <c r="K974" s="182" t="s">
        <v>363</v>
      </c>
      <c r="R974" s="163"/>
      <c r="S974" s="163"/>
    </row>
    <row r="975">
      <c r="A975" s="179">
        <f t="shared" si="2"/>
        <v>974</v>
      </c>
      <c r="B975" s="180"/>
      <c r="C975" s="180" t="s">
        <v>208</v>
      </c>
      <c r="D975" s="180" t="s">
        <v>208</v>
      </c>
      <c r="E975" s="180" t="s">
        <v>208</v>
      </c>
      <c r="F975" s="180" t="s">
        <v>208</v>
      </c>
      <c r="G975" s="180" t="s">
        <v>208</v>
      </c>
      <c r="H975" s="181"/>
      <c r="I975" s="181"/>
      <c r="J975" s="181"/>
      <c r="K975" s="182" t="s">
        <v>363</v>
      </c>
      <c r="R975" s="163"/>
      <c r="S975" s="163"/>
    </row>
    <row r="976">
      <c r="A976" s="179">
        <f t="shared" si="2"/>
        <v>975</v>
      </c>
      <c r="B976" s="180"/>
      <c r="C976" s="180" t="s">
        <v>208</v>
      </c>
      <c r="D976" s="180" t="s">
        <v>243</v>
      </c>
      <c r="E976" s="180" t="s">
        <v>208</v>
      </c>
      <c r="F976" s="180" t="s">
        <v>208</v>
      </c>
      <c r="G976" s="180" t="s">
        <v>208</v>
      </c>
      <c r="H976" s="181"/>
      <c r="I976" s="181"/>
      <c r="J976" s="181"/>
      <c r="K976" s="182" t="s">
        <v>363</v>
      </c>
      <c r="R976" s="163"/>
      <c r="S976" s="163"/>
    </row>
    <row r="977">
      <c r="A977" s="179">
        <f t="shared" si="2"/>
        <v>976</v>
      </c>
      <c r="B977" s="180"/>
      <c r="C977" s="180" t="s">
        <v>208</v>
      </c>
      <c r="D977" s="180" t="s">
        <v>208</v>
      </c>
      <c r="E977" s="180" t="s">
        <v>208</v>
      </c>
      <c r="F977" s="180" t="s">
        <v>208</v>
      </c>
      <c r="G977" s="180" t="s">
        <v>208</v>
      </c>
      <c r="H977" s="181"/>
      <c r="I977" s="181"/>
      <c r="J977" s="181"/>
      <c r="K977" s="182" t="s">
        <v>363</v>
      </c>
      <c r="R977" s="163"/>
      <c r="S977" s="163"/>
    </row>
    <row r="978">
      <c r="A978" s="179">
        <f t="shared" si="2"/>
        <v>977</v>
      </c>
      <c r="B978" s="180"/>
      <c r="C978" s="180" t="s">
        <v>208</v>
      </c>
      <c r="D978" s="180" t="s">
        <v>208</v>
      </c>
      <c r="E978" s="180" t="s">
        <v>208</v>
      </c>
      <c r="F978" s="180" t="s">
        <v>208</v>
      </c>
      <c r="G978" s="180" t="s">
        <v>208</v>
      </c>
      <c r="H978" s="181"/>
      <c r="I978" s="181"/>
      <c r="J978" s="181"/>
      <c r="K978" s="182" t="s">
        <v>363</v>
      </c>
      <c r="R978" s="163"/>
      <c r="S978" s="163"/>
    </row>
    <row r="979">
      <c r="A979" s="179">
        <f t="shared" si="2"/>
        <v>978</v>
      </c>
      <c r="B979" s="180"/>
      <c r="C979" s="180" t="s">
        <v>208</v>
      </c>
      <c r="D979" s="180" t="s">
        <v>208</v>
      </c>
      <c r="E979" s="180" t="s">
        <v>208</v>
      </c>
      <c r="F979" s="180" t="s">
        <v>208</v>
      </c>
      <c r="G979" s="180" t="s">
        <v>208</v>
      </c>
      <c r="H979" s="181"/>
      <c r="I979" s="181"/>
      <c r="J979" s="181"/>
      <c r="K979" s="182" t="s">
        <v>363</v>
      </c>
      <c r="R979" s="163"/>
      <c r="S979" s="163"/>
    </row>
    <row r="980">
      <c r="A980" s="179">
        <f t="shared" si="2"/>
        <v>979</v>
      </c>
      <c r="B980" s="180"/>
      <c r="C980" s="180" t="s">
        <v>208</v>
      </c>
      <c r="D980" s="180" t="s">
        <v>208</v>
      </c>
      <c r="E980" s="180" t="s">
        <v>208</v>
      </c>
      <c r="F980" s="180" t="s">
        <v>208</v>
      </c>
      <c r="G980" s="180" t="s">
        <v>208</v>
      </c>
      <c r="H980" s="181"/>
      <c r="I980" s="181"/>
      <c r="J980" s="181"/>
      <c r="K980" s="182" t="s">
        <v>363</v>
      </c>
      <c r="R980" s="163"/>
      <c r="S980" s="163"/>
    </row>
    <row r="981">
      <c r="A981" s="179">
        <f t="shared" si="2"/>
        <v>980</v>
      </c>
      <c r="B981" s="180"/>
      <c r="C981" s="180"/>
      <c r="D981" s="180"/>
      <c r="E981" s="180"/>
      <c r="F981" s="180"/>
      <c r="G981" s="181"/>
      <c r="H981" s="180"/>
      <c r="I981" s="181"/>
      <c r="J981" s="180" t="s">
        <v>242</v>
      </c>
      <c r="K981" s="182" t="s">
        <v>363</v>
      </c>
      <c r="R981" s="163"/>
      <c r="S981" s="163"/>
    </row>
    <row r="982">
      <c r="A982" s="179">
        <f t="shared" si="2"/>
        <v>981</v>
      </c>
      <c r="B982" s="180"/>
      <c r="C982" s="180" t="s">
        <v>208</v>
      </c>
      <c r="D982" s="180" t="s">
        <v>208</v>
      </c>
      <c r="E982" s="180" t="s">
        <v>208</v>
      </c>
      <c r="F982" s="180" t="s">
        <v>208</v>
      </c>
      <c r="G982" s="180" t="s">
        <v>208</v>
      </c>
      <c r="H982" s="180"/>
      <c r="I982" s="181"/>
      <c r="J982" s="181"/>
      <c r="K982" s="182" t="s">
        <v>363</v>
      </c>
      <c r="R982" s="163"/>
      <c r="S982" s="163"/>
    </row>
    <row r="983">
      <c r="A983" s="179">
        <f t="shared" si="2"/>
        <v>982</v>
      </c>
      <c r="B983" s="180"/>
      <c r="C983" s="180" t="s">
        <v>208</v>
      </c>
      <c r="D983" s="180" t="s">
        <v>208</v>
      </c>
      <c r="E983" s="180" t="s">
        <v>208</v>
      </c>
      <c r="F983" s="180" t="s">
        <v>208</v>
      </c>
      <c r="G983" s="180" t="s">
        <v>208</v>
      </c>
      <c r="H983" s="180"/>
      <c r="I983" s="181"/>
      <c r="J983" s="181"/>
      <c r="K983" s="182" t="s">
        <v>363</v>
      </c>
      <c r="R983" s="163"/>
      <c r="S983" s="163"/>
    </row>
    <row r="984">
      <c r="A984" s="179">
        <f t="shared" si="2"/>
        <v>983</v>
      </c>
      <c r="B984" s="180"/>
      <c r="C984" s="180" t="s">
        <v>208</v>
      </c>
      <c r="D984" s="180" t="s">
        <v>208</v>
      </c>
      <c r="E984" s="180" t="s">
        <v>208</v>
      </c>
      <c r="F984" s="180" t="s">
        <v>208</v>
      </c>
      <c r="G984" s="180" t="s">
        <v>208</v>
      </c>
      <c r="H984" s="181"/>
      <c r="I984" s="181"/>
      <c r="J984" s="181"/>
      <c r="K984" s="182" t="s">
        <v>363</v>
      </c>
      <c r="R984" s="173"/>
      <c r="S984" s="173"/>
    </row>
    <row r="985">
      <c r="A985" s="179">
        <f t="shared" si="2"/>
        <v>984</v>
      </c>
      <c r="B985" s="180"/>
      <c r="C985" s="180" t="s">
        <v>208</v>
      </c>
      <c r="D985" s="180" t="s">
        <v>243</v>
      </c>
      <c r="E985" s="180" t="s">
        <v>208</v>
      </c>
      <c r="F985" s="180" t="s">
        <v>208</v>
      </c>
      <c r="G985" s="180" t="s">
        <v>208</v>
      </c>
      <c r="H985" s="181"/>
      <c r="I985" s="181"/>
      <c r="J985" s="181"/>
      <c r="K985" s="182" t="s">
        <v>363</v>
      </c>
      <c r="R985" s="157"/>
      <c r="S985" s="157"/>
    </row>
    <row r="986">
      <c r="A986" s="179">
        <f t="shared" si="2"/>
        <v>985</v>
      </c>
      <c r="B986" s="180"/>
      <c r="C986" s="180" t="s">
        <v>208</v>
      </c>
      <c r="D986" s="180" t="s">
        <v>208</v>
      </c>
      <c r="E986" s="180" t="s">
        <v>208</v>
      </c>
      <c r="F986" s="180" t="s">
        <v>208</v>
      </c>
      <c r="G986" s="180" t="s">
        <v>208</v>
      </c>
      <c r="H986" s="181"/>
      <c r="I986" s="181"/>
      <c r="J986" s="181"/>
      <c r="K986" s="182" t="s">
        <v>363</v>
      </c>
      <c r="R986" s="163"/>
      <c r="S986" s="163"/>
    </row>
    <row r="987">
      <c r="A987" s="179">
        <f t="shared" si="2"/>
        <v>986</v>
      </c>
      <c r="B987" s="180"/>
      <c r="C987" s="180" t="s">
        <v>208</v>
      </c>
      <c r="D987" s="180" t="s">
        <v>208</v>
      </c>
      <c r="E987" s="180" t="s">
        <v>208</v>
      </c>
      <c r="F987" s="180" t="s">
        <v>208</v>
      </c>
      <c r="G987" s="180" t="s">
        <v>208</v>
      </c>
      <c r="H987" s="181"/>
      <c r="I987" s="181"/>
      <c r="J987" s="181"/>
      <c r="K987" s="182" t="s">
        <v>363</v>
      </c>
      <c r="R987" s="163"/>
      <c r="S987" s="163"/>
    </row>
    <row r="988">
      <c r="A988" s="179">
        <f t="shared" si="2"/>
        <v>987</v>
      </c>
      <c r="B988" s="180"/>
      <c r="C988" s="180"/>
      <c r="D988" s="180"/>
      <c r="E988" s="180"/>
      <c r="F988" s="180"/>
      <c r="G988" s="180"/>
      <c r="H988" s="181"/>
      <c r="I988" s="181"/>
      <c r="J988" s="180" t="s">
        <v>242</v>
      </c>
      <c r="K988" s="182" t="s">
        <v>363</v>
      </c>
      <c r="R988" s="163"/>
      <c r="S988" s="163"/>
    </row>
    <row r="989">
      <c r="A989" s="179">
        <f t="shared" si="2"/>
        <v>988</v>
      </c>
      <c r="B989" s="180"/>
      <c r="C989" s="180" t="s">
        <v>208</v>
      </c>
      <c r="D989" s="180" t="s">
        <v>208</v>
      </c>
      <c r="E989" s="180" t="s">
        <v>208</v>
      </c>
      <c r="F989" s="180" t="s">
        <v>208</v>
      </c>
      <c r="G989" s="180" t="s">
        <v>208</v>
      </c>
      <c r="H989" s="181"/>
      <c r="I989" s="181"/>
      <c r="J989" s="181"/>
      <c r="K989" s="182" t="s">
        <v>363</v>
      </c>
      <c r="R989" s="163"/>
      <c r="S989" s="163"/>
    </row>
    <row r="990">
      <c r="A990" s="179">
        <f t="shared" si="2"/>
        <v>989</v>
      </c>
      <c r="B990" s="180"/>
      <c r="C990" s="180"/>
      <c r="D990" s="180" t="s">
        <v>208</v>
      </c>
      <c r="E990" s="180" t="s">
        <v>208</v>
      </c>
      <c r="F990" s="180" t="s">
        <v>208</v>
      </c>
      <c r="G990" s="181"/>
      <c r="H990" s="180" t="s">
        <v>208</v>
      </c>
      <c r="I990" s="181"/>
      <c r="J990" s="181"/>
      <c r="K990" s="182" t="s">
        <v>363</v>
      </c>
      <c r="R990" s="163"/>
      <c r="S990" s="163"/>
    </row>
    <row r="991">
      <c r="A991" s="179">
        <f t="shared" si="2"/>
        <v>990</v>
      </c>
      <c r="B991" s="180"/>
      <c r="C991" s="180" t="s">
        <v>208</v>
      </c>
      <c r="D991" s="180" t="s">
        <v>208</v>
      </c>
      <c r="E991" s="180" t="s">
        <v>208</v>
      </c>
      <c r="F991" s="180" t="s">
        <v>208</v>
      </c>
      <c r="G991" s="180" t="s">
        <v>208</v>
      </c>
      <c r="H991" s="181"/>
      <c r="I991" s="181"/>
      <c r="J991" s="181"/>
      <c r="K991" s="182" t="s">
        <v>363</v>
      </c>
      <c r="R991" s="163"/>
      <c r="S991" s="163"/>
    </row>
    <row r="992">
      <c r="A992" s="179">
        <f t="shared" si="2"/>
        <v>991</v>
      </c>
      <c r="B992" s="180"/>
      <c r="C992" s="180" t="s">
        <v>208</v>
      </c>
      <c r="D992" s="180" t="s">
        <v>208</v>
      </c>
      <c r="E992" s="180" t="s">
        <v>208</v>
      </c>
      <c r="F992" s="180" t="s">
        <v>208</v>
      </c>
      <c r="G992" s="180" t="s">
        <v>208</v>
      </c>
      <c r="H992" s="181"/>
      <c r="I992" s="181"/>
      <c r="J992" s="181"/>
      <c r="K992" s="182" t="s">
        <v>363</v>
      </c>
      <c r="R992" s="163"/>
      <c r="S992" s="163"/>
    </row>
    <row r="993">
      <c r="A993" s="179">
        <f t="shared" si="2"/>
        <v>992</v>
      </c>
      <c r="B993" s="180"/>
      <c r="C993" s="180" t="s">
        <v>208</v>
      </c>
      <c r="D993" s="180" t="s">
        <v>208</v>
      </c>
      <c r="E993" s="180"/>
      <c r="F993" s="180" t="s">
        <v>208</v>
      </c>
      <c r="G993" s="180" t="s">
        <v>208</v>
      </c>
      <c r="H993" s="181"/>
      <c r="I993" s="181"/>
      <c r="J993" s="181"/>
      <c r="K993" s="182" t="s">
        <v>363</v>
      </c>
      <c r="R993" s="163"/>
      <c r="S993" s="163"/>
    </row>
    <row r="994">
      <c r="A994" s="179">
        <f t="shared" si="2"/>
        <v>993</v>
      </c>
      <c r="B994" s="180"/>
      <c r="C994" s="180" t="s">
        <v>208</v>
      </c>
      <c r="D994" s="180" t="s">
        <v>208</v>
      </c>
      <c r="E994" s="180" t="s">
        <v>208</v>
      </c>
      <c r="F994" s="180" t="s">
        <v>208</v>
      </c>
      <c r="G994" s="180" t="s">
        <v>208</v>
      </c>
      <c r="H994" s="181"/>
      <c r="I994" s="181"/>
      <c r="J994" s="181"/>
      <c r="K994" s="182" t="s">
        <v>363</v>
      </c>
      <c r="R994" s="163"/>
      <c r="S994" s="163"/>
    </row>
    <row r="995">
      <c r="A995" s="179">
        <f t="shared" si="2"/>
        <v>994</v>
      </c>
      <c r="B995" s="180"/>
      <c r="C995" s="180" t="s">
        <v>208</v>
      </c>
      <c r="D995" s="180" t="s">
        <v>208</v>
      </c>
      <c r="E995" s="180" t="s">
        <v>208</v>
      </c>
      <c r="F995" s="180" t="s">
        <v>208</v>
      </c>
      <c r="G995" s="180" t="s">
        <v>208</v>
      </c>
      <c r="H995" s="181"/>
      <c r="I995" s="181"/>
      <c r="J995" s="181"/>
      <c r="K995" s="182" t="s">
        <v>363</v>
      </c>
      <c r="R995" s="163"/>
      <c r="S995" s="163"/>
    </row>
    <row r="996">
      <c r="A996" s="179">
        <f t="shared" si="2"/>
        <v>995</v>
      </c>
      <c r="B996" s="180"/>
      <c r="C996" s="180" t="s">
        <v>208</v>
      </c>
      <c r="D996" s="180" t="s">
        <v>208</v>
      </c>
      <c r="E996" s="180" t="s">
        <v>208</v>
      </c>
      <c r="F996" s="180" t="s">
        <v>208</v>
      </c>
      <c r="G996" s="180" t="s">
        <v>208</v>
      </c>
      <c r="H996" s="181"/>
      <c r="I996" s="181"/>
      <c r="J996" s="181"/>
      <c r="K996" s="182" t="s">
        <v>363</v>
      </c>
      <c r="R996" s="173"/>
      <c r="S996" s="173"/>
    </row>
    <row r="997">
      <c r="A997" s="179">
        <f t="shared" si="2"/>
        <v>996</v>
      </c>
      <c r="B997" s="180"/>
      <c r="C997" s="180" t="s">
        <v>208</v>
      </c>
      <c r="D997" s="180" t="s">
        <v>208</v>
      </c>
      <c r="E997" s="180" t="s">
        <v>208</v>
      </c>
      <c r="F997" s="180" t="s">
        <v>208</v>
      </c>
      <c r="G997" s="180" t="s">
        <v>208</v>
      </c>
      <c r="H997" s="181"/>
      <c r="I997" s="181"/>
      <c r="J997" s="181"/>
      <c r="K997" s="182" t="s">
        <v>363</v>
      </c>
      <c r="R997" s="157"/>
      <c r="S997" s="157"/>
    </row>
    <row r="998">
      <c r="A998" s="179">
        <f t="shared" si="2"/>
        <v>997</v>
      </c>
      <c r="B998" s="180"/>
      <c r="C998" s="180" t="s">
        <v>208</v>
      </c>
      <c r="D998" s="180" t="s">
        <v>208</v>
      </c>
      <c r="E998" s="180" t="s">
        <v>208</v>
      </c>
      <c r="F998" s="180" t="s">
        <v>208</v>
      </c>
      <c r="G998" s="180" t="s">
        <v>208</v>
      </c>
      <c r="H998" s="181"/>
      <c r="I998" s="181"/>
      <c r="J998" s="181"/>
      <c r="K998" s="182" t="s">
        <v>363</v>
      </c>
      <c r="R998" s="163"/>
      <c r="S998" s="163"/>
    </row>
    <row r="999">
      <c r="A999" s="179">
        <f t="shared" si="2"/>
        <v>998</v>
      </c>
      <c r="B999" s="180"/>
      <c r="C999" s="180" t="s">
        <v>208</v>
      </c>
      <c r="D999" s="180" t="s">
        <v>208</v>
      </c>
      <c r="E999" s="180" t="s">
        <v>208</v>
      </c>
      <c r="F999" s="180" t="s">
        <v>208</v>
      </c>
      <c r="G999" s="180" t="s">
        <v>208</v>
      </c>
      <c r="H999" s="180"/>
      <c r="I999" s="181"/>
      <c r="J999" s="181"/>
      <c r="K999" s="182" t="s">
        <v>363</v>
      </c>
      <c r="R999" s="163"/>
      <c r="S999" s="163"/>
    </row>
    <row r="1000">
      <c r="A1000" s="179">
        <f t="shared" si="2"/>
        <v>999</v>
      </c>
      <c r="B1000" s="180"/>
      <c r="C1000" s="180" t="s">
        <v>208</v>
      </c>
      <c r="D1000" s="180" t="s">
        <v>208</v>
      </c>
      <c r="E1000" s="180" t="s">
        <v>208</v>
      </c>
      <c r="F1000" s="180" t="s">
        <v>208</v>
      </c>
      <c r="G1000" s="180" t="s">
        <v>208</v>
      </c>
      <c r="H1000" s="180"/>
      <c r="I1000" s="181"/>
      <c r="J1000" s="180"/>
      <c r="K1000" s="182" t="s">
        <v>363</v>
      </c>
      <c r="R1000" s="163"/>
      <c r="S1000" s="163"/>
    </row>
    <row r="1001">
      <c r="A1001" s="179">
        <f t="shared" si="2"/>
        <v>1000</v>
      </c>
      <c r="B1001" s="180"/>
      <c r="C1001" s="180" t="s">
        <v>208</v>
      </c>
      <c r="D1001" s="180" t="s">
        <v>208</v>
      </c>
      <c r="E1001" s="180" t="s">
        <v>208</v>
      </c>
      <c r="F1001" s="180" t="s">
        <v>208</v>
      </c>
      <c r="G1001" s="180" t="s">
        <v>208</v>
      </c>
      <c r="H1001" s="181"/>
      <c r="I1001" s="181"/>
      <c r="J1001" s="181"/>
      <c r="K1001" s="182" t="s">
        <v>363</v>
      </c>
      <c r="R1001" s="163"/>
      <c r="S1001" s="163"/>
    </row>
    <row r="1002">
      <c r="A1002" s="179">
        <f t="shared" si="2"/>
        <v>1001</v>
      </c>
      <c r="B1002" s="180"/>
      <c r="C1002" s="180" t="s">
        <v>208</v>
      </c>
      <c r="D1002" s="180" t="s">
        <v>208</v>
      </c>
      <c r="E1002" s="180" t="s">
        <v>208</v>
      </c>
      <c r="F1002" s="180" t="s">
        <v>208</v>
      </c>
      <c r="G1002" s="180" t="s">
        <v>208</v>
      </c>
      <c r="H1002" s="181"/>
      <c r="I1002" s="181"/>
      <c r="J1002" s="181"/>
      <c r="K1002" s="182" t="s">
        <v>363</v>
      </c>
      <c r="R1002" s="163"/>
      <c r="S1002" s="163"/>
    </row>
    <row r="1003">
      <c r="A1003" s="179">
        <f t="shared" si="2"/>
        <v>1002</v>
      </c>
      <c r="B1003" s="180"/>
      <c r="C1003" s="180" t="s">
        <v>208</v>
      </c>
      <c r="D1003" s="180" t="s">
        <v>243</v>
      </c>
      <c r="E1003" s="180" t="s">
        <v>208</v>
      </c>
      <c r="F1003" s="180" t="s">
        <v>208</v>
      </c>
      <c r="G1003" s="180" t="s">
        <v>208</v>
      </c>
      <c r="H1003" s="181"/>
      <c r="I1003" s="181"/>
      <c r="J1003" s="181"/>
      <c r="K1003" s="182" t="s">
        <v>363</v>
      </c>
      <c r="R1003" s="163"/>
      <c r="S1003" s="163"/>
    </row>
    <row r="1004">
      <c r="A1004" s="179">
        <f t="shared" si="2"/>
        <v>1003</v>
      </c>
      <c r="B1004" s="181"/>
      <c r="C1004" s="180" t="s">
        <v>208</v>
      </c>
      <c r="D1004" s="180" t="s">
        <v>208</v>
      </c>
      <c r="E1004" s="180" t="s">
        <v>208</v>
      </c>
      <c r="F1004" s="180" t="s">
        <v>208</v>
      </c>
      <c r="G1004" s="180" t="s">
        <v>208</v>
      </c>
      <c r="H1004" s="180"/>
      <c r="I1004" s="181"/>
      <c r="J1004" s="181"/>
      <c r="K1004" s="182" t="s">
        <v>363</v>
      </c>
      <c r="R1004" s="163"/>
      <c r="S1004" s="163"/>
    </row>
    <row r="1005">
      <c r="A1005" s="179">
        <f t="shared" si="2"/>
        <v>1004</v>
      </c>
      <c r="B1005" s="180"/>
      <c r="C1005" s="180" t="s">
        <v>208</v>
      </c>
      <c r="D1005" s="180" t="s">
        <v>208</v>
      </c>
      <c r="E1005" s="180" t="s">
        <v>208</v>
      </c>
      <c r="F1005" s="180" t="s">
        <v>208</v>
      </c>
      <c r="G1005" s="180" t="s">
        <v>208</v>
      </c>
      <c r="H1005" s="181"/>
      <c r="I1005" s="181"/>
      <c r="J1005" s="180"/>
      <c r="K1005" s="182" t="s">
        <v>363</v>
      </c>
      <c r="R1005" s="163"/>
      <c r="S1005" s="163"/>
    </row>
    <row r="1006">
      <c r="A1006" s="179">
        <f t="shared" si="2"/>
        <v>1005</v>
      </c>
      <c r="B1006" s="180"/>
      <c r="C1006" s="180" t="s">
        <v>208</v>
      </c>
      <c r="D1006" s="180" t="s">
        <v>208</v>
      </c>
      <c r="E1006" s="180" t="s">
        <v>208</v>
      </c>
      <c r="F1006" s="180" t="s">
        <v>208</v>
      </c>
      <c r="G1006" s="180" t="s">
        <v>208</v>
      </c>
      <c r="H1006" s="181"/>
      <c r="I1006" s="181"/>
      <c r="J1006" s="181"/>
      <c r="K1006" s="182" t="s">
        <v>363</v>
      </c>
      <c r="R1006" s="163"/>
      <c r="S1006" s="163"/>
    </row>
    <row r="1007">
      <c r="A1007" s="179">
        <f t="shared" si="2"/>
        <v>1006</v>
      </c>
      <c r="B1007" s="180"/>
      <c r="C1007" s="180" t="s">
        <v>208</v>
      </c>
      <c r="D1007" s="180" t="s">
        <v>208</v>
      </c>
      <c r="E1007" s="180" t="s">
        <v>208</v>
      </c>
      <c r="F1007" s="180" t="s">
        <v>208</v>
      </c>
      <c r="G1007" s="180" t="s">
        <v>208</v>
      </c>
      <c r="H1007" s="181"/>
      <c r="I1007" s="181"/>
      <c r="J1007" s="180"/>
      <c r="K1007" s="182" t="s">
        <v>363</v>
      </c>
      <c r="R1007" s="163"/>
      <c r="S1007" s="163"/>
    </row>
    <row r="1008">
      <c r="A1008" s="179">
        <f t="shared" si="2"/>
        <v>1007</v>
      </c>
      <c r="B1008" s="180"/>
      <c r="C1008" s="180" t="s">
        <v>208</v>
      </c>
      <c r="D1008" s="180" t="s">
        <v>208</v>
      </c>
      <c r="E1008" s="180" t="s">
        <v>208</v>
      </c>
      <c r="F1008" s="180" t="s">
        <v>208</v>
      </c>
      <c r="G1008" s="180" t="s">
        <v>208</v>
      </c>
      <c r="H1008" s="181"/>
      <c r="I1008" s="181"/>
      <c r="J1008" s="181"/>
      <c r="K1008" s="182" t="s">
        <v>363</v>
      </c>
      <c r="R1008" s="173"/>
      <c r="S1008" s="173"/>
    </row>
    <row r="1009">
      <c r="A1009" s="179">
        <f t="shared" si="2"/>
        <v>1008</v>
      </c>
      <c r="B1009" s="180"/>
      <c r="C1009" s="180" t="s">
        <v>208</v>
      </c>
      <c r="D1009" s="180" t="s">
        <v>208</v>
      </c>
      <c r="E1009" s="180" t="s">
        <v>208</v>
      </c>
      <c r="F1009" s="180" t="s">
        <v>208</v>
      </c>
      <c r="G1009" s="180" t="s">
        <v>208</v>
      </c>
      <c r="H1009" s="181"/>
      <c r="I1009" s="181"/>
      <c r="J1009" s="181"/>
      <c r="K1009" s="182" t="s">
        <v>363</v>
      </c>
      <c r="R1009" s="157"/>
      <c r="S1009" s="157"/>
    </row>
    <row r="1010">
      <c r="A1010" s="179">
        <f t="shared" si="2"/>
        <v>1009</v>
      </c>
      <c r="B1010" s="180"/>
      <c r="C1010" s="180" t="s">
        <v>208</v>
      </c>
      <c r="D1010" s="180" t="s">
        <v>208</v>
      </c>
      <c r="E1010" s="180" t="s">
        <v>208</v>
      </c>
      <c r="F1010" s="180" t="s">
        <v>208</v>
      </c>
      <c r="G1010" s="180" t="s">
        <v>208</v>
      </c>
      <c r="H1010" s="180"/>
      <c r="I1010" s="181"/>
      <c r="J1010" s="181"/>
      <c r="K1010" s="182" t="s">
        <v>363</v>
      </c>
      <c r="R1010" s="163"/>
      <c r="S1010" s="163"/>
    </row>
    <row r="1011">
      <c r="A1011" s="179">
        <f t="shared" si="2"/>
        <v>1010</v>
      </c>
      <c r="B1011" s="180"/>
      <c r="C1011" s="180" t="s">
        <v>208</v>
      </c>
      <c r="D1011" s="180" t="s">
        <v>243</v>
      </c>
      <c r="E1011" s="180" t="s">
        <v>208</v>
      </c>
      <c r="F1011" s="180" t="s">
        <v>208</v>
      </c>
      <c r="G1011" s="180" t="s">
        <v>208</v>
      </c>
      <c r="H1011" s="185"/>
      <c r="I1011" s="181"/>
      <c r="J1011" s="181"/>
      <c r="K1011" s="182" t="s">
        <v>363</v>
      </c>
      <c r="R1011" s="163"/>
      <c r="S1011" s="163"/>
    </row>
    <row r="1012">
      <c r="A1012" s="179">
        <f t="shared" si="2"/>
        <v>1011</v>
      </c>
      <c r="B1012" s="180"/>
      <c r="C1012" s="180" t="s">
        <v>208</v>
      </c>
      <c r="D1012" s="180" t="s">
        <v>208</v>
      </c>
      <c r="E1012" s="180" t="s">
        <v>208</v>
      </c>
      <c r="F1012" s="180" t="s">
        <v>208</v>
      </c>
      <c r="G1012" s="180" t="s">
        <v>208</v>
      </c>
      <c r="H1012" s="181"/>
      <c r="I1012" s="181"/>
      <c r="J1012" s="181"/>
      <c r="K1012" s="182" t="s">
        <v>363</v>
      </c>
      <c r="R1012" s="163"/>
      <c r="S1012" s="163"/>
    </row>
    <row r="1013">
      <c r="A1013" s="179">
        <f t="shared" si="2"/>
        <v>1012</v>
      </c>
      <c r="B1013" s="180"/>
      <c r="C1013" s="180" t="s">
        <v>208</v>
      </c>
      <c r="D1013" s="180" t="s">
        <v>208</v>
      </c>
      <c r="E1013" s="180" t="s">
        <v>208</v>
      </c>
      <c r="F1013" s="180" t="s">
        <v>208</v>
      </c>
      <c r="G1013" s="180" t="s">
        <v>208</v>
      </c>
      <c r="H1013" s="181"/>
      <c r="I1013" s="181"/>
      <c r="J1013" s="181"/>
      <c r="K1013" s="182" t="s">
        <v>363</v>
      </c>
      <c r="R1013" s="163"/>
      <c r="S1013" s="163"/>
    </row>
    <row r="1014">
      <c r="A1014" s="179">
        <f t="shared" si="2"/>
        <v>1013</v>
      </c>
      <c r="B1014" s="180"/>
      <c r="C1014" s="180" t="s">
        <v>208</v>
      </c>
      <c r="D1014" s="180" t="s">
        <v>243</v>
      </c>
      <c r="E1014" s="180" t="s">
        <v>208</v>
      </c>
      <c r="F1014" s="180" t="s">
        <v>208</v>
      </c>
      <c r="G1014" s="180" t="s">
        <v>208</v>
      </c>
      <c r="H1014" s="181"/>
      <c r="I1014" s="181"/>
      <c r="J1014" s="181"/>
      <c r="K1014" s="182" t="s">
        <v>363</v>
      </c>
      <c r="R1014" s="163"/>
      <c r="S1014" s="163"/>
    </row>
    <row r="1015">
      <c r="A1015" s="179">
        <f t="shared" si="2"/>
        <v>1014</v>
      </c>
      <c r="B1015" s="180"/>
      <c r="C1015" s="180" t="s">
        <v>208</v>
      </c>
      <c r="D1015" s="180" t="s">
        <v>208</v>
      </c>
      <c r="E1015" s="180" t="s">
        <v>208</v>
      </c>
      <c r="F1015" s="180" t="s">
        <v>208</v>
      </c>
      <c r="G1015" s="180" t="s">
        <v>208</v>
      </c>
      <c r="H1015" s="181"/>
      <c r="I1015" s="181"/>
      <c r="J1015" s="181"/>
      <c r="K1015" s="182" t="s">
        <v>363</v>
      </c>
      <c r="R1015" s="163"/>
      <c r="S1015" s="163"/>
    </row>
    <row r="1016">
      <c r="A1016" s="179">
        <f t="shared" si="2"/>
        <v>1015</v>
      </c>
      <c r="B1016" s="180"/>
      <c r="C1016" s="180" t="s">
        <v>208</v>
      </c>
      <c r="D1016" s="180" t="s">
        <v>208</v>
      </c>
      <c r="E1016" s="180" t="s">
        <v>208</v>
      </c>
      <c r="F1016" s="180" t="s">
        <v>208</v>
      </c>
      <c r="G1016" s="180" t="s">
        <v>208</v>
      </c>
      <c r="H1016" s="181"/>
      <c r="I1016" s="181"/>
      <c r="J1016" s="181"/>
      <c r="K1016" s="182" t="s">
        <v>363</v>
      </c>
      <c r="R1016" s="163"/>
      <c r="S1016" s="163"/>
    </row>
    <row r="1017">
      <c r="A1017" s="179">
        <f t="shared" si="2"/>
        <v>1016</v>
      </c>
      <c r="B1017" s="180"/>
      <c r="C1017" s="180"/>
      <c r="D1017" s="180"/>
      <c r="E1017" s="180"/>
      <c r="F1017" s="180"/>
      <c r="G1017" s="180"/>
      <c r="H1017" s="181"/>
      <c r="I1017" s="181"/>
      <c r="J1017" s="180" t="s">
        <v>242</v>
      </c>
      <c r="K1017" s="182" t="s">
        <v>363</v>
      </c>
      <c r="R1017" s="163"/>
      <c r="S1017" s="163"/>
    </row>
    <row r="1018">
      <c r="A1018" s="179">
        <f t="shared" si="2"/>
        <v>1017</v>
      </c>
      <c r="B1018" s="180"/>
      <c r="C1018" s="180" t="s">
        <v>208</v>
      </c>
      <c r="D1018" s="180" t="s">
        <v>208</v>
      </c>
      <c r="E1018" s="180" t="s">
        <v>208</v>
      </c>
      <c r="F1018" s="180" t="s">
        <v>208</v>
      </c>
      <c r="G1018" s="180" t="s">
        <v>208</v>
      </c>
      <c r="H1018" s="185"/>
      <c r="I1018" s="181"/>
      <c r="J1018" s="181"/>
      <c r="K1018" s="182" t="s">
        <v>363</v>
      </c>
      <c r="R1018" s="163"/>
      <c r="S1018" s="163"/>
    </row>
    <row r="1019">
      <c r="A1019" s="179">
        <f t="shared" si="2"/>
        <v>1018</v>
      </c>
      <c r="B1019" s="180"/>
      <c r="C1019" s="180"/>
      <c r="D1019" s="180" t="s">
        <v>208</v>
      </c>
      <c r="E1019" s="180" t="s">
        <v>208</v>
      </c>
      <c r="F1019" s="180" t="s">
        <v>208</v>
      </c>
      <c r="G1019" s="181"/>
      <c r="H1019" s="180" t="s">
        <v>208</v>
      </c>
      <c r="I1019" s="181"/>
      <c r="J1019" s="180"/>
      <c r="K1019" s="182" t="s">
        <v>363</v>
      </c>
      <c r="R1019" s="163"/>
      <c r="S1019" s="163"/>
    </row>
    <row r="1020">
      <c r="A1020" s="179">
        <f t="shared" si="2"/>
        <v>1019</v>
      </c>
      <c r="B1020" s="181"/>
      <c r="C1020" s="180"/>
      <c r="D1020" s="180" t="s">
        <v>208</v>
      </c>
      <c r="E1020" s="180" t="s">
        <v>208</v>
      </c>
      <c r="F1020" s="180" t="s">
        <v>208</v>
      </c>
      <c r="G1020" s="180"/>
      <c r="H1020" s="180" t="s">
        <v>208</v>
      </c>
      <c r="I1020" s="181"/>
      <c r="J1020" s="181"/>
      <c r="K1020" s="182" t="s">
        <v>363</v>
      </c>
      <c r="R1020" s="173"/>
      <c r="S1020" s="173"/>
    </row>
    <row r="1021">
      <c r="A1021" s="179">
        <f t="shared" si="2"/>
        <v>1020</v>
      </c>
      <c r="B1021" s="180"/>
      <c r="C1021" s="180" t="s">
        <v>208</v>
      </c>
      <c r="D1021" s="180" t="s">
        <v>208</v>
      </c>
      <c r="E1021" s="180" t="s">
        <v>208</v>
      </c>
      <c r="F1021" s="180" t="s">
        <v>208</v>
      </c>
      <c r="G1021" s="180" t="s">
        <v>208</v>
      </c>
      <c r="H1021" s="181"/>
      <c r="I1021" s="181"/>
      <c r="J1021" s="181"/>
      <c r="K1021" s="182" t="s">
        <v>363</v>
      </c>
      <c r="R1021" s="157"/>
      <c r="S1021" s="157"/>
    </row>
    <row r="1022">
      <c r="A1022" s="179">
        <f t="shared" si="2"/>
        <v>1021</v>
      </c>
      <c r="B1022" s="180"/>
      <c r="C1022" s="180" t="s">
        <v>208</v>
      </c>
      <c r="D1022" s="180" t="s">
        <v>243</v>
      </c>
      <c r="E1022" s="180" t="s">
        <v>208</v>
      </c>
      <c r="F1022" s="180" t="s">
        <v>208</v>
      </c>
      <c r="G1022" s="180" t="s">
        <v>208</v>
      </c>
      <c r="H1022" s="180"/>
      <c r="I1022" s="181"/>
      <c r="J1022" s="180"/>
      <c r="K1022" s="182" t="s">
        <v>363</v>
      </c>
      <c r="R1022" s="163"/>
      <c r="S1022" s="163"/>
    </row>
    <row r="1023">
      <c r="A1023" s="179">
        <f t="shared" si="2"/>
        <v>1022</v>
      </c>
      <c r="B1023" s="180"/>
      <c r="C1023" s="180"/>
      <c r="D1023" s="180" t="s">
        <v>208</v>
      </c>
      <c r="E1023" s="180" t="s">
        <v>208</v>
      </c>
      <c r="F1023" s="180" t="s">
        <v>208</v>
      </c>
      <c r="G1023" s="180"/>
      <c r="H1023" s="180" t="s">
        <v>208</v>
      </c>
      <c r="I1023" s="181"/>
      <c r="J1023" s="181"/>
      <c r="K1023" s="182" t="s">
        <v>363</v>
      </c>
      <c r="R1023" s="163"/>
      <c r="S1023" s="163"/>
    </row>
    <row r="1024">
      <c r="A1024" s="179">
        <f t="shared" si="2"/>
        <v>1023</v>
      </c>
      <c r="B1024" s="180"/>
      <c r="C1024" s="180"/>
      <c r="D1024" s="180"/>
      <c r="E1024" s="180"/>
      <c r="F1024" s="180"/>
      <c r="G1024" s="180" t="s">
        <v>208</v>
      </c>
      <c r="H1024" s="181"/>
      <c r="I1024" s="181"/>
      <c r="J1024" s="181"/>
      <c r="K1024" s="182" t="s">
        <v>363</v>
      </c>
      <c r="R1024" s="163"/>
      <c r="S1024" s="163"/>
    </row>
    <row r="1025">
      <c r="A1025" s="179">
        <f t="shared" si="2"/>
        <v>1024</v>
      </c>
      <c r="B1025" s="180"/>
      <c r="C1025" s="180"/>
      <c r="D1025" s="180"/>
      <c r="E1025" s="180"/>
      <c r="F1025" s="180"/>
      <c r="G1025" s="180"/>
      <c r="H1025" s="181"/>
      <c r="I1025" s="181"/>
      <c r="J1025" s="180" t="s">
        <v>242</v>
      </c>
      <c r="K1025" s="182" t="s">
        <v>363</v>
      </c>
      <c r="R1025" s="163"/>
      <c r="S1025" s="163"/>
    </row>
    <row r="1026">
      <c r="A1026" s="179">
        <f t="shared" si="2"/>
        <v>1025</v>
      </c>
      <c r="B1026" s="180"/>
      <c r="C1026" s="180"/>
      <c r="D1026" s="180" t="s">
        <v>208</v>
      </c>
      <c r="E1026" s="180"/>
      <c r="F1026" s="180" t="s">
        <v>208</v>
      </c>
      <c r="G1026" s="180"/>
      <c r="H1026" s="180" t="s">
        <v>208</v>
      </c>
      <c r="I1026" s="181"/>
      <c r="J1026" s="181"/>
      <c r="K1026" s="182" t="s">
        <v>363</v>
      </c>
      <c r="R1026" s="163"/>
      <c r="S1026" s="163"/>
    </row>
    <row r="1027">
      <c r="A1027" s="179">
        <f t="shared" si="2"/>
        <v>1026</v>
      </c>
      <c r="B1027" s="180"/>
      <c r="C1027" s="180" t="s">
        <v>208</v>
      </c>
      <c r="D1027" s="180" t="s">
        <v>208</v>
      </c>
      <c r="E1027" s="180" t="s">
        <v>208</v>
      </c>
      <c r="F1027" s="180" t="s">
        <v>208</v>
      </c>
      <c r="G1027" s="180" t="s">
        <v>208</v>
      </c>
      <c r="H1027" s="181"/>
      <c r="I1027" s="181"/>
      <c r="J1027" s="181"/>
      <c r="K1027" s="182" t="s">
        <v>363</v>
      </c>
      <c r="R1027" s="163"/>
      <c r="S1027" s="163"/>
    </row>
    <row r="1028">
      <c r="A1028" s="179">
        <f t="shared" si="2"/>
        <v>1027</v>
      </c>
      <c r="B1028" s="180"/>
      <c r="C1028" s="180" t="s">
        <v>208</v>
      </c>
      <c r="D1028" s="180" t="s">
        <v>208</v>
      </c>
      <c r="E1028" s="180" t="s">
        <v>208</v>
      </c>
      <c r="F1028" s="180" t="s">
        <v>208</v>
      </c>
      <c r="G1028" s="180" t="s">
        <v>208</v>
      </c>
      <c r="H1028" s="181"/>
      <c r="I1028" s="181"/>
      <c r="J1028" s="181"/>
      <c r="K1028" s="182" t="s">
        <v>363</v>
      </c>
      <c r="R1028" s="163"/>
      <c r="S1028" s="163"/>
    </row>
    <row r="1029">
      <c r="A1029" s="179">
        <f t="shared" si="2"/>
        <v>1028</v>
      </c>
      <c r="B1029" s="180"/>
      <c r="C1029" s="180" t="s">
        <v>208</v>
      </c>
      <c r="D1029" s="180" t="s">
        <v>208</v>
      </c>
      <c r="E1029" s="180" t="s">
        <v>208</v>
      </c>
      <c r="F1029" s="180" t="s">
        <v>208</v>
      </c>
      <c r="G1029" s="180" t="s">
        <v>208</v>
      </c>
      <c r="H1029" s="181"/>
      <c r="I1029" s="181"/>
      <c r="J1029" s="180"/>
      <c r="K1029" s="182" t="s">
        <v>363</v>
      </c>
      <c r="R1029" s="163"/>
      <c r="S1029" s="163"/>
    </row>
    <row r="1030">
      <c r="A1030" s="179">
        <f t="shared" si="2"/>
        <v>1029</v>
      </c>
      <c r="B1030" s="180"/>
      <c r="C1030" s="180"/>
      <c r="D1030" s="180" t="s">
        <v>208</v>
      </c>
      <c r="E1030" s="180" t="s">
        <v>208</v>
      </c>
      <c r="F1030" s="180" t="s">
        <v>208</v>
      </c>
      <c r="G1030" s="180"/>
      <c r="H1030" s="180" t="s">
        <v>208</v>
      </c>
      <c r="I1030" s="181"/>
      <c r="J1030" s="181"/>
      <c r="K1030" s="182" t="s">
        <v>363</v>
      </c>
      <c r="R1030" s="163"/>
      <c r="S1030" s="163"/>
    </row>
    <row r="1031">
      <c r="A1031" s="179">
        <f t="shared" si="2"/>
        <v>1030</v>
      </c>
      <c r="B1031" s="180"/>
      <c r="C1031" s="180" t="s">
        <v>208</v>
      </c>
      <c r="D1031" s="180" t="s">
        <v>208</v>
      </c>
      <c r="E1031" s="180" t="s">
        <v>208</v>
      </c>
      <c r="F1031" s="180" t="s">
        <v>208</v>
      </c>
      <c r="G1031" s="180" t="s">
        <v>208</v>
      </c>
      <c r="H1031" s="180"/>
      <c r="I1031" s="181"/>
      <c r="J1031" s="181"/>
      <c r="K1031" s="182" t="s">
        <v>363</v>
      </c>
      <c r="R1031" s="163"/>
      <c r="S1031" s="163"/>
    </row>
    <row r="1032">
      <c r="A1032" s="179">
        <f t="shared" si="2"/>
        <v>1031</v>
      </c>
      <c r="B1032" s="180"/>
      <c r="C1032" s="180" t="s">
        <v>208</v>
      </c>
      <c r="D1032" s="180" t="s">
        <v>208</v>
      </c>
      <c r="E1032" s="180" t="s">
        <v>208</v>
      </c>
      <c r="F1032" s="180" t="s">
        <v>208</v>
      </c>
      <c r="G1032" s="180" t="s">
        <v>208</v>
      </c>
      <c r="H1032" s="181"/>
      <c r="I1032" s="181"/>
      <c r="J1032" s="181"/>
      <c r="K1032" s="182" t="s">
        <v>363</v>
      </c>
      <c r="R1032" s="173"/>
      <c r="S1032" s="173"/>
    </row>
    <row r="1033">
      <c r="A1033" s="179">
        <f t="shared" si="2"/>
        <v>1032</v>
      </c>
      <c r="B1033" s="180"/>
      <c r="C1033" s="180" t="s">
        <v>208</v>
      </c>
      <c r="D1033" s="180" t="s">
        <v>208</v>
      </c>
      <c r="E1033" s="180" t="s">
        <v>208</v>
      </c>
      <c r="F1033" s="180" t="s">
        <v>208</v>
      </c>
      <c r="G1033" s="180" t="s">
        <v>208</v>
      </c>
      <c r="H1033" s="181"/>
      <c r="I1033" s="181"/>
      <c r="J1033" s="181"/>
      <c r="K1033" s="182" t="s">
        <v>363</v>
      </c>
      <c r="R1033" s="157"/>
      <c r="S1033" s="157"/>
    </row>
    <row r="1034">
      <c r="A1034" s="179">
        <f t="shared" si="2"/>
        <v>1033</v>
      </c>
      <c r="B1034" s="180"/>
      <c r="C1034" s="180"/>
      <c r="D1034" s="180" t="s">
        <v>208</v>
      </c>
      <c r="E1034" s="180" t="s">
        <v>208</v>
      </c>
      <c r="F1034" s="180" t="s">
        <v>208</v>
      </c>
      <c r="G1034" s="180"/>
      <c r="H1034" s="180" t="s">
        <v>208</v>
      </c>
      <c r="I1034" s="181"/>
      <c r="J1034" s="181"/>
      <c r="K1034" s="182" t="s">
        <v>363</v>
      </c>
      <c r="R1034" s="163"/>
      <c r="S1034" s="163"/>
    </row>
    <row r="1035">
      <c r="A1035" s="179">
        <f t="shared" si="2"/>
        <v>1034</v>
      </c>
      <c r="B1035" s="180"/>
      <c r="C1035" s="180" t="s">
        <v>208</v>
      </c>
      <c r="D1035" s="180" t="s">
        <v>243</v>
      </c>
      <c r="E1035" s="180"/>
      <c r="F1035" s="180" t="s">
        <v>208</v>
      </c>
      <c r="G1035" s="180" t="s">
        <v>208</v>
      </c>
      <c r="H1035" s="181"/>
      <c r="I1035" s="181"/>
      <c r="J1035" s="181"/>
      <c r="K1035" s="182" t="s">
        <v>363</v>
      </c>
      <c r="R1035" s="163"/>
      <c r="S1035" s="163"/>
    </row>
    <row r="1036">
      <c r="A1036" s="179">
        <f t="shared" si="2"/>
        <v>1035</v>
      </c>
      <c r="B1036" s="180"/>
      <c r="C1036" s="180" t="s">
        <v>208</v>
      </c>
      <c r="D1036" s="180" t="s">
        <v>208</v>
      </c>
      <c r="E1036" s="180" t="s">
        <v>208</v>
      </c>
      <c r="F1036" s="180" t="s">
        <v>208</v>
      </c>
      <c r="G1036" s="180" t="s">
        <v>208</v>
      </c>
      <c r="H1036" s="180"/>
      <c r="I1036" s="181"/>
      <c r="J1036" s="181"/>
      <c r="K1036" s="182" t="s">
        <v>363</v>
      </c>
      <c r="R1036" s="163"/>
      <c r="S1036" s="163"/>
    </row>
    <row r="1037">
      <c r="A1037" s="179">
        <f t="shared" si="2"/>
        <v>1036</v>
      </c>
      <c r="B1037" s="180"/>
      <c r="C1037" s="180"/>
      <c r="D1037" s="180" t="s">
        <v>208</v>
      </c>
      <c r="E1037" s="180" t="s">
        <v>208</v>
      </c>
      <c r="F1037" s="180" t="s">
        <v>208</v>
      </c>
      <c r="G1037" s="181"/>
      <c r="H1037" s="180" t="s">
        <v>208</v>
      </c>
      <c r="I1037" s="181"/>
      <c r="J1037" s="180"/>
      <c r="K1037" s="182" t="s">
        <v>363</v>
      </c>
      <c r="R1037" s="163"/>
      <c r="S1037" s="163"/>
    </row>
    <row r="1038">
      <c r="A1038" s="179">
        <f t="shared" si="2"/>
        <v>1037</v>
      </c>
      <c r="B1038" s="181"/>
      <c r="C1038" s="180" t="s">
        <v>208</v>
      </c>
      <c r="D1038" s="180" t="s">
        <v>208</v>
      </c>
      <c r="E1038" s="180" t="s">
        <v>208</v>
      </c>
      <c r="F1038" s="180" t="s">
        <v>208</v>
      </c>
      <c r="G1038" s="180" t="s">
        <v>208</v>
      </c>
      <c r="H1038" s="181"/>
      <c r="I1038" s="181"/>
      <c r="J1038" s="180"/>
      <c r="K1038" s="182" t="s">
        <v>363</v>
      </c>
      <c r="R1038" s="163"/>
      <c r="S1038" s="163"/>
    </row>
    <row r="1039">
      <c r="A1039" s="179">
        <f t="shared" si="2"/>
        <v>1038</v>
      </c>
      <c r="B1039" s="181"/>
      <c r="C1039" s="180" t="s">
        <v>208</v>
      </c>
      <c r="D1039" s="180" t="s">
        <v>208</v>
      </c>
      <c r="E1039" s="180" t="s">
        <v>208</v>
      </c>
      <c r="F1039" s="180" t="s">
        <v>208</v>
      </c>
      <c r="G1039" s="180" t="s">
        <v>208</v>
      </c>
      <c r="H1039" s="180"/>
      <c r="I1039" s="181"/>
      <c r="J1039" s="181"/>
      <c r="K1039" s="182" t="s">
        <v>363</v>
      </c>
      <c r="R1039" s="163"/>
      <c r="S1039" s="163"/>
    </row>
    <row r="1040">
      <c r="A1040" s="179">
        <f t="shared" si="2"/>
        <v>1039</v>
      </c>
      <c r="B1040" s="181"/>
      <c r="C1040" s="180" t="s">
        <v>208</v>
      </c>
      <c r="D1040" s="180" t="s">
        <v>208</v>
      </c>
      <c r="E1040" s="180" t="s">
        <v>208</v>
      </c>
      <c r="F1040" s="180" t="s">
        <v>208</v>
      </c>
      <c r="G1040" s="180" t="s">
        <v>208</v>
      </c>
      <c r="H1040" s="180"/>
      <c r="I1040" s="181"/>
      <c r="J1040" s="181"/>
      <c r="K1040" s="182" t="s">
        <v>363</v>
      </c>
      <c r="R1040" s="163"/>
      <c r="S1040" s="163"/>
    </row>
    <row r="1041">
      <c r="A1041" s="179">
        <f t="shared" si="2"/>
        <v>1040</v>
      </c>
      <c r="B1041" s="180"/>
      <c r="C1041" s="180" t="s">
        <v>208</v>
      </c>
      <c r="D1041" s="180" t="s">
        <v>208</v>
      </c>
      <c r="E1041" s="180" t="s">
        <v>208</v>
      </c>
      <c r="F1041" s="180" t="s">
        <v>208</v>
      </c>
      <c r="G1041" s="180" t="s">
        <v>208</v>
      </c>
      <c r="H1041" s="181"/>
      <c r="I1041" s="181"/>
      <c r="J1041" s="181"/>
      <c r="K1041" s="182" t="s">
        <v>363</v>
      </c>
      <c r="R1041" s="163"/>
      <c r="S1041" s="163"/>
    </row>
    <row r="1042">
      <c r="A1042" s="179">
        <f t="shared" si="2"/>
        <v>1041</v>
      </c>
      <c r="B1042" s="180"/>
      <c r="C1042" s="180" t="s">
        <v>208</v>
      </c>
      <c r="D1042" s="180" t="s">
        <v>208</v>
      </c>
      <c r="E1042" s="180" t="s">
        <v>208</v>
      </c>
      <c r="F1042" s="180" t="s">
        <v>208</v>
      </c>
      <c r="G1042" s="180" t="s">
        <v>208</v>
      </c>
      <c r="H1042" s="181"/>
      <c r="I1042" s="181"/>
      <c r="J1042" s="181"/>
      <c r="K1042" s="182" t="s">
        <v>363</v>
      </c>
      <c r="R1042" s="163"/>
      <c r="S1042" s="163"/>
    </row>
    <row r="1043">
      <c r="A1043" s="179">
        <f t="shared" si="2"/>
        <v>1042</v>
      </c>
      <c r="B1043" s="180"/>
      <c r="C1043" s="180" t="s">
        <v>208</v>
      </c>
      <c r="D1043" s="180" t="s">
        <v>208</v>
      </c>
      <c r="E1043" s="180" t="s">
        <v>208</v>
      </c>
      <c r="F1043" s="180" t="s">
        <v>208</v>
      </c>
      <c r="G1043" s="180" t="s">
        <v>208</v>
      </c>
      <c r="H1043" s="185"/>
      <c r="I1043" s="181"/>
      <c r="J1043" s="181"/>
      <c r="K1043" s="182" t="s">
        <v>363</v>
      </c>
      <c r="R1043" s="163"/>
      <c r="S1043" s="163"/>
    </row>
    <row r="1044">
      <c r="A1044" s="179">
        <f t="shared" si="2"/>
        <v>1043</v>
      </c>
      <c r="B1044" s="180"/>
      <c r="C1044" s="180" t="s">
        <v>208</v>
      </c>
      <c r="D1044" s="180" t="s">
        <v>208</v>
      </c>
      <c r="E1044" s="180" t="s">
        <v>208</v>
      </c>
      <c r="F1044" s="180" t="s">
        <v>208</v>
      </c>
      <c r="G1044" s="180" t="s">
        <v>208</v>
      </c>
      <c r="H1044" s="180"/>
      <c r="I1044" s="181"/>
      <c r="J1044" s="180"/>
      <c r="K1044" s="182" t="s">
        <v>363</v>
      </c>
      <c r="R1044" s="173"/>
      <c r="S1044" s="173"/>
    </row>
    <row r="1045">
      <c r="A1045" s="179">
        <f t="shared" si="2"/>
        <v>1044</v>
      </c>
      <c r="B1045" s="180"/>
      <c r="C1045" s="180" t="s">
        <v>208</v>
      </c>
      <c r="D1045" s="180" t="s">
        <v>208</v>
      </c>
      <c r="E1045" s="180" t="s">
        <v>208</v>
      </c>
      <c r="F1045" s="180" t="s">
        <v>208</v>
      </c>
      <c r="G1045" s="180" t="s">
        <v>208</v>
      </c>
      <c r="H1045" s="180"/>
      <c r="I1045" s="181"/>
      <c r="J1045" s="180"/>
      <c r="K1045" s="182" t="s">
        <v>363</v>
      </c>
      <c r="R1045" s="157"/>
      <c r="S1045" s="157"/>
    </row>
    <row r="1046">
      <c r="A1046" s="179">
        <f t="shared" si="2"/>
        <v>1045</v>
      </c>
      <c r="B1046" s="180"/>
      <c r="C1046" s="180" t="s">
        <v>208</v>
      </c>
      <c r="D1046" s="180" t="s">
        <v>208</v>
      </c>
      <c r="E1046" s="180" t="s">
        <v>208</v>
      </c>
      <c r="F1046" s="180" t="s">
        <v>208</v>
      </c>
      <c r="G1046" s="180" t="s">
        <v>208</v>
      </c>
      <c r="H1046" s="180"/>
      <c r="I1046" s="181"/>
      <c r="J1046" s="180"/>
      <c r="K1046" s="182" t="s">
        <v>363</v>
      </c>
      <c r="R1046" s="163"/>
      <c r="S1046" s="163"/>
    </row>
    <row r="1047">
      <c r="A1047" s="179">
        <f t="shared" si="2"/>
        <v>1046</v>
      </c>
      <c r="B1047" s="180"/>
      <c r="C1047" s="180" t="s">
        <v>208</v>
      </c>
      <c r="D1047" s="180" t="s">
        <v>208</v>
      </c>
      <c r="E1047" s="180" t="s">
        <v>208</v>
      </c>
      <c r="F1047" s="180" t="s">
        <v>208</v>
      </c>
      <c r="G1047" s="180" t="s">
        <v>208</v>
      </c>
      <c r="H1047" s="181"/>
      <c r="I1047" s="181"/>
      <c r="J1047" s="180"/>
      <c r="K1047" s="182" t="s">
        <v>363</v>
      </c>
      <c r="R1047" s="163"/>
      <c r="S1047" s="163"/>
    </row>
    <row r="1048">
      <c r="A1048" s="179">
        <f t="shared" si="2"/>
        <v>1047</v>
      </c>
      <c r="B1048" s="181"/>
      <c r="C1048" s="180"/>
      <c r="D1048" s="180" t="s">
        <v>208</v>
      </c>
      <c r="E1048" s="180" t="s">
        <v>208</v>
      </c>
      <c r="F1048" s="180" t="s">
        <v>208</v>
      </c>
      <c r="G1048" s="180"/>
      <c r="H1048" s="180" t="s">
        <v>208</v>
      </c>
      <c r="I1048" s="181"/>
      <c r="J1048" s="180"/>
      <c r="K1048" s="182" t="s">
        <v>363</v>
      </c>
      <c r="R1048" s="163"/>
      <c r="S1048" s="163"/>
    </row>
    <row r="1049">
      <c r="A1049" s="179">
        <f t="shared" si="2"/>
        <v>1048</v>
      </c>
      <c r="B1049" s="180"/>
      <c r="C1049" s="180" t="s">
        <v>208</v>
      </c>
      <c r="D1049" s="180" t="s">
        <v>208</v>
      </c>
      <c r="E1049" s="180"/>
      <c r="F1049" s="180" t="s">
        <v>208</v>
      </c>
      <c r="G1049" s="180" t="s">
        <v>208</v>
      </c>
      <c r="H1049" s="181"/>
      <c r="I1049" s="181"/>
      <c r="J1049" s="181"/>
      <c r="K1049" s="182" t="s">
        <v>363</v>
      </c>
      <c r="R1049" s="163"/>
      <c r="S1049" s="163"/>
    </row>
    <row r="1050">
      <c r="A1050" s="179">
        <f t="shared" si="2"/>
        <v>1049</v>
      </c>
      <c r="B1050" s="180"/>
      <c r="C1050" s="180" t="s">
        <v>208</v>
      </c>
      <c r="D1050" s="180" t="s">
        <v>243</v>
      </c>
      <c r="E1050" s="180" t="s">
        <v>208</v>
      </c>
      <c r="F1050" s="180" t="s">
        <v>208</v>
      </c>
      <c r="G1050" s="180" t="s">
        <v>208</v>
      </c>
      <c r="H1050" s="181"/>
      <c r="I1050" s="181"/>
      <c r="J1050" s="180"/>
      <c r="K1050" s="182" t="s">
        <v>363</v>
      </c>
      <c r="R1050" s="163"/>
      <c r="S1050" s="163"/>
    </row>
    <row r="1051">
      <c r="A1051" s="179">
        <f t="shared" si="2"/>
        <v>1050</v>
      </c>
      <c r="B1051" s="181"/>
      <c r="C1051" s="180" t="s">
        <v>208</v>
      </c>
      <c r="D1051" s="180" t="s">
        <v>208</v>
      </c>
      <c r="E1051" s="180" t="s">
        <v>208</v>
      </c>
      <c r="F1051" s="180" t="s">
        <v>208</v>
      </c>
      <c r="G1051" s="180" t="s">
        <v>208</v>
      </c>
      <c r="H1051" s="181"/>
      <c r="I1051" s="181"/>
      <c r="J1051" s="180"/>
      <c r="K1051" s="182" t="s">
        <v>363</v>
      </c>
      <c r="R1051" s="163"/>
      <c r="S1051" s="163"/>
    </row>
    <row r="1052">
      <c r="A1052" s="179">
        <f t="shared" si="2"/>
        <v>1051</v>
      </c>
      <c r="B1052" s="180"/>
      <c r="C1052" s="180" t="s">
        <v>208</v>
      </c>
      <c r="D1052" s="180" t="s">
        <v>208</v>
      </c>
      <c r="E1052" s="180" t="s">
        <v>208</v>
      </c>
      <c r="F1052" s="180" t="s">
        <v>208</v>
      </c>
      <c r="G1052" s="180" t="s">
        <v>208</v>
      </c>
      <c r="H1052" s="181"/>
      <c r="I1052" s="181"/>
      <c r="J1052" s="180"/>
      <c r="K1052" s="182" t="s">
        <v>363</v>
      </c>
      <c r="R1052" s="163"/>
      <c r="S1052" s="163"/>
    </row>
    <row r="1053">
      <c r="A1053" s="179">
        <f t="shared" si="2"/>
        <v>1052</v>
      </c>
      <c r="B1053" s="180"/>
      <c r="C1053" s="180" t="s">
        <v>208</v>
      </c>
      <c r="D1053" s="180" t="s">
        <v>208</v>
      </c>
      <c r="E1053" s="180" t="s">
        <v>208</v>
      </c>
      <c r="F1053" s="180" t="s">
        <v>208</v>
      </c>
      <c r="G1053" s="180" t="s">
        <v>208</v>
      </c>
      <c r="H1053" s="181"/>
      <c r="I1053" s="181"/>
      <c r="J1053" s="181"/>
      <c r="K1053" s="182" t="s">
        <v>363</v>
      </c>
      <c r="R1053" s="163"/>
      <c r="S1053" s="163"/>
    </row>
    <row r="1054">
      <c r="A1054" s="179">
        <f t="shared" si="2"/>
        <v>1053</v>
      </c>
      <c r="B1054" s="180"/>
      <c r="C1054" s="180" t="s">
        <v>208</v>
      </c>
      <c r="D1054" s="180" t="s">
        <v>208</v>
      </c>
      <c r="E1054" s="180" t="s">
        <v>208</v>
      </c>
      <c r="F1054" s="180" t="s">
        <v>208</v>
      </c>
      <c r="G1054" s="180" t="s">
        <v>208</v>
      </c>
      <c r="H1054" s="181"/>
      <c r="I1054" s="181"/>
      <c r="J1054" s="181"/>
      <c r="K1054" s="182" t="s">
        <v>363</v>
      </c>
      <c r="R1054" s="163"/>
      <c r="S1054" s="163"/>
    </row>
    <row r="1055">
      <c r="A1055" s="179">
        <f t="shared" si="2"/>
        <v>1054</v>
      </c>
      <c r="B1055" s="181"/>
      <c r="C1055" s="180" t="s">
        <v>208</v>
      </c>
      <c r="D1055" s="180" t="s">
        <v>208</v>
      </c>
      <c r="E1055" s="180" t="s">
        <v>208</v>
      </c>
      <c r="F1055" s="180" t="s">
        <v>208</v>
      </c>
      <c r="G1055" s="180" t="s">
        <v>208</v>
      </c>
      <c r="H1055" s="181"/>
      <c r="I1055" s="181"/>
      <c r="J1055" s="181"/>
      <c r="K1055" s="182" t="s">
        <v>363</v>
      </c>
      <c r="R1055" s="163"/>
      <c r="S1055" s="163"/>
    </row>
    <row r="1056">
      <c r="A1056" s="179">
        <f t="shared" si="2"/>
        <v>1055</v>
      </c>
      <c r="B1056" s="180"/>
      <c r="C1056" s="180" t="s">
        <v>208</v>
      </c>
      <c r="D1056" s="180" t="s">
        <v>243</v>
      </c>
      <c r="E1056" s="180" t="s">
        <v>208</v>
      </c>
      <c r="F1056" s="180" t="s">
        <v>208</v>
      </c>
      <c r="G1056" s="180" t="s">
        <v>208</v>
      </c>
      <c r="H1056" s="181"/>
      <c r="I1056" s="181"/>
      <c r="J1056" s="181"/>
      <c r="K1056" s="182" t="s">
        <v>363</v>
      </c>
      <c r="R1056" s="173"/>
      <c r="S1056" s="173"/>
    </row>
    <row r="1057">
      <c r="A1057" s="179">
        <f t="shared" si="2"/>
        <v>1056</v>
      </c>
      <c r="B1057" s="180"/>
      <c r="C1057" s="180" t="s">
        <v>208</v>
      </c>
      <c r="D1057" s="180" t="s">
        <v>208</v>
      </c>
      <c r="E1057" s="180" t="s">
        <v>208</v>
      </c>
      <c r="F1057" s="180" t="s">
        <v>208</v>
      </c>
      <c r="G1057" s="180" t="s">
        <v>208</v>
      </c>
      <c r="H1057" s="181"/>
      <c r="I1057" s="181"/>
      <c r="J1057" s="181"/>
      <c r="K1057" s="182" t="s">
        <v>363</v>
      </c>
      <c r="R1057" s="157"/>
      <c r="S1057" s="157"/>
    </row>
    <row r="1058">
      <c r="A1058" s="179">
        <f t="shared" si="2"/>
        <v>1057</v>
      </c>
      <c r="B1058" s="180"/>
      <c r="C1058" s="180"/>
      <c r="D1058" s="180" t="s">
        <v>208</v>
      </c>
      <c r="E1058" s="180" t="s">
        <v>208</v>
      </c>
      <c r="F1058" s="180" t="s">
        <v>208</v>
      </c>
      <c r="G1058" s="180"/>
      <c r="H1058" s="180" t="s">
        <v>208</v>
      </c>
      <c r="I1058" s="181"/>
      <c r="J1058" s="181"/>
      <c r="K1058" s="182" t="s">
        <v>363</v>
      </c>
      <c r="R1058" s="163"/>
      <c r="S1058" s="163"/>
    </row>
    <row r="1059">
      <c r="A1059" s="179">
        <f t="shared" si="2"/>
        <v>1058</v>
      </c>
      <c r="B1059" s="180"/>
      <c r="C1059" s="180" t="s">
        <v>208</v>
      </c>
      <c r="D1059" s="180" t="s">
        <v>208</v>
      </c>
      <c r="E1059" s="180" t="s">
        <v>208</v>
      </c>
      <c r="F1059" s="180" t="s">
        <v>208</v>
      </c>
      <c r="G1059" s="180" t="s">
        <v>208</v>
      </c>
      <c r="H1059" s="181"/>
      <c r="I1059" s="181"/>
      <c r="J1059" s="180"/>
      <c r="K1059" s="182" t="s">
        <v>363</v>
      </c>
      <c r="R1059" s="163"/>
      <c r="S1059" s="163"/>
    </row>
    <row r="1060">
      <c r="A1060" s="179">
        <f t="shared" si="2"/>
        <v>1059</v>
      </c>
      <c r="B1060" s="180"/>
      <c r="C1060" s="180" t="s">
        <v>208</v>
      </c>
      <c r="D1060" s="180" t="s">
        <v>208</v>
      </c>
      <c r="E1060" s="180" t="s">
        <v>208</v>
      </c>
      <c r="F1060" s="180" t="s">
        <v>208</v>
      </c>
      <c r="G1060" s="180" t="s">
        <v>208</v>
      </c>
      <c r="H1060" s="185"/>
      <c r="I1060" s="181"/>
      <c r="J1060" s="180"/>
      <c r="K1060" s="182" t="s">
        <v>363</v>
      </c>
      <c r="R1060" s="163"/>
      <c r="S1060" s="163"/>
    </row>
    <row r="1061">
      <c r="A1061" s="179">
        <f t="shared" si="2"/>
        <v>1060</v>
      </c>
      <c r="B1061" s="180"/>
      <c r="C1061" s="180" t="s">
        <v>208</v>
      </c>
      <c r="D1061" s="180" t="s">
        <v>243</v>
      </c>
      <c r="E1061" s="180" t="s">
        <v>208</v>
      </c>
      <c r="F1061" s="180" t="s">
        <v>243</v>
      </c>
      <c r="G1061" s="180" t="s">
        <v>208</v>
      </c>
      <c r="H1061" s="181"/>
      <c r="I1061" s="181"/>
      <c r="J1061" s="181"/>
      <c r="K1061" s="182" t="s">
        <v>363</v>
      </c>
      <c r="R1061" s="163"/>
      <c r="S1061" s="163"/>
    </row>
    <row r="1062">
      <c r="A1062" s="179">
        <f t="shared" si="2"/>
        <v>1061</v>
      </c>
      <c r="B1062" s="180"/>
      <c r="C1062" s="180" t="s">
        <v>208</v>
      </c>
      <c r="D1062" s="180" t="s">
        <v>208</v>
      </c>
      <c r="E1062" s="180" t="s">
        <v>208</v>
      </c>
      <c r="F1062" s="180" t="s">
        <v>208</v>
      </c>
      <c r="G1062" s="180" t="s">
        <v>208</v>
      </c>
      <c r="H1062" s="181"/>
      <c r="I1062" s="181"/>
      <c r="J1062" s="181"/>
      <c r="K1062" s="182" t="s">
        <v>363</v>
      </c>
      <c r="R1062" s="163"/>
      <c r="S1062" s="163"/>
    </row>
    <row r="1063">
      <c r="A1063" s="179">
        <f t="shared" si="2"/>
        <v>1062</v>
      </c>
      <c r="B1063" s="180"/>
      <c r="C1063" s="180" t="s">
        <v>208</v>
      </c>
      <c r="D1063" s="180" t="s">
        <v>208</v>
      </c>
      <c r="E1063" s="180" t="s">
        <v>208</v>
      </c>
      <c r="F1063" s="180" t="s">
        <v>208</v>
      </c>
      <c r="G1063" s="180" t="s">
        <v>208</v>
      </c>
      <c r="H1063" s="180"/>
      <c r="I1063" s="181"/>
      <c r="J1063" s="181"/>
      <c r="K1063" s="182" t="s">
        <v>363</v>
      </c>
      <c r="R1063" s="163"/>
      <c r="S1063" s="163"/>
    </row>
    <row r="1064">
      <c r="A1064" s="179">
        <f t="shared" si="2"/>
        <v>1063</v>
      </c>
      <c r="B1064" s="180"/>
      <c r="C1064" s="180" t="s">
        <v>208</v>
      </c>
      <c r="D1064" s="180" t="s">
        <v>208</v>
      </c>
      <c r="E1064" s="180" t="s">
        <v>208</v>
      </c>
      <c r="F1064" s="180" t="s">
        <v>208</v>
      </c>
      <c r="G1064" s="180" t="s">
        <v>208</v>
      </c>
      <c r="H1064" s="181"/>
      <c r="I1064" s="181"/>
      <c r="J1064" s="181"/>
      <c r="K1064" s="182" t="s">
        <v>363</v>
      </c>
      <c r="R1064" s="163"/>
      <c r="S1064" s="163"/>
    </row>
    <row r="1065">
      <c r="A1065" s="179">
        <f t="shared" si="2"/>
        <v>1064</v>
      </c>
      <c r="B1065" s="180"/>
      <c r="C1065" s="180" t="s">
        <v>208</v>
      </c>
      <c r="D1065" s="180" t="s">
        <v>208</v>
      </c>
      <c r="E1065" s="180" t="s">
        <v>208</v>
      </c>
      <c r="F1065" s="180" t="s">
        <v>208</v>
      </c>
      <c r="G1065" s="180" t="s">
        <v>208</v>
      </c>
      <c r="H1065" s="181"/>
      <c r="I1065" s="181"/>
      <c r="J1065" s="181"/>
      <c r="K1065" s="182" t="s">
        <v>363</v>
      </c>
      <c r="R1065" s="163"/>
      <c r="S1065" s="163"/>
    </row>
    <row r="1066">
      <c r="A1066" s="179">
        <f t="shared" si="2"/>
        <v>1065</v>
      </c>
      <c r="B1066" s="180"/>
      <c r="C1066" s="180" t="s">
        <v>208</v>
      </c>
      <c r="D1066" s="180" t="s">
        <v>208</v>
      </c>
      <c r="E1066" s="180" t="s">
        <v>208</v>
      </c>
      <c r="F1066" s="180" t="s">
        <v>208</v>
      </c>
      <c r="G1066" s="180" t="s">
        <v>208</v>
      </c>
      <c r="H1066" s="180"/>
      <c r="I1066" s="181"/>
      <c r="J1066" s="181"/>
      <c r="K1066" s="182" t="s">
        <v>363</v>
      </c>
      <c r="R1066" s="163"/>
      <c r="S1066" s="163"/>
    </row>
    <row r="1067">
      <c r="A1067" s="179">
        <f t="shared" si="2"/>
        <v>1066</v>
      </c>
      <c r="B1067" s="180"/>
      <c r="C1067" s="180" t="s">
        <v>208</v>
      </c>
      <c r="D1067" s="180" t="s">
        <v>208</v>
      </c>
      <c r="E1067" s="180" t="s">
        <v>208</v>
      </c>
      <c r="F1067" s="180" t="s">
        <v>208</v>
      </c>
      <c r="G1067" s="180" t="s">
        <v>208</v>
      </c>
      <c r="H1067" s="185"/>
      <c r="I1067" s="181"/>
      <c r="J1067" s="180"/>
      <c r="K1067" s="182" t="s">
        <v>363</v>
      </c>
      <c r="R1067" s="163"/>
      <c r="S1067" s="163"/>
    </row>
    <row r="1068">
      <c r="A1068" s="179">
        <f t="shared" si="2"/>
        <v>1067</v>
      </c>
      <c r="B1068" s="180"/>
      <c r="C1068" s="180" t="s">
        <v>208</v>
      </c>
      <c r="D1068" s="180" t="s">
        <v>208</v>
      </c>
      <c r="E1068" s="180" t="s">
        <v>208</v>
      </c>
      <c r="F1068" s="180" t="s">
        <v>208</v>
      </c>
      <c r="G1068" s="180" t="s">
        <v>208</v>
      </c>
      <c r="H1068" s="180"/>
      <c r="I1068" s="181"/>
      <c r="J1068" s="181"/>
      <c r="K1068" s="182" t="s">
        <v>363</v>
      </c>
      <c r="R1068" s="173"/>
      <c r="S1068" s="173"/>
    </row>
    <row r="1069">
      <c r="A1069" s="179">
        <f t="shared" si="2"/>
        <v>1068</v>
      </c>
      <c r="B1069" s="180"/>
      <c r="C1069" s="180" t="s">
        <v>208</v>
      </c>
      <c r="D1069" s="180" t="s">
        <v>208</v>
      </c>
      <c r="E1069" s="180" t="s">
        <v>208</v>
      </c>
      <c r="F1069" s="180" t="s">
        <v>208</v>
      </c>
      <c r="G1069" s="180" t="s">
        <v>208</v>
      </c>
      <c r="H1069" s="181"/>
      <c r="I1069" s="181"/>
      <c r="J1069" s="181"/>
      <c r="K1069" s="182" t="s">
        <v>363</v>
      </c>
      <c r="R1069" s="157"/>
      <c r="S1069" s="157"/>
    </row>
    <row r="1070">
      <c r="A1070" s="179">
        <f t="shared" si="2"/>
        <v>1069</v>
      </c>
      <c r="B1070" s="180"/>
      <c r="C1070" s="180"/>
      <c r="D1070" s="180" t="s">
        <v>208</v>
      </c>
      <c r="E1070" s="180" t="s">
        <v>208</v>
      </c>
      <c r="F1070" s="180" t="s">
        <v>208</v>
      </c>
      <c r="G1070" s="180"/>
      <c r="H1070" s="180" t="s">
        <v>208</v>
      </c>
      <c r="I1070" s="181"/>
      <c r="J1070" s="181"/>
      <c r="K1070" s="182" t="s">
        <v>363</v>
      </c>
      <c r="R1070" s="163"/>
      <c r="S1070" s="163"/>
    </row>
    <row r="1071">
      <c r="A1071" s="179">
        <f t="shared" si="2"/>
        <v>1070</v>
      </c>
      <c r="B1071" s="180"/>
      <c r="C1071" s="180" t="s">
        <v>208</v>
      </c>
      <c r="D1071" s="180" t="s">
        <v>208</v>
      </c>
      <c r="E1071" s="180" t="s">
        <v>208</v>
      </c>
      <c r="F1071" s="180" t="s">
        <v>208</v>
      </c>
      <c r="G1071" s="180" t="s">
        <v>208</v>
      </c>
      <c r="H1071" s="181"/>
      <c r="I1071" s="181"/>
      <c r="J1071" s="181"/>
      <c r="K1071" s="182" t="s">
        <v>363</v>
      </c>
      <c r="R1071" s="163"/>
      <c r="S1071" s="163"/>
    </row>
    <row r="1072">
      <c r="A1072" s="179">
        <f t="shared" si="2"/>
        <v>1071</v>
      </c>
      <c r="B1072" s="180"/>
      <c r="C1072" s="180" t="s">
        <v>208</v>
      </c>
      <c r="D1072" s="180" t="s">
        <v>243</v>
      </c>
      <c r="E1072" s="180" t="s">
        <v>208</v>
      </c>
      <c r="F1072" s="180" t="s">
        <v>208</v>
      </c>
      <c r="G1072" s="180" t="s">
        <v>208</v>
      </c>
      <c r="H1072" s="180"/>
      <c r="I1072" s="181"/>
      <c r="J1072" s="181"/>
      <c r="K1072" s="182" t="s">
        <v>363</v>
      </c>
      <c r="R1072" s="163"/>
      <c r="S1072" s="163"/>
    </row>
    <row r="1073">
      <c r="A1073" s="179">
        <f t="shared" si="2"/>
        <v>1072</v>
      </c>
      <c r="B1073" s="180"/>
      <c r="C1073" s="180" t="s">
        <v>208</v>
      </c>
      <c r="D1073" s="180" t="s">
        <v>208</v>
      </c>
      <c r="E1073" s="180" t="s">
        <v>208</v>
      </c>
      <c r="F1073" s="180" t="s">
        <v>208</v>
      </c>
      <c r="G1073" s="180" t="s">
        <v>208</v>
      </c>
      <c r="H1073" s="181"/>
      <c r="I1073" s="181"/>
      <c r="J1073" s="181"/>
      <c r="K1073" s="182" t="s">
        <v>363</v>
      </c>
      <c r="R1073" s="163"/>
      <c r="S1073" s="163"/>
    </row>
    <row r="1074">
      <c r="A1074" s="179">
        <f t="shared" si="2"/>
        <v>1073</v>
      </c>
      <c r="B1074" s="180"/>
      <c r="C1074" s="180" t="s">
        <v>208</v>
      </c>
      <c r="D1074" s="180" t="s">
        <v>208</v>
      </c>
      <c r="E1074" s="180" t="s">
        <v>208</v>
      </c>
      <c r="F1074" s="180" t="s">
        <v>208</v>
      </c>
      <c r="G1074" s="180" t="s">
        <v>208</v>
      </c>
      <c r="H1074" s="181"/>
      <c r="I1074" s="181"/>
      <c r="J1074" s="181"/>
      <c r="K1074" s="182" t="s">
        <v>363</v>
      </c>
      <c r="R1074" s="163"/>
      <c r="S1074" s="163"/>
    </row>
    <row r="1075">
      <c r="A1075" s="179">
        <f t="shared" si="2"/>
        <v>1074</v>
      </c>
      <c r="B1075" s="180"/>
      <c r="C1075" s="180" t="s">
        <v>208</v>
      </c>
      <c r="D1075" s="180" t="s">
        <v>208</v>
      </c>
      <c r="E1075" s="180" t="s">
        <v>208</v>
      </c>
      <c r="F1075" s="180" t="s">
        <v>208</v>
      </c>
      <c r="G1075" s="180" t="s">
        <v>208</v>
      </c>
      <c r="H1075" s="181"/>
      <c r="I1075" s="181"/>
      <c r="J1075" s="181"/>
      <c r="K1075" s="182" t="s">
        <v>363</v>
      </c>
      <c r="R1075" s="163"/>
      <c r="S1075" s="163"/>
    </row>
    <row r="1076">
      <c r="A1076" s="179">
        <f t="shared" si="2"/>
        <v>1075</v>
      </c>
      <c r="B1076" s="180"/>
      <c r="C1076" s="180"/>
      <c r="D1076" s="180" t="s">
        <v>243</v>
      </c>
      <c r="E1076" s="180" t="s">
        <v>208</v>
      </c>
      <c r="F1076" s="180" t="s">
        <v>243</v>
      </c>
      <c r="G1076" s="180"/>
      <c r="H1076" s="180" t="s">
        <v>208</v>
      </c>
      <c r="I1076" s="181"/>
      <c r="J1076" s="181"/>
      <c r="K1076" s="182" t="s">
        <v>363</v>
      </c>
      <c r="R1076" s="163"/>
      <c r="S1076" s="163"/>
    </row>
    <row r="1077">
      <c r="A1077" s="179">
        <f t="shared" si="2"/>
        <v>1076</v>
      </c>
      <c r="B1077" s="180"/>
      <c r="C1077" s="180" t="s">
        <v>208</v>
      </c>
      <c r="D1077" s="180" t="s">
        <v>208</v>
      </c>
      <c r="E1077" s="180" t="s">
        <v>208</v>
      </c>
      <c r="F1077" s="180" t="s">
        <v>208</v>
      </c>
      <c r="G1077" s="180" t="s">
        <v>208</v>
      </c>
      <c r="H1077" s="181"/>
      <c r="I1077" s="181"/>
      <c r="J1077" s="181"/>
      <c r="K1077" s="182" t="s">
        <v>363</v>
      </c>
      <c r="R1077" s="163"/>
      <c r="S1077" s="163"/>
    </row>
    <row r="1078">
      <c r="A1078" s="179">
        <f t="shared" si="2"/>
        <v>1077</v>
      </c>
      <c r="B1078" s="180"/>
      <c r="C1078" s="180" t="s">
        <v>208</v>
      </c>
      <c r="D1078" s="180" t="s">
        <v>208</v>
      </c>
      <c r="E1078" s="180" t="s">
        <v>208</v>
      </c>
      <c r="F1078" s="180" t="s">
        <v>208</v>
      </c>
      <c r="G1078" s="180" t="s">
        <v>208</v>
      </c>
      <c r="H1078" s="181"/>
      <c r="I1078" s="181"/>
      <c r="J1078" s="181"/>
      <c r="K1078" s="182" t="s">
        <v>363</v>
      </c>
      <c r="R1078" s="163"/>
      <c r="S1078" s="163"/>
    </row>
    <row r="1079">
      <c r="A1079" s="179">
        <f t="shared" si="2"/>
        <v>1078</v>
      </c>
      <c r="B1079" s="180"/>
      <c r="C1079" s="180" t="s">
        <v>208</v>
      </c>
      <c r="D1079" s="180" t="s">
        <v>208</v>
      </c>
      <c r="E1079" s="180" t="s">
        <v>208</v>
      </c>
      <c r="F1079" s="180" t="s">
        <v>208</v>
      </c>
      <c r="G1079" s="180" t="s">
        <v>208</v>
      </c>
      <c r="H1079" s="181"/>
      <c r="I1079" s="181"/>
      <c r="J1079" s="181"/>
      <c r="K1079" s="182" t="s">
        <v>363</v>
      </c>
      <c r="R1079" s="163"/>
      <c r="S1079" s="163"/>
    </row>
    <row r="1080">
      <c r="A1080" s="179">
        <f t="shared" si="2"/>
        <v>1079</v>
      </c>
      <c r="B1080" s="180"/>
      <c r="C1080" s="180" t="s">
        <v>208</v>
      </c>
      <c r="D1080" s="180" t="s">
        <v>208</v>
      </c>
      <c r="E1080" s="180" t="s">
        <v>208</v>
      </c>
      <c r="F1080" s="180" t="s">
        <v>208</v>
      </c>
      <c r="G1080" s="180" t="s">
        <v>208</v>
      </c>
      <c r="H1080" s="181"/>
      <c r="I1080" s="181"/>
      <c r="J1080" s="181"/>
      <c r="K1080" s="182" t="s">
        <v>363</v>
      </c>
      <c r="R1080" s="173"/>
      <c r="S1080" s="173"/>
    </row>
    <row r="1081">
      <c r="A1081" s="179">
        <f t="shared" si="2"/>
        <v>1080</v>
      </c>
      <c r="B1081" s="180"/>
      <c r="C1081" s="180" t="s">
        <v>208</v>
      </c>
      <c r="D1081" s="180" t="s">
        <v>208</v>
      </c>
      <c r="E1081" s="180" t="s">
        <v>208</v>
      </c>
      <c r="F1081" s="180" t="s">
        <v>208</v>
      </c>
      <c r="G1081" s="180" t="s">
        <v>208</v>
      </c>
      <c r="H1081" s="181"/>
      <c r="I1081" s="181"/>
      <c r="J1081" s="181"/>
      <c r="K1081" s="182" t="s">
        <v>363</v>
      </c>
      <c r="R1081" s="157"/>
      <c r="S1081" s="157"/>
    </row>
    <row r="1082">
      <c r="A1082" s="179">
        <f t="shared" si="2"/>
        <v>1081</v>
      </c>
      <c r="B1082" s="181"/>
      <c r="C1082" s="180" t="s">
        <v>208</v>
      </c>
      <c r="D1082" s="180" t="s">
        <v>208</v>
      </c>
      <c r="E1082" s="180" t="s">
        <v>208</v>
      </c>
      <c r="F1082" s="180" t="s">
        <v>208</v>
      </c>
      <c r="G1082" s="180" t="s">
        <v>208</v>
      </c>
      <c r="H1082" s="181"/>
      <c r="I1082" s="181"/>
      <c r="J1082" s="181"/>
      <c r="K1082" s="182" t="s">
        <v>363</v>
      </c>
      <c r="R1082" s="163"/>
      <c r="S1082" s="163"/>
    </row>
    <row r="1083">
      <c r="A1083" s="179">
        <f t="shared" si="2"/>
        <v>1082</v>
      </c>
      <c r="B1083" s="181"/>
      <c r="C1083" s="180" t="s">
        <v>208</v>
      </c>
      <c r="D1083" s="180" t="s">
        <v>208</v>
      </c>
      <c r="E1083" s="180" t="s">
        <v>208</v>
      </c>
      <c r="F1083" s="180" t="s">
        <v>208</v>
      </c>
      <c r="G1083" s="180" t="s">
        <v>208</v>
      </c>
      <c r="H1083" s="181"/>
      <c r="I1083" s="181"/>
      <c r="J1083" s="181"/>
      <c r="K1083" s="182" t="s">
        <v>363</v>
      </c>
      <c r="R1083" s="163"/>
      <c r="S1083" s="163"/>
    </row>
    <row r="1084">
      <c r="A1084" s="179">
        <f t="shared" si="2"/>
        <v>1083</v>
      </c>
      <c r="B1084" s="180"/>
      <c r="C1084" s="180"/>
      <c r="D1084" s="180" t="s">
        <v>208</v>
      </c>
      <c r="E1084" s="180" t="s">
        <v>208</v>
      </c>
      <c r="F1084" s="180" t="s">
        <v>208</v>
      </c>
      <c r="G1084" s="181"/>
      <c r="H1084" s="180" t="s">
        <v>208</v>
      </c>
      <c r="I1084" s="181"/>
      <c r="J1084" s="180"/>
      <c r="K1084" s="182" t="s">
        <v>363</v>
      </c>
      <c r="R1084" s="163"/>
      <c r="S1084" s="163"/>
    </row>
    <row r="1085">
      <c r="A1085" s="179">
        <f t="shared" si="2"/>
        <v>1084</v>
      </c>
      <c r="B1085" s="180"/>
      <c r="C1085" s="180" t="s">
        <v>208</v>
      </c>
      <c r="D1085" s="180" t="s">
        <v>208</v>
      </c>
      <c r="E1085" s="180" t="s">
        <v>208</v>
      </c>
      <c r="F1085" s="180" t="s">
        <v>208</v>
      </c>
      <c r="G1085" s="180" t="s">
        <v>208</v>
      </c>
      <c r="H1085" s="181"/>
      <c r="I1085" s="181"/>
      <c r="J1085" s="181"/>
      <c r="K1085" s="182" t="s">
        <v>363</v>
      </c>
      <c r="R1085" s="163"/>
      <c r="S1085" s="163"/>
    </row>
    <row r="1086">
      <c r="A1086" s="179">
        <f t="shared" si="2"/>
        <v>1085</v>
      </c>
      <c r="B1086" s="180"/>
      <c r="C1086" s="180" t="s">
        <v>208</v>
      </c>
      <c r="D1086" s="180" t="s">
        <v>208</v>
      </c>
      <c r="E1086" s="180" t="s">
        <v>208</v>
      </c>
      <c r="F1086" s="180" t="s">
        <v>208</v>
      </c>
      <c r="G1086" s="180" t="s">
        <v>208</v>
      </c>
      <c r="H1086" s="181"/>
      <c r="I1086" s="181"/>
      <c r="J1086" s="181"/>
      <c r="K1086" s="182" t="s">
        <v>363</v>
      </c>
      <c r="R1086" s="163"/>
      <c r="S1086" s="163"/>
    </row>
    <row r="1087">
      <c r="A1087" s="179">
        <f t="shared" si="2"/>
        <v>1086</v>
      </c>
      <c r="B1087" s="180"/>
      <c r="C1087" s="180" t="s">
        <v>208</v>
      </c>
      <c r="D1087" s="180" t="s">
        <v>208</v>
      </c>
      <c r="E1087" s="180" t="s">
        <v>208</v>
      </c>
      <c r="F1087" s="180" t="s">
        <v>208</v>
      </c>
      <c r="G1087" s="180" t="s">
        <v>208</v>
      </c>
      <c r="H1087" s="181"/>
      <c r="I1087" s="181"/>
      <c r="J1087" s="181"/>
      <c r="K1087" s="182" t="s">
        <v>363</v>
      </c>
      <c r="R1087" s="163"/>
      <c r="S1087" s="163"/>
    </row>
    <row r="1088">
      <c r="A1088" s="179">
        <f t="shared" si="2"/>
        <v>1087</v>
      </c>
      <c r="B1088" s="180"/>
      <c r="C1088" s="180" t="s">
        <v>208</v>
      </c>
      <c r="D1088" s="180" t="s">
        <v>208</v>
      </c>
      <c r="E1088" s="180" t="s">
        <v>208</v>
      </c>
      <c r="F1088" s="180" t="s">
        <v>208</v>
      </c>
      <c r="G1088" s="180" t="s">
        <v>208</v>
      </c>
      <c r="H1088" s="181"/>
      <c r="I1088" s="181"/>
      <c r="J1088" s="181"/>
      <c r="K1088" s="182" t="s">
        <v>363</v>
      </c>
      <c r="R1088" s="163"/>
      <c r="S1088" s="163"/>
    </row>
    <row r="1089">
      <c r="A1089" s="179">
        <f t="shared" si="2"/>
        <v>1088</v>
      </c>
      <c r="B1089" s="180"/>
      <c r="C1089" s="180" t="s">
        <v>208</v>
      </c>
      <c r="D1089" s="180" t="s">
        <v>208</v>
      </c>
      <c r="E1089" s="180" t="s">
        <v>208</v>
      </c>
      <c r="F1089" s="180" t="s">
        <v>208</v>
      </c>
      <c r="G1089" s="180" t="s">
        <v>208</v>
      </c>
      <c r="H1089" s="181"/>
      <c r="I1089" s="181"/>
      <c r="J1089" s="181"/>
      <c r="K1089" s="182" t="s">
        <v>363</v>
      </c>
      <c r="R1089" s="163"/>
      <c r="S1089" s="163"/>
    </row>
    <row r="1090">
      <c r="A1090" s="179">
        <f t="shared" si="2"/>
        <v>1089</v>
      </c>
      <c r="B1090" s="181"/>
      <c r="C1090" s="180" t="s">
        <v>208</v>
      </c>
      <c r="D1090" s="180" t="s">
        <v>208</v>
      </c>
      <c r="E1090" s="180" t="s">
        <v>208</v>
      </c>
      <c r="F1090" s="180" t="s">
        <v>208</v>
      </c>
      <c r="G1090" s="180" t="s">
        <v>208</v>
      </c>
      <c r="H1090" s="181"/>
      <c r="I1090" s="181"/>
      <c r="J1090" s="181"/>
      <c r="K1090" s="182" t="s">
        <v>363</v>
      </c>
      <c r="R1090" s="163"/>
      <c r="S1090" s="163"/>
    </row>
    <row r="1091">
      <c r="A1091" s="179">
        <f t="shared" si="2"/>
        <v>1090</v>
      </c>
      <c r="B1091" s="180"/>
      <c r="C1091" s="180" t="s">
        <v>208</v>
      </c>
      <c r="D1091" s="180" t="s">
        <v>208</v>
      </c>
      <c r="E1091" s="180" t="s">
        <v>208</v>
      </c>
      <c r="F1091" s="180" t="s">
        <v>208</v>
      </c>
      <c r="G1091" s="180" t="s">
        <v>208</v>
      </c>
      <c r="H1091" s="185"/>
      <c r="I1091" s="181"/>
      <c r="J1091" s="181"/>
      <c r="K1091" s="182" t="s">
        <v>363</v>
      </c>
      <c r="R1091" s="163"/>
      <c r="S1091" s="163"/>
    </row>
    <row r="1092">
      <c r="A1092" s="179">
        <f t="shared" si="2"/>
        <v>1091</v>
      </c>
      <c r="B1092" s="180"/>
      <c r="C1092" s="180" t="s">
        <v>208</v>
      </c>
      <c r="D1092" s="180" t="s">
        <v>208</v>
      </c>
      <c r="E1092" s="180" t="s">
        <v>208</v>
      </c>
      <c r="F1092" s="180" t="s">
        <v>208</v>
      </c>
      <c r="G1092" s="180" t="s">
        <v>208</v>
      </c>
      <c r="H1092" s="185"/>
      <c r="I1092" s="181"/>
      <c r="J1092" s="181"/>
      <c r="K1092" s="182" t="s">
        <v>363</v>
      </c>
      <c r="R1092" s="173"/>
      <c r="S1092" s="173"/>
    </row>
    <row r="1093">
      <c r="A1093" s="179">
        <f t="shared" si="2"/>
        <v>1092</v>
      </c>
      <c r="B1093" s="180"/>
      <c r="C1093" s="180" t="s">
        <v>208</v>
      </c>
      <c r="D1093" s="180" t="s">
        <v>208</v>
      </c>
      <c r="E1093" s="180" t="s">
        <v>208</v>
      </c>
      <c r="F1093" s="180" t="s">
        <v>208</v>
      </c>
      <c r="G1093" s="180" t="s">
        <v>208</v>
      </c>
      <c r="H1093" s="181"/>
      <c r="I1093" s="181"/>
      <c r="J1093" s="181"/>
      <c r="K1093" s="182" t="s">
        <v>363</v>
      </c>
      <c r="R1093" s="157"/>
      <c r="S1093" s="157"/>
    </row>
    <row r="1094">
      <c r="A1094" s="179">
        <f t="shared" si="2"/>
        <v>1093</v>
      </c>
      <c r="B1094" s="180"/>
      <c r="C1094" s="180" t="s">
        <v>208</v>
      </c>
      <c r="D1094" s="180" t="s">
        <v>208</v>
      </c>
      <c r="E1094" s="180" t="s">
        <v>208</v>
      </c>
      <c r="F1094" s="180" t="s">
        <v>208</v>
      </c>
      <c r="G1094" s="180" t="s">
        <v>208</v>
      </c>
      <c r="H1094" s="181"/>
      <c r="I1094" s="181"/>
      <c r="J1094" s="181"/>
      <c r="K1094" s="182" t="s">
        <v>363</v>
      </c>
      <c r="R1094" s="163"/>
      <c r="S1094" s="163"/>
    </row>
    <row r="1095">
      <c r="A1095" s="179">
        <f t="shared" si="2"/>
        <v>1094</v>
      </c>
      <c r="B1095" s="180"/>
      <c r="C1095" s="180" t="s">
        <v>208</v>
      </c>
      <c r="D1095" s="180" t="s">
        <v>208</v>
      </c>
      <c r="E1095" s="180" t="s">
        <v>208</v>
      </c>
      <c r="F1095" s="180" t="s">
        <v>208</v>
      </c>
      <c r="G1095" s="180" t="s">
        <v>208</v>
      </c>
      <c r="H1095" s="181"/>
      <c r="I1095" s="181"/>
      <c r="J1095" s="181"/>
      <c r="K1095" s="182" t="s">
        <v>363</v>
      </c>
      <c r="R1095" s="163"/>
      <c r="S1095" s="163"/>
    </row>
    <row r="1096">
      <c r="A1096" s="179">
        <f t="shared" si="2"/>
        <v>1095</v>
      </c>
      <c r="B1096" s="180"/>
      <c r="C1096" s="180" t="s">
        <v>208</v>
      </c>
      <c r="D1096" s="180" t="s">
        <v>208</v>
      </c>
      <c r="E1096" s="180" t="s">
        <v>208</v>
      </c>
      <c r="F1096" s="180" t="s">
        <v>208</v>
      </c>
      <c r="G1096" s="180" t="s">
        <v>208</v>
      </c>
      <c r="H1096" s="181"/>
      <c r="I1096" s="181"/>
      <c r="J1096" s="181"/>
      <c r="K1096" s="182" t="s">
        <v>363</v>
      </c>
      <c r="R1096" s="163"/>
      <c r="S1096" s="163"/>
    </row>
    <row r="1097">
      <c r="A1097" s="179">
        <f t="shared" si="2"/>
        <v>1096</v>
      </c>
      <c r="B1097" s="180"/>
      <c r="C1097" s="180" t="s">
        <v>208</v>
      </c>
      <c r="D1097" s="180" t="s">
        <v>208</v>
      </c>
      <c r="E1097" s="180" t="s">
        <v>208</v>
      </c>
      <c r="F1097" s="180" t="s">
        <v>208</v>
      </c>
      <c r="G1097" s="180" t="s">
        <v>208</v>
      </c>
      <c r="H1097" s="181"/>
      <c r="I1097" s="181"/>
      <c r="J1097" s="181"/>
      <c r="K1097" s="182" t="s">
        <v>363</v>
      </c>
      <c r="R1097" s="163"/>
      <c r="S1097" s="163"/>
    </row>
    <row r="1098">
      <c r="A1098" s="179">
        <f t="shared" si="2"/>
        <v>1097</v>
      </c>
      <c r="B1098" s="180"/>
      <c r="C1098" s="180" t="s">
        <v>208</v>
      </c>
      <c r="D1098" s="180" t="s">
        <v>208</v>
      </c>
      <c r="E1098" s="180" t="s">
        <v>208</v>
      </c>
      <c r="F1098" s="180" t="s">
        <v>208</v>
      </c>
      <c r="G1098" s="180" t="s">
        <v>208</v>
      </c>
      <c r="H1098" s="181"/>
      <c r="I1098" s="181"/>
      <c r="J1098" s="181"/>
      <c r="K1098" s="182" t="s">
        <v>363</v>
      </c>
      <c r="R1098" s="163"/>
      <c r="S1098" s="163"/>
    </row>
    <row r="1099">
      <c r="A1099" s="179">
        <f t="shared" si="2"/>
        <v>1098</v>
      </c>
      <c r="B1099" s="180"/>
      <c r="C1099" s="180" t="s">
        <v>208</v>
      </c>
      <c r="D1099" s="180" t="s">
        <v>208</v>
      </c>
      <c r="E1099" s="180" t="s">
        <v>208</v>
      </c>
      <c r="F1099" s="180" t="s">
        <v>208</v>
      </c>
      <c r="G1099" s="180" t="s">
        <v>208</v>
      </c>
      <c r="H1099" s="181"/>
      <c r="I1099" s="181"/>
      <c r="J1099" s="181"/>
      <c r="K1099" s="182" t="s">
        <v>363</v>
      </c>
      <c r="R1099" s="163"/>
      <c r="S1099" s="163"/>
    </row>
    <row r="1100">
      <c r="A1100" s="179">
        <f t="shared" si="2"/>
        <v>1099</v>
      </c>
      <c r="B1100" s="180"/>
      <c r="C1100" s="180" t="s">
        <v>208</v>
      </c>
      <c r="D1100" s="180" t="s">
        <v>208</v>
      </c>
      <c r="E1100" s="180" t="s">
        <v>208</v>
      </c>
      <c r="F1100" s="180" t="s">
        <v>208</v>
      </c>
      <c r="G1100" s="180" t="s">
        <v>208</v>
      </c>
      <c r="H1100" s="181"/>
      <c r="I1100" s="181"/>
      <c r="J1100" s="181"/>
      <c r="K1100" s="182" t="s">
        <v>363</v>
      </c>
      <c r="R1100" s="163"/>
      <c r="S1100" s="163"/>
    </row>
    <row r="1101">
      <c r="A1101" s="179">
        <f t="shared" si="2"/>
        <v>1100</v>
      </c>
      <c r="B1101" s="180"/>
      <c r="C1101" s="180" t="s">
        <v>208</v>
      </c>
      <c r="D1101" s="180" t="s">
        <v>208</v>
      </c>
      <c r="E1101" s="180" t="s">
        <v>208</v>
      </c>
      <c r="F1101" s="180" t="s">
        <v>208</v>
      </c>
      <c r="G1101" s="180" t="s">
        <v>208</v>
      </c>
      <c r="H1101" s="185"/>
      <c r="I1101" s="181"/>
      <c r="J1101" s="181"/>
      <c r="K1101" s="182" t="s">
        <v>363</v>
      </c>
      <c r="R1101" s="163"/>
      <c r="S1101" s="163"/>
    </row>
    <row r="1102">
      <c r="A1102" s="179">
        <f t="shared" si="2"/>
        <v>1101</v>
      </c>
      <c r="B1102" s="180"/>
      <c r="C1102" s="180" t="s">
        <v>208</v>
      </c>
      <c r="D1102" s="180" t="s">
        <v>208</v>
      </c>
      <c r="E1102" s="180" t="s">
        <v>208</v>
      </c>
      <c r="F1102" s="180" t="s">
        <v>208</v>
      </c>
      <c r="G1102" s="180" t="s">
        <v>208</v>
      </c>
      <c r="H1102" s="181"/>
      <c r="I1102" s="181"/>
      <c r="J1102" s="181"/>
      <c r="K1102" s="182" t="s">
        <v>363</v>
      </c>
      <c r="R1102" s="163"/>
      <c r="S1102" s="163"/>
    </row>
    <row r="1103">
      <c r="A1103" s="179">
        <f t="shared" si="2"/>
        <v>1102</v>
      </c>
      <c r="B1103" s="180"/>
      <c r="C1103" s="180" t="s">
        <v>208</v>
      </c>
      <c r="D1103" s="180" t="s">
        <v>208</v>
      </c>
      <c r="E1103" s="180" t="s">
        <v>208</v>
      </c>
      <c r="F1103" s="180" t="s">
        <v>208</v>
      </c>
      <c r="G1103" s="180" t="s">
        <v>208</v>
      </c>
      <c r="H1103" s="185"/>
      <c r="I1103" s="181"/>
      <c r="J1103" s="181"/>
      <c r="K1103" s="182" t="s">
        <v>363</v>
      </c>
      <c r="R1103" s="163"/>
      <c r="S1103" s="163"/>
    </row>
    <row r="1104">
      <c r="A1104" s="179">
        <f t="shared" si="2"/>
        <v>1103</v>
      </c>
      <c r="B1104" s="180"/>
      <c r="C1104" s="180" t="s">
        <v>208</v>
      </c>
      <c r="D1104" s="180" t="s">
        <v>208</v>
      </c>
      <c r="E1104" s="180" t="s">
        <v>208</v>
      </c>
      <c r="F1104" s="180" t="s">
        <v>208</v>
      </c>
      <c r="G1104" s="180" t="s">
        <v>208</v>
      </c>
      <c r="H1104" s="181"/>
      <c r="I1104" s="181"/>
      <c r="J1104" s="181"/>
      <c r="K1104" s="182" t="s">
        <v>363</v>
      </c>
      <c r="R1104" s="173"/>
      <c r="S1104" s="173"/>
    </row>
    <row r="1105">
      <c r="A1105" s="179">
        <f t="shared" si="2"/>
        <v>1104</v>
      </c>
      <c r="B1105" s="180"/>
      <c r="C1105" s="180" t="s">
        <v>208</v>
      </c>
      <c r="D1105" s="180" t="s">
        <v>208</v>
      </c>
      <c r="E1105" s="180" t="s">
        <v>208</v>
      </c>
      <c r="F1105" s="180" t="s">
        <v>208</v>
      </c>
      <c r="G1105" s="180" t="s">
        <v>208</v>
      </c>
      <c r="H1105" s="180"/>
      <c r="I1105" s="181"/>
      <c r="J1105" s="181"/>
      <c r="K1105" s="182" t="s">
        <v>363</v>
      </c>
      <c r="R1105" s="157"/>
      <c r="S1105" s="157"/>
    </row>
    <row r="1106">
      <c r="A1106" s="179">
        <f t="shared" si="2"/>
        <v>1105</v>
      </c>
      <c r="B1106" s="180"/>
      <c r="C1106" s="180" t="s">
        <v>208</v>
      </c>
      <c r="D1106" s="180" t="s">
        <v>208</v>
      </c>
      <c r="E1106" s="180" t="s">
        <v>208</v>
      </c>
      <c r="F1106" s="180" t="s">
        <v>208</v>
      </c>
      <c r="G1106" s="180" t="s">
        <v>208</v>
      </c>
      <c r="H1106" s="181"/>
      <c r="I1106" s="181"/>
      <c r="J1106" s="181"/>
      <c r="K1106" s="182" t="s">
        <v>363</v>
      </c>
      <c r="R1106" s="163"/>
      <c r="S1106" s="163"/>
    </row>
    <row r="1107">
      <c r="A1107" s="179">
        <f t="shared" si="2"/>
        <v>1106</v>
      </c>
      <c r="B1107" s="180"/>
      <c r="C1107" s="180" t="s">
        <v>208</v>
      </c>
      <c r="D1107" s="180" t="s">
        <v>208</v>
      </c>
      <c r="E1107" s="180" t="s">
        <v>208</v>
      </c>
      <c r="F1107" s="180" t="s">
        <v>208</v>
      </c>
      <c r="G1107" s="180" t="s">
        <v>208</v>
      </c>
      <c r="H1107" s="181"/>
      <c r="I1107" s="181"/>
      <c r="J1107" s="181"/>
      <c r="K1107" s="182" t="s">
        <v>363</v>
      </c>
      <c r="R1107" s="163"/>
      <c r="S1107" s="163"/>
    </row>
    <row r="1108">
      <c r="A1108" s="179">
        <f t="shared" si="2"/>
        <v>1107</v>
      </c>
      <c r="B1108" s="180"/>
      <c r="C1108" s="180"/>
      <c r="D1108" s="180" t="s">
        <v>208</v>
      </c>
      <c r="E1108" s="180" t="s">
        <v>208</v>
      </c>
      <c r="F1108" s="180" t="s">
        <v>208</v>
      </c>
      <c r="G1108" s="180"/>
      <c r="H1108" s="180" t="s">
        <v>208</v>
      </c>
      <c r="I1108" s="181"/>
      <c r="J1108" s="181"/>
      <c r="K1108" s="182" t="s">
        <v>363</v>
      </c>
      <c r="R1108" s="163"/>
      <c r="S1108" s="163"/>
    </row>
    <row r="1109">
      <c r="A1109" s="179">
        <f t="shared" si="2"/>
        <v>1108</v>
      </c>
      <c r="B1109" s="180"/>
      <c r="C1109" s="180"/>
      <c r="D1109" s="180" t="s">
        <v>208</v>
      </c>
      <c r="E1109" s="180" t="s">
        <v>208</v>
      </c>
      <c r="F1109" s="180" t="s">
        <v>208</v>
      </c>
      <c r="G1109" s="180"/>
      <c r="H1109" s="180" t="s">
        <v>208</v>
      </c>
      <c r="I1109" s="181"/>
      <c r="J1109" s="181"/>
      <c r="K1109" s="182" t="s">
        <v>363</v>
      </c>
      <c r="R1109" s="163"/>
      <c r="S1109" s="163"/>
    </row>
    <row r="1110">
      <c r="A1110" s="179">
        <f t="shared" si="2"/>
        <v>1109</v>
      </c>
      <c r="B1110" s="180"/>
      <c r="C1110" s="180" t="s">
        <v>208</v>
      </c>
      <c r="D1110" s="180" t="s">
        <v>208</v>
      </c>
      <c r="E1110" s="180" t="s">
        <v>208</v>
      </c>
      <c r="F1110" s="180" t="s">
        <v>208</v>
      </c>
      <c r="G1110" s="180" t="s">
        <v>208</v>
      </c>
      <c r="H1110" s="181"/>
      <c r="I1110" s="181"/>
      <c r="J1110" s="181"/>
      <c r="K1110" s="182" t="s">
        <v>363</v>
      </c>
      <c r="R1110" s="163"/>
      <c r="S1110" s="163"/>
    </row>
    <row r="1111">
      <c r="A1111" s="179">
        <f t="shared" si="2"/>
        <v>1110</v>
      </c>
      <c r="B1111" s="180"/>
      <c r="C1111" s="180" t="s">
        <v>208</v>
      </c>
      <c r="D1111" s="180" t="s">
        <v>208</v>
      </c>
      <c r="E1111" s="180" t="s">
        <v>208</v>
      </c>
      <c r="F1111" s="180" t="s">
        <v>208</v>
      </c>
      <c r="G1111" s="180" t="s">
        <v>208</v>
      </c>
      <c r="H1111" s="181"/>
      <c r="I1111" s="181"/>
      <c r="J1111" s="181"/>
      <c r="K1111" s="182" t="s">
        <v>363</v>
      </c>
      <c r="R1111" s="163"/>
      <c r="S1111" s="163"/>
    </row>
    <row r="1112">
      <c r="A1112" s="179">
        <f t="shared" si="2"/>
        <v>1111</v>
      </c>
      <c r="B1112" s="180"/>
      <c r="C1112" s="180" t="s">
        <v>208</v>
      </c>
      <c r="D1112" s="180" t="s">
        <v>208</v>
      </c>
      <c r="E1112" s="180" t="s">
        <v>208</v>
      </c>
      <c r="F1112" s="180" t="s">
        <v>208</v>
      </c>
      <c r="G1112" s="180" t="s">
        <v>208</v>
      </c>
      <c r="H1112" s="180"/>
      <c r="I1112" s="181"/>
      <c r="J1112" s="181"/>
      <c r="K1112" s="182" t="s">
        <v>363</v>
      </c>
      <c r="R1112" s="163"/>
      <c r="S1112" s="163"/>
    </row>
    <row r="1113">
      <c r="A1113" s="179">
        <f t="shared" si="2"/>
        <v>1112</v>
      </c>
      <c r="B1113" s="180"/>
      <c r="C1113" s="180"/>
      <c r="D1113" s="180" t="s">
        <v>208</v>
      </c>
      <c r="E1113" s="180" t="s">
        <v>208</v>
      </c>
      <c r="F1113" s="180" t="s">
        <v>208</v>
      </c>
      <c r="G1113" s="180"/>
      <c r="H1113" s="180" t="s">
        <v>208</v>
      </c>
      <c r="I1113" s="181"/>
      <c r="J1113" s="181"/>
      <c r="K1113" s="182" t="s">
        <v>363</v>
      </c>
      <c r="R1113" s="163"/>
      <c r="S1113" s="163"/>
    </row>
    <row r="1114">
      <c r="A1114" s="179">
        <f t="shared" si="2"/>
        <v>1113</v>
      </c>
      <c r="B1114" s="180"/>
      <c r="C1114" s="180" t="s">
        <v>208</v>
      </c>
      <c r="D1114" s="180" t="s">
        <v>208</v>
      </c>
      <c r="E1114" s="180" t="s">
        <v>208</v>
      </c>
      <c r="F1114" s="180" t="s">
        <v>208</v>
      </c>
      <c r="G1114" s="180" t="s">
        <v>208</v>
      </c>
      <c r="H1114" s="181"/>
      <c r="I1114" s="181"/>
      <c r="J1114" s="181"/>
      <c r="K1114" s="182" t="s">
        <v>363</v>
      </c>
      <c r="R1114" s="163"/>
      <c r="S1114" s="163"/>
    </row>
    <row r="1115">
      <c r="A1115" s="179">
        <f t="shared" si="2"/>
        <v>1114</v>
      </c>
      <c r="B1115" s="181"/>
      <c r="C1115" s="180" t="s">
        <v>208</v>
      </c>
      <c r="D1115" s="180" t="s">
        <v>208</v>
      </c>
      <c r="E1115" s="180" t="s">
        <v>208</v>
      </c>
      <c r="F1115" s="180" t="s">
        <v>208</v>
      </c>
      <c r="G1115" s="180" t="s">
        <v>208</v>
      </c>
      <c r="H1115" s="180"/>
      <c r="I1115" s="181"/>
      <c r="J1115" s="181"/>
      <c r="K1115" s="182" t="s">
        <v>363</v>
      </c>
      <c r="R1115" s="163"/>
      <c r="S1115" s="163"/>
    </row>
    <row r="1116">
      <c r="A1116" s="179">
        <f t="shared" si="2"/>
        <v>1115</v>
      </c>
      <c r="B1116" s="180"/>
      <c r="C1116" s="180" t="s">
        <v>208</v>
      </c>
      <c r="D1116" s="180" t="s">
        <v>208</v>
      </c>
      <c r="E1116" s="180" t="s">
        <v>208</v>
      </c>
      <c r="F1116" s="180" t="s">
        <v>208</v>
      </c>
      <c r="G1116" s="180" t="s">
        <v>208</v>
      </c>
      <c r="H1116" s="185"/>
      <c r="I1116" s="181"/>
      <c r="J1116" s="181"/>
      <c r="K1116" s="182" t="s">
        <v>363</v>
      </c>
      <c r="R1116" s="173"/>
      <c r="S1116" s="173"/>
    </row>
    <row r="1117">
      <c r="A1117" s="179">
        <f t="shared" si="2"/>
        <v>1116</v>
      </c>
      <c r="B1117" s="180"/>
      <c r="C1117" s="180" t="s">
        <v>208</v>
      </c>
      <c r="D1117" s="180" t="s">
        <v>208</v>
      </c>
      <c r="E1117" s="180" t="s">
        <v>208</v>
      </c>
      <c r="F1117" s="180" t="s">
        <v>208</v>
      </c>
      <c r="G1117" s="180" t="s">
        <v>208</v>
      </c>
      <c r="H1117" s="181"/>
      <c r="I1117" s="181"/>
      <c r="J1117" s="181"/>
      <c r="K1117" s="182" t="s">
        <v>363</v>
      </c>
      <c r="R1117" s="157"/>
      <c r="S1117" s="157"/>
    </row>
    <row r="1118">
      <c r="A1118" s="179">
        <f t="shared" si="2"/>
        <v>1117</v>
      </c>
      <c r="B1118" s="180"/>
      <c r="C1118" s="180" t="s">
        <v>208</v>
      </c>
      <c r="D1118" s="180" t="s">
        <v>208</v>
      </c>
      <c r="E1118" s="180" t="s">
        <v>208</v>
      </c>
      <c r="F1118" s="180" t="s">
        <v>208</v>
      </c>
      <c r="G1118" s="180" t="s">
        <v>208</v>
      </c>
      <c r="H1118" s="181"/>
      <c r="I1118" s="181"/>
      <c r="J1118" s="181"/>
      <c r="K1118" s="182" t="s">
        <v>363</v>
      </c>
      <c r="R1118" s="163"/>
      <c r="S1118" s="163"/>
    </row>
    <row r="1119">
      <c r="A1119" s="179">
        <f t="shared" si="2"/>
        <v>1118</v>
      </c>
      <c r="B1119" s="180"/>
      <c r="C1119" s="180" t="s">
        <v>208</v>
      </c>
      <c r="D1119" s="180" t="s">
        <v>208</v>
      </c>
      <c r="E1119" s="180" t="s">
        <v>208</v>
      </c>
      <c r="F1119" s="180" t="s">
        <v>208</v>
      </c>
      <c r="G1119" s="180" t="s">
        <v>208</v>
      </c>
      <c r="H1119" s="181"/>
      <c r="I1119" s="181"/>
      <c r="J1119" s="181"/>
      <c r="K1119" s="182" t="s">
        <v>363</v>
      </c>
      <c r="R1119" s="163"/>
      <c r="S1119" s="163"/>
    </row>
    <row r="1120">
      <c r="A1120" s="179">
        <f t="shared" si="2"/>
        <v>1119</v>
      </c>
      <c r="B1120" s="180"/>
      <c r="C1120" s="180" t="s">
        <v>208</v>
      </c>
      <c r="D1120" s="180" t="s">
        <v>208</v>
      </c>
      <c r="E1120" s="180" t="s">
        <v>208</v>
      </c>
      <c r="F1120" s="180" t="s">
        <v>208</v>
      </c>
      <c r="G1120" s="180" t="s">
        <v>208</v>
      </c>
      <c r="H1120" s="181"/>
      <c r="I1120" s="181"/>
      <c r="J1120" s="181"/>
      <c r="K1120" s="182" t="s">
        <v>363</v>
      </c>
      <c r="R1120" s="163"/>
      <c r="S1120" s="163"/>
    </row>
    <row r="1121">
      <c r="A1121" s="179">
        <f t="shared" si="2"/>
        <v>1120</v>
      </c>
      <c r="B1121" s="180"/>
      <c r="C1121" s="180" t="s">
        <v>208</v>
      </c>
      <c r="D1121" s="180" t="s">
        <v>208</v>
      </c>
      <c r="E1121" s="180" t="s">
        <v>208</v>
      </c>
      <c r="F1121" s="180" t="s">
        <v>208</v>
      </c>
      <c r="G1121" s="180" t="s">
        <v>208</v>
      </c>
      <c r="H1121" s="181"/>
      <c r="I1121" s="181"/>
      <c r="J1121" s="180"/>
      <c r="K1121" s="182" t="s">
        <v>363</v>
      </c>
      <c r="R1121" s="163"/>
      <c r="S1121" s="163"/>
    </row>
    <row r="1122">
      <c r="A1122" s="179">
        <f t="shared" si="2"/>
        <v>1121</v>
      </c>
      <c r="B1122" s="180"/>
      <c r="C1122" s="180" t="s">
        <v>208</v>
      </c>
      <c r="D1122" s="180" t="s">
        <v>208</v>
      </c>
      <c r="E1122" s="180" t="s">
        <v>208</v>
      </c>
      <c r="F1122" s="180" t="s">
        <v>208</v>
      </c>
      <c r="G1122" s="180" t="s">
        <v>208</v>
      </c>
      <c r="H1122" s="181"/>
      <c r="I1122" s="181"/>
      <c r="J1122" s="180"/>
      <c r="K1122" s="182" t="s">
        <v>363</v>
      </c>
      <c r="R1122" s="163"/>
      <c r="S1122" s="163"/>
    </row>
    <row r="1123">
      <c r="A1123" s="179">
        <f t="shared" si="2"/>
        <v>1122</v>
      </c>
      <c r="B1123" s="180"/>
      <c r="C1123" s="180" t="s">
        <v>208</v>
      </c>
      <c r="D1123" s="180" t="s">
        <v>208</v>
      </c>
      <c r="E1123" s="180" t="s">
        <v>208</v>
      </c>
      <c r="F1123" s="180" t="s">
        <v>208</v>
      </c>
      <c r="G1123" s="180" t="s">
        <v>208</v>
      </c>
      <c r="H1123" s="180"/>
      <c r="I1123" s="181"/>
      <c r="J1123" s="181"/>
      <c r="K1123" s="182" t="s">
        <v>363</v>
      </c>
      <c r="R1123" s="163"/>
      <c r="S1123" s="163"/>
    </row>
    <row r="1124">
      <c r="A1124" s="179">
        <f t="shared" si="2"/>
        <v>1123</v>
      </c>
      <c r="B1124" s="180"/>
      <c r="C1124" s="180" t="s">
        <v>208</v>
      </c>
      <c r="D1124" s="180" t="s">
        <v>243</v>
      </c>
      <c r="E1124" s="180" t="s">
        <v>208</v>
      </c>
      <c r="F1124" s="180" t="s">
        <v>208</v>
      </c>
      <c r="G1124" s="180" t="s">
        <v>208</v>
      </c>
      <c r="H1124" s="181"/>
      <c r="I1124" s="181"/>
      <c r="J1124" s="181"/>
      <c r="K1124" s="182" t="s">
        <v>363</v>
      </c>
      <c r="R1124" s="163"/>
      <c r="S1124" s="163"/>
    </row>
    <row r="1125">
      <c r="A1125" s="179">
        <f t="shared" si="2"/>
        <v>1124</v>
      </c>
      <c r="B1125" s="181"/>
      <c r="C1125" s="180" t="s">
        <v>208</v>
      </c>
      <c r="D1125" s="180" t="s">
        <v>208</v>
      </c>
      <c r="E1125" s="180" t="s">
        <v>208</v>
      </c>
      <c r="F1125" s="180" t="s">
        <v>208</v>
      </c>
      <c r="G1125" s="180" t="s">
        <v>208</v>
      </c>
      <c r="H1125" s="180"/>
      <c r="I1125" s="181"/>
      <c r="J1125" s="181"/>
      <c r="K1125" s="182" t="s">
        <v>363</v>
      </c>
      <c r="R1125" s="163"/>
      <c r="S1125" s="163"/>
    </row>
    <row r="1126">
      <c r="A1126" s="179">
        <f t="shared" si="2"/>
        <v>1125</v>
      </c>
      <c r="B1126" s="180"/>
      <c r="C1126" s="180" t="s">
        <v>208</v>
      </c>
      <c r="D1126" s="180" t="s">
        <v>208</v>
      </c>
      <c r="E1126" s="180" t="s">
        <v>208</v>
      </c>
      <c r="F1126" s="180" t="s">
        <v>208</v>
      </c>
      <c r="G1126" s="180" t="s">
        <v>208</v>
      </c>
      <c r="H1126" s="181"/>
      <c r="I1126" s="181"/>
      <c r="J1126" s="181"/>
      <c r="K1126" s="182" t="s">
        <v>363</v>
      </c>
      <c r="R1126" s="163"/>
      <c r="S1126" s="163"/>
    </row>
    <row r="1127">
      <c r="A1127" s="179">
        <f t="shared" si="2"/>
        <v>1126</v>
      </c>
      <c r="B1127" s="180"/>
      <c r="C1127" s="180" t="s">
        <v>208</v>
      </c>
      <c r="D1127" s="180" t="s">
        <v>208</v>
      </c>
      <c r="E1127" s="180" t="s">
        <v>208</v>
      </c>
      <c r="F1127" s="180" t="s">
        <v>208</v>
      </c>
      <c r="G1127" s="180" t="s">
        <v>208</v>
      </c>
      <c r="H1127" s="180"/>
      <c r="I1127" s="181"/>
      <c r="J1127" s="181"/>
      <c r="K1127" s="182" t="s">
        <v>363</v>
      </c>
      <c r="R1127" s="163"/>
      <c r="S1127" s="163"/>
    </row>
    <row r="1128">
      <c r="A1128" s="179">
        <f t="shared" si="2"/>
        <v>1127</v>
      </c>
      <c r="B1128" s="180"/>
      <c r="C1128" s="180" t="s">
        <v>208</v>
      </c>
      <c r="D1128" s="180" t="s">
        <v>208</v>
      </c>
      <c r="E1128" s="180" t="s">
        <v>208</v>
      </c>
      <c r="F1128" s="180" t="s">
        <v>208</v>
      </c>
      <c r="G1128" s="180" t="s">
        <v>208</v>
      </c>
      <c r="H1128" s="181"/>
      <c r="I1128" s="181"/>
      <c r="J1128" s="181"/>
      <c r="K1128" s="182" t="s">
        <v>363</v>
      </c>
      <c r="R1128" s="173"/>
      <c r="S1128" s="173"/>
    </row>
    <row r="1129">
      <c r="A1129" s="179">
        <f t="shared" si="2"/>
        <v>1128</v>
      </c>
      <c r="B1129" s="180"/>
      <c r="C1129" s="180" t="s">
        <v>208</v>
      </c>
      <c r="D1129" s="180" t="s">
        <v>208</v>
      </c>
      <c r="E1129" s="180" t="s">
        <v>208</v>
      </c>
      <c r="F1129" s="180" t="s">
        <v>208</v>
      </c>
      <c r="G1129" s="180" t="s">
        <v>208</v>
      </c>
      <c r="H1129" s="181"/>
      <c r="I1129" s="181"/>
      <c r="J1129" s="181"/>
      <c r="K1129" s="182" t="s">
        <v>363</v>
      </c>
      <c r="R1129" s="157"/>
      <c r="S1129" s="157"/>
    </row>
    <row r="1130">
      <c r="A1130" s="179">
        <f t="shared" si="2"/>
        <v>1129</v>
      </c>
      <c r="B1130" s="180"/>
      <c r="C1130" s="180" t="s">
        <v>208</v>
      </c>
      <c r="D1130" s="180" t="s">
        <v>243</v>
      </c>
      <c r="E1130" s="180" t="s">
        <v>208</v>
      </c>
      <c r="F1130" s="180" t="s">
        <v>208</v>
      </c>
      <c r="G1130" s="180" t="s">
        <v>208</v>
      </c>
      <c r="H1130" s="181"/>
      <c r="I1130" s="181"/>
      <c r="J1130" s="181"/>
      <c r="K1130" s="182" t="s">
        <v>363</v>
      </c>
      <c r="R1130" s="163"/>
      <c r="S1130" s="163"/>
    </row>
    <row r="1131">
      <c r="A1131" s="179">
        <f t="shared" si="2"/>
        <v>1130</v>
      </c>
      <c r="B1131" s="180"/>
      <c r="C1131" s="180" t="s">
        <v>208</v>
      </c>
      <c r="D1131" s="180" t="s">
        <v>208</v>
      </c>
      <c r="E1131" s="180" t="s">
        <v>208</v>
      </c>
      <c r="F1131" s="180" t="s">
        <v>208</v>
      </c>
      <c r="G1131" s="180" t="s">
        <v>208</v>
      </c>
      <c r="H1131" s="181"/>
      <c r="I1131" s="181"/>
      <c r="J1131" s="181"/>
      <c r="K1131" s="182" t="s">
        <v>363</v>
      </c>
      <c r="R1131" s="163"/>
      <c r="S1131" s="163"/>
    </row>
    <row r="1132">
      <c r="A1132" s="179">
        <f t="shared" si="2"/>
        <v>1131</v>
      </c>
      <c r="B1132" s="180"/>
      <c r="C1132" s="180" t="s">
        <v>208</v>
      </c>
      <c r="D1132" s="180" t="s">
        <v>208</v>
      </c>
      <c r="E1132" s="180" t="s">
        <v>208</v>
      </c>
      <c r="F1132" s="180" t="s">
        <v>208</v>
      </c>
      <c r="G1132" s="180" t="s">
        <v>208</v>
      </c>
      <c r="H1132" s="181"/>
      <c r="I1132" s="181"/>
      <c r="J1132" s="181"/>
      <c r="K1132" s="182" t="s">
        <v>363</v>
      </c>
      <c r="R1132" s="163"/>
      <c r="S1132" s="163"/>
    </row>
    <row r="1133">
      <c r="A1133" s="179">
        <f t="shared" si="2"/>
        <v>1132</v>
      </c>
      <c r="B1133" s="180"/>
      <c r="C1133" s="180" t="s">
        <v>208</v>
      </c>
      <c r="D1133" s="180" t="s">
        <v>208</v>
      </c>
      <c r="E1133" s="180" t="s">
        <v>208</v>
      </c>
      <c r="F1133" s="180" t="s">
        <v>208</v>
      </c>
      <c r="G1133" s="180" t="s">
        <v>208</v>
      </c>
      <c r="H1133" s="181"/>
      <c r="I1133" s="181"/>
      <c r="J1133" s="181"/>
      <c r="K1133" s="182" t="s">
        <v>363</v>
      </c>
      <c r="R1133" s="163"/>
      <c r="S1133" s="163"/>
    </row>
    <row r="1134">
      <c r="A1134" s="179">
        <f t="shared" si="2"/>
        <v>1133</v>
      </c>
      <c r="B1134" s="180"/>
      <c r="C1134" s="180" t="s">
        <v>208</v>
      </c>
      <c r="D1134" s="180" t="s">
        <v>208</v>
      </c>
      <c r="E1134" s="180" t="s">
        <v>208</v>
      </c>
      <c r="F1134" s="180" t="s">
        <v>208</v>
      </c>
      <c r="G1134" s="180" t="s">
        <v>208</v>
      </c>
      <c r="H1134" s="181"/>
      <c r="I1134" s="181"/>
      <c r="J1134" s="180"/>
      <c r="K1134" s="182" t="s">
        <v>363</v>
      </c>
      <c r="R1134" s="163"/>
      <c r="S1134" s="163"/>
    </row>
    <row r="1135">
      <c r="A1135" s="179">
        <f t="shared" si="2"/>
        <v>1134</v>
      </c>
      <c r="B1135" s="180"/>
      <c r="C1135" s="180" t="s">
        <v>208</v>
      </c>
      <c r="D1135" s="180" t="s">
        <v>208</v>
      </c>
      <c r="E1135" s="180" t="s">
        <v>208</v>
      </c>
      <c r="F1135" s="180" t="s">
        <v>208</v>
      </c>
      <c r="G1135" s="180" t="s">
        <v>208</v>
      </c>
      <c r="H1135" s="181"/>
      <c r="I1135" s="181"/>
      <c r="J1135" s="181"/>
      <c r="K1135" s="182" t="s">
        <v>363</v>
      </c>
      <c r="R1135" s="163"/>
      <c r="S1135" s="163"/>
    </row>
    <row r="1136">
      <c r="A1136" s="179">
        <f t="shared" si="2"/>
        <v>1135</v>
      </c>
      <c r="B1136" s="180"/>
      <c r="C1136" s="180" t="s">
        <v>208</v>
      </c>
      <c r="D1136" s="180" t="s">
        <v>208</v>
      </c>
      <c r="E1136" s="180" t="s">
        <v>208</v>
      </c>
      <c r="F1136" s="180" t="s">
        <v>208</v>
      </c>
      <c r="G1136" s="180" t="s">
        <v>208</v>
      </c>
      <c r="H1136" s="181"/>
      <c r="I1136" s="181"/>
      <c r="J1136" s="181"/>
      <c r="K1136" s="182" t="s">
        <v>363</v>
      </c>
      <c r="R1136" s="163"/>
      <c r="S1136" s="163"/>
    </row>
    <row r="1137">
      <c r="A1137" s="179">
        <f t="shared" si="2"/>
        <v>1136</v>
      </c>
      <c r="B1137" s="180"/>
      <c r="C1137" s="180" t="s">
        <v>208</v>
      </c>
      <c r="D1137" s="180"/>
      <c r="E1137" s="180" t="s">
        <v>208</v>
      </c>
      <c r="F1137" s="180"/>
      <c r="G1137" s="180" t="s">
        <v>208</v>
      </c>
      <c r="H1137" s="181"/>
      <c r="I1137" s="181"/>
      <c r="J1137" s="181"/>
      <c r="K1137" s="182" t="s">
        <v>363</v>
      </c>
      <c r="R1137" s="163"/>
      <c r="S1137" s="163"/>
    </row>
    <row r="1138">
      <c r="A1138" s="179">
        <f t="shared" si="2"/>
        <v>1137</v>
      </c>
      <c r="B1138" s="180"/>
      <c r="C1138" s="180" t="s">
        <v>208</v>
      </c>
      <c r="D1138" s="180" t="s">
        <v>208</v>
      </c>
      <c r="E1138" s="180" t="s">
        <v>208</v>
      </c>
      <c r="F1138" s="180" t="s">
        <v>208</v>
      </c>
      <c r="G1138" s="180" t="s">
        <v>208</v>
      </c>
      <c r="H1138" s="180"/>
      <c r="I1138" s="181"/>
      <c r="J1138" s="181"/>
      <c r="K1138" s="182" t="s">
        <v>363</v>
      </c>
      <c r="R1138" s="163"/>
      <c r="S1138" s="163"/>
    </row>
    <row r="1139">
      <c r="A1139" s="179">
        <f t="shared" si="2"/>
        <v>1138</v>
      </c>
      <c r="B1139" s="180"/>
      <c r="C1139" s="180" t="s">
        <v>208</v>
      </c>
      <c r="D1139" s="180" t="s">
        <v>208</v>
      </c>
      <c r="E1139" s="180" t="s">
        <v>208</v>
      </c>
      <c r="F1139" s="180" t="s">
        <v>208</v>
      </c>
      <c r="G1139" s="180" t="s">
        <v>208</v>
      </c>
      <c r="H1139" s="181"/>
      <c r="I1139" s="181"/>
      <c r="J1139" s="181"/>
      <c r="K1139" s="182" t="s">
        <v>363</v>
      </c>
      <c r="R1139" s="163"/>
      <c r="S1139" s="163"/>
    </row>
    <row r="1140">
      <c r="A1140" s="179">
        <f t="shared" si="2"/>
        <v>1139</v>
      </c>
      <c r="B1140" s="180"/>
      <c r="C1140" s="180" t="s">
        <v>208</v>
      </c>
      <c r="D1140" s="180" t="s">
        <v>208</v>
      </c>
      <c r="E1140" s="180" t="s">
        <v>208</v>
      </c>
      <c r="F1140" s="180" t="s">
        <v>208</v>
      </c>
      <c r="G1140" s="180" t="s">
        <v>208</v>
      </c>
      <c r="H1140" s="181"/>
      <c r="I1140" s="181"/>
      <c r="J1140" s="181"/>
      <c r="K1140" s="182" t="s">
        <v>363</v>
      </c>
      <c r="R1140" s="173"/>
      <c r="S1140" s="173"/>
    </row>
    <row r="1141">
      <c r="A1141" s="179">
        <f t="shared" si="2"/>
        <v>1140</v>
      </c>
      <c r="B1141" s="181"/>
      <c r="C1141" s="180" t="s">
        <v>208</v>
      </c>
      <c r="D1141" s="180" t="s">
        <v>208</v>
      </c>
      <c r="E1141" s="180"/>
      <c r="F1141" s="180" t="s">
        <v>208</v>
      </c>
      <c r="G1141" s="180" t="s">
        <v>208</v>
      </c>
      <c r="H1141" s="181"/>
      <c r="I1141" s="181"/>
      <c r="J1141" s="181"/>
      <c r="K1141" s="182" t="s">
        <v>363</v>
      </c>
      <c r="R1141" s="157"/>
      <c r="S1141" s="157"/>
    </row>
    <row r="1142">
      <c r="A1142" s="179">
        <f t="shared" si="2"/>
        <v>1141</v>
      </c>
      <c r="B1142" s="180"/>
      <c r="C1142" s="180" t="s">
        <v>208</v>
      </c>
      <c r="D1142" s="180" t="s">
        <v>208</v>
      </c>
      <c r="E1142" s="180"/>
      <c r="F1142" s="180" t="s">
        <v>208</v>
      </c>
      <c r="G1142" s="180" t="s">
        <v>208</v>
      </c>
      <c r="H1142" s="181"/>
      <c r="I1142" s="181"/>
      <c r="J1142" s="181"/>
      <c r="K1142" s="182" t="s">
        <v>363</v>
      </c>
      <c r="R1142" s="163"/>
      <c r="S1142" s="163"/>
    </row>
    <row r="1143">
      <c r="A1143" s="179">
        <f t="shared" si="2"/>
        <v>1142</v>
      </c>
      <c r="B1143" s="180"/>
      <c r="C1143" s="180" t="s">
        <v>208</v>
      </c>
      <c r="D1143" s="180" t="s">
        <v>208</v>
      </c>
      <c r="E1143" s="180"/>
      <c r="F1143" s="180" t="s">
        <v>208</v>
      </c>
      <c r="G1143" s="180" t="s">
        <v>208</v>
      </c>
      <c r="H1143" s="181"/>
      <c r="I1143" s="181"/>
      <c r="J1143" s="181"/>
      <c r="K1143" s="182" t="s">
        <v>363</v>
      </c>
      <c r="R1143" s="163"/>
      <c r="S1143" s="163"/>
    </row>
    <row r="1144">
      <c r="A1144" s="179">
        <f t="shared" si="2"/>
        <v>1143</v>
      </c>
      <c r="B1144" s="180"/>
      <c r="C1144" s="180"/>
      <c r="D1144" s="180"/>
      <c r="E1144" s="180"/>
      <c r="F1144" s="180"/>
      <c r="G1144" s="180"/>
      <c r="H1144" s="181"/>
      <c r="I1144" s="181"/>
      <c r="J1144" s="180" t="s">
        <v>242</v>
      </c>
      <c r="K1144" s="182" t="s">
        <v>363</v>
      </c>
      <c r="R1144" s="163"/>
      <c r="S1144" s="163"/>
    </row>
    <row r="1145">
      <c r="A1145" s="179">
        <f t="shared" si="2"/>
        <v>1144</v>
      </c>
      <c r="B1145" s="180"/>
      <c r="C1145" s="180"/>
      <c r="D1145" s="180" t="s">
        <v>208</v>
      </c>
      <c r="E1145" s="180" t="s">
        <v>208</v>
      </c>
      <c r="F1145" s="180" t="s">
        <v>208</v>
      </c>
      <c r="G1145" s="180"/>
      <c r="H1145" s="180" t="s">
        <v>208</v>
      </c>
      <c r="I1145" s="181"/>
      <c r="J1145" s="181"/>
      <c r="K1145" s="182" t="s">
        <v>363</v>
      </c>
      <c r="R1145" s="163"/>
      <c r="S1145" s="163"/>
    </row>
    <row r="1146">
      <c r="A1146" s="179">
        <f t="shared" si="2"/>
        <v>1145</v>
      </c>
      <c r="B1146" s="180"/>
      <c r="C1146" s="180" t="s">
        <v>208</v>
      </c>
      <c r="D1146" s="180" t="s">
        <v>208</v>
      </c>
      <c r="E1146" s="180" t="s">
        <v>208</v>
      </c>
      <c r="F1146" s="180" t="s">
        <v>208</v>
      </c>
      <c r="G1146" s="180" t="s">
        <v>208</v>
      </c>
      <c r="H1146" s="181"/>
      <c r="I1146" s="181"/>
      <c r="J1146" s="180"/>
      <c r="K1146" s="182" t="s">
        <v>363</v>
      </c>
      <c r="R1146" s="163"/>
      <c r="S1146" s="163"/>
    </row>
    <row r="1147">
      <c r="A1147" s="179">
        <f t="shared" si="2"/>
        <v>1146</v>
      </c>
      <c r="B1147" s="180"/>
      <c r="C1147" s="180" t="s">
        <v>208</v>
      </c>
      <c r="D1147" s="180" t="s">
        <v>208</v>
      </c>
      <c r="E1147" s="180" t="s">
        <v>208</v>
      </c>
      <c r="F1147" s="180" t="s">
        <v>208</v>
      </c>
      <c r="G1147" s="180" t="s">
        <v>208</v>
      </c>
      <c r="H1147" s="181"/>
      <c r="I1147" s="181"/>
      <c r="J1147" s="181"/>
      <c r="K1147" s="182" t="s">
        <v>363</v>
      </c>
      <c r="R1147" s="163"/>
      <c r="S1147" s="163"/>
    </row>
    <row r="1148">
      <c r="A1148" s="179">
        <f t="shared" si="2"/>
        <v>1147</v>
      </c>
      <c r="B1148" s="180"/>
      <c r="C1148" s="180" t="s">
        <v>208</v>
      </c>
      <c r="D1148" s="180" t="s">
        <v>208</v>
      </c>
      <c r="E1148" s="180" t="s">
        <v>208</v>
      </c>
      <c r="F1148" s="180" t="s">
        <v>208</v>
      </c>
      <c r="G1148" s="180" t="s">
        <v>208</v>
      </c>
      <c r="H1148" s="181"/>
      <c r="I1148" s="181"/>
      <c r="J1148" s="181"/>
      <c r="K1148" s="182" t="s">
        <v>363</v>
      </c>
      <c r="R1148" s="163"/>
      <c r="S1148" s="163"/>
    </row>
    <row r="1149">
      <c r="A1149" s="179">
        <f t="shared" si="2"/>
        <v>1148</v>
      </c>
      <c r="B1149" s="180"/>
      <c r="C1149" s="180" t="s">
        <v>208</v>
      </c>
      <c r="D1149" s="180" t="s">
        <v>208</v>
      </c>
      <c r="E1149" s="180" t="s">
        <v>208</v>
      </c>
      <c r="F1149" s="180" t="s">
        <v>208</v>
      </c>
      <c r="G1149" s="180" t="s">
        <v>208</v>
      </c>
      <c r="H1149" s="181"/>
      <c r="I1149" s="181"/>
      <c r="J1149" s="181"/>
      <c r="K1149" s="182" t="s">
        <v>363</v>
      </c>
      <c r="R1149" s="163"/>
      <c r="S1149" s="163"/>
    </row>
    <row r="1150">
      <c r="A1150" s="179">
        <f t="shared" si="2"/>
        <v>1149</v>
      </c>
      <c r="B1150" s="180"/>
      <c r="C1150" s="180" t="s">
        <v>208</v>
      </c>
      <c r="D1150" s="180" t="s">
        <v>208</v>
      </c>
      <c r="E1150" s="180" t="s">
        <v>208</v>
      </c>
      <c r="F1150" s="180" t="s">
        <v>208</v>
      </c>
      <c r="G1150" s="180" t="s">
        <v>208</v>
      </c>
      <c r="H1150" s="181"/>
      <c r="I1150" s="181"/>
      <c r="J1150" s="181"/>
      <c r="K1150" s="182" t="s">
        <v>363</v>
      </c>
      <c r="R1150" s="163"/>
      <c r="S1150" s="163"/>
    </row>
    <row r="1151">
      <c r="A1151" s="179">
        <f t="shared" si="2"/>
        <v>1150</v>
      </c>
      <c r="B1151" s="180"/>
      <c r="C1151" s="180" t="s">
        <v>208</v>
      </c>
      <c r="D1151" s="180" t="s">
        <v>208</v>
      </c>
      <c r="E1151" s="180" t="s">
        <v>208</v>
      </c>
      <c r="F1151" s="180" t="s">
        <v>208</v>
      </c>
      <c r="G1151" s="180" t="s">
        <v>208</v>
      </c>
      <c r="H1151" s="180"/>
      <c r="I1151" s="181"/>
      <c r="J1151" s="181"/>
      <c r="K1151" s="182" t="s">
        <v>363</v>
      </c>
      <c r="R1151" s="163"/>
      <c r="S1151" s="163"/>
    </row>
    <row r="1152">
      <c r="A1152" s="179">
        <f t="shared" si="2"/>
        <v>1151</v>
      </c>
      <c r="B1152" s="180"/>
      <c r="C1152" s="180" t="s">
        <v>208</v>
      </c>
      <c r="D1152" s="180" t="s">
        <v>208</v>
      </c>
      <c r="E1152" s="180"/>
      <c r="F1152" s="180" t="s">
        <v>208</v>
      </c>
      <c r="G1152" s="180" t="s">
        <v>208</v>
      </c>
      <c r="H1152" s="181"/>
      <c r="I1152" s="181"/>
      <c r="J1152" s="180"/>
      <c r="K1152" s="182" t="s">
        <v>363</v>
      </c>
      <c r="R1152" s="173"/>
      <c r="S1152" s="173"/>
    </row>
    <row r="1153">
      <c r="A1153" s="179">
        <f t="shared" si="2"/>
        <v>1152</v>
      </c>
      <c r="B1153" s="180"/>
      <c r="C1153" s="180" t="s">
        <v>208</v>
      </c>
      <c r="D1153" s="180" t="s">
        <v>208</v>
      </c>
      <c r="E1153" s="180" t="s">
        <v>208</v>
      </c>
      <c r="F1153" s="180" t="s">
        <v>208</v>
      </c>
      <c r="G1153" s="180" t="s">
        <v>208</v>
      </c>
      <c r="H1153" s="181"/>
      <c r="I1153" s="181"/>
      <c r="J1153" s="180"/>
      <c r="K1153" s="182" t="s">
        <v>363</v>
      </c>
      <c r="R1153" s="157"/>
      <c r="S1153" s="157"/>
    </row>
    <row r="1154">
      <c r="A1154" s="179">
        <f t="shared" si="2"/>
        <v>1153</v>
      </c>
      <c r="B1154" s="180"/>
      <c r="C1154" s="180" t="s">
        <v>208</v>
      </c>
      <c r="D1154" s="180" t="s">
        <v>243</v>
      </c>
      <c r="E1154" s="180" t="s">
        <v>208</v>
      </c>
      <c r="F1154" s="180" t="s">
        <v>208</v>
      </c>
      <c r="G1154" s="180" t="s">
        <v>208</v>
      </c>
      <c r="H1154" s="181"/>
      <c r="I1154" s="181"/>
      <c r="J1154" s="180"/>
      <c r="K1154" s="182" t="s">
        <v>363</v>
      </c>
      <c r="R1154" s="163"/>
      <c r="S1154" s="163"/>
    </row>
    <row r="1155">
      <c r="A1155" s="179">
        <f t="shared" si="2"/>
        <v>1154</v>
      </c>
      <c r="B1155" s="180"/>
      <c r="C1155" s="180" t="s">
        <v>208</v>
      </c>
      <c r="D1155" s="180" t="s">
        <v>208</v>
      </c>
      <c r="E1155" s="180" t="s">
        <v>208</v>
      </c>
      <c r="F1155" s="180" t="s">
        <v>208</v>
      </c>
      <c r="G1155" s="180" t="s">
        <v>208</v>
      </c>
      <c r="H1155" s="185"/>
      <c r="I1155" s="181"/>
      <c r="J1155" s="180"/>
      <c r="K1155" s="182" t="s">
        <v>363</v>
      </c>
      <c r="R1155" s="163"/>
      <c r="S1155" s="163"/>
    </row>
    <row r="1156">
      <c r="A1156" s="179">
        <f t="shared" si="2"/>
        <v>1155</v>
      </c>
      <c r="B1156" s="180"/>
      <c r="C1156" s="180" t="s">
        <v>208</v>
      </c>
      <c r="D1156" s="180" t="s">
        <v>208</v>
      </c>
      <c r="E1156" s="180" t="s">
        <v>208</v>
      </c>
      <c r="F1156" s="180" t="s">
        <v>208</v>
      </c>
      <c r="G1156" s="180" t="s">
        <v>208</v>
      </c>
      <c r="H1156" s="185"/>
      <c r="I1156" s="181"/>
      <c r="J1156" s="180"/>
      <c r="K1156" s="182" t="s">
        <v>363</v>
      </c>
      <c r="R1156" s="163"/>
      <c r="S1156" s="163"/>
    </row>
    <row r="1157">
      <c r="A1157" s="179">
        <f t="shared" si="2"/>
        <v>1156</v>
      </c>
      <c r="B1157" s="180"/>
      <c r="C1157" s="180" t="s">
        <v>208</v>
      </c>
      <c r="D1157" s="180" t="s">
        <v>208</v>
      </c>
      <c r="E1157" s="180" t="s">
        <v>208</v>
      </c>
      <c r="F1157" s="180" t="s">
        <v>208</v>
      </c>
      <c r="G1157" s="180" t="s">
        <v>208</v>
      </c>
      <c r="H1157" s="185"/>
      <c r="I1157" s="181"/>
      <c r="J1157" s="180"/>
      <c r="K1157" s="182" t="s">
        <v>363</v>
      </c>
      <c r="R1157" s="163"/>
      <c r="S1157" s="163"/>
    </row>
    <row r="1158">
      <c r="A1158" s="179">
        <f t="shared" si="2"/>
        <v>1157</v>
      </c>
      <c r="B1158" s="180"/>
      <c r="C1158" s="180" t="s">
        <v>208</v>
      </c>
      <c r="D1158" s="180" t="s">
        <v>208</v>
      </c>
      <c r="E1158" s="180" t="s">
        <v>208</v>
      </c>
      <c r="F1158" s="180" t="s">
        <v>208</v>
      </c>
      <c r="G1158" s="180" t="s">
        <v>208</v>
      </c>
      <c r="H1158" s="185"/>
      <c r="I1158" s="181"/>
      <c r="J1158" s="180"/>
      <c r="K1158" s="182" t="s">
        <v>363</v>
      </c>
      <c r="R1158" s="163"/>
      <c r="S1158" s="163"/>
    </row>
    <row r="1159">
      <c r="A1159" s="179">
        <f t="shared" si="2"/>
        <v>1158</v>
      </c>
      <c r="B1159" s="180"/>
      <c r="C1159" s="180" t="s">
        <v>208</v>
      </c>
      <c r="D1159" s="180" t="s">
        <v>208</v>
      </c>
      <c r="E1159" s="180" t="s">
        <v>208</v>
      </c>
      <c r="F1159" s="180" t="s">
        <v>208</v>
      </c>
      <c r="G1159" s="180" t="s">
        <v>208</v>
      </c>
      <c r="H1159" s="185"/>
      <c r="I1159" s="181"/>
      <c r="J1159" s="180"/>
      <c r="K1159" s="182" t="s">
        <v>363</v>
      </c>
      <c r="R1159" s="163"/>
      <c r="S1159" s="163"/>
    </row>
    <row r="1160">
      <c r="A1160" s="179">
        <f t="shared" si="2"/>
        <v>1159</v>
      </c>
      <c r="B1160" s="180"/>
      <c r="C1160" s="180" t="s">
        <v>208</v>
      </c>
      <c r="D1160" s="180" t="s">
        <v>208</v>
      </c>
      <c r="E1160" s="180" t="s">
        <v>208</v>
      </c>
      <c r="F1160" s="180" t="s">
        <v>208</v>
      </c>
      <c r="G1160" s="180" t="s">
        <v>208</v>
      </c>
      <c r="H1160" s="185"/>
      <c r="I1160" s="181"/>
      <c r="J1160" s="180"/>
      <c r="K1160" s="182" t="s">
        <v>363</v>
      </c>
      <c r="R1160" s="163"/>
      <c r="S1160" s="163"/>
    </row>
    <row r="1161">
      <c r="A1161" s="179">
        <f t="shared" si="2"/>
        <v>1160</v>
      </c>
      <c r="B1161" s="180"/>
      <c r="C1161" s="180" t="s">
        <v>208</v>
      </c>
      <c r="D1161" s="180" t="s">
        <v>208</v>
      </c>
      <c r="E1161" s="180" t="s">
        <v>208</v>
      </c>
      <c r="F1161" s="180" t="s">
        <v>208</v>
      </c>
      <c r="G1161" s="180" t="s">
        <v>208</v>
      </c>
      <c r="H1161" s="181"/>
      <c r="I1161" s="181"/>
      <c r="J1161" s="181"/>
      <c r="K1161" s="182" t="s">
        <v>363</v>
      </c>
      <c r="R1161" s="163"/>
      <c r="S1161" s="163"/>
    </row>
    <row r="1162">
      <c r="A1162" s="179">
        <f t="shared" si="2"/>
        <v>1161</v>
      </c>
      <c r="B1162" s="180"/>
      <c r="C1162" s="180" t="s">
        <v>208</v>
      </c>
      <c r="D1162" s="180" t="s">
        <v>208</v>
      </c>
      <c r="E1162" s="180" t="s">
        <v>208</v>
      </c>
      <c r="F1162" s="180" t="s">
        <v>208</v>
      </c>
      <c r="G1162" s="180" t="s">
        <v>208</v>
      </c>
      <c r="H1162" s="181"/>
      <c r="I1162" s="181"/>
      <c r="J1162" s="181"/>
      <c r="K1162" s="182" t="s">
        <v>363</v>
      </c>
      <c r="R1162" s="163"/>
      <c r="S1162" s="163"/>
    </row>
    <row r="1163">
      <c r="A1163" s="179">
        <f t="shared" si="2"/>
        <v>1162</v>
      </c>
      <c r="B1163" s="180"/>
      <c r="C1163" s="180" t="s">
        <v>208</v>
      </c>
      <c r="D1163" s="180" t="s">
        <v>208</v>
      </c>
      <c r="E1163" s="180" t="s">
        <v>208</v>
      </c>
      <c r="F1163" s="180" t="s">
        <v>208</v>
      </c>
      <c r="G1163" s="180" t="s">
        <v>208</v>
      </c>
      <c r="H1163" s="181"/>
      <c r="I1163" s="181"/>
      <c r="J1163" s="181"/>
      <c r="K1163" s="182" t="s">
        <v>363</v>
      </c>
      <c r="R1163" s="163"/>
      <c r="S1163" s="163"/>
    </row>
    <row r="1164">
      <c r="A1164" s="179">
        <f t="shared" si="2"/>
        <v>1163</v>
      </c>
      <c r="B1164" s="180"/>
      <c r="C1164" s="180" t="s">
        <v>208</v>
      </c>
      <c r="D1164" s="180" t="s">
        <v>208</v>
      </c>
      <c r="E1164" s="180" t="s">
        <v>208</v>
      </c>
      <c r="F1164" s="180" t="s">
        <v>208</v>
      </c>
      <c r="G1164" s="180" t="s">
        <v>208</v>
      </c>
      <c r="H1164" s="181"/>
      <c r="I1164" s="181"/>
      <c r="J1164" s="181"/>
      <c r="K1164" s="182" t="s">
        <v>363</v>
      </c>
      <c r="R1164" s="173"/>
      <c r="S1164" s="173"/>
    </row>
    <row r="1165">
      <c r="A1165" s="179">
        <f t="shared" si="2"/>
        <v>1164</v>
      </c>
      <c r="B1165" s="180"/>
      <c r="C1165" s="180" t="s">
        <v>208</v>
      </c>
      <c r="D1165" s="180" t="s">
        <v>208</v>
      </c>
      <c r="E1165" s="180" t="s">
        <v>208</v>
      </c>
      <c r="F1165" s="180" t="s">
        <v>208</v>
      </c>
      <c r="G1165" s="180" t="s">
        <v>208</v>
      </c>
      <c r="H1165" s="180"/>
      <c r="I1165" s="181"/>
      <c r="J1165" s="181"/>
      <c r="K1165" s="182" t="s">
        <v>363</v>
      </c>
      <c r="R1165" s="157"/>
      <c r="S1165" s="157"/>
    </row>
    <row r="1166">
      <c r="A1166" s="179">
        <f t="shared" si="2"/>
        <v>1165</v>
      </c>
      <c r="B1166" s="181"/>
      <c r="C1166" s="180" t="s">
        <v>208</v>
      </c>
      <c r="D1166" s="180" t="s">
        <v>208</v>
      </c>
      <c r="E1166" s="180" t="s">
        <v>208</v>
      </c>
      <c r="F1166" s="180" t="s">
        <v>208</v>
      </c>
      <c r="G1166" s="180" t="s">
        <v>208</v>
      </c>
      <c r="H1166" s="181"/>
      <c r="I1166" s="181"/>
      <c r="J1166" s="181"/>
      <c r="K1166" s="182" t="s">
        <v>363</v>
      </c>
      <c r="R1166" s="163"/>
      <c r="S1166" s="163"/>
    </row>
    <row r="1167">
      <c r="A1167" s="179">
        <f t="shared" si="2"/>
        <v>1166</v>
      </c>
      <c r="B1167" s="180"/>
      <c r="C1167" s="180" t="s">
        <v>208</v>
      </c>
      <c r="D1167" s="180" t="s">
        <v>208</v>
      </c>
      <c r="E1167" s="180" t="s">
        <v>208</v>
      </c>
      <c r="F1167" s="180" t="s">
        <v>208</v>
      </c>
      <c r="G1167" s="180" t="s">
        <v>208</v>
      </c>
      <c r="H1167" s="181"/>
      <c r="I1167" s="181"/>
      <c r="J1167" s="181"/>
      <c r="K1167" s="182" t="s">
        <v>363</v>
      </c>
      <c r="R1167" s="163"/>
      <c r="S1167" s="163"/>
    </row>
    <row r="1168">
      <c r="A1168" s="179">
        <f t="shared" si="2"/>
        <v>1167</v>
      </c>
      <c r="B1168" s="180"/>
      <c r="C1168" s="180" t="s">
        <v>208</v>
      </c>
      <c r="D1168" s="180" t="s">
        <v>208</v>
      </c>
      <c r="E1168" s="180" t="s">
        <v>208</v>
      </c>
      <c r="F1168" s="180" t="s">
        <v>208</v>
      </c>
      <c r="G1168" s="180" t="s">
        <v>208</v>
      </c>
      <c r="H1168" s="181"/>
      <c r="I1168" s="181"/>
      <c r="J1168" s="181"/>
      <c r="K1168" s="182" t="s">
        <v>363</v>
      </c>
      <c r="R1168" s="163"/>
      <c r="S1168" s="163"/>
    </row>
    <row r="1169">
      <c r="A1169" s="179">
        <f t="shared" si="2"/>
        <v>1168</v>
      </c>
      <c r="B1169" s="180"/>
      <c r="C1169" s="180" t="s">
        <v>208</v>
      </c>
      <c r="D1169" s="180" t="s">
        <v>208</v>
      </c>
      <c r="E1169" s="180" t="s">
        <v>208</v>
      </c>
      <c r="F1169" s="180" t="s">
        <v>208</v>
      </c>
      <c r="G1169" s="180" t="s">
        <v>208</v>
      </c>
      <c r="H1169" s="181"/>
      <c r="I1169" s="181"/>
      <c r="J1169" s="181"/>
      <c r="K1169" s="182" t="s">
        <v>363</v>
      </c>
      <c r="R1169" s="163"/>
      <c r="S1169" s="163"/>
    </row>
    <row r="1170">
      <c r="A1170" s="179">
        <f t="shared" si="2"/>
        <v>1169</v>
      </c>
      <c r="B1170" s="180"/>
      <c r="C1170" s="180" t="s">
        <v>208</v>
      </c>
      <c r="D1170" s="180" t="s">
        <v>243</v>
      </c>
      <c r="E1170" s="180" t="s">
        <v>208</v>
      </c>
      <c r="F1170" s="180" t="s">
        <v>208</v>
      </c>
      <c r="G1170" s="180" t="s">
        <v>208</v>
      </c>
      <c r="H1170" s="181"/>
      <c r="I1170" s="181"/>
      <c r="J1170" s="181"/>
      <c r="K1170" s="182" t="s">
        <v>363</v>
      </c>
      <c r="R1170" s="163"/>
      <c r="S1170" s="163"/>
    </row>
    <row r="1171">
      <c r="A1171" s="179">
        <f t="shared" si="2"/>
        <v>1170</v>
      </c>
      <c r="B1171" s="180"/>
      <c r="C1171" s="180"/>
      <c r="D1171" s="180" t="s">
        <v>208</v>
      </c>
      <c r="E1171" s="180" t="s">
        <v>208</v>
      </c>
      <c r="F1171" s="180" t="s">
        <v>208</v>
      </c>
      <c r="G1171" s="180"/>
      <c r="H1171" s="180" t="s">
        <v>208</v>
      </c>
      <c r="I1171" s="181"/>
      <c r="J1171" s="180"/>
      <c r="K1171" s="182" t="s">
        <v>363</v>
      </c>
      <c r="R1171" s="163"/>
      <c r="S1171" s="163"/>
    </row>
    <row r="1172">
      <c r="A1172" s="179">
        <f t="shared" si="2"/>
        <v>1171</v>
      </c>
      <c r="B1172" s="180"/>
      <c r="C1172" s="180" t="s">
        <v>208</v>
      </c>
      <c r="D1172" s="180" t="s">
        <v>208</v>
      </c>
      <c r="E1172" s="180" t="s">
        <v>208</v>
      </c>
      <c r="F1172" s="180" t="s">
        <v>208</v>
      </c>
      <c r="G1172" s="180" t="s">
        <v>208</v>
      </c>
      <c r="H1172" s="181"/>
      <c r="I1172" s="181"/>
      <c r="J1172" s="181"/>
      <c r="K1172" s="182" t="s">
        <v>363</v>
      </c>
      <c r="R1172" s="163"/>
      <c r="S1172" s="163"/>
    </row>
    <row r="1173">
      <c r="A1173" s="179">
        <f t="shared" si="2"/>
        <v>1172</v>
      </c>
      <c r="B1173" s="180"/>
      <c r="C1173" s="180"/>
      <c r="D1173" s="180" t="s">
        <v>208</v>
      </c>
      <c r="E1173" s="180" t="s">
        <v>208</v>
      </c>
      <c r="F1173" s="180" t="s">
        <v>208</v>
      </c>
      <c r="G1173" s="180"/>
      <c r="H1173" s="180" t="s">
        <v>208</v>
      </c>
      <c r="I1173" s="181"/>
      <c r="J1173" s="181"/>
      <c r="K1173" s="182" t="s">
        <v>363</v>
      </c>
      <c r="R1173" s="163"/>
      <c r="S1173" s="163"/>
    </row>
    <row r="1174">
      <c r="A1174" s="179">
        <f t="shared" si="2"/>
        <v>1173</v>
      </c>
      <c r="B1174" s="180"/>
      <c r="C1174" s="180" t="s">
        <v>208</v>
      </c>
      <c r="D1174" s="180" t="s">
        <v>208</v>
      </c>
      <c r="E1174" s="180" t="s">
        <v>208</v>
      </c>
      <c r="F1174" s="180" t="s">
        <v>208</v>
      </c>
      <c r="G1174" s="180" t="s">
        <v>208</v>
      </c>
      <c r="H1174" s="181"/>
      <c r="I1174" s="181"/>
      <c r="J1174" s="181"/>
      <c r="K1174" s="182" t="s">
        <v>363</v>
      </c>
      <c r="R1174" s="163"/>
      <c r="S1174" s="163"/>
    </row>
    <row r="1175">
      <c r="A1175" s="179">
        <f t="shared" si="2"/>
        <v>1174</v>
      </c>
      <c r="B1175" s="180"/>
      <c r="C1175" s="180" t="s">
        <v>208</v>
      </c>
      <c r="D1175" s="180" t="s">
        <v>208</v>
      </c>
      <c r="E1175" s="180" t="s">
        <v>208</v>
      </c>
      <c r="F1175" s="180" t="s">
        <v>208</v>
      </c>
      <c r="G1175" s="180" t="s">
        <v>208</v>
      </c>
      <c r="H1175" s="181"/>
      <c r="I1175" s="181"/>
      <c r="J1175" s="181"/>
      <c r="K1175" s="182" t="s">
        <v>363</v>
      </c>
      <c r="R1175" s="163"/>
      <c r="S1175" s="163"/>
    </row>
    <row r="1176">
      <c r="A1176" s="179">
        <f t="shared" si="2"/>
        <v>1175</v>
      </c>
      <c r="B1176" s="181"/>
      <c r="C1176" s="180" t="s">
        <v>208</v>
      </c>
      <c r="D1176" s="180" t="s">
        <v>208</v>
      </c>
      <c r="E1176" s="180" t="s">
        <v>208</v>
      </c>
      <c r="F1176" s="180" t="s">
        <v>208</v>
      </c>
      <c r="G1176" s="180" t="s">
        <v>208</v>
      </c>
      <c r="H1176" s="180"/>
      <c r="I1176" s="181"/>
      <c r="J1176" s="181"/>
      <c r="K1176" s="182" t="s">
        <v>363</v>
      </c>
      <c r="R1176" s="173"/>
      <c r="S1176" s="173"/>
    </row>
    <row r="1177">
      <c r="A1177" s="179">
        <f t="shared" si="2"/>
        <v>1176</v>
      </c>
      <c r="B1177" s="180"/>
      <c r="C1177" s="180" t="s">
        <v>208</v>
      </c>
      <c r="D1177" s="180" t="s">
        <v>208</v>
      </c>
      <c r="E1177" s="180" t="s">
        <v>208</v>
      </c>
      <c r="F1177" s="180" t="s">
        <v>208</v>
      </c>
      <c r="G1177" s="180" t="s">
        <v>208</v>
      </c>
      <c r="H1177" s="181"/>
      <c r="I1177" s="181"/>
      <c r="J1177" s="181"/>
      <c r="K1177" s="182" t="s">
        <v>363</v>
      </c>
      <c r="R1177" s="157"/>
      <c r="S1177" s="157"/>
    </row>
    <row r="1178">
      <c r="A1178" s="179">
        <f t="shared" si="2"/>
        <v>1177</v>
      </c>
      <c r="B1178" s="180"/>
      <c r="C1178" s="180"/>
      <c r="D1178" s="180" t="s">
        <v>208</v>
      </c>
      <c r="E1178" s="180" t="s">
        <v>208</v>
      </c>
      <c r="F1178" s="180" t="s">
        <v>208</v>
      </c>
      <c r="G1178" s="180"/>
      <c r="H1178" s="180" t="s">
        <v>208</v>
      </c>
      <c r="I1178" s="181"/>
      <c r="J1178" s="181"/>
      <c r="K1178" s="182" t="s">
        <v>363</v>
      </c>
      <c r="R1178" s="163"/>
      <c r="S1178" s="163"/>
    </row>
    <row r="1179">
      <c r="A1179" s="179">
        <f t="shared" si="2"/>
        <v>1178</v>
      </c>
      <c r="B1179" s="180"/>
      <c r="C1179" s="180" t="s">
        <v>208</v>
      </c>
      <c r="D1179" s="180" t="s">
        <v>208</v>
      </c>
      <c r="E1179" s="180" t="s">
        <v>208</v>
      </c>
      <c r="F1179" s="180" t="s">
        <v>208</v>
      </c>
      <c r="G1179" s="180" t="s">
        <v>208</v>
      </c>
      <c r="H1179" s="181"/>
      <c r="I1179" s="181"/>
      <c r="J1179" s="181"/>
      <c r="K1179" s="182" t="s">
        <v>363</v>
      </c>
      <c r="R1179" s="163"/>
      <c r="S1179" s="163"/>
    </row>
    <row r="1180">
      <c r="A1180" s="179">
        <f t="shared" si="2"/>
        <v>1179</v>
      </c>
      <c r="B1180" s="181"/>
      <c r="C1180" s="180" t="s">
        <v>208</v>
      </c>
      <c r="D1180" s="180" t="s">
        <v>208</v>
      </c>
      <c r="E1180" s="180" t="s">
        <v>208</v>
      </c>
      <c r="F1180" s="180" t="s">
        <v>208</v>
      </c>
      <c r="G1180" s="180" t="s">
        <v>208</v>
      </c>
      <c r="H1180" s="180"/>
      <c r="I1180" s="181"/>
      <c r="J1180" s="180"/>
      <c r="K1180" s="182" t="s">
        <v>363</v>
      </c>
      <c r="R1180" s="163"/>
      <c r="S1180" s="163"/>
    </row>
    <row r="1181">
      <c r="A1181" s="179">
        <f t="shared" si="2"/>
        <v>1180</v>
      </c>
      <c r="B1181" s="180"/>
      <c r="C1181" s="180" t="s">
        <v>208</v>
      </c>
      <c r="D1181" s="180" t="s">
        <v>208</v>
      </c>
      <c r="E1181" s="180" t="s">
        <v>208</v>
      </c>
      <c r="F1181" s="180" t="s">
        <v>208</v>
      </c>
      <c r="G1181" s="180" t="s">
        <v>208</v>
      </c>
      <c r="H1181" s="181"/>
      <c r="I1181" s="181"/>
      <c r="J1181" s="180"/>
      <c r="K1181" s="182" t="s">
        <v>363</v>
      </c>
      <c r="R1181" s="163"/>
      <c r="S1181" s="163"/>
    </row>
    <row r="1182">
      <c r="A1182" s="179">
        <f t="shared" si="2"/>
        <v>1181</v>
      </c>
      <c r="B1182" s="180"/>
      <c r="C1182" s="180" t="s">
        <v>208</v>
      </c>
      <c r="D1182" s="180" t="s">
        <v>243</v>
      </c>
      <c r="E1182" s="180" t="s">
        <v>208</v>
      </c>
      <c r="F1182" s="180" t="s">
        <v>243</v>
      </c>
      <c r="G1182" s="180" t="s">
        <v>208</v>
      </c>
      <c r="H1182" s="181"/>
      <c r="I1182" s="181"/>
      <c r="J1182" s="180"/>
      <c r="K1182" s="182" t="s">
        <v>363</v>
      </c>
      <c r="R1182" s="163"/>
      <c r="S1182" s="163"/>
    </row>
    <row r="1183">
      <c r="A1183" s="179">
        <f t="shared" si="2"/>
        <v>1182</v>
      </c>
      <c r="B1183" s="180"/>
      <c r="C1183" s="180"/>
      <c r="D1183" s="180"/>
      <c r="E1183" s="180"/>
      <c r="F1183" s="180"/>
      <c r="G1183" s="181"/>
      <c r="H1183" s="180"/>
      <c r="I1183" s="181"/>
      <c r="J1183" s="180" t="s">
        <v>242</v>
      </c>
      <c r="K1183" s="182" t="s">
        <v>363</v>
      </c>
      <c r="R1183" s="163"/>
      <c r="S1183" s="163"/>
    </row>
    <row r="1184">
      <c r="A1184" s="179">
        <f t="shared" si="2"/>
        <v>1183</v>
      </c>
      <c r="B1184" s="180"/>
      <c r="C1184" s="180"/>
      <c r="D1184" s="180"/>
      <c r="E1184" s="180"/>
      <c r="F1184" s="180"/>
      <c r="G1184" s="180"/>
      <c r="H1184" s="185"/>
      <c r="I1184" s="181"/>
      <c r="J1184" s="180" t="s">
        <v>242</v>
      </c>
      <c r="K1184" s="182" t="s">
        <v>363</v>
      </c>
      <c r="R1184" s="163"/>
      <c r="S1184" s="163"/>
    </row>
    <row r="1185">
      <c r="A1185" s="179">
        <f t="shared" si="2"/>
        <v>1184</v>
      </c>
      <c r="B1185" s="180"/>
      <c r="C1185" s="180"/>
      <c r="D1185" s="180" t="s">
        <v>208</v>
      </c>
      <c r="E1185" s="180" t="s">
        <v>208</v>
      </c>
      <c r="F1185" s="180" t="s">
        <v>208</v>
      </c>
      <c r="G1185" s="181"/>
      <c r="H1185" s="180" t="s">
        <v>208</v>
      </c>
      <c r="I1185" s="181"/>
      <c r="J1185" s="181"/>
      <c r="K1185" s="182" t="s">
        <v>363</v>
      </c>
      <c r="R1185" s="163"/>
      <c r="S1185" s="163"/>
    </row>
    <row r="1186">
      <c r="A1186" s="179">
        <f t="shared" si="2"/>
        <v>1185</v>
      </c>
      <c r="B1186" s="180"/>
      <c r="C1186" s="180" t="s">
        <v>208</v>
      </c>
      <c r="D1186" s="180" t="s">
        <v>208</v>
      </c>
      <c r="E1186" s="180" t="s">
        <v>208</v>
      </c>
      <c r="F1186" s="180" t="s">
        <v>208</v>
      </c>
      <c r="G1186" s="180" t="s">
        <v>208</v>
      </c>
      <c r="H1186" s="181"/>
      <c r="I1186" s="181"/>
      <c r="J1186" s="181"/>
      <c r="K1186" s="182" t="s">
        <v>363</v>
      </c>
      <c r="R1186" s="163"/>
      <c r="S1186" s="163"/>
    </row>
    <row r="1187">
      <c r="A1187" s="179">
        <f t="shared" si="2"/>
        <v>1186</v>
      </c>
      <c r="B1187" s="181"/>
      <c r="C1187" s="180" t="s">
        <v>208</v>
      </c>
      <c r="D1187" s="180" t="s">
        <v>208</v>
      </c>
      <c r="E1187" s="180" t="s">
        <v>208</v>
      </c>
      <c r="F1187" s="180" t="s">
        <v>208</v>
      </c>
      <c r="G1187" s="180" t="s">
        <v>208</v>
      </c>
      <c r="H1187" s="180"/>
      <c r="I1187" s="181"/>
      <c r="J1187" s="180"/>
      <c r="K1187" s="182" t="s">
        <v>363</v>
      </c>
      <c r="R1187" s="163"/>
      <c r="S1187" s="163"/>
    </row>
    <row r="1188">
      <c r="A1188" s="179">
        <f t="shared" si="2"/>
        <v>1187</v>
      </c>
      <c r="B1188" s="180"/>
      <c r="C1188" s="180" t="s">
        <v>208</v>
      </c>
      <c r="D1188" s="180" t="s">
        <v>208</v>
      </c>
      <c r="E1188" s="180"/>
      <c r="F1188" s="180" t="s">
        <v>208</v>
      </c>
      <c r="G1188" s="180" t="s">
        <v>208</v>
      </c>
      <c r="H1188" s="180"/>
      <c r="I1188" s="181"/>
      <c r="J1188" s="181"/>
      <c r="K1188" s="182" t="s">
        <v>363</v>
      </c>
      <c r="R1188" s="173"/>
      <c r="S1188" s="173"/>
    </row>
    <row r="1189">
      <c r="A1189" s="179">
        <f t="shared" si="2"/>
        <v>1188</v>
      </c>
      <c r="B1189" s="180"/>
      <c r="C1189" s="180"/>
      <c r="D1189" s="180"/>
      <c r="E1189" s="180"/>
      <c r="F1189" s="180"/>
      <c r="G1189" s="180"/>
      <c r="H1189" s="181"/>
      <c r="I1189" s="181"/>
      <c r="J1189" s="180" t="s">
        <v>242</v>
      </c>
      <c r="K1189" s="182" t="s">
        <v>363</v>
      </c>
      <c r="R1189" s="157"/>
      <c r="S1189" s="157"/>
    </row>
    <row r="1190">
      <c r="A1190" s="179">
        <f t="shared" si="2"/>
        <v>1189</v>
      </c>
      <c r="B1190" s="181"/>
      <c r="C1190" s="180"/>
      <c r="D1190" s="180"/>
      <c r="E1190" s="180"/>
      <c r="F1190" s="180"/>
      <c r="G1190" s="180"/>
      <c r="H1190" s="180"/>
      <c r="I1190" s="181"/>
      <c r="J1190" s="180" t="s">
        <v>242</v>
      </c>
      <c r="K1190" s="182" t="s">
        <v>363</v>
      </c>
      <c r="R1190" s="163"/>
      <c r="S1190" s="163"/>
    </row>
    <row r="1191">
      <c r="A1191" s="179">
        <f t="shared" si="2"/>
        <v>1190</v>
      </c>
      <c r="B1191" s="180"/>
      <c r="C1191" s="180"/>
      <c r="D1191" s="180"/>
      <c r="E1191" s="180"/>
      <c r="F1191" s="180"/>
      <c r="G1191" s="180"/>
      <c r="H1191" s="181"/>
      <c r="I1191" s="181"/>
      <c r="J1191" s="180" t="s">
        <v>242</v>
      </c>
      <c r="K1191" s="182" t="s">
        <v>363</v>
      </c>
      <c r="R1191" s="163"/>
      <c r="S1191" s="163"/>
    </row>
    <row r="1192">
      <c r="A1192" s="179">
        <f t="shared" si="2"/>
        <v>1191</v>
      </c>
      <c r="B1192" s="180"/>
      <c r="C1192" s="180"/>
      <c r="D1192" s="180"/>
      <c r="E1192" s="180"/>
      <c r="F1192" s="180"/>
      <c r="G1192" s="180"/>
      <c r="H1192" s="181"/>
      <c r="I1192" s="181"/>
      <c r="J1192" s="180" t="s">
        <v>242</v>
      </c>
      <c r="K1192" s="182" t="s">
        <v>363</v>
      </c>
      <c r="R1192" s="163"/>
      <c r="S1192" s="163"/>
    </row>
    <row r="1193">
      <c r="A1193" s="179">
        <f t="shared" si="2"/>
        <v>1192</v>
      </c>
      <c r="B1193" s="180"/>
      <c r="C1193" s="180"/>
      <c r="D1193" s="180"/>
      <c r="E1193" s="180"/>
      <c r="F1193" s="180"/>
      <c r="G1193" s="180"/>
      <c r="H1193" s="181"/>
      <c r="I1193" s="181"/>
      <c r="J1193" s="180" t="s">
        <v>242</v>
      </c>
      <c r="K1193" s="182" t="s">
        <v>363</v>
      </c>
      <c r="R1193" s="163"/>
      <c r="S1193" s="163"/>
    </row>
    <row r="1194">
      <c r="A1194" s="179">
        <f t="shared" si="2"/>
        <v>1193</v>
      </c>
      <c r="B1194" s="180"/>
      <c r="C1194" s="180"/>
      <c r="D1194" s="180"/>
      <c r="E1194" s="180"/>
      <c r="F1194" s="180"/>
      <c r="G1194" s="180"/>
      <c r="H1194" s="180"/>
      <c r="I1194" s="181"/>
      <c r="J1194" s="180" t="s">
        <v>242</v>
      </c>
      <c r="K1194" s="182" t="s">
        <v>363</v>
      </c>
      <c r="R1194" s="163"/>
      <c r="S1194" s="163"/>
    </row>
    <row r="1195">
      <c r="A1195" s="179">
        <f t="shared" si="2"/>
        <v>1194</v>
      </c>
      <c r="B1195" s="180"/>
      <c r="C1195" s="180" t="s">
        <v>208</v>
      </c>
      <c r="D1195" s="180" t="s">
        <v>208</v>
      </c>
      <c r="E1195" s="180" t="s">
        <v>208</v>
      </c>
      <c r="F1195" s="180" t="s">
        <v>208</v>
      </c>
      <c r="G1195" s="180" t="s">
        <v>208</v>
      </c>
      <c r="H1195" s="181"/>
      <c r="I1195" s="181"/>
      <c r="J1195" s="181"/>
      <c r="K1195" s="182" t="s">
        <v>363</v>
      </c>
      <c r="R1195" s="163"/>
      <c r="S1195" s="163"/>
    </row>
    <row r="1196">
      <c r="A1196" s="179">
        <f t="shared" si="2"/>
        <v>1195</v>
      </c>
      <c r="B1196" s="180"/>
      <c r="C1196" s="180" t="s">
        <v>208</v>
      </c>
      <c r="D1196" s="180" t="s">
        <v>208</v>
      </c>
      <c r="E1196" s="180" t="s">
        <v>208</v>
      </c>
      <c r="F1196" s="180" t="s">
        <v>208</v>
      </c>
      <c r="G1196" s="180" t="s">
        <v>208</v>
      </c>
      <c r="H1196" s="180"/>
      <c r="I1196" s="181"/>
      <c r="J1196" s="181"/>
      <c r="K1196" s="182" t="s">
        <v>363</v>
      </c>
      <c r="R1196" s="163"/>
      <c r="S1196" s="163"/>
    </row>
    <row r="1197">
      <c r="A1197" s="179">
        <f t="shared" si="2"/>
        <v>1196</v>
      </c>
      <c r="B1197" s="180"/>
      <c r="C1197" s="180" t="s">
        <v>208</v>
      </c>
      <c r="D1197" s="180" t="s">
        <v>208</v>
      </c>
      <c r="E1197" s="180" t="s">
        <v>208</v>
      </c>
      <c r="F1197" s="180" t="s">
        <v>208</v>
      </c>
      <c r="G1197" s="180" t="s">
        <v>208</v>
      </c>
      <c r="H1197" s="181"/>
      <c r="I1197" s="181"/>
      <c r="J1197" s="181"/>
      <c r="K1197" s="182" t="s">
        <v>363</v>
      </c>
      <c r="R1197" s="163"/>
      <c r="S1197" s="163"/>
    </row>
    <row r="1198">
      <c r="A1198" s="179">
        <f t="shared" si="2"/>
        <v>1197</v>
      </c>
      <c r="B1198" s="180"/>
      <c r="C1198" s="180" t="s">
        <v>208</v>
      </c>
      <c r="D1198" s="180" t="s">
        <v>208</v>
      </c>
      <c r="E1198" s="180" t="s">
        <v>208</v>
      </c>
      <c r="F1198" s="180" t="s">
        <v>208</v>
      </c>
      <c r="G1198" s="180" t="s">
        <v>208</v>
      </c>
      <c r="H1198" s="181"/>
      <c r="I1198" s="181"/>
      <c r="J1198" s="181"/>
      <c r="K1198" s="182" t="s">
        <v>363</v>
      </c>
      <c r="R1198" s="163"/>
      <c r="S1198" s="163"/>
    </row>
    <row r="1199">
      <c r="A1199" s="179">
        <f t="shared" si="2"/>
        <v>1198</v>
      </c>
      <c r="B1199" s="180"/>
      <c r="C1199" s="180"/>
      <c r="D1199" s="180"/>
      <c r="E1199" s="180"/>
      <c r="F1199" s="180"/>
      <c r="G1199" s="180"/>
      <c r="H1199" s="181"/>
      <c r="I1199" s="181"/>
      <c r="J1199" s="180" t="s">
        <v>242</v>
      </c>
      <c r="K1199" s="182" t="s">
        <v>363</v>
      </c>
      <c r="R1199" s="163"/>
      <c r="S1199" s="163"/>
    </row>
    <row r="1200">
      <c r="A1200" s="179">
        <f t="shared" si="2"/>
        <v>1199</v>
      </c>
      <c r="B1200" s="180"/>
      <c r="C1200" s="180" t="s">
        <v>208</v>
      </c>
      <c r="D1200" s="180" t="s">
        <v>243</v>
      </c>
      <c r="E1200" s="180"/>
      <c r="F1200" s="180" t="s">
        <v>208</v>
      </c>
      <c r="G1200" s="180" t="s">
        <v>208</v>
      </c>
      <c r="H1200" s="181"/>
      <c r="I1200" s="181"/>
      <c r="J1200" s="181"/>
      <c r="K1200" s="182" t="s">
        <v>363</v>
      </c>
      <c r="R1200" s="173"/>
      <c r="S1200" s="173"/>
    </row>
    <row r="1201">
      <c r="A1201" s="179">
        <f t="shared" si="2"/>
        <v>1200</v>
      </c>
      <c r="B1201" s="180"/>
      <c r="C1201" s="180" t="s">
        <v>208</v>
      </c>
      <c r="D1201" s="180" t="s">
        <v>243</v>
      </c>
      <c r="E1201" s="180" t="s">
        <v>208</v>
      </c>
      <c r="F1201" s="180" t="s">
        <v>208</v>
      </c>
      <c r="G1201" s="180" t="s">
        <v>208</v>
      </c>
      <c r="H1201" s="181"/>
      <c r="I1201" s="181"/>
      <c r="J1201" s="181"/>
      <c r="K1201" s="182" t="s">
        <v>363</v>
      </c>
      <c r="R1201" s="157"/>
      <c r="S1201" s="157"/>
    </row>
    <row r="1202">
      <c r="A1202" s="179">
        <f t="shared" si="2"/>
        <v>1201</v>
      </c>
      <c r="B1202" s="180"/>
      <c r="C1202" s="180" t="s">
        <v>208</v>
      </c>
      <c r="D1202" s="180" t="s">
        <v>208</v>
      </c>
      <c r="E1202" s="180" t="s">
        <v>208</v>
      </c>
      <c r="F1202" s="180" t="s">
        <v>208</v>
      </c>
      <c r="G1202" s="180" t="s">
        <v>208</v>
      </c>
      <c r="H1202" s="181"/>
      <c r="I1202" s="181"/>
      <c r="J1202" s="181"/>
      <c r="K1202" s="182" t="s">
        <v>363</v>
      </c>
      <c r="R1202" s="163"/>
      <c r="S1202" s="163"/>
    </row>
    <row r="1203">
      <c r="A1203" s="179">
        <f t="shared" si="2"/>
        <v>1202</v>
      </c>
      <c r="B1203" s="180"/>
      <c r="C1203" s="180" t="s">
        <v>208</v>
      </c>
      <c r="D1203" s="180" t="s">
        <v>208</v>
      </c>
      <c r="E1203" s="180" t="s">
        <v>208</v>
      </c>
      <c r="F1203" s="180" t="s">
        <v>208</v>
      </c>
      <c r="G1203" s="180" t="s">
        <v>208</v>
      </c>
      <c r="H1203" s="181"/>
      <c r="I1203" s="181"/>
      <c r="J1203" s="181"/>
      <c r="K1203" s="182" t="s">
        <v>363</v>
      </c>
      <c r="R1203" s="163"/>
      <c r="S1203" s="163"/>
    </row>
    <row r="1204">
      <c r="A1204" s="179">
        <f t="shared" si="2"/>
        <v>1203</v>
      </c>
      <c r="B1204" s="180"/>
      <c r="C1204" s="180" t="s">
        <v>208</v>
      </c>
      <c r="D1204" s="180" t="s">
        <v>208</v>
      </c>
      <c r="E1204" s="180" t="s">
        <v>208</v>
      </c>
      <c r="F1204" s="180" t="s">
        <v>208</v>
      </c>
      <c r="G1204" s="180" t="s">
        <v>208</v>
      </c>
      <c r="H1204" s="181"/>
      <c r="I1204" s="181"/>
      <c r="J1204" s="181"/>
      <c r="K1204" s="182" t="s">
        <v>363</v>
      </c>
      <c r="R1204" s="163"/>
      <c r="S1204" s="163"/>
    </row>
    <row r="1205">
      <c r="A1205" s="179">
        <f t="shared" si="2"/>
        <v>1204</v>
      </c>
      <c r="B1205" s="180"/>
      <c r="C1205" s="180"/>
      <c r="D1205" s="180" t="s">
        <v>208</v>
      </c>
      <c r="E1205" s="180" t="s">
        <v>208</v>
      </c>
      <c r="F1205" s="180" t="s">
        <v>208</v>
      </c>
      <c r="G1205" s="180"/>
      <c r="H1205" s="180" t="s">
        <v>208</v>
      </c>
      <c r="I1205" s="181"/>
      <c r="J1205" s="181"/>
      <c r="K1205" s="182" t="s">
        <v>363</v>
      </c>
      <c r="R1205" s="163"/>
      <c r="S1205" s="163"/>
    </row>
    <row r="1206">
      <c r="A1206" s="179">
        <f t="shared" si="2"/>
        <v>1205</v>
      </c>
      <c r="B1206" s="180"/>
      <c r="C1206" s="180" t="s">
        <v>208</v>
      </c>
      <c r="D1206" s="180" t="s">
        <v>243</v>
      </c>
      <c r="E1206" s="180" t="s">
        <v>208</v>
      </c>
      <c r="F1206" s="180" t="s">
        <v>208</v>
      </c>
      <c r="G1206" s="180" t="s">
        <v>208</v>
      </c>
      <c r="H1206" s="181"/>
      <c r="I1206" s="181"/>
      <c r="J1206" s="181"/>
      <c r="K1206" s="182" t="s">
        <v>363</v>
      </c>
      <c r="R1206" s="163"/>
      <c r="S1206" s="163"/>
    </row>
    <row r="1207">
      <c r="A1207" s="179">
        <f t="shared" si="2"/>
        <v>1206</v>
      </c>
      <c r="B1207" s="180"/>
      <c r="C1207" s="180"/>
      <c r="D1207" s="180"/>
      <c r="E1207" s="180"/>
      <c r="F1207" s="180"/>
      <c r="G1207" s="180"/>
      <c r="H1207" s="181"/>
      <c r="I1207" s="181"/>
      <c r="J1207" s="180" t="s">
        <v>242</v>
      </c>
      <c r="K1207" s="182" t="s">
        <v>363</v>
      </c>
      <c r="R1207" s="163"/>
      <c r="S1207" s="163"/>
    </row>
    <row r="1208">
      <c r="A1208" s="179">
        <f t="shared" si="2"/>
        <v>1207</v>
      </c>
      <c r="B1208" s="180"/>
      <c r="C1208" s="180"/>
      <c r="D1208" s="180"/>
      <c r="E1208" s="180"/>
      <c r="F1208" s="180"/>
      <c r="G1208" s="180"/>
      <c r="H1208" s="181"/>
      <c r="I1208" s="181"/>
      <c r="J1208" s="180" t="s">
        <v>242</v>
      </c>
      <c r="K1208" s="182" t="s">
        <v>363</v>
      </c>
      <c r="R1208" s="163"/>
      <c r="S1208" s="163"/>
    </row>
    <row r="1209">
      <c r="A1209" s="179">
        <f t="shared" si="2"/>
        <v>1208</v>
      </c>
      <c r="B1209" s="180"/>
      <c r="C1209" s="180"/>
      <c r="D1209" s="180"/>
      <c r="E1209" s="180"/>
      <c r="F1209" s="180"/>
      <c r="G1209" s="180"/>
      <c r="H1209" s="181"/>
      <c r="I1209" s="181"/>
      <c r="J1209" s="180" t="s">
        <v>242</v>
      </c>
      <c r="K1209" s="182" t="s">
        <v>363</v>
      </c>
      <c r="R1209" s="163"/>
      <c r="S1209" s="163"/>
    </row>
    <row r="1210">
      <c r="A1210" s="179">
        <f t="shared" si="2"/>
        <v>1209</v>
      </c>
      <c r="B1210" s="180"/>
      <c r="C1210" s="180"/>
      <c r="D1210" s="180"/>
      <c r="E1210" s="180"/>
      <c r="F1210" s="180"/>
      <c r="G1210" s="180"/>
      <c r="H1210" s="181"/>
      <c r="I1210" s="181"/>
      <c r="J1210" s="180" t="s">
        <v>242</v>
      </c>
      <c r="K1210" s="182" t="s">
        <v>363</v>
      </c>
      <c r="R1210" s="163"/>
      <c r="S1210" s="163"/>
    </row>
    <row r="1211">
      <c r="A1211" s="179">
        <f t="shared" si="2"/>
        <v>1210</v>
      </c>
      <c r="B1211" s="180"/>
      <c r="C1211" s="180"/>
      <c r="D1211" s="180"/>
      <c r="E1211" s="180"/>
      <c r="F1211" s="180"/>
      <c r="G1211" s="180"/>
      <c r="H1211" s="181"/>
      <c r="I1211" s="181"/>
      <c r="J1211" s="180" t="s">
        <v>242</v>
      </c>
      <c r="K1211" s="182" t="s">
        <v>363</v>
      </c>
      <c r="R1211" s="163"/>
      <c r="S1211" s="163"/>
    </row>
    <row r="1212">
      <c r="A1212" s="179">
        <f t="shared" si="2"/>
        <v>1211</v>
      </c>
      <c r="B1212" s="180"/>
      <c r="C1212" s="180"/>
      <c r="D1212" s="180"/>
      <c r="E1212" s="180"/>
      <c r="F1212" s="180"/>
      <c r="G1212" s="180"/>
      <c r="H1212" s="185"/>
      <c r="I1212" s="181"/>
      <c r="J1212" s="180" t="s">
        <v>242</v>
      </c>
      <c r="K1212" s="182" t="s">
        <v>363</v>
      </c>
      <c r="R1212" s="173"/>
      <c r="S1212" s="173"/>
    </row>
    <row r="1213">
      <c r="A1213" s="179">
        <f t="shared" si="2"/>
        <v>1212</v>
      </c>
      <c r="B1213" s="181"/>
      <c r="C1213" s="180" t="s">
        <v>208</v>
      </c>
      <c r="D1213" s="180" t="s">
        <v>208</v>
      </c>
      <c r="E1213" s="181"/>
      <c r="F1213" s="180" t="s">
        <v>208</v>
      </c>
      <c r="G1213" s="180" t="s">
        <v>208</v>
      </c>
      <c r="H1213" s="181"/>
      <c r="I1213" s="180"/>
      <c r="J1213" s="221"/>
      <c r="K1213" s="182" t="s">
        <v>4456</v>
      </c>
      <c r="L1213" s="189"/>
      <c r="R1213" s="157"/>
      <c r="S1213" s="157"/>
    </row>
    <row r="1214">
      <c r="A1214" s="179">
        <f t="shared" si="2"/>
        <v>1213</v>
      </c>
      <c r="B1214" s="181"/>
      <c r="C1214" s="180" t="s">
        <v>208</v>
      </c>
      <c r="D1214" s="180" t="s">
        <v>208</v>
      </c>
      <c r="E1214" s="180" t="s">
        <v>208</v>
      </c>
      <c r="F1214" s="180" t="s">
        <v>208</v>
      </c>
      <c r="G1214" s="180" t="s">
        <v>208</v>
      </c>
      <c r="H1214" s="181"/>
      <c r="I1214" s="180"/>
      <c r="J1214" s="221"/>
      <c r="K1214" s="182" t="s">
        <v>4456</v>
      </c>
      <c r="L1214" s="189"/>
      <c r="R1214" s="157"/>
      <c r="S1214" s="157"/>
    </row>
    <row r="1215">
      <c r="A1215" s="179">
        <f t="shared" si="2"/>
        <v>1214</v>
      </c>
      <c r="B1215" s="181"/>
      <c r="C1215" s="180" t="s">
        <v>208</v>
      </c>
      <c r="D1215" s="180" t="s">
        <v>208</v>
      </c>
      <c r="E1215" s="180" t="s">
        <v>208</v>
      </c>
      <c r="F1215" s="180" t="s">
        <v>208</v>
      </c>
      <c r="G1215" s="180" t="s">
        <v>208</v>
      </c>
      <c r="H1215" s="181"/>
      <c r="I1215" s="180"/>
      <c r="J1215" s="221"/>
      <c r="K1215" s="182" t="s">
        <v>4456</v>
      </c>
      <c r="L1215" s="189"/>
      <c r="R1215" s="157"/>
      <c r="S1215" s="157"/>
    </row>
    <row r="1216">
      <c r="A1216" s="179">
        <f t="shared" si="2"/>
        <v>1215</v>
      </c>
      <c r="B1216" s="181"/>
      <c r="C1216" s="180" t="s">
        <v>208</v>
      </c>
      <c r="D1216" s="180" t="s">
        <v>208</v>
      </c>
      <c r="E1216" s="180" t="s">
        <v>208</v>
      </c>
      <c r="F1216" s="180" t="s">
        <v>208</v>
      </c>
      <c r="G1216" s="180" t="s">
        <v>208</v>
      </c>
      <c r="H1216" s="181"/>
      <c r="I1216" s="180"/>
      <c r="J1216" s="221"/>
      <c r="K1216" s="182" t="s">
        <v>4456</v>
      </c>
      <c r="L1216" s="189"/>
      <c r="R1216" s="157"/>
      <c r="S1216" s="157"/>
    </row>
    <row r="1217">
      <c r="A1217" s="179">
        <f t="shared" si="2"/>
        <v>1216</v>
      </c>
      <c r="B1217" s="181"/>
      <c r="C1217" s="180" t="s">
        <v>208</v>
      </c>
      <c r="D1217" s="180" t="s">
        <v>208</v>
      </c>
      <c r="E1217" s="180" t="s">
        <v>208</v>
      </c>
      <c r="F1217" s="180" t="s">
        <v>208</v>
      </c>
      <c r="G1217" s="180" t="s">
        <v>208</v>
      </c>
      <c r="H1217" s="181"/>
      <c r="I1217" s="180"/>
      <c r="J1217" s="221"/>
      <c r="K1217" s="182" t="s">
        <v>4456</v>
      </c>
      <c r="L1217" s="189"/>
      <c r="R1217" s="157"/>
      <c r="S1217" s="157"/>
    </row>
    <row r="1218">
      <c r="A1218" s="179">
        <f t="shared" si="2"/>
        <v>1217</v>
      </c>
      <c r="B1218" s="181"/>
      <c r="C1218" s="181"/>
      <c r="D1218" s="180" t="s">
        <v>208</v>
      </c>
      <c r="E1218" s="180" t="s">
        <v>208</v>
      </c>
      <c r="F1218" s="180" t="s">
        <v>208</v>
      </c>
      <c r="G1218" s="181"/>
      <c r="H1218" s="180" t="s">
        <v>208</v>
      </c>
      <c r="I1218" s="180"/>
      <c r="J1218" s="221"/>
      <c r="K1218" s="182" t="s">
        <v>4456</v>
      </c>
      <c r="L1218" s="189"/>
      <c r="R1218" s="157"/>
      <c r="S1218" s="157"/>
    </row>
    <row r="1219">
      <c r="A1219" s="179">
        <f t="shared" si="2"/>
        <v>1218</v>
      </c>
      <c r="B1219" s="181"/>
      <c r="C1219" s="180" t="s">
        <v>208</v>
      </c>
      <c r="D1219" s="180" t="s">
        <v>208</v>
      </c>
      <c r="E1219" s="180" t="s">
        <v>208</v>
      </c>
      <c r="F1219" s="180" t="s">
        <v>208</v>
      </c>
      <c r="G1219" s="180" t="s">
        <v>208</v>
      </c>
      <c r="H1219" s="181"/>
      <c r="I1219" s="180"/>
      <c r="J1219" s="221"/>
      <c r="K1219" s="182" t="s">
        <v>4456</v>
      </c>
      <c r="L1219" s="189"/>
      <c r="R1219" s="157"/>
      <c r="S1219" s="157"/>
    </row>
    <row r="1220">
      <c r="A1220" s="179">
        <f t="shared" si="2"/>
        <v>1219</v>
      </c>
      <c r="B1220" s="181"/>
      <c r="C1220" s="181"/>
      <c r="D1220" s="180" t="s">
        <v>208</v>
      </c>
      <c r="E1220" s="180" t="s">
        <v>208</v>
      </c>
      <c r="F1220" s="180" t="s">
        <v>208</v>
      </c>
      <c r="G1220" s="181"/>
      <c r="H1220" s="180" t="s">
        <v>208</v>
      </c>
      <c r="I1220" s="180"/>
      <c r="J1220" s="221"/>
      <c r="K1220" s="182" t="s">
        <v>4456</v>
      </c>
      <c r="L1220" s="189"/>
      <c r="R1220" s="157"/>
      <c r="S1220" s="157"/>
    </row>
    <row r="1221">
      <c r="A1221" s="179">
        <f t="shared" si="2"/>
        <v>1220</v>
      </c>
      <c r="B1221" s="181"/>
      <c r="C1221" s="180" t="s">
        <v>208</v>
      </c>
      <c r="D1221" s="180" t="s">
        <v>208</v>
      </c>
      <c r="E1221" s="180" t="s">
        <v>208</v>
      </c>
      <c r="F1221" s="180" t="s">
        <v>208</v>
      </c>
      <c r="G1221" s="180" t="s">
        <v>208</v>
      </c>
      <c r="H1221" s="181"/>
      <c r="I1221" s="180"/>
      <c r="J1221" s="221"/>
      <c r="K1221" s="182" t="s">
        <v>4456</v>
      </c>
      <c r="L1221" s="189"/>
      <c r="R1221" s="157"/>
      <c r="S1221" s="157"/>
    </row>
    <row r="1222">
      <c r="A1222" s="179">
        <f t="shared" si="2"/>
        <v>1221</v>
      </c>
      <c r="B1222" s="181"/>
      <c r="C1222" s="181"/>
      <c r="D1222" s="180" t="s">
        <v>208</v>
      </c>
      <c r="E1222" s="180" t="s">
        <v>208</v>
      </c>
      <c r="F1222" s="180" t="s">
        <v>208</v>
      </c>
      <c r="G1222" s="181"/>
      <c r="H1222" s="180" t="s">
        <v>208</v>
      </c>
      <c r="I1222" s="180"/>
      <c r="J1222" s="221"/>
      <c r="K1222" s="182" t="s">
        <v>4456</v>
      </c>
      <c r="L1222" s="189"/>
      <c r="R1222" s="157"/>
      <c r="S1222" s="157"/>
    </row>
    <row r="1223">
      <c r="A1223" s="179">
        <f t="shared" si="2"/>
        <v>1222</v>
      </c>
      <c r="B1223" s="181"/>
      <c r="C1223" s="181"/>
      <c r="D1223" s="180" t="s">
        <v>208</v>
      </c>
      <c r="E1223" s="180" t="s">
        <v>208</v>
      </c>
      <c r="F1223" s="180" t="s">
        <v>208</v>
      </c>
      <c r="G1223" s="181"/>
      <c r="H1223" s="180" t="s">
        <v>208</v>
      </c>
      <c r="I1223" s="180"/>
      <c r="J1223" s="221"/>
      <c r="K1223" s="182" t="s">
        <v>4456</v>
      </c>
      <c r="L1223" s="189"/>
      <c r="R1223" s="157"/>
      <c r="S1223" s="157"/>
    </row>
    <row r="1224">
      <c r="A1224" s="179">
        <f t="shared" si="2"/>
        <v>1223</v>
      </c>
      <c r="B1224" s="181"/>
      <c r="C1224" s="181"/>
      <c r="D1224" s="180" t="s">
        <v>208</v>
      </c>
      <c r="E1224" s="180" t="s">
        <v>208</v>
      </c>
      <c r="F1224" s="180" t="s">
        <v>208</v>
      </c>
      <c r="G1224" s="181"/>
      <c r="H1224" s="180" t="s">
        <v>208</v>
      </c>
      <c r="I1224" s="180"/>
      <c r="J1224" s="221"/>
      <c r="K1224" s="182" t="s">
        <v>4456</v>
      </c>
      <c r="L1224" s="189"/>
      <c r="R1224" s="157"/>
      <c r="S1224" s="157"/>
    </row>
    <row r="1225">
      <c r="A1225" s="179">
        <f t="shared" si="2"/>
        <v>1224</v>
      </c>
      <c r="B1225" s="181"/>
      <c r="C1225" s="180" t="s">
        <v>208</v>
      </c>
      <c r="D1225" s="180" t="s">
        <v>208</v>
      </c>
      <c r="E1225" s="180" t="s">
        <v>208</v>
      </c>
      <c r="F1225" s="180" t="s">
        <v>208</v>
      </c>
      <c r="G1225" s="180" t="s">
        <v>208</v>
      </c>
      <c r="H1225" s="181"/>
      <c r="I1225" s="180"/>
      <c r="J1225" s="221"/>
      <c r="K1225" s="182" t="s">
        <v>4456</v>
      </c>
      <c r="L1225" s="189"/>
      <c r="R1225" s="157"/>
      <c r="S1225" s="157"/>
    </row>
    <row r="1226">
      <c r="A1226" s="179">
        <f t="shared" si="2"/>
        <v>1225</v>
      </c>
      <c r="B1226" s="181"/>
      <c r="C1226" s="180" t="s">
        <v>208</v>
      </c>
      <c r="D1226" s="180" t="s">
        <v>208</v>
      </c>
      <c r="E1226" s="180" t="s">
        <v>208</v>
      </c>
      <c r="F1226" s="180" t="s">
        <v>208</v>
      </c>
      <c r="G1226" s="180" t="s">
        <v>208</v>
      </c>
      <c r="H1226" s="181"/>
      <c r="I1226" s="180"/>
      <c r="J1226" s="221"/>
      <c r="K1226" s="182" t="s">
        <v>4456</v>
      </c>
      <c r="L1226" s="189"/>
      <c r="R1226" s="157"/>
      <c r="S1226" s="157"/>
    </row>
    <row r="1227">
      <c r="A1227" s="179">
        <f t="shared" si="2"/>
        <v>1226</v>
      </c>
      <c r="B1227" s="181"/>
      <c r="C1227" s="181"/>
      <c r="D1227" s="180" t="s">
        <v>208</v>
      </c>
      <c r="E1227" s="180" t="s">
        <v>208</v>
      </c>
      <c r="F1227" s="180" t="s">
        <v>208</v>
      </c>
      <c r="G1227" s="181"/>
      <c r="H1227" s="180" t="s">
        <v>208</v>
      </c>
      <c r="I1227" s="180"/>
      <c r="J1227" s="221"/>
      <c r="K1227" s="182" t="s">
        <v>4456</v>
      </c>
      <c r="L1227" s="189"/>
      <c r="R1227" s="157"/>
      <c r="S1227" s="157"/>
    </row>
    <row r="1228">
      <c r="A1228" s="179">
        <f t="shared" si="2"/>
        <v>1227</v>
      </c>
      <c r="B1228" s="181"/>
      <c r="C1228" s="180" t="s">
        <v>208</v>
      </c>
      <c r="D1228" s="180" t="s">
        <v>208</v>
      </c>
      <c r="E1228" s="180" t="s">
        <v>208</v>
      </c>
      <c r="F1228" s="180" t="s">
        <v>208</v>
      </c>
      <c r="G1228" s="180" t="s">
        <v>208</v>
      </c>
      <c r="H1228" s="181"/>
      <c r="I1228" s="180"/>
      <c r="J1228" s="221"/>
      <c r="K1228" s="182" t="s">
        <v>4456</v>
      </c>
      <c r="L1228" s="189"/>
      <c r="R1228" s="157"/>
      <c r="S1228" s="157"/>
    </row>
    <row r="1229">
      <c r="A1229" s="179">
        <f t="shared" si="2"/>
        <v>1228</v>
      </c>
      <c r="B1229" s="181"/>
      <c r="C1229" s="180" t="s">
        <v>208</v>
      </c>
      <c r="D1229" s="180" t="s">
        <v>208</v>
      </c>
      <c r="E1229" s="180" t="s">
        <v>208</v>
      </c>
      <c r="F1229" s="180" t="s">
        <v>208</v>
      </c>
      <c r="G1229" s="180" t="s">
        <v>208</v>
      </c>
      <c r="H1229" s="181"/>
      <c r="I1229" s="180"/>
      <c r="J1229" s="221"/>
      <c r="K1229" s="182" t="s">
        <v>4456</v>
      </c>
      <c r="L1229" s="189"/>
      <c r="R1229" s="157"/>
      <c r="S1229" s="157"/>
    </row>
    <row r="1230">
      <c r="A1230" s="179">
        <f t="shared" si="2"/>
        <v>1229</v>
      </c>
      <c r="B1230" s="181"/>
      <c r="C1230" s="181"/>
      <c r="D1230" s="180" t="s">
        <v>208</v>
      </c>
      <c r="E1230" s="180" t="s">
        <v>208</v>
      </c>
      <c r="F1230" s="180" t="s">
        <v>208</v>
      </c>
      <c r="G1230" s="181"/>
      <c r="H1230" s="180" t="s">
        <v>208</v>
      </c>
      <c r="I1230" s="180"/>
      <c r="J1230" s="221"/>
      <c r="K1230" s="182" t="s">
        <v>4456</v>
      </c>
      <c r="L1230" s="189"/>
      <c r="R1230" s="157"/>
      <c r="S1230" s="157"/>
    </row>
    <row r="1231">
      <c r="A1231" s="179">
        <f t="shared" si="2"/>
        <v>1230</v>
      </c>
      <c r="B1231" s="181"/>
      <c r="C1231" s="180" t="s">
        <v>208</v>
      </c>
      <c r="D1231" s="180" t="s">
        <v>208</v>
      </c>
      <c r="E1231" s="180" t="s">
        <v>208</v>
      </c>
      <c r="F1231" s="180" t="s">
        <v>208</v>
      </c>
      <c r="G1231" s="180" t="s">
        <v>208</v>
      </c>
      <c r="H1231" s="181"/>
      <c r="I1231" s="180"/>
      <c r="J1231" s="221"/>
      <c r="K1231" s="182" t="s">
        <v>4456</v>
      </c>
      <c r="L1231" s="189"/>
      <c r="R1231" s="157"/>
      <c r="S1231" s="157"/>
    </row>
    <row r="1232">
      <c r="A1232" s="179">
        <f t="shared" si="2"/>
        <v>1231</v>
      </c>
      <c r="B1232" s="181"/>
      <c r="C1232" s="180" t="s">
        <v>208</v>
      </c>
      <c r="D1232" s="180" t="s">
        <v>208</v>
      </c>
      <c r="E1232" s="180" t="s">
        <v>208</v>
      </c>
      <c r="F1232" s="180" t="s">
        <v>208</v>
      </c>
      <c r="G1232" s="180" t="s">
        <v>208</v>
      </c>
      <c r="H1232" s="181"/>
      <c r="I1232" s="180"/>
      <c r="J1232" s="221"/>
      <c r="K1232" s="182" t="s">
        <v>4456</v>
      </c>
      <c r="L1232" s="189"/>
      <c r="R1232" s="157"/>
      <c r="S1232" s="157"/>
    </row>
    <row r="1233">
      <c r="A1233" s="179">
        <f t="shared" si="2"/>
        <v>1232</v>
      </c>
      <c r="B1233" s="181"/>
      <c r="C1233" s="180" t="s">
        <v>208</v>
      </c>
      <c r="D1233" s="180" t="s">
        <v>243</v>
      </c>
      <c r="E1233" s="180" t="s">
        <v>208</v>
      </c>
      <c r="F1233" s="180" t="s">
        <v>243</v>
      </c>
      <c r="G1233" s="180" t="s">
        <v>208</v>
      </c>
      <c r="H1233" s="181"/>
      <c r="I1233" s="180"/>
      <c r="J1233" s="221"/>
      <c r="K1233" s="182" t="s">
        <v>4456</v>
      </c>
      <c r="L1233" s="189"/>
      <c r="R1233" s="157"/>
      <c r="S1233" s="157"/>
    </row>
    <row r="1234">
      <c r="A1234" s="179">
        <f t="shared" si="2"/>
        <v>1233</v>
      </c>
      <c r="B1234" s="181"/>
      <c r="C1234" s="180" t="s">
        <v>208</v>
      </c>
      <c r="D1234" s="180" t="s">
        <v>208</v>
      </c>
      <c r="E1234" s="180" t="s">
        <v>208</v>
      </c>
      <c r="F1234" s="180" t="s">
        <v>208</v>
      </c>
      <c r="G1234" s="180" t="s">
        <v>208</v>
      </c>
      <c r="H1234" s="181"/>
      <c r="I1234" s="180"/>
      <c r="J1234" s="221"/>
      <c r="K1234" s="182" t="s">
        <v>4456</v>
      </c>
      <c r="L1234" s="189"/>
      <c r="R1234" s="157"/>
      <c r="S1234" s="157"/>
    </row>
    <row r="1235">
      <c r="A1235" s="179">
        <f t="shared" si="2"/>
        <v>1234</v>
      </c>
      <c r="B1235" s="181"/>
      <c r="C1235" s="180" t="s">
        <v>208</v>
      </c>
      <c r="D1235" s="180" t="s">
        <v>208</v>
      </c>
      <c r="E1235" s="180" t="s">
        <v>208</v>
      </c>
      <c r="F1235" s="180" t="s">
        <v>208</v>
      </c>
      <c r="G1235" s="180" t="s">
        <v>208</v>
      </c>
      <c r="H1235" s="181"/>
      <c r="I1235" s="180"/>
      <c r="J1235" s="221"/>
      <c r="K1235" s="182" t="s">
        <v>4456</v>
      </c>
      <c r="L1235" s="189"/>
      <c r="R1235" s="157"/>
      <c r="S1235" s="157"/>
    </row>
    <row r="1236">
      <c r="A1236" s="179">
        <f t="shared" si="2"/>
        <v>1235</v>
      </c>
      <c r="B1236" s="181"/>
      <c r="C1236" s="180" t="s">
        <v>208</v>
      </c>
      <c r="D1236" s="180" t="s">
        <v>208</v>
      </c>
      <c r="E1236" s="180" t="s">
        <v>208</v>
      </c>
      <c r="F1236" s="180" t="s">
        <v>208</v>
      </c>
      <c r="G1236" s="180" t="s">
        <v>208</v>
      </c>
      <c r="H1236" s="181"/>
      <c r="I1236" s="180"/>
      <c r="J1236" s="221"/>
      <c r="K1236" s="182" t="s">
        <v>4456</v>
      </c>
      <c r="L1236" s="189"/>
      <c r="R1236" s="157"/>
      <c r="S1236" s="157"/>
    </row>
    <row r="1237">
      <c r="A1237" s="179">
        <f t="shared" si="2"/>
        <v>1236</v>
      </c>
      <c r="B1237" s="181"/>
      <c r="C1237" s="180" t="s">
        <v>208</v>
      </c>
      <c r="D1237" s="180" t="s">
        <v>243</v>
      </c>
      <c r="E1237" s="180" t="s">
        <v>208</v>
      </c>
      <c r="F1237" s="180" t="s">
        <v>208</v>
      </c>
      <c r="G1237" s="180" t="s">
        <v>208</v>
      </c>
      <c r="H1237" s="181"/>
      <c r="I1237" s="180"/>
      <c r="J1237" s="221"/>
      <c r="K1237" s="182" t="s">
        <v>4456</v>
      </c>
      <c r="L1237" s="189"/>
      <c r="R1237" s="157"/>
      <c r="S1237" s="157"/>
    </row>
    <row r="1238">
      <c r="A1238" s="179">
        <f t="shared" si="2"/>
        <v>1237</v>
      </c>
      <c r="B1238" s="181"/>
      <c r="C1238" s="181"/>
      <c r="D1238" s="180" t="s">
        <v>208</v>
      </c>
      <c r="E1238" s="180" t="s">
        <v>208</v>
      </c>
      <c r="F1238" s="180" t="s">
        <v>208</v>
      </c>
      <c r="G1238" s="181"/>
      <c r="H1238" s="180" t="s">
        <v>208</v>
      </c>
      <c r="I1238" s="180"/>
      <c r="J1238" s="221"/>
      <c r="K1238" s="182" t="s">
        <v>4456</v>
      </c>
      <c r="L1238" s="189"/>
      <c r="R1238" s="157"/>
      <c r="S1238" s="157"/>
    </row>
    <row r="1239">
      <c r="A1239" s="179">
        <f t="shared" si="2"/>
        <v>1238</v>
      </c>
      <c r="B1239" s="181"/>
      <c r="C1239" s="180" t="s">
        <v>208</v>
      </c>
      <c r="D1239" s="180" t="s">
        <v>208</v>
      </c>
      <c r="E1239" s="180" t="s">
        <v>208</v>
      </c>
      <c r="F1239" s="180" t="s">
        <v>208</v>
      </c>
      <c r="G1239" s="180" t="s">
        <v>208</v>
      </c>
      <c r="H1239" s="181"/>
      <c r="I1239" s="180"/>
      <c r="J1239" s="221"/>
      <c r="K1239" s="182" t="s">
        <v>4456</v>
      </c>
      <c r="L1239" s="189"/>
      <c r="R1239" s="157"/>
      <c r="S1239" s="157"/>
    </row>
    <row r="1240">
      <c r="A1240" s="179">
        <f t="shared" si="2"/>
        <v>1239</v>
      </c>
      <c r="B1240" s="181"/>
      <c r="C1240" s="180" t="s">
        <v>208</v>
      </c>
      <c r="D1240" s="180" t="s">
        <v>208</v>
      </c>
      <c r="E1240" s="180" t="s">
        <v>208</v>
      </c>
      <c r="F1240" s="180" t="s">
        <v>208</v>
      </c>
      <c r="G1240" s="180" t="s">
        <v>208</v>
      </c>
      <c r="H1240" s="181"/>
      <c r="I1240" s="180"/>
      <c r="J1240" s="221"/>
      <c r="K1240" s="182" t="s">
        <v>4456</v>
      </c>
      <c r="L1240" s="189"/>
      <c r="R1240" s="157"/>
      <c r="S1240" s="157"/>
    </row>
    <row r="1241">
      <c r="A1241" s="179">
        <f t="shared" si="2"/>
        <v>1240</v>
      </c>
      <c r="B1241" s="181"/>
      <c r="C1241" s="180" t="s">
        <v>208</v>
      </c>
      <c r="D1241" s="180" t="s">
        <v>208</v>
      </c>
      <c r="E1241" s="180" t="s">
        <v>208</v>
      </c>
      <c r="F1241" s="180" t="s">
        <v>208</v>
      </c>
      <c r="G1241" s="180" t="s">
        <v>208</v>
      </c>
      <c r="H1241" s="181"/>
      <c r="I1241" s="180"/>
      <c r="J1241" s="221"/>
      <c r="K1241" s="182" t="s">
        <v>4456</v>
      </c>
      <c r="L1241" s="189"/>
      <c r="R1241" s="157"/>
      <c r="S1241" s="157"/>
    </row>
    <row r="1242">
      <c r="A1242" s="179">
        <f t="shared" si="2"/>
        <v>1241</v>
      </c>
      <c r="B1242" s="181"/>
      <c r="C1242" s="180" t="s">
        <v>208</v>
      </c>
      <c r="D1242" s="180" t="s">
        <v>208</v>
      </c>
      <c r="E1242" s="180" t="s">
        <v>208</v>
      </c>
      <c r="F1242" s="180" t="s">
        <v>208</v>
      </c>
      <c r="G1242" s="180" t="s">
        <v>208</v>
      </c>
      <c r="H1242" s="181"/>
      <c r="I1242" s="180"/>
      <c r="J1242" s="221"/>
      <c r="K1242" s="182" t="s">
        <v>4456</v>
      </c>
      <c r="L1242" s="189"/>
      <c r="R1242" s="157"/>
      <c r="S1242" s="157"/>
    </row>
    <row r="1243">
      <c r="A1243" s="179">
        <f t="shared" si="2"/>
        <v>1242</v>
      </c>
      <c r="B1243" s="181"/>
      <c r="C1243" s="180" t="s">
        <v>208</v>
      </c>
      <c r="D1243" s="180" t="s">
        <v>208</v>
      </c>
      <c r="E1243" s="181"/>
      <c r="F1243" s="180" t="s">
        <v>208</v>
      </c>
      <c r="G1243" s="180" t="s">
        <v>208</v>
      </c>
      <c r="H1243" s="181"/>
      <c r="I1243" s="180"/>
      <c r="J1243" s="221"/>
      <c r="K1243" s="182" t="s">
        <v>4456</v>
      </c>
      <c r="L1243" s="189"/>
      <c r="R1243" s="157"/>
      <c r="S1243" s="157"/>
    </row>
    <row r="1244">
      <c r="A1244" s="179">
        <f t="shared" si="2"/>
        <v>1243</v>
      </c>
      <c r="B1244" s="181"/>
      <c r="C1244" s="180" t="s">
        <v>208</v>
      </c>
      <c r="D1244" s="180" t="s">
        <v>208</v>
      </c>
      <c r="E1244" s="180" t="s">
        <v>208</v>
      </c>
      <c r="F1244" s="180" t="s">
        <v>208</v>
      </c>
      <c r="G1244" s="180" t="s">
        <v>208</v>
      </c>
      <c r="H1244" s="181"/>
      <c r="I1244" s="180"/>
      <c r="J1244" s="221"/>
      <c r="K1244" s="182" t="s">
        <v>4456</v>
      </c>
      <c r="L1244" s="189"/>
      <c r="R1244" s="157"/>
      <c r="S1244" s="157"/>
    </row>
    <row r="1245">
      <c r="A1245" s="179">
        <f t="shared" si="2"/>
        <v>1244</v>
      </c>
      <c r="B1245" s="181"/>
      <c r="C1245" s="180" t="s">
        <v>208</v>
      </c>
      <c r="D1245" s="180" t="s">
        <v>208</v>
      </c>
      <c r="E1245" s="180" t="s">
        <v>208</v>
      </c>
      <c r="F1245" s="180" t="s">
        <v>208</v>
      </c>
      <c r="G1245" s="180" t="s">
        <v>208</v>
      </c>
      <c r="H1245" s="181"/>
      <c r="I1245" s="180"/>
      <c r="J1245" s="221"/>
      <c r="K1245" s="182" t="s">
        <v>4456</v>
      </c>
      <c r="L1245" s="189"/>
      <c r="R1245" s="157"/>
      <c r="S1245" s="157"/>
    </row>
    <row r="1246">
      <c r="A1246" s="179">
        <f t="shared" si="2"/>
        <v>1245</v>
      </c>
      <c r="B1246" s="181"/>
      <c r="C1246" s="180" t="s">
        <v>208</v>
      </c>
      <c r="D1246" s="180" t="s">
        <v>208</v>
      </c>
      <c r="E1246" s="180" t="s">
        <v>208</v>
      </c>
      <c r="F1246" s="180" t="s">
        <v>208</v>
      </c>
      <c r="G1246" s="180" t="s">
        <v>208</v>
      </c>
      <c r="H1246" s="181"/>
      <c r="I1246" s="180"/>
      <c r="J1246" s="221"/>
      <c r="K1246" s="182" t="s">
        <v>4456</v>
      </c>
      <c r="L1246" s="189"/>
      <c r="R1246" s="157"/>
      <c r="S1246" s="157"/>
    </row>
    <row r="1247">
      <c r="A1247" s="179">
        <f t="shared" si="2"/>
        <v>1246</v>
      </c>
      <c r="B1247" s="181"/>
      <c r="C1247" s="180" t="s">
        <v>208</v>
      </c>
      <c r="D1247" s="180" t="s">
        <v>208</v>
      </c>
      <c r="E1247" s="180" t="s">
        <v>208</v>
      </c>
      <c r="F1247" s="180" t="s">
        <v>208</v>
      </c>
      <c r="G1247" s="180" t="s">
        <v>208</v>
      </c>
      <c r="H1247" s="181"/>
      <c r="I1247" s="180"/>
      <c r="J1247" s="221"/>
      <c r="K1247" s="182" t="s">
        <v>4456</v>
      </c>
      <c r="L1247" s="189"/>
      <c r="R1247" s="157"/>
      <c r="S1247" s="157"/>
    </row>
    <row r="1248">
      <c r="A1248" s="179">
        <f t="shared" si="2"/>
        <v>1247</v>
      </c>
      <c r="B1248" s="181"/>
      <c r="C1248" s="180" t="s">
        <v>208</v>
      </c>
      <c r="D1248" s="180" t="s">
        <v>208</v>
      </c>
      <c r="E1248" s="180" t="s">
        <v>208</v>
      </c>
      <c r="F1248" s="180" t="s">
        <v>208</v>
      </c>
      <c r="G1248" s="180" t="s">
        <v>208</v>
      </c>
      <c r="H1248" s="181"/>
      <c r="I1248" s="180"/>
      <c r="J1248" s="221"/>
      <c r="K1248" s="182" t="s">
        <v>4456</v>
      </c>
      <c r="L1248" s="189"/>
      <c r="R1248" s="157"/>
      <c r="S1248" s="157"/>
    </row>
    <row r="1249">
      <c r="A1249" s="179">
        <f t="shared" si="2"/>
        <v>1248</v>
      </c>
      <c r="B1249" s="181"/>
      <c r="C1249" s="180" t="s">
        <v>208</v>
      </c>
      <c r="D1249" s="180" t="s">
        <v>208</v>
      </c>
      <c r="E1249" s="180" t="s">
        <v>208</v>
      </c>
      <c r="F1249" s="180" t="s">
        <v>208</v>
      </c>
      <c r="G1249" s="180" t="s">
        <v>208</v>
      </c>
      <c r="H1249" s="181"/>
      <c r="I1249" s="180"/>
      <c r="J1249" s="221"/>
      <c r="K1249" s="182" t="s">
        <v>4456</v>
      </c>
      <c r="L1249" s="189"/>
      <c r="R1249" s="157"/>
      <c r="S1249" s="157"/>
    </row>
    <row r="1250">
      <c r="A1250" s="179">
        <f t="shared" si="2"/>
        <v>1249</v>
      </c>
      <c r="B1250" s="181"/>
      <c r="C1250" s="180" t="s">
        <v>208</v>
      </c>
      <c r="D1250" s="180" t="s">
        <v>208</v>
      </c>
      <c r="E1250" s="180" t="s">
        <v>208</v>
      </c>
      <c r="F1250" s="180" t="s">
        <v>208</v>
      </c>
      <c r="G1250" s="180" t="s">
        <v>208</v>
      </c>
      <c r="H1250" s="181"/>
      <c r="I1250" s="180"/>
      <c r="J1250" s="221"/>
      <c r="K1250" s="182" t="s">
        <v>4456</v>
      </c>
      <c r="L1250" s="189"/>
      <c r="R1250" s="157"/>
      <c r="S1250" s="157"/>
    </row>
    <row r="1251">
      <c r="A1251" s="179">
        <f t="shared" si="2"/>
        <v>1250</v>
      </c>
      <c r="B1251" s="181"/>
      <c r="C1251" s="181"/>
      <c r="D1251" s="180" t="s">
        <v>208</v>
      </c>
      <c r="E1251" s="180" t="s">
        <v>208</v>
      </c>
      <c r="F1251" s="180" t="s">
        <v>208</v>
      </c>
      <c r="G1251" s="181"/>
      <c r="H1251" s="180" t="s">
        <v>208</v>
      </c>
      <c r="I1251" s="180"/>
      <c r="J1251" s="221"/>
      <c r="K1251" s="182" t="s">
        <v>4456</v>
      </c>
      <c r="L1251" s="189"/>
      <c r="R1251" s="157"/>
      <c r="S1251" s="157"/>
    </row>
    <row r="1252">
      <c r="A1252" s="179">
        <f t="shared" si="2"/>
        <v>1251</v>
      </c>
      <c r="B1252" s="181"/>
      <c r="C1252" s="180" t="s">
        <v>208</v>
      </c>
      <c r="D1252" s="180" t="s">
        <v>208</v>
      </c>
      <c r="E1252" s="180" t="s">
        <v>208</v>
      </c>
      <c r="F1252" s="180" t="s">
        <v>208</v>
      </c>
      <c r="G1252" s="180" t="s">
        <v>208</v>
      </c>
      <c r="H1252" s="181"/>
      <c r="I1252" s="180"/>
      <c r="J1252" s="221"/>
      <c r="K1252" s="182" t="s">
        <v>4456</v>
      </c>
      <c r="L1252" s="189"/>
      <c r="R1252" s="157"/>
      <c r="S1252" s="157"/>
    </row>
    <row r="1253">
      <c r="A1253" s="179">
        <f t="shared" si="2"/>
        <v>1252</v>
      </c>
      <c r="B1253" s="181"/>
      <c r="C1253" s="180" t="s">
        <v>208</v>
      </c>
      <c r="D1253" s="180" t="s">
        <v>208</v>
      </c>
      <c r="E1253" s="181"/>
      <c r="F1253" s="180" t="s">
        <v>208</v>
      </c>
      <c r="G1253" s="180" t="s">
        <v>208</v>
      </c>
      <c r="H1253" s="181"/>
      <c r="I1253" s="180"/>
      <c r="J1253" s="221"/>
      <c r="K1253" s="182" t="s">
        <v>4456</v>
      </c>
      <c r="L1253" s="189"/>
      <c r="R1253" s="157"/>
      <c r="S1253" s="157"/>
    </row>
    <row r="1254">
      <c r="A1254" s="179">
        <f t="shared" si="2"/>
        <v>1253</v>
      </c>
      <c r="B1254" s="181"/>
      <c r="C1254" s="180" t="s">
        <v>208</v>
      </c>
      <c r="D1254" s="180" t="s">
        <v>208</v>
      </c>
      <c r="E1254" s="180" t="s">
        <v>208</v>
      </c>
      <c r="F1254" s="180" t="s">
        <v>208</v>
      </c>
      <c r="G1254" s="180" t="s">
        <v>208</v>
      </c>
      <c r="H1254" s="181"/>
      <c r="I1254" s="180"/>
      <c r="J1254" s="221"/>
      <c r="K1254" s="182" t="s">
        <v>4456</v>
      </c>
      <c r="L1254" s="189"/>
      <c r="R1254" s="157"/>
      <c r="S1254" s="157"/>
    </row>
    <row r="1255">
      <c r="A1255" s="179">
        <f t="shared" si="2"/>
        <v>1254</v>
      </c>
      <c r="B1255" s="181"/>
      <c r="C1255" s="180" t="s">
        <v>208</v>
      </c>
      <c r="D1255" s="180" t="s">
        <v>208</v>
      </c>
      <c r="E1255" s="180" t="s">
        <v>208</v>
      </c>
      <c r="F1255" s="180" t="s">
        <v>208</v>
      </c>
      <c r="G1255" s="180" t="s">
        <v>208</v>
      </c>
      <c r="H1255" s="181"/>
      <c r="I1255" s="180"/>
      <c r="J1255" s="221"/>
      <c r="K1255" s="182" t="s">
        <v>4456</v>
      </c>
      <c r="L1255" s="189"/>
      <c r="R1255" s="157"/>
      <c r="S1255" s="157"/>
    </row>
    <row r="1256">
      <c r="A1256" s="179">
        <f t="shared" si="2"/>
        <v>1255</v>
      </c>
      <c r="B1256" s="181"/>
      <c r="C1256" s="181"/>
      <c r="D1256" s="180" t="s">
        <v>208</v>
      </c>
      <c r="E1256" s="180" t="s">
        <v>208</v>
      </c>
      <c r="F1256" s="180" t="s">
        <v>208</v>
      </c>
      <c r="G1256" s="181"/>
      <c r="H1256" s="180" t="s">
        <v>208</v>
      </c>
      <c r="I1256" s="180"/>
      <c r="J1256" s="221"/>
      <c r="K1256" s="182" t="s">
        <v>4456</v>
      </c>
      <c r="L1256" s="189"/>
      <c r="R1256" s="157"/>
      <c r="S1256" s="157"/>
    </row>
    <row r="1257">
      <c r="A1257" s="179">
        <f t="shared" si="2"/>
        <v>1256</v>
      </c>
      <c r="B1257" s="181"/>
      <c r="C1257" s="180" t="s">
        <v>208</v>
      </c>
      <c r="D1257" s="180" t="s">
        <v>208</v>
      </c>
      <c r="E1257" s="180" t="s">
        <v>208</v>
      </c>
      <c r="F1257" s="180" t="s">
        <v>208</v>
      </c>
      <c r="G1257" s="180" t="s">
        <v>208</v>
      </c>
      <c r="H1257" s="181"/>
      <c r="I1257" s="180"/>
      <c r="J1257" s="221"/>
      <c r="K1257" s="182" t="s">
        <v>4456</v>
      </c>
      <c r="L1257" s="189"/>
      <c r="R1257" s="157"/>
      <c r="S1257" s="157"/>
    </row>
    <row r="1258">
      <c r="A1258" s="179">
        <f t="shared" si="2"/>
        <v>1257</v>
      </c>
      <c r="B1258" s="181"/>
      <c r="C1258" s="180" t="s">
        <v>208</v>
      </c>
      <c r="D1258" s="180" t="s">
        <v>208</v>
      </c>
      <c r="E1258" s="180" t="s">
        <v>208</v>
      </c>
      <c r="F1258" s="180" t="s">
        <v>208</v>
      </c>
      <c r="G1258" s="180" t="s">
        <v>208</v>
      </c>
      <c r="H1258" s="181"/>
      <c r="I1258" s="180"/>
      <c r="J1258" s="221"/>
      <c r="K1258" s="182" t="s">
        <v>4456</v>
      </c>
      <c r="L1258" s="189"/>
      <c r="R1258" s="157"/>
      <c r="S1258" s="157"/>
    </row>
    <row r="1259">
      <c r="A1259" s="179">
        <f t="shared" si="2"/>
        <v>1258</v>
      </c>
      <c r="B1259" s="181"/>
      <c r="C1259" s="180" t="s">
        <v>208</v>
      </c>
      <c r="D1259" s="180" t="s">
        <v>208</v>
      </c>
      <c r="E1259" s="180" t="s">
        <v>208</v>
      </c>
      <c r="F1259" s="180" t="s">
        <v>208</v>
      </c>
      <c r="G1259" s="180" t="s">
        <v>208</v>
      </c>
      <c r="H1259" s="181"/>
      <c r="I1259" s="180"/>
      <c r="J1259" s="221"/>
      <c r="K1259" s="182" t="s">
        <v>4456</v>
      </c>
      <c r="L1259" s="189"/>
      <c r="R1259" s="157"/>
      <c r="S1259" s="157"/>
    </row>
    <row r="1260">
      <c r="A1260" s="179">
        <f t="shared" si="2"/>
        <v>1259</v>
      </c>
      <c r="B1260" s="181"/>
      <c r="C1260" s="181"/>
      <c r="D1260" s="180" t="s">
        <v>208</v>
      </c>
      <c r="E1260" s="180" t="s">
        <v>208</v>
      </c>
      <c r="F1260" s="180" t="s">
        <v>208</v>
      </c>
      <c r="G1260" s="181"/>
      <c r="H1260" s="180" t="s">
        <v>208</v>
      </c>
      <c r="I1260" s="180"/>
      <c r="J1260" s="221"/>
      <c r="K1260" s="182" t="s">
        <v>4456</v>
      </c>
      <c r="L1260" s="189"/>
      <c r="R1260" s="157"/>
      <c r="S1260" s="157"/>
    </row>
    <row r="1261">
      <c r="A1261" s="179">
        <f t="shared" si="2"/>
        <v>1260</v>
      </c>
      <c r="B1261" s="181"/>
      <c r="C1261" s="180" t="s">
        <v>208</v>
      </c>
      <c r="D1261" s="180" t="s">
        <v>208</v>
      </c>
      <c r="E1261" s="180" t="s">
        <v>208</v>
      </c>
      <c r="F1261" s="180" t="s">
        <v>208</v>
      </c>
      <c r="G1261" s="180" t="s">
        <v>208</v>
      </c>
      <c r="H1261" s="181"/>
      <c r="I1261" s="180"/>
      <c r="J1261" s="221"/>
      <c r="K1261" s="182" t="s">
        <v>4456</v>
      </c>
      <c r="L1261" s="189"/>
      <c r="R1261" s="157"/>
      <c r="S1261" s="157"/>
    </row>
    <row r="1262">
      <c r="A1262" s="179">
        <f t="shared" si="2"/>
        <v>1261</v>
      </c>
      <c r="B1262" s="181"/>
      <c r="C1262" s="180" t="s">
        <v>208</v>
      </c>
      <c r="D1262" s="180" t="s">
        <v>208</v>
      </c>
      <c r="E1262" s="180" t="s">
        <v>208</v>
      </c>
      <c r="F1262" s="180" t="s">
        <v>208</v>
      </c>
      <c r="G1262" s="180" t="s">
        <v>208</v>
      </c>
      <c r="H1262" s="181"/>
      <c r="I1262" s="180"/>
      <c r="J1262" s="221"/>
      <c r="K1262" s="182" t="s">
        <v>4456</v>
      </c>
      <c r="L1262" s="189"/>
      <c r="R1262" s="157"/>
      <c r="S1262" s="157"/>
    </row>
    <row r="1263">
      <c r="A1263" s="179">
        <f t="shared" si="2"/>
        <v>1262</v>
      </c>
      <c r="B1263" s="181"/>
      <c r="C1263" s="180" t="s">
        <v>208</v>
      </c>
      <c r="D1263" s="180" t="s">
        <v>208</v>
      </c>
      <c r="E1263" s="180" t="s">
        <v>208</v>
      </c>
      <c r="F1263" s="180" t="s">
        <v>208</v>
      </c>
      <c r="G1263" s="180" t="s">
        <v>208</v>
      </c>
      <c r="H1263" s="181"/>
      <c r="I1263" s="180"/>
      <c r="J1263" s="221"/>
      <c r="K1263" s="182" t="s">
        <v>4456</v>
      </c>
      <c r="L1263" s="189"/>
      <c r="R1263" s="157"/>
      <c r="S1263" s="157"/>
    </row>
    <row r="1264">
      <c r="A1264" s="179">
        <f t="shared" si="2"/>
        <v>1263</v>
      </c>
      <c r="B1264" s="181"/>
      <c r="C1264" s="180" t="s">
        <v>208</v>
      </c>
      <c r="D1264" s="180" t="s">
        <v>208</v>
      </c>
      <c r="E1264" s="180" t="s">
        <v>208</v>
      </c>
      <c r="F1264" s="180" t="s">
        <v>208</v>
      </c>
      <c r="G1264" s="180" t="s">
        <v>208</v>
      </c>
      <c r="H1264" s="181"/>
      <c r="I1264" s="180"/>
      <c r="J1264" s="221"/>
      <c r="K1264" s="182" t="s">
        <v>4456</v>
      </c>
      <c r="L1264" s="189"/>
      <c r="R1264" s="157"/>
      <c r="S1264" s="157"/>
    </row>
    <row r="1265">
      <c r="A1265" s="179">
        <f t="shared" si="2"/>
        <v>1264</v>
      </c>
      <c r="B1265" s="181"/>
      <c r="C1265" s="180" t="s">
        <v>208</v>
      </c>
      <c r="D1265" s="180" t="s">
        <v>208</v>
      </c>
      <c r="E1265" s="180" t="s">
        <v>208</v>
      </c>
      <c r="F1265" s="180" t="s">
        <v>208</v>
      </c>
      <c r="G1265" s="180" t="s">
        <v>208</v>
      </c>
      <c r="H1265" s="181"/>
      <c r="I1265" s="180"/>
      <c r="J1265" s="221"/>
      <c r="K1265" s="182" t="s">
        <v>4456</v>
      </c>
      <c r="L1265" s="189"/>
      <c r="R1265" s="157"/>
      <c r="S1265" s="157"/>
    </row>
    <row r="1266">
      <c r="A1266" s="179">
        <f t="shared" si="2"/>
        <v>1265</v>
      </c>
      <c r="B1266" s="181"/>
      <c r="C1266" s="180" t="s">
        <v>208</v>
      </c>
      <c r="D1266" s="180" t="s">
        <v>243</v>
      </c>
      <c r="E1266" s="180" t="s">
        <v>208</v>
      </c>
      <c r="F1266" s="180" t="s">
        <v>243</v>
      </c>
      <c r="G1266" s="180" t="s">
        <v>208</v>
      </c>
      <c r="H1266" s="181"/>
      <c r="I1266" s="180"/>
      <c r="J1266" s="221"/>
      <c r="K1266" s="182" t="s">
        <v>4456</v>
      </c>
      <c r="L1266" s="189"/>
      <c r="R1266" s="157"/>
      <c r="S1266" s="157"/>
    </row>
    <row r="1267">
      <c r="A1267" s="179">
        <f t="shared" si="2"/>
        <v>1266</v>
      </c>
      <c r="B1267" s="181"/>
      <c r="C1267" s="180" t="s">
        <v>208</v>
      </c>
      <c r="D1267" s="180" t="s">
        <v>208</v>
      </c>
      <c r="E1267" s="180" t="s">
        <v>208</v>
      </c>
      <c r="F1267" s="180" t="s">
        <v>208</v>
      </c>
      <c r="G1267" s="180" t="s">
        <v>208</v>
      </c>
      <c r="H1267" s="181"/>
      <c r="I1267" s="180"/>
      <c r="J1267" s="221"/>
      <c r="K1267" s="182" t="s">
        <v>4456</v>
      </c>
      <c r="L1267" s="189"/>
      <c r="R1267" s="157"/>
      <c r="S1267" s="157"/>
    </row>
    <row r="1268">
      <c r="A1268" s="179">
        <f t="shared" si="2"/>
        <v>1267</v>
      </c>
      <c r="B1268" s="181"/>
      <c r="C1268" s="180" t="s">
        <v>208</v>
      </c>
      <c r="D1268" s="180" t="s">
        <v>208</v>
      </c>
      <c r="E1268" s="180" t="s">
        <v>208</v>
      </c>
      <c r="F1268" s="180" t="s">
        <v>208</v>
      </c>
      <c r="G1268" s="180" t="s">
        <v>208</v>
      </c>
      <c r="H1268" s="181"/>
      <c r="I1268" s="180"/>
      <c r="J1268" s="221"/>
      <c r="K1268" s="182" t="s">
        <v>4456</v>
      </c>
      <c r="L1268" s="189"/>
      <c r="R1268" s="157"/>
      <c r="S1268" s="157"/>
    </row>
    <row r="1269">
      <c r="A1269" s="179">
        <f t="shared" si="2"/>
        <v>1268</v>
      </c>
      <c r="B1269" s="181"/>
      <c r="C1269" s="180" t="s">
        <v>208</v>
      </c>
      <c r="D1269" s="180" t="s">
        <v>208</v>
      </c>
      <c r="E1269" s="180" t="s">
        <v>208</v>
      </c>
      <c r="F1269" s="180" t="s">
        <v>208</v>
      </c>
      <c r="G1269" s="180" t="s">
        <v>208</v>
      </c>
      <c r="H1269" s="181"/>
      <c r="I1269" s="180"/>
      <c r="J1269" s="221"/>
      <c r="K1269" s="182" t="s">
        <v>4456</v>
      </c>
      <c r="L1269" s="189"/>
      <c r="R1269" s="157"/>
      <c r="S1269" s="157"/>
    </row>
    <row r="1270">
      <c r="A1270" s="179">
        <f t="shared" si="2"/>
        <v>1269</v>
      </c>
      <c r="B1270" s="181"/>
      <c r="C1270" s="180" t="s">
        <v>208</v>
      </c>
      <c r="D1270" s="181"/>
      <c r="E1270" s="180" t="s">
        <v>208</v>
      </c>
      <c r="F1270" s="180" t="s">
        <v>208</v>
      </c>
      <c r="G1270" s="180" t="s">
        <v>208</v>
      </c>
      <c r="H1270" s="181"/>
      <c r="I1270" s="180"/>
      <c r="J1270" s="221"/>
      <c r="K1270" s="182" t="s">
        <v>4456</v>
      </c>
      <c r="L1270" s="189"/>
      <c r="R1270" s="157"/>
      <c r="S1270" s="157"/>
    </row>
    <row r="1271">
      <c r="A1271" s="179">
        <f t="shared" si="2"/>
        <v>1270</v>
      </c>
      <c r="B1271" s="181"/>
      <c r="C1271" s="180" t="s">
        <v>208</v>
      </c>
      <c r="D1271" s="180" t="s">
        <v>208</v>
      </c>
      <c r="E1271" s="180" t="s">
        <v>208</v>
      </c>
      <c r="F1271" s="180" t="s">
        <v>208</v>
      </c>
      <c r="G1271" s="180" t="s">
        <v>208</v>
      </c>
      <c r="H1271" s="181"/>
      <c r="I1271" s="180"/>
      <c r="J1271" s="221"/>
      <c r="K1271" s="182" t="s">
        <v>4456</v>
      </c>
      <c r="L1271" s="189"/>
      <c r="R1271" s="157"/>
      <c r="S1271" s="157"/>
    </row>
    <row r="1272">
      <c r="A1272" s="179">
        <f t="shared" si="2"/>
        <v>1271</v>
      </c>
      <c r="B1272" s="181"/>
      <c r="C1272" s="180" t="s">
        <v>208</v>
      </c>
      <c r="D1272" s="180" t="s">
        <v>208</v>
      </c>
      <c r="E1272" s="180" t="s">
        <v>208</v>
      </c>
      <c r="F1272" s="180" t="s">
        <v>208</v>
      </c>
      <c r="G1272" s="180" t="s">
        <v>208</v>
      </c>
      <c r="H1272" s="181"/>
      <c r="I1272" s="180"/>
      <c r="J1272" s="221"/>
      <c r="K1272" s="182" t="s">
        <v>4456</v>
      </c>
      <c r="L1272" s="189"/>
      <c r="R1272" s="157"/>
      <c r="S1272" s="157"/>
    </row>
    <row r="1273">
      <c r="A1273" s="179">
        <f t="shared" si="2"/>
        <v>1272</v>
      </c>
      <c r="B1273" s="181"/>
      <c r="C1273" s="180" t="s">
        <v>208</v>
      </c>
      <c r="D1273" s="180" t="s">
        <v>208</v>
      </c>
      <c r="E1273" s="180" t="s">
        <v>208</v>
      </c>
      <c r="F1273" s="180" t="s">
        <v>208</v>
      </c>
      <c r="G1273" s="180" t="s">
        <v>208</v>
      </c>
      <c r="H1273" s="181"/>
      <c r="I1273" s="180"/>
      <c r="J1273" s="221"/>
      <c r="K1273" s="182" t="s">
        <v>4456</v>
      </c>
      <c r="L1273" s="189"/>
      <c r="R1273" s="157"/>
      <c r="S1273" s="157"/>
    </row>
    <row r="1274">
      <c r="A1274" s="179">
        <f t="shared" si="2"/>
        <v>1273</v>
      </c>
      <c r="B1274" s="181"/>
      <c r="C1274" s="180" t="s">
        <v>208</v>
      </c>
      <c r="D1274" s="180" t="s">
        <v>243</v>
      </c>
      <c r="E1274" s="180" t="s">
        <v>208</v>
      </c>
      <c r="F1274" s="180" t="s">
        <v>208</v>
      </c>
      <c r="G1274" s="180" t="s">
        <v>208</v>
      </c>
      <c r="H1274" s="181"/>
      <c r="I1274" s="180"/>
      <c r="J1274" s="221"/>
      <c r="K1274" s="182" t="s">
        <v>4456</v>
      </c>
      <c r="L1274" s="189"/>
      <c r="R1274" s="157"/>
      <c r="S1274" s="157"/>
    </row>
    <row r="1275">
      <c r="A1275" s="179">
        <f t="shared" si="2"/>
        <v>1274</v>
      </c>
      <c r="B1275" s="181"/>
      <c r="C1275" s="180" t="s">
        <v>208</v>
      </c>
      <c r="D1275" s="180" t="s">
        <v>208</v>
      </c>
      <c r="E1275" s="180" t="s">
        <v>208</v>
      </c>
      <c r="F1275" s="180" t="s">
        <v>208</v>
      </c>
      <c r="G1275" s="180" t="s">
        <v>208</v>
      </c>
      <c r="H1275" s="181"/>
      <c r="I1275" s="180"/>
      <c r="J1275" s="221"/>
      <c r="K1275" s="182" t="s">
        <v>4456</v>
      </c>
      <c r="L1275" s="189"/>
      <c r="R1275" s="157"/>
      <c r="S1275" s="157"/>
    </row>
    <row r="1276">
      <c r="A1276" s="179">
        <f t="shared" si="2"/>
        <v>1275</v>
      </c>
      <c r="B1276" s="181"/>
      <c r="C1276" s="180" t="s">
        <v>208</v>
      </c>
      <c r="D1276" s="180" t="s">
        <v>208</v>
      </c>
      <c r="E1276" s="180" t="s">
        <v>208</v>
      </c>
      <c r="F1276" s="180" t="s">
        <v>208</v>
      </c>
      <c r="G1276" s="180" t="s">
        <v>208</v>
      </c>
      <c r="H1276" s="181"/>
      <c r="I1276" s="180"/>
      <c r="J1276" s="221"/>
      <c r="K1276" s="182" t="s">
        <v>4456</v>
      </c>
      <c r="L1276" s="189"/>
      <c r="R1276" s="157"/>
      <c r="S1276" s="157"/>
    </row>
    <row r="1277">
      <c r="A1277" s="179">
        <f t="shared" si="2"/>
        <v>1276</v>
      </c>
      <c r="B1277" s="181"/>
      <c r="C1277" s="180" t="s">
        <v>208</v>
      </c>
      <c r="D1277" s="180" t="s">
        <v>208</v>
      </c>
      <c r="E1277" s="180" t="s">
        <v>208</v>
      </c>
      <c r="F1277" s="180" t="s">
        <v>208</v>
      </c>
      <c r="G1277" s="180" t="s">
        <v>208</v>
      </c>
      <c r="H1277" s="181"/>
      <c r="I1277" s="180"/>
      <c r="J1277" s="221"/>
      <c r="K1277" s="182" t="s">
        <v>4456</v>
      </c>
      <c r="L1277" s="189"/>
      <c r="R1277" s="157"/>
      <c r="S1277" s="157"/>
    </row>
    <row r="1278">
      <c r="A1278" s="179">
        <f t="shared" si="2"/>
        <v>1277</v>
      </c>
      <c r="B1278" s="181"/>
      <c r="C1278" s="180" t="s">
        <v>208</v>
      </c>
      <c r="D1278" s="180" t="s">
        <v>208</v>
      </c>
      <c r="E1278" s="180" t="s">
        <v>208</v>
      </c>
      <c r="F1278" s="180" t="s">
        <v>208</v>
      </c>
      <c r="G1278" s="180" t="s">
        <v>208</v>
      </c>
      <c r="H1278" s="181"/>
      <c r="I1278" s="180"/>
      <c r="J1278" s="221"/>
      <c r="K1278" s="182" t="s">
        <v>4456</v>
      </c>
      <c r="L1278" s="189"/>
      <c r="R1278" s="157"/>
      <c r="S1278" s="157"/>
    </row>
    <row r="1279">
      <c r="A1279" s="179">
        <f t="shared" si="2"/>
        <v>1278</v>
      </c>
      <c r="B1279" s="181"/>
      <c r="C1279" s="180" t="s">
        <v>208</v>
      </c>
      <c r="D1279" s="180" t="s">
        <v>208</v>
      </c>
      <c r="E1279" s="180" t="s">
        <v>208</v>
      </c>
      <c r="F1279" s="180" t="s">
        <v>208</v>
      </c>
      <c r="G1279" s="180" t="s">
        <v>208</v>
      </c>
      <c r="H1279" s="181"/>
      <c r="I1279" s="180"/>
      <c r="J1279" s="221"/>
      <c r="K1279" s="182" t="s">
        <v>4456</v>
      </c>
      <c r="L1279" s="189"/>
      <c r="R1279" s="157"/>
      <c r="S1279" s="157"/>
    </row>
    <row r="1280">
      <c r="A1280" s="179">
        <f t="shared" si="2"/>
        <v>1279</v>
      </c>
      <c r="B1280" s="181"/>
      <c r="C1280" s="180" t="s">
        <v>208</v>
      </c>
      <c r="D1280" s="180" t="s">
        <v>208</v>
      </c>
      <c r="E1280" s="180" t="s">
        <v>208</v>
      </c>
      <c r="F1280" s="180" t="s">
        <v>208</v>
      </c>
      <c r="G1280" s="180" t="s">
        <v>208</v>
      </c>
      <c r="H1280" s="181"/>
      <c r="I1280" s="180"/>
      <c r="J1280" s="221"/>
      <c r="K1280" s="182" t="s">
        <v>4456</v>
      </c>
      <c r="L1280" s="189"/>
      <c r="R1280" s="157"/>
      <c r="S1280" s="157"/>
    </row>
    <row r="1281">
      <c r="A1281" s="179">
        <f t="shared" si="2"/>
        <v>1280</v>
      </c>
      <c r="B1281" s="181"/>
      <c r="C1281" s="180" t="s">
        <v>208</v>
      </c>
      <c r="D1281" s="180" t="s">
        <v>243</v>
      </c>
      <c r="E1281" s="180" t="s">
        <v>208</v>
      </c>
      <c r="F1281" s="180" t="s">
        <v>208</v>
      </c>
      <c r="G1281" s="180" t="s">
        <v>208</v>
      </c>
      <c r="H1281" s="181"/>
      <c r="I1281" s="180"/>
      <c r="J1281" s="221"/>
      <c r="K1281" s="182" t="s">
        <v>4456</v>
      </c>
      <c r="L1281" s="189"/>
      <c r="R1281" s="157"/>
      <c r="S1281" s="157"/>
    </row>
    <row r="1282">
      <c r="A1282" s="185" t="s">
        <v>245</v>
      </c>
      <c r="B1282" s="181"/>
      <c r="C1282" s="181"/>
      <c r="D1282" s="181"/>
      <c r="E1282" s="181"/>
      <c r="F1282" s="181"/>
      <c r="G1282" s="181"/>
      <c r="H1282" s="181"/>
      <c r="I1282" s="180" t="s">
        <v>208</v>
      </c>
      <c r="J1282" s="221"/>
      <c r="K1282" s="223" t="s">
        <v>34</v>
      </c>
      <c r="L1282" s="189" t="s">
        <v>33</v>
      </c>
      <c r="R1282" s="157"/>
      <c r="S1282" s="157"/>
    </row>
    <row r="1283">
      <c r="A1283" s="185" t="s">
        <v>245</v>
      </c>
      <c r="B1283" s="181"/>
      <c r="C1283" s="181"/>
      <c r="D1283" s="181"/>
      <c r="E1283" s="181"/>
      <c r="F1283" s="181"/>
      <c r="G1283" s="181"/>
      <c r="H1283" s="181"/>
      <c r="I1283" s="180" t="s">
        <v>208</v>
      </c>
      <c r="J1283" s="221"/>
      <c r="K1283" s="223" t="s">
        <v>49</v>
      </c>
      <c r="L1283" s="189" t="s">
        <v>48</v>
      </c>
      <c r="R1283" s="163"/>
      <c r="S1283" s="163"/>
    </row>
    <row r="1284">
      <c r="A1284" s="185" t="s">
        <v>245</v>
      </c>
      <c r="B1284" s="181"/>
      <c r="C1284" s="181"/>
      <c r="D1284" s="181"/>
      <c r="E1284" s="181"/>
      <c r="F1284" s="181"/>
      <c r="G1284" s="181"/>
      <c r="H1284" s="181"/>
      <c r="I1284" s="180"/>
      <c r="J1284" s="221"/>
      <c r="K1284" s="223" t="s">
        <v>246</v>
      </c>
      <c r="L1284" s="189" t="s">
        <v>247</v>
      </c>
      <c r="R1284" s="163"/>
      <c r="S1284" s="163"/>
    </row>
    <row r="1285">
      <c r="A1285" s="185" t="s">
        <v>245</v>
      </c>
      <c r="B1285" s="181"/>
      <c r="C1285" s="180"/>
      <c r="D1285" s="180" t="s">
        <v>208</v>
      </c>
      <c r="E1285" s="181"/>
      <c r="F1285" s="181"/>
      <c r="G1285" s="181"/>
      <c r="H1285" s="181"/>
      <c r="I1285" s="180" t="s">
        <v>208</v>
      </c>
      <c r="J1285" s="221"/>
      <c r="K1285" s="223" t="s">
        <v>54</v>
      </c>
      <c r="L1285" s="189" t="s">
        <v>53</v>
      </c>
      <c r="R1285" s="163"/>
      <c r="S1285" s="163"/>
    </row>
    <row r="1286">
      <c r="A1286" s="185" t="s">
        <v>245</v>
      </c>
      <c r="B1286" s="181"/>
      <c r="C1286" s="180"/>
      <c r="D1286" s="180" t="s">
        <v>208</v>
      </c>
      <c r="E1286" s="181"/>
      <c r="F1286" s="181"/>
      <c r="G1286" s="181"/>
      <c r="H1286" s="181"/>
      <c r="I1286" s="180" t="s">
        <v>208</v>
      </c>
      <c r="J1286" s="221"/>
      <c r="K1286" s="223" t="s">
        <v>62</v>
      </c>
      <c r="L1286" s="189" t="s">
        <v>61</v>
      </c>
      <c r="R1286" s="163"/>
      <c r="S1286" s="163"/>
    </row>
    <row r="1287">
      <c r="A1287" s="185" t="s">
        <v>245</v>
      </c>
      <c r="B1287" s="181"/>
      <c r="C1287" s="180"/>
      <c r="D1287" s="180" t="s">
        <v>208</v>
      </c>
      <c r="E1287" s="181"/>
      <c r="F1287" s="181"/>
      <c r="G1287" s="181"/>
      <c r="H1287" s="181"/>
      <c r="I1287" s="180" t="s">
        <v>208</v>
      </c>
      <c r="J1287" s="221"/>
      <c r="K1287" s="223" t="s">
        <v>64</v>
      </c>
      <c r="L1287" s="189" t="s">
        <v>61</v>
      </c>
      <c r="R1287" s="163"/>
      <c r="S1287" s="163"/>
    </row>
    <row r="1288">
      <c r="A1288" s="185" t="s">
        <v>245</v>
      </c>
      <c r="B1288" s="181"/>
      <c r="C1288" s="180"/>
      <c r="D1288" s="180" t="s">
        <v>208</v>
      </c>
      <c r="E1288" s="181"/>
      <c r="F1288" s="181"/>
      <c r="G1288" s="181"/>
      <c r="H1288" s="181"/>
      <c r="I1288" s="180" t="s">
        <v>208</v>
      </c>
      <c r="J1288" s="221"/>
      <c r="K1288" s="223" t="s">
        <v>72</v>
      </c>
      <c r="L1288" s="189" t="s">
        <v>61</v>
      </c>
      <c r="R1288" s="163"/>
      <c r="S1288" s="163"/>
    </row>
    <row r="1289">
      <c r="A1289" s="185" t="s">
        <v>245</v>
      </c>
      <c r="B1289" s="180"/>
      <c r="C1289" s="180" t="s">
        <v>208</v>
      </c>
      <c r="D1289" s="180" t="s">
        <v>208</v>
      </c>
      <c r="E1289" s="180"/>
      <c r="F1289" s="180" t="s">
        <v>208</v>
      </c>
      <c r="G1289" s="180" t="s">
        <v>208</v>
      </c>
      <c r="H1289" s="181"/>
      <c r="I1289" s="180" t="s">
        <v>208</v>
      </c>
      <c r="J1289" s="221"/>
      <c r="K1289" s="223" t="s">
        <v>99</v>
      </c>
      <c r="L1289" s="189" t="s">
        <v>98</v>
      </c>
      <c r="R1289" s="163"/>
      <c r="S1289" s="163"/>
    </row>
    <row r="1290">
      <c r="A1290" s="185" t="s">
        <v>245</v>
      </c>
      <c r="B1290" s="180"/>
      <c r="C1290" s="180" t="s">
        <v>208</v>
      </c>
      <c r="D1290" s="180" t="s">
        <v>208</v>
      </c>
      <c r="E1290" s="180"/>
      <c r="F1290" s="180" t="s">
        <v>208</v>
      </c>
      <c r="G1290" s="180" t="s">
        <v>208</v>
      </c>
      <c r="H1290" s="181"/>
      <c r="I1290" s="180"/>
      <c r="J1290" s="221"/>
      <c r="K1290" s="223" t="s">
        <v>107</v>
      </c>
      <c r="L1290" s="189" t="s">
        <v>104</v>
      </c>
      <c r="R1290" s="163"/>
      <c r="S1290" s="163"/>
    </row>
    <row r="1291">
      <c r="A1291" s="185" t="s">
        <v>245</v>
      </c>
      <c r="B1291" s="181"/>
      <c r="C1291" s="180"/>
      <c r="D1291" s="180" t="s">
        <v>208</v>
      </c>
      <c r="E1291" s="181"/>
      <c r="F1291" s="181"/>
      <c r="G1291" s="181"/>
      <c r="H1291" s="181"/>
      <c r="I1291" s="180" t="s">
        <v>208</v>
      </c>
      <c r="J1291" s="221"/>
      <c r="K1291" s="223" t="s">
        <v>116</v>
      </c>
      <c r="L1291" s="189" t="s">
        <v>115</v>
      </c>
      <c r="R1291" s="163"/>
      <c r="S1291" s="163"/>
    </row>
    <row r="1292">
      <c r="A1292" s="185" t="s">
        <v>245</v>
      </c>
      <c r="B1292" s="181"/>
      <c r="C1292" s="180"/>
      <c r="D1292" s="180" t="s">
        <v>208</v>
      </c>
      <c r="E1292" s="181"/>
      <c r="F1292" s="181"/>
      <c r="G1292" s="181"/>
      <c r="H1292" s="181"/>
      <c r="I1292" s="180" t="s">
        <v>208</v>
      </c>
      <c r="J1292" s="221"/>
      <c r="K1292" s="223" t="s">
        <v>119</v>
      </c>
      <c r="L1292" s="189" t="s">
        <v>118</v>
      </c>
      <c r="R1292" s="163"/>
      <c r="S1292" s="163"/>
    </row>
    <row r="1293">
      <c r="A1293" s="185" t="s">
        <v>245</v>
      </c>
      <c r="B1293" s="181"/>
      <c r="C1293" s="180"/>
      <c r="D1293" s="180" t="s">
        <v>208</v>
      </c>
      <c r="E1293" s="181"/>
      <c r="F1293" s="181"/>
      <c r="G1293" s="181"/>
      <c r="H1293" s="181"/>
      <c r="I1293" s="180" t="s">
        <v>208</v>
      </c>
      <c r="J1293" s="221"/>
      <c r="K1293" s="223" t="s">
        <v>122</v>
      </c>
      <c r="L1293" s="189" t="s">
        <v>118</v>
      </c>
      <c r="R1293" s="173"/>
      <c r="S1293" s="173"/>
    </row>
    <row r="1294">
      <c r="A1294" s="185" t="s">
        <v>245</v>
      </c>
      <c r="B1294" s="181"/>
      <c r="C1294" s="180"/>
      <c r="D1294" s="180" t="s">
        <v>208</v>
      </c>
      <c r="E1294" s="181"/>
      <c r="F1294" s="181"/>
      <c r="G1294" s="181"/>
      <c r="H1294" s="181"/>
      <c r="I1294" s="180" t="s">
        <v>208</v>
      </c>
      <c r="J1294" s="221"/>
      <c r="K1294" s="223" t="s">
        <v>113</v>
      </c>
      <c r="L1294" s="189" t="s">
        <v>118</v>
      </c>
      <c r="R1294" s="157"/>
      <c r="S1294" s="157"/>
    </row>
    <row r="1295">
      <c r="A1295" s="185" t="s">
        <v>245</v>
      </c>
      <c r="B1295" s="181"/>
      <c r="C1295" s="180"/>
      <c r="D1295" s="180" t="s">
        <v>243</v>
      </c>
      <c r="E1295" s="181"/>
      <c r="F1295" s="181"/>
      <c r="G1295" s="181"/>
      <c r="H1295" s="181"/>
      <c r="I1295" s="180" t="s">
        <v>208</v>
      </c>
      <c r="J1295" s="221"/>
      <c r="K1295" s="223" t="s">
        <v>125</v>
      </c>
      <c r="L1295" s="189" t="s">
        <v>124</v>
      </c>
      <c r="R1295" s="163"/>
      <c r="S1295" s="163"/>
    </row>
    <row r="1296">
      <c r="A1296" s="185" t="s">
        <v>245</v>
      </c>
      <c r="B1296" s="180"/>
      <c r="C1296" s="180"/>
      <c r="D1296" s="180"/>
      <c r="E1296" s="180"/>
      <c r="F1296" s="180"/>
      <c r="G1296" s="180"/>
      <c r="H1296" s="181"/>
      <c r="I1296" s="181"/>
      <c r="J1296" s="221"/>
      <c r="K1296" s="223" t="s">
        <v>249</v>
      </c>
      <c r="L1296" s="189" t="s">
        <v>124</v>
      </c>
      <c r="R1296" s="163"/>
      <c r="S1296" s="163"/>
    </row>
    <row r="1297">
      <c r="A1297" s="185" t="s">
        <v>245</v>
      </c>
      <c r="B1297" s="181"/>
      <c r="C1297" s="180" t="s">
        <v>208</v>
      </c>
      <c r="D1297" s="180" t="s">
        <v>208</v>
      </c>
      <c r="E1297" s="181"/>
      <c r="F1297" s="180" t="s">
        <v>208</v>
      </c>
      <c r="G1297" s="180" t="s">
        <v>208</v>
      </c>
      <c r="H1297" s="181"/>
      <c r="I1297" s="180"/>
      <c r="J1297" s="221"/>
      <c r="K1297" s="223" t="s">
        <v>248</v>
      </c>
      <c r="L1297" s="189" t="s">
        <v>142</v>
      </c>
      <c r="R1297" s="163"/>
      <c r="S1297" s="163"/>
    </row>
    <row r="1298">
      <c r="A1298" s="185" t="s">
        <v>245</v>
      </c>
      <c r="B1298" s="181"/>
      <c r="C1298" s="181"/>
      <c r="D1298" s="180" t="s">
        <v>208</v>
      </c>
      <c r="E1298" s="181"/>
      <c r="F1298" s="181"/>
      <c r="G1298" s="181"/>
      <c r="H1298" s="181"/>
      <c r="I1298" s="180" t="s">
        <v>208</v>
      </c>
      <c r="J1298" s="221"/>
      <c r="K1298" s="223" t="s">
        <v>143</v>
      </c>
      <c r="L1298" s="189" t="s">
        <v>142</v>
      </c>
      <c r="R1298" s="163"/>
      <c r="S1298" s="163"/>
    </row>
    <row r="1299">
      <c r="A1299" s="185" t="s">
        <v>245</v>
      </c>
      <c r="B1299" s="181"/>
      <c r="C1299" s="180" t="s">
        <v>208</v>
      </c>
      <c r="D1299" s="180" t="s">
        <v>208</v>
      </c>
      <c r="E1299" s="181"/>
      <c r="F1299" s="180" t="s">
        <v>208</v>
      </c>
      <c r="G1299" s="180" t="s">
        <v>208</v>
      </c>
      <c r="H1299" s="181"/>
      <c r="I1299" s="180"/>
      <c r="J1299" s="221"/>
      <c r="K1299" s="223" t="s">
        <v>250</v>
      </c>
      <c r="L1299" s="189" t="s">
        <v>136</v>
      </c>
      <c r="R1299" s="163"/>
      <c r="S1299" s="163"/>
    </row>
    <row r="1300">
      <c r="A1300" s="185" t="s">
        <v>245</v>
      </c>
      <c r="B1300" s="180"/>
      <c r="C1300" s="180" t="s">
        <v>208</v>
      </c>
      <c r="D1300" s="180" t="s">
        <v>208</v>
      </c>
      <c r="E1300" s="180"/>
      <c r="F1300" s="180" t="s">
        <v>208</v>
      </c>
      <c r="G1300" s="180" t="s">
        <v>208</v>
      </c>
      <c r="H1300" s="181"/>
      <c r="I1300" s="181"/>
      <c r="J1300" s="221"/>
      <c r="K1300" s="223" t="s">
        <v>130</v>
      </c>
      <c r="L1300" s="189" t="s">
        <v>129</v>
      </c>
      <c r="R1300" s="163"/>
      <c r="S1300" s="163"/>
    </row>
    <row r="1301">
      <c r="A1301" s="185" t="s">
        <v>245</v>
      </c>
      <c r="B1301" s="180"/>
      <c r="C1301" s="180"/>
      <c r="D1301" s="180" t="s">
        <v>208</v>
      </c>
      <c r="E1301" s="180"/>
      <c r="F1301" s="180"/>
      <c r="G1301" s="180"/>
      <c r="H1301" s="181"/>
      <c r="I1301" s="180" t="s">
        <v>208</v>
      </c>
      <c r="J1301" s="221"/>
      <c r="K1301" s="223" t="s">
        <v>148</v>
      </c>
      <c r="L1301" s="189" t="s">
        <v>144</v>
      </c>
      <c r="R1301" s="163"/>
      <c r="S1301" s="163"/>
    </row>
    <row r="1302">
      <c r="A1302" s="185" t="s">
        <v>245</v>
      </c>
      <c r="B1302" s="181"/>
      <c r="C1302" s="180" t="s">
        <v>208</v>
      </c>
      <c r="D1302" s="180" t="s">
        <v>208</v>
      </c>
      <c r="E1302" s="181"/>
      <c r="F1302" s="180" t="s">
        <v>208</v>
      </c>
      <c r="G1302" s="180" t="s">
        <v>208</v>
      </c>
      <c r="H1302" s="181"/>
      <c r="I1302" s="180"/>
      <c r="J1302" s="221"/>
      <c r="K1302" s="223" t="s">
        <v>251</v>
      </c>
      <c r="L1302" s="189" t="s">
        <v>136</v>
      </c>
      <c r="R1302" s="163"/>
      <c r="S1302" s="163"/>
    </row>
    <row r="1303">
      <c r="A1303" s="185" t="s">
        <v>245</v>
      </c>
      <c r="B1303" s="180"/>
      <c r="C1303" s="180" t="s">
        <v>208</v>
      </c>
      <c r="D1303" s="180" t="s">
        <v>208</v>
      </c>
      <c r="E1303" s="180"/>
      <c r="F1303" s="180" t="s">
        <v>243</v>
      </c>
      <c r="G1303" s="180" t="s">
        <v>208</v>
      </c>
      <c r="H1303" s="181"/>
      <c r="I1303" s="181"/>
      <c r="J1303" s="221"/>
      <c r="K1303" s="223" t="s">
        <v>252</v>
      </c>
      <c r="L1303" s="189" t="s">
        <v>136</v>
      </c>
      <c r="R1303" s="163"/>
      <c r="S1303" s="163"/>
    </row>
    <row r="1304">
      <c r="A1304" s="185" t="s">
        <v>245</v>
      </c>
      <c r="B1304" s="180"/>
      <c r="C1304" s="180"/>
      <c r="D1304" s="180" t="s">
        <v>208</v>
      </c>
      <c r="E1304" s="181"/>
      <c r="F1304" s="180"/>
      <c r="G1304" s="180"/>
      <c r="H1304" s="181"/>
      <c r="I1304" s="180" t="s">
        <v>208</v>
      </c>
      <c r="J1304" s="221"/>
      <c r="K1304" s="223" t="s">
        <v>152</v>
      </c>
      <c r="L1304" s="189" t="s">
        <v>144</v>
      </c>
      <c r="R1304" s="163"/>
      <c r="S1304" s="163"/>
    </row>
    <row r="1305">
      <c r="A1305" s="185" t="s">
        <v>245</v>
      </c>
      <c r="B1305" s="181"/>
      <c r="C1305" s="180"/>
      <c r="D1305" s="180"/>
      <c r="E1305" s="181"/>
      <c r="F1305" s="181"/>
      <c r="G1305" s="181"/>
      <c r="H1305" s="181"/>
      <c r="I1305" s="180"/>
      <c r="J1305" s="221"/>
      <c r="K1305" s="223" t="s">
        <v>167</v>
      </c>
      <c r="L1305" s="189" t="s">
        <v>161</v>
      </c>
      <c r="R1305" s="173"/>
      <c r="S1305" s="173"/>
    </row>
    <row r="1306">
      <c r="A1306" s="185" t="s">
        <v>245</v>
      </c>
      <c r="B1306" s="181"/>
      <c r="C1306" s="181"/>
      <c r="D1306" s="181"/>
      <c r="E1306" s="181"/>
      <c r="F1306" s="181"/>
      <c r="G1306" s="181"/>
      <c r="H1306" s="181"/>
      <c r="I1306" s="181"/>
      <c r="J1306" s="221"/>
      <c r="K1306" s="223" t="s">
        <v>253</v>
      </c>
      <c r="L1306" s="189" t="s">
        <v>161</v>
      </c>
      <c r="R1306" s="157"/>
      <c r="S1306" s="157"/>
    </row>
    <row r="1307">
      <c r="A1307" s="185" t="s">
        <v>245</v>
      </c>
      <c r="B1307" s="181"/>
      <c r="C1307" s="181"/>
      <c r="D1307" s="181"/>
      <c r="E1307" s="181"/>
      <c r="F1307" s="181"/>
      <c r="G1307" s="181"/>
      <c r="H1307" s="181"/>
      <c r="I1307" s="181"/>
      <c r="J1307" s="221"/>
      <c r="K1307" s="223" t="s">
        <v>254</v>
      </c>
      <c r="L1307" s="189" t="s">
        <v>161</v>
      </c>
      <c r="R1307" s="163"/>
      <c r="S1307" s="163"/>
    </row>
    <row r="1308">
      <c r="A1308" s="185" t="s">
        <v>245</v>
      </c>
      <c r="B1308" s="181"/>
      <c r="C1308" s="180" t="s">
        <v>208</v>
      </c>
      <c r="D1308" s="180" t="s">
        <v>208</v>
      </c>
      <c r="E1308" s="181"/>
      <c r="F1308" s="180" t="s">
        <v>208</v>
      </c>
      <c r="G1308" s="180" t="s">
        <v>208</v>
      </c>
      <c r="H1308" s="181"/>
      <c r="I1308" s="180"/>
      <c r="J1308" s="221"/>
      <c r="K1308" s="223" t="s">
        <v>162</v>
      </c>
      <c r="L1308" s="189" t="s">
        <v>161</v>
      </c>
      <c r="R1308" s="163"/>
      <c r="S1308" s="163"/>
    </row>
    <row r="1309">
      <c r="A1309" s="185" t="s">
        <v>245</v>
      </c>
      <c r="B1309" s="181"/>
      <c r="C1309" s="180"/>
      <c r="D1309" s="180"/>
      <c r="E1309" s="181"/>
      <c r="F1309" s="181"/>
      <c r="G1309" s="181"/>
      <c r="H1309" s="181"/>
      <c r="I1309" s="180"/>
      <c r="J1309" s="221"/>
      <c r="K1309" s="223" t="s">
        <v>255</v>
      </c>
      <c r="L1309" s="189" t="s">
        <v>161</v>
      </c>
      <c r="R1309" s="163"/>
      <c r="S1309" s="163"/>
    </row>
    <row r="1310">
      <c r="A1310" s="185" t="s">
        <v>245</v>
      </c>
      <c r="B1310" s="181"/>
      <c r="C1310" s="181"/>
      <c r="D1310" s="181"/>
      <c r="E1310" s="181"/>
      <c r="F1310" s="181"/>
      <c r="G1310" s="181"/>
      <c r="H1310" s="181"/>
      <c r="I1310" s="181"/>
      <c r="J1310" s="221"/>
      <c r="K1310" s="223" t="s">
        <v>256</v>
      </c>
      <c r="L1310" s="189" t="s">
        <v>161</v>
      </c>
      <c r="R1310" s="163"/>
      <c r="S1310" s="163"/>
    </row>
    <row r="1311">
      <c r="A1311" s="185" t="s">
        <v>245</v>
      </c>
      <c r="B1311" s="181"/>
      <c r="C1311" s="180" t="s">
        <v>208</v>
      </c>
      <c r="D1311" s="180" t="s">
        <v>208</v>
      </c>
      <c r="E1311" s="181"/>
      <c r="F1311" s="180" t="s">
        <v>208</v>
      </c>
      <c r="G1311" s="180" t="s">
        <v>208</v>
      </c>
      <c r="H1311" s="181"/>
      <c r="I1311" s="180"/>
      <c r="J1311" s="221"/>
      <c r="K1311" s="223" t="s">
        <v>257</v>
      </c>
      <c r="L1311" s="189" t="s">
        <v>161</v>
      </c>
      <c r="R1311" s="163"/>
      <c r="S1311" s="163"/>
    </row>
    <row r="1312">
      <c r="A1312" s="185" t="s">
        <v>245</v>
      </c>
      <c r="B1312" s="181"/>
      <c r="C1312" s="181"/>
      <c r="D1312" s="181"/>
      <c r="E1312" s="181"/>
      <c r="F1312" s="181"/>
      <c r="G1312" s="181"/>
      <c r="H1312" s="181"/>
      <c r="I1312" s="181"/>
      <c r="J1312" s="221"/>
      <c r="K1312" s="223" t="s">
        <v>169</v>
      </c>
      <c r="L1312" s="189" t="s">
        <v>161</v>
      </c>
      <c r="R1312" s="163"/>
      <c r="S1312" s="163"/>
    </row>
    <row r="1313">
      <c r="A1313" s="185" t="s">
        <v>245</v>
      </c>
      <c r="B1313" s="181"/>
      <c r="C1313" s="180" t="s">
        <v>208</v>
      </c>
      <c r="D1313" s="180" t="s">
        <v>208</v>
      </c>
      <c r="E1313" s="181"/>
      <c r="F1313" s="180" t="s">
        <v>208</v>
      </c>
      <c r="G1313" s="180" t="s">
        <v>208</v>
      </c>
      <c r="H1313" s="181"/>
      <c r="I1313" s="180"/>
      <c r="J1313" s="221"/>
      <c r="K1313" s="223" t="s">
        <v>258</v>
      </c>
      <c r="L1313" s="189" t="s">
        <v>136</v>
      </c>
      <c r="R1313" s="163"/>
      <c r="S1313" s="163"/>
    </row>
    <row r="1314">
      <c r="A1314" s="185" t="s">
        <v>245</v>
      </c>
      <c r="B1314" s="180"/>
      <c r="C1314" s="180"/>
      <c r="D1314" s="180" t="s">
        <v>208</v>
      </c>
      <c r="E1314" s="180"/>
      <c r="F1314" s="180"/>
      <c r="G1314" s="180"/>
      <c r="H1314" s="181"/>
      <c r="I1314" s="180" t="s">
        <v>208</v>
      </c>
      <c r="J1314" s="221"/>
      <c r="K1314" s="223" t="s">
        <v>156</v>
      </c>
      <c r="L1314" s="189" t="s">
        <v>144</v>
      </c>
      <c r="R1314" s="163"/>
      <c r="S1314" s="163"/>
    </row>
    <row r="1315">
      <c r="A1315" s="185" t="s">
        <v>245</v>
      </c>
      <c r="B1315" s="181"/>
      <c r="C1315" s="180" t="s">
        <v>208</v>
      </c>
      <c r="D1315" s="180" t="s">
        <v>208</v>
      </c>
      <c r="E1315" s="180" t="s">
        <v>208</v>
      </c>
      <c r="F1315" s="180" t="s">
        <v>208</v>
      </c>
      <c r="G1315" s="180" t="s">
        <v>208</v>
      </c>
      <c r="H1315" s="181"/>
      <c r="I1315" s="180"/>
      <c r="J1315" s="221"/>
      <c r="K1315" s="223" t="s">
        <v>170</v>
      </c>
      <c r="L1315" s="189" t="s">
        <v>161</v>
      </c>
      <c r="R1315" s="163"/>
      <c r="S1315" s="163"/>
    </row>
    <row r="1316">
      <c r="A1316" s="185" t="s">
        <v>245</v>
      </c>
      <c r="B1316" s="181"/>
      <c r="C1316" s="180"/>
      <c r="D1316" s="180"/>
      <c r="E1316" s="181"/>
      <c r="F1316" s="181"/>
      <c r="G1316" s="181"/>
      <c r="H1316" s="181"/>
      <c r="I1316" s="180"/>
      <c r="J1316" s="221"/>
      <c r="K1316" s="223" t="s">
        <v>259</v>
      </c>
      <c r="L1316" s="189" t="s">
        <v>161</v>
      </c>
      <c r="R1316" s="163"/>
      <c r="S1316" s="163"/>
    </row>
    <row r="1317">
      <c r="A1317" s="185" t="s">
        <v>245</v>
      </c>
      <c r="B1317" s="181"/>
      <c r="C1317" s="180" t="s">
        <v>208</v>
      </c>
      <c r="D1317" s="180" t="s">
        <v>208</v>
      </c>
      <c r="E1317" s="181"/>
      <c r="F1317" s="180" t="s">
        <v>208</v>
      </c>
      <c r="G1317" s="180" t="s">
        <v>208</v>
      </c>
      <c r="H1317" s="181"/>
      <c r="I1317" s="181"/>
      <c r="J1317" s="221"/>
      <c r="K1317" s="223" t="s">
        <v>171</v>
      </c>
      <c r="L1317" s="189" t="s">
        <v>161</v>
      </c>
      <c r="R1317" s="173"/>
      <c r="S1317" s="173"/>
    </row>
    <row r="1318">
      <c r="A1318" s="185" t="s">
        <v>245</v>
      </c>
      <c r="B1318" s="181"/>
      <c r="C1318" s="180"/>
      <c r="D1318" s="180" t="s">
        <v>208</v>
      </c>
      <c r="E1318" s="180" t="s">
        <v>208</v>
      </c>
      <c r="F1318" s="180"/>
      <c r="G1318" s="181"/>
      <c r="H1318" s="180"/>
      <c r="I1318" s="180" t="s">
        <v>208</v>
      </c>
      <c r="J1318" s="221"/>
      <c r="K1318" s="223" t="s">
        <v>166</v>
      </c>
      <c r="L1318" s="189" t="s">
        <v>161</v>
      </c>
      <c r="R1318" s="157"/>
      <c r="S1318" s="157"/>
    </row>
    <row r="1319">
      <c r="A1319" s="185" t="s">
        <v>245</v>
      </c>
      <c r="B1319" s="181"/>
      <c r="C1319" s="180"/>
      <c r="D1319" s="180" t="s">
        <v>208</v>
      </c>
      <c r="E1319" s="181"/>
      <c r="F1319" s="180"/>
      <c r="G1319" s="180"/>
      <c r="H1319" s="181"/>
      <c r="I1319" s="180" t="s">
        <v>208</v>
      </c>
      <c r="J1319" s="221"/>
      <c r="K1319" s="223" t="s">
        <v>172</v>
      </c>
      <c r="L1319" s="189" t="s">
        <v>161</v>
      </c>
      <c r="R1319" s="163"/>
      <c r="S1319" s="163"/>
    </row>
    <row r="1320">
      <c r="A1320" s="185" t="s">
        <v>245</v>
      </c>
      <c r="B1320" s="181"/>
      <c r="C1320" s="180" t="s">
        <v>208</v>
      </c>
      <c r="D1320" s="180" t="s">
        <v>208</v>
      </c>
      <c r="E1320" s="181"/>
      <c r="F1320" s="180" t="s">
        <v>208</v>
      </c>
      <c r="G1320" s="180" t="s">
        <v>208</v>
      </c>
      <c r="H1320" s="181"/>
      <c r="I1320" s="180"/>
      <c r="J1320" s="221"/>
      <c r="K1320" s="223" t="s">
        <v>260</v>
      </c>
      <c r="L1320" s="189" t="s">
        <v>161</v>
      </c>
      <c r="R1320" s="163"/>
      <c r="S1320" s="163"/>
    </row>
    <row r="1321">
      <c r="A1321" s="185" t="s">
        <v>245</v>
      </c>
      <c r="B1321" s="181"/>
      <c r="C1321" s="180" t="s">
        <v>208</v>
      </c>
      <c r="D1321" s="180" t="s">
        <v>208</v>
      </c>
      <c r="E1321" s="180"/>
      <c r="F1321" s="180" t="s">
        <v>208</v>
      </c>
      <c r="G1321" s="180" t="s">
        <v>208</v>
      </c>
      <c r="H1321" s="180"/>
      <c r="I1321" s="181"/>
      <c r="J1321" s="221"/>
      <c r="K1321" s="223" t="s">
        <v>261</v>
      </c>
      <c r="L1321" s="189" t="s">
        <v>262</v>
      </c>
      <c r="R1321" s="163"/>
      <c r="S1321" s="163"/>
    </row>
    <row r="1322">
      <c r="A1322" s="185" t="s">
        <v>245</v>
      </c>
      <c r="B1322" s="180"/>
      <c r="C1322" s="180" t="s">
        <v>208</v>
      </c>
      <c r="D1322" s="180" t="s">
        <v>208</v>
      </c>
      <c r="E1322" s="180"/>
      <c r="F1322" s="180" t="s">
        <v>208</v>
      </c>
      <c r="G1322" s="180" t="s">
        <v>208</v>
      </c>
      <c r="H1322" s="181"/>
      <c r="I1322" s="181"/>
      <c r="J1322" s="221"/>
      <c r="K1322" s="223" t="s">
        <v>263</v>
      </c>
      <c r="L1322" s="189" t="s">
        <v>264</v>
      </c>
      <c r="R1322" s="163"/>
      <c r="S1322" s="163"/>
    </row>
    <row r="1323">
      <c r="A1323" s="185" t="s">
        <v>245</v>
      </c>
      <c r="B1323" s="180"/>
      <c r="C1323" s="180"/>
      <c r="D1323" s="180"/>
      <c r="E1323" s="180"/>
      <c r="F1323" s="180"/>
      <c r="G1323" s="180"/>
      <c r="H1323" s="181"/>
      <c r="I1323" s="181"/>
      <c r="J1323" s="221"/>
      <c r="K1323" s="223" t="s">
        <v>265</v>
      </c>
      <c r="L1323" s="189" t="s">
        <v>161</v>
      </c>
      <c r="R1323" s="163"/>
      <c r="S1323" s="163"/>
    </row>
    <row r="1324">
      <c r="A1324" s="185" t="s">
        <v>245</v>
      </c>
      <c r="B1324" s="181"/>
      <c r="C1324" s="181"/>
      <c r="D1324" s="181"/>
      <c r="E1324" s="181"/>
      <c r="F1324" s="181"/>
      <c r="G1324" s="181"/>
      <c r="H1324" s="181"/>
      <c r="I1324" s="181"/>
      <c r="J1324" s="221"/>
      <c r="K1324" s="223" t="s">
        <v>266</v>
      </c>
      <c r="L1324" s="189" t="s">
        <v>161</v>
      </c>
      <c r="R1324" s="163"/>
      <c r="S1324" s="163"/>
    </row>
    <row r="1325">
      <c r="A1325" s="185" t="s">
        <v>245</v>
      </c>
      <c r="B1325" s="181"/>
      <c r="C1325" s="180" t="s">
        <v>208</v>
      </c>
      <c r="D1325" s="180" t="s">
        <v>208</v>
      </c>
      <c r="E1325" s="181"/>
      <c r="F1325" s="180" t="s">
        <v>208</v>
      </c>
      <c r="G1325" s="180" t="s">
        <v>208</v>
      </c>
      <c r="H1325" s="181"/>
      <c r="I1325" s="181"/>
      <c r="J1325" s="221"/>
      <c r="K1325" s="223" t="s">
        <v>267</v>
      </c>
      <c r="L1325" s="189" t="s">
        <v>136</v>
      </c>
      <c r="R1325" s="163"/>
      <c r="S1325" s="163"/>
    </row>
    <row r="1326">
      <c r="A1326" s="185" t="s">
        <v>245</v>
      </c>
      <c r="B1326" s="180"/>
      <c r="C1326" s="180"/>
      <c r="D1326" s="180" t="s">
        <v>243</v>
      </c>
      <c r="E1326" s="180"/>
      <c r="F1326" s="180"/>
      <c r="G1326" s="180"/>
      <c r="H1326" s="181"/>
      <c r="I1326" s="180" t="s">
        <v>208</v>
      </c>
      <c r="J1326" s="221"/>
      <c r="K1326" s="223" t="s">
        <v>268</v>
      </c>
      <c r="L1326" s="189" t="s">
        <v>269</v>
      </c>
      <c r="R1326" s="163"/>
      <c r="S1326" s="163"/>
    </row>
    <row r="1327">
      <c r="A1327" s="185" t="s">
        <v>245</v>
      </c>
      <c r="B1327" s="181"/>
      <c r="C1327" s="181"/>
      <c r="D1327" s="181"/>
      <c r="E1327" s="181"/>
      <c r="F1327" s="181"/>
      <c r="G1327" s="181"/>
      <c r="H1327" s="181"/>
      <c r="I1327" s="181"/>
      <c r="J1327" s="221"/>
      <c r="K1327" s="223" t="s">
        <v>270</v>
      </c>
      <c r="L1327" s="189" t="s">
        <v>269</v>
      </c>
      <c r="R1327" s="163"/>
      <c r="S1327" s="163"/>
    </row>
    <row r="1328">
      <c r="A1328" s="185" t="s">
        <v>245</v>
      </c>
      <c r="B1328" s="181"/>
      <c r="C1328" s="181"/>
      <c r="D1328" s="180" t="s">
        <v>208</v>
      </c>
      <c r="E1328" s="181"/>
      <c r="F1328" s="181"/>
      <c r="G1328" s="181"/>
      <c r="H1328" s="181"/>
      <c r="I1328" s="180" t="s">
        <v>208</v>
      </c>
      <c r="J1328" s="221"/>
      <c r="K1328" s="223" t="s">
        <v>159</v>
      </c>
      <c r="L1328" s="189" t="s">
        <v>158</v>
      </c>
      <c r="R1328" s="163"/>
      <c r="S1328" s="163"/>
    </row>
    <row r="1329">
      <c r="A1329" s="185" t="s">
        <v>245</v>
      </c>
      <c r="B1329" s="181"/>
      <c r="C1329" s="180"/>
      <c r="D1329" s="180"/>
      <c r="E1329" s="181"/>
      <c r="F1329" s="181"/>
      <c r="G1329" s="181"/>
      <c r="H1329" s="181"/>
      <c r="I1329" s="180"/>
      <c r="J1329" s="221"/>
      <c r="K1329" s="223" t="s">
        <v>272</v>
      </c>
      <c r="L1329" s="189" t="s">
        <v>161</v>
      </c>
      <c r="R1329" s="173"/>
      <c r="S1329" s="173"/>
    </row>
    <row r="1330">
      <c r="A1330" s="185" t="s">
        <v>245</v>
      </c>
      <c r="B1330" s="181"/>
      <c r="C1330" s="180"/>
      <c r="D1330" s="180" t="s">
        <v>243</v>
      </c>
      <c r="E1330" s="181"/>
      <c r="F1330" s="180" t="s">
        <v>243</v>
      </c>
      <c r="G1330" s="181"/>
      <c r="H1330" s="181"/>
      <c r="I1330" s="180" t="s">
        <v>208</v>
      </c>
      <c r="J1330" s="221"/>
      <c r="K1330" s="223" t="s">
        <v>273</v>
      </c>
      <c r="L1330" s="189" t="s">
        <v>274</v>
      </c>
      <c r="R1330" s="157"/>
      <c r="S1330" s="157"/>
    </row>
    <row r="1331">
      <c r="A1331" s="185" t="s">
        <v>245</v>
      </c>
      <c r="B1331" s="181"/>
      <c r="C1331" s="180"/>
      <c r="D1331" s="180" t="s">
        <v>208</v>
      </c>
      <c r="E1331" s="181"/>
      <c r="F1331" s="181"/>
      <c r="G1331" s="181"/>
      <c r="H1331" s="181"/>
      <c r="I1331" s="180" t="s">
        <v>208</v>
      </c>
      <c r="J1331" s="221"/>
      <c r="K1331" s="223" t="s">
        <v>133</v>
      </c>
      <c r="L1331" s="189" t="s">
        <v>129</v>
      </c>
      <c r="R1331" s="163"/>
      <c r="S1331" s="163"/>
    </row>
    <row r="1332">
      <c r="A1332" s="185" t="s">
        <v>245</v>
      </c>
      <c r="B1332" s="181"/>
      <c r="C1332" s="181"/>
      <c r="D1332" s="181"/>
      <c r="E1332" s="181"/>
      <c r="F1332" s="181"/>
      <c r="G1332" s="181"/>
      <c r="H1332" s="181"/>
      <c r="I1332" s="181"/>
      <c r="J1332" s="221"/>
      <c r="K1332" s="223" t="s">
        <v>275</v>
      </c>
      <c r="L1332" s="189" t="s">
        <v>129</v>
      </c>
      <c r="R1332" s="163"/>
      <c r="S1332" s="163"/>
    </row>
    <row r="1333">
      <c r="A1333" s="185" t="s">
        <v>245</v>
      </c>
      <c r="B1333" s="181"/>
      <c r="C1333" s="180"/>
      <c r="D1333" s="180"/>
      <c r="E1333" s="181"/>
      <c r="F1333" s="180"/>
      <c r="G1333" s="180"/>
      <c r="H1333" s="181"/>
      <c r="I1333" s="180"/>
      <c r="J1333" s="221"/>
      <c r="K1333" s="223" t="s">
        <v>276</v>
      </c>
      <c r="L1333" s="189" t="s">
        <v>274</v>
      </c>
      <c r="R1333" s="163"/>
      <c r="S1333" s="163"/>
    </row>
    <row r="1334">
      <c r="A1334" s="185" t="s">
        <v>245</v>
      </c>
      <c r="B1334" s="181"/>
      <c r="C1334" s="180" t="s">
        <v>208</v>
      </c>
      <c r="D1334" s="180" t="s">
        <v>243</v>
      </c>
      <c r="E1334" s="181"/>
      <c r="F1334" s="180" t="s">
        <v>208</v>
      </c>
      <c r="G1334" s="180" t="s">
        <v>208</v>
      </c>
      <c r="H1334" s="181"/>
      <c r="I1334" s="181"/>
      <c r="J1334" s="221"/>
      <c r="K1334" s="223" t="s">
        <v>289</v>
      </c>
      <c r="L1334" s="189" t="s">
        <v>136</v>
      </c>
      <c r="R1334" s="163"/>
      <c r="S1334" s="163"/>
    </row>
    <row r="1335">
      <c r="A1335" s="185" t="s">
        <v>245</v>
      </c>
      <c r="B1335" s="181"/>
      <c r="C1335" s="181"/>
      <c r="D1335" s="181"/>
      <c r="E1335" s="181"/>
      <c r="F1335" s="181"/>
      <c r="G1335" s="181"/>
      <c r="H1335" s="181"/>
      <c r="I1335" s="181"/>
      <c r="J1335" s="221"/>
      <c r="K1335" s="223" t="s">
        <v>290</v>
      </c>
      <c r="L1335" s="189" t="s">
        <v>161</v>
      </c>
      <c r="R1335" s="163"/>
      <c r="S1335" s="163"/>
    </row>
    <row r="1336">
      <c r="A1336" s="185" t="s">
        <v>245</v>
      </c>
      <c r="B1336" s="181"/>
      <c r="C1336" s="180"/>
      <c r="D1336" s="180" t="s">
        <v>208</v>
      </c>
      <c r="E1336" s="180"/>
      <c r="F1336" s="180"/>
      <c r="G1336" s="180"/>
      <c r="H1336" s="180"/>
      <c r="I1336" s="180" t="s">
        <v>208</v>
      </c>
      <c r="J1336" s="221"/>
      <c r="K1336" s="223" t="s">
        <v>291</v>
      </c>
      <c r="L1336" s="189" t="s">
        <v>161</v>
      </c>
      <c r="R1336" s="163"/>
      <c r="S1336" s="163"/>
    </row>
    <row r="1337">
      <c r="A1337" s="185" t="s">
        <v>245</v>
      </c>
      <c r="B1337" s="181"/>
      <c r="C1337" s="180"/>
      <c r="D1337" s="180"/>
      <c r="E1337" s="180"/>
      <c r="F1337" s="180"/>
      <c r="G1337" s="180"/>
      <c r="H1337" s="180"/>
      <c r="I1337" s="181"/>
      <c r="J1337" s="221"/>
      <c r="K1337" s="223" t="s">
        <v>292</v>
      </c>
      <c r="L1337" s="189" t="s">
        <v>161</v>
      </c>
      <c r="R1337" s="163"/>
      <c r="S1337" s="163"/>
    </row>
    <row r="1338">
      <c r="A1338" s="185" t="s">
        <v>245</v>
      </c>
      <c r="B1338" s="180"/>
      <c r="C1338" s="181"/>
      <c r="D1338" s="180"/>
      <c r="E1338" s="181"/>
      <c r="F1338" s="180"/>
      <c r="G1338" s="181"/>
      <c r="H1338" s="181"/>
      <c r="I1338" s="180"/>
      <c r="J1338" s="221"/>
      <c r="K1338" s="223" t="s">
        <v>293</v>
      </c>
      <c r="L1338" s="139" t="s">
        <v>161</v>
      </c>
      <c r="R1338" s="163"/>
      <c r="S1338" s="163"/>
    </row>
    <row r="1339">
      <c r="A1339" s="185" t="s">
        <v>245</v>
      </c>
      <c r="B1339" s="180"/>
      <c r="C1339" s="180"/>
      <c r="D1339" s="181"/>
      <c r="E1339" s="180"/>
      <c r="F1339" s="180"/>
      <c r="G1339" s="181"/>
      <c r="H1339" s="181"/>
      <c r="I1339" s="180"/>
      <c r="J1339" s="221"/>
      <c r="K1339" s="223" t="s">
        <v>294</v>
      </c>
      <c r="L1339" s="139" t="s">
        <v>161</v>
      </c>
      <c r="R1339" s="163"/>
      <c r="S1339" s="163"/>
    </row>
    <row r="1340">
      <c r="A1340" s="185" t="s">
        <v>245</v>
      </c>
      <c r="B1340" s="181"/>
      <c r="C1340" s="180" t="s">
        <v>208</v>
      </c>
      <c r="D1340" s="180" t="s">
        <v>208</v>
      </c>
      <c r="E1340" s="180"/>
      <c r="F1340" s="180" t="s">
        <v>208</v>
      </c>
      <c r="G1340" s="180" t="s">
        <v>208</v>
      </c>
      <c r="H1340" s="180"/>
      <c r="I1340" s="180"/>
      <c r="J1340" s="221"/>
      <c r="K1340" s="223" t="s">
        <v>5176</v>
      </c>
      <c r="L1340" s="189" t="s">
        <v>136</v>
      </c>
      <c r="R1340" s="163"/>
      <c r="S1340" s="163"/>
    </row>
    <row r="1341">
      <c r="A1341" s="185" t="s">
        <v>245</v>
      </c>
      <c r="B1341" s="181"/>
      <c r="C1341" s="180"/>
      <c r="D1341" s="180" t="s">
        <v>208</v>
      </c>
      <c r="E1341" s="181"/>
      <c r="F1341" s="180" t="s">
        <v>208</v>
      </c>
      <c r="G1341" s="180"/>
      <c r="H1341" s="180" t="s">
        <v>208</v>
      </c>
      <c r="I1341" s="180"/>
      <c r="J1341" s="221"/>
      <c r="K1341" s="223" t="s">
        <v>277</v>
      </c>
      <c r="L1341" s="139" t="s">
        <v>278</v>
      </c>
      <c r="R1341" s="173"/>
      <c r="S1341" s="173"/>
    </row>
    <row r="1342">
      <c r="A1342" s="185" t="s">
        <v>245</v>
      </c>
      <c r="B1342" s="181"/>
      <c r="C1342" s="180"/>
      <c r="D1342" s="180" t="s">
        <v>208</v>
      </c>
      <c r="E1342" s="181"/>
      <c r="F1342" s="180" t="s">
        <v>208</v>
      </c>
      <c r="G1342" s="180"/>
      <c r="H1342" s="180" t="s">
        <v>208</v>
      </c>
      <c r="I1342" s="180"/>
      <c r="J1342" s="221"/>
      <c r="K1342" s="223" t="s">
        <v>279</v>
      </c>
      <c r="L1342" s="139" t="s">
        <v>278</v>
      </c>
      <c r="R1342" s="157"/>
      <c r="S1342" s="157"/>
    </row>
    <row r="1343">
      <c r="A1343" s="185" t="s">
        <v>245</v>
      </c>
      <c r="B1343" s="181"/>
      <c r="C1343" s="181"/>
      <c r="D1343" s="181"/>
      <c r="E1343" s="181"/>
      <c r="F1343" s="180"/>
      <c r="G1343" s="180"/>
      <c r="H1343" s="181"/>
      <c r="I1343" s="180"/>
      <c r="J1343" s="221"/>
      <c r="K1343" s="223" t="s">
        <v>282</v>
      </c>
      <c r="R1343" s="163"/>
      <c r="S1343" s="163"/>
    </row>
    <row r="1344">
      <c r="A1344" s="185" t="s">
        <v>245</v>
      </c>
      <c r="B1344" s="181"/>
      <c r="C1344" s="181"/>
      <c r="D1344" s="181"/>
      <c r="E1344" s="181"/>
      <c r="F1344" s="180"/>
      <c r="G1344" s="181"/>
      <c r="H1344" s="181"/>
      <c r="I1344" s="180" t="s">
        <v>208</v>
      </c>
      <c r="J1344" s="221"/>
      <c r="K1344" s="223" t="s">
        <v>280</v>
      </c>
      <c r="R1344" s="163"/>
      <c r="S1344" s="163"/>
    </row>
    <row r="1345">
      <c r="A1345" s="185" t="s">
        <v>245</v>
      </c>
      <c r="B1345" s="181"/>
      <c r="C1345" s="181"/>
      <c r="D1345" s="181"/>
      <c r="E1345" s="181"/>
      <c r="F1345" s="180"/>
      <c r="G1345" s="181"/>
      <c r="H1345" s="181"/>
      <c r="I1345" s="180" t="s">
        <v>208</v>
      </c>
      <c r="J1345" s="221"/>
      <c r="K1345" s="223" t="s">
        <v>281</v>
      </c>
      <c r="R1345" s="163"/>
      <c r="S1345" s="163"/>
    </row>
    <row r="1346">
      <c r="A1346" s="185" t="s">
        <v>245</v>
      </c>
      <c r="B1346" s="181"/>
      <c r="C1346" s="181"/>
      <c r="D1346" s="181"/>
      <c r="E1346" s="181"/>
      <c r="F1346" s="180"/>
      <c r="G1346" s="181"/>
      <c r="H1346" s="181"/>
      <c r="I1346" s="180" t="s">
        <v>208</v>
      </c>
      <c r="J1346" s="221"/>
      <c r="K1346" s="223" t="s">
        <v>5211</v>
      </c>
      <c r="R1346" s="163"/>
      <c r="S1346" s="163"/>
    </row>
    <row r="1347">
      <c r="A1347" s="185" t="s">
        <v>245</v>
      </c>
      <c r="B1347" s="181"/>
      <c r="C1347" s="181"/>
      <c r="D1347" s="181"/>
      <c r="E1347" s="181"/>
      <c r="F1347" s="180"/>
      <c r="G1347" s="181"/>
      <c r="H1347" s="181"/>
      <c r="I1347" s="181"/>
      <c r="J1347" s="221"/>
      <c r="K1347" s="223"/>
      <c r="R1347" s="163"/>
      <c r="S1347" s="163"/>
    </row>
    <row r="1348">
      <c r="A1348" s="185" t="s">
        <v>245</v>
      </c>
      <c r="B1348" s="181"/>
      <c r="C1348" s="181"/>
      <c r="D1348" s="181"/>
      <c r="E1348" s="181"/>
      <c r="F1348" s="180"/>
      <c r="G1348" s="181"/>
      <c r="H1348" s="181"/>
      <c r="I1348" s="181"/>
      <c r="J1348" s="221"/>
      <c r="K1348" s="223"/>
      <c r="R1348" s="163"/>
      <c r="S1348" s="163"/>
    </row>
    <row r="1349">
      <c r="A1349" s="148"/>
      <c r="B1349" s="75"/>
      <c r="C1349" s="75"/>
      <c r="D1349" s="75"/>
      <c r="E1349" s="75"/>
      <c r="F1349" s="75"/>
      <c r="G1349" s="75"/>
      <c r="H1349" s="75"/>
      <c r="I1349" s="75"/>
      <c r="J1349" s="166"/>
      <c r="K1349" s="166"/>
      <c r="R1349" s="163"/>
      <c r="S1349" s="163"/>
    </row>
    <row r="1350">
      <c r="A1350" s="148"/>
      <c r="B1350" s="75"/>
      <c r="C1350" s="75"/>
      <c r="D1350" s="75"/>
      <c r="E1350" s="75"/>
      <c r="F1350" s="75"/>
      <c r="G1350" s="75"/>
      <c r="H1350" s="75"/>
      <c r="I1350" s="75"/>
      <c r="J1350" s="166"/>
      <c r="K1350" s="166"/>
      <c r="R1350" s="163"/>
      <c r="S1350" s="163"/>
    </row>
    <row r="1351">
      <c r="A1351" s="148"/>
      <c r="B1351" s="75"/>
      <c r="C1351" s="75"/>
      <c r="D1351" s="75"/>
      <c r="E1351" s="75"/>
      <c r="F1351" s="75"/>
      <c r="G1351" s="75"/>
      <c r="H1351" s="75"/>
      <c r="I1351" s="75"/>
      <c r="J1351" s="166"/>
      <c r="K1351" s="166"/>
      <c r="R1351" s="163"/>
      <c r="S1351" s="163"/>
    </row>
    <row r="1352">
      <c r="A1352" s="148"/>
      <c r="B1352" s="75"/>
      <c r="C1352" s="75"/>
      <c r="D1352" s="75"/>
      <c r="E1352" s="75"/>
      <c r="F1352" s="75"/>
      <c r="G1352" s="75"/>
      <c r="H1352" s="75"/>
      <c r="I1352" s="75"/>
      <c r="J1352" s="166"/>
      <c r="K1352" s="166"/>
      <c r="R1352" s="163"/>
      <c r="S1352" s="163"/>
    </row>
    <row r="1353">
      <c r="A1353" s="148"/>
      <c r="B1353" s="75"/>
      <c r="C1353" s="75"/>
      <c r="D1353" s="75"/>
      <c r="E1353" s="75"/>
      <c r="F1353" s="75"/>
      <c r="G1353" s="75"/>
      <c r="H1353" s="75"/>
      <c r="I1353" s="75"/>
      <c r="J1353" s="166"/>
      <c r="K1353" s="166"/>
      <c r="R1353" s="173"/>
      <c r="S1353" s="173"/>
    </row>
    <row r="1354">
      <c r="A1354" s="148"/>
      <c r="B1354" s="75"/>
      <c r="C1354" s="75"/>
      <c r="D1354" s="75"/>
      <c r="E1354" s="75"/>
      <c r="F1354" s="75"/>
      <c r="G1354" s="75"/>
      <c r="H1354" s="194"/>
      <c r="I1354" s="75"/>
      <c r="J1354" s="166"/>
      <c r="K1354" s="166"/>
      <c r="R1354" s="157"/>
      <c r="S1354" s="157"/>
    </row>
    <row r="1355">
      <c r="A1355" s="148"/>
      <c r="B1355" s="75"/>
      <c r="C1355" s="75"/>
      <c r="D1355" s="75"/>
      <c r="E1355" s="75"/>
      <c r="F1355" s="75"/>
      <c r="G1355" s="75"/>
      <c r="H1355" s="75"/>
      <c r="I1355" s="75"/>
      <c r="J1355" s="166"/>
      <c r="K1355" s="166"/>
      <c r="R1355" s="163"/>
      <c r="S1355" s="163"/>
    </row>
    <row r="1356">
      <c r="A1356" s="148"/>
      <c r="B1356" s="75"/>
      <c r="C1356" s="75"/>
      <c r="D1356" s="75"/>
      <c r="E1356" s="75"/>
      <c r="F1356" s="75"/>
      <c r="G1356" s="75"/>
      <c r="H1356" s="75"/>
      <c r="I1356" s="75"/>
      <c r="J1356" s="166"/>
      <c r="K1356" s="166"/>
      <c r="R1356" s="163"/>
      <c r="S1356" s="163"/>
    </row>
    <row r="1357">
      <c r="A1357" s="148"/>
      <c r="B1357" s="75"/>
      <c r="C1357" s="75"/>
      <c r="D1357" s="75"/>
      <c r="E1357" s="75"/>
      <c r="F1357" s="75"/>
      <c r="G1357" s="75"/>
      <c r="H1357" s="75"/>
      <c r="I1357" s="75"/>
      <c r="J1357" s="166"/>
      <c r="K1357" s="166"/>
      <c r="R1357" s="163"/>
      <c r="S1357" s="163"/>
    </row>
    <row r="1358">
      <c r="A1358" s="148"/>
      <c r="B1358" s="75"/>
      <c r="C1358" s="75"/>
      <c r="D1358" s="75"/>
      <c r="E1358" s="75"/>
      <c r="F1358" s="75"/>
      <c r="G1358" s="75"/>
      <c r="H1358" s="75"/>
      <c r="I1358" s="75"/>
      <c r="J1358" s="166"/>
      <c r="K1358" s="166"/>
      <c r="R1358" s="163"/>
      <c r="S1358" s="163"/>
    </row>
    <row r="1359">
      <c r="A1359" s="148"/>
      <c r="B1359" s="75"/>
      <c r="C1359" s="75"/>
      <c r="D1359" s="75"/>
      <c r="E1359" s="75"/>
      <c r="F1359" s="75"/>
      <c r="G1359" s="75"/>
      <c r="H1359" s="75"/>
      <c r="I1359" s="75"/>
      <c r="J1359" s="166"/>
      <c r="K1359" s="166"/>
      <c r="R1359" s="163"/>
      <c r="S1359" s="163"/>
    </row>
    <row r="1360">
      <c r="A1360" s="148"/>
      <c r="B1360" s="75"/>
      <c r="C1360" s="75"/>
      <c r="D1360" s="75"/>
      <c r="E1360" s="75"/>
      <c r="F1360" s="75"/>
      <c r="G1360" s="75"/>
      <c r="H1360" s="75"/>
      <c r="I1360" s="75"/>
      <c r="J1360" s="166"/>
      <c r="K1360" s="166"/>
      <c r="R1360" s="163"/>
      <c r="S1360" s="163"/>
    </row>
    <row r="1361">
      <c r="A1361" s="148"/>
      <c r="B1361" s="75"/>
      <c r="C1361" s="75"/>
      <c r="D1361" s="75"/>
      <c r="E1361" s="75"/>
      <c r="F1361" s="75"/>
      <c r="G1361" s="75"/>
      <c r="H1361" s="75"/>
      <c r="I1361" s="75"/>
      <c r="J1361" s="166"/>
      <c r="K1361" s="166"/>
      <c r="R1361" s="163"/>
      <c r="S1361" s="163"/>
    </row>
    <row r="1362">
      <c r="A1362" s="148"/>
      <c r="B1362" s="75"/>
      <c r="C1362" s="75"/>
      <c r="D1362" s="75"/>
      <c r="E1362" s="75"/>
      <c r="F1362" s="75"/>
      <c r="G1362" s="75"/>
      <c r="H1362" s="75"/>
      <c r="I1362" s="75"/>
      <c r="J1362" s="166"/>
      <c r="K1362" s="166"/>
      <c r="R1362" s="163"/>
      <c r="S1362" s="163"/>
    </row>
    <row r="1363">
      <c r="A1363" s="148"/>
      <c r="B1363" s="75"/>
      <c r="C1363" s="75"/>
      <c r="D1363" s="75"/>
      <c r="E1363" s="75"/>
      <c r="F1363" s="75"/>
      <c r="G1363" s="75"/>
      <c r="H1363" s="75"/>
      <c r="I1363" s="75"/>
      <c r="J1363" s="166"/>
      <c r="K1363" s="166"/>
      <c r="R1363" s="163"/>
      <c r="S1363" s="163"/>
    </row>
    <row r="1364">
      <c r="A1364" s="148"/>
      <c r="B1364" s="75"/>
      <c r="C1364" s="75"/>
      <c r="D1364" s="75"/>
      <c r="E1364" s="75"/>
      <c r="F1364" s="75"/>
      <c r="G1364" s="75"/>
      <c r="H1364" s="75"/>
      <c r="I1364" s="75"/>
      <c r="J1364" s="166"/>
      <c r="K1364" s="166"/>
      <c r="R1364" s="163"/>
      <c r="S1364" s="163"/>
    </row>
    <row r="1365">
      <c r="A1365" s="148"/>
      <c r="B1365" s="75"/>
      <c r="C1365" s="75"/>
      <c r="D1365" s="75"/>
      <c r="E1365" s="75"/>
      <c r="F1365" s="75"/>
      <c r="G1365" s="75"/>
      <c r="H1365" s="75"/>
      <c r="I1365" s="75"/>
      <c r="J1365" s="166"/>
      <c r="K1365" s="166"/>
      <c r="R1365" s="173"/>
      <c r="S1365" s="173"/>
    </row>
    <row r="1366">
      <c r="A1366" s="148"/>
      <c r="B1366" s="75"/>
      <c r="C1366" s="75"/>
      <c r="D1366" s="75"/>
      <c r="E1366" s="75"/>
      <c r="F1366" s="75"/>
      <c r="G1366" s="75"/>
      <c r="H1366" s="75"/>
      <c r="I1366" s="75"/>
      <c r="J1366" s="166"/>
      <c r="K1366" s="166"/>
      <c r="R1366" s="157"/>
      <c r="S1366" s="157"/>
    </row>
    <row r="1367">
      <c r="A1367" s="148"/>
      <c r="B1367" s="75"/>
      <c r="C1367" s="75"/>
      <c r="D1367" s="75"/>
      <c r="E1367" s="75"/>
      <c r="F1367" s="75"/>
      <c r="G1367" s="75"/>
      <c r="H1367" s="75"/>
      <c r="I1367" s="75"/>
      <c r="J1367" s="166"/>
      <c r="K1367" s="166"/>
      <c r="R1367" s="163"/>
      <c r="S1367" s="163"/>
    </row>
    <row r="1368">
      <c r="A1368" s="148"/>
      <c r="B1368" s="75"/>
      <c r="C1368" s="75"/>
      <c r="D1368" s="75"/>
      <c r="E1368" s="75"/>
      <c r="F1368" s="75"/>
      <c r="G1368" s="75"/>
      <c r="H1368" s="75"/>
      <c r="I1368" s="75"/>
      <c r="J1368" s="166"/>
      <c r="K1368" s="166"/>
      <c r="R1368" s="163"/>
      <c r="S1368" s="163"/>
    </row>
    <row r="1369">
      <c r="A1369" s="148"/>
      <c r="B1369" s="75"/>
      <c r="C1369" s="75"/>
      <c r="D1369" s="75"/>
      <c r="E1369" s="75"/>
      <c r="F1369" s="75"/>
      <c r="G1369" s="75"/>
      <c r="H1369" s="75"/>
      <c r="I1369" s="75"/>
      <c r="J1369" s="166"/>
      <c r="K1369" s="166"/>
      <c r="R1369" s="163"/>
      <c r="S1369" s="163"/>
    </row>
    <row r="1370">
      <c r="A1370" s="148"/>
      <c r="B1370" s="75"/>
      <c r="C1370" s="75"/>
      <c r="D1370" s="75"/>
      <c r="E1370" s="75"/>
      <c r="F1370" s="75"/>
      <c r="G1370" s="75"/>
      <c r="H1370" s="75"/>
      <c r="I1370" s="75"/>
      <c r="J1370" s="166"/>
      <c r="K1370" s="166"/>
      <c r="R1370" s="163"/>
      <c r="S1370" s="163"/>
    </row>
    <row r="1371">
      <c r="A1371" s="148"/>
      <c r="B1371" s="75"/>
      <c r="C1371" s="75"/>
      <c r="D1371" s="75"/>
      <c r="E1371" s="75"/>
      <c r="F1371" s="75"/>
      <c r="G1371" s="75"/>
      <c r="H1371" s="75"/>
      <c r="I1371" s="75"/>
      <c r="J1371" s="166"/>
      <c r="K1371" s="166"/>
      <c r="R1371" s="163"/>
      <c r="S1371" s="163"/>
    </row>
    <row r="1372">
      <c r="A1372" s="148"/>
      <c r="B1372" s="75"/>
      <c r="C1372" s="75"/>
      <c r="D1372" s="75"/>
      <c r="E1372" s="75"/>
      <c r="F1372" s="75"/>
      <c r="G1372" s="75"/>
      <c r="H1372" s="75"/>
      <c r="I1372" s="75"/>
      <c r="J1372" s="166"/>
      <c r="K1372" s="166"/>
      <c r="R1372" s="163"/>
      <c r="S1372" s="163"/>
    </row>
    <row r="1373">
      <c r="A1373" s="148"/>
      <c r="B1373" s="75"/>
      <c r="C1373" s="75"/>
      <c r="D1373" s="75"/>
      <c r="E1373" s="75"/>
      <c r="F1373" s="75"/>
      <c r="G1373" s="75"/>
      <c r="H1373" s="75"/>
      <c r="I1373" s="75"/>
      <c r="J1373" s="166"/>
      <c r="K1373" s="166"/>
      <c r="R1373" s="163"/>
      <c r="S1373" s="163"/>
    </row>
    <row r="1374">
      <c r="A1374" s="148"/>
      <c r="B1374" s="75"/>
      <c r="C1374" s="75"/>
      <c r="D1374" s="75"/>
      <c r="E1374" s="75"/>
      <c r="F1374" s="75"/>
      <c r="G1374" s="75"/>
      <c r="H1374" s="75"/>
      <c r="I1374" s="75"/>
      <c r="J1374" s="166"/>
      <c r="K1374" s="166"/>
      <c r="R1374" s="163"/>
      <c r="S1374" s="163"/>
    </row>
    <row r="1375">
      <c r="A1375" s="148"/>
      <c r="B1375" s="75"/>
      <c r="C1375" s="75"/>
      <c r="D1375" s="75"/>
      <c r="E1375" s="75"/>
      <c r="F1375" s="75"/>
      <c r="G1375" s="75"/>
      <c r="H1375" s="75"/>
      <c r="I1375" s="75"/>
      <c r="J1375" s="166"/>
      <c r="K1375" s="166"/>
      <c r="R1375" s="163"/>
      <c r="S1375" s="163"/>
    </row>
    <row r="1376">
      <c r="A1376" s="148"/>
      <c r="B1376" s="75"/>
      <c r="C1376" s="75"/>
      <c r="D1376" s="75"/>
      <c r="E1376" s="75"/>
      <c r="F1376" s="75"/>
      <c r="G1376" s="75"/>
      <c r="H1376" s="75"/>
      <c r="I1376" s="75"/>
      <c r="J1376" s="166"/>
      <c r="K1376" s="166"/>
      <c r="R1376" s="163"/>
      <c r="S1376" s="163"/>
    </row>
    <row r="1377">
      <c r="A1377" s="148"/>
      <c r="B1377" s="75"/>
      <c r="C1377" s="75"/>
      <c r="D1377" s="75"/>
      <c r="E1377" s="75"/>
      <c r="F1377" s="75"/>
      <c r="G1377" s="75"/>
      <c r="H1377" s="75"/>
      <c r="I1377" s="75"/>
      <c r="J1377" s="166"/>
      <c r="K1377" s="166"/>
      <c r="R1377" s="173"/>
      <c r="S1377" s="173"/>
    </row>
    <row r="1378">
      <c r="A1378" s="148"/>
      <c r="B1378" s="75"/>
      <c r="C1378" s="75"/>
      <c r="D1378" s="75"/>
      <c r="E1378" s="75"/>
      <c r="F1378" s="75"/>
      <c r="G1378" s="75"/>
      <c r="H1378" s="75"/>
      <c r="I1378" s="75"/>
      <c r="J1378" s="166"/>
      <c r="K1378" s="166"/>
      <c r="R1378" s="157"/>
      <c r="S1378" s="157"/>
    </row>
    <row r="1379">
      <c r="A1379" s="148"/>
      <c r="B1379" s="75"/>
      <c r="C1379" s="75"/>
      <c r="D1379" s="75"/>
      <c r="E1379" s="75"/>
      <c r="F1379" s="75"/>
      <c r="G1379" s="75"/>
      <c r="H1379" s="75"/>
      <c r="I1379" s="75"/>
      <c r="J1379" s="166"/>
      <c r="K1379" s="166"/>
      <c r="R1379" s="163"/>
      <c r="S1379" s="163"/>
    </row>
    <row r="1380">
      <c r="A1380" s="148"/>
      <c r="B1380" s="75"/>
      <c r="C1380" s="75"/>
      <c r="D1380" s="75"/>
      <c r="E1380" s="75"/>
      <c r="F1380" s="75"/>
      <c r="G1380" s="75"/>
      <c r="H1380" s="75"/>
      <c r="I1380" s="75"/>
      <c r="J1380" s="166"/>
      <c r="K1380" s="166"/>
      <c r="R1380" s="163"/>
      <c r="S1380" s="163"/>
    </row>
    <row r="1381">
      <c r="A1381" s="148"/>
      <c r="B1381" s="75"/>
      <c r="C1381" s="75"/>
      <c r="D1381" s="75"/>
      <c r="E1381" s="75"/>
      <c r="F1381" s="75"/>
      <c r="G1381" s="75"/>
      <c r="H1381" s="75"/>
      <c r="I1381" s="75"/>
      <c r="J1381" s="166"/>
      <c r="K1381" s="166"/>
      <c r="R1381" s="163"/>
      <c r="S1381" s="163"/>
    </row>
    <row r="1382">
      <c r="A1382" s="148"/>
      <c r="B1382" s="75"/>
      <c r="C1382" s="75"/>
      <c r="D1382" s="75"/>
      <c r="E1382" s="75"/>
      <c r="F1382" s="75"/>
      <c r="G1382" s="75"/>
      <c r="H1382" s="75"/>
      <c r="I1382" s="75"/>
      <c r="J1382" s="166"/>
      <c r="K1382" s="166"/>
      <c r="R1382" s="163"/>
      <c r="S1382" s="163"/>
    </row>
    <row r="1383">
      <c r="A1383" s="148"/>
      <c r="B1383" s="75"/>
      <c r="C1383" s="75"/>
      <c r="D1383" s="75"/>
      <c r="E1383" s="75"/>
      <c r="F1383" s="75"/>
      <c r="G1383" s="75"/>
      <c r="H1383" s="75"/>
      <c r="I1383" s="75"/>
      <c r="J1383" s="166"/>
      <c r="K1383" s="166"/>
      <c r="R1383" s="163"/>
      <c r="S1383" s="163"/>
    </row>
    <row r="1384">
      <c r="A1384" s="148"/>
      <c r="B1384" s="75"/>
      <c r="C1384" s="75"/>
      <c r="D1384" s="75"/>
      <c r="E1384" s="75"/>
      <c r="F1384" s="75"/>
      <c r="G1384" s="75"/>
      <c r="H1384" s="75"/>
      <c r="I1384" s="75"/>
      <c r="J1384" s="166"/>
      <c r="K1384" s="166"/>
      <c r="R1384" s="163"/>
      <c r="S1384" s="163"/>
    </row>
    <row r="1385">
      <c r="A1385" s="148"/>
      <c r="B1385" s="75"/>
      <c r="C1385" s="75"/>
      <c r="D1385" s="75"/>
      <c r="E1385" s="75"/>
      <c r="F1385" s="75"/>
      <c r="G1385" s="75"/>
      <c r="H1385" s="75"/>
      <c r="I1385" s="75"/>
      <c r="J1385" s="166"/>
      <c r="K1385" s="166"/>
      <c r="R1385" s="163"/>
      <c r="S1385" s="163"/>
    </row>
    <row r="1386">
      <c r="A1386" s="148"/>
      <c r="B1386" s="75"/>
      <c r="C1386" s="75"/>
      <c r="D1386" s="75"/>
      <c r="E1386" s="75"/>
      <c r="F1386" s="75"/>
      <c r="G1386" s="75"/>
      <c r="H1386" s="75"/>
      <c r="I1386" s="75"/>
      <c r="J1386" s="166"/>
      <c r="K1386" s="166"/>
      <c r="R1386" s="163"/>
      <c r="S1386" s="163"/>
    </row>
    <row r="1387">
      <c r="A1387" s="148"/>
      <c r="B1387" s="75"/>
      <c r="C1387" s="75"/>
      <c r="D1387" s="75"/>
      <c r="E1387" s="75"/>
      <c r="F1387" s="75"/>
      <c r="G1387" s="75"/>
      <c r="H1387" s="75"/>
      <c r="I1387" s="75"/>
      <c r="J1387" s="166"/>
      <c r="K1387" s="166"/>
      <c r="R1387" s="163"/>
      <c r="S1387" s="163"/>
    </row>
    <row r="1388">
      <c r="A1388" s="148"/>
      <c r="B1388" s="75"/>
      <c r="C1388" s="75"/>
      <c r="D1388" s="75"/>
      <c r="E1388" s="75"/>
      <c r="F1388" s="75"/>
      <c r="G1388" s="75"/>
      <c r="H1388" s="75"/>
      <c r="I1388" s="75"/>
      <c r="J1388" s="166"/>
      <c r="K1388" s="166"/>
      <c r="R1388" s="163"/>
      <c r="S1388" s="163"/>
    </row>
    <row r="1389">
      <c r="A1389" s="148"/>
      <c r="B1389" s="75"/>
      <c r="C1389" s="75"/>
      <c r="D1389" s="75"/>
      <c r="E1389" s="75"/>
      <c r="F1389" s="75"/>
      <c r="G1389" s="75"/>
      <c r="H1389" s="75"/>
      <c r="I1389" s="75"/>
      <c r="J1389" s="166"/>
      <c r="K1389" s="166"/>
      <c r="R1389" s="173"/>
      <c r="S1389" s="173"/>
    </row>
    <row r="1390">
      <c r="A1390" s="148"/>
      <c r="B1390" s="75"/>
      <c r="C1390" s="75"/>
      <c r="D1390" s="75"/>
      <c r="E1390" s="75"/>
      <c r="F1390" s="75"/>
      <c r="G1390" s="75"/>
      <c r="H1390" s="75"/>
      <c r="I1390" s="75"/>
      <c r="J1390" s="166"/>
      <c r="K1390" s="166"/>
      <c r="R1390" s="157"/>
      <c r="S1390" s="157"/>
    </row>
    <row r="1391">
      <c r="A1391" s="148"/>
      <c r="B1391" s="75"/>
      <c r="C1391" s="75"/>
      <c r="D1391" s="75"/>
      <c r="E1391" s="75"/>
      <c r="F1391" s="75"/>
      <c r="G1391" s="75"/>
      <c r="H1391" s="75"/>
      <c r="I1391" s="75"/>
      <c r="J1391" s="166"/>
      <c r="K1391" s="166"/>
      <c r="R1391" s="163"/>
      <c r="S1391" s="163"/>
    </row>
    <row r="1392">
      <c r="A1392" s="148"/>
      <c r="B1392" s="75"/>
      <c r="C1392" s="75"/>
      <c r="D1392" s="75"/>
      <c r="E1392" s="75"/>
      <c r="F1392" s="75"/>
      <c r="G1392" s="75"/>
      <c r="H1392" s="75"/>
      <c r="I1392" s="75"/>
      <c r="J1392" s="166"/>
      <c r="K1392" s="166"/>
      <c r="R1392" s="163"/>
      <c r="S1392" s="163"/>
    </row>
    <row r="1393">
      <c r="A1393" s="148"/>
      <c r="B1393" s="75"/>
      <c r="C1393" s="75"/>
      <c r="D1393" s="75"/>
      <c r="E1393" s="75"/>
      <c r="F1393" s="75"/>
      <c r="G1393" s="75"/>
      <c r="H1393" s="75"/>
      <c r="I1393" s="75"/>
      <c r="J1393" s="166"/>
      <c r="K1393" s="166"/>
      <c r="R1393" s="163"/>
      <c r="S1393" s="163"/>
    </row>
    <row r="1394">
      <c r="A1394" s="148"/>
      <c r="B1394" s="75"/>
      <c r="C1394" s="75"/>
      <c r="D1394" s="75"/>
      <c r="E1394" s="75"/>
      <c r="F1394" s="75"/>
      <c r="G1394" s="75"/>
      <c r="H1394" s="75"/>
      <c r="I1394" s="75"/>
      <c r="J1394" s="166"/>
      <c r="K1394" s="166"/>
      <c r="R1394" s="163"/>
      <c r="S1394" s="163"/>
    </row>
    <row r="1395">
      <c r="A1395" s="148"/>
      <c r="B1395" s="75"/>
      <c r="C1395" s="75"/>
      <c r="D1395" s="75"/>
      <c r="E1395" s="75"/>
      <c r="F1395" s="75"/>
      <c r="G1395" s="75"/>
      <c r="H1395" s="75"/>
      <c r="I1395" s="75"/>
      <c r="J1395" s="166"/>
      <c r="K1395" s="166"/>
      <c r="R1395" s="163"/>
      <c r="S1395" s="163"/>
    </row>
    <row r="1396">
      <c r="A1396" s="148"/>
      <c r="B1396" s="75"/>
      <c r="C1396" s="75"/>
      <c r="D1396" s="75"/>
      <c r="E1396" s="75"/>
      <c r="F1396" s="75"/>
      <c r="G1396" s="75"/>
      <c r="H1396" s="75"/>
      <c r="I1396" s="75"/>
      <c r="J1396" s="166"/>
      <c r="K1396" s="166"/>
      <c r="R1396" s="163"/>
      <c r="S1396" s="163"/>
    </row>
    <row r="1397">
      <c r="A1397" s="148"/>
      <c r="B1397" s="75"/>
      <c r="C1397" s="75"/>
      <c r="D1397" s="75"/>
      <c r="E1397" s="75"/>
      <c r="F1397" s="75"/>
      <c r="G1397" s="75"/>
      <c r="H1397" s="75"/>
      <c r="I1397" s="75"/>
      <c r="J1397" s="166"/>
      <c r="K1397" s="166"/>
      <c r="R1397" s="163"/>
      <c r="S1397" s="163"/>
    </row>
    <row r="1398">
      <c r="A1398" s="148"/>
      <c r="B1398" s="75"/>
      <c r="C1398" s="75"/>
      <c r="D1398" s="75"/>
      <c r="E1398" s="75"/>
      <c r="F1398" s="75"/>
      <c r="G1398" s="75"/>
      <c r="H1398" s="75"/>
      <c r="I1398" s="75"/>
      <c r="J1398" s="166"/>
      <c r="K1398" s="166"/>
      <c r="R1398" s="163"/>
      <c r="S1398" s="163"/>
    </row>
    <row r="1399">
      <c r="A1399" s="148"/>
      <c r="B1399" s="75"/>
      <c r="C1399" s="75"/>
      <c r="D1399" s="75"/>
      <c r="E1399" s="75"/>
      <c r="F1399" s="75"/>
      <c r="G1399" s="75"/>
      <c r="H1399" s="75"/>
      <c r="I1399" s="75"/>
      <c r="J1399" s="166"/>
      <c r="K1399" s="166"/>
      <c r="R1399" s="163"/>
      <c r="S1399" s="163"/>
    </row>
    <row r="1400">
      <c r="A1400" s="148"/>
      <c r="B1400" s="75"/>
      <c r="C1400" s="75"/>
      <c r="D1400" s="75"/>
      <c r="E1400" s="75"/>
      <c r="F1400" s="75"/>
      <c r="G1400" s="75"/>
      <c r="H1400" s="75"/>
      <c r="I1400" s="75"/>
      <c r="J1400" s="166"/>
      <c r="K1400" s="166"/>
      <c r="R1400" s="163"/>
      <c r="S1400" s="163"/>
    </row>
    <row r="1401">
      <c r="A1401" s="148"/>
      <c r="B1401" s="75"/>
      <c r="C1401" s="75"/>
      <c r="D1401" s="75"/>
      <c r="E1401" s="75"/>
      <c r="F1401" s="75"/>
      <c r="G1401" s="75"/>
      <c r="H1401" s="75"/>
      <c r="I1401" s="75"/>
      <c r="J1401" s="166"/>
      <c r="K1401" s="166"/>
      <c r="R1401" s="173"/>
      <c r="S1401" s="173"/>
    </row>
    <row r="1402">
      <c r="A1402" s="148"/>
      <c r="B1402" s="75"/>
      <c r="C1402" s="75"/>
      <c r="D1402" s="75"/>
      <c r="E1402" s="75"/>
      <c r="F1402" s="75"/>
      <c r="G1402" s="75"/>
      <c r="H1402" s="75"/>
      <c r="I1402" s="75"/>
      <c r="J1402" s="166"/>
      <c r="K1402" s="166"/>
      <c r="R1402" s="157"/>
      <c r="S1402" s="157"/>
    </row>
    <row r="1403">
      <c r="A1403" s="148"/>
      <c r="B1403" s="75"/>
      <c r="C1403" s="75"/>
      <c r="D1403" s="75"/>
      <c r="E1403" s="75"/>
      <c r="F1403" s="75"/>
      <c r="G1403" s="75"/>
      <c r="H1403" s="75"/>
      <c r="I1403" s="75"/>
      <c r="J1403" s="166"/>
      <c r="K1403" s="166"/>
      <c r="R1403" s="163"/>
      <c r="S1403" s="163"/>
    </row>
    <row r="1404">
      <c r="A1404" s="148"/>
      <c r="B1404" s="75"/>
      <c r="C1404" s="75"/>
      <c r="D1404" s="75"/>
      <c r="E1404" s="75"/>
      <c r="F1404" s="75"/>
      <c r="G1404" s="75"/>
      <c r="H1404" s="75"/>
      <c r="I1404" s="75"/>
      <c r="J1404" s="166"/>
      <c r="K1404" s="166"/>
      <c r="R1404" s="163"/>
      <c r="S1404" s="163"/>
    </row>
    <row r="1405">
      <c r="A1405" s="148"/>
      <c r="B1405" s="75"/>
      <c r="C1405" s="75"/>
      <c r="D1405" s="75"/>
      <c r="E1405" s="75"/>
      <c r="F1405" s="75"/>
      <c r="G1405" s="75"/>
      <c r="H1405" s="75"/>
      <c r="I1405" s="75"/>
      <c r="J1405" s="166"/>
      <c r="K1405" s="166"/>
      <c r="R1405" s="163"/>
      <c r="S1405" s="163"/>
    </row>
    <row r="1406">
      <c r="A1406" s="148"/>
      <c r="B1406" s="75"/>
      <c r="C1406" s="75"/>
      <c r="D1406" s="75"/>
      <c r="E1406" s="75"/>
      <c r="F1406" s="75"/>
      <c r="G1406" s="75"/>
      <c r="H1406" s="75"/>
      <c r="I1406" s="75"/>
      <c r="J1406" s="166"/>
      <c r="K1406" s="166"/>
      <c r="R1406" s="163"/>
      <c r="S1406" s="163"/>
    </row>
    <row r="1407">
      <c r="A1407" s="148"/>
      <c r="B1407" s="75"/>
      <c r="C1407" s="75"/>
      <c r="D1407" s="75"/>
      <c r="E1407" s="75"/>
      <c r="F1407" s="75"/>
      <c r="G1407" s="75"/>
      <c r="H1407" s="75"/>
      <c r="I1407" s="75"/>
      <c r="J1407" s="166"/>
      <c r="K1407" s="166"/>
      <c r="R1407" s="163"/>
      <c r="S1407" s="163"/>
    </row>
    <row r="1408">
      <c r="A1408" s="148"/>
      <c r="B1408" s="75"/>
      <c r="C1408" s="75"/>
      <c r="D1408" s="75"/>
      <c r="E1408" s="75"/>
      <c r="F1408" s="75"/>
      <c r="G1408" s="75"/>
      <c r="H1408" s="75"/>
      <c r="I1408" s="75"/>
      <c r="J1408" s="166"/>
      <c r="K1408" s="166"/>
      <c r="R1408" s="163"/>
      <c r="S1408" s="163"/>
    </row>
    <row r="1409">
      <c r="A1409" s="148"/>
      <c r="B1409" s="75"/>
      <c r="C1409" s="75"/>
      <c r="D1409" s="75"/>
      <c r="E1409" s="75"/>
      <c r="F1409" s="75"/>
      <c r="G1409" s="75"/>
      <c r="H1409" s="75"/>
      <c r="I1409" s="75"/>
      <c r="J1409" s="166"/>
      <c r="K1409" s="166"/>
      <c r="R1409" s="163"/>
      <c r="S1409" s="163"/>
    </row>
    <row r="1410">
      <c r="A1410" s="148"/>
      <c r="B1410" s="75"/>
      <c r="C1410" s="75"/>
      <c r="D1410" s="75"/>
      <c r="E1410" s="75"/>
      <c r="F1410" s="75"/>
      <c r="G1410" s="75"/>
      <c r="H1410" s="75"/>
      <c r="I1410" s="75"/>
      <c r="J1410" s="166"/>
      <c r="K1410" s="166"/>
      <c r="R1410" s="163"/>
      <c r="S1410" s="163"/>
    </row>
    <row r="1411">
      <c r="A1411" s="148"/>
      <c r="B1411" s="75"/>
      <c r="C1411" s="75"/>
      <c r="D1411" s="75"/>
      <c r="E1411" s="75"/>
      <c r="F1411" s="75"/>
      <c r="G1411" s="75"/>
      <c r="H1411" s="75"/>
      <c r="I1411" s="75"/>
      <c r="J1411" s="166"/>
      <c r="K1411" s="166"/>
      <c r="R1411" s="163"/>
      <c r="S1411" s="163"/>
    </row>
    <row r="1412">
      <c r="A1412" s="148"/>
      <c r="B1412" s="75"/>
      <c r="C1412" s="75"/>
      <c r="D1412" s="75"/>
      <c r="E1412" s="75"/>
      <c r="F1412" s="75"/>
      <c r="G1412" s="75"/>
      <c r="H1412" s="75"/>
      <c r="I1412" s="75"/>
      <c r="J1412" s="166"/>
      <c r="K1412" s="166"/>
      <c r="R1412" s="163"/>
      <c r="S1412" s="163"/>
    </row>
    <row r="1413">
      <c r="A1413" s="148"/>
      <c r="B1413" s="75"/>
      <c r="C1413" s="75"/>
      <c r="D1413" s="75"/>
      <c r="E1413" s="75"/>
      <c r="F1413" s="75"/>
      <c r="G1413" s="75"/>
      <c r="H1413" s="75"/>
      <c r="I1413" s="75"/>
      <c r="J1413" s="166"/>
      <c r="K1413" s="166"/>
      <c r="R1413" s="173"/>
      <c r="S1413" s="173"/>
    </row>
    <row r="1414">
      <c r="A1414" s="148"/>
      <c r="B1414" s="75"/>
      <c r="C1414" s="75"/>
      <c r="D1414" s="75"/>
      <c r="E1414" s="75"/>
      <c r="F1414" s="75"/>
      <c r="G1414" s="75"/>
      <c r="H1414" s="75"/>
      <c r="I1414" s="75"/>
      <c r="J1414" s="166"/>
      <c r="K1414" s="166"/>
      <c r="R1414" s="157"/>
      <c r="S1414" s="157"/>
    </row>
    <row r="1415">
      <c r="A1415" s="148"/>
      <c r="B1415" s="75"/>
      <c r="C1415" s="75"/>
      <c r="D1415" s="75"/>
      <c r="E1415" s="75"/>
      <c r="F1415" s="75"/>
      <c r="G1415" s="75"/>
      <c r="H1415" s="75"/>
      <c r="I1415" s="75"/>
      <c r="J1415" s="166"/>
      <c r="K1415" s="166"/>
      <c r="R1415" s="163"/>
      <c r="S1415" s="163"/>
    </row>
    <row r="1416">
      <c r="A1416" s="148"/>
      <c r="B1416" s="75"/>
      <c r="C1416" s="75"/>
      <c r="D1416" s="75"/>
      <c r="E1416" s="75"/>
      <c r="F1416" s="75"/>
      <c r="G1416" s="75"/>
      <c r="H1416" s="75"/>
      <c r="I1416" s="75"/>
      <c r="J1416" s="166"/>
      <c r="K1416" s="166"/>
      <c r="R1416" s="163"/>
      <c r="S1416" s="163"/>
    </row>
    <row r="1417">
      <c r="A1417" s="148"/>
      <c r="B1417" s="75"/>
      <c r="C1417" s="75"/>
      <c r="D1417" s="75"/>
      <c r="E1417" s="75"/>
      <c r="F1417" s="75"/>
      <c r="G1417" s="75"/>
      <c r="H1417" s="75"/>
      <c r="I1417" s="75"/>
      <c r="J1417" s="166"/>
      <c r="K1417" s="166"/>
      <c r="R1417" s="163"/>
      <c r="S1417" s="163"/>
    </row>
    <row r="1418">
      <c r="A1418" s="148"/>
      <c r="B1418" s="75"/>
      <c r="C1418" s="75"/>
      <c r="D1418" s="75"/>
      <c r="E1418" s="75"/>
      <c r="F1418" s="75"/>
      <c r="G1418" s="75"/>
      <c r="H1418" s="75"/>
      <c r="I1418" s="75"/>
      <c r="J1418" s="166"/>
      <c r="K1418" s="166"/>
      <c r="R1418" s="163"/>
      <c r="S1418" s="163"/>
    </row>
    <row r="1419">
      <c r="A1419" s="148"/>
      <c r="B1419" s="75"/>
      <c r="C1419" s="75"/>
      <c r="D1419" s="75"/>
      <c r="E1419" s="75"/>
      <c r="F1419" s="75"/>
      <c r="G1419" s="75"/>
      <c r="H1419" s="75"/>
      <c r="I1419" s="75"/>
      <c r="J1419" s="166"/>
      <c r="K1419" s="166"/>
      <c r="R1419" s="163"/>
      <c r="S1419" s="163"/>
    </row>
    <row r="1420">
      <c r="A1420" s="148"/>
      <c r="B1420" s="75"/>
      <c r="C1420" s="75"/>
      <c r="D1420" s="75"/>
      <c r="E1420" s="75"/>
      <c r="F1420" s="75"/>
      <c r="G1420" s="75"/>
      <c r="H1420" s="75"/>
      <c r="I1420" s="75"/>
      <c r="J1420" s="166"/>
      <c r="K1420" s="166"/>
      <c r="R1420" s="163"/>
      <c r="S1420" s="163"/>
    </row>
    <row r="1421">
      <c r="A1421" s="148"/>
      <c r="B1421" s="75"/>
      <c r="C1421" s="75"/>
      <c r="D1421" s="75"/>
      <c r="E1421" s="75"/>
      <c r="F1421" s="75"/>
      <c r="G1421" s="75"/>
      <c r="H1421" s="75"/>
      <c r="I1421" s="75"/>
      <c r="J1421" s="166"/>
      <c r="K1421" s="166"/>
      <c r="R1421" s="163"/>
      <c r="S1421" s="163"/>
    </row>
    <row r="1422">
      <c r="A1422" s="148"/>
      <c r="B1422" s="75"/>
      <c r="C1422" s="75"/>
      <c r="D1422" s="75"/>
      <c r="E1422" s="75"/>
      <c r="F1422" s="75"/>
      <c r="G1422" s="75"/>
      <c r="H1422" s="75"/>
      <c r="I1422" s="75"/>
      <c r="J1422" s="166"/>
      <c r="K1422" s="166"/>
      <c r="R1422" s="163"/>
      <c r="S1422" s="163"/>
    </row>
    <row r="1423">
      <c r="A1423" s="148"/>
      <c r="B1423" s="75"/>
      <c r="C1423" s="75"/>
      <c r="D1423" s="75"/>
      <c r="E1423" s="75"/>
      <c r="F1423" s="75"/>
      <c r="G1423" s="75"/>
      <c r="H1423" s="75"/>
      <c r="I1423" s="75"/>
      <c r="J1423" s="166"/>
      <c r="K1423" s="166"/>
      <c r="R1423" s="163"/>
      <c r="S1423" s="163"/>
    </row>
    <row r="1424">
      <c r="A1424" s="148"/>
      <c r="B1424" s="75"/>
      <c r="C1424" s="75"/>
      <c r="D1424" s="75"/>
      <c r="E1424" s="75"/>
      <c r="F1424" s="75"/>
      <c r="G1424" s="75"/>
      <c r="H1424" s="75"/>
      <c r="I1424" s="75"/>
      <c r="J1424" s="166"/>
      <c r="K1424" s="166"/>
      <c r="R1424" s="163"/>
      <c r="S1424" s="163"/>
    </row>
    <row r="1425">
      <c r="A1425" s="148"/>
      <c r="B1425" s="75"/>
      <c r="C1425" s="75"/>
      <c r="D1425" s="75"/>
      <c r="E1425" s="75"/>
      <c r="F1425" s="75"/>
      <c r="G1425" s="75"/>
      <c r="H1425" s="75"/>
      <c r="I1425" s="75"/>
      <c r="J1425" s="166"/>
      <c r="K1425" s="166"/>
      <c r="R1425" s="173"/>
      <c r="S1425" s="173"/>
    </row>
    <row r="1426">
      <c r="A1426" s="148"/>
      <c r="B1426" s="75"/>
      <c r="C1426" s="75"/>
      <c r="D1426" s="75"/>
      <c r="E1426" s="75"/>
      <c r="F1426" s="75"/>
      <c r="G1426" s="75"/>
      <c r="H1426" s="75"/>
      <c r="I1426" s="75"/>
      <c r="J1426" s="166"/>
      <c r="K1426" s="166"/>
      <c r="R1426" s="157"/>
      <c r="S1426" s="157"/>
    </row>
    <row r="1427">
      <c r="A1427" s="148"/>
      <c r="B1427" s="75"/>
      <c r="C1427" s="75"/>
      <c r="D1427" s="75"/>
      <c r="E1427" s="75"/>
      <c r="F1427" s="75"/>
      <c r="G1427" s="75"/>
      <c r="H1427" s="75"/>
      <c r="I1427" s="75"/>
      <c r="J1427" s="166"/>
      <c r="K1427" s="166"/>
      <c r="R1427" s="163"/>
      <c r="S1427" s="163"/>
    </row>
    <row r="1428">
      <c r="A1428" s="148"/>
      <c r="B1428" s="75"/>
      <c r="C1428" s="75"/>
      <c r="D1428" s="75"/>
      <c r="E1428" s="75"/>
      <c r="F1428" s="75"/>
      <c r="G1428" s="75"/>
      <c r="H1428" s="75"/>
      <c r="I1428" s="75"/>
      <c r="J1428" s="166"/>
      <c r="K1428" s="166"/>
      <c r="R1428" s="163"/>
      <c r="S1428" s="163"/>
    </row>
    <row r="1429">
      <c r="A1429" s="148"/>
      <c r="B1429" s="75"/>
      <c r="C1429" s="75"/>
      <c r="D1429" s="75"/>
      <c r="E1429" s="75"/>
      <c r="F1429" s="75"/>
      <c r="G1429" s="75"/>
      <c r="H1429" s="75"/>
      <c r="I1429" s="75"/>
      <c r="J1429" s="166"/>
      <c r="K1429" s="166"/>
      <c r="R1429" s="163"/>
      <c r="S1429" s="163"/>
    </row>
    <row r="1430">
      <c r="A1430" s="148"/>
      <c r="B1430" s="75"/>
      <c r="C1430" s="75"/>
      <c r="D1430" s="75"/>
      <c r="E1430" s="75"/>
      <c r="F1430" s="75"/>
      <c r="G1430" s="75"/>
      <c r="H1430" s="75"/>
      <c r="I1430" s="75"/>
      <c r="J1430" s="166"/>
      <c r="K1430" s="166"/>
      <c r="R1430" s="163"/>
      <c r="S1430" s="163"/>
    </row>
    <row r="1431">
      <c r="A1431" s="148"/>
      <c r="B1431" s="75"/>
      <c r="C1431" s="75"/>
      <c r="D1431" s="75"/>
      <c r="E1431" s="75"/>
      <c r="F1431" s="75"/>
      <c r="G1431" s="75"/>
      <c r="H1431" s="75"/>
      <c r="I1431" s="75"/>
      <c r="J1431" s="166"/>
      <c r="K1431" s="166"/>
      <c r="R1431" s="163"/>
      <c r="S1431" s="163"/>
    </row>
    <row r="1432">
      <c r="A1432" s="148"/>
      <c r="B1432" s="75"/>
      <c r="C1432" s="75"/>
      <c r="D1432" s="75"/>
      <c r="E1432" s="75"/>
      <c r="F1432" s="75"/>
      <c r="G1432" s="75"/>
      <c r="H1432" s="75"/>
      <c r="I1432" s="75"/>
      <c r="J1432" s="166"/>
      <c r="K1432" s="166"/>
      <c r="R1432" s="163"/>
      <c r="S1432" s="163"/>
    </row>
    <row r="1433">
      <c r="A1433" s="148"/>
      <c r="B1433" s="75"/>
      <c r="C1433" s="75"/>
      <c r="D1433" s="75"/>
      <c r="E1433" s="75"/>
      <c r="F1433" s="75"/>
      <c r="G1433" s="75"/>
      <c r="H1433" s="75"/>
      <c r="I1433" s="75"/>
      <c r="J1433" s="166"/>
      <c r="K1433" s="166"/>
      <c r="R1433" s="163"/>
      <c r="S1433" s="163"/>
    </row>
    <row r="1434">
      <c r="A1434" s="148"/>
      <c r="B1434" s="75"/>
      <c r="C1434" s="75"/>
      <c r="D1434" s="75"/>
      <c r="E1434" s="75"/>
      <c r="F1434" s="75"/>
      <c r="G1434" s="75"/>
      <c r="H1434" s="75"/>
      <c r="I1434" s="75"/>
      <c r="J1434" s="166"/>
      <c r="K1434" s="166"/>
      <c r="R1434" s="163"/>
      <c r="S1434" s="163"/>
    </row>
    <row r="1435">
      <c r="A1435" s="148"/>
      <c r="B1435" s="75"/>
      <c r="C1435" s="75"/>
      <c r="D1435" s="75"/>
      <c r="E1435" s="75"/>
      <c r="F1435" s="75"/>
      <c r="G1435" s="75"/>
      <c r="H1435" s="75"/>
      <c r="I1435" s="75"/>
      <c r="J1435" s="166"/>
      <c r="K1435" s="166"/>
      <c r="R1435" s="163"/>
      <c r="S1435" s="163"/>
    </row>
    <row r="1436">
      <c r="A1436" s="148"/>
      <c r="B1436" s="75"/>
      <c r="C1436" s="75"/>
      <c r="D1436" s="75"/>
      <c r="E1436" s="75"/>
      <c r="F1436" s="75"/>
      <c r="G1436" s="75"/>
      <c r="H1436" s="75"/>
      <c r="I1436" s="75"/>
      <c r="J1436" s="166"/>
      <c r="K1436" s="166"/>
      <c r="R1436" s="163"/>
      <c r="S1436" s="163"/>
    </row>
    <row r="1437">
      <c r="A1437" s="148"/>
      <c r="B1437" s="75"/>
      <c r="C1437" s="75"/>
      <c r="D1437" s="75"/>
      <c r="E1437" s="75"/>
      <c r="F1437" s="75"/>
      <c r="G1437" s="75"/>
      <c r="H1437" s="75"/>
      <c r="I1437" s="75"/>
      <c r="J1437" s="166"/>
      <c r="K1437" s="166"/>
      <c r="R1437" s="173"/>
      <c r="S1437" s="173"/>
    </row>
    <row r="1438">
      <c r="A1438" s="148"/>
      <c r="B1438" s="75"/>
      <c r="C1438" s="75"/>
      <c r="D1438" s="75"/>
      <c r="E1438" s="75"/>
      <c r="F1438" s="75"/>
      <c r="G1438" s="75"/>
      <c r="H1438" s="75"/>
      <c r="I1438" s="75"/>
      <c r="J1438" s="166"/>
      <c r="K1438" s="166"/>
      <c r="R1438" s="157"/>
      <c r="S1438" s="157"/>
    </row>
    <row r="1439">
      <c r="A1439" s="148"/>
      <c r="B1439" s="75"/>
      <c r="C1439" s="75"/>
      <c r="D1439" s="75"/>
      <c r="E1439" s="75"/>
      <c r="F1439" s="75"/>
      <c r="G1439" s="75"/>
      <c r="H1439" s="75"/>
      <c r="I1439" s="75"/>
      <c r="J1439" s="166"/>
      <c r="K1439" s="166"/>
      <c r="R1439" s="163"/>
      <c r="S1439" s="163"/>
    </row>
    <row r="1440">
      <c r="A1440" s="148"/>
      <c r="B1440" s="75"/>
      <c r="C1440" s="75"/>
      <c r="D1440" s="75"/>
      <c r="E1440" s="75"/>
      <c r="F1440" s="75"/>
      <c r="G1440" s="75"/>
      <c r="H1440" s="75"/>
      <c r="I1440" s="75"/>
      <c r="J1440" s="166"/>
      <c r="K1440" s="166"/>
      <c r="R1440" s="163"/>
      <c r="S1440" s="163"/>
    </row>
    <row r="1441">
      <c r="A1441" s="148"/>
      <c r="B1441" s="75"/>
      <c r="C1441" s="75"/>
      <c r="D1441" s="75"/>
      <c r="E1441" s="75"/>
      <c r="F1441" s="75"/>
      <c r="G1441" s="75"/>
      <c r="H1441" s="75"/>
      <c r="I1441" s="75"/>
      <c r="J1441" s="166"/>
      <c r="K1441" s="166"/>
      <c r="R1441" s="163"/>
      <c r="S1441" s="163"/>
    </row>
    <row r="1442">
      <c r="A1442" s="148"/>
      <c r="B1442" s="75"/>
      <c r="C1442" s="75"/>
      <c r="D1442" s="75"/>
      <c r="E1442" s="75"/>
      <c r="F1442" s="75"/>
      <c r="G1442" s="75"/>
      <c r="H1442" s="75"/>
      <c r="I1442" s="75"/>
      <c r="J1442" s="166"/>
      <c r="K1442" s="166"/>
      <c r="R1442" s="163"/>
      <c r="S1442" s="163"/>
    </row>
    <row r="1443">
      <c r="A1443" s="148"/>
      <c r="B1443" s="75"/>
      <c r="C1443" s="75"/>
      <c r="D1443" s="75"/>
      <c r="E1443" s="75"/>
      <c r="F1443" s="75"/>
      <c r="G1443" s="75"/>
      <c r="H1443" s="75"/>
      <c r="I1443" s="75"/>
      <c r="J1443" s="166"/>
      <c r="K1443" s="166"/>
      <c r="R1443" s="163"/>
      <c r="S1443" s="163"/>
    </row>
    <row r="1444">
      <c r="A1444" s="148"/>
      <c r="B1444" s="75"/>
      <c r="C1444" s="75"/>
      <c r="D1444" s="75"/>
      <c r="E1444" s="75"/>
      <c r="F1444" s="75"/>
      <c r="G1444" s="75"/>
      <c r="H1444" s="75"/>
      <c r="I1444" s="75"/>
      <c r="J1444" s="166"/>
      <c r="K1444" s="166"/>
      <c r="R1444" s="163"/>
      <c r="S1444" s="163"/>
    </row>
    <row r="1445">
      <c r="A1445" s="148"/>
      <c r="B1445" s="75"/>
      <c r="C1445" s="75"/>
      <c r="D1445" s="75"/>
      <c r="E1445" s="75"/>
      <c r="F1445" s="75"/>
      <c r="G1445" s="75"/>
      <c r="H1445" s="75"/>
      <c r="I1445" s="75"/>
      <c r="J1445" s="166"/>
      <c r="K1445" s="166"/>
      <c r="R1445" s="163"/>
      <c r="S1445" s="163"/>
    </row>
    <row r="1446">
      <c r="A1446" s="148"/>
      <c r="B1446" s="75"/>
      <c r="C1446" s="75"/>
      <c r="D1446" s="75"/>
      <c r="E1446" s="75"/>
      <c r="F1446" s="75"/>
      <c r="G1446" s="75"/>
      <c r="H1446" s="75"/>
      <c r="I1446" s="75"/>
      <c r="J1446" s="166"/>
      <c r="K1446" s="166"/>
      <c r="R1446" s="163"/>
      <c r="S1446" s="163"/>
    </row>
    <row r="1447">
      <c r="A1447" s="148"/>
      <c r="B1447" s="75"/>
      <c r="C1447" s="75"/>
      <c r="D1447" s="75"/>
      <c r="E1447" s="75"/>
      <c r="F1447" s="75"/>
      <c r="G1447" s="75"/>
      <c r="H1447" s="75"/>
      <c r="I1447" s="75"/>
      <c r="J1447" s="166"/>
      <c r="K1447" s="166"/>
      <c r="R1447" s="163"/>
      <c r="S1447" s="163"/>
    </row>
    <row r="1448">
      <c r="A1448" s="148"/>
      <c r="B1448" s="75"/>
      <c r="C1448" s="75"/>
      <c r="D1448" s="75"/>
      <c r="E1448" s="75"/>
      <c r="F1448" s="75"/>
      <c r="G1448" s="75"/>
      <c r="H1448" s="75"/>
      <c r="I1448" s="75"/>
      <c r="J1448" s="166"/>
      <c r="K1448" s="166"/>
      <c r="R1448" s="163"/>
      <c r="S1448" s="163"/>
    </row>
    <row r="1449">
      <c r="A1449" s="148"/>
      <c r="B1449" s="75"/>
      <c r="C1449" s="75"/>
      <c r="D1449" s="75"/>
      <c r="E1449" s="75"/>
      <c r="F1449" s="75"/>
      <c r="G1449" s="75"/>
      <c r="H1449" s="75"/>
      <c r="I1449" s="75"/>
      <c r="J1449" s="166"/>
      <c r="K1449" s="166"/>
      <c r="R1449" s="173"/>
      <c r="S1449" s="173"/>
    </row>
    <row r="1450">
      <c r="A1450" s="148"/>
      <c r="B1450" s="75"/>
      <c r="C1450" s="75"/>
      <c r="D1450" s="75"/>
      <c r="E1450" s="75"/>
      <c r="F1450" s="75"/>
      <c r="G1450" s="75"/>
      <c r="H1450" s="75"/>
      <c r="I1450" s="75"/>
      <c r="J1450" s="166"/>
      <c r="K1450" s="166"/>
      <c r="R1450" s="157"/>
      <c r="S1450" s="157"/>
    </row>
    <row r="1451">
      <c r="A1451" s="148"/>
      <c r="B1451" s="75"/>
      <c r="C1451" s="75"/>
      <c r="D1451" s="75"/>
      <c r="E1451" s="75"/>
      <c r="F1451" s="75"/>
      <c r="G1451" s="75"/>
      <c r="H1451" s="75"/>
      <c r="I1451" s="75"/>
      <c r="J1451" s="166"/>
      <c r="K1451" s="166"/>
      <c r="R1451" s="163"/>
      <c r="S1451" s="163"/>
    </row>
    <row r="1452">
      <c r="A1452" s="148"/>
      <c r="B1452" s="75"/>
      <c r="C1452" s="75"/>
      <c r="D1452" s="75"/>
      <c r="E1452" s="75"/>
      <c r="F1452" s="75"/>
      <c r="G1452" s="75"/>
      <c r="H1452" s="75"/>
      <c r="I1452" s="75"/>
      <c r="J1452" s="166"/>
      <c r="K1452" s="166"/>
      <c r="R1452" s="163"/>
      <c r="S1452" s="163"/>
    </row>
    <row r="1453">
      <c r="A1453" s="148"/>
      <c r="B1453" s="75"/>
      <c r="C1453" s="75"/>
      <c r="D1453" s="75"/>
      <c r="E1453" s="75"/>
      <c r="F1453" s="75"/>
      <c r="G1453" s="75"/>
      <c r="H1453" s="75"/>
      <c r="I1453" s="75"/>
      <c r="J1453" s="166"/>
      <c r="K1453" s="166"/>
      <c r="R1453" s="163"/>
      <c r="S1453" s="163"/>
    </row>
    <row r="1454">
      <c r="A1454" s="148"/>
      <c r="B1454" s="75"/>
      <c r="C1454" s="75"/>
      <c r="D1454" s="75"/>
      <c r="E1454" s="75"/>
      <c r="F1454" s="75"/>
      <c r="G1454" s="75"/>
      <c r="H1454" s="75"/>
      <c r="I1454" s="75"/>
      <c r="J1454" s="166"/>
      <c r="K1454" s="166"/>
      <c r="R1454" s="163"/>
      <c r="S1454" s="163"/>
    </row>
    <row r="1455">
      <c r="A1455" s="148"/>
      <c r="B1455" s="75"/>
      <c r="C1455" s="75"/>
      <c r="D1455" s="75"/>
      <c r="E1455" s="75"/>
      <c r="F1455" s="75"/>
      <c r="G1455" s="75"/>
      <c r="H1455" s="75"/>
      <c r="I1455" s="75"/>
      <c r="J1455" s="166"/>
      <c r="K1455" s="166"/>
      <c r="R1455" s="163"/>
      <c r="S1455" s="163"/>
    </row>
    <row r="1456">
      <c r="A1456" s="148"/>
      <c r="B1456" s="75"/>
      <c r="C1456" s="75"/>
      <c r="D1456" s="75"/>
      <c r="E1456" s="75"/>
      <c r="F1456" s="75"/>
      <c r="G1456" s="75"/>
      <c r="H1456" s="75"/>
      <c r="I1456" s="75"/>
      <c r="J1456" s="166"/>
      <c r="K1456" s="166"/>
      <c r="R1456" s="163"/>
      <c r="S1456" s="163"/>
    </row>
    <row r="1457">
      <c r="A1457" s="148"/>
      <c r="B1457" s="75"/>
      <c r="C1457" s="75"/>
      <c r="D1457" s="75"/>
      <c r="E1457" s="75"/>
      <c r="F1457" s="75"/>
      <c r="G1457" s="75"/>
      <c r="H1457" s="75"/>
      <c r="I1457" s="75"/>
      <c r="J1457" s="166"/>
      <c r="K1457" s="166"/>
      <c r="R1457" s="163"/>
      <c r="S1457" s="163"/>
    </row>
    <row r="1458">
      <c r="A1458" s="148"/>
      <c r="B1458" s="75"/>
      <c r="C1458" s="75"/>
      <c r="D1458" s="75"/>
      <c r="E1458" s="75"/>
      <c r="F1458" s="75"/>
      <c r="G1458" s="75"/>
      <c r="H1458" s="75"/>
      <c r="I1458" s="75"/>
      <c r="J1458" s="166"/>
      <c r="K1458" s="166"/>
      <c r="R1458" s="163"/>
      <c r="S1458" s="163"/>
    </row>
    <row r="1459">
      <c r="A1459" s="148"/>
      <c r="B1459" s="75"/>
      <c r="C1459" s="75"/>
      <c r="D1459" s="75"/>
      <c r="E1459" s="75"/>
      <c r="F1459" s="75"/>
      <c r="G1459" s="75"/>
      <c r="H1459" s="75"/>
      <c r="I1459" s="75"/>
      <c r="J1459" s="166"/>
      <c r="K1459" s="166"/>
      <c r="R1459" s="163"/>
      <c r="S1459" s="163"/>
    </row>
    <row r="1460">
      <c r="A1460" s="148"/>
      <c r="B1460" s="75"/>
      <c r="C1460" s="75"/>
      <c r="D1460" s="75"/>
      <c r="E1460" s="75"/>
      <c r="F1460" s="75"/>
      <c r="G1460" s="75"/>
      <c r="H1460" s="75"/>
      <c r="I1460" s="75"/>
      <c r="J1460" s="166"/>
      <c r="K1460" s="166"/>
      <c r="R1460" s="163"/>
      <c r="S1460" s="163"/>
    </row>
    <row r="1461">
      <c r="A1461" s="148"/>
      <c r="B1461" s="75"/>
      <c r="C1461" s="75"/>
      <c r="D1461" s="75"/>
      <c r="E1461" s="75"/>
      <c r="F1461" s="75"/>
      <c r="G1461" s="75"/>
      <c r="H1461" s="75"/>
      <c r="I1461" s="75"/>
      <c r="J1461" s="166"/>
      <c r="K1461" s="166"/>
      <c r="R1461" s="173"/>
      <c r="S1461" s="173"/>
    </row>
    <row r="1462">
      <c r="A1462" s="148"/>
      <c r="B1462" s="75"/>
      <c r="C1462" s="75"/>
      <c r="D1462" s="75"/>
      <c r="E1462" s="75"/>
      <c r="F1462" s="75"/>
      <c r="G1462" s="75"/>
      <c r="H1462" s="75"/>
      <c r="I1462" s="75"/>
      <c r="J1462" s="166"/>
      <c r="K1462" s="166"/>
      <c r="R1462" s="157"/>
      <c r="S1462" s="157"/>
    </row>
    <row r="1463">
      <c r="A1463" s="148"/>
      <c r="B1463" s="75"/>
      <c r="C1463" s="75"/>
      <c r="D1463" s="75"/>
      <c r="E1463" s="75"/>
      <c r="F1463" s="75"/>
      <c r="G1463" s="75"/>
      <c r="H1463" s="75"/>
      <c r="I1463" s="75"/>
      <c r="J1463" s="166"/>
      <c r="K1463" s="166"/>
      <c r="R1463" s="163"/>
      <c r="S1463" s="163"/>
    </row>
    <row r="1464">
      <c r="A1464" s="148"/>
      <c r="B1464" s="75"/>
      <c r="C1464" s="75"/>
      <c r="D1464" s="75"/>
      <c r="E1464" s="75"/>
      <c r="F1464" s="75"/>
      <c r="G1464" s="75"/>
      <c r="H1464" s="75"/>
      <c r="I1464" s="75"/>
      <c r="J1464" s="166"/>
      <c r="K1464" s="166"/>
      <c r="R1464" s="163"/>
      <c r="S1464" s="163"/>
    </row>
    <row r="1465">
      <c r="A1465" s="148"/>
      <c r="B1465" s="75"/>
      <c r="C1465" s="75"/>
      <c r="D1465" s="75"/>
      <c r="E1465" s="75"/>
      <c r="F1465" s="75"/>
      <c r="G1465" s="75"/>
      <c r="H1465" s="75"/>
      <c r="I1465" s="75"/>
      <c r="J1465" s="166"/>
      <c r="K1465" s="166"/>
      <c r="R1465" s="163"/>
      <c r="S1465" s="163"/>
    </row>
    <row r="1466">
      <c r="A1466" s="148"/>
      <c r="B1466" s="75"/>
      <c r="C1466" s="75"/>
      <c r="D1466" s="75"/>
      <c r="E1466" s="75"/>
      <c r="F1466" s="75"/>
      <c r="G1466" s="75"/>
      <c r="H1466" s="75"/>
      <c r="I1466" s="75"/>
      <c r="J1466" s="166"/>
      <c r="K1466" s="166"/>
      <c r="R1466" s="163"/>
      <c r="S1466" s="163"/>
    </row>
    <row r="1467">
      <c r="A1467" s="148"/>
      <c r="B1467" s="75"/>
      <c r="C1467" s="75"/>
      <c r="D1467" s="75"/>
      <c r="E1467" s="75"/>
      <c r="F1467" s="75"/>
      <c r="G1467" s="75"/>
      <c r="H1467" s="75"/>
      <c r="I1467" s="75"/>
      <c r="J1467" s="166"/>
      <c r="K1467" s="166"/>
      <c r="R1467" s="163"/>
      <c r="S1467" s="163"/>
    </row>
    <row r="1468">
      <c r="A1468" s="148"/>
      <c r="B1468" s="75"/>
      <c r="C1468" s="75"/>
      <c r="D1468" s="75"/>
      <c r="E1468" s="75"/>
      <c r="F1468" s="75"/>
      <c r="G1468" s="75"/>
      <c r="H1468" s="75"/>
      <c r="I1468" s="75"/>
      <c r="J1468" s="166"/>
      <c r="K1468" s="166"/>
      <c r="R1468" s="163"/>
      <c r="S1468" s="163"/>
    </row>
    <row r="1469">
      <c r="A1469" s="148"/>
      <c r="B1469" s="75"/>
      <c r="C1469" s="75"/>
      <c r="D1469" s="75"/>
      <c r="E1469" s="75"/>
      <c r="F1469" s="75"/>
      <c r="G1469" s="75"/>
      <c r="H1469" s="75"/>
      <c r="I1469" s="75"/>
      <c r="J1469" s="166"/>
      <c r="K1469" s="166"/>
      <c r="R1469" s="163"/>
      <c r="S1469" s="163"/>
    </row>
    <row r="1470">
      <c r="A1470" s="148"/>
      <c r="B1470" s="75"/>
      <c r="C1470" s="75"/>
      <c r="D1470" s="75"/>
      <c r="E1470" s="75"/>
      <c r="F1470" s="75"/>
      <c r="G1470" s="75"/>
      <c r="H1470" s="75"/>
      <c r="I1470" s="75"/>
      <c r="J1470" s="166"/>
      <c r="K1470" s="166"/>
      <c r="R1470" s="163"/>
      <c r="S1470" s="163"/>
    </row>
    <row r="1471">
      <c r="A1471" s="148"/>
      <c r="B1471" s="75"/>
      <c r="C1471" s="75"/>
      <c r="D1471" s="75"/>
      <c r="E1471" s="75"/>
      <c r="F1471" s="75"/>
      <c r="G1471" s="75"/>
      <c r="H1471" s="75"/>
      <c r="I1471" s="75"/>
      <c r="J1471" s="166"/>
      <c r="K1471" s="166"/>
      <c r="R1471" s="163"/>
      <c r="S1471" s="163"/>
    </row>
    <row r="1472">
      <c r="A1472" s="148"/>
      <c r="B1472" s="75"/>
      <c r="C1472" s="75"/>
      <c r="D1472" s="75"/>
      <c r="E1472" s="75"/>
      <c r="F1472" s="75"/>
      <c r="G1472" s="75"/>
      <c r="H1472" s="75"/>
      <c r="I1472" s="75"/>
      <c r="J1472" s="166"/>
      <c r="K1472" s="166"/>
      <c r="R1472" s="163"/>
      <c r="S1472" s="163"/>
    </row>
    <row r="1473">
      <c r="A1473" s="148"/>
      <c r="B1473" s="75"/>
      <c r="C1473" s="75"/>
      <c r="D1473" s="75"/>
      <c r="E1473" s="75"/>
      <c r="F1473" s="75"/>
      <c r="G1473" s="75"/>
      <c r="H1473" s="75"/>
      <c r="I1473" s="75"/>
      <c r="J1473" s="166"/>
      <c r="K1473" s="166"/>
      <c r="R1473" s="173"/>
      <c r="S1473" s="173"/>
    </row>
    <row r="1474">
      <c r="A1474" s="148"/>
      <c r="B1474" s="75"/>
      <c r="C1474" s="75"/>
      <c r="D1474" s="75"/>
      <c r="E1474" s="75"/>
      <c r="F1474" s="75"/>
      <c r="G1474" s="75"/>
      <c r="H1474" s="75"/>
      <c r="I1474" s="75"/>
      <c r="J1474" s="166"/>
      <c r="K1474" s="166"/>
      <c r="R1474" s="157"/>
      <c r="S1474" s="157"/>
    </row>
    <row r="1475">
      <c r="A1475" s="148"/>
      <c r="B1475" s="75"/>
      <c r="C1475" s="75"/>
      <c r="D1475" s="75"/>
      <c r="E1475" s="75"/>
      <c r="F1475" s="75"/>
      <c r="G1475" s="75"/>
      <c r="H1475" s="75"/>
      <c r="I1475" s="75"/>
      <c r="J1475" s="166"/>
      <c r="K1475" s="166"/>
      <c r="R1475" s="163"/>
      <c r="S1475" s="163"/>
    </row>
    <row r="1476">
      <c r="A1476" s="148"/>
      <c r="B1476" s="75"/>
      <c r="C1476" s="75"/>
      <c r="D1476" s="75"/>
      <c r="E1476" s="75"/>
      <c r="F1476" s="75"/>
      <c r="G1476" s="75"/>
      <c r="H1476" s="75"/>
      <c r="I1476" s="75"/>
      <c r="J1476" s="166"/>
      <c r="K1476" s="166"/>
      <c r="R1476" s="163"/>
      <c r="S1476" s="163"/>
    </row>
    <row r="1477">
      <c r="A1477" s="148"/>
      <c r="B1477" s="75"/>
      <c r="C1477" s="75"/>
      <c r="D1477" s="75"/>
      <c r="E1477" s="75"/>
      <c r="F1477" s="75"/>
      <c r="G1477" s="75"/>
      <c r="H1477" s="75"/>
      <c r="I1477" s="75"/>
      <c r="J1477" s="166"/>
      <c r="K1477" s="166"/>
      <c r="R1477" s="163"/>
      <c r="S1477" s="163"/>
    </row>
    <row r="1478">
      <c r="A1478" s="148"/>
      <c r="B1478" s="75"/>
      <c r="C1478" s="75"/>
      <c r="D1478" s="75"/>
      <c r="E1478" s="75"/>
      <c r="F1478" s="75"/>
      <c r="G1478" s="75"/>
      <c r="H1478" s="75"/>
      <c r="I1478" s="75"/>
      <c r="J1478" s="166"/>
      <c r="K1478" s="166"/>
      <c r="R1478" s="163"/>
      <c r="S1478" s="163"/>
    </row>
    <row r="1479">
      <c r="A1479" s="148"/>
      <c r="B1479" s="75"/>
      <c r="C1479" s="75"/>
      <c r="D1479" s="75"/>
      <c r="E1479" s="75"/>
      <c r="F1479" s="75"/>
      <c r="G1479" s="75"/>
      <c r="H1479" s="75"/>
      <c r="I1479" s="75"/>
      <c r="J1479" s="166"/>
      <c r="K1479" s="166"/>
      <c r="R1479" s="163"/>
      <c r="S1479" s="163"/>
    </row>
    <row r="1480">
      <c r="A1480" s="148"/>
      <c r="B1480" s="75"/>
      <c r="C1480" s="75"/>
      <c r="D1480" s="75"/>
      <c r="E1480" s="75"/>
      <c r="F1480" s="75"/>
      <c r="G1480" s="75"/>
      <c r="H1480" s="75"/>
      <c r="I1480" s="75"/>
      <c r="J1480" s="166"/>
      <c r="K1480" s="166"/>
      <c r="R1480" s="163"/>
      <c r="S1480" s="163"/>
    </row>
    <row r="1481">
      <c r="A1481" s="148"/>
      <c r="B1481" s="75"/>
      <c r="C1481" s="75"/>
      <c r="D1481" s="75"/>
      <c r="E1481" s="75"/>
      <c r="F1481" s="75"/>
      <c r="G1481" s="75"/>
      <c r="H1481" s="75"/>
      <c r="I1481" s="75"/>
      <c r="J1481" s="166"/>
      <c r="K1481" s="166"/>
      <c r="R1481" s="163"/>
      <c r="S1481" s="163"/>
    </row>
    <row r="1482">
      <c r="A1482" s="148"/>
      <c r="B1482" s="75"/>
      <c r="C1482" s="75"/>
      <c r="D1482" s="75"/>
      <c r="E1482" s="75"/>
      <c r="F1482" s="75"/>
      <c r="G1482" s="75"/>
      <c r="H1482" s="75"/>
      <c r="I1482" s="75"/>
      <c r="J1482" s="166"/>
      <c r="K1482" s="166"/>
      <c r="R1482" s="163"/>
      <c r="S1482" s="163"/>
    </row>
    <row r="1483">
      <c r="A1483" s="148"/>
      <c r="B1483" s="75"/>
      <c r="C1483" s="75"/>
      <c r="D1483" s="75"/>
      <c r="E1483" s="75"/>
      <c r="F1483" s="75"/>
      <c r="G1483" s="75"/>
      <c r="H1483" s="75"/>
      <c r="I1483" s="75"/>
      <c r="J1483" s="166"/>
      <c r="K1483" s="166"/>
      <c r="R1483" s="163"/>
      <c r="S1483" s="163"/>
    </row>
    <row r="1484">
      <c r="A1484" s="148"/>
      <c r="B1484" s="75"/>
      <c r="C1484" s="75"/>
      <c r="D1484" s="75"/>
      <c r="E1484" s="75"/>
      <c r="F1484" s="75"/>
      <c r="G1484" s="75"/>
      <c r="H1484" s="75"/>
      <c r="I1484" s="75"/>
      <c r="J1484" s="166"/>
      <c r="K1484" s="166"/>
      <c r="R1484" s="163"/>
      <c r="S1484" s="163"/>
    </row>
    <row r="1485">
      <c r="A1485" s="148"/>
      <c r="B1485" s="75"/>
      <c r="C1485" s="75"/>
      <c r="D1485" s="75"/>
      <c r="E1485" s="75"/>
      <c r="F1485" s="75"/>
      <c r="G1485" s="75"/>
      <c r="H1485" s="75"/>
      <c r="I1485" s="75"/>
      <c r="J1485" s="166"/>
      <c r="K1485" s="166"/>
      <c r="R1485" s="173"/>
      <c r="S1485" s="173"/>
    </row>
    <row r="1486">
      <c r="A1486" s="148"/>
      <c r="B1486" s="75"/>
      <c r="C1486" s="75"/>
      <c r="D1486" s="75"/>
      <c r="E1486" s="75"/>
      <c r="F1486" s="75"/>
      <c r="G1486" s="75"/>
      <c r="H1486" s="75"/>
      <c r="I1486" s="75"/>
      <c r="J1486" s="166"/>
      <c r="K1486" s="166"/>
      <c r="R1486" s="157"/>
      <c r="S1486" s="157"/>
    </row>
    <row r="1487">
      <c r="A1487" s="148"/>
      <c r="B1487" s="75"/>
      <c r="C1487" s="75"/>
      <c r="D1487" s="75"/>
      <c r="E1487" s="75"/>
      <c r="F1487" s="75"/>
      <c r="G1487" s="75"/>
      <c r="H1487" s="75"/>
      <c r="I1487" s="75"/>
      <c r="J1487" s="166"/>
      <c r="K1487" s="166"/>
      <c r="R1487" s="163"/>
      <c r="S1487" s="163"/>
    </row>
    <row r="1488">
      <c r="A1488" s="148"/>
      <c r="B1488" s="75"/>
      <c r="C1488" s="75"/>
      <c r="D1488" s="75"/>
      <c r="E1488" s="75"/>
      <c r="F1488" s="75"/>
      <c r="G1488" s="75"/>
      <c r="H1488" s="75"/>
      <c r="I1488" s="75"/>
      <c r="J1488" s="166"/>
      <c r="K1488" s="166"/>
      <c r="R1488" s="163"/>
      <c r="S1488" s="163"/>
    </row>
    <row r="1489">
      <c r="A1489" s="148"/>
      <c r="B1489" s="75"/>
      <c r="C1489" s="75"/>
      <c r="D1489" s="75"/>
      <c r="E1489" s="75"/>
      <c r="F1489" s="75"/>
      <c r="G1489" s="75"/>
      <c r="H1489" s="75"/>
      <c r="I1489" s="75"/>
      <c r="J1489" s="166"/>
      <c r="K1489" s="166"/>
      <c r="R1489" s="163"/>
      <c r="S1489" s="163"/>
    </row>
    <row r="1490">
      <c r="A1490" s="148"/>
      <c r="B1490" s="75"/>
      <c r="C1490" s="75"/>
      <c r="D1490" s="75"/>
      <c r="E1490" s="75"/>
      <c r="F1490" s="75"/>
      <c r="G1490" s="75"/>
      <c r="H1490" s="75"/>
      <c r="I1490" s="75"/>
      <c r="J1490" s="166"/>
      <c r="K1490" s="166"/>
      <c r="R1490" s="163"/>
      <c r="S1490" s="163"/>
    </row>
    <row r="1491">
      <c r="A1491" s="148"/>
      <c r="B1491" s="75"/>
      <c r="C1491" s="75"/>
      <c r="D1491" s="75"/>
      <c r="E1491" s="75"/>
      <c r="F1491" s="75"/>
      <c r="G1491" s="75"/>
      <c r="H1491" s="75"/>
      <c r="I1491" s="75"/>
      <c r="J1491" s="166"/>
      <c r="K1491" s="166"/>
      <c r="R1491" s="163"/>
      <c r="S1491" s="163"/>
    </row>
    <row r="1492">
      <c r="A1492" s="148"/>
      <c r="B1492" s="75"/>
      <c r="C1492" s="75"/>
      <c r="D1492" s="75"/>
      <c r="E1492" s="75"/>
      <c r="F1492" s="75"/>
      <c r="G1492" s="75"/>
      <c r="H1492" s="75"/>
      <c r="I1492" s="75"/>
      <c r="J1492" s="166"/>
      <c r="K1492" s="166"/>
      <c r="R1492" s="163"/>
      <c r="S1492" s="163"/>
    </row>
    <row r="1493">
      <c r="A1493" s="148"/>
      <c r="B1493" s="75"/>
      <c r="C1493" s="75"/>
      <c r="D1493" s="75"/>
      <c r="E1493" s="75"/>
      <c r="F1493" s="75"/>
      <c r="G1493" s="75"/>
      <c r="H1493" s="75"/>
      <c r="I1493" s="75"/>
      <c r="J1493" s="166"/>
      <c r="K1493" s="166"/>
      <c r="R1493" s="163"/>
      <c r="S1493" s="163"/>
    </row>
    <row r="1494">
      <c r="A1494" s="148"/>
      <c r="B1494" s="75"/>
      <c r="C1494" s="75"/>
      <c r="D1494" s="75"/>
      <c r="E1494" s="75"/>
      <c r="F1494" s="75"/>
      <c r="G1494" s="75"/>
      <c r="H1494" s="75"/>
      <c r="I1494" s="75"/>
      <c r="J1494" s="166"/>
      <c r="K1494" s="166"/>
      <c r="R1494" s="163"/>
      <c r="S1494" s="163"/>
    </row>
    <row r="1495">
      <c r="A1495" s="148"/>
      <c r="B1495" s="75"/>
      <c r="C1495" s="75"/>
      <c r="D1495" s="75"/>
      <c r="E1495" s="75"/>
      <c r="F1495" s="75"/>
      <c r="G1495" s="75"/>
      <c r="H1495" s="75"/>
      <c r="I1495" s="75"/>
      <c r="J1495" s="166"/>
      <c r="K1495" s="166"/>
      <c r="R1495" s="163"/>
      <c r="S1495" s="163"/>
    </row>
    <row r="1496">
      <c r="A1496" s="148"/>
      <c r="B1496" s="75"/>
      <c r="C1496" s="75"/>
      <c r="D1496" s="75"/>
      <c r="E1496" s="75"/>
      <c r="F1496" s="75"/>
      <c r="G1496" s="75"/>
      <c r="H1496" s="75"/>
      <c r="I1496" s="75"/>
      <c r="J1496" s="166"/>
      <c r="K1496" s="166"/>
      <c r="R1496" s="163"/>
      <c r="S1496" s="163"/>
    </row>
    <row r="1497">
      <c r="A1497" s="148"/>
      <c r="B1497" s="75"/>
      <c r="C1497" s="75"/>
      <c r="D1497" s="75"/>
      <c r="E1497" s="75"/>
      <c r="F1497" s="75"/>
      <c r="G1497" s="75"/>
      <c r="H1497" s="75"/>
      <c r="I1497" s="75"/>
      <c r="J1497" s="166"/>
      <c r="K1497" s="166"/>
      <c r="R1497" s="173"/>
      <c r="S1497" s="173"/>
    </row>
    <row r="1498">
      <c r="A1498" s="148"/>
      <c r="B1498" s="75"/>
      <c r="C1498" s="75"/>
      <c r="D1498" s="75"/>
      <c r="E1498" s="75"/>
      <c r="F1498" s="75"/>
      <c r="G1498" s="75"/>
      <c r="H1498" s="75"/>
      <c r="I1498" s="75"/>
      <c r="J1498" s="166"/>
      <c r="K1498" s="166"/>
      <c r="R1498" s="157"/>
      <c r="S1498" s="157"/>
    </row>
    <row r="1499">
      <c r="A1499" s="148"/>
      <c r="B1499" s="75"/>
      <c r="C1499" s="75"/>
      <c r="D1499" s="75"/>
      <c r="E1499" s="75"/>
      <c r="F1499" s="75"/>
      <c r="G1499" s="75"/>
      <c r="H1499" s="75"/>
      <c r="I1499" s="75"/>
      <c r="J1499" s="166"/>
      <c r="K1499" s="166"/>
      <c r="R1499" s="163"/>
      <c r="S1499" s="163"/>
    </row>
    <row r="1500">
      <c r="A1500" s="148"/>
      <c r="B1500" s="75"/>
      <c r="C1500" s="75"/>
      <c r="D1500" s="75"/>
      <c r="E1500" s="75"/>
      <c r="F1500" s="75"/>
      <c r="G1500" s="75"/>
      <c r="H1500" s="75"/>
      <c r="I1500" s="75"/>
      <c r="J1500" s="166"/>
      <c r="K1500" s="166"/>
      <c r="R1500" s="163"/>
      <c r="S1500" s="163"/>
    </row>
    <row r="1501">
      <c r="A1501" s="148"/>
      <c r="B1501" s="75"/>
      <c r="C1501" s="75"/>
      <c r="D1501" s="75"/>
      <c r="E1501" s="75"/>
      <c r="F1501" s="75"/>
      <c r="G1501" s="75"/>
      <c r="H1501" s="75"/>
      <c r="I1501" s="75"/>
      <c r="J1501" s="166"/>
      <c r="K1501" s="166"/>
      <c r="R1501" s="163"/>
      <c r="S1501" s="163"/>
    </row>
    <row r="1502">
      <c r="A1502" s="148"/>
      <c r="B1502" s="75"/>
      <c r="C1502" s="75"/>
      <c r="D1502" s="75"/>
      <c r="E1502" s="75"/>
      <c r="F1502" s="75"/>
      <c r="G1502" s="75"/>
      <c r="H1502" s="75"/>
      <c r="I1502" s="75"/>
      <c r="J1502" s="166"/>
      <c r="K1502" s="166"/>
      <c r="R1502" s="163"/>
      <c r="S1502" s="163"/>
    </row>
    <row r="1503">
      <c r="A1503" s="148"/>
      <c r="B1503" s="75"/>
      <c r="C1503" s="75"/>
      <c r="D1503" s="75"/>
      <c r="E1503" s="75"/>
      <c r="F1503" s="75"/>
      <c r="G1503" s="75"/>
      <c r="H1503" s="75"/>
      <c r="I1503" s="75"/>
      <c r="J1503" s="166"/>
      <c r="K1503" s="166"/>
      <c r="R1503" s="163"/>
      <c r="S1503" s="163"/>
    </row>
    <row r="1504">
      <c r="A1504" s="148"/>
      <c r="B1504" s="75"/>
      <c r="C1504" s="75"/>
      <c r="D1504" s="75"/>
      <c r="E1504" s="75"/>
      <c r="F1504" s="75"/>
      <c r="G1504" s="75"/>
      <c r="H1504" s="75"/>
      <c r="I1504" s="75"/>
      <c r="J1504" s="166"/>
      <c r="K1504" s="166"/>
      <c r="R1504" s="163"/>
      <c r="S1504" s="163"/>
    </row>
    <row r="1505">
      <c r="A1505" s="148"/>
      <c r="B1505" s="75"/>
      <c r="C1505" s="75"/>
      <c r="D1505" s="75"/>
      <c r="E1505" s="75"/>
      <c r="F1505" s="75"/>
      <c r="G1505" s="75"/>
      <c r="H1505" s="75"/>
      <c r="I1505" s="75"/>
      <c r="J1505" s="166"/>
      <c r="K1505" s="166"/>
      <c r="R1505" s="163"/>
      <c r="S1505" s="163"/>
    </row>
    <row r="1506">
      <c r="A1506" s="148"/>
      <c r="B1506" s="75"/>
      <c r="C1506" s="75"/>
      <c r="D1506" s="75"/>
      <c r="E1506" s="75"/>
      <c r="F1506" s="75"/>
      <c r="G1506" s="75"/>
      <c r="H1506" s="75"/>
      <c r="I1506" s="75"/>
      <c r="J1506" s="166"/>
      <c r="K1506" s="166"/>
      <c r="R1506" s="163"/>
      <c r="S1506" s="163"/>
    </row>
    <row r="1507">
      <c r="A1507" s="148"/>
      <c r="B1507" s="75"/>
      <c r="C1507" s="75"/>
      <c r="D1507" s="75"/>
      <c r="E1507" s="75"/>
      <c r="F1507" s="75"/>
      <c r="G1507" s="75"/>
      <c r="H1507" s="75"/>
      <c r="I1507" s="75"/>
      <c r="J1507" s="166"/>
      <c r="K1507" s="166"/>
      <c r="R1507" s="163"/>
      <c r="S1507" s="163"/>
    </row>
    <row r="1508">
      <c r="A1508" s="148"/>
      <c r="B1508" s="75"/>
      <c r="C1508" s="75"/>
      <c r="D1508" s="75"/>
      <c r="E1508" s="75"/>
      <c r="F1508" s="75"/>
      <c r="G1508" s="75"/>
      <c r="H1508" s="75"/>
      <c r="I1508" s="75"/>
      <c r="J1508" s="166"/>
      <c r="K1508" s="166"/>
      <c r="R1508" s="163"/>
      <c r="S1508" s="163"/>
    </row>
    <row r="1509">
      <c r="A1509" s="148"/>
      <c r="B1509" s="75"/>
      <c r="C1509" s="75"/>
      <c r="D1509" s="75"/>
      <c r="E1509" s="75"/>
      <c r="F1509" s="75"/>
      <c r="G1509" s="75"/>
      <c r="H1509" s="75"/>
      <c r="I1509" s="75"/>
      <c r="J1509" s="166"/>
      <c r="K1509" s="166"/>
      <c r="R1509" s="173"/>
      <c r="S1509" s="173"/>
    </row>
    <row r="1510">
      <c r="A1510" s="148"/>
      <c r="B1510" s="75"/>
      <c r="C1510" s="75"/>
      <c r="D1510" s="75"/>
      <c r="E1510" s="75"/>
      <c r="F1510" s="75"/>
      <c r="G1510" s="75"/>
      <c r="H1510" s="75"/>
      <c r="I1510" s="75"/>
      <c r="J1510" s="166"/>
      <c r="K1510" s="166"/>
      <c r="R1510" s="157"/>
      <c r="S1510" s="157"/>
    </row>
    <row r="1511">
      <c r="A1511" s="148"/>
      <c r="B1511" s="75"/>
      <c r="C1511" s="75"/>
      <c r="D1511" s="75"/>
      <c r="E1511" s="75"/>
      <c r="F1511" s="75"/>
      <c r="G1511" s="75"/>
      <c r="H1511" s="75"/>
      <c r="I1511" s="75"/>
      <c r="J1511" s="166"/>
      <c r="K1511" s="166"/>
      <c r="R1511" s="163"/>
      <c r="S1511" s="163"/>
    </row>
    <row r="1512">
      <c r="A1512" s="148"/>
      <c r="B1512" s="75"/>
      <c r="C1512" s="75"/>
      <c r="D1512" s="75"/>
      <c r="E1512" s="75"/>
      <c r="F1512" s="75"/>
      <c r="G1512" s="75"/>
      <c r="H1512" s="75"/>
      <c r="I1512" s="75"/>
      <c r="J1512" s="166"/>
      <c r="K1512" s="166"/>
      <c r="R1512" s="163"/>
      <c r="S1512" s="163"/>
    </row>
    <row r="1513">
      <c r="A1513" s="148"/>
      <c r="B1513" s="75"/>
      <c r="C1513" s="75"/>
      <c r="D1513" s="75"/>
      <c r="E1513" s="75"/>
      <c r="F1513" s="75"/>
      <c r="G1513" s="75"/>
      <c r="H1513" s="75"/>
      <c r="I1513" s="75"/>
      <c r="J1513" s="166"/>
      <c r="K1513" s="166"/>
      <c r="R1513" s="163"/>
      <c r="S1513" s="163"/>
    </row>
    <row r="1514">
      <c r="A1514" s="148"/>
      <c r="B1514" s="75"/>
      <c r="C1514" s="75"/>
      <c r="D1514" s="75"/>
      <c r="E1514" s="75"/>
      <c r="F1514" s="75"/>
      <c r="G1514" s="75"/>
      <c r="H1514" s="75"/>
      <c r="I1514" s="75"/>
      <c r="J1514" s="166"/>
      <c r="K1514" s="166"/>
      <c r="R1514" s="163"/>
      <c r="S1514" s="163"/>
    </row>
    <row r="1515">
      <c r="A1515" s="148"/>
      <c r="B1515" s="75"/>
      <c r="C1515" s="75"/>
      <c r="D1515" s="75"/>
      <c r="E1515" s="75"/>
      <c r="F1515" s="75"/>
      <c r="G1515" s="75"/>
      <c r="H1515" s="75"/>
      <c r="I1515" s="75"/>
      <c r="J1515" s="166"/>
      <c r="K1515" s="166"/>
      <c r="R1515" s="163"/>
      <c r="S1515" s="163"/>
    </row>
    <row r="1516">
      <c r="A1516" s="148"/>
      <c r="B1516" s="75"/>
      <c r="C1516" s="75"/>
      <c r="D1516" s="75"/>
      <c r="E1516" s="75"/>
      <c r="F1516" s="75"/>
      <c r="G1516" s="75"/>
      <c r="H1516" s="75"/>
      <c r="I1516" s="75"/>
      <c r="J1516" s="166"/>
      <c r="K1516" s="166"/>
      <c r="R1516" s="163"/>
      <c r="S1516" s="163"/>
    </row>
    <row r="1517">
      <c r="A1517" s="148"/>
      <c r="B1517" s="75"/>
      <c r="C1517" s="75"/>
      <c r="D1517" s="75"/>
      <c r="E1517" s="75"/>
      <c r="F1517" s="75"/>
      <c r="G1517" s="75"/>
      <c r="H1517" s="75"/>
      <c r="I1517" s="75"/>
      <c r="J1517" s="166"/>
      <c r="K1517" s="166"/>
      <c r="R1517" s="163"/>
      <c r="S1517" s="163"/>
    </row>
    <row r="1518">
      <c r="A1518" s="148"/>
      <c r="B1518" s="75"/>
      <c r="C1518" s="75"/>
      <c r="D1518" s="75"/>
      <c r="E1518" s="75"/>
      <c r="F1518" s="75"/>
      <c r="G1518" s="75"/>
      <c r="H1518" s="75"/>
      <c r="I1518" s="75"/>
      <c r="J1518" s="166"/>
      <c r="K1518" s="166"/>
      <c r="R1518" s="163"/>
      <c r="S1518" s="163"/>
    </row>
    <row r="1519">
      <c r="A1519" s="148"/>
      <c r="B1519" s="75"/>
      <c r="C1519" s="75"/>
      <c r="D1519" s="75"/>
      <c r="E1519" s="75"/>
      <c r="F1519" s="75"/>
      <c r="G1519" s="75"/>
      <c r="H1519" s="75"/>
      <c r="I1519" s="75"/>
      <c r="J1519" s="166"/>
      <c r="K1519" s="166"/>
      <c r="R1519" s="163"/>
      <c r="S1519" s="163"/>
    </row>
    <row r="1520">
      <c r="A1520" s="148"/>
      <c r="B1520" s="75"/>
      <c r="C1520" s="75"/>
      <c r="D1520" s="75"/>
      <c r="E1520" s="75"/>
      <c r="F1520" s="75"/>
      <c r="G1520" s="75"/>
      <c r="H1520" s="75"/>
      <c r="I1520" s="75"/>
      <c r="J1520" s="166"/>
      <c r="K1520" s="166"/>
      <c r="R1520" s="163"/>
      <c r="S1520" s="163"/>
    </row>
    <row r="1521">
      <c r="A1521" s="148"/>
      <c r="B1521" s="75"/>
      <c r="C1521" s="75"/>
      <c r="D1521" s="75"/>
      <c r="E1521" s="75"/>
      <c r="F1521" s="75"/>
      <c r="G1521" s="75"/>
      <c r="H1521" s="75"/>
      <c r="I1521" s="75"/>
      <c r="J1521" s="166"/>
      <c r="K1521" s="166"/>
      <c r="R1521" s="173"/>
      <c r="S1521" s="173"/>
    </row>
    <row r="1522">
      <c r="A1522" s="148"/>
      <c r="B1522" s="75"/>
      <c r="C1522" s="75"/>
      <c r="D1522" s="75"/>
      <c r="E1522" s="75"/>
      <c r="F1522" s="75"/>
      <c r="G1522" s="75"/>
      <c r="H1522" s="75"/>
      <c r="I1522" s="75"/>
      <c r="J1522" s="166"/>
      <c r="K1522" s="166"/>
      <c r="R1522" s="157"/>
      <c r="S1522" s="157"/>
    </row>
    <row r="1523">
      <c r="A1523" s="148"/>
      <c r="B1523" s="75"/>
      <c r="C1523" s="75"/>
      <c r="D1523" s="75"/>
      <c r="E1523" s="75"/>
      <c r="F1523" s="75"/>
      <c r="G1523" s="75"/>
      <c r="H1523" s="75"/>
      <c r="I1523" s="75"/>
      <c r="J1523" s="166"/>
      <c r="K1523" s="166"/>
      <c r="R1523" s="163"/>
      <c r="S1523" s="163"/>
    </row>
    <row r="1524">
      <c r="A1524" s="148"/>
      <c r="B1524" s="75"/>
      <c r="C1524" s="75"/>
      <c r="D1524" s="75"/>
      <c r="E1524" s="75"/>
      <c r="F1524" s="75"/>
      <c r="G1524" s="75"/>
      <c r="H1524" s="75"/>
      <c r="I1524" s="75"/>
      <c r="J1524" s="166"/>
      <c r="K1524" s="166"/>
      <c r="R1524" s="163"/>
      <c r="S1524" s="163"/>
    </row>
    <row r="1525">
      <c r="A1525" s="148"/>
      <c r="B1525" s="75"/>
      <c r="C1525" s="75"/>
      <c r="D1525" s="75"/>
      <c r="E1525" s="75"/>
      <c r="F1525" s="75"/>
      <c r="G1525" s="75"/>
      <c r="H1525" s="75"/>
      <c r="I1525" s="75"/>
      <c r="J1525" s="166"/>
      <c r="K1525" s="166"/>
      <c r="R1525" s="163"/>
      <c r="S1525" s="163"/>
    </row>
    <row r="1526">
      <c r="A1526" s="148"/>
      <c r="B1526" s="75"/>
      <c r="C1526" s="75"/>
      <c r="D1526" s="75"/>
      <c r="E1526" s="75"/>
      <c r="F1526" s="75"/>
      <c r="G1526" s="75"/>
      <c r="H1526" s="75"/>
      <c r="I1526" s="75"/>
      <c r="J1526" s="166"/>
      <c r="K1526" s="166"/>
      <c r="R1526" s="163"/>
      <c r="S1526" s="163"/>
    </row>
    <row r="1527">
      <c r="A1527" s="148"/>
      <c r="B1527" s="75"/>
      <c r="C1527" s="75"/>
      <c r="D1527" s="75"/>
      <c r="E1527" s="75"/>
      <c r="F1527" s="75"/>
      <c r="G1527" s="75"/>
      <c r="H1527" s="75"/>
      <c r="I1527" s="75"/>
      <c r="J1527" s="166"/>
      <c r="K1527" s="166"/>
      <c r="R1527" s="163"/>
      <c r="S1527" s="163"/>
    </row>
    <row r="1528">
      <c r="A1528" s="148"/>
      <c r="B1528" s="75"/>
      <c r="C1528" s="75"/>
      <c r="D1528" s="75"/>
      <c r="E1528" s="75"/>
      <c r="F1528" s="75"/>
      <c r="G1528" s="75"/>
      <c r="H1528" s="75"/>
      <c r="I1528" s="75"/>
      <c r="J1528" s="166"/>
      <c r="K1528" s="166"/>
      <c r="R1528" s="163"/>
      <c r="S1528" s="163"/>
    </row>
    <row r="1529">
      <c r="A1529" s="148"/>
      <c r="B1529" s="75"/>
      <c r="C1529" s="75"/>
      <c r="D1529" s="75"/>
      <c r="E1529" s="75"/>
      <c r="F1529" s="75"/>
      <c r="G1529" s="75"/>
      <c r="H1529" s="75"/>
      <c r="I1529" s="75"/>
      <c r="J1529" s="166"/>
      <c r="K1529" s="166"/>
      <c r="R1529" s="163"/>
      <c r="S1529" s="163"/>
    </row>
    <row r="1530">
      <c r="A1530" s="148"/>
      <c r="B1530" s="75"/>
      <c r="C1530" s="75"/>
      <c r="D1530" s="75"/>
      <c r="E1530" s="75"/>
      <c r="F1530" s="75"/>
      <c r="G1530" s="75"/>
      <c r="H1530" s="75"/>
      <c r="I1530" s="75"/>
      <c r="J1530" s="166"/>
      <c r="K1530" s="166"/>
      <c r="R1530" s="163"/>
      <c r="S1530" s="163"/>
    </row>
    <row r="1531">
      <c r="A1531" s="148"/>
      <c r="B1531" s="75"/>
      <c r="C1531" s="75"/>
      <c r="D1531" s="75"/>
      <c r="E1531" s="75"/>
      <c r="F1531" s="75"/>
      <c r="G1531" s="75"/>
      <c r="H1531" s="75"/>
      <c r="I1531" s="75"/>
      <c r="J1531" s="166"/>
      <c r="K1531" s="166"/>
      <c r="R1531" s="163"/>
      <c r="S1531" s="163"/>
    </row>
    <row r="1532">
      <c r="A1532" s="148"/>
      <c r="B1532" s="75"/>
      <c r="C1532" s="75"/>
      <c r="D1532" s="75"/>
      <c r="E1532" s="75"/>
      <c r="F1532" s="75"/>
      <c r="G1532" s="75"/>
      <c r="H1532" s="75"/>
      <c r="I1532" s="75"/>
      <c r="J1532" s="166"/>
      <c r="K1532" s="166"/>
      <c r="R1532" s="163"/>
      <c r="S1532" s="163"/>
    </row>
    <row r="1533">
      <c r="A1533" s="148"/>
      <c r="B1533" s="75"/>
      <c r="C1533" s="75"/>
      <c r="D1533" s="75"/>
      <c r="E1533" s="75"/>
      <c r="F1533" s="75"/>
      <c r="G1533" s="75"/>
      <c r="H1533" s="75"/>
      <c r="I1533" s="75"/>
      <c r="J1533" s="166"/>
      <c r="K1533" s="166"/>
      <c r="R1533" s="173"/>
      <c r="S1533" s="173"/>
    </row>
    <row r="1534">
      <c r="A1534" s="148"/>
      <c r="B1534" s="75"/>
      <c r="C1534" s="75"/>
      <c r="D1534" s="75"/>
      <c r="E1534" s="75"/>
      <c r="F1534" s="75"/>
      <c r="G1534" s="75"/>
      <c r="H1534" s="75"/>
      <c r="I1534" s="75"/>
      <c r="J1534" s="166"/>
      <c r="K1534" s="166"/>
      <c r="R1534" s="157"/>
      <c r="S1534" s="157"/>
    </row>
    <row r="1535">
      <c r="A1535" s="148"/>
      <c r="B1535" s="75"/>
      <c r="C1535" s="75"/>
      <c r="D1535" s="75"/>
      <c r="E1535" s="75"/>
      <c r="F1535" s="75"/>
      <c r="G1535" s="75"/>
      <c r="H1535" s="75"/>
      <c r="I1535" s="75"/>
      <c r="J1535" s="166"/>
      <c r="K1535" s="166"/>
      <c r="R1535" s="163"/>
      <c r="S1535" s="163"/>
    </row>
    <row r="1536">
      <c r="A1536" s="148"/>
      <c r="B1536" s="75"/>
      <c r="C1536" s="75"/>
      <c r="D1536" s="75"/>
      <c r="E1536" s="75"/>
      <c r="F1536" s="75"/>
      <c r="G1536" s="75"/>
      <c r="H1536" s="75"/>
      <c r="I1536" s="75"/>
      <c r="J1536" s="166"/>
      <c r="K1536" s="166"/>
      <c r="R1536" s="163"/>
      <c r="S1536" s="163"/>
    </row>
    <row r="1537">
      <c r="A1537" s="148"/>
      <c r="B1537" s="75"/>
      <c r="C1537" s="75"/>
      <c r="D1537" s="75"/>
      <c r="E1537" s="75"/>
      <c r="F1537" s="75"/>
      <c r="G1537" s="75"/>
      <c r="H1537" s="75"/>
      <c r="I1537" s="75"/>
      <c r="J1537" s="166"/>
      <c r="K1537" s="166"/>
      <c r="R1537" s="163"/>
      <c r="S1537" s="163"/>
    </row>
    <row r="1538">
      <c r="A1538" s="148"/>
      <c r="B1538" s="75"/>
      <c r="C1538" s="75"/>
      <c r="D1538" s="75"/>
      <c r="E1538" s="75"/>
      <c r="F1538" s="75"/>
      <c r="G1538" s="75"/>
      <c r="H1538" s="75"/>
      <c r="I1538" s="75"/>
      <c r="J1538" s="166"/>
      <c r="K1538" s="166"/>
      <c r="R1538" s="163"/>
      <c r="S1538" s="163"/>
    </row>
    <row r="1539">
      <c r="A1539" s="148"/>
      <c r="B1539" s="75"/>
      <c r="C1539" s="75"/>
      <c r="D1539" s="75"/>
      <c r="E1539" s="75"/>
      <c r="F1539" s="75"/>
      <c r="G1539" s="75"/>
      <c r="H1539" s="75"/>
      <c r="I1539" s="75"/>
      <c r="J1539" s="166"/>
      <c r="K1539" s="166"/>
      <c r="R1539" s="163"/>
      <c r="S1539" s="163"/>
    </row>
    <row r="1540">
      <c r="A1540" s="148"/>
      <c r="B1540" s="75"/>
      <c r="C1540" s="75"/>
      <c r="D1540" s="75"/>
      <c r="E1540" s="75"/>
      <c r="F1540" s="75"/>
      <c r="G1540" s="75"/>
      <c r="H1540" s="75"/>
      <c r="I1540" s="75"/>
      <c r="J1540" s="166"/>
      <c r="K1540" s="166"/>
      <c r="R1540" s="163"/>
      <c r="S1540" s="163"/>
    </row>
    <row r="1541">
      <c r="A1541" s="148"/>
      <c r="B1541" s="75"/>
      <c r="C1541" s="75"/>
      <c r="D1541" s="75"/>
      <c r="E1541" s="75"/>
      <c r="F1541" s="75"/>
      <c r="G1541" s="75"/>
      <c r="H1541" s="75"/>
      <c r="I1541" s="75"/>
      <c r="J1541" s="166"/>
      <c r="K1541" s="166"/>
      <c r="R1541" s="163"/>
      <c r="S1541" s="163"/>
    </row>
    <row r="1542">
      <c r="A1542" s="148"/>
      <c r="B1542" s="75"/>
      <c r="C1542" s="75"/>
      <c r="D1542" s="75"/>
      <c r="E1542" s="75"/>
      <c r="F1542" s="75"/>
      <c r="G1542" s="75"/>
      <c r="H1542" s="75"/>
      <c r="I1542" s="75"/>
      <c r="J1542" s="166"/>
      <c r="K1542" s="166"/>
      <c r="R1542" s="163"/>
      <c r="S1542" s="163"/>
    </row>
    <row r="1543">
      <c r="A1543" s="148"/>
      <c r="B1543" s="75"/>
      <c r="C1543" s="75"/>
      <c r="D1543" s="75"/>
      <c r="E1543" s="75"/>
      <c r="F1543" s="75"/>
      <c r="G1543" s="75"/>
      <c r="H1543" s="75"/>
      <c r="I1543" s="75"/>
      <c r="J1543" s="166"/>
      <c r="K1543" s="166"/>
      <c r="R1543" s="163"/>
      <c r="S1543" s="163"/>
    </row>
    <row r="1544">
      <c r="A1544" s="148"/>
      <c r="B1544" s="75"/>
      <c r="C1544" s="75"/>
      <c r="D1544" s="75"/>
      <c r="E1544" s="75"/>
      <c r="F1544" s="75"/>
      <c r="G1544" s="75"/>
      <c r="H1544" s="75"/>
      <c r="I1544" s="75"/>
      <c r="J1544" s="166"/>
      <c r="K1544" s="166"/>
      <c r="R1544" s="163"/>
      <c r="S1544" s="163"/>
    </row>
    <row r="1545">
      <c r="A1545" s="148"/>
      <c r="B1545" s="75"/>
      <c r="C1545" s="75"/>
      <c r="D1545" s="75"/>
      <c r="E1545" s="75"/>
      <c r="F1545" s="75"/>
      <c r="G1545" s="75"/>
      <c r="H1545" s="75"/>
      <c r="I1545" s="75"/>
      <c r="J1545" s="166"/>
      <c r="K1545" s="166"/>
      <c r="R1545" s="173"/>
      <c r="S1545" s="173"/>
    </row>
    <row r="1546">
      <c r="A1546" s="148"/>
      <c r="B1546" s="75"/>
      <c r="C1546" s="75"/>
      <c r="D1546" s="75"/>
      <c r="E1546" s="75"/>
      <c r="F1546" s="75"/>
      <c r="G1546" s="75"/>
      <c r="H1546" s="75"/>
      <c r="I1546" s="75"/>
      <c r="J1546" s="166"/>
      <c r="K1546" s="166"/>
      <c r="R1546" s="157"/>
      <c r="S1546" s="157"/>
    </row>
    <row r="1547">
      <c r="A1547" s="148"/>
      <c r="B1547" s="75"/>
      <c r="C1547" s="75"/>
      <c r="D1547" s="75"/>
      <c r="E1547" s="75"/>
      <c r="F1547" s="75"/>
      <c r="G1547" s="75"/>
      <c r="H1547" s="75"/>
      <c r="I1547" s="75"/>
      <c r="J1547" s="166"/>
      <c r="K1547" s="166"/>
      <c r="R1547" s="163"/>
      <c r="S1547" s="163"/>
    </row>
    <row r="1548">
      <c r="A1548" s="148"/>
      <c r="B1548" s="75"/>
      <c r="C1548" s="75"/>
      <c r="D1548" s="75"/>
      <c r="E1548" s="75"/>
      <c r="F1548" s="75"/>
      <c r="G1548" s="75"/>
      <c r="H1548" s="75"/>
      <c r="I1548" s="75"/>
      <c r="J1548" s="166"/>
      <c r="K1548" s="166"/>
      <c r="R1548" s="163"/>
      <c r="S1548" s="163"/>
    </row>
    <row r="1549">
      <c r="A1549" s="148"/>
      <c r="B1549" s="75"/>
      <c r="C1549" s="75"/>
      <c r="D1549" s="75"/>
      <c r="E1549" s="75"/>
      <c r="F1549" s="75"/>
      <c r="G1549" s="75"/>
      <c r="H1549" s="75"/>
      <c r="I1549" s="75"/>
      <c r="J1549" s="166"/>
      <c r="K1549" s="166"/>
      <c r="R1549" s="163"/>
      <c r="S1549" s="163"/>
    </row>
    <row r="1550">
      <c r="A1550" s="148"/>
      <c r="B1550" s="75"/>
      <c r="C1550" s="75"/>
      <c r="D1550" s="75"/>
      <c r="E1550" s="75"/>
      <c r="F1550" s="75"/>
      <c r="G1550" s="75"/>
      <c r="H1550" s="75"/>
      <c r="I1550" s="75"/>
      <c r="J1550" s="166"/>
      <c r="K1550" s="166"/>
      <c r="R1550" s="163"/>
      <c r="S1550" s="163"/>
    </row>
    <row r="1551">
      <c r="A1551" s="148"/>
      <c r="B1551" s="75"/>
      <c r="C1551" s="75"/>
      <c r="D1551" s="75"/>
      <c r="E1551" s="75"/>
      <c r="F1551" s="75"/>
      <c r="G1551" s="75"/>
      <c r="H1551" s="75"/>
      <c r="I1551" s="75"/>
      <c r="J1551" s="166"/>
      <c r="K1551" s="166"/>
      <c r="R1551" s="163"/>
      <c r="S1551" s="163"/>
    </row>
    <row r="1552">
      <c r="A1552" s="148"/>
      <c r="B1552" s="75"/>
      <c r="C1552" s="75"/>
      <c r="D1552" s="75"/>
      <c r="E1552" s="75"/>
      <c r="F1552" s="75"/>
      <c r="G1552" s="75"/>
      <c r="H1552" s="75"/>
      <c r="I1552" s="75"/>
      <c r="J1552" s="166"/>
      <c r="K1552" s="166"/>
      <c r="R1552" s="163"/>
      <c r="S1552" s="163"/>
    </row>
    <row r="1553">
      <c r="A1553" s="148"/>
      <c r="B1553" s="75"/>
      <c r="C1553" s="75"/>
      <c r="D1553" s="75"/>
      <c r="E1553" s="75"/>
      <c r="F1553" s="75"/>
      <c r="G1553" s="75"/>
      <c r="H1553" s="75"/>
      <c r="I1553" s="75"/>
      <c r="J1553" s="166"/>
      <c r="K1553" s="166"/>
      <c r="R1553" s="163"/>
      <c r="S1553" s="163"/>
    </row>
    <row r="1554">
      <c r="A1554" s="148"/>
      <c r="B1554" s="75"/>
      <c r="C1554" s="75"/>
      <c r="D1554" s="75"/>
      <c r="E1554" s="75"/>
      <c r="F1554" s="75"/>
      <c r="G1554" s="75"/>
      <c r="H1554" s="75"/>
      <c r="I1554" s="75"/>
      <c r="J1554" s="166"/>
      <c r="K1554" s="166"/>
      <c r="R1554" s="163"/>
      <c r="S1554" s="163"/>
    </row>
    <row r="1555">
      <c r="A1555" s="148"/>
      <c r="B1555" s="75"/>
      <c r="C1555" s="75"/>
      <c r="D1555" s="75"/>
      <c r="E1555" s="75"/>
      <c r="F1555" s="75"/>
      <c r="G1555" s="75"/>
      <c r="H1555" s="75"/>
      <c r="I1555" s="75"/>
      <c r="J1555" s="166"/>
      <c r="K1555" s="166"/>
      <c r="R1555" s="163"/>
      <c r="S1555" s="163"/>
    </row>
    <row r="1556">
      <c r="A1556" s="148"/>
      <c r="B1556" s="75"/>
      <c r="C1556" s="75"/>
      <c r="D1556" s="75"/>
      <c r="E1556" s="75"/>
      <c r="F1556" s="75"/>
      <c r="G1556" s="75"/>
      <c r="H1556" s="75"/>
      <c r="I1556" s="75"/>
      <c r="J1556" s="166"/>
      <c r="K1556" s="166"/>
      <c r="R1556" s="163"/>
      <c r="S1556" s="163"/>
    </row>
    <row r="1557">
      <c r="A1557" s="148"/>
      <c r="B1557" s="75"/>
      <c r="C1557" s="75"/>
      <c r="D1557" s="75"/>
      <c r="E1557" s="75"/>
      <c r="F1557" s="75"/>
      <c r="G1557" s="75"/>
      <c r="H1557" s="75"/>
      <c r="I1557" s="75"/>
      <c r="J1557" s="166"/>
      <c r="K1557" s="166"/>
      <c r="R1557" s="173"/>
      <c r="S1557" s="173"/>
    </row>
    <row r="1558">
      <c r="A1558" s="148"/>
      <c r="B1558" s="75"/>
      <c r="C1558" s="75"/>
      <c r="D1558" s="75"/>
      <c r="E1558" s="75"/>
      <c r="F1558" s="75"/>
      <c r="G1558" s="75"/>
      <c r="H1558" s="75"/>
      <c r="I1558" s="75"/>
      <c r="J1558" s="166"/>
      <c r="K1558" s="166"/>
      <c r="R1558" s="157"/>
      <c r="S1558" s="157"/>
    </row>
    <row r="1559">
      <c r="A1559" s="148"/>
      <c r="B1559" s="75"/>
      <c r="C1559" s="75"/>
      <c r="D1559" s="75"/>
      <c r="E1559" s="75"/>
      <c r="F1559" s="75"/>
      <c r="G1559" s="75"/>
      <c r="H1559" s="75"/>
      <c r="I1559" s="75"/>
      <c r="J1559" s="166"/>
      <c r="K1559" s="166"/>
      <c r="R1559" s="163"/>
      <c r="S1559" s="163"/>
    </row>
    <row r="1560">
      <c r="A1560" s="148"/>
      <c r="B1560" s="75"/>
      <c r="C1560" s="75"/>
      <c r="D1560" s="75"/>
      <c r="E1560" s="75"/>
      <c r="F1560" s="75"/>
      <c r="G1560" s="75"/>
      <c r="H1560" s="75"/>
      <c r="I1560" s="75"/>
      <c r="J1560" s="166"/>
      <c r="K1560" s="166"/>
      <c r="R1560" s="163"/>
      <c r="S1560" s="163"/>
    </row>
    <row r="1561">
      <c r="A1561" s="148"/>
      <c r="B1561" s="75"/>
      <c r="C1561" s="75"/>
      <c r="D1561" s="75"/>
      <c r="E1561" s="75"/>
      <c r="F1561" s="75"/>
      <c r="G1561" s="75"/>
      <c r="H1561" s="75"/>
      <c r="I1561" s="75"/>
      <c r="J1561" s="166"/>
      <c r="K1561" s="166"/>
      <c r="R1561" s="163"/>
      <c r="S1561" s="163"/>
    </row>
    <row r="1562">
      <c r="A1562" s="148"/>
      <c r="B1562" s="75"/>
      <c r="C1562" s="75"/>
      <c r="D1562" s="75"/>
      <c r="E1562" s="75"/>
      <c r="F1562" s="75"/>
      <c r="G1562" s="75"/>
      <c r="H1562" s="75"/>
      <c r="I1562" s="75"/>
      <c r="J1562" s="166"/>
      <c r="K1562" s="166"/>
      <c r="R1562" s="163"/>
      <c r="S1562" s="163"/>
    </row>
    <row r="1563">
      <c r="A1563" s="148"/>
      <c r="B1563" s="75"/>
      <c r="C1563" s="75"/>
      <c r="D1563" s="75"/>
      <c r="E1563" s="75"/>
      <c r="F1563" s="75"/>
      <c r="G1563" s="75"/>
      <c r="H1563" s="75"/>
      <c r="I1563" s="75"/>
      <c r="J1563" s="166"/>
      <c r="K1563" s="166"/>
      <c r="R1563" s="163"/>
      <c r="S1563" s="163"/>
    </row>
    <row r="1564">
      <c r="A1564" s="148"/>
      <c r="B1564" s="75"/>
      <c r="C1564" s="75"/>
      <c r="D1564" s="75"/>
      <c r="E1564" s="75"/>
      <c r="F1564" s="75"/>
      <c r="G1564" s="75"/>
      <c r="H1564" s="75"/>
      <c r="I1564" s="75"/>
      <c r="J1564" s="166"/>
      <c r="K1564" s="166"/>
      <c r="R1564" s="163"/>
      <c r="S1564" s="163"/>
    </row>
    <row r="1565">
      <c r="A1565" s="148"/>
      <c r="B1565" s="75"/>
      <c r="C1565" s="75"/>
      <c r="D1565" s="75"/>
      <c r="E1565" s="75"/>
      <c r="F1565" s="75"/>
      <c r="G1565" s="75"/>
      <c r="H1565" s="75"/>
      <c r="I1565" s="75"/>
      <c r="J1565" s="166"/>
      <c r="K1565" s="166"/>
      <c r="R1565" s="163"/>
      <c r="S1565" s="163"/>
    </row>
    <row r="1566">
      <c r="A1566" s="148"/>
      <c r="B1566" s="75"/>
      <c r="C1566" s="75"/>
      <c r="D1566" s="75"/>
      <c r="E1566" s="75"/>
      <c r="F1566" s="75"/>
      <c r="G1566" s="75"/>
      <c r="H1566" s="75"/>
      <c r="I1566" s="75"/>
      <c r="J1566" s="166"/>
      <c r="K1566" s="166"/>
      <c r="R1566" s="163"/>
      <c r="S1566" s="163"/>
    </row>
    <row r="1567">
      <c r="A1567" s="148"/>
      <c r="B1567" s="75"/>
      <c r="C1567" s="75"/>
      <c r="D1567" s="75"/>
      <c r="E1567" s="75"/>
      <c r="F1567" s="75"/>
      <c r="G1567" s="75"/>
      <c r="H1567" s="75"/>
      <c r="I1567" s="75"/>
      <c r="J1567" s="166"/>
      <c r="K1567" s="166"/>
      <c r="R1567" s="163"/>
      <c r="S1567" s="163"/>
    </row>
    <row r="1568">
      <c r="A1568" s="148"/>
      <c r="B1568" s="75"/>
      <c r="C1568" s="75"/>
      <c r="D1568" s="75"/>
      <c r="E1568" s="75"/>
      <c r="F1568" s="75"/>
      <c r="G1568" s="75"/>
      <c r="H1568" s="75"/>
      <c r="I1568" s="75"/>
      <c r="J1568" s="166"/>
      <c r="K1568" s="166"/>
      <c r="R1568" s="163"/>
      <c r="S1568" s="163"/>
    </row>
    <row r="1569">
      <c r="A1569" s="148"/>
      <c r="B1569" s="75"/>
      <c r="C1569" s="75"/>
      <c r="D1569" s="75"/>
      <c r="E1569" s="75"/>
      <c r="F1569" s="75"/>
      <c r="G1569" s="75"/>
      <c r="H1569" s="75"/>
      <c r="I1569" s="75"/>
      <c r="J1569" s="166"/>
      <c r="K1569" s="166"/>
      <c r="R1569" s="173"/>
      <c r="S1569" s="173"/>
    </row>
    <row r="1570">
      <c r="A1570" s="148"/>
      <c r="B1570" s="75"/>
      <c r="C1570" s="75"/>
      <c r="D1570" s="75"/>
      <c r="E1570" s="75"/>
      <c r="F1570" s="75"/>
      <c r="G1570" s="75"/>
      <c r="H1570" s="75"/>
      <c r="I1570" s="75"/>
      <c r="J1570" s="166"/>
      <c r="K1570" s="166"/>
      <c r="R1570" s="157"/>
      <c r="S1570" s="157"/>
    </row>
    <row r="1571">
      <c r="A1571" s="148"/>
      <c r="B1571" s="75"/>
      <c r="C1571" s="75"/>
      <c r="D1571" s="75"/>
      <c r="E1571" s="75"/>
      <c r="F1571" s="75"/>
      <c r="G1571" s="75"/>
      <c r="H1571" s="75"/>
      <c r="I1571" s="75"/>
      <c r="J1571" s="166"/>
      <c r="K1571" s="166"/>
      <c r="R1571" s="163"/>
      <c r="S1571" s="163"/>
    </row>
    <row r="1572">
      <c r="A1572" s="148"/>
      <c r="B1572" s="75"/>
      <c r="C1572" s="75"/>
      <c r="D1572" s="75"/>
      <c r="E1572" s="75"/>
      <c r="F1572" s="75"/>
      <c r="G1572" s="75"/>
      <c r="H1572" s="75"/>
      <c r="I1572" s="75"/>
      <c r="J1572" s="166"/>
      <c r="K1572" s="166"/>
      <c r="R1572" s="163"/>
      <c r="S1572" s="163"/>
    </row>
    <row r="1573">
      <c r="A1573" s="148"/>
      <c r="B1573" s="75"/>
      <c r="C1573" s="75"/>
      <c r="D1573" s="75"/>
      <c r="E1573" s="75"/>
      <c r="F1573" s="75"/>
      <c r="G1573" s="75"/>
      <c r="H1573" s="75"/>
      <c r="I1573" s="75"/>
      <c r="J1573" s="166"/>
      <c r="K1573" s="166"/>
      <c r="R1573" s="163"/>
      <c r="S1573" s="163"/>
    </row>
    <row r="1574">
      <c r="A1574" s="148"/>
      <c r="B1574" s="75"/>
      <c r="C1574" s="75"/>
      <c r="D1574" s="75"/>
      <c r="E1574" s="75"/>
      <c r="F1574" s="75"/>
      <c r="G1574" s="75"/>
      <c r="H1574" s="75"/>
      <c r="I1574" s="75"/>
      <c r="J1574" s="166"/>
      <c r="K1574" s="166"/>
      <c r="R1574" s="163"/>
      <c r="S1574" s="163"/>
    </row>
    <row r="1575">
      <c r="A1575" s="148"/>
      <c r="B1575" s="75"/>
      <c r="C1575" s="75"/>
      <c r="D1575" s="75"/>
      <c r="E1575" s="75"/>
      <c r="F1575" s="75"/>
      <c r="G1575" s="75"/>
      <c r="H1575" s="75"/>
      <c r="I1575" s="75"/>
      <c r="J1575" s="166"/>
      <c r="K1575" s="166"/>
      <c r="R1575" s="163"/>
      <c r="S1575" s="163"/>
    </row>
    <row r="1576">
      <c r="A1576" s="148"/>
      <c r="B1576" s="75"/>
      <c r="C1576" s="75"/>
      <c r="D1576" s="75"/>
      <c r="E1576" s="75"/>
      <c r="F1576" s="75"/>
      <c r="G1576" s="75"/>
      <c r="H1576" s="75"/>
      <c r="I1576" s="75"/>
      <c r="J1576" s="166"/>
      <c r="K1576" s="166"/>
      <c r="R1576" s="163"/>
      <c r="S1576" s="163"/>
    </row>
    <row r="1577">
      <c r="A1577" s="148"/>
      <c r="B1577" s="75"/>
      <c r="C1577" s="75"/>
      <c r="D1577" s="75"/>
      <c r="E1577" s="75"/>
      <c r="F1577" s="75"/>
      <c r="G1577" s="75"/>
      <c r="H1577" s="75"/>
      <c r="I1577" s="75"/>
      <c r="J1577" s="166"/>
      <c r="K1577" s="166"/>
      <c r="R1577" s="163"/>
      <c r="S1577" s="163"/>
    </row>
    <row r="1578">
      <c r="A1578" s="148"/>
      <c r="B1578" s="75"/>
      <c r="C1578" s="75"/>
      <c r="D1578" s="75"/>
      <c r="E1578" s="75"/>
      <c r="F1578" s="75"/>
      <c r="G1578" s="75"/>
      <c r="H1578" s="75"/>
      <c r="I1578" s="75"/>
      <c r="J1578" s="166"/>
      <c r="K1578" s="166"/>
      <c r="R1578" s="163"/>
      <c r="S1578" s="163"/>
    </row>
    <row r="1579">
      <c r="A1579" s="148"/>
      <c r="B1579" s="75"/>
      <c r="C1579" s="75"/>
      <c r="D1579" s="75"/>
      <c r="E1579" s="75"/>
      <c r="F1579" s="75"/>
      <c r="G1579" s="75"/>
      <c r="H1579" s="75"/>
      <c r="I1579" s="75"/>
      <c r="J1579" s="166"/>
      <c r="K1579" s="166"/>
      <c r="R1579" s="163"/>
      <c r="S1579" s="163"/>
    </row>
    <row r="1580">
      <c r="A1580" s="148"/>
      <c r="B1580" s="75"/>
      <c r="C1580" s="75"/>
      <c r="D1580" s="75"/>
      <c r="E1580" s="75"/>
      <c r="F1580" s="75"/>
      <c r="G1580" s="75"/>
      <c r="H1580" s="75"/>
      <c r="I1580" s="75"/>
      <c r="J1580" s="166"/>
      <c r="K1580" s="166"/>
      <c r="R1580" s="163"/>
      <c r="S1580" s="163"/>
    </row>
    <row r="1581">
      <c r="A1581" s="148"/>
      <c r="B1581" s="75"/>
      <c r="C1581" s="75"/>
      <c r="D1581" s="75"/>
      <c r="E1581" s="75"/>
      <c r="F1581" s="75"/>
      <c r="G1581" s="75"/>
      <c r="H1581" s="75"/>
      <c r="I1581" s="75"/>
      <c r="J1581" s="166"/>
      <c r="K1581" s="166"/>
      <c r="R1581" s="173"/>
      <c r="S1581" s="173"/>
    </row>
    <row r="1582">
      <c r="A1582" s="148"/>
      <c r="B1582" s="75"/>
      <c r="C1582" s="75"/>
      <c r="D1582" s="75"/>
      <c r="E1582" s="75"/>
      <c r="F1582" s="75"/>
      <c r="G1582" s="75"/>
      <c r="H1582" s="75"/>
      <c r="I1582" s="75"/>
      <c r="J1582" s="166"/>
      <c r="K1582" s="166"/>
      <c r="R1582" s="157"/>
      <c r="S1582" s="157"/>
    </row>
    <row r="1583">
      <c r="A1583" s="148"/>
      <c r="B1583" s="75"/>
      <c r="C1583" s="75"/>
      <c r="D1583" s="75"/>
      <c r="E1583" s="75"/>
      <c r="F1583" s="75"/>
      <c r="G1583" s="75"/>
      <c r="H1583" s="75"/>
      <c r="I1583" s="75"/>
      <c r="J1583" s="166"/>
      <c r="K1583" s="166"/>
      <c r="R1583" s="163"/>
      <c r="S1583" s="163"/>
    </row>
    <row r="1584">
      <c r="A1584" s="148"/>
      <c r="B1584" s="75"/>
      <c r="C1584" s="75"/>
      <c r="D1584" s="75"/>
      <c r="E1584" s="75"/>
      <c r="F1584" s="75"/>
      <c r="G1584" s="75"/>
      <c r="H1584" s="75"/>
      <c r="I1584" s="75"/>
      <c r="J1584" s="166"/>
      <c r="K1584" s="166"/>
      <c r="R1584" s="163"/>
      <c r="S1584" s="163"/>
    </row>
    <row r="1585">
      <c r="A1585" s="148"/>
      <c r="B1585" s="75"/>
      <c r="C1585" s="75"/>
      <c r="D1585" s="75"/>
      <c r="E1585" s="75"/>
      <c r="F1585" s="75"/>
      <c r="G1585" s="75"/>
      <c r="H1585" s="75"/>
      <c r="I1585" s="75"/>
      <c r="J1585" s="166"/>
      <c r="K1585" s="166"/>
      <c r="R1585" s="163"/>
      <c r="S1585" s="163"/>
    </row>
    <row r="1586">
      <c r="A1586" s="148"/>
      <c r="B1586" s="75"/>
      <c r="C1586" s="75"/>
      <c r="D1586" s="75"/>
      <c r="E1586" s="75"/>
      <c r="F1586" s="75"/>
      <c r="G1586" s="75"/>
      <c r="H1586" s="75"/>
      <c r="I1586" s="75"/>
      <c r="J1586" s="166"/>
      <c r="K1586" s="166"/>
      <c r="R1586" s="163"/>
      <c r="S1586" s="163"/>
    </row>
    <row r="1587">
      <c r="A1587" s="148"/>
      <c r="B1587" s="75"/>
      <c r="C1587" s="75"/>
      <c r="D1587" s="75"/>
      <c r="E1587" s="75"/>
      <c r="F1587" s="75"/>
      <c r="G1587" s="75"/>
      <c r="H1587" s="75"/>
      <c r="I1587" s="75"/>
      <c r="J1587" s="166"/>
      <c r="K1587" s="166"/>
      <c r="R1587" s="163"/>
      <c r="S1587" s="163"/>
    </row>
    <row r="1588">
      <c r="A1588" s="148"/>
      <c r="B1588" s="75"/>
      <c r="C1588" s="75"/>
      <c r="D1588" s="75"/>
      <c r="E1588" s="75"/>
      <c r="F1588" s="75"/>
      <c r="G1588" s="75"/>
      <c r="H1588" s="75"/>
      <c r="I1588" s="75"/>
      <c r="J1588" s="166"/>
      <c r="K1588" s="166"/>
      <c r="R1588" s="163"/>
      <c r="S1588" s="163"/>
    </row>
    <row r="1589">
      <c r="A1589" s="148"/>
      <c r="B1589" s="75"/>
      <c r="C1589" s="75"/>
      <c r="D1589" s="75"/>
      <c r="E1589" s="75"/>
      <c r="F1589" s="75"/>
      <c r="G1589" s="75"/>
      <c r="H1589" s="75"/>
      <c r="I1589" s="75"/>
      <c r="J1589" s="166"/>
      <c r="K1589" s="166"/>
      <c r="R1589" s="163"/>
      <c r="S1589" s="163"/>
    </row>
    <row r="1590">
      <c r="A1590" s="148"/>
      <c r="B1590" s="75"/>
      <c r="C1590" s="75"/>
      <c r="D1590" s="75"/>
      <c r="E1590" s="75"/>
      <c r="F1590" s="75"/>
      <c r="G1590" s="75"/>
      <c r="H1590" s="75"/>
      <c r="I1590" s="75"/>
      <c r="J1590" s="166"/>
      <c r="K1590" s="166"/>
      <c r="R1590" s="163"/>
      <c r="S1590" s="163"/>
    </row>
    <row r="1591">
      <c r="A1591" s="148"/>
      <c r="B1591" s="75"/>
      <c r="C1591" s="75"/>
      <c r="D1591" s="75"/>
      <c r="E1591" s="75"/>
      <c r="F1591" s="75"/>
      <c r="G1591" s="75"/>
      <c r="H1591" s="75"/>
      <c r="I1591" s="75"/>
      <c r="J1591" s="166"/>
      <c r="K1591" s="166"/>
      <c r="R1591" s="163"/>
      <c r="S1591" s="163"/>
    </row>
    <row r="1592">
      <c r="A1592" s="148"/>
      <c r="B1592" s="75"/>
      <c r="C1592" s="75"/>
      <c r="D1592" s="75"/>
      <c r="E1592" s="75"/>
      <c r="F1592" s="75"/>
      <c r="G1592" s="75"/>
      <c r="H1592" s="75"/>
      <c r="I1592" s="75"/>
      <c r="J1592" s="166"/>
      <c r="K1592" s="166"/>
      <c r="R1592" s="163"/>
      <c r="S1592" s="163"/>
    </row>
    <row r="1593">
      <c r="A1593" s="148"/>
      <c r="B1593" s="75"/>
      <c r="C1593" s="75"/>
      <c r="D1593" s="75"/>
      <c r="E1593" s="75"/>
      <c r="F1593" s="75"/>
      <c r="G1593" s="75"/>
      <c r="H1593" s="75"/>
      <c r="I1593" s="75"/>
      <c r="J1593" s="166"/>
      <c r="K1593" s="166"/>
      <c r="R1593" s="173"/>
      <c r="S1593" s="173"/>
    </row>
    <row r="1594">
      <c r="A1594" s="148"/>
      <c r="B1594" s="75"/>
      <c r="C1594" s="75"/>
      <c r="D1594" s="75"/>
      <c r="E1594" s="75"/>
      <c r="F1594" s="75"/>
      <c r="G1594" s="75"/>
      <c r="H1594" s="75"/>
      <c r="I1594" s="75"/>
      <c r="J1594" s="166"/>
      <c r="K1594" s="166"/>
      <c r="R1594" s="157"/>
      <c r="S1594" s="157"/>
    </row>
    <row r="1595">
      <c r="A1595" s="148"/>
      <c r="B1595" s="75"/>
      <c r="C1595" s="75"/>
      <c r="D1595" s="75"/>
      <c r="E1595" s="75"/>
      <c r="F1595" s="75"/>
      <c r="G1595" s="75"/>
      <c r="H1595" s="75"/>
      <c r="I1595" s="75"/>
      <c r="J1595" s="166"/>
      <c r="K1595" s="166"/>
      <c r="R1595" s="163"/>
      <c r="S1595" s="163"/>
    </row>
    <row r="1596">
      <c r="A1596" s="148"/>
      <c r="B1596" s="75"/>
      <c r="C1596" s="75"/>
      <c r="D1596" s="75"/>
      <c r="E1596" s="75"/>
      <c r="F1596" s="75"/>
      <c r="G1596" s="75"/>
      <c r="H1596" s="75"/>
      <c r="I1596" s="75"/>
      <c r="J1596" s="166"/>
      <c r="K1596" s="166"/>
      <c r="R1596" s="163"/>
      <c r="S1596" s="163"/>
    </row>
    <row r="1597">
      <c r="A1597" s="148"/>
      <c r="B1597" s="75"/>
      <c r="C1597" s="75"/>
      <c r="D1597" s="75"/>
      <c r="E1597" s="75"/>
      <c r="F1597" s="75"/>
      <c r="G1597" s="75"/>
      <c r="H1597" s="75"/>
      <c r="I1597" s="75"/>
      <c r="J1597" s="166"/>
      <c r="K1597" s="166"/>
      <c r="R1597" s="163"/>
      <c r="S1597" s="163"/>
    </row>
    <row r="1598">
      <c r="A1598" s="148"/>
      <c r="B1598" s="75"/>
      <c r="C1598" s="75"/>
      <c r="D1598" s="75"/>
      <c r="E1598" s="75"/>
      <c r="F1598" s="75"/>
      <c r="G1598" s="75"/>
      <c r="H1598" s="75"/>
      <c r="I1598" s="75"/>
      <c r="J1598" s="166"/>
      <c r="K1598" s="166"/>
      <c r="R1598" s="163"/>
      <c r="S1598" s="163"/>
    </row>
    <row r="1599">
      <c r="A1599" s="148"/>
      <c r="B1599" s="75"/>
      <c r="C1599" s="75"/>
      <c r="D1599" s="75"/>
      <c r="E1599" s="75"/>
      <c r="F1599" s="75"/>
      <c r="G1599" s="75"/>
      <c r="H1599" s="75"/>
      <c r="I1599" s="75"/>
      <c r="J1599" s="166"/>
      <c r="K1599" s="166"/>
      <c r="R1599" s="163"/>
      <c r="S1599" s="163"/>
    </row>
    <row r="1600">
      <c r="A1600" s="148"/>
      <c r="B1600" s="75"/>
      <c r="C1600" s="75"/>
      <c r="D1600" s="75"/>
      <c r="E1600" s="75"/>
      <c r="F1600" s="75"/>
      <c r="G1600" s="75"/>
      <c r="H1600" s="75"/>
      <c r="I1600" s="75"/>
      <c r="J1600" s="166"/>
      <c r="K1600" s="166"/>
      <c r="R1600" s="163"/>
      <c r="S1600" s="163"/>
    </row>
    <row r="1601">
      <c r="A1601" s="148"/>
      <c r="B1601" s="75"/>
      <c r="C1601" s="75"/>
      <c r="D1601" s="75"/>
      <c r="E1601" s="75"/>
      <c r="F1601" s="75"/>
      <c r="G1601" s="75"/>
      <c r="H1601" s="75"/>
      <c r="I1601" s="75"/>
      <c r="J1601" s="166"/>
      <c r="K1601" s="166"/>
      <c r="R1601" s="163"/>
      <c r="S1601" s="163"/>
    </row>
    <row r="1602">
      <c r="A1602" s="148"/>
      <c r="B1602" s="75"/>
      <c r="C1602" s="75"/>
      <c r="D1602" s="75"/>
      <c r="E1602" s="75"/>
      <c r="F1602" s="75"/>
      <c r="G1602" s="75"/>
      <c r="H1602" s="75"/>
      <c r="I1602" s="75"/>
      <c r="J1602" s="166"/>
      <c r="K1602" s="166"/>
      <c r="R1602" s="163"/>
      <c r="S1602" s="163"/>
    </row>
    <row r="1603">
      <c r="A1603" s="148"/>
      <c r="B1603" s="75"/>
      <c r="C1603" s="75"/>
      <c r="D1603" s="75"/>
      <c r="E1603" s="75"/>
      <c r="F1603" s="75"/>
      <c r="G1603" s="75"/>
      <c r="H1603" s="75"/>
      <c r="I1603" s="75"/>
      <c r="J1603" s="166"/>
      <c r="K1603" s="166"/>
      <c r="R1603" s="163"/>
      <c r="S1603" s="163"/>
    </row>
    <row r="1604">
      <c r="A1604" s="148"/>
      <c r="B1604" s="75"/>
      <c r="C1604" s="75"/>
      <c r="D1604" s="75"/>
      <c r="E1604" s="75"/>
      <c r="F1604" s="75"/>
      <c r="G1604" s="75"/>
      <c r="H1604" s="75"/>
      <c r="I1604" s="75"/>
      <c r="J1604" s="166"/>
      <c r="K1604" s="166"/>
      <c r="R1604" s="163"/>
      <c r="S1604" s="163"/>
    </row>
    <row r="1605">
      <c r="A1605" s="148"/>
      <c r="B1605" s="75"/>
      <c r="C1605" s="75"/>
      <c r="D1605" s="75"/>
      <c r="E1605" s="75"/>
      <c r="F1605" s="75"/>
      <c r="G1605" s="75"/>
      <c r="H1605" s="75"/>
      <c r="I1605" s="75"/>
      <c r="J1605" s="166"/>
      <c r="K1605" s="166"/>
      <c r="R1605" s="173"/>
      <c r="S1605" s="173"/>
    </row>
    <row r="1606">
      <c r="A1606" s="148"/>
      <c r="B1606" s="75"/>
      <c r="C1606" s="75"/>
      <c r="D1606" s="75"/>
      <c r="E1606" s="75"/>
      <c r="F1606" s="75"/>
      <c r="G1606" s="75"/>
      <c r="H1606" s="75"/>
      <c r="I1606" s="75"/>
      <c r="J1606" s="166"/>
      <c r="K1606" s="166"/>
      <c r="R1606" s="157"/>
      <c r="S1606" s="157"/>
    </row>
    <row r="1607">
      <c r="A1607" s="148"/>
      <c r="B1607" s="75"/>
      <c r="C1607" s="75"/>
      <c r="D1607" s="75"/>
      <c r="E1607" s="75"/>
      <c r="F1607" s="75"/>
      <c r="G1607" s="75"/>
      <c r="H1607" s="75"/>
      <c r="I1607" s="75"/>
      <c r="J1607" s="166"/>
      <c r="K1607" s="166"/>
      <c r="R1607" s="163"/>
      <c r="S1607" s="163"/>
    </row>
    <row r="1608">
      <c r="A1608" s="148"/>
      <c r="B1608" s="75"/>
      <c r="C1608" s="75"/>
      <c r="D1608" s="75"/>
      <c r="E1608" s="75"/>
      <c r="F1608" s="75"/>
      <c r="G1608" s="75"/>
      <c r="H1608" s="75"/>
      <c r="I1608" s="75"/>
      <c r="J1608" s="166"/>
      <c r="K1608" s="166"/>
      <c r="R1608" s="163"/>
      <c r="S1608" s="163"/>
    </row>
    <row r="1609">
      <c r="A1609" s="148"/>
      <c r="B1609" s="75"/>
      <c r="C1609" s="75"/>
      <c r="D1609" s="75"/>
      <c r="E1609" s="75"/>
      <c r="F1609" s="75"/>
      <c r="G1609" s="75"/>
      <c r="H1609" s="75"/>
      <c r="I1609" s="75"/>
      <c r="J1609" s="166"/>
      <c r="K1609" s="166"/>
      <c r="R1609" s="163"/>
      <c r="S1609" s="163"/>
    </row>
    <row r="1610">
      <c r="A1610" s="148"/>
      <c r="B1610" s="75"/>
      <c r="C1610" s="75"/>
      <c r="D1610" s="75"/>
      <c r="E1610" s="75"/>
      <c r="F1610" s="75"/>
      <c r="G1610" s="75"/>
      <c r="H1610" s="75"/>
      <c r="I1610" s="75"/>
      <c r="J1610" s="166"/>
      <c r="K1610" s="166"/>
      <c r="R1610" s="163"/>
      <c r="S1610" s="163"/>
    </row>
    <row r="1611">
      <c r="A1611" s="148"/>
      <c r="B1611" s="75"/>
      <c r="C1611" s="75"/>
      <c r="D1611" s="75"/>
      <c r="E1611" s="75"/>
      <c r="F1611" s="75"/>
      <c r="G1611" s="75"/>
      <c r="H1611" s="75"/>
      <c r="I1611" s="75"/>
      <c r="J1611" s="166"/>
      <c r="K1611" s="166"/>
      <c r="R1611" s="163"/>
      <c r="S1611" s="163"/>
    </row>
    <row r="1612">
      <c r="A1612" s="148"/>
      <c r="B1612" s="75"/>
      <c r="C1612" s="75"/>
      <c r="D1612" s="75"/>
      <c r="E1612" s="75"/>
      <c r="F1612" s="75"/>
      <c r="G1612" s="75"/>
      <c r="H1612" s="75"/>
      <c r="I1612" s="75"/>
      <c r="J1612" s="166"/>
      <c r="K1612" s="166"/>
      <c r="R1612" s="163"/>
      <c r="S1612" s="163"/>
    </row>
    <row r="1613">
      <c r="A1613" s="148"/>
      <c r="B1613" s="75"/>
      <c r="C1613" s="75"/>
      <c r="D1613" s="75"/>
      <c r="E1613" s="75"/>
      <c r="F1613" s="75"/>
      <c r="G1613" s="75"/>
      <c r="H1613" s="75"/>
      <c r="I1613" s="75"/>
      <c r="J1613" s="166"/>
      <c r="K1613" s="166"/>
      <c r="R1613" s="163"/>
      <c r="S1613" s="163"/>
    </row>
    <row r="1614">
      <c r="A1614" s="148"/>
      <c r="B1614" s="75"/>
      <c r="C1614" s="75"/>
      <c r="D1614" s="75"/>
      <c r="E1614" s="75"/>
      <c r="F1614" s="75"/>
      <c r="G1614" s="75"/>
      <c r="H1614" s="75"/>
      <c r="I1614" s="75"/>
      <c r="J1614" s="166"/>
      <c r="K1614" s="166"/>
      <c r="R1614" s="163"/>
      <c r="S1614" s="163"/>
    </row>
    <row r="1615">
      <c r="A1615" s="148"/>
      <c r="B1615" s="75"/>
      <c r="C1615" s="75"/>
      <c r="D1615" s="75"/>
      <c r="E1615" s="75"/>
      <c r="F1615" s="75"/>
      <c r="G1615" s="75"/>
      <c r="H1615" s="75"/>
      <c r="I1615" s="75"/>
      <c r="J1615" s="166"/>
      <c r="K1615" s="166"/>
      <c r="R1615" s="163"/>
      <c r="S1615" s="163"/>
    </row>
    <row r="1616">
      <c r="A1616" s="148"/>
      <c r="B1616" s="75"/>
      <c r="C1616" s="75"/>
      <c r="D1616" s="75"/>
      <c r="E1616" s="75"/>
      <c r="F1616" s="75"/>
      <c r="G1616" s="75"/>
      <c r="H1616" s="75"/>
      <c r="I1616" s="75"/>
      <c r="J1616" s="166"/>
      <c r="K1616" s="166"/>
      <c r="R1616" s="163"/>
      <c r="S1616" s="163"/>
    </row>
    <row r="1617">
      <c r="A1617" s="148"/>
      <c r="B1617" s="75"/>
      <c r="C1617" s="75"/>
      <c r="D1617" s="75"/>
      <c r="E1617" s="75"/>
      <c r="F1617" s="75"/>
      <c r="G1617" s="75"/>
      <c r="H1617" s="75"/>
      <c r="I1617" s="75"/>
      <c r="J1617" s="166"/>
      <c r="K1617" s="166"/>
      <c r="R1617" s="173"/>
      <c r="S1617" s="173"/>
    </row>
    <row r="1618">
      <c r="A1618" s="148"/>
      <c r="B1618" s="75"/>
      <c r="C1618" s="75"/>
      <c r="D1618" s="75"/>
      <c r="E1618" s="75"/>
      <c r="F1618" s="75"/>
      <c r="G1618" s="75"/>
      <c r="H1618" s="75"/>
      <c r="I1618" s="75"/>
      <c r="J1618" s="166"/>
      <c r="K1618" s="166"/>
      <c r="R1618" s="157"/>
      <c r="S1618" s="157"/>
    </row>
    <row r="1619">
      <c r="A1619" s="148"/>
      <c r="B1619" s="75"/>
      <c r="C1619" s="75"/>
      <c r="D1619" s="75"/>
      <c r="E1619" s="75"/>
      <c r="F1619" s="75"/>
      <c r="G1619" s="75"/>
      <c r="H1619" s="75"/>
      <c r="I1619" s="75"/>
      <c r="J1619" s="166"/>
      <c r="K1619" s="166"/>
      <c r="R1619" s="163"/>
      <c r="S1619" s="163"/>
    </row>
    <row r="1620">
      <c r="A1620" s="148"/>
      <c r="B1620" s="75"/>
      <c r="C1620" s="75"/>
      <c r="D1620" s="75"/>
      <c r="E1620" s="75"/>
      <c r="F1620" s="75"/>
      <c r="G1620" s="75"/>
      <c r="H1620" s="75"/>
      <c r="I1620" s="75"/>
      <c r="J1620" s="166"/>
      <c r="K1620" s="166"/>
      <c r="R1620" s="163"/>
      <c r="S1620" s="163"/>
    </row>
    <row r="1621">
      <c r="A1621" s="148"/>
      <c r="B1621" s="75"/>
      <c r="C1621" s="75"/>
      <c r="D1621" s="75"/>
      <c r="E1621" s="75"/>
      <c r="F1621" s="75"/>
      <c r="G1621" s="75"/>
      <c r="H1621" s="75"/>
      <c r="I1621" s="75"/>
      <c r="J1621" s="166"/>
      <c r="K1621" s="166"/>
      <c r="R1621" s="163"/>
      <c r="S1621" s="163"/>
    </row>
    <row r="1622">
      <c r="A1622" s="148"/>
      <c r="B1622" s="75"/>
      <c r="C1622" s="75"/>
      <c r="D1622" s="75"/>
      <c r="E1622" s="75"/>
      <c r="F1622" s="75"/>
      <c r="G1622" s="75"/>
      <c r="H1622" s="75"/>
      <c r="I1622" s="75"/>
      <c r="J1622" s="166"/>
      <c r="K1622" s="166"/>
      <c r="R1622" s="163"/>
      <c r="S1622" s="163"/>
    </row>
    <row r="1623">
      <c r="A1623" s="148"/>
      <c r="B1623" s="75"/>
      <c r="C1623" s="75"/>
      <c r="D1623" s="75"/>
      <c r="E1623" s="75"/>
      <c r="F1623" s="75"/>
      <c r="G1623" s="75"/>
      <c r="H1623" s="75"/>
      <c r="I1623" s="75"/>
      <c r="J1623" s="166"/>
      <c r="K1623" s="166"/>
      <c r="R1623" s="163"/>
      <c r="S1623" s="163"/>
    </row>
    <row r="1624">
      <c r="A1624" s="148"/>
      <c r="B1624" s="75"/>
      <c r="C1624" s="75"/>
      <c r="D1624" s="75"/>
      <c r="E1624" s="75"/>
      <c r="F1624" s="75"/>
      <c r="G1624" s="75"/>
      <c r="H1624" s="75"/>
      <c r="I1624" s="75"/>
      <c r="J1624" s="166"/>
      <c r="K1624" s="166"/>
      <c r="R1624" s="163"/>
      <c r="S1624" s="163"/>
    </row>
    <row r="1625">
      <c r="A1625" s="148"/>
      <c r="B1625" s="75"/>
      <c r="C1625" s="75"/>
      <c r="D1625" s="75"/>
      <c r="E1625" s="75"/>
      <c r="F1625" s="75"/>
      <c r="G1625" s="75"/>
      <c r="H1625" s="75"/>
      <c r="I1625" s="75"/>
      <c r="J1625" s="166"/>
      <c r="K1625" s="166"/>
      <c r="R1625" s="163"/>
      <c r="S1625" s="163"/>
    </row>
    <row r="1626">
      <c r="A1626" s="148"/>
      <c r="B1626" s="75"/>
      <c r="C1626" s="75"/>
      <c r="D1626" s="75"/>
      <c r="E1626" s="75"/>
      <c r="F1626" s="75"/>
      <c r="G1626" s="75"/>
      <c r="H1626" s="75"/>
      <c r="I1626" s="75"/>
      <c r="J1626" s="166"/>
      <c r="K1626" s="166"/>
      <c r="R1626" s="163"/>
      <c r="S1626" s="163"/>
    </row>
    <row r="1627">
      <c r="A1627" s="148"/>
      <c r="B1627" s="75"/>
      <c r="C1627" s="75"/>
      <c r="D1627" s="75"/>
      <c r="E1627" s="75"/>
      <c r="F1627" s="75"/>
      <c r="G1627" s="75"/>
      <c r="H1627" s="75"/>
      <c r="I1627" s="75"/>
      <c r="J1627" s="166"/>
      <c r="K1627" s="166"/>
      <c r="R1627" s="163"/>
      <c r="S1627" s="163"/>
    </row>
    <row r="1628">
      <c r="A1628" s="148"/>
      <c r="B1628" s="75"/>
      <c r="C1628" s="75"/>
      <c r="D1628" s="75"/>
      <c r="E1628" s="75"/>
      <c r="F1628" s="75"/>
      <c r="G1628" s="75"/>
      <c r="H1628" s="75"/>
      <c r="I1628" s="75"/>
      <c r="J1628" s="166"/>
      <c r="K1628" s="166"/>
      <c r="R1628" s="163"/>
      <c r="S1628" s="163"/>
    </row>
    <row r="1629">
      <c r="A1629" s="148"/>
      <c r="B1629" s="75"/>
      <c r="C1629" s="75"/>
      <c r="D1629" s="75"/>
      <c r="E1629" s="75"/>
      <c r="F1629" s="75"/>
      <c r="G1629" s="75"/>
      <c r="H1629" s="75"/>
      <c r="I1629" s="75"/>
      <c r="J1629" s="166"/>
      <c r="K1629" s="166"/>
      <c r="R1629" s="173"/>
      <c r="S1629" s="173"/>
    </row>
    <row r="1630">
      <c r="A1630" s="148"/>
      <c r="B1630" s="75"/>
      <c r="C1630" s="75"/>
      <c r="D1630" s="75"/>
      <c r="E1630" s="75"/>
      <c r="F1630" s="75"/>
      <c r="G1630" s="75"/>
      <c r="H1630" s="75"/>
      <c r="I1630" s="75"/>
      <c r="J1630" s="166"/>
      <c r="K1630" s="166"/>
      <c r="R1630" s="157"/>
      <c r="S1630" s="157"/>
    </row>
    <row r="1631">
      <c r="A1631" s="148"/>
      <c r="B1631" s="75"/>
      <c r="C1631" s="75"/>
      <c r="D1631" s="75"/>
      <c r="E1631" s="75"/>
      <c r="F1631" s="75"/>
      <c r="G1631" s="75"/>
      <c r="H1631" s="75"/>
      <c r="I1631" s="75"/>
      <c r="J1631" s="166"/>
      <c r="K1631" s="166"/>
      <c r="R1631" s="163"/>
      <c r="S1631" s="163"/>
    </row>
    <row r="1632">
      <c r="A1632" s="148"/>
      <c r="B1632" s="75"/>
      <c r="C1632" s="75"/>
      <c r="D1632" s="75"/>
      <c r="E1632" s="75"/>
      <c r="F1632" s="75"/>
      <c r="G1632" s="75"/>
      <c r="H1632" s="75"/>
      <c r="I1632" s="75"/>
      <c r="J1632" s="166"/>
      <c r="K1632" s="166"/>
      <c r="R1632" s="163"/>
      <c r="S1632" s="163"/>
    </row>
    <row r="1633">
      <c r="A1633" s="148"/>
      <c r="B1633" s="75"/>
      <c r="C1633" s="75"/>
      <c r="D1633" s="75"/>
      <c r="E1633" s="75"/>
      <c r="F1633" s="75"/>
      <c r="G1633" s="75"/>
      <c r="H1633" s="75"/>
      <c r="I1633" s="75"/>
      <c r="J1633" s="166"/>
      <c r="K1633" s="166"/>
      <c r="R1633" s="163"/>
      <c r="S1633" s="163"/>
    </row>
    <row r="1634">
      <c r="A1634" s="148"/>
      <c r="B1634" s="75"/>
      <c r="C1634" s="75"/>
      <c r="D1634" s="75"/>
      <c r="E1634" s="75"/>
      <c r="F1634" s="75"/>
      <c r="G1634" s="75"/>
      <c r="H1634" s="75"/>
      <c r="I1634" s="75"/>
      <c r="J1634" s="166"/>
      <c r="K1634" s="166"/>
      <c r="R1634" s="163"/>
      <c r="S1634" s="163"/>
    </row>
    <row r="1635">
      <c r="A1635" s="148"/>
      <c r="B1635" s="75"/>
      <c r="C1635" s="75"/>
      <c r="D1635" s="75"/>
      <c r="E1635" s="75"/>
      <c r="F1635" s="75"/>
      <c r="G1635" s="75"/>
      <c r="H1635" s="75"/>
      <c r="I1635" s="75"/>
      <c r="J1635" s="166"/>
      <c r="K1635" s="166"/>
      <c r="R1635" s="163"/>
      <c r="S1635" s="163"/>
    </row>
    <row r="1636">
      <c r="A1636" s="148"/>
      <c r="B1636" s="75"/>
      <c r="C1636" s="75"/>
      <c r="D1636" s="75"/>
      <c r="E1636" s="75"/>
      <c r="F1636" s="75"/>
      <c r="G1636" s="75"/>
      <c r="H1636" s="75"/>
      <c r="I1636" s="75"/>
      <c r="J1636" s="166"/>
      <c r="K1636" s="166"/>
      <c r="R1636" s="163"/>
      <c r="S1636" s="163"/>
    </row>
    <row r="1637">
      <c r="A1637" s="148"/>
      <c r="B1637" s="75"/>
      <c r="C1637" s="75"/>
      <c r="D1637" s="75"/>
      <c r="E1637" s="75"/>
      <c r="F1637" s="75"/>
      <c r="G1637" s="75"/>
      <c r="H1637" s="75"/>
      <c r="I1637" s="75"/>
      <c r="J1637" s="166"/>
      <c r="K1637" s="166"/>
      <c r="R1637" s="163"/>
      <c r="S1637" s="163"/>
    </row>
    <row r="1638">
      <c r="A1638" s="148"/>
      <c r="B1638" s="75"/>
      <c r="C1638" s="75"/>
      <c r="D1638" s="75"/>
      <c r="E1638" s="75"/>
      <c r="F1638" s="75"/>
      <c r="G1638" s="75"/>
      <c r="H1638" s="75"/>
      <c r="I1638" s="75"/>
      <c r="J1638" s="166"/>
      <c r="K1638" s="166"/>
      <c r="R1638" s="163"/>
      <c r="S1638" s="163"/>
    </row>
    <row r="1639">
      <c r="A1639" s="148"/>
      <c r="B1639" s="75"/>
      <c r="C1639" s="75"/>
      <c r="D1639" s="75"/>
      <c r="E1639" s="75"/>
      <c r="F1639" s="75"/>
      <c r="G1639" s="75"/>
      <c r="H1639" s="75"/>
      <c r="I1639" s="75"/>
      <c r="J1639" s="166"/>
      <c r="K1639" s="166"/>
      <c r="R1639" s="163"/>
      <c r="S1639" s="163"/>
    </row>
    <row r="1640">
      <c r="A1640" s="148"/>
      <c r="B1640" s="75"/>
      <c r="C1640" s="75"/>
      <c r="D1640" s="75"/>
      <c r="E1640" s="75"/>
      <c r="F1640" s="75"/>
      <c r="G1640" s="75"/>
      <c r="H1640" s="75"/>
      <c r="I1640" s="75"/>
      <c r="J1640" s="166"/>
      <c r="K1640" s="166"/>
      <c r="R1640" s="163"/>
      <c r="S1640" s="163"/>
    </row>
    <row r="1641">
      <c r="A1641" s="148"/>
      <c r="B1641" s="75"/>
      <c r="C1641" s="75"/>
      <c r="D1641" s="75"/>
      <c r="E1641" s="75"/>
      <c r="F1641" s="75"/>
      <c r="G1641" s="75"/>
      <c r="H1641" s="75"/>
      <c r="I1641" s="75"/>
      <c r="J1641" s="166"/>
      <c r="K1641" s="166"/>
      <c r="R1641" s="173"/>
      <c r="S1641" s="173"/>
    </row>
    <row r="1642">
      <c r="A1642" s="148"/>
      <c r="B1642" s="75"/>
      <c r="C1642" s="75"/>
      <c r="D1642" s="75"/>
      <c r="E1642" s="75"/>
      <c r="F1642" s="75"/>
      <c r="G1642" s="75"/>
      <c r="H1642" s="75"/>
      <c r="I1642" s="75"/>
      <c r="J1642" s="166"/>
      <c r="K1642" s="166"/>
      <c r="R1642" s="157"/>
      <c r="S1642" s="157"/>
    </row>
    <row r="1643">
      <c r="A1643" s="148"/>
      <c r="B1643" s="75"/>
      <c r="C1643" s="75"/>
      <c r="D1643" s="75"/>
      <c r="E1643" s="75"/>
      <c r="F1643" s="75"/>
      <c r="G1643" s="75"/>
      <c r="H1643" s="75"/>
      <c r="I1643" s="75"/>
      <c r="J1643" s="166"/>
      <c r="K1643" s="166"/>
      <c r="R1643" s="163"/>
      <c r="S1643" s="163"/>
    </row>
    <row r="1644">
      <c r="A1644" s="148"/>
      <c r="B1644" s="75"/>
      <c r="C1644" s="75"/>
      <c r="D1644" s="75"/>
      <c r="E1644" s="75"/>
      <c r="F1644" s="75"/>
      <c r="G1644" s="75"/>
      <c r="H1644" s="75"/>
      <c r="I1644" s="75"/>
      <c r="J1644" s="166"/>
      <c r="K1644" s="166"/>
      <c r="R1644" s="163"/>
      <c r="S1644" s="163"/>
    </row>
    <row r="1645">
      <c r="A1645" s="148"/>
      <c r="B1645" s="75"/>
      <c r="C1645" s="75"/>
      <c r="D1645" s="75"/>
      <c r="E1645" s="75"/>
      <c r="F1645" s="75"/>
      <c r="G1645" s="75"/>
      <c r="H1645" s="75"/>
      <c r="I1645" s="75"/>
      <c r="J1645" s="166"/>
      <c r="K1645" s="166"/>
      <c r="R1645" s="163"/>
      <c r="S1645" s="163"/>
    </row>
    <row r="1646">
      <c r="A1646" s="148"/>
      <c r="B1646" s="75"/>
      <c r="C1646" s="75"/>
      <c r="D1646" s="75"/>
      <c r="E1646" s="75"/>
      <c r="F1646" s="75"/>
      <c r="G1646" s="75"/>
      <c r="H1646" s="75"/>
      <c r="I1646" s="75"/>
      <c r="J1646" s="166"/>
      <c r="K1646" s="166"/>
      <c r="R1646" s="163"/>
      <c r="S1646" s="163"/>
    </row>
    <row r="1647">
      <c r="A1647" s="148"/>
      <c r="B1647" s="75"/>
      <c r="C1647" s="75"/>
      <c r="D1647" s="75"/>
      <c r="E1647" s="75"/>
      <c r="F1647" s="75"/>
      <c r="G1647" s="75"/>
      <c r="H1647" s="75"/>
      <c r="I1647" s="75"/>
      <c r="J1647" s="166"/>
      <c r="K1647" s="166"/>
      <c r="R1647" s="163"/>
      <c r="S1647" s="163"/>
    </row>
    <row r="1648">
      <c r="A1648" s="148"/>
      <c r="B1648" s="75"/>
      <c r="C1648" s="75"/>
      <c r="D1648" s="75"/>
      <c r="E1648" s="75"/>
      <c r="F1648" s="75"/>
      <c r="G1648" s="75"/>
      <c r="H1648" s="75"/>
      <c r="I1648" s="75"/>
      <c r="J1648" s="166"/>
      <c r="K1648" s="166"/>
      <c r="R1648" s="163"/>
      <c r="S1648" s="163"/>
    </row>
    <row r="1649">
      <c r="A1649" s="148"/>
      <c r="B1649" s="75"/>
      <c r="C1649" s="75"/>
      <c r="D1649" s="75"/>
      <c r="E1649" s="75"/>
      <c r="F1649" s="75"/>
      <c r="G1649" s="75"/>
      <c r="H1649" s="75"/>
      <c r="I1649" s="75"/>
      <c r="J1649" s="166"/>
      <c r="K1649" s="166"/>
      <c r="R1649" s="163"/>
      <c r="S1649" s="163"/>
    </row>
    <row r="1650">
      <c r="A1650" s="148"/>
      <c r="B1650" s="75"/>
      <c r="C1650" s="75"/>
      <c r="D1650" s="75"/>
      <c r="E1650" s="75"/>
      <c r="F1650" s="75"/>
      <c r="G1650" s="75"/>
      <c r="H1650" s="75"/>
      <c r="I1650" s="75"/>
      <c r="J1650" s="166"/>
      <c r="K1650" s="166"/>
      <c r="R1650" s="163"/>
      <c r="S1650" s="163"/>
    </row>
    <row r="1651">
      <c r="A1651" s="148"/>
      <c r="B1651" s="75"/>
      <c r="C1651" s="75"/>
      <c r="D1651" s="75"/>
      <c r="E1651" s="75"/>
      <c r="F1651" s="75"/>
      <c r="G1651" s="75"/>
      <c r="H1651" s="75"/>
      <c r="I1651" s="75"/>
      <c r="J1651" s="166"/>
      <c r="K1651" s="166"/>
      <c r="R1651" s="163"/>
      <c r="S1651" s="163"/>
    </row>
    <row r="1652">
      <c r="A1652" s="148"/>
      <c r="B1652" s="75"/>
      <c r="C1652" s="75"/>
      <c r="D1652" s="75"/>
      <c r="E1652" s="75"/>
      <c r="F1652" s="75"/>
      <c r="G1652" s="75"/>
      <c r="H1652" s="75"/>
      <c r="I1652" s="75"/>
      <c r="J1652" s="166"/>
      <c r="K1652" s="166"/>
      <c r="R1652" s="163"/>
      <c r="S1652" s="163"/>
    </row>
    <row r="1653">
      <c r="A1653" s="148"/>
      <c r="B1653" s="75"/>
      <c r="C1653" s="75"/>
      <c r="D1653" s="75"/>
      <c r="E1653" s="75"/>
      <c r="F1653" s="75"/>
      <c r="G1653" s="75"/>
      <c r="H1653" s="75"/>
      <c r="I1653" s="75"/>
      <c r="J1653" s="166"/>
      <c r="K1653" s="166"/>
      <c r="R1653" s="173"/>
      <c r="S1653" s="173"/>
    </row>
    <row r="1654">
      <c r="A1654" s="148"/>
      <c r="B1654" s="75"/>
      <c r="C1654" s="75"/>
      <c r="D1654" s="75"/>
      <c r="E1654" s="75"/>
      <c r="F1654" s="75"/>
      <c r="G1654" s="75"/>
      <c r="H1654" s="75"/>
      <c r="I1654" s="75"/>
      <c r="J1654" s="166"/>
      <c r="K1654" s="166"/>
      <c r="R1654" s="157"/>
      <c r="S1654" s="157"/>
    </row>
    <row r="1655">
      <c r="A1655" s="148"/>
      <c r="B1655" s="75"/>
      <c r="C1655" s="75"/>
      <c r="D1655" s="75"/>
      <c r="E1655" s="75"/>
      <c r="F1655" s="75"/>
      <c r="G1655" s="75"/>
      <c r="H1655" s="75"/>
      <c r="I1655" s="75"/>
      <c r="J1655" s="166"/>
      <c r="K1655" s="166"/>
      <c r="R1655" s="163"/>
      <c r="S1655" s="163"/>
    </row>
    <row r="1656">
      <c r="A1656" s="148"/>
      <c r="B1656" s="75"/>
      <c r="C1656" s="75"/>
      <c r="D1656" s="75"/>
      <c r="E1656" s="75"/>
      <c r="F1656" s="75"/>
      <c r="G1656" s="75"/>
      <c r="H1656" s="75"/>
      <c r="I1656" s="75"/>
      <c r="J1656" s="166"/>
      <c r="K1656" s="166"/>
      <c r="R1656" s="163"/>
      <c r="S1656" s="163"/>
    </row>
    <row r="1657">
      <c r="A1657" s="148"/>
      <c r="B1657" s="75"/>
      <c r="C1657" s="75"/>
      <c r="D1657" s="75"/>
      <c r="E1657" s="75"/>
      <c r="F1657" s="75"/>
      <c r="G1657" s="75"/>
      <c r="H1657" s="75"/>
      <c r="I1657" s="75"/>
      <c r="J1657" s="166"/>
      <c r="K1657" s="166"/>
      <c r="R1657" s="163"/>
      <c r="S1657" s="163"/>
    </row>
    <row r="1658">
      <c r="A1658" s="148"/>
      <c r="B1658" s="75"/>
      <c r="C1658" s="75"/>
      <c r="D1658" s="75"/>
      <c r="E1658" s="75"/>
      <c r="F1658" s="75"/>
      <c r="G1658" s="75"/>
      <c r="H1658" s="75"/>
      <c r="I1658" s="75"/>
      <c r="J1658" s="166"/>
      <c r="K1658" s="166"/>
      <c r="R1658" s="163"/>
      <c r="S1658" s="163"/>
    </row>
    <row r="1659">
      <c r="A1659" s="148"/>
      <c r="B1659" s="75"/>
      <c r="C1659" s="75"/>
      <c r="D1659" s="75"/>
      <c r="E1659" s="75"/>
      <c r="F1659" s="75"/>
      <c r="G1659" s="75"/>
      <c r="H1659" s="75"/>
      <c r="I1659" s="75"/>
      <c r="J1659" s="166"/>
      <c r="K1659" s="166"/>
      <c r="R1659" s="163"/>
      <c r="S1659" s="163"/>
    </row>
    <row r="1660">
      <c r="A1660" s="148"/>
      <c r="B1660" s="75"/>
      <c r="C1660" s="75"/>
      <c r="D1660" s="75"/>
      <c r="E1660" s="75"/>
      <c r="F1660" s="75"/>
      <c r="G1660" s="75"/>
      <c r="H1660" s="75"/>
      <c r="I1660" s="75"/>
      <c r="J1660" s="166"/>
      <c r="K1660" s="166"/>
      <c r="R1660" s="163"/>
      <c r="S1660" s="163"/>
    </row>
    <row r="1661">
      <c r="A1661" s="148"/>
      <c r="B1661" s="75"/>
      <c r="C1661" s="75"/>
      <c r="D1661" s="75"/>
      <c r="E1661" s="75"/>
      <c r="F1661" s="75"/>
      <c r="G1661" s="75"/>
      <c r="H1661" s="75"/>
      <c r="I1661" s="75"/>
      <c r="J1661" s="166"/>
      <c r="K1661" s="166"/>
      <c r="R1661" s="163"/>
      <c r="S1661" s="163"/>
    </row>
    <row r="1662">
      <c r="A1662" s="148"/>
      <c r="B1662" s="75"/>
      <c r="C1662" s="75"/>
      <c r="D1662" s="75"/>
      <c r="E1662" s="75"/>
      <c r="F1662" s="75"/>
      <c r="G1662" s="75"/>
      <c r="H1662" s="75"/>
      <c r="I1662" s="75"/>
      <c r="J1662" s="166"/>
      <c r="K1662" s="166"/>
      <c r="R1662" s="163"/>
      <c r="S1662" s="163"/>
    </row>
    <row r="1663">
      <c r="A1663" s="148"/>
      <c r="B1663" s="75"/>
      <c r="C1663" s="75"/>
      <c r="D1663" s="75"/>
      <c r="E1663" s="75"/>
      <c r="F1663" s="75"/>
      <c r="G1663" s="75"/>
      <c r="H1663" s="75"/>
      <c r="I1663" s="75"/>
      <c r="J1663" s="166"/>
      <c r="K1663" s="166"/>
      <c r="R1663" s="163"/>
      <c r="S1663" s="163"/>
    </row>
    <row r="1664">
      <c r="A1664" s="148"/>
      <c r="B1664" s="75"/>
      <c r="C1664" s="75"/>
      <c r="D1664" s="75"/>
      <c r="E1664" s="75"/>
      <c r="F1664" s="75"/>
      <c r="G1664" s="75"/>
      <c r="H1664" s="75"/>
      <c r="I1664" s="75"/>
      <c r="J1664" s="166"/>
      <c r="K1664" s="166"/>
      <c r="R1664" s="163"/>
      <c r="S1664" s="163"/>
    </row>
    <row r="1665">
      <c r="A1665" s="148"/>
      <c r="B1665" s="75"/>
      <c r="C1665" s="75"/>
      <c r="D1665" s="75"/>
      <c r="E1665" s="75"/>
      <c r="F1665" s="75"/>
      <c r="G1665" s="75"/>
      <c r="H1665" s="75"/>
      <c r="I1665" s="75"/>
      <c r="J1665" s="166"/>
      <c r="K1665" s="166"/>
      <c r="R1665" s="173"/>
      <c r="S1665" s="173"/>
    </row>
    <row r="1666">
      <c r="A1666" s="148"/>
      <c r="B1666" s="75"/>
      <c r="C1666" s="75"/>
      <c r="D1666" s="75"/>
      <c r="E1666" s="75"/>
      <c r="F1666" s="75"/>
      <c r="G1666" s="75"/>
      <c r="H1666" s="75"/>
      <c r="I1666" s="75"/>
      <c r="J1666" s="166"/>
      <c r="K1666" s="166"/>
      <c r="R1666" s="157"/>
      <c r="S1666" s="157"/>
    </row>
    <row r="1667">
      <c r="A1667" s="148"/>
      <c r="B1667" s="75"/>
      <c r="C1667" s="75"/>
      <c r="D1667" s="75"/>
      <c r="E1667" s="75"/>
      <c r="F1667" s="75"/>
      <c r="G1667" s="75"/>
      <c r="H1667" s="75"/>
      <c r="I1667" s="75"/>
      <c r="J1667" s="166"/>
      <c r="K1667" s="166"/>
      <c r="R1667" s="163"/>
      <c r="S1667" s="163"/>
    </row>
    <row r="1668">
      <c r="A1668" s="148"/>
      <c r="B1668" s="75"/>
      <c r="C1668" s="75"/>
      <c r="D1668" s="75"/>
      <c r="E1668" s="75"/>
      <c r="F1668" s="75"/>
      <c r="G1668" s="75"/>
      <c r="H1668" s="75"/>
      <c r="I1668" s="75"/>
      <c r="J1668" s="166"/>
      <c r="K1668" s="166"/>
      <c r="R1668" s="163"/>
      <c r="S1668" s="163"/>
    </row>
    <row r="1669">
      <c r="A1669" s="148"/>
      <c r="B1669" s="75"/>
      <c r="C1669" s="75"/>
      <c r="D1669" s="75"/>
      <c r="E1669" s="75"/>
      <c r="F1669" s="75"/>
      <c r="G1669" s="75"/>
      <c r="H1669" s="75"/>
      <c r="I1669" s="75"/>
      <c r="J1669" s="166"/>
      <c r="K1669" s="166"/>
      <c r="R1669" s="163"/>
      <c r="S1669" s="163"/>
    </row>
    <row r="1670">
      <c r="A1670" s="148"/>
      <c r="B1670" s="75"/>
      <c r="C1670" s="75"/>
      <c r="D1670" s="75"/>
      <c r="E1670" s="75"/>
      <c r="F1670" s="75"/>
      <c r="G1670" s="75"/>
      <c r="H1670" s="75"/>
      <c r="I1670" s="75"/>
      <c r="J1670" s="166"/>
      <c r="K1670" s="166"/>
      <c r="R1670" s="163"/>
      <c r="S1670" s="163"/>
    </row>
    <row r="1671">
      <c r="A1671" s="148"/>
      <c r="B1671" s="75"/>
      <c r="C1671" s="75"/>
      <c r="D1671" s="75"/>
      <c r="E1671" s="75"/>
      <c r="F1671" s="75"/>
      <c r="G1671" s="75"/>
      <c r="H1671" s="75"/>
      <c r="I1671" s="75"/>
      <c r="J1671" s="166"/>
      <c r="K1671" s="166"/>
      <c r="R1671" s="163"/>
      <c r="S1671" s="163"/>
    </row>
    <row r="1672">
      <c r="A1672" s="148"/>
      <c r="B1672" s="75"/>
      <c r="C1672" s="75"/>
      <c r="D1672" s="75"/>
      <c r="E1672" s="75"/>
      <c r="F1672" s="75"/>
      <c r="G1672" s="75"/>
      <c r="H1672" s="75"/>
      <c r="I1672" s="75"/>
      <c r="J1672" s="166"/>
      <c r="K1672" s="166"/>
      <c r="R1672" s="163"/>
      <c r="S1672" s="163"/>
    </row>
    <row r="1673">
      <c r="A1673" s="148"/>
      <c r="B1673" s="75"/>
      <c r="C1673" s="75"/>
      <c r="D1673" s="75"/>
      <c r="E1673" s="75"/>
      <c r="F1673" s="75"/>
      <c r="G1673" s="75"/>
      <c r="H1673" s="75"/>
      <c r="I1673" s="75"/>
      <c r="J1673" s="166"/>
      <c r="K1673" s="166"/>
      <c r="R1673" s="163"/>
      <c r="S1673" s="163"/>
    </row>
    <row r="1674">
      <c r="A1674" s="148"/>
      <c r="B1674" s="75"/>
      <c r="C1674" s="75"/>
      <c r="D1674" s="75"/>
      <c r="E1674" s="75"/>
      <c r="F1674" s="75"/>
      <c r="G1674" s="75"/>
      <c r="H1674" s="75"/>
      <c r="I1674" s="75"/>
      <c r="J1674" s="166"/>
      <c r="K1674" s="166"/>
      <c r="R1674" s="163"/>
      <c r="S1674" s="163"/>
    </row>
    <row r="1675">
      <c r="A1675" s="148"/>
      <c r="B1675" s="75"/>
      <c r="C1675" s="75"/>
      <c r="D1675" s="75"/>
      <c r="E1675" s="75"/>
      <c r="F1675" s="75"/>
      <c r="G1675" s="75"/>
      <c r="H1675" s="75"/>
      <c r="I1675" s="75"/>
      <c r="J1675" s="166"/>
      <c r="K1675" s="166"/>
      <c r="R1675" s="163"/>
      <c r="S1675" s="163"/>
    </row>
    <row r="1676">
      <c r="A1676" s="148"/>
      <c r="B1676" s="75"/>
      <c r="C1676" s="75"/>
      <c r="D1676" s="75"/>
      <c r="E1676" s="75"/>
      <c r="F1676" s="75"/>
      <c r="G1676" s="75"/>
      <c r="H1676" s="75"/>
      <c r="I1676" s="75"/>
      <c r="J1676" s="166"/>
      <c r="K1676" s="166"/>
      <c r="R1676" s="163"/>
      <c r="S1676" s="163"/>
    </row>
    <row r="1677">
      <c r="A1677" s="148"/>
      <c r="B1677" s="75"/>
      <c r="C1677" s="75"/>
      <c r="D1677" s="75"/>
      <c r="E1677" s="75"/>
      <c r="F1677" s="75"/>
      <c r="G1677" s="75"/>
      <c r="H1677" s="75"/>
      <c r="I1677" s="75"/>
      <c r="J1677" s="166"/>
      <c r="K1677" s="166"/>
      <c r="R1677" s="173"/>
      <c r="S1677" s="173"/>
    </row>
    <row r="1678">
      <c r="A1678" s="148"/>
      <c r="B1678" s="75"/>
      <c r="C1678" s="75"/>
      <c r="D1678" s="75"/>
      <c r="E1678" s="75"/>
      <c r="F1678" s="75"/>
      <c r="G1678" s="75"/>
      <c r="H1678" s="75"/>
      <c r="I1678" s="75"/>
      <c r="J1678" s="166"/>
      <c r="K1678" s="166"/>
      <c r="R1678" s="157"/>
      <c r="S1678" s="157"/>
    </row>
    <row r="1679">
      <c r="A1679" s="148"/>
      <c r="B1679" s="75"/>
      <c r="C1679" s="75"/>
      <c r="D1679" s="75"/>
      <c r="E1679" s="75"/>
      <c r="F1679" s="75"/>
      <c r="G1679" s="75"/>
      <c r="H1679" s="75"/>
      <c r="I1679" s="75"/>
      <c r="J1679" s="166"/>
      <c r="K1679" s="166"/>
      <c r="R1679" s="163"/>
      <c r="S1679" s="163"/>
    </row>
    <row r="1680">
      <c r="A1680" s="148"/>
      <c r="B1680" s="75"/>
      <c r="C1680" s="75"/>
      <c r="D1680" s="75"/>
      <c r="E1680" s="75"/>
      <c r="F1680" s="75"/>
      <c r="G1680" s="75"/>
      <c r="H1680" s="75"/>
      <c r="I1680" s="75"/>
      <c r="J1680" s="166"/>
      <c r="K1680" s="166"/>
      <c r="R1680" s="163"/>
      <c r="S1680" s="163"/>
    </row>
    <row r="1681">
      <c r="A1681" s="148"/>
      <c r="B1681" s="75"/>
      <c r="C1681" s="75"/>
      <c r="D1681" s="75"/>
      <c r="E1681" s="75"/>
      <c r="F1681" s="75"/>
      <c r="G1681" s="75"/>
      <c r="H1681" s="75"/>
      <c r="I1681" s="75"/>
      <c r="J1681" s="166"/>
      <c r="K1681" s="166"/>
      <c r="R1681" s="163"/>
      <c r="S1681" s="163"/>
    </row>
    <row r="1682">
      <c r="A1682" s="148"/>
      <c r="B1682" s="75"/>
      <c r="C1682" s="75"/>
      <c r="D1682" s="75"/>
      <c r="E1682" s="75"/>
      <c r="F1682" s="75"/>
      <c r="G1682" s="75"/>
      <c r="H1682" s="75"/>
      <c r="I1682" s="75"/>
      <c r="J1682" s="166"/>
      <c r="K1682" s="166"/>
      <c r="R1682" s="163"/>
      <c r="S1682" s="163"/>
    </row>
    <row r="1683">
      <c r="A1683" s="148"/>
      <c r="B1683" s="75"/>
      <c r="C1683" s="75"/>
      <c r="D1683" s="75"/>
      <c r="E1683" s="75"/>
      <c r="F1683" s="75"/>
      <c r="G1683" s="75"/>
      <c r="H1683" s="75"/>
      <c r="I1683" s="75"/>
      <c r="J1683" s="166"/>
      <c r="K1683" s="166"/>
      <c r="R1683" s="163"/>
      <c r="S1683" s="163"/>
    </row>
    <row r="1684">
      <c r="A1684" s="148"/>
      <c r="B1684" s="75"/>
      <c r="C1684" s="75"/>
      <c r="D1684" s="75"/>
      <c r="E1684" s="75"/>
      <c r="F1684" s="75"/>
      <c r="G1684" s="75"/>
      <c r="H1684" s="75"/>
      <c r="I1684" s="75"/>
      <c r="J1684" s="166"/>
      <c r="K1684" s="166"/>
      <c r="R1684" s="163"/>
      <c r="S1684" s="163"/>
    </row>
    <row r="1685">
      <c r="A1685" s="148"/>
      <c r="B1685" s="75"/>
      <c r="C1685" s="75"/>
      <c r="D1685" s="75"/>
      <c r="E1685" s="75"/>
      <c r="F1685" s="75"/>
      <c r="G1685" s="75"/>
      <c r="H1685" s="75"/>
      <c r="I1685" s="75"/>
      <c r="J1685" s="166"/>
      <c r="K1685" s="166"/>
      <c r="R1685" s="163"/>
      <c r="S1685" s="163"/>
    </row>
    <row r="1686">
      <c r="A1686" s="148"/>
      <c r="B1686" s="75"/>
      <c r="C1686" s="75"/>
      <c r="D1686" s="75"/>
      <c r="E1686" s="75"/>
      <c r="F1686" s="75"/>
      <c r="G1686" s="75"/>
      <c r="H1686" s="75"/>
      <c r="I1686" s="75"/>
      <c r="J1686" s="166"/>
      <c r="K1686" s="166"/>
      <c r="R1686" s="163"/>
      <c r="S1686" s="163"/>
    </row>
    <row r="1687">
      <c r="A1687" s="148"/>
      <c r="B1687" s="75"/>
      <c r="C1687" s="75"/>
      <c r="D1687" s="75"/>
      <c r="E1687" s="75"/>
      <c r="F1687" s="75"/>
      <c r="G1687" s="75"/>
      <c r="H1687" s="75"/>
      <c r="I1687" s="75"/>
      <c r="J1687" s="166"/>
      <c r="K1687" s="166"/>
      <c r="R1687" s="163"/>
      <c r="S1687" s="163"/>
    </row>
    <row r="1688">
      <c r="A1688" s="148"/>
      <c r="B1688" s="75"/>
      <c r="C1688" s="75"/>
      <c r="D1688" s="75"/>
      <c r="E1688" s="75"/>
      <c r="F1688" s="75"/>
      <c r="G1688" s="75"/>
      <c r="H1688" s="75"/>
      <c r="I1688" s="75"/>
      <c r="J1688" s="166"/>
      <c r="K1688" s="166"/>
      <c r="R1688" s="163"/>
      <c r="S1688" s="163"/>
    </row>
    <row r="1689">
      <c r="A1689" s="148"/>
      <c r="B1689" s="75"/>
      <c r="C1689" s="75"/>
      <c r="D1689" s="75"/>
      <c r="E1689" s="75"/>
      <c r="F1689" s="75"/>
      <c r="G1689" s="75"/>
      <c r="H1689" s="75"/>
      <c r="I1689" s="75"/>
      <c r="J1689" s="166"/>
      <c r="K1689" s="166"/>
      <c r="R1689" s="173"/>
      <c r="S1689" s="173"/>
    </row>
    <row r="1690">
      <c r="A1690" s="148"/>
      <c r="B1690" s="75"/>
      <c r="C1690" s="75"/>
      <c r="D1690" s="75"/>
      <c r="E1690" s="75"/>
      <c r="F1690" s="75"/>
      <c r="G1690" s="75"/>
      <c r="H1690" s="75"/>
      <c r="I1690" s="75"/>
      <c r="J1690" s="166"/>
      <c r="K1690" s="166"/>
      <c r="R1690" s="157"/>
      <c r="S1690" s="157"/>
    </row>
    <row r="1691">
      <c r="A1691" s="148"/>
      <c r="B1691" s="75"/>
      <c r="C1691" s="75"/>
      <c r="D1691" s="75"/>
      <c r="E1691" s="75"/>
      <c r="F1691" s="75"/>
      <c r="G1691" s="75"/>
      <c r="H1691" s="75"/>
      <c r="I1691" s="75"/>
      <c r="J1691" s="166"/>
      <c r="K1691" s="166"/>
      <c r="R1691" s="163"/>
      <c r="S1691" s="163"/>
    </row>
    <row r="1692">
      <c r="A1692" s="148"/>
      <c r="B1692" s="75"/>
      <c r="C1692" s="75"/>
      <c r="D1692" s="75"/>
      <c r="E1692" s="75"/>
      <c r="F1692" s="75"/>
      <c r="G1692" s="75"/>
      <c r="H1692" s="75"/>
      <c r="I1692" s="75"/>
      <c r="J1692" s="166"/>
      <c r="K1692" s="166"/>
      <c r="R1692" s="163"/>
      <c r="S1692" s="163"/>
    </row>
    <row r="1693">
      <c r="A1693" s="148"/>
      <c r="B1693" s="75"/>
      <c r="C1693" s="75"/>
      <c r="D1693" s="75"/>
      <c r="E1693" s="75"/>
      <c r="F1693" s="75"/>
      <c r="G1693" s="75"/>
      <c r="H1693" s="75"/>
      <c r="I1693" s="75"/>
      <c r="J1693" s="166"/>
      <c r="K1693" s="166"/>
      <c r="R1693" s="163"/>
      <c r="S1693" s="163"/>
    </row>
    <row r="1694">
      <c r="A1694" s="148"/>
      <c r="B1694" s="75"/>
      <c r="C1694" s="75"/>
      <c r="D1694" s="75"/>
      <c r="E1694" s="75"/>
      <c r="F1694" s="75"/>
      <c r="G1694" s="75"/>
      <c r="H1694" s="75"/>
      <c r="I1694" s="75"/>
      <c r="J1694" s="166"/>
      <c r="K1694" s="166"/>
      <c r="R1694" s="163"/>
      <c r="S1694" s="163"/>
    </row>
    <row r="1695">
      <c r="A1695" s="148"/>
      <c r="B1695" s="75"/>
      <c r="C1695" s="75"/>
      <c r="D1695" s="75"/>
      <c r="E1695" s="75"/>
      <c r="F1695" s="75"/>
      <c r="G1695" s="75"/>
      <c r="H1695" s="75"/>
      <c r="I1695" s="75"/>
      <c r="J1695" s="166"/>
      <c r="K1695" s="166"/>
      <c r="R1695" s="163"/>
      <c r="S1695" s="163"/>
    </row>
    <row r="1696">
      <c r="A1696" s="148"/>
      <c r="B1696" s="75"/>
      <c r="C1696" s="75"/>
      <c r="D1696" s="75"/>
      <c r="E1696" s="75"/>
      <c r="F1696" s="75"/>
      <c r="G1696" s="75"/>
      <c r="H1696" s="75"/>
      <c r="I1696" s="75"/>
      <c r="J1696" s="166"/>
      <c r="K1696" s="166"/>
      <c r="R1696" s="163"/>
      <c r="S1696" s="163"/>
    </row>
    <row r="1697">
      <c r="A1697" s="148"/>
      <c r="B1697" s="75"/>
      <c r="C1697" s="75"/>
      <c r="D1697" s="75"/>
      <c r="E1697" s="75"/>
      <c r="F1697" s="75"/>
      <c r="G1697" s="75"/>
      <c r="H1697" s="75"/>
      <c r="I1697" s="75"/>
      <c r="J1697" s="166"/>
      <c r="K1697" s="166"/>
      <c r="R1697" s="163"/>
      <c r="S1697" s="163"/>
    </row>
    <row r="1698">
      <c r="A1698" s="148"/>
      <c r="B1698" s="75"/>
      <c r="C1698" s="75"/>
      <c r="D1698" s="75"/>
      <c r="E1698" s="75"/>
      <c r="F1698" s="75"/>
      <c r="G1698" s="75"/>
      <c r="H1698" s="75"/>
      <c r="I1698" s="75"/>
      <c r="J1698" s="166"/>
      <c r="K1698" s="166"/>
      <c r="R1698" s="163"/>
      <c r="S1698" s="163"/>
    </row>
    <row r="1699">
      <c r="A1699" s="148"/>
      <c r="B1699" s="75"/>
      <c r="C1699" s="75"/>
      <c r="D1699" s="75"/>
      <c r="E1699" s="75"/>
      <c r="F1699" s="75"/>
      <c r="G1699" s="75"/>
      <c r="H1699" s="75"/>
      <c r="I1699" s="75"/>
      <c r="J1699" s="166"/>
      <c r="K1699" s="166"/>
      <c r="R1699" s="163"/>
      <c r="S1699" s="163"/>
    </row>
    <row r="1700">
      <c r="A1700" s="148"/>
      <c r="B1700" s="75"/>
      <c r="C1700" s="75"/>
      <c r="D1700" s="75"/>
      <c r="E1700" s="75"/>
      <c r="F1700" s="75"/>
      <c r="G1700" s="75"/>
      <c r="H1700" s="75"/>
      <c r="I1700" s="75"/>
      <c r="J1700" s="166"/>
      <c r="K1700" s="166"/>
      <c r="R1700" s="163"/>
      <c r="S1700" s="163"/>
    </row>
    <row r="1701">
      <c r="A1701" s="148"/>
      <c r="B1701" s="75"/>
      <c r="C1701" s="75"/>
      <c r="D1701" s="75"/>
      <c r="E1701" s="75"/>
      <c r="F1701" s="75"/>
      <c r="G1701" s="75"/>
      <c r="H1701" s="75"/>
      <c r="I1701" s="75"/>
      <c r="J1701" s="166"/>
      <c r="K1701" s="166"/>
      <c r="R1701" s="173"/>
      <c r="S1701" s="173"/>
    </row>
    <row r="1702">
      <c r="A1702" s="148"/>
      <c r="B1702" s="75"/>
      <c r="C1702" s="75"/>
      <c r="D1702" s="75"/>
      <c r="E1702" s="75"/>
      <c r="F1702" s="75"/>
      <c r="G1702" s="75"/>
      <c r="H1702" s="75"/>
      <c r="I1702" s="75"/>
      <c r="J1702" s="166"/>
      <c r="K1702" s="166"/>
      <c r="R1702" s="157"/>
      <c r="S1702" s="157"/>
    </row>
    <row r="1703">
      <c r="A1703" s="148"/>
      <c r="B1703" s="75"/>
      <c r="C1703" s="75"/>
      <c r="D1703" s="75"/>
      <c r="E1703" s="75"/>
      <c r="F1703" s="75"/>
      <c r="G1703" s="75"/>
      <c r="H1703" s="75"/>
      <c r="I1703" s="75"/>
      <c r="J1703" s="166"/>
      <c r="K1703" s="166"/>
      <c r="R1703" s="163"/>
      <c r="S1703" s="163"/>
    </row>
    <row r="1704">
      <c r="A1704" s="148"/>
      <c r="B1704" s="75"/>
      <c r="C1704" s="75"/>
      <c r="D1704" s="75"/>
      <c r="E1704" s="75"/>
      <c r="F1704" s="75"/>
      <c r="G1704" s="75"/>
      <c r="H1704" s="75"/>
      <c r="I1704" s="75"/>
      <c r="J1704" s="166"/>
      <c r="K1704" s="166"/>
      <c r="R1704" s="163"/>
      <c r="S1704" s="163"/>
    </row>
    <row r="1705">
      <c r="A1705" s="148"/>
      <c r="B1705" s="75"/>
      <c r="C1705" s="75"/>
      <c r="D1705" s="75"/>
      <c r="E1705" s="75"/>
      <c r="F1705" s="75"/>
      <c r="G1705" s="75"/>
      <c r="H1705" s="75"/>
      <c r="I1705" s="75"/>
      <c r="J1705" s="166"/>
      <c r="K1705" s="166"/>
      <c r="R1705" s="163"/>
      <c r="S1705" s="163"/>
    </row>
    <row r="1706">
      <c r="A1706" s="148"/>
      <c r="B1706" s="75"/>
      <c r="C1706" s="75"/>
      <c r="D1706" s="75"/>
      <c r="E1706" s="75"/>
      <c r="F1706" s="75"/>
      <c r="G1706" s="75"/>
      <c r="H1706" s="75"/>
      <c r="I1706" s="75"/>
      <c r="J1706" s="166"/>
      <c r="K1706" s="166"/>
      <c r="R1706" s="163"/>
      <c r="S1706" s="163"/>
    </row>
    <row r="1707">
      <c r="A1707" s="148"/>
      <c r="B1707" s="75"/>
      <c r="C1707" s="75"/>
      <c r="D1707" s="75"/>
      <c r="E1707" s="75"/>
      <c r="F1707" s="75"/>
      <c r="G1707" s="75"/>
      <c r="H1707" s="75"/>
      <c r="I1707" s="75"/>
      <c r="J1707" s="166"/>
      <c r="K1707" s="166"/>
      <c r="R1707" s="163"/>
      <c r="S1707" s="163"/>
    </row>
    <row r="1708">
      <c r="A1708" s="148"/>
      <c r="B1708" s="75"/>
      <c r="C1708" s="75"/>
      <c r="D1708" s="75"/>
      <c r="E1708" s="75"/>
      <c r="F1708" s="75"/>
      <c r="G1708" s="75"/>
      <c r="H1708" s="75"/>
      <c r="I1708" s="75"/>
      <c r="J1708" s="166"/>
      <c r="K1708" s="166"/>
      <c r="R1708" s="163"/>
      <c r="S1708" s="163"/>
    </row>
    <row r="1709">
      <c r="A1709" s="148"/>
      <c r="B1709" s="75"/>
      <c r="C1709" s="75"/>
      <c r="D1709" s="75"/>
      <c r="E1709" s="75"/>
      <c r="F1709" s="75"/>
      <c r="G1709" s="75"/>
      <c r="H1709" s="75"/>
      <c r="I1709" s="75"/>
      <c r="J1709" s="166"/>
      <c r="K1709" s="166"/>
      <c r="R1709" s="163"/>
      <c r="S1709" s="163"/>
    </row>
    <row r="1710">
      <c r="A1710" s="148"/>
      <c r="B1710" s="75"/>
      <c r="C1710" s="75"/>
      <c r="D1710" s="75"/>
      <c r="E1710" s="75"/>
      <c r="F1710" s="75"/>
      <c r="G1710" s="75"/>
      <c r="H1710" s="75"/>
      <c r="I1710" s="75"/>
      <c r="J1710" s="166"/>
      <c r="K1710" s="166"/>
      <c r="R1710" s="163"/>
      <c r="S1710" s="163"/>
    </row>
    <row r="1711">
      <c r="A1711" s="148"/>
      <c r="B1711" s="75"/>
      <c r="C1711" s="75"/>
      <c r="D1711" s="75"/>
      <c r="E1711" s="75"/>
      <c r="F1711" s="75"/>
      <c r="G1711" s="75"/>
      <c r="H1711" s="75"/>
      <c r="I1711" s="75"/>
      <c r="J1711" s="166"/>
      <c r="K1711" s="166"/>
      <c r="R1711" s="163"/>
      <c r="S1711" s="163"/>
    </row>
    <row r="1712">
      <c r="A1712" s="148"/>
      <c r="B1712" s="75"/>
      <c r="C1712" s="75"/>
      <c r="D1712" s="75"/>
      <c r="E1712" s="75"/>
      <c r="F1712" s="75"/>
      <c r="G1712" s="75"/>
      <c r="H1712" s="75"/>
      <c r="I1712" s="75"/>
      <c r="J1712" s="166"/>
      <c r="K1712" s="166"/>
      <c r="R1712" s="163"/>
      <c r="S1712" s="163"/>
    </row>
    <row r="1713">
      <c r="A1713" s="148"/>
      <c r="B1713" s="75"/>
      <c r="C1713" s="75"/>
      <c r="D1713" s="75"/>
      <c r="E1713" s="75"/>
      <c r="F1713" s="75"/>
      <c r="G1713" s="75"/>
      <c r="H1713" s="75"/>
      <c r="I1713" s="75"/>
      <c r="J1713" s="166"/>
      <c r="K1713" s="166"/>
      <c r="R1713" s="173"/>
      <c r="S1713" s="173"/>
    </row>
    <row r="1714">
      <c r="A1714" s="148"/>
      <c r="B1714" s="75"/>
      <c r="C1714" s="75"/>
      <c r="D1714" s="75"/>
      <c r="E1714" s="75"/>
      <c r="F1714" s="75"/>
      <c r="G1714" s="75"/>
      <c r="H1714" s="75"/>
      <c r="I1714" s="75"/>
      <c r="J1714" s="166"/>
      <c r="K1714" s="166"/>
      <c r="R1714" s="157"/>
      <c r="S1714" s="157"/>
    </row>
    <row r="1715">
      <c r="A1715" s="148"/>
      <c r="B1715" s="75"/>
      <c r="C1715" s="75"/>
      <c r="D1715" s="75"/>
      <c r="E1715" s="75"/>
      <c r="F1715" s="75"/>
      <c r="G1715" s="75"/>
      <c r="H1715" s="75"/>
      <c r="I1715" s="75"/>
      <c r="J1715" s="166"/>
      <c r="K1715" s="166"/>
      <c r="R1715" s="163"/>
      <c r="S1715" s="163"/>
    </row>
    <row r="1716">
      <c r="A1716" s="148"/>
      <c r="B1716" s="75"/>
      <c r="C1716" s="75"/>
      <c r="D1716" s="75"/>
      <c r="E1716" s="75"/>
      <c r="F1716" s="75"/>
      <c r="G1716" s="75"/>
      <c r="H1716" s="75"/>
      <c r="I1716" s="75"/>
      <c r="J1716" s="166"/>
      <c r="K1716" s="166"/>
      <c r="R1716" s="163"/>
      <c r="S1716" s="163"/>
    </row>
    <row r="1717">
      <c r="A1717" s="148"/>
      <c r="B1717" s="75"/>
      <c r="C1717" s="75"/>
      <c r="D1717" s="75"/>
      <c r="E1717" s="75"/>
      <c r="F1717" s="75"/>
      <c r="G1717" s="75"/>
      <c r="H1717" s="75"/>
      <c r="I1717" s="75"/>
      <c r="J1717" s="166"/>
      <c r="K1717" s="166"/>
      <c r="R1717" s="163"/>
      <c r="S1717" s="163"/>
    </row>
    <row r="1718">
      <c r="A1718" s="148"/>
      <c r="B1718" s="75"/>
      <c r="C1718" s="75"/>
      <c r="D1718" s="75"/>
      <c r="E1718" s="75"/>
      <c r="F1718" s="75"/>
      <c r="G1718" s="75"/>
      <c r="H1718" s="75"/>
      <c r="I1718" s="75"/>
      <c r="J1718" s="166"/>
      <c r="K1718" s="166"/>
      <c r="R1718" s="163"/>
      <c r="S1718" s="163"/>
    </row>
    <row r="1719">
      <c r="A1719" s="148"/>
      <c r="B1719" s="75"/>
      <c r="C1719" s="75"/>
      <c r="D1719" s="75"/>
      <c r="E1719" s="75"/>
      <c r="F1719" s="75"/>
      <c r="G1719" s="75"/>
      <c r="H1719" s="75"/>
      <c r="I1719" s="75"/>
      <c r="J1719" s="166"/>
      <c r="K1719" s="166"/>
      <c r="R1719" s="163"/>
      <c r="S1719" s="163"/>
    </row>
    <row r="1720">
      <c r="A1720" s="148"/>
      <c r="B1720" s="75"/>
      <c r="C1720" s="75"/>
      <c r="D1720" s="75"/>
      <c r="E1720" s="75"/>
      <c r="F1720" s="75"/>
      <c r="G1720" s="75"/>
      <c r="H1720" s="75"/>
      <c r="I1720" s="75"/>
      <c r="J1720" s="166"/>
      <c r="K1720" s="166"/>
      <c r="R1720" s="163"/>
      <c r="S1720" s="163"/>
    </row>
    <row r="1721">
      <c r="A1721" s="148"/>
      <c r="B1721" s="75"/>
      <c r="C1721" s="75"/>
      <c r="D1721" s="75"/>
      <c r="E1721" s="75"/>
      <c r="F1721" s="75"/>
      <c r="G1721" s="75"/>
      <c r="H1721" s="75"/>
      <c r="I1721" s="75"/>
      <c r="J1721" s="166"/>
      <c r="K1721" s="166"/>
      <c r="R1721" s="163"/>
      <c r="S1721" s="163"/>
    </row>
    <row r="1722">
      <c r="A1722" s="148"/>
      <c r="B1722" s="75"/>
      <c r="C1722" s="75"/>
      <c r="D1722" s="75"/>
      <c r="E1722" s="75"/>
      <c r="F1722" s="75"/>
      <c r="G1722" s="75"/>
      <c r="H1722" s="75"/>
      <c r="I1722" s="75"/>
      <c r="J1722" s="166"/>
      <c r="K1722" s="166"/>
      <c r="R1722" s="163"/>
      <c r="S1722" s="163"/>
    </row>
    <row r="1723">
      <c r="A1723" s="148"/>
      <c r="B1723" s="75"/>
      <c r="C1723" s="75"/>
      <c r="D1723" s="75"/>
      <c r="E1723" s="75"/>
      <c r="F1723" s="75"/>
      <c r="G1723" s="75"/>
      <c r="H1723" s="75"/>
      <c r="I1723" s="75"/>
      <c r="J1723" s="166"/>
      <c r="K1723" s="166"/>
      <c r="R1723" s="163"/>
      <c r="S1723" s="163"/>
    </row>
    <row r="1724">
      <c r="A1724" s="148"/>
      <c r="B1724" s="75"/>
      <c r="C1724" s="75"/>
      <c r="D1724" s="75"/>
      <c r="E1724" s="75"/>
      <c r="F1724" s="75"/>
      <c r="G1724" s="75"/>
      <c r="H1724" s="75"/>
      <c r="I1724" s="75"/>
      <c r="J1724" s="166"/>
      <c r="K1724" s="166"/>
      <c r="R1724" s="163"/>
      <c r="S1724" s="163"/>
    </row>
    <row r="1725">
      <c r="A1725" s="148"/>
      <c r="B1725" s="75"/>
      <c r="C1725" s="75"/>
      <c r="D1725" s="75"/>
      <c r="E1725" s="75"/>
      <c r="F1725" s="75"/>
      <c r="G1725" s="75"/>
      <c r="H1725" s="75"/>
      <c r="I1725" s="75"/>
      <c r="J1725" s="166"/>
      <c r="K1725" s="166"/>
      <c r="R1725" s="173"/>
      <c r="S1725" s="173"/>
    </row>
    <row r="1726">
      <c r="A1726" s="148"/>
      <c r="B1726" s="75"/>
      <c r="C1726" s="75"/>
      <c r="D1726" s="75"/>
      <c r="E1726" s="75"/>
      <c r="F1726" s="75"/>
      <c r="G1726" s="75"/>
      <c r="H1726" s="75"/>
      <c r="I1726" s="75"/>
      <c r="J1726" s="166"/>
      <c r="K1726" s="166"/>
      <c r="R1726" s="157"/>
      <c r="S1726" s="157"/>
    </row>
    <row r="1727">
      <c r="A1727" s="148"/>
      <c r="B1727" s="75"/>
      <c r="C1727" s="75"/>
      <c r="D1727" s="75"/>
      <c r="E1727" s="75"/>
      <c r="F1727" s="75"/>
      <c r="G1727" s="75"/>
      <c r="H1727" s="75"/>
      <c r="I1727" s="75"/>
      <c r="J1727" s="166"/>
      <c r="K1727" s="166"/>
      <c r="R1727" s="163"/>
      <c r="S1727" s="163"/>
    </row>
    <row r="1728">
      <c r="A1728" s="148"/>
      <c r="B1728" s="75"/>
      <c r="C1728" s="75"/>
      <c r="D1728" s="75"/>
      <c r="E1728" s="75"/>
      <c r="F1728" s="75"/>
      <c r="G1728" s="75"/>
      <c r="H1728" s="75"/>
      <c r="I1728" s="75"/>
      <c r="J1728" s="166"/>
      <c r="K1728" s="166"/>
      <c r="R1728" s="163"/>
      <c r="S1728" s="163"/>
    </row>
    <row r="1729">
      <c r="A1729" s="148"/>
      <c r="B1729" s="75"/>
      <c r="C1729" s="75"/>
      <c r="D1729" s="75"/>
      <c r="E1729" s="75"/>
      <c r="F1729" s="75"/>
      <c r="G1729" s="75"/>
      <c r="H1729" s="75"/>
      <c r="I1729" s="75"/>
      <c r="J1729" s="166"/>
      <c r="K1729" s="166"/>
      <c r="R1729" s="163"/>
      <c r="S1729" s="163"/>
    </row>
    <row r="1730">
      <c r="A1730" s="148"/>
      <c r="B1730" s="75"/>
      <c r="C1730" s="75"/>
      <c r="D1730" s="75"/>
      <c r="E1730" s="75"/>
      <c r="F1730" s="75"/>
      <c r="G1730" s="75"/>
      <c r="H1730" s="75"/>
      <c r="I1730" s="75"/>
      <c r="J1730" s="166"/>
      <c r="K1730" s="166"/>
      <c r="R1730" s="163"/>
      <c r="S1730" s="163"/>
    </row>
    <row r="1731">
      <c r="A1731" s="148"/>
      <c r="B1731" s="75"/>
      <c r="C1731" s="75"/>
      <c r="D1731" s="75"/>
      <c r="E1731" s="75"/>
      <c r="F1731" s="75"/>
      <c r="G1731" s="75"/>
      <c r="H1731" s="75"/>
      <c r="I1731" s="75"/>
      <c r="J1731" s="166"/>
      <c r="K1731" s="166"/>
      <c r="R1731" s="163"/>
      <c r="S1731" s="163"/>
    </row>
    <row r="1732">
      <c r="A1732" s="148"/>
      <c r="B1732" s="75"/>
      <c r="C1732" s="75"/>
      <c r="D1732" s="75"/>
      <c r="E1732" s="75"/>
      <c r="F1732" s="75"/>
      <c r="G1732" s="75"/>
      <c r="H1732" s="75"/>
      <c r="I1732" s="75"/>
      <c r="J1732" s="166"/>
      <c r="K1732" s="166"/>
      <c r="R1732" s="163"/>
      <c r="S1732" s="163"/>
    </row>
    <row r="1733">
      <c r="A1733" s="148"/>
      <c r="B1733" s="75"/>
      <c r="C1733" s="75"/>
      <c r="D1733" s="75"/>
      <c r="E1733" s="75"/>
      <c r="F1733" s="75"/>
      <c r="G1733" s="75"/>
      <c r="H1733" s="75"/>
      <c r="I1733" s="75"/>
      <c r="J1733" s="166"/>
      <c r="K1733" s="166"/>
      <c r="R1733" s="163"/>
      <c r="S1733" s="163"/>
    </row>
    <row r="1734">
      <c r="A1734" s="148"/>
      <c r="B1734" s="75"/>
      <c r="C1734" s="75"/>
      <c r="D1734" s="75"/>
      <c r="E1734" s="75"/>
      <c r="F1734" s="75"/>
      <c r="G1734" s="75"/>
      <c r="H1734" s="75"/>
      <c r="I1734" s="75"/>
      <c r="J1734" s="166"/>
      <c r="K1734" s="166"/>
      <c r="R1734" s="163"/>
      <c r="S1734" s="163"/>
    </row>
    <row r="1735">
      <c r="A1735" s="148"/>
      <c r="B1735" s="75"/>
      <c r="C1735" s="75"/>
      <c r="D1735" s="75"/>
      <c r="E1735" s="75"/>
      <c r="F1735" s="75"/>
      <c r="G1735" s="75"/>
      <c r="H1735" s="75"/>
      <c r="I1735" s="75"/>
      <c r="J1735" s="166"/>
      <c r="K1735" s="166"/>
      <c r="R1735" s="163"/>
      <c r="S1735" s="163"/>
    </row>
    <row r="1736">
      <c r="A1736" s="148"/>
      <c r="B1736" s="75"/>
      <c r="C1736" s="75"/>
      <c r="D1736" s="75"/>
      <c r="E1736" s="75"/>
      <c r="F1736" s="75"/>
      <c r="G1736" s="75"/>
      <c r="H1736" s="75"/>
      <c r="I1736" s="75"/>
      <c r="J1736" s="166"/>
      <c r="K1736" s="166"/>
      <c r="R1736" s="163"/>
      <c r="S1736" s="163"/>
    </row>
    <row r="1737">
      <c r="A1737" s="148"/>
      <c r="B1737" s="75"/>
      <c r="C1737" s="75"/>
      <c r="D1737" s="75"/>
      <c r="E1737" s="75"/>
      <c r="F1737" s="75"/>
      <c r="G1737" s="75"/>
      <c r="H1737" s="75"/>
      <c r="I1737" s="75"/>
      <c r="J1737" s="166"/>
      <c r="K1737" s="166"/>
      <c r="R1737" s="173"/>
      <c r="S1737" s="173"/>
    </row>
    <row r="1738">
      <c r="A1738" s="148"/>
      <c r="B1738" s="75"/>
      <c r="C1738" s="75"/>
      <c r="D1738" s="75"/>
      <c r="E1738" s="75"/>
      <c r="F1738" s="75"/>
      <c r="G1738" s="75"/>
      <c r="H1738" s="75"/>
      <c r="I1738" s="75"/>
      <c r="J1738" s="166"/>
      <c r="K1738" s="166"/>
      <c r="R1738" s="157"/>
      <c r="S1738" s="157"/>
    </row>
    <row r="1739">
      <c r="A1739" s="148"/>
      <c r="B1739" s="75"/>
      <c r="C1739" s="75"/>
      <c r="D1739" s="75"/>
      <c r="E1739" s="75"/>
      <c r="F1739" s="75"/>
      <c r="G1739" s="75"/>
      <c r="H1739" s="75"/>
      <c r="I1739" s="75"/>
      <c r="J1739" s="166"/>
      <c r="K1739" s="166"/>
      <c r="R1739" s="163"/>
      <c r="S1739" s="163"/>
    </row>
    <row r="1740">
      <c r="A1740" s="148"/>
      <c r="B1740" s="75"/>
      <c r="C1740" s="75"/>
      <c r="D1740" s="75"/>
      <c r="E1740" s="75"/>
      <c r="F1740" s="75"/>
      <c r="G1740" s="75"/>
      <c r="H1740" s="75"/>
      <c r="I1740" s="75"/>
      <c r="J1740" s="166"/>
      <c r="K1740" s="166"/>
      <c r="R1740" s="163"/>
      <c r="S1740" s="163"/>
    </row>
    <row r="1741">
      <c r="A1741" s="148"/>
      <c r="B1741" s="75"/>
      <c r="C1741" s="75"/>
      <c r="D1741" s="75"/>
      <c r="E1741" s="75"/>
      <c r="F1741" s="75"/>
      <c r="G1741" s="75"/>
      <c r="H1741" s="75"/>
      <c r="I1741" s="75"/>
      <c r="J1741" s="166"/>
      <c r="K1741" s="166"/>
      <c r="R1741" s="163"/>
      <c r="S1741" s="163"/>
    </row>
    <row r="1742">
      <c r="A1742" s="148"/>
      <c r="B1742" s="75"/>
      <c r="C1742" s="75"/>
      <c r="D1742" s="75"/>
      <c r="E1742" s="75"/>
      <c r="F1742" s="75"/>
      <c r="G1742" s="75"/>
      <c r="H1742" s="75"/>
      <c r="I1742" s="75"/>
      <c r="J1742" s="166"/>
      <c r="K1742" s="166"/>
      <c r="R1742" s="163"/>
      <c r="S1742" s="163"/>
    </row>
    <row r="1743">
      <c r="A1743" s="148"/>
      <c r="B1743" s="75"/>
      <c r="C1743" s="75"/>
      <c r="D1743" s="75"/>
      <c r="E1743" s="75"/>
      <c r="F1743" s="75"/>
      <c r="G1743" s="75"/>
      <c r="H1743" s="75"/>
      <c r="I1743" s="75"/>
      <c r="J1743" s="166"/>
      <c r="K1743" s="166"/>
      <c r="R1743" s="163"/>
      <c r="S1743" s="163"/>
    </row>
    <row r="1744">
      <c r="A1744" s="148"/>
      <c r="B1744" s="75"/>
      <c r="C1744" s="75"/>
      <c r="D1744" s="75"/>
      <c r="E1744" s="75"/>
      <c r="F1744" s="75"/>
      <c r="G1744" s="75"/>
      <c r="H1744" s="75"/>
      <c r="I1744" s="75"/>
      <c r="J1744" s="166"/>
      <c r="K1744" s="166"/>
      <c r="R1744" s="163"/>
      <c r="S1744" s="163"/>
    </row>
    <row r="1745">
      <c r="A1745" s="148"/>
      <c r="B1745" s="75"/>
      <c r="C1745" s="75"/>
      <c r="D1745" s="75"/>
      <c r="E1745" s="75"/>
      <c r="F1745" s="75"/>
      <c r="G1745" s="75"/>
      <c r="H1745" s="75"/>
      <c r="I1745" s="75"/>
      <c r="J1745" s="166"/>
      <c r="K1745" s="166"/>
      <c r="R1745" s="163"/>
      <c r="S1745" s="163"/>
    </row>
    <row r="1746">
      <c r="A1746" s="148"/>
      <c r="B1746" s="75"/>
      <c r="C1746" s="75"/>
      <c r="D1746" s="75"/>
      <c r="E1746" s="75"/>
      <c r="F1746" s="75"/>
      <c r="G1746" s="75"/>
      <c r="H1746" s="75"/>
      <c r="I1746" s="75"/>
      <c r="J1746" s="166"/>
      <c r="K1746" s="166"/>
      <c r="R1746" s="163"/>
      <c r="S1746" s="163"/>
    </row>
    <row r="1747">
      <c r="A1747" s="148"/>
      <c r="B1747" s="75"/>
      <c r="C1747" s="75"/>
      <c r="D1747" s="75"/>
      <c r="E1747" s="75"/>
      <c r="F1747" s="75"/>
      <c r="G1747" s="75"/>
      <c r="H1747" s="75"/>
      <c r="I1747" s="75"/>
      <c r="J1747" s="166"/>
      <c r="K1747" s="166"/>
      <c r="R1747" s="163"/>
      <c r="S1747" s="163"/>
    </row>
    <row r="1748">
      <c r="A1748" s="148"/>
      <c r="B1748" s="75"/>
      <c r="C1748" s="75"/>
      <c r="D1748" s="75"/>
      <c r="E1748" s="75"/>
      <c r="F1748" s="75"/>
      <c r="G1748" s="75"/>
      <c r="H1748" s="75"/>
      <c r="I1748" s="75"/>
      <c r="J1748" s="166"/>
      <c r="K1748" s="166"/>
      <c r="R1748" s="163"/>
      <c r="S1748" s="163"/>
    </row>
    <row r="1749">
      <c r="A1749" s="148"/>
      <c r="B1749" s="75"/>
      <c r="C1749" s="75"/>
      <c r="D1749" s="75"/>
      <c r="E1749" s="75"/>
      <c r="F1749" s="75"/>
      <c r="G1749" s="75"/>
      <c r="H1749" s="75"/>
      <c r="I1749" s="75"/>
      <c r="J1749" s="166"/>
      <c r="K1749" s="166"/>
      <c r="R1749" s="173"/>
      <c r="S1749" s="173"/>
    </row>
    <row r="1750">
      <c r="A1750" s="148"/>
      <c r="B1750" s="75"/>
      <c r="C1750" s="75"/>
      <c r="D1750" s="75"/>
      <c r="E1750" s="75"/>
      <c r="F1750" s="75"/>
      <c r="G1750" s="75"/>
      <c r="H1750" s="75"/>
      <c r="I1750" s="75"/>
      <c r="J1750" s="166"/>
      <c r="K1750" s="166"/>
      <c r="R1750" s="157"/>
      <c r="S1750" s="157"/>
    </row>
    <row r="1751">
      <c r="A1751" s="148"/>
      <c r="B1751" s="75"/>
      <c r="C1751" s="75"/>
      <c r="D1751" s="75"/>
      <c r="E1751" s="75"/>
      <c r="F1751" s="75"/>
      <c r="G1751" s="75"/>
      <c r="H1751" s="75"/>
      <c r="I1751" s="75"/>
      <c r="J1751" s="166"/>
      <c r="K1751" s="166"/>
      <c r="R1751" s="163"/>
      <c r="S1751" s="163"/>
    </row>
    <row r="1752">
      <c r="A1752" s="148"/>
      <c r="B1752" s="75"/>
      <c r="C1752" s="75"/>
      <c r="D1752" s="75"/>
      <c r="E1752" s="75"/>
      <c r="F1752" s="75"/>
      <c r="G1752" s="75"/>
      <c r="H1752" s="75"/>
      <c r="I1752" s="75"/>
      <c r="J1752" s="166"/>
      <c r="K1752" s="166"/>
      <c r="R1752" s="163"/>
      <c r="S1752" s="163"/>
    </row>
    <row r="1753">
      <c r="A1753" s="148"/>
      <c r="B1753" s="75"/>
      <c r="C1753" s="75"/>
      <c r="D1753" s="75"/>
      <c r="E1753" s="75"/>
      <c r="F1753" s="75"/>
      <c r="G1753" s="75"/>
      <c r="H1753" s="75"/>
      <c r="I1753" s="75"/>
      <c r="J1753" s="166"/>
      <c r="K1753" s="166"/>
      <c r="R1753" s="163"/>
      <c r="S1753" s="163"/>
    </row>
    <row r="1754">
      <c r="A1754" s="148"/>
      <c r="B1754" s="75"/>
      <c r="C1754" s="75"/>
      <c r="D1754" s="75"/>
      <c r="E1754" s="75"/>
      <c r="F1754" s="75"/>
      <c r="G1754" s="75"/>
      <c r="H1754" s="75"/>
      <c r="I1754" s="75"/>
      <c r="J1754" s="166"/>
      <c r="K1754" s="166"/>
      <c r="R1754" s="163"/>
      <c r="S1754" s="163"/>
    </row>
    <row r="1755">
      <c r="A1755" s="148"/>
      <c r="B1755" s="75"/>
      <c r="C1755" s="75"/>
      <c r="D1755" s="75"/>
      <c r="E1755" s="75"/>
      <c r="F1755" s="75"/>
      <c r="G1755" s="75"/>
      <c r="H1755" s="75"/>
      <c r="I1755" s="75"/>
      <c r="J1755" s="166"/>
      <c r="K1755" s="166"/>
      <c r="R1755" s="163"/>
      <c r="S1755" s="163"/>
    </row>
    <row r="1756">
      <c r="A1756" s="148"/>
      <c r="B1756" s="75"/>
      <c r="C1756" s="75"/>
      <c r="D1756" s="75"/>
      <c r="E1756" s="75"/>
      <c r="F1756" s="75"/>
      <c r="G1756" s="75"/>
      <c r="H1756" s="75"/>
      <c r="I1756" s="75"/>
      <c r="J1756" s="166"/>
      <c r="K1756" s="166"/>
      <c r="R1756" s="163"/>
      <c r="S1756" s="163"/>
    </row>
    <row r="1757">
      <c r="A1757" s="148"/>
      <c r="B1757" s="75"/>
      <c r="C1757" s="75"/>
      <c r="D1757" s="75"/>
      <c r="E1757" s="75"/>
      <c r="F1757" s="75"/>
      <c r="G1757" s="75"/>
      <c r="H1757" s="75"/>
      <c r="I1757" s="75"/>
      <c r="J1757" s="166"/>
      <c r="K1757" s="166"/>
      <c r="R1757" s="163"/>
      <c r="S1757" s="163"/>
    </row>
    <row r="1758">
      <c r="A1758" s="148"/>
      <c r="B1758" s="75"/>
      <c r="C1758" s="75"/>
      <c r="D1758" s="75"/>
      <c r="E1758" s="75"/>
      <c r="F1758" s="75"/>
      <c r="G1758" s="75"/>
      <c r="H1758" s="75"/>
      <c r="I1758" s="75"/>
      <c r="J1758" s="166"/>
      <c r="K1758" s="166"/>
      <c r="R1758" s="163"/>
      <c r="S1758" s="163"/>
    </row>
    <row r="1759">
      <c r="A1759" s="148"/>
      <c r="B1759" s="75"/>
      <c r="C1759" s="75"/>
      <c r="D1759" s="75"/>
      <c r="E1759" s="75"/>
      <c r="F1759" s="75"/>
      <c r="G1759" s="75"/>
      <c r="H1759" s="75"/>
      <c r="I1759" s="75"/>
      <c r="J1759" s="166"/>
      <c r="K1759" s="166"/>
      <c r="R1759" s="163"/>
      <c r="S1759" s="163"/>
    </row>
    <row r="1760">
      <c r="A1760" s="148"/>
      <c r="B1760" s="75"/>
      <c r="C1760" s="75"/>
      <c r="D1760" s="75"/>
      <c r="E1760" s="75"/>
      <c r="F1760" s="75"/>
      <c r="G1760" s="75"/>
      <c r="H1760" s="75"/>
      <c r="I1760" s="75"/>
      <c r="J1760" s="166"/>
      <c r="K1760" s="166"/>
      <c r="R1760" s="163"/>
      <c r="S1760" s="163"/>
    </row>
    <row r="1761">
      <c r="A1761" s="148"/>
      <c r="B1761" s="75"/>
      <c r="C1761" s="75"/>
      <c r="D1761" s="75"/>
      <c r="E1761" s="75"/>
      <c r="F1761" s="75"/>
      <c r="G1761" s="75"/>
      <c r="H1761" s="75"/>
      <c r="I1761" s="75"/>
      <c r="J1761" s="166"/>
      <c r="K1761" s="166"/>
      <c r="R1761" s="173"/>
      <c r="S1761" s="173"/>
    </row>
    <row r="1762">
      <c r="A1762" s="148"/>
      <c r="B1762" s="75"/>
      <c r="C1762" s="75"/>
      <c r="D1762" s="75"/>
      <c r="E1762" s="75"/>
      <c r="F1762" s="75"/>
      <c r="G1762" s="75"/>
      <c r="H1762" s="75"/>
      <c r="I1762" s="75"/>
      <c r="J1762" s="166"/>
      <c r="K1762" s="166"/>
      <c r="R1762" s="157"/>
      <c r="S1762" s="157"/>
    </row>
    <row r="1763">
      <c r="A1763" s="148"/>
      <c r="B1763" s="75"/>
      <c r="C1763" s="75"/>
      <c r="D1763" s="75"/>
      <c r="E1763" s="75"/>
      <c r="F1763" s="75"/>
      <c r="G1763" s="75"/>
      <c r="H1763" s="75"/>
      <c r="I1763" s="75"/>
      <c r="J1763" s="166"/>
      <c r="K1763" s="166"/>
      <c r="R1763" s="163"/>
      <c r="S1763" s="163"/>
    </row>
    <row r="1764">
      <c r="A1764" s="148"/>
      <c r="B1764" s="75"/>
      <c r="C1764" s="75"/>
      <c r="D1764" s="75"/>
      <c r="E1764" s="75"/>
      <c r="F1764" s="75"/>
      <c r="G1764" s="75"/>
      <c r="H1764" s="75"/>
      <c r="I1764" s="75"/>
      <c r="J1764" s="166"/>
      <c r="K1764" s="166"/>
      <c r="R1764" s="163"/>
      <c r="S1764" s="163"/>
    </row>
    <row r="1765">
      <c r="A1765" s="148"/>
      <c r="B1765" s="75"/>
      <c r="C1765" s="75"/>
      <c r="D1765" s="75"/>
      <c r="E1765" s="75"/>
      <c r="F1765" s="75"/>
      <c r="G1765" s="75"/>
      <c r="H1765" s="75"/>
      <c r="I1765" s="75"/>
      <c r="J1765" s="166"/>
      <c r="K1765" s="166"/>
      <c r="R1765" s="163"/>
      <c r="S1765" s="163"/>
    </row>
    <row r="1766">
      <c r="A1766" s="148"/>
      <c r="B1766" s="75"/>
      <c r="C1766" s="75"/>
      <c r="D1766" s="75"/>
      <c r="E1766" s="75"/>
      <c r="F1766" s="75"/>
      <c r="G1766" s="75"/>
      <c r="H1766" s="75"/>
      <c r="I1766" s="75"/>
      <c r="J1766" s="166"/>
      <c r="K1766" s="166"/>
      <c r="R1766" s="163"/>
      <c r="S1766" s="163"/>
    </row>
    <row r="1767">
      <c r="A1767" s="148"/>
      <c r="B1767" s="75"/>
      <c r="C1767" s="75"/>
      <c r="D1767" s="75"/>
      <c r="E1767" s="75"/>
      <c r="F1767" s="75"/>
      <c r="G1767" s="75"/>
      <c r="H1767" s="75"/>
      <c r="I1767" s="75"/>
      <c r="J1767" s="166"/>
      <c r="K1767" s="166"/>
      <c r="R1767" s="163"/>
      <c r="S1767" s="163"/>
    </row>
    <row r="1768">
      <c r="A1768" s="148"/>
      <c r="B1768" s="75"/>
      <c r="C1768" s="75"/>
      <c r="D1768" s="75"/>
      <c r="E1768" s="75"/>
      <c r="F1768" s="75"/>
      <c r="G1768" s="75"/>
      <c r="H1768" s="75"/>
      <c r="I1768" s="75"/>
      <c r="J1768" s="166"/>
      <c r="K1768" s="166"/>
      <c r="R1768" s="163"/>
      <c r="S1768" s="163"/>
    </row>
    <row r="1769">
      <c r="A1769" s="148"/>
      <c r="B1769" s="75"/>
      <c r="C1769" s="75"/>
      <c r="D1769" s="75"/>
      <c r="E1769" s="75"/>
      <c r="F1769" s="75"/>
      <c r="G1769" s="75"/>
      <c r="H1769" s="75"/>
      <c r="I1769" s="75"/>
      <c r="J1769" s="166"/>
      <c r="K1769" s="166"/>
      <c r="R1769" s="163"/>
      <c r="S1769" s="163"/>
    </row>
    <row r="1770">
      <c r="A1770" s="148"/>
      <c r="B1770" s="75"/>
      <c r="C1770" s="75"/>
      <c r="D1770" s="75"/>
      <c r="E1770" s="75"/>
      <c r="F1770" s="75"/>
      <c r="G1770" s="75"/>
      <c r="H1770" s="75"/>
      <c r="I1770" s="75"/>
      <c r="J1770" s="166"/>
      <c r="K1770" s="166"/>
      <c r="R1770" s="163"/>
      <c r="S1770" s="163"/>
    </row>
    <row r="1771">
      <c r="A1771" s="148"/>
      <c r="B1771" s="75"/>
      <c r="C1771" s="75"/>
      <c r="D1771" s="75"/>
      <c r="E1771" s="75"/>
      <c r="F1771" s="75"/>
      <c r="G1771" s="75"/>
      <c r="H1771" s="75"/>
      <c r="I1771" s="75"/>
      <c r="J1771" s="166"/>
      <c r="K1771" s="166"/>
      <c r="R1771" s="163"/>
      <c r="S1771" s="163"/>
    </row>
    <row r="1772">
      <c r="A1772" s="148"/>
      <c r="B1772" s="75"/>
      <c r="C1772" s="75"/>
      <c r="D1772" s="75"/>
      <c r="E1772" s="75"/>
      <c r="F1772" s="75"/>
      <c r="G1772" s="75"/>
      <c r="H1772" s="75"/>
      <c r="I1772" s="75"/>
      <c r="J1772" s="166"/>
      <c r="K1772" s="166"/>
      <c r="R1772" s="163"/>
      <c r="S1772" s="163"/>
    </row>
    <row r="1773">
      <c r="A1773" s="148"/>
      <c r="B1773" s="75"/>
      <c r="C1773" s="75"/>
      <c r="D1773" s="75"/>
      <c r="E1773" s="75"/>
      <c r="F1773" s="75"/>
      <c r="G1773" s="75"/>
      <c r="H1773" s="75"/>
      <c r="I1773" s="75"/>
      <c r="J1773" s="166"/>
      <c r="K1773" s="166"/>
      <c r="R1773" s="173"/>
      <c r="S1773" s="173"/>
    </row>
    <row r="1774">
      <c r="A1774" s="148"/>
      <c r="B1774" s="75"/>
      <c r="C1774" s="75"/>
      <c r="D1774" s="75"/>
      <c r="E1774" s="75"/>
      <c r="F1774" s="75"/>
      <c r="G1774" s="75"/>
      <c r="H1774" s="75"/>
      <c r="I1774" s="75"/>
      <c r="J1774" s="166"/>
      <c r="K1774" s="166"/>
      <c r="R1774" s="157"/>
      <c r="S1774" s="157"/>
    </row>
    <row r="1775">
      <c r="A1775" s="148"/>
      <c r="B1775" s="75"/>
      <c r="C1775" s="75"/>
      <c r="D1775" s="75"/>
      <c r="E1775" s="75"/>
      <c r="F1775" s="75"/>
      <c r="G1775" s="75"/>
      <c r="H1775" s="75"/>
      <c r="I1775" s="75"/>
      <c r="J1775" s="166"/>
      <c r="K1775" s="166"/>
      <c r="R1775" s="163"/>
      <c r="S1775" s="163"/>
    </row>
    <row r="1776">
      <c r="A1776" s="148"/>
      <c r="B1776" s="75"/>
      <c r="C1776" s="75"/>
      <c r="D1776" s="75"/>
      <c r="E1776" s="75"/>
      <c r="F1776" s="75"/>
      <c r="G1776" s="75"/>
      <c r="H1776" s="75"/>
      <c r="I1776" s="75"/>
      <c r="J1776" s="166"/>
      <c r="K1776" s="166"/>
      <c r="R1776" s="163"/>
      <c r="S1776" s="163"/>
    </row>
    <row r="1777">
      <c r="A1777" s="148"/>
      <c r="B1777" s="75"/>
      <c r="C1777" s="75"/>
      <c r="D1777" s="75"/>
      <c r="E1777" s="75"/>
      <c r="F1777" s="75"/>
      <c r="G1777" s="75"/>
      <c r="H1777" s="75"/>
      <c r="I1777" s="75"/>
      <c r="J1777" s="166"/>
      <c r="K1777" s="166"/>
      <c r="R1777" s="163"/>
      <c r="S1777" s="163"/>
    </row>
    <row r="1778">
      <c r="A1778" s="148"/>
      <c r="B1778" s="75"/>
      <c r="C1778" s="75"/>
      <c r="D1778" s="75"/>
      <c r="E1778" s="75"/>
      <c r="F1778" s="75"/>
      <c r="G1778" s="75"/>
      <c r="H1778" s="75"/>
      <c r="I1778" s="75"/>
      <c r="J1778" s="166"/>
      <c r="K1778" s="166"/>
      <c r="R1778" s="163"/>
      <c r="S1778" s="163"/>
    </row>
    <row r="1779">
      <c r="A1779" s="148"/>
      <c r="B1779" s="75"/>
      <c r="C1779" s="75"/>
      <c r="D1779" s="75"/>
      <c r="E1779" s="75"/>
      <c r="F1779" s="75"/>
      <c r="G1779" s="75"/>
      <c r="H1779" s="75"/>
      <c r="I1779" s="75"/>
      <c r="J1779" s="166"/>
      <c r="K1779" s="166"/>
      <c r="R1779" s="163"/>
      <c r="S1779" s="163"/>
    </row>
    <row r="1780">
      <c r="A1780" s="148"/>
      <c r="B1780" s="75"/>
      <c r="C1780" s="75"/>
      <c r="D1780" s="75"/>
      <c r="E1780" s="75"/>
      <c r="F1780" s="75"/>
      <c r="G1780" s="75"/>
      <c r="H1780" s="75"/>
      <c r="I1780" s="75"/>
      <c r="J1780" s="166"/>
      <c r="K1780" s="166"/>
      <c r="R1780" s="163"/>
      <c r="S1780" s="163"/>
    </row>
    <row r="1781">
      <c r="A1781" s="148"/>
      <c r="B1781" s="75"/>
      <c r="C1781" s="75"/>
      <c r="D1781" s="75"/>
      <c r="E1781" s="75"/>
      <c r="F1781" s="75"/>
      <c r="G1781" s="75"/>
      <c r="H1781" s="75"/>
      <c r="I1781" s="75"/>
      <c r="J1781" s="166"/>
      <c r="K1781" s="166"/>
      <c r="R1781" s="163"/>
      <c r="S1781" s="163"/>
    </row>
    <row r="1782">
      <c r="A1782" s="148"/>
      <c r="B1782" s="75"/>
      <c r="C1782" s="75"/>
      <c r="D1782" s="75"/>
      <c r="E1782" s="75"/>
      <c r="F1782" s="75"/>
      <c r="G1782" s="75"/>
      <c r="H1782" s="75"/>
      <c r="I1782" s="75"/>
      <c r="J1782" s="166"/>
      <c r="K1782" s="166"/>
      <c r="R1782" s="163"/>
      <c r="S1782" s="163"/>
    </row>
    <row r="1783">
      <c r="A1783" s="148"/>
      <c r="B1783" s="75"/>
      <c r="C1783" s="75"/>
      <c r="D1783" s="75"/>
      <c r="E1783" s="75"/>
      <c r="F1783" s="75"/>
      <c r="G1783" s="75"/>
      <c r="H1783" s="75"/>
      <c r="I1783" s="75"/>
      <c r="J1783" s="166"/>
      <c r="K1783" s="166"/>
      <c r="R1783" s="163"/>
      <c r="S1783" s="163"/>
    </row>
    <row r="1784">
      <c r="A1784" s="148"/>
      <c r="B1784" s="75"/>
      <c r="C1784" s="75"/>
      <c r="D1784" s="75"/>
      <c r="E1784" s="75"/>
      <c r="F1784" s="75"/>
      <c r="G1784" s="75"/>
      <c r="H1784" s="75"/>
      <c r="I1784" s="75"/>
      <c r="J1784" s="166"/>
      <c r="K1784" s="166"/>
      <c r="R1784" s="163"/>
      <c r="S1784" s="163"/>
    </row>
    <row r="1785">
      <c r="A1785" s="148"/>
      <c r="B1785" s="75"/>
      <c r="C1785" s="75"/>
      <c r="D1785" s="75"/>
      <c r="E1785" s="75"/>
      <c r="F1785" s="75"/>
      <c r="G1785" s="75"/>
      <c r="H1785" s="75"/>
      <c r="I1785" s="75"/>
      <c r="J1785" s="166"/>
      <c r="K1785" s="166"/>
      <c r="R1785" s="173"/>
      <c r="S1785" s="173"/>
    </row>
    <row r="1786">
      <c r="A1786" s="148"/>
      <c r="B1786" s="75"/>
      <c r="C1786" s="75"/>
      <c r="D1786" s="75"/>
      <c r="E1786" s="75"/>
      <c r="F1786" s="75"/>
      <c r="G1786" s="75"/>
      <c r="H1786" s="75"/>
      <c r="I1786" s="75"/>
      <c r="J1786" s="166"/>
      <c r="K1786" s="166"/>
      <c r="R1786" s="157"/>
      <c r="S1786" s="157"/>
    </row>
    <row r="1787">
      <c r="A1787" s="148"/>
      <c r="B1787" s="75"/>
      <c r="C1787" s="75"/>
      <c r="D1787" s="75"/>
      <c r="E1787" s="75"/>
      <c r="F1787" s="75"/>
      <c r="G1787" s="75"/>
      <c r="H1787" s="75"/>
      <c r="I1787" s="75"/>
      <c r="J1787" s="166"/>
      <c r="K1787" s="166"/>
      <c r="R1787" s="163"/>
      <c r="S1787" s="163"/>
    </row>
    <row r="1788">
      <c r="A1788" s="148"/>
      <c r="B1788" s="75"/>
      <c r="C1788" s="75"/>
      <c r="D1788" s="75"/>
      <c r="E1788" s="75"/>
      <c r="F1788" s="75"/>
      <c r="G1788" s="75"/>
      <c r="H1788" s="75"/>
      <c r="I1788" s="75"/>
      <c r="J1788" s="166"/>
      <c r="K1788" s="166"/>
      <c r="R1788" s="163"/>
      <c r="S1788" s="163"/>
    </row>
    <row r="1789">
      <c r="A1789" s="148"/>
      <c r="B1789" s="75"/>
      <c r="C1789" s="75"/>
      <c r="D1789" s="75"/>
      <c r="E1789" s="75"/>
      <c r="F1789" s="75"/>
      <c r="G1789" s="75"/>
      <c r="H1789" s="75"/>
      <c r="I1789" s="75"/>
      <c r="J1789" s="166"/>
      <c r="K1789" s="166"/>
      <c r="R1789" s="163"/>
      <c r="S1789" s="163"/>
    </row>
    <row r="1790">
      <c r="A1790" s="148"/>
      <c r="B1790" s="75"/>
      <c r="C1790" s="75"/>
      <c r="D1790" s="75"/>
      <c r="E1790" s="75"/>
      <c r="F1790" s="75"/>
      <c r="G1790" s="75"/>
      <c r="H1790" s="75"/>
      <c r="I1790" s="75"/>
      <c r="J1790" s="166"/>
      <c r="K1790" s="166"/>
      <c r="R1790" s="163"/>
      <c r="S1790" s="163"/>
    </row>
    <row r="1791">
      <c r="A1791" s="148"/>
      <c r="B1791" s="75"/>
      <c r="C1791" s="75"/>
      <c r="D1791" s="75"/>
      <c r="E1791" s="75"/>
      <c r="F1791" s="75"/>
      <c r="G1791" s="75"/>
      <c r="H1791" s="75"/>
      <c r="I1791" s="75"/>
      <c r="J1791" s="166"/>
      <c r="K1791" s="166"/>
      <c r="R1791" s="163"/>
      <c r="S1791" s="163"/>
    </row>
    <row r="1792">
      <c r="A1792" s="148"/>
      <c r="B1792" s="75"/>
      <c r="C1792" s="75"/>
      <c r="D1792" s="75"/>
      <c r="E1792" s="75"/>
      <c r="F1792" s="75"/>
      <c r="G1792" s="75"/>
      <c r="H1792" s="75"/>
      <c r="I1792" s="75"/>
      <c r="J1792" s="166"/>
      <c r="K1792" s="166"/>
      <c r="R1792" s="163"/>
      <c r="S1792" s="163"/>
    </row>
    <row r="1793">
      <c r="A1793" s="148"/>
      <c r="B1793" s="75"/>
      <c r="C1793" s="75"/>
      <c r="D1793" s="75"/>
      <c r="E1793" s="75"/>
      <c r="F1793" s="75"/>
      <c r="G1793" s="75"/>
      <c r="H1793" s="75"/>
      <c r="I1793" s="75"/>
      <c r="J1793" s="166"/>
      <c r="K1793" s="166"/>
      <c r="R1793" s="163"/>
      <c r="S1793" s="163"/>
    </row>
    <row r="1794">
      <c r="A1794" s="148"/>
      <c r="B1794" s="75"/>
      <c r="C1794" s="75"/>
      <c r="D1794" s="75"/>
      <c r="E1794" s="75"/>
      <c r="F1794" s="75"/>
      <c r="G1794" s="75"/>
      <c r="H1794" s="75"/>
      <c r="I1794" s="75"/>
      <c r="J1794" s="166"/>
      <c r="K1794" s="166"/>
      <c r="R1794" s="163"/>
      <c r="S1794" s="163"/>
    </row>
    <row r="1795">
      <c r="A1795" s="148"/>
      <c r="B1795" s="75"/>
      <c r="C1795" s="75"/>
      <c r="D1795" s="75"/>
      <c r="E1795" s="75"/>
      <c r="F1795" s="75"/>
      <c r="G1795" s="75"/>
      <c r="H1795" s="75"/>
      <c r="I1795" s="75"/>
      <c r="J1795" s="166"/>
      <c r="K1795" s="166"/>
      <c r="R1795" s="163"/>
      <c r="S1795" s="163"/>
    </row>
    <row r="1796">
      <c r="A1796" s="148"/>
      <c r="B1796" s="75"/>
      <c r="C1796" s="75"/>
      <c r="D1796" s="75"/>
      <c r="E1796" s="75"/>
      <c r="F1796" s="75"/>
      <c r="G1796" s="75"/>
      <c r="H1796" s="75"/>
      <c r="I1796" s="75"/>
      <c r="J1796" s="166"/>
      <c r="K1796" s="166"/>
      <c r="R1796" s="163"/>
      <c r="S1796" s="163"/>
    </row>
    <row r="1797">
      <c r="A1797" s="148"/>
      <c r="B1797" s="75"/>
      <c r="C1797" s="75"/>
      <c r="D1797" s="75"/>
      <c r="E1797" s="75"/>
      <c r="F1797" s="75"/>
      <c r="G1797" s="75"/>
      <c r="H1797" s="75"/>
      <c r="I1797" s="75"/>
      <c r="J1797" s="166"/>
      <c r="K1797" s="166"/>
      <c r="R1797" s="173"/>
      <c r="S1797" s="173"/>
    </row>
    <row r="1798">
      <c r="A1798" s="148"/>
      <c r="B1798" s="75"/>
      <c r="C1798" s="75"/>
      <c r="D1798" s="75"/>
      <c r="E1798" s="75"/>
      <c r="F1798" s="75"/>
      <c r="G1798" s="75"/>
      <c r="H1798" s="75"/>
      <c r="I1798" s="75"/>
      <c r="J1798" s="166"/>
      <c r="K1798" s="166"/>
      <c r="R1798" s="157"/>
      <c r="S1798" s="157"/>
    </row>
    <row r="1799">
      <c r="A1799" s="148"/>
      <c r="B1799" s="75"/>
      <c r="C1799" s="75"/>
      <c r="D1799" s="75"/>
      <c r="E1799" s="75"/>
      <c r="F1799" s="75"/>
      <c r="G1799" s="75"/>
      <c r="H1799" s="75"/>
      <c r="I1799" s="75"/>
      <c r="J1799" s="166"/>
      <c r="K1799" s="166"/>
      <c r="R1799" s="163"/>
      <c r="S1799" s="163"/>
    </row>
    <row r="1800">
      <c r="A1800" s="148"/>
      <c r="B1800" s="75"/>
      <c r="C1800" s="75"/>
      <c r="D1800" s="75"/>
      <c r="E1800" s="75"/>
      <c r="F1800" s="75"/>
      <c r="G1800" s="75"/>
      <c r="H1800" s="75"/>
      <c r="I1800" s="75"/>
      <c r="J1800" s="166"/>
      <c r="K1800" s="166"/>
      <c r="R1800" s="163"/>
      <c r="S1800" s="163"/>
    </row>
    <row r="1801">
      <c r="A1801" s="148"/>
      <c r="B1801" s="75"/>
      <c r="C1801" s="75"/>
      <c r="D1801" s="75"/>
      <c r="E1801" s="75"/>
      <c r="F1801" s="75"/>
      <c r="G1801" s="75"/>
      <c r="H1801" s="75"/>
      <c r="I1801" s="75"/>
      <c r="J1801" s="166"/>
      <c r="K1801" s="166"/>
      <c r="R1801" s="163"/>
      <c r="S1801" s="163"/>
    </row>
    <row r="1802">
      <c r="A1802" s="148"/>
      <c r="B1802" s="75"/>
      <c r="C1802" s="75"/>
      <c r="D1802" s="75"/>
      <c r="E1802" s="75"/>
      <c r="F1802" s="75"/>
      <c r="G1802" s="75"/>
      <c r="H1802" s="75"/>
      <c r="I1802" s="75"/>
      <c r="J1802" s="166"/>
      <c r="K1802" s="166"/>
      <c r="R1802" s="163"/>
      <c r="S1802" s="163"/>
    </row>
    <row r="1803">
      <c r="A1803" s="148"/>
      <c r="B1803" s="75"/>
      <c r="C1803" s="75"/>
      <c r="D1803" s="75"/>
      <c r="E1803" s="75"/>
      <c r="F1803" s="75"/>
      <c r="G1803" s="75"/>
      <c r="H1803" s="75"/>
      <c r="I1803" s="75"/>
      <c r="J1803" s="166"/>
      <c r="K1803" s="166"/>
      <c r="R1803" s="163"/>
      <c r="S1803" s="163"/>
    </row>
    <row r="1804">
      <c r="A1804" s="148"/>
      <c r="B1804" s="75"/>
      <c r="C1804" s="75"/>
      <c r="D1804" s="75"/>
      <c r="E1804" s="75"/>
      <c r="F1804" s="75"/>
      <c r="G1804" s="75"/>
      <c r="H1804" s="75"/>
      <c r="I1804" s="75"/>
      <c r="J1804" s="166"/>
      <c r="K1804" s="166"/>
      <c r="R1804" s="163"/>
      <c r="S1804" s="163"/>
    </row>
    <row r="1805">
      <c r="A1805" s="148"/>
      <c r="B1805" s="75"/>
      <c r="C1805" s="75"/>
      <c r="D1805" s="75"/>
      <c r="E1805" s="75"/>
      <c r="F1805" s="75"/>
      <c r="G1805" s="75"/>
      <c r="H1805" s="75"/>
      <c r="I1805" s="75"/>
      <c r="J1805" s="166"/>
      <c r="K1805" s="166"/>
      <c r="R1805" s="163"/>
      <c r="S1805" s="163"/>
    </row>
    <row r="1806">
      <c r="A1806" s="148"/>
      <c r="B1806" s="75"/>
      <c r="C1806" s="75"/>
      <c r="D1806" s="75"/>
      <c r="E1806" s="75"/>
      <c r="F1806" s="75"/>
      <c r="G1806" s="75"/>
      <c r="H1806" s="75"/>
      <c r="I1806" s="75"/>
      <c r="J1806" s="166"/>
      <c r="K1806" s="166"/>
      <c r="R1806" s="163"/>
      <c r="S1806" s="163"/>
    </row>
    <row r="1807">
      <c r="A1807" s="148"/>
      <c r="B1807" s="75"/>
      <c r="C1807" s="75"/>
      <c r="D1807" s="75"/>
      <c r="E1807" s="75"/>
      <c r="F1807" s="75"/>
      <c r="G1807" s="75"/>
      <c r="H1807" s="75"/>
      <c r="I1807" s="75"/>
      <c r="J1807" s="166"/>
      <c r="K1807" s="166"/>
      <c r="R1807" s="163"/>
      <c r="S1807" s="163"/>
    </row>
    <row r="1808">
      <c r="A1808" s="148"/>
      <c r="B1808" s="75"/>
      <c r="C1808" s="75"/>
      <c r="D1808" s="75"/>
      <c r="E1808" s="75"/>
      <c r="F1808" s="75"/>
      <c r="G1808" s="75"/>
      <c r="H1808" s="75"/>
      <c r="I1808" s="75"/>
      <c r="J1808" s="166"/>
      <c r="K1808" s="166"/>
      <c r="R1808" s="163"/>
      <c r="S1808" s="163"/>
    </row>
    <row r="1809">
      <c r="A1809" s="148"/>
      <c r="B1809" s="75"/>
      <c r="C1809" s="75"/>
      <c r="D1809" s="75"/>
      <c r="E1809" s="75"/>
      <c r="F1809" s="75"/>
      <c r="G1809" s="75"/>
      <c r="H1809" s="75"/>
      <c r="I1809" s="75"/>
      <c r="J1809" s="166"/>
      <c r="K1809" s="166"/>
      <c r="R1809" s="173"/>
      <c r="S1809" s="173"/>
    </row>
    <row r="1810">
      <c r="A1810" s="148"/>
      <c r="B1810" s="75"/>
      <c r="C1810" s="75"/>
      <c r="D1810" s="75"/>
      <c r="E1810" s="75"/>
      <c r="F1810" s="75"/>
      <c r="G1810" s="75"/>
      <c r="H1810" s="75"/>
      <c r="I1810" s="75"/>
      <c r="J1810" s="166"/>
      <c r="K1810" s="166"/>
      <c r="R1810" s="157"/>
      <c r="S1810" s="157"/>
    </row>
    <row r="1811">
      <c r="A1811" s="148"/>
      <c r="B1811" s="75"/>
      <c r="C1811" s="75"/>
      <c r="D1811" s="75"/>
      <c r="E1811" s="75"/>
      <c r="F1811" s="75"/>
      <c r="G1811" s="75"/>
      <c r="H1811" s="75"/>
      <c r="I1811" s="75"/>
      <c r="J1811" s="166"/>
      <c r="K1811" s="166"/>
      <c r="R1811" s="163"/>
      <c r="S1811" s="163"/>
    </row>
    <row r="1812">
      <c r="A1812" s="148"/>
      <c r="B1812" s="75"/>
      <c r="C1812" s="75"/>
      <c r="D1812" s="75"/>
      <c r="E1812" s="75"/>
      <c r="F1812" s="75"/>
      <c r="G1812" s="75"/>
      <c r="H1812" s="75"/>
      <c r="I1812" s="75"/>
      <c r="J1812" s="166"/>
      <c r="K1812" s="166"/>
      <c r="R1812" s="163"/>
      <c r="S1812" s="163"/>
    </row>
    <row r="1813">
      <c r="A1813" s="148"/>
      <c r="B1813" s="75"/>
      <c r="C1813" s="75"/>
      <c r="D1813" s="75"/>
      <c r="E1813" s="75"/>
      <c r="F1813" s="75"/>
      <c r="G1813" s="75"/>
      <c r="H1813" s="75"/>
      <c r="I1813" s="75"/>
      <c r="J1813" s="166"/>
      <c r="K1813" s="166"/>
      <c r="R1813" s="163"/>
      <c r="S1813" s="163"/>
    </row>
    <row r="1814">
      <c r="A1814" s="148"/>
      <c r="B1814" s="75"/>
      <c r="C1814" s="75"/>
      <c r="D1814" s="75"/>
      <c r="E1814" s="75"/>
      <c r="F1814" s="75"/>
      <c r="G1814" s="75"/>
      <c r="H1814" s="75"/>
      <c r="I1814" s="75"/>
      <c r="J1814" s="166"/>
      <c r="K1814" s="166"/>
      <c r="R1814" s="163"/>
      <c r="S1814" s="163"/>
    </row>
    <row r="1815">
      <c r="A1815" s="148"/>
      <c r="B1815" s="75"/>
      <c r="C1815" s="75"/>
      <c r="D1815" s="75"/>
      <c r="E1815" s="75"/>
      <c r="F1815" s="75"/>
      <c r="G1815" s="75"/>
      <c r="H1815" s="75"/>
      <c r="I1815" s="75"/>
      <c r="J1815" s="166"/>
      <c r="K1815" s="166"/>
      <c r="R1815" s="163"/>
      <c r="S1815" s="163"/>
    </row>
    <row r="1816">
      <c r="A1816" s="148"/>
      <c r="B1816" s="75"/>
      <c r="C1816" s="75"/>
      <c r="D1816" s="75"/>
      <c r="E1816" s="75"/>
      <c r="F1816" s="75"/>
      <c r="G1816" s="75"/>
      <c r="H1816" s="75"/>
      <c r="I1816" s="75"/>
      <c r="J1816" s="166"/>
      <c r="K1816" s="166"/>
      <c r="R1816" s="163"/>
      <c r="S1816" s="163"/>
    </row>
    <row r="1817">
      <c r="A1817" s="148"/>
      <c r="B1817" s="75"/>
      <c r="C1817" s="75"/>
      <c r="D1817" s="75"/>
      <c r="E1817" s="75"/>
      <c r="F1817" s="75"/>
      <c r="G1817" s="75"/>
      <c r="H1817" s="75"/>
      <c r="I1817" s="75"/>
      <c r="J1817" s="166"/>
      <c r="K1817" s="166"/>
      <c r="R1817" s="163"/>
      <c r="S1817" s="163"/>
    </row>
    <row r="1818">
      <c r="A1818" s="148"/>
      <c r="B1818" s="75"/>
      <c r="C1818" s="75"/>
      <c r="D1818" s="75"/>
      <c r="E1818" s="75"/>
      <c r="F1818" s="75"/>
      <c r="G1818" s="75"/>
      <c r="H1818" s="75"/>
      <c r="I1818" s="75"/>
      <c r="J1818" s="166"/>
      <c r="K1818" s="166"/>
      <c r="R1818" s="163"/>
      <c r="S1818" s="163"/>
    </row>
    <row r="1819">
      <c r="A1819" s="148"/>
      <c r="B1819" s="75"/>
      <c r="C1819" s="75"/>
      <c r="D1819" s="75"/>
      <c r="E1819" s="75"/>
      <c r="F1819" s="75"/>
      <c r="G1819" s="75"/>
      <c r="H1819" s="75"/>
      <c r="I1819" s="75"/>
      <c r="J1819" s="166"/>
      <c r="K1819" s="166"/>
      <c r="R1819" s="163"/>
      <c r="S1819" s="163"/>
    </row>
    <row r="1820">
      <c r="A1820" s="148"/>
      <c r="B1820" s="75"/>
      <c r="C1820" s="75"/>
      <c r="D1820" s="75"/>
      <c r="E1820" s="75"/>
      <c r="F1820" s="75"/>
      <c r="G1820" s="75"/>
      <c r="H1820" s="75"/>
      <c r="I1820" s="75"/>
      <c r="J1820" s="166"/>
      <c r="K1820" s="166"/>
      <c r="R1820" s="163"/>
      <c r="S1820" s="163"/>
    </row>
    <row r="1821">
      <c r="A1821" s="148"/>
      <c r="B1821" s="75"/>
      <c r="C1821" s="75"/>
      <c r="D1821" s="75"/>
      <c r="E1821" s="75"/>
      <c r="F1821" s="75"/>
      <c r="G1821" s="75"/>
      <c r="H1821" s="75"/>
      <c r="I1821" s="75"/>
      <c r="J1821" s="166"/>
      <c r="K1821" s="166"/>
      <c r="R1821" s="173"/>
      <c r="S1821" s="173"/>
    </row>
    <row r="1822">
      <c r="A1822" s="148"/>
      <c r="B1822" s="75"/>
      <c r="C1822" s="75"/>
      <c r="D1822" s="75"/>
      <c r="E1822" s="75"/>
      <c r="F1822" s="75"/>
      <c r="G1822" s="75"/>
      <c r="H1822" s="75"/>
      <c r="I1822" s="75"/>
      <c r="J1822" s="166"/>
      <c r="K1822" s="166"/>
      <c r="R1822" s="157"/>
      <c r="S1822" s="157"/>
    </row>
    <row r="1823">
      <c r="A1823" s="148"/>
      <c r="B1823" s="75"/>
      <c r="C1823" s="75"/>
      <c r="D1823" s="75"/>
      <c r="E1823" s="75"/>
      <c r="F1823" s="75"/>
      <c r="G1823" s="75"/>
      <c r="H1823" s="75"/>
      <c r="I1823" s="75"/>
      <c r="J1823" s="166"/>
      <c r="K1823" s="166"/>
      <c r="R1823" s="163"/>
      <c r="S1823" s="163"/>
    </row>
    <row r="1824">
      <c r="A1824" s="148"/>
      <c r="B1824" s="75"/>
      <c r="C1824" s="75"/>
      <c r="D1824" s="75"/>
      <c r="E1824" s="75"/>
      <c r="F1824" s="75"/>
      <c r="G1824" s="75"/>
      <c r="H1824" s="75"/>
      <c r="I1824" s="75"/>
      <c r="J1824" s="166"/>
      <c r="K1824" s="166"/>
      <c r="R1824" s="163"/>
      <c r="S1824" s="163"/>
    </row>
    <row r="1825">
      <c r="A1825" s="148"/>
      <c r="B1825" s="75"/>
      <c r="C1825" s="75"/>
      <c r="D1825" s="75"/>
      <c r="E1825" s="75"/>
      <c r="F1825" s="75"/>
      <c r="G1825" s="75"/>
      <c r="H1825" s="75"/>
      <c r="I1825" s="75"/>
      <c r="J1825" s="166"/>
      <c r="K1825" s="166"/>
      <c r="R1825" s="163"/>
      <c r="S1825" s="163"/>
    </row>
    <row r="1826">
      <c r="A1826" s="148"/>
      <c r="B1826" s="75"/>
      <c r="C1826" s="75"/>
      <c r="D1826" s="75"/>
      <c r="E1826" s="75"/>
      <c r="F1826" s="75"/>
      <c r="G1826" s="75"/>
      <c r="H1826" s="75"/>
      <c r="I1826" s="75"/>
      <c r="J1826" s="166"/>
      <c r="K1826" s="166"/>
      <c r="R1826" s="163"/>
      <c r="S1826" s="163"/>
    </row>
    <row r="1827">
      <c r="A1827" s="148"/>
      <c r="B1827" s="75"/>
      <c r="C1827" s="75"/>
      <c r="D1827" s="75"/>
      <c r="E1827" s="75"/>
      <c r="F1827" s="75"/>
      <c r="G1827" s="75"/>
      <c r="H1827" s="75"/>
      <c r="I1827" s="75"/>
      <c r="J1827" s="166"/>
      <c r="K1827" s="166"/>
      <c r="R1827" s="163"/>
      <c r="S1827" s="163"/>
    </row>
    <row r="1828">
      <c r="A1828" s="148"/>
      <c r="B1828" s="75"/>
      <c r="C1828" s="75"/>
      <c r="D1828" s="75"/>
      <c r="E1828" s="75"/>
      <c r="F1828" s="75"/>
      <c r="G1828" s="75"/>
      <c r="H1828" s="75"/>
      <c r="I1828" s="75"/>
      <c r="J1828" s="166"/>
      <c r="K1828" s="166"/>
      <c r="R1828" s="163"/>
      <c r="S1828" s="163"/>
    </row>
    <row r="1829">
      <c r="A1829" s="148"/>
      <c r="B1829" s="75"/>
      <c r="C1829" s="75"/>
      <c r="D1829" s="75"/>
      <c r="E1829" s="75"/>
      <c r="F1829" s="75"/>
      <c r="G1829" s="75"/>
      <c r="H1829" s="75"/>
      <c r="I1829" s="75"/>
      <c r="J1829" s="166"/>
      <c r="K1829" s="166"/>
      <c r="R1829" s="163"/>
      <c r="S1829" s="163"/>
    </row>
    <row r="1830">
      <c r="A1830" s="148"/>
      <c r="B1830" s="75"/>
      <c r="C1830" s="75"/>
      <c r="D1830" s="75"/>
      <c r="E1830" s="75"/>
      <c r="F1830" s="75"/>
      <c r="G1830" s="75"/>
      <c r="H1830" s="75"/>
      <c r="I1830" s="75"/>
      <c r="J1830" s="166"/>
      <c r="K1830" s="166"/>
      <c r="R1830" s="163"/>
      <c r="S1830" s="163"/>
    </row>
    <row r="1831">
      <c r="A1831" s="148"/>
      <c r="B1831" s="75"/>
      <c r="C1831" s="75"/>
      <c r="D1831" s="75"/>
      <c r="E1831" s="75"/>
      <c r="F1831" s="75"/>
      <c r="G1831" s="75"/>
      <c r="H1831" s="75"/>
      <c r="I1831" s="75"/>
      <c r="J1831" s="166"/>
      <c r="K1831" s="166"/>
      <c r="R1831" s="163"/>
      <c r="S1831" s="163"/>
    </row>
    <row r="1832">
      <c r="A1832" s="148"/>
      <c r="B1832" s="75"/>
      <c r="C1832" s="75"/>
      <c r="D1832" s="75"/>
      <c r="E1832" s="75"/>
      <c r="F1832" s="75"/>
      <c r="G1832" s="75"/>
      <c r="H1832" s="75"/>
      <c r="I1832" s="75"/>
      <c r="J1832" s="166"/>
      <c r="K1832" s="166"/>
      <c r="R1832" s="163"/>
      <c r="S1832" s="163"/>
    </row>
    <row r="1833">
      <c r="A1833" s="148"/>
      <c r="B1833" s="75"/>
      <c r="C1833" s="75"/>
      <c r="D1833" s="75"/>
      <c r="E1833" s="75"/>
      <c r="F1833" s="75"/>
      <c r="G1833" s="75"/>
      <c r="H1833" s="75"/>
      <c r="I1833" s="75"/>
      <c r="J1833" s="166"/>
      <c r="K1833" s="166"/>
      <c r="R1833" s="173"/>
      <c r="S1833" s="173"/>
    </row>
    <row r="1834">
      <c r="A1834" s="148"/>
      <c r="B1834" s="75"/>
      <c r="C1834" s="75"/>
      <c r="D1834" s="75"/>
      <c r="E1834" s="75"/>
      <c r="F1834" s="75"/>
      <c r="G1834" s="75"/>
      <c r="H1834" s="75"/>
      <c r="I1834" s="75"/>
      <c r="J1834" s="166"/>
      <c r="K1834" s="166"/>
      <c r="R1834" s="157"/>
      <c r="S1834" s="157"/>
    </row>
    <row r="1835">
      <c r="A1835" s="148"/>
      <c r="B1835" s="75"/>
      <c r="C1835" s="75"/>
      <c r="D1835" s="75"/>
      <c r="E1835" s="75"/>
      <c r="F1835" s="75"/>
      <c r="G1835" s="75"/>
      <c r="H1835" s="75"/>
      <c r="I1835" s="75"/>
      <c r="J1835" s="166"/>
      <c r="K1835" s="166"/>
      <c r="R1835" s="163"/>
      <c r="S1835" s="163"/>
    </row>
    <row r="1836">
      <c r="A1836" s="148"/>
      <c r="B1836" s="75"/>
      <c r="C1836" s="75"/>
      <c r="D1836" s="75"/>
      <c r="E1836" s="75"/>
      <c r="F1836" s="75"/>
      <c r="G1836" s="75"/>
      <c r="H1836" s="75"/>
      <c r="I1836" s="75"/>
      <c r="J1836" s="166"/>
      <c r="K1836" s="166"/>
      <c r="R1836" s="163"/>
      <c r="S1836" s="163"/>
    </row>
    <row r="1837">
      <c r="A1837" s="148"/>
      <c r="B1837" s="75"/>
      <c r="C1837" s="75"/>
      <c r="D1837" s="75"/>
      <c r="E1837" s="75"/>
      <c r="F1837" s="75"/>
      <c r="G1837" s="75"/>
      <c r="H1837" s="75"/>
      <c r="I1837" s="75"/>
      <c r="J1837" s="166"/>
      <c r="K1837" s="166"/>
      <c r="R1837" s="163"/>
      <c r="S1837" s="163"/>
    </row>
    <row r="1838">
      <c r="A1838" s="148"/>
      <c r="B1838" s="75"/>
      <c r="C1838" s="75"/>
      <c r="D1838" s="75"/>
      <c r="E1838" s="75"/>
      <c r="F1838" s="75"/>
      <c r="G1838" s="75"/>
      <c r="H1838" s="75"/>
      <c r="I1838" s="75"/>
      <c r="J1838" s="166"/>
      <c r="K1838" s="166"/>
      <c r="R1838" s="163"/>
      <c r="S1838" s="163"/>
    </row>
    <row r="1839">
      <c r="A1839" s="148"/>
      <c r="B1839" s="75"/>
      <c r="C1839" s="75"/>
      <c r="D1839" s="75"/>
      <c r="E1839" s="75"/>
      <c r="F1839" s="75"/>
      <c r="G1839" s="75"/>
      <c r="H1839" s="75"/>
      <c r="I1839" s="75"/>
      <c r="J1839" s="166"/>
      <c r="K1839" s="166"/>
      <c r="R1839" s="163"/>
      <c r="S1839" s="163"/>
    </row>
    <row r="1840">
      <c r="A1840" s="148"/>
      <c r="B1840" s="75"/>
      <c r="C1840" s="75"/>
      <c r="D1840" s="75"/>
      <c r="E1840" s="75"/>
      <c r="F1840" s="75"/>
      <c r="G1840" s="75"/>
      <c r="H1840" s="75"/>
      <c r="I1840" s="75"/>
      <c r="J1840" s="166"/>
      <c r="K1840" s="166"/>
      <c r="R1840" s="163"/>
      <c r="S1840" s="163"/>
    </row>
    <row r="1841">
      <c r="A1841" s="148"/>
      <c r="B1841" s="75"/>
      <c r="C1841" s="75"/>
      <c r="D1841" s="75"/>
      <c r="E1841" s="75"/>
      <c r="F1841" s="75"/>
      <c r="G1841" s="75"/>
      <c r="H1841" s="75"/>
      <c r="I1841" s="75"/>
      <c r="J1841" s="166"/>
      <c r="K1841" s="166"/>
      <c r="R1841" s="163"/>
      <c r="S1841" s="163"/>
    </row>
    <row r="1842">
      <c r="A1842" s="148"/>
      <c r="B1842" s="75"/>
      <c r="C1842" s="75"/>
      <c r="D1842" s="75"/>
      <c r="E1842" s="75"/>
      <c r="F1842" s="75"/>
      <c r="G1842" s="75"/>
      <c r="H1842" s="75"/>
      <c r="I1842" s="75"/>
      <c r="J1842" s="166"/>
      <c r="K1842" s="166"/>
      <c r="R1842" s="163"/>
      <c r="S1842" s="163"/>
    </row>
    <row r="1843">
      <c r="A1843" s="148"/>
      <c r="B1843" s="75"/>
      <c r="C1843" s="75"/>
      <c r="D1843" s="75"/>
      <c r="E1843" s="75"/>
      <c r="F1843" s="75"/>
      <c r="G1843" s="75"/>
      <c r="H1843" s="75"/>
      <c r="I1843" s="75"/>
      <c r="J1843" s="166"/>
      <c r="K1843" s="166"/>
      <c r="R1843" s="163"/>
      <c r="S1843" s="163"/>
    </row>
    <row r="1844">
      <c r="A1844" s="148"/>
      <c r="B1844" s="75"/>
      <c r="C1844" s="75"/>
      <c r="D1844" s="75"/>
      <c r="E1844" s="75"/>
      <c r="F1844" s="75"/>
      <c r="G1844" s="75"/>
      <c r="H1844" s="75"/>
      <c r="I1844" s="75"/>
      <c r="J1844" s="166"/>
      <c r="K1844" s="166"/>
      <c r="R1844" s="163"/>
      <c r="S1844" s="163"/>
    </row>
    <row r="1845">
      <c r="A1845" s="148"/>
      <c r="B1845" s="75"/>
      <c r="C1845" s="75"/>
      <c r="D1845" s="75"/>
      <c r="E1845" s="75"/>
      <c r="F1845" s="75"/>
      <c r="G1845" s="75"/>
      <c r="H1845" s="75"/>
      <c r="I1845" s="75"/>
      <c r="J1845" s="166"/>
      <c r="K1845" s="166"/>
      <c r="R1845" s="173"/>
      <c r="S1845" s="173"/>
    </row>
    <row r="1846">
      <c r="A1846" s="148"/>
      <c r="B1846" s="75"/>
      <c r="C1846" s="75"/>
      <c r="D1846" s="75"/>
      <c r="E1846" s="75"/>
      <c r="F1846" s="75"/>
      <c r="G1846" s="75"/>
      <c r="H1846" s="75"/>
      <c r="I1846" s="75"/>
      <c r="J1846" s="166"/>
      <c r="K1846" s="166"/>
      <c r="R1846" s="157"/>
      <c r="S1846" s="157"/>
    </row>
    <row r="1847">
      <c r="A1847" s="148"/>
      <c r="B1847" s="75"/>
      <c r="C1847" s="75"/>
      <c r="D1847" s="75"/>
      <c r="E1847" s="75"/>
      <c r="F1847" s="75"/>
      <c r="G1847" s="75"/>
      <c r="H1847" s="75"/>
      <c r="I1847" s="75"/>
      <c r="J1847" s="166"/>
      <c r="K1847" s="166"/>
      <c r="R1847" s="163"/>
      <c r="S1847" s="163"/>
    </row>
    <row r="1848">
      <c r="A1848" s="148"/>
      <c r="B1848" s="75"/>
      <c r="C1848" s="75"/>
      <c r="D1848" s="75"/>
      <c r="E1848" s="75"/>
      <c r="F1848" s="75"/>
      <c r="G1848" s="75"/>
      <c r="H1848" s="75"/>
      <c r="I1848" s="75"/>
      <c r="J1848" s="166"/>
      <c r="K1848" s="166"/>
      <c r="R1848" s="163"/>
      <c r="S1848" s="163"/>
    </row>
    <row r="1849">
      <c r="A1849" s="148"/>
      <c r="B1849" s="75"/>
      <c r="C1849" s="75"/>
      <c r="D1849" s="75"/>
      <c r="E1849" s="75"/>
      <c r="F1849" s="75"/>
      <c r="G1849" s="75"/>
      <c r="H1849" s="75"/>
      <c r="I1849" s="75"/>
      <c r="J1849" s="166"/>
      <c r="K1849" s="166"/>
      <c r="R1849" s="163"/>
      <c r="S1849" s="163"/>
    </row>
    <row r="1850">
      <c r="A1850" s="148"/>
      <c r="B1850" s="75"/>
      <c r="C1850" s="75"/>
      <c r="D1850" s="75"/>
      <c r="E1850" s="75"/>
      <c r="F1850" s="75"/>
      <c r="G1850" s="75"/>
      <c r="H1850" s="75"/>
      <c r="I1850" s="75"/>
      <c r="J1850" s="166"/>
      <c r="K1850" s="166"/>
      <c r="R1850" s="163"/>
      <c r="S1850" s="163"/>
    </row>
    <row r="1851">
      <c r="A1851" s="148"/>
      <c r="B1851" s="75"/>
      <c r="C1851" s="75"/>
      <c r="D1851" s="75"/>
      <c r="E1851" s="75"/>
      <c r="F1851" s="75"/>
      <c r="G1851" s="75"/>
      <c r="H1851" s="75"/>
      <c r="I1851" s="75"/>
      <c r="J1851" s="166"/>
      <c r="K1851" s="166"/>
      <c r="R1851" s="163"/>
      <c r="S1851" s="163"/>
    </row>
    <row r="1852">
      <c r="A1852" s="148"/>
      <c r="B1852" s="75"/>
      <c r="C1852" s="75"/>
      <c r="D1852" s="75"/>
      <c r="E1852" s="75"/>
      <c r="F1852" s="75"/>
      <c r="G1852" s="75"/>
      <c r="H1852" s="75"/>
      <c r="I1852" s="75"/>
      <c r="J1852" s="166"/>
      <c r="K1852" s="166"/>
      <c r="R1852" s="163"/>
      <c r="S1852" s="163"/>
    </row>
    <row r="1853">
      <c r="A1853" s="148"/>
      <c r="B1853" s="75"/>
      <c r="C1853" s="75"/>
      <c r="D1853" s="75"/>
      <c r="E1853" s="75"/>
      <c r="F1853" s="75"/>
      <c r="G1853" s="75"/>
      <c r="H1853" s="75"/>
      <c r="I1853" s="75"/>
      <c r="J1853" s="166"/>
      <c r="K1853" s="166"/>
      <c r="R1853" s="163"/>
      <c r="S1853" s="163"/>
    </row>
    <row r="1854">
      <c r="A1854" s="148"/>
      <c r="B1854" s="75"/>
      <c r="C1854" s="75"/>
      <c r="D1854" s="75"/>
      <c r="E1854" s="75"/>
      <c r="F1854" s="75"/>
      <c r="G1854" s="75"/>
      <c r="H1854" s="75"/>
      <c r="I1854" s="75"/>
      <c r="J1854" s="166"/>
      <c r="K1854" s="166"/>
      <c r="R1854" s="163"/>
      <c r="S1854" s="163"/>
    </row>
    <row r="1855">
      <c r="A1855" s="148"/>
      <c r="B1855" s="75"/>
      <c r="C1855" s="75"/>
      <c r="D1855" s="75"/>
      <c r="E1855" s="75"/>
      <c r="F1855" s="75"/>
      <c r="G1855" s="75"/>
      <c r="H1855" s="75"/>
      <c r="I1855" s="75"/>
      <c r="J1855" s="166"/>
      <c r="K1855" s="166"/>
      <c r="R1855" s="163"/>
      <c r="S1855" s="163"/>
    </row>
    <row r="1856">
      <c r="A1856" s="148"/>
      <c r="B1856" s="75"/>
      <c r="C1856" s="75"/>
      <c r="D1856" s="75"/>
      <c r="E1856" s="75"/>
      <c r="F1856" s="75"/>
      <c r="G1856" s="75"/>
      <c r="H1856" s="75"/>
      <c r="I1856" s="75"/>
      <c r="J1856" s="166"/>
      <c r="K1856" s="166"/>
      <c r="R1856" s="163"/>
      <c r="S1856" s="163"/>
    </row>
    <row r="1857">
      <c r="A1857" s="148"/>
      <c r="B1857" s="75"/>
      <c r="C1857" s="75"/>
      <c r="D1857" s="75"/>
      <c r="E1857" s="75"/>
      <c r="F1857" s="75"/>
      <c r="G1857" s="75"/>
      <c r="H1857" s="75"/>
      <c r="I1857" s="75"/>
      <c r="J1857" s="166"/>
      <c r="K1857" s="166"/>
      <c r="R1857" s="173"/>
      <c r="S1857" s="173"/>
    </row>
    <row r="1858">
      <c r="A1858" s="148"/>
      <c r="B1858" s="75"/>
      <c r="C1858" s="75"/>
      <c r="D1858" s="75"/>
      <c r="E1858" s="75"/>
      <c r="F1858" s="75"/>
      <c r="G1858" s="75"/>
      <c r="H1858" s="75"/>
      <c r="I1858" s="75"/>
      <c r="J1858" s="166"/>
      <c r="K1858" s="166"/>
      <c r="R1858" s="157"/>
      <c r="S1858" s="157"/>
    </row>
    <row r="1859">
      <c r="A1859" s="148"/>
      <c r="B1859" s="75"/>
      <c r="C1859" s="75"/>
      <c r="D1859" s="75"/>
      <c r="E1859" s="75"/>
      <c r="F1859" s="75"/>
      <c r="G1859" s="75"/>
      <c r="H1859" s="75"/>
      <c r="I1859" s="75"/>
      <c r="J1859" s="166"/>
      <c r="K1859" s="166"/>
      <c r="R1859" s="163"/>
      <c r="S1859" s="163"/>
    </row>
    <row r="1860">
      <c r="A1860" s="148"/>
      <c r="B1860" s="75"/>
      <c r="C1860" s="75"/>
      <c r="D1860" s="75"/>
      <c r="E1860" s="75"/>
      <c r="F1860" s="75"/>
      <c r="G1860" s="75"/>
      <c r="H1860" s="75"/>
      <c r="I1860" s="75"/>
      <c r="J1860" s="166"/>
      <c r="K1860" s="166"/>
      <c r="R1860" s="163"/>
      <c r="S1860" s="163"/>
    </row>
    <row r="1861">
      <c r="A1861" s="148"/>
      <c r="B1861" s="75"/>
      <c r="C1861" s="75"/>
      <c r="D1861" s="75"/>
      <c r="E1861" s="75"/>
      <c r="F1861" s="75"/>
      <c r="G1861" s="75"/>
      <c r="H1861" s="75"/>
      <c r="I1861" s="75"/>
      <c r="J1861" s="166"/>
      <c r="K1861" s="166"/>
      <c r="R1861" s="163"/>
      <c r="S1861" s="163"/>
    </row>
    <row r="1862">
      <c r="A1862" s="148"/>
      <c r="B1862" s="75"/>
      <c r="C1862" s="75"/>
      <c r="D1862" s="75"/>
      <c r="E1862" s="75"/>
      <c r="F1862" s="75"/>
      <c r="G1862" s="75"/>
      <c r="H1862" s="75"/>
      <c r="I1862" s="75"/>
      <c r="J1862" s="166"/>
      <c r="K1862" s="166"/>
      <c r="R1862" s="163"/>
      <c r="S1862" s="163"/>
    </row>
    <row r="1863">
      <c r="A1863" s="148"/>
      <c r="B1863" s="75"/>
      <c r="C1863" s="75"/>
      <c r="D1863" s="75"/>
      <c r="E1863" s="75"/>
      <c r="F1863" s="75"/>
      <c r="G1863" s="75"/>
      <c r="H1863" s="75"/>
      <c r="I1863" s="75"/>
      <c r="J1863" s="166"/>
      <c r="K1863" s="166"/>
      <c r="R1863" s="163"/>
      <c r="S1863" s="163"/>
    </row>
    <row r="1864">
      <c r="A1864" s="148"/>
      <c r="B1864" s="75"/>
      <c r="C1864" s="75"/>
      <c r="D1864" s="75"/>
      <c r="E1864" s="75"/>
      <c r="F1864" s="75"/>
      <c r="G1864" s="75"/>
      <c r="H1864" s="75"/>
      <c r="I1864" s="75"/>
      <c r="J1864" s="166"/>
      <c r="K1864" s="166"/>
      <c r="R1864" s="163"/>
      <c r="S1864" s="163"/>
    </row>
    <row r="1865">
      <c r="A1865" s="148"/>
      <c r="B1865" s="75"/>
      <c r="C1865" s="75"/>
      <c r="D1865" s="75"/>
      <c r="E1865" s="75"/>
      <c r="F1865" s="75"/>
      <c r="G1865" s="75"/>
      <c r="H1865" s="75"/>
      <c r="I1865" s="75"/>
      <c r="J1865" s="166"/>
      <c r="K1865" s="166"/>
      <c r="R1865" s="163"/>
      <c r="S1865" s="163"/>
    </row>
    <row r="1866">
      <c r="A1866" s="148"/>
      <c r="B1866" s="75"/>
      <c r="C1866" s="75"/>
      <c r="D1866" s="75"/>
      <c r="E1866" s="75"/>
      <c r="F1866" s="75"/>
      <c r="G1866" s="75"/>
      <c r="H1866" s="75"/>
      <c r="I1866" s="75"/>
      <c r="J1866" s="166"/>
      <c r="K1866" s="166"/>
      <c r="R1866" s="163"/>
      <c r="S1866" s="163"/>
    </row>
    <row r="1867">
      <c r="A1867" s="148"/>
      <c r="B1867" s="75"/>
      <c r="C1867" s="75"/>
      <c r="D1867" s="75"/>
      <c r="E1867" s="75"/>
      <c r="F1867" s="75"/>
      <c r="G1867" s="75"/>
      <c r="H1867" s="75"/>
      <c r="I1867" s="75"/>
      <c r="J1867" s="166"/>
      <c r="K1867" s="166"/>
      <c r="R1867" s="163"/>
      <c r="S1867" s="163"/>
    </row>
    <row r="1868">
      <c r="A1868" s="148"/>
      <c r="B1868" s="75"/>
      <c r="C1868" s="75"/>
      <c r="D1868" s="75"/>
      <c r="E1868" s="75"/>
      <c r="F1868" s="75"/>
      <c r="G1868" s="75"/>
      <c r="H1868" s="75"/>
      <c r="I1868" s="75"/>
      <c r="J1868" s="166"/>
      <c r="K1868" s="166"/>
      <c r="R1868" s="163"/>
      <c r="S1868" s="163"/>
    </row>
    <row r="1869">
      <c r="A1869" s="148"/>
      <c r="B1869" s="75"/>
      <c r="C1869" s="75"/>
      <c r="D1869" s="75"/>
      <c r="E1869" s="75"/>
      <c r="F1869" s="75"/>
      <c r="G1869" s="75"/>
      <c r="H1869" s="75"/>
      <c r="I1869" s="75"/>
      <c r="J1869" s="166"/>
      <c r="K1869" s="166"/>
      <c r="R1869" s="173"/>
      <c r="S1869" s="173"/>
    </row>
    <row r="1870">
      <c r="A1870" s="148"/>
      <c r="B1870" s="75"/>
      <c r="C1870" s="75"/>
      <c r="D1870" s="75"/>
      <c r="E1870" s="75"/>
      <c r="F1870" s="75"/>
      <c r="G1870" s="75"/>
      <c r="H1870" s="75"/>
      <c r="I1870" s="75"/>
      <c r="J1870" s="166"/>
      <c r="K1870" s="166"/>
      <c r="R1870" s="157"/>
      <c r="S1870" s="157"/>
    </row>
    <row r="1871">
      <c r="A1871" s="148"/>
      <c r="B1871" s="75"/>
      <c r="C1871" s="75"/>
      <c r="D1871" s="75"/>
      <c r="E1871" s="75"/>
      <c r="F1871" s="75"/>
      <c r="G1871" s="75"/>
      <c r="H1871" s="75"/>
      <c r="I1871" s="75"/>
      <c r="J1871" s="166"/>
      <c r="K1871" s="166"/>
      <c r="R1871" s="163"/>
      <c r="S1871" s="163"/>
    </row>
    <row r="1872">
      <c r="A1872" s="148"/>
      <c r="B1872" s="75"/>
      <c r="C1872" s="75"/>
      <c r="D1872" s="75"/>
      <c r="E1872" s="75"/>
      <c r="F1872" s="75"/>
      <c r="G1872" s="75"/>
      <c r="H1872" s="75"/>
      <c r="I1872" s="75"/>
      <c r="J1872" s="166"/>
      <c r="K1872" s="166"/>
      <c r="R1872" s="163"/>
      <c r="S1872" s="163"/>
    </row>
    <row r="1873">
      <c r="A1873" s="148"/>
      <c r="B1873" s="75"/>
      <c r="C1873" s="75"/>
      <c r="D1873" s="75"/>
      <c r="E1873" s="75"/>
      <c r="F1873" s="75"/>
      <c r="G1873" s="75"/>
      <c r="H1873" s="75"/>
      <c r="I1873" s="75"/>
      <c r="J1873" s="166"/>
      <c r="K1873" s="166"/>
      <c r="R1873" s="163"/>
      <c r="S1873" s="163"/>
    </row>
    <row r="1874">
      <c r="A1874" s="148"/>
      <c r="B1874" s="75"/>
      <c r="C1874" s="75"/>
      <c r="D1874" s="75"/>
      <c r="E1874" s="75"/>
      <c r="F1874" s="75"/>
      <c r="G1874" s="75"/>
      <c r="H1874" s="75"/>
      <c r="I1874" s="75"/>
      <c r="J1874" s="166"/>
      <c r="K1874" s="166"/>
      <c r="R1874" s="163"/>
      <c r="S1874" s="163"/>
    </row>
    <row r="1875">
      <c r="A1875" s="148"/>
      <c r="B1875" s="75"/>
      <c r="C1875" s="75"/>
      <c r="D1875" s="75"/>
      <c r="E1875" s="75"/>
      <c r="F1875" s="75"/>
      <c r="G1875" s="75"/>
      <c r="H1875" s="75"/>
      <c r="I1875" s="75"/>
      <c r="J1875" s="166"/>
      <c r="K1875" s="166"/>
      <c r="R1875" s="163"/>
      <c r="S1875" s="163"/>
    </row>
    <row r="1876">
      <c r="A1876" s="148"/>
      <c r="B1876" s="75"/>
      <c r="C1876" s="75"/>
      <c r="D1876" s="75"/>
      <c r="E1876" s="75"/>
      <c r="F1876" s="75"/>
      <c r="G1876" s="75"/>
      <c r="H1876" s="75"/>
      <c r="I1876" s="75"/>
      <c r="J1876" s="166"/>
      <c r="K1876" s="166"/>
      <c r="R1876" s="163"/>
      <c r="S1876" s="163"/>
    </row>
    <row r="1877">
      <c r="A1877" s="148"/>
      <c r="B1877" s="75"/>
      <c r="C1877" s="75"/>
      <c r="D1877" s="75"/>
      <c r="E1877" s="75"/>
      <c r="F1877" s="75"/>
      <c r="G1877" s="75"/>
      <c r="H1877" s="75"/>
      <c r="I1877" s="75"/>
      <c r="J1877" s="166"/>
      <c r="K1877" s="166"/>
      <c r="R1877" s="163"/>
      <c r="S1877" s="163"/>
    </row>
    <row r="1878">
      <c r="A1878" s="148"/>
      <c r="B1878" s="75"/>
      <c r="C1878" s="75"/>
      <c r="D1878" s="75"/>
      <c r="E1878" s="75"/>
      <c r="F1878" s="75"/>
      <c r="G1878" s="75"/>
      <c r="H1878" s="75"/>
      <c r="I1878" s="75"/>
      <c r="J1878" s="166"/>
      <c r="K1878" s="166"/>
      <c r="R1878" s="163"/>
      <c r="S1878" s="163"/>
    </row>
    <row r="1879">
      <c r="A1879" s="148"/>
      <c r="B1879" s="75"/>
      <c r="C1879" s="75"/>
      <c r="D1879" s="75"/>
      <c r="E1879" s="75"/>
      <c r="F1879" s="75"/>
      <c r="G1879" s="75"/>
      <c r="H1879" s="75"/>
      <c r="I1879" s="75"/>
      <c r="J1879" s="166"/>
      <c r="K1879" s="166"/>
      <c r="R1879" s="163"/>
      <c r="S1879" s="163"/>
    </row>
    <row r="1880">
      <c r="A1880" s="148"/>
      <c r="B1880" s="75"/>
      <c r="C1880" s="75"/>
      <c r="D1880" s="75"/>
      <c r="E1880" s="75"/>
      <c r="F1880" s="75"/>
      <c r="G1880" s="75"/>
      <c r="H1880" s="75"/>
      <c r="I1880" s="75"/>
      <c r="J1880" s="166"/>
      <c r="K1880" s="166"/>
      <c r="R1880" s="163"/>
      <c r="S1880" s="163"/>
    </row>
    <row r="1881">
      <c r="A1881" s="148"/>
      <c r="B1881" s="75"/>
      <c r="C1881" s="75"/>
      <c r="D1881" s="75"/>
      <c r="E1881" s="75"/>
      <c r="F1881" s="75"/>
      <c r="G1881" s="75"/>
      <c r="H1881" s="75"/>
      <c r="I1881" s="75"/>
      <c r="J1881" s="166"/>
      <c r="K1881" s="166"/>
      <c r="R1881" s="173"/>
      <c r="S1881" s="173"/>
    </row>
    <row r="1882">
      <c r="A1882" s="148"/>
      <c r="B1882" s="75"/>
      <c r="C1882" s="75"/>
      <c r="D1882" s="75"/>
      <c r="E1882" s="75"/>
      <c r="F1882" s="75"/>
      <c r="G1882" s="75"/>
      <c r="H1882" s="75"/>
      <c r="I1882" s="75"/>
      <c r="J1882" s="166"/>
      <c r="K1882" s="166"/>
      <c r="R1882" s="157"/>
      <c r="S1882" s="157"/>
    </row>
    <row r="1883">
      <c r="A1883" s="148"/>
      <c r="B1883" s="75"/>
      <c r="C1883" s="75"/>
      <c r="D1883" s="75"/>
      <c r="E1883" s="75"/>
      <c r="F1883" s="75"/>
      <c r="G1883" s="75"/>
      <c r="H1883" s="75"/>
      <c r="I1883" s="75"/>
      <c r="J1883" s="166"/>
      <c r="K1883" s="166"/>
      <c r="R1883" s="163"/>
      <c r="S1883" s="163"/>
    </row>
    <row r="1884">
      <c r="A1884" s="148"/>
      <c r="B1884" s="75"/>
      <c r="C1884" s="75"/>
      <c r="D1884" s="75"/>
      <c r="E1884" s="75"/>
      <c r="F1884" s="75"/>
      <c r="G1884" s="75"/>
      <c r="H1884" s="75"/>
      <c r="I1884" s="75"/>
      <c r="J1884" s="166"/>
      <c r="K1884" s="166"/>
      <c r="R1884" s="163"/>
      <c r="S1884" s="163"/>
    </row>
    <row r="1885">
      <c r="A1885" s="148"/>
      <c r="B1885" s="75"/>
      <c r="C1885" s="75"/>
      <c r="D1885" s="75"/>
      <c r="E1885" s="75"/>
      <c r="F1885" s="75"/>
      <c r="G1885" s="75"/>
      <c r="H1885" s="75"/>
      <c r="I1885" s="75"/>
      <c r="J1885" s="166"/>
      <c r="K1885" s="166"/>
      <c r="R1885" s="163"/>
      <c r="S1885" s="163"/>
    </row>
    <row r="1886">
      <c r="A1886" s="148"/>
      <c r="B1886" s="75"/>
      <c r="C1886" s="75"/>
      <c r="D1886" s="75"/>
      <c r="E1886" s="75"/>
      <c r="F1886" s="75"/>
      <c r="G1886" s="75"/>
      <c r="H1886" s="75"/>
      <c r="I1886" s="75"/>
      <c r="J1886" s="166"/>
      <c r="K1886" s="166"/>
      <c r="R1886" s="163"/>
      <c r="S1886" s="163"/>
    </row>
    <row r="1887">
      <c r="A1887" s="148"/>
      <c r="B1887" s="75"/>
      <c r="C1887" s="75"/>
      <c r="D1887" s="75"/>
      <c r="E1887" s="75"/>
      <c r="F1887" s="75"/>
      <c r="G1887" s="75"/>
      <c r="H1887" s="75"/>
      <c r="I1887" s="75"/>
      <c r="J1887" s="166"/>
      <c r="K1887" s="166"/>
      <c r="R1887" s="163"/>
      <c r="S1887" s="163"/>
    </row>
    <row r="1888">
      <c r="A1888" s="148"/>
      <c r="B1888" s="75"/>
      <c r="C1888" s="75"/>
      <c r="D1888" s="75"/>
      <c r="E1888" s="75"/>
      <c r="F1888" s="75"/>
      <c r="G1888" s="75"/>
      <c r="H1888" s="75"/>
      <c r="I1888" s="75"/>
      <c r="J1888" s="166"/>
      <c r="K1888" s="166"/>
      <c r="R1888" s="163"/>
      <c r="S1888" s="163"/>
    </row>
    <row r="1889">
      <c r="A1889" s="148"/>
      <c r="B1889" s="75"/>
      <c r="C1889" s="75"/>
      <c r="D1889" s="75"/>
      <c r="E1889" s="75"/>
      <c r="F1889" s="75"/>
      <c r="G1889" s="75"/>
      <c r="H1889" s="75"/>
      <c r="I1889" s="75"/>
      <c r="J1889" s="166"/>
      <c r="K1889" s="166"/>
      <c r="R1889" s="163"/>
      <c r="S1889" s="163"/>
    </row>
    <row r="1890">
      <c r="A1890" s="148"/>
      <c r="B1890" s="75"/>
      <c r="C1890" s="75"/>
      <c r="D1890" s="75"/>
      <c r="E1890" s="75"/>
      <c r="F1890" s="75"/>
      <c r="G1890" s="75"/>
      <c r="H1890" s="75"/>
      <c r="I1890" s="75"/>
      <c r="J1890" s="166"/>
      <c r="K1890" s="166"/>
      <c r="R1890" s="163"/>
      <c r="S1890" s="163"/>
    </row>
    <row r="1891">
      <c r="A1891" s="148"/>
      <c r="B1891" s="75"/>
      <c r="C1891" s="75"/>
      <c r="D1891" s="75"/>
      <c r="E1891" s="75"/>
      <c r="F1891" s="75"/>
      <c r="G1891" s="75"/>
      <c r="H1891" s="75"/>
      <c r="I1891" s="75"/>
      <c r="J1891" s="166"/>
      <c r="K1891" s="166"/>
      <c r="R1891" s="163"/>
      <c r="S1891" s="163"/>
    </row>
    <row r="1892">
      <c r="A1892" s="148"/>
      <c r="B1892" s="75"/>
      <c r="C1892" s="75"/>
      <c r="D1892" s="75"/>
      <c r="E1892" s="75"/>
      <c r="F1892" s="75"/>
      <c r="G1892" s="75"/>
      <c r="H1892" s="75"/>
      <c r="I1892" s="75"/>
      <c r="J1892" s="166"/>
      <c r="K1892" s="166"/>
      <c r="R1892" s="163"/>
      <c r="S1892" s="163"/>
    </row>
    <row r="1893">
      <c r="A1893" s="148"/>
      <c r="B1893" s="75"/>
      <c r="C1893" s="75"/>
      <c r="D1893" s="75"/>
      <c r="E1893" s="75"/>
      <c r="F1893" s="75"/>
      <c r="G1893" s="75"/>
      <c r="H1893" s="75"/>
      <c r="I1893" s="75"/>
      <c r="J1893" s="166"/>
      <c r="K1893" s="166"/>
      <c r="R1893" s="173"/>
      <c r="S1893" s="173"/>
    </row>
    <row r="1894">
      <c r="A1894" s="148"/>
      <c r="B1894" s="75"/>
      <c r="C1894" s="75"/>
      <c r="D1894" s="75"/>
      <c r="E1894" s="75"/>
      <c r="F1894" s="75"/>
      <c r="G1894" s="75"/>
      <c r="H1894" s="75"/>
      <c r="I1894" s="75"/>
      <c r="J1894" s="166"/>
      <c r="K1894" s="166"/>
      <c r="R1894" s="157"/>
      <c r="S1894" s="157"/>
    </row>
    <row r="1895">
      <c r="A1895" s="148"/>
      <c r="B1895" s="75"/>
      <c r="C1895" s="75"/>
      <c r="D1895" s="75"/>
      <c r="E1895" s="75"/>
      <c r="F1895" s="75"/>
      <c r="G1895" s="75"/>
      <c r="H1895" s="75"/>
      <c r="I1895" s="75"/>
      <c r="J1895" s="166"/>
      <c r="K1895" s="166"/>
      <c r="R1895" s="163"/>
      <c r="S1895" s="163"/>
    </row>
    <row r="1896">
      <c r="A1896" s="148"/>
      <c r="B1896" s="75"/>
      <c r="C1896" s="75"/>
      <c r="D1896" s="75"/>
      <c r="E1896" s="75"/>
      <c r="F1896" s="75"/>
      <c r="G1896" s="75"/>
      <c r="H1896" s="75"/>
      <c r="I1896" s="75"/>
      <c r="J1896" s="166"/>
      <c r="K1896" s="166"/>
      <c r="R1896" s="163"/>
      <c r="S1896" s="163"/>
    </row>
    <row r="1897">
      <c r="A1897" s="148"/>
      <c r="B1897" s="75"/>
      <c r="C1897" s="75"/>
      <c r="D1897" s="75"/>
      <c r="E1897" s="75"/>
      <c r="F1897" s="75"/>
      <c r="G1897" s="75"/>
      <c r="H1897" s="75"/>
      <c r="I1897" s="75"/>
      <c r="J1897" s="166"/>
      <c r="K1897" s="166"/>
      <c r="R1897" s="163"/>
      <c r="S1897" s="163"/>
    </row>
    <row r="1898">
      <c r="A1898" s="148"/>
      <c r="B1898" s="75"/>
      <c r="C1898" s="75"/>
      <c r="D1898" s="75"/>
      <c r="E1898" s="75"/>
      <c r="F1898" s="75"/>
      <c r="G1898" s="75"/>
      <c r="H1898" s="75"/>
      <c r="I1898" s="75"/>
      <c r="J1898" s="166"/>
      <c r="K1898" s="166"/>
      <c r="R1898" s="163"/>
      <c r="S1898" s="163"/>
    </row>
    <row r="1899">
      <c r="A1899" s="148"/>
      <c r="B1899" s="75"/>
      <c r="C1899" s="75"/>
      <c r="D1899" s="75"/>
      <c r="E1899" s="75"/>
      <c r="F1899" s="75"/>
      <c r="G1899" s="75"/>
      <c r="H1899" s="75"/>
      <c r="I1899" s="75"/>
      <c r="J1899" s="166"/>
      <c r="K1899" s="166"/>
      <c r="R1899" s="163"/>
      <c r="S1899" s="163"/>
    </row>
    <row r="1900">
      <c r="A1900" s="148"/>
      <c r="B1900" s="75"/>
      <c r="C1900" s="75"/>
      <c r="D1900" s="75"/>
      <c r="E1900" s="75"/>
      <c r="F1900" s="75"/>
      <c r="G1900" s="75"/>
      <c r="H1900" s="75"/>
      <c r="I1900" s="75"/>
      <c r="J1900" s="166"/>
      <c r="K1900" s="166"/>
      <c r="R1900" s="163"/>
      <c r="S1900" s="163"/>
    </row>
    <row r="1901">
      <c r="A1901" s="148"/>
      <c r="B1901" s="75"/>
      <c r="C1901" s="75"/>
      <c r="D1901" s="75"/>
      <c r="E1901" s="75"/>
      <c r="F1901" s="75"/>
      <c r="G1901" s="75"/>
      <c r="H1901" s="75"/>
      <c r="I1901" s="75"/>
      <c r="J1901" s="166"/>
      <c r="K1901" s="166"/>
      <c r="R1901" s="163"/>
      <c r="S1901" s="163"/>
    </row>
    <row r="1902">
      <c r="A1902" s="148"/>
      <c r="B1902" s="75"/>
      <c r="C1902" s="75"/>
      <c r="D1902" s="75"/>
      <c r="E1902" s="75"/>
      <c r="F1902" s="75"/>
      <c r="G1902" s="75"/>
      <c r="H1902" s="75"/>
      <c r="I1902" s="75"/>
      <c r="J1902" s="166"/>
      <c r="K1902" s="166"/>
      <c r="R1902" s="163"/>
      <c r="S1902" s="163"/>
    </row>
    <row r="1903">
      <c r="A1903" s="148"/>
      <c r="B1903" s="75"/>
      <c r="C1903" s="75"/>
      <c r="D1903" s="75"/>
      <c r="E1903" s="75"/>
      <c r="F1903" s="75"/>
      <c r="G1903" s="75"/>
      <c r="H1903" s="75"/>
      <c r="I1903" s="75"/>
      <c r="J1903" s="166"/>
      <c r="K1903" s="166"/>
      <c r="R1903" s="163"/>
      <c r="S1903" s="163"/>
    </row>
    <row r="1904">
      <c r="A1904" s="148"/>
      <c r="B1904" s="75"/>
      <c r="C1904" s="75"/>
      <c r="D1904" s="75"/>
      <c r="E1904" s="75"/>
      <c r="F1904" s="75"/>
      <c r="G1904" s="75"/>
      <c r="H1904" s="75"/>
      <c r="I1904" s="75"/>
      <c r="J1904" s="166"/>
      <c r="K1904" s="166"/>
      <c r="R1904" s="163"/>
      <c r="S1904" s="163"/>
    </row>
    <row r="1905">
      <c r="A1905" s="148"/>
      <c r="B1905" s="75"/>
      <c r="C1905" s="75"/>
      <c r="D1905" s="75"/>
      <c r="E1905" s="75"/>
      <c r="F1905" s="75"/>
      <c r="G1905" s="75"/>
      <c r="H1905" s="75"/>
      <c r="I1905" s="75"/>
      <c r="J1905" s="166"/>
      <c r="K1905" s="166"/>
      <c r="R1905" s="173"/>
      <c r="S1905" s="173"/>
    </row>
    <row r="1906">
      <c r="A1906" s="148"/>
      <c r="B1906" s="75"/>
      <c r="C1906" s="75"/>
      <c r="D1906" s="75"/>
      <c r="E1906" s="75"/>
      <c r="F1906" s="75"/>
      <c r="G1906" s="75"/>
      <c r="H1906" s="75"/>
      <c r="I1906" s="75"/>
      <c r="J1906" s="166"/>
      <c r="K1906" s="166"/>
      <c r="R1906" s="157"/>
      <c r="S1906" s="157"/>
    </row>
    <row r="1907">
      <c r="A1907" s="148"/>
      <c r="B1907" s="75"/>
      <c r="C1907" s="75"/>
      <c r="D1907" s="75"/>
      <c r="E1907" s="75"/>
      <c r="F1907" s="75"/>
      <c r="G1907" s="75"/>
      <c r="H1907" s="75"/>
      <c r="I1907" s="75"/>
      <c r="J1907" s="166"/>
      <c r="K1907" s="166"/>
      <c r="R1907" s="163"/>
      <c r="S1907" s="163"/>
    </row>
    <row r="1908">
      <c r="A1908" s="148"/>
      <c r="B1908" s="75"/>
      <c r="C1908" s="75"/>
      <c r="D1908" s="75"/>
      <c r="E1908" s="75"/>
      <c r="F1908" s="75"/>
      <c r="G1908" s="75"/>
      <c r="H1908" s="75"/>
      <c r="I1908" s="75"/>
      <c r="J1908" s="166"/>
      <c r="K1908" s="166"/>
      <c r="R1908" s="163"/>
      <c r="S1908" s="163"/>
    </row>
    <row r="1909">
      <c r="A1909" s="148"/>
      <c r="B1909" s="75"/>
      <c r="C1909" s="75"/>
      <c r="D1909" s="75"/>
      <c r="E1909" s="75"/>
      <c r="F1909" s="75"/>
      <c r="G1909" s="75"/>
      <c r="H1909" s="75"/>
      <c r="I1909" s="75"/>
      <c r="J1909" s="166"/>
      <c r="K1909" s="166"/>
      <c r="R1909" s="163"/>
      <c r="S1909" s="163"/>
    </row>
    <row r="1910">
      <c r="A1910" s="148"/>
      <c r="B1910" s="75"/>
      <c r="C1910" s="75"/>
      <c r="D1910" s="75"/>
      <c r="E1910" s="75"/>
      <c r="F1910" s="75"/>
      <c r="G1910" s="75"/>
      <c r="H1910" s="75"/>
      <c r="I1910" s="75"/>
      <c r="J1910" s="166"/>
      <c r="K1910" s="166"/>
      <c r="R1910" s="163"/>
      <c r="S1910" s="163"/>
    </row>
    <row r="1911">
      <c r="A1911" s="148"/>
      <c r="B1911" s="75"/>
      <c r="C1911" s="75"/>
      <c r="D1911" s="75"/>
      <c r="E1911" s="75"/>
      <c r="F1911" s="75"/>
      <c r="G1911" s="75"/>
      <c r="H1911" s="75"/>
      <c r="I1911" s="75"/>
      <c r="J1911" s="166"/>
      <c r="K1911" s="166"/>
      <c r="R1911" s="163"/>
      <c r="S1911" s="163"/>
    </row>
    <row r="1912">
      <c r="A1912" s="148"/>
      <c r="B1912" s="75"/>
      <c r="C1912" s="75"/>
      <c r="D1912" s="75"/>
      <c r="E1912" s="75"/>
      <c r="F1912" s="75"/>
      <c r="G1912" s="75"/>
      <c r="H1912" s="75"/>
      <c r="I1912" s="75"/>
      <c r="J1912" s="166"/>
      <c r="K1912" s="166"/>
      <c r="R1912" s="163"/>
      <c r="S1912" s="163"/>
    </row>
    <row r="1913">
      <c r="A1913" s="148"/>
      <c r="B1913" s="75"/>
      <c r="C1913" s="75"/>
      <c r="D1913" s="75"/>
      <c r="E1913" s="75"/>
      <c r="F1913" s="75"/>
      <c r="G1913" s="75"/>
      <c r="H1913" s="75"/>
      <c r="I1913" s="75"/>
      <c r="J1913" s="166"/>
      <c r="K1913" s="166"/>
      <c r="R1913" s="163"/>
      <c r="S1913" s="163"/>
    </row>
    <row r="1914">
      <c r="A1914" s="148"/>
      <c r="B1914" s="75"/>
      <c r="C1914" s="75"/>
      <c r="D1914" s="75"/>
      <c r="E1914" s="75"/>
      <c r="F1914" s="75"/>
      <c r="G1914" s="75"/>
      <c r="H1914" s="75"/>
      <c r="I1914" s="75"/>
      <c r="J1914" s="166"/>
      <c r="K1914" s="166"/>
      <c r="R1914" s="163"/>
      <c r="S1914" s="163"/>
    </row>
    <row r="1915">
      <c r="A1915" s="148"/>
      <c r="B1915" s="75"/>
      <c r="C1915" s="75"/>
      <c r="D1915" s="75"/>
      <c r="E1915" s="75"/>
      <c r="F1915" s="75"/>
      <c r="G1915" s="75"/>
      <c r="H1915" s="75"/>
      <c r="I1915" s="75"/>
      <c r="J1915" s="166"/>
      <c r="K1915" s="166"/>
      <c r="R1915" s="163"/>
      <c r="S1915" s="163"/>
    </row>
    <row r="1916">
      <c r="A1916" s="148"/>
      <c r="B1916" s="75"/>
      <c r="C1916" s="75"/>
      <c r="D1916" s="75"/>
      <c r="E1916" s="75"/>
      <c r="F1916" s="75"/>
      <c r="G1916" s="75"/>
      <c r="H1916" s="75"/>
      <c r="I1916" s="75"/>
      <c r="J1916" s="166"/>
      <c r="K1916" s="166"/>
      <c r="R1916" s="163"/>
      <c r="S1916" s="163"/>
    </row>
    <row r="1917">
      <c r="A1917" s="148"/>
      <c r="B1917" s="75"/>
      <c r="C1917" s="75"/>
      <c r="D1917" s="75"/>
      <c r="E1917" s="75"/>
      <c r="F1917" s="75"/>
      <c r="G1917" s="75"/>
      <c r="H1917" s="75"/>
      <c r="I1917" s="75"/>
      <c r="J1917" s="166"/>
      <c r="K1917" s="166"/>
      <c r="R1917" s="173"/>
      <c r="S1917" s="173"/>
    </row>
    <row r="1918">
      <c r="A1918" s="148"/>
      <c r="B1918" s="75"/>
      <c r="C1918" s="75"/>
      <c r="D1918" s="75"/>
      <c r="E1918" s="75"/>
      <c r="F1918" s="75"/>
      <c r="G1918" s="75"/>
      <c r="H1918" s="75"/>
      <c r="I1918" s="75"/>
      <c r="J1918" s="166"/>
      <c r="K1918" s="166"/>
      <c r="R1918" s="157"/>
      <c r="S1918" s="157"/>
    </row>
    <row r="1919">
      <c r="A1919" s="148"/>
      <c r="B1919" s="75"/>
      <c r="C1919" s="75"/>
      <c r="D1919" s="75"/>
      <c r="E1919" s="75"/>
      <c r="F1919" s="75"/>
      <c r="G1919" s="75"/>
      <c r="H1919" s="75"/>
      <c r="I1919" s="75"/>
      <c r="J1919" s="166"/>
      <c r="K1919" s="166"/>
      <c r="R1919" s="163"/>
      <c r="S1919" s="163"/>
    </row>
    <row r="1920">
      <c r="A1920" s="148"/>
      <c r="B1920" s="75"/>
      <c r="C1920" s="75"/>
      <c r="D1920" s="75"/>
      <c r="E1920" s="75"/>
      <c r="F1920" s="75"/>
      <c r="G1920" s="75"/>
      <c r="H1920" s="75"/>
      <c r="I1920" s="75"/>
      <c r="J1920" s="166"/>
      <c r="K1920" s="166"/>
      <c r="R1920" s="163"/>
      <c r="S1920" s="163"/>
    </row>
    <row r="1921">
      <c r="A1921" s="148"/>
      <c r="B1921" s="75"/>
      <c r="C1921" s="75"/>
      <c r="D1921" s="75"/>
      <c r="E1921" s="75"/>
      <c r="F1921" s="75"/>
      <c r="G1921" s="75"/>
      <c r="H1921" s="75"/>
      <c r="I1921" s="75"/>
      <c r="J1921" s="166"/>
      <c r="K1921" s="166"/>
      <c r="R1921" s="163"/>
      <c r="S1921" s="163"/>
    </row>
    <row r="1922">
      <c r="A1922" s="148"/>
      <c r="B1922" s="75"/>
      <c r="C1922" s="75"/>
      <c r="D1922" s="75"/>
      <c r="E1922" s="75"/>
      <c r="F1922" s="75"/>
      <c r="G1922" s="75"/>
      <c r="H1922" s="75"/>
      <c r="I1922" s="75"/>
      <c r="J1922" s="166"/>
      <c r="K1922" s="166"/>
      <c r="R1922" s="163"/>
      <c r="S1922" s="163"/>
    </row>
    <row r="1923">
      <c r="A1923" s="148"/>
      <c r="B1923" s="75"/>
      <c r="C1923" s="75"/>
      <c r="D1923" s="75"/>
      <c r="E1923" s="75"/>
      <c r="F1923" s="75"/>
      <c r="G1923" s="75"/>
      <c r="H1923" s="75"/>
      <c r="I1923" s="75"/>
      <c r="J1923" s="166"/>
      <c r="K1923" s="166"/>
      <c r="R1923" s="163"/>
      <c r="S1923" s="163"/>
    </row>
    <row r="1924">
      <c r="A1924" s="148"/>
      <c r="B1924" s="75"/>
      <c r="C1924" s="75"/>
      <c r="D1924" s="75"/>
      <c r="E1924" s="75"/>
      <c r="F1924" s="75"/>
      <c r="G1924" s="75"/>
      <c r="H1924" s="75"/>
      <c r="I1924" s="75"/>
      <c r="J1924" s="166"/>
      <c r="K1924" s="166"/>
      <c r="R1924" s="163"/>
      <c r="S1924" s="163"/>
    </row>
    <row r="1925">
      <c r="A1925" s="148"/>
      <c r="B1925" s="75"/>
      <c r="C1925" s="75"/>
      <c r="D1925" s="75"/>
      <c r="E1925" s="75"/>
      <c r="F1925" s="75"/>
      <c r="G1925" s="75"/>
      <c r="H1925" s="75"/>
      <c r="I1925" s="75"/>
      <c r="J1925" s="166"/>
      <c r="K1925" s="166"/>
      <c r="R1925" s="163"/>
      <c r="S1925" s="163"/>
    </row>
    <row r="1926">
      <c r="A1926" s="148"/>
      <c r="B1926" s="75"/>
      <c r="C1926" s="75"/>
      <c r="D1926" s="75"/>
      <c r="E1926" s="75"/>
      <c r="F1926" s="75"/>
      <c r="G1926" s="75"/>
      <c r="H1926" s="75"/>
      <c r="I1926" s="75"/>
      <c r="J1926" s="166"/>
      <c r="K1926" s="166"/>
      <c r="R1926" s="163"/>
      <c r="S1926" s="163"/>
    </row>
    <row r="1927">
      <c r="A1927" s="148"/>
      <c r="B1927" s="75"/>
      <c r="C1927" s="75"/>
      <c r="D1927" s="75"/>
      <c r="E1927" s="75"/>
      <c r="F1927" s="75"/>
      <c r="G1927" s="75"/>
      <c r="H1927" s="75"/>
      <c r="I1927" s="75"/>
      <c r="J1927" s="166"/>
      <c r="K1927" s="166"/>
      <c r="R1927" s="163"/>
      <c r="S1927" s="163"/>
    </row>
    <row r="1928">
      <c r="A1928" s="148"/>
      <c r="B1928" s="75"/>
      <c r="C1928" s="75"/>
      <c r="D1928" s="75"/>
      <c r="E1928" s="75"/>
      <c r="F1928" s="75"/>
      <c r="G1928" s="75"/>
      <c r="H1928" s="75"/>
      <c r="I1928" s="75"/>
      <c r="J1928" s="166"/>
      <c r="K1928" s="166"/>
      <c r="R1928" s="163"/>
      <c r="S1928" s="163"/>
    </row>
    <row r="1929">
      <c r="A1929" s="148"/>
      <c r="B1929" s="75"/>
      <c r="C1929" s="75"/>
      <c r="D1929" s="75"/>
      <c r="E1929" s="75"/>
      <c r="F1929" s="75"/>
      <c r="G1929" s="75"/>
      <c r="H1929" s="75"/>
      <c r="I1929" s="75"/>
      <c r="J1929" s="166"/>
      <c r="K1929" s="166"/>
      <c r="R1929" s="173"/>
      <c r="S1929" s="173"/>
    </row>
    <row r="1930">
      <c r="A1930" s="148"/>
      <c r="B1930" s="75"/>
      <c r="C1930" s="75"/>
      <c r="D1930" s="75"/>
      <c r="E1930" s="75"/>
      <c r="F1930" s="75"/>
      <c r="G1930" s="75"/>
      <c r="H1930" s="75"/>
      <c r="I1930" s="75"/>
      <c r="J1930" s="166"/>
      <c r="K1930" s="166"/>
      <c r="R1930" s="157"/>
      <c r="S1930" s="157"/>
    </row>
    <row r="1931">
      <c r="A1931" s="148"/>
      <c r="B1931" s="75"/>
      <c r="C1931" s="75"/>
      <c r="D1931" s="75"/>
      <c r="E1931" s="75"/>
      <c r="F1931" s="75"/>
      <c r="G1931" s="75"/>
      <c r="H1931" s="75"/>
      <c r="I1931" s="75"/>
      <c r="J1931" s="166"/>
      <c r="K1931" s="166"/>
      <c r="R1931" s="163"/>
      <c r="S1931" s="163"/>
    </row>
    <row r="1932">
      <c r="A1932" s="148"/>
      <c r="B1932" s="75"/>
      <c r="C1932" s="75"/>
      <c r="D1932" s="75"/>
      <c r="E1932" s="75"/>
      <c r="F1932" s="75"/>
      <c r="G1932" s="75"/>
      <c r="H1932" s="75"/>
      <c r="I1932" s="75"/>
      <c r="J1932" s="166"/>
      <c r="K1932" s="166"/>
      <c r="R1932" s="163"/>
      <c r="S1932" s="163"/>
    </row>
    <row r="1933">
      <c r="A1933" s="148"/>
      <c r="B1933" s="75"/>
      <c r="C1933" s="75"/>
      <c r="D1933" s="75"/>
      <c r="E1933" s="75"/>
      <c r="F1933" s="75"/>
      <c r="G1933" s="75"/>
      <c r="H1933" s="75"/>
      <c r="I1933" s="75"/>
      <c r="J1933" s="166"/>
      <c r="K1933" s="166"/>
      <c r="R1933" s="163"/>
      <c r="S1933" s="163"/>
    </row>
    <row r="1934">
      <c r="A1934" s="148"/>
      <c r="B1934" s="75"/>
      <c r="C1934" s="75"/>
      <c r="D1934" s="75"/>
      <c r="E1934" s="75"/>
      <c r="F1934" s="75"/>
      <c r="G1934" s="75"/>
      <c r="H1934" s="75"/>
      <c r="I1934" s="75"/>
      <c r="J1934" s="166"/>
      <c r="K1934" s="166"/>
      <c r="R1934" s="163"/>
      <c r="S1934" s="163"/>
    </row>
    <row r="1935">
      <c r="A1935" s="148"/>
      <c r="B1935" s="75"/>
      <c r="C1935" s="75"/>
      <c r="D1935" s="75"/>
      <c r="E1935" s="75"/>
      <c r="F1935" s="75"/>
      <c r="G1935" s="75"/>
      <c r="H1935" s="75"/>
      <c r="I1935" s="75"/>
      <c r="J1935" s="166"/>
      <c r="K1935" s="166"/>
      <c r="R1935" s="163"/>
      <c r="S1935" s="163"/>
    </row>
    <row r="1936">
      <c r="A1936" s="148"/>
      <c r="B1936" s="75"/>
      <c r="C1936" s="75"/>
      <c r="D1936" s="75"/>
      <c r="E1936" s="75"/>
      <c r="F1936" s="75"/>
      <c r="G1936" s="75"/>
      <c r="H1936" s="75"/>
      <c r="I1936" s="75"/>
      <c r="J1936" s="166"/>
      <c r="K1936" s="166"/>
      <c r="R1936" s="163"/>
      <c r="S1936" s="163"/>
    </row>
    <row r="1937">
      <c r="A1937" s="148"/>
      <c r="B1937" s="75"/>
      <c r="C1937" s="75"/>
      <c r="D1937" s="75"/>
      <c r="E1937" s="75"/>
      <c r="F1937" s="75"/>
      <c r="G1937" s="75"/>
      <c r="H1937" s="75"/>
      <c r="I1937" s="75"/>
      <c r="J1937" s="166"/>
      <c r="K1937" s="166"/>
      <c r="R1937" s="163"/>
      <c r="S1937" s="163"/>
    </row>
    <row r="1938">
      <c r="A1938" s="148"/>
      <c r="B1938" s="75"/>
      <c r="C1938" s="75"/>
      <c r="D1938" s="75"/>
      <c r="E1938" s="75"/>
      <c r="F1938" s="75"/>
      <c r="G1938" s="75"/>
      <c r="H1938" s="75"/>
      <c r="I1938" s="75"/>
      <c r="J1938" s="166"/>
      <c r="K1938" s="166"/>
      <c r="R1938" s="163"/>
      <c r="S1938" s="163"/>
    </row>
    <row r="1939">
      <c r="A1939" s="148"/>
      <c r="B1939" s="75"/>
      <c r="C1939" s="75"/>
      <c r="D1939" s="75"/>
      <c r="E1939" s="75"/>
      <c r="F1939" s="75"/>
      <c r="G1939" s="75"/>
      <c r="H1939" s="75"/>
      <c r="I1939" s="75"/>
      <c r="J1939" s="166"/>
      <c r="K1939" s="166"/>
      <c r="R1939" s="163"/>
      <c r="S1939" s="163"/>
    </row>
    <row r="1940">
      <c r="A1940" s="148"/>
      <c r="B1940" s="75"/>
      <c r="C1940" s="75"/>
      <c r="D1940" s="75"/>
      <c r="E1940" s="75"/>
      <c r="F1940" s="75"/>
      <c r="G1940" s="75"/>
      <c r="H1940" s="75"/>
      <c r="I1940" s="75"/>
      <c r="J1940" s="166"/>
      <c r="K1940" s="166"/>
      <c r="R1940" s="163"/>
      <c r="S1940" s="163"/>
    </row>
    <row r="1941">
      <c r="A1941" s="148"/>
      <c r="B1941" s="75"/>
      <c r="C1941" s="75"/>
      <c r="D1941" s="75"/>
      <c r="E1941" s="75"/>
      <c r="F1941" s="75"/>
      <c r="G1941" s="75"/>
      <c r="H1941" s="75"/>
      <c r="I1941" s="75"/>
      <c r="J1941" s="166"/>
      <c r="K1941" s="166"/>
      <c r="R1941" s="173"/>
      <c r="S1941" s="173"/>
    </row>
    <row r="1942">
      <c r="A1942" s="148"/>
      <c r="B1942" s="75"/>
      <c r="C1942" s="75"/>
      <c r="D1942" s="75"/>
      <c r="E1942" s="75"/>
      <c r="F1942" s="75"/>
      <c r="G1942" s="75"/>
      <c r="H1942" s="75"/>
      <c r="I1942" s="75"/>
      <c r="J1942" s="166"/>
      <c r="K1942" s="166"/>
      <c r="R1942" s="157"/>
      <c r="S1942" s="157"/>
    </row>
    <row r="1943">
      <c r="A1943" s="148"/>
      <c r="B1943" s="75"/>
      <c r="C1943" s="75"/>
      <c r="D1943" s="75"/>
      <c r="E1943" s="75"/>
      <c r="F1943" s="75"/>
      <c r="G1943" s="75"/>
      <c r="H1943" s="75"/>
      <c r="I1943" s="75"/>
      <c r="J1943" s="166"/>
      <c r="K1943" s="166"/>
      <c r="R1943" s="163"/>
      <c r="S1943" s="163"/>
    </row>
    <row r="1944">
      <c r="A1944" s="148"/>
      <c r="B1944" s="75"/>
      <c r="C1944" s="75"/>
      <c r="D1944" s="75"/>
      <c r="E1944" s="75"/>
      <c r="F1944" s="75"/>
      <c r="G1944" s="75"/>
      <c r="H1944" s="75"/>
      <c r="I1944" s="75"/>
      <c r="J1944" s="166"/>
      <c r="K1944" s="166"/>
      <c r="R1944" s="163"/>
      <c r="S1944" s="163"/>
    </row>
    <row r="1945">
      <c r="A1945" s="148"/>
      <c r="B1945" s="75"/>
      <c r="C1945" s="75"/>
      <c r="D1945" s="75"/>
      <c r="E1945" s="75"/>
      <c r="F1945" s="75"/>
      <c r="G1945" s="75"/>
      <c r="H1945" s="75"/>
      <c r="I1945" s="75"/>
      <c r="J1945" s="166"/>
      <c r="K1945" s="166"/>
      <c r="R1945" s="163"/>
      <c r="S1945" s="163"/>
    </row>
    <row r="1946">
      <c r="A1946" s="148"/>
      <c r="B1946" s="75"/>
      <c r="C1946" s="75"/>
      <c r="D1946" s="75"/>
      <c r="E1946" s="75"/>
      <c r="F1946" s="75"/>
      <c r="G1946" s="75"/>
      <c r="H1946" s="75"/>
      <c r="I1946" s="75"/>
      <c r="J1946" s="166"/>
      <c r="K1946" s="166"/>
      <c r="R1946" s="163"/>
      <c r="S1946" s="163"/>
    </row>
    <row r="1947">
      <c r="A1947" s="148"/>
      <c r="B1947" s="75"/>
      <c r="C1947" s="75"/>
      <c r="D1947" s="75"/>
      <c r="E1947" s="75"/>
      <c r="F1947" s="75"/>
      <c r="G1947" s="75"/>
      <c r="H1947" s="75"/>
      <c r="I1947" s="75"/>
      <c r="J1947" s="166"/>
      <c r="K1947" s="166"/>
      <c r="R1947" s="163"/>
      <c r="S1947" s="163"/>
    </row>
    <row r="1948">
      <c r="A1948" s="148"/>
      <c r="B1948" s="75"/>
      <c r="C1948" s="75"/>
      <c r="D1948" s="75"/>
      <c r="E1948" s="75"/>
      <c r="F1948" s="75"/>
      <c r="G1948" s="75"/>
      <c r="H1948" s="75"/>
      <c r="I1948" s="75"/>
      <c r="J1948" s="166"/>
      <c r="K1948" s="166"/>
      <c r="R1948" s="163"/>
      <c r="S1948" s="163"/>
    </row>
    <row r="1949">
      <c r="A1949" s="148"/>
      <c r="B1949" s="75"/>
      <c r="C1949" s="75"/>
      <c r="D1949" s="75"/>
      <c r="E1949" s="75"/>
      <c r="F1949" s="75"/>
      <c r="G1949" s="75"/>
      <c r="H1949" s="75"/>
      <c r="I1949" s="75"/>
      <c r="J1949" s="166"/>
      <c r="K1949" s="166"/>
      <c r="R1949" s="163"/>
      <c r="S1949" s="163"/>
    </row>
    <row r="1950">
      <c r="A1950" s="148"/>
      <c r="B1950" s="75"/>
      <c r="C1950" s="75"/>
      <c r="D1950" s="75"/>
      <c r="E1950" s="75"/>
      <c r="F1950" s="75"/>
      <c r="G1950" s="75"/>
      <c r="H1950" s="75"/>
      <c r="I1950" s="75"/>
      <c r="J1950" s="166"/>
      <c r="K1950" s="166"/>
      <c r="R1950" s="163"/>
      <c r="S1950" s="163"/>
    </row>
    <row r="1951">
      <c r="A1951" s="148"/>
      <c r="B1951" s="75"/>
      <c r="C1951" s="75"/>
      <c r="D1951" s="75"/>
      <c r="E1951" s="75"/>
      <c r="F1951" s="75"/>
      <c r="G1951" s="75"/>
      <c r="H1951" s="75"/>
      <c r="I1951" s="75"/>
      <c r="J1951" s="166"/>
      <c r="K1951" s="166"/>
      <c r="R1951" s="163"/>
      <c r="S1951" s="163"/>
    </row>
    <row r="1952">
      <c r="A1952" s="148"/>
      <c r="B1952" s="75"/>
      <c r="C1952" s="75"/>
      <c r="D1952" s="75"/>
      <c r="E1952" s="75"/>
      <c r="F1952" s="75"/>
      <c r="G1952" s="75"/>
      <c r="H1952" s="75"/>
      <c r="I1952" s="75"/>
      <c r="J1952" s="166"/>
      <c r="K1952" s="166"/>
      <c r="R1952" s="163"/>
      <c r="S1952" s="163"/>
    </row>
    <row r="1953">
      <c r="A1953" s="148"/>
      <c r="B1953" s="75"/>
      <c r="C1953" s="75"/>
      <c r="D1953" s="75"/>
      <c r="E1953" s="75"/>
      <c r="F1953" s="75"/>
      <c r="G1953" s="75"/>
      <c r="H1953" s="75"/>
      <c r="I1953" s="75"/>
      <c r="J1953" s="166"/>
      <c r="K1953" s="166"/>
      <c r="R1953" s="173"/>
      <c r="S1953" s="173"/>
    </row>
    <row r="1954">
      <c r="A1954" s="148"/>
      <c r="B1954" s="75"/>
      <c r="C1954" s="75"/>
      <c r="D1954" s="75"/>
      <c r="E1954" s="75"/>
      <c r="F1954" s="75"/>
      <c r="G1954" s="75"/>
      <c r="H1954" s="75"/>
      <c r="I1954" s="75"/>
      <c r="J1954" s="166"/>
      <c r="K1954" s="166"/>
      <c r="R1954" s="157"/>
      <c r="S1954" s="157"/>
    </row>
    <row r="1955">
      <c r="A1955" s="148"/>
      <c r="B1955" s="75"/>
      <c r="C1955" s="75"/>
      <c r="D1955" s="75"/>
      <c r="E1955" s="75"/>
      <c r="F1955" s="75"/>
      <c r="G1955" s="75"/>
      <c r="H1955" s="75"/>
      <c r="I1955" s="75"/>
      <c r="J1955" s="166"/>
      <c r="K1955" s="166"/>
      <c r="R1955" s="163"/>
      <c r="S1955" s="163"/>
    </row>
    <row r="1956">
      <c r="A1956" s="148"/>
      <c r="B1956" s="75"/>
      <c r="C1956" s="75"/>
      <c r="D1956" s="75"/>
      <c r="E1956" s="75"/>
      <c r="F1956" s="75"/>
      <c r="G1956" s="75"/>
      <c r="H1956" s="75"/>
      <c r="I1956" s="75"/>
      <c r="J1956" s="166"/>
      <c r="K1956" s="166"/>
      <c r="R1956" s="163"/>
      <c r="S1956" s="163"/>
    </row>
    <row r="1957">
      <c r="A1957" s="148"/>
      <c r="B1957" s="75"/>
      <c r="C1957" s="75"/>
      <c r="D1957" s="75"/>
      <c r="E1957" s="75"/>
      <c r="F1957" s="75"/>
      <c r="G1957" s="75"/>
      <c r="H1957" s="75"/>
      <c r="I1957" s="75"/>
      <c r="J1957" s="166"/>
      <c r="K1957" s="166"/>
      <c r="R1957" s="163"/>
      <c r="S1957" s="163"/>
    </row>
    <row r="1958">
      <c r="A1958" s="148"/>
      <c r="B1958" s="75"/>
      <c r="C1958" s="75"/>
      <c r="D1958" s="75"/>
      <c r="E1958" s="75"/>
      <c r="F1958" s="75"/>
      <c r="G1958" s="75"/>
      <c r="H1958" s="75"/>
      <c r="I1958" s="75"/>
      <c r="J1958" s="166"/>
      <c r="K1958" s="166"/>
      <c r="R1958" s="163"/>
      <c r="S1958" s="163"/>
    </row>
    <row r="1959">
      <c r="A1959" s="148"/>
      <c r="B1959" s="75"/>
      <c r="C1959" s="75"/>
      <c r="D1959" s="75"/>
      <c r="E1959" s="75"/>
      <c r="F1959" s="75"/>
      <c r="G1959" s="75"/>
      <c r="H1959" s="75"/>
      <c r="I1959" s="75"/>
      <c r="J1959" s="166"/>
      <c r="K1959" s="166"/>
      <c r="R1959" s="163"/>
      <c r="S1959" s="163"/>
    </row>
    <row r="1960">
      <c r="A1960" s="148"/>
      <c r="B1960" s="75"/>
      <c r="C1960" s="75"/>
      <c r="D1960" s="75"/>
      <c r="E1960" s="75"/>
      <c r="F1960" s="75"/>
      <c r="G1960" s="75"/>
      <c r="H1960" s="75"/>
      <c r="I1960" s="75"/>
      <c r="J1960" s="166"/>
      <c r="K1960" s="166"/>
      <c r="R1960" s="163"/>
      <c r="S1960" s="163"/>
    </row>
    <row r="1961">
      <c r="A1961" s="148"/>
      <c r="B1961" s="75"/>
      <c r="C1961" s="75"/>
      <c r="D1961" s="75"/>
      <c r="E1961" s="75"/>
      <c r="F1961" s="75"/>
      <c r="G1961" s="75"/>
      <c r="H1961" s="75"/>
      <c r="I1961" s="75"/>
      <c r="J1961" s="166"/>
      <c r="K1961" s="166"/>
      <c r="R1961" s="163"/>
      <c r="S1961" s="163"/>
    </row>
    <row r="1962">
      <c r="A1962" s="148"/>
      <c r="B1962" s="75"/>
      <c r="C1962" s="75"/>
      <c r="D1962" s="75"/>
      <c r="E1962" s="75"/>
      <c r="F1962" s="75"/>
      <c r="G1962" s="75"/>
      <c r="H1962" s="75"/>
      <c r="I1962" s="75"/>
      <c r="J1962" s="166"/>
      <c r="K1962" s="166"/>
      <c r="R1962" s="163"/>
      <c r="S1962" s="163"/>
    </row>
    <row r="1963">
      <c r="A1963" s="148"/>
      <c r="B1963" s="75"/>
      <c r="C1963" s="75"/>
      <c r="D1963" s="75"/>
      <c r="E1963" s="75"/>
      <c r="F1963" s="75"/>
      <c r="G1963" s="75"/>
      <c r="H1963" s="75"/>
      <c r="I1963" s="75"/>
      <c r="J1963" s="166"/>
      <c r="K1963" s="166"/>
      <c r="R1963" s="163"/>
      <c r="S1963" s="163"/>
    </row>
    <row r="1964">
      <c r="A1964" s="148"/>
      <c r="B1964" s="75"/>
      <c r="C1964" s="75"/>
      <c r="D1964" s="75"/>
      <c r="E1964" s="75"/>
      <c r="F1964" s="75"/>
      <c r="G1964" s="75"/>
      <c r="H1964" s="75"/>
      <c r="I1964" s="75"/>
      <c r="J1964" s="166"/>
      <c r="K1964" s="166"/>
      <c r="R1964" s="163"/>
      <c r="S1964" s="163"/>
    </row>
    <row r="1965">
      <c r="A1965" s="148"/>
      <c r="B1965" s="75"/>
      <c r="C1965" s="75"/>
      <c r="D1965" s="75"/>
      <c r="E1965" s="75"/>
      <c r="F1965" s="75"/>
      <c r="G1965" s="75"/>
      <c r="H1965" s="75"/>
      <c r="I1965" s="75"/>
      <c r="J1965" s="166"/>
      <c r="K1965" s="166"/>
      <c r="R1965" s="173"/>
      <c r="S1965" s="173"/>
    </row>
    <row r="1966">
      <c r="A1966" s="148"/>
      <c r="B1966" s="75"/>
      <c r="C1966" s="75"/>
      <c r="D1966" s="75"/>
      <c r="E1966" s="75"/>
      <c r="F1966" s="75"/>
      <c r="G1966" s="75"/>
      <c r="H1966" s="75"/>
      <c r="I1966" s="75"/>
      <c r="J1966" s="166"/>
      <c r="K1966" s="166"/>
      <c r="R1966" s="157"/>
      <c r="S1966" s="157"/>
    </row>
    <row r="1967">
      <c r="A1967" s="148"/>
      <c r="B1967" s="75"/>
      <c r="C1967" s="75"/>
      <c r="D1967" s="75"/>
      <c r="E1967" s="75"/>
      <c r="F1967" s="75"/>
      <c r="G1967" s="75"/>
      <c r="H1967" s="75"/>
      <c r="I1967" s="75"/>
      <c r="J1967" s="166"/>
      <c r="K1967" s="166"/>
      <c r="R1967" s="163"/>
      <c r="S1967" s="163"/>
    </row>
    <row r="1968">
      <c r="A1968" s="148"/>
      <c r="B1968" s="75"/>
      <c r="C1968" s="75"/>
      <c r="D1968" s="75"/>
      <c r="E1968" s="75"/>
      <c r="F1968" s="75"/>
      <c r="G1968" s="75"/>
      <c r="H1968" s="75"/>
      <c r="I1968" s="75"/>
      <c r="J1968" s="166"/>
      <c r="K1968" s="166"/>
      <c r="R1968" s="163"/>
      <c r="S1968" s="163"/>
    </row>
    <row r="1969">
      <c r="A1969" s="148"/>
      <c r="B1969" s="75"/>
      <c r="C1969" s="75"/>
      <c r="D1969" s="75"/>
      <c r="E1969" s="75"/>
      <c r="F1969" s="75"/>
      <c r="G1969" s="75"/>
      <c r="H1969" s="75"/>
      <c r="I1969" s="75"/>
      <c r="J1969" s="166"/>
      <c r="K1969" s="166"/>
      <c r="R1969" s="163"/>
      <c r="S1969" s="163"/>
    </row>
    <row r="1970">
      <c r="A1970" s="148"/>
      <c r="B1970" s="75"/>
      <c r="C1970" s="75"/>
      <c r="D1970" s="75"/>
      <c r="E1970" s="75"/>
      <c r="F1970" s="75"/>
      <c r="G1970" s="75"/>
      <c r="H1970" s="75"/>
      <c r="I1970" s="75"/>
      <c r="J1970" s="166"/>
      <c r="K1970" s="166"/>
      <c r="R1970" s="163"/>
      <c r="S1970" s="163"/>
    </row>
    <row r="1971">
      <c r="A1971" s="148"/>
      <c r="B1971" s="75"/>
      <c r="C1971" s="75"/>
      <c r="D1971" s="75"/>
      <c r="E1971" s="75"/>
      <c r="F1971" s="75"/>
      <c r="G1971" s="75"/>
      <c r="H1971" s="75"/>
      <c r="I1971" s="75"/>
      <c r="J1971" s="166"/>
      <c r="K1971" s="166"/>
      <c r="R1971" s="163"/>
      <c r="S1971" s="163"/>
    </row>
    <row r="1972">
      <c r="A1972" s="148"/>
      <c r="B1972" s="75"/>
      <c r="C1972" s="75"/>
      <c r="D1972" s="75"/>
      <c r="E1972" s="75"/>
      <c r="F1972" s="75"/>
      <c r="G1972" s="75"/>
      <c r="H1972" s="75"/>
      <c r="I1972" s="75"/>
      <c r="J1972" s="166"/>
      <c r="K1972" s="166"/>
      <c r="R1972" s="163"/>
      <c r="S1972" s="163"/>
    </row>
    <row r="1973">
      <c r="A1973" s="148"/>
      <c r="B1973" s="75"/>
      <c r="C1973" s="75"/>
      <c r="D1973" s="75"/>
      <c r="E1973" s="75"/>
      <c r="F1973" s="75"/>
      <c r="G1973" s="75"/>
      <c r="H1973" s="75"/>
      <c r="I1973" s="75"/>
      <c r="J1973" s="166"/>
      <c r="K1973" s="166"/>
      <c r="R1973" s="163"/>
      <c r="S1973" s="163"/>
    </row>
    <row r="1974">
      <c r="A1974" s="148"/>
      <c r="B1974" s="75"/>
      <c r="C1974" s="75"/>
      <c r="D1974" s="75"/>
      <c r="E1974" s="75"/>
      <c r="F1974" s="75"/>
      <c r="G1974" s="75"/>
      <c r="H1974" s="75"/>
      <c r="I1974" s="75"/>
      <c r="J1974" s="166"/>
      <c r="K1974" s="166"/>
      <c r="R1974" s="163"/>
      <c r="S1974" s="163"/>
    </row>
    <row r="1975">
      <c r="A1975" s="148"/>
      <c r="B1975" s="75"/>
      <c r="C1975" s="75"/>
      <c r="D1975" s="75"/>
      <c r="E1975" s="75"/>
      <c r="F1975" s="75"/>
      <c r="G1975" s="75"/>
      <c r="H1975" s="75"/>
      <c r="I1975" s="75"/>
      <c r="J1975" s="166"/>
      <c r="K1975" s="166"/>
      <c r="R1975" s="163"/>
      <c r="S1975" s="163"/>
    </row>
    <row r="1976">
      <c r="A1976" s="148"/>
      <c r="B1976" s="75"/>
      <c r="C1976" s="75"/>
      <c r="D1976" s="75"/>
      <c r="E1976" s="75"/>
      <c r="F1976" s="75"/>
      <c r="G1976" s="75"/>
      <c r="H1976" s="75"/>
      <c r="I1976" s="75"/>
      <c r="J1976" s="166"/>
      <c r="K1976" s="166"/>
      <c r="R1976" s="163"/>
      <c r="S1976" s="163"/>
    </row>
    <row r="1977">
      <c r="A1977" s="148"/>
      <c r="B1977" s="75"/>
      <c r="C1977" s="75"/>
      <c r="D1977" s="75"/>
      <c r="E1977" s="75"/>
      <c r="F1977" s="75"/>
      <c r="G1977" s="75"/>
      <c r="H1977" s="75"/>
      <c r="I1977" s="75"/>
      <c r="J1977" s="166"/>
      <c r="K1977" s="166"/>
      <c r="R1977" s="173"/>
      <c r="S1977" s="173"/>
    </row>
    <row r="1978">
      <c r="A1978" s="148"/>
      <c r="B1978" s="75"/>
      <c r="C1978" s="75"/>
      <c r="D1978" s="75"/>
      <c r="E1978" s="75"/>
      <c r="F1978" s="75"/>
      <c r="G1978" s="75"/>
      <c r="H1978" s="75"/>
      <c r="I1978" s="75"/>
      <c r="J1978" s="166"/>
      <c r="K1978" s="166"/>
      <c r="R1978" s="157"/>
      <c r="S1978" s="157"/>
    </row>
    <row r="1979">
      <c r="A1979" s="148"/>
      <c r="B1979" s="75"/>
      <c r="C1979" s="75"/>
      <c r="D1979" s="75"/>
      <c r="E1979" s="75"/>
      <c r="F1979" s="75"/>
      <c r="G1979" s="75"/>
      <c r="H1979" s="75"/>
      <c r="I1979" s="75"/>
      <c r="J1979" s="166"/>
      <c r="K1979" s="166"/>
      <c r="R1979" s="163"/>
      <c r="S1979" s="163"/>
    </row>
    <row r="1980">
      <c r="A1980" s="148"/>
      <c r="B1980" s="75"/>
      <c r="C1980" s="75"/>
      <c r="D1980" s="75"/>
      <c r="E1980" s="75"/>
      <c r="F1980" s="75"/>
      <c r="G1980" s="75"/>
      <c r="H1980" s="75"/>
      <c r="I1980" s="75"/>
      <c r="J1980" s="166"/>
      <c r="K1980" s="166"/>
      <c r="R1980" s="163"/>
      <c r="S1980" s="163"/>
    </row>
    <row r="1981">
      <c r="A1981" s="148"/>
      <c r="B1981" s="75"/>
      <c r="C1981" s="75"/>
      <c r="D1981" s="75"/>
      <c r="E1981" s="75"/>
      <c r="F1981" s="75"/>
      <c r="G1981" s="75"/>
      <c r="H1981" s="75"/>
      <c r="I1981" s="75"/>
      <c r="J1981" s="166"/>
      <c r="K1981" s="166"/>
      <c r="R1981" s="163"/>
      <c r="S1981" s="163"/>
    </row>
    <row r="1982">
      <c r="A1982" s="148"/>
      <c r="B1982" s="75"/>
      <c r="C1982" s="75"/>
      <c r="D1982" s="75"/>
      <c r="E1982" s="75"/>
      <c r="F1982" s="75"/>
      <c r="G1982" s="75"/>
      <c r="H1982" s="75"/>
      <c r="I1982" s="75"/>
      <c r="J1982" s="166"/>
      <c r="K1982" s="166"/>
      <c r="R1982" s="163"/>
      <c r="S1982" s="163"/>
    </row>
    <row r="1983">
      <c r="A1983" s="148"/>
      <c r="B1983" s="75"/>
      <c r="C1983" s="75"/>
      <c r="D1983" s="75"/>
      <c r="E1983" s="75"/>
      <c r="F1983" s="75"/>
      <c r="G1983" s="75"/>
      <c r="H1983" s="75"/>
      <c r="I1983" s="75"/>
      <c r="J1983" s="166"/>
      <c r="K1983" s="166"/>
      <c r="R1983" s="163"/>
      <c r="S1983" s="163"/>
    </row>
    <row r="1984">
      <c r="A1984" s="148"/>
      <c r="B1984" s="75"/>
      <c r="C1984" s="75"/>
      <c r="D1984" s="75"/>
      <c r="E1984" s="75"/>
      <c r="F1984" s="75"/>
      <c r="G1984" s="75"/>
      <c r="H1984" s="75"/>
      <c r="I1984" s="75"/>
      <c r="J1984" s="166"/>
      <c r="K1984" s="166"/>
      <c r="R1984" s="163"/>
      <c r="S1984" s="163"/>
    </row>
    <row r="1985">
      <c r="A1985" s="148"/>
      <c r="B1985" s="75"/>
      <c r="C1985" s="75"/>
      <c r="D1985" s="75"/>
      <c r="E1985" s="75"/>
      <c r="F1985" s="75"/>
      <c r="G1985" s="75"/>
      <c r="H1985" s="75"/>
      <c r="I1985" s="75"/>
      <c r="J1985" s="166"/>
      <c r="K1985" s="166"/>
      <c r="R1985" s="163"/>
      <c r="S1985" s="163"/>
    </row>
    <row r="1986">
      <c r="A1986" s="148"/>
      <c r="B1986" s="75"/>
      <c r="C1986" s="75"/>
      <c r="D1986" s="75"/>
      <c r="E1986" s="75"/>
      <c r="F1986" s="75"/>
      <c r="G1986" s="75"/>
      <c r="H1986" s="75"/>
      <c r="I1986" s="75"/>
      <c r="J1986" s="166"/>
      <c r="K1986" s="166"/>
      <c r="R1986" s="163"/>
      <c r="S1986" s="163"/>
    </row>
    <row r="1987">
      <c r="A1987" s="148"/>
      <c r="B1987" s="75"/>
      <c r="C1987" s="75"/>
      <c r="D1987" s="75"/>
      <c r="E1987" s="75"/>
      <c r="F1987" s="75"/>
      <c r="G1987" s="75"/>
      <c r="H1987" s="75"/>
      <c r="I1987" s="75"/>
      <c r="J1987" s="166"/>
      <c r="K1987" s="166"/>
      <c r="R1987" s="163"/>
      <c r="S1987" s="163"/>
    </row>
    <row r="1988">
      <c r="A1988" s="148"/>
      <c r="B1988" s="75"/>
      <c r="C1988" s="75"/>
      <c r="D1988" s="75"/>
      <c r="E1988" s="75"/>
      <c r="F1988" s="75"/>
      <c r="G1988" s="75"/>
      <c r="H1988" s="75"/>
      <c r="I1988" s="75"/>
      <c r="J1988" s="166"/>
      <c r="K1988" s="166"/>
      <c r="R1988" s="163"/>
      <c r="S1988" s="163"/>
    </row>
    <row r="1989">
      <c r="A1989" s="148"/>
      <c r="B1989" s="75"/>
      <c r="C1989" s="75"/>
      <c r="D1989" s="75"/>
      <c r="E1989" s="75"/>
      <c r="F1989" s="75"/>
      <c r="G1989" s="75"/>
      <c r="H1989" s="75"/>
      <c r="I1989" s="75"/>
      <c r="J1989" s="166"/>
      <c r="K1989" s="166"/>
      <c r="R1989" s="173"/>
      <c r="S1989" s="173"/>
    </row>
    <row r="1990">
      <c r="A1990" s="148"/>
      <c r="B1990" s="75"/>
      <c r="C1990" s="75"/>
      <c r="D1990" s="75"/>
      <c r="E1990" s="75"/>
      <c r="F1990" s="75"/>
      <c r="G1990" s="75"/>
      <c r="H1990" s="75"/>
      <c r="I1990" s="75"/>
      <c r="J1990" s="166"/>
      <c r="K1990" s="166"/>
      <c r="R1990" s="157"/>
      <c r="S1990" s="157"/>
    </row>
    <row r="1991">
      <c r="A1991" s="148"/>
      <c r="B1991" s="75"/>
      <c r="C1991" s="75"/>
      <c r="D1991" s="75"/>
      <c r="E1991" s="75"/>
      <c r="F1991" s="75"/>
      <c r="G1991" s="75"/>
      <c r="H1991" s="75"/>
      <c r="I1991" s="75"/>
      <c r="J1991" s="166"/>
      <c r="K1991" s="166"/>
      <c r="R1991" s="163"/>
      <c r="S1991" s="163"/>
    </row>
    <row r="1992">
      <c r="A1992" s="148"/>
      <c r="B1992" s="75"/>
      <c r="C1992" s="75"/>
      <c r="D1992" s="75"/>
      <c r="E1992" s="75"/>
      <c r="F1992" s="75"/>
      <c r="G1992" s="75"/>
      <c r="H1992" s="75"/>
      <c r="I1992" s="75"/>
      <c r="J1992" s="166"/>
      <c r="K1992" s="166"/>
      <c r="R1992" s="163"/>
      <c r="S1992" s="163"/>
    </row>
    <row r="1993">
      <c r="A1993" s="148"/>
      <c r="B1993" s="75"/>
      <c r="C1993" s="75"/>
      <c r="D1993" s="75"/>
      <c r="E1993" s="75"/>
      <c r="F1993" s="75"/>
      <c r="G1993" s="75"/>
      <c r="H1993" s="75"/>
      <c r="I1993" s="75"/>
      <c r="J1993" s="166"/>
      <c r="K1993" s="166"/>
      <c r="R1993" s="163"/>
      <c r="S1993" s="163"/>
    </row>
    <row r="1994">
      <c r="A1994" s="148"/>
      <c r="B1994" s="75"/>
      <c r="C1994" s="75"/>
      <c r="D1994" s="75"/>
      <c r="E1994" s="75"/>
      <c r="F1994" s="75"/>
      <c r="G1994" s="75"/>
      <c r="H1994" s="75"/>
      <c r="I1994" s="75"/>
      <c r="J1994" s="166"/>
      <c r="K1994" s="166"/>
      <c r="R1994" s="163"/>
      <c r="S1994" s="163"/>
    </row>
    <row r="1995">
      <c r="A1995" s="148"/>
      <c r="B1995" s="75"/>
      <c r="C1995" s="75"/>
      <c r="D1995" s="75"/>
      <c r="E1995" s="75"/>
      <c r="F1995" s="75"/>
      <c r="G1995" s="75"/>
      <c r="H1995" s="75"/>
      <c r="I1995" s="75"/>
      <c r="J1995" s="166"/>
      <c r="K1995" s="166"/>
      <c r="R1995" s="163"/>
      <c r="S1995" s="163"/>
    </row>
    <row r="1996">
      <c r="A1996" s="148"/>
      <c r="B1996" s="75"/>
      <c r="C1996" s="75"/>
      <c r="D1996" s="75"/>
      <c r="E1996" s="75"/>
      <c r="F1996" s="75"/>
      <c r="G1996" s="75"/>
      <c r="H1996" s="75"/>
      <c r="I1996" s="75"/>
      <c r="J1996" s="166"/>
      <c r="K1996" s="166"/>
      <c r="R1996" s="163"/>
      <c r="S1996" s="163"/>
    </row>
    <row r="1997">
      <c r="A1997" s="148"/>
      <c r="B1997" s="75"/>
      <c r="C1997" s="75"/>
      <c r="D1997" s="75"/>
      <c r="E1997" s="75"/>
      <c r="F1997" s="75"/>
      <c r="G1997" s="75"/>
      <c r="H1997" s="75"/>
      <c r="I1997" s="75"/>
      <c r="J1997" s="166"/>
      <c r="K1997" s="166"/>
      <c r="R1997" s="163"/>
      <c r="S1997" s="163"/>
    </row>
    <row r="1998">
      <c r="A1998" s="148"/>
      <c r="B1998" s="75"/>
      <c r="C1998" s="75"/>
      <c r="D1998" s="75"/>
      <c r="E1998" s="75"/>
      <c r="F1998" s="75"/>
      <c r="G1998" s="75"/>
      <c r="H1998" s="75"/>
      <c r="I1998" s="75"/>
      <c r="J1998" s="166"/>
      <c r="K1998" s="166"/>
      <c r="R1998" s="163"/>
      <c r="S1998" s="163"/>
    </row>
    <row r="1999">
      <c r="A1999" s="148"/>
      <c r="B1999" s="75"/>
      <c r="C1999" s="75"/>
      <c r="D1999" s="75"/>
      <c r="E1999" s="75"/>
      <c r="F1999" s="75"/>
      <c r="G1999" s="75"/>
      <c r="H1999" s="75"/>
      <c r="I1999" s="75"/>
      <c r="J1999" s="166"/>
      <c r="K1999" s="166"/>
      <c r="R1999" s="163"/>
      <c r="S1999" s="163"/>
    </row>
    <row r="2000">
      <c r="A2000" s="148"/>
      <c r="B2000" s="75"/>
      <c r="C2000" s="75"/>
      <c r="D2000" s="75"/>
      <c r="E2000" s="75"/>
      <c r="F2000" s="75"/>
      <c r="G2000" s="75"/>
      <c r="H2000" s="75"/>
      <c r="I2000" s="75"/>
      <c r="J2000" s="166"/>
      <c r="K2000" s="166"/>
      <c r="R2000" s="163"/>
      <c r="S2000" s="163"/>
    </row>
    <row r="2001">
      <c r="A2001" s="148"/>
      <c r="B2001" s="75"/>
      <c r="C2001" s="75"/>
      <c r="D2001" s="75"/>
      <c r="E2001" s="75"/>
      <c r="F2001" s="75"/>
      <c r="G2001" s="75"/>
      <c r="H2001" s="75"/>
      <c r="I2001" s="75"/>
      <c r="J2001" s="166"/>
      <c r="K2001" s="166"/>
      <c r="R2001" s="173"/>
      <c r="S2001" s="173"/>
    </row>
    <row r="2002">
      <c r="A2002" s="148"/>
      <c r="B2002" s="75"/>
      <c r="C2002" s="75"/>
      <c r="D2002" s="75"/>
      <c r="E2002" s="75"/>
      <c r="F2002" s="75"/>
      <c r="G2002" s="75"/>
      <c r="H2002" s="75"/>
      <c r="I2002" s="75"/>
      <c r="J2002" s="166"/>
      <c r="K2002" s="166"/>
      <c r="R2002" s="157"/>
      <c r="S2002" s="157"/>
    </row>
    <row r="2003">
      <c r="A2003" s="148"/>
      <c r="B2003" s="75"/>
      <c r="C2003" s="75"/>
      <c r="D2003" s="75"/>
      <c r="E2003" s="75"/>
      <c r="F2003" s="75"/>
      <c r="G2003" s="75"/>
      <c r="H2003" s="75"/>
      <c r="I2003" s="75"/>
      <c r="J2003" s="166"/>
      <c r="K2003" s="166"/>
      <c r="R2003" s="163"/>
      <c r="S2003" s="163"/>
    </row>
    <row r="2004">
      <c r="A2004" s="148"/>
      <c r="B2004" s="75"/>
      <c r="C2004" s="75"/>
      <c r="D2004" s="75"/>
      <c r="E2004" s="75"/>
      <c r="F2004" s="75"/>
      <c r="G2004" s="75"/>
      <c r="H2004" s="75"/>
      <c r="I2004" s="75"/>
      <c r="J2004" s="166"/>
      <c r="K2004" s="166"/>
      <c r="R2004" s="163"/>
      <c r="S2004" s="163"/>
    </row>
    <row r="2005">
      <c r="A2005" s="148"/>
      <c r="B2005" s="75"/>
      <c r="C2005" s="75"/>
      <c r="D2005" s="75"/>
      <c r="E2005" s="75"/>
      <c r="F2005" s="75"/>
      <c r="G2005" s="75"/>
      <c r="H2005" s="75"/>
      <c r="I2005" s="75"/>
      <c r="J2005" s="166"/>
      <c r="K2005" s="166"/>
      <c r="R2005" s="163"/>
      <c r="S2005" s="163"/>
    </row>
    <row r="2006">
      <c r="A2006" s="148"/>
      <c r="B2006" s="75"/>
      <c r="C2006" s="75"/>
      <c r="D2006" s="75"/>
      <c r="E2006" s="75"/>
      <c r="F2006" s="75"/>
      <c r="G2006" s="75"/>
      <c r="H2006" s="75"/>
      <c r="I2006" s="75"/>
      <c r="J2006" s="166"/>
      <c r="K2006" s="166"/>
      <c r="R2006" s="163"/>
      <c r="S2006" s="163"/>
    </row>
    <row r="2007">
      <c r="A2007" s="148"/>
      <c r="B2007" s="75"/>
      <c r="C2007" s="75"/>
      <c r="D2007" s="75"/>
      <c r="E2007" s="75"/>
      <c r="F2007" s="75"/>
      <c r="G2007" s="75"/>
      <c r="H2007" s="75"/>
      <c r="I2007" s="75"/>
      <c r="J2007" s="166"/>
      <c r="K2007" s="166"/>
      <c r="R2007" s="163"/>
      <c r="S2007" s="163"/>
    </row>
    <row r="2008">
      <c r="A2008" s="148"/>
      <c r="B2008" s="75"/>
      <c r="C2008" s="75"/>
      <c r="D2008" s="75"/>
      <c r="E2008" s="75"/>
      <c r="F2008" s="75"/>
      <c r="G2008" s="75"/>
      <c r="H2008" s="75"/>
      <c r="I2008" s="75"/>
      <c r="J2008" s="166"/>
      <c r="K2008" s="166"/>
      <c r="R2008" s="163"/>
      <c r="S2008" s="163"/>
    </row>
    <row r="2009">
      <c r="A2009" s="148"/>
      <c r="B2009" s="75"/>
      <c r="C2009" s="75"/>
      <c r="D2009" s="75"/>
      <c r="E2009" s="75"/>
      <c r="F2009" s="75"/>
      <c r="G2009" s="75"/>
      <c r="H2009" s="75"/>
      <c r="I2009" s="75"/>
      <c r="J2009" s="166"/>
      <c r="K2009" s="166"/>
      <c r="R2009" s="163"/>
      <c r="S2009" s="163"/>
    </row>
    <row r="2010">
      <c r="A2010" s="148"/>
      <c r="B2010" s="75"/>
      <c r="C2010" s="75"/>
      <c r="D2010" s="75"/>
      <c r="E2010" s="75"/>
      <c r="F2010" s="75"/>
      <c r="G2010" s="75"/>
      <c r="H2010" s="75"/>
      <c r="I2010" s="75"/>
      <c r="J2010" s="166"/>
      <c r="K2010" s="166"/>
      <c r="R2010" s="163"/>
      <c r="S2010" s="163"/>
    </row>
    <row r="2011">
      <c r="A2011" s="148"/>
      <c r="B2011" s="75"/>
      <c r="C2011" s="75"/>
      <c r="D2011" s="75"/>
      <c r="E2011" s="75"/>
      <c r="F2011" s="75"/>
      <c r="G2011" s="75"/>
      <c r="H2011" s="75"/>
      <c r="I2011" s="75"/>
      <c r="J2011" s="166"/>
      <c r="K2011" s="166"/>
      <c r="R2011" s="163"/>
      <c r="S2011" s="163"/>
    </row>
    <row r="2012">
      <c r="A2012" s="148"/>
      <c r="B2012" s="75"/>
      <c r="C2012" s="75"/>
      <c r="D2012" s="75"/>
      <c r="E2012" s="75"/>
      <c r="F2012" s="75"/>
      <c r="G2012" s="75"/>
      <c r="H2012" s="75"/>
      <c r="I2012" s="75"/>
      <c r="J2012" s="166"/>
      <c r="K2012" s="166"/>
      <c r="R2012" s="163"/>
      <c r="S2012" s="163"/>
    </row>
    <row r="2013">
      <c r="A2013" s="148"/>
      <c r="B2013" s="75"/>
      <c r="C2013" s="75"/>
      <c r="D2013" s="75"/>
      <c r="E2013" s="75"/>
      <c r="F2013" s="75"/>
      <c r="G2013" s="75"/>
      <c r="H2013" s="75"/>
      <c r="I2013" s="75"/>
      <c r="J2013" s="166"/>
      <c r="K2013" s="166"/>
      <c r="R2013" s="173"/>
      <c r="S2013" s="173"/>
    </row>
    <row r="2014">
      <c r="A2014" s="148"/>
      <c r="B2014" s="75"/>
      <c r="C2014" s="75"/>
      <c r="D2014" s="75"/>
      <c r="E2014" s="75"/>
      <c r="F2014" s="75"/>
      <c r="G2014" s="75"/>
      <c r="H2014" s="75"/>
      <c r="I2014" s="75"/>
      <c r="J2014" s="166"/>
      <c r="K2014" s="166"/>
      <c r="R2014" s="157"/>
      <c r="S2014" s="157"/>
    </row>
    <row r="2015">
      <c r="A2015" s="148"/>
      <c r="B2015" s="75"/>
      <c r="C2015" s="75"/>
      <c r="D2015" s="75"/>
      <c r="E2015" s="75"/>
      <c r="F2015" s="75"/>
      <c r="G2015" s="75"/>
      <c r="H2015" s="75"/>
      <c r="I2015" s="75"/>
      <c r="J2015" s="166"/>
      <c r="K2015" s="166"/>
      <c r="R2015" s="163"/>
      <c r="S2015" s="163"/>
    </row>
    <row r="2016">
      <c r="A2016" s="148"/>
      <c r="B2016" s="75"/>
      <c r="C2016" s="75"/>
      <c r="D2016" s="75"/>
      <c r="E2016" s="75"/>
      <c r="F2016" s="75"/>
      <c r="G2016" s="75"/>
      <c r="H2016" s="75"/>
      <c r="I2016" s="75"/>
      <c r="J2016" s="166"/>
      <c r="K2016" s="166"/>
      <c r="R2016" s="163"/>
      <c r="S2016" s="163"/>
    </row>
    <row r="2017">
      <c r="A2017" s="148"/>
      <c r="B2017" s="75"/>
      <c r="C2017" s="75"/>
      <c r="D2017" s="75"/>
      <c r="E2017" s="75"/>
      <c r="F2017" s="75"/>
      <c r="G2017" s="75"/>
      <c r="H2017" s="75"/>
      <c r="I2017" s="75"/>
      <c r="J2017" s="166"/>
      <c r="K2017" s="166"/>
      <c r="R2017" s="163"/>
      <c r="S2017" s="163"/>
    </row>
    <row r="2018">
      <c r="A2018" s="148"/>
      <c r="B2018" s="75"/>
      <c r="C2018" s="75"/>
      <c r="D2018" s="75"/>
      <c r="E2018" s="75"/>
      <c r="F2018" s="75"/>
      <c r="G2018" s="75"/>
      <c r="H2018" s="75"/>
      <c r="I2018" s="75"/>
      <c r="J2018" s="166"/>
      <c r="K2018" s="166"/>
      <c r="R2018" s="163"/>
      <c r="S2018" s="163"/>
    </row>
    <row r="2019">
      <c r="A2019" s="148"/>
      <c r="B2019" s="75"/>
      <c r="C2019" s="75"/>
      <c r="D2019" s="75"/>
      <c r="E2019" s="75"/>
      <c r="F2019" s="75"/>
      <c r="G2019" s="75"/>
      <c r="H2019" s="75"/>
      <c r="I2019" s="75"/>
      <c r="J2019" s="166"/>
      <c r="K2019" s="166"/>
      <c r="R2019" s="163"/>
      <c r="S2019" s="163"/>
    </row>
    <row r="2020">
      <c r="A2020" s="148"/>
      <c r="B2020" s="75"/>
      <c r="C2020" s="75"/>
      <c r="D2020" s="75"/>
      <c r="E2020" s="75"/>
      <c r="F2020" s="75"/>
      <c r="G2020" s="75"/>
      <c r="H2020" s="75"/>
      <c r="I2020" s="75"/>
      <c r="J2020" s="166"/>
      <c r="K2020" s="166"/>
      <c r="R2020" s="163"/>
      <c r="S2020" s="163"/>
    </row>
    <row r="2021">
      <c r="A2021" s="148"/>
      <c r="B2021" s="75"/>
      <c r="C2021" s="75"/>
      <c r="D2021" s="75"/>
      <c r="E2021" s="75"/>
      <c r="F2021" s="75"/>
      <c r="G2021" s="75"/>
      <c r="H2021" s="75"/>
      <c r="I2021" s="75"/>
      <c r="J2021" s="166"/>
      <c r="K2021" s="166"/>
      <c r="R2021" s="163"/>
      <c r="S2021" s="163"/>
    </row>
    <row r="2022">
      <c r="A2022" s="148"/>
      <c r="B2022" s="75"/>
      <c r="C2022" s="75"/>
      <c r="D2022" s="75"/>
      <c r="E2022" s="75"/>
      <c r="F2022" s="75"/>
      <c r="G2022" s="75"/>
      <c r="H2022" s="75"/>
      <c r="I2022" s="75"/>
      <c r="J2022" s="166"/>
      <c r="K2022" s="166"/>
      <c r="R2022" s="163"/>
      <c r="S2022" s="163"/>
    </row>
    <row r="2023">
      <c r="A2023" s="148"/>
      <c r="B2023" s="75"/>
      <c r="C2023" s="75"/>
      <c r="D2023" s="75"/>
      <c r="E2023" s="75"/>
      <c r="F2023" s="75"/>
      <c r="G2023" s="75"/>
      <c r="H2023" s="75"/>
      <c r="I2023" s="75"/>
      <c r="J2023" s="166"/>
      <c r="K2023" s="166"/>
      <c r="R2023" s="163"/>
      <c r="S2023" s="163"/>
    </row>
    <row r="2024">
      <c r="A2024" s="148"/>
      <c r="B2024" s="75"/>
      <c r="C2024" s="75"/>
      <c r="D2024" s="75"/>
      <c r="E2024" s="75"/>
      <c r="F2024" s="75"/>
      <c r="G2024" s="75"/>
      <c r="H2024" s="75"/>
      <c r="I2024" s="75"/>
      <c r="J2024" s="166"/>
      <c r="K2024" s="166"/>
      <c r="R2024" s="163"/>
      <c r="S2024" s="163"/>
    </row>
    <row r="2025">
      <c r="A2025" s="148"/>
      <c r="B2025" s="75"/>
      <c r="C2025" s="75"/>
      <c r="D2025" s="75"/>
      <c r="E2025" s="75"/>
      <c r="F2025" s="75"/>
      <c r="G2025" s="75"/>
      <c r="H2025" s="75"/>
      <c r="I2025" s="75"/>
      <c r="J2025" s="166"/>
      <c r="K2025" s="166"/>
      <c r="R2025" s="173"/>
      <c r="S2025" s="173"/>
    </row>
    <row r="2026">
      <c r="A2026" s="148"/>
      <c r="B2026" s="75"/>
      <c r="C2026" s="75"/>
      <c r="D2026" s="75"/>
      <c r="E2026" s="75"/>
      <c r="F2026" s="75"/>
      <c r="G2026" s="75"/>
      <c r="H2026" s="75"/>
      <c r="I2026" s="75"/>
      <c r="J2026" s="166"/>
      <c r="K2026" s="166"/>
      <c r="R2026" s="157"/>
      <c r="S2026" s="157"/>
    </row>
    <row r="2027">
      <c r="A2027" s="148"/>
      <c r="B2027" s="75"/>
      <c r="C2027" s="75"/>
      <c r="D2027" s="75"/>
      <c r="E2027" s="75"/>
      <c r="F2027" s="75"/>
      <c r="G2027" s="75"/>
      <c r="H2027" s="75"/>
      <c r="I2027" s="75"/>
      <c r="J2027" s="166"/>
      <c r="K2027" s="166"/>
      <c r="R2027" s="163"/>
      <c r="S2027" s="163"/>
    </row>
    <row r="2028">
      <c r="A2028" s="148"/>
      <c r="B2028" s="75"/>
      <c r="C2028" s="75"/>
      <c r="D2028" s="75"/>
      <c r="E2028" s="75"/>
      <c r="F2028" s="75"/>
      <c r="G2028" s="75"/>
      <c r="H2028" s="75"/>
      <c r="I2028" s="75"/>
      <c r="J2028" s="166"/>
      <c r="K2028" s="166"/>
      <c r="R2028" s="163"/>
      <c r="S2028" s="163"/>
    </row>
    <row r="2029">
      <c r="A2029" s="148"/>
      <c r="B2029" s="75"/>
      <c r="C2029" s="75"/>
      <c r="D2029" s="75"/>
      <c r="E2029" s="75"/>
      <c r="F2029" s="75"/>
      <c r="G2029" s="75"/>
      <c r="H2029" s="75"/>
      <c r="I2029" s="75"/>
      <c r="J2029" s="166"/>
      <c r="K2029" s="166"/>
      <c r="R2029" s="163"/>
      <c r="S2029" s="163"/>
    </row>
    <row r="2030">
      <c r="A2030" s="148"/>
      <c r="B2030" s="75"/>
      <c r="C2030" s="75"/>
      <c r="D2030" s="75"/>
      <c r="E2030" s="75"/>
      <c r="F2030" s="75"/>
      <c r="G2030" s="75"/>
      <c r="H2030" s="75"/>
      <c r="I2030" s="75"/>
      <c r="J2030" s="166"/>
      <c r="K2030" s="166"/>
      <c r="R2030" s="163"/>
      <c r="S2030" s="163"/>
    </row>
    <row r="2031">
      <c r="A2031" s="148"/>
      <c r="B2031" s="75"/>
      <c r="C2031" s="75"/>
      <c r="D2031" s="75"/>
      <c r="E2031" s="75"/>
      <c r="F2031" s="75"/>
      <c r="G2031" s="75"/>
      <c r="H2031" s="75"/>
      <c r="I2031" s="75"/>
      <c r="J2031" s="166"/>
      <c r="K2031" s="166"/>
      <c r="R2031" s="163"/>
      <c r="S2031" s="163"/>
    </row>
    <row r="2032">
      <c r="A2032" s="148"/>
      <c r="B2032" s="75"/>
      <c r="C2032" s="75"/>
      <c r="D2032" s="75"/>
      <c r="E2032" s="75"/>
      <c r="F2032" s="75"/>
      <c r="G2032" s="75"/>
      <c r="H2032" s="75"/>
      <c r="I2032" s="75"/>
      <c r="J2032" s="166"/>
      <c r="K2032" s="166"/>
      <c r="R2032" s="163"/>
      <c r="S2032" s="163"/>
    </row>
    <row r="2033">
      <c r="A2033" s="148"/>
      <c r="B2033" s="75"/>
      <c r="C2033" s="75"/>
      <c r="D2033" s="75"/>
      <c r="E2033" s="75"/>
      <c r="F2033" s="75"/>
      <c r="G2033" s="75"/>
      <c r="H2033" s="75"/>
      <c r="I2033" s="75"/>
      <c r="J2033" s="166"/>
      <c r="K2033" s="166"/>
      <c r="R2033" s="163"/>
      <c r="S2033" s="163"/>
    </row>
    <row r="2034">
      <c r="A2034" s="148"/>
      <c r="B2034" s="75"/>
      <c r="C2034" s="75"/>
      <c r="D2034" s="75"/>
      <c r="E2034" s="75"/>
      <c r="F2034" s="75"/>
      <c r="G2034" s="75"/>
      <c r="H2034" s="75"/>
      <c r="I2034" s="75"/>
      <c r="J2034" s="166"/>
      <c r="K2034" s="166"/>
      <c r="R2034" s="163"/>
      <c r="S2034" s="163"/>
    </row>
    <row r="2035">
      <c r="A2035" s="148"/>
      <c r="B2035" s="75"/>
      <c r="C2035" s="75"/>
      <c r="D2035" s="75"/>
      <c r="E2035" s="75"/>
      <c r="F2035" s="75"/>
      <c r="G2035" s="75"/>
      <c r="H2035" s="75"/>
      <c r="I2035" s="75"/>
      <c r="J2035" s="166"/>
      <c r="K2035" s="166"/>
      <c r="R2035" s="163"/>
      <c r="S2035" s="163"/>
    </row>
    <row r="2036">
      <c r="A2036" s="148"/>
      <c r="B2036" s="75"/>
      <c r="C2036" s="75"/>
      <c r="D2036" s="75"/>
      <c r="E2036" s="75"/>
      <c r="F2036" s="75"/>
      <c r="G2036" s="75"/>
      <c r="H2036" s="75"/>
      <c r="I2036" s="75"/>
      <c r="J2036" s="166"/>
      <c r="K2036" s="166"/>
      <c r="R2036" s="163"/>
      <c r="S2036" s="163"/>
    </row>
    <row r="2037">
      <c r="A2037" s="148"/>
      <c r="B2037" s="75"/>
      <c r="C2037" s="75"/>
      <c r="D2037" s="75"/>
      <c r="E2037" s="75"/>
      <c r="F2037" s="75"/>
      <c r="G2037" s="75"/>
      <c r="H2037" s="75"/>
      <c r="I2037" s="75"/>
      <c r="J2037" s="166"/>
      <c r="K2037" s="166"/>
      <c r="R2037" s="173"/>
      <c r="S2037" s="173"/>
    </row>
    <row r="2038">
      <c r="A2038" s="148"/>
      <c r="B2038" s="75"/>
      <c r="C2038" s="75"/>
      <c r="D2038" s="75"/>
      <c r="E2038" s="75"/>
      <c r="F2038" s="75"/>
      <c r="G2038" s="75"/>
      <c r="H2038" s="75"/>
      <c r="I2038" s="75"/>
      <c r="J2038" s="166"/>
      <c r="K2038" s="166"/>
      <c r="R2038" s="157"/>
      <c r="S2038" s="157"/>
    </row>
    <row r="2039">
      <c r="A2039" s="148"/>
      <c r="B2039" s="75"/>
      <c r="C2039" s="75"/>
      <c r="D2039" s="75"/>
      <c r="E2039" s="75"/>
      <c r="F2039" s="75"/>
      <c r="G2039" s="75"/>
      <c r="H2039" s="75"/>
      <c r="I2039" s="75"/>
      <c r="J2039" s="166"/>
      <c r="K2039" s="166"/>
      <c r="R2039" s="163"/>
      <c r="S2039" s="163"/>
    </row>
    <row r="2040">
      <c r="A2040" s="148"/>
      <c r="B2040" s="75"/>
      <c r="C2040" s="75"/>
      <c r="D2040" s="75"/>
      <c r="E2040" s="75"/>
      <c r="F2040" s="75"/>
      <c r="G2040" s="75"/>
      <c r="H2040" s="75"/>
      <c r="I2040" s="75"/>
      <c r="J2040" s="166"/>
      <c r="K2040" s="166"/>
      <c r="R2040" s="163"/>
      <c r="S2040" s="163"/>
    </row>
    <row r="2041">
      <c r="A2041" s="148"/>
      <c r="B2041" s="75"/>
      <c r="C2041" s="75"/>
      <c r="D2041" s="75"/>
      <c r="E2041" s="75"/>
      <c r="F2041" s="75"/>
      <c r="G2041" s="75"/>
      <c r="H2041" s="75"/>
      <c r="I2041" s="75"/>
      <c r="J2041" s="166"/>
      <c r="K2041" s="166"/>
      <c r="R2041" s="163"/>
      <c r="S2041" s="163"/>
    </row>
    <row r="2042">
      <c r="A2042" s="148"/>
      <c r="B2042" s="75"/>
      <c r="C2042" s="75"/>
      <c r="D2042" s="75"/>
      <c r="E2042" s="75"/>
      <c r="F2042" s="75"/>
      <c r="G2042" s="75"/>
      <c r="H2042" s="75"/>
      <c r="I2042" s="75"/>
      <c r="J2042" s="166"/>
      <c r="K2042" s="166"/>
      <c r="R2042" s="163"/>
      <c r="S2042" s="163"/>
    </row>
    <row r="2043">
      <c r="A2043" s="148"/>
      <c r="B2043" s="75"/>
      <c r="C2043" s="75"/>
      <c r="D2043" s="75"/>
      <c r="E2043" s="75"/>
      <c r="F2043" s="75"/>
      <c r="G2043" s="75"/>
      <c r="H2043" s="75"/>
      <c r="I2043" s="75"/>
      <c r="J2043" s="166"/>
      <c r="K2043" s="166"/>
      <c r="R2043" s="163"/>
      <c r="S2043" s="163"/>
    </row>
    <row r="2044">
      <c r="A2044" s="148"/>
      <c r="B2044" s="75"/>
      <c r="C2044" s="75"/>
      <c r="D2044" s="75"/>
      <c r="E2044" s="75"/>
      <c r="F2044" s="75"/>
      <c r="G2044" s="75"/>
      <c r="H2044" s="75"/>
      <c r="I2044" s="75"/>
      <c r="J2044" s="166"/>
      <c r="K2044" s="166"/>
      <c r="R2044" s="163"/>
      <c r="S2044" s="163"/>
    </row>
    <row r="2045">
      <c r="A2045" s="148"/>
      <c r="B2045" s="75"/>
      <c r="C2045" s="75"/>
      <c r="D2045" s="75"/>
      <c r="E2045" s="75"/>
      <c r="F2045" s="75"/>
      <c r="G2045" s="75"/>
      <c r="H2045" s="75"/>
      <c r="I2045" s="75"/>
      <c r="J2045" s="166"/>
      <c r="K2045" s="166"/>
      <c r="R2045" s="163"/>
      <c r="S2045" s="163"/>
    </row>
    <row r="2046">
      <c r="A2046" s="148"/>
      <c r="B2046" s="75"/>
      <c r="C2046" s="75"/>
      <c r="D2046" s="75"/>
      <c r="E2046" s="75"/>
      <c r="F2046" s="75"/>
      <c r="G2046" s="75"/>
      <c r="H2046" s="75"/>
      <c r="I2046" s="75"/>
      <c r="J2046" s="166"/>
      <c r="K2046" s="166"/>
      <c r="R2046" s="163"/>
      <c r="S2046" s="163"/>
    </row>
    <row r="2047">
      <c r="A2047" s="148"/>
      <c r="B2047" s="75"/>
      <c r="C2047" s="75"/>
      <c r="D2047" s="75"/>
      <c r="E2047" s="75"/>
      <c r="F2047" s="75"/>
      <c r="G2047" s="75"/>
      <c r="H2047" s="75"/>
      <c r="I2047" s="75"/>
      <c r="J2047" s="166"/>
      <c r="K2047" s="166"/>
      <c r="R2047" s="163"/>
      <c r="S2047" s="163"/>
    </row>
    <row r="2048">
      <c r="A2048" s="148"/>
      <c r="B2048" s="75"/>
      <c r="C2048" s="75"/>
      <c r="D2048" s="75"/>
      <c r="E2048" s="75"/>
      <c r="F2048" s="75"/>
      <c r="G2048" s="75"/>
      <c r="H2048" s="75"/>
      <c r="I2048" s="75"/>
      <c r="J2048" s="166"/>
      <c r="K2048" s="166"/>
      <c r="R2048" s="163"/>
      <c r="S2048" s="163"/>
    </row>
    <row r="2049">
      <c r="A2049" s="148"/>
      <c r="B2049" s="75"/>
      <c r="C2049" s="75"/>
      <c r="D2049" s="75"/>
      <c r="E2049" s="75"/>
      <c r="F2049" s="75"/>
      <c r="G2049" s="75"/>
      <c r="H2049" s="75"/>
      <c r="I2049" s="75"/>
      <c r="J2049" s="166"/>
      <c r="K2049" s="166"/>
      <c r="R2049" s="173"/>
      <c r="S2049" s="173"/>
    </row>
    <row r="2050">
      <c r="A2050" s="148"/>
      <c r="B2050" s="75"/>
      <c r="C2050" s="75"/>
      <c r="D2050" s="75"/>
      <c r="E2050" s="75"/>
      <c r="F2050" s="75"/>
      <c r="G2050" s="75"/>
      <c r="H2050" s="75"/>
      <c r="I2050" s="75"/>
      <c r="J2050" s="166"/>
      <c r="K2050" s="166"/>
      <c r="R2050" s="157"/>
      <c r="S2050" s="157"/>
    </row>
    <row r="2051">
      <c r="A2051" s="148"/>
      <c r="B2051" s="75"/>
      <c r="C2051" s="75"/>
      <c r="D2051" s="75"/>
      <c r="E2051" s="75"/>
      <c r="F2051" s="75"/>
      <c r="G2051" s="75"/>
      <c r="H2051" s="75"/>
      <c r="I2051" s="75"/>
      <c r="J2051" s="166"/>
      <c r="K2051" s="166"/>
      <c r="R2051" s="163"/>
      <c r="S2051" s="163"/>
    </row>
    <row r="2052">
      <c r="A2052" s="148"/>
      <c r="B2052" s="75"/>
      <c r="C2052" s="75"/>
      <c r="D2052" s="75"/>
      <c r="E2052" s="75"/>
      <c r="F2052" s="75"/>
      <c r="G2052" s="75"/>
      <c r="H2052" s="75"/>
      <c r="I2052" s="75"/>
      <c r="J2052" s="166"/>
      <c r="K2052" s="166"/>
      <c r="R2052" s="163"/>
      <c r="S2052" s="163"/>
    </row>
    <row r="2053">
      <c r="A2053" s="148"/>
      <c r="B2053" s="75"/>
      <c r="C2053" s="75"/>
      <c r="D2053" s="75"/>
      <c r="E2053" s="75"/>
      <c r="F2053" s="75"/>
      <c r="G2053" s="75"/>
      <c r="H2053" s="75"/>
      <c r="I2053" s="75"/>
      <c r="J2053" s="166"/>
      <c r="K2053" s="166"/>
      <c r="R2053" s="163"/>
      <c r="S2053" s="163"/>
    </row>
    <row r="2054">
      <c r="A2054" s="148"/>
      <c r="B2054" s="75"/>
      <c r="C2054" s="75"/>
      <c r="D2054" s="75"/>
      <c r="E2054" s="75"/>
      <c r="F2054" s="75"/>
      <c r="G2054" s="75"/>
      <c r="H2054" s="75"/>
      <c r="I2054" s="75"/>
      <c r="J2054" s="166"/>
      <c r="K2054" s="166"/>
      <c r="R2054" s="163"/>
      <c r="S2054" s="163"/>
    </row>
    <row r="2055">
      <c r="A2055" s="148"/>
      <c r="B2055" s="75"/>
      <c r="C2055" s="75"/>
      <c r="D2055" s="75"/>
      <c r="E2055" s="75"/>
      <c r="F2055" s="75"/>
      <c r="G2055" s="75"/>
      <c r="H2055" s="75"/>
      <c r="I2055" s="75"/>
      <c r="J2055" s="166"/>
      <c r="K2055" s="166"/>
      <c r="R2055" s="163"/>
      <c r="S2055" s="163"/>
    </row>
    <row r="2056">
      <c r="A2056" s="148"/>
      <c r="B2056" s="75"/>
      <c r="C2056" s="75"/>
      <c r="D2056" s="75"/>
      <c r="E2056" s="75"/>
      <c r="F2056" s="75"/>
      <c r="G2056" s="75"/>
      <c r="H2056" s="75"/>
      <c r="I2056" s="75"/>
      <c r="J2056" s="166"/>
      <c r="K2056" s="166"/>
      <c r="R2056" s="163"/>
      <c r="S2056" s="163"/>
    </row>
    <row r="2057">
      <c r="A2057" s="148"/>
      <c r="B2057" s="75"/>
      <c r="C2057" s="75"/>
      <c r="D2057" s="75"/>
      <c r="E2057" s="75"/>
      <c r="F2057" s="75"/>
      <c r="G2057" s="75"/>
      <c r="H2057" s="75"/>
      <c r="I2057" s="75"/>
      <c r="J2057" s="166"/>
      <c r="K2057" s="166"/>
      <c r="R2057" s="163"/>
      <c r="S2057" s="163"/>
    </row>
    <row r="2058">
      <c r="A2058" s="148"/>
      <c r="B2058" s="75"/>
      <c r="C2058" s="75"/>
      <c r="D2058" s="75"/>
      <c r="E2058" s="75"/>
      <c r="F2058" s="75"/>
      <c r="G2058" s="75"/>
      <c r="H2058" s="75"/>
      <c r="I2058" s="75"/>
      <c r="J2058" s="166"/>
      <c r="K2058" s="166"/>
      <c r="R2058" s="163"/>
      <c r="S2058" s="163"/>
    </row>
    <row r="2059">
      <c r="A2059" s="148"/>
      <c r="B2059" s="75"/>
      <c r="C2059" s="75"/>
      <c r="D2059" s="75"/>
      <c r="E2059" s="75"/>
      <c r="F2059" s="75"/>
      <c r="G2059" s="75"/>
      <c r="H2059" s="75"/>
      <c r="I2059" s="75"/>
      <c r="J2059" s="166"/>
      <c r="K2059" s="166"/>
      <c r="R2059" s="163"/>
      <c r="S2059" s="163"/>
    </row>
    <row r="2060">
      <c r="A2060" s="148"/>
      <c r="B2060" s="75"/>
      <c r="C2060" s="75"/>
      <c r="D2060" s="75"/>
      <c r="E2060" s="75"/>
      <c r="F2060" s="75"/>
      <c r="G2060" s="75"/>
      <c r="H2060" s="75"/>
      <c r="I2060" s="75"/>
      <c r="J2060" s="166"/>
      <c r="K2060" s="166"/>
      <c r="R2060" s="163"/>
      <c r="S2060" s="163"/>
    </row>
    <row r="2061">
      <c r="A2061" s="148"/>
      <c r="B2061" s="75"/>
      <c r="C2061" s="75"/>
      <c r="D2061" s="75"/>
      <c r="E2061" s="75"/>
      <c r="F2061" s="75"/>
      <c r="G2061" s="75"/>
      <c r="H2061" s="75"/>
      <c r="I2061" s="75"/>
      <c r="J2061" s="166"/>
      <c r="K2061" s="166"/>
      <c r="R2061" s="173"/>
      <c r="S2061" s="173"/>
    </row>
    <row r="2062">
      <c r="A2062" s="148"/>
      <c r="B2062" s="75"/>
      <c r="C2062" s="75"/>
      <c r="D2062" s="75"/>
      <c r="E2062" s="75"/>
      <c r="F2062" s="75"/>
      <c r="G2062" s="75"/>
      <c r="H2062" s="75"/>
      <c r="I2062" s="75"/>
      <c r="J2062" s="166"/>
      <c r="K2062" s="166"/>
      <c r="R2062" s="157"/>
      <c r="S2062" s="157"/>
    </row>
    <row r="2063">
      <c r="A2063" s="148"/>
      <c r="B2063" s="75"/>
      <c r="C2063" s="75"/>
      <c r="D2063" s="75"/>
      <c r="E2063" s="75"/>
      <c r="F2063" s="75"/>
      <c r="G2063" s="75"/>
      <c r="H2063" s="75"/>
      <c r="I2063" s="75"/>
      <c r="J2063" s="166"/>
      <c r="K2063" s="166"/>
      <c r="R2063" s="163"/>
      <c r="S2063" s="163"/>
    </row>
    <row r="2064">
      <c r="A2064" s="148"/>
      <c r="B2064" s="75"/>
      <c r="C2064" s="75"/>
      <c r="D2064" s="75"/>
      <c r="E2064" s="75"/>
      <c r="F2064" s="75"/>
      <c r="G2064" s="75"/>
      <c r="H2064" s="75"/>
      <c r="I2064" s="75"/>
      <c r="J2064" s="166"/>
      <c r="K2064" s="166"/>
      <c r="R2064" s="163"/>
      <c r="S2064" s="163"/>
    </row>
    <row r="2065">
      <c r="A2065" s="148"/>
      <c r="B2065" s="75"/>
      <c r="C2065" s="75"/>
      <c r="D2065" s="75"/>
      <c r="E2065" s="75"/>
      <c r="F2065" s="75"/>
      <c r="G2065" s="75"/>
      <c r="H2065" s="75"/>
      <c r="I2065" s="75"/>
      <c r="J2065" s="166"/>
      <c r="K2065" s="166"/>
      <c r="R2065" s="163"/>
      <c r="S2065" s="163"/>
    </row>
    <row r="2066">
      <c r="A2066" s="148"/>
      <c r="B2066" s="75"/>
      <c r="C2066" s="75"/>
      <c r="D2066" s="75"/>
      <c r="E2066" s="75"/>
      <c r="F2066" s="75"/>
      <c r="G2066" s="75"/>
      <c r="H2066" s="75"/>
      <c r="I2066" s="75"/>
      <c r="J2066" s="166"/>
      <c r="K2066" s="166"/>
      <c r="R2066" s="163"/>
      <c r="S2066" s="163"/>
    </row>
    <row r="2067">
      <c r="A2067" s="148"/>
      <c r="B2067" s="75"/>
      <c r="C2067" s="75"/>
      <c r="D2067" s="75"/>
      <c r="E2067" s="75"/>
      <c r="F2067" s="75"/>
      <c r="G2067" s="75"/>
      <c r="H2067" s="75"/>
      <c r="I2067" s="75"/>
      <c r="J2067" s="166"/>
      <c r="K2067" s="166"/>
      <c r="R2067" s="163"/>
      <c r="S2067" s="163"/>
    </row>
    <row r="2068">
      <c r="A2068" s="148"/>
      <c r="B2068" s="75"/>
      <c r="C2068" s="75"/>
      <c r="D2068" s="75"/>
      <c r="E2068" s="75"/>
      <c r="F2068" s="75"/>
      <c r="G2068" s="75"/>
      <c r="H2068" s="75"/>
      <c r="I2068" s="75"/>
      <c r="J2068" s="166"/>
      <c r="K2068" s="166"/>
      <c r="R2068" s="163"/>
      <c r="S2068" s="163"/>
    </row>
    <row r="2069">
      <c r="A2069" s="148"/>
      <c r="B2069" s="75"/>
      <c r="C2069" s="75"/>
      <c r="D2069" s="75"/>
      <c r="E2069" s="75"/>
      <c r="F2069" s="75"/>
      <c r="G2069" s="75"/>
      <c r="H2069" s="75"/>
      <c r="I2069" s="75"/>
      <c r="J2069" s="166"/>
      <c r="K2069" s="166"/>
      <c r="R2069" s="163"/>
      <c r="S2069" s="163"/>
    </row>
    <row r="2070">
      <c r="A2070" s="148"/>
      <c r="B2070" s="75"/>
      <c r="C2070" s="75"/>
      <c r="D2070" s="75"/>
      <c r="E2070" s="75"/>
      <c r="F2070" s="75"/>
      <c r="G2070" s="75"/>
      <c r="H2070" s="75"/>
      <c r="I2070" s="75"/>
      <c r="J2070" s="166"/>
      <c r="K2070" s="166"/>
      <c r="R2070" s="163"/>
      <c r="S2070" s="163"/>
    </row>
    <row r="2071">
      <c r="A2071" s="148"/>
      <c r="B2071" s="75"/>
      <c r="C2071" s="75"/>
      <c r="D2071" s="75"/>
      <c r="E2071" s="75"/>
      <c r="F2071" s="75"/>
      <c r="G2071" s="75"/>
      <c r="H2071" s="75"/>
      <c r="I2071" s="75"/>
      <c r="J2071" s="166"/>
      <c r="K2071" s="166"/>
      <c r="R2071" s="163"/>
      <c r="S2071" s="163"/>
    </row>
    <row r="2072">
      <c r="A2072" s="148"/>
      <c r="B2072" s="75"/>
      <c r="C2072" s="75"/>
      <c r="D2072" s="75"/>
      <c r="E2072" s="75"/>
      <c r="F2072" s="75"/>
      <c r="G2072" s="75"/>
      <c r="H2072" s="75"/>
      <c r="I2072" s="75"/>
      <c r="J2072" s="166"/>
      <c r="K2072" s="166"/>
      <c r="R2072" s="163"/>
      <c r="S2072" s="163"/>
    </row>
    <row r="2073">
      <c r="A2073" s="148"/>
      <c r="B2073" s="75"/>
      <c r="C2073" s="75"/>
      <c r="D2073" s="75"/>
      <c r="E2073" s="75"/>
      <c r="F2073" s="75"/>
      <c r="G2073" s="75"/>
      <c r="H2073" s="75"/>
      <c r="I2073" s="75"/>
      <c r="J2073" s="166"/>
      <c r="K2073" s="166"/>
      <c r="R2073" s="173"/>
      <c r="S2073" s="173"/>
    </row>
    <row r="2074">
      <c r="A2074" s="148"/>
      <c r="B2074" s="75"/>
      <c r="C2074" s="75"/>
      <c r="D2074" s="75"/>
      <c r="E2074" s="75"/>
      <c r="F2074" s="75"/>
      <c r="G2074" s="75"/>
      <c r="H2074" s="75"/>
      <c r="I2074" s="75"/>
      <c r="J2074" s="166"/>
      <c r="K2074" s="166"/>
      <c r="R2074" s="157"/>
      <c r="S2074" s="157"/>
    </row>
    <row r="2075">
      <c r="A2075" s="148"/>
      <c r="B2075" s="75"/>
      <c r="C2075" s="75"/>
      <c r="D2075" s="75"/>
      <c r="E2075" s="75"/>
      <c r="F2075" s="75"/>
      <c r="G2075" s="75"/>
      <c r="H2075" s="75"/>
      <c r="I2075" s="75"/>
      <c r="J2075" s="166"/>
      <c r="K2075" s="166"/>
      <c r="R2075" s="163"/>
      <c r="S2075" s="163"/>
    </row>
    <row r="2076">
      <c r="A2076" s="148"/>
      <c r="B2076" s="75"/>
      <c r="C2076" s="75"/>
      <c r="D2076" s="75"/>
      <c r="E2076" s="75"/>
      <c r="F2076" s="75"/>
      <c r="G2076" s="75"/>
      <c r="H2076" s="75"/>
      <c r="I2076" s="75"/>
      <c r="J2076" s="166"/>
      <c r="K2076" s="166"/>
      <c r="R2076" s="163"/>
      <c r="S2076" s="163"/>
    </row>
    <row r="2077">
      <c r="A2077" s="148"/>
      <c r="B2077" s="75"/>
      <c r="C2077" s="75"/>
      <c r="D2077" s="75"/>
      <c r="E2077" s="75"/>
      <c r="F2077" s="75"/>
      <c r="G2077" s="75"/>
      <c r="H2077" s="75"/>
      <c r="I2077" s="75"/>
      <c r="J2077" s="166"/>
      <c r="K2077" s="166"/>
      <c r="R2077" s="163"/>
      <c r="S2077" s="163"/>
    </row>
    <row r="2078">
      <c r="A2078" s="148"/>
      <c r="B2078" s="75"/>
      <c r="C2078" s="75"/>
      <c r="D2078" s="75"/>
      <c r="E2078" s="75"/>
      <c r="F2078" s="75"/>
      <c r="G2078" s="75"/>
      <c r="H2078" s="75"/>
      <c r="I2078" s="75"/>
      <c r="J2078" s="166"/>
      <c r="K2078" s="166"/>
      <c r="R2078" s="163"/>
      <c r="S2078" s="163"/>
    </row>
    <row r="2079">
      <c r="A2079" s="148"/>
      <c r="B2079" s="75"/>
      <c r="C2079" s="75"/>
      <c r="D2079" s="75"/>
      <c r="E2079" s="75"/>
      <c r="F2079" s="75"/>
      <c r="G2079" s="75"/>
      <c r="H2079" s="75"/>
      <c r="I2079" s="75"/>
      <c r="J2079" s="166"/>
      <c r="K2079" s="166"/>
      <c r="R2079" s="163"/>
      <c r="S2079" s="163"/>
    </row>
    <row r="2080">
      <c r="A2080" s="148"/>
      <c r="B2080" s="75"/>
      <c r="C2080" s="75"/>
      <c r="D2080" s="75"/>
      <c r="E2080" s="75"/>
      <c r="F2080" s="75"/>
      <c r="G2080" s="75"/>
      <c r="H2080" s="75"/>
      <c r="I2080" s="75"/>
      <c r="J2080" s="166"/>
      <c r="K2080" s="166"/>
      <c r="R2080" s="163"/>
      <c r="S2080" s="163"/>
    </row>
    <row r="2081">
      <c r="A2081" s="148"/>
      <c r="B2081" s="75"/>
      <c r="C2081" s="75"/>
      <c r="D2081" s="75"/>
      <c r="E2081" s="75"/>
      <c r="F2081" s="75"/>
      <c r="G2081" s="75"/>
      <c r="H2081" s="75"/>
      <c r="I2081" s="75"/>
      <c r="J2081" s="166"/>
      <c r="K2081" s="166"/>
      <c r="R2081" s="163"/>
      <c r="S2081" s="163"/>
    </row>
    <row r="2082">
      <c r="A2082" s="148"/>
      <c r="B2082" s="75"/>
      <c r="C2082" s="75"/>
      <c r="D2082" s="75"/>
      <c r="E2082" s="75"/>
      <c r="F2082" s="75"/>
      <c r="G2082" s="75"/>
      <c r="H2082" s="75"/>
      <c r="I2082" s="75"/>
      <c r="J2082" s="166"/>
      <c r="K2082" s="166"/>
      <c r="R2082" s="163"/>
      <c r="S2082" s="163"/>
    </row>
    <row r="2083">
      <c r="A2083" s="148"/>
      <c r="B2083" s="75"/>
      <c r="C2083" s="75"/>
      <c r="D2083" s="75"/>
      <c r="E2083" s="75"/>
      <c r="F2083" s="75"/>
      <c r="G2083" s="75"/>
      <c r="H2083" s="75"/>
      <c r="I2083" s="75"/>
      <c r="J2083" s="166"/>
      <c r="K2083" s="166"/>
      <c r="R2083" s="163"/>
      <c r="S2083" s="163"/>
    </row>
    <row r="2084">
      <c r="A2084" s="148"/>
      <c r="B2084" s="75"/>
      <c r="C2084" s="75"/>
      <c r="D2084" s="75"/>
      <c r="E2084" s="75"/>
      <c r="F2084" s="75"/>
      <c r="G2084" s="75"/>
      <c r="H2084" s="75"/>
      <c r="I2084" s="75"/>
      <c r="J2084" s="166"/>
      <c r="K2084" s="166"/>
      <c r="R2084" s="163"/>
      <c r="S2084" s="163"/>
    </row>
    <row r="2085">
      <c r="A2085" s="148"/>
      <c r="B2085" s="75"/>
      <c r="C2085" s="75"/>
      <c r="D2085" s="75"/>
      <c r="E2085" s="75"/>
      <c r="F2085" s="75"/>
      <c r="G2085" s="75"/>
      <c r="H2085" s="75"/>
      <c r="I2085" s="75"/>
      <c r="J2085" s="166"/>
      <c r="K2085" s="166"/>
      <c r="R2085" s="173"/>
      <c r="S2085" s="173"/>
    </row>
    <row r="2086">
      <c r="A2086" s="148"/>
      <c r="B2086" s="75"/>
      <c r="C2086" s="75"/>
      <c r="D2086" s="75"/>
      <c r="E2086" s="75"/>
      <c r="F2086" s="75"/>
      <c r="G2086" s="75"/>
      <c r="H2086" s="75"/>
      <c r="I2086" s="75"/>
      <c r="J2086" s="166"/>
      <c r="K2086" s="166"/>
      <c r="R2086" s="157"/>
      <c r="S2086" s="157"/>
    </row>
    <row r="2087">
      <c r="A2087" s="148"/>
      <c r="B2087" s="75"/>
      <c r="C2087" s="75"/>
      <c r="D2087" s="75"/>
      <c r="E2087" s="75"/>
      <c r="F2087" s="75"/>
      <c r="G2087" s="75"/>
      <c r="H2087" s="75"/>
      <c r="I2087" s="75"/>
      <c r="J2087" s="166"/>
      <c r="K2087" s="166"/>
      <c r="R2087" s="163"/>
      <c r="S2087" s="163"/>
    </row>
    <row r="2088">
      <c r="A2088" s="148"/>
      <c r="B2088" s="75"/>
      <c r="C2088" s="75"/>
      <c r="D2088" s="75"/>
      <c r="E2088" s="75"/>
      <c r="F2088" s="75"/>
      <c r="G2088" s="75"/>
      <c r="H2088" s="75"/>
      <c r="I2088" s="75"/>
      <c r="J2088" s="166"/>
      <c r="K2088" s="166"/>
      <c r="R2088" s="163"/>
      <c r="S2088" s="163"/>
    </row>
    <row r="2089">
      <c r="A2089" s="148"/>
      <c r="B2089" s="75"/>
      <c r="C2089" s="75"/>
      <c r="D2089" s="75"/>
      <c r="E2089" s="75"/>
      <c r="F2089" s="75"/>
      <c r="G2089" s="75"/>
      <c r="H2089" s="75"/>
      <c r="I2089" s="75"/>
      <c r="J2089" s="166"/>
      <c r="K2089" s="166"/>
      <c r="R2089" s="163"/>
      <c r="S2089" s="163"/>
    </row>
    <row r="2090">
      <c r="A2090" s="148"/>
      <c r="B2090" s="75"/>
      <c r="C2090" s="75"/>
      <c r="D2090" s="75"/>
      <c r="E2090" s="75"/>
      <c r="F2090" s="75"/>
      <c r="G2090" s="75"/>
      <c r="H2090" s="75"/>
      <c r="I2090" s="75"/>
      <c r="J2090" s="166"/>
      <c r="K2090" s="166"/>
      <c r="R2090" s="163"/>
      <c r="S2090" s="163"/>
    </row>
    <row r="2091">
      <c r="A2091" s="148"/>
      <c r="B2091" s="75"/>
      <c r="C2091" s="75"/>
      <c r="D2091" s="75"/>
      <c r="E2091" s="75"/>
      <c r="F2091" s="75"/>
      <c r="G2091" s="75"/>
      <c r="H2091" s="75"/>
      <c r="I2091" s="75"/>
      <c r="J2091" s="166"/>
      <c r="K2091" s="166"/>
      <c r="R2091" s="163"/>
      <c r="S2091" s="163"/>
    </row>
    <row r="2092">
      <c r="A2092" s="148"/>
      <c r="B2092" s="75"/>
      <c r="C2092" s="75"/>
      <c r="D2092" s="75"/>
      <c r="E2092" s="75"/>
      <c r="F2092" s="75"/>
      <c r="G2092" s="75"/>
      <c r="H2092" s="75"/>
      <c r="I2092" s="75"/>
      <c r="J2092" s="166"/>
      <c r="K2092" s="166"/>
      <c r="R2092" s="163"/>
      <c r="S2092" s="163"/>
    </row>
    <row r="2093">
      <c r="A2093" s="148"/>
      <c r="B2093" s="75"/>
      <c r="C2093" s="75"/>
      <c r="D2093" s="75"/>
      <c r="E2093" s="75"/>
      <c r="F2093" s="75"/>
      <c r="G2093" s="75"/>
      <c r="H2093" s="75"/>
      <c r="I2093" s="75"/>
      <c r="J2093" s="166"/>
      <c r="K2093" s="166"/>
      <c r="R2093" s="163"/>
      <c r="S2093" s="163"/>
    </row>
    <row r="2094">
      <c r="A2094" s="148"/>
      <c r="B2094" s="75"/>
      <c r="C2094" s="75"/>
      <c r="D2094" s="75"/>
      <c r="E2094" s="75"/>
      <c r="F2094" s="75"/>
      <c r="G2094" s="75"/>
      <c r="H2094" s="75"/>
      <c r="I2094" s="75"/>
      <c r="J2094" s="166"/>
      <c r="K2094" s="166"/>
      <c r="R2094" s="163"/>
      <c r="S2094" s="163"/>
    </row>
    <row r="2095">
      <c r="A2095" s="148"/>
      <c r="B2095" s="75"/>
      <c r="C2095" s="75"/>
      <c r="D2095" s="75"/>
      <c r="E2095" s="75"/>
      <c r="F2095" s="75"/>
      <c r="G2095" s="75"/>
      <c r="H2095" s="75"/>
      <c r="I2095" s="75"/>
      <c r="J2095" s="166"/>
      <c r="K2095" s="166"/>
      <c r="R2095" s="163"/>
      <c r="S2095" s="163"/>
    </row>
    <row r="2096">
      <c r="A2096" s="148"/>
      <c r="B2096" s="75"/>
      <c r="C2096" s="75"/>
      <c r="D2096" s="75"/>
      <c r="E2096" s="75"/>
      <c r="F2096" s="75"/>
      <c r="G2096" s="75"/>
      <c r="H2096" s="75"/>
      <c r="I2096" s="75"/>
      <c r="J2096" s="166"/>
      <c r="K2096" s="166"/>
      <c r="R2096" s="163"/>
      <c r="S2096" s="163"/>
    </row>
    <row r="2097">
      <c r="A2097" s="148"/>
      <c r="B2097" s="75"/>
      <c r="C2097" s="75"/>
      <c r="D2097" s="75"/>
      <c r="E2097" s="75"/>
      <c r="F2097" s="75"/>
      <c r="G2097" s="75"/>
      <c r="H2097" s="75"/>
      <c r="I2097" s="75"/>
      <c r="J2097" s="166"/>
      <c r="K2097" s="166"/>
      <c r="R2097" s="173"/>
      <c r="S2097" s="173"/>
    </row>
    <row r="2098">
      <c r="A2098" s="148"/>
      <c r="B2098" s="75"/>
      <c r="C2098" s="75"/>
      <c r="D2098" s="75"/>
      <c r="E2098" s="75"/>
      <c r="F2098" s="75"/>
      <c r="G2098" s="75"/>
      <c r="H2098" s="75"/>
      <c r="I2098" s="75"/>
      <c r="J2098" s="166"/>
      <c r="K2098" s="166"/>
      <c r="R2098" s="157"/>
      <c r="S2098" s="157"/>
    </row>
    <row r="2099">
      <c r="A2099" s="148"/>
      <c r="B2099" s="75"/>
      <c r="C2099" s="75"/>
      <c r="D2099" s="75"/>
      <c r="E2099" s="75"/>
      <c r="F2099" s="75"/>
      <c r="G2099" s="75"/>
      <c r="H2099" s="75"/>
      <c r="I2099" s="75"/>
      <c r="J2099" s="166"/>
      <c r="K2099" s="166"/>
      <c r="R2099" s="163"/>
      <c r="S2099" s="163"/>
    </row>
    <row r="2100">
      <c r="A2100" s="148"/>
      <c r="B2100" s="75"/>
      <c r="C2100" s="75"/>
      <c r="D2100" s="75"/>
      <c r="E2100" s="75"/>
      <c r="F2100" s="75"/>
      <c r="G2100" s="75"/>
      <c r="H2100" s="75"/>
      <c r="I2100" s="75"/>
      <c r="J2100" s="166"/>
      <c r="K2100" s="166"/>
      <c r="R2100" s="163"/>
      <c r="S2100" s="163"/>
    </row>
    <row r="2101">
      <c r="A2101" s="148"/>
      <c r="B2101" s="75"/>
      <c r="C2101" s="75"/>
      <c r="D2101" s="75"/>
      <c r="E2101" s="75"/>
      <c r="F2101" s="75"/>
      <c r="G2101" s="75"/>
      <c r="H2101" s="75"/>
      <c r="I2101" s="75"/>
      <c r="J2101" s="166"/>
      <c r="K2101" s="166"/>
      <c r="R2101" s="163"/>
      <c r="S2101" s="163"/>
    </row>
    <row r="2102">
      <c r="A2102" s="148"/>
      <c r="B2102" s="75"/>
      <c r="C2102" s="75"/>
      <c r="D2102" s="75"/>
      <c r="E2102" s="75"/>
      <c r="F2102" s="75"/>
      <c r="G2102" s="75"/>
      <c r="H2102" s="75"/>
      <c r="I2102" s="75"/>
      <c r="J2102" s="166"/>
      <c r="K2102" s="166"/>
      <c r="R2102" s="163"/>
      <c r="S2102" s="163"/>
    </row>
    <row r="2103">
      <c r="A2103" s="148"/>
      <c r="B2103" s="75"/>
      <c r="C2103" s="75"/>
      <c r="D2103" s="75"/>
      <c r="E2103" s="75"/>
      <c r="F2103" s="75"/>
      <c r="G2103" s="75"/>
      <c r="H2103" s="75"/>
      <c r="I2103" s="75"/>
      <c r="J2103" s="166"/>
      <c r="K2103" s="166"/>
      <c r="R2103" s="163"/>
      <c r="S2103" s="163"/>
    </row>
    <row r="2104">
      <c r="A2104" s="148"/>
      <c r="B2104" s="75"/>
      <c r="C2104" s="75"/>
      <c r="D2104" s="75"/>
      <c r="E2104" s="75"/>
      <c r="F2104" s="75"/>
      <c r="G2104" s="75"/>
      <c r="H2104" s="75"/>
      <c r="I2104" s="75"/>
      <c r="J2104" s="166"/>
      <c r="K2104" s="166"/>
      <c r="R2104" s="163"/>
      <c r="S2104" s="163"/>
    </row>
    <row r="2105">
      <c r="A2105" s="148"/>
      <c r="B2105" s="75"/>
      <c r="C2105" s="75"/>
      <c r="D2105" s="75"/>
      <c r="E2105" s="75"/>
      <c r="F2105" s="75"/>
      <c r="G2105" s="75"/>
      <c r="H2105" s="75"/>
      <c r="I2105" s="75"/>
      <c r="J2105" s="166"/>
      <c r="K2105" s="166"/>
      <c r="R2105" s="163"/>
      <c r="S2105" s="163"/>
    </row>
    <row r="2106">
      <c r="A2106" s="148"/>
      <c r="B2106" s="75"/>
      <c r="C2106" s="75"/>
      <c r="D2106" s="75"/>
      <c r="E2106" s="75"/>
      <c r="F2106" s="75"/>
      <c r="G2106" s="75"/>
      <c r="H2106" s="75"/>
      <c r="I2106" s="75"/>
      <c r="J2106" s="166"/>
      <c r="K2106" s="166"/>
      <c r="R2106" s="163"/>
      <c r="S2106" s="163"/>
    </row>
    <row r="2107">
      <c r="A2107" s="148"/>
      <c r="B2107" s="75"/>
      <c r="C2107" s="75"/>
      <c r="D2107" s="75"/>
      <c r="E2107" s="75"/>
      <c r="F2107" s="75"/>
      <c r="G2107" s="75"/>
      <c r="H2107" s="75"/>
      <c r="I2107" s="75"/>
      <c r="J2107" s="166"/>
      <c r="K2107" s="166"/>
      <c r="R2107" s="163"/>
      <c r="S2107" s="163"/>
    </row>
    <row r="2108">
      <c r="A2108" s="148"/>
      <c r="B2108" s="75"/>
      <c r="C2108" s="75"/>
      <c r="D2108" s="75"/>
      <c r="E2108" s="75"/>
      <c r="F2108" s="75"/>
      <c r="G2108" s="75"/>
      <c r="H2108" s="75"/>
      <c r="I2108" s="75"/>
      <c r="J2108" s="166"/>
      <c r="K2108" s="166"/>
      <c r="R2108" s="163"/>
      <c r="S2108" s="163"/>
    </row>
    <row r="2109">
      <c r="A2109" s="148"/>
      <c r="B2109" s="75"/>
      <c r="C2109" s="75"/>
      <c r="D2109" s="75"/>
      <c r="E2109" s="75"/>
      <c r="F2109" s="75"/>
      <c r="G2109" s="75"/>
      <c r="H2109" s="75"/>
      <c r="I2109" s="75"/>
      <c r="J2109" s="166"/>
      <c r="K2109" s="166"/>
      <c r="R2109" s="173"/>
      <c r="S2109" s="173"/>
    </row>
    <row r="2110">
      <c r="A2110" s="148"/>
      <c r="B2110" s="75"/>
      <c r="C2110" s="75"/>
      <c r="D2110" s="75"/>
      <c r="E2110" s="75"/>
      <c r="F2110" s="75"/>
      <c r="G2110" s="75"/>
      <c r="H2110" s="75"/>
      <c r="I2110" s="75"/>
      <c r="J2110" s="166"/>
      <c r="K2110" s="166"/>
      <c r="R2110" s="157"/>
      <c r="S2110" s="157"/>
    </row>
    <row r="2111">
      <c r="A2111" s="148"/>
      <c r="B2111" s="75"/>
      <c r="C2111" s="75"/>
      <c r="D2111" s="75"/>
      <c r="E2111" s="75"/>
      <c r="F2111" s="75"/>
      <c r="G2111" s="75"/>
      <c r="H2111" s="75"/>
      <c r="I2111" s="75"/>
      <c r="J2111" s="166"/>
      <c r="K2111" s="166"/>
      <c r="R2111" s="163"/>
      <c r="S2111" s="163"/>
    </row>
    <row r="2112">
      <c r="A2112" s="148"/>
      <c r="B2112" s="75"/>
      <c r="C2112" s="75"/>
      <c r="D2112" s="75"/>
      <c r="E2112" s="75"/>
      <c r="F2112" s="75"/>
      <c r="G2112" s="75"/>
      <c r="H2112" s="75"/>
      <c r="I2112" s="75"/>
      <c r="J2112" s="166"/>
      <c r="K2112" s="166"/>
      <c r="R2112" s="163"/>
      <c r="S2112" s="163"/>
    </row>
    <row r="2113">
      <c r="A2113" s="148"/>
      <c r="B2113" s="75"/>
      <c r="C2113" s="75"/>
      <c r="D2113" s="75"/>
      <c r="E2113" s="75"/>
      <c r="F2113" s="75"/>
      <c r="G2113" s="75"/>
      <c r="H2113" s="75"/>
      <c r="I2113" s="75"/>
      <c r="J2113" s="166"/>
      <c r="K2113" s="166"/>
      <c r="R2113" s="163"/>
      <c r="S2113" s="163"/>
    </row>
    <row r="2114">
      <c r="A2114" s="148"/>
      <c r="B2114" s="75"/>
      <c r="C2114" s="75"/>
      <c r="D2114" s="75"/>
      <c r="E2114" s="75"/>
      <c r="F2114" s="75"/>
      <c r="G2114" s="75"/>
      <c r="H2114" s="75"/>
      <c r="I2114" s="75"/>
      <c r="J2114" s="166"/>
      <c r="K2114" s="166"/>
      <c r="R2114" s="163"/>
      <c r="S2114" s="163"/>
    </row>
    <row r="2115">
      <c r="A2115" s="148"/>
      <c r="B2115" s="75"/>
      <c r="C2115" s="75"/>
      <c r="D2115" s="75"/>
      <c r="E2115" s="75"/>
      <c r="F2115" s="75"/>
      <c r="G2115" s="75"/>
      <c r="H2115" s="75"/>
      <c r="I2115" s="75"/>
      <c r="J2115" s="166"/>
      <c r="K2115" s="166"/>
      <c r="R2115" s="163"/>
      <c r="S2115" s="163"/>
    </row>
    <row r="2116">
      <c r="A2116" s="148"/>
      <c r="B2116" s="75"/>
      <c r="C2116" s="75"/>
      <c r="D2116" s="75"/>
      <c r="E2116" s="75"/>
      <c r="F2116" s="75"/>
      <c r="G2116" s="75"/>
      <c r="H2116" s="75"/>
      <c r="I2116" s="75"/>
      <c r="J2116" s="166"/>
      <c r="K2116" s="166"/>
      <c r="R2116" s="163"/>
      <c r="S2116" s="163"/>
    </row>
    <row r="2117">
      <c r="A2117" s="148"/>
      <c r="B2117" s="75"/>
      <c r="C2117" s="75"/>
      <c r="D2117" s="75"/>
      <c r="E2117" s="75"/>
      <c r="F2117" s="75"/>
      <c r="G2117" s="75"/>
      <c r="H2117" s="75"/>
      <c r="I2117" s="75"/>
      <c r="J2117" s="166"/>
      <c r="K2117" s="166"/>
      <c r="R2117" s="163"/>
      <c r="S2117" s="163"/>
    </row>
    <row r="2118">
      <c r="A2118" s="148"/>
      <c r="B2118" s="75"/>
      <c r="C2118" s="75"/>
      <c r="D2118" s="75"/>
      <c r="E2118" s="75"/>
      <c r="F2118" s="75"/>
      <c r="G2118" s="75"/>
      <c r="H2118" s="75"/>
      <c r="I2118" s="75"/>
      <c r="J2118" s="166"/>
      <c r="K2118" s="166"/>
      <c r="R2118" s="163"/>
      <c r="S2118" s="163"/>
    </row>
    <row r="2119">
      <c r="A2119" s="148"/>
      <c r="B2119" s="75"/>
      <c r="C2119" s="75"/>
      <c r="D2119" s="75"/>
      <c r="E2119" s="75"/>
      <c r="F2119" s="75"/>
      <c r="G2119" s="75"/>
      <c r="H2119" s="75"/>
      <c r="I2119" s="75"/>
      <c r="J2119" s="166"/>
      <c r="K2119" s="166"/>
      <c r="R2119" s="163"/>
      <c r="S2119" s="163"/>
    </row>
    <row r="2120">
      <c r="A2120" s="148"/>
      <c r="B2120" s="75"/>
      <c r="C2120" s="75"/>
      <c r="D2120" s="75"/>
      <c r="E2120" s="75"/>
      <c r="F2120" s="75"/>
      <c r="G2120" s="75"/>
      <c r="H2120" s="75"/>
      <c r="I2120" s="75"/>
      <c r="J2120" s="166"/>
      <c r="K2120" s="166"/>
      <c r="R2120" s="163"/>
      <c r="S2120" s="163"/>
    </row>
    <row r="2121">
      <c r="A2121" s="148"/>
      <c r="B2121" s="75"/>
      <c r="C2121" s="75"/>
      <c r="D2121" s="75"/>
      <c r="E2121" s="75"/>
      <c r="F2121" s="75"/>
      <c r="G2121" s="75"/>
      <c r="H2121" s="75"/>
      <c r="I2121" s="75"/>
      <c r="J2121" s="166"/>
      <c r="K2121" s="166"/>
      <c r="R2121" s="173"/>
      <c r="S2121" s="173"/>
    </row>
    <row r="2122">
      <c r="A2122" s="148"/>
      <c r="B2122" s="75"/>
      <c r="C2122" s="75"/>
      <c r="D2122" s="75"/>
      <c r="E2122" s="75"/>
      <c r="F2122" s="75"/>
      <c r="G2122" s="75"/>
      <c r="H2122" s="75"/>
      <c r="I2122" s="75"/>
      <c r="J2122" s="166"/>
      <c r="K2122" s="166"/>
      <c r="R2122" s="157"/>
      <c r="S2122" s="157"/>
    </row>
    <row r="2123">
      <c r="A2123" s="148"/>
      <c r="B2123" s="75"/>
      <c r="C2123" s="75"/>
      <c r="D2123" s="75"/>
      <c r="E2123" s="75"/>
      <c r="F2123" s="75"/>
      <c r="G2123" s="75"/>
      <c r="H2123" s="75"/>
      <c r="I2123" s="75"/>
      <c r="J2123" s="166"/>
      <c r="K2123" s="166"/>
      <c r="R2123" s="163"/>
      <c r="S2123" s="163"/>
    </row>
    <row r="2124">
      <c r="A2124" s="148"/>
      <c r="B2124" s="75"/>
      <c r="C2124" s="75"/>
      <c r="D2124" s="75"/>
      <c r="E2124" s="75"/>
      <c r="F2124" s="75"/>
      <c r="G2124" s="75"/>
      <c r="H2124" s="75"/>
      <c r="I2124" s="75"/>
      <c r="J2124" s="166"/>
      <c r="K2124" s="166"/>
      <c r="R2124" s="163"/>
      <c r="S2124" s="163"/>
    </row>
    <row r="2125">
      <c r="A2125" s="148"/>
      <c r="B2125" s="75"/>
      <c r="C2125" s="75"/>
      <c r="D2125" s="75"/>
      <c r="E2125" s="75"/>
      <c r="F2125" s="75"/>
      <c r="G2125" s="75"/>
      <c r="H2125" s="75"/>
      <c r="I2125" s="75"/>
      <c r="J2125" s="166"/>
      <c r="K2125" s="166"/>
      <c r="R2125" s="163"/>
      <c r="S2125" s="163"/>
    </row>
    <row r="2126">
      <c r="A2126" s="148"/>
      <c r="B2126" s="75"/>
      <c r="C2126" s="75"/>
      <c r="D2126" s="75"/>
      <c r="E2126" s="75"/>
      <c r="F2126" s="75"/>
      <c r="G2126" s="75"/>
      <c r="H2126" s="75"/>
      <c r="I2126" s="75"/>
      <c r="J2126" s="166"/>
      <c r="K2126" s="166"/>
      <c r="R2126" s="163"/>
      <c r="S2126" s="163"/>
    </row>
    <row r="2127">
      <c r="A2127" s="148"/>
      <c r="B2127" s="75"/>
      <c r="C2127" s="75"/>
      <c r="D2127" s="75"/>
      <c r="E2127" s="75"/>
      <c r="F2127" s="75"/>
      <c r="G2127" s="75"/>
      <c r="H2127" s="75"/>
      <c r="I2127" s="75"/>
      <c r="J2127" s="166"/>
      <c r="K2127" s="166"/>
      <c r="R2127" s="163"/>
      <c r="S2127" s="163"/>
    </row>
    <row r="2128">
      <c r="A2128" s="148"/>
      <c r="B2128" s="75"/>
      <c r="C2128" s="75"/>
      <c r="D2128" s="75"/>
      <c r="E2128" s="75"/>
      <c r="F2128" s="75"/>
      <c r="G2128" s="75"/>
      <c r="H2128" s="75"/>
      <c r="I2128" s="75"/>
      <c r="J2128" s="166"/>
      <c r="K2128" s="166"/>
      <c r="R2128" s="163"/>
      <c r="S2128" s="163"/>
    </row>
    <row r="2129">
      <c r="A2129" s="148"/>
      <c r="B2129" s="75"/>
      <c r="C2129" s="75"/>
      <c r="D2129" s="75"/>
      <c r="E2129" s="75"/>
      <c r="F2129" s="75"/>
      <c r="G2129" s="75"/>
      <c r="H2129" s="75"/>
      <c r="I2129" s="75"/>
      <c r="J2129" s="166"/>
      <c r="K2129" s="166"/>
      <c r="R2129" s="163"/>
      <c r="S2129" s="163"/>
    </row>
    <row r="2130">
      <c r="A2130" s="148"/>
      <c r="B2130" s="75"/>
      <c r="C2130" s="75"/>
      <c r="D2130" s="75"/>
      <c r="E2130" s="75"/>
      <c r="F2130" s="75"/>
      <c r="G2130" s="75"/>
      <c r="H2130" s="75"/>
      <c r="I2130" s="75"/>
      <c r="J2130" s="166"/>
      <c r="K2130" s="166"/>
      <c r="R2130" s="163"/>
      <c r="S2130" s="163"/>
    </row>
    <row r="2131">
      <c r="A2131" s="148"/>
      <c r="B2131" s="75"/>
      <c r="C2131" s="75"/>
      <c r="D2131" s="75"/>
      <c r="E2131" s="75"/>
      <c r="F2131" s="75"/>
      <c r="G2131" s="75"/>
      <c r="H2131" s="75"/>
      <c r="I2131" s="75"/>
      <c r="J2131" s="166"/>
      <c r="K2131" s="166"/>
      <c r="R2131" s="163"/>
      <c r="S2131" s="163"/>
    </row>
    <row r="2132">
      <c r="A2132" s="148"/>
      <c r="B2132" s="75"/>
      <c r="C2132" s="75"/>
      <c r="D2132" s="75"/>
      <c r="E2132" s="75"/>
      <c r="F2132" s="75"/>
      <c r="G2132" s="75"/>
      <c r="H2132" s="75"/>
      <c r="I2132" s="75"/>
      <c r="J2132" s="166"/>
      <c r="K2132" s="166"/>
      <c r="R2132" s="163"/>
      <c r="S2132" s="163"/>
    </row>
    <row r="2133">
      <c r="A2133" s="148"/>
      <c r="B2133" s="75"/>
      <c r="C2133" s="75"/>
      <c r="D2133" s="75"/>
      <c r="E2133" s="75"/>
      <c r="F2133" s="75"/>
      <c r="G2133" s="75"/>
      <c r="H2133" s="75"/>
      <c r="I2133" s="75"/>
      <c r="J2133" s="166"/>
      <c r="K2133" s="166"/>
      <c r="R2133" s="173"/>
      <c r="S2133" s="173"/>
    </row>
    <row r="2134">
      <c r="A2134" s="148"/>
      <c r="B2134" s="75"/>
      <c r="C2134" s="75"/>
      <c r="D2134" s="75"/>
      <c r="E2134" s="75"/>
      <c r="F2134" s="75"/>
      <c r="G2134" s="75"/>
      <c r="H2134" s="75"/>
      <c r="I2134" s="75"/>
      <c r="J2134" s="166"/>
      <c r="K2134" s="166"/>
      <c r="R2134" s="157"/>
      <c r="S2134" s="157"/>
    </row>
    <row r="2135">
      <c r="A2135" s="148"/>
      <c r="B2135" s="75"/>
      <c r="C2135" s="75"/>
      <c r="D2135" s="75"/>
      <c r="E2135" s="75"/>
      <c r="F2135" s="75"/>
      <c r="G2135" s="75"/>
      <c r="H2135" s="75"/>
      <c r="I2135" s="75"/>
      <c r="J2135" s="166"/>
      <c r="K2135" s="166"/>
      <c r="R2135" s="163"/>
      <c r="S2135" s="163"/>
    </row>
    <row r="2136">
      <c r="A2136" s="148"/>
      <c r="B2136" s="75"/>
      <c r="C2136" s="75"/>
      <c r="D2136" s="75"/>
      <c r="E2136" s="75"/>
      <c r="F2136" s="75"/>
      <c r="G2136" s="75"/>
      <c r="H2136" s="75"/>
      <c r="I2136" s="75"/>
      <c r="J2136" s="166"/>
      <c r="K2136" s="166"/>
      <c r="R2136" s="163"/>
      <c r="S2136" s="163"/>
    </row>
    <row r="2137">
      <c r="A2137" s="148"/>
      <c r="B2137" s="75"/>
      <c r="C2137" s="75"/>
      <c r="D2137" s="75"/>
      <c r="E2137" s="75"/>
      <c r="F2137" s="75"/>
      <c r="G2137" s="75"/>
      <c r="H2137" s="75"/>
      <c r="I2137" s="75"/>
      <c r="J2137" s="166"/>
      <c r="K2137" s="166"/>
      <c r="R2137" s="163"/>
      <c r="S2137" s="163"/>
    </row>
    <row r="2138">
      <c r="A2138" s="148"/>
      <c r="B2138" s="75"/>
      <c r="C2138" s="75"/>
      <c r="D2138" s="75"/>
      <c r="E2138" s="75"/>
      <c r="F2138" s="75"/>
      <c r="G2138" s="75"/>
      <c r="H2138" s="75"/>
      <c r="I2138" s="75"/>
      <c r="J2138" s="166"/>
      <c r="K2138" s="166"/>
      <c r="R2138" s="163"/>
      <c r="S2138" s="163"/>
    </row>
    <row r="2139">
      <c r="A2139" s="148"/>
      <c r="B2139" s="75"/>
      <c r="C2139" s="75"/>
      <c r="D2139" s="75"/>
      <c r="E2139" s="75"/>
      <c r="F2139" s="75"/>
      <c r="G2139" s="75"/>
      <c r="H2139" s="75"/>
      <c r="I2139" s="75"/>
      <c r="J2139" s="166"/>
      <c r="K2139" s="166"/>
      <c r="R2139" s="163"/>
      <c r="S2139" s="163"/>
    </row>
    <row r="2140">
      <c r="A2140" s="148"/>
      <c r="B2140" s="75"/>
      <c r="C2140" s="75"/>
      <c r="D2140" s="75"/>
      <c r="E2140" s="75"/>
      <c r="F2140" s="75"/>
      <c r="G2140" s="75"/>
      <c r="H2140" s="75"/>
      <c r="I2140" s="75"/>
      <c r="J2140" s="166"/>
      <c r="K2140" s="166"/>
      <c r="R2140" s="163"/>
      <c r="S2140" s="163"/>
    </row>
    <row r="2141">
      <c r="A2141" s="148"/>
      <c r="B2141" s="75"/>
      <c r="C2141" s="75"/>
      <c r="D2141" s="75"/>
      <c r="E2141" s="75"/>
      <c r="F2141" s="75"/>
      <c r="G2141" s="75"/>
      <c r="H2141" s="75"/>
      <c r="I2141" s="75"/>
      <c r="J2141" s="166"/>
      <c r="K2141" s="166"/>
      <c r="R2141" s="163"/>
      <c r="S2141" s="163"/>
    </row>
    <row r="2142">
      <c r="A2142" s="148"/>
      <c r="B2142" s="75"/>
      <c r="C2142" s="75"/>
      <c r="D2142" s="75"/>
      <c r="E2142" s="75"/>
      <c r="F2142" s="75"/>
      <c r="G2142" s="75"/>
      <c r="H2142" s="75"/>
      <c r="I2142" s="75"/>
      <c r="J2142" s="166"/>
      <c r="K2142" s="166"/>
      <c r="R2142" s="163"/>
      <c r="S2142" s="163"/>
    </row>
    <row r="2143">
      <c r="A2143" s="148"/>
      <c r="B2143" s="75"/>
      <c r="C2143" s="75"/>
      <c r="D2143" s="75"/>
      <c r="E2143" s="75"/>
      <c r="F2143" s="75"/>
      <c r="G2143" s="75"/>
      <c r="H2143" s="75"/>
      <c r="I2143" s="75"/>
      <c r="J2143" s="166"/>
      <c r="K2143" s="166"/>
      <c r="R2143" s="163"/>
      <c r="S2143" s="163"/>
    </row>
    <row r="2144">
      <c r="A2144" s="148"/>
      <c r="B2144" s="75"/>
      <c r="C2144" s="75"/>
      <c r="D2144" s="75"/>
      <c r="E2144" s="75"/>
      <c r="F2144" s="75"/>
      <c r="G2144" s="75"/>
      <c r="H2144" s="75"/>
      <c r="I2144" s="75"/>
      <c r="J2144" s="166"/>
      <c r="K2144" s="166"/>
      <c r="R2144" s="163"/>
      <c r="S2144" s="163"/>
    </row>
    <row r="2145">
      <c r="A2145" s="148"/>
      <c r="B2145" s="75"/>
      <c r="C2145" s="75"/>
      <c r="D2145" s="75"/>
      <c r="E2145" s="75"/>
      <c r="F2145" s="75"/>
      <c r="G2145" s="75"/>
      <c r="H2145" s="75"/>
      <c r="I2145" s="75"/>
      <c r="J2145" s="166"/>
      <c r="K2145" s="166"/>
      <c r="R2145" s="173"/>
      <c r="S2145" s="173"/>
    </row>
    <row r="2146">
      <c r="A2146" s="148"/>
      <c r="B2146" s="75"/>
      <c r="C2146" s="75"/>
      <c r="D2146" s="75"/>
      <c r="E2146" s="75"/>
      <c r="F2146" s="75"/>
      <c r="G2146" s="75"/>
      <c r="H2146" s="75"/>
      <c r="I2146" s="75"/>
      <c r="J2146" s="166"/>
      <c r="K2146" s="166"/>
      <c r="R2146" s="157"/>
      <c r="S2146" s="157"/>
    </row>
    <row r="2147">
      <c r="A2147" s="148"/>
      <c r="B2147" s="75"/>
      <c r="C2147" s="75"/>
      <c r="D2147" s="75"/>
      <c r="E2147" s="75"/>
      <c r="F2147" s="75"/>
      <c r="G2147" s="75"/>
      <c r="H2147" s="75"/>
      <c r="I2147" s="75"/>
      <c r="J2147" s="166"/>
      <c r="K2147" s="166"/>
      <c r="R2147" s="163"/>
      <c r="S2147" s="163"/>
    </row>
    <row r="2148">
      <c r="A2148" s="148"/>
      <c r="B2148" s="75"/>
      <c r="C2148" s="75"/>
      <c r="D2148" s="75"/>
      <c r="E2148" s="75"/>
      <c r="F2148" s="75"/>
      <c r="G2148" s="75"/>
      <c r="H2148" s="75"/>
      <c r="I2148" s="75"/>
      <c r="J2148" s="166"/>
      <c r="K2148" s="166"/>
      <c r="R2148" s="163"/>
      <c r="S2148" s="163"/>
    </row>
    <row r="2149">
      <c r="A2149" s="148"/>
      <c r="B2149" s="75"/>
      <c r="C2149" s="75"/>
      <c r="D2149" s="75"/>
      <c r="E2149" s="75"/>
      <c r="F2149" s="75"/>
      <c r="G2149" s="75"/>
      <c r="H2149" s="75"/>
      <c r="I2149" s="75"/>
      <c r="J2149" s="166"/>
      <c r="K2149" s="166"/>
      <c r="R2149" s="163"/>
      <c r="S2149" s="163"/>
    </row>
    <row r="2150">
      <c r="A2150" s="148"/>
      <c r="B2150" s="75"/>
      <c r="C2150" s="75"/>
      <c r="D2150" s="75"/>
      <c r="E2150" s="75"/>
      <c r="F2150" s="75"/>
      <c r="G2150" s="75"/>
      <c r="H2150" s="75"/>
      <c r="I2150" s="75"/>
      <c r="J2150" s="166"/>
      <c r="K2150" s="166"/>
      <c r="R2150" s="163"/>
      <c r="S2150" s="163"/>
    </row>
    <row r="2151">
      <c r="A2151" s="148"/>
      <c r="B2151" s="75"/>
      <c r="C2151" s="75"/>
      <c r="D2151" s="75"/>
      <c r="E2151" s="75"/>
      <c r="F2151" s="75"/>
      <c r="G2151" s="75"/>
      <c r="H2151" s="75"/>
      <c r="I2151" s="75"/>
      <c r="J2151" s="166"/>
      <c r="K2151" s="166"/>
      <c r="R2151" s="163"/>
      <c r="S2151" s="163"/>
    </row>
    <row r="2152">
      <c r="A2152" s="148"/>
      <c r="B2152" s="75"/>
      <c r="C2152" s="75"/>
      <c r="D2152" s="75"/>
      <c r="E2152" s="75"/>
      <c r="F2152" s="75"/>
      <c r="G2152" s="75"/>
      <c r="H2152" s="75"/>
      <c r="I2152" s="75"/>
      <c r="J2152" s="166"/>
      <c r="K2152" s="166"/>
      <c r="R2152" s="163"/>
      <c r="S2152" s="163"/>
    </row>
    <row r="2153">
      <c r="A2153" s="148"/>
      <c r="B2153" s="75"/>
      <c r="C2153" s="75"/>
      <c r="D2153" s="75"/>
      <c r="E2153" s="75"/>
      <c r="F2153" s="75"/>
      <c r="G2153" s="75"/>
      <c r="H2153" s="75"/>
      <c r="I2153" s="75"/>
      <c r="J2153" s="166"/>
      <c r="K2153" s="166"/>
      <c r="R2153" s="163"/>
      <c r="S2153" s="163"/>
    </row>
    <row r="2154">
      <c r="A2154" s="148"/>
      <c r="B2154" s="75"/>
      <c r="C2154" s="75"/>
      <c r="D2154" s="75"/>
      <c r="E2154" s="75"/>
      <c r="F2154" s="75"/>
      <c r="G2154" s="75"/>
      <c r="H2154" s="75"/>
      <c r="I2154" s="75"/>
      <c r="J2154" s="166"/>
      <c r="K2154" s="166"/>
      <c r="R2154" s="163"/>
      <c r="S2154" s="163"/>
    </row>
    <row r="2155">
      <c r="A2155" s="148"/>
      <c r="B2155" s="75"/>
      <c r="C2155" s="75"/>
      <c r="D2155" s="75"/>
      <c r="E2155" s="75"/>
      <c r="F2155" s="75"/>
      <c r="G2155" s="75"/>
      <c r="H2155" s="75"/>
      <c r="I2155" s="75"/>
      <c r="J2155" s="166"/>
      <c r="K2155" s="166"/>
      <c r="R2155" s="163"/>
      <c r="S2155" s="163"/>
    </row>
    <row r="2156">
      <c r="A2156" s="148"/>
      <c r="B2156" s="75"/>
      <c r="C2156" s="75"/>
      <c r="D2156" s="75"/>
      <c r="E2156" s="75"/>
      <c r="F2156" s="75"/>
      <c r="G2156" s="75"/>
      <c r="H2156" s="75"/>
      <c r="I2156" s="75"/>
      <c r="J2156" s="166"/>
      <c r="K2156" s="166"/>
      <c r="R2156" s="163"/>
      <c r="S2156" s="163"/>
    </row>
    <row r="2157">
      <c r="A2157" s="148"/>
      <c r="B2157" s="75"/>
      <c r="C2157" s="75"/>
      <c r="D2157" s="75"/>
      <c r="E2157" s="75"/>
      <c r="F2157" s="75"/>
      <c r="G2157" s="75"/>
      <c r="H2157" s="75"/>
      <c r="I2157" s="75"/>
      <c r="J2157" s="166"/>
      <c r="K2157" s="166"/>
      <c r="R2157" s="173"/>
      <c r="S2157" s="173"/>
    </row>
    <row r="2158">
      <c r="A2158" s="148"/>
      <c r="B2158" s="75"/>
      <c r="C2158" s="75"/>
      <c r="D2158" s="75"/>
      <c r="E2158" s="75"/>
      <c r="F2158" s="75"/>
      <c r="G2158" s="75"/>
      <c r="H2158" s="75"/>
      <c r="I2158" s="75"/>
      <c r="J2158" s="166"/>
      <c r="K2158" s="166"/>
      <c r="R2158" s="157"/>
      <c r="S2158" s="157"/>
    </row>
    <row r="2159">
      <c r="A2159" s="148"/>
      <c r="B2159" s="75"/>
      <c r="C2159" s="75"/>
      <c r="D2159" s="75"/>
      <c r="E2159" s="75"/>
      <c r="F2159" s="75"/>
      <c r="G2159" s="75"/>
      <c r="H2159" s="75"/>
      <c r="I2159" s="75"/>
      <c r="J2159" s="166"/>
      <c r="K2159" s="166"/>
      <c r="R2159" s="163"/>
      <c r="S2159" s="163"/>
    </row>
    <row r="2160">
      <c r="A2160" s="148"/>
      <c r="B2160" s="75"/>
      <c r="C2160" s="75"/>
      <c r="D2160" s="75"/>
      <c r="E2160" s="75"/>
      <c r="F2160" s="75"/>
      <c r="G2160" s="75"/>
      <c r="H2160" s="75"/>
      <c r="I2160" s="75"/>
      <c r="J2160" s="166"/>
      <c r="K2160" s="166"/>
      <c r="R2160" s="163"/>
      <c r="S2160" s="163"/>
    </row>
    <row r="2161">
      <c r="A2161" s="148"/>
      <c r="B2161" s="75"/>
      <c r="C2161" s="75"/>
      <c r="D2161" s="75"/>
      <c r="E2161" s="75"/>
      <c r="F2161" s="75"/>
      <c r="G2161" s="75"/>
      <c r="H2161" s="75"/>
      <c r="I2161" s="75"/>
      <c r="J2161" s="166"/>
      <c r="K2161" s="166"/>
      <c r="R2161" s="163"/>
      <c r="S2161" s="163"/>
    </row>
    <row r="2162">
      <c r="A2162" s="148"/>
      <c r="B2162" s="75"/>
      <c r="C2162" s="75"/>
      <c r="D2162" s="75"/>
      <c r="E2162" s="75"/>
      <c r="F2162" s="75"/>
      <c r="G2162" s="75"/>
      <c r="H2162" s="75"/>
      <c r="I2162" s="75"/>
      <c r="J2162" s="166"/>
      <c r="K2162" s="166"/>
      <c r="R2162" s="163"/>
      <c r="S2162" s="163"/>
    </row>
    <row r="2163">
      <c r="A2163" s="148"/>
      <c r="B2163" s="75"/>
      <c r="C2163" s="75"/>
      <c r="D2163" s="75"/>
      <c r="E2163" s="75"/>
      <c r="F2163" s="75"/>
      <c r="G2163" s="75"/>
      <c r="H2163" s="75"/>
      <c r="I2163" s="75"/>
      <c r="J2163" s="166"/>
      <c r="K2163" s="166"/>
      <c r="R2163" s="163"/>
      <c r="S2163" s="163"/>
    </row>
    <row r="2164">
      <c r="A2164" s="148"/>
      <c r="B2164" s="75"/>
      <c r="C2164" s="75"/>
      <c r="D2164" s="75"/>
      <c r="E2164" s="75"/>
      <c r="F2164" s="75"/>
      <c r="G2164" s="75"/>
      <c r="H2164" s="75"/>
      <c r="I2164" s="75"/>
      <c r="J2164" s="166"/>
      <c r="K2164" s="166"/>
      <c r="R2164" s="163"/>
      <c r="S2164" s="163"/>
    </row>
    <row r="2165">
      <c r="A2165" s="148"/>
      <c r="B2165" s="75"/>
      <c r="C2165" s="75"/>
      <c r="D2165" s="75"/>
      <c r="E2165" s="75"/>
      <c r="F2165" s="75"/>
      <c r="G2165" s="75"/>
      <c r="H2165" s="75"/>
      <c r="I2165" s="75"/>
      <c r="J2165" s="166"/>
      <c r="K2165" s="166"/>
      <c r="R2165" s="163"/>
      <c r="S2165" s="163"/>
    </row>
    <row r="2166">
      <c r="A2166" s="148"/>
      <c r="B2166" s="75"/>
      <c r="C2166" s="75"/>
      <c r="D2166" s="75"/>
      <c r="E2166" s="75"/>
      <c r="F2166" s="75"/>
      <c r="G2166" s="75"/>
      <c r="H2166" s="75"/>
      <c r="I2166" s="75"/>
      <c r="J2166" s="166"/>
      <c r="K2166" s="166"/>
      <c r="R2166" s="163"/>
      <c r="S2166" s="163"/>
    </row>
    <row r="2167">
      <c r="A2167" s="148"/>
      <c r="B2167" s="75"/>
      <c r="C2167" s="75"/>
      <c r="D2167" s="75"/>
      <c r="E2167" s="75"/>
      <c r="F2167" s="75"/>
      <c r="G2167" s="75"/>
      <c r="H2167" s="75"/>
      <c r="I2167" s="75"/>
      <c r="J2167" s="166"/>
      <c r="K2167" s="166"/>
      <c r="R2167" s="163"/>
      <c r="S2167" s="163"/>
    </row>
    <row r="2168">
      <c r="A2168" s="148"/>
      <c r="B2168" s="75"/>
      <c r="C2168" s="75"/>
      <c r="D2168" s="75"/>
      <c r="E2168" s="75"/>
      <c r="F2168" s="75"/>
      <c r="G2168" s="75"/>
      <c r="H2168" s="75"/>
      <c r="I2168" s="75"/>
      <c r="J2168" s="166"/>
      <c r="K2168" s="166"/>
      <c r="R2168" s="163"/>
      <c r="S2168" s="163"/>
    </row>
    <row r="2169">
      <c r="A2169" s="148"/>
      <c r="B2169" s="75"/>
      <c r="C2169" s="75"/>
      <c r="D2169" s="75"/>
      <c r="E2169" s="75"/>
      <c r="F2169" s="75"/>
      <c r="G2169" s="75"/>
      <c r="H2169" s="75"/>
      <c r="I2169" s="75"/>
      <c r="J2169" s="166"/>
      <c r="K2169" s="166"/>
      <c r="R2169" s="173"/>
      <c r="S2169" s="173"/>
    </row>
    <row r="2170">
      <c r="A2170" s="148"/>
      <c r="B2170" s="75"/>
      <c r="C2170" s="75"/>
      <c r="D2170" s="75"/>
      <c r="E2170" s="75"/>
      <c r="F2170" s="75"/>
      <c r="G2170" s="75"/>
      <c r="H2170" s="75"/>
      <c r="I2170" s="75"/>
      <c r="J2170" s="166"/>
      <c r="K2170" s="166"/>
      <c r="R2170" s="157"/>
      <c r="S2170" s="157"/>
    </row>
    <row r="2171">
      <c r="A2171" s="148"/>
      <c r="B2171" s="75"/>
      <c r="C2171" s="75"/>
      <c r="D2171" s="75"/>
      <c r="E2171" s="75"/>
      <c r="F2171" s="75"/>
      <c r="G2171" s="75"/>
      <c r="H2171" s="75"/>
      <c r="I2171" s="75"/>
      <c r="J2171" s="166"/>
      <c r="K2171" s="166"/>
      <c r="R2171" s="163"/>
      <c r="S2171" s="163"/>
    </row>
    <row r="2172">
      <c r="A2172" s="148"/>
      <c r="B2172" s="75"/>
      <c r="C2172" s="75"/>
      <c r="D2172" s="75"/>
      <c r="E2172" s="75"/>
      <c r="F2172" s="75"/>
      <c r="G2172" s="75"/>
      <c r="H2172" s="75"/>
      <c r="I2172" s="75"/>
      <c r="J2172" s="166"/>
      <c r="K2172" s="166"/>
      <c r="R2172" s="163"/>
      <c r="S2172" s="163"/>
    </row>
    <row r="2173">
      <c r="A2173" s="148"/>
      <c r="B2173" s="75"/>
      <c r="C2173" s="75"/>
      <c r="D2173" s="75"/>
      <c r="E2173" s="75"/>
      <c r="F2173" s="75"/>
      <c r="G2173" s="75"/>
      <c r="H2173" s="75"/>
      <c r="I2173" s="75"/>
      <c r="J2173" s="166"/>
      <c r="K2173" s="166"/>
      <c r="R2173" s="163"/>
      <c r="S2173" s="163"/>
    </row>
    <row r="2174">
      <c r="A2174" s="148"/>
      <c r="B2174" s="75"/>
      <c r="C2174" s="75"/>
      <c r="D2174" s="75"/>
      <c r="E2174" s="75"/>
      <c r="F2174" s="75"/>
      <c r="G2174" s="75"/>
      <c r="H2174" s="75"/>
      <c r="I2174" s="75"/>
      <c r="J2174" s="166"/>
      <c r="K2174" s="166"/>
      <c r="R2174" s="163"/>
      <c r="S2174" s="163"/>
    </row>
    <row r="2175">
      <c r="A2175" s="148"/>
      <c r="B2175" s="75"/>
      <c r="C2175" s="75"/>
      <c r="D2175" s="75"/>
      <c r="E2175" s="75"/>
      <c r="F2175" s="75"/>
      <c r="G2175" s="75"/>
      <c r="H2175" s="75"/>
      <c r="I2175" s="75"/>
      <c r="J2175" s="166"/>
      <c r="K2175" s="166"/>
      <c r="R2175" s="163"/>
      <c r="S2175" s="163"/>
    </row>
    <row r="2176">
      <c r="A2176" s="148"/>
      <c r="B2176" s="75"/>
      <c r="C2176" s="75"/>
      <c r="D2176" s="75"/>
      <c r="E2176" s="75"/>
      <c r="F2176" s="75"/>
      <c r="G2176" s="75"/>
      <c r="H2176" s="75"/>
      <c r="I2176" s="75"/>
      <c r="J2176" s="166"/>
      <c r="K2176" s="166"/>
      <c r="R2176" s="163"/>
      <c r="S2176" s="163"/>
    </row>
    <row r="2177">
      <c r="A2177" s="148"/>
      <c r="B2177" s="75"/>
      <c r="C2177" s="75"/>
      <c r="D2177" s="75"/>
      <c r="E2177" s="75"/>
      <c r="F2177" s="75"/>
      <c r="G2177" s="75"/>
      <c r="H2177" s="75"/>
      <c r="I2177" s="75"/>
      <c r="J2177" s="166"/>
      <c r="K2177" s="166"/>
      <c r="R2177" s="163"/>
      <c r="S2177" s="163"/>
    </row>
    <row r="2178">
      <c r="A2178" s="148"/>
      <c r="B2178" s="75"/>
      <c r="C2178" s="75"/>
      <c r="D2178" s="75"/>
      <c r="E2178" s="75"/>
      <c r="F2178" s="75"/>
      <c r="G2178" s="75"/>
      <c r="H2178" s="75"/>
      <c r="I2178" s="75"/>
      <c r="J2178" s="166"/>
      <c r="K2178" s="166"/>
      <c r="R2178" s="163"/>
      <c r="S2178" s="163"/>
    </row>
    <row r="2179">
      <c r="A2179" s="148"/>
      <c r="B2179" s="75"/>
      <c r="C2179" s="75"/>
      <c r="D2179" s="75"/>
      <c r="E2179" s="75"/>
      <c r="F2179" s="75"/>
      <c r="G2179" s="75"/>
      <c r="H2179" s="75"/>
      <c r="I2179" s="75"/>
      <c r="J2179" s="166"/>
      <c r="K2179" s="166"/>
      <c r="R2179" s="163"/>
      <c r="S2179" s="163"/>
    </row>
    <row r="2180">
      <c r="A2180" s="148"/>
      <c r="B2180" s="75"/>
      <c r="C2180" s="75"/>
      <c r="D2180" s="75"/>
      <c r="E2180" s="75"/>
      <c r="F2180" s="75"/>
      <c r="G2180" s="75"/>
      <c r="H2180" s="75"/>
      <c r="I2180" s="75"/>
      <c r="J2180" s="166"/>
      <c r="K2180" s="166"/>
      <c r="R2180" s="163"/>
      <c r="S2180" s="163"/>
    </row>
    <row r="2181">
      <c r="A2181" s="148"/>
      <c r="B2181" s="75"/>
      <c r="C2181" s="75"/>
      <c r="D2181" s="75"/>
      <c r="E2181" s="75"/>
      <c r="F2181" s="75"/>
      <c r="G2181" s="75"/>
      <c r="H2181" s="75"/>
      <c r="I2181" s="75"/>
      <c r="J2181" s="166"/>
      <c r="K2181" s="166"/>
      <c r="R2181" s="173"/>
      <c r="S2181" s="173"/>
    </row>
    <row r="2182">
      <c r="A2182" s="148"/>
      <c r="B2182" s="75"/>
      <c r="C2182" s="75"/>
      <c r="D2182" s="75"/>
      <c r="E2182" s="75"/>
      <c r="F2182" s="75"/>
      <c r="G2182" s="75"/>
      <c r="H2182" s="75"/>
      <c r="I2182" s="75"/>
      <c r="J2182" s="166"/>
      <c r="K2182" s="166"/>
      <c r="R2182" s="157"/>
      <c r="S2182" s="157"/>
    </row>
    <row r="2183">
      <c r="A2183" s="148"/>
      <c r="B2183" s="75"/>
      <c r="C2183" s="75"/>
      <c r="D2183" s="75"/>
      <c r="E2183" s="75"/>
      <c r="F2183" s="75"/>
      <c r="G2183" s="75"/>
      <c r="H2183" s="75"/>
      <c r="I2183" s="75"/>
      <c r="J2183" s="166"/>
      <c r="K2183" s="166"/>
      <c r="R2183" s="163"/>
      <c r="S2183" s="163"/>
    </row>
    <row r="2184">
      <c r="A2184" s="148"/>
      <c r="B2184" s="75"/>
      <c r="C2184" s="75"/>
      <c r="D2184" s="75"/>
      <c r="E2184" s="75"/>
      <c r="F2184" s="75"/>
      <c r="G2184" s="75"/>
      <c r="H2184" s="75"/>
      <c r="I2184" s="75"/>
      <c r="J2184" s="166"/>
      <c r="K2184" s="166"/>
      <c r="R2184" s="163"/>
      <c r="S2184" s="163"/>
    </row>
    <row r="2185">
      <c r="A2185" s="148"/>
      <c r="B2185" s="75"/>
      <c r="C2185" s="75"/>
      <c r="D2185" s="75"/>
      <c r="E2185" s="75"/>
      <c r="F2185" s="75"/>
      <c r="G2185" s="75"/>
      <c r="H2185" s="75"/>
      <c r="I2185" s="75"/>
      <c r="J2185" s="166"/>
      <c r="K2185" s="166"/>
      <c r="R2185" s="163"/>
      <c r="S2185" s="163"/>
    </row>
    <row r="2186">
      <c r="A2186" s="148"/>
      <c r="B2186" s="75"/>
      <c r="C2186" s="75"/>
      <c r="D2186" s="75"/>
      <c r="E2186" s="75"/>
      <c r="F2186" s="75"/>
      <c r="G2186" s="75"/>
      <c r="H2186" s="75"/>
      <c r="I2186" s="75"/>
      <c r="J2186" s="166"/>
      <c r="K2186" s="166"/>
      <c r="R2186" s="163"/>
      <c r="S2186" s="163"/>
    </row>
    <row r="2187">
      <c r="A2187" s="148"/>
      <c r="B2187" s="75"/>
      <c r="C2187" s="75"/>
      <c r="D2187" s="75"/>
      <c r="E2187" s="75"/>
      <c r="F2187" s="75"/>
      <c r="G2187" s="75"/>
      <c r="H2187" s="75"/>
      <c r="I2187" s="75"/>
      <c r="J2187" s="166"/>
      <c r="K2187" s="166"/>
      <c r="R2187" s="163"/>
      <c r="S2187" s="163"/>
    </row>
    <row r="2188">
      <c r="A2188" s="148"/>
      <c r="B2188" s="75"/>
      <c r="C2188" s="75"/>
      <c r="D2188" s="75"/>
      <c r="E2188" s="75"/>
      <c r="F2188" s="75"/>
      <c r="G2188" s="75"/>
      <c r="H2188" s="75"/>
      <c r="I2188" s="75"/>
      <c r="J2188" s="166"/>
      <c r="K2188" s="166"/>
      <c r="R2188" s="163"/>
      <c r="S2188" s="163"/>
    </row>
    <row r="2189">
      <c r="A2189" s="148"/>
      <c r="B2189" s="75"/>
      <c r="C2189" s="75"/>
      <c r="D2189" s="75"/>
      <c r="E2189" s="75"/>
      <c r="F2189" s="75"/>
      <c r="G2189" s="75"/>
      <c r="H2189" s="75"/>
      <c r="I2189" s="75"/>
      <c r="J2189" s="166"/>
      <c r="K2189" s="166"/>
      <c r="R2189" s="163"/>
      <c r="S2189" s="163"/>
    </row>
    <row r="2190">
      <c r="A2190" s="148"/>
      <c r="B2190" s="75"/>
      <c r="C2190" s="75"/>
      <c r="D2190" s="75"/>
      <c r="E2190" s="75"/>
      <c r="F2190" s="75"/>
      <c r="G2190" s="75"/>
      <c r="H2190" s="75"/>
      <c r="I2190" s="75"/>
      <c r="J2190" s="166"/>
      <c r="K2190" s="166"/>
      <c r="R2190" s="163"/>
      <c r="S2190" s="163"/>
    </row>
    <row r="2191">
      <c r="A2191" s="148"/>
      <c r="B2191" s="75"/>
      <c r="C2191" s="75"/>
      <c r="D2191" s="75"/>
      <c r="E2191" s="75"/>
      <c r="F2191" s="75"/>
      <c r="G2191" s="75"/>
      <c r="H2191" s="75"/>
      <c r="I2191" s="75"/>
      <c r="J2191" s="166"/>
      <c r="K2191" s="166"/>
      <c r="R2191" s="163"/>
      <c r="S2191" s="163"/>
    </row>
    <row r="2192">
      <c r="A2192" s="148"/>
      <c r="B2192" s="75"/>
      <c r="C2192" s="75"/>
      <c r="D2192" s="75"/>
      <c r="E2192" s="75"/>
      <c r="F2192" s="75"/>
      <c r="G2192" s="75"/>
      <c r="H2192" s="75"/>
      <c r="I2192" s="75"/>
      <c r="J2192" s="166"/>
      <c r="K2192" s="166"/>
      <c r="R2192" s="163"/>
      <c r="S2192" s="163"/>
    </row>
    <row r="2193">
      <c r="A2193" s="148"/>
      <c r="B2193" s="75"/>
      <c r="C2193" s="75"/>
      <c r="D2193" s="75"/>
      <c r="E2193" s="75"/>
      <c r="F2193" s="75"/>
      <c r="G2193" s="75"/>
      <c r="H2193" s="75"/>
      <c r="I2193" s="75"/>
      <c r="J2193" s="166"/>
      <c r="K2193" s="166"/>
      <c r="R2193" s="173"/>
      <c r="S2193" s="173"/>
    </row>
    <row r="2194">
      <c r="A2194" s="148"/>
      <c r="B2194" s="75"/>
      <c r="C2194" s="75"/>
      <c r="D2194" s="75"/>
      <c r="E2194" s="75"/>
      <c r="F2194" s="75"/>
      <c r="G2194" s="75"/>
      <c r="H2194" s="75"/>
      <c r="I2194" s="75"/>
      <c r="J2194" s="166"/>
      <c r="K2194" s="166"/>
      <c r="R2194" s="157"/>
      <c r="S2194" s="157"/>
    </row>
    <row r="2195">
      <c r="A2195" s="148"/>
      <c r="B2195" s="75"/>
      <c r="C2195" s="75"/>
      <c r="D2195" s="75"/>
      <c r="E2195" s="75"/>
      <c r="F2195" s="75"/>
      <c r="G2195" s="75"/>
      <c r="H2195" s="75"/>
      <c r="I2195" s="75"/>
      <c r="J2195" s="166"/>
      <c r="K2195" s="166"/>
      <c r="R2195" s="163"/>
      <c r="S2195" s="163"/>
    </row>
    <row r="2196">
      <c r="A2196" s="148"/>
      <c r="B2196" s="75"/>
      <c r="C2196" s="75"/>
      <c r="D2196" s="75"/>
      <c r="E2196" s="75"/>
      <c r="F2196" s="75"/>
      <c r="G2196" s="75"/>
      <c r="H2196" s="75"/>
      <c r="I2196" s="75"/>
      <c r="J2196" s="166"/>
      <c r="K2196" s="166"/>
      <c r="R2196" s="163"/>
      <c r="S2196" s="163"/>
    </row>
    <row r="2197">
      <c r="A2197" s="148"/>
      <c r="B2197" s="75"/>
      <c r="C2197" s="75"/>
      <c r="D2197" s="75"/>
      <c r="E2197" s="75"/>
      <c r="F2197" s="75"/>
      <c r="G2197" s="75"/>
      <c r="H2197" s="75"/>
      <c r="I2197" s="75"/>
      <c r="J2197" s="166"/>
      <c r="K2197" s="166"/>
      <c r="R2197" s="163"/>
      <c r="S2197" s="163"/>
    </row>
    <row r="2198">
      <c r="A2198" s="148"/>
      <c r="B2198" s="75"/>
      <c r="C2198" s="75"/>
      <c r="D2198" s="75"/>
      <c r="E2198" s="75"/>
      <c r="F2198" s="75"/>
      <c r="G2198" s="75"/>
      <c r="H2198" s="75"/>
      <c r="I2198" s="75"/>
      <c r="J2198" s="166"/>
      <c r="K2198" s="166"/>
      <c r="R2198" s="163"/>
      <c r="S2198" s="163"/>
    </row>
    <row r="2199">
      <c r="A2199" s="148"/>
      <c r="B2199" s="75"/>
      <c r="C2199" s="75"/>
      <c r="D2199" s="75"/>
      <c r="E2199" s="75"/>
      <c r="F2199" s="75"/>
      <c r="G2199" s="75"/>
      <c r="H2199" s="75"/>
      <c r="I2199" s="75"/>
      <c r="J2199" s="166"/>
      <c r="K2199" s="166"/>
      <c r="R2199" s="163"/>
      <c r="S2199" s="163"/>
    </row>
    <row r="2200">
      <c r="A2200" s="148"/>
      <c r="B2200" s="75"/>
      <c r="C2200" s="75"/>
      <c r="D2200" s="75"/>
      <c r="E2200" s="75"/>
      <c r="F2200" s="75"/>
      <c r="G2200" s="75"/>
      <c r="H2200" s="75"/>
      <c r="I2200" s="75"/>
      <c r="J2200" s="166"/>
      <c r="K2200" s="166"/>
      <c r="R2200" s="163"/>
      <c r="S2200" s="163"/>
    </row>
    <row r="2201">
      <c r="A2201" s="148"/>
      <c r="B2201" s="75"/>
      <c r="C2201" s="75"/>
      <c r="D2201" s="75"/>
      <c r="E2201" s="75"/>
      <c r="F2201" s="75"/>
      <c r="G2201" s="75"/>
      <c r="H2201" s="75"/>
      <c r="I2201" s="75"/>
      <c r="J2201" s="166"/>
      <c r="K2201" s="166"/>
      <c r="R2201" s="163"/>
      <c r="S2201" s="163"/>
    </row>
    <row r="2202">
      <c r="A2202" s="148"/>
      <c r="B2202" s="75"/>
      <c r="C2202" s="75"/>
      <c r="D2202" s="75"/>
      <c r="E2202" s="75"/>
      <c r="F2202" s="75"/>
      <c r="G2202" s="75"/>
      <c r="H2202" s="75"/>
      <c r="I2202" s="75"/>
      <c r="J2202" s="166"/>
      <c r="K2202" s="166"/>
      <c r="R2202" s="163"/>
      <c r="S2202" s="163"/>
    </row>
    <row r="2203">
      <c r="A2203" s="148"/>
      <c r="B2203" s="75"/>
      <c r="C2203" s="75"/>
      <c r="D2203" s="75"/>
      <c r="E2203" s="75"/>
      <c r="F2203" s="75"/>
      <c r="G2203" s="75"/>
      <c r="H2203" s="75"/>
      <c r="I2203" s="75"/>
      <c r="J2203" s="166"/>
      <c r="K2203" s="166"/>
      <c r="R2203" s="163"/>
      <c r="S2203" s="163"/>
    </row>
    <row r="2204">
      <c r="A2204" s="148"/>
      <c r="B2204" s="75"/>
      <c r="C2204" s="75"/>
      <c r="D2204" s="75"/>
      <c r="E2204" s="75"/>
      <c r="F2204" s="75"/>
      <c r="G2204" s="75"/>
      <c r="H2204" s="75"/>
      <c r="I2204" s="75"/>
      <c r="J2204" s="166"/>
      <c r="K2204" s="166"/>
      <c r="R2204" s="163"/>
      <c r="S2204" s="163"/>
    </row>
    <row r="2205">
      <c r="A2205" s="148"/>
      <c r="B2205" s="75"/>
      <c r="C2205" s="75"/>
      <c r="D2205" s="75"/>
      <c r="E2205" s="75"/>
      <c r="F2205" s="75"/>
      <c r="G2205" s="75"/>
      <c r="H2205" s="75"/>
      <c r="I2205" s="75"/>
      <c r="J2205" s="166"/>
      <c r="K2205" s="166"/>
      <c r="R2205" s="173"/>
      <c r="S2205" s="173"/>
    </row>
    <row r="2206">
      <c r="A2206" s="148"/>
      <c r="B2206" s="75"/>
      <c r="C2206" s="75"/>
      <c r="D2206" s="75"/>
      <c r="E2206" s="75"/>
      <c r="F2206" s="75"/>
      <c r="G2206" s="75"/>
      <c r="H2206" s="75"/>
      <c r="I2206" s="75"/>
      <c r="J2206" s="166"/>
      <c r="K2206" s="166"/>
      <c r="R2206" s="157"/>
      <c r="S2206" s="157"/>
    </row>
    <row r="2207">
      <c r="A2207" s="148"/>
      <c r="B2207" s="75"/>
      <c r="C2207" s="75"/>
      <c r="D2207" s="75"/>
      <c r="E2207" s="75"/>
      <c r="F2207" s="75"/>
      <c r="G2207" s="75"/>
      <c r="H2207" s="75"/>
      <c r="I2207" s="75"/>
      <c r="J2207" s="166"/>
      <c r="K2207" s="166"/>
      <c r="R2207" s="163"/>
      <c r="S2207" s="163"/>
    </row>
    <row r="2208">
      <c r="A2208" s="148"/>
      <c r="B2208" s="75"/>
      <c r="C2208" s="75"/>
      <c r="D2208" s="75"/>
      <c r="E2208" s="75"/>
      <c r="F2208" s="75"/>
      <c r="G2208" s="75"/>
      <c r="H2208" s="75"/>
      <c r="I2208" s="75"/>
      <c r="J2208" s="166"/>
      <c r="K2208" s="166"/>
      <c r="R2208" s="163"/>
      <c r="S2208" s="163"/>
    </row>
    <row r="2209">
      <c r="A2209" s="148"/>
      <c r="B2209" s="75"/>
      <c r="C2209" s="75"/>
      <c r="D2209" s="75"/>
      <c r="E2209" s="75"/>
      <c r="F2209" s="75"/>
      <c r="G2209" s="75"/>
      <c r="H2209" s="75"/>
      <c r="I2209" s="75"/>
      <c r="J2209" s="166"/>
      <c r="K2209" s="166"/>
      <c r="R2209" s="163"/>
      <c r="S2209" s="163"/>
    </row>
    <row r="2210">
      <c r="A2210" s="148"/>
      <c r="B2210" s="75"/>
      <c r="C2210" s="75"/>
      <c r="D2210" s="75"/>
      <c r="E2210" s="75"/>
      <c r="F2210" s="75"/>
      <c r="G2210" s="75"/>
      <c r="H2210" s="75"/>
      <c r="I2210" s="75"/>
      <c r="J2210" s="166"/>
      <c r="K2210" s="166"/>
      <c r="R2210" s="163"/>
      <c r="S2210" s="163"/>
    </row>
    <row r="2211">
      <c r="A2211" s="148"/>
      <c r="B2211" s="75"/>
      <c r="C2211" s="75"/>
      <c r="D2211" s="75"/>
      <c r="E2211" s="75"/>
      <c r="F2211" s="75"/>
      <c r="G2211" s="75"/>
      <c r="H2211" s="75"/>
      <c r="I2211" s="75"/>
      <c r="J2211" s="166"/>
      <c r="K2211" s="166"/>
      <c r="R2211" s="163"/>
      <c r="S2211" s="163"/>
    </row>
    <row r="2212">
      <c r="A2212" s="148"/>
      <c r="B2212" s="75"/>
      <c r="C2212" s="75"/>
      <c r="D2212" s="75"/>
      <c r="E2212" s="75"/>
      <c r="F2212" s="75"/>
      <c r="G2212" s="75"/>
      <c r="H2212" s="75"/>
      <c r="I2212" s="75"/>
      <c r="J2212" s="166"/>
      <c r="K2212" s="166"/>
      <c r="R2212" s="163"/>
      <c r="S2212" s="163"/>
    </row>
    <row r="2213">
      <c r="A2213" s="148"/>
      <c r="B2213" s="75"/>
      <c r="C2213" s="75"/>
      <c r="D2213" s="75"/>
      <c r="E2213" s="75"/>
      <c r="F2213" s="75"/>
      <c r="G2213" s="75"/>
      <c r="H2213" s="75"/>
      <c r="I2213" s="75"/>
      <c r="J2213" s="166"/>
      <c r="K2213" s="166"/>
      <c r="R2213" s="163"/>
      <c r="S2213" s="163"/>
    </row>
    <row r="2214">
      <c r="A2214" s="148"/>
      <c r="B2214" s="75"/>
      <c r="C2214" s="75"/>
      <c r="D2214" s="75"/>
      <c r="E2214" s="75"/>
      <c r="F2214" s="75"/>
      <c r="G2214" s="75"/>
      <c r="H2214" s="75"/>
      <c r="I2214" s="75"/>
      <c r="J2214" s="166"/>
      <c r="K2214" s="166"/>
      <c r="R2214" s="163"/>
      <c r="S2214" s="163"/>
    </row>
    <row r="2215">
      <c r="A2215" s="148"/>
      <c r="B2215" s="75"/>
      <c r="C2215" s="75"/>
      <c r="D2215" s="75"/>
      <c r="E2215" s="75"/>
      <c r="F2215" s="75"/>
      <c r="G2215" s="75"/>
      <c r="H2215" s="75"/>
      <c r="I2215" s="75"/>
      <c r="J2215" s="166"/>
      <c r="K2215" s="166"/>
      <c r="R2215" s="163"/>
      <c r="S2215" s="163"/>
    </row>
    <row r="2216">
      <c r="A2216" s="148"/>
      <c r="B2216" s="75"/>
      <c r="C2216" s="75"/>
      <c r="D2216" s="75"/>
      <c r="E2216" s="75"/>
      <c r="F2216" s="75"/>
      <c r="G2216" s="75"/>
      <c r="H2216" s="75"/>
      <c r="I2216" s="75"/>
      <c r="J2216" s="166"/>
      <c r="K2216" s="166"/>
      <c r="R2216" s="163"/>
      <c r="S2216" s="163"/>
    </row>
    <row r="2217">
      <c r="A2217" s="148"/>
      <c r="B2217" s="75"/>
      <c r="C2217" s="75"/>
      <c r="D2217" s="75"/>
      <c r="E2217" s="75"/>
      <c r="F2217" s="75"/>
      <c r="G2217" s="75"/>
      <c r="H2217" s="75"/>
      <c r="I2217" s="75"/>
      <c r="J2217" s="166"/>
      <c r="K2217" s="166"/>
      <c r="R2217" s="173"/>
      <c r="S2217" s="173"/>
    </row>
    <row r="2218">
      <c r="A2218" s="148"/>
      <c r="B2218" s="75"/>
      <c r="C2218" s="75"/>
      <c r="D2218" s="75"/>
      <c r="E2218" s="75"/>
      <c r="F2218" s="75"/>
      <c r="G2218" s="75"/>
      <c r="H2218" s="75"/>
      <c r="I2218" s="75"/>
      <c r="J2218" s="166"/>
      <c r="K2218" s="166"/>
      <c r="R2218" s="157"/>
      <c r="S2218" s="157"/>
    </row>
    <row r="2219">
      <c r="A2219" s="148"/>
      <c r="B2219" s="75"/>
      <c r="C2219" s="75"/>
      <c r="D2219" s="75"/>
      <c r="E2219" s="75"/>
      <c r="F2219" s="75"/>
      <c r="G2219" s="75"/>
      <c r="H2219" s="75"/>
      <c r="I2219" s="75"/>
      <c r="J2219" s="166"/>
      <c r="K2219" s="166"/>
      <c r="R2219" s="163"/>
      <c r="S2219" s="163"/>
    </row>
    <row r="2220">
      <c r="A2220" s="148"/>
      <c r="B2220" s="75"/>
      <c r="C2220" s="75"/>
      <c r="D2220" s="75"/>
      <c r="E2220" s="75"/>
      <c r="F2220" s="75"/>
      <c r="G2220" s="75"/>
      <c r="H2220" s="75"/>
      <c r="I2220" s="75"/>
      <c r="J2220" s="166"/>
      <c r="K2220" s="166"/>
      <c r="R2220" s="163"/>
      <c r="S2220" s="163"/>
    </row>
    <row r="2221">
      <c r="A2221" s="148"/>
      <c r="B2221" s="75"/>
      <c r="C2221" s="75"/>
      <c r="D2221" s="75"/>
      <c r="E2221" s="75"/>
      <c r="F2221" s="75"/>
      <c r="G2221" s="75"/>
      <c r="H2221" s="75"/>
      <c r="I2221" s="75"/>
      <c r="J2221" s="166"/>
      <c r="K2221" s="166"/>
      <c r="R2221" s="163"/>
      <c r="S2221" s="163"/>
    </row>
    <row r="2222">
      <c r="A2222" s="148"/>
      <c r="B2222" s="75"/>
      <c r="C2222" s="75"/>
      <c r="D2222" s="75"/>
      <c r="E2222" s="75"/>
      <c r="F2222" s="75"/>
      <c r="G2222" s="75"/>
      <c r="H2222" s="75"/>
      <c r="I2222" s="75"/>
      <c r="J2222" s="166"/>
      <c r="K2222" s="166"/>
      <c r="R2222" s="163"/>
      <c r="S2222" s="163"/>
    </row>
    <row r="2223">
      <c r="A2223" s="148"/>
      <c r="B2223" s="75"/>
      <c r="C2223" s="75"/>
      <c r="D2223" s="75"/>
      <c r="E2223" s="75"/>
      <c r="F2223" s="75"/>
      <c r="G2223" s="75"/>
      <c r="H2223" s="75"/>
      <c r="I2223" s="75"/>
      <c r="J2223" s="166"/>
      <c r="K2223" s="166"/>
      <c r="R2223" s="163"/>
      <c r="S2223" s="163"/>
    </row>
    <row r="2224">
      <c r="A2224" s="148"/>
      <c r="B2224" s="75"/>
      <c r="C2224" s="75"/>
      <c r="D2224" s="75"/>
      <c r="E2224" s="75"/>
      <c r="F2224" s="75"/>
      <c r="G2224" s="75"/>
      <c r="H2224" s="75"/>
      <c r="I2224" s="75"/>
      <c r="J2224" s="166"/>
      <c r="K2224" s="166"/>
      <c r="R2224" s="163"/>
      <c r="S2224" s="163"/>
    </row>
    <row r="2225">
      <c r="A2225" s="148"/>
      <c r="B2225" s="75"/>
      <c r="C2225" s="75"/>
      <c r="D2225" s="75"/>
      <c r="E2225" s="75"/>
      <c r="F2225" s="75"/>
      <c r="G2225" s="75"/>
      <c r="H2225" s="75"/>
      <c r="I2225" s="75"/>
      <c r="J2225" s="166"/>
      <c r="K2225" s="166"/>
      <c r="R2225" s="163"/>
      <c r="S2225" s="163"/>
    </row>
    <row r="2226">
      <c r="A2226" s="148"/>
      <c r="B2226" s="75"/>
      <c r="C2226" s="75"/>
      <c r="D2226" s="75"/>
      <c r="E2226" s="75"/>
      <c r="F2226" s="75"/>
      <c r="G2226" s="75"/>
      <c r="H2226" s="75"/>
      <c r="I2226" s="75"/>
      <c r="J2226" s="166"/>
      <c r="K2226" s="166"/>
      <c r="R2226" s="163"/>
      <c r="S2226" s="163"/>
    </row>
    <row r="2227">
      <c r="A2227" s="148"/>
      <c r="B2227" s="75"/>
      <c r="C2227" s="75"/>
      <c r="D2227" s="75"/>
      <c r="E2227" s="75"/>
      <c r="F2227" s="75"/>
      <c r="G2227" s="75"/>
      <c r="H2227" s="75"/>
      <c r="I2227" s="75"/>
      <c r="J2227" s="166"/>
      <c r="K2227" s="166"/>
      <c r="R2227" s="163"/>
      <c r="S2227" s="163"/>
    </row>
    <row r="2228">
      <c r="A2228" s="148"/>
      <c r="B2228" s="75"/>
      <c r="C2228" s="75"/>
      <c r="D2228" s="75"/>
      <c r="E2228" s="75"/>
      <c r="F2228" s="75"/>
      <c r="G2228" s="75"/>
      <c r="H2228" s="75"/>
      <c r="I2228" s="75"/>
      <c r="J2228" s="166"/>
      <c r="K2228" s="166"/>
      <c r="R2228" s="163"/>
      <c r="S2228" s="163"/>
    </row>
    <row r="2229">
      <c r="A2229" s="148"/>
      <c r="B2229" s="75"/>
      <c r="C2229" s="75"/>
      <c r="D2229" s="75"/>
      <c r="E2229" s="75"/>
      <c r="F2229" s="75"/>
      <c r="G2229" s="75"/>
      <c r="H2229" s="75"/>
      <c r="I2229" s="75"/>
      <c r="J2229" s="166"/>
      <c r="K2229" s="166"/>
      <c r="R2229" s="173"/>
      <c r="S2229" s="173"/>
    </row>
    <row r="2230">
      <c r="A2230" s="148"/>
      <c r="B2230" s="75"/>
      <c r="C2230" s="75"/>
      <c r="D2230" s="75"/>
      <c r="E2230" s="75"/>
      <c r="F2230" s="75"/>
      <c r="G2230" s="75"/>
      <c r="H2230" s="75"/>
      <c r="I2230" s="75"/>
      <c r="J2230" s="166"/>
      <c r="K2230" s="166"/>
      <c r="R2230" s="157"/>
      <c r="S2230" s="157"/>
    </row>
    <row r="2231">
      <c r="A2231" s="148"/>
      <c r="B2231" s="75"/>
      <c r="C2231" s="75"/>
      <c r="D2231" s="75"/>
      <c r="E2231" s="75"/>
      <c r="F2231" s="75"/>
      <c r="G2231" s="75"/>
      <c r="H2231" s="75"/>
      <c r="I2231" s="75"/>
      <c r="J2231" s="166"/>
      <c r="K2231" s="166"/>
      <c r="R2231" s="163"/>
      <c r="S2231" s="163"/>
    </row>
    <row r="2232">
      <c r="A2232" s="148"/>
      <c r="B2232" s="75"/>
      <c r="C2232" s="75"/>
      <c r="D2232" s="75"/>
      <c r="E2232" s="75"/>
      <c r="F2232" s="75"/>
      <c r="G2232" s="75"/>
      <c r="H2232" s="75"/>
      <c r="I2232" s="75"/>
      <c r="J2232" s="166"/>
      <c r="K2232" s="166"/>
      <c r="R2232" s="163"/>
      <c r="S2232" s="163"/>
    </row>
    <row r="2233">
      <c r="A2233" s="148"/>
      <c r="B2233" s="75"/>
      <c r="C2233" s="75"/>
      <c r="D2233" s="75"/>
      <c r="E2233" s="75"/>
      <c r="F2233" s="75"/>
      <c r="G2233" s="75"/>
      <c r="H2233" s="75"/>
      <c r="I2233" s="75"/>
      <c r="J2233" s="166"/>
      <c r="K2233" s="166"/>
      <c r="R2233" s="163"/>
      <c r="S2233" s="163"/>
    </row>
    <row r="2234">
      <c r="A2234" s="148"/>
      <c r="B2234" s="75"/>
      <c r="C2234" s="75"/>
      <c r="D2234" s="75"/>
      <c r="E2234" s="75"/>
      <c r="F2234" s="75"/>
      <c r="G2234" s="75"/>
      <c r="H2234" s="75"/>
      <c r="I2234" s="75"/>
      <c r="J2234" s="166"/>
      <c r="K2234" s="166"/>
      <c r="R2234" s="163"/>
      <c r="S2234" s="163"/>
    </row>
    <row r="2235">
      <c r="A2235" s="148"/>
      <c r="B2235" s="75"/>
      <c r="C2235" s="75"/>
      <c r="D2235" s="75"/>
      <c r="E2235" s="75"/>
      <c r="F2235" s="75"/>
      <c r="G2235" s="75"/>
      <c r="H2235" s="75"/>
      <c r="I2235" s="75"/>
      <c r="J2235" s="166"/>
      <c r="K2235" s="166"/>
      <c r="R2235" s="163"/>
      <c r="S2235" s="163"/>
    </row>
    <row r="2236">
      <c r="A2236" s="148"/>
      <c r="B2236" s="75"/>
      <c r="C2236" s="75"/>
      <c r="D2236" s="75"/>
      <c r="E2236" s="75"/>
      <c r="F2236" s="75"/>
      <c r="G2236" s="75"/>
      <c r="H2236" s="75"/>
      <c r="I2236" s="75"/>
      <c r="J2236" s="166"/>
      <c r="K2236" s="166"/>
      <c r="R2236" s="163"/>
      <c r="S2236" s="163"/>
    </row>
    <row r="2237">
      <c r="A2237" s="148"/>
      <c r="B2237" s="75"/>
      <c r="C2237" s="75"/>
      <c r="D2237" s="75"/>
      <c r="E2237" s="75"/>
      <c r="F2237" s="75"/>
      <c r="G2237" s="75"/>
      <c r="H2237" s="75"/>
      <c r="I2237" s="75"/>
      <c r="J2237" s="166"/>
      <c r="K2237" s="166"/>
      <c r="R2237" s="163"/>
      <c r="S2237" s="163"/>
    </row>
    <row r="2238">
      <c r="A2238" s="148"/>
      <c r="B2238" s="75"/>
      <c r="C2238" s="75"/>
      <c r="D2238" s="75"/>
      <c r="E2238" s="75"/>
      <c r="F2238" s="75"/>
      <c r="G2238" s="75"/>
      <c r="H2238" s="75"/>
      <c r="I2238" s="75"/>
      <c r="J2238" s="166"/>
      <c r="K2238" s="166"/>
      <c r="R2238" s="163"/>
      <c r="S2238" s="163"/>
    </row>
    <row r="2239">
      <c r="A2239" s="148"/>
      <c r="B2239" s="75"/>
      <c r="C2239" s="75"/>
      <c r="D2239" s="75"/>
      <c r="E2239" s="75"/>
      <c r="F2239" s="75"/>
      <c r="G2239" s="75"/>
      <c r="H2239" s="75"/>
      <c r="I2239" s="75"/>
      <c r="J2239" s="166"/>
      <c r="K2239" s="166"/>
      <c r="R2239" s="163"/>
      <c r="S2239" s="163"/>
    </row>
    <row r="2240">
      <c r="A2240" s="148"/>
      <c r="B2240" s="75"/>
      <c r="C2240" s="75"/>
      <c r="D2240" s="75"/>
      <c r="E2240" s="75"/>
      <c r="F2240" s="75"/>
      <c r="G2240" s="75"/>
      <c r="H2240" s="75"/>
      <c r="I2240" s="75"/>
      <c r="J2240" s="166"/>
      <c r="K2240" s="166"/>
      <c r="R2240" s="163"/>
      <c r="S2240" s="163"/>
    </row>
    <row r="2241">
      <c r="A2241" s="148"/>
      <c r="B2241" s="75"/>
      <c r="C2241" s="75"/>
      <c r="D2241" s="75"/>
      <c r="E2241" s="75"/>
      <c r="F2241" s="75"/>
      <c r="G2241" s="75"/>
      <c r="H2241" s="75"/>
      <c r="I2241" s="75"/>
      <c r="J2241" s="166"/>
      <c r="K2241" s="166"/>
      <c r="R2241" s="173"/>
      <c r="S2241" s="173"/>
    </row>
    <row r="2242">
      <c r="A2242" s="148"/>
      <c r="B2242" s="75"/>
      <c r="C2242" s="75"/>
      <c r="D2242" s="75"/>
      <c r="E2242" s="75"/>
      <c r="F2242" s="75"/>
      <c r="G2242" s="75"/>
      <c r="H2242" s="75"/>
      <c r="I2242" s="75"/>
      <c r="J2242" s="166"/>
      <c r="K2242" s="166"/>
      <c r="R2242" s="157"/>
      <c r="S2242" s="157"/>
    </row>
    <row r="2243">
      <c r="A2243" s="148"/>
      <c r="B2243" s="75"/>
      <c r="C2243" s="75"/>
      <c r="D2243" s="75"/>
      <c r="E2243" s="75"/>
      <c r="F2243" s="75"/>
      <c r="G2243" s="75"/>
      <c r="H2243" s="75"/>
      <c r="I2243" s="75"/>
      <c r="J2243" s="166"/>
      <c r="K2243" s="166"/>
      <c r="R2243" s="163"/>
      <c r="S2243" s="163"/>
    </row>
    <row r="2244">
      <c r="A2244" s="148"/>
      <c r="B2244" s="75"/>
      <c r="C2244" s="75"/>
      <c r="D2244" s="75"/>
      <c r="E2244" s="75"/>
      <c r="F2244" s="75"/>
      <c r="G2244" s="75"/>
      <c r="H2244" s="75"/>
      <c r="I2244" s="75"/>
      <c r="J2244" s="166"/>
      <c r="K2244" s="166"/>
      <c r="R2244" s="163"/>
      <c r="S2244" s="163"/>
    </row>
    <row r="2245">
      <c r="A2245" s="148"/>
      <c r="B2245" s="75"/>
      <c r="C2245" s="75"/>
      <c r="D2245" s="75"/>
      <c r="E2245" s="75"/>
      <c r="F2245" s="75"/>
      <c r="G2245" s="75"/>
      <c r="H2245" s="75"/>
      <c r="I2245" s="75"/>
      <c r="J2245" s="166"/>
      <c r="K2245" s="166"/>
      <c r="R2245" s="163"/>
      <c r="S2245" s="163"/>
    </row>
    <row r="2246">
      <c r="A2246" s="148"/>
      <c r="B2246" s="75"/>
      <c r="C2246" s="75"/>
      <c r="D2246" s="75"/>
      <c r="E2246" s="75"/>
      <c r="F2246" s="75"/>
      <c r="G2246" s="75"/>
      <c r="H2246" s="75"/>
      <c r="I2246" s="75"/>
      <c r="J2246" s="166"/>
      <c r="K2246" s="166"/>
      <c r="R2246" s="163"/>
      <c r="S2246" s="163"/>
    </row>
    <row r="2247">
      <c r="A2247" s="148"/>
      <c r="B2247" s="75"/>
      <c r="C2247" s="75"/>
      <c r="D2247" s="75"/>
      <c r="E2247" s="75"/>
      <c r="F2247" s="75"/>
      <c r="G2247" s="75"/>
      <c r="H2247" s="75"/>
      <c r="I2247" s="75"/>
      <c r="J2247" s="166"/>
      <c r="K2247" s="166"/>
      <c r="R2247" s="163"/>
      <c r="S2247" s="163"/>
    </row>
    <row r="2248">
      <c r="A2248" s="148"/>
      <c r="B2248" s="75"/>
      <c r="C2248" s="75"/>
      <c r="D2248" s="75"/>
      <c r="E2248" s="75"/>
      <c r="F2248" s="75"/>
      <c r="G2248" s="75"/>
      <c r="H2248" s="75"/>
      <c r="I2248" s="75"/>
      <c r="J2248" s="166"/>
      <c r="K2248" s="166"/>
      <c r="R2248" s="163"/>
      <c r="S2248" s="163"/>
    </row>
    <row r="2249">
      <c r="A2249" s="148"/>
      <c r="B2249" s="75"/>
      <c r="C2249" s="75"/>
      <c r="D2249" s="75"/>
      <c r="E2249" s="75"/>
      <c r="F2249" s="75"/>
      <c r="G2249" s="75"/>
      <c r="H2249" s="75"/>
      <c r="I2249" s="75"/>
      <c r="J2249" s="166"/>
      <c r="K2249" s="166"/>
      <c r="R2249" s="163"/>
      <c r="S2249" s="163"/>
    </row>
    <row r="2250">
      <c r="A2250" s="148"/>
      <c r="B2250" s="75"/>
      <c r="C2250" s="75"/>
      <c r="D2250" s="75"/>
      <c r="E2250" s="75"/>
      <c r="F2250" s="75"/>
      <c r="G2250" s="75"/>
      <c r="H2250" s="75"/>
      <c r="I2250" s="75"/>
      <c r="J2250" s="166"/>
      <c r="K2250" s="166"/>
      <c r="R2250" s="163"/>
      <c r="S2250" s="163"/>
    </row>
    <row r="2251">
      <c r="A2251" s="148"/>
      <c r="B2251" s="75"/>
      <c r="C2251" s="75"/>
      <c r="D2251" s="75"/>
      <c r="E2251" s="75"/>
      <c r="F2251" s="75"/>
      <c r="G2251" s="75"/>
      <c r="H2251" s="75"/>
      <c r="I2251" s="75"/>
      <c r="J2251" s="166"/>
      <c r="K2251" s="166"/>
      <c r="R2251" s="163"/>
      <c r="S2251" s="163"/>
    </row>
    <row r="2252">
      <c r="A2252" s="148"/>
      <c r="B2252" s="75"/>
      <c r="C2252" s="75"/>
      <c r="D2252" s="75"/>
      <c r="E2252" s="75"/>
      <c r="F2252" s="75"/>
      <c r="G2252" s="75"/>
      <c r="H2252" s="75"/>
      <c r="I2252" s="75"/>
      <c r="J2252" s="166"/>
      <c r="K2252" s="166"/>
      <c r="R2252" s="163"/>
      <c r="S2252" s="163"/>
    </row>
    <row r="2253">
      <c r="A2253" s="148"/>
      <c r="B2253" s="75"/>
      <c r="C2253" s="75"/>
      <c r="D2253" s="75"/>
      <c r="E2253" s="75"/>
      <c r="F2253" s="75"/>
      <c r="G2253" s="75"/>
      <c r="H2253" s="75"/>
      <c r="I2253" s="75"/>
      <c r="J2253" s="166"/>
      <c r="K2253" s="166"/>
      <c r="R2253" s="173"/>
      <c r="S2253" s="173"/>
    </row>
    <row r="2254">
      <c r="A2254" s="148"/>
      <c r="B2254" s="75"/>
      <c r="C2254" s="75"/>
      <c r="D2254" s="75"/>
      <c r="E2254" s="75"/>
      <c r="F2254" s="75"/>
      <c r="G2254" s="75"/>
      <c r="H2254" s="75"/>
      <c r="I2254" s="75"/>
      <c r="J2254" s="166"/>
      <c r="K2254" s="166"/>
      <c r="R2254" s="157"/>
      <c r="S2254" s="157"/>
    </row>
    <row r="2255">
      <c r="A2255" s="148"/>
      <c r="B2255" s="75"/>
      <c r="C2255" s="75"/>
      <c r="D2255" s="75"/>
      <c r="E2255" s="75"/>
      <c r="F2255" s="75"/>
      <c r="G2255" s="75"/>
      <c r="H2255" s="75"/>
      <c r="I2255" s="75"/>
      <c r="J2255" s="166"/>
      <c r="K2255" s="166"/>
      <c r="R2255" s="163"/>
      <c r="S2255" s="163"/>
    </row>
    <row r="2256">
      <c r="A2256" s="148"/>
      <c r="B2256" s="75"/>
      <c r="C2256" s="75"/>
      <c r="D2256" s="75"/>
      <c r="E2256" s="75"/>
      <c r="F2256" s="75"/>
      <c r="G2256" s="75"/>
      <c r="H2256" s="75"/>
      <c r="I2256" s="75"/>
      <c r="J2256" s="166"/>
      <c r="K2256" s="166"/>
      <c r="R2256" s="163"/>
      <c r="S2256" s="163"/>
    </row>
    <row r="2257">
      <c r="A2257" s="148"/>
      <c r="B2257" s="75"/>
      <c r="C2257" s="75"/>
      <c r="D2257" s="75"/>
      <c r="E2257" s="75"/>
      <c r="F2257" s="75"/>
      <c r="G2257" s="75"/>
      <c r="H2257" s="75"/>
      <c r="I2257" s="75"/>
      <c r="J2257" s="166"/>
      <c r="K2257" s="166"/>
      <c r="R2257" s="163"/>
      <c r="S2257" s="163"/>
    </row>
    <row r="2258">
      <c r="A2258" s="148"/>
      <c r="B2258" s="75"/>
      <c r="C2258" s="75"/>
      <c r="D2258" s="75"/>
      <c r="E2258" s="75"/>
      <c r="F2258" s="75"/>
      <c r="G2258" s="75"/>
      <c r="H2258" s="75"/>
      <c r="I2258" s="75"/>
      <c r="J2258" s="166"/>
      <c r="K2258" s="166"/>
      <c r="R2258" s="163"/>
      <c r="S2258" s="163"/>
    </row>
    <row r="2259">
      <c r="A2259" s="148"/>
      <c r="B2259" s="75"/>
      <c r="C2259" s="75"/>
      <c r="D2259" s="75"/>
      <c r="E2259" s="75"/>
      <c r="F2259" s="75"/>
      <c r="G2259" s="75"/>
      <c r="H2259" s="75"/>
      <c r="I2259" s="75"/>
      <c r="J2259" s="166"/>
      <c r="K2259" s="166"/>
      <c r="R2259" s="163"/>
      <c r="S2259" s="163"/>
    </row>
    <row r="2260">
      <c r="A2260" s="148"/>
      <c r="B2260" s="75"/>
      <c r="C2260" s="75"/>
      <c r="D2260" s="75"/>
      <c r="E2260" s="75"/>
      <c r="F2260" s="75"/>
      <c r="G2260" s="75"/>
      <c r="H2260" s="75"/>
      <c r="I2260" s="75"/>
      <c r="J2260" s="166"/>
      <c r="K2260" s="166"/>
      <c r="R2260" s="163"/>
      <c r="S2260" s="163"/>
    </row>
    <row r="2261">
      <c r="A2261" s="148"/>
      <c r="B2261" s="75"/>
      <c r="C2261" s="75"/>
      <c r="D2261" s="75"/>
      <c r="E2261" s="75"/>
      <c r="F2261" s="75"/>
      <c r="G2261" s="75"/>
      <c r="H2261" s="75"/>
      <c r="I2261" s="75"/>
      <c r="J2261" s="166"/>
      <c r="K2261" s="166"/>
      <c r="R2261" s="163"/>
      <c r="S2261" s="163"/>
    </row>
    <row r="2262">
      <c r="A2262" s="148"/>
      <c r="B2262" s="75"/>
      <c r="C2262" s="75"/>
      <c r="D2262" s="75"/>
      <c r="E2262" s="75"/>
      <c r="F2262" s="75"/>
      <c r="G2262" s="75"/>
      <c r="H2262" s="75"/>
      <c r="I2262" s="75"/>
      <c r="J2262" s="166"/>
      <c r="K2262" s="166"/>
      <c r="R2262" s="163"/>
      <c r="S2262" s="163"/>
    </row>
    <row r="2263">
      <c r="A2263" s="148"/>
      <c r="B2263" s="75"/>
      <c r="C2263" s="75"/>
      <c r="D2263" s="75"/>
      <c r="E2263" s="75"/>
      <c r="F2263" s="75"/>
      <c r="G2263" s="75"/>
      <c r="H2263" s="75"/>
      <c r="I2263" s="75"/>
      <c r="J2263" s="166"/>
      <c r="K2263" s="166"/>
      <c r="R2263" s="163"/>
      <c r="S2263" s="163"/>
    </row>
    <row r="2264">
      <c r="A2264" s="148"/>
      <c r="B2264" s="75"/>
      <c r="C2264" s="75"/>
      <c r="D2264" s="75"/>
      <c r="E2264" s="75"/>
      <c r="F2264" s="75"/>
      <c r="G2264" s="75"/>
      <c r="H2264" s="75"/>
      <c r="I2264" s="75"/>
      <c r="J2264" s="166"/>
      <c r="K2264" s="166"/>
      <c r="R2264" s="163"/>
      <c r="S2264" s="163"/>
    </row>
    <row r="2265">
      <c r="A2265" s="148"/>
      <c r="B2265" s="75"/>
      <c r="C2265" s="75"/>
      <c r="D2265" s="75"/>
      <c r="E2265" s="75"/>
      <c r="F2265" s="75"/>
      <c r="G2265" s="75"/>
      <c r="H2265" s="75"/>
      <c r="I2265" s="75"/>
      <c r="J2265" s="166"/>
      <c r="K2265" s="166"/>
      <c r="R2265" s="173"/>
      <c r="S2265" s="173"/>
    </row>
    <row r="2266">
      <c r="A2266" s="148"/>
      <c r="B2266" s="75"/>
      <c r="C2266" s="75"/>
      <c r="D2266" s="75"/>
      <c r="E2266" s="75"/>
      <c r="F2266" s="75"/>
      <c r="G2266" s="75"/>
      <c r="H2266" s="75"/>
      <c r="I2266" s="75"/>
      <c r="J2266" s="166"/>
      <c r="K2266" s="166"/>
      <c r="R2266" s="157"/>
      <c r="S2266" s="157"/>
    </row>
    <row r="2267">
      <c r="A2267" s="148"/>
      <c r="B2267" s="75"/>
      <c r="C2267" s="75"/>
      <c r="D2267" s="75"/>
      <c r="E2267" s="75"/>
      <c r="F2267" s="75"/>
      <c r="G2267" s="75"/>
      <c r="H2267" s="75"/>
      <c r="I2267" s="75"/>
      <c r="J2267" s="166"/>
      <c r="K2267" s="166"/>
      <c r="R2267" s="163"/>
      <c r="S2267" s="163"/>
    </row>
    <row r="2268">
      <c r="A2268" s="148"/>
      <c r="B2268" s="75"/>
      <c r="C2268" s="75"/>
      <c r="D2268" s="75"/>
      <c r="E2268" s="75"/>
      <c r="F2268" s="75"/>
      <c r="G2268" s="75"/>
      <c r="H2268" s="75"/>
      <c r="I2268" s="75"/>
      <c r="J2268" s="166"/>
      <c r="K2268" s="166"/>
      <c r="R2268" s="163"/>
      <c r="S2268" s="163"/>
    </row>
    <row r="2269">
      <c r="A2269" s="148"/>
      <c r="B2269" s="75"/>
      <c r="C2269" s="75"/>
      <c r="D2269" s="75"/>
      <c r="E2269" s="75"/>
      <c r="F2269" s="75"/>
      <c r="G2269" s="75"/>
      <c r="H2269" s="75"/>
      <c r="I2269" s="75"/>
      <c r="J2269" s="166"/>
      <c r="K2269" s="166"/>
      <c r="R2269" s="163"/>
      <c r="S2269" s="163"/>
    </row>
    <row r="2270">
      <c r="A2270" s="148"/>
      <c r="B2270" s="75"/>
      <c r="C2270" s="75"/>
      <c r="D2270" s="75"/>
      <c r="E2270" s="75"/>
      <c r="F2270" s="75"/>
      <c r="G2270" s="75"/>
      <c r="H2270" s="75"/>
      <c r="I2270" s="75"/>
      <c r="J2270" s="166"/>
      <c r="K2270" s="166"/>
      <c r="R2270" s="163"/>
      <c r="S2270" s="163"/>
    </row>
    <row r="2271">
      <c r="A2271" s="148"/>
      <c r="B2271" s="75"/>
      <c r="C2271" s="75"/>
      <c r="D2271" s="75"/>
      <c r="E2271" s="75"/>
      <c r="F2271" s="75"/>
      <c r="G2271" s="75"/>
      <c r="H2271" s="75"/>
      <c r="I2271" s="75"/>
      <c r="J2271" s="166"/>
      <c r="K2271" s="166"/>
      <c r="R2271" s="163"/>
      <c r="S2271" s="163"/>
    </row>
    <row r="2272">
      <c r="A2272" s="148"/>
      <c r="B2272" s="75"/>
      <c r="C2272" s="75"/>
      <c r="D2272" s="75"/>
      <c r="E2272" s="75"/>
      <c r="F2272" s="75"/>
      <c r="G2272" s="75"/>
      <c r="H2272" s="75"/>
      <c r="I2272" s="75"/>
      <c r="J2272" s="166"/>
      <c r="K2272" s="166"/>
      <c r="R2272" s="163"/>
      <c r="S2272" s="163"/>
    </row>
    <row r="2273">
      <c r="A2273" s="148"/>
      <c r="B2273" s="75"/>
      <c r="C2273" s="75"/>
      <c r="D2273" s="75"/>
      <c r="E2273" s="75"/>
      <c r="F2273" s="75"/>
      <c r="G2273" s="75"/>
      <c r="H2273" s="75"/>
      <c r="I2273" s="75"/>
      <c r="J2273" s="166"/>
      <c r="K2273" s="166"/>
      <c r="R2273" s="163"/>
      <c r="S2273" s="163"/>
    </row>
    <row r="2274">
      <c r="A2274" s="148"/>
      <c r="B2274" s="75"/>
      <c r="C2274" s="75"/>
      <c r="D2274" s="75"/>
      <c r="E2274" s="75"/>
      <c r="F2274" s="75"/>
      <c r="G2274" s="75"/>
      <c r="H2274" s="75"/>
      <c r="I2274" s="75"/>
      <c r="J2274" s="166"/>
      <c r="K2274" s="166"/>
      <c r="R2274" s="163"/>
      <c r="S2274" s="163"/>
    </row>
    <row r="2275">
      <c r="A2275" s="148"/>
      <c r="B2275" s="75"/>
      <c r="C2275" s="75"/>
      <c r="D2275" s="75"/>
      <c r="E2275" s="75"/>
      <c r="F2275" s="75"/>
      <c r="G2275" s="75"/>
      <c r="H2275" s="75"/>
      <c r="I2275" s="75"/>
      <c r="J2275" s="166"/>
      <c r="K2275" s="166"/>
      <c r="R2275" s="163"/>
      <c r="S2275" s="163"/>
    </row>
    <row r="2276">
      <c r="A2276" s="148"/>
      <c r="B2276" s="75"/>
      <c r="C2276" s="75"/>
      <c r="D2276" s="75"/>
      <c r="E2276" s="75"/>
      <c r="F2276" s="75"/>
      <c r="G2276" s="75"/>
      <c r="H2276" s="75"/>
      <c r="I2276" s="75"/>
      <c r="J2276" s="166"/>
      <c r="K2276" s="166"/>
      <c r="R2276" s="163"/>
      <c r="S2276" s="163"/>
    </row>
    <row r="2277">
      <c r="A2277" s="148"/>
      <c r="B2277" s="75"/>
      <c r="C2277" s="75"/>
      <c r="D2277" s="75"/>
      <c r="E2277" s="75"/>
      <c r="F2277" s="75"/>
      <c r="G2277" s="75"/>
      <c r="H2277" s="75"/>
      <c r="I2277" s="75"/>
      <c r="J2277" s="166"/>
      <c r="K2277" s="166"/>
      <c r="R2277" s="173"/>
      <c r="S2277" s="173"/>
    </row>
    <row r="2278">
      <c r="A2278" s="148"/>
      <c r="B2278" s="75"/>
      <c r="C2278" s="75"/>
      <c r="D2278" s="75"/>
      <c r="E2278" s="75"/>
      <c r="F2278" s="75"/>
      <c r="G2278" s="75"/>
      <c r="H2278" s="75"/>
      <c r="I2278" s="75"/>
      <c r="J2278" s="166"/>
      <c r="K2278" s="166"/>
      <c r="R2278" s="157"/>
      <c r="S2278" s="157"/>
    </row>
  </sheetData>
  <autoFilter ref="$A$1:$K$1348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2.25"/>
    <col customWidth="1" min="3" max="3" width="9.88"/>
    <col customWidth="1" min="4" max="4" width="11.25"/>
    <col customWidth="1" min="5" max="6" width="12.75"/>
    <col customWidth="1" min="7" max="8" width="11.88"/>
    <col customWidth="1" min="9" max="9" width="10.13"/>
    <col customWidth="1" min="10" max="10" width="14.5"/>
    <col customWidth="1" min="11" max="11" width="31.0"/>
    <col customWidth="1" min="12" max="12" width="15.88"/>
    <col customWidth="1" min="13" max="13" width="20.88"/>
    <col customWidth="1" min="14" max="14" width="20.63"/>
    <col customWidth="1" min="15" max="15" width="7.38"/>
    <col customWidth="1" min="16" max="16" width="8.63"/>
    <col customWidth="1" min="17" max="17" width="17.25"/>
    <col customWidth="1" min="18" max="18" width="9.25"/>
  </cols>
  <sheetData>
    <row r="1">
      <c r="A1" s="143" t="s">
        <v>199</v>
      </c>
      <c r="B1" s="143" t="s">
        <v>209</v>
      </c>
      <c r="C1" s="143" t="s">
        <v>71</v>
      </c>
      <c r="D1" s="143" t="s">
        <v>200</v>
      </c>
      <c r="E1" s="143" t="s">
        <v>201</v>
      </c>
      <c r="F1" s="143" t="s">
        <v>202</v>
      </c>
      <c r="G1" s="143" t="s">
        <v>203</v>
      </c>
      <c r="H1" s="156" t="s">
        <v>204</v>
      </c>
      <c r="I1" s="143" t="s">
        <v>206</v>
      </c>
      <c r="J1" s="151" t="s">
        <v>205</v>
      </c>
      <c r="K1" s="145" t="s">
        <v>207</v>
      </c>
      <c r="N1" s="4" t="s">
        <v>231</v>
      </c>
      <c r="O1" s="4" t="s">
        <v>232</v>
      </c>
      <c r="P1" s="4" t="s">
        <v>241</v>
      </c>
      <c r="Q1" s="4" t="s">
        <v>234</v>
      </c>
      <c r="R1" s="4" t="s">
        <v>235</v>
      </c>
      <c r="S1" s="4" t="s">
        <v>39</v>
      </c>
    </row>
    <row r="2">
      <c r="A2" s="179">
        <v>1.0</v>
      </c>
      <c r="B2" s="180"/>
      <c r="C2" s="180"/>
      <c r="D2" s="180" t="s">
        <v>208</v>
      </c>
      <c r="E2" s="180" t="s">
        <v>208</v>
      </c>
      <c r="F2" s="180" t="s">
        <v>208</v>
      </c>
      <c r="G2" s="180"/>
      <c r="H2" s="180" t="s">
        <v>208</v>
      </c>
      <c r="I2" s="181"/>
      <c r="J2" s="180"/>
      <c r="K2" s="182" t="s">
        <v>240</v>
      </c>
      <c r="L2" s="148"/>
      <c r="M2" s="160" t="s">
        <v>213</v>
      </c>
      <c r="N2" s="161">
        <f>COUNTIF(B2:B1414,"V")</f>
        <v>0</v>
      </c>
      <c r="O2" s="161">
        <v>32.0</v>
      </c>
      <c r="P2" s="163"/>
      <c r="Q2" s="161"/>
      <c r="R2" s="163"/>
      <c r="S2" s="164">
        <f t="shared" ref="S2:S14" si="1">N2+O2+P2+Q2+R2</f>
        <v>32</v>
      </c>
    </row>
    <row r="3">
      <c r="A3" s="179">
        <f t="shared" ref="A3:A239" si="2">A2+1</f>
        <v>2</v>
      </c>
      <c r="B3" s="180"/>
      <c r="C3" s="180"/>
      <c r="D3" s="180" t="s">
        <v>208</v>
      </c>
      <c r="E3" s="180" t="s">
        <v>208</v>
      </c>
      <c r="F3" s="180" t="s">
        <v>208</v>
      </c>
      <c r="G3" s="180"/>
      <c r="H3" s="180" t="s">
        <v>208</v>
      </c>
      <c r="I3" s="181"/>
      <c r="J3" s="180"/>
      <c r="K3" s="182" t="s">
        <v>240</v>
      </c>
      <c r="L3" s="148"/>
      <c r="M3" s="160" t="s">
        <v>71</v>
      </c>
      <c r="N3" s="161">
        <f>COUNTIF(C2:C1414,"V")</f>
        <v>1143</v>
      </c>
      <c r="O3" s="161">
        <f>2+25</f>
        <v>27</v>
      </c>
      <c r="P3" s="161"/>
      <c r="Q3" s="163"/>
      <c r="R3" s="163"/>
      <c r="S3" s="164">
        <f t="shared" si="1"/>
        <v>1170</v>
      </c>
    </row>
    <row r="4">
      <c r="A4" s="179">
        <f t="shared" si="2"/>
        <v>3</v>
      </c>
      <c r="B4" s="180"/>
      <c r="C4" s="180" t="s">
        <v>208</v>
      </c>
      <c r="D4" s="180"/>
      <c r="E4" s="180" t="s">
        <v>208</v>
      </c>
      <c r="F4" s="180" t="s">
        <v>208</v>
      </c>
      <c r="G4" s="180" t="s">
        <v>208</v>
      </c>
      <c r="H4" s="181"/>
      <c r="I4" s="181"/>
      <c r="J4" s="180"/>
      <c r="K4" s="182" t="s">
        <v>240</v>
      </c>
      <c r="L4" s="148"/>
      <c r="M4" s="160" t="s">
        <v>211</v>
      </c>
      <c r="N4" s="161">
        <f>COUNTIF(H2:H1414,"V")</f>
        <v>87</v>
      </c>
      <c r="O4" s="161">
        <v>6.0</v>
      </c>
      <c r="P4" s="161"/>
      <c r="Q4" s="161"/>
      <c r="R4" s="161">
        <v>1.0</v>
      </c>
      <c r="S4" s="164">
        <f t="shared" si="1"/>
        <v>94</v>
      </c>
    </row>
    <row r="5">
      <c r="A5" s="179">
        <f t="shared" si="2"/>
        <v>4</v>
      </c>
      <c r="B5" s="180"/>
      <c r="C5" s="180" t="s">
        <v>208</v>
      </c>
      <c r="D5" s="180" t="s">
        <v>208</v>
      </c>
      <c r="E5" s="180" t="s">
        <v>208</v>
      </c>
      <c r="F5" s="180" t="s">
        <v>208</v>
      </c>
      <c r="G5" s="180" t="s">
        <v>208</v>
      </c>
      <c r="H5" s="181"/>
      <c r="I5" s="181"/>
      <c r="J5" s="180"/>
      <c r="K5" s="182" t="s">
        <v>240</v>
      </c>
      <c r="L5" s="148"/>
      <c r="M5" s="160" t="s">
        <v>50</v>
      </c>
      <c r="N5" s="161">
        <f>COUNTIF(D2:D1414,"V")</f>
        <v>1179</v>
      </c>
      <c r="O5" s="161">
        <v>25.0</v>
      </c>
      <c r="P5" s="161"/>
      <c r="Q5" s="161"/>
      <c r="R5" s="163"/>
      <c r="S5" s="164">
        <f t="shared" si="1"/>
        <v>1204</v>
      </c>
    </row>
    <row r="6">
      <c r="A6" s="179">
        <f t="shared" si="2"/>
        <v>5</v>
      </c>
      <c r="B6" s="180"/>
      <c r="C6" s="180" t="s">
        <v>208</v>
      </c>
      <c r="D6" s="180" t="s">
        <v>208</v>
      </c>
      <c r="E6" s="180" t="s">
        <v>208</v>
      </c>
      <c r="F6" s="180" t="s">
        <v>208</v>
      </c>
      <c r="G6" s="180" t="s">
        <v>208</v>
      </c>
      <c r="H6" s="181"/>
      <c r="I6" s="181"/>
      <c r="J6" s="180"/>
      <c r="K6" s="182" t="s">
        <v>240</v>
      </c>
      <c r="L6" s="148"/>
      <c r="M6" s="160" t="s">
        <v>66</v>
      </c>
      <c r="N6" s="161">
        <f>COUNTIF(E2:E1414,"V")</f>
        <v>1114</v>
      </c>
      <c r="O6" s="161"/>
      <c r="P6" s="163"/>
      <c r="Q6" s="163"/>
      <c r="R6" s="163"/>
      <c r="S6" s="164">
        <f t="shared" si="1"/>
        <v>1114</v>
      </c>
    </row>
    <row r="7">
      <c r="A7" s="179">
        <f t="shared" si="2"/>
        <v>6</v>
      </c>
      <c r="B7" s="180"/>
      <c r="C7" s="180" t="s">
        <v>208</v>
      </c>
      <c r="D7" s="180" t="s">
        <v>208</v>
      </c>
      <c r="E7" s="180" t="s">
        <v>208</v>
      </c>
      <c r="F7" s="180" t="s">
        <v>208</v>
      </c>
      <c r="G7" s="180" t="s">
        <v>208</v>
      </c>
      <c r="H7" s="181"/>
      <c r="I7" s="181"/>
      <c r="J7" s="180"/>
      <c r="K7" s="182" t="s">
        <v>240</v>
      </c>
      <c r="L7" s="148"/>
      <c r="M7" s="160" t="s">
        <v>74</v>
      </c>
      <c r="N7" s="161">
        <f>COUNTIF(F2:F1414,"V")</f>
        <v>1221</v>
      </c>
      <c r="O7" s="161">
        <v>25.0</v>
      </c>
      <c r="P7" s="161"/>
      <c r="Q7" s="161"/>
      <c r="R7" s="163"/>
      <c r="S7" s="164">
        <f t="shared" si="1"/>
        <v>1246</v>
      </c>
    </row>
    <row r="8">
      <c r="A8" s="179">
        <f t="shared" si="2"/>
        <v>7</v>
      </c>
      <c r="B8" s="180"/>
      <c r="C8" s="180" t="s">
        <v>208</v>
      </c>
      <c r="D8" s="180" t="s">
        <v>208</v>
      </c>
      <c r="E8" s="180" t="s">
        <v>208</v>
      </c>
      <c r="F8" s="180" t="s">
        <v>208</v>
      </c>
      <c r="G8" s="180" t="s">
        <v>208</v>
      </c>
      <c r="H8" s="181"/>
      <c r="I8" s="181"/>
      <c r="J8" s="180"/>
      <c r="K8" s="182" t="s">
        <v>240</v>
      </c>
      <c r="L8" s="148"/>
      <c r="M8" s="160" t="s">
        <v>75</v>
      </c>
      <c r="N8" s="161">
        <f>COUNTIF(G2:G1414,"V")</f>
        <v>1144</v>
      </c>
      <c r="O8" s="161">
        <f>7+25</f>
        <v>32</v>
      </c>
      <c r="P8" s="161"/>
      <c r="Q8" s="163"/>
      <c r="R8" s="163"/>
      <c r="S8" s="164">
        <f t="shared" si="1"/>
        <v>1176</v>
      </c>
    </row>
    <row r="9">
      <c r="A9" s="179">
        <f t="shared" si="2"/>
        <v>8</v>
      </c>
      <c r="B9" s="180"/>
      <c r="C9" s="180" t="s">
        <v>208</v>
      </c>
      <c r="D9" s="180" t="s">
        <v>208</v>
      </c>
      <c r="E9" s="180" t="s">
        <v>208</v>
      </c>
      <c r="F9" s="180" t="s">
        <v>208</v>
      </c>
      <c r="G9" s="180" t="s">
        <v>208</v>
      </c>
      <c r="H9" s="181"/>
      <c r="I9" s="181"/>
      <c r="J9" s="180"/>
      <c r="K9" s="182" t="s">
        <v>240</v>
      </c>
      <c r="M9" s="160" t="s">
        <v>198</v>
      </c>
      <c r="N9" s="161">
        <f>COUNTIF(I2:I1414,"V")</f>
        <v>22</v>
      </c>
      <c r="O9" s="161">
        <v>3.0</v>
      </c>
      <c r="P9" s="163"/>
      <c r="Q9" s="163"/>
      <c r="R9" s="163"/>
      <c r="S9" s="163">
        <f t="shared" si="1"/>
        <v>25</v>
      </c>
    </row>
    <row r="10">
      <c r="A10" s="179">
        <f t="shared" si="2"/>
        <v>9</v>
      </c>
      <c r="B10" s="180"/>
      <c r="C10" s="180"/>
      <c r="D10" s="180"/>
      <c r="E10" s="180"/>
      <c r="F10" s="180"/>
      <c r="G10" s="180"/>
      <c r="H10" s="181"/>
      <c r="I10" s="181"/>
      <c r="J10" s="180" t="s">
        <v>242</v>
      </c>
      <c r="K10" s="182" t="s">
        <v>240</v>
      </c>
      <c r="M10" s="160" t="s">
        <v>286</v>
      </c>
      <c r="N10" s="161">
        <f>COUNTIF(J2:J1414,"MK")</f>
        <v>130</v>
      </c>
      <c r="O10" s="163"/>
      <c r="P10" s="163"/>
      <c r="Q10" s="163"/>
      <c r="R10" s="163"/>
      <c r="S10" s="163">
        <f t="shared" si="1"/>
        <v>130</v>
      </c>
    </row>
    <row r="11">
      <c r="A11" s="179">
        <f t="shared" si="2"/>
        <v>10</v>
      </c>
      <c r="B11" s="180"/>
      <c r="C11" s="180" t="s">
        <v>208</v>
      </c>
      <c r="D11" s="180" t="s">
        <v>208</v>
      </c>
      <c r="E11" s="180" t="s">
        <v>208</v>
      </c>
      <c r="F11" s="180" t="s">
        <v>208</v>
      </c>
      <c r="G11" s="180" t="s">
        <v>208</v>
      </c>
      <c r="H11" s="181"/>
      <c r="I11" s="181"/>
      <c r="J11" s="180"/>
      <c r="K11" s="182" t="s">
        <v>240</v>
      </c>
      <c r="M11" s="160" t="s">
        <v>287</v>
      </c>
      <c r="N11" s="161">
        <f>COUNTBLANK(J2:J1349)</f>
        <v>1207</v>
      </c>
      <c r="O11" s="163"/>
      <c r="P11" s="163"/>
      <c r="Q11" s="163"/>
      <c r="R11" s="163"/>
      <c r="S11" s="163">
        <f t="shared" si="1"/>
        <v>1207</v>
      </c>
    </row>
    <row r="12">
      <c r="A12" s="179">
        <f t="shared" si="2"/>
        <v>11</v>
      </c>
      <c r="B12" s="180"/>
      <c r="C12" s="180" t="s">
        <v>208</v>
      </c>
      <c r="D12" s="180" t="s">
        <v>208</v>
      </c>
      <c r="E12" s="180" t="s">
        <v>208</v>
      </c>
      <c r="F12" s="180" t="s">
        <v>208</v>
      </c>
      <c r="G12" s="180" t="s">
        <v>208</v>
      </c>
      <c r="H12" s="181"/>
      <c r="I12" s="181"/>
      <c r="J12" s="180"/>
      <c r="K12" s="182" t="s">
        <v>240</v>
      </c>
      <c r="M12" s="160" t="s">
        <v>288</v>
      </c>
      <c r="N12" s="161">
        <f>COUNTIF(J2:J1414,"X")</f>
        <v>11</v>
      </c>
      <c r="O12" s="173"/>
      <c r="P12" s="173"/>
      <c r="Q12" s="173"/>
      <c r="R12" s="173"/>
      <c r="S12" s="163">
        <f t="shared" si="1"/>
        <v>11</v>
      </c>
    </row>
    <row r="13">
      <c r="A13" s="179">
        <f t="shared" si="2"/>
        <v>12</v>
      </c>
      <c r="B13" s="180"/>
      <c r="C13" s="180" t="s">
        <v>208</v>
      </c>
      <c r="D13" s="180" t="s">
        <v>208</v>
      </c>
      <c r="E13" s="180" t="s">
        <v>208</v>
      </c>
      <c r="F13" s="180" t="s">
        <v>208</v>
      </c>
      <c r="G13" s="180" t="s">
        <v>208</v>
      </c>
      <c r="H13" s="181"/>
      <c r="I13" s="181"/>
      <c r="J13" s="180"/>
      <c r="K13" s="182" t="s">
        <v>240</v>
      </c>
      <c r="M13" s="160" t="s">
        <v>218</v>
      </c>
      <c r="N13" s="161">
        <f>COUNTIF(B2:I1414,"P")</f>
        <v>51</v>
      </c>
      <c r="S13" s="163">
        <f t="shared" si="1"/>
        <v>51</v>
      </c>
    </row>
    <row r="14">
      <c r="A14" s="179">
        <f t="shared" si="2"/>
        <v>13</v>
      </c>
      <c r="B14" s="180"/>
      <c r="C14" s="180"/>
      <c r="D14" s="180"/>
      <c r="E14" s="180"/>
      <c r="F14" s="180"/>
      <c r="G14" s="180"/>
      <c r="H14" s="181"/>
      <c r="I14" s="181"/>
      <c r="J14" s="180" t="s">
        <v>242</v>
      </c>
      <c r="K14" s="182" t="s">
        <v>240</v>
      </c>
      <c r="S14" s="163">
        <f t="shared" si="1"/>
        <v>0</v>
      </c>
    </row>
    <row r="15">
      <c r="A15" s="179">
        <f t="shared" si="2"/>
        <v>14</v>
      </c>
      <c r="B15" s="180"/>
      <c r="C15" s="180"/>
      <c r="D15" s="180"/>
      <c r="E15" s="180"/>
      <c r="F15" s="180"/>
      <c r="G15" s="180"/>
      <c r="H15" s="180"/>
      <c r="I15" s="181"/>
      <c r="J15" s="180" t="s">
        <v>242</v>
      </c>
      <c r="K15" s="182" t="s">
        <v>240</v>
      </c>
      <c r="S15" s="157"/>
    </row>
    <row r="16">
      <c r="A16" s="179">
        <f t="shared" si="2"/>
        <v>15</v>
      </c>
      <c r="B16" s="180"/>
      <c r="C16" s="180" t="s">
        <v>208</v>
      </c>
      <c r="D16" s="180" t="s">
        <v>208</v>
      </c>
      <c r="E16" s="180" t="s">
        <v>208</v>
      </c>
      <c r="F16" s="180" t="s">
        <v>208</v>
      </c>
      <c r="G16" s="180" t="s">
        <v>208</v>
      </c>
      <c r="H16" s="181"/>
      <c r="I16" s="181"/>
      <c r="J16" s="180"/>
      <c r="K16" s="182" t="s">
        <v>240</v>
      </c>
    </row>
    <row r="17">
      <c r="A17" s="179">
        <f t="shared" si="2"/>
        <v>16</v>
      </c>
      <c r="B17" s="180"/>
      <c r="C17" s="180" t="s">
        <v>208</v>
      </c>
      <c r="D17" s="180" t="s">
        <v>208</v>
      </c>
      <c r="E17" s="180" t="s">
        <v>208</v>
      </c>
      <c r="F17" s="180" t="s">
        <v>208</v>
      </c>
      <c r="G17" s="180" t="s">
        <v>208</v>
      </c>
      <c r="H17" s="181"/>
      <c r="I17" s="181"/>
      <c r="J17" s="180"/>
      <c r="K17" s="182" t="s">
        <v>240</v>
      </c>
    </row>
    <row r="18">
      <c r="A18" s="179">
        <f t="shared" si="2"/>
        <v>17</v>
      </c>
      <c r="B18" s="180"/>
      <c r="C18" s="180" t="s">
        <v>208</v>
      </c>
      <c r="D18" s="180" t="s">
        <v>208</v>
      </c>
      <c r="E18" s="180" t="s">
        <v>208</v>
      </c>
      <c r="F18" s="180" t="s">
        <v>208</v>
      </c>
      <c r="G18" s="180" t="s">
        <v>208</v>
      </c>
      <c r="H18" s="181"/>
      <c r="I18" s="181"/>
      <c r="J18" s="180"/>
      <c r="K18" s="182" t="s">
        <v>240</v>
      </c>
    </row>
    <row r="19">
      <c r="A19" s="179">
        <f t="shared" si="2"/>
        <v>18</v>
      </c>
      <c r="B19" s="180"/>
      <c r="C19" s="180" t="s">
        <v>208</v>
      </c>
      <c r="D19" s="180" t="s">
        <v>208</v>
      </c>
      <c r="E19" s="180" t="s">
        <v>208</v>
      </c>
      <c r="F19" s="180" t="s">
        <v>208</v>
      </c>
      <c r="G19" s="180" t="s">
        <v>208</v>
      </c>
      <c r="H19" s="181"/>
      <c r="I19" s="181"/>
      <c r="J19" s="180"/>
      <c r="K19" s="182" t="s">
        <v>240</v>
      </c>
    </row>
    <row r="20">
      <c r="A20" s="179">
        <f t="shared" si="2"/>
        <v>19</v>
      </c>
      <c r="B20" s="180"/>
      <c r="C20" s="180" t="s">
        <v>208</v>
      </c>
      <c r="D20" s="180" t="s">
        <v>208</v>
      </c>
      <c r="E20" s="180" t="s">
        <v>208</v>
      </c>
      <c r="F20" s="180" t="s">
        <v>208</v>
      </c>
      <c r="G20" s="180" t="s">
        <v>208</v>
      </c>
      <c r="H20" s="181"/>
      <c r="I20" s="181"/>
      <c r="J20" s="180"/>
      <c r="K20" s="182" t="s">
        <v>240</v>
      </c>
    </row>
    <row r="21">
      <c r="A21" s="179">
        <f t="shared" si="2"/>
        <v>20</v>
      </c>
      <c r="B21" s="180"/>
      <c r="C21" s="180" t="s">
        <v>208</v>
      </c>
      <c r="D21" s="180" t="s">
        <v>208</v>
      </c>
      <c r="E21" s="180" t="s">
        <v>208</v>
      </c>
      <c r="F21" s="180" t="s">
        <v>208</v>
      </c>
      <c r="G21" s="180" t="s">
        <v>208</v>
      </c>
      <c r="H21" s="181"/>
      <c r="I21" s="181"/>
      <c r="J21" s="180"/>
      <c r="K21" s="182" t="s">
        <v>240</v>
      </c>
    </row>
    <row r="22">
      <c r="A22" s="179">
        <f t="shared" si="2"/>
        <v>21</v>
      </c>
      <c r="B22" s="180"/>
      <c r="C22" s="180" t="s">
        <v>208</v>
      </c>
      <c r="D22" s="180" t="s">
        <v>208</v>
      </c>
      <c r="E22" s="180" t="s">
        <v>208</v>
      </c>
      <c r="F22" s="180" t="s">
        <v>208</v>
      </c>
      <c r="G22" s="180" t="s">
        <v>208</v>
      </c>
      <c r="H22" s="181"/>
      <c r="I22" s="181"/>
      <c r="J22" s="180"/>
      <c r="K22" s="182" t="s">
        <v>240</v>
      </c>
    </row>
    <row r="23">
      <c r="A23" s="179">
        <f t="shared" si="2"/>
        <v>22</v>
      </c>
      <c r="B23" s="180"/>
      <c r="C23" s="180" t="s">
        <v>208</v>
      </c>
      <c r="D23" s="180" t="s">
        <v>208</v>
      </c>
      <c r="E23" s="180" t="s">
        <v>208</v>
      </c>
      <c r="F23" s="180" t="s">
        <v>208</v>
      </c>
      <c r="G23" s="180" t="s">
        <v>208</v>
      </c>
      <c r="H23" s="181"/>
      <c r="I23" s="181"/>
      <c r="J23" s="180"/>
      <c r="K23" s="182" t="s">
        <v>240</v>
      </c>
    </row>
    <row r="24">
      <c r="A24" s="179">
        <f t="shared" si="2"/>
        <v>23</v>
      </c>
      <c r="B24" s="180"/>
      <c r="C24" s="180" t="s">
        <v>208</v>
      </c>
      <c r="D24" s="180" t="s">
        <v>208</v>
      </c>
      <c r="E24" s="180" t="s">
        <v>208</v>
      </c>
      <c r="F24" s="180" t="s">
        <v>208</v>
      </c>
      <c r="G24" s="180" t="s">
        <v>208</v>
      </c>
      <c r="H24" s="181"/>
      <c r="I24" s="181"/>
      <c r="J24" s="180"/>
      <c r="K24" s="182" t="s">
        <v>240</v>
      </c>
    </row>
    <row r="25">
      <c r="A25" s="179">
        <f t="shared" si="2"/>
        <v>24</v>
      </c>
      <c r="B25" s="180"/>
      <c r="C25" s="180" t="s">
        <v>208</v>
      </c>
      <c r="D25" s="180" t="s">
        <v>208</v>
      </c>
      <c r="E25" s="180" t="s">
        <v>208</v>
      </c>
      <c r="F25" s="180" t="s">
        <v>208</v>
      </c>
      <c r="G25" s="180" t="s">
        <v>208</v>
      </c>
      <c r="H25" s="181"/>
      <c r="I25" s="181"/>
      <c r="J25" s="180"/>
      <c r="K25" s="182" t="s">
        <v>240</v>
      </c>
    </row>
    <row r="26">
      <c r="A26" s="179">
        <f t="shared" si="2"/>
        <v>25</v>
      </c>
      <c r="B26" s="180"/>
      <c r="C26" s="180" t="s">
        <v>208</v>
      </c>
      <c r="D26" s="180" t="s">
        <v>208</v>
      </c>
      <c r="E26" s="180" t="s">
        <v>208</v>
      </c>
      <c r="F26" s="180" t="s">
        <v>208</v>
      </c>
      <c r="G26" s="180" t="s">
        <v>208</v>
      </c>
      <c r="H26" s="181"/>
      <c r="I26" s="181"/>
      <c r="J26" s="180"/>
      <c r="K26" s="182" t="s">
        <v>240</v>
      </c>
    </row>
    <row r="27">
      <c r="A27" s="179">
        <f t="shared" si="2"/>
        <v>26</v>
      </c>
      <c r="B27" s="180"/>
      <c r="C27" s="180" t="s">
        <v>208</v>
      </c>
      <c r="D27" s="180" t="s">
        <v>208</v>
      </c>
      <c r="E27" s="180" t="s">
        <v>208</v>
      </c>
      <c r="F27" s="180" t="s">
        <v>208</v>
      </c>
      <c r="G27" s="180" t="s">
        <v>208</v>
      </c>
      <c r="H27" s="181"/>
      <c r="I27" s="181"/>
      <c r="J27" s="180"/>
      <c r="K27" s="182" t="s">
        <v>240</v>
      </c>
    </row>
    <row r="28">
      <c r="A28" s="179">
        <f t="shared" si="2"/>
        <v>27</v>
      </c>
      <c r="B28" s="180"/>
      <c r="C28" s="180" t="s">
        <v>208</v>
      </c>
      <c r="D28" s="180" t="s">
        <v>208</v>
      </c>
      <c r="E28" s="180" t="s">
        <v>208</v>
      </c>
      <c r="F28" s="180" t="s">
        <v>208</v>
      </c>
      <c r="G28" s="180" t="s">
        <v>208</v>
      </c>
      <c r="H28" s="181"/>
      <c r="I28" s="181"/>
      <c r="J28" s="180"/>
      <c r="K28" s="182" t="s">
        <v>240</v>
      </c>
    </row>
    <row r="29">
      <c r="A29" s="179">
        <f t="shared" si="2"/>
        <v>28</v>
      </c>
      <c r="B29" s="180"/>
      <c r="C29" s="180" t="s">
        <v>208</v>
      </c>
      <c r="D29" s="180" t="s">
        <v>208</v>
      </c>
      <c r="E29" s="180" t="s">
        <v>208</v>
      </c>
      <c r="F29" s="180" t="s">
        <v>208</v>
      </c>
      <c r="G29" s="180" t="s">
        <v>208</v>
      </c>
      <c r="H29" s="181"/>
      <c r="I29" s="181"/>
      <c r="J29" s="180"/>
      <c r="K29" s="182" t="s">
        <v>240</v>
      </c>
    </row>
    <row r="30">
      <c r="A30" s="179">
        <f t="shared" si="2"/>
        <v>29</v>
      </c>
      <c r="B30" s="180"/>
      <c r="C30" s="180" t="s">
        <v>208</v>
      </c>
      <c r="D30" s="180" t="s">
        <v>208</v>
      </c>
      <c r="E30" s="180" t="s">
        <v>208</v>
      </c>
      <c r="F30" s="180" t="s">
        <v>208</v>
      </c>
      <c r="G30" s="180" t="s">
        <v>208</v>
      </c>
      <c r="H30" s="181"/>
      <c r="I30" s="181"/>
      <c r="J30" s="180"/>
      <c r="K30" s="182" t="s">
        <v>240</v>
      </c>
    </row>
    <row r="31">
      <c r="A31" s="179">
        <f t="shared" si="2"/>
        <v>30</v>
      </c>
      <c r="B31" s="180"/>
      <c r="C31" s="180" t="s">
        <v>208</v>
      </c>
      <c r="D31" s="180" t="s">
        <v>208</v>
      </c>
      <c r="E31" s="180" t="s">
        <v>208</v>
      </c>
      <c r="F31" s="180" t="s">
        <v>208</v>
      </c>
      <c r="G31" s="180" t="s">
        <v>208</v>
      </c>
      <c r="H31" s="181"/>
      <c r="I31" s="181"/>
      <c r="J31" s="180"/>
      <c r="K31" s="182" t="s">
        <v>240</v>
      </c>
    </row>
    <row r="32">
      <c r="A32" s="179">
        <f t="shared" si="2"/>
        <v>31</v>
      </c>
      <c r="B32" s="180"/>
      <c r="C32" s="180" t="s">
        <v>208</v>
      </c>
      <c r="D32" s="180" t="s">
        <v>208</v>
      </c>
      <c r="E32" s="180"/>
      <c r="F32" s="180" t="s">
        <v>208</v>
      </c>
      <c r="G32" s="180" t="s">
        <v>208</v>
      </c>
      <c r="H32" s="181"/>
      <c r="I32" s="181"/>
      <c r="J32" s="180"/>
      <c r="K32" s="182" t="s">
        <v>240</v>
      </c>
    </row>
    <row r="33">
      <c r="A33" s="179">
        <f t="shared" si="2"/>
        <v>32</v>
      </c>
      <c r="B33" s="180"/>
      <c r="C33" s="180"/>
      <c r="D33" s="180"/>
      <c r="E33" s="180"/>
      <c r="F33" s="180"/>
      <c r="G33" s="180"/>
      <c r="H33" s="181"/>
      <c r="I33" s="181"/>
      <c r="J33" s="180" t="s">
        <v>242</v>
      </c>
      <c r="K33" s="182" t="s">
        <v>240</v>
      </c>
    </row>
    <row r="34">
      <c r="A34" s="179">
        <f t="shared" si="2"/>
        <v>33</v>
      </c>
      <c r="B34" s="180"/>
      <c r="C34" s="180" t="s">
        <v>208</v>
      </c>
      <c r="D34" s="180" t="s">
        <v>208</v>
      </c>
      <c r="E34" s="180" t="s">
        <v>208</v>
      </c>
      <c r="F34" s="180" t="s">
        <v>208</v>
      </c>
      <c r="G34" s="180" t="s">
        <v>208</v>
      </c>
      <c r="H34" s="181"/>
      <c r="I34" s="181"/>
      <c r="J34" s="181"/>
      <c r="K34" s="182" t="s">
        <v>240</v>
      </c>
    </row>
    <row r="35">
      <c r="A35" s="179">
        <f t="shared" si="2"/>
        <v>34</v>
      </c>
      <c r="B35" s="180"/>
      <c r="C35" s="180" t="s">
        <v>208</v>
      </c>
      <c r="D35" s="180" t="s">
        <v>208</v>
      </c>
      <c r="E35" s="180" t="s">
        <v>208</v>
      </c>
      <c r="F35" s="180" t="s">
        <v>208</v>
      </c>
      <c r="G35" s="180" t="s">
        <v>208</v>
      </c>
      <c r="H35" s="181"/>
      <c r="I35" s="181"/>
      <c r="J35" s="181"/>
      <c r="K35" s="182" t="s">
        <v>240</v>
      </c>
    </row>
    <row r="36">
      <c r="A36" s="179">
        <f t="shared" si="2"/>
        <v>35</v>
      </c>
      <c r="B36" s="180"/>
      <c r="C36" s="180" t="s">
        <v>208</v>
      </c>
      <c r="D36" s="180" t="s">
        <v>208</v>
      </c>
      <c r="E36" s="180" t="s">
        <v>208</v>
      </c>
      <c r="F36" s="180" t="s">
        <v>208</v>
      </c>
      <c r="G36" s="180" t="s">
        <v>208</v>
      </c>
      <c r="H36" s="181"/>
      <c r="I36" s="181"/>
      <c r="J36" s="181"/>
      <c r="K36" s="182" t="s">
        <v>240</v>
      </c>
    </row>
    <row r="37">
      <c r="A37" s="179">
        <f t="shared" si="2"/>
        <v>36</v>
      </c>
      <c r="B37" s="180"/>
      <c r="C37" s="180" t="s">
        <v>208</v>
      </c>
      <c r="D37" s="180" t="s">
        <v>208</v>
      </c>
      <c r="E37" s="180" t="s">
        <v>208</v>
      </c>
      <c r="F37" s="180" t="s">
        <v>208</v>
      </c>
      <c r="G37" s="180" t="s">
        <v>208</v>
      </c>
      <c r="H37" s="181"/>
      <c r="I37" s="181"/>
      <c r="J37" s="181"/>
      <c r="K37" s="182" t="s">
        <v>240</v>
      </c>
    </row>
    <row r="38">
      <c r="A38" s="179">
        <f t="shared" si="2"/>
        <v>37</v>
      </c>
      <c r="B38" s="180"/>
      <c r="C38" s="180" t="s">
        <v>208</v>
      </c>
      <c r="D38" s="180" t="s">
        <v>208</v>
      </c>
      <c r="E38" s="180" t="s">
        <v>208</v>
      </c>
      <c r="F38" s="180" t="s">
        <v>208</v>
      </c>
      <c r="G38" s="180" t="s">
        <v>208</v>
      </c>
      <c r="H38" s="181"/>
      <c r="I38" s="181"/>
      <c r="J38" s="181"/>
      <c r="K38" s="182" t="s">
        <v>240</v>
      </c>
    </row>
    <row r="39">
      <c r="A39" s="179">
        <f t="shared" si="2"/>
        <v>38</v>
      </c>
      <c r="B39" s="180"/>
      <c r="C39" s="180"/>
      <c r="D39" s="180"/>
      <c r="E39" s="180"/>
      <c r="F39" s="180"/>
      <c r="G39" s="180"/>
      <c r="H39" s="181"/>
      <c r="I39" s="181"/>
      <c r="J39" s="180" t="s">
        <v>242</v>
      </c>
      <c r="K39" s="182" t="s">
        <v>240</v>
      </c>
    </row>
    <row r="40">
      <c r="A40" s="179">
        <f t="shared" si="2"/>
        <v>39</v>
      </c>
      <c r="B40" s="180"/>
      <c r="C40" s="180" t="s">
        <v>208</v>
      </c>
      <c r="D40" s="180" t="s">
        <v>208</v>
      </c>
      <c r="E40" s="180" t="s">
        <v>208</v>
      </c>
      <c r="F40" s="180" t="s">
        <v>208</v>
      </c>
      <c r="G40" s="180" t="s">
        <v>208</v>
      </c>
      <c r="H40" s="181"/>
      <c r="I40" s="181"/>
      <c r="J40" s="180"/>
      <c r="K40" s="182" t="s">
        <v>240</v>
      </c>
    </row>
    <row r="41">
      <c r="A41" s="179">
        <f t="shared" si="2"/>
        <v>40</v>
      </c>
      <c r="B41" s="181"/>
      <c r="C41" s="180" t="s">
        <v>208</v>
      </c>
      <c r="D41" s="180" t="s">
        <v>208</v>
      </c>
      <c r="E41" s="180" t="s">
        <v>208</v>
      </c>
      <c r="F41" s="180" t="s">
        <v>208</v>
      </c>
      <c r="G41" s="180" t="s">
        <v>208</v>
      </c>
      <c r="H41" s="181"/>
      <c r="I41" s="181"/>
      <c r="J41" s="181"/>
      <c r="K41" s="182" t="s">
        <v>240</v>
      </c>
    </row>
    <row r="42">
      <c r="A42" s="179">
        <f t="shared" si="2"/>
        <v>41</v>
      </c>
      <c r="B42" s="181"/>
      <c r="C42" s="180" t="s">
        <v>208</v>
      </c>
      <c r="D42" s="180" t="s">
        <v>208</v>
      </c>
      <c r="E42" s="180" t="s">
        <v>208</v>
      </c>
      <c r="F42" s="180" t="s">
        <v>208</v>
      </c>
      <c r="G42" s="180" t="s">
        <v>208</v>
      </c>
      <c r="H42" s="181"/>
      <c r="I42" s="181"/>
      <c r="J42" s="181"/>
      <c r="K42" s="182" t="s">
        <v>240</v>
      </c>
    </row>
    <row r="43">
      <c r="A43" s="179">
        <f t="shared" si="2"/>
        <v>42</v>
      </c>
      <c r="B43" s="180"/>
      <c r="C43" s="180" t="s">
        <v>208</v>
      </c>
      <c r="D43" s="180" t="s">
        <v>208</v>
      </c>
      <c r="E43" s="180" t="s">
        <v>208</v>
      </c>
      <c r="F43" s="180" t="s">
        <v>208</v>
      </c>
      <c r="G43" s="180" t="s">
        <v>208</v>
      </c>
      <c r="H43" s="181"/>
      <c r="I43" s="181"/>
      <c r="J43" s="181"/>
      <c r="K43" s="182" t="s">
        <v>240</v>
      </c>
    </row>
    <row r="44">
      <c r="A44" s="179">
        <f t="shared" si="2"/>
        <v>43</v>
      </c>
      <c r="B44" s="180"/>
      <c r="C44" s="180" t="s">
        <v>208</v>
      </c>
      <c r="D44" s="180" t="s">
        <v>208</v>
      </c>
      <c r="E44" s="180" t="s">
        <v>208</v>
      </c>
      <c r="F44" s="180" t="s">
        <v>208</v>
      </c>
      <c r="G44" s="180" t="s">
        <v>208</v>
      </c>
      <c r="H44" s="181"/>
      <c r="I44" s="181"/>
      <c r="J44" s="181"/>
      <c r="K44" s="182" t="s">
        <v>240</v>
      </c>
    </row>
    <row r="45">
      <c r="A45" s="179">
        <f t="shared" si="2"/>
        <v>44</v>
      </c>
      <c r="B45" s="180"/>
      <c r="C45" s="180" t="s">
        <v>208</v>
      </c>
      <c r="D45" s="180" t="s">
        <v>208</v>
      </c>
      <c r="E45" s="180" t="s">
        <v>208</v>
      </c>
      <c r="F45" s="180" t="s">
        <v>208</v>
      </c>
      <c r="G45" s="180" t="s">
        <v>208</v>
      </c>
      <c r="H45" s="181"/>
      <c r="I45" s="181"/>
      <c r="J45" s="181"/>
      <c r="K45" s="182" t="s">
        <v>240</v>
      </c>
    </row>
    <row r="46">
      <c r="A46" s="179">
        <f t="shared" si="2"/>
        <v>45</v>
      </c>
      <c r="B46" s="180"/>
      <c r="C46" s="180" t="s">
        <v>208</v>
      </c>
      <c r="D46" s="180" t="s">
        <v>208</v>
      </c>
      <c r="E46" s="180" t="s">
        <v>208</v>
      </c>
      <c r="F46" s="180" t="s">
        <v>208</v>
      </c>
      <c r="G46" s="180" t="s">
        <v>208</v>
      </c>
      <c r="H46" s="181"/>
      <c r="I46" s="181"/>
      <c r="J46" s="181"/>
      <c r="K46" s="182" t="s">
        <v>240</v>
      </c>
    </row>
    <row r="47">
      <c r="A47" s="179">
        <f t="shared" si="2"/>
        <v>46</v>
      </c>
      <c r="B47" s="180"/>
      <c r="C47" s="180" t="s">
        <v>208</v>
      </c>
      <c r="D47" s="180" t="s">
        <v>208</v>
      </c>
      <c r="E47" s="180" t="s">
        <v>208</v>
      </c>
      <c r="F47" s="180" t="s">
        <v>208</v>
      </c>
      <c r="G47" s="180" t="s">
        <v>208</v>
      </c>
      <c r="H47" s="181"/>
      <c r="I47" s="181"/>
      <c r="J47" s="181"/>
      <c r="K47" s="182" t="s">
        <v>240</v>
      </c>
    </row>
    <row r="48">
      <c r="A48" s="179">
        <f t="shared" si="2"/>
        <v>47</v>
      </c>
      <c r="B48" s="180"/>
      <c r="C48" s="180" t="s">
        <v>208</v>
      </c>
      <c r="D48" s="180" t="s">
        <v>208</v>
      </c>
      <c r="E48" s="180" t="s">
        <v>208</v>
      </c>
      <c r="F48" s="180" t="s">
        <v>208</v>
      </c>
      <c r="G48" s="180" t="s">
        <v>208</v>
      </c>
      <c r="H48" s="180"/>
      <c r="I48" s="181"/>
      <c r="J48" s="181"/>
      <c r="K48" s="182" t="s">
        <v>240</v>
      </c>
    </row>
    <row r="49">
      <c r="A49" s="179">
        <f t="shared" si="2"/>
        <v>48</v>
      </c>
      <c r="B49" s="180"/>
      <c r="C49" s="180"/>
      <c r="D49" s="180"/>
      <c r="E49" s="180"/>
      <c r="F49" s="180"/>
      <c r="G49" s="180"/>
      <c r="H49" s="180"/>
      <c r="I49" s="181"/>
      <c r="J49" s="180" t="s">
        <v>242</v>
      </c>
      <c r="K49" s="182" t="s">
        <v>240</v>
      </c>
    </row>
    <row r="50">
      <c r="A50" s="179">
        <f t="shared" si="2"/>
        <v>49</v>
      </c>
      <c r="B50" s="180"/>
      <c r="C50" s="180"/>
      <c r="D50" s="180" t="s">
        <v>208</v>
      </c>
      <c r="E50" s="180"/>
      <c r="F50" s="180" t="s">
        <v>208</v>
      </c>
      <c r="G50" s="180"/>
      <c r="H50" s="180" t="s">
        <v>208</v>
      </c>
      <c r="I50" s="181"/>
      <c r="J50" s="181"/>
      <c r="K50" s="182" t="s">
        <v>240</v>
      </c>
    </row>
    <row r="51">
      <c r="A51" s="179">
        <f t="shared" si="2"/>
        <v>50</v>
      </c>
      <c r="B51" s="180"/>
      <c r="C51" s="180" t="s">
        <v>208</v>
      </c>
      <c r="D51" s="180" t="s">
        <v>208</v>
      </c>
      <c r="E51" s="180"/>
      <c r="F51" s="180" t="s">
        <v>208</v>
      </c>
      <c r="G51" s="180" t="s">
        <v>208</v>
      </c>
      <c r="H51" s="181"/>
      <c r="I51" s="181"/>
      <c r="J51" s="181"/>
      <c r="K51" s="182" t="s">
        <v>240</v>
      </c>
    </row>
    <row r="52">
      <c r="A52" s="179">
        <f t="shared" si="2"/>
        <v>51</v>
      </c>
      <c r="B52" s="180"/>
      <c r="C52" s="180" t="s">
        <v>208</v>
      </c>
      <c r="D52" s="180" t="s">
        <v>208</v>
      </c>
      <c r="E52" s="180" t="s">
        <v>208</v>
      </c>
      <c r="F52" s="180" t="s">
        <v>208</v>
      </c>
      <c r="G52" s="180" t="s">
        <v>208</v>
      </c>
      <c r="H52" s="181"/>
      <c r="I52" s="181"/>
      <c r="J52" s="181"/>
      <c r="K52" s="182" t="s">
        <v>240</v>
      </c>
    </row>
    <row r="53">
      <c r="A53" s="179">
        <f t="shared" si="2"/>
        <v>52</v>
      </c>
      <c r="B53" s="180"/>
      <c r="C53" s="180" t="s">
        <v>208</v>
      </c>
      <c r="D53" s="180" t="s">
        <v>208</v>
      </c>
      <c r="E53" s="180" t="s">
        <v>208</v>
      </c>
      <c r="F53" s="180" t="s">
        <v>208</v>
      </c>
      <c r="G53" s="180" t="s">
        <v>208</v>
      </c>
      <c r="H53" s="181"/>
      <c r="I53" s="181"/>
      <c r="J53" s="181"/>
      <c r="K53" s="182" t="s">
        <v>240</v>
      </c>
    </row>
    <row r="54">
      <c r="A54" s="179">
        <f t="shared" si="2"/>
        <v>53</v>
      </c>
      <c r="B54" s="181"/>
      <c r="C54" s="180" t="s">
        <v>208</v>
      </c>
      <c r="D54" s="180" t="s">
        <v>208</v>
      </c>
      <c r="E54" s="180" t="s">
        <v>208</v>
      </c>
      <c r="F54" s="180" t="s">
        <v>208</v>
      </c>
      <c r="G54" s="180" t="s">
        <v>208</v>
      </c>
      <c r="H54" s="181"/>
      <c r="I54" s="181"/>
      <c r="J54" s="181"/>
      <c r="K54" s="182" t="s">
        <v>240</v>
      </c>
    </row>
    <row r="55">
      <c r="A55" s="179">
        <f t="shared" si="2"/>
        <v>54</v>
      </c>
      <c r="B55" s="180"/>
      <c r="C55" s="180" t="s">
        <v>208</v>
      </c>
      <c r="D55" s="180" t="s">
        <v>208</v>
      </c>
      <c r="E55" s="180" t="s">
        <v>208</v>
      </c>
      <c r="F55" s="180" t="s">
        <v>208</v>
      </c>
      <c r="G55" s="180" t="s">
        <v>208</v>
      </c>
      <c r="H55" s="181"/>
      <c r="I55" s="181"/>
      <c r="J55" s="181"/>
      <c r="K55" s="182" t="s">
        <v>240</v>
      </c>
    </row>
    <row r="56">
      <c r="A56" s="179">
        <f t="shared" si="2"/>
        <v>55</v>
      </c>
      <c r="B56" s="180"/>
      <c r="C56" s="180" t="s">
        <v>208</v>
      </c>
      <c r="D56" s="180" t="s">
        <v>208</v>
      </c>
      <c r="E56" s="180" t="s">
        <v>208</v>
      </c>
      <c r="F56" s="180" t="s">
        <v>208</v>
      </c>
      <c r="G56" s="180" t="s">
        <v>208</v>
      </c>
      <c r="H56" s="181"/>
      <c r="I56" s="181"/>
      <c r="J56" s="181"/>
      <c r="K56" s="182" t="s">
        <v>240</v>
      </c>
    </row>
    <row r="57">
      <c r="A57" s="179">
        <f t="shared" si="2"/>
        <v>56</v>
      </c>
      <c r="B57" s="180"/>
      <c r="C57" s="180" t="s">
        <v>208</v>
      </c>
      <c r="D57" s="180" t="s">
        <v>208</v>
      </c>
      <c r="E57" s="180" t="s">
        <v>208</v>
      </c>
      <c r="F57" s="180" t="s">
        <v>208</v>
      </c>
      <c r="G57" s="180" t="s">
        <v>208</v>
      </c>
      <c r="H57" s="181"/>
      <c r="I57" s="181"/>
      <c r="J57" s="181"/>
      <c r="K57" s="182" t="s">
        <v>240</v>
      </c>
    </row>
    <row r="58">
      <c r="A58" s="179">
        <f t="shared" si="2"/>
        <v>57</v>
      </c>
      <c r="B58" s="180"/>
      <c r="C58" s="180"/>
      <c r="D58" s="180"/>
      <c r="E58" s="180"/>
      <c r="F58" s="180"/>
      <c r="G58" s="180"/>
      <c r="H58" s="181"/>
      <c r="I58" s="181"/>
      <c r="J58" s="180" t="s">
        <v>242</v>
      </c>
      <c r="K58" s="182" t="s">
        <v>240</v>
      </c>
    </row>
    <row r="59">
      <c r="A59" s="179">
        <f t="shared" si="2"/>
        <v>58</v>
      </c>
      <c r="B59" s="180"/>
      <c r="C59" s="180" t="s">
        <v>208</v>
      </c>
      <c r="D59" s="180" t="s">
        <v>208</v>
      </c>
      <c r="E59" s="180" t="s">
        <v>208</v>
      </c>
      <c r="F59" s="180" t="s">
        <v>208</v>
      </c>
      <c r="G59" s="180" t="s">
        <v>208</v>
      </c>
      <c r="H59" s="181"/>
      <c r="I59" s="181"/>
      <c r="J59" s="181"/>
      <c r="K59" s="182" t="s">
        <v>240</v>
      </c>
    </row>
    <row r="60">
      <c r="A60" s="179">
        <f t="shared" si="2"/>
        <v>59</v>
      </c>
      <c r="B60" s="180"/>
      <c r="C60" s="180" t="s">
        <v>208</v>
      </c>
      <c r="D60" s="180" t="s">
        <v>208</v>
      </c>
      <c r="E60" s="180" t="s">
        <v>208</v>
      </c>
      <c r="F60" s="180" t="s">
        <v>208</v>
      </c>
      <c r="G60" s="180" t="s">
        <v>208</v>
      </c>
      <c r="H60" s="181"/>
      <c r="I60" s="181"/>
      <c r="J60" s="181"/>
      <c r="K60" s="182" t="s">
        <v>240</v>
      </c>
    </row>
    <row r="61">
      <c r="A61" s="179">
        <f t="shared" si="2"/>
        <v>60</v>
      </c>
      <c r="B61" s="180"/>
      <c r="C61" s="180"/>
      <c r="D61" s="180"/>
      <c r="E61" s="180"/>
      <c r="F61" s="180"/>
      <c r="G61" s="180"/>
      <c r="H61" s="181"/>
      <c r="I61" s="181"/>
      <c r="J61" s="180" t="s">
        <v>242</v>
      </c>
      <c r="K61" s="182" t="s">
        <v>240</v>
      </c>
    </row>
    <row r="62">
      <c r="A62" s="179">
        <f t="shared" si="2"/>
        <v>61</v>
      </c>
      <c r="B62" s="180"/>
      <c r="C62" s="180" t="s">
        <v>208</v>
      </c>
      <c r="D62" s="180" t="s">
        <v>208</v>
      </c>
      <c r="E62" s="180" t="s">
        <v>208</v>
      </c>
      <c r="F62" s="180" t="s">
        <v>208</v>
      </c>
      <c r="G62" s="180" t="s">
        <v>208</v>
      </c>
      <c r="H62" s="181"/>
      <c r="I62" s="181"/>
      <c r="J62" s="181"/>
      <c r="K62" s="182" t="s">
        <v>240</v>
      </c>
    </row>
    <row r="63">
      <c r="A63" s="179">
        <f t="shared" si="2"/>
        <v>62</v>
      </c>
      <c r="B63" s="180"/>
      <c r="C63" s="180" t="s">
        <v>208</v>
      </c>
      <c r="D63" s="180" t="s">
        <v>208</v>
      </c>
      <c r="E63" s="180" t="s">
        <v>208</v>
      </c>
      <c r="F63" s="180" t="s">
        <v>208</v>
      </c>
      <c r="G63" s="180" t="s">
        <v>208</v>
      </c>
      <c r="H63" s="181"/>
      <c r="I63" s="181"/>
      <c r="J63" s="181"/>
      <c r="K63" s="182" t="s">
        <v>240</v>
      </c>
    </row>
    <row r="64">
      <c r="A64" s="179">
        <f t="shared" si="2"/>
        <v>63</v>
      </c>
      <c r="B64" s="180"/>
      <c r="C64" s="180"/>
      <c r="D64" s="180"/>
      <c r="E64" s="180"/>
      <c r="F64" s="180"/>
      <c r="G64" s="180"/>
      <c r="H64" s="181"/>
      <c r="I64" s="181"/>
      <c r="J64" s="180" t="s">
        <v>242</v>
      </c>
      <c r="K64" s="182" t="s">
        <v>240</v>
      </c>
    </row>
    <row r="65">
      <c r="A65" s="179">
        <f t="shared" si="2"/>
        <v>64</v>
      </c>
      <c r="B65" s="180"/>
      <c r="C65" s="180" t="s">
        <v>208</v>
      </c>
      <c r="D65" s="180" t="s">
        <v>208</v>
      </c>
      <c r="E65" s="180" t="s">
        <v>208</v>
      </c>
      <c r="F65" s="180" t="s">
        <v>208</v>
      </c>
      <c r="G65" s="180" t="s">
        <v>208</v>
      </c>
      <c r="H65" s="181"/>
      <c r="I65" s="181"/>
      <c r="J65" s="181"/>
      <c r="K65" s="182" t="s">
        <v>240</v>
      </c>
    </row>
    <row r="66">
      <c r="A66" s="179">
        <f t="shared" si="2"/>
        <v>65</v>
      </c>
      <c r="B66" s="180"/>
      <c r="C66" s="180" t="s">
        <v>208</v>
      </c>
      <c r="D66" s="180" t="s">
        <v>208</v>
      </c>
      <c r="E66" s="180" t="s">
        <v>208</v>
      </c>
      <c r="F66" s="180" t="s">
        <v>208</v>
      </c>
      <c r="G66" s="180" t="s">
        <v>208</v>
      </c>
      <c r="H66" s="181"/>
      <c r="I66" s="181"/>
      <c r="J66" s="181"/>
      <c r="K66" s="182" t="s">
        <v>240</v>
      </c>
    </row>
    <row r="67">
      <c r="A67" s="179">
        <f t="shared" si="2"/>
        <v>66</v>
      </c>
      <c r="B67" s="180"/>
      <c r="C67" s="180" t="s">
        <v>208</v>
      </c>
      <c r="D67" s="180" t="s">
        <v>208</v>
      </c>
      <c r="E67" s="180" t="s">
        <v>208</v>
      </c>
      <c r="F67" s="180" t="s">
        <v>208</v>
      </c>
      <c r="G67" s="180" t="s">
        <v>208</v>
      </c>
      <c r="H67" s="181"/>
      <c r="I67" s="181"/>
      <c r="J67" s="181"/>
      <c r="K67" s="182" t="s">
        <v>240</v>
      </c>
    </row>
    <row r="68">
      <c r="A68" s="179">
        <f t="shared" si="2"/>
        <v>67</v>
      </c>
      <c r="B68" s="180"/>
      <c r="C68" s="180" t="s">
        <v>208</v>
      </c>
      <c r="D68" s="180" t="s">
        <v>208</v>
      </c>
      <c r="E68" s="180" t="s">
        <v>208</v>
      </c>
      <c r="F68" s="180" t="s">
        <v>208</v>
      </c>
      <c r="G68" s="180" t="s">
        <v>208</v>
      </c>
      <c r="H68" s="181"/>
      <c r="I68" s="181"/>
      <c r="J68" s="181"/>
      <c r="K68" s="182" t="s">
        <v>240</v>
      </c>
    </row>
    <row r="69">
      <c r="A69" s="179">
        <f t="shared" si="2"/>
        <v>68</v>
      </c>
      <c r="B69" s="180"/>
      <c r="C69" s="180" t="s">
        <v>208</v>
      </c>
      <c r="D69" s="180" t="s">
        <v>208</v>
      </c>
      <c r="E69" s="180" t="s">
        <v>208</v>
      </c>
      <c r="F69" s="180" t="s">
        <v>208</v>
      </c>
      <c r="G69" s="180" t="s">
        <v>208</v>
      </c>
      <c r="H69" s="181"/>
      <c r="I69" s="181"/>
      <c r="J69" s="181"/>
      <c r="K69" s="182" t="s">
        <v>240</v>
      </c>
    </row>
    <row r="70">
      <c r="A70" s="179">
        <f t="shared" si="2"/>
        <v>69</v>
      </c>
      <c r="B70" s="180"/>
      <c r="C70" s="180" t="s">
        <v>208</v>
      </c>
      <c r="D70" s="180" t="s">
        <v>208</v>
      </c>
      <c r="E70" s="180" t="s">
        <v>208</v>
      </c>
      <c r="F70" s="180" t="s">
        <v>208</v>
      </c>
      <c r="G70" s="180" t="s">
        <v>208</v>
      </c>
      <c r="H70" s="181"/>
      <c r="I70" s="181"/>
      <c r="J70" s="181"/>
      <c r="K70" s="182" t="s">
        <v>240</v>
      </c>
    </row>
    <row r="71">
      <c r="A71" s="179">
        <f t="shared" si="2"/>
        <v>70</v>
      </c>
      <c r="B71" s="180"/>
      <c r="C71" s="180" t="s">
        <v>208</v>
      </c>
      <c r="D71" s="180" t="s">
        <v>208</v>
      </c>
      <c r="E71" s="180" t="s">
        <v>208</v>
      </c>
      <c r="F71" s="180" t="s">
        <v>208</v>
      </c>
      <c r="G71" s="180" t="s">
        <v>208</v>
      </c>
      <c r="H71" s="181"/>
      <c r="I71" s="181"/>
      <c r="J71" s="181"/>
      <c r="K71" s="182" t="s">
        <v>240</v>
      </c>
    </row>
    <row r="72">
      <c r="A72" s="179">
        <f t="shared" si="2"/>
        <v>71</v>
      </c>
      <c r="B72" s="180"/>
      <c r="C72" s="180" t="s">
        <v>208</v>
      </c>
      <c r="D72" s="180" t="s">
        <v>208</v>
      </c>
      <c r="E72" s="180" t="s">
        <v>208</v>
      </c>
      <c r="F72" s="180" t="s">
        <v>208</v>
      </c>
      <c r="G72" s="180" t="s">
        <v>208</v>
      </c>
      <c r="H72" s="181"/>
      <c r="I72" s="181"/>
      <c r="J72" s="180"/>
      <c r="K72" s="182" t="s">
        <v>240</v>
      </c>
    </row>
    <row r="73">
      <c r="A73" s="179">
        <f t="shared" si="2"/>
        <v>72</v>
      </c>
      <c r="B73" s="180"/>
      <c r="C73" s="180" t="s">
        <v>208</v>
      </c>
      <c r="D73" s="180" t="s">
        <v>208</v>
      </c>
      <c r="E73" s="180" t="s">
        <v>208</v>
      </c>
      <c r="F73" s="180" t="s">
        <v>208</v>
      </c>
      <c r="G73" s="180" t="s">
        <v>208</v>
      </c>
      <c r="H73" s="181"/>
      <c r="I73" s="181"/>
      <c r="J73" s="181"/>
      <c r="K73" s="182" t="s">
        <v>240</v>
      </c>
    </row>
    <row r="74">
      <c r="A74" s="179">
        <f t="shared" si="2"/>
        <v>73</v>
      </c>
      <c r="B74" s="180"/>
      <c r="C74" s="180" t="s">
        <v>208</v>
      </c>
      <c r="D74" s="180" t="s">
        <v>208</v>
      </c>
      <c r="E74" s="180" t="s">
        <v>208</v>
      </c>
      <c r="F74" s="180" t="s">
        <v>208</v>
      </c>
      <c r="G74" s="180" t="s">
        <v>208</v>
      </c>
      <c r="H74" s="181"/>
      <c r="I74" s="181"/>
      <c r="J74" s="181"/>
      <c r="K74" s="182" t="s">
        <v>240</v>
      </c>
    </row>
    <row r="75">
      <c r="A75" s="179">
        <f t="shared" si="2"/>
        <v>74</v>
      </c>
      <c r="B75" s="180"/>
      <c r="C75" s="180" t="s">
        <v>208</v>
      </c>
      <c r="D75" s="180" t="s">
        <v>208</v>
      </c>
      <c r="E75" s="180" t="s">
        <v>208</v>
      </c>
      <c r="F75" s="180" t="s">
        <v>208</v>
      </c>
      <c r="G75" s="180" t="s">
        <v>208</v>
      </c>
      <c r="H75" s="181"/>
      <c r="I75" s="181"/>
      <c r="J75" s="181"/>
      <c r="K75" s="182" t="s">
        <v>240</v>
      </c>
    </row>
    <row r="76">
      <c r="A76" s="179">
        <f t="shared" si="2"/>
        <v>75</v>
      </c>
      <c r="B76" s="180"/>
      <c r="C76" s="180" t="s">
        <v>208</v>
      </c>
      <c r="D76" s="180" t="s">
        <v>208</v>
      </c>
      <c r="E76" s="180" t="s">
        <v>208</v>
      </c>
      <c r="F76" s="180" t="s">
        <v>208</v>
      </c>
      <c r="G76" s="180" t="s">
        <v>208</v>
      </c>
      <c r="H76" s="181"/>
      <c r="I76" s="181"/>
      <c r="J76" s="181"/>
      <c r="K76" s="182" t="s">
        <v>240</v>
      </c>
    </row>
    <row r="77">
      <c r="A77" s="179">
        <f t="shared" si="2"/>
        <v>76</v>
      </c>
      <c r="B77" s="180"/>
      <c r="C77" s="180" t="s">
        <v>208</v>
      </c>
      <c r="D77" s="180" t="s">
        <v>208</v>
      </c>
      <c r="E77" s="180" t="s">
        <v>208</v>
      </c>
      <c r="F77" s="180" t="s">
        <v>208</v>
      </c>
      <c r="G77" s="180" t="s">
        <v>208</v>
      </c>
      <c r="H77" s="181"/>
      <c r="I77" s="181"/>
      <c r="J77" s="181"/>
      <c r="K77" s="182" t="s">
        <v>240</v>
      </c>
    </row>
    <row r="78">
      <c r="A78" s="179">
        <f t="shared" si="2"/>
        <v>77</v>
      </c>
      <c r="B78" s="180"/>
      <c r="C78" s="180" t="s">
        <v>208</v>
      </c>
      <c r="D78" s="180" t="s">
        <v>208</v>
      </c>
      <c r="E78" s="180" t="s">
        <v>208</v>
      </c>
      <c r="F78" s="180" t="s">
        <v>208</v>
      </c>
      <c r="G78" s="180" t="s">
        <v>208</v>
      </c>
      <c r="H78" s="181"/>
      <c r="I78" s="181"/>
      <c r="J78" s="181"/>
      <c r="K78" s="182" t="s">
        <v>240</v>
      </c>
    </row>
    <row r="79">
      <c r="A79" s="179">
        <f t="shared" si="2"/>
        <v>78</v>
      </c>
      <c r="B79" s="180"/>
      <c r="C79" s="180" t="s">
        <v>208</v>
      </c>
      <c r="D79" s="180" t="s">
        <v>208</v>
      </c>
      <c r="E79" s="180" t="s">
        <v>208</v>
      </c>
      <c r="F79" s="180" t="s">
        <v>208</v>
      </c>
      <c r="G79" s="180" t="s">
        <v>208</v>
      </c>
      <c r="H79" s="181"/>
      <c r="I79" s="181"/>
      <c r="J79" s="181"/>
      <c r="K79" s="182" t="s">
        <v>240</v>
      </c>
    </row>
    <row r="80">
      <c r="A80" s="179">
        <f t="shared" si="2"/>
        <v>79</v>
      </c>
      <c r="B80" s="180"/>
      <c r="C80" s="180" t="s">
        <v>208</v>
      </c>
      <c r="D80" s="180" t="s">
        <v>208</v>
      </c>
      <c r="E80" s="180" t="s">
        <v>208</v>
      </c>
      <c r="F80" s="180" t="s">
        <v>208</v>
      </c>
      <c r="G80" s="180" t="s">
        <v>208</v>
      </c>
      <c r="H80" s="181"/>
      <c r="I80" s="181"/>
      <c r="J80" s="181"/>
      <c r="K80" s="182" t="s">
        <v>240</v>
      </c>
    </row>
    <row r="81">
      <c r="A81" s="179">
        <f t="shared" si="2"/>
        <v>80</v>
      </c>
      <c r="B81" s="180"/>
      <c r="C81" s="180"/>
      <c r="D81" s="180"/>
      <c r="E81" s="180"/>
      <c r="F81" s="180"/>
      <c r="G81" s="180"/>
      <c r="H81" s="181"/>
      <c r="I81" s="181"/>
      <c r="J81" s="180" t="s">
        <v>242</v>
      </c>
      <c r="K81" s="182" t="s">
        <v>240</v>
      </c>
    </row>
    <row r="82">
      <c r="A82" s="179">
        <f t="shared" si="2"/>
        <v>81</v>
      </c>
      <c r="B82" s="180"/>
      <c r="C82" s="180"/>
      <c r="D82" s="180"/>
      <c r="E82" s="180"/>
      <c r="F82" s="180"/>
      <c r="G82" s="180"/>
      <c r="H82" s="181"/>
      <c r="I82" s="181"/>
      <c r="J82" s="180" t="s">
        <v>242</v>
      </c>
      <c r="K82" s="182" t="s">
        <v>240</v>
      </c>
    </row>
    <row r="83">
      <c r="A83" s="179">
        <f t="shared" si="2"/>
        <v>82</v>
      </c>
      <c r="B83" s="180"/>
      <c r="C83" s="180" t="s">
        <v>208</v>
      </c>
      <c r="D83" s="180" t="s">
        <v>208</v>
      </c>
      <c r="E83" s="180" t="s">
        <v>208</v>
      </c>
      <c r="F83" s="180" t="s">
        <v>208</v>
      </c>
      <c r="G83" s="180" t="s">
        <v>208</v>
      </c>
      <c r="H83" s="181"/>
      <c r="I83" s="181"/>
      <c r="J83" s="181"/>
      <c r="K83" s="182" t="s">
        <v>240</v>
      </c>
    </row>
    <row r="84">
      <c r="A84" s="179">
        <f t="shared" si="2"/>
        <v>83</v>
      </c>
      <c r="B84" s="180"/>
      <c r="C84" s="180" t="s">
        <v>208</v>
      </c>
      <c r="D84" s="180" t="s">
        <v>208</v>
      </c>
      <c r="E84" s="180" t="s">
        <v>208</v>
      </c>
      <c r="F84" s="180" t="s">
        <v>208</v>
      </c>
      <c r="G84" s="180" t="s">
        <v>208</v>
      </c>
      <c r="H84" s="185"/>
      <c r="I84" s="180"/>
      <c r="J84" s="180"/>
      <c r="K84" s="182" t="s">
        <v>240</v>
      </c>
    </row>
    <row r="85">
      <c r="A85" s="179">
        <f t="shared" si="2"/>
        <v>84</v>
      </c>
      <c r="B85" s="180"/>
      <c r="C85" s="180" t="s">
        <v>208</v>
      </c>
      <c r="D85" s="180" t="s">
        <v>208</v>
      </c>
      <c r="E85" s="180" t="s">
        <v>208</v>
      </c>
      <c r="F85" s="180" t="s">
        <v>208</v>
      </c>
      <c r="G85" s="180" t="s">
        <v>208</v>
      </c>
      <c r="H85" s="181"/>
      <c r="I85" s="181"/>
      <c r="J85" s="181"/>
      <c r="K85" s="182" t="s">
        <v>240</v>
      </c>
    </row>
    <row r="86">
      <c r="A86" s="179">
        <f t="shared" si="2"/>
        <v>85</v>
      </c>
      <c r="B86" s="180"/>
      <c r="C86" s="180"/>
      <c r="D86" s="180"/>
      <c r="E86" s="180"/>
      <c r="F86" s="180"/>
      <c r="G86" s="181"/>
      <c r="H86" s="181"/>
      <c r="I86" s="181"/>
      <c r="J86" s="180" t="s">
        <v>242</v>
      </c>
      <c r="K86" s="182" t="s">
        <v>240</v>
      </c>
    </row>
    <row r="87">
      <c r="A87" s="179">
        <f t="shared" si="2"/>
        <v>86</v>
      </c>
      <c r="B87" s="180"/>
      <c r="C87" s="180"/>
      <c r="D87" s="180"/>
      <c r="E87" s="180"/>
      <c r="F87" s="180"/>
      <c r="G87" s="180"/>
      <c r="H87" s="185"/>
      <c r="I87" s="180"/>
      <c r="J87" s="180" t="s">
        <v>242</v>
      </c>
      <c r="K87" s="182" t="s">
        <v>240</v>
      </c>
    </row>
    <row r="88">
      <c r="A88" s="179">
        <f t="shared" si="2"/>
        <v>87</v>
      </c>
      <c r="B88" s="180"/>
      <c r="C88" s="180"/>
      <c r="D88" s="180"/>
      <c r="E88" s="180"/>
      <c r="F88" s="180"/>
      <c r="G88" s="180"/>
      <c r="H88" s="181"/>
      <c r="I88" s="181"/>
      <c r="J88" s="180" t="s">
        <v>242</v>
      </c>
      <c r="K88" s="182" t="s">
        <v>240</v>
      </c>
    </row>
    <row r="89">
      <c r="A89" s="179">
        <f t="shared" si="2"/>
        <v>88</v>
      </c>
      <c r="B89" s="180"/>
      <c r="C89" s="180" t="s">
        <v>208</v>
      </c>
      <c r="D89" s="180" t="s">
        <v>208</v>
      </c>
      <c r="E89" s="180" t="s">
        <v>208</v>
      </c>
      <c r="F89" s="180" t="s">
        <v>208</v>
      </c>
      <c r="G89" s="180" t="s">
        <v>208</v>
      </c>
      <c r="H89" s="181"/>
      <c r="I89" s="181"/>
      <c r="J89" s="181"/>
      <c r="K89" s="182" t="s">
        <v>240</v>
      </c>
    </row>
    <row r="90">
      <c r="A90" s="179">
        <f t="shared" si="2"/>
        <v>89</v>
      </c>
      <c r="B90" s="180"/>
      <c r="C90" s="180" t="s">
        <v>208</v>
      </c>
      <c r="D90" s="180" t="s">
        <v>208</v>
      </c>
      <c r="E90" s="180" t="s">
        <v>208</v>
      </c>
      <c r="F90" s="180" t="s">
        <v>208</v>
      </c>
      <c r="G90" s="180" t="s">
        <v>208</v>
      </c>
      <c r="H90" s="181"/>
      <c r="I90" s="181"/>
      <c r="J90" s="181"/>
      <c r="K90" s="182" t="s">
        <v>240</v>
      </c>
    </row>
    <row r="91">
      <c r="A91" s="179">
        <f t="shared" si="2"/>
        <v>90</v>
      </c>
      <c r="B91" s="180"/>
      <c r="C91" s="180" t="s">
        <v>208</v>
      </c>
      <c r="D91" s="180" t="s">
        <v>208</v>
      </c>
      <c r="E91" s="180" t="s">
        <v>208</v>
      </c>
      <c r="F91" s="180" t="s">
        <v>208</v>
      </c>
      <c r="G91" s="180" t="s">
        <v>208</v>
      </c>
      <c r="H91" s="181"/>
      <c r="I91" s="181"/>
      <c r="J91" s="181"/>
      <c r="K91" s="182" t="s">
        <v>240</v>
      </c>
    </row>
    <row r="92">
      <c r="A92" s="179">
        <f t="shared" si="2"/>
        <v>91</v>
      </c>
      <c r="B92" s="180"/>
      <c r="C92" s="180" t="s">
        <v>208</v>
      </c>
      <c r="D92" s="180" t="s">
        <v>208</v>
      </c>
      <c r="E92" s="180" t="s">
        <v>208</v>
      </c>
      <c r="F92" s="180" t="s">
        <v>208</v>
      </c>
      <c r="G92" s="180" t="s">
        <v>208</v>
      </c>
      <c r="H92" s="181"/>
      <c r="I92" s="181"/>
      <c r="J92" s="181"/>
      <c r="K92" s="182" t="s">
        <v>240</v>
      </c>
    </row>
    <row r="93">
      <c r="A93" s="179">
        <f t="shared" si="2"/>
        <v>92</v>
      </c>
      <c r="B93" s="180"/>
      <c r="C93" s="180" t="s">
        <v>208</v>
      </c>
      <c r="D93" s="180" t="s">
        <v>208</v>
      </c>
      <c r="E93" s="180" t="s">
        <v>208</v>
      </c>
      <c r="F93" s="180" t="s">
        <v>208</v>
      </c>
      <c r="G93" s="180" t="s">
        <v>208</v>
      </c>
      <c r="H93" s="181"/>
      <c r="I93" s="181"/>
      <c r="J93" s="181"/>
      <c r="K93" s="182" t="s">
        <v>240</v>
      </c>
    </row>
    <row r="94">
      <c r="A94" s="179">
        <f t="shared" si="2"/>
        <v>93</v>
      </c>
      <c r="B94" s="180"/>
      <c r="C94" s="180" t="s">
        <v>208</v>
      </c>
      <c r="D94" s="180" t="s">
        <v>208</v>
      </c>
      <c r="E94" s="180" t="s">
        <v>208</v>
      </c>
      <c r="F94" s="180" t="s">
        <v>208</v>
      </c>
      <c r="G94" s="180" t="s">
        <v>208</v>
      </c>
      <c r="H94" s="181"/>
      <c r="I94" s="181"/>
      <c r="J94" s="181"/>
      <c r="K94" s="182" t="s">
        <v>240</v>
      </c>
    </row>
    <row r="95">
      <c r="A95" s="179">
        <f t="shared" si="2"/>
        <v>94</v>
      </c>
      <c r="B95" s="180"/>
      <c r="C95" s="180" t="s">
        <v>208</v>
      </c>
      <c r="D95" s="180" t="s">
        <v>208</v>
      </c>
      <c r="E95" s="180" t="s">
        <v>208</v>
      </c>
      <c r="F95" s="180" t="s">
        <v>208</v>
      </c>
      <c r="G95" s="180" t="s">
        <v>208</v>
      </c>
      <c r="H95" s="181"/>
      <c r="I95" s="181"/>
      <c r="J95" s="181"/>
      <c r="K95" s="182" t="s">
        <v>240</v>
      </c>
    </row>
    <row r="96">
      <c r="A96" s="179">
        <f t="shared" si="2"/>
        <v>95</v>
      </c>
      <c r="B96" s="180"/>
      <c r="C96" s="180" t="s">
        <v>208</v>
      </c>
      <c r="D96" s="180" t="s">
        <v>208</v>
      </c>
      <c r="E96" s="180" t="s">
        <v>208</v>
      </c>
      <c r="F96" s="180" t="s">
        <v>208</v>
      </c>
      <c r="G96" s="180" t="s">
        <v>208</v>
      </c>
      <c r="H96" s="181"/>
      <c r="I96" s="181"/>
      <c r="J96" s="181"/>
      <c r="K96" s="182" t="s">
        <v>240</v>
      </c>
    </row>
    <row r="97">
      <c r="A97" s="179">
        <f t="shared" si="2"/>
        <v>96</v>
      </c>
      <c r="B97" s="180"/>
      <c r="C97" s="180" t="s">
        <v>208</v>
      </c>
      <c r="D97" s="180" t="s">
        <v>208</v>
      </c>
      <c r="E97" s="180" t="s">
        <v>208</v>
      </c>
      <c r="F97" s="180" t="s">
        <v>208</v>
      </c>
      <c r="G97" s="180" t="s">
        <v>208</v>
      </c>
      <c r="H97" s="181"/>
      <c r="I97" s="181"/>
      <c r="J97" s="180"/>
      <c r="K97" s="182" t="s">
        <v>240</v>
      </c>
    </row>
    <row r="98">
      <c r="A98" s="179">
        <f t="shared" si="2"/>
        <v>97</v>
      </c>
      <c r="B98" s="180"/>
      <c r="C98" s="180" t="s">
        <v>208</v>
      </c>
      <c r="D98" s="180" t="s">
        <v>208</v>
      </c>
      <c r="E98" s="180" t="s">
        <v>208</v>
      </c>
      <c r="F98" s="180" t="s">
        <v>208</v>
      </c>
      <c r="G98" s="180" t="s">
        <v>208</v>
      </c>
      <c r="H98" s="181"/>
      <c r="I98" s="181"/>
      <c r="J98" s="180"/>
      <c r="K98" s="182" t="s">
        <v>240</v>
      </c>
    </row>
    <row r="99">
      <c r="A99" s="179">
        <f t="shared" si="2"/>
        <v>98</v>
      </c>
      <c r="B99" s="180"/>
      <c r="C99" s="180" t="s">
        <v>208</v>
      </c>
      <c r="D99" s="180" t="s">
        <v>208</v>
      </c>
      <c r="E99" s="180"/>
      <c r="F99" s="180" t="s">
        <v>208</v>
      </c>
      <c r="G99" s="180" t="s">
        <v>208</v>
      </c>
      <c r="H99" s="181"/>
      <c r="I99" s="181"/>
      <c r="J99" s="180"/>
      <c r="K99" s="182" t="s">
        <v>240</v>
      </c>
    </row>
    <row r="100">
      <c r="A100" s="179">
        <f t="shared" si="2"/>
        <v>99</v>
      </c>
      <c r="B100" s="180"/>
      <c r="C100" s="180" t="s">
        <v>208</v>
      </c>
      <c r="D100" s="180" t="s">
        <v>208</v>
      </c>
      <c r="E100" s="180" t="s">
        <v>208</v>
      </c>
      <c r="F100" s="180" t="s">
        <v>208</v>
      </c>
      <c r="G100" s="180" t="s">
        <v>208</v>
      </c>
      <c r="H100" s="181"/>
      <c r="I100" s="181"/>
      <c r="J100" s="181"/>
      <c r="K100" s="182" t="s">
        <v>240</v>
      </c>
    </row>
    <row r="101">
      <c r="A101" s="179">
        <f t="shared" si="2"/>
        <v>100</v>
      </c>
      <c r="B101" s="180"/>
      <c r="C101" s="180" t="s">
        <v>208</v>
      </c>
      <c r="D101" s="180" t="s">
        <v>208</v>
      </c>
      <c r="E101" s="180" t="s">
        <v>208</v>
      </c>
      <c r="F101" s="180" t="s">
        <v>208</v>
      </c>
      <c r="G101" s="180" t="s">
        <v>208</v>
      </c>
      <c r="H101" s="181"/>
      <c r="I101" s="181"/>
      <c r="J101" s="181"/>
      <c r="K101" s="182" t="s">
        <v>240</v>
      </c>
    </row>
    <row r="102">
      <c r="A102" s="179">
        <f t="shared" si="2"/>
        <v>101</v>
      </c>
      <c r="B102" s="180"/>
      <c r="C102" s="180" t="s">
        <v>208</v>
      </c>
      <c r="D102" s="180" t="s">
        <v>208</v>
      </c>
      <c r="E102" s="180" t="s">
        <v>208</v>
      </c>
      <c r="F102" s="180" t="s">
        <v>208</v>
      </c>
      <c r="G102" s="180" t="s">
        <v>208</v>
      </c>
      <c r="H102" s="181"/>
      <c r="I102" s="181"/>
      <c r="J102" s="181"/>
      <c r="K102" s="182" t="s">
        <v>240</v>
      </c>
    </row>
    <row r="103">
      <c r="A103" s="179">
        <f t="shared" si="2"/>
        <v>102</v>
      </c>
      <c r="B103" s="180"/>
      <c r="C103" s="180" t="s">
        <v>208</v>
      </c>
      <c r="D103" s="180" t="s">
        <v>208</v>
      </c>
      <c r="E103" s="180"/>
      <c r="F103" s="180" t="s">
        <v>208</v>
      </c>
      <c r="G103" s="180" t="s">
        <v>208</v>
      </c>
      <c r="H103" s="181"/>
      <c r="I103" s="181"/>
      <c r="J103" s="181"/>
      <c r="K103" s="182" t="s">
        <v>240</v>
      </c>
    </row>
    <row r="104">
      <c r="A104" s="179">
        <f t="shared" si="2"/>
        <v>103</v>
      </c>
      <c r="B104" s="180"/>
      <c r="C104" s="180" t="s">
        <v>208</v>
      </c>
      <c r="D104" s="180" t="s">
        <v>208</v>
      </c>
      <c r="E104" s="180" t="s">
        <v>208</v>
      </c>
      <c r="F104" s="180" t="s">
        <v>208</v>
      </c>
      <c r="G104" s="180" t="s">
        <v>208</v>
      </c>
      <c r="H104" s="181"/>
      <c r="I104" s="181"/>
      <c r="J104" s="181"/>
      <c r="K104" s="182" t="s">
        <v>240</v>
      </c>
    </row>
    <row r="105">
      <c r="A105" s="179">
        <f t="shared" si="2"/>
        <v>104</v>
      </c>
      <c r="B105" s="180"/>
      <c r="C105" s="180" t="s">
        <v>208</v>
      </c>
      <c r="D105" s="180" t="s">
        <v>208</v>
      </c>
      <c r="E105" s="180" t="s">
        <v>208</v>
      </c>
      <c r="F105" s="180" t="s">
        <v>208</v>
      </c>
      <c r="G105" s="180" t="s">
        <v>208</v>
      </c>
      <c r="H105" s="181"/>
      <c r="I105" s="181"/>
      <c r="J105" s="181"/>
      <c r="K105" s="182" t="s">
        <v>240</v>
      </c>
    </row>
    <row r="106">
      <c r="A106" s="179">
        <f t="shared" si="2"/>
        <v>105</v>
      </c>
      <c r="B106" s="180"/>
      <c r="C106" s="180" t="s">
        <v>208</v>
      </c>
      <c r="D106" s="180" t="s">
        <v>208</v>
      </c>
      <c r="E106" s="180" t="s">
        <v>208</v>
      </c>
      <c r="F106" s="180" t="s">
        <v>208</v>
      </c>
      <c r="G106" s="180" t="s">
        <v>208</v>
      </c>
      <c r="H106" s="180"/>
      <c r="I106" s="181"/>
      <c r="J106" s="181"/>
      <c r="K106" s="182" t="s">
        <v>240</v>
      </c>
    </row>
    <row r="107">
      <c r="A107" s="179">
        <f t="shared" si="2"/>
        <v>106</v>
      </c>
      <c r="B107" s="180"/>
      <c r="C107" s="180" t="s">
        <v>208</v>
      </c>
      <c r="D107" s="180" t="s">
        <v>208</v>
      </c>
      <c r="E107" s="180"/>
      <c r="F107" s="180" t="s">
        <v>208</v>
      </c>
      <c r="G107" s="180" t="s">
        <v>208</v>
      </c>
      <c r="H107" s="181"/>
      <c r="I107" s="181"/>
      <c r="J107" s="181"/>
      <c r="K107" s="182" t="s">
        <v>240</v>
      </c>
    </row>
    <row r="108">
      <c r="A108" s="179">
        <f t="shared" si="2"/>
        <v>107</v>
      </c>
      <c r="B108" s="180"/>
      <c r="C108" s="180" t="s">
        <v>208</v>
      </c>
      <c r="D108" s="180" t="s">
        <v>208</v>
      </c>
      <c r="E108" s="180" t="s">
        <v>208</v>
      </c>
      <c r="F108" s="180" t="s">
        <v>208</v>
      </c>
      <c r="G108" s="180" t="s">
        <v>208</v>
      </c>
      <c r="H108" s="181"/>
      <c r="I108" s="181"/>
      <c r="J108" s="181"/>
      <c r="K108" s="182" t="s">
        <v>240</v>
      </c>
    </row>
    <row r="109">
      <c r="A109" s="179">
        <f t="shared" si="2"/>
        <v>108</v>
      </c>
      <c r="B109" s="180"/>
      <c r="C109" s="180" t="s">
        <v>208</v>
      </c>
      <c r="D109" s="180" t="s">
        <v>208</v>
      </c>
      <c r="E109" s="180"/>
      <c r="F109" s="180" t="s">
        <v>208</v>
      </c>
      <c r="G109" s="180" t="s">
        <v>208</v>
      </c>
      <c r="H109" s="181"/>
      <c r="I109" s="181"/>
      <c r="J109" s="181"/>
      <c r="K109" s="182" t="s">
        <v>240</v>
      </c>
    </row>
    <row r="110">
      <c r="A110" s="179">
        <f t="shared" si="2"/>
        <v>109</v>
      </c>
      <c r="B110" s="180"/>
      <c r="C110" s="180" t="s">
        <v>208</v>
      </c>
      <c r="D110" s="180" t="s">
        <v>208</v>
      </c>
      <c r="E110" s="180" t="s">
        <v>208</v>
      </c>
      <c r="F110" s="180" t="s">
        <v>208</v>
      </c>
      <c r="G110" s="180" t="s">
        <v>208</v>
      </c>
      <c r="H110" s="181"/>
      <c r="I110" s="181"/>
      <c r="J110" s="181"/>
      <c r="K110" s="182" t="s">
        <v>240</v>
      </c>
    </row>
    <row r="111">
      <c r="A111" s="179">
        <f t="shared" si="2"/>
        <v>110</v>
      </c>
      <c r="B111" s="180"/>
      <c r="C111" s="180" t="s">
        <v>208</v>
      </c>
      <c r="D111" s="180" t="s">
        <v>208</v>
      </c>
      <c r="E111" s="180" t="s">
        <v>208</v>
      </c>
      <c r="F111" s="180" t="s">
        <v>208</v>
      </c>
      <c r="G111" s="180" t="s">
        <v>208</v>
      </c>
      <c r="H111" s="181"/>
      <c r="I111" s="181"/>
      <c r="J111" s="180"/>
      <c r="K111" s="182" t="s">
        <v>240</v>
      </c>
    </row>
    <row r="112">
      <c r="A112" s="179">
        <f t="shared" si="2"/>
        <v>111</v>
      </c>
      <c r="B112" s="180"/>
      <c r="C112" s="180" t="s">
        <v>208</v>
      </c>
      <c r="D112" s="180" t="s">
        <v>208</v>
      </c>
      <c r="E112" s="180" t="s">
        <v>208</v>
      </c>
      <c r="F112" s="180" t="s">
        <v>208</v>
      </c>
      <c r="G112" s="180" t="s">
        <v>208</v>
      </c>
      <c r="H112" s="181"/>
      <c r="I112" s="181"/>
      <c r="J112" s="181"/>
      <c r="K112" s="182" t="s">
        <v>240</v>
      </c>
    </row>
    <row r="113">
      <c r="A113" s="179">
        <f t="shared" si="2"/>
        <v>112</v>
      </c>
      <c r="B113" s="180"/>
      <c r="C113" s="180"/>
      <c r="D113" s="180"/>
      <c r="E113" s="180"/>
      <c r="F113" s="180"/>
      <c r="G113" s="180"/>
      <c r="H113" s="181"/>
      <c r="I113" s="181"/>
      <c r="J113" s="180" t="s">
        <v>242</v>
      </c>
      <c r="K113" s="182" t="s">
        <v>240</v>
      </c>
    </row>
    <row r="114">
      <c r="A114" s="179">
        <f t="shared" si="2"/>
        <v>113</v>
      </c>
      <c r="B114" s="180"/>
      <c r="C114" s="180" t="s">
        <v>208</v>
      </c>
      <c r="D114" s="180"/>
      <c r="E114" s="180" t="s">
        <v>208</v>
      </c>
      <c r="F114" s="180" t="s">
        <v>208</v>
      </c>
      <c r="G114" s="180" t="s">
        <v>208</v>
      </c>
      <c r="H114" s="181"/>
      <c r="I114" s="181"/>
      <c r="J114" s="181"/>
      <c r="K114" s="182" t="s">
        <v>240</v>
      </c>
    </row>
    <row r="115">
      <c r="A115" s="179">
        <f t="shared" si="2"/>
        <v>114</v>
      </c>
      <c r="B115" s="180"/>
      <c r="C115" s="180" t="s">
        <v>208</v>
      </c>
      <c r="D115" s="180" t="s">
        <v>208</v>
      </c>
      <c r="E115" s="180" t="s">
        <v>208</v>
      </c>
      <c r="F115" s="180" t="s">
        <v>208</v>
      </c>
      <c r="G115" s="180" t="s">
        <v>208</v>
      </c>
      <c r="H115" s="181"/>
      <c r="I115" s="181"/>
      <c r="J115" s="181"/>
      <c r="K115" s="182" t="s">
        <v>240</v>
      </c>
    </row>
    <row r="116">
      <c r="A116" s="179">
        <f t="shared" si="2"/>
        <v>115</v>
      </c>
      <c r="B116" s="180"/>
      <c r="C116" s="180" t="s">
        <v>208</v>
      </c>
      <c r="D116" s="180"/>
      <c r="E116" s="180" t="s">
        <v>208</v>
      </c>
      <c r="F116" s="180" t="s">
        <v>208</v>
      </c>
      <c r="G116" s="180" t="s">
        <v>208</v>
      </c>
      <c r="H116" s="181"/>
      <c r="I116" s="181"/>
      <c r="J116" s="181"/>
      <c r="K116" s="182" t="s">
        <v>240</v>
      </c>
    </row>
    <row r="117">
      <c r="A117" s="179">
        <f t="shared" si="2"/>
        <v>116</v>
      </c>
      <c r="B117" s="180"/>
      <c r="C117" s="180"/>
      <c r="D117" s="180" t="s">
        <v>208</v>
      </c>
      <c r="E117" s="180"/>
      <c r="F117" s="180" t="s">
        <v>208</v>
      </c>
      <c r="G117" s="180"/>
      <c r="H117" s="180" t="s">
        <v>208</v>
      </c>
      <c r="I117" s="181"/>
      <c r="J117" s="181"/>
      <c r="K117" s="182" t="s">
        <v>240</v>
      </c>
    </row>
    <row r="118">
      <c r="A118" s="179">
        <f t="shared" si="2"/>
        <v>117</v>
      </c>
      <c r="B118" s="181"/>
      <c r="C118" s="180" t="s">
        <v>208</v>
      </c>
      <c r="D118" s="180" t="s">
        <v>208</v>
      </c>
      <c r="E118" s="180" t="s">
        <v>208</v>
      </c>
      <c r="F118" s="180" t="s">
        <v>208</v>
      </c>
      <c r="G118" s="180" t="s">
        <v>208</v>
      </c>
      <c r="H118" s="181"/>
      <c r="I118" s="181"/>
      <c r="J118" s="181"/>
      <c r="K118" s="182" t="s">
        <v>240</v>
      </c>
    </row>
    <row r="119">
      <c r="A119" s="179">
        <f t="shared" si="2"/>
        <v>118</v>
      </c>
      <c r="B119" s="180"/>
      <c r="C119" s="180" t="s">
        <v>208</v>
      </c>
      <c r="D119" s="180" t="s">
        <v>208</v>
      </c>
      <c r="E119" s="180" t="s">
        <v>208</v>
      </c>
      <c r="F119" s="180" t="s">
        <v>208</v>
      </c>
      <c r="G119" s="180" t="s">
        <v>208</v>
      </c>
      <c r="H119" s="181"/>
      <c r="I119" s="181"/>
      <c r="J119" s="181"/>
      <c r="K119" s="182" t="s">
        <v>240</v>
      </c>
    </row>
    <row r="120">
      <c r="A120" s="179">
        <f t="shared" si="2"/>
        <v>119</v>
      </c>
      <c r="B120" s="180"/>
      <c r="C120" s="180" t="s">
        <v>208</v>
      </c>
      <c r="D120" s="180" t="s">
        <v>208</v>
      </c>
      <c r="E120" s="180" t="s">
        <v>208</v>
      </c>
      <c r="F120" s="180" t="s">
        <v>208</v>
      </c>
      <c r="G120" s="180" t="s">
        <v>208</v>
      </c>
      <c r="H120" s="181"/>
      <c r="I120" s="181"/>
      <c r="J120" s="181"/>
      <c r="K120" s="182" t="s">
        <v>240</v>
      </c>
    </row>
    <row r="121">
      <c r="A121" s="179">
        <f t="shared" si="2"/>
        <v>120</v>
      </c>
      <c r="B121" s="180"/>
      <c r="C121" s="180" t="s">
        <v>208</v>
      </c>
      <c r="D121" s="180" t="s">
        <v>208</v>
      </c>
      <c r="E121" s="180" t="s">
        <v>208</v>
      </c>
      <c r="F121" s="180" t="s">
        <v>208</v>
      </c>
      <c r="G121" s="180" t="s">
        <v>208</v>
      </c>
      <c r="H121" s="181"/>
      <c r="I121" s="181"/>
      <c r="J121" s="181"/>
      <c r="K121" s="182" t="s">
        <v>240</v>
      </c>
    </row>
    <row r="122">
      <c r="A122" s="179">
        <f t="shared" si="2"/>
        <v>121</v>
      </c>
      <c r="B122" s="180"/>
      <c r="C122" s="180" t="s">
        <v>208</v>
      </c>
      <c r="D122" s="180" t="s">
        <v>208</v>
      </c>
      <c r="E122" s="180" t="s">
        <v>208</v>
      </c>
      <c r="F122" s="180" t="s">
        <v>208</v>
      </c>
      <c r="G122" s="180" t="s">
        <v>208</v>
      </c>
      <c r="H122" s="180"/>
      <c r="I122" s="181"/>
      <c r="J122" s="180"/>
      <c r="K122" s="182" t="s">
        <v>240</v>
      </c>
    </row>
    <row r="123">
      <c r="A123" s="179">
        <f t="shared" si="2"/>
        <v>122</v>
      </c>
      <c r="B123" s="180"/>
      <c r="C123" s="180" t="s">
        <v>208</v>
      </c>
      <c r="D123" s="180" t="s">
        <v>208</v>
      </c>
      <c r="E123" s="180" t="s">
        <v>208</v>
      </c>
      <c r="F123" s="180" t="s">
        <v>208</v>
      </c>
      <c r="G123" s="180" t="s">
        <v>208</v>
      </c>
      <c r="H123" s="180"/>
      <c r="I123" s="181"/>
      <c r="J123" s="180"/>
      <c r="K123" s="182" t="s">
        <v>240</v>
      </c>
    </row>
    <row r="124">
      <c r="A124" s="179">
        <f t="shared" si="2"/>
        <v>123</v>
      </c>
      <c r="B124" s="180"/>
      <c r="C124" s="180" t="s">
        <v>208</v>
      </c>
      <c r="D124" s="180" t="s">
        <v>208</v>
      </c>
      <c r="E124" s="180" t="s">
        <v>208</v>
      </c>
      <c r="F124" s="180" t="s">
        <v>208</v>
      </c>
      <c r="G124" s="180" t="s">
        <v>208</v>
      </c>
      <c r="H124" s="181"/>
      <c r="I124" s="181"/>
      <c r="J124" s="181"/>
      <c r="K124" s="182" t="s">
        <v>240</v>
      </c>
    </row>
    <row r="125">
      <c r="A125" s="179">
        <f t="shared" si="2"/>
        <v>124</v>
      </c>
      <c r="B125" s="180"/>
      <c r="C125" s="180" t="s">
        <v>208</v>
      </c>
      <c r="D125" s="180" t="s">
        <v>208</v>
      </c>
      <c r="E125" s="180" t="s">
        <v>208</v>
      </c>
      <c r="F125" s="180" t="s">
        <v>208</v>
      </c>
      <c r="G125" s="180" t="s">
        <v>208</v>
      </c>
      <c r="H125" s="181"/>
      <c r="I125" s="181"/>
      <c r="J125" s="181"/>
      <c r="K125" s="182" t="s">
        <v>240</v>
      </c>
    </row>
    <row r="126">
      <c r="A126" s="179">
        <f t="shared" si="2"/>
        <v>125</v>
      </c>
      <c r="B126" s="180"/>
      <c r="C126" s="180"/>
      <c r="D126" s="180" t="s">
        <v>208</v>
      </c>
      <c r="E126" s="180"/>
      <c r="F126" s="180" t="s">
        <v>208</v>
      </c>
      <c r="G126" s="180"/>
      <c r="H126" s="180" t="s">
        <v>208</v>
      </c>
      <c r="I126" s="181"/>
      <c r="J126" s="181"/>
      <c r="K126" s="182" t="s">
        <v>240</v>
      </c>
    </row>
    <row r="127">
      <c r="A127" s="179">
        <f t="shared" si="2"/>
        <v>126</v>
      </c>
      <c r="B127" s="180"/>
      <c r="C127" s="180"/>
      <c r="D127" s="180"/>
      <c r="E127" s="180"/>
      <c r="F127" s="180"/>
      <c r="G127" s="180"/>
      <c r="H127" s="181"/>
      <c r="I127" s="181"/>
      <c r="J127" s="180" t="s">
        <v>242</v>
      </c>
      <c r="K127" s="182" t="s">
        <v>240</v>
      </c>
    </row>
    <row r="128">
      <c r="A128" s="179">
        <f t="shared" si="2"/>
        <v>127</v>
      </c>
      <c r="B128" s="180"/>
      <c r="C128" s="180" t="s">
        <v>208</v>
      </c>
      <c r="D128" s="180" t="s">
        <v>208</v>
      </c>
      <c r="E128" s="180" t="s">
        <v>208</v>
      </c>
      <c r="F128" s="180" t="s">
        <v>208</v>
      </c>
      <c r="G128" s="180" t="s">
        <v>208</v>
      </c>
      <c r="H128" s="181"/>
      <c r="I128" s="181"/>
      <c r="J128" s="181"/>
      <c r="K128" s="182" t="s">
        <v>240</v>
      </c>
    </row>
    <row r="129">
      <c r="A129" s="179">
        <f t="shared" si="2"/>
        <v>128</v>
      </c>
      <c r="B129" s="180"/>
      <c r="C129" s="180" t="s">
        <v>208</v>
      </c>
      <c r="D129" s="180" t="s">
        <v>208</v>
      </c>
      <c r="E129" s="180" t="s">
        <v>208</v>
      </c>
      <c r="F129" s="180" t="s">
        <v>208</v>
      </c>
      <c r="G129" s="180" t="s">
        <v>208</v>
      </c>
      <c r="H129" s="181"/>
      <c r="I129" s="181"/>
      <c r="J129" s="181"/>
      <c r="K129" s="182" t="s">
        <v>240</v>
      </c>
    </row>
    <row r="130">
      <c r="A130" s="179">
        <f t="shared" si="2"/>
        <v>129</v>
      </c>
      <c r="B130" s="180"/>
      <c r="C130" s="180" t="s">
        <v>208</v>
      </c>
      <c r="D130" s="180" t="s">
        <v>208</v>
      </c>
      <c r="E130" s="180" t="s">
        <v>208</v>
      </c>
      <c r="F130" s="180" t="s">
        <v>208</v>
      </c>
      <c r="G130" s="180" t="s">
        <v>208</v>
      </c>
      <c r="H130" s="181"/>
      <c r="I130" s="181"/>
      <c r="J130" s="180"/>
      <c r="K130" s="182" t="s">
        <v>240</v>
      </c>
    </row>
    <row r="131">
      <c r="A131" s="179">
        <f t="shared" si="2"/>
        <v>130</v>
      </c>
      <c r="B131" s="180"/>
      <c r="C131" s="180" t="s">
        <v>208</v>
      </c>
      <c r="D131" s="180" t="s">
        <v>208</v>
      </c>
      <c r="E131" s="180"/>
      <c r="F131" s="180" t="s">
        <v>208</v>
      </c>
      <c r="G131" s="180" t="s">
        <v>208</v>
      </c>
      <c r="H131" s="181"/>
      <c r="I131" s="181"/>
      <c r="J131" s="181"/>
      <c r="K131" s="182" t="s">
        <v>240</v>
      </c>
    </row>
    <row r="132">
      <c r="A132" s="179">
        <f t="shared" si="2"/>
        <v>131</v>
      </c>
      <c r="B132" s="180"/>
      <c r="C132" s="180" t="s">
        <v>208</v>
      </c>
      <c r="D132" s="180" t="s">
        <v>208</v>
      </c>
      <c r="E132" s="180"/>
      <c r="F132" s="180" t="s">
        <v>208</v>
      </c>
      <c r="G132" s="180" t="s">
        <v>208</v>
      </c>
      <c r="H132" s="181"/>
      <c r="I132" s="181"/>
      <c r="J132" s="181"/>
      <c r="K132" s="182" t="s">
        <v>240</v>
      </c>
    </row>
    <row r="133">
      <c r="A133" s="179">
        <f t="shared" si="2"/>
        <v>132</v>
      </c>
      <c r="B133" s="180"/>
      <c r="C133" s="180" t="s">
        <v>208</v>
      </c>
      <c r="D133" s="180" t="s">
        <v>208</v>
      </c>
      <c r="E133" s="180" t="s">
        <v>208</v>
      </c>
      <c r="F133" s="180" t="s">
        <v>208</v>
      </c>
      <c r="G133" s="180" t="s">
        <v>208</v>
      </c>
      <c r="H133" s="181"/>
      <c r="I133" s="181"/>
      <c r="J133" s="181"/>
      <c r="K133" s="182" t="s">
        <v>240</v>
      </c>
    </row>
    <row r="134">
      <c r="A134" s="179">
        <f t="shared" si="2"/>
        <v>133</v>
      </c>
      <c r="B134" s="180"/>
      <c r="C134" s="180" t="s">
        <v>208</v>
      </c>
      <c r="D134" s="180" t="s">
        <v>208</v>
      </c>
      <c r="E134" s="180" t="s">
        <v>208</v>
      </c>
      <c r="F134" s="180" t="s">
        <v>208</v>
      </c>
      <c r="G134" s="180" t="s">
        <v>208</v>
      </c>
      <c r="H134" s="181"/>
      <c r="I134" s="181"/>
      <c r="J134" s="181"/>
      <c r="K134" s="182" t="s">
        <v>240</v>
      </c>
    </row>
    <row r="135">
      <c r="A135" s="179">
        <f t="shared" si="2"/>
        <v>134</v>
      </c>
      <c r="B135" s="180"/>
      <c r="C135" s="180" t="s">
        <v>208</v>
      </c>
      <c r="D135" s="180" t="s">
        <v>208</v>
      </c>
      <c r="E135" s="180" t="s">
        <v>208</v>
      </c>
      <c r="F135" s="180" t="s">
        <v>208</v>
      </c>
      <c r="G135" s="180" t="s">
        <v>208</v>
      </c>
      <c r="H135" s="181"/>
      <c r="I135" s="181"/>
      <c r="J135" s="181"/>
      <c r="K135" s="182" t="s">
        <v>240</v>
      </c>
    </row>
    <row r="136">
      <c r="A136" s="179">
        <f t="shared" si="2"/>
        <v>135</v>
      </c>
      <c r="B136" s="180"/>
      <c r="C136" s="180" t="s">
        <v>208</v>
      </c>
      <c r="D136" s="180" t="s">
        <v>208</v>
      </c>
      <c r="E136" s="180" t="s">
        <v>208</v>
      </c>
      <c r="F136" s="180" t="s">
        <v>208</v>
      </c>
      <c r="G136" s="180" t="s">
        <v>208</v>
      </c>
      <c r="H136" s="181"/>
      <c r="I136" s="181"/>
      <c r="J136" s="181"/>
      <c r="K136" s="182" t="s">
        <v>240</v>
      </c>
    </row>
    <row r="137">
      <c r="A137" s="179">
        <f t="shared" si="2"/>
        <v>136</v>
      </c>
      <c r="B137" s="180"/>
      <c r="C137" s="180" t="s">
        <v>208</v>
      </c>
      <c r="D137" s="180" t="s">
        <v>208</v>
      </c>
      <c r="E137" s="180" t="s">
        <v>208</v>
      </c>
      <c r="F137" s="180" t="s">
        <v>208</v>
      </c>
      <c r="G137" s="180" t="s">
        <v>208</v>
      </c>
      <c r="H137" s="180"/>
      <c r="I137" s="181"/>
      <c r="J137" s="181"/>
      <c r="K137" s="182" t="s">
        <v>240</v>
      </c>
    </row>
    <row r="138">
      <c r="A138" s="179">
        <f t="shared" si="2"/>
        <v>137</v>
      </c>
      <c r="B138" s="180"/>
      <c r="C138" s="180" t="s">
        <v>208</v>
      </c>
      <c r="D138" s="180" t="s">
        <v>208</v>
      </c>
      <c r="E138" s="180" t="s">
        <v>208</v>
      </c>
      <c r="F138" s="180" t="s">
        <v>208</v>
      </c>
      <c r="G138" s="180" t="s">
        <v>208</v>
      </c>
      <c r="H138" s="180"/>
      <c r="I138" s="181"/>
      <c r="J138" s="181"/>
      <c r="K138" s="182" t="s">
        <v>240</v>
      </c>
    </row>
    <row r="139">
      <c r="A139" s="179">
        <f t="shared" si="2"/>
        <v>138</v>
      </c>
      <c r="B139" s="180"/>
      <c r="C139" s="180" t="s">
        <v>208</v>
      </c>
      <c r="D139" s="180" t="s">
        <v>208</v>
      </c>
      <c r="E139" s="180" t="s">
        <v>208</v>
      </c>
      <c r="F139" s="180" t="s">
        <v>208</v>
      </c>
      <c r="G139" s="180" t="s">
        <v>208</v>
      </c>
      <c r="H139" s="181"/>
      <c r="I139" s="181"/>
      <c r="J139" s="181"/>
      <c r="K139" s="182" t="s">
        <v>240</v>
      </c>
    </row>
    <row r="140">
      <c r="A140" s="179">
        <f t="shared" si="2"/>
        <v>139</v>
      </c>
      <c r="B140" s="180"/>
      <c r="C140" s="180" t="s">
        <v>208</v>
      </c>
      <c r="D140" s="180" t="s">
        <v>208</v>
      </c>
      <c r="E140" s="180" t="s">
        <v>208</v>
      </c>
      <c r="F140" s="180" t="s">
        <v>208</v>
      </c>
      <c r="G140" s="180" t="s">
        <v>208</v>
      </c>
      <c r="H140" s="181"/>
      <c r="I140" s="181"/>
      <c r="J140" s="181"/>
      <c r="K140" s="182" t="s">
        <v>240</v>
      </c>
    </row>
    <row r="141">
      <c r="A141" s="179">
        <f t="shared" si="2"/>
        <v>140</v>
      </c>
      <c r="B141" s="180"/>
      <c r="C141" s="180" t="s">
        <v>208</v>
      </c>
      <c r="D141" s="180" t="s">
        <v>208</v>
      </c>
      <c r="E141" s="180" t="s">
        <v>208</v>
      </c>
      <c r="F141" s="180" t="s">
        <v>208</v>
      </c>
      <c r="G141" s="180" t="s">
        <v>208</v>
      </c>
      <c r="H141" s="181"/>
      <c r="I141" s="181"/>
      <c r="J141" s="181"/>
      <c r="K141" s="182" t="s">
        <v>240</v>
      </c>
    </row>
    <row r="142">
      <c r="A142" s="179">
        <f t="shared" si="2"/>
        <v>141</v>
      </c>
      <c r="B142" s="180"/>
      <c r="C142" s="180" t="s">
        <v>208</v>
      </c>
      <c r="D142" s="180" t="s">
        <v>208</v>
      </c>
      <c r="E142" s="180" t="s">
        <v>208</v>
      </c>
      <c r="F142" s="180" t="s">
        <v>208</v>
      </c>
      <c r="G142" s="180" t="s">
        <v>208</v>
      </c>
      <c r="H142" s="181"/>
      <c r="I142" s="181"/>
      <c r="J142" s="181"/>
      <c r="K142" s="182" t="s">
        <v>240</v>
      </c>
    </row>
    <row r="143">
      <c r="A143" s="179">
        <f t="shared" si="2"/>
        <v>142</v>
      </c>
      <c r="B143" s="180"/>
      <c r="C143" s="180" t="s">
        <v>208</v>
      </c>
      <c r="D143" s="180" t="s">
        <v>208</v>
      </c>
      <c r="E143" s="180" t="s">
        <v>208</v>
      </c>
      <c r="F143" s="180" t="s">
        <v>208</v>
      </c>
      <c r="G143" s="180" t="s">
        <v>208</v>
      </c>
      <c r="H143" s="181"/>
      <c r="I143" s="181"/>
      <c r="J143" s="181"/>
      <c r="K143" s="182" t="s">
        <v>240</v>
      </c>
    </row>
    <row r="144">
      <c r="A144" s="179">
        <f t="shared" si="2"/>
        <v>143</v>
      </c>
      <c r="B144" s="180"/>
      <c r="C144" s="180" t="s">
        <v>208</v>
      </c>
      <c r="D144" s="180" t="s">
        <v>208</v>
      </c>
      <c r="E144" s="180" t="s">
        <v>208</v>
      </c>
      <c r="F144" s="180" t="s">
        <v>208</v>
      </c>
      <c r="G144" s="180" t="s">
        <v>208</v>
      </c>
      <c r="H144" s="181"/>
      <c r="I144" s="181"/>
      <c r="J144" s="181"/>
      <c r="K144" s="182" t="s">
        <v>240</v>
      </c>
    </row>
    <row r="145">
      <c r="A145" s="179">
        <f t="shared" si="2"/>
        <v>144</v>
      </c>
      <c r="B145" s="180"/>
      <c r="C145" s="180" t="s">
        <v>208</v>
      </c>
      <c r="D145" s="180"/>
      <c r="E145" s="180" t="s">
        <v>208</v>
      </c>
      <c r="F145" s="180" t="s">
        <v>208</v>
      </c>
      <c r="G145" s="180" t="s">
        <v>208</v>
      </c>
      <c r="H145" s="181"/>
      <c r="I145" s="181"/>
      <c r="J145" s="181"/>
      <c r="K145" s="182" t="s">
        <v>240</v>
      </c>
    </row>
    <row r="146">
      <c r="A146" s="179">
        <f t="shared" si="2"/>
        <v>145</v>
      </c>
      <c r="B146" s="180"/>
      <c r="C146" s="180" t="s">
        <v>208</v>
      </c>
      <c r="D146" s="180" t="s">
        <v>208</v>
      </c>
      <c r="E146" s="180" t="s">
        <v>208</v>
      </c>
      <c r="F146" s="180" t="s">
        <v>208</v>
      </c>
      <c r="G146" s="180" t="s">
        <v>208</v>
      </c>
      <c r="H146" s="181"/>
      <c r="I146" s="181"/>
      <c r="J146" s="181"/>
      <c r="K146" s="182" t="s">
        <v>240</v>
      </c>
    </row>
    <row r="147">
      <c r="A147" s="179">
        <f t="shared" si="2"/>
        <v>146</v>
      </c>
      <c r="B147" s="180"/>
      <c r="C147" s="180" t="s">
        <v>208</v>
      </c>
      <c r="D147" s="180" t="s">
        <v>208</v>
      </c>
      <c r="E147" s="180" t="s">
        <v>208</v>
      </c>
      <c r="F147" s="180" t="s">
        <v>208</v>
      </c>
      <c r="G147" s="180" t="s">
        <v>208</v>
      </c>
      <c r="H147" s="181"/>
      <c r="I147" s="181"/>
      <c r="J147" s="180"/>
      <c r="K147" s="182" t="s">
        <v>240</v>
      </c>
    </row>
    <row r="148">
      <c r="A148" s="179">
        <f t="shared" si="2"/>
        <v>147</v>
      </c>
      <c r="B148" s="180"/>
      <c r="C148" s="180" t="s">
        <v>208</v>
      </c>
      <c r="D148" s="180" t="s">
        <v>208</v>
      </c>
      <c r="E148" s="180" t="s">
        <v>208</v>
      </c>
      <c r="F148" s="180" t="s">
        <v>208</v>
      </c>
      <c r="G148" s="180" t="s">
        <v>208</v>
      </c>
      <c r="H148" s="181"/>
      <c r="I148" s="181"/>
      <c r="J148" s="180"/>
      <c r="K148" s="182" t="s">
        <v>240</v>
      </c>
    </row>
    <row r="149">
      <c r="A149" s="179">
        <f t="shared" si="2"/>
        <v>148</v>
      </c>
      <c r="B149" s="180"/>
      <c r="C149" s="180" t="s">
        <v>208</v>
      </c>
      <c r="D149" s="180"/>
      <c r="E149" s="180" t="s">
        <v>208</v>
      </c>
      <c r="F149" s="180" t="s">
        <v>208</v>
      </c>
      <c r="G149" s="180" t="s">
        <v>208</v>
      </c>
      <c r="H149" s="181"/>
      <c r="I149" s="181"/>
      <c r="J149" s="180"/>
      <c r="K149" s="182" t="s">
        <v>240</v>
      </c>
    </row>
    <row r="150">
      <c r="A150" s="179">
        <f t="shared" si="2"/>
        <v>149</v>
      </c>
      <c r="B150" s="180"/>
      <c r="C150" s="180" t="s">
        <v>208</v>
      </c>
      <c r="D150" s="180" t="s">
        <v>208</v>
      </c>
      <c r="E150" s="180" t="s">
        <v>208</v>
      </c>
      <c r="F150" s="180" t="s">
        <v>208</v>
      </c>
      <c r="G150" s="180" t="s">
        <v>208</v>
      </c>
      <c r="H150" s="181"/>
      <c r="I150" s="181"/>
      <c r="J150" s="180"/>
      <c r="K150" s="182" t="s">
        <v>240</v>
      </c>
    </row>
    <row r="151">
      <c r="A151" s="179">
        <f t="shared" si="2"/>
        <v>150</v>
      </c>
      <c r="B151" s="180"/>
      <c r="C151" s="180" t="s">
        <v>208</v>
      </c>
      <c r="D151" s="180" t="s">
        <v>208</v>
      </c>
      <c r="E151" s="180" t="s">
        <v>208</v>
      </c>
      <c r="F151" s="180" t="s">
        <v>208</v>
      </c>
      <c r="G151" s="180" t="s">
        <v>208</v>
      </c>
      <c r="H151" s="181"/>
      <c r="I151" s="181"/>
      <c r="J151" s="181"/>
      <c r="K151" s="182" t="s">
        <v>240</v>
      </c>
    </row>
    <row r="152">
      <c r="A152" s="179">
        <f t="shared" si="2"/>
        <v>151</v>
      </c>
      <c r="B152" s="180"/>
      <c r="C152" s="180" t="s">
        <v>208</v>
      </c>
      <c r="D152" s="180" t="s">
        <v>208</v>
      </c>
      <c r="E152" s="180" t="s">
        <v>208</v>
      </c>
      <c r="F152" s="180" t="s">
        <v>208</v>
      </c>
      <c r="G152" s="180" t="s">
        <v>208</v>
      </c>
      <c r="H152" s="181"/>
      <c r="I152" s="181"/>
      <c r="J152" s="181"/>
      <c r="K152" s="182" t="s">
        <v>240</v>
      </c>
    </row>
    <row r="153">
      <c r="A153" s="179">
        <f t="shared" si="2"/>
        <v>152</v>
      </c>
      <c r="B153" s="180"/>
      <c r="C153" s="180" t="s">
        <v>208</v>
      </c>
      <c r="D153" s="180" t="s">
        <v>208</v>
      </c>
      <c r="E153" s="180" t="s">
        <v>208</v>
      </c>
      <c r="F153" s="180" t="s">
        <v>208</v>
      </c>
      <c r="G153" s="180" t="s">
        <v>208</v>
      </c>
      <c r="H153" s="181"/>
      <c r="I153" s="181"/>
      <c r="J153" s="181"/>
      <c r="K153" s="182" t="s">
        <v>240</v>
      </c>
    </row>
    <row r="154">
      <c r="A154" s="179">
        <f t="shared" si="2"/>
        <v>153</v>
      </c>
      <c r="B154" s="180"/>
      <c r="C154" s="180" t="s">
        <v>208</v>
      </c>
      <c r="D154" s="180" t="s">
        <v>208</v>
      </c>
      <c r="E154" s="180" t="s">
        <v>208</v>
      </c>
      <c r="F154" s="180" t="s">
        <v>208</v>
      </c>
      <c r="G154" s="180" t="s">
        <v>208</v>
      </c>
      <c r="H154" s="181"/>
      <c r="I154" s="181"/>
      <c r="J154" s="181"/>
      <c r="K154" s="182" t="s">
        <v>240</v>
      </c>
    </row>
    <row r="155">
      <c r="A155" s="179">
        <f t="shared" si="2"/>
        <v>154</v>
      </c>
      <c r="B155" s="180"/>
      <c r="C155" s="180" t="s">
        <v>208</v>
      </c>
      <c r="D155" s="180" t="s">
        <v>208</v>
      </c>
      <c r="E155" s="180" t="s">
        <v>208</v>
      </c>
      <c r="F155" s="180" t="s">
        <v>208</v>
      </c>
      <c r="G155" s="180" t="s">
        <v>208</v>
      </c>
      <c r="H155" s="181"/>
      <c r="I155" s="181"/>
      <c r="J155" s="181"/>
      <c r="K155" s="182" t="s">
        <v>240</v>
      </c>
    </row>
    <row r="156">
      <c r="A156" s="179">
        <f t="shared" si="2"/>
        <v>155</v>
      </c>
      <c r="B156" s="180"/>
      <c r="C156" s="180" t="s">
        <v>208</v>
      </c>
      <c r="D156" s="180" t="s">
        <v>208</v>
      </c>
      <c r="E156" s="180" t="s">
        <v>208</v>
      </c>
      <c r="F156" s="180" t="s">
        <v>208</v>
      </c>
      <c r="G156" s="180" t="s">
        <v>208</v>
      </c>
      <c r="H156" s="181"/>
      <c r="I156" s="181"/>
      <c r="J156" s="181"/>
      <c r="K156" s="182" t="s">
        <v>240</v>
      </c>
    </row>
    <row r="157">
      <c r="A157" s="179">
        <f t="shared" si="2"/>
        <v>156</v>
      </c>
      <c r="B157" s="180"/>
      <c r="C157" s="180" t="s">
        <v>208</v>
      </c>
      <c r="D157" s="180" t="s">
        <v>208</v>
      </c>
      <c r="E157" s="180" t="s">
        <v>208</v>
      </c>
      <c r="F157" s="180" t="s">
        <v>208</v>
      </c>
      <c r="G157" s="180" t="s">
        <v>208</v>
      </c>
      <c r="H157" s="181"/>
      <c r="I157" s="181"/>
      <c r="J157" s="181"/>
      <c r="K157" s="182" t="s">
        <v>240</v>
      </c>
    </row>
    <row r="158">
      <c r="A158" s="179">
        <f t="shared" si="2"/>
        <v>157</v>
      </c>
      <c r="B158" s="181"/>
      <c r="C158" s="180" t="s">
        <v>208</v>
      </c>
      <c r="D158" s="180" t="s">
        <v>208</v>
      </c>
      <c r="E158" s="180" t="s">
        <v>208</v>
      </c>
      <c r="F158" s="180" t="s">
        <v>208</v>
      </c>
      <c r="G158" s="180" t="s">
        <v>208</v>
      </c>
      <c r="H158" s="181"/>
      <c r="I158" s="181"/>
      <c r="J158" s="181"/>
      <c r="K158" s="182" t="s">
        <v>240</v>
      </c>
    </row>
    <row r="159">
      <c r="A159" s="179">
        <f t="shared" si="2"/>
        <v>158</v>
      </c>
      <c r="B159" s="180"/>
      <c r="C159" s="180" t="s">
        <v>208</v>
      </c>
      <c r="D159" s="180" t="s">
        <v>208</v>
      </c>
      <c r="E159" s="180" t="s">
        <v>208</v>
      </c>
      <c r="F159" s="180" t="s">
        <v>208</v>
      </c>
      <c r="G159" s="180" t="s">
        <v>208</v>
      </c>
      <c r="H159" s="181"/>
      <c r="I159" s="181"/>
      <c r="J159" s="181"/>
      <c r="K159" s="182" t="s">
        <v>240</v>
      </c>
    </row>
    <row r="160">
      <c r="A160" s="179">
        <f t="shared" si="2"/>
        <v>159</v>
      </c>
      <c r="B160" s="180"/>
      <c r="C160" s="180" t="s">
        <v>208</v>
      </c>
      <c r="D160" s="180" t="s">
        <v>208</v>
      </c>
      <c r="E160" s="180" t="s">
        <v>208</v>
      </c>
      <c r="F160" s="180" t="s">
        <v>208</v>
      </c>
      <c r="G160" s="180" t="s">
        <v>208</v>
      </c>
      <c r="H160" s="181"/>
      <c r="I160" s="181"/>
      <c r="J160" s="181"/>
      <c r="K160" s="182" t="s">
        <v>240</v>
      </c>
    </row>
    <row r="161">
      <c r="A161" s="179">
        <f t="shared" si="2"/>
        <v>160</v>
      </c>
      <c r="B161" s="180"/>
      <c r="C161" s="180" t="s">
        <v>208</v>
      </c>
      <c r="D161" s="180" t="s">
        <v>208</v>
      </c>
      <c r="E161" s="180" t="s">
        <v>208</v>
      </c>
      <c r="F161" s="180" t="s">
        <v>208</v>
      </c>
      <c r="G161" s="180" t="s">
        <v>208</v>
      </c>
      <c r="H161" s="181"/>
      <c r="I161" s="181"/>
      <c r="J161" s="181"/>
      <c r="K161" s="182" t="s">
        <v>240</v>
      </c>
    </row>
    <row r="162">
      <c r="A162" s="179">
        <f t="shared" si="2"/>
        <v>161</v>
      </c>
      <c r="B162" s="180"/>
      <c r="C162" s="180" t="s">
        <v>208</v>
      </c>
      <c r="D162" s="180" t="s">
        <v>208</v>
      </c>
      <c r="E162" s="180" t="s">
        <v>208</v>
      </c>
      <c r="F162" s="180" t="s">
        <v>208</v>
      </c>
      <c r="G162" s="180" t="s">
        <v>208</v>
      </c>
      <c r="H162" s="181"/>
      <c r="I162" s="181"/>
      <c r="J162" s="181"/>
      <c r="K162" s="182" t="s">
        <v>240</v>
      </c>
    </row>
    <row r="163">
      <c r="A163" s="179">
        <f t="shared" si="2"/>
        <v>162</v>
      </c>
      <c r="B163" s="180"/>
      <c r="C163" s="180" t="s">
        <v>208</v>
      </c>
      <c r="D163" s="180" t="s">
        <v>208</v>
      </c>
      <c r="E163" s="180" t="s">
        <v>208</v>
      </c>
      <c r="F163" s="180" t="s">
        <v>208</v>
      </c>
      <c r="G163" s="180" t="s">
        <v>208</v>
      </c>
      <c r="H163" s="181"/>
      <c r="I163" s="181"/>
      <c r="J163" s="181"/>
      <c r="K163" s="182" t="s">
        <v>240</v>
      </c>
    </row>
    <row r="164">
      <c r="A164" s="179">
        <f t="shared" si="2"/>
        <v>163</v>
      </c>
      <c r="B164" s="180"/>
      <c r="C164" s="180" t="s">
        <v>208</v>
      </c>
      <c r="D164" s="180" t="s">
        <v>208</v>
      </c>
      <c r="E164" s="180" t="s">
        <v>208</v>
      </c>
      <c r="F164" s="180" t="s">
        <v>208</v>
      </c>
      <c r="G164" s="180" t="s">
        <v>208</v>
      </c>
      <c r="H164" s="181"/>
      <c r="I164" s="181"/>
      <c r="J164" s="181"/>
      <c r="K164" s="182" t="s">
        <v>240</v>
      </c>
    </row>
    <row r="165">
      <c r="A165" s="179">
        <f t="shared" si="2"/>
        <v>164</v>
      </c>
      <c r="B165" s="180"/>
      <c r="C165" s="180" t="s">
        <v>208</v>
      </c>
      <c r="D165" s="180" t="s">
        <v>208</v>
      </c>
      <c r="E165" s="180" t="s">
        <v>208</v>
      </c>
      <c r="F165" s="180" t="s">
        <v>208</v>
      </c>
      <c r="G165" s="180" t="s">
        <v>208</v>
      </c>
      <c r="H165" s="181"/>
      <c r="I165" s="181"/>
      <c r="J165" s="181"/>
      <c r="K165" s="182" t="s">
        <v>240</v>
      </c>
    </row>
    <row r="166">
      <c r="A166" s="179">
        <f t="shared" si="2"/>
        <v>165</v>
      </c>
      <c r="B166" s="180"/>
      <c r="C166" s="180" t="s">
        <v>208</v>
      </c>
      <c r="D166" s="180" t="s">
        <v>208</v>
      </c>
      <c r="E166" s="180" t="s">
        <v>208</v>
      </c>
      <c r="F166" s="180" t="s">
        <v>208</v>
      </c>
      <c r="G166" s="180" t="s">
        <v>208</v>
      </c>
      <c r="H166" s="181"/>
      <c r="I166" s="181"/>
      <c r="J166" s="180"/>
      <c r="K166" s="182" t="s">
        <v>240</v>
      </c>
    </row>
    <row r="167">
      <c r="A167" s="179">
        <f t="shared" si="2"/>
        <v>166</v>
      </c>
      <c r="B167" s="180"/>
      <c r="C167" s="180" t="s">
        <v>208</v>
      </c>
      <c r="D167" s="180" t="s">
        <v>208</v>
      </c>
      <c r="E167" s="180" t="s">
        <v>208</v>
      </c>
      <c r="F167" s="180" t="s">
        <v>208</v>
      </c>
      <c r="G167" s="180" t="s">
        <v>208</v>
      </c>
      <c r="H167" s="181"/>
      <c r="I167" s="181"/>
      <c r="J167" s="181"/>
      <c r="K167" s="182" t="s">
        <v>240</v>
      </c>
    </row>
    <row r="168">
      <c r="A168" s="179">
        <f t="shared" si="2"/>
        <v>167</v>
      </c>
      <c r="B168" s="180"/>
      <c r="C168" s="180" t="s">
        <v>208</v>
      </c>
      <c r="D168" s="180" t="s">
        <v>208</v>
      </c>
      <c r="E168" s="180"/>
      <c r="F168" s="180" t="s">
        <v>208</v>
      </c>
      <c r="G168" s="180" t="s">
        <v>208</v>
      </c>
      <c r="H168" s="181"/>
      <c r="I168" s="181"/>
      <c r="J168" s="181"/>
      <c r="K168" s="182" t="s">
        <v>240</v>
      </c>
    </row>
    <row r="169">
      <c r="A169" s="179">
        <f t="shared" si="2"/>
        <v>168</v>
      </c>
      <c r="B169" s="180"/>
      <c r="C169" s="180" t="s">
        <v>208</v>
      </c>
      <c r="D169" s="180" t="s">
        <v>208</v>
      </c>
      <c r="E169" s="180" t="s">
        <v>208</v>
      </c>
      <c r="F169" s="180" t="s">
        <v>208</v>
      </c>
      <c r="G169" s="180" t="s">
        <v>208</v>
      </c>
      <c r="H169" s="181"/>
      <c r="I169" s="181"/>
      <c r="J169" s="181"/>
      <c r="K169" s="182" t="s">
        <v>240</v>
      </c>
    </row>
    <row r="170">
      <c r="A170" s="179">
        <f t="shared" si="2"/>
        <v>169</v>
      </c>
      <c r="B170" s="180"/>
      <c r="C170" s="180"/>
      <c r="D170" s="180"/>
      <c r="E170" s="180"/>
      <c r="F170" s="180"/>
      <c r="G170" s="180"/>
      <c r="H170" s="185"/>
      <c r="I170" s="181"/>
      <c r="J170" s="180" t="s">
        <v>242</v>
      </c>
      <c r="K170" s="182" t="s">
        <v>240</v>
      </c>
    </row>
    <row r="171">
      <c r="A171" s="179">
        <f t="shared" si="2"/>
        <v>170</v>
      </c>
      <c r="B171" s="180"/>
      <c r="C171" s="180" t="s">
        <v>208</v>
      </c>
      <c r="D171" s="180" t="s">
        <v>208</v>
      </c>
      <c r="E171" s="180" t="s">
        <v>208</v>
      </c>
      <c r="F171" s="180" t="s">
        <v>208</v>
      </c>
      <c r="G171" s="180" t="s">
        <v>208</v>
      </c>
      <c r="H171" s="181"/>
      <c r="I171" s="181"/>
      <c r="J171" s="181"/>
      <c r="K171" s="182" t="s">
        <v>240</v>
      </c>
    </row>
    <row r="172">
      <c r="A172" s="179">
        <f t="shared" si="2"/>
        <v>171</v>
      </c>
      <c r="B172" s="180"/>
      <c r="C172" s="180" t="s">
        <v>208</v>
      </c>
      <c r="D172" s="180" t="s">
        <v>208</v>
      </c>
      <c r="E172" s="180" t="s">
        <v>208</v>
      </c>
      <c r="F172" s="180" t="s">
        <v>208</v>
      </c>
      <c r="G172" s="180" t="s">
        <v>208</v>
      </c>
      <c r="H172" s="181"/>
      <c r="I172" s="181"/>
      <c r="J172" s="181"/>
      <c r="K172" s="182" t="s">
        <v>240</v>
      </c>
    </row>
    <row r="173">
      <c r="A173" s="179">
        <f t="shared" si="2"/>
        <v>172</v>
      </c>
      <c r="B173" s="180"/>
      <c r="C173" s="180"/>
      <c r="D173" s="180"/>
      <c r="E173" s="180"/>
      <c r="F173" s="180"/>
      <c r="G173" s="180"/>
      <c r="H173" s="181"/>
      <c r="I173" s="181"/>
      <c r="J173" s="180" t="s">
        <v>242</v>
      </c>
      <c r="K173" s="182" t="s">
        <v>240</v>
      </c>
    </row>
    <row r="174">
      <c r="A174" s="179">
        <f t="shared" si="2"/>
        <v>173</v>
      </c>
      <c r="B174" s="180"/>
      <c r="C174" s="180"/>
      <c r="D174" s="180"/>
      <c r="E174" s="180"/>
      <c r="F174" s="180"/>
      <c r="G174" s="180"/>
      <c r="H174" s="181"/>
      <c r="I174" s="181"/>
      <c r="J174" s="180" t="s">
        <v>242</v>
      </c>
      <c r="K174" s="182" t="s">
        <v>240</v>
      </c>
    </row>
    <row r="175">
      <c r="A175" s="179">
        <f t="shared" si="2"/>
        <v>174</v>
      </c>
      <c r="B175" s="180"/>
      <c r="C175" s="180"/>
      <c r="D175" s="180"/>
      <c r="E175" s="180"/>
      <c r="F175" s="180"/>
      <c r="G175" s="180"/>
      <c r="H175" s="181"/>
      <c r="I175" s="181"/>
      <c r="J175" s="180" t="s">
        <v>242</v>
      </c>
      <c r="K175" s="182" t="s">
        <v>240</v>
      </c>
    </row>
    <row r="176">
      <c r="A176" s="179">
        <f t="shared" si="2"/>
        <v>175</v>
      </c>
      <c r="B176" s="180"/>
      <c r="C176" s="180" t="s">
        <v>208</v>
      </c>
      <c r="D176" s="180" t="s">
        <v>208</v>
      </c>
      <c r="E176" s="180"/>
      <c r="F176" s="180" t="s">
        <v>208</v>
      </c>
      <c r="G176" s="180" t="s">
        <v>208</v>
      </c>
      <c r="H176" s="181"/>
      <c r="I176" s="181"/>
      <c r="J176" s="181"/>
      <c r="K176" s="182" t="s">
        <v>240</v>
      </c>
    </row>
    <row r="177">
      <c r="A177" s="179">
        <f t="shared" si="2"/>
        <v>176</v>
      </c>
      <c r="B177" s="180"/>
      <c r="C177" s="180"/>
      <c r="D177" s="180"/>
      <c r="E177" s="180"/>
      <c r="F177" s="180"/>
      <c r="G177" s="180"/>
      <c r="H177" s="181"/>
      <c r="I177" s="181"/>
      <c r="J177" s="180" t="s">
        <v>242</v>
      </c>
      <c r="K177" s="182" t="s">
        <v>240</v>
      </c>
    </row>
    <row r="178">
      <c r="A178" s="179">
        <f t="shared" si="2"/>
        <v>177</v>
      </c>
      <c r="B178" s="181"/>
      <c r="C178" s="180" t="s">
        <v>208</v>
      </c>
      <c r="D178" s="180" t="s">
        <v>208</v>
      </c>
      <c r="E178" s="180" t="s">
        <v>208</v>
      </c>
      <c r="F178" s="180" t="s">
        <v>208</v>
      </c>
      <c r="G178" s="180" t="s">
        <v>208</v>
      </c>
      <c r="H178" s="181"/>
      <c r="I178" s="181"/>
      <c r="J178" s="181"/>
      <c r="K178" s="182" t="s">
        <v>240</v>
      </c>
    </row>
    <row r="179">
      <c r="A179" s="179">
        <f t="shared" si="2"/>
        <v>178</v>
      </c>
      <c r="B179" s="180"/>
      <c r="C179" s="180" t="s">
        <v>208</v>
      </c>
      <c r="D179" s="180" t="s">
        <v>208</v>
      </c>
      <c r="E179" s="180" t="s">
        <v>208</v>
      </c>
      <c r="F179" s="180" t="s">
        <v>208</v>
      </c>
      <c r="G179" s="180" t="s">
        <v>208</v>
      </c>
      <c r="H179" s="181"/>
      <c r="I179" s="181"/>
      <c r="J179" s="181"/>
      <c r="K179" s="182" t="s">
        <v>240</v>
      </c>
    </row>
    <row r="180">
      <c r="A180" s="179">
        <f t="shared" si="2"/>
        <v>179</v>
      </c>
      <c r="B180" s="180"/>
      <c r="C180" s="180" t="s">
        <v>208</v>
      </c>
      <c r="D180" s="180" t="s">
        <v>208</v>
      </c>
      <c r="E180" s="180" t="s">
        <v>208</v>
      </c>
      <c r="F180" s="180" t="s">
        <v>208</v>
      </c>
      <c r="G180" s="180" t="s">
        <v>208</v>
      </c>
      <c r="H180" s="181"/>
      <c r="I180" s="181"/>
      <c r="J180" s="181"/>
      <c r="K180" s="182" t="s">
        <v>240</v>
      </c>
    </row>
    <row r="181">
      <c r="A181" s="179">
        <f t="shared" si="2"/>
        <v>180</v>
      </c>
      <c r="B181" s="180"/>
      <c r="C181" s="180" t="s">
        <v>208</v>
      </c>
      <c r="D181" s="180" t="s">
        <v>208</v>
      </c>
      <c r="E181" s="180" t="s">
        <v>208</v>
      </c>
      <c r="F181" s="180" t="s">
        <v>208</v>
      </c>
      <c r="G181" s="180" t="s">
        <v>208</v>
      </c>
      <c r="H181" s="181"/>
      <c r="I181" s="181"/>
      <c r="J181" s="181"/>
      <c r="K181" s="182" t="s">
        <v>240</v>
      </c>
    </row>
    <row r="182">
      <c r="A182" s="179">
        <f t="shared" si="2"/>
        <v>181</v>
      </c>
      <c r="B182" s="180"/>
      <c r="C182" s="180" t="s">
        <v>208</v>
      </c>
      <c r="D182" s="180" t="s">
        <v>208</v>
      </c>
      <c r="E182" s="180" t="s">
        <v>208</v>
      </c>
      <c r="F182" s="180" t="s">
        <v>208</v>
      </c>
      <c r="G182" s="180" t="s">
        <v>208</v>
      </c>
      <c r="H182" s="181"/>
      <c r="I182" s="181"/>
      <c r="J182" s="181"/>
      <c r="K182" s="182" t="s">
        <v>240</v>
      </c>
    </row>
    <row r="183">
      <c r="A183" s="179">
        <f t="shared" si="2"/>
        <v>182</v>
      </c>
      <c r="B183" s="180"/>
      <c r="C183" s="180" t="s">
        <v>208</v>
      </c>
      <c r="D183" s="180" t="s">
        <v>208</v>
      </c>
      <c r="E183" s="180" t="s">
        <v>208</v>
      </c>
      <c r="F183" s="180" t="s">
        <v>208</v>
      </c>
      <c r="G183" s="180" t="s">
        <v>208</v>
      </c>
      <c r="H183" s="181"/>
      <c r="I183" s="181"/>
      <c r="J183" s="181"/>
      <c r="K183" s="182" t="s">
        <v>240</v>
      </c>
    </row>
    <row r="184">
      <c r="A184" s="179">
        <f t="shared" si="2"/>
        <v>183</v>
      </c>
      <c r="B184" s="180"/>
      <c r="C184" s="180" t="s">
        <v>208</v>
      </c>
      <c r="D184" s="180" t="s">
        <v>208</v>
      </c>
      <c r="E184" s="180" t="s">
        <v>208</v>
      </c>
      <c r="F184" s="180" t="s">
        <v>208</v>
      </c>
      <c r="G184" s="180" t="s">
        <v>208</v>
      </c>
      <c r="H184" s="181"/>
      <c r="I184" s="181"/>
      <c r="J184" s="181"/>
      <c r="K184" s="182" t="s">
        <v>240</v>
      </c>
    </row>
    <row r="185">
      <c r="A185" s="179">
        <f t="shared" si="2"/>
        <v>184</v>
      </c>
      <c r="B185" s="180"/>
      <c r="C185" s="180"/>
      <c r="D185" s="180"/>
      <c r="E185" s="180"/>
      <c r="F185" s="180"/>
      <c r="G185" s="180"/>
      <c r="H185" s="181"/>
      <c r="I185" s="181"/>
      <c r="J185" s="180" t="s">
        <v>242</v>
      </c>
      <c r="K185" s="182" t="s">
        <v>240</v>
      </c>
    </row>
    <row r="186">
      <c r="A186" s="179">
        <f t="shared" si="2"/>
        <v>185</v>
      </c>
      <c r="B186" s="180"/>
      <c r="C186" s="180"/>
      <c r="D186" s="180"/>
      <c r="E186" s="180"/>
      <c r="F186" s="180"/>
      <c r="G186" s="180"/>
      <c r="H186" s="181"/>
      <c r="I186" s="181"/>
      <c r="J186" s="180" t="s">
        <v>242</v>
      </c>
      <c r="K186" s="182" t="s">
        <v>240</v>
      </c>
    </row>
    <row r="187">
      <c r="A187" s="179">
        <f t="shared" si="2"/>
        <v>186</v>
      </c>
      <c r="B187" s="180"/>
      <c r="C187" s="180"/>
      <c r="D187" s="180"/>
      <c r="E187" s="180"/>
      <c r="F187" s="180"/>
      <c r="G187" s="180"/>
      <c r="H187" s="181"/>
      <c r="I187" s="181"/>
      <c r="J187" s="180" t="s">
        <v>242</v>
      </c>
      <c r="K187" s="182" t="s">
        <v>240</v>
      </c>
    </row>
    <row r="188">
      <c r="A188" s="179">
        <f t="shared" si="2"/>
        <v>187</v>
      </c>
      <c r="B188" s="181"/>
      <c r="C188" s="180" t="s">
        <v>208</v>
      </c>
      <c r="D188" s="180" t="s">
        <v>208</v>
      </c>
      <c r="E188" s="180" t="s">
        <v>208</v>
      </c>
      <c r="F188" s="180" t="s">
        <v>208</v>
      </c>
      <c r="G188" s="180" t="s">
        <v>208</v>
      </c>
      <c r="H188" s="181"/>
      <c r="I188" s="181"/>
      <c r="J188" s="180"/>
      <c r="K188" s="182" t="s">
        <v>240</v>
      </c>
    </row>
    <row r="189">
      <c r="A189" s="179">
        <f t="shared" si="2"/>
        <v>188</v>
      </c>
      <c r="B189" s="180"/>
      <c r="C189" s="180" t="s">
        <v>208</v>
      </c>
      <c r="D189" s="180"/>
      <c r="E189" s="180" t="s">
        <v>208</v>
      </c>
      <c r="F189" s="180" t="s">
        <v>208</v>
      </c>
      <c r="G189" s="180" t="s">
        <v>208</v>
      </c>
      <c r="H189" s="181"/>
      <c r="I189" s="181"/>
      <c r="J189" s="181"/>
      <c r="K189" s="182" t="s">
        <v>240</v>
      </c>
    </row>
    <row r="190">
      <c r="A190" s="179">
        <f t="shared" si="2"/>
        <v>189</v>
      </c>
      <c r="B190" s="180"/>
      <c r="C190" s="180" t="s">
        <v>208</v>
      </c>
      <c r="D190" s="180" t="s">
        <v>208</v>
      </c>
      <c r="E190" s="180" t="s">
        <v>208</v>
      </c>
      <c r="F190" s="180" t="s">
        <v>208</v>
      </c>
      <c r="G190" s="180" t="s">
        <v>208</v>
      </c>
      <c r="H190" s="181"/>
      <c r="I190" s="181"/>
      <c r="J190" s="181"/>
      <c r="K190" s="182" t="s">
        <v>240</v>
      </c>
    </row>
    <row r="191">
      <c r="A191" s="179">
        <f t="shared" si="2"/>
        <v>190</v>
      </c>
      <c r="B191" s="180"/>
      <c r="C191" s="180" t="s">
        <v>208</v>
      </c>
      <c r="D191" s="180" t="s">
        <v>208</v>
      </c>
      <c r="E191" s="180" t="s">
        <v>208</v>
      </c>
      <c r="F191" s="180" t="s">
        <v>208</v>
      </c>
      <c r="G191" s="180" t="s">
        <v>208</v>
      </c>
      <c r="H191" s="181"/>
      <c r="I191" s="181"/>
      <c r="J191" s="181"/>
      <c r="K191" s="182" t="s">
        <v>240</v>
      </c>
    </row>
    <row r="192">
      <c r="A192" s="179">
        <f t="shared" si="2"/>
        <v>191</v>
      </c>
      <c r="B192" s="180"/>
      <c r="C192" s="180"/>
      <c r="D192" s="180"/>
      <c r="E192" s="180"/>
      <c r="F192" s="180"/>
      <c r="G192" s="180"/>
      <c r="H192" s="181"/>
      <c r="I192" s="181"/>
      <c r="J192" s="180" t="s">
        <v>242</v>
      </c>
      <c r="K192" s="182" t="s">
        <v>240</v>
      </c>
    </row>
    <row r="193">
      <c r="A193" s="179">
        <f t="shared" si="2"/>
        <v>192</v>
      </c>
      <c r="B193" s="180"/>
      <c r="C193" s="180"/>
      <c r="D193" s="180"/>
      <c r="E193" s="180"/>
      <c r="F193" s="180"/>
      <c r="G193" s="180"/>
      <c r="H193" s="181"/>
      <c r="I193" s="181"/>
      <c r="J193" s="180" t="s">
        <v>242</v>
      </c>
      <c r="K193" s="182" t="s">
        <v>240</v>
      </c>
    </row>
    <row r="194">
      <c r="A194" s="179">
        <f t="shared" si="2"/>
        <v>193</v>
      </c>
      <c r="B194" s="180"/>
      <c r="C194" s="180"/>
      <c r="D194" s="180"/>
      <c r="E194" s="180"/>
      <c r="F194" s="180"/>
      <c r="G194" s="180"/>
      <c r="H194" s="181"/>
      <c r="I194" s="181"/>
      <c r="J194" s="180" t="s">
        <v>242</v>
      </c>
      <c r="K194" s="182" t="s">
        <v>240</v>
      </c>
    </row>
    <row r="195">
      <c r="A195" s="179">
        <f t="shared" si="2"/>
        <v>194</v>
      </c>
      <c r="B195" s="180"/>
      <c r="C195" s="180" t="s">
        <v>208</v>
      </c>
      <c r="D195" s="180" t="s">
        <v>208</v>
      </c>
      <c r="E195" s="180" t="s">
        <v>208</v>
      </c>
      <c r="F195" s="180" t="s">
        <v>208</v>
      </c>
      <c r="G195" s="180" t="s">
        <v>208</v>
      </c>
      <c r="H195" s="181"/>
      <c r="I195" s="181"/>
      <c r="J195" s="181"/>
      <c r="K195" s="182" t="s">
        <v>240</v>
      </c>
    </row>
    <row r="196">
      <c r="A196" s="179">
        <f t="shared" si="2"/>
        <v>195</v>
      </c>
      <c r="B196" s="180"/>
      <c r="C196" s="180" t="s">
        <v>208</v>
      </c>
      <c r="D196" s="180" t="s">
        <v>208</v>
      </c>
      <c r="E196" s="180" t="s">
        <v>208</v>
      </c>
      <c r="F196" s="180" t="s">
        <v>208</v>
      </c>
      <c r="G196" s="180" t="s">
        <v>208</v>
      </c>
      <c r="H196" s="181"/>
      <c r="I196" s="181"/>
      <c r="J196" s="181"/>
      <c r="K196" s="182" t="s">
        <v>240</v>
      </c>
    </row>
    <row r="197">
      <c r="A197" s="179">
        <f t="shared" si="2"/>
        <v>196</v>
      </c>
      <c r="B197" s="180"/>
      <c r="C197" s="180" t="s">
        <v>208</v>
      </c>
      <c r="D197" s="180" t="s">
        <v>208</v>
      </c>
      <c r="E197" s="180" t="s">
        <v>208</v>
      </c>
      <c r="F197" s="180" t="s">
        <v>208</v>
      </c>
      <c r="G197" s="180" t="s">
        <v>208</v>
      </c>
      <c r="H197" s="181"/>
      <c r="I197" s="181"/>
      <c r="J197" s="181"/>
      <c r="K197" s="182" t="s">
        <v>240</v>
      </c>
    </row>
    <row r="198">
      <c r="A198" s="179">
        <f t="shared" si="2"/>
        <v>197</v>
      </c>
      <c r="B198" s="180"/>
      <c r="C198" s="180" t="s">
        <v>208</v>
      </c>
      <c r="D198" s="180" t="s">
        <v>208</v>
      </c>
      <c r="E198" s="180" t="s">
        <v>208</v>
      </c>
      <c r="F198" s="180" t="s">
        <v>208</v>
      </c>
      <c r="G198" s="180" t="s">
        <v>208</v>
      </c>
      <c r="H198" s="181"/>
      <c r="I198" s="181"/>
      <c r="J198" s="181"/>
      <c r="K198" s="182" t="s">
        <v>240</v>
      </c>
    </row>
    <row r="199">
      <c r="A199" s="179">
        <f t="shared" si="2"/>
        <v>198</v>
      </c>
      <c r="B199" s="180"/>
      <c r="C199" s="180" t="s">
        <v>208</v>
      </c>
      <c r="D199" s="180" t="s">
        <v>208</v>
      </c>
      <c r="E199" s="180" t="s">
        <v>208</v>
      </c>
      <c r="F199" s="180" t="s">
        <v>208</v>
      </c>
      <c r="G199" s="180" t="s">
        <v>208</v>
      </c>
      <c r="H199" s="181"/>
      <c r="I199" s="181"/>
      <c r="J199" s="181"/>
      <c r="K199" s="182" t="s">
        <v>240</v>
      </c>
    </row>
    <row r="200">
      <c r="A200" s="179">
        <f t="shared" si="2"/>
        <v>199</v>
      </c>
      <c r="B200" s="180"/>
      <c r="C200" s="180" t="s">
        <v>208</v>
      </c>
      <c r="D200" s="180" t="s">
        <v>208</v>
      </c>
      <c r="E200" s="180" t="s">
        <v>208</v>
      </c>
      <c r="F200" s="180" t="s">
        <v>208</v>
      </c>
      <c r="G200" s="180" t="s">
        <v>208</v>
      </c>
      <c r="H200" s="181"/>
      <c r="I200" s="181"/>
      <c r="J200" s="180"/>
      <c r="K200" s="182" t="s">
        <v>240</v>
      </c>
    </row>
    <row r="201">
      <c r="A201" s="179">
        <f t="shared" si="2"/>
        <v>200</v>
      </c>
      <c r="B201" s="180"/>
      <c r="C201" s="180" t="s">
        <v>208</v>
      </c>
      <c r="D201" s="180" t="s">
        <v>208</v>
      </c>
      <c r="E201" s="180"/>
      <c r="F201" s="180" t="s">
        <v>208</v>
      </c>
      <c r="G201" s="180" t="s">
        <v>208</v>
      </c>
      <c r="H201" s="181"/>
      <c r="I201" s="181"/>
      <c r="J201" s="181"/>
      <c r="K201" s="182" t="s">
        <v>240</v>
      </c>
    </row>
    <row r="202">
      <c r="A202" s="179">
        <f t="shared" si="2"/>
        <v>201</v>
      </c>
      <c r="B202" s="180"/>
      <c r="C202" s="180" t="s">
        <v>208</v>
      </c>
      <c r="D202" s="180" t="s">
        <v>208</v>
      </c>
      <c r="E202" s="180" t="s">
        <v>208</v>
      </c>
      <c r="F202" s="180" t="s">
        <v>208</v>
      </c>
      <c r="G202" s="180" t="s">
        <v>208</v>
      </c>
      <c r="H202" s="181"/>
      <c r="I202" s="181"/>
      <c r="J202" s="181"/>
      <c r="K202" s="182" t="s">
        <v>240</v>
      </c>
    </row>
    <row r="203">
      <c r="A203" s="179">
        <f t="shared" si="2"/>
        <v>202</v>
      </c>
      <c r="B203" s="180"/>
      <c r="C203" s="180" t="s">
        <v>208</v>
      </c>
      <c r="D203" s="180" t="s">
        <v>208</v>
      </c>
      <c r="E203" s="180" t="s">
        <v>208</v>
      </c>
      <c r="F203" s="180" t="s">
        <v>208</v>
      </c>
      <c r="G203" s="180" t="s">
        <v>208</v>
      </c>
      <c r="H203" s="181"/>
      <c r="I203" s="181"/>
      <c r="J203" s="181"/>
      <c r="K203" s="182" t="s">
        <v>240</v>
      </c>
    </row>
    <row r="204">
      <c r="A204" s="179">
        <f t="shared" si="2"/>
        <v>203</v>
      </c>
      <c r="B204" s="180"/>
      <c r="C204" s="180" t="s">
        <v>208</v>
      </c>
      <c r="D204" s="180" t="s">
        <v>208</v>
      </c>
      <c r="E204" s="180" t="s">
        <v>208</v>
      </c>
      <c r="F204" s="180" t="s">
        <v>208</v>
      </c>
      <c r="G204" s="180" t="s">
        <v>208</v>
      </c>
      <c r="H204" s="181"/>
      <c r="I204" s="181"/>
      <c r="J204" s="181"/>
      <c r="K204" s="182" t="s">
        <v>240</v>
      </c>
    </row>
    <row r="205">
      <c r="A205" s="179">
        <f t="shared" si="2"/>
        <v>204</v>
      </c>
      <c r="B205" s="180"/>
      <c r="C205" s="180" t="s">
        <v>208</v>
      </c>
      <c r="D205" s="180" t="s">
        <v>208</v>
      </c>
      <c r="E205" s="180"/>
      <c r="F205" s="180" t="s">
        <v>208</v>
      </c>
      <c r="G205" s="180" t="s">
        <v>208</v>
      </c>
      <c r="H205" s="181"/>
      <c r="I205" s="181"/>
      <c r="J205" s="181"/>
      <c r="K205" s="182" t="s">
        <v>240</v>
      </c>
    </row>
    <row r="206">
      <c r="A206" s="179">
        <f t="shared" si="2"/>
        <v>205</v>
      </c>
      <c r="B206" s="180"/>
      <c r="C206" s="180" t="s">
        <v>208</v>
      </c>
      <c r="D206" s="180" t="s">
        <v>208</v>
      </c>
      <c r="E206" s="180" t="s">
        <v>208</v>
      </c>
      <c r="F206" s="180" t="s">
        <v>208</v>
      </c>
      <c r="G206" s="180" t="s">
        <v>208</v>
      </c>
      <c r="H206" s="181"/>
      <c r="I206" s="181"/>
      <c r="J206" s="181"/>
      <c r="K206" s="182" t="s">
        <v>240</v>
      </c>
    </row>
    <row r="207">
      <c r="A207" s="179">
        <f t="shared" si="2"/>
        <v>206</v>
      </c>
      <c r="B207" s="180"/>
      <c r="C207" s="180" t="s">
        <v>208</v>
      </c>
      <c r="D207" s="180" t="s">
        <v>208</v>
      </c>
      <c r="E207" s="180"/>
      <c r="F207" s="180" t="s">
        <v>208</v>
      </c>
      <c r="G207" s="180" t="s">
        <v>208</v>
      </c>
      <c r="H207" s="181"/>
      <c r="I207" s="181"/>
      <c r="J207" s="181"/>
      <c r="K207" s="182" t="s">
        <v>240</v>
      </c>
    </row>
    <row r="208">
      <c r="A208" s="179">
        <f t="shared" si="2"/>
        <v>207</v>
      </c>
      <c r="B208" s="180"/>
      <c r="C208" s="180" t="s">
        <v>208</v>
      </c>
      <c r="D208" s="180" t="s">
        <v>208</v>
      </c>
      <c r="E208" s="180"/>
      <c r="F208" s="180" t="s">
        <v>208</v>
      </c>
      <c r="G208" s="180" t="s">
        <v>208</v>
      </c>
      <c r="H208" s="181"/>
      <c r="I208" s="181"/>
      <c r="J208" s="181"/>
      <c r="K208" s="182" t="s">
        <v>240</v>
      </c>
    </row>
    <row r="209">
      <c r="A209" s="179">
        <f t="shared" si="2"/>
        <v>208</v>
      </c>
      <c r="B209" s="181"/>
      <c r="C209" s="180"/>
      <c r="D209" s="180"/>
      <c r="E209" s="180"/>
      <c r="F209" s="180"/>
      <c r="G209" s="180"/>
      <c r="H209" s="181"/>
      <c r="I209" s="181"/>
      <c r="J209" s="180" t="s">
        <v>242</v>
      </c>
      <c r="K209" s="182" t="s">
        <v>240</v>
      </c>
    </row>
    <row r="210">
      <c r="A210" s="179">
        <f t="shared" si="2"/>
        <v>209</v>
      </c>
      <c r="B210" s="180"/>
      <c r="C210" s="180"/>
      <c r="D210" s="180"/>
      <c r="E210" s="180"/>
      <c r="F210" s="180"/>
      <c r="G210" s="180"/>
      <c r="H210" s="185"/>
      <c r="I210" s="181"/>
      <c r="J210" s="180" t="s">
        <v>242</v>
      </c>
      <c r="K210" s="182" t="s">
        <v>240</v>
      </c>
    </row>
    <row r="211">
      <c r="A211" s="179">
        <f t="shared" si="2"/>
        <v>210</v>
      </c>
      <c r="B211" s="180"/>
      <c r="C211" s="180"/>
      <c r="D211" s="180"/>
      <c r="E211" s="180"/>
      <c r="F211" s="180"/>
      <c r="G211" s="180"/>
      <c r="H211" s="181"/>
      <c r="I211" s="181"/>
      <c r="J211" s="180" t="s">
        <v>242</v>
      </c>
      <c r="K211" s="182" t="s">
        <v>240</v>
      </c>
    </row>
    <row r="212">
      <c r="A212" s="179">
        <f t="shared" si="2"/>
        <v>211</v>
      </c>
      <c r="B212" s="180"/>
      <c r="C212" s="180" t="s">
        <v>208</v>
      </c>
      <c r="D212" s="180" t="s">
        <v>208</v>
      </c>
      <c r="E212" s="180"/>
      <c r="F212" s="180" t="s">
        <v>208</v>
      </c>
      <c r="G212" s="180" t="s">
        <v>208</v>
      </c>
      <c r="H212" s="181"/>
      <c r="I212" s="181"/>
      <c r="J212" s="180"/>
      <c r="K212" s="182" t="s">
        <v>240</v>
      </c>
    </row>
    <row r="213">
      <c r="A213" s="179">
        <f t="shared" si="2"/>
        <v>212</v>
      </c>
      <c r="B213" s="180"/>
      <c r="C213" s="180"/>
      <c r="D213" s="180"/>
      <c r="E213" s="180"/>
      <c r="F213" s="180"/>
      <c r="G213" s="180"/>
      <c r="H213" s="181"/>
      <c r="I213" s="181"/>
      <c r="J213" s="180" t="s">
        <v>242</v>
      </c>
      <c r="K213" s="182" t="s">
        <v>240</v>
      </c>
    </row>
    <row r="214">
      <c r="A214" s="179">
        <f t="shared" si="2"/>
        <v>213</v>
      </c>
      <c r="B214" s="180"/>
      <c r="C214" s="180"/>
      <c r="D214" s="180"/>
      <c r="E214" s="180"/>
      <c r="F214" s="180"/>
      <c r="G214" s="180"/>
      <c r="H214" s="181"/>
      <c r="I214" s="181"/>
      <c r="J214" s="180" t="s">
        <v>242</v>
      </c>
      <c r="K214" s="182" t="s">
        <v>240</v>
      </c>
    </row>
    <row r="215">
      <c r="A215" s="179">
        <f t="shared" si="2"/>
        <v>214</v>
      </c>
      <c r="B215" s="180"/>
      <c r="C215" s="180" t="s">
        <v>208</v>
      </c>
      <c r="D215" s="180" t="s">
        <v>208</v>
      </c>
      <c r="E215" s="180" t="s">
        <v>208</v>
      </c>
      <c r="F215" s="180" t="s">
        <v>208</v>
      </c>
      <c r="G215" s="180" t="s">
        <v>208</v>
      </c>
      <c r="H215" s="181"/>
      <c r="I215" s="181"/>
      <c r="J215" s="181"/>
      <c r="K215" s="182" t="s">
        <v>240</v>
      </c>
    </row>
    <row r="216">
      <c r="A216" s="179">
        <f t="shared" si="2"/>
        <v>215</v>
      </c>
      <c r="B216" s="181"/>
      <c r="C216" s="180" t="s">
        <v>208</v>
      </c>
      <c r="D216" s="180" t="s">
        <v>208</v>
      </c>
      <c r="E216" s="180" t="s">
        <v>208</v>
      </c>
      <c r="F216" s="180" t="s">
        <v>208</v>
      </c>
      <c r="G216" s="180" t="s">
        <v>208</v>
      </c>
      <c r="H216" s="181"/>
      <c r="I216" s="181"/>
      <c r="J216" s="181"/>
      <c r="K216" s="182" t="s">
        <v>240</v>
      </c>
    </row>
    <row r="217">
      <c r="A217" s="179">
        <f t="shared" si="2"/>
        <v>216</v>
      </c>
      <c r="B217" s="180"/>
      <c r="C217" s="180" t="s">
        <v>208</v>
      </c>
      <c r="D217" s="180" t="s">
        <v>208</v>
      </c>
      <c r="E217" s="180"/>
      <c r="F217" s="180" t="s">
        <v>208</v>
      </c>
      <c r="G217" s="180" t="s">
        <v>208</v>
      </c>
      <c r="H217" s="181"/>
      <c r="I217" s="181"/>
      <c r="J217" s="181"/>
      <c r="K217" s="182" t="s">
        <v>240</v>
      </c>
    </row>
    <row r="218">
      <c r="A218" s="179">
        <f t="shared" si="2"/>
        <v>217</v>
      </c>
      <c r="B218" s="180"/>
      <c r="C218" s="180" t="s">
        <v>208</v>
      </c>
      <c r="D218" s="180" t="s">
        <v>208</v>
      </c>
      <c r="E218" s="180" t="s">
        <v>208</v>
      </c>
      <c r="F218" s="180" t="s">
        <v>208</v>
      </c>
      <c r="G218" s="180" t="s">
        <v>208</v>
      </c>
      <c r="H218" s="181"/>
      <c r="I218" s="181"/>
      <c r="J218" s="181"/>
      <c r="K218" s="182" t="s">
        <v>240</v>
      </c>
    </row>
    <row r="219">
      <c r="A219" s="179">
        <f t="shared" si="2"/>
        <v>218</v>
      </c>
      <c r="B219" s="180"/>
      <c r="C219" s="180" t="s">
        <v>208</v>
      </c>
      <c r="D219" s="180" t="s">
        <v>208</v>
      </c>
      <c r="E219" s="180" t="s">
        <v>208</v>
      </c>
      <c r="F219" s="180" t="s">
        <v>208</v>
      </c>
      <c r="G219" s="180" t="s">
        <v>208</v>
      </c>
      <c r="H219" s="181"/>
      <c r="I219" s="181"/>
      <c r="J219" s="181"/>
      <c r="K219" s="182" t="s">
        <v>240</v>
      </c>
    </row>
    <row r="220">
      <c r="A220" s="179">
        <f t="shared" si="2"/>
        <v>219</v>
      </c>
      <c r="B220" s="180"/>
      <c r="C220" s="180" t="s">
        <v>208</v>
      </c>
      <c r="D220" s="180" t="s">
        <v>208</v>
      </c>
      <c r="E220" s="180" t="s">
        <v>208</v>
      </c>
      <c r="F220" s="180" t="s">
        <v>208</v>
      </c>
      <c r="G220" s="180" t="s">
        <v>208</v>
      </c>
      <c r="H220" s="181"/>
      <c r="I220" s="181"/>
      <c r="J220" s="181"/>
      <c r="K220" s="182" t="s">
        <v>240</v>
      </c>
    </row>
    <row r="221">
      <c r="A221" s="179">
        <f t="shared" si="2"/>
        <v>220</v>
      </c>
      <c r="B221" s="180"/>
      <c r="C221" s="180" t="s">
        <v>208</v>
      </c>
      <c r="D221" s="180" t="s">
        <v>208</v>
      </c>
      <c r="E221" s="180"/>
      <c r="F221" s="180" t="s">
        <v>208</v>
      </c>
      <c r="G221" s="180" t="s">
        <v>208</v>
      </c>
      <c r="H221" s="181"/>
      <c r="I221" s="181"/>
      <c r="J221" s="180"/>
      <c r="K221" s="182" t="s">
        <v>240</v>
      </c>
    </row>
    <row r="222">
      <c r="A222" s="179">
        <f t="shared" si="2"/>
        <v>221</v>
      </c>
      <c r="B222" s="181"/>
      <c r="C222" s="180" t="s">
        <v>208</v>
      </c>
      <c r="D222" s="180" t="s">
        <v>208</v>
      </c>
      <c r="E222" s="180" t="s">
        <v>208</v>
      </c>
      <c r="F222" s="180" t="s">
        <v>208</v>
      </c>
      <c r="G222" s="180" t="s">
        <v>208</v>
      </c>
      <c r="H222" s="181"/>
      <c r="I222" s="180"/>
      <c r="J222" s="180"/>
      <c r="K222" s="182" t="s">
        <v>240</v>
      </c>
    </row>
    <row r="223">
      <c r="A223" s="179">
        <f t="shared" si="2"/>
        <v>222</v>
      </c>
      <c r="B223" s="180"/>
      <c r="C223" s="180" t="s">
        <v>208</v>
      </c>
      <c r="D223" s="180" t="s">
        <v>208</v>
      </c>
      <c r="E223" s="180" t="s">
        <v>208</v>
      </c>
      <c r="F223" s="180" t="s">
        <v>208</v>
      </c>
      <c r="G223" s="180" t="s">
        <v>208</v>
      </c>
      <c r="H223" s="180"/>
      <c r="I223" s="180"/>
      <c r="J223" s="180"/>
      <c r="K223" s="182" t="s">
        <v>240</v>
      </c>
    </row>
    <row r="224">
      <c r="A224" s="179">
        <f t="shared" si="2"/>
        <v>223</v>
      </c>
      <c r="B224" s="180"/>
      <c r="C224" s="180" t="s">
        <v>208</v>
      </c>
      <c r="D224" s="180" t="s">
        <v>208</v>
      </c>
      <c r="E224" s="180" t="s">
        <v>208</v>
      </c>
      <c r="F224" s="180" t="s">
        <v>208</v>
      </c>
      <c r="G224" s="180" t="s">
        <v>208</v>
      </c>
      <c r="H224" s="181"/>
      <c r="I224" s="181"/>
      <c r="J224" s="180"/>
      <c r="K224" s="182" t="s">
        <v>240</v>
      </c>
    </row>
    <row r="225">
      <c r="A225" s="179">
        <f t="shared" si="2"/>
        <v>224</v>
      </c>
      <c r="B225" s="181"/>
      <c r="C225" s="180" t="s">
        <v>208</v>
      </c>
      <c r="D225" s="180" t="s">
        <v>208</v>
      </c>
      <c r="E225" s="180" t="s">
        <v>208</v>
      </c>
      <c r="F225" s="180" t="s">
        <v>208</v>
      </c>
      <c r="G225" s="180" t="s">
        <v>208</v>
      </c>
      <c r="H225" s="181"/>
      <c r="I225" s="181"/>
      <c r="J225" s="180"/>
      <c r="K225" s="182" t="s">
        <v>240</v>
      </c>
    </row>
    <row r="226">
      <c r="A226" s="179">
        <f t="shared" si="2"/>
        <v>225</v>
      </c>
      <c r="B226" s="181"/>
      <c r="C226" s="180" t="s">
        <v>208</v>
      </c>
      <c r="D226" s="180" t="s">
        <v>208</v>
      </c>
      <c r="E226" s="180" t="s">
        <v>208</v>
      </c>
      <c r="F226" s="180" t="s">
        <v>208</v>
      </c>
      <c r="G226" s="180" t="s">
        <v>208</v>
      </c>
      <c r="H226" s="181"/>
      <c r="I226" s="181"/>
      <c r="J226" s="180"/>
      <c r="K226" s="182" t="s">
        <v>240</v>
      </c>
    </row>
    <row r="227">
      <c r="A227" s="179">
        <f t="shared" si="2"/>
        <v>226</v>
      </c>
      <c r="B227" s="180"/>
      <c r="C227" s="180" t="s">
        <v>208</v>
      </c>
      <c r="D227" s="180" t="s">
        <v>208</v>
      </c>
      <c r="E227" s="180" t="s">
        <v>208</v>
      </c>
      <c r="F227" s="180" t="s">
        <v>208</v>
      </c>
      <c r="G227" s="180" t="s">
        <v>208</v>
      </c>
      <c r="H227" s="181"/>
      <c r="I227" s="181"/>
      <c r="J227" s="180"/>
      <c r="K227" s="182" t="s">
        <v>240</v>
      </c>
    </row>
    <row r="228">
      <c r="A228" s="179">
        <f t="shared" si="2"/>
        <v>227</v>
      </c>
      <c r="B228" s="180"/>
      <c r="C228" s="180" t="s">
        <v>208</v>
      </c>
      <c r="D228" s="180" t="s">
        <v>208</v>
      </c>
      <c r="E228" s="180"/>
      <c r="F228" s="180" t="s">
        <v>208</v>
      </c>
      <c r="G228" s="180" t="s">
        <v>208</v>
      </c>
      <c r="H228" s="181"/>
      <c r="I228" s="181"/>
      <c r="J228" s="180"/>
      <c r="K228" s="182" t="s">
        <v>240</v>
      </c>
    </row>
    <row r="229">
      <c r="A229" s="179">
        <f t="shared" si="2"/>
        <v>228</v>
      </c>
      <c r="B229" s="180"/>
      <c r="C229" s="180" t="s">
        <v>208</v>
      </c>
      <c r="D229" s="180" t="s">
        <v>208</v>
      </c>
      <c r="E229" s="180" t="s">
        <v>208</v>
      </c>
      <c r="F229" s="180" t="s">
        <v>208</v>
      </c>
      <c r="G229" s="180" t="s">
        <v>208</v>
      </c>
      <c r="H229" s="181"/>
      <c r="I229" s="181"/>
      <c r="J229" s="180"/>
      <c r="K229" s="182" t="s">
        <v>240</v>
      </c>
    </row>
    <row r="230">
      <c r="A230" s="179">
        <f t="shared" si="2"/>
        <v>229</v>
      </c>
      <c r="B230" s="180"/>
      <c r="C230" s="180" t="s">
        <v>208</v>
      </c>
      <c r="D230" s="180" t="s">
        <v>208</v>
      </c>
      <c r="E230" s="180" t="s">
        <v>208</v>
      </c>
      <c r="F230" s="180" t="s">
        <v>208</v>
      </c>
      <c r="G230" s="180" t="s">
        <v>208</v>
      </c>
      <c r="H230" s="181"/>
      <c r="I230" s="181"/>
      <c r="J230" s="180"/>
      <c r="K230" s="182" t="s">
        <v>240</v>
      </c>
    </row>
    <row r="231">
      <c r="A231" s="179">
        <f t="shared" si="2"/>
        <v>230</v>
      </c>
      <c r="B231" s="180"/>
      <c r="C231" s="180" t="s">
        <v>208</v>
      </c>
      <c r="D231" s="180"/>
      <c r="E231" s="180" t="s">
        <v>208</v>
      </c>
      <c r="F231" s="180" t="s">
        <v>208</v>
      </c>
      <c r="G231" s="180" t="s">
        <v>208</v>
      </c>
      <c r="H231" s="181"/>
      <c r="I231" s="181"/>
      <c r="J231" s="180"/>
      <c r="K231" s="182" t="s">
        <v>240</v>
      </c>
    </row>
    <row r="232">
      <c r="A232" s="179">
        <f t="shared" si="2"/>
        <v>231</v>
      </c>
      <c r="B232" s="180"/>
      <c r="C232" s="180" t="s">
        <v>208</v>
      </c>
      <c r="D232" s="180" t="s">
        <v>208</v>
      </c>
      <c r="E232" s="180" t="s">
        <v>208</v>
      </c>
      <c r="F232" s="180" t="s">
        <v>208</v>
      </c>
      <c r="G232" s="180" t="s">
        <v>208</v>
      </c>
      <c r="H232" s="181"/>
      <c r="I232" s="181"/>
      <c r="J232" s="180"/>
      <c r="K232" s="182" t="s">
        <v>240</v>
      </c>
    </row>
    <row r="233">
      <c r="A233" s="179">
        <f t="shared" si="2"/>
        <v>232</v>
      </c>
      <c r="B233" s="180"/>
      <c r="C233" s="180"/>
      <c r="D233" s="180"/>
      <c r="E233" s="180"/>
      <c r="F233" s="180"/>
      <c r="G233" s="180"/>
      <c r="H233" s="181"/>
      <c r="I233" s="181"/>
      <c r="J233" s="180" t="s">
        <v>242</v>
      </c>
      <c r="K233" s="182" t="s">
        <v>240</v>
      </c>
    </row>
    <row r="234">
      <c r="A234" s="179">
        <f t="shared" si="2"/>
        <v>233</v>
      </c>
      <c r="B234" s="180"/>
      <c r="C234" s="180"/>
      <c r="D234" s="180"/>
      <c r="E234" s="180"/>
      <c r="F234" s="180"/>
      <c r="G234" s="180"/>
      <c r="H234" s="181"/>
      <c r="I234" s="181"/>
      <c r="J234" s="180" t="s">
        <v>242</v>
      </c>
      <c r="K234" s="182" t="s">
        <v>240</v>
      </c>
    </row>
    <row r="235">
      <c r="A235" s="179">
        <f t="shared" si="2"/>
        <v>234</v>
      </c>
      <c r="B235" s="180"/>
      <c r="C235" s="180"/>
      <c r="D235" s="180"/>
      <c r="E235" s="180"/>
      <c r="F235" s="180"/>
      <c r="G235" s="180"/>
      <c r="H235" s="181"/>
      <c r="I235" s="181"/>
      <c r="J235" s="180" t="s">
        <v>242</v>
      </c>
      <c r="K235" s="182" t="s">
        <v>240</v>
      </c>
    </row>
    <row r="236">
      <c r="A236" s="179">
        <f t="shared" si="2"/>
        <v>235</v>
      </c>
      <c r="B236" s="180"/>
      <c r="C236" s="180" t="s">
        <v>208</v>
      </c>
      <c r="D236" s="180" t="s">
        <v>208</v>
      </c>
      <c r="E236" s="180" t="s">
        <v>208</v>
      </c>
      <c r="F236" s="180" t="s">
        <v>208</v>
      </c>
      <c r="G236" s="180" t="s">
        <v>208</v>
      </c>
      <c r="H236" s="181"/>
      <c r="I236" s="181"/>
      <c r="J236" s="181"/>
      <c r="K236" s="182" t="s">
        <v>240</v>
      </c>
    </row>
    <row r="237">
      <c r="A237" s="179">
        <f t="shared" si="2"/>
        <v>236</v>
      </c>
      <c r="B237" s="180"/>
      <c r="C237" s="180" t="s">
        <v>208</v>
      </c>
      <c r="D237" s="180" t="s">
        <v>208</v>
      </c>
      <c r="E237" s="180" t="s">
        <v>208</v>
      </c>
      <c r="F237" s="180" t="s">
        <v>208</v>
      </c>
      <c r="G237" s="180" t="s">
        <v>208</v>
      </c>
      <c r="H237" s="181"/>
      <c r="I237" s="181"/>
      <c r="J237" s="181"/>
      <c r="K237" s="182" t="s">
        <v>240</v>
      </c>
    </row>
    <row r="238">
      <c r="A238" s="179">
        <f t="shared" si="2"/>
        <v>237</v>
      </c>
      <c r="B238" s="180"/>
      <c r="C238" s="180" t="s">
        <v>208</v>
      </c>
      <c r="D238" s="180" t="s">
        <v>208</v>
      </c>
      <c r="E238" s="180" t="s">
        <v>208</v>
      </c>
      <c r="F238" s="180" t="s">
        <v>208</v>
      </c>
      <c r="G238" s="180" t="s">
        <v>208</v>
      </c>
      <c r="H238" s="180"/>
      <c r="I238" s="181"/>
      <c r="J238" s="181"/>
      <c r="K238" s="182" t="s">
        <v>240</v>
      </c>
    </row>
    <row r="239">
      <c r="A239" s="179">
        <f t="shared" si="2"/>
        <v>238</v>
      </c>
      <c r="B239" s="180"/>
      <c r="C239" s="180" t="s">
        <v>208</v>
      </c>
      <c r="D239" s="180" t="s">
        <v>208</v>
      </c>
      <c r="E239" s="180" t="s">
        <v>208</v>
      </c>
      <c r="F239" s="180" t="s">
        <v>208</v>
      </c>
      <c r="G239" s="180" t="s">
        <v>208</v>
      </c>
      <c r="H239" s="181"/>
      <c r="I239" s="181"/>
      <c r="J239" s="181"/>
      <c r="K239" s="182" t="s">
        <v>240</v>
      </c>
    </row>
    <row r="240">
      <c r="A240" s="179" t="s">
        <v>744</v>
      </c>
      <c r="B240" s="180"/>
      <c r="C240" s="180" t="s">
        <v>208</v>
      </c>
      <c r="D240" s="180" t="s">
        <v>208</v>
      </c>
      <c r="E240" s="180" t="s">
        <v>208</v>
      </c>
      <c r="F240" s="180" t="s">
        <v>208</v>
      </c>
      <c r="G240" s="180" t="s">
        <v>208</v>
      </c>
      <c r="H240" s="180"/>
      <c r="I240" s="181"/>
      <c r="J240" s="181"/>
      <c r="K240" s="182" t="s">
        <v>750</v>
      </c>
    </row>
    <row r="241">
      <c r="A241" s="179">
        <f>A239+1</f>
        <v>239</v>
      </c>
      <c r="B241" s="180"/>
      <c r="C241" s="180" t="s">
        <v>208</v>
      </c>
      <c r="D241" s="180" t="s">
        <v>208</v>
      </c>
      <c r="E241" s="180"/>
      <c r="F241" s="180" t="s">
        <v>208</v>
      </c>
      <c r="G241" s="180" t="s">
        <v>208</v>
      </c>
      <c r="H241" s="180"/>
      <c r="I241" s="181"/>
      <c r="J241" s="181"/>
      <c r="K241" s="182" t="s">
        <v>240</v>
      </c>
    </row>
    <row r="242">
      <c r="A242" s="179">
        <f t="shared" ref="A242:A257" si="3">A241+1</f>
        <v>240</v>
      </c>
      <c r="B242" s="180"/>
      <c r="C242" s="180" t="s">
        <v>208</v>
      </c>
      <c r="D242" s="180" t="s">
        <v>208</v>
      </c>
      <c r="E242" s="180" t="s">
        <v>208</v>
      </c>
      <c r="F242" s="180" t="s">
        <v>208</v>
      </c>
      <c r="G242" s="180" t="s">
        <v>208</v>
      </c>
      <c r="H242" s="181"/>
      <c r="I242" s="181"/>
      <c r="J242" s="181"/>
      <c r="K242" s="182" t="s">
        <v>240</v>
      </c>
    </row>
    <row r="243">
      <c r="A243" s="179">
        <f t="shared" si="3"/>
        <v>241</v>
      </c>
      <c r="B243" s="181"/>
      <c r="C243" s="180" t="s">
        <v>208</v>
      </c>
      <c r="D243" s="180" t="s">
        <v>208</v>
      </c>
      <c r="E243" s="180" t="s">
        <v>208</v>
      </c>
      <c r="F243" s="180" t="s">
        <v>208</v>
      </c>
      <c r="G243" s="180" t="s">
        <v>208</v>
      </c>
      <c r="H243" s="181"/>
      <c r="I243" s="181"/>
      <c r="J243" s="181"/>
      <c r="K243" s="182" t="s">
        <v>240</v>
      </c>
    </row>
    <row r="244">
      <c r="A244" s="179">
        <f t="shared" si="3"/>
        <v>242</v>
      </c>
      <c r="B244" s="180"/>
      <c r="C244" s="180" t="s">
        <v>208</v>
      </c>
      <c r="D244" s="180" t="s">
        <v>208</v>
      </c>
      <c r="E244" s="180" t="s">
        <v>208</v>
      </c>
      <c r="F244" s="180" t="s">
        <v>208</v>
      </c>
      <c r="G244" s="180" t="s">
        <v>208</v>
      </c>
      <c r="H244" s="181"/>
      <c r="I244" s="181"/>
      <c r="J244" s="180"/>
      <c r="K244" s="182" t="s">
        <v>240</v>
      </c>
    </row>
    <row r="245">
      <c r="A245" s="179">
        <f t="shared" si="3"/>
        <v>243</v>
      </c>
      <c r="B245" s="180"/>
      <c r="C245" s="180" t="s">
        <v>208</v>
      </c>
      <c r="D245" s="180" t="s">
        <v>208</v>
      </c>
      <c r="E245" s="180" t="s">
        <v>208</v>
      </c>
      <c r="F245" s="180" t="s">
        <v>208</v>
      </c>
      <c r="G245" s="180" t="s">
        <v>208</v>
      </c>
      <c r="H245" s="181"/>
      <c r="I245" s="181"/>
      <c r="J245" s="181"/>
      <c r="K245" s="182" t="s">
        <v>240</v>
      </c>
    </row>
    <row r="246">
      <c r="A246" s="179">
        <f t="shared" si="3"/>
        <v>244</v>
      </c>
      <c r="B246" s="180"/>
      <c r="C246" s="180" t="s">
        <v>208</v>
      </c>
      <c r="D246" s="180" t="s">
        <v>208</v>
      </c>
      <c r="E246" s="180" t="s">
        <v>208</v>
      </c>
      <c r="F246" s="180" t="s">
        <v>208</v>
      </c>
      <c r="G246" s="180" t="s">
        <v>208</v>
      </c>
      <c r="H246" s="181"/>
      <c r="I246" s="181"/>
      <c r="J246" s="181"/>
      <c r="K246" s="182" t="s">
        <v>240</v>
      </c>
    </row>
    <row r="247">
      <c r="A247" s="179">
        <f t="shared" si="3"/>
        <v>245</v>
      </c>
      <c r="B247" s="181"/>
      <c r="C247" s="180" t="s">
        <v>208</v>
      </c>
      <c r="D247" s="180" t="s">
        <v>208</v>
      </c>
      <c r="E247" s="180" t="s">
        <v>208</v>
      </c>
      <c r="F247" s="180" t="s">
        <v>208</v>
      </c>
      <c r="G247" s="180" t="s">
        <v>208</v>
      </c>
      <c r="H247" s="181"/>
      <c r="I247" s="181"/>
      <c r="J247" s="181"/>
      <c r="K247" s="182" t="s">
        <v>240</v>
      </c>
    </row>
    <row r="248">
      <c r="A248" s="179">
        <f t="shared" si="3"/>
        <v>246</v>
      </c>
      <c r="B248" s="180"/>
      <c r="C248" s="180" t="s">
        <v>208</v>
      </c>
      <c r="D248" s="180" t="s">
        <v>208</v>
      </c>
      <c r="E248" s="180" t="s">
        <v>208</v>
      </c>
      <c r="F248" s="180" t="s">
        <v>208</v>
      </c>
      <c r="G248" s="180" t="s">
        <v>208</v>
      </c>
      <c r="H248" s="181"/>
      <c r="I248" s="181"/>
      <c r="J248" s="181"/>
      <c r="K248" s="182" t="s">
        <v>240</v>
      </c>
    </row>
    <row r="249">
      <c r="A249" s="179">
        <f t="shared" si="3"/>
        <v>247</v>
      </c>
      <c r="B249" s="180"/>
      <c r="C249" s="180" t="s">
        <v>208</v>
      </c>
      <c r="D249" s="180" t="s">
        <v>208</v>
      </c>
      <c r="E249" s="180" t="s">
        <v>208</v>
      </c>
      <c r="F249" s="180" t="s">
        <v>208</v>
      </c>
      <c r="G249" s="180" t="s">
        <v>208</v>
      </c>
      <c r="H249" s="180"/>
      <c r="I249" s="181"/>
      <c r="J249" s="181"/>
      <c r="K249" s="182" t="s">
        <v>240</v>
      </c>
    </row>
    <row r="250">
      <c r="A250" s="179">
        <f t="shared" si="3"/>
        <v>248</v>
      </c>
      <c r="B250" s="180"/>
      <c r="C250" s="180" t="s">
        <v>208</v>
      </c>
      <c r="D250" s="180" t="s">
        <v>208</v>
      </c>
      <c r="E250" s="180" t="s">
        <v>208</v>
      </c>
      <c r="F250" s="180" t="s">
        <v>208</v>
      </c>
      <c r="G250" s="180" t="s">
        <v>208</v>
      </c>
      <c r="H250" s="181"/>
      <c r="I250" s="181"/>
      <c r="J250" s="181"/>
      <c r="K250" s="182" t="s">
        <v>240</v>
      </c>
    </row>
    <row r="251">
      <c r="A251" s="179">
        <f t="shared" si="3"/>
        <v>249</v>
      </c>
      <c r="B251" s="180"/>
      <c r="C251" s="180" t="s">
        <v>208</v>
      </c>
      <c r="D251" s="180" t="s">
        <v>208</v>
      </c>
      <c r="E251" s="180" t="s">
        <v>208</v>
      </c>
      <c r="F251" s="180" t="s">
        <v>208</v>
      </c>
      <c r="G251" s="180" t="s">
        <v>208</v>
      </c>
      <c r="H251" s="181"/>
      <c r="I251" s="181"/>
      <c r="J251" s="181"/>
      <c r="K251" s="182" t="s">
        <v>240</v>
      </c>
    </row>
    <row r="252">
      <c r="A252" s="179">
        <f t="shared" si="3"/>
        <v>250</v>
      </c>
      <c r="B252" s="180"/>
      <c r="C252" s="180" t="s">
        <v>208</v>
      </c>
      <c r="D252" s="180" t="s">
        <v>208</v>
      </c>
      <c r="E252" s="180" t="s">
        <v>208</v>
      </c>
      <c r="F252" s="180" t="s">
        <v>208</v>
      </c>
      <c r="G252" s="180" t="s">
        <v>208</v>
      </c>
      <c r="H252" s="181"/>
      <c r="I252" s="181"/>
      <c r="J252" s="181"/>
      <c r="K252" s="182" t="s">
        <v>240</v>
      </c>
    </row>
    <row r="253">
      <c r="A253" s="179">
        <f t="shared" si="3"/>
        <v>251</v>
      </c>
      <c r="B253" s="180"/>
      <c r="C253" s="180" t="s">
        <v>208</v>
      </c>
      <c r="D253" s="180" t="s">
        <v>208</v>
      </c>
      <c r="E253" s="180" t="s">
        <v>208</v>
      </c>
      <c r="F253" s="180" t="s">
        <v>208</v>
      </c>
      <c r="G253" s="180" t="s">
        <v>208</v>
      </c>
      <c r="H253" s="181"/>
      <c r="I253" s="181"/>
      <c r="J253" s="181"/>
      <c r="K253" s="182" t="s">
        <v>240</v>
      </c>
    </row>
    <row r="254">
      <c r="A254" s="179">
        <f t="shared" si="3"/>
        <v>252</v>
      </c>
      <c r="B254" s="180"/>
      <c r="C254" s="180" t="s">
        <v>208</v>
      </c>
      <c r="D254" s="180" t="s">
        <v>208</v>
      </c>
      <c r="E254" s="180" t="s">
        <v>208</v>
      </c>
      <c r="F254" s="180" t="s">
        <v>208</v>
      </c>
      <c r="G254" s="180" t="s">
        <v>208</v>
      </c>
      <c r="H254" s="181"/>
      <c r="I254" s="181"/>
      <c r="J254" s="181"/>
      <c r="K254" s="182" t="s">
        <v>240</v>
      </c>
    </row>
    <row r="255">
      <c r="A255" s="179">
        <f t="shared" si="3"/>
        <v>253</v>
      </c>
      <c r="B255" s="180"/>
      <c r="C255" s="180" t="s">
        <v>208</v>
      </c>
      <c r="D255" s="180" t="s">
        <v>208</v>
      </c>
      <c r="E255" s="180" t="s">
        <v>208</v>
      </c>
      <c r="F255" s="180" t="s">
        <v>208</v>
      </c>
      <c r="G255" s="180" t="s">
        <v>208</v>
      </c>
      <c r="H255" s="181"/>
      <c r="I255" s="181"/>
      <c r="J255" s="181"/>
      <c r="K255" s="182" t="s">
        <v>240</v>
      </c>
    </row>
    <row r="256">
      <c r="A256" s="179">
        <f t="shared" si="3"/>
        <v>254</v>
      </c>
      <c r="B256" s="180"/>
      <c r="C256" s="180" t="s">
        <v>208</v>
      </c>
      <c r="D256" s="180" t="s">
        <v>208</v>
      </c>
      <c r="E256" s="180" t="s">
        <v>208</v>
      </c>
      <c r="F256" s="180" t="s">
        <v>208</v>
      </c>
      <c r="G256" s="180" t="s">
        <v>208</v>
      </c>
      <c r="H256" s="180"/>
      <c r="I256" s="181"/>
      <c r="J256" s="181"/>
      <c r="K256" s="182" t="s">
        <v>240</v>
      </c>
    </row>
    <row r="257">
      <c r="A257" s="179">
        <f t="shared" si="3"/>
        <v>255</v>
      </c>
      <c r="B257" s="180"/>
      <c r="C257" s="180" t="s">
        <v>208</v>
      </c>
      <c r="D257" s="180" t="s">
        <v>208</v>
      </c>
      <c r="E257" s="180" t="s">
        <v>208</v>
      </c>
      <c r="F257" s="180" t="s">
        <v>208</v>
      </c>
      <c r="G257" s="180" t="s">
        <v>208</v>
      </c>
      <c r="H257" s="181"/>
      <c r="I257" s="181"/>
      <c r="J257" s="181"/>
      <c r="K257" s="182" t="s">
        <v>240</v>
      </c>
    </row>
    <row r="258">
      <c r="A258" s="179" t="s">
        <v>861</v>
      </c>
      <c r="B258" s="180"/>
      <c r="C258" s="180" t="s">
        <v>208</v>
      </c>
      <c r="D258" s="180" t="s">
        <v>243</v>
      </c>
      <c r="E258" s="180" t="s">
        <v>208</v>
      </c>
      <c r="F258" s="180" t="s">
        <v>243</v>
      </c>
      <c r="G258" s="180" t="s">
        <v>208</v>
      </c>
      <c r="H258" s="181"/>
      <c r="I258" s="181"/>
      <c r="J258" s="180"/>
      <c r="K258" s="182" t="s">
        <v>750</v>
      </c>
    </row>
    <row r="259">
      <c r="A259" s="179">
        <f>A257+1</f>
        <v>256</v>
      </c>
      <c r="B259" s="180"/>
      <c r="C259" s="180" t="s">
        <v>208</v>
      </c>
      <c r="D259" s="180" t="s">
        <v>208</v>
      </c>
      <c r="E259" s="180" t="s">
        <v>208</v>
      </c>
      <c r="F259" s="180" t="s">
        <v>208</v>
      </c>
      <c r="G259" s="180" t="s">
        <v>208</v>
      </c>
      <c r="H259" s="181"/>
      <c r="I259" s="181"/>
      <c r="J259" s="180"/>
      <c r="K259" s="182" t="s">
        <v>240</v>
      </c>
    </row>
    <row r="260">
      <c r="A260" s="179">
        <f t="shared" ref="A260:A1349" si="4">A259+1</f>
        <v>257</v>
      </c>
      <c r="B260" s="180"/>
      <c r="C260" s="180" t="s">
        <v>208</v>
      </c>
      <c r="D260" s="180" t="s">
        <v>208</v>
      </c>
      <c r="E260" s="180" t="s">
        <v>208</v>
      </c>
      <c r="F260" s="180" t="s">
        <v>208</v>
      </c>
      <c r="G260" s="180" t="s">
        <v>208</v>
      </c>
      <c r="H260" s="181"/>
      <c r="I260" s="181"/>
      <c r="J260" s="181"/>
      <c r="K260" s="182" t="s">
        <v>240</v>
      </c>
    </row>
    <row r="261">
      <c r="A261" s="179">
        <f t="shared" si="4"/>
        <v>258</v>
      </c>
      <c r="B261" s="180"/>
      <c r="C261" s="180" t="s">
        <v>208</v>
      </c>
      <c r="D261" s="180" t="s">
        <v>208</v>
      </c>
      <c r="E261" s="180" t="s">
        <v>208</v>
      </c>
      <c r="F261" s="180" t="s">
        <v>208</v>
      </c>
      <c r="G261" s="180" t="s">
        <v>208</v>
      </c>
      <c r="H261" s="181"/>
      <c r="I261" s="181"/>
      <c r="J261" s="181"/>
      <c r="K261" s="182" t="s">
        <v>240</v>
      </c>
    </row>
    <row r="262">
      <c r="A262" s="179">
        <f t="shared" si="4"/>
        <v>259</v>
      </c>
      <c r="B262" s="180"/>
      <c r="C262" s="180" t="s">
        <v>208</v>
      </c>
      <c r="D262" s="180" t="s">
        <v>208</v>
      </c>
      <c r="E262" s="180" t="s">
        <v>208</v>
      </c>
      <c r="F262" s="180" t="s">
        <v>208</v>
      </c>
      <c r="G262" s="180" t="s">
        <v>208</v>
      </c>
      <c r="H262" s="181"/>
      <c r="I262" s="181"/>
      <c r="J262" s="181"/>
      <c r="K262" s="182" t="s">
        <v>240</v>
      </c>
    </row>
    <row r="263">
      <c r="A263" s="179">
        <f t="shared" si="4"/>
        <v>260</v>
      </c>
      <c r="B263" s="180"/>
      <c r="C263" s="180" t="s">
        <v>208</v>
      </c>
      <c r="D263" s="180" t="s">
        <v>208</v>
      </c>
      <c r="E263" s="180" t="s">
        <v>208</v>
      </c>
      <c r="F263" s="180" t="s">
        <v>208</v>
      </c>
      <c r="G263" s="180" t="s">
        <v>208</v>
      </c>
      <c r="H263" s="181"/>
      <c r="I263" s="181"/>
      <c r="J263" s="181"/>
      <c r="K263" s="182" t="s">
        <v>240</v>
      </c>
    </row>
    <row r="264">
      <c r="A264" s="179">
        <f t="shared" si="4"/>
        <v>261</v>
      </c>
      <c r="B264" s="180"/>
      <c r="C264" s="180" t="s">
        <v>208</v>
      </c>
      <c r="D264" s="180" t="s">
        <v>208</v>
      </c>
      <c r="E264" s="180" t="s">
        <v>208</v>
      </c>
      <c r="F264" s="180" t="s">
        <v>208</v>
      </c>
      <c r="G264" s="180" t="s">
        <v>208</v>
      </c>
      <c r="H264" s="181"/>
      <c r="I264" s="181"/>
      <c r="J264" s="181"/>
      <c r="K264" s="182" t="s">
        <v>240</v>
      </c>
    </row>
    <row r="265">
      <c r="A265" s="179">
        <f t="shared" si="4"/>
        <v>262</v>
      </c>
      <c r="B265" s="180"/>
      <c r="C265" s="180" t="s">
        <v>208</v>
      </c>
      <c r="D265" s="180" t="s">
        <v>208</v>
      </c>
      <c r="E265" s="180" t="s">
        <v>208</v>
      </c>
      <c r="F265" s="180" t="s">
        <v>208</v>
      </c>
      <c r="G265" s="180" t="s">
        <v>208</v>
      </c>
      <c r="H265" s="181"/>
      <c r="I265" s="181"/>
      <c r="J265" s="181"/>
      <c r="K265" s="182" t="s">
        <v>240</v>
      </c>
    </row>
    <row r="266">
      <c r="A266" s="179">
        <f t="shared" si="4"/>
        <v>263</v>
      </c>
      <c r="B266" s="180"/>
      <c r="C266" s="180" t="s">
        <v>208</v>
      </c>
      <c r="D266" s="180" t="s">
        <v>208</v>
      </c>
      <c r="E266" s="180" t="s">
        <v>208</v>
      </c>
      <c r="F266" s="180" t="s">
        <v>208</v>
      </c>
      <c r="G266" s="180" t="s">
        <v>208</v>
      </c>
      <c r="H266" s="181"/>
      <c r="I266" s="181"/>
      <c r="J266" s="181"/>
      <c r="K266" s="182" t="s">
        <v>240</v>
      </c>
    </row>
    <row r="267">
      <c r="A267" s="179">
        <f t="shared" si="4"/>
        <v>264</v>
      </c>
      <c r="B267" s="180"/>
      <c r="C267" s="180" t="s">
        <v>208</v>
      </c>
      <c r="D267" s="180" t="s">
        <v>208</v>
      </c>
      <c r="E267" s="180" t="s">
        <v>208</v>
      </c>
      <c r="F267" s="180" t="s">
        <v>208</v>
      </c>
      <c r="G267" s="180" t="s">
        <v>208</v>
      </c>
      <c r="H267" s="181"/>
      <c r="I267" s="181"/>
      <c r="J267" s="181"/>
      <c r="K267" s="182" t="s">
        <v>240</v>
      </c>
    </row>
    <row r="268">
      <c r="A268" s="179">
        <f t="shared" si="4"/>
        <v>265</v>
      </c>
      <c r="B268" s="180"/>
      <c r="C268" s="180" t="s">
        <v>208</v>
      </c>
      <c r="D268" s="180" t="s">
        <v>208</v>
      </c>
      <c r="E268" s="180" t="s">
        <v>208</v>
      </c>
      <c r="F268" s="180" t="s">
        <v>208</v>
      </c>
      <c r="G268" s="180" t="s">
        <v>208</v>
      </c>
      <c r="H268" s="181"/>
      <c r="I268" s="181"/>
      <c r="J268" s="181"/>
      <c r="K268" s="182" t="s">
        <v>240</v>
      </c>
    </row>
    <row r="269">
      <c r="A269" s="179">
        <f t="shared" si="4"/>
        <v>266</v>
      </c>
      <c r="B269" s="180"/>
      <c r="C269" s="180" t="s">
        <v>208</v>
      </c>
      <c r="D269" s="180"/>
      <c r="E269" s="180"/>
      <c r="F269" s="180" t="s">
        <v>208</v>
      </c>
      <c r="G269" s="180" t="s">
        <v>208</v>
      </c>
      <c r="H269" s="181"/>
      <c r="I269" s="181"/>
      <c r="J269" s="181"/>
      <c r="K269" s="182" t="s">
        <v>240</v>
      </c>
    </row>
    <row r="270">
      <c r="A270" s="179">
        <f t="shared" si="4"/>
        <v>267</v>
      </c>
      <c r="B270" s="180"/>
      <c r="C270" s="180" t="s">
        <v>208</v>
      </c>
      <c r="D270" s="180"/>
      <c r="E270" s="180" t="s">
        <v>208</v>
      </c>
      <c r="F270" s="180" t="s">
        <v>208</v>
      </c>
      <c r="G270" s="180" t="s">
        <v>208</v>
      </c>
      <c r="H270" s="181"/>
      <c r="I270" s="181"/>
      <c r="J270" s="181"/>
      <c r="K270" s="182" t="s">
        <v>240</v>
      </c>
    </row>
    <row r="271">
      <c r="A271" s="179">
        <f t="shared" si="4"/>
        <v>268</v>
      </c>
      <c r="B271" s="180"/>
      <c r="C271" s="180" t="s">
        <v>208</v>
      </c>
      <c r="D271" s="180" t="s">
        <v>208</v>
      </c>
      <c r="E271" s="180" t="s">
        <v>208</v>
      </c>
      <c r="F271" s="180" t="s">
        <v>208</v>
      </c>
      <c r="G271" s="180" t="s">
        <v>208</v>
      </c>
      <c r="H271" s="181"/>
      <c r="I271" s="181"/>
      <c r="J271" s="181"/>
      <c r="K271" s="182" t="s">
        <v>240</v>
      </c>
    </row>
    <row r="272">
      <c r="A272" s="179">
        <f t="shared" si="4"/>
        <v>269</v>
      </c>
      <c r="B272" s="180"/>
      <c r="C272" s="180" t="s">
        <v>208</v>
      </c>
      <c r="D272" s="180" t="s">
        <v>208</v>
      </c>
      <c r="E272" s="180" t="s">
        <v>208</v>
      </c>
      <c r="F272" s="180" t="s">
        <v>208</v>
      </c>
      <c r="G272" s="180" t="s">
        <v>208</v>
      </c>
      <c r="H272" s="181"/>
      <c r="I272" s="181"/>
      <c r="J272" s="181"/>
      <c r="K272" s="182" t="s">
        <v>240</v>
      </c>
    </row>
    <row r="273">
      <c r="A273" s="179">
        <f t="shared" si="4"/>
        <v>270</v>
      </c>
      <c r="B273" s="180"/>
      <c r="C273" s="180" t="s">
        <v>208</v>
      </c>
      <c r="D273" s="180" t="s">
        <v>208</v>
      </c>
      <c r="E273" s="180" t="s">
        <v>208</v>
      </c>
      <c r="F273" s="180" t="s">
        <v>208</v>
      </c>
      <c r="G273" s="180" t="s">
        <v>208</v>
      </c>
      <c r="H273" s="181"/>
      <c r="I273" s="181"/>
      <c r="J273" s="181"/>
      <c r="K273" s="182" t="s">
        <v>240</v>
      </c>
    </row>
    <row r="274">
      <c r="A274" s="179">
        <f t="shared" si="4"/>
        <v>271</v>
      </c>
      <c r="B274" s="180"/>
      <c r="C274" s="180" t="s">
        <v>208</v>
      </c>
      <c r="D274" s="180" t="s">
        <v>208</v>
      </c>
      <c r="E274" s="180" t="s">
        <v>208</v>
      </c>
      <c r="F274" s="180" t="s">
        <v>208</v>
      </c>
      <c r="G274" s="180" t="s">
        <v>208</v>
      </c>
      <c r="H274" s="181"/>
      <c r="I274" s="181"/>
      <c r="J274" s="181"/>
      <c r="K274" s="182" t="s">
        <v>240</v>
      </c>
    </row>
    <row r="275">
      <c r="A275" s="179">
        <f t="shared" si="4"/>
        <v>272</v>
      </c>
      <c r="B275" s="180"/>
      <c r="C275" s="180" t="s">
        <v>208</v>
      </c>
      <c r="D275" s="180" t="s">
        <v>208</v>
      </c>
      <c r="E275" s="180" t="s">
        <v>208</v>
      </c>
      <c r="F275" s="180" t="s">
        <v>208</v>
      </c>
      <c r="G275" s="180" t="s">
        <v>208</v>
      </c>
      <c r="H275" s="181"/>
      <c r="I275" s="181"/>
      <c r="J275" s="181"/>
      <c r="K275" s="182" t="s">
        <v>240</v>
      </c>
    </row>
    <row r="276">
      <c r="A276" s="179">
        <f t="shared" si="4"/>
        <v>273</v>
      </c>
      <c r="B276" s="180"/>
      <c r="C276" s="180"/>
      <c r="D276" s="180" t="s">
        <v>208</v>
      </c>
      <c r="E276" s="180"/>
      <c r="F276" s="180" t="s">
        <v>208</v>
      </c>
      <c r="G276" s="180"/>
      <c r="H276" s="180" t="s">
        <v>208</v>
      </c>
      <c r="I276" s="181"/>
      <c r="J276" s="181"/>
      <c r="K276" s="182" t="s">
        <v>240</v>
      </c>
    </row>
    <row r="277">
      <c r="A277" s="179">
        <f t="shared" si="4"/>
        <v>274</v>
      </c>
      <c r="B277" s="180"/>
      <c r="C277" s="180" t="s">
        <v>208</v>
      </c>
      <c r="D277" s="180" t="s">
        <v>208</v>
      </c>
      <c r="E277" s="180" t="s">
        <v>208</v>
      </c>
      <c r="F277" s="180" t="s">
        <v>208</v>
      </c>
      <c r="G277" s="180" t="s">
        <v>208</v>
      </c>
      <c r="H277" s="181"/>
      <c r="I277" s="181"/>
      <c r="J277" s="181"/>
      <c r="K277" s="182" t="s">
        <v>240</v>
      </c>
    </row>
    <row r="278">
      <c r="A278" s="179">
        <f t="shared" si="4"/>
        <v>275</v>
      </c>
      <c r="B278" s="180"/>
      <c r="C278" s="180" t="s">
        <v>208</v>
      </c>
      <c r="D278" s="180" t="s">
        <v>208</v>
      </c>
      <c r="E278" s="180" t="s">
        <v>208</v>
      </c>
      <c r="F278" s="180" t="s">
        <v>208</v>
      </c>
      <c r="G278" s="180" t="s">
        <v>208</v>
      </c>
      <c r="H278" s="180"/>
      <c r="I278" s="181"/>
      <c r="J278" s="181"/>
      <c r="K278" s="182" t="s">
        <v>240</v>
      </c>
    </row>
    <row r="279">
      <c r="A279" s="179">
        <f t="shared" si="4"/>
        <v>276</v>
      </c>
      <c r="B279" s="180"/>
      <c r="C279" s="180" t="s">
        <v>208</v>
      </c>
      <c r="D279" s="180" t="s">
        <v>208</v>
      </c>
      <c r="E279" s="180" t="s">
        <v>208</v>
      </c>
      <c r="F279" s="180" t="s">
        <v>208</v>
      </c>
      <c r="G279" s="180" t="s">
        <v>208</v>
      </c>
      <c r="H279" s="181"/>
      <c r="I279" s="181"/>
      <c r="J279" s="181"/>
      <c r="K279" s="182" t="s">
        <v>240</v>
      </c>
    </row>
    <row r="280">
      <c r="A280" s="179">
        <f t="shared" si="4"/>
        <v>277</v>
      </c>
      <c r="B280" s="180"/>
      <c r="C280" s="180" t="s">
        <v>208</v>
      </c>
      <c r="D280" s="180" t="s">
        <v>208</v>
      </c>
      <c r="E280" s="180" t="s">
        <v>208</v>
      </c>
      <c r="F280" s="180" t="s">
        <v>208</v>
      </c>
      <c r="G280" s="180" t="s">
        <v>208</v>
      </c>
      <c r="H280" s="181"/>
      <c r="I280" s="181"/>
      <c r="J280" s="181"/>
      <c r="K280" s="182" t="s">
        <v>240</v>
      </c>
    </row>
    <row r="281">
      <c r="A281" s="179">
        <f t="shared" si="4"/>
        <v>278</v>
      </c>
      <c r="B281" s="180"/>
      <c r="C281" s="180" t="s">
        <v>208</v>
      </c>
      <c r="D281" s="180" t="s">
        <v>208</v>
      </c>
      <c r="E281" s="180"/>
      <c r="F281" s="180" t="s">
        <v>208</v>
      </c>
      <c r="G281" s="180" t="s">
        <v>208</v>
      </c>
      <c r="H281" s="181"/>
      <c r="I281" s="181"/>
      <c r="J281" s="181"/>
      <c r="K281" s="182" t="s">
        <v>240</v>
      </c>
    </row>
    <row r="282">
      <c r="A282" s="179">
        <f t="shared" si="4"/>
        <v>279</v>
      </c>
      <c r="B282" s="180"/>
      <c r="C282" s="180" t="s">
        <v>208</v>
      </c>
      <c r="D282" s="180" t="s">
        <v>208</v>
      </c>
      <c r="E282" s="180" t="s">
        <v>208</v>
      </c>
      <c r="F282" s="180" t="s">
        <v>208</v>
      </c>
      <c r="G282" s="180" t="s">
        <v>208</v>
      </c>
      <c r="H282" s="181"/>
      <c r="I282" s="181"/>
      <c r="J282" s="181"/>
      <c r="K282" s="182" t="s">
        <v>240</v>
      </c>
    </row>
    <row r="283">
      <c r="A283" s="179">
        <f t="shared" si="4"/>
        <v>280</v>
      </c>
      <c r="B283" s="180"/>
      <c r="C283" s="180" t="s">
        <v>208</v>
      </c>
      <c r="D283" s="180" t="s">
        <v>208</v>
      </c>
      <c r="E283" s="180" t="s">
        <v>208</v>
      </c>
      <c r="F283" s="180" t="s">
        <v>208</v>
      </c>
      <c r="G283" s="180" t="s">
        <v>208</v>
      </c>
      <c r="H283" s="181"/>
      <c r="I283" s="181"/>
      <c r="J283" s="181"/>
      <c r="K283" s="182" t="s">
        <v>240</v>
      </c>
    </row>
    <row r="284">
      <c r="A284" s="179">
        <f t="shared" si="4"/>
        <v>281</v>
      </c>
      <c r="B284" s="180"/>
      <c r="C284" s="180" t="s">
        <v>208</v>
      </c>
      <c r="D284" s="180" t="s">
        <v>208</v>
      </c>
      <c r="E284" s="180" t="s">
        <v>208</v>
      </c>
      <c r="F284" s="180" t="s">
        <v>208</v>
      </c>
      <c r="G284" s="180" t="s">
        <v>208</v>
      </c>
      <c r="H284" s="181"/>
      <c r="I284" s="181"/>
      <c r="J284" s="181"/>
      <c r="K284" s="182" t="s">
        <v>240</v>
      </c>
    </row>
    <row r="285">
      <c r="A285" s="179">
        <f t="shared" si="4"/>
        <v>282</v>
      </c>
      <c r="B285" s="180"/>
      <c r="C285" s="180" t="s">
        <v>208</v>
      </c>
      <c r="D285" s="180" t="s">
        <v>208</v>
      </c>
      <c r="E285" s="180" t="s">
        <v>208</v>
      </c>
      <c r="F285" s="180" t="s">
        <v>208</v>
      </c>
      <c r="G285" s="180" t="s">
        <v>208</v>
      </c>
      <c r="H285" s="181"/>
      <c r="I285" s="181"/>
      <c r="J285" s="181"/>
      <c r="K285" s="182" t="s">
        <v>240</v>
      </c>
    </row>
    <row r="286">
      <c r="A286" s="179">
        <f t="shared" si="4"/>
        <v>283</v>
      </c>
      <c r="B286" s="180"/>
      <c r="C286" s="180" t="s">
        <v>208</v>
      </c>
      <c r="D286" s="180" t="s">
        <v>208</v>
      </c>
      <c r="E286" s="180" t="s">
        <v>208</v>
      </c>
      <c r="F286" s="180" t="s">
        <v>208</v>
      </c>
      <c r="G286" s="180" t="s">
        <v>208</v>
      </c>
      <c r="H286" s="181"/>
      <c r="I286" s="181"/>
      <c r="J286" s="181"/>
      <c r="K286" s="182" t="s">
        <v>240</v>
      </c>
    </row>
    <row r="287">
      <c r="A287" s="179">
        <f t="shared" si="4"/>
        <v>284</v>
      </c>
      <c r="B287" s="180"/>
      <c r="C287" s="180" t="s">
        <v>208</v>
      </c>
      <c r="D287" s="180" t="s">
        <v>208</v>
      </c>
      <c r="E287" s="180" t="s">
        <v>208</v>
      </c>
      <c r="F287" s="180" t="s">
        <v>208</v>
      </c>
      <c r="G287" s="180" t="s">
        <v>208</v>
      </c>
      <c r="H287" s="181"/>
      <c r="I287" s="181"/>
      <c r="J287" s="181"/>
      <c r="K287" s="182" t="s">
        <v>240</v>
      </c>
    </row>
    <row r="288">
      <c r="A288" s="179">
        <f t="shared" si="4"/>
        <v>285</v>
      </c>
      <c r="B288" s="180"/>
      <c r="C288" s="180" t="s">
        <v>208</v>
      </c>
      <c r="D288" s="180" t="s">
        <v>208</v>
      </c>
      <c r="E288" s="180" t="s">
        <v>208</v>
      </c>
      <c r="F288" s="180" t="s">
        <v>208</v>
      </c>
      <c r="G288" s="180" t="s">
        <v>208</v>
      </c>
      <c r="H288" s="181"/>
      <c r="I288" s="181"/>
      <c r="J288" s="181"/>
      <c r="K288" s="182" t="s">
        <v>240</v>
      </c>
    </row>
    <row r="289">
      <c r="A289" s="179">
        <f t="shared" si="4"/>
        <v>286</v>
      </c>
      <c r="B289" s="180"/>
      <c r="C289" s="180"/>
      <c r="D289" s="180" t="s">
        <v>208</v>
      </c>
      <c r="E289" s="180"/>
      <c r="F289" s="180" t="s">
        <v>208</v>
      </c>
      <c r="G289" s="181"/>
      <c r="H289" s="180" t="s">
        <v>208</v>
      </c>
      <c r="I289" s="181"/>
      <c r="J289" s="181"/>
      <c r="K289" s="182" t="s">
        <v>240</v>
      </c>
    </row>
    <row r="290">
      <c r="A290" s="179">
        <f t="shared" si="4"/>
        <v>287</v>
      </c>
      <c r="B290" s="180"/>
      <c r="C290" s="180" t="s">
        <v>208</v>
      </c>
      <c r="D290" s="180" t="s">
        <v>208</v>
      </c>
      <c r="E290" s="180" t="s">
        <v>208</v>
      </c>
      <c r="F290" s="180" t="s">
        <v>208</v>
      </c>
      <c r="G290" s="180" t="s">
        <v>208</v>
      </c>
      <c r="H290" s="181"/>
      <c r="I290" s="181"/>
      <c r="J290" s="181"/>
      <c r="K290" s="182" t="s">
        <v>240</v>
      </c>
    </row>
    <row r="291">
      <c r="A291" s="179">
        <f t="shared" si="4"/>
        <v>288</v>
      </c>
      <c r="B291" s="180"/>
      <c r="C291" s="180" t="s">
        <v>208</v>
      </c>
      <c r="D291" s="180" t="s">
        <v>208</v>
      </c>
      <c r="E291" s="180" t="s">
        <v>208</v>
      </c>
      <c r="F291" s="180" t="s">
        <v>208</v>
      </c>
      <c r="G291" s="180" t="s">
        <v>208</v>
      </c>
      <c r="H291" s="181"/>
      <c r="I291" s="181"/>
      <c r="J291" s="181"/>
      <c r="K291" s="182" t="s">
        <v>240</v>
      </c>
    </row>
    <row r="292">
      <c r="A292" s="179">
        <f t="shared" si="4"/>
        <v>289</v>
      </c>
      <c r="B292" s="180"/>
      <c r="C292" s="180" t="s">
        <v>208</v>
      </c>
      <c r="D292" s="180" t="s">
        <v>208</v>
      </c>
      <c r="E292" s="180"/>
      <c r="F292" s="180" t="s">
        <v>208</v>
      </c>
      <c r="G292" s="180" t="s">
        <v>208</v>
      </c>
      <c r="H292" s="181"/>
      <c r="I292" s="181"/>
      <c r="J292" s="181"/>
      <c r="K292" s="182" t="s">
        <v>240</v>
      </c>
    </row>
    <row r="293">
      <c r="A293" s="179">
        <f t="shared" si="4"/>
        <v>290</v>
      </c>
      <c r="B293" s="180"/>
      <c r="C293" s="180" t="s">
        <v>208</v>
      </c>
      <c r="D293" s="180"/>
      <c r="E293" s="180" t="s">
        <v>208</v>
      </c>
      <c r="F293" s="180" t="s">
        <v>208</v>
      </c>
      <c r="G293" s="180" t="s">
        <v>208</v>
      </c>
      <c r="H293" s="181"/>
      <c r="I293" s="181"/>
      <c r="J293" s="181"/>
      <c r="K293" s="182" t="s">
        <v>240</v>
      </c>
    </row>
    <row r="294">
      <c r="A294" s="179">
        <f t="shared" si="4"/>
        <v>291</v>
      </c>
      <c r="B294" s="180"/>
      <c r="C294" s="180" t="s">
        <v>208</v>
      </c>
      <c r="D294" s="180" t="s">
        <v>208</v>
      </c>
      <c r="E294" s="180" t="s">
        <v>208</v>
      </c>
      <c r="F294" s="180" t="s">
        <v>208</v>
      </c>
      <c r="G294" s="180" t="s">
        <v>208</v>
      </c>
      <c r="H294" s="181"/>
      <c r="I294" s="181"/>
      <c r="J294" s="181"/>
      <c r="K294" s="182" t="s">
        <v>240</v>
      </c>
    </row>
    <row r="295">
      <c r="A295" s="179">
        <f t="shared" si="4"/>
        <v>292</v>
      </c>
      <c r="B295" s="180"/>
      <c r="C295" s="180" t="s">
        <v>208</v>
      </c>
      <c r="D295" s="180" t="s">
        <v>208</v>
      </c>
      <c r="E295" s="180" t="s">
        <v>208</v>
      </c>
      <c r="F295" s="180" t="s">
        <v>208</v>
      </c>
      <c r="G295" s="180" t="s">
        <v>208</v>
      </c>
      <c r="H295" s="181"/>
      <c r="I295" s="181"/>
      <c r="J295" s="181"/>
      <c r="K295" s="182" t="s">
        <v>240</v>
      </c>
    </row>
    <row r="296">
      <c r="A296" s="179">
        <f t="shared" si="4"/>
        <v>293</v>
      </c>
      <c r="B296" s="180"/>
      <c r="C296" s="180" t="s">
        <v>208</v>
      </c>
      <c r="D296" s="180" t="s">
        <v>208</v>
      </c>
      <c r="E296" s="180" t="s">
        <v>208</v>
      </c>
      <c r="F296" s="180" t="s">
        <v>208</v>
      </c>
      <c r="G296" s="180" t="s">
        <v>208</v>
      </c>
      <c r="H296" s="181"/>
      <c r="I296" s="181"/>
      <c r="J296" s="181"/>
      <c r="K296" s="182" t="s">
        <v>240</v>
      </c>
    </row>
    <row r="297">
      <c r="A297" s="179">
        <f t="shared" si="4"/>
        <v>294</v>
      </c>
      <c r="B297" s="180"/>
      <c r="C297" s="180" t="s">
        <v>208</v>
      </c>
      <c r="D297" s="180" t="s">
        <v>208</v>
      </c>
      <c r="E297" s="180" t="s">
        <v>208</v>
      </c>
      <c r="F297" s="180" t="s">
        <v>208</v>
      </c>
      <c r="G297" s="180" t="s">
        <v>208</v>
      </c>
      <c r="H297" s="181"/>
      <c r="I297" s="181"/>
      <c r="J297" s="181"/>
      <c r="K297" s="182" t="s">
        <v>240</v>
      </c>
    </row>
    <row r="298">
      <c r="A298" s="179">
        <f t="shared" si="4"/>
        <v>295</v>
      </c>
      <c r="B298" s="180"/>
      <c r="C298" s="180" t="s">
        <v>208</v>
      </c>
      <c r="D298" s="180" t="s">
        <v>208</v>
      </c>
      <c r="E298" s="180" t="s">
        <v>208</v>
      </c>
      <c r="F298" s="180" t="s">
        <v>208</v>
      </c>
      <c r="G298" s="180" t="s">
        <v>208</v>
      </c>
      <c r="H298" s="181"/>
      <c r="I298" s="181"/>
      <c r="J298" s="181"/>
      <c r="K298" s="182" t="s">
        <v>240</v>
      </c>
    </row>
    <row r="299">
      <c r="A299" s="179">
        <f t="shared" si="4"/>
        <v>296</v>
      </c>
      <c r="B299" s="180"/>
      <c r="C299" s="180" t="s">
        <v>208</v>
      </c>
      <c r="D299" s="180" t="s">
        <v>208</v>
      </c>
      <c r="E299" s="180" t="s">
        <v>208</v>
      </c>
      <c r="F299" s="180" t="s">
        <v>208</v>
      </c>
      <c r="G299" s="180" t="s">
        <v>208</v>
      </c>
      <c r="H299" s="181"/>
      <c r="I299" s="181"/>
      <c r="J299" s="180"/>
      <c r="K299" s="182" t="s">
        <v>240</v>
      </c>
    </row>
    <row r="300">
      <c r="A300" s="179">
        <f t="shared" si="4"/>
        <v>297</v>
      </c>
      <c r="B300" s="180"/>
      <c r="C300" s="180" t="s">
        <v>208</v>
      </c>
      <c r="D300" s="180" t="s">
        <v>208</v>
      </c>
      <c r="E300" s="180" t="s">
        <v>208</v>
      </c>
      <c r="F300" s="180" t="s">
        <v>208</v>
      </c>
      <c r="G300" s="180" t="s">
        <v>208</v>
      </c>
      <c r="H300" s="181"/>
      <c r="I300" s="181"/>
      <c r="J300" s="181"/>
      <c r="K300" s="182" t="s">
        <v>240</v>
      </c>
    </row>
    <row r="301">
      <c r="A301" s="179">
        <f t="shared" si="4"/>
        <v>298</v>
      </c>
      <c r="B301" s="180"/>
      <c r="C301" s="180" t="s">
        <v>208</v>
      </c>
      <c r="D301" s="180" t="s">
        <v>208</v>
      </c>
      <c r="E301" s="180" t="s">
        <v>208</v>
      </c>
      <c r="F301" s="180" t="s">
        <v>208</v>
      </c>
      <c r="G301" s="180" t="s">
        <v>208</v>
      </c>
      <c r="H301" s="181"/>
      <c r="I301" s="181"/>
      <c r="J301" s="181"/>
      <c r="K301" s="182" t="s">
        <v>240</v>
      </c>
    </row>
    <row r="302">
      <c r="A302" s="179">
        <f t="shared" si="4"/>
        <v>299</v>
      </c>
      <c r="B302" s="180"/>
      <c r="C302" s="180" t="s">
        <v>208</v>
      </c>
      <c r="D302" s="180"/>
      <c r="E302" s="180" t="s">
        <v>208</v>
      </c>
      <c r="F302" s="180" t="s">
        <v>208</v>
      </c>
      <c r="G302" s="180" t="s">
        <v>208</v>
      </c>
      <c r="H302" s="181"/>
      <c r="I302" s="181"/>
      <c r="J302" s="181"/>
      <c r="K302" s="182" t="s">
        <v>240</v>
      </c>
    </row>
    <row r="303">
      <c r="A303" s="179">
        <f t="shared" si="4"/>
        <v>300</v>
      </c>
      <c r="B303" s="180"/>
      <c r="C303" s="180" t="s">
        <v>208</v>
      </c>
      <c r="D303" s="180" t="s">
        <v>208</v>
      </c>
      <c r="E303" s="180" t="s">
        <v>208</v>
      </c>
      <c r="F303" s="180" t="s">
        <v>208</v>
      </c>
      <c r="G303" s="180" t="s">
        <v>208</v>
      </c>
      <c r="H303" s="181"/>
      <c r="I303" s="181"/>
      <c r="J303" s="181"/>
      <c r="K303" s="182" t="s">
        <v>240</v>
      </c>
    </row>
    <row r="304">
      <c r="A304" s="179">
        <f t="shared" si="4"/>
        <v>301</v>
      </c>
      <c r="B304" s="180"/>
      <c r="C304" s="180" t="s">
        <v>208</v>
      </c>
      <c r="D304" s="180" t="s">
        <v>208</v>
      </c>
      <c r="E304" s="180" t="s">
        <v>208</v>
      </c>
      <c r="F304" s="180" t="s">
        <v>208</v>
      </c>
      <c r="G304" s="180" t="s">
        <v>208</v>
      </c>
      <c r="H304" s="181"/>
      <c r="I304" s="181"/>
      <c r="J304" s="181"/>
      <c r="K304" s="182" t="s">
        <v>240</v>
      </c>
    </row>
    <row r="305">
      <c r="A305" s="179">
        <f t="shared" si="4"/>
        <v>302</v>
      </c>
      <c r="B305" s="180"/>
      <c r="C305" s="180" t="s">
        <v>208</v>
      </c>
      <c r="D305" s="180" t="s">
        <v>208</v>
      </c>
      <c r="E305" s="180"/>
      <c r="F305" s="180" t="s">
        <v>208</v>
      </c>
      <c r="G305" s="180" t="s">
        <v>208</v>
      </c>
      <c r="H305" s="181"/>
      <c r="I305" s="181"/>
      <c r="J305" s="181"/>
      <c r="K305" s="182" t="s">
        <v>240</v>
      </c>
    </row>
    <row r="306">
      <c r="A306" s="179">
        <f t="shared" si="4"/>
        <v>303</v>
      </c>
      <c r="B306" s="180"/>
      <c r="C306" s="180" t="s">
        <v>208</v>
      </c>
      <c r="D306" s="180" t="s">
        <v>208</v>
      </c>
      <c r="E306" s="180" t="s">
        <v>208</v>
      </c>
      <c r="F306" s="180" t="s">
        <v>208</v>
      </c>
      <c r="G306" s="180" t="s">
        <v>208</v>
      </c>
      <c r="H306" s="181"/>
      <c r="I306" s="181"/>
      <c r="J306" s="181"/>
      <c r="K306" s="182" t="s">
        <v>240</v>
      </c>
    </row>
    <row r="307">
      <c r="A307" s="179">
        <f t="shared" si="4"/>
        <v>304</v>
      </c>
      <c r="B307" s="180"/>
      <c r="C307" s="180" t="s">
        <v>208</v>
      </c>
      <c r="D307" s="180" t="s">
        <v>208</v>
      </c>
      <c r="E307" s="180"/>
      <c r="F307" s="180" t="s">
        <v>208</v>
      </c>
      <c r="G307" s="180" t="s">
        <v>208</v>
      </c>
      <c r="H307" s="181"/>
      <c r="I307" s="181"/>
      <c r="J307" s="181"/>
      <c r="K307" s="182" t="s">
        <v>240</v>
      </c>
    </row>
    <row r="308">
      <c r="A308" s="179">
        <f t="shared" si="4"/>
        <v>305</v>
      </c>
      <c r="B308" s="180"/>
      <c r="C308" s="180" t="s">
        <v>208</v>
      </c>
      <c r="D308" s="180" t="s">
        <v>208</v>
      </c>
      <c r="E308" s="180" t="s">
        <v>208</v>
      </c>
      <c r="F308" s="180" t="s">
        <v>208</v>
      </c>
      <c r="G308" s="180" t="s">
        <v>208</v>
      </c>
      <c r="H308" s="181"/>
      <c r="I308" s="181"/>
      <c r="J308" s="181"/>
      <c r="K308" s="182" t="s">
        <v>240</v>
      </c>
    </row>
    <row r="309">
      <c r="A309" s="179">
        <f t="shared" si="4"/>
        <v>306</v>
      </c>
      <c r="B309" s="180"/>
      <c r="C309" s="180" t="s">
        <v>208</v>
      </c>
      <c r="D309" s="180" t="s">
        <v>208</v>
      </c>
      <c r="E309" s="180" t="s">
        <v>208</v>
      </c>
      <c r="F309" s="180" t="s">
        <v>208</v>
      </c>
      <c r="G309" s="180" t="s">
        <v>208</v>
      </c>
      <c r="H309" s="181"/>
      <c r="I309" s="181"/>
      <c r="J309" s="181"/>
      <c r="K309" s="182" t="s">
        <v>240</v>
      </c>
    </row>
    <row r="310">
      <c r="A310" s="179">
        <f t="shared" si="4"/>
        <v>307</v>
      </c>
      <c r="B310" s="180"/>
      <c r="C310" s="180" t="s">
        <v>208</v>
      </c>
      <c r="D310" s="180" t="s">
        <v>208</v>
      </c>
      <c r="E310" s="180" t="s">
        <v>208</v>
      </c>
      <c r="F310" s="180" t="s">
        <v>208</v>
      </c>
      <c r="G310" s="180" t="s">
        <v>208</v>
      </c>
      <c r="H310" s="181"/>
      <c r="I310" s="181"/>
      <c r="J310" s="181"/>
      <c r="K310" s="182" t="s">
        <v>240</v>
      </c>
    </row>
    <row r="311">
      <c r="A311" s="179">
        <f t="shared" si="4"/>
        <v>308</v>
      </c>
      <c r="B311" s="180"/>
      <c r="C311" s="180" t="s">
        <v>208</v>
      </c>
      <c r="D311" s="180" t="s">
        <v>208</v>
      </c>
      <c r="E311" s="180" t="s">
        <v>208</v>
      </c>
      <c r="F311" s="180" t="s">
        <v>208</v>
      </c>
      <c r="G311" s="180" t="s">
        <v>208</v>
      </c>
      <c r="H311" s="181"/>
      <c r="I311" s="181"/>
      <c r="J311" s="181"/>
      <c r="K311" s="182" t="s">
        <v>240</v>
      </c>
    </row>
    <row r="312">
      <c r="A312" s="179">
        <f t="shared" si="4"/>
        <v>309</v>
      </c>
      <c r="B312" s="180"/>
      <c r="C312" s="180" t="s">
        <v>208</v>
      </c>
      <c r="D312" s="180" t="s">
        <v>208</v>
      </c>
      <c r="E312" s="180" t="s">
        <v>208</v>
      </c>
      <c r="F312" s="180" t="s">
        <v>208</v>
      </c>
      <c r="G312" s="180" t="s">
        <v>208</v>
      </c>
      <c r="H312" s="181"/>
      <c r="I312" s="181"/>
      <c r="J312" s="181"/>
      <c r="K312" s="182" t="s">
        <v>240</v>
      </c>
    </row>
    <row r="313">
      <c r="A313" s="179">
        <f t="shared" si="4"/>
        <v>310</v>
      </c>
      <c r="B313" s="180"/>
      <c r="C313" s="180" t="s">
        <v>208</v>
      </c>
      <c r="D313" s="180"/>
      <c r="E313" s="180" t="s">
        <v>208</v>
      </c>
      <c r="F313" s="180" t="s">
        <v>208</v>
      </c>
      <c r="G313" s="180" t="s">
        <v>208</v>
      </c>
      <c r="H313" s="181"/>
      <c r="I313" s="181"/>
      <c r="J313" s="181"/>
      <c r="K313" s="182" t="s">
        <v>240</v>
      </c>
    </row>
    <row r="314">
      <c r="A314" s="179">
        <f t="shared" si="4"/>
        <v>311</v>
      </c>
      <c r="B314" s="180"/>
      <c r="C314" s="180" t="s">
        <v>208</v>
      </c>
      <c r="D314" s="180"/>
      <c r="E314" s="180" t="s">
        <v>208</v>
      </c>
      <c r="F314" s="180" t="s">
        <v>208</v>
      </c>
      <c r="G314" s="180" t="s">
        <v>208</v>
      </c>
      <c r="H314" s="180"/>
      <c r="I314" s="181"/>
      <c r="J314" s="180"/>
      <c r="K314" s="182" t="s">
        <v>240</v>
      </c>
    </row>
    <row r="315">
      <c r="A315" s="179">
        <f t="shared" si="4"/>
        <v>312</v>
      </c>
      <c r="B315" s="180"/>
      <c r="C315" s="180" t="s">
        <v>208</v>
      </c>
      <c r="D315" s="180" t="s">
        <v>208</v>
      </c>
      <c r="E315" s="180" t="s">
        <v>208</v>
      </c>
      <c r="F315" s="180" t="s">
        <v>208</v>
      </c>
      <c r="G315" s="180" t="s">
        <v>208</v>
      </c>
      <c r="H315" s="181"/>
      <c r="I315" s="181"/>
      <c r="J315" s="181"/>
      <c r="K315" s="182" t="s">
        <v>240</v>
      </c>
    </row>
    <row r="316">
      <c r="A316" s="179">
        <f t="shared" si="4"/>
        <v>313</v>
      </c>
      <c r="B316" s="180"/>
      <c r="C316" s="180" t="s">
        <v>208</v>
      </c>
      <c r="D316" s="180" t="s">
        <v>208</v>
      </c>
      <c r="E316" s="180" t="s">
        <v>208</v>
      </c>
      <c r="F316" s="180" t="s">
        <v>208</v>
      </c>
      <c r="G316" s="180" t="s">
        <v>208</v>
      </c>
      <c r="H316" s="181"/>
      <c r="I316" s="181"/>
      <c r="J316" s="181"/>
      <c r="K316" s="182" t="s">
        <v>240</v>
      </c>
    </row>
    <row r="317">
      <c r="A317" s="179">
        <f t="shared" si="4"/>
        <v>314</v>
      </c>
      <c r="B317" s="180"/>
      <c r="C317" s="180" t="s">
        <v>208</v>
      </c>
      <c r="D317" s="180" t="s">
        <v>208</v>
      </c>
      <c r="E317" s="180" t="s">
        <v>208</v>
      </c>
      <c r="F317" s="180" t="s">
        <v>208</v>
      </c>
      <c r="G317" s="180" t="s">
        <v>208</v>
      </c>
      <c r="H317" s="181"/>
      <c r="I317" s="181"/>
      <c r="J317" s="181"/>
      <c r="K317" s="182" t="s">
        <v>240</v>
      </c>
    </row>
    <row r="318">
      <c r="A318" s="179">
        <f t="shared" si="4"/>
        <v>315</v>
      </c>
      <c r="B318" s="180"/>
      <c r="C318" s="180" t="s">
        <v>208</v>
      </c>
      <c r="D318" s="180" t="s">
        <v>208</v>
      </c>
      <c r="E318" s="180" t="s">
        <v>208</v>
      </c>
      <c r="F318" s="180" t="s">
        <v>208</v>
      </c>
      <c r="G318" s="180" t="s">
        <v>208</v>
      </c>
      <c r="H318" s="180"/>
      <c r="I318" s="181"/>
      <c r="J318" s="181"/>
      <c r="K318" s="182" t="s">
        <v>240</v>
      </c>
    </row>
    <row r="319">
      <c r="A319" s="179">
        <f t="shared" si="4"/>
        <v>316</v>
      </c>
      <c r="B319" s="180"/>
      <c r="C319" s="180" t="s">
        <v>208</v>
      </c>
      <c r="D319" s="180" t="s">
        <v>208</v>
      </c>
      <c r="E319" s="180" t="s">
        <v>208</v>
      </c>
      <c r="F319" s="180" t="s">
        <v>208</v>
      </c>
      <c r="G319" s="180" t="s">
        <v>208</v>
      </c>
      <c r="H319" s="181"/>
      <c r="I319" s="181"/>
      <c r="J319" s="181"/>
      <c r="K319" s="182" t="s">
        <v>240</v>
      </c>
    </row>
    <row r="320">
      <c r="A320" s="179">
        <f t="shared" si="4"/>
        <v>317</v>
      </c>
      <c r="B320" s="180"/>
      <c r="C320" s="180" t="s">
        <v>208</v>
      </c>
      <c r="D320" s="180" t="s">
        <v>208</v>
      </c>
      <c r="E320" s="180" t="s">
        <v>208</v>
      </c>
      <c r="F320" s="180" t="s">
        <v>208</v>
      </c>
      <c r="G320" s="180" t="s">
        <v>208</v>
      </c>
      <c r="H320" s="181"/>
      <c r="I320" s="181"/>
      <c r="J320" s="181"/>
      <c r="K320" s="182" t="s">
        <v>240</v>
      </c>
    </row>
    <row r="321">
      <c r="A321" s="179">
        <f t="shared" si="4"/>
        <v>318</v>
      </c>
      <c r="B321" s="180"/>
      <c r="C321" s="180" t="s">
        <v>208</v>
      </c>
      <c r="D321" s="180" t="s">
        <v>208</v>
      </c>
      <c r="E321" s="180" t="s">
        <v>208</v>
      </c>
      <c r="F321" s="180" t="s">
        <v>208</v>
      </c>
      <c r="G321" s="180" t="s">
        <v>208</v>
      </c>
      <c r="H321" s="181"/>
      <c r="I321" s="181"/>
      <c r="J321" s="181"/>
      <c r="K321" s="182" t="s">
        <v>240</v>
      </c>
    </row>
    <row r="322">
      <c r="A322" s="179">
        <f t="shared" si="4"/>
        <v>319</v>
      </c>
      <c r="B322" s="180"/>
      <c r="C322" s="180" t="s">
        <v>208</v>
      </c>
      <c r="D322" s="180" t="s">
        <v>208</v>
      </c>
      <c r="E322" s="180" t="s">
        <v>208</v>
      </c>
      <c r="F322" s="180" t="s">
        <v>208</v>
      </c>
      <c r="G322" s="180" t="s">
        <v>208</v>
      </c>
      <c r="H322" s="181"/>
      <c r="I322" s="181"/>
      <c r="J322" s="181"/>
      <c r="K322" s="182" t="s">
        <v>240</v>
      </c>
    </row>
    <row r="323">
      <c r="A323" s="179">
        <f t="shared" si="4"/>
        <v>320</v>
      </c>
      <c r="B323" s="181"/>
      <c r="C323" s="180"/>
      <c r="D323" s="180" t="s">
        <v>208</v>
      </c>
      <c r="E323" s="180"/>
      <c r="F323" s="180" t="s">
        <v>208</v>
      </c>
      <c r="G323" s="180"/>
      <c r="H323" s="180" t="s">
        <v>208</v>
      </c>
      <c r="I323" s="181"/>
      <c r="J323" s="181"/>
      <c r="K323" s="182" t="s">
        <v>240</v>
      </c>
    </row>
    <row r="324">
      <c r="A324" s="179">
        <f t="shared" si="4"/>
        <v>321</v>
      </c>
      <c r="B324" s="180"/>
      <c r="C324" s="180" t="s">
        <v>208</v>
      </c>
      <c r="D324" s="180" t="s">
        <v>208</v>
      </c>
      <c r="E324" s="180" t="s">
        <v>208</v>
      </c>
      <c r="F324" s="180" t="s">
        <v>208</v>
      </c>
      <c r="G324" s="180" t="s">
        <v>208</v>
      </c>
      <c r="H324" s="181"/>
      <c r="I324" s="181"/>
      <c r="J324" s="181"/>
      <c r="K324" s="182" t="s">
        <v>240</v>
      </c>
    </row>
    <row r="325">
      <c r="A325" s="179">
        <f t="shared" si="4"/>
        <v>322</v>
      </c>
      <c r="B325" s="180"/>
      <c r="C325" s="180" t="s">
        <v>208</v>
      </c>
      <c r="D325" s="180" t="s">
        <v>208</v>
      </c>
      <c r="E325" s="180" t="s">
        <v>208</v>
      </c>
      <c r="F325" s="180" t="s">
        <v>208</v>
      </c>
      <c r="G325" s="180" t="s">
        <v>208</v>
      </c>
      <c r="H325" s="181"/>
      <c r="I325" s="181"/>
      <c r="J325" s="181"/>
      <c r="K325" s="182" t="s">
        <v>240</v>
      </c>
    </row>
    <row r="326">
      <c r="A326" s="179">
        <f t="shared" si="4"/>
        <v>323</v>
      </c>
      <c r="B326" s="180"/>
      <c r="C326" s="180" t="s">
        <v>208</v>
      </c>
      <c r="D326" s="180" t="s">
        <v>208</v>
      </c>
      <c r="E326" s="180" t="s">
        <v>208</v>
      </c>
      <c r="F326" s="180" t="s">
        <v>208</v>
      </c>
      <c r="G326" s="180" t="s">
        <v>208</v>
      </c>
      <c r="H326" s="181"/>
      <c r="I326" s="181"/>
      <c r="J326" s="181"/>
      <c r="K326" s="182" t="s">
        <v>240</v>
      </c>
    </row>
    <row r="327">
      <c r="A327" s="179">
        <f t="shared" si="4"/>
        <v>324</v>
      </c>
      <c r="B327" s="180"/>
      <c r="C327" s="180" t="s">
        <v>208</v>
      </c>
      <c r="D327" s="180" t="s">
        <v>208</v>
      </c>
      <c r="E327" s="180" t="s">
        <v>208</v>
      </c>
      <c r="F327" s="180" t="s">
        <v>208</v>
      </c>
      <c r="G327" s="180" t="s">
        <v>208</v>
      </c>
      <c r="H327" s="181"/>
      <c r="I327" s="181"/>
      <c r="J327" s="181"/>
      <c r="K327" s="182" t="s">
        <v>240</v>
      </c>
    </row>
    <row r="328">
      <c r="A328" s="179">
        <f t="shared" si="4"/>
        <v>325</v>
      </c>
      <c r="B328" s="180"/>
      <c r="C328" s="180" t="s">
        <v>208</v>
      </c>
      <c r="D328" s="180" t="s">
        <v>208</v>
      </c>
      <c r="E328" s="180" t="s">
        <v>208</v>
      </c>
      <c r="F328" s="180" t="s">
        <v>208</v>
      </c>
      <c r="G328" s="180" t="s">
        <v>208</v>
      </c>
      <c r="H328" s="181"/>
      <c r="I328" s="181"/>
      <c r="J328" s="181"/>
      <c r="K328" s="182" t="s">
        <v>240</v>
      </c>
    </row>
    <row r="329">
      <c r="A329" s="179">
        <f t="shared" si="4"/>
        <v>326</v>
      </c>
      <c r="B329" s="180"/>
      <c r="C329" s="180" t="s">
        <v>208</v>
      </c>
      <c r="D329" s="180" t="s">
        <v>208</v>
      </c>
      <c r="E329" s="180" t="s">
        <v>208</v>
      </c>
      <c r="F329" s="180" t="s">
        <v>208</v>
      </c>
      <c r="G329" s="180" t="s">
        <v>208</v>
      </c>
      <c r="H329" s="181"/>
      <c r="I329" s="181"/>
      <c r="J329" s="181"/>
      <c r="K329" s="182" t="s">
        <v>240</v>
      </c>
    </row>
    <row r="330">
      <c r="A330" s="179">
        <f t="shared" si="4"/>
        <v>327</v>
      </c>
      <c r="B330" s="180"/>
      <c r="C330" s="180" t="s">
        <v>208</v>
      </c>
      <c r="D330" s="180" t="s">
        <v>208</v>
      </c>
      <c r="E330" s="180" t="s">
        <v>208</v>
      </c>
      <c r="F330" s="180" t="s">
        <v>208</v>
      </c>
      <c r="G330" s="180" t="s">
        <v>208</v>
      </c>
      <c r="H330" s="181"/>
      <c r="I330" s="181"/>
      <c r="J330" s="181"/>
      <c r="K330" s="182" t="s">
        <v>240</v>
      </c>
    </row>
    <row r="331">
      <c r="A331" s="179">
        <f t="shared" si="4"/>
        <v>328</v>
      </c>
      <c r="B331" s="180"/>
      <c r="C331" s="180"/>
      <c r="D331" s="180"/>
      <c r="E331" s="180"/>
      <c r="F331" s="180"/>
      <c r="G331" s="180"/>
      <c r="H331" s="181"/>
      <c r="I331" s="181"/>
      <c r="J331" s="180" t="s">
        <v>242</v>
      </c>
      <c r="K331" s="182" t="s">
        <v>240</v>
      </c>
    </row>
    <row r="332">
      <c r="A332" s="179">
        <f t="shared" si="4"/>
        <v>329</v>
      </c>
      <c r="B332" s="180"/>
      <c r="C332" s="180" t="s">
        <v>208</v>
      </c>
      <c r="D332" s="180" t="s">
        <v>208</v>
      </c>
      <c r="E332" s="180" t="s">
        <v>208</v>
      </c>
      <c r="F332" s="180" t="s">
        <v>208</v>
      </c>
      <c r="G332" s="180" t="s">
        <v>208</v>
      </c>
      <c r="H332" s="181"/>
      <c r="I332" s="181"/>
      <c r="J332" s="181"/>
      <c r="K332" s="182" t="s">
        <v>240</v>
      </c>
    </row>
    <row r="333">
      <c r="A333" s="179">
        <f t="shared" si="4"/>
        <v>330</v>
      </c>
      <c r="B333" s="180"/>
      <c r="C333" s="180" t="s">
        <v>208</v>
      </c>
      <c r="D333" s="180" t="s">
        <v>208</v>
      </c>
      <c r="E333" s="180" t="s">
        <v>208</v>
      </c>
      <c r="F333" s="180" t="s">
        <v>208</v>
      </c>
      <c r="G333" s="180" t="s">
        <v>208</v>
      </c>
      <c r="H333" s="180"/>
      <c r="I333" s="181"/>
      <c r="J333" s="181"/>
      <c r="K333" s="182" t="s">
        <v>240</v>
      </c>
    </row>
    <row r="334">
      <c r="A334" s="179">
        <f t="shared" si="4"/>
        <v>331</v>
      </c>
      <c r="B334" s="180"/>
      <c r="C334" s="180" t="s">
        <v>208</v>
      </c>
      <c r="D334" s="180"/>
      <c r="E334" s="180" t="s">
        <v>208</v>
      </c>
      <c r="F334" s="180" t="s">
        <v>208</v>
      </c>
      <c r="G334" s="180" t="s">
        <v>208</v>
      </c>
      <c r="H334" s="181"/>
      <c r="I334" s="181"/>
      <c r="J334" s="181"/>
      <c r="K334" s="182" t="s">
        <v>240</v>
      </c>
    </row>
    <row r="335">
      <c r="A335" s="179">
        <f t="shared" si="4"/>
        <v>332</v>
      </c>
      <c r="B335" s="180"/>
      <c r="C335" s="180" t="s">
        <v>208</v>
      </c>
      <c r="D335" s="180" t="s">
        <v>208</v>
      </c>
      <c r="E335" s="180" t="s">
        <v>208</v>
      </c>
      <c r="F335" s="180" t="s">
        <v>208</v>
      </c>
      <c r="G335" s="180" t="s">
        <v>208</v>
      </c>
      <c r="H335" s="181"/>
      <c r="I335" s="181"/>
      <c r="J335" s="181"/>
      <c r="K335" s="182" t="s">
        <v>240</v>
      </c>
    </row>
    <row r="336">
      <c r="A336" s="179">
        <f t="shared" si="4"/>
        <v>333</v>
      </c>
      <c r="B336" s="181"/>
      <c r="C336" s="180" t="s">
        <v>208</v>
      </c>
      <c r="D336" s="180"/>
      <c r="E336" s="180" t="s">
        <v>208</v>
      </c>
      <c r="F336" s="180" t="s">
        <v>208</v>
      </c>
      <c r="G336" s="180" t="s">
        <v>208</v>
      </c>
      <c r="H336" s="181"/>
      <c r="I336" s="181"/>
      <c r="J336" s="181"/>
      <c r="K336" s="182" t="s">
        <v>240</v>
      </c>
    </row>
    <row r="337">
      <c r="A337" s="179">
        <f t="shared" si="4"/>
        <v>334</v>
      </c>
      <c r="B337" s="180"/>
      <c r="C337" s="180" t="s">
        <v>208</v>
      </c>
      <c r="D337" s="180" t="s">
        <v>208</v>
      </c>
      <c r="E337" s="180" t="s">
        <v>208</v>
      </c>
      <c r="F337" s="180" t="s">
        <v>208</v>
      </c>
      <c r="G337" s="180" t="s">
        <v>208</v>
      </c>
      <c r="H337" s="181"/>
      <c r="I337" s="181"/>
      <c r="J337" s="181"/>
      <c r="K337" s="182" t="s">
        <v>240</v>
      </c>
    </row>
    <row r="338">
      <c r="A338" s="179">
        <f t="shared" si="4"/>
        <v>335</v>
      </c>
      <c r="B338" s="181"/>
      <c r="C338" s="180" t="s">
        <v>208</v>
      </c>
      <c r="D338" s="180" t="s">
        <v>208</v>
      </c>
      <c r="E338" s="180" t="s">
        <v>208</v>
      </c>
      <c r="F338" s="180" t="s">
        <v>208</v>
      </c>
      <c r="G338" s="180" t="s">
        <v>208</v>
      </c>
      <c r="H338" s="180"/>
      <c r="I338" s="181"/>
      <c r="J338" s="181"/>
      <c r="K338" s="182" t="s">
        <v>240</v>
      </c>
    </row>
    <row r="339">
      <c r="A339" s="179">
        <f t="shared" si="4"/>
        <v>336</v>
      </c>
      <c r="B339" s="180"/>
      <c r="C339" s="180" t="s">
        <v>208</v>
      </c>
      <c r="D339" s="180" t="s">
        <v>208</v>
      </c>
      <c r="E339" s="180" t="s">
        <v>208</v>
      </c>
      <c r="F339" s="180" t="s">
        <v>208</v>
      </c>
      <c r="G339" s="180" t="s">
        <v>208</v>
      </c>
      <c r="H339" s="190"/>
      <c r="I339" s="181"/>
      <c r="J339" s="180"/>
      <c r="K339" s="182" t="s">
        <v>240</v>
      </c>
    </row>
    <row r="340">
      <c r="A340" s="179">
        <f t="shared" si="4"/>
        <v>337</v>
      </c>
      <c r="B340" s="180"/>
      <c r="C340" s="180" t="s">
        <v>208</v>
      </c>
      <c r="D340" s="180" t="s">
        <v>208</v>
      </c>
      <c r="E340" s="180" t="s">
        <v>208</v>
      </c>
      <c r="F340" s="180" t="s">
        <v>208</v>
      </c>
      <c r="G340" s="180" t="s">
        <v>208</v>
      </c>
      <c r="H340" s="181"/>
      <c r="I340" s="181"/>
      <c r="J340" s="181"/>
      <c r="K340" s="182" t="s">
        <v>240</v>
      </c>
    </row>
    <row r="341">
      <c r="A341" s="179">
        <f t="shared" si="4"/>
        <v>338</v>
      </c>
      <c r="B341" s="180"/>
      <c r="C341" s="180" t="s">
        <v>208</v>
      </c>
      <c r="D341" s="180" t="s">
        <v>208</v>
      </c>
      <c r="E341" s="180" t="s">
        <v>208</v>
      </c>
      <c r="F341" s="180" t="s">
        <v>208</v>
      </c>
      <c r="G341" s="180" t="s">
        <v>208</v>
      </c>
      <c r="H341" s="181"/>
      <c r="I341" s="181"/>
      <c r="J341" s="181"/>
      <c r="K341" s="182" t="s">
        <v>240</v>
      </c>
    </row>
    <row r="342">
      <c r="A342" s="179">
        <f t="shared" si="4"/>
        <v>339</v>
      </c>
      <c r="B342" s="180"/>
      <c r="C342" s="180" t="s">
        <v>208</v>
      </c>
      <c r="D342" s="180" t="s">
        <v>208</v>
      </c>
      <c r="E342" s="180"/>
      <c r="F342" s="180" t="s">
        <v>208</v>
      </c>
      <c r="G342" s="180" t="s">
        <v>208</v>
      </c>
      <c r="H342" s="181"/>
      <c r="I342" s="181"/>
      <c r="J342" s="181"/>
      <c r="K342" s="182" t="s">
        <v>240</v>
      </c>
    </row>
    <row r="343">
      <c r="A343" s="179">
        <f t="shared" si="4"/>
        <v>340</v>
      </c>
      <c r="B343" s="180"/>
      <c r="C343" s="180" t="s">
        <v>208</v>
      </c>
      <c r="D343" s="180" t="s">
        <v>208</v>
      </c>
      <c r="E343" s="180"/>
      <c r="F343" s="180" t="s">
        <v>208</v>
      </c>
      <c r="G343" s="180" t="s">
        <v>208</v>
      </c>
      <c r="H343" s="181"/>
      <c r="I343" s="181"/>
      <c r="J343" s="181"/>
      <c r="K343" s="182" t="s">
        <v>240</v>
      </c>
    </row>
    <row r="344">
      <c r="A344" s="179">
        <f t="shared" si="4"/>
        <v>341</v>
      </c>
      <c r="B344" s="180"/>
      <c r="C344" s="180" t="s">
        <v>208</v>
      </c>
      <c r="D344" s="180" t="s">
        <v>208</v>
      </c>
      <c r="E344" s="180" t="s">
        <v>208</v>
      </c>
      <c r="F344" s="180" t="s">
        <v>208</v>
      </c>
      <c r="G344" s="180" t="s">
        <v>208</v>
      </c>
      <c r="H344" s="181"/>
      <c r="I344" s="181"/>
      <c r="J344" s="181"/>
      <c r="K344" s="182" t="s">
        <v>240</v>
      </c>
    </row>
    <row r="345">
      <c r="A345" s="179">
        <f t="shared" si="4"/>
        <v>342</v>
      </c>
      <c r="B345" s="180"/>
      <c r="C345" s="180" t="s">
        <v>208</v>
      </c>
      <c r="D345" s="180" t="s">
        <v>208</v>
      </c>
      <c r="E345" s="180" t="s">
        <v>208</v>
      </c>
      <c r="F345" s="180" t="s">
        <v>208</v>
      </c>
      <c r="G345" s="180" t="s">
        <v>208</v>
      </c>
      <c r="H345" s="181"/>
      <c r="I345" s="181"/>
      <c r="J345" s="181"/>
      <c r="K345" s="182" t="s">
        <v>240</v>
      </c>
    </row>
    <row r="346">
      <c r="A346" s="179">
        <f t="shared" si="4"/>
        <v>343</v>
      </c>
      <c r="B346" s="180"/>
      <c r="C346" s="180" t="s">
        <v>208</v>
      </c>
      <c r="D346" s="180" t="s">
        <v>208</v>
      </c>
      <c r="E346" s="180" t="s">
        <v>208</v>
      </c>
      <c r="F346" s="180" t="s">
        <v>208</v>
      </c>
      <c r="G346" s="180" t="s">
        <v>208</v>
      </c>
      <c r="H346" s="181"/>
      <c r="I346" s="181"/>
      <c r="J346" s="181"/>
      <c r="K346" s="182" t="s">
        <v>240</v>
      </c>
    </row>
    <row r="347">
      <c r="A347" s="179">
        <f t="shared" si="4"/>
        <v>344</v>
      </c>
      <c r="B347" s="180"/>
      <c r="C347" s="180"/>
      <c r="D347" s="180" t="s">
        <v>208</v>
      </c>
      <c r="E347" s="180"/>
      <c r="F347" s="180" t="s">
        <v>208</v>
      </c>
      <c r="G347" s="181"/>
      <c r="H347" s="180" t="s">
        <v>208</v>
      </c>
      <c r="I347" s="181"/>
      <c r="J347" s="181"/>
      <c r="K347" s="182" t="s">
        <v>240</v>
      </c>
    </row>
    <row r="348">
      <c r="A348" s="179">
        <f t="shared" si="4"/>
        <v>345</v>
      </c>
      <c r="B348" s="180"/>
      <c r="C348" s="180" t="s">
        <v>208</v>
      </c>
      <c r="D348" s="180" t="s">
        <v>208</v>
      </c>
      <c r="E348" s="180" t="s">
        <v>208</v>
      </c>
      <c r="F348" s="180" t="s">
        <v>208</v>
      </c>
      <c r="G348" s="180" t="s">
        <v>208</v>
      </c>
      <c r="H348" s="181"/>
      <c r="I348" s="181"/>
      <c r="J348" s="181"/>
      <c r="K348" s="182" t="s">
        <v>240</v>
      </c>
    </row>
    <row r="349">
      <c r="A349" s="179">
        <f t="shared" si="4"/>
        <v>346</v>
      </c>
      <c r="B349" s="180"/>
      <c r="C349" s="180" t="s">
        <v>208</v>
      </c>
      <c r="D349" s="180" t="s">
        <v>208</v>
      </c>
      <c r="E349" s="180" t="s">
        <v>208</v>
      </c>
      <c r="F349" s="180" t="s">
        <v>208</v>
      </c>
      <c r="G349" s="180" t="s">
        <v>208</v>
      </c>
      <c r="H349" s="181"/>
      <c r="I349" s="181"/>
      <c r="J349" s="181"/>
      <c r="K349" s="182" t="s">
        <v>240</v>
      </c>
    </row>
    <row r="350">
      <c r="A350" s="179">
        <f t="shared" si="4"/>
        <v>347</v>
      </c>
      <c r="B350" s="180"/>
      <c r="C350" s="180" t="s">
        <v>208</v>
      </c>
      <c r="D350" s="180" t="s">
        <v>208</v>
      </c>
      <c r="E350" s="180" t="s">
        <v>208</v>
      </c>
      <c r="F350" s="180" t="s">
        <v>208</v>
      </c>
      <c r="G350" s="180" t="s">
        <v>208</v>
      </c>
      <c r="H350" s="181"/>
      <c r="I350" s="181"/>
      <c r="J350" s="181"/>
      <c r="K350" s="182" t="s">
        <v>240</v>
      </c>
    </row>
    <row r="351">
      <c r="A351" s="179">
        <f t="shared" si="4"/>
        <v>348</v>
      </c>
      <c r="B351" s="180"/>
      <c r="C351" s="180" t="s">
        <v>208</v>
      </c>
      <c r="D351" s="180" t="s">
        <v>208</v>
      </c>
      <c r="E351" s="180" t="s">
        <v>208</v>
      </c>
      <c r="F351" s="180" t="s">
        <v>208</v>
      </c>
      <c r="G351" s="180" t="s">
        <v>208</v>
      </c>
      <c r="H351" s="181"/>
      <c r="I351" s="181"/>
      <c r="J351" s="181"/>
      <c r="K351" s="182" t="s">
        <v>240</v>
      </c>
    </row>
    <row r="352">
      <c r="A352" s="179">
        <f t="shared" si="4"/>
        <v>349</v>
      </c>
      <c r="B352" s="180"/>
      <c r="C352" s="180" t="s">
        <v>208</v>
      </c>
      <c r="D352" s="180" t="s">
        <v>208</v>
      </c>
      <c r="E352" s="180" t="s">
        <v>208</v>
      </c>
      <c r="F352" s="180" t="s">
        <v>208</v>
      </c>
      <c r="G352" s="180" t="s">
        <v>208</v>
      </c>
      <c r="H352" s="181"/>
      <c r="I352" s="181"/>
      <c r="J352" s="181"/>
      <c r="K352" s="182" t="s">
        <v>240</v>
      </c>
    </row>
    <row r="353">
      <c r="A353" s="179">
        <f t="shared" si="4"/>
        <v>350</v>
      </c>
      <c r="B353" s="180"/>
      <c r="C353" s="180" t="s">
        <v>208</v>
      </c>
      <c r="D353" s="180" t="s">
        <v>208</v>
      </c>
      <c r="E353" s="180" t="s">
        <v>208</v>
      </c>
      <c r="F353" s="180" t="s">
        <v>208</v>
      </c>
      <c r="G353" s="180" t="s">
        <v>208</v>
      </c>
      <c r="H353" s="181"/>
      <c r="I353" s="181"/>
      <c r="J353" s="181"/>
      <c r="K353" s="182" t="s">
        <v>240</v>
      </c>
    </row>
    <row r="354">
      <c r="A354" s="179">
        <f t="shared" si="4"/>
        <v>351</v>
      </c>
      <c r="B354" s="180"/>
      <c r="C354" s="180" t="s">
        <v>208</v>
      </c>
      <c r="D354" s="180" t="s">
        <v>208</v>
      </c>
      <c r="E354" s="180" t="s">
        <v>208</v>
      </c>
      <c r="F354" s="180" t="s">
        <v>208</v>
      </c>
      <c r="G354" s="180" t="s">
        <v>208</v>
      </c>
      <c r="H354" s="181"/>
      <c r="I354" s="181"/>
      <c r="J354" s="181"/>
      <c r="K354" s="182" t="s">
        <v>240</v>
      </c>
    </row>
    <row r="355">
      <c r="A355" s="179">
        <f t="shared" si="4"/>
        <v>352</v>
      </c>
      <c r="B355" s="180"/>
      <c r="C355" s="180" t="s">
        <v>208</v>
      </c>
      <c r="D355" s="180" t="s">
        <v>208</v>
      </c>
      <c r="E355" s="180" t="s">
        <v>208</v>
      </c>
      <c r="F355" s="180" t="s">
        <v>208</v>
      </c>
      <c r="G355" s="180" t="s">
        <v>208</v>
      </c>
      <c r="H355" s="181"/>
      <c r="I355" s="181"/>
      <c r="J355" s="181"/>
      <c r="K355" s="182" t="s">
        <v>240</v>
      </c>
    </row>
    <row r="356">
      <c r="A356" s="179">
        <f t="shared" si="4"/>
        <v>353</v>
      </c>
      <c r="B356" s="180"/>
      <c r="C356" s="180" t="s">
        <v>208</v>
      </c>
      <c r="D356" s="180" t="s">
        <v>208</v>
      </c>
      <c r="E356" s="180" t="s">
        <v>208</v>
      </c>
      <c r="F356" s="180" t="s">
        <v>208</v>
      </c>
      <c r="G356" s="180" t="s">
        <v>208</v>
      </c>
      <c r="H356" s="181"/>
      <c r="I356" s="181"/>
      <c r="J356" s="181"/>
      <c r="K356" s="182" t="s">
        <v>240</v>
      </c>
    </row>
    <row r="357">
      <c r="A357" s="179">
        <f t="shared" si="4"/>
        <v>354</v>
      </c>
      <c r="B357" s="180"/>
      <c r="C357" s="180" t="s">
        <v>208</v>
      </c>
      <c r="D357" s="180" t="s">
        <v>208</v>
      </c>
      <c r="E357" s="180" t="s">
        <v>208</v>
      </c>
      <c r="F357" s="180" t="s">
        <v>208</v>
      </c>
      <c r="G357" s="180" t="s">
        <v>208</v>
      </c>
      <c r="H357" s="181"/>
      <c r="I357" s="181"/>
      <c r="J357" s="181"/>
      <c r="K357" s="182" t="s">
        <v>240</v>
      </c>
    </row>
    <row r="358">
      <c r="A358" s="179">
        <f t="shared" si="4"/>
        <v>355</v>
      </c>
      <c r="B358" s="180"/>
      <c r="C358" s="180" t="s">
        <v>208</v>
      </c>
      <c r="D358" s="180" t="s">
        <v>208</v>
      </c>
      <c r="E358" s="180" t="s">
        <v>208</v>
      </c>
      <c r="F358" s="180" t="s">
        <v>208</v>
      </c>
      <c r="G358" s="180" t="s">
        <v>208</v>
      </c>
      <c r="H358" s="181"/>
      <c r="I358" s="181"/>
      <c r="J358" s="181"/>
      <c r="K358" s="182" t="s">
        <v>240</v>
      </c>
    </row>
    <row r="359">
      <c r="A359" s="179">
        <f t="shared" si="4"/>
        <v>356</v>
      </c>
      <c r="B359" s="180"/>
      <c r="C359" s="180" t="s">
        <v>208</v>
      </c>
      <c r="D359" s="180" t="s">
        <v>208</v>
      </c>
      <c r="E359" s="180" t="s">
        <v>208</v>
      </c>
      <c r="F359" s="180" t="s">
        <v>208</v>
      </c>
      <c r="G359" s="180" t="s">
        <v>208</v>
      </c>
      <c r="H359" s="181"/>
      <c r="I359" s="181"/>
      <c r="J359" s="181"/>
      <c r="K359" s="182" t="s">
        <v>240</v>
      </c>
    </row>
    <row r="360">
      <c r="A360" s="179">
        <f t="shared" si="4"/>
        <v>357</v>
      </c>
      <c r="B360" s="180"/>
      <c r="C360" s="180" t="s">
        <v>208</v>
      </c>
      <c r="D360" s="180" t="s">
        <v>208</v>
      </c>
      <c r="E360" s="180" t="s">
        <v>208</v>
      </c>
      <c r="F360" s="180" t="s">
        <v>208</v>
      </c>
      <c r="G360" s="180" t="s">
        <v>208</v>
      </c>
      <c r="H360" s="190"/>
      <c r="I360" s="181"/>
      <c r="J360" s="180"/>
      <c r="K360" s="182" t="s">
        <v>240</v>
      </c>
    </row>
    <row r="361">
      <c r="A361" s="179">
        <f t="shared" si="4"/>
        <v>358</v>
      </c>
      <c r="B361" s="180"/>
      <c r="C361" s="180" t="s">
        <v>208</v>
      </c>
      <c r="D361" s="180" t="s">
        <v>208</v>
      </c>
      <c r="E361" s="180" t="s">
        <v>208</v>
      </c>
      <c r="F361" s="180" t="s">
        <v>208</v>
      </c>
      <c r="G361" s="180" t="s">
        <v>208</v>
      </c>
      <c r="H361" s="181"/>
      <c r="I361" s="181"/>
      <c r="J361" s="181"/>
      <c r="K361" s="182" t="s">
        <v>240</v>
      </c>
    </row>
    <row r="362">
      <c r="A362" s="179">
        <f t="shared" si="4"/>
        <v>359</v>
      </c>
      <c r="B362" s="181"/>
      <c r="C362" s="180" t="s">
        <v>208</v>
      </c>
      <c r="D362" s="180" t="s">
        <v>208</v>
      </c>
      <c r="E362" s="180" t="s">
        <v>208</v>
      </c>
      <c r="F362" s="180" t="s">
        <v>208</v>
      </c>
      <c r="G362" s="180" t="s">
        <v>208</v>
      </c>
      <c r="H362" s="180"/>
      <c r="I362" s="181"/>
      <c r="J362" s="181"/>
      <c r="K362" s="182" t="s">
        <v>240</v>
      </c>
    </row>
    <row r="363">
      <c r="A363" s="179">
        <f t="shared" si="4"/>
        <v>360</v>
      </c>
      <c r="B363" s="180"/>
      <c r="C363" s="180" t="s">
        <v>208</v>
      </c>
      <c r="D363" s="180" t="s">
        <v>208</v>
      </c>
      <c r="E363" s="180" t="s">
        <v>208</v>
      </c>
      <c r="F363" s="180" t="s">
        <v>208</v>
      </c>
      <c r="G363" s="180" t="s">
        <v>208</v>
      </c>
      <c r="H363" s="181"/>
      <c r="I363" s="181"/>
      <c r="J363" s="180"/>
      <c r="K363" s="182" t="s">
        <v>240</v>
      </c>
    </row>
    <row r="364">
      <c r="A364" s="179">
        <f t="shared" si="4"/>
        <v>361</v>
      </c>
      <c r="B364" s="180"/>
      <c r="C364" s="180" t="s">
        <v>208</v>
      </c>
      <c r="D364" s="180" t="s">
        <v>208</v>
      </c>
      <c r="E364" s="180" t="s">
        <v>208</v>
      </c>
      <c r="F364" s="180" t="s">
        <v>208</v>
      </c>
      <c r="G364" s="180" t="s">
        <v>208</v>
      </c>
      <c r="H364" s="181"/>
      <c r="I364" s="181"/>
      <c r="J364" s="181"/>
      <c r="K364" s="182" t="s">
        <v>240</v>
      </c>
    </row>
    <row r="365">
      <c r="A365" s="179">
        <f t="shared" si="4"/>
        <v>362</v>
      </c>
      <c r="B365" s="181"/>
      <c r="C365" s="180" t="s">
        <v>208</v>
      </c>
      <c r="D365" s="180"/>
      <c r="E365" s="180" t="s">
        <v>208</v>
      </c>
      <c r="F365" s="180" t="s">
        <v>208</v>
      </c>
      <c r="G365" s="180" t="s">
        <v>208</v>
      </c>
      <c r="H365" s="180"/>
      <c r="I365" s="181"/>
      <c r="J365" s="181"/>
      <c r="K365" s="182" t="s">
        <v>240</v>
      </c>
    </row>
    <row r="366">
      <c r="A366" s="179">
        <f t="shared" si="4"/>
        <v>363</v>
      </c>
      <c r="B366" s="180"/>
      <c r="C366" s="180"/>
      <c r="D366" s="180" t="s">
        <v>208</v>
      </c>
      <c r="E366" s="180"/>
      <c r="F366" s="180" t="s">
        <v>208</v>
      </c>
      <c r="G366" s="181"/>
      <c r="H366" s="180" t="s">
        <v>208</v>
      </c>
      <c r="I366" s="181"/>
      <c r="J366" s="181"/>
      <c r="K366" s="182" t="s">
        <v>240</v>
      </c>
    </row>
    <row r="367">
      <c r="A367" s="179">
        <f t="shared" si="4"/>
        <v>364</v>
      </c>
      <c r="B367" s="180"/>
      <c r="C367" s="180" t="s">
        <v>208</v>
      </c>
      <c r="D367" s="180" t="s">
        <v>208</v>
      </c>
      <c r="E367" s="180" t="s">
        <v>208</v>
      </c>
      <c r="F367" s="180" t="s">
        <v>208</v>
      </c>
      <c r="G367" s="180" t="s">
        <v>208</v>
      </c>
      <c r="H367" s="181"/>
      <c r="I367" s="181"/>
      <c r="J367" s="180"/>
      <c r="K367" s="182" t="s">
        <v>240</v>
      </c>
    </row>
    <row r="368">
      <c r="A368" s="179">
        <f t="shared" si="4"/>
        <v>365</v>
      </c>
      <c r="B368" s="180"/>
      <c r="C368" s="180" t="s">
        <v>208</v>
      </c>
      <c r="D368" s="180" t="s">
        <v>208</v>
      </c>
      <c r="E368" s="180" t="s">
        <v>208</v>
      </c>
      <c r="F368" s="180" t="s">
        <v>208</v>
      </c>
      <c r="G368" s="180" t="s">
        <v>208</v>
      </c>
      <c r="H368" s="181"/>
      <c r="I368" s="181"/>
      <c r="J368" s="181"/>
      <c r="K368" s="182" t="s">
        <v>240</v>
      </c>
    </row>
    <row r="369">
      <c r="A369" s="179">
        <f t="shared" si="4"/>
        <v>366</v>
      </c>
      <c r="B369" s="180"/>
      <c r="C369" s="180" t="s">
        <v>208</v>
      </c>
      <c r="D369" s="180" t="s">
        <v>208</v>
      </c>
      <c r="E369" s="180" t="s">
        <v>208</v>
      </c>
      <c r="F369" s="180" t="s">
        <v>208</v>
      </c>
      <c r="G369" s="180" t="s">
        <v>208</v>
      </c>
      <c r="H369" s="181"/>
      <c r="I369" s="181"/>
      <c r="J369" s="181"/>
      <c r="K369" s="182" t="s">
        <v>240</v>
      </c>
    </row>
    <row r="370">
      <c r="A370" s="179">
        <f t="shared" si="4"/>
        <v>367</v>
      </c>
      <c r="B370" s="180"/>
      <c r="C370" s="180" t="s">
        <v>208</v>
      </c>
      <c r="D370" s="180" t="s">
        <v>208</v>
      </c>
      <c r="E370" s="180" t="s">
        <v>208</v>
      </c>
      <c r="F370" s="180" t="s">
        <v>208</v>
      </c>
      <c r="G370" s="180" t="s">
        <v>208</v>
      </c>
      <c r="H370" s="181"/>
      <c r="I370" s="181"/>
      <c r="J370" s="181"/>
      <c r="K370" s="182" t="s">
        <v>240</v>
      </c>
    </row>
    <row r="371">
      <c r="A371" s="179">
        <f t="shared" si="4"/>
        <v>368</v>
      </c>
      <c r="B371" s="180"/>
      <c r="C371" s="180" t="s">
        <v>208</v>
      </c>
      <c r="D371" s="180" t="s">
        <v>208</v>
      </c>
      <c r="E371" s="180" t="s">
        <v>208</v>
      </c>
      <c r="F371" s="180" t="s">
        <v>208</v>
      </c>
      <c r="G371" s="180" t="s">
        <v>208</v>
      </c>
      <c r="H371" s="181"/>
      <c r="I371" s="181"/>
      <c r="J371" s="181"/>
      <c r="K371" s="182" t="s">
        <v>240</v>
      </c>
    </row>
    <row r="372">
      <c r="A372" s="179">
        <f t="shared" si="4"/>
        <v>369</v>
      </c>
      <c r="B372" s="180"/>
      <c r="C372" s="180" t="s">
        <v>208</v>
      </c>
      <c r="D372" s="180" t="s">
        <v>208</v>
      </c>
      <c r="E372" s="180" t="s">
        <v>208</v>
      </c>
      <c r="F372" s="180" t="s">
        <v>208</v>
      </c>
      <c r="G372" s="180" t="s">
        <v>208</v>
      </c>
      <c r="H372" s="181"/>
      <c r="I372" s="181"/>
      <c r="J372" s="181"/>
      <c r="K372" s="182" t="s">
        <v>240</v>
      </c>
    </row>
    <row r="373">
      <c r="A373" s="179">
        <f t="shared" si="4"/>
        <v>370</v>
      </c>
      <c r="B373" s="181"/>
      <c r="C373" s="180" t="s">
        <v>208</v>
      </c>
      <c r="D373" s="180" t="s">
        <v>208</v>
      </c>
      <c r="E373" s="180" t="s">
        <v>208</v>
      </c>
      <c r="F373" s="180" t="s">
        <v>208</v>
      </c>
      <c r="G373" s="180" t="s">
        <v>208</v>
      </c>
      <c r="H373" s="180"/>
      <c r="I373" s="181"/>
      <c r="J373" s="181"/>
      <c r="K373" s="182" t="s">
        <v>240</v>
      </c>
    </row>
    <row r="374">
      <c r="A374" s="179">
        <f t="shared" si="4"/>
        <v>371</v>
      </c>
      <c r="B374" s="180"/>
      <c r="C374" s="180" t="s">
        <v>208</v>
      </c>
      <c r="D374" s="180" t="s">
        <v>208</v>
      </c>
      <c r="E374" s="180" t="s">
        <v>208</v>
      </c>
      <c r="F374" s="180" t="s">
        <v>208</v>
      </c>
      <c r="G374" s="180" t="s">
        <v>208</v>
      </c>
      <c r="H374" s="181"/>
      <c r="I374" s="181"/>
      <c r="J374" s="181"/>
      <c r="K374" s="182" t="s">
        <v>240</v>
      </c>
    </row>
    <row r="375">
      <c r="A375" s="179">
        <f t="shared" si="4"/>
        <v>372</v>
      </c>
      <c r="B375" s="180"/>
      <c r="C375" s="180" t="s">
        <v>208</v>
      </c>
      <c r="D375" s="180" t="s">
        <v>208</v>
      </c>
      <c r="E375" s="180" t="s">
        <v>208</v>
      </c>
      <c r="F375" s="180" t="s">
        <v>208</v>
      </c>
      <c r="G375" s="180" t="s">
        <v>208</v>
      </c>
      <c r="H375" s="181"/>
      <c r="I375" s="181"/>
      <c r="J375" s="181"/>
      <c r="K375" s="182" t="s">
        <v>240</v>
      </c>
    </row>
    <row r="376">
      <c r="A376" s="179">
        <f t="shared" si="4"/>
        <v>373</v>
      </c>
      <c r="B376" s="180"/>
      <c r="C376" s="180" t="s">
        <v>208</v>
      </c>
      <c r="D376" s="180" t="s">
        <v>208</v>
      </c>
      <c r="E376" s="180" t="s">
        <v>208</v>
      </c>
      <c r="F376" s="180" t="s">
        <v>208</v>
      </c>
      <c r="G376" s="180" t="s">
        <v>208</v>
      </c>
      <c r="H376" s="181"/>
      <c r="I376" s="181"/>
      <c r="J376" s="180"/>
      <c r="K376" s="182" t="s">
        <v>240</v>
      </c>
    </row>
    <row r="377">
      <c r="A377" s="179">
        <f t="shared" si="4"/>
        <v>374</v>
      </c>
      <c r="B377" s="180"/>
      <c r="C377" s="180" t="s">
        <v>208</v>
      </c>
      <c r="D377" s="180" t="s">
        <v>208</v>
      </c>
      <c r="E377" s="180" t="s">
        <v>208</v>
      </c>
      <c r="F377" s="180" t="s">
        <v>208</v>
      </c>
      <c r="G377" s="180" t="s">
        <v>208</v>
      </c>
      <c r="H377" s="181"/>
      <c r="I377" s="181"/>
      <c r="J377" s="181"/>
      <c r="K377" s="182" t="s">
        <v>240</v>
      </c>
    </row>
    <row r="378">
      <c r="A378" s="179">
        <f t="shared" si="4"/>
        <v>375</v>
      </c>
      <c r="B378" s="180"/>
      <c r="C378" s="180" t="s">
        <v>208</v>
      </c>
      <c r="D378" s="180" t="s">
        <v>208</v>
      </c>
      <c r="E378" s="180" t="s">
        <v>208</v>
      </c>
      <c r="F378" s="180" t="s">
        <v>208</v>
      </c>
      <c r="G378" s="180" t="s">
        <v>208</v>
      </c>
      <c r="H378" s="181"/>
      <c r="I378" s="181"/>
      <c r="J378" s="180"/>
      <c r="K378" s="182" t="s">
        <v>240</v>
      </c>
    </row>
    <row r="379">
      <c r="A379" s="179">
        <f t="shared" si="4"/>
        <v>376</v>
      </c>
      <c r="B379" s="180"/>
      <c r="C379" s="180"/>
      <c r="D379" s="180"/>
      <c r="E379" s="180"/>
      <c r="F379" s="180"/>
      <c r="G379" s="180"/>
      <c r="H379" s="181"/>
      <c r="I379" s="181"/>
      <c r="J379" s="180" t="s">
        <v>242</v>
      </c>
      <c r="K379" s="182" t="s">
        <v>240</v>
      </c>
    </row>
    <row r="380">
      <c r="A380" s="179">
        <f t="shared" si="4"/>
        <v>377</v>
      </c>
      <c r="B380" s="180"/>
      <c r="C380" s="180" t="s">
        <v>208</v>
      </c>
      <c r="D380" s="180" t="s">
        <v>208</v>
      </c>
      <c r="E380" s="180" t="s">
        <v>208</v>
      </c>
      <c r="F380" s="180" t="s">
        <v>208</v>
      </c>
      <c r="G380" s="180" t="s">
        <v>208</v>
      </c>
      <c r="H380" s="181"/>
      <c r="I380" s="181"/>
      <c r="J380" s="181"/>
      <c r="K380" s="182" t="s">
        <v>240</v>
      </c>
    </row>
    <row r="381">
      <c r="A381" s="179">
        <f t="shared" si="4"/>
        <v>378</v>
      </c>
      <c r="B381" s="180"/>
      <c r="C381" s="180" t="s">
        <v>208</v>
      </c>
      <c r="D381" s="180" t="s">
        <v>208</v>
      </c>
      <c r="E381" s="180" t="s">
        <v>208</v>
      </c>
      <c r="F381" s="180" t="s">
        <v>208</v>
      </c>
      <c r="G381" s="180" t="s">
        <v>208</v>
      </c>
      <c r="H381" s="181"/>
      <c r="I381" s="181"/>
      <c r="J381" s="181"/>
      <c r="K381" s="182" t="s">
        <v>240</v>
      </c>
    </row>
    <row r="382">
      <c r="A382" s="179">
        <f t="shared" si="4"/>
        <v>379</v>
      </c>
      <c r="B382" s="181"/>
      <c r="C382" s="180" t="s">
        <v>208</v>
      </c>
      <c r="D382" s="180" t="s">
        <v>208</v>
      </c>
      <c r="E382" s="180" t="s">
        <v>208</v>
      </c>
      <c r="F382" s="180" t="s">
        <v>208</v>
      </c>
      <c r="G382" s="180" t="s">
        <v>208</v>
      </c>
      <c r="H382" s="180"/>
      <c r="I382" s="181"/>
      <c r="J382" s="181"/>
      <c r="K382" s="182" t="s">
        <v>240</v>
      </c>
    </row>
    <row r="383">
      <c r="A383" s="179">
        <f t="shared" si="4"/>
        <v>380</v>
      </c>
      <c r="B383" s="180"/>
      <c r="C383" s="180" t="s">
        <v>208</v>
      </c>
      <c r="D383" s="180" t="s">
        <v>208</v>
      </c>
      <c r="E383" s="180" t="s">
        <v>208</v>
      </c>
      <c r="F383" s="180" t="s">
        <v>208</v>
      </c>
      <c r="G383" s="180" t="s">
        <v>208</v>
      </c>
      <c r="H383" s="181"/>
      <c r="I383" s="181"/>
      <c r="J383" s="181"/>
      <c r="K383" s="182" t="s">
        <v>240</v>
      </c>
    </row>
    <row r="384">
      <c r="A384" s="179">
        <f t="shared" si="4"/>
        <v>381</v>
      </c>
      <c r="B384" s="180"/>
      <c r="C384" s="180" t="s">
        <v>208</v>
      </c>
      <c r="D384" s="180" t="s">
        <v>208</v>
      </c>
      <c r="E384" s="180" t="s">
        <v>208</v>
      </c>
      <c r="F384" s="180" t="s">
        <v>208</v>
      </c>
      <c r="G384" s="180" t="s">
        <v>208</v>
      </c>
      <c r="H384" s="181"/>
      <c r="I384" s="181"/>
      <c r="J384" s="181"/>
      <c r="K384" s="182" t="s">
        <v>240</v>
      </c>
    </row>
    <row r="385">
      <c r="A385" s="179">
        <f t="shared" si="4"/>
        <v>382</v>
      </c>
      <c r="B385" s="180"/>
      <c r="C385" s="180" t="s">
        <v>208</v>
      </c>
      <c r="D385" s="180" t="s">
        <v>208</v>
      </c>
      <c r="E385" s="180" t="s">
        <v>208</v>
      </c>
      <c r="F385" s="180" t="s">
        <v>208</v>
      </c>
      <c r="G385" s="180" t="s">
        <v>208</v>
      </c>
      <c r="H385" s="181"/>
      <c r="I385" s="181"/>
      <c r="J385" s="181"/>
      <c r="K385" s="182" t="s">
        <v>240</v>
      </c>
    </row>
    <row r="386">
      <c r="A386" s="179">
        <f t="shared" si="4"/>
        <v>383</v>
      </c>
      <c r="B386" s="180"/>
      <c r="C386" s="180" t="s">
        <v>208</v>
      </c>
      <c r="D386" s="180" t="s">
        <v>208</v>
      </c>
      <c r="E386" s="180" t="s">
        <v>208</v>
      </c>
      <c r="F386" s="180" t="s">
        <v>208</v>
      </c>
      <c r="G386" s="180" t="s">
        <v>208</v>
      </c>
      <c r="H386" s="181"/>
      <c r="I386" s="181"/>
      <c r="J386" s="181"/>
      <c r="K386" s="182" t="s">
        <v>240</v>
      </c>
    </row>
    <row r="387">
      <c r="A387" s="179">
        <f t="shared" si="4"/>
        <v>384</v>
      </c>
      <c r="B387" s="180"/>
      <c r="C387" s="192"/>
      <c r="D387" s="180" t="s">
        <v>208</v>
      </c>
      <c r="E387" s="180" t="s">
        <v>208</v>
      </c>
      <c r="F387" s="180" t="s">
        <v>208</v>
      </c>
      <c r="G387" s="192"/>
      <c r="H387" s="180" t="s">
        <v>208</v>
      </c>
      <c r="I387" s="181"/>
      <c r="J387" s="180"/>
      <c r="K387" s="182" t="s">
        <v>240</v>
      </c>
    </row>
    <row r="388">
      <c r="A388" s="179">
        <f t="shared" si="4"/>
        <v>385</v>
      </c>
      <c r="B388" s="180"/>
      <c r="C388" s="180" t="s">
        <v>208</v>
      </c>
      <c r="D388" s="180" t="s">
        <v>208</v>
      </c>
      <c r="E388" s="180" t="s">
        <v>208</v>
      </c>
      <c r="F388" s="180" t="s">
        <v>208</v>
      </c>
      <c r="G388" s="180" t="s">
        <v>208</v>
      </c>
      <c r="H388" s="181"/>
      <c r="I388" s="181"/>
      <c r="J388" s="181"/>
      <c r="K388" s="182" t="s">
        <v>240</v>
      </c>
    </row>
    <row r="389">
      <c r="A389" s="179">
        <f t="shared" si="4"/>
        <v>386</v>
      </c>
      <c r="B389" s="180"/>
      <c r="C389" s="180" t="s">
        <v>208</v>
      </c>
      <c r="D389" s="180" t="s">
        <v>208</v>
      </c>
      <c r="E389" s="180" t="s">
        <v>208</v>
      </c>
      <c r="F389" s="180" t="s">
        <v>208</v>
      </c>
      <c r="G389" s="180" t="s">
        <v>208</v>
      </c>
      <c r="H389" s="181"/>
      <c r="I389" s="181"/>
      <c r="J389" s="181"/>
      <c r="K389" s="182" t="s">
        <v>240</v>
      </c>
    </row>
    <row r="390">
      <c r="A390" s="179">
        <f t="shared" si="4"/>
        <v>387</v>
      </c>
      <c r="B390" s="180"/>
      <c r="C390" s="180"/>
      <c r="D390" s="180" t="s">
        <v>208</v>
      </c>
      <c r="E390" s="180" t="s">
        <v>208</v>
      </c>
      <c r="F390" s="180" t="s">
        <v>208</v>
      </c>
      <c r="G390" s="181"/>
      <c r="H390" s="180" t="s">
        <v>208</v>
      </c>
      <c r="I390" s="181"/>
      <c r="J390" s="180"/>
      <c r="K390" s="182" t="s">
        <v>240</v>
      </c>
    </row>
    <row r="391">
      <c r="A391" s="179">
        <f t="shared" si="4"/>
        <v>388</v>
      </c>
      <c r="B391" s="181"/>
      <c r="C391" s="180" t="s">
        <v>208</v>
      </c>
      <c r="D391" s="180" t="s">
        <v>208</v>
      </c>
      <c r="E391" s="180" t="s">
        <v>208</v>
      </c>
      <c r="F391" s="180" t="s">
        <v>208</v>
      </c>
      <c r="G391" s="180" t="s">
        <v>208</v>
      </c>
      <c r="H391" s="180"/>
      <c r="I391" s="181"/>
      <c r="J391" s="181"/>
      <c r="K391" s="182" t="s">
        <v>240</v>
      </c>
    </row>
    <row r="392">
      <c r="A392" s="179">
        <f t="shared" si="4"/>
        <v>389</v>
      </c>
      <c r="B392" s="181"/>
      <c r="C392" s="180" t="s">
        <v>208</v>
      </c>
      <c r="D392" s="180" t="s">
        <v>208</v>
      </c>
      <c r="E392" s="180" t="s">
        <v>208</v>
      </c>
      <c r="F392" s="180" t="s">
        <v>208</v>
      </c>
      <c r="G392" s="180" t="s">
        <v>208</v>
      </c>
      <c r="H392" s="180"/>
      <c r="I392" s="181"/>
      <c r="J392" s="181"/>
      <c r="K392" s="182" t="s">
        <v>240</v>
      </c>
    </row>
    <row r="393">
      <c r="A393" s="179">
        <f t="shared" si="4"/>
        <v>390</v>
      </c>
      <c r="B393" s="181"/>
      <c r="C393" s="180" t="s">
        <v>208</v>
      </c>
      <c r="D393" s="180" t="s">
        <v>208</v>
      </c>
      <c r="E393" s="180" t="s">
        <v>208</v>
      </c>
      <c r="F393" s="180" t="s">
        <v>208</v>
      </c>
      <c r="G393" s="180" t="s">
        <v>208</v>
      </c>
      <c r="H393" s="180"/>
      <c r="I393" s="181"/>
      <c r="J393" s="181"/>
      <c r="K393" s="182" t="s">
        <v>240</v>
      </c>
    </row>
    <row r="394">
      <c r="A394" s="179">
        <f t="shared" si="4"/>
        <v>391</v>
      </c>
      <c r="B394" s="181"/>
      <c r="C394" s="180" t="s">
        <v>208</v>
      </c>
      <c r="D394" s="180" t="s">
        <v>208</v>
      </c>
      <c r="E394" s="180" t="s">
        <v>208</v>
      </c>
      <c r="F394" s="180" t="s">
        <v>208</v>
      </c>
      <c r="G394" s="180" t="s">
        <v>208</v>
      </c>
      <c r="H394" s="181"/>
      <c r="I394" s="181"/>
      <c r="J394" s="181"/>
      <c r="K394" s="182" t="s">
        <v>240</v>
      </c>
    </row>
    <row r="395">
      <c r="A395" s="179">
        <f t="shared" si="4"/>
        <v>392</v>
      </c>
      <c r="B395" s="181"/>
      <c r="C395" s="180" t="s">
        <v>208</v>
      </c>
      <c r="D395" s="180" t="s">
        <v>208</v>
      </c>
      <c r="E395" s="180" t="s">
        <v>208</v>
      </c>
      <c r="F395" s="180" t="s">
        <v>208</v>
      </c>
      <c r="G395" s="180" t="s">
        <v>208</v>
      </c>
      <c r="H395" s="180"/>
      <c r="I395" s="181"/>
      <c r="J395" s="181"/>
      <c r="K395" s="182" t="s">
        <v>240</v>
      </c>
    </row>
    <row r="396">
      <c r="A396" s="179">
        <f t="shared" si="4"/>
        <v>393</v>
      </c>
      <c r="B396" s="180"/>
      <c r="C396" s="180" t="s">
        <v>208</v>
      </c>
      <c r="D396" s="180" t="s">
        <v>208</v>
      </c>
      <c r="E396" s="180" t="s">
        <v>208</v>
      </c>
      <c r="F396" s="180" t="s">
        <v>208</v>
      </c>
      <c r="G396" s="180" t="s">
        <v>208</v>
      </c>
      <c r="H396" s="181"/>
      <c r="I396" s="181"/>
      <c r="J396" s="181"/>
      <c r="K396" s="182" t="s">
        <v>240</v>
      </c>
    </row>
    <row r="397">
      <c r="A397" s="179">
        <f t="shared" si="4"/>
        <v>394</v>
      </c>
      <c r="B397" s="180"/>
      <c r="C397" s="180" t="s">
        <v>208</v>
      </c>
      <c r="D397" s="180" t="s">
        <v>208</v>
      </c>
      <c r="E397" s="180" t="s">
        <v>208</v>
      </c>
      <c r="F397" s="180" t="s">
        <v>208</v>
      </c>
      <c r="G397" s="180" t="s">
        <v>208</v>
      </c>
      <c r="H397" s="181"/>
      <c r="I397" s="181"/>
      <c r="J397" s="181"/>
      <c r="K397" s="182" t="s">
        <v>240</v>
      </c>
    </row>
    <row r="398">
      <c r="A398" s="179">
        <f t="shared" si="4"/>
        <v>395</v>
      </c>
      <c r="B398" s="180"/>
      <c r="C398" s="180" t="s">
        <v>208</v>
      </c>
      <c r="D398" s="180" t="s">
        <v>208</v>
      </c>
      <c r="E398" s="180" t="s">
        <v>208</v>
      </c>
      <c r="F398" s="180" t="s">
        <v>208</v>
      </c>
      <c r="G398" s="180" t="s">
        <v>208</v>
      </c>
      <c r="H398" s="181"/>
      <c r="I398" s="181"/>
      <c r="J398" s="181"/>
      <c r="K398" s="182" t="s">
        <v>240</v>
      </c>
    </row>
    <row r="399">
      <c r="A399" s="179">
        <f t="shared" si="4"/>
        <v>396</v>
      </c>
      <c r="B399" s="180"/>
      <c r="C399" s="180" t="s">
        <v>208</v>
      </c>
      <c r="D399" s="180" t="s">
        <v>208</v>
      </c>
      <c r="E399" s="180" t="s">
        <v>208</v>
      </c>
      <c r="F399" s="180" t="s">
        <v>208</v>
      </c>
      <c r="G399" s="180" t="s">
        <v>208</v>
      </c>
      <c r="H399" s="181"/>
      <c r="I399" s="181"/>
      <c r="J399" s="181"/>
      <c r="K399" s="182" t="s">
        <v>240</v>
      </c>
    </row>
    <row r="400">
      <c r="A400" s="179">
        <f t="shared" si="4"/>
        <v>397</v>
      </c>
      <c r="B400" s="180"/>
      <c r="C400" s="180" t="s">
        <v>208</v>
      </c>
      <c r="D400" s="180" t="s">
        <v>208</v>
      </c>
      <c r="E400" s="180" t="s">
        <v>208</v>
      </c>
      <c r="F400" s="180" t="s">
        <v>208</v>
      </c>
      <c r="G400" s="180" t="s">
        <v>208</v>
      </c>
      <c r="H400" s="181"/>
      <c r="I400" s="181"/>
      <c r="J400" s="181"/>
      <c r="K400" s="182" t="s">
        <v>240</v>
      </c>
    </row>
    <row r="401">
      <c r="A401" s="179">
        <f t="shared" si="4"/>
        <v>398</v>
      </c>
      <c r="B401" s="180"/>
      <c r="C401" s="180" t="s">
        <v>208</v>
      </c>
      <c r="D401" s="180" t="s">
        <v>208</v>
      </c>
      <c r="E401" s="180" t="s">
        <v>208</v>
      </c>
      <c r="F401" s="180" t="s">
        <v>208</v>
      </c>
      <c r="G401" s="180" t="s">
        <v>208</v>
      </c>
      <c r="H401" s="181"/>
      <c r="I401" s="181"/>
      <c r="J401" s="181"/>
      <c r="K401" s="182" t="s">
        <v>240</v>
      </c>
    </row>
    <row r="402">
      <c r="A402" s="179">
        <f t="shared" si="4"/>
        <v>399</v>
      </c>
      <c r="B402" s="180"/>
      <c r="C402" s="180" t="s">
        <v>208</v>
      </c>
      <c r="D402" s="180" t="s">
        <v>208</v>
      </c>
      <c r="E402" s="180" t="s">
        <v>208</v>
      </c>
      <c r="F402" s="180" t="s">
        <v>208</v>
      </c>
      <c r="G402" s="180" t="s">
        <v>208</v>
      </c>
      <c r="H402" s="181"/>
      <c r="I402" s="181"/>
      <c r="J402" s="181"/>
      <c r="K402" s="182" t="s">
        <v>240</v>
      </c>
    </row>
    <row r="403">
      <c r="A403" s="179">
        <f t="shared" si="4"/>
        <v>400</v>
      </c>
      <c r="B403" s="180"/>
      <c r="C403" s="180" t="s">
        <v>208</v>
      </c>
      <c r="D403" s="180" t="s">
        <v>208</v>
      </c>
      <c r="E403" s="180" t="s">
        <v>208</v>
      </c>
      <c r="F403" s="180" t="s">
        <v>208</v>
      </c>
      <c r="G403" s="180" t="s">
        <v>208</v>
      </c>
      <c r="H403" s="181"/>
      <c r="I403" s="181"/>
      <c r="J403" s="181"/>
      <c r="K403" s="182" t="s">
        <v>240</v>
      </c>
    </row>
    <row r="404">
      <c r="A404" s="179">
        <f t="shared" si="4"/>
        <v>401</v>
      </c>
      <c r="B404" s="180"/>
      <c r="C404" s="180" t="s">
        <v>208</v>
      </c>
      <c r="D404" s="180" t="s">
        <v>208</v>
      </c>
      <c r="E404" s="180" t="s">
        <v>208</v>
      </c>
      <c r="F404" s="180" t="s">
        <v>208</v>
      </c>
      <c r="G404" s="180" t="s">
        <v>208</v>
      </c>
      <c r="H404" s="181"/>
      <c r="I404" s="181"/>
      <c r="J404" s="181"/>
      <c r="K404" s="182" t="s">
        <v>240</v>
      </c>
    </row>
    <row r="405">
      <c r="A405" s="179">
        <f t="shared" si="4"/>
        <v>402</v>
      </c>
      <c r="B405" s="180"/>
      <c r="C405" s="180" t="s">
        <v>208</v>
      </c>
      <c r="D405" s="180" t="s">
        <v>208</v>
      </c>
      <c r="E405" s="180" t="s">
        <v>208</v>
      </c>
      <c r="F405" s="180" t="s">
        <v>208</v>
      </c>
      <c r="G405" s="180" t="s">
        <v>208</v>
      </c>
      <c r="H405" s="181"/>
      <c r="I405" s="181"/>
      <c r="J405" s="181"/>
      <c r="K405" s="182" t="s">
        <v>240</v>
      </c>
    </row>
    <row r="406">
      <c r="A406" s="179">
        <f t="shared" si="4"/>
        <v>403</v>
      </c>
      <c r="B406" s="180"/>
      <c r="C406" s="180" t="s">
        <v>208</v>
      </c>
      <c r="D406" s="180" t="s">
        <v>208</v>
      </c>
      <c r="E406" s="180" t="s">
        <v>208</v>
      </c>
      <c r="F406" s="180" t="s">
        <v>208</v>
      </c>
      <c r="G406" s="180" t="s">
        <v>208</v>
      </c>
      <c r="H406" s="181"/>
      <c r="I406" s="181"/>
      <c r="J406" s="181"/>
      <c r="K406" s="182" t="s">
        <v>240</v>
      </c>
    </row>
    <row r="407">
      <c r="A407" s="179">
        <f t="shared" si="4"/>
        <v>404</v>
      </c>
      <c r="B407" s="180"/>
      <c r="C407" s="180" t="s">
        <v>208</v>
      </c>
      <c r="D407" s="180" t="s">
        <v>208</v>
      </c>
      <c r="E407" s="180" t="s">
        <v>208</v>
      </c>
      <c r="F407" s="180" t="s">
        <v>208</v>
      </c>
      <c r="G407" s="180" t="s">
        <v>208</v>
      </c>
      <c r="H407" s="192"/>
      <c r="I407" s="181"/>
      <c r="J407" s="181"/>
      <c r="K407" s="182" t="s">
        <v>240</v>
      </c>
    </row>
    <row r="408">
      <c r="A408" s="179">
        <f t="shared" si="4"/>
        <v>405</v>
      </c>
      <c r="B408" s="181"/>
      <c r="C408" s="180" t="s">
        <v>208</v>
      </c>
      <c r="D408" s="180" t="s">
        <v>208</v>
      </c>
      <c r="E408" s="180" t="s">
        <v>208</v>
      </c>
      <c r="F408" s="180" t="s">
        <v>208</v>
      </c>
      <c r="G408" s="180" t="s">
        <v>208</v>
      </c>
      <c r="H408" s="180"/>
      <c r="I408" s="181"/>
      <c r="J408" s="181"/>
      <c r="K408" s="182" t="s">
        <v>240</v>
      </c>
    </row>
    <row r="409">
      <c r="A409" s="179">
        <f t="shared" si="4"/>
        <v>406</v>
      </c>
      <c r="B409" s="180"/>
      <c r="C409" s="180" t="s">
        <v>208</v>
      </c>
      <c r="D409" s="180" t="s">
        <v>208</v>
      </c>
      <c r="E409" s="180"/>
      <c r="F409" s="180" t="s">
        <v>208</v>
      </c>
      <c r="G409" s="180" t="s">
        <v>208</v>
      </c>
      <c r="H409" s="181"/>
      <c r="I409" s="181"/>
      <c r="J409" s="181"/>
      <c r="K409" s="182" t="s">
        <v>240</v>
      </c>
    </row>
    <row r="410">
      <c r="A410" s="179">
        <f t="shared" si="4"/>
        <v>407</v>
      </c>
      <c r="B410" s="180"/>
      <c r="C410" s="180" t="s">
        <v>208</v>
      </c>
      <c r="D410" s="180" t="s">
        <v>208</v>
      </c>
      <c r="E410" s="180" t="s">
        <v>208</v>
      </c>
      <c r="F410" s="180" t="s">
        <v>208</v>
      </c>
      <c r="G410" s="180" t="s">
        <v>208</v>
      </c>
      <c r="H410" s="181"/>
      <c r="I410" s="181"/>
      <c r="J410" s="181"/>
      <c r="K410" s="182" t="s">
        <v>240</v>
      </c>
    </row>
    <row r="411">
      <c r="A411" s="179">
        <f t="shared" si="4"/>
        <v>408</v>
      </c>
      <c r="B411" s="180"/>
      <c r="C411" s="180" t="s">
        <v>208</v>
      </c>
      <c r="D411" s="180" t="s">
        <v>208</v>
      </c>
      <c r="E411" s="180" t="s">
        <v>208</v>
      </c>
      <c r="F411" s="180" t="s">
        <v>208</v>
      </c>
      <c r="G411" s="180" t="s">
        <v>208</v>
      </c>
      <c r="H411" s="181"/>
      <c r="I411" s="181"/>
      <c r="J411" s="181"/>
      <c r="K411" s="182" t="s">
        <v>240</v>
      </c>
    </row>
    <row r="412">
      <c r="A412" s="179">
        <f t="shared" si="4"/>
        <v>409</v>
      </c>
      <c r="B412" s="180"/>
      <c r="C412" s="180" t="s">
        <v>208</v>
      </c>
      <c r="D412" s="180" t="s">
        <v>208</v>
      </c>
      <c r="E412" s="180" t="s">
        <v>208</v>
      </c>
      <c r="F412" s="180" t="s">
        <v>208</v>
      </c>
      <c r="G412" s="180" t="s">
        <v>208</v>
      </c>
      <c r="H412" s="181"/>
      <c r="I412" s="181"/>
      <c r="J412" s="181"/>
      <c r="K412" s="182" t="s">
        <v>240</v>
      </c>
    </row>
    <row r="413">
      <c r="A413" s="179">
        <f t="shared" si="4"/>
        <v>410</v>
      </c>
      <c r="B413" s="180"/>
      <c r="C413" s="180" t="s">
        <v>208</v>
      </c>
      <c r="D413" s="180" t="s">
        <v>208</v>
      </c>
      <c r="E413" s="180" t="s">
        <v>208</v>
      </c>
      <c r="F413" s="180" t="s">
        <v>208</v>
      </c>
      <c r="G413" s="180" t="s">
        <v>208</v>
      </c>
      <c r="H413" s="180"/>
      <c r="I413" s="181"/>
      <c r="J413" s="181"/>
      <c r="K413" s="182" t="s">
        <v>240</v>
      </c>
    </row>
    <row r="414">
      <c r="A414" s="179">
        <f t="shared" si="4"/>
        <v>411</v>
      </c>
      <c r="B414" s="180"/>
      <c r="C414" s="180"/>
      <c r="D414" s="180"/>
      <c r="E414" s="180"/>
      <c r="F414" s="180"/>
      <c r="G414" s="180"/>
      <c r="H414" s="181"/>
      <c r="I414" s="181"/>
      <c r="J414" s="180" t="s">
        <v>242</v>
      </c>
      <c r="K414" s="182" t="s">
        <v>240</v>
      </c>
    </row>
    <row r="415">
      <c r="A415" s="179">
        <f t="shared" si="4"/>
        <v>412</v>
      </c>
      <c r="B415" s="180"/>
      <c r="C415" s="180" t="s">
        <v>208</v>
      </c>
      <c r="D415" s="180" t="s">
        <v>208</v>
      </c>
      <c r="E415" s="180"/>
      <c r="F415" s="180" t="s">
        <v>208</v>
      </c>
      <c r="G415" s="180" t="s">
        <v>208</v>
      </c>
      <c r="H415" s="181"/>
      <c r="I415" s="181"/>
      <c r="J415" s="180"/>
      <c r="K415" s="182" t="s">
        <v>240</v>
      </c>
    </row>
    <row r="416">
      <c r="A416" s="179">
        <f t="shared" si="4"/>
        <v>413</v>
      </c>
      <c r="B416" s="181"/>
      <c r="C416" s="180" t="s">
        <v>208</v>
      </c>
      <c r="D416" s="180" t="s">
        <v>208</v>
      </c>
      <c r="E416" s="180"/>
      <c r="F416" s="180" t="s">
        <v>208</v>
      </c>
      <c r="G416" s="180" t="s">
        <v>208</v>
      </c>
      <c r="H416" s="181"/>
      <c r="I416" s="181"/>
      <c r="J416" s="181"/>
      <c r="K416" s="182" t="s">
        <v>240</v>
      </c>
    </row>
    <row r="417">
      <c r="A417" s="179">
        <f t="shared" si="4"/>
        <v>414</v>
      </c>
      <c r="B417" s="180"/>
      <c r="C417" s="180" t="s">
        <v>208</v>
      </c>
      <c r="D417" s="180" t="s">
        <v>208</v>
      </c>
      <c r="E417" s="180"/>
      <c r="F417" s="180"/>
      <c r="G417" s="180" t="s">
        <v>208</v>
      </c>
      <c r="H417" s="181"/>
      <c r="I417" s="181"/>
      <c r="J417" s="181"/>
      <c r="K417" s="182" t="s">
        <v>240</v>
      </c>
    </row>
    <row r="418">
      <c r="A418" s="179">
        <f t="shared" si="4"/>
        <v>415</v>
      </c>
      <c r="B418" s="180"/>
      <c r="C418" s="180" t="s">
        <v>208</v>
      </c>
      <c r="D418" s="180" t="s">
        <v>208</v>
      </c>
      <c r="E418" s="180" t="s">
        <v>208</v>
      </c>
      <c r="F418" s="180" t="s">
        <v>208</v>
      </c>
      <c r="G418" s="180" t="s">
        <v>208</v>
      </c>
      <c r="H418" s="181"/>
      <c r="I418" s="181"/>
      <c r="J418" s="181"/>
      <c r="K418" s="182" t="s">
        <v>240</v>
      </c>
    </row>
    <row r="419">
      <c r="A419" s="179">
        <f t="shared" si="4"/>
        <v>416</v>
      </c>
      <c r="B419" s="180"/>
      <c r="C419" s="180" t="s">
        <v>208</v>
      </c>
      <c r="D419" s="180" t="s">
        <v>208</v>
      </c>
      <c r="E419" s="180" t="s">
        <v>208</v>
      </c>
      <c r="F419" s="180" t="s">
        <v>208</v>
      </c>
      <c r="G419" s="180" t="s">
        <v>208</v>
      </c>
      <c r="H419" s="181"/>
      <c r="I419" s="181"/>
      <c r="J419" s="181"/>
      <c r="K419" s="182" t="s">
        <v>240</v>
      </c>
    </row>
    <row r="420">
      <c r="A420" s="179">
        <f t="shared" si="4"/>
        <v>417</v>
      </c>
      <c r="B420" s="180"/>
      <c r="C420" s="180" t="s">
        <v>208</v>
      </c>
      <c r="D420" s="180" t="s">
        <v>208</v>
      </c>
      <c r="E420" s="180" t="s">
        <v>208</v>
      </c>
      <c r="F420" s="180" t="s">
        <v>208</v>
      </c>
      <c r="G420" s="180" t="s">
        <v>208</v>
      </c>
      <c r="H420" s="181"/>
      <c r="I420" s="181"/>
      <c r="J420" s="181"/>
      <c r="K420" s="182" t="s">
        <v>240</v>
      </c>
    </row>
    <row r="421">
      <c r="A421" s="179">
        <f t="shared" si="4"/>
        <v>418</v>
      </c>
      <c r="B421" s="180"/>
      <c r="C421" s="180" t="s">
        <v>208</v>
      </c>
      <c r="D421" s="180" t="s">
        <v>208</v>
      </c>
      <c r="E421" s="180" t="s">
        <v>208</v>
      </c>
      <c r="F421" s="180" t="s">
        <v>208</v>
      </c>
      <c r="G421" s="180" t="s">
        <v>208</v>
      </c>
      <c r="H421" s="181"/>
      <c r="I421" s="181"/>
      <c r="J421" s="181"/>
      <c r="K421" s="182" t="s">
        <v>240</v>
      </c>
    </row>
    <row r="422">
      <c r="A422" s="179">
        <f t="shared" si="4"/>
        <v>419</v>
      </c>
      <c r="B422" s="180"/>
      <c r="C422" s="180" t="s">
        <v>208</v>
      </c>
      <c r="D422" s="180" t="s">
        <v>208</v>
      </c>
      <c r="E422" s="180" t="s">
        <v>208</v>
      </c>
      <c r="F422" s="180" t="s">
        <v>208</v>
      </c>
      <c r="G422" s="180" t="s">
        <v>208</v>
      </c>
      <c r="H422" s="181"/>
      <c r="I422" s="181"/>
      <c r="J422" s="181"/>
      <c r="K422" s="182" t="s">
        <v>240</v>
      </c>
    </row>
    <row r="423">
      <c r="A423" s="179">
        <f t="shared" si="4"/>
        <v>420</v>
      </c>
      <c r="B423" s="180"/>
      <c r="C423" s="180" t="s">
        <v>208</v>
      </c>
      <c r="D423" s="180" t="s">
        <v>208</v>
      </c>
      <c r="E423" s="180" t="s">
        <v>208</v>
      </c>
      <c r="F423" s="180" t="s">
        <v>208</v>
      </c>
      <c r="G423" s="180" t="s">
        <v>208</v>
      </c>
      <c r="H423" s="181"/>
      <c r="I423" s="181"/>
      <c r="J423" s="181"/>
      <c r="K423" s="182" t="s">
        <v>240</v>
      </c>
    </row>
    <row r="424">
      <c r="A424" s="179">
        <f t="shared" si="4"/>
        <v>421</v>
      </c>
      <c r="B424" s="180"/>
      <c r="C424" s="180" t="s">
        <v>208</v>
      </c>
      <c r="D424" s="180" t="s">
        <v>208</v>
      </c>
      <c r="E424" s="180" t="s">
        <v>208</v>
      </c>
      <c r="F424" s="180" t="s">
        <v>208</v>
      </c>
      <c r="G424" s="180" t="s">
        <v>208</v>
      </c>
      <c r="H424" s="181"/>
      <c r="I424" s="181"/>
      <c r="J424" s="181"/>
      <c r="K424" s="182" t="s">
        <v>240</v>
      </c>
      <c r="R424" s="163"/>
      <c r="S424" s="163"/>
    </row>
    <row r="425">
      <c r="A425" s="179">
        <f t="shared" si="4"/>
        <v>422</v>
      </c>
      <c r="B425" s="180"/>
      <c r="C425" s="180" t="s">
        <v>208</v>
      </c>
      <c r="D425" s="180" t="s">
        <v>208</v>
      </c>
      <c r="E425" s="180" t="s">
        <v>208</v>
      </c>
      <c r="F425" s="180" t="s">
        <v>208</v>
      </c>
      <c r="G425" s="180" t="s">
        <v>208</v>
      </c>
      <c r="H425" s="181"/>
      <c r="I425" s="181"/>
      <c r="J425" s="181"/>
      <c r="K425" s="182" t="s">
        <v>240</v>
      </c>
      <c r="R425" s="163"/>
      <c r="S425" s="163"/>
    </row>
    <row r="426">
      <c r="A426" s="179">
        <f t="shared" si="4"/>
        <v>423</v>
      </c>
      <c r="B426" s="180"/>
      <c r="C426" s="180" t="s">
        <v>208</v>
      </c>
      <c r="D426" s="180" t="s">
        <v>208</v>
      </c>
      <c r="E426" s="180" t="s">
        <v>208</v>
      </c>
      <c r="F426" s="180" t="s">
        <v>208</v>
      </c>
      <c r="G426" s="180" t="s">
        <v>208</v>
      </c>
      <c r="H426" s="181"/>
      <c r="I426" s="181"/>
      <c r="J426" s="181"/>
      <c r="K426" s="182" t="s">
        <v>240</v>
      </c>
      <c r="R426" s="163"/>
      <c r="S426" s="163"/>
    </row>
    <row r="427">
      <c r="A427" s="179">
        <f t="shared" si="4"/>
        <v>424</v>
      </c>
      <c r="B427" s="180"/>
      <c r="C427" s="180" t="s">
        <v>208</v>
      </c>
      <c r="D427" s="180" t="s">
        <v>208</v>
      </c>
      <c r="E427" s="180" t="s">
        <v>208</v>
      </c>
      <c r="F427" s="180" t="s">
        <v>208</v>
      </c>
      <c r="G427" s="180" t="s">
        <v>208</v>
      </c>
      <c r="H427" s="181"/>
      <c r="I427" s="181"/>
      <c r="J427" s="181"/>
      <c r="K427" s="182" t="s">
        <v>240</v>
      </c>
      <c r="R427" s="163"/>
      <c r="S427" s="163"/>
    </row>
    <row r="428">
      <c r="A428" s="179">
        <f t="shared" si="4"/>
        <v>425</v>
      </c>
      <c r="B428" s="180"/>
      <c r="C428" s="180" t="s">
        <v>208</v>
      </c>
      <c r="D428" s="180" t="s">
        <v>208</v>
      </c>
      <c r="E428" s="180" t="s">
        <v>208</v>
      </c>
      <c r="F428" s="180" t="s">
        <v>208</v>
      </c>
      <c r="G428" s="180" t="s">
        <v>208</v>
      </c>
      <c r="H428" s="181"/>
      <c r="I428" s="181"/>
      <c r="J428" s="181"/>
      <c r="K428" s="182" t="s">
        <v>240</v>
      </c>
      <c r="R428" s="163"/>
      <c r="S428" s="163"/>
    </row>
    <row r="429">
      <c r="A429" s="179">
        <f t="shared" si="4"/>
        <v>426</v>
      </c>
      <c r="B429" s="180"/>
      <c r="C429" s="180" t="s">
        <v>208</v>
      </c>
      <c r="D429" s="180" t="s">
        <v>208</v>
      </c>
      <c r="E429" s="180" t="s">
        <v>208</v>
      </c>
      <c r="F429" s="180" t="s">
        <v>208</v>
      </c>
      <c r="G429" s="180" t="s">
        <v>208</v>
      </c>
      <c r="H429" s="181"/>
      <c r="I429" s="181"/>
      <c r="J429" s="181"/>
      <c r="K429" s="182" t="s">
        <v>240</v>
      </c>
      <c r="R429" s="163"/>
      <c r="S429" s="163"/>
    </row>
    <row r="430">
      <c r="A430" s="179">
        <f t="shared" si="4"/>
        <v>427</v>
      </c>
      <c r="B430" s="180"/>
      <c r="C430" s="180" t="s">
        <v>208</v>
      </c>
      <c r="D430" s="180" t="s">
        <v>208</v>
      </c>
      <c r="E430" s="180" t="s">
        <v>208</v>
      </c>
      <c r="F430" s="180" t="s">
        <v>208</v>
      </c>
      <c r="G430" s="180" t="s">
        <v>208</v>
      </c>
      <c r="H430" s="181"/>
      <c r="I430" s="181"/>
      <c r="J430" s="181"/>
      <c r="K430" s="182" t="s">
        <v>240</v>
      </c>
      <c r="R430" s="163"/>
      <c r="S430" s="163"/>
    </row>
    <row r="431">
      <c r="A431" s="179">
        <f t="shared" si="4"/>
        <v>428</v>
      </c>
      <c r="B431" s="180"/>
      <c r="C431" s="180"/>
      <c r="D431" s="180"/>
      <c r="E431" s="180"/>
      <c r="F431" s="180"/>
      <c r="G431" s="180"/>
      <c r="H431" s="181"/>
      <c r="I431" s="181"/>
      <c r="J431" s="180" t="s">
        <v>242</v>
      </c>
      <c r="K431" s="182" t="s">
        <v>240</v>
      </c>
      <c r="R431" s="163"/>
      <c r="S431" s="163"/>
    </row>
    <row r="432">
      <c r="A432" s="179">
        <f t="shared" si="4"/>
        <v>429</v>
      </c>
      <c r="B432" s="180"/>
      <c r="C432" s="180" t="s">
        <v>208</v>
      </c>
      <c r="D432" s="180" t="s">
        <v>208</v>
      </c>
      <c r="E432" s="180" t="s">
        <v>208</v>
      </c>
      <c r="F432" s="180" t="s">
        <v>208</v>
      </c>
      <c r="G432" s="180" t="s">
        <v>208</v>
      </c>
      <c r="H432" s="181"/>
      <c r="I432" s="181"/>
      <c r="J432" s="181"/>
      <c r="K432" s="182" t="s">
        <v>240</v>
      </c>
      <c r="R432" s="163"/>
      <c r="S432" s="163"/>
    </row>
    <row r="433">
      <c r="A433" s="179">
        <f t="shared" si="4"/>
        <v>430</v>
      </c>
      <c r="B433" s="180"/>
      <c r="C433" s="180" t="s">
        <v>208</v>
      </c>
      <c r="D433" s="180" t="s">
        <v>208</v>
      </c>
      <c r="E433" s="180" t="s">
        <v>208</v>
      </c>
      <c r="F433" s="180" t="s">
        <v>208</v>
      </c>
      <c r="G433" s="180" t="s">
        <v>208</v>
      </c>
      <c r="H433" s="181"/>
      <c r="I433" s="181"/>
      <c r="J433" s="181"/>
      <c r="K433" s="182" t="s">
        <v>240</v>
      </c>
      <c r="R433" s="163"/>
      <c r="S433" s="163"/>
    </row>
    <row r="434">
      <c r="A434" s="179">
        <f t="shared" si="4"/>
        <v>431</v>
      </c>
      <c r="B434" s="180"/>
      <c r="C434" s="180" t="s">
        <v>208</v>
      </c>
      <c r="D434" s="180" t="s">
        <v>208</v>
      </c>
      <c r="E434" s="180"/>
      <c r="F434" s="180" t="s">
        <v>208</v>
      </c>
      <c r="G434" s="180" t="s">
        <v>208</v>
      </c>
      <c r="H434" s="181"/>
      <c r="I434" s="181"/>
      <c r="J434" s="181"/>
      <c r="K434" s="182" t="s">
        <v>240</v>
      </c>
      <c r="R434" s="173"/>
      <c r="S434" s="173"/>
    </row>
    <row r="435">
      <c r="A435" s="179">
        <f t="shared" si="4"/>
        <v>432</v>
      </c>
      <c r="B435" s="180"/>
      <c r="C435" s="180" t="s">
        <v>208</v>
      </c>
      <c r="D435" s="180" t="s">
        <v>208</v>
      </c>
      <c r="E435" s="180" t="s">
        <v>208</v>
      </c>
      <c r="F435" s="180" t="s">
        <v>208</v>
      </c>
      <c r="G435" s="180" t="s">
        <v>208</v>
      </c>
      <c r="H435" s="181"/>
      <c r="I435" s="181"/>
      <c r="J435" s="181"/>
      <c r="K435" s="182" t="s">
        <v>240</v>
      </c>
      <c r="R435" s="157"/>
      <c r="S435" s="157"/>
    </row>
    <row r="436">
      <c r="A436" s="179">
        <f t="shared" si="4"/>
        <v>433</v>
      </c>
      <c r="B436" s="180"/>
      <c r="C436" s="180" t="s">
        <v>208</v>
      </c>
      <c r="D436" s="180" t="s">
        <v>208</v>
      </c>
      <c r="E436" s="180" t="s">
        <v>208</v>
      </c>
      <c r="F436" s="180" t="s">
        <v>208</v>
      </c>
      <c r="G436" s="180" t="s">
        <v>208</v>
      </c>
      <c r="H436" s="181"/>
      <c r="I436" s="181"/>
      <c r="J436" s="180"/>
      <c r="K436" s="182" t="s">
        <v>240</v>
      </c>
      <c r="R436" s="163"/>
      <c r="S436" s="163"/>
    </row>
    <row r="437">
      <c r="A437" s="179">
        <f t="shared" si="4"/>
        <v>434</v>
      </c>
      <c r="B437" s="180"/>
      <c r="C437" s="180"/>
      <c r="D437" s="180"/>
      <c r="E437" s="180"/>
      <c r="F437" s="180"/>
      <c r="G437" s="180"/>
      <c r="H437" s="181"/>
      <c r="I437" s="181"/>
      <c r="J437" s="180" t="s">
        <v>242</v>
      </c>
      <c r="K437" s="182" t="s">
        <v>240</v>
      </c>
      <c r="R437" s="163"/>
      <c r="S437" s="163"/>
    </row>
    <row r="438">
      <c r="A438" s="179">
        <f t="shared" si="4"/>
        <v>435</v>
      </c>
      <c r="B438" s="180"/>
      <c r="C438" s="180" t="s">
        <v>208</v>
      </c>
      <c r="D438" s="180" t="s">
        <v>208</v>
      </c>
      <c r="E438" s="180"/>
      <c r="F438" s="180" t="s">
        <v>208</v>
      </c>
      <c r="G438" s="180" t="s">
        <v>208</v>
      </c>
      <c r="H438" s="180"/>
      <c r="I438" s="181"/>
      <c r="J438" s="181"/>
      <c r="K438" s="182" t="s">
        <v>240</v>
      </c>
      <c r="R438" s="163"/>
      <c r="S438" s="163"/>
    </row>
    <row r="439">
      <c r="A439" s="179">
        <f t="shared" si="4"/>
        <v>436</v>
      </c>
      <c r="B439" s="180"/>
      <c r="C439" s="180" t="s">
        <v>208</v>
      </c>
      <c r="D439" s="180" t="s">
        <v>208</v>
      </c>
      <c r="E439" s="180" t="s">
        <v>208</v>
      </c>
      <c r="F439" s="180" t="s">
        <v>208</v>
      </c>
      <c r="G439" s="180" t="s">
        <v>208</v>
      </c>
      <c r="H439" s="181"/>
      <c r="I439" s="181"/>
      <c r="J439" s="181"/>
      <c r="K439" s="182" t="s">
        <v>240</v>
      </c>
      <c r="R439" s="163"/>
      <c r="S439" s="163"/>
    </row>
    <row r="440">
      <c r="A440" s="179">
        <f t="shared" si="4"/>
        <v>437</v>
      </c>
      <c r="B440" s="180"/>
      <c r="C440" s="180" t="s">
        <v>208</v>
      </c>
      <c r="D440" s="180" t="s">
        <v>208</v>
      </c>
      <c r="E440" s="180" t="s">
        <v>208</v>
      </c>
      <c r="F440" s="180" t="s">
        <v>208</v>
      </c>
      <c r="G440" s="180" t="s">
        <v>208</v>
      </c>
      <c r="H440" s="181"/>
      <c r="I440" s="181"/>
      <c r="J440" s="181"/>
      <c r="K440" s="182" t="s">
        <v>240</v>
      </c>
      <c r="R440" s="163"/>
      <c r="S440" s="163"/>
    </row>
    <row r="441">
      <c r="A441" s="179">
        <f t="shared" si="4"/>
        <v>438</v>
      </c>
      <c r="B441" s="180"/>
      <c r="C441" s="180" t="s">
        <v>208</v>
      </c>
      <c r="D441" s="180" t="s">
        <v>208</v>
      </c>
      <c r="E441" s="180" t="s">
        <v>208</v>
      </c>
      <c r="F441" s="180" t="s">
        <v>208</v>
      </c>
      <c r="G441" s="180" t="s">
        <v>208</v>
      </c>
      <c r="H441" s="181"/>
      <c r="I441" s="181"/>
      <c r="J441" s="181"/>
      <c r="K441" s="182" t="s">
        <v>240</v>
      </c>
      <c r="R441" s="163"/>
      <c r="S441" s="163"/>
    </row>
    <row r="442">
      <c r="A442" s="179">
        <f t="shared" si="4"/>
        <v>439</v>
      </c>
      <c r="B442" s="180"/>
      <c r="C442" s="180" t="s">
        <v>208</v>
      </c>
      <c r="D442" s="180" t="s">
        <v>208</v>
      </c>
      <c r="E442" s="180" t="s">
        <v>208</v>
      </c>
      <c r="F442" s="180" t="s">
        <v>208</v>
      </c>
      <c r="G442" s="180" t="s">
        <v>208</v>
      </c>
      <c r="H442" s="181"/>
      <c r="I442" s="181"/>
      <c r="J442" s="181"/>
      <c r="K442" s="182" t="s">
        <v>240</v>
      </c>
      <c r="R442" s="163"/>
      <c r="S442" s="163"/>
    </row>
    <row r="443">
      <c r="A443" s="179">
        <f t="shared" si="4"/>
        <v>440</v>
      </c>
      <c r="B443" s="180"/>
      <c r="C443" s="180" t="s">
        <v>208</v>
      </c>
      <c r="D443" s="180" t="s">
        <v>208</v>
      </c>
      <c r="E443" s="180" t="s">
        <v>208</v>
      </c>
      <c r="F443" s="180" t="s">
        <v>208</v>
      </c>
      <c r="G443" s="180" t="s">
        <v>208</v>
      </c>
      <c r="H443" s="181"/>
      <c r="I443" s="181"/>
      <c r="J443" s="181"/>
      <c r="K443" s="182" t="s">
        <v>240</v>
      </c>
      <c r="R443" s="163"/>
      <c r="S443" s="163"/>
    </row>
    <row r="444">
      <c r="A444" s="179">
        <f t="shared" si="4"/>
        <v>441</v>
      </c>
      <c r="B444" s="180"/>
      <c r="C444" s="180" t="s">
        <v>208</v>
      </c>
      <c r="D444" s="180"/>
      <c r="E444" s="180" t="s">
        <v>208</v>
      </c>
      <c r="F444" s="180" t="s">
        <v>208</v>
      </c>
      <c r="G444" s="180" t="s">
        <v>208</v>
      </c>
      <c r="H444" s="181"/>
      <c r="I444" s="181"/>
      <c r="J444" s="181"/>
      <c r="K444" s="182" t="s">
        <v>240</v>
      </c>
      <c r="R444" s="163"/>
      <c r="S444" s="163"/>
    </row>
    <row r="445">
      <c r="A445" s="179">
        <f t="shared" si="4"/>
        <v>442</v>
      </c>
      <c r="B445" s="180"/>
      <c r="C445" s="180" t="s">
        <v>208</v>
      </c>
      <c r="D445" s="180" t="s">
        <v>208</v>
      </c>
      <c r="E445" s="180" t="s">
        <v>208</v>
      </c>
      <c r="F445" s="180" t="s">
        <v>208</v>
      </c>
      <c r="G445" s="180" t="s">
        <v>208</v>
      </c>
      <c r="H445" s="181"/>
      <c r="I445" s="181"/>
      <c r="J445" s="181"/>
      <c r="K445" s="182" t="s">
        <v>240</v>
      </c>
      <c r="R445" s="163"/>
      <c r="S445" s="163"/>
    </row>
    <row r="446">
      <c r="A446" s="179">
        <f t="shared" si="4"/>
        <v>443</v>
      </c>
      <c r="B446" s="180"/>
      <c r="C446" s="180" t="s">
        <v>208</v>
      </c>
      <c r="D446" s="180" t="s">
        <v>208</v>
      </c>
      <c r="E446" s="180" t="s">
        <v>208</v>
      </c>
      <c r="F446" s="180" t="s">
        <v>208</v>
      </c>
      <c r="G446" s="180" t="s">
        <v>208</v>
      </c>
      <c r="H446" s="181"/>
      <c r="I446" s="181"/>
      <c r="J446" s="181"/>
      <c r="K446" s="182" t="s">
        <v>240</v>
      </c>
      <c r="R446" s="173"/>
      <c r="S446" s="173"/>
    </row>
    <row r="447">
      <c r="A447" s="179">
        <f t="shared" si="4"/>
        <v>444</v>
      </c>
      <c r="B447" s="180"/>
      <c r="C447" s="180" t="s">
        <v>208</v>
      </c>
      <c r="D447" s="180" t="s">
        <v>208</v>
      </c>
      <c r="E447" s="180" t="s">
        <v>208</v>
      </c>
      <c r="F447" s="180" t="s">
        <v>208</v>
      </c>
      <c r="G447" s="180" t="s">
        <v>208</v>
      </c>
      <c r="H447" s="181"/>
      <c r="I447" s="181"/>
      <c r="J447" s="181"/>
      <c r="K447" s="182" t="s">
        <v>240</v>
      </c>
      <c r="R447" s="157"/>
      <c r="S447" s="157"/>
    </row>
    <row r="448">
      <c r="A448" s="179">
        <f t="shared" si="4"/>
        <v>445</v>
      </c>
      <c r="B448" s="180"/>
      <c r="C448" s="180" t="s">
        <v>208</v>
      </c>
      <c r="D448" s="180" t="s">
        <v>208</v>
      </c>
      <c r="E448" s="180" t="s">
        <v>208</v>
      </c>
      <c r="F448" s="180" t="s">
        <v>208</v>
      </c>
      <c r="G448" s="180" t="s">
        <v>208</v>
      </c>
      <c r="H448" s="181"/>
      <c r="I448" s="181"/>
      <c r="J448" s="181"/>
      <c r="K448" s="182" t="s">
        <v>240</v>
      </c>
      <c r="R448" s="163"/>
      <c r="S448" s="163"/>
    </row>
    <row r="449">
      <c r="A449" s="179">
        <f t="shared" si="4"/>
        <v>446</v>
      </c>
      <c r="B449" s="180"/>
      <c r="C449" s="180" t="s">
        <v>208</v>
      </c>
      <c r="D449" s="180" t="s">
        <v>208</v>
      </c>
      <c r="E449" s="180" t="s">
        <v>208</v>
      </c>
      <c r="F449" s="180" t="s">
        <v>208</v>
      </c>
      <c r="G449" s="180" t="s">
        <v>208</v>
      </c>
      <c r="H449" s="181"/>
      <c r="I449" s="181"/>
      <c r="J449" s="181"/>
      <c r="K449" s="182" t="s">
        <v>240</v>
      </c>
      <c r="R449" s="163"/>
      <c r="S449" s="163"/>
    </row>
    <row r="450">
      <c r="A450" s="179">
        <f t="shared" si="4"/>
        <v>447</v>
      </c>
      <c r="B450" s="180"/>
      <c r="C450" s="180" t="s">
        <v>208</v>
      </c>
      <c r="D450" s="180" t="s">
        <v>208</v>
      </c>
      <c r="E450" s="180" t="s">
        <v>208</v>
      </c>
      <c r="F450" s="180" t="s">
        <v>208</v>
      </c>
      <c r="G450" s="180" t="s">
        <v>208</v>
      </c>
      <c r="H450" s="181"/>
      <c r="I450" s="181"/>
      <c r="J450" s="181"/>
      <c r="K450" s="182" t="s">
        <v>240</v>
      </c>
      <c r="R450" s="163"/>
      <c r="S450" s="163"/>
    </row>
    <row r="451">
      <c r="A451" s="179">
        <f t="shared" si="4"/>
        <v>448</v>
      </c>
      <c r="B451" s="180"/>
      <c r="C451" s="180" t="s">
        <v>208</v>
      </c>
      <c r="D451" s="180" t="s">
        <v>208</v>
      </c>
      <c r="E451" s="180" t="s">
        <v>208</v>
      </c>
      <c r="F451" s="180" t="s">
        <v>208</v>
      </c>
      <c r="G451" s="180" t="s">
        <v>208</v>
      </c>
      <c r="H451" s="181"/>
      <c r="I451" s="181"/>
      <c r="J451" s="181"/>
      <c r="K451" s="182" t="s">
        <v>240</v>
      </c>
      <c r="R451" s="163"/>
      <c r="S451" s="163"/>
    </row>
    <row r="452">
      <c r="A452" s="179">
        <f t="shared" si="4"/>
        <v>449</v>
      </c>
      <c r="B452" s="180"/>
      <c r="C452" s="180" t="s">
        <v>208</v>
      </c>
      <c r="D452" s="180" t="s">
        <v>208</v>
      </c>
      <c r="E452" s="180" t="s">
        <v>208</v>
      </c>
      <c r="F452" s="180" t="s">
        <v>208</v>
      </c>
      <c r="G452" s="180" t="s">
        <v>208</v>
      </c>
      <c r="H452" s="181"/>
      <c r="I452" s="181"/>
      <c r="J452" s="181"/>
      <c r="K452" s="182" t="s">
        <v>240</v>
      </c>
      <c r="R452" s="163"/>
      <c r="S452" s="163"/>
    </row>
    <row r="453">
      <c r="A453" s="179">
        <f t="shared" si="4"/>
        <v>450</v>
      </c>
      <c r="B453" s="180"/>
      <c r="C453" s="180" t="s">
        <v>208</v>
      </c>
      <c r="D453" s="180" t="s">
        <v>208</v>
      </c>
      <c r="E453" s="180" t="s">
        <v>208</v>
      </c>
      <c r="F453" s="180" t="s">
        <v>208</v>
      </c>
      <c r="G453" s="180" t="s">
        <v>208</v>
      </c>
      <c r="H453" s="181"/>
      <c r="I453" s="181"/>
      <c r="J453" s="181"/>
      <c r="K453" s="182" t="s">
        <v>240</v>
      </c>
      <c r="R453" s="163"/>
      <c r="S453" s="163"/>
    </row>
    <row r="454">
      <c r="A454" s="179">
        <f t="shared" si="4"/>
        <v>451</v>
      </c>
      <c r="B454" s="181"/>
      <c r="C454" s="180" t="s">
        <v>208</v>
      </c>
      <c r="D454" s="180" t="s">
        <v>208</v>
      </c>
      <c r="E454" s="180" t="s">
        <v>208</v>
      </c>
      <c r="F454" s="180" t="s">
        <v>208</v>
      </c>
      <c r="G454" s="180" t="s">
        <v>208</v>
      </c>
      <c r="H454" s="181"/>
      <c r="I454" s="181"/>
      <c r="J454" s="181"/>
      <c r="K454" s="182" t="s">
        <v>240</v>
      </c>
      <c r="R454" s="163"/>
      <c r="S454" s="163"/>
    </row>
    <row r="455">
      <c r="A455" s="179">
        <f t="shared" si="4"/>
        <v>452</v>
      </c>
      <c r="B455" s="180"/>
      <c r="C455" s="180" t="s">
        <v>208</v>
      </c>
      <c r="D455" s="180" t="s">
        <v>208</v>
      </c>
      <c r="E455" s="180" t="s">
        <v>208</v>
      </c>
      <c r="F455" s="180" t="s">
        <v>208</v>
      </c>
      <c r="G455" s="180" t="s">
        <v>208</v>
      </c>
      <c r="H455" s="181"/>
      <c r="I455" s="181"/>
      <c r="J455" s="181"/>
      <c r="K455" s="182" t="s">
        <v>240</v>
      </c>
      <c r="R455" s="163"/>
      <c r="S455" s="163"/>
    </row>
    <row r="456">
      <c r="A456" s="179">
        <f t="shared" si="4"/>
        <v>453</v>
      </c>
      <c r="B456" s="180"/>
      <c r="C456" s="180" t="s">
        <v>208</v>
      </c>
      <c r="D456" s="180" t="s">
        <v>208</v>
      </c>
      <c r="E456" s="180" t="s">
        <v>208</v>
      </c>
      <c r="F456" s="180" t="s">
        <v>208</v>
      </c>
      <c r="G456" s="180" t="s">
        <v>208</v>
      </c>
      <c r="H456" s="181"/>
      <c r="I456" s="181"/>
      <c r="J456" s="181"/>
      <c r="K456" s="182" t="s">
        <v>240</v>
      </c>
      <c r="R456" s="163"/>
      <c r="S456" s="163"/>
    </row>
    <row r="457">
      <c r="A457" s="179">
        <f t="shared" si="4"/>
        <v>454</v>
      </c>
      <c r="B457" s="180"/>
      <c r="C457" s="180" t="s">
        <v>208</v>
      </c>
      <c r="D457" s="180" t="s">
        <v>208</v>
      </c>
      <c r="E457" s="180" t="s">
        <v>208</v>
      </c>
      <c r="F457" s="180" t="s">
        <v>208</v>
      </c>
      <c r="G457" s="180" t="s">
        <v>208</v>
      </c>
      <c r="H457" s="181"/>
      <c r="I457" s="181"/>
      <c r="J457" s="181"/>
      <c r="K457" s="182" t="s">
        <v>240</v>
      </c>
      <c r="R457" s="163"/>
      <c r="S457" s="163"/>
    </row>
    <row r="458">
      <c r="A458" s="179">
        <f t="shared" si="4"/>
        <v>455</v>
      </c>
      <c r="B458" s="180"/>
      <c r="C458" s="180" t="s">
        <v>208</v>
      </c>
      <c r="D458" s="180" t="s">
        <v>208</v>
      </c>
      <c r="E458" s="180" t="s">
        <v>208</v>
      </c>
      <c r="F458" s="180" t="s">
        <v>208</v>
      </c>
      <c r="G458" s="180" t="s">
        <v>208</v>
      </c>
      <c r="H458" s="181"/>
      <c r="I458" s="181"/>
      <c r="J458" s="181"/>
      <c r="K458" s="182" t="s">
        <v>240</v>
      </c>
      <c r="R458" s="173"/>
      <c r="S458" s="173"/>
    </row>
    <row r="459">
      <c r="A459" s="179">
        <f t="shared" si="4"/>
        <v>456</v>
      </c>
      <c r="B459" s="180"/>
      <c r="C459" s="180" t="s">
        <v>208</v>
      </c>
      <c r="D459" s="180" t="s">
        <v>208</v>
      </c>
      <c r="E459" s="180" t="s">
        <v>208</v>
      </c>
      <c r="F459" s="180" t="s">
        <v>208</v>
      </c>
      <c r="G459" s="180" t="s">
        <v>208</v>
      </c>
      <c r="H459" s="181"/>
      <c r="I459" s="181"/>
      <c r="J459" s="181"/>
      <c r="K459" s="182" t="s">
        <v>240</v>
      </c>
      <c r="R459" s="157"/>
      <c r="S459" s="157"/>
    </row>
    <row r="460">
      <c r="A460" s="179">
        <f t="shared" si="4"/>
        <v>457</v>
      </c>
      <c r="B460" s="180"/>
      <c r="C460" s="180" t="s">
        <v>208</v>
      </c>
      <c r="D460" s="180" t="s">
        <v>208</v>
      </c>
      <c r="E460" s="180" t="s">
        <v>208</v>
      </c>
      <c r="F460" s="180" t="s">
        <v>208</v>
      </c>
      <c r="G460" s="180" t="s">
        <v>208</v>
      </c>
      <c r="H460" s="180"/>
      <c r="I460" s="181"/>
      <c r="J460" s="181"/>
      <c r="K460" s="182" t="s">
        <v>240</v>
      </c>
      <c r="R460" s="163"/>
      <c r="S460" s="163"/>
    </row>
    <row r="461">
      <c r="A461" s="179">
        <f t="shared" si="4"/>
        <v>458</v>
      </c>
      <c r="B461" s="181"/>
      <c r="C461" s="180" t="s">
        <v>208</v>
      </c>
      <c r="D461" s="180" t="s">
        <v>208</v>
      </c>
      <c r="E461" s="180" t="s">
        <v>208</v>
      </c>
      <c r="F461" s="180" t="s">
        <v>208</v>
      </c>
      <c r="G461" s="180" t="s">
        <v>208</v>
      </c>
      <c r="H461" s="181"/>
      <c r="I461" s="181"/>
      <c r="J461" s="181"/>
      <c r="K461" s="182" t="s">
        <v>240</v>
      </c>
      <c r="R461" s="163"/>
      <c r="S461" s="163"/>
    </row>
    <row r="462">
      <c r="A462" s="179">
        <f t="shared" si="4"/>
        <v>459</v>
      </c>
      <c r="B462" s="180"/>
      <c r="C462" s="180" t="s">
        <v>208</v>
      </c>
      <c r="D462" s="180" t="s">
        <v>208</v>
      </c>
      <c r="E462" s="180" t="s">
        <v>208</v>
      </c>
      <c r="F462" s="180" t="s">
        <v>208</v>
      </c>
      <c r="G462" s="180" t="s">
        <v>208</v>
      </c>
      <c r="H462" s="181"/>
      <c r="I462" s="181"/>
      <c r="J462" s="181"/>
      <c r="K462" s="182" t="s">
        <v>240</v>
      </c>
      <c r="R462" s="163"/>
      <c r="S462" s="163"/>
    </row>
    <row r="463">
      <c r="A463" s="179">
        <f t="shared" si="4"/>
        <v>460</v>
      </c>
      <c r="B463" s="180"/>
      <c r="C463" s="180" t="s">
        <v>208</v>
      </c>
      <c r="D463" s="180" t="s">
        <v>208</v>
      </c>
      <c r="E463" s="180" t="s">
        <v>208</v>
      </c>
      <c r="F463" s="180" t="s">
        <v>208</v>
      </c>
      <c r="G463" s="180" t="s">
        <v>208</v>
      </c>
      <c r="H463" s="181"/>
      <c r="I463" s="181"/>
      <c r="J463" s="181"/>
      <c r="K463" s="182" t="s">
        <v>240</v>
      </c>
      <c r="R463" s="163"/>
      <c r="S463" s="163"/>
    </row>
    <row r="464">
      <c r="A464" s="179">
        <f t="shared" si="4"/>
        <v>461</v>
      </c>
      <c r="B464" s="180"/>
      <c r="C464" s="180" t="s">
        <v>208</v>
      </c>
      <c r="D464" s="180" t="s">
        <v>208</v>
      </c>
      <c r="E464" s="180" t="s">
        <v>208</v>
      </c>
      <c r="F464" s="180" t="s">
        <v>208</v>
      </c>
      <c r="G464" s="180" t="s">
        <v>208</v>
      </c>
      <c r="H464" s="181"/>
      <c r="I464" s="181"/>
      <c r="J464" s="181"/>
      <c r="K464" s="182" t="s">
        <v>240</v>
      </c>
      <c r="R464" s="163"/>
      <c r="S464" s="163"/>
    </row>
    <row r="465">
      <c r="A465" s="179">
        <f t="shared" si="4"/>
        <v>462</v>
      </c>
      <c r="B465" s="180"/>
      <c r="C465" s="180" t="s">
        <v>208</v>
      </c>
      <c r="D465" s="180" t="s">
        <v>208</v>
      </c>
      <c r="E465" s="180" t="s">
        <v>208</v>
      </c>
      <c r="F465" s="180" t="s">
        <v>208</v>
      </c>
      <c r="G465" s="180" t="s">
        <v>208</v>
      </c>
      <c r="H465" s="181"/>
      <c r="I465" s="181"/>
      <c r="J465" s="181"/>
      <c r="K465" s="182" t="s">
        <v>240</v>
      </c>
      <c r="R465" s="163"/>
      <c r="S465" s="163"/>
    </row>
    <row r="466">
      <c r="A466" s="179">
        <f t="shared" si="4"/>
        <v>463</v>
      </c>
      <c r="B466" s="180"/>
      <c r="C466" s="180" t="s">
        <v>208</v>
      </c>
      <c r="D466" s="180" t="s">
        <v>208</v>
      </c>
      <c r="E466" s="180" t="s">
        <v>208</v>
      </c>
      <c r="F466" s="180" t="s">
        <v>208</v>
      </c>
      <c r="G466" s="180" t="s">
        <v>208</v>
      </c>
      <c r="H466" s="181"/>
      <c r="I466" s="181"/>
      <c r="J466" s="181"/>
      <c r="K466" s="182" t="s">
        <v>240</v>
      </c>
      <c r="R466" s="163"/>
      <c r="S466" s="163"/>
    </row>
    <row r="467">
      <c r="A467" s="179">
        <f t="shared" si="4"/>
        <v>464</v>
      </c>
      <c r="B467" s="180"/>
      <c r="C467" s="180" t="s">
        <v>208</v>
      </c>
      <c r="D467" s="180" t="s">
        <v>208</v>
      </c>
      <c r="E467" s="180" t="s">
        <v>208</v>
      </c>
      <c r="F467" s="180" t="s">
        <v>208</v>
      </c>
      <c r="G467" s="180" t="s">
        <v>208</v>
      </c>
      <c r="H467" s="181"/>
      <c r="I467" s="181"/>
      <c r="J467" s="181"/>
      <c r="K467" s="182" t="s">
        <v>240</v>
      </c>
      <c r="R467" s="163"/>
      <c r="S467" s="163"/>
    </row>
    <row r="468">
      <c r="A468" s="179">
        <f t="shared" si="4"/>
        <v>465</v>
      </c>
      <c r="B468" s="180"/>
      <c r="C468" s="180" t="s">
        <v>208</v>
      </c>
      <c r="D468" s="180" t="s">
        <v>208</v>
      </c>
      <c r="E468" s="180" t="s">
        <v>208</v>
      </c>
      <c r="F468" s="180" t="s">
        <v>208</v>
      </c>
      <c r="G468" s="180" t="s">
        <v>208</v>
      </c>
      <c r="H468" s="181"/>
      <c r="I468" s="181"/>
      <c r="J468" s="181"/>
      <c r="K468" s="182" t="s">
        <v>240</v>
      </c>
      <c r="R468" s="163"/>
      <c r="S468" s="163"/>
    </row>
    <row r="469">
      <c r="A469" s="179">
        <f t="shared" si="4"/>
        <v>466</v>
      </c>
      <c r="B469" s="180"/>
      <c r="C469" s="180" t="s">
        <v>208</v>
      </c>
      <c r="D469" s="180" t="s">
        <v>208</v>
      </c>
      <c r="E469" s="180" t="s">
        <v>208</v>
      </c>
      <c r="F469" s="180" t="s">
        <v>208</v>
      </c>
      <c r="G469" s="180" t="s">
        <v>208</v>
      </c>
      <c r="H469" s="181"/>
      <c r="I469" s="181"/>
      <c r="J469" s="181"/>
      <c r="K469" s="182" t="s">
        <v>240</v>
      </c>
      <c r="R469" s="163"/>
      <c r="S469" s="163"/>
    </row>
    <row r="470">
      <c r="A470" s="179">
        <f t="shared" si="4"/>
        <v>467</v>
      </c>
      <c r="B470" s="180"/>
      <c r="C470" s="180" t="s">
        <v>208</v>
      </c>
      <c r="D470" s="180" t="s">
        <v>208</v>
      </c>
      <c r="E470" s="180" t="s">
        <v>208</v>
      </c>
      <c r="F470" s="180" t="s">
        <v>208</v>
      </c>
      <c r="G470" s="180" t="s">
        <v>208</v>
      </c>
      <c r="H470" s="181"/>
      <c r="I470" s="181"/>
      <c r="J470" s="181"/>
      <c r="K470" s="182" t="s">
        <v>240</v>
      </c>
      <c r="R470" s="173"/>
      <c r="S470" s="173"/>
    </row>
    <row r="471">
      <c r="A471" s="179">
        <f t="shared" si="4"/>
        <v>468</v>
      </c>
      <c r="B471" s="180"/>
      <c r="C471" s="180" t="s">
        <v>208</v>
      </c>
      <c r="D471" s="180" t="s">
        <v>208</v>
      </c>
      <c r="E471" s="180" t="s">
        <v>208</v>
      </c>
      <c r="F471" s="180" t="s">
        <v>208</v>
      </c>
      <c r="G471" s="180" t="s">
        <v>208</v>
      </c>
      <c r="H471" s="181"/>
      <c r="I471" s="181"/>
      <c r="J471" s="181"/>
      <c r="K471" s="182" t="s">
        <v>240</v>
      </c>
      <c r="R471" s="157"/>
      <c r="S471" s="157"/>
    </row>
    <row r="472">
      <c r="A472" s="179">
        <f t="shared" si="4"/>
        <v>469</v>
      </c>
      <c r="B472" s="180"/>
      <c r="C472" s="180" t="s">
        <v>208</v>
      </c>
      <c r="D472" s="180" t="s">
        <v>208</v>
      </c>
      <c r="E472" s="180" t="s">
        <v>208</v>
      </c>
      <c r="F472" s="180" t="s">
        <v>208</v>
      </c>
      <c r="G472" s="180" t="s">
        <v>208</v>
      </c>
      <c r="H472" s="181"/>
      <c r="I472" s="181"/>
      <c r="J472" s="181"/>
      <c r="K472" s="182" t="s">
        <v>240</v>
      </c>
      <c r="R472" s="163"/>
      <c r="S472" s="163"/>
    </row>
    <row r="473">
      <c r="A473" s="179">
        <f t="shared" si="4"/>
        <v>470</v>
      </c>
      <c r="B473" s="181"/>
      <c r="C473" s="180" t="s">
        <v>208</v>
      </c>
      <c r="D473" s="180" t="s">
        <v>208</v>
      </c>
      <c r="E473" s="180" t="s">
        <v>208</v>
      </c>
      <c r="F473" s="180" t="s">
        <v>208</v>
      </c>
      <c r="G473" s="180" t="s">
        <v>208</v>
      </c>
      <c r="H473" s="180"/>
      <c r="I473" s="181"/>
      <c r="J473" s="181"/>
      <c r="K473" s="182" t="s">
        <v>240</v>
      </c>
      <c r="R473" s="163"/>
      <c r="S473" s="163"/>
    </row>
    <row r="474">
      <c r="A474" s="179">
        <f t="shared" si="4"/>
        <v>471</v>
      </c>
      <c r="B474" s="180"/>
      <c r="C474" s="180" t="s">
        <v>208</v>
      </c>
      <c r="D474" s="180" t="s">
        <v>208</v>
      </c>
      <c r="E474" s="180" t="s">
        <v>208</v>
      </c>
      <c r="F474" s="180" t="s">
        <v>208</v>
      </c>
      <c r="G474" s="180" t="s">
        <v>208</v>
      </c>
      <c r="H474" s="181"/>
      <c r="I474" s="181"/>
      <c r="J474" s="181"/>
      <c r="K474" s="182" t="s">
        <v>240</v>
      </c>
      <c r="R474" s="163"/>
      <c r="S474" s="163"/>
    </row>
    <row r="475">
      <c r="A475" s="179">
        <f t="shared" si="4"/>
        <v>472</v>
      </c>
      <c r="B475" s="180"/>
      <c r="C475" s="180" t="s">
        <v>208</v>
      </c>
      <c r="D475" s="180" t="s">
        <v>208</v>
      </c>
      <c r="E475" s="180" t="s">
        <v>208</v>
      </c>
      <c r="F475" s="180" t="s">
        <v>208</v>
      </c>
      <c r="G475" s="180" t="s">
        <v>208</v>
      </c>
      <c r="H475" s="181"/>
      <c r="I475" s="181"/>
      <c r="J475" s="181"/>
      <c r="K475" s="182" t="s">
        <v>240</v>
      </c>
      <c r="R475" s="163"/>
      <c r="S475" s="163"/>
    </row>
    <row r="476">
      <c r="A476" s="179">
        <f t="shared" si="4"/>
        <v>473</v>
      </c>
      <c r="B476" s="180"/>
      <c r="C476" s="180" t="s">
        <v>208</v>
      </c>
      <c r="D476" s="180" t="s">
        <v>208</v>
      </c>
      <c r="E476" s="180" t="s">
        <v>208</v>
      </c>
      <c r="F476" s="180" t="s">
        <v>208</v>
      </c>
      <c r="G476" s="180" t="s">
        <v>208</v>
      </c>
      <c r="H476" s="181"/>
      <c r="I476" s="181"/>
      <c r="J476" s="181"/>
      <c r="K476" s="182" t="s">
        <v>240</v>
      </c>
      <c r="R476" s="163"/>
      <c r="S476" s="163"/>
    </row>
    <row r="477">
      <c r="A477" s="179">
        <f t="shared" si="4"/>
        <v>474</v>
      </c>
      <c r="B477" s="180"/>
      <c r="C477" s="180" t="s">
        <v>208</v>
      </c>
      <c r="D477" s="180" t="s">
        <v>208</v>
      </c>
      <c r="E477" s="180"/>
      <c r="F477" s="180" t="s">
        <v>208</v>
      </c>
      <c r="G477" s="180" t="s">
        <v>208</v>
      </c>
      <c r="H477" s="181"/>
      <c r="I477" s="181"/>
      <c r="J477" s="181"/>
      <c r="K477" s="182" t="s">
        <v>240</v>
      </c>
      <c r="R477" s="163"/>
      <c r="S477" s="163"/>
    </row>
    <row r="478">
      <c r="A478" s="179">
        <f t="shared" si="4"/>
        <v>475</v>
      </c>
      <c r="B478" s="180"/>
      <c r="C478" s="180" t="s">
        <v>208</v>
      </c>
      <c r="D478" s="180" t="s">
        <v>208</v>
      </c>
      <c r="E478" s="180" t="s">
        <v>208</v>
      </c>
      <c r="F478" s="180" t="s">
        <v>208</v>
      </c>
      <c r="G478" s="180" t="s">
        <v>208</v>
      </c>
      <c r="H478" s="181"/>
      <c r="I478" s="181"/>
      <c r="J478" s="181"/>
      <c r="K478" s="182" t="s">
        <v>240</v>
      </c>
      <c r="R478" s="163"/>
      <c r="S478" s="163"/>
    </row>
    <row r="479">
      <c r="A479" s="179">
        <f t="shared" si="4"/>
        <v>476</v>
      </c>
      <c r="B479" s="180"/>
      <c r="C479" s="180" t="s">
        <v>208</v>
      </c>
      <c r="D479" s="180" t="s">
        <v>208</v>
      </c>
      <c r="E479" s="180" t="s">
        <v>208</v>
      </c>
      <c r="F479" s="180" t="s">
        <v>208</v>
      </c>
      <c r="G479" s="180" t="s">
        <v>208</v>
      </c>
      <c r="H479" s="181"/>
      <c r="I479" s="181"/>
      <c r="J479" s="181"/>
      <c r="K479" s="182" t="s">
        <v>240</v>
      </c>
      <c r="R479" s="163"/>
      <c r="S479" s="163"/>
    </row>
    <row r="480">
      <c r="A480" s="179">
        <f t="shared" si="4"/>
        <v>477</v>
      </c>
      <c r="B480" s="181"/>
      <c r="C480" s="180" t="s">
        <v>208</v>
      </c>
      <c r="D480" s="180" t="s">
        <v>208</v>
      </c>
      <c r="E480" s="180" t="s">
        <v>208</v>
      </c>
      <c r="F480" s="180" t="s">
        <v>208</v>
      </c>
      <c r="G480" s="180" t="s">
        <v>208</v>
      </c>
      <c r="H480" s="180"/>
      <c r="I480" s="181"/>
      <c r="J480" s="181"/>
      <c r="K480" s="182" t="s">
        <v>240</v>
      </c>
      <c r="R480" s="163"/>
      <c r="S480" s="163"/>
    </row>
    <row r="481">
      <c r="A481" s="179">
        <f t="shared" si="4"/>
        <v>478</v>
      </c>
      <c r="B481" s="180"/>
      <c r="C481" s="180" t="s">
        <v>208</v>
      </c>
      <c r="D481" s="180" t="s">
        <v>208</v>
      </c>
      <c r="E481" s="180" t="s">
        <v>208</v>
      </c>
      <c r="F481" s="180" t="s">
        <v>208</v>
      </c>
      <c r="G481" s="180" t="s">
        <v>208</v>
      </c>
      <c r="H481" s="181"/>
      <c r="I481" s="181"/>
      <c r="J481" s="181"/>
      <c r="K481" s="182" t="s">
        <v>240</v>
      </c>
      <c r="R481" s="163"/>
      <c r="S481" s="163"/>
    </row>
    <row r="482">
      <c r="A482" s="179">
        <f t="shared" si="4"/>
        <v>479</v>
      </c>
      <c r="B482" s="180"/>
      <c r="C482" s="180" t="s">
        <v>208</v>
      </c>
      <c r="D482" s="180" t="s">
        <v>208</v>
      </c>
      <c r="E482" s="180" t="s">
        <v>208</v>
      </c>
      <c r="F482" s="180" t="s">
        <v>208</v>
      </c>
      <c r="G482" s="180" t="s">
        <v>208</v>
      </c>
      <c r="H482" s="181"/>
      <c r="I482" s="181"/>
      <c r="J482" s="181"/>
      <c r="K482" s="182" t="s">
        <v>240</v>
      </c>
      <c r="R482" s="173"/>
      <c r="S482" s="173"/>
    </row>
    <row r="483">
      <c r="A483" s="179">
        <f t="shared" si="4"/>
        <v>480</v>
      </c>
      <c r="B483" s="180"/>
      <c r="C483" s="180" t="s">
        <v>208</v>
      </c>
      <c r="D483" s="180" t="s">
        <v>208</v>
      </c>
      <c r="E483" s="180" t="s">
        <v>208</v>
      </c>
      <c r="F483" s="180" t="s">
        <v>208</v>
      </c>
      <c r="G483" s="180" t="s">
        <v>208</v>
      </c>
      <c r="H483" s="181"/>
      <c r="I483" s="181"/>
      <c r="J483" s="181"/>
      <c r="K483" s="182" t="s">
        <v>240</v>
      </c>
      <c r="R483" s="157"/>
      <c r="S483" s="157"/>
    </row>
    <row r="484">
      <c r="A484" s="179">
        <f t="shared" si="4"/>
        <v>481</v>
      </c>
      <c r="B484" s="180"/>
      <c r="C484" s="180" t="s">
        <v>208</v>
      </c>
      <c r="D484" s="180" t="s">
        <v>208</v>
      </c>
      <c r="E484" s="180" t="s">
        <v>208</v>
      </c>
      <c r="F484" s="180" t="s">
        <v>208</v>
      </c>
      <c r="G484" s="180" t="s">
        <v>208</v>
      </c>
      <c r="H484" s="181"/>
      <c r="I484" s="181"/>
      <c r="J484" s="181"/>
      <c r="K484" s="182" t="s">
        <v>240</v>
      </c>
      <c r="R484" s="163"/>
      <c r="S484" s="163"/>
    </row>
    <row r="485">
      <c r="A485" s="179">
        <f t="shared" si="4"/>
        <v>482</v>
      </c>
      <c r="B485" s="180"/>
      <c r="C485" s="180" t="s">
        <v>208</v>
      </c>
      <c r="D485" s="180" t="s">
        <v>208</v>
      </c>
      <c r="E485" s="180" t="s">
        <v>208</v>
      </c>
      <c r="F485" s="180" t="s">
        <v>208</v>
      </c>
      <c r="G485" s="180" t="s">
        <v>208</v>
      </c>
      <c r="H485" s="181"/>
      <c r="I485" s="181"/>
      <c r="J485" s="181"/>
      <c r="K485" s="182" t="s">
        <v>240</v>
      </c>
      <c r="R485" s="163"/>
      <c r="S485" s="163"/>
    </row>
    <row r="486">
      <c r="A486" s="179">
        <f t="shared" si="4"/>
        <v>483</v>
      </c>
      <c r="B486" s="180"/>
      <c r="C486" s="180" t="s">
        <v>208</v>
      </c>
      <c r="D486" s="180" t="s">
        <v>208</v>
      </c>
      <c r="E486" s="180" t="s">
        <v>208</v>
      </c>
      <c r="F486" s="180" t="s">
        <v>208</v>
      </c>
      <c r="G486" s="180" t="s">
        <v>208</v>
      </c>
      <c r="H486" s="181"/>
      <c r="I486" s="181"/>
      <c r="J486" s="181"/>
      <c r="K486" s="182" t="s">
        <v>240</v>
      </c>
      <c r="R486" s="163"/>
      <c r="S486" s="163"/>
    </row>
    <row r="487">
      <c r="A487" s="179">
        <f t="shared" si="4"/>
        <v>484</v>
      </c>
      <c r="B487" s="180"/>
      <c r="C487" s="180" t="s">
        <v>208</v>
      </c>
      <c r="D487" s="180" t="s">
        <v>208</v>
      </c>
      <c r="E487" s="180" t="s">
        <v>208</v>
      </c>
      <c r="F487" s="180" t="s">
        <v>208</v>
      </c>
      <c r="G487" s="180" t="s">
        <v>208</v>
      </c>
      <c r="H487" s="181"/>
      <c r="I487" s="181"/>
      <c r="J487" s="181"/>
      <c r="K487" s="182" t="s">
        <v>240</v>
      </c>
      <c r="R487" s="163"/>
      <c r="S487" s="163"/>
    </row>
    <row r="488">
      <c r="A488" s="179">
        <f t="shared" si="4"/>
        <v>485</v>
      </c>
      <c r="B488" s="180"/>
      <c r="C488" s="180" t="s">
        <v>208</v>
      </c>
      <c r="D488" s="180" t="s">
        <v>208</v>
      </c>
      <c r="E488" s="180" t="s">
        <v>208</v>
      </c>
      <c r="F488" s="180" t="s">
        <v>208</v>
      </c>
      <c r="G488" s="180" t="s">
        <v>208</v>
      </c>
      <c r="H488" s="181"/>
      <c r="I488" s="181"/>
      <c r="J488" s="181"/>
      <c r="K488" s="182" t="s">
        <v>240</v>
      </c>
      <c r="R488" s="163"/>
      <c r="S488" s="163"/>
    </row>
    <row r="489">
      <c r="A489" s="179">
        <f t="shared" si="4"/>
        <v>486</v>
      </c>
      <c r="B489" s="181"/>
      <c r="C489" s="180" t="s">
        <v>208</v>
      </c>
      <c r="D489" s="180" t="s">
        <v>208</v>
      </c>
      <c r="E489" s="180" t="s">
        <v>208</v>
      </c>
      <c r="F489" s="180" t="s">
        <v>208</v>
      </c>
      <c r="G489" s="180" t="s">
        <v>208</v>
      </c>
      <c r="H489" s="181"/>
      <c r="I489" s="181"/>
      <c r="J489" s="181"/>
      <c r="K489" s="182" t="s">
        <v>240</v>
      </c>
      <c r="R489" s="163"/>
      <c r="S489" s="163"/>
    </row>
    <row r="490">
      <c r="A490" s="179">
        <f t="shared" si="4"/>
        <v>487</v>
      </c>
      <c r="B490" s="180"/>
      <c r="C490" s="180" t="s">
        <v>208</v>
      </c>
      <c r="D490" s="180" t="s">
        <v>208</v>
      </c>
      <c r="E490" s="180" t="s">
        <v>208</v>
      </c>
      <c r="F490" s="180" t="s">
        <v>208</v>
      </c>
      <c r="G490" s="180" t="s">
        <v>208</v>
      </c>
      <c r="H490" s="181"/>
      <c r="I490" s="181"/>
      <c r="J490" s="181"/>
      <c r="K490" s="182" t="s">
        <v>240</v>
      </c>
      <c r="R490" s="163"/>
      <c r="S490" s="163"/>
    </row>
    <row r="491">
      <c r="A491" s="179">
        <f t="shared" si="4"/>
        <v>488</v>
      </c>
      <c r="B491" s="180"/>
      <c r="C491" s="180" t="s">
        <v>208</v>
      </c>
      <c r="D491" s="180" t="s">
        <v>208</v>
      </c>
      <c r="E491" s="180" t="s">
        <v>208</v>
      </c>
      <c r="F491" s="180" t="s">
        <v>208</v>
      </c>
      <c r="G491" s="180" t="s">
        <v>208</v>
      </c>
      <c r="H491" s="181"/>
      <c r="I491" s="181"/>
      <c r="J491" s="181"/>
      <c r="K491" s="182" t="s">
        <v>240</v>
      </c>
      <c r="R491" s="163"/>
      <c r="S491" s="163"/>
    </row>
    <row r="492">
      <c r="A492" s="179">
        <f t="shared" si="4"/>
        <v>489</v>
      </c>
      <c r="B492" s="181"/>
      <c r="C492" s="180" t="s">
        <v>208</v>
      </c>
      <c r="D492" s="180" t="s">
        <v>208</v>
      </c>
      <c r="E492" s="180" t="s">
        <v>208</v>
      </c>
      <c r="F492" s="180" t="s">
        <v>208</v>
      </c>
      <c r="G492" s="180" t="s">
        <v>208</v>
      </c>
      <c r="H492" s="181"/>
      <c r="I492" s="181"/>
      <c r="J492" s="181"/>
      <c r="K492" s="182" t="s">
        <v>240</v>
      </c>
      <c r="R492" s="163"/>
      <c r="S492" s="163"/>
    </row>
    <row r="493">
      <c r="A493" s="179">
        <f t="shared" si="4"/>
        <v>490</v>
      </c>
      <c r="B493" s="180"/>
      <c r="C493" s="180" t="s">
        <v>208</v>
      </c>
      <c r="D493" s="180" t="s">
        <v>208</v>
      </c>
      <c r="E493" s="180" t="s">
        <v>208</v>
      </c>
      <c r="F493" s="180" t="s">
        <v>208</v>
      </c>
      <c r="G493" s="180" t="s">
        <v>208</v>
      </c>
      <c r="H493" s="181"/>
      <c r="I493" s="181"/>
      <c r="J493" s="181"/>
      <c r="K493" s="182" t="s">
        <v>240</v>
      </c>
      <c r="R493" s="163"/>
      <c r="S493" s="163"/>
    </row>
    <row r="494">
      <c r="A494" s="179">
        <f t="shared" si="4"/>
        <v>491</v>
      </c>
      <c r="B494" s="181"/>
      <c r="C494" s="180" t="s">
        <v>208</v>
      </c>
      <c r="D494" s="180" t="s">
        <v>208</v>
      </c>
      <c r="E494" s="180" t="s">
        <v>208</v>
      </c>
      <c r="F494" s="180" t="s">
        <v>208</v>
      </c>
      <c r="G494" s="180" t="s">
        <v>208</v>
      </c>
      <c r="H494" s="181"/>
      <c r="I494" s="181"/>
      <c r="J494" s="181"/>
      <c r="K494" s="182" t="s">
        <v>240</v>
      </c>
      <c r="R494" s="173"/>
      <c r="S494" s="173"/>
    </row>
    <row r="495">
      <c r="A495" s="179">
        <f t="shared" si="4"/>
        <v>492</v>
      </c>
      <c r="B495" s="180"/>
      <c r="C495" s="180" t="s">
        <v>208</v>
      </c>
      <c r="D495" s="180" t="s">
        <v>208</v>
      </c>
      <c r="E495" s="180" t="s">
        <v>208</v>
      </c>
      <c r="F495" s="180" t="s">
        <v>208</v>
      </c>
      <c r="G495" s="180" t="s">
        <v>208</v>
      </c>
      <c r="H495" s="181"/>
      <c r="I495" s="181"/>
      <c r="J495" s="181"/>
      <c r="K495" s="182" t="s">
        <v>240</v>
      </c>
      <c r="R495" s="157"/>
      <c r="S495" s="157"/>
    </row>
    <row r="496">
      <c r="A496" s="179">
        <f t="shared" si="4"/>
        <v>493</v>
      </c>
      <c r="B496" s="180"/>
      <c r="C496" s="180" t="s">
        <v>208</v>
      </c>
      <c r="D496" s="180" t="s">
        <v>208</v>
      </c>
      <c r="E496" s="180" t="s">
        <v>208</v>
      </c>
      <c r="F496" s="180" t="s">
        <v>208</v>
      </c>
      <c r="G496" s="180" t="s">
        <v>208</v>
      </c>
      <c r="H496" s="181"/>
      <c r="I496" s="181"/>
      <c r="J496" s="181"/>
      <c r="K496" s="182" t="s">
        <v>240</v>
      </c>
      <c r="R496" s="163"/>
      <c r="S496" s="163"/>
    </row>
    <row r="497">
      <c r="A497" s="179">
        <f t="shared" si="4"/>
        <v>494</v>
      </c>
      <c r="B497" s="180"/>
      <c r="C497" s="180" t="s">
        <v>208</v>
      </c>
      <c r="D497" s="180" t="s">
        <v>208</v>
      </c>
      <c r="E497" s="180" t="s">
        <v>208</v>
      </c>
      <c r="F497" s="180" t="s">
        <v>208</v>
      </c>
      <c r="G497" s="180" t="s">
        <v>208</v>
      </c>
      <c r="H497" s="181"/>
      <c r="I497" s="181"/>
      <c r="J497" s="181"/>
      <c r="K497" s="182" t="s">
        <v>240</v>
      </c>
      <c r="R497" s="163"/>
      <c r="S497" s="163"/>
    </row>
    <row r="498">
      <c r="A498" s="179">
        <f t="shared" si="4"/>
        <v>495</v>
      </c>
      <c r="B498" s="180"/>
      <c r="C498" s="180" t="s">
        <v>208</v>
      </c>
      <c r="D498" s="180" t="s">
        <v>208</v>
      </c>
      <c r="E498" s="180"/>
      <c r="F498" s="180" t="s">
        <v>208</v>
      </c>
      <c r="G498" s="180" t="s">
        <v>208</v>
      </c>
      <c r="H498" s="181"/>
      <c r="I498" s="181"/>
      <c r="J498" s="181"/>
      <c r="K498" s="182" t="s">
        <v>240</v>
      </c>
      <c r="R498" s="163"/>
      <c r="S498" s="163"/>
    </row>
    <row r="499">
      <c r="A499" s="179">
        <f t="shared" si="4"/>
        <v>496</v>
      </c>
      <c r="B499" s="180"/>
      <c r="C499" s="180" t="s">
        <v>208</v>
      </c>
      <c r="D499" s="180" t="s">
        <v>208</v>
      </c>
      <c r="E499" s="180" t="s">
        <v>208</v>
      </c>
      <c r="F499" s="180" t="s">
        <v>208</v>
      </c>
      <c r="G499" s="180" t="s">
        <v>208</v>
      </c>
      <c r="H499" s="181"/>
      <c r="I499" s="181"/>
      <c r="J499" s="181"/>
      <c r="K499" s="182" t="s">
        <v>240</v>
      </c>
      <c r="R499" s="163"/>
      <c r="S499" s="163"/>
    </row>
    <row r="500">
      <c r="A500" s="179">
        <f t="shared" si="4"/>
        <v>497</v>
      </c>
      <c r="B500" s="181"/>
      <c r="C500" s="180" t="s">
        <v>208</v>
      </c>
      <c r="D500" s="180" t="s">
        <v>208</v>
      </c>
      <c r="E500" s="180" t="s">
        <v>208</v>
      </c>
      <c r="F500" s="180" t="s">
        <v>208</v>
      </c>
      <c r="G500" s="180" t="s">
        <v>208</v>
      </c>
      <c r="H500" s="181"/>
      <c r="I500" s="181"/>
      <c r="J500" s="181"/>
      <c r="K500" s="182" t="s">
        <v>240</v>
      </c>
      <c r="R500" s="163"/>
      <c r="S500" s="163"/>
    </row>
    <row r="501">
      <c r="A501" s="179">
        <f t="shared" si="4"/>
        <v>498</v>
      </c>
      <c r="B501" s="180"/>
      <c r="C501" s="180" t="s">
        <v>208</v>
      </c>
      <c r="D501" s="180" t="s">
        <v>208</v>
      </c>
      <c r="E501" s="180" t="s">
        <v>208</v>
      </c>
      <c r="F501" s="180" t="s">
        <v>208</v>
      </c>
      <c r="G501" s="180" t="s">
        <v>208</v>
      </c>
      <c r="H501" s="181"/>
      <c r="I501" s="181"/>
      <c r="J501" s="181"/>
      <c r="K501" s="182" t="s">
        <v>240</v>
      </c>
      <c r="R501" s="163"/>
      <c r="S501" s="163"/>
    </row>
    <row r="502">
      <c r="A502" s="179">
        <f t="shared" si="4"/>
        <v>499</v>
      </c>
      <c r="B502" s="180"/>
      <c r="C502" s="180" t="s">
        <v>208</v>
      </c>
      <c r="D502" s="180" t="s">
        <v>208</v>
      </c>
      <c r="E502" s="180" t="s">
        <v>208</v>
      </c>
      <c r="F502" s="180" t="s">
        <v>208</v>
      </c>
      <c r="G502" s="180" t="s">
        <v>208</v>
      </c>
      <c r="H502" s="181"/>
      <c r="I502" s="181"/>
      <c r="J502" s="181"/>
      <c r="K502" s="182" t="s">
        <v>240</v>
      </c>
      <c r="R502" s="163"/>
      <c r="S502" s="163"/>
    </row>
    <row r="503">
      <c r="A503" s="179">
        <f t="shared" si="4"/>
        <v>500</v>
      </c>
      <c r="B503" s="180"/>
      <c r="C503" s="180" t="s">
        <v>208</v>
      </c>
      <c r="D503" s="180" t="s">
        <v>208</v>
      </c>
      <c r="E503" s="180" t="s">
        <v>208</v>
      </c>
      <c r="F503" s="180" t="s">
        <v>208</v>
      </c>
      <c r="G503" s="180" t="s">
        <v>208</v>
      </c>
      <c r="H503" s="181"/>
      <c r="I503" s="181"/>
      <c r="J503" s="181"/>
      <c r="K503" s="182" t="s">
        <v>240</v>
      </c>
      <c r="R503" s="163"/>
      <c r="S503" s="163"/>
    </row>
    <row r="504">
      <c r="A504" s="179">
        <f t="shared" si="4"/>
        <v>501</v>
      </c>
      <c r="B504" s="180"/>
      <c r="C504" s="180" t="s">
        <v>208</v>
      </c>
      <c r="D504" s="180" t="s">
        <v>208</v>
      </c>
      <c r="E504" s="180" t="s">
        <v>208</v>
      </c>
      <c r="F504" s="180" t="s">
        <v>208</v>
      </c>
      <c r="G504" s="180" t="s">
        <v>208</v>
      </c>
      <c r="H504" s="181"/>
      <c r="I504" s="181"/>
      <c r="J504" s="181"/>
      <c r="K504" s="182" t="s">
        <v>240</v>
      </c>
      <c r="R504" s="163"/>
      <c r="S504" s="163"/>
    </row>
    <row r="505">
      <c r="A505" s="179">
        <f t="shared" si="4"/>
        <v>502</v>
      </c>
      <c r="B505" s="180"/>
      <c r="C505" s="180" t="s">
        <v>208</v>
      </c>
      <c r="D505" s="180" t="s">
        <v>208</v>
      </c>
      <c r="E505" s="180" t="s">
        <v>208</v>
      </c>
      <c r="F505" s="180" t="s">
        <v>208</v>
      </c>
      <c r="G505" s="180" t="s">
        <v>208</v>
      </c>
      <c r="H505" s="181"/>
      <c r="I505" s="181"/>
      <c r="J505" s="181"/>
      <c r="K505" s="182" t="s">
        <v>240</v>
      </c>
      <c r="R505" s="163"/>
      <c r="S505" s="163"/>
    </row>
    <row r="506">
      <c r="A506" s="179">
        <f t="shared" si="4"/>
        <v>503</v>
      </c>
      <c r="B506" s="180"/>
      <c r="C506" s="180" t="s">
        <v>208</v>
      </c>
      <c r="D506" s="180" t="s">
        <v>208</v>
      </c>
      <c r="E506" s="180" t="s">
        <v>208</v>
      </c>
      <c r="F506" s="180" t="s">
        <v>208</v>
      </c>
      <c r="G506" s="180" t="s">
        <v>208</v>
      </c>
      <c r="H506" s="181"/>
      <c r="I506" s="181"/>
      <c r="J506" s="181"/>
      <c r="K506" s="182" t="s">
        <v>240</v>
      </c>
      <c r="R506" s="173"/>
      <c r="S506" s="173"/>
    </row>
    <row r="507">
      <c r="A507" s="179">
        <f t="shared" si="4"/>
        <v>504</v>
      </c>
      <c r="B507" s="180"/>
      <c r="C507" s="180" t="s">
        <v>208</v>
      </c>
      <c r="D507" s="180" t="s">
        <v>208</v>
      </c>
      <c r="E507" s="180" t="s">
        <v>208</v>
      </c>
      <c r="F507" s="180" t="s">
        <v>208</v>
      </c>
      <c r="G507" s="180" t="s">
        <v>208</v>
      </c>
      <c r="H507" s="181"/>
      <c r="I507" s="181"/>
      <c r="J507" s="181"/>
      <c r="K507" s="182" t="s">
        <v>240</v>
      </c>
      <c r="R507" s="157"/>
      <c r="S507" s="157"/>
    </row>
    <row r="508">
      <c r="A508" s="179">
        <f t="shared" si="4"/>
        <v>505</v>
      </c>
      <c r="B508" s="180"/>
      <c r="C508" s="180" t="s">
        <v>208</v>
      </c>
      <c r="D508" s="180" t="s">
        <v>208</v>
      </c>
      <c r="E508" s="180" t="s">
        <v>208</v>
      </c>
      <c r="F508" s="180" t="s">
        <v>208</v>
      </c>
      <c r="G508" s="180" t="s">
        <v>208</v>
      </c>
      <c r="H508" s="181"/>
      <c r="I508" s="181"/>
      <c r="J508" s="181"/>
      <c r="K508" s="182" t="s">
        <v>240</v>
      </c>
      <c r="R508" s="163"/>
      <c r="S508" s="163"/>
    </row>
    <row r="509">
      <c r="A509" s="179">
        <f t="shared" si="4"/>
        <v>506</v>
      </c>
      <c r="B509" s="180"/>
      <c r="C509" s="180" t="s">
        <v>208</v>
      </c>
      <c r="D509" s="180" t="s">
        <v>208</v>
      </c>
      <c r="E509" s="180" t="s">
        <v>208</v>
      </c>
      <c r="F509" s="180" t="s">
        <v>208</v>
      </c>
      <c r="G509" s="180" t="s">
        <v>208</v>
      </c>
      <c r="H509" s="181"/>
      <c r="I509" s="181"/>
      <c r="J509" s="181"/>
      <c r="K509" s="182" t="s">
        <v>240</v>
      </c>
      <c r="R509" s="163"/>
      <c r="S509" s="163"/>
    </row>
    <row r="510">
      <c r="A510" s="179">
        <f t="shared" si="4"/>
        <v>507</v>
      </c>
      <c r="B510" s="180"/>
      <c r="C510" s="180" t="s">
        <v>208</v>
      </c>
      <c r="D510" s="180" t="s">
        <v>208</v>
      </c>
      <c r="E510" s="180" t="s">
        <v>208</v>
      </c>
      <c r="F510" s="180" t="s">
        <v>208</v>
      </c>
      <c r="G510" s="180" t="s">
        <v>208</v>
      </c>
      <c r="H510" s="181"/>
      <c r="I510" s="181"/>
      <c r="J510" s="181"/>
      <c r="K510" s="182" t="s">
        <v>240</v>
      </c>
      <c r="R510" s="163"/>
      <c r="S510" s="163"/>
    </row>
    <row r="511">
      <c r="A511" s="179">
        <f t="shared" si="4"/>
        <v>508</v>
      </c>
      <c r="B511" s="180"/>
      <c r="C511" s="180" t="s">
        <v>208</v>
      </c>
      <c r="D511" s="180" t="s">
        <v>208</v>
      </c>
      <c r="E511" s="180" t="s">
        <v>208</v>
      </c>
      <c r="F511" s="180" t="s">
        <v>208</v>
      </c>
      <c r="G511" s="180" t="s">
        <v>208</v>
      </c>
      <c r="H511" s="181"/>
      <c r="I511" s="181"/>
      <c r="J511" s="181"/>
      <c r="K511" s="182" t="s">
        <v>240</v>
      </c>
      <c r="R511" s="163"/>
      <c r="S511" s="163"/>
    </row>
    <row r="512">
      <c r="A512" s="179">
        <f t="shared" si="4"/>
        <v>509</v>
      </c>
      <c r="B512" s="181"/>
      <c r="C512" s="180" t="s">
        <v>208</v>
      </c>
      <c r="D512" s="180" t="s">
        <v>208</v>
      </c>
      <c r="E512" s="180" t="s">
        <v>208</v>
      </c>
      <c r="F512" s="180" t="s">
        <v>208</v>
      </c>
      <c r="G512" s="180" t="s">
        <v>208</v>
      </c>
      <c r="H512" s="180"/>
      <c r="I512" s="181"/>
      <c r="J512" s="181"/>
      <c r="K512" s="182" t="s">
        <v>240</v>
      </c>
      <c r="R512" s="163"/>
      <c r="S512" s="163"/>
    </row>
    <row r="513">
      <c r="A513" s="179">
        <f t="shared" si="4"/>
        <v>510</v>
      </c>
      <c r="B513" s="181"/>
      <c r="C513" s="180" t="s">
        <v>208</v>
      </c>
      <c r="D513" s="180" t="s">
        <v>208</v>
      </c>
      <c r="E513" s="180" t="s">
        <v>208</v>
      </c>
      <c r="F513" s="180" t="s">
        <v>208</v>
      </c>
      <c r="G513" s="180" t="s">
        <v>208</v>
      </c>
      <c r="H513" s="180"/>
      <c r="I513" s="181"/>
      <c r="J513" s="181"/>
      <c r="K513" s="182" t="s">
        <v>240</v>
      </c>
      <c r="R513" s="163"/>
      <c r="S513" s="163"/>
    </row>
    <row r="514">
      <c r="A514" s="179">
        <f t="shared" si="4"/>
        <v>511</v>
      </c>
      <c r="B514" s="180"/>
      <c r="C514" s="180" t="s">
        <v>208</v>
      </c>
      <c r="D514" s="180" t="s">
        <v>208</v>
      </c>
      <c r="E514" s="180" t="s">
        <v>208</v>
      </c>
      <c r="F514" s="180" t="s">
        <v>208</v>
      </c>
      <c r="G514" s="180" t="s">
        <v>208</v>
      </c>
      <c r="H514" s="181"/>
      <c r="I514" s="181"/>
      <c r="J514" s="181"/>
      <c r="K514" s="182" t="s">
        <v>240</v>
      </c>
      <c r="R514" s="163"/>
      <c r="S514" s="163"/>
    </row>
    <row r="515">
      <c r="A515" s="179">
        <f t="shared" si="4"/>
        <v>512</v>
      </c>
      <c r="B515" s="180"/>
      <c r="C515" s="180" t="s">
        <v>208</v>
      </c>
      <c r="D515" s="180" t="s">
        <v>208</v>
      </c>
      <c r="E515" s="180" t="s">
        <v>208</v>
      </c>
      <c r="F515" s="180" t="s">
        <v>208</v>
      </c>
      <c r="G515" s="180" t="s">
        <v>208</v>
      </c>
      <c r="H515" s="181"/>
      <c r="I515" s="181"/>
      <c r="J515" s="181"/>
      <c r="K515" s="182" t="s">
        <v>240</v>
      </c>
      <c r="R515" s="163"/>
      <c r="S515" s="163"/>
    </row>
    <row r="516">
      <c r="A516" s="179">
        <f t="shared" si="4"/>
        <v>513</v>
      </c>
      <c r="B516" s="180"/>
      <c r="C516" s="180" t="s">
        <v>208</v>
      </c>
      <c r="D516" s="180" t="s">
        <v>208</v>
      </c>
      <c r="E516" s="180" t="s">
        <v>208</v>
      </c>
      <c r="F516" s="180" t="s">
        <v>208</v>
      </c>
      <c r="G516" s="180" t="s">
        <v>208</v>
      </c>
      <c r="H516" s="181"/>
      <c r="I516" s="181"/>
      <c r="J516" s="181"/>
      <c r="K516" s="182" t="s">
        <v>240</v>
      </c>
      <c r="R516" s="163"/>
      <c r="S516" s="163"/>
    </row>
    <row r="517">
      <c r="A517" s="179">
        <f t="shared" si="4"/>
        <v>514</v>
      </c>
      <c r="B517" s="180"/>
      <c r="C517" s="180" t="s">
        <v>208</v>
      </c>
      <c r="D517" s="180" t="s">
        <v>208</v>
      </c>
      <c r="E517" s="180" t="s">
        <v>208</v>
      </c>
      <c r="F517" s="180" t="s">
        <v>208</v>
      </c>
      <c r="G517" s="180" t="s">
        <v>208</v>
      </c>
      <c r="H517" s="181"/>
      <c r="I517" s="181"/>
      <c r="J517" s="181"/>
      <c r="K517" s="182" t="s">
        <v>240</v>
      </c>
      <c r="R517" s="163"/>
      <c r="S517" s="163"/>
    </row>
    <row r="518">
      <c r="A518" s="179">
        <f t="shared" si="4"/>
        <v>515</v>
      </c>
      <c r="B518" s="180"/>
      <c r="C518" s="180" t="s">
        <v>208</v>
      </c>
      <c r="D518" s="180" t="s">
        <v>208</v>
      </c>
      <c r="E518" s="180" t="s">
        <v>208</v>
      </c>
      <c r="F518" s="180" t="s">
        <v>208</v>
      </c>
      <c r="G518" s="180" t="s">
        <v>208</v>
      </c>
      <c r="H518" s="181"/>
      <c r="I518" s="181"/>
      <c r="J518" s="181"/>
      <c r="K518" s="182" t="s">
        <v>240</v>
      </c>
      <c r="R518" s="173"/>
      <c r="S518" s="173"/>
    </row>
    <row r="519">
      <c r="A519" s="179">
        <f t="shared" si="4"/>
        <v>516</v>
      </c>
      <c r="B519" s="180"/>
      <c r="C519" s="180" t="s">
        <v>208</v>
      </c>
      <c r="D519" s="180" t="s">
        <v>208</v>
      </c>
      <c r="E519" s="180" t="s">
        <v>208</v>
      </c>
      <c r="F519" s="180" t="s">
        <v>208</v>
      </c>
      <c r="G519" s="180" t="s">
        <v>208</v>
      </c>
      <c r="H519" s="181"/>
      <c r="I519" s="181"/>
      <c r="J519" s="181"/>
      <c r="K519" s="182" t="s">
        <v>240</v>
      </c>
      <c r="R519" s="157"/>
      <c r="S519" s="157"/>
    </row>
    <row r="520">
      <c r="A520" s="179">
        <f t="shared" si="4"/>
        <v>517</v>
      </c>
      <c r="B520" s="180"/>
      <c r="C520" s="180" t="s">
        <v>208</v>
      </c>
      <c r="D520" s="180" t="s">
        <v>208</v>
      </c>
      <c r="E520" s="180" t="s">
        <v>208</v>
      </c>
      <c r="F520" s="180" t="s">
        <v>208</v>
      </c>
      <c r="G520" s="180" t="s">
        <v>208</v>
      </c>
      <c r="H520" s="181"/>
      <c r="I520" s="181"/>
      <c r="J520" s="181"/>
      <c r="K520" s="182" t="s">
        <v>240</v>
      </c>
      <c r="R520" s="163"/>
      <c r="S520" s="163"/>
    </row>
    <row r="521">
      <c r="A521" s="179">
        <f t="shared" si="4"/>
        <v>518</v>
      </c>
      <c r="B521" s="180"/>
      <c r="C521" s="180" t="s">
        <v>208</v>
      </c>
      <c r="D521" s="180" t="s">
        <v>208</v>
      </c>
      <c r="E521" s="180" t="s">
        <v>208</v>
      </c>
      <c r="F521" s="180" t="s">
        <v>208</v>
      </c>
      <c r="G521" s="180" t="s">
        <v>208</v>
      </c>
      <c r="H521" s="181"/>
      <c r="I521" s="181"/>
      <c r="J521" s="181"/>
      <c r="K521" s="182" t="s">
        <v>240</v>
      </c>
      <c r="R521" s="163"/>
      <c r="S521" s="163"/>
    </row>
    <row r="522">
      <c r="A522" s="179">
        <f t="shared" si="4"/>
        <v>519</v>
      </c>
      <c r="B522" s="180"/>
      <c r="C522" s="180" t="s">
        <v>208</v>
      </c>
      <c r="D522" s="180" t="s">
        <v>208</v>
      </c>
      <c r="E522" s="180" t="s">
        <v>208</v>
      </c>
      <c r="F522" s="180" t="s">
        <v>208</v>
      </c>
      <c r="G522" s="180" t="s">
        <v>208</v>
      </c>
      <c r="H522" s="181"/>
      <c r="I522" s="181"/>
      <c r="J522" s="181"/>
      <c r="K522" s="182" t="s">
        <v>240</v>
      </c>
      <c r="R522" s="163"/>
      <c r="S522" s="163"/>
    </row>
    <row r="523">
      <c r="A523" s="179">
        <f t="shared" si="4"/>
        <v>520</v>
      </c>
      <c r="B523" s="180"/>
      <c r="C523" s="180"/>
      <c r="D523" s="180" t="s">
        <v>208</v>
      </c>
      <c r="E523" s="180" t="s">
        <v>208</v>
      </c>
      <c r="F523" s="180" t="s">
        <v>208</v>
      </c>
      <c r="G523" s="180"/>
      <c r="H523" s="180" t="s">
        <v>208</v>
      </c>
      <c r="I523" s="181"/>
      <c r="J523" s="181"/>
      <c r="K523" s="182" t="s">
        <v>240</v>
      </c>
      <c r="R523" s="163"/>
      <c r="S523" s="163"/>
    </row>
    <row r="524">
      <c r="A524" s="179">
        <f t="shared" si="4"/>
        <v>521</v>
      </c>
      <c r="B524" s="180"/>
      <c r="C524" s="180" t="s">
        <v>208</v>
      </c>
      <c r="D524" s="180" t="s">
        <v>208</v>
      </c>
      <c r="E524" s="180" t="s">
        <v>208</v>
      </c>
      <c r="F524" s="180" t="s">
        <v>208</v>
      </c>
      <c r="G524" s="180" t="s">
        <v>208</v>
      </c>
      <c r="H524" s="181"/>
      <c r="I524" s="181"/>
      <c r="J524" s="181"/>
      <c r="K524" s="182" t="s">
        <v>240</v>
      </c>
      <c r="R524" s="163"/>
      <c r="S524" s="163"/>
    </row>
    <row r="525">
      <c r="A525" s="179">
        <f t="shared" si="4"/>
        <v>522</v>
      </c>
      <c r="B525" s="180"/>
      <c r="C525" s="180"/>
      <c r="D525" s="180" t="s">
        <v>208</v>
      </c>
      <c r="E525" s="180" t="s">
        <v>208</v>
      </c>
      <c r="F525" s="180" t="s">
        <v>208</v>
      </c>
      <c r="G525" s="180"/>
      <c r="H525" s="180" t="s">
        <v>208</v>
      </c>
      <c r="I525" s="181"/>
      <c r="J525" s="181"/>
      <c r="K525" s="182" t="s">
        <v>240</v>
      </c>
      <c r="R525" s="163"/>
      <c r="S525" s="163"/>
    </row>
    <row r="526">
      <c r="A526" s="179">
        <f t="shared" si="4"/>
        <v>523</v>
      </c>
      <c r="B526" s="181"/>
      <c r="C526" s="180" t="s">
        <v>208</v>
      </c>
      <c r="D526" s="180" t="s">
        <v>208</v>
      </c>
      <c r="E526" s="180" t="s">
        <v>208</v>
      </c>
      <c r="F526" s="180" t="s">
        <v>208</v>
      </c>
      <c r="G526" s="180" t="s">
        <v>208</v>
      </c>
      <c r="H526" s="192"/>
      <c r="I526" s="181"/>
      <c r="J526" s="181"/>
      <c r="K526" s="182" t="s">
        <v>240</v>
      </c>
      <c r="R526" s="163"/>
      <c r="S526" s="163"/>
    </row>
    <row r="527">
      <c r="A527" s="179">
        <f t="shared" si="4"/>
        <v>524</v>
      </c>
      <c r="B527" s="180"/>
      <c r="C527" s="180" t="s">
        <v>208</v>
      </c>
      <c r="D527" s="180" t="s">
        <v>208</v>
      </c>
      <c r="E527" s="180" t="s">
        <v>208</v>
      </c>
      <c r="F527" s="180" t="s">
        <v>208</v>
      </c>
      <c r="G527" s="180" t="s">
        <v>208</v>
      </c>
      <c r="H527" s="181"/>
      <c r="I527" s="181"/>
      <c r="J527" s="181"/>
      <c r="K527" s="182" t="s">
        <v>240</v>
      </c>
      <c r="R527" s="163"/>
      <c r="S527" s="163"/>
    </row>
    <row r="528">
      <c r="A528" s="179">
        <f t="shared" si="4"/>
        <v>525</v>
      </c>
      <c r="B528" s="180"/>
      <c r="C528" s="180" t="s">
        <v>208</v>
      </c>
      <c r="D528" s="180" t="s">
        <v>208</v>
      </c>
      <c r="E528" s="180" t="s">
        <v>208</v>
      </c>
      <c r="F528" s="180" t="s">
        <v>208</v>
      </c>
      <c r="G528" s="180" t="s">
        <v>208</v>
      </c>
      <c r="H528" s="181"/>
      <c r="I528" s="181"/>
      <c r="J528" s="181"/>
      <c r="K528" s="182" t="s">
        <v>240</v>
      </c>
      <c r="R528" s="163"/>
      <c r="S528" s="163"/>
    </row>
    <row r="529">
      <c r="A529" s="179">
        <f t="shared" si="4"/>
        <v>526</v>
      </c>
      <c r="B529" s="180"/>
      <c r="C529" s="180" t="s">
        <v>208</v>
      </c>
      <c r="D529" s="180" t="s">
        <v>208</v>
      </c>
      <c r="E529" s="180" t="s">
        <v>208</v>
      </c>
      <c r="F529" s="180" t="s">
        <v>208</v>
      </c>
      <c r="G529" s="180" t="s">
        <v>208</v>
      </c>
      <c r="H529" s="181"/>
      <c r="I529" s="181"/>
      <c r="J529" s="181"/>
      <c r="K529" s="182" t="s">
        <v>240</v>
      </c>
      <c r="R529" s="163"/>
      <c r="S529" s="163"/>
    </row>
    <row r="530">
      <c r="A530" s="179">
        <f t="shared" si="4"/>
        <v>527</v>
      </c>
      <c r="B530" s="180"/>
      <c r="C530" s="180" t="s">
        <v>208</v>
      </c>
      <c r="D530" s="180" t="s">
        <v>208</v>
      </c>
      <c r="E530" s="180" t="s">
        <v>208</v>
      </c>
      <c r="F530" s="180" t="s">
        <v>208</v>
      </c>
      <c r="G530" s="180" t="s">
        <v>208</v>
      </c>
      <c r="H530" s="181"/>
      <c r="I530" s="181"/>
      <c r="J530" s="181"/>
      <c r="K530" s="182" t="s">
        <v>240</v>
      </c>
      <c r="R530" s="173"/>
      <c r="S530" s="173"/>
    </row>
    <row r="531">
      <c r="A531" s="179">
        <f t="shared" si="4"/>
        <v>528</v>
      </c>
      <c r="B531" s="180"/>
      <c r="C531" s="180" t="s">
        <v>208</v>
      </c>
      <c r="D531" s="180" t="s">
        <v>208</v>
      </c>
      <c r="E531" s="180" t="s">
        <v>208</v>
      </c>
      <c r="F531" s="180" t="s">
        <v>208</v>
      </c>
      <c r="G531" s="180" t="s">
        <v>208</v>
      </c>
      <c r="H531" s="181"/>
      <c r="I531" s="181"/>
      <c r="J531" s="180"/>
      <c r="K531" s="182" t="s">
        <v>240</v>
      </c>
      <c r="R531" s="157"/>
      <c r="S531" s="157"/>
    </row>
    <row r="532">
      <c r="A532" s="179">
        <f t="shared" si="4"/>
        <v>529</v>
      </c>
      <c r="B532" s="181"/>
      <c r="C532" s="180" t="s">
        <v>208</v>
      </c>
      <c r="D532" s="180"/>
      <c r="E532" s="180" t="s">
        <v>208</v>
      </c>
      <c r="F532" s="180" t="s">
        <v>208</v>
      </c>
      <c r="G532" s="180" t="s">
        <v>208</v>
      </c>
      <c r="H532" s="180"/>
      <c r="I532" s="181"/>
      <c r="J532" s="180"/>
      <c r="K532" s="182" t="s">
        <v>240</v>
      </c>
      <c r="R532" s="163"/>
      <c r="S532" s="163"/>
    </row>
    <row r="533">
      <c r="A533" s="179">
        <f t="shared" si="4"/>
        <v>530</v>
      </c>
      <c r="B533" s="180"/>
      <c r="C533" s="180" t="s">
        <v>208</v>
      </c>
      <c r="D533" s="180" t="s">
        <v>208</v>
      </c>
      <c r="E533" s="180" t="s">
        <v>208</v>
      </c>
      <c r="F533" s="180" t="s">
        <v>208</v>
      </c>
      <c r="G533" s="180" t="s">
        <v>208</v>
      </c>
      <c r="H533" s="181"/>
      <c r="I533" s="181"/>
      <c r="J533" s="180"/>
      <c r="K533" s="182" t="s">
        <v>240</v>
      </c>
      <c r="R533" s="163"/>
      <c r="S533" s="163"/>
    </row>
    <row r="534">
      <c r="A534" s="179">
        <f t="shared" si="4"/>
        <v>531</v>
      </c>
      <c r="B534" s="180"/>
      <c r="C534" s="180" t="s">
        <v>208</v>
      </c>
      <c r="D534" s="180"/>
      <c r="E534" s="180" t="s">
        <v>208</v>
      </c>
      <c r="F534" s="180" t="s">
        <v>208</v>
      </c>
      <c r="G534" s="180" t="s">
        <v>208</v>
      </c>
      <c r="H534" s="181"/>
      <c r="I534" s="181"/>
      <c r="J534" s="180"/>
      <c r="K534" s="182" t="s">
        <v>240</v>
      </c>
      <c r="R534" s="163"/>
      <c r="S534" s="163"/>
    </row>
    <row r="535">
      <c r="A535" s="179">
        <f t="shared" si="4"/>
        <v>532</v>
      </c>
      <c r="B535" s="180"/>
      <c r="C535" s="180"/>
      <c r="D535" s="180"/>
      <c r="E535" s="180"/>
      <c r="F535" s="180"/>
      <c r="G535" s="180"/>
      <c r="H535" s="185"/>
      <c r="I535" s="181"/>
      <c r="J535" s="180" t="s">
        <v>242</v>
      </c>
      <c r="K535" s="182" t="s">
        <v>240</v>
      </c>
      <c r="R535" s="163"/>
      <c r="S535" s="163"/>
    </row>
    <row r="536">
      <c r="A536" s="179">
        <f t="shared" si="4"/>
        <v>533</v>
      </c>
      <c r="B536" s="180"/>
      <c r="C536" s="180"/>
      <c r="D536" s="180"/>
      <c r="E536" s="180"/>
      <c r="F536" s="180"/>
      <c r="G536" s="180"/>
      <c r="H536" s="185"/>
      <c r="I536" s="181"/>
      <c r="J536" s="180" t="s">
        <v>242</v>
      </c>
      <c r="K536" s="182" t="s">
        <v>240</v>
      </c>
      <c r="R536" s="163"/>
      <c r="S536" s="163"/>
    </row>
    <row r="537">
      <c r="A537" s="179">
        <f t="shared" si="4"/>
        <v>534</v>
      </c>
      <c r="B537" s="180"/>
      <c r="C537" s="180"/>
      <c r="D537" s="180"/>
      <c r="E537" s="180"/>
      <c r="F537" s="180"/>
      <c r="G537" s="180"/>
      <c r="H537" s="185"/>
      <c r="I537" s="181"/>
      <c r="J537" s="180" t="s">
        <v>242</v>
      </c>
      <c r="K537" s="182" t="s">
        <v>240</v>
      </c>
      <c r="R537" s="163"/>
      <c r="S537" s="163"/>
    </row>
    <row r="538">
      <c r="A538" s="179">
        <f t="shared" si="4"/>
        <v>535</v>
      </c>
      <c r="B538" s="180"/>
      <c r="C538" s="180"/>
      <c r="D538" s="180"/>
      <c r="E538" s="180"/>
      <c r="F538" s="180"/>
      <c r="G538" s="180"/>
      <c r="H538" s="185"/>
      <c r="I538" s="181"/>
      <c r="J538" s="180" t="s">
        <v>242</v>
      </c>
      <c r="K538" s="182" t="s">
        <v>240</v>
      </c>
      <c r="R538" s="163"/>
      <c r="S538" s="163"/>
    </row>
    <row r="539">
      <c r="A539" s="179">
        <f t="shared" si="4"/>
        <v>536</v>
      </c>
      <c r="B539" s="180"/>
      <c r="C539" s="180"/>
      <c r="D539" s="180"/>
      <c r="E539" s="180"/>
      <c r="F539" s="180"/>
      <c r="G539" s="180"/>
      <c r="H539" s="185"/>
      <c r="I539" s="181"/>
      <c r="J539" s="180" t="s">
        <v>242</v>
      </c>
      <c r="K539" s="182" t="s">
        <v>240</v>
      </c>
      <c r="R539" s="163"/>
      <c r="S539" s="163"/>
    </row>
    <row r="540">
      <c r="A540" s="179">
        <f t="shared" si="4"/>
        <v>537</v>
      </c>
      <c r="B540" s="180"/>
      <c r="C540" s="180"/>
      <c r="D540" s="180"/>
      <c r="E540" s="180"/>
      <c r="F540" s="180"/>
      <c r="G540" s="180"/>
      <c r="H540" s="185"/>
      <c r="I540" s="181"/>
      <c r="J540" s="180" t="s">
        <v>242</v>
      </c>
      <c r="K540" s="182" t="s">
        <v>240</v>
      </c>
      <c r="R540" s="163"/>
      <c r="S540" s="163"/>
    </row>
    <row r="541">
      <c r="A541" s="179">
        <f t="shared" si="4"/>
        <v>538</v>
      </c>
      <c r="B541" s="180"/>
      <c r="C541" s="180"/>
      <c r="D541" s="180"/>
      <c r="E541" s="180"/>
      <c r="F541" s="180"/>
      <c r="G541" s="180"/>
      <c r="H541" s="185"/>
      <c r="I541" s="181"/>
      <c r="J541" s="180" t="s">
        <v>242</v>
      </c>
      <c r="K541" s="182" t="s">
        <v>240</v>
      </c>
      <c r="R541" s="163"/>
      <c r="S541" s="163"/>
    </row>
    <row r="542">
      <c r="A542" s="179">
        <f t="shared" si="4"/>
        <v>539</v>
      </c>
      <c r="B542" s="180"/>
      <c r="C542" s="180"/>
      <c r="D542" s="180"/>
      <c r="E542" s="180"/>
      <c r="F542" s="180"/>
      <c r="G542" s="180"/>
      <c r="H542" s="185"/>
      <c r="I542" s="181"/>
      <c r="J542" s="180" t="s">
        <v>242</v>
      </c>
      <c r="K542" s="182" t="s">
        <v>240</v>
      </c>
      <c r="R542" s="173"/>
      <c r="S542" s="173"/>
    </row>
    <row r="543">
      <c r="A543" s="179">
        <f t="shared" si="4"/>
        <v>540</v>
      </c>
      <c r="B543" s="180"/>
      <c r="C543" s="180"/>
      <c r="D543" s="180"/>
      <c r="E543" s="180"/>
      <c r="F543" s="180"/>
      <c r="G543" s="181"/>
      <c r="H543" s="181"/>
      <c r="I543" s="181"/>
      <c r="J543" s="180" t="s">
        <v>242</v>
      </c>
      <c r="K543" s="182" t="s">
        <v>240</v>
      </c>
      <c r="R543" s="157"/>
      <c r="S543" s="157"/>
    </row>
    <row r="544">
      <c r="A544" s="179">
        <f t="shared" si="4"/>
        <v>541</v>
      </c>
      <c r="B544" s="181"/>
      <c r="C544" s="180"/>
      <c r="D544" s="180"/>
      <c r="E544" s="180"/>
      <c r="F544" s="181"/>
      <c r="G544" s="180"/>
      <c r="H544" s="181"/>
      <c r="I544" s="181"/>
      <c r="J544" s="180" t="s">
        <v>242</v>
      </c>
      <c r="K544" s="182" t="s">
        <v>240</v>
      </c>
      <c r="R544" s="163"/>
      <c r="S544" s="163"/>
    </row>
    <row r="545">
      <c r="A545" s="179">
        <f t="shared" si="4"/>
        <v>542</v>
      </c>
      <c r="B545" s="180"/>
      <c r="C545" s="180"/>
      <c r="D545" s="180"/>
      <c r="E545" s="180"/>
      <c r="F545" s="180"/>
      <c r="G545" s="180"/>
      <c r="H545" s="181"/>
      <c r="I545" s="181"/>
      <c r="J545" s="180" t="s">
        <v>242</v>
      </c>
      <c r="K545" s="182" t="s">
        <v>240</v>
      </c>
      <c r="R545" s="163"/>
      <c r="S545" s="163"/>
    </row>
    <row r="546">
      <c r="A546" s="179">
        <f t="shared" si="4"/>
        <v>543</v>
      </c>
      <c r="B546" s="180"/>
      <c r="C546" s="180"/>
      <c r="D546" s="180"/>
      <c r="E546" s="180"/>
      <c r="F546" s="180"/>
      <c r="G546" s="180"/>
      <c r="H546" s="181"/>
      <c r="I546" s="181"/>
      <c r="J546" s="180" t="s">
        <v>242</v>
      </c>
      <c r="K546" s="182" t="s">
        <v>240</v>
      </c>
      <c r="R546" s="163"/>
      <c r="S546" s="163"/>
    </row>
    <row r="547">
      <c r="A547" s="179">
        <f t="shared" si="4"/>
        <v>544</v>
      </c>
      <c r="B547" s="180"/>
      <c r="C547" s="180"/>
      <c r="D547" s="180"/>
      <c r="E547" s="180"/>
      <c r="F547" s="180"/>
      <c r="G547" s="180"/>
      <c r="H547" s="181"/>
      <c r="I547" s="181"/>
      <c r="J547" s="180" t="s">
        <v>451</v>
      </c>
      <c r="K547" s="182" t="s">
        <v>240</v>
      </c>
      <c r="R547" s="163"/>
      <c r="S547" s="163"/>
    </row>
    <row r="548">
      <c r="A548" s="179">
        <f t="shared" si="4"/>
        <v>545</v>
      </c>
      <c r="B548" s="180"/>
      <c r="C548" s="180"/>
      <c r="D548" s="180"/>
      <c r="E548" s="180"/>
      <c r="F548" s="180"/>
      <c r="G548" s="180"/>
      <c r="H548" s="181"/>
      <c r="I548" s="181"/>
      <c r="J548" s="180" t="s">
        <v>451</v>
      </c>
      <c r="K548" s="182" t="s">
        <v>240</v>
      </c>
      <c r="R548" s="163"/>
      <c r="S548" s="163"/>
    </row>
    <row r="549">
      <c r="A549" s="179">
        <f t="shared" si="4"/>
        <v>546</v>
      </c>
      <c r="B549" s="180"/>
      <c r="C549" s="180"/>
      <c r="D549" s="180"/>
      <c r="E549" s="180"/>
      <c r="F549" s="180"/>
      <c r="G549" s="180"/>
      <c r="H549" s="181"/>
      <c r="I549" s="181"/>
      <c r="J549" s="180" t="s">
        <v>451</v>
      </c>
      <c r="K549" s="182" t="s">
        <v>240</v>
      </c>
      <c r="R549" s="163"/>
      <c r="S549" s="163"/>
    </row>
    <row r="550">
      <c r="A550" s="179">
        <f t="shared" si="4"/>
        <v>547</v>
      </c>
      <c r="B550" s="180"/>
      <c r="C550" s="180" t="s">
        <v>208</v>
      </c>
      <c r="D550" s="180" t="s">
        <v>208</v>
      </c>
      <c r="E550" s="180" t="s">
        <v>208</v>
      </c>
      <c r="F550" s="180" t="s">
        <v>208</v>
      </c>
      <c r="G550" s="180" t="s">
        <v>208</v>
      </c>
      <c r="H550" s="181"/>
      <c r="I550" s="181"/>
      <c r="J550" s="181"/>
      <c r="K550" s="182" t="s">
        <v>240</v>
      </c>
      <c r="R550" s="163"/>
      <c r="S550" s="163"/>
    </row>
    <row r="551">
      <c r="A551" s="179">
        <f t="shared" si="4"/>
        <v>548</v>
      </c>
      <c r="B551" s="180"/>
      <c r="C551" s="180" t="s">
        <v>208</v>
      </c>
      <c r="D551" s="180" t="s">
        <v>208</v>
      </c>
      <c r="E551" s="180" t="s">
        <v>208</v>
      </c>
      <c r="F551" s="180" t="s">
        <v>208</v>
      </c>
      <c r="G551" s="180" t="s">
        <v>208</v>
      </c>
      <c r="H551" s="181"/>
      <c r="I551" s="181"/>
      <c r="J551" s="181"/>
      <c r="K551" s="182" t="s">
        <v>240</v>
      </c>
      <c r="R551" s="163"/>
      <c r="S551" s="163"/>
    </row>
    <row r="552">
      <c r="A552" s="179">
        <f t="shared" si="4"/>
        <v>549</v>
      </c>
      <c r="B552" s="180"/>
      <c r="C552" s="180" t="s">
        <v>208</v>
      </c>
      <c r="D552" s="180" t="s">
        <v>208</v>
      </c>
      <c r="E552" s="180" t="s">
        <v>208</v>
      </c>
      <c r="F552" s="180" t="s">
        <v>208</v>
      </c>
      <c r="G552" s="180" t="s">
        <v>208</v>
      </c>
      <c r="H552" s="181"/>
      <c r="I552" s="181"/>
      <c r="J552" s="181"/>
      <c r="K552" s="182" t="s">
        <v>240</v>
      </c>
      <c r="R552" s="163"/>
      <c r="S552" s="163"/>
    </row>
    <row r="553">
      <c r="A553" s="179">
        <f t="shared" si="4"/>
        <v>550</v>
      </c>
      <c r="B553" s="180"/>
      <c r="C553" s="180" t="s">
        <v>208</v>
      </c>
      <c r="D553" s="180" t="s">
        <v>208</v>
      </c>
      <c r="E553" s="180" t="s">
        <v>208</v>
      </c>
      <c r="F553" s="180" t="s">
        <v>208</v>
      </c>
      <c r="G553" s="180" t="s">
        <v>208</v>
      </c>
      <c r="H553" s="181"/>
      <c r="I553" s="181"/>
      <c r="J553" s="181"/>
      <c r="K553" s="182" t="s">
        <v>240</v>
      </c>
      <c r="R553" s="163"/>
      <c r="S553" s="163"/>
    </row>
    <row r="554">
      <c r="A554" s="179">
        <f t="shared" si="4"/>
        <v>551</v>
      </c>
      <c r="B554" s="180"/>
      <c r="C554" s="180" t="s">
        <v>208</v>
      </c>
      <c r="D554" s="180" t="s">
        <v>208</v>
      </c>
      <c r="E554" s="180" t="s">
        <v>208</v>
      </c>
      <c r="F554" s="180" t="s">
        <v>208</v>
      </c>
      <c r="G554" s="180" t="s">
        <v>208</v>
      </c>
      <c r="H554" s="181"/>
      <c r="I554" s="181"/>
      <c r="J554" s="181"/>
      <c r="K554" s="182" t="s">
        <v>240</v>
      </c>
      <c r="R554" s="173"/>
      <c r="S554" s="173"/>
    </row>
    <row r="555">
      <c r="A555" s="179">
        <f t="shared" si="4"/>
        <v>552</v>
      </c>
      <c r="B555" s="180"/>
      <c r="C555" s="180" t="s">
        <v>208</v>
      </c>
      <c r="D555" s="180" t="s">
        <v>208</v>
      </c>
      <c r="E555" s="180" t="s">
        <v>208</v>
      </c>
      <c r="F555" s="180" t="s">
        <v>208</v>
      </c>
      <c r="G555" s="180" t="s">
        <v>208</v>
      </c>
      <c r="H555" s="181"/>
      <c r="I555" s="181"/>
      <c r="J555" s="180"/>
      <c r="K555" s="182" t="s">
        <v>240</v>
      </c>
      <c r="R555" s="157"/>
      <c r="S555" s="157"/>
    </row>
    <row r="556">
      <c r="A556" s="179">
        <f t="shared" si="4"/>
        <v>553</v>
      </c>
      <c r="B556" s="180"/>
      <c r="C556" s="180" t="s">
        <v>208</v>
      </c>
      <c r="D556" s="180" t="s">
        <v>208</v>
      </c>
      <c r="E556" s="180"/>
      <c r="F556" s="180" t="s">
        <v>208</v>
      </c>
      <c r="G556" s="180" t="s">
        <v>208</v>
      </c>
      <c r="H556" s="181"/>
      <c r="I556" s="181"/>
      <c r="J556" s="180"/>
      <c r="K556" s="182" t="s">
        <v>240</v>
      </c>
      <c r="R556" s="163"/>
      <c r="S556" s="163"/>
    </row>
    <row r="557">
      <c r="A557" s="179">
        <f t="shared" si="4"/>
        <v>554</v>
      </c>
      <c r="B557" s="180"/>
      <c r="C557" s="180" t="s">
        <v>208</v>
      </c>
      <c r="D557" s="180" t="s">
        <v>243</v>
      </c>
      <c r="E557" s="180" t="s">
        <v>208</v>
      </c>
      <c r="F557" s="180" t="s">
        <v>208</v>
      </c>
      <c r="G557" s="180" t="s">
        <v>208</v>
      </c>
      <c r="H557" s="181"/>
      <c r="I557" s="181"/>
      <c r="J557" s="181"/>
      <c r="K557" s="182" t="s">
        <v>240</v>
      </c>
      <c r="R557" s="163"/>
      <c r="S557" s="163"/>
    </row>
    <row r="558">
      <c r="A558" s="179">
        <f t="shared" si="4"/>
        <v>555</v>
      </c>
      <c r="B558" s="180"/>
      <c r="C558" s="180" t="s">
        <v>208</v>
      </c>
      <c r="D558" s="180" t="s">
        <v>208</v>
      </c>
      <c r="E558" s="180" t="s">
        <v>208</v>
      </c>
      <c r="F558" s="180" t="s">
        <v>208</v>
      </c>
      <c r="G558" s="180" t="s">
        <v>208</v>
      </c>
      <c r="H558" s="181"/>
      <c r="I558" s="181"/>
      <c r="J558" s="181"/>
      <c r="K558" s="182" t="s">
        <v>240</v>
      </c>
      <c r="R558" s="163"/>
      <c r="S558" s="163"/>
    </row>
    <row r="559">
      <c r="A559" s="179">
        <f t="shared" si="4"/>
        <v>556</v>
      </c>
      <c r="B559" s="180"/>
      <c r="C559" s="180" t="s">
        <v>208</v>
      </c>
      <c r="D559" s="180" t="s">
        <v>208</v>
      </c>
      <c r="E559" s="180" t="s">
        <v>208</v>
      </c>
      <c r="F559" s="180" t="s">
        <v>208</v>
      </c>
      <c r="G559" s="180" t="s">
        <v>208</v>
      </c>
      <c r="H559" s="181"/>
      <c r="I559" s="181"/>
      <c r="J559" s="181"/>
      <c r="K559" s="182" t="s">
        <v>240</v>
      </c>
      <c r="R559" s="163"/>
      <c r="S559" s="163"/>
    </row>
    <row r="560">
      <c r="A560" s="179">
        <f t="shared" si="4"/>
        <v>557</v>
      </c>
      <c r="B560" s="180"/>
      <c r="C560" s="180" t="s">
        <v>208</v>
      </c>
      <c r="D560" s="180" t="s">
        <v>208</v>
      </c>
      <c r="E560" s="180" t="s">
        <v>208</v>
      </c>
      <c r="F560" s="180" t="s">
        <v>208</v>
      </c>
      <c r="G560" s="180" t="s">
        <v>208</v>
      </c>
      <c r="H560" s="181"/>
      <c r="I560" s="181"/>
      <c r="J560" s="181"/>
      <c r="K560" s="182" t="s">
        <v>240</v>
      </c>
      <c r="R560" s="163"/>
      <c r="S560" s="163"/>
    </row>
    <row r="561">
      <c r="A561" s="179">
        <f t="shared" si="4"/>
        <v>558</v>
      </c>
      <c r="B561" s="180"/>
      <c r="C561" s="180" t="s">
        <v>208</v>
      </c>
      <c r="D561" s="180" t="s">
        <v>208</v>
      </c>
      <c r="E561" s="180"/>
      <c r="F561" s="180" t="s">
        <v>208</v>
      </c>
      <c r="G561" s="180" t="s">
        <v>208</v>
      </c>
      <c r="H561" s="181"/>
      <c r="I561" s="181"/>
      <c r="J561" s="181"/>
      <c r="K561" s="182" t="s">
        <v>240</v>
      </c>
      <c r="R561" s="163"/>
      <c r="S561" s="163"/>
    </row>
    <row r="562">
      <c r="A562" s="179">
        <f t="shared" si="4"/>
        <v>559</v>
      </c>
      <c r="B562" s="180"/>
      <c r="C562" s="180"/>
      <c r="D562" s="180"/>
      <c r="E562" s="180"/>
      <c r="F562" s="180"/>
      <c r="G562" s="180"/>
      <c r="H562" s="181"/>
      <c r="I562" s="181"/>
      <c r="J562" s="180" t="s">
        <v>242</v>
      </c>
      <c r="K562" s="182" t="s">
        <v>240</v>
      </c>
      <c r="R562" s="163"/>
      <c r="S562" s="163"/>
    </row>
    <row r="563">
      <c r="A563" s="179">
        <f t="shared" si="4"/>
        <v>560</v>
      </c>
      <c r="B563" s="180"/>
      <c r="C563" s="180"/>
      <c r="D563" s="180"/>
      <c r="E563" s="180"/>
      <c r="F563" s="180"/>
      <c r="G563" s="180"/>
      <c r="H563" s="181"/>
      <c r="I563" s="181"/>
      <c r="J563" s="180" t="s">
        <v>242</v>
      </c>
      <c r="K563" s="182" t="s">
        <v>240</v>
      </c>
      <c r="R563" s="163"/>
      <c r="S563" s="163"/>
    </row>
    <row r="564">
      <c r="A564" s="179">
        <f t="shared" si="4"/>
        <v>561</v>
      </c>
      <c r="B564" s="180"/>
      <c r="C564" s="180"/>
      <c r="D564" s="180"/>
      <c r="E564" s="180"/>
      <c r="F564" s="180"/>
      <c r="G564" s="180"/>
      <c r="H564" s="181"/>
      <c r="I564" s="181"/>
      <c r="J564" s="180" t="s">
        <v>242</v>
      </c>
      <c r="K564" s="182" t="s">
        <v>240</v>
      </c>
      <c r="R564" s="163"/>
      <c r="S564" s="163"/>
    </row>
    <row r="565">
      <c r="A565" s="179">
        <f t="shared" si="4"/>
        <v>562</v>
      </c>
      <c r="B565" s="180"/>
      <c r="C565" s="180" t="s">
        <v>208</v>
      </c>
      <c r="D565" s="180" t="s">
        <v>208</v>
      </c>
      <c r="E565" s="180" t="s">
        <v>208</v>
      </c>
      <c r="F565" s="180" t="s">
        <v>208</v>
      </c>
      <c r="G565" s="180" t="s">
        <v>208</v>
      </c>
      <c r="H565" s="181"/>
      <c r="I565" s="181"/>
      <c r="J565" s="181"/>
      <c r="K565" s="182" t="s">
        <v>240</v>
      </c>
      <c r="R565" s="163"/>
      <c r="S565" s="163"/>
    </row>
    <row r="566">
      <c r="A566" s="179">
        <f t="shared" si="4"/>
        <v>563</v>
      </c>
      <c r="B566" s="180"/>
      <c r="C566" s="180" t="s">
        <v>208</v>
      </c>
      <c r="D566" s="180" t="s">
        <v>243</v>
      </c>
      <c r="E566" s="180" t="s">
        <v>208</v>
      </c>
      <c r="F566" s="180" t="s">
        <v>208</v>
      </c>
      <c r="G566" s="180" t="s">
        <v>208</v>
      </c>
      <c r="H566" s="181"/>
      <c r="I566" s="181"/>
      <c r="J566" s="180"/>
      <c r="K566" s="182" t="s">
        <v>240</v>
      </c>
      <c r="R566" s="173"/>
      <c r="S566" s="173"/>
    </row>
    <row r="567">
      <c r="A567" s="179">
        <f t="shared" si="4"/>
        <v>564</v>
      </c>
      <c r="B567" s="180"/>
      <c r="C567" s="180" t="s">
        <v>208</v>
      </c>
      <c r="D567" s="180" t="s">
        <v>208</v>
      </c>
      <c r="E567" s="180" t="s">
        <v>208</v>
      </c>
      <c r="F567" s="180" t="s">
        <v>208</v>
      </c>
      <c r="G567" s="180" t="s">
        <v>208</v>
      </c>
      <c r="H567" s="181"/>
      <c r="I567" s="181"/>
      <c r="J567" s="180"/>
      <c r="K567" s="182" t="s">
        <v>240</v>
      </c>
      <c r="R567" s="157"/>
      <c r="S567" s="157"/>
    </row>
    <row r="568">
      <c r="A568" s="179">
        <f t="shared" si="4"/>
        <v>565</v>
      </c>
      <c r="B568" s="180"/>
      <c r="C568" s="180" t="s">
        <v>208</v>
      </c>
      <c r="D568" s="180" t="s">
        <v>208</v>
      </c>
      <c r="E568" s="180" t="s">
        <v>208</v>
      </c>
      <c r="F568" s="180" t="s">
        <v>208</v>
      </c>
      <c r="G568" s="180" t="s">
        <v>208</v>
      </c>
      <c r="H568" s="181"/>
      <c r="I568" s="181"/>
      <c r="J568" s="181"/>
      <c r="K568" s="182" t="s">
        <v>240</v>
      </c>
      <c r="R568" s="163"/>
      <c r="S568" s="163"/>
    </row>
    <row r="569">
      <c r="A569" s="179">
        <f t="shared" si="4"/>
        <v>566</v>
      </c>
      <c r="B569" s="180"/>
      <c r="C569" s="180" t="s">
        <v>208</v>
      </c>
      <c r="D569" s="180" t="s">
        <v>208</v>
      </c>
      <c r="E569" s="180" t="s">
        <v>208</v>
      </c>
      <c r="F569" s="180" t="s">
        <v>208</v>
      </c>
      <c r="G569" s="180" t="s">
        <v>208</v>
      </c>
      <c r="H569" s="180"/>
      <c r="I569" s="181"/>
      <c r="J569" s="181"/>
      <c r="K569" s="182" t="s">
        <v>240</v>
      </c>
      <c r="R569" s="163"/>
      <c r="S569" s="163"/>
    </row>
    <row r="570">
      <c r="A570" s="179">
        <f t="shared" si="4"/>
        <v>567</v>
      </c>
      <c r="B570" s="180"/>
      <c r="C570" s="180" t="s">
        <v>208</v>
      </c>
      <c r="D570" s="180" t="s">
        <v>208</v>
      </c>
      <c r="E570" s="180" t="s">
        <v>208</v>
      </c>
      <c r="F570" s="180" t="s">
        <v>208</v>
      </c>
      <c r="G570" s="180" t="s">
        <v>208</v>
      </c>
      <c r="H570" s="181"/>
      <c r="I570" s="181"/>
      <c r="J570" s="181"/>
      <c r="K570" s="182" t="s">
        <v>240</v>
      </c>
      <c r="R570" s="163"/>
      <c r="S570" s="163"/>
    </row>
    <row r="571">
      <c r="A571" s="179">
        <f t="shared" si="4"/>
        <v>568</v>
      </c>
      <c r="B571" s="180"/>
      <c r="C571" s="180" t="s">
        <v>208</v>
      </c>
      <c r="D571" s="180" t="s">
        <v>208</v>
      </c>
      <c r="E571" s="180" t="s">
        <v>208</v>
      </c>
      <c r="F571" s="180" t="s">
        <v>208</v>
      </c>
      <c r="G571" s="180" t="s">
        <v>208</v>
      </c>
      <c r="H571" s="180"/>
      <c r="I571" s="181"/>
      <c r="J571" s="181"/>
      <c r="K571" s="182" t="s">
        <v>240</v>
      </c>
      <c r="R571" s="163"/>
      <c r="S571" s="163"/>
    </row>
    <row r="572">
      <c r="A572" s="179">
        <f t="shared" si="4"/>
        <v>569</v>
      </c>
      <c r="B572" s="180"/>
      <c r="C572" s="180" t="s">
        <v>208</v>
      </c>
      <c r="D572" s="180" t="s">
        <v>208</v>
      </c>
      <c r="E572" s="180" t="s">
        <v>208</v>
      </c>
      <c r="F572" s="180" t="s">
        <v>208</v>
      </c>
      <c r="G572" s="180" t="s">
        <v>208</v>
      </c>
      <c r="H572" s="181"/>
      <c r="I572" s="181"/>
      <c r="J572" s="181"/>
      <c r="K572" s="182" t="s">
        <v>240</v>
      </c>
      <c r="R572" s="163"/>
      <c r="S572" s="163"/>
    </row>
    <row r="573">
      <c r="A573" s="179">
        <f t="shared" si="4"/>
        <v>570</v>
      </c>
      <c r="B573" s="180"/>
      <c r="C573" s="180" t="s">
        <v>208</v>
      </c>
      <c r="D573" s="180" t="s">
        <v>208</v>
      </c>
      <c r="E573" s="180" t="s">
        <v>208</v>
      </c>
      <c r="F573" s="180" t="s">
        <v>208</v>
      </c>
      <c r="G573" s="180" t="s">
        <v>208</v>
      </c>
      <c r="H573" s="181"/>
      <c r="I573" s="181"/>
      <c r="J573" s="181"/>
      <c r="K573" s="182" t="s">
        <v>240</v>
      </c>
      <c r="R573" s="163"/>
      <c r="S573" s="163"/>
    </row>
    <row r="574">
      <c r="A574" s="179">
        <f t="shared" si="4"/>
        <v>571</v>
      </c>
      <c r="B574" s="180"/>
      <c r="C574" s="180" t="s">
        <v>208</v>
      </c>
      <c r="D574" s="180" t="s">
        <v>208</v>
      </c>
      <c r="E574" s="180" t="s">
        <v>208</v>
      </c>
      <c r="F574" s="180" t="s">
        <v>208</v>
      </c>
      <c r="G574" s="180" t="s">
        <v>208</v>
      </c>
      <c r="H574" s="181"/>
      <c r="I574" s="181"/>
      <c r="J574" s="180"/>
      <c r="K574" s="182" t="s">
        <v>240</v>
      </c>
      <c r="R574" s="163"/>
      <c r="S574" s="163"/>
    </row>
    <row r="575">
      <c r="A575" s="179">
        <f t="shared" si="4"/>
        <v>572</v>
      </c>
      <c r="B575" s="180"/>
      <c r="C575" s="180" t="s">
        <v>208</v>
      </c>
      <c r="D575" s="180" t="s">
        <v>208</v>
      </c>
      <c r="E575" s="180" t="s">
        <v>208</v>
      </c>
      <c r="F575" s="180" t="s">
        <v>208</v>
      </c>
      <c r="G575" s="180" t="s">
        <v>208</v>
      </c>
      <c r="H575" s="181"/>
      <c r="I575" s="181"/>
      <c r="J575" s="180"/>
      <c r="K575" s="182" t="s">
        <v>240</v>
      </c>
      <c r="R575" s="163"/>
      <c r="S575" s="163"/>
    </row>
    <row r="576">
      <c r="A576" s="179">
        <f t="shared" si="4"/>
        <v>573</v>
      </c>
      <c r="B576" s="180"/>
      <c r="C576" s="180" t="s">
        <v>208</v>
      </c>
      <c r="D576" s="180" t="s">
        <v>208</v>
      </c>
      <c r="E576" s="180" t="s">
        <v>208</v>
      </c>
      <c r="F576" s="180" t="s">
        <v>208</v>
      </c>
      <c r="G576" s="180" t="s">
        <v>208</v>
      </c>
      <c r="H576" s="181"/>
      <c r="I576" s="181"/>
      <c r="J576" s="180"/>
      <c r="K576" s="182" t="s">
        <v>240</v>
      </c>
      <c r="R576" s="163"/>
      <c r="S576" s="163"/>
    </row>
    <row r="577">
      <c r="A577" s="179">
        <f t="shared" si="4"/>
        <v>574</v>
      </c>
      <c r="B577" s="180"/>
      <c r="C577" s="180" t="s">
        <v>208</v>
      </c>
      <c r="D577" s="180" t="s">
        <v>208</v>
      </c>
      <c r="E577" s="180" t="s">
        <v>208</v>
      </c>
      <c r="F577" s="180" t="s">
        <v>208</v>
      </c>
      <c r="G577" s="180" t="s">
        <v>208</v>
      </c>
      <c r="H577" s="181"/>
      <c r="I577" s="181"/>
      <c r="J577" s="180"/>
      <c r="K577" s="182" t="s">
        <v>240</v>
      </c>
      <c r="R577" s="163"/>
      <c r="S577" s="163"/>
    </row>
    <row r="578">
      <c r="A578" s="179">
        <f t="shared" si="4"/>
        <v>575</v>
      </c>
      <c r="B578" s="180"/>
      <c r="C578" s="180" t="s">
        <v>208</v>
      </c>
      <c r="D578" s="180" t="s">
        <v>208</v>
      </c>
      <c r="E578" s="180" t="s">
        <v>208</v>
      </c>
      <c r="F578" s="180" t="s">
        <v>208</v>
      </c>
      <c r="G578" s="180" t="s">
        <v>208</v>
      </c>
      <c r="H578" s="181"/>
      <c r="I578" s="181"/>
      <c r="J578" s="181"/>
      <c r="K578" s="182" t="s">
        <v>240</v>
      </c>
      <c r="R578" s="173"/>
      <c r="S578" s="173"/>
    </row>
    <row r="579">
      <c r="A579" s="179">
        <f t="shared" si="4"/>
        <v>576</v>
      </c>
      <c r="B579" s="180"/>
      <c r="C579" s="180" t="s">
        <v>208</v>
      </c>
      <c r="D579" s="180" t="s">
        <v>208</v>
      </c>
      <c r="E579" s="180" t="s">
        <v>208</v>
      </c>
      <c r="F579" s="180" t="s">
        <v>208</v>
      </c>
      <c r="G579" s="180" t="s">
        <v>208</v>
      </c>
      <c r="H579" s="181"/>
      <c r="I579" s="181"/>
      <c r="J579" s="181"/>
      <c r="K579" s="182" t="s">
        <v>240</v>
      </c>
      <c r="R579" s="157"/>
      <c r="S579" s="157"/>
    </row>
    <row r="580">
      <c r="A580" s="179">
        <f t="shared" si="4"/>
        <v>577</v>
      </c>
      <c r="B580" s="180"/>
      <c r="C580" s="180" t="s">
        <v>208</v>
      </c>
      <c r="D580" s="180" t="s">
        <v>208</v>
      </c>
      <c r="E580" s="180" t="s">
        <v>208</v>
      </c>
      <c r="F580" s="180" t="s">
        <v>208</v>
      </c>
      <c r="G580" s="180" t="s">
        <v>208</v>
      </c>
      <c r="H580" s="181"/>
      <c r="I580" s="181"/>
      <c r="J580" s="181"/>
      <c r="K580" s="182" t="s">
        <v>240</v>
      </c>
      <c r="R580" s="163"/>
      <c r="S580" s="163"/>
    </row>
    <row r="581">
      <c r="A581" s="179">
        <f t="shared" si="4"/>
        <v>578</v>
      </c>
      <c r="B581" s="180"/>
      <c r="C581" s="180" t="s">
        <v>208</v>
      </c>
      <c r="D581" s="180" t="s">
        <v>208</v>
      </c>
      <c r="E581" s="180" t="s">
        <v>208</v>
      </c>
      <c r="F581" s="180" t="s">
        <v>208</v>
      </c>
      <c r="G581" s="180" t="s">
        <v>208</v>
      </c>
      <c r="H581" s="181"/>
      <c r="I581" s="181"/>
      <c r="J581" s="181"/>
      <c r="K581" s="182" t="s">
        <v>240</v>
      </c>
      <c r="R581" s="163"/>
      <c r="S581" s="163"/>
    </row>
    <row r="582">
      <c r="A582" s="179">
        <f t="shared" si="4"/>
        <v>579</v>
      </c>
      <c r="B582" s="180"/>
      <c r="C582" s="180" t="s">
        <v>208</v>
      </c>
      <c r="D582" s="180" t="s">
        <v>208</v>
      </c>
      <c r="E582" s="180" t="s">
        <v>208</v>
      </c>
      <c r="F582" s="180" t="s">
        <v>208</v>
      </c>
      <c r="G582" s="180" t="s">
        <v>208</v>
      </c>
      <c r="H582" s="181"/>
      <c r="I582" s="181"/>
      <c r="J582" s="181"/>
      <c r="K582" s="182" t="s">
        <v>240</v>
      </c>
      <c r="R582" s="163"/>
      <c r="S582" s="163"/>
    </row>
    <row r="583">
      <c r="A583" s="179">
        <f t="shared" si="4"/>
        <v>580</v>
      </c>
      <c r="B583" s="180"/>
      <c r="C583" s="180"/>
      <c r="D583" s="180"/>
      <c r="E583" s="180"/>
      <c r="F583" s="180"/>
      <c r="G583" s="180"/>
      <c r="H583" s="181"/>
      <c r="I583" s="181"/>
      <c r="J583" s="180" t="s">
        <v>242</v>
      </c>
      <c r="K583" s="182" t="s">
        <v>240</v>
      </c>
      <c r="R583" s="163"/>
      <c r="S583" s="163"/>
    </row>
    <row r="584">
      <c r="A584" s="179">
        <f t="shared" si="4"/>
        <v>581</v>
      </c>
      <c r="B584" s="180"/>
      <c r="C584" s="180"/>
      <c r="D584" s="180"/>
      <c r="E584" s="180"/>
      <c r="F584" s="180"/>
      <c r="G584" s="180"/>
      <c r="H584" s="181"/>
      <c r="I584" s="181"/>
      <c r="J584" s="180" t="s">
        <v>242</v>
      </c>
      <c r="K584" s="182" t="s">
        <v>240</v>
      </c>
      <c r="R584" s="163"/>
      <c r="S584" s="163"/>
    </row>
    <row r="585">
      <c r="A585" s="179">
        <f t="shared" si="4"/>
        <v>582</v>
      </c>
      <c r="B585" s="180"/>
      <c r="C585" s="180"/>
      <c r="D585" s="180"/>
      <c r="E585" s="180"/>
      <c r="F585" s="180"/>
      <c r="G585" s="180"/>
      <c r="H585" s="181"/>
      <c r="I585" s="181"/>
      <c r="J585" s="180" t="s">
        <v>242</v>
      </c>
      <c r="K585" s="182" t="s">
        <v>240</v>
      </c>
      <c r="R585" s="163"/>
      <c r="S585" s="163"/>
    </row>
    <row r="586">
      <c r="A586" s="179">
        <f t="shared" si="4"/>
        <v>583</v>
      </c>
      <c r="B586" s="180"/>
      <c r="C586" s="180"/>
      <c r="D586" s="180" t="s">
        <v>208</v>
      </c>
      <c r="E586" s="180" t="s">
        <v>208</v>
      </c>
      <c r="F586" s="180" t="s">
        <v>208</v>
      </c>
      <c r="G586" s="180"/>
      <c r="H586" s="180" t="s">
        <v>208</v>
      </c>
      <c r="I586" s="181"/>
      <c r="J586" s="181"/>
      <c r="K586" s="182" t="s">
        <v>240</v>
      </c>
      <c r="R586" s="163"/>
      <c r="S586" s="163"/>
    </row>
    <row r="587">
      <c r="A587" s="179">
        <f t="shared" si="4"/>
        <v>584</v>
      </c>
      <c r="B587" s="180"/>
      <c r="C587" s="180"/>
      <c r="D587" s="180" t="s">
        <v>208</v>
      </c>
      <c r="E587" s="180" t="s">
        <v>208</v>
      </c>
      <c r="F587" s="180" t="s">
        <v>208</v>
      </c>
      <c r="G587" s="180"/>
      <c r="H587" s="180" t="s">
        <v>208</v>
      </c>
      <c r="I587" s="181"/>
      <c r="J587" s="180"/>
      <c r="K587" s="182" t="s">
        <v>240</v>
      </c>
      <c r="R587" s="163"/>
      <c r="S587" s="163"/>
    </row>
    <row r="588">
      <c r="A588" s="179">
        <f t="shared" si="4"/>
        <v>585</v>
      </c>
      <c r="B588" s="180"/>
      <c r="C588" s="180" t="s">
        <v>208</v>
      </c>
      <c r="D588" s="180" t="s">
        <v>208</v>
      </c>
      <c r="E588" s="180" t="s">
        <v>208</v>
      </c>
      <c r="F588" s="180" t="s">
        <v>208</v>
      </c>
      <c r="G588" s="180" t="s">
        <v>208</v>
      </c>
      <c r="H588" s="181"/>
      <c r="I588" s="181"/>
      <c r="J588" s="180"/>
      <c r="K588" s="182" t="s">
        <v>240</v>
      </c>
      <c r="R588" s="163"/>
      <c r="S588" s="163"/>
    </row>
    <row r="589">
      <c r="A589" s="179">
        <f t="shared" si="4"/>
        <v>586</v>
      </c>
      <c r="B589" s="180"/>
      <c r="C589" s="180" t="s">
        <v>208</v>
      </c>
      <c r="D589" s="180" t="s">
        <v>208</v>
      </c>
      <c r="E589" s="180" t="s">
        <v>208</v>
      </c>
      <c r="F589" s="180" t="s">
        <v>208</v>
      </c>
      <c r="G589" s="180" t="s">
        <v>208</v>
      </c>
      <c r="H589" s="181"/>
      <c r="I589" s="181"/>
      <c r="J589" s="180"/>
      <c r="K589" s="182" t="s">
        <v>240</v>
      </c>
      <c r="R589" s="163"/>
      <c r="S589" s="163"/>
    </row>
    <row r="590">
      <c r="A590" s="179">
        <f t="shared" si="4"/>
        <v>587</v>
      </c>
      <c r="B590" s="180"/>
      <c r="C590" s="180" t="s">
        <v>208</v>
      </c>
      <c r="D590" s="180" t="s">
        <v>208</v>
      </c>
      <c r="E590" s="180" t="s">
        <v>208</v>
      </c>
      <c r="F590" s="180" t="s">
        <v>208</v>
      </c>
      <c r="G590" s="180" t="s">
        <v>208</v>
      </c>
      <c r="H590" s="181"/>
      <c r="I590" s="181"/>
      <c r="J590" s="180"/>
      <c r="K590" s="182" t="s">
        <v>240</v>
      </c>
      <c r="R590" s="173"/>
      <c r="S590" s="173"/>
    </row>
    <row r="591">
      <c r="A591" s="179">
        <f t="shared" si="4"/>
        <v>588</v>
      </c>
      <c r="B591" s="180"/>
      <c r="C591" s="180" t="s">
        <v>208</v>
      </c>
      <c r="D591" s="180" t="s">
        <v>208</v>
      </c>
      <c r="E591" s="180" t="s">
        <v>208</v>
      </c>
      <c r="F591" s="180" t="s">
        <v>208</v>
      </c>
      <c r="G591" s="180" t="s">
        <v>208</v>
      </c>
      <c r="H591" s="181"/>
      <c r="I591" s="181"/>
      <c r="J591" s="180"/>
      <c r="K591" s="182" t="s">
        <v>240</v>
      </c>
      <c r="R591" s="157"/>
      <c r="S591" s="157"/>
    </row>
    <row r="592">
      <c r="A592" s="179">
        <f t="shared" si="4"/>
        <v>589</v>
      </c>
      <c r="B592" s="180"/>
      <c r="C592" s="180" t="s">
        <v>208</v>
      </c>
      <c r="D592" s="180" t="s">
        <v>208</v>
      </c>
      <c r="E592" s="180"/>
      <c r="F592" s="180" t="s">
        <v>208</v>
      </c>
      <c r="G592" s="180" t="s">
        <v>208</v>
      </c>
      <c r="H592" s="181"/>
      <c r="I592" s="181"/>
      <c r="J592" s="180"/>
      <c r="K592" s="182" t="s">
        <v>240</v>
      </c>
      <c r="R592" s="163"/>
      <c r="S592" s="163"/>
    </row>
    <row r="593">
      <c r="A593" s="179">
        <f t="shared" si="4"/>
        <v>590</v>
      </c>
      <c r="B593" s="180"/>
      <c r="C593" s="180" t="s">
        <v>208</v>
      </c>
      <c r="D593" s="180" t="s">
        <v>208</v>
      </c>
      <c r="E593" s="180" t="s">
        <v>208</v>
      </c>
      <c r="F593" s="180" t="s">
        <v>208</v>
      </c>
      <c r="G593" s="180" t="s">
        <v>208</v>
      </c>
      <c r="H593" s="181"/>
      <c r="I593" s="181"/>
      <c r="J593" s="180"/>
      <c r="K593" s="182" t="s">
        <v>240</v>
      </c>
      <c r="R593" s="163"/>
      <c r="S593" s="163"/>
    </row>
    <row r="594">
      <c r="A594" s="179">
        <f t="shared" si="4"/>
        <v>591</v>
      </c>
      <c r="B594" s="180"/>
      <c r="C594" s="180" t="s">
        <v>208</v>
      </c>
      <c r="D594" s="180" t="s">
        <v>208</v>
      </c>
      <c r="E594" s="180" t="s">
        <v>208</v>
      </c>
      <c r="F594" s="180" t="s">
        <v>208</v>
      </c>
      <c r="G594" s="180" t="s">
        <v>208</v>
      </c>
      <c r="H594" s="181"/>
      <c r="I594" s="181"/>
      <c r="J594" s="180"/>
      <c r="K594" s="182" t="s">
        <v>240</v>
      </c>
      <c r="R594" s="163"/>
      <c r="S594" s="163"/>
    </row>
    <row r="595">
      <c r="A595" s="179">
        <f t="shared" si="4"/>
        <v>592</v>
      </c>
      <c r="B595" s="180"/>
      <c r="C595" s="180" t="s">
        <v>208</v>
      </c>
      <c r="D595" s="180" t="s">
        <v>208</v>
      </c>
      <c r="E595" s="180" t="s">
        <v>208</v>
      </c>
      <c r="F595" s="180" t="s">
        <v>208</v>
      </c>
      <c r="G595" s="180" t="s">
        <v>208</v>
      </c>
      <c r="H595" s="180"/>
      <c r="I595" s="181"/>
      <c r="J595" s="181"/>
      <c r="K595" s="182" t="s">
        <v>240</v>
      </c>
      <c r="R595" s="163"/>
      <c r="S595" s="163"/>
    </row>
    <row r="596">
      <c r="A596" s="179">
        <f t="shared" si="4"/>
        <v>593</v>
      </c>
      <c r="B596" s="180"/>
      <c r="C596" s="180" t="s">
        <v>208</v>
      </c>
      <c r="D596" s="180" t="s">
        <v>208</v>
      </c>
      <c r="E596" s="180" t="s">
        <v>208</v>
      </c>
      <c r="F596" s="180" t="s">
        <v>208</v>
      </c>
      <c r="G596" s="180" t="s">
        <v>208</v>
      </c>
      <c r="H596" s="181"/>
      <c r="I596" s="181"/>
      <c r="J596" s="180"/>
      <c r="K596" s="182" t="s">
        <v>240</v>
      </c>
      <c r="R596" s="163"/>
      <c r="S596" s="163"/>
    </row>
    <row r="597">
      <c r="A597" s="179">
        <f t="shared" si="4"/>
        <v>594</v>
      </c>
      <c r="B597" s="180"/>
      <c r="C597" s="180"/>
      <c r="D597" s="180" t="s">
        <v>208</v>
      </c>
      <c r="E597" s="180" t="s">
        <v>208</v>
      </c>
      <c r="F597" s="180" t="s">
        <v>208</v>
      </c>
      <c r="G597" s="181"/>
      <c r="H597" s="180" t="s">
        <v>208</v>
      </c>
      <c r="I597" s="181"/>
      <c r="J597" s="180"/>
      <c r="K597" s="182" t="s">
        <v>240</v>
      </c>
      <c r="R597" s="163"/>
      <c r="S597" s="163"/>
    </row>
    <row r="598">
      <c r="A598" s="179">
        <f t="shared" si="4"/>
        <v>595</v>
      </c>
      <c r="B598" s="180"/>
      <c r="C598" s="180" t="s">
        <v>208</v>
      </c>
      <c r="D598" s="180" t="s">
        <v>208</v>
      </c>
      <c r="E598" s="180" t="s">
        <v>208</v>
      </c>
      <c r="F598" s="180" t="s">
        <v>208</v>
      </c>
      <c r="G598" s="180" t="s">
        <v>208</v>
      </c>
      <c r="H598" s="180"/>
      <c r="I598" s="181"/>
      <c r="J598" s="180"/>
      <c r="K598" s="182" t="s">
        <v>240</v>
      </c>
      <c r="R598" s="163"/>
      <c r="S598" s="163"/>
    </row>
    <row r="599">
      <c r="A599" s="179">
        <f t="shared" si="4"/>
        <v>596</v>
      </c>
      <c r="B599" s="180"/>
      <c r="C599" s="180" t="s">
        <v>208</v>
      </c>
      <c r="D599" s="180" t="s">
        <v>208</v>
      </c>
      <c r="E599" s="180" t="s">
        <v>208</v>
      </c>
      <c r="F599" s="180" t="s">
        <v>208</v>
      </c>
      <c r="G599" s="180" t="s">
        <v>208</v>
      </c>
      <c r="H599" s="180"/>
      <c r="I599" s="181"/>
      <c r="J599" s="180"/>
      <c r="K599" s="182" t="s">
        <v>240</v>
      </c>
      <c r="R599" s="163"/>
      <c r="S599" s="163"/>
    </row>
    <row r="600">
      <c r="A600" s="179">
        <f t="shared" si="4"/>
        <v>597</v>
      </c>
      <c r="B600" s="180"/>
      <c r="C600" s="180" t="s">
        <v>208</v>
      </c>
      <c r="D600" s="180" t="s">
        <v>208</v>
      </c>
      <c r="E600" s="180" t="s">
        <v>208</v>
      </c>
      <c r="F600" s="180" t="s">
        <v>208</v>
      </c>
      <c r="G600" s="180" t="s">
        <v>208</v>
      </c>
      <c r="H600" s="180"/>
      <c r="I600" s="181"/>
      <c r="J600" s="180"/>
      <c r="K600" s="182" t="s">
        <v>240</v>
      </c>
      <c r="R600" s="163"/>
      <c r="S600" s="163"/>
    </row>
    <row r="601">
      <c r="A601" s="179">
        <f t="shared" si="4"/>
        <v>598</v>
      </c>
      <c r="B601" s="180"/>
      <c r="C601" s="180" t="s">
        <v>208</v>
      </c>
      <c r="D601" s="180" t="s">
        <v>208</v>
      </c>
      <c r="E601" s="180" t="s">
        <v>208</v>
      </c>
      <c r="F601" s="180" t="s">
        <v>208</v>
      </c>
      <c r="G601" s="180" t="s">
        <v>208</v>
      </c>
      <c r="H601" s="180"/>
      <c r="I601" s="181"/>
      <c r="J601" s="180"/>
      <c r="K601" s="182" t="s">
        <v>240</v>
      </c>
      <c r="R601" s="163"/>
      <c r="S601" s="163"/>
    </row>
    <row r="602">
      <c r="A602" s="179">
        <f t="shared" si="4"/>
        <v>599</v>
      </c>
      <c r="B602" s="180"/>
      <c r="C602" s="180" t="s">
        <v>208</v>
      </c>
      <c r="D602" s="180" t="s">
        <v>208</v>
      </c>
      <c r="E602" s="180" t="s">
        <v>208</v>
      </c>
      <c r="F602" s="180" t="s">
        <v>208</v>
      </c>
      <c r="G602" s="180" t="s">
        <v>208</v>
      </c>
      <c r="H602" s="180"/>
      <c r="I602" s="181"/>
      <c r="J602" s="181"/>
      <c r="K602" s="182" t="s">
        <v>240</v>
      </c>
      <c r="R602" s="173"/>
      <c r="S602" s="173"/>
    </row>
    <row r="603">
      <c r="A603" s="179">
        <f t="shared" si="4"/>
        <v>600</v>
      </c>
      <c r="B603" s="180"/>
      <c r="C603" s="180" t="s">
        <v>208</v>
      </c>
      <c r="D603" s="180" t="s">
        <v>208</v>
      </c>
      <c r="E603" s="180" t="s">
        <v>208</v>
      </c>
      <c r="F603" s="180" t="s">
        <v>208</v>
      </c>
      <c r="G603" s="180" t="s">
        <v>208</v>
      </c>
      <c r="H603" s="180"/>
      <c r="I603" s="181"/>
      <c r="J603" s="181"/>
      <c r="K603" s="182" t="s">
        <v>240</v>
      </c>
      <c r="R603" s="157"/>
      <c r="S603" s="157"/>
    </row>
    <row r="604">
      <c r="A604" s="179">
        <f t="shared" si="4"/>
        <v>601</v>
      </c>
      <c r="B604" s="180"/>
      <c r="C604" s="180" t="s">
        <v>208</v>
      </c>
      <c r="D604" s="180" t="s">
        <v>208</v>
      </c>
      <c r="E604" s="180" t="s">
        <v>208</v>
      </c>
      <c r="F604" s="180" t="s">
        <v>208</v>
      </c>
      <c r="G604" s="180" t="s">
        <v>208</v>
      </c>
      <c r="H604" s="180"/>
      <c r="I604" s="181"/>
      <c r="J604" s="181"/>
      <c r="K604" s="182" t="s">
        <v>240</v>
      </c>
      <c r="R604" s="163"/>
      <c r="S604" s="163"/>
    </row>
    <row r="605">
      <c r="A605" s="179">
        <f t="shared" si="4"/>
        <v>602</v>
      </c>
      <c r="B605" s="180"/>
      <c r="C605" s="180" t="s">
        <v>208</v>
      </c>
      <c r="D605" s="180" t="s">
        <v>208</v>
      </c>
      <c r="E605" s="180" t="s">
        <v>208</v>
      </c>
      <c r="F605" s="180" t="s">
        <v>208</v>
      </c>
      <c r="G605" s="180" t="s">
        <v>208</v>
      </c>
      <c r="H605" s="180"/>
      <c r="I605" s="181"/>
      <c r="J605" s="181"/>
      <c r="K605" s="182" t="s">
        <v>240</v>
      </c>
      <c r="R605" s="163"/>
      <c r="S605" s="163"/>
    </row>
    <row r="606">
      <c r="A606" s="179">
        <f t="shared" si="4"/>
        <v>603</v>
      </c>
      <c r="B606" s="180"/>
      <c r="C606" s="180" t="s">
        <v>208</v>
      </c>
      <c r="D606" s="180" t="s">
        <v>208</v>
      </c>
      <c r="E606" s="180" t="s">
        <v>208</v>
      </c>
      <c r="F606" s="180" t="s">
        <v>208</v>
      </c>
      <c r="G606" s="180" t="s">
        <v>208</v>
      </c>
      <c r="H606" s="180"/>
      <c r="I606" s="181"/>
      <c r="J606" s="181"/>
      <c r="K606" s="182" t="s">
        <v>240</v>
      </c>
      <c r="R606" s="163"/>
      <c r="S606" s="163"/>
    </row>
    <row r="607">
      <c r="A607" s="179">
        <f t="shared" si="4"/>
        <v>604</v>
      </c>
      <c r="B607" s="180"/>
      <c r="C607" s="180" t="s">
        <v>208</v>
      </c>
      <c r="D607" s="180" t="s">
        <v>208</v>
      </c>
      <c r="E607" s="180" t="s">
        <v>208</v>
      </c>
      <c r="F607" s="180" t="s">
        <v>208</v>
      </c>
      <c r="G607" s="180" t="s">
        <v>208</v>
      </c>
      <c r="H607" s="180"/>
      <c r="I607" s="181"/>
      <c r="J607" s="181"/>
      <c r="K607" s="182" t="s">
        <v>240</v>
      </c>
      <c r="R607" s="163"/>
      <c r="S607" s="163"/>
    </row>
    <row r="608">
      <c r="A608" s="179">
        <f t="shared" si="4"/>
        <v>605</v>
      </c>
      <c r="B608" s="180"/>
      <c r="C608" s="180" t="s">
        <v>208</v>
      </c>
      <c r="D608" s="180" t="s">
        <v>208</v>
      </c>
      <c r="E608" s="180" t="s">
        <v>208</v>
      </c>
      <c r="F608" s="180" t="s">
        <v>208</v>
      </c>
      <c r="G608" s="180" t="s">
        <v>208</v>
      </c>
      <c r="H608" s="180"/>
      <c r="I608" s="181"/>
      <c r="J608" s="181"/>
      <c r="K608" s="182" t="s">
        <v>240</v>
      </c>
      <c r="R608" s="163"/>
      <c r="S608" s="163"/>
    </row>
    <row r="609">
      <c r="A609" s="179">
        <f t="shared" si="4"/>
        <v>606</v>
      </c>
      <c r="B609" s="180"/>
      <c r="C609" s="180" t="s">
        <v>208</v>
      </c>
      <c r="D609" s="180" t="s">
        <v>208</v>
      </c>
      <c r="E609" s="180"/>
      <c r="F609" s="180" t="s">
        <v>208</v>
      </c>
      <c r="G609" s="180" t="s">
        <v>208</v>
      </c>
      <c r="H609" s="180"/>
      <c r="I609" s="181"/>
      <c r="J609" s="181"/>
      <c r="K609" s="182" t="s">
        <v>240</v>
      </c>
      <c r="R609" s="163"/>
      <c r="S609" s="163"/>
    </row>
    <row r="610">
      <c r="A610" s="179">
        <f t="shared" si="4"/>
        <v>607</v>
      </c>
      <c r="B610" s="180"/>
      <c r="C610" s="180" t="s">
        <v>208</v>
      </c>
      <c r="D610" s="180" t="s">
        <v>208</v>
      </c>
      <c r="E610" s="180" t="s">
        <v>208</v>
      </c>
      <c r="F610" s="180" t="s">
        <v>208</v>
      </c>
      <c r="G610" s="180" t="s">
        <v>208</v>
      </c>
      <c r="H610" s="180"/>
      <c r="I610" s="181"/>
      <c r="J610" s="181"/>
      <c r="K610" s="182" t="s">
        <v>240</v>
      </c>
      <c r="R610" s="163"/>
      <c r="S610" s="163"/>
    </row>
    <row r="611">
      <c r="A611" s="179">
        <f t="shared" si="4"/>
        <v>608</v>
      </c>
      <c r="B611" s="180"/>
      <c r="C611" s="180" t="s">
        <v>208</v>
      </c>
      <c r="D611" s="180" t="s">
        <v>208</v>
      </c>
      <c r="E611" s="180" t="s">
        <v>208</v>
      </c>
      <c r="F611" s="180" t="s">
        <v>208</v>
      </c>
      <c r="G611" s="180" t="s">
        <v>208</v>
      </c>
      <c r="H611" s="180"/>
      <c r="I611" s="181"/>
      <c r="J611" s="181"/>
      <c r="K611" s="182" t="s">
        <v>240</v>
      </c>
      <c r="R611" s="163"/>
      <c r="S611" s="163"/>
    </row>
    <row r="612">
      <c r="A612" s="179">
        <f t="shared" si="4"/>
        <v>609</v>
      </c>
      <c r="B612" s="180"/>
      <c r="C612" s="180" t="s">
        <v>208</v>
      </c>
      <c r="D612" s="180" t="s">
        <v>208</v>
      </c>
      <c r="E612" s="180"/>
      <c r="F612" s="180" t="s">
        <v>208</v>
      </c>
      <c r="G612" s="180" t="s">
        <v>208</v>
      </c>
      <c r="H612" s="180"/>
      <c r="I612" s="181"/>
      <c r="J612" s="181"/>
      <c r="K612" s="182" t="s">
        <v>240</v>
      </c>
      <c r="R612" s="163"/>
      <c r="S612" s="163"/>
    </row>
    <row r="613">
      <c r="A613" s="179">
        <f t="shared" si="4"/>
        <v>610</v>
      </c>
      <c r="B613" s="180"/>
      <c r="C613" s="180" t="s">
        <v>208</v>
      </c>
      <c r="D613" s="180" t="s">
        <v>208</v>
      </c>
      <c r="E613" s="180" t="s">
        <v>208</v>
      </c>
      <c r="F613" s="180" t="s">
        <v>208</v>
      </c>
      <c r="G613" s="180" t="s">
        <v>208</v>
      </c>
      <c r="H613" s="180"/>
      <c r="I613" s="181"/>
      <c r="J613" s="181"/>
      <c r="K613" s="182" t="s">
        <v>240</v>
      </c>
      <c r="R613" s="163"/>
      <c r="S613" s="163"/>
    </row>
    <row r="614">
      <c r="A614" s="179">
        <f t="shared" si="4"/>
        <v>611</v>
      </c>
      <c r="B614" s="180"/>
      <c r="C614" s="180" t="s">
        <v>208</v>
      </c>
      <c r="D614" s="180" t="s">
        <v>243</v>
      </c>
      <c r="E614" s="180" t="s">
        <v>208</v>
      </c>
      <c r="F614" s="180" t="s">
        <v>208</v>
      </c>
      <c r="G614" s="180" t="s">
        <v>208</v>
      </c>
      <c r="H614" s="180"/>
      <c r="I614" s="181"/>
      <c r="J614" s="181"/>
      <c r="K614" s="182" t="s">
        <v>240</v>
      </c>
      <c r="R614" s="173"/>
      <c r="S614" s="173"/>
    </row>
    <row r="615">
      <c r="A615" s="179">
        <f t="shared" si="4"/>
        <v>612</v>
      </c>
      <c r="B615" s="180"/>
      <c r="C615" s="180"/>
      <c r="D615" s="180" t="s">
        <v>208</v>
      </c>
      <c r="E615" s="180" t="s">
        <v>208</v>
      </c>
      <c r="F615" s="180" t="s">
        <v>208</v>
      </c>
      <c r="G615" s="180"/>
      <c r="H615" s="180" t="s">
        <v>208</v>
      </c>
      <c r="I615" s="181"/>
      <c r="J615" s="181"/>
      <c r="K615" s="182" t="s">
        <v>240</v>
      </c>
      <c r="R615" s="157"/>
      <c r="S615" s="157"/>
    </row>
    <row r="616">
      <c r="A616" s="179">
        <f t="shared" si="4"/>
        <v>613</v>
      </c>
      <c r="B616" s="180"/>
      <c r="C616" s="180"/>
      <c r="D616" s="180" t="s">
        <v>208</v>
      </c>
      <c r="E616" s="180" t="s">
        <v>208</v>
      </c>
      <c r="F616" s="180" t="s">
        <v>208</v>
      </c>
      <c r="G616" s="180"/>
      <c r="H616" s="180" t="s">
        <v>208</v>
      </c>
      <c r="I616" s="181"/>
      <c r="J616" s="180"/>
      <c r="K616" s="182" t="s">
        <v>240</v>
      </c>
      <c r="R616" s="163"/>
      <c r="S616" s="163"/>
    </row>
    <row r="617">
      <c r="A617" s="179">
        <f t="shared" si="4"/>
        <v>614</v>
      </c>
      <c r="B617" s="180"/>
      <c r="C617" s="180" t="s">
        <v>208</v>
      </c>
      <c r="D617" s="180" t="s">
        <v>208</v>
      </c>
      <c r="E617" s="180" t="s">
        <v>208</v>
      </c>
      <c r="F617" s="180" t="s">
        <v>208</v>
      </c>
      <c r="G617" s="180" t="s">
        <v>208</v>
      </c>
      <c r="H617" s="180"/>
      <c r="I617" s="181"/>
      <c r="J617" s="180"/>
      <c r="K617" s="182" t="s">
        <v>240</v>
      </c>
      <c r="R617" s="163"/>
      <c r="S617" s="163"/>
    </row>
    <row r="618">
      <c r="A618" s="179">
        <f t="shared" si="4"/>
        <v>615</v>
      </c>
      <c r="B618" s="180"/>
      <c r="C618" s="180" t="s">
        <v>208</v>
      </c>
      <c r="D618" s="180" t="s">
        <v>208</v>
      </c>
      <c r="E618" s="180" t="s">
        <v>208</v>
      </c>
      <c r="F618" s="180" t="s">
        <v>208</v>
      </c>
      <c r="G618" s="180" t="s">
        <v>208</v>
      </c>
      <c r="H618" s="181"/>
      <c r="I618" s="181"/>
      <c r="J618" s="180"/>
      <c r="K618" s="182" t="s">
        <v>240</v>
      </c>
      <c r="R618" s="163"/>
      <c r="S618" s="163"/>
    </row>
    <row r="619">
      <c r="A619" s="179">
        <f t="shared" si="4"/>
        <v>616</v>
      </c>
      <c r="B619" s="180"/>
      <c r="C619" s="180"/>
      <c r="D619" s="180"/>
      <c r="E619" s="180"/>
      <c r="F619" s="180"/>
      <c r="G619" s="180"/>
      <c r="H619" s="185"/>
      <c r="I619" s="181"/>
      <c r="J619" s="180" t="s">
        <v>242</v>
      </c>
      <c r="K619" s="182" t="s">
        <v>240</v>
      </c>
      <c r="R619" s="163"/>
      <c r="S619" s="163"/>
    </row>
    <row r="620">
      <c r="A620" s="179">
        <f t="shared" si="4"/>
        <v>617</v>
      </c>
      <c r="B620" s="180"/>
      <c r="C620" s="180" t="s">
        <v>208</v>
      </c>
      <c r="D620" s="180" t="s">
        <v>208</v>
      </c>
      <c r="E620" s="180" t="s">
        <v>208</v>
      </c>
      <c r="F620" s="180" t="s">
        <v>208</v>
      </c>
      <c r="G620" s="180" t="s">
        <v>208</v>
      </c>
      <c r="H620" s="185"/>
      <c r="I620" s="181"/>
      <c r="J620" s="180"/>
      <c r="K620" s="182" t="s">
        <v>240</v>
      </c>
      <c r="R620" s="163"/>
      <c r="S620" s="163"/>
    </row>
    <row r="621">
      <c r="A621" s="179">
        <f t="shared" si="4"/>
        <v>618</v>
      </c>
      <c r="B621" s="180"/>
      <c r="C621" s="180" t="s">
        <v>208</v>
      </c>
      <c r="D621" s="180" t="s">
        <v>208</v>
      </c>
      <c r="E621" s="180" t="s">
        <v>208</v>
      </c>
      <c r="F621" s="180" t="s">
        <v>208</v>
      </c>
      <c r="G621" s="180" t="s">
        <v>208</v>
      </c>
      <c r="H621" s="185"/>
      <c r="I621" s="181"/>
      <c r="J621" s="180"/>
      <c r="K621" s="182" t="s">
        <v>240</v>
      </c>
      <c r="R621" s="163"/>
      <c r="S621" s="163"/>
    </row>
    <row r="622">
      <c r="A622" s="179">
        <f t="shared" si="4"/>
        <v>619</v>
      </c>
      <c r="B622" s="180"/>
      <c r="C622" s="180" t="s">
        <v>208</v>
      </c>
      <c r="D622" s="180" t="s">
        <v>243</v>
      </c>
      <c r="E622" s="180" t="s">
        <v>208</v>
      </c>
      <c r="F622" s="180" t="s">
        <v>208</v>
      </c>
      <c r="G622" s="180" t="s">
        <v>208</v>
      </c>
      <c r="H622" s="185"/>
      <c r="I622" s="181"/>
      <c r="J622" s="180"/>
      <c r="K622" s="182" t="s">
        <v>240</v>
      </c>
      <c r="R622" s="163"/>
      <c r="S622" s="163"/>
    </row>
    <row r="623">
      <c r="A623" s="179">
        <f t="shared" si="4"/>
        <v>620</v>
      </c>
      <c r="B623" s="181"/>
      <c r="C623" s="180" t="s">
        <v>208</v>
      </c>
      <c r="D623" s="180" t="s">
        <v>243</v>
      </c>
      <c r="E623" s="180" t="s">
        <v>208</v>
      </c>
      <c r="F623" s="180" t="s">
        <v>208</v>
      </c>
      <c r="G623" s="180" t="s">
        <v>208</v>
      </c>
      <c r="H623" s="181"/>
      <c r="I623" s="181"/>
      <c r="J623" s="180"/>
      <c r="K623" s="182" t="s">
        <v>240</v>
      </c>
      <c r="R623" s="163"/>
      <c r="S623" s="163"/>
    </row>
    <row r="624">
      <c r="A624" s="179">
        <f t="shared" si="4"/>
        <v>621</v>
      </c>
      <c r="B624" s="180"/>
      <c r="C624" s="180" t="s">
        <v>208</v>
      </c>
      <c r="D624" s="180" t="s">
        <v>208</v>
      </c>
      <c r="E624" s="180" t="s">
        <v>208</v>
      </c>
      <c r="F624" s="180" t="s">
        <v>208</v>
      </c>
      <c r="G624" s="180" t="s">
        <v>208</v>
      </c>
      <c r="H624" s="181"/>
      <c r="I624" s="181"/>
      <c r="J624" s="180"/>
      <c r="K624" s="182" t="s">
        <v>240</v>
      </c>
      <c r="R624" s="163"/>
      <c r="S624" s="163"/>
    </row>
    <row r="625">
      <c r="A625" s="179">
        <f t="shared" si="4"/>
        <v>622</v>
      </c>
      <c r="B625" s="180"/>
      <c r="C625" s="180"/>
      <c r="D625" s="180"/>
      <c r="E625" s="180"/>
      <c r="F625" s="180"/>
      <c r="G625" s="180"/>
      <c r="H625" s="181"/>
      <c r="I625" s="181"/>
      <c r="J625" s="180" t="s">
        <v>242</v>
      </c>
      <c r="K625" s="182" t="s">
        <v>240</v>
      </c>
      <c r="R625" s="163"/>
      <c r="S625" s="163"/>
    </row>
    <row r="626">
      <c r="A626" s="179">
        <f t="shared" si="4"/>
        <v>623</v>
      </c>
      <c r="B626" s="180"/>
      <c r="C626" s="180"/>
      <c r="D626" s="180"/>
      <c r="E626" s="180"/>
      <c r="F626" s="180"/>
      <c r="G626" s="180"/>
      <c r="H626" s="181"/>
      <c r="I626" s="181"/>
      <c r="J626" s="180" t="s">
        <v>242</v>
      </c>
      <c r="K626" s="182" t="s">
        <v>240</v>
      </c>
      <c r="R626" s="173"/>
      <c r="S626" s="173"/>
    </row>
    <row r="627">
      <c r="A627" s="179">
        <f t="shared" si="4"/>
        <v>624</v>
      </c>
      <c r="B627" s="180"/>
      <c r="C627" s="180"/>
      <c r="D627" s="180"/>
      <c r="E627" s="180"/>
      <c r="F627" s="180"/>
      <c r="G627" s="180"/>
      <c r="H627" s="181"/>
      <c r="I627" s="181"/>
      <c r="J627" s="180" t="s">
        <v>242</v>
      </c>
      <c r="K627" s="182" t="s">
        <v>240</v>
      </c>
      <c r="R627" s="157"/>
      <c r="S627" s="157"/>
    </row>
    <row r="628">
      <c r="A628" s="179">
        <f t="shared" si="4"/>
        <v>625</v>
      </c>
      <c r="B628" s="181"/>
      <c r="C628" s="180"/>
      <c r="D628" s="180"/>
      <c r="E628" s="180"/>
      <c r="F628" s="180"/>
      <c r="G628" s="180"/>
      <c r="H628" s="181"/>
      <c r="I628" s="181"/>
      <c r="J628" s="180" t="s">
        <v>242</v>
      </c>
      <c r="K628" s="182" t="s">
        <v>240</v>
      </c>
      <c r="R628" s="163"/>
      <c r="S628" s="163"/>
    </row>
    <row r="629">
      <c r="A629" s="179">
        <f t="shared" si="4"/>
        <v>626</v>
      </c>
      <c r="B629" s="181"/>
      <c r="C629" s="180"/>
      <c r="D629" s="180"/>
      <c r="E629" s="180"/>
      <c r="F629" s="180"/>
      <c r="G629" s="180"/>
      <c r="H629" s="181"/>
      <c r="I629" s="181"/>
      <c r="J629" s="180" t="s">
        <v>242</v>
      </c>
      <c r="K629" s="182" t="s">
        <v>240</v>
      </c>
      <c r="R629" s="163"/>
      <c r="S629" s="163"/>
    </row>
    <row r="630">
      <c r="A630" s="179">
        <f t="shared" si="4"/>
        <v>627</v>
      </c>
      <c r="B630" s="181"/>
      <c r="C630" s="180"/>
      <c r="D630" s="180"/>
      <c r="E630" s="180"/>
      <c r="F630" s="180"/>
      <c r="G630" s="180"/>
      <c r="H630" s="181"/>
      <c r="I630" s="181"/>
      <c r="J630" s="180" t="s">
        <v>242</v>
      </c>
      <c r="K630" s="182" t="s">
        <v>240</v>
      </c>
      <c r="R630" s="163"/>
      <c r="S630" s="163"/>
    </row>
    <row r="631">
      <c r="A631" s="179">
        <f t="shared" si="4"/>
        <v>628</v>
      </c>
      <c r="B631" s="181"/>
      <c r="C631" s="180" t="s">
        <v>208</v>
      </c>
      <c r="D631" s="180" t="s">
        <v>208</v>
      </c>
      <c r="E631" s="180" t="s">
        <v>208</v>
      </c>
      <c r="F631" s="180" t="s">
        <v>208</v>
      </c>
      <c r="G631" s="180" t="s">
        <v>208</v>
      </c>
      <c r="H631" s="180"/>
      <c r="I631" s="181"/>
      <c r="J631" s="180"/>
      <c r="K631" s="182" t="s">
        <v>240</v>
      </c>
      <c r="R631" s="163"/>
      <c r="S631" s="163"/>
    </row>
    <row r="632">
      <c r="A632" s="179">
        <f t="shared" si="4"/>
        <v>629</v>
      </c>
      <c r="B632" s="180"/>
      <c r="C632" s="180" t="s">
        <v>208</v>
      </c>
      <c r="D632" s="180" t="s">
        <v>208</v>
      </c>
      <c r="E632" s="180" t="s">
        <v>208</v>
      </c>
      <c r="F632" s="180" t="s">
        <v>208</v>
      </c>
      <c r="G632" s="180" t="s">
        <v>208</v>
      </c>
      <c r="H632" s="180"/>
      <c r="I632" s="181"/>
      <c r="J632" s="180"/>
      <c r="K632" s="182" t="s">
        <v>240</v>
      </c>
      <c r="R632" s="163"/>
      <c r="S632" s="163"/>
    </row>
    <row r="633">
      <c r="A633" s="179">
        <f t="shared" si="4"/>
        <v>630</v>
      </c>
      <c r="B633" s="180"/>
      <c r="C633" s="180" t="s">
        <v>208</v>
      </c>
      <c r="D633" s="180" t="s">
        <v>208</v>
      </c>
      <c r="E633" s="180" t="s">
        <v>208</v>
      </c>
      <c r="F633" s="180" t="s">
        <v>208</v>
      </c>
      <c r="G633" s="180" t="s">
        <v>208</v>
      </c>
      <c r="H633" s="180"/>
      <c r="I633" s="181"/>
      <c r="J633" s="180"/>
      <c r="K633" s="182" t="s">
        <v>240</v>
      </c>
      <c r="R633" s="163"/>
      <c r="S633" s="163"/>
    </row>
    <row r="634">
      <c r="A634" s="179">
        <f t="shared" si="4"/>
        <v>631</v>
      </c>
      <c r="B634" s="180"/>
      <c r="C634" s="180" t="s">
        <v>208</v>
      </c>
      <c r="D634" s="180" t="s">
        <v>243</v>
      </c>
      <c r="E634" s="180" t="s">
        <v>208</v>
      </c>
      <c r="F634" s="180" t="s">
        <v>208</v>
      </c>
      <c r="G634" s="180" t="s">
        <v>208</v>
      </c>
      <c r="H634" s="185"/>
      <c r="I634" s="181"/>
      <c r="J634" s="180"/>
      <c r="K634" s="182" t="s">
        <v>240</v>
      </c>
      <c r="R634" s="163"/>
      <c r="S634" s="163"/>
    </row>
    <row r="635">
      <c r="A635" s="179">
        <f t="shared" si="4"/>
        <v>632</v>
      </c>
      <c r="B635" s="180"/>
      <c r="C635" s="180" t="s">
        <v>208</v>
      </c>
      <c r="D635" s="180" t="s">
        <v>243</v>
      </c>
      <c r="E635" s="180" t="s">
        <v>208</v>
      </c>
      <c r="F635" s="180" t="s">
        <v>208</v>
      </c>
      <c r="G635" s="180" t="s">
        <v>208</v>
      </c>
      <c r="H635" s="185"/>
      <c r="I635" s="181"/>
      <c r="J635" s="180"/>
      <c r="K635" s="182" t="s">
        <v>240</v>
      </c>
      <c r="R635" s="163"/>
      <c r="S635" s="163"/>
    </row>
    <row r="636">
      <c r="A636" s="179">
        <f t="shared" si="4"/>
        <v>633</v>
      </c>
      <c r="B636" s="180"/>
      <c r="C636" s="180" t="s">
        <v>208</v>
      </c>
      <c r="D636" s="180" t="s">
        <v>208</v>
      </c>
      <c r="E636" s="180" t="s">
        <v>208</v>
      </c>
      <c r="F636" s="180" t="s">
        <v>208</v>
      </c>
      <c r="G636" s="180" t="s">
        <v>208</v>
      </c>
      <c r="H636" s="180"/>
      <c r="I636" s="181"/>
      <c r="J636" s="180"/>
      <c r="K636" s="182" t="s">
        <v>240</v>
      </c>
      <c r="R636" s="163"/>
      <c r="S636" s="163"/>
    </row>
    <row r="637">
      <c r="A637" s="179">
        <f t="shared" si="4"/>
        <v>634</v>
      </c>
      <c r="B637" s="180"/>
      <c r="C637" s="180" t="s">
        <v>208</v>
      </c>
      <c r="D637" s="180" t="s">
        <v>208</v>
      </c>
      <c r="E637" s="180" t="s">
        <v>208</v>
      </c>
      <c r="F637" s="180" t="s">
        <v>208</v>
      </c>
      <c r="G637" s="180" t="s">
        <v>208</v>
      </c>
      <c r="H637" s="181"/>
      <c r="I637" s="181"/>
      <c r="J637" s="181"/>
      <c r="K637" s="182" t="s">
        <v>240</v>
      </c>
      <c r="R637" s="163"/>
      <c r="S637" s="163"/>
    </row>
    <row r="638">
      <c r="A638" s="179">
        <f t="shared" si="4"/>
        <v>635</v>
      </c>
      <c r="B638" s="180"/>
      <c r="C638" s="180" t="s">
        <v>208</v>
      </c>
      <c r="D638" s="180" t="s">
        <v>208</v>
      </c>
      <c r="E638" s="180" t="s">
        <v>208</v>
      </c>
      <c r="F638" s="180" t="s">
        <v>208</v>
      </c>
      <c r="G638" s="180" t="s">
        <v>208</v>
      </c>
      <c r="H638" s="181"/>
      <c r="I638" s="181"/>
      <c r="J638" s="180"/>
      <c r="K638" s="182" t="s">
        <v>240</v>
      </c>
      <c r="R638" s="173"/>
      <c r="S638" s="173"/>
    </row>
    <row r="639">
      <c r="A639" s="179">
        <f t="shared" si="4"/>
        <v>636</v>
      </c>
      <c r="B639" s="180"/>
      <c r="C639" s="180" t="s">
        <v>208</v>
      </c>
      <c r="D639" s="180" t="s">
        <v>208</v>
      </c>
      <c r="E639" s="180" t="s">
        <v>208</v>
      </c>
      <c r="F639" s="180" t="s">
        <v>208</v>
      </c>
      <c r="G639" s="180" t="s">
        <v>208</v>
      </c>
      <c r="H639" s="181"/>
      <c r="I639" s="181"/>
      <c r="J639" s="181"/>
      <c r="K639" s="182" t="s">
        <v>240</v>
      </c>
      <c r="R639" s="157"/>
      <c r="S639" s="157"/>
    </row>
    <row r="640">
      <c r="A640" s="179">
        <f t="shared" si="4"/>
        <v>637</v>
      </c>
      <c r="B640" s="180"/>
      <c r="C640" s="180" t="s">
        <v>208</v>
      </c>
      <c r="D640" s="180" t="s">
        <v>208</v>
      </c>
      <c r="E640" s="180" t="s">
        <v>208</v>
      </c>
      <c r="F640" s="180" t="s">
        <v>208</v>
      </c>
      <c r="G640" s="180" t="s">
        <v>208</v>
      </c>
      <c r="H640" s="181"/>
      <c r="I640" s="181"/>
      <c r="J640" s="181"/>
      <c r="K640" s="182" t="s">
        <v>240</v>
      </c>
      <c r="R640" s="163"/>
      <c r="S640" s="163"/>
    </row>
    <row r="641">
      <c r="A641" s="179">
        <f t="shared" si="4"/>
        <v>638</v>
      </c>
      <c r="B641" s="180"/>
      <c r="C641" s="180" t="s">
        <v>208</v>
      </c>
      <c r="D641" s="180" t="s">
        <v>208</v>
      </c>
      <c r="E641" s="180" t="s">
        <v>208</v>
      </c>
      <c r="F641" s="180" t="s">
        <v>208</v>
      </c>
      <c r="G641" s="180" t="s">
        <v>208</v>
      </c>
      <c r="H641" s="181"/>
      <c r="I641" s="181"/>
      <c r="J641" s="181"/>
      <c r="K641" s="182" t="s">
        <v>240</v>
      </c>
      <c r="R641" s="163"/>
      <c r="S641" s="163"/>
    </row>
    <row r="642">
      <c r="A642" s="179">
        <f t="shared" si="4"/>
        <v>639</v>
      </c>
      <c r="B642" s="180"/>
      <c r="C642" s="180" t="s">
        <v>208</v>
      </c>
      <c r="D642" s="180" t="s">
        <v>208</v>
      </c>
      <c r="E642" s="180" t="s">
        <v>208</v>
      </c>
      <c r="F642" s="180" t="s">
        <v>208</v>
      </c>
      <c r="G642" s="180" t="s">
        <v>208</v>
      </c>
      <c r="H642" s="181"/>
      <c r="I642" s="181"/>
      <c r="J642" s="181"/>
      <c r="K642" s="182" t="s">
        <v>240</v>
      </c>
      <c r="R642" s="163"/>
      <c r="S642" s="163"/>
    </row>
    <row r="643">
      <c r="A643" s="179">
        <f t="shared" si="4"/>
        <v>640</v>
      </c>
      <c r="B643" s="180"/>
      <c r="C643" s="180" t="s">
        <v>208</v>
      </c>
      <c r="D643" s="180" t="s">
        <v>243</v>
      </c>
      <c r="E643" s="180" t="s">
        <v>208</v>
      </c>
      <c r="F643" s="180" t="s">
        <v>208</v>
      </c>
      <c r="G643" s="180" t="s">
        <v>208</v>
      </c>
      <c r="H643" s="181"/>
      <c r="I643" s="181"/>
      <c r="J643" s="181"/>
      <c r="K643" s="182" t="s">
        <v>240</v>
      </c>
      <c r="R643" s="163"/>
      <c r="S643" s="163"/>
    </row>
    <row r="644">
      <c r="A644" s="179">
        <f t="shared" si="4"/>
        <v>641</v>
      </c>
      <c r="B644" s="180"/>
      <c r="C644" s="180" t="s">
        <v>208</v>
      </c>
      <c r="D644" s="180" t="s">
        <v>208</v>
      </c>
      <c r="E644" s="180" t="s">
        <v>208</v>
      </c>
      <c r="F644" s="180" t="s">
        <v>208</v>
      </c>
      <c r="G644" s="180" t="s">
        <v>208</v>
      </c>
      <c r="H644" s="180"/>
      <c r="I644" s="181"/>
      <c r="J644" s="181"/>
      <c r="K644" s="182" t="s">
        <v>240</v>
      </c>
      <c r="R644" s="163"/>
      <c r="S644" s="163"/>
    </row>
    <row r="645">
      <c r="A645" s="179">
        <f t="shared" si="4"/>
        <v>642</v>
      </c>
      <c r="B645" s="180"/>
      <c r="C645" s="180" t="s">
        <v>208</v>
      </c>
      <c r="D645" s="180" t="s">
        <v>208</v>
      </c>
      <c r="E645" s="180" t="s">
        <v>208</v>
      </c>
      <c r="F645" s="180" t="s">
        <v>208</v>
      </c>
      <c r="G645" s="180" t="s">
        <v>208</v>
      </c>
      <c r="H645" s="181"/>
      <c r="I645" s="181"/>
      <c r="J645" s="180"/>
      <c r="K645" s="182" t="s">
        <v>240</v>
      </c>
      <c r="R645" s="163"/>
      <c r="S645" s="163"/>
    </row>
    <row r="646">
      <c r="A646" s="179">
        <f t="shared" si="4"/>
        <v>643</v>
      </c>
      <c r="B646" s="180"/>
      <c r="C646" s="180" t="s">
        <v>208</v>
      </c>
      <c r="D646" s="180" t="s">
        <v>208</v>
      </c>
      <c r="E646" s="180" t="s">
        <v>208</v>
      </c>
      <c r="F646" s="180" t="s">
        <v>208</v>
      </c>
      <c r="G646" s="180" t="s">
        <v>208</v>
      </c>
      <c r="H646" s="180"/>
      <c r="I646" s="181"/>
      <c r="J646" s="181"/>
      <c r="K646" s="182" t="s">
        <v>240</v>
      </c>
      <c r="R646" s="163"/>
      <c r="S646" s="163"/>
    </row>
    <row r="647">
      <c r="A647" s="179">
        <f t="shared" si="4"/>
        <v>644</v>
      </c>
      <c r="B647" s="180"/>
      <c r="C647" s="180" t="s">
        <v>208</v>
      </c>
      <c r="D647" s="180" t="s">
        <v>208</v>
      </c>
      <c r="E647" s="180" t="s">
        <v>208</v>
      </c>
      <c r="F647" s="180" t="s">
        <v>208</v>
      </c>
      <c r="G647" s="180" t="s">
        <v>208</v>
      </c>
      <c r="H647" s="180"/>
      <c r="I647" s="181"/>
      <c r="J647" s="181"/>
      <c r="K647" s="182" t="s">
        <v>240</v>
      </c>
      <c r="R647" s="163"/>
      <c r="S647" s="163"/>
    </row>
    <row r="648">
      <c r="A648" s="179">
        <f t="shared" si="4"/>
        <v>645</v>
      </c>
      <c r="B648" s="180"/>
      <c r="C648" s="180" t="s">
        <v>208</v>
      </c>
      <c r="D648" s="180" t="s">
        <v>208</v>
      </c>
      <c r="E648" s="180" t="s">
        <v>208</v>
      </c>
      <c r="F648" s="180" t="s">
        <v>208</v>
      </c>
      <c r="G648" s="180" t="s">
        <v>208</v>
      </c>
      <c r="H648" s="181"/>
      <c r="I648" s="181"/>
      <c r="J648" s="181"/>
      <c r="K648" s="182" t="s">
        <v>240</v>
      </c>
      <c r="R648" s="163"/>
      <c r="S648" s="163"/>
    </row>
    <row r="649">
      <c r="A649" s="179">
        <f t="shared" si="4"/>
        <v>646</v>
      </c>
      <c r="B649" s="180"/>
      <c r="C649" s="180" t="s">
        <v>208</v>
      </c>
      <c r="D649" s="180" t="s">
        <v>208</v>
      </c>
      <c r="E649" s="180" t="s">
        <v>208</v>
      </c>
      <c r="F649" s="180" t="s">
        <v>208</v>
      </c>
      <c r="G649" s="180" t="s">
        <v>208</v>
      </c>
      <c r="H649" s="181"/>
      <c r="I649" s="181"/>
      <c r="J649" s="181"/>
      <c r="K649" s="182" t="s">
        <v>240</v>
      </c>
      <c r="R649" s="163"/>
      <c r="S649" s="163"/>
    </row>
    <row r="650">
      <c r="A650" s="179">
        <f t="shared" si="4"/>
        <v>647</v>
      </c>
      <c r="B650" s="180"/>
      <c r="C650" s="180" t="s">
        <v>208</v>
      </c>
      <c r="D650" s="180" t="s">
        <v>208</v>
      </c>
      <c r="E650" s="180" t="s">
        <v>208</v>
      </c>
      <c r="F650" s="180" t="s">
        <v>208</v>
      </c>
      <c r="G650" s="180" t="s">
        <v>208</v>
      </c>
      <c r="H650" s="181"/>
      <c r="I650" s="181"/>
      <c r="J650" s="181"/>
      <c r="K650" s="182" t="s">
        <v>240</v>
      </c>
      <c r="R650" s="173"/>
      <c r="S650" s="173"/>
    </row>
    <row r="651">
      <c r="A651" s="179">
        <f t="shared" si="4"/>
        <v>648</v>
      </c>
      <c r="B651" s="180"/>
      <c r="C651" s="180" t="s">
        <v>208</v>
      </c>
      <c r="D651" s="180" t="s">
        <v>208</v>
      </c>
      <c r="E651" s="180" t="s">
        <v>208</v>
      </c>
      <c r="F651" s="180" t="s">
        <v>208</v>
      </c>
      <c r="G651" s="180" t="s">
        <v>208</v>
      </c>
      <c r="H651" s="181"/>
      <c r="I651" s="181"/>
      <c r="J651" s="181"/>
      <c r="K651" s="182" t="s">
        <v>240</v>
      </c>
      <c r="R651" s="157"/>
      <c r="S651" s="157"/>
    </row>
    <row r="652">
      <c r="A652" s="179">
        <f t="shared" si="4"/>
        <v>649</v>
      </c>
      <c r="B652" s="180"/>
      <c r="C652" s="180" t="s">
        <v>208</v>
      </c>
      <c r="D652" s="180" t="s">
        <v>208</v>
      </c>
      <c r="E652" s="180" t="s">
        <v>208</v>
      </c>
      <c r="F652" s="180" t="s">
        <v>208</v>
      </c>
      <c r="G652" s="180" t="s">
        <v>208</v>
      </c>
      <c r="H652" s="180"/>
      <c r="I652" s="181"/>
      <c r="J652" s="181"/>
      <c r="K652" s="182" t="s">
        <v>240</v>
      </c>
      <c r="R652" s="163"/>
      <c r="S652" s="163"/>
    </row>
    <row r="653">
      <c r="A653" s="179">
        <f t="shared" si="4"/>
        <v>650</v>
      </c>
      <c r="B653" s="180"/>
      <c r="C653" s="180" t="s">
        <v>208</v>
      </c>
      <c r="D653" s="180" t="s">
        <v>208</v>
      </c>
      <c r="E653" s="180" t="s">
        <v>208</v>
      </c>
      <c r="F653" s="180" t="s">
        <v>208</v>
      </c>
      <c r="G653" s="180" t="s">
        <v>208</v>
      </c>
      <c r="H653" s="181"/>
      <c r="I653" s="181"/>
      <c r="J653" s="181"/>
      <c r="K653" s="182" t="s">
        <v>240</v>
      </c>
      <c r="R653" s="163"/>
      <c r="S653" s="163"/>
    </row>
    <row r="654">
      <c r="A654" s="179">
        <f t="shared" si="4"/>
        <v>651</v>
      </c>
      <c r="B654" s="180"/>
      <c r="C654" s="180" t="s">
        <v>208</v>
      </c>
      <c r="D654" s="180" t="s">
        <v>208</v>
      </c>
      <c r="E654" s="180" t="s">
        <v>208</v>
      </c>
      <c r="F654" s="180" t="s">
        <v>208</v>
      </c>
      <c r="G654" s="180" t="s">
        <v>208</v>
      </c>
      <c r="H654" s="181"/>
      <c r="I654" s="181"/>
      <c r="J654" s="181"/>
      <c r="K654" s="182" t="s">
        <v>240</v>
      </c>
      <c r="R654" s="163"/>
      <c r="S654" s="163"/>
    </row>
    <row r="655">
      <c r="A655" s="179">
        <f t="shared" si="4"/>
        <v>652</v>
      </c>
      <c r="B655" s="180"/>
      <c r="C655" s="180" t="s">
        <v>208</v>
      </c>
      <c r="D655" s="180" t="s">
        <v>208</v>
      </c>
      <c r="E655" s="180" t="s">
        <v>208</v>
      </c>
      <c r="F655" s="180" t="s">
        <v>208</v>
      </c>
      <c r="G655" s="180" t="s">
        <v>208</v>
      </c>
      <c r="H655" s="181"/>
      <c r="I655" s="181"/>
      <c r="J655" s="181"/>
      <c r="K655" s="182" t="s">
        <v>240</v>
      </c>
      <c r="R655" s="163"/>
      <c r="S655" s="163"/>
    </row>
    <row r="656">
      <c r="A656" s="179">
        <f t="shared" si="4"/>
        <v>653</v>
      </c>
      <c r="B656" s="180"/>
      <c r="C656" s="180" t="s">
        <v>208</v>
      </c>
      <c r="D656" s="180" t="s">
        <v>208</v>
      </c>
      <c r="E656" s="180" t="s">
        <v>208</v>
      </c>
      <c r="F656" s="180" t="s">
        <v>208</v>
      </c>
      <c r="G656" s="180" t="s">
        <v>208</v>
      </c>
      <c r="H656" s="181"/>
      <c r="I656" s="181"/>
      <c r="J656" s="181"/>
      <c r="K656" s="182" t="s">
        <v>240</v>
      </c>
      <c r="R656" s="163"/>
      <c r="S656" s="163"/>
    </row>
    <row r="657">
      <c r="A657" s="179">
        <f t="shared" si="4"/>
        <v>654</v>
      </c>
      <c r="B657" s="180"/>
      <c r="C657" s="180" t="s">
        <v>208</v>
      </c>
      <c r="D657" s="180" t="s">
        <v>208</v>
      </c>
      <c r="E657" s="180" t="s">
        <v>208</v>
      </c>
      <c r="F657" s="180" t="s">
        <v>208</v>
      </c>
      <c r="G657" s="180" t="s">
        <v>208</v>
      </c>
      <c r="H657" s="181"/>
      <c r="I657" s="181"/>
      <c r="J657" s="181"/>
      <c r="K657" s="182" t="s">
        <v>240</v>
      </c>
      <c r="R657" s="163"/>
      <c r="S657" s="163"/>
    </row>
    <row r="658">
      <c r="A658" s="179">
        <f t="shared" si="4"/>
        <v>655</v>
      </c>
      <c r="B658" s="180"/>
      <c r="C658" s="180" t="s">
        <v>208</v>
      </c>
      <c r="D658" s="180" t="s">
        <v>208</v>
      </c>
      <c r="E658" s="180" t="s">
        <v>208</v>
      </c>
      <c r="F658" s="180" t="s">
        <v>208</v>
      </c>
      <c r="G658" s="180" t="s">
        <v>208</v>
      </c>
      <c r="H658" s="181"/>
      <c r="I658" s="181"/>
      <c r="J658" s="181"/>
      <c r="K658" s="182" t="s">
        <v>240</v>
      </c>
      <c r="R658" s="163"/>
      <c r="S658" s="163"/>
    </row>
    <row r="659">
      <c r="A659" s="179">
        <f t="shared" si="4"/>
        <v>656</v>
      </c>
      <c r="B659" s="180"/>
      <c r="C659" s="180" t="s">
        <v>208</v>
      </c>
      <c r="D659" s="180" t="s">
        <v>208</v>
      </c>
      <c r="E659" s="180" t="s">
        <v>208</v>
      </c>
      <c r="F659" s="180" t="s">
        <v>208</v>
      </c>
      <c r="G659" s="180" t="s">
        <v>208</v>
      </c>
      <c r="H659" s="181"/>
      <c r="I659" s="181"/>
      <c r="J659" s="181"/>
      <c r="K659" s="182" t="s">
        <v>240</v>
      </c>
      <c r="R659" s="163"/>
      <c r="S659" s="163"/>
    </row>
    <row r="660">
      <c r="A660" s="179">
        <f t="shared" si="4"/>
        <v>657</v>
      </c>
      <c r="B660" s="180"/>
      <c r="C660" s="180" t="s">
        <v>208</v>
      </c>
      <c r="D660" s="180" t="s">
        <v>208</v>
      </c>
      <c r="E660" s="180" t="s">
        <v>208</v>
      </c>
      <c r="F660" s="180" t="s">
        <v>208</v>
      </c>
      <c r="G660" s="180" t="s">
        <v>208</v>
      </c>
      <c r="H660" s="185"/>
      <c r="I660" s="181"/>
      <c r="J660" s="181"/>
      <c r="K660" s="182" t="s">
        <v>240</v>
      </c>
      <c r="R660" s="163"/>
      <c r="S660" s="163"/>
    </row>
    <row r="661">
      <c r="A661" s="179">
        <f t="shared" si="4"/>
        <v>658</v>
      </c>
      <c r="B661" s="180"/>
      <c r="C661" s="180" t="s">
        <v>208</v>
      </c>
      <c r="D661" s="180" t="s">
        <v>208</v>
      </c>
      <c r="E661" s="180" t="s">
        <v>208</v>
      </c>
      <c r="F661" s="180" t="s">
        <v>208</v>
      </c>
      <c r="G661" s="180" t="s">
        <v>208</v>
      </c>
      <c r="H661" s="185"/>
      <c r="I661" s="181"/>
      <c r="J661" s="181"/>
      <c r="K661" s="182" t="s">
        <v>240</v>
      </c>
      <c r="R661" s="163"/>
      <c r="S661" s="163"/>
    </row>
    <row r="662">
      <c r="A662" s="179">
        <f t="shared" si="4"/>
        <v>659</v>
      </c>
      <c r="B662" s="180"/>
      <c r="C662" s="180" t="s">
        <v>208</v>
      </c>
      <c r="D662" s="180" t="s">
        <v>208</v>
      </c>
      <c r="E662" s="180" t="s">
        <v>208</v>
      </c>
      <c r="F662" s="180" t="s">
        <v>208</v>
      </c>
      <c r="G662" s="180" t="s">
        <v>208</v>
      </c>
      <c r="H662" s="180"/>
      <c r="I662" s="181"/>
      <c r="J662" s="181"/>
      <c r="K662" s="182" t="s">
        <v>240</v>
      </c>
      <c r="R662" s="173"/>
      <c r="S662" s="173"/>
    </row>
    <row r="663">
      <c r="A663" s="179">
        <f t="shared" si="4"/>
        <v>660</v>
      </c>
      <c r="B663" s="180"/>
      <c r="C663" s="180" t="s">
        <v>208</v>
      </c>
      <c r="D663" s="180" t="s">
        <v>208</v>
      </c>
      <c r="E663" s="180" t="s">
        <v>208</v>
      </c>
      <c r="F663" s="180" t="s">
        <v>208</v>
      </c>
      <c r="G663" s="180" t="s">
        <v>208</v>
      </c>
      <c r="H663" s="185"/>
      <c r="I663" s="181"/>
      <c r="J663" s="180"/>
      <c r="K663" s="182" t="s">
        <v>240</v>
      </c>
      <c r="R663" s="157"/>
      <c r="S663" s="157"/>
    </row>
    <row r="664">
      <c r="A664" s="179">
        <f t="shared" si="4"/>
        <v>661</v>
      </c>
      <c r="B664" s="180"/>
      <c r="C664" s="180" t="s">
        <v>208</v>
      </c>
      <c r="D664" s="180" t="s">
        <v>208</v>
      </c>
      <c r="E664" s="180" t="s">
        <v>208</v>
      </c>
      <c r="F664" s="180" t="s">
        <v>208</v>
      </c>
      <c r="G664" s="180" t="s">
        <v>208</v>
      </c>
      <c r="H664" s="180"/>
      <c r="I664" s="181"/>
      <c r="J664" s="181"/>
      <c r="K664" s="182" t="s">
        <v>240</v>
      </c>
      <c r="R664" s="163"/>
      <c r="S664" s="163"/>
    </row>
    <row r="665">
      <c r="A665" s="179">
        <f t="shared" si="4"/>
        <v>662</v>
      </c>
      <c r="B665" s="180"/>
      <c r="C665" s="180" t="s">
        <v>208</v>
      </c>
      <c r="D665" s="180" t="s">
        <v>208</v>
      </c>
      <c r="E665" s="180" t="s">
        <v>208</v>
      </c>
      <c r="F665" s="180" t="s">
        <v>208</v>
      </c>
      <c r="G665" s="180" t="s">
        <v>208</v>
      </c>
      <c r="H665" s="181"/>
      <c r="I665" s="181"/>
      <c r="J665" s="181"/>
      <c r="K665" s="182" t="s">
        <v>240</v>
      </c>
      <c r="R665" s="163"/>
      <c r="S665" s="163"/>
    </row>
    <row r="666">
      <c r="A666" s="179">
        <f t="shared" si="4"/>
        <v>663</v>
      </c>
      <c r="B666" s="180"/>
      <c r="C666" s="180" t="s">
        <v>208</v>
      </c>
      <c r="D666" s="180" t="s">
        <v>208</v>
      </c>
      <c r="E666" s="180" t="s">
        <v>208</v>
      </c>
      <c r="F666" s="180" t="s">
        <v>208</v>
      </c>
      <c r="G666" s="180" t="s">
        <v>208</v>
      </c>
      <c r="H666" s="181"/>
      <c r="I666" s="181"/>
      <c r="J666" s="181"/>
      <c r="K666" s="182" t="s">
        <v>240</v>
      </c>
      <c r="R666" s="163"/>
      <c r="S666" s="163"/>
    </row>
    <row r="667">
      <c r="A667" s="179">
        <f t="shared" si="4"/>
        <v>664</v>
      </c>
      <c r="B667" s="180"/>
      <c r="C667" s="180" t="s">
        <v>208</v>
      </c>
      <c r="D667" s="180" t="s">
        <v>208</v>
      </c>
      <c r="E667" s="180" t="s">
        <v>208</v>
      </c>
      <c r="F667" s="180" t="s">
        <v>208</v>
      </c>
      <c r="G667" s="180" t="s">
        <v>208</v>
      </c>
      <c r="H667" s="180"/>
      <c r="I667" s="181"/>
      <c r="J667" s="181"/>
      <c r="K667" s="182" t="s">
        <v>240</v>
      </c>
      <c r="R667" s="163"/>
      <c r="S667" s="163"/>
    </row>
    <row r="668">
      <c r="A668" s="179">
        <f t="shared" si="4"/>
        <v>665</v>
      </c>
      <c r="B668" s="180"/>
      <c r="C668" s="180" t="s">
        <v>208</v>
      </c>
      <c r="D668" s="180" t="s">
        <v>208</v>
      </c>
      <c r="E668" s="180" t="s">
        <v>208</v>
      </c>
      <c r="F668" s="180" t="s">
        <v>208</v>
      </c>
      <c r="G668" s="180" t="s">
        <v>208</v>
      </c>
      <c r="H668" s="181"/>
      <c r="I668" s="181"/>
      <c r="J668" s="181"/>
      <c r="K668" s="182" t="s">
        <v>240</v>
      </c>
      <c r="R668" s="163"/>
      <c r="S668" s="163"/>
    </row>
    <row r="669">
      <c r="A669" s="179">
        <f t="shared" si="4"/>
        <v>666</v>
      </c>
      <c r="B669" s="180"/>
      <c r="C669" s="180" t="s">
        <v>208</v>
      </c>
      <c r="D669" s="180" t="s">
        <v>208</v>
      </c>
      <c r="E669" s="180" t="s">
        <v>208</v>
      </c>
      <c r="F669" s="180" t="s">
        <v>208</v>
      </c>
      <c r="G669" s="180" t="s">
        <v>208</v>
      </c>
      <c r="H669" s="181"/>
      <c r="I669" s="181"/>
      <c r="J669" s="181"/>
      <c r="K669" s="182" t="s">
        <v>240</v>
      </c>
      <c r="R669" s="163"/>
      <c r="S669" s="163"/>
    </row>
    <row r="670">
      <c r="A670" s="179">
        <f t="shared" si="4"/>
        <v>667</v>
      </c>
      <c r="B670" s="180"/>
      <c r="C670" s="180" t="s">
        <v>208</v>
      </c>
      <c r="D670" s="180" t="s">
        <v>208</v>
      </c>
      <c r="E670" s="180" t="s">
        <v>208</v>
      </c>
      <c r="F670" s="180" t="s">
        <v>208</v>
      </c>
      <c r="G670" s="180" t="s">
        <v>208</v>
      </c>
      <c r="H670" s="181"/>
      <c r="I670" s="181"/>
      <c r="J670" s="181"/>
      <c r="K670" s="182" t="s">
        <v>240</v>
      </c>
      <c r="R670" s="163"/>
      <c r="S670" s="163"/>
    </row>
    <row r="671">
      <c r="A671" s="179">
        <f t="shared" si="4"/>
        <v>668</v>
      </c>
      <c r="B671" s="180"/>
      <c r="C671" s="180" t="s">
        <v>208</v>
      </c>
      <c r="D671" s="180" t="s">
        <v>208</v>
      </c>
      <c r="E671" s="180" t="s">
        <v>208</v>
      </c>
      <c r="F671" s="180" t="s">
        <v>208</v>
      </c>
      <c r="G671" s="180" t="s">
        <v>208</v>
      </c>
      <c r="H671" s="180"/>
      <c r="I671" s="181"/>
      <c r="J671" s="181"/>
      <c r="K671" s="182" t="s">
        <v>240</v>
      </c>
      <c r="R671" s="163"/>
      <c r="S671" s="163"/>
    </row>
    <row r="672">
      <c r="A672" s="179">
        <f t="shared" si="4"/>
        <v>669</v>
      </c>
      <c r="B672" s="180"/>
      <c r="C672" s="180" t="s">
        <v>208</v>
      </c>
      <c r="D672" s="180" t="s">
        <v>208</v>
      </c>
      <c r="E672" s="180" t="s">
        <v>208</v>
      </c>
      <c r="F672" s="180" t="s">
        <v>208</v>
      </c>
      <c r="G672" s="180" t="s">
        <v>208</v>
      </c>
      <c r="H672" s="180"/>
      <c r="I672" s="181"/>
      <c r="J672" s="181"/>
      <c r="K672" s="182" t="s">
        <v>240</v>
      </c>
      <c r="R672" s="163"/>
      <c r="S672" s="163"/>
    </row>
    <row r="673">
      <c r="A673" s="179">
        <f t="shared" si="4"/>
        <v>670</v>
      </c>
      <c r="B673" s="180"/>
      <c r="C673" s="180" t="s">
        <v>208</v>
      </c>
      <c r="D673" s="180" t="s">
        <v>208</v>
      </c>
      <c r="E673" s="180" t="s">
        <v>208</v>
      </c>
      <c r="F673" s="180" t="s">
        <v>208</v>
      </c>
      <c r="G673" s="180" t="s">
        <v>208</v>
      </c>
      <c r="H673" s="181"/>
      <c r="I673" s="181"/>
      <c r="J673" s="181"/>
      <c r="K673" s="182" t="s">
        <v>240</v>
      </c>
      <c r="R673" s="163"/>
      <c r="S673" s="163"/>
    </row>
    <row r="674">
      <c r="A674" s="179">
        <f t="shared" si="4"/>
        <v>671</v>
      </c>
      <c r="B674" s="180"/>
      <c r="C674" s="180" t="s">
        <v>208</v>
      </c>
      <c r="D674" s="180" t="s">
        <v>208</v>
      </c>
      <c r="E674" s="180" t="s">
        <v>208</v>
      </c>
      <c r="F674" s="180" t="s">
        <v>208</v>
      </c>
      <c r="G674" s="180" t="s">
        <v>208</v>
      </c>
      <c r="H674" s="181"/>
      <c r="I674" s="181"/>
      <c r="J674" s="181"/>
      <c r="K674" s="182" t="s">
        <v>240</v>
      </c>
      <c r="R674" s="173"/>
      <c r="S674" s="173"/>
    </row>
    <row r="675">
      <c r="A675" s="179">
        <f t="shared" si="4"/>
        <v>672</v>
      </c>
      <c r="B675" s="180"/>
      <c r="C675" s="180" t="s">
        <v>208</v>
      </c>
      <c r="D675" s="180" t="s">
        <v>208</v>
      </c>
      <c r="E675" s="180" t="s">
        <v>208</v>
      </c>
      <c r="F675" s="180" t="s">
        <v>208</v>
      </c>
      <c r="G675" s="180" t="s">
        <v>208</v>
      </c>
      <c r="H675" s="181"/>
      <c r="I675" s="181"/>
      <c r="J675" s="181"/>
      <c r="K675" s="182" t="s">
        <v>240</v>
      </c>
      <c r="R675" s="157"/>
      <c r="S675" s="157"/>
    </row>
    <row r="676">
      <c r="A676" s="179">
        <f t="shared" si="4"/>
        <v>673</v>
      </c>
      <c r="B676" s="180"/>
      <c r="C676" s="180" t="s">
        <v>208</v>
      </c>
      <c r="D676" s="180" t="s">
        <v>208</v>
      </c>
      <c r="E676" s="180" t="s">
        <v>208</v>
      </c>
      <c r="F676" s="180" t="s">
        <v>208</v>
      </c>
      <c r="G676" s="180" t="s">
        <v>208</v>
      </c>
      <c r="H676" s="181"/>
      <c r="I676" s="181"/>
      <c r="J676" s="181"/>
      <c r="K676" s="182" t="s">
        <v>240</v>
      </c>
      <c r="R676" s="163"/>
      <c r="S676" s="163"/>
    </row>
    <row r="677">
      <c r="A677" s="179">
        <f t="shared" si="4"/>
        <v>674</v>
      </c>
      <c r="B677" s="180"/>
      <c r="C677" s="180" t="s">
        <v>208</v>
      </c>
      <c r="D677" s="180" t="s">
        <v>208</v>
      </c>
      <c r="E677" s="180" t="s">
        <v>208</v>
      </c>
      <c r="F677" s="180" t="s">
        <v>208</v>
      </c>
      <c r="G677" s="180" t="s">
        <v>208</v>
      </c>
      <c r="H677" s="180"/>
      <c r="I677" s="181"/>
      <c r="J677" s="181"/>
      <c r="K677" s="182" t="s">
        <v>240</v>
      </c>
      <c r="R677" s="163"/>
      <c r="S677" s="163"/>
    </row>
    <row r="678">
      <c r="A678" s="179">
        <f t="shared" si="4"/>
        <v>675</v>
      </c>
      <c r="B678" s="180"/>
      <c r="C678" s="180" t="s">
        <v>208</v>
      </c>
      <c r="D678" s="180" t="s">
        <v>208</v>
      </c>
      <c r="E678" s="180" t="s">
        <v>208</v>
      </c>
      <c r="F678" s="180" t="s">
        <v>208</v>
      </c>
      <c r="G678" s="180" t="s">
        <v>208</v>
      </c>
      <c r="H678" s="181"/>
      <c r="I678" s="181"/>
      <c r="J678" s="181"/>
      <c r="K678" s="182" t="s">
        <v>240</v>
      </c>
      <c r="R678" s="163"/>
      <c r="S678" s="163"/>
    </row>
    <row r="679">
      <c r="A679" s="179">
        <f t="shared" si="4"/>
        <v>676</v>
      </c>
      <c r="B679" s="180"/>
      <c r="C679" s="180" t="s">
        <v>208</v>
      </c>
      <c r="D679" s="180" t="s">
        <v>208</v>
      </c>
      <c r="E679" s="180" t="s">
        <v>208</v>
      </c>
      <c r="F679" s="180" t="s">
        <v>208</v>
      </c>
      <c r="G679" s="180" t="s">
        <v>208</v>
      </c>
      <c r="H679" s="181"/>
      <c r="I679" s="181"/>
      <c r="J679" s="181"/>
      <c r="K679" s="182" t="s">
        <v>240</v>
      </c>
      <c r="R679" s="163"/>
      <c r="S679" s="163"/>
    </row>
    <row r="680">
      <c r="A680" s="179">
        <f t="shared" si="4"/>
        <v>677</v>
      </c>
      <c r="B680" s="180"/>
      <c r="C680" s="180" t="s">
        <v>208</v>
      </c>
      <c r="D680" s="180" t="s">
        <v>208</v>
      </c>
      <c r="E680" s="180" t="s">
        <v>208</v>
      </c>
      <c r="F680" s="180" t="s">
        <v>208</v>
      </c>
      <c r="G680" s="180" t="s">
        <v>208</v>
      </c>
      <c r="H680" s="181"/>
      <c r="I680" s="181"/>
      <c r="J680" s="181"/>
      <c r="K680" s="182" t="s">
        <v>240</v>
      </c>
      <c r="R680" s="163"/>
      <c r="S680" s="163"/>
    </row>
    <row r="681">
      <c r="A681" s="179">
        <f t="shared" si="4"/>
        <v>678</v>
      </c>
      <c r="B681" s="180"/>
      <c r="C681" s="180" t="s">
        <v>208</v>
      </c>
      <c r="D681" s="180" t="s">
        <v>208</v>
      </c>
      <c r="E681" s="180" t="s">
        <v>208</v>
      </c>
      <c r="F681" s="180" t="s">
        <v>208</v>
      </c>
      <c r="G681" s="180" t="s">
        <v>208</v>
      </c>
      <c r="H681" s="181"/>
      <c r="I681" s="181"/>
      <c r="J681" s="181"/>
      <c r="K681" s="182" t="s">
        <v>240</v>
      </c>
      <c r="R681" s="163"/>
      <c r="S681" s="163"/>
    </row>
    <row r="682">
      <c r="A682" s="179">
        <f t="shared" si="4"/>
        <v>679</v>
      </c>
      <c r="B682" s="180"/>
      <c r="C682" s="180"/>
      <c r="D682" s="180"/>
      <c r="E682" s="180"/>
      <c r="F682" s="180"/>
      <c r="G682" s="180"/>
      <c r="H682" s="181"/>
      <c r="I682" s="181"/>
      <c r="J682" s="180" t="s">
        <v>451</v>
      </c>
      <c r="K682" s="182" t="s">
        <v>240</v>
      </c>
      <c r="R682" s="163"/>
      <c r="S682" s="163"/>
    </row>
    <row r="683">
      <c r="A683" s="179">
        <f t="shared" si="4"/>
        <v>680</v>
      </c>
      <c r="B683" s="73"/>
      <c r="C683" s="73"/>
      <c r="D683" s="73"/>
      <c r="E683" s="73"/>
      <c r="F683" s="73"/>
      <c r="G683" s="73"/>
      <c r="H683" s="73"/>
      <c r="I683" s="74"/>
      <c r="J683" s="73" t="s">
        <v>451</v>
      </c>
      <c r="K683" s="182" t="s">
        <v>240</v>
      </c>
      <c r="R683" s="163"/>
      <c r="S683" s="163"/>
    </row>
    <row r="684">
      <c r="A684" s="179">
        <f t="shared" si="4"/>
        <v>681</v>
      </c>
      <c r="B684" s="180"/>
      <c r="C684" s="180"/>
      <c r="D684" s="180"/>
      <c r="E684" s="180"/>
      <c r="F684" s="180"/>
      <c r="G684" s="180"/>
      <c r="H684" s="181"/>
      <c r="I684" s="181"/>
      <c r="J684" s="180" t="s">
        <v>451</v>
      </c>
      <c r="K684" s="182" t="s">
        <v>240</v>
      </c>
      <c r="R684" s="163"/>
      <c r="S684" s="163"/>
    </row>
    <row r="685">
      <c r="A685" s="179">
        <f t="shared" si="4"/>
        <v>682</v>
      </c>
      <c r="B685" s="180"/>
      <c r="C685" s="180" t="s">
        <v>208</v>
      </c>
      <c r="D685" s="180" t="s">
        <v>208</v>
      </c>
      <c r="E685" s="180" t="s">
        <v>208</v>
      </c>
      <c r="F685" s="180" t="s">
        <v>208</v>
      </c>
      <c r="G685" s="180" t="s">
        <v>208</v>
      </c>
      <c r="H685" s="181"/>
      <c r="I685" s="181"/>
      <c r="J685" s="181"/>
      <c r="K685" s="182" t="s">
        <v>240</v>
      </c>
      <c r="R685" s="163"/>
      <c r="S685" s="163"/>
    </row>
    <row r="686">
      <c r="A686" s="179">
        <f t="shared" si="4"/>
        <v>683</v>
      </c>
      <c r="B686" s="180"/>
      <c r="C686" s="180" t="s">
        <v>208</v>
      </c>
      <c r="D686" s="180" t="s">
        <v>208</v>
      </c>
      <c r="E686" s="180" t="s">
        <v>208</v>
      </c>
      <c r="F686" s="180" t="s">
        <v>208</v>
      </c>
      <c r="G686" s="180" t="s">
        <v>208</v>
      </c>
      <c r="H686" s="181"/>
      <c r="I686" s="181"/>
      <c r="J686" s="181"/>
      <c r="K686" s="182" t="s">
        <v>240</v>
      </c>
      <c r="R686" s="173"/>
      <c r="S686" s="173"/>
    </row>
    <row r="687">
      <c r="A687" s="179">
        <f t="shared" si="4"/>
        <v>684</v>
      </c>
      <c r="B687" s="180"/>
      <c r="C687" s="180" t="s">
        <v>208</v>
      </c>
      <c r="D687" s="180" t="s">
        <v>208</v>
      </c>
      <c r="E687" s="180" t="s">
        <v>208</v>
      </c>
      <c r="F687" s="180" t="s">
        <v>208</v>
      </c>
      <c r="G687" s="180" t="s">
        <v>208</v>
      </c>
      <c r="H687" s="181"/>
      <c r="I687" s="181"/>
      <c r="J687" s="181"/>
      <c r="K687" s="182" t="s">
        <v>240</v>
      </c>
      <c r="R687" s="157"/>
      <c r="S687" s="157"/>
    </row>
    <row r="688">
      <c r="A688" s="179">
        <f t="shared" si="4"/>
        <v>685</v>
      </c>
      <c r="B688" s="180"/>
      <c r="C688" s="180" t="s">
        <v>208</v>
      </c>
      <c r="D688" s="180" t="s">
        <v>208</v>
      </c>
      <c r="E688" s="180" t="s">
        <v>208</v>
      </c>
      <c r="F688" s="180" t="s">
        <v>208</v>
      </c>
      <c r="G688" s="180" t="s">
        <v>208</v>
      </c>
      <c r="H688" s="181"/>
      <c r="I688" s="181"/>
      <c r="J688" s="181"/>
      <c r="K688" s="182" t="s">
        <v>240</v>
      </c>
      <c r="R688" s="163"/>
      <c r="S688" s="163"/>
    </row>
    <row r="689">
      <c r="A689" s="179">
        <f t="shared" si="4"/>
        <v>686</v>
      </c>
      <c r="B689" s="180"/>
      <c r="C689" s="180" t="s">
        <v>208</v>
      </c>
      <c r="D689" s="180" t="s">
        <v>208</v>
      </c>
      <c r="E689" s="180" t="s">
        <v>208</v>
      </c>
      <c r="F689" s="180" t="s">
        <v>208</v>
      </c>
      <c r="G689" s="180" t="s">
        <v>208</v>
      </c>
      <c r="H689" s="180"/>
      <c r="I689" s="181"/>
      <c r="J689" s="180"/>
      <c r="K689" s="182" t="s">
        <v>240</v>
      </c>
      <c r="R689" s="163"/>
      <c r="S689" s="163"/>
    </row>
    <row r="690">
      <c r="A690" s="179">
        <f t="shared" si="4"/>
        <v>687</v>
      </c>
      <c r="B690" s="180"/>
      <c r="C690" s="180" t="s">
        <v>208</v>
      </c>
      <c r="D690" s="180" t="s">
        <v>208</v>
      </c>
      <c r="E690" s="180" t="s">
        <v>208</v>
      </c>
      <c r="F690" s="180" t="s">
        <v>208</v>
      </c>
      <c r="G690" s="180" t="s">
        <v>208</v>
      </c>
      <c r="H690" s="181"/>
      <c r="I690" s="181"/>
      <c r="J690" s="181"/>
      <c r="K690" s="182" t="s">
        <v>240</v>
      </c>
      <c r="R690" s="163"/>
      <c r="S690" s="163"/>
    </row>
    <row r="691">
      <c r="A691" s="179">
        <f t="shared" si="4"/>
        <v>688</v>
      </c>
      <c r="B691" s="180"/>
      <c r="C691" s="180" t="s">
        <v>208</v>
      </c>
      <c r="D691" s="180" t="s">
        <v>208</v>
      </c>
      <c r="E691" s="180"/>
      <c r="F691" s="180" t="s">
        <v>208</v>
      </c>
      <c r="G691" s="180" t="s">
        <v>208</v>
      </c>
      <c r="H691" s="181"/>
      <c r="I691" s="181"/>
      <c r="J691" s="180"/>
      <c r="K691" s="182" t="s">
        <v>240</v>
      </c>
      <c r="R691" s="163"/>
      <c r="S691" s="163"/>
    </row>
    <row r="692">
      <c r="A692" s="179">
        <f t="shared" si="4"/>
        <v>689</v>
      </c>
      <c r="B692" s="180"/>
      <c r="C692" s="180" t="s">
        <v>208</v>
      </c>
      <c r="D692" s="180" t="s">
        <v>208</v>
      </c>
      <c r="E692" s="180" t="s">
        <v>208</v>
      </c>
      <c r="F692" s="180" t="s">
        <v>208</v>
      </c>
      <c r="G692" s="180" t="s">
        <v>208</v>
      </c>
      <c r="H692" s="181"/>
      <c r="I692" s="181"/>
      <c r="J692" s="181"/>
      <c r="K692" s="182" t="s">
        <v>240</v>
      </c>
      <c r="R692" s="163"/>
      <c r="S692" s="163"/>
    </row>
    <row r="693">
      <c r="A693" s="179">
        <f t="shared" si="4"/>
        <v>690</v>
      </c>
      <c r="B693" s="180"/>
      <c r="C693" s="180" t="s">
        <v>208</v>
      </c>
      <c r="D693" s="180" t="s">
        <v>208</v>
      </c>
      <c r="E693" s="180" t="s">
        <v>208</v>
      </c>
      <c r="F693" s="180" t="s">
        <v>208</v>
      </c>
      <c r="G693" s="180" t="s">
        <v>208</v>
      </c>
      <c r="H693" s="181"/>
      <c r="I693" s="181"/>
      <c r="J693" s="181"/>
      <c r="K693" s="182" t="s">
        <v>240</v>
      </c>
      <c r="R693" s="163"/>
      <c r="S693" s="163"/>
    </row>
    <row r="694">
      <c r="A694" s="179">
        <f t="shared" si="4"/>
        <v>691</v>
      </c>
      <c r="B694" s="180"/>
      <c r="C694" s="180" t="s">
        <v>208</v>
      </c>
      <c r="D694" s="180" t="s">
        <v>208</v>
      </c>
      <c r="E694" s="180" t="s">
        <v>208</v>
      </c>
      <c r="F694" s="180" t="s">
        <v>208</v>
      </c>
      <c r="G694" s="180" t="s">
        <v>208</v>
      </c>
      <c r="H694" s="181"/>
      <c r="I694" s="181"/>
      <c r="J694" s="181"/>
      <c r="K694" s="182" t="s">
        <v>240</v>
      </c>
      <c r="R694" s="163"/>
      <c r="S694" s="163"/>
    </row>
    <row r="695">
      <c r="A695" s="179">
        <f t="shared" si="4"/>
        <v>692</v>
      </c>
      <c r="B695" s="180"/>
      <c r="C695" s="180" t="s">
        <v>208</v>
      </c>
      <c r="D695" s="180" t="s">
        <v>208</v>
      </c>
      <c r="E695" s="180" t="s">
        <v>208</v>
      </c>
      <c r="F695" s="180" t="s">
        <v>208</v>
      </c>
      <c r="G695" s="180" t="s">
        <v>208</v>
      </c>
      <c r="H695" s="181"/>
      <c r="I695" s="181"/>
      <c r="J695" s="181"/>
      <c r="K695" s="182" t="s">
        <v>240</v>
      </c>
      <c r="R695" s="163"/>
      <c r="S695" s="163"/>
    </row>
    <row r="696">
      <c r="A696" s="179">
        <f t="shared" si="4"/>
        <v>693</v>
      </c>
      <c r="B696" s="180"/>
      <c r="C696" s="180" t="s">
        <v>208</v>
      </c>
      <c r="D696" s="180" t="s">
        <v>208</v>
      </c>
      <c r="E696" s="180" t="s">
        <v>208</v>
      </c>
      <c r="F696" s="180" t="s">
        <v>208</v>
      </c>
      <c r="G696" s="180" t="s">
        <v>208</v>
      </c>
      <c r="H696" s="181"/>
      <c r="I696" s="181"/>
      <c r="J696" s="181"/>
      <c r="K696" s="182" t="s">
        <v>240</v>
      </c>
      <c r="R696" s="163"/>
      <c r="S696" s="163"/>
    </row>
    <row r="697">
      <c r="A697" s="179">
        <f t="shared" si="4"/>
        <v>694</v>
      </c>
      <c r="B697" s="180"/>
      <c r="C697" s="180"/>
      <c r="D697" s="180"/>
      <c r="E697" s="180"/>
      <c r="F697" s="180"/>
      <c r="G697" s="180"/>
      <c r="H697" s="181"/>
      <c r="I697" s="181"/>
      <c r="J697" s="180" t="s">
        <v>451</v>
      </c>
      <c r="K697" s="182" t="s">
        <v>240</v>
      </c>
      <c r="R697" s="163"/>
      <c r="S697" s="163"/>
    </row>
    <row r="698">
      <c r="A698" s="179">
        <f t="shared" si="4"/>
        <v>695</v>
      </c>
      <c r="B698" s="180"/>
      <c r="C698" s="180"/>
      <c r="D698" s="180"/>
      <c r="E698" s="180"/>
      <c r="F698" s="180"/>
      <c r="G698" s="180"/>
      <c r="H698" s="181"/>
      <c r="I698" s="181"/>
      <c r="J698" s="180" t="s">
        <v>451</v>
      </c>
      <c r="K698" s="182" t="s">
        <v>240</v>
      </c>
      <c r="R698" s="173"/>
      <c r="S698" s="173"/>
    </row>
    <row r="699">
      <c r="A699" s="179">
        <f t="shared" si="4"/>
        <v>696</v>
      </c>
      <c r="B699" s="180"/>
      <c r="C699" s="180"/>
      <c r="D699" s="180"/>
      <c r="E699" s="180"/>
      <c r="F699" s="180"/>
      <c r="G699" s="180"/>
      <c r="H699" s="181"/>
      <c r="I699" s="181"/>
      <c r="J699" s="180" t="s">
        <v>451</v>
      </c>
      <c r="K699" s="182" t="s">
        <v>240</v>
      </c>
      <c r="R699" s="157"/>
      <c r="S699" s="157"/>
    </row>
    <row r="700">
      <c r="A700" s="179">
        <f t="shared" si="4"/>
        <v>697</v>
      </c>
      <c r="B700" s="180"/>
      <c r="C700" s="180" t="s">
        <v>208</v>
      </c>
      <c r="D700" s="180" t="s">
        <v>208</v>
      </c>
      <c r="E700" s="180" t="s">
        <v>208</v>
      </c>
      <c r="F700" s="180" t="s">
        <v>208</v>
      </c>
      <c r="G700" s="180" t="s">
        <v>208</v>
      </c>
      <c r="H700" s="181"/>
      <c r="I700" s="181"/>
      <c r="J700" s="181"/>
      <c r="K700" s="182" t="s">
        <v>363</v>
      </c>
      <c r="R700" s="163"/>
      <c r="S700" s="163"/>
    </row>
    <row r="701">
      <c r="A701" s="179">
        <f t="shared" si="4"/>
        <v>698</v>
      </c>
      <c r="B701" s="181"/>
      <c r="C701" s="180" t="s">
        <v>208</v>
      </c>
      <c r="D701" s="180" t="s">
        <v>208</v>
      </c>
      <c r="E701" s="180" t="s">
        <v>208</v>
      </c>
      <c r="F701" s="180" t="s">
        <v>208</v>
      </c>
      <c r="G701" s="180" t="s">
        <v>208</v>
      </c>
      <c r="H701" s="181"/>
      <c r="I701" s="181"/>
      <c r="J701" s="181"/>
      <c r="K701" s="182" t="s">
        <v>363</v>
      </c>
      <c r="R701" s="163"/>
      <c r="S701" s="163"/>
    </row>
    <row r="702">
      <c r="A702" s="179">
        <f t="shared" si="4"/>
        <v>699</v>
      </c>
      <c r="B702" s="180"/>
      <c r="C702" s="180" t="s">
        <v>208</v>
      </c>
      <c r="D702" s="180" t="s">
        <v>208</v>
      </c>
      <c r="E702" s="180" t="s">
        <v>208</v>
      </c>
      <c r="F702" s="180" t="s">
        <v>208</v>
      </c>
      <c r="G702" s="180" t="s">
        <v>208</v>
      </c>
      <c r="H702" s="185"/>
      <c r="I702" s="181"/>
      <c r="J702" s="181"/>
      <c r="K702" s="182" t="s">
        <v>363</v>
      </c>
      <c r="R702" s="163"/>
      <c r="S702" s="163"/>
    </row>
    <row r="703">
      <c r="A703" s="179">
        <f t="shared" si="4"/>
        <v>700</v>
      </c>
      <c r="B703" s="180"/>
      <c r="C703" s="180" t="s">
        <v>208</v>
      </c>
      <c r="D703" s="180" t="s">
        <v>208</v>
      </c>
      <c r="E703" s="180" t="s">
        <v>208</v>
      </c>
      <c r="F703" s="180" t="s">
        <v>208</v>
      </c>
      <c r="G703" s="180" t="s">
        <v>208</v>
      </c>
      <c r="H703" s="181"/>
      <c r="I703" s="181"/>
      <c r="J703" s="181"/>
      <c r="K703" s="182" t="s">
        <v>363</v>
      </c>
      <c r="R703" s="163"/>
      <c r="S703" s="163"/>
    </row>
    <row r="704">
      <c r="A704" s="179">
        <f t="shared" si="4"/>
        <v>701</v>
      </c>
      <c r="B704" s="180"/>
      <c r="C704" s="180" t="s">
        <v>208</v>
      </c>
      <c r="D704" s="180" t="s">
        <v>208</v>
      </c>
      <c r="E704" s="180" t="s">
        <v>208</v>
      </c>
      <c r="F704" s="180" t="s">
        <v>208</v>
      </c>
      <c r="G704" s="180" t="s">
        <v>208</v>
      </c>
      <c r="H704" s="181"/>
      <c r="I704" s="181"/>
      <c r="J704" s="181"/>
      <c r="K704" s="182" t="s">
        <v>363</v>
      </c>
      <c r="R704" s="163"/>
      <c r="S704" s="163"/>
    </row>
    <row r="705">
      <c r="A705" s="179">
        <f t="shared" si="4"/>
        <v>702</v>
      </c>
      <c r="B705" s="180"/>
      <c r="C705" s="180"/>
      <c r="D705" s="180" t="s">
        <v>208</v>
      </c>
      <c r="E705" s="180" t="s">
        <v>208</v>
      </c>
      <c r="F705" s="180" t="s">
        <v>208</v>
      </c>
      <c r="G705" s="180"/>
      <c r="H705" s="180" t="s">
        <v>208</v>
      </c>
      <c r="I705" s="181"/>
      <c r="J705" s="180"/>
      <c r="K705" s="182" t="s">
        <v>363</v>
      </c>
      <c r="R705" s="163"/>
      <c r="S705" s="163"/>
    </row>
    <row r="706">
      <c r="A706" s="179">
        <f t="shared" si="4"/>
        <v>703</v>
      </c>
      <c r="B706" s="181"/>
      <c r="C706" s="180"/>
      <c r="D706" s="180" t="s">
        <v>208</v>
      </c>
      <c r="E706" s="180" t="s">
        <v>208</v>
      </c>
      <c r="F706" s="180" t="s">
        <v>208</v>
      </c>
      <c r="G706" s="180"/>
      <c r="H706" s="180" t="s">
        <v>208</v>
      </c>
      <c r="I706" s="180"/>
      <c r="J706" s="180"/>
      <c r="K706" s="182" t="s">
        <v>363</v>
      </c>
      <c r="R706" s="163"/>
      <c r="S706" s="163"/>
    </row>
    <row r="707">
      <c r="A707" s="179">
        <f t="shared" si="4"/>
        <v>704</v>
      </c>
      <c r="B707" s="180"/>
      <c r="C707" s="180" t="s">
        <v>208</v>
      </c>
      <c r="D707" s="180" t="s">
        <v>208</v>
      </c>
      <c r="E707" s="180" t="s">
        <v>208</v>
      </c>
      <c r="F707" s="180" t="s">
        <v>208</v>
      </c>
      <c r="G707" s="180" t="s">
        <v>208</v>
      </c>
      <c r="H707" s="185"/>
      <c r="I707" s="181"/>
      <c r="J707" s="180"/>
      <c r="K707" s="182" t="s">
        <v>363</v>
      </c>
      <c r="R707" s="163"/>
      <c r="S707" s="163"/>
    </row>
    <row r="708">
      <c r="A708" s="179">
        <f t="shared" si="4"/>
        <v>705</v>
      </c>
      <c r="B708" s="180"/>
      <c r="C708" s="180" t="s">
        <v>208</v>
      </c>
      <c r="D708" s="180" t="s">
        <v>208</v>
      </c>
      <c r="E708" s="180" t="s">
        <v>208</v>
      </c>
      <c r="F708" s="180" t="s">
        <v>208</v>
      </c>
      <c r="G708" s="180" t="s">
        <v>208</v>
      </c>
      <c r="H708" s="185"/>
      <c r="I708" s="181"/>
      <c r="J708" s="180"/>
      <c r="K708" s="182" t="s">
        <v>363</v>
      </c>
      <c r="R708" s="163"/>
      <c r="S708" s="163"/>
    </row>
    <row r="709">
      <c r="A709" s="179">
        <f t="shared" si="4"/>
        <v>706</v>
      </c>
      <c r="B709" s="180"/>
      <c r="C709" s="180"/>
      <c r="D709" s="180"/>
      <c r="E709" s="180"/>
      <c r="F709" s="180"/>
      <c r="G709" s="180"/>
      <c r="H709" s="185"/>
      <c r="I709" s="181"/>
      <c r="J709" s="180" t="s">
        <v>242</v>
      </c>
      <c r="K709" s="182" t="s">
        <v>363</v>
      </c>
      <c r="R709" s="163"/>
      <c r="S709" s="163"/>
    </row>
    <row r="710">
      <c r="A710" s="179">
        <f t="shared" si="4"/>
        <v>707</v>
      </c>
      <c r="B710" s="180"/>
      <c r="C710" s="180" t="s">
        <v>208</v>
      </c>
      <c r="D710" s="180" t="s">
        <v>208</v>
      </c>
      <c r="E710" s="180" t="s">
        <v>208</v>
      </c>
      <c r="F710" s="180" t="s">
        <v>208</v>
      </c>
      <c r="G710" s="180" t="s">
        <v>208</v>
      </c>
      <c r="H710" s="180"/>
      <c r="I710" s="181"/>
      <c r="J710" s="180"/>
      <c r="K710" s="182" t="s">
        <v>363</v>
      </c>
      <c r="R710" s="173"/>
      <c r="S710" s="173"/>
    </row>
    <row r="711">
      <c r="A711" s="179">
        <f t="shared" si="4"/>
        <v>708</v>
      </c>
      <c r="B711" s="180"/>
      <c r="C711" s="180" t="s">
        <v>208</v>
      </c>
      <c r="D711" s="180" t="s">
        <v>208</v>
      </c>
      <c r="E711" s="180" t="s">
        <v>208</v>
      </c>
      <c r="F711" s="180" t="s">
        <v>208</v>
      </c>
      <c r="G711" s="180" t="s">
        <v>208</v>
      </c>
      <c r="H711" s="181"/>
      <c r="I711" s="181"/>
      <c r="J711" s="180"/>
      <c r="K711" s="182" t="s">
        <v>363</v>
      </c>
      <c r="R711" s="157"/>
      <c r="S711" s="157"/>
    </row>
    <row r="712">
      <c r="A712" s="179">
        <f t="shared" si="4"/>
        <v>709</v>
      </c>
      <c r="B712" s="180"/>
      <c r="C712" s="180" t="s">
        <v>208</v>
      </c>
      <c r="D712" s="180" t="s">
        <v>208</v>
      </c>
      <c r="E712" s="180" t="s">
        <v>208</v>
      </c>
      <c r="F712" s="180" t="s">
        <v>208</v>
      </c>
      <c r="G712" s="180" t="s">
        <v>208</v>
      </c>
      <c r="H712" s="181"/>
      <c r="I712" s="181"/>
      <c r="J712" s="180"/>
      <c r="K712" s="182" t="s">
        <v>363</v>
      </c>
      <c r="R712" s="163"/>
      <c r="S712" s="163"/>
    </row>
    <row r="713">
      <c r="A713" s="179">
        <f t="shared" si="4"/>
        <v>710</v>
      </c>
      <c r="B713" s="180"/>
      <c r="C713" s="180" t="s">
        <v>208</v>
      </c>
      <c r="D713" s="180" t="s">
        <v>208</v>
      </c>
      <c r="E713" s="180" t="s">
        <v>208</v>
      </c>
      <c r="F713" s="180" t="s">
        <v>208</v>
      </c>
      <c r="G713" s="180" t="s">
        <v>208</v>
      </c>
      <c r="H713" s="181"/>
      <c r="I713" s="181"/>
      <c r="J713" s="180"/>
      <c r="K713" s="182" t="s">
        <v>363</v>
      </c>
      <c r="R713" s="163"/>
      <c r="S713" s="163"/>
    </row>
    <row r="714">
      <c r="A714" s="179">
        <f t="shared" si="4"/>
        <v>711</v>
      </c>
      <c r="B714" s="180"/>
      <c r="C714" s="180" t="s">
        <v>208</v>
      </c>
      <c r="D714" s="180" t="s">
        <v>208</v>
      </c>
      <c r="E714" s="180" t="s">
        <v>208</v>
      </c>
      <c r="F714" s="180" t="s">
        <v>208</v>
      </c>
      <c r="G714" s="180" t="s">
        <v>208</v>
      </c>
      <c r="H714" s="181"/>
      <c r="I714" s="181"/>
      <c r="J714" s="181"/>
      <c r="K714" s="182" t="s">
        <v>363</v>
      </c>
      <c r="R714" s="163"/>
      <c r="S714" s="163"/>
    </row>
    <row r="715">
      <c r="A715" s="179">
        <f t="shared" si="4"/>
        <v>712</v>
      </c>
      <c r="B715" s="180"/>
      <c r="C715" s="180" t="s">
        <v>208</v>
      </c>
      <c r="D715" s="180" t="s">
        <v>208</v>
      </c>
      <c r="E715" s="180" t="s">
        <v>208</v>
      </c>
      <c r="F715" s="180" t="s">
        <v>208</v>
      </c>
      <c r="G715" s="180" t="s">
        <v>208</v>
      </c>
      <c r="H715" s="185"/>
      <c r="I715" s="181"/>
      <c r="J715" s="181"/>
      <c r="K715" s="182" t="s">
        <v>363</v>
      </c>
      <c r="R715" s="163"/>
      <c r="S715" s="163"/>
    </row>
    <row r="716">
      <c r="A716" s="179">
        <f t="shared" si="4"/>
        <v>713</v>
      </c>
      <c r="B716" s="180"/>
      <c r="C716" s="180" t="s">
        <v>208</v>
      </c>
      <c r="D716" s="180" t="s">
        <v>208</v>
      </c>
      <c r="E716" s="180" t="s">
        <v>208</v>
      </c>
      <c r="F716" s="180" t="s">
        <v>208</v>
      </c>
      <c r="G716" s="180" t="s">
        <v>208</v>
      </c>
      <c r="H716" s="185"/>
      <c r="I716" s="181"/>
      <c r="J716" s="181"/>
      <c r="K716" s="182" t="s">
        <v>363</v>
      </c>
      <c r="R716" s="163"/>
      <c r="S716" s="163"/>
    </row>
    <row r="717">
      <c r="A717" s="179">
        <f t="shared" si="4"/>
        <v>714</v>
      </c>
      <c r="B717" s="180"/>
      <c r="C717" s="180"/>
      <c r="D717" s="180"/>
      <c r="E717" s="180"/>
      <c r="F717" s="180"/>
      <c r="G717" s="181"/>
      <c r="H717" s="185"/>
      <c r="I717" s="181"/>
      <c r="J717" s="180" t="s">
        <v>242</v>
      </c>
      <c r="K717" s="182" t="s">
        <v>363</v>
      </c>
      <c r="R717" s="163"/>
      <c r="S717" s="163"/>
    </row>
    <row r="718">
      <c r="A718" s="179">
        <f t="shared" si="4"/>
        <v>715</v>
      </c>
      <c r="B718" s="180"/>
      <c r="C718" s="180" t="s">
        <v>208</v>
      </c>
      <c r="D718" s="180" t="s">
        <v>208</v>
      </c>
      <c r="E718" s="180" t="s">
        <v>208</v>
      </c>
      <c r="F718" s="180" t="s">
        <v>208</v>
      </c>
      <c r="G718" s="180" t="s">
        <v>208</v>
      </c>
      <c r="H718" s="185"/>
      <c r="I718" s="181"/>
      <c r="J718" s="180"/>
      <c r="K718" s="182" t="s">
        <v>363</v>
      </c>
      <c r="R718" s="163"/>
      <c r="S718" s="163"/>
    </row>
    <row r="719">
      <c r="A719" s="179">
        <f t="shared" si="4"/>
        <v>716</v>
      </c>
      <c r="B719" s="180"/>
      <c r="C719" s="180" t="s">
        <v>208</v>
      </c>
      <c r="D719" s="180" t="s">
        <v>208</v>
      </c>
      <c r="E719" s="180" t="s">
        <v>208</v>
      </c>
      <c r="F719" s="180" t="s">
        <v>208</v>
      </c>
      <c r="G719" s="180" t="s">
        <v>208</v>
      </c>
      <c r="H719" s="180"/>
      <c r="I719" s="181"/>
      <c r="J719" s="180"/>
      <c r="K719" s="182" t="s">
        <v>363</v>
      </c>
      <c r="R719" s="163"/>
      <c r="S719" s="163"/>
    </row>
    <row r="720">
      <c r="A720" s="179">
        <f t="shared" si="4"/>
        <v>717</v>
      </c>
      <c r="B720" s="180"/>
      <c r="C720" s="180" t="s">
        <v>208</v>
      </c>
      <c r="D720" s="180" t="s">
        <v>208</v>
      </c>
      <c r="E720" s="180" t="s">
        <v>208</v>
      </c>
      <c r="F720" s="180" t="s">
        <v>208</v>
      </c>
      <c r="G720" s="180" t="s">
        <v>208</v>
      </c>
      <c r="H720" s="185"/>
      <c r="I720" s="181"/>
      <c r="J720" s="181"/>
      <c r="K720" s="182" t="s">
        <v>363</v>
      </c>
      <c r="R720" s="163"/>
      <c r="S720" s="163"/>
    </row>
    <row r="721">
      <c r="A721" s="179">
        <f t="shared" si="4"/>
        <v>718</v>
      </c>
      <c r="B721" s="180"/>
      <c r="C721" s="180"/>
      <c r="D721" s="180" t="s">
        <v>208</v>
      </c>
      <c r="E721" s="180" t="s">
        <v>208</v>
      </c>
      <c r="F721" s="180" t="s">
        <v>208</v>
      </c>
      <c r="G721" s="180"/>
      <c r="H721" s="180" t="s">
        <v>208</v>
      </c>
      <c r="I721" s="181"/>
      <c r="J721" s="181"/>
      <c r="K721" s="182" t="s">
        <v>363</v>
      </c>
      <c r="R721" s="163"/>
      <c r="S721" s="163"/>
    </row>
    <row r="722">
      <c r="A722" s="179">
        <f t="shared" si="4"/>
        <v>719</v>
      </c>
      <c r="B722" s="180"/>
      <c r="C722" s="180"/>
      <c r="D722" s="180"/>
      <c r="E722" s="180"/>
      <c r="F722" s="180"/>
      <c r="G722" s="180"/>
      <c r="H722" s="180"/>
      <c r="I722" s="181"/>
      <c r="J722" s="180" t="s">
        <v>242</v>
      </c>
      <c r="K722" s="182" t="s">
        <v>363</v>
      </c>
      <c r="R722" s="173"/>
      <c r="S722" s="173"/>
    </row>
    <row r="723">
      <c r="A723" s="179">
        <f t="shared" si="4"/>
        <v>720</v>
      </c>
      <c r="B723" s="180"/>
      <c r="C723" s="180" t="s">
        <v>208</v>
      </c>
      <c r="D723" s="180" t="s">
        <v>208</v>
      </c>
      <c r="E723" s="180" t="s">
        <v>208</v>
      </c>
      <c r="F723" s="180" t="s">
        <v>208</v>
      </c>
      <c r="G723" s="180" t="s">
        <v>208</v>
      </c>
      <c r="H723" s="185"/>
      <c r="I723" s="181"/>
      <c r="J723" s="180"/>
      <c r="K723" s="182" t="s">
        <v>363</v>
      </c>
      <c r="R723" s="157"/>
      <c r="S723" s="157"/>
    </row>
    <row r="724">
      <c r="A724" s="179">
        <f t="shared" si="4"/>
        <v>721</v>
      </c>
      <c r="B724" s="180"/>
      <c r="C724" s="180" t="s">
        <v>208</v>
      </c>
      <c r="D724" s="180" t="s">
        <v>208</v>
      </c>
      <c r="E724" s="180" t="s">
        <v>208</v>
      </c>
      <c r="F724" s="180" t="s">
        <v>208</v>
      </c>
      <c r="G724" s="180" t="s">
        <v>208</v>
      </c>
      <c r="H724" s="180"/>
      <c r="I724" s="181"/>
      <c r="J724" s="180"/>
      <c r="K724" s="182" t="s">
        <v>363</v>
      </c>
      <c r="R724" s="163"/>
      <c r="S724" s="163"/>
    </row>
    <row r="725">
      <c r="A725" s="179">
        <f t="shared" si="4"/>
        <v>722</v>
      </c>
      <c r="B725" s="181"/>
      <c r="C725" s="180" t="s">
        <v>208</v>
      </c>
      <c r="D725" s="180" t="s">
        <v>208</v>
      </c>
      <c r="E725" s="180" t="s">
        <v>208</v>
      </c>
      <c r="F725" s="180" t="s">
        <v>208</v>
      </c>
      <c r="G725" s="180" t="s">
        <v>208</v>
      </c>
      <c r="H725" s="181"/>
      <c r="I725" s="181"/>
      <c r="J725" s="180"/>
      <c r="K725" s="182" t="s">
        <v>363</v>
      </c>
      <c r="R725" s="163"/>
      <c r="S725" s="163"/>
    </row>
    <row r="726">
      <c r="A726" s="179">
        <f t="shared" si="4"/>
        <v>723</v>
      </c>
      <c r="B726" s="180"/>
      <c r="C726" s="180"/>
      <c r="D726" s="180"/>
      <c r="E726" s="180"/>
      <c r="F726" s="180"/>
      <c r="G726" s="180"/>
      <c r="H726" s="181"/>
      <c r="I726" s="181"/>
      <c r="J726" s="180" t="s">
        <v>242</v>
      </c>
      <c r="K726" s="182" t="s">
        <v>363</v>
      </c>
      <c r="R726" s="163"/>
      <c r="S726" s="163"/>
    </row>
    <row r="727">
      <c r="A727" s="179">
        <f t="shared" si="4"/>
        <v>724</v>
      </c>
      <c r="B727" s="180"/>
      <c r="C727" s="180" t="s">
        <v>208</v>
      </c>
      <c r="D727" s="180"/>
      <c r="E727" s="180"/>
      <c r="F727" s="180"/>
      <c r="G727" s="180" t="s">
        <v>208</v>
      </c>
      <c r="H727" s="181"/>
      <c r="I727" s="181"/>
      <c r="J727" s="181"/>
      <c r="K727" s="182" t="s">
        <v>363</v>
      </c>
      <c r="R727" s="163"/>
      <c r="S727" s="163"/>
    </row>
    <row r="728">
      <c r="A728" s="179">
        <f t="shared" si="4"/>
        <v>725</v>
      </c>
      <c r="B728" s="180"/>
      <c r="C728" s="180" t="s">
        <v>208</v>
      </c>
      <c r="D728" s="180" t="s">
        <v>208</v>
      </c>
      <c r="E728" s="180" t="s">
        <v>208</v>
      </c>
      <c r="F728" s="180" t="s">
        <v>208</v>
      </c>
      <c r="G728" s="180" t="s">
        <v>208</v>
      </c>
      <c r="H728" s="180"/>
      <c r="I728" s="181"/>
      <c r="J728" s="180"/>
      <c r="K728" s="182" t="s">
        <v>363</v>
      </c>
      <c r="R728" s="163"/>
      <c r="S728" s="163"/>
    </row>
    <row r="729">
      <c r="A729" s="179">
        <f t="shared" si="4"/>
        <v>726</v>
      </c>
      <c r="B729" s="180"/>
      <c r="C729" s="180"/>
      <c r="D729" s="180"/>
      <c r="E729" s="180"/>
      <c r="F729" s="180"/>
      <c r="G729" s="180"/>
      <c r="H729" s="181"/>
      <c r="I729" s="181"/>
      <c r="J729" s="180" t="s">
        <v>242</v>
      </c>
      <c r="K729" s="182" t="s">
        <v>363</v>
      </c>
      <c r="R729" s="163"/>
      <c r="S729" s="163"/>
    </row>
    <row r="730">
      <c r="A730" s="179">
        <f t="shared" si="4"/>
        <v>727</v>
      </c>
      <c r="B730" s="180"/>
      <c r="C730" s="180" t="s">
        <v>208</v>
      </c>
      <c r="D730" s="180" t="s">
        <v>208</v>
      </c>
      <c r="E730" s="180" t="s">
        <v>208</v>
      </c>
      <c r="F730" s="180" t="s">
        <v>208</v>
      </c>
      <c r="G730" s="180" t="s">
        <v>208</v>
      </c>
      <c r="H730" s="181"/>
      <c r="I730" s="181"/>
      <c r="J730" s="181"/>
      <c r="K730" s="182" t="s">
        <v>363</v>
      </c>
      <c r="R730" s="163"/>
      <c r="S730" s="163"/>
    </row>
    <row r="731">
      <c r="A731" s="179">
        <f t="shared" si="4"/>
        <v>728</v>
      </c>
      <c r="B731" s="180"/>
      <c r="C731" s="180" t="s">
        <v>208</v>
      </c>
      <c r="D731" s="180" t="s">
        <v>208</v>
      </c>
      <c r="E731" s="180"/>
      <c r="F731" s="180" t="s">
        <v>208</v>
      </c>
      <c r="G731" s="180" t="s">
        <v>208</v>
      </c>
      <c r="H731" s="181"/>
      <c r="I731" s="181"/>
      <c r="J731" s="181"/>
      <c r="K731" s="182" t="s">
        <v>363</v>
      </c>
      <c r="R731" s="163"/>
      <c r="S731" s="163"/>
    </row>
    <row r="732">
      <c r="A732" s="179">
        <f t="shared" si="4"/>
        <v>729</v>
      </c>
      <c r="B732" s="180"/>
      <c r="C732" s="180" t="s">
        <v>208</v>
      </c>
      <c r="D732" s="180" t="s">
        <v>208</v>
      </c>
      <c r="E732" s="180" t="s">
        <v>208</v>
      </c>
      <c r="F732" s="180" t="s">
        <v>208</v>
      </c>
      <c r="G732" s="180" t="s">
        <v>208</v>
      </c>
      <c r="H732" s="181"/>
      <c r="I732" s="181"/>
      <c r="J732" s="181"/>
      <c r="K732" s="182" t="s">
        <v>363</v>
      </c>
      <c r="R732" s="163"/>
      <c r="S732" s="163"/>
    </row>
    <row r="733">
      <c r="A733" s="179">
        <f t="shared" si="4"/>
        <v>730</v>
      </c>
      <c r="B733" s="180"/>
      <c r="C733" s="180" t="s">
        <v>208</v>
      </c>
      <c r="D733" s="180" t="s">
        <v>208</v>
      </c>
      <c r="E733" s="180" t="s">
        <v>208</v>
      </c>
      <c r="F733" s="180" t="s">
        <v>208</v>
      </c>
      <c r="G733" s="180" t="s">
        <v>208</v>
      </c>
      <c r="H733" s="181"/>
      <c r="I733" s="181"/>
      <c r="J733" s="181"/>
      <c r="K733" s="182" t="s">
        <v>363</v>
      </c>
      <c r="R733" s="163"/>
      <c r="S733" s="163"/>
    </row>
    <row r="734">
      <c r="A734" s="179">
        <f t="shared" si="4"/>
        <v>731</v>
      </c>
      <c r="B734" s="180"/>
      <c r="C734" s="180" t="s">
        <v>208</v>
      </c>
      <c r="D734" s="180" t="s">
        <v>208</v>
      </c>
      <c r="E734" s="180" t="s">
        <v>208</v>
      </c>
      <c r="F734" s="180" t="s">
        <v>208</v>
      </c>
      <c r="G734" s="180" t="s">
        <v>208</v>
      </c>
      <c r="H734" s="181"/>
      <c r="I734" s="181"/>
      <c r="J734" s="181"/>
      <c r="K734" s="182" t="s">
        <v>363</v>
      </c>
      <c r="R734" s="173"/>
      <c r="S734" s="173"/>
    </row>
    <row r="735">
      <c r="A735" s="179">
        <f t="shared" si="4"/>
        <v>732</v>
      </c>
      <c r="B735" s="180"/>
      <c r="C735" s="180" t="s">
        <v>208</v>
      </c>
      <c r="D735" s="180" t="s">
        <v>208</v>
      </c>
      <c r="E735" s="180" t="s">
        <v>208</v>
      </c>
      <c r="F735" s="180" t="s">
        <v>208</v>
      </c>
      <c r="G735" s="180" t="s">
        <v>208</v>
      </c>
      <c r="H735" s="181"/>
      <c r="I735" s="181"/>
      <c r="J735" s="181"/>
      <c r="K735" s="182" t="s">
        <v>363</v>
      </c>
      <c r="R735" s="157"/>
      <c r="S735" s="157"/>
    </row>
    <row r="736">
      <c r="A736" s="179">
        <f t="shared" si="4"/>
        <v>733</v>
      </c>
      <c r="B736" s="180"/>
      <c r="C736" s="180" t="s">
        <v>208</v>
      </c>
      <c r="D736" s="180" t="s">
        <v>208</v>
      </c>
      <c r="E736" s="180" t="s">
        <v>208</v>
      </c>
      <c r="F736" s="180" t="s">
        <v>208</v>
      </c>
      <c r="G736" s="180" t="s">
        <v>208</v>
      </c>
      <c r="H736" s="180"/>
      <c r="I736" s="181"/>
      <c r="J736" s="181"/>
      <c r="K736" s="182" t="s">
        <v>363</v>
      </c>
      <c r="R736" s="163"/>
      <c r="S736" s="163"/>
    </row>
    <row r="737">
      <c r="A737" s="179">
        <f t="shared" si="4"/>
        <v>734</v>
      </c>
      <c r="B737" s="180"/>
      <c r="C737" s="180"/>
      <c r="D737" s="180"/>
      <c r="E737" s="180"/>
      <c r="F737" s="180"/>
      <c r="G737" s="181"/>
      <c r="H737" s="185"/>
      <c r="I737" s="181"/>
      <c r="J737" s="180" t="s">
        <v>451</v>
      </c>
      <c r="K737" s="182" t="s">
        <v>363</v>
      </c>
      <c r="R737" s="163"/>
      <c r="S737" s="163"/>
    </row>
    <row r="738">
      <c r="A738" s="179">
        <f t="shared" si="4"/>
        <v>735</v>
      </c>
      <c r="B738" s="180"/>
      <c r="C738" s="180"/>
      <c r="D738" s="180"/>
      <c r="E738" s="180"/>
      <c r="F738" s="180"/>
      <c r="G738" s="181"/>
      <c r="H738" s="185"/>
      <c r="I738" s="181"/>
      <c r="J738" s="180" t="s">
        <v>451</v>
      </c>
      <c r="K738" s="182" t="s">
        <v>363</v>
      </c>
      <c r="R738" s="163"/>
      <c r="S738" s="163"/>
    </row>
    <row r="739">
      <c r="A739" s="179">
        <f t="shared" si="4"/>
        <v>736</v>
      </c>
      <c r="B739" s="180"/>
      <c r="C739" s="180"/>
      <c r="D739" s="180"/>
      <c r="E739" s="180"/>
      <c r="F739" s="180"/>
      <c r="G739" s="180"/>
      <c r="H739" s="180"/>
      <c r="I739" s="181"/>
      <c r="J739" s="180" t="s">
        <v>242</v>
      </c>
      <c r="K739" s="182" t="s">
        <v>363</v>
      </c>
      <c r="R739" s="163"/>
      <c r="S739" s="163"/>
    </row>
    <row r="740">
      <c r="A740" s="179">
        <f t="shared" si="4"/>
        <v>737</v>
      </c>
      <c r="B740" s="180"/>
      <c r="C740" s="180" t="s">
        <v>208</v>
      </c>
      <c r="D740" s="180" t="s">
        <v>208</v>
      </c>
      <c r="E740" s="180" t="s">
        <v>208</v>
      </c>
      <c r="F740" s="180" t="s">
        <v>208</v>
      </c>
      <c r="G740" s="180" t="s">
        <v>208</v>
      </c>
      <c r="H740" s="185"/>
      <c r="I740" s="181"/>
      <c r="J740" s="181"/>
      <c r="K740" s="182" t="s">
        <v>363</v>
      </c>
      <c r="R740" s="163"/>
      <c r="S740" s="163"/>
    </row>
    <row r="741">
      <c r="A741" s="179">
        <f t="shared" si="4"/>
        <v>738</v>
      </c>
      <c r="B741" s="180"/>
      <c r="C741" s="180" t="s">
        <v>208</v>
      </c>
      <c r="D741" s="180" t="s">
        <v>208</v>
      </c>
      <c r="E741" s="180" t="s">
        <v>208</v>
      </c>
      <c r="F741" s="180" t="s">
        <v>208</v>
      </c>
      <c r="G741" s="180" t="s">
        <v>208</v>
      </c>
      <c r="H741" s="181"/>
      <c r="I741" s="181"/>
      <c r="J741" s="181"/>
      <c r="K741" s="182" t="s">
        <v>363</v>
      </c>
      <c r="R741" s="163"/>
      <c r="S741" s="163"/>
    </row>
    <row r="742">
      <c r="A742" s="179">
        <f t="shared" si="4"/>
        <v>739</v>
      </c>
      <c r="B742" s="180"/>
      <c r="C742" s="180" t="s">
        <v>208</v>
      </c>
      <c r="D742" s="180" t="s">
        <v>208</v>
      </c>
      <c r="E742" s="180" t="s">
        <v>208</v>
      </c>
      <c r="F742" s="180" t="s">
        <v>208</v>
      </c>
      <c r="G742" s="180" t="s">
        <v>208</v>
      </c>
      <c r="H742" s="181"/>
      <c r="I742" s="181"/>
      <c r="J742" s="180"/>
      <c r="K742" s="182" t="s">
        <v>363</v>
      </c>
      <c r="R742" s="163"/>
      <c r="S742" s="163"/>
    </row>
    <row r="743">
      <c r="A743" s="179">
        <f t="shared" si="4"/>
        <v>740</v>
      </c>
      <c r="B743" s="180"/>
      <c r="C743" s="180" t="s">
        <v>208</v>
      </c>
      <c r="D743" s="180" t="s">
        <v>208</v>
      </c>
      <c r="E743" s="180" t="s">
        <v>208</v>
      </c>
      <c r="F743" s="180" t="s">
        <v>208</v>
      </c>
      <c r="G743" s="180" t="s">
        <v>208</v>
      </c>
      <c r="H743" s="181"/>
      <c r="I743" s="181"/>
      <c r="J743" s="180"/>
      <c r="K743" s="182" t="s">
        <v>363</v>
      </c>
      <c r="R743" s="163"/>
      <c r="S743" s="163"/>
    </row>
    <row r="744">
      <c r="A744" s="179">
        <f t="shared" si="4"/>
        <v>741</v>
      </c>
      <c r="B744" s="180"/>
      <c r="C744" s="180" t="s">
        <v>208</v>
      </c>
      <c r="D744" s="180" t="s">
        <v>208</v>
      </c>
      <c r="E744" s="180" t="s">
        <v>208</v>
      </c>
      <c r="F744" s="180" t="s">
        <v>208</v>
      </c>
      <c r="G744" s="180" t="s">
        <v>208</v>
      </c>
      <c r="H744" s="181"/>
      <c r="I744" s="181"/>
      <c r="J744" s="181"/>
      <c r="K744" s="182" t="s">
        <v>363</v>
      </c>
      <c r="R744" s="163"/>
      <c r="S744" s="163"/>
    </row>
    <row r="745">
      <c r="A745" s="179">
        <f t="shared" si="4"/>
        <v>742</v>
      </c>
      <c r="B745" s="180"/>
      <c r="C745" s="180" t="s">
        <v>208</v>
      </c>
      <c r="D745" s="180" t="s">
        <v>208</v>
      </c>
      <c r="E745" s="180" t="s">
        <v>208</v>
      </c>
      <c r="F745" s="180" t="s">
        <v>208</v>
      </c>
      <c r="G745" s="180" t="s">
        <v>208</v>
      </c>
      <c r="H745" s="181"/>
      <c r="I745" s="181"/>
      <c r="J745" s="181"/>
      <c r="K745" s="182" t="s">
        <v>363</v>
      </c>
      <c r="R745" s="163"/>
      <c r="S745" s="163"/>
    </row>
    <row r="746">
      <c r="A746" s="179">
        <f t="shared" si="4"/>
        <v>743</v>
      </c>
      <c r="B746" s="180"/>
      <c r="C746" s="180" t="s">
        <v>208</v>
      </c>
      <c r="D746" s="180" t="s">
        <v>208</v>
      </c>
      <c r="E746" s="180" t="s">
        <v>208</v>
      </c>
      <c r="F746" s="180" t="s">
        <v>208</v>
      </c>
      <c r="G746" s="180" t="s">
        <v>208</v>
      </c>
      <c r="H746" s="180"/>
      <c r="I746" s="181"/>
      <c r="J746" s="180"/>
      <c r="K746" s="182" t="s">
        <v>363</v>
      </c>
      <c r="R746" s="173"/>
      <c r="S746" s="173"/>
    </row>
    <row r="747">
      <c r="A747" s="179">
        <f t="shared" si="4"/>
        <v>744</v>
      </c>
      <c r="B747" s="180"/>
      <c r="C747" s="180" t="s">
        <v>208</v>
      </c>
      <c r="D747" s="180" t="s">
        <v>208</v>
      </c>
      <c r="E747" s="180" t="s">
        <v>208</v>
      </c>
      <c r="F747" s="180" t="s">
        <v>208</v>
      </c>
      <c r="G747" s="180" t="s">
        <v>208</v>
      </c>
      <c r="H747" s="181"/>
      <c r="I747" s="181"/>
      <c r="J747" s="180"/>
      <c r="K747" s="182" t="s">
        <v>363</v>
      </c>
      <c r="R747" s="157"/>
      <c r="S747" s="157"/>
    </row>
    <row r="748">
      <c r="A748" s="179">
        <f t="shared" si="4"/>
        <v>745</v>
      </c>
      <c r="B748" s="180"/>
      <c r="C748" s="180" t="s">
        <v>208</v>
      </c>
      <c r="D748" s="180" t="s">
        <v>208</v>
      </c>
      <c r="E748" s="180" t="s">
        <v>208</v>
      </c>
      <c r="F748" s="180" t="s">
        <v>208</v>
      </c>
      <c r="G748" s="180" t="s">
        <v>208</v>
      </c>
      <c r="H748" s="181"/>
      <c r="I748" s="181"/>
      <c r="J748" s="181"/>
      <c r="K748" s="182" t="s">
        <v>363</v>
      </c>
      <c r="R748" s="163"/>
      <c r="S748" s="163"/>
    </row>
    <row r="749">
      <c r="A749" s="179">
        <f t="shared" si="4"/>
        <v>746</v>
      </c>
      <c r="B749" s="180"/>
      <c r="C749" s="180" t="s">
        <v>208</v>
      </c>
      <c r="D749" s="180" t="s">
        <v>208</v>
      </c>
      <c r="E749" s="180" t="s">
        <v>208</v>
      </c>
      <c r="F749" s="180" t="s">
        <v>208</v>
      </c>
      <c r="G749" s="180" t="s">
        <v>208</v>
      </c>
      <c r="H749" s="181"/>
      <c r="I749" s="181"/>
      <c r="J749" s="181"/>
      <c r="K749" s="182" t="s">
        <v>363</v>
      </c>
      <c r="R749" s="163"/>
      <c r="S749" s="163"/>
    </row>
    <row r="750">
      <c r="A750" s="179">
        <f t="shared" si="4"/>
        <v>747</v>
      </c>
      <c r="B750" s="180"/>
      <c r="C750" s="180" t="s">
        <v>208</v>
      </c>
      <c r="D750" s="180" t="s">
        <v>208</v>
      </c>
      <c r="E750" s="180" t="s">
        <v>208</v>
      </c>
      <c r="F750" s="180" t="s">
        <v>208</v>
      </c>
      <c r="G750" s="180" t="s">
        <v>208</v>
      </c>
      <c r="H750" s="181"/>
      <c r="I750" s="181"/>
      <c r="J750" s="181"/>
      <c r="K750" s="182" t="s">
        <v>363</v>
      </c>
      <c r="R750" s="163"/>
      <c r="S750" s="163"/>
    </row>
    <row r="751">
      <c r="A751" s="179">
        <f t="shared" si="4"/>
        <v>748</v>
      </c>
      <c r="B751" s="180"/>
      <c r="C751" s="180" t="s">
        <v>208</v>
      </c>
      <c r="D751" s="180" t="s">
        <v>208</v>
      </c>
      <c r="E751" s="180" t="s">
        <v>208</v>
      </c>
      <c r="F751" s="180" t="s">
        <v>208</v>
      </c>
      <c r="G751" s="180" t="s">
        <v>208</v>
      </c>
      <c r="H751" s="181"/>
      <c r="I751" s="181"/>
      <c r="J751" s="180"/>
      <c r="K751" s="182" t="s">
        <v>363</v>
      </c>
      <c r="R751" s="163"/>
      <c r="S751" s="163"/>
    </row>
    <row r="752">
      <c r="A752" s="179">
        <f t="shared" si="4"/>
        <v>749</v>
      </c>
      <c r="B752" s="181"/>
      <c r="C752" s="180" t="s">
        <v>208</v>
      </c>
      <c r="D752" s="180" t="s">
        <v>208</v>
      </c>
      <c r="E752" s="180" t="s">
        <v>208</v>
      </c>
      <c r="F752" s="180" t="s">
        <v>208</v>
      </c>
      <c r="G752" s="180" t="s">
        <v>208</v>
      </c>
      <c r="H752" s="180"/>
      <c r="I752" s="180"/>
      <c r="J752" s="181"/>
      <c r="K752" s="182" t="s">
        <v>363</v>
      </c>
      <c r="R752" s="163"/>
      <c r="S752" s="163"/>
    </row>
    <row r="753">
      <c r="A753" s="179">
        <f t="shared" si="4"/>
        <v>750</v>
      </c>
      <c r="B753" s="180"/>
      <c r="C753" s="180" t="s">
        <v>208</v>
      </c>
      <c r="D753" s="180" t="s">
        <v>208</v>
      </c>
      <c r="E753" s="180" t="s">
        <v>208</v>
      </c>
      <c r="F753" s="180" t="s">
        <v>208</v>
      </c>
      <c r="G753" s="180" t="s">
        <v>208</v>
      </c>
      <c r="H753" s="181"/>
      <c r="I753" s="181"/>
      <c r="J753" s="181"/>
      <c r="K753" s="182" t="s">
        <v>363</v>
      </c>
      <c r="R753" s="163"/>
      <c r="S753" s="163"/>
    </row>
    <row r="754">
      <c r="A754" s="179">
        <f t="shared" si="4"/>
        <v>751</v>
      </c>
      <c r="B754" s="180"/>
      <c r="C754" s="180"/>
      <c r="D754" s="180"/>
      <c r="E754" s="180"/>
      <c r="F754" s="180"/>
      <c r="G754" s="180"/>
      <c r="H754" s="185"/>
      <c r="I754" s="180"/>
      <c r="J754" s="180" t="s">
        <v>242</v>
      </c>
      <c r="K754" s="182" t="s">
        <v>363</v>
      </c>
      <c r="R754" s="163"/>
      <c r="S754" s="163"/>
    </row>
    <row r="755">
      <c r="A755" s="179">
        <f t="shared" si="4"/>
        <v>752</v>
      </c>
      <c r="B755" s="180"/>
      <c r="C755" s="180"/>
      <c r="D755" s="180" t="s">
        <v>208</v>
      </c>
      <c r="E755" s="180" t="s">
        <v>208</v>
      </c>
      <c r="F755" s="180" t="s">
        <v>208</v>
      </c>
      <c r="G755" s="180"/>
      <c r="H755" s="180" t="s">
        <v>208</v>
      </c>
      <c r="I755" s="181"/>
      <c r="J755" s="180"/>
      <c r="K755" s="182" t="s">
        <v>363</v>
      </c>
      <c r="R755" s="163"/>
      <c r="S755" s="163"/>
    </row>
    <row r="756">
      <c r="A756" s="179">
        <f t="shared" si="4"/>
        <v>753</v>
      </c>
      <c r="B756" s="180"/>
      <c r="C756" s="180" t="s">
        <v>208</v>
      </c>
      <c r="D756" s="180" t="s">
        <v>208</v>
      </c>
      <c r="E756" s="180" t="s">
        <v>208</v>
      </c>
      <c r="F756" s="180" t="s">
        <v>208</v>
      </c>
      <c r="G756" s="180" t="s">
        <v>208</v>
      </c>
      <c r="H756" s="181"/>
      <c r="I756" s="181"/>
      <c r="J756" s="181"/>
      <c r="K756" s="182" t="s">
        <v>363</v>
      </c>
      <c r="R756" s="163"/>
      <c r="S756" s="163"/>
    </row>
    <row r="757">
      <c r="A757" s="179">
        <f t="shared" si="4"/>
        <v>754</v>
      </c>
      <c r="B757" s="181"/>
      <c r="C757" s="180" t="s">
        <v>208</v>
      </c>
      <c r="D757" s="180" t="s">
        <v>208</v>
      </c>
      <c r="E757" s="180" t="s">
        <v>208</v>
      </c>
      <c r="F757" s="180" t="s">
        <v>208</v>
      </c>
      <c r="G757" s="180" t="s">
        <v>208</v>
      </c>
      <c r="H757" s="181"/>
      <c r="I757" s="181"/>
      <c r="J757" s="181"/>
      <c r="K757" s="182" t="s">
        <v>363</v>
      </c>
      <c r="R757" s="163"/>
      <c r="S757" s="163"/>
    </row>
    <row r="758">
      <c r="A758" s="179">
        <f t="shared" si="4"/>
        <v>755</v>
      </c>
      <c r="B758" s="180"/>
      <c r="C758" s="180" t="s">
        <v>208</v>
      </c>
      <c r="D758" s="180" t="s">
        <v>208</v>
      </c>
      <c r="E758" s="180"/>
      <c r="F758" s="180" t="s">
        <v>208</v>
      </c>
      <c r="G758" s="180" t="s">
        <v>208</v>
      </c>
      <c r="H758" s="181"/>
      <c r="I758" s="181"/>
      <c r="J758" s="181"/>
      <c r="K758" s="182" t="s">
        <v>363</v>
      </c>
      <c r="R758" s="173"/>
      <c r="S758" s="173"/>
    </row>
    <row r="759">
      <c r="A759" s="179">
        <f t="shared" si="4"/>
        <v>756</v>
      </c>
      <c r="B759" s="180"/>
      <c r="C759" s="180" t="s">
        <v>208</v>
      </c>
      <c r="D759" s="180" t="s">
        <v>208</v>
      </c>
      <c r="E759" s="180" t="s">
        <v>208</v>
      </c>
      <c r="F759" s="180" t="s">
        <v>208</v>
      </c>
      <c r="G759" s="180" t="s">
        <v>208</v>
      </c>
      <c r="H759" s="181"/>
      <c r="I759" s="181"/>
      <c r="J759" s="181"/>
      <c r="K759" s="182" t="s">
        <v>363</v>
      </c>
      <c r="R759" s="157"/>
      <c r="S759" s="157"/>
    </row>
    <row r="760">
      <c r="A760" s="179">
        <f t="shared" si="4"/>
        <v>757</v>
      </c>
      <c r="B760" s="180"/>
      <c r="C760" s="180" t="s">
        <v>208</v>
      </c>
      <c r="D760" s="180" t="s">
        <v>208</v>
      </c>
      <c r="E760" s="180" t="s">
        <v>208</v>
      </c>
      <c r="F760" s="180" t="s">
        <v>208</v>
      </c>
      <c r="G760" s="180" t="s">
        <v>208</v>
      </c>
      <c r="H760" s="181"/>
      <c r="I760" s="181"/>
      <c r="J760" s="181"/>
      <c r="K760" s="182" t="s">
        <v>363</v>
      </c>
      <c r="R760" s="163"/>
      <c r="S760" s="163"/>
    </row>
    <row r="761">
      <c r="A761" s="179">
        <f t="shared" si="4"/>
        <v>758</v>
      </c>
      <c r="B761" s="181"/>
      <c r="C761" s="180" t="s">
        <v>208</v>
      </c>
      <c r="D761" s="180" t="s">
        <v>208</v>
      </c>
      <c r="E761" s="180" t="s">
        <v>208</v>
      </c>
      <c r="F761" s="180" t="s">
        <v>208</v>
      </c>
      <c r="G761" s="180" t="s">
        <v>208</v>
      </c>
      <c r="H761" s="181"/>
      <c r="I761" s="181"/>
      <c r="J761" s="181"/>
      <c r="K761" s="182" t="s">
        <v>363</v>
      </c>
      <c r="R761" s="163"/>
      <c r="S761" s="163"/>
    </row>
    <row r="762">
      <c r="A762" s="179">
        <f t="shared" si="4"/>
        <v>759</v>
      </c>
      <c r="B762" s="180"/>
      <c r="C762" s="180" t="s">
        <v>208</v>
      </c>
      <c r="D762" s="180" t="s">
        <v>208</v>
      </c>
      <c r="E762" s="180" t="s">
        <v>208</v>
      </c>
      <c r="F762" s="180" t="s">
        <v>208</v>
      </c>
      <c r="G762" s="180" t="s">
        <v>208</v>
      </c>
      <c r="H762" s="181"/>
      <c r="I762" s="181"/>
      <c r="J762" s="181"/>
      <c r="K762" s="182" t="s">
        <v>363</v>
      </c>
      <c r="R762" s="163"/>
      <c r="S762" s="163"/>
    </row>
    <row r="763">
      <c r="A763" s="179">
        <f t="shared" si="4"/>
        <v>760</v>
      </c>
      <c r="B763" s="180"/>
      <c r="C763" s="180" t="s">
        <v>208</v>
      </c>
      <c r="D763" s="180" t="s">
        <v>208</v>
      </c>
      <c r="E763" s="180" t="s">
        <v>208</v>
      </c>
      <c r="F763" s="180" t="s">
        <v>208</v>
      </c>
      <c r="G763" s="180" t="s">
        <v>208</v>
      </c>
      <c r="H763" s="180"/>
      <c r="I763" s="181"/>
      <c r="J763" s="181"/>
      <c r="K763" s="182" t="s">
        <v>363</v>
      </c>
      <c r="R763" s="163"/>
      <c r="S763" s="163"/>
    </row>
    <row r="764">
      <c r="A764" s="179">
        <f t="shared" si="4"/>
        <v>761</v>
      </c>
      <c r="B764" s="180"/>
      <c r="C764" s="180" t="s">
        <v>208</v>
      </c>
      <c r="D764" s="180" t="s">
        <v>208</v>
      </c>
      <c r="E764" s="180" t="s">
        <v>208</v>
      </c>
      <c r="F764" s="180" t="s">
        <v>208</v>
      </c>
      <c r="G764" s="180" t="s">
        <v>208</v>
      </c>
      <c r="H764" s="180"/>
      <c r="I764" s="181"/>
      <c r="J764" s="181"/>
      <c r="K764" s="182" t="s">
        <v>363</v>
      </c>
      <c r="R764" s="163"/>
      <c r="S764" s="163"/>
    </row>
    <row r="765">
      <c r="A765" s="179">
        <f t="shared" si="4"/>
        <v>762</v>
      </c>
      <c r="B765" s="180"/>
      <c r="C765" s="180"/>
      <c r="D765" s="180" t="s">
        <v>208</v>
      </c>
      <c r="E765" s="180" t="s">
        <v>208</v>
      </c>
      <c r="F765" s="180" t="s">
        <v>208</v>
      </c>
      <c r="G765" s="180"/>
      <c r="H765" s="180" t="s">
        <v>208</v>
      </c>
      <c r="I765" s="181"/>
      <c r="J765" s="181"/>
      <c r="K765" s="182" t="s">
        <v>363</v>
      </c>
      <c r="R765" s="163"/>
      <c r="S765" s="163"/>
    </row>
    <row r="766">
      <c r="A766" s="179">
        <f t="shared" si="4"/>
        <v>763</v>
      </c>
      <c r="B766" s="180"/>
      <c r="C766" s="180" t="s">
        <v>208</v>
      </c>
      <c r="D766" s="180" t="s">
        <v>208</v>
      </c>
      <c r="E766" s="180" t="s">
        <v>208</v>
      </c>
      <c r="F766" s="180" t="s">
        <v>208</v>
      </c>
      <c r="G766" s="180" t="s">
        <v>208</v>
      </c>
      <c r="H766" s="180"/>
      <c r="I766" s="181"/>
      <c r="J766" s="181"/>
      <c r="K766" s="182" t="s">
        <v>363</v>
      </c>
      <c r="R766" s="163"/>
      <c r="S766" s="163"/>
    </row>
    <row r="767">
      <c r="A767" s="179">
        <f t="shared" si="4"/>
        <v>764</v>
      </c>
      <c r="B767" s="180"/>
      <c r="C767" s="180" t="s">
        <v>208</v>
      </c>
      <c r="D767" s="180" t="s">
        <v>208</v>
      </c>
      <c r="E767" s="180" t="s">
        <v>208</v>
      </c>
      <c r="F767" s="180" t="s">
        <v>208</v>
      </c>
      <c r="G767" s="180" t="s">
        <v>208</v>
      </c>
      <c r="H767" s="180"/>
      <c r="I767" s="181"/>
      <c r="J767" s="181"/>
      <c r="K767" s="182" t="s">
        <v>363</v>
      </c>
      <c r="R767" s="163"/>
      <c r="S767" s="163"/>
    </row>
    <row r="768">
      <c r="A768" s="179">
        <f t="shared" si="4"/>
        <v>765</v>
      </c>
      <c r="B768" s="180"/>
      <c r="C768" s="180" t="s">
        <v>208</v>
      </c>
      <c r="D768" s="180" t="s">
        <v>208</v>
      </c>
      <c r="E768" s="180" t="s">
        <v>208</v>
      </c>
      <c r="F768" s="180" t="s">
        <v>208</v>
      </c>
      <c r="G768" s="180" t="s">
        <v>208</v>
      </c>
      <c r="H768" s="181"/>
      <c r="I768" s="181"/>
      <c r="J768" s="181"/>
      <c r="K768" s="182" t="s">
        <v>363</v>
      </c>
      <c r="R768" s="163"/>
      <c r="S768" s="163"/>
    </row>
    <row r="769">
      <c r="A769" s="179">
        <f t="shared" si="4"/>
        <v>766</v>
      </c>
      <c r="B769" s="180"/>
      <c r="C769" s="180" t="s">
        <v>208</v>
      </c>
      <c r="D769" s="180" t="s">
        <v>208</v>
      </c>
      <c r="E769" s="180" t="s">
        <v>208</v>
      </c>
      <c r="F769" s="180" t="s">
        <v>208</v>
      </c>
      <c r="G769" s="180" t="s">
        <v>208</v>
      </c>
      <c r="H769" s="181"/>
      <c r="I769" s="181"/>
      <c r="J769" s="181"/>
      <c r="K769" s="182" t="s">
        <v>363</v>
      </c>
      <c r="R769" s="163"/>
      <c r="S769" s="163"/>
    </row>
    <row r="770">
      <c r="A770" s="179">
        <f t="shared" si="4"/>
        <v>767</v>
      </c>
      <c r="B770" s="180"/>
      <c r="C770" s="180" t="s">
        <v>208</v>
      </c>
      <c r="D770" s="180" t="s">
        <v>208</v>
      </c>
      <c r="E770" s="180" t="s">
        <v>208</v>
      </c>
      <c r="F770" s="180" t="s">
        <v>208</v>
      </c>
      <c r="G770" s="180" t="s">
        <v>208</v>
      </c>
      <c r="H770" s="181"/>
      <c r="I770" s="181"/>
      <c r="J770" s="180"/>
      <c r="K770" s="182" t="s">
        <v>363</v>
      </c>
      <c r="R770" s="173"/>
      <c r="S770" s="173"/>
    </row>
    <row r="771">
      <c r="A771" s="179">
        <f t="shared" si="4"/>
        <v>768</v>
      </c>
      <c r="B771" s="181"/>
      <c r="C771" s="180" t="s">
        <v>208</v>
      </c>
      <c r="D771" s="180" t="s">
        <v>208</v>
      </c>
      <c r="E771" s="180" t="s">
        <v>208</v>
      </c>
      <c r="F771" s="180" t="s">
        <v>208</v>
      </c>
      <c r="G771" s="180" t="s">
        <v>208</v>
      </c>
      <c r="H771" s="181"/>
      <c r="I771" s="181"/>
      <c r="J771" s="181"/>
      <c r="K771" s="182" t="s">
        <v>363</v>
      </c>
      <c r="R771" s="157"/>
      <c r="S771" s="157"/>
    </row>
    <row r="772">
      <c r="A772" s="179">
        <f t="shared" si="4"/>
        <v>769</v>
      </c>
      <c r="B772" s="180"/>
      <c r="C772" s="180" t="s">
        <v>208</v>
      </c>
      <c r="D772" s="180" t="s">
        <v>208</v>
      </c>
      <c r="E772" s="180" t="s">
        <v>208</v>
      </c>
      <c r="F772" s="180" t="s">
        <v>208</v>
      </c>
      <c r="G772" s="180" t="s">
        <v>208</v>
      </c>
      <c r="H772" s="181"/>
      <c r="I772" s="181"/>
      <c r="J772" s="181"/>
      <c r="K772" s="182" t="s">
        <v>363</v>
      </c>
      <c r="R772" s="163"/>
      <c r="S772" s="163"/>
    </row>
    <row r="773">
      <c r="A773" s="179">
        <f t="shared" si="4"/>
        <v>770</v>
      </c>
      <c r="B773" s="180"/>
      <c r="C773" s="180" t="s">
        <v>208</v>
      </c>
      <c r="D773" s="180" t="s">
        <v>208</v>
      </c>
      <c r="E773" s="180" t="s">
        <v>208</v>
      </c>
      <c r="F773" s="180" t="s">
        <v>208</v>
      </c>
      <c r="G773" s="180" t="s">
        <v>208</v>
      </c>
      <c r="H773" s="181"/>
      <c r="I773" s="181"/>
      <c r="J773" s="181"/>
      <c r="K773" s="182" t="s">
        <v>363</v>
      </c>
      <c r="R773" s="163"/>
      <c r="S773" s="163"/>
    </row>
    <row r="774">
      <c r="A774" s="179">
        <f t="shared" si="4"/>
        <v>771</v>
      </c>
      <c r="B774" s="180"/>
      <c r="C774" s="180" t="s">
        <v>208</v>
      </c>
      <c r="D774" s="180" t="s">
        <v>208</v>
      </c>
      <c r="E774" s="180" t="s">
        <v>208</v>
      </c>
      <c r="F774" s="180" t="s">
        <v>208</v>
      </c>
      <c r="G774" s="180" t="s">
        <v>208</v>
      </c>
      <c r="H774" s="181"/>
      <c r="I774" s="181"/>
      <c r="J774" s="181"/>
      <c r="K774" s="182" t="s">
        <v>363</v>
      </c>
      <c r="R774" s="163"/>
      <c r="S774" s="163"/>
    </row>
    <row r="775">
      <c r="A775" s="179">
        <f t="shared" si="4"/>
        <v>772</v>
      </c>
      <c r="B775" s="180"/>
      <c r="C775" s="180" t="s">
        <v>208</v>
      </c>
      <c r="D775" s="180" t="s">
        <v>208</v>
      </c>
      <c r="E775" s="180" t="s">
        <v>208</v>
      </c>
      <c r="F775" s="180" t="s">
        <v>208</v>
      </c>
      <c r="G775" s="180" t="s">
        <v>208</v>
      </c>
      <c r="H775" s="181"/>
      <c r="I775" s="181"/>
      <c r="J775" s="181"/>
      <c r="K775" s="182" t="s">
        <v>363</v>
      </c>
      <c r="R775" s="163"/>
      <c r="S775" s="163"/>
    </row>
    <row r="776">
      <c r="A776" s="179">
        <f t="shared" si="4"/>
        <v>773</v>
      </c>
      <c r="B776" s="180"/>
      <c r="C776" s="180" t="s">
        <v>208</v>
      </c>
      <c r="D776" s="180" t="s">
        <v>208</v>
      </c>
      <c r="E776" s="180" t="s">
        <v>208</v>
      </c>
      <c r="F776" s="180" t="s">
        <v>208</v>
      </c>
      <c r="G776" s="180" t="s">
        <v>208</v>
      </c>
      <c r="H776" s="181"/>
      <c r="I776" s="181"/>
      <c r="J776" s="180"/>
      <c r="K776" s="182" t="s">
        <v>363</v>
      </c>
      <c r="R776" s="163"/>
      <c r="S776" s="163"/>
    </row>
    <row r="777">
      <c r="A777" s="179">
        <f t="shared" si="4"/>
        <v>774</v>
      </c>
      <c r="B777" s="180"/>
      <c r="C777" s="180" t="s">
        <v>208</v>
      </c>
      <c r="D777" s="180" t="s">
        <v>208</v>
      </c>
      <c r="E777" s="180" t="s">
        <v>208</v>
      </c>
      <c r="F777" s="180" t="s">
        <v>208</v>
      </c>
      <c r="G777" s="180" t="s">
        <v>208</v>
      </c>
      <c r="H777" s="181"/>
      <c r="I777" s="181"/>
      <c r="J777" s="181"/>
      <c r="K777" s="182" t="s">
        <v>363</v>
      </c>
      <c r="R777" s="163"/>
      <c r="S777" s="163"/>
    </row>
    <row r="778">
      <c r="A778" s="179">
        <f t="shared" si="4"/>
        <v>775</v>
      </c>
      <c r="B778" s="180"/>
      <c r="C778" s="180" t="s">
        <v>208</v>
      </c>
      <c r="D778" s="180" t="s">
        <v>208</v>
      </c>
      <c r="E778" s="180" t="s">
        <v>208</v>
      </c>
      <c r="F778" s="180" t="s">
        <v>208</v>
      </c>
      <c r="G778" s="180" t="s">
        <v>208</v>
      </c>
      <c r="H778" s="181"/>
      <c r="I778" s="181"/>
      <c r="J778" s="181"/>
      <c r="K778" s="182" t="s">
        <v>363</v>
      </c>
      <c r="R778" s="163"/>
      <c r="S778" s="163"/>
    </row>
    <row r="779">
      <c r="A779" s="179">
        <f t="shared" si="4"/>
        <v>776</v>
      </c>
      <c r="B779" s="180"/>
      <c r="C779" s="180" t="s">
        <v>208</v>
      </c>
      <c r="D779" s="180" t="s">
        <v>208</v>
      </c>
      <c r="E779" s="180" t="s">
        <v>208</v>
      </c>
      <c r="F779" s="180" t="s">
        <v>208</v>
      </c>
      <c r="G779" s="180" t="s">
        <v>208</v>
      </c>
      <c r="H779" s="181"/>
      <c r="I779" s="181"/>
      <c r="J779" s="181"/>
      <c r="K779" s="182" t="s">
        <v>363</v>
      </c>
      <c r="R779" s="163"/>
      <c r="S779" s="163"/>
    </row>
    <row r="780">
      <c r="A780" s="179">
        <f t="shared" si="4"/>
        <v>777</v>
      </c>
      <c r="B780" s="180"/>
      <c r="C780" s="180" t="s">
        <v>208</v>
      </c>
      <c r="D780" s="180" t="s">
        <v>208</v>
      </c>
      <c r="E780" s="180" t="s">
        <v>208</v>
      </c>
      <c r="F780" s="180" t="s">
        <v>208</v>
      </c>
      <c r="G780" s="180" t="s">
        <v>208</v>
      </c>
      <c r="H780" s="180"/>
      <c r="I780" s="181"/>
      <c r="J780" s="181"/>
      <c r="K780" s="182" t="s">
        <v>363</v>
      </c>
      <c r="R780" s="163"/>
      <c r="S780" s="163"/>
    </row>
    <row r="781">
      <c r="A781" s="179">
        <f t="shared" si="4"/>
        <v>778</v>
      </c>
      <c r="B781" s="180"/>
      <c r="C781" s="180" t="s">
        <v>208</v>
      </c>
      <c r="D781" s="180" t="s">
        <v>208</v>
      </c>
      <c r="E781" s="180" t="s">
        <v>208</v>
      </c>
      <c r="F781" s="180" t="s">
        <v>208</v>
      </c>
      <c r="G781" s="180" t="s">
        <v>208</v>
      </c>
      <c r="H781" s="185"/>
      <c r="I781" s="181"/>
      <c r="J781" s="181"/>
      <c r="K781" s="182" t="s">
        <v>363</v>
      </c>
      <c r="R781" s="163"/>
      <c r="S781" s="163"/>
    </row>
    <row r="782">
      <c r="A782" s="179">
        <f t="shared" si="4"/>
        <v>779</v>
      </c>
      <c r="B782" s="180"/>
      <c r="C782" s="180" t="s">
        <v>208</v>
      </c>
      <c r="D782" s="180" t="s">
        <v>208</v>
      </c>
      <c r="E782" s="180" t="s">
        <v>208</v>
      </c>
      <c r="F782" s="180" t="s">
        <v>208</v>
      </c>
      <c r="G782" s="180" t="s">
        <v>208</v>
      </c>
      <c r="H782" s="185"/>
      <c r="I782" s="181"/>
      <c r="J782" s="181"/>
      <c r="K782" s="182" t="s">
        <v>363</v>
      </c>
      <c r="R782" s="173"/>
      <c r="S782" s="173"/>
    </row>
    <row r="783">
      <c r="A783" s="179">
        <f t="shared" si="4"/>
        <v>780</v>
      </c>
      <c r="B783" s="180"/>
      <c r="C783" s="180" t="s">
        <v>208</v>
      </c>
      <c r="D783" s="180" t="s">
        <v>208</v>
      </c>
      <c r="E783" s="180" t="s">
        <v>208</v>
      </c>
      <c r="F783" s="180" t="s">
        <v>208</v>
      </c>
      <c r="G783" s="180" t="s">
        <v>208</v>
      </c>
      <c r="H783" s="180"/>
      <c r="I783" s="181"/>
      <c r="J783" s="181"/>
      <c r="K783" s="182" t="s">
        <v>363</v>
      </c>
      <c r="R783" s="157"/>
      <c r="S783" s="157"/>
    </row>
    <row r="784">
      <c r="A784" s="179">
        <f t="shared" si="4"/>
        <v>781</v>
      </c>
      <c r="B784" s="180"/>
      <c r="C784" s="180" t="s">
        <v>208</v>
      </c>
      <c r="D784" s="180" t="s">
        <v>208</v>
      </c>
      <c r="E784" s="180" t="s">
        <v>208</v>
      </c>
      <c r="F784" s="180" t="s">
        <v>208</v>
      </c>
      <c r="G784" s="180" t="s">
        <v>208</v>
      </c>
      <c r="H784" s="185"/>
      <c r="I784" s="181"/>
      <c r="J784" s="181"/>
      <c r="K784" s="182" t="s">
        <v>363</v>
      </c>
      <c r="R784" s="163"/>
      <c r="S784" s="163"/>
    </row>
    <row r="785">
      <c r="A785" s="179">
        <f t="shared" si="4"/>
        <v>782</v>
      </c>
      <c r="B785" s="180"/>
      <c r="C785" s="180" t="s">
        <v>208</v>
      </c>
      <c r="D785" s="180" t="s">
        <v>208</v>
      </c>
      <c r="E785" s="180" t="s">
        <v>208</v>
      </c>
      <c r="F785" s="180" t="s">
        <v>208</v>
      </c>
      <c r="G785" s="180" t="s">
        <v>208</v>
      </c>
      <c r="H785" s="181"/>
      <c r="I785" s="181"/>
      <c r="J785" s="181"/>
      <c r="K785" s="182" t="s">
        <v>363</v>
      </c>
      <c r="R785" s="163"/>
      <c r="S785" s="163"/>
    </row>
    <row r="786">
      <c r="A786" s="179">
        <f t="shared" si="4"/>
        <v>783</v>
      </c>
      <c r="B786" s="180"/>
      <c r="C786" s="180" t="s">
        <v>208</v>
      </c>
      <c r="D786" s="180" t="s">
        <v>208</v>
      </c>
      <c r="E786" s="180" t="s">
        <v>208</v>
      </c>
      <c r="F786" s="180" t="s">
        <v>208</v>
      </c>
      <c r="G786" s="180" t="s">
        <v>208</v>
      </c>
      <c r="H786" s="181"/>
      <c r="I786" s="181"/>
      <c r="J786" s="181"/>
      <c r="K786" s="182" t="s">
        <v>363</v>
      </c>
      <c r="R786" s="163"/>
      <c r="S786" s="163"/>
    </row>
    <row r="787">
      <c r="A787" s="179">
        <f t="shared" si="4"/>
        <v>784</v>
      </c>
      <c r="B787" s="180"/>
      <c r="C787" s="180" t="s">
        <v>208</v>
      </c>
      <c r="D787" s="180" t="s">
        <v>208</v>
      </c>
      <c r="E787" s="180" t="s">
        <v>208</v>
      </c>
      <c r="F787" s="180" t="s">
        <v>208</v>
      </c>
      <c r="G787" s="180" t="s">
        <v>208</v>
      </c>
      <c r="H787" s="181"/>
      <c r="I787" s="181"/>
      <c r="J787" s="181"/>
      <c r="K787" s="182" t="s">
        <v>363</v>
      </c>
      <c r="R787" s="163"/>
      <c r="S787" s="163"/>
    </row>
    <row r="788">
      <c r="A788" s="179">
        <f t="shared" si="4"/>
        <v>785</v>
      </c>
      <c r="B788" s="180"/>
      <c r="C788" s="180" t="s">
        <v>208</v>
      </c>
      <c r="D788" s="180" t="s">
        <v>208</v>
      </c>
      <c r="E788" s="180" t="s">
        <v>208</v>
      </c>
      <c r="F788" s="180" t="s">
        <v>208</v>
      </c>
      <c r="G788" s="180" t="s">
        <v>208</v>
      </c>
      <c r="H788" s="181"/>
      <c r="I788" s="181"/>
      <c r="J788" s="181"/>
      <c r="K788" s="182" t="s">
        <v>363</v>
      </c>
      <c r="R788" s="163"/>
      <c r="S788" s="163"/>
    </row>
    <row r="789">
      <c r="A789" s="179">
        <f t="shared" si="4"/>
        <v>786</v>
      </c>
      <c r="B789" s="180"/>
      <c r="C789" s="180" t="s">
        <v>208</v>
      </c>
      <c r="D789" s="180" t="s">
        <v>208</v>
      </c>
      <c r="E789" s="180" t="s">
        <v>208</v>
      </c>
      <c r="F789" s="180" t="s">
        <v>208</v>
      </c>
      <c r="G789" s="180" t="s">
        <v>208</v>
      </c>
      <c r="H789" s="181"/>
      <c r="I789" s="181"/>
      <c r="J789" s="180"/>
      <c r="K789" s="182" t="s">
        <v>363</v>
      </c>
      <c r="R789" s="163"/>
      <c r="S789" s="163"/>
    </row>
    <row r="790">
      <c r="A790" s="179">
        <f t="shared" si="4"/>
        <v>787</v>
      </c>
      <c r="B790" s="181"/>
      <c r="C790" s="180" t="s">
        <v>208</v>
      </c>
      <c r="D790" s="180" t="s">
        <v>208</v>
      </c>
      <c r="E790" s="180" t="s">
        <v>208</v>
      </c>
      <c r="F790" s="180" t="s">
        <v>208</v>
      </c>
      <c r="G790" s="180" t="s">
        <v>208</v>
      </c>
      <c r="H790" s="181"/>
      <c r="I790" s="181"/>
      <c r="J790" s="181"/>
      <c r="K790" s="182" t="s">
        <v>363</v>
      </c>
      <c r="R790" s="163"/>
      <c r="S790" s="163"/>
    </row>
    <row r="791">
      <c r="A791" s="179">
        <f t="shared" si="4"/>
        <v>788</v>
      </c>
      <c r="B791" s="180"/>
      <c r="C791" s="180" t="s">
        <v>208</v>
      </c>
      <c r="D791" s="180" t="s">
        <v>208</v>
      </c>
      <c r="E791" s="180"/>
      <c r="F791" s="180" t="s">
        <v>208</v>
      </c>
      <c r="G791" s="180" t="s">
        <v>208</v>
      </c>
      <c r="H791" s="185"/>
      <c r="I791" s="181"/>
      <c r="J791" s="181"/>
      <c r="K791" s="182" t="s">
        <v>363</v>
      </c>
      <c r="R791" s="163"/>
      <c r="S791" s="163"/>
    </row>
    <row r="792">
      <c r="A792" s="179">
        <f t="shared" si="4"/>
        <v>789</v>
      </c>
      <c r="B792" s="181"/>
      <c r="C792" s="180" t="s">
        <v>208</v>
      </c>
      <c r="D792" s="180" t="s">
        <v>208</v>
      </c>
      <c r="E792" s="180" t="s">
        <v>208</v>
      </c>
      <c r="F792" s="180" t="s">
        <v>208</v>
      </c>
      <c r="G792" s="180" t="s">
        <v>208</v>
      </c>
      <c r="H792" s="181"/>
      <c r="I792" s="181"/>
      <c r="J792" s="180"/>
      <c r="K792" s="182" t="s">
        <v>363</v>
      </c>
      <c r="R792" s="163"/>
      <c r="S792" s="163"/>
    </row>
    <row r="793">
      <c r="A793" s="179">
        <f t="shared" si="4"/>
        <v>790</v>
      </c>
      <c r="B793" s="180"/>
      <c r="C793" s="180" t="s">
        <v>208</v>
      </c>
      <c r="D793" s="180" t="s">
        <v>208</v>
      </c>
      <c r="E793" s="180" t="s">
        <v>208</v>
      </c>
      <c r="F793" s="180" t="s">
        <v>208</v>
      </c>
      <c r="G793" s="180" t="s">
        <v>208</v>
      </c>
      <c r="H793" s="181"/>
      <c r="I793" s="181"/>
      <c r="J793" s="181"/>
      <c r="K793" s="182" t="s">
        <v>363</v>
      </c>
      <c r="R793" s="163"/>
      <c r="S793" s="163"/>
    </row>
    <row r="794">
      <c r="A794" s="179">
        <f t="shared" si="4"/>
        <v>791</v>
      </c>
      <c r="B794" s="181"/>
      <c r="C794" s="180"/>
      <c r="D794" s="180"/>
      <c r="E794" s="180"/>
      <c r="F794" s="180"/>
      <c r="G794" s="180"/>
      <c r="H794" s="180"/>
      <c r="I794" s="181"/>
      <c r="J794" s="180" t="s">
        <v>242</v>
      </c>
      <c r="K794" s="182" t="s">
        <v>363</v>
      </c>
      <c r="R794" s="173"/>
      <c r="S794" s="173"/>
    </row>
    <row r="795">
      <c r="A795" s="179">
        <f t="shared" si="4"/>
        <v>792</v>
      </c>
      <c r="B795" s="180"/>
      <c r="C795" s="180"/>
      <c r="D795" s="180"/>
      <c r="E795" s="180"/>
      <c r="F795" s="180"/>
      <c r="G795" s="180"/>
      <c r="H795" s="181"/>
      <c r="I795" s="181"/>
      <c r="J795" s="180" t="s">
        <v>242</v>
      </c>
      <c r="K795" s="182" t="s">
        <v>363</v>
      </c>
      <c r="R795" s="157"/>
      <c r="S795" s="157"/>
    </row>
    <row r="796">
      <c r="A796" s="179">
        <f t="shared" si="4"/>
        <v>793</v>
      </c>
      <c r="B796" s="180"/>
      <c r="C796" s="180" t="s">
        <v>208</v>
      </c>
      <c r="D796" s="180" t="s">
        <v>208</v>
      </c>
      <c r="E796" s="180" t="s">
        <v>208</v>
      </c>
      <c r="F796" s="180" t="s">
        <v>208</v>
      </c>
      <c r="G796" s="180" t="s">
        <v>208</v>
      </c>
      <c r="H796" s="181"/>
      <c r="I796" s="181"/>
      <c r="J796" s="181"/>
      <c r="K796" s="182" t="s">
        <v>363</v>
      </c>
      <c r="R796" s="163"/>
      <c r="S796" s="163"/>
    </row>
    <row r="797">
      <c r="A797" s="179">
        <f t="shared" si="4"/>
        <v>794</v>
      </c>
      <c r="B797" s="180"/>
      <c r="C797" s="180" t="s">
        <v>208</v>
      </c>
      <c r="D797" s="180" t="s">
        <v>208</v>
      </c>
      <c r="E797" s="180" t="s">
        <v>208</v>
      </c>
      <c r="F797" s="180" t="s">
        <v>208</v>
      </c>
      <c r="G797" s="180" t="s">
        <v>208</v>
      </c>
      <c r="H797" s="181"/>
      <c r="I797" s="181"/>
      <c r="J797" s="181"/>
      <c r="K797" s="182" t="s">
        <v>363</v>
      </c>
      <c r="R797" s="163"/>
      <c r="S797" s="163"/>
    </row>
    <row r="798">
      <c r="A798" s="179">
        <f t="shared" si="4"/>
        <v>795</v>
      </c>
      <c r="B798" s="181"/>
      <c r="C798" s="180" t="s">
        <v>208</v>
      </c>
      <c r="D798" s="180" t="s">
        <v>208</v>
      </c>
      <c r="E798" s="180" t="s">
        <v>208</v>
      </c>
      <c r="F798" s="180" t="s">
        <v>208</v>
      </c>
      <c r="G798" s="180" t="s">
        <v>208</v>
      </c>
      <c r="H798" s="181"/>
      <c r="I798" s="181"/>
      <c r="J798" s="181"/>
      <c r="K798" s="182" t="s">
        <v>363</v>
      </c>
      <c r="R798" s="163"/>
      <c r="S798" s="163"/>
    </row>
    <row r="799">
      <c r="A799" s="179">
        <f t="shared" si="4"/>
        <v>796</v>
      </c>
      <c r="B799" s="180"/>
      <c r="C799" s="180" t="s">
        <v>208</v>
      </c>
      <c r="D799" s="180" t="s">
        <v>208</v>
      </c>
      <c r="E799" s="180" t="s">
        <v>208</v>
      </c>
      <c r="F799" s="180" t="s">
        <v>208</v>
      </c>
      <c r="G799" s="180" t="s">
        <v>208</v>
      </c>
      <c r="H799" s="181"/>
      <c r="I799" s="181"/>
      <c r="J799" s="180"/>
      <c r="K799" s="182" t="s">
        <v>363</v>
      </c>
      <c r="R799" s="163"/>
      <c r="S799" s="163"/>
    </row>
    <row r="800">
      <c r="A800" s="179">
        <f t="shared" si="4"/>
        <v>797</v>
      </c>
      <c r="B800" s="180"/>
      <c r="C800" s="180" t="s">
        <v>208</v>
      </c>
      <c r="D800" s="180" t="s">
        <v>208</v>
      </c>
      <c r="E800" s="180"/>
      <c r="F800" s="180" t="s">
        <v>208</v>
      </c>
      <c r="G800" s="180" t="s">
        <v>208</v>
      </c>
      <c r="H800" s="185"/>
      <c r="I800" s="181"/>
      <c r="J800" s="180"/>
      <c r="K800" s="182" t="s">
        <v>363</v>
      </c>
      <c r="R800" s="163"/>
      <c r="S800" s="163"/>
    </row>
    <row r="801">
      <c r="A801" s="179">
        <f t="shared" si="4"/>
        <v>798</v>
      </c>
      <c r="B801" s="180"/>
      <c r="C801" s="180" t="s">
        <v>208</v>
      </c>
      <c r="D801" s="180" t="s">
        <v>208</v>
      </c>
      <c r="E801" s="180" t="s">
        <v>208</v>
      </c>
      <c r="F801" s="180" t="s">
        <v>208</v>
      </c>
      <c r="G801" s="180" t="s">
        <v>208</v>
      </c>
      <c r="H801" s="185"/>
      <c r="I801" s="181"/>
      <c r="J801" s="181"/>
      <c r="K801" s="182" t="s">
        <v>363</v>
      </c>
      <c r="R801" s="163"/>
      <c r="S801" s="163"/>
    </row>
    <row r="802">
      <c r="A802" s="179">
        <f t="shared" si="4"/>
        <v>799</v>
      </c>
      <c r="B802" s="180"/>
      <c r="C802" s="180" t="s">
        <v>208</v>
      </c>
      <c r="D802" s="180" t="s">
        <v>208</v>
      </c>
      <c r="E802" s="180" t="s">
        <v>208</v>
      </c>
      <c r="F802" s="180" t="s">
        <v>208</v>
      </c>
      <c r="G802" s="180" t="s">
        <v>208</v>
      </c>
      <c r="H802" s="181"/>
      <c r="I802" s="181"/>
      <c r="J802" s="180"/>
      <c r="K802" s="182" t="s">
        <v>363</v>
      </c>
      <c r="R802" s="163"/>
      <c r="S802" s="163"/>
    </row>
    <row r="803">
      <c r="A803" s="179">
        <f t="shared" si="4"/>
        <v>800</v>
      </c>
      <c r="B803" s="180"/>
      <c r="C803" s="180" t="s">
        <v>208</v>
      </c>
      <c r="D803" s="180" t="s">
        <v>208</v>
      </c>
      <c r="E803" s="180" t="s">
        <v>208</v>
      </c>
      <c r="F803" s="180" t="s">
        <v>208</v>
      </c>
      <c r="G803" s="180" t="s">
        <v>208</v>
      </c>
      <c r="H803" s="181"/>
      <c r="I803" s="181"/>
      <c r="J803" s="180"/>
      <c r="K803" s="182" t="s">
        <v>363</v>
      </c>
      <c r="R803" s="163"/>
      <c r="S803" s="163"/>
    </row>
    <row r="804">
      <c r="A804" s="179">
        <f t="shared" si="4"/>
        <v>801</v>
      </c>
      <c r="B804" s="180"/>
      <c r="C804" s="180" t="s">
        <v>208</v>
      </c>
      <c r="D804" s="180" t="s">
        <v>208</v>
      </c>
      <c r="E804" s="180" t="s">
        <v>208</v>
      </c>
      <c r="F804" s="180" t="s">
        <v>208</v>
      </c>
      <c r="G804" s="180" t="s">
        <v>208</v>
      </c>
      <c r="H804" s="181"/>
      <c r="I804" s="181"/>
      <c r="J804" s="181"/>
      <c r="K804" s="182" t="s">
        <v>363</v>
      </c>
      <c r="R804" s="163"/>
      <c r="S804" s="163"/>
    </row>
    <row r="805">
      <c r="A805" s="179">
        <f t="shared" si="4"/>
        <v>802</v>
      </c>
      <c r="B805" s="180"/>
      <c r="C805" s="180" t="s">
        <v>208</v>
      </c>
      <c r="D805" s="180" t="s">
        <v>208</v>
      </c>
      <c r="E805" s="180" t="s">
        <v>208</v>
      </c>
      <c r="F805" s="180" t="s">
        <v>208</v>
      </c>
      <c r="G805" s="180" t="s">
        <v>208</v>
      </c>
      <c r="H805" s="181"/>
      <c r="I805" s="181"/>
      <c r="J805" s="181"/>
      <c r="K805" s="182" t="s">
        <v>363</v>
      </c>
      <c r="R805" s="163"/>
      <c r="S805" s="163"/>
    </row>
    <row r="806">
      <c r="A806" s="179">
        <f t="shared" si="4"/>
        <v>803</v>
      </c>
      <c r="B806" s="180"/>
      <c r="C806" s="180"/>
      <c r="D806" s="180"/>
      <c r="E806" s="180"/>
      <c r="F806" s="180"/>
      <c r="G806" s="180"/>
      <c r="H806" s="181"/>
      <c r="I806" s="181"/>
      <c r="J806" s="180" t="s">
        <v>242</v>
      </c>
      <c r="K806" s="182" t="s">
        <v>363</v>
      </c>
      <c r="R806" s="173"/>
      <c r="S806" s="173"/>
    </row>
    <row r="807">
      <c r="A807" s="179">
        <f t="shared" si="4"/>
        <v>804</v>
      </c>
      <c r="B807" s="180"/>
      <c r="C807" s="180" t="s">
        <v>208</v>
      </c>
      <c r="D807" s="180" t="s">
        <v>208</v>
      </c>
      <c r="E807" s="180" t="s">
        <v>208</v>
      </c>
      <c r="F807" s="180" t="s">
        <v>208</v>
      </c>
      <c r="G807" s="180" t="s">
        <v>208</v>
      </c>
      <c r="H807" s="181"/>
      <c r="I807" s="181"/>
      <c r="J807" s="181"/>
      <c r="K807" s="182" t="s">
        <v>363</v>
      </c>
      <c r="R807" s="157"/>
      <c r="S807" s="157"/>
    </row>
    <row r="808">
      <c r="A808" s="179">
        <f t="shared" si="4"/>
        <v>805</v>
      </c>
      <c r="B808" s="180"/>
      <c r="C808" s="180" t="s">
        <v>208</v>
      </c>
      <c r="D808" s="180" t="s">
        <v>208</v>
      </c>
      <c r="E808" s="180"/>
      <c r="F808" s="180" t="s">
        <v>208</v>
      </c>
      <c r="G808" s="180" t="s">
        <v>208</v>
      </c>
      <c r="H808" s="181"/>
      <c r="I808" s="181"/>
      <c r="J808" s="181"/>
      <c r="K808" s="182" t="s">
        <v>363</v>
      </c>
      <c r="R808" s="163"/>
      <c r="S808" s="163"/>
    </row>
    <row r="809">
      <c r="A809" s="179">
        <f t="shared" si="4"/>
        <v>806</v>
      </c>
      <c r="B809" s="181"/>
      <c r="C809" s="180" t="s">
        <v>208</v>
      </c>
      <c r="D809" s="180" t="s">
        <v>208</v>
      </c>
      <c r="E809" s="180" t="s">
        <v>208</v>
      </c>
      <c r="F809" s="180" t="s">
        <v>208</v>
      </c>
      <c r="G809" s="180" t="s">
        <v>208</v>
      </c>
      <c r="H809" s="181"/>
      <c r="I809" s="181"/>
      <c r="J809" s="181"/>
      <c r="K809" s="182" t="s">
        <v>363</v>
      </c>
      <c r="R809" s="163"/>
      <c r="S809" s="163"/>
    </row>
    <row r="810">
      <c r="A810" s="179">
        <f t="shared" si="4"/>
        <v>807</v>
      </c>
      <c r="B810" s="181"/>
      <c r="C810" s="180" t="s">
        <v>208</v>
      </c>
      <c r="D810" s="180" t="s">
        <v>208</v>
      </c>
      <c r="E810" s="180" t="s">
        <v>208</v>
      </c>
      <c r="F810" s="180" t="s">
        <v>208</v>
      </c>
      <c r="G810" s="180" t="s">
        <v>208</v>
      </c>
      <c r="H810" s="181"/>
      <c r="I810" s="181"/>
      <c r="J810" s="181"/>
      <c r="K810" s="182" t="s">
        <v>363</v>
      </c>
      <c r="R810" s="163"/>
      <c r="S810" s="163"/>
    </row>
    <row r="811">
      <c r="A811" s="179">
        <f t="shared" si="4"/>
        <v>808</v>
      </c>
      <c r="B811" s="180"/>
      <c r="C811" s="180"/>
      <c r="D811" s="180" t="s">
        <v>208</v>
      </c>
      <c r="E811" s="180" t="s">
        <v>208</v>
      </c>
      <c r="F811" s="180" t="s">
        <v>208</v>
      </c>
      <c r="G811" s="180"/>
      <c r="H811" s="180" t="s">
        <v>208</v>
      </c>
      <c r="I811" s="181"/>
      <c r="J811" s="181"/>
      <c r="K811" s="182" t="s">
        <v>363</v>
      </c>
      <c r="R811" s="163"/>
      <c r="S811" s="163"/>
    </row>
    <row r="812">
      <c r="A812" s="179">
        <f t="shared" si="4"/>
        <v>809</v>
      </c>
      <c r="B812" s="180"/>
      <c r="C812" s="180"/>
      <c r="D812" s="180"/>
      <c r="E812" s="180"/>
      <c r="F812" s="180"/>
      <c r="G812" s="180"/>
      <c r="H812" s="181"/>
      <c r="I812" s="181"/>
      <c r="J812" s="180" t="s">
        <v>242</v>
      </c>
      <c r="K812" s="182" t="s">
        <v>363</v>
      </c>
      <c r="R812" s="163"/>
      <c r="S812" s="163"/>
    </row>
    <row r="813">
      <c r="A813" s="179">
        <f t="shared" si="4"/>
        <v>810</v>
      </c>
      <c r="B813" s="180"/>
      <c r="C813" s="180"/>
      <c r="D813" s="180"/>
      <c r="E813" s="180"/>
      <c r="F813" s="180"/>
      <c r="G813" s="180"/>
      <c r="H813" s="181"/>
      <c r="I813" s="181"/>
      <c r="J813" s="180" t="s">
        <v>242</v>
      </c>
      <c r="K813" s="182" t="s">
        <v>363</v>
      </c>
      <c r="R813" s="163"/>
      <c r="S813" s="163"/>
    </row>
    <row r="814">
      <c r="A814" s="179">
        <f t="shared" si="4"/>
        <v>811</v>
      </c>
      <c r="B814" s="180"/>
      <c r="C814" s="180" t="s">
        <v>208</v>
      </c>
      <c r="D814" s="180" t="s">
        <v>208</v>
      </c>
      <c r="E814" s="180" t="s">
        <v>208</v>
      </c>
      <c r="F814" s="180" t="s">
        <v>208</v>
      </c>
      <c r="G814" s="180" t="s">
        <v>208</v>
      </c>
      <c r="H814" s="181"/>
      <c r="I814" s="181"/>
      <c r="J814" s="181"/>
      <c r="K814" s="182" t="s">
        <v>363</v>
      </c>
      <c r="R814" s="163"/>
      <c r="S814" s="163"/>
    </row>
    <row r="815">
      <c r="A815" s="179">
        <f t="shared" si="4"/>
        <v>812</v>
      </c>
      <c r="B815" s="180"/>
      <c r="C815" s="180" t="s">
        <v>208</v>
      </c>
      <c r="D815" s="180" t="s">
        <v>208</v>
      </c>
      <c r="E815" s="180" t="s">
        <v>208</v>
      </c>
      <c r="F815" s="180" t="s">
        <v>208</v>
      </c>
      <c r="G815" s="180" t="s">
        <v>208</v>
      </c>
      <c r="H815" s="185"/>
      <c r="I815" s="181"/>
      <c r="J815" s="181"/>
      <c r="K815" s="182" t="s">
        <v>363</v>
      </c>
      <c r="R815" s="163"/>
      <c r="S815" s="163"/>
    </row>
    <row r="816">
      <c r="A816" s="179">
        <f t="shared" si="4"/>
        <v>813</v>
      </c>
      <c r="B816" s="181"/>
      <c r="C816" s="180" t="s">
        <v>208</v>
      </c>
      <c r="D816" s="180" t="s">
        <v>208</v>
      </c>
      <c r="E816" s="180" t="s">
        <v>208</v>
      </c>
      <c r="F816" s="180" t="s">
        <v>208</v>
      </c>
      <c r="G816" s="180" t="s">
        <v>208</v>
      </c>
      <c r="H816" s="181"/>
      <c r="I816" s="181"/>
      <c r="J816" s="181"/>
      <c r="K816" s="182" t="s">
        <v>363</v>
      </c>
      <c r="R816" s="163"/>
      <c r="S816" s="163"/>
    </row>
    <row r="817">
      <c r="A817" s="179">
        <f t="shared" si="4"/>
        <v>814</v>
      </c>
      <c r="B817" s="180"/>
      <c r="C817" s="180" t="s">
        <v>208</v>
      </c>
      <c r="D817" s="180" t="s">
        <v>208</v>
      </c>
      <c r="E817" s="180" t="s">
        <v>208</v>
      </c>
      <c r="F817" s="180" t="s">
        <v>208</v>
      </c>
      <c r="G817" s="180" t="s">
        <v>208</v>
      </c>
      <c r="H817" s="181"/>
      <c r="I817" s="181"/>
      <c r="J817" s="181"/>
      <c r="K817" s="182" t="s">
        <v>363</v>
      </c>
      <c r="R817" s="163"/>
      <c r="S817" s="163"/>
    </row>
    <row r="818">
      <c r="A818" s="179">
        <f t="shared" si="4"/>
        <v>815</v>
      </c>
      <c r="B818" s="180"/>
      <c r="C818" s="180" t="s">
        <v>208</v>
      </c>
      <c r="D818" s="180" t="s">
        <v>208</v>
      </c>
      <c r="E818" s="180" t="s">
        <v>208</v>
      </c>
      <c r="F818" s="180" t="s">
        <v>208</v>
      </c>
      <c r="G818" s="180" t="s">
        <v>208</v>
      </c>
      <c r="H818" s="181"/>
      <c r="I818" s="181"/>
      <c r="J818" s="181"/>
      <c r="K818" s="182" t="s">
        <v>363</v>
      </c>
      <c r="R818" s="173"/>
      <c r="S818" s="173"/>
    </row>
    <row r="819">
      <c r="A819" s="179">
        <f t="shared" si="4"/>
        <v>816</v>
      </c>
      <c r="B819" s="180"/>
      <c r="C819" s="180" t="s">
        <v>208</v>
      </c>
      <c r="D819" s="180" t="s">
        <v>208</v>
      </c>
      <c r="E819" s="180" t="s">
        <v>208</v>
      </c>
      <c r="F819" s="180" t="s">
        <v>208</v>
      </c>
      <c r="G819" s="180" t="s">
        <v>208</v>
      </c>
      <c r="H819" s="181"/>
      <c r="I819" s="181"/>
      <c r="J819" s="181"/>
      <c r="K819" s="182" t="s">
        <v>363</v>
      </c>
      <c r="R819" s="157"/>
      <c r="S819" s="157"/>
    </row>
    <row r="820">
      <c r="A820" s="179">
        <f t="shared" si="4"/>
        <v>817</v>
      </c>
      <c r="B820" s="180"/>
      <c r="C820" s="180" t="s">
        <v>208</v>
      </c>
      <c r="D820" s="180" t="s">
        <v>208</v>
      </c>
      <c r="E820" s="180" t="s">
        <v>208</v>
      </c>
      <c r="F820" s="180" t="s">
        <v>208</v>
      </c>
      <c r="G820" s="180" t="s">
        <v>208</v>
      </c>
      <c r="H820" s="181"/>
      <c r="I820" s="181"/>
      <c r="J820" s="181"/>
      <c r="K820" s="182" t="s">
        <v>363</v>
      </c>
      <c r="R820" s="163"/>
      <c r="S820" s="163"/>
    </row>
    <row r="821">
      <c r="A821" s="179">
        <f t="shared" si="4"/>
        <v>818</v>
      </c>
      <c r="B821" s="180"/>
      <c r="C821" s="180" t="s">
        <v>208</v>
      </c>
      <c r="D821" s="180" t="s">
        <v>208</v>
      </c>
      <c r="E821" s="180" t="s">
        <v>208</v>
      </c>
      <c r="F821" s="180" t="s">
        <v>208</v>
      </c>
      <c r="G821" s="180" t="s">
        <v>208</v>
      </c>
      <c r="H821" s="181"/>
      <c r="I821" s="181"/>
      <c r="J821" s="181"/>
      <c r="K821" s="182" t="s">
        <v>363</v>
      </c>
      <c r="R821" s="163"/>
      <c r="S821" s="163"/>
    </row>
    <row r="822">
      <c r="A822" s="179">
        <f t="shared" si="4"/>
        <v>819</v>
      </c>
      <c r="B822" s="180"/>
      <c r="C822" s="180" t="s">
        <v>208</v>
      </c>
      <c r="D822" s="180" t="s">
        <v>208</v>
      </c>
      <c r="E822" s="180" t="s">
        <v>208</v>
      </c>
      <c r="F822" s="180" t="s">
        <v>208</v>
      </c>
      <c r="G822" s="180" t="s">
        <v>208</v>
      </c>
      <c r="H822" s="181"/>
      <c r="I822" s="181"/>
      <c r="J822" s="181"/>
      <c r="K822" s="182" t="s">
        <v>363</v>
      </c>
      <c r="R822" s="163"/>
      <c r="S822" s="163"/>
    </row>
    <row r="823">
      <c r="A823" s="179">
        <f t="shared" si="4"/>
        <v>820</v>
      </c>
      <c r="B823" s="180"/>
      <c r="C823" s="180" t="s">
        <v>208</v>
      </c>
      <c r="D823" s="180" t="s">
        <v>208</v>
      </c>
      <c r="E823" s="180" t="s">
        <v>208</v>
      </c>
      <c r="F823" s="180" t="s">
        <v>208</v>
      </c>
      <c r="G823" s="180" t="s">
        <v>208</v>
      </c>
      <c r="H823" s="181"/>
      <c r="I823" s="181"/>
      <c r="J823" s="181"/>
      <c r="K823" s="182" t="s">
        <v>363</v>
      </c>
      <c r="R823" s="163"/>
      <c r="S823" s="163"/>
    </row>
    <row r="824">
      <c r="A824" s="179">
        <f t="shared" si="4"/>
        <v>821</v>
      </c>
      <c r="B824" s="180"/>
      <c r="C824" s="180" t="s">
        <v>208</v>
      </c>
      <c r="D824" s="180" t="s">
        <v>208</v>
      </c>
      <c r="E824" s="180" t="s">
        <v>208</v>
      </c>
      <c r="F824" s="180" t="s">
        <v>208</v>
      </c>
      <c r="G824" s="180" t="s">
        <v>208</v>
      </c>
      <c r="H824" s="181"/>
      <c r="I824" s="181"/>
      <c r="J824" s="181"/>
      <c r="K824" s="182" t="s">
        <v>363</v>
      </c>
      <c r="R824" s="163"/>
      <c r="S824" s="163"/>
    </row>
    <row r="825">
      <c r="A825" s="179">
        <f t="shared" si="4"/>
        <v>822</v>
      </c>
      <c r="B825" s="180"/>
      <c r="C825" s="180"/>
      <c r="D825" s="180" t="s">
        <v>208</v>
      </c>
      <c r="E825" s="180" t="s">
        <v>208</v>
      </c>
      <c r="F825" s="180" t="s">
        <v>208</v>
      </c>
      <c r="G825" s="180"/>
      <c r="H825" s="180" t="s">
        <v>208</v>
      </c>
      <c r="I825" s="181"/>
      <c r="J825" s="180"/>
      <c r="K825" s="182" t="s">
        <v>363</v>
      </c>
      <c r="R825" s="163"/>
      <c r="S825" s="163"/>
    </row>
    <row r="826">
      <c r="A826" s="179">
        <f t="shared" si="4"/>
        <v>823</v>
      </c>
      <c r="B826" s="180"/>
      <c r="C826" s="180"/>
      <c r="D826" s="180" t="s">
        <v>208</v>
      </c>
      <c r="E826" s="180"/>
      <c r="F826" s="180" t="s">
        <v>208</v>
      </c>
      <c r="G826" s="180"/>
      <c r="H826" s="180" t="s">
        <v>208</v>
      </c>
      <c r="I826" s="181"/>
      <c r="J826" s="181"/>
      <c r="K826" s="182" t="s">
        <v>363</v>
      </c>
      <c r="R826" s="163"/>
      <c r="S826" s="163"/>
    </row>
    <row r="827">
      <c r="A827" s="179">
        <f t="shared" si="4"/>
        <v>824</v>
      </c>
      <c r="B827" s="180"/>
      <c r="C827" s="180" t="s">
        <v>208</v>
      </c>
      <c r="D827" s="180" t="s">
        <v>208</v>
      </c>
      <c r="E827" s="180" t="s">
        <v>208</v>
      </c>
      <c r="F827" s="180" t="s">
        <v>208</v>
      </c>
      <c r="G827" s="180" t="s">
        <v>208</v>
      </c>
      <c r="H827" s="181"/>
      <c r="I827" s="181"/>
      <c r="J827" s="181"/>
      <c r="K827" s="182" t="s">
        <v>363</v>
      </c>
      <c r="R827" s="163"/>
      <c r="S827" s="163"/>
    </row>
    <row r="828">
      <c r="A828" s="179">
        <f t="shared" si="4"/>
        <v>825</v>
      </c>
      <c r="B828" s="180"/>
      <c r="C828" s="180" t="s">
        <v>208</v>
      </c>
      <c r="D828" s="180" t="s">
        <v>208</v>
      </c>
      <c r="E828" s="180" t="s">
        <v>208</v>
      </c>
      <c r="F828" s="180" t="s">
        <v>208</v>
      </c>
      <c r="G828" s="180" t="s">
        <v>208</v>
      </c>
      <c r="H828" s="181"/>
      <c r="I828" s="181"/>
      <c r="J828" s="181"/>
      <c r="K828" s="182" t="s">
        <v>363</v>
      </c>
      <c r="R828" s="163"/>
      <c r="S828" s="163"/>
    </row>
    <row r="829">
      <c r="A829" s="179">
        <f t="shared" si="4"/>
        <v>826</v>
      </c>
      <c r="B829" s="180"/>
      <c r="C829" s="180" t="s">
        <v>208</v>
      </c>
      <c r="D829" s="180" t="s">
        <v>243</v>
      </c>
      <c r="E829" s="180" t="s">
        <v>208</v>
      </c>
      <c r="F829" s="180" t="s">
        <v>208</v>
      </c>
      <c r="G829" s="180" t="s">
        <v>208</v>
      </c>
      <c r="H829" s="181"/>
      <c r="I829" s="181"/>
      <c r="J829" s="181"/>
      <c r="K829" s="182" t="s">
        <v>363</v>
      </c>
      <c r="R829" s="163"/>
      <c r="S829" s="163"/>
    </row>
    <row r="830">
      <c r="A830" s="179">
        <f t="shared" si="4"/>
        <v>827</v>
      </c>
      <c r="B830" s="180"/>
      <c r="C830" s="180" t="s">
        <v>208</v>
      </c>
      <c r="D830" s="180" t="s">
        <v>208</v>
      </c>
      <c r="E830" s="180" t="s">
        <v>208</v>
      </c>
      <c r="F830" s="180" t="s">
        <v>208</v>
      </c>
      <c r="G830" s="180" t="s">
        <v>208</v>
      </c>
      <c r="H830" s="181"/>
      <c r="I830" s="181"/>
      <c r="J830" s="181"/>
      <c r="K830" s="182" t="s">
        <v>363</v>
      </c>
      <c r="R830" s="173"/>
      <c r="S830" s="173"/>
    </row>
    <row r="831">
      <c r="A831" s="179">
        <f t="shared" si="4"/>
        <v>828</v>
      </c>
      <c r="B831" s="180"/>
      <c r="C831" s="180" t="s">
        <v>208</v>
      </c>
      <c r="D831" s="180" t="s">
        <v>243</v>
      </c>
      <c r="E831" s="180" t="s">
        <v>208</v>
      </c>
      <c r="F831" s="180" t="s">
        <v>208</v>
      </c>
      <c r="G831" s="180" t="s">
        <v>208</v>
      </c>
      <c r="H831" s="181"/>
      <c r="I831" s="181"/>
      <c r="J831" s="181"/>
      <c r="K831" s="182" t="s">
        <v>363</v>
      </c>
      <c r="R831" s="157"/>
      <c r="S831" s="157"/>
    </row>
    <row r="832">
      <c r="A832" s="179">
        <f t="shared" si="4"/>
        <v>829</v>
      </c>
      <c r="B832" s="180"/>
      <c r="C832" s="180" t="s">
        <v>208</v>
      </c>
      <c r="D832" s="180" t="s">
        <v>208</v>
      </c>
      <c r="E832" s="180" t="s">
        <v>208</v>
      </c>
      <c r="F832" s="180" t="s">
        <v>208</v>
      </c>
      <c r="G832" s="180" t="s">
        <v>208</v>
      </c>
      <c r="H832" s="181"/>
      <c r="I832" s="181"/>
      <c r="J832" s="181"/>
      <c r="K832" s="182" t="s">
        <v>363</v>
      </c>
      <c r="R832" s="163"/>
      <c r="S832" s="163"/>
    </row>
    <row r="833">
      <c r="A833" s="179">
        <f t="shared" si="4"/>
        <v>830</v>
      </c>
      <c r="B833" s="180"/>
      <c r="C833" s="180" t="s">
        <v>208</v>
      </c>
      <c r="D833" s="180" t="s">
        <v>208</v>
      </c>
      <c r="E833" s="180" t="s">
        <v>208</v>
      </c>
      <c r="F833" s="180" t="s">
        <v>208</v>
      </c>
      <c r="G833" s="180" t="s">
        <v>208</v>
      </c>
      <c r="H833" s="181"/>
      <c r="I833" s="181"/>
      <c r="J833" s="181"/>
      <c r="K833" s="182" t="s">
        <v>363</v>
      </c>
      <c r="R833" s="163"/>
      <c r="S833" s="163"/>
    </row>
    <row r="834">
      <c r="A834" s="179">
        <f t="shared" si="4"/>
        <v>831</v>
      </c>
      <c r="B834" s="180"/>
      <c r="C834" s="180"/>
      <c r="D834" s="180"/>
      <c r="E834" s="180"/>
      <c r="F834" s="180"/>
      <c r="G834" s="180"/>
      <c r="H834" s="181"/>
      <c r="I834" s="181"/>
      <c r="J834" s="180" t="s">
        <v>242</v>
      </c>
      <c r="K834" s="182" t="s">
        <v>363</v>
      </c>
      <c r="R834" s="163"/>
      <c r="S834" s="163"/>
    </row>
    <row r="835">
      <c r="A835" s="179">
        <f t="shared" si="4"/>
        <v>832</v>
      </c>
      <c r="B835" s="180"/>
      <c r="C835" s="180" t="s">
        <v>208</v>
      </c>
      <c r="D835" s="180" t="s">
        <v>208</v>
      </c>
      <c r="E835" s="180" t="s">
        <v>208</v>
      </c>
      <c r="F835" s="180" t="s">
        <v>208</v>
      </c>
      <c r="G835" s="180" t="s">
        <v>208</v>
      </c>
      <c r="H835" s="181"/>
      <c r="I835" s="181"/>
      <c r="J835" s="181"/>
      <c r="K835" s="182" t="s">
        <v>363</v>
      </c>
      <c r="R835" s="163"/>
      <c r="S835" s="163"/>
    </row>
    <row r="836">
      <c r="A836" s="179">
        <f t="shared" si="4"/>
        <v>833</v>
      </c>
      <c r="B836" s="181"/>
      <c r="C836" s="180" t="s">
        <v>208</v>
      </c>
      <c r="D836" s="180" t="s">
        <v>208</v>
      </c>
      <c r="E836" s="180" t="s">
        <v>208</v>
      </c>
      <c r="F836" s="180" t="s">
        <v>208</v>
      </c>
      <c r="G836" s="180" t="s">
        <v>208</v>
      </c>
      <c r="H836" s="180"/>
      <c r="I836" s="181"/>
      <c r="J836" s="181"/>
      <c r="K836" s="182" t="s">
        <v>363</v>
      </c>
      <c r="R836" s="163"/>
      <c r="S836" s="163"/>
    </row>
    <row r="837">
      <c r="A837" s="179">
        <f t="shared" si="4"/>
        <v>834</v>
      </c>
      <c r="B837" s="180"/>
      <c r="C837" s="180" t="s">
        <v>208</v>
      </c>
      <c r="D837" s="180" t="s">
        <v>208</v>
      </c>
      <c r="E837" s="180" t="s">
        <v>208</v>
      </c>
      <c r="F837" s="180" t="s">
        <v>208</v>
      </c>
      <c r="G837" s="180" t="s">
        <v>208</v>
      </c>
      <c r="H837" s="181"/>
      <c r="I837" s="181"/>
      <c r="J837" s="181"/>
      <c r="K837" s="182" t="s">
        <v>363</v>
      </c>
      <c r="R837" s="163"/>
      <c r="S837" s="163"/>
    </row>
    <row r="838">
      <c r="A838" s="179">
        <f t="shared" si="4"/>
        <v>835</v>
      </c>
      <c r="B838" s="180"/>
      <c r="C838" s="180" t="s">
        <v>208</v>
      </c>
      <c r="D838" s="180" t="s">
        <v>243</v>
      </c>
      <c r="E838" s="180" t="s">
        <v>208</v>
      </c>
      <c r="F838" s="180" t="s">
        <v>208</v>
      </c>
      <c r="G838" s="180" t="s">
        <v>208</v>
      </c>
      <c r="H838" s="181"/>
      <c r="I838" s="181"/>
      <c r="J838" s="181"/>
      <c r="K838" s="182" t="s">
        <v>363</v>
      </c>
      <c r="R838" s="163"/>
      <c r="S838" s="163"/>
    </row>
    <row r="839">
      <c r="A839" s="179">
        <f t="shared" si="4"/>
        <v>836</v>
      </c>
      <c r="B839" s="180"/>
      <c r="C839" s="180"/>
      <c r="D839" s="180"/>
      <c r="E839" s="180"/>
      <c r="F839" s="180"/>
      <c r="G839" s="180"/>
      <c r="H839" s="181"/>
      <c r="I839" s="181"/>
      <c r="J839" s="180" t="s">
        <v>242</v>
      </c>
      <c r="K839" s="182" t="s">
        <v>363</v>
      </c>
      <c r="R839" s="163"/>
      <c r="S839" s="163"/>
    </row>
    <row r="840">
      <c r="A840" s="179">
        <f t="shared" si="4"/>
        <v>837</v>
      </c>
      <c r="B840" s="180"/>
      <c r="C840" s="180"/>
      <c r="D840" s="180"/>
      <c r="E840" s="180"/>
      <c r="F840" s="180"/>
      <c r="G840" s="180"/>
      <c r="H840" s="181"/>
      <c r="I840" s="181"/>
      <c r="J840" s="180" t="s">
        <v>242</v>
      </c>
      <c r="K840" s="182" t="s">
        <v>363</v>
      </c>
      <c r="R840" s="163"/>
      <c r="S840" s="163"/>
    </row>
    <row r="841">
      <c r="A841" s="179">
        <f t="shared" si="4"/>
        <v>838</v>
      </c>
      <c r="B841" s="181"/>
      <c r="C841" s="180" t="s">
        <v>208</v>
      </c>
      <c r="D841" s="180" t="s">
        <v>208</v>
      </c>
      <c r="E841" s="180" t="s">
        <v>208</v>
      </c>
      <c r="F841" s="180" t="s">
        <v>208</v>
      </c>
      <c r="G841" s="180" t="s">
        <v>208</v>
      </c>
      <c r="H841" s="180"/>
      <c r="I841" s="181"/>
      <c r="J841" s="181"/>
      <c r="K841" s="182" t="s">
        <v>363</v>
      </c>
      <c r="R841" s="163"/>
      <c r="S841" s="163"/>
    </row>
    <row r="842">
      <c r="A842" s="179">
        <f t="shared" si="4"/>
        <v>839</v>
      </c>
      <c r="B842" s="180"/>
      <c r="C842" s="180" t="s">
        <v>208</v>
      </c>
      <c r="D842" s="180" t="s">
        <v>243</v>
      </c>
      <c r="E842" s="180" t="s">
        <v>208</v>
      </c>
      <c r="F842" s="180" t="s">
        <v>208</v>
      </c>
      <c r="G842" s="180" t="s">
        <v>208</v>
      </c>
      <c r="H842" s="181"/>
      <c r="I842" s="181"/>
      <c r="J842" s="181"/>
      <c r="K842" s="182" t="s">
        <v>363</v>
      </c>
      <c r="R842" s="173"/>
      <c r="S842" s="173"/>
    </row>
    <row r="843">
      <c r="A843" s="179">
        <f t="shared" si="4"/>
        <v>840</v>
      </c>
      <c r="B843" s="181"/>
      <c r="C843" s="180" t="s">
        <v>208</v>
      </c>
      <c r="D843" s="180" t="s">
        <v>208</v>
      </c>
      <c r="E843" s="180" t="s">
        <v>208</v>
      </c>
      <c r="F843" s="180" t="s">
        <v>208</v>
      </c>
      <c r="G843" s="180" t="s">
        <v>208</v>
      </c>
      <c r="H843" s="181"/>
      <c r="I843" s="181"/>
      <c r="J843" s="181"/>
      <c r="K843" s="182" t="s">
        <v>363</v>
      </c>
      <c r="R843" s="157"/>
      <c r="S843" s="157"/>
    </row>
    <row r="844">
      <c r="A844" s="179">
        <f t="shared" si="4"/>
        <v>841</v>
      </c>
      <c r="B844" s="180"/>
      <c r="C844" s="180" t="s">
        <v>208</v>
      </c>
      <c r="D844" s="180" t="s">
        <v>208</v>
      </c>
      <c r="E844" s="180" t="s">
        <v>208</v>
      </c>
      <c r="F844" s="180" t="s">
        <v>208</v>
      </c>
      <c r="G844" s="180" t="s">
        <v>208</v>
      </c>
      <c r="H844" s="181"/>
      <c r="I844" s="181"/>
      <c r="J844" s="180"/>
      <c r="K844" s="182" t="s">
        <v>363</v>
      </c>
      <c r="R844" s="163"/>
      <c r="S844" s="163"/>
    </row>
    <row r="845">
      <c r="A845" s="179">
        <f t="shared" si="4"/>
        <v>842</v>
      </c>
      <c r="B845" s="180"/>
      <c r="C845" s="180" t="s">
        <v>208</v>
      </c>
      <c r="D845" s="180" t="s">
        <v>208</v>
      </c>
      <c r="E845" s="180" t="s">
        <v>208</v>
      </c>
      <c r="F845" s="180" t="s">
        <v>208</v>
      </c>
      <c r="G845" s="180" t="s">
        <v>208</v>
      </c>
      <c r="H845" s="181"/>
      <c r="I845" s="181"/>
      <c r="J845" s="181"/>
      <c r="K845" s="182" t="s">
        <v>363</v>
      </c>
      <c r="R845" s="163"/>
      <c r="S845" s="163"/>
    </row>
    <row r="846">
      <c r="A846" s="179">
        <f t="shared" si="4"/>
        <v>843</v>
      </c>
      <c r="B846" s="180"/>
      <c r="C846" s="180" t="s">
        <v>208</v>
      </c>
      <c r="D846" s="180" t="s">
        <v>208</v>
      </c>
      <c r="E846" s="180" t="s">
        <v>208</v>
      </c>
      <c r="F846" s="180" t="s">
        <v>208</v>
      </c>
      <c r="G846" s="180" t="s">
        <v>208</v>
      </c>
      <c r="H846" s="185"/>
      <c r="I846" s="181"/>
      <c r="J846" s="180"/>
      <c r="K846" s="182" t="s">
        <v>363</v>
      </c>
      <c r="R846" s="163"/>
      <c r="S846" s="163"/>
    </row>
    <row r="847">
      <c r="A847" s="179">
        <f t="shared" si="4"/>
        <v>844</v>
      </c>
      <c r="B847" s="180"/>
      <c r="C847" s="180" t="s">
        <v>208</v>
      </c>
      <c r="D847" s="180" t="s">
        <v>208</v>
      </c>
      <c r="E847" s="180" t="s">
        <v>208</v>
      </c>
      <c r="F847" s="180" t="s">
        <v>208</v>
      </c>
      <c r="G847" s="180" t="s">
        <v>208</v>
      </c>
      <c r="H847" s="181"/>
      <c r="I847" s="181"/>
      <c r="J847" s="180"/>
      <c r="K847" s="182" t="s">
        <v>363</v>
      </c>
      <c r="R847" s="163"/>
      <c r="S847" s="163"/>
    </row>
    <row r="848">
      <c r="A848" s="179">
        <f t="shared" si="4"/>
        <v>845</v>
      </c>
      <c r="B848" s="180"/>
      <c r="C848" s="180" t="s">
        <v>208</v>
      </c>
      <c r="D848" s="180" t="s">
        <v>208</v>
      </c>
      <c r="E848" s="180" t="s">
        <v>208</v>
      </c>
      <c r="F848" s="180" t="s">
        <v>208</v>
      </c>
      <c r="G848" s="180" t="s">
        <v>208</v>
      </c>
      <c r="H848" s="181"/>
      <c r="I848" s="181"/>
      <c r="J848" s="181"/>
      <c r="K848" s="182" t="s">
        <v>363</v>
      </c>
      <c r="R848" s="163"/>
      <c r="S848" s="163"/>
    </row>
    <row r="849">
      <c r="A849" s="179">
        <f t="shared" si="4"/>
        <v>846</v>
      </c>
      <c r="B849" s="180"/>
      <c r="C849" s="180" t="s">
        <v>208</v>
      </c>
      <c r="D849" s="180" t="s">
        <v>208</v>
      </c>
      <c r="E849" s="180" t="s">
        <v>208</v>
      </c>
      <c r="F849" s="180" t="s">
        <v>208</v>
      </c>
      <c r="G849" s="180" t="s">
        <v>208</v>
      </c>
      <c r="H849" s="180"/>
      <c r="I849" s="181"/>
      <c r="J849" s="181"/>
      <c r="K849" s="182" t="s">
        <v>363</v>
      </c>
      <c r="R849" s="163"/>
      <c r="S849" s="163"/>
    </row>
    <row r="850">
      <c r="A850" s="179">
        <f t="shared" si="4"/>
        <v>847</v>
      </c>
      <c r="B850" s="180"/>
      <c r="C850" s="180" t="s">
        <v>208</v>
      </c>
      <c r="D850" s="180" t="s">
        <v>208</v>
      </c>
      <c r="E850" s="180" t="s">
        <v>208</v>
      </c>
      <c r="F850" s="180" t="s">
        <v>208</v>
      </c>
      <c r="G850" s="180" t="s">
        <v>208</v>
      </c>
      <c r="H850" s="181"/>
      <c r="I850" s="181"/>
      <c r="J850" s="181"/>
      <c r="K850" s="182" t="s">
        <v>363</v>
      </c>
      <c r="R850" s="163"/>
      <c r="S850" s="163"/>
    </row>
    <row r="851">
      <c r="A851" s="179">
        <f t="shared" si="4"/>
        <v>848</v>
      </c>
      <c r="B851" s="180"/>
      <c r="C851" s="180" t="s">
        <v>208</v>
      </c>
      <c r="D851" s="180" t="s">
        <v>208</v>
      </c>
      <c r="E851" s="180" t="s">
        <v>208</v>
      </c>
      <c r="F851" s="180" t="s">
        <v>208</v>
      </c>
      <c r="G851" s="180" t="s">
        <v>208</v>
      </c>
      <c r="H851" s="181"/>
      <c r="I851" s="181"/>
      <c r="J851" s="181"/>
      <c r="K851" s="182" t="s">
        <v>363</v>
      </c>
      <c r="R851" s="163"/>
      <c r="S851" s="163"/>
    </row>
    <row r="852">
      <c r="A852" s="179">
        <f t="shared" si="4"/>
        <v>849</v>
      </c>
      <c r="B852" s="180"/>
      <c r="C852" s="180"/>
      <c r="D852" s="180" t="s">
        <v>208</v>
      </c>
      <c r="E852" s="180" t="s">
        <v>208</v>
      </c>
      <c r="F852" s="180" t="s">
        <v>208</v>
      </c>
      <c r="G852" s="180"/>
      <c r="H852" s="180" t="s">
        <v>208</v>
      </c>
      <c r="I852" s="181"/>
      <c r="J852" s="181"/>
      <c r="K852" s="182" t="s">
        <v>363</v>
      </c>
      <c r="R852" s="163"/>
      <c r="S852" s="163"/>
    </row>
    <row r="853">
      <c r="A853" s="179">
        <f t="shared" si="4"/>
        <v>850</v>
      </c>
      <c r="B853" s="180"/>
      <c r="C853" s="180" t="s">
        <v>208</v>
      </c>
      <c r="D853" s="180" t="s">
        <v>208</v>
      </c>
      <c r="E853" s="180" t="s">
        <v>208</v>
      </c>
      <c r="F853" s="180" t="s">
        <v>208</v>
      </c>
      <c r="G853" s="180" t="s">
        <v>208</v>
      </c>
      <c r="H853" s="181"/>
      <c r="I853" s="181"/>
      <c r="J853" s="181"/>
      <c r="K853" s="182" t="s">
        <v>363</v>
      </c>
      <c r="R853" s="163"/>
      <c r="S853" s="163"/>
    </row>
    <row r="854">
      <c r="A854" s="179">
        <f t="shared" si="4"/>
        <v>851</v>
      </c>
      <c r="B854" s="181"/>
      <c r="C854" s="180" t="s">
        <v>208</v>
      </c>
      <c r="D854" s="180" t="s">
        <v>208</v>
      </c>
      <c r="E854" s="180" t="s">
        <v>208</v>
      </c>
      <c r="F854" s="180" t="s">
        <v>208</v>
      </c>
      <c r="G854" s="180" t="s">
        <v>208</v>
      </c>
      <c r="H854" s="181"/>
      <c r="I854" s="181"/>
      <c r="J854" s="181"/>
      <c r="K854" s="182" t="s">
        <v>363</v>
      </c>
      <c r="R854" s="173"/>
      <c r="S854" s="173"/>
    </row>
    <row r="855">
      <c r="A855" s="179">
        <f t="shared" si="4"/>
        <v>852</v>
      </c>
      <c r="B855" s="180"/>
      <c r="C855" s="180" t="s">
        <v>208</v>
      </c>
      <c r="D855" s="180" t="s">
        <v>208</v>
      </c>
      <c r="E855" s="180" t="s">
        <v>208</v>
      </c>
      <c r="F855" s="180" t="s">
        <v>208</v>
      </c>
      <c r="G855" s="180" t="s">
        <v>208</v>
      </c>
      <c r="H855" s="181"/>
      <c r="I855" s="181"/>
      <c r="J855" s="181"/>
      <c r="K855" s="182" t="s">
        <v>363</v>
      </c>
      <c r="R855" s="157"/>
      <c r="S855" s="157"/>
    </row>
    <row r="856">
      <c r="A856" s="179">
        <f t="shared" si="4"/>
        <v>853</v>
      </c>
      <c r="B856" s="180"/>
      <c r="C856" s="180" t="s">
        <v>208</v>
      </c>
      <c r="D856" s="180" t="s">
        <v>208</v>
      </c>
      <c r="E856" s="180" t="s">
        <v>208</v>
      </c>
      <c r="F856" s="180" t="s">
        <v>208</v>
      </c>
      <c r="G856" s="180" t="s">
        <v>208</v>
      </c>
      <c r="H856" s="181"/>
      <c r="I856" s="181"/>
      <c r="J856" s="181"/>
      <c r="K856" s="182" t="s">
        <v>363</v>
      </c>
      <c r="R856" s="163"/>
      <c r="S856" s="163"/>
    </row>
    <row r="857">
      <c r="A857" s="179">
        <f t="shared" si="4"/>
        <v>854</v>
      </c>
      <c r="B857" s="180"/>
      <c r="C857" s="180" t="s">
        <v>208</v>
      </c>
      <c r="D857" s="180" t="s">
        <v>208</v>
      </c>
      <c r="E857" s="180" t="s">
        <v>208</v>
      </c>
      <c r="F857" s="180" t="s">
        <v>208</v>
      </c>
      <c r="G857" s="180" t="s">
        <v>208</v>
      </c>
      <c r="H857" s="181"/>
      <c r="I857" s="181"/>
      <c r="J857" s="181"/>
      <c r="K857" s="182" t="s">
        <v>363</v>
      </c>
      <c r="R857" s="163"/>
      <c r="S857" s="163"/>
    </row>
    <row r="858">
      <c r="A858" s="179">
        <f t="shared" si="4"/>
        <v>855</v>
      </c>
      <c r="B858" s="180"/>
      <c r="C858" s="180"/>
      <c r="D858" s="180"/>
      <c r="E858" s="180"/>
      <c r="F858" s="180"/>
      <c r="G858" s="180"/>
      <c r="H858" s="181"/>
      <c r="I858" s="181"/>
      <c r="J858" s="180" t="s">
        <v>242</v>
      </c>
      <c r="K858" s="182" t="s">
        <v>363</v>
      </c>
      <c r="R858" s="163"/>
      <c r="S858" s="163"/>
    </row>
    <row r="859">
      <c r="A859" s="179">
        <f t="shared" si="4"/>
        <v>856</v>
      </c>
      <c r="B859" s="180"/>
      <c r="C859" s="180" t="s">
        <v>208</v>
      </c>
      <c r="D859" s="180" t="s">
        <v>208</v>
      </c>
      <c r="E859" s="180" t="s">
        <v>208</v>
      </c>
      <c r="F859" s="180" t="s">
        <v>208</v>
      </c>
      <c r="G859" s="180" t="s">
        <v>208</v>
      </c>
      <c r="H859" s="180"/>
      <c r="I859" s="181"/>
      <c r="J859" s="181"/>
      <c r="K859" s="182" t="s">
        <v>363</v>
      </c>
      <c r="R859" s="163"/>
      <c r="S859" s="163"/>
    </row>
    <row r="860">
      <c r="A860" s="179">
        <f t="shared" si="4"/>
        <v>857</v>
      </c>
      <c r="B860" s="180"/>
      <c r="C860" s="180" t="s">
        <v>208</v>
      </c>
      <c r="D860" s="180" t="s">
        <v>208</v>
      </c>
      <c r="E860" s="180" t="s">
        <v>208</v>
      </c>
      <c r="F860" s="180" t="s">
        <v>208</v>
      </c>
      <c r="G860" s="180" t="s">
        <v>208</v>
      </c>
      <c r="H860" s="181"/>
      <c r="I860" s="181"/>
      <c r="J860" s="181"/>
      <c r="K860" s="182" t="s">
        <v>363</v>
      </c>
      <c r="R860" s="163"/>
      <c r="S860" s="163"/>
    </row>
    <row r="861">
      <c r="A861" s="179">
        <f t="shared" si="4"/>
        <v>858</v>
      </c>
      <c r="B861" s="180"/>
      <c r="C861" s="180" t="s">
        <v>208</v>
      </c>
      <c r="D861" s="180" t="s">
        <v>208</v>
      </c>
      <c r="E861" s="180" t="s">
        <v>208</v>
      </c>
      <c r="F861" s="180" t="s">
        <v>208</v>
      </c>
      <c r="G861" s="180" t="s">
        <v>208</v>
      </c>
      <c r="H861" s="181"/>
      <c r="I861" s="181"/>
      <c r="J861" s="180"/>
      <c r="K861" s="182" t="s">
        <v>363</v>
      </c>
      <c r="R861" s="163"/>
      <c r="S861" s="163"/>
    </row>
    <row r="862">
      <c r="A862" s="179">
        <f t="shared" si="4"/>
        <v>859</v>
      </c>
      <c r="B862" s="180"/>
      <c r="C862" s="180" t="s">
        <v>208</v>
      </c>
      <c r="D862" s="180" t="s">
        <v>208</v>
      </c>
      <c r="E862" s="180" t="s">
        <v>208</v>
      </c>
      <c r="F862" s="180" t="s">
        <v>208</v>
      </c>
      <c r="G862" s="180" t="s">
        <v>208</v>
      </c>
      <c r="H862" s="180"/>
      <c r="I862" s="181"/>
      <c r="J862" s="180"/>
      <c r="K862" s="182" t="s">
        <v>363</v>
      </c>
      <c r="R862" s="163"/>
      <c r="S862" s="163"/>
    </row>
    <row r="863">
      <c r="A863" s="179">
        <f t="shared" si="4"/>
        <v>860</v>
      </c>
      <c r="B863" s="180"/>
      <c r="C863" s="180" t="s">
        <v>208</v>
      </c>
      <c r="D863" s="180" t="s">
        <v>208</v>
      </c>
      <c r="E863" s="180" t="s">
        <v>208</v>
      </c>
      <c r="F863" s="180" t="s">
        <v>208</v>
      </c>
      <c r="G863" s="180" t="s">
        <v>208</v>
      </c>
      <c r="H863" s="185"/>
      <c r="I863" s="181"/>
      <c r="J863" s="180"/>
      <c r="K863" s="182" t="s">
        <v>363</v>
      </c>
      <c r="R863" s="163"/>
      <c r="S863" s="163"/>
    </row>
    <row r="864">
      <c r="A864" s="179">
        <f t="shared" si="4"/>
        <v>861</v>
      </c>
      <c r="B864" s="180"/>
      <c r="C864" s="180" t="s">
        <v>208</v>
      </c>
      <c r="D864" s="180" t="s">
        <v>208</v>
      </c>
      <c r="E864" s="180" t="s">
        <v>208</v>
      </c>
      <c r="F864" s="180" t="s">
        <v>208</v>
      </c>
      <c r="G864" s="180" t="s">
        <v>208</v>
      </c>
      <c r="H864" s="180"/>
      <c r="I864" s="181"/>
      <c r="J864" s="181"/>
      <c r="K864" s="182" t="s">
        <v>363</v>
      </c>
      <c r="R864" s="163"/>
      <c r="S864" s="163"/>
    </row>
    <row r="865">
      <c r="A865" s="179">
        <f t="shared" si="4"/>
        <v>862</v>
      </c>
      <c r="B865" s="180"/>
      <c r="C865" s="180" t="s">
        <v>208</v>
      </c>
      <c r="D865" s="180" t="s">
        <v>208</v>
      </c>
      <c r="E865" s="180" t="s">
        <v>208</v>
      </c>
      <c r="F865" s="180" t="s">
        <v>208</v>
      </c>
      <c r="G865" s="180" t="s">
        <v>208</v>
      </c>
      <c r="H865" s="181"/>
      <c r="I865" s="181"/>
      <c r="J865" s="181"/>
      <c r="K865" s="182" t="s">
        <v>363</v>
      </c>
      <c r="R865" s="163"/>
      <c r="S865" s="163"/>
    </row>
    <row r="866">
      <c r="A866" s="179">
        <f t="shared" si="4"/>
        <v>863</v>
      </c>
      <c r="B866" s="180"/>
      <c r="C866" s="180" t="s">
        <v>208</v>
      </c>
      <c r="D866" s="180" t="s">
        <v>208</v>
      </c>
      <c r="E866" s="180" t="s">
        <v>208</v>
      </c>
      <c r="F866" s="180" t="s">
        <v>208</v>
      </c>
      <c r="G866" s="180" t="s">
        <v>208</v>
      </c>
      <c r="H866" s="181"/>
      <c r="I866" s="181"/>
      <c r="J866" s="181"/>
      <c r="K866" s="182" t="s">
        <v>363</v>
      </c>
      <c r="R866" s="173"/>
      <c r="S866" s="173"/>
    </row>
    <row r="867">
      <c r="A867" s="179">
        <f t="shared" si="4"/>
        <v>864</v>
      </c>
      <c r="B867" s="180"/>
      <c r="C867" s="180" t="s">
        <v>208</v>
      </c>
      <c r="D867" s="180" t="s">
        <v>208</v>
      </c>
      <c r="E867" s="180" t="s">
        <v>208</v>
      </c>
      <c r="F867" s="180" t="s">
        <v>208</v>
      </c>
      <c r="G867" s="180" t="s">
        <v>208</v>
      </c>
      <c r="H867" s="181"/>
      <c r="I867" s="181"/>
      <c r="J867" s="181"/>
      <c r="K867" s="182" t="s">
        <v>363</v>
      </c>
      <c r="R867" s="157"/>
      <c r="S867" s="157"/>
    </row>
    <row r="868">
      <c r="A868" s="179">
        <f t="shared" si="4"/>
        <v>865</v>
      </c>
      <c r="B868" s="180"/>
      <c r="C868" s="180" t="s">
        <v>208</v>
      </c>
      <c r="D868" s="180" t="s">
        <v>208</v>
      </c>
      <c r="E868" s="180" t="s">
        <v>208</v>
      </c>
      <c r="F868" s="180" t="s">
        <v>208</v>
      </c>
      <c r="G868" s="180" t="s">
        <v>208</v>
      </c>
      <c r="H868" s="181"/>
      <c r="I868" s="181"/>
      <c r="J868" s="181"/>
      <c r="K868" s="182" t="s">
        <v>363</v>
      </c>
      <c r="R868" s="163"/>
      <c r="S868" s="163"/>
    </row>
    <row r="869">
      <c r="A869" s="179">
        <f t="shared" si="4"/>
        <v>866</v>
      </c>
      <c r="B869" s="180"/>
      <c r="C869" s="180" t="s">
        <v>208</v>
      </c>
      <c r="D869" s="180" t="s">
        <v>208</v>
      </c>
      <c r="E869" s="180" t="s">
        <v>208</v>
      </c>
      <c r="F869" s="180" t="s">
        <v>208</v>
      </c>
      <c r="G869" s="180" t="s">
        <v>208</v>
      </c>
      <c r="H869" s="181"/>
      <c r="I869" s="181"/>
      <c r="J869" s="181"/>
      <c r="K869" s="182" t="s">
        <v>363</v>
      </c>
      <c r="R869" s="163"/>
      <c r="S869" s="163"/>
    </row>
    <row r="870">
      <c r="A870" s="179">
        <f t="shared" si="4"/>
        <v>867</v>
      </c>
      <c r="B870" s="180"/>
      <c r="C870" s="180" t="s">
        <v>208</v>
      </c>
      <c r="D870" s="180" t="s">
        <v>208</v>
      </c>
      <c r="E870" s="180" t="s">
        <v>208</v>
      </c>
      <c r="F870" s="180" t="s">
        <v>208</v>
      </c>
      <c r="G870" s="180" t="s">
        <v>208</v>
      </c>
      <c r="H870" s="181"/>
      <c r="I870" s="181"/>
      <c r="J870" s="181"/>
      <c r="K870" s="182" t="s">
        <v>363</v>
      </c>
      <c r="R870" s="163"/>
      <c r="S870" s="163"/>
    </row>
    <row r="871">
      <c r="A871" s="179">
        <f t="shared" si="4"/>
        <v>868</v>
      </c>
      <c r="B871" s="180"/>
      <c r="C871" s="180" t="s">
        <v>208</v>
      </c>
      <c r="D871" s="180" t="s">
        <v>208</v>
      </c>
      <c r="E871" s="180" t="s">
        <v>208</v>
      </c>
      <c r="F871" s="180" t="s">
        <v>208</v>
      </c>
      <c r="G871" s="180" t="s">
        <v>208</v>
      </c>
      <c r="H871" s="181"/>
      <c r="I871" s="181"/>
      <c r="J871" s="181"/>
      <c r="K871" s="182" t="s">
        <v>363</v>
      </c>
      <c r="R871" s="163"/>
      <c r="S871" s="163"/>
    </row>
    <row r="872">
      <c r="A872" s="179">
        <f t="shared" si="4"/>
        <v>869</v>
      </c>
      <c r="B872" s="180"/>
      <c r="C872" s="180" t="s">
        <v>208</v>
      </c>
      <c r="D872" s="180" t="s">
        <v>208</v>
      </c>
      <c r="E872" s="180" t="s">
        <v>208</v>
      </c>
      <c r="F872" s="180" t="s">
        <v>208</v>
      </c>
      <c r="G872" s="180" t="s">
        <v>208</v>
      </c>
      <c r="H872" s="181"/>
      <c r="I872" s="181"/>
      <c r="J872" s="181"/>
      <c r="K872" s="182" t="s">
        <v>363</v>
      </c>
      <c r="R872" s="163"/>
      <c r="S872" s="163"/>
    </row>
    <row r="873">
      <c r="A873" s="179">
        <f t="shared" si="4"/>
        <v>870</v>
      </c>
      <c r="B873" s="180"/>
      <c r="C873" s="180" t="s">
        <v>208</v>
      </c>
      <c r="D873" s="180" t="s">
        <v>208</v>
      </c>
      <c r="E873" s="180" t="s">
        <v>208</v>
      </c>
      <c r="F873" s="180" t="s">
        <v>208</v>
      </c>
      <c r="G873" s="180" t="s">
        <v>208</v>
      </c>
      <c r="H873" s="181"/>
      <c r="I873" s="181"/>
      <c r="J873" s="181"/>
      <c r="K873" s="182" t="s">
        <v>363</v>
      </c>
      <c r="R873" s="163"/>
      <c r="S873" s="163"/>
    </row>
    <row r="874">
      <c r="A874" s="179">
        <f t="shared" si="4"/>
        <v>871</v>
      </c>
      <c r="B874" s="180"/>
      <c r="C874" s="180"/>
      <c r="D874" s="180"/>
      <c r="E874" s="180"/>
      <c r="F874" s="180"/>
      <c r="G874" s="180"/>
      <c r="H874" s="181"/>
      <c r="I874" s="181"/>
      <c r="J874" s="180" t="s">
        <v>242</v>
      </c>
      <c r="K874" s="182" t="s">
        <v>363</v>
      </c>
      <c r="R874" s="163"/>
      <c r="S874" s="163"/>
    </row>
    <row r="875">
      <c r="A875" s="179">
        <f t="shared" si="4"/>
        <v>872</v>
      </c>
      <c r="B875" s="180"/>
      <c r="C875" s="180" t="s">
        <v>208</v>
      </c>
      <c r="D875" s="180" t="s">
        <v>208</v>
      </c>
      <c r="E875" s="180" t="s">
        <v>208</v>
      </c>
      <c r="F875" s="180" t="s">
        <v>208</v>
      </c>
      <c r="G875" s="180" t="s">
        <v>208</v>
      </c>
      <c r="H875" s="181"/>
      <c r="I875" s="181"/>
      <c r="J875" s="181"/>
      <c r="K875" s="182" t="s">
        <v>363</v>
      </c>
      <c r="R875" s="163"/>
      <c r="S875" s="163"/>
    </row>
    <row r="876">
      <c r="A876" s="179">
        <f t="shared" si="4"/>
        <v>873</v>
      </c>
      <c r="B876" s="180"/>
      <c r="C876" s="180" t="s">
        <v>208</v>
      </c>
      <c r="D876" s="180" t="s">
        <v>208</v>
      </c>
      <c r="E876" s="180" t="s">
        <v>208</v>
      </c>
      <c r="F876" s="180" t="s">
        <v>208</v>
      </c>
      <c r="G876" s="180" t="s">
        <v>208</v>
      </c>
      <c r="H876" s="181"/>
      <c r="I876" s="181"/>
      <c r="J876" s="181"/>
      <c r="K876" s="182" t="s">
        <v>363</v>
      </c>
      <c r="R876" s="163"/>
      <c r="S876" s="163"/>
    </row>
    <row r="877">
      <c r="A877" s="179">
        <f t="shared" si="4"/>
        <v>874</v>
      </c>
      <c r="B877" s="181"/>
      <c r="C877" s="180" t="s">
        <v>208</v>
      </c>
      <c r="D877" s="180" t="s">
        <v>208</v>
      </c>
      <c r="E877" s="180" t="s">
        <v>208</v>
      </c>
      <c r="F877" s="180" t="s">
        <v>208</v>
      </c>
      <c r="G877" s="180" t="s">
        <v>208</v>
      </c>
      <c r="H877" s="180"/>
      <c r="I877" s="181"/>
      <c r="J877" s="181"/>
      <c r="K877" s="182" t="s">
        <v>363</v>
      </c>
      <c r="R877" s="163"/>
      <c r="S877" s="163"/>
    </row>
    <row r="878">
      <c r="A878" s="179">
        <f t="shared" si="4"/>
        <v>875</v>
      </c>
      <c r="B878" s="180"/>
      <c r="C878" s="180" t="s">
        <v>208</v>
      </c>
      <c r="D878" s="180" t="s">
        <v>208</v>
      </c>
      <c r="E878" s="180" t="s">
        <v>208</v>
      </c>
      <c r="F878" s="180" t="s">
        <v>208</v>
      </c>
      <c r="G878" s="180" t="s">
        <v>208</v>
      </c>
      <c r="H878" s="185"/>
      <c r="I878" s="181"/>
      <c r="J878" s="181"/>
      <c r="K878" s="182" t="s">
        <v>363</v>
      </c>
      <c r="R878" s="173"/>
      <c r="S878" s="173"/>
    </row>
    <row r="879">
      <c r="A879" s="179">
        <f t="shared" si="4"/>
        <v>876</v>
      </c>
      <c r="B879" s="181"/>
      <c r="C879" s="180" t="s">
        <v>208</v>
      </c>
      <c r="D879" s="180" t="s">
        <v>208</v>
      </c>
      <c r="E879" s="180" t="s">
        <v>208</v>
      </c>
      <c r="F879" s="180" t="s">
        <v>208</v>
      </c>
      <c r="G879" s="180" t="s">
        <v>208</v>
      </c>
      <c r="H879" s="180"/>
      <c r="I879" s="181"/>
      <c r="J879" s="181"/>
      <c r="K879" s="182" t="s">
        <v>363</v>
      </c>
      <c r="R879" s="157"/>
      <c r="S879" s="157"/>
    </row>
    <row r="880">
      <c r="A880" s="179">
        <f t="shared" si="4"/>
        <v>877</v>
      </c>
      <c r="B880" s="180"/>
      <c r="C880" s="180" t="s">
        <v>208</v>
      </c>
      <c r="D880" s="180" t="s">
        <v>208</v>
      </c>
      <c r="E880" s="180" t="s">
        <v>208</v>
      </c>
      <c r="F880" s="180" t="s">
        <v>208</v>
      </c>
      <c r="G880" s="180" t="s">
        <v>208</v>
      </c>
      <c r="H880" s="181"/>
      <c r="I880" s="181"/>
      <c r="J880" s="181"/>
      <c r="K880" s="182" t="s">
        <v>363</v>
      </c>
      <c r="R880" s="163"/>
      <c r="S880" s="163"/>
    </row>
    <row r="881">
      <c r="A881" s="179">
        <f t="shared" si="4"/>
        <v>878</v>
      </c>
      <c r="B881" s="180"/>
      <c r="C881" s="180" t="s">
        <v>208</v>
      </c>
      <c r="D881" s="180" t="s">
        <v>208</v>
      </c>
      <c r="E881" s="180" t="s">
        <v>208</v>
      </c>
      <c r="F881" s="180" t="s">
        <v>208</v>
      </c>
      <c r="G881" s="180" t="s">
        <v>208</v>
      </c>
      <c r="H881" s="180"/>
      <c r="I881" s="181"/>
      <c r="J881" s="181"/>
      <c r="K881" s="182" t="s">
        <v>363</v>
      </c>
      <c r="R881" s="163"/>
      <c r="S881" s="163"/>
    </row>
    <row r="882">
      <c r="A882" s="179">
        <f t="shared" si="4"/>
        <v>879</v>
      </c>
      <c r="B882" s="180"/>
      <c r="C882" s="180" t="s">
        <v>208</v>
      </c>
      <c r="D882" s="180" t="s">
        <v>208</v>
      </c>
      <c r="E882" s="180" t="s">
        <v>208</v>
      </c>
      <c r="F882" s="180" t="s">
        <v>208</v>
      </c>
      <c r="G882" s="180" t="s">
        <v>208</v>
      </c>
      <c r="H882" s="181"/>
      <c r="I882" s="181"/>
      <c r="J882" s="181"/>
      <c r="K882" s="182" t="s">
        <v>363</v>
      </c>
      <c r="R882" s="163"/>
      <c r="S882" s="163"/>
    </row>
    <row r="883">
      <c r="A883" s="179">
        <f t="shared" si="4"/>
        <v>880</v>
      </c>
      <c r="B883" s="180"/>
      <c r="C883" s="180" t="s">
        <v>208</v>
      </c>
      <c r="D883" s="180" t="s">
        <v>208</v>
      </c>
      <c r="E883" s="180" t="s">
        <v>208</v>
      </c>
      <c r="F883" s="180" t="s">
        <v>208</v>
      </c>
      <c r="G883" s="180" t="s">
        <v>208</v>
      </c>
      <c r="H883" s="181"/>
      <c r="I883" s="181"/>
      <c r="J883" s="181"/>
      <c r="K883" s="182" t="s">
        <v>363</v>
      </c>
      <c r="R883" s="163"/>
      <c r="S883" s="163"/>
    </row>
    <row r="884">
      <c r="A884" s="179">
        <f t="shared" si="4"/>
        <v>881</v>
      </c>
      <c r="B884" s="180"/>
      <c r="C884" s="180" t="s">
        <v>208</v>
      </c>
      <c r="D884" s="180"/>
      <c r="E884" s="180" t="s">
        <v>208</v>
      </c>
      <c r="F884" s="180" t="s">
        <v>208</v>
      </c>
      <c r="G884" s="180" t="s">
        <v>208</v>
      </c>
      <c r="H884" s="181"/>
      <c r="I884" s="181"/>
      <c r="J884" s="181"/>
      <c r="K884" s="182" t="s">
        <v>363</v>
      </c>
      <c r="R884" s="163"/>
      <c r="S884" s="163"/>
    </row>
    <row r="885">
      <c r="A885" s="179">
        <f t="shared" si="4"/>
        <v>882</v>
      </c>
      <c r="B885" s="180"/>
      <c r="C885" s="180" t="s">
        <v>208</v>
      </c>
      <c r="D885" s="180" t="s">
        <v>208</v>
      </c>
      <c r="E885" s="180" t="s">
        <v>208</v>
      </c>
      <c r="F885" s="180" t="s">
        <v>208</v>
      </c>
      <c r="G885" s="180" t="s">
        <v>208</v>
      </c>
      <c r="H885" s="181"/>
      <c r="I885" s="181"/>
      <c r="J885" s="181"/>
      <c r="K885" s="182" t="s">
        <v>363</v>
      </c>
      <c r="R885" s="163"/>
      <c r="S885" s="163"/>
    </row>
    <row r="886">
      <c r="A886" s="179">
        <f t="shared" si="4"/>
        <v>883</v>
      </c>
      <c r="B886" s="180"/>
      <c r="C886" s="180" t="s">
        <v>208</v>
      </c>
      <c r="D886" s="180" t="s">
        <v>208</v>
      </c>
      <c r="E886" s="180" t="s">
        <v>208</v>
      </c>
      <c r="F886" s="180" t="s">
        <v>208</v>
      </c>
      <c r="G886" s="180" t="s">
        <v>208</v>
      </c>
      <c r="H886" s="181"/>
      <c r="I886" s="181"/>
      <c r="J886" s="181"/>
      <c r="K886" s="182" t="s">
        <v>363</v>
      </c>
      <c r="R886" s="163"/>
      <c r="S886" s="163"/>
    </row>
    <row r="887">
      <c r="A887" s="179">
        <f t="shared" si="4"/>
        <v>884</v>
      </c>
      <c r="B887" s="180"/>
      <c r="C887" s="180" t="s">
        <v>208</v>
      </c>
      <c r="D887" s="180" t="s">
        <v>208</v>
      </c>
      <c r="E887" s="180" t="s">
        <v>208</v>
      </c>
      <c r="F887" s="180" t="s">
        <v>208</v>
      </c>
      <c r="G887" s="180" t="s">
        <v>208</v>
      </c>
      <c r="H887" s="181"/>
      <c r="I887" s="181"/>
      <c r="J887" s="181"/>
      <c r="K887" s="182" t="s">
        <v>363</v>
      </c>
      <c r="R887" s="163"/>
      <c r="S887" s="163"/>
    </row>
    <row r="888">
      <c r="A888" s="179">
        <f t="shared" si="4"/>
        <v>885</v>
      </c>
      <c r="B888" s="180"/>
      <c r="C888" s="180" t="s">
        <v>208</v>
      </c>
      <c r="D888" s="180" t="s">
        <v>208</v>
      </c>
      <c r="E888" s="180" t="s">
        <v>208</v>
      </c>
      <c r="F888" s="180" t="s">
        <v>208</v>
      </c>
      <c r="G888" s="180" t="s">
        <v>208</v>
      </c>
      <c r="H888" s="181"/>
      <c r="I888" s="181"/>
      <c r="J888" s="181"/>
      <c r="K888" s="182" t="s">
        <v>363</v>
      </c>
      <c r="R888" s="163"/>
      <c r="S888" s="163"/>
    </row>
    <row r="889">
      <c r="A889" s="179">
        <f t="shared" si="4"/>
        <v>886</v>
      </c>
      <c r="B889" s="180"/>
      <c r="C889" s="180"/>
      <c r="D889" s="180"/>
      <c r="E889" s="180"/>
      <c r="F889" s="180"/>
      <c r="G889" s="180"/>
      <c r="H889" s="181"/>
      <c r="I889" s="181"/>
      <c r="J889" s="180" t="s">
        <v>242</v>
      </c>
      <c r="K889" s="182" t="s">
        <v>363</v>
      </c>
      <c r="R889" s="163"/>
      <c r="S889" s="163"/>
    </row>
    <row r="890">
      <c r="A890" s="179">
        <f t="shared" si="4"/>
        <v>887</v>
      </c>
      <c r="B890" s="181"/>
      <c r="C890" s="180"/>
      <c r="D890" s="180"/>
      <c r="E890" s="180"/>
      <c r="F890" s="180"/>
      <c r="G890" s="180"/>
      <c r="H890" s="181"/>
      <c r="I890" s="181"/>
      <c r="J890" s="180" t="s">
        <v>242</v>
      </c>
      <c r="K890" s="182" t="s">
        <v>363</v>
      </c>
      <c r="R890" s="173"/>
      <c r="S890" s="173"/>
    </row>
    <row r="891">
      <c r="A891" s="179">
        <f t="shared" si="4"/>
        <v>888</v>
      </c>
      <c r="B891" s="180"/>
      <c r="C891" s="180" t="s">
        <v>208</v>
      </c>
      <c r="D891" s="180" t="s">
        <v>208</v>
      </c>
      <c r="E891" s="180" t="s">
        <v>208</v>
      </c>
      <c r="F891" s="180" t="s">
        <v>208</v>
      </c>
      <c r="G891" s="180" t="s">
        <v>208</v>
      </c>
      <c r="H891" s="181"/>
      <c r="I891" s="181"/>
      <c r="J891" s="181"/>
      <c r="K891" s="182" t="s">
        <v>363</v>
      </c>
      <c r="R891" s="157"/>
      <c r="S891" s="157"/>
    </row>
    <row r="892">
      <c r="A892" s="179">
        <f t="shared" si="4"/>
        <v>889</v>
      </c>
      <c r="B892" s="180"/>
      <c r="C892" s="180" t="s">
        <v>208</v>
      </c>
      <c r="D892" s="180" t="s">
        <v>208</v>
      </c>
      <c r="E892" s="180" t="s">
        <v>208</v>
      </c>
      <c r="F892" s="180" t="s">
        <v>208</v>
      </c>
      <c r="G892" s="180" t="s">
        <v>208</v>
      </c>
      <c r="H892" s="180"/>
      <c r="I892" s="181"/>
      <c r="J892" s="181"/>
      <c r="K892" s="182" t="s">
        <v>363</v>
      </c>
      <c r="R892" s="163"/>
      <c r="S892" s="163"/>
    </row>
    <row r="893">
      <c r="A893" s="179">
        <f t="shared" si="4"/>
        <v>890</v>
      </c>
      <c r="B893" s="180"/>
      <c r="C893" s="180" t="s">
        <v>208</v>
      </c>
      <c r="D893" s="180" t="s">
        <v>208</v>
      </c>
      <c r="E893" s="180" t="s">
        <v>208</v>
      </c>
      <c r="F893" s="180" t="s">
        <v>208</v>
      </c>
      <c r="G893" s="180" t="s">
        <v>208</v>
      </c>
      <c r="H893" s="181"/>
      <c r="I893" s="181"/>
      <c r="J893" s="181"/>
      <c r="K893" s="182" t="s">
        <v>363</v>
      </c>
      <c r="R893" s="163"/>
      <c r="S893" s="163"/>
    </row>
    <row r="894">
      <c r="A894" s="179">
        <f t="shared" si="4"/>
        <v>891</v>
      </c>
      <c r="B894" s="180"/>
      <c r="C894" s="180" t="s">
        <v>208</v>
      </c>
      <c r="D894" s="180" t="s">
        <v>208</v>
      </c>
      <c r="E894" s="180" t="s">
        <v>208</v>
      </c>
      <c r="F894" s="180" t="s">
        <v>208</v>
      </c>
      <c r="G894" s="180" t="s">
        <v>208</v>
      </c>
      <c r="H894" s="181"/>
      <c r="I894" s="181"/>
      <c r="J894" s="180"/>
      <c r="K894" s="182" t="s">
        <v>363</v>
      </c>
      <c r="R894" s="163"/>
      <c r="S894" s="163"/>
    </row>
    <row r="895">
      <c r="A895" s="179">
        <f t="shared" si="4"/>
        <v>892</v>
      </c>
      <c r="B895" s="181"/>
      <c r="C895" s="180" t="s">
        <v>208</v>
      </c>
      <c r="D895" s="180" t="s">
        <v>208</v>
      </c>
      <c r="E895" s="180" t="s">
        <v>208</v>
      </c>
      <c r="F895" s="180" t="s">
        <v>208</v>
      </c>
      <c r="G895" s="180" t="s">
        <v>208</v>
      </c>
      <c r="H895" s="180"/>
      <c r="I895" s="181"/>
      <c r="J895" s="181"/>
      <c r="K895" s="182" t="s">
        <v>363</v>
      </c>
      <c r="R895" s="163"/>
      <c r="S895" s="163"/>
    </row>
    <row r="896">
      <c r="A896" s="179">
        <f t="shared" si="4"/>
        <v>893</v>
      </c>
      <c r="B896" s="180"/>
      <c r="C896" s="180" t="s">
        <v>208</v>
      </c>
      <c r="D896" s="180" t="s">
        <v>208</v>
      </c>
      <c r="E896" s="180" t="s">
        <v>208</v>
      </c>
      <c r="F896" s="180" t="s">
        <v>208</v>
      </c>
      <c r="G896" s="180" t="s">
        <v>208</v>
      </c>
      <c r="H896" s="181"/>
      <c r="I896" s="181"/>
      <c r="J896" s="181"/>
      <c r="K896" s="182" t="s">
        <v>363</v>
      </c>
      <c r="R896" s="163"/>
      <c r="S896" s="163"/>
    </row>
    <row r="897">
      <c r="A897" s="179">
        <f t="shared" si="4"/>
        <v>894</v>
      </c>
      <c r="B897" s="180"/>
      <c r="C897" s="180" t="s">
        <v>208</v>
      </c>
      <c r="D897" s="180" t="s">
        <v>208</v>
      </c>
      <c r="E897" s="180" t="s">
        <v>208</v>
      </c>
      <c r="F897" s="180" t="s">
        <v>208</v>
      </c>
      <c r="G897" s="180" t="s">
        <v>208</v>
      </c>
      <c r="H897" s="181"/>
      <c r="I897" s="181"/>
      <c r="J897" s="181"/>
      <c r="K897" s="182" t="s">
        <v>363</v>
      </c>
      <c r="R897" s="163"/>
      <c r="S897" s="163"/>
    </row>
    <row r="898">
      <c r="A898" s="179">
        <f t="shared" si="4"/>
        <v>895</v>
      </c>
      <c r="B898" s="180"/>
      <c r="C898" s="180" t="s">
        <v>208</v>
      </c>
      <c r="D898" s="180" t="s">
        <v>208</v>
      </c>
      <c r="E898" s="180" t="s">
        <v>208</v>
      </c>
      <c r="F898" s="180" t="s">
        <v>208</v>
      </c>
      <c r="G898" s="180" t="s">
        <v>208</v>
      </c>
      <c r="H898" s="181"/>
      <c r="I898" s="181"/>
      <c r="J898" s="181"/>
      <c r="K898" s="182" t="s">
        <v>363</v>
      </c>
      <c r="R898" s="163"/>
      <c r="S898" s="163"/>
    </row>
    <row r="899">
      <c r="A899" s="179">
        <f t="shared" si="4"/>
        <v>896</v>
      </c>
      <c r="B899" s="180"/>
      <c r="C899" s="180" t="s">
        <v>208</v>
      </c>
      <c r="D899" s="180" t="s">
        <v>208</v>
      </c>
      <c r="E899" s="180" t="s">
        <v>208</v>
      </c>
      <c r="F899" s="180" t="s">
        <v>208</v>
      </c>
      <c r="G899" s="180" t="s">
        <v>208</v>
      </c>
      <c r="H899" s="181"/>
      <c r="I899" s="181"/>
      <c r="J899" s="181"/>
      <c r="K899" s="182" t="s">
        <v>363</v>
      </c>
      <c r="R899" s="163"/>
      <c r="S899" s="163"/>
    </row>
    <row r="900">
      <c r="A900" s="179">
        <f t="shared" si="4"/>
        <v>897</v>
      </c>
      <c r="B900" s="180"/>
      <c r="C900" s="180" t="s">
        <v>208</v>
      </c>
      <c r="D900" s="180" t="s">
        <v>243</v>
      </c>
      <c r="E900" s="180" t="s">
        <v>208</v>
      </c>
      <c r="F900" s="180" t="s">
        <v>208</v>
      </c>
      <c r="G900" s="180" t="s">
        <v>208</v>
      </c>
      <c r="H900" s="181"/>
      <c r="I900" s="181"/>
      <c r="J900" s="181"/>
      <c r="K900" s="182" t="s">
        <v>363</v>
      </c>
      <c r="R900" s="163"/>
      <c r="S900" s="163"/>
    </row>
    <row r="901">
      <c r="A901" s="179">
        <f t="shared" si="4"/>
        <v>898</v>
      </c>
      <c r="B901" s="180"/>
      <c r="C901" s="180" t="s">
        <v>208</v>
      </c>
      <c r="D901" s="180" t="s">
        <v>208</v>
      </c>
      <c r="E901" s="180" t="s">
        <v>208</v>
      </c>
      <c r="F901" s="180" t="s">
        <v>208</v>
      </c>
      <c r="G901" s="180" t="s">
        <v>208</v>
      </c>
      <c r="H901" s="181"/>
      <c r="I901" s="181"/>
      <c r="J901" s="181"/>
      <c r="K901" s="182" t="s">
        <v>363</v>
      </c>
      <c r="R901" s="163"/>
      <c r="S901" s="163"/>
    </row>
    <row r="902">
      <c r="A902" s="179">
        <f t="shared" si="4"/>
        <v>899</v>
      </c>
      <c r="B902" s="180"/>
      <c r="C902" s="180" t="s">
        <v>208</v>
      </c>
      <c r="D902" s="180" t="s">
        <v>208</v>
      </c>
      <c r="E902" s="180" t="s">
        <v>208</v>
      </c>
      <c r="F902" s="180" t="s">
        <v>208</v>
      </c>
      <c r="G902" s="180" t="s">
        <v>208</v>
      </c>
      <c r="H902" s="181"/>
      <c r="I902" s="181"/>
      <c r="J902" s="180"/>
      <c r="K902" s="182" t="s">
        <v>363</v>
      </c>
      <c r="R902" s="173"/>
      <c r="S902" s="173"/>
    </row>
    <row r="903">
      <c r="A903" s="179">
        <f t="shared" si="4"/>
        <v>900</v>
      </c>
      <c r="B903" s="180"/>
      <c r="C903" s="180" t="s">
        <v>208</v>
      </c>
      <c r="D903" s="180" t="s">
        <v>208</v>
      </c>
      <c r="E903" s="180" t="s">
        <v>208</v>
      </c>
      <c r="F903" s="180" t="s">
        <v>208</v>
      </c>
      <c r="G903" s="180" t="s">
        <v>208</v>
      </c>
      <c r="H903" s="181"/>
      <c r="I903" s="181"/>
      <c r="J903" s="181"/>
      <c r="K903" s="182" t="s">
        <v>363</v>
      </c>
      <c r="R903" s="157"/>
      <c r="S903" s="157"/>
    </row>
    <row r="904">
      <c r="A904" s="179">
        <f t="shared" si="4"/>
        <v>901</v>
      </c>
      <c r="B904" s="180"/>
      <c r="C904" s="180" t="s">
        <v>208</v>
      </c>
      <c r="D904" s="180" t="s">
        <v>208</v>
      </c>
      <c r="E904" s="180" t="s">
        <v>208</v>
      </c>
      <c r="F904" s="180" t="s">
        <v>208</v>
      </c>
      <c r="G904" s="180" t="s">
        <v>208</v>
      </c>
      <c r="H904" s="181"/>
      <c r="I904" s="181"/>
      <c r="J904" s="181"/>
      <c r="K904" s="182" t="s">
        <v>363</v>
      </c>
      <c r="R904" s="163"/>
      <c r="S904" s="163"/>
    </row>
    <row r="905">
      <c r="A905" s="179">
        <f t="shared" si="4"/>
        <v>902</v>
      </c>
      <c r="B905" s="180"/>
      <c r="C905" s="180" t="s">
        <v>208</v>
      </c>
      <c r="D905" s="180" t="s">
        <v>208</v>
      </c>
      <c r="E905" s="180" t="s">
        <v>208</v>
      </c>
      <c r="F905" s="180" t="s">
        <v>208</v>
      </c>
      <c r="G905" s="180" t="s">
        <v>208</v>
      </c>
      <c r="H905" s="181"/>
      <c r="I905" s="181"/>
      <c r="J905" s="181"/>
      <c r="K905" s="182" t="s">
        <v>363</v>
      </c>
      <c r="R905" s="163"/>
      <c r="S905" s="163"/>
    </row>
    <row r="906">
      <c r="A906" s="179">
        <f t="shared" si="4"/>
        <v>903</v>
      </c>
      <c r="B906" s="180"/>
      <c r="C906" s="180" t="s">
        <v>208</v>
      </c>
      <c r="D906" s="180" t="s">
        <v>208</v>
      </c>
      <c r="E906" s="180" t="s">
        <v>208</v>
      </c>
      <c r="F906" s="180" t="s">
        <v>208</v>
      </c>
      <c r="G906" s="180" t="s">
        <v>208</v>
      </c>
      <c r="H906" s="181"/>
      <c r="I906" s="181"/>
      <c r="J906" s="181"/>
      <c r="K906" s="182" t="s">
        <v>363</v>
      </c>
      <c r="R906" s="163"/>
      <c r="S906" s="163"/>
    </row>
    <row r="907">
      <c r="A907" s="179">
        <f t="shared" si="4"/>
        <v>904</v>
      </c>
      <c r="B907" s="180"/>
      <c r="C907" s="180" t="s">
        <v>208</v>
      </c>
      <c r="D907" s="180" t="s">
        <v>208</v>
      </c>
      <c r="E907" s="180" t="s">
        <v>208</v>
      </c>
      <c r="F907" s="180" t="s">
        <v>208</v>
      </c>
      <c r="G907" s="180" t="s">
        <v>208</v>
      </c>
      <c r="H907" s="185"/>
      <c r="I907" s="181"/>
      <c r="J907" s="180"/>
      <c r="K907" s="182" t="s">
        <v>363</v>
      </c>
      <c r="R907" s="163"/>
      <c r="S907" s="163"/>
    </row>
    <row r="908">
      <c r="A908" s="179">
        <f t="shared" si="4"/>
        <v>905</v>
      </c>
      <c r="B908" s="180"/>
      <c r="C908" s="180" t="s">
        <v>208</v>
      </c>
      <c r="D908" s="180" t="s">
        <v>208</v>
      </c>
      <c r="E908" s="180" t="s">
        <v>208</v>
      </c>
      <c r="F908" s="180" t="s">
        <v>208</v>
      </c>
      <c r="G908" s="180" t="s">
        <v>208</v>
      </c>
      <c r="H908" s="181"/>
      <c r="I908" s="181"/>
      <c r="J908" s="180"/>
      <c r="K908" s="182" t="s">
        <v>363</v>
      </c>
      <c r="R908" s="163"/>
      <c r="S908" s="163"/>
    </row>
    <row r="909">
      <c r="A909" s="179">
        <f t="shared" si="4"/>
        <v>906</v>
      </c>
      <c r="B909" s="180"/>
      <c r="C909" s="180" t="s">
        <v>208</v>
      </c>
      <c r="D909" s="180" t="s">
        <v>208</v>
      </c>
      <c r="E909" s="180" t="s">
        <v>208</v>
      </c>
      <c r="F909" s="180" t="s">
        <v>208</v>
      </c>
      <c r="G909" s="180" t="s">
        <v>208</v>
      </c>
      <c r="H909" s="181"/>
      <c r="I909" s="181"/>
      <c r="J909" s="180"/>
      <c r="K909" s="182" t="s">
        <v>363</v>
      </c>
      <c r="R909" s="163"/>
      <c r="S909" s="163"/>
    </row>
    <row r="910">
      <c r="A910" s="179">
        <f t="shared" si="4"/>
        <v>907</v>
      </c>
      <c r="B910" s="180"/>
      <c r="C910" s="180" t="s">
        <v>208</v>
      </c>
      <c r="D910" s="180" t="s">
        <v>208</v>
      </c>
      <c r="E910" s="180" t="s">
        <v>208</v>
      </c>
      <c r="F910" s="180" t="s">
        <v>208</v>
      </c>
      <c r="G910" s="180" t="s">
        <v>208</v>
      </c>
      <c r="H910" s="181"/>
      <c r="I910" s="181"/>
      <c r="J910" s="180"/>
      <c r="K910" s="182" t="s">
        <v>363</v>
      </c>
      <c r="R910" s="163"/>
      <c r="S910" s="163"/>
    </row>
    <row r="911">
      <c r="A911" s="179">
        <f t="shared" si="4"/>
        <v>908</v>
      </c>
      <c r="B911" s="180"/>
      <c r="C911" s="180" t="s">
        <v>208</v>
      </c>
      <c r="D911" s="180" t="s">
        <v>208</v>
      </c>
      <c r="E911" s="180" t="s">
        <v>208</v>
      </c>
      <c r="F911" s="180" t="s">
        <v>208</v>
      </c>
      <c r="G911" s="180" t="s">
        <v>208</v>
      </c>
      <c r="H911" s="181"/>
      <c r="I911" s="181"/>
      <c r="J911" s="180"/>
      <c r="K911" s="182" t="s">
        <v>363</v>
      </c>
      <c r="R911" s="163"/>
      <c r="S911" s="163"/>
    </row>
    <row r="912">
      <c r="A912" s="179">
        <f t="shared" si="4"/>
        <v>909</v>
      </c>
      <c r="B912" s="180"/>
      <c r="C912" s="180" t="s">
        <v>208</v>
      </c>
      <c r="D912" s="180" t="s">
        <v>208</v>
      </c>
      <c r="E912" s="180" t="s">
        <v>208</v>
      </c>
      <c r="F912" s="180" t="s">
        <v>208</v>
      </c>
      <c r="G912" s="180" t="s">
        <v>208</v>
      </c>
      <c r="H912" s="181"/>
      <c r="I912" s="181"/>
      <c r="J912" s="180"/>
      <c r="K912" s="182" t="s">
        <v>363</v>
      </c>
      <c r="R912" s="163"/>
      <c r="S912" s="163"/>
    </row>
    <row r="913">
      <c r="A913" s="179">
        <f t="shared" si="4"/>
        <v>910</v>
      </c>
      <c r="B913" s="180"/>
      <c r="C913" s="180" t="s">
        <v>208</v>
      </c>
      <c r="D913" s="180" t="s">
        <v>208</v>
      </c>
      <c r="E913" s="180" t="s">
        <v>208</v>
      </c>
      <c r="F913" s="180" t="s">
        <v>208</v>
      </c>
      <c r="G913" s="180" t="s">
        <v>208</v>
      </c>
      <c r="H913" s="181"/>
      <c r="I913" s="181"/>
      <c r="J913" s="180"/>
      <c r="K913" s="182" t="s">
        <v>363</v>
      </c>
      <c r="R913" s="163"/>
      <c r="S913" s="163"/>
    </row>
    <row r="914">
      <c r="A914" s="179">
        <f t="shared" si="4"/>
        <v>911</v>
      </c>
      <c r="B914" s="180"/>
      <c r="C914" s="180" t="s">
        <v>208</v>
      </c>
      <c r="D914" s="180" t="s">
        <v>243</v>
      </c>
      <c r="E914" s="180" t="s">
        <v>208</v>
      </c>
      <c r="F914" s="180" t="s">
        <v>208</v>
      </c>
      <c r="G914" s="180" t="s">
        <v>208</v>
      </c>
      <c r="H914" s="181"/>
      <c r="I914" s="181"/>
      <c r="J914" s="180"/>
      <c r="K914" s="182" t="s">
        <v>363</v>
      </c>
      <c r="R914" s="173"/>
      <c r="S914" s="173"/>
    </row>
    <row r="915">
      <c r="A915" s="179">
        <f t="shared" si="4"/>
        <v>912</v>
      </c>
      <c r="B915" s="180"/>
      <c r="C915" s="180" t="s">
        <v>208</v>
      </c>
      <c r="D915" s="180" t="s">
        <v>208</v>
      </c>
      <c r="E915" s="180" t="s">
        <v>208</v>
      </c>
      <c r="F915" s="180" t="s">
        <v>208</v>
      </c>
      <c r="G915" s="180" t="s">
        <v>208</v>
      </c>
      <c r="H915" s="181"/>
      <c r="I915" s="181"/>
      <c r="J915" s="180"/>
      <c r="K915" s="182" t="s">
        <v>363</v>
      </c>
      <c r="R915" s="157"/>
      <c r="S915" s="157"/>
    </row>
    <row r="916">
      <c r="A916" s="179">
        <f t="shared" si="4"/>
        <v>913</v>
      </c>
      <c r="B916" s="180"/>
      <c r="C916" s="180"/>
      <c r="D916" s="180" t="s">
        <v>208</v>
      </c>
      <c r="E916" s="180" t="s">
        <v>208</v>
      </c>
      <c r="F916" s="180" t="s">
        <v>208</v>
      </c>
      <c r="G916" s="180"/>
      <c r="H916" s="180" t="s">
        <v>208</v>
      </c>
      <c r="I916" s="181"/>
      <c r="J916" s="180"/>
      <c r="K916" s="182" t="s">
        <v>363</v>
      </c>
      <c r="R916" s="163"/>
      <c r="S916" s="163"/>
    </row>
    <row r="917">
      <c r="A917" s="179">
        <f t="shared" si="4"/>
        <v>914</v>
      </c>
      <c r="B917" s="180"/>
      <c r="C917" s="180" t="s">
        <v>208</v>
      </c>
      <c r="D917" s="180" t="s">
        <v>243</v>
      </c>
      <c r="E917" s="180" t="s">
        <v>208</v>
      </c>
      <c r="F917" s="180" t="s">
        <v>208</v>
      </c>
      <c r="G917" s="180" t="s">
        <v>208</v>
      </c>
      <c r="H917" s="181"/>
      <c r="I917" s="181"/>
      <c r="J917" s="180"/>
      <c r="K917" s="182" t="s">
        <v>363</v>
      </c>
      <c r="R917" s="163"/>
      <c r="S917" s="163"/>
    </row>
    <row r="918">
      <c r="A918" s="179">
        <f t="shared" si="4"/>
        <v>915</v>
      </c>
      <c r="B918" s="180"/>
      <c r="C918" s="180" t="s">
        <v>208</v>
      </c>
      <c r="D918" s="180" t="s">
        <v>208</v>
      </c>
      <c r="E918" s="180" t="s">
        <v>208</v>
      </c>
      <c r="F918" s="180" t="s">
        <v>208</v>
      </c>
      <c r="G918" s="180" t="s">
        <v>208</v>
      </c>
      <c r="H918" s="181"/>
      <c r="I918" s="181"/>
      <c r="J918" s="180"/>
      <c r="K918" s="182" t="s">
        <v>363</v>
      </c>
      <c r="R918" s="163"/>
      <c r="S918" s="163"/>
    </row>
    <row r="919">
      <c r="A919" s="179">
        <f t="shared" si="4"/>
        <v>916</v>
      </c>
      <c r="B919" s="180"/>
      <c r="C919" s="180" t="s">
        <v>208</v>
      </c>
      <c r="D919" s="180" t="s">
        <v>208</v>
      </c>
      <c r="E919" s="180" t="s">
        <v>208</v>
      </c>
      <c r="F919" s="180" t="s">
        <v>208</v>
      </c>
      <c r="G919" s="180" t="s">
        <v>208</v>
      </c>
      <c r="H919" s="181"/>
      <c r="I919" s="181"/>
      <c r="J919" s="180"/>
      <c r="K919" s="182" t="s">
        <v>363</v>
      </c>
      <c r="R919" s="163"/>
      <c r="S919" s="163"/>
    </row>
    <row r="920">
      <c r="A920" s="179">
        <f t="shared" si="4"/>
        <v>917</v>
      </c>
      <c r="B920" s="180"/>
      <c r="C920" s="180" t="s">
        <v>208</v>
      </c>
      <c r="D920" s="180" t="s">
        <v>208</v>
      </c>
      <c r="E920" s="180" t="s">
        <v>208</v>
      </c>
      <c r="F920" s="180" t="s">
        <v>208</v>
      </c>
      <c r="G920" s="180" t="s">
        <v>208</v>
      </c>
      <c r="H920" s="181"/>
      <c r="I920" s="181"/>
      <c r="J920" s="180"/>
      <c r="K920" s="182" t="s">
        <v>363</v>
      </c>
      <c r="R920" s="163"/>
      <c r="S920" s="163"/>
    </row>
    <row r="921">
      <c r="A921" s="179">
        <f t="shared" si="4"/>
        <v>918</v>
      </c>
      <c r="B921" s="180"/>
      <c r="C921" s="180" t="s">
        <v>208</v>
      </c>
      <c r="D921" s="180" t="s">
        <v>208</v>
      </c>
      <c r="E921" s="180" t="s">
        <v>208</v>
      </c>
      <c r="F921" s="180" t="s">
        <v>208</v>
      </c>
      <c r="G921" s="180" t="s">
        <v>208</v>
      </c>
      <c r="H921" s="181"/>
      <c r="I921" s="181"/>
      <c r="J921" s="180"/>
      <c r="K921" s="182" t="s">
        <v>363</v>
      </c>
      <c r="R921" s="163"/>
      <c r="S921" s="163"/>
    </row>
    <row r="922">
      <c r="A922" s="179">
        <f t="shared" si="4"/>
        <v>919</v>
      </c>
      <c r="B922" s="180"/>
      <c r="C922" s="180" t="s">
        <v>208</v>
      </c>
      <c r="D922" s="180" t="s">
        <v>208</v>
      </c>
      <c r="E922" s="180" t="s">
        <v>208</v>
      </c>
      <c r="F922" s="180" t="s">
        <v>208</v>
      </c>
      <c r="G922" s="180" t="s">
        <v>208</v>
      </c>
      <c r="H922" s="181"/>
      <c r="I922" s="181"/>
      <c r="J922" s="180"/>
      <c r="K922" s="182" t="s">
        <v>363</v>
      </c>
      <c r="R922" s="163"/>
      <c r="S922" s="163"/>
    </row>
    <row r="923">
      <c r="A923" s="179">
        <f t="shared" si="4"/>
        <v>920</v>
      </c>
      <c r="B923" s="180"/>
      <c r="C923" s="180"/>
      <c r="D923" s="180" t="s">
        <v>208</v>
      </c>
      <c r="E923" s="180" t="s">
        <v>208</v>
      </c>
      <c r="F923" s="180" t="s">
        <v>208</v>
      </c>
      <c r="G923" s="180"/>
      <c r="H923" s="180" t="s">
        <v>208</v>
      </c>
      <c r="I923" s="181"/>
      <c r="J923" s="180"/>
      <c r="K923" s="182" t="s">
        <v>363</v>
      </c>
      <c r="R923" s="163"/>
      <c r="S923" s="163"/>
    </row>
    <row r="924">
      <c r="A924" s="179">
        <f t="shared" si="4"/>
        <v>921</v>
      </c>
      <c r="B924" s="180"/>
      <c r="C924" s="180" t="s">
        <v>208</v>
      </c>
      <c r="D924" s="180" t="s">
        <v>208</v>
      </c>
      <c r="E924" s="180" t="s">
        <v>208</v>
      </c>
      <c r="F924" s="180" t="s">
        <v>208</v>
      </c>
      <c r="G924" s="180" t="s">
        <v>208</v>
      </c>
      <c r="H924" s="181"/>
      <c r="I924" s="181"/>
      <c r="J924" s="180"/>
      <c r="K924" s="182" t="s">
        <v>363</v>
      </c>
      <c r="R924" s="163"/>
      <c r="S924" s="163"/>
    </row>
    <row r="925">
      <c r="A925" s="179">
        <f t="shared" si="4"/>
        <v>922</v>
      </c>
      <c r="B925" s="180"/>
      <c r="C925" s="180" t="s">
        <v>208</v>
      </c>
      <c r="D925" s="180" t="s">
        <v>208</v>
      </c>
      <c r="E925" s="180" t="s">
        <v>208</v>
      </c>
      <c r="F925" s="180" t="s">
        <v>208</v>
      </c>
      <c r="G925" s="180" t="s">
        <v>208</v>
      </c>
      <c r="H925" s="181"/>
      <c r="I925" s="181"/>
      <c r="J925" s="180"/>
      <c r="K925" s="182" t="s">
        <v>363</v>
      </c>
      <c r="R925" s="163"/>
      <c r="S925" s="163"/>
    </row>
    <row r="926">
      <c r="A926" s="179">
        <f t="shared" si="4"/>
        <v>923</v>
      </c>
      <c r="B926" s="180"/>
      <c r="C926" s="180" t="s">
        <v>208</v>
      </c>
      <c r="D926" s="180" t="s">
        <v>208</v>
      </c>
      <c r="E926" s="180" t="s">
        <v>208</v>
      </c>
      <c r="F926" s="180" t="s">
        <v>208</v>
      </c>
      <c r="G926" s="180" t="s">
        <v>208</v>
      </c>
      <c r="H926" s="181"/>
      <c r="I926" s="181"/>
      <c r="J926" s="180"/>
      <c r="K926" s="182" t="s">
        <v>363</v>
      </c>
      <c r="R926" s="173"/>
      <c r="S926" s="173"/>
    </row>
    <row r="927">
      <c r="A927" s="179">
        <f t="shared" si="4"/>
        <v>924</v>
      </c>
      <c r="B927" s="180"/>
      <c r="C927" s="180" t="s">
        <v>208</v>
      </c>
      <c r="D927" s="180" t="s">
        <v>208</v>
      </c>
      <c r="E927" s="180" t="s">
        <v>208</v>
      </c>
      <c r="F927" s="180" t="s">
        <v>208</v>
      </c>
      <c r="G927" s="180" t="s">
        <v>208</v>
      </c>
      <c r="H927" s="181"/>
      <c r="I927" s="181"/>
      <c r="J927" s="180"/>
      <c r="K927" s="182" t="s">
        <v>363</v>
      </c>
      <c r="R927" s="157"/>
      <c r="S927" s="157"/>
    </row>
    <row r="928">
      <c r="A928" s="179">
        <f t="shared" si="4"/>
        <v>925</v>
      </c>
      <c r="B928" s="180"/>
      <c r="C928" s="180" t="s">
        <v>208</v>
      </c>
      <c r="D928" s="180" t="s">
        <v>208</v>
      </c>
      <c r="E928" s="180" t="s">
        <v>208</v>
      </c>
      <c r="F928" s="180" t="s">
        <v>208</v>
      </c>
      <c r="G928" s="180" t="s">
        <v>208</v>
      </c>
      <c r="H928" s="181"/>
      <c r="I928" s="181"/>
      <c r="J928" s="180"/>
      <c r="K928" s="182" t="s">
        <v>363</v>
      </c>
      <c r="R928" s="163"/>
      <c r="S928" s="163"/>
    </row>
    <row r="929">
      <c r="A929" s="179">
        <f t="shared" si="4"/>
        <v>926</v>
      </c>
      <c r="B929" s="180"/>
      <c r="C929" s="180" t="s">
        <v>208</v>
      </c>
      <c r="D929" s="180" t="s">
        <v>208</v>
      </c>
      <c r="E929" s="180" t="s">
        <v>208</v>
      </c>
      <c r="F929" s="180" t="s">
        <v>208</v>
      </c>
      <c r="G929" s="180" t="s">
        <v>208</v>
      </c>
      <c r="H929" s="181"/>
      <c r="I929" s="181"/>
      <c r="J929" s="180"/>
      <c r="K929" s="182" t="s">
        <v>363</v>
      </c>
      <c r="R929" s="163"/>
      <c r="S929" s="163"/>
    </row>
    <row r="930">
      <c r="A930" s="179">
        <f t="shared" si="4"/>
        <v>927</v>
      </c>
      <c r="B930" s="180"/>
      <c r="C930" s="180" t="s">
        <v>208</v>
      </c>
      <c r="D930" s="180" t="s">
        <v>208</v>
      </c>
      <c r="E930" s="180"/>
      <c r="F930" s="180" t="s">
        <v>208</v>
      </c>
      <c r="G930" s="180" t="s">
        <v>208</v>
      </c>
      <c r="H930" s="185"/>
      <c r="I930" s="181"/>
      <c r="J930" s="180"/>
      <c r="K930" s="182" t="s">
        <v>363</v>
      </c>
      <c r="R930" s="163"/>
      <c r="S930" s="163"/>
    </row>
    <row r="931">
      <c r="A931" s="179">
        <f t="shared" si="4"/>
        <v>928</v>
      </c>
      <c r="B931" s="180"/>
      <c r="C931" s="180"/>
      <c r="D931" s="180"/>
      <c r="E931" s="180"/>
      <c r="F931" s="180"/>
      <c r="G931" s="181"/>
      <c r="H931" s="180"/>
      <c r="I931" s="181"/>
      <c r="J931" s="180" t="s">
        <v>242</v>
      </c>
      <c r="K931" s="182" t="s">
        <v>363</v>
      </c>
      <c r="R931" s="163"/>
      <c r="S931" s="163"/>
    </row>
    <row r="932">
      <c r="A932" s="179">
        <f t="shared" si="4"/>
        <v>929</v>
      </c>
      <c r="B932" s="180"/>
      <c r="C932" s="180"/>
      <c r="D932" s="180"/>
      <c r="E932" s="180"/>
      <c r="F932" s="180"/>
      <c r="G932" s="180"/>
      <c r="H932" s="181"/>
      <c r="I932" s="181"/>
      <c r="J932" s="180" t="s">
        <v>242</v>
      </c>
      <c r="K932" s="182" t="s">
        <v>363</v>
      </c>
      <c r="R932" s="163"/>
      <c r="S932" s="163"/>
    </row>
    <row r="933">
      <c r="A933" s="179">
        <f t="shared" si="4"/>
        <v>930</v>
      </c>
      <c r="B933" s="180"/>
      <c r="C933" s="180"/>
      <c r="D933" s="180"/>
      <c r="E933" s="180"/>
      <c r="F933" s="180"/>
      <c r="G933" s="180"/>
      <c r="H933" s="181"/>
      <c r="I933" s="181"/>
      <c r="J933" s="180" t="s">
        <v>242</v>
      </c>
      <c r="K933" s="182" t="s">
        <v>363</v>
      </c>
      <c r="R933" s="163"/>
      <c r="S933" s="163"/>
    </row>
    <row r="934">
      <c r="A934" s="179">
        <f t="shared" si="4"/>
        <v>931</v>
      </c>
      <c r="B934" s="180"/>
      <c r="C934" s="180" t="s">
        <v>208</v>
      </c>
      <c r="D934" s="180" t="s">
        <v>208</v>
      </c>
      <c r="E934" s="180" t="s">
        <v>208</v>
      </c>
      <c r="F934" s="180" t="s">
        <v>208</v>
      </c>
      <c r="G934" s="180" t="s">
        <v>208</v>
      </c>
      <c r="H934" s="181"/>
      <c r="I934" s="181"/>
      <c r="J934" s="180"/>
      <c r="K934" s="182" t="s">
        <v>363</v>
      </c>
      <c r="R934" s="163"/>
      <c r="S934" s="163"/>
    </row>
    <row r="935">
      <c r="A935" s="179">
        <f t="shared" si="4"/>
        <v>932</v>
      </c>
      <c r="B935" s="180"/>
      <c r="C935" s="180" t="s">
        <v>208</v>
      </c>
      <c r="D935" s="180" t="s">
        <v>208</v>
      </c>
      <c r="E935" s="180" t="s">
        <v>208</v>
      </c>
      <c r="F935" s="180" t="s">
        <v>208</v>
      </c>
      <c r="G935" s="180" t="s">
        <v>208</v>
      </c>
      <c r="H935" s="181"/>
      <c r="I935" s="181"/>
      <c r="J935" s="180"/>
      <c r="K935" s="182" t="s">
        <v>363</v>
      </c>
      <c r="R935" s="163"/>
      <c r="S935" s="163"/>
    </row>
    <row r="936">
      <c r="A936" s="179">
        <f t="shared" si="4"/>
        <v>933</v>
      </c>
      <c r="B936" s="180"/>
      <c r="C936" s="180" t="s">
        <v>208</v>
      </c>
      <c r="D936" s="180" t="s">
        <v>208</v>
      </c>
      <c r="E936" s="180" t="s">
        <v>208</v>
      </c>
      <c r="F936" s="180" t="s">
        <v>208</v>
      </c>
      <c r="G936" s="180" t="s">
        <v>208</v>
      </c>
      <c r="H936" s="180"/>
      <c r="I936" s="181"/>
      <c r="J936" s="180"/>
      <c r="K936" s="182" t="s">
        <v>363</v>
      </c>
      <c r="R936" s="163"/>
      <c r="S936" s="163"/>
    </row>
    <row r="937">
      <c r="A937" s="179">
        <f t="shared" si="4"/>
        <v>934</v>
      </c>
      <c r="B937" s="180"/>
      <c r="C937" s="180" t="s">
        <v>208</v>
      </c>
      <c r="D937" s="180" t="s">
        <v>208</v>
      </c>
      <c r="E937" s="180" t="s">
        <v>208</v>
      </c>
      <c r="F937" s="180" t="s">
        <v>208</v>
      </c>
      <c r="G937" s="180" t="s">
        <v>208</v>
      </c>
      <c r="H937" s="181"/>
      <c r="I937" s="181"/>
      <c r="J937" s="180"/>
      <c r="K937" s="182" t="s">
        <v>363</v>
      </c>
      <c r="R937" s="163"/>
      <c r="S937" s="163"/>
    </row>
    <row r="938">
      <c r="A938" s="179">
        <f t="shared" si="4"/>
        <v>935</v>
      </c>
      <c r="B938" s="180"/>
      <c r="C938" s="180" t="s">
        <v>208</v>
      </c>
      <c r="D938" s="180" t="s">
        <v>208</v>
      </c>
      <c r="E938" s="180" t="s">
        <v>208</v>
      </c>
      <c r="F938" s="180" t="s">
        <v>208</v>
      </c>
      <c r="G938" s="180" t="s">
        <v>208</v>
      </c>
      <c r="H938" s="180"/>
      <c r="I938" s="181"/>
      <c r="J938" s="180"/>
      <c r="K938" s="182" t="s">
        <v>363</v>
      </c>
      <c r="R938" s="173"/>
      <c r="S938" s="173"/>
    </row>
    <row r="939">
      <c r="A939" s="179">
        <f t="shared" si="4"/>
        <v>936</v>
      </c>
      <c r="B939" s="180"/>
      <c r="C939" s="180" t="s">
        <v>208</v>
      </c>
      <c r="D939" s="180" t="s">
        <v>208</v>
      </c>
      <c r="E939" s="180" t="s">
        <v>208</v>
      </c>
      <c r="F939" s="180" t="s">
        <v>208</v>
      </c>
      <c r="G939" s="180" t="s">
        <v>208</v>
      </c>
      <c r="H939" s="181"/>
      <c r="I939" s="181"/>
      <c r="J939" s="180"/>
      <c r="K939" s="182" t="s">
        <v>363</v>
      </c>
      <c r="R939" s="157"/>
      <c r="S939" s="157"/>
    </row>
    <row r="940">
      <c r="A940" s="179">
        <f t="shared" si="4"/>
        <v>937</v>
      </c>
      <c r="B940" s="180"/>
      <c r="C940" s="180" t="s">
        <v>208</v>
      </c>
      <c r="D940" s="180" t="s">
        <v>208</v>
      </c>
      <c r="E940" s="180" t="s">
        <v>208</v>
      </c>
      <c r="F940" s="180" t="s">
        <v>208</v>
      </c>
      <c r="G940" s="180" t="s">
        <v>208</v>
      </c>
      <c r="H940" s="181"/>
      <c r="I940" s="181"/>
      <c r="J940" s="180"/>
      <c r="K940" s="182" t="s">
        <v>363</v>
      </c>
      <c r="R940" s="163"/>
      <c r="S940" s="163"/>
    </row>
    <row r="941">
      <c r="A941" s="179">
        <f t="shared" si="4"/>
        <v>938</v>
      </c>
      <c r="B941" s="180"/>
      <c r="C941" s="180" t="s">
        <v>208</v>
      </c>
      <c r="D941" s="180" t="s">
        <v>208</v>
      </c>
      <c r="E941" s="180" t="s">
        <v>208</v>
      </c>
      <c r="F941" s="180" t="s">
        <v>208</v>
      </c>
      <c r="G941" s="180" t="s">
        <v>208</v>
      </c>
      <c r="H941" s="181"/>
      <c r="I941" s="181"/>
      <c r="J941" s="180"/>
      <c r="K941" s="182" t="s">
        <v>363</v>
      </c>
      <c r="R941" s="163"/>
      <c r="S941" s="163"/>
    </row>
    <row r="942">
      <c r="A942" s="179">
        <f t="shared" si="4"/>
        <v>939</v>
      </c>
      <c r="B942" s="180"/>
      <c r="C942" s="180" t="s">
        <v>208</v>
      </c>
      <c r="D942" s="180" t="s">
        <v>208</v>
      </c>
      <c r="E942" s="180" t="s">
        <v>208</v>
      </c>
      <c r="F942" s="180" t="s">
        <v>208</v>
      </c>
      <c r="G942" s="180" t="s">
        <v>208</v>
      </c>
      <c r="H942" s="181"/>
      <c r="I942" s="181"/>
      <c r="J942" s="180"/>
      <c r="K942" s="182" t="s">
        <v>363</v>
      </c>
      <c r="R942" s="163"/>
      <c r="S942" s="163"/>
    </row>
    <row r="943">
      <c r="A943" s="179">
        <f t="shared" si="4"/>
        <v>940</v>
      </c>
      <c r="B943" s="180"/>
      <c r="C943" s="180"/>
      <c r="D943" s="180" t="s">
        <v>243</v>
      </c>
      <c r="E943" s="180" t="s">
        <v>208</v>
      </c>
      <c r="F943" s="180" t="s">
        <v>208</v>
      </c>
      <c r="G943" s="180"/>
      <c r="H943" s="180" t="s">
        <v>208</v>
      </c>
      <c r="I943" s="181"/>
      <c r="J943" s="181"/>
      <c r="K943" s="182" t="s">
        <v>363</v>
      </c>
      <c r="R943" s="163"/>
      <c r="S943" s="163"/>
    </row>
    <row r="944">
      <c r="A944" s="179">
        <f t="shared" si="4"/>
        <v>941</v>
      </c>
      <c r="B944" s="180"/>
      <c r="C944" s="180" t="s">
        <v>208</v>
      </c>
      <c r="D944" s="180" t="s">
        <v>208</v>
      </c>
      <c r="E944" s="180" t="s">
        <v>208</v>
      </c>
      <c r="F944" s="180" t="s">
        <v>208</v>
      </c>
      <c r="G944" s="180" t="s">
        <v>208</v>
      </c>
      <c r="H944" s="181"/>
      <c r="I944" s="181"/>
      <c r="J944" s="180"/>
      <c r="K944" s="182" t="s">
        <v>363</v>
      </c>
      <c r="R944" s="163"/>
      <c r="S944" s="163"/>
    </row>
    <row r="945">
      <c r="A945" s="179">
        <f t="shared" si="4"/>
        <v>942</v>
      </c>
      <c r="B945" s="180"/>
      <c r="C945" s="180" t="s">
        <v>208</v>
      </c>
      <c r="D945" s="180" t="s">
        <v>208</v>
      </c>
      <c r="E945" s="180" t="s">
        <v>208</v>
      </c>
      <c r="F945" s="180" t="s">
        <v>208</v>
      </c>
      <c r="G945" s="180" t="s">
        <v>208</v>
      </c>
      <c r="H945" s="181"/>
      <c r="I945" s="181"/>
      <c r="J945" s="181"/>
      <c r="K945" s="182" t="s">
        <v>363</v>
      </c>
      <c r="R945" s="163"/>
      <c r="S945" s="163"/>
    </row>
    <row r="946">
      <c r="A946" s="179">
        <f t="shared" si="4"/>
        <v>943</v>
      </c>
      <c r="B946" s="180"/>
      <c r="C946" s="180" t="s">
        <v>208</v>
      </c>
      <c r="D946" s="180" t="s">
        <v>208</v>
      </c>
      <c r="E946" s="180" t="s">
        <v>208</v>
      </c>
      <c r="F946" s="180" t="s">
        <v>208</v>
      </c>
      <c r="G946" s="180" t="s">
        <v>208</v>
      </c>
      <c r="H946" s="181"/>
      <c r="I946" s="181"/>
      <c r="J946" s="181"/>
      <c r="K946" s="182" t="s">
        <v>363</v>
      </c>
      <c r="R946" s="163"/>
      <c r="S946" s="163"/>
    </row>
    <row r="947">
      <c r="A947" s="179">
        <f t="shared" si="4"/>
        <v>944</v>
      </c>
      <c r="B947" s="180"/>
      <c r="C947" s="180"/>
      <c r="D947" s="180" t="s">
        <v>208</v>
      </c>
      <c r="E947" s="180"/>
      <c r="F947" s="180" t="s">
        <v>208</v>
      </c>
      <c r="G947" s="180"/>
      <c r="H947" s="180" t="s">
        <v>208</v>
      </c>
      <c r="I947" s="181"/>
      <c r="J947" s="181"/>
      <c r="K947" s="182" t="s">
        <v>363</v>
      </c>
      <c r="R947" s="163"/>
      <c r="S947" s="163"/>
    </row>
    <row r="948">
      <c r="A948" s="179">
        <f t="shared" si="4"/>
        <v>945</v>
      </c>
      <c r="B948" s="180"/>
      <c r="C948" s="180" t="s">
        <v>208</v>
      </c>
      <c r="D948" s="180" t="s">
        <v>208</v>
      </c>
      <c r="E948" s="180" t="s">
        <v>208</v>
      </c>
      <c r="F948" s="180" t="s">
        <v>208</v>
      </c>
      <c r="G948" s="180" t="s">
        <v>208</v>
      </c>
      <c r="H948" s="181"/>
      <c r="I948" s="181"/>
      <c r="J948" s="180"/>
      <c r="K948" s="182" t="s">
        <v>363</v>
      </c>
      <c r="R948" s="163"/>
      <c r="S948" s="163"/>
    </row>
    <row r="949">
      <c r="A949" s="179">
        <f t="shared" si="4"/>
        <v>946</v>
      </c>
      <c r="B949" s="180"/>
      <c r="C949" s="180" t="s">
        <v>208</v>
      </c>
      <c r="D949" s="180" t="s">
        <v>208</v>
      </c>
      <c r="E949" s="180"/>
      <c r="F949" s="180" t="s">
        <v>208</v>
      </c>
      <c r="G949" s="180" t="s">
        <v>208</v>
      </c>
      <c r="H949" s="181"/>
      <c r="I949" s="181"/>
      <c r="J949" s="181"/>
      <c r="K949" s="182" t="s">
        <v>363</v>
      </c>
      <c r="R949" s="163"/>
      <c r="S949" s="163"/>
    </row>
    <row r="950">
      <c r="A950" s="179">
        <f t="shared" si="4"/>
        <v>947</v>
      </c>
      <c r="B950" s="180"/>
      <c r="C950" s="180" t="s">
        <v>208</v>
      </c>
      <c r="D950" s="180" t="s">
        <v>208</v>
      </c>
      <c r="E950" s="180" t="s">
        <v>208</v>
      </c>
      <c r="F950" s="180" t="s">
        <v>208</v>
      </c>
      <c r="G950" s="180" t="s">
        <v>208</v>
      </c>
      <c r="H950" s="181"/>
      <c r="I950" s="181"/>
      <c r="J950" s="181"/>
      <c r="K950" s="182" t="s">
        <v>363</v>
      </c>
      <c r="R950" s="173"/>
      <c r="S950" s="173"/>
    </row>
    <row r="951">
      <c r="A951" s="179">
        <f t="shared" si="4"/>
        <v>948</v>
      </c>
      <c r="B951" s="180"/>
      <c r="C951" s="180" t="s">
        <v>208</v>
      </c>
      <c r="D951" s="180" t="s">
        <v>208</v>
      </c>
      <c r="E951" s="180" t="s">
        <v>208</v>
      </c>
      <c r="F951" s="180" t="s">
        <v>208</v>
      </c>
      <c r="G951" s="180" t="s">
        <v>208</v>
      </c>
      <c r="H951" s="180"/>
      <c r="I951" s="181"/>
      <c r="J951" s="181"/>
      <c r="K951" s="182" t="s">
        <v>363</v>
      </c>
      <c r="R951" s="157"/>
      <c r="S951" s="157"/>
    </row>
    <row r="952">
      <c r="A952" s="179">
        <f t="shared" si="4"/>
        <v>949</v>
      </c>
      <c r="B952" s="180"/>
      <c r="C952" s="180" t="s">
        <v>208</v>
      </c>
      <c r="D952" s="180" t="s">
        <v>208</v>
      </c>
      <c r="E952" s="180" t="s">
        <v>208</v>
      </c>
      <c r="F952" s="180" t="s">
        <v>208</v>
      </c>
      <c r="G952" s="180" t="s">
        <v>208</v>
      </c>
      <c r="H952" s="180"/>
      <c r="I952" s="181"/>
      <c r="J952" s="181"/>
      <c r="K952" s="182" t="s">
        <v>363</v>
      </c>
      <c r="R952" s="163"/>
      <c r="S952" s="163"/>
    </row>
    <row r="953">
      <c r="A953" s="179">
        <f t="shared" si="4"/>
        <v>950</v>
      </c>
      <c r="B953" s="180"/>
      <c r="C953" s="180" t="s">
        <v>208</v>
      </c>
      <c r="D953" s="180" t="s">
        <v>208</v>
      </c>
      <c r="E953" s="180" t="s">
        <v>208</v>
      </c>
      <c r="F953" s="180" t="s">
        <v>208</v>
      </c>
      <c r="G953" s="180" t="s">
        <v>208</v>
      </c>
      <c r="H953" s="185"/>
      <c r="I953" s="181"/>
      <c r="J953" s="181"/>
      <c r="K953" s="182" t="s">
        <v>363</v>
      </c>
      <c r="R953" s="163"/>
      <c r="S953" s="163"/>
    </row>
    <row r="954">
      <c r="A954" s="179">
        <f t="shared" si="4"/>
        <v>951</v>
      </c>
      <c r="B954" s="180"/>
      <c r="C954" s="180" t="s">
        <v>208</v>
      </c>
      <c r="D954" s="180" t="s">
        <v>208</v>
      </c>
      <c r="E954" s="180" t="s">
        <v>208</v>
      </c>
      <c r="F954" s="180" t="s">
        <v>208</v>
      </c>
      <c r="G954" s="180" t="s">
        <v>208</v>
      </c>
      <c r="H954" s="185"/>
      <c r="I954" s="181"/>
      <c r="J954" s="181"/>
      <c r="K954" s="182" t="s">
        <v>363</v>
      </c>
      <c r="R954" s="163"/>
      <c r="S954" s="163"/>
    </row>
    <row r="955">
      <c r="A955" s="179">
        <f t="shared" si="4"/>
        <v>952</v>
      </c>
      <c r="B955" s="180"/>
      <c r="C955" s="180" t="s">
        <v>208</v>
      </c>
      <c r="D955" s="180" t="s">
        <v>208</v>
      </c>
      <c r="E955" s="180" t="s">
        <v>208</v>
      </c>
      <c r="F955" s="180" t="s">
        <v>208</v>
      </c>
      <c r="G955" s="180" t="s">
        <v>208</v>
      </c>
      <c r="H955" s="185"/>
      <c r="I955" s="181"/>
      <c r="J955" s="181"/>
      <c r="K955" s="182" t="s">
        <v>363</v>
      </c>
      <c r="R955" s="163"/>
      <c r="S955" s="163"/>
    </row>
    <row r="956">
      <c r="A956" s="179">
        <f t="shared" si="4"/>
        <v>953</v>
      </c>
      <c r="B956" s="180"/>
      <c r="C956" s="180" t="s">
        <v>208</v>
      </c>
      <c r="D956" s="180" t="s">
        <v>208</v>
      </c>
      <c r="E956" s="180" t="s">
        <v>208</v>
      </c>
      <c r="F956" s="180" t="s">
        <v>208</v>
      </c>
      <c r="G956" s="180" t="s">
        <v>208</v>
      </c>
      <c r="H956" s="185"/>
      <c r="I956" s="181"/>
      <c r="J956" s="181"/>
      <c r="K956" s="182" t="s">
        <v>363</v>
      </c>
      <c r="R956" s="163"/>
      <c r="S956" s="163"/>
    </row>
    <row r="957">
      <c r="A957" s="179">
        <f t="shared" si="4"/>
        <v>954</v>
      </c>
      <c r="B957" s="180"/>
      <c r="C957" s="180" t="s">
        <v>208</v>
      </c>
      <c r="D957" s="180" t="s">
        <v>208</v>
      </c>
      <c r="E957" s="180" t="s">
        <v>208</v>
      </c>
      <c r="F957" s="180" t="s">
        <v>208</v>
      </c>
      <c r="G957" s="180" t="s">
        <v>208</v>
      </c>
      <c r="H957" s="185"/>
      <c r="I957" s="181"/>
      <c r="J957" s="181"/>
      <c r="K957" s="182" t="s">
        <v>363</v>
      </c>
      <c r="R957" s="163"/>
      <c r="S957" s="163"/>
    </row>
    <row r="958">
      <c r="A958" s="179">
        <f t="shared" si="4"/>
        <v>955</v>
      </c>
      <c r="B958" s="180"/>
      <c r="C958" s="180" t="s">
        <v>208</v>
      </c>
      <c r="D958" s="180" t="s">
        <v>208</v>
      </c>
      <c r="E958" s="180" t="s">
        <v>208</v>
      </c>
      <c r="F958" s="180" t="s">
        <v>208</v>
      </c>
      <c r="G958" s="180" t="s">
        <v>208</v>
      </c>
      <c r="H958" s="185"/>
      <c r="I958" s="181"/>
      <c r="J958" s="181"/>
      <c r="K958" s="182" t="s">
        <v>363</v>
      </c>
      <c r="R958" s="163"/>
      <c r="S958" s="163"/>
    </row>
    <row r="959">
      <c r="A959" s="179">
        <f t="shared" si="4"/>
        <v>956</v>
      </c>
      <c r="B959" s="180"/>
      <c r="C959" s="180" t="s">
        <v>208</v>
      </c>
      <c r="D959" s="180" t="s">
        <v>208</v>
      </c>
      <c r="E959" s="180" t="s">
        <v>208</v>
      </c>
      <c r="F959" s="180" t="s">
        <v>208</v>
      </c>
      <c r="G959" s="180" t="s">
        <v>208</v>
      </c>
      <c r="H959" s="181"/>
      <c r="I959" s="181"/>
      <c r="J959" s="180"/>
      <c r="K959" s="182" t="s">
        <v>363</v>
      </c>
      <c r="R959" s="163"/>
      <c r="S959" s="163"/>
    </row>
    <row r="960">
      <c r="A960" s="179">
        <f t="shared" si="4"/>
        <v>957</v>
      </c>
      <c r="B960" s="180"/>
      <c r="C960" s="180" t="s">
        <v>208</v>
      </c>
      <c r="D960" s="180" t="s">
        <v>208</v>
      </c>
      <c r="E960" s="180" t="s">
        <v>208</v>
      </c>
      <c r="F960" s="180" t="s">
        <v>208</v>
      </c>
      <c r="G960" s="180" t="s">
        <v>208</v>
      </c>
      <c r="H960" s="181"/>
      <c r="I960" s="181"/>
      <c r="J960" s="181"/>
      <c r="K960" s="182" t="s">
        <v>363</v>
      </c>
      <c r="R960" s="163"/>
      <c r="S960" s="163"/>
    </row>
    <row r="961">
      <c r="A961" s="179">
        <f t="shared" si="4"/>
        <v>958</v>
      </c>
      <c r="B961" s="180"/>
      <c r="C961" s="180" t="s">
        <v>208</v>
      </c>
      <c r="D961" s="180" t="s">
        <v>208</v>
      </c>
      <c r="E961" s="180" t="s">
        <v>208</v>
      </c>
      <c r="F961" s="180" t="s">
        <v>208</v>
      </c>
      <c r="G961" s="180" t="s">
        <v>208</v>
      </c>
      <c r="H961" s="181"/>
      <c r="I961" s="181"/>
      <c r="J961" s="180"/>
      <c r="K961" s="182" t="s">
        <v>363</v>
      </c>
      <c r="R961" s="163"/>
      <c r="S961" s="163"/>
    </row>
    <row r="962">
      <c r="A962" s="179">
        <f t="shared" si="4"/>
        <v>959</v>
      </c>
      <c r="B962" s="180"/>
      <c r="C962" s="180" t="s">
        <v>208</v>
      </c>
      <c r="D962" s="180" t="s">
        <v>208</v>
      </c>
      <c r="E962" s="180" t="s">
        <v>208</v>
      </c>
      <c r="F962" s="180" t="s">
        <v>208</v>
      </c>
      <c r="G962" s="180" t="s">
        <v>208</v>
      </c>
      <c r="H962" s="181"/>
      <c r="I962" s="181"/>
      <c r="J962" s="180"/>
      <c r="K962" s="182" t="s">
        <v>363</v>
      </c>
      <c r="R962" s="173"/>
      <c r="S962" s="173"/>
    </row>
    <row r="963">
      <c r="A963" s="179">
        <f t="shared" si="4"/>
        <v>960</v>
      </c>
      <c r="B963" s="180"/>
      <c r="C963" s="180" t="s">
        <v>208</v>
      </c>
      <c r="D963" s="180" t="s">
        <v>208</v>
      </c>
      <c r="E963" s="180" t="s">
        <v>208</v>
      </c>
      <c r="F963" s="180" t="s">
        <v>208</v>
      </c>
      <c r="G963" s="180" t="s">
        <v>208</v>
      </c>
      <c r="H963" s="181"/>
      <c r="I963" s="181"/>
      <c r="J963" s="181"/>
      <c r="K963" s="182" t="s">
        <v>363</v>
      </c>
      <c r="R963" s="157"/>
      <c r="S963" s="157"/>
    </row>
    <row r="964">
      <c r="A964" s="179">
        <f t="shared" si="4"/>
        <v>961</v>
      </c>
      <c r="B964" s="180"/>
      <c r="C964" s="180"/>
      <c r="D964" s="180" t="s">
        <v>208</v>
      </c>
      <c r="E964" s="180" t="s">
        <v>208</v>
      </c>
      <c r="F964" s="180" t="s">
        <v>208</v>
      </c>
      <c r="G964" s="180"/>
      <c r="H964" s="180" t="s">
        <v>208</v>
      </c>
      <c r="I964" s="181"/>
      <c r="J964" s="181"/>
      <c r="K964" s="182" t="s">
        <v>363</v>
      </c>
      <c r="R964" s="163"/>
      <c r="S964" s="163"/>
    </row>
    <row r="965">
      <c r="A965" s="179">
        <f t="shared" si="4"/>
        <v>962</v>
      </c>
      <c r="B965" s="180"/>
      <c r="C965" s="180"/>
      <c r="D965" s="180" t="s">
        <v>208</v>
      </c>
      <c r="E965" s="180" t="s">
        <v>208</v>
      </c>
      <c r="F965" s="180" t="s">
        <v>208</v>
      </c>
      <c r="G965" s="180"/>
      <c r="H965" s="180" t="s">
        <v>208</v>
      </c>
      <c r="I965" s="181"/>
      <c r="J965" s="181"/>
      <c r="K965" s="182" t="s">
        <v>363</v>
      </c>
      <c r="R965" s="163"/>
      <c r="S965" s="163"/>
    </row>
    <row r="966">
      <c r="A966" s="179">
        <f t="shared" si="4"/>
        <v>963</v>
      </c>
      <c r="B966" s="180"/>
      <c r="C966" s="180"/>
      <c r="D966" s="180" t="s">
        <v>208</v>
      </c>
      <c r="E966" s="180" t="s">
        <v>208</v>
      </c>
      <c r="F966" s="180" t="s">
        <v>208</v>
      </c>
      <c r="G966" s="180"/>
      <c r="H966" s="180" t="s">
        <v>208</v>
      </c>
      <c r="I966" s="181"/>
      <c r="J966" s="181"/>
      <c r="K966" s="182" t="s">
        <v>363</v>
      </c>
      <c r="R966" s="163"/>
      <c r="S966" s="163"/>
    </row>
    <row r="967">
      <c r="A967" s="179">
        <f t="shared" si="4"/>
        <v>964</v>
      </c>
      <c r="B967" s="180"/>
      <c r="C967" s="180" t="s">
        <v>208</v>
      </c>
      <c r="D967" s="180" t="s">
        <v>243</v>
      </c>
      <c r="E967" s="180" t="s">
        <v>208</v>
      </c>
      <c r="F967" s="180" t="s">
        <v>208</v>
      </c>
      <c r="G967" s="180" t="s">
        <v>208</v>
      </c>
      <c r="H967" s="181"/>
      <c r="I967" s="181"/>
      <c r="J967" s="180"/>
      <c r="K967" s="182" t="s">
        <v>363</v>
      </c>
      <c r="R967" s="163"/>
      <c r="S967" s="163"/>
    </row>
    <row r="968">
      <c r="A968" s="179">
        <f t="shared" si="4"/>
        <v>965</v>
      </c>
      <c r="B968" s="180"/>
      <c r="C968" s="180" t="s">
        <v>208</v>
      </c>
      <c r="D968" s="180" t="s">
        <v>208</v>
      </c>
      <c r="E968" s="180" t="s">
        <v>208</v>
      </c>
      <c r="F968" s="180" t="s">
        <v>208</v>
      </c>
      <c r="G968" s="180" t="s">
        <v>208</v>
      </c>
      <c r="H968" s="181"/>
      <c r="I968" s="181"/>
      <c r="J968" s="180"/>
      <c r="K968" s="182" t="s">
        <v>363</v>
      </c>
      <c r="R968" s="163"/>
      <c r="S968" s="163"/>
    </row>
    <row r="969">
      <c r="A969" s="179">
        <f t="shared" si="4"/>
        <v>966</v>
      </c>
      <c r="B969" s="180"/>
      <c r="C969" s="180" t="s">
        <v>208</v>
      </c>
      <c r="D969" s="180" t="s">
        <v>208</v>
      </c>
      <c r="E969" s="180" t="s">
        <v>208</v>
      </c>
      <c r="F969" s="180" t="s">
        <v>208</v>
      </c>
      <c r="G969" s="180" t="s">
        <v>208</v>
      </c>
      <c r="H969" s="180"/>
      <c r="I969" s="181"/>
      <c r="J969" s="181"/>
      <c r="K969" s="182" t="s">
        <v>363</v>
      </c>
      <c r="R969" s="163"/>
      <c r="S969" s="163"/>
    </row>
    <row r="970">
      <c r="A970" s="179">
        <f t="shared" si="4"/>
        <v>967</v>
      </c>
      <c r="B970" s="180"/>
      <c r="C970" s="180" t="s">
        <v>208</v>
      </c>
      <c r="D970" s="180" t="s">
        <v>243</v>
      </c>
      <c r="E970" s="180" t="s">
        <v>208</v>
      </c>
      <c r="F970" s="180" t="s">
        <v>208</v>
      </c>
      <c r="G970" s="180" t="s">
        <v>208</v>
      </c>
      <c r="H970" s="181"/>
      <c r="I970" s="181"/>
      <c r="J970" s="181"/>
      <c r="K970" s="182" t="s">
        <v>363</v>
      </c>
      <c r="R970" s="163"/>
      <c r="S970" s="163"/>
    </row>
    <row r="971">
      <c r="A971" s="179">
        <f t="shared" si="4"/>
        <v>968</v>
      </c>
      <c r="B971" s="180"/>
      <c r="C971" s="180" t="s">
        <v>208</v>
      </c>
      <c r="D971" s="180" t="s">
        <v>208</v>
      </c>
      <c r="E971" s="180" t="s">
        <v>208</v>
      </c>
      <c r="F971" s="180" t="s">
        <v>208</v>
      </c>
      <c r="G971" s="180" t="s">
        <v>208</v>
      </c>
      <c r="H971" s="181"/>
      <c r="I971" s="181"/>
      <c r="J971" s="180"/>
      <c r="K971" s="182" t="s">
        <v>363</v>
      </c>
      <c r="R971" s="163"/>
      <c r="S971" s="163"/>
    </row>
    <row r="972">
      <c r="A972" s="179">
        <f t="shared" si="4"/>
        <v>969</v>
      </c>
      <c r="B972" s="180"/>
      <c r="C972" s="180" t="s">
        <v>208</v>
      </c>
      <c r="D972" s="180" t="s">
        <v>208</v>
      </c>
      <c r="E972" s="180"/>
      <c r="F972" s="180" t="s">
        <v>208</v>
      </c>
      <c r="G972" s="180" t="s">
        <v>208</v>
      </c>
      <c r="H972" s="181"/>
      <c r="I972" s="181"/>
      <c r="J972" s="181"/>
      <c r="K972" s="182" t="s">
        <v>363</v>
      </c>
      <c r="R972" s="163"/>
      <c r="S972" s="163"/>
    </row>
    <row r="973">
      <c r="A973" s="179">
        <f t="shared" si="4"/>
        <v>970</v>
      </c>
      <c r="B973" s="180"/>
      <c r="C973" s="180" t="s">
        <v>208</v>
      </c>
      <c r="D973" s="180" t="s">
        <v>208</v>
      </c>
      <c r="E973" s="180" t="s">
        <v>208</v>
      </c>
      <c r="F973" s="180" t="s">
        <v>208</v>
      </c>
      <c r="G973" s="180" t="s">
        <v>208</v>
      </c>
      <c r="H973" s="181"/>
      <c r="I973" s="181"/>
      <c r="J973" s="181"/>
      <c r="K973" s="182" t="s">
        <v>363</v>
      </c>
      <c r="R973" s="163"/>
      <c r="S973" s="163"/>
    </row>
    <row r="974">
      <c r="A974" s="179">
        <f t="shared" si="4"/>
        <v>971</v>
      </c>
      <c r="B974" s="180"/>
      <c r="C974" s="180" t="s">
        <v>208</v>
      </c>
      <c r="D974" s="180" t="s">
        <v>208</v>
      </c>
      <c r="E974" s="180" t="s">
        <v>208</v>
      </c>
      <c r="F974" s="180" t="s">
        <v>208</v>
      </c>
      <c r="G974" s="180" t="s">
        <v>208</v>
      </c>
      <c r="H974" s="181"/>
      <c r="I974" s="181"/>
      <c r="J974" s="181"/>
      <c r="K974" s="182" t="s">
        <v>363</v>
      </c>
      <c r="R974" s="173"/>
      <c r="S974" s="173"/>
    </row>
    <row r="975">
      <c r="A975" s="179">
        <f t="shared" si="4"/>
        <v>972</v>
      </c>
      <c r="B975" s="180"/>
      <c r="C975" s="180" t="s">
        <v>208</v>
      </c>
      <c r="D975" s="180"/>
      <c r="E975" s="180" t="s">
        <v>208</v>
      </c>
      <c r="F975" s="180" t="s">
        <v>208</v>
      </c>
      <c r="G975" s="180" t="s">
        <v>208</v>
      </c>
      <c r="H975" s="181"/>
      <c r="I975" s="181"/>
      <c r="J975" s="181"/>
      <c r="K975" s="182" t="s">
        <v>363</v>
      </c>
      <c r="R975" s="157"/>
      <c r="S975" s="157"/>
    </row>
    <row r="976">
      <c r="A976" s="179">
        <f t="shared" si="4"/>
        <v>973</v>
      </c>
      <c r="B976" s="180"/>
      <c r="C976" s="180" t="s">
        <v>208</v>
      </c>
      <c r="D976" s="180" t="s">
        <v>208</v>
      </c>
      <c r="E976" s="180" t="s">
        <v>208</v>
      </c>
      <c r="F976" s="180" t="s">
        <v>208</v>
      </c>
      <c r="G976" s="180" t="s">
        <v>208</v>
      </c>
      <c r="H976" s="181"/>
      <c r="I976" s="181"/>
      <c r="J976" s="181"/>
      <c r="K976" s="182" t="s">
        <v>363</v>
      </c>
      <c r="R976" s="163"/>
      <c r="S976" s="163"/>
    </row>
    <row r="977">
      <c r="A977" s="179">
        <f t="shared" si="4"/>
        <v>974</v>
      </c>
      <c r="B977" s="180"/>
      <c r="C977" s="180"/>
      <c r="D977" s="180" t="s">
        <v>208</v>
      </c>
      <c r="E977" s="180" t="s">
        <v>208</v>
      </c>
      <c r="F977" s="180" t="s">
        <v>208</v>
      </c>
      <c r="G977" s="180"/>
      <c r="H977" s="180" t="s">
        <v>208</v>
      </c>
      <c r="I977" s="181"/>
      <c r="J977" s="181"/>
      <c r="K977" s="182" t="s">
        <v>363</v>
      </c>
      <c r="R977" s="163"/>
      <c r="S977" s="163"/>
    </row>
    <row r="978">
      <c r="A978" s="179">
        <f t="shared" si="4"/>
        <v>975</v>
      </c>
      <c r="B978" s="180"/>
      <c r="C978" s="180"/>
      <c r="D978" s="180"/>
      <c r="E978" s="180"/>
      <c r="F978" s="180"/>
      <c r="G978" s="180"/>
      <c r="H978" s="181"/>
      <c r="I978" s="181"/>
      <c r="J978" s="180" t="s">
        <v>242</v>
      </c>
      <c r="K978" s="182" t="s">
        <v>363</v>
      </c>
      <c r="R978" s="163"/>
      <c r="S978" s="163"/>
    </row>
    <row r="979">
      <c r="A979" s="179">
        <f t="shared" si="4"/>
        <v>976</v>
      </c>
      <c r="B979" s="180"/>
      <c r="C979" s="180" t="s">
        <v>208</v>
      </c>
      <c r="D979" s="180" t="s">
        <v>208</v>
      </c>
      <c r="E979" s="180" t="s">
        <v>208</v>
      </c>
      <c r="F979" s="180" t="s">
        <v>208</v>
      </c>
      <c r="G979" s="180" t="s">
        <v>208</v>
      </c>
      <c r="H979" s="181"/>
      <c r="I979" s="181"/>
      <c r="J979" s="181"/>
      <c r="K979" s="182" t="s">
        <v>363</v>
      </c>
      <c r="R979" s="163"/>
      <c r="S979" s="163"/>
    </row>
    <row r="980">
      <c r="A980" s="179">
        <f t="shared" si="4"/>
        <v>977</v>
      </c>
      <c r="B980" s="180"/>
      <c r="C980" s="180" t="s">
        <v>208</v>
      </c>
      <c r="D980" s="180" t="s">
        <v>208</v>
      </c>
      <c r="E980" s="180" t="s">
        <v>208</v>
      </c>
      <c r="F980" s="180" t="s">
        <v>208</v>
      </c>
      <c r="G980" s="180" t="s">
        <v>208</v>
      </c>
      <c r="H980" s="181"/>
      <c r="I980" s="181"/>
      <c r="J980" s="181"/>
      <c r="K980" s="182" t="s">
        <v>363</v>
      </c>
      <c r="R980" s="163"/>
      <c r="S980" s="163"/>
    </row>
    <row r="981">
      <c r="A981" s="179">
        <f t="shared" si="4"/>
        <v>978</v>
      </c>
      <c r="B981" s="180"/>
      <c r="C981" s="180"/>
      <c r="D981" s="180" t="s">
        <v>208</v>
      </c>
      <c r="E981" s="180" t="s">
        <v>208</v>
      </c>
      <c r="F981" s="180" t="s">
        <v>208</v>
      </c>
      <c r="G981" s="180"/>
      <c r="H981" s="180" t="s">
        <v>208</v>
      </c>
      <c r="I981" s="181"/>
      <c r="J981" s="181"/>
      <c r="K981" s="182" t="s">
        <v>363</v>
      </c>
      <c r="R981" s="163"/>
      <c r="S981" s="163"/>
    </row>
    <row r="982">
      <c r="A982" s="179">
        <f t="shared" si="4"/>
        <v>979</v>
      </c>
      <c r="B982" s="180"/>
      <c r="C982" s="180" t="s">
        <v>208</v>
      </c>
      <c r="D982" s="180" t="s">
        <v>208</v>
      </c>
      <c r="E982" s="180" t="s">
        <v>208</v>
      </c>
      <c r="F982" s="180" t="s">
        <v>208</v>
      </c>
      <c r="G982" s="180" t="s">
        <v>208</v>
      </c>
      <c r="H982" s="181"/>
      <c r="I982" s="181"/>
      <c r="J982" s="181"/>
      <c r="K982" s="182" t="s">
        <v>363</v>
      </c>
      <c r="R982" s="163"/>
      <c r="S982" s="163"/>
    </row>
    <row r="983">
      <c r="A983" s="179">
        <f t="shared" si="4"/>
        <v>980</v>
      </c>
      <c r="B983" s="180"/>
      <c r="C983" s="180" t="s">
        <v>208</v>
      </c>
      <c r="D983" s="180" t="s">
        <v>208</v>
      </c>
      <c r="E983" s="180" t="s">
        <v>208</v>
      </c>
      <c r="F983" s="180" t="s">
        <v>208</v>
      </c>
      <c r="G983" s="180" t="s">
        <v>208</v>
      </c>
      <c r="H983" s="180"/>
      <c r="I983" s="181"/>
      <c r="J983" s="180"/>
      <c r="K983" s="182" t="s">
        <v>363</v>
      </c>
      <c r="R983" s="163"/>
      <c r="S983" s="163"/>
    </row>
    <row r="984">
      <c r="A984" s="179">
        <f t="shared" si="4"/>
        <v>981</v>
      </c>
      <c r="B984" s="180"/>
      <c r="C984" s="180" t="s">
        <v>208</v>
      </c>
      <c r="D984" s="180" t="s">
        <v>243</v>
      </c>
      <c r="E984" s="180" t="s">
        <v>208</v>
      </c>
      <c r="F984" s="180" t="s">
        <v>208</v>
      </c>
      <c r="G984" s="180" t="s">
        <v>208</v>
      </c>
      <c r="H984" s="180"/>
      <c r="I984" s="181"/>
      <c r="J984" s="181"/>
      <c r="K984" s="182" t="s">
        <v>363</v>
      </c>
      <c r="R984" s="163"/>
      <c r="S984" s="163"/>
    </row>
    <row r="985">
      <c r="A985" s="179">
        <f t="shared" si="4"/>
        <v>982</v>
      </c>
      <c r="B985" s="180"/>
      <c r="C985" s="180" t="s">
        <v>208</v>
      </c>
      <c r="D985" s="180" t="s">
        <v>208</v>
      </c>
      <c r="E985" s="180" t="s">
        <v>208</v>
      </c>
      <c r="F985" s="180" t="s">
        <v>208</v>
      </c>
      <c r="G985" s="180" t="s">
        <v>208</v>
      </c>
      <c r="H985" s="180"/>
      <c r="I985" s="181"/>
      <c r="J985" s="181"/>
      <c r="K985" s="182" t="s">
        <v>363</v>
      </c>
      <c r="R985" s="163"/>
      <c r="S985" s="163"/>
    </row>
    <row r="986">
      <c r="A986" s="179">
        <f t="shared" si="4"/>
        <v>983</v>
      </c>
      <c r="B986" s="180"/>
      <c r="C986" s="180" t="s">
        <v>208</v>
      </c>
      <c r="D986" s="180" t="s">
        <v>208</v>
      </c>
      <c r="E986" s="180" t="s">
        <v>208</v>
      </c>
      <c r="F986" s="180" t="s">
        <v>208</v>
      </c>
      <c r="G986" s="180" t="s">
        <v>208</v>
      </c>
      <c r="H986" s="181"/>
      <c r="I986" s="181"/>
      <c r="J986" s="181"/>
      <c r="K986" s="182" t="s">
        <v>363</v>
      </c>
      <c r="R986" s="173"/>
      <c r="S986" s="173"/>
    </row>
    <row r="987">
      <c r="A987" s="179">
        <f t="shared" si="4"/>
        <v>984</v>
      </c>
      <c r="B987" s="180"/>
      <c r="C987" s="180" t="s">
        <v>208</v>
      </c>
      <c r="D987" s="180" t="s">
        <v>208</v>
      </c>
      <c r="E987" s="180" t="s">
        <v>208</v>
      </c>
      <c r="F987" s="180" t="s">
        <v>208</v>
      </c>
      <c r="G987" s="180" t="s">
        <v>208</v>
      </c>
      <c r="H987" s="181"/>
      <c r="I987" s="181"/>
      <c r="J987" s="181"/>
      <c r="K987" s="182" t="s">
        <v>363</v>
      </c>
      <c r="R987" s="157"/>
      <c r="S987" s="157"/>
    </row>
    <row r="988">
      <c r="A988" s="179">
        <f t="shared" si="4"/>
        <v>985</v>
      </c>
      <c r="B988" s="180"/>
      <c r="C988" s="180" t="s">
        <v>208</v>
      </c>
      <c r="D988" s="180" t="s">
        <v>208</v>
      </c>
      <c r="E988" s="180" t="s">
        <v>208</v>
      </c>
      <c r="F988" s="180" t="s">
        <v>208</v>
      </c>
      <c r="G988" s="180" t="s">
        <v>208</v>
      </c>
      <c r="H988" s="181"/>
      <c r="I988" s="181"/>
      <c r="J988" s="181"/>
      <c r="K988" s="182" t="s">
        <v>363</v>
      </c>
      <c r="R988" s="163"/>
      <c r="S988" s="163"/>
    </row>
    <row r="989">
      <c r="A989" s="179">
        <f t="shared" si="4"/>
        <v>986</v>
      </c>
      <c r="B989" s="180"/>
      <c r="C989" s="180"/>
      <c r="D989" s="180"/>
      <c r="E989" s="180"/>
      <c r="F989" s="180" t="s">
        <v>208</v>
      </c>
      <c r="G989" s="180" t="s">
        <v>208</v>
      </c>
      <c r="H989" s="181"/>
      <c r="I989" s="181"/>
      <c r="J989" s="181"/>
      <c r="K989" s="182" t="s">
        <v>363</v>
      </c>
      <c r="R989" s="163"/>
      <c r="S989" s="163"/>
    </row>
    <row r="990">
      <c r="A990" s="179">
        <f t="shared" si="4"/>
        <v>987</v>
      </c>
      <c r="B990" s="180"/>
      <c r="C990" s="180"/>
      <c r="D990" s="180"/>
      <c r="E990" s="180"/>
      <c r="F990" s="180"/>
      <c r="G990" s="180"/>
      <c r="H990" s="181"/>
      <c r="I990" s="181"/>
      <c r="J990" s="180" t="s">
        <v>242</v>
      </c>
      <c r="K990" s="182" t="s">
        <v>363</v>
      </c>
      <c r="R990" s="163"/>
      <c r="S990" s="163"/>
    </row>
    <row r="991">
      <c r="A991" s="179">
        <f t="shared" si="4"/>
        <v>988</v>
      </c>
      <c r="B991" s="180"/>
      <c r="C991" s="180" t="s">
        <v>208</v>
      </c>
      <c r="D991" s="180" t="s">
        <v>208</v>
      </c>
      <c r="E991" s="180" t="s">
        <v>208</v>
      </c>
      <c r="F991" s="180" t="s">
        <v>208</v>
      </c>
      <c r="G991" s="180" t="s">
        <v>208</v>
      </c>
      <c r="H991" s="181"/>
      <c r="I991" s="181"/>
      <c r="J991" s="181"/>
      <c r="K991" s="182" t="s">
        <v>363</v>
      </c>
      <c r="R991" s="163"/>
      <c r="S991" s="163"/>
    </row>
    <row r="992">
      <c r="A992" s="179">
        <f t="shared" si="4"/>
        <v>989</v>
      </c>
      <c r="B992" s="180"/>
      <c r="C992" s="180" t="s">
        <v>208</v>
      </c>
      <c r="D992" s="180" t="s">
        <v>208</v>
      </c>
      <c r="E992" s="180" t="s">
        <v>208</v>
      </c>
      <c r="F992" s="180" t="s">
        <v>208</v>
      </c>
      <c r="G992" s="180" t="s">
        <v>208</v>
      </c>
      <c r="H992" s="180"/>
      <c r="I992" s="181"/>
      <c r="J992" s="181"/>
      <c r="K992" s="182" t="s">
        <v>363</v>
      </c>
      <c r="R992" s="163"/>
      <c r="S992" s="163"/>
    </row>
    <row r="993">
      <c r="A993" s="179">
        <f t="shared" si="4"/>
        <v>990</v>
      </c>
      <c r="B993" s="180"/>
      <c r="C993" s="180" t="s">
        <v>208</v>
      </c>
      <c r="D993" s="180" t="s">
        <v>208</v>
      </c>
      <c r="E993" s="180" t="s">
        <v>208</v>
      </c>
      <c r="F993" s="180" t="s">
        <v>208</v>
      </c>
      <c r="G993" s="180" t="s">
        <v>208</v>
      </c>
      <c r="H993" s="181"/>
      <c r="I993" s="181"/>
      <c r="J993" s="181"/>
      <c r="K993" s="182" t="s">
        <v>363</v>
      </c>
      <c r="R993" s="163"/>
      <c r="S993" s="163"/>
    </row>
    <row r="994">
      <c r="A994" s="179">
        <f t="shared" si="4"/>
        <v>991</v>
      </c>
      <c r="B994" s="180"/>
      <c r="C994" s="180" t="s">
        <v>208</v>
      </c>
      <c r="D994" s="180" t="s">
        <v>208</v>
      </c>
      <c r="E994" s="180" t="s">
        <v>208</v>
      </c>
      <c r="F994" s="180" t="s">
        <v>208</v>
      </c>
      <c r="G994" s="180" t="s">
        <v>208</v>
      </c>
      <c r="H994" s="181"/>
      <c r="I994" s="181"/>
      <c r="J994" s="181"/>
      <c r="K994" s="182" t="s">
        <v>363</v>
      </c>
      <c r="R994" s="163"/>
      <c r="S994" s="163"/>
    </row>
    <row r="995">
      <c r="A995" s="179">
        <f t="shared" si="4"/>
        <v>992</v>
      </c>
      <c r="B995" s="180"/>
      <c r="C995" s="180" t="s">
        <v>208</v>
      </c>
      <c r="D995" s="180" t="s">
        <v>208</v>
      </c>
      <c r="E995" s="180" t="s">
        <v>208</v>
      </c>
      <c r="F995" s="180" t="s">
        <v>208</v>
      </c>
      <c r="G995" s="180" t="s">
        <v>208</v>
      </c>
      <c r="H995" s="181"/>
      <c r="I995" s="181"/>
      <c r="J995" s="181"/>
      <c r="K995" s="182" t="s">
        <v>363</v>
      </c>
      <c r="R995" s="163"/>
      <c r="S995" s="163"/>
    </row>
    <row r="996">
      <c r="A996" s="179">
        <f t="shared" si="4"/>
        <v>993</v>
      </c>
      <c r="B996" s="180"/>
      <c r="C996" s="180" t="s">
        <v>208</v>
      </c>
      <c r="D996" s="180" t="s">
        <v>243</v>
      </c>
      <c r="E996" s="180" t="s">
        <v>208</v>
      </c>
      <c r="F996" s="180" t="s">
        <v>208</v>
      </c>
      <c r="G996" s="180" t="s">
        <v>208</v>
      </c>
      <c r="H996" s="181"/>
      <c r="I996" s="181"/>
      <c r="J996" s="181"/>
      <c r="K996" s="182" t="s">
        <v>363</v>
      </c>
      <c r="R996" s="163"/>
      <c r="S996" s="163"/>
    </row>
    <row r="997">
      <c r="A997" s="179">
        <f t="shared" si="4"/>
        <v>994</v>
      </c>
      <c r="B997" s="180"/>
      <c r="C997" s="180" t="s">
        <v>208</v>
      </c>
      <c r="D997" s="180" t="s">
        <v>208</v>
      </c>
      <c r="E997" s="180" t="s">
        <v>208</v>
      </c>
      <c r="F997" s="180" t="s">
        <v>208</v>
      </c>
      <c r="G997" s="180" t="s">
        <v>208</v>
      </c>
      <c r="H997" s="181"/>
      <c r="I997" s="181"/>
      <c r="J997" s="181"/>
      <c r="K997" s="182" t="s">
        <v>363</v>
      </c>
      <c r="R997" s="163"/>
      <c r="S997" s="163"/>
    </row>
    <row r="998">
      <c r="A998" s="179">
        <f t="shared" si="4"/>
        <v>995</v>
      </c>
      <c r="B998" s="180"/>
      <c r="C998" s="180" t="s">
        <v>208</v>
      </c>
      <c r="D998" s="180" t="s">
        <v>208</v>
      </c>
      <c r="E998" s="180" t="s">
        <v>208</v>
      </c>
      <c r="F998" s="180" t="s">
        <v>208</v>
      </c>
      <c r="G998" s="180" t="s">
        <v>208</v>
      </c>
      <c r="H998" s="181"/>
      <c r="I998" s="181"/>
      <c r="J998" s="181"/>
      <c r="K998" s="182" t="s">
        <v>363</v>
      </c>
      <c r="R998" s="173"/>
      <c r="S998" s="173"/>
    </row>
    <row r="999">
      <c r="A999" s="179">
        <f t="shared" si="4"/>
        <v>996</v>
      </c>
      <c r="B999" s="180"/>
      <c r="C999" s="180" t="s">
        <v>208</v>
      </c>
      <c r="D999" s="180" t="s">
        <v>208</v>
      </c>
      <c r="E999" s="180" t="s">
        <v>208</v>
      </c>
      <c r="F999" s="180" t="s">
        <v>208</v>
      </c>
      <c r="G999" s="180" t="s">
        <v>208</v>
      </c>
      <c r="H999" s="181"/>
      <c r="I999" s="181"/>
      <c r="J999" s="181"/>
      <c r="K999" s="182" t="s">
        <v>363</v>
      </c>
      <c r="R999" s="157"/>
      <c r="S999" s="157"/>
    </row>
    <row r="1000">
      <c r="A1000" s="179">
        <f t="shared" si="4"/>
        <v>997</v>
      </c>
      <c r="B1000" s="180"/>
      <c r="C1000" s="180" t="s">
        <v>208</v>
      </c>
      <c r="D1000" s="180" t="s">
        <v>208</v>
      </c>
      <c r="E1000" s="180" t="s">
        <v>208</v>
      </c>
      <c r="F1000" s="180" t="s">
        <v>208</v>
      </c>
      <c r="G1000" s="180" t="s">
        <v>208</v>
      </c>
      <c r="H1000" s="181"/>
      <c r="I1000" s="181"/>
      <c r="J1000" s="181"/>
      <c r="K1000" s="182" t="s">
        <v>363</v>
      </c>
      <c r="R1000" s="163"/>
      <c r="S1000" s="163"/>
    </row>
    <row r="1001">
      <c r="A1001" s="179">
        <f t="shared" si="4"/>
        <v>998</v>
      </c>
      <c r="B1001" s="180"/>
      <c r="C1001" s="180" t="s">
        <v>208</v>
      </c>
      <c r="D1001" s="180" t="s">
        <v>208</v>
      </c>
      <c r="E1001" s="180" t="s">
        <v>208</v>
      </c>
      <c r="F1001" s="180" t="s">
        <v>208</v>
      </c>
      <c r="G1001" s="180" t="s">
        <v>208</v>
      </c>
      <c r="H1001" s="180"/>
      <c r="I1001" s="181"/>
      <c r="J1001" s="181"/>
      <c r="K1001" s="182" t="s">
        <v>363</v>
      </c>
      <c r="R1001" s="163"/>
      <c r="S1001" s="163"/>
    </row>
    <row r="1002">
      <c r="A1002" s="179">
        <f t="shared" si="4"/>
        <v>999</v>
      </c>
      <c r="B1002" s="180"/>
      <c r="C1002" s="180"/>
      <c r="D1002" s="180" t="s">
        <v>208</v>
      </c>
      <c r="E1002" s="180" t="s">
        <v>208</v>
      </c>
      <c r="F1002" s="180" t="s">
        <v>208</v>
      </c>
      <c r="G1002" s="180"/>
      <c r="H1002" s="180" t="s">
        <v>208</v>
      </c>
      <c r="I1002" s="181"/>
      <c r="J1002" s="180"/>
      <c r="K1002" s="182" t="s">
        <v>363</v>
      </c>
      <c r="R1002" s="163"/>
      <c r="S1002" s="163"/>
    </row>
    <row r="1003">
      <c r="A1003" s="179">
        <f t="shared" si="4"/>
        <v>1000</v>
      </c>
      <c r="B1003" s="180"/>
      <c r="C1003" s="180"/>
      <c r="D1003" s="180"/>
      <c r="E1003" s="180"/>
      <c r="F1003" s="180"/>
      <c r="G1003" s="180"/>
      <c r="H1003" s="181"/>
      <c r="I1003" s="181"/>
      <c r="J1003" s="180" t="s">
        <v>242</v>
      </c>
      <c r="K1003" s="182" t="s">
        <v>363</v>
      </c>
      <c r="R1003" s="163"/>
      <c r="S1003" s="163"/>
    </row>
    <row r="1004">
      <c r="A1004" s="179">
        <f t="shared" si="4"/>
        <v>1001</v>
      </c>
      <c r="B1004" s="180"/>
      <c r="C1004" s="180" t="s">
        <v>208</v>
      </c>
      <c r="D1004" s="180" t="s">
        <v>208</v>
      </c>
      <c r="E1004" s="180" t="s">
        <v>208</v>
      </c>
      <c r="F1004" s="180" t="s">
        <v>208</v>
      </c>
      <c r="G1004" s="180" t="s">
        <v>208</v>
      </c>
      <c r="H1004" s="181"/>
      <c r="I1004" s="181"/>
      <c r="J1004" s="181"/>
      <c r="K1004" s="182" t="s">
        <v>363</v>
      </c>
      <c r="R1004" s="163"/>
      <c r="S1004" s="163"/>
    </row>
    <row r="1005">
      <c r="A1005" s="179">
        <f t="shared" si="4"/>
        <v>1002</v>
      </c>
      <c r="B1005" s="180"/>
      <c r="C1005" s="180" t="s">
        <v>208</v>
      </c>
      <c r="D1005" s="180" t="s">
        <v>208</v>
      </c>
      <c r="E1005" s="180" t="s">
        <v>208</v>
      </c>
      <c r="F1005" s="180" t="s">
        <v>208</v>
      </c>
      <c r="G1005" s="180" t="s">
        <v>208</v>
      </c>
      <c r="H1005" s="181"/>
      <c r="I1005" s="181"/>
      <c r="J1005" s="181"/>
      <c r="K1005" s="182" t="s">
        <v>363</v>
      </c>
      <c r="R1005" s="163"/>
      <c r="S1005" s="163"/>
    </row>
    <row r="1006">
      <c r="A1006" s="179">
        <f t="shared" si="4"/>
        <v>1003</v>
      </c>
      <c r="B1006" s="181"/>
      <c r="C1006" s="180" t="s">
        <v>208</v>
      </c>
      <c r="D1006" s="180" t="s">
        <v>208</v>
      </c>
      <c r="E1006" s="180" t="s">
        <v>208</v>
      </c>
      <c r="F1006" s="180" t="s">
        <v>208</v>
      </c>
      <c r="G1006" s="180" t="s">
        <v>208</v>
      </c>
      <c r="H1006" s="180"/>
      <c r="I1006" s="181"/>
      <c r="J1006" s="181"/>
      <c r="K1006" s="182" t="s">
        <v>363</v>
      </c>
      <c r="R1006" s="163"/>
      <c r="S1006" s="163"/>
    </row>
    <row r="1007">
      <c r="A1007" s="179">
        <f t="shared" si="4"/>
        <v>1004</v>
      </c>
      <c r="B1007" s="180"/>
      <c r="C1007" s="180" t="s">
        <v>208</v>
      </c>
      <c r="D1007" s="180"/>
      <c r="E1007" s="180" t="s">
        <v>208</v>
      </c>
      <c r="F1007" s="180" t="s">
        <v>208</v>
      </c>
      <c r="G1007" s="180" t="s">
        <v>208</v>
      </c>
      <c r="H1007" s="181"/>
      <c r="I1007" s="181"/>
      <c r="J1007" s="180"/>
      <c r="K1007" s="182" t="s">
        <v>363</v>
      </c>
      <c r="R1007" s="163"/>
      <c r="S1007" s="163"/>
    </row>
    <row r="1008">
      <c r="A1008" s="179">
        <f t="shared" si="4"/>
        <v>1005</v>
      </c>
      <c r="B1008" s="180"/>
      <c r="C1008" s="180" t="s">
        <v>208</v>
      </c>
      <c r="D1008" s="180" t="s">
        <v>208</v>
      </c>
      <c r="E1008" s="180" t="s">
        <v>208</v>
      </c>
      <c r="F1008" s="180" t="s">
        <v>208</v>
      </c>
      <c r="G1008" s="180" t="s">
        <v>208</v>
      </c>
      <c r="H1008" s="181"/>
      <c r="I1008" s="181"/>
      <c r="J1008" s="181"/>
      <c r="K1008" s="182" t="s">
        <v>363</v>
      </c>
      <c r="R1008" s="163"/>
      <c r="S1008" s="163"/>
    </row>
    <row r="1009">
      <c r="A1009" s="179">
        <f t="shared" si="4"/>
        <v>1006</v>
      </c>
      <c r="B1009" s="180"/>
      <c r="C1009" s="180" t="s">
        <v>208</v>
      </c>
      <c r="D1009" s="180" t="s">
        <v>208</v>
      </c>
      <c r="E1009" s="180"/>
      <c r="F1009" s="180" t="s">
        <v>208</v>
      </c>
      <c r="G1009" s="180" t="s">
        <v>208</v>
      </c>
      <c r="H1009" s="181"/>
      <c r="I1009" s="181"/>
      <c r="J1009" s="180"/>
      <c r="K1009" s="182" t="s">
        <v>363</v>
      </c>
      <c r="R1009" s="163"/>
      <c r="S1009" s="163"/>
    </row>
    <row r="1010">
      <c r="A1010" s="179">
        <f t="shared" si="4"/>
        <v>1007</v>
      </c>
      <c r="B1010" s="180"/>
      <c r="C1010" s="180" t="s">
        <v>208</v>
      </c>
      <c r="D1010" s="180" t="s">
        <v>208</v>
      </c>
      <c r="E1010" s="180" t="s">
        <v>208</v>
      </c>
      <c r="F1010" s="180" t="s">
        <v>208</v>
      </c>
      <c r="G1010" s="180" t="s">
        <v>208</v>
      </c>
      <c r="H1010" s="181"/>
      <c r="I1010" s="181"/>
      <c r="J1010" s="181"/>
      <c r="K1010" s="182" t="s">
        <v>363</v>
      </c>
      <c r="R1010" s="173"/>
      <c r="S1010" s="173"/>
    </row>
    <row r="1011">
      <c r="A1011" s="179">
        <f t="shared" si="4"/>
        <v>1008</v>
      </c>
      <c r="B1011" s="180"/>
      <c r="C1011" s="180" t="s">
        <v>208</v>
      </c>
      <c r="D1011" s="180" t="s">
        <v>208</v>
      </c>
      <c r="E1011" s="180" t="s">
        <v>208</v>
      </c>
      <c r="F1011" s="180" t="s">
        <v>208</v>
      </c>
      <c r="G1011" s="180" t="s">
        <v>208</v>
      </c>
      <c r="H1011" s="181"/>
      <c r="I1011" s="181"/>
      <c r="J1011" s="181"/>
      <c r="K1011" s="182" t="s">
        <v>363</v>
      </c>
      <c r="R1011" s="157"/>
      <c r="S1011" s="157"/>
    </row>
    <row r="1012">
      <c r="A1012" s="179">
        <f t="shared" si="4"/>
        <v>1009</v>
      </c>
      <c r="B1012" s="180"/>
      <c r="C1012" s="180" t="s">
        <v>208</v>
      </c>
      <c r="D1012" s="180" t="s">
        <v>208</v>
      </c>
      <c r="E1012" s="180" t="s">
        <v>208</v>
      </c>
      <c r="F1012" s="180" t="s">
        <v>208</v>
      </c>
      <c r="G1012" s="180" t="s">
        <v>208</v>
      </c>
      <c r="H1012" s="180"/>
      <c r="I1012" s="181"/>
      <c r="J1012" s="181"/>
      <c r="K1012" s="182" t="s">
        <v>363</v>
      </c>
      <c r="R1012" s="163"/>
      <c r="S1012" s="163"/>
    </row>
    <row r="1013">
      <c r="A1013" s="179">
        <f t="shared" si="4"/>
        <v>1010</v>
      </c>
      <c r="B1013" s="180"/>
      <c r="C1013" s="180" t="s">
        <v>208</v>
      </c>
      <c r="D1013" s="180" t="s">
        <v>208</v>
      </c>
      <c r="E1013" s="180" t="s">
        <v>208</v>
      </c>
      <c r="F1013" s="180" t="s">
        <v>208</v>
      </c>
      <c r="G1013" s="180" t="s">
        <v>208</v>
      </c>
      <c r="H1013" s="185"/>
      <c r="I1013" s="181"/>
      <c r="J1013" s="181"/>
      <c r="K1013" s="182" t="s">
        <v>363</v>
      </c>
      <c r="R1013" s="163"/>
      <c r="S1013" s="163"/>
    </row>
    <row r="1014">
      <c r="A1014" s="179">
        <f t="shared" si="4"/>
        <v>1011</v>
      </c>
      <c r="B1014" s="180"/>
      <c r="C1014" s="180" t="s">
        <v>208</v>
      </c>
      <c r="D1014" s="180" t="s">
        <v>208</v>
      </c>
      <c r="E1014" s="180" t="s">
        <v>208</v>
      </c>
      <c r="F1014" s="180" t="s">
        <v>208</v>
      </c>
      <c r="G1014" s="180" t="s">
        <v>208</v>
      </c>
      <c r="H1014" s="181"/>
      <c r="I1014" s="181"/>
      <c r="J1014" s="181"/>
      <c r="K1014" s="182" t="s">
        <v>363</v>
      </c>
      <c r="R1014" s="163"/>
      <c r="S1014" s="163"/>
    </row>
    <row r="1015">
      <c r="A1015" s="179">
        <f t="shared" si="4"/>
        <v>1012</v>
      </c>
      <c r="B1015" s="180"/>
      <c r="C1015" s="180" t="s">
        <v>208</v>
      </c>
      <c r="D1015" s="180" t="s">
        <v>208</v>
      </c>
      <c r="E1015" s="180" t="s">
        <v>208</v>
      </c>
      <c r="F1015" s="180" t="s">
        <v>208</v>
      </c>
      <c r="G1015" s="180" t="s">
        <v>208</v>
      </c>
      <c r="H1015" s="181"/>
      <c r="I1015" s="181"/>
      <c r="J1015" s="181"/>
      <c r="K1015" s="182" t="s">
        <v>363</v>
      </c>
      <c r="R1015" s="163"/>
      <c r="S1015" s="163"/>
    </row>
    <row r="1016">
      <c r="A1016" s="179">
        <f t="shared" si="4"/>
        <v>1013</v>
      </c>
      <c r="B1016" s="180"/>
      <c r="C1016" s="180" t="s">
        <v>208</v>
      </c>
      <c r="D1016" s="180" t="s">
        <v>208</v>
      </c>
      <c r="E1016" s="180" t="s">
        <v>208</v>
      </c>
      <c r="F1016" s="180" t="s">
        <v>208</v>
      </c>
      <c r="G1016" s="180" t="s">
        <v>208</v>
      </c>
      <c r="H1016" s="181"/>
      <c r="I1016" s="181"/>
      <c r="J1016" s="181"/>
      <c r="K1016" s="182" t="s">
        <v>363</v>
      </c>
      <c r="R1016" s="163"/>
      <c r="S1016" s="163"/>
    </row>
    <row r="1017">
      <c r="A1017" s="179">
        <f t="shared" si="4"/>
        <v>1014</v>
      </c>
      <c r="B1017" s="180"/>
      <c r="C1017" s="180" t="s">
        <v>208</v>
      </c>
      <c r="D1017" s="180" t="s">
        <v>208</v>
      </c>
      <c r="E1017" s="180" t="s">
        <v>208</v>
      </c>
      <c r="F1017" s="180" t="s">
        <v>208</v>
      </c>
      <c r="G1017" s="180" t="s">
        <v>208</v>
      </c>
      <c r="H1017" s="181"/>
      <c r="I1017" s="181"/>
      <c r="J1017" s="181"/>
      <c r="K1017" s="182" t="s">
        <v>363</v>
      </c>
      <c r="R1017" s="163"/>
      <c r="S1017" s="163"/>
    </row>
    <row r="1018">
      <c r="A1018" s="179">
        <f t="shared" si="4"/>
        <v>1015</v>
      </c>
      <c r="B1018" s="180"/>
      <c r="C1018" s="180" t="s">
        <v>208</v>
      </c>
      <c r="D1018" s="180" t="s">
        <v>208</v>
      </c>
      <c r="E1018" s="180" t="s">
        <v>208</v>
      </c>
      <c r="F1018" s="180" t="s">
        <v>208</v>
      </c>
      <c r="G1018" s="180" t="s">
        <v>208</v>
      </c>
      <c r="H1018" s="181"/>
      <c r="I1018" s="181"/>
      <c r="J1018" s="181"/>
      <c r="K1018" s="182" t="s">
        <v>363</v>
      </c>
      <c r="R1018" s="163"/>
      <c r="S1018" s="163"/>
    </row>
    <row r="1019">
      <c r="A1019" s="179">
        <f t="shared" si="4"/>
        <v>1016</v>
      </c>
      <c r="B1019" s="180"/>
      <c r="C1019" s="180" t="s">
        <v>208</v>
      </c>
      <c r="D1019" s="180" t="s">
        <v>208</v>
      </c>
      <c r="E1019" s="180" t="s">
        <v>208</v>
      </c>
      <c r="F1019" s="180" t="s">
        <v>208</v>
      </c>
      <c r="G1019" s="180" t="s">
        <v>208</v>
      </c>
      <c r="H1019" s="181"/>
      <c r="I1019" s="181"/>
      <c r="J1019" s="180"/>
      <c r="K1019" s="182" t="s">
        <v>363</v>
      </c>
      <c r="R1019" s="163"/>
      <c r="S1019" s="163"/>
    </row>
    <row r="1020">
      <c r="A1020" s="179">
        <f t="shared" si="4"/>
        <v>1017</v>
      </c>
      <c r="B1020" s="180"/>
      <c r="C1020" s="180" t="s">
        <v>208</v>
      </c>
      <c r="D1020" s="180" t="s">
        <v>208</v>
      </c>
      <c r="E1020" s="180" t="s">
        <v>208</v>
      </c>
      <c r="F1020" s="180" t="s">
        <v>208</v>
      </c>
      <c r="G1020" s="180" t="s">
        <v>208</v>
      </c>
      <c r="H1020" s="185"/>
      <c r="I1020" s="181"/>
      <c r="J1020" s="181"/>
      <c r="K1020" s="182" t="s">
        <v>363</v>
      </c>
      <c r="R1020" s="163"/>
      <c r="S1020" s="163"/>
    </row>
    <row r="1021">
      <c r="A1021" s="179">
        <f t="shared" si="4"/>
        <v>1018</v>
      </c>
      <c r="B1021" s="180"/>
      <c r="C1021" s="180"/>
      <c r="D1021" s="180" t="s">
        <v>208</v>
      </c>
      <c r="E1021" s="180" t="s">
        <v>208</v>
      </c>
      <c r="F1021" s="180" t="s">
        <v>208</v>
      </c>
      <c r="G1021" s="181"/>
      <c r="H1021" s="180" t="s">
        <v>208</v>
      </c>
      <c r="I1021" s="181"/>
      <c r="J1021" s="180"/>
      <c r="K1021" s="182" t="s">
        <v>363</v>
      </c>
      <c r="R1021" s="163"/>
      <c r="S1021" s="163"/>
    </row>
    <row r="1022">
      <c r="A1022" s="179">
        <f t="shared" si="4"/>
        <v>1019</v>
      </c>
      <c r="B1022" s="181"/>
      <c r="C1022" s="180"/>
      <c r="D1022" s="180" t="s">
        <v>208</v>
      </c>
      <c r="E1022" s="180" t="s">
        <v>208</v>
      </c>
      <c r="F1022" s="180" t="s">
        <v>208</v>
      </c>
      <c r="G1022" s="180"/>
      <c r="H1022" s="180" t="s">
        <v>208</v>
      </c>
      <c r="I1022" s="181"/>
      <c r="J1022" s="181"/>
      <c r="K1022" s="182" t="s">
        <v>363</v>
      </c>
      <c r="R1022" s="173"/>
      <c r="S1022" s="173"/>
    </row>
    <row r="1023">
      <c r="A1023" s="179">
        <f t="shared" si="4"/>
        <v>1020</v>
      </c>
      <c r="B1023" s="180"/>
      <c r="C1023" s="180" t="s">
        <v>208</v>
      </c>
      <c r="D1023" s="180" t="s">
        <v>208</v>
      </c>
      <c r="E1023" s="180" t="s">
        <v>208</v>
      </c>
      <c r="F1023" s="180" t="s">
        <v>208</v>
      </c>
      <c r="G1023" s="180" t="s">
        <v>208</v>
      </c>
      <c r="H1023" s="181"/>
      <c r="I1023" s="181"/>
      <c r="J1023" s="181"/>
      <c r="K1023" s="182" t="s">
        <v>363</v>
      </c>
      <c r="R1023" s="157"/>
      <c r="S1023" s="157"/>
    </row>
    <row r="1024">
      <c r="A1024" s="179">
        <f t="shared" si="4"/>
        <v>1021</v>
      </c>
      <c r="B1024" s="180"/>
      <c r="C1024" s="180" t="s">
        <v>208</v>
      </c>
      <c r="D1024" s="180" t="s">
        <v>208</v>
      </c>
      <c r="E1024" s="180" t="s">
        <v>208</v>
      </c>
      <c r="F1024" s="180" t="s">
        <v>208</v>
      </c>
      <c r="G1024" s="180" t="s">
        <v>208</v>
      </c>
      <c r="H1024" s="180"/>
      <c r="I1024" s="181"/>
      <c r="J1024" s="180"/>
      <c r="K1024" s="182" t="s">
        <v>363</v>
      </c>
      <c r="R1024" s="163"/>
      <c r="S1024" s="163"/>
    </row>
    <row r="1025">
      <c r="A1025" s="179">
        <f t="shared" si="4"/>
        <v>1022</v>
      </c>
      <c r="B1025" s="180"/>
      <c r="C1025" s="180" t="s">
        <v>208</v>
      </c>
      <c r="D1025" s="180" t="s">
        <v>208</v>
      </c>
      <c r="E1025" s="180" t="s">
        <v>208</v>
      </c>
      <c r="F1025" s="180" t="s">
        <v>208</v>
      </c>
      <c r="G1025" s="180" t="s">
        <v>208</v>
      </c>
      <c r="H1025" s="180"/>
      <c r="I1025" s="181"/>
      <c r="J1025" s="181"/>
      <c r="K1025" s="182" t="s">
        <v>363</v>
      </c>
      <c r="R1025" s="163"/>
      <c r="S1025" s="163"/>
    </row>
    <row r="1026">
      <c r="A1026" s="179">
        <f t="shared" si="4"/>
        <v>1023</v>
      </c>
      <c r="B1026" s="180"/>
      <c r="C1026" s="180" t="s">
        <v>208</v>
      </c>
      <c r="D1026" s="180" t="s">
        <v>208</v>
      </c>
      <c r="E1026" s="180" t="s">
        <v>208</v>
      </c>
      <c r="F1026" s="180" t="s">
        <v>208</v>
      </c>
      <c r="G1026" s="180" t="s">
        <v>208</v>
      </c>
      <c r="H1026" s="181"/>
      <c r="I1026" s="181"/>
      <c r="J1026" s="181"/>
      <c r="K1026" s="182" t="s">
        <v>363</v>
      </c>
      <c r="R1026" s="163"/>
      <c r="S1026" s="163"/>
    </row>
    <row r="1027">
      <c r="A1027" s="179">
        <f t="shared" si="4"/>
        <v>1024</v>
      </c>
      <c r="B1027" s="180"/>
      <c r="C1027" s="180" t="s">
        <v>208</v>
      </c>
      <c r="D1027" s="180" t="s">
        <v>208</v>
      </c>
      <c r="E1027" s="180" t="s">
        <v>208</v>
      </c>
      <c r="F1027" s="180" t="s">
        <v>208</v>
      </c>
      <c r="G1027" s="180" t="s">
        <v>208</v>
      </c>
      <c r="H1027" s="181"/>
      <c r="I1027" s="181"/>
      <c r="J1027" s="180"/>
      <c r="K1027" s="182" t="s">
        <v>363</v>
      </c>
      <c r="R1027" s="163"/>
      <c r="S1027" s="163"/>
    </row>
    <row r="1028">
      <c r="A1028" s="179">
        <f t="shared" si="4"/>
        <v>1025</v>
      </c>
      <c r="B1028" s="180"/>
      <c r="C1028" s="180"/>
      <c r="D1028" s="180" t="s">
        <v>208</v>
      </c>
      <c r="E1028" s="180" t="s">
        <v>208</v>
      </c>
      <c r="F1028" s="180" t="s">
        <v>208</v>
      </c>
      <c r="G1028" s="180"/>
      <c r="H1028" s="180" t="s">
        <v>208</v>
      </c>
      <c r="I1028" s="181"/>
      <c r="J1028" s="181"/>
      <c r="K1028" s="182" t="s">
        <v>363</v>
      </c>
      <c r="R1028" s="163"/>
      <c r="S1028" s="163"/>
    </row>
    <row r="1029">
      <c r="A1029" s="179">
        <f t="shared" si="4"/>
        <v>1026</v>
      </c>
      <c r="B1029" s="180"/>
      <c r="C1029" s="180" t="s">
        <v>208</v>
      </c>
      <c r="D1029" s="180" t="s">
        <v>208</v>
      </c>
      <c r="E1029" s="180"/>
      <c r="F1029" s="180" t="s">
        <v>208</v>
      </c>
      <c r="G1029" s="180" t="s">
        <v>208</v>
      </c>
      <c r="H1029" s="181"/>
      <c r="I1029" s="181"/>
      <c r="J1029" s="181"/>
      <c r="K1029" s="182" t="s">
        <v>363</v>
      </c>
      <c r="R1029" s="163"/>
      <c r="S1029" s="163"/>
    </row>
    <row r="1030">
      <c r="A1030" s="179">
        <f t="shared" si="4"/>
        <v>1027</v>
      </c>
      <c r="B1030" s="180"/>
      <c r="C1030" s="180" t="s">
        <v>208</v>
      </c>
      <c r="D1030" s="180" t="s">
        <v>208</v>
      </c>
      <c r="E1030" s="180" t="s">
        <v>208</v>
      </c>
      <c r="F1030" s="180" t="s">
        <v>208</v>
      </c>
      <c r="G1030" s="180" t="s">
        <v>208</v>
      </c>
      <c r="H1030" s="181"/>
      <c r="I1030" s="181"/>
      <c r="J1030" s="181"/>
      <c r="K1030" s="182" t="s">
        <v>363</v>
      </c>
      <c r="R1030" s="163"/>
      <c r="S1030" s="163"/>
    </row>
    <row r="1031">
      <c r="A1031" s="179">
        <f t="shared" si="4"/>
        <v>1028</v>
      </c>
      <c r="B1031" s="180"/>
      <c r="C1031" s="180"/>
      <c r="D1031" s="180" t="s">
        <v>208</v>
      </c>
      <c r="E1031" s="180" t="s">
        <v>208</v>
      </c>
      <c r="F1031" s="180" t="s">
        <v>208</v>
      </c>
      <c r="G1031" s="180"/>
      <c r="H1031" s="180" t="s">
        <v>208</v>
      </c>
      <c r="I1031" s="181"/>
      <c r="J1031" s="180"/>
      <c r="K1031" s="182" t="s">
        <v>363</v>
      </c>
      <c r="R1031" s="163"/>
      <c r="S1031" s="163"/>
    </row>
    <row r="1032">
      <c r="A1032" s="179">
        <f t="shared" si="4"/>
        <v>1029</v>
      </c>
      <c r="B1032" s="180"/>
      <c r="C1032" s="180"/>
      <c r="D1032" s="180" t="s">
        <v>208</v>
      </c>
      <c r="E1032" s="180" t="s">
        <v>208</v>
      </c>
      <c r="F1032" s="180" t="s">
        <v>208</v>
      </c>
      <c r="G1032" s="180"/>
      <c r="H1032" s="180" t="s">
        <v>208</v>
      </c>
      <c r="I1032" s="181"/>
      <c r="J1032" s="181"/>
      <c r="K1032" s="182" t="s">
        <v>363</v>
      </c>
      <c r="R1032" s="163"/>
      <c r="S1032" s="163"/>
    </row>
    <row r="1033">
      <c r="A1033" s="179">
        <f t="shared" si="4"/>
        <v>1030</v>
      </c>
      <c r="B1033" s="180"/>
      <c r="C1033" s="180" t="s">
        <v>208</v>
      </c>
      <c r="D1033" s="180" t="s">
        <v>208</v>
      </c>
      <c r="E1033" s="180"/>
      <c r="F1033" s="180" t="s">
        <v>208</v>
      </c>
      <c r="G1033" s="180" t="s">
        <v>208</v>
      </c>
      <c r="H1033" s="180"/>
      <c r="I1033" s="181"/>
      <c r="J1033" s="181"/>
      <c r="K1033" s="182" t="s">
        <v>363</v>
      </c>
      <c r="R1033" s="163"/>
      <c r="S1033" s="163"/>
    </row>
    <row r="1034">
      <c r="A1034" s="179">
        <f t="shared" si="4"/>
        <v>1031</v>
      </c>
      <c r="B1034" s="180"/>
      <c r="C1034" s="180"/>
      <c r="D1034" s="180" t="s">
        <v>208</v>
      </c>
      <c r="E1034" s="180" t="s">
        <v>208</v>
      </c>
      <c r="F1034" s="180" t="s">
        <v>208</v>
      </c>
      <c r="G1034" s="180"/>
      <c r="H1034" s="180" t="s">
        <v>208</v>
      </c>
      <c r="I1034" s="181"/>
      <c r="J1034" s="181"/>
      <c r="K1034" s="182" t="s">
        <v>363</v>
      </c>
      <c r="R1034" s="173"/>
      <c r="S1034" s="173"/>
    </row>
    <row r="1035">
      <c r="A1035" s="179">
        <f t="shared" si="4"/>
        <v>1032</v>
      </c>
      <c r="B1035" s="180"/>
      <c r="C1035" s="180"/>
      <c r="D1035" s="180" t="s">
        <v>208</v>
      </c>
      <c r="E1035" s="180" t="s">
        <v>208</v>
      </c>
      <c r="F1035" s="180" t="s">
        <v>208</v>
      </c>
      <c r="G1035" s="180"/>
      <c r="H1035" s="180" t="s">
        <v>208</v>
      </c>
      <c r="I1035" s="181"/>
      <c r="J1035" s="181"/>
      <c r="K1035" s="182" t="s">
        <v>363</v>
      </c>
      <c r="R1035" s="157"/>
      <c r="S1035" s="157"/>
    </row>
    <row r="1036">
      <c r="A1036" s="179">
        <f t="shared" si="4"/>
        <v>1033</v>
      </c>
      <c r="B1036" s="180"/>
      <c r="C1036" s="180" t="s">
        <v>208</v>
      </c>
      <c r="D1036" s="180" t="s">
        <v>208</v>
      </c>
      <c r="E1036" s="180" t="s">
        <v>208</v>
      </c>
      <c r="F1036" s="180" t="s">
        <v>208</v>
      </c>
      <c r="G1036" s="180" t="s">
        <v>208</v>
      </c>
      <c r="H1036" s="180"/>
      <c r="I1036" s="181"/>
      <c r="J1036" s="181"/>
      <c r="K1036" s="182" t="s">
        <v>363</v>
      </c>
      <c r="R1036" s="163"/>
      <c r="S1036" s="163"/>
    </row>
    <row r="1037">
      <c r="A1037" s="179">
        <f t="shared" si="4"/>
        <v>1034</v>
      </c>
      <c r="B1037" s="180"/>
      <c r="C1037" s="180" t="s">
        <v>208</v>
      </c>
      <c r="D1037" s="180" t="s">
        <v>243</v>
      </c>
      <c r="E1037" s="180" t="s">
        <v>208</v>
      </c>
      <c r="F1037" s="180" t="s">
        <v>208</v>
      </c>
      <c r="G1037" s="180" t="s">
        <v>208</v>
      </c>
      <c r="H1037" s="181"/>
      <c r="I1037" s="181"/>
      <c r="J1037" s="181"/>
      <c r="K1037" s="182" t="s">
        <v>363</v>
      </c>
      <c r="R1037" s="163"/>
      <c r="S1037" s="163"/>
    </row>
    <row r="1038">
      <c r="A1038" s="179">
        <f t="shared" si="4"/>
        <v>1035</v>
      </c>
      <c r="B1038" s="180"/>
      <c r="C1038" s="180" t="s">
        <v>208</v>
      </c>
      <c r="D1038" s="180" t="s">
        <v>208</v>
      </c>
      <c r="E1038" s="180" t="s">
        <v>208</v>
      </c>
      <c r="F1038" s="180" t="s">
        <v>208</v>
      </c>
      <c r="G1038" s="180" t="s">
        <v>208</v>
      </c>
      <c r="H1038" s="180"/>
      <c r="I1038" s="181"/>
      <c r="J1038" s="181"/>
      <c r="K1038" s="182" t="s">
        <v>363</v>
      </c>
      <c r="R1038" s="163"/>
      <c r="S1038" s="163"/>
    </row>
    <row r="1039">
      <c r="A1039" s="179">
        <f t="shared" si="4"/>
        <v>1036</v>
      </c>
      <c r="B1039" s="180"/>
      <c r="C1039" s="180" t="s">
        <v>208</v>
      </c>
      <c r="D1039" s="180" t="s">
        <v>208</v>
      </c>
      <c r="E1039" s="180" t="s">
        <v>208</v>
      </c>
      <c r="F1039" s="180" t="s">
        <v>208</v>
      </c>
      <c r="G1039" s="180" t="s">
        <v>208</v>
      </c>
      <c r="H1039" s="180"/>
      <c r="I1039" s="181"/>
      <c r="J1039" s="180"/>
      <c r="K1039" s="182" t="s">
        <v>363</v>
      </c>
      <c r="R1039" s="163"/>
      <c r="S1039" s="163"/>
    </row>
    <row r="1040">
      <c r="A1040" s="179">
        <f t="shared" si="4"/>
        <v>1037</v>
      </c>
      <c r="B1040" s="181"/>
      <c r="C1040" s="180" t="s">
        <v>208</v>
      </c>
      <c r="D1040" s="180" t="s">
        <v>208</v>
      </c>
      <c r="E1040" s="180"/>
      <c r="F1040" s="180" t="s">
        <v>208</v>
      </c>
      <c r="G1040" s="180" t="s">
        <v>208</v>
      </c>
      <c r="H1040" s="181"/>
      <c r="I1040" s="181"/>
      <c r="J1040" s="180"/>
      <c r="K1040" s="182" t="s">
        <v>363</v>
      </c>
      <c r="R1040" s="163"/>
      <c r="S1040" s="163"/>
    </row>
    <row r="1041">
      <c r="A1041" s="179">
        <f t="shared" si="4"/>
        <v>1038</v>
      </c>
      <c r="B1041" s="181"/>
      <c r="C1041" s="180" t="s">
        <v>208</v>
      </c>
      <c r="D1041" s="180" t="s">
        <v>208</v>
      </c>
      <c r="E1041" s="180" t="s">
        <v>208</v>
      </c>
      <c r="F1041" s="180" t="s">
        <v>208</v>
      </c>
      <c r="G1041" s="180" t="s">
        <v>208</v>
      </c>
      <c r="H1041" s="180"/>
      <c r="I1041" s="181"/>
      <c r="J1041" s="181"/>
      <c r="K1041" s="182" t="s">
        <v>363</v>
      </c>
      <c r="R1041" s="163"/>
      <c r="S1041" s="163"/>
    </row>
    <row r="1042">
      <c r="A1042" s="179">
        <f t="shared" si="4"/>
        <v>1039</v>
      </c>
      <c r="B1042" s="181"/>
      <c r="C1042" s="180" t="s">
        <v>208</v>
      </c>
      <c r="D1042" s="180" t="s">
        <v>208</v>
      </c>
      <c r="E1042" s="180" t="s">
        <v>208</v>
      </c>
      <c r="F1042" s="180" t="s">
        <v>208</v>
      </c>
      <c r="G1042" s="180" t="s">
        <v>208</v>
      </c>
      <c r="H1042" s="180"/>
      <c r="I1042" s="181"/>
      <c r="J1042" s="181"/>
      <c r="K1042" s="182" t="s">
        <v>363</v>
      </c>
      <c r="R1042" s="163"/>
      <c r="S1042" s="163"/>
    </row>
    <row r="1043">
      <c r="A1043" s="179">
        <f t="shared" si="4"/>
        <v>1040</v>
      </c>
      <c r="B1043" s="180"/>
      <c r="C1043" s="180" t="s">
        <v>208</v>
      </c>
      <c r="D1043" s="180" t="s">
        <v>208</v>
      </c>
      <c r="E1043" s="180" t="s">
        <v>208</v>
      </c>
      <c r="F1043" s="180" t="s">
        <v>208</v>
      </c>
      <c r="G1043" s="180" t="s">
        <v>208</v>
      </c>
      <c r="H1043" s="181"/>
      <c r="I1043" s="181"/>
      <c r="J1043" s="181"/>
      <c r="K1043" s="182" t="s">
        <v>363</v>
      </c>
      <c r="R1043" s="163"/>
      <c r="S1043" s="163"/>
    </row>
    <row r="1044">
      <c r="A1044" s="179">
        <f t="shared" si="4"/>
        <v>1041</v>
      </c>
      <c r="B1044" s="180"/>
      <c r="C1044" s="180" t="s">
        <v>208</v>
      </c>
      <c r="D1044" s="180" t="s">
        <v>208</v>
      </c>
      <c r="E1044" s="180" t="s">
        <v>208</v>
      </c>
      <c r="F1044" s="180" t="s">
        <v>208</v>
      </c>
      <c r="G1044" s="180" t="s">
        <v>208</v>
      </c>
      <c r="H1044" s="181"/>
      <c r="I1044" s="181"/>
      <c r="J1044" s="181"/>
      <c r="K1044" s="182" t="s">
        <v>363</v>
      </c>
      <c r="R1044" s="163"/>
      <c r="S1044" s="163"/>
    </row>
    <row r="1045">
      <c r="A1045" s="179">
        <f t="shared" si="4"/>
        <v>1042</v>
      </c>
      <c r="B1045" s="180"/>
      <c r="C1045" s="180" t="s">
        <v>208</v>
      </c>
      <c r="D1045" s="180" t="s">
        <v>208</v>
      </c>
      <c r="E1045" s="180" t="s">
        <v>208</v>
      </c>
      <c r="F1045" s="180" t="s">
        <v>208</v>
      </c>
      <c r="G1045" s="180" t="s">
        <v>208</v>
      </c>
      <c r="H1045" s="185"/>
      <c r="I1045" s="181"/>
      <c r="J1045" s="181"/>
      <c r="K1045" s="182" t="s">
        <v>363</v>
      </c>
      <c r="R1045" s="163"/>
      <c r="S1045" s="163"/>
    </row>
    <row r="1046">
      <c r="A1046" s="179">
        <f t="shared" si="4"/>
        <v>1043</v>
      </c>
      <c r="B1046" s="180"/>
      <c r="C1046" s="180" t="s">
        <v>208</v>
      </c>
      <c r="D1046" s="180" t="s">
        <v>208</v>
      </c>
      <c r="E1046" s="180" t="s">
        <v>208</v>
      </c>
      <c r="F1046" s="180" t="s">
        <v>208</v>
      </c>
      <c r="G1046" s="180" t="s">
        <v>208</v>
      </c>
      <c r="H1046" s="180"/>
      <c r="I1046" s="181"/>
      <c r="J1046" s="180"/>
      <c r="K1046" s="182" t="s">
        <v>363</v>
      </c>
      <c r="R1046" s="173"/>
      <c r="S1046" s="173"/>
    </row>
    <row r="1047">
      <c r="A1047" s="179">
        <f t="shared" si="4"/>
        <v>1044</v>
      </c>
      <c r="B1047" s="180"/>
      <c r="C1047" s="180" t="s">
        <v>208</v>
      </c>
      <c r="D1047" s="180" t="s">
        <v>208</v>
      </c>
      <c r="E1047" s="180" t="s">
        <v>208</v>
      </c>
      <c r="F1047" s="180" t="s">
        <v>208</v>
      </c>
      <c r="G1047" s="180" t="s">
        <v>208</v>
      </c>
      <c r="H1047" s="180"/>
      <c r="I1047" s="181"/>
      <c r="J1047" s="180"/>
      <c r="K1047" s="182" t="s">
        <v>363</v>
      </c>
      <c r="R1047" s="157"/>
      <c r="S1047" s="157"/>
    </row>
    <row r="1048">
      <c r="A1048" s="179">
        <f t="shared" si="4"/>
        <v>1045</v>
      </c>
      <c r="B1048" s="180"/>
      <c r="C1048" s="180" t="s">
        <v>208</v>
      </c>
      <c r="D1048" s="180" t="s">
        <v>208</v>
      </c>
      <c r="E1048" s="180" t="s">
        <v>208</v>
      </c>
      <c r="F1048" s="180" t="s">
        <v>208</v>
      </c>
      <c r="G1048" s="180" t="s">
        <v>208</v>
      </c>
      <c r="H1048" s="180"/>
      <c r="I1048" s="181"/>
      <c r="J1048" s="180"/>
      <c r="K1048" s="182" t="s">
        <v>363</v>
      </c>
      <c r="R1048" s="163"/>
      <c r="S1048" s="163"/>
    </row>
    <row r="1049">
      <c r="A1049" s="179">
        <f t="shared" si="4"/>
        <v>1046</v>
      </c>
      <c r="B1049" s="180"/>
      <c r="C1049" s="180" t="s">
        <v>208</v>
      </c>
      <c r="D1049" s="180" t="s">
        <v>208</v>
      </c>
      <c r="E1049" s="180" t="s">
        <v>208</v>
      </c>
      <c r="F1049" s="180" t="s">
        <v>208</v>
      </c>
      <c r="G1049" s="180" t="s">
        <v>208</v>
      </c>
      <c r="H1049" s="181"/>
      <c r="I1049" s="181"/>
      <c r="J1049" s="180"/>
      <c r="K1049" s="182" t="s">
        <v>363</v>
      </c>
      <c r="R1049" s="163"/>
      <c r="S1049" s="163"/>
    </row>
    <row r="1050">
      <c r="A1050" s="179">
        <f t="shared" si="4"/>
        <v>1047</v>
      </c>
      <c r="B1050" s="181"/>
      <c r="C1050" s="180" t="s">
        <v>208</v>
      </c>
      <c r="D1050" s="180" t="s">
        <v>208</v>
      </c>
      <c r="E1050" s="180" t="s">
        <v>208</v>
      </c>
      <c r="F1050" s="180" t="s">
        <v>208</v>
      </c>
      <c r="G1050" s="180" t="s">
        <v>208</v>
      </c>
      <c r="H1050" s="180"/>
      <c r="I1050" s="181"/>
      <c r="J1050" s="180"/>
      <c r="K1050" s="182" t="s">
        <v>363</v>
      </c>
      <c r="R1050" s="163"/>
      <c r="S1050" s="163"/>
    </row>
    <row r="1051">
      <c r="A1051" s="179">
        <f t="shared" si="4"/>
        <v>1048</v>
      </c>
      <c r="B1051" s="180"/>
      <c r="C1051" s="180" t="s">
        <v>208</v>
      </c>
      <c r="D1051" s="180" t="s">
        <v>208</v>
      </c>
      <c r="E1051" s="180"/>
      <c r="F1051" s="180" t="s">
        <v>208</v>
      </c>
      <c r="G1051" s="180" t="s">
        <v>208</v>
      </c>
      <c r="H1051" s="181"/>
      <c r="I1051" s="181"/>
      <c r="J1051" s="181"/>
      <c r="K1051" s="182" t="s">
        <v>363</v>
      </c>
      <c r="R1051" s="163"/>
      <c r="S1051" s="163"/>
    </row>
    <row r="1052">
      <c r="A1052" s="179">
        <f t="shared" si="4"/>
        <v>1049</v>
      </c>
      <c r="B1052" s="180"/>
      <c r="C1052" s="180" t="s">
        <v>208</v>
      </c>
      <c r="D1052" s="180" t="s">
        <v>208</v>
      </c>
      <c r="E1052" s="180" t="s">
        <v>208</v>
      </c>
      <c r="F1052" s="180" t="s">
        <v>208</v>
      </c>
      <c r="G1052" s="180" t="s">
        <v>208</v>
      </c>
      <c r="H1052" s="181"/>
      <c r="I1052" s="181"/>
      <c r="J1052" s="180"/>
      <c r="K1052" s="182" t="s">
        <v>363</v>
      </c>
      <c r="R1052" s="163"/>
      <c r="S1052" s="163"/>
    </row>
    <row r="1053">
      <c r="A1053" s="179">
        <f t="shared" si="4"/>
        <v>1050</v>
      </c>
      <c r="B1053" s="181"/>
      <c r="C1053" s="180" t="s">
        <v>208</v>
      </c>
      <c r="D1053" s="180" t="s">
        <v>243</v>
      </c>
      <c r="E1053" s="180" t="s">
        <v>208</v>
      </c>
      <c r="F1053" s="180" t="s">
        <v>208</v>
      </c>
      <c r="G1053" s="180" t="s">
        <v>208</v>
      </c>
      <c r="H1053" s="181"/>
      <c r="I1053" s="181"/>
      <c r="J1053" s="180"/>
      <c r="K1053" s="182" t="s">
        <v>363</v>
      </c>
      <c r="R1053" s="163"/>
      <c r="S1053" s="163"/>
    </row>
    <row r="1054">
      <c r="A1054" s="179">
        <f t="shared" si="4"/>
        <v>1051</v>
      </c>
      <c r="B1054" s="180"/>
      <c r="C1054" s="180" t="s">
        <v>208</v>
      </c>
      <c r="D1054" s="180" t="s">
        <v>208</v>
      </c>
      <c r="E1054" s="180" t="s">
        <v>208</v>
      </c>
      <c r="F1054" s="180" t="s">
        <v>208</v>
      </c>
      <c r="G1054" s="180" t="s">
        <v>208</v>
      </c>
      <c r="H1054" s="181"/>
      <c r="I1054" s="181"/>
      <c r="J1054" s="180"/>
      <c r="K1054" s="182" t="s">
        <v>363</v>
      </c>
      <c r="R1054" s="163"/>
      <c r="S1054" s="163"/>
    </row>
    <row r="1055">
      <c r="A1055" s="179">
        <f t="shared" si="4"/>
        <v>1052</v>
      </c>
      <c r="B1055" s="180"/>
      <c r="C1055" s="180" t="s">
        <v>208</v>
      </c>
      <c r="D1055" s="180" t="s">
        <v>208</v>
      </c>
      <c r="E1055" s="180" t="s">
        <v>208</v>
      </c>
      <c r="F1055" s="180" t="s">
        <v>208</v>
      </c>
      <c r="G1055" s="180" t="s">
        <v>208</v>
      </c>
      <c r="H1055" s="181"/>
      <c r="I1055" s="181"/>
      <c r="J1055" s="181"/>
      <c r="K1055" s="182" t="s">
        <v>363</v>
      </c>
      <c r="R1055" s="163"/>
      <c r="S1055" s="163"/>
    </row>
    <row r="1056">
      <c r="A1056" s="179">
        <f t="shared" si="4"/>
        <v>1053</v>
      </c>
      <c r="B1056" s="180"/>
      <c r="C1056" s="180" t="s">
        <v>208</v>
      </c>
      <c r="D1056" s="180" t="s">
        <v>208</v>
      </c>
      <c r="E1056" s="180" t="s">
        <v>208</v>
      </c>
      <c r="F1056" s="180" t="s">
        <v>243</v>
      </c>
      <c r="G1056" s="180" t="s">
        <v>208</v>
      </c>
      <c r="H1056" s="181"/>
      <c r="I1056" s="181"/>
      <c r="J1056" s="181"/>
      <c r="K1056" s="182" t="s">
        <v>363</v>
      </c>
      <c r="R1056" s="163"/>
      <c r="S1056" s="163"/>
    </row>
    <row r="1057">
      <c r="A1057" s="179">
        <f t="shared" si="4"/>
        <v>1054</v>
      </c>
      <c r="B1057" s="181"/>
      <c r="C1057" s="180"/>
      <c r="D1057" s="180" t="s">
        <v>208</v>
      </c>
      <c r="E1057" s="180" t="s">
        <v>208</v>
      </c>
      <c r="F1057" s="180" t="s">
        <v>208</v>
      </c>
      <c r="G1057" s="180"/>
      <c r="H1057" s="180" t="s">
        <v>208</v>
      </c>
      <c r="I1057" s="181"/>
      <c r="J1057" s="181"/>
      <c r="K1057" s="182" t="s">
        <v>363</v>
      </c>
      <c r="R1057" s="163"/>
      <c r="S1057" s="163"/>
    </row>
    <row r="1058">
      <c r="A1058" s="179">
        <f t="shared" si="4"/>
        <v>1055</v>
      </c>
      <c r="B1058" s="180"/>
      <c r="C1058" s="180" t="s">
        <v>208</v>
      </c>
      <c r="D1058" s="180" t="s">
        <v>243</v>
      </c>
      <c r="E1058" s="180"/>
      <c r="F1058" s="180" t="s">
        <v>208</v>
      </c>
      <c r="G1058" s="180" t="s">
        <v>208</v>
      </c>
      <c r="H1058" s="181"/>
      <c r="I1058" s="181"/>
      <c r="J1058" s="181"/>
      <c r="K1058" s="182" t="s">
        <v>363</v>
      </c>
      <c r="R1058" s="173"/>
      <c r="S1058" s="173"/>
    </row>
    <row r="1059">
      <c r="A1059" s="179">
        <f t="shared" si="4"/>
        <v>1056</v>
      </c>
      <c r="B1059" s="180"/>
      <c r="C1059" s="180" t="s">
        <v>208</v>
      </c>
      <c r="D1059" s="180" t="s">
        <v>208</v>
      </c>
      <c r="E1059" s="180" t="s">
        <v>208</v>
      </c>
      <c r="F1059" s="180" t="s">
        <v>208</v>
      </c>
      <c r="G1059" s="180" t="s">
        <v>208</v>
      </c>
      <c r="H1059" s="181"/>
      <c r="I1059" s="181"/>
      <c r="J1059" s="181"/>
      <c r="K1059" s="182" t="s">
        <v>363</v>
      </c>
      <c r="R1059" s="157"/>
      <c r="S1059" s="157"/>
    </row>
    <row r="1060">
      <c r="A1060" s="179">
        <f t="shared" si="4"/>
        <v>1057</v>
      </c>
      <c r="B1060" s="180"/>
      <c r="C1060" s="180" t="s">
        <v>208</v>
      </c>
      <c r="D1060" s="180" t="s">
        <v>208</v>
      </c>
      <c r="E1060" s="180" t="s">
        <v>208</v>
      </c>
      <c r="F1060" s="180" t="s">
        <v>208</v>
      </c>
      <c r="G1060" s="180" t="s">
        <v>208</v>
      </c>
      <c r="H1060" s="180"/>
      <c r="I1060" s="181"/>
      <c r="J1060" s="181"/>
      <c r="K1060" s="182" t="s">
        <v>363</v>
      </c>
      <c r="R1060" s="163"/>
      <c r="S1060" s="163"/>
    </row>
    <row r="1061">
      <c r="A1061" s="179">
        <f t="shared" si="4"/>
        <v>1058</v>
      </c>
      <c r="B1061" s="180"/>
      <c r="C1061" s="180" t="s">
        <v>208</v>
      </c>
      <c r="D1061" s="180" t="s">
        <v>208</v>
      </c>
      <c r="E1061" s="180" t="s">
        <v>208</v>
      </c>
      <c r="F1061" s="180" t="s">
        <v>208</v>
      </c>
      <c r="G1061" s="180" t="s">
        <v>208</v>
      </c>
      <c r="H1061" s="181"/>
      <c r="I1061" s="181"/>
      <c r="J1061" s="180"/>
      <c r="K1061" s="182" t="s">
        <v>363</v>
      </c>
      <c r="R1061" s="163"/>
      <c r="S1061" s="163"/>
    </row>
    <row r="1062">
      <c r="A1062" s="179">
        <f t="shared" si="4"/>
        <v>1059</v>
      </c>
      <c r="B1062" s="180"/>
      <c r="C1062" s="180" t="s">
        <v>208</v>
      </c>
      <c r="D1062" s="180" t="s">
        <v>208</v>
      </c>
      <c r="E1062" s="180" t="s">
        <v>208</v>
      </c>
      <c r="F1062" s="180" t="s">
        <v>208</v>
      </c>
      <c r="G1062" s="180" t="s">
        <v>208</v>
      </c>
      <c r="H1062" s="185"/>
      <c r="I1062" s="181"/>
      <c r="J1062" s="180"/>
      <c r="K1062" s="182" t="s">
        <v>363</v>
      </c>
      <c r="R1062" s="163"/>
      <c r="S1062" s="163"/>
    </row>
    <row r="1063">
      <c r="A1063" s="179">
        <f t="shared" si="4"/>
        <v>1060</v>
      </c>
      <c r="B1063" s="180"/>
      <c r="C1063" s="180" t="s">
        <v>208</v>
      </c>
      <c r="D1063" s="180" t="s">
        <v>208</v>
      </c>
      <c r="E1063" s="180" t="s">
        <v>208</v>
      </c>
      <c r="F1063" s="180" t="s">
        <v>208</v>
      </c>
      <c r="G1063" s="180" t="s">
        <v>208</v>
      </c>
      <c r="H1063" s="181"/>
      <c r="I1063" s="181"/>
      <c r="J1063" s="181"/>
      <c r="K1063" s="182" t="s">
        <v>363</v>
      </c>
      <c r="R1063" s="163"/>
      <c r="S1063" s="163"/>
    </row>
    <row r="1064">
      <c r="A1064" s="179">
        <f t="shared" si="4"/>
        <v>1061</v>
      </c>
      <c r="B1064" s="180"/>
      <c r="C1064" s="180" t="s">
        <v>208</v>
      </c>
      <c r="D1064" s="180" t="s">
        <v>208</v>
      </c>
      <c r="E1064" s="180" t="s">
        <v>208</v>
      </c>
      <c r="F1064" s="180" t="s">
        <v>208</v>
      </c>
      <c r="G1064" s="180" t="s">
        <v>208</v>
      </c>
      <c r="H1064" s="181"/>
      <c r="I1064" s="181"/>
      <c r="J1064" s="181"/>
      <c r="K1064" s="182" t="s">
        <v>363</v>
      </c>
      <c r="R1064" s="163"/>
      <c r="S1064" s="163"/>
    </row>
    <row r="1065">
      <c r="A1065" s="179">
        <f t="shared" si="4"/>
        <v>1062</v>
      </c>
      <c r="B1065" s="180"/>
      <c r="C1065" s="180" t="s">
        <v>208</v>
      </c>
      <c r="D1065" s="180" t="s">
        <v>208</v>
      </c>
      <c r="E1065" s="180" t="s">
        <v>208</v>
      </c>
      <c r="F1065" s="180" t="s">
        <v>208</v>
      </c>
      <c r="G1065" s="180" t="s">
        <v>208</v>
      </c>
      <c r="H1065" s="180"/>
      <c r="I1065" s="181"/>
      <c r="J1065" s="181"/>
      <c r="K1065" s="182" t="s">
        <v>363</v>
      </c>
      <c r="R1065" s="163"/>
      <c r="S1065" s="163"/>
    </row>
    <row r="1066">
      <c r="A1066" s="179">
        <f t="shared" si="4"/>
        <v>1063</v>
      </c>
      <c r="B1066" s="180"/>
      <c r="C1066" s="180" t="s">
        <v>208</v>
      </c>
      <c r="D1066" s="180"/>
      <c r="E1066" s="180" t="s">
        <v>208</v>
      </c>
      <c r="F1066" s="180" t="s">
        <v>208</v>
      </c>
      <c r="G1066" s="180" t="s">
        <v>208</v>
      </c>
      <c r="H1066" s="181"/>
      <c r="I1066" s="181"/>
      <c r="J1066" s="181"/>
      <c r="K1066" s="182" t="s">
        <v>363</v>
      </c>
      <c r="R1066" s="163"/>
      <c r="S1066" s="163"/>
    </row>
    <row r="1067">
      <c r="A1067" s="179">
        <f t="shared" si="4"/>
        <v>1064</v>
      </c>
      <c r="B1067" s="180"/>
      <c r="C1067" s="180" t="s">
        <v>208</v>
      </c>
      <c r="D1067" s="180" t="s">
        <v>208</v>
      </c>
      <c r="E1067" s="180" t="s">
        <v>208</v>
      </c>
      <c r="F1067" s="180" t="s">
        <v>208</v>
      </c>
      <c r="G1067" s="180" t="s">
        <v>208</v>
      </c>
      <c r="H1067" s="181"/>
      <c r="I1067" s="181"/>
      <c r="J1067" s="181"/>
      <c r="K1067" s="182" t="s">
        <v>363</v>
      </c>
      <c r="R1067" s="163"/>
      <c r="S1067" s="163"/>
    </row>
    <row r="1068">
      <c r="A1068" s="179">
        <f t="shared" si="4"/>
        <v>1065</v>
      </c>
      <c r="B1068" s="180"/>
      <c r="C1068" s="180" t="s">
        <v>208</v>
      </c>
      <c r="D1068" s="180" t="s">
        <v>208</v>
      </c>
      <c r="E1068" s="180" t="s">
        <v>208</v>
      </c>
      <c r="F1068" s="180" t="s">
        <v>208</v>
      </c>
      <c r="G1068" s="180" t="s">
        <v>208</v>
      </c>
      <c r="H1068" s="180"/>
      <c r="I1068" s="181"/>
      <c r="J1068" s="181"/>
      <c r="K1068" s="182" t="s">
        <v>363</v>
      </c>
      <c r="R1068" s="163"/>
      <c r="S1068" s="163"/>
    </row>
    <row r="1069">
      <c r="A1069" s="179">
        <f t="shared" si="4"/>
        <v>1066</v>
      </c>
      <c r="B1069" s="180"/>
      <c r="C1069" s="180" t="s">
        <v>208</v>
      </c>
      <c r="D1069" s="180" t="s">
        <v>208</v>
      </c>
      <c r="E1069" s="180" t="s">
        <v>208</v>
      </c>
      <c r="F1069" s="180" t="s">
        <v>208</v>
      </c>
      <c r="G1069" s="180" t="s">
        <v>208</v>
      </c>
      <c r="H1069" s="185"/>
      <c r="I1069" s="181"/>
      <c r="J1069" s="180"/>
      <c r="K1069" s="182" t="s">
        <v>363</v>
      </c>
      <c r="R1069" s="163"/>
      <c r="S1069" s="163"/>
    </row>
    <row r="1070">
      <c r="A1070" s="179">
        <f t="shared" si="4"/>
        <v>1067</v>
      </c>
      <c r="B1070" s="180"/>
      <c r="C1070" s="180" t="s">
        <v>208</v>
      </c>
      <c r="D1070" s="180" t="s">
        <v>208</v>
      </c>
      <c r="E1070" s="180" t="s">
        <v>208</v>
      </c>
      <c r="F1070" s="180" t="s">
        <v>208</v>
      </c>
      <c r="G1070" s="180" t="s">
        <v>208</v>
      </c>
      <c r="H1070" s="180"/>
      <c r="I1070" s="181"/>
      <c r="J1070" s="181"/>
      <c r="K1070" s="182" t="s">
        <v>363</v>
      </c>
      <c r="R1070" s="173"/>
      <c r="S1070" s="173"/>
    </row>
    <row r="1071">
      <c r="A1071" s="179">
        <f t="shared" si="4"/>
        <v>1068</v>
      </c>
      <c r="B1071" s="180"/>
      <c r="C1071" s="180" t="s">
        <v>208</v>
      </c>
      <c r="D1071" s="180" t="s">
        <v>208</v>
      </c>
      <c r="E1071" s="180" t="s">
        <v>208</v>
      </c>
      <c r="F1071" s="180" t="s">
        <v>208</v>
      </c>
      <c r="G1071" s="180" t="s">
        <v>208</v>
      </c>
      <c r="H1071" s="181"/>
      <c r="I1071" s="181"/>
      <c r="J1071" s="181"/>
      <c r="K1071" s="182" t="s">
        <v>363</v>
      </c>
      <c r="R1071" s="157"/>
      <c r="S1071" s="157"/>
    </row>
    <row r="1072">
      <c r="A1072" s="179">
        <f t="shared" si="4"/>
        <v>1069</v>
      </c>
      <c r="B1072" s="180"/>
      <c r="C1072" s="180"/>
      <c r="D1072" s="180" t="s">
        <v>208</v>
      </c>
      <c r="E1072" s="180" t="s">
        <v>208</v>
      </c>
      <c r="F1072" s="180" t="s">
        <v>208</v>
      </c>
      <c r="G1072" s="180"/>
      <c r="H1072" s="180" t="s">
        <v>208</v>
      </c>
      <c r="I1072" s="181"/>
      <c r="J1072" s="181"/>
      <c r="K1072" s="182" t="s">
        <v>363</v>
      </c>
      <c r="R1072" s="163"/>
      <c r="S1072" s="163"/>
    </row>
    <row r="1073">
      <c r="A1073" s="179">
        <f t="shared" si="4"/>
        <v>1070</v>
      </c>
      <c r="B1073" s="180"/>
      <c r="C1073" s="180" t="s">
        <v>208</v>
      </c>
      <c r="D1073" s="180" t="s">
        <v>208</v>
      </c>
      <c r="E1073" s="180" t="s">
        <v>208</v>
      </c>
      <c r="F1073" s="180" t="s">
        <v>208</v>
      </c>
      <c r="G1073" s="180" t="s">
        <v>208</v>
      </c>
      <c r="H1073" s="181"/>
      <c r="I1073" s="181"/>
      <c r="J1073" s="181"/>
      <c r="K1073" s="182" t="s">
        <v>363</v>
      </c>
      <c r="R1073" s="163"/>
      <c r="S1073" s="163"/>
    </row>
    <row r="1074">
      <c r="A1074" s="179">
        <f t="shared" si="4"/>
        <v>1071</v>
      </c>
      <c r="B1074" s="180"/>
      <c r="C1074" s="180" t="s">
        <v>208</v>
      </c>
      <c r="D1074" s="180" t="s">
        <v>208</v>
      </c>
      <c r="E1074" s="180" t="s">
        <v>208</v>
      </c>
      <c r="F1074" s="180" t="s">
        <v>208</v>
      </c>
      <c r="G1074" s="180" t="s">
        <v>208</v>
      </c>
      <c r="H1074" s="180"/>
      <c r="I1074" s="181"/>
      <c r="J1074" s="181"/>
      <c r="K1074" s="182" t="s">
        <v>363</v>
      </c>
      <c r="R1074" s="163"/>
      <c r="S1074" s="163"/>
    </row>
    <row r="1075">
      <c r="A1075" s="179">
        <f t="shared" si="4"/>
        <v>1072</v>
      </c>
      <c r="B1075" s="180"/>
      <c r="C1075" s="180" t="s">
        <v>208</v>
      </c>
      <c r="D1075" s="180" t="s">
        <v>208</v>
      </c>
      <c r="E1075" s="180" t="s">
        <v>208</v>
      </c>
      <c r="F1075" s="180" t="s">
        <v>208</v>
      </c>
      <c r="G1075" s="180" t="s">
        <v>208</v>
      </c>
      <c r="H1075" s="181"/>
      <c r="I1075" s="181"/>
      <c r="J1075" s="181"/>
      <c r="K1075" s="182" t="s">
        <v>363</v>
      </c>
      <c r="R1075" s="163"/>
      <c r="S1075" s="163"/>
    </row>
    <row r="1076">
      <c r="A1076" s="179">
        <f t="shared" si="4"/>
        <v>1073</v>
      </c>
      <c r="B1076" s="180"/>
      <c r="C1076" s="180" t="s">
        <v>208</v>
      </c>
      <c r="D1076" s="180" t="s">
        <v>243</v>
      </c>
      <c r="E1076" s="180" t="s">
        <v>208</v>
      </c>
      <c r="F1076" s="180" t="s">
        <v>208</v>
      </c>
      <c r="G1076" s="180" t="s">
        <v>208</v>
      </c>
      <c r="H1076" s="181"/>
      <c r="I1076" s="181"/>
      <c r="J1076" s="181"/>
      <c r="K1076" s="182" t="s">
        <v>363</v>
      </c>
      <c r="R1076" s="163"/>
      <c r="S1076" s="163"/>
    </row>
    <row r="1077">
      <c r="A1077" s="179">
        <f t="shared" si="4"/>
        <v>1074</v>
      </c>
      <c r="B1077" s="180"/>
      <c r="C1077" s="180" t="s">
        <v>208</v>
      </c>
      <c r="D1077" s="180" t="s">
        <v>208</v>
      </c>
      <c r="E1077" s="180" t="s">
        <v>208</v>
      </c>
      <c r="F1077" s="180" t="s">
        <v>208</v>
      </c>
      <c r="G1077" s="180" t="s">
        <v>208</v>
      </c>
      <c r="H1077" s="181"/>
      <c r="I1077" s="181"/>
      <c r="J1077" s="181"/>
      <c r="K1077" s="182" t="s">
        <v>363</v>
      </c>
      <c r="R1077" s="163"/>
      <c r="S1077" s="163"/>
    </row>
    <row r="1078">
      <c r="A1078" s="179">
        <f t="shared" si="4"/>
        <v>1075</v>
      </c>
      <c r="B1078" s="180"/>
      <c r="C1078" s="180"/>
      <c r="D1078" s="180" t="s">
        <v>208</v>
      </c>
      <c r="E1078" s="180" t="s">
        <v>208</v>
      </c>
      <c r="F1078" s="180" t="s">
        <v>208</v>
      </c>
      <c r="G1078" s="180"/>
      <c r="H1078" s="180" t="s">
        <v>208</v>
      </c>
      <c r="I1078" s="181"/>
      <c r="J1078" s="181"/>
      <c r="K1078" s="182" t="s">
        <v>363</v>
      </c>
      <c r="R1078" s="163"/>
      <c r="S1078" s="163"/>
    </row>
    <row r="1079">
      <c r="A1079" s="179">
        <f t="shared" si="4"/>
        <v>1076</v>
      </c>
      <c r="B1079" s="180"/>
      <c r="C1079" s="180" t="s">
        <v>208</v>
      </c>
      <c r="D1079" s="180" t="s">
        <v>208</v>
      </c>
      <c r="E1079" s="180" t="s">
        <v>208</v>
      </c>
      <c r="F1079" s="180" t="s">
        <v>208</v>
      </c>
      <c r="G1079" s="180" t="s">
        <v>208</v>
      </c>
      <c r="H1079" s="181"/>
      <c r="I1079" s="181"/>
      <c r="J1079" s="181"/>
      <c r="K1079" s="182" t="s">
        <v>363</v>
      </c>
      <c r="R1079" s="163"/>
      <c r="S1079" s="163"/>
    </row>
    <row r="1080">
      <c r="A1080" s="179">
        <f t="shared" si="4"/>
        <v>1077</v>
      </c>
      <c r="B1080" s="180"/>
      <c r="C1080" s="180" t="s">
        <v>208</v>
      </c>
      <c r="D1080" s="180" t="s">
        <v>208</v>
      </c>
      <c r="E1080" s="180" t="s">
        <v>208</v>
      </c>
      <c r="F1080" s="180" t="s">
        <v>208</v>
      </c>
      <c r="G1080" s="180" t="s">
        <v>208</v>
      </c>
      <c r="H1080" s="181"/>
      <c r="I1080" s="181"/>
      <c r="J1080" s="181"/>
      <c r="K1080" s="182" t="s">
        <v>363</v>
      </c>
      <c r="R1080" s="163"/>
      <c r="S1080" s="163"/>
    </row>
    <row r="1081">
      <c r="A1081" s="179">
        <f t="shared" si="4"/>
        <v>1078</v>
      </c>
      <c r="B1081" s="180"/>
      <c r="C1081" s="180" t="s">
        <v>208</v>
      </c>
      <c r="D1081" s="180" t="s">
        <v>208</v>
      </c>
      <c r="E1081" s="180" t="s">
        <v>208</v>
      </c>
      <c r="F1081" s="180" t="s">
        <v>208</v>
      </c>
      <c r="G1081" s="180" t="s">
        <v>208</v>
      </c>
      <c r="H1081" s="181"/>
      <c r="I1081" s="181"/>
      <c r="J1081" s="181"/>
      <c r="K1081" s="182" t="s">
        <v>363</v>
      </c>
      <c r="R1081" s="163"/>
      <c r="S1081" s="163"/>
    </row>
    <row r="1082">
      <c r="A1082" s="179">
        <f t="shared" si="4"/>
        <v>1079</v>
      </c>
      <c r="B1082" s="180"/>
      <c r="C1082" s="180" t="s">
        <v>208</v>
      </c>
      <c r="D1082" s="180" t="s">
        <v>208</v>
      </c>
      <c r="E1082" s="180" t="s">
        <v>208</v>
      </c>
      <c r="F1082" s="180" t="s">
        <v>208</v>
      </c>
      <c r="G1082" s="180" t="s">
        <v>208</v>
      </c>
      <c r="H1082" s="181"/>
      <c r="I1082" s="181"/>
      <c r="J1082" s="181"/>
      <c r="K1082" s="182" t="s">
        <v>363</v>
      </c>
      <c r="R1082" s="173"/>
      <c r="S1082" s="173"/>
    </row>
    <row r="1083">
      <c r="A1083" s="179">
        <f t="shared" si="4"/>
        <v>1080</v>
      </c>
      <c r="B1083" s="180"/>
      <c r="C1083" s="180" t="s">
        <v>208</v>
      </c>
      <c r="D1083" s="180" t="s">
        <v>208</v>
      </c>
      <c r="E1083" s="180" t="s">
        <v>208</v>
      </c>
      <c r="F1083" s="180" t="s">
        <v>208</v>
      </c>
      <c r="G1083" s="180" t="s">
        <v>208</v>
      </c>
      <c r="H1083" s="181"/>
      <c r="I1083" s="181"/>
      <c r="J1083" s="181"/>
      <c r="K1083" s="182" t="s">
        <v>363</v>
      </c>
      <c r="R1083" s="157"/>
      <c r="S1083" s="157"/>
    </row>
    <row r="1084">
      <c r="A1084" s="179">
        <f t="shared" si="4"/>
        <v>1081</v>
      </c>
      <c r="B1084" s="181"/>
      <c r="C1084" s="180" t="s">
        <v>208</v>
      </c>
      <c r="D1084" s="180" t="s">
        <v>208</v>
      </c>
      <c r="E1084" s="180" t="s">
        <v>208</v>
      </c>
      <c r="F1084" s="180" t="s">
        <v>208</v>
      </c>
      <c r="G1084" s="180" t="s">
        <v>208</v>
      </c>
      <c r="H1084" s="181"/>
      <c r="I1084" s="181"/>
      <c r="J1084" s="181"/>
      <c r="K1084" s="182" t="s">
        <v>363</v>
      </c>
      <c r="R1084" s="163"/>
      <c r="S1084" s="163"/>
    </row>
    <row r="1085">
      <c r="A1085" s="179">
        <f t="shared" si="4"/>
        <v>1082</v>
      </c>
      <c r="B1085" s="181"/>
      <c r="C1085" s="180"/>
      <c r="D1085" s="180" t="s">
        <v>208</v>
      </c>
      <c r="E1085" s="180" t="s">
        <v>208</v>
      </c>
      <c r="F1085" s="180" t="s">
        <v>208</v>
      </c>
      <c r="G1085" s="180"/>
      <c r="H1085" s="180" t="s">
        <v>208</v>
      </c>
      <c r="I1085" s="181"/>
      <c r="J1085" s="181"/>
      <c r="K1085" s="182" t="s">
        <v>363</v>
      </c>
      <c r="R1085" s="163"/>
      <c r="S1085" s="163"/>
    </row>
    <row r="1086">
      <c r="A1086" s="179">
        <f t="shared" si="4"/>
        <v>1083</v>
      </c>
      <c r="B1086" s="180"/>
      <c r="C1086" s="180"/>
      <c r="D1086" s="180" t="s">
        <v>208</v>
      </c>
      <c r="E1086" s="180" t="s">
        <v>208</v>
      </c>
      <c r="F1086" s="180" t="s">
        <v>208</v>
      </c>
      <c r="G1086" s="181"/>
      <c r="H1086" s="180" t="s">
        <v>208</v>
      </c>
      <c r="I1086" s="181"/>
      <c r="J1086" s="180"/>
      <c r="K1086" s="182" t="s">
        <v>363</v>
      </c>
      <c r="R1086" s="163"/>
      <c r="S1086" s="163"/>
    </row>
    <row r="1087">
      <c r="A1087" s="179">
        <f t="shared" si="4"/>
        <v>1084</v>
      </c>
      <c r="B1087" s="180"/>
      <c r="C1087" s="180" t="s">
        <v>208</v>
      </c>
      <c r="D1087" s="180" t="s">
        <v>208</v>
      </c>
      <c r="E1087" s="180" t="s">
        <v>208</v>
      </c>
      <c r="F1087" s="180" t="s">
        <v>208</v>
      </c>
      <c r="G1087" s="180" t="s">
        <v>208</v>
      </c>
      <c r="H1087" s="181"/>
      <c r="I1087" s="181"/>
      <c r="J1087" s="181"/>
      <c r="K1087" s="182" t="s">
        <v>363</v>
      </c>
      <c r="R1087" s="163"/>
      <c r="S1087" s="163"/>
    </row>
    <row r="1088">
      <c r="A1088" s="179">
        <f t="shared" si="4"/>
        <v>1085</v>
      </c>
      <c r="B1088" s="180"/>
      <c r="C1088" s="180" t="s">
        <v>208</v>
      </c>
      <c r="D1088" s="180" t="s">
        <v>243</v>
      </c>
      <c r="E1088" s="180" t="s">
        <v>208</v>
      </c>
      <c r="F1088" s="180" t="s">
        <v>208</v>
      </c>
      <c r="G1088" s="180" t="s">
        <v>208</v>
      </c>
      <c r="H1088" s="181"/>
      <c r="I1088" s="181"/>
      <c r="J1088" s="181"/>
      <c r="K1088" s="182" t="s">
        <v>363</v>
      </c>
      <c r="R1088" s="163"/>
      <c r="S1088" s="163"/>
    </row>
    <row r="1089">
      <c r="A1089" s="179">
        <f t="shared" si="4"/>
        <v>1086</v>
      </c>
      <c r="B1089" s="180"/>
      <c r="C1089" s="180" t="s">
        <v>208</v>
      </c>
      <c r="D1089" s="180" t="s">
        <v>208</v>
      </c>
      <c r="E1089" s="180" t="s">
        <v>208</v>
      </c>
      <c r="F1089" s="180" t="s">
        <v>243</v>
      </c>
      <c r="G1089" s="180" t="s">
        <v>208</v>
      </c>
      <c r="H1089" s="181"/>
      <c r="I1089" s="181"/>
      <c r="J1089" s="181"/>
      <c r="K1089" s="182" t="s">
        <v>363</v>
      </c>
      <c r="R1089" s="163"/>
      <c r="S1089" s="163"/>
    </row>
    <row r="1090">
      <c r="A1090" s="179">
        <f t="shared" si="4"/>
        <v>1087</v>
      </c>
      <c r="B1090" s="180"/>
      <c r="C1090" s="180" t="s">
        <v>208</v>
      </c>
      <c r="D1090" s="180" t="s">
        <v>208</v>
      </c>
      <c r="E1090" s="180" t="s">
        <v>208</v>
      </c>
      <c r="F1090" s="180" t="s">
        <v>208</v>
      </c>
      <c r="G1090" s="180" t="s">
        <v>208</v>
      </c>
      <c r="H1090" s="181"/>
      <c r="I1090" s="181"/>
      <c r="J1090" s="181"/>
      <c r="K1090" s="182" t="s">
        <v>363</v>
      </c>
      <c r="R1090" s="163"/>
      <c r="S1090" s="163"/>
    </row>
    <row r="1091">
      <c r="A1091" s="179">
        <f t="shared" si="4"/>
        <v>1088</v>
      </c>
      <c r="B1091" s="180"/>
      <c r="C1091" s="180" t="s">
        <v>208</v>
      </c>
      <c r="D1091" s="180" t="s">
        <v>208</v>
      </c>
      <c r="E1091" s="180" t="s">
        <v>208</v>
      </c>
      <c r="F1091" s="180" t="s">
        <v>208</v>
      </c>
      <c r="G1091" s="180" t="s">
        <v>208</v>
      </c>
      <c r="H1091" s="181"/>
      <c r="I1091" s="181"/>
      <c r="J1091" s="181"/>
      <c r="K1091" s="182" t="s">
        <v>363</v>
      </c>
      <c r="R1091" s="163"/>
      <c r="S1091" s="163"/>
    </row>
    <row r="1092">
      <c r="A1092" s="179">
        <f t="shared" si="4"/>
        <v>1089</v>
      </c>
      <c r="B1092" s="181"/>
      <c r="C1092" s="180"/>
      <c r="D1092" s="180" t="s">
        <v>208</v>
      </c>
      <c r="E1092" s="180"/>
      <c r="F1092" s="180" t="s">
        <v>208</v>
      </c>
      <c r="G1092" s="180"/>
      <c r="H1092" s="180" t="s">
        <v>208</v>
      </c>
      <c r="I1092" s="181"/>
      <c r="J1092" s="181"/>
      <c r="K1092" s="182" t="s">
        <v>363</v>
      </c>
      <c r="R1092" s="163"/>
      <c r="S1092" s="163"/>
    </row>
    <row r="1093">
      <c r="A1093" s="179">
        <f t="shared" si="4"/>
        <v>1090</v>
      </c>
      <c r="B1093" s="180"/>
      <c r="C1093" s="180"/>
      <c r="D1093" s="180" t="s">
        <v>208</v>
      </c>
      <c r="E1093" s="180" t="s">
        <v>208</v>
      </c>
      <c r="F1093" s="180" t="s">
        <v>208</v>
      </c>
      <c r="G1093" s="180"/>
      <c r="H1093" s="180" t="s">
        <v>208</v>
      </c>
      <c r="I1093" s="181"/>
      <c r="J1093" s="181"/>
      <c r="K1093" s="182" t="s">
        <v>363</v>
      </c>
      <c r="R1093" s="163"/>
      <c r="S1093" s="163"/>
    </row>
    <row r="1094">
      <c r="A1094" s="179">
        <f t="shared" si="4"/>
        <v>1091</v>
      </c>
      <c r="B1094" s="180"/>
      <c r="C1094" s="180" t="s">
        <v>208</v>
      </c>
      <c r="D1094" s="180" t="s">
        <v>208</v>
      </c>
      <c r="E1094" s="180" t="s">
        <v>208</v>
      </c>
      <c r="F1094" s="180" t="s">
        <v>208</v>
      </c>
      <c r="G1094" s="180" t="s">
        <v>208</v>
      </c>
      <c r="H1094" s="185"/>
      <c r="I1094" s="181"/>
      <c r="J1094" s="181"/>
      <c r="K1094" s="182" t="s">
        <v>363</v>
      </c>
      <c r="R1094" s="173"/>
      <c r="S1094" s="173"/>
    </row>
    <row r="1095">
      <c r="A1095" s="179">
        <f t="shared" si="4"/>
        <v>1092</v>
      </c>
      <c r="B1095" s="180"/>
      <c r="C1095" s="180" t="s">
        <v>208</v>
      </c>
      <c r="D1095" s="180" t="s">
        <v>208</v>
      </c>
      <c r="E1095" s="180" t="s">
        <v>208</v>
      </c>
      <c r="F1095" s="180" t="s">
        <v>208</v>
      </c>
      <c r="G1095" s="180" t="s">
        <v>208</v>
      </c>
      <c r="H1095" s="181"/>
      <c r="I1095" s="181"/>
      <c r="J1095" s="181"/>
      <c r="K1095" s="182" t="s">
        <v>363</v>
      </c>
      <c r="R1095" s="157"/>
      <c r="S1095" s="157"/>
    </row>
    <row r="1096">
      <c r="A1096" s="179">
        <f t="shared" si="4"/>
        <v>1093</v>
      </c>
      <c r="B1096" s="180"/>
      <c r="C1096" s="180" t="s">
        <v>208</v>
      </c>
      <c r="D1096" s="180" t="s">
        <v>208</v>
      </c>
      <c r="E1096" s="180" t="s">
        <v>208</v>
      </c>
      <c r="F1096" s="180" t="s">
        <v>208</v>
      </c>
      <c r="G1096" s="180" t="s">
        <v>208</v>
      </c>
      <c r="H1096" s="181"/>
      <c r="I1096" s="181"/>
      <c r="J1096" s="181"/>
      <c r="K1096" s="182" t="s">
        <v>363</v>
      </c>
      <c r="R1096" s="163"/>
      <c r="S1096" s="163"/>
    </row>
    <row r="1097">
      <c r="A1097" s="179">
        <f t="shared" si="4"/>
        <v>1094</v>
      </c>
      <c r="B1097" s="180"/>
      <c r="C1097" s="180" t="s">
        <v>208</v>
      </c>
      <c r="D1097" s="180" t="s">
        <v>208</v>
      </c>
      <c r="E1097" s="180" t="s">
        <v>208</v>
      </c>
      <c r="F1097" s="180" t="s">
        <v>208</v>
      </c>
      <c r="G1097" s="180" t="s">
        <v>208</v>
      </c>
      <c r="H1097" s="181"/>
      <c r="I1097" s="181"/>
      <c r="J1097" s="181"/>
      <c r="K1097" s="182" t="s">
        <v>363</v>
      </c>
      <c r="R1097" s="163"/>
      <c r="S1097" s="163"/>
    </row>
    <row r="1098">
      <c r="A1098" s="179">
        <f t="shared" si="4"/>
        <v>1095</v>
      </c>
      <c r="B1098" s="180"/>
      <c r="C1098" s="180" t="s">
        <v>208</v>
      </c>
      <c r="D1098" s="180" t="s">
        <v>208</v>
      </c>
      <c r="E1098" s="180" t="s">
        <v>208</v>
      </c>
      <c r="F1098" s="180" t="s">
        <v>208</v>
      </c>
      <c r="G1098" s="180" t="s">
        <v>208</v>
      </c>
      <c r="H1098" s="181"/>
      <c r="I1098" s="181"/>
      <c r="J1098" s="181"/>
      <c r="K1098" s="182" t="s">
        <v>363</v>
      </c>
      <c r="R1098" s="163"/>
      <c r="S1098" s="163"/>
    </row>
    <row r="1099">
      <c r="A1099" s="179">
        <f t="shared" si="4"/>
        <v>1096</v>
      </c>
      <c r="B1099" s="180"/>
      <c r="C1099" s="180" t="s">
        <v>208</v>
      </c>
      <c r="D1099" s="180" t="s">
        <v>208</v>
      </c>
      <c r="E1099" s="180" t="s">
        <v>208</v>
      </c>
      <c r="F1099" s="180" t="s">
        <v>208</v>
      </c>
      <c r="G1099" s="180" t="s">
        <v>208</v>
      </c>
      <c r="H1099" s="181"/>
      <c r="I1099" s="181"/>
      <c r="J1099" s="181"/>
      <c r="K1099" s="182" t="s">
        <v>363</v>
      </c>
      <c r="R1099" s="163"/>
      <c r="S1099" s="163"/>
    </row>
    <row r="1100">
      <c r="A1100" s="179">
        <f t="shared" si="4"/>
        <v>1097</v>
      </c>
      <c r="B1100" s="180"/>
      <c r="C1100" s="180"/>
      <c r="D1100" s="180" t="s">
        <v>208</v>
      </c>
      <c r="E1100" s="180" t="s">
        <v>208</v>
      </c>
      <c r="F1100" s="180" t="s">
        <v>208</v>
      </c>
      <c r="G1100" s="180"/>
      <c r="H1100" s="180" t="s">
        <v>208</v>
      </c>
      <c r="I1100" s="181"/>
      <c r="J1100" s="181"/>
      <c r="K1100" s="182" t="s">
        <v>363</v>
      </c>
      <c r="R1100" s="163"/>
      <c r="S1100" s="163"/>
    </row>
    <row r="1101">
      <c r="A1101" s="179">
        <f t="shared" si="4"/>
        <v>1098</v>
      </c>
      <c r="B1101" s="180"/>
      <c r="C1101" s="180" t="s">
        <v>208</v>
      </c>
      <c r="D1101" s="180" t="s">
        <v>208</v>
      </c>
      <c r="E1101" s="180" t="s">
        <v>208</v>
      </c>
      <c r="F1101" s="180" t="s">
        <v>208</v>
      </c>
      <c r="G1101" s="180" t="s">
        <v>208</v>
      </c>
      <c r="H1101" s="181"/>
      <c r="I1101" s="181"/>
      <c r="J1101" s="181"/>
      <c r="K1101" s="182" t="s">
        <v>363</v>
      </c>
      <c r="R1101" s="163"/>
      <c r="S1101" s="163"/>
    </row>
    <row r="1102">
      <c r="A1102" s="179">
        <f t="shared" si="4"/>
        <v>1099</v>
      </c>
      <c r="B1102" s="180"/>
      <c r="C1102" s="180" t="s">
        <v>208</v>
      </c>
      <c r="D1102" s="180" t="s">
        <v>208</v>
      </c>
      <c r="E1102" s="180" t="s">
        <v>208</v>
      </c>
      <c r="F1102" s="180" t="s">
        <v>208</v>
      </c>
      <c r="G1102" s="180" t="s">
        <v>208</v>
      </c>
      <c r="H1102" s="181"/>
      <c r="I1102" s="181"/>
      <c r="J1102" s="181"/>
      <c r="K1102" s="182" t="s">
        <v>363</v>
      </c>
      <c r="R1102" s="163"/>
      <c r="S1102" s="163"/>
    </row>
    <row r="1103">
      <c r="A1103" s="179">
        <f t="shared" si="4"/>
        <v>1100</v>
      </c>
      <c r="B1103" s="180"/>
      <c r="C1103" s="180" t="s">
        <v>208</v>
      </c>
      <c r="D1103" s="180" t="s">
        <v>208</v>
      </c>
      <c r="E1103" s="180" t="s">
        <v>208</v>
      </c>
      <c r="F1103" s="180" t="s">
        <v>208</v>
      </c>
      <c r="G1103" s="180" t="s">
        <v>208</v>
      </c>
      <c r="H1103" s="185"/>
      <c r="I1103" s="181"/>
      <c r="J1103" s="181"/>
      <c r="K1103" s="182" t="s">
        <v>363</v>
      </c>
      <c r="R1103" s="163"/>
      <c r="S1103" s="163"/>
    </row>
    <row r="1104">
      <c r="A1104" s="179">
        <f t="shared" si="4"/>
        <v>1101</v>
      </c>
      <c r="B1104" s="180"/>
      <c r="C1104" s="180" t="s">
        <v>208</v>
      </c>
      <c r="D1104" s="180" t="s">
        <v>208</v>
      </c>
      <c r="E1104" s="180" t="s">
        <v>208</v>
      </c>
      <c r="F1104" s="180" t="s">
        <v>208</v>
      </c>
      <c r="G1104" s="180" t="s">
        <v>208</v>
      </c>
      <c r="H1104" s="181"/>
      <c r="I1104" s="181"/>
      <c r="J1104" s="181"/>
      <c r="K1104" s="182" t="s">
        <v>363</v>
      </c>
      <c r="R1104" s="163"/>
      <c r="S1104" s="163"/>
    </row>
    <row r="1105">
      <c r="A1105" s="179">
        <f t="shared" si="4"/>
        <v>1102</v>
      </c>
      <c r="B1105" s="180"/>
      <c r="C1105" s="180" t="s">
        <v>208</v>
      </c>
      <c r="D1105" s="180" t="s">
        <v>208</v>
      </c>
      <c r="E1105" s="180" t="s">
        <v>208</v>
      </c>
      <c r="F1105" s="180" t="s">
        <v>208</v>
      </c>
      <c r="G1105" s="180" t="s">
        <v>208</v>
      </c>
      <c r="H1105" s="185"/>
      <c r="I1105" s="181"/>
      <c r="J1105" s="181"/>
      <c r="K1105" s="182" t="s">
        <v>363</v>
      </c>
      <c r="R1105" s="163"/>
      <c r="S1105" s="163"/>
    </row>
    <row r="1106">
      <c r="A1106" s="179">
        <f t="shared" si="4"/>
        <v>1103</v>
      </c>
      <c r="B1106" s="180"/>
      <c r="C1106" s="180"/>
      <c r="D1106" s="180" t="s">
        <v>208</v>
      </c>
      <c r="E1106" s="180" t="s">
        <v>208</v>
      </c>
      <c r="F1106" s="180" t="s">
        <v>208</v>
      </c>
      <c r="G1106" s="180"/>
      <c r="H1106" s="180" t="s">
        <v>208</v>
      </c>
      <c r="I1106" s="181"/>
      <c r="J1106" s="181"/>
      <c r="K1106" s="182" t="s">
        <v>363</v>
      </c>
      <c r="R1106" s="173"/>
      <c r="S1106" s="173"/>
    </row>
    <row r="1107">
      <c r="A1107" s="179">
        <f t="shared" si="4"/>
        <v>1104</v>
      </c>
      <c r="B1107" s="180"/>
      <c r="C1107" s="180"/>
      <c r="D1107" s="180" t="s">
        <v>208</v>
      </c>
      <c r="E1107" s="180" t="s">
        <v>208</v>
      </c>
      <c r="F1107" s="180" t="s">
        <v>208</v>
      </c>
      <c r="G1107" s="180"/>
      <c r="H1107" s="180" t="s">
        <v>208</v>
      </c>
      <c r="I1107" s="181"/>
      <c r="J1107" s="181"/>
      <c r="K1107" s="182" t="s">
        <v>363</v>
      </c>
      <c r="R1107" s="157"/>
      <c r="S1107" s="157"/>
    </row>
    <row r="1108">
      <c r="A1108" s="179">
        <f t="shared" si="4"/>
        <v>1105</v>
      </c>
      <c r="B1108" s="180"/>
      <c r="C1108" s="180" t="s">
        <v>208</v>
      </c>
      <c r="D1108" s="180" t="s">
        <v>208</v>
      </c>
      <c r="E1108" s="180" t="s">
        <v>208</v>
      </c>
      <c r="F1108" s="180" t="s">
        <v>208</v>
      </c>
      <c r="G1108" s="180" t="s">
        <v>208</v>
      </c>
      <c r="H1108" s="181"/>
      <c r="I1108" s="181"/>
      <c r="J1108" s="181"/>
      <c r="K1108" s="182" t="s">
        <v>363</v>
      </c>
      <c r="R1108" s="163"/>
      <c r="S1108" s="163"/>
    </row>
    <row r="1109">
      <c r="A1109" s="179">
        <f t="shared" si="4"/>
        <v>1106</v>
      </c>
      <c r="B1109" s="180"/>
      <c r="C1109" s="180"/>
      <c r="D1109" s="180" t="s">
        <v>243</v>
      </c>
      <c r="E1109" s="180" t="s">
        <v>208</v>
      </c>
      <c r="F1109" s="180" t="s">
        <v>243</v>
      </c>
      <c r="G1109" s="180"/>
      <c r="H1109" s="180" t="s">
        <v>208</v>
      </c>
      <c r="I1109" s="181"/>
      <c r="J1109" s="181"/>
      <c r="K1109" s="182" t="s">
        <v>363</v>
      </c>
      <c r="R1109" s="163"/>
      <c r="S1109" s="163"/>
    </row>
    <row r="1110">
      <c r="A1110" s="179">
        <f t="shared" si="4"/>
        <v>1107</v>
      </c>
      <c r="B1110" s="180"/>
      <c r="C1110" s="180" t="s">
        <v>208</v>
      </c>
      <c r="D1110" s="180" t="s">
        <v>208</v>
      </c>
      <c r="E1110" s="180"/>
      <c r="F1110" s="180" t="s">
        <v>208</v>
      </c>
      <c r="G1110" s="180" t="s">
        <v>208</v>
      </c>
      <c r="H1110" s="180"/>
      <c r="I1110" s="181"/>
      <c r="J1110" s="181"/>
      <c r="K1110" s="182" t="s">
        <v>363</v>
      </c>
      <c r="R1110" s="163"/>
      <c r="S1110" s="163"/>
    </row>
    <row r="1111">
      <c r="A1111" s="179">
        <f t="shared" si="4"/>
        <v>1108</v>
      </c>
      <c r="B1111" s="180"/>
      <c r="C1111" s="180"/>
      <c r="D1111" s="180" t="s">
        <v>208</v>
      </c>
      <c r="E1111" s="180" t="s">
        <v>208</v>
      </c>
      <c r="F1111" s="180" t="s">
        <v>208</v>
      </c>
      <c r="G1111" s="180"/>
      <c r="H1111" s="180" t="s">
        <v>208</v>
      </c>
      <c r="I1111" s="181"/>
      <c r="J1111" s="181"/>
      <c r="K1111" s="182" t="s">
        <v>363</v>
      </c>
      <c r="R1111" s="163"/>
      <c r="S1111" s="163"/>
    </row>
    <row r="1112">
      <c r="A1112" s="179">
        <f t="shared" si="4"/>
        <v>1109</v>
      </c>
      <c r="B1112" s="180"/>
      <c r="C1112" s="180" t="s">
        <v>208</v>
      </c>
      <c r="D1112" s="180" t="s">
        <v>208</v>
      </c>
      <c r="E1112" s="180"/>
      <c r="F1112" s="180" t="s">
        <v>208</v>
      </c>
      <c r="G1112" s="180" t="s">
        <v>208</v>
      </c>
      <c r="H1112" s="181"/>
      <c r="I1112" s="181"/>
      <c r="J1112" s="181"/>
      <c r="K1112" s="182" t="s">
        <v>363</v>
      </c>
      <c r="R1112" s="163"/>
      <c r="S1112" s="163"/>
    </row>
    <row r="1113">
      <c r="A1113" s="179">
        <f t="shared" si="4"/>
        <v>1110</v>
      </c>
      <c r="B1113" s="180"/>
      <c r="C1113" s="180" t="s">
        <v>208</v>
      </c>
      <c r="D1113" s="180" t="s">
        <v>208</v>
      </c>
      <c r="E1113" s="180" t="s">
        <v>208</v>
      </c>
      <c r="F1113" s="180" t="s">
        <v>208</v>
      </c>
      <c r="G1113" s="180" t="s">
        <v>208</v>
      </c>
      <c r="H1113" s="181"/>
      <c r="I1113" s="181"/>
      <c r="J1113" s="181"/>
      <c r="K1113" s="182" t="s">
        <v>363</v>
      </c>
      <c r="R1113" s="163"/>
      <c r="S1113" s="163"/>
    </row>
    <row r="1114">
      <c r="A1114" s="179">
        <f t="shared" si="4"/>
        <v>1111</v>
      </c>
      <c r="B1114" s="180"/>
      <c r="C1114" s="180" t="s">
        <v>208</v>
      </c>
      <c r="D1114" s="180" t="s">
        <v>208</v>
      </c>
      <c r="E1114" s="180" t="s">
        <v>208</v>
      </c>
      <c r="F1114" s="180" t="s">
        <v>208</v>
      </c>
      <c r="G1114" s="180" t="s">
        <v>208</v>
      </c>
      <c r="H1114" s="180"/>
      <c r="I1114" s="181"/>
      <c r="J1114" s="181"/>
      <c r="K1114" s="182" t="s">
        <v>363</v>
      </c>
      <c r="R1114" s="163"/>
      <c r="S1114" s="163"/>
    </row>
    <row r="1115">
      <c r="A1115" s="179">
        <f t="shared" si="4"/>
        <v>1112</v>
      </c>
      <c r="B1115" s="180"/>
      <c r="C1115" s="180"/>
      <c r="D1115" s="180" t="s">
        <v>208</v>
      </c>
      <c r="E1115" s="180" t="s">
        <v>208</v>
      </c>
      <c r="F1115" s="180" t="s">
        <v>208</v>
      </c>
      <c r="G1115" s="180"/>
      <c r="H1115" s="180" t="s">
        <v>208</v>
      </c>
      <c r="I1115" s="181"/>
      <c r="J1115" s="181"/>
      <c r="K1115" s="182" t="s">
        <v>363</v>
      </c>
      <c r="R1115" s="163"/>
      <c r="S1115" s="163"/>
    </row>
    <row r="1116">
      <c r="A1116" s="179">
        <f t="shared" si="4"/>
        <v>1113</v>
      </c>
      <c r="B1116" s="180"/>
      <c r="C1116" s="180" t="s">
        <v>208</v>
      </c>
      <c r="D1116" s="180" t="s">
        <v>208</v>
      </c>
      <c r="E1116" s="180" t="s">
        <v>208</v>
      </c>
      <c r="F1116" s="180" t="s">
        <v>208</v>
      </c>
      <c r="G1116" s="180" t="s">
        <v>208</v>
      </c>
      <c r="H1116" s="181"/>
      <c r="I1116" s="181"/>
      <c r="J1116" s="181"/>
      <c r="K1116" s="182" t="s">
        <v>363</v>
      </c>
      <c r="R1116" s="163"/>
      <c r="S1116" s="163"/>
    </row>
    <row r="1117">
      <c r="A1117" s="179">
        <f t="shared" si="4"/>
        <v>1114</v>
      </c>
      <c r="B1117" s="181"/>
      <c r="C1117" s="180" t="s">
        <v>208</v>
      </c>
      <c r="D1117" s="180"/>
      <c r="E1117" s="180" t="s">
        <v>208</v>
      </c>
      <c r="F1117" s="180" t="s">
        <v>208</v>
      </c>
      <c r="G1117" s="180" t="s">
        <v>208</v>
      </c>
      <c r="H1117" s="180"/>
      <c r="I1117" s="181"/>
      <c r="J1117" s="181"/>
      <c r="K1117" s="182" t="s">
        <v>363</v>
      </c>
      <c r="R1117" s="163"/>
      <c r="S1117" s="163"/>
    </row>
    <row r="1118">
      <c r="A1118" s="179">
        <f t="shared" si="4"/>
        <v>1115</v>
      </c>
      <c r="B1118" s="180"/>
      <c r="C1118" s="180" t="s">
        <v>208</v>
      </c>
      <c r="D1118" s="180" t="s">
        <v>208</v>
      </c>
      <c r="E1118" s="180" t="s">
        <v>208</v>
      </c>
      <c r="F1118" s="180" t="s">
        <v>208</v>
      </c>
      <c r="G1118" s="180" t="s">
        <v>208</v>
      </c>
      <c r="H1118" s="185"/>
      <c r="I1118" s="181"/>
      <c r="J1118" s="181"/>
      <c r="K1118" s="182" t="s">
        <v>363</v>
      </c>
      <c r="R1118" s="173"/>
      <c r="S1118" s="173"/>
    </row>
    <row r="1119">
      <c r="A1119" s="179">
        <f t="shared" si="4"/>
        <v>1116</v>
      </c>
      <c r="B1119" s="180"/>
      <c r="C1119" s="180" t="s">
        <v>208</v>
      </c>
      <c r="D1119" s="180" t="s">
        <v>208</v>
      </c>
      <c r="E1119" s="180" t="s">
        <v>208</v>
      </c>
      <c r="F1119" s="180" t="s">
        <v>208</v>
      </c>
      <c r="G1119" s="180" t="s">
        <v>208</v>
      </c>
      <c r="H1119" s="181"/>
      <c r="I1119" s="181"/>
      <c r="J1119" s="181"/>
      <c r="K1119" s="182" t="s">
        <v>363</v>
      </c>
      <c r="R1119" s="157"/>
      <c r="S1119" s="157"/>
    </row>
    <row r="1120">
      <c r="A1120" s="179">
        <f t="shared" si="4"/>
        <v>1117</v>
      </c>
      <c r="B1120" s="180"/>
      <c r="C1120" s="180"/>
      <c r="D1120" s="180"/>
      <c r="E1120" s="180"/>
      <c r="F1120" s="180"/>
      <c r="G1120" s="180"/>
      <c r="H1120" s="181"/>
      <c r="I1120" s="181"/>
      <c r="J1120" s="180" t="s">
        <v>242</v>
      </c>
      <c r="K1120" s="182" t="s">
        <v>363</v>
      </c>
      <c r="R1120" s="163"/>
      <c r="S1120" s="163"/>
    </row>
    <row r="1121">
      <c r="A1121" s="179">
        <f t="shared" si="4"/>
        <v>1118</v>
      </c>
      <c r="B1121" s="180"/>
      <c r="C1121" s="180" t="s">
        <v>208</v>
      </c>
      <c r="D1121" s="180" t="s">
        <v>243</v>
      </c>
      <c r="E1121" s="180" t="s">
        <v>208</v>
      </c>
      <c r="F1121" s="180" t="s">
        <v>208</v>
      </c>
      <c r="G1121" s="180" t="s">
        <v>208</v>
      </c>
      <c r="H1121" s="181"/>
      <c r="I1121" s="181"/>
      <c r="J1121" s="181"/>
      <c r="K1121" s="182" t="s">
        <v>363</v>
      </c>
      <c r="R1121" s="163"/>
      <c r="S1121" s="163"/>
    </row>
    <row r="1122">
      <c r="A1122" s="179">
        <f t="shared" si="4"/>
        <v>1119</v>
      </c>
      <c r="B1122" s="180"/>
      <c r="C1122" s="180" t="s">
        <v>208</v>
      </c>
      <c r="D1122" s="180" t="s">
        <v>208</v>
      </c>
      <c r="E1122" s="180" t="s">
        <v>208</v>
      </c>
      <c r="F1122" s="180" t="s">
        <v>208</v>
      </c>
      <c r="G1122" s="180" t="s">
        <v>208</v>
      </c>
      <c r="H1122" s="181"/>
      <c r="I1122" s="181"/>
      <c r="J1122" s="181"/>
      <c r="K1122" s="182" t="s">
        <v>363</v>
      </c>
      <c r="R1122" s="163"/>
      <c r="S1122" s="163"/>
    </row>
    <row r="1123">
      <c r="A1123" s="179">
        <f t="shared" si="4"/>
        <v>1120</v>
      </c>
      <c r="B1123" s="180"/>
      <c r="C1123" s="180" t="s">
        <v>208</v>
      </c>
      <c r="D1123" s="180" t="s">
        <v>208</v>
      </c>
      <c r="E1123" s="180" t="s">
        <v>208</v>
      </c>
      <c r="F1123" s="180" t="s">
        <v>208</v>
      </c>
      <c r="G1123" s="180" t="s">
        <v>208</v>
      </c>
      <c r="H1123" s="181"/>
      <c r="I1123" s="181"/>
      <c r="J1123" s="180"/>
      <c r="K1123" s="182" t="s">
        <v>363</v>
      </c>
      <c r="R1123" s="163"/>
      <c r="S1123" s="163"/>
    </row>
    <row r="1124">
      <c r="A1124" s="179">
        <f t="shared" si="4"/>
        <v>1121</v>
      </c>
      <c r="B1124" s="180"/>
      <c r="C1124" s="180" t="s">
        <v>208</v>
      </c>
      <c r="D1124" s="180" t="s">
        <v>208</v>
      </c>
      <c r="E1124" s="180"/>
      <c r="F1124" s="180" t="s">
        <v>208</v>
      </c>
      <c r="G1124" s="180" t="s">
        <v>208</v>
      </c>
      <c r="H1124" s="181"/>
      <c r="I1124" s="181"/>
      <c r="J1124" s="180"/>
      <c r="K1124" s="182" t="s">
        <v>363</v>
      </c>
      <c r="R1124" s="163"/>
      <c r="S1124" s="163"/>
    </row>
    <row r="1125">
      <c r="A1125" s="179">
        <f t="shared" si="4"/>
        <v>1122</v>
      </c>
      <c r="B1125" s="180"/>
      <c r="C1125" s="180" t="s">
        <v>208</v>
      </c>
      <c r="D1125" s="180" t="s">
        <v>208</v>
      </c>
      <c r="E1125" s="180" t="s">
        <v>208</v>
      </c>
      <c r="F1125" s="180" t="s">
        <v>208</v>
      </c>
      <c r="G1125" s="180" t="s">
        <v>208</v>
      </c>
      <c r="H1125" s="180"/>
      <c r="I1125" s="181"/>
      <c r="J1125" s="181"/>
      <c r="K1125" s="182" t="s">
        <v>363</v>
      </c>
      <c r="R1125" s="163"/>
      <c r="S1125" s="163"/>
    </row>
    <row r="1126">
      <c r="A1126" s="179">
        <f t="shared" si="4"/>
        <v>1123</v>
      </c>
      <c r="B1126" s="180"/>
      <c r="C1126" s="180" t="s">
        <v>208</v>
      </c>
      <c r="D1126" s="180" t="s">
        <v>208</v>
      </c>
      <c r="E1126" s="180" t="s">
        <v>208</v>
      </c>
      <c r="F1126" s="180" t="s">
        <v>208</v>
      </c>
      <c r="G1126" s="180" t="s">
        <v>208</v>
      </c>
      <c r="H1126" s="181"/>
      <c r="I1126" s="181"/>
      <c r="J1126" s="181"/>
      <c r="K1126" s="182" t="s">
        <v>363</v>
      </c>
      <c r="R1126" s="163"/>
      <c r="S1126" s="163"/>
    </row>
    <row r="1127">
      <c r="A1127" s="179">
        <f t="shared" si="4"/>
        <v>1124</v>
      </c>
      <c r="B1127" s="181"/>
      <c r="C1127" s="180" t="s">
        <v>208</v>
      </c>
      <c r="D1127" s="180" t="s">
        <v>208</v>
      </c>
      <c r="E1127" s="180" t="s">
        <v>208</v>
      </c>
      <c r="F1127" s="180" t="s">
        <v>208</v>
      </c>
      <c r="G1127" s="180" t="s">
        <v>208</v>
      </c>
      <c r="H1127" s="180"/>
      <c r="I1127" s="181"/>
      <c r="J1127" s="181"/>
      <c r="K1127" s="182" t="s">
        <v>363</v>
      </c>
      <c r="R1127" s="163"/>
      <c r="S1127" s="163"/>
    </row>
    <row r="1128">
      <c r="A1128" s="179">
        <f t="shared" si="4"/>
        <v>1125</v>
      </c>
      <c r="B1128" s="180"/>
      <c r="C1128" s="180" t="s">
        <v>208</v>
      </c>
      <c r="D1128" s="180" t="s">
        <v>208</v>
      </c>
      <c r="E1128" s="180" t="s">
        <v>208</v>
      </c>
      <c r="F1128" s="180" t="s">
        <v>208</v>
      </c>
      <c r="G1128" s="180" t="s">
        <v>208</v>
      </c>
      <c r="H1128" s="181"/>
      <c r="I1128" s="181"/>
      <c r="J1128" s="181"/>
      <c r="K1128" s="182" t="s">
        <v>363</v>
      </c>
      <c r="R1128" s="163"/>
      <c r="S1128" s="163"/>
    </row>
    <row r="1129">
      <c r="A1129" s="179">
        <f t="shared" si="4"/>
        <v>1126</v>
      </c>
      <c r="B1129" s="180"/>
      <c r="C1129" s="180" t="s">
        <v>208</v>
      </c>
      <c r="D1129" s="180" t="s">
        <v>208</v>
      </c>
      <c r="E1129" s="180" t="s">
        <v>208</v>
      </c>
      <c r="F1129" s="180" t="s">
        <v>208</v>
      </c>
      <c r="G1129" s="180" t="s">
        <v>208</v>
      </c>
      <c r="H1129" s="180"/>
      <c r="I1129" s="181"/>
      <c r="J1129" s="181"/>
      <c r="K1129" s="182" t="s">
        <v>363</v>
      </c>
      <c r="R1129" s="163"/>
      <c r="S1129" s="163"/>
    </row>
    <row r="1130">
      <c r="A1130" s="179">
        <f t="shared" si="4"/>
        <v>1127</v>
      </c>
      <c r="B1130" s="180"/>
      <c r="C1130" s="180" t="s">
        <v>208</v>
      </c>
      <c r="D1130" s="180" t="s">
        <v>208</v>
      </c>
      <c r="E1130" s="180" t="s">
        <v>208</v>
      </c>
      <c r="F1130" s="180" t="s">
        <v>208</v>
      </c>
      <c r="G1130" s="180" t="s">
        <v>208</v>
      </c>
      <c r="H1130" s="181"/>
      <c r="I1130" s="181"/>
      <c r="J1130" s="181"/>
      <c r="K1130" s="182" t="s">
        <v>363</v>
      </c>
      <c r="R1130" s="173"/>
      <c r="S1130" s="173"/>
    </row>
    <row r="1131">
      <c r="A1131" s="179">
        <f t="shared" si="4"/>
        <v>1128</v>
      </c>
      <c r="B1131" s="180"/>
      <c r="C1131" s="180" t="s">
        <v>208</v>
      </c>
      <c r="D1131" s="180" t="s">
        <v>208</v>
      </c>
      <c r="E1131" s="180" t="s">
        <v>208</v>
      </c>
      <c r="F1131" s="180" t="s">
        <v>208</v>
      </c>
      <c r="G1131" s="180" t="s">
        <v>208</v>
      </c>
      <c r="H1131" s="181"/>
      <c r="I1131" s="181"/>
      <c r="J1131" s="181"/>
      <c r="K1131" s="182" t="s">
        <v>363</v>
      </c>
      <c r="R1131" s="157"/>
      <c r="S1131" s="157"/>
    </row>
    <row r="1132">
      <c r="A1132" s="179">
        <f t="shared" si="4"/>
        <v>1129</v>
      </c>
      <c r="B1132" s="180"/>
      <c r="C1132" s="180" t="s">
        <v>208</v>
      </c>
      <c r="D1132" s="180" t="s">
        <v>208</v>
      </c>
      <c r="E1132" s="180" t="s">
        <v>208</v>
      </c>
      <c r="F1132" s="180" t="s">
        <v>208</v>
      </c>
      <c r="G1132" s="180" t="s">
        <v>208</v>
      </c>
      <c r="H1132" s="181"/>
      <c r="I1132" s="181"/>
      <c r="J1132" s="181"/>
      <c r="K1132" s="182" t="s">
        <v>363</v>
      </c>
      <c r="R1132" s="163"/>
      <c r="S1132" s="163"/>
    </row>
    <row r="1133">
      <c r="A1133" s="179">
        <f t="shared" si="4"/>
        <v>1130</v>
      </c>
      <c r="B1133" s="180"/>
      <c r="C1133" s="180" t="s">
        <v>208</v>
      </c>
      <c r="D1133" s="180" t="s">
        <v>208</v>
      </c>
      <c r="E1133" s="180" t="s">
        <v>208</v>
      </c>
      <c r="F1133" s="180" t="s">
        <v>208</v>
      </c>
      <c r="G1133" s="180" t="s">
        <v>208</v>
      </c>
      <c r="H1133" s="181"/>
      <c r="I1133" s="181"/>
      <c r="J1133" s="181"/>
      <c r="K1133" s="182" t="s">
        <v>363</v>
      </c>
      <c r="R1133" s="163"/>
      <c r="S1133" s="163"/>
    </row>
    <row r="1134">
      <c r="A1134" s="179">
        <f t="shared" si="4"/>
        <v>1131</v>
      </c>
      <c r="B1134" s="180"/>
      <c r="C1134" s="180" t="s">
        <v>208</v>
      </c>
      <c r="D1134" s="180" t="s">
        <v>208</v>
      </c>
      <c r="E1134" s="180" t="s">
        <v>208</v>
      </c>
      <c r="F1134" s="180" t="s">
        <v>208</v>
      </c>
      <c r="G1134" s="180" t="s">
        <v>208</v>
      </c>
      <c r="H1134" s="181"/>
      <c r="I1134" s="181"/>
      <c r="J1134" s="181"/>
      <c r="K1134" s="182" t="s">
        <v>363</v>
      </c>
      <c r="R1134" s="163"/>
      <c r="S1134" s="163"/>
    </row>
    <row r="1135">
      <c r="A1135" s="179">
        <f t="shared" si="4"/>
        <v>1132</v>
      </c>
      <c r="B1135" s="180"/>
      <c r="C1135" s="180" t="s">
        <v>208</v>
      </c>
      <c r="D1135" s="180" t="s">
        <v>208</v>
      </c>
      <c r="E1135" s="180" t="s">
        <v>208</v>
      </c>
      <c r="F1135" s="180" t="s">
        <v>208</v>
      </c>
      <c r="G1135" s="180" t="s">
        <v>208</v>
      </c>
      <c r="H1135" s="181"/>
      <c r="I1135" s="181"/>
      <c r="J1135" s="181"/>
      <c r="K1135" s="182" t="s">
        <v>363</v>
      </c>
      <c r="R1135" s="163"/>
      <c r="S1135" s="163"/>
    </row>
    <row r="1136">
      <c r="A1136" s="179">
        <f t="shared" si="4"/>
        <v>1133</v>
      </c>
      <c r="B1136" s="180"/>
      <c r="C1136" s="180" t="s">
        <v>208</v>
      </c>
      <c r="D1136" s="180" t="s">
        <v>208</v>
      </c>
      <c r="E1136" s="180" t="s">
        <v>208</v>
      </c>
      <c r="F1136" s="180" t="s">
        <v>208</v>
      </c>
      <c r="G1136" s="180" t="s">
        <v>208</v>
      </c>
      <c r="H1136" s="181"/>
      <c r="I1136" s="181"/>
      <c r="J1136" s="180"/>
      <c r="K1136" s="182" t="s">
        <v>363</v>
      </c>
      <c r="R1136" s="163"/>
      <c r="S1136" s="163"/>
    </row>
    <row r="1137">
      <c r="A1137" s="179">
        <f t="shared" si="4"/>
        <v>1134</v>
      </c>
      <c r="B1137" s="180"/>
      <c r="C1137" s="180" t="s">
        <v>208</v>
      </c>
      <c r="D1137" s="180" t="s">
        <v>208</v>
      </c>
      <c r="E1137" s="180" t="s">
        <v>208</v>
      </c>
      <c r="F1137" s="180" t="s">
        <v>208</v>
      </c>
      <c r="G1137" s="180" t="s">
        <v>208</v>
      </c>
      <c r="H1137" s="181"/>
      <c r="I1137" s="181"/>
      <c r="J1137" s="181"/>
      <c r="K1137" s="182" t="s">
        <v>363</v>
      </c>
      <c r="R1137" s="163"/>
      <c r="S1137" s="163"/>
    </row>
    <row r="1138">
      <c r="A1138" s="179">
        <f t="shared" si="4"/>
        <v>1135</v>
      </c>
      <c r="B1138" s="180"/>
      <c r="C1138" s="180" t="s">
        <v>208</v>
      </c>
      <c r="D1138" s="180" t="s">
        <v>208</v>
      </c>
      <c r="E1138" s="180" t="s">
        <v>208</v>
      </c>
      <c r="F1138" s="180" t="s">
        <v>208</v>
      </c>
      <c r="G1138" s="180" t="s">
        <v>208</v>
      </c>
      <c r="H1138" s="181"/>
      <c r="I1138" s="181"/>
      <c r="J1138" s="181"/>
      <c r="K1138" s="182" t="s">
        <v>363</v>
      </c>
      <c r="R1138" s="163"/>
      <c r="S1138" s="163"/>
    </row>
    <row r="1139">
      <c r="A1139" s="179">
        <f t="shared" si="4"/>
        <v>1136</v>
      </c>
      <c r="B1139" s="180"/>
      <c r="C1139" s="180" t="s">
        <v>208</v>
      </c>
      <c r="D1139" s="180" t="s">
        <v>208</v>
      </c>
      <c r="E1139" s="180" t="s">
        <v>208</v>
      </c>
      <c r="F1139" s="180" t="s">
        <v>208</v>
      </c>
      <c r="G1139" s="180" t="s">
        <v>208</v>
      </c>
      <c r="H1139" s="181"/>
      <c r="I1139" s="181"/>
      <c r="J1139" s="181"/>
      <c r="K1139" s="182" t="s">
        <v>363</v>
      </c>
      <c r="R1139" s="163"/>
      <c r="S1139" s="163"/>
    </row>
    <row r="1140">
      <c r="A1140" s="179">
        <f t="shared" si="4"/>
        <v>1137</v>
      </c>
      <c r="B1140" s="180"/>
      <c r="C1140" s="180" t="s">
        <v>208</v>
      </c>
      <c r="D1140" s="180" t="s">
        <v>208</v>
      </c>
      <c r="E1140" s="180" t="s">
        <v>208</v>
      </c>
      <c r="F1140" s="180" t="s">
        <v>208</v>
      </c>
      <c r="G1140" s="180" t="s">
        <v>208</v>
      </c>
      <c r="H1140" s="180"/>
      <c r="I1140" s="181"/>
      <c r="J1140" s="181"/>
      <c r="K1140" s="182" t="s">
        <v>363</v>
      </c>
      <c r="R1140" s="163"/>
      <c r="S1140" s="163"/>
    </row>
    <row r="1141">
      <c r="A1141" s="179">
        <f t="shared" si="4"/>
        <v>1138</v>
      </c>
      <c r="B1141" s="180"/>
      <c r="C1141" s="180" t="s">
        <v>208</v>
      </c>
      <c r="D1141" s="180" t="s">
        <v>208</v>
      </c>
      <c r="E1141" s="180" t="s">
        <v>208</v>
      </c>
      <c r="F1141" s="180" t="s">
        <v>208</v>
      </c>
      <c r="G1141" s="180" t="s">
        <v>208</v>
      </c>
      <c r="H1141" s="181"/>
      <c r="I1141" s="181"/>
      <c r="J1141" s="181"/>
      <c r="K1141" s="182" t="s">
        <v>363</v>
      </c>
      <c r="R1141" s="163"/>
      <c r="S1141" s="163"/>
    </row>
    <row r="1142">
      <c r="A1142" s="179">
        <f t="shared" si="4"/>
        <v>1139</v>
      </c>
      <c r="B1142" s="180"/>
      <c r="C1142" s="180" t="s">
        <v>208</v>
      </c>
      <c r="D1142" s="180" t="s">
        <v>208</v>
      </c>
      <c r="E1142" s="180" t="s">
        <v>208</v>
      </c>
      <c r="F1142" s="180" t="s">
        <v>208</v>
      </c>
      <c r="G1142" s="180" t="s">
        <v>208</v>
      </c>
      <c r="H1142" s="181"/>
      <c r="I1142" s="181"/>
      <c r="J1142" s="181"/>
      <c r="K1142" s="182" t="s">
        <v>363</v>
      </c>
      <c r="R1142" s="173"/>
      <c r="S1142" s="173"/>
    </row>
    <row r="1143">
      <c r="A1143" s="179">
        <f t="shared" si="4"/>
        <v>1140</v>
      </c>
      <c r="B1143" s="181"/>
      <c r="C1143" s="180" t="s">
        <v>208</v>
      </c>
      <c r="D1143" s="180" t="s">
        <v>208</v>
      </c>
      <c r="E1143" s="180" t="s">
        <v>208</v>
      </c>
      <c r="F1143" s="180" t="s">
        <v>208</v>
      </c>
      <c r="G1143" s="180" t="s">
        <v>208</v>
      </c>
      <c r="H1143" s="181"/>
      <c r="I1143" s="181"/>
      <c r="J1143" s="181"/>
      <c r="K1143" s="182" t="s">
        <v>363</v>
      </c>
      <c r="R1143" s="157"/>
      <c r="S1143" s="157"/>
    </row>
    <row r="1144">
      <c r="A1144" s="179">
        <f t="shared" si="4"/>
        <v>1141</v>
      </c>
      <c r="B1144" s="180"/>
      <c r="C1144" s="180" t="s">
        <v>208</v>
      </c>
      <c r="D1144" s="180" t="s">
        <v>208</v>
      </c>
      <c r="E1144" s="180" t="s">
        <v>208</v>
      </c>
      <c r="F1144" s="180" t="s">
        <v>208</v>
      </c>
      <c r="G1144" s="180" t="s">
        <v>208</v>
      </c>
      <c r="H1144" s="181"/>
      <c r="I1144" s="181"/>
      <c r="J1144" s="181"/>
      <c r="K1144" s="182" t="s">
        <v>363</v>
      </c>
      <c r="R1144" s="163"/>
      <c r="S1144" s="163"/>
    </row>
    <row r="1145">
      <c r="A1145" s="179">
        <f t="shared" si="4"/>
        <v>1142</v>
      </c>
      <c r="B1145" s="180"/>
      <c r="C1145" s="180"/>
      <c r="D1145" s="180"/>
      <c r="E1145" s="180"/>
      <c r="F1145" s="180"/>
      <c r="G1145" s="180"/>
      <c r="H1145" s="181"/>
      <c r="I1145" s="181"/>
      <c r="J1145" s="180" t="s">
        <v>242</v>
      </c>
      <c r="K1145" s="182" t="s">
        <v>363</v>
      </c>
      <c r="R1145" s="163"/>
      <c r="S1145" s="163"/>
    </row>
    <row r="1146">
      <c r="A1146" s="179">
        <f t="shared" si="4"/>
        <v>1143</v>
      </c>
      <c r="B1146" s="180"/>
      <c r="C1146" s="180"/>
      <c r="D1146" s="180"/>
      <c r="E1146" s="180"/>
      <c r="F1146" s="180"/>
      <c r="G1146" s="180"/>
      <c r="H1146" s="181"/>
      <c r="I1146" s="181"/>
      <c r="J1146" s="180" t="s">
        <v>242</v>
      </c>
      <c r="K1146" s="182" t="s">
        <v>363</v>
      </c>
      <c r="R1146" s="163"/>
      <c r="S1146" s="163"/>
    </row>
    <row r="1147">
      <c r="A1147" s="179">
        <f t="shared" si="4"/>
        <v>1144</v>
      </c>
      <c r="B1147" s="180"/>
      <c r="C1147" s="180" t="s">
        <v>208</v>
      </c>
      <c r="D1147" s="180" t="s">
        <v>208</v>
      </c>
      <c r="E1147" s="180" t="s">
        <v>208</v>
      </c>
      <c r="F1147" s="180" t="s">
        <v>208</v>
      </c>
      <c r="G1147" s="180" t="s">
        <v>208</v>
      </c>
      <c r="H1147" s="180"/>
      <c r="I1147" s="181"/>
      <c r="J1147" s="181"/>
      <c r="K1147" s="182" t="s">
        <v>363</v>
      </c>
      <c r="R1147" s="163"/>
      <c r="S1147" s="163"/>
    </row>
    <row r="1148">
      <c r="A1148" s="179">
        <f t="shared" si="4"/>
        <v>1145</v>
      </c>
      <c r="B1148" s="180"/>
      <c r="C1148" s="180" t="s">
        <v>208</v>
      </c>
      <c r="D1148" s="180" t="s">
        <v>208</v>
      </c>
      <c r="E1148" s="180" t="s">
        <v>208</v>
      </c>
      <c r="F1148" s="180" t="s">
        <v>208</v>
      </c>
      <c r="G1148" s="180" t="s">
        <v>208</v>
      </c>
      <c r="H1148" s="181"/>
      <c r="I1148" s="181"/>
      <c r="J1148" s="180"/>
      <c r="K1148" s="182" t="s">
        <v>363</v>
      </c>
      <c r="R1148" s="163"/>
      <c r="S1148" s="163"/>
    </row>
    <row r="1149">
      <c r="A1149" s="179">
        <f t="shared" si="4"/>
        <v>1146</v>
      </c>
      <c r="B1149" s="180"/>
      <c r="C1149" s="180" t="s">
        <v>208</v>
      </c>
      <c r="D1149" s="180" t="s">
        <v>208</v>
      </c>
      <c r="E1149" s="180" t="s">
        <v>208</v>
      </c>
      <c r="F1149" s="180" t="s">
        <v>208</v>
      </c>
      <c r="G1149" s="180" t="s">
        <v>208</v>
      </c>
      <c r="H1149" s="181"/>
      <c r="I1149" s="181"/>
      <c r="J1149" s="181"/>
      <c r="K1149" s="182" t="s">
        <v>363</v>
      </c>
      <c r="R1149" s="163"/>
      <c r="S1149" s="163"/>
    </row>
    <row r="1150">
      <c r="A1150" s="179">
        <f t="shared" si="4"/>
        <v>1147</v>
      </c>
      <c r="B1150" s="180"/>
      <c r="C1150" s="180" t="s">
        <v>208</v>
      </c>
      <c r="D1150" s="180" t="s">
        <v>208</v>
      </c>
      <c r="E1150" s="180" t="s">
        <v>208</v>
      </c>
      <c r="F1150" s="180" t="s">
        <v>208</v>
      </c>
      <c r="G1150" s="180" t="s">
        <v>208</v>
      </c>
      <c r="H1150" s="181"/>
      <c r="I1150" s="181"/>
      <c r="J1150" s="181"/>
      <c r="K1150" s="182" t="s">
        <v>363</v>
      </c>
      <c r="R1150" s="163"/>
      <c r="S1150" s="163"/>
    </row>
    <row r="1151">
      <c r="A1151" s="179">
        <f t="shared" si="4"/>
        <v>1148</v>
      </c>
      <c r="B1151" s="180"/>
      <c r="C1151" s="180" t="s">
        <v>208</v>
      </c>
      <c r="D1151" s="180" t="s">
        <v>208</v>
      </c>
      <c r="E1151" s="180" t="s">
        <v>208</v>
      </c>
      <c r="F1151" s="180" t="s">
        <v>208</v>
      </c>
      <c r="G1151" s="180" t="s">
        <v>208</v>
      </c>
      <c r="H1151" s="181"/>
      <c r="I1151" s="181"/>
      <c r="J1151" s="181"/>
      <c r="K1151" s="182" t="s">
        <v>363</v>
      </c>
      <c r="R1151" s="163"/>
      <c r="S1151" s="163"/>
    </row>
    <row r="1152">
      <c r="A1152" s="179">
        <f t="shared" si="4"/>
        <v>1149</v>
      </c>
      <c r="B1152" s="180"/>
      <c r="C1152" s="180" t="s">
        <v>208</v>
      </c>
      <c r="D1152" s="180" t="s">
        <v>208</v>
      </c>
      <c r="E1152" s="180" t="s">
        <v>208</v>
      </c>
      <c r="F1152" s="180" t="s">
        <v>208</v>
      </c>
      <c r="G1152" s="180" t="s">
        <v>208</v>
      </c>
      <c r="H1152" s="181"/>
      <c r="I1152" s="181"/>
      <c r="J1152" s="181"/>
      <c r="K1152" s="182" t="s">
        <v>363</v>
      </c>
      <c r="R1152" s="163"/>
      <c r="S1152" s="163"/>
    </row>
    <row r="1153">
      <c r="A1153" s="179">
        <f t="shared" si="4"/>
        <v>1150</v>
      </c>
      <c r="B1153" s="180"/>
      <c r="C1153" s="180" t="s">
        <v>208</v>
      </c>
      <c r="D1153" s="180" t="s">
        <v>208</v>
      </c>
      <c r="E1153" s="180" t="s">
        <v>208</v>
      </c>
      <c r="F1153" s="180" t="s">
        <v>208</v>
      </c>
      <c r="G1153" s="180" t="s">
        <v>208</v>
      </c>
      <c r="H1153" s="180"/>
      <c r="I1153" s="181"/>
      <c r="J1153" s="181"/>
      <c r="K1153" s="182" t="s">
        <v>363</v>
      </c>
      <c r="R1153" s="163"/>
      <c r="S1153" s="163"/>
    </row>
    <row r="1154">
      <c r="A1154" s="179">
        <f t="shared" si="4"/>
        <v>1151</v>
      </c>
      <c r="B1154" s="180"/>
      <c r="C1154" s="180"/>
      <c r="D1154" s="180" t="s">
        <v>243</v>
      </c>
      <c r="E1154" s="180" t="s">
        <v>208</v>
      </c>
      <c r="F1154" s="180" t="s">
        <v>208</v>
      </c>
      <c r="G1154" s="180"/>
      <c r="H1154" s="180" t="s">
        <v>208</v>
      </c>
      <c r="I1154" s="181"/>
      <c r="J1154" s="180"/>
      <c r="K1154" s="182" t="s">
        <v>363</v>
      </c>
      <c r="R1154" s="173"/>
      <c r="S1154" s="173"/>
    </row>
    <row r="1155">
      <c r="A1155" s="179">
        <f t="shared" si="4"/>
        <v>1152</v>
      </c>
      <c r="B1155" s="180"/>
      <c r="C1155" s="180" t="s">
        <v>208</v>
      </c>
      <c r="D1155" s="180" t="s">
        <v>208</v>
      </c>
      <c r="E1155" s="180" t="s">
        <v>208</v>
      </c>
      <c r="F1155" s="180" t="s">
        <v>208</v>
      </c>
      <c r="G1155" s="180" t="s">
        <v>208</v>
      </c>
      <c r="H1155" s="181"/>
      <c r="I1155" s="181"/>
      <c r="J1155" s="180"/>
      <c r="K1155" s="182" t="s">
        <v>363</v>
      </c>
      <c r="R1155" s="157"/>
      <c r="S1155" s="157"/>
    </row>
    <row r="1156">
      <c r="A1156" s="179">
        <f t="shared" si="4"/>
        <v>1153</v>
      </c>
      <c r="B1156" s="180"/>
      <c r="C1156" s="180" t="s">
        <v>208</v>
      </c>
      <c r="D1156" s="180" t="s">
        <v>243</v>
      </c>
      <c r="E1156" s="180" t="s">
        <v>208</v>
      </c>
      <c r="F1156" s="180" t="s">
        <v>208</v>
      </c>
      <c r="G1156" s="180" t="s">
        <v>208</v>
      </c>
      <c r="H1156" s="181"/>
      <c r="I1156" s="181"/>
      <c r="J1156" s="180"/>
      <c r="K1156" s="182" t="s">
        <v>363</v>
      </c>
      <c r="R1156" s="163"/>
      <c r="S1156" s="163"/>
    </row>
    <row r="1157">
      <c r="A1157" s="179">
        <f t="shared" si="4"/>
        <v>1154</v>
      </c>
      <c r="B1157" s="180"/>
      <c r="C1157" s="180" t="s">
        <v>208</v>
      </c>
      <c r="D1157" s="180" t="s">
        <v>208</v>
      </c>
      <c r="E1157" s="180" t="s">
        <v>208</v>
      </c>
      <c r="F1157" s="180" t="s">
        <v>208</v>
      </c>
      <c r="G1157" s="180" t="s">
        <v>208</v>
      </c>
      <c r="H1157" s="185"/>
      <c r="I1157" s="181"/>
      <c r="J1157" s="180"/>
      <c r="K1157" s="182" t="s">
        <v>363</v>
      </c>
      <c r="R1157" s="163"/>
      <c r="S1157" s="163"/>
    </row>
    <row r="1158">
      <c r="A1158" s="179">
        <f t="shared" si="4"/>
        <v>1155</v>
      </c>
      <c r="B1158" s="180"/>
      <c r="C1158" s="180" t="s">
        <v>208</v>
      </c>
      <c r="D1158" s="180" t="s">
        <v>208</v>
      </c>
      <c r="E1158" s="180" t="s">
        <v>208</v>
      </c>
      <c r="F1158" s="180" t="s">
        <v>208</v>
      </c>
      <c r="G1158" s="180" t="s">
        <v>208</v>
      </c>
      <c r="H1158" s="185"/>
      <c r="I1158" s="181"/>
      <c r="J1158" s="180"/>
      <c r="K1158" s="182" t="s">
        <v>363</v>
      </c>
      <c r="R1158" s="163"/>
      <c r="S1158" s="163"/>
    </row>
    <row r="1159">
      <c r="A1159" s="179">
        <f t="shared" si="4"/>
        <v>1156</v>
      </c>
      <c r="B1159" s="180"/>
      <c r="C1159" s="180" t="s">
        <v>208</v>
      </c>
      <c r="D1159" s="180" t="s">
        <v>208</v>
      </c>
      <c r="E1159" s="180" t="s">
        <v>208</v>
      </c>
      <c r="F1159" s="180" t="s">
        <v>208</v>
      </c>
      <c r="G1159" s="180" t="s">
        <v>208</v>
      </c>
      <c r="H1159" s="185"/>
      <c r="I1159" s="181"/>
      <c r="J1159" s="180"/>
      <c r="K1159" s="182" t="s">
        <v>363</v>
      </c>
      <c r="R1159" s="163"/>
      <c r="S1159" s="163"/>
    </row>
    <row r="1160">
      <c r="A1160" s="179">
        <f t="shared" si="4"/>
        <v>1157</v>
      </c>
      <c r="B1160" s="180"/>
      <c r="C1160" s="180" t="s">
        <v>208</v>
      </c>
      <c r="D1160" s="180" t="s">
        <v>208</v>
      </c>
      <c r="E1160" s="180" t="s">
        <v>208</v>
      </c>
      <c r="F1160" s="180" t="s">
        <v>208</v>
      </c>
      <c r="G1160" s="180" t="s">
        <v>208</v>
      </c>
      <c r="H1160" s="185"/>
      <c r="I1160" s="181"/>
      <c r="J1160" s="180"/>
      <c r="K1160" s="182" t="s">
        <v>363</v>
      </c>
      <c r="R1160" s="163"/>
      <c r="S1160" s="163"/>
    </row>
    <row r="1161">
      <c r="A1161" s="179">
        <f t="shared" si="4"/>
        <v>1158</v>
      </c>
      <c r="B1161" s="180"/>
      <c r="C1161" s="180" t="s">
        <v>208</v>
      </c>
      <c r="D1161" s="180" t="s">
        <v>208</v>
      </c>
      <c r="E1161" s="180" t="s">
        <v>208</v>
      </c>
      <c r="F1161" s="180" t="s">
        <v>208</v>
      </c>
      <c r="G1161" s="180" t="s">
        <v>208</v>
      </c>
      <c r="H1161" s="185"/>
      <c r="I1161" s="181"/>
      <c r="J1161" s="180"/>
      <c r="K1161" s="182" t="s">
        <v>363</v>
      </c>
      <c r="R1161" s="163"/>
      <c r="S1161" s="163"/>
    </row>
    <row r="1162">
      <c r="A1162" s="179">
        <f t="shared" si="4"/>
        <v>1159</v>
      </c>
      <c r="B1162" s="180"/>
      <c r="C1162" s="180" t="s">
        <v>208</v>
      </c>
      <c r="D1162" s="180" t="s">
        <v>243</v>
      </c>
      <c r="E1162" s="180" t="s">
        <v>208</v>
      </c>
      <c r="F1162" s="180" t="s">
        <v>243</v>
      </c>
      <c r="G1162" s="180" t="s">
        <v>208</v>
      </c>
      <c r="H1162" s="185"/>
      <c r="I1162" s="181"/>
      <c r="J1162" s="180"/>
      <c r="K1162" s="182" t="s">
        <v>363</v>
      </c>
      <c r="R1162" s="163"/>
      <c r="S1162" s="163"/>
    </row>
    <row r="1163">
      <c r="A1163" s="179">
        <f t="shared" si="4"/>
        <v>1160</v>
      </c>
      <c r="B1163" s="180"/>
      <c r="C1163" s="180" t="s">
        <v>208</v>
      </c>
      <c r="D1163" s="180" t="s">
        <v>208</v>
      </c>
      <c r="E1163" s="180" t="s">
        <v>208</v>
      </c>
      <c r="F1163" s="180" t="s">
        <v>208</v>
      </c>
      <c r="G1163" s="180" t="s">
        <v>208</v>
      </c>
      <c r="H1163" s="181"/>
      <c r="I1163" s="181"/>
      <c r="J1163" s="181"/>
      <c r="K1163" s="182" t="s">
        <v>363</v>
      </c>
      <c r="R1163" s="163"/>
      <c r="S1163" s="163"/>
    </row>
    <row r="1164">
      <c r="A1164" s="179">
        <f t="shared" si="4"/>
        <v>1161</v>
      </c>
      <c r="B1164" s="180"/>
      <c r="C1164" s="180" t="s">
        <v>208</v>
      </c>
      <c r="D1164" s="180" t="s">
        <v>208</v>
      </c>
      <c r="E1164" s="180" t="s">
        <v>208</v>
      </c>
      <c r="F1164" s="180" t="s">
        <v>208</v>
      </c>
      <c r="G1164" s="180" t="s">
        <v>208</v>
      </c>
      <c r="H1164" s="181"/>
      <c r="I1164" s="181"/>
      <c r="J1164" s="181"/>
      <c r="K1164" s="182" t="s">
        <v>363</v>
      </c>
      <c r="R1164" s="163"/>
      <c r="S1164" s="163"/>
    </row>
    <row r="1165">
      <c r="A1165" s="179">
        <f t="shared" si="4"/>
        <v>1162</v>
      </c>
      <c r="B1165" s="180"/>
      <c r="C1165" s="180" t="s">
        <v>208</v>
      </c>
      <c r="D1165" s="180" t="s">
        <v>208</v>
      </c>
      <c r="E1165" s="180" t="s">
        <v>208</v>
      </c>
      <c r="F1165" s="180" t="s">
        <v>208</v>
      </c>
      <c r="G1165" s="180" t="s">
        <v>208</v>
      </c>
      <c r="H1165" s="181"/>
      <c r="I1165" s="181"/>
      <c r="J1165" s="181"/>
      <c r="K1165" s="182" t="s">
        <v>363</v>
      </c>
      <c r="R1165" s="163"/>
      <c r="S1165" s="163"/>
    </row>
    <row r="1166">
      <c r="A1166" s="179">
        <f t="shared" si="4"/>
        <v>1163</v>
      </c>
      <c r="B1166" s="180"/>
      <c r="C1166" s="180" t="s">
        <v>208</v>
      </c>
      <c r="D1166" s="180" t="s">
        <v>208</v>
      </c>
      <c r="E1166" s="180" t="s">
        <v>208</v>
      </c>
      <c r="F1166" s="180" t="s">
        <v>208</v>
      </c>
      <c r="G1166" s="180" t="s">
        <v>208</v>
      </c>
      <c r="H1166" s="181"/>
      <c r="I1166" s="181"/>
      <c r="J1166" s="181"/>
      <c r="K1166" s="182" t="s">
        <v>363</v>
      </c>
      <c r="R1166" s="173"/>
      <c r="S1166" s="173"/>
    </row>
    <row r="1167">
      <c r="A1167" s="179">
        <f t="shared" si="4"/>
        <v>1164</v>
      </c>
      <c r="B1167" s="180"/>
      <c r="C1167" s="180" t="s">
        <v>208</v>
      </c>
      <c r="D1167" s="180" t="s">
        <v>208</v>
      </c>
      <c r="E1167" s="180" t="s">
        <v>208</v>
      </c>
      <c r="F1167" s="180" t="s">
        <v>208</v>
      </c>
      <c r="G1167" s="180" t="s">
        <v>208</v>
      </c>
      <c r="H1167" s="180"/>
      <c r="I1167" s="181"/>
      <c r="J1167" s="181"/>
      <c r="K1167" s="182" t="s">
        <v>363</v>
      </c>
      <c r="R1167" s="157"/>
      <c r="S1167" s="157"/>
    </row>
    <row r="1168">
      <c r="A1168" s="179">
        <f t="shared" si="4"/>
        <v>1165</v>
      </c>
      <c r="B1168" s="181"/>
      <c r="C1168" s="180" t="s">
        <v>208</v>
      </c>
      <c r="D1168" s="180" t="s">
        <v>208</v>
      </c>
      <c r="E1168" s="180" t="s">
        <v>208</v>
      </c>
      <c r="F1168" s="180" t="s">
        <v>208</v>
      </c>
      <c r="G1168" s="180" t="s">
        <v>208</v>
      </c>
      <c r="H1168" s="181"/>
      <c r="I1168" s="181"/>
      <c r="J1168" s="181"/>
      <c r="K1168" s="182" t="s">
        <v>363</v>
      </c>
      <c r="R1168" s="163"/>
      <c r="S1168" s="163"/>
    </row>
    <row r="1169">
      <c r="A1169" s="179">
        <f t="shared" si="4"/>
        <v>1166</v>
      </c>
      <c r="B1169" s="180"/>
      <c r="C1169" s="180" t="s">
        <v>208</v>
      </c>
      <c r="D1169" s="180" t="s">
        <v>208</v>
      </c>
      <c r="E1169" s="180" t="s">
        <v>208</v>
      </c>
      <c r="F1169" s="180" t="s">
        <v>208</v>
      </c>
      <c r="G1169" s="180" t="s">
        <v>208</v>
      </c>
      <c r="H1169" s="181"/>
      <c r="I1169" s="181"/>
      <c r="J1169" s="181"/>
      <c r="K1169" s="182" t="s">
        <v>363</v>
      </c>
      <c r="R1169" s="163"/>
      <c r="S1169" s="163"/>
    </row>
    <row r="1170">
      <c r="A1170" s="179">
        <f t="shared" si="4"/>
        <v>1167</v>
      </c>
      <c r="B1170" s="180"/>
      <c r="C1170" s="180" t="s">
        <v>208</v>
      </c>
      <c r="D1170" s="180" t="s">
        <v>208</v>
      </c>
      <c r="E1170" s="180" t="s">
        <v>208</v>
      </c>
      <c r="F1170" s="180" t="s">
        <v>208</v>
      </c>
      <c r="G1170" s="180" t="s">
        <v>208</v>
      </c>
      <c r="H1170" s="181"/>
      <c r="I1170" s="181"/>
      <c r="J1170" s="181"/>
      <c r="K1170" s="182" t="s">
        <v>363</v>
      </c>
      <c r="R1170" s="163"/>
      <c r="S1170" s="163"/>
    </row>
    <row r="1171">
      <c r="A1171" s="179">
        <f t="shared" si="4"/>
        <v>1168</v>
      </c>
      <c r="B1171" s="180"/>
      <c r="C1171" s="180" t="s">
        <v>208</v>
      </c>
      <c r="D1171" s="180" t="s">
        <v>208</v>
      </c>
      <c r="E1171" s="180" t="s">
        <v>208</v>
      </c>
      <c r="F1171" s="180" t="s">
        <v>208</v>
      </c>
      <c r="G1171" s="180" t="s">
        <v>208</v>
      </c>
      <c r="H1171" s="181"/>
      <c r="I1171" s="181"/>
      <c r="J1171" s="181"/>
      <c r="K1171" s="182" t="s">
        <v>363</v>
      </c>
      <c r="R1171" s="163"/>
      <c r="S1171" s="163"/>
    </row>
    <row r="1172">
      <c r="A1172" s="179">
        <f t="shared" si="4"/>
        <v>1169</v>
      </c>
      <c r="B1172" s="180"/>
      <c r="C1172" s="180" t="s">
        <v>208</v>
      </c>
      <c r="D1172" s="180" t="s">
        <v>208</v>
      </c>
      <c r="E1172" s="180" t="s">
        <v>208</v>
      </c>
      <c r="F1172" s="180" t="s">
        <v>208</v>
      </c>
      <c r="G1172" s="180" t="s">
        <v>208</v>
      </c>
      <c r="H1172" s="181"/>
      <c r="I1172" s="181"/>
      <c r="J1172" s="181"/>
      <c r="K1172" s="182" t="s">
        <v>363</v>
      </c>
      <c r="R1172" s="163"/>
      <c r="S1172" s="163"/>
    </row>
    <row r="1173">
      <c r="A1173" s="179">
        <f t="shared" si="4"/>
        <v>1170</v>
      </c>
      <c r="B1173" s="180"/>
      <c r="C1173" s="180"/>
      <c r="D1173" s="180" t="s">
        <v>208</v>
      </c>
      <c r="E1173" s="180" t="s">
        <v>208</v>
      </c>
      <c r="F1173" s="180" t="s">
        <v>208</v>
      </c>
      <c r="G1173" s="180"/>
      <c r="H1173" s="180" t="s">
        <v>208</v>
      </c>
      <c r="I1173" s="181"/>
      <c r="J1173" s="180"/>
      <c r="K1173" s="182" t="s">
        <v>363</v>
      </c>
      <c r="R1173" s="163"/>
      <c r="S1173" s="163"/>
    </row>
    <row r="1174">
      <c r="A1174" s="179">
        <f t="shared" si="4"/>
        <v>1171</v>
      </c>
      <c r="B1174" s="180"/>
      <c r="C1174" s="180" t="s">
        <v>208</v>
      </c>
      <c r="D1174" s="180" t="s">
        <v>208</v>
      </c>
      <c r="E1174" s="180" t="s">
        <v>208</v>
      </c>
      <c r="F1174" s="180" t="s">
        <v>208</v>
      </c>
      <c r="G1174" s="180" t="s">
        <v>208</v>
      </c>
      <c r="H1174" s="181"/>
      <c r="I1174" s="181"/>
      <c r="J1174" s="181"/>
      <c r="K1174" s="182" t="s">
        <v>363</v>
      </c>
      <c r="R1174" s="163"/>
      <c r="S1174" s="163"/>
    </row>
    <row r="1175">
      <c r="A1175" s="179">
        <f t="shared" si="4"/>
        <v>1172</v>
      </c>
      <c r="B1175" s="180"/>
      <c r="C1175" s="180"/>
      <c r="D1175" s="180" t="s">
        <v>208</v>
      </c>
      <c r="E1175" s="180" t="s">
        <v>208</v>
      </c>
      <c r="F1175" s="180" t="s">
        <v>208</v>
      </c>
      <c r="G1175" s="180"/>
      <c r="H1175" s="180" t="s">
        <v>208</v>
      </c>
      <c r="I1175" s="181"/>
      <c r="J1175" s="181"/>
      <c r="K1175" s="182" t="s">
        <v>363</v>
      </c>
      <c r="R1175" s="163"/>
      <c r="S1175" s="163"/>
    </row>
    <row r="1176">
      <c r="A1176" s="179">
        <f t="shared" si="4"/>
        <v>1173</v>
      </c>
      <c r="B1176" s="180"/>
      <c r="C1176" s="180" t="s">
        <v>208</v>
      </c>
      <c r="D1176" s="180" t="s">
        <v>208</v>
      </c>
      <c r="E1176" s="180" t="s">
        <v>208</v>
      </c>
      <c r="F1176" s="180" t="s">
        <v>208</v>
      </c>
      <c r="G1176" s="180" t="s">
        <v>208</v>
      </c>
      <c r="H1176" s="181"/>
      <c r="I1176" s="181"/>
      <c r="J1176" s="181"/>
      <c r="K1176" s="182" t="s">
        <v>363</v>
      </c>
      <c r="R1176" s="163"/>
      <c r="S1176" s="163"/>
    </row>
    <row r="1177">
      <c r="A1177" s="179">
        <f t="shared" si="4"/>
        <v>1174</v>
      </c>
      <c r="B1177" s="180"/>
      <c r="C1177" s="180" t="s">
        <v>208</v>
      </c>
      <c r="D1177" s="180" t="s">
        <v>208</v>
      </c>
      <c r="E1177" s="180" t="s">
        <v>208</v>
      </c>
      <c r="F1177" s="180" t="s">
        <v>208</v>
      </c>
      <c r="G1177" s="180" t="s">
        <v>208</v>
      </c>
      <c r="H1177" s="181"/>
      <c r="I1177" s="181"/>
      <c r="J1177" s="181"/>
      <c r="K1177" s="182" t="s">
        <v>363</v>
      </c>
      <c r="R1177" s="163"/>
      <c r="S1177" s="163"/>
    </row>
    <row r="1178">
      <c r="A1178" s="179">
        <f t="shared" si="4"/>
        <v>1175</v>
      </c>
      <c r="B1178" s="181"/>
      <c r="C1178" s="180" t="s">
        <v>208</v>
      </c>
      <c r="D1178" s="180" t="s">
        <v>208</v>
      </c>
      <c r="E1178" s="180" t="s">
        <v>208</v>
      </c>
      <c r="F1178" s="180" t="s">
        <v>208</v>
      </c>
      <c r="G1178" s="180" t="s">
        <v>208</v>
      </c>
      <c r="H1178" s="180"/>
      <c r="I1178" s="181"/>
      <c r="J1178" s="181"/>
      <c r="K1178" s="182" t="s">
        <v>363</v>
      </c>
      <c r="R1178" s="173"/>
      <c r="S1178" s="173"/>
    </row>
    <row r="1179">
      <c r="A1179" s="179">
        <f t="shared" si="4"/>
        <v>1176</v>
      </c>
      <c r="B1179" s="180"/>
      <c r="C1179" s="180" t="s">
        <v>208</v>
      </c>
      <c r="D1179" s="180" t="s">
        <v>208</v>
      </c>
      <c r="E1179" s="180" t="s">
        <v>208</v>
      </c>
      <c r="F1179" s="180" t="s">
        <v>208</v>
      </c>
      <c r="G1179" s="180" t="s">
        <v>208</v>
      </c>
      <c r="H1179" s="181"/>
      <c r="I1179" s="181"/>
      <c r="J1179" s="181"/>
      <c r="K1179" s="182" t="s">
        <v>363</v>
      </c>
      <c r="R1179" s="157"/>
      <c r="S1179" s="157"/>
    </row>
    <row r="1180">
      <c r="A1180" s="179">
        <f t="shared" si="4"/>
        <v>1177</v>
      </c>
      <c r="B1180" s="180"/>
      <c r="C1180" s="180"/>
      <c r="D1180" s="180" t="s">
        <v>208</v>
      </c>
      <c r="E1180" s="180" t="s">
        <v>208</v>
      </c>
      <c r="F1180" s="180" t="s">
        <v>208</v>
      </c>
      <c r="G1180" s="180"/>
      <c r="H1180" s="180" t="s">
        <v>208</v>
      </c>
      <c r="I1180" s="181"/>
      <c r="J1180" s="181"/>
      <c r="K1180" s="182" t="s">
        <v>363</v>
      </c>
      <c r="R1180" s="163"/>
      <c r="S1180" s="163"/>
    </row>
    <row r="1181">
      <c r="A1181" s="179">
        <f t="shared" si="4"/>
        <v>1178</v>
      </c>
      <c r="B1181" s="180"/>
      <c r="C1181" s="180" t="s">
        <v>208</v>
      </c>
      <c r="D1181" s="180" t="s">
        <v>208</v>
      </c>
      <c r="E1181" s="180" t="s">
        <v>208</v>
      </c>
      <c r="F1181" s="180" t="s">
        <v>208</v>
      </c>
      <c r="G1181" s="180" t="s">
        <v>208</v>
      </c>
      <c r="H1181" s="181"/>
      <c r="I1181" s="181"/>
      <c r="J1181" s="181"/>
      <c r="K1181" s="182" t="s">
        <v>363</v>
      </c>
      <c r="R1181" s="163"/>
      <c r="S1181" s="163"/>
    </row>
    <row r="1182">
      <c r="A1182" s="179">
        <f t="shared" si="4"/>
        <v>1179</v>
      </c>
      <c r="B1182" s="181"/>
      <c r="C1182" s="180" t="s">
        <v>208</v>
      </c>
      <c r="D1182" s="180" t="s">
        <v>208</v>
      </c>
      <c r="E1182" s="180" t="s">
        <v>208</v>
      </c>
      <c r="F1182" s="180" t="s">
        <v>208</v>
      </c>
      <c r="G1182" s="180" t="s">
        <v>208</v>
      </c>
      <c r="H1182" s="180"/>
      <c r="I1182" s="181"/>
      <c r="J1182" s="180"/>
      <c r="K1182" s="182" t="s">
        <v>363</v>
      </c>
      <c r="R1182" s="163"/>
      <c r="S1182" s="163"/>
    </row>
    <row r="1183">
      <c r="A1183" s="179">
        <f t="shared" si="4"/>
        <v>1180</v>
      </c>
      <c r="B1183" s="180"/>
      <c r="C1183" s="180" t="s">
        <v>208</v>
      </c>
      <c r="D1183" s="180" t="s">
        <v>208</v>
      </c>
      <c r="E1183" s="180" t="s">
        <v>208</v>
      </c>
      <c r="F1183" s="180" t="s">
        <v>208</v>
      </c>
      <c r="G1183" s="180" t="s">
        <v>208</v>
      </c>
      <c r="H1183" s="181"/>
      <c r="I1183" s="181"/>
      <c r="J1183" s="180"/>
      <c r="K1183" s="182" t="s">
        <v>363</v>
      </c>
      <c r="R1183" s="163"/>
      <c r="S1183" s="163"/>
    </row>
    <row r="1184">
      <c r="A1184" s="179">
        <f t="shared" si="4"/>
        <v>1181</v>
      </c>
      <c r="B1184" s="180"/>
      <c r="C1184" s="180"/>
      <c r="D1184" s="180" t="s">
        <v>208</v>
      </c>
      <c r="E1184" s="180" t="s">
        <v>208</v>
      </c>
      <c r="F1184" s="180" t="s">
        <v>208</v>
      </c>
      <c r="G1184" s="180"/>
      <c r="H1184" s="180" t="s">
        <v>208</v>
      </c>
      <c r="I1184" s="181"/>
      <c r="J1184" s="180"/>
      <c r="K1184" s="182" t="s">
        <v>363</v>
      </c>
      <c r="R1184" s="163"/>
      <c r="S1184" s="163"/>
    </row>
    <row r="1185">
      <c r="A1185" s="179">
        <f t="shared" si="4"/>
        <v>1182</v>
      </c>
      <c r="B1185" s="180"/>
      <c r="C1185" s="180" t="s">
        <v>208</v>
      </c>
      <c r="D1185" s="180" t="s">
        <v>208</v>
      </c>
      <c r="E1185" s="180" t="s">
        <v>208</v>
      </c>
      <c r="F1185" s="180" t="s">
        <v>208</v>
      </c>
      <c r="G1185" s="180" t="s">
        <v>208</v>
      </c>
      <c r="H1185" s="180"/>
      <c r="I1185" s="181"/>
      <c r="J1185" s="180"/>
      <c r="K1185" s="182" t="s">
        <v>363</v>
      </c>
      <c r="R1185" s="163"/>
      <c r="S1185" s="163"/>
    </row>
    <row r="1186">
      <c r="A1186" s="179">
        <f t="shared" si="4"/>
        <v>1183</v>
      </c>
      <c r="B1186" s="180"/>
      <c r="C1186" s="180" t="s">
        <v>208</v>
      </c>
      <c r="D1186" s="180" t="s">
        <v>243</v>
      </c>
      <c r="E1186" s="180" t="s">
        <v>208</v>
      </c>
      <c r="F1186" s="180" t="s">
        <v>208</v>
      </c>
      <c r="G1186" s="180" t="s">
        <v>208</v>
      </c>
      <c r="H1186" s="185"/>
      <c r="I1186" s="181"/>
      <c r="J1186" s="180"/>
      <c r="K1186" s="182" t="s">
        <v>363</v>
      </c>
      <c r="R1186" s="163"/>
      <c r="S1186" s="163"/>
    </row>
    <row r="1187">
      <c r="A1187" s="179">
        <f t="shared" si="4"/>
        <v>1184</v>
      </c>
      <c r="B1187" s="180"/>
      <c r="C1187" s="180" t="s">
        <v>208</v>
      </c>
      <c r="D1187" s="180" t="s">
        <v>208</v>
      </c>
      <c r="E1187" s="180" t="s">
        <v>208</v>
      </c>
      <c r="F1187" s="180" t="s">
        <v>208</v>
      </c>
      <c r="G1187" s="180" t="s">
        <v>208</v>
      </c>
      <c r="H1187" s="180"/>
      <c r="I1187" s="181"/>
      <c r="J1187" s="181"/>
      <c r="K1187" s="182" t="s">
        <v>363</v>
      </c>
      <c r="R1187" s="163"/>
      <c r="S1187" s="163"/>
    </row>
    <row r="1188">
      <c r="A1188" s="179">
        <f t="shared" si="4"/>
        <v>1185</v>
      </c>
      <c r="B1188" s="180"/>
      <c r="C1188" s="180" t="s">
        <v>208</v>
      </c>
      <c r="D1188" s="180" t="s">
        <v>208</v>
      </c>
      <c r="E1188" s="180" t="s">
        <v>208</v>
      </c>
      <c r="F1188" s="180" t="s">
        <v>208</v>
      </c>
      <c r="G1188" s="180" t="s">
        <v>208</v>
      </c>
      <c r="H1188" s="181"/>
      <c r="I1188" s="181"/>
      <c r="J1188" s="181"/>
      <c r="K1188" s="182" t="s">
        <v>363</v>
      </c>
      <c r="R1188" s="163"/>
      <c r="S1188" s="163"/>
    </row>
    <row r="1189">
      <c r="A1189" s="179">
        <f t="shared" si="4"/>
        <v>1186</v>
      </c>
      <c r="B1189" s="181"/>
      <c r="C1189" s="180" t="s">
        <v>208</v>
      </c>
      <c r="D1189" s="180" t="s">
        <v>208</v>
      </c>
      <c r="E1189" s="180" t="s">
        <v>208</v>
      </c>
      <c r="F1189" s="180" t="s">
        <v>208</v>
      </c>
      <c r="G1189" s="180" t="s">
        <v>208</v>
      </c>
      <c r="H1189" s="180"/>
      <c r="I1189" s="181"/>
      <c r="J1189" s="180"/>
      <c r="K1189" s="182" t="s">
        <v>363</v>
      </c>
      <c r="R1189" s="163"/>
      <c r="S1189" s="163"/>
    </row>
    <row r="1190">
      <c r="A1190" s="179">
        <f t="shared" si="4"/>
        <v>1187</v>
      </c>
      <c r="B1190" s="180"/>
      <c r="C1190" s="180" t="s">
        <v>208</v>
      </c>
      <c r="D1190" s="180" t="s">
        <v>208</v>
      </c>
      <c r="E1190" s="180" t="s">
        <v>208</v>
      </c>
      <c r="F1190" s="180" t="s">
        <v>208</v>
      </c>
      <c r="G1190" s="180" t="s">
        <v>208</v>
      </c>
      <c r="H1190" s="180"/>
      <c r="I1190" s="181"/>
      <c r="J1190" s="181"/>
      <c r="K1190" s="182" t="s">
        <v>363</v>
      </c>
      <c r="R1190" s="173"/>
      <c r="S1190" s="173"/>
    </row>
    <row r="1191">
      <c r="A1191" s="179">
        <f t="shared" si="4"/>
        <v>1188</v>
      </c>
      <c r="B1191" s="180"/>
      <c r="C1191" s="180" t="s">
        <v>208</v>
      </c>
      <c r="D1191" s="180" t="s">
        <v>243</v>
      </c>
      <c r="E1191" s="180" t="s">
        <v>208</v>
      </c>
      <c r="F1191" s="180" t="s">
        <v>208</v>
      </c>
      <c r="G1191" s="180" t="s">
        <v>208</v>
      </c>
      <c r="H1191" s="181"/>
      <c r="I1191" s="181"/>
      <c r="J1191" s="180"/>
      <c r="K1191" s="182" t="s">
        <v>363</v>
      </c>
      <c r="R1191" s="157"/>
      <c r="S1191" s="157"/>
    </row>
    <row r="1192">
      <c r="A1192" s="179">
        <f t="shared" si="4"/>
        <v>1189</v>
      </c>
      <c r="B1192" s="181"/>
      <c r="C1192" s="180" t="s">
        <v>208</v>
      </c>
      <c r="D1192" s="180" t="s">
        <v>208</v>
      </c>
      <c r="E1192" s="180" t="s">
        <v>208</v>
      </c>
      <c r="F1192" s="180" t="s">
        <v>208</v>
      </c>
      <c r="G1192" s="180" t="s">
        <v>208</v>
      </c>
      <c r="H1192" s="180"/>
      <c r="I1192" s="181"/>
      <c r="J1192" s="180"/>
      <c r="K1192" s="182" t="s">
        <v>363</v>
      </c>
      <c r="R1192" s="163"/>
      <c r="S1192" s="163"/>
    </row>
    <row r="1193">
      <c r="A1193" s="179">
        <f t="shared" si="4"/>
        <v>1190</v>
      </c>
      <c r="B1193" s="180"/>
      <c r="C1193" s="180" t="s">
        <v>208</v>
      </c>
      <c r="D1193" s="180" t="s">
        <v>208</v>
      </c>
      <c r="E1193" s="180" t="s">
        <v>208</v>
      </c>
      <c r="F1193" s="180" t="s">
        <v>208</v>
      </c>
      <c r="G1193" s="180" t="s">
        <v>208</v>
      </c>
      <c r="H1193" s="181"/>
      <c r="I1193" s="181"/>
      <c r="J1193" s="180"/>
      <c r="K1193" s="182" t="s">
        <v>363</v>
      </c>
      <c r="R1193" s="163"/>
      <c r="S1193" s="163"/>
    </row>
    <row r="1194">
      <c r="A1194" s="179">
        <f t="shared" si="4"/>
        <v>1191</v>
      </c>
      <c r="B1194" s="180"/>
      <c r="C1194" s="180" t="s">
        <v>208</v>
      </c>
      <c r="D1194" s="180" t="s">
        <v>208</v>
      </c>
      <c r="E1194" s="180" t="s">
        <v>208</v>
      </c>
      <c r="F1194" s="180" t="s">
        <v>208</v>
      </c>
      <c r="G1194" s="180" t="s">
        <v>208</v>
      </c>
      <c r="H1194" s="181"/>
      <c r="I1194" s="181"/>
      <c r="J1194" s="180"/>
      <c r="K1194" s="182" t="s">
        <v>363</v>
      </c>
      <c r="R1194" s="163"/>
      <c r="S1194" s="163"/>
    </row>
    <row r="1195">
      <c r="A1195" s="179">
        <f t="shared" si="4"/>
        <v>1192</v>
      </c>
      <c r="B1195" s="180"/>
      <c r="C1195" s="180" t="s">
        <v>208</v>
      </c>
      <c r="D1195" s="180" t="s">
        <v>208</v>
      </c>
      <c r="E1195" s="180" t="s">
        <v>208</v>
      </c>
      <c r="F1195" s="180" t="s">
        <v>208</v>
      </c>
      <c r="G1195" s="180" t="s">
        <v>208</v>
      </c>
      <c r="H1195" s="181"/>
      <c r="I1195" s="181"/>
      <c r="J1195" s="180"/>
      <c r="K1195" s="182" t="s">
        <v>363</v>
      </c>
      <c r="R1195" s="163"/>
      <c r="S1195" s="163"/>
    </row>
    <row r="1196">
      <c r="A1196" s="179">
        <f t="shared" si="4"/>
        <v>1193</v>
      </c>
      <c r="B1196" s="180"/>
      <c r="C1196" s="180" t="s">
        <v>208</v>
      </c>
      <c r="D1196" s="180" t="s">
        <v>243</v>
      </c>
      <c r="E1196" s="180" t="s">
        <v>208</v>
      </c>
      <c r="F1196" s="180" t="s">
        <v>208</v>
      </c>
      <c r="G1196" s="180" t="s">
        <v>208</v>
      </c>
      <c r="H1196" s="180"/>
      <c r="I1196" s="181"/>
      <c r="J1196" s="180"/>
      <c r="K1196" s="182" t="s">
        <v>363</v>
      </c>
      <c r="R1196" s="163"/>
      <c r="S1196" s="163"/>
    </row>
    <row r="1197">
      <c r="A1197" s="179">
        <f t="shared" si="4"/>
        <v>1194</v>
      </c>
      <c r="B1197" s="180"/>
      <c r="C1197" s="180" t="s">
        <v>208</v>
      </c>
      <c r="D1197" s="180" t="s">
        <v>208</v>
      </c>
      <c r="E1197" s="180" t="s">
        <v>208</v>
      </c>
      <c r="F1197" s="180" t="s">
        <v>208</v>
      </c>
      <c r="G1197" s="180" t="s">
        <v>208</v>
      </c>
      <c r="H1197" s="181"/>
      <c r="I1197" s="181"/>
      <c r="J1197" s="181"/>
      <c r="K1197" s="182" t="s">
        <v>363</v>
      </c>
      <c r="R1197" s="163"/>
      <c r="S1197" s="163"/>
    </row>
    <row r="1198">
      <c r="A1198" s="179">
        <f t="shared" si="4"/>
        <v>1195</v>
      </c>
      <c r="B1198" s="180"/>
      <c r="C1198" s="180" t="s">
        <v>208</v>
      </c>
      <c r="D1198" s="180" t="s">
        <v>208</v>
      </c>
      <c r="E1198" s="180" t="s">
        <v>208</v>
      </c>
      <c r="F1198" s="180" t="s">
        <v>208</v>
      </c>
      <c r="G1198" s="180" t="s">
        <v>208</v>
      </c>
      <c r="H1198" s="180"/>
      <c r="I1198" s="181"/>
      <c r="J1198" s="181"/>
      <c r="K1198" s="182" t="s">
        <v>363</v>
      </c>
      <c r="R1198" s="163"/>
      <c r="S1198" s="163"/>
    </row>
    <row r="1199">
      <c r="A1199" s="179">
        <f t="shared" si="4"/>
        <v>1196</v>
      </c>
      <c r="B1199" s="180"/>
      <c r="C1199" s="180" t="s">
        <v>208</v>
      </c>
      <c r="D1199" s="180" t="s">
        <v>208</v>
      </c>
      <c r="E1199" s="180" t="s">
        <v>208</v>
      </c>
      <c r="F1199" s="180" t="s">
        <v>208</v>
      </c>
      <c r="G1199" s="180" t="s">
        <v>208</v>
      </c>
      <c r="H1199" s="181"/>
      <c r="I1199" s="181"/>
      <c r="J1199" s="181"/>
      <c r="K1199" s="182" t="s">
        <v>363</v>
      </c>
      <c r="R1199" s="163"/>
      <c r="S1199" s="163"/>
    </row>
    <row r="1200">
      <c r="A1200" s="179">
        <f t="shared" si="4"/>
        <v>1197</v>
      </c>
      <c r="B1200" s="180"/>
      <c r="C1200" s="180" t="s">
        <v>208</v>
      </c>
      <c r="D1200" s="180" t="s">
        <v>208</v>
      </c>
      <c r="E1200" s="180" t="s">
        <v>208</v>
      </c>
      <c r="F1200" s="180" t="s">
        <v>208</v>
      </c>
      <c r="G1200" s="180" t="s">
        <v>208</v>
      </c>
      <c r="H1200" s="181"/>
      <c r="I1200" s="181"/>
      <c r="J1200" s="181"/>
      <c r="K1200" s="182" t="s">
        <v>363</v>
      </c>
      <c r="R1200" s="163"/>
      <c r="S1200" s="163"/>
    </row>
    <row r="1201">
      <c r="A1201" s="179">
        <f t="shared" si="4"/>
        <v>1198</v>
      </c>
      <c r="B1201" s="180"/>
      <c r="C1201" s="180" t="s">
        <v>208</v>
      </c>
      <c r="D1201" s="180" t="s">
        <v>208</v>
      </c>
      <c r="E1201" s="180" t="s">
        <v>208</v>
      </c>
      <c r="F1201" s="180" t="s">
        <v>208</v>
      </c>
      <c r="G1201" s="180" t="s">
        <v>208</v>
      </c>
      <c r="H1201" s="181"/>
      <c r="I1201" s="181"/>
      <c r="J1201" s="180"/>
      <c r="K1201" s="182" t="s">
        <v>363</v>
      </c>
      <c r="R1201" s="163"/>
      <c r="S1201" s="163"/>
    </row>
    <row r="1202">
      <c r="A1202" s="179">
        <f t="shared" si="4"/>
        <v>1199</v>
      </c>
      <c r="B1202" s="180"/>
      <c r="C1202" s="180" t="s">
        <v>208</v>
      </c>
      <c r="D1202" s="180" t="s">
        <v>243</v>
      </c>
      <c r="E1202" s="180"/>
      <c r="F1202" s="180" t="s">
        <v>208</v>
      </c>
      <c r="G1202" s="180" t="s">
        <v>208</v>
      </c>
      <c r="H1202" s="181"/>
      <c r="I1202" s="181"/>
      <c r="J1202" s="181"/>
      <c r="K1202" s="182" t="s">
        <v>363</v>
      </c>
      <c r="R1202" s="173"/>
      <c r="S1202" s="173"/>
    </row>
    <row r="1203">
      <c r="A1203" s="179">
        <f t="shared" si="4"/>
        <v>1200</v>
      </c>
      <c r="B1203" s="180"/>
      <c r="C1203" s="180" t="s">
        <v>208</v>
      </c>
      <c r="D1203" s="180" t="s">
        <v>208</v>
      </c>
      <c r="E1203" s="180" t="s">
        <v>208</v>
      </c>
      <c r="F1203" s="180" t="s">
        <v>208</v>
      </c>
      <c r="G1203" s="180" t="s">
        <v>208</v>
      </c>
      <c r="H1203" s="181"/>
      <c r="I1203" s="181"/>
      <c r="J1203" s="181"/>
      <c r="K1203" s="182" t="s">
        <v>363</v>
      </c>
      <c r="R1203" s="157"/>
      <c r="S1203" s="157"/>
    </row>
    <row r="1204">
      <c r="A1204" s="179">
        <f t="shared" si="4"/>
        <v>1201</v>
      </c>
      <c r="B1204" s="180"/>
      <c r="C1204" s="180" t="s">
        <v>208</v>
      </c>
      <c r="D1204" s="180" t="s">
        <v>208</v>
      </c>
      <c r="E1204" s="180" t="s">
        <v>208</v>
      </c>
      <c r="F1204" s="180" t="s">
        <v>208</v>
      </c>
      <c r="G1204" s="180" t="s">
        <v>208</v>
      </c>
      <c r="H1204" s="181"/>
      <c r="I1204" s="181"/>
      <c r="J1204" s="181"/>
      <c r="K1204" s="182" t="s">
        <v>363</v>
      </c>
      <c r="R1204" s="163"/>
      <c r="S1204" s="163"/>
    </row>
    <row r="1205">
      <c r="A1205" s="179">
        <f t="shared" si="4"/>
        <v>1202</v>
      </c>
      <c r="B1205" s="180"/>
      <c r="C1205" s="180" t="s">
        <v>208</v>
      </c>
      <c r="D1205" s="180" t="s">
        <v>208</v>
      </c>
      <c r="E1205" s="180" t="s">
        <v>208</v>
      </c>
      <c r="F1205" s="180" t="s">
        <v>208</v>
      </c>
      <c r="G1205" s="180" t="s">
        <v>208</v>
      </c>
      <c r="H1205" s="181"/>
      <c r="I1205" s="181"/>
      <c r="J1205" s="181"/>
      <c r="K1205" s="182" t="s">
        <v>363</v>
      </c>
      <c r="R1205" s="163"/>
      <c r="S1205" s="163"/>
    </row>
    <row r="1206">
      <c r="A1206" s="179">
        <f t="shared" si="4"/>
        <v>1203</v>
      </c>
      <c r="B1206" s="180"/>
      <c r="C1206" s="180" t="s">
        <v>208</v>
      </c>
      <c r="D1206" s="180" t="s">
        <v>208</v>
      </c>
      <c r="E1206" s="180" t="s">
        <v>208</v>
      </c>
      <c r="F1206" s="180" t="s">
        <v>208</v>
      </c>
      <c r="G1206" s="180" t="s">
        <v>208</v>
      </c>
      <c r="H1206" s="181"/>
      <c r="I1206" s="181"/>
      <c r="J1206" s="181"/>
      <c r="K1206" s="182" t="s">
        <v>363</v>
      </c>
      <c r="R1206" s="163"/>
      <c r="S1206" s="163"/>
    </row>
    <row r="1207">
      <c r="A1207" s="179">
        <f t="shared" si="4"/>
        <v>1204</v>
      </c>
      <c r="B1207" s="180"/>
      <c r="C1207" s="180"/>
      <c r="D1207" s="180" t="s">
        <v>208</v>
      </c>
      <c r="E1207" s="180" t="s">
        <v>208</v>
      </c>
      <c r="F1207" s="180" t="s">
        <v>208</v>
      </c>
      <c r="G1207" s="180"/>
      <c r="H1207" s="180" t="s">
        <v>208</v>
      </c>
      <c r="I1207" s="181"/>
      <c r="J1207" s="181"/>
      <c r="K1207" s="182" t="s">
        <v>363</v>
      </c>
      <c r="R1207" s="163"/>
      <c r="S1207" s="163"/>
    </row>
    <row r="1208">
      <c r="A1208" s="179">
        <f t="shared" si="4"/>
        <v>1205</v>
      </c>
      <c r="B1208" s="180"/>
      <c r="C1208" s="180" t="s">
        <v>208</v>
      </c>
      <c r="D1208" s="180" t="s">
        <v>208</v>
      </c>
      <c r="E1208" s="180" t="s">
        <v>208</v>
      </c>
      <c r="F1208" s="180" t="s">
        <v>208</v>
      </c>
      <c r="G1208" s="180" t="s">
        <v>208</v>
      </c>
      <c r="H1208" s="181"/>
      <c r="I1208" s="181"/>
      <c r="J1208" s="181"/>
      <c r="K1208" s="182" t="s">
        <v>363</v>
      </c>
      <c r="R1208" s="163"/>
      <c r="S1208" s="163"/>
    </row>
    <row r="1209">
      <c r="A1209" s="179">
        <f t="shared" si="4"/>
        <v>1206</v>
      </c>
      <c r="B1209" s="180"/>
      <c r="C1209" s="180"/>
      <c r="D1209" s="180"/>
      <c r="E1209" s="180"/>
      <c r="F1209" s="180"/>
      <c r="G1209" s="180"/>
      <c r="H1209" s="181"/>
      <c r="I1209" s="181"/>
      <c r="J1209" s="180" t="s">
        <v>242</v>
      </c>
      <c r="K1209" s="182" t="s">
        <v>363</v>
      </c>
      <c r="R1209" s="163"/>
      <c r="S1209" s="163"/>
    </row>
    <row r="1210">
      <c r="A1210" s="179">
        <f t="shared" si="4"/>
        <v>1207</v>
      </c>
      <c r="B1210" s="180"/>
      <c r="C1210" s="180" t="s">
        <v>208</v>
      </c>
      <c r="D1210" s="180" t="s">
        <v>208</v>
      </c>
      <c r="E1210" s="180" t="s">
        <v>208</v>
      </c>
      <c r="F1210" s="180" t="s">
        <v>208</v>
      </c>
      <c r="G1210" s="180" t="s">
        <v>208</v>
      </c>
      <c r="H1210" s="181"/>
      <c r="I1210" s="181"/>
      <c r="J1210" s="180"/>
      <c r="K1210" s="182" t="s">
        <v>363</v>
      </c>
      <c r="R1210" s="163"/>
      <c r="S1210" s="163"/>
    </row>
    <row r="1211">
      <c r="A1211" s="179">
        <f t="shared" si="4"/>
        <v>1208</v>
      </c>
      <c r="B1211" s="180"/>
      <c r="C1211" s="180" t="s">
        <v>208</v>
      </c>
      <c r="D1211" s="180" t="s">
        <v>208</v>
      </c>
      <c r="E1211" s="180" t="s">
        <v>208</v>
      </c>
      <c r="F1211" s="180" t="s">
        <v>208</v>
      </c>
      <c r="G1211" s="180" t="s">
        <v>208</v>
      </c>
      <c r="H1211" s="181"/>
      <c r="I1211" s="181"/>
      <c r="J1211" s="180"/>
      <c r="K1211" s="182" t="s">
        <v>363</v>
      </c>
      <c r="R1211" s="163"/>
      <c r="S1211" s="163"/>
    </row>
    <row r="1212">
      <c r="A1212" s="179">
        <f t="shared" si="4"/>
        <v>1209</v>
      </c>
      <c r="B1212" s="180"/>
      <c r="C1212" s="180" t="s">
        <v>208</v>
      </c>
      <c r="D1212" s="180" t="s">
        <v>208</v>
      </c>
      <c r="E1212" s="180" t="s">
        <v>208</v>
      </c>
      <c r="F1212" s="180" t="s">
        <v>208</v>
      </c>
      <c r="G1212" s="180" t="s">
        <v>208</v>
      </c>
      <c r="H1212" s="181"/>
      <c r="I1212" s="181"/>
      <c r="J1212" s="180"/>
      <c r="K1212" s="182" t="s">
        <v>363</v>
      </c>
      <c r="R1212" s="163"/>
      <c r="S1212" s="163"/>
    </row>
    <row r="1213">
      <c r="A1213" s="179">
        <f t="shared" si="4"/>
        <v>1210</v>
      </c>
      <c r="B1213" s="180"/>
      <c r="C1213" s="180" t="s">
        <v>208</v>
      </c>
      <c r="D1213" s="180" t="s">
        <v>208</v>
      </c>
      <c r="E1213" s="180" t="s">
        <v>208</v>
      </c>
      <c r="F1213" s="180" t="s">
        <v>208</v>
      </c>
      <c r="G1213" s="180" t="s">
        <v>208</v>
      </c>
      <c r="H1213" s="181"/>
      <c r="I1213" s="181"/>
      <c r="J1213" s="180"/>
      <c r="K1213" s="182" t="s">
        <v>363</v>
      </c>
      <c r="R1213" s="163"/>
      <c r="S1213" s="163"/>
    </row>
    <row r="1214">
      <c r="A1214" s="179">
        <f t="shared" si="4"/>
        <v>1211</v>
      </c>
      <c r="B1214" s="180"/>
      <c r="C1214" s="180" t="s">
        <v>208</v>
      </c>
      <c r="D1214" s="180" t="s">
        <v>208</v>
      </c>
      <c r="E1214" s="180" t="s">
        <v>208</v>
      </c>
      <c r="F1214" s="180" t="s">
        <v>208</v>
      </c>
      <c r="G1214" s="180" t="s">
        <v>208</v>
      </c>
      <c r="H1214" s="185"/>
      <c r="I1214" s="181"/>
      <c r="J1214" s="180"/>
      <c r="K1214" s="182" t="s">
        <v>363</v>
      </c>
      <c r="R1214" s="173"/>
      <c r="S1214" s="173"/>
    </row>
    <row r="1215">
      <c r="A1215" s="179">
        <f t="shared" si="4"/>
        <v>1212</v>
      </c>
      <c r="B1215" s="181"/>
      <c r="C1215" s="180" t="s">
        <v>208</v>
      </c>
      <c r="D1215" s="180" t="s">
        <v>208</v>
      </c>
      <c r="E1215" s="181"/>
      <c r="F1215" s="180" t="s">
        <v>208</v>
      </c>
      <c r="G1215" s="180" t="s">
        <v>208</v>
      </c>
      <c r="H1215" s="181"/>
      <c r="I1215" s="180"/>
      <c r="J1215" s="185"/>
      <c r="K1215" s="182" t="s">
        <v>750</v>
      </c>
      <c r="L1215" s="189"/>
      <c r="R1215" s="157"/>
      <c r="S1215" s="157"/>
    </row>
    <row r="1216">
      <c r="A1216" s="179">
        <f t="shared" si="4"/>
        <v>1213</v>
      </c>
      <c r="B1216" s="181"/>
      <c r="C1216" s="180" t="s">
        <v>208</v>
      </c>
      <c r="D1216" s="180" t="s">
        <v>208</v>
      </c>
      <c r="E1216" s="180" t="s">
        <v>208</v>
      </c>
      <c r="F1216" s="180" t="s">
        <v>208</v>
      </c>
      <c r="G1216" s="180" t="s">
        <v>208</v>
      </c>
      <c r="H1216" s="181"/>
      <c r="I1216" s="180"/>
      <c r="J1216" s="185"/>
      <c r="K1216" s="182" t="s">
        <v>750</v>
      </c>
      <c r="L1216" s="189"/>
      <c r="R1216" s="157"/>
      <c r="S1216" s="157"/>
    </row>
    <row r="1217">
      <c r="A1217" s="179">
        <f t="shared" si="4"/>
        <v>1214</v>
      </c>
      <c r="B1217" s="181"/>
      <c r="C1217" s="180" t="s">
        <v>208</v>
      </c>
      <c r="D1217" s="180" t="s">
        <v>243</v>
      </c>
      <c r="E1217" s="180" t="s">
        <v>208</v>
      </c>
      <c r="F1217" s="180" t="s">
        <v>208</v>
      </c>
      <c r="G1217" s="180" t="s">
        <v>208</v>
      </c>
      <c r="H1217" s="181"/>
      <c r="I1217" s="180"/>
      <c r="J1217" s="185"/>
      <c r="K1217" s="182" t="s">
        <v>750</v>
      </c>
      <c r="L1217" s="189"/>
      <c r="R1217" s="157"/>
      <c r="S1217" s="157"/>
    </row>
    <row r="1218">
      <c r="A1218" s="179">
        <f t="shared" si="4"/>
        <v>1215</v>
      </c>
      <c r="B1218" s="181"/>
      <c r="C1218" s="180" t="s">
        <v>208</v>
      </c>
      <c r="D1218" s="180" t="s">
        <v>208</v>
      </c>
      <c r="E1218" s="180" t="s">
        <v>208</v>
      </c>
      <c r="F1218" s="180" t="s">
        <v>208</v>
      </c>
      <c r="G1218" s="180" t="s">
        <v>208</v>
      </c>
      <c r="H1218" s="181"/>
      <c r="I1218" s="180"/>
      <c r="J1218" s="185"/>
      <c r="K1218" s="182" t="s">
        <v>750</v>
      </c>
      <c r="L1218" s="189"/>
      <c r="R1218" s="157"/>
      <c r="S1218" s="157"/>
    </row>
    <row r="1219">
      <c r="A1219" s="179">
        <f t="shared" si="4"/>
        <v>1216</v>
      </c>
      <c r="B1219" s="181"/>
      <c r="C1219" s="180" t="s">
        <v>208</v>
      </c>
      <c r="D1219" s="180" t="s">
        <v>208</v>
      </c>
      <c r="E1219" s="180" t="s">
        <v>208</v>
      </c>
      <c r="F1219" s="180" t="s">
        <v>208</v>
      </c>
      <c r="G1219" s="180" t="s">
        <v>208</v>
      </c>
      <c r="H1219" s="181"/>
      <c r="I1219" s="180"/>
      <c r="J1219" s="185"/>
      <c r="K1219" s="182" t="s">
        <v>750</v>
      </c>
      <c r="L1219" s="189"/>
      <c r="R1219" s="157"/>
      <c r="S1219" s="157"/>
    </row>
    <row r="1220">
      <c r="A1220" s="179">
        <f t="shared" si="4"/>
        <v>1217</v>
      </c>
      <c r="B1220" s="181"/>
      <c r="C1220" s="181"/>
      <c r="D1220" s="180" t="s">
        <v>208</v>
      </c>
      <c r="E1220" s="180" t="s">
        <v>208</v>
      </c>
      <c r="F1220" s="180" t="s">
        <v>208</v>
      </c>
      <c r="G1220" s="181"/>
      <c r="H1220" s="180" t="s">
        <v>208</v>
      </c>
      <c r="I1220" s="180"/>
      <c r="J1220" s="185"/>
      <c r="K1220" s="182" t="s">
        <v>750</v>
      </c>
      <c r="L1220" s="189"/>
      <c r="R1220" s="157"/>
      <c r="S1220" s="157"/>
    </row>
    <row r="1221">
      <c r="A1221" s="179">
        <f t="shared" si="4"/>
        <v>1218</v>
      </c>
      <c r="B1221" s="181"/>
      <c r="C1221" s="180" t="s">
        <v>208</v>
      </c>
      <c r="D1221" s="180" t="s">
        <v>208</v>
      </c>
      <c r="E1221" s="180" t="s">
        <v>208</v>
      </c>
      <c r="F1221" s="180" t="s">
        <v>208</v>
      </c>
      <c r="G1221" s="180" t="s">
        <v>208</v>
      </c>
      <c r="H1221" s="181"/>
      <c r="I1221" s="180"/>
      <c r="J1221" s="185"/>
      <c r="K1221" s="182" t="s">
        <v>750</v>
      </c>
      <c r="L1221" s="189"/>
      <c r="R1221" s="157"/>
      <c r="S1221" s="157"/>
    </row>
    <row r="1222">
      <c r="A1222" s="179">
        <f t="shared" si="4"/>
        <v>1219</v>
      </c>
      <c r="B1222" s="181"/>
      <c r="C1222" s="181"/>
      <c r="D1222" s="180" t="s">
        <v>208</v>
      </c>
      <c r="E1222" s="180" t="s">
        <v>208</v>
      </c>
      <c r="F1222" s="180" t="s">
        <v>208</v>
      </c>
      <c r="G1222" s="181"/>
      <c r="H1222" s="180" t="s">
        <v>208</v>
      </c>
      <c r="I1222" s="180"/>
      <c r="J1222" s="185"/>
      <c r="K1222" s="182" t="s">
        <v>750</v>
      </c>
      <c r="L1222" s="189"/>
      <c r="R1222" s="157"/>
      <c r="S1222" s="157"/>
    </row>
    <row r="1223">
      <c r="A1223" s="179">
        <f t="shared" si="4"/>
        <v>1220</v>
      </c>
      <c r="B1223" s="181"/>
      <c r="C1223" s="180" t="s">
        <v>208</v>
      </c>
      <c r="D1223" s="180" t="s">
        <v>208</v>
      </c>
      <c r="E1223" s="180" t="s">
        <v>208</v>
      </c>
      <c r="F1223" s="180" t="s">
        <v>208</v>
      </c>
      <c r="G1223" s="180" t="s">
        <v>208</v>
      </c>
      <c r="H1223" s="181"/>
      <c r="I1223" s="180"/>
      <c r="J1223" s="185"/>
      <c r="K1223" s="182" t="s">
        <v>750</v>
      </c>
      <c r="L1223" s="189"/>
      <c r="R1223" s="157"/>
      <c r="S1223" s="157"/>
    </row>
    <row r="1224">
      <c r="A1224" s="179">
        <f t="shared" si="4"/>
        <v>1221</v>
      </c>
      <c r="B1224" s="181"/>
      <c r="C1224" s="181"/>
      <c r="D1224" s="180" t="s">
        <v>243</v>
      </c>
      <c r="E1224" s="180" t="s">
        <v>208</v>
      </c>
      <c r="F1224" s="180" t="s">
        <v>208</v>
      </c>
      <c r="G1224" s="181"/>
      <c r="H1224" s="180" t="s">
        <v>208</v>
      </c>
      <c r="I1224" s="180"/>
      <c r="J1224" s="185"/>
      <c r="K1224" s="182" t="s">
        <v>750</v>
      </c>
      <c r="L1224" s="189"/>
      <c r="R1224" s="157"/>
      <c r="S1224" s="157"/>
    </row>
    <row r="1225">
      <c r="A1225" s="179">
        <f t="shared" si="4"/>
        <v>1222</v>
      </c>
      <c r="B1225" s="181"/>
      <c r="C1225" s="181"/>
      <c r="D1225" s="180" t="s">
        <v>208</v>
      </c>
      <c r="E1225" s="180" t="s">
        <v>208</v>
      </c>
      <c r="F1225" s="180" t="s">
        <v>208</v>
      </c>
      <c r="G1225" s="181"/>
      <c r="H1225" s="180" t="s">
        <v>208</v>
      </c>
      <c r="I1225" s="180"/>
      <c r="J1225" s="185"/>
      <c r="K1225" s="182" t="s">
        <v>750</v>
      </c>
      <c r="L1225" s="189"/>
      <c r="R1225" s="157"/>
      <c r="S1225" s="157"/>
    </row>
    <row r="1226">
      <c r="A1226" s="179">
        <f t="shared" si="4"/>
        <v>1223</v>
      </c>
      <c r="B1226" s="181"/>
      <c r="C1226" s="181"/>
      <c r="D1226" s="180" t="s">
        <v>208</v>
      </c>
      <c r="E1226" s="180" t="s">
        <v>208</v>
      </c>
      <c r="F1226" s="180" t="s">
        <v>208</v>
      </c>
      <c r="G1226" s="181"/>
      <c r="H1226" s="180" t="s">
        <v>208</v>
      </c>
      <c r="I1226" s="180"/>
      <c r="J1226" s="185"/>
      <c r="K1226" s="182" t="s">
        <v>750</v>
      </c>
      <c r="L1226" s="189"/>
      <c r="R1226" s="157"/>
      <c r="S1226" s="157"/>
    </row>
    <row r="1227">
      <c r="A1227" s="179">
        <f t="shared" si="4"/>
        <v>1224</v>
      </c>
      <c r="B1227" s="181"/>
      <c r="C1227" s="180" t="s">
        <v>208</v>
      </c>
      <c r="D1227" s="180" t="s">
        <v>208</v>
      </c>
      <c r="E1227" s="180" t="s">
        <v>208</v>
      </c>
      <c r="F1227" s="180" t="s">
        <v>208</v>
      </c>
      <c r="G1227" s="180" t="s">
        <v>208</v>
      </c>
      <c r="H1227" s="181"/>
      <c r="I1227" s="180"/>
      <c r="J1227" s="185"/>
      <c r="K1227" s="182" t="s">
        <v>750</v>
      </c>
      <c r="L1227" s="189"/>
      <c r="R1227" s="157"/>
      <c r="S1227" s="157"/>
    </row>
    <row r="1228">
      <c r="A1228" s="179">
        <f t="shared" si="4"/>
        <v>1225</v>
      </c>
      <c r="B1228" s="181"/>
      <c r="C1228" s="180" t="s">
        <v>208</v>
      </c>
      <c r="D1228" s="180" t="s">
        <v>208</v>
      </c>
      <c r="E1228" s="180" t="s">
        <v>208</v>
      </c>
      <c r="F1228" s="180" t="s">
        <v>208</v>
      </c>
      <c r="G1228" s="180" t="s">
        <v>208</v>
      </c>
      <c r="H1228" s="181"/>
      <c r="I1228" s="180"/>
      <c r="J1228" s="185"/>
      <c r="K1228" s="182" t="s">
        <v>750</v>
      </c>
      <c r="L1228" s="189"/>
      <c r="R1228" s="157"/>
      <c r="S1228" s="157"/>
    </row>
    <row r="1229">
      <c r="A1229" s="179">
        <f t="shared" si="4"/>
        <v>1226</v>
      </c>
      <c r="B1229" s="181"/>
      <c r="C1229" s="181"/>
      <c r="D1229" s="180" t="s">
        <v>208</v>
      </c>
      <c r="E1229" s="180" t="s">
        <v>208</v>
      </c>
      <c r="F1229" s="180" t="s">
        <v>208</v>
      </c>
      <c r="G1229" s="181"/>
      <c r="H1229" s="180" t="s">
        <v>208</v>
      </c>
      <c r="I1229" s="180"/>
      <c r="J1229" s="185"/>
      <c r="K1229" s="182" t="s">
        <v>750</v>
      </c>
      <c r="L1229" s="189"/>
      <c r="R1229" s="157"/>
      <c r="S1229" s="157"/>
    </row>
    <row r="1230">
      <c r="A1230" s="179">
        <f t="shared" si="4"/>
        <v>1227</v>
      </c>
      <c r="B1230" s="181"/>
      <c r="C1230" s="180" t="s">
        <v>208</v>
      </c>
      <c r="D1230" s="180" t="s">
        <v>208</v>
      </c>
      <c r="E1230" s="180" t="s">
        <v>208</v>
      </c>
      <c r="F1230" s="180" t="s">
        <v>208</v>
      </c>
      <c r="G1230" s="180" t="s">
        <v>208</v>
      </c>
      <c r="H1230" s="181"/>
      <c r="I1230" s="180"/>
      <c r="J1230" s="185"/>
      <c r="K1230" s="182" t="s">
        <v>750</v>
      </c>
      <c r="L1230" s="189"/>
      <c r="R1230" s="157"/>
      <c r="S1230" s="157"/>
    </row>
    <row r="1231">
      <c r="A1231" s="179">
        <f t="shared" si="4"/>
        <v>1228</v>
      </c>
      <c r="B1231" s="181"/>
      <c r="C1231" s="180" t="s">
        <v>208</v>
      </c>
      <c r="D1231" s="180" t="s">
        <v>208</v>
      </c>
      <c r="E1231" s="180" t="s">
        <v>208</v>
      </c>
      <c r="F1231" s="180" t="s">
        <v>208</v>
      </c>
      <c r="G1231" s="180" t="s">
        <v>208</v>
      </c>
      <c r="H1231" s="181"/>
      <c r="I1231" s="180"/>
      <c r="J1231" s="185"/>
      <c r="K1231" s="182" t="s">
        <v>750</v>
      </c>
      <c r="L1231" s="189"/>
      <c r="R1231" s="157"/>
      <c r="S1231" s="157"/>
    </row>
    <row r="1232">
      <c r="A1232" s="179">
        <f t="shared" si="4"/>
        <v>1229</v>
      </c>
      <c r="B1232" s="181"/>
      <c r="C1232" s="181"/>
      <c r="D1232" s="180" t="s">
        <v>208</v>
      </c>
      <c r="E1232" s="180" t="s">
        <v>208</v>
      </c>
      <c r="F1232" s="180" t="s">
        <v>208</v>
      </c>
      <c r="G1232" s="181"/>
      <c r="H1232" s="180" t="s">
        <v>208</v>
      </c>
      <c r="I1232" s="180"/>
      <c r="J1232" s="185"/>
      <c r="K1232" s="182" t="s">
        <v>750</v>
      </c>
      <c r="L1232" s="189"/>
      <c r="R1232" s="157"/>
      <c r="S1232" s="157"/>
    </row>
    <row r="1233">
      <c r="A1233" s="179">
        <f t="shared" si="4"/>
        <v>1230</v>
      </c>
      <c r="B1233" s="181"/>
      <c r="C1233" s="180" t="s">
        <v>208</v>
      </c>
      <c r="D1233" s="180" t="s">
        <v>243</v>
      </c>
      <c r="E1233" s="180" t="s">
        <v>208</v>
      </c>
      <c r="F1233" s="180" t="s">
        <v>208</v>
      </c>
      <c r="G1233" s="180" t="s">
        <v>208</v>
      </c>
      <c r="H1233" s="181"/>
      <c r="I1233" s="180"/>
      <c r="J1233" s="185"/>
      <c r="K1233" s="182" t="s">
        <v>750</v>
      </c>
      <c r="L1233" s="189"/>
      <c r="R1233" s="157"/>
      <c r="S1233" s="157"/>
    </row>
    <row r="1234">
      <c r="A1234" s="179">
        <f t="shared" si="4"/>
        <v>1231</v>
      </c>
      <c r="B1234" s="181"/>
      <c r="C1234" s="180" t="s">
        <v>208</v>
      </c>
      <c r="D1234" s="180" t="s">
        <v>208</v>
      </c>
      <c r="E1234" s="180" t="s">
        <v>208</v>
      </c>
      <c r="F1234" s="180" t="s">
        <v>208</v>
      </c>
      <c r="G1234" s="180" t="s">
        <v>208</v>
      </c>
      <c r="H1234" s="181"/>
      <c r="I1234" s="180"/>
      <c r="J1234" s="185"/>
      <c r="K1234" s="182" t="s">
        <v>750</v>
      </c>
      <c r="L1234" s="189"/>
      <c r="R1234" s="157"/>
      <c r="S1234" s="157"/>
    </row>
    <row r="1235">
      <c r="A1235" s="179">
        <f t="shared" si="4"/>
        <v>1232</v>
      </c>
      <c r="B1235" s="181"/>
      <c r="C1235" s="180"/>
      <c r="D1235" s="180"/>
      <c r="E1235" s="180"/>
      <c r="F1235" s="180"/>
      <c r="G1235" s="180"/>
      <c r="H1235" s="181"/>
      <c r="I1235" s="180"/>
      <c r="J1235" s="185" t="s">
        <v>242</v>
      </c>
      <c r="K1235" s="182" t="s">
        <v>750</v>
      </c>
      <c r="L1235" s="189"/>
      <c r="R1235" s="157"/>
      <c r="S1235" s="157"/>
    </row>
    <row r="1236">
      <c r="A1236" s="179">
        <f t="shared" si="4"/>
        <v>1233</v>
      </c>
      <c r="B1236" s="181"/>
      <c r="C1236" s="180"/>
      <c r="D1236" s="180"/>
      <c r="E1236" s="180"/>
      <c r="F1236" s="180"/>
      <c r="G1236" s="180"/>
      <c r="H1236" s="181"/>
      <c r="I1236" s="180"/>
      <c r="J1236" s="185" t="s">
        <v>242</v>
      </c>
      <c r="K1236" s="182" t="s">
        <v>750</v>
      </c>
      <c r="L1236" s="189"/>
      <c r="R1236" s="157"/>
      <c r="S1236" s="157"/>
    </row>
    <row r="1237">
      <c r="A1237" s="179">
        <f t="shared" si="4"/>
        <v>1234</v>
      </c>
      <c r="B1237" s="181"/>
      <c r="C1237" s="180" t="s">
        <v>208</v>
      </c>
      <c r="D1237" s="180" t="s">
        <v>208</v>
      </c>
      <c r="E1237" s="180" t="s">
        <v>208</v>
      </c>
      <c r="F1237" s="180" t="s">
        <v>208</v>
      </c>
      <c r="G1237" s="180" t="s">
        <v>208</v>
      </c>
      <c r="H1237" s="181"/>
      <c r="I1237" s="180"/>
      <c r="J1237" s="185"/>
      <c r="K1237" s="182" t="s">
        <v>750</v>
      </c>
      <c r="L1237" s="189"/>
      <c r="R1237" s="157"/>
      <c r="S1237" s="157"/>
    </row>
    <row r="1238">
      <c r="A1238" s="179">
        <f t="shared" si="4"/>
        <v>1235</v>
      </c>
      <c r="B1238" s="181"/>
      <c r="C1238" s="180" t="s">
        <v>208</v>
      </c>
      <c r="D1238" s="180" t="s">
        <v>208</v>
      </c>
      <c r="E1238" s="180" t="s">
        <v>208</v>
      </c>
      <c r="F1238" s="180" t="s">
        <v>208</v>
      </c>
      <c r="G1238" s="180" t="s">
        <v>208</v>
      </c>
      <c r="H1238" s="181"/>
      <c r="I1238" s="180"/>
      <c r="J1238" s="185"/>
      <c r="K1238" s="182" t="s">
        <v>750</v>
      </c>
      <c r="L1238" s="189"/>
      <c r="R1238" s="157"/>
      <c r="S1238" s="157"/>
    </row>
    <row r="1239">
      <c r="A1239" s="179">
        <f t="shared" si="4"/>
        <v>1236</v>
      </c>
      <c r="B1239" s="181"/>
      <c r="C1239" s="180" t="s">
        <v>208</v>
      </c>
      <c r="D1239" s="180" t="s">
        <v>208</v>
      </c>
      <c r="E1239" s="180" t="s">
        <v>208</v>
      </c>
      <c r="F1239" s="180" t="s">
        <v>208</v>
      </c>
      <c r="G1239" s="180" t="s">
        <v>208</v>
      </c>
      <c r="H1239" s="181"/>
      <c r="I1239" s="180"/>
      <c r="J1239" s="185"/>
      <c r="K1239" s="182" t="s">
        <v>750</v>
      </c>
      <c r="L1239" s="189"/>
      <c r="R1239" s="157"/>
      <c r="S1239" s="157"/>
    </row>
    <row r="1240">
      <c r="A1240" s="179">
        <f t="shared" si="4"/>
        <v>1237</v>
      </c>
      <c r="B1240" s="181"/>
      <c r="C1240" s="181"/>
      <c r="D1240" s="180" t="s">
        <v>208</v>
      </c>
      <c r="E1240" s="180" t="s">
        <v>208</v>
      </c>
      <c r="F1240" s="180" t="s">
        <v>208</v>
      </c>
      <c r="G1240" s="181"/>
      <c r="H1240" s="180" t="s">
        <v>208</v>
      </c>
      <c r="I1240" s="180"/>
      <c r="J1240" s="185"/>
      <c r="K1240" s="182" t="s">
        <v>750</v>
      </c>
      <c r="L1240" s="189"/>
      <c r="R1240" s="157"/>
      <c r="S1240" s="157"/>
    </row>
    <row r="1241">
      <c r="A1241" s="179">
        <f t="shared" si="4"/>
        <v>1238</v>
      </c>
      <c r="B1241" s="181"/>
      <c r="C1241" s="180" t="s">
        <v>208</v>
      </c>
      <c r="D1241" s="180" t="s">
        <v>208</v>
      </c>
      <c r="E1241" s="180" t="s">
        <v>208</v>
      </c>
      <c r="F1241" s="180" t="s">
        <v>208</v>
      </c>
      <c r="G1241" s="180" t="s">
        <v>208</v>
      </c>
      <c r="H1241" s="181"/>
      <c r="I1241" s="180"/>
      <c r="J1241" s="185"/>
      <c r="K1241" s="182" t="s">
        <v>750</v>
      </c>
      <c r="L1241" s="189"/>
      <c r="R1241" s="157"/>
      <c r="S1241" s="157"/>
    </row>
    <row r="1242">
      <c r="A1242" s="179">
        <f t="shared" si="4"/>
        <v>1239</v>
      </c>
      <c r="B1242" s="181"/>
      <c r="C1242" s="180" t="s">
        <v>208</v>
      </c>
      <c r="D1242" s="180" t="s">
        <v>208</v>
      </c>
      <c r="E1242" s="180" t="s">
        <v>208</v>
      </c>
      <c r="F1242" s="180" t="s">
        <v>208</v>
      </c>
      <c r="G1242" s="180" t="s">
        <v>208</v>
      </c>
      <c r="H1242" s="181"/>
      <c r="I1242" s="180"/>
      <c r="J1242" s="185"/>
      <c r="K1242" s="182" t="s">
        <v>750</v>
      </c>
      <c r="L1242" s="189"/>
      <c r="R1242" s="157"/>
      <c r="S1242" s="157"/>
    </row>
    <row r="1243">
      <c r="A1243" s="179">
        <f t="shared" si="4"/>
        <v>1240</v>
      </c>
      <c r="B1243" s="181"/>
      <c r="C1243" s="180" t="s">
        <v>208</v>
      </c>
      <c r="D1243" s="180" t="s">
        <v>208</v>
      </c>
      <c r="E1243" s="180"/>
      <c r="F1243" s="180" t="s">
        <v>208</v>
      </c>
      <c r="G1243" s="180" t="s">
        <v>208</v>
      </c>
      <c r="H1243" s="181"/>
      <c r="I1243" s="180"/>
      <c r="J1243" s="185"/>
      <c r="K1243" s="182" t="s">
        <v>750</v>
      </c>
      <c r="L1243" s="189"/>
      <c r="R1243" s="157"/>
      <c r="S1243" s="157"/>
    </row>
    <row r="1244">
      <c r="A1244" s="179">
        <f t="shared" si="4"/>
        <v>1241</v>
      </c>
      <c r="B1244" s="181"/>
      <c r="C1244" s="180" t="s">
        <v>208</v>
      </c>
      <c r="D1244" s="180" t="s">
        <v>208</v>
      </c>
      <c r="E1244" s="180"/>
      <c r="F1244" s="180" t="s">
        <v>208</v>
      </c>
      <c r="G1244" s="180" t="s">
        <v>208</v>
      </c>
      <c r="H1244" s="181"/>
      <c r="I1244" s="180"/>
      <c r="J1244" s="185"/>
      <c r="K1244" s="182" t="s">
        <v>750</v>
      </c>
      <c r="L1244" s="189"/>
      <c r="R1244" s="157"/>
      <c r="S1244" s="157"/>
    </row>
    <row r="1245">
      <c r="A1245" s="179">
        <f t="shared" si="4"/>
        <v>1242</v>
      </c>
      <c r="B1245" s="181"/>
      <c r="C1245" s="180" t="s">
        <v>208</v>
      </c>
      <c r="D1245" s="180" t="s">
        <v>208</v>
      </c>
      <c r="E1245" s="181"/>
      <c r="F1245" s="180" t="s">
        <v>208</v>
      </c>
      <c r="G1245" s="180" t="s">
        <v>208</v>
      </c>
      <c r="H1245" s="181"/>
      <c r="I1245" s="180"/>
      <c r="J1245" s="185"/>
      <c r="K1245" s="182" t="s">
        <v>750</v>
      </c>
      <c r="L1245" s="189"/>
      <c r="R1245" s="157"/>
      <c r="S1245" s="157"/>
    </row>
    <row r="1246">
      <c r="A1246" s="179">
        <f t="shared" si="4"/>
        <v>1243</v>
      </c>
      <c r="B1246" s="181"/>
      <c r="C1246" s="180" t="s">
        <v>208</v>
      </c>
      <c r="D1246" s="180" t="s">
        <v>208</v>
      </c>
      <c r="E1246" s="180" t="s">
        <v>208</v>
      </c>
      <c r="F1246" s="180" t="s">
        <v>208</v>
      </c>
      <c r="G1246" s="180" t="s">
        <v>208</v>
      </c>
      <c r="H1246" s="181"/>
      <c r="I1246" s="180"/>
      <c r="J1246" s="185"/>
      <c r="K1246" s="182" t="s">
        <v>750</v>
      </c>
      <c r="L1246" s="189"/>
      <c r="R1246" s="157"/>
      <c r="S1246" s="157"/>
    </row>
    <row r="1247">
      <c r="A1247" s="179">
        <f t="shared" si="4"/>
        <v>1244</v>
      </c>
      <c r="B1247" s="181"/>
      <c r="C1247" s="180" t="s">
        <v>208</v>
      </c>
      <c r="D1247" s="180" t="s">
        <v>208</v>
      </c>
      <c r="E1247" s="180" t="s">
        <v>208</v>
      </c>
      <c r="F1247" s="180" t="s">
        <v>208</v>
      </c>
      <c r="G1247" s="180" t="s">
        <v>208</v>
      </c>
      <c r="H1247" s="181"/>
      <c r="I1247" s="180"/>
      <c r="J1247" s="185"/>
      <c r="K1247" s="182" t="s">
        <v>750</v>
      </c>
      <c r="L1247" s="189"/>
      <c r="R1247" s="157"/>
      <c r="S1247" s="157"/>
    </row>
    <row r="1248">
      <c r="A1248" s="179">
        <f t="shared" si="4"/>
        <v>1245</v>
      </c>
      <c r="B1248" s="181"/>
      <c r="C1248" s="180" t="s">
        <v>208</v>
      </c>
      <c r="D1248" s="180" t="s">
        <v>208</v>
      </c>
      <c r="E1248" s="180" t="s">
        <v>208</v>
      </c>
      <c r="F1248" s="180" t="s">
        <v>208</v>
      </c>
      <c r="G1248" s="180" t="s">
        <v>208</v>
      </c>
      <c r="H1248" s="181"/>
      <c r="I1248" s="180"/>
      <c r="J1248" s="185"/>
      <c r="K1248" s="182" t="s">
        <v>750</v>
      </c>
      <c r="L1248" s="189"/>
      <c r="R1248" s="157"/>
      <c r="S1248" s="157"/>
    </row>
    <row r="1249">
      <c r="A1249" s="179">
        <f t="shared" si="4"/>
        <v>1246</v>
      </c>
      <c r="B1249" s="181"/>
      <c r="C1249" s="180" t="s">
        <v>208</v>
      </c>
      <c r="D1249" s="180" t="s">
        <v>208</v>
      </c>
      <c r="E1249" s="180" t="s">
        <v>208</v>
      </c>
      <c r="F1249" s="180" t="s">
        <v>208</v>
      </c>
      <c r="G1249" s="180" t="s">
        <v>208</v>
      </c>
      <c r="H1249" s="181"/>
      <c r="I1249" s="180"/>
      <c r="J1249" s="185"/>
      <c r="K1249" s="182" t="s">
        <v>750</v>
      </c>
      <c r="L1249" s="189"/>
      <c r="R1249" s="157"/>
      <c r="S1249" s="157"/>
    </row>
    <row r="1250">
      <c r="A1250" s="179">
        <f t="shared" si="4"/>
        <v>1247</v>
      </c>
      <c r="B1250" s="181"/>
      <c r="C1250" s="180" t="s">
        <v>208</v>
      </c>
      <c r="D1250" s="180" t="s">
        <v>208</v>
      </c>
      <c r="E1250" s="180" t="s">
        <v>208</v>
      </c>
      <c r="F1250" s="180" t="s">
        <v>208</v>
      </c>
      <c r="G1250" s="180" t="s">
        <v>208</v>
      </c>
      <c r="H1250" s="181"/>
      <c r="I1250" s="180"/>
      <c r="J1250" s="185"/>
      <c r="K1250" s="182" t="s">
        <v>750</v>
      </c>
      <c r="L1250" s="189"/>
      <c r="R1250" s="157"/>
      <c r="S1250" s="157"/>
    </row>
    <row r="1251">
      <c r="A1251" s="179">
        <f t="shared" si="4"/>
        <v>1248</v>
      </c>
      <c r="B1251" s="181"/>
      <c r="C1251" s="180" t="s">
        <v>208</v>
      </c>
      <c r="D1251" s="180" t="s">
        <v>208</v>
      </c>
      <c r="E1251" s="180" t="s">
        <v>208</v>
      </c>
      <c r="F1251" s="180" t="s">
        <v>208</v>
      </c>
      <c r="G1251" s="180" t="s">
        <v>208</v>
      </c>
      <c r="H1251" s="181"/>
      <c r="I1251" s="180"/>
      <c r="J1251" s="185"/>
      <c r="K1251" s="182" t="s">
        <v>750</v>
      </c>
      <c r="L1251" s="189"/>
      <c r="R1251" s="157"/>
      <c r="S1251" s="157"/>
    </row>
    <row r="1252">
      <c r="A1252" s="179">
        <f t="shared" si="4"/>
        <v>1249</v>
      </c>
      <c r="B1252" s="181"/>
      <c r="C1252" s="180" t="s">
        <v>208</v>
      </c>
      <c r="D1252" s="180" t="s">
        <v>208</v>
      </c>
      <c r="E1252" s="180" t="s">
        <v>208</v>
      </c>
      <c r="F1252" s="180" t="s">
        <v>208</v>
      </c>
      <c r="G1252" s="180" t="s">
        <v>208</v>
      </c>
      <c r="H1252" s="181"/>
      <c r="I1252" s="180"/>
      <c r="J1252" s="185"/>
      <c r="K1252" s="182" t="s">
        <v>750</v>
      </c>
      <c r="L1252" s="189"/>
      <c r="R1252" s="157"/>
      <c r="S1252" s="157"/>
    </row>
    <row r="1253">
      <c r="A1253" s="179">
        <f t="shared" si="4"/>
        <v>1250</v>
      </c>
      <c r="B1253" s="181"/>
      <c r="C1253" s="181"/>
      <c r="D1253" s="180" t="s">
        <v>208</v>
      </c>
      <c r="E1253" s="180" t="s">
        <v>208</v>
      </c>
      <c r="F1253" s="180" t="s">
        <v>208</v>
      </c>
      <c r="G1253" s="181"/>
      <c r="H1253" s="180" t="s">
        <v>208</v>
      </c>
      <c r="I1253" s="180"/>
      <c r="J1253" s="185"/>
      <c r="K1253" s="182" t="s">
        <v>750</v>
      </c>
      <c r="L1253" s="189"/>
      <c r="R1253" s="157"/>
      <c r="S1253" s="157"/>
    </row>
    <row r="1254">
      <c r="A1254" s="179">
        <f t="shared" si="4"/>
        <v>1251</v>
      </c>
      <c r="B1254" s="181"/>
      <c r="C1254" s="180" t="s">
        <v>208</v>
      </c>
      <c r="D1254" s="180" t="s">
        <v>208</v>
      </c>
      <c r="E1254" s="180" t="s">
        <v>208</v>
      </c>
      <c r="F1254" s="180" t="s">
        <v>208</v>
      </c>
      <c r="G1254" s="180" t="s">
        <v>208</v>
      </c>
      <c r="H1254" s="181"/>
      <c r="I1254" s="180"/>
      <c r="J1254" s="185"/>
      <c r="K1254" s="182" t="s">
        <v>750</v>
      </c>
      <c r="L1254" s="189"/>
      <c r="R1254" s="157"/>
      <c r="S1254" s="157"/>
    </row>
    <row r="1255">
      <c r="A1255" s="179">
        <f t="shared" si="4"/>
        <v>1252</v>
      </c>
      <c r="B1255" s="181"/>
      <c r="C1255" s="180" t="s">
        <v>208</v>
      </c>
      <c r="D1255" s="180" t="s">
        <v>208</v>
      </c>
      <c r="E1255" s="180" t="s">
        <v>208</v>
      </c>
      <c r="F1255" s="180" t="s">
        <v>208</v>
      </c>
      <c r="G1255" s="180" t="s">
        <v>208</v>
      </c>
      <c r="H1255" s="181"/>
      <c r="I1255" s="180"/>
      <c r="J1255" s="185"/>
      <c r="K1255" s="182" t="s">
        <v>750</v>
      </c>
      <c r="L1255" s="189"/>
      <c r="R1255" s="157"/>
      <c r="S1255" s="157"/>
    </row>
    <row r="1256">
      <c r="A1256" s="179">
        <f t="shared" si="4"/>
        <v>1253</v>
      </c>
      <c r="B1256" s="181"/>
      <c r="C1256" s="180" t="s">
        <v>208</v>
      </c>
      <c r="D1256" s="180" t="s">
        <v>208</v>
      </c>
      <c r="E1256" s="180" t="s">
        <v>208</v>
      </c>
      <c r="F1256" s="180" t="s">
        <v>208</v>
      </c>
      <c r="G1256" s="180" t="s">
        <v>208</v>
      </c>
      <c r="H1256" s="181"/>
      <c r="I1256" s="180"/>
      <c r="J1256" s="185"/>
      <c r="K1256" s="182" t="s">
        <v>750</v>
      </c>
      <c r="L1256" s="189"/>
      <c r="R1256" s="157"/>
      <c r="S1256" s="157"/>
    </row>
    <row r="1257">
      <c r="A1257" s="179">
        <f t="shared" si="4"/>
        <v>1254</v>
      </c>
      <c r="B1257" s="181"/>
      <c r="C1257" s="180" t="s">
        <v>208</v>
      </c>
      <c r="D1257" s="180" t="s">
        <v>208</v>
      </c>
      <c r="E1257" s="180" t="s">
        <v>208</v>
      </c>
      <c r="F1257" s="180" t="s">
        <v>208</v>
      </c>
      <c r="G1257" s="180" t="s">
        <v>208</v>
      </c>
      <c r="H1257" s="181"/>
      <c r="I1257" s="180"/>
      <c r="J1257" s="185"/>
      <c r="K1257" s="182" t="s">
        <v>750</v>
      </c>
      <c r="L1257" s="189"/>
      <c r="R1257" s="157"/>
      <c r="S1257" s="157"/>
    </row>
    <row r="1258">
      <c r="A1258" s="179">
        <f t="shared" si="4"/>
        <v>1255</v>
      </c>
      <c r="B1258" s="181"/>
      <c r="C1258" s="181"/>
      <c r="D1258" s="180" t="s">
        <v>208</v>
      </c>
      <c r="E1258" s="180" t="s">
        <v>208</v>
      </c>
      <c r="F1258" s="180" t="s">
        <v>208</v>
      </c>
      <c r="G1258" s="181"/>
      <c r="H1258" s="180" t="s">
        <v>208</v>
      </c>
      <c r="I1258" s="180"/>
      <c r="J1258" s="185"/>
      <c r="K1258" s="182" t="s">
        <v>750</v>
      </c>
      <c r="L1258" s="189"/>
      <c r="R1258" s="157"/>
      <c r="S1258" s="157"/>
    </row>
    <row r="1259">
      <c r="A1259" s="179">
        <f t="shared" si="4"/>
        <v>1256</v>
      </c>
      <c r="B1259" s="181"/>
      <c r="C1259" s="180" t="s">
        <v>208</v>
      </c>
      <c r="D1259" s="180" t="s">
        <v>208</v>
      </c>
      <c r="E1259" s="180" t="s">
        <v>208</v>
      </c>
      <c r="F1259" s="180" t="s">
        <v>208</v>
      </c>
      <c r="G1259" s="180" t="s">
        <v>208</v>
      </c>
      <c r="H1259" s="181"/>
      <c r="I1259" s="180"/>
      <c r="J1259" s="185"/>
      <c r="K1259" s="182" t="s">
        <v>750</v>
      </c>
      <c r="L1259" s="189"/>
      <c r="R1259" s="157"/>
      <c r="S1259" s="157"/>
    </row>
    <row r="1260">
      <c r="A1260" s="179">
        <f t="shared" si="4"/>
        <v>1257</v>
      </c>
      <c r="B1260" s="181"/>
      <c r="C1260" s="180" t="s">
        <v>208</v>
      </c>
      <c r="D1260" s="180" t="s">
        <v>208</v>
      </c>
      <c r="E1260" s="180" t="s">
        <v>208</v>
      </c>
      <c r="F1260" s="180" t="s">
        <v>208</v>
      </c>
      <c r="G1260" s="180" t="s">
        <v>208</v>
      </c>
      <c r="H1260" s="181"/>
      <c r="I1260" s="180"/>
      <c r="J1260" s="185"/>
      <c r="K1260" s="182" t="s">
        <v>750</v>
      </c>
      <c r="L1260" s="189"/>
      <c r="R1260" s="157"/>
      <c r="S1260" s="157"/>
    </row>
    <row r="1261">
      <c r="A1261" s="179">
        <f t="shared" si="4"/>
        <v>1258</v>
      </c>
      <c r="B1261" s="181"/>
      <c r="C1261" s="180" t="s">
        <v>208</v>
      </c>
      <c r="D1261" s="180" t="s">
        <v>208</v>
      </c>
      <c r="E1261" s="180" t="s">
        <v>208</v>
      </c>
      <c r="F1261" s="180" t="s">
        <v>208</v>
      </c>
      <c r="G1261" s="180" t="s">
        <v>208</v>
      </c>
      <c r="H1261" s="181"/>
      <c r="I1261" s="180"/>
      <c r="J1261" s="185"/>
      <c r="K1261" s="182" t="s">
        <v>750</v>
      </c>
      <c r="L1261" s="189"/>
      <c r="R1261" s="157"/>
      <c r="S1261" s="157"/>
    </row>
    <row r="1262">
      <c r="A1262" s="179">
        <f t="shared" si="4"/>
        <v>1259</v>
      </c>
      <c r="B1262" s="181"/>
      <c r="C1262" s="181"/>
      <c r="D1262" s="180" t="s">
        <v>243</v>
      </c>
      <c r="E1262" s="180" t="s">
        <v>208</v>
      </c>
      <c r="F1262" s="180" t="s">
        <v>243</v>
      </c>
      <c r="G1262" s="181"/>
      <c r="H1262" s="180" t="s">
        <v>208</v>
      </c>
      <c r="I1262" s="180"/>
      <c r="J1262" s="185"/>
      <c r="K1262" s="182" t="s">
        <v>750</v>
      </c>
      <c r="L1262" s="189"/>
      <c r="R1262" s="157"/>
      <c r="S1262" s="157"/>
    </row>
    <row r="1263">
      <c r="A1263" s="179">
        <f t="shared" si="4"/>
        <v>1260</v>
      </c>
      <c r="B1263" s="181"/>
      <c r="C1263" s="180" t="s">
        <v>208</v>
      </c>
      <c r="D1263" s="180" t="s">
        <v>208</v>
      </c>
      <c r="E1263" s="180" t="s">
        <v>208</v>
      </c>
      <c r="F1263" s="180" t="s">
        <v>208</v>
      </c>
      <c r="G1263" s="180" t="s">
        <v>208</v>
      </c>
      <c r="H1263" s="181"/>
      <c r="I1263" s="180"/>
      <c r="J1263" s="185"/>
      <c r="K1263" s="182" t="s">
        <v>750</v>
      </c>
      <c r="L1263" s="189"/>
      <c r="R1263" s="157"/>
      <c r="S1263" s="157"/>
    </row>
    <row r="1264">
      <c r="A1264" s="179">
        <f t="shared" si="4"/>
        <v>1261</v>
      </c>
      <c r="B1264" s="181"/>
      <c r="C1264" s="180" t="s">
        <v>208</v>
      </c>
      <c r="D1264" s="180" t="s">
        <v>208</v>
      </c>
      <c r="E1264" s="180" t="s">
        <v>208</v>
      </c>
      <c r="F1264" s="180" t="s">
        <v>208</v>
      </c>
      <c r="G1264" s="180" t="s">
        <v>208</v>
      </c>
      <c r="H1264" s="181"/>
      <c r="I1264" s="180"/>
      <c r="J1264" s="185"/>
      <c r="K1264" s="182" t="s">
        <v>750</v>
      </c>
      <c r="L1264" s="189"/>
      <c r="R1264" s="157"/>
      <c r="S1264" s="157"/>
    </row>
    <row r="1265">
      <c r="A1265" s="179">
        <f t="shared" si="4"/>
        <v>1262</v>
      </c>
      <c r="B1265" s="181"/>
      <c r="C1265" s="180" t="s">
        <v>208</v>
      </c>
      <c r="D1265" s="180" t="s">
        <v>208</v>
      </c>
      <c r="E1265" s="180" t="s">
        <v>208</v>
      </c>
      <c r="F1265" s="180" t="s">
        <v>208</v>
      </c>
      <c r="G1265" s="180" t="s">
        <v>208</v>
      </c>
      <c r="H1265" s="181"/>
      <c r="I1265" s="180"/>
      <c r="J1265" s="185"/>
      <c r="K1265" s="182" t="s">
        <v>750</v>
      </c>
      <c r="L1265" s="189"/>
      <c r="R1265" s="157"/>
      <c r="S1265" s="157"/>
    </row>
    <row r="1266">
      <c r="A1266" s="179">
        <f t="shared" si="4"/>
        <v>1263</v>
      </c>
      <c r="B1266" s="181"/>
      <c r="C1266" s="180" t="s">
        <v>208</v>
      </c>
      <c r="D1266" s="180" t="s">
        <v>208</v>
      </c>
      <c r="E1266" s="180" t="s">
        <v>208</v>
      </c>
      <c r="F1266" s="180" t="s">
        <v>208</v>
      </c>
      <c r="G1266" s="180" t="s">
        <v>208</v>
      </c>
      <c r="H1266" s="181"/>
      <c r="I1266" s="180"/>
      <c r="J1266" s="185"/>
      <c r="K1266" s="182" t="s">
        <v>750</v>
      </c>
      <c r="L1266" s="189"/>
      <c r="R1266" s="157"/>
      <c r="S1266" s="157"/>
    </row>
    <row r="1267">
      <c r="A1267" s="179">
        <f t="shared" si="4"/>
        <v>1264</v>
      </c>
      <c r="B1267" s="181"/>
      <c r="C1267" s="180" t="s">
        <v>208</v>
      </c>
      <c r="D1267" s="180" t="s">
        <v>208</v>
      </c>
      <c r="E1267" s="180" t="s">
        <v>208</v>
      </c>
      <c r="F1267" s="180" t="s">
        <v>208</v>
      </c>
      <c r="G1267" s="180" t="s">
        <v>208</v>
      </c>
      <c r="H1267" s="181"/>
      <c r="I1267" s="180"/>
      <c r="J1267" s="185"/>
      <c r="K1267" s="182" t="s">
        <v>750</v>
      </c>
      <c r="L1267" s="189"/>
      <c r="R1267" s="157"/>
      <c r="S1267" s="157"/>
    </row>
    <row r="1268">
      <c r="A1268" s="179">
        <f t="shared" si="4"/>
        <v>1265</v>
      </c>
      <c r="B1268" s="181"/>
      <c r="C1268" s="180" t="s">
        <v>208</v>
      </c>
      <c r="D1268" s="180" t="s">
        <v>243</v>
      </c>
      <c r="E1268" s="180" t="s">
        <v>208</v>
      </c>
      <c r="F1268" s="180" t="s">
        <v>208</v>
      </c>
      <c r="G1268" s="180" t="s">
        <v>208</v>
      </c>
      <c r="H1268" s="181"/>
      <c r="I1268" s="180"/>
      <c r="J1268" s="185"/>
      <c r="K1268" s="182" t="s">
        <v>750</v>
      </c>
      <c r="L1268" s="189"/>
      <c r="R1268" s="157"/>
      <c r="S1268" s="157"/>
    </row>
    <row r="1269">
      <c r="A1269" s="179">
        <f t="shared" si="4"/>
        <v>1266</v>
      </c>
      <c r="B1269" s="181"/>
      <c r="C1269" s="180" t="s">
        <v>208</v>
      </c>
      <c r="D1269" s="180" t="s">
        <v>208</v>
      </c>
      <c r="E1269" s="180" t="s">
        <v>208</v>
      </c>
      <c r="F1269" s="180" t="s">
        <v>208</v>
      </c>
      <c r="G1269" s="180" t="s">
        <v>208</v>
      </c>
      <c r="H1269" s="181"/>
      <c r="I1269" s="180"/>
      <c r="J1269" s="185"/>
      <c r="K1269" s="182" t="s">
        <v>750</v>
      </c>
      <c r="L1269" s="189"/>
      <c r="R1269" s="157"/>
      <c r="S1269" s="157"/>
    </row>
    <row r="1270">
      <c r="A1270" s="179">
        <f t="shared" si="4"/>
        <v>1267</v>
      </c>
      <c r="B1270" s="181"/>
      <c r="C1270" s="180"/>
      <c r="D1270" s="180"/>
      <c r="E1270" s="180"/>
      <c r="F1270" s="180"/>
      <c r="G1270" s="180"/>
      <c r="H1270" s="181"/>
      <c r="I1270" s="180"/>
      <c r="J1270" s="185" t="s">
        <v>242</v>
      </c>
      <c r="K1270" s="182" t="s">
        <v>750</v>
      </c>
      <c r="L1270" s="189"/>
      <c r="R1270" s="157"/>
      <c r="S1270" s="157"/>
    </row>
    <row r="1271">
      <c r="A1271" s="179">
        <f t="shared" si="4"/>
        <v>1268</v>
      </c>
      <c r="B1271" s="181"/>
      <c r="C1271" s="180" t="s">
        <v>208</v>
      </c>
      <c r="D1271" s="180" t="s">
        <v>208</v>
      </c>
      <c r="E1271" s="180" t="s">
        <v>208</v>
      </c>
      <c r="F1271" s="180" t="s">
        <v>208</v>
      </c>
      <c r="G1271" s="180" t="s">
        <v>208</v>
      </c>
      <c r="H1271" s="181"/>
      <c r="I1271" s="180"/>
      <c r="J1271" s="185"/>
      <c r="K1271" s="182" t="s">
        <v>750</v>
      </c>
      <c r="L1271" s="189"/>
      <c r="R1271" s="157"/>
      <c r="S1271" s="157"/>
    </row>
    <row r="1272">
      <c r="A1272" s="179">
        <f t="shared" si="4"/>
        <v>1269</v>
      </c>
      <c r="B1272" s="181"/>
      <c r="C1272" s="180"/>
      <c r="D1272" s="181"/>
      <c r="E1272" s="180"/>
      <c r="F1272" s="180"/>
      <c r="G1272" s="180"/>
      <c r="H1272" s="181"/>
      <c r="I1272" s="180"/>
      <c r="J1272" s="185" t="s">
        <v>242</v>
      </c>
      <c r="K1272" s="182" t="s">
        <v>750</v>
      </c>
      <c r="L1272" s="189"/>
      <c r="R1272" s="157"/>
      <c r="S1272" s="157"/>
    </row>
    <row r="1273">
      <c r="A1273" s="179">
        <f t="shared" si="4"/>
        <v>1270</v>
      </c>
      <c r="B1273" s="181"/>
      <c r="C1273" s="180" t="s">
        <v>208</v>
      </c>
      <c r="D1273" s="180" t="s">
        <v>208</v>
      </c>
      <c r="E1273" s="180" t="s">
        <v>208</v>
      </c>
      <c r="F1273" s="180" t="s">
        <v>208</v>
      </c>
      <c r="G1273" s="180" t="s">
        <v>208</v>
      </c>
      <c r="H1273" s="181"/>
      <c r="I1273" s="180"/>
      <c r="J1273" s="185"/>
      <c r="K1273" s="182" t="s">
        <v>750</v>
      </c>
      <c r="L1273" s="189"/>
      <c r="R1273" s="157"/>
      <c r="S1273" s="157"/>
    </row>
    <row r="1274">
      <c r="A1274" s="179">
        <f t="shared" si="4"/>
        <v>1271</v>
      </c>
      <c r="B1274" s="181"/>
      <c r="C1274" s="180"/>
      <c r="D1274" s="180"/>
      <c r="E1274" s="180"/>
      <c r="F1274" s="180"/>
      <c r="G1274" s="180"/>
      <c r="H1274" s="181"/>
      <c r="I1274" s="180"/>
      <c r="J1274" s="185" t="s">
        <v>242</v>
      </c>
      <c r="K1274" s="182" t="s">
        <v>750</v>
      </c>
      <c r="L1274" s="189"/>
      <c r="R1274" s="157"/>
      <c r="S1274" s="157"/>
    </row>
    <row r="1275">
      <c r="A1275" s="179">
        <f t="shared" si="4"/>
        <v>1272</v>
      </c>
      <c r="B1275" s="181"/>
      <c r="C1275" s="180" t="s">
        <v>208</v>
      </c>
      <c r="D1275" s="180" t="s">
        <v>208</v>
      </c>
      <c r="E1275" s="180" t="s">
        <v>208</v>
      </c>
      <c r="F1275" s="180" t="s">
        <v>208</v>
      </c>
      <c r="G1275" s="180" t="s">
        <v>208</v>
      </c>
      <c r="H1275" s="181"/>
      <c r="I1275" s="180"/>
      <c r="J1275" s="185"/>
      <c r="K1275" s="182" t="s">
        <v>750</v>
      </c>
      <c r="L1275" s="189"/>
      <c r="R1275" s="157"/>
      <c r="S1275" s="157"/>
    </row>
    <row r="1276">
      <c r="A1276" s="179">
        <f t="shared" si="4"/>
        <v>1273</v>
      </c>
      <c r="B1276" s="181"/>
      <c r="C1276" s="180" t="s">
        <v>208</v>
      </c>
      <c r="D1276" s="180" t="s">
        <v>208</v>
      </c>
      <c r="E1276" s="180" t="s">
        <v>208</v>
      </c>
      <c r="F1276" s="180" t="s">
        <v>208</v>
      </c>
      <c r="G1276" s="180" t="s">
        <v>208</v>
      </c>
      <c r="H1276" s="181"/>
      <c r="I1276" s="180"/>
      <c r="J1276" s="185"/>
      <c r="K1276" s="182" t="s">
        <v>750</v>
      </c>
      <c r="L1276" s="189"/>
      <c r="R1276" s="157"/>
      <c r="S1276" s="157"/>
    </row>
    <row r="1277">
      <c r="A1277" s="179">
        <f t="shared" si="4"/>
        <v>1274</v>
      </c>
      <c r="B1277" s="181"/>
      <c r="C1277" s="180" t="s">
        <v>208</v>
      </c>
      <c r="D1277" s="180" t="s">
        <v>208</v>
      </c>
      <c r="E1277" s="180" t="s">
        <v>208</v>
      </c>
      <c r="F1277" s="180" t="s">
        <v>208</v>
      </c>
      <c r="G1277" s="180" t="s">
        <v>208</v>
      </c>
      <c r="H1277" s="181"/>
      <c r="I1277" s="180"/>
      <c r="J1277" s="185"/>
      <c r="K1277" s="182" t="s">
        <v>750</v>
      </c>
      <c r="L1277" s="189"/>
      <c r="R1277" s="157"/>
      <c r="S1277" s="157"/>
    </row>
    <row r="1278">
      <c r="A1278" s="179">
        <f t="shared" si="4"/>
        <v>1275</v>
      </c>
      <c r="B1278" s="181"/>
      <c r="C1278" s="180" t="s">
        <v>208</v>
      </c>
      <c r="D1278" s="180" t="s">
        <v>208</v>
      </c>
      <c r="E1278" s="180"/>
      <c r="F1278" s="180" t="s">
        <v>208</v>
      </c>
      <c r="G1278" s="180" t="s">
        <v>208</v>
      </c>
      <c r="H1278" s="181"/>
      <c r="I1278" s="180"/>
      <c r="J1278" s="185"/>
      <c r="K1278" s="182" t="s">
        <v>750</v>
      </c>
      <c r="L1278" s="189"/>
      <c r="R1278" s="157"/>
      <c r="S1278" s="157"/>
    </row>
    <row r="1279">
      <c r="A1279" s="179">
        <f t="shared" si="4"/>
        <v>1276</v>
      </c>
      <c r="B1279" s="181"/>
      <c r="C1279" s="180" t="s">
        <v>208</v>
      </c>
      <c r="D1279" s="180" t="s">
        <v>208</v>
      </c>
      <c r="E1279" s="180" t="s">
        <v>208</v>
      </c>
      <c r="F1279" s="180" t="s">
        <v>208</v>
      </c>
      <c r="G1279" s="180" t="s">
        <v>208</v>
      </c>
      <c r="H1279" s="181"/>
      <c r="I1279" s="180"/>
      <c r="J1279" s="185"/>
      <c r="K1279" s="182" t="s">
        <v>750</v>
      </c>
      <c r="L1279" s="189"/>
      <c r="R1279" s="157"/>
      <c r="S1279" s="157"/>
    </row>
    <row r="1280">
      <c r="A1280" s="179">
        <f t="shared" si="4"/>
        <v>1277</v>
      </c>
      <c r="B1280" s="181"/>
      <c r="C1280" s="180" t="s">
        <v>208</v>
      </c>
      <c r="D1280" s="180" t="s">
        <v>208</v>
      </c>
      <c r="E1280" s="180" t="s">
        <v>208</v>
      </c>
      <c r="F1280" s="180" t="s">
        <v>208</v>
      </c>
      <c r="G1280" s="180" t="s">
        <v>208</v>
      </c>
      <c r="H1280" s="181"/>
      <c r="I1280" s="180"/>
      <c r="J1280" s="185"/>
      <c r="K1280" s="182" t="s">
        <v>750</v>
      </c>
      <c r="L1280" s="189"/>
      <c r="R1280" s="157"/>
      <c r="S1280" s="157"/>
    </row>
    <row r="1281">
      <c r="A1281" s="179">
        <f t="shared" si="4"/>
        <v>1278</v>
      </c>
      <c r="B1281" s="181"/>
      <c r="C1281" s="180" t="s">
        <v>208</v>
      </c>
      <c r="D1281" s="180" t="s">
        <v>208</v>
      </c>
      <c r="E1281" s="180" t="s">
        <v>208</v>
      </c>
      <c r="F1281" s="180" t="s">
        <v>208</v>
      </c>
      <c r="G1281" s="180" t="s">
        <v>208</v>
      </c>
      <c r="H1281" s="181"/>
      <c r="I1281" s="180"/>
      <c r="J1281" s="185"/>
      <c r="K1281" s="182" t="s">
        <v>750</v>
      </c>
      <c r="L1281" s="189"/>
      <c r="R1281" s="157"/>
      <c r="S1281" s="157"/>
    </row>
    <row r="1282">
      <c r="A1282" s="179">
        <f t="shared" si="4"/>
        <v>1279</v>
      </c>
      <c r="B1282" s="181"/>
      <c r="C1282" s="180" t="s">
        <v>208</v>
      </c>
      <c r="D1282" s="180" t="s">
        <v>208</v>
      </c>
      <c r="E1282" s="180" t="s">
        <v>208</v>
      </c>
      <c r="F1282" s="180" t="s">
        <v>208</v>
      </c>
      <c r="G1282" s="180" t="s">
        <v>208</v>
      </c>
      <c r="H1282" s="181"/>
      <c r="I1282" s="180"/>
      <c r="J1282" s="185"/>
      <c r="K1282" s="182" t="s">
        <v>750</v>
      </c>
      <c r="L1282" s="189"/>
      <c r="R1282" s="157"/>
      <c r="S1282" s="157"/>
    </row>
    <row r="1283">
      <c r="A1283" s="179">
        <f t="shared" si="4"/>
        <v>1280</v>
      </c>
      <c r="B1283" s="181"/>
      <c r="C1283" s="180" t="s">
        <v>208</v>
      </c>
      <c r="D1283" s="180" t="s">
        <v>243</v>
      </c>
      <c r="E1283" s="180" t="s">
        <v>208</v>
      </c>
      <c r="F1283" s="180" t="s">
        <v>208</v>
      </c>
      <c r="G1283" s="180" t="s">
        <v>208</v>
      </c>
      <c r="H1283" s="181"/>
      <c r="I1283" s="180"/>
      <c r="J1283" s="185"/>
      <c r="K1283" s="182" t="s">
        <v>750</v>
      </c>
      <c r="L1283" s="189"/>
      <c r="R1283" s="157"/>
      <c r="S1283" s="157"/>
    </row>
    <row r="1284">
      <c r="A1284" s="179">
        <f t="shared" si="4"/>
        <v>1281</v>
      </c>
      <c r="B1284" s="181"/>
      <c r="C1284" s="181"/>
      <c r="D1284" s="181"/>
      <c r="E1284" s="181"/>
      <c r="F1284" s="181"/>
      <c r="G1284" s="181"/>
      <c r="H1284" s="181"/>
      <c r="I1284" s="180"/>
      <c r="J1284" s="185" t="s">
        <v>242</v>
      </c>
      <c r="K1284" s="182" t="s">
        <v>5807</v>
      </c>
      <c r="L1284" s="189"/>
      <c r="R1284" s="157"/>
      <c r="S1284" s="157"/>
    </row>
    <row r="1285">
      <c r="A1285" s="179">
        <f t="shared" si="4"/>
        <v>1282</v>
      </c>
      <c r="B1285" s="181"/>
      <c r="C1285" s="181"/>
      <c r="D1285" s="181"/>
      <c r="E1285" s="181"/>
      <c r="F1285" s="181"/>
      <c r="G1285" s="181"/>
      <c r="H1285" s="181"/>
      <c r="I1285" s="180"/>
      <c r="J1285" s="185" t="s">
        <v>242</v>
      </c>
      <c r="K1285" s="182" t="s">
        <v>5807</v>
      </c>
      <c r="L1285" s="189"/>
      <c r="R1285" s="157"/>
      <c r="S1285" s="157"/>
    </row>
    <row r="1286">
      <c r="A1286" s="179">
        <f t="shared" si="4"/>
        <v>1283</v>
      </c>
      <c r="B1286" s="181"/>
      <c r="C1286" s="181"/>
      <c r="D1286" s="181"/>
      <c r="E1286" s="181"/>
      <c r="F1286" s="181"/>
      <c r="G1286" s="181"/>
      <c r="H1286" s="181"/>
      <c r="I1286" s="180"/>
      <c r="J1286" s="185" t="s">
        <v>242</v>
      </c>
      <c r="K1286" s="182" t="s">
        <v>5807</v>
      </c>
      <c r="L1286" s="189"/>
      <c r="R1286" s="157"/>
      <c r="S1286" s="157"/>
    </row>
    <row r="1287">
      <c r="A1287" s="179">
        <f t="shared" si="4"/>
        <v>1284</v>
      </c>
      <c r="B1287" s="181"/>
      <c r="C1287" s="181"/>
      <c r="D1287" s="181"/>
      <c r="E1287" s="181"/>
      <c r="F1287" s="181"/>
      <c r="G1287" s="181"/>
      <c r="H1287" s="181"/>
      <c r="I1287" s="180"/>
      <c r="J1287" s="185" t="s">
        <v>242</v>
      </c>
      <c r="K1287" s="182" t="s">
        <v>5807</v>
      </c>
      <c r="L1287" s="189"/>
      <c r="R1287" s="157"/>
      <c r="S1287" s="157"/>
    </row>
    <row r="1288">
      <c r="A1288" s="179">
        <f t="shared" si="4"/>
        <v>1285</v>
      </c>
      <c r="B1288" s="181"/>
      <c r="C1288" s="181"/>
      <c r="D1288" s="181"/>
      <c r="E1288" s="181"/>
      <c r="F1288" s="181"/>
      <c r="G1288" s="181"/>
      <c r="H1288" s="181"/>
      <c r="I1288" s="180"/>
      <c r="J1288" s="185" t="s">
        <v>242</v>
      </c>
      <c r="K1288" s="182" t="s">
        <v>5807</v>
      </c>
      <c r="L1288" s="189"/>
      <c r="R1288" s="157"/>
      <c r="S1288" s="157"/>
    </row>
    <row r="1289">
      <c r="A1289" s="179">
        <f t="shared" si="4"/>
        <v>1286</v>
      </c>
      <c r="B1289" s="181"/>
      <c r="C1289" s="181"/>
      <c r="D1289" s="181"/>
      <c r="E1289" s="181"/>
      <c r="F1289" s="181"/>
      <c r="G1289" s="181"/>
      <c r="H1289" s="181"/>
      <c r="I1289" s="180"/>
      <c r="J1289" s="185" t="s">
        <v>242</v>
      </c>
      <c r="K1289" s="182" t="s">
        <v>5807</v>
      </c>
      <c r="L1289" s="189"/>
      <c r="R1289" s="157"/>
      <c r="S1289" s="157"/>
    </row>
    <row r="1290">
      <c r="A1290" s="179">
        <f t="shared" si="4"/>
        <v>1287</v>
      </c>
      <c r="B1290" s="181"/>
      <c r="C1290" s="181"/>
      <c r="D1290" s="181"/>
      <c r="E1290" s="181"/>
      <c r="F1290" s="181"/>
      <c r="G1290" s="181"/>
      <c r="H1290" s="181"/>
      <c r="I1290" s="180"/>
      <c r="J1290" s="185" t="s">
        <v>242</v>
      </c>
      <c r="K1290" s="182" t="s">
        <v>5807</v>
      </c>
      <c r="L1290" s="189"/>
      <c r="R1290" s="157"/>
      <c r="S1290" s="157"/>
    </row>
    <row r="1291">
      <c r="A1291" s="179">
        <f t="shared" si="4"/>
        <v>1288</v>
      </c>
      <c r="B1291" s="181"/>
      <c r="C1291" s="181"/>
      <c r="D1291" s="181"/>
      <c r="E1291" s="181"/>
      <c r="F1291" s="181"/>
      <c r="G1291" s="181"/>
      <c r="H1291" s="181"/>
      <c r="I1291" s="180"/>
      <c r="J1291" s="185" t="s">
        <v>242</v>
      </c>
      <c r="K1291" s="182" t="s">
        <v>5807</v>
      </c>
      <c r="L1291" s="189"/>
      <c r="R1291" s="157"/>
      <c r="S1291" s="157"/>
    </row>
    <row r="1292">
      <c r="A1292" s="179">
        <f t="shared" si="4"/>
        <v>1289</v>
      </c>
      <c r="B1292" s="181"/>
      <c r="C1292" s="181"/>
      <c r="D1292" s="181"/>
      <c r="E1292" s="181"/>
      <c r="F1292" s="181"/>
      <c r="G1292" s="181"/>
      <c r="H1292" s="181"/>
      <c r="I1292" s="180"/>
      <c r="J1292" s="185" t="s">
        <v>242</v>
      </c>
      <c r="K1292" s="182" t="s">
        <v>5807</v>
      </c>
      <c r="L1292" s="189"/>
      <c r="R1292" s="157"/>
      <c r="S1292" s="157"/>
    </row>
    <row r="1293">
      <c r="A1293" s="179">
        <f t="shared" si="4"/>
        <v>1290</v>
      </c>
      <c r="B1293" s="181"/>
      <c r="C1293" s="180" t="s">
        <v>208</v>
      </c>
      <c r="D1293" s="180" t="s">
        <v>208</v>
      </c>
      <c r="E1293" s="180" t="s">
        <v>208</v>
      </c>
      <c r="F1293" s="180" t="s">
        <v>208</v>
      </c>
      <c r="G1293" s="180" t="s">
        <v>208</v>
      </c>
      <c r="H1293" s="181"/>
      <c r="I1293" s="180"/>
      <c r="J1293" s="185"/>
      <c r="K1293" s="182" t="s">
        <v>5807</v>
      </c>
      <c r="L1293" s="189"/>
      <c r="R1293" s="157"/>
      <c r="S1293" s="157"/>
    </row>
    <row r="1294">
      <c r="A1294" s="179">
        <f t="shared" si="4"/>
        <v>1291</v>
      </c>
      <c r="B1294" s="181"/>
      <c r="C1294" s="180" t="s">
        <v>208</v>
      </c>
      <c r="D1294" s="180" t="s">
        <v>208</v>
      </c>
      <c r="E1294" s="180" t="s">
        <v>208</v>
      </c>
      <c r="F1294" s="180" t="s">
        <v>208</v>
      </c>
      <c r="G1294" s="180" t="s">
        <v>208</v>
      </c>
      <c r="H1294" s="181"/>
      <c r="I1294" s="180"/>
      <c r="J1294" s="185"/>
      <c r="K1294" s="182" t="s">
        <v>5807</v>
      </c>
      <c r="L1294" s="189"/>
      <c r="R1294" s="157"/>
      <c r="S1294" s="157"/>
    </row>
    <row r="1295">
      <c r="A1295" s="179">
        <f t="shared" si="4"/>
        <v>1292</v>
      </c>
      <c r="B1295" s="181"/>
      <c r="C1295" s="180" t="s">
        <v>208</v>
      </c>
      <c r="D1295" s="180" t="s">
        <v>208</v>
      </c>
      <c r="E1295" s="180" t="s">
        <v>208</v>
      </c>
      <c r="F1295" s="180" t="s">
        <v>208</v>
      </c>
      <c r="G1295" s="180" t="s">
        <v>208</v>
      </c>
      <c r="H1295" s="181"/>
      <c r="I1295" s="180"/>
      <c r="J1295" s="185"/>
      <c r="K1295" s="182" t="s">
        <v>5807</v>
      </c>
      <c r="L1295" s="189"/>
      <c r="R1295" s="157"/>
      <c r="S1295" s="157"/>
    </row>
    <row r="1296">
      <c r="A1296" s="179">
        <f t="shared" si="4"/>
        <v>1293</v>
      </c>
      <c r="B1296" s="181"/>
      <c r="C1296" s="180" t="s">
        <v>208</v>
      </c>
      <c r="D1296" s="180" t="s">
        <v>208</v>
      </c>
      <c r="E1296" s="180" t="s">
        <v>208</v>
      </c>
      <c r="F1296" s="180" t="s">
        <v>208</v>
      </c>
      <c r="G1296" s="180" t="s">
        <v>208</v>
      </c>
      <c r="H1296" s="181"/>
      <c r="I1296" s="180"/>
      <c r="J1296" s="185"/>
      <c r="K1296" s="182" t="s">
        <v>5807</v>
      </c>
      <c r="L1296" s="189"/>
      <c r="R1296" s="157"/>
      <c r="S1296" s="157"/>
    </row>
    <row r="1297">
      <c r="A1297" s="179">
        <f t="shared" si="4"/>
        <v>1294</v>
      </c>
      <c r="B1297" s="181"/>
      <c r="C1297" s="180" t="s">
        <v>208</v>
      </c>
      <c r="D1297" s="180" t="s">
        <v>208</v>
      </c>
      <c r="E1297" s="180" t="s">
        <v>208</v>
      </c>
      <c r="F1297" s="180" t="s">
        <v>208</v>
      </c>
      <c r="G1297" s="180" t="s">
        <v>208</v>
      </c>
      <c r="H1297" s="181"/>
      <c r="I1297" s="180"/>
      <c r="J1297" s="185"/>
      <c r="K1297" s="182" t="s">
        <v>5807</v>
      </c>
      <c r="L1297" s="189"/>
      <c r="R1297" s="157"/>
      <c r="S1297" s="157"/>
    </row>
    <row r="1298">
      <c r="A1298" s="179">
        <f t="shared" si="4"/>
        <v>1295</v>
      </c>
      <c r="B1298" s="181"/>
      <c r="C1298" s="181"/>
      <c r="D1298" s="181"/>
      <c r="E1298" s="181"/>
      <c r="F1298" s="181"/>
      <c r="G1298" s="181"/>
      <c r="H1298" s="181"/>
      <c r="I1298" s="180"/>
      <c r="J1298" s="185" t="s">
        <v>242</v>
      </c>
      <c r="K1298" s="182" t="s">
        <v>5807</v>
      </c>
      <c r="L1298" s="189"/>
      <c r="R1298" s="157"/>
      <c r="S1298" s="157"/>
    </row>
    <row r="1299">
      <c r="A1299" s="179">
        <f t="shared" si="4"/>
        <v>1296</v>
      </c>
      <c r="B1299" s="181"/>
      <c r="C1299" s="181"/>
      <c r="D1299" s="181"/>
      <c r="E1299" s="181"/>
      <c r="F1299" s="181"/>
      <c r="G1299" s="181"/>
      <c r="H1299" s="181"/>
      <c r="I1299" s="180"/>
      <c r="J1299" s="185" t="s">
        <v>242</v>
      </c>
      <c r="K1299" s="182" t="s">
        <v>5807</v>
      </c>
      <c r="L1299" s="189"/>
      <c r="R1299" s="157"/>
      <c r="S1299" s="157"/>
    </row>
    <row r="1300">
      <c r="A1300" s="179">
        <f t="shared" si="4"/>
        <v>1297</v>
      </c>
      <c r="B1300" s="181"/>
      <c r="C1300" s="181"/>
      <c r="D1300" s="181"/>
      <c r="E1300" s="181"/>
      <c r="F1300" s="181"/>
      <c r="G1300" s="181"/>
      <c r="H1300" s="181"/>
      <c r="I1300" s="180"/>
      <c r="J1300" s="185" t="s">
        <v>242</v>
      </c>
      <c r="K1300" s="182" t="s">
        <v>5807</v>
      </c>
      <c r="L1300" s="189"/>
      <c r="R1300" s="157"/>
      <c r="S1300" s="157"/>
    </row>
    <row r="1301">
      <c r="A1301" s="179">
        <f t="shared" si="4"/>
        <v>1298</v>
      </c>
      <c r="B1301" s="181"/>
      <c r="C1301" s="181"/>
      <c r="D1301" s="181"/>
      <c r="E1301" s="181"/>
      <c r="F1301" s="181"/>
      <c r="G1301" s="181"/>
      <c r="H1301" s="181"/>
      <c r="I1301" s="180"/>
      <c r="J1301" s="185" t="s">
        <v>242</v>
      </c>
      <c r="K1301" s="182" t="s">
        <v>5807</v>
      </c>
      <c r="L1301" s="189"/>
      <c r="R1301" s="157"/>
      <c r="S1301" s="157"/>
    </row>
    <row r="1302">
      <c r="A1302" s="179">
        <f t="shared" si="4"/>
        <v>1299</v>
      </c>
      <c r="B1302" s="181"/>
      <c r="C1302" s="181"/>
      <c r="D1302" s="181"/>
      <c r="E1302" s="181"/>
      <c r="F1302" s="181"/>
      <c r="G1302" s="181"/>
      <c r="H1302" s="181"/>
      <c r="I1302" s="180"/>
      <c r="J1302" s="185" t="s">
        <v>242</v>
      </c>
      <c r="K1302" s="182" t="s">
        <v>5807</v>
      </c>
      <c r="L1302" s="189"/>
      <c r="R1302" s="157"/>
      <c r="S1302" s="157"/>
    </row>
    <row r="1303">
      <c r="A1303" s="179">
        <f t="shared" si="4"/>
        <v>1300</v>
      </c>
      <c r="B1303" s="181"/>
      <c r="C1303" s="181"/>
      <c r="D1303" s="181"/>
      <c r="E1303" s="181"/>
      <c r="F1303" s="181"/>
      <c r="G1303" s="181"/>
      <c r="H1303" s="181"/>
      <c r="I1303" s="180"/>
      <c r="J1303" s="185" t="s">
        <v>242</v>
      </c>
      <c r="K1303" s="182" t="s">
        <v>5807</v>
      </c>
      <c r="L1303" s="189"/>
      <c r="R1303" s="157"/>
      <c r="S1303" s="157"/>
    </row>
    <row r="1304">
      <c r="A1304" s="179">
        <f t="shared" si="4"/>
        <v>1301</v>
      </c>
      <c r="B1304" s="181"/>
      <c r="C1304" s="181"/>
      <c r="D1304" s="181"/>
      <c r="E1304" s="181"/>
      <c r="F1304" s="181"/>
      <c r="G1304" s="181"/>
      <c r="H1304" s="181"/>
      <c r="I1304" s="180"/>
      <c r="J1304" s="185" t="s">
        <v>242</v>
      </c>
      <c r="K1304" s="182" t="s">
        <v>5807</v>
      </c>
      <c r="L1304" s="189"/>
      <c r="R1304" s="157"/>
      <c r="S1304" s="157"/>
    </row>
    <row r="1305">
      <c r="A1305" s="179">
        <f t="shared" si="4"/>
        <v>1302</v>
      </c>
      <c r="B1305" s="181"/>
      <c r="C1305" s="181"/>
      <c r="D1305" s="181"/>
      <c r="E1305" s="181"/>
      <c r="F1305" s="181"/>
      <c r="G1305" s="181"/>
      <c r="H1305" s="181"/>
      <c r="I1305" s="180"/>
      <c r="J1305" s="185" t="s">
        <v>242</v>
      </c>
      <c r="K1305" s="182" t="s">
        <v>5807</v>
      </c>
      <c r="L1305" s="189"/>
      <c r="R1305" s="157"/>
      <c r="S1305" s="157"/>
    </row>
    <row r="1306">
      <c r="A1306" s="179">
        <f t="shared" si="4"/>
        <v>1303</v>
      </c>
      <c r="B1306" s="181"/>
      <c r="C1306" s="181"/>
      <c r="D1306" s="181"/>
      <c r="E1306" s="181"/>
      <c r="F1306" s="181"/>
      <c r="G1306" s="181"/>
      <c r="H1306" s="181"/>
      <c r="I1306" s="180"/>
      <c r="J1306" s="185" t="s">
        <v>242</v>
      </c>
      <c r="K1306" s="182" t="s">
        <v>5807</v>
      </c>
      <c r="L1306" s="189"/>
      <c r="R1306" s="157"/>
      <c r="S1306" s="157"/>
    </row>
    <row r="1307">
      <c r="A1307" s="179">
        <f t="shared" si="4"/>
        <v>1304</v>
      </c>
      <c r="B1307" s="181"/>
      <c r="C1307" s="181"/>
      <c r="D1307" s="181"/>
      <c r="E1307" s="181"/>
      <c r="F1307" s="181"/>
      <c r="G1307" s="181"/>
      <c r="H1307" s="181"/>
      <c r="I1307" s="180"/>
      <c r="J1307" s="185" t="s">
        <v>242</v>
      </c>
      <c r="K1307" s="182" t="s">
        <v>5807</v>
      </c>
      <c r="L1307" s="189"/>
      <c r="R1307" s="157"/>
      <c r="S1307" s="157"/>
    </row>
    <row r="1308">
      <c r="A1308" s="179">
        <f t="shared" si="4"/>
        <v>1305</v>
      </c>
      <c r="B1308" s="181"/>
      <c r="C1308" s="181"/>
      <c r="D1308" s="180" t="s">
        <v>208</v>
      </c>
      <c r="E1308" s="180"/>
      <c r="F1308" s="180" t="s">
        <v>208</v>
      </c>
      <c r="G1308" s="181"/>
      <c r="H1308" s="180" t="s">
        <v>208</v>
      </c>
      <c r="I1308" s="180"/>
      <c r="J1308" s="185"/>
      <c r="K1308" s="182" t="s">
        <v>5807</v>
      </c>
      <c r="L1308" s="189"/>
      <c r="R1308" s="157"/>
      <c r="S1308" s="157"/>
    </row>
    <row r="1309">
      <c r="A1309" s="179">
        <f t="shared" si="4"/>
        <v>1306</v>
      </c>
      <c r="B1309" s="181"/>
      <c r="C1309" s="181"/>
      <c r="D1309" s="180" t="s">
        <v>208</v>
      </c>
      <c r="E1309" s="180"/>
      <c r="F1309" s="180" t="s">
        <v>208</v>
      </c>
      <c r="G1309" s="181"/>
      <c r="H1309" s="180" t="s">
        <v>208</v>
      </c>
      <c r="I1309" s="180"/>
      <c r="J1309" s="185"/>
      <c r="K1309" s="182" t="s">
        <v>5807</v>
      </c>
      <c r="L1309" s="189"/>
      <c r="R1309" s="157"/>
      <c r="S1309" s="157"/>
    </row>
    <row r="1310">
      <c r="A1310" s="179">
        <f t="shared" si="4"/>
        <v>1307</v>
      </c>
      <c r="B1310" s="181"/>
      <c r="C1310" s="181"/>
      <c r="D1310" s="180" t="s">
        <v>208</v>
      </c>
      <c r="E1310" s="180"/>
      <c r="F1310" s="180" t="s">
        <v>208</v>
      </c>
      <c r="G1310" s="181"/>
      <c r="H1310" s="180" t="s">
        <v>208</v>
      </c>
      <c r="I1310" s="180"/>
      <c r="J1310" s="185"/>
      <c r="K1310" s="182" t="s">
        <v>5807</v>
      </c>
      <c r="L1310" s="189"/>
      <c r="R1310" s="157"/>
      <c r="S1310" s="157"/>
    </row>
    <row r="1311">
      <c r="A1311" s="179">
        <f t="shared" si="4"/>
        <v>1308</v>
      </c>
      <c r="B1311" s="181"/>
      <c r="C1311" s="180" t="s">
        <v>208</v>
      </c>
      <c r="D1311" s="180" t="s">
        <v>243</v>
      </c>
      <c r="E1311" s="180" t="s">
        <v>208</v>
      </c>
      <c r="F1311" s="180" t="s">
        <v>208</v>
      </c>
      <c r="G1311" s="180" t="s">
        <v>208</v>
      </c>
      <c r="H1311" s="181"/>
      <c r="I1311" s="180"/>
      <c r="J1311" s="185"/>
      <c r="K1311" s="182" t="s">
        <v>5807</v>
      </c>
      <c r="L1311" s="189"/>
      <c r="R1311" s="157"/>
      <c r="S1311" s="157"/>
    </row>
    <row r="1312">
      <c r="A1312" s="179">
        <f t="shared" si="4"/>
        <v>1309</v>
      </c>
      <c r="B1312" s="181"/>
      <c r="C1312" s="180" t="s">
        <v>208</v>
      </c>
      <c r="D1312" s="180" t="s">
        <v>208</v>
      </c>
      <c r="E1312" s="180" t="s">
        <v>208</v>
      </c>
      <c r="F1312" s="180" t="s">
        <v>208</v>
      </c>
      <c r="G1312" s="180" t="s">
        <v>208</v>
      </c>
      <c r="H1312" s="181"/>
      <c r="I1312" s="180"/>
      <c r="J1312" s="185"/>
      <c r="K1312" s="182" t="s">
        <v>5807</v>
      </c>
      <c r="L1312" s="189"/>
      <c r="R1312" s="157"/>
      <c r="S1312" s="157"/>
    </row>
    <row r="1313">
      <c r="A1313" s="179">
        <f t="shared" si="4"/>
        <v>1310</v>
      </c>
      <c r="B1313" s="181"/>
      <c r="C1313" s="180" t="s">
        <v>208</v>
      </c>
      <c r="D1313" s="180" t="s">
        <v>208</v>
      </c>
      <c r="E1313" s="180" t="s">
        <v>208</v>
      </c>
      <c r="F1313" s="180" t="s">
        <v>208</v>
      </c>
      <c r="G1313" s="180" t="s">
        <v>208</v>
      </c>
      <c r="H1313" s="181"/>
      <c r="I1313" s="180"/>
      <c r="J1313" s="185"/>
      <c r="K1313" s="182" t="s">
        <v>5807</v>
      </c>
      <c r="L1313" s="189"/>
      <c r="R1313" s="157"/>
      <c r="S1313" s="157"/>
    </row>
    <row r="1314">
      <c r="A1314" s="179">
        <f t="shared" si="4"/>
        <v>1311</v>
      </c>
      <c r="B1314" s="181"/>
      <c r="C1314" s="180" t="s">
        <v>208</v>
      </c>
      <c r="D1314" s="180" t="s">
        <v>208</v>
      </c>
      <c r="E1314" s="180"/>
      <c r="F1314" s="180" t="s">
        <v>208</v>
      </c>
      <c r="G1314" s="180" t="s">
        <v>208</v>
      </c>
      <c r="H1314" s="181"/>
      <c r="I1314" s="180"/>
      <c r="J1314" s="185"/>
      <c r="K1314" s="182" t="s">
        <v>5807</v>
      </c>
      <c r="L1314" s="189"/>
      <c r="R1314" s="157"/>
      <c r="S1314" s="157"/>
    </row>
    <row r="1315">
      <c r="A1315" s="179">
        <f t="shared" si="4"/>
        <v>1312</v>
      </c>
      <c r="B1315" s="181"/>
      <c r="C1315" s="181"/>
      <c r="D1315" s="180" t="s">
        <v>208</v>
      </c>
      <c r="E1315" s="181"/>
      <c r="F1315" s="180" t="s">
        <v>208</v>
      </c>
      <c r="G1315" s="181"/>
      <c r="H1315" s="180" t="s">
        <v>208</v>
      </c>
      <c r="I1315" s="180"/>
      <c r="J1315" s="185"/>
      <c r="K1315" s="182" t="s">
        <v>5807</v>
      </c>
      <c r="L1315" s="189"/>
      <c r="R1315" s="157"/>
      <c r="S1315" s="157"/>
    </row>
    <row r="1316">
      <c r="A1316" s="179">
        <f t="shared" si="4"/>
        <v>1313</v>
      </c>
      <c r="B1316" s="181"/>
      <c r="C1316" s="180" t="s">
        <v>208</v>
      </c>
      <c r="D1316" s="180" t="s">
        <v>208</v>
      </c>
      <c r="E1316" s="181"/>
      <c r="F1316" s="180" t="s">
        <v>208</v>
      </c>
      <c r="G1316" s="180" t="s">
        <v>208</v>
      </c>
      <c r="H1316" s="181"/>
      <c r="I1316" s="180"/>
      <c r="J1316" s="185"/>
      <c r="K1316" s="182" t="s">
        <v>5807</v>
      </c>
      <c r="L1316" s="189"/>
      <c r="R1316" s="157"/>
      <c r="S1316" s="157"/>
    </row>
    <row r="1317">
      <c r="A1317" s="179">
        <f t="shared" si="4"/>
        <v>1314</v>
      </c>
      <c r="B1317" s="181"/>
      <c r="C1317" s="180" t="s">
        <v>208</v>
      </c>
      <c r="D1317" s="180" t="s">
        <v>243</v>
      </c>
      <c r="E1317" s="180" t="s">
        <v>208</v>
      </c>
      <c r="F1317" s="180" t="s">
        <v>243</v>
      </c>
      <c r="G1317" s="180" t="s">
        <v>208</v>
      </c>
      <c r="H1317" s="181"/>
      <c r="I1317" s="180"/>
      <c r="J1317" s="185"/>
      <c r="K1317" s="182" t="s">
        <v>5807</v>
      </c>
      <c r="L1317" s="189"/>
      <c r="R1317" s="157"/>
      <c r="S1317" s="157"/>
    </row>
    <row r="1318">
      <c r="A1318" s="179">
        <f t="shared" si="4"/>
        <v>1315</v>
      </c>
      <c r="B1318" s="181"/>
      <c r="C1318" s="180" t="s">
        <v>208</v>
      </c>
      <c r="D1318" s="180" t="s">
        <v>208</v>
      </c>
      <c r="E1318" s="180" t="s">
        <v>208</v>
      </c>
      <c r="F1318" s="180" t="s">
        <v>208</v>
      </c>
      <c r="G1318" s="180" t="s">
        <v>208</v>
      </c>
      <c r="H1318" s="181"/>
      <c r="I1318" s="180"/>
      <c r="J1318" s="185"/>
      <c r="K1318" s="182" t="s">
        <v>5807</v>
      </c>
      <c r="L1318" s="189"/>
      <c r="R1318" s="157"/>
      <c r="S1318" s="157"/>
    </row>
    <row r="1319">
      <c r="A1319" s="179">
        <f t="shared" si="4"/>
        <v>1316</v>
      </c>
      <c r="B1319" s="181"/>
      <c r="C1319" s="181"/>
      <c r="D1319" s="180" t="s">
        <v>208</v>
      </c>
      <c r="E1319" s="181"/>
      <c r="F1319" s="180" t="s">
        <v>208</v>
      </c>
      <c r="G1319" s="181"/>
      <c r="H1319" s="180" t="s">
        <v>208</v>
      </c>
      <c r="I1319" s="180"/>
      <c r="J1319" s="185"/>
      <c r="K1319" s="182" t="s">
        <v>5807</v>
      </c>
      <c r="L1319" s="189"/>
      <c r="R1319" s="157"/>
      <c r="S1319" s="157"/>
    </row>
    <row r="1320">
      <c r="A1320" s="179">
        <f t="shared" si="4"/>
        <v>1317</v>
      </c>
      <c r="B1320" s="181"/>
      <c r="C1320" s="180" t="s">
        <v>208</v>
      </c>
      <c r="D1320" s="180" t="s">
        <v>208</v>
      </c>
      <c r="E1320" s="181"/>
      <c r="F1320" s="180" t="s">
        <v>208</v>
      </c>
      <c r="G1320" s="180" t="s">
        <v>208</v>
      </c>
      <c r="H1320" s="181"/>
      <c r="I1320" s="180"/>
      <c r="J1320" s="185"/>
      <c r="K1320" s="182" t="s">
        <v>5807</v>
      </c>
      <c r="L1320" s="189"/>
      <c r="R1320" s="157"/>
      <c r="S1320" s="157"/>
    </row>
    <row r="1321">
      <c r="A1321" s="179">
        <f t="shared" si="4"/>
        <v>1318</v>
      </c>
      <c r="B1321" s="181"/>
      <c r="C1321" s="180" t="s">
        <v>208</v>
      </c>
      <c r="D1321" s="180" t="s">
        <v>208</v>
      </c>
      <c r="E1321" s="181"/>
      <c r="F1321" s="180" t="s">
        <v>208</v>
      </c>
      <c r="G1321" s="180" t="s">
        <v>208</v>
      </c>
      <c r="H1321" s="181"/>
      <c r="I1321" s="180"/>
      <c r="J1321" s="185"/>
      <c r="K1321" s="182" t="s">
        <v>5807</v>
      </c>
      <c r="L1321" s="189"/>
      <c r="R1321" s="157"/>
      <c r="S1321" s="157"/>
    </row>
    <row r="1322">
      <c r="A1322" s="179">
        <f t="shared" si="4"/>
        <v>1319</v>
      </c>
      <c r="B1322" s="181"/>
      <c r="C1322" s="180" t="s">
        <v>208</v>
      </c>
      <c r="D1322" s="180" t="s">
        <v>208</v>
      </c>
      <c r="E1322" s="181"/>
      <c r="F1322" s="180" t="s">
        <v>208</v>
      </c>
      <c r="G1322" s="180" t="s">
        <v>208</v>
      </c>
      <c r="H1322" s="181"/>
      <c r="I1322" s="180"/>
      <c r="J1322" s="185"/>
      <c r="K1322" s="182" t="s">
        <v>5807</v>
      </c>
      <c r="L1322" s="189"/>
      <c r="R1322" s="157"/>
      <c r="S1322" s="157"/>
    </row>
    <row r="1323">
      <c r="A1323" s="179">
        <f t="shared" si="4"/>
        <v>1320</v>
      </c>
      <c r="B1323" s="181"/>
      <c r="C1323" s="181"/>
      <c r="D1323" s="180" t="s">
        <v>208</v>
      </c>
      <c r="E1323" s="181"/>
      <c r="F1323" s="180" t="s">
        <v>208</v>
      </c>
      <c r="G1323" s="181"/>
      <c r="H1323" s="180" t="s">
        <v>208</v>
      </c>
      <c r="I1323" s="180"/>
      <c r="J1323" s="185"/>
      <c r="K1323" s="182" t="s">
        <v>5807</v>
      </c>
      <c r="L1323" s="189"/>
      <c r="R1323" s="157"/>
      <c r="S1323" s="157"/>
    </row>
    <row r="1324">
      <c r="A1324" s="179">
        <f t="shared" si="4"/>
        <v>1321</v>
      </c>
      <c r="B1324" s="181"/>
      <c r="C1324" s="180" t="s">
        <v>208</v>
      </c>
      <c r="D1324" s="180" t="s">
        <v>208</v>
      </c>
      <c r="E1324" s="181"/>
      <c r="F1324" s="180" t="s">
        <v>208</v>
      </c>
      <c r="G1324" s="180" t="s">
        <v>208</v>
      </c>
      <c r="H1324" s="181"/>
      <c r="I1324" s="180"/>
      <c r="J1324" s="185"/>
      <c r="K1324" s="182" t="s">
        <v>5807</v>
      </c>
      <c r="L1324" s="189"/>
      <c r="R1324" s="157"/>
      <c r="S1324" s="157"/>
    </row>
    <row r="1325">
      <c r="A1325" s="179">
        <f t="shared" si="4"/>
        <v>1322</v>
      </c>
      <c r="B1325" s="181"/>
      <c r="C1325" s="180" t="s">
        <v>208</v>
      </c>
      <c r="D1325" s="180" t="s">
        <v>208</v>
      </c>
      <c r="E1325" s="180" t="s">
        <v>208</v>
      </c>
      <c r="F1325" s="180" t="s">
        <v>208</v>
      </c>
      <c r="G1325" s="180" t="s">
        <v>208</v>
      </c>
      <c r="H1325" s="181"/>
      <c r="I1325" s="180"/>
      <c r="J1325" s="185"/>
      <c r="K1325" s="182" t="s">
        <v>5807</v>
      </c>
      <c r="L1325" s="189"/>
      <c r="R1325" s="157"/>
      <c r="S1325" s="157"/>
    </row>
    <row r="1326">
      <c r="A1326" s="179">
        <f t="shared" si="4"/>
        <v>1323</v>
      </c>
      <c r="B1326" s="181"/>
      <c r="C1326" s="180" t="s">
        <v>208</v>
      </c>
      <c r="D1326" s="180" t="s">
        <v>208</v>
      </c>
      <c r="E1326" s="180" t="s">
        <v>208</v>
      </c>
      <c r="F1326" s="180" t="s">
        <v>208</v>
      </c>
      <c r="G1326" s="180" t="s">
        <v>208</v>
      </c>
      <c r="H1326" s="181"/>
      <c r="I1326" s="180"/>
      <c r="J1326" s="185"/>
      <c r="K1326" s="182" t="s">
        <v>5807</v>
      </c>
      <c r="L1326" s="189"/>
      <c r="R1326" s="157"/>
      <c r="S1326" s="157"/>
    </row>
    <row r="1327">
      <c r="A1327" s="179">
        <f t="shared" si="4"/>
        <v>1324</v>
      </c>
      <c r="B1327" s="181"/>
      <c r="C1327" s="181"/>
      <c r="D1327" s="180" t="s">
        <v>208</v>
      </c>
      <c r="E1327" s="181"/>
      <c r="F1327" s="180" t="s">
        <v>208</v>
      </c>
      <c r="G1327" s="181"/>
      <c r="H1327" s="180" t="s">
        <v>208</v>
      </c>
      <c r="I1327" s="180"/>
      <c r="J1327" s="185"/>
      <c r="K1327" s="182" t="s">
        <v>5807</v>
      </c>
      <c r="L1327" s="189"/>
      <c r="R1327" s="157"/>
      <c r="S1327" s="157"/>
    </row>
    <row r="1328">
      <c r="A1328" s="179">
        <f t="shared" si="4"/>
        <v>1325</v>
      </c>
      <c r="B1328" s="181"/>
      <c r="C1328" s="180" t="s">
        <v>208</v>
      </c>
      <c r="D1328" s="180" t="s">
        <v>208</v>
      </c>
      <c r="E1328" s="181"/>
      <c r="F1328" s="180" t="s">
        <v>208</v>
      </c>
      <c r="G1328" s="180" t="s">
        <v>208</v>
      </c>
      <c r="H1328" s="181"/>
      <c r="I1328" s="180"/>
      <c r="J1328" s="185"/>
      <c r="K1328" s="182" t="s">
        <v>5807</v>
      </c>
      <c r="L1328" s="189"/>
      <c r="R1328" s="157"/>
      <c r="S1328" s="157"/>
    </row>
    <row r="1329">
      <c r="A1329" s="179">
        <f t="shared" si="4"/>
        <v>1326</v>
      </c>
      <c r="B1329" s="181"/>
      <c r="C1329" s="180" t="s">
        <v>208</v>
      </c>
      <c r="D1329" s="180" t="s">
        <v>208</v>
      </c>
      <c r="E1329" s="180" t="s">
        <v>208</v>
      </c>
      <c r="F1329" s="180" t="s">
        <v>208</v>
      </c>
      <c r="G1329" s="180" t="s">
        <v>208</v>
      </c>
      <c r="H1329" s="181"/>
      <c r="I1329" s="180"/>
      <c r="J1329" s="185"/>
      <c r="K1329" s="182" t="s">
        <v>5807</v>
      </c>
      <c r="L1329" s="189"/>
      <c r="R1329" s="157"/>
      <c r="S1329" s="157"/>
    </row>
    <row r="1330">
      <c r="A1330" s="179">
        <f t="shared" si="4"/>
        <v>1327</v>
      </c>
      <c r="B1330" s="181"/>
      <c r="C1330" s="180" t="s">
        <v>208</v>
      </c>
      <c r="D1330" s="180" t="s">
        <v>208</v>
      </c>
      <c r="E1330" s="181"/>
      <c r="F1330" s="180" t="s">
        <v>208</v>
      </c>
      <c r="G1330" s="180" t="s">
        <v>208</v>
      </c>
      <c r="H1330" s="181"/>
      <c r="I1330" s="180"/>
      <c r="J1330" s="185"/>
      <c r="K1330" s="182" t="s">
        <v>5807</v>
      </c>
      <c r="L1330" s="189"/>
      <c r="R1330" s="157"/>
      <c r="S1330" s="157"/>
    </row>
    <row r="1331">
      <c r="A1331" s="179">
        <f t="shared" si="4"/>
        <v>1328</v>
      </c>
      <c r="B1331" s="181"/>
      <c r="C1331" s="180" t="s">
        <v>208</v>
      </c>
      <c r="D1331" s="180" t="s">
        <v>208</v>
      </c>
      <c r="E1331" s="181"/>
      <c r="F1331" s="180" t="s">
        <v>208</v>
      </c>
      <c r="G1331" s="180" t="s">
        <v>208</v>
      </c>
      <c r="H1331" s="181"/>
      <c r="I1331" s="180"/>
      <c r="J1331" s="185"/>
      <c r="K1331" s="182" t="s">
        <v>5807</v>
      </c>
      <c r="L1331" s="189"/>
      <c r="R1331" s="157"/>
      <c r="S1331" s="157"/>
    </row>
    <row r="1332">
      <c r="A1332" s="179">
        <f t="shared" si="4"/>
        <v>1329</v>
      </c>
      <c r="B1332" s="181"/>
      <c r="C1332" s="181"/>
      <c r="D1332" s="180" t="s">
        <v>208</v>
      </c>
      <c r="E1332" s="181"/>
      <c r="F1332" s="180" t="s">
        <v>208</v>
      </c>
      <c r="G1332" s="181"/>
      <c r="H1332" s="180" t="s">
        <v>208</v>
      </c>
      <c r="I1332" s="180"/>
      <c r="J1332" s="185"/>
      <c r="K1332" s="182" t="s">
        <v>5807</v>
      </c>
      <c r="L1332" s="189"/>
      <c r="R1332" s="157"/>
      <c r="S1332" s="157"/>
    </row>
    <row r="1333">
      <c r="A1333" s="179">
        <f t="shared" si="4"/>
        <v>1330</v>
      </c>
      <c r="B1333" s="181"/>
      <c r="C1333" s="181"/>
      <c r="D1333" s="180" t="s">
        <v>208</v>
      </c>
      <c r="E1333" s="180" t="s">
        <v>208</v>
      </c>
      <c r="F1333" s="180" t="s">
        <v>208</v>
      </c>
      <c r="G1333" s="181"/>
      <c r="H1333" s="180" t="s">
        <v>208</v>
      </c>
      <c r="I1333" s="180"/>
      <c r="J1333" s="185"/>
      <c r="K1333" s="182" t="s">
        <v>5807</v>
      </c>
      <c r="L1333" s="189"/>
      <c r="R1333" s="157"/>
      <c r="S1333" s="157"/>
    </row>
    <row r="1334">
      <c r="A1334" s="179">
        <f t="shared" si="4"/>
        <v>1331</v>
      </c>
      <c r="B1334" s="181"/>
      <c r="C1334" s="180" t="s">
        <v>208</v>
      </c>
      <c r="D1334" s="180" t="s">
        <v>208</v>
      </c>
      <c r="E1334" s="180" t="s">
        <v>208</v>
      </c>
      <c r="F1334" s="180" t="s">
        <v>208</v>
      </c>
      <c r="G1334" s="180" t="s">
        <v>208</v>
      </c>
      <c r="H1334" s="181"/>
      <c r="I1334" s="180"/>
      <c r="J1334" s="185"/>
      <c r="K1334" s="182" t="s">
        <v>5807</v>
      </c>
      <c r="L1334" s="189"/>
      <c r="R1334" s="157"/>
      <c r="S1334" s="157"/>
    </row>
    <row r="1335">
      <c r="A1335" s="179">
        <f t="shared" si="4"/>
        <v>1332</v>
      </c>
      <c r="B1335" s="181"/>
      <c r="C1335" s="181"/>
      <c r="D1335" s="180" t="s">
        <v>208</v>
      </c>
      <c r="E1335" s="180"/>
      <c r="F1335" s="180" t="s">
        <v>208</v>
      </c>
      <c r="G1335" s="181"/>
      <c r="H1335" s="180" t="s">
        <v>208</v>
      </c>
      <c r="I1335" s="180"/>
      <c r="J1335" s="185"/>
      <c r="K1335" s="182" t="s">
        <v>5807</v>
      </c>
      <c r="L1335" s="189"/>
      <c r="R1335" s="157"/>
      <c r="S1335" s="157"/>
    </row>
    <row r="1336">
      <c r="A1336" s="179">
        <f t="shared" si="4"/>
        <v>1333</v>
      </c>
      <c r="B1336" s="181"/>
      <c r="C1336" s="180" t="s">
        <v>208</v>
      </c>
      <c r="D1336" s="180" t="s">
        <v>208</v>
      </c>
      <c r="E1336" s="180" t="s">
        <v>208</v>
      </c>
      <c r="F1336" s="180" t="s">
        <v>208</v>
      </c>
      <c r="G1336" s="180" t="s">
        <v>208</v>
      </c>
      <c r="H1336" s="181"/>
      <c r="I1336" s="180"/>
      <c r="J1336" s="185"/>
      <c r="K1336" s="182" t="s">
        <v>5807</v>
      </c>
      <c r="L1336" s="189"/>
      <c r="R1336" s="157"/>
      <c r="S1336" s="157"/>
    </row>
    <row r="1337">
      <c r="A1337" s="179">
        <f t="shared" si="4"/>
        <v>1334</v>
      </c>
      <c r="B1337" s="181"/>
      <c r="C1337" s="180" t="s">
        <v>208</v>
      </c>
      <c r="D1337" s="180" t="s">
        <v>208</v>
      </c>
      <c r="E1337" s="180" t="s">
        <v>208</v>
      </c>
      <c r="F1337" s="180" t="s">
        <v>208</v>
      </c>
      <c r="G1337" s="180" t="s">
        <v>208</v>
      </c>
      <c r="H1337" s="181"/>
      <c r="I1337" s="180"/>
      <c r="J1337" s="185"/>
      <c r="K1337" s="182" t="s">
        <v>5807</v>
      </c>
      <c r="L1337" s="189"/>
      <c r="R1337" s="157"/>
      <c r="S1337" s="157"/>
    </row>
    <row r="1338">
      <c r="A1338" s="179">
        <f t="shared" si="4"/>
        <v>1335</v>
      </c>
      <c r="B1338" s="181"/>
      <c r="C1338" s="181"/>
      <c r="D1338" s="181"/>
      <c r="E1338" s="181"/>
      <c r="F1338" s="181"/>
      <c r="G1338" s="181"/>
      <c r="H1338" s="181"/>
      <c r="I1338" s="180"/>
      <c r="J1338" s="185" t="s">
        <v>242</v>
      </c>
      <c r="K1338" s="182" t="s">
        <v>5807</v>
      </c>
      <c r="L1338" s="189"/>
      <c r="R1338" s="157"/>
      <c r="S1338" s="157"/>
    </row>
    <row r="1339">
      <c r="A1339" s="179">
        <f t="shared" si="4"/>
        <v>1336</v>
      </c>
      <c r="B1339" s="181"/>
      <c r="C1339" s="181"/>
      <c r="D1339" s="181"/>
      <c r="E1339" s="181"/>
      <c r="F1339" s="181"/>
      <c r="G1339" s="181"/>
      <c r="H1339" s="181"/>
      <c r="I1339" s="180"/>
      <c r="J1339" s="185" t="s">
        <v>242</v>
      </c>
      <c r="K1339" s="182" t="s">
        <v>5807</v>
      </c>
      <c r="L1339" s="189"/>
      <c r="R1339" s="157"/>
      <c r="S1339" s="157"/>
    </row>
    <row r="1340">
      <c r="A1340" s="179">
        <f t="shared" si="4"/>
        <v>1337</v>
      </c>
      <c r="B1340" s="181"/>
      <c r="C1340" s="181"/>
      <c r="D1340" s="181"/>
      <c r="E1340" s="181"/>
      <c r="F1340" s="181"/>
      <c r="G1340" s="181"/>
      <c r="H1340" s="181"/>
      <c r="I1340" s="180"/>
      <c r="J1340" s="185" t="s">
        <v>242</v>
      </c>
      <c r="K1340" s="182" t="s">
        <v>5807</v>
      </c>
      <c r="L1340" s="189"/>
      <c r="R1340" s="157"/>
      <c r="S1340" s="157"/>
    </row>
    <row r="1341">
      <c r="A1341" s="179">
        <f t="shared" si="4"/>
        <v>1338</v>
      </c>
      <c r="B1341" s="181"/>
      <c r="C1341" s="181"/>
      <c r="D1341" s="181"/>
      <c r="E1341" s="181"/>
      <c r="F1341" s="181"/>
      <c r="G1341" s="181"/>
      <c r="H1341" s="181"/>
      <c r="I1341" s="180"/>
      <c r="J1341" s="185" t="s">
        <v>242</v>
      </c>
      <c r="K1341" s="182" t="s">
        <v>5807</v>
      </c>
      <c r="L1341" s="189"/>
      <c r="R1341" s="157"/>
      <c r="S1341" s="157"/>
    </row>
    <row r="1342">
      <c r="A1342" s="179">
        <f t="shared" si="4"/>
        <v>1339</v>
      </c>
      <c r="B1342" s="181"/>
      <c r="C1342" s="181"/>
      <c r="D1342" s="181"/>
      <c r="E1342" s="181"/>
      <c r="F1342" s="181"/>
      <c r="G1342" s="181"/>
      <c r="H1342" s="181"/>
      <c r="I1342" s="180"/>
      <c r="J1342" s="185" t="s">
        <v>242</v>
      </c>
      <c r="K1342" s="182" t="s">
        <v>5807</v>
      </c>
      <c r="L1342" s="189"/>
      <c r="R1342" s="157"/>
      <c r="S1342" s="157"/>
    </row>
    <row r="1343">
      <c r="A1343" s="179">
        <f t="shared" si="4"/>
        <v>1340</v>
      </c>
      <c r="B1343" s="181"/>
      <c r="C1343" s="181"/>
      <c r="D1343" s="181"/>
      <c r="E1343" s="181"/>
      <c r="F1343" s="181"/>
      <c r="G1343" s="181"/>
      <c r="H1343" s="181"/>
      <c r="I1343" s="180"/>
      <c r="J1343" s="185" t="s">
        <v>242</v>
      </c>
      <c r="K1343" s="182" t="s">
        <v>5807</v>
      </c>
      <c r="L1343" s="189"/>
      <c r="R1343" s="157"/>
      <c r="S1343" s="157"/>
    </row>
    <row r="1344">
      <c r="A1344" s="179">
        <f t="shared" si="4"/>
        <v>1341</v>
      </c>
      <c r="B1344" s="181"/>
      <c r="C1344" s="181"/>
      <c r="D1344" s="181"/>
      <c r="E1344" s="181"/>
      <c r="F1344" s="181"/>
      <c r="G1344" s="181"/>
      <c r="H1344" s="181"/>
      <c r="I1344" s="180"/>
      <c r="J1344" s="185" t="s">
        <v>242</v>
      </c>
      <c r="K1344" s="182" t="s">
        <v>5807</v>
      </c>
      <c r="L1344" s="189"/>
      <c r="R1344" s="157"/>
      <c r="S1344" s="157"/>
    </row>
    <row r="1345">
      <c r="A1345" s="179">
        <f t="shared" si="4"/>
        <v>1342</v>
      </c>
      <c r="B1345" s="181"/>
      <c r="C1345" s="181"/>
      <c r="D1345" s="181"/>
      <c r="E1345" s="181"/>
      <c r="F1345" s="181"/>
      <c r="G1345" s="181"/>
      <c r="H1345" s="181"/>
      <c r="I1345" s="180"/>
      <c r="J1345" s="185" t="s">
        <v>242</v>
      </c>
      <c r="K1345" s="182" t="s">
        <v>5807</v>
      </c>
      <c r="L1345" s="189"/>
      <c r="R1345" s="157"/>
      <c r="S1345" s="157"/>
    </row>
    <row r="1346">
      <c r="A1346" s="179">
        <f t="shared" si="4"/>
        <v>1343</v>
      </c>
      <c r="B1346" s="181"/>
      <c r="C1346" s="181"/>
      <c r="D1346" s="181"/>
      <c r="E1346" s="181"/>
      <c r="F1346" s="181"/>
      <c r="G1346" s="181"/>
      <c r="H1346" s="181"/>
      <c r="I1346" s="180"/>
      <c r="J1346" s="185" t="s">
        <v>242</v>
      </c>
      <c r="K1346" s="182" t="s">
        <v>5807</v>
      </c>
      <c r="L1346" s="189"/>
      <c r="R1346" s="157"/>
      <c r="S1346" s="157"/>
    </row>
    <row r="1347">
      <c r="A1347" s="179">
        <f t="shared" si="4"/>
        <v>1344</v>
      </c>
      <c r="B1347" s="181"/>
      <c r="C1347" s="181"/>
      <c r="D1347" s="181"/>
      <c r="E1347" s="181"/>
      <c r="F1347" s="181"/>
      <c r="G1347" s="181"/>
      <c r="H1347" s="181"/>
      <c r="I1347" s="180"/>
      <c r="J1347" s="185" t="s">
        <v>242</v>
      </c>
      <c r="K1347" s="182" t="s">
        <v>5807</v>
      </c>
      <c r="L1347" s="189"/>
      <c r="R1347" s="157"/>
      <c r="S1347" s="157"/>
    </row>
    <row r="1348">
      <c r="A1348" s="179">
        <f t="shared" si="4"/>
        <v>1345</v>
      </c>
      <c r="B1348" s="181"/>
      <c r="C1348" s="181"/>
      <c r="D1348" s="181"/>
      <c r="E1348" s="181"/>
      <c r="F1348" s="181"/>
      <c r="G1348" s="181"/>
      <c r="H1348" s="181"/>
      <c r="I1348" s="180"/>
      <c r="J1348" s="185" t="s">
        <v>242</v>
      </c>
      <c r="K1348" s="182" t="s">
        <v>5807</v>
      </c>
      <c r="L1348" s="189"/>
      <c r="R1348" s="157"/>
      <c r="S1348" s="157"/>
    </row>
    <row r="1349">
      <c r="A1349" s="179">
        <f t="shared" si="4"/>
        <v>1346</v>
      </c>
      <c r="B1349" s="181"/>
      <c r="C1349" s="181"/>
      <c r="D1349" s="181"/>
      <c r="E1349" s="181"/>
      <c r="F1349" s="181"/>
      <c r="G1349" s="181"/>
      <c r="H1349" s="181"/>
      <c r="I1349" s="180"/>
      <c r="J1349" s="185" t="s">
        <v>242</v>
      </c>
      <c r="K1349" s="223"/>
      <c r="L1349" s="189"/>
      <c r="R1349" s="157"/>
      <c r="S1349" s="157"/>
    </row>
    <row r="1350">
      <c r="A1350" s="185" t="s">
        <v>245</v>
      </c>
      <c r="B1350" s="181"/>
      <c r="C1350" s="181"/>
      <c r="D1350" s="181"/>
      <c r="E1350" s="181"/>
      <c r="F1350" s="181"/>
      <c r="G1350" s="181"/>
      <c r="H1350" s="181"/>
      <c r="I1350" s="180" t="s">
        <v>208</v>
      </c>
      <c r="J1350" s="185"/>
      <c r="K1350" s="223" t="s">
        <v>34</v>
      </c>
      <c r="L1350" s="189" t="s">
        <v>33</v>
      </c>
      <c r="R1350" s="157"/>
      <c r="S1350" s="157"/>
    </row>
    <row r="1351">
      <c r="A1351" s="185" t="s">
        <v>245</v>
      </c>
      <c r="B1351" s="181"/>
      <c r="C1351" s="181"/>
      <c r="D1351" s="181"/>
      <c r="E1351" s="181"/>
      <c r="F1351" s="181"/>
      <c r="G1351" s="181"/>
      <c r="H1351" s="181"/>
      <c r="I1351" s="180" t="s">
        <v>208</v>
      </c>
      <c r="J1351" s="185"/>
      <c r="K1351" s="223" t="s">
        <v>49</v>
      </c>
      <c r="L1351" s="189" t="s">
        <v>48</v>
      </c>
      <c r="R1351" s="163"/>
      <c r="S1351" s="163"/>
    </row>
    <row r="1352">
      <c r="A1352" s="185" t="s">
        <v>245</v>
      </c>
      <c r="B1352" s="181"/>
      <c r="C1352" s="181"/>
      <c r="D1352" s="181"/>
      <c r="E1352" s="181"/>
      <c r="F1352" s="181"/>
      <c r="G1352" s="181"/>
      <c r="H1352" s="181"/>
      <c r="I1352" s="180"/>
      <c r="J1352" s="185"/>
      <c r="K1352" s="223" t="s">
        <v>246</v>
      </c>
      <c r="L1352" s="189" t="s">
        <v>247</v>
      </c>
      <c r="R1352" s="163"/>
      <c r="S1352" s="163"/>
    </row>
    <row r="1353">
      <c r="A1353" s="185" t="s">
        <v>245</v>
      </c>
      <c r="B1353" s="181"/>
      <c r="C1353" s="180"/>
      <c r="D1353" s="180" t="s">
        <v>208</v>
      </c>
      <c r="E1353" s="181"/>
      <c r="F1353" s="181"/>
      <c r="G1353" s="181"/>
      <c r="H1353" s="181"/>
      <c r="I1353" s="180" t="s">
        <v>208</v>
      </c>
      <c r="J1353" s="185"/>
      <c r="K1353" s="223" t="s">
        <v>54</v>
      </c>
      <c r="L1353" s="189" t="s">
        <v>53</v>
      </c>
      <c r="R1353" s="163"/>
      <c r="S1353" s="163"/>
    </row>
    <row r="1354">
      <c r="A1354" s="185" t="s">
        <v>245</v>
      </c>
      <c r="B1354" s="181"/>
      <c r="C1354" s="180"/>
      <c r="D1354" s="180" t="s">
        <v>208</v>
      </c>
      <c r="E1354" s="181"/>
      <c r="F1354" s="181"/>
      <c r="G1354" s="181"/>
      <c r="H1354" s="181"/>
      <c r="I1354" s="180" t="s">
        <v>208</v>
      </c>
      <c r="J1354" s="185"/>
      <c r="K1354" s="223" t="s">
        <v>62</v>
      </c>
      <c r="L1354" s="189" t="s">
        <v>61</v>
      </c>
      <c r="R1354" s="163"/>
      <c r="S1354" s="163"/>
    </row>
    <row r="1355">
      <c r="A1355" s="185" t="s">
        <v>245</v>
      </c>
      <c r="B1355" s="181"/>
      <c r="C1355" s="180"/>
      <c r="D1355" s="180" t="s">
        <v>208</v>
      </c>
      <c r="E1355" s="181"/>
      <c r="F1355" s="181"/>
      <c r="G1355" s="181"/>
      <c r="H1355" s="181"/>
      <c r="I1355" s="180" t="s">
        <v>208</v>
      </c>
      <c r="J1355" s="185"/>
      <c r="K1355" s="223" t="s">
        <v>64</v>
      </c>
      <c r="L1355" s="189" t="s">
        <v>61</v>
      </c>
      <c r="R1355" s="163"/>
      <c r="S1355" s="163"/>
    </row>
    <row r="1356">
      <c r="A1356" s="185" t="s">
        <v>245</v>
      </c>
      <c r="B1356" s="181"/>
      <c r="C1356" s="180"/>
      <c r="D1356" s="180" t="s">
        <v>208</v>
      </c>
      <c r="E1356" s="181"/>
      <c r="F1356" s="181"/>
      <c r="G1356" s="181"/>
      <c r="H1356" s="181"/>
      <c r="I1356" s="180" t="s">
        <v>208</v>
      </c>
      <c r="J1356" s="185"/>
      <c r="K1356" s="223" t="s">
        <v>72</v>
      </c>
      <c r="L1356" s="189" t="s">
        <v>61</v>
      </c>
      <c r="R1356" s="163"/>
      <c r="S1356" s="163"/>
    </row>
    <row r="1357">
      <c r="A1357" s="185" t="s">
        <v>245</v>
      </c>
      <c r="B1357" s="180"/>
      <c r="C1357" s="180" t="s">
        <v>208</v>
      </c>
      <c r="D1357" s="180" t="s">
        <v>208</v>
      </c>
      <c r="E1357" s="180"/>
      <c r="F1357" s="180" t="s">
        <v>208</v>
      </c>
      <c r="G1357" s="180" t="s">
        <v>208</v>
      </c>
      <c r="H1357" s="181"/>
      <c r="I1357" s="180" t="s">
        <v>208</v>
      </c>
      <c r="J1357" s="185"/>
      <c r="K1357" s="223" t="s">
        <v>99</v>
      </c>
      <c r="L1357" s="189" t="s">
        <v>98</v>
      </c>
      <c r="R1357" s="163"/>
      <c r="S1357" s="163"/>
    </row>
    <row r="1358">
      <c r="A1358" s="185" t="s">
        <v>245</v>
      </c>
      <c r="B1358" s="180"/>
      <c r="C1358" s="180" t="s">
        <v>208</v>
      </c>
      <c r="D1358" s="180" t="s">
        <v>208</v>
      </c>
      <c r="E1358" s="180"/>
      <c r="F1358" s="180" t="s">
        <v>208</v>
      </c>
      <c r="G1358" s="180" t="s">
        <v>208</v>
      </c>
      <c r="H1358" s="181"/>
      <c r="I1358" s="180"/>
      <c r="J1358" s="185"/>
      <c r="K1358" s="223" t="s">
        <v>107</v>
      </c>
      <c r="L1358" s="189" t="s">
        <v>104</v>
      </c>
      <c r="R1358" s="163"/>
      <c r="S1358" s="163"/>
    </row>
    <row r="1359">
      <c r="A1359" s="185" t="s">
        <v>245</v>
      </c>
      <c r="B1359" s="181"/>
      <c r="C1359" s="180"/>
      <c r="D1359" s="180" t="s">
        <v>208</v>
      </c>
      <c r="E1359" s="181"/>
      <c r="F1359" s="181"/>
      <c r="G1359" s="181"/>
      <c r="H1359" s="181"/>
      <c r="I1359" s="180" t="s">
        <v>208</v>
      </c>
      <c r="J1359" s="185"/>
      <c r="K1359" s="223" t="s">
        <v>116</v>
      </c>
      <c r="L1359" s="189" t="s">
        <v>115</v>
      </c>
      <c r="R1359" s="163"/>
      <c r="S1359" s="163"/>
    </row>
    <row r="1360">
      <c r="A1360" s="185" t="s">
        <v>245</v>
      </c>
      <c r="B1360" s="181"/>
      <c r="C1360" s="180"/>
      <c r="D1360" s="180" t="s">
        <v>208</v>
      </c>
      <c r="E1360" s="181"/>
      <c r="F1360" s="181"/>
      <c r="G1360" s="181"/>
      <c r="H1360" s="181"/>
      <c r="I1360" s="180" t="s">
        <v>208</v>
      </c>
      <c r="J1360" s="185"/>
      <c r="K1360" s="223" t="s">
        <v>119</v>
      </c>
      <c r="L1360" s="189" t="s">
        <v>118</v>
      </c>
      <c r="R1360" s="163"/>
      <c r="S1360" s="163"/>
    </row>
    <row r="1361">
      <c r="A1361" s="185" t="s">
        <v>245</v>
      </c>
      <c r="B1361" s="181"/>
      <c r="C1361" s="180"/>
      <c r="D1361" s="180" t="s">
        <v>208</v>
      </c>
      <c r="E1361" s="181"/>
      <c r="F1361" s="181"/>
      <c r="G1361" s="181"/>
      <c r="H1361" s="181"/>
      <c r="I1361" s="180" t="s">
        <v>208</v>
      </c>
      <c r="J1361" s="185"/>
      <c r="K1361" s="223" t="s">
        <v>122</v>
      </c>
      <c r="L1361" s="189" t="s">
        <v>118</v>
      </c>
      <c r="R1361" s="173"/>
      <c r="S1361" s="173"/>
    </row>
    <row r="1362">
      <c r="A1362" s="185" t="s">
        <v>245</v>
      </c>
      <c r="B1362" s="181"/>
      <c r="C1362" s="180"/>
      <c r="D1362" s="180" t="s">
        <v>208</v>
      </c>
      <c r="E1362" s="181"/>
      <c r="F1362" s="181"/>
      <c r="G1362" s="181"/>
      <c r="H1362" s="181"/>
      <c r="I1362" s="180" t="s">
        <v>208</v>
      </c>
      <c r="J1362" s="185"/>
      <c r="K1362" s="223" t="s">
        <v>125</v>
      </c>
      <c r="L1362" s="189" t="s">
        <v>124</v>
      </c>
      <c r="R1362" s="163"/>
      <c r="S1362" s="163"/>
    </row>
    <row r="1363">
      <c r="A1363" s="185" t="s">
        <v>245</v>
      </c>
      <c r="B1363" s="180"/>
      <c r="C1363" s="180"/>
      <c r="D1363" s="180"/>
      <c r="E1363" s="180"/>
      <c r="F1363" s="180"/>
      <c r="G1363" s="180"/>
      <c r="H1363" s="181"/>
      <c r="I1363" s="181"/>
      <c r="J1363" s="185"/>
      <c r="K1363" s="223" t="s">
        <v>249</v>
      </c>
      <c r="L1363" s="189" t="s">
        <v>124</v>
      </c>
      <c r="R1363" s="163"/>
      <c r="S1363" s="163"/>
    </row>
    <row r="1364">
      <c r="A1364" s="185" t="s">
        <v>245</v>
      </c>
      <c r="B1364" s="181"/>
      <c r="C1364" s="180" t="s">
        <v>208</v>
      </c>
      <c r="D1364" s="180" t="s">
        <v>208</v>
      </c>
      <c r="E1364" s="181"/>
      <c r="F1364" s="180" t="s">
        <v>208</v>
      </c>
      <c r="G1364" s="180" t="s">
        <v>208</v>
      </c>
      <c r="H1364" s="181"/>
      <c r="I1364" s="180"/>
      <c r="J1364" s="185"/>
      <c r="K1364" s="223" t="s">
        <v>248</v>
      </c>
      <c r="L1364" s="189" t="s">
        <v>142</v>
      </c>
      <c r="R1364" s="163"/>
      <c r="S1364" s="163"/>
    </row>
    <row r="1365">
      <c r="A1365" s="185" t="s">
        <v>245</v>
      </c>
      <c r="B1365" s="181"/>
      <c r="C1365" s="180" t="s">
        <v>208</v>
      </c>
      <c r="D1365" s="180" t="s">
        <v>208</v>
      </c>
      <c r="E1365" s="181"/>
      <c r="F1365" s="180" t="s">
        <v>208</v>
      </c>
      <c r="G1365" s="180" t="s">
        <v>208</v>
      </c>
      <c r="H1365" s="181"/>
      <c r="I1365" s="180"/>
      <c r="J1365" s="185"/>
      <c r="K1365" s="223" t="s">
        <v>250</v>
      </c>
      <c r="L1365" s="189" t="s">
        <v>136</v>
      </c>
      <c r="R1365" s="163"/>
      <c r="S1365" s="163"/>
    </row>
    <row r="1366">
      <c r="A1366" s="185" t="s">
        <v>245</v>
      </c>
      <c r="B1366" s="180"/>
      <c r="C1366" s="180" t="s">
        <v>208</v>
      </c>
      <c r="D1366" s="180" t="s">
        <v>208</v>
      </c>
      <c r="E1366" s="180"/>
      <c r="F1366" s="180" t="s">
        <v>208</v>
      </c>
      <c r="G1366" s="180" t="s">
        <v>208</v>
      </c>
      <c r="H1366" s="181"/>
      <c r="I1366" s="181"/>
      <c r="J1366" s="185"/>
      <c r="K1366" s="223" t="s">
        <v>130</v>
      </c>
      <c r="L1366" s="189" t="s">
        <v>129</v>
      </c>
      <c r="R1366" s="163"/>
      <c r="S1366" s="163"/>
    </row>
    <row r="1367">
      <c r="A1367" s="185" t="s">
        <v>245</v>
      </c>
      <c r="B1367" s="180"/>
      <c r="C1367" s="180"/>
      <c r="D1367" s="180" t="s">
        <v>208</v>
      </c>
      <c r="E1367" s="180"/>
      <c r="F1367" s="180"/>
      <c r="G1367" s="180"/>
      <c r="H1367" s="181"/>
      <c r="I1367" s="180" t="s">
        <v>208</v>
      </c>
      <c r="J1367" s="185"/>
      <c r="K1367" s="223" t="s">
        <v>148</v>
      </c>
      <c r="L1367" s="189" t="s">
        <v>144</v>
      </c>
      <c r="R1367" s="163"/>
      <c r="S1367" s="163"/>
    </row>
    <row r="1368">
      <c r="A1368" s="185" t="s">
        <v>245</v>
      </c>
      <c r="B1368" s="181"/>
      <c r="C1368" s="180" t="s">
        <v>208</v>
      </c>
      <c r="D1368" s="180" t="s">
        <v>208</v>
      </c>
      <c r="E1368" s="181"/>
      <c r="F1368" s="180" t="s">
        <v>208</v>
      </c>
      <c r="G1368" s="180" t="s">
        <v>208</v>
      </c>
      <c r="H1368" s="181"/>
      <c r="I1368" s="180"/>
      <c r="J1368" s="185"/>
      <c r="K1368" s="223" t="s">
        <v>251</v>
      </c>
      <c r="L1368" s="189" t="s">
        <v>136</v>
      </c>
      <c r="R1368" s="163"/>
      <c r="S1368" s="163"/>
    </row>
    <row r="1369">
      <c r="A1369" s="185" t="s">
        <v>245</v>
      </c>
      <c r="B1369" s="180"/>
      <c r="C1369" s="180" t="s">
        <v>208</v>
      </c>
      <c r="D1369" s="180" t="s">
        <v>208</v>
      </c>
      <c r="E1369" s="180"/>
      <c r="F1369" s="180" t="s">
        <v>243</v>
      </c>
      <c r="G1369" s="180" t="s">
        <v>208</v>
      </c>
      <c r="H1369" s="181"/>
      <c r="I1369" s="181"/>
      <c r="J1369" s="185"/>
      <c r="K1369" s="223" t="s">
        <v>252</v>
      </c>
      <c r="L1369" s="189" t="s">
        <v>136</v>
      </c>
      <c r="R1369" s="163"/>
      <c r="S1369" s="163"/>
    </row>
    <row r="1370">
      <c r="A1370" s="185" t="s">
        <v>245</v>
      </c>
      <c r="B1370" s="180"/>
      <c r="C1370" s="180" t="s">
        <v>208</v>
      </c>
      <c r="D1370" s="180" t="s">
        <v>208</v>
      </c>
      <c r="E1370" s="181"/>
      <c r="F1370" s="180" t="s">
        <v>208</v>
      </c>
      <c r="G1370" s="180" t="s">
        <v>208</v>
      </c>
      <c r="H1370" s="181"/>
      <c r="I1370" s="180" t="s">
        <v>208</v>
      </c>
      <c r="J1370" s="185"/>
      <c r="K1370" s="223" t="s">
        <v>152</v>
      </c>
      <c r="L1370" s="189" t="s">
        <v>144</v>
      </c>
      <c r="R1370" s="163"/>
      <c r="S1370" s="163"/>
    </row>
    <row r="1371">
      <c r="A1371" s="185" t="s">
        <v>245</v>
      </c>
      <c r="B1371" s="181"/>
      <c r="C1371" s="180"/>
      <c r="D1371" s="180"/>
      <c r="E1371" s="181"/>
      <c r="F1371" s="181"/>
      <c r="G1371" s="181"/>
      <c r="H1371" s="181"/>
      <c r="I1371" s="180"/>
      <c r="J1371" s="185"/>
      <c r="K1371" s="223" t="s">
        <v>167</v>
      </c>
      <c r="L1371" s="189" t="s">
        <v>161</v>
      </c>
      <c r="R1371" s="173"/>
      <c r="S1371" s="173"/>
    </row>
    <row r="1372">
      <c r="A1372" s="185" t="s">
        <v>245</v>
      </c>
      <c r="B1372" s="181"/>
      <c r="C1372" s="181"/>
      <c r="D1372" s="181"/>
      <c r="E1372" s="181"/>
      <c r="F1372" s="181"/>
      <c r="G1372" s="181"/>
      <c r="H1372" s="181"/>
      <c r="I1372" s="181"/>
      <c r="J1372" s="185"/>
      <c r="K1372" s="223" t="s">
        <v>253</v>
      </c>
      <c r="L1372" s="189" t="s">
        <v>161</v>
      </c>
      <c r="R1372" s="157"/>
      <c r="S1372" s="157"/>
    </row>
    <row r="1373">
      <c r="A1373" s="185" t="s">
        <v>245</v>
      </c>
      <c r="B1373" s="181"/>
      <c r="C1373" s="181"/>
      <c r="D1373" s="181"/>
      <c r="E1373" s="181"/>
      <c r="F1373" s="181"/>
      <c r="G1373" s="181"/>
      <c r="H1373" s="181"/>
      <c r="I1373" s="181"/>
      <c r="J1373" s="185"/>
      <c r="K1373" s="223" t="s">
        <v>254</v>
      </c>
      <c r="L1373" s="189" t="s">
        <v>161</v>
      </c>
      <c r="R1373" s="163"/>
      <c r="S1373" s="163"/>
    </row>
    <row r="1374">
      <c r="A1374" s="185" t="s">
        <v>245</v>
      </c>
      <c r="B1374" s="181"/>
      <c r="C1374" s="180"/>
      <c r="D1374" s="180"/>
      <c r="E1374" s="181"/>
      <c r="F1374" s="180"/>
      <c r="G1374" s="180"/>
      <c r="H1374" s="181"/>
      <c r="I1374" s="180"/>
      <c r="J1374" s="185"/>
      <c r="K1374" s="223" t="s">
        <v>162</v>
      </c>
      <c r="L1374" s="189" t="s">
        <v>161</v>
      </c>
      <c r="R1374" s="163"/>
      <c r="S1374" s="163"/>
    </row>
    <row r="1375">
      <c r="A1375" s="185" t="s">
        <v>245</v>
      </c>
      <c r="B1375" s="181"/>
      <c r="C1375" s="180" t="s">
        <v>208</v>
      </c>
      <c r="D1375" s="180" t="s">
        <v>208</v>
      </c>
      <c r="E1375" s="180" t="s">
        <v>208</v>
      </c>
      <c r="F1375" s="180" t="s">
        <v>208</v>
      </c>
      <c r="G1375" s="180" t="s">
        <v>208</v>
      </c>
      <c r="H1375" s="181"/>
      <c r="I1375" s="180"/>
      <c r="J1375" s="185"/>
      <c r="K1375" s="223" t="s">
        <v>255</v>
      </c>
      <c r="L1375" s="189" t="s">
        <v>161</v>
      </c>
      <c r="R1375" s="163"/>
      <c r="S1375" s="163"/>
    </row>
    <row r="1376">
      <c r="A1376" s="185" t="s">
        <v>245</v>
      </c>
      <c r="B1376" s="181"/>
      <c r="C1376" s="181"/>
      <c r="D1376" s="181"/>
      <c r="E1376" s="181"/>
      <c r="F1376" s="181"/>
      <c r="G1376" s="181"/>
      <c r="H1376" s="181"/>
      <c r="I1376" s="181"/>
      <c r="J1376" s="185"/>
      <c r="K1376" s="223" t="s">
        <v>256</v>
      </c>
      <c r="L1376" s="189" t="s">
        <v>161</v>
      </c>
      <c r="R1376" s="163"/>
      <c r="S1376" s="163"/>
    </row>
    <row r="1377">
      <c r="A1377" s="185" t="s">
        <v>245</v>
      </c>
      <c r="B1377" s="181"/>
      <c r="C1377" s="180" t="s">
        <v>208</v>
      </c>
      <c r="D1377" s="180" t="s">
        <v>208</v>
      </c>
      <c r="E1377" s="181"/>
      <c r="F1377" s="180" t="s">
        <v>208</v>
      </c>
      <c r="G1377" s="180" t="s">
        <v>208</v>
      </c>
      <c r="H1377" s="181"/>
      <c r="I1377" s="180"/>
      <c r="J1377" s="185"/>
      <c r="K1377" s="223" t="s">
        <v>257</v>
      </c>
      <c r="L1377" s="189" t="s">
        <v>161</v>
      </c>
      <c r="R1377" s="163"/>
      <c r="S1377" s="163"/>
    </row>
    <row r="1378">
      <c r="A1378" s="185" t="s">
        <v>245</v>
      </c>
      <c r="B1378" s="181"/>
      <c r="C1378" s="180" t="s">
        <v>208</v>
      </c>
      <c r="D1378" s="180" t="s">
        <v>208</v>
      </c>
      <c r="E1378" s="181"/>
      <c r="F1378" s="180" t="s">
        <v>208</v>
      </c>
      <c r="G1378" s="180" t="s">
        <v>208</v>
      </c>
      <c r="H1378" s="181"/>
      <c r="I1378" s="181"/>
      <c r="J1378" s="185"/>
      <c r="K1378" s="223" t="s">
        <v>169</v>
      </c>
      <c r="L1378" s="189" t="s">
        <v>161</v>
      </c>
      <c r="R1378" s="163"/>
      <c r="S1378" s="163"/>
    </row>
    <row r="1379">
      <c r="A1379" s="185" t="s">
        <v>245</v>
      </c>
      <c r="B1379" s="181"/>
      <c r="C1379" s="180" t="s">
        <v>208</v>
      </c>
      <c r="D1379" s="180" t="s">
        <v>208</v>
      </c>
      <c r="E1379" s="181"/>
      <c r="F1379" s="180" t="s">
        <v>208</v>
      </c>
      <c r="G1379" s="180" t="s">
        <v>208</v>
      </c>
      <c r="H1379" s="181"/>
      <c r="I1379" s="180"/>
      <c r="J1379" s="185"/>
      <c r="K1379" s="223" t="s">
        <v>258</v>
      </c>
      <c r="L1379" s="189" t="s">
        <v>136</v>
      </c>
      <c r="R1379" s="163"/>
      <c r="S1379" s="163"/>
    </row>
    <row r="1380">
      <c r="A1380" s="185" t="s">
        <v>245</v>
      </c>
      <c r="B1380" s="180"/>
      <c r="C1380" s="180"/>
      <c r="D1380" s="180" t="s">
        <v>208</v>
      </c>
      <c r="E1380" s="180"/>
      <c r="F1380" s="180"/>
      <c r="G1380" s="180"/>
      <c r="H1380" s="181"/>
      <c r="I1380" s="180" t="s">
        <v>208</v>
      </c>
      <c r="J1380" s="185"/>
      <c r="K1380" s="223" t="s">
        <v>156</v>
      </c>
      <c r="L1380" s="189" t="s">
        <v>144</v>
      </c>
      <c r="R1380" s="163"/>
      <c r="S1380" s="163"/>
    </row>
    <row r="1381">
      <c r="A1381" s="185" t="s">
        <v>245</v>
      </c>
      <c r="B1381" s="181"/>
      <c r="C1381" s="180" t="s">
        <v>208</v>
      </c>
      <c r="D1381" s="180" t="s">
        <v>208</v>
      </c>
      <c r="E1381" s="180"/>
      <c r="F1381" s="180" t="s">
        <v>208</v>
      </c>
      <c r="G1381" s="180" t="s">
        <v>208</v>
      </c>
      <c r="H1381" s="181"/>
      <c r="I1381" s="180"/>
      <c r="J1381" s="185"/>
      <c r="K1381" s="223" t="s">
        <v>170</v>
      </c>
      <c r="L1381" s="189" t="s">
        <v>161</v>
      </c>
      <c r="R1381" s="163"/>
      <c r="S1381" s="163"/>
    </row>
    <row r="1382">
      <c r="A1382" s="185" t="s">
        <v>245</v>
      </c>
      <c r="B1382" s="181"/>
      <c r="C1382" s="180" t="s">
        <v>208</v>
      </c>
      <c r="D1382" s="180" t="s">
        <v>208</v>
      </c>
      <c r="E1382" s="181"/>
      <c r="F1382" s="180" t="s">
        <v>208</v>
      </c>
      <c r="G1382" s="180" t="s">
        <v>208</v>
      </c>
      <c r="H1382" s="181"/>
      <c r="I1382" s="180"/>
      <c r="J1382" s="185"/>
      <c r="K1382" s="223" t="s">
        <v>259</v>
      </c>
      <c r="L1382" s="189" t="s">
        <v>161</v>
      </c>
      <c r="R1382" s="163"/>
      <c r="S1382" s="163"/>
    </row>
    <row r="1383">
      <c r="A1383" s="185" t="s">
        <v>245</v>
      </c>
      <c r="B1383" s="181"/>
      <c r="C1383" s="180"/>
      <c r="D1383" s="180"/>
      <c r="E1383" s="181"/>
      <c r="F1383" s="180"/>
      <c r="G1383" s="180"/>
      <c r="H1383" s="181"/>
      <c r="I1383" s="181"/>
      <c r="J1383" s="185"/>
      <c r="K1383" s="223" t="s">
        <v>171</v>
      </c>
      <c r="L1383" s="189" t="s">
        <v>161</v>
      </c>
      <c r="R1383" s="173"/>
      <c r="S1383" s="173"/>
    </row>
    <row r="1384">
      <c r="A1384" s="185" t="s">
        <v>245</v>
      </c>
      <c r="B1384" s="181"/>
      <c r="C1384" s="180"/>
      <c r="D1384" s="180" t="s">
        <v>208</v>
      </c>
      <c r="E1384" s="180"/>
      <c r="F1384" s="180"/>
      <c r="G1384" s="180"/>
      <c r="H1384" s="180"/>
      <c r="I1384" s="180" t="s">
        <v>208</v>
      </c>
      <c r="J1384" s="185"/>
      <c r="K1384" s="223" t="s">
        <v>166</v>
      </c>
      <c r="L1384" s="189" t="s">
        <v>161</v>
      </c>
      <c r="R1384" s="157"/>
      <c r="S1384" s="157"/>
    </row>
    <row r="1385">
      <c r="A1385" s="185" t="s">
        <v>245</v>
      </c>
      <c r="B1385" s="181"/>
      <c r="C1385" s="180"/>
      <c r="D1385" s="180" t="s">
        <v>208</v>
      </c>
      <c r="E1385" s="181"/>
      <c r="F1385" s="180"/>
      <c r="G1385" s="180"/>
      <c r="H1385" s="181"/>
      <c r="I1385" s="180" t="s">
        <v>208</v>
      </c>
      <c r="J1385" s="185"/>
      <c r="K1385" s="223" t="s">
        <v>172</v>
      </c>
      <c r="L1385" s="189" t="s">
        <v>161</v>
      </c>
      <c r="R1385" s="163"/>
      <c r="S1385" s="163"/>
    </row>
    <row r="1386">
      <c r="A1386" s="185" t="s">
        <v>245</v>
      </c>
      <c r="B1386" s="181"/>
      <c r="C1386" s="180" t="s">
        <v>208</v>
      </c>
      <c r="D1386" s="180" t="s">
        <v>208</v>
      </c>
      <c r="E1386" s="181"/>
      <c r="F1386" s="180" t="s">
        <v>208</v>
      </c>
      <c r="G1386" s="180" t="s">
        <v>208</v>
      </c>
      <c r="H1386" s="181"/>
      <c r="I1386" s="180"/>
      <c r="J1386" s="185"/>
      <c r="K1386" s="223" t="s">
        <v>260</v>
      </c>
      <c r="L1386" s="189" t="s">
        <v>161</v>
      </c>
      <c r="R1386" s="163"/>
      <c r="S1386" s="163"/>
    </row>
    <row r="1387">
      <c r="A1387" s="185" t="s">
        <v>245</v>
      </c>
      <c r="B1387" s="181"/>
      <c r="C1387" s="180" t="s">
        <v>208</v>
      </c>
      <c r="D1387" s="180" t="s">
        <v>208</v>
      </c>
      <c r="E1387" s="180"/>
      <c r="F1387" s="180" t="s">
        <v>208</v>
      </c>
      <c r="G1387" s="180" t="s">
        <v>208</v>
      </c>
      <c r="H1387" s="180"/>
      <c r="I1387" s="181"/>
      <c r="J1387" s="185"/>
      <c r="K1387" s="223" t="s">
        <v>261</v>
      </c>
      <c r="L1387" s="189" t="s">
        <v>262</v>
      </c>
      <c r="R1387" s="163"/>
      <c r="S1387" s="163"/>
    </row>
    <row r="1388">
      <c r="A1388" s="185" t="s">
        <v>245</v>
      </c>
      <c r="B1388" s="180"/>
      <c r="C1388" s="180" t="s">
        <v>208</v>
      </c>
      <c r="D1388" s="180" t="s">
        <v>208</v>
      </c>
      <c r="E1388" s="180"/>
      <c r="F1388" s="180" t="s">
        <v>208</v>
      </c>
      <c r="G1388" s="180" t="s">
        <v>208</v>
      </c>
      <c r="H1388" s="181"/>
      <c r="I1388" s="181"/>
      <c r="J1388" s="185"/>
      <c r="K1388" s="223" t="s">
        <v>263</v>
      </c>
      <c r="L1388" s="189" t="s">
        <v>264</v>
      </c>
      <c r="R1388" s="163"/>
      <c r="S1388" s="163"/>
    </row>
    <row r="1389">
      <c r="A1389" s="185" t="s">
        <v>245</v>
      </c>
      <c r="B1389" s="180"/>
      <c r="C1389" s="180"/>
      <c r="D1389" s="180"/>
      <c r="E1389" s="180"/>
      <c r="F1389" s="180"/>
      <c r="G1389" s="180"/>
      <c r="H1389" s="181"/>
      <c r="I1389" s="181"/>
      <c r="J1389" s="185"/>
      <c r="K1389" s="223" t="s">
        <v>265</v>
      </c>
      <c r="L1389" s="189" t="s">
        <v>161</v>
      </c>
      <c r="R1389" s="163"/>
      <c r="S1389" s="163"/>
    </row>
    <row r="1390">
      <c r="A1390" s="185" t="s">
        <v>245</v>
      </c>
      <c r="B1390" s="181"/>
      <c r="C1390" s="181"/>
      <c r="D1390" s="181"/>
      <c r="E1390" s="181"/>
      <c r="F1390" s="181"/>
      <c r="G1390" s="181"/>
      <c r="H1390" s="181"/>
      <c r="I1390" s="181"/>
      <c r="J1390" s="185"/>
      <c r="K1390" s="223" t="s">
        <v>266</v>
      </c>
      <c r="L1390" s="189" t="s">
        <v>161</v>
      </c>
      <c r="R1390" s="163"/>
      <c r="S1390" s="163"/>
    </row>
    <row r="1391">
      <c r="A1391" s="185" t="s">
        <v>245</v>
      </c>
      <c r="B1391" s="181"/>
      <c r="C1391" s="180" t="s">
        <v>208</v>
      </c>
      <c r="D1391" s="180" t="s">
        <v>208</v>
      </c>
      <c r="E1391" s="181"/>
      <c r="F1391" s="180" t="s">
        <v>208</v>
      </c>
      <c r="G1391" s="180" t="s">
        <v>208</v>
      </c>
      <c r="H1391" s="181"/>
      <c r="I1391" s="181"/>
      <c r="J1391" s="185"/>
      <c r="K1391" s="223" t="s">
        <v>267</v>
      </c>
      <c r="L1391" s="189" t="s">
        <v>136</v>
      </c>
      <c r="R1391" s="163"/>
      <c r="S1391" s="163"/>
    </row>
    <row r="1392">
      <c r="A1392" s="185" t="s">
        <v>245</v>
      </c>
      <c r="B1392" s="180"/>
      <c r="C1392" s="180"/>
      <c r="D1392" s="180"/>
      <c r="E1392" s="180"/>
      <c r="F1392" s="180"/>
      <c r="G1392" s="180"/>
      <c r="H1392" s="181"/>
      <c r="I1392" s="180"/>
      <c r="J1392" s="185"/>
      <c r="K1392" s="223" t="s">
        <v>268</v>
      </c>
      <c r="L1392" s="189" t="s">
        <v>269</v>
      </c>
      <c r="R1392" s="163"/>
      <c r="S1392" s="163"/>
    </row>
    <row r="1393">
      <c r="A1393" s="185" t="s">
        <v>245</v>
      </c>
      <c r="B1393" s="181"/>
      <c r="C1393" s="181"/>
      <c r="D1393" s="181"/>
      <c r="E1393" s="181"/>
      <c r="F1393" s="181"/>
      <c r="G1393" s="181"/>
      <c r="H1393" s="181"/>
      <c r="I1393" s="181"/>
      <c r="J1393" s="185"/>
      <c r="K1393" s="223" t="s">
        <v>270</v>
      </c>
      <c r="L1393" s="189" t="s">
        <v>269</v>
      </c>
      <c r="R1393" s="163"/>
      <c r="S1393" s="163"/>
    </row>
    <row r="1394">
      <c r="A1394" s="185" t="s">
        <v>245</v>
      </c>
      <c r="B1394" s="181"/>
      <c r="C1394" s="181"/>
      <c r="D1394" s="180" t="s">
        <v>208</v>
      </c>
      <c r="E1394" s="181"/>
      <c r="F1394" s="181"/>
      <c r="G1394" s="181"/>
      <c r="H1394" s="181"/>
      <c r="I1394" s="180" t="s">
        <v>208</v>
      </c>
      <c r="J1394" s="185"/>
      <c r="K1394" s="223" t="s">
        <v>159</v>
      </c>
      <c r="L1394" s="189" t="s">
        <v>158</v>
      </c>
      <c r="R1394" s="163"/>
      <c r="S1394" s="163"/>
    </row>
    <row r="1395">
      <c r="A1395" s="185" t="s">
        <v>245</v>
      </c>
      <c r="B1395" s="181"/>
      <c r="C1395" s="180"/>
      <c r="D1395" s="180"/>
      <c r="E1395" s="181"/>
      <c r="F1395" s="181"/>
      <c r="G1395" s="181"/>
      <c r="H1395" s="181"/>
      <c r="I1395" s="180"/>
      <c r="J1395" s="185"/>
      <c r="K1395" s="223" t="s">
        <v>272</v>
      </c>
      <c r="L1395" s="189" t="s">
        <v>161</v>
      </c>
      <c r="R1395" s="173"/>
      <c r="S1395" s="173"/>
    </row>
    <row r="1396">
      <c r="A1396" s="185" t="s">
        <v>245</v>
      </c>
      <c r="B1396" s="181"/>
      <c r="C1396" s="180"/>
      <c r="D1396" s="180"/>
      <c r="E1396" s="181"/>
      <c r="F1396" s="180"/>
      <c r="G1396" s="181"/>
      <c r="H1396" s="181"/>
      <c r="I1396" s="180"/>
      <c r="J1396" s="185"/>
      <c r="K1396" s="223" t="s">
        <v>273</v>
      </c>
      <c r="L1396" s="189" t="s">
        <v>274</v>
      </c>
      <c r="R1396" s="157"/>
      <c r="S1396" s="157"/>
    </row>
    <row r="1397">
      <c r="A1397" s="185" t="s">
        <v>245</v>
      </c>
      <c r="B1397" s="181"/>
      <c r="C1397" s="180"/>
      <c r="D1397" s="180" t="s">
        <v>208</v>
      </c>
      <c r="E1397" s="181"/>
      <c r="F1397" s="181"/>
      <c r="G1397" s="181"/>
      <c r="H1397" s="181"/>
      <c r="I1397" s="180" t="s">
        <v>208</v>
      </c>
      <c r="J1397" s="185"/>
      <c r="K1397" s="223" t="s">
        <v>133</v>
      </c>
      <c r="L1397" s="189" t="s">
        <v>129</v>
      </c>
      <c r="R1397" s="163"/>
      <c r="S1397" s="163"/>
    </row>
    <row r="1398">
      <c r="A1398" s="185" t="s">
        <v>245</v>
      </c>
      <c r="B1398" s="181"/>
      <c r="C1398" s="181"/>
      <c r="D1398" s="181"/>
      <c r="E1398" s="181"/>
      <c r="F1398" s="181"/>
      <c r="G1398" s="181"/>
      <c r="H1398" s="181"/>
      <c r="I1398" s="181"/>
      <c r="J1398" s="185"/>
      <c r="K1398" s="223" t="s">
        <v>275</v>
      </c>
      <c r="L1398" s="189" t="s">
        <v>129</v>
      </c>
      <c r="R1398" s="163"/>
      <c r="S1398" s="163"/>
    </row>
    <row r="1399">
      <c r="A1399" s="185" t="s">
        <v>245</v>
      </c>
      <c r="B1399" s="181"/>
      <c r="C1399" s="180"/>
      <c r="D1399" s="180"/>
      <c r="E1399" s="181"/>
      <c r="F1399" s="180"/>
      <c r="G1399" s="180"/>
      <c r="H1399" s="181"/>
      <c r="I1399" s="180"/>
      <c r="J1399" s="185"/>
      <c r="K1399" s="223" t="s">
        <v>276</v>
      </c>
      <c r="L1399" s="189" t="s">
        <v>274</v>
      </c>
      <c r="R1399" s="163"/>
      <c r="S1399" s="163"/>
    </row>
    <row r="1400">
      <c r="A1400" s="185" t="s">
        <v>245</v>
      </c>
      <c r="B1400" s="181"/>
      <c r="C1400" s="180" t="s">
        <v>208</v>
      </c>
      <c r="D1400" s="180" t="s">
        <v>208</v>
      </c>
      <c r="E1400" s="181"/>
      <c r="F1400" s="180" t="s">
        <v>208</v>
      </c>
      <c r="G1400" s="180" t="s">
        <v>208</v>
      </c>
      <c r="H1400" s="181"/>
      <c r="I1400" s="181"/>
      <c r="J1400" s="185"/>
      <c r="K1400" s="223" t="s">
        <v>289</v>
      </c>
      <c r="L1400" s="189" t="s">
        <v>136</v>
      </c>
      <c r="R1400" s="163"/>
      <c r="S1400" s="163"/>
    </row>
    <row r="1401">
      <c r="A1401" s="185" t="s">
        <v>245</v>
      </c>
      <c r="B1401" s="181"/>
      <c r="C1401" s="181"/>
      <c r="D1401" s="181"/>
      <c r="E1401" s="181"/>
      <c r="F1401" s="181"/>
      <c r="G1401" s="181"/>
      <c r="H1401" s="181"/>
      <c r="I1401" s="181"/>
      <c r="J1401" s="185"/>
      <c r="K1401" s="223" t="s">
        <v>290</v>
      </c>
      <c r="L1401" s="189" t="s">
        <v>161</v>
      </c>
      <c r="R1401" s="163"/>
      <c r="S1401" s="163"/>
    </row>
    <row r="1402">
      <c r="A1402" s="185" t="s">
        <v>245</v>
      </c>
      <c r="B1402" s="181"/>
      <c r="C1402" s="180" t="s">
        <v>208</v>
      </c>
      <c r="D1402" s="180" t="s">
        <v>208</v>
      </c>
      <c r="E1402" s="180"/>
      <c r="F1402" s="180" t="s">
        <v>208</v>
      </c>
      <c r="G1402" s="180" t="s">
        <v>208</v>
      </c>
      <c r="H1402" s="180"/>
      <c r="I1402" s="180"/>
      <c r="J1402" s="185"/>
      <c r="K1402" s="223" t="s">
        <v>291</v>
      </c>
      <c r="L1402" s="189" t="s">
        <v>161</v>
      </c>
      <c r="R1402" s="163"/>
      <c r="S1402" s="163"/>
    </row>
    <row r="1403">
      <c r="A1403" s="185" t="s">
        <v>245</v>
      </c>
      <c r="B1403" s="181"/>
      <c r="C1403" s="180"/>
      <c r="D1403" s="180"/>
      <c r="E1403" s="180"/>
      <c r="F1403" s="180"/>
      <c r="G1403" s="180"/>
      <c r="H1403" s="180"/>
      <c r="I1403" s="181"/>
      <c r="J1403" s="185"/>
      <c r="K1403" s="223" t="s">
        <v>292</v>
      </c>
      <c r="L1403" s="189" t="s">
        <v>161</v>
      </c>
      <c r="R1403" s="163"/>
      <c r="S1403" s="163"/>
    </row>
    <row r="1404">
      <c r="A1404" s="185" t="s">
        <v>245</v>
      </c>
      <c r="B1404" s="180"/>
      <c r="C1404" s="181"/>
      <c r="D1404" s="180"/>
      <c r="E1404" s="181"/>
      <c r="F1404" s="180"/>
      <c r="G1404" s="181"/>
      <c r="H1404" s="181"/>
      <c r="I1404" s="180"/>
      <c r="J1404" s="185"/>
      <c r="K1404" s="223" t="s">
        <v>293</v>
      </c>
      <c r="L1404" s="139" t="s">
        <v>161</v>
      </c>
      <c r="R1404" s="163"/>
      <c r="S1404" s="163"/>
    </row>
    <row r="1405">
      <c r="A1405" s="185" t="s">
        <v>245</v>
      </c>
      <c r="B1405" s="180"/>
      <c r="C1405" s="180"/>
      <c r="D1405" s="181"/>
      <c r="E1405" s="180"/>
      <c r="F1405" s="180"/>
      <c r="G1405" s="181"/>
      <c r="H1405" s="181"/>
      <c r="I1405" s="180"/>
      <c r="J1405" s="185"/>
      <c r="K1405" s="223" t="s">
        <v>294</v>
      </c>
      <c r="L1405" s="139" t="s">
        <v>161</v>
      </c>
      <c r="R1405" s="163"/>
      <c r="S1405" s="163"/>
    </row>
    <row r="1406">
      <c r="A1406" s="185" t="s">
        <v>245</v>
      </c>
      <c r="B1406" s="181"/>
      <c r="C1406" s="180" t="s">
        <v>208</v>
      </c>
      <c r="D1406" s="180" t="s">
        <v>208</v>
      </c>
      <c r="E1406" s="180"/>
      <c r="F1406" s="180" t="s">
        <v>208</v>
      </c>
      <c r="G1406" s="180" t="s">
        <v>208</v>
      </c>
      <c r="H1406" s="180"/>
      <c r="I1406" s="180"/>
      <c r="J1406" s="185"/>
      <c r="K1406" s="223" t="s">
        <v>5919</v>
      </c>
      <c r="L1406" s="189" t="s">
        <v>136</v>
      </c>
      <c r="R1406" s="163"/>
      <c r="S1406" s="163"/>
    </row>
    <row r="1407">
      <c r="A1407" s="185" t="s">
        <v>245</v>
      </c>
      <c r="B1407" s="181"/>
      <c r="C1407" s="180" t="s">
        <v>208</v>
      </c>
      <c r="D1407" s="180" t="s">
        <v>208</v>
      </c>
      <c r="E1407" s="181"/>
      <c r="F1407" s="180" t="s">
        <v>208</v>
      </c>
      <c r="G1407" s="180" t="s">
        <v>208</v>
      </c>
      <c r="H1407" s="180"/>
      <c r="I1407" s="180"/>
      <c r="J1407" s="185"/>
      <c r="K1407" s="223" t="s">
        <v>5921</v>
      </c>
      <c r="L1407" s="189" t="s">
        <v>5922</v>
      </c>
      <c r="R1407" s="173"/>
      <c r="S1407" s="173"/>
    </row>
    <row r="1408">
      <c r="A1408" s="185" t="s">
        <v>245</v>
      </c>
      <c r="B1408" s="181"/>
      <c r="C1408" s="180"/>
      <c r="D1408" s="180" t="s">
        <v>208</v>
      </c>
      <c r="E1408" s="181"/>
      <c r="F1408" s="180" t="s">
        <v>208</v>
      </c>
      <c r="G1408" s="180"/>
      <c r="H1408" s="180" t="s">
        <v>208</v>
      </c>
      <c r="I1408" s="180"/>
      <c r="J1408" s="185"/>
      <c r="K1408" s="223" t="s">
        <v>5924</v>
      </c>
      <c r="L1408" s="139" t="s">
        <v>278</v>
      </c>
      <c r="R1408" s="157"/>
      <c r="S1408" s="157"/>
    </row>
    <row r="1409">
      <c r="A1409" s="185" t="s">
        <v>245</v>
      </c>
      <c r="B1409" s="181"/>
      <c r="C1409" s="181"/>
      <c r="D1409" s="180" t="s">
        <v>208</v>
      </c>
      <c r="E1409" s="181"/>
      <c r="F1409" s="180" t="s">
        <v>208</v>
      </c>
      <c r="G1409" s="180"/>
      <c r="H1409" s="180" t="s">
        <v>208</v>
      </c>
      <c r="I1409" s="180"/>
      <c r="J1409" s="185"/>
      <c r="K1409" s="223" t="s">
        <v>361</v>
      </c>
      <c r="L1409" s="139" t="s">
        <v>278</v>
      </c>
      <c r="R1409" s="163"/>
      <c r="S1409" s="163"/>
    </row>
    <row r="1410">
      <c r="A1410" s="185" t="s">
        <v>245</v>
      </c>
      <c r="B1410" s="181"/>
      <c r="C1410" s="181"/>
      <c r="D1410" s="180" t="s">
        <v>208</v>
      </c>
      <c r="E1410" s="181"/>
      <c r="F1410" s="180"/>
      <c r="G1410" s="181"/>
      <c r="H1410" s="181"/>
      <c r="I1410" s="180" t="s">
        <v>208</v>
      </c>
      <c r="J1410" s="185"/>
      <c r="K1410" s="223" t="s">
        <v>282</v>
      </c>
      <c r="R1410" s="163"/>
      <c r="S1410" s="163"/>
    </row>
    <row r="1411">
      <c r="A1411" s="185" t="s">
        <v>245</v>
      </c>
      <c r="B1411" s="181"/>
      <c r="C1411" s="181"/>
      <c r="D1411" s="180" t="s">
        <v>208</v>
      </c>
      <c r="E1411" s="181"/>
      <c r="F1411" s="180"/>
      <c r="G1411" s="181"/>
      <c r="H1411" s="181"/>
      <c r="I1411" s="180" t="s">
        <v>208</v>
      </c>
      <c r="J1411" s="185"/>
      <c r="K1411" s="223" t="s">
        <v>280</v>
      </c>
      <c r="R1411" s="163"/>
      <c r="S1411" s="163"/>
    </row>
    <row r="1412">
      <c r="A1412" s="185" t="s">
        <v>245</v>
      </c>
      <c r="B1412" s="181"/>
      <c r="C1412" s="181"/>
      <c r="D1412" s="181"/>
      <c r="E1412" s="181"/>
      <c r="F1412" s="180"/>
      <c r="G1412" s="181"/>
      <c r="H1412" s="181"/>
      <c r="I1412" s="180" t="s">
        <v>208</v>
      </c>
      <c r="J1412" s="185"/>
      <c r="K1412" s="223" t="s">
        <v>281</v>
      </c>
      <c r="R1412" s="163"/>
      <c r="S1412" s="163"/>
    </row>
    <row r="1413">
      <c r="A1413" s="185" t="s">
        <v>245</v>
      </c>
      <c r="B1413" s="181"/>
      <c r="C1413" s="181"/>
      <c r="D1413" s="180" t="s">
        <v>208</v>
      </c>
      <c r="E1413" s="181"/>
      <c r="F1413" s="180"/>
      <c r="G1413" s="181"/>
      <c r="H1413" s="181"/>
      <c r="I1413" s="180" t="s">
        <v>208</v>
      </c>
      <c r="J1413" s="185"/>
      <c r="K1413" s="223" t="s">
        <v>5211</v>
      </c>
      <c r="R1413" s="163"/>
      <c r="S1413" s="163"/>
    </row>
    <row r="1414">
      <c r="A1414" s="185" t="s">
        <v>245</v>
      </c>
      <c r="B1414" s="181"/>
      <c r="C1414" s="181"/>
      <c r="D1414" s="181"/>
      <c r="E1414" s="181"/>
      <c r="F1414" s="180"/>
      <c r="G1414" s="181"/>
      <c r="H1414" s="181"/>
      <c r="I1414" s="181"/>
      <c r="J1414" s="185"/>
      <c r="K1414" s="223"/>
      <c r="R1414" s="163"/>
      <c r="S1414" s="163"/>
    </row>
    <row r="1415">
      <c r="A1415" s="148"/>
      <c r="B1415" s="75"/>
      <c r="C1415" s="75"/>
      <c r="D1415" s="75"/>
      <c r="E1415" s="75"/>
      <c r="F1415" s="75"/>
      <c r="G1415" s="75"/>
      <c r="H1415" s="75"/>
      <c r="I1415" s="75"/>
      <c r="J1415" s="166"/>
      <c r="K1415" s="166"/>
      <c r="R1415" s="163"/>
      <c r="S1415" s="163"/>
    </row>
    <row r="1416">
      <c r="A1416" s="148"/>
      <c r="B1416" s="75"/>
      <c r="C1416" s="75"/>
      <c r="D1416" s="75"/>
      <c r="E1416" s="75"/>
      <c r="F1416" s="75"/>
      <c r="G1416" s="75"/>
      <c r="H1416" s="75"/>
      <c r="I1416" s="75"/>
      <c r="J1416" s="166"/>
      <c r="K1416" s="166"/>
      <c r="R1416" s="163"/>
      <c r="S1416" s="163"/>
    </row>
    <row r="1417">
      <c r="A1417" s="148"/>
      <c r="B1417" s="75"/>
      <c r="C1417" s="75"/>
      <c r="D1417" s="75"/>
      <c r="E1417" s="75"/>
      <c r="F1417" s="75"/>
      <c r="G1417" s="75"/>
      <c r="H1417" s="75"/>
      <c r="I1417" s="75"/>
      <c r="J1417" s="166"/>
      <c r="K1417" s="166"/>
      <c r="R1417" s="163"/>
      <c r="S1417" s="163"/>
    </row>
    <row r="1418">
      <c r="A1418" s="148"/>
      <c r="B1418" s="75"/>
      <c r="C1418" s="75"/>
      <c r="D1418" s="75"/>
      <c r="E1418" s="75"/>
      <c r="F1418" s="75"/>
      <c r="G1418" s="75"/>
      <c r="H1418" s="75"/>
      <c r="I1418" s="75"/>
      <c r="J1418" s="166"/>
      <c r="K1418" s="166"/>
      <c r="R1418" s="163"/>
      <c r="S1418" s="163"/>
    </row>
    <row r="1419">
      <c r="A1419" s="148"/>
      <c r="B1419" s="75"/>
      <c r="C1419" s="75"/>
      <c r="D1419" s="75"/>
      <c r="E1419" s="75"/>
      <c r="F1419" s="75"/>
      <c r="G1419" s="75"/>
      <c r="H1419" s="75"/>
      <c r="I1419" s="75"/>
      <c r="J1419" s="166"/>
      <c r="K1419" s="166"/>
      <c r="R1419" s="173"/>
      <c r="S1419" s="173"/>
    </row>
    <row r="1420">
      <c r="A1420" s="148"/>
      <c r="B1420" s="75"/>
      <c r="C1420" s="75"/>
      <c r="D1420" s="75"/>
      <c r="E1420" s="75"/>
      <c r="F1420" s="75"/>
      <c r="G1420" s="75"/>
      <c r="H1420" s="194"/>
      <c r="I1420" s="75"/>
      <c r="J1420" s="166"/>
      <c r="K1420" s="166"/>
      <c r="R1420" s="157"/>
      <c r="S1420" s="157"/>
    </row>
    <row r="1421">
      <c r="A1421" s="148"/>
      <c r="B1421" s="75"/>
      <c r="C1421" s="75"/>
      <c r="D1421" s="75"/>
      <c r="E1421" s="75"/>
      <c r="F1421" s="75"/>
      <c r="G1421" s="75"/>
      <c r="H1421" s="75"/>
      <c r="I1421" s="75"/>
      <c r="J1421" s="166"/>
      <c r="K1421" s="166"/>
      <c r="R1421" s="163"/>
      <c r="S1421" s="163"/>
    </row>
    <row r="1422">
      <c r="A1422" s="148"/>
      <c r="B1422" s="75"/>
      <c r="C1422" s="75"/>
      <c r="D1422" s="75"/>
      <c r="E1422" s="75"/>
      <c r="F1422" s="75"/>
      <c r="G1422" s="75"/>
      <c r="H1422" s="75"/>
      <c r="I1422" s="75"/>
      <c r="J1422" s="166"/>
      <c r="K1422" s="166"/>
      <c r="R1422" s="163"/>
      <c r="S1422" s="163"/>
    </row>
    <row r="1423">
      <c r="A1423" s="148"/>
      <c r="B1423" s="75"/>
      <c r="C1423" s="75"/>
      <c r="D1423" s="75"/>
      <c r="E1423" s="75"/>
      <c r="F1423" s="75"/>
      <c r="G1423" s="75"/>
      <c r="H1423" s="75"/>
      <c r="I1423" s="75"/>
      <c r="J1423" s="166"/>
      <c r="K1423" s="166"/>
      <c r="R1423" s="163"/>
      <c r="S1423" s="163"/>
    </row>
    <row r="1424">
      <c r="A1424" s="148"/>
      <c r="B1424" s="75"/>
      <c r="C1424" s="75"/>
      <c r="D1424" s="75"/>
      <c r="E1424" s="75"/>
      <c r="F1424" s="75"/>
      <c r="G1424" s="75"/>
      <c r="H1424" s="75"/>
      <c r="I1424" s="75"/>
      <c r="J1424" s="166"/>
      <c r="K1424" s="166"/>
      <c r="R1424" s="163"/>
      <c r="S1424" s="163"/>
    </row>
    <row r="1425">
      <c r="A1425" s="148"/>
      <c r="B1425" s="75"/>
      <c r="C1425" s="75"/>
      <c r="D1425" s="75"/>
      <c r="E1425" s="75"/>
      <c r="F1425" s="75"/>
      <c r="G1425" s="75"/>
      <c r="H1425" s="75"/>
      <c r="I1425" s="75"/>
      <c r="J1425" s="166"/>
      <c r="K1425" s="166"/>
      <c r="R1425" s="163"/>
      <c r="S1425" s="163"/>
    </row>
    <row r="1426">
      <c r="A1426" s="148"/>
      <c r="B1426" s="75"/>
      <c r="C1426" s="75"/>
      <c r="D1426" s="75"/>
      <c r="E1426" s="75"/>
      <c r="F1426" s="75"/>
      <c r="G1426" s="75"/>
      <c r="H1426" s="75"/>
      <c r="I1426" s="75"/>
      <c r="J1426" s="166"/>
      <c r="K1426" s="166"/>
      <c r="R1426" s="163"/>
      <c r="S1426" s="163"/>
    </row>
    <row r="1427">
      <c r="A1427" s="148"/>
      <c r="B1427" s="75"/>
      <c r="C1427" s="75"/>
      <c r="D1427" s="75"/>
      <c r="E1427" s="75"/>
      <c r="F1427" s="75"/>
      <c r="G1427" s="75"/>
      <c r="H1427" s="75"/>
      <c r="I1427" s="75"/>
      <c r="J1427" s="166"/>
      <c r="K1427" s="166"/>
      <c r="R1427" s="163"/>
      <c r="S1427" s="163"/>
    </row>
    <row r="1428">
      <c r="A1428" s="148"/>
      <c r="B1428" s="75"/>
      <c r="C1428" s="75"/>
      <c r="D1428" s="75"/>
      <c r="E1428" s="75"/>
      <c r="F1428" s="75"/>
      <c r="G1428" s="75"/>
      <c r="H1428" s="75"/>
      <c r="I1428" s="75"/>
      <c r="J1428" s="166"/>
      <c r="K1428" s="166"/>
      <c r="R1428" s="163"/>
      <c r="S1428" s="163"/>
    </row>
    <row r="1429">
      <c r="A1429" s="148"/>
      <c r="B1429" s="75"/>
      <c r="C1429" s="75"/>
      <c r="D1429" s="75"/>
      <c r="E1429" s="75"/>
      <c r="F1429" s="75"/>
      <c r="G1429" s="75"/>
      <c r="H1429" s="75"/>
      <c r="I1429" s="75"/>
      <c r="J1429" s="166"/>
      <c r="K1429" s="166"/>
      <c r="R1429" s="163"/>
      <c r="S1429" s="163"/>
    </row>
    <row r="1430">
      <c r="A1430" s="148"/>
      <c r="B1430" s="75"/>
      <c r="C1430" s="75"/>
      <c r="D1430" s="75"/>
      <c r="E1430" s="75"/>
      <c r="F1430" s="75"/>
      <c r="G1430" s="75"/>
      <c r="H1430" s="75"/>
      <c r="I1430" s="75"/>
      <c r="J1430" s="166"/>
      <c r="K1430" s="166"/>
      <c r="R1430" s="163"/>
      <c r="S1430" s="163"/>
    </row>
    <row r="1431">
      <c r="A1431" s="148"/>
      <c r="B1431" s="75"/>
      <c r="C1431" s="75"/>
      <c r="D1431" s="75"/>
      <c r="E1431" s="75"/>
      <c r="F1431" s="75"/>
      <c r="G1431" s="75"/>
      <c r="H1431" s="75"/>
      <c r="I1431" s="75"/>
      <c r="J1431" s="166"/>
      <c r="K1431" s="166"/>
      <c r="R1431" s="173"/>
      <c r="S1431" s="173"/>
    </row>
    <row r="1432">
      <c r="A1432" s="148"/>
      <c r="B1432" s="75"/>
      <c r="C1432" s="75"/>
      <c r="D1432" s="75"/>
      <c r="E1432" s="75"/>
      <c r="F1432" s="75"/>
      <c r="G1432" s="75"/>
      <c r="H1432" s="75"/>
      <c r="I1432" s="75"/>
      <c r="J1432" s="166"/>
      <c r="K1432" s="166"/>
      <c r="R1432" s="157"/>
      <c r="S1432" s="157"/>
    </row>
    <row r="1433">
      <c r="A1433" s="148"/>
      <c r="B1433" s="75"/>
      <c r="C1433" s="75"/>
      <c r="D1433" s="75"/>
      <c r="E1433" s="75"/>
      <c r="F1433" s="75"/>
      <c r="G1433" s="75"/>
      <c r="H1433" s="75"/>
      <c r="I1433" s="75"/>
      <c r="J1433" s="166"/>
      <c r="K1433" s="166"/>
      <c r="R1433" s="163"/>
      <c r="S1433" s="163"/>
    </row>
    <row r="1434">
      <c r="A1434" s="148"/>
      <c r="B1434" s="75"/>
      <c r="C1434" s="75"/>
      <c r="D1434" s="75"/>
      <c r="E1434" s="75"/>
      <c r="F1434" s="75"/>
      <c r="G1434" s="75"/>
      <c r="H1434" s="75"/>
      <c r="I1434" s="75"/>
      <c r="J1434" s="166"/>
      <c r="K1434" s="166"/>
      <c r="R1434" s="163"/>
      <c r="S1434" s="163"/>
    </row>
    <row r="1435">
      <c r="A1435" s="148"/>
      <c r="B1435" s="75"/>
      <c r="C1435" s="75"/>
      <c r="D1435" s="75"/>
      <c r="E1435" s="75"/>
      <c r="F1435" s="75"/>
      <c r="G1435" s="75"/>
      <c r="H1435" s="75"/>
      <c r="I1435" s="75"/>
      <c r="J1435" s="166"/>
      <c r="K1435" s="166"/>
      <c r="R1435" s="163"/>
      <c r="S1435" s="163"/>
    </row>
    <row r="1436">
      <c r="A1436" s="148"/>
      <c r="B1436" s="75"/>
      <c r="C1436" s="75"/>
      <c r="D1436" s="75"/>
      <c r="E1436" s="75"/>
      <c r="F1436" s="75"/>
      <c r="G1436" s="75"/>
      <c r="H1436" s="75"/>
      <c r="I1436" s="75"/>
      <c r="J1436" s="166"/>
      <c r="K1436" s="166"/>
      <c r="R1436" s="163"/>
      <c r="S1436" s="163"/>
    </row>
    <row r="1437">
      <c r="A1437" s="148"/>
      <c r="B1437" s="75"/>
      <c r="C1437" s="75"/>
      <c r="D1437" s="75"/>
      <c r="E1437" s="75"/>
      <c r="F1437" s="75"/>
      <c r="G1437" s="75"/>
      <c r="H1437" s="75"/>
      <c r="I1437" s="75"/>
      <c r="J1437" s="166"/>
      <c r="K1437" s="166"/>
      <c r="R1437" s="163"/>
      <c r="S1437" s="163"/>
    </row>
    <row r="1438">
      <c r="A1438" s="148"/>
      <c r="B1438" s="75"/>
      <c r="C1438" s="75"/>
      <c r="D1438" s="75"/>
      <c r="E1438" s="75"/>
      <c r="F1438" s="75"/>
      <c r="G1438" s="75"/>
      <c r="H1438" s="75"/>
      <c r="I1438" s="75"/>
      <c r="J1438" s="166"/>
      <c r="K1438" s="166"/>
      <c r="R1438" s="163"/>
      <c r="S1438" s="163"/>
    </row>
    <row r="1439">
      <c r="A1439" s="148"/>
      <c r="B1439" s="75"/>
      <c r="C1439" s="75"/>
      <c r="D1439" s="75"/>
      <c r="E1439" s="75"/>
      <c r="F1439" s="75"/>
      <c r="G1439" s="75"/>
      <c r="H1439" s="75"/>
      <c r="I1439" s="75"/>
      <c r="J1439" s="166"/>
      <c r="K1439" s="166"/>
      <c r="R1439" s="163"/>
      <c r="S1439" s="163"/>
    </row>
    <row r="1440">
      <c r="A1440" s="148"/>
      <c r="B1440" s="75"/>
      <c r="C1440" s="75"/>
      <c r="D1440" s="75"/>
      <c r="E1440" s="75"/>
      <c r="F1440" s="75"/>
      <c r="G1440" s="75"/>
      <c r="H1440" s="75"/>
      <c r="I1440" s="75"/>
      <c r="J1440" s="166"/>
      <c r="K1440" s="166"/>
      <c r="R1440" s="163"/>
      <c r="S1440" s="163"/>
    </row>
    <row r="1441">
      <c r="A1441" s="148"/>
      <c r="B1441" s="75"/>
      <c r="C1441" s="75"/>
      <c r="D1441" s="75"/>
      <c r="E1441" s="75"/>
      <c r="F1441" s="75"/>
      <c r="G1441" s="75"/>
      <c r="H1441" s="75"/>
      <c r="I1441" s="75"/>
      <c r="J1441" s="166"/>
      <c r="K1441" s="166"/>
      <c r="R1441" s="163"/>
      <c r="S1441" s="163"/>
    </row>
    <row r="1442">
      <c r="A1442" s="148"/>
      <c r="B1442" s="75"/>
      <c r="C1442" s="75"/>
      <c r="D1442" s="75"/>
      <c r="E1442" s="75"/>
      <c r="F1442" s="75"/>
      <c r="G1442" s="75"/>
      <c r="H1442" s="75"/>
      <c r="I1442" s="75"/>
      <c r="J1442" s="166"/>
      <c r="K1442" s="166"/>
      <c r="R1442" s="163"/>
      <c r="S1442" s="163"/>
    </row>
    <row r="1443">
      <c r="A1443" s="148"/>
      <c r="B1443" s="75"/>
      <c r="C1443" s="75"/>
      <c r="D1443" s="75"/>
      <c r="E1443" s="75"/>
      <c r="F1443" s="75"/>
      <c r="G1443" s="75"/>
      <c r="H1443" s="75"/>
      <c r="I1443" s="75"/>
      <c r="J1443" s="166"/>
      <c r="K1443" s="166"/>
      <c r="R1443" s="173"/>
      <c r="S1443" s="173"/>
    </row>
    <row r="1444">
      <c r="A1444" s="148"/>
      <c r="B1444" s="75"/>
      <c r="C1444" s="75"/>
      <c r="D1444" s="75"/>
      <c r="E1444" s="75"/>
      <c r="F1444" s="75"/>
      <c r="G1444" s="75"/>
      <c r="H1444" s="75"/>
      <c r="I1444" s="75"/>
      <c r="J1444" s="166"/>
      <c r="K1444" s="166"/>
      <c r="R1444" s="157"/>
      <c r="S1444" s="157"/>
    </row>
    <row r="1445">
      <c r="A1445" s="148"/>
      <c r="B1445" s="75"/>
      <c r="C1445" s="75"/>
      <c r="D1445" s="75"/>
      <c r="E1445" s="75"/>
      <c r="F1445" s="75"/>
      <c r="G1445" s="75"/>
      <c r="H1445" s="75"/>
      <c r="I1445" s="75"/>
      <c r="J1445" s="166"/>
      <c r="K1445" s="166"/>
      <c r="R1445" s="163"/>
      <c r="S1445" s="163"/>
    </row>
    <row r="1446">
      <c r="A1446" s="148"/>
      <c r="B1446" s="75"/>
      <c r="C1446" s="75"/>
      <c r="D1446" s="75"/>
      <c r="E1446" s="75"/>
      <c r="F1446" s="75"/>
      <c r="G1446" s="75"/>
      <c r="H1446" s="75"/>
      <c r="I1446" s="75"/>
      <c r="J1446" s="166"/>
      <c r="K1446" s="166"/>
      <c r="R1446" s="163"/>
      <c r="S1446" s="163"/>
    </row>
    <row r="1447">
      <c r="A1447" s="148"/>
      <c r="B1447" s="75"/>
      <c r="C1447" s="75"/>
      <c r="D1447" s="75"/>
      <c r="E1447" s="75"/>
      <c r="F1447" s="75"/>
      <c r="G1447" s="75"/>
      <c r="H1447" s="75"/>
      <c r="I1447" s="75"/>
      <c r="J1447" s="166"/>
      <c r="K1447" s="166"/>
      <c r="R1447" s="163"/>
      <c r="S1447" s="163"/>
    </row>
    <row r="1448">
      <c r="A1448" s="148"/>
      <c r="B1448" s="75"/>
      <c r="C1448" s="75"/>
      <c r="D1448" s="75"/>
      <c r="E1448" s="75"/>
      <c r="F1448" s="75"/>
      <c r="G1448" s="75"/>
      <c r="H1448" s="75"/>
      <c r="I1448" s="75"/>
      <c r="J1448" s="166"/>
      <c r="K1448" s="166"/>
      <c r="R1448" s="163"/>
      <c r="S1448" s="163"/>
    </row>
    <row r="1449">
      <c r="A1449" s="148"/>
      <c r="B1449" s="75"/>
      <c r="C1449" s="75"/>
      <c r="D1449" s="75"/>
      <c r="E1449" s="75"/>
      <c r="F1449" s="75"/>
      <c r="G1449" s="75"/>
      <c r="H1449" s="75"/>
      <c r="I1449" s="75"/>
      <c r="J1449" s="166"/>
      <c r="K1449" s="166"/>
      <c r="R1449" s="163"/>
      <c r="S1449" s="163"/>
    </row>
    <row r="1450">
      <c r="A1450" s="148"/>
      <c r="B1450" s="75"/>
      <c r="C1450" s="75"/>
      <c r="D1450" s="75"/>
      <c r="E1450" s="75"/>
      <c r="F1450" s="75"/>
      <c r="G1450" s="75"/>
      <c r="H1450" s="75"/>
      <c r="I1450" s="75"/>
      <c r="J1450" s="166"/>
      <c r="K1450" s="166"/>
      <c r="R1450" s="163"/>
      <c r="S1450" s="163"/>
    </row>
    <row r="1451">
      <c r="A1451" s="148"/>
      <c r="B1451" s="75"/>
      <c r="C1451" s="75"/>
      <c r="D1451" s="75"/>
      <c r="E1451" s="75"/>
      <c r="F1451" s="75"/>
      <c r="G1451" s="75"/>
      <c r="H1451" s="75"/>
      <c r="I1451" s="75"/>
      <c r="J1451" s="166"/>
      <c r="K1451" s="166"/>
      <c r="R1451" s="163"/>
      <c r="S1451" s="163"/>
    </row>
    <row r="1452">
      <c r="A1452" s="148"/>
      <c r="B1452" s="75"/>
      <c r="C1452" s="75"/>
      <c r="D1452" s="75"/>
      <c r="E1452" s="75"/>
      <c r="F1452" s="75"/>
      <c r="G1452" s="75"/>
      <c r="H1452" s="75"/>
      <c r="I1452" s="75"/>
      <c r="J1452" s="166"/>
      <c r="K1452" s="166"/>
      <c r="R1452" s="163"/>
      <c r="S1452" s="163"/>
    </row>
    <row r="1453">
      <c r="A1453" s="148"/>
      <c r="B1453" s="75"/>
      <c r="C1453" s="75"/>
      <c r="D1453" s="75"/>
      <c r="E1453" s="75"/>
      <c r="F1453" s="75"/>
      <c r="G1453" s="75"/>
      <c r="H1453" s="75"/>
      <c r="I1453" s="75"/>
      <c r="J1453" s="166"/>
      <c r="K1453" s="166"/>
      <c r="R1453" s="163"/>
      <c r="S1453" s="163"/>
    </row>
    <row r="1454">
      <c r="A1454" s="148"/>
      <c r="B1454" s="75"/>
      <c r="C1454" s="75"/>
      <c r="D1454" s="75"/>
      <c r="E1454" s="75"/>
      <c r="F1454" s="75"/>
      <c r="G1454" s="75"/>
      <c r="H1454" s="75"/>
      <c r="I1454" s="75"/>
      <c r="J1454" s="166"/>
      <c r="K1454" s="166"/>
      <c r="R1454" s="163"/>
      <c r="S1454" s="163"/>
    </row>
    <row r="1455">
      <c r="A1455" s="148"/>
      <c r="B1455" s="75"/>
      <c r="C1455" s="75"/>
      <c r="D1455" s="75"/>
      <c r="E1455" s="75"/>
      <c r="F1455" s="75"/>
      <c r="G1455" s="75"/>
      <c r="H1455" s="75"/>
      <c r="I1455" s="75"/>
      <c r="J1455" s="166"/>
      <c r="K1455" s="166"/>
      <c r="R1455" s="173"/>
      <c r="S1455" s="173"/>
    </row>
    <row r="1456">
      <c r="A1456" s="148"/>
      <c r="B1456" s="75"/>
      <c r="C1456" s="75"/>
      <c r="D1456" s="75"/>
      <c r="E1456" s="75"/>
      <c r="F1456" s="75"/>
      <c r="G1456" s="75"/>
      <c r="H1456" s="75"/>
      <c r="I1456" s="75"/>
      <c r="J1456" s="166"/>
      <c r="K1456" s="166"/>
      <c r="R1456" s="157"/>
      <c r="S1456" s="157"/>
    </row>
    <row r="1457">
      <c r="A1457" s="148"/>
      <c r="B1457" s="75"/>
      <c r="C1457" s="75"/>
      <c r="D1457" s="75"/>
      <c r="E1457" s="75"/>
      <c r="F1457" s="75"/>
      <c r="G1457" s="75"/>
      <c r="H1457" s="75"/>
      <c r="I1457" s="75"/>
      <c r="J1457" s="166"/>
      <c r="K1457" s="166"/>
      <c r="R1457" s="163"/>
      <c r="S1457" s="163"/>
    </row>
    <row r="1458">
      <c r="A1458" s="148"/>
      <c r="B1458" s="75"/>
      <c r="C1458" s="75"/>
      <c r="D1458" s="75"/>
      <c r="E1458" s="75"/>
      <c r="F1458" s="75"/>
      <c r="G1458" s="75"/>
      <c r="H1458" s="75"/>
      <c r="I1458" s="75"/>
      <c r="J1458" s="166"/>
      <c r="K1458" s="166"/>
      <c r="R1458" s="163"/>
      <c r="S1458" s="163"/>
    </row>
    <row r="1459">
      <c r="A1459" s="148"/>
      <c r="B1459" s="75"/>
      <c r="C1459" s="75"/>
      <c r="D1459" s="75"/>
      <c r="E1459" s="75"/>
      <c r="F1459" s="75"/>
      <c r="G1459" s="75"/>
      <c r="H1459" s="75"/>
      <c r="I1459" s="75"/>
      <c r="J1459" s="166"/>
      <c r="K1459" s="166"/>
      <c r="R1459" s="163"/>
      <c r="S1459" s="163"/>
    </row>
    <row r="1460">
      <c r="A1460" s="148"/>
      <c r="B1460" s="75"/>
      <c r="C1460" s="75"/>
      <c r="D1460" s="75"/>
      <c r="E1460" s="75"/>
      <c r="F1460" s="75"/>
      <c r="G1460" s="75"/>
      <c r="H1460" s="75"/>
      <c r="I1460" s="75"/>
      <c r="J1460" s="166"/>
      <c r="K1460" s="166"/>
      <c r="R1460" s="163"/>
      <c r="S1460" s="163"/>
    </row>
    <row r="1461">
      <c r="A1461" s="148"/>
      <c r="B1461" s="75"/>
      <c r="C1461" s="75"/>
      <c r="D1461" s="75"/>
      <c r="E1461" s="75"/>
      <c r="F1461" s="75"/>
      <c r="G1461" s="75"/>
      <c r="H1461" s="75"/>
      <c r="I1461" s="75"/>
      <c r="J1461" s="166"/>
      <c r="K1461" s="166"/>
      <c r="R1461" s="163"/>
      <c r="S1461" s="163"/>
    </row>
    <row r="1462">
      <c r="A1462" s="148"/>
      <c r="B1462" s="75"/>
      <c r="C1462" s="75"/>
      <c r="D1462" s="75"/>
      <c r="E1462" s="75"/>
      <c r="F1462" s="75"/>
      <c r="G1462" s="75"/>
      <c r="H1462" s="75"/>
      <c r="I1462" s="75"/>
      <c r="J1462" s="166"/>
      <c r="K1462" s="166"/>
      <c r="R1462" s="163"/>
      <c r="S1462" s="163"/>
    </row>
    <row r="1463">
      <c r="A1463" s="148"/>
      <c r="B1463" s="75"/>
      <c r="C1463" s="75"/>
      <c r="D1463" s="75"/>
      <c r="E1463" s="75"/>
      <c r="F1463" s="75"/>
      <c r="G1463" s="75"/>
      <c r="H1463" s="75"/>
      <c r="I1463" s="75"/>
      <c r="J1463" s="166"/>
      <c r="K1463" s="166"/>
      <c r="R1463" s="163"/>
      <c r="S1463" s="163"/>
    </row>
    <row r="1464">
      <c r="A1464" s="148"/>
      <c r="B1464" s="75"/>
      <c r="C1464" s="75"/>
      <c r="D1464" s="75"/>
      <c r="E1464" s="75"/>
      <c r="F1464" s="75"/>
      <c r="G1464" s="75"/>
      <c r="H1464" s="75"/>
      <c r="I1464" s="75"/>
      <c r="J1464" s="166"/>
      <c r="K1464" s="166"/>
      <c r="R1464" s="163"/>
      <c r="S1464" s="163"/>
    </row>
    <row r="1465">
      <c r="A1465" s="148"/>
      <c r="B1465" s="75"/>
      <c r="C1465" s="75"/>
      <c r="D1465" s="75"/>
      <c r="E1465" s="75"/>
      <c r="F1465" s="75"/>
      <c r="G1465" s="75"/>
      <c r="H1465" s="75"/>
      <c r="I1465" s="75"/>
      <c r="J1465" s="166"/>
      <c r="K1465" s="166"/>
      <c r="R1465" s="163"/>
      <c r="S1465" s="163"/>
    </row>
    <row r="1466">
      <c r="A1466" s="148"/>
      <c r="B1466" s="75"/>
      <c r="C1466" s="75"/>
      <c r="D1466" s="75"/>
      <c r="E1466" s="75"/>
      <c r="F1466" s="75"/>
      <c r="G1466" s="75"/>
      <c r="H1466" s="75"/>
      <c r="I1466" s="75"/>
      <c r="J1466" s="166"/>
      <c r="K1466" s="166"/>
      <c r="R1466" s="163"/>
      <c r="S1466" s="163"/>
    </row>
    <row r="1467">
      <c r="A1467" s="148"/>
      <c r="B1467" s="75"/>
      <c r="C1467" s="75"/>
      <c r="D1467" s="75"/>
      <c r="E1467" s="75"/>
      <c r="F1467" s="75"/>
      <c r="G1467" s="75"/>
      <c r="H1467" s="75"/>
      <c r="I1467" s="75"/>
      <c r="J1467" s="166"/>
      <c r="K1467" s="166"/>
      <c r="R1467" s="173"/>
      <c r="S1467" s="173"/>
    </row>
    <row r="1468">
      <c r="A1468" s="148"/>
      <c r="B1468" s="75"/>
      <c r="C1468" s="75"/>
      <c r="D1468" s="75"/>
      <c r="E1468" s="75"/>
      <c r="F1468" s="75"/>
      <c r="G1468" s="75"/>
      <c r="H1468" s="75"/>
      <c r="I1468" s="75"/>
      <c r="J1468" s="166"/>
      <c r="K1468" s="166"/>
      <c r="R1468" s="157"/>
      <c r="S1468" s="157"/>
    </row>
    <row r="1469">
      <c r="A1469" s="148"/>
      <c r="B1469" s="75"/>
      <c r="C1469" s="75"/>
      <c r="D1469" s="75"/>
      <c r="E1469" s="75"/>
      <c r="F1469" s="75"/>
      <c r="G1469" s="75"/>
      <c r="H1469" s="75"/>
      <c r="I1469" s="75"/>
      <c r="J1469" s="166"/>
      <c r="K1469" s="166"/>
      <c r="R1469" s="163"/>
      <c r="S1469" s="163"/>
    </row>
    <row r="1470">
      <c r="A1470" s="148"/>
      <c r="B1470" s="75"/>
      <c r="C1470" s="75"/>
      <c r="D1470" s="75"/>
      <c r="E1470" s="75"/>
      <c r="F1470" s="75"/>
      <c r="G1470" s="75"/>
      <c r="H1470" s="75"/>
      <c r="I1470" s="75"/>
      <c r="J1470" s="166"/>
      <c r="K1470" s="166"/>
      <c r="R1470" s="163"/>
      <c r="S1470" s="163"/>
    </row>
    <row r="1471">
      <c r="A1471" s="148"/>
      <c r="B1471" s="75"/>
      <c r="C1471" s="75"/>
      <c r="D1471" s="75"/>
      <c r="E1471" s="75"/>
      <c r="F1471" s="75"/>
      <c r="G1471" s="75"/>
      <c r="H1471" s="75"/>
      <c r="I1471" s="75"/>
      <c r="J1471" s="166"/>
      <c r="K1471" s="166"/>
      <c r="R1471" s="163"/>
      <c r="S1471" s="163"/>
    </row>
    <row r="1472">
      <c r="A1472" s="148"/>
      <c r="B1472" s="75"/>
      <c r="C1472" s="75"/>
      <c r="D1472" s="75"/>
      <c r="E1472" s="75"/>
      <c r="F1472" s="75"/>
      <c r="G1472" s="75"/>
      <c r="H1472" s="75"/>
      <c r="I1472" s="75"/>
      <c r="J1472" s="166"/>
      <c r="K1472" s="166"/>
      <c r="R1472" s="163"/>
      <c r="S1472" s="163"/>
    </row>
    <row r="1473">
      <c r="A1473" s="148"/>
      <c r="B1473" s="75"/>
      <c r="C1473" s="75"/>
      <c r="D1473" s="75"/>
      <c r="E1473" s="75"/>
      <c r="F1473" s="75"/>
      <c r="G1473" s="75"/>
      <c r="H1473" s="75"/>
      <c r="I1473" s="75"/>
      <c r="J1473" s="166"/>
      <c r="K1473" s="166"/>
      <c r="R1473" s="163"/>
      <c r="S1473" s="163"/>
    </row>
    <row r="1474">
      <c r="A1474" s="148"/>
      <c r="B1474" s="75"/>
      <c r="C1474" s="75"/>
      <c r="D1474" s="75"/>
      <c r="E1474" s="75"/>
      <c r="F1474" s="75"/>
      <c r="G1474" s="75"/>
      <c r="H1474" s="75"/>
      <c r="I1474" s="75"/>
      <c r="J1474" s="166"/>
      <c r="K1474" s="166"/>
      <c r="R1474" s="163"/>
      <c r="S1474" s="163"/>
    </row>
    <row r="1475">
      <c r="A1475" s="148"/>
      <c r="B1475" s="75"/>
      <c r="C1475" s="75"/>
      <c r="D1475" s="75"/>
      <c r="E1475" s="75"/>
      <c r="F1475" s="75"/>
      <c r="G1475" s="75"/>
      <c r="H1475" s="75"/>
      <c r="I1475" s="75"/>
      <c r="J1475" s="166"/>
      <c r="K1475" s="166"/>
      <c r="R1475" s="163"/>
      <c r="S1475" s="163"/>
    </row>
    <row r="1476">
      <c r="A1476" s="148"/>
      <c r="B1476" s="75"/>
      <c r="C1476" s="75"/>
      <c r="D1476" s="75"/>
      <c r="E1476" s="75"/>
      <c r="F1476" s="75"/>
      <c r="G1476" s="75"/>
      <c r="H1476" s="75"/>
      <c r="I1476" s="75"/>
      <c r="J1476" s="166"/>
      <c r="K1476" s="166"/>
      <c r="R1476" s="163"/>
      <c r="S1476" s="163"/>
    </row>
    <row r="1477">
      <c r="A1477" s="148"/>
      <c r="B1477" s="75"/>
      <c r="C1477" s="75"/>
      <c r="D1477" s="75"/>
      <c r="E1477" s="75"/>
      <c r="F1477" s="75"/>
      <c r="G1477" s="75"/>
      <c r="H1477" s="75"/>
      <c r="I1477" s="75"/>
      <c r="J1477" s="166"/>
      <c r="K1477" s="166"/>
      <c r="R1477" s="163"/>
      <c r="S1477" s="163"/>
    </row>
    <row r="1478">
      <c r="A1478" s="148"/>
      <c r="B1478" s="75"/>
      <c r="C1478" s="75"/>
      <c r="D1478" s="75"/>
      <c r="E1478" s="75"/>
      <c r="F1478" s="75"/>
      <c r="G1478" s="75"/>
      <c r="H1478" s="75"/>
      <c r="I1478" s="75"/>
      <c r="J1478" s="166"/>
      <c r="K1478" s="166"/>
      <c r="R1478" s="163"/>
      <c r="S1478" s="163"/>
    </row>
    <row r="1479">
      <c r="A1479" s="148"/>
      <c r="B1479" s="75"/>
      <c r="C1479" s="75"/>
      <c r="D1479" s="75"/>
      <c r="E1479" s="75"/>
      <c r="F1479" s="75"/>
      <c r="G1479" s="75"/>
      <c r="H1479" s="75"/>
      <c r="I1479" s="75"/>
      <c r="J1479" s="166"/>
      <c r="K1479" s="166"/>
      <c r="R1479" s="173"/>
      <c r="S1479" s="173"/>
    </row>
    <row r="1480">
      <c r="A1480" s="148"/>
      <c r="B1480" s="75"/>
      <c r="C1480" s="75"/>
      <c r="D1480" s="75"/>
      <c r="E1480" s="75"/>
      <c r="F1480" s="75"/>
      <c r="G1480" s="75"/>
      <c r="H1480" s="75"/>
      <c r="I1480" s="75"/>
      <c r="J1480" s="166"/>
      <c r="K1480" s="166"/>
      <c r="R1480" s="157"/>
      <c r="S1480" s="157"/>
    </row>
    <row r="1481">
      <c r="A1481" s="148"/>
      <c r="B1481" s="75"/>
      <c r="C1481" s="75"/>
      <c r="D1481" s="75"/>
      <c r="E1481" s="75"/>
      <c r="F1481" s="75"/>
      <c r="G1481" s="75"/>
      <c r="H1481" s="75"/>
      <c r="I1481" s="75"/>
      <c r="J1481" s="166"/>
      <c r="K1481" s="166"/>
      <c r="R1481" s="163"/>
      <c r="S1481" s="163"/>
    </row>
    <row r="1482">
      <c r="A1482" s="148"/>
      <c r="B1482" s="75"/>
      <c r="C1482" s="75"/>
      <c r="D1482" s="75"/>
      <c r="E1482" s="75"/>
      <c r="F1482" s="75"/>
      <c r="G1482" s="75"/>
      <c r="H1482" s="75"/>
      <c r="I1482" s="75"/>
      <c r="J1482" s="166"/>
      <c r="K1482" s="166"/>
      <c r="R1482" s="163"/>
      <c r="S1482" s="163"/>
    </row>
    <row r="1483">
      <c r="A1483" s="148"/>
      <c r="B1483" s="75"/>
      <c r="C1483" s="75"/>
      <c r="D1483" s="75"/>
      <c r="E1483" s="75"/>
      <c r="F1483" s="75"/>
      <c r="G1483" s="75"/>
      <c r="H1483" s="75"/>
      <c r="I1483" s="75"/>
      <c r="J1483" s="166"/>
      <c r="K1483" s="166"/>
      <c r="R1483" s="163"/>
      <c r="S1483" s="163"/>
    </row>
    <row r="1484">
      <c r="A1484" s="148"/>
      <c r="B1484" s="75"/>
      <c r="C1484" s="75"/>
      <c r="D1484" s="75"/>
      <c r="E1484" s="75"/>
      <c r="F1484" s="75"/>
      <c r="G1484" s="75"/>
      <c r="H1484" s="75"/>
      <c r="I1484" s="75"/>
      <c r="J1484" s="166"/>
      <c r="K1484" s="166"/>
      <c r="R1484" s="163"/>
      <c r="S1484" s="163"/>
    </row>
    <row r="1485">
      <c r="A1485" s="148"/>
      <c r="B1485" s="75"/>
      <c r="C1485" s="75"/>
      <c r="D1485" s="75"/>
      <c r="E1485" s="75"/>
      <c r="F1485" s="75"/>
      <c r="G1485" s="75"/>
      <c r="H1485" s="75"/>
      <c r="I1485" s="75"/>
      <c r="J1485" s="166"/>
      <c r="K1485" s="166"/>
      <c r="R1485" s="163"/>
      <c r="S1485" s="163"/>
    </row>
    <row r="1486">
      <c r="A1486" s="148"/>
      <c r="B1486" s="75"/>
      <c r="C1486" s="75"/>
      <c r="D1486" s="75"/>
      <c r="E1486" s="75"/>
      <c r="F1486" s="75"/>
      <c r="G1486" s="75"/>
      <c r="H1486" s="75"/>
      <c r="I1486" s="75"/>
      <c r="J1486" s="166"/>
      <c r="K1486" s="166"/>
      <c r="R1486" s="163"/>
      <c r="S1486" s="163"/>
    </row>
    <row r="1487">
      <c r="A1487" s="148"/>
      <c r="B1487" s="75"/>
      <c r="C1487" s="75"/>
      <c r="D1487" s="75"/>
      <c r="E1487" s="75"/>
      <c r="F1487" s="75"/>
      <c r="G1487" s="75"/>
      <c r="H1487" s="75"/>
      <c r="I1487" s="75"/>
      <c r="J1487" s="166"/>
      <c r="K1487" s="166"/>
      <c r="R1487" s="163"/>
      <c r="S1487" s="163"/>
    </row>
    <row r="1488">
      <c r="A1488" s="148"/>
      <c r="B1488" s="75"/>
      <c r="C1488" s="75"/>
      <c r="D1488" s="75"/>
      <c r="E1488" s="75"/>
      <c r="F1488" s="75"/>
      <c r="G1488" s="75"/>
      <c r="H1488" s="75"/>
      <c r="I1488" s="75"/>
      <c r="J1488" s="166"/>
      <c r="K1488" s="166"/>
      <c r="R1488" s="163"/>
      <c r="S1488" s="163"/>
    </row>
    <row r="1489">
      <c r="A1489" s="148"/>
      <c r="B1489" s="75"/>
      <c r="C1489" s="75"/>
      <c r="D1489" s="75"/>
      <c r="E1489" s="75"/>
      <c r="F1489" s="75"/>
      <c r="G1489" s="75"/>
      <c r="H1489" s="75"/>
      <c r="I1489" s="75"/>
      <c r="J1489" s="166"/>
      <c r="K1489" s="166"/>
      <c r="R1489" s="163"/>
      <c r="S1489" s="163"/>
    </row>
    <row r="1490">
      <c r="A1490" s="148"/>
      <c r="B1490" s="75"/>
      <c r="C1490" s="75"/>
      <c r="D1490" s="75"/>
      <c r="E1490" s="75"/>
      <c r="F1490" s="75"/>
      <c r="G1490" s="75"/>
      <c r="H1490" s="75"/>
      <c r="I1490" s="75"/>
      <c r="J1490" s="166"/>
      <c r="K1490" s="166"/>
      <c r="R1490" s="163"/>
      <c r="S1490" s="163"/>
    </row>
    <row r="1491">
      <c r="A1491" s="148"/>
      <c r="B1491" s="75"/>
      <c r="C1491" s="75"/>
      <c r="D1491" s="75"/>
      <c r="E1491" s="75"/>
      <c r="F1491" s="75"/>
      <c r="G1491" s="75"/>
      <c r="H1491" s="75"/>
      <c r="I1491" s="75"/>
      <c r="J1491" s="166"/>
      <c r="K1491" s="166"/>
      <c r="R1491" s="173"/>
      <c r="S1491" s="173"/>
    </row>
    <row r="1492">
      <c r="A1492" s="148"/>
      <c r="B1492" s="75"/>
      <c r="C1492" s="75"/>
      <c r="D1492" s="75"/>
      <c r="E1492" s="75"/>
      <c r="F1492" s="75"/>
      <c r="G1492" s="75"/>
      <c r="H1492" s="75"/>
      <c r="I1492" s="75"/>
      <c r="J1492" s="166"/>
      <c r="K1492" s="166"/>
      <c r="R1492" s="157"/>
      <c r="S1492" s="157"/>
    </row>
    <row r="1493">
      <c r="A1493" s="148"/>
      <c r="B1493" s="75"/>
      <c r="C1493" s="75"/>
      <c r="D1493" s="75"/>
      <c r="E1493" s="75"/>
      <c r="F1493" s="75"/>
      <c r="G1493" s="75"/>
      <c r="H1493" s="75"/>
      <c r="I1493" s="75"/>
      <c r="J1493" s="166"/>
      <c r="K1493" s="166"/>
      <c r="R1493" s="163"/>
      <c r="S1493" s="163"/>
    </row>
    <row r="1494">
      <c r="A1494" s="148"/>
      <c r="B1494" s="75"/>
      <c r="C1494" s="75"/>
      <c r="D1494" s="75"/>
      <c r="E1494" s="75"/>
      <c r="F1494" s="75"/>
      <c r="G1494" s="75"/>
      <c r="H1494" s="75"/>
      <c r="I1494" s="75"/>
      <c r="J1494" s="166"/>
      <c r="K1494" s="166"/>
      <c r="R1494" s="163"/>
      <c r="S1494" s="163"/>
    </row>
    <row r="1495">
      <c r="A1495" s="148"/>
      <c r="B1495" s="75"/>
      <c r="C1495" s="75"/>
      <c r="D1495" s="75"/>
      <c r="E1495" s="75"/>
      <c r="F1495" s="75"/>
      <c r="G1495" s="75"/>
      <c r="H1495" s="75"/>
      <c r="I1495" s="75"/>
      <c r="J1495" s="166"/>
      <c r="K1495" s="166"/>
      <c r="R1495" s="163"/>
      <c r="S1495" s="163"/>
    </row>
    <row r="1496">
      <c r="A1496" s="148"/>
      <c r="B1496" s="75"/>
      <c r="C1496" s="75"/>
      <c r="D1496" s="75"/>
      <c r="E1496" s="75"/>
      <c r="F1496" s="75"/>
      <c r="G1496" s="75"/>
      <c r="H1496" s="75"/>
      <c r="I1496" s="75"/>
      <c r="J1496" s="166"/>
      <c r="K1496" s="166"/>
      <c r="R1496" s="163"/>
      <c r="S1496" s="163"/>
    </row>
    <row r="1497">
      <c r="A1497" s="148"/>
      <c r="B1497" s="75"/>
      <c r="C1497" s="75"/>
      <c r="D1497" s="75"/>
      <c r="E1497" s="75"/>
      <c r="F1497" s="75"/>
      <c r="G1497" s="75"/>
      <c r="H1497" s="75"/>
      <c r="I1497" s="75"/>
      <c r="J1497" s="166"/>
      <c r="K1497" s="166"/>
      <c r="R1497" s="163"/>
      <c r="S1497" s="163"/>
    </row>
    <row r="1498">
      <c r="A1498" s="148"/>
      <c r="B1498" s="75"/>
      <c r="C1498" s="75"/>
      <c r="D1498" s="75"/>
      <c r="E1498" s="75"/>
      <c r="F1498" s="75"/>
      <c r="G1498" s="75"/>
      <c r="H1498" s="75"/>
      <c r="I1498" s="75"/>
      <c r="J1498" s="166"/>
      <c r="K1498" s="166"/>
      <c r="R1498" s="163"/>
      <c r="S1498" s="163"/>
    </row>
    <row r="1499">
      <c r="A1499" s="148"/>
      <c r="B1499" s="75"/>
      <c r="C1499" s="75"/>
      <c r="D1499" s="75"/>
      <c r="E1499" s="75"/>
      <c r="F1499" s="75"/>
      <c r="G1499" s="75"/>
      <c r="H1499" s="75"/>
      <c r="I1499" s="75"/>
      <c r="J1499" s="166"/>
      <c r="K1499" s="166"/>
      <c r="R1499" s="163"/>
      <c r="S1499" s="163"/>
    </row>
    <row r="1500">
      <c r="A1500" s="148"/>
      <c r="B1500" s="75"/>
      <c r="C1500" s="75"/>
      <c r="D1500" s="75"/>
      <c r="E1500" s="75"/>
      <c r="F1500" s="75"/>
      <c r="G1500" s="75"/>
      <c r="H1500" s="75"/>
      <c r="I1500" s="75"/>
      <c r="J1500" s="166"/>
      <c r="K1500" s="166"/>
      <c r="R1500" s="163"/>
      <c r="S1500" s="163"/>
    </row>
    <row r="1501">
      <c r="A1501" s="148"/>
      <c r="B1501" s="75"/>
      <c r="C1501" s="75"/>
      <c r="D1501" s="75"/>
      <c r="E1501" s="75"/>
      <c r="F1501" s="75"/>
      <c r="G1501" s="75"/>
      <c r="H1501" s="75"/>
      <c r="I1501" s="75"/>
      <c r="J1501" s="166"/>
      <c r="K1501" s="166"/>
      <c r="R1501" s="163"/>
      <c r="S1501" s="163"/>
    </row>
    <row r="1502">
      <c r="A1502" s="148"/>
      <c r="B1502" s="75"/>
      <c r="C1502" s="75"/>
      <c r="D1502" s="75"/>
      <c r="E1502" s="75"/>
      <c r="F1502" s="75"/>
      <c r="G1502" s="75"/>
      <c r="H1502" s="75"/>
      <c r="I1502" s="75"/>
      <c r="J1502" s="166"/>
      <c r="K1502" s="166"/>
      <c r="R1502" s="163"/>
      <c r="S1502" s="163"/>
    </row>
    <row r="1503">
      <c r="A1503" s="148"/>
      <c r="B1503" s="75"/>
      <c r="C1503" s="75"/>
      <c r="D1503" s="75"/>
      <c r="E1503" s="75"/>
      <c r="F1503" s="75"/>
      <c r="G1503" s="75"/>
      <c r="H1503" s="75"/>
      <c r="I1503" s="75"/>
      <c r="J1503" s="166"/>
      <c r="K1503" s="166"/>
      <c r="R1503" s="173"/>
      <c r="S1503" s="173"/>
    </row>
    <row r="1504">
      <c r="A1504" s="148"/>
      <c r="B1504" s="75"/>
      <c r="C1504" s="75"/>
      <c r="D1504" s="75"/>
      <c r="E1504" s="75"/>
      <c r="F1504" s="75"/>
      <c r="G1504" s="75"/>
      <c r="H1504" s="75"/>
      <c r="I1504" s="75"/>
      <c r="J1504" s="166"/>
      <c r="K1504" s="166"/>
      <c r="R1504" s="157"/>
      <c r="S1504" s="157"/>
    </row>
    <row r="1505">
      <c r="A1505" s="148"/>
      <c r="B1505" s="75"/>
      <c r="C1505" s="75"/>
      <c r="D1505" s="75"/>
      <c r="E1505" s="75"/>
      <c r="F1505" s="75"/>
      <c r="G1505" s="75"/>
      <c r="H1505" s="75"/>
      <c r="I1505" s="75"/>
      <c r="J1505" s="166"/>
      <c r="K1505" s="166"/>
      <c r="R1505" s="163"/>
      <c r="S1505" s="163"/>
    </row>
    <row r="1506">
      <c r="A1506" s="148"/>
      <c r="B1506" s="75"/>
      <c r="C1506" s="75"/>
      <c r="D1506" s="75"/>
      <c r="E1506" s="75"/>
      <c r="F1506" s="75"/>
      <c r="G1506" s="75"/>
      <c r="H1506" s="75"/>
      <c r="I1506" s="75"/>
      <c r="J1506" s="166"/>
      <c r="K1506" s="166"/>
      <c r="R1506" s="163"/>
      <c r="S1506" s="163"/>
    </row>
    <row r="1507">
      <c r="A1507" s="148"/>
      <c r="B1507" s="75"/>
      <c r="C1507" s="75"/>
      <c r="D1507" s="75"/>
      <c r="E1507" s="75"/>
      <c r="F1507" s="75"/>
      <c r="G1507" s="75"/>
      <c r="H1507" s="75"/>
      <c r="I1507" s="75"/>
      <c r="J1507" s="166"/>
      <c r="K1507" s="166"/>
      <c r="R1507" s="163"/>
      <c r="S1507" s="163"/>
    </row>
    <row r="1508">
      <c r="A1508" s="148"/>
      <c r="B1508" s="75"/>
      <c r="C1508" s="75"/>
      <c r="D1508" s="75"/>
      <c r="E1508" s="75"/>
      <c r="F1508" s="75"/>
      <c r="G1508" s="75"/>
      <c r="H1508" s="75"/>
      <c r="I1508" s="75"/>
      <c r="J1508" s="166"/>
      <c r="K1508" s="166"/>
      <c r="R1508" s="163"/>
      <c r="S1508" s="163"/>
    </row>
    <row r="1509">
      <c r="A1509" s="148"/>
      <c r="B1509" s="75"/>
      <c r="C1509" s="75"/>
      <c r="D1509" s="75"/>
      <c r="E1509" s="75"/>
      <c r="F1509" s="75"/>
      <c r="G1509" s="75"/>
      <c r="H1509" s="75"/>
      <c r="I1509" s="75"/>
      <c r="J1509" s="166"/>
      <c r="K1509" s="166"/>
      <c r="R1509" s="163"/>
      <c r="S1509" s="163"/>
    </row>
    <row r="1510">
      <c r="A1510" s="148"/>
      <c r="B1510" s="75"/>
      <c r="C1510" s="75"/>
      <c r="D1510" s="75"/>
      <c r="E1510" s="75"/>
      <c r="F1510" s="75"/>
      <c r="G1510" s="75"/>
      <c r="H1510" s="75"/>
      <c r="I1510" s="75"/>
      <c r="J1510" s="166"/>
      <c r="K1510" s="166"/>
      <c r="R1510" s="163"/>
      <c r="S1510" s="163"/>
    </row>
    <row r="1511">
      <c r="A1511" s="148"/>
      <c r="B1511" s="75"/>
      <c r="C1511" s="75"/>
      <c r="D1511" s="75"/>
      <c r="E1511" s="75"/>
      <c r="F1511" s="75"/>
      <c r="G1511" s="75"/>
      <c r="H1511" s="75"/>
      <c r="I1511" s="75"/>
      <c r="J1511" s="166"/>
      <c r="K1511" s="166"/>
      <c r="R1511" s="163"/>
      <c r="S1511" s="163"/>
    </row>
    <row r="1512">
      <c r="A1512" s="148"/>
      <c r="B1512" s="75"/>
      <c r="C1512" s="75"/>
      <c r="D1512" s="75"/>
      <c r="E1512" s="75"/>
      <c r="F1512" s="75"/>
      <c r="G1512" s="75"/>
      <c r="H1512" s="75"/>
      <c r="I1512" s="75"/>
      <c r="J1512" s="166"/>
      <c r="K1512" s="166"/>
      <c r="R1512" s="163"/>
      <c r="S1512" s="163"/>
    </row>
    <row r="1513">
      <c r="A1513" s="148"/>
      <c r="B1513" s="75"/>
      <c r="C1513" s="75"/>
      <c r="D1513" s="75"/>
      <c r="E1513" s="75"/>
      <c r="F1513" s="75"/>
      <c r="G1513" s="75"/>
      <c r="H1513" s="75"/>
      <c r="I1513" s="75"/>
      <c r="J1513" s="166"/>
      <c r="K1513" s="166"/>
      <c r="R1513" s="163"/>
      <c r="S1513" s="163"/>
    </row>
    <row r="1514">
      <c r="A1514" s="148"/>
      <c r="B1514" s="75"/>
      <c r="C1514" s="75"/>
      <c r="D1514" s="75"/>
      <c r="E1514" s="75"/>
      <c r="F1514" s="75"/>
      <c r="G1514" s="75"/>
      <c r="H1514" s="75"/>
      <c r="I1514" s="75"/>
      <c r="J1514" s="166"/>
      <c r="K1514" s="166"/>
      <c r="R1514" s="163"/>
      <c r="S1514" s="163"/>
    </row>
    <row r="1515">
      <c r="A1515" s="148"/>
      <c r="B1515" s="75"/>
      <c r="C1515" s="75"/>
      <c r="D1515" s="75"/>
      <c r="E1515" s="75"/>
      <c r="F1515" s="75"/>
      <c r="G1515" s="75"/>
      <c r="H1515" s="75"/>
      <c r="I1515" s="75"/>
      <c r="J1515" s="166"/>
      <c r="K1515" s="166"/>
      <c r="R1515" s="173"/>
      <c r="S1515" s="173"/>
    </row>
    <row r="1516">
      <c r="A1516" s="148"/>
      <c r="B1516" s="75"/>
      <c r="C1516" s="75"/>
      <c r="D1516" s="75"/>
      <c r="E1516" s="75"/>
      <c r="F1516" s="75"/>
      <c r="G1516" s="75"/>
      <c r="H1516" s="75"/>
      <c r="I1516" s="75"/>
      <c r="J1516" s="166"/>
      <c r="K1516" s="166"/>
      <c r="R1516" s="157"/>
      <c r="S1516" s="157"/>
    </row>
    <row r="1517">
      <c r="A1517" s="148"/>
      <c r="B1517" s="75"/>
      <c r="C1517" s="75"/>
      <c r="D1517" s="75"/>
      <c r="E1517" s="75"/>
      <c r="F1517" s="75"/>
      <c r="G1517" s="75"/>
      <c r="H1517" s="75"/>
      <c r="I1517" s="75"/>
      <c r="J1517" s="166"/>
      <c r="K1517" s="166"/>
      <c r="R1517" s="163"/>
      <c r="S1517" s="163"/>
    </row>
    <row r="1518">
      <c r="A1518" s="148"/>
      <c r="B1518" s="75"/>
      <c r="C1518" s="75"/>
      <c r="D1518" s="75"/>
      <c r="E1518" s="75"/>
      <c r="F1518" s="75"/>
      <c r="G1518" s="75"/>
      <c r="H1518" s="75"/>
      <c r="I1518" s="75"/>
      <c r="J1518" s="166"/>
      <c r="K1518" s="166"/>
      <c r="R1518" s="163"/>
      <c r="S1518" s="163"/>
    </row>
    <row r="1519">
      <c r="A1519" s="148"/>
      <c r="B1519" s="75"/>
      <c r="C1519" s="75"/>
      <c r="D1519" s="75"/>
      <c r="E1519" s="75"/>
      <c r="F1519" s="75"/>
      <c r="G1519" s="75"/>
      <c r="H1519" s="75"/>
      <c r="I1519" s="75"/>
      <c r="J1519" s="166"/>
      <c r="K1519" s="166"/>
      <c r="R1519" s="163"/>
      <c r="S1519" s="163"/>
    </row>
    <row r="1520">
      <c r="A1520" s="148"/>
      <c r="B1520" s="75"/>
      <c r="C1520" s="75"/>
      <c r="D1520" s="75"/>
      <c r="E1520" s="75"/>
      <c r="F1520" s="75"/>
      <c r="G1520" s="75"/>
      <c r="H1520" s="75"/>
      <c r="I1520" s="75"/>
      <c r="J1520" s="166"/>
      <c r="K1520" s="166"/>
      <c r="R1520" s="163"/>
      <c r="S1520" s="163"/>
    </row>
    <row r="1521">
      <c r="A1521" s="148"/>
      <c r="B1521" s="75"/>
      <c r="C1521" s="75"/>
      <c r="D1521" s="75"/>
      <c r="E1521" s="75"/>
      <c r="F1521" s="75"/>
      <c r="G1521" s="75"/>
      <c r="H1521" s="75"/>
      <c r="I1521" s="75"/>
      <c r="J1521" s="166"/>
      <c r="K1521" s="166"/>
      <c r="R1521" s="163"/>
      <c r="S1521" s="163"/>
    </row>
    <row r="1522">
      <c r="A1522" s="148"/>
      <c r="B1522" s="75"/>
      <c r="C1522" s="75"/>
      <c r="D1522" s="75"/>
      <c r="E1522" s="75"/>
      <c r="F1522" s="75"/>
      <c r="G1522" s="75"/>
      <c r="H1522" s="75"/>
      <c r="I1522" s="75"/>
      <c r="J1522" s="166"/>
      <c r="K1522" s="166"/>
      <c r="R1522" s="163"/>
      <c r="S1522" s="163"/>
    </row>
    <row r="1523">
      <c r="A1523" s="148"/>
      <c r="B1523" s="75"/>
      <c r="C1523" s="75"/>
      <c r="D1523" s="75"/>
      <c r="E1523" s="75"/>
      <c r="F1523" s="75"/>
      <c r="G1523" s="75"/>
      <c r="H1523" s="75"/>
      <c r="I1523" s="75"/>
      <c r="J1523" s="166"/>
      <c r="K1523" s="166"/>
      <c r="R1523" s="163"/>
      <c r="S1523" s="163"/>
    </row>
    <row r="1524">
      <c r="A1524" s="148"/>
      <c r="B1524" s="75"/>
      <c r="C1524" s="75"/>
      <c r="D1524" s="75"/>
      <c r="E1524" s="75"/>
      <c r="F1524" s="75"/>
      <c r="G1524" s="75"/>
      <c r="H1524" s="75"/>
      <c r="I1524" s="75"/>
      <c r="J1524" s="166"/>
      <c r="K1524" s="166"/>
      <c r="R1524" s="163"/>
      <c r="S1524" s="163"/>
    </row>
    <row r="1525">
      <c r="A1525" s="148"/>
      <c r="B1525" s="75"/>
      <c r="C1525" s="75"/>
      <c r="D1525" s="75"/>
      <c r="E1525" s="75"/>
      <c r="F1525" s="75"/>
      <c r="G1525" s="75"/>
      <c r="H1525" s="75"/>
      <c r="I1525" s="75"/>
      <c r="J1525" s="166"/>
      <c r="K1525" s="166"/>
      <c r="R1525" s="163"/>
      <c r="S1525" s="163"/>
    </row>
    <row r="1526">
      <c r="A1526" s="148"/>
      <c r="B1526" s="75"/>
      <c r="C1526" s="75"/>
      <c r="D1526" s="75"/>
      <c r="E1526" s="75"/>
      <c r="F1526" s="75"/>
      <c r="G1526" s="75"/>
      <c r="H1526" s="75"/>
      <c r="I1526" s="75"/>
      <c r="J1526" s="166"/>
      <c r="K1526" s="166"/>
      <c r="R1526" s="163"/>
      <c r="S1526" s="163"/>
    </row>
    <row r="1527">
      <c r="A1527" s="148"/>
      <c r="B1527" s="75"/>
      <c r="C1527" s="75"/>
      <c r="D1527" s="75"/>
      <c r="E1527" s="75"/>
      <c r="F1527" s="75"/>
      <c r="G1527" s="75"/>
      <c r="H1527" s="75"/>
      <c r="I1527" s="75"/>
      <c r="J1527" s="166"/>
      <c r="K1527" s="166"/>
      <c r="R1527" s="173"/>
      <c r="S1527" s="173"/>
    </row>
    <row r="1528">
      <c r="A1528" s="148"/>
      <c r="B1528" s="75"/>
      <c r="C1528" s="75"/>
      <c r="D1528" s="75"/>
      <c r="E1528" s="75"/>
      <c r="F1528" s="75"/>
      <c r="G1528" s="75"/>
      <c r="H1528" s="75"/>
      <c r="I1528" s="75"/>
      <c r="J1528" s="166"/>
      <c r="K1528" s="166"/>
      <c r="R1528" s="157"/>
      <c r="S1528" s="157"/>
    </row>
    <row r="1529">
      <c r="A1529" s="148"/>
      <c r="B1529" s="75"/>
      <c r="C1529" s="75"/>
      <c r="D1529" s="75"/>
      <c r="E1529" s="75"/>
      <c r="F1529" s="75"/>
      <c r="G1529" s="75"/>
      <c r="H1529" s="75"/>
      <c r="I1529" s="75"/>
      <c r="J1529" s="166"/>
      <c r="K1529" s="166"/>
      <c r="R1529" s="163"/>
      <c r="S1529" s="163"/>
    </row>
    <row r="1530">
      <c r="A1530" s="148"/>
      <c r="B1530" s="75"/>
      <c r="C1530" s="75"/>
      <c r="D1530" s="75"/>
      <c r="E1530" s="75"/>
      <c r="F1530" s="75"/>
      <c r="G1530" s="75"/>
      <c r="H1530" s="75"/>
      <c r="I1530" s="75"/>
      <c r="J1530" s="166"/>
      <c r="K1530" s="166"/>
      <c r="R1530" s="163"/>
      <c r="S1530" s="163"/>
    </row>
    <row r="1531">
      <c r="A1531" s="148"/>
      <c r="B1531" s="75"/>
      <c r="C1531" s="75"/>
      <c r="D1531" s="75"/>
      <c r="E1531" s="75"/>
      <c r="F1531" s="75"/>
      <c r="G1531" s="75"/>
      <c r="H1531" s="75"/>
      <c r="I1531" s="75"/>
      <c r="J1531" s="166"/>
      <c r="K1531" s="166"/>
      <c r="R1531" s="163"/>
      <c r="S1531" s="163"/>
    </row>
    <row r="1532">
      <c r="A1532" s="148"/>
      <c r="B1532" s="75"/>
      <c r="C1532" s="75"/>
      <c r="D1532" s="75"/>
      <c r="E1532" s="75"/>
      <c r="F1532" s="75"/>
      <c r="G1532" s="75"/>
      <c r="H1532" s="75"/>
      <c r="I1532" s="75"/>
      <c r="J1532" s="166"/>
      <c r="K1532" s="166"/>
      <c r="R1532" s="163"/>
      <c r="S1532" s="163"/>
    </row>
    <row r="1533">
      <c r="A1533" s="148"/>
      <c r="B1533" s="75"/>
      <c r="C1533" s="75"/>
      <c r="D1533" s="75"/>
      <c r="E1533" s="75"/>
      <c r="F1533" s="75"/>
      <c r="G1533" s="75"/>
      <c r="H1533" s="75"/>
      <c r="I1533" s="75"/>
      <c r="J1533" s="166"/>
      <c r="K1533" s="166"/>
      <c r="R1533" s="163"/>
      <c r="S1533" s="163"/>
    </row>
    <row r="1534">
      <c r="A1534" s="148"/>
      <c r="B1534" s="75"/>
      <c r="C1534" s="75"/>
      <c r="D1534" s="75"/>
      <c r="E1534" s="75"/>
      <c r="F1534" s="75"/>
      <c r="G1534" s="75"/>
      <c r="H1534" s="75"/>
      <c r="I1534" s="75"/>
      <c r="J1534" s="166"/>
      <c r="K1534" s="166"/>
      <c r="R1534" s="163"/>
      <c r="S1534" s="163"/>
    </row>
    <row r="1535">
      <c r="A1535" s="148"/>
      <c r="B1535" s="75"/>
      <c r="C1535" s="75"/>
      <c r="D1535" s="75"/>
      <c r="E1535" s="75"/>
      <c r="F1535" s="75"/>
      <c r="G1535" s="75"/>
      <c r="H1535" s="75"/>
      <c r="I1535" s="75"/>
      <c r="J1535" s="166"/>
      <c r="K1535" s="166"/>
      <c r="R1535" s="163"/>
      <c r="S1535" s="163"/>
    </row>
    <row r="1536">
      <c r="A1536" s="148"/>
      <c r="B1536" s="75"/>
      <c r="C1536" s="75"/>
      <c r="D1536" s="75"/>
      <c r="E1536" s="75"/>
      <c r="F1536" s="75"/>
      <c r="G1536" s="75"/>
      <c r="H1536" s="75"/>
      <c r="I1536" s="75"/>
      <c r="J1536" s="166"/>
      <c r="K1536" s="166"/>
      <c r="R1536" s="163"/>
      <c r="S1536" s="163"/>
    </row>
    <row r="1537">
      <c r="A1537" s="148"/>
      <c r="B1537" s="75"/>
      <c r="C1537" s="75"/>
      <c r="D1537" s="75"/>
      <c r="E1537" s="75"/>
      <c r="F1537" s="75"/>
      <c r="G1537" s="75"/>
      <c r="H1537" s="75"/>
      <c r="I1537" s="75"/>
      <c r="J1537" s="166"/>
      <c r="K1537" s="166"/>
      <c r="R1537" s="163"/>
      <c r="S1537" s="163"/>
    </row>
    <row r="1538">
      <c r="A1538" s="148"/>
      <c r="B1538" s="75"/>
      <c r="C1538" s="75"/>
      <c r="D1538" s="75"/>
      <c r="E1538" s="75"/>
      <c r="F1538" s="75"/>
      <c r="G1538" s="75"/>
      <c r="H1538" s="75"/>
      <c r="I1538" s="75"/>
      <c r="J1538" s="166"/>
      <c r="K1538" s="166"/>
      <c r="R1538" s="163"/>
      <c r="S1538" s="163"/>
    </row>
    <row r="1539">
      <c r="A1539" s="148"/>
      <c r="B1539" s="75"/>
      <c r="C1539" s="75"/>
      <c r="D1539" s="75"/>
      <c r="E1539" s="75"/>
      <c r="F1539" s="75"/>
      <c r="G1539" s="75"/>
      <c r="H1539" s="75"/>
      <c r="I1539" s="75"/>
      <c r="J1539" s="166"/>
      <c r="K1539" s="166"/>
      <c r="R1539" s="173"/>
      <c r="S1539" s="173"/>
    </row>
    <row r="1540">
      <c r="A1540" s="148"/>
      <c r="B1540" s="75"/>
      <c r="C1540" s="75"/>
      <c r="D1540" s="75"/>
      <c r="E1540" s="75"/>
      <c r="F1540" s="75"/>
      <c r="G1540" s="75"/>
      <c r="H1540" s="75"/>
      <c r="I1540" s="75"/>
      <c r="J1540" s="166"/>
      <c r="K1540" s="166"/>
      <c r="R1540" s="157"/>
      <c r="S1540" s="157"/>
    </row>
    <row r="1541">
      <c r="A1541" s="148"/>
      <c r="B1541" s="75"/>
      <c r="C1541" s="75"/>
      <c r="D1541" s="75"/>
      <c r="E1541" s="75"/>
      <c r="F1541" s="75"/>
      <c r="G1541" s="75"/>
      <c r="H1541" s="75"/>
      <c r="I1541" s="75"/>
      <c r="J1541" s="166"/>
      <c r="K1541" s="166"/>
      <c r="R1541" s="163"/>
      <c r="S1541" s="163"/>
    </row>
    <row r="1542">
      <c r="A1542" s="148"/>
      <c r="B1542" s="75"/>
      <c r="C1542" s="75"/>
      <c r="D1542" s="75"/>
      <c r="E1542" s="75"/>
      <c r="F1542" s="75"/>
      <c r="G1542" s="75"/>
      <c r="H1542" s="75"/>
      <c r="I1542" s="75"/>
      <c r="J1542" s="166"/>
      <c r="K1542" s="166"/>
      <c r="R1542" s="163"/>
      <c r="S1542" s="163"/>
    </row>
    <row r="1543">
      <c r="A1543" s="148"/>
      <c r="B1543" s="75"/>
      <c r="C1543" s="75"/>
      <c r="D1543" s="75"/>
      <c r="E1543" s="75"/>
      <c r="F1543" s="75"/>
      <c r="G1543" s="75"/>
      <c r="H1543" s="75"/>
      <c r="I1543" s="75"/>
      <c r="J1543" s="166"/>
      <c r="K1543" s="166"/>
      <c r="R1543" s="163"/>
      <c r="S1543" s="163"/>
    </row>
    <row r="1544">
      <c r="A1544" s="148"/>
      <c r="B1544" s="75"/>
      <c r="C1544" s="75"/>
      <c r="D1544" s="75"/>
      <c r="E1544" s="75"/>
      <c r="F1544" s="75"/>
      <c r="G1544" s="75"/>
      <c r="H1544" s="75"/>
      <c r="I1544" s="75"/>
      <c r="J1544" s="166"/>
      <c r="K1544" s="166"/>
      <c r="R1544" s="163"/>
      <c r="S1544" s="163"/>
    </row>
    <row r="1545">
      <c r="A1545" s="148"/>
      <c r="B1545" s="75"/>
      <c r="C1545" s="75"/>
      <c r="D1545" s="75"/>
      <c r="E1545" s="75"/>
      <c r="F1545" s="75"/>
      <c r="G1545" s="75"/>
      <c r="H1545" s="75"/>
      <c r="I1545" s="75"/>
      <c r="J1545" s="166"/>
      <c r="K1545" s="166"/>
      <c r="R1545" s="163"/>
      <c r="S1545" s="163"/>
    </row>
    <row r="1546">
      <c r="A1546" s="148"/>
      <c r="B1546" s="75"/>
      <c r="C1546" s="75"/>
      <c r="D1546" s="75"/>
      <c r="E1546" s="75"/>
      <c r="F1546" s="75"/>
      <c r="G1546" s="75"/>
      <c r="H1546" s="75"/>
      <c r="I1546" s="75"/>
      <c r="J1546" s="166"/>
      <c r="K1546" s="166"/>
      <c r="R1546" s="163"/>
      <c r="S1546" s="163"/>
    </row>
    <row r="1547">
      <c r="A1547" s="148"/>
      <c r="B1547" s="75"/>
      <c r="C1547" s="75"/>
      <c r="D1547" s="75"/>
      <c r="E1547" s="75"/>
      <c r="F1547" s="75"/>
      <c r="G1547" s="75"/>
      <c r="H1547" s="75"/>
      <c r="I1547" s="75"/>
      <c r="J1547" s="166"/>
      <c r="K1547" s="166"/>
      <c r="R1547" s="163"/>
      <c r="S1547" s="163"/>
    </row>
    <row r="1548">
      <c r="A1548" s="148"/>
      <c r="B1548" s="75"/>
      <c r="C1548" s="75"/>
      <c r="D1548" s="75"/>
      <c r="E1548" s="75"/>
      <c r="F1548" s="75"/>
      <c r="G1548" s="75"/>
      <c r="H1548" s="75"/>
      <c r="I1548" s="75"/>
      <c r="J1548" s="166"/>
      <c r="K1548" s="166"/>
      <c r="R1548" s="163"/>
      <c r="S1548" s="163"/>
    </row>
    <row r="1549">
      <c r="A1549" s="148"/>
      <c r="B1549" s="75"/>
      <c r="C1549" s="75"/>
      <c r="D1549" s="75"/>
      <c r="E1549" s="75"/>
      <c r="F1549" s="75"/>
      <c r="G1549" s="75"/>
      <c r="H1549" s="75"/>
      <c r="I1549" s="75"/>
      <c r="J1549" s="166"/>
      <c r="K1549" s="166"/>
      <c r="R1549" s="163"/>
      <c r="S1549" s="163"/>
    </row>
    <row r="1550">
      <c r="A1550" s="148"/>
      <c r="B1550" s="75"/>
      <c r="C1550" s="75"/>
      <c r="D1550" s="75"/>
      <c r="E1550" s="75"/>
      <c r="F1550" s="75"/>
      <c r="G1550" s="75"/>
      <c r="H1550" s="75"/>
      <c r="I1550" s="75"/>
      <c r="J1550" s="166"/>
      <c r="K1550" s="166"/>
      <c r="R1550" s="163"/>
      <c r="S1550" s="163"/>
    </row>
    <row r="1551">
      <c r="A1551" s="148"/>
      <c r="B1551" s="75"/>
      <c r="C1551" s="75"/>
      <c r="D1551" s="75"/>
      <c r="E1551" s="75"/>
      <c r="F1551" s="75"/>
      <c r="G1551" s="75"/>
      <c r="H1551" s="75"/>
      <c r="I1551" s="75"/>
      <c r="J1551" s="166"/>
      <c r="K1551" s="166"/>
      <c r="R1551" s="173"/>
      <c r="S1551" s="173"/>
    </row>
    <row r="1552">
      <c r="A1552" s="148"/>
      <c r="B1552" s="75"/>
      <c r="C1552" s="75"/>
      <c r="D1552" s="75"/>
      <c r="E1552" s="75"/>
      <c r="F1552" s="75"/>
      <c r="G1552" s="75"/>
      <c r="H1552" s="75"/>
      <c r="I1552" s="75"/>
      <c r="J1552" s="166"/>
      <c r="K1552" s="166"/>
      <c r="R1552" s="157"/>
      <c r="S1552" s="157"/>
    </row>
    <row r="1553">
      <c r="A1553" s="148"/>
      <c r="B1553" s="75"/>
      <c r="C1553" s="75"/>
      <c r="D1553" s="75"/>
      <c r="E1553" s="75"/>
      <c r="F1553" s="75"/>
      <c r="G1553" s="75"/>
      <c r="H1553" s="75"/>
      <c r="I1553" s="75"/>
      <c r="J1553" s="166"/>
      <c r="K1553" s="166"/>
      <c r="R1553" s="163"/>
      <c r="S1553" s="163"/>
    </row>
    <row r="1554">
      <c r="A1554" s="148"/>
      <c r="B1554" s="75"/>
      <c r="C1554" s="75"/>
      <c r="D1554" s="75"/>
      <c r="E1554" s="75"/>
      <c r="F1554" s="75"/>
      <c r="G1554" s="75"/>
      <c r="H1554" s="75"/>
      <c r="I1554" s="75"/>
      <c r="J1554" s="166"/>
      <c r="K1554" s="166"/>
      <c r="R1554" s="163"/>
      <c r="S1554" s="163"/>
    </row>
    <row r="1555">
      <c r="A1555" s="148"/>
      <c r="B1555" s="75"/>
      <c r="C1555" s="75"/>
      <c r="D1555" s="75"/>
      <c r="E1555" s="75"/>
      <c r="F1555" s="75"/>
      <c r="G1555" s="75"/>
      <c r="H1555" s="75"/>
      <c r="I1555" s="75"/>
      <c r="J1555" s="166"/>
      <c r="K1555" s="166"/>
      <c r="R1555" s="163"/>
      <c r="S1555" s="163"/>
    </row>
    <row r="1556">
      <c r="A1556" s="148"/>
      <c r="B1556" s="75"/>
      <c r="C1556" s="75"/>
      <c r="D1556" s="75"/>
      <c r="E1556" s="75"/>
      <c r="F1556" s="75"/>
      <c r="G1556" s="75"/>
      <c r="H1556" s="75"/>
      <c r="I1556" s="75"/>
      <c r="J1556" s="166"/>
      <c r="K1556" s="166"/>
      <c r="R1556" s="163"/>
      <c r="S1556" s="163"/>
    </row>
    <row r="1557">
      <c r="A1557" s="148"/>
      <c r="B1557" s="75"/>
      <c r="C1557" s="75"/>
      <c r="D1557" s="75"/>
      <c r="E1557" s="75"/>
      <c r="F1557" s="75"/>
      <c r="G1557" s="75"/>
      <c r="H1557" s="75"/>
      <c r="I1557" s="75"/>
      <c r="J1557" s="166"/>
      <c r="K1557" s="166"/>
      <c r="R1557" s="163"/>
      <c r="S1557" s="163"/>
    </row>
    <row r="1558">
      <c r="A1558" s="148"/>
      <c r="B1558" s="75"/>
      <c r="C1558" s="75"/>
      <c r="D1558" s="75"/>
      <c r="E1558" s="75"/>
      <c r="F1558" s="75"/>
      <c r="G1558" s="75"/>
      <c r="H1558" s="75"/>
      <c r="I1558" s="75"/>
      <c r="J1558" s="166"/>
      <c r="K1558" s="166"/>
      <c r="R1558" s="163"/>
      <c r="S1558" s="163"/>
    </row>
    <row r="1559">
      <c r="A1559" s="148"/>
      <c r="B1559" s="75"/>
      <c r="C1559" s="75"/>
      <c r="D1559" s="75"/>
      <c r="E1559" s="75"/>
      <c r="F1559" s="75"/>
      <c r="G1559" s="75"/>
      <c r="H1559" s="75"/>
      <c r="I1559" s="75"/>
      <c r="J1559" s="166"/>
      <c r="K1559" s="166"/>
      <c r="R1559" s="163"/>
      <c r="S1559" s="163"/>
    </row>
    <row r="1560">
      <c r="A1560" s="148"/>
      <c r="B1560" s="75"/>
      <c r="C1560" s="75"/>
      <c r="D1560" s="75"/>
      <c r="E1560" s="75"/>
      <c r="F1560" s="75"/>
      <c r="G1560" s="75"/>
      <c r="H1560" s="75"/>
      <c r="I1560" s="75"/>
      <c r="J1560" s="166"/>
      <c r="K1560" s="166"/>
      <c r="R1560" s="163"/>
      <c r="S1560" s="163"/>
    </row>
    <row r="1561">
      <c r="A1561" s="148"/>
      <c r="B1561" s="75"/>
      <c r="C1561" s="75"/>
      <c r="D1561" s="75"/>
      <c r="E1561" s="75"/>
      <c r="F1561" s="75"/>
      <c r="G1561" s="75"/>
      <c r="H1561" s="75"/>
      <c r="I1561" s="75"/>
      <c r="J1561" s="166"/>
      <c r="K1561" s="166"/>
      <c r="R1561" s="163"/>
      <c r="S1561" s="163"/>
    </row>
    <row r="1562">
      <c r="A1562" s="148"/>
      <c r="B1562" s="75"/>
      <c r="C1562" s="75"/>
      <c r="D1562" s="75"/>
      <c r="E1562" s="75"/>
      <c r="F1562" s="75"/>
      <c r="G1562" s="75"/>
      <c r="H1562" s="75"/>
      <c r="I1562" s="75"/>
      <c r="J1562" s="166"/>
      <c r="K1562" s="166"/>
      <c r="R1562" s="163"/>
      <c r="S1562" s="163"/>
    </row>
    <row r="1563">
      <c r="A1563" s="148"/>
      <c r="B1563" s="75"/>
      <c r="C1563" s="75"/>
      <c r="D1563" s="75"/>
      <c r="E1563" s="75"/>
      <c r="F1563" s="75"/>
      <c r="G1563" s="75"/>
      <c r="H1563" s="75"/>
      <c r="I1563" s="75"/>
      <c r="J1563" s="166"/>
      <c r="K1563" s="166"/>
      <c r="R1563" s="173"/>
      <c r="S1563" s="173"/>
    </row>
    <row r="1564">
      <c r="A1564" s="148"/>
      <c r="B1564" s="75"/>
      <c r="C1564" s="75"/>
      <c r="D1564" s="75"/>
      <c r="E1564" s="75"/>
      <c r="F1564" s="75"/>
      <c r="G1564" s="75"/>
      <c r="H1564" s="75"/>
      <c r="I1564" s="75"/>
      <c r="J1564" s="166"/>
      <c r="K1564" s="166"/>
      <c r="R1564" s="157"/>
      <c r="S1564" s="157"/>
    </row>
    <row r="1565">
      <c r="A1565" s="148"/>
      <c r="B1565" s="75"/>
      <c r="C1565" s="75"/>
      <c r="D1565" s="75"/>
      <c r="E1565" s="75"/>
      <c r="F1565" s="75"/>
      <c r="G1565" s="75"/>
      <c r="H1565" s="75"/>
      <c r="I1565" s="75"/>
      <c r="J1565" s="166"/>
      <c r="K1565" s="166"/>
      <c r="R1565" s="163"/>
      <c r="S1565" s="163"/>
    </row>
    <row r="1566">
      <c r="A1566" s="148"/>
      <c r="B1566" s="75"/>
      <c r="C1566" s="75"/>
      <c r="D1566" s="75"/>
      <c r="E1566" s="75"/>
      <c r="F1566" s="75"/>
      <c r="G1566" s="75"/>
      <c r="H1566" s="75"/>
      <c r="I1566" s="75"/>
      <c r="J1566" s="166"/>
      <c r="K1566" s="166"/>
      <c r="R1566" s="163"/>
      <c r="S1566" s="163"/>
    </row>
    <row r="1567">
      <c r="A1567" s="148"/>
      <c r="B1567" s="75"/>
      <c r="C1567" s="75"/>
      <c r="D1567" s="75"/>
      <c r="E1567" s="75"/>
      <c r="F1567" s="75"/>
      <c r="G1567" s="75"/>
      <c r="H1567" s="75"/>
      <c r="I1567" s="75"/>
      <c r="J1567" s="166"/>
      <c r="K1567" s="166"/>
      <c r="R1567" s="163"/>
      <c r="S1567" s="163"/>
    </row>
    <row r="1568">
      <c r="A1568" s="148"/>
      <c r="B1568" s="75"/>
      <c r="C1568" s="75"/>
      <c r="D1568" s="75"/>
      <c r="E1568" s="75"/>
      <c r="F1568" s="75"/>
      <c r="G1568" s="75"/>
      <c r="H1568" s="75"/>
      <c r="I1568" s="75"/>
      <c r="J1568" s="166"/>
      <c r="K1568" s="166"/>
      <c r="R1568" s="163"/>
      <c r="S1568" s="163"/>
    </row>
    <row r="1569">
      <c r="A1569" s="148"/>
      <c r="B1569" s="75"/>
      <c r="C1569" s="75"/>
      <c r="D1569" s="75"/>
      <c r="E1569" s="75"/>
      <c r="F1569" s="75"/>
      <c r="G1569" s="75"/>
      <c r="H1569" s="75"/>
      <c r="I1569" s="75"/>
      <c r="J1569" s="166"/>
      <c r="K1569" s="166"/>
      <c r="R1569" s="163"/>
      <c r="S1569" s="163"/>
    </row>
    <row r="1570">
      <c r="A1570" s="148"/>
      <c r="B1570" s="75"/>
      <c r="C1570" s="75"/>
      <c r="D1570" s="75"/>
      <c r="E1570" s="75"/>
      <c r="F1570" s="75"/>
      <c r="G1570" s="75"/>
      <c r="H1570" s="75"/>
      <c r="I1570" s="75"/>
      <c r="J1570" s="166"/>
      <c r="K1570" s="166"/>
      <c r="R1570" s="163"/>
      <c r="S1570" s="163"/>
    </row>
    <row r="1571">
      <c r="A1571" s="148"/>
      <c r="B1571" s="75"/>
      <c r="C1571" s="75"/>
      <c r="D1571" s="75"/>
      <c r="E1571" s="75"/>
      <c r="F1571" s="75"/>
      <c r="G1571" s="75"/>
      <c r="H1571" s="75"/>
      <c r="I1571" s="75"/>
      <c r="J1571" s="166"/>
      <c r="K1571" s="166"/>
      <c r="R1571" s="163"/>
      <c r="S1571" s="163"/>
    </row>
    <row r="1572">
      <c r="A1572" s="148"/>
      <c r="B1572" s="75"/>
      <c r="C1572" s="75"/>
      <c r="D1572" s="75"/>
      <c r="E1572" s="75"/>
      <c r="F1572" s="75"/>
      <c r="G1572" s="75"/>
      <c r="H1572" s="75"/>
      <c r="I1572" s="75"/>
      <c r="J1572" s="166"/>
      <c r="K1572" s="166"/>
      <c r="R1572" s="163"/>
      <c r="S1572" s="163"/>
    </row>
    <row r="1573">
      <c r="A1573" s="148"/>
      <c r="B1573" s="75"/>
      <c r="C1573" s="75"/>
      <c r="D1573" s="75"/>
      <c r="E1573" s="75"/>
      <c r="F1573" s="75"/>
      <c r="G1573" s="75"/>
      <c r="H1573" s="75"/>
      <c r="I1573" s="75"/>
      <c r="J1573" s="166"/>
      <c r="K1573" s="166"/>
      <c r="R1573" s="163"/>
      <c r="S1573" s="163"/>
    </row>
    <row r="1574">
      <c r="A1574" s="148"/>
      <c r="B1574" s="75"/>
      <c r="C1574" s="75"/>
      <c r="D1574" s="75"/>
      <c r="E1574" s="75"/>
      <c r="F1574" s="75"/>
      <c r="G1574" s="75"/>
      <c r="H1574" s="75"/>
      <c r="I1574" s="75"/>
      <c r="J1574" s="166"/>
      <c r="K1574" s="166"/>
      <c r="R1574" s="163"/>
      <c r="S1574" s="163"/>
    </row>
    <row r="1575">
      <c r="A1575" s="148"/>
      <c r="B1575" s="75"/>
      <c r="C1575" s="75"/>
      <c r="D1575" s="75"/>
      <c r="E1575" s="75"/>
      <c r="F1575" s="75"/>
      <c r="G1575" s="75"/>
      <c r="H1575" s="75"/>
      <c r="I1575" s="75"/>
      <c r="J1575" s="166"/>
      <c r="K1575" s="166"/>
      <c r="R1575" s="173"/>
      <c r="S1575" s="173"/>
    </row>
    <row r="1576">
      <c r="A1576" s="148"/>
      <c r="B1576" s="75"/>
      <c r="C1576" s="75"/>
      <c r="D1576" s="75"/>
      <c r="E1576" s="75"/>
      <c r="F1576" s="75"/>
      <c r="G1576" s="75"/>
      <c r="H1576" s="75"/>
      <c r="I1576" s="75"/>
      <c r="J1576" s="166"/>
      <c r="K1576" s="166"/>
      <c r="R1576" s="157"/>
      <c r="S1576" s="157"/>
    </row>
    <row r="1577">
      <c r="A1577" s="148"/>
      <c r="B1577" s="75"/>
      <c r="C1577" s="75"/>
      <c r="D1577" s="75"/>
      <c r="E1577" s="75"/>
      <c r="F1577" s="75"/>
      <c r="G1577" s="75"/>
      <c r="H1577" s="75"/>
      <c r="I1577" s="75"/>
      <c r="J1577" s="166"/>
      <c r="K1577" s="166"/>
      <c r="R1577" s="163"/>
      <c r="S1577" s="163"/>
    </row>
    <row r="1578">
      <c r="A1578" s="148"/>
      <c r="B1578" s="75"/>
      <c r="C1578" s="75"/>
      <c r="D1578" s="75"/>
      <c r="E1578" s="75"/>
      <c r="F1578" s="75"/>
      <c r="G1578" s="75"/>
      <c r="H1578" s="75"/>
      <c r="I1578" s="75"/>
      <c r="J1578" s="166"/>
      <c r="K1578" s="166"/>
      <c r="R1578" s="163"/>
      <c r="S1578" s="163"/>
    </row>
    <row r="1579">
      <c r="A1579" s="148"/>
      <c r="B1579" s="75"/>
      <c r="C1579" s="75"/>
      <c r="D1579" s="75"/>
      <c r="E1579" s="75"/>
      <c r="F1579" s="75"/>
      <c r="G1579" s="75"/>
      <c r="H1579" s="75"/>
      <c r="I1579" s="75"/>
      <c r="J1579" s="166"/>
      <c r="K1579" s="166"/>
      <c r="R1579" s="163"/>
      <c r="S1579" s="163"/>
    </row>
    <row r="1580">
      <c r="A1580" s="148"/>
      <c r="B1580" s="75"/>
      <c r="C1580" s="75"/>
      <c r="D1580" s="75"/>
      <c r="E1580" s="75"/>
      <c r="F1580" s="75"/>
      <c r="G1580" s="75"/>
      <c r="H1580" s="75"/>
      <c r="I1580" s="75"/>
      <c r="J1580" s="166"/>
      <c r="K1580" s="166"/>
      <c r="R1580" s="163"/>
      <c r="S1580" s="163"/>
    </row>
    <row r="1581">
      <c r="A1581" s="148"/>
      <c r="B1581" s="75"/>
      <c r="C1581" s="75"/>
      <c r="D1581" s="75"/>
      <c r="E1581" s="75"/>
      <c r="F1581" s="75"/>
      <c r="G1581" s="75"/>
      <c r="H1581" s="75"/>
      <c r="I1581" s="75"/>
      <c r="J1581" s="166"/>
      <c r="K1581" s="166"/>
      <c r="R1581" s="163"/>
      <c r="S1581" s="163"/>
    </row>
    <row r="1582">
      <c r="A1582" s="148"/>
      <c r="B1582" s="75"/>
      <c r="C1582" s="75"/>
      <c r="D1582" s="75"/>
      <c r="E1582" s="75"/>
      <c r="F1582" s="75"/>
      <c r="G1582" s="75"/>
      <c r="H1582" s="75"/>
      <c r="I1582" s="75"/>
      <c r="J1582" s="166"/>
      <c r="K1582" s="166"/>
      <c r="R1582" s="163"/>
      <c r="S1582" s="163"/>
    </row>
    <row r="1583">
      <c r="A1583" s="148"/>
      <c r="B1583" s="75"/>
      <c r="C1583" s="75"/>
      <c r="D1583" s="75"/>
      <c r="E1583" s="75"/>
      <c r="F1583" s="75"/>
      <c r="G1583" s="75"/>
      <c r="H1583" s="75"/>
      <c r="I1583" s="75"/>
      <c r="J1583" s="166"/>
      <c r="K1583" s="166"/>
      <c r="R1583" s="163"/>
      <c r="S1583" s="163"/>
    </row>
    <row r="1584">
      <c r="A1584" s="148"/>
      <c r="B1584" s="75"/>
      <c r="C1584" s="75"/>
      <c r="D1584" s="75"/>
      <c r="E1584" s="75"/>
      <c r="F1584" s="75"/>
      <c r="G1584" s="75"/>
      <c r="H1584" s="75"/>
      <c r="I1584" s="75"/>
      <c r="J1584" s="166"/>
      <c r="K1584" s="166"/>
      <c r="R1584" s="163"/>
      <c r="S1584" s="163"/>
    </row>
    <row r="1585">
      <c r="A1585" s="148"/>
      <c r="B1585" s="75"/>
      <c r="C1585" s="75"/>
      <c r="D1585" s="75"/>
      <c r="E1585" s="75"/>
      <c r="F1585" s="75"/>
      <c r="G1585" s="75"/>
      <c r="H1585" s="75"/>
      <c r="I1585" s="75"/>
      <c r="J1585" s="166"/>
      <c r="K1585" s="166"/>
      <c r="R1585" s="163"/>
      <c r="S1585" s="163"/>
    </row>
    <row r="1586">
      <c r="A1586" s="148"/>
      <c r="B1586" s="75"/>
      <c r="C1586" s="75"/>
      <c r="D1586" s="75"/>
      <c r="E1586" s="75"/>
      <c r="F1586" s="75"/>
      <c r="G1586" s="75"/>
      <c r="H1586" s="75"/>
      <c r="I1586" s="75"/>
      <c r="J1586" s="166"/>
      <c r="K1586" s="166"/>
      <c r="R1586" s="163"/>
      <c r="S1586" s="163"/>
    </row>
    <row r="1587">
      <c r="A1587" s="148"/>
      <c r="B1587" s="75"/>
      <c r="C1587" s="75"/>
      <c r="D1587" s="75"/>
      <c r="E1587" s="75"/>
      <c r="F1587" s="75"/>
      <c r="G1587" s="75"/>
      <c r="H1587" s="75"/>
      <c r="I1587" s="75"/>
      <c r="J1587" s="166"/>
      <c r="K1587" s="166"/>
      <c r="R1587" s="173"/>
      <c r="S1587" s="173"/>
    </row>
    <row r="1588">
      <c r="A1588" s="148"/>
      <c r="B1588" s="75"/>
      <c r="C1588" s="75"/>
      <c r="D1588" s="75"/>
      <c r="E1588" s="75"/>
      <c r="F1588" s="75"/>
      <c r="G1588" s="75"/>
      <c r="H1588" s="75"/>
      <c r="I1588" s="75"/>
      <c r="J1588" s="166"/>
      <c r="K1588" s="166"/>
      <c r="R1588" s="157"/>
      <c r="S1588" s="157"/>
    </row>
    <row r="1589">
      <c r="A1589" s="148"/>
      <c r="B1589" s="75"/>
      <c r="C1589" s="75"/>
      <c r="D1589" s="75"/>
      <c r="E1589" s="75"/>
      <c r="F1589" s="75"/>
      <c r="G1589" s="75"/>
      <c r="H1589" s="75"/>
      <c r="I1589" s="75"/>
      <c r="J1589" s="166"/>
      <c r="K1589" s="166"/>
      <c r="R1589" s="163"/>
      <c r="S1589" s="163"/>
    </row>
    <row r="1590">
      <c r="A1590" s="148"/>
      <c r="B1590" s="75"/>
      <c r="C1590" s="75"/>
      <c r="D1590" s="75"/>
      <c r="E1590" s="75"/>
      <c r="F1590" s="75"/>
      <c r="G1590" s="75"/>
      <c r="H1590" s="75"/>
      <c r="I1590" s="75"/>
      <c r="J1590" s="166"/>
      <c r="K1590" s="166"/>
      <c r="R1590" s="163"/>
      <c r="S1590" s="163"/>
    </row>
    <row r="1591">
      <c r="A1591" s="148"/>
      <c r="B1591" s="75"/>
      <c r="C1591" s="75"/>
      <c r="D1591" s="75"/>
      <c r="E1591" s="75"/>
      <c r="F1591" s="75"/>
      <c r="G1591" s="75"/>
      <c r="H1591" s="75"/>
      <c r="I1591" s="75"/>
      <c r="J1591" s="166"/>
      <c r="K1591" s="166"/>
      <c r="R1591" s="163"/>
      <c r="S1591" s="163"/>
    </row>
    <row r="1592">
      <c r="A1592" s="148"/>
      <c r="B1592" s="75"/>
      <c r="C1592" s="75"/>
      <c r="D1592" s="75"/>
      <c r="E1592" s="75"/>
      <c r="F1592" s="75"/>
      <c r="G1592" s="75"/>
      <c r="H1592" s="75"/>
      <c r="I1592" s="75"/>
      <c r="J1592" s="166"/>
      <c r="K1592" s="166"/>
      <c r="R1592" s="163"/>
      <c r="S1592" s="163"/>
    </row>
    <row r="1593">
      <c r="A1593" s="148"/>
      <c r="B1593" s="75"/>
      <c r="C1593" s="75"/>
      <c r="D1593" s="75"/>
      <c r="E1593" s="75"/>
      <c r="F1593" s="75"/>
      <c r="G1593" s="75"/>
      <c r="H1593" s="75"/>
      <c r="I1593" s="75"/>
      <c r="J1593" s="166"/>
      <c r="K1593" s="166"/>
      <c r="R1593" s="163"/>
      <c r="S1593" s="163"/>
    </row>
    <row r="1594">
      <c r="A1594" s="148"/>
      <c r="B1594" s="75"/>
      <c r="C1594" s="75"/>
      <c r="D1594" s="75"/>
      <c r="E1594" s="75"/>
      <c r="F1594" s="75"/>
      <c r="G1594" s="75"/>
      <c r="H1594" s="75"/>
      <c r="I1594" s="75"/>
      <c r="J1594" s="166"/>
      <c r="K1594" s="166"/>
      <c r="R1594" s="163"/>
      <c r="S1594" s="163"/>
    </row>
    <row r="1595">
      <c r="A1595" s="148"/>
      <c r="B1595" s="75"/>
      <c r="C1595" s="75"/>
      <c r="D1595" s="75"/>
      <c r="E1595" s="75"/>
      <c r="F1595" s="75"/>
      <c r="G1595" s="75"/>
      <c r="H1595" s="75"/>
      <c r="I1595" s="75"/>
      <c r="J1595" s="166"/>
      <c r="K1595" s="166"/>
      <c r="R1595" s="163"/>
      <c r="S1595" s="163"/>
    </row>
    <row r="1596">
      <c r="A1596" s="148"/>
      <c r="B1596" s="75"/>
      <c r="C1596" s="75"/>
      <c r="D1596" s="75"/>
      <c r="E1596" s="75"/>
      <c r="F1596" s="75"/>
      <c r="G1596" s="75"/>
      <c r="H1596" s="75"/>
      <c r="I1596" s="75"/>
      <c r="J1596" s="166"/>
      <c r="K1596" s="166"/>
      <c r="R1596" s="163"/>
      <c r="S1596" s="163"/>
    </row>
    <row r="1597">
      <c r="A1597" s="148"/>
      <c r="B1597" s="75"/>
      <c r="C1597" s="75"/>
      <c r="D1597" s="75"/>
      <c r="E1597" s="75"/>
      <c r="F1597" s="75"/>
      <c r="G1597" s="75"/>
      <c r="H1597" s="75"/>
      <c r="I1597" s="75"/>
      <c r="J1597" s="166"/>
      <c r="K1597" s="166"/>
      <c r="R1597" s="163"/>
      <c r="S1597" s="163"/>
    </row>
    <row r="1598">
      <c r="A1598" s="148"/>
      <c r="B1598" s="75"/>
      <c r="C1598" s="75"/>
      <c r="D1598" s="75"/>
      <c r="E1598" s="75"/>
      <c r="F1598" s="75"/>
      <c r="G1598" s="75"/>
      <c r="H1598" s="75"/>
      <c r="I1598" s="75"/>
      <c r="J1598" s="166"/>
      <c r="K1598" s="166"/>
      <c r="R1598" s="163"/>
      <c r="S1598" s="163"/>
    </row>
    <row r="1599">
      <c r="A1599" s="148"/>
      <c r="B1599" s="75"/>
      <c r="C1599" s="75"/>
      <c r="D1599" s="75"/>
      <c r="E1599" s="75"/>
      <c r="F1599" s="75"/>
      <c r="G1599" s="75"/>
      <c r="H1599" s="75"/>
      <c r="I1599" s="75"/>
      <c r="J1599" s="166"/>
      <c r="K1599" s="166"/>
      <c r="R1599" s="173"/>
      <c r="S1599" s="173"/>
    </row>
    <row r="1600">
      <c r="A1600" s="148"/>
      <c r="B1600" s="75"/>
      <c r="C1600" s="75"/>
      <c r="D1600" s="75"/>
      <c r="E1600" s="75"/>
      <c r="F1600" s="75"/>
      <c r="G1600" s="75"/>
      <c r="H1600" s="75"/>
      <c r="I1600" s="75"/>
      <c r="J1600" s="166"/>
      <c r="K1600" s="166"/>
      <c r="R1600" s="157"/>
      <c r="S1600" s="157"/>
    </row>
    <row r="1601">
      <c r="A1601" s="148"/>
      <c r="B1601" s="75"/>
      <c r="C1601" s="75"/>
      <c r="D1601" s="75"/>
      <c r="E1601" s="75"/>
      <c r="F1601" s="75"/>
      <c r="G1601" s="75"/>
      <c r="H1601" s="75"/>
      <c r="I1601" s="75"/>
      <c r="J1601" s="166"/>
      <c r="K1601" s="166"/>
      <c r="R1601" s="163"/>
      <c r="S1601" s="163"/>
    </row>
    <row r="1602">
      <c r="A1602" s="148"/>
      <c r="B1602" s="75"/>
      <c r="C1602" s="75"/>
      <c r="D1602" s="75"/>
      <c r="E1602" s="75"/>
      <c r="F1602" s="75"/>
      <c r="G1602" s="75"/>
      <c r="H1602" s="75"/>
      <c r="I1602" s="75"/>
      <c r="J1602" s="166"/>
      <c r="K1602" s="166"/>
      <c r="R1602" s="163"/>
      <c r="S1602" s="163"/>
    </row>
    <row r="1603">
      <c r="A1603" s="148"/>
      <c r="B1603" s="75"/>
      <c r="C1603" s="75"/>
      <c r="D1603" s="75"/>
      <c r="E1603" s="75"/>
      <c r="F1603" s="75"/>
      <c r="G1603" s="75"/>
      <c r="H1603" s="75"/>
      <c r="I1603" s="75"/>
      <c r="J1603" s="166"/>
      <c r="K1603" s="166"/>
      <c r="R1603" s="163"/>
      <c r="S1603" s="163"/>
    </row>
    <row r="1604">
      <c r="A1604" s="148"/>
      <c r="B1604" s="75"/>
      <c r="C1604" s="75"/>
      <c r="D1604" s="75"/>
      <c r="E1604" s="75"/>
      <c r="F1604" s="75"/>
      <c r="G1604" s="75"/>
      <c r="H1604" s="75"/>
      <c r="I1604" s="75"/>
      <c r="J1604" s="166"/>
      <c r="K1604" s="166"/>
      <c r="R1604" s="163"/>
      <c r="S1604" s="163"/>
    </row>
    <row r="1605">
      <c r="A1605" s="148"/>
      <c r="B1605" s="75"/>
      <c r="C1605" s="75"/>
      <c r="D1605" s="75"/>
      <c r="E1605" s="75"/>
      <c r="F1605" s="75"/>
      <c r="G1605" s="75"/>
      <c r="H1605" s="75"/>
      <c r="I1605" s="75"/>
      <c r="J1605" s="166"/>
      <c r="K1605" s="166"/>
      <c r="R1605" s="163"/>
      <c r="S1605" s="163"/>
    </row>
    <row r="1606">
      <c r="A1606" s="148"/>
      <c r="B1606" s="75"/>
      <c r="C1606" s="75"/>
      <c r="D1606" s="75"/>
      <c r="E1606" s="75"/>
      <c r="F1606" s="75"/>
      <c r="G1606" s="75"/>
      <c r="H1606" s="75"/>
      <c r="I1606" s="75"/>
      <c r="J1606" s="166"/>
      <c r="K1606" s="166"/>
      <c r="R1606" s="163"/>
      <c r="S1606" s="163"/>
    </row>
    <row r="1607">
      <c r="A1607" s="148"/>
      <c r="B1607" s="75"/>
      <c r="C1607" s="75"/>
      <c r="D1607" s="75"/>
      <c r="E1607" s="75"/>
      <c r="F1607" s="75"/>
      <c r="G1607" s="75"/>
      <c r="H1607" s="75"/>
      <c r="I1607" s="75"/>
      <c r="J1607" s="166"/>
      <c r="K1607" s="166"/>
      <c r="R1607" s="163"/>
      <c r="S1607" s="163"/>
    </row>
    <row r="1608">
      <c r="A1608" s="148"/>
      <c r="B1608" s="75"/>
      <c r="C1608" s="75"/>
      <c r="D1608" s="75"/>
      <c r="E1608" s="75"/>
      <c r="F1608" s="75"/>
      <c r="G1608" s="75"/>
      <c r="H1608" s="75"/>
      <c r="I1608" s="75"/>
      <c r="J1608" s="166"/>
      <c r="K1608" s="166"/>
      <c r="R1608" s="163"/>
      <c r="S1608" s="163"/>
    </row>
    <row r="1609">
      <c r="A1609" s="148"/>
      <c r="B1609" s="75"/>
      <c r="C1609" s="75"/>
      <c r="D1609" s="75"/>
      <c r="E1609" s="75"/>
      <c r="F1609" s="75"/>
      <c r="G1609" s="75"/>
      <c r="H1609" s="75"/>
      <c r="I1609" s="75"/>
      <c r="J1609" s="166"/>
      <c r="K1609" s="166"/>
      <c r="R1609" s="163"/>
      <c r="S1609" s="163"/>
    </row>
    <row r="1610">
      <c r="A1610" s="148"/>
      <c r="B1610" s="75"/>
      <c r="C1610" s="75"/>
      <c r="D1610" s="75"/>
      <c r="E1610" s="75"/>
      <c r="F1610" s="75"/>
      <c r="G1610" s="75"/>
      <c r="H1610" s="75"/>
      <c r="I1610" s="75"/>
      <c r="J1610" s="166"/>
      <c r="K1610" s="166"/>
      <c r="R1610" s="163"/>
      <c r="S1610" s="163"/>
    </row>
    <row r="1611">
      <c r="A1611" s="148"/>
      <c r="B1611" s="75"/>
      <c r="C1611" s="75"/>
      <c r="D1611" s="75"/>
      <c r="E1611" s="75"/>
      <c r="F1611" s="75"/>
      <c r="G1611" s="75"/>
      <c r="H1611" s="75"/>
      <c r="I1611" s="75"/>
      <c r="J1611" s="166"/>
      <c r="K1611" s="166"/>
      <c r="R1611" s="173"/>
      <c r="S1611" s="173"/>
    </row>
    <row r="1612">
      <c r="A1612" s="148"/>
      <c r="B1612" s="75"/>
      <c r="C1612" s="75"/>
      <c r="D1612" s="75"/>
      <c r="E1612" s="75"/>
      <c r="F1612" s="75"/>
      <c r="G1612" s="75"/>
      <c r="H1612" s="75"/>
      <c r="I1612" s="75"/>
      <c r="J1612" s="166"/>
      <c r="K1612" s="166"/>
      <c r="R1612" s="157"/>
      <c r="S1612" s="157"/>
    </row>
    <row r="1613">
      <c r="A1613" s="148"/>
      <c r="B1613" s="75"/>
      <c r="C1613" s="75"/>
      <c r="D1613" s="75"/>
      <c r="E1613" s="75"/>
      <c r="F1613" s="75"/>
      <c r="G1613" s="75"/>
      <c r="H1613" s="75"/>
      <c r="I1613" s="75"/>
      <c r="J1613" s="166"/>
      <c r="K1613" s="166"/>
      <c r="R1613" s="163"/>
      <c r="S1613" s="163"/>
    </row>
    <row r="1614">
      <c r="A1614" s="148"/>
      <c r="B1614" s="75"/>
      <c r="C1614" s="75"/>
      <c r="D1614" s="75"/>
      <c r="E1614" s="75"/>
      <c r="F1614" s="75"/>
      <c r="G1614" s="75"/>
      <c r="H1614" s="75"/>
      <c r="I1614" s="75"/>
      <c r="J1614" s="166"/>
      <c r="K1614" s="166"/>
      <c r="R1614" s="163"/>
      <c r="S1614" s="163"/>
    </row>
    <row r="1615">
      <c r="A1615" s="148"/>
      <c r="B1615" s="75"/>
      <c r="C1615" s="75"/>
      <c r="D1615" s="75"/>
      <c r="E1615" s="75"/>
      <c r="F1615" s="75"/>
      <c r="G1615" s="75"/>
      <c r="H1615" s="75"/>
      <c r="I1615" s="75"/>
      <c r="J1615" s="166"/>
      <c r="K1615" s="166"/>
      <c r="R1615" s="163"/>
      <c r="S1615" s="163"/>
    </row>
    <row r="1616">
      <c r="A1616" s="148"/>
      <c r="B1616" s="75"/>
      <c r="C1616" s="75"/>
      <c r="D1616" s="75"/>
      <c r="E1616" s="75"/>
      <c r="F1616" s="75"/>
      <c r="G1616" s="75"/>
      <c r="H1616" s="75"/>
      <c r="I1616" s="75"/>
      <c r="J1616" s="166"/>
      <c r="K1616" s="166"/>
      <c r="R1616" s="163"/>
      <c r="S1616" s="163"/>
    </row>
    <row r="1617">
      <c r="A1617" s="148"/>
      <c r="B1617" s="75"/>
      <c r="C1617" s="75"/>
      <c r="D1617" s="75"/>
      <c r="E1617" s="75"/>
      <c r="F1617" s="75"/>
      <c r="G1617" s="75"/>
      <c r="H1617" s="75"/>
      <c r="I1617" s="75"/>
      <c r="J1617" s="166"/>
      <c r="K1617" s="166"/>
      <c r="R1617" s="163"/>
      <c r="S1617" s="163"/>
    </row>
    <row r="1618">
      <c r="A1618" s="148"/>
      <c r="B1618" s="75"/>
      <c r="C1618" s="75"/>
      <c r="D1618" s="75"/>
      <c r="E1618" s="75"/>
      <c r="F1618" s="75"/>
      <c r="G1618" s="75"/>
      <c r="H1618" s="75"/>
      <c r="I1618" s="75"/>
      <c r="J1618" s="166"/>
      <c r="K1618" s="166"/>
      <c r="R1618" s="163"/>
      <c r="S1618" s="163"/>
    </row>
    <row r="1619">
      <c r="A1619" s="148"/>
      <c r="B1619" s="75"/>
      <c r="C1619" s="75"/>
      <c r="D1619" s="75"/>
      <c r="E1619" s="75"/>
      <c r="F1619" s="75"/>
      <c r="G1619" s="75"/>
      <c r="H1619" s="75"/>
      <c r="I1619" s="75"/>
      <c r="J1619" s="166"/>
      <c r="K1619" s="166"/>
      <c r="R1619" s="163"/>
      <c r="S1619" s="163"/>
    </row>
    <row r="1620">
      <c r="A1620" s="148"/>
      <c r="B1620" s="75"/>
      <c r="C1620" s="75"/>
      <c r="D1620" s="75"/>
      <c r="E1620" s="75"/>
      <c r="F1620" s="75"/>
      <c r="G1620" s="75"/>
      <c r="H1620" s="75"/>
      <c r="I1620" s="75"/>
      <c r="J1620" s="166"/>
      <c r="K1620" s="166"/>
      <c r="R1620" s="163"/>
      <c r="S1620" s="163"/>
    </row>
    <row r="1621">
      <c r="A1621" s="148"/>
      <c r="B1621" s="75"/>
      <c r="C1621" s="75"/>
      <c r="D1621" s="75"/>
      <c r="E1621" s="75"/>
      <c r="F1621" s="75"/>
      <c r="G1621" s="75"/>
      <c r="H1621" s="75"/>
      <c r="I1621" s="75"/>
      <c r="J1621" s="166"/>
      <c r="K1621" s="166"/>
      <c r="R1621" s="163"/>
      <c r="S1621" s="163"/>
    </row>
    <row r="1622">
      <c r="A1622" s="148"/>
      <c r="B1622" s="75"/>
      <c r="C1622" s="75"/>
      <c r="D1622" s="75"/>
      <c r="E1622" s="75"/>
      <c r="F1622" s="75"/>
      <c r="G1622" s="75"/>
      <c r="H1622" s="75"/>
      <c r="I1622" s="75"/>
      <c r="J1622" s="166"/>
      <c r="K1622" s="166"/>
      <c r="R1622" s="163"/>
      <c r="S1622" s="163"/>
    </row>
    <row r="1623">
      <c r="A1623" s="148"/>
      <c r="B1623" s="75"/>
      <c r="C1623" s="75"/>
      <c r="D1623" s="75"/>
      <c r="E1623" s="75"/>
      <c r="F1623" s="75"/>
      <c r="G1623" s="75"/>
      <c r="H1623" s="75"/>
      <c r="I1623" s="75"/>
      <c r="J1623" s="166"/>
      <c r="K1623" s="166"/>
      <c r="R1623" s="173"/>
      <c r="S1623" s="173"/>
    </row>
    <row r="1624">
      <c r="A1624" s="148"/>
      <c r="B1624" s="75"/>
      <c r="C1624" s="75"/>
      <c r="D1624" s="75"/>
      <c r="E1624" s="75"/>
      <c r="F1624" s="75"/>
      <c r="G1624" s="75"/>
      <c r="H1624" s="75"/>
      <c r="I1624" s="75"/>
      <c r="J1624" s="166"/>
      <c r="K1624" s="166"/>
      <c r="R1624" s="157"/>
      <c r="S1624" s="157"/>
    </row>
    <row r="1625">
      <c r="A1625" s="148"/>
      <c r="B1625" s="75"/>
      <c r="C1625" s="75"/>
      <c r="D1625" s="75"/>
      <c r="E1625" s="75"/>
      <c r="F1625" s="75"/>
      <c r="G1625" s="75"/>
      <c r="H1625" s="75"/>
      <c r="I1625" s="75"/>
      <c r="J1625" s="166"/>
      <c r="K1625" s="166"/>
      <c r="R1625" s="163"/>
      <c r="S1625" s="163"/>
    </row>
    <row r="1626">
      <c r="A1626" s="148"/>
      <c r="B1626" s="75"/>
      <c r="C1626" s="75"/>
      <c r="D1626" s="75"/>
      <c r="E1626" s="75"/>
      <c r="F1626" s="75"/>
      <c r="G1626" s="75"/>
      <c r="H1626" s="75"/>
      <c r="I1626" s="75"/>
      <c r="J1626" s="166"/>
      <c r="K1626" s="166"/>
      <c r="R1626" s="163"/>
      <c r="S1626" s="163"/>
    </row>
    <row r="1627">
      <c r="A1627" s="148"/>
      <c r="B1627" s="75"/>
      <c r="C1627" s="75"/>
      <c r="D1627" s="75"/>
      <c r="E1627" s="75"/>
      <c r="F1627" s="75"/>
      <c r="G1627" s="75"/>
      <c r="H1627" s="75"/>
      <c r="I1627" s="75"/>
      <c r="J1627" s="166"/>
      <c r="K1627" s="166"/>
      <c r="R1627" s="163"/>
      <c r="S1627" s="163"/>
    </row>
    <row r="1628">
      <c r="A1628" s="148"/>
      <c r="B1628" s="75"/>
      <c r="C1628" s="75"/>
      <c r="D1628" s="75"/>
      <c r="E1628" s="75"/>
      <c r="F1628" s="75"/>
      <c r="G1628" s="75"/>
      <c r="H1628" s="75"/>
      <c r="I1628" s="75"/>
      <c r="J1628" s="166"/>
      <c r="K1628" s="166"/>
      <c r="R1628" s="163"/>
      <c r="S1628" s="163"/>
    </row>
    <row r="1629">
      <c r="A1629" s="148"/>
      <c r="B1629" s="75"/>
      <c r="C1629" s="75"/>
      <c r="D1629" s="75"/>
      <c r="E1629" s="75"/>
      <c r="F1629" s="75"/>
      <c r="G1629" s="75"/>
      <c r="H1629" s="75"/>
      <c r="I1629" s="75"/>
      <c r="J1629" s="166"/>
      <c r="K1629" s="166"/>
      <c r="R1629" s="163"/>
      <c r="S1629" s="163"/>
    </row>
    <row r="1630">
      <c r="A1630" s="148"/>
      <c r="B1630" s="75"/>
      <c r="C1630" s="75"/>
      <c r="D1630" s="75"/>
      <c r="E1630" s="75"/>
      <c r="F1630" s="75"/>
      <c r="G1630" s="75"/>
      <c r="H1630" s="75"/>
      <c r="I1630" s="75"/>
      <c r="J1630" s="166"/>
      <c r="K1630" s="166"/>
      <c r="R1630" s="163"/>
      <c r="S1630" s="163"/>
    </row>
    <row r="1631">
      <c r="A1631" s="148"/>
      <c r="B1631" s="75"/>
      <c r="C1631" s="75"/>
      <c r="D1631" s="75"/>
      <c r="E1631" s="75"/>
      <c r="F1631" s="75"/>
      <c r="G1631" s="75"/>
      <c r="H1631" s="75"/>
      <c r="I1631" s="75"/>
      <c r="J1631" s="166"/>
      <c r="K1631" s="166"/>
      <c r="R1631" s="163"/>
      <c r="S1631" s="163"/>
    </row>
    <row r="1632">
      <c r="A1632" s="148"/>
      <c r="B1632" s="75"/>
      <c r="C1632" s="75"/>
      <c r="D1632" s="75"/>
      <c r="E1632" s="75"/>
      <c r="F1632" s="75"/>
      <c r="G1632" s="75"/>
      <c r="H1632" s="75"/>
      <c r="I1632" s="75"/>
      <c r="J1632" s="166"/>
      <c r="K1632" s="166"/>
      <c r="R1632" s="163"/>
      <c r="S1632" s="163"/>
    </row>
    <row r="1633">
      <c r="A1633" s="148"/>
      <c r="B1633" s="75"/>
      <c r="C1633" s="75"/>
      <c r="D1633" s="75"/>
      <c r="E1633" s="75"/>
      <c r="F1633" s="75"/>
      <c r="G1633" s="75"/>
      <c r="H1633" s="75"/>
      <c r="I1633" s="75"/>
      <c r="J1633" s="166"/>
      <c r="K1633" s="166"/>
      <c r="R1633" s="163"/>
      <c r="S1633" s="163"/>
    </row>
    <row r="1634">
      <c r="A1634" s="148"/>
      <c r="B1634" s="75"/>
      <c r="C1634" s="75"/>
      <c r="D1634" s="75"/>
      <c r="E1634" s="75"/>
      <c r="F1634" s="75"/>
      <c r="G1634" s="75"/>
      <c r="H1634" s="75"/>
      <c r="I1634" s="75"/>
      <c r="J1634" s="166"/>
      <c r="K1634" s="166"/>
      <c r="R1634" s="163"/>
      <c r="S1634" s="163"/>
    </row>
    <row r="1635">
      <c r="A1635" s="148"/>
      <c r="B1635" s="75"/>
      <c r="C1635" s="75"/>
      <c r="D1635" s="75"/>
      <c r="E1635" s="75"/>
      <c r="F1635" s="75"/>
      <c r="G1635" s="75"/>
      <c r="H1635" s="75"/>
      <c r="I1635" s="75"/>
      <c r="J1635" s="166"/>
      <c r="K1635" s="166"/>
      <c r="R1635" s="173"/>
      <c r="S1635" s="173"/>
    </row>
    <row r="1636">
      <c r="A1636" s="148"/>
      <c r="B1636" s="75"/>
      <c r="C1636" s="75"/>
      <c r="D1636" s="75"/>
      <c r="E1636" s="75"/>
      <c r="F1636" s="75"/>
      <c r="G1636" s="75"/>
      <c r="H1636" s="75"/>
      <c r="I1636" s="75"/>
      <c r="J1636" s="166"/>
      <c r="K1636" s="166"/>
      <c r="R1636" s="157"/>
      <c r="S1636" s="157"/>
    </row>
    <row r="1637">
      <c r="A1637" s="148"/>
      <c r="B1637" s="75"/>
      <c r="C1637" s="75"/>
      <c r="D1637" s="75"/>
      <c r="E1637" s="75"/>
      <c r="F1637" s="75"/>
      <c r="G1637" s="75"/>
      <c r="H1637" s="75"/>
      <c r="I1637" s="75"/>
      <c r="J1637" s="166"/>
      <c r="K1637" s="166"/>
      <c r="R1637" s="163"/>
      <c r="S1637" s="163"/>
    </row>
    <row r="1638">
      <c r="A1638" s="148"/>
      <c r="B1638" s="75"/>
      <c r="C1638" s="75"/>
      <c r="D1638" s="75"/>
      <c r="E1638" s="75"/>
      <c r="F1638" s="75"/>
      <c r="G1638" s="75"/>
      <c r="H1638" s="75"/>
      <c r="I1638" s="75"/>
      <c r="J1638" s="166"/>
      <c r="K1638" s="166"/>
      <c r="R1638" s="163"/>
      <c r="S1638" s="163"/>
    </row>
    <row r="1639">
      <c r="A1639" s="148"/>
      <c r="B1639" s="75"/>
      <c r="C1639" s="75"/>
      <c r="D1639" s="75"/>
      <c r="E1639" s="75"/>
      <c r="F1639" s="75"/>
      <c r="G1639" s="75"/>
      <c r="H1639" s="75"/>
      <c r="I1639" s="75"/>
      <c r="J1639" s="166"/>
      <c r="K1639" s="166"/>
      <c r="R1639" s="163"/>
      <c r="S1639" s="163"/>
    </row>
    <row r="1640">
      <c r="A1640" s="148"/>
      <c r="B1640" s="75"/>
      <c r="C1640" s="75"/>
      <c r="D1640" s="75"/>
      <c r="E1640" s="75"/>
      <c r="F1640" s="75"/>
      <c r="G1640" s="75"/>
      <c r="H1640" s="75"/>
      <c r="I1640" s="75"/>
      <c r="J1640" s="166"/>
      <c r="K1640" s="166"/>
      <c r="R1640" s="163"/>
      <c r="S1640" s="163"/>
    </row>
    <row r="1641">
      <c r="A1641" s="148"/>
      <c r="B1641" s="75"/>
      <c r="C1641" s="75"/>
      <c r="D1641" s="75"/>
      <c r="E1641" s="75"/>
      <c r="F1641" s="75"/>
      <c r="G1641" s="75"/>
      <c r="H1641" s="75"/>
      <c r="I1641" s="75"/>
      <c r="J1641" s="166"/>
      <c r="K1641" s="166"/>
      <c r="R1641" s="163"/>
      <c r="S1641" s="163"/>
    </row>
    <row r="1642">
      <c r="A1642" s="148"/>
      <c r="B1642" s="75"/>
      <c r="C1642" s="75"/>
      <c r="D1642" s="75"/>
      <c r="E1642" s="75"/>
      <c r="F1642" s="75"/>
      <c r="G1642" s="75"/>
      <c r="H1642" s="75"/>
      <c r="I1642" s="75"/>
      <c r="J1642" s="166"/>
      <c r="K1642" s="166"/>
      <c r="R1642" s="163"/>
      <c r="S1642" s="163"/>
    </row>
    <row r="1643">
      <c r="A1643" s="148"/>
      <c r="B1643" s="75"/>
      <c r="C1643" s="75"/>
      <c r="D1643" s="75"/>
      <c r="E1643" s="75"/>
      <c r="F1643" s="75"/>
      <c r="G1643" s="75"/>
      <c r="H1643" s="75"/>
      <c r="I1643" s="75"/>
      <c r="J1643" s="166"/>
      <c r="K1643" s="166"/>
      <c r="R1643" s="163"/>
      <c r="S1643" s="163"/>
    </row>
    <row r="1644">
      <c r="A1644" s="148"/>
      <c r="B1644" s="75"/>
      <c r="C1644" s="75"/>
      <c r="D1644" s="75"/>
      <c r="E1644" s="75"/>
      <c r="F1644" s="75"/>
      <c r="G1644" s="75"/>
      <c r="H1644" s="75"/>
      <c r="I1644" s="75"/>
      <c r="J1644" s="166"/>
      <c r="K1644" s="166"/>
      <c r="R1644" s="163"/>
      <c r="S1644" s="163"/>
    </row>
    <row r="1645">
      <c r="A1645" s="148"/>
      <c r="B1645" s="75"/>
      <c r="C1645" s="75"/>
      <c r="D1645" s="75"/>
      <c r="E1645" s="75"/>
      <c r="F1645" s="75"/>
      <c r="G1645" s="75"/>
      <c r="H1645" s="75"/>
      <c r="I1645" s="75"/>
      <c r="J1645" s="166"/>
      <c r="K1645" s="166"/>
      <c r="R1645" s="163"/>
      <c r="S1645" s="163"/>
    </row>
    <row r="1646">
      <c r="A1646" s="148"/>
      <c r="B1646" s="75"/>
      <c r="C1646" s="75"/>
      <c r="D1646" s="75"/>
      <c r="E1646" s="75"/>
      <c r="F1646" s="75"/>
      <c r="G1646" s="75"/>
      <c r="H1646" s="75"/>
      <c r="I1646" s="75"/>
      <c r="J1646" s="166"/>
      <c r="K1646" s="166"/>
      <c r="R1646" s="163"/>
      <c r="S1646" s="163"/>
    </row>
    <row r="1647">
      <c r="A1647" s="148"/>
      <c r="B1647" s="75"/>
      <c r="C1647" s="75"/>
      <c r="D1647" s="75"/>
      <c r="E1647" s="75"/>
      <c r="F1647" s="75"/>
      <c r="G1647" s="75"/>
      <c r="H1647" s="75"/>
      <c r="I1647" s="75"/>
      <c r="J1647" s="166"/>
      <c r="K1647" s="166"/>
      <c r="R1647" s="173"/>
      <c r="S1647" s="173"/>
    </row>
    <row r="1648">
      <c r="A1648" s="148"/>
      <c r="B1648" s="75"/>
      <c r="C1648" s="75"/>
      <c r="D1648" s="75"/>
      <c r="E1648" s="75"/>
      <c r="F1648" s="75"/>
      <c r="G1648" s="75"/>
      <c r="H1648" s="75"/>
      <c r="I1648" s="75"/>
      <c r="J1648" s="166"/>
      <c r="K1648" s="166"/>
      <c r="R1648" s="157"/>
      <c r="S1648" s="157"/>
    </row>
    <row r="1649">
      <c r="A1649" s="148"/>
      <c r="B1649" s="75"/>
      <c r="C1649" s="75"/>
      <c r="D1649" s="75"/>
      <c r="E1649" s="75"/>
      <c r="F1649" s="75"/>
      <c r="G1649" s="75"/>
      <c r="H1649" s="75"/>
      <c r="I1649" s="75"/>
      <c r="J1649" s="166"/>
      <c r="K1649" s="166"/>
      <c r="R1649" s="163"/>
      <c r="S1649" s="163"/>
    </row>
    <row r="1650">
      <c r="A1650" s="148"/>
      <c r="B1650" s="75"/>
      <c r="C1650" s="75"/>
      <c r="D1650" s="75"/>
      <c r="E1650" s="75"/>
      <c r="F1650" s="75"/>
      <c r="G1650" s="75"/>
      <c r="H1650" s="75"/>
      <c r="I1650" s="75"/>
      <c r="J1650" s="166"/>
      <c r="K1650" s="166"/>
      <c r="R1650" s="163"/>
      <c r="S1650" s="163"/>
    </row>
    <row r="1651">
      <c r="A1651" s="148"/>
      <c r="B1651" s="75"/>
      <c r="C1651" s="75"/>
      <c r="D1651" s="75"/>
      <c r="E1651" s="75"/>
      <c r="F1651" s="75"/>
      <c r="G1651" s="75"/>
      <c r="H1651" s="75"/>
      <c r="I1651" s="75"/>
      <c r="J1651" s="166"/>
      <c r="K1651" s="166"/>
      <c r="R1651" s="163"/>
      <c r="S1651" s="163"/>
    </row>
    <row r="1652">
      <c r="A1652" s="148"/>
      <c r="B1652" s="75"/>
      <c r="C1652" s="75"/>
      <c r="D1652" s="75"/>
      <c r="E1652" s="75"/>
      <c r="F1652" s="75"/>
      <c r="G1652" s="75"/>
      <c r="H1652" s="75"/>
      <c r="I1652" s="75"/>
      <c r="J1652" s="166"/>
      <c r="K1652" s="166"/>
      <c r="R1652" s="163"/>
      <c r="S1652" s="163"/>
    </row>
    <row r="1653">
      <c r="A1653" s="148"/>
      <c r="B1653" s="75"/>
      <c r="C1653" s="75"/>
      <c r="D1653" s="75"/>
      <c r="E1653" s="75"/>
      <c r="F1653" s="75"/>
      <c r="G1653" s="75"/>
      <c r="H1653" s="75"/>
      <c r="I1653" s="75"/>
      <c r="J1653" s="166"/>
      <c r="K1653" s="166"/>
      <c r="R1653" s="163"/>
      <c r="S1653" s="163"/>
    </row>
    <row r="1654">
      <c r="A1654" s="148"/>
      <c r="B1654" s="75"/>
      <c r="C1654" s="75"/>
      <c r="D1654" s="75"/>
      <c r="E1654" s="75"/>
      <c r="F1654" s="75"/>
      <c r="G1654" s="75"/>
      <c r="H1654" s="75"/>
      <c r="I1654" s="75"/>
      <c r="J1654" s="166"/>
      <c r="K1654" s="166"/>
      <c r="R1654" s="163"/>
      <c r="S1654" s="163"/>
    </row>
    <row r="1655">
      <c r="A1655" s="148"/>
      <c r="B1655" s="75"/>
      <c r="C1655" s="75"/>
      <c r="D1655" s="75"/>
      <c r="E1655" s="75"/>
      <c r="F1655" s="75"/>
      <c r="G1655" s="75"/>
      <c r="H1655" s="75"/>
      <c r="I1655" s="75"/>
      <c r="J1655" s="166"/>
      <c r="K1655" s="166"/>
      <c r="R1655" s="163"/>
      <c r="S1655" s="163"/>
    </row>
    <row r="1656">
      <c r="A1656" s="148"/>
      <c r="B1656" s="75"/>
      <c r="C1656" s="75"/>
      <c r="D1656" s="75"/>
      <c r="E1656" s="75"/>
      <c r="F1656" s="75"/>
      <c r="G1656" s="75"/>
      <c r="H1656" s="75"/>
      <c r="I1656" s="75"/>
      <c r="J1656" s="166"/>
      <c r="K1656" s="166"/>
      <c r="R1656" s="163"/>
      <c r="S1656" s="163"/>
    </row>
    <row r="1657">
      <c r="A1657" s="148"/>
      <c r="B1657" s="75"/>
      <c r="C1657" s="75"/>
      <c r="D1657" s="75"/>
      <c r="E1657" s="75"/>
      <c r="F1657" s="75"/>
      <c r="G1657" s="75"/>
      <c r="H1657" s="75"/>
      <c r="I1657" s="75"/>
      <c r="J1657" s="166"/>
      <c r="K1657" s="166"/>
      <c r="R1657" s="163"/>
      <c r="S1657" s="163"/>
    </row>
    <row r="1658">
      <c r="A1658" s="148"/>
      <c r="B1658" s="75"/>
      <c r="C1658" s="75"/>
      <c r="D1658" s="75"/>
      <c r="E1658" s="75"/>
      <c r="F1658" s="75"/>
      <c r="G1658" s="75"/>
      <c r="H1658" s="75"/>
      <c r="I1658" s="75"/>
      <c r="J1658" s="166"/>
      <c r="K1658" s="166"/>
      <c r="R1658" s="163"/>
      <c r="S1658" s="163"/>
    </row>
    <row r="1659">
      <c r="A1659" s="148"/>
      <c r="B1659" s="75"/>
      <c r="C1659" s="75"/>
      <c r="D1659" s="75"/>
      <c r="E1659" s="75"/>
      <c r="F1659" s="75"/>
      <c r="G1659" s="75"/>
      <c r="H1659" s="75"/>
      <c r="I1659" s="75"/>
      <c r="J1659" s="166"/>
      <c r="K1659" s="166"/>
      <c r="R1659" s="173"/>
      <c r="S1659" s="173"/>
    </row>
    <row r="1660">
      <c r="A1660" s="148"/>
      <c r="B1660" s="75"/>
      <c r="C1660" s="75"/>
      <c r="D1660" s="75"/>
      <c r="E1660" s="75"/>
      <c r="F1660" s="75"/>
      <c r="G1660" s="75"/>
      <c r="H1660" s="75"/>
      <c r="I1660" s="75"/>
      <c r="J1660" s="166"/>
      <c r="K1660" s="166"/>
      <c r="R1660" s="157"/>
      <c r="S1660" s="157"/>
    </row>
    <row r="1661">
      <c r="A1661" s="148"/>
      <c r="B1661" s="75"/>
      <c r="C1661" s="75"/>
      <c r="D1661" s="75"/>
      <c r="E1661" s="75"/>
      <c r="F1661" s="75"/>
      <c r="G1661" s="75"/>
      <c r="H1661" s="75"/>
      <c r="I1661" s="75"/>
      <c r="J1661" s="166"/>
      <c r="K1661" s="166"/>
      <c r="R1661" s="163"/>
      <c r="S1661" s="163"/>
    </row>
    <row r="1662">
      <c r="A1662" s="148"/>
      <c r="B1662" s="75"/>
      <c r="C1662" s="75"/>
      <c r="D1662" s="75"/>
      <c r="E1662" s="75"/>
      <c r="F1662" s="75"/>
      <c r="G1662" s="75"/>
      <c r="H1662" s="75"/>
      <c r="I1662" s="75"/>
      <c r="J1662" s="166"/>
      <c r="K1662" s="166"/>
      <c r="R1662" s="163"/>
      <c r="S1662" s="163"/>
    </row>
    <row r="1663">
      <c r="A1663" s="148"/>
      <c r="B1663" s="75"/>
      <c r="C1663" s="75"/>
      <c r="D1663" s="75"/>
      <c r="E1663" s="75"/>
      <c r="F1663" s="75"/>
      <c r="G1663" s="75"/>
      <c r="H1663" s="75"/>
      <c r="I1663" s="75"/>
      <c r="J1663" s="166"/>
      <c r="K1663" s="166"/>
      <c r="R1663" s="163"/>
      <c r="S1663" s="163"/>
    </row>
    <row r="1664">
      <c r="A1664" s="148"/>
      <c r="B1664" s="75"/>
      <c r="C1664" s="75"/>
      <c r="D1664" s="75"/>
      <c r="E1664" s="75"/>
      <c r="F1664" s="75"/>
      <c r="G1664" s="75"/>
      <c r="H1664" s="75"/>
      <c r="I1664" s="75"/>
      <c r="J1664" s="166"/>
      <c r="K1664" s="166"/>
      <c r="R1664" s="163"/>
      <c r="S1664" s="163"/>
    </row>
    <row r="1665">
      <c r="A1665" s="148"/>
      <c r="B1665" s="75"/>
      <c r="C1665" s="75"/>
      <c r="D1665" s="75"/>
      <c r="E1665" s="75"/>
      <c r="F1665" s="75"/>
      <c r="G1665" s="75"/>
      <c r="H1665" s="75"/>
      <c r="I1665" s="75"/>
      <c r="J1665" s="166"/>
      <c r="K1665" s="166"/>
      <c r="R1665" s="163"/>
      <c r="S1665" s="163"/>
    </row>
    <row r="1666">
      <c r="A1666" s="148"/>
      <c r="B1666" s="75"/>
      <c r="C1666" s="75"/>
      <c r="D1666" s="75"/>
      <c r="E1666" s="75"/>
      <c r="F1666" s="75"/>
      <c r="G1666" s="75"/>
      <c r="H1666" s="75"/>
      <c r="I1666" s="75"/>
      <c r="J1666" s="166"/>
      <c r="K1666" s="166"/>
      <c r="R1666" s="163"/>
      <c r="S1666" s="163"/>
    </row>
    <row r="1667">
      <c r="A1667" s="148"/>
      <c r="B1667" s="75"/>
      <c r="C1667" s="75"/>
      <c r="D1667" s="75"/>
      <c r="E1667" s="75"/>
      <c r="F1667" s="75"/>
      <c r="G1667" s="75"/>
      <c r="H1667" s="75"/>
      <c r="I1667" s="75"/>
      <c r="J1667" s="166"/>
      <c r="K1667" s="166"/>
      <c r="R1667" s="163"/>
      <c r="S1667" s="163"/>
    </row>
    <row r="1668">
      <c r="A1668" s="148"/>
      <c r="B1668" s="75"/>
      <c r="C1668" s="75"/>
      <c r="D1668" s="75"/>
      <c r="E1668" s="75"/>
      <c r="F1668" s="75"/>
      <c r="G1668" s="75"/>
      <c r="H1668" s="75"/>
      <c r="I1668" s="75"/>
      <c r="J1668" s="166"/>
      <c r="K1668" s="166"/>
      <c r="R1668" s="163"/>
      <c r="S1668" s="163"/>
    </row>
    <row r="1669">
      <c r="A1669" s="148"/>
      <c r="B1669" s="75"/>
      <c r="C1669" s="75"/>
      <c r="D1669" s="75"/>
      <c r="E1669" s="75"/>
      <c r="F1669" s="75"/>
      <c r="G1669" s="75"/>
      <c r="H1669" s="75"/>
      <c r="I1669" s="75"/>
      <c r="J1669" s="166"/>
      <c r="K1669" s="166"/>
      <c r="R1669" s="163"/>
      <c r="S1669" s="163"/>
    </row>
    <row r="1670">
      <c r="A1670" s="148"/>
      <c r="B1670" s="75"/>
      <c r="C1670" s="75"/>
      <c r="D1670" s="75"/>
      <c r="E1670" s="75"/>
      <c r="F1670" s="75"/>
      <c r="G1670" s="75"/>
      <c r="H1670" s="75"/>
      <c r="I1670" s="75"/>
      <c r="J1670" s="166"/>
      <c r="K1670" s="166"/>
      <c r="R1670" s="163"/>
      <c r="S1670" s="163"/>
    </row>
    <row r="1671">
      <c r="A1671" s="148"/>
      <c r="B1671" s="75"/>
      <c r="C1671" s="75"/>
      <c r="D1671" s="75"/>
      <c r="E1671" s="75"/>
      <c r="F1671" s="75"/>
      <c r="G1671" s="75"/>
      <c r="H1671" s="75"/>
      <c r="I1671" s="75"/>
      <c r="J1671" s="166"/>
      <c r="K1671" s="166"/>
      <c r="R1671" s="173"/>
      <c r="S1671" s="173"/>
    </row>
    <row r="1672">
      <c r="A1672" s="148"/>
      <c r="B1672" s="75"/>
      <c r="C1672" s="75"/>
      <c r="D1672" s="75"/>
      <c r="E1672" s="75"/>
      <c r="F1672" s="75"/>
      <c r="G1672" s="75"/>
      <c r="H1672" s="75"/>
      <c r="I1672" s="75"/>
      <c r="J1672" s="166"/>
      <c r="K1672" s="166"/>
      <c r="R1672" s="157"/>
      <c r="S1672" s="157"/>
    </row>
    <row r="1673">
      <c r="A1673" s="148"/>
      <c r="B1673" s="75"/>
      <c r="C1673" s="75"/>
      <c r="D1673" s="75"/>
      <c r="E1673" s="75"/>
      <c r="F1673" s="75"/>
      <c r="G1673" s="75"/>
      <c r="H1673" s="75"/>
      <c r="I1673" s="75"/>
      <c r="J1673" s="166"/>
      <c r="K1673" s="166"/>
      <c r="R1673" s="163"/>
      <c r="S1673" s="163"/>
    </row>
    <row r="1674">
      <c r="A1674" s="148"/>
      <c r="B1674" s="75"/>
      <c r="C1674" s="75"/>
      <c r="D1674" s="75"/>
      <c r="E1674" s="75"/>
      <c r="F1674" s="75"/>
      <c r="G1674" s="75"/>
      <c r="H1674" s="75"/>
      <c r="I1674" s="75"/>
      <c r="J1674" s="166"/>
      <c r="K1674" s="166"/>
      <c r="R1674" s="163"/>
      <c r="S1674" s="163"/>
    </row>
    <row r="1675">
      <c r="A1675" s="148"/>
      <c r="B1675" s="75"/>
      <c r="C1675" s="75"/>
      <c r="D1675" s="75"/>
      <c r="E1675" s="75"/>
      <c r="F1675" s="75"/>
      <c r="G1675" s="75"/>
      <c r="H1675" s="75"/>
      <c r="I1675" s="75"/>
      <c r="J1675" s="166"/>
      <c r="K1675" s="166"/>
      <c r="R1675" s="163"/>
      <c r="S1675" s="163"/>
    </row>
    <row r="1676">
      <c r="A1676" s="148"/>
      <c r="B1676" s="75"/>
      <c r="C1676" s="75"/>
      <c r="D1676" s="75"/>
      <c r="E1676" s="75"/>
      <c r="F1676" s="75"/>
      <c r="G1676" s="75"/>
      <c r="H1676" s="75"/>
      <c r="I1676" s="75"/>
      <c r="J1676" s="166"/>
      <c r="K1676" s="166"/>
      <c r="R1676" s="163"/>
      <c r="S1676" s="163"/>
    </row>
    <row r="1677">
      <c r="A1677" s="148"/>
      <c r="B1677" s="75"/>
      <c r="C1677" s="75"/>
      <c r="D1677" s="75"/>
      <c r="E1677" s="75"/>
      <c r="F1677" s="75"/>
      <c r="G1677" s="75"/>
      <c r="H1677" s="75"/>
      <c r="I1677" s="75"/>
      <c r="J1677" s="166"/>
      <c r="K1677" s="166"/>
      <c r="R1677" s="163"/>
      <c r="S1677" s="163"/>
    </row>
    <row r="1678">
      <c r="A1678" s="148"/>
      <c r="B1678" s="75"/>
      <c r="C1678" s="75"/>
      <c r="D1678" s="75"/>
      <c r="E1678" s="75"/>
      <c r="F1678" s="75"/>
      <c r="G1678" s="75"/>
      <c r="H1678" s="75"/>
      <c r="I1678" s="75"/>
      <c r="J1678" s="166"/>
      <c r="K1678" s="166"/>
      <c r="R1678" s="163"/>
      <c r="S1678" s="163"/>
    </row>
    <row r="1679">
      <c r="A1679" s="148"/>
      <c r="B1679" s="75"/>
      <c r="C1679" s="75"/>
      <c r="D1679" s="75"/>
      <c r="E1679" s="75"/>
      <c r="F1679" s="75"/>
      <c r="G1679" s="75"/>
      <c r="H1679" s="75"/>
      <c r="I1679" s="75"/>
      <c r="J1679" s="166"/>
      <c r="K1679" s="166"/>
      <c r="R1679" s="163"/>
      <c r="S1679" s="163"/>
    </row>
    <row r="1680">
      <c r="A1680" s="148"/>
      <c r="B1680" s="75"/>
      <c r="C1680" s="75"/>
      <c r="D1680" s="75"/>
      <c r="E1680" s="75"/>
      <c r="F1680" s="75"/>
      <c r="G1680" s="75"/>
      <c r="H1680" s="75"/>
      <c r="I1680" s="75"/>
      <c r="J1680" s="166"/>
      <c r="K1680" s="166"/>
      <c r="R1680" s="163"/>
      <c r="S1680" s="163"/>
    </row>
    <row r="1681">
      <c r="A1681" s="148"/>
      <c r="B1681" s="75"/>
      <c r="C1681" s="75"/>
      <c r="D1681" s="75"/>
      <c r="E1681" s="75"/>
      <c r="F1681" s="75"/>
      <c r="G1681" s="75"/>
      <c r="H1681" s="75"/>
      <c r="I1681" s="75"/>
      <c r="J1681" s="166"/>
      <c r="K1681" s="166"/>
      <c r="R1681" s="163"/>
      <c r="S1681" s="163"/>
    </row>
    <row r="1682">
      <c r="A1682" s="148"/>
      <c r="B1682" s="75"/>
      <c r="C1682" s="75"/>
      <c r="D1682" s="75"/>
      <c r="E1682" s="75"/>
      <c r="F1682" s="75"/>
      <c r="G1682" s="75"/>
      <c r="H1682" s="75"/>
      <c r="I1682" s="75"/>
      <c r="J1682" s="166"/>
      <c r="K1682" s="166"/>
      <c r="R1682" s="163"/>
      <c r="S1682" s="163"/>
    </row>
    <row r="1683">
      <c r="A1683" s="148"/>
      <c r="B1683" s="75"/>
      <c r="C1683" s="75"/>
      <c r="D1683" s="75"/>
      <c r="E1683" s="75"/>
      <c r="F1683" s="75"/>
      <c r="G1683" s="75"/>
      <c r="H1683" s="75"/>
      <c r="I1683" s="75"/>
      <c r="J1683" s="166"/>
      <c r="K1683" s="166"/>
      <c r="R1683" s="173"/>
      <c r="S1683" s="173"/>
    </row>
    <row r="1684">
      <c r="A1684" s="148"/>
      <c r="B1684" s="75"/>
      <c r="C1684" s="75"/>
      <c r="D1684" s="75"/>
      <c r="E1684" s="75"/>
      <c r="F1684" s="75"/>
      <c r="G1684" s="75"/>
      <c r="H1684" s="75"/>
      <c r="I1684" s="75"/>
      <c r="J1684" s="166"/>
      <c r="K1684" s="166"/>
      <c r="R1684" s="157"/>
      <c r="S1684" s="157"/>
    </row>
    <row r="1685">
      <c r="A1685" s="148"/>
      <c r="B1685" s="75"/>
      <c r="C1685" s="75"/>
      <c r="D1685" s="75"/>
      <c r="E1685" s="75"/>
      <c r="F1685" s="75"/>
      <c r="G1685" s="75"/>
      <c r="H1685" s="75"/>
      <c r="I1685" s="75"/>
      <c r="J1685" s="166"/>
      <c r="K1685" s="166"/>
      <c r="R1685" s="163"/>
      <c r="S1685" s="163"/>
    </row>
    <row r="1686">
      <c r="A1686" s="148"/>
      <c r="B1686" s="75"/>
      <c r="C1686" s="75"/>
      <c r="D1686" s="75"/>
      <c r="E1686" s="75"/>
      <c r="F1686" s="75"/>
      <c r="G1686" s="75"/>
      <c r="H1686" s="75"/>
      <c r="I1686" s="75"/>
      <c r="J1686" s="166"/>
      <c r="K1686" s="166"/>
      <c r="R1686" s="163"/>
      <c r="S1686" s="163"/>
    </row>
    <row r="1687">
      <c r="A1687" s="148"/>
      <c r="B1687" s="75"/>
      <c r="C1687" s="75"/>
      <c r="D1687" s="75"/>
      <c r="E1687" s="75"/>
      <c r="F1687" s="75"/>
      <c r="G1687" s="75"/>
      <c r="H1687" s="75"/>
      <c r="I1687" s="75"/>
      <c r="J1687" s="166"/>
      <c r="K1687" s="166"/>
      <c r="R1687" s="163"/>
      <c r="S1687" s="163"/>
    </row>
    <row r="1688">
      <c r="A1688" s="148"/>
      <c r="B1688" s="75"/>
      <c r="C1688" s="75"/>
      <c r="D1688" s="75"/>
      <c r="E1688" s="75"/>
      <c r="F1688" s="75"/>
      <c r="G1688" s="75"/>
      <c r="H1688" s="75"/>
      <c r="I1688" s="75"/>
      <c r="J1688" s="166"/>
      <c r="K1688" s="166"/>
      <c r="R1688" s="163"/>
      <c r="S1688" s="163"/>
    </row>
    <row r="1689">
      <c r="A1689" s="148"/>
      <c r="B1689" s="75"/>
      <c r="C1689" s="75"/>
      <c r="D1689" s="75"/>
      <c r="E1689" s="75"/>
      <c r="F1689" s="75"/>
      <c r="G1689" s="75"/>
      <c r="H1689" s="75"/>
      <c r="I1689" s="75"/>
      <c r="J1689" s="166"/>
      <c r="K1689" s="166"/>
      <c r="R1689" s="163"/>
      <c r="S1689" s="163"/>
    </row>
    <row r="1690">
      <c r="A1690" s="148"/>
      <c r="B1690" s="75"/>
      <c r="C1690" s="75"/>
      <c r="D1690" s="75"/>
      <c r="E1690" s="75"/>
      <c r="F1690" s="75"/>
      <c r="G1690" s="75"/>
      <c r="H1690" s="75"/>
      <c r="I1690" s="75"/>
      <c r="J1690" s="166"/>
      <c r="K1690" s="166"/>
      <c r="R1690" s="163"/>
      <c r="S1690" s="163"/>
    </row>
    <row r="1691">
      <c r="A1691" s="148"/>
      <c r="B1691" s="75"/>
      <c r="C1691" s="75"/>
      <c r="D1691" s="75"/>
      <c r="E1691" s="75"/>
      <c r="F1691" s="75"/>
      <c r="G1691" s="75"/>
      <c r="H1691" s="75"/>
      <c r="I1691" s="75"/>
      <c r="J1691" s="166"/>
      <c r="K1691" s="166"/>
      <c r="R1691" s="163"/>
      <c r="S1691" s="163"/>
    </row>
    <row r="1692">
      <c r="A1692" s="148"/>
      <c r="B1692" s="75"/>
      <c r="C1692" s="75"/>
      <c r="D1692" s="75"/>
      <c r="E1692" s="75"/>
      <c r="F1692" s="75"/>
      <c r="G1692" s="75"/>
      <c r="H1692" s="75"/>
      <c r="I1692" s="75"/>
      <c r="J1692" s="166"/>
      <c r="K1692" s="166"/>
      <c r="R1692" s="163"/>
      <c r="S1692" s="163"/>
    </row>
    <row r="1693">
      <c r="A1693" s="148"/>
      <c r="B1693" s="75"/>
      <c r="C1693" s="75"/>
      <c r="D1693" s="75"/>
      <c r="E1693" s="75"/>
      <c r="F1693" s="75"/>
      <c r="G1693" s="75"/>
      <c r="H1693" s="75"/>
      <c r="I1693" s="75"/>
      <c r="J1693" s="166"/>
      <c r="K1693" s="166"/>
      <c r="R1693" s="163"/>
      <c r="S1693" s="163"/>
    </row>
    <row r="1694">
      <c r="A1694" s="148"/>
      <c r="B1694" s="75"/>
      <c r="C1694" s="75"/>
      <c r="D1694" s="75"/>
      <c r="E1694" s="75"/>
      <c r="F1694" s="75"/>
      <c r="G1694" s="75"/>
      <c r="H1694" s="75"/>
      <c r="I1694" s="75"/>
      <c r="J1694" s="166"/>
      <c r="K1694" s="166"/>
      <c r="R1694" s="163"/>
      <c r="S1694" s="163"/>
    </row>
    <row r="1695">
      <c r="A1695" s="148"/>
      <c r="B1695" s="75"/>
      <c r="C1695" s="75"/>
      <c r="D1695" s="75"/>
      <c r="E1695" s="75"/>
      <c r="F1695" s="75"/>
      <c r="G1695" s="75"/>
      <c r="H1695" s="75"/>
      <c r="I1695" s="75"/>
      <c r="J1695" s="166"/>
      <c r="K1695" s="166"/>
      <c r="R1695" s="173"/>
      <c r="S1695" s="173"/>
    </row>
    <row r="1696">
      <c r="A1696" s="148"/>
      <c r="B1696" s="75"/>
      <c r="C1696" s="75"/>
      <c r="D1696" s="75"/>
      <c r="E1696" s="75"/>
      <c r="F1696" s="75"/>
      <c r="G1696" s="75"/>
      <c r="H1696" s="75"/>
      <c r="I1696" s="75"/>
      <c r="J1696" s="166"/>
      <c r="K1696" s="166"/>
      <c r="R1696" s="157"/>
      <c r="S1696" s="157"/>
    </row>
    <row r="1697">
      <c r="A1697" s="148"/>
      <c r="B1697" s="75"/>
      <c r="C1697" s="75"/>
      <c r="D1697" s="75"/>
      <c r="E1697" s="75"/>
      <c r="F1697" s="75"/>
      <c r="G1697" s="75"/>
      <c r="H1697" s="75"/>
      <c r="I1697" s="75"/>
      <c r="J1697" s="166"/>
      <c r="K1697" s="166"/>
      <c r="R1697" s="163"/>
      <c r="S1697" s="163"/>
    </row>
    <row r="1698">
      <c r="A1698" s="148"/>
      <c r="B1698" s="75"/>
      <c r="C1698" s="75"/>
      <c r="D1698" s="75"/>
      <c r="E1698" s="75"/>
      <c r="F1698" s="75"/>
      <c r="G1698" s="75"/>
      <c r="H1698" s="75"/>
      <c r="I1698" s="75"/>
      <c r="J1698" s="166"/>
      <c r="K1698" s="166"/>
      <c r="R1698" s="163"/>
      <c r="S1698" s="163"/>
    </row>
    <row r="1699">
      <c r="A1699" s="148"/>
      <c r="B1699" s="75"/>
      <c r="C1699" s="75"/>
      <c r="D1699" s="75"/>
      <c r="E1699" s="75"/>
      <c r="F1699" s="75"/>
      <c r="G1699" s="75"/>
      <c r="H1699" s="75"/>
      <c r="I1699" s="75"/>
      <c r="J1699" s="166"/>
      <c r="K1699" s="166"/>
      <c r="R1699" s="163"/>
      <c r="S1699" s="163"/>
    </row>
    <row r="1700">
      <c r="A1700" s="148"/>
      <c r="B1700" s="75"/>
      <c r="C1700" s="75"/>
      <c r="D1700" s="75"/>
      <c r="E1700" s="75"/>
      <c r="F1700" s="75"/>
      <c r="G1700" s="75"/>
      <c r="H1700" s="75"/>
      <c r="I1700" s="75"/>
      <c r="J1700" s="166"/>
      <c r="K1700" s="166"/>
      <c r="R1700" s="163"/>
      <c r="S1700" s="163"/>
    </row>
    <row r="1701">
      <c r="A1701" s="148"/>
      <c r="B1701" s="75"/>
      <c r="C1701" s="75"/>
      <c r="D1701" s="75"/>
      <c r="E1701" s="75"/>
      <c r="F1701" s="75"/>
      <c r="G1701" s="75"/>
      <c r="H1701" s="75"/>
      <c r="I1701" s="75"/>
      <c r="J1701" s="166"/>
      <c r="K1701" s="166"/>
      <c r="R1701" s="163"/>
      <c r="S1701" s="163"/>
    </row>
    <row r="1702">
      <c r="A1702" s="148"/>
      <c r="B1702" s="75"/>
      <c r="C1702" s="75"/>
      <c r="D1702" s="75"/>
      <c r="E1702" s="75"/>
      <c r="F1702" s="75"/>
      <c r="G1702" s="75"/>
      <c r="H1702" s="75"/>
      <c r="I1702" s="75"/>
      <c r="J1702" s="166"/>
      <c r="K1702" s="166"/>
      <c r="R1702" s="163"/>
      <c r="S1702" s="163"/>
    </row>
    <row r="1703">
      <c r="A1703" s="148"/>
      <c r="B1703" s="75"/>
      <c r="C1703" s="75"/>
      <c r="D1703" s="75"/>
      <c r="E1703" s="75"/>
      <c r="F1703" s="75"/>
      <c r="G1703" s="75"/>
      <c r="H1703" s="75"/>
      <c r="I1703" s="75"/>
      <c r="J1703" s="166"/>
      <c r="K1703" s="166"/>
      <c r="R1703" s="163"/>
      <c r="S1703" s="163"/>
    </row>
    <row r="1704">
      <c r="A1704" s="148"/>
      <c r="B1704" s="75"/>
      <c r="C1704" s="75"/>
      <c r="D1704" s="75"/>
      <c r="E1704" s="75"/>
      <c r="F1704" s="75"/>
      <c r="G1704" s="75"/>
      <c r="H1704" s="75"/>
      <c r="I1704" s="75"/>
      <c r="J1704" s="166"/>
      <c r="K1704" s="166"/>
      <c r="R1704" s="163"/>
      <c r="S1704" s="163"/>
    </row>
    <row r="1705">
      <c r="A1705" s="148"/>
      <c r="B1705" s="75"/>
      <c r="C1705" s="75"/>
      <c r="D1705" s="75"/>
      <c r="E1705" s="75"/>
      <c r="F1705" s="75"/>
      <c r="G1705" s="75"/>
      <c r="H1705" s="75"/>
      <c r="I1705" s="75"/>
      <c r="J1705" s="166"/>
      <c r="K1705" s="166"/>
      <c r="R1705" s="163"/>
      <c r="S1705" s="163"/>
    </row>
    <row r="1706">
      <c r="A1706" s="148"/>
      <c r="B1706" s="75"/>
      <c r="C1706" s="75"/>
      <c r="D1706" s="75"/>
      <c r="E1706" s="75"/>
      <c r="F1706" s="75"/>
      <c r="G1706" s="75"/>
      <c r="H1706" s="75"/>
      <c r="I1706" s="75"/>
      <c r="J1706" s="166"/>
      <c r="K1706" s="166"/>
      <c r="R1706" s="163"/>
      <c r="S1706" s="163"/>
    </row>
    <row r="1707">
      <c r="A1707" s="148"/>
      <c r="B1707" s="75"/>
      <c r="C1707" s="75"/>
      <c r="D1707" s="75"/>
      <c r="E1707" s="75"/>
      <c r="F1707" s="75"/>
      <c r="G1707" s="75"/>
      <c r="H1707" s="75"/>
      <c r="I1707" s="75"/>
      <c r="J1707" s="166"/>
      <c r="K1707" s="166"/>
      <c r="R1707" s="173"/>
      <c r="S1707" s="173"/>
    </row>
    <row r="1708">
      <c r="A1708" s="148"/>
      <c r="B1708" s="75"/>
      <c r="C1708" s="75"/>
      <c r="D1708" s="75"/>
      <c r="E1708" s="75"/>
      <c r="F1708" s="75"/>
      <c r="G1708" s="75"/>
      <c r="H1708" s="75"/>
      <c r="I1708" s="75"/>
      <c r="J1708" s="166"/>
      <c r="K1708" s="166"/>
      <c r="R1708" s="157"/>
      <c r="S1708" s="157"/>
    </row>
    <row r="1709">
      <c r="A1709" s="148"/>
      <c r="B1709" s="75"/>
      <c r="C1709" s="75"/>
      <c r="D1709" s="75"/>
      <c r="E1709" s="75"/>
      <c r="F1709" s="75"/>
      <c r="G1709" s="75"/>
      <c r="H1709" s="75"/>
      <c r="I1709" s="75"/>
      <c r="J1709" s="166"/>
      <c r="K1709" s="166"/>
      <c r="R1709" s="163"/>
      <c r="S1709" s="163"/>
    </row>
    <row r="1710">
      <c r="A1710" s="148"/>
      <c r="B1710" s="75"/>
      <c r="C1710" s="75"/>
      <c r="D1710" s="75"/>
      <c r="E1710" s="75"/>
      <c r="F1710" s="75"/>
      <c r="G1710" s="75"/>
      <c r="H1710" s="75"/>
      <c r="I1710" s="75"/>
      <c r="J1710" s="166"/>
      <c r="K1710" s="166"/>
      <c r="R1710" s="163"/>
      <c r="S1710" s="163"/>
    </row>
    <row r="1711">
      <c r="A1711" s="148"/>
      <c r="B1711" s="75"/>
      <c r="C1711" s="75"/>
      <c r="D1711" s="75"/>
      <c r="E1711" s="75"/>
      <c r="F1711" s="75"/>
      <c r="G1711" s="75"/>
      <c r="H1711" s="75"/>
      <c r="I1711" s="75"/>
      <c r="J1711" s="166"/>
      <c r="K1711" s="166"/>
      <c r="R1711" s="163"/>
      <c r="S1711" s="163"/>
    </row>
    <row r="1712">
      <c r="A1712" s="148"/>
      <c r="B1712" s="75"/>
      <c r="C1712" s="75"/>
      <c r="D1712" s="75"/>
      <c r="E1712" s="75"/>
      <c r="F1712" s="75"/>
      <c r="G1712" s="75"/>
      <c r="H1712" s="75"/>
      <c r="I1712" s="75"/>
      <c r="J1712" s="166"/>
      <c r="K1712" s="166"/>
      <c r="R1712" s="163"/>
      <c r="S1712" s="163"/>
    </row>
    <row r="1713">
      <c r="A1713" s="148"/>
      <c r="B1713" s="75"/>
      <c r="C1713" s="75"/>
      <c r="D1713" s="75"/>
      <c r="E1713" s="75"/>
      <c r="F1713" s="75"/>
      <c r="G1713" s="75"/>
      <c r="H1713" s="75"/>
      <c r="I1713" s="75"/>
      <c r="J1713" s="166"/>
      <c r="K1713" s="166"/>
      <c r="R1713" s="163"/>
      <c r="S1713" s="163"/>
    </row>
    <row r="1714">
      <c r="A1714" s="148"/>
      <c r="B1714" s="75"/>
      <c r="C1714" s="75"/>
      <c r="D1714" s="75"/>
      <c r="E1714" s="75"/>
      <c r="F1714" s="75"/>
      <c r="G1714" s="75"/>
      <c r="H1714" s="75"/>
      <c r="I1714" s="75"/>
      <c r="J1714" s="166"/>
      <c r="K1714" s="166"/>
      <c r="R1714" s="163"/>
      <c r="S1714" s="163"/>
    </row>
    <row r="1715">
      <c r="A1715" s="148"/>
      <c r="B1715" s="75"/>
      <c r="C1715" s="75"/>
      <c r="D1715" s="75"/>
      <c r="E1715" s="75"/>
      <c r="F1715" s="75"/>
      <c r="G1715" s="75"/>
      <c r="H1715" s="75"/>
      <c r="I1715" s="75"/>
      <c r="J1715" s="166"/>
      <c r="K1715" s="166"/>
      <c r="R1715" s="163"/>
      <c r="S1715" s="163"/>
    </row>
    <row r="1716">
      <c r="A1716" s="148"/>
      <c r="B1716" s="75"/>
      <c r="C1716" s="75"/>
      <c r="D1716" s="75"/>
      <c r="E1716" s="75"/>
      <c r="F1716" s="75"/>
      <c r="G1716" s="75"/>
      <c r="H1716" s="75"/>
      <c r="I1716" s="75"/>
      <c r="J1716" s="166"/>
      <c r="K1716" s="166"/>
      <c r="R1716" s="163"/>
      <c r="S1716" s="163"/>
    </row>
    <row r="1717">
      <c r="A1717" s="148"/>
      <c r="B1717" s="75"/>
      <c r="C1717" s="75"/>
      <c r="D1717" s="75"/>
      <c r="E1717" s="75"/>
      <c r="F1717" s="75"/>
      <c r="G1717" s="75"/>
      <c r="H1717" s="75"/>
      <c r="I1717" s="75"/>
      <c r="J1717" s="166"/>
      <c r="K1717" s="166"/>
      <c r="R1717" s="163"/>
      <c r="S1717" s="163"/>
    </row>
    <row r="1718">
      <c r="A1718" s="148"/>
      <c r="B1718" s="75"/>
      <c r="C1718" s="75"/>
      <c r="D1718" s="75"/>
      <c r="E1718" s="75"/>
      <c r="F1718" s="75"/>
      <c r="G1718" s="75"/>
      <c r="H1718" s="75"/>
      <c r="I1718" s="75"/>
      <c r="J1718" s="166"/>
      <c r="K1718" s="166"/>
      <c r="R1718" s="163"/>
      <c r="S1718" s="163"/>
    </row>
    <row r="1719">
      <c r="A1719" s="148"/>
      <c r="B1719" s="75"/>
      <c r="C1719" s="75"/>
      <c r="D1719" s="75"/>
      <c r="E1719" s="75"/>
      <c r="F1719" s="75"/>
      <c r="G1719" s="75"/>
      <c r="H1719" s="75"/>
      <c r="I1719" s="75"/>
      <c r="J1719" s="166"/>
      <c r="K1719" s="166"/>
      <c r="R1719" s="173"/>
      <c r="S1719" s="173"/>
    </row>
    <row r="1720">
      <c r="A1720" s="148"/>
      <c r="B1720" s="75"/>
      <c r="C1720" s="75"/>
      <c r="D1720" s="75"/>
      <c r="E1720" s="75"/>
      <c r="F1720" s="75"/>
      <c r="G1720" s="75"/>
      <c r="H1720" s="75"/>
      <c r="I1720" s="75"/>
      <c r="J1720" s="166"/>
      <c r="K1720" s="166"/>
      <c r="R1720" s="157"/>
      <c r="S1720" s="157"/>
    </row>
    <row r="1721">
      <c r="A1721" s="148"/>
      <c r="B1721" s="75"/>
      <c r="C1721" s="75"/>
      <c r="D1721" s="75"/>
      <c r="E1721" s="75"/>
      <c r="F1721" s="75"/>
      <c r="G1721" s="75"/>
      <c r="H1721" s="75"/>
      <c r="I1721" s="75"/>
      <c r="J1721" s="166"/>
      <c r="K1721" s="166"/>
      <c r="R1721" s="163"/>
      <c r="S1721" s="163"/>
    </row>
    <row r="1722">
      <c r="A1722" s="148"/>
      <c r="B1722" s="75"/>
      <c r="C1722" s="75"/>
      <c r="D1722" s="75"/>
      <c r="E1722" s="75"/>
      <c r="F1722" s="75"/>
      <c r="G1722" s="75"/>
      <c r="H1722" s="75"/>
      <c r="I1722" s="75"/>
      <c r="J1722" s="166"/>
      <c r="K1722" s="166"/>
      <c r="R1722" s="163"/>
      <c r="S1722" s="163"/>
    </row>
    <row r="1723">
      <c r="A1723" s="148"/>
      <c r="B1723" s="75"/>
      <c r="C1723" s="75"/>
      <c r="D1723" s="75"/>
      <c r="E1723" s="75"/>
      <c r="F1723" s="75"/>
      <c r="G1723" s="75"/>
      <c r="H1723" s="75"/>
      <c r="I1723" s="75"/>
      <c r="J1723" s="166"/>
      <c r="K1723" s="166"/>
      <c r="R1723" s="163"/>
      <c r="S1723" s="163"/>
    </row>
    <row r="1724">
      <c r="A1724" s="148"/>
      <c r="B1724" s="75"/>
      <c r="C1724" s="75"/>
      <c r="D1724" s="75"/>
      <c r="E1724" s="75"/>
      <c r="F1724" s="75"/>
      <c r="G1724" s="75"/>
      <c r="H1724" s="75"/>
      <c r="I1724" s="75"/>
      <c r="J1724" s="166"/>
      <c r="K1724" s="166"/>
      <c r="R1724" s="163"/>
      <c r="S1724" s="163"/>
    </row>
    <row r="1725">
      <c r="A1725" s="148"/>
      <c r="B1725" s="75"/>
      <c r="C1725" s="75"/>
      <c r="D1725" s="75"/>
      <c r="E1725" s="75"/>
      <c r="F1725" s="75"/>
      <c r="G1725" s="75"/>
      <c r="H1725" s="75"/>
      <c r="I1725" s="75"/>
      <c r="J1725" s="166"/>
      <c r="K1725" s="166"/>
      <c r="R1725" s="163"/>
      <c r="S1725" s="163"/>
    </row>
    <row r="1726">
      <c r="A1726" s="148"/>
      <c r="B1726" s="75"/>
      <c r="C1726" s="75"/>
      <c r="D1726" s="75"/>
      <c r="E1726" s="75"/>
      <c r="F1726" s="75"/>
      <c r="G1726" s="75"/>
      <c r="H1726" s="75"/>
      <c r="I1726" s="75"/>
      <c r="J1726" s="166"/>
      <c r="K1726" s="166"/>
      <c r="R1726" s="163"/>
      <c r="S1726" s="163"/>
    </row>
    <row r="1727">
      <c r="A1727" s="148"/>
      <c r="B1727" s="75"/>
      <c r="C1727" s="75"/>
      <c r="D1727" s="75"/>
      <c r="E1727" s="75"/>
      <c r="F1727" s="75"/>
      <c r="G1727" s="75"/>
      <c r="H1727" s="75"/>
      <c r="I1727" s="75"/>
      <c r="J1727" s="166"/>
      <c r="K1727" s="166"/>
      <c r="R1727" s="163"/>
      <c r="S1727" s="163"/>
    </row>
    <row r="1728">
      <c r="A1728" s="148"/>
      <c r="B1728" s="75"/>
      <c r="C1728" s="75"/>
      <c r="D1728" s="75"/>
      <c r="E1728" s="75"/>
      <c r="F1728" s="75"/>
      <c r="G1728" s="75"/>
      <c r="H1728" s="75"/>
      <c r="I1728" s="75"/>
      <c r="J1728" s="166"/>
      <c r="K1728" s="166"/>
      <c r="R1728" s="163"/>
      <c r="S1728" s="163"/>
    </row>
    <row r="1729">
      <c r="A1729" s="148"/>
      <c r="B1729" s="75"/>
      <c r="C1729" s="75"/>
      <c r="D1729" s="75"/>
      <c r="E1729" s="75"/>
      <c r="F1729" s="75"/>
      <c r="G1729" s="75"/>
      <c r="H1729" s="75"/>
      <c r="I1729" s="75"/>
      <c r="J1729" s="166"/>
      <c r="K1729" s="166"/>
      <c r="R1729" s="163"/>
      <c r="S1729" s="163"/>
    </row>
    <row r="1730">
      <c r="A1730" s="148"/>
      <c r="B1730" s="75"/>
      <c r="C1730" s="75"/>
      <c r="D1730" s="75"/>
      <c r="E1730" s="75"/>
      <c r="F1730" s="75"/>
      <c r="G1730" s="75"/>
      <c r="H1730" s="75"/>
      <c r="I1730" s="75"/>
      <c r="J1730" s="166"/>
      <c r="K1730" s="166"/>
      <c r="R1730" s="163"/>
      <c r="S1730" s="163"/>
    </row>
    <row r="1731">
      <c r="A1731" s="148"/>
      <c r="B1731" s="75"/>
      <c r="C1731" s="75"/>
      <c r="D1731" s="75"/>
      <c r="E1731" s="75"/>
      <c r="F1731" s="75"/>
      <c r="G1731" s="75"/>
      <c r="H1731" s="75"/>
      <c r="I1731" s="75"/>
      <c r="J1731" s="166"/>
      <c r="K1731" s="166"/>
      <c r="R1731" s="173"/>
      <c r="S1731" s="173"/>
    </row>
    <row r="1732">
      <c r="A1732" s="148"/>
      <c r="B1732" s="75"/>
      <c r="C1732" s="75"/>
      <c r="D1732" s="75"/>
      <c r="E1732" s="75"/>
      <c r="F1732" s="75"/>
      <c r="G1732" s="75"/>
      <c r="H1732" s="75"/>
      <c r="I1732" s="75"/>
      <c r="J1732" s="166"/>
      <c r="K1732" s="166"/>
      <c r="R1732" s="157"/>
      <c r="S1732" s="157"/>
    </row>
    <row r="1733">
      <c r="A1733" s="148"/>
      <c r="B1733" s="75"/>
      <c r="C1733" s="75"/>
      <c r="D1733" s="75"/>
      <c r="E1733" s="75"/>
      <c r="F1733" s="75"/>
      <c r="G1733" s="75"/>
      <c r="H1733" s="75"/>
      <c r="I1733" s="75"/>
      <c r="J1733" s="166"/>
      <c r="K1733" s="166"/>
      <c r="R1733" s="163"/>
      <c r="S1733" s="163"/>
    </row>
    <row r="1734">
      <c r="A1734" s="148"/>
      <c r="B1734" s="75"/>
      <c r="C1734" s="75"/>
      <c r="D1734" s="75"/>
      <c r="E1734" s="75"/>
      <c r="F1734" s="75"/>
      <c r="G1734" s="75"/>
      <c r="H1734" s="75"/>
      <c r="I1734" s="75"/>
      <c r="J1734" s="166"/>
      <c r="K1734" s="166"/>
      <c r="R1734" s="163"/>
      <c r="S1734" s="163"/>
    </row>
    <row r="1735">
      <c r="A1735" s="148"/>
      <c r="B1735" s="75"/>
      <c r="C1735" s="75"/>
      <c r="D1735" s="75"/>
      <c r="E1735" s="75"/>
      <c r="F1735" s="75"/>
      <c r="G1735" s="75"/>
      <c r="H1735" s="75"/>
      <c r="I1735" s="75"/>
      <c r="J1735" s="166"/>
      <c r="K1735" s="166"/>
      <c r="R1735" s="163"/>
      <c r="S1735" s="163"/>
    </row>
    <row r="1736">
      <c r="A1736" s="148"/>
      <c r="B1736" s="75"/>
      <c r="C1736" s="75"/>
      <c r="D1736" s="75"/>
      <c r="E1736" s="75"/>
      <c r="F1736" s="75"/>
      <c r="G1736" s="75"/>
      <c r="H1736" s="75"/>
      <c r="I1736" s="75"/>
      <c r="J1736" s="166"/>
      <c r="K1736" s="166"/>
      <c r="R1736" s="163"/>
      <c r="S1736" s="163"/>
    </row>
    <row r="1737">
      <c r="A1737" s="148"/>
      <c r="B1737" s="75"/>
      <c r="C1737" s="75"/>
      <c r="D1737" s="75"/>
      <c r="E1737" s="75"/>
      <c r="F1737" s="75"/>
      <c r="G1737" s="75"/>
      <c r="H1737" s="75"/>
      <c r="I1737" s="75"/>
      <c r="J1737" s="166"/>
      <c r="K1737" s="166"/>
      <c r="R1737" s="163"/>
      <c r="S1737" s="163"/>
    </row>
    <row r="1738">
      <c r="A1738" s="148"/>
      <c r="B1738" s="75"/>
      <c r="C1738" s="75"/>
      <c r="D1738" s="75"/>
      <c r="E1738" s="75"/>
      <c r="F1738" s="75"/>
      <c r="G1738" s="75"/>
      <c r="H1738" s="75"/>
      <c r="I1738" s="75"/>
      <c r="J1738" s="166"/>
      <c r="K1738" s="166"/>
      <c r="R1738" s="163"/>
      <c r="S1738" s="163"/>
    </row>
    <row r="1739">
      <c r="A1739" s="148"/>
      <c r="B1739" s="75"/>
      <c r="C1739" s="75"/>
      <c r="D1739" s="75"/>
      <c r="E1739" s="75"/>
      <c r="F1739" s="75"/>
      <c r="G1739" s="75"/>
      <c r="H1739" s="75"/>
      <c r="I1739" s="75"/>
      <c r="J1739" s="166"/>
      <c r="K1739" s="166"/>
      <c r="R1739" s="163"/>
      <c r="S1739" s="163"/>
    </row>
    <row r="1740">
      <c r="A1740" s="148"/>
      <c r="B1740" s="75"/>
      <c r="C1740" s="75"/>
      <c r="D1740" s="75"/>
      <c r="E1740" s="75"/>
      <c r="F1740" s="75"/>
      <c r="G1740" s="75"/>
      <c r="H1740" s="75"/>
      <c r="I1740" s="75"/>
      <c r="J1740" s="166"/>
      <c r="K1740" s="166"/>
      <c r="R1740" s="163"/>
      <c r="S1740" s="163"/>
    </row>
    <row r="1741">
      <c r="A1741" s="148"/>
      <c r="B1741" s="75"/>
      <c r="C1741" s="75"/>
      <c r="D1741" s="75"/>
      <c r="E1741" s="75"/>
      <c r="F1741" s="75"/>
      <c r="G1741" s="75"/>
      <c r="H1741" s="75"/>
      <c r="I1741" s="75"/>
      <c r="J1741" s="166"/>
      <c r="K1741" s="166"/>
      <c r="R1741" s="163"/>
      <c r="S1741" s="163"/>
    </row>
    <row r="1742">
      <c r="A1742" s="148"/>
      <c r="B1742" s="75"/>
      <c r="C1742" s="75"/>
      <c r="D1742" s="75"/>
      <c r="E1742" s="75"/>
      <c r="F1742" s="75"/>
      <c r="G1742" s="75"/>
      <c r="H1742" s="75"/>
      <c r="I1742" s="75"/>
      <c r="J1742" s="166"/>
      <c r="K1742" s="166"/>
      <c r="R1742" s="163"/>
      <c r="S1742" s="163"/>
    </row>
    <row r="1743">
      <c r="A1743" s="148"/>
      <c r="B1743" s="75"/>
      <c r="C1743" s="75"/>
      <c r="D1743" s="75"/>
      <c r="E1743" s="75"/>
      <c r="F1743" s="75"/>
      <c r="G1743" s="75"/>
      <c r="H1743" s="75"/>
      <c r="I1743" s="75"/>
      <c r="J1743" s="166"/>
      <c r="K1743" s="166"/>
      <c r="R1743" s="173"/>
      <c r="S1743" s="173"/>
    </row>
    <row r="1744">
      <c r="A1744" s="148"/>
      <c r="B1744" s="75"/>
      <c r="C1744" s="75"/>
      <c r="D1744" s="75"/>
      <c r="E1744" s="75"/>
      <c r="F1744" s="75"/>
      <c r="G1744" s="75"/>
      <c r="H1744" s="75"/>
      <c r="I1744" s="75"/>
      <c r="J1744" s="166"/>
      <c r="K1744" s="166"/>
      <c r="R1744" s="157"/>
      <c r="S1744" s="157"/>
    </row>
    <row r="1745">
      <c r="A1745" s="148"/>
      <c r="B1745" s="75"/>
      <c r="C1745" s="75"/>
      <c r="D1745" s="75"/>
      <c r="E1745" s="75"/>
      <c r="F1745" s="75"/>
      <c r="G1745" s="75"/>
      <c r="H1745" s="75"/>
      <c r="I1745" s="75"/>
      <c r="J1745" s="166"/>
      <c r="K1745" s="166"/>
      <c r="R1745" s="163"/>
      <c r="S1745" s="163"/>
    </row>
    <row r="1746">
      <c r="A1746" s="148"/>
      <c r="B1746" s="75"/>
      <c r="C1746" s="75"/>
      <c r="D1746" s="75"/>
      <c r="E1746" s="75"/>
      <c r="F1746" s="75"/>
      <c r="G1746" s="75"/>
      <c r="H1746" s="75"/>
      <c r="I1746" s="75"/>
      <c r="J1746" s="166"/>
      <c r="K1746" s="166"/>
      <c r="R1746" s="163"/>
      <c r="S1746" s="163"/>
    </row>
    <row r="1747">
      <c r="A1747" s="148"/>
      <c r="B1747" s="75"/>
      <c r="C1747" s="75"/>
      <c r="D1747" s="75"/>
      <c r="E1747" s="75"/>
      <c r="F1747" s="75"/>
      <c r="G1747" s="75"/>
      <c r="H1747" s="75"/>
      <c r="I1747" s="75"/>
      <c r="J1747" s="166"/>
      <c r="K1747" s="166"/>
      <c r="R1747" s="163"/>
      <c r="S1747" s="163"/>
    </row>
    <row r="1748">
      <c r="A1748" s="148"/>
      <c r="B1748" s="75"/>
      <c r="C1748" s="75"/>
      <c r="D1748" s="75"/>
      <c r="E1748" s="75"/>
      <c r="F1748" s="75"/>
      <c r="G1748" s="75"/>
      <c r="H1748" s="75"/>
      <c r="I1748" s="75"/>
      <c r="J1748" s="166"/>
      <c r="K1748" s="166"/>
      <c r="R1748" s="163"/>
      <c r="S1748" s="163"/>
    </row>
    <row r="1749">
      <c r="A1749" s="148"/>
      <c r="B1749" s="75"/>
      <c r="C1749" s="75"/>
      <c r="D1749" s="75"/>
      <c r="E1749" s="75"/>
      <c r="F1749" s="75"/>
      <c r="G1749" s="75"/>
      <c r="H1749" s="75"/>
      <c r="I1749" s="75"/>
      <c r="J1749" s="166"/>
      <c r="K1749" s="166"/>
      <c r="R1749" s="163"/>
      <c r="S1749" s="163"/>
    </row>
    <row r="1750">
      <c r="A1750" s="148"/>
      <c r="B1750" s="75"/>
      <c r="C1750" s="75"/>
      <c r="D1750" s="75"/>
      <c r="E1750" s="75"/>
      <c r="F1750" s="75"/>
      <c r="G1750" s="75"/>
      <c r="H1750" s="75"/>
      <c r="I1750" s="75"/>
      <c r="J1750" s="166"/>
      <c r="K1750" s="166"/>
      <c r="R1750" s="163"/>
      <c r="S1750" s="163"/>
    </row>
    <row r="1751">
      <c r="A1751" s="148"/>
      <c r="B1751" s="75"/>
      <c r="C1751" s="75"/>
      <c r="D1751" s="75"/>
      <c r="E1751" s="75"/>
      <c r="F1751" s="75"/>
      <c r="G1751" s="75"/>
      <c r="H1751" s="75"/>
      <c r="I1751" s="75"/>
      <c r="J1751" s="166"/>
      <c r="K1751" s="166"/>
      <c r="R1751" s="163"/>
      <c r="S1751" s="163"/>
    </row>
    <row r="1752">
      <c r="A1752" s="148"/>
      <c r="B1752" s="75"/>
      <c r="C1752" s="75"/>
      <c r="D1752" s="75"/>
      <c r="E1752" s="75"/>
      <c r="F1752" s="75"/>
      <c r="G1752" s="75"/>
      <c r="H1752" s="75"/>
      <c r="I1752" s="75"/>
      <c r="J1752" s="166"/>
      <c r="K1752" s="166"/>
      <c r="R1752" s="163"/>
      <c r="S1752" s="163"/>
    </row>
    <row r="1753">
      <c r="A1753" s="148"/>
      <c r="B1753" s="75"/>
      <c r="C1753" s="75"/>
      <c r="D1753" s="75"/>
      <c r="E1753" s="75"/>
      <c r="F1753" s="75"/>
      <c r="G1753" s="75"/>
      <c r="H1753" s="75"/>
      <c r="I1753" s="75"/>
      <c r="J1753" s="166"/>
      <c r="K1753" s="166"/>
      <c r="R1753" s="163"/>
      <c r="S1753" s="163"/>
    </row>
    <row r="1754">
      <c r="A1754" s="148"/>
      <c r="B1754" s="75"/>
      <c r="C1754" s="75"/>
      <c r="D1754" s="75"/>
      <c r="E1754" s="75"/>
      <c r="F1754" s="75"/>
      <c r="G1754" s="75"/>
      <c r="H1754" s="75"/>
      <c r="I1754" s="75"/>
      <c r="J1754" s="166"/>
      <c r="K1754" s="166"/>
      <c r="R1754" s="163"/>
      <c r="S1754" s="163"/>
    </row>
    <row r="1755">
      <c r="A1755" s="148"/>
      <c r="B1755" s="75"/>
      <c r="C1755" s="75"/>
      <c r="D1755" s="75"/>
      <c r="E1755" s="75"/>
      <c r="F1755" s="75"/>
      <c r="G1755" s="75"/>
      <c r="H1755" s="75"/>
      <c r="I1755" s="75"/>
      <c r="J1755" s="166"/>
      <c r="K1755" s="166"/>
      <c r="R1755" s="173"/>
      <c r="S1755" s="173"/>
    </row>
    <row r="1756">
      <c r="A1756" s="148"/>
      <c r="B1756" s="75"/>
      <c r="C1756" s="75"/>
      <c r="D1756" s="75"/>
      <c r="E1756" s="75"/>
      <c r="F1756" s="75"/>
      <c r="G1756" s="75"/>
      <c r="H1756" s="75"/>
      <c r="I1756" s="75"/>
      <c r="J1756" s="166"/>
      <c r="K1756" s="166"/>
      <c r="R1756" s="157"/>
      <c r="S1756" s="157"/>
    </row>
    <row r="1757">
      <c r="A1757" s="148"/>
      <c r="B1757" s="75"/>
      <c r="C1757" s="75"/>
      <c r="D1757" s="75"/>
      <c r="E1757" s="75"/>
      <c r="F1757" s="75"/>
      <c r="G1757" s="75"/>
      <c r="H1757" s="75"/>
      <c r="I1757" s="75"/>
      <c r="J1757" s="166"/>
      <c r="K1757" s="166"/>
      <c r="R1757" s="163"/>
      <c r="S1757" s="163"/>
    </row>
    <row r="1758">
      <c r="A1758" s="148"/>
      <c r="B1758" s="75"/>
      <c r="C1758" s="75"/>
      <c r="D1758" s="75"/>
      <c r="E1758" s="75"/>
      <c r="F1758" s="75"/>
      <c r="G1758" s="75"/>
      <c r="H1758" s="75"/>
      <c r="I1758" s="75"/>
      <c r="J1758" s="166"/>
      <c r="K1758" s="166"/>
      <c r="R1758" s="163"/>
      <c r="S1758" s="163"/>
    </row>
    <row r="1759">
      <c r="A1759" s="148"/>
      <c r="B1759" s="75"/>
      <c r="C1759" s="75"/>
      <c r="D1759" s="75"/>
      <c r="E1759" s="75"/>
      <c r="F1759" s="75"/>
      <c r="G1759" s="75"/>
      <c r="H1759" s="75"/>
      <c r="I1759" s="75"/>
      <c r="J1759" s="166"/>
      <c r="K1759" s="166"/>
      <c r="R1759" s="163"/>
      <c r="S1759" s="163"/>
    </row>
    <row r="1760">
      <c r="A1760" s="148"/>
      <c r="B1760" s="75"/>
      <c r="C1760" s="75"/>
      <c r="D1760" s="75"/>
      <c r="E1760" s="75"/>
      <c r="F1760" s="75"/>
      <c r="G1760" s="75"/>
      <c r="H1760" s="75"/>
      <c r="I1760" s="75"/>
      <c r="J1760" s="166"/>
      <c r="K1760" s="166"/>
      <c r="R1760" s="163"/>
      <c r="S1760" s="163"/>
    </row>
    <row r="1761">
      <c r="A1761" s="148"/>
      <c r="B1761" s="75"/>
      <c r="C1761" s="75"/>
      <c r="D1761" s="75"/>
      <c r="E1761" s="75"/>
      <c r="F1761" s="75"/>
      <c r="G1761" s="75"/>
      <c r="H1761" s="75"/>
      <c r="I1761" s="75"/>
      <c r="J1761" s="166"/>
      <c r="K1761" s="166"/>
      <c r="R1761" s="163"/>
      <c r="S1761" s="163"/>
    </row>
    <row r="1762">
      <c r="A1762" s="148"/>
      <c r="B1762" s="75"/>
      <c r="C1762" s="75"/>
      <c r="D1762" s="75"/>
      <c r="E1762" s="75"/>
      <c r="F1762" s="75"/>
      <c r="G1762" s="75"/>
      <c r="H1762" s="75"/>
      <c r="I1762" s="75"/>
      <c r="J1762" s="166"/>
      <c r="K1762" s="166"/>
      <c r="R1762" s="163"/>
      <c r="S1762" s="163"/>
    </row>
    <row r="1763">
      <c r="A1763" s="148"/>
      <c r="B1763" s="75"/>
      <c r="C1763" s="75"/>
      <c r="D1763" s="75"/>
      <c r="E1763" s="75"/>
      <c r="F1763" s="75"/>
      <c r="G1763" s="75"/>
      <c r="H1763" s="75"/>
      <c r="I1763" s="75"/>
      <c r="J1763" s="166"/>
      <c r="K1763" s="166"/>
      <c r="R1763" s="163"/>
      <c r="S1763" s="163"/>
    </row>
    <row r="1764">
      <c r="A1764" s="148"/>
      <c r="B1764" s="75"/>
      <c r="C1764" s="75"/>
      <c r="D1764" s="75"/>
      <c r="E1764" s="75"/>
      <c r="F1764" s="75"/>
      <c r="G1764" s="75"/>
      <c r="H1764" s="75"/>
      <c r="I1764" s="75"/>
      <c r="J1764" s="166"/>
      <c r="K1764" s="166"/>
      <c r="R1764" s="163"/>
      <c r="S1764" s="163"/>
    </row>
    <row r="1765">
      <c r="A1765" s="148"/>
      <c r="B1765" s="75"/>
      <c r="C1765" s="75"/>
      <c r="D1765" s="75"/>
      <c r="E1765" s="75"/>
      <c r="F1765" s="75"/>
      <c r="G1765" s="75"/>
      <c r="H1765" s="75"/>
      <c r="I1765" s="75"/>
      <c r="J1765" s="166"/>
      <c r="K1765" s="166"/>
      <c r="R1765" s="163"/>
      <c r="S1765" s="163"/>
    </row>
    <row r="1766">
      <c r="A1766" s="148"/>
      <c r="B1766" s="75"/>
      <c r="C1766" s="75"/>
      <c r="D1766" s="75"/>
      <c r="E1766" s="75"/>
      <c r="F1766" s="75"/>
      <c r="G1766" s="75"/>
      <c r="H1766" s="75"/>
      <c r="I1766" s="75"/>
      <c r="J1766" s="166"/>
      <c r="K1766" s="166"/>
      <c r="R1766" s="163"/>
      <c r="S1766" s="163"/>
    </row>
    <row r="1767">
      <c r="A1767" s="148"/>
      <c r="B1767" s="75"/>
      <c r="C1767" s="75"/>
      <c r="D1767" s="75"/>
      <c r="E1767" s="75"/>
      <c r="F1767" s="75"/>
      <c r="G1767" s="75"/>
      <c r="H1767" s="75"/>
      <c r="I1767" s="75"/>
      <c r="J1767" s="166"/>
      <c r="K1767" s="166"/>
      <c r="R1767" s="173"/>
      <c r="S1767" s="173"/>
    </row>
    <row r="1768">
      <c r="A1768" s="148"/>
      <c r="B1768" s="75"/>
      <c r="C1768" s="75"/>
      <c r="D1768" s="75"/>
      <c r="E1768" s="75"/>
      <c r="F1768" s="75"/>
      <c r="G1768" s="75"/>
      <c r="H1768" s="75"/>
      <c r="I1768" s="75"/>
      <c r="J1768" s="166"/>
      <c r="K1768" s="166"/>
      <c r="R1768" s="157"/>
      <c r="S1768" s="157"/>
    </row>
    <row r="1769">
      <c r="A1769" s="148"/>
      <c r="B1769" s="75"/>
      <c r="C1769" s="75"/>
      <c r="D1769" s="75"/>
      <c r="E1769" s="75"/>
      <c r="F1769" s="75"/>
      <c r="G1769" s="75"/>
      <c r="H1769" s="75"/>
      <c r="I1769" s="75"/>
      <c r="J1769" s="166"/>
      <c r="K1769" s="166"/>
      <c r="R1769" s="163"/>
      <c r="S1769" s="163"/>
    </row>
    <row r="1770">
      <c r="A1770" s="148"/>
      <c r="B1770" s="75"/>
      <c r="C1770" s="75"/>
      <c r="D1770" s="75"/>
      <c r="E1770" s="75"/>
      <c r="F1770" s="75"/>
      <c r="G1770" s="75"/>
      <c r="H1770" s="75"/>
      <c r="I1770" s="75"/>
      <c r="J1770" s="166"/>
      <c r="K1770" s="166"/>
      <c r="R1770" s="163"/>
      <c r="S1770" s="163"/>
    </row>
    <row r="1771">
      <c r="A1771" s="148"/>
      <c r="B1771" s="75"/>
      <c r="C1771" s="75"/>
      <c r="D1771" s="75"/>
      <c r="E1771" s="75"/>
      <c r="F1771" s="75"/>
      <c r="G1771" s="75"/>
      <c r="H1771" s="75"/>
      <c r="I1771" s="75"/>
      <c r="J1771" s="166"/>
      <c r="K1771" s="166"/>
      <c r="R1771" s="163"/>
      <c r="S1771" s="163"/>
    </row>
    <row r="1772">
      <c r="A1772" s="148"/>
      <c r="B1772" s="75"/>
      <c r="C1772" s="75"/>
      <c r="D1772" s="75"/>
      <c r="E1772" s="75"/>
      <c r="F1772" s="75"/>
      <c r="G1772" s="75"/>
      <c r="H1772" s="75"/>
      <c r="I1772" s="75"/>
      <c r="J1772" s="166"/>
      <c r="K1772" s="166"/>
      <c r="R1772" s="163"/>
      <c r="S1772" s="163"/>
    </row>
    <row r="1773">
      <c r="A1773" s="148"/>
      <c r="B1773" s="75"/>
      <c r="C1773" s="75"/>
      <c r="D1773" s="75"/>
      <c r="E1773" s="75"/>
      <c r="F1773" s="75"/>
      <c r="G1773" s="75"/>
      <c r="H1773" s="75"/>
      <c r="I1773" s="75"/>
      <c r="J1773" s="166"/>
      <c r="K1773" s="166"/>
      <c r="R1773" s="163"/>
      <c r="S1773" s="163"/>
    </row>
    <row r="1774">
      <c r="A1774" s="148"/>
      <c r="B1774" s="75"/>
      <c r="C1774" s="75"/>
      <c r="D1774" s="75"/>
      <c r="E1774" s="75"/>
      <c r="F1774" s="75"/>
      <c r="G1774" s="75"/>
      <c r="H1774" s="75"/>
      <c r="I1774" s="75"/>
      <c r="J1774" s="166"/>
      <c r="K1774" s="166"/>
      <c r="R1774" s="163"/>
      <c r="S1774" s="163"/>
    </row>
    <row r="1775">
      <c r="A1775" s="148"/>
      <c r="B1775" s="75"/>
      <c r="C1775" s="75"/>
      <c r="D1775" s="75"/>
      <c r="E1775" s="75"/>
      <c r="F1775" s="75"/>
      <c r="G1775" s="75"/>
      <c r="H1775" s="75"/>
      <c r="I1775" s="75"/>
      <c r="J1775" s="166"/>
      <c r="K1775" s="166"/>
      <c r="R1775" s="163"/>
      <c r="S1775" s="163"/>
    </row>
    <row r="1776">
      <c r="A1776" s="148"/>
      <c r="B1776" s="75"/>
      <c r="C1776" s="75"/>
      <c r="D1776" s="75"/>
      <c r="E1776" s="75"/>
      <c r="F1776" s="75"/>
      <c r="G1776" s="75"/>
      <c r="H1776" s="75"/>
      <c r="I1776" s="75"/>
      <c r="J1776" s="166"/>
      <c r="K1776" s="166"/>
      <c r="R1776" s="163"/>
      <c r="S1776" s="163"/>
    </row>
    <row r="1777">
      <c r="A1777" s="148"/>
      <c r="B1777" s="75"/>
      <c r="C1777" s="75"/>
      <c r="D1777" s="75"/>
      <c r="E1777" s="75"/>
      <c r="F1777" s="75"/>
      <c r="G1777" s="75"/>
      <c r="H1777" s="75"/>
      <c r="I1777" s="75"/>
      <c r="J1777" s="166"/>
      <c r="K1777" s="166"/>
      <c r="R1777" s="163"/>
      <c r="S1777" s="163"/>
    </row>
    <row r="1778">
      <c r="A1778" s="148"/>
      <c r="B1778" s="75"/>
      <c r="C1778" s="75"/>
      <c r="D1778" s="75"/>
      <c r="E1778" s="75"/>
      <c r="F1778" s="75"/>
      <c r="G1778" s="75"/>
      <c r="H1778" s="75"/>
      <c r="I1778" s="75"/>
      <c r="J1778" s="166"/>
      <c r="K1778" s="166"/>
      <c r="R1778" s="163"/>
      <c r="S1778" s="163"/>
    </row>
    <row r="1779">
      <c r="A1779" s="148"/>
      <c r="B1779" s="75"/>
      <c r="C1779" s="75"/>
      <c r="D1779" s="75"/>
      <c r="E1779" s="75"/>
      <c r="F1779" s="75"/>
      <c r="G1779" s="75"/>
      <c r="H1779" s="75"/>
      <c r="I1779" s="75"/>
      <c r="J1779" s="166"/>
      <c r="K1779" s="166"/>
      <c r="R1779" s="173"/>
      <c r="S1779" s="173"/>
    </row>
    <row r="1780">
      <c r="A1780" s="148"/>
      <c r="B1780" s="75"/>
      <c r="C1780" s="75"/>
      <c r="D1780" s="75"/>
      <c r="E1780" s="75"/>
      <c r="F1780" s="75"/>
      <c r="G1780" s="75"/>
      <c r="H1780" s="75"/>
      <c r="I1780" s="75"/>
      <c r="J1780" s="166"/>
      <c r="K1780" s="166"/>
      <c r="R1780" s="157"/>
      <c r="S1780" s="157"/>
    </row>
    <row r="1781">
      <c r="A1781" s="148"/>
      <c r="B1781" s="75"/>
      <c r="C1781" s="75"/>
      <c r="D1781" s="75"/>
      <c r="E1781" s="75"/>
      <c r="F1781" s="75"/>
      <c r="G1781" s="75"/>
      <c r="H1781" s="75"/>
      <c r="I1781" s="75"/>
      <c r="J1781" s="166"/>
      <c r="K1781" s="166"/>
      <c r="R1781" s="163"/>
      <c r="S1781" s="163"/>
    </row>
    <row r="1782">
      <c r="A1782" s="148"/>
      <c r="B1782" s="75"/>
      <c r="C1782" s="75"/>
      <c r="D1782" s="75"/>
      <c r="E1782" s="75"/>
      <c r="F1782" s="75"/>
      <c r="G1782" s="75"/>
      <c r="H1782" s="75"/>
      <c r="I1782" s="75"/>
      <c r="J1782" s="166"/>
      <c r="K1782" s="166"/>
      <c r="R1782" s="163"/>
      <c r="S1782" s="163"/>
    </row>
    <row r="1783">
      <c r="A1783" s="148"/>
      <c r="B1783" s="75"/>
      <c r="C1783" s="75"/>
      <c r="D1783" s="75"/>
      <c r="E1783" s="75"/>
      <c r="F1783" s="75"/>
      <c r="G1783" s="75"/>
      <c r="H1783" s="75"/>
      <c r="I1783" s="75"/>
      <c r="J1783" s="166"/>
      <c r="K1783" s="166"/>
      <c r="R1783" s="163"/>
      <c r="S1783" s="163"/>
    </row>
    <row r="1784">
      <c r="A1784" s="148"/>
      <c r="B1784" s="75"/>
      <c r="C1784" s="75"/>
      <c r="D1784" s="75"/>
      <c r="E1784" s="75"/>
      <c r="F1784" s="75"/>
      <c r="G1784" s="75"/>
      <c r="H1784" s="75"/>
      <c r="I1784" s="75"/>
      <c r="J1784" s="166"/>
      <c r="K1784" s="166"/>
      <c r="R1784" s="163"/>
      <c r="S1784" s="163"/>
    </row>
    <row r="1785">
      <c r="A1785" s="148"/>
      <c r="B1785" s="75"/>
      <c r="C1785" s="75"/>
      <c r="D1785" s="75"/>
      <c r="E1785" s="75"/>
      <c r="F1785" s="75"/>
      <c r="G1785" s="75"/>
      <c r="H1785" s="75"/>
      <c r="I1785" s="75"/>
      <c r="J1785" s="166"/>
      <c r="K1785" s="166"/>
      <c r="R1785" s="163"/>
      <c r="S1785" s="163"/>
    </row>
    <row r="1786">
      <c r="A1786" s="148"/>
      <c r="B1786" s="75"/>
      <c r="C1786" s="75"/>
      <c r="D1786" s="75"/>
      <c r="E1786" s="75"/>
      <c r="F1786" s="75"/>
      <c r="G1786" s="75"/>
      <c r="H1786" s="75"/>
      <c r="I1786" s="75"/>
      <c r="J1786" s="166"/>
      <c r="K1786" s="166"/>
      <c r="R1786" s="163"/>
      <c r="S1786" s="163"/>
    </row>
    <row r="1787">
      <c r="A1787" s="148"/>
      <c r="B1787" s="75"/>
      <c r="C1787" s="75"/>
      <c r="D1787" s="75"/>
      <c r="E1787" s="75"/>
      <c r="F1787" s="75"/>
      <c r="G1787" s="75"/>
      <c r="H1787" s="75"/>
      <c r="I1787" s="75"/>
      <c r="J1787" s="166"/>
      <c r="K1787" s="166"/>
      <c r="R1787" s="163"/>
      <c r="S1787" s="163"/>
    </row>
    <row r="1788">
      <c r="A1788" s="148"/>
      <c r="B1788" s="75"/>
      <c r="C1788" s="75"/>
      <c r="D1788" s="75"/>
      <c r="E1788" s="75"/>
      <c r="F1788" s="75"/>
      <c r="G1788" s="75"/>
      <c r="H1788" s="75"/>
      <c r="I1788" s="75"/>
      <c r="J1788" s="166"/>
      <c r="K1788" s="166"/>
      <c r="R1788" s="163"/>
      <c r="S1788" s="163"/>
    </row>
    <row r="1789">
      <c r="A1789" s="148"/>
      <c r="B1789" s="75"/>
      <c r="C1789" s="75"/>
      <c r="D1789" s="75"/>
      <c r="E1789" s="75"/>
      <c r="F1789" s="75"/>
      <c r="G1789" s="75"/>
      <c r="H1789" s="75"/>
      <c r="I1789" s="75"/>
      <c r="J1789" s="166"/>
      <c r="K1789" s="166"/>
      <c r="R1789" s="163"/>
      <c r="S1789" s="163"/>
    </row>
    <row r="1790">
      <c r="A1790" s="148"/>
      <c r="B1790" s="75"/>
      <c r="C1790" s="75"/>
      <c r="D1790" s="75"/>
      <c r="E1790" s="75"/>
      <c r="F1790" s="75"/>
      <c r="G1790" s="75"/>
      <c r="H1790" s="75"/>
      <c r="I1790" s="75"/>
      <c r="J1790" s="166"/>
      <c r="K1790" s="166"/>
      <c r="R1790" s="163"/>
      <c r="S1790" s="163"/>
    </row>
    <row r="1791">
      <c r="A1791" s="148"/>
      <c r="B1791" s="75"/>
      <c r="C1791" s="75"/>
      <c r="D1791" s="75"/>
      <c r="E1791" s="75"/>
      <c r="F1791" s="75"/>
      <c r="G1791" s="75"/>
      <c r="H1791" s="75"/>
      <c r="I1791" s="75"/>
      <c r="J1791" s="166"/>
      <c r="K1791" s="166"/>
      <c r="R1791" s="173"/>
      <c r="S1791" s="173"/>
    </row>
    <row r="1792">
      <c r="A1792" s="148"/>
      <c r="B1792" s="75"/>
      <c r="C1792" s="75"/>
      <c r="D1792" s="75"/>
      <c r="E1792" s="75"/>
      <c r="F1792" s="75"/>
      <c r="G1792" s="75"/>
      <c r="H1792" s="75"/>
      <c r="I1792" s="75"/>
      <c r="J1792" s="166"/>
      <c r="K1792" s="166"/>
      <c r="R1792" s="157"/>
      <c r="S1792" s="157"/>
    </row>
    <row r="1793">
      <c r="A1793" s="148"/>
      <c r="B1793" s="75"/>
      <c r="C1793" s="75"/>
      <c r="D1793" s="75"/>
      <c r="E1793" s="75"/>
      <c r="F1793" s="75"/>
      <c r="G1793" s="75"/>
      <c r="H1793" s="75"/>
      <c r="I1793" s="75"/>
      <c r="J1793" s="166"/>
      <c r="K1793" s="166"/>
      <c r="R1793" s="163"/>
      <c r="S1793" s="163"/>
    </row>
    <row r="1794">
      <c r="A1794" s="148"/>
      <c r="B1794" s="75"/>
      <c r="C1794" s="75"/>
      <c r="D1794" s="75"/>
      <c r="E1794" s="75"/>
      <c r="F1794" s="75"/>
      <c r="G1794" s="75"/>
      <c r="H1794" s="75"/>
      <c r="I1794" s="75"/>
      <c r="J1794" s="166"/>
      <c r="K1794" s="166"/>
      <c r="R1794" s="163"/>
      <c r="S1794" s="163"/>
    </row>
    <row r="1795">
      <c r="A1795" s="148"/>
      <c r="B1795" s="75"/>
      <c r="C1795" s="75"/>
      <c r="D1795" s="75"/>
      <c r="E1795" s="75"/>
      <c r="F1795" s="75"/>
      <c r="G1795" s="75"/>
      <c r="H1795" s="75"/>
      <c r="I1795" s="75"/>
      <c r="J1795" s="166"/>
      <c r="K1795" s="166"/>
      <c r="R1795" s="163"/>
      <c r="S1795" s="163"/>
    </row>
    <row r="1796">
      <c r="A1796" s="148"/>
      <c r="B1796" s="75"/>
      <c r="C1796" s="75"/>
      <c r="D1796" s="75"/>
      <c r="E1796" s="75"/>
      <c r="F1796" s="75"/>
      <c r="G1796" s="75"/>
      <c r="H1796" s="75"/>
      <c r="I1796" s="75"/>
      <c r="J1796" s="166"/>
      <c r="K1796" s="166"/>
      <c r="R1796" s="163"/>
      <c r="S1796" s="163"/>
    </row>
    <row r="1797">
      <c r="A1797" s="148"/>
      <c r="B1797" s="75"/>
      <c r="C1797" s="75"/>
      <c r="D1797" s="75"/>
      <c r="E1797" s="75"/>
      <c r="F1797" s="75"/>
      <c r="G1797" s="75"/>
      <c r="H1797" s="75"/>
      <c r="I1797" s="75"/>
      <c r="J1797" s="166"/>
      <c r="K1797" s="166"/>
      <c r="R1797" s="163"/>
      <c r="S1797" s="163"/>
    </row>
    <row r="1798">
      <c r="A1798" s="148"/>
      <c r="B1798" s="75"/>
      <c r="C1798" s="75"/>
      <c r="D1798" s="75"/>
      <c r="E1798" s="75"/>
      <c r="F1798" s="75"/>
      <c r="G1798" s="75"/>
      <c r="H1798" s="75"/>
      <c r="I1798" s="75"/>
      <c r="J1798" s="166"/>
      <c r="K1798" s="166"/>
      <c r="R1798" s="163"/>
      <c r="S1798" s="163"/>
    </row>
    <row r="1799">
      <c r="A1799" s="148"/>
      <c r="B1799" s="75"/>
      <c r="C1799" s="75"/>
      <c r="D1799" s="75"/>
      <c r="E1799" s="75"/>
      <c r="F1799" s="75"/>
      <c r="G1799" s="75"/>
      <c r="H1799" s="75"/>
      <c r="I1799" s="75"/>
      <c r="J1799" s="166"/>
      <c r="K1799" s="166"/>
      <c r="R1799" s="163"/>
      <c r="S1799" s="163"/>
    </row>
    <row r="1800">
      <c r="A1800" s="148"/>
      <c r="B1800" s="75"/>
      <c r="C1800" s="75"/>
      <c r="D1800" s="75"/>
      <c r="E1800" s="75"/>
      <c r="F1800" s="75"/>
      <c r="G1800" s="75"/>
      <c r="H1800" s="75"/>
      <c r="I1800" s="75"/>
      <c r="J1800" s="166"/>
      <c r="K1800" s="166"/>
      <c r="R1800" s="163"/>
      <c r="S1800" s="163"/>
    </row>
    <row r="1801">
      <c r="A1801" s="148"/>
      <c r="B1801" s="75"/>
      <c r="C1801" s="75"/>
      <c r="D1801" s="75"/>
      <c r="E1801" s="75"/>
      <c r="F1801" s="75"/>
      <c r="G1801" s="75"/>
      <c r="H1801" s="75"/>
      <c r="I1801" s="75"/>
      <c r="J1801" s="166"/>
      <c r="K1801" s="166"/>
      <c r="R1801" s="163"/>
      <c r="S1801" s="163"/>
    </row>
    <row r="1802">
      <c r="A1802" s="148"/>
      <c r="B1802" s="75"/>
      <c r="C1802" s="75"/>
      <c r="D1802" s="75"/>
      <c r="E1802" s="75"/>
      <c r="F1802" s="75"/>
      <c r="G1802" s="75"/>
      <c r="H1802" s="75"/>
      <c r="I1802" s="75"/>
      <c r="J1802" s="166"/>
      <c r="K1802" s="166"/>
      <c r="R1802" s="163"/>
      <c r="S1802" s="163"/>
    </row>
    <row r="1803">
      <c r="A1803" s="148"/>
      <c r="B1803" s="75"/>
      <c r="C1803" s="75"/>
      <c r="D1803" s="75"/>
      <c r="E1803" s="75"/>
      <c r="F1803" s="75"/>
      <c r="G1803" s="75"/>
      <c r="H1803" s="75"/>
      <c r="I1803" s="75"/>
      <c r="J1803" s="166"/>
      <c r="K1803" s="166"/>
      <c r="R1803" s="173"/>
      <c r="S1803" s="173"/>
    </row>
    <row r="1804">
      <c r="A1804" s="148"/>
      <c r="B1804" s="75"/>
      <c r="C1804" s="75"/>
      <c r="D1804" s="75"/>
      <c r="E1804" s="75"/>
      <c r="F1804" s="75"/>
      <c r="G1804" s="75"/>
      <c r="H1804" s="75"/>
      <c r="I1804" s="75"/>
      <c r="J1804" s="166"/>
      <c r="K1804" s="166"/>
      <c r="R1804" s="157"/>
      <c r="S1804" s="157"/>
    </row>
    <row r="1805">
      <c r="A1805" s="148"/>
      <c r="B1805" s="75"/>
      <c r="C1805" s="75"/>
      <c r="D1805" s="75"/>
      <c r="E1805" s="75"/>
      <c r="F1805" s="75"/>
      <c r="G1805" s="75"/>
      <c r="H1805" s="75"/>
      <c r="I1805" s="75"/>
      <c r="J1805" s="166"/>
      <c r="K1805" s="166"/>
      <c r="R1805" s="163"/>
      <c r="S1805" s="163"/>
    </row>
    <row r="1806">
      <c r="A1806" s="148"/>
      <c r="B1806" s="75"/>
      <c r="C1806" s="75"/>
      <c r="D1806" s="75"/>
      <c r="E1806" s="75"/>
      <c r="F1806" s="75"/>
      <c r="G1806" s="75"/>
      <c r="H1806" s="75"/>
      <c r="I1806" s="75"/>
      <c r="J1806" s="166"/>
      <c r="K1806" s="166"/>
      <c r="R1806" s="163"/>
      <c r="S1806" s="163"/>
    </row>
    <row r="1807">
      <c r="A1807" s="148"/>
      <c r="B1807" s="75"/>
      <c r="C1807" s="75"/>
      <c r="D1807" s="75"/>
      <c r="E1807" s="75"/>
      <c r="F1807" s="75"/>
      <c r="G1807" s="75"/>
      <c r="H1807" s="75"/>
      <c r="I1807" s="75"/>
      <c r="J1807" s="166"/>
      <c r="K1807" s="166"/>
      <c r="R1807" s="163"/>
      <c r="S1807" s="163"/>
    </row>
    <row r="1808">
      <c r="A1808" s="148"/>
      <c r="B1808" s="75"/>
      <c r="C1808" s="75"/>
      <c r="D1808" s="75"/>
      <c r="E1808" s="75"/>
      <c r="F1808" s="75"/>
      <c r="G1808" s="75"/>
      <c r="H1808" s="75"/>
      <c r="I1808" s="75"/>
      <c r="J1808" s="166"/>
      <c r="K1808" s="166"/>
      <c r="R1808" s="163"/>
      <c r="S1808" s="163"/>
    </row>
    <row r="1809">
      <c r="A1809" s="148"/>
      <c r="B1809" s="75"/>
      <c r="C1809" s="75"/>
      <c r="D1809" s="75"/>
      <c r="E1809" s="75"/>
      <c r="F1809" s="75"/>
      <c r="G1809" s="75"/>
      <c r="H1809" s="75"/>
      <c r="I1809" s="75"/>
      <c r="J1809" s="166"/>
      <c r="K1809" s="166"/>
      <c r="R1809" s="163"/>
      <c r="S1809" s="163"/>
    </row>
    <row r="1810">
      <c r="A1810" s="148"/>
      <c r="B1810" s="75"/>
      <c r="C1810" s="75"/>
      <c r="D1810" s="75"/>
      <c r="E1810" s="75"/>
      <c r="F1810" s="75"/>
      <c r="G1810" s="75"/>
      <c r="H1810" s="75"/>
      <c r="I1810" s="75"/>
      <c r="J1810" s="166"/>
      <c r="K1810" s="166"/>
      <c r="R1810" s="163"/>
      <c r="S1810" s="163"/>
    </row>
    <row r="1811">
      <c r="A1811" s="148"/>
      <c r="B1811" s="75"/>
      <c r="C1811" s="75"/>
      <c r="D1811" s="75"/>
      <c r="E1811" s="75"/>
      <c r="F1811" s="75"/>
      <c r="G1811" s="75"/>
      <c r="H1811" s="75"/>
      <c r="I1811" s="75"/>
      <c r="J1811" s="166"/>
      <c r="K1811" s="166"/>
      <c r="R1811" s="163"/>
      <c r="S1811" s="163"/>
    </row>
    <row r="1812">
      <c r="A1812" s="148"/>
      <c r="B1812" s="75"/>
      <c r="C1812" s="75"/>
      <c r="D1812" s="75"/>
      <c r="E1812" s="75"/>
      <c r="F1812" s="75"/>
      <c r="G1812" s="75"/>
      <c r="H1812" s="75"/>
      <c r="I1812" s="75"/>
      <c r="J1812" s="166"/>
      <c r="K1812" s="166"/>
      <c r="R1812" s="163"/>
      <c r="S1812" s="163"/>
    </row>
    <row r="1813">
      <c r="A1813" s="148"/>
      <c r="B1813" s="75"/>
      <c r="C1813" s="75"/>
      <c r="D1813" s="75"/>
      <c r="E1813" s="75"/>
      <c r="F1813" s="75"/>
      <c r="G1813" s="75"/>
      <c r="H1813" s="75"/>
      <c r="I1813" s="75"/>
      <c r="J1813" s="166"/>
      <c r="K1813" s="166"/>
      <c r="R1813" s="163"/>
      <c r="S1813" s="163"/>
    </row>
    <row r="1814">
      <c r="A1814" s="148"/>
      <c r="B1814" s="75"/>
      <c r="C1814" s="75"/>
      <c r="D1814" s="75"/>
      <c r="E1814" s="75"/>
      <c r="F1814" s="75"/>
      <c r="G1814" s="75"/>
      <c r="H1814" s="75"/>
      <c r="I1814" s="75"/>
      <c r="J1814" s="166"/>
      <c r="K1814" s="166"/>
      <c r="R1814" s="163"/>
      <c r="S1814" s="163"/>
    </row>
    <row r="1815">
      <c r="A1815" s="148"/>
      <c r="B1815" s="75"/>
      <c r="C1815" s="75"/>
      <c r="D1815" s="75"/>
      <c r="E1815" s="75"/>
      <c r="F1815" s="75"/>
      <c r="G1815" s="75"/>
      <c r="H1815" s="75"/>
      <c r="I1815" s="75"/>
      <c r="J1815" s="166"/>
      <c r="K1815" s="166"/>
      <c r="R1815" s="173"/>
      <c r="S1815" s="173"/>
    </row>
    <row r="1816">
      <c r="A1816" s="148"/>
      <c r="B1816" s="75"/>
      <c r="C1816" s="75"/>
      <c r="D1816" s="75"/>
      <c r="E1816" s="75"/>
      <c r="F1816" s="75"/>
      <c r="G1816" s="75"/>
      <c r="H1816" s="75"/>
      <c r="I1816" s="75"/>
      <c r="J1816" s="166"/>
      <c r="K1816" s="166"/>
      <c r="R1816" s="157"/>
      <c r="S1816" s="157"/>
    </row>
    <row r="1817">
      <c r="A1817" s="148"/>
      <c r="B1817" s="75"/>
      <c r="C1817" s="75"/>
      <c r="D1817" s="75"/>
      <c r="E1817" s="75"/>
      <c r="F1817" s="75"/>
      <c r="G1817" s="75"/>
      <c r="H1817" s="75"/>
      <c r="I1817" s="75"/>
      <c r="J1817" s="166"/>
      <c r="K1817" s="166"/>
      <c r="R1817" s="163"/>
      <c r="S1817" s="163"/>
    </row>
    <row r="1818">
      <c r="A1818" s="148"/>
      <c r="B1818" s="75"/>
      <c r="C1818" s="75"/>
      <c r="D1818" s="75"/>
      <c r="E1818" s="75"/>
      <c r="F1818" s="75"/>
      <c r="G1818" s="75"/>
      <c r="H1818" s="75"/>
      <c r="I1818" s="75"/>
      <c r="J1818" s="166"/>
      <c r="K1818" s="166"/>
      <c r="R1818" s="163"/>
      <c r="S1818" s="163"/>
    </row>
    <row r="1819">
      <c r="A1819" s="148"/>
      <c r="B1819" s="75"/>
      <c r="C1819" s="75"/>
      <c r="D1819" s="75"/>
      <c r="E1819" s="75"/>
      <c r="F1819" s="75"/>
      <c r="G1819" s="75"/>
      <c r="H1819" s="75"/>
      <c r="I1819" s="75"/>
      <c r="J1819" s="166"/>
      <c r="K1819" s="166"/>
      <c r="R1819" s="163"/>
      <c r="S1819" s="163"/>
    </row>
    <row r="1820">
      <c r="A1820" s="148"/>
      <c r="B1820" s="75"/>
      <c r="C1820" s="75"/>
      <c r="D1820" s="75"/>
      <c r="E1820" s="75"/>
      <c r="F1820" s="75"/>
      <c r="G1820" s="75"/>
      <c r="H1820" s="75"/>
      <c r="I1820" s="75"/>
      <c r="J1820" s="166"/>
      <c r="K1820" s="166"/>
      <c r="R1820" s="163"/>
      <c r="S1820" s="163"/>
    </row>
    <row r="1821">
      <c r="A1821" s="148"/>
      <c r="B1821" s="75"/>
      <c r="C1821" s="75"/>
      <c r="D1821" s="75"/>
      <c r="E1821" s="75"/>
      <c r="F1821" s="75"/>
      <c r="G1821" s="75"/>
      <c r="H1821" s="75"/>
      <c r="I1821" s="75"/>
      <c r="J1821" s="166"/>
      <c r="K1821" s="166"/>
      <c r="R1821" s="163"/>
      <c r="S1821" s="163"/>
    </row>
    <row r="1822">
      <c r="A1822" s="148"/>
      <c r="B1822" s="75"/>
      <c r="C1822" s="75"/>
      <c r="D1822" s="75"/>
      <c r="E1822" s="75"/>
      <c r="F1822" s="75"/>
      <c r="G1822" s="75"/>
      <c r="H1822" s="75"/>
      <c r="I1822" s="75"/>
      <c r="J1822" s="166"/>
      <c r="K1822" s="166"/>
      <c r="R1822" s="163"/>
      <c r="S1822" s="163"/>
    </row>
    <row r="1823">
      <c r="A1823" s="148"/>
      <c r="B1823" s="75"/>
      <c r="C1823" s="75"/>
      <c r="D1823" s="75"/>
      <c r="E1823" s="75"/>
      <c r="F1823" s="75"/>
      <c r="G1823" s="75"/>
      <c r="H1823" s="75"/>
      <c r="I1823" s="75"/>
      <c r="J1823" s="166"/>
      <c r="K1823" s="166"/>
      <c r="R1823" s="163"/>
      <c r="S1823" s="163"/>
    </row>
    <row r="1824">
      <c r="A1824" s="148"/>
      <c r="B1824" s="75"/>
      <c r="C1824" s="75"/>
      <c r="D1824" s="75"/>
      <c r="E1824" s="75"/>
      <c r="F1824" s="75"/>
      <c r="G1824" s="75"/>
      <c r="H1824" s="75"/>
      <c r="I1824" s="75"/>
      <c r="J1824" s="166"/>
      <c r="K1824" s="166"/>
      <c r="R1824" s="163"/>
      <c r="S1824" s="163"/>
    </row>
    <row r="1825">
      <c r="A1825" s="148"/>
      <c r="B1825" s="75"/>
      <c r="C1825" s="75"/>
      <c r="D1825" s="75"/>
      <c r="E1825" s="75"/>
      <c r="F1825" s="75"/>
      <c r="G1825" s="75"/>
      <c r="H1825" s="75"/>
      <c r="I1825" s="75"/>
      <c r="J1825" s="166"/>
      <c r="K1825" s="166"/>
      <c r="R1825" s="163"/>
      <c r="S1825" s="163"/>
    </row>
    <row r="1826">
      <c r="A1826" s="148"/>
      <c r="B1826" s="75"/>
      <c r="C1826" s="75"/>
      <c r="D1826" s="75"/>
      <c r="E1826" s="75"/>
      <c r="F1826" s="75"/>
      <c r="G1826" s="75"/>
      <c r="H1826" s="75"/>
      <c r="I1826" s="75"/>
      <c r="J1826" s="166"/>
      <c r="K1826" s="166"/>
      <c r="R1826" s="163"/>
      <c r="S1826" s="163"/>
    </row>
    <row r="1827">
      <c r="A1827" s="148"/>
      <c r="B1827" s="75"/>
      <c r="C1827" s="75"/>
      <c r="D1827" s="75"/>
      <c r="E1827" s="75"/>
      <c r="F1827" s="75"/>
      <c r="G1827" s="75"/>
      <c r="H1827" s="75"/>
      <c r="I1827" s="75"/>
      <c r="J1827" s="166"/>
      <c r="K1827" s="166"/>
      <c r="R1827" s="173"/>
      <c r="S1827" s="173"/>
    </row>
    <row r="1828">
      <c r="A1828" s="148"/>
      <c r="B1828" s="75"/>
      <c r="C1828" s="75"/>
      <c r="D1828" s="75"/>
      <c r="E1828" s="75"/>
      <c r="F1828" s="75"/>
      <c r="G1828" s="75"/>
      <c r="H1828" s="75"/>
      <c r="I1828" s="75"/>
      <c r="J1828" s="166"/>
      <c r="K1828" s="166"/>
      <c r="R1828" s="157"/>
      <c r="S1828" s="157"/>
    </row>
    <row r="1829">
      <c r="A1829" s="148"/>
      <c r="B1829" s="75"/>
      <c r="C1829" s="75"/>
      <c r="D1829" s="75"/>
      <c r="E1829" s="75"/>
      <c r="F1829" s="75"/>
      <c r="G1829" s="75"/>
      <c r="H1829" s="75"/>
      <c r="I1829" s="75"/>
      <c r="J1829" s="166"/>
      <c r="K1829" s="166"/>
      <c r="R1829" s="163"/>
      <c r="S1829" s="163"/>
    </row>
    <row r="1830">
      <c r="A1830" s="148"/>
      <c r="B1830" s="75"/>
      <c r="C1830" s="75"/>
      <c r="D1830" s="75"/>
      <c r="E1830" s="75"/>
      <c r="F1830" s="75"/>
      <c r="G1830" s="75"/>
      <c r="H1830" s="75"/>
      <c r="I1830" s="75"/>
      <c r="J1830" s="166"/>
      <c r="K1830" s="166"/>
      <c r="R1830" s="163"/>
      <c r="S1830" s="163"/>
    </row>
    <row r="1831">
      <c r="A1831" s="148"/>
      <c r="B1831" s="75"/>
      <c r="C1831" s="75"/>
      <c r="D1831" s="75"/>
      <c r="E1831" s="75"/>
      <c r="F1831" s="75"/>
      <c r="G1831" s="75"/>
      <c r="H1831" s="75"/>
      <c r="I1831" s="75"/>
      <c r="J1831" s="166"/>
      <c r="K1831" s="166"/>
      <c r="R1831" s="163"/>
      <c r="S1831" s="163"/>
    </row>
    <row r="1832">
      <c r="A1832" s="148"/>
      <c r="B1832" s="75"/>
      <c r="C1832" s="75"/>
      <c r="D1832" s="75"/>
      <c r="E1832" s="75"/>
      <c r="F1832" s="75"/>
      <c r="G1832" s="75"/>
      <c r="H1832" s="75"/>
      <c r="I1832" s="75"/>
      <c r="J1832" s="166"/>
      <c r="K1832" s="166"/>
      <c r="R1832" s="163"/>
      <c r="S1832" s="163"/>
    </row>
    <row r="1833">
      <c r="A1833" s="148"/>
      <c r="B1833" s="75"/>
      <c r="C1833" s="75"/>
      <c r="D1833" s="75"/>
      <c r="E1833" s="75"/>
      <c r="F1833" s="75"/>
      <c r="G1833" s="75"/>
      <c r="H1833" s="75"/>
      <c r="I1833" s="75"/>
      <c r="J1833" s="166"/>
      <c r="K1833" s="166"/>
      <c r="R1833" s="163"/>
      <c r="S1833" s="163"/>
    </row>
    <row r="1834">
      <c r="A1834" s="148"/>
      <c r="B1834" s="75"/>
      <c r="C1834" s="75"/>
      <c r="D1834" s="75"/>
      <c r="E1834" s="75"/>
      <c r="F1834" s="75"/>
      <c r="G1834" s="75"/>
      <c r="H1834" s="75"/>
      <c r="I1834" s="75"/>
      <c r="J1834" s="166"/>
      <c r="K1834" s="166"/>
      <c r="R1834" s="163"/>
      <c r="S1834" s="163"/>
    </row>
    <row r="1835">
      <c r="A1835" s="148"/>
      <c r="B1835" s="75"/>
      <c r="C1835" s="75"/>
      <c r="D1835" s="75"/>
      <c r="E1835" s="75"/>
      <c r="F1835" s="75"/>
      <c r="G1835" s="75"/>
      <c r="H1835" s="75"/>
      <c r="I1835" s="75"/>
      <c r="J1835" s="166"/>
      <c r="K1835" s="166"/>
      <c r="R1835" s="163"/>
      <c r="S1835" s="163"/>
    </row>
    <row r="1836">
      <c r="A1836" s="148"/>
      <c r="B1836" s="75"/>
      <c r="C1836" s="75"/>
      <c r="D1836" s="75"/>
      <c r="E1836" s="75"/>
      <c r="F1836" s="75"/>
      <c r="G1836" s="75"/>
      <c r="H1836" s="75"/>
      <c r="I1836" s="75"/>
      <c r="J1836" s="166"/>
      <c r="K1836" s="166"/>
      <c r="R1836" s="163"/>
      <c r="S1836" s="163"/>
    </row>
    <row r="1837">
      <c r="A1837" s="148"/>
      <c r="B1837" s="75"/>
      <c r="C1837" s="75"/>
      <c r="D1837" s="75"/>
      <c r="E1837" s="75"/>
      <c r="F1837" s="75"/>
      <c r="G1837" s="75"/>
      <c r="H1837" s="75"/>
      <c r="I1837" s="75"/>
      <c r="J1837" s="166"/>
      <c r="K1837" s="166"/>
      <c r="R1837" s="163"/>
      <c r="S1837" s="163"/>
    </row>
    <row r="1838">
      <c r="A1838" s="148"/>
      <c r="B1838" s="75"/>
      <c r="C1838" s="75"/>
      <c r="D1838" s="75"/>
      <c r="E1838" s="75"/>
      <c r="F1838" s="75"/>
      <c r="G1838" s="75"/>
      <c r="H1838" s="75"/>
      <c r="I1838" s="75"/>
      <c r="J1838" s="166"/>
      <c r="K1838" s="166"/>
      <c r="R1838" s="163"/>
      <c r="S1838" s="163"/>
    </row>
    <row r="1839">
      <c r="A1839" s="148"/>
      <c r="B1839" s="75"/>
      <c r="C1839" s="75"/>
      <c r="D1839" s="75"/>
      <c r="E1839" s="75"/>
      <c r="F1839" s="75"/>
      <c r="G1839" s="75"/>
      <c r="H1839" s="75"/>
      <c r="I1839" s="75"/>
      <c r="J1839" s="166"/>
      <c r="K1839" s="166"/>
      <c r="R1839" s="173"/>
      <c r="S1839" s="173"/>
    </row>
    <row r="1840">
      <c r="A1840" s="148"/>
      <c r="B1840" s="75"/>
      <c r="C1840" s="75"/>
      <c r="D1840" s="75"/>
      <c r="E1840" s="75"/>
      <c r="F1840" s="75"/>
      <c r="G1840" s="75"/>
      <c r="H1840" s="75"/>
      <c r="I1840" s="75"/>
      <c r="J1840" s="166"/>
      <c r="K1840" s="166"/>
      <c r="R1840" s="157"/>
      <c r="S1840" s="157"/>
    </row>
    <row r="1841">
      <c r="A1841" s="148"/>
      <c r="B1841" s="75"/>
      <c r="C1841" s="75"/>
      <c r="D1841" s="75"/>
      <c r="E1841" s="75"/>
      <c r="F1841" s="75"/>
      <c r="G1841" s="75"/>
      <c r="H1841" s="75"/>
      <c r="I1841" s="75"/>
      <c r="J1841" s="166"/>
      <c r="K1841" s="166"/>
      <c r="R1841" s="163"/>
      <c r="S1841" s="163"/>
    </row>
    <row r="1842">
      <c r="A1842" s="148"/>
      <c r="B1842" s="75"/>
      <c r="C1842" s="75"/>
      <c r="D1842" s="75"/>
      <c r="E1842" s="75"/>
      <c r="F1842" s="75"/>
      <c r="G1842" s="75"/>
      <c r="H1842" s="75"/>
      <c r="I1842" s="75"/>
      <c r="J1842" s="166"/>
      <c r="K1842" s="166"/>
      <c r="R1842" s="163"/>
      <c r="S1842" s="163"/>
    </row>
    <row r="1843">
      <c r="A1843" s="148"/>
      <c r="B1843" s="75"/>
      <c r="C1843" s="75"/>
      <c r="D1843" s="75"/>
      <c r="E1843" s="75"/>
      <c r="F1843" s="75"/>
      <c r="G1843" s="75"/>
      <c r="H1843" s="75"/>
      <c r="I1843" s="75"/>
      <c r="J1843" s="166"/>
      <c r="K1843" s="166"/>
      <c r="R1843" s="163"/>
      <c r="S1843" s="163"/>
    </row>
    <row r="1844">
      <c r="A1844" s="148"/>
      <c r="B1844" s="75"/>
      <c r="C1844" s="75"/>
      <c r="D1844" s="75"/>
      <c r="E1844" s="75"/>
      <c r="F1844" s="75"/>
      <c r="G1844" s="75"/>
      <c r="H1844" s="75"/>
      <c r="I1844" s="75"/>
      <c r="J1844" s="166"/>
      <c r="K1844" s="166"/>
      <c r="R1844" s="163"/>
      <c r="S1844" s="163"/>
    </row>
    <row r="1845">
      <c r="A1845" s="148"/>
      <c r="B1845" s="75"/>
      <c r="C1845" s="75"/>
      <c r="D1845" s="75"/>
      <c r="E1845" s="75"/>
      <c r="F1845" s="75"/>
      <c r="G1845" s="75"/>
      <c r="H1845" s="75"/>
      <c r="I1845" s="75"/>
      <c r="J1845" s="166"/>
      <c r="K1845" s="166"/>
      <c r="R1845" s="163"/>
      <c r="S1845" s="163"/>
    </row>
    <row r="1846">
      <c r="A1846" s="148"/>
      <c r="B1846" s="75"/>
      <c r="C1846" s="75"/>
      <c r="D1846" s="75"/>
      <c r="E1846" s="75"/>
      <c r="F1846" s="75"/>
      <c r="G1846" s="75"/>
      <c r="H1846" s="75"/>
      <c r="I1846" s="75"/>
      <c r="J1846" s="166"/>
      <c r="K1846" s="166"/>
      <c r="R1846" s="163"/>
      <c r="S1846" s="163"/>
    </row>
    <row r="1847">
      <c r="A1847" s="148"/>
      <c r="B1847" s="75"/>
      <c r="C1847" s="75"/>
      <c r="D1847" s="75"/>
      <c r="E1847" s="75"/>
      <c r="F1847" s="75"/>
      <c r="G1847" s="75"/>
      <c r="H1847" s="75"/>
      <c r="I1847" s="75"/>
      <c r="J1847" s="166"/>
      <c r="K1847" s="166"/>
      <c r="R1847" s="163"/>
      <c r="S1847" s="163"/>
    </row>
    <row r="1848">
      <c r="A1848" s="148"/>
      <c r="B1848" s="75"/>
      <c r="C1848" s="75"/>
      <c r="D1848" s="75"/>
      <c r="E1848" s="75"/>
      <c r="F1848" s="75"/>
      <c r="G1848" s="75"/>
      <c r="H1848" s="75"/>
      <c r="I1848" s="75"/>
      <c r="J1848" s="166"/>
      <c r="K1848" s="166"/>
      <c r="R1848" s="163"/>
      <c r="S1848" s="163"/>
    </row>
    <row r="1849">
      <c r="A1849" s="148"/>
      <c r="B1849" s="75"/>
      <c r="C1849" s="75"/>
      <c r="D1849" s="75"/>
      <c r="E1849" s="75"/>
      <c r="F1849" s="75"/>
      <c r="G1849" s="75"/>
      <c r="H1849" s="75"/>
      <c r="I1849" s="75"/>
      <c r="J1849" s="166"/>
      <c r="K1849" s="166"/>
      <c r="R1849" s="163"/>
      <c r="S1849" s="163"/>
    </row>
    <row r="1850">
      <c r="A1850" s="148"/>
      <c r="B1850" s="75"/>
      <c r="C1850" s="75"/>
      <c r="D1850" s="75"/>
      <c r="E1850" s="75"/>
      <c r="F1850" s="75"/>
      <c r="G1850" s="75"/>
      <c r="H1850" s="75"/>
      <c r="I1850" s="75"/>
      <c r="J1850" s="166"/>
      <c r="K1850" s="166"/>
      <c r="R1850" s="163"/>
      <c r="S1850" s="163"/>
    </row>
    <row r="1851">
      <c r="A1851" s="148"/>
      <c r="B1851" s="75"/>
      <c r="C1851" s="75"/>
      <c r="D1851" s="75"/>
      <c r="E1851" s="75"/>
      <c r="F1851" s="75"/>
      <c r="G1851" s="75"/>
      <c r="H1851" s="75"/>
      <c r="I1851" s="75"/>
      <c r="J1851" s="166"/>
      <c r="K1851" s="166"/>
      <c r="R1851" s="173"/>
      <c r="S1851" s="173"/>
    </row>
    <row r="1852">
      <c r="A1852" s="148"/>
      <c r="B1852" s="75"/>
      <c r="C1852" s="75"/>
      <c r="D1852" s="75"/>
      <c r="E1852" s="75"/>
      <c r="F1852" s="75"/>
      <c r="G1852" s="75"/>
      <c r="H1852" s="75"/>
      <c r="I1852" s="75"/>
      <c r="J1852" s="166"/>
      <c r="K1852" s="166"/>
      <c r="R1852" s="157"/>
      <c r="S1852" s="157"/>
    </row>
    <row r="1853">
      <c r="A1853" s="148"/>
      <c r="B1853" s="75"/>
      <c r="C1853" s="75"/>
      <c r="D1853" s="75"/>
      <c r="E1853" s="75"/>
      <c r="F1853" s="75"/>
      <c r="G1853" s="75"/>
      <c r="H1853" s="75"/>
      <c r="I1853" s="75"/>
      <c r="J1853" s="166"/>
      <c r="K1853" s="166"/>
      <c r="R1853" s="163"/>
      <c r="S1853" s="163"/>
    </row>
    <row r="1854">
      <c r="A1854" s="148"/>
      <c r="B1854" s="75"/>
      <c r="C1854" s="75"/>
      <c r="D1854" s="75"/>
      <c r="E1854" s="75"/>
      <c r="F1854" s="75"/>
      <c r="G1854" s="75"/>
      <c r="H1854" s="75"/>
      <c r="I1854" s="75"/>
      <c r="J1854" s="166"/>
      <c r="K1854" s="166"/>
      <c r="R1854" s="163"/>
      <c r="S1854" s="163"/>
    </row>
    <row r="1855">
      <c r="A1855" s="148"/>
      <c r="B1855" s="75"/>
      <c r="C1855" s="75"/>
      <c r="D1855" s="75"/>
      <c r="E1855" s="75"/>
      <c r="F1855" s="75"/>
      <c r="G1855" s="75"/>
      <c r="H1855" s="75"/>
      <c r="I1855" s="75"/>
      <c r="J1855" s="166"/>
      <c r="K1855" s="166"/>
      <c r="R1855" s="163"/>
      <c r="S1855" s="163"/>
    </row>
    <row r="1856">
      <c r="A1856" s="148"/>
      <c r="B1856" s="75"/>
      <c r="C1856" s="75"/>
      <c r="D1856" s="75"/>
      <c r="E1856" s="75"/>
      <c r="F1856" s="75"/>
      <c r="G1856" s="75"/>
      <c r="H1856" s="75"/>
      <c r="I1856" s="75"/>
      <c r="J1856" s="166"/>
      <c r="K1856" s="166"/>
      <c r="R1856" s="163"/>
      <c r="S1856" s="163"/>
    </row>
    <row r="1857">
      <c r="A1857" s="148"/>
      <c r="B1857" s="75"/>
      <c r="C1857" s="75"/>
      <c r="D1857" s="75"/>
      <c r="E1857" s="75"/>
      <c r="F1857" s="75"/>
      <c r="G1857" s="75"/>
      <c r="H1857" s="75"/>
      <c r="I1857" s="75"/>
      <c r="J1857" s="166"/>
      <c r="K1857" s="166"/>
      <c r="R1857" s="163"/>
      <c r="S1857" s="163"/>
    </row>
    <row r="1858">
      <c r="A1858" s="148"/>
      <c r="B1858" s="75"/>
      <c r="C1858" s="75"/>
      <c r="D1858" s="75"/>
      <c r="E1858" s="75"/>
      <c r="F1858" s="75"/>
      <c r="G1858" s="75"/>
      <c r="H1858" s="75"/>
      <c r="I1858" s="75"/>
      <c r="J1858" s="166"/>
      <c r="K1858" s="166"/>
      <c r="R1858" s="163"/>
      <c r="S1858" s="163"/>
    </row>
    <row r="1859">
      <c r="A1859" s="148"/>
      <c r="B1859" s="75"/>
      <c r="C1859" s="75"/>
      <c r="D1859" s="75"/>
      <c r="E1859" s="75"/>
      <c r="F1859" s="75"/>
      <c r="G1859" s="75"/>
      <c r="H1859" s="75"/>
      <c r="I1859" s="75"/>
      <c r="J1859" s="166"/>
      <c r="K1859" s="166"/>
      <c r="R1859" s="163"/>
      <c r="S1859" s="163"/>
    </row>
    <row r="1860">
      <c r="A1860" s="148"/>
      <c r="B1860" s="75"/>
      <c r="C1860" s="75"/>
      <c r="D1860" s="75"/>
      <c r="E1860" s="75"/>
      <c r="F1860" s="75"/>
      <c r="G1860" s="75"/>
      <c r="H1860" s="75"/>
      <c r="I1860" s="75"/>
      <c r="J1860" s="166"/>
      <c r="K1860" s="166"/>
      <c r="R1860" s="163"/>
      <c r="S1860" s="163"/>
    </row>
    <row r="1861">
      <c r="A1861" s="148"/>
      <c r="B1861" s="75"/>
      <c r="C1861" s="75"/>
      <c r="D1861" s="75"/>
      <c r="E1861" s="75"/>
      <c r="F1861" s="75"/>
      <c r="G1861" s="75"/>
      <c r="H1861" s="75"/>
      <c r="I1861" s="75"/>
      <c r="J1861" s="166"/>
      <c r="K1861" s="166"/>
      <c r="R1861" s="163"/>
      <c r="S1861" s="163"/>
    </row>
    <row r="1862">
      <c r="A1862" s="148"/>
      <c r="B1862" s="75"/>
      <c r="C1862" s="75"/>
      <c r="D1862" s="75"/>
      <c r="E1862" s="75"/>
      <c r="F1862" s="75"/>
      <c r="G1862" s="75"/>
      <c r="H1862" s="75"/>
      <c r="I1862" s="75"/>
      <c r="J1862" s="166"/>
      <c r="K1862" s="166"/>
      <c r="R1862" s="163"/>
      <c r="S1862" s="163"/>
    </row>
    <row r="1863">
      <c r="A1863" s="148"/>
      <c r="B1863" s="75"/>
      <c r="C1863" s="75"/>
      <c r="D1863" s="75"/>
      <c r="E1863" s="75"/>
      <c r="F1863" s="75"/>
      <c r="G1863" s="75"/>
      <c r="H1863" s="75"/>
      <c r="I1863" s="75"/>
      <c r="J1863" s="166"/>
      <c r="K1863" s="166"/>
      <c r="R1863" s="173"/>
      <c r="S1863" s="173"/>
    </row>
    <row r="1864">
      <c r="A1864" s="148"/>
      <c r="B1864" s="75"/>
      <c r="C1864" s="75"/>
      <c r="D1864" s="75"/>
      <c r="E1864" s="75"/>
      <c r="F1864" s="75"/>
      <c r="G1864" s="75"/>
      <c r="H1864" s="75"/>
      <c r="I1864" s="75"/>
      <c r="J1864" s="166"/>
      <c r="K1864" s="166"/>
      <c r="R1864" s="157"/>
      <c r="S1864" s="157"/>
    </row>
    <row r="1865">
      <c r="A1865" s="148"/>
      <c r="B1865" s="75"/>
      <c r="C1865" s="75"/>
      <c r="D1865" s="75"/>
      <c r="E1865" s="75"/>
      <c r="F1865" s="75"/>
      <c r="G1865" s="75"/>
      <c r="H1865" s="75"/>
      <c r="I1865" s="75"/>
      <c r="J1865" s="166"/>
      <c r="K1865" s="166"/>
      <c r="R1865" s="163"/>
      <c r="S1865" s="163"/>
    </row>
    <row r="1866">
      <c r="A1866" s="148"/>
      <c r="B1866" s="75"/>
      <c r="C1866" s="75"/>
      <c r="D1866" s="75"/>
      <c r="E1866" s="75"/>
      <c r="F1866" s="75"/>
      <c r="G1866" s="75"/>
      <c r="H1866" s="75"/>
      <c r="I1866" s="75"/>
      <c r="J1866" s="166"/>
      <c r="K1866" s="166"/>
      <c r="R1866" s="163"/>
      <c r="S1866" s="163"/>
    </row>
    <row r="1867">
      <c r="A1867" s="148"/>
      <c r="B1867" s="75"/>
      <c r="C1867" s="75"/>
      <c r="D1867" s="75"/>
      <c r="E1867" s="75"/>
      <c r="F1867" s="75"/>
      <c r="G1867" s="75"/>
      <c r="H1867" s="75"/>
      <c r="I1867" s="75"/>
      <c r="J1867" s="166"/>
      <c r="K1867" s="166"/>
      <c r="R1867" s="163"/>
      <c r="S1867" s="163"/>
    </row>
    <row r="1868">
      <c r="A1868" s="148"/>
      <c r="B1868" s="75"/>
      <c r="C1868" s="75"/>
      <c r="D1868" s="75"/>
      <c r="E1868" s="75"/>
      <c r="F1868" s="75"/>
      <c r="G1868" s="75"/>
      <c r="H1868" s="75"/>
      <c r="I1868" s="75"/>
      <c r="J1868" s="166"/>
      <c r="K1868" s="166"/>
      <c r="R1868" s="163"/>
      <c r="S1868" s="163"/>
    </row>
    <row r="1869">
      <c r="A1869" s="148"/>
      <c r="B1869" s="75"/>
      <c r="C1869" s="75"/>
      <c r="D1869" s="75"/>
      <c r="E1869" s="75"/>
      <c r="F1869" s="75"/>
      <c r="G1869" s="75"/>
      <c r="H1869" s="75"/>
      <c r="I1869" s="75"/>
      <c r="J1869" s="166"/>
      <c r="K1869" s="166"/>
      <c r="R1869" s="163"/>
      <c r="S1869" s="163"/>
    </row>
    <row r="1870">
      <c r="A1870" s="148"/>
      <c r="B1870" s="75"/>
      <c r="C1870" s="75"/>
      <c r="D1870" s="75"/>
      <c r="E1870" s="75"/>
      <c r="F1870" s="75"/>
      <c r="G1870" s="75"/>
      <c r="H1870" s="75"/>
      <c r="I1870" s="75"/>
      <c r="J1870" s="166"/>
      <c r="K1870" s="166"/>
      <c r="R1870" s="163"/>
      <c r="S1870" s="163"/>
    </row>
    <row r="1871">
      <c r="A1871" s="148"/>
      <c r="B1871" s="75"/>
      <c r="C1871" s="75"/>
      <c r="D1871" s="75"/>
      <c r="E1871" s="75"/>
      <c r="F1871" s="75"/>
      <c r="G1871" s="75"/>
      <c r="H1871" s="75"/>
      <c r="I1871" s="75"/>
      <c r="J1871" s="166"/>
      <c r="K1871" s="166"/>
      <c r="R1871" s="163"/>
      <c r="S1871" s="163"/>
    </row>
    <row r="1872">
      <c r="A1872" s="148"/>
      <c r="B1872" s="75"/>
      <c r="C1872" s="75"/>
      <c r="D1872" s="75"/>
      <c r="E1872" s="75"/>
      <c r="F1872" s="75"/>
      <c r="G1872" s="75"/>
      <c r="H1872" s="75"/>
      <c r="I1872" s="75"/>
      <c r="J1872" s="166"/>
      <c r="K1872" s="166"/>
      <c r="R1872" s="163"/>
      <c r="S1872" s="163"/>
    </row>
    <row r="1873">
      <c r="A1873" s="148"/>
      <c r="B1873" s="75"/>
      <c r="C1873" s="75"/>
      <c r="D1873" s="75"/>
      <c r="E1873" s="75"/>
      <c r="F1873" s="75"/>
      <c r="G1873" s="75"/>
      <c r="H1873" s="75"/>
      <c r="I1873" s="75"/>
      <c r="J1873" s="166"/>
      <c r="K1873" s="166"/>
      <c r="R1873" s="163"/>
      <c r="S1873" s="163"/>
    </row>
    <row r="1874">
      <c r="A1874" s="148"/>
      <c r="B1874" s="75"/>
      <c r="C1874" s="75"/>
      <c r="D1874" s="75"/>
      <c r="E1874" s="75"/>
      <c r="F1874" s="75"/>
      <c r="G1874" s="75"/>
      <c r="H1874" s="75"/>
      <c r="I1874" s="75"/>
      <c r="J1874" s="166"/>
      <c r="K1874" s="166"/>
      <c r="R1874" s="163"/>
      <c r="S1874" s="163"/>
    </row>
    <row r="1875">
      <c r="A1875" s="148"/>
      <c r="B1875" s="75"/>
      <c r="C1875" s="75"/>
      <c r="D1875" s="75"/>
      <c r="E1875" s="75"/>
      <c r="F1875" s="75"/>
      <c r="G1875" s="75"/>
      <c r="H1875" s="75"/>
      <c r="I1875" s="75"/>
      <c r="J1875" s="166"/>
      <c r="K1875" s="166"/>
      <c r="R1875" s="173"/>
      <c r="S1875" s="173"/>
    </row>
    <row r="1876">
      <c r="A1876" s="148"/>
      <c r="B1876" s="75"/>
      <c r="C1876" s="75"/>
      <c r="D1876" s="75"/>
      <c r="E1876" s="75"/>
      <c r="F1876" s="75"/>
      <c r="G1876" s="75"/>
      <c r="H1876" s="75"/>
      <c r="I1876" s="75"/>
      <c r="J1876" s="166"/>
      <c r="K1876" s="166"/>
      <c r="R1876" s="157"/>
      <c r="S1876" s="157"/>
    </row>
    <row r="1877">
      <c r="A1877" s="148"/>
      <c r="B1877" s="75"/>
      <c r="C1877" s="75"/>
      <c r="D1877" s="75"/>
      <c r="E1877" s="75"/>
      <c r="F1877" s="75"/>
      <c r="G1877" s="75"/>
      <c r="H1877" s="75"/>
      <c r="I1877" s="75"/>
      <c r="J1877" s="166"/>
      <c r="K1877" s="166"/>
      <c r="R1877" s="163"/>
      <c r="S1877" s="163"/>
    </row>
    <row r="1878">
      <c r="A1878" s="148"/>
      <c r="B1878" s="75"/>
      <c r="C1878" s="75"/>
      <c r="D1878" s="75"/>
      <c r="E1878" s="75"/>
      <c r="F1878" s="75"/>
      <c r="G1878" s="75"/>
      <c r="H1878" s="75"/>
      <c r="I1878" s="75"/>
      <c r="J1878" s="166"/>
      <c r="K1878" s="166"/>
      <c r="R1878" s="163"/>
      <c r="S1878" s="163"/>
    </row>
    <row r="1879">
      <c r="A1879" s="148"/>
      <c r="B1879" s="75"/>
      <c r="C1879" s="75"/>
      <c r="D1879" s="75"/>
      <c r="E1879" s="75"/>
      <c r="F1879" s="75"/>
      <c r="G1879" s="75"/>
      <c r="H1879" s="75"/>
      <c r="I1879" s="75"/>
      <c r="J1879" s="166"/>
      <c r="K1879" s="166"/>
      <c r="R1879" s="163"/>
      <c r="S1879" s="163"/>
    </row>
    <row r="1880">
      <c r="A1880" s="148"/>
      <c r="B1880" s="75"/>
      <c r="C1880" s="75"/>
      <c r="D1880" s="75"/>
      <c r="E1880" s="75"/>
      <c r="F1880" s="75"/>
      <c r="G1880" s="75"/>
      <c r="H1880" s="75"/>
      <c r="I1880" s="75"/>
      <c r="J1880" s="166"/>
      <c r="K1880" s="166"/>
      <c r="R1880" s="163"/>
      <c r="S1880" s="163"/>
    </row>
    <row r="1881">
      <c r="A1881" s="148"/>
      <c r="B1881" s="75"/>
      <c r="C1881" s="75"/>
      <c r="D1881" s="75"/>
      <c r="E1881" s="75"/>
      <c r="F1881" s="75"/>
      <c r="G1881" s="75"/>
      <c r="H1881" s="75"/>
      <c r="I1881" s="75"/>
      <c r="J1881" s="166"/>
      <c r="K1881" s="166"/>
      <c r="R1881" s="163"/>
      <c r="S1881" s="163"/>
    </row>
    <row r="1882">
      <c r="A1882" s="148"/>
      <c r="B1882" s="75"/>
      <c r="C1882" s="75"/>
      <c r="D1882" s="75"/>
      <c r="E1882" s="75"/>
      <c r="F1882" s="75"/>
      <c r="G1882" s="75"/>
      <c r="H1882" s="75"/>
      <c r="I1882" s="75"/>
      <c r="J1882" s="166"/>
      <c r="K1882" s="166"/>
      <c r="R1882" s="163"/>
      <c r="S1882" s="163"/>
    </row>
    <row r="1883">
      <c r="A1883" s="148"/>
      <c r="B1883" s="75"/>
      <c r="C1883" s="75"/>
      <c r="D1883" s="75"/>
      <c r="E1883" s="75"/>
      <c r="F1883" s="75"/>
      <c r="G1883" s="75"/>
      <c r="H1883" s="75"/>
      <c r="I1883" s="75"/>
      <c r="J1883" s="166"/>
      <c r="K1883" s="166"/>
      <c r="R1883" s="163"/>
      <c r="S1883" s="163"/>
    </row>
    <row r="1884">
      <c r="A1884" s="148"/>
      <c r="B1884" s="75"/>
      <c r="C1884" s="75"/>
      <c r="D1884" s="75"/>
      <c r="E1884" s="75"/>
      <c r="F1884" s="75"/>
      <c r="G1884" s="75"/>
      <c r="H1884" s="75"/>
      <c r="I1884" s="75"/>
      <c r="J1884" s="166"/>
      <c r="K1884" s="166"/>
      <c r="R1884" s="163"/>
      <c r="S1884" s="163"/>
    </row>
    <row r="1885">
      <c r="A1885" s="148"/>
      <c r="B1885" s="75"/>
      <c r="C1885" s="75"/>
      <c r="D1885" s="75"/>
      <c r="E1885" s="75"/>
      <c r="F1885" s="75"/>
      <c r="G1885" s="75"/>
      <c r="H1885" s="75"/>
      <c r="I1885" s="75"/>
      <c r="J1885" s="166"/>
      <c r="K1885" s="166"/>
      <c r="R1885" s="163"/>
      <c r="S1885" s="163"/>
    </row>
    <row r="1886">
      <c r="A1886" s="148"/>
      <c r="B1886" s="75"/>
      <c r="C1886" s="75"/>
      <c r="D1886" s="75"/>
      <c r="E1886" s="75"/>
      <c r="F1886" s="75"/>
      <c r="G1886" s="75"/>
      <c r="H1886" s="75"/>
      <c r="I1886" s="75"/>
      <c r="J1886" s="166"/>
      <c r="K1886" s="166"/>
      <c r="R1886" s="163"/>
      <c r="S1886" s="163"/>
    </row>
    <row r="1887">
      <c r="A1887" s="148"/>
      <c r="B1887" s="75"/>
      <c r="C1887" s="75"/>
      <c r="D1887" s="75"/>
      <c r="E1887" s="75"/>
      <c r="F1887" s="75"/>
      <c r="G1887" s="75"/>
      <c r="H1887" s="75"/>
      <c r="I1887" s="75"/>
      <c r="J1887" s="166"/>
      <c r="K1887" s="166"/>
      <c r="R1887" s="173"/>
      <c r="S1887" s="173"/>
    </row>
    <row r="1888">
      <c r="A1888" s="148"/>
      <c r="B1888" s="75"/>
      <c r="C1888" s="75"/>
      <c r="D1888" s="75"/>
      <c r="E1888" s="75"/>
      <c r="F1888" s="75"/>
      <c r="G1888" s="75"/>
      <c r="H1888" s="75"/>
      <c r="I1888" s="75"/>
      <c r="J1888" s="166"/>
      <c r="K1888" s="166"/>
      <c r="R1888" s="157"/>
      <c r="S1888" s="157"/>
    </row>
    <row r="1889">
      <c r="A1889" s="148"/>
      <c r="B1889" s="75"/>
      <c r="C1889" s="75"/>
      <c r="D1889" s="75"/>
      <c r="E1889" s="75"/>
      <c r="F1889" s="75"/>
      <c r="G1889" s="75"/>
      <c r="H1889" s="75"/>
      <c r="I1889" s="75"/>
      <c r="J1889" s="166"/>
      <c r="K1889" s="166"/>
      <c r="R1889" s="163"/>
      <c r="S1889" s="163"/>
    </row>
    <row r="1890">
      <c r="A1890" s="148"/>
      <c r="B1890" s="75"/>
      <c r="C1890" s="75"/>
      <c r="D1890" s="75"/>
      <c r="E1890" s="75"/>
      <c r="F1890" s="75"/>
      <c r="G1890" s="75"/>
      <c r="H1890" s="75"/>
      <c r="I1890" s="75"/>
      <c r="J1890" s="166"/>
      <c r="K1890" s="166"/>
      <c r="R1890" s="163"/>
      <c r="S1890" s="163"/>
    </row>
    <row r="1891">
      <c r="A1891" s="148"/>
      <c r="B1891" s="75"/>
      <c r="C1891" s="75"/>
      <c r="D1891" s="75"/>
      <c r="E1891" s="75"/>
      <c r="F1891" s="75"/>
      <c r="G1891" s="75"/>
      <c r="H1891" s="75"/>
      <c r="I1891" s="75"/>
      <c r="J1891" s="166"/>
      <c r="K1891" s="166"/>
      <c r="R1891" s="163"/>
      <c r="S1891" s="163"/>
    </row>
    <row r="1892">
      <c r="A1892" s="148"/>
      <c r="B1892" s="75"/>
      <c r="C1892" s="75"/>
      <c r="D1892" s="75"/>
      <c r="E1892" s="75"/>
      <c r="F1892" s="75"/>
      <c r="G1892" s="75"/>
      <c r="H1892" s="75"/>
      <c r="I1892" s="75"/>
      <c r="J1892" s="166"/>
      <c r="K1892" s="166"/>
      <c r="R1892" s="163"/>
      <c r="S1892" s="163"/>
    </row>
    <row r="1893">
      <c r="A1893" s="148"/>
      <c r="B1893" s="75"/>
      <c r="C1893" s="75"/>
      <c r="D1893" s="75"/>
      <c r="E1893" s="75"/>
      <c r="F1893" s="75"/>
      <c r="G1893" s="75"/>
      <c r="H1893" s="75"/>
      <c r="I1893" s="75"/>
      <c r="J1893" s="166"/>
      <c r="K1893" s="166"/>
      <c r="R1893" s="163"/>
      <c r="S1893" s="163"/>
    </row>
    <row r="1894">
      <c r="A1894" s="148"/>
      <c r="B1894" s="75"/>
      <c r="C1894" s="75"/>
      <c r="D1894" s="75"/>
      <c r="E1894" s="75"/>
      <c r="F1894" s="75"/>
      <c r="G1894" s="75"/>
      <c r="H1894" s="75"/>
      <c r="I1894" s="75"/>
      <c r="J1894" s="166"/>
      <c r="K1894" s="166"/>
      <c r="R1894" s="163"/>
      <c r="S1894" s="163"/>
    </row>
    <row r="1895">
      <c r="A1895" s="148"/>
      <c r="B1895" s="75"/>
      <c r="C1895" s="75"/>
      <c r="D1895" s="75"/>
      <c r="E1895" s="75"/>
      <c r="F1895" s="75"/>
      <c r="G1895" s="75"/>
      <c r="H1895" s="75"/>
      <c r="I1895" s="75"/>
      <c r="J1895" s="166"/>
      <c r="K1895" s="166"/>
      <c r="R1895" s="163"/>
      <c r="S1895" s="163"/>
    </row>
    <row r="1896">
      <c r="A1896" s="148"/>
      <c r="B1896" s="75"/>
      <c r="C1896" s="75"/>
      <c r="D1896" s="75"/>
      <c r="E1896" s="75"/>
      <c r="F1896" s="75"/>
      <c r="G1896" s="75"/>
      <c r="H1896" s="75"/>
      <c r="I1896" s="75"/>
      <c r="J1896" s="166"/>
      <c r="K1896" s="166"/>
      <c r="R1896" s="163"/>
      <c r="S1896" s="163"/>
    </row>
    <row r="1897">
      <c r="A1897" s="148"/>
      <c r="B1897" s="75"/>
      <c r="C1897" s="75"/>
      <c r="D1897" s="75"/>
      <c r="E1897" s="75"/>
      <c r="F1897" s="75"/>
      <c r="G1897" s="75"/>
      <c r="H1897" s="75"/>
      <c r="I1897" s="75"/>
      <c r="J1897" s="166"/>
      <c r="K1897" s="166"/>
      <c r="R1897" s="163"/>
      <c r="S1897" s="163"/>
    </row>
    <row r="1898">
      <c r="A1898" s="148"/>
      <c r="B1898" s="75"/>
      <c r="C1898" s="75"/>
      <c r="D1898" s="75"/>
      <c r="E1898" s="75"/>
      <c r="F1898" s="75"/>
      <c r="G1898" s="75"/>
      <c r="H1898" s="75"/>
      <c r="I1898" s="75"/>
      <c r="J1898" s="166"/>
      <c r="K1898" s="166"/>
      <c r="R1898" s="163"/>
      <c r="S1898" s="163"/>
    </row>
    <row r="1899">
      <c r="A1899" s="148"/>
      <c r="B1899" s="75"/>
      <c r="C1899" s="75"/>
      <c r="D1899" s="75"/>
      <c r="E1899" s="75"/>
      <c r="F1899" s="75"/>
      <c r="G1899" s="75"/>
      <c r="H1899" s="75"/>
      <c r="I1899" s="75"/>
      <c r="J1899" s="166"/>
      <c r="K1899" s="166"/>
      <c r="R1899" s="173"/>
      <c r="S1899" s="173"/>
    </row>
    <row r="1900">
      <c r="A1900" s="148"/>
      <c r="B1900" s="75"/>
      <c r="C1900" s="75"/>
      <c r="D1900" s="75"/>
      <c r="E1900" s="75"/>
      <c r="F1900" s="75"/>
      <c r="G1900" s="75"/>
      <c r="H1900" s="75"/>
      <c r="I1900" s="75"/>
      <c r="J1900" s="166"/>
      <c r="K1900" s="166"/>
      <c r="R1900" s="157"/>
      <c r="S1900" s="157"/>
    </row>
    <row r="1901">
      <c r="A1901" s="148"/>
      <c r="B1901" s="75"/>
      <c r="C1901" s="75"/>
      <c r="D1901" s="75"/>
      <c r="E1901" s="75"/>
      <c r="F1901" s="75"/>
      <c r="G1901" s="75"/>
      <c r="H1901" s="75"/>
      <c r="I1901" s="75"/>
      <c r="J1901" s="166"/>
      <c r="K1901" s="166"/>
      <c r="R1901" s="163"/>
      <c r="S1901" s="163"/>
    </row>
    <row r="1902">
      <c r="A1902" s="148"/>
      <c r="B1902" s="75"/>
      <c r="C1902" s="75"/>
      <c r="D1902" s="75"/>
      <c r="E1902" s="75"/>
      <c r="F1902" s="75"/>
      <c r="G1902" s="75"/>
      <c r="H1902" s="75"/>
      <c r="I1902" s="75"/>
      <c r="J1902" s="166"/>
      <c r="K1902" s="166"/>
      <c r="R1902" s="163"/>
      <c r="S1902" s="163"/>
    </row>
    <row r="1903">
      <c r="A1903" s="148"/>
      <c r="B1903" s="75"/>
      <c r="C1903" s="75"/>
      <c r="D1903" s="75"/>
      <c r="E1903" s="75"/>
      <c r="F1903" s="75"/>
      <c r="G1903" s="75"/>
      <c r="H1903" s="75"/>
      <c r="I1903" s="75"/>
      <c r="J1903" s="166"/>
      <c r="K1903" s="166"/>
      <c r="R1903" s="163"/>
      <c r="S1903" s="163"/>
    </row>
    <row r="1904">
      <c r="A1904" s="148"/>
      <c r="B1904" s="75"/>
      <c r="C1904" s="75"/>
      <c r="D1904" s="75"/>
      <c r="E1904" s="75"/>
      <c r="F1904" s="75"/>
      <c r="G1904" s="75"/>
      <c r="H1904" s="75"/>
      <c r="I1904" s="75"/>
      <c r="J1904" s="166"/>
      <c r="K1904" s="166"/>
      <c r="R1904" s="163"/>
      <c r="S1904" s="163"/>
    </row>
    <row r="1905">
      <c r="A1905" s="148"/>
      <c r="B1905" s="75"/>
      <c r="C1905" s="75"/>
      <c r="D1905" s="75"/>
      <c r="E1905" s="75"/>
      <c r="F1905" s="75"/>
      <c r="G1905" s="75"/>
      <c r="H1905" s="75"/>
      <c r="I1905" s="75"/>
      <c r="J1905" s="166"/>
      <c r="K1905" s="166"/>
      <c r="R1905" s="163"/>
      <c r="S1905" s="163"/>
    </row>
    <row r="1906">
      <c r="A1906" s="148"/>
      <c r="B1906" s="75"/>
      <c r="C1906" s="75"/>
      <c r="D1906" s="75"/>
      <c r="E1906" s="75"/>
      <c r="F1906" s="75"/>
      <c r="G1906" s="75"/>
      <c r="H1906" s="75"/>
      <c r="I1906" s="75"/>
      <c r="J1906" s="166"/>
      <c r="K1906" s="166"/>
      <c r="R1906" s="163"/>
      <c r="S1906" s="163"/>
    </row>
    <row r="1907">
      <c r="A1907" s="148"/>
      <c r="B1907" s="75"/>
      <c r="C1907" s="75"/>
      <c r="D1907" s="75"/>
      <c r="E1907" s="75"/>
      <c r="F1907" s="75"/>
      <c r="G1907" s="75"/>
      <c r="H1907" s="75"/>
      <c r="I1907" s="75"/>
      <c r="J1907" s="166"/>
      <c r="K1907" s="166"/>
      <c r="R1907" s="163"/>
      <c r="S1907" s="163"/>
    </row>
    <row r="1908">
      <c r="A1908" s="148"/>
      <c r="B1908" s="75"/>
      <c r="C1908" s="75"/>
      <c r="D1908" s="75"/>
      <c r="E1908" s="75"/>
      <c r="F1908" s="75"/>
      <c r="G1908" s="75"/>
      <c r="H1908" s="75"/>
      <c r="I1908" s="75"/>
      <c r="J1908" s="166"/>
      <c r="K1908" s="166"/>
      <c r="R1908" s="163"/>
      <c r="S1908" s="163"/>
    </row>
    <row r="1909">
      <c r="A1909" s="148"/>
      <c r="B1909" s="75"/>
      <c r="C1909" s="75"/>
      <c r="D1909" s="75"/>
      <c r="E1909" s="75"/>
      <c r="F1909" s="75"/>
      <c r="G1909" s="75"/>
      <c r="H1909" s="75"/>
      <c r="I1909" s="75"/>
      <c r="J1909" s="166"/>
      <c r="K1909" s="166"/>
      <c r="R1909" s="163"/>
      <c r="S1909" s="163"/>
    </row>
    <row r="1910">
      <c r="A1910" s="148"/>
      <c r="B1910" s="75"/>
      <c r="C1910" s="75"/>
      <c r="D1910" s="75"/>
      <c r="E1910" s="75"/>
      <c r="F1910" s="75"/>
      <c r="G1910" s="75"/>
      <c r="H1910" s="75"/>
      <c r="I1910" s="75"/>
      <c r="J1910" s="166"/>
      <c r="K1910" s="166"/>
      <c r="R1910" s="163"/>
      <c r="S1910" s="163"/>
    </row>
    <row r="1911">
      <c r="A1911" s="148"/>
      <c r="B1911" s="75"/>
      <c r="C1911" s="75"/>
      <c r="D1911" s="75"/>
      <c r="E1911" s="75"/>
      <c r="F1911" s="75"/>
      <c r="G1911" s="75"/>
      <c r="H1911" s="75"/>
      <c r="I1911" s="75"/>
      <c r="J1911" s="166"/>
      <c r="K1911" s="166"/>
      <c r="R1911" s="173"/>
      <c r="S1911" s="173"/>
    </row>
    <row r="1912">
      <c r="A1912" s="148"/>
      <c r="B1912" s="75"/>
      <c r="C1912" s="75"/>
      <c r="D1912" s="75"/>
      <c r="E1912" s="75"/>
      <c r="F1912" s="75"/>
      <c r="G1912" s="75"/>
      <c r="H1912" s="75"/>
      <c r="I1912" s="75"/>
      <c r="J1912" s="166"/>
      <c r="K1912" s="166"/>
      <c r="R1912" s="157"/>
      <c r="S1912" s="157"/>
    </row>
    <row r="1913">
      <c r="A1913" s="148"/>
      <c r="B1913" s="75"/>
      <c r="C1913" s="75"/>
      <c r="D1913" s="75"/>
      <c r="E1913" s="75"/>
      <c r="F1913" s="75"/>
      <c r="G1913" s="75"/>
      <c r="H1913" s="75"/>
      <c r="I1913" s="75"/>
      <c r="J1913" s="166"/>
      <c r="K1913" s="166"/>
      <c r="R1913" s="163"/>
      <c r="S1913" s="163"/>
    </row>
    <row r="1914">
      <c r="A1914" s="148"/>
      <c r="B1914" s="75"/>
      <c r="C1914" s="75"/>
      <c r="D1914" s="75"/>
      <c r="E1914" s="75"/>
      <c r="F1914" s="75"/>
      <c r="G1914" s="75"/>
      <c r="H1914" s="75"/>
      <c r="I1914" s="75"/>
      <c r="J1914" s="166"/>
      <c r="K1914" s="166"/>
      <c r="R1914" s="163"/>
      <c r="S1914" s="163"/>
    </row>
    <row r="1915">
      <c r="A1915" s="148"/>
      <c r="B1915" s="75"/>
      <c r="C1915" s="75"/>
      <c r="D1915" s="75"/>
      <c r="E1915" s="75"/>
      <c r="F1915" s="75"/>
      <c r="G1915" s="75"/>
      <c r="H1915" s="75"/>
      <c r="I1915" s="75"/>
      <c r="J1915" s="166"/>
      <c r="K1915" s="166"/>
      <c r="R1915" s="163"/>
      <c r="S1915" s="163"/>
    </row>
    <row r="1916">
      <c r="A1916" s="148"/>
      <c r="B1916" s="75"/>
      <c r="C1916" s="75"/>
      <c r="D1916" s="75"/>
      <c r="E1916" s="75"/>
      <c r="F1916" s="75"/>
      <c r="G1916" s="75"/>
      <c r="H1916" s="75"/>
      <c r="I1916" s="75"/>
      <c r="J1916" s="166"/>
      <c r="K1916" s="166"/>
      <c r="R1916" s="163"/>
      <c r="S1916" s="163"/>
    </row>
    <row r="1917">
      <c r="A1917" s="148"/>
      <c r="B1917" s="75"/>
      <c r="C1917" s="75"/>
      <c r="D1917" s="75"/>
      <c r="E1917" s="75"/>
      <c r="F1917" s="75"/>
      <c r="G1917" s="75"/>
      <c r="H1917" s="75"/>
      <c r="I1917" s="75"/>
      <c r="J1917" s="166"/>
      <c r="K1917" s="166"/>
      <c r="R1917" s="163"/>
      <c r="S1917" s="163"/>
    </row>
    <row r="1918">
      <c r="A1918" s="148"/>
      <c r="B1918" s="75"/>
      <c r="C1918" s="75"/>
      <c r="D1918" s="75"/>
      <c r="E1918" s="75"/>
      <c r="F1918" s="75"/>
      <c r="G1918" s="75"/>
      <c r="H1918" s="75"/>
      <c r="I1918" s="75"/>
      <c r="J1918" s="166"/>
      <c r="K1918" s="166"/>
      <c r="R1918" s="163"/>
      <c r="S1918" s="163"/>
    </row>
    <row r="1919">
      <c r="A1919" s="148"/>
      <c r="B1919" s="75"/>
      <c r="C1919" s="75"/>
      <c r="D1919" s="75"/>
      <c r="E1919" s="75"/>
      <c r="F1919" s="75"/>
      <c r="G1919" s="75"/>
      <c r="H1919" s="75"/>
      <c r="I1919" s="75"/>
      <c r="J1919" s="166"/>
      <c r="K1919" s="166"/>
      <c r="R1919" s="163"/>
      <c r="S1919" s="163"/>
    </row>
    <row r="1920">
      <c r="A1920" s="148"/>
      <c r="B1920" s="75"/>
      <c r="C1920" s="75"/>
      <c r="D1920" s="75"/>
      <c r="E1920" s="75"/>
      <c r="F1920" s="75"/>
      <c r="G1920" s="75"/>
      <c r="H1920" s="75"/>
      <c r="I1920" s="75"/>
      <c r="J1920" s="166"/>
      <c r="K1920" s="166"/>
      <c r="R1920" s="163"/>
      <c r="S1920" s="163"/>
    </row>
    <row r="1921">
      <c r="A1921" s="148"/>
      <c r="B1921" s="75"/>
      <c r="C1921" s="75"/>
      <c r="D1921" s="75"/>
      <c r="E1921" s="75"/>
      <c r="F1921" s="75"/>
      <c r="G1921" s="75"/>
      <c r="H1921" s="75"/>
      <c r="I1921" s="75"/>
      <c r="J1921" s="166"/>
      <c r="K1921" s="166"/>
      <c r="R1921" s="163"/>
      <c r="S1921" s="163"/>
    </row>
    <row r="1922">
      <c r="A1922" s="148"/>
      <c r="B1922" s="75"/>
      <c r="C1922" s="75"/>
      <c r="D1922" s="75"/>
      <c r="E1922" s="75"/>
      <c r="F1922" s="75"/>
      <c r="G1922" s="75"/>
      <c r="H1922" s="75"/>
      <c r="I1922" s="75"/>
      <c r="J1922" s="166"/>
      <c r="K1922" s="166"/>
      <c r="R1922" s="163"/>
      <c r="S1922" s="163"/>
    </row>
    <row r="1923">
      <c r="A1923" s="148"/>
      <c r="B1923" s="75"/>
      <c r="C1923" s="75"/>
      <c r="D1923" s="75"/>
      <c r="E1923" s="75"/>
      <c r="F1923" s="75"/>
      <c r="G1923" s="75"/>
      <c r="H1923" s="75"/>
      <c r="I1923" s="75"/>
      <c r="J1923" s="166"/>
      <c r="K1923" s="166"/>
      <c r="R1923" s="173"/>
      <c r="S1923" s="173"/>
    </row>
    <row r="1924">
      <c r="A1924" s="148"/>
      <c r="B1924" s="75"/>
      <c r="C1924" s="75"/>
      <c r="D1924" s="75"/>
      <c r="E1924" s="75"/>
      <c r="F1924" s="75"/>
      <c r="G1924" s="75"/>
      <c r="H1924" s="75"/>
      <c r="I1924" s="75"/>
      <c r="J1924" s="166"/>
      <c r="K1924" s="166"/>
      <c r="R1924" s="157"/>
      <c r="S1924" s="157"/>
    </row>
    <row r="1925">
      <c r="A1925" s="148"/>
      <c r="B1925" s="75"/>
      <c r="C1925" s="75"/>
      <c r="D1925" s="75"/>
      <c r="E1925" s="75"/>
      <c r="F1925" s="75"/>
      <c r="G1925" s="75"/>
      <c r="H1925" s="75"/>
      <c r="I1925" s="75"/>
      <c r="J1925" s="166"/>
      <c r="K1925" s="166"/>
      <c r="R1925" s="163"/>
      <c r="S1925" s="163"/>
    </row>
    <row r="1926">
      <c r="A1926" s="148"/>
      <c r="B1926" s="75"/>
      <c r="C1926" s="75"/>
      <c r="D1926" s="75"/>
      <c r="E1926" s="75"/>
      <c r="F1926" s="75"/>
      <c r="G1926" s="75"/>
      <c r="H1926" s="75"/>
      <c r="I1926" s="75"/>
      <c r="J1926" s="166"/>
      <c r="K1926" s="166"/>
      <c r="R1926" s="163"/>
      <c r="S1926" s="163"/>
    </row>
    <row r="1927">
      <c r="A1927" s="148"/>
      <c r="B1927" s="75"/>
      <c r="C1927" s="75"/>
      <c r="D1927" s="75"/>
      <c r="E1927" s="75"/>
      <c r="F1927" s="75"/>
      <c r="G1927" s="75"/>
      <c r="H1927" s="75"/>
      <c r="I1927" s="75"/>
      <c r="J1927" s="166"/>
      <c r="K1927" s="166"/>
      <c r="R1927" s="163"/>
      <c r="S1927" s="163"/>
    </row>
    <row r="1928">
      <c r="A1928" s="148"/>
      <c r="B1928" s="75"/>
      <c r="C1928" s="75"/>
      <c r="D1928" s="75"/>
      <c r="E1928" s="75"/>
      <c r="F1928" s="75"/>
      <c r="G1928" s="75"/>
      <c r="H1928" s="75"/>
      <c r="I1928" s="75"/>
      <c r="J1928" s="166"/>
      <c r="K1928" s="166"/>
      <c r="R1928" s="163"/>
      <c r="S1928" s="163"/>
    </row>
    <row r="1929">
      <c r="A1929" s="148"/>
      <c r="B1929" s="75"/>
      <c r="C1929" s="75"/>
      <c r="D1929" s="75"/>
      <c r="E1929" s="75"/>
      <c r="F1929" s="75"/>
      <c r="G1929" s="75"/>
      <c r="H1929" s="75"/>
      <c r="I1929" s="75"/>
      <c r="J1929" s="166"/>
      <c r="K1929" s="166"/>
      <c r="R1929" s="163"/>
      <c r="S1929" s="163"/>
    </row>
    <row r="1930">
      <c r="A1930" s="148"/>
      <c r="B1930" s="75"/>
      <c r="C1930" s="75"/>
      <c r="D1930" s="75"/>
      <c r="E1930" s="75"/>
      <c r="F1930" s="75"/>
      <c r="G1930" s="75"/>
      <c r="H1930" s="75"/>
      <c r="I1930" s="75"/>
      <c r="J1930" s="166"/>
      <c r="K1930" s="166"/>
      <c r="R1930" s="163"/>
      <c r="S1930" s="163"/>
    </row>
    <row r="1931">
      <c r="A1931" s="148"/>
      <c r="B1931" s="75"/>
      <c r="C1931" s="75"/>
      <c r="D1931" s="75"/>
      <c r="E1931" s="75"/>
      <c r="F1931" s="75"/>
      <c r="G1931" s="75"/>
      <c r="H1931" s="75"/>
      <c r="I1931" s="75"/>
      <c r="J1931" s="166"/>
      <c r="K1931" s="166"/>
      <c r="R1931" s="163"/>
      <c r="S1931" s="163"/>
    </row>
    <row r="1932">
      <c r="A1932" s="148"/>
      <c r="B1932" s="75"/>
      <c r="C1932" s="75"/>
      <c r="D1932" s="75"/>
      <c r="E1932" s="75"/>
      <c r="F1932" s="75"/>
      <c r="G1932" s="75"/>
      <c r="H1932" s="75"/>
      <c r="I1932" s="75"/>
      <c r="J1932" s="166"/>
      <c r="K1932" s="166"/>
      <c r="R1932" s="163"/>
      <c r="S1932" s="163"/>
    </row>
    <row r="1933">
      <c r="A1933" s="148"/>
      <c r="B1933" s="75"/>
      <c r="C1933" s="75"/>
      <c r="D1933" s="75"/>
      <c r="E1933" s="75"/>
      <c r="F1933" s="75"/>
      <c r="G1933" s="75"/>
      <c r="H1933" s="75"/>
      <c r="I1933" s="75"/>
      <c r="J1933" s="166"/>
      <c r="K1933" s="166"/>
      <c r="R1933" s="163"/>
      <c r="S1933" s="163"/>
    </row>
    <row r="1934">
      <c r="A1934" s="148"/>
      <c r="B1934" s="75"/>
      <c r="C1934" s="75"/>
      <c r="D1934" s="75"/>
      <c r="E1934" s="75"/>
      <c r="F1934" s="75"/>
      <c r="G1934" s="75"/>
      <c r="H1934" s="75"/>
      <c r="I1934" s="75"/>
      <c r="J1934" s="166"/>
      <c r="K1934" s="166"/>
      <c r="R1934" s="163"/>
      <c r="S1934" s="163"/>
    </row>
    <row r="1935">
      <c r="A1935" s="148"/>
      <c r="B1935" s="75"/>
      <c r="C1935" s="75"/>
      <c r="D1935" s="75"/>
      <c r="E1935" s="75"/>
      <c r="F1935" s="75"/>
      <c r="G1935" s="75"/>
      <c r="H1935" s="75"/>
      <c r="I1935" s="75"/>
      <c r="J1935" s="166"/>
      <c r="K1935" s="166"/>
      <c r="R1935" s="173"/>
      <c r="S1935" s="173"/>
    </row>
    <row r="1936">
      <c r="A1936" s="148"/>
      <c r="B1936" s="75"/>
      <c r="C1936" s="75"/>
      <c r="D1936" s="75"/>
      <c r="E1936" s="75"/>
      <c r="F1936" s="75"/>
      <c r="G1936" s="75"/>
      <c r="H1936" s="75"/>
      <c r="I1936" s="75"/>
      <c r="J1936" s="166"/>
      <c r="K1936" s="166"/>
      <c r="R1936" s="157"/>
      <c r="S1936" s="157"/>
    </row>
    <row r="1937">
      <c r="A1937" s="148"/>
      <c r="B1937" s="75"/>
      <c r="C1937" s="75"/>
      <c r="D1937" s="75"/>
      <c r="E1937" s="75"/>
      <c r="F1937" s="75"/>
      <c r="G1937" s="75"/>
      <c r="H1937" s="75"/>
      <c r="I1937" s="75"/>
      <c r="J1937" s="166"/>
      <c r="K1937" s="166"/>
      <c r="R1937" s="163"/>
      <c r="S1937" s="163"/>
    </row>
    <row r="1938">
      <c r="A1938" s="148"/>
      <c r="B1938" s="75"/>
      <c r="C1938" s="75"/>
      <c r="D1938" s="75"/>
      <c r="E1938" s="75"/>
      <c r="F1938" s="75"/>
      <c r="G1938" s="75"/>
      <c r="H1938" s="75"/>
      <c r="I1938" s="75"/>
      <c r="J1938" s="166"/>
      <c r="K1938" s="166"/>
      <c r="R1938" s="163"/>
      <c r="S1938" s="163"/>
    </row>
    <row r="1939">
      <c r="A1939" s="148"/>
      <c r="B1939" s="75"/>
      <c r="C1939" s="75"/>
      <c r="D1939" s="75"/>
      <c r="E1939" s="75"/>
      <c r="F1939" s="75"/>
      <c r="G1939" s="75"/>
      <c r="H1939" s="75"/>
      <c r="I1939" s="75"/>
      <c r="J1939" s="166"/>
      <c r="K1939" s="166"/>
      <c r="R1939" s="163"/>
      <c r="S1939" s="163"/>
    </row>
    <row r="1940">
      <c r="A1940" s="148"/>
      <c r="B1940" s="75"/>
      <c r="C1940" s="75"/>
      <c r="D1940" s="75"/>
      <c r="E1940" s="75"/>
      <c r="F1940" s="75"/>
      <c r="G1940" s="75"/>
      <c r="H1940" s="75"/>
      <c r="I1940" s="75"/>
      <c r="J1940" s="166"/>
      <c r="K1940" s="166"/>
      <c r="R1940" s="163"/>
      <c r="S1940" s="163"/>
    </row>
    <row r="1941">
      <c r="A1941" s="148"/>
      <c r="B1941" s="75"/>
      <c r="C1941" s="75"/>
      <c r="D1941" s="75"/>
      <c r="E1941" s="75"/>
      <c r="F1941" s="75"/>
      <c r="G1941" s="75"/>
      <c r="H1941" s="75"/>
      <c r="I1941" s="75"/>
      <c r="J1941" s="166"/>
      <c r="K1941" s="166"/>
      <c r="R1941" s="163"/>
      <c r="S1941" s="163"/>
    </row>
    <row r="1942">
      <c r="A1942" s="148"/>
      <c r="B1942" s="75"/>
      <c r="C1942" s="75"/>
      <c r="D1942" s="75"/>
      <c r="E1942" s="75"/>
      <c r="F1942" s="75"/>
      <c r="G1942" s="75"/>
      <c r="H1942" s="75"/>
      <c r="I1942" s="75"/>
      <c r="J1942" s="166"/>
      <c r="K1942" s="166"/>
      <c r="R1942" s="163"/>
      <c r="S1942" s="163"/>
    </row>
    <row r="1943">
      <c r="A1943" s="148"/>
      <c r="B1943" s="75"/>
      <c r="C1943" s="75"/>
      <c r="D1943" s="75"/>
      <c r="E1943" s="75"/>
      <c r="F1943" s="75"/>
      <c r="G1943" s="75"/>
      <c r="H1943" s="75"/>
      <c r="I1943" s="75"/>
      <c r="J1943" s="166"/>
      <c r="K1943" s="166"/>
      <c r="R1943" s="163"/>
      <c r="S1943" s="163"/>
    </row>
    <row r="1944">
      <c r="A1944" s="148"/>
      <c r="B1944" s="75"/>
      <c r="C1944" s="75"/>
      <c r="D1944" s="75"/>
      <c r="E1944" s="75"/>
      <c r="F1944" s="75"/>
      <c r="G1944" s="75"/>
      <c r="H1944" s="75"/>
      <c r="I1944" s="75"/>
      <c r="J1944" s="166"/>
      <c r="K1944" s="166"/>
      <c r="R1944" s="163"/>
      <c r="S1944" s="163"/>
    </row>
    <row r="1945">
      <c r="A1945" s="148"/>
      <c r="B1945" s="75"/>
      <c r="C1945" s="75"/>
      <c r="D1945" s="75"/>
      <c r="E1945" s="75"/>
      <c r="F1945" s="75"/>
      <c r="G1945" s="75"/>
      <c r="H1945" s="75"/>
      <c r="I1945" s="75"/>
      <c r="J1945" s="166"/>
      <c r="K1945" s="166"/>
      <c r="R1945" s="163"/>
      <c r="S1945" s="163"/>
    </row>
    <row r="1946">
      <c r="A1946" s="148"/>
      <c r="B1946" s="75"/>
      <c r="C1946" s="75"/>
      <c r="D1946" s="75"/>
      <c r="E1946" s="75"/>
      <c r="F1946" s="75"/>
      <c r="G1946" s="75"/>
      <c r="H1946" s="75"/>
      <c r="I1946" s="75"/>
      <c r="J1946" s="166"/>
      <c r="K1946" s="166"/>
      <c r="R1946" s="163"/>
      <c r="S1946" s="163"/>
    </row>
    <row r="1947">
      <c r="A1947" s="148"/>
      <c r="B1947" s="75"/>
      <c r="C1947" s="75"/>
      <c r="D1947" s="75"/>
      <c r="E1947" s="75"/>
      <c r="F1947" s="75"/>
      <c r="G1947" s="75"/>
      <c r="H1947" s="75"/>
      <c r="I1947" s="75"/>
      <c r="J1947" s="166"/>
      <c r="K1947" s="166"/>
      <c r="R1947" s="173"/>
      <c r="S1947" s="173"/>
    </row>
    <row r="1948">
      <c r="A1948" s="148"/>
      <c r="B1948" s="75"/>
      <c r="C1948" s="75"/>
      <c r="D1948" s="75"/>
      <c r="E1948" s="75"/>
      <c r="F1948" s="75"/>
      <c r="G1948" s="75"/>
      <c r="H1948" s="75"/>
      <c r="I1948" s="75"/>
      <c r="J1948" s="166"/>
      <c r="K1948" s="166"/>
      <c r="R1948" s="157"/>
      <c r="S1948" s="157"/>
    </row>
    <row r="1949">
      <c r="A1949" s="148"/>
      <c r="B1949" s="75"/>
      <c r="C1949" s="75"/>
      <c r="D1949" s="75"/>
      <c r="E1949" s="75"/>
      <c r="F1949" s="75"/>
      <c r="G1949" s="75"/>
      <c r="H1949" s="75"/>
      <c r="I1949" s="75"/>
      <c r="J1949" s="166"/>
      <c r="K1949" s="166"/>
      <c r="R1949" s="163"/>
      <c r="S1949" s="163"/>
    </row>
    <row r="1950">
      <c r="A1950" s="148"/>
      <c r="B1950" s="75"/>
      <c r="C1950" s="75"/>
      <c r="D1950" s="75"/>
      <c r="E1950" s="75"/>
      <c r="F1950" s="75"/>
      <c r="G1950" s="75"/>
      <c r="H1950" s="75"/>
      <c r="I1950" s="75"/>
      <c r="J1950" s="166"/>
      <c r="K1950" s="166"/>
      <c r="R1950" s="163"/>
      <c r="S1950" s="163"/>
    </row>
    <row r="1951">
      <c r="A1951" s="148"/>
      <c r="B1951" s="75"/>
      <c r="C1951" s="75"/>
      <c r="D1951" s="75"/>
      <c r="E1951" s="75"/>
      <c r="F1951" s="75"/>
      <c r="G1951" s="75"/>
      <c r="H1951" s="75"/>
      <c r="I1951" s="75"/>
      <c r="J1951" s="166"/>
      <c r="K1951" s="166"/>
      <c r="R1951" s="163"/>
      <c r="S1951" s="163"/>
    </row>
    <row r="1952">
      <c r="A1952" s="148"/>
      <c r="B1952" s="75"/>
      <c r="C1952" s="75"/>
      <c r="D1952" s="75"/>
      <c r="E1952" s="75"/>
      <c r="F1952" s="75"/>
      <c r="G1952" s="75"/>
      <c r="H1952" s="75"/>
      <c r="I1952" s="75"/>
      <c r="J1952" s="166"/>
      <c r="K1952" s="166"/>
      <c r="R1952" s="163"/>
      <c r="S1952" s="163"/>
    </row>
    <row r="1953">
      <c r="A1953" s="148"/>
      <c r="B1953" s="75"/>
      <c r="C1953" s="75"/>
      <c r="D1953" s="75"/>
      <c r="E1953" s="75"/>
      <c r="F1953" s="75"/>
      <c r="G1953" s="75"/>
      <c r="H1953" s="75"/>
      <c r="I1953" s="75"/>
      <c r="J1953" s="166"/>
      <c r="K1953" s="166"/>
      <c r="R1953" s="163"/>
      <c r="S1953" s="163"/>
    </row>
    <row r="1954">
      <c r="A1954" s="148"/>
      <c r="B1954" s="75"/>
      <c r="C1954" s="75"/>
      <c r="D1954" s="75"/>
      <c r="E1954" s="75"/>
      <c r="F1954" s="75"/>
      <c r="G1954" s="75"/>
      <c r="H1954" s="75"/>
      <c r="I1954" s="75"/>
      <c r="J1954" s="166"/>
      <c r="K1954" s="166"/>
      <c r="R1954" s="163"/>
      <c r="S1954" s="163"/>
    </row>
    <row r="1955">
      <c r="A1955" s="148"/>
      <c r="B1955" s="75"/>
      <c r="C1955" s="75"/>
      <c r="D1955" s="75"/>
      <c r="E1955" s="75"/>
      <c r="F1955" s="75"/>
      <c r="G1955" s="75"/>
      <c r="H1955" s="75"/>
      <c r="I1955" s="75"/>
      <c r="J1955" s="166"/>
      <c r="K1955" s="166"/>
      <c r="R1955" s="163"/>
      <c r="S1955" s="163"/>
    </row>
    <row r="1956">
      <c r="A1956" s="148"/>
      <c r="B1956" s="75"/>
      <c r="C1956" s="75"/>
      <c r="D1956" s="75"/>
      <c r="E1956" s="75"/>
      <c r="F1956" s="75"/>
      <c r="G1956" s="75"/>
      <c r="H1956" s="75"/>
      <c r="I1956" s="75"/>
      <c r="J1956" s="166"/>
      <c r="K1956" s="166"/>
      <c r="R1956" s="163"/>
      <c r="S1956" s="163"/>
    </row>
    <row r="1957">
      <c r="A1957" s="148"/>
      <c r="B1957" s="75"/>
      <c r="C1957" s="75"/>
      <c r="D1957" s="75"/>
      <c r="E1957" s="75"/>
      <c r="F1957" s="75"/>
      <c r="G1957" s="75"/>
      <c r="H1957" s="75"/>
      <c r="I1957" s="75"/>
      <c r="J1957" s="166"/>
      <c r="K1957" s="166"/>
      <c r="R1957" s="163"/>
      <c r="S1957" s="163"/>
    </row>
    <row r="1958">
      <c r="A1958" s="148"/>
      <c r="B1958" s="75"/>
      <c r="C1958" s="75"/>
      <c r="D1958" s="75"/>
      <c r="E1958" s="75"/>
      <c r="F1958" s="75"/>
      <c r="G1958" s="75"/>
      <c r="H1958" s="75"/>
      <c r="I1958" s="75"/>
      <c r="J1958" s="166"/>
      <c r="K1958" s="166"/>
      <c r="R1958" s="163"/>
      <c r="S1958" s="163"/>
    </row>
    <row r="1959">
      <c r="A1959" s="148"/>
      <c r="B1959" s="75"/>
      <c r="C1959" s="75"/>
      <c r="D1959" s="75"/>
      <c r="E1959" s="75"/>
      <c r="F1959" s="75"/>
      <c r="G1959" s="75"/>
      <c r="H1959" s="75"/>
      <c r="I1959" s="75"/>
      <c r="J1959" s="166"/>
      <c r="K1959" s="166"/>
      <c r="R1959" s="173"/>
      <c r="S1959" s="173"/>
    </row>
    <row r="1960">
      <c r="A1960" s="148"/>
      <c r="B1960" s="75"/>
      <c r="C1960" s="75"/>
      <c r="D1960" s="75"/>
      <c r="E1960" s="75"/>
      <c r="F1960" s="75"/>
      <c r="G1960" s="75"/>
      <c r="H1960" s="75"/>
      <c r="I1960" s="75"/>
      <c r="J1960" s="166"/>
      <c r="K1960" s="166"/>
      <c r="R1960" s="157"/>
      <c r="S1960" s="157"/>
    </row>
    <row r="1961">
      <c r="A1961" s="148"/>
      <c r="B1961" s="75"/>
      <c r="C1961" s="75"/>
      <c r="D1961" s="75"/>
      <c r="E1961" s="75"/>
      <c r="F1961" s="75"/>
      <c r="G1961" s="75"/>
      <c r="H1961" s="75"/>
      <c r="I1961" s="75"/>
      <c r="J1961" s="166"/>
      <c r="K1961" s="166"/>
      <c r="R1961" s="163"/>
      <c r="S1961" s="163"/>
    </row>
    <row r="1962">
      <c r="A1962" s="148"/>
      <c r="B1962" s="75"/>
      <c r="C1962" s="75"/>
      <c r="D1962" s="75"/>
      <c r="E1962" s="75"/>
      <c r="F1962" s="75"/>
      <c r="G1962" s="75"/>
      <c r="H1962" s="75"/>
      <c r="I1962" s="75"/>
      <c r="J1962" s="166"/>
      <c r="K1962" s="166"/>
      <c r="R1962" s="163"/>
      <c r="S1962" s="163"/>
    </row>
    <row r="1963">
      <c r="A1963" s="148"/>
      <c r="B1963" s="75"/>
      <c r="C1963" s="75"/>
      <c r="D1963" s="75"/>
      <c r="E1963" s="75"/>
      <c r="F1963" s="75"/>
      <c r="G1963" s="75"/>
      <c r="H1963" s="75"/>
      <c r="I1963" s="75"/>
      <c r="J1963" s="166"/>
      <c r="K1963" s="166"/>
      <c r="R1963" s="163"/>
      <c r="S1963" s="163"/>
    </row>
    <row r="1964">
      <c r="A1964" s="148"/>
      <c r="B1964" s="75"/>
      <c r="C1964" s="75"/>
      <c r="D1964" s="75"/>
      <c r="E1964" s="75"/>
      <c r="F1964" s="75"/>
      <c r="G1964" s="75"/>
      <c r="H1964" s="75"/>
      <c r="I1964" s="75"/>
      <c r="J1964" s="166"/>
      <c r="K1964" s="166"/>
      <c r="R1964" s="163"/>
      <c r="S1964" s="163"/>
    </row>
    <row r="1965">
      <c r="A1965" s="148"/>
      <c r="B1965" s="75"/>
      <c r="C1965" s="75"/>
      <c r="D1965" s="75"/>
      <c r="E1965" s="75"/>
      <c r="F1965" s="75"/>
      <c r="G1965" s="75"/>
      <c r="H1965" s="75"/>
      <c r="I1965" s="75"/>
      <c r="J1965" s="166"/>
      <c r="K1965" s="166"/>
      <c r="R1965" s="163"/>
      <c r="S1965" s="163"/>
    </row>
    <row r="1966">
      <c r="A1966" s="148"/>
      <c r="B1966" s="75"/>
      <c r="C1966" s="75"/>
      <c r="D1966" s="75"/>
      <c r="E1966" s="75"/>
      <c r="F1966" s="75"/>
      <c r="G1966" s="75"/>
      <c r="H1966" s="75"/>
      <c r="I1966" s="75"/>
      <c r="J1966" s="166"/>
      <c r="K1966" s="166"/>
      <c r="R1966" s="163"/>
      <c r="S1966" s="163"/>
    </row>
    <row r="1967">
      <c r="A1967" s="148"/>
      <c r="B1967" s="75"/>
      <c r="C1967" s="75"/>
      <c r="D1967" s="75"/>
      <c r="E1967" s="75"/>
      <c r="F1967" s="75"/>
      <c r="G1967" s="75"/>
      <c r="H1967" s="75"/>
      <c r="I1967" s="75"/>
      <c r="J1967" s="166"/>
      <c r="K1967" s="166"/>
      <c r="R1967" s="163"/>
      <c r="S1967" s="163"/>
    </row>
    <row r="1968">
      <c r="A1968" s="148"/>
      <c r="B1968" s="75"/>
      <c r="C1968" s="75"/>
      <c r="D1968" s="75"/>
      <c r="E1968" s="75"/>
      <c r="F1968" s="75"/>
      <c r="G1968" s="75"/>
      <c r="H1968" s="75"/>
      <c r="I1968" s="75"/>
      <c r="J1968" s="166"/>
      <c r="K1968" s="166"/>
      <c r="R1968" s="163"/>
      <c r="S1968" s="163"/>
    </row>
    <row r="1969">
      <c r="A1969" s="148"/>
      <c r="B1969" s="75"/>
      <c r="C1969" s="75"/>
      <c r="D1969" s="75"/>
      <c r="E1969" s="75"/>
      <c r="F1969" s="75"/>
      <c r="G1969" s="75"/>
      <c r="H1969" s="75"/>
      <c r="I1969" s="75"/>
      <c r="J1969" s="166"/>
      <c r="K1969" s="166"/>
      <c r="R1969" s="163"/>
      <c r="S1969" s="163"/>
    </row>
    <row r="1970">
      <c r="A1970" s="148"/>
      <c r="B1970" s="75"/>
      <c r="C1970" s="75"/>
      <c r="D1970" s="75"/>
      <c r="E1970" s="75"/>
      <c r="F1970" s="75"/>
      <c r="G1970" s="75"/>
      <c r="H1970" s="75"/>
      <c r="I1970" s="75"/>
      <c r="J1970" s="166"/>
      <c r="K1970" s="166"/>
      <c r="R1970" s="163"/>
      <c r="S1970" s="163"/>
    </row>
    <row r="1971">
      <c r="A1971" s="148"/>
      <c r="B1971" s="75"/>
      <c r="C1971" s="75"/>
      <c r="D1971" s="75"/>
      <c r="E1971" s="75"/>
      <c r="F1971" s="75"/>
      <c r="G1971" s="75"/>
      <c r="H1971" s="75"/>
      <c r="I1971" s="75"/>
      <c r="J1971" s="166"/>
      <c r="K1971" s="166"/>
      <c r="R1971" s="173"/>
      <c r="S1971" s="173"/>
    </row>
    <row r="1972">
      <c r="A1972" s="148"/>
      <c r="B1972" s="75"/>
      <c r="C1972" s="75"/>
      <c r="D1972" s="75"/>
      <c r="E1972" s="75"/>
      <c r="F1972" s="75"/>
      <c r="G1972" s="75"/>
      <c r="H1972" s="75"/>
      <c r="I1972" s="75"/>
      <c r="J1972" s="166"/>
      <c r="K1972" s="166"/>
      <c r="R1972" s="157"/>
      <c r="S1972" s="157"/>
    </row>
    <row r="1973">
      <c r="A1973" s="148"/>
      <c r="B1973" s="75"/>
      <c r="C1973" s="75"/>
      <c r="D1973" s="75"/>
      <c r="E1973" s="75"/>
      <c r="F1973" s="75"/>
      <c r="G1973" s="75"/>
      <c r="H1973" s="75"/>
      <c r="I1973" s="75"/>
      <c r="J1973" s="166"/>
      <c r="K1973" s="166"/>
      <c r="R1973" s="163"/>
      <c r="S1973" s="163"/>
    </row>
    <row r="1974">
      <c r="A1974" s="148"/>
      <c r="B1974" s="75"/>
      <c r="C1974" s="75"/>
      <c r="D1974" s="75"/>
      <c r="E1974" s="75"/>
      <c r="F1974" s="75"/>
      <c r="G1974" s="75"/>
      <c r="H1974" s="75"/>
      <c r="I1974" s="75"/>
      <c r="J1974" s="166"/>
      <c r="K1974" s="166"/>
      <c r="R1974" s="163"/>
      <c r="S1974" s="163"/>
    </row>
    <row r="1975">
      <c r="A1975" s="148"/>
      <c r="B1975" s="75"/>
      <c r="C1975" s="75"/>
      <c r="D1975" s="75"/>
      <c r="E1975" s="75"/>
      <c r="F1975" s="75"/>
      <c r="G1975" s="75"/>
      <c r="H1975" s="75"/>
      <c r="I1975" s="75"/>
      <c r="J1975" s="166"/>
      <c r="K1975" s="166"/>
      <c r="R1975" s="163"/>
      <c r="S1975" s="163"/>
    </row>
    <row r="1976">
      <c r="A1976" s="148"/>
      <c r="B1976" s="75"/>
      <c r="C1976" s="75"/>
      <c r="D1976" s="75"/>
      <c r="E1976" s="75"/>
      <c r="F1976" s="75"/>
      <c r="G1976" s="75"/>
      <c r="H1976" s="75"/>
      <c r="I1976" s="75"/>
      <c r="J1976" s="166"/>
      <c r="K1976" s="166"/>
      <c r="R1976" s="163"/>
      <c r="S1976" s="163"/>
    </row>
    <row r="1977">
      <c r="A1977" s="148"/>
      <c r="B1977" s="75"/>
      <c r="C1977" s="75"/>
      <c r="D1977" s="75"/>
      <c r="E1977" s="75"/>
      <c r="F1977" s="75"/>
      <c r="G1977" s="75"/>
      <c r="H1977" s="75"/>
      <c r="I1977" s="75"/>
      <c r="J1977" s="166"/>
      <c r="K1977" s="166"/>
      <c r="R1977" s="163"/>
      <c r="S1977" s="163"/>
    </row>
    <row r="1978">
      <c r="A1978" s="148"/>
      <c r="B1978" s="75"/>
      <c r="C1978" s="75"/>
      <c r="D1978" s="75"/>
      <c r="E1978" s="75"/>
      <c r="F1978" s="75"/>
      <c r="G1978" s="75"/>
      <c r="H1978" s="75"/>
      <c r="I1978" s="75"/>
      <c r="J1978" s="166"/>
      <c r="K1978" s="166"/>
      <c r="R1978" s="163"/>
      <c r="S1978" s="163"/>
    </row>
    <row r="1979">
      <c r="A1979" s="148"/>
      <c r="B1979" s="75"/>
      <c r="C1979" s="75"/>
      <c r="D1979" s="75"/>
      <c r="E1979" s="75"/>
      <c r="F1979" s="75"/>
      <c r="G1979" s="75"/>
      <c r="H1979" s="75"/>
      <c r="I1979" s="75"/>
      <c r="J1979" s="166"/>
      <c r="K1979" s="166"/>
      <c r="R1979" s="163"/>
      <c r="S1979" s="163"/>
    </row>
    <row r="1980">
      <c r="A1980" s="148"/>
      <c r="B1980" s="75"/>
      <c r="C1980" s="75"/>
      <c r="D1980" s="75"/>
      <c r="E1980" s="75"/>
      <c r="F1980" s="75"/>
      <c r="G1980" s="75"/>
      <c r="H1980" s="75"/>
      <c r="I1980" s="75"/>
      <c r="J1980" s="166"/>
      <c r="K1980" s="166"/>
      <c r="R1980" s="163"/>
      <c r="S1980" s="163"/>
    </row>
    <row r="1981">
      <c r="A1981" s="148"/>
      <c r="B1981" s="75"/>
      <c r="C1981" s="75"/>
      <c r="D1981" s="75"/>
      <c r="E1981" s="75"/>
      <c r="F1981" s="75"/>
      <c r="G1981" s="75"/>
      <c r="H1981" s="75"/>
      <c r="I1981" s="75"/>
      <c r="J1981" s="166"/>
      <c r="K1981" s="166"/>
      <c r="R1981" s="163"/>
      <c r="S1981" s="163"/>
    </row>
    <row r="1982">
      <c r="A1982" s="148"/>
      <c r="B1982" s="75"/>
      <c r="C1982" s="75"/>
      <c r="D1982" s="75"/>
      <c r="E1982" s="75"/>
      <c r="F1982" s="75"/>
      <c r="G1982" s="75"/>
      <c r="H1982" s="75"/>
      <c r="I1982" s="75"/>
      <c r="J1982" s="166"/>
      <c r="K1982" s="166"/>
      <c r="R1982" s="163"/>
      <c r="S1982" s="163"/>
    </row>
    <row r="1983">
      <c r="A1983" s="148"/>
      <c r="B1983" s="75"/>
      <c r="C1983" s="75"/>
      <c r="D1983" s="75"/>
      <c r="E1983" s="75"/>
      <c r="F1983" s="75"/>
      <c r="G1983" s="75"/>
      <c r="H1983" s="75"/>
      <c r="I1983" s="75"/>
      <c r="J1983" s="166"/>
      <c r="K1983" s="166"/>
      <c r="R1983" s="173"/>
      <c r="S1983" s="173"/>
    </row>
    <row r="1984">
      <c r="A1984" s="148"/>
      <c r="B1984" s="75"/>
      <c r="C1984" s="75"/>
      <c r="D1984" s="75"/>
      <c r="E1984" s="75"/>
      <c r="F1984" s="75"/>
      <c r="G1984" s="75"/>
      <c r="H1984" s="75"/>
      <c r="I1984" s="75"/>
      <c r="J1984" s="166"/>
      <c r="K1984" s="166"/>
      <c r="R1984" s="157"/>
      <c r="S1984" s="157"/>
    </row>
    <row r="1985">
      <c r="A1985" s="148"/>
      <c r="B1985" s="75"/>
      <c r="C1985" s="75"/>
      <c r="D1985" s="75"/>
      <c r="E1985" s="75"/>
      <c r="F1985" s="75"/>
      <c r="G1985" s="75"/>
      <c r="H1985" s="75"/>
      <c r="I1985" s="75"/>
      <c r="J1985" s="166"/>
      <c r="K1985" s="166"/>
      <c r="R1985" s="163"/>
      <c r="S1985" s="163"/>
    </row>
    <row r="1986">
      <c r="A1986" s="148"/>
      <c r="B1986" s="75"/>
      <c r="C1986" s="75"/>
      <c r="D1986" s="75"/>
      <c r="E1986" s="75"/>
      <c r="F1986" s="75"/>
      <c r="G1986" s="75"/>
      <c r="H1986" s="75"/>
      <c r="I1986" s="75"/>
      <c r="J1986" s="166"/>
      <c r="K1986" s="166"/>
      <c r="R1986" s="163"/>
      <c r="S1986" s="163"/>
    </row>
    <row r="1987">
      <c r="A1987" s="148"/>
      <c r="B1987" s="75"/>
      <c r="C1987" s="75"/>
      <c r="D1987" s="75"/>
      <c r="E1987" s="75"/>
      <c r="F1987" s="75"/>
      <c r="G1987" s="75"/>
      <c r="H1987" s="75"/>
      <c r="I1987" s="75"/>
      <c r="J1987" s="166"/>
      <c r="K1987" s="166"/>
      <c r="R1987" s="163"/>
      <c r="S1987" s="163"/>
    </row>
    <row r="1988">
      <c r="A1988" s="148"/>
      <c r="B1988" s="75"/>
      <c r="C1988" s="75"/>
      <c r="D1988" s="75"/>
      <c r="E1988" s="75"/>
      <c r="F1988" s="75"/>
      <c r="G1988" s="75"/>
      <c r="H1988" s="75"/>
      <c r="I1988" s="75"/>
      <c r="J1988" s="166"/>
      <c r="K1988" s="166"/>
      <c r="R1988" s="163"/>
      <c r="S1988" s="163"/>
    </row>
    <row r="1989">
      <c r="A1989" s="148"/>
      <c r="B1989" s="75"/>
      <c r="C1989" s="75"/>
      <c r="D1989" s="75"/>
      <c r="E1989" s="75"/>
      <c r="F1989" s="75"/>
      <c r="G1989" s="75"/>
      <c r="H1989" s="75"/>
      <c r="I1989" s="75"/>
      <c r="J1989" s="166"/>
      <c r="K1989" s="166"/>
      <c r="R1989" s="163"/>
      <c r="S1989" s="163"/>
    </row>
    <row r="1990">
      <c r="A1990" s="148"/>
      <c r="B1990" s="75"/>
      <c r="C1990" s="75"/>
      <c r="D1990" s="75"/>
      <c r="E1990" s="75"/>
      <c r="F1990" s="75"/>
      <c r="G1990" s="75"/>
      <c r="H1990" s="75"/>
      <c r="I1990" s="75"/>
      <c r="J1990" s="166"/>
      <c r="K1990" s="166"/>
      <c r="R1990" s="163"/>
      <c r="S1990" s="163"/>
    </row>
    <row r="1991">
      <c r="A1991" s="148"/>
      <c r="B1991" s="75"/>
      <c r="C1991" s="75"/>
      <c r="D1991" s="75"/>
      <c r="E1991" s="75"/>
      <c r="F1991" s="75"/>
      <c r="G1991" s="75"/>
      <c r="H1991" s="75"/>
      <c r="I1991" s="75"/>
      <c r="J1991" s="166"/>
      <c r="K1991" s="166"/>
      <c r="R1991" s="163"/>
      <c r="S1991" s="163"/>
    </row>
    <row r="1992">
      <c r="A1992" s="148"/>
      <c r="B1992" s="75"/>
      <c r="C1992" s="75"/>
      <c r="D1992" s="75"/>
      <c r="E1992" s="75"/>
      <c r="F1992" s="75"/>
      <c r="G1992" s="75"/>
      <c r="H1992" s="75"/>
      <c r="I1992" s="75"/>
      <c r="J1992" s="166"/>
      <c r="K1992" s="166"/>
      <c r="R1992" s="163"/>
      <c r="S1992" s="163"/>
    </row>
    <row r="1993">
      <c r="A1993" s="148"/>
      <c r="B1993" s="75"/>
      <c r="C1993" s="75"/>
      <c r="D1993" s="75"/>
      <c r="E1993" s="75"/>
      <c r="F1993" s="75"/>
      <c r="G1993" s="75"/>
      <c r="H1993" s="75"/>
      <c r="I1993" s="75"/>
      <c r="J1993" s="166"/>
      <c r="K1993" s="166"/>
      <c r="R1993" s="163"/>
      <c r="S1993" s="163"/>
    </row>
    <row r="1994">
      <c r="A1994" s="148"/>
      <c r="B1994" s="75"/>
      <c r="C1994" s="75"/>
      <c r="D1994" s="75"/>
      <c r="E1994" s="75"/>
      <c r="F1994" s="75"/>
      <c r="G1994" s="75"/>
      <c r="H1994" s="75"/>
      <c r="I1994" s="75"/>
      <c r="J1994" s="166"/>
      <c r="K1994" s="166"/>
      <c r="R1994" s="163"/>
      <c r="S1994" s="163"/>
    </row>
    <row r="1995">
      <c r="A1995" s="148"/>
      <c r="B1995" s="75"/>
      <c r="C1995" s="75"/>
      <c r="D1995" s="75"/>
      <c r="E1995" s="75"/>
      <c r="F1995" s="75"/>
      <c r="G1995" s="75"/>
      <c r="H1995" s="75"/>
      <c r="I1995" s="75"/>
      <c r="J1995" s="166"/>
      <c r="K1995" s="166"/>
      <c r="R1995" s="173"/>
      <c r="S1995" s="173"/>
    </row>
    <row r="1996">
      <c r="A1996" s="148"/>
      <c r="B1996" s="75"/>
      <c r="C1996" s="75"/>
      <c r="D1996" s="75"/>
      <c r="E1996" s="75"/>
      <c r="F1996" s="75"/>
      <c r="G1996" s="75"/>
      <c r="H1996" s="75"/>
      <c r="I1996" s="75"/>
      <c r="J1996" s="166"/>
      <c r="K1996" s="166"/>
      <c r="R1996" s="157"/>
      <c r="S1996" s="157"/>
    </row>
    <row r="1997">
      <c r="A1997" s="148"/>
      <c r="B1997" s="75"/>
      <c r="C1997" s="75"/>
      <c r="D1997" s="75"/>
      <c r="E1997" s="75"/>
      <c r="F1997" s="75"/>
      <c r="G1997" s="75"/>
      <c r="H1997" s="75"/>
      <c r="I1997" s="75"/>
      <c r="J1997" s="166"/>
      <c r="K1997" s="166"/>
      <c r="R1997" s="163"/>
      <c r="S1997" s="163"/>
    </row>
    <row r="1998">
      <c r="A1998" s="148"/>
      <c r="B1998" s="75"/>
      <c r="C1998" s="75"/>
      <c r="D1998" s="75"/>
      <c r="E1998" s="75"/>
      <c r="F1998" s="75"/>
      <c r="G1998" s="75"/>
      <c r="H1998" s="75"/>
      <c r="I1998" s="75"/>
      <c r="J1998" s="166"/>
      <c r="K1998" s="166"/>
      <c r="R1998" s="163"/>
      <c r="S1998" s="163"/>
    </row>
    <row r="1999">
      <c r="A1999" s="148"/>
      <c r="B1999" s="75"/>
      <c r="C1999" s="75"/>
      <c r="D1999" s="75"/>
      <c r="E1999" s="75"/>
      <c r="F1999" s="75"/>
      <c r="G1999" s="75"/>
      <c r="H1999" s="75"/>
      <c r="I1999" s="75"/>
      <c r="J1999" s="166"/>
      <c r="K1999" s="166"/>
      <c r="R1999" s="163"/>
      <c r="S1999" s="163"/>
    </row>
    <row r="2000">
      <c r="A2000" s="148"/>
      <c r="B2000" s="75"/>
      <c r="C2000" s="75"/>
      <c r="D2000" s="75"/>
      <c r="E2000" s="75"/>
      <c r="F2000" s="75"/>
      <c r="G2000" s="75"/>
      <c r="H2000" s="75"/>
      <c r="I2000" s="75"/>
      <c r="J2000" s="166"/>
      <c r="K2000" s="166"/>
      <c r="R2000" s="163"/>
      <c r="S2000" s="163"/>
    </row>
    <row r="2001">
      <c r="A2001" s="148"/>
      <c r="B2001" s="75"/>
      <c r="C2001" s="75"/>
      <c r="D2001" s="75"/>
      <c r="E2001" s="75"/>
      <c r="F2001" s="75"/>
      <c r="G2001" s="75"/>
      <c r="H2001" s="75"/>
      <c r="I2001" s="75"/>
      <c r="J2001" s="166"/>
      <c r="K2001" s="166"/>
      <c r="R2001" s="163"/>
      <c r="S2001" s="163"/>
    </row>
    <row r="2002">
      <c r="A2002" s="148"/>
      <c r="B2002" s="75"/>
      <c r="C2002" s="75"/>
      <c r="D2002" s="75"/>
      <c r="E2002" s="75"/>
      <c r="F2002" s="75"/>
      <c r="G2002" s="75"/>
      <c r="H2002" s="75"/>
      <c r="I2002" s="75"/>
      <c r="J2002" s="166"/>
      <c r="K2002" s="166"/>
      <c r="R2002" s="163"/>
      <c r="S2002" s="163"/>
    </row>
    <row r="2003">
      <c r="A2003" s="148"/>
      <c r="B2003" s="75"/>
      <c r="C2003" s="75"/>
      <c r="D2003" s="75"/>
      <c r="E2003" s="75"/>
      <c r="F2003" s="75"/>
      <c r="G2003" s="75"/>
      <c r="H2003" s="75"/>
      <c r="I2003" s="75"/>
      <c r="J2003" s="166"/>
      <c r="K2003" s="166"/>
      <c r="R2003" s="163"/>
      <c r="S2003" s="163"/>
    </row>
    <row r="2004">
      <c r="A2004" s="148"/>
      <c r="B2004" s="75"/>
      <c r="C2004" s="75"/>
      <c r="D2004" s="75"/>
      <c r="E2004" s="75"/>
      <c r="F2004" s="75"/>
      <c r="G2004" s="75"/>
      <c r="H2004" s="75"/>
      <c r="I2004" s="75"/>
      <c r="J2004" s="166"/>
      <c r="K2004" s="166"/>
      <c r="R2004" s="163"/>
      <c r="S2004" s="163"/>
    </row>
    <row r="2005">
      <c r="A2005" s="148"/>
      <c r="B2005" s="75"/>
      <c r="C2005" s="75"/>
      <c r="D2005" s="75"/>
      <c r="E2005" s="75"/>
      <c r="F2005" s="75"/>
      <c r="G2005" s="75"/>
      <c r="H2005" s="75"/>
      <c r="I2005" s="75"/>
      <c r="J2005" s="166"/>
      <c r="K2005" s="166"/>
      <c r="R2005" s="163"/>
      <c r="S2005" s="163"/>
    </row>
    <row r="2006">
      <c r="A2006" s="148"/>
      <c r="B2006" s="75"/>
      <c r="C2006" s="75"/>
      <c r="D2006" s="75"/>
      <c r="E2006" s="75"/>
      <c r="F2006" s="75"/>
      <c r="G2006" s="75"/>
      <c r="H2006" s="75"/>
      <c r="I2006" s="75"/>
      <c r="J2006" s="166"/>
      <c r="K2006" s="166"/>
      <c r="R2006" s="163"/>
      <c r="S2006" s="163"/>
    </row>
    <row r="2007">
      <c r="A2007" s="148"/>
      <c r="B2007" s="75"/>
      <c r="C2007" s="75"/>
      <c r="D2007" s="75"/>
      <c r="E2007" s="75"/>
      <c r="F2007" s="75"/>
      <c r="G2007" s="75"/>
      <c r="H2007" s="75"/>
      <c r="I2007" s="75"/>
      <c r="J2007" s="166"/>
      <c r="K2007" s="166"/>
      <c r="R2007" s="173"/>
      <c r="S2007" s="173"/>
    </row>
    <row r="2008">
      <c r="A2008" s="148"/>
      <c r="B2008" s="75"/>
      <c r="C2008" s="75"/>
      <c r="D2008" s="75"/>
      <c r="E2008" s="75"/>
      <c r="F2008" s="75"/>
      <c r="G2008" s="75"/>
      <c r="H2008" s="75"/>
      <c r="I2008" s="75"/>
      <c r="J2008" s="166"/>
      <c r="K2008" s="166"/>
      <c r="R2008" s="157"/>
      <c r="S2008" s="157"/>
    </row>
    <row r="2009">
      <c r="A2009" s="148"/>
      <c r="B2009" s="75"/>
      <c r="C2009" s="75"/>
      <c r="D2009" s="75"/>
      <c r="E2009" s="75"/>
      <c r="F2009" s="75"/>
      <c r="G2009" s="75"/>
      <c r="H2009" s="75"/>
      <c r="I2009" s="75"/>
      <c r="J2009" s="166"/>
      <c r="K2009" s="166"/>
      <c r="R2009" s="163"/>
      <c r="S2009" s="163"/>
    </row>
    <row r="2010">
      <c r="A2010" s="148"/>
      <c r="B2010" s="75"/>
      <c r="C2010" s="75"/>
      <c r="D2010" s="75"/>
      <c r="E2010" s="75"/>
      <c r="F2010" s="75"/>
      <c r="G2010" s="75"/>
      <c r="H2010" s="75"/>
      <c r="I2010" s="75"/>
      <c r="J2010" s="166"/>
      <c r="K2010" s="166"/>
      <c r="R2010" s="163"/>
      <c r="S2010" s="163"/>
    </row>
    <row r="2011">
      <c r="A2011" s="148"/>
      <c r="B2011" s="75"/>
      <c r="C2011" s="75"/>
      <c r="D2011" s="75"/>
      <c r="E2011" s="75"/>
      <c r="F2011" s="75"/>
      <c r="G2011" s="75"/>
      <c r="H2011" s="75"/>
      <c r="I2011" s="75"/>
      <c r="J2011" s="166"/>
      <c r="K2011" s="166"/>
      <c r="R2011" s="163"/>
      <c r="S2011" s="163"/>
    </row>
    <row r="2012">
      <c r="A2012" s="148"/>
      <c r="B2012" s="75"/>
      <c r="C2012" s="75"/>
      <c r="D2012" s="75"/>
      <c r="E2012" s="75"/>
      <c r="F2012" s="75"/>
      <c r="G2012" s="75"/>
      <c r="H2012" s="75"/>
      <c r="I2012" s="75"/>
      <c r="J2012" s="166"/>
      <c r="K2012" s="166"/>
      <c r="R2012" s="163"/>
      <c r="S2012" s="163"/>
    </row>
    <row r="2013">
      <c r="A2013" s="148"/>
      <c r="B2013" s="75"/>
      <c r="C2013" s="75"/>
      <c r="D2013" s="75"/>
      <c r="E2013" s="75"/>
      <c r="F2013" s="75"/>
      <c r="G2013" s="75"/>
      <c r="H2013" s="75"/>
      <c r="I2013" s="75"/>
      <c r="J2013" s="166"/>
      <c r="K2013" s="166"/>
      <c r="R2013" s="163"/>
      <c r="S2013" s="163"/>
    </row>
    <row r="2014">
      <c r="A2014" s="148"/>
      <c r="B2014" s="75"/>
      <c r="C2014" s="75"/>
      <c r="D2014" s="75"/>
      <c r="E2014" s="75"/>
      <c r="F2014" s="75"/>
      <c r="G2014" s="75"/>
      <c r="H2014" s="75"/>
      <c r="I2014" s="75"/>
      <c r="J2014" s="166"/>
      <c r="K2014" s="166"/>
      <c r="R2014" s="163"/>
      <c r="S2014" s="163"/>
    </row>
    <row r="2015">
      <c r="A2015" s="148"/>
      <c r="B2015" s="75"/>
      <c r="C2015" s="75"/>
      <c r="D2015" s="75"/>
      <c r="E2015" s="75"/>
      <c r="F2015" s="75"/>
      <c r="G2015" s="75"/>
      <c r="H2015" s="75"/>
      <c r="I2015" s="75"/>
      <c r="J2015" s="166"/>
      <c r="K2015" s="166"/>
      <c r="R2015" s="163"/>
      <c r="S2015" s="163"/>
    </row>
    <row r="2016">
      <c r="A2016" s="148"/>
      <c r="B2016" s="75"/>
      <c r="C2016" s="75"/>
      <c r="D2016" s="75"/>
      <c r="E2016" s="75"/>
      <c r="F2016" s="75"/>
      <c r="G2016" s="75"/>
      <c r="H2016" s="75"/>
      <c r="I2016" s="75"/>
      <c r="J2016" s="166"/>
      <c r="K2016" s="166"/>
      <c r="R2016" s="163"/>
      <c r="S2016" s="163"/>
    </row>
    <row r="2017">
      <c r="A2017" s="148"/>
      <c r="B2017" s="75"/>
      <c r="C2017" s="75"/>
      <c r="D2017" s="75"/>
      <c r="E2017" s="75"/>
      <c r="F2017" s="75"/>
      <c r="G2017" s="75"/>
      <c r="H2017" s="75"/>
      <c r="I2017" s="75"/>
      <c r="J2017" s="166"/>
      <c r="K2017" s="166"/>
      <c r="R2017" s="163"/>
      <c r="S2017" s="163"/>
    </row>
    <row r="2018">
      <c r="A2018" s="148"/>
      <c r="B2018" s="75"/>
      <c r="C2018" s="75"/>
      <c r="D2018" s="75"/>
      <c r="E2018" s="75"/>
      <c r="F2018" s="75"/>
      <c r="G2018" s="75"/>
      <c r="H2018" s="75"/>
      <c r="I2018" s="75"/>
      <c r="J2018" s="166"/>
      <c r="K2018" s="166"/>
      <c r="R2018" s="163"/>
      <c r="S2018" s="163"/>
    </row>
    <row r="2019">
      <c r="A2019" s="148"/>
      <c r="B2019" s="75"/>
      <c r="C2019" s="75"/>
      <c r="D2019" s="75"/>
      <c r="E2019" s="75"/>
      <c r="F2019" s="75"/>
      <c r="G2019" s="75"/>
      <c r="H2019" s="75"/>
      <c r="I2019" s="75"/>
      <c r="J2019" s="166"/>
      <c r="K2019" s="166"/>
      <c r="R2019" s="173"/>
      <c r="S2019" s="173"/>
    </row>
    <row r="2020">
      <c r="A2020" s="148"/>
      <c r="B2020" s="75"/>
      <c r="C2020" s="75"/>
      <c r="D2020" s="75"/>
      <c r="E2020" s="75"/>
      <c r="F2020" s="75"/>
      <c r="G2020" s="75"/>
      <c r="H2020" s="75"/>
      <c r="I2020" s="75"/>
      <c r="J2020" s="166"/>
      <c r="K2020" s="166"/>
      <c r="R2020" s="157"/>
      <c r="S2020" s="157"/>
    </row>
    <row r="2021">
      <c r="A2021" s="148"/>
      <c r="B2021" s="75"/>
      <c r="C2021" s="75"/>
      <c r="D2021" s="75"/>
      <c r="E2021" s="75"/>
      <c r="F2021" s="75"/>
      <c r="G2021" s="75"/>
      <c r="H2021" s="75"/>
      <c r="I2021" s="75"/>
      <c r="J2021" s="166"/>
      <c r="K2021" s="166"/>
      <c r="R2021" s="163"/>
      <c r="S2021" s="163"/>
    </row>
    <row r="2022">
      <c r="A2022" s="148"/>
      <c r="B2022" s="75"/>
      <c r="C2022" s="75"/>
      <c r="D2022" s="75"/>
      <c r="E2022" s="75"/>
      <c r="F2022" s="75"/>
      <c r="G2022" s="75"/>
      <c r="H2022" s="75"/>
      <c r="I2022" s="75"/>
      <c r="J2022" s="166"/>
      <c r="K2022" s="166"/>
      <c r="R2022" s="163"/>
      <c r="S2022" s="163"/>
    </row>
    <row r="2023">
      <c r="A2023" s="148"/>
      <c r="B2023" s="75"/>
      <c r="C2023" s="75"/>
      <c r="D2023" s="75"/>
      <c r="E2023" s="75"/>
      <c r="F2023" s="75"/>
      <c r="G2023" s="75"/>
      <c r="H2023" s="75"/>
      <c r="I2023" s="75"/>
      <c r="J2023" s="166"/>
      <c r="K2023" s="166"/>
      <c r="R2023" s="163"/>
      <c r="S2023" s="163"/>
    </row>
    <row r="2024">
      <c r="A2024" s="148"/>
      <c r="B2024" s="75"/>
      <c r="C2024" s="75"/>
      <c r="D2024" s="75"/>
      <c r="E2024" s="75"/>
      <c r="F2024" s="75"/>
      <c r="G2024" s="75"/>
      <c r="H2024" s="75"/>
      <c r="I2024" s="75"/>
      <c r="J2024" s="166"/>
      <c r="K2024" s="166"/>
      <c r="R2024" s="163"/>
      <c r="S2024" s="163"/>
    </row>
    <row r="2025">
      <c r="A2025" s="148"/>
      <c r="B2025" s="75"/>
      <c r="C2025" s="75"/>
      <c r="D2025" s="75"/>
      <c r="E2025" s="75"/>
      <c r="F2025" s="75"/>
      <c r="G2025" s="75"/>
      <c r="H2025" s="75"/>
      <c r="I2025" s="75"/>
      <c r="J2025" s="166"/>
      <c r="K2025" s="166"/>
      <c r="R2025" s="163"/>
      <c r="S2025" s="163"/>
    </row>
    <row r="2026">
      <c r="A2026" s="148"/>
      <c r="B2026" s="75"/>
      <c r="C2026" s="75"/>
      <c r="D2026" s="75"/>
      <c r="E2026" s="75"/>
      <c r="F2026" s="75"/>
      <c r="G2026" s="75"/>
      <c r="H2026" s="75"/>
      <c r="I2026" s="75"/>
      <c r="J2026" s="166"/>
      <c r="K2026" s="166"/>
      <c r="R2026" s="163"/>
      <c r="S2026" s="163"/>
    </row>
    <row r="2027">
      <c r="A2027" s="148"/>
      <c r="B2027" s="75"/>
      <c r="C2027" s="75"/>
      <c r="D2027" s="75"/>
      <c r="E2027" s="75"/>
      <c r="F2027" s="75"/>
      <c r="G2027" s="75"/>
      <c r="H2027" s="75"/>
      <c r="I2027" s="75"/>
      <c r="J2027" s="166"/>
      <c r="K2027" s="166"/>
      <c r="R2027" s="163"/>
      <c r="S2027" s="163"/>
    </row>
    <row r="2028">
      <c r="A2028" s="148"/>
      <c r="B2028" s="75"/>
      <c r="C2028" s="75"/>
      <c r="D2028" s="75"/>
      <c r="E2028" s="75"/>
      <c r="F2028" s="75"/>
      <c r="G2028" s="75"/>
      <c r="H2028" s="75"/>
      <c r="I2028" s="75"/>
      <c r="J2028" s="166"/>
      <c r="K2028" s="166"/>
      <c r="R2028" s="163"/>
      <c r="S2028" s="163"/>
    </row>
    <row r="2029">
      <c r="A2029" s="148"/>
      <c r="B2029" s="75"/>
      <c r="C2029" s="75"/>
      <c r="D2029" s="75"/>
      <c r="E2029" s="75"/>
      <c r="F2029" s="75"/>
      <c r="G2029" s="75"/>
      <c r="H2029" s="75"/>
      <c r="I2029" s="75"/>
      <c r="J2029" s="166"/>
      <c r="K2029" s="166"/>
      <c r="R2029" s="163"/>
      <c r="S2029" s="163"/>
    </row>
    <row r="2030">
      <c r="A2030" s="148"/>
      <c r="B2030" s="75"/>
      <c r="C2030" s="75"/>
      <c r="D2030" s="75"/>
      <c r="E2030" s="75"/>
      <c r="F2030" s="75"/>
      <c r="G2030" s="75"/>
      <c r="H2030" s="75"/>
      <c r="I2030" s="75"/>
      <c r="J2030" s="166"/>
      <c r="K2030" s="166"/>
      <c r="R2030" s="163"/>
      <c r="S2030" s="163"/>
    </row>
    <row r="2031">
      <c r="A2031" s="148"/>
      <c r="B2031" s="75"/>
      <c r="C2031" s="75"/>
      <c r="D2031" s="75"/>
      <c r="E2031" s="75"/>
      <c r="F2031" s="75"/>
      <c r="G2031" s="75"/>
      <c r="H2031" s="75"/>
      <c r="I2031" s="75"/>
      <c r="J2031" s="166"/>
      <c r="K2031" s="166"/>
      <c r="R2031" s="173"/>
      <c r="S2031" s="173"/>
    </row>
    <row r="2032">
      <c r="A2032" s="148"/>
      <c r="B2032" s="75"/>
      <c r="C2032" s="75"/>
      <c r="D2032" s="75"/>
      <c r="E2032" s="75"/>
      <c r="F2032" s="75"/>
      <c r="G2032" s="75"/>
      <c r="H2032" s="75"/>
      <c r="I2032" s="75"/>
      <c r="J2032" s="166"/>
      <c r="K2032" s="166"/>
      <c r="R2032" s="157"/>
      <c r="S2032" s="157"/>
    </row>
    <row r="2033">
      <c r="A2033" s="148"/>
      <c r="B2033" s="75"/>
      <c r="C2033" s="75"/>
      <c r="D2033" s="75"/>
      <c r="E2033" s="75"/>
      <c r="F2033" s="75"/>
      <c r="G2033" s="75"/>
      <c r="H2033" s="75"/>
      <c r="I2033" s="75"/>
      <c r="J2033" s="166"/>
      <c r="K2033" s="166"/>
      <c r="R2033" s="163"/>
      <c r="S2033" s="163"/>
    </row>
    <row r="2034">
      <c r="A2034" s="148"/>
      <c r="B2034" s="75"/>
      <c r="C2034" s="75"/>
      <c r="D2034" s="75"/>
      <c r="E2034" s="75"/>
      <c r="F2034" s="75"/>
      <c r="G2034" s="75"/>
      <c r="H2034" s="75"/>
      <c r="I2034" s="75"/>
      <c r="J2034" s="166"/>
      <c r="K2034" s="166"/>
      <c r="R2034" s="163"/>
      <c r="S2034" s="163"/>
    </row>
    <row r="2035">
      <c r="A2035" s="148"/>
      <c r="B2035" s="75"/>
      <c r="C2035" s="75"/>
      <c r="D2035" s="75"/>
      <c r="E2035" s="75"/>
      <c r="F2035" s="75"/>
      <c r="G2035" s="75"/>
      <c r="H2035" s="75"/>
      <c r="I2035" s="75"/>
      <c r="J2035" s="166"/>
      <c r="K2035" s="166"/>
      <c r="R2035" s="163"/>
      <c r="S2035" s="163"/>
    </row>
    <row r="2036">
      <c r="A2036" s="148"/>
      <c r="B2036" s="75"/>
      <c r="C2036" s="75"/>
      <c r="D2036" s="75"/>
      <c r="E2036" s="75"/>
      <c r="F2036" s="75"/>
      <c r="G2036" s="75"/>
      <c r="H2036" s="75"/>
      <c r="I2036" s="75"/>
      <c r="J2036" s="166"/>
      <c r="K2036" s="166"/>
      <c r="R2036" s="163"/>
      <c r="S2036" s="163"/>
    </row>
    <row r="2037">
      <c r="A2037" s="148"/>
      <c r="B2037" s="75"/>
      <c r="C2037" s="75"/>
      <c r="D2037" s="75"/>
      <c r="E2037" s="75"/>
      <c r="F2037" s="75"/>
      <c r="G2037" s="75"/>
      <c r="H2037" s="75"/>
      <c r="I2037" s="75"/>
      <c r="J2037" s="166"/>
      <c r="K2037" s="166"/>
      <c r="R2037" s="163"/>
      <c r="S2037" s="163"/>
    </row>
    <row r="2038">
      <c r="A2038" s="148"/>
      <c r="B2038" s="75"/>
      <c r="C2038" s="75"/>
      <c r="D2038" s="75"/>
      <c r="E2038" s="75"/>
      <c r="F2038" s="75"/>
      <c r="G2038" s="75"/>
      <c r="H2038" s="75"/>
      <c r="I2038" s="75"/>
      <c r="J2038" s="166"/>
      <c r="K2038" s="166"/>
      <c r="R2038" s="163"/>
      <c r="S2038" s="163"/>
    </row>
    <row r="2039">
      <c r="A2039" s="148"/>
      <c r="B2039" s="75"/>
      <c r="C2039" s="75"/>
      <c r="D2039" s="75"/>
      <c r="E2039" s="75"/>
      <c r="F2039" s="75"/>
      <c r="G2039" s="75"/>
      <c r="H2039" s="75"/>
      <c r="I2039" s="75"/>
      <c r="J2039" s="166"/>
      <c r="K2039" s="166"/>
      <c r="R2039" s="163"/>
      <c r="S2039" s="163"/>
    </row>
    <row r="2040">
      <c r="A2040" s="148"/>
      <c r="B2040" s="75"/>
      <c r="C2040" s="75"/>
      <c r="D2040" s="75"/>
      <c r="E2040" s="75"/>
      <c r="F2040" s="75"/>
      <c r="G2040" s="75"/>
      <c r="H2040" s="75"/>
      <c r="I2040" s="75"/>
      <c r="J2040" s="166"/>
      <c r="K2040" s="166"/>
      <c r="R2040" s="163"/>
      <c r="S2040" s="163"/>
    </row>
    <row r="2041">
      <c r="A2041" s="148"/>
      <c r="B2041" s="75"/>
      <c r="C2041" s="75"/>
      <c r="D2041" s="75"/>
      <c r="E2041" s="75"/>
      <c r="F2041" s="75"/>
      <c r="G2041" s="75"/>
      <c r="H2041" s="75"/>
      <c r="I2041" s="75"/>
      <c r="J2041" s="166"/>
      <c r="K2041" s="166"/>
      <c r="R2041" s="163"/>
      <c r="S2041" s="163"/>
    </row>
    <row r="2042">
      <c r="A2042" s="148"/>
      <c r="B2042" s="75"/>
      <c r="C2042" s="75"/>
      <c r="D2042" s="75"/>
      <c r="E2042" s="75"/>
      <c r="F2042" s="75"/>
      <c r="G2042" s="75"/>
      <c r="H2042" s="75"/>
      <c r="I2042" s="75"/>
      <c r="J2042" s="166"/>
      <c r="K2042" s="166"/>
      <c r="R2042" s="163"/>
      <c r="S2042" s="163"/>
    </row>
    <row r="2043">
      <c r="A2043" s="148"/>
      <c r="B2043" s="75"/>
      <c r="C2043" s="75"/>
      <c r="D2043" s="75"/>
      <c r="E2043" s="75"/>
      <c r="F2043" s="75"/>
      <c r="G2043" s="75"/>
      <c r="H2043" s="75"/>
      <c r="I2043" s="75"/>
      <c r="J2043" s="166"/>
      <c r="K2043" s="166"/>
      <c r="R2043" s="173"/>
      <c r="S2043" s="173"/>
    </row>
    <row r="2044">
      <c r="A2044" s="148"/>
      <c r="B2044" s="75"/>
      <c r="C2044" s="75"/>
      <c r="D2044" s="75"/>
      <c r="E2044" s="75"/>
      <c r="F2044" s="75"/>
      <c r="G2044" s="75"/>
      <c r="H2044" s="75"/>
      <c r="I2044" s="75"/>
      <c r="J2044" s="166"/>
      <c r="K2044" s="166"/>
      <c r="R2044" s="157"/>
      <c r="S2044" s="157"/>
    </row>
    <row r="2045">
      <c r="A2045" s="148"/>
      <c r="B2045" s="75"/>
      <c r="C2045" s="75"/>
      <c r="D2045" s="75"/>
      <c r="E2045" s="75"/>
      <c r="F2045" s="75"/>
      <c r="G2045" s="75"/>
      <c r="H2045" s="75"/>
      <c r="I2045" s="75"/>
      <c r="J2045" s="166"/>
      <c r="K2045" s="166"/>
      <c r="R2045" s="163"/>
      <c r="S2045" s="163"/>
    </row>
    <row r="2046">
      <c r="A2046" s="148"/>
      <c r="B2046" s="75"/>
      <c r="C2046" s="75"/>
      <c r="D2046" s="75"/>
      <c r="E2046" s="75"/>
      <c r="F2046" s="75"/>
      <c r="G2046" s="75"/>
      <c r="H2046" s="75"/>
      <c r="I2046" s="75"/>
      <c r="J2046" s="166"/>
      <c r="K2046" s="166"/>
      <c r="R2046" s="163"/>
      <c r="S2046" s="163"/>
    </row>
    <row r="2047">
      <c r="A2047" s="148"/>
      <c r="B2047" s="75"/>
      <c r="C2047" s="75"/>
      <c r="D2047" s="75"/>
      <c r="E2047" s="75"/>
      <c r="F2047" s="75"/>
      <c r="G2047" s="75"/>
      <c r="H2047" s="75"/>
      <c r="I2047" s="75"/>
      <c r="J2047" s="166"/>
      <c r="K2047" s="166"/>
      <c r="R2047" s="163"/>
      <c r="S2047" s="163"/>
    </row>
    <row r="2048">
      <c r="A2048" s="148"/>
      <c r="B2048" s="75"/>
      <c r="C2048" s="75"/>
      <c r="D2048" s="75"/>
      <c r="E2048" s="75"/>
      <c r="F2048" s="75"/>
      <c r="G2048" s="75"/>
      <c r="H2048" s="75"/>
      <c r="I2048" s="75"/>
      <c r="J2048" s="166"/>
      <c r="K2048" s="166"/>
      <c r="R2048" s="163"/>
      <c r="S2048" s="163"/>
    </row>
    <row r="2049">
      <c r="A2049" s="148"/>
      <c r="B2049" s="75"/>
      <c r="C2049" s="75"/>
      <c r="D2049" s="75"/>
      <c r="E2049" s="75"/>
      <c r="F2049" s="75"/>
      <c r="G2049" s="75"/>
      <c r="H2049" s="75"/>
      <c r="I2049" s="75"/>
      <c r="J2049" s="166"/>
      <c r="K2049" s="166"/>
      <c r="R2049" s="163"/>
      <c r="S2049" s="163"/>
    </row>
    <row r="2050">
      <c r="A2050" s="148"/>
      <c r="B2050" s="75"/>
      <c r="C2050" s="75"/>
      <c r="D2050" s="75"/>
      <c r="E2050" s="75"/>
      <c r="F2050" s="75"/>
      <c r="G2050" s="75"/>
      <c r="H2050" s="75"/>
      <c r="I2050" s="75"/>
      <c r="J2050" s="166"/>
      <c r="K2050" s="166"/>
      <c r="R2050" s="163"/>
      <c r="S2050" s="163"/>
    </row>
    <row r="2051">
      <c r="A2051" s="148"/>
      <c r="B2051" s="75"/>
      <c r="C2051" s="75"/>
      <c r="D2051" s="75"/>
      <c r="E2051" s="75"/>
      <c r="F2051" s="75"/>
      <c r="G2051" s="75"/>
      <c r="H2051" s="75"/>
      <c r="I2051" s="75"/>
      <c r="J2051" s="166"/>
      <c r="K2051" s="166"/>
      <c r="R2051" s="163"/>
      <c r="S2051" s="163"/>
    </row>
    <row r="2052">
      <c r="A2052" s="148"/>
      <c r="B2052" s="75"/>
      <c r="C2052" s="75"/>
      <c r="D2052" s="75"/>
      <c r="E2052" s="75"/>
      <c r="F2052" s="75"/>
      <c r="G2052" s="75"/>
      <c r="H2052" s="75"/>
      <c r="I2052" s="75"/>
      <c r="J2052" s="166"/>
      <c r="K2052" s="166"/>
      <c r="R2052" s="163"/>
      <c r="S2052" s="163"/>
    </row>
    <row r="2053">
      <c r="A2053" s="148"/>
      <c r="B2053" s="75"/>
      <c r="C2053" s="75"/>
      <c r="D2053" s="75"/>
      <c r="E2053" s="75"/>
      <c r="F2053" s="75"/>
      <c r="G2053" s="75"/>
      <c r="H2053" s="75"/>
      <c r="I2053" s="75"/>
      <c r="J2053" s="166"/>
      <c r="K2053" s="166"/>
      <c r="R2053" s="163"/>
      <c r="S2053" s="163"/>
    </row>
    <row r="2054">
      <c r="A2054" s="148"/>
      <c r="B2054" s="75"/>
      <c r="C2054" s="75"/>
      <c r="D2054" s="75"/>
      <c r="E2054" s="75"/>
      <c r="F2054" s="75"/>
      <c r="G2054" s="75"/>
      <c r="H2054" s="75"/>
      <c r="I2054" s="75"/>
      <c r="J2054" s="166"/>
      <c r="K2054" s="166"/>
      <c r="R2054" s="163"/>
      <c r="S2054" s="163"/>
    </row>
    <row r="2055">
      <c r="A2055" s="148"/>
      <c r="B2055" s="75"/>
      <c r="C2055" s="75"/>
      <c r="D2055" s="75"/>
      <c r="E2055" s="75"/>
      <c r="F2055" s="75"/>
      <c r="G2055" s="75"/>
      <c r="H2055" s="75"/>
      <c r="I2055" s="75"/>
      <c r="J2055" s="166"/>
      <c r="K2055" s="166"/>
      <c r="R2055" s="173"/>
      <c r="S2055" s="173"/>
    </row>
    <row r="2056">
      <c r="A2056" s="148"/>
      <c r="B2056" s="75"/>
      <c r="C2056" s="75"/>
      <c r="D2056" s="75"/>
      <c r="E2056" s="75"/>
      <c r="F2056" s="75"/>
      <c r="G2056" s="75"/>
      <c r="H2056" s="75"/>
      <c r="I2056" s="75"/>
      <c r="J2056" s="166"/>
      <c r="K2056" s="166"/>
      <c r="R2056" s="157"/>
      <c r="S2056" s="157"/>
    </row>
    <row r="2057">
      <c r="A2057" s="148"/>
      <c r="B2057" s="75"/>
      <c r="C2057" s="75"/>
      <c r="D2057" s="75"/>
      <c r="E2057" s="75"/>
      <c r="F2057" s="75"/>
      <c r="G2057" s="75"/>
      <c r="H2057" s="75"/>
      <c r="I2057" s="75"/>
      <c r="J2057" s="166"/>
      <c r="K2057" s="166"/>
      <c r="R2057" s="163"/>
      <c r="S2057" s="163"/>
    </row>
    <row r="2058">
      <c r="A2058" s="148"/>
      <c r="B2058" s="75"/>
      <c r="C2058" s="75"/>
      <c r="D2058" s="75"/>
      <c r="E2058" s="75"/>
      <c r="F2058" s="75"/>
      <c r="G2058" s="75"/>
      <c r="H2058" s="75"/>
      <c r="I2058" s="75"/>
      <c r="J2058" s="166"/>
      <c r="K2058" s="166"/>
      <c r="R2058" s="163"/>
      <c r="S2058" s="163"/>
    </row>
    <row r="2059">
      <c r="A2059" s="148"/>
      <c r="B2059" s="75"/>
      <c r="C2059" s="75"/>
      <c r="D2059" s="75"/>
      <c r="E2059" s="75"/>
      <c r="F2059" s="75"/>
      <c r="G2059" s="75"/>
      <c r="H2059" s="75"/>
      <c r="I2059" s="75"/>
      <c r="J2059" s="166"/>
      <c r="K2059" s="166"/>
      <c r="R2059" s="163"/>
      <c r="S2059" s="163"/>
    </row>
    <row r="2060">
      <c r="A2060" s="148"/>
      <c r="B2060" s="75"/>
      <c r="C2060" s="75"/>
      <c r="D2060" s="75"/>
      <c r="E2060" s="75"/>
      <c r="F2060" s="75"/>
      <c r="G2060" s="75"/>
      <c r="H2060" s="75"/>
      <c r="I2060" s="75"/>
      <c r="J2060" s="166"/>
      <c r="K2060" s="166"/>
      <c r="R2060" s="163"/>
      <c r="S2060" s="163"/>
    </row>
    <row r="2061">
      <c r="A2061" s="148"/>
      <c r="B2061" s="75"/>
      <c r="C2061" s="75"/>
      <c r="D2061" s="75"/>
      <c r="E2061" s="75"/>
      <c r="F2061" s="75"/>
      <c r="G2061" s="75"/>
      <c r="H2061" s="75"/>
      <c r="I2061" s="75"/>
      <c r="J2061" s="166"/>
      <c r="K2061" s="166"/>
      <c r="R2061" s="163"/>
      <c r="S2061" s="163"/>
    </row>
    <row r="2062">
      <c r="A2062" s="148"/>
      <c r="B2062" s="75"/>
      <c r="C2062" s="75"/>
      <c r="D2062" s="75"/>
      <c r="E2062" s="75"/>
      <c r="F2062" s="75"/>
      <c r="G2062" s="75"/>
      <c r="H2062" s="75"/>
      <c r="I2062" s="75"/>
      <c r="J2062" s="166"/>
      <c r="K2062" s="166"/>
      <c r="R2062" s="163"/>
      <c r="S2062" s="163"/>
    </row>
    <row r="2063">
      <c r="A2063" s="148"/>
      <c r="B2063" s="75"/>
      <c r="C2063" s="75"/>
      <c r="D2063" s="75"/>
      <c r="E2063" s="75"/>
      <c r="F2063" s="75"/>
      <c r="G2063" s="75"/>
      <c r="H2063" s="75"/>
      <c r="I2063" s="75"/>
      <c r="J2063" s="166"/>
      <c r="K2063" s="166"/>
      <c r="R2063" s="163"/>
      <c r="S2063" s="163"/>
    </row>
    <row r="2064">
      <c r="A2064" s="148"/>
      <c r="B2064" s="75"/>
      <c r="C2064" s="75"/>
      <c r="D2064" s="75"/>
      <c r="E2064" s="75"/>
      <c r="F2064" s="75"/>
      <c r="G2064" s="75"/>
      <c r="H2064" s="75"/>
      <c r="I2064" s="75"/>
      <c r="J2064" s="166"/>
      <c r="K2064" s="166"/>
      <c r="R2064" s="163"/>
      <c r="S2064" s="163"/>
    </row>
    <row r="2065">
      <c r="A2065" s="148"/>
      <c r="B2065" s="75"/>
      <c r="C2065" s="75"/>
      <c r="D2065" s="75"/>
      <c r="E2065" s="75"/>
      <c r="F2065" s="75"/>
      <c r="G2065" s="75"/>
      <c r="H2065" s="75"/>
      <c r="I2065" s="75"/>
      <c r="J2065" s="166"/>
      <c r="K2065" s="166"/>
      <c r="R2065" s="163"/>
      <c r="S2065" s="163"/>
    </row>
    <row r="2066">
      <c r="A2066" s="148"/>
      <c r="B2066" s="75"/>
      <c r="C2066" s="75"/>
      <c r="D2066" s="75"/>
      <c r="E2066" s="75"/>
      <c r="F2066" s="75"/>
      <c r="G2066" s="75"/>
      <c r="H2066" s="75"/>
      <c r="I2066" s="75"/>
      <c r="J2066" s="166"/>
      <c r="K2066" s="166"/>
      <c r="R2066" s="163"/>
      <c r="S2066" s="163"/>
    </row>
    <row r="2067">
      <c r="A2067" s="148"/>
      <c r="B2067" s="75"/>
      <c r="C2067" s="75"/>
      <c r="D2067" s="75"/>
      <c r="E2067" s="75"/>
      <c r="F2067" s="75"/>
      <c r="G2067" s="75"/>
      <c r="H2067" s="75"/>
      <c r="I2067" s="75"/>
      <c r="J2067" s="166"/>
      <c r="K2067" s="166"/>
      <c r="R2067" s="173"/>
      <c r="S2067" s="173"/>
    </row>
    <row r="2068">
      <c r="A2068" s="148"/>
      <c r="B2068" s="75"/>
      <c r="C2068" s="75"/>
      <c r="D2068" s="75"/>
      <c r="E2068" s="75"/>
      <c r="F2068" s="75"/>
      <c r="G2068" s="75"/>
      <c r="H2068" s="75"/>
      <c r="I2068" s="75"/>
      <c r="J2068" s="166"/>
      <c r="K2068" s="166"/>
      <c r="R2068" s="157"/>
      <c r="S2068" s="157"/>
    </row>
    <row r="2069">
      <c r="A2069" s="148"/>
      <c r="B2069" s="75"/>
      <c r="C2069" s="75"/>
      <c r="D2069" s="75"/>
      <c r="E2069" s="75"/>
      <c r="F2069" s="75"/>
      <c r="G2069" s="75"/>
      <c r="H2069" s="75"/>
      <c r="I2069" s="75"/>
      <c r="J2069" s="166"/>
      <c r="K2069" s="166"/>
      <c r="R2069" s="163"/>
      <c r="S2069" s="163"/>
    </row>
    <row r="2070">
      <c r="A2070" s="148"/>
      <c r="B2070" s="75"/>
      <c r="C2070" s="75"/>
      <c r="D2070" s="75"/>
      <c r="E2070" s="75"/>
      <c r="F2070" s="75"/>
      <c r="G2070" s="75"/>
      <c r="H2070" s="75"/>
      <c r="I2070" s="75"/>
      <c r="J2070" s="166"/>
      <c r="K2070" s="166"/>
      <c r="R2070" s="163"/>
      <c r="S2070" s="163"/>
    </row>
    <row r="2071">
      <c r="A2071" s="148"/>
      <c r="B2071" s="75"/>
      <c r="C2071" s="75"/>
      <c r="D2071" s="75"/>
      <c r="E2071" s="75"/>
      <c r="F2071" s="75"/>
      <c r="G2071" s="75"/>
      <c r="H2071" s="75"/>
      <c r="I2071" s="75"/>
      <c r="J2071" s="166"/>
      <c r="K2071" s="166"/>
      <c r="R2071" s="163"/>
      <c r="S2071" s="163"/>
    </row>
    <row r="2072">
      <c r="A2072" s="148"/>
      <c r="B2072" s="75"/>
      <c r="C2072" s="75"/>
      <c r="D2072" s="75"/>
      <c r="E2072" s="75"/>
      <c r="F2072" s="75"/>
      <c r="G2072" s="75"/>
      <c r="H2072" s="75"/>
      <c r="I2072" s="75"/>
      <c r="J2072" s="166"/>
      <c r="K2072" s="166"/>
      <c r="R2072" s="163"/>
      <c r="S2072" s="163"/>
    </row>
    <row r="2073">
      <c r="A2073" s="148"/>
      <c r="B2073" s="75"/>
      <c r="C2073" s="75"/>
      <c r="D2073" s="75"/>
      <c r="E2073" s="75"/>
      <c r="F2073" s="75"/>
      <c r="G2073" s="75"/>
      <c r="H2073" s="75"/>
      <c r="I2073" s="75"/>
      <c r="J2073" s="166"/>
      <c r="K2073" s="166"/>
      <c r="R2073" s="163"/>
      <c r="S2073" s="163"/>
    </row>
    <row r="2074">
      <c r="A2074" s="148"/>
      <c r="B2074" s="75"/>
      <c r="C2074" s="75"/>
      <c r="D2074" s="75"/>
      <c r="E2074" s="75"/>
      <c r="F2074" s="75"/>
      <c r="G2074" s="75"/>
      <c r="H2074" s="75"/>
      <c r="I2074" s="75"/>
      <c r="J2074" s="166"/>
      <c r="K2074" s="166"/>
      <c r="R2074" s="163"/>
      <c r="S2074" s="163"/>
    </row>
    <row r="2075">
      <c r="A2075" s="148"/>
      <c r="B2075" s="75"/>
      <c r="C2075" s="75"/>
      <c r="D2075" s="75"/>
      <c r="E2075" s="75"/>
      <c r="F2075" s="75"/>
      <c r="G2075" s="75"/>
      <c r="H2075" s="75"/>
      <c r="I2075" s="75"/>
      <c r="J2075" s="166"/>
      <c r="K2075" s="166"/>
      <c r="R2075" s="163"/>
      <c r="S2075" s="163"/>
    </row>
    <row r="2076">
      <c r="A2076" s="148"/>
      <c r="B2076" s="75"/>
      <c r="C2076" s="75"/>
      <c r="D2076" s="75"/>
      <c r="E2076" s="75"/>
      <c r="F2076" s="75"/>
      <c r="G2076" s="75"/>
      <c r="H2076" s="75"/>
      <c r="I2076" s="75"/>
      <c r="J2076" s="166"/>
      <c r="K2076" s="166"/>
      <c r="R2076" s="163"/>
      <c r="S2076" s="163"/>
    </row>
    <row r="2077">
      <c r="A2077" s="148"/>
      <c r="B2077" s="75"/>
      <c r="C2077" s="75"/>
      <c r="D2077" s="75"/>
      <c r="E2077" s="75"/>
      <c r="F2077" s="75"/>
      <c r="G2077" s="75"/>
      <c r="H2077" s="75"/>
      <c r="I2077" s="75"/>
      <c r="J2077" s="166"/>
      <c r="K2077" s="166"/>
      <c r="R2077" s="163"/>
      <c r="S2077" s="163"/>
    </row>
    <row r="2078">
      <c r="A2078" s="148"/>
      <c r="B2078" s="75"/>
      <c r="C2078" s="75"/>
      <c r="D2078" s="75"/>
      <c r="E2078" s="75"/>
      <c r="F2078" s="75"/>
      <c r="G2078" s="75"/>
      <c r="H2078" s="75"/>
      <c r="I2078" s="75"/>
      <c r="J2078" s="166"/>
      <c r="K2078" s="166"/>
      <c r="R2078" s="163"/>
      <c r="S2078" s="163"/>
    </row>
    <row r="2079">
      <c r="A2079" s="148"/>
      <c r="B2079" s="75"/>
      <c r="C2079" s="75"/>
      <c r="D2079" s="75"/>
      <c r="E2079" s="75"/>
      <c r="F2079" s="75"/>
      <c r="G2079" s="75"/>
      <c r="H2079" s="75"/>
      <c r="I2079" s="75"/>
      <c r="J2079" s="166"/>
      <c r="K2079" s="166"/>
      <c r="R2079" s="173"/>
      <c r="S2079" s="173"/>
    </row>
    <row r="2080">
      <c r="A2080" s="148"/>
      <c r="B2080" s="75"/>
      <c r="C2080" s="75"/>
      <c r="D2080" s="75"/>
      <c r="E2080" s="75"/>
      <c r="F2080" s="75"/>
      <c r="G2080" s="75"/>
      <c r="H2080" s="75"/>
      <c r="I2080" s="75"/>
      <c r="J2080" s="166"/>
      <c r="K2080" s="166"/>
      <c r="R2080" s="157"/>
      <c r="S2080" s="157"/>
    </row>
    <row r="2081">
      <c r="A2081" s="148"/>
      <c r="B2081" s="75"/>
      <c r="C2081" s="75"/>
      <c r="D2081" s="75"/>
      <c r="E2081" s="75"/>
      <c r="F2081" s="75"/>
      <c r="G2081" s="75"/>
      <c r="H2081" s="75"/>
      <c r="I2081" s="75"/>
      <c r="J2081" s="166"/>
      <c r="K2081" s="166"/>
      <c r="R2081" s="163"/>
      <c r="S2081" s="163"/>
    </row>
    <row r="2082">
      <c r="A2082" s="148"/>
      <c r="B2082" s="75"/>
      <c r="C2082" s="75"/>
      <c r="D2082" s="75"/>
      <c r="E2082" s="75"/>
      <c r="F2082" s="75"/>
      <c r="G2082" s="75"/>
      <c r="H2082" s="75"/>
      <c r="I2082" s="75"/>
      <c r="J2082" s="166"/>
      <c r="K2082" s="166"/>
      <c r="R2082" s="163"/>
      <c r="S2082" s="163"/>
    </row>
    <row r="2083">
      <c r="A2083" s="148"/>
      <c r="B2083" s="75"/>
      <c r="C2083" s="75"/>
      <c r="D2083" s="75"/>
      <c r="E2083" s="75"/>
      <c r="F2083" s="75"/>
      <c r="G2083" s="75"/>
      <c r="H2083" s="75"/>
      <c r="I2083" s="75"/>
      <c r="J2083" s="166"/>
      <c r="K2083" s="166"/>
      <c r="R2083" s="163"/>
      <c r="S2083" s="163"/>
    </row>
    <row r="2084">
      <c r="A2084" s="148"/>
      <c r="B2084" s="75"/>
      <c r="C2084" s="75"/>
      <c r="D2084" s="75"/>
      <c r="E2084" s="75"/>
      <c r="F2084" s="75"/>
      <c r="G2084" s="75"/>
      <c r="H2084" s="75"/>
      <c r="I2084" s="75"/>
      <c r="J2084" s="166"/>
      <c r="K2084" s="166"/>
      <c r="R2084" s="163"/>
      <c r="S2084" s="163"/>
    </row>
    <row r="2085">
      <c r="A2085" s="148"/>
      <c r="B2085" s="75"/>
      <c r="C2085" s="75"/>
      <c r="D2085" s="75"/>
      <c r="E2085" s="75"/>
      <c r="F2085" s="75"/>
      <c r="G2085" s="75"/>
      <c r="H2085" s="75"/>
      <c r="I2085" s="75"/>
      <c r="J2085" s="166"/>
      <c r="K2085" s="166"/>
      <c r="R2085" s="163"/>
      <c r="S2085" s="163"/>
    </row>
    <row r="2086">
      <c r="A2086" s="148"/>
      <c r="B2086" s="75"/>
      <c r="C2086" s="75"/>
      <c r="D2086" s="75"/>
      <c r="E2086" s="75"/>
      <c r="F2086" s="75"/>
      <c r="G2086" s="75"/>
      <c r="H2086" s="75"/>
      <c r="I2086" s="75"/>
      <c r="J2086" s="166"/>
      <c r="K2086" s="166"/>
      <c r="R2086" s="163"/>
      <c r="S2086" s="163"/>
    </row>
    <row r="2087">
      <c r="A2087" s="148"/>
      <c r="B2087" s="75"/>
      <c r="C2087" s="75"/>
      <c r="D2087" s="75"/>
      <c r="E2087" s="75"/>
      <c r="F2087" s="75"/>
      <c r="G2087" s="75"/>
      <c r="H2087" s="75"/>
      <c r="I2087" s="75"/>
      <c r="J2087" s="166"/>
      <c r="K2087" s="166"/>
      <c r="R2087" s="163"/>
      <c r="S2087" s="163"/>
    </row>
    <row r="2088">
      <c r="A2088" s="148"/>
      <c r="B2088" s="75"/>
      <c r="C2088" s="75"/>
      <c r="D2088" s="75"/>
      <c r="E2088" s="75"/>
      <c r="F2088" s="75"/>
      <c r="G2088" s="75"/>
      <c r="H2088" s="75"/>
      <c r="I2088" s="75"/>
      <c r="J2088" s="166"/>
      <c r="K2088" s="166"/>
      <c r="R2088" s="163"/>
      <c r="S2088" s="163"/>
    </row>
    <row r="2089">
      <c r="A2089" s="148"/>
      <c r="B2089" s="75"/>
      <c r="C2089" s="75"/>
      <c r="D2089" s="75"/>
      <c r="E2089" s="75"/>
      <c r="F2089" s="75"/>
      <c r="G2089" s="75"/>
      <c r="H2089" s="75"/>
      <c r="I2089" s="75"/>
      <c r="J2089" s="166"/>
      <c r="K2089" s="166"/>
      <c r="R2089" s="163"/>
      <c r="S2089" s="163"/>
    </row>
    <row r="2090">
      <c r="A2090" s="148"/>
      <c r="B2090" s="75"/>
      <c r="C2090" s="75"/>
      <c r="D2090" s="75"/>
      <c r="E2090" s="75"/>
      <c r="F2090" s="75"/>
      <c r="G2090" s="75"/>
      <c r="H2090" s="75"/>
      <c r="I2090" s="75"/>
      <c r="J2090" s="166"/>
      <c r="K2090" s="166"/>
      <c r="R2090" s="163"/>
      <c r="S2090" s="163"/>
    </row>
    <row r="2091">
      <c r="A2091" s="148"/>
      <c r="B2091" s="75"/>
      <c r="C2091" s="75"/>
      <c r="D2091" s="75"/>
      <c r="E2091" s="75"/>
      <c r="F2091" s="75"/>
      <c r="G2091" s="75"/>
      <c r="H2091" s="75"/>
      <c r="I2091" s="75"/>
      <c r="J2091" s="166"/>
      <c r="K2091" s="166"/>
      <c r="R2091" s="173"/>
      <c r="S2091" s="173"/>
    </row>
    <row r="2092">
      <c r="A2092" s="148"/>
      <c r="B2092" s="75"/>
      <c r="C2092" s="75"/>
      <c r="D2092" s="75"/>
      <c r="E2092" s="75"/>
      <c r="F2092" s="75"/>
      <c r="G2092" s="75"/>
      <c r="H2092" s="75"/>
      <c r="I2092" s="75"/>
      <c r="J2092" s="166"/>
      <c r="K2092" s="166"/>
      <c r="R2092" s="157"/>
      <c r="S2092" s="157"/>
    </row>
    <row r="2093">
      <c r="A2093" s="148"/>
      <c r="B2093" s="75"/>
      <c r="C2093" s="75"/>
      <c r="D2093" s="75"/>
      <c r="E2093" s="75"/>
      <c r="F2093" s="75"/>
      <c r="G2093" s="75"/>
      <c r="H2093" s="75"/>
      <c r="I2093" s="75"/>
      <c r="J2093" s="166"/>
      <c r="K2093" s="166"/>
      <c r="R2093" s="163"/>
      <c r="S2093" s="163"/>
    </row>
    <row r="2094">
      <c r="A2094" s="148"/>
      <c r="B2094" s="75"/>
      <c r="C2094" s="75"/>
      <c r="D2094" s="75"/>
      <c r="E2094" s="75"/>
      <c r="F2094" s="75"/>
      <c r="G2094" s="75"/>
      <c r="H2094" s="75"/>
      <c r="I2094" s="75"/>
      <c r="J2094" s="166"/>
      <c r="K2094" s="166"/>
      <c r="R2094" s="163"/>
      <c r="S2094" s="163"/>
    </row>
    <row r="2095">
      <c r="A2095" s="148"/>
      <c r="B2095" s="75"/>
      <c r="C2095" s="75"/>
      <c r="D2095" s="75"/>
      <c r="E2095" s="75"/>
      <c r="F2095" s="75"/>
      <c r="G2095" s="75"/>
      <c r="H2095" s="75"/>
      <c r="I2095" s="75"/>
      <c r="J2095" s="166"/>
      <c r="K2095" s="166"/>
      <c r="R2095" s="163"/>
      <c r="S2095" s="163"/>
    </row>
    <row r="2096">
      <c r="A2096" s="148"/>
      <c r="B2096" s="75"/>
      <c r="C2096" s="75"/>
      <c r="D2096" s="75"/>
      <c r="E2096" s="75"/>
      <c r="F2096" s="75"/>
      <c r="G2096" s="75"/>
      <c r="H2096" s="75"/>
      <c r="I2096" s="75"/>
      <c r="J2096" s="166"/>
      <c r="K2096" s="166"/>
      <c r="R2096" s="163"/>
      <c r="S2096" s="163"/>
    </row>
    <row r="2097">
      <c r="A2097" s="148"/>
      <c r="B2097" s="75"/>
      <c r="C2097" s="75"/>
      <c r="D2097" s="75"/>
      <c r="E2097" s="75"/>
      <c r="F2097" s="75"/>
      <c r="G2097" s="75"/>
      <c r="H2097" s="75"/>
      <c r="I2097" s="75"/>
      <c r="J2097" s="166"/>
      <c r="K2097" s="166"/>
      <c r="R2097" s="163"/>
      <c r="S2097" s="163"/>
    </row>
    <row r="2098">
      <c r="A2098" s="148"/>
      <c r="B2098" s="75"/>
      <c r="C2098" s="75"/>
      <c r="D2098" s="75"/>
      <c r="E2098" s="75"/>
      <c r="F2098" s="75"/>
      <c r="G2098" s="75"/>
      <c r="H2098" s="75"/>
      <c r="I2098" s="75"/>
      <c r="J2098" s="166"/>
      <c r="K2098" s="166"/>
      <c r="R2098" s="163"/>
      <c r="S2098" s="163"/>
    </row>
    <row r="2099">
      <c r="A2099" s="148"/>
      <c r="B2099" s="75"/>
      <c r="C2099" s="75"/>
      <c r="D2099" s="75"/>
      <c r="E2099" s="75"/>
      <c r="F2099" s="75"/>
      <c r="G2099" s="75"/>
      <c r="H2099" s="75"/>
      <c r="I2099" s="75"/>
      <c r="J2099" s="166"/>
      <c r="K2099" s="166"/>
      <c r="R2099" s="163"/>
      <c r="S2099" s="163"/>
    </row>
    <row r="2100">
      <c r="A2100" s="148"/>
      <c r="B2100" s="75"/>
      <c r="C2100" s="75"/>
      <c r="D2100" s="75"/>
      <c r="E2100" s="75"/>
      <c r="F2100" s="75"/>
      <c r="G2100" s="75"/>
      <c r="H2100" s="75"/>
      <c r="I2100" s="75"/>
      <c r="J2100" s="166"/>
      <c r="K2100" s="166"/>
      <c r="R2100" s="163"/>
      <c r="S2100" s="163"/>
    </row>
    <row r="2101">
      <c r="A2101" s="148"/>
      <c r="B2101" s="75"/>
      <c r="C2101" s="75"/>
      <c r="D2101" s="75"/>
      <c r="E2101" s="75"/>
      <c r="F2101" s="75"/>
      <c r="G2101" s="75"/>
      <c r="H2101" s="75"/>
      <c r="I2101" s="75"/>
      <c r="J2101" s="166"/>
      <c r="K2101" s="166"/>
      <c r="R2101" s="163"/>
      <c r="S2101" s="163"/>
    </row>
    <row r="2102">
      <c r="A2102" s="148"/>
      <c r="B2102" s="75"/>
      <c r="C2102" s="75"/>
      <c r="D2102" s="75"/>
      <c r="E2102" s="75"/>
      <c r="F2102" s="75"/>
      <c r="G2102" s="75"/>
      <c r="H2102" s="75"/>
      <c r="I2102" s="75"/>
      <c r="J2102" s="166"/>
      <c r="K2102" s="166"/>
      <c r="R2102" s="163"/>
      <c r="S2102" s="163"/>
    </row>
    <row r="2103">
      <c r="A2103" s="148"/>
      <c r="B2103" s="75"/>
      <c r="C2103" s="75"/>
      <c r="D2103" s="75"/>
      <c r="E2103" s="75"/>
      <c r="F2103" s="75"/>
      <c r="G2103" s="75"/>
      <c r="H2103" s="75"/>
      <c r="I2103" s="75"/>
      <c r="J2103" s="166"/>
      <c r="K2103" s="166"/>
      <c r="R2103" s="173"/>
      <c r="S2103" s="173"/>
    </row>
    <row r="2104">
      <c r="A2104" s="148"/>
      <c r="B2104" s="75"/>
      <c r="C2104" s="75"/>
      <c r="D2104" s="75"/>
      <c r="E2104" s="75"/>
      <c r="F2104" s="75"/>
      <c r="G2104" s="75"/>
      <c r="H2104" s="75"/>
      <c r="I2104" s="75"/>
      <c r="J2104" s="166"/>
      <c r="K2104" s="166"/>
      <c r="R2104" s="157"/>
      <c r="S2104" s="157"/>
    </row>
    <row r="2105">
      <c r="A2105" s="148"/>
      <c r="B2105" s="75"/>
      <c r="C2105" s="75"/>
      <c r="D2105" s="75"/>
      <c r="E2105" s="75"/>
      <c r="F2105" s="75"/>
      <c r="G2105" s="75"/>
      <c r="H2105" s="75"/>
      <c r="I2105" s="75"/>
      <c r="J2105" s="166"/>
      <c r="K2105" s="166"/>
      <c r="R2105" s="163"/>
      <c r="S2105" s="163"/>
    </row>
    <row r="2106">
      <c r="A2106" s="148"/>
      <c r="B2106" s="75"/>
      <c r="C2106" s="75"/>
      <c r="D2106" s="75"/>
      <c r="E2106" s="75"/>
      <c r="F2106" s="75"/>
      <c r="G2106" s="75"/>
      <c r="H2106" s="75"/>
      <c r="I2106" s="75"/>
      <c r="J2106" s="166"/>
      <c r="K2106" s="166"/>
      <c r="R2106" s="163"/>
      <c r="S2106" s="163"/>
    </row>
    <row r="2107">
      <c r="A2107" s="148"/>
      <c r="B2107" s="75"/>
      <c r="C2107" s="75"/>
      <c r="D2107" s="75"/>
      <c r="E2107" s="75"/>
      <c r="F2107" s="75"/>
      <c r="G2107" s="75"/>
      <c r="H2107" s="75"/>
      <c r="I2107" s="75"/>
      <c r="J2107" s="166"/>
      <c r="K2107" s="166"/>
      <c r="R2107" s="163"/>
      <c r="S2107" s="163"/>
    </row>
    <row r="2108">
      <c r="A2108" s="148"/>
      <c r="B2108" s="75"/>
      <c r="C2108" s="75"/>
      <c r="D2108" s="75"/>
      <c r="E2108" s="75"/>
      <c r="F2108" s="75"/>
      <c r="G2108" s="75"/>
      <c r="H2108" s="75"/>
      <c r="I2108" s="75"/>
      <c r="J2108" s="166"/>
      <c r="K2108" s="166"/>
      <c r="R2108" s="163"/>
      <c r="S2108" s="163"/>
    </row>
    <row r="2109">
      <c r="A2109" s="148"/>
      <c r="B2109" s="75"/>
      <c r="C2109" s="75"/>
      <c r="D2109" s="75"/>
      <c r="E2109" s="75"/>
      <c r="F2109" s="75"/>
      <c r="G2109" s="75"/>
      <c r="H2109" s="75"/>
      <c r="I2109" s="75"/>
      <c r="J2109" s="166"/>
      <c r="K2109" s="166"/>
      <c r="R2109" s="163"/>
      <c r="S2109" s="163"/>
    </row>
    <row r="2110">
      <c r="A2110" s="148"/>
      <c r="B2110" s="75"/>
      <c r="C2110" s="75"/>
      <c r="D2110" s="75"/>
      <c r="E2110" s="75"/>
      <c r="F2110" s="75"/>
      <c r="G2110" s="75"/>
      <c r="H2110" s="75"/>
      <c r="I2110" s="75"/>
      <c r="J2110" s="166"/>
      <c r="K2110" s="166"/>
      <c r="R2110" s="163"/>
      <c r="S2110" s="163"/>
    </row>
    <row r="2111">
      <c r="A2111" s="148"/>
      <c r="B2111" s="75"/>
      <c r="C2111" s="75"/>
      <c r="D2111" s="75"/>
      <c r="E2111" s="75"/>
      <c r="F2111" s="75"/>
      <c r="G2111" s="75"/>
      <c r="H2111" s="75"/>
      <c r="I2111" s="75"/>
      <c r="J2111" s="166"/>
      <c r="K2111" s="166"/>
      <c r="R2111" s="163"/>
      <c r="S2111" s="163"/>
    </row>
    <row r="2112">
      <c r="A2112" s="148"/>
      <c r="B2112" s="75"/>
      <c r="C2112" s="75"/>
      <c r="D2112" s="75"/>
      <c r="E2112" s="75"/>
      <c r="F2112" s="75"/>
      <c r="G2112" s="75"/>
      <c r="H2112" s="75"/>
      <c r="I2112" s="75"/>
      <c r="J2112" s="166"/>
      <c r="K2112" s="166"/>
      <c r="R2112" s="163"/>
      <c r="S2112" s="163"/>
    </row>
    <row r="2113">
      <c r="A2113" s="148"/>
      <c r="B2113" s="75"/>
      <c r="C2113" s="75"/>
      <c r="D2113" s="75"/>
      <c r="E2113" s="75"/>
      <c r="F2113" s="75"/>
      <c r="G2113" s="75"/>
      <c r="H2113" s="75"/>
      <c r="I2113" s="75"/>
      <c r="J2113" s="166"/>
      <c r="K2113" s="166"/>
      <c r="R2113" s="163"/>
      <c r="S2113" s="163"/>
    </row>
    <row r="2114">
      <c r="A2114" s="148"/>
      <c r="B2114" s="75"/>
      <c r="C2114" s="75"/>
      <c r="D2114" s="75"/>
      <c r="E2114" s="75"/>
      <c r="F2114" s="75"/>
      <c r="G2114" s="75"/>
      <c r="H2114" s="75"/>
      <c r="I2114" s="75"/>
      <c r="J2114" s="166"/>
      <c r="K2114" s="166"/>
      <c r="R2114" s="163"/>
      <c r="S2114" s="163"/>
    </row>
    <row r="2115">
      <c r="A2115" s="148"/>
      <c r="B2115" s="75"/>
      <c r="C2115" s="75"/>
      <c r="D2115" s="75"/>
      <c r="E2115" s="75"/>
      <c r="F2115" s="75"/>
      <c r="G2115" s="75"/>
      <c r="H2115" s="75"/>
      <c r="I2115" s="75"/>
      <c r="J2115" s="166"/>
      <c r="K2115" s="166"/>
      <c r="R2115" s="173"/>
      <c r="S2115" s="173"/>
    </row>
    <row r="2116">
      <c r="A2116" s="148"/>
      <c r="B2116" s="75"/>
      <c r="C2116" s="75"/>
      <c r="D2116" s="75"/>
      <c r="E2116" s="75"/>
      <c r="F2116" s="75"/>
      <c r="G2116" s="75"/>
      <c r="H2116" s="75"/>
      <c r="I2116" s="75"/>
      <c r="J2116" s="166"/>
      <c r="K2116" s="166"/>
      <c r="R2116" s="157"/>
      <c r="S2116" s="157"/>
    </row>
    <row r="2117">
      <c r="A2117" s="148"/>
      <c r="B2117" s="75"/>
      <c r="C2117" s="75"/>
      <c r="D2117" s="75"/>
      <c r="E2117" s="75"/>
      <c r="F2117" s="75"/>
      <c r="G2117" s="75"/>
      <c r="H2117" s="75"/>
      <c r="I2117" s="75"/>
      <c r="J2117" s="166"/>
      <c r="K2117" s="166"/>
      <c r="R2117" s="163"/>
      <c r="S2117" s="163"/>
    </row>
    <row r="2118">
      <c r="A2118" s="148"/>
      <c r="B2118" s="75"/>
      <c r="C2118" s="75"/>
      <c r="D2118" s="75"/>
      <c r="E2118" s="75"/>
      <c r="F2118" s="75"/>
      <c r="G2118" s="75"/>
      <c r="H2118" s="75"/>
      <c r="I2118" s="75"/>
      <c r="J2118" s="166"/>
      <c r="K2118" s="166"/>
      <c r="R2118" s="163"/>
      <c r="S2118" s="163"/>
    </row>
    <row r="2119">
      <c r="A2119" s="148"/>
      <c r="B2119" s="75"/>
      <c r="C2119" s="75"/>
      <c r="D2119" s="75"/>
      <c r="E2119" s="75"/>
      <c r="F2119" s="75"/>
      <c r="G2119" s="75"/>
      <c r="H2119" s="75"/>
      <c r="I2119" s="75"/>
      <c r="J2119" s="166"/>
      <c r="K2119" s="166"/>
      <c r="R2119" s="163"/>
      <c r="S2119" s="163"/>
    </row>
    <row r="2120">
      <c r="A2120" s="148"/>
      <c r="B2120" s="75"/>
      <c r="C2120" s="75"/>
      <c r="D2120" s="75"/>
      <c r="E2120" s="75"/>
      <c r="F2120" s="75"/>
      <c r="G2120" s="75"/>
      <c r="H2120" s="75"/>
      <c r="I2120" s="75"/>
      <c r="J2120" s="166"/>
      <c r="K2120" s="166"/>
      <c r="R2120" s="163"/>
      <c r="S2120" s="163"/>
    </row>
    <row r="2121">
      <c r="A2121" s="148"/>
      <c r="B2121" s="75"/>
      <c r="C2121" s="75"/>
      <c r="D2121" s="75"/>
      <c r="E2121" s="75"/>
      <c r="F2121" s="75"/>
      <c r="G2121" s="75"/>
      <c r="H2121" s="75"/>
      <c r="I2121" s="75"/>
      <c r="J2121" s="166"/>
      <c r="K2121" s="166"/>
      <c r="R2121" s="163"/>
      <c r="S2121" s="163"/>
    </row>
    <row r="2122">
      <c r="A2122" s="148"/>
      <c r="B2122" s="75"/>
      <c r="C2122" s="75"/>
      <c r="D2122" s="75"/>
      <c r="E2122" s="75"/>
      <c r="F2122" s="75"/>
      <c r="G2122" s="75"/>
      <c r="H2122" s="75"/>
      <c r="I2122" s="75"/>
      <c r="J2122" s="166"/>
      <c r="K2122" s="166"/>
      <c r="R2122" s="163"/>
      <c r="S2122" s="163"/>
    </row>
    <row r="2123">
      <c r="A2123" s="148"/>
      <c r="B2123" s="75"/>
      <c r="C2123" s="75"/>
      <c r="D2123" s="75"/>
      <c r="E2123" s="75"/>
      <c r="F2123" s="75"/>
      <c r="G2123" s="75"/>
      <c r="H2123" s="75"/>
      <c r="I2123" s="75"/>
      <c r="J2123" s="166"/>
      <c r="K2123" s="166"/>
      <c r="R2123" s="163"/>
      <c r="S2123" s="163"/>
    </row>
    <row r="2124">
      <c r="A2124" s="148"/>
      <c r="B2124" s="75"/>
      <c r="C2124" s="75"/>
      <c r="D2124" s="75"/>
      <c r="E2124" s="75"/>
      <c r="F2124" s="75"/>
      <c r="G2124" s="75"/>
      <c r="H2124" s="75"/>
      <c r="I2124" s="75"/>
      <c r="J2124" s="166"/>
      <c r="K2124" s="166"/>
      <c r="R2124" s="163"/>
      <c r="S2124" s="163"/>
    </row>
    <row r="2125">
      <c r="A2125" s="148"/>
      <c r="B2125" s="75"/>
      <c r="C2125" s="75"/>
      <c r="D2125" s="75"/>
      <c r="E2125" s="75"/>
      <c r="F2125" s="75"/>
      <c r="G2125" s="75"/>
      <c r="H2125" s="75"/>
      <c r="I2125" s="75"/>
      <c r="J2125" s="166"/>
      <c r="K2125" s="166"/>
      <c r="R2125" s="163"/>
      <c r="S2125" s="163"/>
    </row>
    <row r="2126">
      <c r="A2126" s="148"/>
      <c r="B2126" s="75"/>
      <c r="C2126" s="75"/>
      <c r="D2126" s="75"/>
      <c r="E2126" s="75"/>
      <c r="F2126" s="75"/>
      <c r="G2126" s="75"/>
      <c r="H2126" s="75"/>
      <c r="I2126" s="75"/>
      <c r="J2126" s="166"/>
      <c r="K2126" s="166"/>
      <c r="R2126" s="163"/>
      <c r="S2126" s="163"/>
    </row>
    <row r="2127">
      <c r="A2127" s="148"/>
      <c r="B2127" s="75"/>
      <c r="C2127" s="75"/>
      <c r="D2127" s="75"/>
      <c r="E2127" s="75"/>
      <c r="F2127" s="75"/>
      <c r="G2127" s="75"/>
      <c r="H2127" s="75"/>
      <c r="I2127" s="75"/>
      <c r="J2127" s="166"/>
      <c r="K2127" s="166"/>
      <c r="R2127" s="173"/>
      <c r="S2127" s="173"/>
    </row>
    <row r="2128">
      <c r="A2128" s="148"/>
      <c r="B2128" s="75"/>
      <c r="C2128" s="75"/>
      <c r="D2128" s="75"/>
      <c r="E2128" s="75"/>
      <c r="F2128" s="75"/>
      <c r="G2128" s="75"/>
      <c r="H2128" s="75"/>
      <c r="I2128" s="75"/>
      <c r="J2128" s="166"/>
      <c r="K2128" s="166"/>
      <c r="R2128" s="157"/>
      <c r="S2128" s="157"/>
    </row>
    <row r="2129">
      <c r="A2129" s="148"/>
      <c r="B2129" s="75"/>
      <c r="C2129" s="75"/>
      <c r="D2129" s="75"/>
      <c r="E2129" s="75"/>
      <c r="F2129" s="75"/>
      <c r="G2129" s="75"/>
      <c r="H2129" s="75"/>
      <c r="I2129" s="75"/>
      <c r="J2129" s="166"/>
      <c r="K2129" s="166"/>
      <c r="R2129" s="163"/>
      <c r="S2129" s="163"/>
    </row>
    <row r="2130">
      <c r="A2130" s="148"/>
      <c r="B2130" s="75"/>
      <c r="C2130" s="75"/>
      <c r="D2130" s="75"/>
      <c r="E2130" s="75"/>
      <c r="F2130" s="75"/>
      <c r="G2130" s="75"/>
      <c r="H2130" s="75"/>
      <c r="I2130" s="75"/>
      <c r="J2130" s="166"/>
      <c r="K2130" s="166"/>
      <c r="R2130" s="163"/>
      <c r="S2130" s="163"/>
    </row>
    <row r="2131">
      <c r="A2131" s="148"/>
      <c r="B2131" s="75"/>
      <c r="C2131" s="75"/>
      <c r="D2131" s="75"/>
      <c r="E2131" s="75"/>
      <c r="F2131" s="75"/>
      <c r="G2131" s="75"/>
      <c r="H2131" s="75"/>
      <c r="I2131" s="75"/>
      <c r="J2131" s="166"/>
      <c r="K2131" s="166"/>
      <c r="R2131" s="163"/>
      <c r="S2131" s="163"/>
    </row>
    <row r="2132">
      <c r="A2132" s="148"/>
      <c r="B2132" s="75"/>
      <c r="C2132" s="75"/>
      <c r="D2132" s="75"/>
      <c r="E2132" s="75"/>
      <c r="F2132" s="75"/>
      <c r="G2132" s="75"/>
      <c r="H2132" s="75"/>
      <c r="I2132" s="75"/>
      <c r="J2132" s="166"/>
      <c r="K2132" s="166"/>
      <c r="R2132" s="163"/>
      <c r="S2132" s="163"/>
    </row>
    <row r="2133">
      <c r="A2133" s="148"/>
      <c r="B2133" s="75"/>
      <c r="C2133" s="75"/>
      <c r="D2133" s="75"/>
      <c r="E2133" s="75"/>
      <c r="F2133" s="75"/>
      <c r="G2133" s="75"/>
      <c r="H2133" s="75"/>
      <c r="I2133" s="75"/>
      <c r="J2133" s="166"/>
      <c r="K2133" s="166"/>
      <c r="R2133" s="163"/>
      <c r="S2133" s="163"/>
    </row>
    <row r="2134">
      <c r="A2134" s="148"/>
      <c r="B2134" s="75"/>
      <c r="C2134" s="75"/>
      <c r="D2134" s="75"/>
      <c r="E2134" s="75"/>
      <c r="F2134" s="75"/>
      <c r="G2134" s="75"/>
      <c r="H2134" s="75"/>
      <c r="I2134" s="75"/>
      <c r="J2134" s="166"/>
      <c r="K2134" s="166"/>
      <c r="R2134" s="163"/>
      <c r="S2134" s="163"/>
    </row>
    <row r="2135">
      <c r="A2135" s="148"/>
      <c r="B2135" s="75"/>
      <c r="C2135" s="75"/>
      <c r="D2135" s="75"/>
      <c r="E2135" s="75"/>
      <c r="F2135" s="75"/>
      <c r="G2135" s="75"/>
      <c r="H2135" s="75"/>
      <c r="I2135" s="75"/>
      <c r="J2135" s="166"/>
      <c r="K2135" s="166"/>
      <c r="R2135" s="163"/>
      <c r="S2135" s="163"/>
    </row>
    <row r="2136">
      <c r="A2136" s="148"/>
      <c r="B2136" s="75"/>
      <c r="C2136" s="75"/>
      <c r="D2136" s="75"/>
      <c r="E2136" s="75"/>
      <c r="F2136" s="75"/>
      <c r="G2136" s="75"/>
      <c r="H2136" s="75"/>
      <c r="I2136" s="75"/>
      <c r="J2136" s="166"/>
      <c r="K2136" s="166"/>
      <c r="R2136" s="163"/>
      <c r="S2136" s="163"/>
    </row>
    <row r="2137">
      <c r="A2137" s="148"/>
      <c r="B2137" s="75"/>
      <c r="C2137" s="75"/>
      <c r="D2137" s="75"/>
      <c r="E2137" s="75"/>
      <c r="F2137" s="75"/>
      <c r="G2137" s="75"/>
      <c r="H2137" s="75"/>
      <c r="I2137" s="75"/>
      <c r="J2137" s="166"/>
      <c r="K2137" s="166"/>
      <c r="R2137" s="163"/>
      <c r="S2137" s="163"/>
    </row>
    <row r="2138">
      <c r="A2138" s="148"/>
      <c r="B2138" s="75"/>
      <c r="C2138" s="75"/>
      <c r="D2138" s="75"/>
      <c r="E2138" s="75"/>
      <c r="F2138" s="75"/>
      <c r="G2138" s="75"/>
      <c r="H2138" s="75"/>
      <c r="I2138" s="75"/>
      <c r="J2138" s="166"/>
      <c r="K2138" s="166"/>
      <c r="R2138" s="163"/>
      <c r="S2138" s="163"/>
    </row>
    <row r="2139">
      <c r="A2139" s="148"/>
      <c r="B2139" s="75"/>
      <c r="C2139" s="75"/>
      <c r="D2139" s="75"/>
      <c r="E2139" s="75"/>
      <c r="F2139" s="75"/>
      <c r="G2139" s="75"/>
      <c r="H2139" s="75"/>
      <c r="I2139" s="75"/>
      <c r="J2139" s="166"/>
      <c r="K2139" s="166"/>
      <c r="R2139" s="173"/>
      <c r="S2139" s="173"/>
    </row>
    <row r="2140">
      <c r="A2140" s="148"/>
      <c r="B2140" s="75"/>
      <c r="C2140" s="75"/>
      <c r="D2140" s="75"/>
      <c r="E2140" s="75"/>
      <c r="F2140" s="75"/>
      <c r="G2140" s="75"/>
      <c r="H2140" s="75"/>
      <c r="I2140" s="75"/>
      <c r="J2140" s="166"/>
      <c r="K2140" s="166"/>
      <c r="R2140" s="157"/>
      <c r="S2140" s="157"/>
    </row>
    <row r="2141">
      <c r="A2141" s="148"/>
      <c r="B2141" s="75"/>
      <c r="C2141" s="75"/>
      <c r="D2141" s="75"/>
      <c r="E2141" s="75"/>
      <c r="F2141" s="75"/>
      <c r="G2141" s="75"/>
      <c r="H2141" s="75"/>
      <c r="I2141" s="75"/>
      <c r="J2141" s="166"/>
      <c r="K2141" s="166"/>
      <c r="R2141" s="163"/>
      <c r="S2141" s="163"/>
    </row>
    <row r="2142">
      <c r="A2142" s="148"/>
      <c r="B2142" s="75"/>
      <c r="C2142" s="75"/>
      <c r="D2142" s="75"/>
      <c r="E2142" s="75"/>
      <c r="F2142" s="75"/>
      <c r="G2142" s="75"/>
      <c r="H2142" s="75"/>
      <c r="I2142" s="75"/>
      <c r="J2142" s="166"/>
      <c r="K2142" s="166"/>
      <c r="R2142" s="163"/>
      <c r="S2142" s="163"/>
    </row>
    <row r="2143">
      <c r="A2143" s="148"/>
      <c r="B2143" s="75"/>
      <c r="C2143" s="75"/>
      <c r="D2143" s="75"/>
      <c r="E2143" s="75"/>
      <c r="F2143" s="75"/>
      <c r="G2143" s="75"/>
      <c r="H2143" s="75"/>
      <c r="I2143" s="75"/>
      <c r="J2143" s="166"/>
      <c r="K2143" s="166"/>
      <c r="R2143" s="163"/>
      <c r="S2143" s="163"/>
    </row>
    <row r="2144">
      <c r="A2144" s="148"/>
      <c r="B2144" s="75"/>
      <c r="C2144" s="75"/>
      <c r="D2144" s="75"/>
      <c r="E2144" s="75"/>
      <c r="F2144" s="75"/>
      <c r="G2144" s="75"/>
      <c r="H2144" s="75"/>
      <c r="I2144" s="75"/>
      <c r="J2144" s="166"/>
      <c r="K2144" s="166"/>
      <c r="R2144" s="163"/>
      <c r="S2144" s="163"/>
    </row>
    <row r="2145">
      <c r="A2145" s="148"/>
      <c r="B2145" s="75"/>
      <c r="C2145" s="75"/>
      <c r="D2145" s="75"/>
      <c r="E2145" s="75"/>
      <c r="F2145" s="75"/>
      <c r="G2145" s="75"/>
      <c r="H2145" s="75"/>
      <c r="I2145" s="75"/>
      <c r="J2145" s="166"/>
      <c r="K2145" s="166"/>
      <c r="R2145" s="163"/>
      <c r="S2145" s="163"/>
    </row>
    <row r="2146">
      <c r="A2146" s="148"/>
      <c r="B2146" s="75"/>
      <c r="C2146" s="75"/>
      <c r="D2146" s="75"/>
      <c r="E2146" s="75"/>
      <c r="F2146" s="75"/>
      <c r="G2146" s="75"/>
      <c r="H2146" s="75"/>
      <c r="I2146" s="75"/>
      <c r="J2146" s="166"/>
      <c r="K2146" s="166"/>
      <c r="R2146" s="163"/>
      <c r="S2146" s="163"/>
    </row>
    <row r="2147">
      <c r="A2147" s="148"/>
      <c r="B2147" s="75"/>
      <c r="C2147" s="75"/>
      <c r="D2147" s="75"/>
      <c r="E2147" s="75"/>
      <c r="F2147" s="75"/>
      <c r="G2147" s="75"/>
      <c r="H2147" s="75"/>
      <c r="I2147" s="75"/>
      <c r="J2147" s="166"/>
      <c r="K2147" s="166"/>
      <c r="R2147" s="163"/>
      <c r="S2147" s="163"/>
    </row>
    <row r="2148">
      <c r="A2148" s="148"/>
      <c r="B2148" s="75"/>
      <c r="C2148" s="75"/>
      <c r="D2148" s="75"/>
      <c r="E2148" s="75"/>
      <c r="F2148" s="75"/>
      <c r="G2148" s="75"/>
      <c r="H2148" s="75"/>
      <c r="I2148" s="75"/>
      <c r="J2148" s="166"/>
      <c r="K2148" s="166"/>
      <c r="R2148" s="163"/>
      <c r="S2148" s="163"/>
    </row>
    <row r="2149">
      <c r="A2149" s="148"/>
      <c r="B2149" s="75"/>
      <c r="C2149" s="75"/>
      <c r="D2149" s="75"/>
      <c r="E2149" s="75"/>
      <c r="F2149" s="75"/>
      <c r="G2149" s="75"/>
      <c r="H2149" s="75"/>
      <c r="I2149" s="75"/>
      <c r="J2149" s="166"/>
      <c r="K2149" s="166"/>
      <c r="R2149" s="163"/>
      <c r="S2149" s="163"/>
    </row>
    <row r="2150">
      <c r="A2150" s="148"/>
      <c r="B2150" s="75"/>
      <c r="C2150" s="75"/>
      <c r="D2150" s="75"/>
      <c r="E2150" s="75"/>
      <c r="F2150" s="75"/>
      <c r="G2150" s="75"/>
      <c r="H2150" s="75"/>
      <c r="I2150" s="75"/>
      <c r="J2150" s="166"/>
      <c r="K2150" s="166"/>
      <c r="R2150" s="163"/>
      <c r="S2150" s="163"/>
    </row>
    <row r="2151">
      <c r="A2151" s="148"/>
      <c r="B2151" s="75"/>
      <c r="C2151" s="75"/>
      <c r="D2151" s="75"/>
      <c r="E2151" s="75"/>
      <c r="F2151" s="75"/>
      <c r="G2151" s="75"/>
      <c r="H2151" s="75"/>
      <c r="I2151" s="75"/>
      <c r="J2151" s="166"/>
      <c r="K2151" s="166"/>
      <c r="R2151" s="173"/>
      <c r="S2151" s="173"/>
    </row>
    <row r="2152">
      <c r="A2152" s="148"/>
      <c r="B2152" s="75"/>
      <c r="C2152" s="75"/>
      <c r="D2152" s="75"/>
      <c r="E2152" s="75"/>
      <c r="F2152" s="75"/>
      <c r="G2152" s="75"/>
      <c r="H2152" s="75"/>
      <c r="I2152" s="75"/>
      <c r="J2152" s="166"/>
      <c r="K2152" s="166"/>
      <c r="R2152" s="157"/>
      <c r="S2152" s="157"/>
    </row>
    <row r="2153">
      <c r="A2153" s="148"/>
      <c r="B2153" s="75"/>
      <c r="C2153" s="75"/>
      <c r="D2153" s="75"/>
      <c r="E2153" s="75"/>
      <c r="F2153" s="75"/>
      <c r="G2153" s="75"/>
      <c r="H2153" s="75"/>
      <c r="I2153" s="75"/>
      <c r="J2153" s="166"/>
      <c r="K2153" s="166"/>
      <c r="R2153" s="163"/>
      <c r="S2153" s="163"/>
    </row>
    <row r="2154">
      <c r="A2154" s="148"/>
      <c r="B2154" s="75"/>
      <c r="C2154" s="75"/>
      <c r="D2154" s="75"/>
      <c r="E2154" s="75"/>
      <c r="F2154" s="75"/>
      <c r="G2154" s="75"/>
      <c r="H2154" s="75"/>
      <c r="I2154" s="75"/>
      <c r="J2154" s="166"/>
      <c r="K2154" s="166"/>
      <c r="R2154" s="163"/>
      <c r="S2154" s="163"/>
    </row>
    <row r="2155">
      <c r="A2155" s="148"/>
      <c r="B2155" s="75"/>
      <c r="C2155" s="75"/>
      <c r="D2155" s="75"/>
      <c r="E2155" s="75"/>
      <c r="F2155" s="75"/>
      <c r="G2155" s="75"/>
      <c r="H2155" s="75"/>
      <c r="I2155" s="75"/>
      <c r="J2155" s="166"/>
      <c r="K2155" s="166"/>
      <c r="R2155" s="163"/>
      <c r="S2155" s="163"/>
    </row>
    <row r="2156">
      <c r="A2156" s="148"/>
      <c r="B2156" s="75"/>
      <c r="C2156" s="75"/>
      <c r="D2156" s="75"/>
      <c r="E2156" s="75"/>
      <c r="F2156" s="75"/>
      <c r="G2156" s="75"/>
      <c r="H2156" s="75"/>
      <c r="I2156" s="75"/>
      <c r="J2156" s="166"/>
      <c r="K2156" s="166"/>
      <c r="R2156" s="163"/>
      <c r="S2156" s="163"/>
    </row>
    <row r="2157">
      <c r="A2157" s="148"/>
      <c r="B2157" s="75"/>
      <c r="C2157" s="75"/>
      <c r="D2157" s="75"/>
      <c r="E2157" s="75"/>
      <c r="F2157" s="75"/>
      <c r="G2157" s="75"/>
      <c r="H2157" s="75"/>
      <c r="I2157" s="75"/>
      <c r="J2157" s="166"/>
      <c r="K2157" s="166"/>
      <c r="R2157" s="163"/>
      <c r="S2157" s="163"/>
    </row>
    <row r="2158">
      <c r="A2158" s="148"/>
      <c r="B2158" s="75"/>
      <c r="C2158" s="75"/>
      <c r="D2158" s="75"/>
      <c r="E2158" s="75"/>
      <c r="F2158" s="75"/>
      <c r="G2158" s="75"/>
      <c r="H2158" s="75"/>
      <c r="I2158" s="75"/>
      <c r="J2158" s="166"/>
      <c r="K2158" s="166"/>
      <c r="R2158" s="163"/>
      <c r="S2158" s="163"/>
    </row>
    <row r="2159">
      <c r="A2159" s="148"/>
      <c r="B2159" s="75"/>
      <c r="C2159" s="75"/>
      <c r="D2159" s="75"/>
      <c r="E2159" s="75"/>
      <c r="F2159" s="75"/>
      <c r="G2159" s="75"/>
      <c r="H2159" s="75"/>
      <c r="I2159" s="75"/>
      <c r="J2159" s="166"/>
      <c r="K2159" s="166"/>
      <c r="R2159" s="163"/>
      <c r="S2159" s="163"/>
    </row>
    <row r="2160">
      <c r="A2160" s="148"/>
      <c r="B2160" s="75"/>
      <c r="C2160" s="75"/>
      <c r="D2160" s="75"/>
      <c r="E2160" s="75"/>
      <c r="F2160" s="75"/>
      <c r="G2160" s="75"/>
      <c r="H2160" s="75"/>
      <c r="I2160" s="75"/>
      <c r="J2160" s="166"/>
      <c r="K2160" s="166"/>
      <c r="R2160" s="163"/>
      <c r="S2160" s="163"/>
    </row>
    <row r="2161">
      <c r="A2161" s="148"/>
      <c r="B2161" s="75"/>
      <c r="C2161" s="75"/>
      <c r="D2161" s="75"/>
      <c r="E2161" s="75"/>
      <c r="F2161" s="75"/>
      <c r="G2161" s="75"/>
      <c r="H2161" s="75"/>
      <c r="I2161" s="75"/>
      <c r="J2161" s="166"/>
      <c r="K2161" s="166"/>
      <c r="R2161" s="163"/>
      <c r="S2161" s="163"/>
    </row>
    <row r="2162">
      <c r="A2162" s="148"/>
      <c r="B2162" s="75"/>
      <c r="C2162" s="75"/>
      <c r="D2162" s="75"/>
      <c r="E2162" s="75"/>
      <c r="F2162" s="75"/>
      <c r="G2162" s="75"/>
      <c r="H2162" s="75"/>
      <c r="I2162" s="75"/>
      <c r="J2162" s="166"/>
      <c r="K2162" s="166"/>
      <c r="R2162" s="163"/>
      <c r="S2162" s="163"/>
    </row>
    <row r="2163">
      <c r="A2163" s="148"/>
      <c r="B2163" s="75"/>
      <c r="C2163" s="75"/>
      <c r="D2163" s="75"/>
      <c r="E2163" s="75"/>
      <c r="F2163" s="75"/>
      <c r="G2163" s="75"/>
      <c r="H2163" s="75"/>
      <c r="I2163" s="75"/>
      <c r="J2163" s="166"/>
      <c r="K2163" s="166"/>
      <c r="R2163" s="173"/>
      <c r="S2163" s="173"/>
    </row>
    <row r="2164">
      <c r="A2164" s="148"/>
      <c r="B2164" s="75"/>
      <c r="C2164" s="75"/>
      <c r="D2164" s="75"/>
      <c r="E2164" s="75"/>
      <c r="F2164" s="75"/>
      <c r="G2164" s="75"/>
      <c r="H2164" s="75"/>
      <c r="I2164" s="75"/>
      <c r="J2164" s="166"/>
      <c r="K2164" s="166"/>
      <c r="R2164" s="157"/>
      <c r="S2164" s="157"/>
    </row>
    <row r="2165">
      <c r="A2165" s="148"/>
      <c r="B2165" s="75"/>
      <c r="C2165" s="75"/>
      <c r="D2165" s="75"/>
      <c r="E2165" s="75"/>
      <c r="F2165" s="75"/>
      <c r="G2165" s="75"/>
      <c r="H2165" s="75"/>
      <c r="I2165" s="75"/>
      <c r="J2165" s="166"/>
      <c r="K2165" s="166"/>
      <c r="R2165" s="163"/>
      <c r="S2165" s="163"/>
    </row>
    <row r="2166">
      <c r="A2166" s="148"/>
      <c r="B2166" s="75"/>
      <c r="C2166" s="75"/>
      <c r="D2166" s="75"/>
      <c r="E2166" s="75"/>
      <c r="F2166" s="75"/>
      <c r="G2166" s="75"/>
      <c r="H2166" s="75"/>
      <c r="I2166" s="75"/>
      <c r="J2166" s="166"/>
      <c r="K2166" s="166"/>
      <c r="R2166" s="163"/>
      <c r="S2166" s="163"/>
    </row>
    <row r="2167">
      <c r="A2167" s="148"/>
      <c r="B2167" s="75"/>
      <c r="C2167" s="75"/>
      <c r="D2167" s="75"/>
      <c r="E2167" s="75"/>
      <c r="F2167" s="75"/>
      <c r="G2167" s="75"/>
      <c r="H2167" s="75"/>
      <c r="I2167" s="75"/>
      <c r="J2167" s="166"/>
      <c r="K2167" s="166"/>
      <c r="R2167" s="163"/>
      <c r="S2167" s="163"/>
    </row>
    <row r="2168">
      <c r="A2168" s="148"/>
      <c r="B2168" s="75"/>
      <c r="C2168" s="75"/>
      <c r="D2168" s="75"/>
      <c r="E2168" s="75"/>
      <c r="F2168" s="75"/>
      <c r="G2168" s="75"/>
      <c r="H2168" s="75"/>
      <c r="I2168" s="75"/>
      <c r="J2168" s="166"/>
      <c r="K2168" s="166"/>
      <c r="R2168" s="163"/>
      <c r="S2168" s="163"/>
    </row>
    <row r="2169">
      <c r="A2169" s="148"/>
      <c r="B2169" s="75"/>
      <c r="C2169" s="75"/>
      <c r="D2169" s="75"/>
      <c r="E2169" s="75"/>
      <c r="F2169" s="75"/>
      <c r="G2169" s="75"/>
      <c r="H2169" s="75"/>
      <c r="I2169" s="75"/>
      <c r="J2169" s="166"/>
      <c r="K2169" s="166"/>
      <c r="R2169" s="163"/>
      <c r="S2169" s="163"/>
    </row>
    <row r="2170">
      <c r="A2170" s="148"/>
      <c r="B2170" s="75"/>
      <c r="C2170" s="75"/>
      <c r="D2170" s="75"/>
      <c r="E2170" s="75"/>
      <c r="F2170" s="75"/>
      <c r="G2170" s="75"/>
      <c r="H2170" s="75"/>
      <c r="I2170" s="75"/>
      <c r="J2170" s="166"/>
      <c r="K2170" s="166"/>
      <c r="R2170" s="163"/>
      <c r="S2170" s="163"/>
    </row>
    <row r="2171">
      <c r="A2171" s="148"/>
      <c r="B2171" s="75"/>
      <c r="C2171" s="75"/>
      <c r="D2171" s="75"/>
      <c r="E2171" s="75"/>
      <c r="F2171" s="75"/>
      <c r="G2171" s="75"/>
      <c r="H2171" s="75"/>
      <c r="I2171" s="75"/>
      <c r="J2171" s="166"/>
      <c r="K2171" s="166"/>
      <c r="R2171" s="163"/>
      <c r="S2171" s="163"/>
    </row>
    <row r="2172">
      <c r="A2172" s="148"/>
      <c r="B2172" s="75"/>
      <c r="C2172" s="75"/>
      <c r="D2172" s="75"/>
      <c r="E2172" s="75"/>
      <c r="F2172" s="75"/>
      <c r="G2172" s="75"/>
      <c r="H2172" s="75"/>
      <c r="I2172" s="75"/>
      <c r="J2172" s="166"/>
      <c r="K2172" s="166"/>
      <c r="R2172" s="163"/>
      <c r="S2172" s="163"/>
    </row>
    <row r="2173">
      <c r="A2173" s="148"/>
      <c r="B2173" s="75"/>
      <c r="C2173" s="75"/>
      <c r="D2173" s="75"/>
      <c r="E2173" s="75"/>
      <c r="F2173" s="75"/>
      <c r="G2173" s="75"/>
      <c r="H2173" s="75"/>
      <c r="I2173" s="75"/>
      <c r="J2173" s="166"/>
      <c r="K2173" s="166"/>
      <c r="R2173" s="163"/>
      <c r="S2173" s="163"/>
    </row>
    <row r="2174">
      <c r="A2174" s="148"/>
      <c r="B2174" s="75"/>
      <c r="C2174" s="75"/>
      <c r="D2174" s="75"/>
      <c r="E2174" s="75"/>
      <c r="F2174" s="75"/>
      <c r="G2174" s="75"/>
      <c r="H2174" s="75"/>
      <c r="I2174" s="75"/>
      <c r="J2174" s="166"/>
      <c r="K2174" s="166"/>
      <c r="R2174" s="163"/>
      <c r="S2174" s="163"/>
    </row>
    <row r="2175">
      <c r="A2175" s="148"/>
      <c r="B2175" s="75"/>
      <c r="C2175" s="75"/>
      <c r="D2175" s="75"/>
      <c r="E2175" s="75"/>
      <c r="F2175" s="75"/>
      <c r="G2175" s="75"/>
      <c r="H2175" s="75"/>
      <c r="I2175" s="75"/>
      <c r="J2175" s="166"/>
      <c r="K2175" s="166"/>
      <c r="R2175" s="173"/>
      <c r="S2175" s="173"/>
    </row>
    <row r="2176">
      <c r="A2176" s="148"/>
      <c r="B2176" s="75"/>
      <c r="C2176" s="75"/>
      <c r="D2176" s="75"/>
      <c r="E2176" s="75"/>
      <c r="F2176" s="75"/>
      <c r="G2176" s="75"/>
      <c r="H2176" s="75"/>
      <c r="I2176" s="75"/>
      <c r="J2176" s="166"/>
      <c r="K2176" s="166"/>
      <c r="R2176" s="157"/>
      <c r="S2176" s="157"/>
    </row>
    <row r="2177">
      <c r="A2177" s="148"/>
      <c r="B2177" s="75"/>
      <c r="C2177" s="75"/>
      <c r="D2177" s="75"/>
      <c r="E2177" s="75"/>
      <c r="F2177" s="75"/>
      <c r="G2177" s="75"/>
      <c r="H2177" s="75"/>
      <c r="I2177" s="75"/>
      <c r="J2177" s="166"/>
      <c r="K2177" s="166"/>
      <c r="R2177" s="163"/>
      <c r="S2177" s="163"/>
    </row>
    <row r="2178">
      <c r="A2178" s="148"/>
      <c r="B2178" s="75"/>
      <c r="C2178" s="75"/>
      <c r="D2178" s="75"/>
      <c r="E2178" s="75"/>
      <c r="F2178" s="75"/>
      <c r="G2178" s="75"/>
      <c r="H2178" s="75"/>
      <c r="I2178" s="75"/>
      <c r="J2178" s="166"/>
      <c r="K2178" s="166"/>
      <c r="R2178" s="163"/>
      <c r="S2178" s="163"/>
    </row>
    <row r="2179">
      <c r="A2179" s="148"/>
      <c r="B2179" s="75"/>
      <c r="C2179" s="75"/>
      <c r="D2179" s="75"/>
      <c r="E2179" s="75"/>
      <c r="F2179" s="75"/>
      <c r="G2179" s="75"/>
      <c r="H2179" s="75"/>
      <c r="I2179" s="75"/>
      <c r="J2179" s="166"/>
      <c r="K2179" s="166"/>
      <c r="R2179" s="163"/>
      <c r="S2179" s="163"/>
    </row>
    <row r="2180">
      <c r="A2180" s="148"/>
      <c r="B2180" s="75"/>
      <c r="C2180" s="75"/>
      <c r="D2180" s="75"/>
      <c r="E2180" s="75"/>
      <c r="F2180" s="75"/>
      <c r="G2180" s="75"/>
      <c r="H2180" s="75"/>
      <c r="I2180" s="75"/>
      <c r="J2180" s="166"/>
      <c r="K2180" s="166"/>
      <c r="R2180" s="163"/>
      <c r="S2180" s="163"/>
    </row>
    <row r="2181">
      <c r="A2181" s="148"/>
      <c r="B2181" s="75"/>
      <c r="C2181" s="75"/>
      <c r="D2181" s="75"/>
      <c r="E2181" s="75"/>
      <c r="F2181" s="75"/>
      <c r="G2181" s="75"/>
      <c r="H2181" s="75"/>
      <c r="I2181" s="75"/>
      <c r="J2181" s="166"/>
      <c r="K2181" s="166"/>
      <c r="R2181" s="163"/>
      <c r="S2181" s="163"/>
    </row>
    <row r="2182">
      <c r="A2182" s="148"/>
      <c r="B2182" s="75"/>
      <c r="C2182" s="75"/>
      <c r="D2182" s="75"/>
      <c r="E2182" s="75"/>
      <c r="F2182" s="75"/>
      <c r="G2182" s="75"/>
      <c r="H2182" s="75"/>
      <c r="I2182" s="75"/>
      <c r="J2182" s="166"/>
      <c r="K2182" s="166"/>
      <c r="R2182" s="163"/>
      <c r="S2182" s="163"/>
    </row>
    <row r="2183">
      <c r="A2183" s="148"/>
      <c r="B2183" s="75"/>
      <c r="C2183" s="75"/>
      <c r="D2183" s="75"/>
      <c r="E2183" s="75"/>
      <c r="F2183" s="75"/>
      <c r="G2183" s="75"/>
      <c r="H2183" s="75"/>
      <c r="I2183" s="75"/>
      <c r="J2183" s="166"/>
      <c r="K2183" s="166"/>
      <c r="R2183" s="163"/>
      <c r="S2183" s="163"/>
    </row>
    <row r="2184">
      <c r="A2184" s="148"/>
      <c r="B2184" s="75"/>
      <c r="C2184" s="75"/>
      <c r="D2184" s="75"/>
      <c r="E2184" s="75"/>
      <c r="F2184" s="75"/>
      <c r="G2184" s="75"/>
      <c r="H2184" s="75"/>
      <c r="I2184" s="75"/>
      <c r="J2184" s="166"/>
      <c r="K2184" s="166"/>
      <c r="R2184" s="163"/>
      <c r="S2184" s="163"/>
    </row>
    <row r="2185">
      <c r="A2185" s="148"/>
      <c r="B2185" s="75"/>
      <c r="C2185" s="75"/>
      <c r="D2185" s="75"/>
      <c r="E2185" s="75"/>
      <c r="F2185" s="75"/>
      <c r="G2185" s="75"/>
      <c r="H2185" s="75"/>
      <c r="I2185" s="75"/>
      <c r="J2185" s="166"/>
      <c r="K2185" s="166"/>
      <c r="R2185" s="163"/>
      <c r="S2185" s="163"/>
    </row>
    <row r="2186">
      <c r="A2186" s="148"/>
      <c r="B2186" s="75"/>
      <c r="C2186" s="75"/>
      <c r="D2186" s="75"/>
      <c r="E2186" s="75"/>
      <c r="F2186" s="75"/>
      <c r="G2186" s="75"/>
      <c r="H2186" s="75"/>
      <c r="I2186" s="75"/>
      <c r="J2186" s="166"/>
      <c r="K2186" s="166"/>
      <c r="R2186" s="163"/>
      <c r="S2186" s="163"/>
    </row>
    <row r="2187">
      <c r="A2187" s="148"/>
      <c r="B2187" s="75"/>
      <c r="C2187" s="75"/>
      <c r="D2187" s="75"/>
      <c r="E2187" s="75"/>
      <c r="F2187" s="75"/>
      <c r="G2187" s="75"/>
      <c r="H2187" s="75"/>
      <c r="I2187" s="75"/>
      <c r="J2187" s="166"/>
      <c r="K2187" s="166"/>
      <c r="R2187" s="173"/>
      <c r="S2187" s="173"/>
    </row>
    <row r="2188">
      <c r="A2188" s="148"/>
      <c r="B2188" s="75"/>
      <c r="C2188" s="75"/>
      <c r="D2188" s="75"/>
      <c r="E2188" s="75"/>
      <c r="F2188" s="75"/>
      <c r="G2188" s="75"/>
      <c r="H2188" s="75"/>
      <c r="I2188" s="75"/>
      <c r="J2188" s="166"/>
      <c r="K2188" s="166"/>
      <c r="R2188" s="157"/>
      <c r="S2188" s="157"/>
    </row>
    <row r="2189">
      <c r="A2189" s="148"/>
      <c r="B2189" s="75"/>
      <c r="C2189" s="75"/>
      <c r="D2189" s="75"/>
      <c r="E2189" s="75"/>
      <c r="F2189" s="75"/>
      <c r="G2189" s="75"/>
      <c r="H2189" s="75"/>
      <c r="I2189" s="75"/>
      <c r="J2189" s="166"/>
      <c r="K2189" s="166"/>
      <c r="R2189" s="163"/>
      <c r="S2189" s="163"/>
    </row>
    <row r="2190">
      <c r="A2190" s="148"/>
      <c r="B2190" s="75"/>
      <c r="C2190" s="75"/>
      <c r="D2190" s="75"/>
      <c r="E2190" s="75"/>
      <c r="F2190" s="75"/>
      <c r="G2190" s="75"/>
      <c r="H2190" s="75"/>
      <c r="I2190" s="75"/>
      <c r="J2190" s="166"/>
      <c r="K2190" s="166"/>
      <c r="R2190" s="163"/>
      <c r="S2190" s="163"/>
    </row>
    <row r="2191">
      <c r="A2191" s="148"/>
      <c r="B2191" s="75"/>
      <c r="C2191" s="75"/>
      <c r="D2191" s="75"/>
      <c r="E2191" s="75"/>
      <c r="F2191" s="75"/>
      <c r="G2191" s="75"/>
      <c r="H2191" s="75"/>
      <c r="I2191" s="75"/>
      <c r="J2191" s="166"/>
      <c r="K2191" s="166"/>
      <c r="R2191" s="163"/>
      <c r="S2191" s="163"/>
    </row>
    <row r="2192">
      <c r="A2192" s="148"/>
      <c r="B2192" s="75"/>
      <c r="C2192" s="75"/>
      <c r="D2192" s="75"/>
      <c r="E2192" s="75"/>
      <c r="F2192" s="75"/>
      <c r="G2192" s="75"/>
      <c r="H2192" s="75"/>
      <c r="I2192" s="75"/>
      <c r="J2192" s="166"/>
      <c r="K2192" s="166"/>
      <c r="R2192" s="163"/>
      <c r="S2192" s="163"/>
    </row>
    <row r="2193">
      <c r="A2193" s="148"/>
      <c r="B2193" s="75"/>
      <c r="C2193" s="75"/>
      <c r="D2193" s="75"/>
      <c r="E2193" s="75"/>
      <c r="F2193" s="75"/>
      <c r="G2193" s="75"/>
      <c r="H2193" s="75"/>
      <c r="I2193" s="75"/>
      <c r="J2193" s="166"/>
      <c r="K2193" s="166"/>
      <c r="R2193" s="163"/>
      <c r="S2193" s="163"/>
    </row>
    <row r="2194">
      <c r="A2194" s="148"/>
      <c r="B2194" s="75"/>
      <c r="C2194" s="75"/>
      <c r="D2194" s="75"/>
      <c r="E2194" s="75"/>
      <c r="F2194" s="75"/>
      <c r="G2194" s="75"/>
      <c r="H2194" s="75"/>
      <c r="I2194" s="75"/>
      <c r="J2194" s="166"/>
      <c r="K2194" s="166"/>
      <c r="R2194" s="163"/>
      <c r="S2194" s="163"/>
    </row>
    <row r="2195">
      <c r="A2195" s="148"/>
      <c r="B2195" s="75"/>
      <c r="C2195" s="75"/>
      <c r="D2195" s="75"/>
      <c r="E2195" s="75"/>
      <c r="F2195" s="75"/>
      <c r="G2195" s="75"/>
      <c r="H2195" s="75"/>
      <c r="I2195" s="75"/>
      <c r="J2195" s="166"/>
      <c r="K2195" s="166"/>
      <c r="R2195" s="163"/>
      <c r="S2195" s="163"/>
    </row>
    <row r="2196">
      <c r="A2196" s="148"/>
      <c r="B2196" s="75"/>
      <c r="C2196" s="75"/>
      <c r="D2196" s="75"/>
      <c r="E2196" s="75"/>
      <c r="F2196" s="75"/>
      <c r="G2196" s="75"/>
      <c r="H2196" s="75"/>
      <c r="I2196" s="75"/>
      <c r="J2196" s="166"/>
      <c r="K2196" s="166"/>
      <c r="R2196" s="163"/>
      <c r="S2196" s="163"/>
    </row>
    <row r="2197">
      <c r="A2197" s="148"/>
      <c r="B2197" s="75"/>
      <c r="C2197" s="75"/>
      <c r="D2197" s="75"/>
      <c r="E2197" s="75"/>
      <c r="F2197" s="75"/>
      <c r="G2197" s="75"/>
      <c r="H2197" s="75"/>
      <c r="I2197" s="75"/>
      <c r="J2197" s="166"/>
      <c r="K2197" s="166"/>
      <c r="R2197" s="163"/>
      <c r="S2197" s="163"/>
    </row>
    <row r="2198">
      <c r="A2198" s="148"/>
      <c r="B2198" s="75"/>
      <c r="C2198" s="75"/>
      <c r="D2198" s="75"/>
      <c r="E2198" s="75"/>
      <c r="F2198" s="75"/>
      <c r="G2198" s="75"/>
      <c r="H2198" s="75"/>
      <c r="I2198" s="75"/>
      <c r="J2198" s="166"/>
      <c r="K2198" s="166"/>
      <c r="R2198" s="163"/>
      <c r="S2198" s="163"/>
    </row>
    <row r="2199">
      <c r="A2199" s="148"/>
      <c r="B2199" s="75"/>
      <c r="C2199" s="75"/>
      <c r="D2199" s="75"/>
      <c r="E2199" s="75"/>
      <c r="F2199" s="75"/>
      <c r="G2199" s="75"/>
      <c r="H2199" s="75"/>
      <c r="I2199" s="75"/>
      <c r="J2199" s="166"/>
      <c r="K2199" s="166"/>
      <c r="R2199" s="173"/>
      <c r="S2199" s="173"/>
    </row>
    <row r="2200">
      <c r="A2200" s="148"/>
      <c r="B2200" s="75"/>
      <c r="C2200" s="75"/>
      <c r="D2200" s="75"/>
      <c r="E2200" s="75"/>
      <c r="F2200" s="75"/>
      <c r="G2200" s="75"/>
      <c r="H2200" s="75"/>
      <c r="I2200" s="75"/>
      <c r="J2200" s="166"/>
      <c r="K2200" s="166"/>
      <c r="R2200" s="157"/>
      <c r="S2200" s="157"/>
    </row>
    <row r="2201">
      <c r="A2201" s="148"/>
      <c r="B2201" s="75"/>
      <c r="C2201" s="75"/>
      <c r="D2201" s="75"/>
      <c r="E2201" s="75"/>
      <c r="F2201" s="75"/>
      <c r="G2201" s="75"/>
      <c r="H2201" s="75"/>
      <c r="I2201" s="75"/>
      <c r="J2201" s="166"/>
      <c r="K2201" s="166"/>
      <c r="R2201" s="163"/>
      <c r="S2201" s="163"/>
    </row>
    <row r="2202">
      <c r="A2202" s="148"/>
      <c r="B2202" s="75"/>
      <c r="C2202" s="75"/>
      <c r="D2202" s="75"/>
      <c r="E2202" s="75"/>
      <c r="F2202" s="75"/>
      <c r="G2202" s="75"/>
      <c r="H2202" s="75"/>
      <c r="I2202" s="75"/>
      <c r="J2202" s="166"/>
      <c r="K2202" s="166"/>
      <c r="R2202" s="163"/>
      <c r="S2202" s="163"/>
    </row>
    <row r="2203">
      <c r="A2203" s="148"/>
      <c r="B2203" s="75"/>
      <c r="C2203" s="75"/>
      <c r="D2203" s="75"/>
      <c r="E2203" s="75"/>
      <c r="F2203" s="75"/>
      <c r="G2203" s="75"/>
      <c r="H2203" s="75"/>
      <c r="I2203" s="75"/>
      <c r="J2203" s="166"/>
      <c r="K2203" s="166"/>
      <c r="R2203" s="163"/>
      <c r="S2203" s="163"/>
    </row>
    <row r="2204">
      <c r="A2204" s="148"/>
      <c r="B2204" s="75"/>
      <c r="C2204" s="75"/>
      <c r="D2204" s="75"/>
      <c r="E2204" s="75"/>
      <c r="F2204" s="75"/>
      <c r="G2204" s="75"/>
      <c r="H2204" s="75"/>
      <c r="I2204" s="75"/>
      <c r="J2204" s="166"/>
      <c r="K2204" s="166"/>
      <c r="R2204" s="163"/>
      <c r="S2204" s="163"/>
    </row>
    <row r="2205">
      <c r="A2205" s="148"/>
      <c r="B2205" s="75"/>
      <c r="C2205" s="75"/>
      <c r="D2205" s="75"/>
      <c r="E2205" s="75"/>
      <c r="F2205" s="75"/>
      <c r="G2205" s="75"/>
      <c r="H2205" s="75"/>
      <c r="I2205" s="75"/>
      <c r="J2205" s="166"/>
      <c r="K2205" s="166"/>
      <c r="R2205" s="163"/>
      <c r="S2205" s="163"/>
    </row>
    <row r="2206">
      <c r="A2206" s="148"/>
      <c r="B2206" s="75"/>
      <c r="C2206" s="75"/>
      <c r="D2206" s="75"/>
      <c r="E2206" s="75"/>
      <c r="F2206" s="75"/>
      <c r="G2206" s="75"/>
      <c r="H2206" s="75"/>
      <c r="I2206" s="75"/>
      <c r="J2206" s="166"/>
      <c r="K2206" s="166"/>
      <c r="R2206" s="163"/>
      <c r="S2206" s="163"/>
    </row>
    <row r="2207">
      <c r="A2207" s="148"/>
      <c r="B2207" s="75"/>
      <c r="C2207" s="75"/>
      <c r="D2207" s="75"/>
      <c r="E2207" s="75"/>
      <c r="F2207" s="75"/>
      <c r="G2207" s="75"/>
      <c r="H2207" s="75"/>
      <c r="I2207" s="75"/>
      <c r="J2207" s="166"/>
      <c r="K2207" s="166"/>
      <c r="R2207" s="163"/>
      <c r="S2207" s="163"/>
    </row>
    <row r="2208">
      <c r="A2208" s="148"/>
      <c r="B2208" s="75"/>
      <c r="C2208" s="75"/>
      <c r="D2208" s="75"/>
      <c r="E2208" s="75"/>
      <c r="F2208" s="75"/>
      <c r="G2208" s="75"/>
      <c r="H2208" s="75"/>
      <c r="I2208" s="75"/>
      <c r="J2208" s="166"/>
      <c r="K2208" s="166"/>
      <c r="R2208" s="163"/>
      <c r="S2208" s="163"/>
    </row>
    <row r="2209">
      <c r="A2209" s="148"/>
      <c r="B2209" s="75"/>
      <c r="C2209" s="75"/>
      <c r="D2209" s="75"/>
      <c r="E2209" s="75"/>
      <c r="F2209" s="75"/>
      <c r="G2209" s="75"/>
      <c r="H2209" s="75"/>
      <c r="I2209" s="75"/>
      <c r="J2209" s="166"/>
      <c r="K2209" s="166"/>
      <c r="R2209" s="163"/>
      <c r="S2209" s="163"/>
    </row>
    <row r="2210">
      <c r="A2210" s="148"/>
      <c r="B2210" s="75"/>
      <c r="C2210" s="75"/>
      <c r="D2210" s="75"/>
      <c r="E2210" s="75"/>
      <c r="F2210" s="75"/>
      <c r="G2210" s="75"/>
      <c r="H2210" s="75"/>
      <c r="I2210" s="75"/>
      <c r="J2210" s="166"/>
      <c r="K2210" s="166"/>
      <c r="R2210" s="163"/>
      <c r="S2210" s="163"/>
    </row>
    <row r="2211">
      <c r="A2211" s="148"/>
      <c r="B2211" s="75"/>
      <c r="C2211" s="75"/>
      <c r="D2211" s="75"/>
      <c r="E2211" s="75"/>
      <c r="F2211" s="75"/>
      <c r="G2211" s="75"/>
      <c r="H2211" s="75"/>
      <c r="I2211" s="75"/>
      <c r="J2211" s="166"/>
      <c r="K2211" s="166"/>
      <c r="R2211" s="173"/>
      <c r="S2211" s="173"/>
    </row>
    <row r="2212">
      <c r="A2212" s="148"/>
      <c r="B2212" s="75"/>
      <c r="C2212" s="75"/>
      <c r="D2212" s="75"/>
      <c r="E2212" s="75"/>
      <c r="F2212" s="75"/>
      <c r="G2212" s="75"/>
      <c r="H2212" s="75"/>
      <c r="I2212" s="75"/>
      <c r="J2212" s="166"/>
      <c r="K2212" s="166"/>
      <c r="R2212" s="157"/>
      <c r="S2212" s="157"/>
    </row>
    <row r="2213">
      <c r="A2213" s="148"/>
      <c r="B2213" s="75"/>
      <c r="C2213" s="75"/>
      <c r="D2213" s="75"/>
      <c r="E2213" s="75"/>
      <c r="F2213" s="75"/>
      <c r="G2213" s="75"/>
      <c r="H2213" s="75"/>
      <c r="I2213" s="75"/>
      <c r="J2213" s="166"/>
      <c r="K2213" s="166"/>
      <c r="R2213" s="163"/>
      <c r="S2213" s="163"/>
    </row>
    <row r="2214">
      <c r="A2214" s="148"/>
      <c r="B2214" s="75"/>
      <c r="C2214" s="75"/>
      <c r="D2214" s="75"/>
      <c r="E2214" s="75"/>
      <c r="F2214" s="75"/>
      <c r="G2214" s="75"/>
      <c r="H2214" s="75"/>
      <c r="I2214" s="75"/>
      <c r="J2214" s="166"/>
      <c r="K2214" s="166"/>
      <c r="R2214" s="163"/>
      <c r="S2214" s="163"/>
    </row>
    <row r="2215">
      <c r="A2215" s="148"/>
      <c r="B2215" s="75"/>
      <c r="C2215" s="75"/>
      <c r="D2215" s="75"/>
      <c r="E2215" s="75"/>
      <c r="F2215" s="75"/>
      <c r="G2215" s="75"/>
      <c r="H2215" s="75"/>
      <c r="I2215" s="75"/>
      <c r="J2215" s="166"/>
      <c r="K2215" s="166"/>
      <c r="R2215" s="163"/>
      <c r="S2215" s="163"/>
    </row>
    <row r="2216">
      <c r="A2216" s="148"/>
      <c r="B2216" s="75"/>
      <c r="C2216" s="75"/>
      <c r="D2216" s="75"/>
      <c r="E2216" s="75"/>
      <c r="F2216" s="75"/>
      <c r="G2216" s="75"/>
      <c r="H2216" s="75"/>
      <c r="I2216" s="75"/>
      <c r="J2216" s="166"/>
      <c r="K2216" s="166"/>
      <c r="R2216" s="163"/>
      <c r="S2216" s="163"/>
    </row>
    <row r="2217">
      <c r="A2217" s="148"/>
      <c r="B2217" s="75"/>
      <c r="C2217" s="75"/>
      <c r="D2217" s="75"/>
      <c r="E2217" s="75"/>
      <c r="F2217" s="75"/>
      <c r="G2217" s="75"/>
      <c r="H2217" s="75"/>
      <c r="I2217" s="75"/>
      <c r="J2217" s="166"/>
      <c r="K2217" s="166"/>
      <c r="R2217" s="163"/>
      <c r="S2217" s="163"/>
    </row>
    <row r="2218">
      <c r="A2218" s="148"/>
      <c r="B2218" s="75"/>
      <c r="C2218" s="75"/>
      <c r="D2218" s="75"/>
      <c r="E2218" s="75"/>
      <c r="F2218" s="75"/>
      <c r="G2218" s="75"/>
      <c r="H2218" s="75"/>
      <c r="I2218" s="75"/>
      <c r="J2218" s="166"/>
      <c r="K2218" s="166"/>
      <c r="R2218" s="163"/>
      <c r="S2218" s="163"/>
    </row>
    <row r="2219">
      <c r="A2219" s="148"/>
      <c r="B2219" s="75"/>
      <c r="C2219" s="75"/>
      <c r="D2219" s="75"/>
      <c r="E2219" s="75"/>
      <c r="F2219" s="75"/>
      <c r="G2219" s="75"/>
      <c r="H2219" s="75"/>
      <c r="I2219" s="75"/>
      <c r="J2219" s="166"/>
      <c r="K2219" s="166"/>
      <c r="R2219" s="163"/>
      <c r="S2219" s="163"/>
    </row>
    <row r="2220">
      <c r="A2220" s="148"/>
      <c r="B2220" s="75"/>
      <c r="C2220" s="75"/>
      <c r="D2220" s="75"/>
      <c r="E2220" s="75"/>
      <c r="F2220" s="75"/>
      <c r="G2220" s="75"/>
      <c r="H2220" s="75"/>
      <c r="I2220" s="75"/>
      <c r="J2220" s="166"/>
      <c r="K2220" s="166"/>
      <c r="R2220" s="163"/>
      <c r="S2220" s="163"/>
    </row>
    <row r="2221">
      <c r="A2221" s="148"/>
      <c r="B2221" s="75"/>
      <c r="C2221" s="75"/>
      <c r="D2221" s="75"/>
      <c r="E2221" s="75"/>
      <c r="F2221" s="75"/>
      <c r="G2221" s="75"/>
      <c r="H2221" s="75"/>
      <c r="I2221" s="75"/>
      <c r="J2221" s="166"/>
      <c r="K2221" s="166"/>
      <c r="R2221" s="163"/>
      <c r="S2221" s="163"/>
    </row>
    <row r="2222">
      <c r="A2222" s="148"/>
      <c r="B2222" s="75"/>
      <c r="C2222" s="75"/>
      <c r="D2222" s="75"/>
      <c r="E2222" s="75"/>
      <c r="F2222" s="75"/>
      <c r="G2222" s="75"/>
      <c r="H2222" s="75"/>
      <c r="I2222" s="75"/>
      <c r="J2222" s="166"/>
      <c r="K2222" s="166"/>
      <c r="R2222" s="163"/>
      <c r="S2222" s="163"/>
    </row>
    <row r="2223">
      <c r="A2223" s="148"/>
      <c r="B2223" s="75"/>
      <c r="C2223" s="75"/>
      <c r="D2223" s="75"/>
      <c r="E2223" s="75"/>
      <c r="F2223" s="75"/>
      <c r="G2223" s="75"/>
      <c r="H2223" s="75"/>
      <c r="I2223" s="75"/>
      <c r="J2223" s="166"/>
      <c r="K2223" s="166"/>
      <c r="R2223" s="173"/>
      <c r="S2223" s="173"/>
    </row>
    <row r="2224">
      <c r="A2224" s="148"/>
      <c r="B2224" s="75"/>
      <c r="C2224" s="75"/>
      <c r="D2224" s="75"/>
      <c r="E2224" s="75"/>
      <c r="F2224" s="75"/>
      <c r="G2224" s="75"/>
      <c r="H2224" s="75"/>
      <c r="I2224" s="75"/>
      <c r="J2224" s="166"/>
      <c r="K2224" s="166"/>
      <c r="R2224" s="157"/>
      <c r="S2224" s="157"/>
    </row>
    <row r="2225">
      <c r="A2225" s="148"/>
      <c r="B2225" s="75"/>
      <c r="C2225" s="75"/>
      <c r="D2225" s="75"/>
      <c r="E2225" s="75"/>
      <c r="F2225" s="75"/>
      <c r="G2225" s="75"/>
      <c r="H2225" s="75"/>
      <c r="I2225" s="75"/>
      <c r="J2225" s="166"/>
      <c r="K2225" s="166"/>
      <c r="R2225" s="163"/>
      <c r="S2225" s="163"/>
    </row>
    <row r="2226">
      <c r="A2226" s="148"/>
      <c r="B2226" s="75"/>
      <c r="C2226" s="75"/>
      <c r="D2226" s="75"/>
      <c r="E2226" s="75"/>
      <c r="F2226" s="75"/>
      <c r="G2226" s="75"/>
      <c r="H2226" s="75"/>
      <c r="I2226" s="75"/>
      <c r="J2226" s="166"/>
      <c r="K2226" s="166"/>
      <c r="R2226" s="163"/>
      <c r="S2226" s="163"/>
    </row>
    <row r="2227">
      <c r="A2227" s="148"/>
      <c r="B2227" s="75"/>
      <c r="C2227" s="75"/>
      <c r="D2227" s="75"/>
      <c r="E2227" s="75"/>
      <c r="F2227" s="75"/>
      <c r="G2227" s="75"/>
      <c r="H2227" s="75"/>
      <c r="I2227" s="75"/>
      <c r="J2227" s="166"/>
      <c r="K2227" s="166"/>
      <c r="R2227" s="163"/>
      <c r="S2227" s="163"/>
    </row>
    <row r="2228">
      <c r="A2228" s="148"/>
      <c r="B2228" s="75"/>
      <c r="C2228" s="75"/>
      <c r="D2228" s="75"/>
      <c r="E2228" s="75"/>
      <c r="F2228" s="75"/>
      <c r="G2228" s="75"/>
      <c r="H2228" s="75"/>
      <c r="I2228" s="75"/>
      <c r="J2228" s="166"/>
      <c r="K2228" s="166"/>
      <c r="R2228" s="163"/>
      <c r="S2228" s="163"/>
    </row>
    <row r="2229">
      <c r="A2229" s="148"/>
      <c r="B2229" s="75"/>
      <c r="C2229" s="75"/>
      <c r="D2229" s="75"/>
      <c r="E2229" s="75"/>
      <c r="F2229" s="75"/>
      <c r="G2229" s="75"/>
      <c r="H2229" s="75"/>
      <c r="I2229" s="75"/>
      <c r="J2229" s="166"/>
      <c r="K2229" s="166"/>
      <c r="R2229" s="163"/>
      <c r="S2229" s="163"/>
    </row>
    <row r="2230">
      <c r="A2230" s="148"/>
      <c r="B2230" s="75"/>
      <c r="C2230" s="75"/>
      <c r="D2230" s="75"/>
      <c r="E2230" s="75"/>
      <c r="F2230" s="75"/>
      <c r="G2230" s="75"/>
      <c r="H2230" s="75"/>
      <c r="I2230" s="75"/>
      <c r="J2230" s="166"/>
      <c r="K2230" s="166"/>
      <c r="R2230" s="163"/>
      <c r="S2230" s="163"/>
    </row>
    <row r="2231">
      <c r="A2231" s="148"/>
      <c r="B2231" s="75"/>
      <c r="C2231" s="75"/>
      <c r="D2231" s="75"/>
      <c r="E2231" s="75"/>
      <c r="F2231" s="75"/>
      <c r="G2231" s="75"/>
      <c r="H2231" s="75"/>
      <c r="I2231" s="75"/>
      <c r="J2231" s="166"/>
      <c r="K2231" s="166"/>
      <c r="R2231" s="163"/>
      <c r="S2231" s="163"/>
    </row>
    <row r="2232">
      <c r="A2232" s="148"/>
      <c r="B2232" s="75"/>
      <c r="C2232" s="75"/>
      <c r="D2232" s="75"/>
      <c r="E2232" s="75"/>
      <c r="F2232" s="75"/>
      <c r="G2232" s="75"/>
      <c r="H2232" s="75"/>
      <c r="I2232" s="75"/>
      <c r="J2232" s="166"/>
      <c r="K2232" s="166"/>
      <c r="R2232" s="163"/>
      <c r="S2232" s="163"/>
    </row>
    <row r="2233">
      <c r="A2233" s="148"/>
      <c r="B2233" s="75"/>
      <c r="C2233" s="75"/>
      <c r="D2233" s="75"/>
      <c r="E2233" s="75"/>
      <c r="F2233" s="75"/>
      <c r="G2233" s="75"/>
      <c r="H2233" s="75"/>
      <c r="I2233" s="75"/>
      <c r="J2233" s="166"/>
      <c r="K2233" s="166"/>
      <c r="R2233" s="163"/>
      <c r="S2233" s="163"/>
    </row>
    <row r="2234">
      <c r="A2234" s="148"/>
      <c r="B2234" s="75"/>
      <c r="C2234" s="75"/>
      <c r="D2234" s="75"/>
      <c r="E2234" s="75"/>
      <c r="F2234" s="75"/>
      <c r="G2234" s="75"/>
      <c r="H2234" s="75"/>
      <c r="I2234" s="75"/>
      <c r="J2234" s="166"/>
      <c r="K2234" s="166"/>
      <c r="R2234" s="163"/>
      <c r="S2234" s="163"/>
    </row>
    <row r="2235">
      <c r="A2235" s="148"/>
      <c r="B2235" s="75"/>
      <c r="C2235" s="75"/>
      <c r="D2235" s="75"/>
      <c r="E2235" s="75"/>
      <c r="F2235" s="75"/>
      <c r="G2235" s="75"/>
      <c r="H2235" s="75"/>
      <c r="I2235" s="75"/>
      <c r="J2235" s="166"/>
      <c r="K2235" s="166"/>
      <c r="R2235" s="173"/>
      <c r="S2235" s="173"/>
    </row>
    <row r="2236">
      <c r="A2236" s="148"/>
      <c r="B2236" s="75"/>
      <c r="C2236" s="75"/>
      <c r="D2236" s="75"/>
      <c r="E2236" s="75"/>
      <c r="F2236" s="75"/>
      <c r="G2236" s="75"/>
      <c r="H2236" s="75"/>
      <c r="I2236" s="75"/>
      <c r="J2236" s="166"/>
      <c r="K2236" s="166"/>
      <c r="R2236" s="157"/>
      <c r="S2236" s="157"/>
    </row>
    <row r="2237">
      <c r="A2237" s="148"/>
      <c r="B2237" s="75"/>
      <c r="C2237" s="75"/>
      <c r="D2237" s="75"/>
      <c r="E2237" s="75"/>
      <c r="F2237" s="75"/>
      <c r="G2237" s="75"/>
      <c r="H2237" s="75"/>
      <c r="I2237" s="75"/>
      <c r="J2237" s="166"/>
      <c r="K2237" s="166"/>
      <c r="R2237" s="163"/>
      <c r="S2237" s="163"/>
    </row>
    <row r="2238">
      <c r="A2238" s="148"/>
      <c r="B2238" s="75"/>
      <c r="C2238" s="75"/>
      <c r="D2238" s="75"/>
      <c r="E2238" s="75"/>
      <c r="F2238" s="75"/>
      <c r="G2238" s="75"/>
      <c r="H2238" s="75"/>
      <c r="I2238" s="75"/>
      <c r="J2238" s="166"/>
      <c r="K2238" s="166"/>
      <c r="R2238" s="163"/>
      <c r="S2238" s="163"/>
    </row>
    <row r="2239">
      <c r="A2239" s="148"/>
      <c r="B2239" s="75"/>
      <c r="C2239" s="75"/>
      <c r="D2239" s="75"/>
      <c r="E2239" s="75"/>
      <c r="F2239" s="75"/>
      <c r="G2239" s="75"/>
      <c r="H2239" s="75"/>
      <c r="I2239" s="75"/>
      <c r="J2239" s="166"/>
      <c r="K2239" s="166"/>
      <c r="R2239" s="163"/>
      <c r="S2239" s="163"/>
    </row>
    <row r="2240">
      <c r="A2240" s="148"/>
      <c r="B2240" s="75"/>
      <c r="C2240" s="75"/>
      <c r="D2240" s="75"/>
      <c r="E2240" s="75"/>
      <c r="F2240" s="75"/>
      <c r="G2240" s="75"/>
      <c r="H2240" s="75"/>
      <c r="I2240" s="75"/>
      <c r="J2240" s="166"/>
      <c r="K2240" s="166"/>
      <c r="R2240" s="163"/>
      <c r="S2240" s="163"/>
    </row>
    <row r="2241">
      <c r="A2241" s="148"/>
      <c r="B2241" s="75"/>
      <c r="C2241" s="75"/>
      <c r="D2241" s="75"/>
      <c r="E2241" s="75"/>
      <c r="F2241" s="75"/>
      <c r="G2241" s="75"/>
      <c r="H2241" s="75"/>
      <c r="I2241" s="75"/>
      <c r="J2241" s="166"/>
      <c r="K2241" s="166"/>
      <c r="R2241" s="163"/>
      <c r="S2241" s="163"/>
    </row>
    <row r="2242">
      <c r="A2242" s="148"/>
      <c r="B2242" s="75"/>
      <c r="C2242" s="75"/>
      <c r="D2242" s="75"/>
      <c r="E2242" s="75"/>
      <c r="F2242" s="75"/>
      <c r="G2242" s="75"/>
      <c r="H2242" s="75"/>
      <c r="I2242" s="75"/>
      <c r="J2242" s="166"/>
      <c r="K2242" s="166"/>
      <c r="R2242" s="163"/>
      <c r="S2242" s="163"/>
    </row>
    <row r="2243">
      <c r="A2243" s="148"/>
      <c r="B2243" s="75"/>
      <c r="C2243" s="75"/>
      <c r="D2243" s="75"/>
      <c r="E2243" s="75"/>
      <c r="F2243" s="75"/>
      <c r="G2243" s="75"/>
      <c r="H2243" s="75"/>
      <c r="I2243" s="75"/>
      <c r="J2243" s="166"/>
      <c r="K2243" s="166"/>
      <c r="R2243" s="163"/>
      <c r="S2243" s="163"/>
    </row>
    <row r="2244">
      <c r="A2244" s="148"/>
      <c r="B2244" s="75"/>
      <c r="C2244" s="75"/>
      <c r="D2244" s="75"/>
      <c r="E2244" s="75"/>
      <c r="F2244" s="75"/>
      <c r="G2244" s="75"/>
      <c r="H2244" s="75"/>
      <c r="I2244" s="75"/>
      <c r="J2244" s="166"/>
      <c r="K2244" s="166"/>
      <c r="R2244" s="163"/>
      <c r="S2244" s="163"/>
    </row>
    <row r="2245">
      <c r="A2245" s="148"/>
      <c r="B2245" s="75"/>
      <c r="C2245" s="75"/>
      <c r="D2245" s="75"/>
      <c r="E2245" s="75"/>
      <c r="F2245" s="75"/>
      <c r="G2245" s="75"/>
      <c r="H2245" s="75"/>
      <c r="I2245" s="75"/>
      <c r="J2245" s="166"/>
      <c r="K2245" s="166"/>
      <c r="R2245" s="163"/>
      <c r="S2245" s="163"/>
    </row>
    <row r="2246">
      <c r="A2246" s="148"/>
      <c r="B2246" s="75"/>
      <c r="C2246" s="75"/>
      <c r="D2246" s="75"/>
      <c r="E2246" s="75"/>
      <c r="F2246" s="75"/>
      <c r="G2246" s="75"/>
      <c r="H2246" s="75"/>
      <c r="I2246" s="75"/>
      <c r="J2246" s="166"/>
      <c r="K2246" s="166"/>
      <c r="R2246" s="163"/>
      <c r="S2246" s="163"/>
    </row>
    <row r="2247">
      <c r="A2247" s="148"/>
      <c r="B2247" s="75"/>
      <c r="C2247" s="75"/>
      <c r="D2247" s="75"/>
      <c r="E2247" s="75"/>
      <c r="F2247" s="75"/>
      <c r="G2247" s="75"/>
      <c r="H2247" s="75"/>
      <c r="I2247" s="75"/>
      <c r="J2247" s="166"/>
      <c r="K2247" s="166"/>
      <c r="R2247" s="173"/>
      <c r="S2247" s="173"/>
    </row>
    <row r="2248">
      <c r="A2248" s="148"/>
      <c r="B2248" s="75"/>
      <c r="C2248" s="75"/>
      <c r="D2248" s="75"/>
      <c r="E2248" s="75"/>
      <c r="F2248" s="75"/>
      <c r="G2248" s="75"/>
      <c r="H2248" s="75"/>
      <c r="I2248" s="75"/>
      <c r="J2248" s="166"/>
      <c r="K2248" s="166"/>
      <c r="R2248" s="157"/>
      <c r="S2248" s="157"/>
    </row>
    <row r="2249">
      <c r="A2249" s="148"/>
      <c r="B2249" s="75"/>
      <c r="C2249" s="75"/>
      <c r="D2249" s="75"/>
      <c r="E2249" s="75"/>
      <c r="F2249" s="75"/>
      <c r="G2249" s="75"/>
      <c r="H2249" s="75"/>
      <c r="I2249" s="75"/>
      <c r="J2249" s="166"/>
      <c r="K2249" s="166"/>
      <c r="R2249" s="163"/>
      <c r="S2249" s="163"/>
    </row>
    <row r="2250">
      <c r="A2250" s="148"/>
      <c r="B2250" s="75"/>
      <c r="C2250" s="75"/>
      <c r="D2250" s="75"/>
      <c r="E2250" s="75"/>
      <c r="F2250" s="75"/>
      <c r="G2250" s="75"/>
      <c r="H2250" s="75"/>
      <c r="I2250" s="75"/>
      <c r="J2250" s="166"/>
      <c r="K2250" s="166"/>
      <c r="R2250" s="163"/>
      <c r="S2250" s="163"/>
    </row>
    <row r="2251">
      <c r="A2251" s="148"/>
      <c r="B2251" s="75"/>
      <c r="C2251" s="75"/>
      <c r="D2251" s="75"/>
      <c r="E2251" s="75"/>
      <c r="F2251" s="75"/>
      <c r="G2251" s="75"/>
      <c r="H2251" s="75"/>
      <c r="I2251" s="75"/>
      <c r="J2251" s="166"/>
      <c r="K2251" s="166"/>
      <c r="R2251" s="163"/>
      <c r="S2251" s="163"/>
    </row>
    <row r="2252">
      <c r="A2252" s="148"/>
      <c r="B2252" s="75"/>
      <c r="C2252" s="75"/>
      <c r="D2252" s="75"/>
      <c r="E2252" s="75"/>
      <c r="F2252" s="75"/>
      <c r="G2252" s="75"/>
      <c r="H2252" s="75"/>
      <c r="I2252" s="75"/>
      <c r="J2252" s="166"/>
      <c r="K2252" s="166"/>
      <c r="R2252" s="163"/>
      <c r="S2252" s="163"/>
    </row>
    <row r="2253">
      <c r="A2253" s="148"/>
      <c r="B2253" s="75"/>
      <c r="C2253" s="75"/>
      <c r="D2253" s="75"/>
      <c r="E2253" s="75"/>
      <c r="F2253" s="75"/>
      <c r="G2253" s="75"/>
      <c r="H2253" s="75"/>
      <c r="I2253" s="75"/>
      <c r="J2253" s="166"/>
      <c r="K2253" s="166"/>
      <c r="R2253" s="163"/>
      <c r="S2253" s="163"/>
    </row>
    <row r="2254">
      <c r="A2254" s="148"/>
      <c r="B2254" s="75"/>
      <c r="C2254" s="75"/>
      <c r="D2254" s="75"/>
      <c r="E2254" s="75"/>
      <c r="F2254" s="75"/>
      <c r="G2254" s="75"/>
      <c r="H2254" s="75"/>
      <c r="I2254" s="75"/>
      <c r="J2254" s="166"/>
      <c r="K2254" s="166"/>
      <c r="R2254" s="163"/>
      <c r="S2254" s="163"/>
    </row>
    <row r="2255">
      <c r="A2255" s="148"/>
      <c r="B2255" s="75"/>
      <c r="C2255" s="75"/>
      <c r="D2255" s="75"/>
      <c r="E2255" s="75"/>
      <c r="F2255" s="75"/>
      <c r="G2255" s="75"/>
      <c r="H2255" s="75"/>
      <c r="I2255" s="75"/>
      <c r="J2255" s="166"/>
      <c r="K2255" s="166"/>
      <c r="R2255" s="163"/>
      <c r="S2255" s="163"/>
    </row>
    <row r="2256">
      <c r="A2256" s="148"/>
      <c r="B2256" s="75"/>
      <c r="C2256" s="75"/>
      <c r="D2256" s="75"/>
      <c r="E2256" s="75"/>
      <c r="F2256" s="75"/>
      <c r="G2256" s="75"/>
      <c r="H2256" s="75"/>
      <c r="I2256" s="75"/>
      <c r="J2256" s="166"/>
      <c r="K2256" s="166"/>
      <c r="R2256" s="163"/>
      <c r="S2256" s="163"/>
    </row>
    <row r="2257">
      <c r="A2257" s="148"/>
      <c r="B2257" s="75"/>
      <c r="C2257" s="75"/>
      <c r="D2257" s="75"/>
      <c r="E2257" s="75"/>
      <c r="F2257" s="75"/>
      <c r="G2257" s="75"/>
      <c r="H2257" s="75"/>
      <c r="I2257" s="75"/>
      <c r="J2257" s="166"/>
      <c r="K2257" s="166"/>
      <c r="R2257" s="163"/>
      <c r="S2257" s="163"/>
    </row>
    <row r="2258">
      <c r="A2258" s="148"/>
      <c r="B2258" s="75"/>
      <c r="C2258" s="75"/>
      <c r="D2258" s="75"/>
      <c r="E2258" s="75"/>
      <c r="F2258" s="75"/>
      <c r="G2258" s="75"/>
      <c r="H2258" s="75"/>
      <c r="I2258" s="75"/>
      <c r="J2258" s="166"/>
      <c r="K2258" s="166"/>
      <c r="R2258" s="163"/>
      <c r="S2258" s="163"/>
    </row>
    <row r="2259">
      <c r="A2259" s="148"/>
      <c r="B2259" s="75"/>
      <c r="C2259" s="75"/>
      <c r="D2259" s="75"/>
      <c r="E2259" s="75"/>
      <c r="F2259" s="75"/>
      <c r="G2259" s="75"/>
      <c r="H2259" s="75"/>
      <c r="I2259" s="75"/>
      <c r="J2259" s="166"/>
      <c r="K2259" s="166"/>
      <c r="R2259" s="173"/>
      <c r="S2259" s="173"/>
    </row>
    <row r="2260">
      <c r="A2260" s="148"/>
      <c r="B2260" s="75"/>
      <c r="C2260" s="75"/>
      <c r="D2260" s="75"/>
      <c r="E2260" s="75"/>
      <c r="F2260" s="75"/>
      <c r="G2260" s="75"/>
      <c r="H2260" s="75"/>
      <c r="I2260" s="75"/>
      <c r="J2260" s="166"/>
      <c r="K2260" s="166"/>
      <c r="R2260" s="157"/>
      <c r="S2260" s="157"/>
    </row>
    <row r="2261">
      <c r="A2261" s="148"/>
      <c r="B2261" s="75"/>
      <c r="C2261" s="75"/>
      <c r="D2261" s="75"/>
      <c r="E2261" s="75"/>
      <c r="F2261" s="75"/>
      <c r="G2261" s="75"/>
      <c r="H2261" s="75"/>
      <c r="I2261" s="75"/>
      <c r="J2261" s="166"/>
      <c r="K2261" s="166"/>
      <c r="R2261" s="163"/>
      <c r="S2261" s="163"/>
    </row>
    <row r="2262">
      <c r="A2262" s="148"/>
      <c r="B2262" s="75"/>
      <c r="C2262" s="75"/>
      <c r="D2262" s="75"/>
      <c r="E2262" s="75"/>
      <c r="F2262" s="75"/>
      <c r="G2262" s="75"/>
      <c r="H2262" s="75"/>
      <c r="I2262" s="75"/>
      <c r="J2262" s="166"/>
      <c r="K2262" s="166"/>
      <c r="R2262" s="163"/>
      <c r="S2262" s="163"/>
    </row>
    <row r="2263">
      <c r="A2263" s="148"/>
      <c r="B2263" s="75"/>
      <c r="C2263" s="75"/>
      <c r="D2263" s="75"/>
      <c r="E2263" s="75"/>
      <c r="F2263" s="75"/>
      <c r="G2263" s="75"/>
      <c r="H2263" s="75"/>
      <c r="I2263" s="75"/>
      <c r="J2263" s="166"/>
      <c r="K2263" s="166"/>
      <c r="R2263" s="163"/>
      <c r="S2263" s="163"/>
    </row>
    <row r="2264">
      <c r="A2264" s="148"/>
      <c r="B2264" s="75"/>
      <c r="C2264" s="75"/>
      <c r="D2264" s="75"/>
      <c r="E2264" s="75"/>
      <c r="F2264" s="75"/>
      <c r="G2264" s="75"/>
      <c r="H2264" s="75"/>
      <c r="I2264" s="75"/>
      <c r="J2264" s="166"/>
      <c r="K2264" s="166"/>
      <c r="R2264" s="163"/>
      <c r="S2264" s="163"/>
    </row>
    <row r="2265">
      <c r="A2265" s="148"/>
      <c r="B2265" s="75"/>
      <c r="C2265" s="75"/>
      <c r="D2265" s="75"/>
      <c r="E2265" s="75"/>
      <c r="F2265" s="75"/>
      <c r="G2265" s="75"/>
      <c r="H2265" s="75"/>
      <c r="I2265" s="75"/>
      <c r="J2265" s="166"/>
      <c r="K2265" s="166"/>
      <c r="R2265" s="163"/>
      <c r="S2265" s="163"/>
    </row>
    <row r="2266">
      <c r="A2266" s="148"/>
      <c r="B2266" s="75"/>
      <c r="C2266" s="75"/>
      <c r="D2266" s="75"/>
      <c r="E2266" s="75"/>
      <c r="F2266" s="75"/>
      <c r="G2266" s="75"/>
      <c r="H2266" s="75"/>
      <c r="I2266" s="75"/>
      <c r="J2266" s="166"/>
      <c r="K2266" s="166"/>
      <c r="R2266" s="163"/>
      <c r="S2266" s="163"/>
    </row>
    <row r="2267">
      <c r="A2267" s="148"/>
      <c r="B2267" s="75"/>
      <c r="C2267" s="75"/>
      <c r="D2267" s="75"/>
      <c r="E2267" s="75"/>
      <c r="F2267" s="75"/>
      <c r="G2267" s="75"/>
      <c r="H2267" s="75"/>
      <c r="I2267" s="75"/>
      <c r="J2267" s="166"/>
      <c r="K2267" s="166"/>
      <c r="R2267" s="163"/>
      <c r="S2267" s="163"/>
    </row>
    <row r="2268">
      <c r="A2268" s="148"/>
      <c r="B2268" s="75"/>
      <c r="C2268" s="75"/>
      <c r="D2268" s="75"/>
      <c r="E2268" s="75"/>
      <c r="F2268" s="75"/>
      <c r="G2268" s="75"/>
      <c r="H2268" s="75"/>
      <c r="I2268" s="75"/>
      <c r="J2268" s="166"/>
      <c r="K2268" s="166"/>
      <c r="R2268" s="163"/>
      <c r="S2268" s="163"/>
    </row>
    <row r="2269">
      <c r="A2269" s="148"/>
      <c r="B2269" s="75"/>
      <c r="C2269" s="75"/>
      <c r="D2269" s="75"/>
      <c r="E2269" s="75"/>
      <c r="F2269" s="75"/>
      <c r="G2269" s="75"/>
      <c r="H2269" s="75"/>
      <c r="I2269" s="75"/>
      <c r="J2269" s="166"/>
      <c r="K2269" s="166"/>
      <c r="R2269" s="163"/>
      <c r="S2269" s="163"/>
    </row>
    <row r="2270">
      <c r="A2270" s="148"/>
      <c r="B2270" s="75"/>
      <c r="C2270" s="75"/>
      <c r="D2270" s="75"/>
      <c r="E2270" s="75"/>
      <c r="F2270" s="75"/>
      <c r="G2270" s="75"/>
      <c r="H2270" s="75"/>
      <c r="I2270" s="75"/>
      <c r="J2270" s="166"/>
      <c r="K2270" s="166"/>
      <c r="R2270" s="163"/>
      <c r="S2270" s="163"/>
    </row>
    <row r="2271">
      <c r="A2271" s="148"/>
      <c r="B2271" s="75"/>
      <c r="C2271" s="75"/>
      <c r="D2271" s="75"/>
      <c r="E2271" s="75"/>
      <c r="F2271" s="75"/>
      <c r="G2271" s="75"/>
      <c r="H2271" s="75"/>
      <c r="I2271" s="75"/>
      <c r="J2271" s="166"/>
      <c r="K2271" s="166"/>
      <c r="R2271" s="173"/>
      <c r="S2271" s="173"/>
    </row>
    <row r="2272">
      <c r="A2272" s="148"/>
      <c r="B2272" s="75"/>
      <c r="C2272" s="75"/>
      <c r="D2272" s="75"/>
      <c r="E2272" s="75"/>
      <c r="F2272" s="75"/>
      <c r="G2272" s="75"/>
      <c r="H2272" s="75"/>
      <c r="I2272" s="75"/>
      <c r="J2272" s="166"/>
      <c r="K2272" s="166"/>
      <c r="R2272" s="157"/>
      <c r="S2272" s="157"/>
    </row>
    <row r="2273">
      <c r="A2273" s="148"/>
      <c r="B2273" s="75"/>
      <c r="C2273" s="75"/>
      <c r="D2273" s="75"/>
      <c r="E2273" s="75"/>
      <c r="F2273" s="75"/>
      <c r="G2273" s="75"/>
      <c r="H2273" s="75"/>
      <c r="I2273" s="75"/>
      <c r="J2273" s="166"/>
      <c r="K2273" s="166"/>
      <c r="R2273" s="163"/>
      <c r="S2273" s="163"/>
    </row>
    <row r="2274">
      <c r="A2274" s="148"/>
      <c r="B2274" s="75"/>
      <c r="C2274" s="75"/>
      <c r="D2274" s="75"/>
      <c r="E2274" s="75"/>
      <c r="F2274" s="75"/>
      <c r="G2274" s="75"/>
      <c r="H2274" s="75"/>
      <c r="I2274" s="75"/>
      <c r="J2274" s="166"/>
      <c r="K2274" s="166"/>
      <c r="R2274" s="163"/>
      <c r="S2274" s="163"/>
    </row>
    <row r="2275">
      <c r="A2275" s="148"/>
      <c r="B2275" s="75"/>
      <c r="C2275" s="75"/>
      <c r="D2275" s="75"/>
      <c r="E2275" s="75"/>
      <c r="F2275" s="75"/>
      <c r="G2275" s="75"/>
      <c r="H2275" s="75"/>
      <c r="I2275" s="75"/>
      <c r="J2275" s="166"/>
      <c r="K2275" s="166"/>
      <c r="R2275" s="163"/>
      <c r="S2275" s="163"/>
    </row>
    <row r="2276">
      <c r="A2276" s="148"/>
      <c r="B2276" s="75"/>
      <c r="C2276" s="75"/>
      <c r="D2276" s="75"/>
      <c r="E2276" s="75"/>
      <c r="F2276" s="75"/>
      <c r="G2276" s="75"/>
      <c r="H2276" s="75"/>
      <c r="I2276" s="75"/>
      <c r="J2276" s="166"/>
      <c r="K2276" s="166"/>
      <c r="R2276" s="163"/>
      <c r="S2276" s="163"/>
    </row>
    <row r="2277">
      <c r="A2277" s="148"/>
      <c r="B2277" s="75"/>
      <c r="C2277" s="75"/>
      <c r="D2277" s="75"/>
      <c r="E2277" s="75"/>
      <c r="F2277" s="75"/>
      <c r="G2277" s="75"/>
      <c r="H2277" s="75"/>
      <c r="I2277" s="75"/>
      <c r="J2277" s="166"/>
      <c r="K2277" s="166"/>
      <c r="R2277" s="163"/>
      <c r="S2277" s="163"/>
    </row>
    <row r="2278">
      <c r="A2278" s="148"/>
      <c r="B2278" s="75"/>
      <c r="C2278" s="75"/>
      <c r="D2278" s="75"/>
      <c r="E2278" s="75"/>
      <c r="F2278" s="75"/>
      <c r="G2278" s="75"/>
      <c r="H2278" s="75"/>
      <c r="I2278" s="75"/>
      <c r="J2278" s="166"/>
      <c r="K2278" s="166"/>
      <c r="R2278" s="163"/>
      <c r="S2278" s="163"/>
    </row>
    <row r="2279">
      <c r="A2279" s="148"/>
      <c r="B2279" s="75"/>
      <c r="C2279" s="75"/>
      <c r="D2279" s="75"/>
      <c r="E2279" s="75"/>
      <c r="F2279" s="75"/>
      <c r="G2279" s="75"/>
      <c r="H2279" s="75"/>
      <c r="I2279" s="75"/>
      <c r="J2279" s="166"/>
      <c r="K2279" s="166"/>
      <c r="R2279" s="163"/>
      <c r="S2279" s="163"/>
    </row>
    <row r="2280">
      <c r="A2280" s="148"/>
      <c r="B2280" s="75"/>
      <c r="C2280" s="75"/>
      <c r="D2280" s="75"/>
      <c r="E2280" s="75"/>
      <c r="F2280" s="75"/>
      <c r="G2280" s="75"/>
      <c r="H2280" s="75"/>
      <c r="I2280" s="75"/>
      <c r="J2280" s="166"/>
      <c r="K2280" s="166"/>
      <c r="R2280" s="163"/>
      <c r="S2280" s="163"/>
    </row>
    <row r="2281">
      <c r="A2281" s="148"/>
      <c r="B2281" s="75"/>
      <c r="C2281" s="75"/>
      <c r="D2281" s="75"/>
      <c r="E2281" s="75"/>
      <c r="F2281" s="75"/>
      <c r="G2281" s="75"/>
      <c r="H2281" s="75"/>
      <c r="I2281" s="75"/>
      <c r="J2281" s="166"/>
      <c r="K2281" s="166"/>
      <c r="R2281" s="163"/>
      <c r="S2281" s="163"/>
    </row>
    <row r="2282">
      <c r="A2282" s="148"/>
      <c r="B2282" s="75"/>
      <c r="C2282" s="75"/>
      <c r="D2282" s="75"/>
      <c r="E2282" s="75"/>
      <c r="F2282" s="75"/>
      <c r="G2282" s="75"/>
      <c r="H2282" s="75"/>
      <c r="I2282" s="75"/>
      <c r="J2282" s="166"/>
      <c r="K2282" s="166"/>
      <c r="R2282" s="163"/>
      <c r="S2282" s="163"/>
    </row>
    <row r="2283">
      <c r="A2283" s="148"/>
      <c r="B2283" s="75"/>
      <c r="C2283" s="75"/>
      <c r="D2283" s="75"/>
      <c r="E2283" s="75"/>
      <c r="F2283" s="75"/>
      <c r="G2283" s="75"/>
      <c r="H2283" s="75"/>
      <c r="I2283" s="75"/>
      <c r="J2283" s="166"/>
      <c r="K2283" s="166"/>
      <c r="R2283" s="173"/>
      <c r="S2283" s="173"/>
    </row>
    <row r="2284">
      <c r="A2284" s="148"/>
      <c r="B2284" s="75"/>
      <c r="C2284" s="75"/>
      <c r="D2284" s="75"/>
      <c r="E2284" s="75"/>
      <c r="F2284" s="75"/>
      <c r="G2284" s="75"/>
      <c r="H2284" s="75"/>
      <c r="I2284" s="75"/>
      <c r="J2284" s="166"/>
      <c r="K2284" s="166"/>
      <c r="R2284" s="157"/>
      <c r="S2284" s="157"/>
    </row>
    <row r="2285">
      <c r="A2285" s="148"/>
      <c r="B2285" s="75"/>
      <c r="C2285" s="75"/>
      <c r="D2285" s="75"/>
      <c r="E2285" s="75"/>
      <c r="F2285" s="75"/>
      <c r="G2285" s="75"/>
      <c r="H2285" s="75"/>
      <c r="I2285" s="75"/>
      <c r="J2285" s="166"/>
      <c r="K2285" s="166"/>
      <c r="R2285" s="163"/>
      <c r="S2285" s="163"/>
    </row>
    <row r="2286">
      <c r="A2286" s="148"/>
      <c r="B2286" s="75"/>
      <c r="C2286" s="75"/>
      <c r="D2286" s="75"/>
      <c r="E2286" s="75"/>
      <c r="F2286" s="75"/>
      <c r="G2286" s="75"/>
      <c r="H2286" s="75"/>
      <c r="I2286" s="75"/>
      <c r="J2286" s="166"/>
      <c r="K2286" s="166"/>
      <c r="R2286" s="163"/>
      <c r="S2286" s="163"/>
    </row>
    <row r="2287">
      <c r="A2287" s="148"/>
      <c r="B2287" s="75"/>
      <c r="C2287" s="75"/>
      <c r="D2287" s="75"/>
      <c r="E2287" s="75"/>
      <c r="F2287" s="75"/>
      <c r="G2287" s="75"/>
      <c r="H2287" s="75"/>
      <c r="I2287" s="75"/>
      <c r="J2287" s="166"/>
      <c r="K2287" s="166"/>
      <c r="R2287" s="163"/>
      <c r="S2287" s="163"/>
    </row>
    <row r="2288">
      <c r="A2288" s="148"/>
      <c r="B2288" s="75"/>
      <c r="C2288" s="75"/>
      <c r="D2288" s="75"/>
      <c r="E2288" s="75"/>
      <c r="F2288" s="75"/>
      <c r="G2288" s="75"/>
      <c r="H2288" s="75"/>
      <c r="I2288" s="75"/>
      <c r="J2288" s="166"/>
      <c r="K2288" s="166"/>
      <c r="R2288" s="163"/>
      <c r="S2288" s="163"/>
    </row>
    <row r="2289">
      <c r="A2289" s="148"/>
      <c r="B2289" s="75"/>
      <c r="C2289" s="75"/>
      <c r="D2289" s="75"/>
      <c r="E2289" s="75"/>
      <c r="F2289" s="75"/>
      <c r="G2289" s="75"/>
      <c r="H2289" s="75"/>
      <c r="I2289" s="75"/>
      <c r="J2289" s="166"/>
      <c r="K2289" s="166"/>
      <c r="R2289" s="163"/>
      <c r="S2289" s="163"/>
    </row>
    <row r="2290">
      <c r="A2290" s="148"/>
      <c r="B2290" s="75"/>
      <c r="C2290" s="75"/>
      <c r="D2290" s="75"/>
      <c r="E2290" s="75"/>
      <c r="F2290" s="75"/>
      <c r="G2290" s="75"/>
      <c r="H2290" s="75"/>
      <c r="I2290" s="75"/>
      <c r="J2290" s="166"/>
      <c r="K2290" s="166"/>
      <c r="R2290" s="163"/>
      <c r="S2290" s="163"/>
    </row>
    <row r="2291">
      <c r="A2291" s="148"/>
      <c r="B2291" s="75"/>
      <c r="C2291" s="75"/>
      <c r="D2291" s="75"/>
      <c r="E2291" s="75"/>
      <c r="F2291" s="75"/>
      <c r="G2291" s="75"/>
      <c r="H2291" s="75"/>
      <c r="I2291" s="75"/>
      <c r="J2291" s="166"/>
      <c r="K2291" s="166"/>
      <c r="R2291" s="163"/>
      <c r="S2291" s="163"/>
    </row>
    <row r="2292">
      <c r="A2292" s="148"/>
      <c r="B2292" s="75"/>
      <c r="C2292" s="75"/>
      <c r="D2292" s="75"/>
      <c r="E2292" s="75"/>
      <c r="F2292" s="75"/>
      <c r="G2292" s="75"/>
      <c r="H2292" s="75"/>
      <c r="I2292" s="75"/>
      <c r="J2292" s="166"/>
      <c r="K2292" s="166"/>
      <c r="R2292" s="163"/>
      <c r="S2292" s="163"/>
    </row>
    <row r="2293">
      <c r="A2293" s="148"/>
      <c r="B2293" s="75"/>
      <c r="C2293" s="75"/>
      <c r="D2293" s="75"/>
      <c r="E2293" s="75"/>
      <c r="F2293" s="75"/>
      <c r="G2293" s="75"/>
      <c r="H2293" s="75"/>
      <c r="I2293" s="75"/>
      <c r="J2293" s="166"/>
      <c r="K2293" s="166"/>
      <c r="R2293" s="163"/>
      <c r="S2293" s="163"/>
    </row>
    <row r="2294">
      <c r="A2294" s="148"/>
      <c r="B2294" s="75"/>
      <c r="C2294" s="75"/>
      <c r="D2294" s="75"/>
      <c r="E2294" s="75"/>
      <c r="F2294" s="75"/>
      <c r="G2294" s="75"/>
      <c r="H2294" s="75"/>
      <c r="I2294" s="75"/>
      <c r="J2294" s="166"/>
      <c r="K2294" s="166"/>
      <c r="R2294" s="163"/>
      <c r="S2294" s="163"/>
    </row>
    <row r="2295">
      <c r="A2295" s="148"/>
      <c r="B2295" s="75"/>
      <c r="C2295" s="75"/>
      <c r="D2295" s="75"/>
      <c r="E2295" s="75"/>
      <c r="F2295" s="75"/>
      <c r="G2295" s="75"/>
      <c r="H2295" s="75"/>
      <c r="I2295" s="75"/>
      <c r="J2295" s="166"/>
      <c r="K2295" s="166"/>
      <c r="R2295" s="173"/>
      <c r="S2295" s="173"/>
    </row>
    <row r="2296">
      <c r="A2296" s="148"/>
      <c r="B2296" s="75"/>
      <c r="C2296" s="75"/>
      <c r="D2296" s="75"/>
      <c r="E2296" s="75"/>
      <c r="F2296" s="75"/>
      <c r="G2296" s="75"/>
      <c r="H2296" s="75"/>
      <c r="I2296" s="75"/>
      <c r="J2296" s="166"/>
      <c r="K2296" s="166"/>
      <c r="R2296" s="157"/>
      <c r="S2296" s="157"/>
    </row>
    <row r="2297">
      <c r="A2297" s="148"/>
      <c r="B2297" s="75"/>
      <c r="C2297" s="75"/>
      <c r="D2297" s="75"/>
      <c r="E2297" s="75"/>
      <c r="F2297" s="75"/>
      <c r="G2297" s="75"/>
      <c r="H2297" s="75"/>
      <c r="I2297" s="75"/>
      <c r="J2297" s="166"/>
      <c r="K2297" s="166"/>
      <c r="R2297" s="163"/>
      <c r="S2297" s="163"/>
    </row>
    <row r="2298">
      <c r="A2298" s="148"/>
      <c r="B2298" s="75"/>
      <c r="C2298" s="75"/>
      <c r="D2298" s="75"/>
      <c r="E2298" s="75"/>
      <c r="F2298" s="75"/>
      <c r="G2298" s="75"/>
      <c r="H2298" s="75"/>
      <c r="I2298" s="75"/>
      <c r="J2298" s="166"/>
      <c r="K2298" s="166"/>
      <c r="R2298" s="163"/>
      <c r="S2298" s="163"/>
    </row>
    <row r="2299">
      <c r="A2299" s="148"/>
      <c r="B2299" s="75"/>
      <c r="C2299" s="75"/>
      <c r="D2299" s="75"/>
      <c r="E2299" s="75"/>
      <c r="F2299" s="75"/>
      <c r="G2299" s="75"/>
      <c r="H2299" s="75"/>
      <c r="I2299" s="75"/>
      <c r="J2299" s="166"/>
      <c r="K2299" s="166"/>
      <c r="R2299" s="163"/>
      <c r="S2299" s="163"/>
    </row>
    <row r="2300">
      <c r="A2300" s="148"/>
      <c r="B2300" s="75"/>
      <c r="C2300" s="75"/>
      <c r="D2300" s="75"/>
      <c r="E2300" s="75"/>
      <c r="F2300" s="75"/>
      <c r="G2300" s="75"/>
      <c r="H2300" s="75"/>
      <c r="I2300" s="75"/>
      <c r="J2300" s="166"/>
      <c r="K2300" s="166"/>
      <c r="R2300" s="163"/>
      <c r="S2300" s="163"/>
    </row>
    <row r="2301">
      <c r="A2301" s="148"/>
      <c r="B2301" s="75"/>
      <c r="C2301" s="75"/>
      <c r="D2301" s="75"/>
      <c r="E2301" s="75"/>
      <c r="F2301" s="75"/>
      <c r="G2301" s="75"/>
      <c r="H2301" s="75"/>
      <c r="I2301" s="75"/>
      <c r="J2301" s="166"/>
      <c r="K2301" s="166"/>
      <c r="R2301" s="163"/>
      <c r="S2301" s="163"/>
    </row>
    <row r="2302">
      <c r="A2302" s="148"/>
      <c r="B2302" s="75"/>
      <c r="C2302" s="75"/>
      <c r="D2302" s="75"/>
      <c r="E2302" s="75"/>
      <c r="F2302" s="75"/>
      <c r="G2302" s="75"/>
      <c r="H2302" s="75"/>
      <c r="I2302" s="75"/>
      <c r="J2302" s="166"/>
      <c r="K2302" s="166"/>
      <c r="R2302" s="163"/>
      <c r="S2302" s="163"/>
    </row>
    <row r="2303">
      <c r="A2303" s="148"/>
      <c r="B2303" s="75"/>
      <c r="C2303" s="75"/>
      <c r="D2303" s="75"/>
      <c r="E2303" s="75"/>
      <c r="F2303" s="75"/>
      <c r="G2303" s="75"/>
      <c r="H2303" s="75"/>
      <c r="I2303" s="75"/>
      <c r="J2303" s="166"/>
      <c r="K2303" s="166"/>
      <c r="R2303" s="163"/>
      <c r="S2303" s="163"/>
    </row>
    <row r="2304">
      <c r="A2304" s="148"/>
      <c r="B2304" s="75"/>
      <c r="C2304" s="75"/>
      <c r="D2304" s="75"/>
      <c r="E2304" s="75"/>
      <c r="F2304" s="75"/>
      <c r="G2304" s="75"/>
      <c r="H2304" s="75"/>
      <c r="I2304" s="75"/>
      <c r="J2304" s="166"/>
      <c r="K2304" s="166"/>
      <c r="R2304" s="163"/>
      <c r="S2304" s="163"/>
    </row>
    <row r="2305">
      <c r="A2305" s="148"/>
      <c r="B2305" s="75"/>
      <c r="C2305" s="75"/>
      <c r="D2305" s="75"/>
      <c r="E2305" s="75"/>
      <c r="F2305" s="75"/>
      <c r="G2305" s="75"/>
      <c r="H2305" s="75"/>
      <c r="I2305" s="75"/>
      <c r="J2305" s="166"/>
      <c r="K2305" s="166"/>
      <c r="R2305" s="163"/>
      <c r="S2305" s="163"/>
    </row>
    <row r="2306">
      <c r="A2306" s="148"/>
      <c r="B2306" s="75"/>
      <c r="C2306" s="75"/>
      <c r="D2306" s="75"/>
      <c r="E2306" s="75"/>
      <c r="F2306" s="75"/>
      <c r="G2306" s="75"/>
      <c r="H2306" s="75"/>
      <c r="I2306" s="75"/>
      <c r="J2306" s="166"/>
      <c r="K2306" s="166"/>
      <c r="R2306" s="163"/>
      <c r="S2306" s="163"/>
    </row>
    <row r="2307">
      <c r="A2307" s="148"/>
      <c r="B2307" s="75"/>
      <c r="C2307" s="75"/>
      <c r="D2307" s="75"/>
      <c r="E2307" s="75"/>
      <c r="F2307" s="75"/>
      <c r="G2307" s="75"/>
      <c r="H2307" s="75"/>
      <c r="I2307" s="75"/>
      <c r="J2307" s="166"/>
      <c r="K2307" s="166"/>
      <c r="R2307" s="173"/>
      <c r="S2307" s="173"/>
    </row>
    <row r="2308">
      <c r="A2308" s="148"/>
      <c r="B2308" s="75"/>
      <c r="C2308" s="75"/>
      <c r="D2308" s="75"/>
      <c r="E2308" s="75"/>
      <c r="F2308" s="75"/>
      <c r="G2308" s="75"/>
      <c r="H2308" s="75"/>
      <c r="I2308" s="75"/>
      <c r="J2308" s="166"/>
      <c r="K2308" s="166"/>
      <c r="R2308" s="157"/>
      <c r="S2308" s="157"/>
    </row>
    <row r="2309">
      <c r="A2309" s="148"/>
      <c r="B2309" s="75"/>
      <c r="C2309" s="75"/>
      <c r="D2309" s="75"/>
      <c r="E2309" s="75"/>
      <c r="F2309" s="75"/>
      <c r="G2309" s="75"/>
      <c r="H2309" s="75"/>
      <c r="I2309" s="75"/>
      <c r="J2309" s="166"/>
      <c r="K2309" s="166"/>
      <c r="R2309" s="163"/>
      <c r="S2309" s="163"/>
    </row>
    <row r="2310">
      <c r="A2310" s="148"/>
      <c r="B2310" s="75"/>
      <c r="C2310" s="75"/>
      <c r="D2310" s="75"/>
      <c r="E2310" s="75"/>
      <c r="F2310" s="75"/>
      <c r="G2310" s="75"/>
      <c r="H2310" s="75"/>
      <c r="I2310" s="75"/>
      <c r="J2310" s="166"/>
      <c r="K2310" s="166"/>
      <c r="R2310" s="163"/>
      <c r="S2310" s="163"/>
    </row>
    <row r="2311">
      <c r="A2311" s="148"/>
      <c r="B2311" s="75"/>
      <c r="C2311" s="75"/>
      <c r="D2311" s="75"/>
      <c r="E2311" s="75"/>
      <c r="F2311" s="75"/>
      <c r="G2311" s="75"/>
      <c r="H2311" s="75"/>
      <c r="I2311" s="75"/>
      <c r="J2311" s="166"/>
      <c r="K2311" s="166"/>
      <c r="R2311" s="163"/>
      <c r="S2311" s="163"/>
    </row>
    <row r="2312">
      <c r="A2312" s="148"/>
      <c r="B2312" s="75"/>
      <c r="C2312" s="75"/>
      <c r="D2312" s="75"/>
      <c r="E2312" s="75"/>
      <c r="F2312" s="75"/>
      <c r="G2312" s="75"/>
      <c r="H2312" s="75"/>
      <c r="I2312" s="75"/>
      <c r="J2312" s="166"/>
      <c r="K2312" s="166"/>
      <c r="R2312" s="163"/>
      <c r="S2312" s="163"/>
    </row>
    <row r="2313">
      <c r="A2313" s="148"/>
      <c r="B2313" s="75"/>
      <c r="C2313" s="75"/>
      <c r="D2313" s="75"/>
      <c r="E2313" s="75"/>
      <c r="F2313" s="75"/>
      <c r="G2313" s="75"/>
      <c r="H2313" s="75"/>
      <c r="I2313" s="75"/>
      <c r="J2313" s="166"/>
      <c r="K2313" s="166"/>
      <c r="R2313" s="163"/>
      <c r="S2313" s="163"/>
    </row>
    <row r="2314">
      <c r="A2314" s="148"/>
      <c r="B2314" s="75"/>
      <c r="C2314" s="75"/>
      <c r="D2314" s="75"/>
      <c r="E2314" s="75"/>
      <c r="F2314" s="75"/>
      <c r="G2314" s="75"/>
      <c r="H2314" s="75"/>
      <c r="I2314" s="75"/>
      <c r="J2314" s="166"/>
      <c r="K2314" s="166"/>
      <c r="R2314" s="163"/>
      <c r="S2314" s="163"/>
    </row>
    <row r="2315">
      <c r="A2315" s="148"/>
      <c r="B2315" s="75"/>
      <c r="C2315" s="75"/>
      <c r="D2315" s="75"/>
      <c r="E2315" s="75"/>
      <c r="F2315" s="75"/>
      <c r="G2315" s="75"/>
      <c r="H2315" s="75"/>
      <c r="I2315" s="75"/>
      <c r="J2315" s="166"/>
      <c r="K2315" s="166"/>
      <c r="R2315" s="163"/>
      <c r="S2315" s="163"/>
    </row>
    <row r="2316">
      <c r="A2316" s="148"/>
      <c r="B2316" s="75"/>
      <c r="C2316" s="75"/>
      <c r="D2316" s="75"/>
      <c r="E2316" s="75"/>
      <c r="F2316" s="75"/>
      <c r="G2316" s="75"/>
      <c r="H2316" s="75"/>
      <c r="I2316" s="75"/>
      <c r="J2316" s="166"/>
      <c r="K2316" s="166"/>
      <c r="R2316" s="163"/>
      <c r="S2316" s="163"/>
    </row>
    <row r="2317">
      <c r="A2317" s="148"/>
      <c r="B2317" s="75"/>
      <c r="C2317" s="75"/>
      <c r="D2317" s="75"/>
      <c r="E2317" s="75"/>
      <c r="F2317" s="75"/>
      <c r="G2317" s="75"/>
      <c r="H2317" s="75"/>
      <c r="I2317" s="75"/>
      <c r="J2317" s="166"/>
      <c r="K2317" s="166"/>
      <c r="R2317" s="163"/>
      <c r="S2317" s="163"/>
    </row>
    <row r="2318">
      <c r="A2318" s="148"/>
      <c r="B2318" s="75"/>
      <c r="C2318" s="75"/>
      <c r="D2318" s="75"/>
      <c r="E2318" s="75"/>
      <c r="F2318" s="75"/>
      <c r="G2318" s="75"/>
      <c r="H2318" s="75"/>
      <c r="I2318" s="75"/>
      <c r="J2318" s="166"/>
      <c r="K2318" s="166"/>
      <c r="R2318" s="163"/>
      <c r="S2318" s="163"/>
    </row>
    <row r="2319">
      <c r="A2319" s="148"/>
      <c r="B2319" s="75"/>
      <c r="C2319" s="75"/>
      <c r="D2319" s="75"/>
      <c r="E2319" s="75"/>
      <c r="F2319" s="75"/>
      <c r="G2319" s="75"/>
      <c r="H2319" s="75"/>
      <c r="I2319" s="75"/>
      <c r="J2319" s="166"/>
      <c r="K2319" s="166"/>
      <c r="R2319" s="173"/>
      <c r="S2319" s="173"/>
    </row>
    <row r="2320">
      <c r="A2320" s="148"/>
      <c r="B2320" s="75"/>
      <c r="C2320" s="75"/>
      <c r="D2320" s="75"/>
      <c r="E2320" s="75"/>
      <c r="F2320" s="75"/>
      <c r="G2320" s="75"/>
      <c r="H2320" s="75"/>
      <c r="I2320" s="75"/>
      <c r="J2320" s="166"/>
      <c r="K2320" s="166"/>
      <c r="R2320" s="157"/>
      <c r="S2320" s="157"/>
    </row>
    <row r="2321">
      <c r="A2321" s="148"/>
      <c r="B2321" s="75"/>
      <c r="C2321" s="75"/>
      <c r="D2321" s="75"/>
      <c r="E2321" s="75"/>
      <c r="F2321" s="75"/>
      <c r="G2321" s="75"/>
      <c r="H2321" s="75"/>
      <c r="I2321" s="75"/>
      <c r="J2321" s="166"/>
      <c r="K2321" s="166"/>
      <c r="R2321" s="163"/>
      <c r="S2321" s="163"/>
    </row>
    <row r="2322">
      <c r="A2322" s="148"/>
      <c r="B2322" s="75"/>
      <c r="C2322" s="75"/>
      <c r="D2322" s="75"/>
      <c r="E2322" s="75"/>
      <c r="F2322" s="75"/>
      <c r="G2322" s="75"/>
      <c r="H2322" s="75"/>
      <c r="I2322" s="75"/>
      <c r="J2322" s="166"/>
      <c r="K2322" s="166"/>
      <c r="R2322" s="163"/>
      <c r="S2322" s="163"/>
    </row>
    <row r="2323">
      <c r="A2323" s="148"/>
      <c r="B2323" s="75"/>
      <c r="C2323" s="75"/>
      <c r="D2323" s="75"/>
      <c r="E2323" s="75"/>
      <c r="F2323" s="75"/>
      <c r="G2323" s="75"/>
      <c r="H2323" s="75"/>
      <c r="I2323" s="75"/>
      <c r="J2323" s="166"/>
      <c r="K2323" s="166"/>
      <c r="R2323" s="163"/>
      <c r="S2323" s="163"/>
    </row>
    <row r="2324">
      <c r="A2324" s="148"/>
      <c r="B2324" s="75"/>
      <c r="C2324" s="75"/>
      <c r="D2324" s="75"/>
      <c r="E2324" s="75"/>
      <c r="F2324" s="75"/>
      <c r="G2324" s="75"/>
      <c r="H2324" s="75"/>
      <c r="I2324" s="75"/>
      <c r="J2324" s="166"/>
      <c r="K2324" s="166"/>
      <c r="R2324" s="163"/>
      <c r="S2324" s="163"/>
    </row>
    <row r="2325">
      <c r="A2325" s="148"/>
      <c r="B2325" s="75"/>
      <c r="C2325" s="75"/>
      <c r="D2325" s="75"/>
      <c r="E2325" s="75"/>
      <c r="F2325" s="75"/>
      <c r="G2325" s="75"/>
      <c r="H2325" s="75"/>
      <c r="I2325" s="75"/>
      <c r="J2325" s="166"/>
      <c r="K2325" s="166"/>
      <c r="R2325" s="163"/>
      <c r="S2325" s="163"/>
    </row>
    <row r="2326">
      <c r="A2326" s="148"/>
      <c r="B2326" s="75"/>
      <c r="C2326" s="75"/>
      <c r="D2326" s="75"/>
      <c r="E2326" s="75"/>
      <c r="F2326" s="75"/>
      <c r="G2326" s="75"/>
      <c r="H2326" s="75"/>
      <c r="I2326" s="75"/>
      <c r="J2326" s="166"/>
      <c r="K2326" s="166"/>
      <c r="R2326" s="163"/>
      <c r="S2326" s="163"/>
    </row>
    <row r="2327">
      <c r="A2327" s="148"/>
      <c r="B2327" s="75"/>
      <c r="C2327" s="75"/>
      <c r="D2327" s="75"/>
      <c r="E2327" s="75"/>
      <c r="F2327" s="75"/>
      <c r="G2327" s="75"/>
      <c r="H2327" s="75"/>
      <c r="I2327" s="75"/>
      <c r="J2327" s="166"/>
      <c r="K2327" s="166"/>
      <c r="R2327" s="163"/>
      <c r="S2327" s="163"/>
    </row>
    <row r="2328">
      <c r="A2328" s="148"/>
      <c r="B2328" s="75"/>
      <c r="C2328" s="75"/>
      <c r="D2328" s="75"/>
      <c r="E2328" s="75"/>
      <c r="F2328" s="75"/>
      <c r="G2328" s="75"/>
      <c r="H2328" s="75"/>
      <c r="I2328" s="75"/>
      <c r="J2328" s="166"/>
      <c r="K2328" s="166"/>
      <c r="R2328" s="163"/>
      <c r="S2328" s="163"/>
    </row>
    <row r="2329">
      <c r="A2329" s="148"/>
      <c r="B2329" s="75"/>
      <c r="C2329" s="75"/>
      <c r="D2329" s="75"/>
      <c r="E2329" s="75"/>
      <c r="F2329" s="75"/>
      <c r="G2329" s="75"/>
      <c r="H2329" s="75"/>
      <c r="I2329" s="75"/>
      <c r="J2329" s="166"/>
      <c r="K2329" s="166"/>
      <c r="R2329" s="163"/>
      <c r="S2329" s="163"/>
    </row>
    <row r="2330">
      <c r="A2330" s="148"/>
      <c r="B2330" s="75"/>
      <c r="C2330" s="75"/>
      <c r="D2330" s="75"/>
      <c r="E2330" s="75"/>
      <c r="F2330" s="75"/>
      <c r="G2330" s="75"/>
      <c r="H2330" s="75"/>
      <c r="I2330" s="75"/>
      <c r="J2330" s="166"/>
      <c r="K2330" s="166"/>
      <c r="R2330" s="163"/>
      <c r="S2330" s="163"/>
    </row>
    <row r="2331">
      <c r="A2331" s="148"/>
      <c r="B2331" s="75"/>
      <c r="C2331" s="75"/>
      <c r="D2331" s="75"/>
      <c r="E2331" s="75"/>
      <c r="F2331" s="75"/>
      <c r="G2331" s="75"/>
      <c r="H2331" s="75"/>
      <c r="I2331" s="75"/>
      <c r="J2331" s="166"/>
      <c r="K2331" s="166"/>
      <c r="R2331" s="173"/>
      <c r="S2331" s="173"/>
    </row>
    <row r="2332">
      <c r="A2332" s="148"/>
      <c r="B2332" s="75"/>
      <c r="C2332" s="75"/>
      <c r="D2332" s="75"/>
      <c r="E2332" s="75"/>
      <c r="F2332" s="75"/>
      <c r="G2332" s="75"/>
      <c r="H2332" s="75"/>
      <c r="I2332" s="75"/>
      <c r="J2332" s="166"/>
      <c r="K2332" s="166"/>
      <c r="R2332" s="157"/>
      <c r="S2332" s="157"/>
    </row>
    <row r="2333">
      <c r="A2333" s="148"/>
      <c r="B2333" s="75"/>
      <c r="C2333" s="75"/>
      <c r="D2333" s="75"/>
      <c r="E2333" s="75"/>
      <c r="F2333" s="75"/>
      <c r="G2333" s="75"/>
      <c r="H2333" s="75"/>
      <c r="I2333" s="75"/>
      <c r="J2333" s="166"/>
      <c r="K2333" s="166"/>
      <c r="R2333" s="163"/>
      <c r="S2333" s="163"/>
    </row>
    <row r="2334">
      <c r="A2334" s="148"/>
      <c r="B2334" s="75"/>
      <c r="C2334" s="75"/>
      <c r="D2334" s="75"/>
      <c r="E2334" s="75"/>
      <c r="F2334" s="75"/>
      <c r="G2334" s="75"/>
      <c r="H2334" s="75"/>
      <c r="I2334" s="75"/>
      <c r="J2334" s="166"/>
      <c r="K2334" s="166"/>
      <c r="R2334" s="163"/>
      <c r="S2334" s="163"/>
    </row>
    <row r="2335">
      <c r="A2335" s="148"/>
      <c r="B2335" s="75"/>
      <c r="C2335" s="75"/>
      <c r="D2335" s="75"/>
      <c r="E2335" s="75"/>
      <c r="F2335" s="75"/>
      <c r="G2335" s="75"/>
      <c r="H2335" s="75"/>
      <c r="I2335" s="75"/>
      <c r="J2335" s="166"/>
      <c r="K2335" s="166"/>
      <c r="R2335" s="163"/>
      <c r="S2335" s="163"/>
    </row>
    <row r="2336">
      <c r="A2336" s="148"/>
      <c r="B2336" s="75"/>
      <c r="C2336" s="75"/>
      <c r="D2336" s="75"/>
      <c r="E2336" s="75"/>
      <c r="F2336" s="75"/>
      <c r="G2336" s="75"/>
      <c r="H2336" s="75"/>
      <c r="I2336" s="75"/>
      <c r="J2336" s="166"/>
      <c r="K2336" s="166"/>
      <c r="R2336" s="163"/>
      <c r="S2336" s="163"/>
    </row>
    <row r="2337">
      <c r="A2337" s="148"/>
      <c r="B2337" s="75"/>
      <c r="C2337" s="75"/>
      <c r="D2337" s="75"/>
      <c r="E2337" s="75"/>
      <c r="F2337" s="75"/>
      <c r="G2337" s="75"/>
      <c r="H2337" s="75"/>
      <c r="I2337" s="75"/>
      <c r="J2337" s="166"/>
      <c r="K2337" s="166"/>
      <c r="R2337" s="163"/>
      <c r="S2337" s="163"/>
    </row>
    <row r="2338">
      <c r="A2338" s="148"/>
      <c r="B2338" s="75"/>
      <c r="C2338" s="75"/>
      <c r="D2338" s="75"/>
      <c r="E2338" s="75"/>
      <c r="F2338" s="75"/>
      <c r="G2338" s="75"/>
      <c r="H2338" s="75"/>
      <c r="I2338" s="75"/>
      <c r="J2338" s="166"/>
      <c r="K2338" s="166"/>
      <c r="R2338" s="163"/>
      <c r="S2338" s="163"/>
    </row>
    <row r="2339">
      <c r="A2339" s="148"/>
      <c r="B2339" s="75"/>
      <c r="C2339" s="75"/>
      <c r="D2339" s="75"/>
      <c r="E2339" s="75"/>
      <c r="F2339" s="75"/>
      <c r="G2339" s="75"/>
      <c r="H2339" s="75"/>
      <c r="I2339" s="75"/>
      <c r="J2339" s="166"/>
      <c r="K2339" s="166"/>
      <c r="R2339" s="163"/>
      <c r="S2339" s="163"/>
    </row>
    <row r="2340">
      <c r="A2340" s="148"/>
      <c r="B2340" s="75"/>
      <c r="C2340" s="75"/>
      <c r="D2340" s="75"/>
      <c r="E2340" s="75"/>
      <c r="F2340" s="75"/>
      <c r="G2340" s="75"/>
      <c r="H2340" s="75"/>
      <c r="I2340" s="75"/>
      <c r="J2340" s="166"/>
      <c r="K2340" s="166"/>
      <c r="R2340" s="163"/>
      <c r="S2340" s="163"/>
    </row>
    <row r="2341">
      <c r="A2341" s="148"/>
      <c r="B2341" s="75"/>
      <c r="C2341" s="75"/>
      <c r="D2341" s="75"/>
      <c r="E2341" s="75"/>
      <c r="F2341" s="75"/>
      <c r="G2341" s="75"/>
      <c r="H2341" s="75"/>
      <c r="I2341" s="75"/>
      <c r="J2341" s="166"/>
      <c r="K2341" s="166"/>
      <c r="R2341" s="163"/>
      <c r="S2341" s="163"/>
    </row>
    <row r="2342">
      <c r="A2342" s="148"/>
      <c r="B2342" s="75"/>
      <c r="C2342" s="75"/>
      <c r="D2342" s="75"/>
      <c r="E2342" s="75"/>
      <c r="F2342" s="75"/>
      <c r="G2342" s="75"/>
      <c r="H2342" s="75"/>
      <c r="I2342" s="75"/>
      <c r="J2342" s="166"/>
      <c r="K2342" s="166"/>
      <c r="R2342" s="163"/>
      <c r="S2342" s="163"/>
    </row>
    <row r="2343">
      <c r="A2343" s="148"/>
      <c r="B2343" s="75"/>
      <c r="C2343" s="75"/>
      <c r="D2343" s="75"/>
      <c r="E2343" s="75"/>
      <c r="F2343" s="75"/>
      <c r="G2343" s="75"/>
      <c r="H2343" s="75"/>
      <c r="I2343" s="75"/>
      <c r="J2343" s="166"/>
      <c r="K2343" s="166"/>
      <c r="R2343" s="173"/>
      <c r="S2343" s="173"/>
    </row>
    <row r="2344">
      <c r="A2344" s="148"/>
      <c r="B2344" s="75"/>
      <c r="C2344" s="75"/>
      <c r="D2344" s="75"/>
      <c r="E2344" s="75"/>
      <c r="F2344" s="75"/>
      <c r="G2344" s="75"/>
      <c r="H2344" s="75"/>
      <c r="I2344" s="75"/>
      <c r="J2344" s="166"/>
      <c r="K2344" s="166"/>
      <c r="R2344" s="157"/>
      <c r="S2344" s="157"/>
    </row>
  </sheetData>
  <autoFilter ref="$A$1:$K$1414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2.88"/>
    <col customWidth="1" min="3" max="3" width="12.63"/>
    <col customWidth="1" min="4" max="4" width="13.0"/>
    <col customWidth="1" min="5" max="5" width="14.5"/>
    <col customWidth="1" min="6" max="6" width="16.13"/>
    <col customWidth="1" min="7" max="7" width="31.0"/>
    <col customWidth="1" min="8" max="8" width="44.75"/>
  </cols>
  <sheetData>
    <row r="1">
      <c r="A1" s="143" t="s">
        <v>71</v>
      </c>
      <c r="B1" s="143" t="s">
        <v>200</v>
      </c>
      <c r="C1" s="143" t="s">
        <v>202</v>
      </c>
      <c r="D1" s="143" t="s">
        <v>203</v>
      </c>
      <c r="E1" s="143" t="s">
        <v>204</v>
      </c>
      <c r="F1" s="143" t="s">
        <v>206</v>
      </c>
      <c r="G1" s="145" t="s">
        <v>207</v>
      </c>
      <c r="H1" s="151" t="s">
        <v>295</v>
      </c>
    </row>
    <row r="2">
      <c r="A2" s="195"/>
      <c r="B2" s="195"/>
      <c r="C2" s="195"/>
      <c r="D2" s="195"/>
      <c r="E2" s="195"/>
      <c r="F2" s="196" t="s">
        <v>29</v>
      </c>
      <c r="G2" s="188" t="s">
        <v>34</v>
      </c>
      <c r="H2" s="193" t="s">
        <v>33</v>
      </c>
    </row>
    <row r="3">
      <c r="A3" s="195"/>
      <c r="B3" s="195"/>
      <c r="C3" s="195"/>
      <c r="D3" s="195"/>
      <c r="E3" s="195"/>
      <c r="F3" s="195" t="s">
        <v>46</v>
      </c>
      <c r="G3" s="188" t="s">
        <v>49</v>
      </c>
      <c r="H3" s="193" t="s">
        <v>48</v>
      </c>
    </row>
    <row r="4">
      <c r="A4" s="197"/>
      <c r="B4" s="197"/>
      <c r="C4" s="197"/>
      <c r="D4" s="197"/>
      <c r="E4" s="197"/>
      <c r="F4" s="197"/>
      <c r="G4" s="198" t="s">
        <v>246</v>
      </c>
      <c r="H4" s="198" t="s">
        <v>247</v>
      </c>
    </row>
    <row r="5">
      <c r="A5" s="195"/>
      <c r="B5" s="196" t="s">
        <v>208</v>
      </c>
      <c r="C5" s="195"/>
      <c r="D5" s="195"/>
      <c r="E5" s="195"/>
      <c r="F5" s="195" t="s">
        <v>51</v>
      </c>
      <c r="G5" s="188" t="s">
        <v>54</v>
      </c>
      <c r="H5" s="193" t="s">
        <v>53</v>
      </c>
    </row>
    <row r="6">
      <c r="A6" s="195"/>
      <c r="B6" s="196" t="s">
        <v>208</v>
      </c>
      <c r="C6" s="195"/>
      <c r="D6" s="195"/>
      <c r="E6" s="195"/>
      <c r="F6" s="195" t="s">
        <v>55</v>
      </c>
      <c r="G6" s="188" t="s">
        <v>62</v>
      </c>
      <c r="H6" s="193" t="s">
        <v>61</v>
      </c>
    </row>
    <row r="7">
      <c r="A7" s="195"/>
      <c r="B7" s="196" t="s">
        <v>208</v>
      </c>
      <c r="C7" s="195"/>
      <c r="D7" s="195"/>
      <c r="E7" s="195"/>
      <c r="F7" s="195" t="s">
        <v>63</v>
      </c>
      <c r="G7" s="188" t="s">
        <v>64</v>
      </c>
      <c r="H7" s="193" t="s">
        <v>61</v>
      </c>
    </row>
    <row r="8">
      <c r="A8" s="195"/>
      <c r="B8" s="196" t="s">
        <v>208</v>
      </c>
      <c r="C8" s="195"/>
      <c r="D8" s="195"/>
      <c r="E8" s="195"/>
      <c r="F8" s="195" t="s">
        <v>173</v>
      </c>
      <c r="G8" s="188" t="s">
        <v>72</v>
      </c>
      <c r="H8" s="193" t="s">
        <v>61</v>
      </c>
    </row>
    <row r="9">
      <c r="A9" s="195"/>
      <c r="B9" s="196" t="s">
        <v>208</v>
      </c>
      <c r="C9" s="195"/>
      <c r="D9" s="195"/>
      <c r="E9" s="195"/>
      <c r="F9" s="195" t="s">
        <v>65</v>
      </c>
      <c r="G9" s="188" t="s">
        <v>90</v>
      </c>
      <c r="H9" s="193" t="s">
        <v>61</v>
      </c>
    </row>
    <row r="10">
      <c r="A10" s="196" t="s">
        <v>296</v>
      </c>
      <c r="B10" s="196" t="s">
        <v>297</v>
      </c>
      <c r="C10" s="196" t="s">
        <v>298</v>
      </c>
      <c r="D10" s="196" t="s">
        <v>299</v>
      </c>
      <c r="E10" s="195"/>
      <c r="F10" s="195" t="s">
        <v>96</v>
      </c>
      <c r="G10" s="188" t="s">
        <v>99</v>
      </c>
      <c r="H10" s="193" t="s">
        <v>98</v>
      </c>
    </row>
    <row r="11">
      <c r="A11" s="199" t="s">
        <v>300</v>
      </c>
      <c r="B11" s="199" t="s">
        <v>301</v>
      </c>
      <c r="C11" s="199" t="s">
        <v>302</v>
      </c>
      <c r="D11" s="199" t="s">
        <v>303</v>
      </c>
      <c r="E11" s="200"/>
      <c r="F11" s="200"/>
      <c r="G11" s="188" t="s">
        <v>107</v>
      </c>
      <c r="H11" s="193" t="s">
        <v>104</v>
      </c>
    </row>
    <row r="12">
      <c r="A12" s="195"/>
      <c r="B12" s="196" t="s">
        <v>208</v>
      </c>
      <c r="C12" s="195"/>
      <c r="D12" s="195"/>
      <c r="E12" s="195"/>
      <c r="F12" s="195" t="s">
        <v>111</v>
      </c>
      <c r="G12" s="188" t="s">
        <v>113</v>
      </c>
      <c r="H12" s="193" t="s">
        <v>112</v>
      </c>
    </row>
    <row r="13">
      <c r="A13" s="195"/>
      <c r="B13" s="195"/>
      <c r="C13" s="195"/>
      <c r="D13" s="195"/>
      <c r="E13" s="195"/>
      <c r="F13" s="195" t="s">
        <v>114</v>
      </c>
      <c r="G13" s="188" t="s">
        <v>116</v>
      </c>
      <c r="H13" s="193" t="s">
        <v>115</v>
      </c>
    </row>
    <row r="14">
      <c r="A14" s="195"/>
      <c r="B14" s="196" t="s">
        <v>208</v>
      </c>
      <c r="C14" s="195"/>
      <c r="D14" s="195"/>
      <c r="E14" s="195"/>
      <c r="F14" s="195" t="s">
        <v>117</v>
      </c>
      <c r="G14" s="188" t="s">
        <v>119</v>
      </c>
      <c r="H14" s="193" t="s">
        <v>118</v>
      </c>
    </row>
    <row r="15">
      <c r="A15" s="195"/>
      <c r="B15" s="196" t="s">
        <v>208</v>
      </c>
      <c r="C15" s="195"/>
      <c r="D15" s="195"/>
      <c r="E15" s="195"/>
      <c r="F15" s="195" t="s">
        <v>121</v>
      </c>
      <c r="G15" s="188" t="s">
        <v>122</v>
      </c>
      <c r="H15" s="193" t="s">
        <v>118</v>
      </c>
    </row>
    <row r="16">
      <c r="A16" s="195"/>
      <c r="B16" s="195"/>
      <c r="C16" s="195"/>
      <c r="D16" s="195"/>
      <c r="E16" s="195"/>
      <c r="F16" s="195" t="s">
        <v>123</v>
      </c>
      <c r="G16" s="188" t="s">
        <v>125</v>
      </c>
      <c r="H16" s="193" t="s">
        <v>124</v>
      </c>
    </row>
    <row r="17">
      <c r="A17" s="196" t="s">
        <v>304</v>
      </c>
      <c r="B17" s="196" t="s">
        <v>305</v>
      </c>
      <c r="C17" s="196" t="s">
        <v>306</v>
      </c>
      <c r="D17" s="196" t="s">
        <v>307</v>
      </c>
      <c r="E17" s="195"/>
      <c r="F17" s="195"/>
      <c r="G17" s="188" t="s">
        <v>248</v>
      </c>
      <c r="H17" s="193" t="s">
        <v>142</v>
      </c>
    </row>
    <row r="18">
      <c r="A18" s="197"/>
      <c r="B18" s="197"/>
      <c r="C18" s="197"/>
      <c r="D18" s="197"/>
      <c r="E18" s="197"/>
      <c r="F18" s="197"/>
      <c r="G18" s="198" t="s">
        <v>143</v>
      </c>
      <c r="H18" s="198" t="s">
        <v>142</v>
      </c>
    </row>
    <row r="19">
      <c r="A19" s="195"/>
      <c r="B19" s="195"/>
      <c r="C19" s="195"/>
      <c r="D19" s="195"/>
      <c r="E19" s="195"/>
      <c r="F19" s="195"/>
      <c r="G19" s="188" t="s">
        <v>249</v>
      </c>
      <c r="H19" s="193" t="s">
        <v>124</v>
      </c>
    </row>
    <row r="20">
      <c r="A20" s="195"/>
      <c r="B20" s="196" t="s">
        <v>308</v>
      </c>
      <c r="C20" s="195"/>
      <c r="D20" s="195"/>
      <c r="E20" s="195"/>
      <c r="F20" s="196" t="s">
        <v>150</v>
      </c>
      <c r="G20" s="188" t="s">
        <v>145</v>
      </c>
      <c r="H20" s="193" t="s">
        <v>144</v>
      </c>
    </row>
    <row r="21">
      <c r="A21" s="196" t="s">
        <v>309</v>
      </c>
      <c r="B21" s="196" t="s">
        <v>310</v>
      </c>
      <c r="C21" s="196" t="s">
        <v>311</v>
      </c>
      <c r="D21" s="196" t="s">
        <v>312</v>
      </c>
      <c r="E21" s="195"/>
      <c r="F21" s="195"/>
      <c r="G21" s="188" t="s">
        <v>250</v>
      </c>
      <c r="H21" s="193" t="s">
        <v>136</v>
      </c>
    </row>
    <row r="22">
      <c r="A22" s="196" t="s">
        <v>313</v>
      </c>
      <c r="B22" s="196" t="s">
        <v>314</v>
      </c>
      <c r="C22" s="196">
        <v>116.0</v>
      </c>
      <c r="D22" s="196" t="s">
        <v>315</v>
      </c>
      <c r="E22" s="195"/>
      <c r="F22" s="195"/>
      <c r="G22" s="188" t="s">
        <v>130</v>
      </c>
      <c r="H22" s="193" t="s">
        <v>129</v>
      </c>
    </row>
    <row r="23">
      <c r="A23" s="195"/>
      <c r="B23" s="196" t="s">
        <v>316</v>
      </c>
      <c r="C23" s="195"/>
      <c r="D23" s="195"/>
      <c r="E23" s="195"/>
      <c r="F23" s="196" t="s">
        <v>146</v>
      </c>
      <c r="G23" s="188" t="s">
        <v>148</v>
      </c>
      <c r="H23" s="193" t="s">
        <v>144</v>
      </c>
    </row>
    <row r="24">
      <c r="A24" s="196" t="s">
        <v>317</v>
      </c>
      <c r="B24" s="196" t="s">
        <v>318</v>
      </c>
      <c r="C24" s="196" t="s">
        <v>319</v>
      </c>
      <c r="D24" s="196" t="s">
        <v>320</v>
      </c>
      <c r="E24" s="195"/>
      <c r="F24" s="195"/>
      <c r="G24" s="188" t="s">
        <v>251</v>
      </c>
      <c r="H24" s="193" t="s">
        <v>136</v>
      </c>
    </row>
    <row r="25">
      <c r="A25" s="196" t="s">
        <v>321</v>
      </c>
      <c r="B25" s="196" t="s">
        <v>322</v>
      </c>
      <c r="C25" s="195"/>
      <c r="D25" s="196" t="s">
        <v>323</v>
      </c>
      <c r="E25" s="195"/>
      <c r="F25" s="195"/>
      <c r="G25" s="188" t="s">
        <v>252</v>
      </c>
      <c r="H25" s="193" t="s">
        <v>136</v>
      </c>
    </row>
    <row r="26">
      <c r="A26" s="195"/>
      <c r="B26" s="196" t="s">
        <v>324</v>
      </c>
      <c r="C26" s="195"/>
      <c r="D26" s="195"/>
      <c r="E26" s="195"/>
      <c r="F26" s="196" t="s">
        <v>154</v>
      </c>
      <c r="G26" s="188" t="s">
        <v>152</v>
      </c>
      <c r="H26" s="193" t="s">
        <v>144</v>
      </c>
    </row>
    <row r="27">
      <c r="A27" s="195"/>
      <c r="B27" s="195"/>
      <c r="C27" s="195"/>
      <c r="D27" s="195"/>
      <c r="E27" s="195"/>
      <c r="F27" s="195"/>
      <c r="G27" s="188" t="s">
        <v>167</v>
      </c>
      <c r="H27" s="193" t="s">
        <v>161</v>
      </c>
    </row>
    <row r="28">
      <c r="A28" s="195"/>
      <c r="B28" s="195"/>
      <c r="C28" s="195"/>
      <c r="D28" s="195"/>
      <c r="E28" s="195"/>
      <c r="F28" s="195"/>
      <c r="G28" s="188" t="s">
        <v>253</v>
      </c>
      <c r="H28" s="193" t="s">
        <v>161</v>
      </c>
    </row>
    <row r="29">
      <c r="A29" s="195"/>
      <c r="B29" s="195"/>
      <c r="C29" s="195"/>
      <c r="D29" s="195"/>
      <c r="E29" s="195"/>
      <c r="F29" s="195"/>
      <c r="G29" s="188" t="s">
        <v>254</v>
      </c>
      <c r="H29" s="193" t="s">
        <v>161</v>
      </c>
    </row>
    <row r="30">
      <c r="A30" s="195"/>
      <c r="B30" s="196" t="s">
        <v>325</v>
      </c>
      <c r="C30" s="195"/>
      <c r="D30" s="195"/>
      <c r="E30" s="195"/>
      <c r="F30" s="196" t="s">
        <v>326</v>
      </c>
      <c r="G30" s="188" t="s">
        <v>162</v>
      </c>
      <c r="H30" s="193" t="s">
        <v>161</v>
      </c>
    </row>
    <row r="31">
      <c r="A31" s="195"/>
      <c r="B31" s="195"/>
      <c r="C31" s="195"/>
      <c r="D31" s="195"/>
      <c r="E31" s="195"/>
      <c r="F31" s="195"/>
      <c r="G31" s="188" t="s">
        <v>255</v>
      </c>
      <c r="H31" s="193" t="s">
        <v>161</v>
      </c>
    </row>
    <row r="32">
      <c r="A32" s="195"/>
      <c r="B32" s="196" t="s">
        <v>327</v>
      </c>
      <c r="C32" s="195"/>
      <c r="D32" s="195"/>
      <c r="E32" s="195"/>
      <c r="F32" s="196" t="s">
        <v>328</v>
      </c>
      <c r="G32" s="188" t="s">
        <v>256</v>
      </c>
      <c r="H32" s="193" t="s">
        <v>161</v>
      </c>
    </row>
    <row r="33">
      <c r="A33" s="195"/>
      <c r="B33" s="195"/>
      <c r="C33" s="195"/>
      <c r="D33" s="195"/>
      <c r="E33" s="195"/>
      <c r="F33" s="195"/>
      <c r="G33" s="188" t="s">
        <v>257</v>
      </c>
      <c r="H33" s="193" t="s">
        <v>161</v>
      </c>
    </row>
    <row r="34">
      <c r="A34" s="195"/>
      <c r="B34" s="196" t="s">
        <v>329</v>
      </c>
      <c r="C34" s="195"/>
      <c r="D34" s="195"/>
      <c r="E34" s="195"/>
      <c r="F34" s="196" t="s">
        <v>330</v>
      </c>
      <c r="G34" s="188" t="s">
        <v>169</v>
      </c>
      <c r="H34" s="193" t="s">
        <v>161</v>
      </c>
    </row>
    <row r="35">
      <c r="A35" s="196" t="s">
        <v>331</v>
      </c>
      <c r="B35" s="196" t="s">
        <v>332</v>
      </c>
      <c r="C35" s="196" t="s">
        <v>333</v>
      </c>
      <c r="D35" s="196" t="s">
        <v>334</v>
      </c>
      <c r="E35" s="195"/>
      <c r="F35" s="195"/>
      <c r="G35" s="188" t="s">
        <v>258</v>
      </c>
      <c r="H35" s="193" t="s">
        <v>136</v>
      </c>
    </row>
    <row r="36">
      <c r="A36" s="195"/>
      <c r="B36" s="196" t="s">
        <v>335</v>
      </c>
      <c r="C36" s="195"/>
      <c r="D36" s="195"/>
      <c r="E36" s="195"/>
      <c r="F36" s="196" t="s">
        <v>155</v>
      </c>
      <c r="G36" s="188" t="s">
        <v>156</v>
      </c>
      <c r="H36" s="193" t="s">
        <v>144</v>
      </c>
    </row>
    <row r="37">
      <c r="A37" s="195"/>
      <c r="B37" s="196" t="s">
        <v>336</v>
      </c>
      <c r="C37" s="195"/>
      <c r="D37" s="195"/>
      <c r="E37" s="195"/>
      <c r="F37" s="196" t="s">
        <v>168</v>
      </c>
      <c r="G37" s="188" t="s">
        <v>170</v>
      </c>
      <c r="H37" s="193" t="s">
        <v>161</v>
      </c>
    </row>
    <row r="38">
      <c r="A38" s="195"/>
      <c r="B38" s="195"/>
      <c r="C38" s="195"/>
      <c r="D38" s="195"/>
      <c r="E38" s="195"/>
      <c r="F38" s="195"/>
      <c r="G38" s="188" t="s">
        <v>259</v>
      </c>
      <c r="H38" s="193" t="s">
        <v>161</v>
      </c>
    </row>
    <row r="39">
      <c r="A39" s="195"/>
      <c r="B39" s="196" t="s">
        <v>337</v>
      </c>
      <c r="C39" s="195"/>
      <c r="D39" s="195"/>
      <c r="E39" s="195"/>
      <c r="F39" s="196" t="s">
        <v>338</v>
      </c>
      <c r="G39" s="188" t="s">
        <v>171</v>
      </c>
      <c r="H39" s="193" t="s">
        <v>161</v>
      </c>
    </row>
    <row r="40">
      <c r="A40" s="195"/>
      <c r="B40" s="195"/>
      <c r="C40" s="195"/>
      <c r="D40" s="195"/>
      <c r="E40" s="195"/>
      <c r="F40" s="195"/>
      <c r="G40" s="188" t="s">
        <v>166</v>
      </c>
      <c r="H40" s="193" t="s">
        <v>161</v>
      </c>
    </row>
    <row r="41">
      <c r="A41" s="195"/>
      <c r="B41" s="196" t="s">
        <v>339</v>
      </c>
      <c r="C41" s="195"/>
      <c r="D41" s="195"/>
      <c r="E41" s="195"/>
      <c r="F41" s="196" t="s">
        <v>163</v>
      </c>
      <c r="G41" s="188" t="s">
        <v>172</v>
      </c>
      <c r="H41" s="193" t="s">
        <v>161</v>
      </c>
    </row>
    <row r="42">
      <c r="A42" s="196"/>
      <c r="B42" s="196" t="s">
        <v>340</v>
      </c>
      <c r="C42" s="196" t="s">
        <v>341</v>
      </c>
      <c r="D42" s="195"/>
      <c r="E42" s="196">
        <v>283.0</v>
      </c>
      <c r="F42" s="195"/>
      <c r="G42" s="188" t="s">
        <v>260</v>
      </c>
      <c r="H42" s="193" t="s">
        <v>161</v>
      </c>
    </row>
    <row r="43">
      <c r="A43" s="196" t="s">
        <v>342</v>
      </c>
      <c r="B43" s="196" t="s">
        <v>343</v>
      </c>
      <c r="C43" s="196" t="s">
        <v>344</v>
      </c>
      <c r="D43" s="196" t="s">
        <v>345</v>
      </c>
      <c r="E43" s="195"/>
      <c r="F43" s="195"/>
      <c r="G43" s="188" t="s">
        <v>261</v>
      </c>
      <c r="H43" s="193" t="s">
        <v>262</v>
      </c>
    </row>
    <row r="44">
      <c r="A44" s="196" t="s">
        <v>346</v>
      </c>
      <c r="B44" s="196" t="s">
        <v>347</v>
      </c>
      <c r="C44" s="196" t="s">
        <v>348</v>
      </c>
      <c r="D44" s="196" t="s">
        <v>349</v>
      </c>
      <c r="E44" s="195"/>
      <c r="F44" s="195"/>
      <c r="G44" s="188" t="s">
        <v>263</v>
      </c>
      <c r="H44" s="193" t="s">
        <v>264</v>
      </c>
    </row>
    <row r="45">
      <c r="A45" s="195"/>
      <c r="B45" s="195"/>
      <c r="C45" s="195"/>
      <c r="D45" s="195"/>
      <c r="E45" s="195"/>
      <c r="F45" s="195"/>
      <c r="G45" s="188" t="s">
        <v>265</v>
      </c>
      <c r="H45" s="193" t="s">
        <v>161</v>
      </c>
    </row>
    <row r="46">
      <c r="A46" s="195"/>
      <c r="B46" s="195"/>
      <c r="C46" s="195"/>
      <c r="D46" s="195"/>
      <c r="E46" s="195"/>
      <c r="F46" s="195"/>
      <c r="G46" s="188" t="s">
        <v>266</v>
      </c>
      <c r="H46" s="193" t="s">
        <v>161</v>
      </c>
    </row>
    <row r="47">
      <c r="A47" s="196" t="s">
        <v>350</v>
      </c>
      <c r="B47" s="196" t="s">
        <v>351</v>
      </c>
      <c r="C47" s="196" t="s">
        <v>352</v>
      </c>
      <c r="D47" s="196" t="s">
        <v>353</v>
      </c>
      <c r="E47" s="195"/>
      <c r="F47" s="195"/>
      <c r="G47" s="188" t="s">
        <v>267</v>
      </c>
      <c r="H47" s="193" t="s">
        <v>136</v>
      </c>
    </row>
    <row r="48">
      <c r="A48" s="195"/>
      <c r="B48" s="195"/>
      <c r="C48" s="195"/>
      <c r="D48" s="195"/>
      <c r="E48" s="195"/>
      <c r="F48" s="195"/>
      <c r="G48" s="188" t="s">
        <v>268</v>
      </c>
      <c r="H48" s="193" t="s">
        <v>269</v>
      </c>
    </row>
    <row r="49">
      <c r="A49" s="195"/>
      <c r="B49" s="195"/>
      <c r="C49" s="195"/>
      <c r="D49" s="195"/>
      <c r="E49" s="195"/>
      <c r="F49" s="195"/>
      <c r="G49" s="188" t="s">
        <v>270</v>
      </c>
      <c r="H49" s="193" t="s">
        <v>269</v>
      </c>
    </row>
    <row r="50">
      <c r="A50" s="195"/>
      <c r="B50" s="196" t="s">
        <v>354</v>
      </c>
      <c r="C50" s="195"/>
      <c r="D50" s="195"/>
      <c r="E50" s="195"/>
      <c r="F50" s="196" t="s">
        <v>157</v>
      </c>
      <c r="G50" s="188" t="s">
        <v>159</v>
      </c>
      <c r="H50" s="193" t="s">
        <v>158</v>
      </c>
    </row>
    <row r="51">
      <c r="A51" s="195"/>
      <c r="B51" s="195"/>
      <c r="C51" s="195"/>
      <c r="D51" s="195"/>
      <c r="E51" s="195"/>
      <c r="F51" s="195"/>
      <c r="G51" s="188" t="s">
        <v>271</v>
      </c>
      <c r="H51" s="193" t="s">
        <v>161</v>
      </c>
    </row>
    <row r="52">
      <c r="A52" s="195"/>
      <c r="B52" s="195"/>
      <c r="C52" s="195"/>
      <c r="D52" s="195"/>
      <c r="E52" s="195"/>
      <c r="F52" s="195"/>
      <c r="G52" s="188" t="s">
        <v>272</v>
      </c>
      <c r="H52" s="193" t="s">
        <v>161</v>
      </c>
    </row>
    <row r="53">
      <c r="A53" s="195"/>
      <c r="B53" s="195"/>
      <c r="C53" s="195"/>
      <c r="D53" s="195"/>
      <c r="E53" s="195"/>
      <c r="F53" s="195"/>
      <c r="G53" s="188" t="s">
        <v>273</v>
      </c>
      <c r="H53" s="193" t="s">
        <v>274</v>
      </c>
    </row>
    <row r="54">
      <c r="A54" s="195"/>
      <c r="B54" s="196" t="s">
        <v>355</v>
      </c>
      <c r="C54" s="195"/>
      <c r="D54" s="195"/>
      <c r="E54" s="195"/>
      <c r="F54" s="196" t="s">
        <v>131</v>
      </c>
      <c r="G54" s="188" t="s">
        <v>133</v>
      </c>
      <c r="H54" s="193" t="s">
        <v>129</v>
      </c>
    </row>
    <row r="55">
      <c r="A55" s="195"/>
      <c r="B55" s="195"/>
      <c r="C55" s="195"/>
      <c r="D55" s="195"/>
      <c r="E55" s="195"/>
      <c r="F55" s="195"/>
      <c r="G55" s="188" t="s">
        <v>275</v>
      </c>
      <c r="H55" s="193" t="s">
        <v>129</v>
      </c>
    </row>
    <row r="56">
      <c r="A56" s="195"/>
      <c r="B56" s="195"/>
      <c r="C56" s="195"/>
      <c r="D56" s="195"/>
      <c r="E56" s="195"/>
      <c r="F56" s="195"/>
      <c r="G56" s="188" t="s">
        <v>276</v>
      </c>
      <c r="H56" s="193" t="s">
        <v>274</v>
      </c>
    </row>
    <row r="57">
      <c r="A57" s="195"/>
      <c r="B57" s="196" t="s">
        <v>356</v>
      </c>
      <c r="C57" s="196" t="s">
        <v>357</v>
      </c>
      <c r="D57" s="195"/>
      <c r="E57" s="196" t="s">
        <v>358</v>
      </c>
      <c r="F57" s="195"/>
      <c r="G57" s="188" t="s">
        <v>277</v>
      </c>
      <c r="H57" s="193" t="s">
        <v>278</v>
      </c>
    </row>
    <row r="58">
      <c r="A58" s="195"/>
      <c r="B58" s="196" t="s">
        <v>359</v>
      </c>
      <c r="C58" s="196" t="s">
        <v>360</v>
      </c>
      <c r="D58" s="195"/>
      <c r="E58" s="196">
        <v>233.0</v>
      </c>
      <c r="F58" s="195"/>
      <c r="G58" s="188" t="s">
        <v>361</v>
      </c>
      <c r="H58" s="193" t="s">
        <v>278</v>
      </c>
    </row>
    <row r="59">
      <c r="A59" s="195"/>
      <c r="B59" s="195"/>
      <c r="C59" s="195"/>
      <c r="D59" s="196" t="s">
        <v>208</v>
      </c>
      <c r="E59" s="195"/>
      <c r="F59" s="195"/>
      <c r="G59" s="188" t="s">
        <v>174</v>
      </c>
      <c r="H59" s="204"/>
    </row>
    <row r="60">
      <c r="A60" s="195"/>
      <c r="B60" s="195"/>
      <c r="C60" s="195"/>
      <c r="D60" s="196" t="s">
        <v>208</v>
      </c>
      <c r="E60" s="195"/>
      <c r="F60" s="195"/>
      <c r="G60" s="188" t="s">
        <v>174</v>
      </c>
      <c r="H60" s="204"/>
    </row>
    <row r="61">
      <c r="A61" s="195"/>
      <c r="B61" s="195"/>
      <c r="C61" s="195"/>
      <c r="D61" s="196" t="s">
        <v>208</v>
      </c>
      <c r="E61" s="195"/>
      <c r="F61" s="195"/>
      <c r="G61" s="188" t="s">
        <v>174</v>
      </c>
      <c r="H61" s="204"/>
    </row>
    <row r="62">
      <c r="A62" s="195"/>
      <c r="B62" s="195"/>
      <c r="C62" s="195"/>
      <c r="D62" s="195"/>
      <c r="E62" s="195"/>
      <c r="F62" s="196" t="s">
        <v>134</v>
      </c>
      <c r="G62" s="188" t="s">
        <v>280</v>
      </c>
      <c r="H62" s="204"/>
    </row>
    <row r="63">
      <c r="A63" s="195"/>
      <c r="B63" s="196" t="s">
        <v>362</v>
      </c>
      <c r="C63" s="195"/>
      <c r="D63" s="195"/>
      <c r="E63" s="195"/>
      <c r="F63" s="196" t="s">
        <v>126</v>
      </c>
      <c r="G63" s="188" t="s">
        <v>281</v>
      </c>
      <c r="H63" s="204"/>
    </row>
    <row r="64">
      <c r="A64" s="195"/>
      <c r="B64" s="195"/>
      <c r="C64" s="195"/>
      <c r="D64" s="196" t="s">
        <v>208</v>
      </c>
      <c r="E64" s="195"/>
      <c r="F64" s="195"/>
      <c r="G64" s="188" t="s">
        <v>282</v>
      </c>
      <c r="H64" s="204"/>
    </row>
    <row r="65">
      <c r="A65" s="195"/>
      <c r="B65" s="195"/>
      <c r="C65" s="195"/>
      <c r="D65" s="196" t="s">
        <v>208</v>
      </c>
      <c r="E65" s="195"/>
      <c r="F65" s="195"/>
      <c r="G65" s="188" t="s">
        <v>282</v>
      </c>
      <c r="H65" s="204"/>
    </row>
    <row r="66">
      <c r="A66" s="134">
        <f t="shared" ref="A66:F66" si="1">COUNTA(A2:A65)</f>
        <v>11</v>
      </c>
      <c r="B66" s="134">
        <f t="shared" si="1"/>
        <v>35</v>
      </c>
      <c r="C66" s="134">
        <f t="shared" si="1"/>
        <v>13</v>
      </c>
      <c r="D66" s="134">
        <f t="shared" si="1"/>
        <v>16</v>
      </c>
      <c r="E66" s="134">
        <f t="shared" si="1"/>
        <v>3</v>
      </c>
      <c r="F66" s="134">
        <f t="shared" si="1"/>
        <v>27</v>
      </c>
    </row>
  </sheetData>
  <autoFilter ref="$A$1:$H$66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6.13"/>
    <col customWidth="1" min="3" max="3" width="14.0"/>
    <col customWidth="1" min="4" max="4" width="14.5"/>
    <col customWidth="1" min="5" max="5" width="16.25"/>
    <col customWidth="1" min="6" max="6" width="16.0"/>
    <col customWidth="1" min="7" max="7" width="18.13"/>
  </cols>
  <sheetData>
    <row r="1">
      <c r="A1" s="205" t="s">
        <v>199</v>
      </c>
      <c r="B1" s="205" t="s">
        <v>71</v>
      </c>
      <c r="C1" s="205" t="s">
        <v>200</v>
      </c>
      <c r="D1" s="205" t="s">
        <v>201</v>
      </c>
      <c r="E1" s="205" t="s">
        <v>202</v>
      </c>
      <c r="F1" s="205" t="s">
        <v>203</v>
      </c>
      <c r="G1" s="205" t="s">
        <v>205</v>
      </c>
    </row>
    <row r="2">
      <c r="A2" s="206">
        <v>1.0</v>
      </c>
      <c r="B2" s="207" t="s">
        <v>364</v>
      </c>
      <c r="C2" s="207" t="s">
        <v>365</v>
      </c>
      <c r="D2" s="207" t="s">
        <v>366</v>
      </c>
      <c r="E2" s="207" t="s">
        <v>367</v>
      </c>
      <c r="F2" s="207" t="s">
        <v>368</v>
      </c>
      <c r="G2" s="208"/>
    </row>
    <row r="3">
      <c r="A3" s="206">
        <f t="shared" ref="A3:A238" si="1">A2+1</f>
        <v>2</v>
      </c>
      <c r="B3" s="207" t="s">
        <v>369</v>
      </c>
      <c r="C3" s="207" t="s">
        <v>370</v>
      </c>
      <c r="D3" s="207" t="s">
        <v>371</v>
      </c>
      <c r="E3" s="207" t="s">
        <v>372</v>
      </c>
      <c r="F3" s="207" t="s">
        <v>373</v>
      </c>
      <c r="G3" s="208"/>
    </row>
    <row r="4">
      <c r="A4" s="206">
        <f t="shared" si="1"/>
        <v>3</v>
      </c>
      <c r="B4" s="207" t="s">
        <v>374</v>
      </c>
      <c r="C4" s="207" t="s">
        <v>375</v>
      </c>
      <c r="D4" s="207" t="s">
        <v>376</v>
      </c>
      <c r="E4" s="207" t="s">
        <v>377</v>
      </c>
      <c r="F4" s="207" t="s">
        <v>378</v>
      </c>
      <c r="G4" s="208"/>
    </row>
    <row r="5">
      <c r="A5" s="206">
        <f t="shared" si="1"/>
        <v>4</v>
      </c>
      <c r="B5" s="207" t="s">
        <v>379</v>
      </c>
      <c r="C5" s="207" t="s">
        <v>380</v>
      </c>
      <c r="D5" s="207" t="s">
        <v>381</v>
      </c>
      <c r="E5" s="207" t="s">
        <v>382</v>
      </c>
      <c r="F5" s="207" t="s">
        <v>383</v>
      </c>
      <c r="G5" s="208"/>
    </row>
    <row r="6">
      <c r="A6" s="206">
        <f t="shared" si="1"/>
        <v>5</v>
      </c>
      <c r="B6" s="207" t="s">
        <v>384</v>
      </c>
      <c r="C6" s="207" t="s">
        <v>385</v>
      </c>
      <c r="D6" s="207" t="s">
        <v>386</v>
      </c>
      <c r="E6" s="207" t="s">
        <v>387</v>
      </c>
      <c r="F6" s="207" t="s">
        <v>388</v>
      </c>
      <c r="G6" s="208"/>
    </row>
    <row r="7">
      <c r="A7" s="206">
        <f t="shared" si="1"/>
        <v>6</v>
      </c>
      <c r="B7" s="207" t="s">
        <v>389</v>
      </c>
      <c r="C7" s="207" t="s">
        <v>390</v>
      </c>
      <c r="D7" s="207" t="s">
        <v>391</v>
      </c>
      <c r="E7" s="207" t="s">
        <v>392</v>
      </c>
      <c r="F7" s="207" t="s">
        <v>393</v>
      </c>
      <c r="G7" s="208"/>
    </row>
    <row r="8">
      <c r="A8" s="206">
        <f t="shared" si="1"/>
        <v>7</v>
      </c>
      <c r="B8" s="207" t="s">
        <v>394</v>
      </c>
      <c r="C8" s="207" t="s">
        <v>395</v>
      </c>
      <c r="D8" s="207" t="s">
        <v>396</v>
      </c>
      <c r="E8" s="207" t="s">
        <v>397</v>
      </c>
      <c r="F8" s="207" t="s">
        <v>398</v>
      </c>
      <c r="G8" s="208"/>
    </row>
    <row r="9">
      <c r="A9" s="206">
        <f t="shared" si="1"/>
        <v>8</v>
      </c>
      <c r="B9" s="207" t="s">
        <v>399</v>
      </c>
      <c r="C9" s="207" t="s">
        <v>400</v>
      </c>
      <c r="D9" s="207" t="s">
        <v>401</v>
      </c>
      <c r="E9" s="207" t="s">
        <v>402</v>
      </c>
      <c r="F9" s="207" t="s">
        <v>403</v>
      </c>
      <c r="G9" s="208"/>
    </row>
    <row r="10">
      <c r="A10" s="206">
        <f t="shared" si="1"/>
        <v>9</v>
      </c>
      <c r="B10" s="207" t="s">
        <v>404</v>
      </c>
      <c r="C10" s="207" t="s">
        <v>405</v>
      </c>
      <c r="D10" s="207" t="s">
        <v>406</v>
      </c>
      <c r="E10" s="207" t="s">
        <v>407</v>
      </c>
      <c r="F10" s="207" t="s">
        <v>408</v>
      </c>
      <c r="G10" s="208"/>
    </row>
    <row r="11">
      <c r="A11" s="206">
        <f t="shared" si="1"/>
        <v>10</v>
      </c>
      <c r="B11" s="207" t="s">
        <v>409</v>
      </c>
      <c r="C11" s="207" t="s">
        <v>410</v>
      </c>
      <c r="D11" s="207" t="s">
        <v>411</v>
      </c>
      <c r="E11" s="207" t="s">
        <v>412</v>
      </c>
      <c r="F11" s="207" t="s">
        <v>413</v>
      </c>
      <c r="G11" s="208"/>
    </row>
    <row r="12">
      <c r="A12" s="206">
        <f t="shared" si="1"/>
        <v>11</v>
      </c>
      <c r="B12" s="207" t="s">
        <v>414</v>
      </c>
      <c r="C12" s="207" t="s">
        <v>415</v>
      </c>
      <c r="D12" s="207" t="s">
        <v>416</v>
      </c>
      <c r="E12" s="207" t="s">
        <v>417</v>
      </c>
      <c r="F12" s="207" t="s">
        <v>418</v>
      </c>
      <c r="G12" s="208"/>
    </row>
    <row r="13">
      <c r="A13" s="206">
        <f t="shared" si="1"/>
        <v>12</v>
      </c>
      <c r="B13" s="207" t="s">
        <v>419</v>
      </c>
      <c r="C13" s="207" t="s">
        <v>420</v>
      </c>
      <c r="D13" s="207" t="s">
        <v>421</v>
      </c>
      <c r="E13" s="207" t="s">
        <v>422</v>
      </c>
      <c r="F13" s="207" t="s">
        <v>423</v>
      </c>
      <c r="G13" s="208"/>
    </row>
    <row r="14">
      <c r="A14" s="206">
        <f t="shared" si="1"/>
        <v>13</v>
      </c>
      <c r="B14" s="207" t="s">
        <v>424</v>
      </c>
      <c r="C14" s="207" t="s">
        <v>425</v>
      </c>
      <c r="D14" s="207" t="s">
        <v>426</v>
      </c>
      <c r="E14" s="207" t="s">
        <v>427</v>
      </c>
      <c r="F14" s="207" t="s">
        <v>428</v>
      </c>
      <c r="G14" s="208"/>
    </row>
    <row r="15">
      <c r="A15" s="206">
        <f t="shared" si="1"/>
        <v>14</v>
      </c>
      <c r="B15" s="207" t="s">
        <v>429</v>
      </c>
      <c r="C15" s="207" t="s">
        <v>430</v>
      </c>
      <c r="D15" s="207" t="s">
        <v>431</v>
      </c>
      <c r="E15" s="207" t="s">
        <v>432</v>
      </c>
      <c r="F15" s="207" t="s">
        <v>433</v>
      </c>
      <c r="G15" s="208"/>
    </row>
    <row r="16">
      <c r="A16" s="206">
        <f t="shared" si="1"/>
        <v>15</v>
      </c>
      <c r="B16" s="207" t="s">
        <v>434</v>
      </c>
      <c r="C16" s="207" t="s">
        <v>435</v>
      </c>
      <c r="D16" s="207" t="s">
        <v>436</v>
      </c>
      <c r="E16" s="207" t="s">
        <v>437</v>
      </c>
      <c r="F16" s="207" t="s">
        <v>438</v>
      </c>
      <c r="G16" s="208"/>
    </row>
    <row r="17">
      <c r="A17" s="206">
        <f t="shared" si="1"/>
        <v>16</v>
      </c>
      <c r="B17" s="207" t="s">
        <v>439</v>
      </c>
      <c r="C17" s="207" t="s">
        <v>440</v>
      </c>
      <c r="D17" s="207" t="s">
        <v>441</v>
      </c>
      <c r="E17" s="207" t="s">
        <v>442</v>
      </c>
      <c r="F17" s="207" t="s">
        <v>443</v>
      </c>
      <c r="G17" s="208"/>
    </row>
    <row r="18">
      <c r="A18" s="206">
        <f t="shared" si="1"/>
        <v>17</v>
      </c>
      <c r="B18" s="207" t="s">
        <v>444</v>
      </c>
      <c r="C18" s="207" t="s">
        <v>445</v>
      </c>
      <c r="D18" s="207" t="s">
        <v>446</v>
      </c>
      <c r="E18" s="207" t="s">
        <v>447</v>
      </c>
      <c r="F18" s="207" t="s">
        <v>448</v>
      </c>
      <c r="G18" s="208"/>
    </row>
    <row r="19">
      <c r="A19" s="206">
        <f t="shared" si="1"/>
        <v>18</v>
      </c>
      <c r="B19" s="207" t="s">
        <v>449</v>
      </c>
      <c r="C19" s="207" t="s">
        <v>450</v>
      </c>
      <c r="D19" s="207" t="s">
        <v>451</v>
      </c>
      <c r="E19" s="207" t="s">
        <v>452</v>
      </c>
      <c r="F19" s="207" t="s">
        <v>453</v>
      </c>
      <c r="G19" s="208"/>
    </row>
    <row r="20">
      <c r="A20" s="206">
        <f t="shared" si="1"/>
        <v>19</v>
      </c>
      <c r="B20" s="207" t="s">
        <v>454</v>
      </c>
      <c r="C20" s="207" t="s">
        <v>455</v>
      </c>
      <c r="D20" s="207" t="s">
        <v>451</v>
      </c>
      <c r="E20" s="207" t="s">
        <v>456</v>
      </c>
      <c r="F20" s="207" t="s">
        <v>457</v>
      </c>
      <c r="G20" s="208"/>
    </row>
    <row r="21">
      <c r="A21" s="206">
        <f t="shared" si="1"/>
        <v>20</v>
      </c>
      <c r="B21" s="207" t="s">
        <v>458</v>
      </c>
      <c r="C21" s="207" t="s">
        <v>459</v>
      </c>
      <c r="D21" s="207" t="s">
        <v>460</v>
      </c>
      <c r="E21" s="207" t="s">
        <v>461</v>
      </c>
      <c r="F21" s="207" t="s">
        <v>462</v>
      </c>
      <c r="G21" s="208"/>
    </row>
    <row r="22">
      <c r="A22" s="206">
        <f t="shared" si="1"/>
        <v>21</v>
      </c>
      <c r="B22" s="207" t="s">
        <v>463</v>
      </c>
      <c r="C22" s="207" t="s">
        <v>464</v>
      </c>
      <c r="D22" s="207" t="s">
        <v>465</v>
      </c>
      <c r="E22" s="207" t="s">
        <v>466</v>
      </c>
      <c r="F22" s="207" t="s">
        <v>467</v>
      </c>
      <c r="G22" s="208"/>
    </row>
    <row r="23">
      <c r="A23" s="206">
        <f t="shared" si="1"/>
        <v>22</v>
      </c>
      <c r="B23" s="207" t="s">
        <v>468</v>
      </c>
      <c r="C23" s="207" t="s">
        <v>469</v>
      </c>
      <c r="D23" s="207" t="s">
        <v>470</v>
      </c>
      <c r="E23" s="207" t="s">
        <v>471</v>
      </c>
      <c r="F23" s="207" t="s">
        <v>472</v>
      </c>
      <c r="G23" s="208"/>
    </row>
    <row r="24">
      <c r="A24" s="206">
        <f t="shared" si="1"/>
        <v>23</v>
      </c>
      <c r="B24" s="207" t="s">
        <v>473</v>
      </c>
      <c r="C24" s="207" t="s">
        <v>474</v>
      </c>
      <c r="D24" s="207" t="s">
        <v>475</v>
      </c>
      <c r="E24" s="207" t="s">
        <v>476</v>
      </c>
      <c r="F24" s="207" t="s">
        <v>477</v>
      </c>
      <c r="G24" s="208"/>
    </row>
    <row r="25">
      <c r="A25" s="206">
        <f t="shared" si="1"/>
        <v>24</v>
      </c>
      <c r="B25" s="207" t="s">
        <v>478</v>
      </c>
      <c r="C25" s="207" t="s">
        <v>479</v>
      </c>
      <c r="D25" s="207" t="s">
        <v>480</v>
      </c>
      <c r="E25" s="207" t="s">
        <v>481</v>
      </c>
      <c r="F25" s="207" t="s">
        <v>482</v>
      </c>
      <c r="G25" s="208"/>
    </row>
    <row r="26">
      <c r="A26" s="206">
        <f t="shared" si="1"/>
        <v>25</v>
      </c>
      <c r="B26" s="207" t="s">
        <v>483</v>
      </c>
      <c r="C26" s="207" t="s">
        <v>484</v>
      </c>
      <c r="D26" s="207" t="s">
        <v>485</v>
      </c>
      <c r="E26" s="207" t="s">
        <v>486</v>
      </c>
      <c r="F26" s="207" t="s">
        <v>487</v>
      </c>
      <c r="G26" s="208"/>
    </row>
    <row r="27" hidden="1">
      <c r="A27" s="206">
        <f t="shared" si="1"/>
        <v>26</v>
      </c>
      <c r="B27" s="209" t="s">
        <v>216</v>
      </c>
      <c r="C27" s="209" t="s">
        <v>216</v>
      </c>
      <c r="D27" s="209" t="s">
        <v>216</v>
      </c>
      <c r="E27" s="209" t="s">
        <v>216</v>
      </c>
      <c r="F27" s="209" t="s">
        <v>216</v>
      </c>
      <c r="G27" s="207" t="s">
        <v>488</v>
      </c>
    </row>
    <row r="28">
      <c r="A28" s="206">
        <f t="shared" si="1"/>
        <v>27</v>
      </c>
      <c r="B28" s="207" t="s">
        <v>489</v>
      </c>
      <c r="C28" s="207" t="s">
        <v>490</v>
      </c>
      <c r="D28" s="207" t="s">
        <v>491</v>
      </c>
      <c r="E28" s="207" t="s">
        <v>492</v>
      </c>
      <c r="F28" s="207" t="s">
        <v>493</v>
      </c>
      <c r="G28" s="208"/>
    </row>
    <row r="29">
      <c r="A29" s="206">
        <f t="shared" si="1"/>
        <v>28</v>
      </c>
      <c r="B29" s="207" t="s">
        <v>494</v>
      </c>
      <c r="C29" s="207" t="s">
        <v>495</v>
      </c>
      <c r="D29" s="207" t="s">
        <v>496</v>
      </c>
      <c r="E29" s="207" t="s">
        <v>497</v>
      </c>
      <c r="F29" s="207" t="s">
        <v>498</v>
      </c>
      <c r="G29" s="208"/>
    </row>
    <row r="30">
      <c r="A30" s="206">
        <f t="shared" si="1"/>
        <v>29</v>
      </c>
      <c r="B30" s="207" t="s">
        <v>499</v>
      </c>
      <c r="C30" s="207" t="s">
        <v>500</v>
      </c>
      <c r="D30" s="207" t="s">
        <v>501</v>
      </c>
      <c r="E30" s="207" t="s">
        <v>502</v>
      </c>
      <c r="F30" s="207" t="s">
        <v>503</v>
      </c>
      <c r="G30" s="208"/>
    </row>
    <row r="31">
      <c r="A31" s="206">
        <f t="shared" si="1"/>
        <v>30</v>
      </c>
      <c r="B31" s="207" t="s">
        <v>504</v>
      </c>
      <c r="C31" s="207" t="s">
        <v>505</v>
      </c>
      <c r="D31" s="207" t="s">
        <v>451</v>
      </c>
      <c r="E31" s="207" t="s">
        <v>506</v>
      </c>
      <c r="F31" s="207" t="s">
        <v>507</v>
      </c>
      <c r="G31" s="208"/>
    </row>
    <row r="32">
      <c r="A32" s="206">
        <f t="shared" si="1"/>
        <v>31</v>
      </c>
      <c r="B32" s="207" t="s">
        <v>508</v>
      </c>
      <c r="C32" s="207" t="s">
        <v>509</v>
      </c>
      <c r="D32" s="207" t="s">
        <v>451</v>
      </c>
      <c r="E32" s="207" t="s">
        <v>510</v>
      </c>
      <c r="F32" s="207" t="s">
        <v>511</v>
      </c>
      <c r="G32" s="208"/>
    </row>
    <row r="33">
      <c r="A33" s="206">
        <f t="shared" si="1"/>
        <v>32</v>
      </c>
      <c r="B33" s="207" t="s">
        <v>512</v>
      </c>
      <c r="C33" s="207" t="s">
        <v>513</v>
      </c>
      <c r="D33" s="207" t="s">
        <v>514</v>
      </c>
      <c r="E33" s="207" t="s">
        <v>515</v>
      </c>
      <c r="F33" s="207" t="s">
        <v>516</v>
      </c>
      <c r="G33" s="208"/>
    </row>
    <row r="34">
      <c r="A34" s="206">
        <f t="shared" si="1"/>
        <v>33</v>
      </c>
      <c r="B34" s="207" t="s">
        <v>517</v>
      </c>
      <c r="C34" s="207" t="s">
        <v>518</v>
      </c>
      <c r="D34" s="207" t="s">
        <v>519</v>
      </c>
      <c r="E34" s="207" t="s">
        <v>520</v>
      </c>
      <c r="F34" s="207" t="s">
        <v>521</v>
      </c>
      <c r="G34" s="208"/>
    </row>
    <row r="35">
      <c r="A35" s="206">
        <f t="shared" si="1"/>
        <v>34</v>
      </c>
      <c r="B35" s="207" t="s">
        <v>522</v>
      </c>
      <c r="C35" s="207" t="s">
        <v>523</v>
      </c>
      <c r="D35" s="207" t="s">
        <v>524</v>
      </c>
      <c r="E35" s="207" t="s">
        <v>525</v>
      </c>
      <c r="F35" s="207" t="s">
        <v>526</v>
      </c>
      <c r="G35" s="208"/>
    </row>
    <row r="36">
      <c r="A36" s="206">
        <f t="shared" si="1"/>
        <v>35</v>
      </c>
      <c r="B36" s="207" t="s">
        <v>527</v>
      </c>
      <c r="C36" s="207" t="s">
        <v>528</v>
      </c>
      <c r="D36" s="207" t="s">
        <v>529</v>
      </c>
      <c r="E36" s="207" t="s">
        <v>530</v>
      </c>
      <c r="F36" s="207" t="s">
        <v>531</v>
      </c>
      <c r="G36" s="208"/>
    </row>
    <row r="37">
      <c r="A37" s="206">
        <f t="shared" si="1"/>
        <v>36</v>
      </c>
      <c r="B37" s="207" t="s">
        <v>532</v>
      </c>
      <c r="C37" s="207" t="s">
        <v>533</v>
      </c>
      <c r="D37" s="207" t="s">
        <v>534</v>
      </c>
      <c r="E37" s="207" t="s">
        <v>535</v>
      </c>
      <c r="F37" s="207" t="s">
        <v>536</v>
      </c>
      <c r="G37" s="208"/>
    </row>
    <row r="38">
      <c r="A38" s="206">
        <f t="shared" si="1"/>
        <v>37</v>
      </c>
      <c r="B38" s="207" t="s">
        <v>537</v>
      </c>
      <c r="C38" s="207" t="s">
        <v>538</v>
      </c>
      <c r="D38" s="207" t="s">
        <v>539</v>
      </c>
      <c r="E38" s="207" t="s">
        <v>540</v>
      </c>
      <c r="F38" s="207" t="s">
        <v>541</v>
      </c>
      <c r="G38" s="208"/>
    </row>
    <row r="39">
      <c r="A39" s="206">
        <f t="shared" si="1"/>
        <v>38</v>
      </c>
      <c r="B39" s="207" t="s">
        <v>542</v>
      </c>
      <c r="C39" s="207" t="s">
        <v>543</v>
      </c>
      <c r="D39" s="207" t="s">
        <v>544</v>
      </c>
      <c r="E39" s="207" t="s">
        <v>545</v>
      </c>
      <c r="F39" s="207" t="s">
        <v>546</v>
      </c>
      <c r="G39" s="208"/>
    </row>
    <row r="40">
      <c r="A40" s="206">
        <f t="shared" si="1"/>
        <v>39</v>
      </c>
      <c r="B40" s="207" t="s">
        <v>547</v>
      </c>
      <c r="C40" s="207" t="s">
        <v>548</v>
      </c>
      <c r="D40" s="207" t="s">
        <v>549</v>
      </c>
      <c r="E40" s="207" t="s">
        <v>550</v>
      </c>
      <c r="F40" s="207" t="s">
        <v>551</v>
      </c>
      <c r="G40" s="208"/>
    </row>
    <row r="41">
      <c r="A41" s="206">
        <f t="shared" si="1"/>
        <v>40</v>
      </c>
      <c r="B41" s="207" t="s">
        <v>552</v>
      </c>
      <c r="C41" s="207" t="s">
        <v>553</v>
      </c>
      <c r="D41" s="207" t="s">
        <v>554</v>
      </c>
      <c r="E41" s="207" t="s">
        <v>555</v>
      </c>
      <c r="F41" s="207" t="s">
        <v>556</v>
      </c>
      <c r="G41" s="208"/>
    </row>
    <row r="42">
      <c r="A42" s="206">
        <f t="shared" si="1"/>
        <v>41</v>
      </c>
      <c r="B42" s="207" t="s">
        <v>557</v>
      </c>
      <c r="C42" s="207" t="s">
        <v>558</v>
      </c>
      <c r="D42" s="207" t="s">
        <v>559</v>
      </c>
      <c r="E42" s="207" t="s">
        <v>560</v>
      </c>
      <c r="F42" s="207" t="s">
        <v>561</v>
      </c>
      <c r="G42" s="207" t="s">
        <v>562</v>
      </c>
    </row>
    <row r="43">
      <c r="A43" s="206">
        <f t="shared" si="1"/>
        <v>42</v>
      </c>
      <c r="B43" s="207" t="s">
        <v>563</v>
      </c>
      <c r="C43" s="207" t="s">
        <v>218</v>
      </c>
      <c r="D43" s="207" t="s">
        <v>451</v>
      </c>
      <c r="E43" s="207" t="s">
        <v>564</v>
      </c>
      <c r="F43" s="207" t="s">
        <v>565</v>
      </c>
      <c r="G43" s="208"/>
    </row>
    <row r="44">
      <c r="A44" s="206">
        <f t="shared" si="1"/>
        <v>43</v>
      </c>
      <c r="B44" s="207" t="s">
        <v>566</v>
      </c>
      <c r="C44" s="207" t="s">
        <v>567</v>
      </c>
      <c r="D44" s="207" t="s">
        <v>568</v>
      </c>
      <c r="E44" s="207" t="s">
        <v>569</v>
      </c>
      <c r="F44" s="207" t="s">
        <v>570</v>
      </c>
      <c r="G44" s="208"/>
    </row>
    <row r="45">
      <c r="A45" s="206">
        <f t="shared" si="1"/>
        <v>44</v>
      </c>
      <c r="B45" s="207" t="s">
        <v>571</v>
      </c>
      <c r="C45" s="207" t="s">
        <v>572</v>
      </c>
      <c r="D45" s="207" t="s">
        <v>573</v>
      </c>
      <c r="E45" s="207" t="s">
        <v>574</v>
      </c>
      <c r="F45" s="207" t="s">
        <v>575</v>
      </c>
      <c r="G45" s="208"/>
    </row>
    <row r="46">
      <c r="A46" s="206">
        <f t="shared" si="1"/>
        <v>45</v>
      </c>
      <c r="B46" s="207" t="s">
        <v>576</v>
      </c>
      <c r="C46" s="207" t="s">
        <v>577</v>
      </c>
      <c r="D46" s="207" t="s">
        <v>578</v>
      </c>
      <c r="E46" s="207" t="s">
        <v>579</v>
      </c>
      <c r="F46" s="207" t="s">
        <v>580</v>
      </c>
      <c r="G46" s="208"/>
    </row>
    <row r="47">
      <c r="A47" s="206">
        <f t="shared" si="1"/>
        <v>46</v>
      </c>
      <c r="B47" s="207" t="s">
        <v>581</v>
      </c>
      <c r="C47" s="207" t="s">
        <v>582</v>
      </c>
      <c r="D47" s="207" t="s">
        <v>583</v>
      </c>
      <c r="E47" s="207" t="s">
        <v>584</v>
      </c>
      <c r="F47" s="207" t="s">
        <v>585</v>
      </c>
      <c r="G47" s="208"/>
    </row>
    <row r="48">
      <c r="A48" s="206">
        <f t="shared" si="1"/>
        <v>47</v>
      </c>
      <c r="B48" s="207" t="s">
        <v>586</v>
      </c>
      <c r="C48" s="207" t="s">
        <v>587</v>
      </c>
      <c r="D48" s="207" t="s">
        <v>588</v>
      </c>
      <c r="E48" s="207" t="s">
        <v>589</v>
      </c>
      <c r="F48" s="207" t="s">
        <v>590</v>
      </c>
      <c r="G48" s="208"/>
    </row>
    <row r="49" hidden="1">
      <c r="A49" s="206">
        <f t="shared" si="1"/>
        <v>48</v>
      </c>
      <c r="B49" s="209" t="s">
        <v>216</v>
      </c>
      <c r="C49" s="209" t="s">
        <v>216</v>
      </c>
      <c r="D49" s="209" t="s">
        <v>216</v>
      </c>
      <c r="E49" s="209" t="s">
        <v>216</v>
      </c>
      <c r="F49" s="209" t="s">
        <v>216</v>
      </c>
      <c r="G49" s="207" t="s">
        <v>488</v>
      </c>
    </row>
    <row r="50">
      <c r="A50" s="206">
        <f t="shared" si="1"/>
        <v>49</v>
      </c>
      <c r="B50" s="207" t="s">
        <v>591</v>
      </c>
      <c r="C50" s="207" t="s">
        <v>592</v>
      </c>
      <c r="D50" s="207" t="s">
        <v>451</v>
      </c>
      <c r="E50" s="207" t="s">
        <v>593</v>
      </c>
      <c r="F50" s="207" t="s">
        <v>594</v>
      </c>
      <c r="G50" s="208"/>
    </row>
    <row r="51">
      <c r="A51" s="206">
        <f t="shared" si="1"/>
        <v>50</v>
      </c>
      <c r="B51" s="207" t="s">
        <v>595</v>
      </c>
      <c r="C51" s="207" t="s">
        <v>596</v>
      </c>
      <c r="D51" s="207" t="s">
        <v>597</v>
      </c>
      <c r="E51" s="207" t="s">
        <v>598</v>
      </c>
      <c r="F51" s="207" t="s">
        <v>599</v>
      </c>
      <c r="G51" s="208"/>
    </row>
    <row r="52">
      <c r="A52" s="206">
        <f t="shared" si="1"/>
        <v>51</v>
      </c>
      <c r="B52" s="207" t="s">
        <v>600</v>
      </c>
      <c r="C52" s="207" t="s">
        <v>601</v>
      </c>
      <c r="D52" s="207" t="s">
        <v>602</v>
      </c>
      <c r="E52" s="207" t="s">
        <v>603</v>
      </c>
      <c r="F52" s="207" t="s">
        <v>604</v>
      </c>
      <c r="G52" s="208"/>
    </row>
    <row r="53">
      <c r="A53" s="206">
        <f t="shared" si="1"/>
        <v>52</v>
      </c>
      <c r="B53" s="207" t="s">
        <v>605</v>
      </c>
      <c r="C53" s="207" t="s">
        <v>606</v>
      </c>
      <c r="D53" s="207" t="s">
        <v>607</v>
      </c>
      <c r="E53" s="207" t="s">
        <v>608</v>
      </c>
      <c r="F53" s="207" t="s">
        <v>609</v>
      </c>
      <c r="G53" s="208"/>
    </row>
    <row r="54">
      <c r="A54" s="206">
        <f t="shared" si="1"/>
        <v>53</v>
      </c>
      <c r="B54" s="207" t="s">
        <v>610</v>
      </c>
      <c r="C54" s="207" t="s">
        <v>611</v>
      </c>
      <c r="D54" s="207" t="s">
        <v>451</v>
      </c>
      <c r="E54" s="207" t="s">
        <v>612</v>
      </c>
      <c r="F54" s="207" t="s">
        <v>613</v>
      </c>
      <c r="G54" s="208"/>
    </row>
    <row r="55">
      <c r="A55" s="206">
        <f t="shared" si="1"/>
        <v>54</v>
      </c>
      <c r="B55" s="207" t="s">
        <v>614</v>
      </c>
      <c r="C55" s="207" t="s">
        <v>615</v>
      </c>
      <c r="D55" s="207" t="s">
        <v>616</v>
      </c>
      <c r="E55" s="207" t="s">
        <v>617</v>
      </c>
      <c r="F55" s="207" t="s">
        <v>618</v>
      </c>
      <c r="G55" s="208"/>
    </row>
    <row r="56">
      <c r="A56" s="206">
        <f t="shared" si="1"/>
        <v>55</v>
      </c>
      <c r="B56" s="207" t="s">
        <v>619</v>
      </c>
      <c r="C56" s="207" t="s">
        <v>620</v>
      </c>
      <c r="D56" s="207" t="s">
        <v>621</v>
      </c>
      <c r="E56" s="207" t="s">
        <v>622</v>
      </c>
      <c r="F56" s="207" t="s">
        <v>623</v>
      </c>
      <c r="G56" s="208"/>
    </row>
    <row r="57">
      <c r="A57" s="206">
        <f t="shared" si="1"/>
        <v>56</v>
      </c>
      <c r="B57" s="207" t="s">
        <v>624</v>
      </c>
      <c r="C57" s="207" t="s">
        <v>625</v>
      </c>
      <c r="D57" s="207" t="s">
        <v>583</v>
      </c>
      <c r="E57" s="207" t="s">
        <v>626</v>
      </c>
      <c r="F57" s="207" t="s">
        <v>627</v>
      </c>
      <c r="G57" s="208"/>
    </row>
    <row r="58">
      <c r="A58" s="206">
        <f t="shared" si="1"/>
        <v>57</v>
      </c>
      <c r="B58" s="207" t="s">
        <v>628</v>
      </c>
      <c r="C58" s="207" t="s">
        <v>629</v>
      </c>
      <c r="D58" s="207" t="s">
        <v>630</v>
      </c>
      <c r="E58" s="207" t="s">
        <v>631</v>
      </c>
      <c r="F58" s="207" t="s">
        <v>632</v>
      </c>
      <c r="G58" s="208"/>
    </row>
    <row r="59">
      <c r="A59" s="206">
        <f t="shared" si="1"/>
        <v>58</v>
      </c>
      <c r="B59" s="207" t="s">
        <v>633</v>
      </c>
      <c r="C59" s="207" t="s">
        <v>634</v>
      </c>
      <c r="D59" s="207" t="s">
        <v>635</v>
      </c>
      <c r="E59" s="207" t="s">
        <v>636</v>
      </c>
      <c r="F59" s="207" t="s">
        <v>637</v>
      </c>
      <c r="G59" s="208"/>
    </row>
    <row r="60">
      <c r="A60" s="206">
        <f t="shared" si="1"/>
        <v>59</v>
      </c>
      <c r="B60" s="207" t="s">
        <v>638</v>
      </c>
      <c r="C60" s="207" t="s">
        <v>639</v>
      </c>
      <c r="D60" s="207" t="s">
        <v>640</v>
      </c>
      <c r="E60" s="207" t="s">
        <v>641</v>
      </c>
      <c r="F60" s="207" t="s">
        <v>642</v>
      </c>
      <c r="G60" s="208"/>
    </row>
    <row r="61">
      <c r="A61" s="206">
        <f t="shared" si="1"/>
        <v>60</v>
      </c>
      <c r="B61" s="207" t="s">
        <v>643</v>
      </c>
      <c r="C61" s="207" t="s">
        <v>644</v>
      </c>
      <c r="D61" s="207" t="s">
        <v>645</v>
      </c>
      <c r="E61" s="207" t="s">
        <v>646</v>
      </c>
      <c r="F61" s="207" t="s">
        <v>647</v>
      </c>
      <c r="G61" s="208"/>
    </row>
    <row r="62">
      <c r="A62" s="206">
        <f t="shared" si="1"/>
        <v>61</v>
      </c>
      <c r="B62" s="207" t="s">
        <v>648</v>
      </c>
      <c r="C62" s="207" t="s">
        <v>649</v>
      </c>
      <c r="D62" s="207" t="s">
        <v>650</v>
      </c>
      <c r="E62" s="207" t="s">
        <v>651</v>
      </c>
      <c r="F62" s="207" t="s">
        <v>652</v>
      </c>
      <c r="G62" s="208"/>
    </row>
    <row r="63">
      <c r="A63" s="206">
        <f t="shared" si="1"/>
        <v>62</v>
      </c>
      <c r="B63" s="207" t="s">
        <v>653</v>
      </c>
      <c r="C63" s="207" t="s">
        <v>654</v>
      </c>
      <c r="D63" s="207" t="s">
        <v>655</v>
      </c>
      <c r="E63" s="207" t="s">
        <v>656</v>
      </c>
      <c r="F63" s="207" t="s">
        <v>657</v>
      </c>
      <c r="G63" s="208"/>
    </row>
    <row r="64">
      <c r="A64" s="206">
        <f t="shared" si="1"/>
        <v>63</v>
      </c>
      <c r="B64" s="207" t="s">
        <v>658</v>
      </c>
      <c r="C64" s="207" t="s">
        <v>659</v>
      </c>
      <c r="D64" s="207" t="s">
        <v>660</v>
      </c>
      <c r="E64" s="207" t="s">
        <v>661</v>
      </c>
      <c r="F64" s="207" t="s">
        <v>662</v>
      </c>
      <c r="G64" s="208"/>
    </row>
    <row r="65">
      <c r="A65" s="206">
        <f t="shared" si="1"/>
        <v>64</v>
      </c>
      <c r="B65" s="207" t="s">
        <v>663</v>
      </c>
      <c r="C65" s="207" t="s">
        <v>664</v>
      </c>
      <c r="D65" s="207" t="s">
        <v>665</v>
      </c>
      <c r="E65" s="207" t="s">
        <v>666</v>
      </c>
      <c r="F65" s="207" t="s">
        <v>667</v>
      </c>
      <c r="G65" s="208"/>
    </row>
    <row r="66">
      <c r="A66" s="206">
        <f t="shared" si="1"/>
        <v>65</v>
      </c>
      <c r="B66" s="207" t="s">
        <v>668</v>
      </c>
      <c r="C66" s="207" t="s">
        <v>669</v>
      </c>
      <c r="D66" s="207" t="s">
        <v>670</v>
      </c>
      <c r="E66" s="207" t="s">
        <v>671</v>
      </c>
      <c r="F66" s="207" t="s">
        <v>393</v>
      </c>
      <c r="G66" s="208"/>
    </row>
    <row r="67">
      <c r="A67" s="206">
        <f t="shared" si="1"/>
        <v>66</v>
      </c>
      <c r="B67" s="207" t="s">
        <v>672</v>
      </c>
      <c r="C67" s="207" t="s">
        <v>673</v>
      </c>
      <c r="D67" s="207" t="s">
        <v>674</v>
      </c>
      <c r="E67" s="207" t="s">
        <v>675</v>
      </c>
      <c r="F67" s="207" t="s">
        <v>676</v>
      </c>
      <c r="G67" s="208"/>
    </row>
    <row r="68">
      <c r="A68" s="206">
        <f t="shared" si="1"/>
        <v>67</v>
      </c>
      <c r="B68" s="207" t="s">
        <v>677</v>
      </c>
      <c r="C68" s="207" t="s">
        <v>678</v>
      </c>
      <c r="D68" s="207" t="s">
        <v>451</v>
      </c>
      <c r="E68" s="207" t="s">
        <v>679</v>
      </c>
      <c r="F68" s="207" t="s">
        <v>680</v>
      </c>
      <c r="G68" s="208"/>
    </row>
    <row r="69">
      <c r="A69" s="206">
        <f t="shared" si="1"/>
        <v>68</v>
      </c>
      <c r="B69" s="207" t="s">
        <v>681</v>
      </c>
      <c r="C69" s="207" t="s">
        <v>682</v>
      </c>
      <c r="D69" s="207" t="s">
        <v>683</v>
      </c>
      <c r="E69" s="207" t="s">
        <v>684</v>
      </c>
      <c r="F69" s="207" t="s">
        <v>685</v>
      </c>
      <c r="G69" s="208"/>
    </row>
    <row r="70">
      <c r="A70" s="206">
        <f t="shared" si="1"/>
        <v>69</v>
      </c>
      <c r="B70" s="207" t="s">
        <v>686</v>
      </c>
      <c r="C70" s="207" t="s">
        <v>687</v>
      </c>
      <c r="D70" s="207" t="s">
        <v>688</v>
      </c>
      <c r="E70" s="207" t="s">
        <v>689</v>
      </c>
      <c r="F70" s="207" t="s">
        <v>690</v>
      </c>
      <c r="G70" s="208"/>
    </row>
    <row r="71">
      <c r="A71" s="206">
        <f t="shared" si="1"/>
        <v>70</v>
      </c>
      <c r="B71" s="207" t="s">
        <v>691</v>
      </c>
      <c r="C71" s="207" t="s">
        <v>692</v>
      </c>
      <c r="D71" s="207" t="s">
        <v>693</v>
      </c>
      <c r="E71" s="207" t="s">
        <v>694</v>
      </c>
      <c r="F71" s="207" t="s">
        <v>695</v>
      </c>
      <c r="G71" s="208"/>
    </row>
    <row r="72">
      <c r="A72" s="206">
        <f t="shared" si="1"/>
        <v>71</v>
      </c>
      <c r="B72" s="207" t="s">
        <v>696</v>
      </c>
      <c r="C72" s="207" t="s">
        <v>697</v>
      </c>
      <c r="D72" s="207" t="s">
        <v>698</v>
      </c>
      <c r="E72" s="207" t="s">
        <v>699</v>
      </c>
      <c r="F72" s="207" t="s">
        <v>700</v>
      </c>
      <c r="G72" s="208"/>
    </row>
    <row r="73">
      <c r="A73" s="206">
        <f t="shared" si="1"/>
        <v>72</v>
      </c>
      <c r="B73" s="207" t="s">
        <v>701</v>
      </c>
      <c r="C73" s="207" t="s">
        <v>702</v>
      </c>
      <c r="D73" s="207" t="s">
        <v>703</v>
      </c>
      <c r="E73" s="207" t="s">
        <v>704</v>
      </c>
      <c r="F73" s="207" t="s">
        <v>705</v>
      </c>
      <c r="G73" s="208"/>
    </row>
    <row r="74">
      <c r="A74" s="206">
        <f t="shared" si="1"/>
        <v>73</v>
      </c>
      <c r="B74" s="207" t="s">
        <v>706</v>
      </c>
      <c r="C74" s="207" t="s">
        <v>707</v>
      </c>
      <c r="D74" s="207" t="s">
        <v>708</v>
      </c>
      <c r="E74" s="207" t="s">
        <v>709</v>
      </c>
      <c r="F74" s="207" t="s">
        <v>710</v>
      </c>
      <c r="G74" s="208"/>
    </row>
    <row r="75">
      <c r="A75" s="206">
        <f t="shared" si="1"/>
        <v>74</v>
      </c>
      <c r="B75" s="207" t="s">
        <v>711</v>
      </c>
      <c r="C75" s="207" t="s">
        <v>712</v>
      </c>
      <c r="D75" s="207" t="s">
        <v>713</v>
      </c>
      <c r="E75" s="207" t="s">
        <v>714</v>
      </c>
      <c r="F75" s="207" t="s">
        <v>715</v>
      </c>
      <c r="G75" s="208"/>
    </row>
    <row r="76">
      <c r="A76" s="206">
        <f t="shared" si="1"/>
        <v>75</v>
      </c>
      <c r="B76" s="207" t="s">
        <v>716</v>
      </c>
      <c r="C76" s="207" t="s">
        <v>717</v>
      </c>
      <c r="D76" s="207" t="s">
        <v>718</v>
      </c>
      <c r="E76" s="207" t="s">
        <v>719</v>
      </c>
      <c r="F76" s="207" t="s">
        <v>720</v>
      </c>
      <c r="G76" s="208"/>
    </row>
    <row r="77">
      <c r="A77" s="206">
        <f t="shared" si="1"/>
        <v>76</v>
      </c>
      <c r="B77" s="207" t="s">
        <v>721</v>
      </c>
      <c r="C77" s="207" t="s">
        <v>722</v>
      </c>
      <c r="D77" s="207" t="s">
        <v>723</v>
      </c>
      <c r="E77" s="207" t="s">
        <v>724</v>
      </c>
      <c r="F77" s="207" t="s">
        <v>725</v>
      </c>
      <c r="G77" s="208"/>
    </row>
    <row r="78">
      <c r="A78" s="206">
        <f t="shared" si="1"/>
        <v>77</v>
      </c>
      <c r="B78" s="207" t="s">
        <v>726</v>
      </c>
      <c r="C78" s="207" t="s">
        <v>727</v>
      </c>
      <c r="D78" s="207" t="s">
        <v>728</v>
      </c>
      <c r="E78" s="207" t="s">
        <v>729</v>
      </c>
      <c r="F78" s="207" t="s">
        <v>730</v>
      </c>
      <c r="G78" s="208"/>
    </row>
    <row r="79">
      <c r="A79" s="206">
        <f t="shared" si="1"/>
        <v>78</v>
      </c>
      <c r="B79" s="207" t="s">
        <v>731</v>
      </c>
      <c r="C79" s="207" t="s">
        <v>732</v>
      </c>
      <c r="D79" s="207" t="s">
        <v>733</v>
      </c>
      <c r="E79" s="207" t="s">
        <v>734</v>
      </c>
      <c r="F79" s="207" t="s">
        <v>735</v>
      </c>
      <c r="G79" s="208"/>
    </row>
    <row r="80">
      <c r="A80" s="206">
        <f t="shared" si="1"/>
        <v>79</v>
      </c>
      <c r="B80" s="207" t="s">
        <v>736</v>
      </c>
      <c r="C80" s="207" t="s">
        <v>737</v>
      </c>
      <c r="D80" s="207" t="s">
        <v>738</v>
      </c>
      <c r="E80" s="207" t="s">
        <v>739</v>
      </c>
      <c r="F80" s="207" t="s">
        <v>740</v>
      </c>
      <c r="G80" s="208"/>
    </row>
    <row r="81">
      <c r="A81" s="206">
        <f t="shared" si="1"/>
        <v>80</v>
      </c>
      <c r="B81" s="207" t="s">
        <v>741</v>
      </c>
      <c r="C81" s="207" t="s">
        <v>742</v>
      </c>
      <c r="D81" s="207" t="s">
        <v>738</v>
      </c>
      <c r="E81" s="207" t="s">
        <v>743</v>
      </c>
      <c r="F81" s="207" t="s">
        <v>745</v>
      </c>
      <c r="G81" s="208"/>
    </row>
    <row r="82">
      <c r="A82" s="206">
        <f t="shared" si="1"/>
        <v>81</v>
      </c>
      <c r="B82" s="207" t="s">
        <v>746</v>
      </c>
      <c r="C82" s="207" t="s">
        <v>747</v>
      </c>
      <c r="D82" s="207" t="s">
        <v>748</v>
      </c>
      <c r="E82" s="207" t="s">
        <v>749</v>
      </c>
      <c r="F82" s="207" t="s">
        <v>751</v>
      </c>
      <c r="G82" s="208"/>
    </row>
    <row r="83">
      <c r="A83" s="206">
        <f t="shared" si="1"/>
        <v>82</v>
      </c>
      <c r="B83" s="207" t="s">
        <v>752</v>
      </c>
      <c r="C83" s="207" t="s">
        <v>753</v>
      </c>
      <c r="D83" s="207" t="s">
        <v>451</v>
      </c>
      <c r="E83" s="207" t="s">
        <v>754</v>
      </c>
      <c r="F83" s="207" t="s">
        <v>755</v>
      </c>
      <c r="G83" s="208"/>
    </row>
    <row r="84">
      <c r="A84" s="206">
        <f t="shared" si="1"/>
        <v>83</v>
      </c>
      <c r="B84" s="207" t="s">
        <v>756</v>
      </c>
      <c r="C84" s="207" t="s">
        <v>757</v>
      </c>
      <c r="D84" s="207" t="s">
        <v>451</v>
      </c>
      <c r="E84" s="207" t="s">
        <v>758</v>
      </c>
      <c r="F84" s="207" t="s">
        <v>759</v>
      </c>
      <c r="G84" s="208"/>
    </row>
    <row r="85">
      <c r="A85" s="206">
        <f t="shared" si="1"/>
        <v>84</v>
      </c>
      <c r="B85" s="207" t="s">
        <v>760</v>
      </c>
      <c r="C85" s="207" t="s">
        <v>761</v>
      </c>
      <c r="D85" s="207" t="s">
        <v>762</v>
      </c>
      <c r="E85" s="207" t="s">
        <v>763</v>
      </c>
      <c r="F85" s="207" t="s">
        <v>764</v>
      </c>
      <c r="G85" s="208"/>
    </row>
    <row r="86">
      <c r="A86" s="206">
        <f t="shared" si="1"/>
        <v>85</v>
      </c>
      <c r="B86" s="207" t="s">
        <v>765</v>
      </c>
      <c r="C86" s="207" t="s">
        <v>766</v>
      </c>
      <c r="D86" s="207" t="s">
        <v>451</v>
      </c>
      <c r="E86" s="207" t="s">
        <v>767</v>
      </c>
      <c r="F86" s="207" t="s">
        <v>768</v>
      </c>
      <c r="G86" s="208"/>
    </row>
    <row r="87">
      <c r="A87" s="206">
        <f t="shared" si="1"/>
        <v>86</v>
      </c>
      <c r="B87" s="207" t="s">
        <v>769</v>
      </c>
      <c r="C87" s="207" t="s">
        <v>770</v>
      </c>
      <c r="D87" s="207" t="s">
        <v>771</v>
      </c>
      <c r="E87" s="207" t="s">
        <v>772</v>
      </c>
      <c r="F87" s="207" t="s">
        <v>773</v>
      </c>
      <c r="G87" s="208"/>
    </row>
    <row r="88" hidden="1">
      <c r="A88" s="206">
        <f t="shared" si="1"/>
        <v>87</v>
      </c>
      <c r="B88" s="209" t="s">
        <v>216</v>
      </c>
      <c r="C88" s="209" t="s">
        <v>216</v>
      </c>
      <c r="D88" s="209" t="s">
        <v>216</v>
      </c>
      <c r="E88" s="209" t="s">
        <v>216</v>
      </c>
      <c r="F88" s="209" t="s">
        <v>216</v>
      </c>
      <c r="G88" s="207" t="s">
        <v>488</v>
      </c>
    </row>
    <row r="89">
      <c r="A89" s="206">
        <f t="shared" si="1"/>
        <v>88</v>
      </c>
      <c r="B89" s="207" t="s">
        <v>774</v>
      </c>
      <c r="C89" s="207" t="s">
        <v>775</v>
      </c>
      <c r="D89" s="207" t="s">
        <v>776</v>
      </c>
      <c r="E89" s="207" t="s">
        <v>777</v>
      </c>
      <c r="F89" s="207" t="s">
        <v>778</v>
      </c>
      <c r="G89" s="208"/>
    </row>
    <row r="90">
      <c r="A90" s="206">
        <f t="shared" si="1"/>
        <v>89</v>
      </c>
      <c r="B90" s="207" t="s">
        <v>779</v>
      </c>
      <c r="C90" s="207" t="s">
        <v>780</v>
      </c>
      <c r="D90" s="207" t="s">
        <v>781</v>
      </c>
      <c r="E90" s="207" t="s">
        <v>782</v>
      </c>
      <c r="F90" s="207" t="s">
        <v>783</v>
      </c>
      <c r="G90" s="208"/>
    </row>
    <row r="91">
      <c r="A91" s="206">
        <f t="shared" si="1"/>
        <v>90</v>
      </c>
      <c r="B91" s="207" t="s">
        <v>784</v>
      </c>
      <c r="C91" s="207" t="s">
        <v>785</v>
      </c>
      <c r="D91" s="207" t="s">
        <v>786</v>
      </c>
      <c r="E91" s="207" t="s">
        <v>787</v>
      </c>
      <c r="F91" s="207" t="s">
        <v>788</v>
      </c>
      <c r="G91" s="208"/>
    </row>
    <row r="92">
      <c r="A92" s="206">
        <f t="shared" si="1"/>
        <v>91</v>
      </c>
      <c r="B92" s="207" t="s">
        <v>789</v>
      </c>
      <c r="C92" s="207" t="s">
        <v>790</v>
      </c>
      <c r="D92" s="207" t="s">
        <v>791</v>
      </c>
      <c r="E92" s="207" t="s">
        <v>792</v>
      </c>
      <c r="F92" s="207" t="s">
        <v>793</v>
      </c>
      <c r="G92" s="208"/>
    </row>
    <row r="93" hidden="1">
      <c r="A93" s="206">
        <f t="shared" si="1"/>
        <v>92</v>
      </c>
      <c r="B93" s="209" t="s">
        <v>216</v>
      </c>
      <c r="C93" s="209" t="s">
        <v>216</v>
      </c>
      <c r="D93" s="209" t="s">
        <v>216</v>
      </c>
      <c r="E93" s="209" t="s">
        <v>216</v>
      </c>
      <c r="F93" s="209" t="s">
        <v>216</v>
      </c>
      <c r="G93" s="207" t="s">
        <v>488</v>
      </c>
    </row>
    <row r="94">
      <c r="A94" s="206">
        <f t="shared" si="1"/>
        <v>93</v>
      </c>
      <c r="B94" s="207" t="s">
        <v>794</v>
      </c>
      <c r="C94" s="207" t="s">
        <v>795</v>
      </c>
      <c r="D94" s="207" t="s">
        <v>796</v>
      </c>
      <c r="E94" s="207" t="s">
        <v>797</v>
      </c>
      <c r="F94" s="207" t="s">
        <v>798</v>
      </c>
      <c r="G94" s="208"/>
    </row>
    <row r="95">
      <c r="A95" s="206">
        <f t="shared" si="1"/>
        <v>94</v>
      </c>
      <c r="B95" s="207" t="s">
        <v>799</v>
      </c>
      <c r="C95" s="207" t="s">
        <v>800</v>
      </c>
      <c r="D95" s="207" t="s">
        <v>801</v>
      </c>
      <c r="E95" s="207" t="s">
        <v>442</v>
      </c>
      <c r="F95" s="207" t="s">
        <v>802</v>
      </c>
      <c r="G95" s="208"/>
    </row>
    <row r="96">
      <c r="A96" s="206">
        <f t="shared" si="1"/>
        <v>95</v>
      </c>
      <c r="B96" s="207" t="s">
        <v>803</v>
      </c>
      <c r="C96" s="207" t="s">
        <v>804</v>
      </c>
      <c r="D96" s="207" t="s">
        <v>805</v>
      </c>
      <c r="E96" s="207" t="s">
        <v>806</v>
      </c>
      <c r="F96" s="207" t="s">
        <v>807</v>
      </c>
      <c r="G96" s="208"/>
    </row>
    <row r="97">
      <c r="A97" s="206">
        <f t="shared" si="1"/>
        <v>96</v>
      </c>
      <c r="B97" s="207" t="s">
        <v>808</v>
      </c>
      <c r="C97" s="207" t="s">
        <v>809</v>
      </c>
      <c r="D97" s="207" t="s">
        <v>810</v>
      </c>
      <c r="E97" s="207" t="s">
        <v>811</v>
      </c>
      <c r="F97" s="207" t="s">
        <v>812</v>
      </c>
      <c r="G97" s="208"/>
    </row>
    <row r="98" hidden="1">
      <c r="A98" s="206">
        <f t="shared" si="1"/>
        <v>97</v>
      </c>
      <c r="B98" s="209" t="s">
        <v>216</v>
      </c>
      <c r="C98" s="209" t="s">
        <v>216</v>
      </c>
      <c r="D98" s="209" t="s">
        <v>216</v>
      </c>
      <c r="E98" s="209" t="s">
        <v>216</v>
      </c>
      <c r="F98" s="209" t="s">
        <v>216</v>
      </c>
      <c r="G98" s="207" t="s">
        <v>488</v>
      </c>
    </row>
    <row r="99">
      <c r="A99" s="206">
        <f t="shared" si="1"/>
        <v>98</v>
      </c>
      <c r="B99" s="207" t="s">
        <v>813</v>
      </c>
      <c r="C99" s="207" t="s">
        <v>814</v>
      </c>
      <c r="D99" s="207" t="s">
        <v>815</v>
      </c>
      <c r="E99" s="207" t="s">
        <v>816</v>
      </c>
      <c r="F99" s="207" t="s">
        <v>817</v>
      </c>
      <c r="G99" s="208"/>
    </row>
    <row r="100">
      <c r="A100" s="206">
        <f t="shared" si="1"/>
        <v>99</v>
      </c>
      <c r="B100" s="207" t="s">
        <v>818</v>
      </c>
      <c r="C100" s="207" t="s">
        <v>819</v>
      </c>
      <c r="D100" s="207" t="s">
        <v>820</v>
      </c>
      <c r="E100" s="207" t="s">
        <v>821</v>
      </c>
      <c r="F100" s="207" t="s">
        <v>822</v>
      </c>
      <c r="G100" s="208"/>
    </row>
    <row r="101">
      <c r="A101" s="206">
        <f t="shared" si="1"/>
        <v>100</v>
      </c>
      <c r="B101" s="207" t="s">
        <v>823</v>
      </c>
      <c r="C101" s="207" t="s">
        <v>824</v>
      </c>
      <c r="D101" s="207" t="s">
        <v>825</v>
      </c>
      <c r="E101" s="207" t="s">
        <v>826</v>
      </c>
      <c r="F101" s="207" t="s">
        <v>827</v>
      </c>
      <c r="G101" s="208"/>
    </row>
    <row r="102">
      <c r="A102" s="206">
        <f t="shared" si="1"/>
        <v>101</v>
      </c>
      <c r="B102" s="207" t="s">
        <v>828</v>
      </c>
      <c r="C102" s="207" t="s">
        <v>829</v>
      </c>
      <c r="D102" s="207" t="s">
        <v>830</v>
      </c>
      <c r="E102" s="207" t="s">
        <v>831</v>
      </c>
      <c r="F102" s="207" t="s">
        <v>832</v>
      </c>
      <c r="G102" s="208"/>
    </row>
    <row r="103">
      <c r="A103" s="206">
        <f t="shared" si="1"/>
        <v>102</v>
      </c>
      <c r="B103" s="207" t="s">
        <v>833</v>
      </c>
      <c r="C103" s="207" t="s">
        <v>834</v>
      </c>
      <c r="D103" s="207" t="s">
        <v>835</v>
      </c>
      <c r="E103" s="207" t="s">
        <v>836</v>
      </c>
      <c r="F103" s="207" t="s">
        <v>837</v>
      </c>
      <c r="G103" s="208"/>
    </row>
    <row r="104">
      <c r="A104" s="206">
        <f t="shared" si="1"/>
        <v>103</v>
      </c>
      <c r="B104" s="207" t="s">
        <v>838</v>
      </c>
      <c r="C104" s="207" t="s">
        <v>839</v>
      </c>
      <c r="D104" s="207" t="s">
        <v>840</v>
      </c>
      <c r="E104" s="207" t="s">
        <v>841</v>
      </c>
      <c r="F104" s="207" t="s">
        <v>842</v>
      </c>
      <c r="G104" s="208"/>
    </row>
    <row r="105">
      <c r="A105" s="206">
        <f t="shared" si="1"/>
        <v>104</v>
      </c>
      <c r="B105" s="207" t="s">
        <v>843</v>
      </c>
      <c r="C105" s="207" t="s">
        <v>218</v>
      </c>
      <c r="D105" s="207" t="s">
        <v>844</v>
      </c>
      <c r="E105" s="207" t="s">
        <v>845</v>
      </c>
      <c r="F105" s="207" t="s">
        <v>846</v>
      </c>
      <c r="G105" s="208"/>
    </row>
    <row r="106">
      <c r="A106" s="206">
        <f t="shared" si="1"/>
        <v>105</v>
      </c>
      <c r="B106" s="207" t="s">
        <v>847</v>
      </c>
      <c r="C106" s="207" t="s">
        <v>848</v>
      </c>
      <c r="D106" s="207" t="s">
        <v>849</v>
      </c>
      <c r="E106" s="207" t="s">
        <v>850</v>
      </c>
      <c r="F106" s="207" t="s">
        <v>851</v>
      </c>
      <c r="G106" s="208"/>
    </row>
    <row r="107">
      <c r="A107" s="206">
        <f t="shared" si="1"/>
        <v>106</v>
      </c>
      <c r="B107" s="207" t="s">
        <v>852</v>
      </c>
      <c r="C107" s="207" t="s">
        <v>853</v>
      </c>
      <c r="D107" s="207" t="s">
        <v>854</v>
      </c>
      <c r="E107" s="207" t="s">
        <v>855</v>
      </c>
      <c r="F107" s="207" t="s">
        <v>856</v>
      </c>
      <c r="G107" s="208"/>
    </row>
    <row r="108">
      <c r="A108" s="206">
        <f t="shared" si="1"/>
        <v>107</v>
      </c>
      <c r="B108" s="207" t="s">
        <v>857</v>
      </c>
      <c r="C108" s="207" t="s">
        <v>218</v>
      </c>
      <c r="D108" s="207" t="s">
        <v>858</v>
      </c>
      <c r="E108" s="207" t="s">
        <v>218</v>
      </c>
      <c r="F108" s="207" t="s">
        <v>859</v>
      </c>
      <c r="G108" s="208"/>
    </row>
    <row r="109">
      <c r="A109" s="206">
        <f t="shared" si="1"/>
        <v>108</v>
      </c>
      <c r="B109" s="207" t="s">
        <v>860</v>
      </c>
      <c r="C109" s="207" t="s">
        <v>862</v>
      </c>
      <c r="D109" s="207" t="s">
        <v>863</v>
      </c>
      <c r="E109" s="207" t="s">
        <v>864</v>
      </c>
      <c r="F109" s="207" t="s">
        <v>865</v>
      </c>
      <c r="G109" s="208"/>
    </row>
    <row r="110">
      <c r="A110" s="206">
        <f t="shared" si="1"/>
        <v>109</v>
      </c>
      <c r="B110" s="207" t="s">
        <v>866</v>
      </c>
      <c r="C110" s="207" t="s">
        <v>451</v>
      </c>
      <c r="D110" s="207" t="s">
        <v>867</v>
      </c>
      <c r="E110" s="207" t="s">
        <v>868</v>
      </c>
      <c r="F110" s="207" t="s">
        <v>869</v>
      </c>
      <c r="G110" s="208"/>
    </row>
    <row r="111">
      <c r="A111" s="206">
        <f t="shared" si="1"/>
        <v>110</v>
      </c>
      <c r="B111" s="207" t="s">
        <v>870</v>
      </c>
      <c r="C111" s="207" t="s">
        <v>871</v>
      </c>
      <c r="D111" s="207" t="s">
        <v>872</v>
      </c>
      <c r="E111" s="207" t="s">
        <v>873</v>
      </c>
      <c r="F111" s="207" t="s">
        <v>874</v>
      </c>
      <c r="G111" s="208"/>
    </row>
    <row r="112">
      <c r="A112" s="206">
        <f t="shared" si="1"/>
        <v>111</v>
      </c>
      <c r="B112" s="207" t="s">
        <v>875</v>
      </c>
      <c r="C112" s="207" t="s">
        <v>876</v>
      </c>
      <c r="D112" s="210" t="s">
        <v>877</v>
      </c>
      <c r="E112" s="207" t="s">
        <v>878</v>
      </c>
      <c r="F112" s="207" t="s">
        <v>879</v>
      </c>
      <c r="G112" s="208"/>
    </row>
    <row r="113">
      <c r="A113" s="206">
        <f t="shared" si="1"/>
        <v>112</v>
      </c>
      <c r="B113" s="207" t="s">
        <v>880</v>
      </c>
      <c r="C113" s="207" t="s">
        <v>881</v>
      </c>
      <c r="D113" s="207" t="s">
        <v>670</v>
      </c>
      <c r="E113" s="207" t="s">
        <v>882</v>
      </c>
      <c r="F113" s="207" t="s">
        <v>883</v>
      </c>
      <c r="G113" s="208"/>
    </row>
    <row r="114">
      <c r="A114" s="206">
        <f t="shared" si="1"/>
        <v>113</v>
      </c>
      <c r="B114" s="207" t="s">
        <v>884</v>
      </c>
      <c r="C114" s="207" t="s">
        <v>885</v>
      </c>
      <c r="D114" s="207" t="s">
        <v>886</v>
      </c>
      <c r="E114" s="207" t="s">
        <v>887</v>
      </c>
      <c r="F114" s="207" t="s">
        <v>888</v>
      </c>
      <c r="G114" s="208"/>
    </row>
    <row r="115">
      <c r="A115" s="206">
        <f t="shared" si="1"/>
        <v>114</v>
      </c>
      <c r="B115" s="207" t="s">
        <v>889</v>
      </c>
      <c r="C115" s="207" t="s">
        <v>890</v>
      </c>
      <c r="D115" s="207" t="s">
        <v>891</v>
      </c>
      <c r="E115" s="207" t="s">
        <v>892</v>
      </c>
      <c r="F115" s="207" t="s">
        <v>893</v>
      </c>
      <c r="G115" s="208"/>
    </row>
    <row r="116">
      <c r="A116" s="206">
        <f t="shared" si="1"/>
        <v>115</v>
      </c>
      <c r="B116" s="207" t="s">
        <v>894</v>
      </c>
      <c r="C116" s="207" t="s">
        <v>895</v>
      </c>
      <c r="D116" s="207" t="s">
        <v>896</v>
      </c>
      <c r="E116" s="207" t="s">
        <v>897</v>
      </c>
      <c r="F116" s="207" t="s">
        <v>898</v>
      </c>
      <c r="G116" s="208"/>
    </row>
    <row r="117">
      <c r="A117" s="206">
        <f t="shared" si="1"/>
        <v>116</v>
      </c>
      <c r="B117" s="207" t="s">
        <v>899</v>
      </c>
      <c r="C117" s="207" t="s">
        <v>900</v>
      </c>
      <c r="D117" s="207" t="s">
        <v>901</v>
      </c>
      <c r="E117" s="207" t="s">
        <v>902</v>
      </c>
      <c r="F117" s="207" t="s">
        <v>903</v>
      </c>
      <c r="G117" s="208"/>
    </row>
    <row r="118">
      <c r="A118" s="206">
        <f t="shared" si="1"/>
        <v>117</v>
      </c>
      <c r="B118" s="207" t="s">
        <v>904</v>
      </c>
      <c r="C118" s="207" t="s">
        <v>905</v>
      </c>
      <c r="D118" s="207" t="s">
        <v>906</v>
      </c>
      <c r="E118" s="207" t="s">
        <v>907</v>
      </c>
      <c r="F118" s="207" t="s">
        <v>908</v>
      </c>
      <c r="G118" s="208"/>
    </row>
    <row r="119">
      <c r="A119" s="206">
        <f t="shared" si="1"/>
        <v>118</v>
      </c>
      <c r="B119" s="207" t="s">
        <v>909</v>
      </c>
      <c r="C119" s="207" t="s">
        <v>910</v>
      </c>
      <c r="D119" s="207" t="s">
        <v>911</v>
      </c>
      <c r="E119" s="207" t="s">
        <v>912</v>
      </c>
      <c r="F119" s="207" t="s">
        <v>913</v>
      </c>
      <c r="G119" s="208"/>
    </row>
    <row r="120">
      <c r="A120" s="206">
        <f t="shared" si="1"/>
        <v>119</v>
      </c>
      <c r="B120" s="207" t="s">
        <v>914</v>
      </c>
      <c r="C120" s="207" t="s">
        <v>915</v>
      </c>
      <c r="D120" s="207" t="s">
        <v>916</v>
      </c>
      <c r="E120" s="207" t="s">
        <v>917</v>
      </c>
      <c r="F120" s="207" t="s">
        <v>918</v>
      </c>
      <c r="G120" s="208"/>
    </row>
    <row r="121">
      <c r="A121" s="206">
        <f t="shared" si="1"/>
        <v>120</v>
      </c>
      <c r="B121" s="207" t="s">
        <v>919</v>
      </c>
      <c r="C121" s="207" t="s">
        <v>920</v>
      </c>
      <c r="D121" s="207" t="s">
        <v>451</v>
      </c>
      <c r="E121" s="207" t="s">
        <v>921</v>
      </c>
      <c r="F121" s="207" t="s">
        <v>922</v>
      </c>
      <c r="G121" s="208"/>
    </row>
    <row r="122">
      <c r="A122" s="206">
        <f t="shared" si="1"/>
        <v>121</v>
      </c>
      <c r="B122" s="207" t="s">
        <v>923</v>
      </c>
      <c r="C122" s="207" t="s">
        <v>924</v>
      </c>
      <c r="D122" s="207" t="s">
        <v>925</v>
      </c>
      <c r="E122" s="207" t="s">
        <v>926</v>
      </c>
      <c r="F122" s="207" t="s">
        <v>927</v>
      </c>
      <c r="G122" s="207" t="s">
        <v>562</v>
      </c>
    </row>
    <row r="123">
      <c r="A123" s="206">
        <f t="shared" si="1"/>
        <v>122</v>
      </c>
      <c r="B123" s="207" t="s">
        <v>928</v>
      </c>
      <c r="C123" s="207" t="s">
        <v>929</v>
      </c>
      <c r="D123" s="207" t="s">
        <v>930</v>
      </c>
      <c r="E123" s="207" t="s">
        <v>931</v>
      </c>
      <c r="F123" s="207" t="s">
        <v>932</v>
      </c>
      <c r="G123" s="208"/>
    </row>
    <row r="124">
      <c r="A124" s="206">
        <f t="shared" si="1"/>
        <v>123</v>
      </c>
      <c r="B124" s="207" t="s">
        <v>933</v>
      </c>
      <c r="C124" s="207" t="s">
        <v>934</v>
      </c>
      <c r="D124" s="207" t="s">
        <v>935</v>
      </c>
      <c r="E124" s="207" t="s">
        <v>936</v>
      </c>
      <c r="F124" s="207" t="s">
        <v>937</v>
      </c>
      <c r="G124" s="208"/>
    </row>
    <row r="125">
      <c r="A125" s="206">
        <f t="shared" si="1"/>
        <v>124</v>
      </c>
      <c r="B125" s="207" t="s">
        <v>938</v>
      </c>
      <c r="C125" s="207" t="s">
        <v>939</v>
      </c>
      <c r="D125" s="207" t="s">
        <v>940</v>
      </c>
      <c r="E125" s="207" t="s">
        <v>941</v>
      </c>
      <c r="F125" s="207" t="s">
        <v>942</v>
      </c>
      <c r="G125" s="208"/>
    </row>
    <row r="126">
      <c r="A126" s="206">
        <f t="shared" si="1"/>
        <v>125</v>
      </c>
      <c r="B126" s="207" t="s">
        <v>943</v>
      </c>
      <c r="C126" s="207" t="s">
        <v>944</v>
      </c>
      <c r="D126" s="207" t="s">
        <v>945</v>
      </c>
      <c r="E126" s="207" t="s">
        <v>946</v>
      </c>
      <c r="F126" s="207" t="s">
        <v>947</v>
      </c>
      <c r="G126" s="208"/>
    </row>
    <row r="127">
      <c r="A127" s="206">
        <f t="shared" si="1"/>
        <v>126</v>
      </c>
      <c r="B127" s="207" t="s">
        <v>948</v>
      </c>
      <c r="C127" s="207" t="s">
        <v>949</v>
      </c>
      <c r="D127" s="207" t="s">
        <v>950</v>
      </c>
      <c r="E127" s="207" t="s">
        <v>951</v>
      </c>
      <c r="F127" s="207" t="s">
        <v>952</v>
      </c>
      <c r="G127" s="208"/>
    </row>
    <row r="128">
      <c r="A128" s="206">
        <f t="shared" si="1"/>
        <v>127</v>
      </c>
      <c r="B128" s="207" t="s">
        <v>953</v>
      </c>
      <c r="C128" s="207" t="s">
        <v>954</v>
      </c>
      <c r="D128" s="207" t="s">
        <v>955</v>
      </c>
      <c r="E128" s="207" t="s">
        <v>956</v>
      </c>
      <c r="F128" s="207" t="s">
        <v>957</v>
      </c>
      <c r="G128" s="208"/>
    </row>
    <row r="129">
      <c r="A129" s="206">
        <f t="shared" si="1"/>
        <v>128</v>
      </c>
      <c r="B129" s="207" t="s">
        <v>958</v>
      </c>
      <c r="C129" s="207" t="s">
        <v>959</v>
      </c>
      <c r="D129" s="207" t="s">
        <v>960</v>
      </c>
      <c r="E129" s="207" t="s">
        <v>961</v>
      </c>
      <c r="F129" s="207" t="s">
        <v>962</v>
      </c>
      <c r="G129" s="208"/>
    </row>
    <row r="130">
      <c r="A130" s="206">
        <f t="shared" si="1"/>
        <v>129</v>
      </c>
      <c r="B130" s="207" t="s">
        <v>963</v>
      </c>
      <c r="C130" s="207" t="s">
        <v>964</v>
      </c>
      <c r="D130" s="207" t="s">
        <v>965</v>
      </c>
      <c r="E130" s="207" t="s">
        <v>966</v>
      </c>
      <c r="F130" s="207" t="s">
        <v>967</v>
      </c>
      <c r="G130" s="208"/>
    </row>
    <row r="131" hidden="1">
      <c r="A131" s="206">
        <f t="shared" si="1"/>
        <v>130</v>
      </c>
      <c r="B131" s="209" t="s">
        <v>216</v>
      </c>
      <c r="C131" s="209" t="s">
        <v>216</v>
      </c>
      <c r="D131" s="209" t="s">
        <v>216</v>
      </c>
      <c r="E131" s="209" t="s">
        <v>216</v>
      </c>
      <c r="F131" s="209" t="s">
        <v>216</v>
      </c>
      <c r="G131" s="207" t="s">
        <v>488</v>
      </c>
    </row>
    <row r="132">
      <c r="A132" s="206">
        <f t="shared" si="1"/>
        <v>131</v>
      </c>
      <c r="B132" s="207" t="s">
        <v>968</v>
      </c>
      <c r="C132" s="207" t="s">
        <v>969</v>
      </c>
      <c r="D132" s="207" t="s">
        <v>970</v>
      </c>
      <c r="E132" s="207" t="s">
        <v>971</v>
      </c>
      <c r="F132" s="207" t="s">
        <v>972</v>
      </c>
      <c r="G132" s="208"/>
    </row>
    <row r="133">
      <c r="A133" s="206">
        <f t="shared" si="1"/>
        <v>132</v>
      </c>
      <c r="B133" s="207" t="s">
        <v>973</v>
      </c>
      <c r="C133" s="207" t="s">
        <v>216</v>
      </c>
      <c r="D133" s="207" t="s">
        <v>974</v>
      </c>
      <c r="E133" s="207" t="s">
        <v>975</v>
      </c>
      <c r="F133" s="207" t="s">
        <v>976</v>
      </c>
      <c r="G133" s="208"/>
    </row>
    <row r="134">
      <c r="A134" s="206">
        <f t="shared" si="1"/>
        <v>133</v>
      </c>
      <c r="B134" s="207" t="s">
        <v>977</v>
      </c>
      <c r="C134" s="207" t="s">
        <v>978</v>
      </c>
      <c r="D134" s="207" t="s">
        <v>979</v>
      </c>
      <c r="E134" s="207" t="s">
        <v>980</v>
      </c>
      <c r="F134" s="207" t="s">
        <v>981</v>
      </c>
      <c r="G134" s="208"/>
    </row>
    <row r="135">
      <c r="A135" s="206">
        <f t="shared" si="1"/>
        <v>134</v>
      </c>
      <c r="B135" s="207" t="s">
        <v>982</v>
      </c>
      <c r="C135" s="207" t="s">
        <v>983</v>
      </c>
      <c r="D135" s="207" t="s">
        <v>984</v>
      </c>
      <c r="E135" s="207" t="s">
        <v>985</v>
      </c>
      <c r="F135" s="207" t="s">
        <v>986</v>
      </c>
      <c r="G135" s="208"/>
    </row>
    <row r="136">
      <c r="A136" s="206">
        <f t="shared" si="1"/>
        <v>135</v>
      </c>
      <c r="B136" s="207" t="s">
        <v>987</v>
      </c>
      <c r="C136" s="207" t="s">
        <v>988</v>
      </c>
      <c r="D136" s="207" t="s">
        <v>989</v>
      </c>
      <c r="E136" s="207" t="s">
        <v>990</v>
      </c>
      <c r="F136" s="207" t="s">
        <v>991</v>
      </c>
      <c r="G136" s="208"/>
    </row>
    <row r="137">
      <c r="A137" s="206">
        <f t="shared" si="1"/>
        <v>136</v>
      </c>
      <c r="B137" s="207" t="s">
        <v>992</v>
      </c>
      <c r="C137" s="207" t="s">
        <v>993</v>
      </c>
      <c r="D137" s="207" t="s">
        <v>994</v>
      </c>
      <c r="E137" s="207" t="s">
        <v>995</v>
      </c>
      <c r="F137" s="207" t="s">
        <v>996</v>
      </c>
      <c r="G137" s="208"/>
    </row>
    <row r="138">
      <c r="A138" s="206">
        <f t="shared" si="1"/>
        <v>137</v>
      </c>
      <c r="B138" s="207" t="s">
        <v>997</v>
      </c>
      <c r="C138" s="207" t="s">
        <v>998</v>
      </c>
      <c r="D138" s="207" t="s">
        <v>999</v>
      </c>
      <c r="E138" s="207" t="s">
        <v>1000</v>
      </c>
      <c r="F138" s="207" t="s">
        <v>1001</v>
      </c>
      <c r="G138" s="208"/>
    </row>
    <row r="139" hidden="1">
      <c r="A139" s="206">
        <f t="shared" si="1"/>
        <v>138</v>
      </c>
      <c r="B139" s="209" t="s">
        <v>216</v>
      </c>
      <c r="C139" s="209" t="s">
        <v>216</v>
      </c>
      <c r="D139" s="209" t="s">
        <v>216</v>
      </c>
      <c r="E139" s="209" t="s">
        <v>216</v>
      </c>
      <c r="F139" s="209" t="s">
        <v>216</v>
      </c>
      <c r="G139" s="207" t="s">
        <v>488</v>
      </c>
    </row>
    <row r="140">
      <c r="A140" s="206">
        <f t="shared" si="1"/>
        <v>139</v>
      </c>
      <c r="B140" s="207" t="s">
        <v>1002</v>
      </c>
      <c r="C140" s="207" t="s">
        <v>1003</v>
      </c>
      <c r="D140" s="207" t="s">
        <v>1004</v>
      </c>
      <c r="E140" s="207" t="s">
        <v>1005</v>
      </c>
      <c r="F140" s="207" t="s">
        <v>1006</v>
      </c>
      <c r="G140" s="208"/>
    </row>
    <row r="141" hidden="1">
      <c r="A141" s="206">
        <f t="shared" si="1"/>
        <v>140</v>
      </c>
      <c r="B141" s="209" t="s">
        <v>216</v>
      </c>
      <c r="C141" s="209" t="s">
        <v>216</v>
      </c>
      <c r="D141" s="209" t="s">
        <v>216</v>
      </c>
      <c r="E141" s="209" t="s">
        <v>216</v>
      </c>
      <c r="F141" s="209" t="s">
        <v>216</v>
      </c>
      <c r="G141" s="207" t="s">
        <v>488</v>
      </c>
    </row>
    <row r="142">
      <c r="A142" s="206">
        <f t="shared" si="1"/>
        <v>141</v>
      </c>
      <c r="B142" s="207" t="s">
        <v>1007</v>
      </c>
      <c r="C142" s="207" t="s">
        <v>1008</v>
      </c>
      <c r="D142" s="207" t="s">
        <v>216</v>
      </c>
      <c r="E142" s="207" t="s">
        <v>1009</v>
      </c>
      <c r="F142" s="207" t="s">
        <v>1010</v>
      </c>
      <c r="G142" s="208"/>
    </row>
    <row r="143">
      <c r="A143" s="206">
        <f t="shared" si="1"/>
        <v>142</v>
      </c>
      <c r="B143" s="207" t="s">
        <v>1011</v>
      </c>
      <c r="C143" s="207" t="s">
        <v>1012</v>
      </c>
      <c r="D143" s="207" t="s">
        <v>1013</v>
      </c>
      <c r="E143" s="207" t="s">
        <v>1014</v>
      </c>
      <c r="F143" s="207" t="s">
        <v>1015</v>
      </c>
      <c r="G143" s="208"/>
    </row>
    <row r="144">
      <c r="A144" s="206">
        <f t="shared" si="1"/>
        <v>143</v>
      </c>
      <c r="B144" s="207" t="s">
        <v>1016</v>
      </c>
      <c r="C144" s="207" t="s">
        <v>1017</v>
      </c>
      <c r="D144" s="207" t="s">
        <v>1018</v>
      </c>
      <c r="E144" s="207" t="s">
        <v>1019</v>
      </c>
      <c r="F144" s="207" t="s">
        <v>1020</v>
      </c>
      <c r="G144" s="208"/>
    </row>
    <row r="145">
      <c r="A145" s="206">
        <f t="shared" si="1"/>
        <v>144</v>
      </c>
      <c r="B145" s="207" t="s">
        <v>1021</v>
      </c>
      <c r="C145" s="207" t="s">
        <v>1022</v>
      </c>
      <c r="D145" s="207" t="s">
        <v>1023</v>
      </c>
      <c r="E145" s="207" t="s">
        <v>1024</v>
      </c>
      <c r="F145" s="207" t="s">
        <v>1025</v>
      </c>
      <c r="G145" s="208"/>
    </row>
    <row r="146">
      <c r="A146" s="206">
        <f t="shared" si="1"/>
        <v>145</v>
      </c>
      <c r="B146" s="207" t="s">
        <v>1026</v>
      </c>
      <c r="C146" s="207" t="s">
        <v>1027</v>
      </c>
      <c r="D146" s="207" t="s">
        <v>1028</v>
      </c>
      <c r="E146" s="207" t="s">
        <v>1029</v>
      </c>
      <c r="F146" s="207" t="s">
        <v>1030</v>
      </c>
      <c r="G146" s="208"/>
    </row>
    <row r="147">
      <c r="A147" s="206">
        <f t="shared" si="1"/>
        <v>146</v>
      </c>
      <c r="B147" s="207" t="s">
        <v>1031</v>
      </c>
      <c r="C147" s="207" t="s">
        <v>1032</v>
      </c>
      <c r="D147" s="207" t="s">
        <v>1033</v>
      </c>
      <c r="E147" s="207" t="s">
        <v>1034</v>
      </c>
      <c r="F147" s="207" t="s">
        <v>1035</v>
      </c>
      <c r="G147" s="208"/>
    </row>
    <row r="148">
      <c r="A148" s="206">
        <f t="shared" si="1"/>
        <v>147</v>
      </c>
      <c r="B148" s="207" t="s">
        <v>1036</v>
      </c>
      <c r="C148" s="207" t="s">
        <v>216</v>
      </c>
      <c r="D148" s="207" t="s">
        <v>1037</v>
      </c>
      <c r="E148" s="207" t="s">
        <v>1038</v>
      </c>
      <c r="F148" s="207" t="s">
        <v>1039</v>
      </c>
      <c r="G148" s="208"/>
    </row>
    <row r="149">
      <c r="A149" s="206">
        <f t="shared" si="1"/>
        <v>148</v>
      </c>
      <c r="B149" s="207" t="s">
        <v>1040</v>
      </c>
      <c r="C149" s="207" t="s">
        <v>1041</v>
      </c>
      <c r="D149" s="207" t="s">
        <v>216</v>
      </c>
      <c r="E149" s="207" t="s">
        <v>1042</v>
      </c>
      <c r="F149" s="207" t="s">
        <v>1043</v>
      </c>
      <c r="G149" s="208"/>
    </row>
    <row r="150">
      <c r="A150" s="206">
        <f t="shared" si="1"/>
        <v>149</v>
      </c>
      <c r="B150" s="207" t="s">
        <v>1044</v>
      </c>
      <c r="C150" s="207" t="s">
        <v>1045</v>
      </c>
      <c r="D150" s="207" t="s">
        <v>1046</v>
      </c>
      <c r="E150" s="207" t="s">
        <v>1047</v>
      </c>
      <c r="F150" s="207" t="s">
        <v>1048</v>
      </c>
      <c r="G150" s="208"/>
    </row>
    <row r="151">
      <c r="A151" s="206">
        <f t="shared" si="1"/>
        <v>150</v>
      </c>
      <c r="B151" s="207" t="s">
        <v>1049</v>
      </c>
      <c r="C151" s="207" t="s">
        <v>1050</v>
      </c>
      <c r="D151" s="207" t="s">
        <v>1051</v>
      </c>
      <c r="E151" s="207" t="s">
        <v>1052</v>
      </c>
      <c r="F151" s="207" t="s">
        <v>1053</v>
      </c>
      <c r="G151" s="208"/>
    </row>
    <row r="152">
      <c r="A152" s="206">
        <f t="shared" si="1"/>
        <v>151</v>
      </c>
      <c r="B152" s="207" t="s">
        <v>1054</v>
      </c>
      <c r="C152" s="207" t="s">
        <v>1055</v>
      </c>
      <c r="D152" s="207" t="s">
        <v>1056</v>
      </c>
      <c r="E152" s="207" t="s">
        <v>1057</v>
      </c>
      <c r="F152" s="207" t="s">
        <v>1058</v>
      </c>
      <c r="G152" s="208"/>
    </row>
    <row r="153">
      <c r="A153" s="206">
        <f t="shared" si="1"/>
        <v>152</v>
      </c>
      <c r="B153" s="207" t="s">
        <v>1059</v>
      </c>
      <c r="C153" s="207" t="s">
        <v>1060</v>
      </c>
      <c r="D153" s="207" t="s">
        <v>1061</v>
      </c>
      <c r="E153" s="207" t="s">
        <v>1062</v>
      </c>
      <c r="F153" s="207" t="s">
        <v>1063</v>
      </c>
      <c r="G153" s="208"/>
    </row>
    <row r="154">
      <c r="A154" s="206">
        <f t="shared" si="1"/>
        <v>153</v>
      </c>
      <c r="B154" s="207" t="s">
        <v>1064</v>
      </c>
      <c r="C154" s="207" t="s">
        <v>1065</v>
      </c>
      <c r="D154" s="207" t="s">
        <v>1066</v>
      </c>
      <c r="E154" s="207" t="s">
        <v>1067</v>
      </c>
      <c r="F154" s="207" t="s">
        <v>1068</v>
      </c>
      <c r="G154" s="208"/>
    </row>
    <row r="155">
      <c r="A155" s="206">
        <f t="shared" si="1"/>
        <v>154</v>
      </c>
      <c r="B155" s="207" t="s">
        <v>1069</v>
      </c>
      <c r="C155" s="207" t="s">
        <v>1070</v>
      </c>
      <c r="D155" s="207" t="s">
        <v>1051</v>
      </c>
      <c r="E155" s="207" t="s">
        <v>1071</v>
      </c>
      <c r="F155" s="207" t="s">
        <v>1072</v>
      </c>
      <c r="G155" s="208"/>
    </row>
    <row r="156">
      <c r="A156" s="206">
        <f t="shared" si="1"/>
        <v>155</v>
      </c>
      <c r="B156" s="207" t="s">
        <v>1073</v>
      </c>
      <c r="C156" s="207" t="s">
        <v>1074</v>
      </c>
      <c r="D156" s="207" t="s">
        <v>1075</v>
      </c>
      <c r="E156" s="207" t="s">
        <v>1076</v>
      </c>
      <c r="F156" s="207" t="s">
        <v>1077</v>
      </c>
      <c r="G156" s="208"/>
    </row>
    <row r="157">
      <c r="A157" s="206">
        <f t="shared" si="1"/>
        <v>156</v>
      </c>
      <c r="B157" s="207" t="s">
        <v>1078</v>
      </c>
      <c r="C157" s="207" t="s">
        <v>1079</v>
      </c>
      <c r="D157" s="207" t="s">
        <v>216</v>
      </c>
      <c r="E157" s="207" t="s">
        <v>1080</v>
      </c>
      <c r="F157" s="207" t="s">
        <v>1081</v>
      </c>
      <c r="G157" s="208"/>
    </row>
    <row r="158">
      <c r="A158" s="206">
        <f t="shared" si="1"/>
        <v>157</v>
      </c>
      <c r="B158" s="207" t="s">
        <v>1082</v>
      </c>
      <c r="C158" s="207" t="s">
        <v>1083</v>
      </c>
      <c r="D158" s="207" t="s">
        <v>216</v>
      </c>
      <c r="E158" s="207" t="s">
        <v>1084</v>
      </c>
      <c r="F158" s="207" t="s">
        <v>1085</v>
      </c>
      <c r="G158" s="208"/>
    </row>
    <row r="159">
      <c r="A159" s="206">
        <f t="shared" si="1"/>
        <v>158</v>
      </c>
      <c r="B159" s="207" t="s">
        <v>1086</v>
      </c>
      <c r="C159" s="207" t="s">
        <v>1087</v>
      </c>
      <c r="D159" s="207" t="s">
        <v>1088</v>
      </c>
      <c r="E159" s="207" t="s">
        <v>1089</v>
      </c>
      <c r="F159" s="207" t="s">
        <v>1090</v>
      </c>
      <c r="G159" s="208"/>
    </row>
    <row r="160">
      <c r="A160" s="206">
        <f t="shared" si="1"/>
        <v>159</v>
      </c>
      <c r="B160" s="207" t="s">
        <v>1091</v>
      </c>
      <c r="C160" s="207" t="s">
        <v>1092</v>
      </c>
      <c r="D160" s="207" t="s">
        <v>1093</v>
      </c>
      <c r="E160" s="207" t="s">
        <v>1094</v>
      </c>
      <c r="F160" s="207" t="s">
        <v>1095</v>
      </c>
      <c r="G160" s="208"/>
    </row>
    <row r="161">
      <c r="A161" s="206">
        <f t="shared" si="1"/>
        <v>160</v>
      </c>
      <c r="B161" s="207" t="s">
        <v>1096</v>
      </c>
      <c r="C161" s="207" t="s">
        <v>1097</v>
      </c>
      <c r="D161" s="207" t="s">
        <v>1098</v>
      </c>
      <c r="E161" s="207" t="s">
        <v>1099</v>
      </c>
      <c r="F161" s="207" t="s">
        <v>1100</v>
      </c>
      <c r="G161" s="208"/>
    </row>
    <row r="162">
      <c r="A162" s="206">
        <f t="shared" si="1"/>
        <v>161</v>
      </c>
      <c r="B162" s="207" t="s">
        <v>1101</v>
      </c>
      <c r="C162" s="207" t="s">
        <v>1102</v>
      </c>
      <c r="D162" s="207" t="s">
        <v>1103</v>
      </c>
      <c r="E162" s="207" t="s">
        <v>1005</v>
      </c>
      <c r="F162" s="207" t="s">
        <v>1104</v>
      </c>
      <c r="G162" s="208"/>
    </row>
    <row r="163">
      <c r="A163" s="206">
        <f t="shared" si="1"/>
        <v>162</v>
      </c>
      <c r="B163" s="207" t="s">
        <v>1105</v>
      </c>
      <c r="C163" s="207" t="s">
        <v>1106</v>
      </c>
      <c r="D163" s="207" t="s">
        <v>1107</v>
      </c>
      <c r="E163" s="207" t="s">
        <v>1108</v>
      </c>
      <c r="F163" s="207" t="s">
        <v>1109</v>
      </c>
      <c r="G163" s="208"/>
    </row>
    <row r="164">
      <c r="A164" s="206">
        <f t="shared" si="1"/>
        <v>163</v>
      </c>
      <c r="B164" s="207" t="s">
        <v>1110</v>
      </c>
      <c r="C164" s="207" t="s">
        <v>1111</v>
      </c>
      <c r="D164" s="207" t="s">
        <v>1112</v>
      </c>
      <c r="E164" s="207" t="s">
        <v>1113</v>
      </c>
      <c r="F164" s="207" t="s">
        <v>1114</v>
      </c>
      <c r="G164" s="208"/>
    </row>
    <row r="165">
      <c r="A165" s="206">
        <f t="shared" si="1"/>
        <v>164</v>
      </c>
      <c r="B165" s="207" t="s">
        <v>1115</v>
      </c>
      <c r="C165" s="207" t="s">
        <v>1116</v>
      </c>
      <c r="D165" s="207" t="s">
        <v>1117</v>
      </c>
      <c r="E165" s="207" t="s">
        <v>1118</v>
      </c>
      <c r="F165" s="207" t="s">
        <v>1119</v>
      </c>
      <c r="G165" s="208"/>
    </row>
    <row r="166">
      <c r="A166" s="206">
        <f t="shared" si="1"/>
        <v>165</v>
      </c>
      <c r="B166" s="207" t="s">
        <v>1120</v>
      </c>
      <c r="C166" s="207" t="s">
        <v>1121</v>
      </c>
      <c r="D166" s="207" t="s">
        <v>1122</v>
      </c>
      <c r="E166" s="207" t="s">
        <v>1123</v>
      </c>
      <c r="F166" s="207" t="s">
        <v>1124</v>
      </c>
      <c r="G166" s="208"/>
    </row>
    <row r="167">
      <c r="A167" s="206">
        <f t="shared" si="1"/>
        <v>166</v>
      </c>
      <c r="B167" s="207" t="s">
        <v>1125</v>
      </c>
      <c r="C167" s="207" t="s">
        <v>1126</v>
      </c>
      <c r="D167" s="207" t="s">
        <v>1018</v>
      </c>
      <c r="E167" s="207" t="s">
        <v>1127</v>
      </c>
      <c r="F167" s="207" t="s">
        <v>1128</v>
      </c>
      <c r="G167" s="208"/>
    </row>
    <row r="168">
      <c r="A168" s="206">
        <f t="shared" si="1"/>
        <v>167</v>
      </c>
      <c r="B168" s="207" t="s">
        <v>1129</v>
      </c>
      <c r="C168" s="207" t="s">
        <v>1130</v>
      </c>
      <c r="D168" s="207" t="s">
        <v>1131</v>
      </c>
      <c r="E168" s="207" t="s">
        <v>1132</v>
      </c>
      <c r="F168" s="207" t="s">
        <v>1133</v>
      </c>
      <c r="G168" s="208"/>
    </row>
    <row r="169">
      <c r="A169" s="206">
        <f t="shared" si="1"/>
        <v>168</v>
      </c>
      <c r="B169" s="207" t="s">
        <v>1134</v>
      </c>
      <c r="C169" s="207" t="s">
        <v>218</v>
      </c>
      <c r="D169" s="207" t="s">
        <v>1135</v>
      </c>
      <c r="E169" s="207" t="s">
        <v>1136</v>
      </c>
      <c r="F169" s="207" t="s">
        <v>1137</v>
      </c>
      <c r="G169" s="208"/>
    </row>
    <row r="170">
      <c r="A170" s="206">
        <f t="shared" si="1"/>
        <v>169</v>
      </c>
      <c r="B170" s="207" t="s">
        <v>1138</v>
      </c>
      <c r="C170" s="207" t="s">
        <v>1139</v>
      </c>
      <c r="D170" s="207" t="s">
        <v>1140</v>
      </c>
      <c r="E170" s="207" t="s">
        <v>1141</v>
      </c>
      <c r="F170" s="207" t="s">
        <v>1142</v>
      </c>
      <c r="G170" s="208"/>
    </row>
    <row r="171">
      <c r="A171" s="206">
        <f t="shared" si="1"/>
        <v>170</v>
      </c>
      <c r="B171" s="207" t="s">
        <v>1143</v>
      </c>
      <c r="C171" s="207" t="s">
        <v>1144</v>
      </c>
      <c r="D171" s="207" t="s">
        <v>1145</v>
      </c>
      <c r="E171" s="207" t="s">
        <v>1146</v>
      </c>
      <c r="F171" s="207" t="s">
        <v>1147</v>
      </c>
      <c r="G171" s="208"/>
    </row>
    <row r="172">
      <c r="A172" s="206">
        <f t="shared" si="1"/>
        <v>171</v>
      </c>
      <c r="B172" s="207" t="s">
        <v>1148</v>
      </c>
      <c r="C172" s="207" t="s">
        <v>1149</v>
      </c>
      <c r="D172" s="207" t="s">
        <v>1150</v>
      </c>
      <c r="E172" s="207" t="s">
        <v>1151</v>
      </c>
      <c r="F172" s="207" t="s">
        <v>1152</v>
      </c>
      <c r="G172" s="208"/>
    </row>
    <row r="173">
      <c r="A173" s="206">
        <f t="shared" si="1"/>
        <v>172</v>
      </c>
      <c r="B173" s="207" t="s">
        <v>1153</v>
      </c>
      <c r="C173" s="207" t="s">
        <v>1154</v>
      </c>
      <c r="D173" s="207" t="s">
        <v>1155</v>
      </c>
      <c r="E173" s="210" t="s">
        <v>1076</v>
      </c>
      <c r="F173" s="207" t="s">
        <v>1156</v>
      </c>
      <c r="G173" s="208"/>
    </row>
    <row r="174">
      <c r="A174" s="206">
        <f t="shared" si="1"/>
        <v>173</v>
      </c>
      <c r="B174" s="207" t="s">
        <v>1157</v>
      </c>
      <c r="C174" s="207" t="s">
        <v>1158</v>
      </c>
      <c r="D174" s="207" t="s">
        <v>1159</v>
      </c>
      <c r="E174" s="207" t="s">
        <v>1160</v>
      </c>
      <c r="F174" s="207" t="s">
        <v>1161</v>
      </c>
      <c r="G174" s="208"/>
    </row>
    <row r="175">
      <c r="A175" s="206">
        <f t="shared" si="1"/>
        <v>174</v>
      </c>
      <c r="B175" s="207" t="s">
        <v>1162</v>
      </c>
      <c r="C175" s="207" t="s">
        <v>1163</v>
      </c>
      <c r="D175" s="207" t="s">
        <v>1164</v>
      </c>
      <c r="E175" s="207" t="s">
        <v>1165</v>
      </c>
      <c r="F175" s="207" t="s">
        <v>1166</v>
      </c>
      <c r="G175" s="208"/>
    </row>
    <row r="176">
      <c r="A176" s="206">
        <f t="shared" si="1"/>
        <v>175</v>
      </c>
      <c r="B176" s="207" t="s">
        <v>1167</v>
      </c>
      <c r="C176" s="207" t="s">
        <v>1168</v>
      </c>
      <c r="D176" s="207" t="s">
        <v>1169</v>
      </c>
      <c r="E176" s="207" t="s">
        <v>1170</v>
      </c>
      <c r="F176" s="207" t="s">
        <v>1171</v>
      </c>
      <c r="G176" s="208"/>
    </row>
    <row r="177">
      <c r="A177" s="206">
        <f t="shared" si="1"/>
        <v>176</v>
      </c>
      <c r="B177" s="207" t="s">
        <v>1172</v>
      </c>
      <c r="C177" s="207" t="s">
        <v>1173</v>
      </c>
      <c r="D177" s="207" t="s">
        <v>1174</v>
      </c>
      <c r="E177" s="207" t="s">
        <v>1175</v>
      </c>
      <c r="F177" s="207" t="s">
        <v>1176</v>
      </c>
      <c r="G177" s="208"/>
    </row>
    <row r="178">
      <c r="A178" s="206">
        <f t="shared" si="1"/>
        <v>177</v>
      </c>
      <c r="B178" s="207" t="s">
        <v>1168</v>
      </c>
      <c r="C178" s="207" t="s">
        <v>1177</v>
      </c>
      <c r="D178" s="207" t="s">
        <v>1178</v>
      </c>
      <c r="E178" s="207" t="s">
        <v>1179</v>
      </c>
      <c r="F178" s="207" t="s">
        <v>1168</v>
      </c>
      <c r="G178" s="207" t="s">
        <v>562</v>
      </c>
    </row>
    <row r="179">
      <c r="A179" s="206">
        <f t="shared" si="1"/>
        <v>178</v>
      </c>
      <c r="B179" s="207" t="s">
        <v>1180</v>
      </c>
      <c r="C179" s="207" t="s">
        <v>1181</v>
      </c>
      <c r="D179" s="207" t="s">
        <v>1182</v>
      </c>
      <c r="E179" s="207" t="s">
        <v>1183</v>
      </c>
      <c r="F179" s="207" t="s">
        <v>1184</v>
      </c>
      <c r="G179" s="208"/>
    </row>
    <row r="180">
      <c r="A180" s="206">
        <f t="shared" si="1"/>
        <v>179</v>
      </c>
      <c r="B180" s="207" t="s">
        <v>1185</v>
      </c>
      <c r="C180" s="207" t="s">
        <v>1186</v>
      </c>
      <c r="D180" s="207" t="s">
        <v>1187</v>
      </c>
      <c r="E180" s="207" t="s">
        <v>1188</v>
      </c>
      <c r="F180" s="207" t="s">
        <v>1189</v>
      </c>
      <c r="G180" s="208"/>
    </row>
    <row r="181">
      <c r="A181" s="206">
        <f t="shared" si="1"/>
        <v>180</v>
      </c>
      <c r="B181" s="207" t="s">
        <v>1190</v>
      </c>
      <c r="C181" s="207" t="s">
        <v>1191</v>
      </c>
      <c r="D181" s="207" t="s">
        <v>1192</v>
      </c>
      <c r="E181" s="210" t="s">
        <v>1084</v>
      </c>
      <c r="F181" s="207" t="s">
        <v>1193</v>
      </c>
      <c r="G181" s="208"/>
    </row>
    <row r="182">
      <c r="A182" s="206">
        <f t="shared" si="1"/>
        <v>181</v>
      </c>
      <c r="B182" s="207" t="s">
        <v>1194</v>
      </c>
      <c r="C182" s="207" t="s">
        <v>1195</v>
      </c>
      <c r="D182" s="207" t="s">
        <v>1196</v>
      </c>
      <c r="E182" s="207" t="s">
        <v>1197</v>
      </c>
      <c r="F182" s="207" t="s">
        <v>1198</v>
      </c>
      <c r="G182" s="208"/>
    </row>
    <row r="183" hidden="1">
      <c r="A183" s="206">
        <f t="shared" si="1"/>
        <v>182</v>
      </c>
      <c r="B183" s="209" t="s">
        <v>216</v>
      </c>
      <c r="C183" s="209" t="s">
        <v>216</v>
      </c>
      <c r="D183" s="209" t="s">
        <v>216</v>
      </c>
      <c r="E183" s="209" t="s">
        <v>216</v>
      </c>
      <c r="F183" s="209" t="s">
        <v>216</v>
      </c>
      <c r="G183" s="207" t="s">
        <v>488</v>
      </c>
    </row>
    <row r="184">
      <c r="A184" s="206">
        <f t="shared" si="1"/>
        <v>183</v>
      </c>
      <c r="B184" s="207" t="s">
        <v>1199</v>
      </c>
      <c r="C184" s="207" t="s">
        <v>1200</v>
      </c>
      <c r="D184" s="207" t="s">
        <v>1201</v>
      </c>
      <c r="E184" s="207" t="s">
        <v>1202</v>
      </c>
      <c r="F184" s="207" t="s">
        <v>1203</v>
      </c>
      <c r="G184" s="208"/>
    </row>
    <row r="185">
      <c r="A185" s="206">
        <f t="shared" si="1"/>
        <v>184</v>
      </c>
      <c r="B185" s="207" t="s">
        <v>1204</v>
      </c>
      <c r="C185" s="207" t="s">
        <v>1205</v>
      </c>
      <c r="D185" s="207" t="s">
        <v>1206</v>
      </c>
      <c r="E185" s="207" t="s">
        <v>1207</v>
      </c>
      <c r="F185" s="207" t="s">
        <v>1208</v>
      </c>
      <c r="G185" s="208"/>
    </row>
    <row r="186">
      <c r="A186" s="206">
        <f t="shared" si="1"/>
        <v>185</v>
      </c>
      <c r="B186" s="207" t="s">
        <v>1209</v>
      </c>
      <c r="C186" s="207" t="s">
        <v>1210</v>
      </c>
      <c r="D186" s="207" t="s">
        <v>935</v>
      </c>
      <c r="E186" s="207" t="s">
        <v>1211</v>
      </c>
      <c r="F186" s="207" t="s">
        <v>1212</v>
      </c>
      <c r="G186" s="208"/>
    </row>
    <row r="187">
      <c r="A187" s="206">
        <f t="shared" si="1"/>
        <v>186</v>
      </c>
      <c r="B187" s="207" t="s">
        <v>1213</v>
      </c>
      <c r="C187" s="207" t="s">
        <v>1214</v>
      </c>
      <c r="D187" s="207" t="s">
        <v>1215</v>
      </c>
      <c r="E187" s="207" t="s">
        <v>1216</v>
      </c>
      <c r="F187" s="207" t="s">
        <v>1217</v>
      </c>
      <c r="G187" s="208"/>
    </row>
    <row r="188" hidden="1">
      <c r="A188" s="206">
        <f t="shared" si="1"/>
        <v>187</v>
      </c>
      <c r="B188" s="209" t="s">
        <v>216</v>
      </c>
      <c r="C188" s="209" t="s">
        <v>216</v>
      </c>
      <c r="D188" s="209" t="s">
        <v>216</v>
      </c>
      <c r="E188" s="209" t="s">
        <v>216</v>
      </c>
      <c r="F188" s="209" t="s">
        <v>216</v>
      </c>
      <c r="G188" s="207" t="s">
        <v>488</v>
      </c>
    </row>
    <row r="189">
      <c r="A189" s="206">
        <f t="shared" si="1"/>
        <v>188</v>
      </c>
      <c r="B189" s="207" t="s">
        <v>1218</v>
      </c>
      <c r="C189" s="207" t="s">
        <v>1219</v>
      </c>
      <c r="D189" s="207" t="s">
        <v>1220</v>
      </c>
      <c r="E189" s="207" t="s">
        <v>1221</v>
      </c>
      <c r="F189" s="207" t="s">
        <v>1222</v>
      </c>
      <c r="G189" s="208"/>
    </row>
    <row r="190">
      <c r="A190" s="206">
        <f t="shared" si="1"/>
        <v>189</v>
      </c>
      <c r="B190" s="207" t="s">
        <v>1223</v>
      </c>
      <c r="C190" s="207" t="s">
        <v>1224</v>
      </c>
      <c r="D190" s="207" t="s">
        <v>1225</v>
      </c>
      <c r="E190" s="207" t="s">
        <v>1226</v>
      </c>
      <c r="F190" s="207" t="s">
        <v>1227</v>
      </c>
      <c r="G190" s="208"/>
    </row>
    <row r="191">
      <c r="A191" s="206">
        <f t="shared" si="1"/>
        <v>190</v>
      </c>
      <c r="B191" s="207" t="s">
        <v>1228</v>
      </c>
      <c r="C191" s="207" t="s">
        <v>1229</v>
      </c>
      <c r="D191" s="207" t="s">
        <v>1230</v>
      </c>
      <c r="E191" s="207" t="s">
        <v>1231</v>
      </c>
      <c r="F191" s="207" t="s">
        <v>1232</v>
      </c>
      <c r="G191" s="208"/>
    </row>
    <row r="192">
      <c r="A192" s="206">
        <f t="shared" si="1"/>
        <v>191</v>
      </c>
      <c r="B192" s="207" t="s">
        <v>1233</v>
      </c>
      <c r="C192" s="207" t="s">
        <v>1234</v>
      </c>
      <c r="D192" s="207" t="s">
        <v>1235</v>
      </c>
      <c r="E192" s="207" t="s">
        <v>1236</v>
      </c>
      <c r="F192" s="207" t="s">
        <v>1237</v>
      </c>
      <c r="G192" s="207" t="s">
        <v>562</v>
      </c>
    </row>
    <row r="193">
      <c r="A193" s="206">
        <f t="shared" si="1"/>
        <v>192</v>
      </c>
      <c r="B193" s="207" t="s">
        <v>1238</v>
      </c>
      <c r="C193" s="207" t="s">
        <v>218</v>
      </c>
      <c r="D193" s="207" t="s">
        <v>1239</v>
      </c>
      <c r="E193" s="207" t="s">
        <v>1240</v>
      </c>
      <c r="F193" s="207" t="s">
        <v>1241</v>
      </c>
      <c r="G193" s="208"/>
    </row>
    <row r="194">
      <c r="A194" s="206">
        <f t="shared" si="1"/>
        <v>193</v>
      </c>
      <c r="B194" s="207" t="s">
        <v>1242</v>
      </c>
      <c r="C194" s="207" t="s">
        <v>1243</v>
      </c>
      <c r="D194" s="207" t="s">
        <v>1244</v>
      </c>
      <c r="E194" s="207" t="s">
        <v>1245</v>
      </c>
      <c r="F194" s="207" t="s">
        <v>1246</v>
      </c>
      <c r="G194" s="208"/>
    </row>
    <row r="195">
      <c r="A195" s="206">
        <f t="shared" si="1"/>
        <v>194</v>
      </c>
      <c r="B195" s="207" t="s">
        <v>1247</v>
      </c>
      <c r="C195" s="207" t="s">
        <v>1248</v>
      </c>
      <c r="D195" s="207" t="s">
        <v>1249</v>
      </c>
      <c r="E195" s="207" t="s">
        <v>1250</v>
      </c>
      <c r="F195" s="207" t="s">
        <v>1251</v>
      </c>
      <c r="G195" s="208"/>
    </row>
    <row r="196">
      <c r="A196" s="206">
        <f t="shared" si="1"/>
        <v>195</v>
      </c>
      <c r="B196" s="207" t="s">
        <v>1252</v>
      </c>
      <c r="C196" s="207" t="s">
        <v>1253</v>
      </c>
      <c r="D196" s="207" t="s">
        <v>1254</v>
      </c>
      <c r="E196" s="207" t="s">
        <v>1255</v>
      </c>
      <c r="F196" s="207" t="s">
        <v>1256</v>
      </c>
      <c r="G196" s="208"/>
    </row>
    <row r="197">
      <c r="A197" s="206">
        <f t="shared" si="1"/>
        <v>196</v>
      </c>
      <c r="B197" s="207" t="s">
        <v>1257</v>
      </c>
      <c r="C197" s="207" t="s">
        <v>1258</v>
      </c>
      <c r="D197" s="207" t="s">
        <v>1259</v>
      </c>
      <c r="E197" s="207" t="s">
        <v>1260</v>
      </c>
      <c r="F197" s="207" t="s">
        <v>1261</v>
      </c>
      <c r="G197" s="208"/>
    </row>
    <row r="198">
      <c r="A198" s="206">
        <f t="shared" si="1"/>
        <v>197</v>
      </c>
      <c r="B198" s="207" t="s">
        <v>1262</v>
      </c>
      <c r="C198" s="207" t="s">
        <v>1263</v>
      </c>
      <c r="D198" s="207" t="s">
        <v>1264</v>
      </c>
      <c r="E198" s="207" t="s">
        <v>1265</v>
      </c>
      <c r="F198" s="207" t="s">
        <v>1266</v>
      </c>
      <c r="G198" s="208"/>
    </row>
    <row r="199">
      <c r="A199" s="206">
        <f t="shared" si="1"/>
        <v>198</v>
      </c>
      <c r="B199" s="207" t="s">
        <v>1267</v>
      </c>
      <c r="C199" s="207" t="s">
        <v>1268</v>
      </c>
      <c r="D199" s="207" t="s">
        <v>1269</v>
      </c>
      <c r="E199" s="207" t="s">
        <v>1270</v>
      </c>
      <c r="F199" s="207" t="s">
        <v>1271</v>
      </c>
      <c r="G199" s="208"/>
    </row>
    <row r="200">
      <c r="A200" s="206">
        <f t="shared" si="1"/>
        <v>199</v>
      </c>
      <c r="B200" s="207" t="s">
        <v>1272</v>
      </c>
      <c r="C200" s="207" t="s">
        <v>1273</v>
      </c>
      <c r="D200" s="207" t="s">
        <v>1274</v>
      </c>
      <c r="E200" s="207" t="s">
        <v>1275</v>
      </c>
      <c r="F200" s="207" t="s">
        <v>1276</v>
      </c>
      <c r="G200" s="208"/>
    </row>
    <row r="201">
      <c r="A201" s="206">
        <f t="shared" si="1"/>
        <v>200</v>
      </c>
      <c r="B201" s="207" t="s">
        <v>1277</v>
      </c>
      <c r="C201" s="207" t="s">
        <v>1278</v>
      </c>
      <c r="D201" s="207" t="s">
        <v>1279</v>
      </c>
      <c r="E201" s="207" t="s">
        <v>1280</v>
      </c>
      <c r="F201" s="207" t="s">
        <v>1281</v>
      </c>
      <c r="G201" s="208"/>
    </row>
    <row r="202">
      <c r="A202" s="206">
        <f t="shared" si="1"/>
        <v>201</v>
      </c>
      <c r="B202" s="207" t="s">
        <v>1282</v>
      </c>
      <c r="C202" s="207" t="s">
        <v>1283</v>
      </c>
      <c r="D202" s="207" t="s">
        <v>1284</v>
      </c>
      <c r="E202" s="207" t="s">
        <v>1285</v>
      </c>
      <c r="F202" s="207" t="s">
        <v>1286</v>
      </c>
      <c r="G202" s="208"/>
    </row>
    <row r="203" hidden="1">
      <c r="A203" s="206">
        <f t="shared" si="1"/>
        <v>202</v>
      </c>
      <c r="B203" s="209" t="s">
        <v>216</v>
      </c>
      <c r="C203" s="209" t="s">
        <v>216</v>
      </c>
      <c r="D203" s="209" t="s">
        <v>216</v>
      </c>
      <c r="E203" s="209" t="s">
        <v>216</v>
      </c>
      <c r="F203" s="209" t="s">
        <v>216</v>
      </c>
      <c r="G203" s="207" t="s">
        <v>488</v>
      </c>
    </row>
    <row r="204">
      <c r="A204" s="206">
        <f t="shared" si="1"/>
        <v>203</v>
      </c>
      <c r="B204" s="207" t="s">
        <v>1287</v>
      </c>
      <c r="C204" s="207" t="s">
        <v>1288</v>
      </c>
      <c r="D204" s="207" t="s">
        <v>1289</v>
      </c>
      <c r="E204" s="207" t="s">
        <v>1290</v>
      </c>
      <c r="F204" s="207" t="s">
        <v>1291</v>
      </c>
      <c r="G204" s="208"/>
    </row>
    <row r="205">
      <c r="A205" s="206">
        <f t="shared" si="1"/>
        <v>204</v>
      </c>
      <c r="B205" s="207" t="s">
        <v>1292</v>
      </c>
      <c r="C205" s="207" t="s">
        <v>1293</v>
      </c>
      <c r="D205" s="207" t="s">
        <v>1294</v>
      </c>
      <c r="E205" s="207" t="s">
        <v>1295</v>
      </c>
      <c r="F205" s="207" t="s">
        <v>1296</v>
      </c>
      <c r="G205" s="208"/>
    </row>
    <row r="206">
      <c r="A206" s="206">
        <f t="shared" si="1"/>
        <v>205</v>
      </c>
      <c r="B206" s="207" t="s">
        <v>1297</v>
      </c>
      <c r="C206" s="207" t="s">
        <v>1298</v>
      </c>
      <c r="D206" s="207" t="s">
        <v>1299</v>
      </c>
      <c r="E206" s="207" t="s">
        <v>1300</v>
      </c>
      <c r="F206" s="207" t="s">
        <v>1301</v>
      </c>
      <c r="G206" s="208"/>
    </row>
    <row r="207">
      <c r="A207" s="206">
        <f t="shared" si="1"/>
        <v>206</v>
      </c>
      <c r="B207" s="207" t="s">
        <v>1302</v>
      </c>
      <c r="C207" s="207" t="s">
        <v>1303</v>
      </c>
      <c r="D207" s="207" t="s">
        <v>1304</v>
      </c>
      <c r="E207" s="207" t="s">
        <v>1305</v>
      </c>
      <c r="F207" s="207" t="s">
        <v>1306</v>
      </c>
      <c r="G207" s="208"/>
    </row>
    <row r="208">
      <c r="A208" s="206">
        <f t="shared" si="1"/>
        <v>207</v>
      </c>
      <c r="B208" s="207" t="s">
        <v>1307</v>
      </c>
      <c r="C208" s="207" t="s">
        <v>218</v>
      </c>
      <c r="D208" s="207" t="s">
        <v>1308</v>
      </c>
      <c r="E208" s="207" t="s">
        <v>1309</v>
      </c>
      <c r="F208" s="207" t="s">
        <v>1310</v>
      </c>
      <c r="G208" s="208"/>
    </row>
    <row r="209">
      <c r="A209" s="206">
        <f t="shared" si="1"/>
        <v>208</v>
      </c>
      <c r="B209" s="207" t="s">
        <v>1311</v>
      </c>
      <c r="C209" s="207" t="s">
        <v>1312</v>
      </c>
      <c r="D209" s="207" t="s">
        <v>451</v>
      </c>
      <c r="E209" s="207" t="s">
        <v>1313</v>
      </c>
      <c r="F209" s="207" t="s">
        <v>1314</v>
      </c>
      <c r="G209" s="208"/>
    </row>
    <row r="210">
      <c r="A210" s="206">
        <f t="shared" si="1"/>
        <v>209</v>
      </c>
      <c r="B210" s="207" t="s">
        <v>1315</v>
      </c>
      <c r="C210" s="207" t="s">
        <v>1316</v>
      </c>
      <c r="D210" s="207" t="s">
        <v>1317</v>
      </c>
      <c r="E210" s="207" t="s">
        <v>1318</v>
      </c>
      <c r="F210" s="207" t="s">
        <v>1319</v>
      </c>
      <c r="G210" s="208"/>
    </row>
    <row r="211">
      <c r="A211" s="206">
        <f t="shared" si="1"/>
        <v>210</v>
      </c>
      <c r="B211" s="207" t="s">
        <v>1320</v>
      </c>
      <c r="C211" s="207" t="s">
        <v>1321</v>
      </c>
      <c r="D211" s="207" t="s">
        <v>1322</v>
      </c>
      <c r="E211" s="207" t="s">
        <v>1323</v>
      </c>
      <c r="F211" s="207" t="s">
        <v>1324</v>
      </c>
      <c r="G211" s="207" t="s">
        <v>562</v>
      </c>
    </row>
    <row r="212">
      <c r="A212" s="206">
        <f t="shared" si="1"/>
        <v>211</v>
      </c>
      <c r="B212" s="207" t="s">
        <v>1325</v>
      </c>
      <c r="C212" s="207" t="s">
        <v>1326</v>
      </c>
      <c r="D212" s="207" t="s">
        <v>1327</v>
      </c>
      <c r="E212" s="207" t="s">
        <v>1328</v>
      </c>
      <c r="F212" s="207" t="s">
        <v>1329</v>
      </c>
      <c r="G212" s="208"/>
    </row>
    <row r="213">
      <c r="A213" s="206">
        <f t="shared" si="1"/>
        <v>212</v>
      </c>
      <c r="B213" s="207" t="s">
        <v>1330</v>
      </c>
      <c r="C213" s="207" t="s">
        <v>1331</v>
      </c>
      <c r="D213" s="207" t="s">
        <v>1332</v>
      </c>
      <c r="E213" s="207" t="s">
        <v>1333</v>
      </c>
      <c r="F213" s="207" t="s">
        <v>1334</v>
      </c>
      <c r="G213" s="208"/>
    </row>
    <row r="214">
      <c r="A214" s="206">
        <f t="shared" si="1"/>
        <v>213</v>
      </c>
      <c r="B214" s="207" t="s">
        <v>1335</v>
      </c>
      <c r="C214" s="207" t="s">
        <v>1336</v>
      </c>
      <c r="D214" s="207" t="s">
        <v>1337</v>
      </c>
      <c r="E214" s="207" t="s">
        <v>1338</v>
      </c>
      <c r="F214" s="207" t="s">
        <v>1339</v>
      </c>
      <c r="G214" s="207" t="s">
        <v>562</v>
      </c>
    </row>
    <row r="215">
      <c r="A215" s="206">
        <f t="shared" si="1"/>
        <v>214</v>
      </c>
      <c r="B215" s="207" t="s">
        <v>1175</v>
      </c>
      <c r="C215" s="207" t="s">
        <v>1340</v>
      </c>
      <c r="D215" s="207" t="s">
        <v>1341</v>
      </c>
      <c r="E215" s="207" t="s">
        <v>1342</v>
      </c>
      <c r="F215" s="207" t="s">
        <v>1343</v>
      </c>
      <c r="G215" s="208"/>
    </row>
    <row r="216">
      <c r="A216" s="206">
        <f t="shared" si="1"/>
        <v>215</v>
      </c>
      <c r="B216" s="207" t="s">
        <v>1344</v>
      </c>
      <c r="C216" s="207" t="s">
        <v>1312</v>
      </c>
      <c r="D216" s="207" t="s">
        <v>1332</v>
      </c>
      <c r="E216" s="207" t="s">
        <v>1345</v>
      </c>
      <c r="F216" s="207" t="s">
        <v>1346</v>
      </c>
      <c r="G216" s="207" t="s">
        <v>562</v>
      </c>
    </row>
    <row r="217">
      <c r="A217" s="206">
        <f t="shared" si="1"/>
        <v>216</v>
      </c>
      <c r="B217" s="207" t="s">
        <v>1347</v>
      </c>
      <c r="C217" s="207" t="s">
        <v>1348</v>
      </c>
      <c r="D217" s="207" t="s">
        <v>1349</v>
      </c>
      <c r="E217" s="207" t="s">
        <v>1350</v>
      </c>
      <c r="F217" s="207" t="s">
        <v>1351</v>
      </c>
      <c r="G217" s="208"/>
    </row>
    <row r="218">
      <c r="A218" s="206">
        <f t="shared" si="1"/>
        <v>217</v>
      </c>
      <c r="B218" s="207" t="s">
        <v>1352</v>
      </c>
      <c r="C218" s="207" t="s">
        <v>1353</v>
      </c>
      <c r="D218" s="207" t="s">
        <v>1354</v>
      </c>
      <c r="E218" s="207" t="s">
        <v>1355</v>
      </c>
      <c r="F218" s="207" t="s">
        <v>1356</v>
      </c>
      <c r="G218" s="208"/>
    </row>
    <row r="219">
      <c r="A219" s="206">
        <f t="shared" si="1"/>
        <v>218</v>
      </c>
      <c r="B219" s="207" t="s">
        <v>1357</v>
      </c>
      <c r="C219" s="207" t="s">
        <v>1358</v>
      </c>
      <c r="D219" s="207" t="s">
        <v>1359</v>
      </c>
      <c r="E219" s="207" t="s">
        <v>1360</v>
      </c>
      <c r="F219" s="207" t="s">
        <v>1361</v>
      </c>
      <c r="G219" s="208"/>
    </row>
    <row r="220">
      <c r="A220" s="206">
        <f t="shared" si="1"/>
        <v>219</v>
      </c>
      <c r="B220" s="207" t="s">
        <v>1362</v>
      </c>
      <c r="C220" s="207" t="s">
        <v>1363</v>
      </c>
      <c r="D220" s="207" t="s">
        <v>1364</v>
      </c>
      <c r="E220" s="207" t="s">
        <v>1365</v>
      </c>
      <c r="F220" s="207" t="s">
        <v>1366</v>
      </c>
      <c r="G220" s="208"/>
    </row>
    <row r="221">
      <c r="A221" s="206">
        <f t="shared" si="1"/>
        <v>220</v>
      </c>
      <c r="B221" s="207" t="s">
        <v>1367</v>
      </c>
      <c r="C221" s="207" t="s">
        <v>218</v>
      </c>
      <c r="D221" s="207" t="s">
        <v>1368</v>
      </c>
      <c r="E221" s="207" t="s">
        <v>1369</v>
      </c>
      <c r="F221" s="207" t="s">
        <v>1370</v>
      </c>
      <c r="G221" s="207" t="s">
        <v>562</v>
      </c>
    </row>
    <row r="222">
      <c r="A222" s="206">
        <f t="shared" si="1"/>
        <v>221</v>
      </c>
      <c r="B222" s="207" t="s">
        <v>1371</v>
      </c>
      <c r="C222" s="207" t="s">
        <v>1372</v>
      </c>
      <c r="D222" s="207" t="s">
        <v>1373</v>
      </c>
      <c r="E222" s="207" t="s">
        <v>1374</v>
      </c>
      <c r="F222" s="207" t="s">
        <v>1371</v>
      </c>
      <c r="G222" s="207" t="s">
        <v>562</v>
      </c>
    </row>
    <row r="223">
      <c r="A223" s="206">
        <f t="shared" si="1"/>
        <v>222</v>
      </c>
      <c r="B223" s="207" t="s">
        <v>1375</v>
      </c>
      <c r="C223" s="207" t="s">
        <v>1376</v>
      </c>
      <c r="D223" s="207" t="s">
        <v>1377</v>
      </c>
      <c r="E223" s="207" t="s">
        <v>1378</v>
      </c>
      <c r="F223" s="207" t="s">
        <v>1379</v>
      </c>
      <c r="G223" s="208"/>
    </row>
    <row r="224">
      <c r="A224" s="206">
        <f t="shared" si="1"/>
        <v>223</v>
      </c>
      <c r="B224" s="207" t="s">
        <v>1380</v>
      </c>
      <c r="C224" s="207" t="s">
        <v>1381</v>
      </c>
      <c r="D224" s="207" t="s">
        <v>1382</v>
      </c>
      <c r="E224" s="207" t="s">
        <v>1383</v>
      </c>
      <c r="F224" s="207" t="s">
        <v>1384</v>
      </c>
      <c r="G224" s="208"/>
    </row>
    <row r="225">
      <c r="A225" s="206">
        <f t="shared" si="1"/>
        <v>224</v>
      </c>
      <c r="B225" s="207" t="s">
        <v>1385</v>
      </c>
      <c r="C225" s="207" t="s">
        <v>1386</v>
      </c>
      <c r="D225" s="207" t="s">
        <v>1387</v>
      </c>
      <c r="E225" s="207" t="s">
        <v>1388</v>
      </c>
      <c r="F225" s="207" t="s">
        <v>1389</v>
      </c>
      <c r="G225" s="207" t="s">
        <v>562</v>
      </c>
    </row>
    <row r="226">
      <c r="A226" s="206">
        <f t="shared" si="1"/>
        <v>225</v>
      </c>
      <c r="B226" s="207" t="s">
        <v>1390</v>
      </c>
      <c r="C226" s="207" t="s">
        <v>1391</v>
      </c>
      <c r="D226" s="207" t="s">
        <v>1392</v>
      </c>
      <c r="E226" s="210" t="s">
        <v>1393</v>
      </c>
      <c r="F226" s="207" t="s">
        <v>1394</v>
      </c>
      <c r="G226" s="207" t="s">
        <v>562</v>
      </c>
    </row>
    <row r="227">
      <c r="A227" s="206">
        <f t="shared" si="1"/>
        <v>226</v>
      </c>
      <c r="B227" s="207" t="s">
        <v>1395</v>
      </c>
      <c r="C227" s="207" t="s">
        <v>1396</v>
      </c>
      <c r="D227" s="207" t="s">
        <v>1397</v>
      </c>
      <c r="E227" s="207" t="s">
        <v>1398</v>
      </c>
      <c r="F227" s="207" t="s">
        <v>1399</v>
      </c>
      <c r="G227" s="208"/>
    </row>
    <row r="228">
      <c r="A228" s="206">
        <f t="shared" si="1"/>
        <v>227</v>
      </c>
      <c r="B228" s="207" t="s">
        <v>1400</v>
      </c>
      <c r="C228" s="207" t="s">
        <v>1195</v>
      </c>
      <c r="D228" s="207" t="s">
        <v>1401</v>
      </c>
      <c r="E228" s="207" t="s">
        <v>1402</v>
      </c>
      <c r="F228" s="207" t="s">
        <v>1403</v>
      </c>
      <c r="G228" s="208"/>
    </row>
    <row r="229">
      <c r="A229" s="206">
        <f t="shared" si="1"/>
        <v>228</v>
      </c>
      <c r="B229" s="207" t="s">
        <v>1404</v>
      </c>
      <c r="C229" s="207" t="s">
        <v>1405</v>
      </c>
      <c r="D229" s="207" t="s">
        <v>1406</v>
      </c>
      <c r="E229" s="207" t="s">
        <v>1407</v>
      </c>
      <c r="F229" s="207" t="s">
        <v>1408</v>
      </c>
      <c r="G229" s="208"/>
    </row>
    <row r="230" hidden="1">
      <c r="A230" s="206">
        <f t="shared" si="1"/>
        <v>229</v>
      </c>
      <c r="B230" s="209" t="s">
        <v>216</v>
      </c>
      <c r="C230" s="209" t="s">
        <v>216</v>
      </c>
      <c r="D230" s="209" t="s">
        <v>216</v>
      </c>
      <c r="E230" s="209" t="s">
        <v>216</v>
      </c>
      <c r="F230" s="209" t="s">
        <v>216</v>
      </c>
      <c r="G230" s="207" t="s">
        <v>488</v>
      </c>
    </row>
    <row r="231">
      <c r="A231" s="206">
        <f t="shared" si="1"/>
        <v>230</v>
      </c>
      <c r="B231" s="207" t="s">
        <v>1409</v>
      </c>
      <c r="C231" s="207" t="s">
        <v>1410</v>
      </c>
      <c r="D231" s="207" t="s">
        <v>451</v>
      </c>
      <c r="E231" s="207" t="s">
        <v>1411</v>
      </c>
      <c r="F231" s="207" t="s">
        <v>1412</v>
      </c>
      <c r="G231" s="208"/>
    </row>
    <row r="232" hidden="1">
      <c r="A232" s="206">
        <f t="shared" si="1"/>
        <v>231</v>
      </c>
      <c r="B232" s="209" t="s">
        <v>216</v>
      </c>
      <c r="C232" s="209" t="s">
        <v>216</v>
      </c>
      <c r="D232" s="209" t="s">
        <v>216</v>
      </c>
      <c r="E232" s="209" t="s">
        <v>216</v>
      </c>
      <c r="F232" s="209" t="s">
        <v>216</v>
      </c>
      <c r="G232" s="207" t="s">
        <v>488</v>
      </c>
    </row>
    <row r="233">
      <c r="A233" s="206">
        <f t="shared" si="1"/>
        <v>232</v>
      </c>
      <c r="B233" s="207" t="s">
        <v>1413</v>
      </c>
      <c r="C233" s="207" t="s">
        <v>1414</v>
      </c>
      <c r="D233" s="207" t="s">
        <v>426</v>
      </c>
      <c r="E233" s="207" t="s">
        <v>1415</v>
      </c>
      <c r="F233" s="207" t="s">
        <v>1416</v>
      </c>
      <c r="G233" s="208"/>
    </row>
    <row r="234">
      <c r="A234" s="206">
        <f t="shared" si="1"/>
        <v>233</v>
      </c>
      <c r="B234" s="207" t="s">
        <v>1417</v>
      </c>
      <c r="C234" s="207" t="s">
        <v>1418</v>
      </c>
      <c r="D234" s="210" t="s">
        <v>877</v>
      </c>
      <c r="E234" s="207" t="s">
        <v>1419</v>
      </c>
      <c r="F234" s="207" t="s">
        <v>1420</v>
      </c>
      <c r="G234" s="208"/>
    </row>
    <row r="235">
      <c r="A235" s="206">
        <f t="shared" si="1"/>
        <v>234</v>
      </c>
      <c r="B235" s="207" t="s">
        <v>1421</v>
      </c>
      <c r="C235" s="207" t="s">
        <v>1422</v>
      </c>
      <c r="D235" s="207" t="s">
        <v>451</v>
      </c>
      <c r="E235" s="207" t="s">
        <v>1423</v>
      </c>
      <c r="F235" s="207" t="s">
        <v>1424</v>
      </c>
      <c r="G235" s="208"/>
    </row>
    <row r="236">
      <c r="A236" s="206">
        <f t="shared" si="1"/>
        <v>235</v>
      </c>
      <c r="B236" s="207" t="s">
        <v>1425</v>
      </c>
      <c r="C236" s="207" t="s">
        <v>1426</v>
      </c>
      <c r="D236" s="207" t="s">
        <v>1427</v>
      </c>
      <c r="E236" s="207" t="s">
        <v>1428</v>
      </c>
      <c r="F236" s="207" t="s">
        <v>1429</v>
      </c>
      <c r="G236" s="208"/>
    </row>
    <row r="237">
      <c r="A237" s="206">
        <f t="shared" si="1"/>
        <v>236</v>
      </c>
      <c r="B237" s="207" t="s">
        <v>1430</v>
      </c>
      <c r="C237" s="207" t="s">
        <v>1431</v>
      </c>
      <c r="D237" s="207" t="s">
        <v>1432</v>
      </c>
      <c r="E237" s="207" t="s">
        <v>1433</v>
      </c>
      <c r="F237" s="207" t="s">
        <v>1434</v>
      </c>
      <c r="G237" s="208"/>
    </row>
    <row r="238">
      <c r="A238" s="206">
        <f t="shared" si="1"/>
        <v>237</v>
      </c>
      <c r="B238" s="207" t="s">
        <v>1435</v>
      </c>
      <c r="C238" s="207" t="s">
        <v>1436</v>
      </c>
      <c r="D238" s="207" t="s">
        <v>1437</v>
      </c>
      <c r="E238" s="207" t="s">
        <v>1438</v>
      </c>
      <c r="F238" s="207" t="s">
        <v>1439</v>
      </c>
      <c r="G238" s="208"/>
    </row>
    <row r="239">
      <c r="A239" s="207">
        <v>238.0</v>
      </c>
      <c r="B239" s="207" t="s">
        <v>1440</v>
      </c>
      <c r="C239" s="207" t="s">
        <v>1441</v>
      </c>
      <c r="D239" s="207" t="s">
        <v>451</v>
      </c>
      <c r="E239" s="207" t="s">
        <v>1442</v>
      </c>
      <c r="F239" s="207" t="s">
        <v>1443</v>
      </c>
      <c r="G239" s="208"/>
    </row>
    <row r="240" hidden="1">
      <c r="A240" s="207">
        <f t="shared" ref="A240:A544" si="2">A239+1</f>
        <v>239</v>
      </c>
      <c r="B240" s="211" t="s">
        <v>1444</v>
      </c>
      <c r="C240" s="207" t="s">
        <v>1445</v>
      </c>
      <c r="D240" s="207" t="s">
        <v>1446</v>
      </c>
      <c r="E240" s="207" t="s">
        <v>1447</v>
      </c>
      <c r="F240" s="207" t="s">
        <v>1448</v>
      </c>
      <c r="G240" s="208"/>
    </row>
    <row r="241">
      <c r="A241" s="207">
        <f t="shared" si="2"/>
        <v>240</v>
      </c>
      <c r="B241" s="207" t="s">
        <v>1449</v>
      </c>
      <c r="C241" s="207" t="s">
        <v>1450</v>
      </c>
      <c r="D241" s="207" t="s">
        <v>1451</v>
      </c>
      <c r="E241" s="207" t="s">
        <v>1452</v>
      </c>
      <c r="F241" s="207" t="s">
        <v>1453</v>
      </c>
      <c r="G241" s="208"/>
    </row>
    <row r="242">
      <c r="A242" s="207">
        <f t="shared" si="2"/>
        <v>241</v>
      </c>
      <c r="B242" s="207" t="s">
        <v>1454</v>
      </c>
      <c r="C242" s="207" t="s">
        <v>1455</v>
      </c>
      <c r="D242" s="207" t="s">
        <v>1456</v>
      </c>
      <c r="E242" s="207" t="s">
        <v>1457</v>
      </c>
      <c r="F242" s="207" t="s">
        <v>1458</v>
      </c>
      <c r="G242" s="208"/>
    </row>
    <row r="243">
      <c r="A243" s="207">
        <f t="shared" si="2"/>
        <v>242</v>
      </c>
      <c r="B243" s="207" t="s">
        <v>1459</v>
      </c>
      <c r="C243" s="207" t="s">
        <v>1460</v>
      </c>
      <c r="D243" s="207" t="s">
        <v>1461</v>
      </c>
      <c r="E243" s="207" t="s">
        <v>1462</v>
      </c>
      <c r="F243" s="207" t="s">
        <v>1463</v>
      </c>
      <c r="G243" s="208"/>
    </row>
    <row r="244">
      <c r="A244" s="207">
        <f t="shared" si="2"/>
        <v>243</v>
      </c>
      <c r="B244" s="207" t="s">
        <v>1464</v>
      </c>
      <c r="C244" s="207" t="s">
        <v>1465</v>
      </c>
      <c r="D244" s="207" t="s">
        <v>1466</v>
      </c>
      <c r="E244" s="207" t="s">
        <v>1467</v>
      </c>
      <c r="F244" s="207" t="s">
        <v>1468</v>
      </c>
      <c r="G244" s="208"/>
    </row>
    <row r="245">
      <c r="A245" s="207">
        <f t="shared" si="2"/>
        <v>244</v>
      </c>
      <c r="B245" s="207" t="s">
        <v>1469</v>
      </c>
      <c r="C245" s="207" t="s">
        <v>1470</v>
      </c>
      <c r="D245" s="207" t="s">
        <v>1471</v>
      </c>
      <c r="E245" s="207" t="s">
        <v>1472</v>
      </c>
      <c r="F245" s="207" t="s">
        <v>1473</v>
      </c>
      <c r="G245" s="208"/>
    </row>
    <row r="246">
      <c r="A246" s="207">
        <f t="shared" si="2"/>
        <v>245</v>
      </c>
      <c r="B246" s="207" t="s">
        <v>1474</v>
      </c>
      <c r="C246" s="207" t="s">
        <v>1475</v>
      </c>
      <c r="D246" s="207" t="s">
        <v>1476</v>
      </c>
      <c r="E246" s="207" t="s">
        <v>1477</v>
      </c>
      <c r="F246" s="207" t="s">
        <v>1478</v>
      </c>
      <c r="G246" s="207" t="s">
        <v>562</v>
      </c>
    </row>
    <row r="247">
      <c r="A247" s="207">
        <f t="shared" si="2"/>
        <v>246</v>
      </c>
      <c r="B247" s="207" t="s">
        <v>1479</v>
      </c>
      <c r="C247" s="207" t="s">
        <v>1480</v>
      </c>
      <c r="D247" s="207" t="s">
        <v>451</v>
      </c>
      <c r="E247" s="207" t="s">
        <v>1467</v>
      </c>
      <c r="F247" s="207" t="s">
        <v>1481</v>
      </c>
      <c r="G247" s="208"/>
    </row>
    <row r="248">
      <c r="A248" s="207">
        <f t="shared" si="2"/>
        <v>247</v>
      </c>
      <c r="B248" s="207" t="s">
        <v>1482</v>
      </c>
      <c r="C248" s="207" t="s">
        <v>1483</v>
      </c>
      <c r="D248" s="207" t="s">
        <v>1484</v>
      </c>
      <c r="E248" s="207" t="s">
        <v>1485</v>
      </c>
      <c r="F248" s="207" t="s">
        <v>1486</v>
      </c>
      <c r="G248" s="208"/>
    </row>
    <row r="249">
      <c r="A249" s="207">
        <f t="shared" si="2"/>
        <v>248</v>
      </c>
      <c r="B249" s="207" t="s">
        <v>1487</v>
      </c>
      <c r="C249" s="207" t="s">
        <v>1488</v>
      </c>
      <c r="D249" s="207" t="s">
        <v>1489</v>
      </c>
      <c r="E249" s="207" t="s">
        <v>1490</v>
      </c>
      <c r="F249" s="207" t="s">
        <v>1491</v>
      </c>
      <c r="G249" s="208"/>
    </row>
    <row r="250">
      <c r="A250" s="207">
        <f t="shared" si="2"/>
        <v>249</v>
      </c>
      <c r="B250" s="207" t="s">
        <v>1492</v>
      </c>
      <c r="C250" s="207" t="s">
        <v>1493</v>
      </c>
      <c r="D250" s="207" t="s">
        <v>1494</v>
      </c>
      <c r="E250" s="207" t="s">
        <v>1495</v>
      </c>
      <c r="F250" s="207" t="s">
        <v>1496</v>
      </c>
      <c r="G250" s="208"/>
    </row>
    <row r="251">
      <c r="A251" s="207">
        <f t="shared" si="2"/>
        <v>250</v>
      </c>
      <c r="B251" s="207" t="s">
        <v>1497</v>
      </c>
      <c r="C251" s="207" t="s">
        <v>1498</v>
      </c>
      <c r="D251" s="207" t="s">
        <v>1499</v>
      </c>
      <c r="E251" s="207" t="s">
        <v>1500</v>
      </c>
      <c r="F251" s="207" t="s">
        <v>1501</v>
      </c>
      <c r="G251" s="208"/>
    </row>
    <row r="252">
      <c r="A252" s="207">
        <f t="shared" si="2"/>
        <v>251</v>
      </c>
      <c r="B252" s="207" t="s">
        <v>1502</v>
      </c>
      <c r="C252" s="207" t="s">
        <v>1503</v>
      </c>
      <c r="D252" s="207" t="s">
        <v>1504</v>
      </c>
      <c r="E252" s="207" t="s">
        <v>1505</v>
      </c>
      <c r="F252" s="207" t="s">
        <v>1506</v>
      </c>
      <c r="G252" s="208"/>
    </row>
    <row r="253">
      <c r="A253" s="207">
        <f t="shared" si="2"/>
        <v>252</v>
      </c>
      <c r="B253" s="207" t="s">
        <v>1507</v>
      </c>
      <c r="C253" s="207" t="s">
        <v>1508</v>
      </c>
      <c r="D253" s="207" t="s">
        <v>1509</v>
      </c>
      <c r="E253" s="207" t="s">
        <v>1510</v>
      </c>
      <c r="F253" s="207" t="s">
        <v>1511</v>
      </c>
      <c r="G253" s="208"/>
    </row>
    <row r="254">
      <c r="A254" s="207">
        <f t="shared" si="2"/>
        <v>253</v>
      </c>
      <c r="B254" s="207" t="s">
        <v>1512</v>
      </c>
      <c r="C254" s="207" t="s">
        <v>1513</v>
      </c>
      <c r="D254" s="207" t="s">
        <v>1514</v>
      </c>
      <c r="E254" s="207" t="s">
        <v>1515</v>
      </c>
      <c r="F254" s="207" t="s">
        <v>1516</v>
      </c>
      <c r="G254" s="208"/>
    </row>
    <row r="255">
      <c r="A255" s="207">
        <f t="shared" si="2"/>
        <v>254</v>
      </c>
      <c r="B255" s="207" t="s">
        <v>1517</v>
      </c>
      <c r="C255" s="207" t="s">
        <v>1518</v>
      </c>
      <c r="D255" s="207" t="s">
        <v>1519</v>
      </c>
      <c r="E255" s="207" t="s">
        <v>1520</v>
      </c>
      <c r="F255" s="207" t="s">
        <v>1521</v>
      </c>
      <c r="G255" s="208"/>
    </row>
    <row r="256">
      <c r="A256" s="207">
        <f t="shared" si="2"/>
        <v>255</v>
      </c>
      <c r="B256" s="207" t="s">
        <v>1522</v>
      </c>
      <c r="C256" s="207" t="s">
        <v>1523</v>
      </c>
      <c r="D256" s="207" t="s">
        <v>1524</v>
      </c>
      <c r="E256" s="207" t="s">
        <v>1525</v>
      </c>
      <c r="F256" s="207" t="s">
        <v>1526</v>
      </c>
      <c r="G256" s="208"/>
    </row>
    <row r="257">
      <c r="A257" s="207">
        <f t="shared" si="2"/>
        <v>256</v>
      </c>
      <c r="B257" s="207" t="s">
        <v>1527</v>
      </c>
      <c r="C257" s="207" t="s">
        <v>1528</v>
      </c>
      <c r="D257" s="207" t="s">
        <v>1529</v>
      </c>
      <c r="E257" s="207" t="s">
        <v>1530</v>
      </c>
      <c r="F257" s="207" t="s">
        <v>1531</v>
      </c>
      <c r="G257" s="208"/>
    </row>
    <row r="258">
      <c r="A258" s="207">
        <f t="shared" si="2"/>
        <v>257</v>
      </c>
      <c r="B258" s="207" t="s">
        <v>1532</v>
      </c>
      <c r="C258" s="207" t="s">
        <v>1533</v>
      </c>
      <c r="D258" s="207" t="s">
        <v>1534</v>
      </c>
      <c r="E258" s="207" t="s">
        <v>1535</v>
      </c>
      <c r="F258" s="207" t="s">
        <v>1536</v>
      </c>
      <c r="G258" s="208"/>
    </row>
    <row r="259">
      <c r="A259" s="207">
        <f t="shared" si="2"/>
        <v>258</v>
      </c>
      <c r="B259" s="207" t="s">
        <v>1537</v>
      </c>
      <c r="C259" s="207" t="s">
        <v>1538</v>
      </c>
      <c r="D259" s="207" t="s">
        <v>1539</v>
      </c>
      <c r="E259" s="207" t="s">
        <v>1540</v>
      </c>
      <c r="F259" s="207" t="s">
        <v>1541</v>
      </c>
      <c r="G259" s="208"/>
    </row>
    <row r="260">
      <c r="A260" s="207">
        <f t="shared" si="2"/>
        <v>259</v>
      </c>
      <c r="B260" s="207" t="s">
        <v>1542</v>
      </c>
      <c r="C260" s="207" t="s">
        <v>1543</v>
      </c>
      <c r="D260" s="207" t="s">
        <v>1544</v>
      </c>
      <c r="E260" s="207" t="s">
        <v>1545</v>
      </c>
      <c r="F260" s="207" t="s">
        <v>1546</v>
      </c>
      <c r="G260" s="208"/>
    </row>
    <row r="261">
      <c r="A261" s="207">
        <f t="shared" si="2"/>
        <v>260</v>
      </c>
      <c r="B261" s="207" t="s">
        <v>1547</v>
      </c>
      <c r="C261" s="207" t="s">
        <v>1548</v>
      </c>
      <c r="D261" s="207" t="s">
        <v>1549</v>
      </c>
      <c r="E261" s="207" t="s">
        <v>1550</v>
      </c>
      <c r="F261" s="207" t="s">
        <v>1551</v>
      </c>
      <c r="G261" s="208"/>
    </row>
    <row r="262">
      <c r="A262" s="207">
        <f t="shared" si="2"/>
        <v>261</v>
      </c>
      <c r="B262" s="207" t="s">
        <v>1552</v>
      </c>
      <c r="C262" s="207" t="s">
        <v>1553</v>
      </c>
      <c r="D262" s="207" t="s">
        <v>1554</v>
      </c>
      <c r="E262" s="207" t="s">
        <v>1555</v>
      </c>
      <c r="F262" s="207" t="s">
        <v>1468</v>
      </c>
      <c r="G262" s="208"/>
    </row>
    <row r="263">
      <c r="A263" s="207">
        <f t="shared" si="2"/>
        <v>262</v>
      </c>
      <c r="B263" s="207" t="s">
        <v>1556</v>
      </c>
      <c r="C263" s="207" t="s">
        <v>1557</v>
      </c>
      <c r="D263" s="207" t="s">
        <v>1558</v>
      </c>
      <c r="E263" s="207" t="s">
        <v>1559</v>
      </c>
      <c r="F263" s="207" t="s">
        <v>1560</v>
      </c>
      <c r="G263" s="208"/>
    </row>
    <row r="264">
      <c r="A264" s="207">
        <f t="shared" si="2"/>
        <v>263</v>
      </c>
      <c r="B264" s="207" t="s">
        <v>1561</v>
      </c>
      <c r="C264" s="207" t="s">
        <v>1562</v>
      </c>
      <c r="D264" s="207" t="s">
        <v>1563</v>
      </c>
      <c r="E264" s="207" t="s">
        <v>1564</v>
      </c>
      <c r="F264" s="207" t="s">
        <v>1565</v>
      </c>
      <c r="G264" s="208"/>
    </row>
    <row r="265">
      <c r="A265" s="207">
        <f t="shared" si="2"/>
        <v>264</v>
      </c>
      <c r="B265" s="207" t="s">
        <v>1566</v>
      </c>
      <c r="C265" s="207" t="s">
        <v>218</v>
      </c>
      <c r="D265" s="207" t="s">
        <v>1567</v>
      </c>
      <c r="E265" s="207" t="s">
        <v>1568</v>
      </c>
      <c r="F265" s="207" t="s">
        <v>1569</v>
      </c>
      <c r="G265" s="208"/>
    </row>
    <row r="266">
      <c r="A266" s="207">
        <f t="shared" si="2"/>
        <v>265</v>
      </c>
      <c r="B266" s="207" t="s">
        <v>1570</v>
      </c>
      <c r="C266" s="207" t="s">
        <v>1571</v>
      </c>
      <c r="D266" s="207" t="s">
        <v>1349</v>
      </c>
      <c r="E266" s="207" t="s">
        <v>1572</v>
      </c>
      <c r="F266" s="207" t="s">
        <v>1573</v>
      </c>
      <c r="G266" s="208"/>
    </row>
    <row r="267">
      <c r="A267" s="207">
        <f t="shared" si="2"/>
        <v>266</v>
      </c>
      <c r="B267" s="207" t="s">
        <v>1574</v>
      </c>
      <c r="C267" s="207" t="s">
        <v>1575</v>
      </c>
      <c r="D267" s="207" t="s">
        <v>1576</v>
      </c>
      <c r="E267" s="207" t="s">
        <v>1577</v>
      </c>
      <c r="F267" s="207" t="s">
        <v>1578</v>
      </c>
      <c r="G267" s="208"/>
    </row>
    <row r="268">
      <c r="A268" s="207">
        <f t="shared" si="2"/>
        <v>267</v>
      </c>
      <c r="B268" s="207" t="s">
        <v>1579</v>
      </c>
      <c r="C268" s="207" t="s">
        <v>1580</v>
      </c>
      <c r="D268" s="207" t="s">
        <v>1581</v>
      </c>
      <c r="E268" s="207" t="s">
        <v>1582</v>
      </c>
      <c r="F268" s="207" t="s">
        <v>1579</v>
      </c>
      <c r="G268" s="208"/>
    </row>
    <row r="269">
      <c r="A269" s="207">
        <f t="shared" si="2"/>
        <v>268</v>
      </c>
      <c r="B269" s="207" t="s">
        <v>1583</v>
      </c>
      <c r="C269" s="207" t="s">
        <v>1584</v>
      </c>
      <c r="D269" s="207" t="s">
        <v>451</v>
      </c>
      <c r="E269" s="207" t="s">
        <v>1585</v>
      </c>
      <c r="F269" s="207" t="s">
        <v>1586</v>
      </c>
      <c r="G269" s="208"/>
    </row>
    <row r="270">
      <c r="A270" s="207">
        <f t="shared" si="2"/>
        <v>269</v>
      </c>
      <c r="B270" s="207" t="s">
        <v>1587</v>
      </c>
      <c r="C270" s="207" t="s">
        <v>1588</v>
      </c>
      <c r="D270" s="207" t="s">
        <v>1589</v>
      </c>
      <c r="E270" s="207" t="s">
        <v>1590</v>
      </c>
      <c r="F270" s="207" t="s">
        <v>1591</v>
      </c>
      <c r="G270" s="208"/>
    </row>
    <row r="271">
      <c r="A271" s="207">
        <f t="shared" si="2"/>
        <v>270</v>
      </c>
      <c r="B271" s="207" t="s">
        <v>1592</v>
      </c>
      <c r="C271" s="207" t="s">
        <v>1593</v>
      </c>
      <c r="D271" s="207" t="s">
        <v>1594</v>
      </c>
      <c r="E271" s="207" t="s">
        <v>1595</v>
      </c>
      <c r="F271" s="207" t="s">
        <v>1369</v>
      </c>
      <c r="G271" s="208"/>
    </row>
    <row r="272">
      <c r="A272" s="207">
        <f t="shared" si="2"/>
        <v>271</v>
      </c>
      <c r="B272" s="207" t="s">
        <v>1596</v>
      </c>
      <c r="C272" s="207" t="s">
        <v>218</v>
      </c>
      <c r="D272" s="207" t="s">
        <v>1597</v>
      </c>
      <c r="E272" s="207" t="s">
        <v>1598</v>
      </c>
      <c r="F272" s="207" t="s">
        <v>1599</v>
      </c>
      <c r="G272" s="208"/>
    </row>
    <row r="273">
      <c r="A273" s="207">
        <f t="shared" si="2"/>
        <v>272</v>
      </c>
      <c r="B273" s="207" t="s">
        <v>1600</v>
      </c>
      <c r="C273" s="207" t="s">
        <v>1601</v>
      </c>
      <c r="D273" s="207" t="s">
        <v>1602</v>
      </c>
      <c r="E273" s="207" t="s">
        <v>1603</v>
      </c>
      <c r="F273" s="207" t="s">
        <v>1604</v>
      </c>
      <c r="G273" s="208"/>
    </row>
    <row r="274">
      <c r="A274" s="207">
        <f t="shared" si="2"/>
        <v>273</v>
      </c>
      <c r="B274" s="207" t="s">
        <v>1605</v>
      </c>
      <c r="C274" s="207" t="s">
        <v>218</v>
      </c>
      <c r="D274" s="207" t="s">
        <v>1606</v>
      </c>
      <c r="E274" s="207" t="s">
        <v>1607</v>
      </c>
      <c r="F274" s="207" t="s">
        <v>1608</v>
      </c>
      <c r="G274" s="208"/>
    </row>
    <row r="275">
      <c r="A275" s="207">
        <f t="shared" si="2"/>
        <v>274</v>
      </c>
      <c r="B275" s="207" t="s">
        <v>1609</v>
      </c>
      <c r="C275" s="207" t="s">
        <v>218</v>
      </c>
      <c r="D275" s="207" t="s">
        <v>1610</v>
      </c>
      <c r="E275" s="207" t="s">
        <v>1611</v>
      </c>
      <c r="F275" s="207" t="s">
        <v>1612</v>
      </c>
      <c r="G275" s="208"/>
    </row>
    <row r="276">
      <c r="A276" s="207">
        <f t="shared" si="2"/>
        <v>275</v>
      </c>
      <c r="B276" s="207" t="s">
        <v>1613</v>
      </c>
      <c r="C276" s="207" t="s">
        <v>1614</v>
      </c>
      <c r="D276" s="207" t="s">
        <v>1615</v>
      </c>
      <c r="E276" s="207" t="s">
        <v>1616</v>
      </c>
      <c r="F276" s="207" t="s">
        <v>1617</v>
      </c>
      <c r="G276" s="208"/>
    </row>
    <row r="277">
      <c r="A277" s="207">
        <f t="shared" si="2"/>
        <v>276</v>
      </c>
      <c r="B277" s="207" t="s">
        <v>1618</v>
      </c>
      <c r="C277" s="207" t="s">
        <v>1619</v>
      </c>
      <c r="D277" s="207" t="s">
        <v>1620</v>
      </c>
      <c r="E277" s="207" t="s">
        <v>1621</v>
      </c>
      <c r="F277" s="207" t="s">
        <v>1622</v>
      </c>
      <c r="G277" s="208"/>
    </row>
    <row r="278">
      <c r="A278" s="207">
        <f t="shared" si="2"/>
        <v>277</v>
      </c>
      <c r="B278" s="207" t="s">
        <v>1623</v>
      </c>
      <c r="C278" s="207" t="s">
        <v>1624</v>
      </c>
      <c r="D278" s="207" t="s">
        <v>1625</v>
      </c>
      <c r="E278" s="207" t="s">
        <v>1626</v>
      </c>
      <c r="F278" s="207" t="s">
        <v>1627</v>
      </c>
      <c r="G278" s="207" t="s">
        <v>562</v>
      </c>
    </row>
    <row r="279">
      <c r="A279" s="207">
        <f t="shared" si="2"/>
        <v>278</v>
      </c>
      <c r="B279" s="207" t="s">
        <v>1628</v>
      </c>
      <c r="C279" s="207" t="s">
        <v>218</v>
      </c>
      <c r="D279" s="207" t="s">
        <v>1629</v>
      </c>
      <c r="E279" s="207" t="s">
        <v>1630</v>
      </c>
      <c r="F279" s="207" t="s">
        <v>1628</v>
      </c>
      <c r="G279" s="207" t="s">
        <v>562</v>
      </c>
    </row>
    <row r="280">
      <c r="A280" s="207">
        <f t="shared" si="2"/>
        <v>279</v>
      </c>
      <c r="B280" s="207" t="s">
        <v>1631</v>
      </c>
      <c r="C280" s="207" t="s">
        <v>218</v>
      </c>
      <c r="D280" s="207" t="s">
        <v>1632</v>
      </c>
      <c r="E280" s="207" t="s">
        <v>1633</v>
      </c>
      <c r="F280" s="207" t="s">
        <v>1634</v>
      </c>
      <c r="G280" s="208"/>
    </row>
    <row r="281">
      <c r="A281" s="207">
        <f t="shared" si="2"/>
        <v>280</v>
      </c>
      <c r="B281" s="207" t="s">
        <v>1635</v>
      </c>
      <c r="C281" s="207" t="s">
        <v>1636</v>
      </c>
      <c r="D281" s="207" t="s">
        <v>815</v>
      </c>
      <c r="E281" s="207" t="s">
        <v>1637</v>
      </c>
      <c r="F281" s="207" t="s">
        <v>1638</v>
      </c>
      <c r="G281" s="208"/>
    </row>
    <row r="282">
      <c r="A282" s="207">
        <f t="shared" si="2"/>
        <v>281</v>
      </c>
      <c r="B282" s="207" t="s">
        <v>1639</v>
      </c>
      <c r="C282" s="207" t="s">
        <v>1640</v>
      </c>
      <c r="D282" s="207" t="s">
        <v>1641</v>
      </c>
      <c r="E282" s="207" t="s">
        <v>1642</v>
      </c>
      <c r="F282" s="207" t="s">
        <v>1643</v>
      </c>
      <c r="G282" s="208"/>
    </row>
    <row r="283">
      <c r="A283" s="207">
        <f t="shared" si="2"/>
        <v>282</v>
      </c>
      <c r="B283" s="207" t="s">
        <v>1644</v>
      </c>
      <c r="C283" s="207" t="s">
        <v>1645</v>
      </c>
      <c r="D283" s="207" t="s">
        <v>1646</v>
      </c>
      <c r="E283" s="207" t="s">
        <v>1647</v>
      </c>
      <c r="F283" s="207" t="s">
        <v>1648</v>
      </c>
      <c r="G283" s="208"/>
    </row>
    <row r="284">
      <c r="A284" s="207">
        <f t="shared" si="2"/>
        <v>283</v>
      </c>
      <c r="B284" s="207" t="s">
        <v>1649</v>
      </c>
      <c r="C284" s="207" t="s">
        <v>1650</v>
      </c>
      <c r="D284" s="207" t="s">
        <v>451</v>
      </c>
      <c r="E284" s="207" t="s">
        <v>1651</v>
      </c>
      <c r="F284" s="207" t="s">
        <v>1652</v>
      </c>
      <c r="G284" s="208"/>
    </row>
    <row r="285">
      <c r="A285" s="207">
        <f t="shared" si="2"/>
        <v>284</v>
      </c>
      <c r="B285" s="207" t="s">
        <v>1653</v>
      </c>
      <c r="C285" s="207" t="s">
        <v>1654</v>
      </c>
      <c r="D285" s="207" t="s">
        <v>451</v>
      </c>
      <c r="E285" s="207" t="s">
        <v>1655</v>
      </c>
      <c r="F285" s="207" t="s">
        <v>1656</v>
      </c>
      <c r="G285" s="208"/>
    </row>
    <row r="286">
      <c r="A286" s="207">
        <f t="shared" si="2"/>
        <v>285</v>
      </c>
      <c r="B286" s="207" t="s">
        <v>1657</v>
      </c>
      <c r="C286" s="207" t="s">
        <v>1658</v>
      </c>
      <c r="D286" s="207" t="s">
        <v>451</v>
      </c>
      <c r="E286" s="207" t="s">
        <v>1659</v>
      </c>
      <c r="F286" s="207" t="s">
        <v>1660</v>
      </c>
      <c r="G286" s="208"/>
    </row>
    <row r="287">
      <c r="A287" s="207">
        <f t="shared" si="2"/>
        <v>286</v>
      </c>
      <c r="B287" s="207" t="s">
        <v>1661</v>
      </c>
      <c r="C287" s="207" t="s">
        <v>1662</v>
      </c>
      <c r="D287" s="207" t="s">
        <v>1663</v>
      </c>
      <c r="E287" s="207" t="s">
        <v>1664</v>
      </c>
      <c r="F287" s="207" t="s">
        <v>1665</v>
      </c>
      <c r="G287" s="208"/>
    </row>
    <row r="288">
      <c r="A288" s="207">
        <f t="shared" si="2"/>
        <v>287</v>
      </c>
      <c r="B288" s="207" t="s">
        <v>1666</v>
      </c>
      <c r="C288" s="207" t="s">
        <v>1667</v>
      </c>
      <c r="D288" s="207" t="s">
        <v>451</v>
      </c>
      <c r="E288" s="207" t="s">
        <v>1668</v>
      </c>
      <c r="F288" s="207" t="s">
        <v>1669</v>
      </c>
      <c r="G288" s="208"/>
    </row>
    <row r="289">
      <c r="A289" s="207">
        <f t="shared" si="2"/>
        <v>288</v>
      </c>
      <c r="B289" s="207" t="s">
        <v>1670</v>
      </c>
      <c r="C289" s="207" t="s">
        <v>1671</v>
      </c>
      <c r="D289" s="207" t="s">
        <v>451</v>
      </c>
      <c r="E289" s="207" t="s">
        <v>1672</v>
      </c>
      <c r="F289" s="207" t="s">
        <v>1673</v>
      </c>
      <c r="G289" s="208"/>
    </row>
    <row r="290">
      <c r="A290" s="207">
        <f t="shared" si="2"/>
        <v>289</v>
      </c>
      <c r="B290" s="207" t="s">
        <v>1674</v>
      </c>
      <c r="C290" s="207" t="s">
        <v>1675</v>
      </c>
      <c r="D290" s="207" t="s">
        <v>1676</v>
      </c>
      <c r="E290" s="207" t="s">
        <v>1677</v>
      </c>
      <c r="F290" s="207" t="s">
        <v>1678</v>
      </c>
      <c r="G290" s="208"/>
    </row>
    <row r="291">
      <c r="A291" s="207">
        <f t="shared" si="2"/>
        <v>290</v>
      </c>
      <c r="B291" s="207" t="s">
        <v>1679</v>
      </c>
      <c r="C291" s="207" t="s">
        <v>1680</v>
      </c>
      <c r="D291" s="207" t="s">
        <v>1681</v>
      </c>
      <c r="E291" s="207" t="s">
        <v>1682</v>
      </c>
      <c r="F291" s="207" t="s">
        <v>1683</v>
      </c>
      <c r="G291" s="208"/>
    </row>
    <row r="292">
      <c r="A292" s="207">
        <f t="shared" si="2"/>
        <v>291</v>
      </c>
      <c r="B292" s="207" t="s">
        <v>1684</v>
      </c>
      <c r="C292" s="207" t="s">
        <v>1685</v>
      </c>
      <c r="D292" s="207" t="s">
        <v>441</v>
      </c>
      <c r="E292" s="212" t="s">
        <v>1686</v>
      </c>
      <c r="F292" s="207" t="s">
        <v>1687</v>
      </c>
      <c r="G292" s="208"/>
    </row>
    <row r="293">
      <c r="A293" s="207">
        <f t="shared" si="2"/>
        <v>292</v>
      </c>
      <c r="B293" s="207" t="s">
        <v>1688</v>
      </c>
      <c r="C293" s="207" t="s">
        <v>1689</v>
      </c>
      <c r="D293" s="207" t="s">
        <v>1690</v>
      </c>
      <c r="E293" s="212" t="s">
        <v>1686</v>
      </c>
      <c r="F293" s="207" t="s">
        <v>1691</v>
      </c>
      <c r="G293" s="208"/>
    </row>
    <row r="294">
      <c r="A294" s="207">
        <f t="shared" si="2"/>
        <v>293</v>
      </c>
      <c r="B294" s="207" t="s">
        <v>1692</v>
      </c>
      <c r="C294" s="207" t="s">
        <v>1693</v>
      </c>
      <c r="D294" s="207" t="s">
        <v>1694</v>
      </c>
      <c r="E294" s="207" t="s">
        <v>1695</v>
      </c>
      <c r="F294" s="207" t="s">
        <v>1696</v>
      </c>
      <c r="G294" s="208"/>
    </row>
    <row r="295">
      <c r="A295" s="207">
        <f t="shared" si="2"/>
        <v>294</v>
      </c>
      <c r="B295" s="207" t="s">
        <v>1697</v>
      </c>
      <c r="C295" s="207" t="s">
        <v>1698</v>
      </c>
      <c r="D295" s="207" t="s">
        <v>1699</v>
      </c>
      <c r="E295" s="207" t="s">
        <v>1700</v>
      </c>
      <c r="F295" s="207" t="s">
        <v>1701</v>
      </c>
      <c r="G295" s="208"/>
    </row>
    <row r="296">
      <c r="A296" s="207">
        <f t="shared" si="2"/>
        <v>295</v>
      </c>
      <c r="B296" s="207" t="s">
        <v>1702</v>
      </c>
      <c r="C296" s="207" t="s">
        <v>1703</v>
      </c>
      <c r="D296" s="207" t="s">
        <v>698</v>
      </c>
      <c r="E296" s="207" t="s">
        <v>1704</v>
      </c>
      <c r="F296" s="207" t="s">
        <v>1705</v>
      </c>
      <c r="G296" s="208"/>
    </row>
    <row r="297">
      <c r="A297" s="207">
        <f t="shared" si="2"/>
        <v>296</v>
      </c>
      <c r="B297" s="207" t="s">
        <v>1706</v>
      </c>
      <c r="C297" s="207" t="s">
        <v>1707</v>
      </c>
      <c r="D297" s="207" t="s">
        <v>1708</v>
      </c>
      <c r="E297" s="207" t="s">
        <v>1709</v>
      </c>
      <c r="F297" s="207" t="s">
        <v>1710</v>
      </c>
      <c r="G297" s="208"/>
    </row>
    <row r="298">
      <c r="A298" s="207">
        <f t="shared" si="2"/>
        <v>297</v>
      </c>
      <c r="B298" s="207" t="s">
        <v>1711</v>
      </c>
      <c r="C298" s="207" t="s">
        <v>1712</v>
      </c>
      <c r="D298" s="207" t="s">
        <v>1713</v>
      </c>
      <c r="E298" s="207" t="s">
        <v>1714</v>
      </c>
      <c r="F298" s="207" t="s">
        <v>1715</v>
      </c>
      <c r="G298" s="208"/>
    </row>
    <row r="299">
      <c r="A299" s="207">
        <f t="shared" si="2"/>
        <v>298</v>
      </c>
      <c r="B299" s="207" t="s">
        <v>1716</v>
      </c>
      <c r="C299" s="207" t="s">
        <v>1717</v>
      </c>
      <c r="D299" s="207" t="s">
        <v>1718</v>
      </c>
      <c r="E299" s="207" t="s">
        <v>1719</v>
      </c>
      <c r="F299" s="207" t="s">
        <v>1720</v>
      </c>
      <c r="G299" s="208"/>
    </row>
    <row r="300">
      <c r="A300" s="207">
        <f t="shared" si="2"/>
        <v>299</v>
      </c>
      <c r="B300" s="207" t="s">
        <v>1721</v>
      </c>
      <c r="C300" s="207">
        <v>588.0</v>
      </c>
      <c r="D300" s="207" t="s">
        <v>1722</v>
      </c>
      <c r="E300" s="207" t="s">
        <v>777</v>
      </c>
      <c r="F300" s="207" t="s">
        <v>1723</v>
      </c>
      <c r="G300" s="208"/>
    </row>
    <row r="301">
      <c r="A301" s="207">
        <f t="shared" si="2"/>
        <v>300</v>
      </c>
      <c r="B301" s="207" t="s">
        <v>1724</v>
      </c>
      <c r="C301" s="207" t="s">
        <v>1725</v>
      </c>
      <c r="D301" s="207" t="s">
        <v>1726</v>
      </c>
      <c r="E301" s="207" t="s">
        <v>1727</v>
      </c>
      <c r="F301" s="207" t="s">
        <v>1723</v>
      </c>
      <c r="G301" s="208"/>
    </row>
    <row r="302">
      <c r="A302" s="207">
        <f t="shared" si="2"/>
        <v>301</v>
      </c>
      <c r="B302" s="207" t="s">
        <v>1728</v>
      </c>
      <c r="C302" s="207" t="s">
        <v>1729</v>
      </c>
      <c r="D302" s="207" t="s">
        <v>1726</v>
      </c>
      <c r="E302" s="207" t="s">
        <v>1727</v>
      </c>
      <c r="F302" s="207" t="s">
        <v>1730</v>
      </c>
      <c r="G302" s="208"/>
    </row>
    <row r="303">
      <c r="A303" s="207">
        <f t="shared" si="2"/>
        <v>302</v>
      </c>
      <c r="B303" s="207" t="s">
        <v>1731</v>
      </c>
      <c r="C303" s="207" t="s">
        <v>1732</v>
      </c>
      <c r="D303" s="207" t="s">
        <v>1733</v>
      </c>
      <c r="E303" s="207" t="s">
        <v>1734</v>
      </c>
      <c r="F303" s="207" t="s">
        <v>1735</v>
      </c>
      <c r="G303" s="208"/>
    </row>
    <row r="304">
      <c r="A304" s="207">
        <f t="shared" si="2"/>
        <v>303</v>
      </c>
      <c r="B304" s="207" t="s">
        <v>1736</v>
      </c>
      <c r="C304" s="207" t="s">
        <v>1737</v>
      </c>
      <c r="D304" s="207" t="s">
        <v>1738</v>
      </c>
      <c r="E304" s="207" t="s">
        <v>1739</v>
      </c>
      <c r="F304" s="207" t="s">
        <v>1740</v>
      </c>
      <c r="G304" s="208"/>
    </row>
    <row r="305">
      <c r="A305" s="207">
        <f t="shared" si="2"/>
        <v>304</v>
      </c>
      <c r="B305" s="207" t="s">
        <v>1741</v>
      </c>
      <c r="C305" s="207" t="s">
        <v>1742</v>
      </c>
      <c r="D305" s="207" t="s">
        <v>1743</v>
      </c>
      <c r="E305" s="207" t="s">
        <v>1744</v>
      </c>
      <c r="F305" s="207" t="s">
        <v>1745</v>
      </c>
      <c r="G305" s="207" t="s">
        <v>562</v>
      </c>
    </row>
    <row r="306">
      <c r="A306" s="207">
        <f t="shared" si="2"/>
        <v>305</v>
      </c>
      <c r="B306" s="207" t="s">
        <v>1746</v>
      </c>
      <c r="C306" s="207" t="s">
        <v>1747</v>
      </c>
      <c r="D306" s="207" t="s">
        <v>1748</v>
      </c>
      <c r="E306" s="207" t="s">
        <v>1749</v>
      </c>
      <c r="F306" s="207" t="s">
        <v>1750</v>
      </c>
      <c r="G306" s="208"/>
    </row>
    <row r="307">
      <c r="A307" s="207">
        <f t="shared" si="2"/>
        <v>306</v>
      </c>
      <c r="B307" s="207" t="s">
        <v>1751</v>
      </c>
      <c r="C307" s="207" t="s">
        <v>1752</v>
      </c>
      <c r="D307" s="207" t="s">
        <v>1753</v>
      </c>
      <c r="E307" s="207" t="s">
        <v>1754</v>
      </c>
      <c r="F307" s="207" t="s">
        <v>1755</v>
      </c>
      <c r="G307" s="208"/>
    </row>
    <row r="308">
      <c r="A308" s="207">
        <f t="shared" si="2"/>
        <v>307</v>
      </c>
      <c r="B308" s="207" t="s">
        <v>1756</v>
      </c>
      <c r="C308" s="207" t="s">
        <v>1757</v>
      </c>
      <c r="D308" s="207" t="s">
        <v>1758</v>
      </c>
      <c r="E308" s="207" t="s">
        <v>1759</v>
      </c>
      <c r="F308" s="207" t="s">
        <v>1760</v>
      </c>
      <c r="G308" s="208"/>
    </row>
    <row r="309">
      <c r="A309" s="207">
        <f t="shared" si="2"/>
        <v>308</v>
      </c>
      <c r="B309" s="207" t="s">
        <v>1761</v>
      </c>
      <c r="C309" s="207" t="s">
        <v>218</v>
      </c>
      <c r="D309" s="207" t="s">
        <v>1762</v>
      </c>
      <c r="E309" s="207" t="s">
        <v>1763</v>
      </c>
      <c r="F309" s="207" t="s">
        <v>1764</v>
      </c>
      <c r="G309" s="208"/>
    </row>
    <row r="310">
      <c r="A310" s="207">
        <f t="shared" si="2"/>
        <v>309</v>
      </c>
      <c r="B310" s="207" t="s">
        <v>1765</v>
      </c>
      <c r="C310" s="207" t="s">
        <v>1766</v>
      </c>
      <c r="D310" s="207" t="s">
        <v>1767</v>
      </c>
      <c r="E310" s="207" t="s">
        <v>1768</v>
      </c>
      <c r="F310" s="207" t="s">
        <v>1769</v>
      </c>
      <c r="G310" s="208"/>
    </row>
    <row r="311">
      <c r="A311" s="207">
        <f t="shared" si="2"/>
        <v>310</v>
      </c>
      <c r="B311" s="207" t="s">
        <v>1769</v>
      </c>
      <c r="C311" s="207" t="s">
        <v>1770</v>
      </c>
      <c r="D311" s="207" t="s">
        <v>1771</v>
      </c>
      <c r="E311" s="207" t="s">
        <v>1772</v>
      </c>
      <c r="F311" s="207" t="s">
        <v>1773</v>
      </c>
      <c r="G311" s="208"/>
    </row>
    <row r="312">
      <c r="A312" s="207">
        <f t="shared" si="2"/>
        <v>311</v>
      </c>
      <c r="B312" s="207" t="s">
        <v>1774</v>
      </c>
      <c r="C312" s="207" t="s">
        <v>1775</v>
      </c>
      <c r="D312" s="207" t="s">
        <v>1776</v>
      </c>
      <c r="E312" s="207" t="s">
        <v>1777</v>
      </c>
      <c r="F312" s="207" t="s">
        <v>1778</v>
      </c>
      <c r="G312" s="208"/>
    </row>
    <row r="313">
      <c r="A313" s="207">
        <f t="shared" si="2"/>
        <v>312</v>
      </c>
      <c r="B313" s="207" t="s">
        <v>1779</v>
      </c>
      <c r="C313" s="207" t="s">
        <v>1780</v>
      </c>
      <c r="D313" s="207" t="s">
        <v>1781</v>
      </c>
      <c r="E313" s="207" t="s">
        <v>1782</v>
      </c>
      <c r="F313" s="207" t="s">
        <v>1673</v>
      </c>
      <c r="G313" s="208"/>
    </row>
    <row r="314">
      <c r="A314" s="207">
        <f t="shared" si="2"/>
        <v>313</v>
      </c>
      <c r="B314" s="207" t="s">
        <v>1783</v>
      </c>
      <c r="C314" s="207" t="s">
        <v>1784</v>
      </c>
      <c r="D314" s="207" t="s">
        <v>1785</v>
      </c>
      <c r="E314" s="207" t="s">
        <v>1786</v>
      </c>
      <c r="F314" s="207" t="s">
        <v>1787</v>
      </c>
      <c r="G314" s="208"/>
    </row>
    <row r="315">
      <c r="A315" s="207">
        <f t="shared" si="2"/>
        <v>314</v>
      </c>
      <c r="B315" s="207" t="s">
        <v>1788</v>
      </c>
      <c r="C315" s="207" t="s">
        <v>451</v>
      </c>
      <c r="D315" s="207" t="s">
        <v>1789</v>
      </c>
      <c r="E315" s="207" t="s">
        <v>451</v>
      </c>
      <c r="F315" s="207" t="s">
        <v>1788</v>
      </c>
      <c r="G315" s="207" t="s">
        <v>562</v>
      </c>
    </row>
    <row r="316">
      <c r="A316" s="207">
        <f t="shared" si="2"/>
        <v>315</v>
      </c>
      <c r="B316" s="207" t="s">
        <v>1638</v>
      </c>
      <c r="C316" s="207" t="s">
        <v>1790</v>
      </c>
      <c r="D316" s="207" t="s">
        <v>1791</v>
      </c>
      <c r="E316" s="207" t="s">
        <v>451</v>
      </c>
      <c r="F316" s="207" t="s">
        <v>1792</v>
      </c>
      <c r="G316" s="208"/>
    </row>
    <row r="317">
      <c r="A317" s="207">
        <f t="shared" si="2"/>
        <v>316</v>
      </c>
      <c r="B317" s="207" t="s">
        <v>1793</v>
      </c>
      <c r="C317" s="207" t="s">
        <v>218</v>
      </c>
      <c r="D317" s="207" t="s">
        <v>451</v>
      </c>
      <c r="E317" s="207" t="s">
        <v>1794</v>
      </c>
      <c r="F317" s="207" t="s">
        <v>1795</v>
      </c>
      <c r="G317" s="208"/>
    </row>
    <row r="318">
      <c r="A318" s="207">
        <f t="shared" si="2"/>
        <v>317</v>
      </c>
      <c r="B318" s="207" t="s">
        <v>1796</v>
      </c>
      <c r="C318" s="207" t="s">
        <v>1797</v>
      </c>
      <c r="D318" s="207" t="s">
        <v>1798</v>
      </c>
      <c r="E318" s="207" t="s">
        <v>1799</v>
      </c>
      <c r="F318" s="207" t="s">
        <v>1800</v>
      </c>
      <c r="G318" s="208"/>
    </row>
    <row r="319">
      <c r="A319" s="207">
        <f t="shared" si="2"/>
        <v>318</v>
      </c>
      <c r="B319" s="207" t="s">
        <v>1801</v>
      </c>
      <c r="C319" s="207" t="s">
        <v>1802</v>
      </c>
      <c r="D319" s="207" t="s">
        <v>1803</v>
      </c>
      <c r="E319" s="207" t="s">
        <v>1804</v>
      </c>
      <c r="F319" s="207" t="s">
        <v>1805</v>
      </c>
      <c r="G319" s="208"/>
    </row>
    <row r="320">
      <c r="A320" s="207">
        <f t="shared" si="2"/>
        <v>319</v>
      </c>
      <c r="B320" s="207" t="s">
        <v>1806</v>
      </c>
      <c r="C320" s="207" t="s">
        <v>1807</v>
      </c>
      <c r="D320" s="207" t="s">
        <v>1808</v>
      </c>
      <c r="E320" s="207" t="s">
        <v>1809</v>
      </c>
      <c r="F320" s="207" t="s">
        <v>1810</v>
      </c>
      <c r="G320" s="208"/>
    </row>
    <row r="321">
      <c r="A321" s="207">
        <f t="shared" si="2"/>
        <v>320</v>
      </c>
      <c r="B321" s="207" t="s">
        <v>1811</v>
      </c>
      <c r="C321" s="207" t="s">
        <v>1812</v>
      </c>
      <c r="D321" s="207" t="s">
        <v>1813</v>
      </c>
      <c r="E321" s="207" t="s">
        <v>1799</v>
      </c>
      <c r="F321" s="207" t="s">
        <v>1811</v>
      </c>
      <c r="G321" s="207" t="s">
        <v>562</v>
      </c>
    </row>
    <row r="322">
      <c r="A322" s="207">
        <f t="shared" si="2"/>
        <v>321</v>
      </c>
      <c r="B322" s="207" t="s">
        <v>1814</v>
      </c>
      <c r="C322" s="207" t="s">
        <v>1815</v>
      </c>
      <c r="D322" s="207" t="s">
        <v>1816</v>
      </c>
      <c r="E322" s="207" t="s">
        <v>1817</v>
      </c>
      <c r="F322" s="207" t="s">
        <v>1818</v>
      </c>
      <c r="G322" s="208"/>
    </row>
    <row r="323">
      <c r="A323" s="207">
        <f t="shared" si="2"/>
        <v>322</v>
      </c>
      <c r="B323" s="207" t="s">
        <v>1819</v>
      </c>
      <c r="C323" s="207" t="s">
        <v>1820</v>
      </c>
      <c r="D323" s="207" t="s">
        <v>1821</v>
      </c>
      <c r="E323" s="207">
        <v>45.0</v>
      </c>
      <c r="F323" s="207" t="s">
        <v>1822</v>
      </c>
      <c r="G323" s="208"/>
    </row>
    <row r="324">
      <c r="A324" s="207">
        <f t="shared" si="2"/>
        <v>323</v>
      </c>
      <c r="B324" s="207" t="s">
        <v>1823</v>
      </c>
      <c r="C324" s="207" t="s">
        <v>1824</v>
      </c>
      <c r="D324" s="213" t="s">
        <v>1825</v>
      </c>
      <c r="E324" s="207" t="s">
        <v>1826</v>
      </c>
      <c r="F324" s="207" t="s">
        <v>1827</v>
      </c>
      <c r="G324" s="208"/>
    </row>
    <row r="325">
      <c r="A325" s="207">
        <f t="shared" si="2"/>
        <v>324</v>
      </c>
      <c r="B325" s="207" t="s">
        <v>1828</v>
      </c>
      <c r="C325" s="207" t="s">
        <v>1829</v>
      </c>
      <c r="D325" s="207" t="s">
        <v>1830</v>
      </c>
      <c r="E325" s="207" t="s">
        <v>1831</v>
      </c>
      <c r="F325" s="207" t="s">
        <v>1832</v>
      </c>
      <c r="G325" s="208"/>
    </row>
    <row r="326">
      <c r="A326" s="207">
        <f t="shared" si="2"/>
        <v>325</v>
      </c>
      <c r="B326" s="206" t="s">
        <v>1833</v>
      </c>
      <c r="C326" s="206" t="s">
        <v>1834</v>
      </c>
      <c r="D326" s="206" t="s">
        <v>974</v>
      </c>
      <c r="E326" s="206" t="s">
        <v>1831</v>
      </c>
      <c r="F326" s="206" t="s">
        <v>1832</v>
      </c>
      <c r="G326" s="208"/>
    </row>
    <row r="327">
      <c r="A327" s="207">
        <f t="shared" si="2"/>
        <v>326</v>
      </c>
      <c r="B327" s="207" t="s">
        <v>1835</v>
      </c>
      <c r="C327" s="207" t="s">
        <v>1836</v>
      </c>
      <c r="D327" s="207" t="s">
        <v>1837</v>
      </c>
      <c r="E327" s="207" t="s">
        <v>1838</v>
      </c>
      <c r="F327" s="207" t="s">
        <v>1684</v>
      </c>
      <c r="G327" s="208"/>
    </row>
    <row r="328">
      <c r="A328" s="207">
        <f t="shared" si="2"/>
        <v>327</v>
      </c>
      <c r="B328" s="207" t="s">
        <v>1839</v>
      </c>
      <c r="C328" s="207" t="s">
        <v>1840</v>
      </c>
      <c r="D328" s="207" t="s">
        <v>451</v>
      </c>
      <c r="E328" s="207" t="s">
        <v>1841</v>
      </c>
      <c r="F328" s="207" t="s">
        <v>1842</v>
      </c>
      <c r="G328" s="208"/>
    </row>
    <row r="329">
      <c r="A329" s="207">
        <f t="shared" si="2"/>
        <v>328</v>
      </c>
      <c r="B329" s="207" t="s">
        <v>1843</v>
      </c>
      <c r="C329" s="207" t="s">
        <v>1844</v>
      </c>
      <c r="D329" s="207" t="s">
        <v>1845</v>
      </c>
      <c r="E329" s="207" t="s">
        <v>1846</v>
      </c>
      <c r="F329" s="207" t="s">
        <v>1847</v>
      </c>
      <c r="G329" s="208"/>
    </row>
    <row r="330">
      <c r="A330" s="207">
        <f t="shared" si="2"/>
        <v>329</v>
      </c>
      <c r="B330" s="207" t="s">
        <v>1848</v>
      </c>
      <c r="C330" s="207" t="s">
        <v>1849</v>
      </c>
      <c r="D330" s="207" t="s">
        <v>1581</v>
      </c>
      <c r="E330" s="207" t="s">
        <v>1850</v>
      </c>
      <c r="F330" s="207" t="s">
        <v>1851</v>
      </c>
      <c r="G330" s="208"/>
    </row>
    <row r="331">
      <c r="A331" s="207">
        <f t="shared" si="2"/>
        <v>330</v>
      </c>
      <c r="B331" s="207" t="s">
        <v>1852</v>
      </c>
      <c r="C331" s="207" t="s">
        <v>1853</v>
      </c>
      <c r="D331" s="207" t="s">
        <v>1854</v>
      </c>
      <c r="E331" s="207" t="s">
        <v>1855</v>
      </c>
      <c r="F331" s="207" t="s">
        <v>1856</v>
      </c>
      <c r="G331" s="208"/>
    </row>
    <row r="332">
      <c r="A332" s="207">
        <f t="shared" si="2"/>
        <v>331</v>
      </c>
      <c r="B332" s="207" t="s">
        <v>1857</v>
      </c>
      <c r="C332" s="207" t="s">
        <v>1858</v>
      </c>
      <c r="D332" s="207" t="s">
        <v>1859</v>
      </c>
      <c r="E332" s="207" t="s">
        <v>1860</v>
      </c>
      <c r="F332" s="207" t="s">
        <v>1861</v>
      </c>
      <c r="G332" s="208"/>
    </row>
    <row r="333">
      <c r="A333" s="207">
        <f t="shared" si="2"/>
        <v>332</v>
      </c>
      <c r="B333" s="207" t="s">
        <v>1862</v>
      </c>
      <c r="C333" s="207" t="s">
        <v>1863</v>
      </c>
      <c r="D333" s="207" t="s">
        <v>1864</v>
      </c>
      <c r="E333" s="207" t="s">
        <v>1865</v>
      </c>
      <c r="F333" s="207" t="s">
        <v>1866</v>
      </c>
      <c r="G333" s="208"/>
    </row>
    <row r="334">
      <c r="A334" s="207">
        <f t="shared" si="2"/>
        <v>333</v>
      </c>
      <c r="B334" s="207" t="s">
        <v>1867</v>
      </c>
      <c r="C334" s="207" t="s">
        <v>1868</v>
      </c>
      <c r="D334" s="207" t="s">
        <v>451</v>
      </c>
      <c r="E334" s="207" t="s">
        <v>1869</v>
      </c>
      <c r="F334" s="207" t="s">
        <v>1870</v>
      </c>
      <c r="G334" s="208"/>
    </row>
    <row r="335">
      <c r="A335" s="207">
        <f t="shared" si="2"/>
        <v>334</v>
      </c>
      <c r="B335" s="207" t="s">
        <v>1871</v>
      </c>
      <c r="C335" s="207" t="s">
        <v>1872</v>
      </c>
      <c r="D335" s="207" t="s">
        <v>1873</v>
      </c>
      <c r="E335" s="207" t="s">
        <v>1874</v>
      </c>
      <c r="F335" s="207" t="s">
        <v>1875</v>
      </c>
      <c r="G335" s="208"/>
    </row>
    <row r="336">
      <c r="A336" s="207">
        <f t="shared" si="2"/>
        <v>335</v>
      </c>
      <c r="B336" s="207" t="s">
        <v>1876</v>
      </c>
      <c r="C336" s="207" t="s">
        <v>1877</v>
      </c>
      <c r="D336" s="207" t="s">
        <v>1878</v>
      </c>
      <c r="E336" s="207" t="s">
        <v>1879</v>
      </c>
      <c r="F336" s="207" t="s">
        <v>1876</v>
      </c>
      <c r="G336" s="207" t="s">
        <v>562</v>
      </c>
    </row>
    <row r="337">
      <c r="A337" s="207">
        <f t="shared" si="2"/>
        <v>336</v>
      </c>
      <c r="B337" s="207" t="s">
        <v>1880</v>
      </c>
      <c r="C337" s="207" t="s">
        <v>218</v>
      </c>
      <c r="D337" s="207" t="s">
        <v>1881</v>
      </c>
      <c r="E337" s="207" t="s">
        <v>1882</v>
      </c>
      <c r="F337" s="207" t="s">
        <v>1883</v>
      </c>
      <c r="G337" s="208"/>
    </row>
    <row r="338">
      <c r="A338" s="207">
        <f t="shared" si="2"/>
        <v>337</v>
      </c>
      <c r="B338" s="207" t="s">
        <v>1884</v>
      </c>
      <c r="C338" s="207" t="s">
        <v>1885</v>
      </c>
      <c r="D338" s="207" t="s">
        <v>1886</v>
      </c>
      <c r="E338" s="207" t="s">
        <v>1887</v>
      </c>
      <c r="F338" s="207" t="s">
        <v>1888</v>
      </c>
      <c r="G338" s="208"/>
    </row>
    <row r="339">
      <c r="A339" s="207">
        <f t="shared" si="2"/>
        <v>338</v>
      </c>
      <c r="B339" s="207" t="s">
        <v>1889</v>
      </c>
      <c r="C339" s="207" t="s">
        <v>1890</v>
      </c>
      <c r="D339" s="207" t="s">
        <v>1891</v>
      </c>
      <c r="E339" s="207" t="s">
        <v>1892</v>
      </c>
      <c r="F339" s="207" t="s">
        <v>1893</v>
      </c>
      <c r="G339" s="208"/>
    </row>
    <row r="340">
      <c r="A340" s="207">
        <f t="shared" si="2"/>
        <v>339</v>
      </c>
      <c r="B340" s="207" t="s">
        <v>1894</v>
      </c>
      <c r="C340" s="207" t="s">
        <v>1895</v>
      </c>
      <c r="D340" s="207" t="s">
        <v>451</v>
      </c>
      <c r="E340" s="207" t="s">
        <v>1896</v>
      </c>
      <c r="F340" s="207" t="s">
        <v>1897</v>
      </c>
      <c r="G340" s="208"/>
    </row>
    <row r="341">
      <c r="A341" s="207">
        <f t="shared" si="2"/>
        <v>340</v>
      </c>
      <c r="B341" s="207" t="s">
        <v>1898</v>
      </c>
      <c r="C341" s="207" t="s">
        <v>218</v>
      </c>
      <c r="D341" s="207" t="s">
        <v>1899</v>
      </c>
      <c r="E341" s="207" t="s">
        <v>1900</v>
      </c>
      <c r="F341" s="207" t="s">
        <v>1898</v>
      </c>
      <c r="G341" s="207" t="s">
        <v>562</v>
      </c>
    </row>
    <row r="342">
      <c r="A342" s="207">
        <f t="shared" si="2"/>
        <v>341</v>
      </c>
      <c r="B342" s="207" t="s">
        <v>1901</v>
      </c>
      <c r="C342" s="214" t="s">
        <v>1902</v>
      </c>
      <c r="D342" s="207" t="s">
        <v>1903</v>
      </c>
      <c r="E342" s="207" t="s">
        <v>1904</v>
      </c>
      <c r="F342" s="207" t="s">
        <v>1905</v>
      </c>
      <c r="G342" s="207" t="s">
        <v>1906</v>
      </c>
    </row>
    <row r="343">
      <c r="A343" s="207">
        <f t="shared" si="2"/>
        <v>342</v>
      </c>
      <c r="B343" s="207" t="s">
        <v>1907</v>
      </c>
      <c r="C343" s="207" t="s">
        <v>1908</v>
      </c>
      <c r="D343" s="207" t="s">
        <v>1909</v>
      </c>
      <c r="E343" s="207" t="s">
        <v>1901</v>
      </c>
      <c r="F343" s="207" t="s">
        <v>1910</v>
      </c>
      <c r="G343" s="208"/>
    </row>
    <row r="344">
      <c r="A344" s="207">
        <f t="shared" si="2"/>
        <v>343</v>
      </c>
      <c r="B344" s="207" t="s">
        <v>1911</v>
      </c>
      <c r="C344" s="207" t="s">
        <v>1912</v>
      </c>
      <c r="D344" s="207" t="s">
        <v>1913</v>
      </c>
      <c r="E344" s="207" t="s">
        <v>1914</v>
      </c>
      <c r="F344" s="207" t="s">
        <v>1915</v>
      </c>
      <c r="G344" s="208"/>
    </row>
    <row r="345">
      <c r="A345" s="207">
        <f t="shared" si="2"/>
        <v>344</v>
      </c>
      <c r="B345" s="207" t="s">
        <v>1916</v>
      </c>
      <c r="C345" s="207" t="s">
        <v>1917</v>
      </c>
      <c r="D345" s="207" t="s">
        <v>1918</v>
      </c>
      <c r="E345" s="207" t="s">
        <v>1919</v>
      </c>
      <c r="F345" s="207" t="s">
        <v>1916</v>
      </c>
      <c r="G345" s="207" t="s">
        <v>562</v>
      </c>
    </row>
    <row r="346">
      <c r="A346" s="207">
        <f t="shared" si="2"/>
        <v>345</v>
      </c>
      <c r="B346" s="207" t="s">
        <v>1920</v>
      </c>
      <c r="C346" s="207" t="s">
        <v>1921</v>
      </c>
      <c r="D346" s="207" t="s">
        <v>1922</v>
      </c>
      <c r="E346" s="207" t="s">
        <v>1921</v>
      </c>
      <c r="F346" s="207" t="s">
        <v>1923</v>
      </c>
      <c r="G346" s="208"/>
    </row>
    <row r="347">
      <c r="A347" s="207">
        <f t="shared" si="2"/>
        <v>346</v>
      </c>
      <c r="B347" s="207" t="s">
        <v>1924</v>
      </c>
      <c r="C347" s="207" t="s">
        <v>1925</v>
      </c>
      <c r="D347" s="207" t="s">
        <v>1926</v>
      </c>
      <c r="E347" s="207" t="s">
        <v>1927</v>
      </c>
      <c r="F347" s="207" t="s">
        <v>1928</v>
      </c>
      <c r="G347" s="208"/>
    </row>
    <row r="348">
      <c r="A348" s="207">
        <f t="shared" si="2"/>
        <v>347</v>
      </c>
      <c r="B348" s="207" t="s">
        <v>1929</v>
      </c>
      <c r="C348" s="207" t="s">
        <v>1930</v>
      </c>
      <c r="D348" s="207" t="s">
        <v>1931</v>
      </c>
      <c r="E348" s="207" t="s">
        <v>1932</v>
      </c>
      <c r="F348" s="207" t="s">
        <v>1933</v>
      </c>
      <c r="G348" s="208"/>
    </row>
    <row r="349">
      <c r="A349" s="207">
        <f t="shared" si="2"/>
        <v>348</v>
      </c>
      <c r="B349" s="207" t="s">
        <v>1934</v>
      </c>
      <c r="C349" s="207" t="s">
        <v>1935</v>
      </c>
      <c r="D349" s="207" t="s">
        <v>1936</v>
      </c>
      <c r="E349" s="207" t="s">
        <v>1937</v>
      </c>
      <c r="F349" s="207" t="s">
        <v>1938</v>
      </c>
      <c r="G349" s="208"/>
    </row>
    <row r="350">
      <c r="A350" s="207">
        <f t="shared" si="2"/>
        <v>349</v>
      </c>
      <c r="B350" s="207" t="s">
        <v>1939</v>
      </c>
      <c r="C350" s="207" t="s">
        <v>1940</v>
      </c>
      <c r="D350" s="207" t="s">
        <v>1941</v>
      </c>
      <c r="E350" s="207" t="s">
        <v>1942</v>
      </c>
      <c r="F350" s="207" t="s">
        <v>1943</v>
      </c>
      <c r="G350" s="208"/>
    </row>
    <row r="351">
      <c r="A351" s="207">
        <f t="shared" si="2"/>
        <v>350</v>
      </c>
      <c r="B351" s="207" t="s">
        <v>1944</v>
      </c>
      <c r="C351" s="207" t="s">
        <v>737</v>
      </c>
      <c r="D351" s="207" t="s">
        <v>1945</v>
      </c>
      <c r="E351" s="207" t="s">
        <v>1946</v>
      </c>
      <c r="F351" s="207" t="s">
        <v>1947</v>
      </c>
      <c r="G351" s="208"/>
    </row>
    <row r="352">
      <c r="A352" s="207">
        <f t="shared" si="2"/>
        <v>351</v>
      </c>
      <c r="B352" s="207" t="s">
        <v>1948</v>
      </c>
      <c r="C352" s="207" t="s">
        <v>1949</v>
      </c>
      <c r="D352" s="207" t="s">
        <v>1950</v>
      </c>
      <c r="E352" s="207" t="s">
        <v>1951</v>
      </c>
      <c r="F352" s="207" t="s">
        <v>1948</v>
      </c>
      <c r="G352" s="207" t="s">
        <v>562</v>
      </c>
    </row>
    <row r="353">
      <c r="A353" s="207">
        <f t="shared" si="2"/>
        <v>352</v>
      </c>
      <c r="B353" s="207" t="s">
        <v>1952</v>
      </c>
      <c r="C353" s="207" t="s">
        <v>1953</v>
      </c>
      <c r="D353" s="207" t="s">
        <v>1954</v>
      </c>
      <c r="E353" s="207" t="s">
        <v>1955</v>
      </c>
      <c r="F353" s="207" t="s">
        <v>1956</v>
      </c>
      <c r="G353" s="208"/>
    </row>
    <row r="354">
      <c r="A354" s="207">
        <f t="shared" si="2"/>
        <v>353</v>
      </c>
      <c r="B354" s="207" t="s">
        <v>1957</v>
      </c>
      <c r="C354" s="207" t="s">
        <v>1958</v>
      </c>
      <c r="D354" s="207" t="s">
        <v>1959</v>
      </c>
      <c r="E354" s="207" t="s">
        <v>1960</v>
      </c>
      <c r="F354" s="207" t="s">
        <v>1961</v>
      </c>
      <c r="G354" s="208"/>
    </row>
    <row r="355">
      <c r="A355" s="207">
        <f t="shared" si="2"/>
        <v>354</v>
      </c>
      <c r="B355" s="207" t="s">
        <v>1962</v>
      </c>
      <c r="C355" s="207" t="s">
        <v>1963</v>
      </c>
      <c r="D355" s="207" t="s">
        <v>1964</v>
      </c>
      <c r="E355" s="207" t="s">
        <v>1965</v>
      </c>
      <c r="F355" s="207" t="s">
        <v>1966</v>
      </c>
      <c r="G355" s="208"/>
    </row>
    <row r="356">
      <c r="A356" s="207">
        <f t="shared" si="2"/>
        <v>355</v>
      </c>
      <c r="B356" s="207" t="s">
        <v>1967</v>
      </c>
      <c r="C356" s="207" t="s">
        <v>1968</v>
      </c>
      <c r="D356" s="207" t="s">
        <v>1969</v>
      </c>
      <c r="E356" s="207" t="s">
        <v>1970</v>
      </c>
      <c r="F356" s="207" t="s">
        <v>1971</v>
      </c>
      <c r="G356" s="208"/>
    </row>
    <row r="357">
      <c r="A357" s="207">
        <f t="shared" si="2"/>
        <v>356</v>
      </c>
      <c r="B357" s="207" t="s">
        <v>1972</v>
      </c>
      <c r="C357" s="207" t="s">
        <v>1973</v>
      </c>
      <c r="D357" s="207" t="s">
        <v>1974</v>
      </c>
      <c r="E357" s="207" t="s">
        <v>1975</v>
      </c>
      <c r="F357" s="207" t="s">
        <v>1976</v>
      </c>
      <c r="G357" s="208"/>
    </row>
    <row r="358">
      <c r="A358" s="207">
        <f t="shared" si="2"/>
        <v>357</v>
      </c>
      <c r="B358" s="207" t="s">
        <v>1977</v>
      </c>
      <c r="C358" s="207" t="s">
        <v>1978</v>
      </c>
      <c r="D358" s="207" t="s">
        <v>1979</v>
      </c>
      <c r="E358" s="215" t="s">
        <v>1980</v>
      </c>
      <c r="F358" s="207" t="s">
        <v>1977</v>
      </c>
      <c r="G358" s="207" t="s">
        <v>562</v>
      </c>
    </row>
    <row r="359">
      <c r="A359" s="207">
        <f t="shared" si="2"/>
        <v>358</v>
      </c>
      <c r="B359" s="207" t="s">
        <v>1981</v>
      </c>
      <c r="C359" s="207" t="s">
        <v>218</v>
      </c>
      <c r="D359" s="207" t="s">
        <v>1982</v>
      </c>
      <c r="E359" s="207" t="s">
        <v>1371</v>
      </c>
      <c r="F359" s="207" t="s">
        <v>1983</v>
      </c>
      <c r="G359" s="208"/>
    </row>
    <row r="360">
      <c r="A360" s="207">
        <f t="shared" si="2"/>
        <v>359</v>
      </c>
      <c r="B360" s="207" t="s">
        <v>1984</v>
      </c>
      <c r="C360" s="207" t="s">
        <v>218</v>
      </c>
      <c r="D360" s="207" t="s">
        <v>1985</v>
      </c>
      <c r="E360" s="207" t="s">
        <v>1986</v>
      </c>
      <c r="F360" s="207" t="s">
        <v>1987</v>
      </c>
      <c r="G360" s="207" t="s">
        <v>562</v>
      </c>
    </row>
    <row r="361">
      <c r="A361" s="207">
        <f t="shared" si="2"/>
        <v>360</v>
      </c>
      <c r="B361" s="207" t="s">
        <v>1988</v>
      </c>
      <c r="C361" s="207" t="s">
        <v>1989</v>
      </c>
      <c r="D361" s="207" t="s">
        <v>1990</v>
      </c>
      <c r="E361" s="207" t="s">
        <v>1991</v>
      </c>
      <c r="F361" s="207" t="s">
        <v>1967</v>
      </c>
      <c r="G361" s="208"/>
    </row>
    <row r="362">
      <c r="A362" s="207">
        <f t="shared" si="2"/>
        <v>361</v>
      </c>
      <c r="B362" s="207" t="s">
        <v>1992</v>
      </c>
      <c r="C362" s="207" t="s">
        <v>1993</v>
      </c>
      <c r="D362" s="207" t="s">
        <v>1994</v>
      </c>
      <c r="E362" s="207" t="s">
        <v>1995</v>
      </c>
      <c r="F362" s="207" t="s">
        <v>1996</v>
      </c>
      <c r="G362" s="208"/>
    </row>
    <row r="363">
      <c r="A363" s="207">
        <f t="shared" si="2"/>
        <v>362</v>
      </c>
      <c r="B363" s="207" t="s">
        <v>1997</v>
      </c>
      <c r="C363" s="207" t="s">
        <v>1998</v>
      </c>
      <c r="D363" s="207" t="s">
        <v>1999</v>
      </c>
      <c r="E363" s="207" t="s">
        <v>2000</v>
      </c>
      <c r="F363" s="207" t="s">
        <v>1997</v>
      </c>
      <c r="G363" s="207" t="s">
        <v>562</v>
      </c>
    </row>
    <row r="364">
      <c r="A364" s="207">
        <f t="shared" si="2"/>
        <v>363</v>
      </c>
      <c r="B364" s="207" t="s">
        <v>2001</v>
      </c>
      <c r="C364" s="207" t="s">
        <v>2002</v>
      </c>
      <c r="D364" s="207" t="s">
        <v>2003</v>
      </c>
      <c r="E364" s="207" t="s">
        <v>2004</v>
      </c>
      <c r="F364" s="207" t="s">
        <v>2005</v>
      </c>
      <c r="G364" s="208"/>
    </row>
    <row r="365">
      <c r="A365" s="207">
        <f t="shared" si="2"/>
        <v>364</v>
      </c>
      <c r="B365" s="207" t="s">
        <v>2006</v>
      </c>
      <c r="C365" s="207" t="s">
        <v>2002</v>
      </c>
      <c r="D365" s="207" t="s">
        <v>1999</v>
      </c>
      <c r="E365" s="207" t="s">
        <v>2004</v>
      </c>
      <c r="F365" s="207" t="s">
        <v>2007</v>
      </c>
      <c r="G365" s="208"/>
    </row>
    <row r="366">
      <c r="A366" s="207">
        <f t="shared" si="2"/>
        <v>365</v>
      </c>
      <c r="B366" s="207" t="s">
        <v>2008</v>
      </c>
      <c r="C366" s="207" t="s">
        <v>2009</v>
      </c>
      <c r="D366" s="207" t="s">
        <v>2010</v>
      </c>
      <c r="E366" s="207" t="s">
        <v>2011</v>
      </c>
      <c r="F366" s="211"/>
      <c r="G366" s="208"/>
    </row>
    <row r="367">
      <c r="A367" s="207">
        <f t="shared" si="2"/>
        <v>366</v>
      </c>
      <c r="B367" s="207" t="s">
        <v>2012</v>
      </c>
      <c r="C367" s="207" t="s">
        <v>2013</v>
      </c>
      <c r="D367" s="207" t="s">
        <v>2014</v>
      </c>
      <c r="E367" s="207" t="s">
        <v>2015</v>
      </c>
      <c r="F367" s="207" t="s">
        <v>2016</v>
      </c>
      <c r="G367" s="208"/>
    </row>
    <row r="368">
      <c r="A368" s="207">
        <f t="shared" si="2"/>
        <v>367</v>
      </c>
      <c r="B368" s="207" t="s">
        <v>2017</v>
      </c>
      <c r="C368" s="207" t="s">
        <v>2018</v>
      </c>
      <c r="D368" s="207" t="s">
        <v>2019</v>
      </c>
      <c r="E368" s="212" t="s">
        <v>626</v>
      </c>
      <c r="F368" s="207" t="s">
        <v>2020</v>
      </c>
      <c r="G368" s="212" t="s">
        <v>2021</v>
      </c>
    </row>
    <row r="369">
      <c r="A369" s="207">
        <f t="shared" si="2"/>
        <v>368</v>
      </c>
      <c r="B369" s="207" t="s">
        <v>2022</v>
      </c>
      <c r="C369" s="207" t="s">
        <v>2023</v>
      </c>
      <c r="D369" s="207" t="s">
        <v>713</v>
      </c>
      <c r="E369" s="207" t="s">
        <v>2024</v>
      </c>
      <c r="F369" s="207" t="s">
        <v>2025</v>
      </c>
      <c r="G369" s="208"/>
    </row>
    <row r="370">
      <c r="A370" s="207">
        <f t="shared" si="2"/>
        <v>369</v>
      </c>
      <c r="B370" s="207" t="s">
        <v>2026</v>
      </c>
      <c r="C370" s="207" t="s">
        <v>2027</v>
      </c>
      <c r="D370" s="207" t="s">
        <v>2028</v>
      </c>
      <c r="E370" s="207" t="s">
        <v>2029</v>
      </c>
      <c r="F370" s="207" t="s">
        <v>2030</v>
      </c>
      <c r="G370" s="208"/>
    </row>
    <row r="371">
      <c r="A371" s="207">
        <f t="shared" si="2"/>
        <v>370</v>
      </c>
      <c r="B371" s="207" t="s">
        <v>2031</v>
      </c>
      <c r="C371" s="207" t="s">
        <v>2032</v>
      </c>
      <c r="D371" s="207" t="s">
        <v>2033</v>
      </c>
      <c r="E371" s="207" t="s">
        <v>2034</v>
      </c>
      <c r="F371" s="207" t="s">
        <v>2031</v>
      </c>
      <c r="G371" s="208"/>
    </row>
    <row r="372">
      <c r="A372" s="207">
        <f t="shared" si="2"/>
        <v>371</v>
      </c>
      <c r="B372" s="207" t="s">
        <v>2035</v>
      </c>
      <c r="C372" s="207" t="s">
        <v>2036</v>
      </c>
      <c r="D372" s="207" t="s">
        <v>2037</v>
      </c>
      <c r="E372" s="207" t="s">
        <v>2038</v>
      </c>
      <c r="F372" s="207" t="s">
        <v>2039</v>
      </c>
      <c r="G372" s="207" t="s">
        <v>562</v>
      </c>
    </row>
    <row r="373">
      <c r="A373" s="207">
        <f t="shared" si="2"/>
        <v>372</v>
      </c>
      <c r="B373" s="207" t="s">
        <v>2040</v>
      </c>
      <c r="C373" s="207" t="s">
        <v>2041</v>
      </c>
      <c r="D373" s="207" t="s">
        <v>1941</v>
      </c>
      <c r="E373" s="207" t="s">
        <v>2042</v>
      </c>
      <c r="F373" s="207" t="s">
        <v>2043</v>
      </c>
      <c r="G373" s="208"/>
    </row>
    <row r="374">
      <c r="A374" s="207">
        <f t="shared" si="2"/>
        <v>373</v>
      </c>
      <c r="B374" s="207" t="s">
        <v>2044</v>
      </c>
      <c r="C374" s="207" t="s">
        <v>2045</v>
      </c>
      <c r="D374" s="207" t="s">
        <v>2046</v>
      </c>
      <c r="E374" s="207" t="s">
        <v>2047</v>
      </c>
      <c r="F374" s="207" t="s">
        <v>2048</v>
      </c>
      <c r="G374" s="208"/>
    </row>
    <row r="375">
      <c r="A375" s="207">
        <f t="shared" si="2"/>
        <v>374</v>
      </c>
      <c r="B375" s="207" t="s">
        <v>2049</v>
      </c>
      <c r="C375" s="207" t="s">
        <v>218</v>
      </c>
      <c r="D375" s="207" t="s">
        <v>2050</v>
      </c>
      <c r="E375" s="207" t="s">
        <v>2051</v>
      </c>
      <c r="F375" s="207" t="s">
        <v>2052</v>
      </c>
      <c r="G375" s="208"/>
    </row>
    <row r="376">
      <c r="A376" s="207">
        <f t="shared" si="2"/>
        <v>375</v>
      </c>
      <c r="B376" s="207" t="s">
        <v>2053</v>
      </c>
      <c r="C376" s="214" t="s">
        <v>2054</v>
      </c>
      <c r="D376" s="207" t="s">
        <v>2055</v>
      </c>
      <c r="E376" s="207" t="s">
        <v>2056</v>
      </c>
      <c r="F376" s="207" t="s">
        <v>2057</v>
      </c>
      <c r="G376" s="207" t="s">
        <v>1906</v>
      </c>
    </row>
    <row r="377">
      <c r="A377" s="207">
        <f t="shared" si="2"/>
        <v>376</v>
      </c>
      <c r="B377" s="207" t="s">
        <v>2058</v>
      </c>
      <c r="C377" s="207" t="s">
        <v>2059</v>
      </c>
      <c r="D377" s="207" t="s">
        <v>2060</v>
      </c>
      <c r="E377" s="207" t="s">
        <v>2061</v>
      </c>
      <c r="F377" s="207" t="s">
        <v>2062</v>
      </c>
      <c r="G377" s="208"/>
    </row>
    <row r="378">
      <c r="A378" s="207">
        <f t="shared" si="2"/>
        <v>377</v>
      </c>
      <c r="B378" s="207" t="s">
        <v>2063</v>
      </c>
      <c r="C378" s="207" t="s">
        <v>2064</v>
      </c>
      <c r="D378" s="207" t="s">
        <v>2065</v>
      </c>
      <c r="E378" s="207" t="s">
        <v>2066</v>
      </c>
      <c r="F378" s="207" t="s">
        <v>2067</v>
      </c>
      <c r="G378" s="208"/>
    </row>
    <row r="379">
      <c r="A379" s="207">
        <f t="shared" si="2"/>
        <v>378</v>
      </c>
      <c r="B379" s="207" t="s">
        <v>1937</v>
      </c>
      <c r="C379" s="207" t="s">
        <v>2068</v>
      </c>
      <c r="D379" s="207" t="s">
        <v>2069</v>
      </c>
      <c r="E379" s="207" t="s">
        <v>2070</v>
      </c>
      <c r="F379" s="207" t="s">
        <v>2071</v>
      </c>
      <c r="G379" s="208"/>
    </row>
    <row r="380">
      <c r="A380" s="207">
        <f t="shared" si="2"/>
        <v>379</v>
      </c>
      <c r="B380" s="207" t="s">
        <v>2072</v>
      </c>
      <c r="C380" s="207" t="s">
        <v>2073</v>
      </c>
      <c r="D380" s="207" t="s">
        <v>2074</v>
      </c>
      <c r="E380" s="207" t="s">
        <v>2075</v>
      </c>
      <c r="F380" s="207">
        <v>310.0</v>
      </c>
      <c r="G380" s="208"/>
    </row>
    <row r="381">
      <c r="A381" s="207">
        <f t="shared" si="2"/>
        <v>380</v>
      </c>
      <c r="B381" s="207" t="s">
        <v>2076</v>
      </c>
      <c r="C381" s="207" t="s">
        <v>218</v>
      </c>
      <c r="D381" s="207" t="s">
        <v>2077</v>
      </c>
      <c r="E381" s="207" t="s">
        <v>2078</v>
      </c>
      <c r="F381" s="207" t="s">
        <v>2079</v>
      </c>
      <c r="G381" s="208"/>
    </row>
    <row r="382">
      <c r="A382" s="207">
        <f t="shared" si="2"/>
        <v>381</v>
      </c>
      <c r="B382" s="207" t="s">
        <v>2080</v>
      </c>
      <c r="C382" s="207" t="s">
        <v>2081</v>
      </c>
      <c r="D382" s="207" t="s">
        <v>2082</v>
      </c>
      <c r="E382" s="207" t="s">
        <v>2083</v>
      </c>
      <c r="F382" s="207" t="s">
        <v>2084</v>
      </c>
      <c r="G382" s="208"/>
    </row>
    <row r="383">
      <c r="A383" s="207">
        <f t="shared" si="2"/>
        <v>382</v>
      </c>
      <c r="B383" s="207" t="s">
        <v>2085</v>
      </c>
      <c r="C383" s="207" t="s">
        <v>2086</v>
      </c>
      <c r="D383" s="207" t="s">
        <v>1178</v>
      </c>
      <c r="E383" s="207" t="s">
        <v>2087</v>
      </c>
      <c r="F383" s="207" t="s">
        <v>2088</v>
      </c>
      <c r="G383" s="208"/>
    </row>
    <row r="384">
      <c r="A384" s="207">
        <f t="shared" si="2"/>
        <v>383</v>
      </c>
      <c r="B384" s="207" t="s">
        <v>2089</v>
      </c>
      <c r="C384" s="207" t="s">
        <v>2090</v>
      </c>
      <c r="D384" s="207" t="s">
        <v>2091</v>
      </c>
      <c r="E384" s="207" t="s">
        <v>2092</v>
      </c>
      <c r="F384" s="207" t="s">
        <v>2093</v>
      </c>
      <c r="G384" s="208"/>
    </row>
    <row r="385">
      <c r="A385" s="207">
        <f t="shared" si="2"/>
        <v>384</v>
      </c>
      <c r="B385" s="207" t="s">
        <v>2094</v>
      </c>
      <c r="C385" s="207" t="s">
        <v>2095</v>
      </c>
      <c r="D385" s="207" t="s">
        <v>1813</v>
      </c>
      <c r="E385" s="207" t="s">
        <v>2096</v>
      </c>
      <c r="F385" s="207" t="s">
        <v>2097</v>
      </c>
      <c r="G385" s="208"/>
    </row>
    <row r="386">
      <c r="A386" s="207">
        <f t="shared" si="2"/>
        <v>385</v>
      </c>
      <c r="B386" s="207" t="s">
        <v>2098</v>
      </c>
      <c r="C386" s="207" t="s">
        <v>2099</v>
      </c>
      <c r="D386" s="207" t="s">
        <v>2100</v>
      </c>
      <c r="E386" s="207" t="s">
        <v>2101</v>
      </c>
      <c r="F386" s="207" t="s">
        <v>2102</v>
      </c>
      <c r="G386" s="208"/>
    </row>
    <row r="387">
      <c r="A387" s="207">
        <f t="shared" si="2"/>
        <v>386</v>
      </c>
      <c r="B387" s="207" t="s">
        <v>2103</v>
      </c>
      <c r="C387" s="207" t="s">
        <v>2104</v>
      </c>
      <c r="D387" s="207" t="s">
        <v>830</v>
      </c>
      <c r="E387" s="207" t="s">
        <v>2105</v>
      </c>
      <c r="F387" s="207" t="s">
        <v>521</v>
      </c>
      <c r="G387" s="208"/>
    </row>
    <row r="388">
      <c r="A388" s="207">
        <f t="shared" si="2"/>
        <v>387</v>
      </c>
      <c r="B388" s="207" t="s">
        <v>2106</v>
      </c>
      <c r="C388" s="207" t="s">
        <v>2107</v>
      </c>
      <c r="D388" s="207" t="s">
        <v>2108</v>
      </c>
      <c r="E388" s="207" t="s">
        <v>2109</v>
      </c>
      <c r="F388" s="207" t="s">
        <v>1952</v>
      </c>
      <c r="G388" s="208"/>
    </row>
    <row r="389">
      <c r="A389" s="207">
        <f t="shared" si="2"/>
        <v>388</v>
      </c>
      <c r="B389" s="207" t="s">
        <v>2110</v>
      </c>
      <c r="C389" s="207" t="s">
        <v>2111</v>
      </c>
      <c r="D389" s="207" t="s">
        <v>2112</v>
      </c>
      <c r="E389" s="207" t="s">
        <v>2113</v>
      </c>
      <c r="F389" s="207" t="s">
        <v>2114</v>
      </c>
      <c r="G389" s="208"/>
    </row>
    <row r="390">
      <c r="A390" s="207">
        <f t="shared" si="2"/>
        <v>389</v>
      </c>
      <c r="B390" s="207" t="s">
        <v>1459</v>
      </c>
      <c r="C390" s="207" t="s">
        <v>2115</v>
      </c>
      <c r="D390" s="207" t="s">
        <v>2116</v>
      </c>
      <c r="E390" s="207" t="s">
        <v>2117</v>
      </c>
      <c r="F390" s="207" t="s">
        <v>2118</v>
      </c>
      <c r="G390" s="208"/>
    </row>
    <row r="391">
      <c r="A391" s="207">
        <f t="shared" si="2"/>
        <v>390</v>
      </c>
      <c r="B391" s="207" t="s">
        <v>2119</v>
      </c>
      <c r="C391" s="207" t="s">
        <v>1902</v>
      </c>
      <c r="D391" s="207" t="s">
        <v>2120</v>
      </c>
      <c r="E391" s="207" t="s">
        <v>2121</v>
      </c>
      <c r="F391" s="207" t="s">
        <v>2122</v>
      </c>
      <c r="G391" s="208"/>
    </row>
    <row r="392">
      <c r="A392" s="207">
        <f t="shared" si="2"/>
        <v>391</v>
      </c>
      <c r="B392" s="207" t="s">
        <v>2123</v>
      </c>
      <c r="C392" s="207" t="s">
        <v>2124</v>
      </c>
      <c r="D392" s="207" t="s">
        <v>2125</v>
      </c>
      <c r="E392" s="207" t="s">
        <v>2126</v>
      </c>
      <c r="F392" s="207" t="s">
        <v>2127</v>
      </c>
      <c r="G392" s="208"/>
    </row>
    <row r="393">
      <c r="A393" s="207">
        <f t="shared" si="2"/>
        <v>392</v>
      </c>
      <c r="B393" s="207" t="s">
        <v>1464</v>
      </c>
      <c r="C393" s="207" t="s">
        <v>2128</v>
      </c>
      <c r="D393" s="207" t="s">
        <v>2129</v>
      </c>
      <c r="E393" s="207" t="s">
        <v>2130</v>
      </c>
      <c r="F393" s="207" t="s">
        <v>1085</v>
      </c>
      <c r="G393" s="208"/>
    </row>
    <row r="394">
      <c r="A394" s="207">
        <f t="shared" si="2"/>
        <v>393</v>
      </c>
      <c r="B394" s="207" t="s">
        <v>2131</v>
      </c>
      <c r="C394" s="207" t="s">
        <v>2132</v>
      </c>
      <c r="D394" s="207" t="s">
        <v>2133</v>
      </c>
      <c r="E394" s="207" t="s">
        <v>2134</v>
      </c>
      <c r="F394" s="207" t="s">
        <v>2135</v>
      </c>
      <c r="G394" s="208"/>
    </row>
    <row r="395">
      <c r="A395" s="207">
        <f t="shared" si="2"/>
        <v>394</v>
      </c>
      <c r="B395" s="207" t="s">
        <v>2136</v>
      </c>
      <c r="C395" s="207" t="s">
        <v>2137</v>
      </c>
      <c r="D395" s="207" t="s">
        <v>2138</v>
      </c>
      <c r="E395" s="207" t="s">
        <v>2139</v>
      </c>
      <c r="F395" s="207" t="s">
        <v>2140</v>
      </c>
      <c r="G395" s="208"/>
    </row>
    <row r="396">
      <c r="A396" s="207">
        <f t="shared" si="2"/>
        <v>395</v>
      </c>
      <c r="B396" s="207" t="s">
        <v>2141</v>
      </c>
      <c r="C396" s="207" t="s">
        <v>2142</v>
      </c>
      <c r="D396" s="207" t="s">
        <v>2143</v>
      </c>
      <c r="E396" s="207" t="s">
        <v>2144</v>
      </c>
      <c r="F396" s="207" t="s">
        <v>2145</v>
      </c>
      <c r="G396" s="208"/>
    </row>
    <row r="397">
      <c r="A397" s="207">
        <f t="shared" si="2"/>
        <v>396</v>
      </c>
      <c r="B397" s="207" t="s">
        <v>2146</v>
      </c>
      <c r="C397" s="207" t="s">
        <v>2147</v>
      </c>
      <c r="D397" s="207" t="s">
        <v>2148</v>
      </c>
      <c r="E397" s="207" t="s">
        <v>2149</v>
      </c>
      <c r="F397" s="207" t="s">
        <v>2150</v>
      </c>
      <c r="G397" s="208"/>
    </row>
    <row r="398">
      <c r="A398" s="207">
        <f t="shared" si="2"/>
        <v>397</v>
      </c>
      <c r="B398" s="207" t="s">
        <v>2151</v>
      </c>
      <c r="C398" s="207" t="s">
        <v>2152</v>
      </c>
      <c r="D398" s="207" t="s">
        <v>2153</v>
      </c>
      <c r="E398" s="207" t="s">
        <v>2154</v>
      </c>
      <c r="F398" s="207" t="s">
        <v>2155</v>
      </c>
      <c r="G398" s="208"/>
    </row>
    <row r="399">
      <c r="A399" s="207">
        <f t="shared" si="2"/>
        <v>398</v>
      </c>
      <c r="B399" s="207" t="s">
        <v>961</v>
      </c>
      <c r="C399" s="207" t="s">
        <v>2156</v>
      </c>
      <c r="D399" s="207" t="s">
        <v>2157</v>
      </c>
      <c r="E399" s="207" t="s">
        <v>2158</v>
      </c>
      <c r="F399" s="207" t="s">
        <v>2159</v>
      </c>
      <c r="G399" s="208"/>
    </row>
    <row r="400">
      <c r="A400" s="207">
        <f t="shared" si="2"/>
        <v>399</v>
      </c>
      <c r="B400" s="207" t="s">
        <v>2160</v>
      </c>
      <c r="C400" s="207" t="s">
        <v>2161</v>
      </c>
      <c r="D400" s="207" t="s">
        <v>2162</v>
      </c>
      <c r="E400" s="207" t="s">
        <v>2163</v>
      </c>
      <c r="F400" s="207" t="s">
        <v>2164</v>
      </c>
      <c r="G400" s="208"/>
    </row>
    <row r="401" hidden="1">
      <c r="A401" s="207">
        <f t="shared" si="2"/>
        <v>400</v>
      </c>
      <c r="B401" s="209" t="s">
        <v>216</v>
      </c>
      <c r="C401" s="209" t="s">
        <v>216</v>
      </c>
      <c r="D401" s="209" t="s">
        <v>216</v>
      </c>
      <c r="E401" s="209" t="s">
        <v>216</v>
      </c>
      <c r="F401" s="209" t="s">
        <v>216</v>
      </c>
      <c r="G401" s="207" t="s">
        <v>488</v>
      </c>
    </row>
    <row r="402" hidden="1">
      <c r="A402" s="207">
        <f t="shared" si="2"/>
        <v>401</v>
      </c>
      <c r="B402" s="209" t="s">
        <v>216</v>
      </c>
      <c r="C402" s="209" t="s">
        <v>216</v>
      </c>
      <c r="D402" s="209" t="s">
        <v>216</v>
      </c>
      <c r="E402" s="209" t="s">
        <v>216</v>
      </c>
      <c r="F402" s="209" t="s">
        <v>216</v>
      </c>
      <c r="G402" s="207" t="s">
        <v>488</v>
      </c>
    </row>
    <row r="403" hidden="1">
      <c r="A403" s="207">
        <f t="shared" si="2"/>
        <v>402</v>
      </c>
      <c r="B403" s="209" t="s">
        <v>216</v>
      </c>
      <c r="C403" s="209" t="s">
        <v>216</v>
      </c>
      <c r="D403" s="209" t="s">
        <v>216</v>
      </c>
      <c r="E403" s="209" t="s">
        <v>216</v>
      </c>
      <c r="F403" s="209" t="s">
        <v>216</v>
      </c>
      <c r="G403" s="207" t="s">
        <v>488</v>
      </c>
    </row>
    <row r="404" hidden="1">
      <c r="A404" s="207">
        <f t="shared" si="2"/>
        <v>403</v>
      </c>
      <c r="B404" s="209" t="s">
        <v>216</v>
      </c>
      <c r="C404" s="209" t="s">
        <v>216</v>
      </c>
      <c r="D404" s="209" t="s">
        <v>216</v>
      </c>
      <c r="E404" s="209" t="s">
        <v>216</v>
      </c>
      <c r="F404" s="209" t="s">
        <v>216</v>
      </c>
      <c r="G404" s="207" t="s">
        <v>488</v>
      </c>
    </row>
    <row r="405">
      <c r="A405" s="207">
        <f t="shared" si="2"/>
        <v>404</v>
      </c>
      <c r="B405" s="207" t="s">
        <v>2165</v>
      </c>
      <c r="C405" s="207" t="s">
        <v>2166</v>
      </c>
      <c r="D405" s="207" t="s">
        <v>2167</v>
      </c>
      <c r="E405" s="207" t="s">
        <v>2168</v>
      </c>
      <c r="F405" s="207" t="s">
        <v>2169</v>
      </c>
      <c r="G405" s="208"/>
    </row>
    <row r="406">
      <c r="A406" s="207">
        <f t="shared" si="2"/>
        <v>405</v>
      </c>
      <c r="B406" s="207" t="s">
        <v>2170</v>
      </c>
      <c r="C406" s="207" t="s">
        <v>2171</v>
      </c>
      <c r="D406" s="207" t="s">
        <v>2172</v>
      </c>
      <c r="E406" s="207" t="s">
        <v>2173</v>
      </c>
      <c r="F406" s="207" t="s">
        <v>2174</v>
      </c>
      <c r="G406" s="208"/>
    </row>
    <row r="407">
      <c r="A407" s="207">
        <f t="shared" si="2"/>
        <v>406</v>
      </c>
      <c r="B407" s="207" t="s">
        <v>2175</v>
      </c>
      <c r="C407" s="207" t="s">
        <v>2176</v>
      </c>
      <c r="D407" s="207" t="s">
        <v>2177</v>
      </c>
      <c r="E407" s="207" t="s">
        <v>2178</v>
      </c>
      <c r="F407" s="207" t="s">
        <v>2179</v>
      </c>
      <c r="G407" s="208"/>
    </row>
    <row r="408">
      <c r="A408" s="207">
        <f t="shared" si="2"/>
        <v>407</v>
      </c>
      <c r="B408" s="207" t="s">
        <v>2180</v>
      </c>
      <c r="C408" s="207" t="s">
        <v>2181</v>
      </c>
      <c r="D408" s="207" t="s">
        <v>2182</v>
      </c>
      <c r="E408" s="207" t="s">
        <v>2183</v>
      </c>
      <c r="F408" s="207" t="s">
        <v>2184</v>
      </c>
      <c r="G408" s="208"/>
    </row>
    <row r="409">
      <c r="A409" s="207">
        <f t="shared" si="2"/>
        <v>408</v>
      </c>
      <c r="B409" s="207" t="s">
        <v>2185</v>
      </c>
      <c r="C409" s="207" t="s">
        <v>2186</v>
      </c>
      <c r="D409" s="207" t="s">
        <v>2187</v>
      </c>
      <c r="E409" s="207" t="s">
        <v>2188</v>
      </c>
      <c r="F409" s="207" t="s">
        <v>2189</v>
      </c>
      <c r="G409" s="208"/>
    </row>
    <row r="410">
      <c r="A410" s="207">
        <f t="shared" si="2"/>
        <v>409</v>
      </c>
      <c r="B410" s="207" t="s">
        <v>2190</v>
      </c>
      <c r="C410" s="207" t="s">
        <v>2191</v>
      </c>
      <c r="D410" s="207" t="s">
        <v>2192</v>
      </c>
      <c r="E410" s="207" t="s">
        <v>2193</v>
      </c>
      <c r="F410" s="207" t="s">
        <v>2194</v>
      </c>
      <c r="G410" s="208"/>
    </row>
    <row r="411">
      <c r="A411" s="207">
        <f t="shared" si="2"/>
        <v>410</v>
      </c>
      <c r="B411" s="207" t="s">
        <v>2195</v>
      </c>
      <c r="C411" s="207" t="s">
        <v>2196</v>
      </c>
      <c r="D411" s="207" t="s">
        <v>2197</v>
      </c>
      <c r="E411" s="207" t="s">
        <v>2198</v>
      </c>
      <c r="F411" s="207" t="s">
        <v>2199</v>
      </c>
      <c r="G411" s="208"/>
    </row>
    <row r="412">
      <c r="A412" s="207">
        <f t="shared" si="2"/>
        <v>411</v>
      </c>
      <c r="B412" s="207" t="s">
        <v>2200</v>
      </c>
      <c r="C412" s="207" t="s">
        <v>2201</v>
      </c>
      <c r="D412" s="207" t="s">
        <v>451</v>
      </c>
      <c r="E412" s="207" t="s">
        <v>2202</v>
      </c>
      <c r="F412" s="207" t="s">
        <v>2203</v>
      </c>
      <c r="G412" s="208"/>
    </row>
    <row r="413">
      <c r="A413" s="207">
        <f t="shared" si="2"/>
        <v>412</v>
      </c>
      <c r="B413" s="207" t="s">
        <v>2204</v>
      </c>
      <c r="C413" s="207" t="s">
        <v>2205</v>
      </c>
      <c r="D413" s="207" t="s">
        <v>2206</v>
      </c>
      <c r="E413" s="207" t="s">
        <v>2207</v>
      </c>
      <c r="F413" s="207" t="s">
        <v>2208</v>
      </c>
      <c r="G413" s="208"/>
    </row>
    <row r="414">
      <c r="A414" s="207">
        <f t="shared" si="2"/>
        <v>413</v>
      </c>
      <c r="B414" s="207" t="s">
        <v>2209</v>
      </c>
      <c r="C414" s="207" t="s">
        <v>2210</v>
      </c>
      <c r="D414" s="207" t="s">
        <v>2211</v>
      </c>
      <c r="E414" s="207" t="s">
        <v>2212</v>
      </c>
      <c r="F414" s="207" t="s">
        <v>2209</v>
      </c>
      <c r="G414" s="207" t="s">
        <v>562</v>
      </c>
    </row>
    <row r="415">
      <c r="A415" s="207">
        <f t="shared" si="2"/>
        <v>414</v>
      </c>
      <c r="B415" s="207" t="s">
        <v>2213</v>
      </c>
      <c r="C415" s="207" t="s">
        <v>2214</v>
      </c>
      <c r="D415" s="207" t="s">
        <v>2215</v>
      </c>
      <c r="E415" s="207" t="s">
        <v>2216</v>
      </c>
      <c r="F415" s="207" t="s">
        <v>2217</v>
      </c>
      <c r="G415" s="208"/>
    </row>
    <row r="416">
      <c r="A416" s="207">
        <f t="shared" si="2"/>
        <v>415</v>
      </c>
      <c r="B416" s="207" t="s">
        <v>2218</v>
      </c>
      <c r="C416" s="207" t="s">
        <v>2219</v>
      </c>
      <c r="D416" s="207" t="s">
        <v>2220</v>
      </c>
      <c r="E416" s="207" t="s">
        <v>2221</v>
      </c>
      <c r="F416" s="207" t="s">
        <v>2222</v>
      </c>
      <c r="G416" s="208"/>
    </row>
    <row r="417">
      <c r="A417" s="207">
        <f t="shared" si="2"/>
        <v>416</v>
      </c>
      <c r="B417" s="207" t="s">
        <v>2223</v>
      </c>
      <c r="C417" s="207" t="s">
        <v>2224</v>
      </c>
      <c r="D417" s="207" t="s">
        <v>2225</v>
      </c>
      <c r="E417" s="207" t="s">
        <v>2226</v>
      </c>
      <c r="F417" s="207" t="s">
        <v>2227</v>
      </c>
      <c r="G417" s="208"/>
    </row>
    <row r="418">
      <c r="A418" s="207">
        <f t="shared" si="2"/>
        <v>417</v>
      </c>
      <c r="B418" s="207" t="s">
        <v>2228</v>
      </c>
      <c r="C418" s="207" t="s">
        <v>2229</v>
      </c>
      <c r="D418" s="207" t="s">
        <v>2230</v>
      </c>
      <c r="E418" s="207" t="s">
        <v>2231</v>
      </c>
      <c r="F418" s="207" t="s">
        <v>2232</v>
      </c>
      <c r="G418" s="208"/>
    </row>
    <row r="419">
      <c r="A419" s="207">
        <f t="shared" si="2"/>
        <v>418</v>
      </c>
      <c r="B419" s="207" t="s">
        <v>2233</v>
      </c>
      <c r="C419" s="207" t="s">
        <v>2234</v>
      </c>
      <c r="D419" s="207" t="s">
        <v>2235</v>
      </c>
      <c r="E419" s="207" t="s">
        <v>2236</v>
      </c>
      <c r="F419" s="207" t="s">
        <v>2237</v>
      </c>
      <c r="G419" s="208"/>
    </row>
    <row r="420">
      <c r="A420" s="207">
        <f t="shared" si="2"/>
        <v>419</v>
      </c>
      <c r="B420" s="207" t="s">
        <v>2238</v>
      </c>
      <c r="C420" s="207" t="s">
        <v>2239</v>
      </c>
      <c r="D420" s="207" t="s">
        <v>2240</v>
      </c>
      <c r="E420" s="207" t="s">
        <v>2241</v>
      </c>
      <c r="F420" s="207" t="s">
        <v>2242</v>
      </c>
      <c r="G420" s="208"/>
    </row>
    <row r="421">
      <c r="A421" s="207">
        <f t="shared" si="2"/>
        <v>420</v>
      </c>
      <c r="B421" s="207" t="s">
        <v>2243</v>
      </c>
      <c r="C421" s="207" t="s">
        <v>2244</v>
      </c>
      <c r="D421" s="207" t="s">
        <v>2245</v>
      </c>
      <c r="E421" s="207" t="s">
        <v>2246</v>
      </c>
      <c r="F421" s="207" t="s">
        <v>2247</v>
      </c>
      <c r="G421" s="208"/>
    </row>
    <row r="422">
      <c r="A422" s="207">
        <f t="shared" si="2"/>
        <v>421</v>
      </c>
      <c r="B422" s="207" t="s">
        <v>2248</v>
      </c>
      <c r="C422" s="207" t="s">
        <v>2249</v>
      </c>
      <c r="D422" s="207" t="s">
        <v>2250</v>
      </c>
      <c r="E422" s="207" t="s">
        <v>2251</v>
      </c>
      <c r="F422" s="207" t="s">
        <v>2252</v>
      </c>
      <c r="G422" s="208"/>
    </row>
    <row r="423">
      <c r="A423" s="207">
        <f t="shared" si="2"/>
        <v>422</v>
      </c>
      <c r="B423" s="207" t="s">
        <v>2253</v>
      </c>
      <c r="C423" s="207" t="s">
        <v>2254</v>
      </c>
      <c r="D423" s="207" t="s">
        <v>2255</v>
      </c>
      <c r="E423" s="207" t="s">
        <v>2256</v>
      </c>
      <c r="F423" s="207" t="s">
        <v>2257</v>
      </c>
      <c r="G423" s="208"/>
    </row>
    <row r="424">
      <c r="A424" s="207">
        <f t="shared" si="2"/>
        <v>423</v>
      </c>
      <c r="B424" s="207" t="s">
        <v>2258</v>
      </c>
      <c r="C424" s="207" t="s">
        <v>2259</v>
      </c>
      <c r="D424" s="207" t="s">
        <v>2260</v>
      </c>
      <c r="E424" s="207" t="s">
        <v>2261</v>
      </c>
      <c r="F424" s="207" t="s">
        <v>2262</v>
      </c>
      <c r="G424" s="208"/>
    </row>
    <row r="425">
      <c r="A425" s="207">
        <f t="shared" si="2"/>
        <v>424</v>
      </c>
      <c r="B425" s="207" t="s">
        <v>2263</v>
      </c>
      <c r="C425" s="207" t="s">
        <v>2264</v>
      </c>
      <c r="D425" s="207" t="s">
        <v>2265</v>
      </c>
      <c r="E425" s="207" t="s">
        <v>2266</v>
      </c>
      <c r="F425" s="207" t="s">
        <v>2267</v>
      </c>
      <c r="G425" s="208"/>
    </row>
    <row r="426">
      <c r="A426" s="207">
        <f t="shared" si="2"/>
        <v>425</v>
      </c>
      <c r="B426" s="207" t="s">
        <v>2268</v>
      </c>
      <c r="C426" s="207" t="s">
        <v>2269</v>
      </c>
      <c r="D426" s="207" t="s">
        <v>2270</v>
      </c>
      <c r="E426" s="207" t="s">
        <v>2271</v>
      </c>
      <c r="F426" s="207" t="s">
        <v>2272</v>
      </c>
      <c r="G426" s="208"/>
    </row>
    <row r="427">
      <c r="A427" s="207">
        <f t="shared" si="2"/>
        <v>426</v>
      </c>
      <c r="B427" s="207" t="s">
        <v>2273</v>
      </c>
      <c r="C427" s="207" t="s">
        <v>2274</v>
      </c>
      <c r="D427" s="207" t="s">
        <v>2275</v>
      </c>
      <c r="E427" s="207" t="s">
        <v>2276</v>
      </c>
      <c r="F427" s="207" t="s">
        <v>2277</v>
      </c>
      <c r="G427" s="208"/>
    </row>
    <row r="428">
      <c r="A428" s="207">
        <f t="shared" si="2"/>
        <v>427</v>
      </c>
      <c r="B428" s="207" t="s">
        <v>2278</v>
      </c>
      <c r="C428" s="207" t="s">
        <v>2279</v>
      </c>
      <c r="D428" s="207" t="s">
        <v>2280</v>
      </c>
      <c r="E428" s="207" t="s">
        <v>2281</v>
      </c>
      <c r="F428" s="207" t="s">
        <v>2282</v>
      </c>
      <c r="G428" s="208"/>
    </row>
    <row r="429">
      <c r="A429" s="207">
        <f t="shared" si="2"/>
        <v>428</v>
      </c>
      <c r="B429" s="207" t="s">
        <v>2283</v>
      </c>
      <c r="C429" s="207" t="s">
        <v>2284</v>
      </c>
      <c r="D429" s="207" t="s">
        <v>2285</v>
      </c>
      <c r="E429" s="207" t="s">
        <v>2286</v>
      </c>
      <c r="F429" s="207" t="s">
        <v>2287</v>
      </c>
      <c r="G429" s="208"/>
    </row>
    <row r="430">
      <c r="A430" s="207">
        <f t="shared" si="2"/>
        <v>429</v>
      </c>
      <c r="B430" s="207" t="s">
        <v>2288</v>
      </c>
      <c r="C430" s="207" t="s">
        <v>2289</v>
      </c>
      <c r="D430" s="207" t="s">
        <v>2290</v>
      </c>
      <c r="E430" s="207" t="s">
        <v>2291</v>
      </c>
      <c r="F430" s="207" t="s">
        <v>2292</v>
      </c>
      <c r="G430" s="208"/>
    </row>
    <row r="431">
      <c r="A431" s="207">
        <f t="shared" si="2"/>
        <v>430</v>
      </c>
      <c r="B431" s="207" t="s">
        <v>2293</v>
      </c>
      <c r="C431" s="207" t="s">
        <v>2294</v>
      </c>
      <c r="D431" s="207" t="s">
        <v>2148</v>
      </c>
      <c r="E431" s="207" t="s">
        <v>2295</v>
      </c>
      <c r="F431" s="207" t="s">
        <v>2296</v>
      </c>
      <c r="G431" s="208"/>
    </row>
    <row r="432">
      <c r="A432" s="207">
        <f t="shared" si="2"/>
        <v>431</v>
      </c>
      <c r="B432" s="207" t="s">
        <v>2297</v>
      </c>
      <c r="C432" s="207" t="s">
        <v>2298</v>
      </c>
      <c r="D432" s="207" t="s">
        <v>2299</v>
      </c>
      <c r="E432" s="207" t="s">
        <v>2300</v>
      </c>
      <c r="F432" s="207" t="s">
        <v>2301</v>
      </c>
      <c r="G432" s="208"/>
    </row>
    <row r="433">
      <c r="A433" s="207">
        <f t="shared" si="2"/>
        <v>432</v>
      </c>
      <c r="B433" s="207" t="s">
        <v>2302</v>
      </c>
      <c r="C433" s="207" t="s">
        <v>2303</v>
      </c>
      <c r="D433" s="207" t="s">
        <v>2304</v>
      </c>
      <c r="E433" s="207" t="s">
        <v>2305</v>
      </c>
      <c r="F433" s="207" t="s">
        <v>2306</v>
      </c>
      <c r="G433" s="208"/>
    </row>
    <row r="434">
      <c r="A434" s="207">
        <f t="shared" si="2"/>
        <v>433</v>
      </c>
      <c r="B434" s="207" t="s">
        <v>2307</v>
      </c>
      <c r="C434" s="207" t="s">
        <v>2308</v>
      </c>
      <c r="D434" s="207" t="s">
        <v>2309</v>
      </c>
      <c r="E434" s="207" t="s">
        <v>2310</v>
      </c>
      <c r="F434" s="207" t="s">
        <v>2307</v>
      </c>
      <c r="G434" s="207" t="s">
        <v>562</v>
      </c>
    </row>
    <row r="435">
      <c r="A435" s="207">
        <f t="shared" si="2"/>
        <v>434</v>
      </c>
      <c r="B435" s="207" t="s">
        <v>2311</v>
      </c>
      <c r="C435" s="207" t="s">
        <v>2312</v>
      </c>
      <c r="D435" s="207" t="s">
        <v>2313</v>
      </c>
      <c r="E435" s="207" t="s">
        <v>2314</v>
      </c>
      <c r="F435" s="207" t="s">
        <v>2315</v>
      </c>
      <c r="G435" s="208"/>
    </row>
    <row r="436">
      <c r="A436" s="207">
        <f t="shared" si="2"/>
        <v>435</v>
      </c>
      <c r="B436" s="207" t="s">
        <v>2316</v>
      </c>
      <c r="C436" s="207" t="s">
        <v>1669</v>
      </c>
      <c r="D436" s="207" t="s">
        <v>2317</v>
      </c>
      <c r="E436" s="207" t="s">
        <v>2318</v>
      </c>
      <c r="F436" s="207" t="s">
        <v>2319</v>
      </c>
      <c r="G436" s="208"/>
    </row>
    <row r="437">
      <c r="A437" s="207">
        <f t="shared" si="2"/>
        <v>436</v>
      </c>
      <c r="B437" s="207" t="s">
        <v>2320</v>
      </c>
      <c r="C437" s="207" t="s">
        <v>2321</v>
      </c>
      <c r="D437" s="207" t="s">
        <v>451</v>
      </c>
      <c r="E437" s="207" t="s">
        <v>2322</v>
      </c>
      <c r="F437" s="207" t="s">
        <v>2323</v>
      </c>
      <c r="G437" s="208"/>
    </row>
    <row r="438">
      <c r="A438" s="207">
        <f t="shared" si="2"/>
        <v>437</v>
      </c>
      <c r="B438" s="207" t="s">
        <v>2324</v>
      </c>
      <c r="C438" s="207" t="s">
        <v>2325</v>
      </c>
      <c r="D438" s="207" t="s">
        <v>2326</v>
      </c>
      <c r="E438" s="207" t="s">
        <v>2327</v>
      </c>
      <c r="F438" s="207" t="s">
        <v>2328</v>
      </c>
      <c r="G438" s="208"/>
    </row>
    <row r="439">
      <c r="A439" s="207">
        <f t="shared" si="2"/>
        <v>438</v>
      </c>
      <c r="B439" s="207" t="s">
        <v>2329</v>
      </c>
      <c r="C439" s="207" t="s">
        <v>2330</v>
      </c>
      <c r="D439" s="207" t="s">
        <v>2331</v>
      </c>
      <c r="E439" s="207" t="s">
        <v>2332</v>
      </c>
      <c r="F439" s="207" t="s">
        <v>2333</v>
      </c>
      <c r="G439" s="208"/>
    </row>
    <row r="440">
      <c r="A440" s="207">
        <f t="shared" si="2"/>
        <v>439</v>
      </c>
      <c r="B440" s="207" t="s">
        <v>2334</v>
      </c>
      <c r="C440" s="207" t="s">
        <v>2335</v>
      </c>
      <c r="D440" s="207" t="s">
        <v>2336</v>
      </c>
      <c r="E440" s="207" t="s">
        <v>2337</v>
      </c>
      <c r="F440" s="207" t="s">
        <v>2338</v>
      </c>
      <c r="G440" s="208"/>
    </row>
    <row r="441">
      <c r="A441" s="207">
        <f t="shared" si="2"/>
        <v>440</v>
      </c>
      <c r="B441" s="207" t="s">
        <v>2339</v>
      </c>
      <c r="C441" s="207" t="s">
        <v>2340</v>
      </c>
      <c r="D441" s="207" t="s">
        <v>2341</v>
      </c>
      <c r="E441" s="207" t="s">
        <v>2342</v>
      </c>
      <c r="F441" s="207" t="s">
        <v>2343</v>
      </c>
      <c r="G441" s="208"/>
    </row>
    <row r="442">
      <c r="A442" s="207">
        <f t="shared" si="2"/>
        <v>441</v>
      </c>
      <c r="B442" s="207" t="s">
        <v>2344</v>
      </c>
      <c r="C442" s="207" t="s">
        <v>2345</v>
      </c>
      <c r="D442" s="207" t="s">
        <v>2346</v>
      </c>
      <c r="E442" s="207" t="s">
        <v>2347</v>
      </c>
      <c r="F442" s="207" t="s">
        <v>2348</v>
      </c>
      <c r="G442" s="208"/>
    </row>
    <row r="443">
      <c r="A443" s="207">
        <f t="shared" si="2"/>
        <v>442</v>
      </c>
      <c r="B443" s="207" t="s">
        <v>2349</v>
      </c>
      <c r="C443" s="207" t="s">
        <v>2350</v>
      </c>
      <c r="D443" s="207" t="s">
        <v>2351</v>
      </c>
      <c r="E443" s="207" t="s">
        <v>2352</v>
      </c>
      <c r="F443" s="207" t="s">
        <v>2353</v>
      </c>
      <c r="G443" s="208"/>
    </row>
    <row r="444">
      <c r="A444" s="207">
        <f t="shared" si="2"/>
        <v>443</v>
      </c>
      <c r="B444" s="207" t="s">
        <v>2354</v>
      </c>
      <c r="C444" s="207" t="s">
        <v>2239</v>
      </c>
      <c r="D444" s="207" t="s">
        <v>2355</v>
      </c>
      <c r="E444" s="207" t="s">
        <v>2356</v>
      </c>
      <c r="F444" s="207" t="s">
        <v>2357</v>
      </c>
      <c r="G444" s="208"/>
    </row>
    <row r="445">
      <c r="A445" s="207">
        <f t="shared" si="2"/>
        <v>444</v>
      </c>
      <c r="B445" s="207" t="s">
        <v>2358</v>
      </c>
      <c r="C445" s="207" t="s">
        <v>2359</v>
      </c>
      <c r="D445" s="207" t="s">
        <v>2360</v>
      </c>
      <c r="E445" s="207" t="s">
        <v>2361</v>
      </c>
      <c r="F445" s="207" t="s">
        <v>2362</v>
      </c>
      <c r="G445" s="208"/>
    </row>
    <row r="446">
      <c r="A446" s="207">
        <f t="shared" si="2"/>
        <v>445</v>
      </c>
      <c r="B446" s="207" t="s">
        <v>2363</v>
      </c>
      <c r="C446" s="207" t="s">
        <v>2364</v>
      </c>
      <c r="D446" s="207" t="s">
        <v>426</v>
      </c>
      <c r="E446" s="207" t="s">
        <v>2365</v>
      </c>
      <c r="F446" s="207" t="s">
        <v>2366</v>
      </c>
      <c r="G446" s="208"/>
    </row>
    <row r="447">
      <c r="A447" s="207">
        <f t="shared" si="2"/>
        <v>446</v>
      </c>
      <c r="B447" s="207" t="s">
        <v>2367</v>
      </c>
      <c r="C447" s="207" t="s">
        <v>2368</v>
      </c>
      <c r="D447" s="207" t="s">
        <v>2369</v>
      </c>
      <c r="E447" s="207" t="s">
        <v>2370</v>
      </c>
      <c r="F447" s="207" t="s">
        <v>2371</v>
      </c>
      <c r="G447" s="208"/>
    </row>
    <row r="448">
      <c r="A448" s="207">
        <f t="shared" si="2"/>
        <v>447</v>
      </c>
      <c r="B448" s="207" t="s">
        <v>2372</v>
      </c>
      <c r="C448" s="207" t="s">
        <v>2373</v>
      </c>
      <c r="D448" s="207" t="s">
        <v>2374</v>
      </c>
      <c r="E448" s="207" t="s">
        <v>2375</v>
      </c>
      <c r="F448" s="207" t="s">
        <v>2376</v>
      </c>
      <c r="G448" s="208"/>
    </row>
    <row r="449">
      <c r="A449" s="207">
        <f t="shared" si="2"/>
        <v>448</v>
      </c>
      <c r="B449" s="207" t="s">
        <v>2377</v>
      </c>
      <c r="C449" s="207" t="s">
        <v>2378</v>
      </c>
      <c r="D449" s="207" t="s">
        <v>1813</v>
      </c>
      <c r="E449" s="207" t="s">
        <v>2379</v>
      </c>
      <c r="F449" s="207" t="s">
        <v>2380</v>
      </c>
      <c r="G449" s="208"/>
    </row>
    <row r="450">
      <c r="A450" s="207">
        <f t="shared" si="2"/>
        <v>449</v>
      </c>
      <c r="B450" s="207" t="s">
        <v>2381</v>
      </c>
      <c r="C450" s="207" t="s">
        <v>2382</v>
      </c>
      <c r="D450" s="207" t="s">
        <v>2383</v>
      </c>
      <c r="E450" s="207" t="s">
        <v>2384</v>
      </c>
      <c r="F450" s="207" t="s">
        <v>2385</v>
      </c>
      <c r="G450" s="208"/>
    </row>
    <row r="451">
      <c r="A451" s="207">
        <f t="shared" si="2"/>
        <v>450</v>
      </c>
      <c r="B451" s="207" t="s">
        <v>2386</v>
      </c>
      <c r="C451" s="207" t="s">
        <v>2387</v>
      </c>
      <c r="D451" s="207" t="s">
        <v>2388</v>
      </c>
      <c r="E451" s="207" t="s">
        <v>2389</v>
      </c>
      <c r="F451" s="207" t="s">
        <v>2390</v>
      </c>
      <c r="G451" s="208"/>
    </row>
    <row r="452" hidden="1">
      <c r="A452" s="207">
        <f t="shared" si="2"/>
        <v>451</v>
      </c>
      <c r="B452" s="211" t="s">
        <v>1444</v>
      </c>
      <c r="C452" s="207" t="s">
        <v>2391</v>
      </c>
      <c r="D452" s="207" t="s">
        <v>2392</v>
      </c>
      <c r="E452" s="207" t="s">
        <v>2393</v>
      </c>
      <c r="F452" s="207" t="s">
        <v>2394</v>
      </c>
      <c r="G452" s="207" t="s">
        <v>562</v>
      </c>
    </row>
    <row r="453">
      <c r="A453" s="207">
        <f t="shared" si="2"/>
        <v>452</v>
      </c>
      <c r="B453" s="207" t="s">
        <v>2395</v>
      </c>
      <c r="C453" s="207" t="s">
        <v>2396</v>
      </c>
      <c r="D453" s="207" t="s">
        <v>2397</v>
      </c>
      <c r="E453" s="207" t="s">
        <v>2398</v>
      </c>
      <c r="F453" s="207" t="s">
        <v>2399</v>
      </c>
      <c r="G453" s="208"/>
    </row>
    <row r="454">
      <c r="A454" s="207">
        <f t="shared" si="2"/>
        <v>453</v>
      </c>
      <c r="B454" s="207" t="s">
        <v>2400</v>
      </c>
      <c r="C454" s="207" t="s">
        <v>2401</v>
      </c>
      <c r="D454" s="207" t="s">
        <v>2402</v>
      </c>
      <c r="E454" s="207" t="s">
        <v>2403</v>
      </c>
      <c r="F454" s="207" t="s">
        <v>2404</v>
      </c>
      <c r="G454" s="208"/>
    </row>
    <row r="455">
      <c r="A455" s="207">
        <f t="shared" si="2"/>
        <v>454</v>
      </c>
      <c r="B455" s="207" t="s">
        <v>2405</v>
      </c>
      <c r="C455" s="207" t="s">
        <v>2406</v>
      </c>
      <c r="D455" s="207" t="s">
        <v>2407</v>
      </c>
      <c r="E455" s="207" t="s">
        <v>2408</v>
      </c>
      <c r="F455" s="207" t="s">
        <v>2409</v>
      </c>
      <c r="G455" s="208"/>
    </row>
    <row r="456">
      <c r="A456" s="207">
        <f t="shared" si="2"/>
        <v>455</v>
      </c>
      <c r="B456" s="207" t="s">
        <v>2410</v>
      </c>
      <c r="C456" s="207" t="s">
        <v>2411</v>
      </c>
      <c r="D456" s="207" t="s">
        <v>2412</v>
      </c>
      <c r="E456" s="207" t="s">
        <v>2413</v>
      </c>
      <c r="F456" s="207" t="s">
        <v>2414</v>
      </c>
      <c r="G456" s="208"/>
    </row>
    <row r="457">
      <c r="A457" s="207">
        <f t="shared" si="2"/>
        <v>456</v>
      </c>
      <c r="B457" s="207" t="s">
        <v>2415</v>
      </c>
      <c r="C457" s="207" t="s">
        <v>2416</v>
      </c>
      <c r="D457" s="207" t="s">
        <v>2417</v>
      </c>
      <c r="E457" s="207" t="s">
        <v>2418</v>
      </c>
      <c r="F457" s="207" t="s">
        <v>2419</v>
      </c>
      <c r="G457" s="208"/>
    </row>
    <row r="458">
      <c r="A458" s="207">
        <f t="shared" si="2"/>
        <v>457</v>
      </c>
      <c r="B458" s="207" t="s">
        <v>2420</v>
      </c>
      <c r="C458" s="207" t="s">
        <v>2421</v>
      </c>
      <c r="D458" s="207" t="s">
        <v>2422</v>
      </c>
      <c r="E458" s="207" t="s">
        <v>2423</v>
      </c>
      <c r="F458" s="207" t="s">
        <v>2424</v>
      </c>
      <c r="G458" s="208"/>
    </row>
    <row r="459">
      <c r="A459" s="207">
        <f t="shared" si="2"/>
        <v>458</v>
      </c>
      <c r="B459" s="207" t="s">
        <v>2425</v>
      </c>
      <c r="C459" s="207" t="s">
        <v>2426</v>
      </c>
      <c r="D459" s="207" t="s">
        <v>2427</v>
      </c>
      <c r="E459" s="207" t="s">
        <v>2428</v>
      </c>
      <c r="F459" s="207" t="s">
        <v>2429</v>
      </c>
      <c r="G459" s="208"/>
    </row>
    <row r="460">
      <c r="A460" s="207">
        <f t="shared" si="2"/>
        <v>459</v>
      </c>
      <c r="B460" s="207" t="s">
        <v>2430</v>
      </c>
      <c r="C460" s="207" t="s">
        <v>2431</v>
      </c>
      <c r="D460" s="207" t="s">
        <v>2432</v>
      </c>
      <c r="E460" s="207" t="s">
        <v>2433</v>
      </c>
      <c r="F460" s="207" t="s">
        <v>2434</v>
      </c>
      <c r="G460" s="208"/>
    </row>
    <row r="461">
      <c r="A461" s="207">
        <f t="shared" si="2"/>
        <v>460</v>
      </c>
      <c r="B461" s="207" t="s">
        <v>2435</v>
      </c>
      <c r="C461" s="207" t="s">
        <v>2436</v>
      </c>
      <c r="D461" s="207" t="s">
        <v>815</v>
      </c>
      <c r="E461" s="207" t="s">
        <v>2437</v>
      </c>
      <c r="F461" s="207" t="s">
        <v>2438</v>
      </c>
      <c r="G461" s="208"/>
    </row>
    <row r="462">
      <c r="A462" s="207">
        <f t="shared" si="2"/>
        <v>461</v>
      </c>
      <c r="B462" s="207" t="s">
        <v>2439</v>
      </c>
      <c r="C462" s="207" t="s">
        <v>2440</v>
      </c>
      <c r="D462" s="207" t="s">
        <v>2441</v>
      </c>
      <c r="E462" s="207" t="s">
        <v>2442</v>
      </c>
      <c r="F462" s="207" t="s">
        <v>2443</v>
      </c>
      <c r="G462" s="208"/>
    </row>
    <row r="463">
      <c r="A463" s="207">
        <f t="shared" si="2"/>
        <v>462</v>
      </c>
      <c r="B463" s="207" t="s">
        <v>2444</v>
      </c>
      <c r="C463" s="207" t="s">
        <v>2445</v>
      </c>
      <c r="D463" s="207" t="s">
        <v>2446</v>
      </c>
      <c r="E463" s="207" t="s">
        <v>2447</v>
      </c>
      <c r="F463" s="207" t="s">
        <v>2444</v>
      </c>
      <c r="G463" s="207" t="s">
        <v>562</v>
      </c>
    </row>
    <row r="464">
      <c r="A464" s="207">
        <f t="shared" si="2"/>
        <v>463</v>
      </c>
      <c r="B464" s="207" t="s">
        <v>2448</v>
      </c>
      <c r="C464" s="207" t="s">
        <v>2449</v>
      </c>
      <c r="D464" s="207" t="s">
        <v>2450</v>
      </c>
      <c r="E464" s="207" t="s">
        <v>2451</v>
      </c>
      <c r="F464" s="207" t="s">
        <v>2452</v>
      </c>
      <c r="G464" s="208"/>
    </row>
    <row r="465">
      <c r="A465" s="207">
        <f t="shared" si="2"/>
        <v>464</v>
      </c>
      <c r="B465" s="207" t="s">
        <v>2453</v>
      </c>
      <c r="C465" s="207" t="s">
        <v>2454</v>
      </c>
      <c r="D465" s="207" t="s">
        <v>2455</v>
      </c>
      <c r="E465" s="207" t="s">
        <v>2456</v>
      </c>
      <c r="F465" s="207" t="s">
        <v>2457</v>
      </c>
      <c r="G465" s="208"/>
    </row>
    <row r="466">
      <c r="A466" s="207">
        <f t="shared" si="2"/>
        <v>465</v>
      </c>
      <c r="B466" s="207" t="s">
        <v>2458</v>
      </c>
      <c r="C466" s="207" t="s">
        <v>2459</v>
      </c>
      <c r="D466" s="207" t="s">
        <v>2460</v>
      </c>
      <c r="E466" s="207" t="s">
        <v>2461</v>
      </c>
      <c r="F466" s="207" t="s">
        <v>2462</v>
      </c>
      <c r="G466" s="208"/>
    </row>
    <row r="467">
      <c r="A467" s="207">
        <f t="shared" si="2"/>
        <v>466</v>
      </c>
      <c r="B467" s="207" t="s">
        <v>2463</v>
      </c>
      <c r="C467" s="207" t="s">
        <v>2464</v>
      </c>
      <c r="D467" s="207" t="s">
        <v>2465</v>
      </c>
      <c r="E467" s="207" t="s">
        <v>2466</v>
      </c>
      <c r="F467" s="207" t="s">
        <v>2467</v>
      </c>
      <c r="G467" s="208"/>
    </row>
    <row r="468">
      <c r="A468" s="207">
        <f t="shared" si="2"/>
        <v>467</v>
      </c>
      <c r="B468" s="207" t="s">
        <v>2468</v>
      </c>
      <c r="C468" s="207" t="s">
        <v>2469</v>
      </c>
      <c r="D468" s="207" t="s">
        <v>2470</v>
      </c>
      <c r="E468" s="207" t="s">
        <v>2471</v>
      </c>
      <c r="F468" s="207" t="s">
        <v>2472</v>
      </c>
      <c r="G468" s="208"/>
    </row>
    <row r="469">
      <c r="A469" s="207">
        <f t="shared" si="2"/>
        <v>468</v>
      </c>
      <c r="B469" s="207" t="s">
        <v>2473</v>
      </c>
      <c r="C469" s="207" t="s">
        <v>2474</v>
      </c>
      <c r="D469" s="207" t="s">
        <v>2475</v>
      </c>
      <c r="E469" s="207" t="s">
        <v>2476</v>
      </c>
      <c r="F469" s="207" t="s">
        <v>2477</v>
      </c>
      <c r="G469" s="208"/>
    </row>
    <row r="470">
      <c r="A470" s="207">
        <f t="shared" si="2"/>
        <v>469</v>
      </c>
      <c r="B470" s="207" t="s">
        <v>2478</v>
      </c>
      <c r="C470" s="207" t="s">
        <v>2479</v>
      </c>
      <c r="D470" s="207" t="s">
        <v>1813</v>
      </c>
      <c r="E470" s="207" t="s">
        <v>2480</v>
      </c>
      <c r="F470" s="207" t="s">
        <v>2481</v>
      </c>
      <c r="G470" s="208"/>
    </row>
    <row r="471">
      <c r="A471" s="207">
        <f t="shared" si="2"/>
        <v>470</v>
      </c>
      <c r="B471" s="207" t="s">
        <v>2482</v>
      </c>
      <c r="C471" s="207" t="s">
        <v>2483</v>
      </c>
      <c r="D471" s="207" t="s">
        <v>2484</v>
      </c>
      <c r="E471" s="207" t="s">
        <v>2485</v>
      </c>
      <c r="F471" s="207" t="s">
        <v>2486</v>
      </c>
      <c r="G471" s="207" t="s">
        <v>562</v>
      </c>
    </row>
    <row r="472">
      <c r="A472" s="207">
        <f t="shared" si="2"/>
        <v>471</v>
      </c>
      <c r="B472" s="207" t="s">
        <v>2487</v>
      </c>
      <c r="C472" s="207" t="s">
        <v>2488</v>
      </c>
      <c r="D472" s="207" t="s">
        <v>2489</v>
      </c>
      <c r="E472" s="207" t="s">
        <v>2490</v>
      </c>
      <c r="F472" s="207" t="s">
        <v>2491</v>
      </c>
      <c r="G472" s="208"/>
    </row>
    <row r="473">
      <c r="A473" s="207">
        <f t="shared" si="2"/>
        <v>472</v>
      </c>
      <c r="B473" s="207" t="s">
        <v>2492</v>
      </c>
      <c r="C473" s="207" t="s">
        <v>2493</v>
      </c>
      <c r="D473" s="207" t="s">
        <v>2494</v>
      </c>
      <c r="E473" s="207" t="s">
        <v>2495</v>
      </c>
      <c r="F473" s="207" t="s">
        <v>2496</v>
      </c>
      <c r="G473" s="208"/>
    </row>
    <row r="474">
      <c r="A474" s="207">
        <f t="shared" si="2"/>
        <v>473</v>
      </c>
      <c r="B474" s="207" t="s">
        <v>2497</v>
      </c>
      <c r="C474" s="207" t="s">
        <v>2498</v>
      </c>
      <c r="D474" s="207" t="s">
        <v>1178</v>
      </c>
      <c r="E474" s="207" t="s">
        <v>2499</v>
      </c>
      <c r="F474" s="207" t="s">
        <v>2500</v>
      </c>
      <c r="G474" s="208"/>
    </row>
    <row r="475">
      <c r="A475" s="207">
        <f t="shared" si="2"/>
        <v>474</v>
      </c>
      <c r="B475" s="207" t="s">
        <v>2501</v>
      </c>
      <c r="C475" s="207" t="s">
        <v>2502</v>
      </c>
      <c r="D475" s="207" t="s">
        <v>2503</v>
      </c>
      <c r="E475" s="207" t="s">
        <v>2504</v>
      </c>
      <c r="F475" s="207" t="s">
        <v>2505</v>
      </c>
      <c r="G475" s="208"/>
    </row>
    <row r="476">
      <c r="A476" s="207">
        <f t="shared" si="2"/>
        <v>475</v>
      </c>
      <c r="B476" s="207" t="s">
        <v>2506</v>
      </c>
      <c r="C476" s="207" t="s">
        <v>2507</v>
      </c>
      <c r="D476" s="207" t="s">
        <v>2508</v>
      </c>
      <c r="E476" s="207" t="s">
        <v>2509</v>
      </c>
      <c r="F476" s="207" t="s">
        <v>2510</v>
      </c>
      <c r="G476" s="208"/>
    </row>
    <row r="477">
      <c r="A477" s="207">
        <f t="shared" si="2"/>
        <v>476</v>
      </c>
      <c r="B477" s="207">
        <v>564.0</v>
      </c>
      <c r="C477" s="207" t="s">
        <v>2511</v>
      </c>
      <c r="D477" s="207" t="s">
        <v>2512</v>
      </c>
      <c r="E477" s="207" t="s">
        <v>2513</v>
      </c>
      <c r="F477" s="207">
        <v>515.0</v>
      </c>
      <c r="G477" s="208"/>
    </row>
    <row r="478">
      <c r="A478" s="207">
        <f t="shared" si="2"/>
        <v>477</v>
      </c>
      <c r="B478" s="207">
        <v>503.0</v>
      </c>
      <c r="C478" s="207" t="s">
        <v>2514</v>
      </c>
      <c r="D478" s="207" t="s">
        <v>2515</v>
      </c>
      <c r="E478" s="207" t="s">
        <v>2516</v>
      </c>
      <c r="F478" s="207">
        <v>503.0</v>
      </c>
      <c r="G478" s="207" t="s">
        <v>562</v>
      </c>
    </row>
    <row r="479">
      <c r="A479" s="207">
        <f t="shared" si="2"/>
        <v>478</v>
      </c>
      <c r="B479" s="207">
        <v>482.0</v>
      </c>
      <c r="C479" s="207" t="s">
        <v>2517</v>
      </c>
      <c r="D479" s="207" t="s">
        <v>2518</v>
      </c>
      <c r="E479" s="207" t="s">
        <v>2519</v>
      </c>
      <c r="F479" s="207" t="s">
        <v>2520</v>
      </c>
      <c r="G479" s="208"/>
    </row>
    <row r="480">
      <c r="A480" s="207">
        <f t="shared" si="2"/>
        <v>479</v>
      </c>
      <c r="B480" s="207" t="s">
        <v>2521</v>
      </c>
      <c r="C480" s="207" t="s">
        <v>451</v>
      </c>
      <c r="D480" s="207" t="s">
        <v>2522</v>
      </c>
      <c r="E480" s="207" t="s">
        <v>2523</v>
      </c>
      <c r="F480" s="207" t="s">
        <v>2524</v>
      </c>
      <c r="G480" s="208"/>
    </row>
    <row r="481">
      <c r="A481" s="207">
        <f t="shared" si="2"/>
        <v>480</v>
      </c>
      <c r="B481" s="207" t="s">
        <v>2525</v>
      </c>
      <c r="C481" s="207" t="s">
        <v>2526</v>
      </c>
      <c r="D481" s="207" t="s">
        <v>2527</v>
      </c>
      <c r="E481" s="207" t="s">
        <v>2528</v>
      </c>
      <c r="F481" s="207" t="s">
        <v>2529</v>
      </c>
      <c r="G481" s="208"/>
    </row>
    <row r="482">
      <c r="A482" s="207">
        <f t="shared" si="2"/>
        <v>481</v>
      </c>
      <c r="B482" s="207" t="s">
        <v>2530</v>
      </c>
      <c r="C482" s="207" t="s">
        <v>2531</v>
      </c>
      <c r="D482" s="207" t="s">
        <v>2532</v>
      </c>
      <c r="E482" s="207" t="s">
        <v>2533</v>
      </c>
      <c r="F482" s="207" t="s">
        <v>2534</v>
      </c>
      <c r="G482" s="208"/>
    </row>
    <row r="483">
      <c r="A483" s="207">
        <f t="shared" si="2"/>
        <v>482</v>
      </c>
      <c r="B483" s="207" t="s">
        <v>2535</v>
      </c>
      <c r="C483" s="207" t="s">
        <v>2536</v>
      </c>
      <c r="D483" s="207" t="s">
        <v>2537</v>
      </c>
      <c r="E483" s="207" t="s">
        <v>2538</v>
      </c>
      <c r="F483" s="207" t="s">
        <v>2539</v>
      </c>
      <c r="G483" s="208"/>
    </row>
    <row r="484">
      <c r="A484" s="207">
        <f t="shared" si="2"/>
        <v>483</v>
      </c>
      <c r="B484" s="207" t="s">
        <v>2540</v>
      </c>
      <c r="C484" s="207" t="s">
        <v>2541</v>
      </c>
      <c r="D484" s="207" t="s">
        <v>451</v>
      </c>
      <c r="E484" s="207" t="s">
        <v>2542</v>
      </c>
      <c r="F484" s="207" t="s">
        <v>2543</v>
      </c>
      <c r="G484" s="208"/>
    </row>
    <row r="485">
      <c r="A485" s="207">
        <f t="shared" si="2"/>
        <v>484</v>
      </c>
      <c r="B485" s="207" t="s">
        <v>2544</v>
      </c>
      <c r="C485" s="207" t="s">
        <v>2545</v>
      </c>
      <c r="D485" s="207" t="s">
        <v>2546</v>
      </c>
      <c r="E485" s="212" t="s">
        <v>2547</v>
      </c>
      <c r="F485" s="207" t="s">
        <v>2548</v>
      </c>
      <c r="G485" s="212" t="s">
        <v>2021</v>
      </c>
    </row>
    <row r="486">
      <c r="A486" s="207">
        <f t="shared" si="2"/>
        <v>485</v>
      </c>
      <c r="B486" s="207" t="s">
        <v>2549</v>
      </c>
      <c r="C486" s="207" t="s">
        <v>2550</v>
      </c>
      <c r="D486" s="207" t="s">
        <v>2551</v>
      </c>
      <c r="E486" s="212" t="s">
        <v>2552</v>
      </c>
      <c r="F486" s="212" t="s">
        <v>2553</v>
      </c>
      <c r="G486" s="212" t="s">
        <v>2021</v>
      </c>
    </row>
    <row r="487">
      <c r="A487" s="207">
        <f t="shared" si="2"/>
        <v>486</v>
      </c>
      <c r="B487" s="207" t="s">
        <v>2554</v>
      </c>
      <c r="C487" s="207" t="s">
        <v>2555</v>
      </c>
      <c r="D487" s="207" t="s">
        <v>2556</v>
      </c>
      <c r="E487" s="212" t="s">
        <v>2557</v>
      </c>
      <c r="F487" s="207" t="s">
        <v>2558</v>
      </c>
      <c r="G487" s="212" t="s">
        <v>2021</v>
      </c>
    </row>
    <row r="488">
      <c r="A488" s="207">
        <f t="shared" si="2"/>
        <v>487</v>
      </c>
      <c r="B488" s="207" t="s">
        <v>2559</v>
      </c>
      <c r="C488" s="207" t="s">
        <v>2560</v>
      </c>
      <c r="D488" s="207" t="s">
        <v>451</v>
      </c>
      <c r="E488" s="207" t="s">
        <v>2561</v>
      </c>
      <c r="F488" s="207" t="s">
        <v>2562</v>
      </c>
      <c r="G488" s="208"/>
    </row>
    <row r="489">
      <c r="A489" s="207">
        <f t="shared" si="2"/>
        <v>488</v>
      </c>
      <c r="B489" s="207" t="s">
        <v>2563</v>
      </c>
      <c r="C489" s="207" t="s">
        <v>2564</v>
      </c>
      <c r="D489" s="207" t="s">
        <v>2565</v>
      </c>
      <c r="E489" s="212" t="s">
        <v>2566</v>
      </c>
      <c r="F489" s="207" t="s">
        <v>2567</v>
      </c>
      <c r="G489" s="212" t="s">
        <v>2021</v>
      </c>
    </row>
    <row r="490">
      <c r="A490" s="207">
        <f t="shared" si="2"/>
        <v>489</v>
      </c>
      <c r="B490" s="207" t="s">
        <v>2568</v>
      </c>
      <c r="C490" s="207" t="s">
        <v>2569</v>
      </c>
      <c r="D490" s="207" t="s">
        <v>2570</v>
      </c>
      <c r="E490" s="207" t="s">
        <v>2571</v>
      </c>
      <c r="F490" s="207" t="s">
        <v>2568</v>
      </c>
      <c r="G490" s="207" t="s">
        <v>562</v>
      </c>
    </row>
    <row r="491">
      <c r="A491" s="207">
        <f t="shared" si="2"/>
        <v>490</v>
      </c>
      <c r="B491" s="207" t="s">
        <v>2572</v>
      </c>
      <c r="C491" s="207" t="s">
        <v>2573</v>
      </c>
      <c r="D491" s="207" t="s">
        <v>2574</v>
      </c>
      <c r="E491" s="207" t="s">
        <v>2575</v>
      </c>
      <c r="F491" s="207" t="s">
        <v>2576</v>
      </c>
      <c r="G491" s="208"/>
    </row>
    <row r="492">
      <c r="A492" s="207">
        <f t="shared" si="2"/>
        <v>491</v>
      </c>
      <c r="B492" s="207">
        <v>393.0</v>
      </c>
      <c r="C492" s="207" t="s">
        <v>2577</v>
      </c>
      <c r="D492" s="207">
        <v>341.0</v>
      </c>
      <c r="E492" s="207" t="s">
        <v>2578</v>
      </c>
      <c r="F492" s="207">
        <v>393.0</v>
      </c>
      <c r="G492" s="207" t="s">
        <v>562</v>
      </c>
    </row>
    <row r="493">
      <c r="A493" s="207">
        <f t="shared" si="2"/>
        <v>492</v>
      </c>
      <c r="B493" s="207" t="s">
        <v>2579</v>
      </c>
      <c r="C493" s="207" t="s">
        <v>2580</v>
      </c>
      <c r="D493" s="207" t="s">
        <v>2581</v>
      </c>
      <c r="E493" s="207" t="s">
        <v>2582</v>
      </c>
      <c r="F493" s="207" t="s">
        <v>2583</v>
      </c>
      <c r="G493" s="208"/>
    </row>
    <row r="494">
      <c r="A494" s="207">
        <f t="shared" si="2"/>
        <v>493</v>
      </c>
      <c r="B494" s="207" t="s">
        <v>2584</v>
      </c>
      <c r="C494" s="207" t="s">
        <v>2585</v>
      </c>
      <c r="D494" s="207" t="s">
        <v>2586</v>
      </c>
      <c r="E494" s="207" t="s">
        <v>2587</v>
      </c>
      <c r="F494" s="207" t="s">
        <v>2588</v>
      </c>
      <c r="G494" s="208"/>
    </row>
    <row r="495">
      <c r="A495" s="207">
        <f t="shared" si="2"/>
        <v>494</v>
      </c>
      <c r="B495" s="207" t="s">
        <v>2589</v>
      </c>
      <c r="C495" s="207" t="s">
        <v>2590</v>
      </c>
      <c r="D495" s="207" t="s">
        <v>2591</v>
      </c>
      <c r="E495" s="207" t="s">
        <v>2592</v>
      </c>
      <c r="F495" s="207" t="s">
        <v>2593</v>
      </c>
      <c r="G495" s="208"/>
    </row>
    <row r="496">
      <c r="A496" s="207">
        <f t="shared" si="2"/>
        <v>495</v>
      </c>
      <c r="B496" s="207" t="s">
        <v>2594</v>
      </c>
      <c r="C496" s="207" t="s">
        <v>2595</v>
      </c>
      <c r="D496" s="207" t="s">
        <v>2596</v>
      </c>
      <c r="E496" s="207" t="s">
        <v>2597</v>
      </c>
      <c r="F496" s="207" t="s">
        <v>2598</v>
      </c>
      <c r="G496" s="208"/>
    </row>
    <row r="497">
      <c r="A497" s="207">
        <f t="shared" si="2"/>
        <v>496</v>
      </c>
      <c r="B497" s="207" t="s">
        <v>2599</v>
      </c>
      <c r="C497" s="207" t="s">
        <v>2600</v>
      </c>
      <c r="D497" s="207" t="s">
        <v>2601</v>
      </c>
      <c r="E497" s="207" t="s">
        <v>2602</v>
      </c>
      <c r="F497" s="207" t="s">
        <v>2603</v>
      </c>
      <c r="G497" s="208"/>
    </row>
    <row r="498">
      <c r="A498" s="207">
        <f t="shared" si="2"/>
        <v>497</v>
      </c>
      <c r="B498" s="207">
        <v>47.0</v>
      </c>
      <c r="C498" s="207" t="s">
        <v>2604</v>
      </c>
      <c r="D498" s="207" t="s">
        <v>2605</v>
      </c>
      <c r="E498" s="207" t="s">
        <v>2606</v>
      </c>
      <c r="F498" s="207">
        <v>47.0</v>
      </c>
      <c r="G498" s="207" t="s">
        <v>562</v>
      </c>
    </row>
    <row r="499">
      <c r="A499" s="207">
        <f t="shared" si="2"/>
        <v>498</v>
      </c>
      <c r="B499" s="207">
        <v>289.0</v>
      </c>
      <c r="C499" s="207" t="s">
        <v>2607</v>
      </c>
      <c r="D499" s="207" t="s">
        <v>2608</v>
      </c>
      <c r="E499" s="207" t="s">
        <v>2609</v>
      </c>
      <c r="F499" s="207" t="s">
        <v>2610</v>
      </c>
      <c r="G499" s="208"/>
    </row>
    <row r="500">
      <c r="A500" s="207">
        <f t="shared" si="2"/>
        <v>499</v>
      </c>
      <c r="B500" s="207" t="s">
        <v>2611</v>
      </c>
      <c r="C500" s="207" t="s">
        <v>451</v>
      </c>
      <c r="D500" s="207" t="s">
        <v>2612</v>
      </c>
      <c r="E500" s="207" t="s">
        <v>2613</v>
      </c>
      <c r="F500" s="207" t="s">
        <v>2614</v>
      </c>
      <c r="G500" s="208"/>
    </row>
    <row r="501">
      <c r="A501" s="207">
        <f t="shared" si="2"/>
        <v>500</v>
      </c>
      <c r="B501" s="207">
        <v>396.0</v>
      </c>
      <c r="C501" s="207">
        <v>489.0</v>
      </c>
      <c r="D501" s="207" t="s">
        <v>2615</v>
      </c>
      <c r="E501" s="207" t="s">
        <v>2616</v>
      </c>
      <c r="F501" s="207" t="s">
        <v>2617</v>
      </c>
      <c r="G501" s="208"/>
    </row>
    <row r="502">
      <c r="A502" s="207">
        <f t="shared" si="2"/>
        <v>501</v>
      </c>
      <c r="B502" s="207" t="s">
        <v>2618</v>
      </c>
      <c r="C502" s="207" t="s">
        <v>451</v>
      </c>
      <c r="D502" s="207" t="s">
        <v>451</v>
      </c>
      <c r="E502" s="207" t="s">
        <v>2619</v>
      </c>
      <c r="F502" s="207" t="s">
        <v>2620</v>
      </c>
      <c r="G502" s="208"/>
    </row>
    <row r="503">
      <c r="A503" s="207">
        <f t="shared" si="2"/>
        <v>502</v>
      </c>
      <c r="B503" s="207" t="s">
        <v>2621</v>
      </c>
      <c r="C503" s="207" t="s">
        <v>2622</v>
      </c>
      <c r="D503" s="207" t="s">
        <v>776</v>
      </c>
      <c r="E503" s="207" t="s">
        <v>2623</v>
      </c>
      <c r="F503" s="207" t="s">
        <v>2624</v>
      </c>
      <c r="G503" s="208"/>
    </row>
    <row r="504">
      <c r="A504" s="207">
        <f t="shared" si="2"/>
        <v>503</v>
      </c>
      <c r="B504" s="207">
        <v>521.0</v>
      </c>
      <c r="C504" s="207" t="s">
        <v>2625</v>
      </c>
      <c r="D504" s="207" t="s">
        <v>2626</v>
      </c>
      <c r="E504" s="207" t="s">
        <v>2627</v>
      </c>
      <c r="F504" s="207" t="s">
        <v>2628</v>
      </c>
      <c r="G504" s="208"/>
    </row>
    <row r="505">
      <c r="A505" s="207">
        <f t="shared" si="2"/>
        <v>504</v>
      </c>
      <c r="B505" s="207" t="s">
        <v>2629</v>
      </c>
      <c r="C505" s="207" t="s">
        <v>2630</v>
      </c>
      <c r="D505" s="207" t="s">
        <v>2631</v>
      </c>
      <c r="E505" s="207" t="s">
        <v>2632</v>
      </c>
      <c r="F505" s="207" t="s">
        <v>2633</v>
      </c>
      <c r="G505" s="208"/>
    </row>
    <row r="506">
      <c r="A506" s="207">
        <f t="shared" si="2"/>
        <v>505</v>
      </c>
      <c r="B506" s="207">
        <v>593.0</v>
      </c>
      <c r="C506" s="207" t="s">
        <v>2634</v>
      </c>
      <c r="D506" s="207" t="s">
        <v>2635</v>
      </c>
      <c r="E506" s="207" t="s">
        <v>2636</v>
      </c>
      <c r="F506" s="207">
        <v>593.0</v>
      </c>
      <c r="G506" s="207" t="s">
        <v>562</v>
      </c>
    </row>
    <row r="507">
      <c r="A507" s="207">
        <f t="shared" si="2"/>
        <v>506</v>
      </c>
      <c r="B507" s="207" t="s">
        <v>2637</v>
      </c>
      <c r="C507" s="207" t="s">
        <v>2638</v>
      </c>
      <c r="D507" s="207" t="s">
        <v>2639</v>
      </c>
      <c r="E507" s="207" t="s">
        <v>2640</v>
      </c>
      <c r="F507" s="207" t="s">
        <v>2641</v>
      </c>
      <c r="G507" s="208"/>
    </row>
    <row r="508">
      <c r="A508" s="207">
        <f t="shared" si="2"/>
        <v>507</v>
      </c>
      <c r="B508" s="207" t="s">
        <v>2642</v>
      </c>
      <c r="C508" s="207" t="s">
        <v>2643</v>
      </c>
      <c r="D508" s="207" t="s">
        <v>2644</v>
      </c>
      <c r="E508" s="207" t="s">
        <v>2645</v>
      </c>
      <c r="F508" s="207" t="s">
        <v>2646</v>
      </c>
      <c r="G508" s="208"/>
    </row>
    <row r="509">
      <c r="A509" s="207">
        <f t="shared" si="2"/>
        <v>508</v>
      </c>
      <c r="B509" s="207" t="s">
        <v>2647</v>
      </c>
      <c r="C509" s="207" t="s">
        <v>2648</v>
      </c>
      <c r="D509" s="207" t="s">
        <v>2649</v>
      </c>
      <c r="E509" s="207" t="s">
        <v>2650</v>
      </c>
      <c r="F509" s="207" t="s">
        <v>2651</v>
      </c>
      <c r="G509" s="208"/>
    </row>
    <row r="510">
      <c r="A510" s="207">
        <f t="shared" si="2"/>
        <v>509</v>
      </c>
      <c r="B510" s="207" t="s">
        <v>2652</v>
      </c>
      <c r="C510" s="207" t="s">
        <v>2653</v>
      </c>
      <c r="D510" s="207" t="s">
        <v>451</v>
      </c>
      <c r="E510" s="207" t="s">
        <v>2654</v>
      </c>
      <c r="F510" s="207" t="s">
        <v>2655</v>
      </c>
      <c r="G510" s="207" t="s">
        <v>562</v>
      </c>
    </row>
    <row r="511">
      <c r="A511" s="207">
        <f t="shared" si="2"/>
        <v>510</v>
      </c>
      <c r="B511" s="207" t="s">
        <v>2656</v>
      </c>
      <c r="C511" s="207" t="s">
        <v>2657</v>
      </c>
      <c r="D511" s="207" t="s">
        <v>2658</v>
      </c>
      <c r="E511" s="207" t="s">
        <v>2659</v>
      </c>
      <c r="F511" s="207" t="s">
        <v>2660</v>
      </c>
      <c r="G511" s="208"/>
    </row>
    <row r="512">
      <c r="A512" s="207">
        <f t="shared" si="2"/>
        <v>511</v>
      </c>
      <c r="B512" s="207" t="s">
        <v>2661</v>
      </c>
      <c r="C512" s="207" t="s">
        <v>2662</v>
      </c>
      <c r="D512" s="207" t="s">
        <v>2663</v>
      </c>
      <c r="E512" s="207" t="s">
        <v>2664</v>
      </c>
      <c r="F512" s="207" t="s">
        <v>2665</v>
      </c>
      <c r="G512" s="208"/>
    </row>
    <row r="513">
      <c r="A513" s="207">
        <f t="shared" si="2"/>
        <v>512</v>
      </c>
      <c r="B513" s="207" t="s">
        <v>2666</v>
      </c>
      <c r="C513" s="207" t="s">
        <v>2667</v>
      </c>
      <c r="D513" s="207" t="s">
        <v>2668</v>
      </c>
      <c r="E513" s="207" t="s">
        <v>2669</v>
      </c>
      <c r="F513" s="207" t="s">
        <v>2670</v>
      </c>
      <c r="G513" s="208"/>
    </row>
    <row r="514">
      <c r="A514" s="207">
        <f t="shared" si="2"/>
        <v>513</v>
      </c>
      <c r="B514" s="207" t="s">
        <v>2671</v>
      </c>
      <c r="C514" s="207" t="s">
        <v>451</v>
      </c>
      <c r="D514" s="207" t="s">
        <v>2672</v>
      </c>
      <c r="E514" s="207" t="s">
        <v>2673</v>
      </c>
      <c r="F514" s="207" t="s">
        <v>2674</v>
      </c>
      <c r="G514" s="208"/>
    </row>
    <row r="515">
      <c r="A515" s="207">
        <f t="shared" si="2"/>
        <v>514</v>
      </c>
      <c r="B515" s="207" t="s">
        <v>2675</v>
      </c>
      <c r="C515" s="207" t="s">
        <v>2676</v>
      </c>
      <c r="D515" s="207" t="s">
        <v>2677</v>
      </c>
      <c r="E515" s="207" t="s">
        <v>2678</v>
      </c>
      <c r="F515" s="207" t="s">
        <v>2679</v>
      </c>
      <c r="G515" s="208"/>
    </row>
    <row r="516">
      <c r="A516" s="207">
        <f t="shared" si="2"/>
        <v>515</v>
      </c>
      <c r="B516" s="207" t="s">
        <v>2680</v>
      </c>
      <c r="C516" s="207" t="s">
        <v>2681</v>
      </c>
      <c r="D516" s="207" t="s">
        <v>2682</v>
      </c>
      <c r="E516" s="207" t="s">
        <v>2683</v>
      </c>
      <c r="F516" s="207" t="s">
        <v>2684</v>
      </c>
      <c r="G516" s="208"/>
    </row>
    <row r="517">
      <c r="A517" s="207">
        <f t="shared" si="2"/>
        <v>516</v>
      </c>
      <c r="B517" s="207" t="s">
        <v>2685</v>
      </c>
      <c r="C517" s="207" t="s">
        <v>2686</v>
      </c>
      <c r="D517" s="207" t="s">
        <v>2687</v>
      </c>
      <c r="E517" s="207" t="s">
        <v>2688</v>
      </c>
      <c r="F517" s="207" t="s">
        <v>2689</v>
      </c>
      <c r="G517" s="208"/>
    </row>
    <row r="518">
      <c r="A518" s="207">
        <f t="shared" si="2"/>
        <v>517</v>
      </c>
      <c r="B518" s="207" t="s">
        <v>2690</v>
      </c>
      <c r="C518" s="207" t="s">
        <v>2691</v>
      </c>
      <c r="D518" s="207" t="s">
        <v>2692</v>
      </c>
      <c r="E518" s="207" t="s">
        <v>2693</v>
      </c>
      <c r="F518" s="207" t="s">
        <v>2694</v>
      </c>
      <c r="G518" s="208"/>
    </row>
    <row r="519">
      <c r="A519" s="207">
        <f t="shared" si="2"/>
        <v>518</v>
      </c>
      <c r="B519" s="207" t="s">
        <v>2695</v>
      </c>
      <c r="C519" s="207" t="s">
        <v>2696</v>
      </c>
      <c r="D519" s="207">
        <v>344.0</v>
      </c>
      <c r="E519" s="207" t="s">
        <v>2697</v>
      </c>
      <c r="F519" s="207" t="s">
        <v>2698</v>
      </c>
      <c r="G519" s="208"/>
    </row>
    <row r="520">
      <c r="A520" s="207">
        <f t="shared" si="2"/>
        <v>519</v>
      </c>
      <c r="B520" s="207" t="s">
        <v>2699</v>
      </c>
      <c r="C520" s="207" t="s">
        <v>2700</v>
      </c>
      <c r="D520" s="207" t="s">
        <v>2701</v>
      </c>
      <c r="E520" s="207" t="s">
        <v>2702</v>
      </c>
      <c r="F520" s="207" t="s">
        <v>2703</v>
      </c>
      <c r="G520" s="208"/>
    </row>
    <row r="521">
      <c r="A521" s="207">
        <f t="shared" si="2"/>
        <v>520</v>
      </c>
      <c r="B521" s="207" t="s">
        <v>2704</v>
      </c>
      <c r="C521" s="207" t="s">
        <v>2705</v>
      </c>
      <c r="D521" s="207" t="s">
        <v>2706</v>
      </c>
      <c r="E521" s="207" t="s">
        <v>2707</v>
      </c>
      <c r="F521" s="207" t="s">
        <v>2708</v>
      </c>
      <c r="G521" s="208"/>
    </row>
    <row r="522">
      <c r="A522" s="207">
        <f t="shared" si="2"/>
        <v>521</v>
      </c>
      <c r="B522" s="207" t="s">
        <v>2709</v>
      </c>
      <c r="C522" s="207" t="s">
        <v>2710</v>
      </c>
      <c r="D522" s="207" t="s">
        <v>2711</v>
      </c>
      <c r="E522" s="207" t="s">
        <v>2712</v>
      </c>
      <c r="F522" s="207" t="s">
        <v>2713</v>
      </c>
      <c r="G522" s="208"/>
    </row>
    <row r="523">
      <c r="A523" s="207">
        <f t="shared" si="2"/>
        <v>522</v>
      </c>
      <c r="B523" s="207" t="s">
        <v>2714</v>
      </c>
      <c r="C523" s="207" t="s">
        <v>2715</v>
      </c>
      <c r="D523" s="207" t="s">
        <v>2716</v>
      </c>
      <c r="E523" s="207" t="s">
        <v>2717</v>
      </c>
      <c r="F523" s="207" t="s">
        <v>2718</v>
      </c>
      <c r="G523" s="208"/>
    </row>
    <row r="524">
      <c r="A524" s="207">
        <f t="shared" si="2"/>
        <v>523</v>
      </c>
      <c r="B524" s="207" t="s">
        <v>2719</v>
      </c>
      <c r="C524" s="207" t="s">
        <v>2720</v>
      </c>
      <c r="D524" s="207" t="s">
        <v>2721</v>
      </c>
      <c r="E524" s="207" t="s">
        <v>2722</v>
      </c>
      <c r="F524" s="207" t="s">
        <v>2723</v>
      </c>
      <c r="G524" s="208"/>
    </row>
    <row r="525">
      <c r="A525" s="207">
        <f t="shared" si="2"/>
        <v>524</v>
      </c>
      <c r="B525" s="207" t="s">
        <v>2724</v>
      </c>
      <c r="C525" s="207" t="s">
        <v>2725</v>
      </c>
      <c r="D525" s="207" t="s">
        <v>2726</v>
      </c>
      <c r="E525" s="207" t="s">
        <v>2727</v>
      </c>
      <c r="F525" s="207" t="s">
        <v>2728</v>
      </c>
      <c r="G525" s="208"/>
    </row>
    <row r="526">
      <c r="A526" s="207">
        <f t="shared" si="2"/>
        <v>525</v>
      </c>
      <c r="B526" s="207" t="s">
        <v>2729</v>
      </c>
      <c r="C526" s="207" t="s">
        <v>2730</v>
      </c>
      <c r="D526" s="207" t="s">
        <v>2731</v>
      </c>
      <c r="E526" s="207" t="s">
        <v>2732</v>
      </c>
      <c r="F526" s="207" t="s">
        <v>2733</v>
      </c>
      <c r="G526" s="208"/>
    </row>
    <row r="527">
      <c r="A527" s="207">
        <f t="shared" si="2"/>
        <v>526</v>
      </c>
      <c r="B527" s="207" t="s">
        <v>2734</v>
      </c>
      <c r="C527" s="207" t="s">
        <v>2735</v>
      </c>
      <c r="D527" s="207" t="s">
        <v>2736</v>
      </c>
      <c r="E527" s="207" t="s">
        <v>2519</v>
      </c>
      <c r="F527" s="207" t="s">
        <v>2737</v>
      </c>
      <c r="G527" s="208"/>
    </row>
    <row r="528">
      <c r="A528" s="207">
        <f t="shared" si="2"/>
        <v>527</v>
      </c>
      <c r="B528" s="207" t="s">
        <v>2738</v>
      </c>
      <c r="C528" s="207" t="s">
        <v>2739</v>
      </c>
      <c r="D528" s="207" t="s">
        <v>2740</v>
      </c>
      <c r="E528" s="207" t="s">
        <v>2741</v>
      </c>
      <c r="F528" s="207" t="s">
        <v>2742</v>
      </c>
      <c r="G528" s="208"/>
    </row>
    <row r="529">
      <c r="A529" s="207">
        <f t="shared" si="2"/>
        <v>528</v>
      </c>
      <c r="B529" s="207" t="s">
        <v>2743</v>
      </c>
      <c r="C529" s="207" t="s">
        <v>2744</v>
      </c>
      <c r="D529" s="207" t="s">
        <v>2745</v>
      </c>
      <c r="E529" s="207" t="s">
        <v>2746</v>
      </c>
      <c r="F529" s="207" t="s">
        <v>2747</v>
      </c>
      <c r="G529" s="208"/>
    </row>
    <row r="530">
      <c r="A530" s="207">
        <f t="shared" si="2"/>
        <v>529</v>
      </c>
      <c r="B530" s="207" t="s">
        <v>2748</v>
      </c>
      <c r="C530" s="207" t="s">
        <v>2749</v>
      </c>
      <c r="D530" s="207" t="s">
        <v>2750</v>
      </c>
      <c r="E530" s="207" t="s">
        <v>2751</v>
      </c>
      <c r="F530" s="207" t="s">
        <v>2748</v>
      </c>
      <c r="G530" s="207" t="s">
        <v>562</v>
      </c>
    </row>
    <row r="531">
      <c r="A531" s="207">
        <f t="shared" si="2"/>
        <v>530</v>
      </c>
      <c r="B531" s="207" t="s">
        <v>2752</v>
      </c>
      <c r="C531" s="207" t="s">
        <v>2753</v>
      </c>
      <c r="D531" s="207" t="s">
        <v>2754</v>
      </c>
      <c r="E531" s="207" t="s">
        <v>2755</v>
      </c>
      <c r="F531" s="207" t="s">
        <v>2756</v>
      </c>
      <c r="G531" s="208"/>
    </row>
    <row r="532">
      <c r="A532" s="207">
        <f t="shared" si="2"/>
        <v>531</v>
      </c>
      <c r="B532" s="207" t="s">
        <v>2757</v>
      </c>
      <c r="C532" s="207" t="s">
        <v>2758</v>
      </c>
      <c r="D532" s="207" t="s">
        <v>1544</v>
      </c>
      <c r="E532" s="207" t="s">
        <v>2759</v>
      </c>
      <c r="F532" s="207" t="s">
        <v>2760</v>
      </c>
      <c r="G532" s="208"/>
    </row>
    <row r="533" hidden="1">
      <c r="A533" s="207">
        <f t="shared" si="2"/>
        <v>532</v>
      </c>
      <c r="B533" s="209" t="s">
        <v>216</v>
      </c>
      <c r="C533" s="209" t="s">
        <v>216</v>
      </c>
      <c r="D533" s="209" t="s">
        <v>216</v>
      </c>
      <c r="E533" s="209" t="s">
        <v>216</v>
      </c>
      <c r="F533" s="209" t="s">
        <v>216</v>
      </c>
      <c r="G533" s="207" t="s">
        <v>488</v>
      </c>
    </row>
    <row r="534">
      <c r="A534" s="207">
        <f t="shared" si="2"/>
        <v>533</v>
      </c>
      <c r="B534" s="207" t="s">
        <v>2761</v>
      </c>
      <c r="C534" s="207" t="s">
        <v>2762</v>
      </c>
      <c r="D534" s="207" t="s">
        <v>451</v>
      </c>
      <c r="E534" s="207" t="s">
        <v>2763</v>
      </c>
      <c r="F534" s="207" t="s">
        <v>2764</v>
      </c>
      <c r="G534" s="208"/>
    </row>
    <row r="535">
      <c r="A535" s="207">
        <f t="shared" si="2"/>
        <v>534</v>
      </c>
      <c r="B535" s="207" t="s">
        <v>2765</v>
      </c>
      <c r="C535" s="207" t="s">
        <v>2766</v>
      </c>
      <c r="D535" s="207" t="s">
        <v>2767</v>
      </c>
      <c r="E535" s="207" t="s">
        <v>2768</v>
      </c>
      <c r="F535" s="207" t="s">
        <v>2765</v>
      </c>
      <c r="G535" s="207" t="s">
        <v>562</v>
      </c>
    </row>
    <row r="536">
      <c r="A536" s="207">
        <f t="shared" si="2"/>
        <v>535</v>
      </c>
      <c r="B536" s="207" t="s">
        <v>2769</v>
      </c>
      <c r="C536" s="207" t="s">
        <v>2770</v>
      </c>
      <c r="D536" s="207" t="s">
        <v>2771</v>
      </c>
      <c r="E536" s="207" t="s">
        <v>2772</v>
      </c>
      <c r="F536" s="207" t="s">
        <v>2773</v>
      </c>
      <c r="G536" s="208"/>
    </row>
    <row r="537">
      <c r="A537" s="207">
        <f t="shared" si="2"/>
        <v>536</v>
      </c>
      <c r="B537" s="207" t="s">
        <v>2774</v>
      </c>
      <c r="C537" s="207" t="s">
        <v>2775</v>
      </c>
      <c r="D537" s="207" t="s">
        <v>2776</v>
      </c>
      <c r="E537" s="207" t="s">
        <v>2777</v>
      </c>
      <c r="F537" s="207" t="s">
        <v>2778</v>
      </c>
      <c r="G537" s="208"/>
    </row>
    <row r="538">
      <c r="A538" s="207">
        <f t="shared" si="2"/>
        <v>537</v>
      </c>
      <c r="B538" s="207" t="s">
        <v>2779</v>
      </c>
      <c r="C538" s="207" t="s">
        <v>2780</v>
      </c>
      <c r="D538" s="207" t="s">
        <v>2781</v>
      </c>
      <c r="E538" s="207" t="s">
        <v>2782</v>
      </c>
      <c r="F538" s="207" t="s">
        <v>2783</v>
      </c>
      <c r="G538" s="208"/>
    </row>
    <row r="539">
      <c r="A539" s="207">
        <f t="shared" si="2"/>
        <v>538</v>
      </c>
      <c r="B539" s="207" t="s">
        <v>2784</v>
      </c>
      <c r="C539" s="207" t="s">
        <v>2785</v>
      </c>
      <c r="D539" s="207" t="s">
        <v>2786</v>
      </c>
      <c r="E539" s="207" t="s">
        <v>2787</v>
      </c>
      <c r="F539" s="207" t="s">
        <v>2788</v>
      </c>
      <c r="G539" s="208"/>
    </row>
    <row r="540">
      <c r="A540" s="207">
        <f t="shared" si="2"/>
        <v>539</v>
      </c>
      <c r="B540" s="207" t="s">
        <v>2789</v>
      </c>
      <c r="C540" s="207" t="s">
        <v>2790</v>
      </c>
      <c r="D540" s="207" t="s">
        <v>2791</v>
      </c>
      <c r="E540" s="207" t="s">
        <v>2792</v>
      </c>
      <c r="F540" s="207" t="s">
        <v>2793</v>
      </c>
      <c r="G540" s="208"/>
    </row>
    <row r="541">
      <c r="A541" s="207">
        <f t="shared" si="2"/>
        <v>540</v>
      </c>
      <c r="B541" s="207" t="s">
        <v>2794</v>
      </c>
      <c r="C541" s="207" t="s">
        <v>2795</v>
      </c>
      <c r="D541" s="207" t="s">
        <v>2796</v>
      </c>
      <c r="E541" s="207" t="s">
        <v>2797</v>
      </c>
      <c r="F541" s="207" t="s">
        <v>2794</v>
      </c>
      <c r="G541" s="207" t="s">
        <v>562</v>
      </c>
    </row>
    <row r="542">
      <c r="A542" s="207">
        <f t="shared" si="2"/>
        <v>541</v>
      </c>
      <c r="B542" s="207" t="s">
        <v>2798</v>
      </c>
      <c r="C542" s="207" t="s">
        <v>2799</v>
      </c>
      <c r="D542" s="207" t="s">
        <v>2800</v>
      </c>
      <c r="E542" s="207" t="s">
        <v>2801</v>
      </c>
      <c r="F542" s="207" t="s">
        <v>2802</v>
      </c>
      <c r="G542" s="208"/>
    </row>
    <row r="543">
      <c r="A543" s="207">
        <f t="shared" si="2"/>
        <v>542</v>
      </c>
      <c r="B543" s="207" t="s">
        <v>2803</v>
      </c>
      <c r="C543" s="207" t="s">
        <v>2804</v>
      </c>
      <c r="D543" s="207" t="s">
        <v>2805</v>
      </c>
      <c r="E543" s="207" t="s">
        <v>2806</v>
      </c>
      <c r="F543" s="207" t="s">
        <v>2807</v>
      </c>
      <c r="G543" s="208"/>
    </row>
    <row r="544">
      <c r="A544" s="207">
        <f t="shared" si="2"/>
        <v>543</v>
      </c>
      <c r="B544" s="207" t="s">
        <v>2808</v>
      </c>
      <c r="C544" s="207" t="s">
        <v>2809</v>
      </c>
      <c r="D544" s="207" t="s">
        <v>2810</v>
      </c>
      <c r="E544" s="207" t="s">
        <v>2811</v>
      </c>
      <c r="F544" s="207" t="s">
        <v>2794</v>
      </c>
      <c r="G544" s="207" t="s">
        <v>562</v>
      </c>
    </row>
    <row r="545">
      <c r="A545" s="207">
        <v>544.0</v>
      </c>
      <c r="B545" s="207" t="s">
        <v>2812</v>
      </c>
      <c r="C545" s="207" t="s">
        <v>2813</v>
      </c>
      <c r="D545" s="207" t="s">
        <v>2814</v>
      </c>
      <c r="E545" s="207" t="s">
        <v>1763</v>
      </c>
      <c r="F545" s="207" t="s">
        <v>2815</v>
      </c>
      <c r="G545" s="208"/>
    </row>
    <row r="546">
      <c r="A546" s="207">
        <f t="shared" ref="A546:A697" si="3">A545+1</f>
        <v>545</v>
      </c>
      <c r="B546" s="207" t="s">
        <v>2816</v>
      </c>
      <c r="C546" s="207" t="s">
        <v>2817</v>
      </c>
      <c r="D546" s="207" t="s">
        <v>2818</v>
      </c>
      <c r="E546" s="207" t="s">
        <v>2819</v>
      </c>
      <c r="F546" s="207" t="s">
        <v>2820</v>
      </c>
      <c r="G546" s="208"/>
    </row>
    <row r="547">
      <c r="A547" s="207">
        <f t="shared" si="3"/>
        <v>546</v>
      </c>
      <c r="B547" s="207" t="s">
        <v>2821</v>
      </c>
      <c r="C547" s="207" t="s">
        <v>2822</v>
      </c>
      <c r="D547" s="207" t="s">
        <v>2823</v>
      </c>
      <c r="E547" s="207" t="s">
        <v>2824</v>
      </c>
      <c r="F547" s="207" t="s">
        <v>2825</v>
      </c>
      <c r="G547" s="208"/>
    </row>
    <row r="548">
      <c r="A548" s="207">
        <f t="shared" si="3"/>
        <v>547</v>
      </c>
      <c r="B548" s="207" t="s">
        <v>2826</v>
      </c>
      <c r="C548" s="207" t="s">
        <v>2827</v>
      </c>
      <c r="D548" s="207" t="s">
        <v>2828</v>
      </c>
      <c r="E548" s="207" t="s">
        <v>2829</v>
      </c>
      <c r="F548" s="207" t="s">
        <v>2830</v>
      </c>
      <c r="G548" s="208"/>
    </row>
    <row r="549">
      <c r="A549" s="207">
        <f t="shared" si="3"/>
        <v>548</v>
      </c>
      <c r="B549" s="207" t="s">
        <v>2831</v>
      </c>
      <c r="C549" s="207" t="s">
        <v>2832</v>
      </c>
      <c r="D549" s="207" t="s">
        <v>451</v>
      </c>
      <c r="E549" s="207" t="s">
        <v>2833</v>
      </c>
      <c r="F549" s="207" t="s">
        <v>2834</v>
      </c>
      <c r="G549" s="208"/>
    </row>
    <row r="550">
      <c r="A550" s="207">
        <f t="shared" si="3"/>
        <v>549</v>
      </c>
      <c r="B550" s="207" t="s">
        <v>2835</v>
      </c>
      <c r="C550" s="207" t="s">
        <v>2836</v>
      </c>
      <c r="D550" s="207" t="s">
        <v>2837</v>
      </c>
      <c r="E550" s="207" t="s">
        <v>2838</v>
      </c>
      <c r="F550" s="207" t="s">
        <v>2839</v>
      </c>
      <c r="G550" s="208"/>
    </row>
    <row r="551">
      <c r="A551" s="207">
        <f t="shared" si="3"/>
        <v>550</v>
      </c>
      <c r="B551" s="207" t="s">
        <v>2840</v>
      </c>
      <c r="C551" s="207" t="s">
        <v>2841</v>
      </c>
      <c r="D551" s="207" t="s">
        <v>2842</v>
      </c>
      <c r="E551" s="207" t="s">
        <v>2843</v>
      </c>
      <c r="F551" s="207" t="s">
        <v>2844</v>
      </c>
      <c r="G551" s="208"/>
    </row>
    <row r="552">
      <c r="A552" s="207">
        <f t="shared" si="3"/>
        <v>551</v>
      </c>
      <c r="B552" s="207" t="s">
        <v>2845</v>
      </c>
      <c r="C552" s="207" t="s">
        <v>2846</v>
      </c>
      <c r="D552" s="207" t="s">
        <v>2847</v>
      </c>
      <c r="E552" s="207" t="s">
        <v>2848</v>
      </c>
      <c r="F552" s="207" t="s">
        <v>2849</v>
      </c>
      <c r="G552" s="208"/>
    </row>
    <row r="553">
      <c r="A553" s="207">
        <f t="shared" si="3"/>
        <v>552</v>
      </c>
      <c r="B553" s="207" t="s">
        <v>2850</v>
      </c>
      <c r="C553" s="207" t="s">
        <v>2851</v>
      </c>
      <c r="D553" s="207" t="s">
        <v>2852</v>
      </c>
      <c r="E553" s="207" t="s">
        <v>2853</v>
      </c>
      <c r="F553" s="207" t="s">
        <v>2854</v>
      </c>
      <c r="G553" s="208"/>
    </row>
    <row r="554">
      <c r="A554" s="207">
        <f t="shared" si="3"/>
        <v>553</v>
      </c>
      <c r="B554" s="207" t="s">
        <v>2855</v>
      </c>
      <c r="C554" s="207" t="s">
        <v>2856</v>
      </c>
      <c r="D554" s="207" t="s">
        <v>2857</v>
      </c>
      <c r="E554" s="207" t="s">
        <v>2858</v>
      </c>
      <c r="F554" s="207" t="s">
        <v>2859</v>
      </c>
      <c r="G554" s="208"/>
    </row>
    <row r="555">
      <c r="A555" s="207">
        <f t="shared" si="3"/>
        <v>554</v>
      </c>
      <c r="B555" s="207" t="s">
        <v>2860</v>
      </c>
      <c r="C555" s="207" t="s">
        <v>2861</v>
      </c>
      <c r="D555" s="207" t="s">
        <v>2862</v>
      </c>
      <c r="E555" s="207" t="s">
        <v>2863</v>
      </c>
      <c r="F555" s="207" t="s">
        <v>2864</v>
      </c>
      <c r="G555" s="208"/>
    </row>
    <row r="556">
      <c r="A556" s="207">
        <f t="shared" si="3"/>
        <v>555</v>
      </c>
      <c r="B556" s="207" t="s">
        <v>2865</v>
      </c>
      <c r="C556" s="207" t="s">
        <v>2866</v>
      </c>
      <c r="D556" s="207" t="s">
        <v>1476</v>
      </c>
      <c r="E556" s="207" t="s">
        <v>2867</v>
      </c>
      <c r="F556" s="207" t="s">
        <v>2868</v>
      </c>
      <c r="G556" s="208"/>
    </row>
    <row r="557">
      <c r="A557" s="207">
        <f t="shared" si="3"/>
        <v>556</v>
      </c>
      <c r="B557" s="207" t="s">
        <v>2869</v>
      </c>
      <c r="C557" s="207" t="s">
        <v>2870</v>
      </c>
      <c r="D557" s="207" t="s">
        <v>2871</v>
      </c>
      <c r="E557" s="207" t="s">
        <v>2872</v>
      </c>
      <c r="F557" s="207" t="s">
        <v>1688</v>
      </c>
      <c r="G557" s="208"/>
    </row>
    <row r="558">
      <c r="A558" s="207">
        <f t="shared" si="3"/>
        <v>557</v>
      </c>
      <c r="B558" s="207" t="s">
        <v>2873</v>
      </c>
      <c r="C558" s="207" t="s">
        <v>2874</v>
      </c>
      <c r="D558" s="207" t="s">
        <v>1107</v>
      </c>
      <c r="E558" s="207" t="s">
        <v>2875</v>
      </c>
      <c r="F558" s="207" t="s">
        <v>2876</v>
      </c>
      <c r="G558" s="208"/>
    </row>
    <row r="559">
      <c r="A559" s="207">
        <f t="shared" si="3"/>
        <v>558</v>
      </c>
      <c r="B559" s="207" t="s">
        <v>2877</v>
      </c>
      <c r="C559" s="207" t="s">
        <v>2878</v>
      </c>
      <c r="D559" s="207" t="s">
        <v>2879</v>
      </c>
      <c r="E559" s="207" t="s">
        <v>2151</v>
      </c>
      <c r="F559" s="207" t="s">
        <v>2880</v>
      </c>
      <c r="G559" s="208"/>
    </row>
    <row r="560">
      <c r="A560" s="207">
        <f t="shared" si="3"/>
        <v>559</v>
      </c>
      <c r="B560" s="207" t="s">
        <v>2881</v>
      </c>
      <c r="C560" s="207" t="s">
        <v>2882</v>
      </c>
      <c r="D560" s="207" t="s">
        <v>1941</v>
      </c>
      <c r="E560" s="207" t="s">
        <v>2883</v>
      </c>
      <c r="F560" s="207" t="s">
        <v>2884</v>
      </c>
      <c r="G560" s="208"/>
    </row>
    <row r="561">
      <c r="A561" s="207">
        <f t="shared" si="3"/>
        <v>560</v>
      </c>
      <c r="B561" s="207" t="s">
        <v>2885</v>
      </c>
      <c r="C561" s="207" t="s">
        <v>2886</v>
      </c>
      <c r="D561" s="207" t="s">
        <v>2887</v>
      </c>
      <c r="E561" s="207" t="s">
        <v>2888</v>
      </c>
      <c r="F561" s="207" t="s">
        <v>2889</v>
      </c>
      <c r="G561" s="208"/>
    </row>
    <row r="562">
      <c r="A562" s="207">
        <f t="shared" si="3"/>
        <v>561</v>
      </c>
      <c r="B562" s="207" t="s">
        <v>2890</v>
      </c>
      <c r="C562" s="207" t="s">
        <v>2891</v>
      </c>
      <c r="D562" s="207" t="s">
        <v>2892</v>
      </c>
      <c r="E562" s="207" t="s">
        <v>2893</v>
      </c>
      <c r="F562" s="207" t="s">
        <v>2894</v>
      </c>
      <c r="G562" s="208"/>
    </row>
    <row r="563">
      <c r="A563" s="207">
        <f t="shared" si="3"/>
        <v>562</v>
      </c>
      <c r="B563" s="207" t="s">
        <v>2895</v>
      </c>
      <c r="C563" s="207" t="s">
        <v>2896</v>
      </c>
      <c r="D563" s="207" t="s">
        <v>451</v>
      </c>
      <c r="E563" s="207" t="s">
        <v>2897</v>
      </c>
      <c r="F563" s="207" t="s">
        <v>2898</v>
      </c>
      <c r="G563" s="208"/>
    </row>
    <row r="564">
      <c r="A564" s="207">
        <f t="shared" si="3"/>
        <v>563</v>
      </c>
      <c r="B564" s="207" t="s">
        <v>2899</v>
      </c>
      <c r="C564" s="207" t="s">
        <v>2900</v>
      </c>
      <c r="D564" s="207" t="s">
        <v>2901</v>
      </c>
      <c r="E564" s="207" t="s">
        <v>2902</v>
      </c>
      <c r="F564" s="207" t="s">
        <v>2052</v>
      </c>
      <c r="G564" s="208"/>
    </row>
    <row r="565">
      <c r="A565" s="207">
        <f t="shared" si="3"/>
        <v>564</v>
      </c>
      <c r="B565" s="207" t="s">
        <v>2903</v>
      </c>
      <c r="C565" s="207" t="s">
        <v>2904</v>
      </c>
      <c r="D565" s="207" t="s">
        <v>2905</v>
      </c>
      <c r="E565" s="207" t="s">
        <v>2906</v>
      </c>
      <c r="F565" s="207" t="s">
        <v>2907</v>
      </c>
      <c r="G565" s="208"/>
    </row>
    <row r="566">
      <c r="A566" s="207">
        <f t="shared" si="3"/>
        <v>565</v>
      </c>
      <c r="B566" s="207" t="s">
        <v>2908</v>
      </c>
      <c r="C566" s="207" t="s">
        <v>2909</v>
      </c>
      <c r="D566" s="207" t="s">
        <v>2910</v>
      </c>
      <c r="E566" s="207" t="s">
        <v>2911</v>
      </c>
      <c r="F566" s="207" t="s">
        <v>2912</v>
      </c>
      <c r="G566" s="208"/>
    </row>
    <row r="567" hidden="1">
      <c r="A567" s="207">
        <f t="shared" si="3"/>
        <v>566</v>
      </c>
      <c r="B567" s="209" t="s">
        <v>216</v>
      </c>
      <c r="C567" s="209" t="s">
        <v>216</v>
      </c>
      <c r="D567" s="209" t="s">
        <v>216</v>
      </c>
      <c r="E567" s="209" t="s">
        <v>216</v>
      </c>
      <c r="F567" s="209" t="s">
        <v>216</v>
      </c>
      <c r="G567" s="207" t="s">
        <v>488</v>
      </c>
    </row>
    <row r="568">
      <c r="A568" s="207">
        <f t="shared" si="3"/>
        <v>567</v>
      </c>
      <c r="B568" s="207" t="s">
        <v>2913</v>
      </c>
      <c r="C568" s="207" t="s">
        <v>2914</v>
      </c>
      <c r="D568" s="207" t="s">
        <v>2915</v>
      </c>
      <c r="E568" s="207" t="s">
        <v>2916</v>
      </c>
      <c r="F568" s="207" t="s">
        <v>2917</v>
      </c>
      <c r="G568" s="208"/>
    </row>
    <row r="569">
      <c r="A569" s="207">
        <f t="shared" si="3"/>
        <v>568</v>
      </c>
      <c r="B569" s="207" t="s">
        <v>2918</v>
      </c>
      <c r="C569" s="207" t="s">
        <v>2919</v>
      </c>
      <c r="D569" s="207" t="s">
        <v>2920</v>
      </c>
      <c r="E569" s="207" t="s">
        <v>2921</v>
      </c>
      <c r="F569" s="207" t="s">
        <v>2922</v>
      </c>
      <c r="G569" s="208"/>
    </row>
    <row r="570">
      <c r="A570" s="207">
        <f t="shared" si="3"/>
        <v>569</v>
      </c>
      <c r="B570" s="207" t="s">
        <v>2923</v>
      </c>
      <c r="C570" s="207" t="s">
        <v>2924</v>
      </c>
      <c r="D570" s="207" t="s">
        <v>2925</v>
      </c>
      <c r="E570" s="207" t="s">
        <v>2926</v>
      </c>
      <c r="F570" s="207" t="s">
        <v>2927</v>
      </c>
      <c r="G570" s="208"/>
    </row>
    <row r="571">
      <c r="A571" s="207">
        <f t="shared" si="3"/>
        <v>570</v>
      </c>
      <c r="B571" s="207" t="s">
        <v>2928</v>
      </c>
      <c r="C571" s="207" t="s">
        <v>2929</v>
      </c>
      <c r="D571" s="207" t="s">
        <v>2930</v>
      </c>
      <c r="E571" s="207" t="s">
        <v>2931</v>
      </c>
      <c r="F571" s="207" t="s">
        <v>2932</v>
      </c>
      <c r="G571" s="208"/>
    </row>
    <row r="572">
      <c r="A572" s="207">
        <f t="shared" si="3"/>
        <v>571</v>
      </c>
      <c r="B572" s="207" t="s">
        <v>2933</v>
      </c>
      <c r="C572" s="207" t="s">
        <v>2934</v>
      </c>
      <c r="D572" s="207" t="s">
        <v>451</v>
      </c>
      <c r="E572" s="207" t="s">
        <v>2935</v>
      </c>
      <c r="F572" s="207" t="s">
        <v>2936</v>
      </c>
      <c r="G572" s="208"/>
    </row>
    <row r="573">
      <c r="A573" s="207">
        <f t="shared" si="3"/>
        <v>572</v>
      </c>
      <c r="B573" s="207" t="s">
        <v>2937</v>
      </c>
      <c r="C573" s="207" t="s">
        <v>2938</v>
      </c>
      <c r="D573" s="207" t="s">
        <v>2939</v>
      </c>
      <c r="E573" s="207" t="s">
        <v>2940</v>
      </c>
      <c r="F573" s="207" t="s">
        <v>2941</v>
      </c>
      <c r="G573" s="208"/>
    </row>
    <row r="574">
      <c r="A574" s="207">
        <f t="shared" si="3"/>
        <v>573</v>
      </c>
      <c r="B574" s="207" t="s">
        <v>2942</v>
      </c>
      <c r="C574" s="207" t="s">
        <v>1326</v>
      </c>
      <c r="D574" s="207" t="s">
        <v>2943</v>
      </c>
      <c r="E574" s="207" t="s">
        <v>2944</v>
      </c>
      <c r="F574" s="207" t="s">
        <v>2945</v>
      </c>
      <c r="G574" s="208"/>
    </row>
    <row r="575">
      <c r="A575" s="207">
        <f t="shared" si="3"/>
        <v>574</v>
      </c>
      <c r="B575" s="207" t="s">
        <v>2946</v>
      </c>
      <c r="C575" s="207" t="s">
        <v>2947</v>
      </c>
      <c r="D575" s="207" t="s">
        <v>2948</v>
      </c>
      <c r="E575" s="207" t="s">
        <v>2949</v>
      </c>
      <c r="F575" s="207" t="s">
        <v>2950</v>
      </c>
      <c r="G575" s="208"/>
    </row>
    <row r="576">
      <c r="A576" s="207">
        <f t="shared" si="3"/>
        <v>575</v>
      </c>
      <c r="B576" s="207" t="s">
        <v>2951</v>
      </c>
      <c r="C576" s="207" t="s">
        <v>2952</v>
      </c>
      <c r="D576" s="207" t="s">
        <v>2953</v>
      </c>
      <c r="E576" s="207" t="s">
        <v>2954</v>
      </c>
      <c r="F576" s="207" t="s">
        <v>2955</v>
      </c>
      <c r="G576" s="208"/>
    </row>
    <row r="577">
      <c r="A577" s="207">
        <f t="shared" si="3"/>
        <v>576</v>
      </c>
      <c r="B577" s="207" t="s">
        <v>2956</v>
      </c>
      <c r="C577" s="207" t="s">
        <v>2957</v>
      </c>
      <c r="D577" s="207" t="s">
        <v>2958</v>
      </c>
      <c r="E577" s="207" t="s">
        <v>2959</v>
      </c>
      <c r="F577" s="207" t="s">
        <v>2960</v>
      </c>
      <c r="G577" s="208"/>
    </row>
    <row r="578">
      <c r="A578" s="207">
        <f t="shared" si="3"/>
        <v>577</v>
      </c>
      <c r="B578" s="207" t="s">
        <v>2961</v>
      </c>
      <c r="C578" s="207" t="s">
        <v>2962</v>
      </c>
      <c r="D578" s="207" t="s">
        <v>2963</v>
      </c>
      <c r="E578" s="207" t="s">
        <v>1924</v>
      </c>
      <c r="F578" s="207" t="s">
        <v>2964</v>
      </c>
      <c r="G578" s="208"/>
    </row>
    <row r="579">
      <c r="A579" s="207">
        <f t="shared" si="3"/>
        <v>578</v>
      </c>
      <c r="B579" s="207" t="s">
        <v>2965</v>
      </c>
      <c r="C579" s="207" t="s">
        <v>2966</v>
      </c>
      <c r="D579" s="207" t="s">
        <v>2967</v>
      </c>
      <c r="E579" s="207" t="s">
        <v>2968</v>
      </c>
      <c r="F579" s="207" t="s">
        <v>2969</v>
      </c>
      <c r="G579" s="208"/>
    </row>
    <row r="580">
      <c r="A580" s="207">
        <f t="shared" si="3"/>
        <v>579</v>
      </c>
      <c r="B580" s="207" t="s">
        <v>2970</v>
      </c>
      <c r="C580" s="207" t="s">
        <v>2971</v>
      </c>
      <c r="D580" s="207" t="s">
        <v>2972</v>
      </c>
      <c r="E580" s="207" t="s">
        <v>2973</v>
      </c>
      <c r="F580" s="207" t="s">
        <v>2974</v>
      </c>
      <c r="G580" s="208"/>
    </row>
    <row r="581">
      <c r="A581" s="207">
        <f t="shared" si="3"/>
        <v>580</v>
      </c>
      <c r="B581" s="207" t="s">
        <v>2975</v>
      </c>
      <c r="C581" s="207" t="s">
        <v>2976</v>
      </c>
      <c r="D581" s="207" t="s">
        <v>2977</v>
      </c>
      <c r="E581" s="207" t="s">
        <v>2978</v>
      </c>
      <c r="F581" s="207" t="s">
        <v>2979</v>
      </c>
      <c r="G581" s="208"/>
    </row>
    <row r="582">
      <c r="A582" s="207">
        <f t="shared" si="3"/>
        <v>581</v>
      </c>
      <c r="B582" s="207" t="s">
        <v>1644</v>
      </c>
      <c r="C582" s="207" t="s">
        <v>2980</v>
      </c>
      <c r="D582" s="207" t="s">
        <v>2981</v>
      </c>
      <c r="E582" s="207" t="s">
        <v>2982</v>
      </c>
      <c r="F582" s="207" t="s">
        <v>2983</v>
      </c>
      <c r="G582" s="208"/>
    </row>
    <row r="583">
      <c r="A583" s="207">
        <f t="shared" si="3"/>
        <v>582</v>
      </c>
      <c r="B583" s="207" t="s">
        <v>2984</v>
      </c>
      <c r="C583" s="207" t="s">
        <v>2985</v>
      </c>
      <c r="D583" s="207" t="s">
        <v>2986</v>
      </c>
      <c r="E583" s="207" t="s">
        <v>1960</v>
      </c>
      <c r="F583" s="207" t="s">
        <v>2987</v>
      </c>
      <c r="G583" s="208"/>
    </row>
    <row r="584">
      <c r="A584" s="207">
        <f t="shared" si="3"/>
        <v>583</v>
      </c>
      <c r="B584" s="207" t="s">
        <v>2988</v>
      </c>
      <c r="C584" s="207" t="s">
        <v>2989</v>
      </c>
      <c r="D584" s="207" t="s">
        <v>2990</v>
      </c>
      <c r="E584" s="207" t="s">
        <v>2991</v>
      </c>
      <c r="F584" s="207" t="s">
        <v>1136</v>
      </c>
      <c r="G584" s="208"/>
    </row>
    <row r="585">
      <c r="A585" s="207">
        <f t="shared" si="3"/>
        <v>584</v>
      </c>
      <c r="B585" s="207" t="s">
        <v>2992</v>
      </c>
      <c r="C585" s="207" t="s">
        <v>2993</v>
      </c>
      <c r="D585" s="207" t="s">
        <v>2994</v>
      </c>
      <c r="E585" s="207" t="s">
        <v>2995</v>
      </c>
      <c r="F585" s="207" t="s">
        <v>2996</v>
      </c>
      <c r="G585" s="208"/>
    </row>
    <row r="586">
      <c r="A586" s="207">
        <f t="shared" si="3"/>
        <v>585</v>
      </c>
      <c r="B586" s="207" t="s">
        <v>2997</v>
      </c>
      <c r="C586" s="207" t="s">
        <v>2998</v>
      </c>
      <c r="D586" s="207" t="s">
        <v>2999</v>
      </c>
      <c r="E586" s="207" t="s">
        <v>3000</v>
      </c>
      <c r="F586" s="207" t="s">
        <v>3001</v>
      </c>
      <c r="G586" s="208"/>
    </row>
    <row r="587">
      <c r="A587" s="207">
        <f t="shared" si="3"/>
        <v>586</v>
      </c>
      <c r="B587" s="207" t="s">
        <v>3002</v>
      </c>
      <c r="C587" s="207" t="s">
        <v>2054</v>
      </c>
      <c r="D587" s="207" t="s">
        <v>3003</v>
      </c>
      <c r="E587" s="207" t="s">
        <v>3004</v>
      </c>
      <c r="F587" s="207" t="s">
        <v>3005</v>
      </c>
      <c r="G587" s="208"/>
    </row>
    <row r="588">
      <c r="A588" s="207">
        <f t="shared" si="3"/>
        <v>587</v>
      </c>
      <c r="B588" s="207" t="s">
        <v>3006</v>
      </c>
      <c r="C588" s="207" t="s">
        <v>3007</v>
      </c>
      <c r="D588" s="207" t="s">
        <v>3008</v>
      </c>
      <c r="E588" s="207" t="s">
        <v>3009</v>
      </c>
      <c r="F588" s="207" t="s">
        <v>3010</v>
      </c>
      <c r="G588" s="208"/>
    </row>
    <row r="589">
      <c r="A589" s="207">
        <f t="shared" si="3"/>
        <v>588</v>
      </c>
      <c r="B589" s="207" t="s">
        <v>3011</v>
      </c>
      <c r="C589" s="207" t="s">
        <v>3012</v>
      </c>
      <c r="D589" s="207" t="s">
        <v>3013</v>
      </c>
      <c r="E589" s="207" t="s">
        <v>2664</v>
      </c>
      <c r="F589" s="207" t="s">
        <v>3014</v>
      </c>
      <c r="G589" s="208"/>
    </row>
    <row r="590">
      <c r="A590" s="207">
        <f t="shared" si="3"/>
        <v>589</v>
      </c>
      <c r="B590" s="207" t="s">
        <v>3015</v>
      </c>
      <c r="C590" s="207" t="s">
        <v>1326</v>
      </c>
      <c r="D590" s="207" t="s">
        <v>3016</v>
      </c>
      <c r="E590" s="207" t="s">
        <v>3017</v>
      </c>
      <c r="F590" s="207" t="s">
        <v>3018</v>
      </c>
      <c r="G590" s="208"/>
    </row>
    <row r="591">
      <c r="A591" s="207">
        <f t="shared" si="3"/>
        <v>590</v>
      </c>
      <c r="B591" s="207" t="s">
        <v>3019</v>
      </c>
      <c r="C591" s="207" t="s">
        <v>3020</v>
      </c>
      <c r="D591" s="207" t="s">
        <v>3021</v>
      </c>
      <c r="E591" s="207" t="s">
        <v>3022</v>
      </c>
      <c r="F591" s="207" t="s">
        <v>3023</v>
      </c>
      <c r="G591" s="208"/>
    </row>
    <row r="592">
      <c r="A592" s="207">
        <f t="shared" si="3"/>
        <v>591</v>
      </c>
      <c r="B592" s="207" t="s">
        <v>3024</v>
      </c>
      <c r="C592" s="207" t="s">
        <v>3025</v>
      </c>
      <c r="D592" s="207" t="s">
        <v>3026</v>
      </c>
      <c r="E592" s="207" t="s">
        <v>3027</v>
      </c>
      <c r="F592" s="207" t="s">
        <v>3028</v>
      </c>
      <c r="G592" s="208"/>
    </row>
    <row r="593">
      <c r="A593" s="207">
        <f t="shared" si="3"/>
        <v>592</v>
      </c>
      <c r="B593" s="207" t="s">
        <v>3029</v>
      </c>
      <c r="C593" s="207" t="s">
        <v>3030</v>
      </c>
      <c r="D593" s="207" t="s">
        <v>3031</v>
      </c>
      <c r="E593" s="207" t="s">
        <v>3032</v>
      </c>
      <c r="F593" s="207" t="s">
        <v>3033</v>
      </c>
      <c r="G593" s="208"/>
    </row>
    <row r="594">
      <c r="A594" s="207">
        <f t="shared" si="3"/>
        <v>593</v>
      </c>
      <c r="B594" s="207" t="s">
        <v>3034</v>
      </c>
      <c r="C594" s="207" t="s">
        <v>3035</v>
      </c>
      <c r="D594" s="207" t="s">
        <v>3036</v>
      </c>
      <c r="E594" s="207" t="s">
        <v>3037</v>
      </c>
      <c r="F594" s="207" t="s">
        <v>3038</v>
      </c>
      <c r="G594" s="208"/>
    </row>
    <row r="595">
      <c r="A595" s="207">
        <f t="shared" si="3"/>
        <v>594</v>
      </c>
      <c r="B595" s="207" t="s">
        <v>3039</v>
      </c>
      <c r="C595" s="207" t="s">
        <v>3040</v>
      </c>
      <c r="D595" s="207" t="s">
        <v>3041</v>
      </c>
      <c r="E595" s="207" t="s">
        <v>3042</v>
      </c>
      <c r="F595" s="207" t="s">
        <v>3043</v>
      </c>
      <c r="G595" s="208"/>
    </row>
    <row r="596">
      <c r="A596" s="207">
        <f t="shared" si="3"/>
        <v>595</v>
      </c>
      <c r="B596" s="207" t="s">
        <v>3044</v>
      </c>
      <c r="C596" s="207" t="s">
        <v>3045</v>
      </c>
      <c r="D596" s="207" t="s">
        <v>3046</v>
      </c>
      <c r="E596" s="207" t="s">
        <v>3047</v>
      </c>
      <c r="F596" s="207" t="s">
        <v>3048</v>
      </c>
      <c r="G596" s="208"/>
    </row>
    <row r="597">
      <c r="A597" s="207">
        <f t="shared" si="3"/>
        <v>596</v>
      </c>
      <c r="B597" s="207" t="s">
        <v>3049</v>
      </c>
      <c r="C597" s="207" t="s">
        <v>3050</v>
      </c>
      <c r="D597" s="207" t="s">
        <v>3051</v>
      </c>
      <c r="E597" s="207" t="s">
        <v>3052</v>
      </c>
      <c r="F597" s="207" t="s">
        <v>3053</v>
      </c>
      <c r="G597" s="208"/>
    </row>
    <row r="598">
      <c r="A598" s="207">
        <f t="shared" si="3"/>
        <v>597</v>
      </c>
      <c r="B598" s="207" t="s">
        <v>3054</v>
      </c>
      <c r="C598" s="207" t="s">
        <v>3055</v>
      </c>
      <c r="D598" s="207" t="s">
        <v>3056</v>
      </c>
      <c r="E598" s="207" t="s">
        <v>3057</v>
      </c>
      <c r="F598" s="207" t="s">
        <v>3058</v>
      </c>
      <c r="G598" s="208"/>
    </row>
    <row r="599">
      <c r="A599" s="207">
        <f t="shared" si="3"/>
        <v>598</v>
      </c>
      <c r="B599" s="207" t="s">
        <v>3059</v>
      </c>
      <c r="C599" s="207" t="s">
        <v>3060</v>
      </c>
      <c r="D599" s="207" t="s">
        <v>3061</v>
      </c>
      <c r="E599" s="207" t="s">
        <v>3062</v>
      </c>
      <c r="F599" s="207" t="s">
        <v>3063</v>
      </c>
      <c r="G599" s="208"/>
    </row>
    <row r="600">
      <c r="A600" s="207">
        <f t="shared" si="3"/>
        <v>599</v>
      </c>
      <c r="B600" s="207" t="s">
        <v>3064</v>
      </c>
      <c r="C600" s="207" t="s">
        <v>3065</v>
      </c>
      <c r="D600" s="207" t="s">
        <v>3066</v>
      </c>
      <c r="E600" s="207" t="s">
        <v>3067</v>
      </c>
      <c r="F600" s="207" t="s">
        <v>1947</v>
      </c>
      <c r="G600" s="208"/>
    </row>
    <row r="601">
      <c r="A601" s="207">
        <f t="shared" si="3"/>
        <v>600</v>
      </c>
      <c r="B601" s="207" t="s">
        <v>3068</v>
      </c>
      <c r="C601" s="207" t="s">
        <v>3069</v>
      </c>
      <c r="D601" s="207" t="s">
        <v>3070</v>
      </c>
      <c r="E601" s="207" t="s">
        <v>3071</v>
      </c>
      <c r="F601" s="207" t="s">
        <v>3072</v>
      </c>
      <c r="G601" s="208"/>
    </row>
    <row r="602">
      <c r="A602" s="207">
        <f t="shared" si="3"/>
        <v>601</v>
      </c>
      <c r="B602" s="207" t="s">
        <v>3073</v>
      </c>
      <c r="C602" s="207" t="s">
        <v>3074</v>
      </c>
      <c r="D602" s="207" t="s">
        <v>3075</v>
      </c>
      <c r="E602" s="207" t="s">
        <v>3076</v>
      </c>
      <c r="F602" s="207" t="s">
        <v>3077</v>
      </c>
      <c r="G602" s="208"/>
    </row>
    <row r="603">
      <c r="A603" s="207">
        <f t="shared" si="3"/>
        <v>602</v>
      </c>
      <c r="B603" s="207" t="s">
        <v>3078</v>
      </c>
      <c r="C603" s="207" t="s">
        <v>3079</v>
      </c>
      <c r="D603" s="207" t="s">
        <v>3080</v>
      </c>
      <c r="E603" s="207" t="s">
        <v>3081</v>
      </c>
      <c r="F603" s="207" t="s">
        <v>3082</v>
      </c>
      <c r="G603" s="208"/>
    </row>
    <row r="604">
      <c r="A604" s="207">
        <f t="shared" si="3"/>
        <v>603</v>
      </c>
      <c r="B604" s="207" t="s">
        <v>3083</v>
      </c>
      <c r="C604" s="207" t="s">
        <v>3084</v>
      </c>
      <c r="D604" s="207" t="s">
        <v>3085</v>
      </c>
      <c r="E604" s="207" t="s">
        <v>3086</v>
      </c>
      <c r="F604" s="207" t="s">
        <v>3087</v>
      </c>
      <c r="G604" s="208"/>
    </row>
    <row r="605">
      <c r="A605" s="207">
        <f t="shared" si="3"/>
        <v>604</v>
      </c>
      <c r="B605" s="207" t="s">
        <v>3088</v>
      </c>
      <c r="C605" s="207" t="s">
        <v>3089</v>
      </c>
      <c r="D605" s="207" t="s">
        <v>1037</v>
      </c>
      <c r="E605" s="207" t="s">
        <v>3090</v>
      </c>
      <c r="F605" s="207" t="s">
        <v>3091</v>
      </c>
      <c r="G605" s="208"/>
    </row>
    <row r="606" hidden="1">
      <c r="A606" s="207">
        <f t="shared" si="3"/>
        <v>605</v>
      </c>
      <c r="B606" s="209" t="s">
        <v>216</v>
      </c>
      <c r="C606" s="209" t="s">
        <v>216</v>
      </c>
      <c r="D606" s="209" t="s">
        <v>216</v>
      </c>
      <c r="E606" s="209" t="s">
        <v>216</v>
      </c>
      <c r="F606" s="209" t="s">
        <v>216</v>
      </c>
      <c r="G606" s="207" t="s">
        <v>488</v>
      </c>
    </row>
    <row r="607">
      <c r="A607" s="207">
        <f t="shared" si="3"/>
        <v>606</v>
      </c>
      <c r="B607" s="207" t="s">
        <v>3092</v>
      </c>
      <c r="C607" s="207" t="s">
        <v>3093</v>
      </c>
      <c r="D607" s="207" t="s">
        <v>451</v>
      </c>
      <c r="E607" s="207" t="s">
        <v>3094</v>
      </c>
      <c r="F607" s="207" t="s">
        <v>2030</v>
      </c>
      <c r="G607" s="208"/>
    </row>
    <row r="608" hidden="1">
      <c r="A608" s="207">
        <f t="shared" si="3"/>
        <v>607</v>
      </c>
      <c r="B608" s="209" t="s">
        <v>216</v>
      </c>
      <c r="C608" s="209" t="s">
        <v>216</v>
      </c>
      <c r="D608" s="209" t="s">
        <v>216</v>
      </c>
      <c r="E608" s="209" t="s">
        <v>216</v>
      </c>
      <c r="F608" s="209" t="s">
        <v>216</v>
      </c>
      <c r="G608" s="207" t="s">
        <v>488</v>
      </c>
    </row>
    <row r="609" hidden="1">
      <c r="A609" s="207">
        <f t="shared" si="3"/>
        <v>608</v>
      </c>
      <c r="B609" s="209" t="s">
        <v>216</v>
      </c>
      <c r="C609" s="209" t="s">
        <v>216</v>
      </c>
      <c r="D609" s="209" t="s">
        <v>216</v>
      </c>
      <c r="E609" s="209" t="s">
        <v>216</v>
      </c>
      <c r="F609" s="209" t="s">
        <v>216</v>
      </c>
      <c r="G609" s="207" t="s">
        <v>488</v>
      </c>
    </row>
    <row r="610">
      <c r="A610" s="207">
        <f t="shared" si="3"/>
        <v>609</v>
      </c>
      <c r="B610" s="207" t="s">
        <v>3095</v>
      </c>
      <c r="C610" s="207" t="s">
        <v>2780</v>
      </c>
      <c r="D610" s="207" t="s">
        <v>3096</v>
      </c>
      <c r="E610" s="207" t="s">
        <v>3097</v>
      </c>
      <c r="F610" s="207" t="s">
        <v>3098</v>
      </c>
      <c r="G610" s="208"/>
    </row>
    <row r="611">
      <c r="A611" s="207">
        <f t="shared" si="3"/>
        <v>610</v>
      </c>
      <c r="B611" s="207" t="s">
        <v>3099</v>
      </c>
      <c r="C611" s="207" t="s">
        <v>3100</v>
      </c>
      <c r="D611" s="207" t="s">
        <v>3101</v>
      </c>
      <c r="E611" s="207" t="s">
        <v>3102</v>
      </c>
      <c r="F611" s="207" t="s">
        <v>3103</v>
      </c>
      <c r="G611" s="208"/>
    </row>
    <row r="612">
      <c r="A612" s="207">
        <f t="shared" si="3"/>
        <v>611</v>
      </c>
      <c r="B612" s="207" t="s">
        <v>1170</v>
      </c>
      <c r="C612" s="207" t="s">
        <v>3104</v>
      </c>
      <c r="D612" s="207" t="s">
        <v>3105</v>
      </c>
      <c r="E612" s="207" t="s">
        <v>3106</v>
      </c>
      <c r="F612" s="207" t="s">
        <v>3107</v>
      </c>
      <c r="G612" s="208"/>
    </row>
    <row r="613">
      <c r="A613" s="207">
        <f t="shared" si="3"/>
        <v>612</v>
      </c>
      <c r="B613" s="207" t="s">
        <v>3108</v>
      </c>
      <c r="C613" s="207" t="s">
        <v>3109</v>
      </c>
      <c r="D613" s="207" t="s">
        <v>1051</v>
      </c>
      <c r="E613" s="207" t="s">
        <v>3110</v>
      </c>
      <c r="F613" s="207" t="s">
        <v>3111</v>
      </c>
      <c r="G613" s="208"/>
    </row>
    <row r="614">
      <c r="A614" s="207">
        <f t="shared" si="3"/>
        <v>613</v>
      </c>
      <c r="B614" s="207" t="s">
        <v>3112</v>
      </c>
      <c r="C614" s="207" t="s">
        <v>3113</v>
      </c>
      <c r="D614" s="207" t="s">
        <v>3114</v>
      </c>
      <c r="E614" s="207" t="s">
        <v>3115</v>
      </c>
      <c r="F614" s="207" t="s">
        <v>3116</v>
      </c>
      <c r="G614" s="208"/>
    </row>
    <row r="615" hidden="1">
      <c r="A615" s="207">
        <f t="shared" si="3"/>
        <v>614</v>
      </c>
      <c r="B615" s="209" t="s">
        <v>216</v>
      </c>
      <c r="C615" s="209" t="s">
        <v>216</v>
      </c>
      <c r="D615" s="209" t="s">
        <v>216</v>
      </c>
      <c r="E615" s="209" t="s">
        <v>216</v>
      </c>
      <c r="F615" s="209" t="s">
        <v>216</v>
      </c>
      <c r="G615" s="207" t="s">
        <v>488</v>
      </c>
    </row>
    <row r="616">
      <c r="A616" s="207">
        <f t="shared" si="3"/>
        <v>615</v>
      </c>
      <c r="B616" s="207" t="s">
        <v>3117</v>
      </c>
      <c r="C616" s="207" t="s">
        <v>3118</v>
      </c>
      <c r="D616" s="207" t="s">
        <v>3119</v>
      </c>
      <c r="E616" s="207" t="s">
        <v>3120</v>
      </c>
      <c r="F616" s="207" t="s">
        <v>3121</v>
      </c>
      <c r="G616" s="208"/>
    </row>
    <row r="617">
      <c r="A617" s="207">
        <f t="shared" si="3"/>
        <v>616</v>
      </c>
      <c r="B617" s="207" t="s">
        <v>3122</v>
      </c>
      <c r="C617" s="207" t="s">
        <v>3123</v>
      </c>
      <c r="D617" s="207" t="s">
        <v>451</v>
      </c>
      <c r="E617" s="207" t="s">
        <v>3124</v>
      </c>
      <c r="F617" s="207" t="s">
        <v>3125</v>
      </c>
      <c r="G617" s="208"/>
    </row>
    <row r="618" hidden="1">
      <c r="A618" s="207">
        <f t="shared" si="3"/>
        <v>617</v>
      </c>
      <c r="B618" s="209" t="s">
        <v>216</v>
      </c>
      <c r="C618" s="209" t="s">
        <v>216</v>
      </c>
      <c r="D618" s="209" t="s">
        <v>216</v>
      </c>
      <c r="E618" s="209" t="s">
        <v>216</v>
      </c>
      <c r="F618" s="209" t="s">
        <v>216</v>
      </c>
      <c r="G618" s="207" t="s">
        <v>488</v>
      </c>
    </row>
    <row r="619" hidden="1">
      <c r="A619" s="207">
        <f t="shared" si="3"/>
        <v>618</v>
      </c>
      <c r="B619" s="209" t="s">
        <v>216</v>
      </c>
      <c r="C619" s="209" t="s">
        <v>216</v>
      </c>
      <c r="D619" s="209" t="s">
        <v>216</v>
      </c>
      <c r="E619" s="209" t="s">
        <v>216</v>
      </c>
      <c r="F619" s="209" t="s">
        <v>216</v>
      </c>
      <c r="G619" s="207" t="s">
        <v>488</v>
      </c>
    </row>
    <row r="620" hidden="1">
      <c r="A620" s="207">
        <f t="shared" si="3"/>
        <v>619</v>
      </c>
      <c r="B620" s="209" t="s">
        <v>216</v>
      </c>
      <c r="C620" s="209" t="s">
        <v>216</v>
      </c>
      <c r="D620" s="209" t="s">
        <v>216</v>
      </c>
      <c r="E620" s="209" t="s">
        <v>216</v>
      </c>
      <c r="F620" s="209" t="s">
        <v>216</v>
      </c>
      <c r="G620" s="207" t="s">
        <v>488</v>
      </c>
    </row>
    <row r="621" hidden="1">
      <c r="A621" s="207">
        <f t="shared" si="3"/>
        <v>620</v>
      </c>
      <c r="B621" s="209" t="s">
        <v>216</v>
      </c>
      <c r="C621" s="209" t="s">
        <v>216</v>
      </c>
      <c r="D621" s="209" t="s">
        <v>216</v>
      </c>
      <c r="E621" s="209" t="s">
        <v>216</v>
      </c>
      <c r="F621" s="209" t="s">
        <v>216</v>
      </c>
      <c r="G621" s="207" t="s">
        <v>488</v>
      </c>
    </row>
    <row r="622" hidden="1">
      <c r="A622" s="207">
        <f t="shared" si="3"/>
        <v>621</v>
      </c>
      <c r="B622" s="209" t="s">
        <v>216</v>
      </c>
      <c r="C622" s="209" t="s">
        <v>216</v>
      </c>
      <c r="D622" s="209" t="s">
        <v>216</v>
      </c>
      <c r="E622" s="209" t="s">
        <v>216</v>
      </c>
      <c r="F622" s="209" t="s">
        <v>216</v>
      </c>
      <c r="G622" s="207" t="s">
        <v>488</v>
      </c>
    </row>
    <row r="623" hidden="1">
      <c r="A623" s="207">
        <f t="shared" si="3"/>
        <v>622</v>
      </c>
      <c r="B623" s="209" t="s">
        <v>216</v>
      </c>
      <c r="C623" s="209" t="s">
        <v>216</v>
      </c>
      <c r="D623" s="209" t="s">
        <v>216</v>
      </c>
      <c r="E623" s="209" t="s">
        <v>216</v>
      </c>
      <c r="F623" s="209" t="s">
        <v>216</v>
      </c>
      <c r="G623" s="207" t="s">
        <v>488</v>
      </c>
    </row>
    <row r="624" hidden="1">
      <c r="A624" s="207">
        <f t="shared" si="3"/>
        <v>623</v>
      </c>
      <c r="B624" s="209" t="s">
        <v>216</v>
      </c>
      <c r="C624" s="209" t="s">
        <v>216</v>
      </c>
      <c r="D624" s="209" t="s">
        <v>216</v>
      </c>
      <c r="E624" s="209" t="s">
        <v>216</v>
      </c>
      <c r="F624" s="209" t="s">
        <v>216</v>
      </c>
      <c r="G624" s="207" t="s">
        <v>488</v>
      </c>
    </row>
    <row r="625" hidden="1">
      <c r="A625" s="207">
        <f t="shared" si="3"/>
        <v>624</v>
      </c>
      <c r="B625" s="209" t="s">
        <v>216</v>
      </c>
      <c r="C625" s="209" t="s">
        <v>216</v>
      </c>
      <c r="D625" s="209" t="s">
        <v>216</v>
      </c>
      <c r="E625" s="209" t="s">
        <v>216</v>
      </c>
      <c r="F625" s="209" t="s">
        <v>216</v>
      </c>
      <c r="G625" s="207" t="s">
        <v>488</v>
      </c>
    </row>
    <row r="626" hidden="1">
      <c r="A626" s="207">
        <f t="shared" si="3"/>
        <v>625</v>
      </c>
      <c r="B626" s="209" t="s">
        <v>216</v>
      </c>
      <c r="C626" s="209" t="s">
        <v>216</v>
      </c>
      <c r="D626" s="209" t="s">
        <v>216</v>
      </c>
      <c r="E626" s="209" t="s">
        <v>216</v>
      </c>
      <c r="F626" s="209" t="s">
        <v>216</v>
      </c>
      <c r="G626" s="207" t="s">
        <v>488</v>
      </c>
    </row>
    <row r="627" hidden="1">
      <c r="A627" s="207">
        <f t="shared" si="3"/>
        <v>626</v>
      </c>
      <c r="B627" s="209" t="s">
        <v>216</v>
      </c>
      <c r="C627" s="209" t="s">
        <v>216</v>
      </c>
      <c r="D627" s="209" t="s">
        <v>216</v>
      </c>
      <c r="E627" s="209" t="s">
        <v>216</v>
      </c>
      <c r="F627" s="209" t="s">
        <v>216</v>
      </c>
      <c r="G627" s="207" t="s">
        <v>488</v>
      </c>
    </row>
    <row r="628" hidden="1">
      <c r="A628" s="207">
        <f t="shared" si="3"/>
        <v>627</v>
      </c>
      <c r="B628" s="209" t="s">
        <v>216</v>
      </c>
      <c r="C628" s="209" t="s">
        <v>216</v>
      </c>
      <c r="D628" s="209" t="s">
        <v>216</v>
      </c>
      <c r="E628" s="209" t="s">
        <v>216</v>
      </c>
      <c r="F628" s="209" t="s">
        <v>216</v>
      </c>
      <c r="G628" s="207" t="s">
        <v>488</v>
      </c>
    </row>
    <row r="629" hidden="1">
      <c r="A629" s="207">
        <f t="shared" si="3"/>
        <v>628</v>
      </c>
      <c r="B629" s="209" t="s">
        <v>216</v>
      </c>
      <c r="C629" s="209" t="s">
        <v>216</v>
      </c>
      <c r="D629" s="209" t="s">
        <v>216</v>
      </c>
      <c r="E629" s="209" t="s">
        <v>216</v>
      </c>
      <c r="F629" s="209" t="s">
        <v>216</v>
      </c>
      <c r="G629" s="207" t="s">
        <v>488</v>
      </c>
    </row>
    <row r="630" hidden="1">
      <c r="A630" s="207">
        <f t="shared" si="3"/>
        <v>629</v>
      </c>
      <c r="B630" s="209" t="s">
        <v>216</v>
      </c>
      <c r="C630" s="209" t="s">
        <v>216</v>
      </c>
      <c r="D630" s="209" t="s">
        <v>216</v>
      </c>
      <c r="E630" s="209" t="s">
        <v>216</v>
      </c>
      <c r="F630" s="209" t="s">
        <v>216</v>
      </c>
      <c r="G630" s="207" t="s">
        <v>488</v>
      </c>
    </row>
    <row r="631" hidden="1">
      <c r="A631" s="207">
        <f t="shared" si="3"/>
        <v>630</v>
      </c>
      <c r="B631" s="209" t="s">
        <v>216</v>
      </c>
      <c r="C631" s="209" t="s">
        <v>216</v>
      </c>
      <c r="D631" s="209" t="s">
        <v>216</v>
      </c>
      <c r="E631" s="209" t="s">
        <v>216</v>
      </c>
      <c r="F631" s="209" t="s">
        <v>216</v>
      </c>
      <c r="G631" s="207" t="s">
        <v>488</v>
      </c>
    </row>
    <row r="632" hidden="1">
      <c r="A632" s="207">
        <f t="shared" si="3"/>
        <v>631</v>
      </c>
      <c r="B632" s="209" t="s">
        <v>216</v>
      </c>
      <c r="C632" s="209" t="s">
        <v>216</v>
      </c>
      <c r="D632" s="209" t="s">
        <v>216</v>
      </c>
      <c r="E632" s="209" t="s">
        <v>216</v>
      </c>
      <c r="F632" s="209" t="s">
        <v>216</v>
      </c>
      <c r="G632" s="207" t="s">
        <v>488</v>
      </c>
    </row>
    <row r="633" hidden="1">
      <c r="A633" s="207">
        <f t="shared" si="3"/>
        <v>632</v>
      </c>
      <c r="B633" s="209" t="s">
        <v>216</v>
      </c>
      <c r="C633" s="209" t="s">
        <v>216</v>
      </c>
      <c r="D633" s="209" t="s">
        <v>216</v>
      </c>
      <c r="E633" s="209" t="s">
        <v>216</v>
      </c>
      <c r="F633" s="209" t="s">
        <v>216</v>
      </c>
      <c r="G633" s="207" t="s">
        <v>488</v>
      </c>
    </row>
    <row r="634" hidden="1">
      <c r="A634" s="207">
        <f t="shared" si="3"/>
        <v>633</v>
      </c>
      <c r="B634" s="209" t="s">
        <v>216</v>
      </c>
      <c r="C634" s="209" t="s">
        <v>216</v>
      </c>
      <c r="D634" s="209" t="s">
        <v>216</v>
      </c>
      <c r="E634" s="209" t="s">
        <v>216</v>
      </c>
      <c r="F634" s="209" t="s">
        <v>216</v>
      </c>
      <c r="G634" s="207" t="s">
        <v>488</v>
      </c>
    </row>
    <row r="635">
      <c r="A635" s="207">
        <f t="shared" si="3"/>
        <v>634</v>
      </c>
      <c r="B635" s="207" t="s">
        <v>3126</v>
      </c>
      <c r="C635" s="207" t="s">
        <v>1326</v>
      </c>
      <c r="D635" s="207" t="s">
        <v>3127</v>
      </c>
      <c r="E635" s="207" t="s">
        <v>3128</v>
      </c>
      <c r="F635" s="207" t="s">
        <v>3129</v>
      </c>
      <c r="G635" s="208"/>
    </row>
    <row r="636">
      <c r="A636" s="207">
        <f t="shared" si="3"/>
        <v>635</v>
      </c>
      <c r="B636" s="207" t="s">
        <v>3130</v>
      </c>
      <c r="C636" s="207" t="s">
        <v>3131</v>
      </c>
      <c r="D636" s="207" t="s">
        <v>3132</v>
      </c>
      <c r="E636" s="207" t="s">
        <v>3133</v>
      </c>
      <c r="F636" s="207" t="s">
        <v>3134</v>
      </c>
      <c r="G636" s="208"/>
    </row>
    <row r="637">
      <c r="A637" s="207">
        <f t="shared" si="3"/>
        <v>636</v>
      </c>
      <c r="B637" s="207" t="s">
        <v>3135</v>
      </c>
      <c r="C637" s="207" t="s">
        <v>3136</v>
      </c>
      <c r="D637" s="207" t="s">
        <v>3137</v>
      </c>
      <c r="E637" s="207" t="s">
        <v>3138</v>
      </c>
      <c r="F637" s="207" t="s">
        <v>3139</v>
      </c>
      <c r="G637" s="208"/>
    </row>
    <row r="638">
      <c r="A638" s="207">
        <f t="shared" si="3"/>
        <v>637</v>
      </c>
      <c r="B638" s="207" t="s">
        <v>3140</v>
      </c>
      <c r="C638" s="207" t="s">
        <v>3141</v>
      </c>
      <c r="D638" s="207" t="s">
        <v>1269</v>
      </c>
      <c r="E638" s="207" t="s">
        <v>3142</v>
      </c>
      <c r="F638" s="207" t="s">
        <v>3143</v>
      </c>
      <c r="G638" s="208"/>
    </row>
    <row r="639">
      <c r="A639" s="207">
        <f t="shared" si="3"/>
        <v>638</v>
      </c>
      <c r="B639" s="207" t="s">
        <v>3144</v>
      </c>
      <c r="C639" s="207" t="s">
        <v>3145</v>
      </c>
      <c r="D639" s="207" t="s">
        <v>3146</v>
      </c>
      <c r="E639" s="207" t="s">
        <v>3147</v>
      </c>
      <c r="F639" s="207" t="s">
        <v>3148</v>
      </c>
      <c r="G639" s="208"/>
    </row>
    <row r="640" hidden="1">
      <c r="A640" s="207">
        <f t="shared" si="3"/>
        <v>639</v>
      </c>
      <c r="B640" s="209" t="s">
        <v>216</v>
      </c>
      <c r="C640" s="209" t="s">
        <v>216</v>
      </c>
      <c r="D640" s="209" t="s">
        <v>216</v>
      </c>
      <c r="E640" s="209" t="s">
        <v>216</v>
      </c>
      <c r="F640" s="209" t="s">
        <v>216</v>
      </c>
      <c r="G640" s="207" t="s">
        <v>488</v>
      </c>
    </row>
    <row r="641" hidden="1">
      <c r="A641" s="207">
        <f t="shared" si="3"/>
        <v>640</v>
      </c>
      <c r="B641" s="209" t="s">
        <v>216</v>
      </c>
      <c r="C641" s="209" t="s">
        <v>216</v>
      </c>
      <c r="D641" s="209" t="s">
        <v>216</v>
      </c>
      <c r="E641" s="209" t="s">
        <v>216</v>
      </c>
      <c r="F641" s="209" t="s">
        <v>216</v>
      </c>
      <c r="G641" s="207" t="s">
        <v>488</v>
      </c>
    </row>
    <row r="642" hidden="1">
      <c r="A642" s="207">
        <f t="shared" si="3"/>
        <v>641</v>
      </c>
      <c r="B642" s="209" t="s">
        <v>216</v>
      </c>
      <c r="C642" s="209" t="s">
        <v>216</v>
      </c>
      <c r="D642" s="209" t="s">
        <v>216</v>
      </c>
      <c r="E642" s="209" t="s">
        <v>216</v>
      </c>
      <c r="F642" s="209" t="s">
        <v>216</v>
      </c>
      <c r="G642" s="207" t="s">
        <v>488</v>
      </c>
    </row>
    <row r="643" hidden="1">
      <c r="A643" s="207">
        <f t="shared" si="3"/>
        <v>642</v>
      </c>
      <c r="B643" s="209" t="s">
        <v>216</v>
      </c>
      <c r="C643" s="209" t="s">
        <v>216</v>
      </c>
      <c r="D643" s="209" t="s">
        <v>216</v>
      </c>
      <c r="E643" s="209" t="s">
        <v>216</v>
      </c>
      <c r="F643" s="209" t="s">
        <v>216</v>
      </c>
      <c r="G643" s="207" t="s">
        <v>488</v>
      </c>
    </row>
    <row r="644" hidden="1">
      <c r="A644" s="207">
        <f t="shared" si="3"/>
        <v>643</v>
      </c>
      <c r="B644" s="209" t="s">
        <v>216</v>
      </c>
      <c r="C644" s="209" t="s">
        <v>216</v>
      </c>
      <c r="D644" s="209" t="s">
        <v>216</v>
      </c>
      <c r="E644" s="209" t="s">
        <v>216</v>
      </c>
      <c r="F644" s="209" t="s">
        <v>216</v>
      </c>
      <c r="G644" s="207" t="s">
        <v>488</v>
      </c>
    </row>
    <row r="645" hidden="1">
      <c r="A645" s="207">
        <f t="shared" si="3"/>
        <v>644</v>
      </c>
      <c r="B645" s="209" t="s">
        <v>216</v>
      </c>
      <c r="C645" s="209" t="s">
        <v>216</v>
      </c>
      <c r="D645" s="209" t="s">
        <v>216</v>
      </c>
      <c r="E645" s="209" t="s">
        <v>216</v>
      </c>
      <c r="F645" s="209" t="s">
        <v>216</v>
      </c>
      <c r="G645" s="207" t="s">
        <v>488</v>
      </c>
    </row>
    <row r="646" hidden="1">
      <c r="A646" s="207">
        <f t="shared" si="3"/>
        <v>645</v>
      </c>
      <c r="B646" s="209" t="s">
        <v>216</v>
      </c>
      <c r="C646" s="209" t="s">
        <v>216</v>
      </c>
      <c r="D646" s="209" t="s">
        <v>216</v>
      </c>
      <c r="E646" s="209" t="s">
        <v>216</v>
      </c>
      <c r="F646" s="209" t="s">
        <v>216</v>
      </c>
      <c r="G646" s="207" t="s">
        <v>488</v>
      </c>
    </row>
    <row r="647" hidden="1">
      <c r="A647" s="207">
        <f t="shared" si="3"/>
        <v>646</v>
      </c>
      <c r="B647" s="209" t="s">
        <v>216</v>
      </c>
      <c r="C647" s="209" t="s">
        <v>216</v>
      </c>
      <c r="D647" s="209" t="s">
        <v>216</v>
      </c>
      <c r="E647" s="209" t="s">
        <v>216</v>
      </c>
      <c r="F647" s="209" t="s">
        <v>216</v>
      </c>
      <c r="G647" s="207" t="s">
        <v>488</v>
      </c>
    </row>
    <row r="648">
      <c r="A648" s="207">
        <f t="shared" si="3"/>
        <v>647</v>
      </c>
      <c r="B648" s="207" t="s">
        <v>3149</v>
      </c>
      <c r="C648" s="207" t="s">
        <v>3150</v>
      </c>
      <c r="D648" s="207" t="s">
        <v>3151</v>
      </c>
      <c r="E648" s="207" t="s">
        <v>3152</v>
      </c>
      <c r="F648" s="207" t="s">
        <v>3153</v>
      </c>
      <c r="G648" s="208"/>
    </row>
    <row r="649">
      <c r="A649" s="207">
        <f t="shared" si="3"/>
        <v>648</v>
      </c>
      <c r="B649" s="207" t="s">
        <v>3154</v>
      </c>
      <c r="C649" s="207" t="s">
        <v>3155</v>
      </c>
      <c r="D649" s="207" t="s">
        <v>3156</v>
      </c>
      <c r="E649" s="207" t="s">
        <v>3157</v>
      </c>
      <c r="F649" s="207" t="s">
        <v>3158</v>
      </c>
      <c r="G649" s="208"/>
    </row>
    <row r="650">
      <c r="A650" s="207">
        <f t="shared" si="3"/>
        <v>649</v>
      </c>
      <c r="B650" s="207" t="s">
        <v>1760</v>
      </c>
      <c r="C650" s="207" t="s">
        <v>3159</v>
      </c>
      <c r="D650" s="207" t="s">
        <v>3160</v>
      </c>
      <c r="E650" s="207" t="s">
        <v>3161</v>
      </c>
      <c r="F650" s="207" t="s">
        <v>3162</v>
      </c>
      <c r="G650" s="208"/>
    </row>
    <row r="651">
      <c r="A651" s="207">
        <f t="shared" si="3"/>
        <v>650</v>
      </c>
      <c r="B651" s="207" t="s">
        <v>3163</v>
      </c>
      <c r="C651" s="207" t="s">
        <v>3164</v>
      </c>
      <c r="D651" s="207" t="s">
        <v>3165</v>
      </c>
      <c r="E651" s="207" t="s">
        <v>3166</v>
      </c>
      <c r="F651" s="207" t="s">
        <v>3167</v>
      </c>
      <c r="G651" s="208"/>
    </row>
    <row r="652">
      <c r="A652" s="207">
        <f t="shared" si="3"/>
        <v>651</v>
      </c>
      <c r="B652" s="207" t="s">
        <v>3168</v>
      </c>
      <c r="C652" s="207" t="s">
        <v>1326</v>
      </c>
      <c r="D652" s="207" t="s">
        <v>1373</v>
      </c>
      <c r="E652" s="207" t="s">
        <v>3169</v>
      </c>
      <c r="F652" s="207" t="s">
        <v>3170</v>
      </c>
      <c r="G652" s="208"/>
    </row>
    <row r="653">
      <c r="A653" s="207">
        <f t="shared" si="3"/>
        <v>652</v>
      </c>
      <c r="B653" s="207" t="s">
        <v>3171</v>
      </c>
      <c r="C653" s="207" t="s">
        <v>3172</v>
      </c>
      <c r="D653" s="207" t="s">
        <v>1878</v>
      </c>
      <c r="E653" s="207" t="s">
        <v>3173</v>
      </c>
      <c r="F653" s="207" t="s">
        <v>3174</v>
      </c>
      <c r="G653" s="208"/>
    </row>
    <row r="654">
      <c r="A654" s="207">
        <f t="shared" si="3"/>
        <v>653</v>
      </c>
      <c r="B654" s="207" t="s">
        <v>3175</v>
      </c>
      <c r="C654" s="207" t="s">
        <v>3176</v>
      </c>
      <c r="D654" s="207" t="s">
        <v>3177</v>
      </c>
      <c r="E654" s="207" t="s">
        <v>3178</v>
      </c>
      <c r="F654" s="207" t="s">
        <v>3179</v>
      </c>
      <c r="G654" s="208"/>
    </row>
    <row r="655">
      <c r="A655" s="207">
        <f t="shared" si="3"/>
        <v>654</v>
      </c>
      <c r="B655" s="207" t="s">
        <v>3180</v>
      </c>
      <c r="C655" s="207" t="s">
        <v>3181</v>
      </c>
      <c r="D655" s="207" t="s">
        <v>3182</v>
      </c>
      <c r="E655" s="207" t="s">
        <v>3183</v>
      </c>
      <c r="F655" s="207" t="s">
        <v>3180</v>
      </c>
      <c r="G655" s="207" t="s">
        <v>562</v>
      </c>
    </row>
    <row r="656">
      <c r="A656" s="207">
        <f t="shared" si="3"/>
        <v>655</v>
      </c>
      <c r="B656" s="207" t="s">
        <v>3184</v>
      </c>
      <c r="C656" s="207" t="s">
        <v>1326</v>
      </c>
      <c r="D656" s="207" t="s">
        <v>3185</v>
      </c>
      <c r="E656" s="207" t="s">
        <v>3186</v>
      </c>
      <c r="F656" s="207" t="s">
        <v>3187</v>
      </c>
      <c r="G656" s="208"/>
    </row>
    <row r="657">
      <c r="A657" s="207">
        <f t="shared" si="3"/>
        <v>656</v>
      </c>
      <c r="B657" s="207" t="s">
        <v>3188</v>
      </c>
      <c r="C657" s="207" t="s">
        <v>3189</v>
      </c>
      <c r="D657" s="207" t="s">
        <v>2157</v>
      </c>
      <c r="E657" s="207" t="s">
        <v>3190</v>
      </c>
      <c r="F657" s="207" t="s">
        <v>3191</v>
      </c>
      <c r="G657" s="208"/>
    </row>
    <row r="658">
      <c r="A658" s="207">
        <f t="shared" si="3"/>
        <v>657</v>
      </c>
      <c r="B658" s="207" t="s">
        <v>3192</v>
      </c>
      <c r="C658" s="207" t="s">
        <v>3193</v>
      </c>
      <c r="D658" s="207" t="s">
        <v>3194</v>
      </c>
      <c r="E658" s="207" t="s">
        <v>3195</v>
      </c>
      <c r="F658" s="207" t="s">
        <v>3196</v>
      </c>
      <c r="G658" s="208"/>
    </row>
    <row r="659">
      <c r="A659" s="207">
        <f t="shared" si="3"/>
        <v>658</v>
      </c>
      <c r="B659" s="207" t="s">
        <v>3197</v>
      </c>
      <c r="C659" s="207" t="s">
        <v>3198</v>
      </c>
      <c r="D659" s="207" t="s">
        <v>3199</v>
      </c>
      <c r="E659" s="207" t="s">
        <v>3200</v>
      </c>
      <c r="F659" s="207" t="s">
        <v>3201</v>
      </c>
      <c r="G659" s="208"/>
    </row>
    <row r="660">
      <c r="A660" s="207">
        <f t="shared" si="3"/>
        <v>659</v>
      </c>
      <c r="B660" s="207" t="s">
        <v>3202</v>
      </c>
      <c r="C660" s="207" t="s">
        <v>1326</v>
      </c>
      <c r="D660" s="207" t="s">
        <v>3203</v>
      </c>
      <c r="E660" s="207" t="s">
        <v>3204</v>
      </c>
      <c r="F660" s="207" t="s">
        <v>3205</v>
      </c>
      <c r="G660" s="208"/>
    </row>
    <row r="661">
      <c r="A661" s="207">
        <f t="shared" si="3"/>
        <v>660</v>
      </c>
      <c r="B661" s="207" t="s">
        <v>3206</v>
      </c>
      <c r="C661" s="207" t="s">
        <v>3207</v>
      </c>
      <c r="D661" s="207" t="s">
        <v>805</v>
      </c>
      <c r="E661" s="207" t="s">
        <v>3208</v>
      </c>
      <c r="F661" s="207" t="s">
        <v>3209</v>
      </c>
      <c r="G661" s="208"/>
    </row>
    <row r="662">
      <c r="A662" s="207">
        <f t="shared" si="3"/>
        <v>661</v>
      </c>
      <c r="B662" s="207" t="s">
        <v>3210</v>
      </c>
      <c r="C662" s="207" t="s">
        <v>1326</v>
      </c>
      <c r="D662" s="207" t="s">
        <v>3211</v>
      </c>
      <c r="E662" s="207" t="s">
        <v>3212</v>
      </c>
      <c r="F662" s="207" t="s">
        <v>3213</v>
      </c>
      <c r="G662" s="208"/>
    </row>
    <row r="663">
      <c r="A663" s="207">
        <f t="shared" si="3"/>
        <v>662</v>
      </c>
      <c r="B663" s="207" t="s">
        <v>3214</v>
      </c>
      <c r="C663" s="207" t="s">
        <v>1326</v>
      </c>
      <c r="D663" s="207" t="s">
        <v>3215</v>
      </c>
      <c r="E663" s="207" t="s">
        <v>1326</v>
      </c>
      <c r="F663" s="207" t="s">
        <v>3216</v>
      </c>
      <c r="G663" s="208"/>
    </row>
    <row r="664">
      <c r="A664" s="207">
        <f t="shared" si="3"/>
        <v>663</v>
      </c>
      <c r="B664" s="207" t="s">
        <v>3128</v>
      </c>
      <c r="C664" s="207" t="s">
        <v>3217</v>
      </c>
      <c r="D664" s="207" t="s">
        <v>3218</v>
      </c>
      <c r="E664" s="207" t="s">
        <v>3219</v>
      </c>
      <c r="F664" s="207" t="s">
        <v>3220</v>
      </c>
      <c r="G664" s="208"/>
    </row>
    <row r="665">
      <c r="A665" s="207">
        <f t="shared" si="3"/>
        <v>664</v>
      </c>
      <c r="B665" s="207" t="s">
        <v>3221</v>
      </c>
      <c r="C665" s="207" t="s">
        <v>3222</v>
      </c>
      <c r="D665" s="207" t="s">
        <v>3223</v>
      </c>
      <c r="E665" s="207" t="s">
        <v>3224</v>
      </c>
      <c r="F665" s="207" t="s">
        <v>3225</v>
      </c>
      <c r="G665" s="208"/>
    </row>
    <row r="666">
      <c r="A666" s="207">
        <f t="shared" si="3"/>
        <v>665</v>
      </c>
      <c r="B666" s="207" t="s">
        <v>3226</v>
      </c>
      <c r="C666" s="207" t="s">
        <v>3227</v>
      </c>
      <c r="D666" s="207" t="s">
        <v>3228</v>
      </c>
      <c r="E666" s="207" t="s">
        <v>3229</v>
      </c>
      <c r="F666" s="207" t="s">
        <v>3230</v>
      </c>
      <c r="G666" s="208"/>
    </row>
    <row r="667">
      <c r="A667" s="207">
        <f t="shared" si="3"/>
        <v>666</v>
      </c>
      <c r="B667" s="207" t="s">
        <v>3231</v>
      </c>
      <c r="C667" s="207" t="s">
        <v>3232</v>
      </c>
      <c r="D667" s="207" t="s">
        <v>451</v>
      </c>
      <c r="E667" s="207" t="s">
        <v>3233</v>
      </c>
      <c r="F667" s="207" t="s">
        <v>3234</v>
      </c>
      <c r="G667" s="208"/>
    </row>
    <row r="668">
      <c r="A668" s="207">
        <f t="shared" si="3"/>
        <v>667</v>
      </c>
      <c r="B668" s="207" t="s">
        <v>3235</v>
      </c>
      <c r="C668" s="207" t="s">
        <v>3236</v>
      </c>
      <c r="D668" s="207" t="s">
        <v>3237</v>
      </c>
      <c r="E668" s="207" t="s">
        <v>3238</v>
      </c>
      <c r="F668" s="207" t="s">
        <v>3239</v>
      </c>
      <c r="G668" s="208"/>
    </row>
    <row r="669">
      <c r="A669" s="207">
        <f t="shared" si="3"/>
        <v>668</v>
      </c>
      <c r="B669" s="207" t="s">
        <v>3240</v>
      </c>
      <c r="C669" s="207" t="s">
        <v>3241</v>
      </c>
      <c r="D669" s="207" t="s">
        <v>3242</v>
      </c>
      <c r="E669" s="207" t="s">
        <v>3243</v>
      </c>
      <c r="F669" s="207" t="s">
        <v>3244</v>
      </c>
      <c r="G669" s="208"/>
    </row>
    <row r="670">
      <c r="A670" s="207">
        <f t="shared" si="3"/>
        <v>669</v>
      </c>
      <c r="B670" s="207" t="s">
        <v>3245</v>
      </c>
      <c r="C670" s="207" t="s">
        <v>1326</v>
      </c>
      <c r="D670" s="207" t="s">
        <v>2157</v>
      </c>
      <c r="E670" s="207" t="s">
        <v>1326</v>
      </c>
      <c r="F670" s="207" t="s">
        <v>3246</v>
      </c>
      <c r="G670" s="208"/>
    </row>
    <row r="671">
      <c r="A671" s="207">
        <f t="shared" si="3"/>
        <v>670</v>
      </c>
      <c r="B671" s="207" t="s">
        <v>2097</v>
      </c>
      <c r="C671" s="207" t="s">
        <v>3247</v>
      </c>
      <c r="D671" s="207" t="s">
        <v>3248</v>
      </c>
      <c r="E671" s="207" t="s">
        <v>3249</v>
      </c>
      <c r="F671" s="207" t="s">
        <v>3250</v>
      </c>
      <c r="G671" s="208"/>
    </row>
    <row r="672">
      <c r="A672" s="207">
        <f t="shared" si="3"/>
        <v>671</v>
      </c>
      <c r="B672" s="207" t="s">
        <v>3251</v>
      </c>
      <c r="C672" s="207" t="s">
        <v>3252</v>
      </c>
      <c r="D672" s="207" t="s">
        <v>3253</v>
      </c>
      <c r="E672" s="207" t="s">
        <v>3254</v>
      </c>
      <c r="F672" s="207" t="s">
        <v>3255</v>
      </c>
      <c r="G672" s="208"/>
    </row>
    <row r="673">
      <c r="A673" s="207">
        <f t="shared" si="3"/>
        <v>672</v>
      </c>
      <c r="B673" s="207" t="s">
        <v>3256</v>
      </c>
      <c r="C673" s="207" t="s">
        <v>3257</v>
      </c>
      <c r="D673" s="207" t="s">
        <v>3258</v>
      </c>
      <c r="E673" s="207" t="s">
        <v>3259</v>
      </c>
      <c r="F673" s="207" t="s">
        <v>3260</v>
      </c>
      <c r="G673" s="208"/>
    </row>
    <row r="674">
      <c r="A674" s="207">
        <f t="shared" si="3"/>
        <v>673</v>
      </c>
      <c r="B674" s="207" t="s">
        <v>3261</v>
      </c>
      <c r="C674" s="207" t="s">
        <v>3262</v>
      </c>
      <c r="D674" s="207" t="s">
        <v>3263</v>
      </c>
      <c r="E674" s="207" t="s">
        <v>3264</v>
      </c>
      <c r="F674" s="207" t="s">
        <v>3265</v>
      </c>
      <c r="G674" s="208"/>
    </row>
    <row r="675">
      <c r="A675" s="207">
        <f t="shared" si="3"/>
        <v>674</v>
      </c>
      <c r="B675" s="207" t="s">
        <v>3266</v>
      </c>
      <c r="C675" s="207" t="s">
        <v>3267</v>
      </c>
      <c r="D675" s="207" t="s">
        <v>3268</v>
      </c>
      <c r="E675" s="207" t="s">
        <v>3269</v>
      </c>
      <c r="F675" s="207" t="s">
        <v>3270</v>
      </c>
      <c r="G675" s="208"/>
    </row>
    <row r="676">
      <c r="A676" s="207">
        <f t="shared" si="3"/>
        <v>675</v>
      </c>
      <c r="B676" s="207" t="s">
        <v>3271</v>
      </c>
      <c r="C676" s="207" t="s">
        <v>3272</v>
      </c>
      <c r="D676" s="207" t="s">
        <v>3041</v>
      </c>
      <c r="E676" s="207" t="s">
        <v>3273</v>
      </c>
      <c r="F676" s="207" t="s">
        <v>3274</v>
      </c>
      <c r="G676" s="208"/>
    </row>
    <row r="677">
      <c r="A677" s="207">
        <f t="shared" si="3"/>
        <v>676</v>
      </c>
      <c r="B677" s="207" t="s">
        <v>3275</v>
      </c>
      <c r="C677" s="207" t="s">
        <v>3276</v>
      </c>
      <c r="D677" s="207" t="s">
        <v>3277</v>
      </c>
      <c r="E677" s="207" t="s">
        <v>3278</v>
      </c>
      <c r="F677" s="207" t="s">
        <v>3279</v>
      </c>
      <c r="G677" s="208"/>
    </row>
    <row r="678">
      <c r="A678" s="207">
        <f t="shared" si="3"/>
        <v>677</v>
      </c>
      <c r="B678" s="207" t="s">
        <v>3280</v>
      </c>
      <c r="C678" s="207" t="s">
        <v>3281</v>
      </c>
      <c r="D678" s="207" t="s">
        <v>3282</v>
      </c>
      <c r="E678" s="207" t="s">
        <v>3283</v>
      </c>
      <c r="F678" s="207" t="s">
        <v>3284</v>
      </c>
      <c r="G678" s="208"/>
    </row>
    <row r="679">
      <c r="A679" s="207">
        <f t="shared" si="3"/>
        <v>678</v>
      </c>
      <c r="B679" s="207" t="s">
        <v>3285</v>
      </c>
      <c r="C679" s="207" t="s">
        <v>3286</v>
      </c>
      <c r="D679" s="207" t="s">
        <v>451</v>
      </c>
      <c r="E679" s="207" t="s">
        <v>3287</v>
      </c>
      <c r="F679" s="207" t="s">
        <v>3288</v>
      </c>
      <c r="G679" s="208"/>
    </row>
    <row r="680">
      <c r="A680" s="207">
        <f t="shared" si="3"/>
        <v>679</v>
      </c>
      <c r="B680" s="207" t="s">
        <v>3289</v>
      </c>
      <c r="C680" s="207" t="s">
        <v>3290</v>
      </c>
      <c r="D680" s="207" t="s">
        <v>3291</v>
      </c>
      <c r="E680" s="207" t="s">
        <v>3292</v>
      </c>
      <c r="F680" s="207" t="s">
        <v>3293</v>
      </c>
      <c r="G680" s="208"/>
    </row>
    <row r="681">
      <c r="A681" s="207">
        <f t="shared" si="3"/>
        <v>680</v>
      </c>
      <c r="B681" s="207" t="s">
        <v>3294</v>
      </c>
      <c r="C681" s="207" t="s">
        <v>3295</v>
      </c>
      <c r="D681" s="207" t="s">
        <v>2823</v>
      </c>
      <c r="E681" s="207" t="s">
        <v>3296</v>
      </c>
      <c r="F681" s="207" t="s">
        <v>3297</v>
      </c>
      <c r="G681" s="208"/>
    </row>
    <row r="682">
      <c r="A682" s="207">
        <f t="shared" si="3"/>
        <v>681</v>
      </c>
      <c r="B682" s="207" t="s">
        <v>3298</v>
      </c>
      <c r="C682" s="207" t="s">
        <v>3299</v>
      </c>
      <c r="D682" s="207" t="s">
        <v>3300</v>
      </c>
      <c r="E682" s="207" t="s">
        <v>3301</v>
      </c>
      <c r="F682" s="207" t="s">
        <v>3302</v>
      </c>
      <c r="G682" s="208"/>
    </row>
    <row r="683">
      <c r="A683" s="207">
        <f t="shared" si="3"/>
        <v>682</v>
      </c>
      <c r="B683" s="207" t="s">
        <v>3303</v>
      </c>
      <c r="C683" s="207" t="s">
        <v>3304</v>
      </c>
      <c r="D683" s="207" t="s">
        <v>3305</v>
      </c>
      <c r="E683" s="207" t="s">
        <v>3306</v>
      </c>
      <c r="F683" s="207" t="s">
        <v>3307</v>
      </c>
      <c r="G683" s="208"/>
    </row>
    <row r="684">
      <c r="A684" s="207">
        <f t="shared" si="3"/>
        <v>683</v>
      </c>
      <c r="B684" s="207" t="s">
        <v>3308</v>
      </c>
      <c r="C684" s="207" t="s">
        <v>3309</v>
      </c>
      <c r="D684" s="207" t="s">
        <v>3310</v>
      </c>
      <c r="E684" s="207" t="s">
        <v>3311</v>
      </c>
      <c r="F684" s="207" t="s">
        <v>3312</v>
      </c>
      <c r="G684" s="208"/>
    </row>
    <row r="685">
      <c r="A685" s="207">
        <f t="shared" si="3"/>
        <v>684</v>
      </c>
      <c r="B685" s="207" t="s">
        <v>3313</v>
      </c>
      <c r="C685" s="207" t="s">
        <v>3314</v>
      </c>
      <c r="D685" s="207" t="s">
        <v>3315</v>
      </c>
      <c r="E685" s="207" t="s">
        <v>3316</v>
      </c>
      <c r="F685" s="207" t="s">
        <v>3317</v>
      </c>
      <c r="G685" s="208"/>
    </row>
    <row r="686">
      <c r="A686" s="207">
        <f t="shared" si="3"/>
        <v>685</v>
      </c>
      <c r="B686" s="207" t="s">
        <v>3318</v>
      </c>
      <c r="C686" s="207" t="s">
        <v>3319</v>
      </c>
      <c r="D686" s="207" t="s">
        <v>3320</v>
      </c>
      <c r="E686" s="207" t="s">
        <v>3321</v>
      </c>
      <c r="F686" s="207" t="s">
        <v>3318</v>
      </c>
      <c r="G686" s="207" t="s">
        <v>562</v>
      </c>
    </row>
    <row r="687">
      <c r="A687" s="207">
        <f t="shared" si="3"/>
        <v>686</v>
      </c>
      <c r="B687" s="207" t="s">
        <v>3322</v>
      </c>
      <c r="C687" s="207" t="s">
        <v>3323</v>
      </c>
      <c r="D687" s="207" t="s">
        <v>3324</v>
      </c>
      <c r="E687" s="207" t="s">
        <v>3325</v>
      </c>
      <c r="F687" s="207" t="s">
        <v>3326</v>
      </c>
      <c r="G687" s="208"/>
    </row>
    <row r="688">
      <c r="A688" s="207">
        <f t="shared" si="3"/>
        <v>687</v>
      </c>
      <c r="B688" s="207" t="s">
        <v>3327</v>
      </c>
      <c r="C688" s="207" t="s">
        <v>3328</v>
      </c>
      <c r="D688" s="207" t="s">
        <v>3315</v>
      </c>
      <c r="E688" s="207" t="s">
        <v>3329</v>
      </c>
      <c r="F688" s="207" t="s">
        <v>3330</v>
      </c>
      <c r="G688" s="208"/>
    </row>
    <row r="689">
      <c r="A689" s="207">
        <f t="shared" si="3"/>
        <v>688</v>
      </c>
      <c r="B689" s="207" t="s">
        <v>3331</v>
      </c>
      <c r="C689" s="207" t="s">
        <v>3332</v>
      </c>
      <c r="D689" s="207" t="s">
        <v>3333</v>
      </c>
      <c r="E689" s="207" t="s">
        <v>3334</v>
      </c>
      <c r="F689" s="207" t="s">
        <v>3335</v>
      </c>
      <c r="G689" s="208"/>
    </row>
    <row r="690">
      <c r="A690" s="207">
        <f t="shared" si="3"/>
        <v>689</v>
      </c>
      <c r="B690" s="207" t="s">
        <v>3336</v>
      </c>
      <c r="C690" s="207" t="s">
        <v>3337</v>
      </c>
      <c r="D690" s="207" t="s">
        <v>3338</v>
      </c>
      <c r="E690" s="207" t="s">
        <v>3339</v>
      </c>
      <c r="F690" s="207" t="s">
        <v>3340</v>
      </c>
      <c r="G690" s="208"/>
    </row>
    <row r="691">
      <c r="A691" s="207">
        <f t="shared" si="3"/>
        <v>690</v>
      </c>
      <c r="B691" s="207" t="s">
        <v>3341</v>
      </c>
      <c r="C691" s="207" t="s">
        <v>3342</v>
      </c>
      <c r="D691" s="207" t="s">
        <v>3343</v>
      </c>
      <c r="E691" s="207" t="s">
        <v>3344</v>
      </c>
      <c r="F691" s="207" t="s">
        <v>3345</v>
      </c>
      <c r="G691" s="208"/>
    </row>
    <row r="692">
      <c r="A692" s="207">
        <f t="shared" si="3"/>
        <v>691</v>
      </c>
      <c r="B692" s="207" t="s">
        <v>3346</v>
      </c>
      <c r="C692" s="207" t="s">
        <v>3347</v>
      </c>
      <c r="D692" s="207" t="s">
        <v>3348</v>
      </c>
      <c r="E692" s="207" t="s">
        <v>3349</v>
      </c>
      <c r="F692" s="207" t="s">
        <v>3350</v>
      </c>
      <c r="G692" s="208"/>
    </row>
    <row r="693">
      <c r="A693" s="207">
        <f t="shared" si="3"/>
        <v>692</v>
      </c>
      <c r="B693" s="207" t="s">
        <v>3351</v>
      </c>
      <c r="C693" s="207" t="s">
        <v>3352</v>
      </c>
      <c r="D693" s="207" t="s">
        <v>3353</v>
      </c>
      <c r="E693" s="207" t="s">
        <v>3354</v>
      </c>
      <c r="F693" s="207" t="s">
        <v>3355</v>
      </c>
      <c r="G693" s="208"/>
    </row>
    <row r="694">
      <c r="A694" s="207">
        <f t="shared" si="3"/>
        <v>693</v>
      </c>
      <c r="B694" s="207" t="s">
        <v>3356</v>
      </c>
      <c r="C694" s="207" t="s">
        <v>3357</v>
      </c>
      <c r="D694" s="207" t="s">
        <v>3338</v>
      </c>
      <c r="E694" s="207" t="s">
        <v>3358</v>
      </c>
      <c r="F694" s="207" t="s">
        <v>1666</v>
      </c>
      <c r="G694" s="208"/>
    </row>
    <row r="695">
      <c r="A695" s="207">
        <f t="shared" si="3"/>
        <v>694</v>
      </c>
      <c r="B695" s="207" t="s">
        <v>3359</v>
      </c>
      <c r="C695" s="207" t="s">
        <v>3360</v>
      </c>
      <c r="D695" s="207" t="s">
        <v>3361</v>
      </c>
      <c r="E695" s="207" t="s">
        <v>3362</v>
      </c>
      <c r="F695" s="207" t="s">
        <v>2628</v>
      </c>
      <c r="G695" s="208"/>
    </row>
    <row r="696">
      <c r="A696" s="207">
        <f t="shared" si="3"/>
        <v>695</v>
      </c>
      <c r="B696" s="207" t="s">
        <v>3363</v>
      </c>
      <c r="C696" s="207" t="s">
        <v>3364</v>
      </c>
      <c r="D696" s="207" t="s">
        <v>451</v>
      </c>
      <c r="E696" s="207" t="s">
        <v>3365</v>
      </c>
      <c r="F696" s="207" t="s">
        <v>3366</v>
      </c>
      <c r="G696" s="208"/>
    </row>
    <row r="697">
      <c r="A697" s="207">
        <f t="shared" si="3"/>
        <v>696</v>
      </c>
      <c r="B697" s="207" t="s">
        <v>3367</v>
      </c>
      <c r="C697" s="207" t="s">
        <v>3368</v>
      </c>
      <c r="D697" s="207" t="s">
        <v>3369</v>
      </c>
      <c r="E697" s="207" t="s">
        <v>3370</v>
      </c>
      <c r="F697" s="207" t="s">
        <v>3371</v>
      </c>
      <c r="G697" s="208"/>
    </row>
    <row r="698" hidden="1">
      <c r="A698" s="207">
        <v>697.0</v>
      </c>
      <c r="B698" s="209" t="s">
        <v>216</v>
      </c>
      <c r="C698" s="209" t="s">
        <v>216</v>
      </c>
      <c r="D698" s="209" t="s">
        <v>216</v>
      </c>
      <c r="E698" s="209" t="s">
        <v>216</v>
      </c>
      <c r="F698" s="209" t="s">
        <v>216</v>
      </c>
      <c r="G698" s="209" t="s">
        <v>488</v>
      </c>
    </row>
    <row r="699" hidden="1">
      <c r="A699" s="207">
        <f t="shared" ref="A699:A1212" si="4">A698+1</f>
        <v>698</v>
      </c>
      <c r="B699" s="209" t="s">
        <v>216</v>
      </c>
      <c r="C699" s="209" t="s">
        <v>216</v>
      </c>
      <c r="D699" s="209" t="s">
        <v>216</v>
      </c>
      <c r="E699" s="209" t="s">
        <v>216</v>
      </c>
      <c r="F699" s="209" t="s">
        <v>216</v>
      </c>
      <c r="G699" s="209" t="s">
        <v>488</v>
      </c>
    </row>
    <row r="700" hidden="1">
      <c r="A700" s="207">
        <f t="shared" si="4"/>
        <v>699</v>
      </c>
      <c r="B700" s="209" t="s">
        <v>216</v>
      </c>
      <c r="C700" s="209" t="s">
        <v>216</v>
      </c>
      <c r="D700" s="209" t="s">
        <v>216</v>
      </c>
      <c r="E700" s="209" t="s">
        <v>216</v>
      </c>
      <c r="F700" s="209" t="s">
        <v>216</v>
      </c>
      <c r="G700" s="209" t="s">
        <v>488</v>
      </c>
    </row>
    <row r="701" hidden="1">
      <c r="A701" s="207">
        <f t="shared" si="4"/>
        <v>700</v>
      </c>
      <c r="B701" s="209" t="s">
        <v>216</v>
      </c>
      <c r="C701" s="209" t="s">
        <v>216</v>
      </c>
      <c r="D701" s="209" t="s">
        <v>216</v>
      </c>
      <c r="E701" s="209" t="s">
        <v>216</v>
      </c>
      <c r="F701" s="209" t="s">
        <v>216</v>
      </c>
      <c r="G701" s="209" t="s">
        <v>488</v>
      </c>
    </row>
    <row r="702" hidden="1">
      <c r="A702" s="207">
        <f t="shared" si="4"/>
        <v>701</v>
      </c>
      <c r="B702" s="209" t="s">
        <v>216</v>
      </c>
      <c r="C702" s="209" t="s">
        <v>216</v>
      </c>
      <c r="D702" s="209" t="s">
        <v>216</v>
      </c>
      <c r="E702" s="209" t="s">
        <v>216</v>
      </c>
      <c r="F702" s="209" t="s">
        <v>216</v>
      </c>
      <c r="G702" s="209" t="s">
        <v>488</v>
      </c>
    </row>
    <row r="703">
      <c r="A703" s="207">
        <f t="shared" si="4"/>
        <v>702</v>
      </c>
      <c r="B703" s="207" t="s">
        <v>3372</v>
      </c>
      <c r="C703" s="207" t="s">
        <v>3373</v>
      </c>
      <c r="D703" s="207" t="s">
        <v>3374</v>
      </c>
      <c r="E703" s="207" t="s">
        <v>3375</v>
      </c>
      <c r="F703" s="207" t="s">
        <v>3376</v>
      </c>
      <c r="G703" s="208"/>
    </row>
    <row r="704">
      <c r="A704" s="207">
        <f t="shared" si="4"/>
        <v>703</v>
      </c>
      <c r="B704" s="207" t="s">
        <v>3377</v>
      </c>
      <c r="C704" s="207" t="s">
        <v>3378</v>
      </c>
      <c r="D704" s="207" t="s">
        <v>3379</v>
      </c>
      <c r="E704" s="207" t="s">
        <v>3380</v>
      </c>
      <c r="F704" s="207" t="s">
        <v>3381</v>
      </c>
      <c r="G704" s="208" t="s">
        <v>1444</v>
      </c>
    </row>
    <row r="705">
      <c r="A705" s="207">
        <f t="shared" si="4"/>
        <v>704</v>
      </c>
      <c r="B705" s="207" t="s">
        <v>3382</v>
      </c>
      <c r="C705" s="207" t="s">
        <v>3383</v>
      </c>
      <c r="D705" s="207" t="s">
        <v>3384</v>
      </c>
      <c r="E705" s="207" t="s">
        <v>3385</v>
      </c>
      <c r="F705" s="207" t="s">
        <v>3386</v>
      </c>
      <c r="G705" s="208" t="s">
        <v>1444</v>
      </c>
    </row>
    <row r="706">
      <c r="A706" s="207">
        <f t="shared" si="4"/>
        <v>705</v>
      </c>
      <c r="B706" s="207" t="s">
        <v>3387</v>
      </c>
      <c r="C706" s="207" t="s">
        <v>3388</v>
      </c>
      <c r="D706" s="207" t="s">
        <v>3389</v>
      </c>
      <c r="E706" s="207" t="s">
        <v>3390</v>
      </c>
      <c r="F706" s="207" t="s">
        <v>3391</v>
      </c>
      <c r="G706" s="208" t="s">
        <v>1444</v>
      </c>
    </row>
    <row r="707">
      <c r="A707" s="207">
        <f t="shared" si="4"/>
        <v>706</v>
      </c>
      <c r="B707" s="207" t="s">
        <v>3392</v>
      </c>
      <c r="C707" s="207" t="s">
        <v>3393</v>
      </c>
      <c r="D707" s="207" t="s">
        <v>3394</v>
      </c>
      <c r="E707" s="207" t="s">
        <v>3395</v>
      </c>
      <c r="F707" s="207" t="s">
        <v>3396</v>
      </c>
      <c r="G707" s="208" t="s">
        <v>1444</v>
      </c>
    </row>
    <row r="708">
      <c r="A708" s="207">
        <f t="shared" si="4"/>
        <v>707</v>
      </c>
      <c r="B708" s="207" t="s">
        <v>3397</v>
      </c>
      <c r="C708" s="207" t="s">
        <v>1326</v>
      </c>
      <c r="D708" s="207" t="s">
        <v>3398</v>
      </c>
      <c r="E708" s="207" t="s">
        <v>3399</v>
      </c>
      <c r="F708" s="207" t="s">
        <v>3400</v>
      </c>
      <c r="G708" s="208" t="s">
        <v>1444</v>
      </c>
    </row>
    <row r="709">
      <c r="A709" s="207">
        <f t="shared" si="4"/>
        <v>708</v>
      </c>
      <c r="B709" s="207" t="s">
        <v>3401</v>
      </c>
      <c r="C709" s="207" t="s">
        <v>3402</v>
      </c>
      <c r="D709" s="207" t="s">
        <v>451</v>
      </c>
      <c r="E709" s="207" t="s">
        <v>3403</v>
      </c>
      <c r="F709" s="207" t="s">
        <v>3404</v>
      </c>
      <c r="G709" s="208" t="s">
        <v>1444</v>
      </c>
    </row>
    <row r="710">
      <c r="A710" s="207">
        <f t="shared" si="4"/>
        <v>709</v>
      </c>
      <c r="B710" s="207" t="s">
        <v>3405</v>
      </c>
      <c r="C710" s="207" t="s">
        <v>1326</v>
      </c>
      <c r="D710" s="207" t="s">
        <v>3406</v>
      </c>
      <c r="E710" s="207" t="s">
        <v>3407</v>
      </c>
      <c r="F710" s="207" t="s">
        <v>3408</v>
      </c>
      <c r="G710" s="208" t="s">
        <v>1444</v>
      </c>
    </row>
    <row r="711">
      <c r="A711" s="207">
        <f t="shared" si="4"/>
        <v>710</v>
      </c>
      <c r="B711" s="207" t="s">
        <v>3409</v>
      </c>
      <c r="C711" s="207" t="s">
        <v>3410</v>
      </c>
      <c r="D711" s="207" t="s">
        <v>451</v>
      </c>
      <c r="E711" s="207" t="s">
        <v>3411</v>
      </c>
      <c r="F711" s="207" t="s">
        <v>3412</v>
      </c>
      <c r="G711" s="208" t="s">
        <v>1444</v>
      </c>
    </row>
    <row r="712" hidden="1">
      <c r="A712" s="207">
        <f t="shared" si="4"/>
        <v>711</v>
      </c>
      <c r="B712" s="209" t="s">
        <v>216</v>
      </c>
      <c r="C712" s="209" t="s">
        <v>216</v>
      </c>
      <c r="D712" s="209" t="s">
        <v>216</v>
      </c>
      <c r="E712" s="209" t="s">
        <v>216</v>
      </c>
      <c r="F712" s="209" t="s">
        <v>216</v>
      </c>
      <c r="G712" s="209" t="s">
        <v>488</v>
      </c>
    </row>
    <row r="713" hidden="1">
      <c r="A713" s="207">
        <f t="shared" si="4"/>
        <v>712</v>
      </c>
      <c r="B713" s="209" t="s">
        <v>216</v>
      </c>
      <c r="C713" s="209" t="s">
        <v>216</v>
      </c>
      <c r="D713" s="209" t="s">
        <v>216</v>
      </c>
      <c r="E713" s="209" t="s">
        <v>216</v>
      </c>
      <c r="F713" s="209" t="s">
        <v>216</v>
      </c>
      <c r="G713" s="209" t="s">
        <v>488</v>
      </c>
    </row>
    <row r="714" hidden="1">
      <c r="A714" s="207">
        <f t="shared" si="4"/>
        <v>713</v>
      </c>
      <c r="B714" s="209" t="s">
        <v>216</v>
      </c>
      <c r="C714" s="209" t="s">
        <v>216</v>
      </c>
      <c r="D714" s="209" t="s">
        <v>216</v>
      </c>
      <c r="E714" s="209" t="s">
        <v>216</v>
      </c>
      <c r="F714" s="209" t="s">
        <v>216</v>
      </c>
      <c r="G714" s="209" t="s">
        <v>488</v>
      </c>
    </row>
    <row r="715" hidden="1">
      <c r="A715" s="207">
        <f t="shared" si="4"/>
        <v>714</v>
      </c>
      <c r="B715" s="209" t="s">
        <v>216</v>
      </c>
      <c r="C715" s="209" t="s">
        <v>216</v>
      </c>
      <c r="D715" s="209" t="s">
        <v>216</v>
      </c>
      <c r="E715" s="209" t="s">
        <v>216</v>
      </c>
      <c r="F715" s="209" t="s">
        <v>216</v>
      </c>
      <c r="G715" s="209" t="s">
        <v>488</v>
      </c>
    </row>
    <row r="716">
      <c r="A716" s="207">
        <f t="shared" si="4"/>
        <v>715</v>
      </c>
      <c r="B716" s="207" t="s">
        <v>3413</v>
      </c>
      <c r="C716" s="207" t="s">
        <v>3414</v>
      </c>
      <c r="D716" s="207" t="s">
        <v>451</v>
      </c>
      <c r="E716" s="207" t="s">
        <v>3415</v>
      </c>
      <c r="F716" s="207" t="s">
        <v>3416</v>
      </c>
      <c r="G716" s="208" t="s">
        <v>1444</v>
      </c>
    </row>
    <row r="717">
      <c r="A717" s="207">
        <f t="shared" si="4"/>
        <v>716</v>
      </c>
      <c r="B717" s="207" t="s">
        <v>3417</v>
      </c>
      <c r="C717" s="207" t="s">
        <v>3418</v>
      </c>
      <c r="D717" s="207" t="s">
        <v>3419</v>
      </c>
      <c r="E717" s="207" t="s">
        <v>3420</v>
      </c>
      <c r="F717" s="207" t="s">
        <v>3421</v>
      </c>
      <c r="G717" s="208" t="s">
        <v>1444</v>
      </c>
    </row>
    <row r="718">
      <c r="A718" s="207">
        <f t="shared" si="4"/>
        <v>717</v>
      </c>
      <c r="B718" s="207" t="s">
        <v>3422</v>
      </c>
      <c r="C718" s="207" t="s">
        <v>3423</v>
      </c>
      <c r="D718" s="207" t="s">
        <v>3424</v>
      </c>
      <c r="E718" s="207" t="s">
        <v>3425</v>
      </c>
      <c r="F718" s="207" t="s">
        <v>3426</v>
      </c>
      <c r="G718" s="208" t="s">
        <v>1444</v>
      </c>
    </row>
    <row r="719" hidden="1">
      <c r="A719" s="207">
        <f t="shared" si="4"/>
        <v>718</v>
      </c>
      <c r="B719" s="211" t="s">
        <v>1444</v>
      </c>
      <c r="C719" s="207" t="s">
        <v>3427</v>
      </c>
      <c r="D719" s="207" t="s">
        <v>3428</v>
      </c>
      <c r="E719" s="207" t="s">
        <v>3429</v>
      </c>
      <c r="F719" s="207" t="s">
        <v>3430</v>
      </c>
      <c r="G719" s="208" t="s">
        <v>1444</v>
      </c>
    </row>
    <row r="720" hidden="1">
      <c r="A720" s="207">
        <f t="shared" si="4"/>
        <v>719</v>
      </c>
      <c r="B720" s="209" t="s">
        <v>216</v>
      </c>
      <c r="C720" s="209" t="s">
        <v>216</v>
      </c>
      <c r="D720" s="209" t="s">
        <v>216</v>
      </c>
      <c r="E720" s="209" t="s">
        <v>216</v>
      </c>
      <c r="F720" s="209" t="s">
        <v>216</v>
      </c>
      <c r="G720" s="209" t="s">
        <v>488</v>
      </c>
    </row>
    <row r="721" hidden="1">
      <c r="A721" s="207">
        <f t="shared" si="4"/>
        <v>720</v>
      </c>
      <c r="B721" s="209" t="s">
        <v>216</v>
      </c>
      <c r="C721" s="209" t="s">
        <v>216</v>
      </c>
      <c r="D721" s="209" t="s">
        <v>216</v>
      </c>
      <c r="E721" s="209" t="s">
        <v>216</v>
      </c>
      <c r="F721" s="209" t="s">
        <v>216</v>
      </c>
      <c r="G721" s="209" t="s">
        <v>488</v>
      </c>
    </row>
    <row r="722" hidden="1">
      <c r="A722" s="207">
        <f t="shared" si="4"/>
        <v>721</v>
      </c>
      <c r="B722" s="209" t="s">
        <v>216</v>
      </c>
      <c r="C722" s="209" t="s">
        <v>216</v>
      </c>
      <c r="D722" s="209" t="s">
        <v>216</v>
      </c>
      <c r="E722" s="209" t="s">
        <v>216</v>
      </c>
      <c r="F722" s="209" t="s">
        <v>216</v>
      </c>
      <c r="G722" s="209" t="s">
        <v>488</v>
      </c>
    </row>
    <row r="723" hidden="1">
      <c r="A723" s="207">
        <f t="shared" si="4"/>
        <v>722</v>
      </c>
      <c r="B723" s="209" t="s">
        <v>216</v>
      </c>
      <c r="C723" s="209" t="s">
        <v>216</v>
      </c>
      <c r="D723" s="209" t="s">
        <v>216</v>
      </c>
      <c r="E723" s="209" t="s">
        <v>216</v>
      </c>
      <c r="F723" s="209" t="s">
        <v>216</v>
      </c>
      <c r="G723" s="209" t="s">
        <v>488</v>
      </c>
    </row>
    <row r="724">
      <c r="A724" s="207">
        <f t="shared" si="4"/>
        <v>723</v>
      </c>
      <c r="B724" s="207">
        <v>322.0</v>
      </c>
      <c r="C724" s="207" t="s">
        <v>3431</v>
      </c>
      <c r="D724" s="207" t="s">
        <v>3432</v>
      </c>
      <c r="E724" s="207" t="s">
        <v>3433</v>
      </c>
      <c r="F724" s="207" t="s">
        <v>3434</v>
      </c>
      <c r="G724" s="207" t="s">
        <v>562</v>
      </c>
    </row>
    <row r="725">
      <c r="A725" s="207">
        <f t="shared" si="4"/>
        <v>724</v>
      </c>
      <c r="B725" s="207" t="s">
        <v>3435</v>
      </c>
      <c r="C725" s="207" t="s">
        <v>3436</v>
      </c>
      <c r="D725" s="207" t="s">
        <v>3437</v>
      </c>
      <c r="E725" s="207" t="s">
        <v>3438</v>
      </c>
      <c r="F725" s="207" t="s">
        <v>3439</v>
      </c>
      <c r="G725" s="208" t="s">
        <v>1444</v>
      </c>
    </row>
    <row r="726">
      <c r="A726" s="207">
        <f t="shared" si="4"/>
        <v>725</v>
      </c>
      <c r="B726" s="207" t="s">
        <v>3440</v>
      </c>
      <c r="C726" s="207" t="s">
        <v>3441</v>
      </c>
      <c r="D726" s="207" t="s">
        <v>3442</v>
      </c>
      <c r="E726" s="207" t="s">
        <v>3443</v>
      </c>
      <c r="F726" s="207" t="s">
        <v>3444</v>
      </c>
      <c r="G726" s="208" t="s">
        <v>1444</v>
      </c>
    </row>
    <row r="727">
      <c r="A727" s="207">
        <f t="shared" si="4"/>
        <v>726</v>
      </c>
      <c r="B727" s="207" t="s">
        <v>3445</v>
      </c>
      <c r="C727" s="207" t="s">
        <v>3446</v>
      </c>
      <c r="D727" s="207" t="s">
        <v>3447</v>
      </c>
      <c r="E727" s="207" t="s">
        <v>3448</v>
      </c>
      <c r="F727" s="207" t="s">
        <v>3449</v>
      </c>
      <c r="G727" s="208" t="s">
        <v>1444</v>
      </c>
    </row>
    <row r="728">
      <c r="A728" s="207">
        <f t="shared" si="4"/>
        <v>727</v>
      </c>
      <c r="B728" s="207" t="s">
        <v>3450</v>
      </c>
      <c r="C728" s="207" t="s">
        <v>3451</v>
      </c>
      <c r="D728" s="207" t="s">
        <v>3452</v>
      </c>
      <c r="E728" s="207" t="s">
        <v>3453</v>
      </c>
      <c r="F728" s="207" t="s">
        <v>3454</v>
      </c>
      <c r="G728" s="208" t="s">
        <v>1444</v>
      </c>
    </row>
    <row r="729">
      <c r="A729" s="207">
        <f t="shared" si="4"/>
        <v>728</v>
      </c>
      <c r="B729" s="207" t="s">
        <v>3455</v>
      </c>
      <c r="C729" s="207" t="s">
        <v>3456</v>
      </c>
      <c r="D729" s="207" t="s">
        <v>3457</v>
      </c>
      <c r="E729" s="207" t="s">
        <v>3458</v>
      </c>
      <c r="F729" s="207" t="s">
        <v>3459</v>
      </c>
      <c r="G729" s="208" t="s">
        <v>1444</v>
      </c>
    </row>
    <row r="730">
      <c r="A730" s="207">
        <f t="shared" si="4"/>
        <v>729</v>
      </c>
      <c r="B730" s="207" t="s">
        <v>3460</v>
      </c>
      <c r="C730" s="207" t="s">
        <v>3461</v>
      </c>
      <c r="D730" s="207" t="s">
        <v>3462</v>
      </c>
      <c r="E730" s="207" t="s">
        <v>3463</v>
      </c>
      <c r="F730" s="207" t="s">
        <v>3464</v>
      </c>
      <c r="G730" s="208" t="s">
        <v>1444</v>
      </c>
    </row>
    <row r="731">
      <c r="A731" s="207">
        <f t="shared" si="4"/>
        <v>730</v>
      </c>
      <c r="B731" s="207" t="s">
        <v>3465</v>
      </c>
      <c r="C731" s="207" t="s">
        <v>3466</v>
      </c>
      <c r="D731" s="207" t="s">
        <v>3467</v>
      </c>
      <c r="E731" s="207" t="s">
        <v>3468</v>
      </c>
      <c r="F731" s="207" t="s">
        <v>3469</v>
      </c>
      <c r="G731" s="208" t="s">
        <v>1444</v>
      </c>
    </row>
    <row r="732">
      <c r="A732" s="207">
        <f t="shared" si="4"/>
        <v>731</v>
      </c>
      <c r="B732" s="207" t="s">
        <v>3470</v>
      </c>
      <c r="C732" s="207" t="s">
        <v>3471</v>
      </c>
      <c r="D732" s="207" t="s">
        <v>3472</v>
      </c>
      <c r="E732" s="207" t="s">
        <v>3473</v>
      </c>
      <c r="F732" s="207" t="s">
        <v>3474</v>
      </c>
      <c r="G732" s="208" t="s">
        <v>1444</v>
      </c>
    </row>
    <row r="733">
      <c r="A733" s="207">
        <f t="shared" si="4"/>
        <v>732</v>
      </c>
      <c r="B733" s="207" t="s">
        <v>1492</v>
      </c>
      <c r="C733" s="207" t="s">
        <v>3475</v>
      </c>
      <c r="D733" s="207" t="s">
        <v>3476</v>
      </c>
      <c r="E733" s="207" t="s">
        <v>3477</v>
      </c>
      <c r="F733" s="207" t="s">
        <v>3478</v>
      </c>
      <c r="G733" s="208" t="s">
        <v>1444</v>
      </c>
    </row>
    <row r="734">
      <c r="A734" s="207">
        <f t="shared" si="4"/>
        <v>733</v>
      </c>
      <c r="B734" s="207" t="s">
        <v>3479</v>
      </c>
      <c r="C734" s="207" t="s">
        <v>3480</v>
      </c>
      <c r="D734" s="207" t="s">
        <v>3481</v>
      </c>
      <c r="E734" s="207" t="s">
        <v>3482</v>
      </c>
      <c r="F734" s="207" t="s">
        <v>3483</v>
      </c>
      <c r="G734" s="208" t="s">
        <v>1444</v>
      </c>
    </row>
    <row r="735">
      <c r="A735" s="207">
        <f t="shared" si="4"/>
        <v>734</v>
      </c>
      <c r="B735" s="207" t="s">
        <v>3484</v>
      </c>
      <c r="C735" s="207" t="s">
        <v>3485</v>
      </c>
      <c r="D735" s="207" t="s">
        <v>3486</v>
      </c>
      <c r="E735" s="207" t="s">
        <v>3487</v>
      </c>
      <c r="F735" s="207" t="s">
        <v>3488</v>
      </c>
      <c r="G735" s="208" t="s">
        <v>1444</v>
      </c>
    </row>
    <row r="736" hidden="1">
      <c r="A736" s="207">
        <f t="shared" si="4"/>
        <v>735</v>
      </c>
      <c r="B736" s="209" t="s">
        <v>216</v>
      </c>
      <c r="C736" s="209" t="s">
        <v>216</v>
      </c>
      <c r="D736" s="209" t="s">
        <v>216</v>
      </c>
      <c r="E736" s="209" t="s">
        <v>216</v>
      </c>
      <c r="F736" s="209" t="s">
        <v>216</v>
      </c>
      <c r="G736" s="209" t="s">
        <v>488</v>
      </c>
    </row>
    <row r="737" hidden="1">
      <c r="A737" s="207">
        <f t="shared" si="4"/>
        <v>736</v>
      </c>
      <c r="B737" s="209" t="s">
        <v>216</v>
      </c>
      <c r="C737" s="209" t="s">
        <v>216</v>
      </c>
      <c r="D737" s="209" t="s">
        <v>216</v>
      </c>
      <c r="E737" s="209" t="s">
        <v>216</v>
      </c>
      <c r="F737" s="209" t="s">
        <v>216</v>
      </c>
      <c r="G737" s="209" t="s">
        <v>488</v>
      </c>
    </row>
    <row r="738" hidden="1">
      <c r="A738" s="207">
        <f t="shared" si="4"/>
        <v>737</v>
      </c>
      <c r="B738" s="209" t="s">
        <v>216</v>
      </c>
      <c r="C738" s="209" t="s">
        <v>216</v>
      </c>
      <c r="D738" s="209" t="s">
        <v>216</v>
      </c>
      <c r="E738" s="209" t="s">
        <v>216</v>
      </c>
      <c r="F738" s="209" t="s">
        <v>216</v>
      </c>
      <c r="G738" s="209" t="s">
        <v>488</v>
      </c>
    </row>
    <row r="739">
      <c r="A739" s="207">
        <f t="shared" si="4"/>
        <v>738</v>
      </c>
      <c r="B739" s="207" t="s">
        <v>3489</v>
      </c>
      <c r="C739" s="207" t="s">
        <v>3490</v>
      </c>
      <c r="D739" s="207" t="s">
        <v>3491</v>
      </c>
      <c r="E739" s="207" t="s">
        <v>1799</v>
      </c>
      <c r="F739" s="207" t="s">
        <v>3492</v>
      </c>
      <c r="G739" s="208" t="s">
        <v>1444</v>
      </c>
    </row>
    <row r="740">
      <c r="A740" s="207">
        <f t="shared" si="4"/>
        <v>739</v>
      </c>
      <c r="B740" s="207" t="s">
        <v>3493</v>
      </c>
      <c r="C740" s="207" t="s">
        <v>3494</v>
      </c>
      <c r="D740" s="207" t="s">
        <v>3495</v>
      </c>
      <c r="E740" s="207" t="s">
        <v>3496</v>
      </c>
      <c r="F740" s="207" t="s">
        <v>3497</v>
      </c>
      <c r="G740" s="208" t="s">
        <v>1444</v>
      </c>
    </row>
    <row r="741">
      <c r="A741" s="207">
        <f t="shared" si="4"/>
        <v>740</v>
      </c>
      <c r="B741" s="207" t="s">
        <v>3498</v>
      </c>
      <c r="C741" s="212" t="s">
        <v>3499</v>
      </c>
      <c r="D741" s="207" t="s">
        <v>3500</v>
      </c>
      <c r="E741" s="207" t="s">
        <v>3501</v>
      </c>
      <c r="F741" s="207" t="s">
        <v>3502</v>
      </c>
      <c r="G741" s="208" t="s">
        <v>1444</v>
      </c>
    </row>
    <row r="742">
      <c r="A742" s="207">
        <f t="shared" si="4"/>
        <v>741</v>
      </c>
      <c r="B742" s="207" t="s">
        <v>3503</v>
      </c>
      <c r="C742" s="207" t="s">
        <v>3504</v>
      </c>
      <c r="D742" s="207" t="s">
        <v>3505</v>
      </c>
      <c r="E742" s="207" t="s">
        <v>3506</v>
      </c>
      <c r="F742" s="207" t="s">
        <v>3507</v>
      </c>
      <c r="G742" s="208" t="s">
        <v>1444</v>
      </c>
    </row>
    <row r="743">
      <c r="A743" s="207">
        <f t="shared" si="4"/>
        <v>742</v>
      </c>
      <c r="B743" s="207" t="s">
        <v>3508</v>
      </c>
      <c r="C743" s="207" t="s">
        <v>3509</v>
      </c>
      <c r="D743" s="207" t="s">
        <v>3510</v>
      </c>
      <c r="E743" s="207" t="s">
        <v>3511</v>
      </c>
      <c r="F743" s="207" t="s">
        <v>3512</v>
      </c>
      <c r="G743" s="208" t="s">
        <v>1444</v>
      </c>
    </row>
    <row r="744">
      <c r="A744" s="207">
        <f t="shared" si="4"/>
        <v>743</v>
      </c>
      <c r="B744" s="207" t="s">
        <v>3513</v>
      </c>
      <c r="C744" s="207" t="s">
        <v>3514</v>
      </c>
      <c r="D744" s="207" t="s">
        <v>3515</v>
      </c>
      <c r="E744" s="207" t="s">
        <v>3516</v>
      </c>
      <c r="F744" s="207" t="s">
        <v>3517</v>
      </c>
      <c r="G744" s="208" t="s">
        <v>1444</v>
      </c>
    </row>
    <row r="745">
      <c r="A745" s="207">
        <f t="shared" si="4"/>
        <v>744</v>
      </c>
      <c r="B745" s="207" t="s">
        <v>3518</v>
      </c>
      <c r="C745" s="207" t="s">
        <v>3519</v>
      </c>
      <c r="D745" s="207" t="s">
        <v>3520</v>
      </c>
      <c r="E745" s="207" t="s">
        <v>3521</v>
      </c>
      <c r="F745" s="207" t="s">
        <v>3522</v>
      </c>
      <c r="G745" s="208" t="s">
        <v>1444</v>
      </c>
    </row>
    <row r="746">
      <c r="A746" s="207">
        <f t="shared" si="4"/>
        <v>745</v>
      </c>
      <c r="B746" s="207" t="s">
        <v>3523</v>
      </c>
      <c r="C746" s="207" t="s">
        <v>3524</v>
      </c>
      <c r="D746" s="207" t="s">
        <v>3525</v>
      </c>
      <c r="E746" s="207" t="s">
        <v>3526</v>
      </c>
      <c r="F746" s="207" t="s">
        <v>3527</v>
      </c>
      <c r="G746" s="208" t="s">
        <v>1444</v>
      </c>
    </row>
    <row r="747">
      <c r="A747" s="207">
        <f t="shared" si="4"/>
        <v>746</v>
      </c>
      <c r="B747" s="207" t="s">
        <v>3528</v>
      </c>
      <c r="C747" s="207" t="s">
        <v>3529</v>
      </c>
      <c r="D747" s="207" t="s">
        <v>3530</v>
      </c>
      <c r="E747" s="207" t="s">
        <v>3531</v>
      </c>
      <c r="F747" s="207" t="s">
        <v>3532</v>
      </c>
      <c r="G747" s="208" t="s">
        <v>1444</v>
      </c>
    </row>
    <row r="748">
      <c r="A748" s="207">
        <f t="shared" si="4"/>
        <v>747</v>
      </c>
      <c r="B748" s="207" t="s">
        <v>3533</v>
      </c>
      <c r="C748" s="207" t="s">
        <v>3534</v>
      </c>
      <c r="D748" s="207" t="s">
        <v>3535</v>
      </c>
      <c r="E748" s="207" t="s">
        <v>3536</v>
      </c>
      <c r="F748" s="207" t="s">
        <v>3537</v>
      </c>
      <c r="G748" s="208" t="s">
        <v>1444</v>
      </c>
    </row>
    <row r="749">
      <c r="A749" s="207">
        <f t="shared" si="4"/>
        <v>748</v>
      </c>
      <c r="B749" s="207">
        <v>305.0</v>
      </c>
      <c r="C749" s="212" t="s">
        <v>3499</v>
      </c>
      <c r="D749" s="207" t="s">
        <v>3538</v>
      </c>
      <c r="E749" s="207" t="s">
        <v>3539</v>
      </c>
      <c r="F749" s="207" t="s">
        <v>3540</v>
      </c>
      <c r="G749" s="207" t="s">
        <v>562</v>
      </c>
    </row>
    <row r="750">
      <c r="A750" s="207">
        <f t="shared" si="4"/>
        <v>749</v>
      </c>
      <c r="B750" s="207" t="s">
        <v>3541</v>
      </c>
      <c r="C750" s="207" t="s">
        <v>3542</v>
      </c>
      <c r="D750" s="207" t="s">
        <v>3543</v>
      </c>
      <c r="E750" s="207" t="s">
        <v>3544</v>
      </c>
      <c r="F750" s="207" t="s">
        <v>3545</v>
      </c>
      <c r="G750" s="208" t="s">
        <v>1444</v>
      </c>
    </row>
    <row r="751" hidden="1">
      <c r="A751" s="207">
        <f t="shared" si="4"/>
        <v>750</v>
      </c>
      <c r="B751" s="211" t="s">
        <v>1444</v>
      </c>
      <c r="C751" s="207" t="s">
        <v>3546</v>
      </c>
      <c r="D751" s="207" t="s">
        <v>2220</v>
      </c>
      <c r="E751" s="207" t="s">
        <v>3547</v>
      </c>
      <c r="F751" s="207" t="s">
        <v>3548</v>
      </c>
      <c r="G751" s="208" t="s">
        <v>1444</v>
      </c>
    </row>
    <row r="752" hidden="1">
      <c r="A752" s="207">
        <f t="shared" si="4"/>
        <v>751</v>
      </c>
      <c r="B752" s="209" t="s">
        <v>216</v>
      </c>
      <c r="C752" s="209" t="s">
        <v>216</v>
      </c>
      <c r="D752" s="209" t="s">
        <v>216</v>
      </c>
      <c r="E752" s="209" t="s">
        <v>216</v>
      </c>
      <c r="F752" s="209" t="s">
        <v>216</v>
      </c>
      <c r="G752" s="209" t="s">
        <v>488</v>
      </c>
    </row>
    <row r="753" hidden="1">
      <c r="A753" s="207">
        <f t="shared" si="4"/>
        <v>752</v>
      </c>
      <c r="B753" s="209" t="s">
        <v>216</v>
      </c>
      <c r="C753" s="209" t="s">
        <v>216</v>
      </c>
      <c r="D753" s="209" t="s">
        <v>216</v>
      </c>
      <c r="E753" s="209" t="s">
        <v>216</v>
      </c>
      <c r="F753" s="209" t="s">
        <v>216</v>
      </c>
      <c r="G753" s="209" t="s">
        <v>488</v>
      </c>
    </row>
    <row r="754" hidden="1">
      <c r="A754" s="207">
        <f t="shared" si="4"/>
        <v>753</v>
      </c>
      <c r="B754" s="209" t="s">
        <v>216</v>
      </c>
      <c r="C754" s="209" t="s">
        <v>216</v>
      </c>
      <c r="D754" s="209" t="s">
        <v>216</v>
      </c>
      <c r="E754" s="209" t="s">
        <v>216</v>
      </c>
      <c r="F754" s="209" t="s">
        <v>216</v>
      </c>
      <c r="G754" s="209" t="s">
        <v>488</v>
      </c>
    </row>
    <row r="755">
      <c r="A755" s="207">
        <f t="shared" si="4"/>
        <v>754</v>
      </c>
      <c r="B755" s="207" t="s">
        <v>3550</v>
      </c>
      <c r="C755" s="207" t="s">
        <v>1326</v>
      </c>
      <c r="D755" s="207" t="s">
        <v>3551</v>
      </c>
      <c r="E755" s="207" t="s">
        <v>3552</v>
      </c>
      <c r="F755" s="207" t="s">
        <v>3553</v>
      </c>
      <c r="G755" s="207" t="s">
        <v>562</v>
      </c>
    </row>
    <row r="756">
      <c r="A756" s="207">
        <f t="shared" si="4"/>
        <v>755</v>
      </c>
      <c r="B756" s="207" t="s">
        <v>3554</v>
      </c>
      <c r="C756" s="207" t="s">
        <v>3555</v>
      </c>
      <c r="D756" s="207" t="s">
        <v>3556</v>
      </c>
      <c r="E756" s="207" t="s">
        <v>3557</v>
      </c>
      <c r="F756" s="207" t="s">
        <v>3558</v>
      </c>
      <c r="G756" s="208" t="s">
        <v>1444</v>
      </c>
    </row>
    <row r="757">
      <c r="A757" s="207">
        <f t="shared" si="4"/>
        <v>756</v>
      </c>
      <c r="B757" s="207" t="s">
        <v>3559</v>
      </c>
      <c r="C757" s="207" t="s">
        <v>3560</v>
      </c>
      <c r="D757" s="207" t="s">
        <v>1499</v>
      </c>
      <c r="E757" s="207" t="s">
        <v>3561</v>
      </c>
      <c r="F757" s="207" t="s">
        <v>3562</v>
      </c>
      <c r="G757" s="208" t="s">
        <v>1444</v>
      </c>
    </row>
    <row r="758">
      <c r="A758" s="207">
        <f t="shared" si="4"/>
        <v>757</v>
      </c>
      <c r="B758" s="207" t="s">
        <v>3563</v>
      </c>
      <c r="C758" s="207" t="s">
        <v>3564</v>
      </c>
      <c r="D758" s="207" t="s">
        <v>3565</v>
      </c>
      <c r="E758" s="207" t="s">
        <v>3566</v>
      </c>
      <c r="F758" s="207" t="s">
        <v>3567</v>
      </c>
      <c r="G758" s="208" t="s">
        <v>1444</v>
      </c>
    </row>
    <row r="759">
      <c r="A759" s="207">
        <f t="shared" si="4"/>
        <v>758</v>
      </c>
      <c r="B759" s="207" t="s">
        <v>3568</v>
      </c>
      <c r="C759" s="207" t="s">
        <v>3569</v>
      </c>
      <c r="D759" s="207" t="s">
        <v>2157</v>
      </c>
      <c r="E759" s="207" t="s">
        <v>3570</v>
      </c>
      <c r="F759" s="207" t="s">
        <v>3568</v>
      </c>
      <c r="G759" s="207" t="s">
        <v>562</v>
      </c>
    </row>
    <row r="760">
      <c r="A760" s="207">
        <f t="shared" si="4"/>
        <v>759</v>
      </c>
      <c r="B760" s="207" t="s">
        <v>3574</v>
      </c>
      <c r="C760" s="207" t="s">
        <v>3576</v>
      </c>
      <c r="D760" s="207" t="s">
        <v>3577</v>
      </c>
      <c r="E760" s="207" t="s">
        <v>3578</v>
      </c>
      <c r="F760" s="207" t="s">
        <v>3579</v>
      </c>
      <c r="G760" s="208" t="s">
        <v>1444</v>
      </c>
    </row>
    <row r="761">
      <c r="A761" s="207">
        <f t="shared" si="4"/>
        <v>760</v>
      </c>
      <c r="B761" s="207" t="s">
        <v>3582</v>
      </c>
      <c r="C761" s="207" t="s">
        <v>3583</v>
      </c>
      <c r="D761" s="207" t="s">
        <v>3584</v>
      </c>
      <c r="E761" s="211" t="s">
        <v>1444</v>
      </c>
      <c r="F761" s="207" t="s">
        <v>3585</v>
      </c>
      <c r="G761" s="208" t="s">
        <v>1444</v>
      </c>
    </row>
    <row r="762">
      <c r="A762" s="207">
        <f t="shared" si="4"/>
        <v>761</v>
      </c>
      <c r="B762" s="207" t="s">
        <v>3586</v>
      </c>
      <c r="C762" s="207" t="s">
        <v>3587</v>
      </c>
      <c r="D762" s="207" t="s">
        <v>3588</v>
      </c>
      <c r="E762" s="207" t="s">
        <v>3589</v>
      </c>
      <c r="F762" s="206" t="s">
        <v>3590</v>
      </c>
      <c r="G762" s="208" t="s">
        <v>1444</v>
      </c>
    </row>
    <row r="763">
      <c r="A763" s="207">
        <f t="shared" si="4"/>
        <v>762</v>
      </c>
      <c r="B763" s="207" t="s">
        <v>3591</v>
      </c>
      <c r="C763" s="207" t="s">
        <v>3592</v>
      </c>
      <c r="D763" s="207" t="s">
        <v>3593</v>
      </c>
      <c r="E763" s="207" t="s">
        <v>3594</v>
      </c>
      <c r="F763" s="206" t="s">
        <v>3595</v>
      </c>
      <c r="G763" s="208" t="s">
        <v>1444</v>
      </c>
    </row>
    <row r="764">
      <c r="A764" s="207">
        <f t="shared" si="4"/>
        <v>763</v>
      </c>
      <c r="B764" s="207" t="s">
        <v>3596</v>
      </c>
      <c r="C764" s="207" t="s">
        <v>3597</v>
      </c>
      <c r="D764" s="207" t="s">
        <v>3598</v>
      </c>
      <c r="E764" s="207" t="s">
        <v>3599</v>
      </c>
      <c r="F764" s="207" t="s">
        <v>3600</v>
      </c>
      <c r="G764" s="208" t="s">
        <v>1444</v>
      </c>
    </row>
    <row r="765">
      <c r="A765" s="207">
        <f t="shared" si="4"/>
        <v>764</v>
      </c>
      <c r="B765" s="207" t="s">
        <v>3601</v>
      </c>
      <c r="C765" s="207" t="s">
        <v>3602</v>
      </c>
      <c r="D765" s="207" t="s">
        <v>3603</v>
      </c>
      <c r="E765" s="207" t="s">
        <v>3604</v>
      </c>
      <c r="F765" s="206" t="s">
        <v>3605</v>
      </c>
      <c r="G765" s="208" t="s">
        <v>1444</v>
      </c>
    </row>
    <row r="766">
      <c r="A766" s="207">
        <f t="shared" si="4"/>
        <v>765</v>
      </c>
      <c r="B766" s="207" t="s">
        <v>3606</v>
      </c>
      <c r="C766" s="207" t="s">
        <v>3607</v>
      </c>
      <c r="D766" s="207" t="s">
        <v>451</v>
      </c>
      <c r="E766" s="207" t="s">
        <v>3608</v>
      </c>
      <c r="F766" s="207" t="s">
        <v>3609</v>
      </c>
      <c r="G766" s="208" t="s">
        <v>1444</v>
      </c>
    </row>
    <row r="767">
      <c r="A767" s="207">
        <f t="shared" si="4"/>
        <v>766</v>
      </c>
      <c r="B767" s="207" t="s">
        <v>3610</v>
      </c>
      <c r="C767" s="207" t="s">
        <v>3611</v>
      </c>
      <c r="D767" s="207" t="s">
        <v>3612</v>
      </c>
      <c r="E767" s="207" t="s">
        <v>3613</v>
      </c>
      <c r="F767" s="207" t="s">
        <v>3614</v>
      </c>
      <c r="G767" s="208" t="s">
        <v>1444</v>
      </c>
    </row>
    <row r="768">
      <c r="A768" s="207">
        <f t="shared" si="4"/>
        <v>767</v>
      </c>
      <c r="B768" s="207" t="s">
        <v>3615</v>
      </c>
      <c r="C768" s="207" t="s">
        <v>3616</v>
      </c>
      <c r="D768" s="207" t="s">
        <v>3617</v>
      </c>
      <c r="E768" s="207" t="s">
        <v>3619</v>
      </c>
      <c r="F768" s="207" t="s">
        <v>3620</v>
      </c>
      <c r="G768" s="208" t="s">
        <v>1444</v>
      </c>
    </row>
    <row r="769">
      <c r="A769" s="207">
        <f t="shared" si="4"/>
        <v>768</v>
      </c>
      <c r="B769" s="207" t="s">
        <v>3622</v>
      </c>
      <c r="C769" s="207" t="s">
        <v>3623</v>
      </c>
      <c r="D769" s="207" t="s">
        <v>1037</v>
      </c>
      <c r="E769" s="207" t="s">
        <v>3624</v>
      </c>
      <c r="F769" s="207" t="s">
        <v>3625</v>
      </c>
      <c r="G769" s="208" t="s">
        <v>1444</v>
      </c>
    </row>
    <row r="770">
      <c r="A770" s="207">
        <f t="shared" si="4"/>
        <v>769</v>
      </c>
      <c r="B770" s="207" t="s">
        <v>3626</v>
      </c>
      <c r="C770" s="207" t="s">
        <v>3627</v>
      </c>
      <c r="D770" s="207" t="s">
        <v>3628</v>
      </c>
      <c r="E770" s="207" t="s">
        <v>3629</v>
      </c>
      <c r="F770" s="207" t="s">
        <v>3630</v>
      </c>
      <c r="G770" s="208" t="s">
        <v>1444</v>
      </c>
    </row>
    <row r="771">
      <c r="A771" s="207">
        <f t="shared" si="4"/>
        <v>770</v>
      </c>
      <c r="B771" s="207" t="s">
        <v>3631</v>
      </c>
      <c r="C771" s="207" t="s">
        <v>3632</v>
      </c>
      <c r="D771" s="207" t="s">
        <v>2994</v>
      </c>
      <c r="E771" s="207" t="s">
        <v>3633</v>
      </c>
      <c r="F771" s="207" t="s">
        <v>3634</v>
      </c>
      <c r="G771" s="208" t="s">
        <v>1444</v>
      </c>
    </row>
    <row r="772">
      <c r="A772" s="207">
        <f t="shared" si="4"/>
        <v>771</v>
      </c>
      <c r="B772" s="207" t="s">
        <v>3635</v>
      </c>
      <c r="C772" s="207" t="s">
        <v>3637</v>
      </c>
      <c r="D772" s="207" t="s">
        <v>3638</v>
      </c>
      <c r="E772" s="207" t="s">
        <v>3639</v>
      </c>
      <c r="F772" s="207" t="s">
        <v>3640</v>
      </c>
      <c r="G772" s="208" t="s">
        <v>1444</v>
      </c>
    </row>
    <row r="773">
      <c r="A773" s="207">
        <f t="shared" si="4"/>
        <v>772</v>
      </c>
      <c r="B773" s="207" t="s">
        <v>3641</v>
      </c>
      <c r="C773" s="207" t="s">
        <v>3642</v>
      </c>
      <c r="D773" s="207" t="s">
        <v>3447</v>
      </c>
      <c r="E773" s="207" t="s">
        <v>3643</v>
      </c>
      <c r="F773" s="207" t="s">
        <v>3644</v>
      </c>
      <c r="G773" s="208" t="s">
        <v>1444</v>
      </c>
    </row>
    <row r="774">
      <c r="A774" s="207">
        <f t="shared" si="4"/>
        <v>773</v>
      </c>
      <c r="B774" s="207" t="s">
        <v>3646</v>
      </c>
      <c r="C774" s="207">
        <v>296.0</v>
      </c>
      <c r="D774" s="207" t="s">
        <v>3647</v>
      </c>
      <c r="E774" s="207" t="s">
        <v>3648</v>
      </c>
      <c r="F774" s="207" t="s">
        <v>3649</v>
      </c>
      <c r="G774" s="208" t="s">
        <v>1444</v>
      </c>
    </row>
    <row r="775">
      <c r="A775" s="207">
        <f t="shared" si="4"/>
        <v>774</v>
      </c>
      <c r="B775" s="207" t="s">
        <v>3650</v>
      </c>
      <c r="C775" s="207" t="s">
        <v>3651</v>
      </c>
      <c r="D775" s="207" t="s">
        <v>3652</v>
      </c>
      <c r="E775" s="207" t="s">
        <v>3653</v>
      </c>
      <c r="F775" s="207" t="s">
        <v>3654</v>
      </c>
      <c r="G775" s="208" t="s">
        <v>1444</v>
      </c>
    </row>
    <row r="776">
      <c r="A776" s="207">
        <f t="shared" si="4"/>
        <v>775</v>
      </c>
      <c r="B776" s="207" t="s">
        <v>3656</v>
      </c>
      <c r="C776" s="207" t="s">
        <v>3657</v>
      </c>
      <c r="D776" s="207" t="s">
        <v>1159</v>
      </c>
      <c r="E776" s="207" t="s">
        <v>3658</v>
      </c>
      <c r="F776" s="207" t="s">
        <v>1828</v>
      </c>
      <c r="G776" s="208" t="s">
        <v>1444</v>
      </c>
    </row>
    <row r="777">
      <c r="A777" s="207">
        <f t="shared" si="4"/>
        <v>776</v>
      </c>
      <c r="B777" s="207" t="s">
        <v>3659</v>
      </c>
      <c r="C777" s="207" t="s">
        <v>3660</v>
      </c>
      <c r="D777" s="207" t="s">
        <v>3661</v>
      </c>
      <c r="E777" s="207" t="s">
        <v>3662</v>
      </c>
      <c r="F777" s="207" t="s">
        <v>3663</v>
      </c>
      <c r="G777" s="208" t="s">
        <v>1444</v>
      </c>
    </row>
    <row r="778">
      <c r="A778" s="207">
        <f t="shared" si="4"/>
        <v>777</v>
      </c>
      <c r="B778" s="207" t="s">
        <v>3665</v>
      </c>
      <c r="C778" s="207" t="s">
        <v>3666</v>
      </c>
      <c r="D778" s="207" t="s">
        <v>3667</v>
      </c>
      <c r="E778" s="207" t="s">
        <v>3668</v>
      </c>
      <c r="F778" s="207" t="s">
        <v>3669</v>
      </c>
      <c r="G778" s="207" t="s">
        <v>562</v>
      </c>
    </row>
    <row r="779">
      <c r="A779" s="207">
        <f t="shared" si="4"/>
        <v>778</v>
      </c>
      <c r="B779" s="207" t="s">
        <v>3670</v>
      </c>
      <c r="C779" s="207" t="s">
        <v>3671</v>
      </c>
      <c r="D779" s="207" t="s">
        <v>1051</v>
      </c>
      <c r="E779" s="207" t="s">
        <v>3672</v>
      </c>
      <c r="F779" s="207" t="s">
        <v>3670</v>
      </c>
      <c r="G779" s="207" t="s">
        <v>3673</v>
      </c>
    </row>
    <row r="780">
      <c r="A780" s="207">
        <f t="shared" si="4"/>
        <v>779</v>
      </c>
      <c r="B780" s="207" t="s">
        <v>3674</v>
      </c>
      <c r="C780" s="207" t="s">
        <v>3675</v>
      </c>
      <c r="D780" s="207" t="s">
        <v>3676</v>
      </c>
      <c r="E780" s="207" t="s">
        <v>3678</v>
      </c>
      <c r="F780" s="207" t="s">
        <v>3674</v>
      </c>
      <c r="G780" s="207" t="s">
        <v>3673</v>
      </c>
    </row>
    <row r="781">
      <c r="A781" s="207">
        <f t="shared" si="4"/>
        <v>780</v>
      </c>
      <c r="B781" s="207" t="s">
        <v>3679</v>
      </c>
      <c r="C781" s="207" t="s">
        <v>3680</v>
      </c>
      <c r="D781" s="207" t="s">
        <v>3681</v>
      </c>
      <c r="E781" s="207" t="s">
        <v>3682</v>
      </c>
      <c r="F781" s="207" t="s">
        <v>3683</v>
      </c>
      <c r="G781" s="208" t="s">
        <v>1444</v>
      </c>
    </row>
    <row r="782">
      <c r="A782" s="207">
        <f t="shared" si="4"/>
        <v>781</v>
      </c>
      <c r="B782" s="207" t="s">
        <v>3684</v>
      </c>
      <c r="C782" s="207" t="s">
        <v>3685</v>
      </c>
      <c r="D782" s="207" t="s">
        <v>3686</v>
      </c>
      <c r="E782" s="207" t="s">
        <v>3687</v>
      </c>
      <c r="F782" s="207" t="s">
        <v>3688</v>
      </c>
      <c r="G782" s="208" t="s">
        <v>1444</v>
      </c>
    </row>
    <row r="783">
      <c r="A783" s="207">
        <f t="shared" si="4"/>
        <v>782</v>
      </c>
      <c r="B783" s="207" t="s">
        <v>3689</v>
      </c>
      <c r="C783" s="207" t="s">
        <v>3690</v>
      </c>
      <c r="D783" s="207" t="s">
        <v>3692</v>
      </c>
      <c r="E783" s="207" t="s">
        <v>3693</v>
      </c>
      <c r="F783" s="207" t="s">
        <v>3694</v>
      </c>
      <c r="G783" s="208" t="s">
        <v>1444</v>
      </c>
    </row>
    <row r="784">
      <c r="A784" s="207">
        <f t="shared" si="4"/>
        <v>783</v>
      </c>
      <c r="B784" s="207" t="s">
        <v>3695</v>
      </c>
      <c r="C784" s="207" t="s">
        <v>1326</v>
      </c>
      <c r="D784" s="207" t="s">
        <v>3696</v>
      </c>
      <c r="E784" s="207" t="s">
        <v>3697</v>
      </c>
      <c r="F784" s="207" t="s">
        <v>3698</v>
      </c>
      <c r="G784" s="208" t="s">
        <v>1444</v>
      </c>
    </row>
    <row r="785">
      <c r="A785" s="207">
        <f t="shared" si="4"/>
        <v>784</v>
      </c>
      <c r="B785" s="207" t="s">
        <v>3699</v>
      </c>
      <c r="C785" s="207" t="s">
        <v>3700</v>
      </c>
      <c r="D785" s="207">
        <v>402.0</v>
      </c>
      <c r="E785" s="207" t="s">
        <v>3701</v>
      </c>
      <c r="F785" s="207" t="s">
        <v>3703</v>
      </c>
      <c r="G785" s="208" t="s">
        <v>1444</v>
      </c>
    </row>
    <row r="786">
      <c r="A786" s="207">
        <f t="shared" si="4"/>
        <v>785</v>
      </c>
      <c r="B786" s="207" t="s">
        <v>3704</v>
      </c>
      <c r="C786" s="207" t="s">
        <v>3705</v>
      </c>
      <c r="D786" s="207" t="s">
        <v>3706</v>
      </c>
      <c r="E786" s="207" t="s">
        <v>3707</v>
      </c>
      <c r="F786" s="207" t="s">
        <v>3708</v>
      </c>
      <c r="G786" s="208" t="s">
        <v>1444</v>
      </c>
    </row>
    <row r="787">
      <c r="A787" s="207">
        <f t="shared" si="4"/>
        <v>786</v>
      </c>
      <c r="B787" s="207" t="s">
        <v>3709</v>
      </c>
      <c r="C787" s="207" t="s">
        <v>3710</v>
      </c>
      <c r="D787" s="207" t="s">
        <v>3711</v>
      </c>
      <c r="E787" s="207" t="s">
        <v>3712</v>
      </c>
      <c r="F787" s="207" t="s">
        <v>3713</v>
      </c>
      <c r="G787" s="208" t="s">
        <v>1444</v>
      </c>
    </row>
    <row r="788">
      <c r="A788" s="207">
        <f t="shared" si="4"/>
        <v>787</v>
      </c>
      <c r="B788" s="207" t="s">
        <v>3714</v>
      </c>
      <c r="C788" s="207" t="s">
        <v>3715</v>
      </c>
      <c r="D788" s="207" t="s">
        <v>3717</v>
      </c>
      <c r="E788" s="207" t="s">
        <v>3718</v>
      </c>
      <c r="F788" s="207" t="s">
        <v>3719</v>
      </c>
      <c r="G788" s="208" t="s">
        <v>1444</v>
      </c>
    </row>
    <row r="789" hidden="1">
      <c r="A789" s="207">
        <f t="shared" si="4"/>
        <v>788</v>
      </c>
      <c r="B789" s="209" t="s">
        <v>216</v>
      </c>
      <c r="C789" s="209" t="s">
        <v>216</v>
      </c>
      <c r="D789" s="209" t="s">
        <v>216</v>
      </c>
      <c r="E789" s="209" t="s">
        <v>216</v>
      </c>
      <c r="F789" s="209" t="s">
        <v>216</v>
      </c>
      <c r="G789" s="209" t="s">
        <v>488</v>
      </c>
    </row>
    <row r="790" hidden="1">
      <c r="A790" s="207">
        <f t="shared" si="4"/>
        <v>789</v>
      </c>
      <c r="B790" s="209" t="s">
        <v>216</v>
      </c>
      <c r="C790" s="209" t="s">
        <v>216</v>
      </c>
      <c r="D790" s="209" t="s">
        <v>216</v>
      </c>
      <c r="E790" s="209" t="s">
        <v>216</v>
      </c>
      <c r="F790" s="209" t="s">
        <v>216</v>
      </c>
      <c r="G790" s="209" t="s">
        <v>488</v>
      </c>
    </row>
    <row r="791">
      <c r="A791" s="207">
        <f t="shared" si="4"/>
        <v>790</v>
      </c>
      <c r="B791" s="207" t="s">
        <v>3720</v>
      </c>
      <c r="C791" s="207" t="s">
        <v>3721</v>
      </c>
      <c r="D791" s="207" t="s">
        <v>426</v>
      </c>
      <c r="E791" s="207" t="s">
        <v>3723</v>
      </c>
      <c r="F791" s="207" t="s">
        <v>3724</v>
      </c>
      <c r="G791" s="208" t="s">
        <v>1444</v>
      </c>
    </row>
    <row r="792" hidden="1">
      <c r="A792" s="207">
        <f t="shared" si="4"/>
        <v>791</v>
      </c>
      <c r="B792" s="211" t="s">
        <v>1444</v>
      </c>
      <c r="C792" s="207" t="s">
        <v>3725</v>
      </c>
      <c r="D792" s="207" t="s">
        <v>3726</v>
      </c>
      <c r="E792" s="207" t="s">
        <v>3727</v>
      </c>
      <c r="F792" s="207" t="s">
        <v>3728</v>
      </c>
      <c r="G792" s="208" t="s">
        <v>1444</v>
      </c>
    </row>
    <row r="793">
      <c r="A793" s="207">
        <f t="shared" si="4"/>
        <v>792</v>
      </c>
      <c r="B793" s="207" t="s">
        <v>3729</v>
      </c>
      <c r="C793" s="207" t="s">
        <v>3730</v>
      </c>
      <c r="D793" s="207" t="s">
        <v>1629</v>
      </c>
      <c r="E793" s="207" t="s">
        <v>3731</v>
      </c>
      <c r="F793" s="207" t="s">
        <v>3732</v>
      </c>
      <c r="G793" s="208" t="s">
        <v>1444</v>
      </c>
    </row>
    <row r="794">
      <c r="A794" s="207">
        <f t="shared" si="4"/>
        <v>793</v>
      </c>
      <c r="B794" s="207" t="s">
        <v>3733</v>
      </c>
      <c r="C794" s="207" t="s">
        <v>3735</v>
      </c>
      <c r="D794" s="207" t="s">
        <v>3736</v>
      </c>
      <c r="E794" s="207" t="s">
        <v>3737</v>
      </c>
      <c r="F794" s="207" t="s">
        <v>3738</v>
      </c>
      <c r="G794" s="208" t="s">
        <v>1444</v>
      </c>
    </row>
    <row r="795">
      <c r="A795" s="207">
        <f t="shared" si="4"/>
        <v>794</v>
      </c>
      <c r="B795" s="207" t="s">
        <v>3739</v>
      </c>
      <c r="C795" s="207" t="s">
        <v>3740</v>
      </c>
      <c r="D795" s="207" t="s">
        <v>3741</v>
      </c>
      <c r="E795" s="207" t="s">
        <v>3742</v>
      </c>
      <c r="F795" s="207" t="s">
        <v>3743</v>
      </c>
      <c r="G795" s="208" t="s">
        <v>1444</v>
      </c>
    </row>
    <row r="796">
      <c r="A796" s="207">
        <f t="shared" si="4"/>
        <v>795</v>
      </c>
      <c r="B796" s="207" t="s">
        <v>3744</v>
      </c>
      <c r="C796" s="207" t="s">
        <v>3745</v>
      </c>
      <c r="D796" s="207" t="s">
        <v>3746</v>
      </c>
      <c r="E796" s="207" t="s">
        <v>3747</v>
      </c>
      <c r="F796" s="207" t="s">
        <v>3748</v>
      </c>
      <c r="G796" s="208" t="s">
        <v>1444</v>
      </c>
    </row>
    <row r="797">
      <c r="A797" s="207">
        <f t="shared" si="4"/>
        <v>796</v>
      </c>
      <c r="B797" s="207" t="s">
        <v>3750</v>
      </c>
      <c r="C797" s="207" t="s">
        <v>3751</v>
      </c>
      <c r="D797" s="207" t="s">
        <v>3717</v>
      </c>
      <c r="E797" s="207" t="s">
        <v>3752</v>
      </c>
      <c r="F797" s="207" t="s">
        <v>3753</v>
      </c>
      <c r="G797" s="208" t="s">
        <v>1444</v>
      </c>
    </row>
    <row r="798">
      <c r="A798" s="207">
        <f t="shared" si="4"/>
        <v>797</v>
      </c>
      <c r="B798" s="207" t="s">
        <v>3754</v>
      </c>
      <c r="C798" s="207" t="s">
        <v>1983</v>
      </c>
      <c r="D798" s="207" t="s">
        <v>3755</v>
      </c>
      <c r="E798" s="207" t="s">
        <v>3756</v>
      </c>
      <c r="F798" s="207" t="s">
        <v>3757</v>
      </c>
      <c r="G798" s="208" t="s">
        <v>1444</v>
      </c>
    </row>
    <row r="799" hidden="1">
      <c r="A799" s="207">
        <f t="shared" si="4"/>
        <v>798</v>
      </c>
      <c r="B799" s="209" t="s">
        <v>216</v>
      </c>
      <c r="C799" s="209" t="s">
        <v>216</v>
      </c>
      <c r="D799" s="209" t="s">
        <v>216</v>
      </c>
      <c r="E799" s="209" t="s">
        <v>216</v>
      </c>
      <c r="F799" s="209" t="s">
        <v>216</v>
      </c>
      <c r="G799" s="209" t="s">
        <v>488</v>
      </c>
    </row>
    <row r="800">
      <c r="A800" s="207">
        <f t="shared" si="4"/>
        <v>799</v>
      </c>
      <c r="B800" s="207" t="s">
        <v>3759</v>
      </c>
      <c r="C800" s="207" t="s">
        <v>3760</v>
      </c>
      <c r="D800" s="207" t="s">
        <v>3761</v>
      </c>
      <c r="E800" s="207" t="s">
        <v>3762</v>
      </c>
      <c r="F800" s="207" t="s">
        <v>3763</v>
      </c>
      <c r="G800" s="208" t="s">
        <v>1444</v>
      </c>
    </row>
    <row r="801">
      <c r="A801" s="207">
        <f t="shared" si="4"/>
        <v>800</v>
      </c>
      <c r="B801" s="207" t="s">
        <v>3765</v>
      </c>
      <c r="C801" s="207" t="s">
        <v>3766</v>
      </c>
      <c r="D801" s="207" t="s">
        <v>3767</v>
      </c>
      <c r="E801" s="207" t="s">
        <v>2083</v>
      </c>
      <c r="F801" s="207" t="s">
        <v>3768</v>
      </c>
      <c r="G801" s="208" t="s">
        <v>1444</v>
      </c>
    </row>
    <row r="802">
      <c r="A802" s="207">
        <f t="shared" si="4"/>
        <v>801</v>
      </c>
      <c r="B802" s="207" t="s">
        <v>3769</v>
      </c>
      <c r="C802" s="207" t="s">
        <v>3770</v>
      </c>
      <c r="D802" s="207" t="s">
        <v>1891</v>
      </c>
      <c r="E802" s="207" t="s">
        <v>3771</v>
      </c>
      <c r="F802" s="207" t="s">
        <v>3772</v>
      </c>
      <c r="G802" s="208" t="s">
        <v>1444</v>
      </c>
    </row>
    <row r="803">
      <c r="A803" s="207">
        <f t="shared" si="4"/>
        <v>802</v>
      </c>
      <c r="B803" s="207" t="s">
        <v>3773</v>
      </c>
      <c r="C803" s="207" t="s">
        <v>3774</v>
      </c>
      <c r="D803" s="212" t="s">
        <v>3775</v>
      </c>
      <c r="E803" s="207" t="s">
        <v>3776</v>
      </c>
      <c r="F803" s="207" t="s">
        <v>3778</v>
      </c>
      <c r="G803" s="208" t="s">
        <v>1444</v>
      </c>
    </row>
    <row r="804">
      <c r="A804" s="207">
        <f t="shared" si="4"/>
        <v>803</v>
      </c>
      <c r="B804" s="207" t="s">
        <v>3779</v>
      </c>
      <c r="C804" s="207" t="s">
        <v>3780</v>
      </c>
      <c r="D804" s="207" t="s">
        <v>3781</v>
      </c>
      <c r="E804" s="207" t="s">
        <v>3782</v>
      </c>
      <c r="F804" s="207" t="s">
        <v>3783</v>
      </c>
      <c r="G804" s="208" t="s">
        <v>1444</v>
      </c>
    </row>
    <row r="805">
      <c r="A805" s="207">
        <f t="shared" si="4"/>
        <v>804</v>
      </c>
      <c r="B805" s="207" t="s">
        <v>3784</v>
      </c>
      <c r="C805" s="207" t="s">
        <v>3785</v>
      </c>
      <c r="D805" s="207" t="s">
        <v>771</v>
      </c>
      <c r="E805" s="207" t="s">
        <v>3786</v>
      </c>
      <c r="F805" s="207" t="s">
        <v>3787</v>
      </c>
      <c r="G805" s="208" t="s">
        <v>1444</v>
      </c>
    </row>
    <row r="806">
      <c r="A806" s="207">
        <f t="shared" si="4"/>
        <v>805</v>
      </c>
      <c r="B806" s="207" t="s">
        <v>3788</v>
      </c>
      <c r="C806" s="207" t="s">
        <v>3790</v>
      </c>
      <c r="D806" s="207" t="s">
        <v>3791</v>
      </c>
      <c r="E806" s="207" t="s">
        <v>3792</v>
      </c>
      <c r="F806" s="207" t="s">
        <v>3793</v>
      </c>
      <c r="G806" s="208" t="s">
        <v>1444</v>
      </c>
    </row>
    <row r="807">
      <c r="A807" s="207">
        <f t="shared" si="4"/>
        <v>806</v>
      </c>
      <c r="B807" s="207" t="s">
        <v>3794</v>
      </c>
      <c r="C807" s="207" t="s">
        <v>1921</v>
      </c>
      <c r="D807" s="207" t="s">
        <v>451</v>
      </c>
      <c r="E807" s="207" t="s">
        <v>3795</v>
      </c>
      <c r="F807" s="207" t="s">
        <v>3794</v>
      </c>
      <c r="G807" s="207" t="s">
        <v>3673</v>
      </c>
    </row>
    <row r="808">
      <c r="A808" s="207">
        <f t="shared" si="4"/>
        <v>807</v>
      </c>
      <c r="B808" s="207" t="s">
        <v>3796</v>
      </c>
      <c r="C808" s="207" t="s">
        <v>3797</v>
      </c>
      <c r="D808" s="207" t="s">
        <v>3798</v>
      </c>
      <c r="E808" s="207" t="s">
        <v>3799</v>
      </c>
      <c r="F808" s="207" t="s">
        <v>3796</v>
      </c>
      <c r="G808" s="207" t="s">
        <v>3673</v>
      </c>
    </row>
    <row r="809">
      <c r="A809" s="207">
        <f t="shared" si="4"/>
        <v>808</v>
      </c>
      <c r="B809" s="207" t="s">
        <v>3801</v>
      </c>
      <c r="C809" s="207" t="s">
        <v>3802</v>
      </c>
      <c r="D809" s="207" t="s">
        <v>3803</v>
      </c>
      <c r="E809" s="207" t="s">
        <v>3804</v>
      </c>
      <c r="F809" s="207" t="s">
        <v>3805</v>
      </c>
      <c r="G809" s="208" t="s">
        <v>1444</v>
      </c>
    </row>
    <row r="810">
      <c r="A810" s="207">
        <f t="shared" si="4"/>
        <v>809</v>
      </c>
      <c r="B810" s="207" t="s">
        <v>3806</v>
      </c>
      <c r="C810" s="207" t="s">
        <v>3807</v>
      </c>
      <c r="D810" s="207" t="s">
        <v>3808</v>
      </c>
      <c r="E810" s="207" t="s">
        <v>3809</v>
      </c>
      <c r="F810" s="207" t="s">
        <v>3810</v>
      </c>
      <c r="G810" s="208" t="s">
        <v>1444</v>
      </c>
    </row>
    <row r="811">
      <c r="A811" s="207">
        <f t="shared" si="4"/>
        <v>810</v>
      </c>
      <c r="B811" s="207" t="s">
        <v>3811</v>
      </c>
      <c r="C811" s="207" t="s">
        <v>3812</v>
      </c>
      <c r="D811" s="207" t="s">
        <v>3813</v>
      </c>
      <c r="E811" s="207" t="s">
        <v>3814</v>
      </c>
      <c r="F811" s="207" t="s">
        <v>3816</v>
      </c>
      <c r="G811" s="208" t="s">
        <v>1444</v>
      </c>
    </row>
    <row r="812">
      <c r="A812" s="207">
        <f t="shared" si="4"/>
        <v>811</v>
      </c>
      <c r="B812" s="207" t="s">
        <v>3817</v>
      </c>
      <c r="C812" s="207" t="s">
        <v>3818</v>
      </c>
      <c r="D812" s="207" t="s">
        <v>3819</v>
      </c>
      <c r="E812" s="207" t="s">
        <v>3820</v>
      </c>
      <c r="F812" s="207" t="s">
        <v>3821</v>
      </c>
      <c r="G812" s="208" t="s">
        <v>1444</v>
      </c>
    </row>
    <row r="813">
      <c r="A813" s="207">
        <f t="shared" si="4"/>
        <v>812</v>
      </c>
      <c r="B813" s="207" t="s">
        <v>3822</v>
      </c>
      <c r="C813" s="207" t="s">
        <v>3823</v>
      </c>
      <c r="D813" s="207" t="s">
        <v>3824</v>
      </c>
      <c r="E813" s="207" t="s">
        <v>3825</v>
      </c>
      <c r="F813" s="207" t="s">
        <v>3826</v>
      </c>
      <c r="G813" s="208" t="s">
        <v>1444</v>
      </c>
    </row>
    <row r="814">
      <c r="A814" s="207">
        <f t="shared" si="4"/>
        <v>813</v>
      </c>
      <c r="B814" s="207" t="s">
        <v>3827</v>
      </c>
      <c r="C814" s="207" t="s">
        <v>3828</v>
      </c>
      <c r="D814" s="207" t="s">
        <v>3830</v>
      </c>
      <c r="E814" s="207" t="s">
        <v>3831</v>
      </c>
      <c r="F814" s="207" t="s">
        <v>3827</v>
      </c>
      <c r="G814" s="207" t="s">
        <v>3673</v>
      </c>
    </row>
    <row r="815">
      <c r="A815" s="207">
        <f t="shared" si="4"/>
        <v>814</v>
      </c>
      <c r="B815" s="207" t="s">
        <v>3832</v>
      </c>
      <c r="C815" s="207" t="s">
        <v>3833</v>
      </c>
      <c r="D815" s="207" t="s">
        <v>3834</v>
      </c>
      <c r="E815" s="207" t="s">
        <v>3835</v>
      </c>
      <c r="F815" s="207" t="s">
        <v>3836</v>
      </c>
      <c r="G815" s="208" t="s">
        <v>1444</v>
      </c>
    </row>
    <row r="816">
      <c r="A816" s="207">
        <f t="shared" si="4"/>
        <v>815</v>
      </c>
      <c r="B816" s="207" t="s">
        <v>3837</v>
      </c>
      <c r="C816" s="207" t="s">
        <v>3838</v>
      </c>
      <c r="D816" s="207" t="s">
        <v>1107</v>
      </c>
      <c r="E816" s="207" t="s">
        <v>3839</v>
      </c>
      <c r="F816" s="207" t="s">
        <v>3840</v>
      </c>
      <c r="G816" s="208" t="s">
        <v>1444</v>
      </c>
    </row>
    <row r="817">
      <c r="A817" s="207">
        <f t="shared" si="4"/>
        <v>816</v>
      </c>
      <c r="B817" s="207" t="s">
        <v>3841</v>
      </c>
      <c r="C817" s="207" t="s">
        <v>3843</v>
      </c>
      <c r="D817" s="207" t="s">
        <v>3667</v>
      </c>
      <c r="E817" s="207" t="s">
        <v>3844</v>
      </c>
      <c r="F817" s="207" t="s">
        <v>3845</v>
      </c>
      <c r="G817" s="208" t="s">
        <v>1444</v>
      </c>
    </row>
    <row r="818">
      <c r="A818" s="207">
        <f t="shared" si="4"/>
        <v>817</v>
      </c>
      <c r="B818" s="207" t="s">
        <v>3846</v>
      </c>
      <c r="C818" s="207" t="s">
        <v>1326</v>
      </c>
      <c r="D818" s="207" t="s">
        <v>3847</v>
      </c>
      <c r="E818" s="207" t="s">
        <v>3848</v>
      </c>
      <c r="F818" s="207" t="s">
        <v>3849</v>
      </c>
      <c r="G818" s="208" t="s">
        <v>1444</v>
      </c>
    </row>
    <row r="819">
      <c r="A819" s="207">
        <f t="shared" si="4"/>
        <v>818</v>
      </c>
      <c r="B819" s="207" t="s">
        <v>3850</v>
      </c>
      <c r="C819" s="207" t="s">
        <v>1326</v>
      </c>
      <c r="D819" s="207" t="s">
        <v>3851</v>
      </c>
      <c r="E819" s="207" t="s">
        <v>3852</v>
      </c>
      <c r="F819" s="207" t="s">
        <v>3854</v>
      </c>
      <c r="G819" s="208" t="s">
        <v>1444</v>
      </c>
    </row>
    <row r="820">
      <c r="A820" s="207">
        <f t="shared" si="4"/>
        <v>819</v>
      </c>
      <c r="B820" s="207" t="s">
        <v>3855</v>
      </c>
      <c r="C820" s="207" t="s">
        <v>1326</v>
      </c>
      <c r="D820" s="207" t="s">
        <v>3467</v>
      </c>
      <c r="E820" s="207" t="s">
        <v>1326</v>
      </c>
      <c r="F820" s="207" t="s">
        <v>3856</v>
      </c>
      <c r="G820" s="208" t="s">
        <v>1444</v>
      </c>
    </row>
    <row r="821">
      <c r="A821" s="207">
        <f t="shared" si="4"/>
        <v>820</v>
      </c>
      <c r="B821" s="207" t="s">
        <v>3765</v>
      </c>
      <c r="C821" s="207" t="s">
        <v>3857</v>
      </c>
      <c r="D821" s="207" t="s">
        <v>3858</v>
      </c>
      <c r="E821" s="207" t="s">
        <v>3859</v>
      </c>
      <c r="F821" s="207" t="s">
        <v>3860</v>
      </c>
      <c r="G821" s="208" t="s">
        <v>1444</v>
      </c>
    </row>
    <row r="822">
      <c r="A822" s="207">
        <f t="shared" si="4"/>
        <v>821</v>
      </c>
      <c r="B822" s="207" t="s">
        <v>3861</v>
      </c>
      <c r="C822" s="207" t="s">
        <v>1326</v>
      </c>
      <c r="D822" s="207" t="s">
        <v>3863</v>
      </c>
      <c r="E822" s="207" t="s">
        <v>3864</v>
      </c>
      <c r="F822" s="207" t="s">
        <v>3865</v>
      </c>
      <c r="G822" s="208" t="s">
        <v>1444</v>
      </c>
    </row>
    <row r="823">
      <c r="A823" s="207">
        <f t="shared" si="4"/>
        <v>822</v>
      </c>
      <c r="B823" s="207" t="s">
        <v>3866</v>
      </c>
      <c r="C823" s="207" t="s">
        <v>1326</v>
      </c>
      <c r="D823" s="207" t="s">
        <v>3867</v>
      </c>
      <c r="E823" s="207" t="s">
        <v>1326</v>
      </c>
      <c r="F823" s="207" t="s">
        <v>3868</v>
      </c>
      <c r="G823" s="208" t="s">
        <v>1444</v>
      </c>
    </row>
    <row r="824">
      <c r="A824" s="207">
        <f t="shared" si="4"/>
        <v>823</v>
      </c>
      <c r="B824" s="207" t="s">
        <v>3870</v>
      </c>
      <c r="C824" s="207" t="s">
        <v>3871</v>
      </c>
      <c r="D824" s="207" t="s">
        <v>3872</v>
      </c>
      <c r="E824" s="207" t="s">
        <v>3873</v>
      </c>
      <c r="F824" s="207" t="s">
        <v>3874</v>
      </c>
      <c r="G824" s="208" t="s">
        <v>1444</v>
      </c>
    </row>
    <row r="825">
      <c r="A825" s="207">
        <f t="shared" si="4"/>
        <v>824</v>
      </c>
      <c r="B825" s="207" t="s">
        <v>3875</v>
      </c>
      <c r="C825" s="207" t="s">
        <v>3876</v>
      </c>
      <c r="D825" s="207" t="s">
        <v>3877</v>
      </c>
      <c r="E825" s="207" t="s">
        <v>3878</v>
      </c>
      <c r="F825" s="207" t="s">
        <v>3880</v>
      </c>
      <c r="G825" s="208" t="s">
        <v>1444</v>
      </c>
    </row>
    <row r="826">
      <c r="A826" s="207">
        <f t="shared" si="4"/>
        <v>825</v>
      </c>
      <c r="B826" s="207" t="s">
        <v>3881</v>
      </c>
      <c r="C826" s="207">
        <v>136.0</v>
      </c>
      <c r="D826" s="207" t="s">
        <v>3882</v>
      </c>
      <c r="E826" s="207" t="s">
        <v>3883</v>
      </c>
      <c r="F826" s="207" t="s">
        <v>3884</v>
      </c>
      <c r="G826" s="208" t="s">
        <v>1444</v>
      </c>
    </row>
    <row r="827">
      <c r="A827" s="207">
        <f t="shared" si="4"/>
        <v>826</v>
      </c>
      <c r="B827" s="207" t="s">
        <v>3885</v>
      </c>
      <c r="C827" s="207" t="s">
        <v>1326</v>
      </c>
      <c r="D827" s="207" t="s">
        <v>3887</v>
      </c>
      <c r="E827" s="207" t="s">
        <v>3888</v>
      </c>
      <c r="F827" s="207" t="s">
        <v>3889</v>
      </c>
      <c r="G827" s="208" t="s">
        <v>1444</v>
      </c>
    </row>
    <row r="828">
      <c r="A828" s="207">
        <f t="shared" si="4"/>
        <v>827</v>
      </c>
      <c r="B828" s="207" t="s">
        <v>3890</v>
      </c>
      <c r="C828" s="207" t="s">
        <v>3891</v>
      </c>
      <c r="D828" s="207" t="s">
        <v>3892</v>
      </c>
      <c r="E828" s="207" t="s">
        <v>3893</v>
      </c>
      <c r="F828" s="207" t="s">
        <v>3894</v>
      </c>
      <c r="G828" s="208" t="s">
        <v>1444</v>
      </c>
    </row>
    <row r="829">
      <c r="A829" s="207">
        <f t="shared" si="4"/>
        <v>828</v>
      </c>
      <c r="B829" s="207" t="s">
        <v>3896</v>
      </c>
      <c r="C829" s="207" t="s">
        <v>451</v>
      </c>
      <c r="D829" s="207" t="s">
        <v>3556</v>
      </c>
      <c r="E829" s="207" t="s">
        <v>3897</v>
      </c>
      <c r="F829" s="207" t="s">
        <v>3898</v>
      </c>
      <c r="G829" s="208" t="s">
        <v>1444</v>
      </c>
    </row>
    <row r="830">
      <c r="A830" s="207">
        <f t="shared" si="4"/>
        <v>829</v>
      </c>
      <c r="B830" s="207" t="s">
        <v>3899</v>
      </c>
      <c r="C830" s="207" t="s">
        <v>3900</v>
      </c>
      <c r="D830" s="207" t="s">
        <v>3902</v>
      </c>
      <c r="E830" s="207" t="s">
        <v>3903</v>
      </c>
      <c r="F830" s="207" t="s">
        <v>3904</v>
      </c>
      <c r="G830" s="208" t="s">
        <v>1444</v>
      </c>
    </row>
    <row r="831">
      <c r="A831" s="207">
        <f t="shared" si="4"/>
        <v>830</v>
      </c>
      <c r="B831" s="207" t="s">
        <v>3905</v>
      </c>
      <c r="C831" s="207" t="s">
        <v>3906</v>
      </c>
      <c r="D831" s="207" t="s">
        <v>3907</v>
      </c>
      <c r="E831" s="207" t="s">
        <v>3908</v>
      </c>
      <c r="F831" s="207" t="s">
        <v>3909</v>
      </c>
      <c r="G831" s="208" t="s">
        <v>1444</v>
      </c>
    </row>
    <row r="832">
      <c r="A832" s="207">
        <f t="shared" si="4"/>
        <v>831</v>
      </c>
      <c r="B832" s="207" t="s">
        <v>3910</v>
      </c>
      <c r="C832" s="207" t="s">
        <v>3911</v>
      </c>
      <c r="D832" s="207" t="s">
        <v>3913</v>
      </c>
      <c r="E832" s="207" t="s">
        <v>3914</v>
      </c>
      <c r="F832" s="207" t="s">
        <v>3915</v>
      </c>
      <c r="G832" s="208" t="s">
        <v>1444</v>
      </c>
    </row>
    <row r="833">
      <c r="A833" s="207">
        <f t="shared" si="4"/>
        <v>832</v>
      </c>
      <c r="B833" s="207" t="s">
        <v>3916</v>
      </c>
      <c r="C833" s="207" t="s">
        <v>3917</v>
      </c>
      <c r="D833" s="207" t="s">
        <v>3918</v>
      </c>
      <c r="E833" s="207" t="s">
        <v>3919</v>
      </c>
      <c r="F833" s="207" t="s">
        <v>3920</v>
      </c>
      <c r="G833" s="208" t="s">
        <v>1444</v>
      </c>
    </row>
    <row r="834">
      <c r="A834" s="207">
        <f t="shared" si="4"/>
        <v>833</v>
      </c>
      <c r="B834" s="207">
        <v>309.0</v>
      </c>
      <c r="C834" s="207" t="s">
        <v>3922</v>
      </c>
      <c r="D834" s="207" t="s">
        <v>3923</v>
      </c>
      <c r="E834" s="207" t="s">
        <v>1326</v>
      </c>
      <c r="F834" s="207" t="s">
        <v>3924</v>
      </c>
      <c r="G834" s="207" t="s">
        <v>562</v>
      </c>
    </row>
    <row r="835">
      <c r="A835" s="207">
        <f t="shared" si="4"/>
        <v>834</v>
      </c>
      <c r="B835" s="207" t="s">
        <v>3925</v>
      </c>
      <c r="C835" s="207" t="s">
        <v>3926</v>
      </c>
      <c r="D835" s="207" t="s">
        <v>3927</v>
      </c>
      <c r="E835" s="207" t="s">
        <v>3928</v>
      </c>
      <c r="F835" s="207" t="s">
        <v>3929</v>
      </c>
      <c r="G835" s="208" t="s">
        <v>1444</v>
      </c>
    </row>
    <row r="836">
      <c r="A836" s="207">
        <f t="shared" si="4"/>
        <v>835</v>
      </c>
      <c r="B836" s="207" t="s">
        <v>3931</v>
      </c>
      <c r="C836" s="207" t="s">
        <v>3932</v>
      </c>
      <c r="D836" s="207" t="s">
        <v>3933</v>
      </c>
      <c r="E836" s="207" t="s">
        <v>3934</v>
      </c>
      <c r="F836" s="207" t="s">
        <v>3935</v>
      </c>
      <c r="G836" s="208" t="s">
        <v>1444</v>
      </c>
    </row>
    <row r="837">
      <c r="A837" s="207">
        <f t="shared" si="4"/>
        <v>836</v>
      </c>
      <c r="B837" s="207" t="s">
        <v>3936</v>
      </c>
      <c r="C837" s="207" t="s">
        <v>3937</v>
      </c>
      <c r="D837" s="207" t="s">
        <v>3938</v>
      </c>
      <c r="E837" s="207" t="s">
        <v>2072</v>
      </c>
      <c r="F837" s="207" t="s">
        <v>3940</v>
      </c>
      <c r="G837" s="208" t="s">
        <v>1444</v>
      </c>
    </row>
    <row r="838">
      <c r="A838" s="207">
        <f t="shared" si="4"/>
        <v>837</v>
      </c>
      <c r="B838" s="207" t="s">
        <v>3941</v>
      </c>
      <c r="C838" s="207" t="s">
        <v>1326</v>
      </c>
      <c r="D838" s="207" t="s">
        <v>3942</v>
      </c>
      <c r="E838" s="207" t="s">
        <v>3943</v>
      </c>
      <c r="F838" s="207" t="s">
        <v>3944</v>
      </c>
      <c r="G838" s="208" t="s">
        <v>1444</v>
      </c>
    </row>
    <row r="839">
      <c r="A839" s="207">
        <f t="shared" si="4"/>
        <v>838</v>
      </c>
      <c r="B839" s="207" t="s">
        <v>3945</v>
      </c>
      <c r="C839" s="207" t="s">
        <v>3946</v>
      </c>
      <c r="D839" s="207" t="s">
        <v>1269</v>
      </c>
      <c r="E839" s="207" t="s">
        <v>3947</v>
      </c>
      <c r="F839" s="207" t="s">
        <v>3945</v>
      </c>
      <c r="G839" s="207" t="s">
        <v>3673</v>
      </c>
    </row>
    <row r="840">
      <c r="A840" s="207">
        <f t="shared" si="4"/>
        <v>839</v>
      </c>
      <c r="B840" s="207" t="s">
        <v>3949</v>
      </c>
      <c r="C840" s="207" t="s">
        <v>3950</v>
      </c>
      <c r="D840" s="207" t="s">
        <v>3951</v>
      </c>
      <c r="E840" s="207" t="s">
        <v>3952</v>
      </c>
      <c r="F840" s="207" t="s">
        <v>1648</v>
      </c>
      <c r="G840" s="208" t="s">
        <v>1444</v>
      </c>
    </row>
    <row r="841">
      <c r="A841" s="207">
        <f t="shared" si="4"/>
        <v>840</v>
      </c>
      <c r="B841" s="207" t="s">
        <v>3953</v>
      </c>
      <c r="C841" s="207" t="s">
        <v>3954</v>
      </c>
      <c r="D841" s="207" t="s">
        <v>1890</v>
      </c>
      <c r="E841" s="207">
        <v>233.0</v>
      </c>
      <c r="F841" s="207" t="s">
        <v>3953</v>
      </c>
      <c r="G841" s="207" t="s">
        <v>3673</v>
      </c>
    </row>
    <row r="842">
      <c r="A842" s="207">
        <f t="shared" si="4"/>
        <v>841</v>
      </c>
      <c r="B842" s="207" t="s">
        <v>3955</v>
      </c>
      <c r="C842" s="207" t="s">
        <v>3956</v>
      </c>
      <c r="D842" s="207" t="s">
        <v>451</v>
      </c>
      <c r="E842" s="207" t="s">
        <v>3957</v>
      </c>
      <c r="F842" s="207" t="s">
        <v>3958</v>
      </c>
      <c r="G842" s="208" t="s">
        <v>1444</v>
      </c>
    </row>
    <row r="843">
      <c r="A843" s="207">
        <f t="shared" si="4"/>
        <v>842</v>
      </c>
      <c r="B843" s="207" t="s">
        <v>3960</v>
      </c>
      <c r="C843" s="207" t="s">
        <v>3961</v>
      </c>
      <c r="D843" s="207" t="s">
        <v>3962</v>
      </c>
      <c r="E843" s="207" t="s">
        <v>3963</v>
      </c>
      <c r="F843" s="207" t="s">
        <v>3964</v>
      </c>
      <c r="G843" s="208" t="s">
        <v>1444</v>
      </c>
    </row>
    <row r="844">
      <c r="A844" s="207">
        <f t="shared" si="4"/>
        <v>843</v>
      </c>
      <c r="B844" s="207" t="s">
        <v>3965</v>
      </c>
      <c r="C844" s="207" t="s">
        <v>3276</v>
      </c>
      <c r="D844" s="207" t="s">
        <v>3966</v>
      </c>
      <c r="E844" s="207" t="s">
        <v>3967</v>
      </c>
      <c r="F844" s="207" t="s">
        <v>3968</v>
      </c>
      <c r="G844" s="208" t="s">
        <v>1444</v>
      </c>
    </row>
    <row r="845">
      <c r="A845" s="207">
        <f t="shared" si="4"/>
        <v>844</v>
      </c>
      <c r="B845" s="207" t="s">
        <v>3969</v>
      </c>
      <c r="C845" s="207" t="s">
        <v>3970</v>
      </c>
      <c r="D845" s="207" t="s">
        <v>3971</v>
      </c>
      <c r="E845" s="207" t="s">
        <v>3972</v>
      </c>
      <c r="F845" s="207" t="s">
        <v>3973</v>
      </c>
      <c r="G845" s="208" t="s">
        <v>1444</v>
      </c>
    </row>
    <row r="846">
      <c r="A846" s="207">
        <f t="shared" si="4"/>
        <v>845</v>
      </c>
      <c r="B846" s="207" t="s">
        <v>3975</v>
      </c>
      <c r="C846" s="207" t="s">
        <v>3976</v>
      </c>
      <c r="D846" s="207" t="s">
        <v>2948</v>
      </c>
      <c r="E846" s="207" t="s">
        <v>3977</v>
      </c>
      <c r="F846" s="207" t="s">
        <v>3978</v>
      </c>
      <c r="G846" s="208" t="s">
        <v>1444</v>
      </c>
    </row>
    <row r="847">
      <c r="A847" s="207">
        <f t="shared" si="4"/>
        <v>846</v>
      </c>
      <c r="B847" s="207" t="s">
        <v>3979</v>
      </c>
      <c r="C847" s="207" t="s">
        <v>3980</v>
      </c>
      <c r="D847" s="207" t="s">
        <v>3981</v>
      </c>
      <c r="E847" s="207" t="s">
        <v>3982</v>
      </c>
      <c r="F847" s="207" t="s">
        <v>3983</v>
      </c>
      <c r="G847" s="208" t="s">
        <v>1444</v>
      </c>
    </row>
    <row r="848">
      <c r="A848" s="207">
        <f t="shared" si="4"/>
        <v>847</v>
      </c>
      <c r="B848" s="207" t="s">
        <v>3984</v>
      </c>
      <c r="C848" s="207" t="s">
        <v>3985</v>
      </c>
      <c r="D848" s="207" t="s">
        <v>3986</v>
      </c>
      <c r="E848" s="207" t="s">
        <v>3987</v>
      </c>
      <c r="F848" s="207" t="s">
        <v>3988</v>
      </c>
      <c r="G848" s="208" t="s">
        <v>1444</v>
      </c>
    </row>
    <row r="849">
      <c r="A849" s="207">
        <f t="shared" si="4"/>
        <v>848</v>
      </c>
      <c r="B849" s="207" t="s">
        <v>3990</v>
      </c>
      <c r="C849" s="207" t="s">
        <v>3991</v>
      </c>
      <c r="D849" s="207" t="s">
        <v>3992</v>
      </c>
      <c r="E849" s="207" t="s">
        <v>3993</v>
      </c>
      <c r="F849" s="207" t="s">
        <v>3994</v>
      </c>
      <c r="G849" s="208" t="s">
        <v>1444</v>
      </c>
    </row>
    <row r="850">
      <c r="A850" s="207">
        <f t="shared" si="4"/>
        <v>849</v>
      </c>
      <c r="B850" s="207" t="s">
        <v>3995</v>
      </c>
      <c r="C850" s="207" t="s">
        <v>3996</v>
      </c>
      <c r="D850" s="207" t="s">
        <v>3997</v>
      </c>
      <c r="E850" s="207" t="s">
        <v>3998</v>
      </c>
      <c r="F850" s="207" t="s">
        <v>4000</v>
      </c>
      <c r="G850" s="208" t="s">
        <v>1444</v>
      </c>
    </row>
    <row r="851">
      <c r="A851" s="207">
        <f t="shared" si="4"/>
        <v>850</v>
      </c>
      <c r="B851" s="207" t="s">
        <v>4001</v>
      </c>
      <c r="C851" s="207" t="s">
        <v>4002</v>
      </c>
      <c r="D851" s="207" t="s">
        <v>2285</v>
      </c>
      <c r="E851" s="207" t="s">
        <v>4003</v>
      </c>
      <c r="F851" s="207" t="s">
        <v>4004</v>
      </c>
      <c r="G851" s="208" t="s">
        <v>1444</v>
      </c>
    </row>
    <row r="852">
      <c r="A852" s="207">
        <f t="shared" si="4"/>
        <v>851</v>
      </c>
      <c r="B852" s="207" t="s">
        <v>4005</v>
      </c>
      <c r="C852" s="207" t="s">
        <v>4007</v>
      </c>
      <c r="D852" s="212" t="s">
        <v>3775</v>
      </c>
      <c r="E852" s="207" t="s">
        <v>4008</v>
      </c>
      <c r="F852" s="207" t="s">
        <v>4009</v>
      </c>
      <c r="G852" s="208" t="s">
        <v>1444</v>
      </c>
    </row>
    <row r="853">
      <c r="A853" s="207">
        <f t="shared" si="4"/>
        <v>852</v>
      </c>
      <c r="B853" s="207" t="s">
        <v>4010</v>
      </c>
      <c r="C853" s="207" t="s">
        <v>1326</v>
      </c>
      <c r="D853" s="207" t="s">
        <v>1299</v>
      </c>
      <c r="E853" s="207" t="s">
        <v>4011</v>
      </c>
      <c r="F853" s="207" t="s">
        <v>4013</v>
      </c>
      <c r="G853" s="208" t="s">
        <v>1444</v>
      </c>
    </row>
    <row r="854">
      <c r="A854" s="207">
        <f t="shared" si="4"/>
        <v>853</v>
      </c>
      <c r="B854" s="207" t="s">
        <v>4014</v>
      </c>
      <c r="C854" s="207" t="s">
        <v>4015</v>
      </c>
      <c r="D854" s="207" t="s">
        <v>4016</v>
      </c>
      <c r="E854" s="207" t="s">
        <v>4017</v>
      </c>
      <c r="F854" s="207" t="s">
        <v>4018</v>
      </c>
      <c r="G854" s="208" t="s">
        <v>1444</v>
      </c>
    </row>
    <row r="855">
      <c r="A855" s="207">
        <f t="shared" si="4"/>
        <v>854</v>
      </c>
      <c r="B855" s="207" t="s">
        <v>4019</v>
      </c>
      <c r="C855" s="207" t="s">
        <v>4021</v>
      </c>
      <c r="D855" s="207" t="s">
        <v>4022</v>
      </c>
      <c r="E855" s="207" t="s">
        <v>4023</v>
      </c>
      <c r="F855" s="207" t="s">
        <v>4024</v>
      </c>
      <c r="G855" s="208" t="s">
        <v>1444</v>
      </c>
    </row>
    <row r="856">
      <c r="A856" s="207">
        <f t="shared" si="4"/>
        <v>855</v>
      </c>
      <c r="B856" s="207" t="s">
        <v>4025</v>
      </c>
      <c r="C856" s="207" t="s">
        <v>1326</v>
      </c>
      <c r="D856" s="207" t="s">
        <v>4026</v>
      </c>
      <c r="E856" s="207" t="s">
        <v>4027</v>
      </c>
      <c r="F856" s="207" t="s">
        <v>4028</v>
      </c>
      <c r="G856" s="208" t="s">
        <v>1444</v>
      </c>
    </row>
    <row r="857">
      <c r="A857" s="207">
        <f t="shared" si="4"/>
        <v>856</v>
      </c>
      <c r="B857" s="207" t="s">
        <v>4030</v>
      </c>
      <c r="C857" s="207" t="s">
        <v>4031</v>
      </c>
      <c r="D857" s="207" t="s">
        <v>4032</v>
      </c>
      <c r="E857" s="207" t="s">
        <v>4033</v>
      </c>
      <c r="F857" s="207" t="s">
        <v>4034</v>
      </c>
      <c r="G857" s="208" t="s">
        <v>1444</v>
      </c>
    </row>
    <row r="858">
      <c r="A858" s="207">
        <f t="shared" si="4"/>
        <v>857</v>
      </c>
      <c r="B858" s="207" t="s">
        <v>4035</v>
      </c>
      <c r="C858" s="207" t="s">
        <v>4036</v>
      </c>
      <c r="D858" s="207" t="s">
        <v>4037</v>
      </c>
      <c r="E858" s="207" t="s">
        <v>4038</v>
      </c>
      <c r="F858" s="207" t="s">
        <v>4040</v>
      </c>
      <c r="G858" s="208" t="s">
        <v>1444</v>
      </c>
    </row>
    <row r="859">
      <c r="A859" s="207">
        <f t="shared" si="4"/>
        <v>858</v>
      </c>
      <c r="B859" s="207" t="s">
        <v>4041</v>
      </c>
      <c r="C859" s="207" t="s">
        <v>4042</v>
      </c>
      <c r="D859" s="207" t="s">
        <v>4043</v>
      </c>
      <c r="E859" s="207" t="s">
        <v>4044</v>
      </c>
      <c r="F859" s="207" t="s">
        <v>4045</v>
      </c>
      <c r="G859" s="208" t="s">
        <v>1444</v>
      </c>
    </row>
    <row r="860">
      <c r="A860" s="207">
        <f t="shared" si="4"/>
        <v>859</v>
      </c>
      <c r="B860" s="207" t="s">
        <v>4046</v>
      </c>
      <c r="C860" s="207" t="s">
        <v>451</v>
      </c>
      <c r="D860" s="207" t="s">
        <v>4048</v>
      </c>
      <c r="E860" s="207" t="s">
        <v>4049</v>
      </c>
      <c r="F860" s="207" t="s">
        <v>4050</v>
      </c>
      <c r="G860" s="208" t="s">
        <v>1444</v>
      </c>
    </row>
    <row r="861">
      <c r="A861" s="207">
        <f t="shared" si="4"/>
        <v>860</v>
      </c>
      <c r="B861" s="207" t="s">
        <v>4051</v>
      </c>
      <c r="C861" s="207" t="s">
        <v>4052</v>
      </c>
      <c r="D861" s="207" t="s">
        <v>4053</v>
      </c>
      <c r="E861" s="207" t="s">
        <v>4054</v>
      </c>
      <c r="F861" s="207" t="s">
        <v>4055</v>
      </c>
      <c r="G861" s="208" t="s">
        <v>1444</v>
      </c>
    </row>
    <row r="862">
      <c r="A862" s="207">
        <f t="shared" si="4"/>
        <v>861</v>
      </c>
      <c r="B862" s="207" t="s">
        <v>4057</v>
      </c>
      <c r="C862" s="207" t="s">
        <v>2279</v>
      </c>
      <c r="D862" s="207" t="s">
        <v>4058</v>
      </c>
      <c r="E862" s="207" t="s">
        <v>4059</v>
      </c>
      <c r="F862" s="207" t="s">
        <v>4060</v>
      </c>
      <c r="G862" s="207" t="s">
        <v>562</v>
      </c>
    </row>
    <row r="863">
      <c r="A863" s="207">
        <f t="shared" si="4"/>
        <v>862</v>
      </c>
      <c r="B863" s="207" t="s">
        <v>4061</v>
      </c>
      <c r="C863" s="207" t="s">
        <v>4062</v>
      </c>
      <c r="D863" s="207" t="s">
        <v>4064</v>
      </c>
      <c r="E863" s="207" t="s">
        <v>4065</v>
      </c>
      <c r="F863" s="207">
        <v>417.0</v>
      </c>
      <c r="G863" s="208" t="s">
        <v>1444</v>
      </c>
    </row>
    <row r="864">
      <c r="A864" s="207">
        <f t="shared" si="4"/>
        <v>863</v>
      </c>
      <c r="B864" s="207" t="s">
        <v>4066</v>
      </c>
      <c r="C864" s="207" t="s">
        <v>4067</v>
      </c>
      <c r="D864" s="207" t="s">
        <v>4068</v>
      </c>
      <c r="E864" s="207" t="s">
        <v>4069</v>
      </c>
      <c r="F864" s="207" t="s">
        <v>4070</v>
      </c>
      <c r="G864" s="208" t="s">
        <v>1444</v>
      </c>
    </row>
    <row r="865">
      <c r="A865" s="207">
        <f t="shared" si="4"/>
        <v>864</v>
      </c>
      <c r="B865" s="207" t="s">
        <v>4072</v>
      </c>
      <c r="C865" s="207" t="s">
        <v>4073</v>
      </c>
      <c r="D865" s="207" t="s">
        <v>4074</v>
      </c>
      <c r="E865" s="207" t="s">
        <v>4075</v>
      </c>
      <c r="F865" s="207" t="s">
        <v>4076</v>
      </c>
      <c r="G865" s="208" t="s">
        <v>1444</v>
      </c>
    </row>
    <row r="866" hidden="1">
      <c r="A866" s="207">
        <f t="shared" si="4"/>
        <v>865</v>
      </c>
      <c r="B866" s="209" t="s">
        <v>216</v>
      </c>
      <c r="C866" s="209" t="s">
        <v>216</v>
      </c>
      <c r="D866" s="209" t="s">
        <v>216</v>
      </c>
      <c r="E866" s="209" t="s">
        <v>216</v>
      </c>
      <c r="F866" s="209" t="s">
        <v>216</v>
      </c>
      <c r="G866" s="209" t="s">
        <v>488</v>
      </c>
    </row>
    <row r="867" hidden="1">
      <c r="A867" s="207">
        <f t="shared" si="4"/>
        <v>866</v>
      </c>
      <c r="B867" s="209" t="s">
        <v>216</v>
      </c>
      <c r="C867" s="209" t="s">
        <v>216</v>
      </c>
      <c r="D867" s="209" t="s">
        <v>216</v>
      </c>
      <c r="E867" s="209" t="s">
        <v>216</v>
      </c>
      <c r="F867" s="209" t="s">
        <v>216</v>
      </c>
      <c r="G867" s="209" t="s">
        <v>488</v>
      </c>
    </row>
    <row r="868" hidden="1">
      <c r="A868" s="207">
        <f t="shared" si="4"/>
        <v>867</v>
      </c>
      <c r="B868" s="209" t="s">
        <v>216</v>
      </c>
      <c r="C868" s="209" t="s">
        <v>216</v>
      </c>
      <c r="D868" s="209" t="s">
        <v>216</v>
      </c>
      <c r="E868" s="209" t="s">
        <v>216</v>
      </c>
      <c r="F868" s="209" t="s">
        <v>216</v>
      </c>
      <c r="G868" s="209" t="s">
        <v>488</v>
      </c>
    </row>
    <row r="869" hidden="1">
      <c r="A869" s="207">
        <f t="shared" si="4"/>
        <v>868</v>
      </c>
      <c r="B869" s="209" t="s">
        <v>216</v>
      </c>
      <c r="C869" s="209" t="s">
        <v>216</v>
      </c>
      <c r="D869" s="209" t="s">
        <v>216</v>
      </c>
      <c r="E869" s="209" t="s">
        <v>216</v>
      </c>
      <c r="F869" s="209" t="s">
        <v>216</v>
      </c>
      <c r="G869" s="209" t="s">
        <v>488</v>
      </c>
    </row>
    <row r="870" hidden="1">
      <c r="A870" s="207">
        <f t="shared" si="4"/>
        <v>869</v>
      </c>
      <c r="B870" s="209" t="s">
        <v>216</v>
      </c>
      <c r="C870" s="209" t="s">
        <v>216</v>
      </c>
      <c r="D870" s="209" t="s">
        <v>216</v>
      </c>
      <c r="E870" s="209" t="s">
        <v>216</v>
      </c>
      <c r="F870" s="209" t="s">
        <v>216</v>
      </c>
      <c r="G870" s="209" t="s">
        <v>488</v>
      </c>
    </row>
    <row r="871" hidden="1">
      <c r="A871" s="207">
        <f t="shared" si="4"/>
        <v>870</v>
      </c>
      <c r="B871" s="209" t="s">
        <v>216</v>
      </c>
      <c r="C871" s="209" t="s">
        <v>216</v>
      </c>
      <c r="D871" s="209" t="s">
        <v>216</v>
      </c>
      <c r="E871" s="209" t="s">
        <v>216</v>
      </c>
      <c r="F871" s="209" t="s">
        <v>216</v>
      </c>
      <c r="G871" s="209" t="s">
        <v>488</v>
      </c>
    </row>
    <row r="872" hidden="1">
      <c r="A872" s="207">
        <f t="shared" si="4"/>
        <v>871</v>
      </c>
      <c r="B872" s="209" t="s">
        <v>216</v>
      </c>
      <c r="C872" s="209" t="s">
        <v>216</v>
      </c>
      <c r="D872" s="209" t="s">
        <v>216</v>
      </c>
      <c r="E872" s="209" t="s">
        <v>216</v>
      </c>
      <c r="F872" s="209" t="s">
        <v>216</v>
      </c>
      <c r="G872" s="209" t="s">
        <v>488</v>
      </c>
    </row>
    <row r="873" hidden="1">
      <c r="A873" s="207">
        <f t="shared" si="4"/>
        <v>872</v>
      </c>
      <c r="B873" s="209" t="s">
        <v>216</v>
      </c>
      <c r="C873" s="209" t="s">
        <v>216</v>
      </c>
      <c r="D873" s="209" t="s">
        <v>216</v>
      </c>
      <c r="E873" s="209" t="s">
        <v>216</v>
      </c>
      <c r="F873" s="209" t="s">
        <v>216</v>
      </c>
      <c r="G873" s="209" t="s">
        <v>488</v>
      </c>
    </row>
    <row r="874" hidden="1">
      <c r="A874" s="207">
        <f t="shared" si="4"/>
        <v>873</v>
      </c>
      <c r="B874" s="209" t="s">
        <v>216</v>
      </c>
      <c r="C874" s="209" t="s">
        <v>216</v>
      </c>
      <c r="D874" s="209" t="s">
        <v>216</v>
      </c>
      <c r="E874" s="209" t="s">
        <v>216</v>
      </c>
      <c r="F874" s="209" t="s">
        <v>216</v>
      </c>
      <c r="G874" s="209" t="s">
        <v>488</v>
      </c>
    </row>
    <row r="875" hidden="1">
      <c r="A875" s="207">
        <f t="shared" si="4"/>
        <v>874</v>
      </c>
      <c r="B875" s="209" t="s">
        <v>216</v>
      </c>
      <c r="C875" s="209" t="s">
        <v>216</v>
      </c>
      <c r="D875" s="209" t="s">
        <v>216</v>
      </c>
      <c r="E875" s="209" t="s">
        <v>216</v>
      </c>
      <c r="F875" s="209" t="s">
        <v>216</v>
      </c>
      <c r="G875" s="209" t="s">
        <v>488</v>
      </c>
    </row>
    <row r="876" hidden="1">
      <c r="A876" s="207">
        <f t="shared" si="4"/>
        <v>875</v>
      </c>
      <c r="B876" s="209" t="s">
        <v>216</v>
      </c>
      <c r="C876" s="209" t="s">
        <v>216</v>
      </c>
      <c r="D876" s="209" t="s">
        <v>216</v>
      </c>
      <c r="E876" s="209" t="s">
        <v>216</v>
      </c>
      <c r="F876" s="209" t="s">
        <v>216</v>
      </c>
      <c r="G876" s="209" t="s">
        <v>488</v>
      </c>
    </row>
    <row r="877" hidden="1">
      <c r="A877" s="207">
        <f t="shared" si="4"/>
        <v>876</v>
      </c>
      <c r="B877" s="209" t="s">
        <v>216</v>
      </c>
      <c r="C877" s="209" t="s">
        <v>216</v>
      </c>
      <c r="D877" s="209" t="s">
        <v>216</v>
      </c>
      <c r="E877" s="209" t="s">
        <v>216</v>
      </c>
      <c r="F877" s="209" t="s">
        <v>216</v>
      </c>
      <c r="G877" s="209" t="s">
        <v>488</v>
      </c>
    </row>
    <row r="878" hidden="1">
      <c r="A878" s="207">
        <f t="shared" si="4"/>
        <v>877</v>
      </c>
      <c r="B878" s="209" t="s">
        <v>216</v>
      </c>
      <c r="C878" s="209" t="s">
        <v>216</v>
      </c>
      <c r="D878" s="209" t="s">
        <v>216</v>
      </c>
      <c r="E878" s="209" t="s">
        <v>216</v>
      </c>
      <c r="F878" s="209" t="s">
        <v>216</v>
      </c>
      <c r="G878" s="209" t="s">
        <v>488</v>
      </c>
    </row>
    <row r="879" hidden="1">
      <c r="A879" s="207">
        <f t="shared" si="4"/>
        <v>878</v>
      </c>
      <c r="B879" s="209" t="s">
        <v>216</v>
      </c>
      <c r="C879" s="209" t="s">
        <v>216</v>
      </c>
      <c r="D879" s="209" t="s">
        <v>216</v>
      </c>
      <c r="E879" s="209" t="s">
        <v>216</v>
      </c>
      <c r="F879" s="209" t="s">
        <v>216</v>
      </c>
      <c r="G879" s="209" t="s">
        <v>488</v>
      </c>
    </row>
    <row r="880" hidden="1">
      <c r="A880" s="207">
        <f t="shared" si="4"/>
        <v>879</v>
      </c>
      <c r="B880" s="209" t="s">
        <v>216</v>
      </c>
      <c r="C880" s="209" t="s">
        <v>216</v>
      </c>
      <c r="D880" s="209" t="s">
        <v>216</v>
      </c>
      <c r="E880" s="209" t="s">
        <v>216</v>
      </c>
      <c r="F880" s="209" t="s">
        <v>216</v>
      </c>
      <c r="G880" s="209" t="s">
        <v>488</v>
      </c>
    </row>
    <row r="881" hidden="1">
      <c r="A881" s="207">
        <f t="shared" si="4"/>
        <v>880</v>
      </c>
      <c r="B881" s="209" t="s">
        <v>216</v>
      </c>
      <c r="C881" s="209" t="s">
        <v>216</v>
      </c>
      <c r="D881" s="209" t="s">
        <v>216</v>
      </c>
      <c r="E881" s="209" t="s">
        <v>216</v>
      </c>
      <c r="F881" s="209" t="s">
        <v>216</v>
      </c>
      <c r="G881" s="209" t="s">
        <v>488</v>
      </c>
    </row>
    <row r="882" hidden="1">
      <c r="A882" s="207">
        <f t="shared" si="4"/>
        <v>881</v>
      </c>
      <c r="B882" s="209" t="s">
        <v>216</v>
      </c>
      <c r="C882" s="209" t="s">
        <v>216</v>
      </c>
      <c r="D882" s="209" t="s">
        <v>216</v>
      </c>
      <c r="E882" s="209" t="s">
        <v>216</v>
      </c>
      <c r="F882" s="209" t="s">
        <v>216</v>
      </c>
      <c r="G882" s="209" t="s">
        <v>488</v>
      </c>
    </row>
    <row r="883" hidden="1">
      <c r="A883" s="207">
        <f t="shared" si="4"/>
        <v>882</v>
      </c>
      <c r="B883" s="209" t="s">
        <v>216</v>
      </c>
      <c r="C883" s="209" t="s">
        <v>216</v>
      </c>
      <c r="D883" s="209" t="s">
        <v>216</v>
      </c>
      <c r="E883" s="209" t="s">
        <v>216</v>
      </c>
      <c r="F883" s="209" t="s">
        <v>216</v>
      </c>
      <c r="G883" s="209" t="s">
        <v>488</v>
      </c>
    </row>
    <row r="884" hidden="1">
      <c r="A884" s="207">
        <f t="shared" si="4"/>
        <v>883</v>
      </c>
      <c r="B884" s="209" t="s">
        <v>216</v>
      </c>
      <c r="C884" s="209" t="s">
        <v>216</v>
      </c>
      <c r="D884" s="209" t="s">
        <v>216</v>
      </c>
      <c r="E884" s="209" t="s">
        <v>216</v>
      </c>
      <c r="F884" s="209" t="s">
        <v>216</v>
      </c>
      <c r="G884" s="209" t="s">
        <v>488</v>
      </c>
    </row>
    <row r="885" hidden="1">
      <c r="A885" s="207">
        <f t="shared" si="4"/>
        <v>884</v>
      </c>
      <c r="B885" s="209" t="s">
        <v>216</v>
      </c>
      <c r="C885" s="209" t="s">
        <v>216</v>
      </c>
      <c r="D885" s="209" t="s">
        <v>216</v>
      </c>
      <c r="E885" s="209" t="s">
        <v>216</v>
      </c>
      <c r="F885" s="209" t="s">
        <v>216</v>
      </c>
      <c r="G885" s="209" t="s">
        <v>488</v>
      </c>
    </row>
    <row r="886" hidden="1">
      <c r="A886" s="207">
        <f t="shared" si="4"/>
        <v>885</v>
      </c>
      <c r="B886" s="209" t="s">
        <v>216</v>
      </c>
      <c r="C886" s="209" t="s">
        <v>216</v>
      </c>
      <c r="D886" s="209" t="s">
        <v>216</v>
      </c>
      <c r="E886" s="209" t="s">
        <v>216</v>
      </c>
      <c r="F886" s="209" t="s">
        <v>216</v>
      </c>
      <c r="G886" s="209" t="s">
        <v>488</v>
      </c>
    </row>
    <row r="887" hidden="1">
      <c r="A887" s="207">
        <f t="shared" si="4"/>
        <v>886</v>
      </c>
      <c r="B887" s="209" t="s">
        <v>216</v>
      </c>
      <c r="C887" s="209" t="s">
        <v>216</v>
      </c>
      <c r="D887" s="209" t="s">
        <v>216</v>
      </c>
      <c r="E887" s="209" t="s">
        <v>216</v>
      </c>
      <c r="F887" s="209" t="s">
        <v>216</v>
      </c>
      <c r="G887" s="209" t="s">
        <v>488</v>
      </c>
    </row>
    <row r="888" hidden="1">
      <c r="A888" s="207">
        <f t="shared" si="4"/>
        <v>887</v>
      </c>
      <c r="B888" s="209" t="s">
        <v>216</v>
      </c>
      <c r="C888" s="209" t="s">
        <v>216</v>
      </c>
      <c r="D888" s="209" t="s">
        <v>216</v>
      </c>
      <c r="E888" s="209" t="s">
        <v>216</v>
      </c>
      <c r="F888" s="209" t="s">
        <v>216</v>
      </c>
      <c r="G888" s="209" t="s">
        <v>488</v>
      </c>
    </row>
    <row r="889">
      <c r="A889" s="207">
        <f t="shared" si="4"/>
        <v>888</v>
      </c>
      <c r="B889" s="207" t="s">
        <v>4088</v>
      </c>
      <c r="C889" s="207" t="s">
        <v>4090</v>
      </c>
      <c r="D889" s="207" t="s">
        <v>4091</v>
      </c>
      <c r="E889" s="207" t="s">
        <v>4092</v>
      </c>
      <c r="F889" s="207" t="s">
        <v>4088</v>
      </c>
      <c r="G889" s="207" t="s">
        <v>562</v>
      </c>
    </row>
    <row r="890">
      <c r="A890" s="207">
        <f t="shared" si="4"/>
        <v>889</v>
      </c>
      <c r="B890" s="207" t="s">
        <v>4093</v>
      </c>
      <c r="C890" s="207" t="s">
        <v>4094</v>
      </c>
      <c r="D890" s="207" t="s">
        <v>4095</v>
      </c>
      <c r="E890" s="207" t="s">
        <v>4096</v>
      </c>
      <c r="F890" s="207" t="s">
        <v>4097</v>
      </c>
      <c r="G890" s="208" t="s">
        <v>1444</v>
      </c>
    </row>
    <row r="891">
      <c r="A891" s="207">
        <f t="shared" si="4"/>
        <v>890</v>
      </c>
      <c r="B891" s="207" t="s">
        <v>4098</v>
      </c>
      <c r="C891" s="207" t="s">
        <v>4099</v>
      </c>
      <c r="D891" s="207" t="s">
        <v>4100</v>
      </c>
      <c r="E891" s="207" t="s">
        <v>4101</v>
      </c>
      <c r="F891" s="207" t="s">
        <v>4102</v>
      </c>
      <c r="G891" s="207" t="s">
        <v>562</v>
      </c>
    </row>
    <row r="892">
      <c r="A892" s="207">
        <f t="shared" si="4"/>
        <v>891</v>
      </c>
      <c r="B892" s="207" t="s">
        <v>4104</v>
      </c>
      <c r="C892" s="207" t="s">
        <v>4105</v>
      </c>
      <c r="D892" s="207" t="s">
        <v>4106</v>
      </c>
      <c r="E892" s="207" t="s">
        <v>4107</v>
      </c>
      <c r="F892" s="207" t="s">
        <v>4108</v>
      </c>
      <c r="G892" s="208" t="s">
        <v>1444</v>
      </c>
    </row>
    <row r="893">
      <c r="A893" s="207">
        <f t="shared" si="4"/>
        <v>892</v>
      </c>
      <c r="B893" s="207" t="s">
        <v>4109</v>
      </c>
      <c r="C893" s="207" t="s">
        <v>4110</v>
      </c>
      <c r="D893" s="207" t="s">
        <v>4111</v>
      </c>
      <c r="E893" s="207" t="s">
        <v>4112</v>
      </c>
      <c r="F893" s="207" t="s">
        <v>4109</v>
      </c>
      <c r="G893" s="207" t="s">
        <v>562</v>
      </c>
    </row>
    <row r="894">
      <c r="A894" s="207">
        <f t="shared" si="4"/>
        <v>893</v>
      </c>
      <c r="B894" s="207" t="s">
        <v>4114</v>
      </c>
      <c r="C894" s="207" t="s">
        <v>4115</v>
      </c>
      <c r="D894" s="207" t="s">
        <v>4116</v>
      </c>
      <c r="E894" s="207" t="s">
        <v>4117</v>
      </c>
      <c r="F894" s="207" t="s">
        <v>4118</v>
      </c>
      <c r="G894" s="208" t="s">
        <v>1444</v>
      </c>
    </row>
    <row r="895">
      <c r="A895" s="207">
        <f t="shared" si="4"/>
        <v>894</v>
      </c>
      <c r="B895" s="207" t="s">
        <v>4119</v>
      </c>
      <c r="C895" s="207" t="s">
        <v>4120</v>
      </c>
      <c r="D895" s="207" t="s">
        <v>4121</v>
      </c>
      <c r="E895" s="207" t="s">
        <v>4122</v>
      </c>
      <c r="F895" s="207" t="s">
        <v>4123</v>
      </c>
      <c r="G895" s="208" t="s">
        <v>1444</v>
      </c>
    </row>
    <row r="896">
      <c r="A896" s="207">
        <f t="shared" si="4"/>
        <v>895</v>
      </c>
      <c r="B896" s="207" t="s">
        <v>3686</v>
      </c>
      <c r="C896" s="207" t="s">
        <v>4125</v>
      </c>
      <c r="D896" s="207" t="s">
        <v>4126</v>
      </c>
      <c r="E896" s="207" t="s">
        <v>4127</v>
      </c>
      <c r="F896" s="207" t="s">
        <v>3686</v>
      </c>
      <c r="G896" s="207" t="s">
        <v>562</v>
      </c>
    </row>
    <row r="897">
      <c r="A897" s="207">
        <f t="shared" si="4"/>
        <v>896</v>
      </c>
      <c r="B897" s="207" t="s">
        <v>4128</v>
      </c>
      <c r="C897" s="207" t="s">
        <v>1326</v>
      </c>
      <c r="D897" s="207" t="s">
        <v>4129</v>
      </c>
      <c r="E897" s="207" t="s">
        <v>4130</v>
      </c>
      <c r="F897" s="207" t="s">
        <v>4131</v>
      </c>
      <c r="G897" s="208" t="s">
        <v>1444</v>
      </c>
    </row>
    <row r="898">
      <c r="A898" s="207">
        <f t="shared" si="4"/>
        <v>897</v>
      </c>
      <c r="B898" s="207" t="s">
        <v>4133</v>
      </c>
      <c r="C898" s="207" t="s">
        <v>4134</v>
      </c>
      <c r="D898" s="207" t="s">
        <v>4135</v>
      </c>
      <c r="E898" s="207" t="s">
        <v>4136</v>
      </c>
      <c r="F898" s="211"/>
      <c r="G898" s="207" t="s">
        <v>562</v>
      </c>
    </row>
    <row r="899">
      <c r="A899" s="207">
        <f t="shared" si="4"/>
        <v>898</v>
      </c>
      <c r="B899" s="207" t="s">
        <v>4137</v>
      </c>
      <c r="C899" s="207" t="s">
        <v>4138</v>
      </c>
      <c r="D899" s="207" t="s">
        <v>4139</v>
      </c>
      <c r="E899" s="207" t="s">
        <v>4140</v>
      </c>
      <c r="F899" s="207" t="s">
        <v>4141</v>
      </c>
      <c r="G899" s="208" t="s">
        <v>1444</v>
      </c>
    </row>
    <row r="900" hidden="1">
      <c r="A900" s="207">
        <f t="shared" si="4"/>
        <v>899</v>
      </c>
      <c r="B900" s="209" t="s">
        <v>216</v>
      </c>
      <c r="C900" s="209" t="s">
        <v>216</v>
      </c>
      <c r="D900" s="209" t="s">
        <v>216</v>
      </c>
      <c r="E900" s="209" t="s">
        <v>216</v>
      </c>
      <c r="F900" s="209" t="s">
        <v>216</v>
      </c>
      <c r="G900" s="209" t="s">
        <v>488</v>
      </c>
    </row>
    <row r="901" hidden="1">
      <c r="A901" s="207">
        <f t="shared" si="4"/>
        <v>900</v>
      </c>
      <c r="B901" s="209" t="s">
        <v>216</v>
      </c>
      <c r="C901" s="209" t="s">
        <v>216</v>
      </c>
      <c r="D901" s="209" t="s">
        <v>216</v>
      </c>
      <c r="E901" s="209" t="s">
        <v>216</v>
      </c>
      <c r="F901" s="209" t="s">
        <v>216</v>
      </c>
      <c r="G901" s="209" t="s">
        <v>488</v>
      </c>
    </row>
    <row r="902" hidden="1">
      <c r="A902" s="207">
        <f t="shared" si="4"/>
        <v>901</v>
      </c>
      <c r="B902" s="209" t="s">
        <v>216</v>
      </c>
      <c r="C902" s="209" t="s">
        <v>216</v>
      </c>
      <c r="D902" s="209" t="s">
        <v>216</v>
      </c>
      <c r="E902" s="209" t="s">
        <v>216</v>
      </c>
      <c r="F902" s="209" t="s">
        <v>216</v>
      </c>
      <c r="G902" s="209" t="s">
        <v>488</v>
      </c>
    </row>
    <row r="903" hidden="1">
      <c r="A903" s="207">
        <f t="shared" si="4"/>
        <v>902</v>
      </c>
      <c r="B903" s="209" t="s">
        <v>216</v>
      </c>
      <c r="C903" s="209" t="s">
        <v>216</v>
      </c>
      <c r="D903" s="209" t="s">
        <v>216</v>
      </c>
      <c r="E903" s="209" t="s">
        <v>216</v>
      </c>
      <c r="F903" s="209" t="s">
        <v>216</v>
      </c>
      <c r="G903" s="209" t="s">
        <v>488</v>
      </c>
    </row>
    <row r="904" hidden="1">
      <c r="A904" s="207">
        <f t="shared" si="4"/>
        <v>903</v>
      </c>
      <c r="B904" s="209" t="s">
        <v>216</v>
      </c>
      <c r="C904" s="209" t="s">
        <v>216</v>
      </c>
      <c r="D904" s="209" t="s">
        <v>216</v>
      </c>
      <c r="E904" s="209" t="s">
        <v>216</v>
      </c>
      <c r="F904" s="209" t="s">
        <v>216</v>
      </c>
      <c r="G904" s="209" t="s">
        <v>488</v>
      </c>
    </row>
    <row r="905">
      <c r="A905" s="207">
        <f t="shared" si="4"/>
        <v>904</v>
      </c>
      <c r="B905" s="207" t="s">
        <v>4146</v>
      </c>
      <c r="C905" s="207" t="s">
        <v>1326</v>
      </c>
      <c r="D905" s="207" t="s">
        <v>4147</v>
      </c>
      <c r="E905" s="207" t="s">
        <v>4148</v>
      </c>
      <c r="F905" s="207" t="s">
        <v>4149</v>
      </c>
      <c r="G905" s="208" t="s">
        <v>1444</v>
      </c>
    </row>
    <row r="906">
      <c r="A906" s="207">
        <f t="shared" si="4"/>
        <v>905</v>
      </c>
      <c r="B906" s="207" t="s">
        <v>4150</v>
      </c>
      <c r="C906" s="207" t="s">
        <v>1326</v>
      </c>
      <c r="D906" s="207" t="s">
        <v>3476</v>
      </c>
      <c r="E906" s="207" t="s">
        <v>4152</v>
      </c>
      <c r="F906" s="207" t="s">
        <v>4153</v>
      </c>
      <c r="G906" s="208" t="s">
        <v>1444</v>
      </c>
    </row>
    <row r="907">
      <c r="A907" s="207">
        <f t="shared" si="4"/>
        <v>906</v>
      </c>
      <c r="B907" s="207" t="s">
        <v>4155</v>
      </c>
      <c r="C907" s="207" t="s">
        <v>4156</v>
      </c>
      <c r="D907" s="207" t="s">
        <v>4157</v>
      </c>
      <c r="E907" s="207" t="s">
        <v>4158</v>
      </c>
      <c r="F907" s="207" t="s">
        <v>4159</v>
      </c>
      <c r="G907" s="208" t="s">
        <v>1444</v>
      </c>
    </row>
    <row r="908">
      <c r="A908" s="207">
        <f t="shared" si="4"/>
        <v>907</v>
      </c>
      <c r="B908" s="207" t="s">
        <v>4160</v>
      </c>
      <c r="C908" s="207" t="s">
        <v>4162</v>
      </c>
      <c r="D908" s="207" t="s">
        <v>4163</v>
      </c>
      <c r="E908" s="207" t="s">
        <v>218</v>
      </c>
      <c r="F908" s="207" t="s">
        <v>4164</v>
      </c>
      <c r="G908" s="208" t="s">
        <v>1444</v>
      </c>
    </row>
    <row r="909">
      <c r="A909" s="207">
        <f t="shared" si="4"/>
        <v>908</v>
      </c>
      <c r="B909" s="207" t="s">
        <v>4165</v>
      </c>
      <c r="C909" s="207" t="s">
        <v>4166</v>
      </c>
      <c r="D909" s="207" t="s">
        <v>4167</v>
      </c>
      <c r="E909" s="207" t="s">
        <v>4169</v>
      </c>
      <c r="F909" s="207" t="s">
        <v>4170</v>
      </c>
      <c r="G909" s="208" t="s">
        <v>1444</v>
      </c>
    </row>
    <row r="910">
      <c r="A910" s="207">
        <f t="shared" si="4"/>
        <v>909</v>
      </c>
      <c r="B910" s="207" t="s">
        <v>4171</v>
      </c>
      <c r="C910" s="207" t="s">
        <v>4172</v>
      </c>
      <c r="D910" s="207" t="s">
        <v>4173</v>
      </c>
      <c r="E910" s="207" t="s">
        <v>4174</v>
      </c>
      <c r="F910" s="207" t="s">
        <v>4175</v>
      </c>
      <c r="G910" s="208" t="s">
        <v>1444</v>
      </c>
    </row>
    <row r="911">
      <c r="A911" s="207">
        <f t="shared" si="4"/>
        <v>910</v>
      </c>
      <c r="B911" s="207" t="s">
        <v>4177</v>
      </c>
      <c r="C911" s="207" t="s">
        <v>4178</v>
      </c>
      <c r="D911" s="207" t="s">
        <v>4179</v>
      </c>
      <c r="E911" s="207" t="s">
        <v>4180</v>
      </c>
      <c r="F911" s="207" t="s">
        <v>4181</v>
      </c>
      <c r="G911" s="208" t="s">
        <v>1444</v>
      </c>
    </row>
    <row r="912">
      <c r="A912" s="207">
        <f t="shared" si="4"/>
        <v>911</v>
      </c>
      <c r="B912" s="207" t="s">
        <v>4182</v>
      </c>
      <c r="C912" s="207" t="s">
        <v>4184</v>
      </c>
      <c r="D912" s="207" t="s">
        <v>4185</v>
      </c>
      <c r="E912" s="207" t="s">
        <v>4186</v>
      </c>
      <c r="F912" s="207" t="s">
        <v>4187</v>
      </c>
      <c r="G912" s="208" t="s">
        <v>1444</v>
      </c>
    </row>
    <row r="913">
      <c r="A913" s="207">
        <f t="shared" si="4"/>
        <v>912</v>
      </c>
      <c r="B913" s="207" t="s">
        <v>4188</v>
      </c>
      <c r="C913" s="207" t="s">
        <v>4189</v>
      </c>
      <c r="D913" s="207" t="s">
        <v>4190</v>
      </c>
      <c r="E913" s="207" t="s">
        <v>4191</v>
      </c>
      <c r="F913" s="207" t="s">
        <v>4192</v>
      </c>
      <c r="G913" s="208" t="s">
        <v>1444</v>
      </c>
    </row>
    <row r="914">
      <c r="A914" s="207">
        <f t="shared" si="4"/>
        <v>913</v>
      </c>
      <c r="B914" s="207" t="s">
        <v>4194</v>
      </c>
      <c r="C914" s="207" t="s">
        <v>4195</v>
      </c>
      <c r="D914" s="207" t="s">
        <v>4196</v>
      </c>
      <c r="E914" s="207" t="s">
        <v>4197</v>
      </c>
      <c r="F914" s="207" t="s">
        <v>4198</v>
      </c>
      <c r="G914" s="208" t="s">
        <v>1444</v>
      </c>
    </row>
    <row r="915">
      <c r="A915" s="207">
        <f t="shared" si="4"/>
        <v>914</v>
      </c>
      <c r="B915" s="207" t="s">
        <v>4199</v>
      </c>
      <c r="C915" s="207" t="s">
        <v>4201</v>
      </c>
      <c r="D915" s="207" t="s">
        <v>4202</v>
      </c>
      <c r="E915" s="207" t="s">
        <v>4203</v>
      </c>
      <c r="F915" s="207" t="s">
        <v>4204</v>
      </c>
      <c r="G915" s="208" t="s">
        <v>1444</v>
      </c>
    </row>
    <row r="916">
      <c r="A916" s="207">
        <f t="shared" si="4"/>
        <v>915</v>
      </c>
      <c r="B916" s="207" t="s">
        <v>4205</v>
      </c>
      <c r="C916" s="207" t="s">
        <v>1326</v>
      </c>
      <c r="D916" s="207" t="s">
        <v>4207</v>
      </c>
      <c r="E916" s="207" t="s">
        <v>4208</v>
      </c>
      <c r="F916" s="207" t="s">
        <v>4209</v>
      </c>
      <c r="G916" s="208" t="s">
        <v>1444</v>
      </c>
    </row>
    <row r="917">
      <c r="A917" s="207">
        <f t="shared" si="4"/>
        <v>916</v>
      </c>
      <c r="B917" s="207" t="s">
        <v>4210</v>
      </c>
      <c r="C917" s="207" t="s">
        <v>4211</v>
      </c>
      <c r="D917" s="207" t="s">
        <v>4212</v>
      </c>
      <c r="E917" s="207" t="s">
        <v>4214</v>
      </c>
      <c r="F917" s="207" t="s">
        <v>4215</v>
      </c>
      <c r="G917" s="208" t="s">
        <v>1444</v>
      </c>
    </row>
    <row r="918">
      <c r="A918" s="207">
        <f t="shared" si="4"/>
        <v>917</v>
      </c>
      <c r="B918" s="207" t="s">
        <v>4216</v>
      </c>
      <c r="C918" s="207" t="s">
        <v>4217</v>
      </c>
      <c r="D918" s="207" t="s">
        <v>4218</v>
      </c>
      <c r="E918" s="207" t="s">
        <v>4219</v>
      </c>
      <c r="F918" s="207" t="s">
        <v>4220</v>
      </c>
      <c r="G918" s="208" t="s">
        <v>1444</v>
      </c>
    </row>
    <row r="919">
      <c r="A919" s="207">
        <f t="shared" si="4"/>
        <v>918</v>
      </c>
      <c r="B919" s="207" t="s">
        <v>4222</v>
      </c>
      <c r="C919" s="207" t="s">
        <v>4223</v>
      </c>
      <c r="D919" s="207" t="s">
        <v>4224</v>
      </c>
      <c r="E919" s="207" t="s">
        <v>4225</v>
      </c>
      <c r="F919" s="207" t="s">
        <v>4226</v>
      </c>
      <c r="G919" s="208" t="s">
        <v>1444</v>
      </c>
    </row>
    <row r="920">
      <c r="A920" s="207">
        <f t="shared" si="4"/>
        <v>919</v>
      </c>
      <c r="B920" s="207" t="s">
        <v>4227</v>
      </c>
      <c r="C920" s="207" t="s">
        <v>4228</v>
      </c>
      <c r="D920" s="207" t="s">
        <v>854</v>
      </c>
      <c r="E920" s="207" t="s">
        <v>4230</v>
      </c>
      <c r="F920" s="207" t="s">
        <v>4231</v>
      </c>
      <c r="G920" s="208" t="s">
        <v>1444</v>
      </c>
    </row>
    <row r="921">
      <c r="A921" s="207">
        <f t="shared" si="4"/>
        <v>920</v>
      </c>
      <c r="B921" s="207" t="s">
        <v>4232</v>
      </c>
      <c r="C921" s="207" t="s">
        <v>4233</v>
      </c>
      <c r="D921" s="207" t="s">
        <v>3070</v>
      </c>
      <c r="E921" s="207" t="s">
        <v>4234</v>
      </c>
      <c r="F921" s="207" t="s">
        <v>4235</v>
      </c>
      <c r="G921" s="208" t="s">
        <v>1444</v>
      </c>
    </row>
    <row r="922">
      <c r="A922" s="207">
        <f t="shared" si="4"/>
        <v>921</v>
      </c>
      <c r="B922" s="207" t="s">
        <v>4237</v>
      </c>
      <c r="C922" s="207" t="s">
        <v>4238</v>
      </c>
      <c r="D922" s="207" t="s">
        <v>4239</v>
      </c>
      <c r="E922" s="207" t="s">
        <v>4240</v>
      </c>
      <c r="F922" s="207" t="s">
        <v>4241</v>
      </c>
      <c r="G922" s="208" t="s">
        <v>1444</v>
      </c>
    </row>
    <row r="923">
      <c r="A923" s="207">
        <f t="shared" si="4"/>
        <v>922</v>
      </c>
      <c r="B923" s="207" t="s">
        <v>4243</v>
      </c>
      <c r="C923" s="207" t="s">
        <v>4244</v>
      </c>
      <c r="D923" s="207" t="s">
        <v>4245</v>
      </c>
      <c r="E923" s="207" t="s">
        <v>4246</v>
      </c>
      <c r="F923" s="207" t="s">
        <v>4247</v>
      </c>
      <c r="G923" s="208" t="s">
        <v>1444</v>
      </c>
    </row>
    <row r="924">
      <c r="A924" s="207">
        <f t="shared" si="4"/>
        <v>923</v>
      </c>
      <c r="B924" s="207" t="s">
        <v>4248</v>
      </c>
      <c r="C924" s="207" t="s">
        <v>4249</v>
      </c>
      <c r="D924" s="207" t="s">
        <v>451</v>
      </c>
      <c r="E924" s="207" t="s">
        <v>4251</v>
      </c>
      <c r="F924" s="207" t="s">
        <v>4252</v>
      </c>
      <c r="G924" s="208" t="s">
        <v>1444</v>
      </c>
    </row>
    <row r="925">
      <c r="A925" s="207">
        <f t="shared" si="4"/>
        <v>924</v>
      </c>
      <c r="B925" s="207" t="s">
        <v>4253</v>
      </c>
      <c r="C925" s="207" t="s">
        <v>4254</v>
      </c>
      <c r="D925" s="207" t="s">
        <v>4255</v>
      </c>
      <c r="E925" s="207" t="s">
        <v>4257</v>
      </c>
      <c r="F925" s="207" t="s">
        <v>4258</v>
      </c>
      <c r="G925" s="207" t="s">
        <v>562</v>
      </c>
    </row>
    <row r="926">
      <c r="A926" s="207">
        <f t="shared" si="4"/>
        <v>925</v>
      </c>
      <c r="B926" s="207" t="s">
        <v>4259</v>
      </c>
      <c r="C926" s="207" t="s">
        <v>4260</v>
      </c>
      <c r="D926" s="207" t="s">
        <v>4261</v>
      </c>
      <c r="E926" s="207" t="s">
        <v>4262</v>
      </c>
      <c r="F926" s="207" t="s">
        <v>4263</v>
      </c>
      <c r="G926" s="208" t="s">
        <v>1444</v>
      </c>
    </row>
    <row r="927">
      <c r="A927" s="207">
        <f t="shared" si="4"/>
        <v>926</v>
      </c>
      <c r="B927" s="207" t="s">
        <v>4265</v>
      </c>
      <c r="C927" s="207" t="s">
        <v>451</v>
      </c>
      <c r="D927" s="207" t="s">
        <v>451</v>
      </c>
      <c r="E927" s="207" t="s">
        <v>4266</v>
      </c>
      <c r="F927" s="207" t="s">
        <v>451</v>
      </c>
      <c r="G927" s="208" t="s">
        <v>1444</v>
      </c>
    </row>
    <row r="928">
      <c r="A928" s="207">
        <f t="shared" si="4"/>
        <v>927</v>
      </c>
      <c r="B928" s="207" t="s">
        <v>4268</v>
      </c>
      <c r="C928" s="207" t="s">
        <v>4269</v>
      </c>
      <c r="D928" s="207" t="s">
        <v>4270</v>
      </c>
      <c r="E928" s="207" t="s">
        <v>4271</v>
      </c>
      <c r="F928" s="207" t="s">
        <v>4272</v>
      </c>
      <c r="G928" s="208" t="s">
        <v>1444</v>
      </c>
    </row>
    <row r="929" hidden="1">
      <c r="A929" s="207">
        <f t="shared" si="4"/>
        <v>928</v>
      </c>
      <c r="B929" s="209" t="s">
        <v>216</v>
      </c>
      <c r="C929" s="209" t="s">
        <v>216</v>
      </c>
      <c r="D929" s="209" t="s">
        <v>216</v>
      </c>
      <c r="E929" s="209" t="s">
        <v>216</v>
      </c>
      <c r="F929" s="209" t="s">
        <v>216</v>
      </c>
      <c r="G929" s="209" t="s">
        <v>488</v>
      </c>
    </row>
    <row r="930">
      <c r="A930" s="207">
        <f t="shared" si="4"/>
        <v>929</v>
      </c>
      <c r="B930" s="207" t="s">
        <v>4274</v>
      </c>
      <c r="C930" s="207" t="s">
        <v>4275</v>
      </c>
      <c r="D930" s="207" t="s">
        <v>4276</v>
      </c>
      <c r="E930" s="207" t="s">
        <v>1326</v>
      </c>
      <c r="F930" s="207" t="s">
        <v>4277</v>
      </c>
      <c r="G930" s="208" t="s">
        <v>1444</v>
      </c>
    </row>
    <row r="931">
      <c r="A931" s="207">
        <f t="shared" si="4"/>
        <v>930</v>
      </c>
      <c r="B931" s="207" t="s">
        <v>4278</v>
      </c>
      <c r="C931" s="207" t="s">
        <v>4279</v>
      </c>
      <c r="D931" s="207" t="s">
        <v>1230</v>
      </c>
      <c r="E931" s="207" t="s">
        <v>4281</v>
      </c>
      <c r="F931" s="207" t="s">
        <v>4282</v>
      </c>
      <c r="G931" s="208" t="s">
        <v>1444</v>
      </c>
    </row>
    <row r="932">
      <c r="A932" s="207">
        <f t="shared" si="4"/>
        <v>931</v>
      </c>
      <c r="B932" s="207" t="s">
        <v>4283</v>
      </c>
      <c r="C932" s="207">
        <v>183.0</v>
      </c>
      <c r="D932" s="207" t="s">
        <v>4284</v>
      </c>
      <c r="E932" s="207" t="s">
        <v>4285</v>
      </c>
      <c r="F932" s="207" t="s">
        <v>4286</v>
      </c>
      <c r="G932" s="208" t="s">
        <v>1444</v>
      </c>
    </row>
    <row r="933">
      <c r="A933" s="207">
        <f t="shared" si="4"/>
        <v>932</v>
      </c>
      <c r="B933" s="207" t="s">
        <v>4287</v>
      </c>
      <c r="C933" s="207" t="s">
        <v>4288</v>
      </c>
      <c r="D933" s="207" t="s">
        <v>4290</v>
      </c>
      <c r="E933" s="207" t="s">
        <v>4291</v>
      </c>
      <c r="F933" s="207" t="s">
        <v>4292</v>
      </c>
      <c r="G933" s="208" t="s">
        <v>1444</v>
      </c>
    </row>
    <row r="934">
      <c r="A934" s="207">
        <f t="shared" si="4"/>
        <v>933</v>
      </c>
      <c r="B934" s="207" t="s">
        <v>4293</v>
      </c>
      <c r="C934" s="207" t="s">
        <v>4294</v>
      </c>
      <c r="D934" s="207" t="s">
        <v>4295</v>
      </c>
      <c r="E934" s="207" t="s">
        <v>4296</v>
      </c>
      <c r="F934" s="207" t="s">
        <v>4297</v>
      </c>
      <c r="G934" s="208" t="s">
        <v>1444</v>
      </c>
    </row>
    <row r="935">
      <c r="A935" s="207">
        <f t="shared" si="4"/>
        <v>934</v>
      </c>
      <c r="B935" s="207" t="s">
        <v>4299</v>
      </c>
      <c r="C935" s="207" t="s">
        <v>4300</v>
      </c>
      <c r="D935" s="207" t="s">
        <v>4301</v>
      </c>
      <c r="E935" s="207" t="s">
        <v>4302</v>
      </c>
      <c r="F935" s="207" t="s">
        <v>4303</v>
      </c>
      <c r="G935" s="208" t="s">
        <v>1444</v>
      </c>
    </row>
    <row r="936">
      <c r="A936" s="207">
        <f t="shared" si="4"/>
        <v>935</v>
      </c>
      <c r="B936" s="207" t="s">
        <v>4305</v>
      </c>
      <c r="C936" s="207" t="s">
        <v>1326</v>
      </c>
      <c r="D936" s="207" t="s">
        <v>4306</v>
      </c>
      <c r="E936" s="207" t="s">
        <v>4307</v>
      </c>
      <c r="F936" s="207" t="s">
        <v>4308</v>
      </c>
      <c r="G936" s="208" t="s">
        <v>1444</v>
      </c>
    </row>
    <row r="937">
      <c r="A937" s="207">
        <f t="shared" si="4"/>
        <v>936</v>
      </c>
      <c r="B937" s="207" t="s">
        <v>4309</v>
      </c>
      <c r="C937" s="207" t="s">
        <v>4310</v>
      </c>
      <c r="D937" s="207" t="s">
        <v>3291</v>
      </c>
      <c r="E937" s="207" t="s">
        <v>4311</v>
      </c>
      <c r="F937" s="207" t="s">
        <v>4313</v>
      </c>
      <c r="G937" s="208" t="s">
        <v>1444</v>
      </c>
    </row>
    <row r="938">
      <c r="A938" s="207">
        <f t="shared" si="4"/>
        <v>937</v>
      </c>
      <c r="B938" s="207" t="s">
        <v>4314</v>
      </c>
      <c r="C938" s="207" t="s">
        <v>1326</v>
      </c>
      <c r="D938" s="207" t="s">
        <v>4315</v>
      </c>
      <c r="E938" s="207" t="s">
        <v>4316</v>
      </c>
      <c r="F938" s="207" t="s">
        <v>4317</v>
      </c>
      <c r="G938" s="208" t="s">
        <v>1444</v>
      </c>
    </row>
    <row r="939">
      <c r="A939" s="207">
        <f t="shared" si="4"/>
        <v>938</v>
      </c>
      <c r="B939" s="207" t="s">
        <v>4318</v>
      </c>
      <c r="C939" s="207" t="s">
        <v>4320</v>
      </c>
      <c r="D939" s="207" t="s">
        <v>4321</v>
      </c>
      <c r="E939" s="207" t="s">
        <v>4322</v>
      </c>
      <c r="F939" s="207">
        <v>938.0</v>
      </c>
      <c r="G939" s="208" t="s">
        <v>1444</v>
      </c>
    </row>
    <row r="940">
      <c r="A940" s="207">
        <f t="shared" si="4"/>
        <v>939</v>
      </c>
      <c r="B940" s="207" t="s">
        <v>4323</v>
      </c>
      <c r="C940" s="207" t="s">
        <v>1326</v>
      </c>
      <c r="D940" s="207" t="s">
        <v>4324</v>
      </c>
      <c r="E940" s="207" t="s">
        <v>4325</v>
      </c>
      <c r="F940" s="207" t="s">
        <v>4326</v>
      </c>
      <c r="G940" s="208" t="s">
        <v>1444</v>
      </c>
    </row>
    <row r="941">
      <c r="A941" s="207">
        <f t="shared" si="4"/>
        <v>940</v>
      </c>
      <c r="B941" s="207" t="s">
        <v>4328</v>
      </c>
      <c r="C941" s="207" t="s">
        <v>4329</v>
      </c>
      <c r="D941" s="207" t="s">
        <v>4330</v>
      </c>
      <c r="E941" s="207" t="s">
        <v>4331</v>
      </c>
      <c r="F941" s="207" t="s">
        <v>4332</v>
      </c>
      <c r="G941" s="208" t="s">
        <v>1444</v>
      </c>
    </row>
    <row r="942">
      <c r="A942" s="207">
        <f t="shared" si="4"/>
        <v>941</v>
      </c>
      <c r="B942" s="207" t="s">
        <v>4333</v>
      </c>
      <c r="C942" s="207" t="s">
        <v>4334</v>
      </c>
      <c r="D942" s="207" t="s">
        <v>4335</v>
      </c>
      <c r="E942" s="207" t="s">
        <v>4336</v>
      </c>
      <c r="F942" s="207" t="s">
        <v>4337</v>
      </c>
      <c r="G942" s="208" t="s">
        <v>1444</v>
      </c>
    </row>
    <row r="943">
      <c r="A943" s="207">
        <f t="shared" si="4"/>
        <v>942</v>
      </c>
      <c r="B943" s="207" t="s">
        <v>4339</v>
      </c>
      <c r="C943" s="207" t="s">
        <v>4340</v>
      </c>
      <c r="D943" s="207" t="s">
        <v>930</v>
      </c>
      <c r="E943" s="207" t="s">
        <v>4341</v>
      </c>
      <c r="F943" s="207" t="s">
        <v>4342</v>
      </c>
      <c r="G943" s="208" t="s">
        <v>1444</v>
      </c>
    </row>
    <row r="944">
      <c r="A944" s="207">
        <f t="shared" si="4"/>
        <v>943</v>
      </c>
      <c r="B944" s="207" t="s">
        <v>4343</v>
      </c>
      <c r="C944" s="207" t="s">
        <v>4344</v>
      </c>
      <c r="D944" s="207" t="s">
        <v>2465</v>
      </c>
      <c r="E944" s="207" t="s">
        <v>4346</v>
      </c>
      <c r="F944" s="207">
        <v>585.0</v>
      </c>
      <c r="G944" s="208" t="s">
        <v>1444</v>
      </c>
    </row>
    <row r="945">
      <c r="A945" s="207">
        <f t="shared" si="4"/>
        <v>944</v>
      </c>
      <c r="B945" s="207" t="s">
        <v>4347</v>
      </c>
      <c r="C945" s="207" t="s">
        <v>4348</v>
      </c>
      <c r="D945" s="207" t="s">
        <v>4349</v>
      </c>
      <c r="E945" s="207" t="s">
        <v>4350</v>
      </c>
      <c r="F945" s="207" t="s">
        <v>4351</v>
      </c>
      <c r="G945" s="208" t="s">
        <v>1444</v>
      </c>
    </row>
    <row r="946">
      <c r="A946" s="207">
        <f t="shared" si="4"/>
        <v>945</v>
      </c>
      <c r="B946" s="207" t="s">
        <v>4352</v>
      </c>
      <c r="C946" s="207" t="s">
        <v>4353</v>
      </c>
      <c r="D946" s="207" t="s">
        <v>4355</v>
      </c>
      <c r="E946" s="207" t="s">
        <v>4356</v>
      </c>
      <c r="F946" s="207" t="s">
        <v>4357</v>
      </c>
      <c r="G946" s="208" t="s">
        <v>1444</v>
      </c>
    </row>
    <row r="947">
      <c r="A947" s="207">
        <f t="shared" si="4"/>
        <v>946</v>
      </c>
      <c r="B947" s="207" t="s">
        <v>4358</v>
      </c>
      <c r="C947" s="207" t="s">
        <v>4359</v>
      </c>
      <c r="D947" s="207" t="s">
        <v>4360</v>
      </c>
      <c r="E947" s="207" t="s">
        <v>4361</v>
      </c>
      <c r="F947" s="207" t="s">
        <v>4362</v>
      </c>
      <c r="G947" s="208" t="s">
        <v>1444</v>
      </c>
    </row>
    <row r="948">
      <c r="A948" s="207">
        <f t="shared" si="4"/>
        <v>947</v>
      </c>
      <c r="B948" s="207" t="s">
        <v>4364</v>
      </c>
      <c r="C948" s="207" t="s">
        <v>4365</v>
      </c>
      <c r="D948" s="207" t="s">
        <v>1524</v>
      </c>
      <c r="E948" s="207" t="s">
        <v>4366</v>
      </c>
      <c r="F948" s="207" t="s">
        <v>4367</v>
      </c>
      <c r="G948" s="208" t="s">
        <v>1444</v>
      </c>
    </row>
    <row r="949">
      <c r="A949" s="207">
        <f t="shared" si="4"/>
        <v>948</v>
      </c>
      <c r="B949" s="207" t="s">
        <v>4368</v>
      </c>
      <c r="C949" s="207" t="s">
        <v>4369</v>
      </c>
      <c r="D949" s="207" t="s">
        <v>4370</v>
      </c>
      <c r="E949" s="207" t="s">
        <v>4371</v>
      </c>
      <c r="F949" s="207" t="s">
        <v>4372</v>
      </c>
      <c r="G949" s="208" t="s">
        <v>1444</v>
      </c>
    </row>
    <row r="950">
      <c r="A950" s="207">
        <f t="shared" si="4"/>
        <v>949</v>
      </c>
      <c r="B950" s="207" t="s">
        <v>4374</v>
      </c>
      <c r="C950" s="207" t="s">
        <v>4375</v>
      </c>
      <c r="D950" s="207" t="s">
        <v>4376</v>
      </c>
      <c r="E950" s="207" t="s">
        <v>4377</v>
      </c>
      <c r="F950" s="207" t="s">
        <v>4378</v>
      </c>
      <c r="G950" s="208" t="s">
        <v>1444</v>
      </c>
    </row>
    <row r="951" hidden="1">
      <c r="A951" s="207">
        <f t="shared" si="4"/>
        <v>950</v>
      </c>
      <c r="B951" s="209" t="s">
        <v>216</v>
      </c>
      <c r="C951" s="209" t="s">
        <v>216</v>
      </c>
      <c r="D951" s="209" t="s">
        <v>216</v>
      </c>
      <c r="E951" s="209" t="s">
        <v>216</v>
      </c>
      <c r="F951" s="209" t="s">
        <v>216</v>
      </c>
      <c r="G951" s="209" t="s">
        <v>488</v>
      </c>
    </row>
    <row r="952">
      <c r="A952" s="207">
        <f t="shared" si="4"/>
        <v>951</v>
      </c>
      <c r="B952" s="207" t="s">
        <v>4380</v>
      </c>
      <c r="C952" s="207" t="s">
        <v>4381</v>
      </c>
      <c r="D952" s="207" t="s">
        <v>4382</v>
      </c>
      <c r="E952" s="207" t="s">
        <v>4383</v>
      </c>
      <c r="F952" s="207" t="s">
        <v>1010</v>
      </c>
      <c r="G952" s="208" t="s">
        <v>1444</v>
      </c>
    </row>
    <row r="953" hidden="1">
      <c r="A953" s="207">
        <f t="shared" si="4"/>
        <v>952</v>
      </c>
      <c r="B953" s="209" t="s">
        <v>216</v>
      </c>
      <c r="C953" s="209" t="s">
        <v>216</v>
      </c>
      <c r="D953" s="209" t="s">
        <v>216</v>
      </c>
      <c r="E953" s="209" t="s">
        <v>216</v>
      </c>
      <c r="F953" s="209" t="s">
        <v>216</v>
      </c>
      <c r="G953" s="209" t="s">
        <v>488</v>
      </c>
    </row>
    <row r="954">
      <c r="A954" s="207">
        <f t="shared" si="4"/>
        <v>953</v>
      </c>
      <c r="B954" s="207" t="s">
        <v>4386</v>
      </c>
      <c r="C954" s="207" t="s">
        <v>4387</v>
      </c>
      <c r="D954" s="207" t="s">
        <v>4388</v>
      </c>
      <c r="E954" s="207" t="s">
        <v>4389</v>
      </c>
      <c r="F954" s="207" t="s">
        <v>4390</v>
      </c>
      <c r="G954" s="208" t="s">
        <v>1444</v>
      </c>
    </row>
    <row r="955">
      <c r="A955" s="207">
        <f t="shared" si="4"/>
        <v>954</v>
      </c>
      <c r="B955" s="207" t="s">
        <v>4391</v>
      </c>
      <c r="C955" s="207" t="s">
        <v>1326</v>
      </c>
      <c r="D955" s="207" t="s">
        <v>4392</v>
      </c>
      <c r="E955" s="207" t="s">
        <v>4393</v>
      </c>
      <c r="F955" s="207" t="s">
        <v>4394</v>
      </c>
      <c r="G955" s="208" t="s">
        <v>1444</v>
      </c>
    </row>
    <row r="956">
      <c r="A956" s="207">
        <f t="shared" si="4"/>
        <v>955</v>
      </c>
      <c r="B956" s="207" t="s">
        <v>4396</v>
      </c>
      <c r="C956" s="207" t="s">
        <v>4397</v>
      </c>
      <c r="D956" s="207" t="s">
        <v>4398</v>
      </c>
      <c r="E956" s="207" t="s">
        <v>4399</v>
      </c>
      <c r="F956" s="207" t="s">
        <v>4400</v>
      </c>
      <c r="G956" s="208" t="s">
        <v>1444</v>
      </c>
    </row>
    <row r="957">
      <c r="A957" s="207">
        <f t="shared" si="4"/>
        <v>956</v>
      </c>
      <c r="B957" s="207" t="s">
        <v>4401</v>
      </c>
      <c r="C957" s="207" t="s">
        <v>4402</v>
      </c>
      <c r="D957" s="207" t="s">
        <v>4403</v>
      </c>
      <c r="E957" s="207" t="s">
        <v>4405</v>
      </c>
      <c r="F957" s="207" t="s">
        <v>4406</v>
      </c>
      <c r="G957" s="208" t="s">
        <v>1444</v>
      </c>
    </row>
    <row r="958">
      <c r="A958" s="207">
        <f t="shared" si="4"/>
        <v>957</v>
      </c>
      <c r="B958" s="207" t="s">
        <v>4407</v>
      </c>
      <c r="C958" s="207" t="s">
        <v>4408</v>
      </c>
      <c r="D958" s="207" t="s">
        <v>4409</v>
      </c>
      <c r="E958" s="207" t="s">
        <v>4410</v>
      </c>
      <c r="F958" s="207" t="s">
        <v>4411</v>
      </c>
      <c r="G958" s="208" t="s">
        <v>1444</v>
      </c>
    </row>
    <row r="959">
      <c r="A959" s="207">
        <f t="shared" si="4"/>
        <v>958</v>
      </c>
      <c r="B959" s="207" t="s">
        <v>4413</v>
      </c>
      <c r="C959" s="207" t="s">
        <v>4414</v>
      </c>
      <c r="D959" s="207" t="s">
        <v>4415</v>
      </c>
      <c r="E959" s="207" t="s">
        <v>4416</v>
      </c>
      <c r="F959" s="207" t="s">
        <v>4417</v>
      </c>
      <c r="G959" s="208" t="s">
        <v>1444</v>
      </c>
    </row>
    <row r="960">
      <c r="A960" s="207">
        <f t="shared" si="4"/>
        <v>959</v>
      </c>
      <c r="B960" s="207" t="s">
        <v>4419</v>
      </c>
      <c r="C960" s="207" t="s">
        <v>4420</v>
      </c>
      <c r="D960" s="207" t="s">
        <v>4421</v>
      </c>
      <c r="E960" s="207" t="s">
        <v>4422</v>
      </c>
      <c r="F960" s="207" t="s">
        <v>4423</v>
      </c>
      <c r="G960" s="208" t="s">
        <v>1444</v>
      </c>
    </row>
    <row r="961">
      <c r="A961" s="207">
        <f t="shared" si="4"/>
        <v>960</v>
      </c>
      <c r="B961" s="207" t="s">
        <v>4425</v>
      </c>
      <c r="C961" s="207" t="s">
        <v>4426</v>
      </c>
      <c r="D961" s="207" t="s">
        <v>451</v>
      </c>
      <c r="E961" s="207" t="s">
        <v>4427</v>
      </c>
      <c r="F961" s="207" t="s">
        <v>4428</v>
      </c>
      <c r="G961" s="208" t="s">
        <v>1444</v>
      </c>
    </row>
    <row r="962">
      <c r="A962" s="207">
        <f t="shared" si="4"/>
        <v>961</v>
      </c>
      <c r="B962" s="207" t="s">
        <v>4430</v>
      </c>
      <c r="C962" s="207" t="s">
        <v>4431</v>
      </c>
      <c r="D962" s="207" t="s">
        <v>4432</v>
      </c>
      <c r="E962" s="207" t="s">
        <v>4433</v>
      </c>
      <c r="F962" s="207" t="s">
        <v>4434</v>
      </c>
      <c r="G962" s="208" t="s">
        <v>1444</v>
      </c>
    </row>
    <row r="963">
      <c r="A963" s="207">
        <f t="shared" si="4"/>
        <v>962</v>
      </c>
      <c r="B963" s="207" t="s">
        <v>4435</v>
      </c>
      <c r="C963" s="207" t="s">
        <v>4437</v>
      </c>
      <c r="D963" s="207" t="s">
        <v>4438</v>
      </c>
      <c r="E963" s="207" t="s">
        <v>4439</v>
      </c>
      <c r="F963" s="207" t="s">
        <v>4440</v>
      </c>
      <c r="G963" s="208" t="s">
        <v>1444</v>
      </c>
    </row>
    <row r="964">
      <c r="A964" s="207">
        <f t="shared" si="4"/>
        <v>963</v>
      </c>
      <c r="B964" s="207" t="s">
        <v>4441</v>
      </c>
      <c r="C964" s="207" t="s">
        <v>4442</v>
      </c>
      <c r="D964" s="207" t="s">
        <v>4443</v>
      </c>
      <c r="E964" s="207" t="s">
        <v>4445</v>
      </c>
      <c r="F964" s="207" t="s">
        <v>4446</v>
      </c>
      <c r="G964" s="208" t="s">
        <v>1444</v>
      </c>
    </row>
    <row r="965">
      <c r="A965" s="207">
        <f t="shared" si="4"/>
        <v>964</v>
      </c>
      <c r="B965" s="207" t="s">
        <v>4447</v>
      </c>
      <c r="C965" s="207" t="s">
        <v>1326</v>
      </c>
      <c r="D965" s="207" t="s">
        <v>4448</v>
      </c>
      <c r="E965" s="207" t="s">
        <v>4449</v>
      </c>
      <c r="F965" s="207" t="s">
        <v>4450</v>
      </c>
      <c r="G965" s="208" t="s">
        <v>1444</v>
      </c>
    </row>
    <row r="966">
      <c r="A966" s="207">
        <f t="shared" si="4"/>
        <v>965</v>
      </c>
      <c r="B966" s="207" t="s">
        <v>451</v>
      </c>
      <c r="C966" s="207" t="s">
        <v>451</v>
      </c>
      <c r="D966" s="207" t="s">
        <v>4452</v>
      </c>
      <c r="E966" s="207" t="s">
        <v>451</v>
      </c>
      <c r="F966" s="207" t="s">
        <v>451</v>
      </c>
      <c r="G966" s="208"/>
    </row>
    <row r="967" hidden="1">
      <c r="A967" s="207">
        <f t="shared" si="4"/>
        <v>966</v>
      </c>
      <c r="B967" s="209" t="s">
        <v>216</v>
      </c>
      <c r="C967" s="209" t="s">
        <v>216</v>
      </c>
      <c r="D967" s="209" t="s">
        <v>216</v>
      </c>
      <c r="E967" s="209" t="s">
        <v>216</v>
      </c>
      <c r="F967" s="209" t="s">
        <v>216</v>
      </c>
      <c r="G967" s="209" t="s">
        <v>488</v>
      </c>
    </row>
    <row r="968" hidden="1">
      <c r="A968" s="207">
        <f t="shared" si="4"/>
        <v>967</v>
      </c>
      <c r="B968" s="209" t="s">
        <v>216</v>
      </c>
      <c r="C968" s="209" t="s">
        <v>216</v>
      </c>
      <c r="D968" s="209" t="s">
        <v>216</v>
      </c>
      <c r="E968" s="209" t="s">
        <v>216</v>
      </c>
      <c r="F968" s="209" t="s">
        <v>216</v>
      </c>
      <c r="G968" s="209" t="s">
        <v>488</v>
      </c>
    </row>
    <row r="969" hidden="1">
      <c r="A969" s="207">
        <f t="shared" si="4"/>
        <v>968</v>
      </c>
      <c r="B969" s="209" t="s">
        <v>216</v>
      </c>
      <c r="C969" s="209" t="s">
        <v>216</v>
      </c>
      <c r="D969" s="209" t="s">
        <v>216</v>
      </c>
      <c r="E969" s="209" t="s">
        <v>216</v>
      </c>
      <c r="F969" s="209" t="s">
        <v>216</v>
      </c>
      <c r="G969" s="209" t="s">
        <v>488</v>
      </c>
    </row>
    <row r="970">
      <c r="A970" s="207">
        <f t="shared" si="4"/>
        <v>969</v>
      </c>
      <c r="B970" s="207" t="s">
        <v>4458</v>
      </c>
      <c r="C970" s="207" t="s">
        <v>4459</v>
      </c>
      <c r="D970" s="207" t="s">
        <v>4460</v>
      </c>
      <c r="E970" s="207" t="s">
        <v>4461</v>
      </c>
      <c r="F970" s="207" t="s">
        <v>4462</v>
      </c>
      <c r="G970" s="208" t="s">
        <v>1444</v>
      </c>
    </row>
    <row r="971">
      <c r="A971" s="207">
        <f t="shared" si="4"/>
        <v>970</v>
      </c>
      <c r="B971" s="207" t="s">
        <v>4463</v>
      </c>
      <c r="C971" s="207" t="s">
        <v>1326</v>
      </c>
      <c r="D971" s="207" t="s">
        <v>1641</v>
      </c>
      <c r="E971" s="207" t="s">
        <v>4465</v>
      </c>
      <c r="F971" s="207" t="s">
        <v>4466</v>
      </c>
      <c r="G971" s="208" t="s">
        <v>1444</v>
      </c>
    </row>
    <row r="972">
      <c r="A972" s="207">
        <f t="shared" si="4"/>
        <v>971</v>
      </c>
      <c r="B972" s="207" t="s">
        <v>4467</v>
      </c>
      <c r="C972" s="207" t="s">
        <v>1326</v>
      </c>
      <c r="D972" s="207" t="s">
        <v>4469</v>
      </c>
      <c r="E972" s="207" t="s">
        <v>4470</v>
      </c>
      <c r="F972" s="207" t="s">
        <v>4471</v>
      </c>
      <c r="G972" s="208" t="s">
        <v>1444</v>
      </c>
    </row>
    <row r="973">
      <c r="A973" s="207">
        <f t="shared" si="4"/>
        <v>972</v>
      </c>
      <c r="B973" s="207" t="s">
        <v>4472</v>
      </c>
      <c r="C973" s="207" t="s">
        <v>4473</v>
      </c>
      <c r="D973" s="207" t="s">
        <v>4474</v>
      </c>
      <c r="E973" s="207" t="s">
        <v>4476</v>
      </c>
      <c r="F973" s="207" t="s">
        <v>4477</v>
      </c>
      <c r="G973" s="208" t="s">
        <v>1444</v>
      </c>
    </row>
    <row r="974">
      <c r="A974" s="207">
        <f t="shared" si="4"/>
        <v>973</v>
      </c>
      <c r="B974" s="207" t="s">
        <v>4478</v>
      </c>
      <c r="C974" s="207" t="s">
        <v>4479</v>
      </c>
      <c r="D974" s="207" t="s">
        <v>4480</v>
      </c>
      <c r="E974" s="207" t="s">
        <v>4481</v>
      </c>
      <c r="F974" s="207" t="s">
        <v>4482</v>
      </c>
      <c r="G974" s="208" t="s">
        <v>1444</v>
      </c>
    </row>
    <row r="975">
      <c r="A975" s="207">
        <f t="shared" si="4"/>
        <v>974</v>
      </c>
      <c r="B975" s="207" t="s">
        <v>4484</v>
      </c>
      <c r="C975" s="207" t="s">
        <v>1326</v>
      </c>
      <c r="D975" s="207" t="s">
        <v>4485</v>
      </c>
      <c r="E975" s="207" t="s">
        <v>4486</v>
      </c>
      <c r="F975" s="207" t="s">
        <v>4487</v>
      </c>
      <c r="G975" s="208" t="s">
        <v>1444</v>
      </c>
    </row>
    <row r="976">
      <c r="A976" s="207">
        <f t="shared" si="4"/>
        <v>975</v>
      </c>
      <c r="B976" s="207" t="s">
        <v>4489</v>
      </c>
      <c r="C976" s="207" t="s">
        <v>4490</v>
      </c>
      <c r="D976" s="207" t="s">
        <v>4491</v>
      </c>
      <c r="E976" s="207" t="s">
        <v>4492</v>
      </c>
      <c r="F976" s="207" t="s">
        <v>4493</v>
      </c>
      <c r="G976" s="208" t="s">
        <v>1444</v>
      </c>
    </row>
    <row r="977">
      <c r="A977" s="207">
        <f t="shared" si="4"/>
        <v>976</v>
      </c>
      <c r="B977" s="207" t="s">
        <v>4495</v>
      </c>
      <c r="C977" s="207" t="s">
        <v>1326</v>
      </c>
      <c r="D977" s="207" t="s">
        <v>4496</v>
      </c>
      <c r="E977" s="207" t="s">
        <v>4497</v>
      </c>
      <c r="F977" s="207" t="s">
        <v>4498</v>
      </c>
      <c r="G977" s="207" t="s">
        <v>562</v>
      </c>
    </row>
    <row r="978">
      <c r="A978" s="207">
        <f t="shared" si="4"/>
        <v>977</v>
      </c>
      <c r="B978" s="207" t="s">
        <v>4500</v>
      </c>
      <c r="C978" s="207" t="s">
        <v>4501</v>
      </c>
      <c r="D978" s="207" t="s">
        <v>4502</v>
      </c>
      <c r="E978" s="207" t="s">
        <v>4503</v>
      </c>
      <c r="F978" s="207" t="s">
        <v>4504</v>
      </c>
      <c r="G978" s="208" t="s">
        <v>1444</v>
      </c>
    </row>
    <row r="979">
      <c r="A979" s="207">
        <f t="shared" si="4"/>
        <v>978</v>
      </c>
      <c r="B979" s="207" t="s">
        <v>4506</v>
      </c>
      <c r="C979" s="207" t="s">
        <v>4507</v>
      </c>
      <c r="D979" s="207" t="s">
        <v>4508</v>
      </c>
      <c r="E979" s="207" t="s">
        <v>4509</v>
      </c>
      <c r="F979" s="207" t="s">
        <v>4510</v>
      </c>
      <c r="G979" s="208" t="s">
        <v>1444</v>
      </c>
    </row>
    <row r="980">
      <c r="A980" s="207">
        <f t="shared" si="4"/>
        <v>979</v>
      </c>
      <c r="B980" s="207" t="s">
        <v>4511</v>
      </c>
      <c r="C980" s="207" t="s">
        <v>1326</v>
      </c>
      <c r="D980" s="207" t="s">
        <v>4513</v>
      </c>
      <c r="E980" s="207" t="s">
        <v>4514</v>
      </c>
      <c r="F980" s="207" t="s">
        <v>4515</v>
      </c>
      <c r="G980" s="208" t="s">
        <v>1444</v>
      </c>
    </row>
    <row r="981">
      <c r="A981" s="207">
        <f t="shared" si="4"/>
        <v>980</v>
      </c>
      <c r="B981" s="207" t="s">
        <v>4516</v>
      </c>
      <c r="C981" s="207" t="s">
        <v>4517</v>
      </c>
      <c r="D981" s="207" t="s">
        <v>4519</v>
      </c>
      <c r="E981" s="207" t="s">
        <v>4520</v>
      </c>
      <c r="F981" s="207" t="s">
        <v>4521</v>
      </c>
      <c r="G981" s="208" t="s">
        <v>1444</v>
      </c>
    </row>
    <row r="982">
      <c r="A982" s="207">
        <f t="shared" si="4"/>
        <v>981</v>
      </c>
      <c r="B982" s="207" t="s">
        <v>4522</v>
      </c>
      <c r="C982" s="207" t="s">
        <v>1326</v>
      </c>
      <c r="D982" s="207" t="s">
        <v>4523</v>
      </c>
      <c r="E982" s="207" t="s">
        <v>4525</v>
      </c>
      <c r="F982" s="207" t="s">
        <v>4526</v>
      </c>
      <c r="G982" s="208" t="s">
        <v>1444</v>
      </c>
    </row>
    <row r="983">
      <c r="A983" s="207">
        <f t="shared" si="4"/>
        <v>982</v>
      </c>
      <c r="B983" s="207" t="s">
        <v>4527</v>
      </c>
      <c r="C983" s="207" t="s">
        <v>1326</v>
      </c>
      <c r="D983" s="207" t="s">
        <v>4528</v>
      </c>
      <c r="E983" s="207" t="s">
        <v>4529</v>
      </c>
      <c r="F983" s="207" t="s">
        <v>4530</v>
      </c>
      <c r="G983" s="208" t="s">
        <v>1444</v>
      </c>
    </row>
    <row r="984">
      <c r="A984" s="207">
        <f t="shared" si="4"/>
        <v>983</v>
      </c>
      <c r="B984" s="207" t="s">
        <v>4532</v>
      </c>
      <c r="C984" s="207" t="s">
        <v>4533</v>
      </c>
      <c r="D984" s="207" t="s">
        <v>4534</v>
      </c>
      <c r="E984" s="207" t="s">
        <v>4535</v>
      </c>
      <c r="F984" s="207" t="s">
        <v>4536</v>
      </c>
      <c r="G984" s="208" t="s">
        <v>1444</v>
      </c>
    </row>
    <row r="985" hidden="1">
      <c r="A985" s="207">
        <f t="shared" si="4"/>
        <v>984</v>
      </c>
      <c r="B985" s="211" t="s">
        <v>1444</v>
      </c>
      <c r="C985" s="211" t="s">
        <v>1444</v>
      </c>
      <c r="D985" s="211" t="s">
        <v>1444</v>
      </c>
      <c r="E985" s="207" t="s">
        <v>4537</v>
      </c>
      <c r="F985" s="207" t="s">
        <v>4538</v>
      </c>
      <c r="G985" s="208" t="s">
        <v>1444</v>
      </c>
    </row>
    <row r="986">
      <c r="A986" s="207">
        <f t="shared" si="4"/>
        <v>985</v>
      </c>
      <c r="B986" s="207" t="s">
        <v>4540</v>
      </c>
      <c r="C986" s="207" t="s">
        <v>1326</v>
      </c>
      <c r="D986" s="211" t="s">
        <v>1444</v>
      </c>
      <c r="E986" s="207" t="s">
        <v>4541</v>
      </c>
      <c r="F986" s="207" t="s">
        <v>4542</v>
      </c>
      <c r="G986" s="208" t="s">
        <v>1444</v>
      </c>
    </row>
    <row r="987">
      <c r="A987" s="207">
        <f t="shared" si="4"/>
        <v>986</v>
      </c>
      <c r="B987" s="207" t="s">
        <v>4543</v>
      </c>
      <c r="C987" s="207" t="s">
        <v>4544</v>
      </c>
      <c r="D987" s="211" t="s">
        <v>1444</v>
      </c>
      <c r="E987" s="207" t="s">
        <v>4545</v>
      </c>
      <c r="F987" s="207" t="s">
        <v>4546</v>
      </c>
      <c r="G987" s="208" t="s">
        <v>1444</v>
      </c>
    </row>
    <row r="988">
      <c r="A988" s="207">
        <f t="shared" si="4"/>
        <v>987</v>
      </c>
      <c r="B988" s="207" t="s">
        <v>4548</v>
      </c>
      <c r="C988" s="207" t="s">
        <v>4549</v>
      </c>
      <c r="D988" s="211" t="s">
        <v>1444</v>
      </c>
      <c r="E988" s="212" t="s">
        <v>4550</v>
      </c>
      <c r="F988" s="207" t="s">
        <v>4551</v>
      </c>
      <c r="G988" s="208" t="s">
        <v>1444</v>
      </c>
    </row>
    <row r="989">
      <c r="A989" s="207">
        <f t="shared" si="4"/>
        <v>988</v>
      </c>
      <c r="B989" s="207" t="s">
        <v>4552</v>
      </c>
      <c r="C989" s="207" t="s">
        <v>4553</v>
      </c>
      <c r="D989" s="211" t="s">
        <v>1444</v>
      </c>
      <c r="E989" s="207" t="s">
        <v>4555</v>
      </c>
      <c r="F989" s="207" t="s">
        <v>4556</v>
      </c>
      <c r="G989" s="208" t="s">
        <v>1444</v>
      </c>
    </row>
    <row r="990">
      <c r="A990" s="207">
        <f t="shared" si="4"/>
        <v>989</v>
      </c>
      <c r="B990" s="207" t="s">
        <v>4557</v>
      </c>
      <c r="C990" s="211" t="s">
        <v>1444</v>
      </c>
      <c r="D990" s="207" t="s">
        <v>4192</v>
      </c>
      <c r="E990" s="207" t="s">
        <v>4558</v>
      </c>
      <c r="F990" s="207" t="s">
        <v>4557</v>
      </c>
      <c r="G990" s="207" t="s">
        <v>3673</v>
      </c>
    </row>
    <row r="991">
      <c r="A991" s="207">
        <f t="shared" si="4"/>
        <v>990</v>
      </c>
      <c r="B991" s="207" t="s">
        <v>4560</v>
      </c>
      <c r="C991" s="207" t="s">
        <v>4561</v>
      </c>
      <c r="D991" s="211" t="s">
        <v>1444</v>
      </c>
      <c r="E991" s="212" t="s">
        <v>4550</v>
      </c>
      <c r="F991" s="207" t="s">
        <v>4562</v>
      </c>
      <c r="G991" s="208" t="s">
        <v>1444</v>
      </c>
    </row>
    <row r="992">
      <c r="A992" s="207">
        <f t="shared" si="4"/>
        <v>991</v>
      </c>
      <c r="B992" s="207" t="s">
        <v>4563</v>
      </c>
      <c r="C992" s="207" t="s">
        <v>4564</v>
      </c>
      <c r="D992" s="211" t="s">
        <v>1444</v>
      </c>
      <c r="E992" s="207" t="s">
        <v>4565</v>
      </c>
      <c r="F992" s="207" t="s">
        <v>4566</v>
      </c>
      <c r="G992" s="208" t="s">
        <v>1444</v>
      </c>
    </row>
    <row r="993">
      <c r="A993" s="207">
        <f t="shared" si="4"/>
        <v>992</v>
      </c>
      <c r="B993" s="207" t="s">
        <v>4568</v>
      </c>
      <c r="C993" s="211" t="s">
        <v>1444</v>
      </c>
      <c r="D993" s="211" t="s">
        <v>1444</v>
      </c>
      <c r="E993" s="207" t="s">
        <v>4569</v>
      </c>
      <c r="F993" s="207" t="s">
        <v>4570</v>
      </c>
      <c r="G993" s="208" t="s">
        <v>1444</v>
      </c>
    </row>
    <row r="994">
      <c r="A994" s="207">
        <f t="shared" si="4"/>
        <v>993</v>
      </c>
      <c r="B994" s="207" t="s">
        <v>4571</v>
      </c>
      <c r="C994" s="207" t="s">
        <v>4572</v>
      </c>
      <c r="D994" s="211" t="s">
        <v>1444</v>
      </c>
      <c r="E994" s="207" t="s">
        <v>4573</v>
      </c>
      <c r="F994" s="207" t="s">
        <v>4575</v>
      </c>
      <c r="G994" s="208" t="s">
        <v>1444</v>
      </c>
    </row>
    <row r="995">
      <c r="A995" s="207">
        <f t="shared" si="4"/>
        <v>994</v>
      </c>
      <c r="B995" s="207" t="s">
        <v>4576</v>
      </c>
      <c r="C995" s="211" t="s">
        <v>1444</v>
      </c>
      <c r="D995" s="211" t="s">
        <v>1444</v>
      </c>
      <c r="E995" s="207" t="s">
        <v>4577</v>
      </c>
      <c r="F995" s="207" t="s">
        <v>4578</v>
      </c>
      <c r="G995" s="208" t="s">
        <v>1444</v>
      </c>
    </row>
    <row r="996">
      <c r="A996" s="207">
        <f t="shared" si="4"/>
        <v>995</v>
      </c>
      <c r="B996" s="207" t="s">
        <v>4579</v>
      </c>
      <c r="C996" s="207" t="s">
        <v>4580</v>
      </c>
      <c r="D996" s="211" t="s">
        <v>1444</v>
      </c>
      <c r="E996" s="207" t="s">
        <v>4582</v>
      </c>
      <c r="F996" s="207" t="s">
        <v>4583</v>
      </c>
      <c r="G996" s="208" t="s">
        <v>1444</v>
      </c>
    </row>
    <row r="997">
      <c r="A997" s="207">
        <f t="shared" si="4"/>
        <v>996</v>
      </c>
      <c r="B997" s="207" t="s">
        <v>4584</v>
      </c>
      <c r="C997" s="211" t="s">
        <v>1444</v>
      </c>
      <c r="D997" s="211" t="s">
        <v>1444</v>
      </c>
      <c r="E997" s="207" t="s">
        <v>4585</v>
      </c>
      <c r="F997" s="207" t="s">
        <v>2855</v>
      </c>
      <c r="G997" s="208" t="s">
        <v>1444</v>
      </c>
    </row>
    <row r="998">
      <c r="A998" s="207">
        <f t="shared" si="4"/>
        <v>997</v>
      </c>
      <c r="B998" s="207" t="s">
        <v>4586</v>
      </c>
      <c r="C998" s="211" t="s">
        <v>1444</v>
      </c>
      <c r="D998" s="211" t="s">
        <v>1444</v>
      </c>
      <c r="E998" s="207" t="s">
        <v>4588</v>
      </c>
      <c r="F998" s="207" t="s">
        <v>4589</v>
      </c>
      <c r="G998" s="208" t="s">
        <v>1444</v>
      </c>
    </row>
    <row r="999">
      <c r="A999" s="207">
        <f t="shared" si="4"/>
        <v>998</v>
      </c>
      <c r="B999" s="207" t="s">
        <v>4590</v>
      </c>
      <c r="C999" s="207" t="s">
        <v>4591</v>
      </c>
      <c r="D999" s="211" t="s">
        <v>1444</v>
      </c>
      <c r="E999" s="207" t="s">
        <v>4592</v>
      </c>
      <c r="F999" s="207" t="s">
        <v>4593</v>
      </c>
      <c r="G999" s="208" t="s">
        <v>1444</v>
      </c>
    </row>
    <row r="1000">
      <c r="A1000" s="207">
        <f t="shared" si="4"/>
        <v>999</v>
      </c>
      <c r="B1000" s="207" t="s">
        <v>4594</v>
      </c>
      <c r="C1000" s="211" t="s">
        <v>1444</v>
      </c>
      <c r="D1000" s="207" t="s">
        <v>1663</v>
      </c>
      <c r="E1000" s="207" t="s">
        <v>4596</v>
      </c>
      <c r="F1000" s="207">
        <v>530.0</v>
      </c>
      <c r="G1000" s="208" t="s">
        <v>1444</v>
      </c>
    </row>
    <row r="1001">
      <c r="A1001" s="207">
        <f t="shared" si="4"/>
        <v>1000</v>
      </c>
      <c r="B1001" s="207" t="s">
        <v>4597</v>
      </c>
      <c r="C1001" s="211" t="s">
        <v>1444</v>
      </c>
      <c r="D1001" s="211" t="s">
        <v>1444</v>
      </c>
      <c r="E1001" s="207" t="s">
        <v>4599</v>
      </c>
      <c r="F1001" s="207" t="s">
        <v>4600</v>
      </c>
      <c r="G1001" s="208" t="s">
        <v>1444</v>
      </c>
    </row>
    <row r="1002">
      <c r="A1002" s="207">
        <f t="shared" si="4"/>
        <v>1001</v>
      </c>
      <c r="B1002" s="207" t="s">
        <v>4601</v>
      </c>
      <c r="C1002" s="211" t="s">
        <v>1444</v>
      </c>
      <c r="D1002" s="211" t="s">
        <v>1444</v>
      </c>
      <c r="E1002" s="207" t="s">
        <v>4602</v>
      </c>
      <c r="F1002" s="207" t="s">
        <v>4603</v>
      </c>
      <c r="G1002" s="208" t="s">
        <v>1444</v>
      </c>
    </row>
    <row r="1003">
      <c r="A1003" s="207">
        <f t="shared" si="4"/>
        <v>1002</v>
      </c>
      <c r="B1003" s="207" t="s">
        <v>4605</v>
      </c>
      <c r="C1003" s="211" t="s">
        <v>1444</v>
      </c>
      <c r="D1003" s="211" t="s">
        <v>1444</v>
      </c>
      <c r="E1003" s="207" t="s">
        <v>4606</v>
      </c>
      <c r="F1003" s="207" t="s">
        <v>4607</v>
      </c>
      <c r="G1003" s="208" t="s">
        <v>1444</v>
      </c>
    </row>
    <row r="1004">
      <c r="A1004" s="207">
        <f t="shared" si="4"/>
        <v>1003</v>
      </c>
      <c r="B1004" s="207" t="s">
        <v>4608</v>
      </c>
      <c r="C1004" s="207" t="s">
        <v>4609</v>
      </c>
      <c r="D1004" s="207" t="s">
        <v>1373</v>
      </c>
      <c r="E1004" s="207" t="s">
        <v>4611</v>
      </c>
      <c r="F1004" s="207" t="s">
        <v>4612</v>
      </c>
      <c r="G1004" s="208" t="s">
        <v>1444</v>
      </c>
    </row>
    <row r="1005" hidden="1">
      <c r="A1005" s="207">
        <f t="shared" si="4"/>
        <v>1004</v>
      </c>
      <c r="B1005" s="209" t="s">
        <v>216</v>
      </c>
      <c r="C1005" s="209" t="s">
        <v>216</v>
      </c>
      <c r="D1005" s="209" t="s">
        <v>216</v>
      </c>
      <c r="E1005" s="209" t="s">
        <v>216</v>
      </c>
      <c r="F1005" s="209" t="s">
        <v>216</v>
      </c>
      <c r="G1005" s="209" t="s">
        <v>488</v>
      </c>
    </row>
    <row r="1006">
      <c r="A1006" s="207">
        <f t="shared" si="4"/>
        <v>1005</v>
      </c>
      <c r="B1006" s="207" t="s">
        <v>4613</v>
      </c>
      <c r="C1006" s="207" t="s">
        <v>4615</v>
      </c>
      <c r="D1006" s="211" t="s">
        <v>1444</v>
      </c>
      <c r="E1006" s="207" t="s">
        <v>4616</v>
      </c>
      <c r="F1006" s="207" t="s">
        <v>4617</v>
      </c>
      <c r="G1006" s="208" t="s">
        <v>1444</v>
      </c>
    </row>
    <row r="1007">
      <c r="A1007" s="207">
        <f t="shared" si="4"/>
        <v>1006</v>
      </c>
      <c r="B1007" s="207" t="s">
        <v>4618</v>
      </c>
      <c r="C1007" s="211" t="s">
        <v>1444</v>
      </c>
      <c r="D1007" s="211" t="s">
        <v>1444</v>
      </c>
      <c r="E1007" s="207" t="s">
        <v>4619</v>
      </c>
      <c r="F1007" s="207" t="s">
        <v>4620</v>
      </c>
      <c r="G1007" s="208" t="s">
        <v>1444</v>
      </c>
    </row>
    <row r="1008">
      <c r="A1008" s="207">
        <f t="shared" si="4"/>
        <v>1007</v>
      </c>
      <c r="B1008" s="207" t="s">
        <v>4622</v>
      </c>
      <c r="C1008" s="207" t="s">
        <v>1326</v>
      </c>
      <c r="D1008" s="211" t="s">
        <v>1444</v>
      </c>
      <c r="E1008" s="207" t="s">
        <v>4623</v>
      </c>
      <c r="F1008" s="207" t="s">
        <v>4624</v>
      </c>
      <c r="G1008" s="208" t="s">
        <v>1444</v>
      </c>
    </row>
    <row r="1009">
      <c r="A1009" s="207">
        <f t="shared" si="4"/>
        <v>1008</v>
      </c>
      <c r="B1009" s="207" t="s">
        <v>2027</v>
      </c>
      <c r="C1009" s="211" t="s">
        <v>1444</v>
      </c>
      <c r="D1009" s="211" t="s">
        <v>1444</v>
      </c>
      <c r="E1009" s="207" t="s">
        <v>3633</v>
      </c>
      <c r="F1009" s="207" t="s">
        <v>4626</v>
      </c>
      <c r="G1009" s="208" t="s">
        <v>1444</v>
      </c>
    </row>
    <row r="1010" hidden="1">
      <c r="A1010" s="207">
        <f t="shared" si="4"/>
        <v>1009</v>
      </c>
      <c r="B1010" s="211" t="s">
        <v>1444</v>
      </c>
      <c r="C1010" s="211" t="s">
        <v>1444</v>
      </c>
      <c r="D1010" s="211" t="s">
        <v>1444</v>
      </c>
      <c r="E1010" s="207" t="s">
        <v>4627</v>
      </c>
      <c r="F1010" s="207" t="s">
        <v>4628</v>
      </c>
      <c r="G1010" s="208" t="s">
        <v>1444</v>
      </c>
    </row>
    <row r="1011">
      <c r="A1011" s="207">
        <f t="shared" si="4"/>
        <v>1010</v>
      </c>
      <c r="B1011" s="207" t="s">
        <v>4629</v>
      </c>
      <c r="C1011" s="207" t="s">
        <v>4630</v>
      </c>
      <c r="D1011" s="211" t="s">
        <v>1444</v>
      </c>
      <c r="E1011" s="207" t="s">
        <v>4631</v>
      </c>
      <c r="F1011" s="207" t="s">
        <v>4633</v>
      </c>
      <c r="G1011" s="208" t="s">
        <v>1444</v>
      </c>
    </row>
    <row r="1012">
      <c r="A1012" s="207">
        <f t="shared" si="4"/>
        <v>1011</v>
      </c>
      <c r="B1012" s="207" t="s">
        <v>4634</v>
      </c>
      <c r="C1012" s="207" t="s">
        <v>4635</v>
      </c>
      <c r="D1012" s="211" t="s">
        <v>1444</v>
      </c>
      <c r="E1012" s="207" t="s">
        <v>1326</v>
      </c>
      <c r="F1012" s="207" t="s">
        <v>4636</v>
      </c>
      <c r="G1012" s="208" t="s">
        <v>1444</v>
      </c>
    </row>
    <row r="1013" hidden="1">
      <c r="A1013" s="207">
        <f t="shared" si="4"/>
        <v>1012</v>
      </c>
      <c r="B1013" s="209" t="s">
        <v>216</v>
      </c>
      <c r="C1013" s="209" t="s">
        <v>216</v>
      </c>
      <c r="D1013" s="209" t="s">
        <v>216</v>
      </c>
      <c r="E1013" s="209" t="s">
        <v>216</v>
      </c>
      <c r="F1013" s="209" t="s">
        <v>216</v>
      </c>
      <c r="G1013" s="209" t="s">
        <v>488</v>
      </c>
    </row>
    <row r="1014" hidden="1">
      <c r="A1014" s="207">
        <f t="shared" si="4"/>
        <v>1013</v>
      </c>
      <c r="B1014" s="209" t="s">
        <v>216</v>
      </c>
      <c r="C1014" s="209" t="s">
        <v>216</v>
      </c>
      <c r="D1014" s="209" t="s">
        <v>216</v>
      </c>
      <c r="E1014" s="209" t="s">
        <v>216</v>
      </c>
      <c r="F1014" s="209" t="s">
        <v>216</v>
      </c>
      <c r="G1014" s="209" t="s">
        <v>488</v>
      </c>
    </row>
    <row r="1015" hidden="1">
      <c r="A1015" s="207">
        <f t="shared" si="4"/>
        <v>1014</v>
      </c>
      <c r="B1015" s="209" t="s">
        <v>216</v>
      </c>
      <c r="C1015" s="209" t="s">
        <v>216</v>
      </c>
      <c r="D1015" s="209" t="s">
        <v>216</v>
      </c>
      <c r="E1015" s="209" t="s">
        <v>216</v>
      </c>
      <c r="F1015" s="209" t="s">
        <v>216</v>
      </c>
      <c r="G1015" s="209" t="s">
        <v>488</v>
      </c>
    </row>
    <row r="1016" hidden="1">
      <c r="A1016" s="207">
        <f t="shared" si="4"/>
        <v>1015</v>
      </c>
      <c r="B1016" s="209" t="s">
        <v>216</v>
      </c>
      <c r="C1016" s="209" t="s">
        <v>216</v>
      </c>
      <c r="D1016" s="209" t="s">
        <v>216</v>
      </c>
      <c r="E1016" s="209" t="s">
        <v>216</v>
      </c>
      <c r="F1016" s="209" t="s">
        <v>216</v>
      </c>
      <c r="G1016" s="209" t="s">
        <v>488</v>
      </c>
    </row>
    <row r="1017" hidden="1">
      <c r="A1017" s="207">
        <f t="shared" si="4"/>
        <v>1016</v>
      </c>
      <c r="B1017" s="209" t="s">
        <v>216</v>
      </c>
      <c r="C1017" s="209" t="s">
        <v>216</v>
      </c>
      <c r="D1017" s="209" t="s">
        <v>216</v>
      </c>
      <c r="E1017" s="209" t="s">
        <v>216</v>
      </c>
      <c r="F1017" s="209" t="s">
        <v>216</v>
      </c>
      <c r="G1017" s="209" t="s">
        <v>488</v>
      </c>
    </row>
    <row r="1018">
      <c r="A1018" s="207">
        <f t="shared" si="4"/>
        <v>1017</v>
      </c>
      <c r="B1018" s="207" t="s">
        <v>4640</v>
      </c>
      <c r="C1018" s="207" t="s">
        <v>4641</v>
      </c>
      <c r="D1018" s="207" t="s">
        <v>451</v>
      </c>
      <c r="E1018" s="207" t="s">
        <v>4642</v>
      </c>
      <c r="F1018" s="207" t="s">
        <v>4643</v>
      </c>
      <c r="G1018" s="208" t="s">
        <v>1444</v>
      </c>
    </row>
    <row r="1019">
      <c r="A1019" s="207">
        <f t="shared" si="4"/>
        <v>1018</v>
      </c>
      <c r="B1019" s="207" t="s">
        <v>4644</v>
      </c>
      <c r="C1019" s="207" t="s">
        <v>4645</v>
      </c>
      <c r="D1019" s="207" t="s">
        <v>4646</v>
      </c>
      <c r="E1019" s="207">
        <v>53.0</v>
      </c>
      <c r="F1019" s="207" t="s">
        <v>4647</v>
      </c>
      <c r="G1019" s="208" t="s">
        <v>1444</v>
      </c>
    </row>
    <row r="1020">
      <c r="A1020" s="207">
        <f t="shared" si="4"/>
        <v>1019</v>
      </c>
      <c r="B1020" s="207" t="s">
        <v>4648</v>
      </c>
      <c r="C1020" s="207" t="s">
        <v>4649</v>
      </c>
      <c r="D1020" s="207" t="s">
        <v>4651</v>
      </c>
      <c r="E1020" s="207" t="s">
        <v>4652</v>
      </c>
      <c r="F1020" s="207" t="s">
        <v>4653</v>
      </c>
      <c r="G1020" s="208" t="s">
        <v>1444</v>
      </c>
    </row>
    <row r="1021">
      <c r="A1021" s="207">
        <f t="shared" si="4"/>
        <v>1020</v>
      </c>
      <c r="B1021" s="207" t="s">
        <v>4654</v>
      </c>
      <c r="C1021" s="207" t="s">
        <v>218</v>
      </c>
      <c r="D1021" s="207" t="s">
        <v>4655</v>
      </c>
      <c r="E1021" s="207" t="s">
        <v>4656</v>
      </c>
      <c r="F1021" s="207" t="s">
        <v>4657</v>
      </c>
      <c r="G1021" s="208" t="s">
        <v>1444</v>
      </c>
    </row>
    <row r="1022">
      <c r="A1022" s="207">
        <f t="shared" si="4"/>
        <v>1021</v>
      </c>
      <c r="B1022" s="207" t="s">
        <v>4658</v>
      </c>
      <c r="C1022" s="207" t="s">
        <v>4660</v>
      </c>
      <c r="D1022" s="211" t="s">
        <v>1444</v>
      </c>
      <c r="E1022" s="207" t="s">
        <v>4661</v>
      </c>
      <c r="F1022" s="207" t="s">
        <v>4662</v>
      </c>
      <c r="G1022" s="208" t="s">
        <v>1444</v>
      </c>
    </row>
    <row r="1023">
      <c r="A1023" s="207">
        <f t="shared" si="4"/>
        <v>1022</v>
      </c>
      <c r="B1023" s="207" t="s">
        <v>4663</v>
      </c>
      <c r="C1023" s="207" t="s">
        <v>218</v>
      </c>
      <c r="D1023" s="207" t="s">
        <v>4664</v>
      </c>
      <c r="E1023" s="207" t="s">
        <v>4665</v>
      </c>
      <c r="F1023" s="207" t="s">
        <v>4666</v>
      </c>
      <c r="G1023" s="208" t="s">
        <v>1444</v>
      </c>
    </row>
    <row r="1024">
      <c r="A1024" s="207">
        <f t="shared" si="4"/>
        <v>1023</v>
      </c>
      <c r="B1024" s="207" t="s">
        <v>4667</v>
      </c>
      <c r="C1024" s="207" t="s">
        <v>4668</v>
      </c>
      <c r="D1024" s="207" t="s">
        <v>451</v>
      </c>
      <c r="E1024" s="207" t="s">
        <v>4670</v>
      </c>
      <c r="F1024" s="207" t="s">
        <v>4671</v>
      </c>
      <c r="G1024" s="208" t="s">
        <v>1444</v>
      </c>
    </row>
    <row r="1025">
      <c r="A1025" s="207">
        <f t="shared" si="4"/>
        <v>1024</v>
      </c>
      <c r="B1025" s="207" t="s">
        <v>4672</v>
      </c>
      <c r="C1025" s="207" t="s">
        <v>218</v>
      </c>
      <c r="D1025" s="211" t="s">
        <v>1444</v>
      </c>
      <c r="E1025" s="207" t="s">
        <v>4673</v>
      </c>
      <c r="F1025" s="207" t="s">
        <v>4674</v>
      </c>
      <c r="G1025" s="208" t="s">
        <v>1444</v>
      </c>
    </row>
    <row r="1026">
      <c r="A1026" s="207">
        <f t="shared" si="4"/>
        <v>1025</v>
      </c>
      <c r="B1026" s="207" t="s">
        <v>4676</v>
      </c>
      <c r="C1026" s="207" t="s">
        <v>4677</v>
      </c>
      <c r="D1026" s="207" t="s">
        <v>4678</v>
      </c>
      <c r="E1026" s="207" t="s">
        <v>4679</v>
      </c>
      <c r="F1026" s="207">
        <v>274.0</v>
      </c>
      <c r="G1026" s="208" t="s">
        <v>1444</v>
      </c>
    </row>
    <row r="1027">
      <c r="A1027" s="207">
        <f t="shared" si="4"/>
        <v>1026</v>
      </c>
      <c r="B1027" s="207" t="s">
        <v>4681</v>
      </c>
      <c r="C1027" s="207" t="s">
        <v>4682</v>
      </c>
      <c r="D1027" s="207" t="s">
        <v>4683</v>
      </c>
      <c r="E1027" s="207" t="s">
        <v>4684</v>
      </c>
      <c r="F1027" s="207" t="s">
        <v>4685</v>
      </c>
      <c r="G1027" s="208" t="s">
        <v>1444</v>
      </c>
    </row>
    <row r="1028">
      <c r="A1028" s="207">
        <f t="shared" si="4"/>
        <v>1027</v>
      </c>
      <c r="B1028" s="207">
        <v>605.0</v>
      </c>
      <c r="C1028" s="206" t="s">
        <v>4686</v>
      </c>
      <c r="D1028" s="207" t="s">
        <v>4687</v>
      </c>
      <c r="E1028" s="207" t="s">
        <v>4688</v>
      </c>
      <c r="F1028" s="207" t="s">
        <v>4689</v>
      </c>
      <c r="G1028" s="208" t="s">
        <v>1444</v>
      </c>
    </row>
    <row r="1029">
      <c r="A1029" s="207">
        <f t="shared" si="4"/>
        <v>1028</v>
      </c>
      <c r="B1029" s="207">
        <v>427.0</v>
      </c>
      <c r="C1029" s="207" t="s">
        <v>4691</v>
      </c>
      <c r="D1029" s="207" t="s">
        <v>4692</v>
      </c>
      <c r="E1029" s="207" t="s">
        <v>4693</v>
      </c>
      <c r="F1029" s="207" t="s">
        <v>4694</v>
      </c>
      <c r="G1029" s="208" t="s">
        <v>1444</v>
      </c>
    </row>
    <row r="1030">
      <c r="A1030" s="207">
        <f t="shared" si="4"/>
        <v>1029</v>
      </c>
      <c r="B1030" s="207" t="s">
        <v>4695</v>
      </c>
      <c r="C1030" s="207" t="s">
        <v>4696</v>
      </c>
      <c r="D1030" s="207" t="s">
        <v>4697</v>
      </c>
      <c r="E1030" s="207" t="s">
        <v>4699</v>
      </c>
      <c r="F1030" s="207" t="s">
        <v>4700</v>
      </c>
      <c r="G1030" s="208" t="s">
        <v>1444</v>
      </c>
    </row>
    <row r="1031">
      <c r="A1031" s="207">
        <f t="shared" si="4"/>
        <v>1030</v>
      </c>
      <c r="B1031" s="207" t="s">
        <v>4701</v>
      </c>
      <c r="C1031" s="207" t="s">
        <v>4702</v>
      </c>
      <c r="D1031" s="207" t="s">
        <v>4703</v>
      </c>
      <c r="E1031" s="207" t="s">
        <v>4704</v>
      </c>
      <c r="F1031" s="207" t="s">
        <v>4705</v>
      </c>
      <c r="G1031" s="208" t="s">
        <v>1444</v>
      </c>
    </row>
    <row r="1032">
      <c r="A1032" s="207">
        <f t="shared" si="4"/>
        <v>1031</v>
      </c>
      <c r="B1032" s="207" t="s">
        <v>4644</v>
      </c>
      <c r="C1032" s="207" t="s">
        <v>4707</v>
      </c>
      <c r="D1032" s="207" t="s">
        <v>4708</v>
      </c>
      <c r="E1032" s="207" t="s">
        <v>4709</v>
      </c>
      <c r="F1032" s="207" t="s">
        <v>4710</v>
      </c>
      <c r="G1032" s="208" t="s">
        <v>1444</v>
      </c>
    </row>
    <row r="1033">
      <c r="A1033" s="207">
        <f t="shared" si="4"/>
        <v>1032</v>
      </c>
      <c r="B1033" s="207">
        <v>43.0</v>
      </c>
      <c r="C1033" s="207" t="s">
        <v>4711</v>
      </c>
      <c r="D1033" s="207" t="s">
        <v>451</v>
      </c>
      <c r="E1033" s="207" t="s">
        <v>4712</v>
      </c>
      <c r="F1033" s="207" t="s">
        <v>4714</v>
      </c>
      <c r="G1033" s="208" t="s">
        <v>1444</v>
      </c>
    </row>
    <row r="1034" hidden="1">
      <c r="A1034" s="207">
        <f t="shared" si="4"/>
        <v>1033</v>
      </c>
      <c r="B1034" s="209" t="s">
        <v>216</v>
      </c>
      <c r="C1034" s="209" t="s">
        <v>216</v>
      </c>
      <c r="D1034" s="209" t="s">
        <v>216</v>
      </c>
      <c r="E1034" s="209" t="s">
        <v>216</v>
      </c>
      <c r="F1034" s="209" t="s">
        <v>216</v>
      </c>
      <c r="G1034" s="209" t="s">
        <v>488</v>
      </c>
    </row>
    <row r="1035" hidden="1">
      <c r="A1035" s="207">
        <f t="shared" si="4"/>
        <v>1034</v>
      </c>
      <c r="B1035" s="209" t="s">
        <v>216</v>
      </c>
      <c r="C1035" s="209" t="s">
        <v>216</v>
      </c>
      <c r="D1035" s="209" t="s">
        <v>216</v>
      </c>
      <c r="E1035" s="209" t="s">
        <v>216</v>
      </c>
      <c r="F1035" s="209" t="s">
        <v>216</v>
      </c>
      <c r="G1035" s="209" t="s">
        <v>488</v>
      </c>
    </row>
    <row r="1036" hidden="1">
      <c r="A1036" s="207">
        <f t="shared" si="4"/>
        <v>1035</v>
      </c>
      <c r="B1036" s="209" t="s">
        <v>216</v>
      </c>
      <c r="C1036" s="209" t="s">
        <v>216</v>
      </c>
      <c r="D1036" s="209" t="s">
        <v>216</v>
      </c>
      <c r="E1036" s="209" t="s">
        <v>216</v>
      </c>
      <c r="F1036" s="209" t="s">
        <v>216</v>
      </c>
      <c r="G1036" s="209" t="s">
        <v>488</v>
      </c>
    </row>
    <row r="1037">
      <c r="A1037" s="207">
        <f t="shared" si="4"/>
        <v>1036</v>
      </c>
      <c r="B1037" s="207" t="s">
        <v>4717</v>
      </c>
      <c r="C1037" s="207" t="s">
        <v>218</v>
      </c>
      <c r="D1037" s="207" t="s">
        <v>451</v>
      </c>
      <c r="E1037" s="211" t="s">
        <v>1444</v>
      </c>
      <c r="F1037" s="207" t="s">
        <v>4719</v>
      </c>
      <c r="G1037" s="208" t="s">
        <v>1444</v>
      </c>
    </row>
    <row r="1038">
      <c r="A1038" s="207">
        <f t="shared" si="4"/>
        <v>1037</v>
      </c>
      <c r="B1038" s="207" t="s">
        <v>4720</v>
      </c>
      <c r="C1038" s="207" t="s">
        <v>4721</v>
      </c>
      <c r="D1038" s="207" t="s">
        <v>4722</v>
      </c>
      <c r="E1038" s="211" t="s">
        <v>1444</v>
      </c>
      <c r="F1038" s="207">
        <v>553.0</v>
      </c>
      <c r="G1038" s="207" t="s">
        <v>562</v>
      </c>
    </row>
    <row r="1039">
      <c r="A1039" s="207">
        <f t="shared" si="4"/>
        <v>1038</v>
      </c>
      <c r="B1039" s="207">
        <v>302.0</v>
      </c>
      <c r="C1039" s="207">
        <v>224.0</v>
      </c>
      <c r="D1039" s="207">
        <v>280.0</v>
      </c>
      <c r="E1039" s="207" t="s">
        <v>4723</v>
      </c>
      <c r="F1039" s="207" t="s">
        <v>4725</v>
      </c>
      <c r="G1039" s="207" t="s">
        <v>562</v>
      </c>
    </row>
    <row r="1040">
      <c r="A1040" s="207">
        <f t="shared" si="4"/>
        <v>1039</v>
      </c>
      <c r="B1040" s="207" t="s">
        <v>4726</v>
      </c>
      <c r="C1040" s="207" t="s">
        <v>218</v>
      </c>
      <c r="D1040" s="207" t="s">
        <v>4727</v>
      </c>
      <c r="E1040" s="207" t="s">
        <v>4728</v>
      </c>
      <c r="F1040" s="207">
        <v>542.0</v>
      </c>
      <c r="G1040" s="207" t="s">
        <v>562</v>
      </c>
    </row>
    <row r="1041">
      <c r="A1041" s="207">
        <f t="shared" si="4"/>
        <v>1040</v>
      </c>
      <c r="B1041" s="207" t="s">
        <v>4729</v>
      </c>
      <c r="C1041" s="207" t="s">
        <v>4730</v>
      </c>
      <c r="D1041" s="211" t="s">
        <v>1444</v>
      </c>
      <c r="E1041" s="207" t="s">
        <v>4732</v>
      </c>
      <c r="F1041" s="207" t="s">
        <v>4733</v>
      </c>
      <c r="G1041" s="208" t="s">
        <v>1444</v>
      </c>
    </row>
    <row r="1042" hidden="1">
      <c r="A1042" s="207">
        <f t="shared" si="4"/>
        <v>1041</v>
      </c>
      <c r="B1042" s="209" t="s">
        <v>216</v>
      </c>
      <c r="C1042" s="209" t="s">
        <v>216</v>
      </c>
      <c r="D1042" s="209" t="s">
        <v>216</v>
      </c>
      <c r="E1042" s="209" t="s">
        <v>216</v>
      </c>
      <c r="F1042" s="209" t="s">
        <v>216</v>
      </c>
      <c r="G1042" s="209" t="s">
        <v>488</v>
      </c>
    </row>
    <row r="1043" hidden="1">
      <c r="A1043" s="207">
        <f t="shared" si="4"/>
        <v>1042</v>
      </c>
      <c r="B1043" s="209" t="s">
        <v>216</v>
      </c>
      <c r="C1043" s="209" t="s">
        <v>216</v>
      </c>
      <c r="D1043" s="209" t="s">
        <v>216</v>
      </c>
      <c r="E1043" s="209" t="s">
        <v>216</v>
      </c>
      <c r="F1043" s="209" t="s">
        <v>216</v>
      </c>
      <c r="G1043" s="209" t="s">
        <v>488</v>
      </c>
    </row>
    <row r="1044" hidden="1">
      <c r="A1044" s="207">
        <f t="shared" si="4"/>
        <v>1043</v>
      </c>
      <c r="B1044" s="209" t="s">
        <v>216</v>
      </c>
      <c r="C1044" s="209" t="s">
        <v>216</v>
      </c>
      <c r="D1044" s="209" t="s">
        <v>216</v>
      </c>
      <c r="E1044" s="209" t="s">
        <v>216</v>
      </c>
      <c r="F1044" s="209" t="s">
        <v>216</v>
      </c>
      <c r="G1044" s="209" t="s">
        <v>488</v>
      </c>
    </row>
    <row r="1045">
      <c r="A1045" s="207">
        <f t="shared" si="4"/>
        <v>1044</v>
      </c>
      <c r="B1045" s="207" t="s">
        <v>4736</v>
      </c>
      <c r="C1045" s="207" t="s">
        <v>4737</v>
      </c>
      <c r="D1045" s="207" t="s">
        <v>451</v>
      </c>
      <c r="E1045" s="207" t="s">
        <v>4738</v>
      </c>
      <c r="F1045" s="207">
        <v>644.0</v>
      </c>
      <c r="G1045" s="208" t="s">
        <v>1444</v>
      </c>
    </row>
    <row r="1046">
      <c r="A1046" s="207">
        <f t="shared" si="4"/>
        <v>1045</v>
      </c>
      <c r="B1046" s="207" t="s">
        <v>4739</v>
      </c>
      <c r="C1046" s="207" t="s">
        <v>4740</v>
      </c>
      <c r="D1046" s="207" t="s">
        <v>4741</v>
      </c>
      <c r="E1046" s="207" t="s">
        <v>4743</v>
      </c>
      <c r="F1046" s="207">
        <v>625.0</v>
      </c>
      <c r="G1046" s="208" t="s">
        <v>1444</v>
      </c>
    </row>
    <row r="1047">
      <c r="A1047" s="207">
        <f t="shared" si="4"/>
        <v>1046</v>
      </c>
      <c r="B1047" s="207" t="s">
        <v>4744</v>
      </c>
      <c r="C1047" s="207" t="s">
        <v>218</v>
      </c>
      <c r="D1047" s="207" t="s">
        <v>4745</v>
      </c>
      <c r="E1047" s="207" t="s">
        <v>4746</v>
      </c>
      <c r="F1047" s="207" t="s">
        <v>2084</v>
      </c>
      <c r="G1047" s="208" t="s">
        <v>1444</v>
      </c>
    </row>
    <row r="1048">
      <c r="A1048" s="207">
        <f t="shared" si="4"/>
        <v>1047</v>
      </c>
      <c r="B1048" s="207" t="s">
        <v>4747</v>
      </c>
      <c r="C1048" s="206" t="s">
        <v>4748</v>
      </c>
      <c r="D1048" s="207" t="s">
        <v>4749</v>
      </c>
      <c r="E1048" s="207" t="s">
        <v>4751</v>
      </c>
      <c r="F1048" s="207" t="s">
        <v>4752</v>
      </c>
      <c r="G1048" s="208" t="s">
        <v>1444</v>
      </c>
    </row>
    <row r="1049">
      <c r="A1049" s="207">
        <f t="shared" si="4"/>
        <v>1048</v>
      </c>
      <c r="B1049" s="207" t="s">
        <v>4753</v>
      </c>
      <c r="C1049" s="207" t="s">
        <v>218</v>
      </c>
      <c r="D1049" s="207" t="s">
        <v>451</v>
      </c>
      <c r="E1049" s="207" t="s">
        <v>451</v>
      </c>
      <c r="F1049" s="207" t="s">
        <v>4754</v>
      </c>
      <c r="G1049" s="208" t="s">
        <v>1444</v>
      </c>
    </row>
    <row r="1050">
      <c r="A1050" s="207">
        <f t="shared" si="4"/>
        <v>1049</v>
      </c>
      <c r="B1050" s="207" t="s">
        <v>4756</v>
      </c>
      <c r="C1050" s="207" t="s">
        <v>4757</v>
      </c>
      <c r="D1050" s="207" t="s">
        <v>4758</v>
      </c>
      <c r="E1050" s="207" t="s">
        <v>4759</v>
      </c>
      <c r="F1050" s="207" t="s">
        <v>4760</v>
      </c>
      <c r="G1050" s="208" t="s">
        <v>1444</v>
      </c>
    </row>
    <row r="1051">
      <c r="A1051" s="207">
        <f t="shared" si="4"/>
        <v>1050</v>
      </c>
      <c r="B1051" s="207" t="s">
        <v>4761</v>
      </c>
      <c r="C1051" s="207" t="s">
        <v>4762</v>
      </c>
      <c r="D1051" s="207" t="s">
        <v>4763</v>
      </c>
      <c r="E1051" s="207" t="s">
        <v>4764</v>
      </c>
      <c r="F1051" s="207" t="s">
        <v>4766</v>
      </c>
      <c r="G1051" s="208" t="s">
        <v>1444</v>
      </c>
    </row>
    <row r="1052">
      <c r="A1052" s="207">
        <f t="shared" si="4"/>
        <v>1051</v>
      </c>
      <c r="B1052" s="207">
        <v>25.0</v>
      </c>
      <c r="C1052" s="207" t="s">
        <v>4767</v>
      </c>
      <c r="D1052" s="207" t="s">
        <v>4768</v>
      </c>
      <c r="E1052" s="207" t="s">
        <v>4769</v>
      </c>
      <c r="F1052" s="207">
        <v>380.0</v>
      </c>
      <c r="G1052" s="208" t="s">
        <v>1444</v>
      </c>
    </row>
    <row r="1053">
      <c r="A1053" s="207">
        <f t="shared" si="4"/>
        <v>1052</v>
      </c>
      <c r="B1053" s="207">
        <v>580.0</v>
      </c>
      <c r="C1053" s="207" t="s">
        <v>4771</v>
      </c>
      <c r="D1053" s="207" t="s">
        <v>4772</v>
      </c>
      <c r="E1053" s="207" t="s">
        <v>4773</v>
      </c>
      <c r="F1053" s="207" t="s">
        <v>4774</v>
      </c>
      <c r="G1053" s="208" t="s">
        <v>1444</v>
      </c>
    </row>
    <row r="1054" hidden="1">
      <c r="A1054" s="207">
        <f t="shared" si="4"/>
        <v>1053</v>
      </c>
      <c r="B1054" s="209" t="s">
        <v>216</v>
      </c>
      <c r="C1054" s="209" t="s">
        <v>216</v>
      </c>
      <c r="D1054" s="209" t="s">
        <v>216</v>
      </c>
      <c r="E1054" s="209" t="s">
        <v>216</v>
      </c>
      <c r="F1054" s="209" t="s">
        <v>216</v>
      </c>
      <c r="G1054" s="209" t="s">
        <v>488</v>
      </c>
    </row>
    <row r="1055">
      <c r="A1055" s="207">
        <f t="shared" si="4"/>
        <v>1054</v>
      </c>
      <c r="B1055" s="207" t="s">
        <v>4776</v>
      </c>
      <c r="C1055" s="207" t="s">
        <v>4778</v>
      </c>
      <c r="D1055" s="207" t="s">
        <v>4779</v>
      </c>
      <c r="E1055" s="207" t="s">
        <v>4780</v>
      </c>
      <c r="F1055" s="207" t="s">
        <v>4781</v>
      </c>
      <c r="G1055" s="208" t="s">
        <v>1444</v>
      </c>
    </row>
    <row r="1056">
      <c r="A1056" s="207">
        <f t="shared" si="4"/>
        <v>1055</v>
      </c>
      <c r="B1056" s="207" t="s">
        <v>4782</v>
      </c>
      <c r="C1056" s="207" t="s">
        <v>4783</v>
      </c>
      <c r="D1056" s="207" t="s">
        <v>4784</v>
      </c>
      <c r="E1056" s="207" t="s">
        <v>4786</v>
      </c>
      <c r="F1056" s="207" t="s">
        <v>4787</v>
      </c>
      <c r="G1056" s="208" t="s">
        <v>1444</v>
      </c>
    </row>
    <row r="1057">
      <c r="A1057" s="207">
        <f t="shared" si="4"/>
        <v>1056</v>
      </c>
      <c r="B1057" s="207" t="s">
        <v>4788</v>
      </c>
      <c r="C1057" s="207" t="s">
        <v>4789</v>
      </c>
      <c r="D1057" s="207" t="s">
        <v>4790</v>
      </c>
      <c r="E1057" s="207" t="s">
        <v>4792</v>
      </c>
      <c r="F1057" s="207">
        <v>675.0</v>
      </c>
      <c r="G1057" s="208" t="s">
        <v>1444</v>
      </c>
    </row>
    <row r="1058">
      <c r="A1058" s="207">
        <f t="shared" si="4"/>
        <v>1057</v>
      </c>
      <c r="B1058" s="207" t="s">
        <v>4793</v>
      </c>
      <c r="C1058" s="206" t="s">
        <v>4794</v>
      </c>
      <c r="D1058" s="207" t="s">
        <v>4795</v>
      </c>
      <c r="E1058" s="207" t="s">
        <v>4796</v>
      </c>
      <c r="F1058" s="207" t="s">
        <v>4798</v>
      </c>
      <c r="G1058" s="208" t="s">
        <v>1444</v>
      </c>
    </row>
    <row r="1059">
      <c r="A1059" s="207">
        <f t="shared" si="4"/>
        <v>1058</v>
      </c>
      <c r="B1059" s="207" t="s">
        <v>4799</v>
      </c>
      <c r="C1059" s="207" t="s">
        <v>4800</v>
      </c>
      <c r="D1059" s="207" t="s">
        <v>4801</v>
      </c>
      <c r="E1059" s="207" t="s">
        <v>4802</v>
      </c>
      <c r="F1059" s="207" t="s">
        <v>4803</v>
      </c>
      <c r="G1059" s="208" t="s">
        <v>1444</v>
      </c>
    </row>
    <row r="1060">
      <c r="A1060" s="207">
        <f t="shared" si="4"/>
        <v>1059</v>
      </c>
      <c r="B1060" s="207" t="s">
        <v>4805</v>
      </c>
      <c r="C1060" s="207" t="s">
        <v>4806</v>
      </c>
      <c r="D1060" s="207" t="s">
        <v>4807</v>
      </c>
      <c r="E1060" s="207" t="s">
        <v>4808</v>
      </c>
      <c r="F1060" s="207">
        <v>554.0</v>
      </c>
      <c r="G1060" s="208" t="s">
        <v>1444</v>
      </c>
    </row>
    <row r="1061">
      <c r="A1061" s="207">
        <f t="shared" si="4"/>
        <v>1060</v>
      </c>
      <c r="B1061" s="207" t="s">
        <v>4810</v>
      </c>
      <c r="C1061" s="207" t="s">
        <v>4811</v>
      </c>
      <c r="D1061" s="207" t="s">
        <v>451</v>
      </c>
      <c r="E1061" s="207" t="s">
        <v>4812</v>
      </c>
      <c r="F1061" s="207" t="s">
        <v>4813</v>
      </c>
      <c r="G1061" s="208" t="s">
        <v>1444</v>
      </c>
    </row>
    <row r="1062">
      <c r="A1062" s="207">
        <f t="shared" si="4"/>
        <v>1061</v>
      </c>
      <c r="B1062" s="207" t="s">
        <v>4814</v>
      </c>
      <c r="C1062" s="207" t="s">
        <v>4815</v>
      </c>
      <c r="D1062" s="207" t="s">
        <v>4817</v>
      </c>
      <c r="E1062" s="207" t="s">
        <v>4818</v>
      </c>
      <c r="F1062" s="207" t="s">
        <v>4819</v>
      </c>
      <c r="G1062" s="208" t="s">
        <v>1444</v>
      </c>
    </row>
    <row r="1063">
      <c r="A1063" s="207">
        <f t="shared" si="4"/>
        <v>1062</v>
      </c>
      <c r="B1063" s="207" t="s">
        <v>4820</v>
      </c>
      <c r="C1063" s="207" t="s">
        <v>4822</v>
      </c>
      <c r="D1063" s="207" t="s">
        <v>4823</v>
      </c>
      <c r="E1063" s="207" t="s">
        <v>4824</v>
      </c>
      <c r="F1063" s="207" t="s">
        <v>4825</v>
      </c>
      <c r="G1063" s="208" t="s">
        <v>1444</v>
      </c>
    </row>
    <row r="1064" hidden="1">
      <c r="A1064" s="207">
        <f t="shared" si="4"/>
        <v>1063</v>
      </c>
      <c r="B1064" s="211"/>
      <c r="C1064" s="207" t="s">
        <v>4826</v>
      </c>
      <c r="D1064" s="207" t="s">
        <v>2862</v>
      </c>
      <c r="E1064" s="207" t="s">
        <v>4828</v>
      </c>
      <c r="F1064" s="207" t="s">
        <v>4829</v>
      </c>
      <c r="G1064" s="208" t="s">
        <v>1444</v>
      </c>
    </row>
    <row r="1065">
      <c r="A1065" s="207">
        <f t="shared" si="4"/>
        <v>1064</v>
      </c>
      <c r="B1065" s="207" t="s">
        <v>4830</v>
      </c>
      <c r="C1065" s="207" t="s">
        <v>4831</v>
      </c>
      <c r="D1065" s="207" t="s">
        <v>4833</v>
      </c>
      <c r="E1065" s="207" t="s">
        <v>4834</v>
      </c>
      <c r="F1065" s="207" t="s">
        <v>4835</v>
      </c>
      <c r="G1065" s="208" t="s">
        <v>1444</v>
      </c>
    </row>
    <row r="1066" hidden="1">
      <c r="A1066" s="207">
        <f t="shared" si="4"/>
        <v>1065</v>
      </c>
      <c r="B1066" s="209" t="s">
        <v>216</v>
      </c>
      <c r="C1066" s="209" t="s">
        <v>216</v>
      </c>
      <c r="D1066" s="209" t="s">
        <v>216</v>
      </c>
      <c r="E1066" s="209" t="s">
        <v>216</v>
      </c>
      <c r="F1066" s="209" t="s">
        <v>216</v>
      </c>
      <c r="G1066" s="209" t="s">
        <v>488</v>
      </c>
    </row>
    <row r="1067">
      <c r="A1067" s="207">
        <f t="shared" si="4"/>
        <v>1066</v>
      </c>
      <c r="B1067" s="207" t="s">
        <v>4836</v>
      </c>
      <c r="C1067" s="207" t="s">
        <v>4837</v>
      </c>
      <c r="D1067" s="207" t="s">
        <v>4838</v>
      </c>
      <c r="E1067" s="207" t="s">
        <v>4839</v>
      </c>
      <c r="F1067" s="207" t="s">
        <v>4840</v>
      </c>
      <c r="G1067" s="208" t="s">
        <v>1444</v>
      </c>
    </row>
    <row r="1068">
      <c r="A1068" s="207">
        <f t="shared" si="4"/>
        <v>1067</v>
      </c>
      <c r="B1068" s="207" t="s">
        <v>4841</v>
      </c>
      <c r="C1068" s="207" t="s">
        <v>4842</v>
      </c>
      <c r="D1068" s="207" t="s">
        <v>4843</v>
      </c>
      <c r="E1068" s="207" t="s">
        <v>4844</v>
      </c>
      <c r="F1068" s="207" t="s">
        <v>4845</v>
      </c>
      <c r="G1068" s="208" t="s">
        <v>1444</v>
      </c>
    </row>
    <row r="1069">
      <c r="A1069" s="207">
        <f t="shared" si="4"/>
        <v>1068</v>
      </c>
      <c r="B1069" s="207" t="s">
        <v>4846</v>
      </c>
      <c r="C1069" s="207" t="s">
        <v>218</v>
      </c>
      <c r="D1069" s="207" t="s">
        <v>640</v>
      </c>
      <c r="E1069" s="207" t="s">
        <v>4847</v>
      </c>
      <c r="F1069" s="207" t="s">
        <v>4848</v>
      </c>
      <c r="G1069" s="208" t="s">
        <v>1444</v>
      </c>
    </row>
    <row r="1070">
      <c r="A1070" s="207">
        <f t="shared" si="4"/>
        <v>1069</v>
      </c>
      <c r="B1070" s="207" t="s">
        <v>4849</v>
      </c>
      <c r="C1070" s="207" t="s">
        <v>4850</v>
      </c>
      <c r="D1070" s="207" t="s">
        <v>4851</v>
      </c>
      <c r="E1070" s="207">
        <v>553.0</v>
      </c>
      <c r="F1070" s="207">
        <v>564.0</v>
      </c>
      <c r="G1070" s="208" t="s">
        <v>1444</v>
      </c>
    </row>
    <row r="1071">
      <c r="A1071" s="207">
        <f t="shared" si="4"/>
        <v>1070</v>
      </c>
      <c r="B1071" s="207" t="s">
        <v>4852</v>
      </c>
      <c r="C1071" s="207" t="s">
        <v>4853</v>
      </c>
      <c r="D1071" s="207" t="s">
        <v>4854</v>
      </c>
      <c r="E1071" s="207" t="s">
        <v>4855</v>
      </c>
      <c r="F1071" s="207" t="s">
        <v>2079</v>
      </c>
      <c r="G1071" s="208" t="s">
        <v>1444</v>
      </c>
    </row>
    <row r="1072">
      <c r="A1072" s="207">
        <f t="shared" si="4"/>
        <v>1071</v>
      </c>
      <c r="B1072" s="207" t="s">
        <v>4856</v>
      </c>
      <c r="C1072" s="207" t="s">
        <v>218</v>
      </c>
      <c r="D1072" s="207" t="s">
        <v>4857</v>
      </c>
      <c r="E1072" s="207" t="s">
        <v>4858</v>
      </c>
      <c r="F1072" s="207" t="s">
        <v>4860</v>
      </c>
      <c r="G1072" s="208" t="s">
        <v>1444</v>
      </c>
    </row>
    <row r="1073">
      <c r="A1073" s="207">
        <f t="shared" si="4"/>
        <v>1072</v>
      </c>
      <c r="B1073" s="207">
        <v>318.0</v>
      </c>
      <c r="C1073" s="207" t="s">
        <v>4862</v>
      </c>
      <c r="D1073" s="207" t="s">
        <v>4863</v>
      </c>
      <c r="E1073" s="207" t="s">
        <v>4864</v>
      </c>
      <c r="F1073" s="207">
        <v>318.0</v>
      </c>
      <c r="G1073" s="208" t="s">
        <v>1444</v>
      </c>
    </row>
    <row r="1074">
      <c r="A1074" s="207">
        <f t="shared" si="4"/>
        <v>1073</v>
      </c>
      <c r="B1074" s="207" t="s">
        <v>4865</v>
      </c>
      <c r="C1074" s="211" t="s">
        <v>1444</v>
      </c>
      <c r="D1074" s="207" t="s">
        <v>4866</v>
      </c>
      <c r="E1074" s="206" t="s">
        <v>4107</v>
      </c>
      <c r="F1074" s="207" t="s">
        <v>4868</v>
      </c>
      <c r="G1074" s="208" t="s">
        <v>1444</v>
      </c>
    </row>
    <row r="1075">
      <c r="A1075" s="207">
        <f t="shared" si="4"/>
        <v>1074</v>
      </c>
      <c r="B1075" s="207" t="s">
        <v>4869</v>
      </c>
      <c r="C1075" s="207" t="s">
        <v>4870</v>
      </c>
      <c r="D1075" s="207" t="s">
        <v>4871</v>
      </c>
      <c r="E1075" s="207" t="s">
        <v>4872</v>
      </c>
      <c r="F1075" s="207" t="s">
        <v>4873</v>
      </c>
      <c r="G1075" s="208" t="s">
        <v>1444</v>
      </c>
    </row>
    <row r="1076">
      <c r="A1076" s="207">
        <f t="shared" si="4"/>
        <v>1075</v>
      </c>
      <c r="B1076" s="207" t="s">
        <v>4875</v>
      </c>
      <c r="C1076" s="207" t="s">
        <v>4876</v>
      </c>
      <c r="D1076" s="207" t="s">
        <v>451</v>
      </c>
      <c r="E1076" s="207" t="s">
        <v>4877</v>
      </c>
      <c r="F1076" s="207" t="s">
        <v>4878</v>
      </c>
      <c r="G1076" s="208" t="s">
        <v>1444</v>
      </c>
    </row>
    <row r="1077">
      <c r="A1077" s="207">
        <f t="shared" si="4"/>
        <v>1076</v>
      </c>
      <c r="B1077" s="207">
        <v>242.0</v>
      </c>
      <c r="C1077" s="207" t="s">
        <v>218</v>
      </c>
      <c r="D1077" s="207" t="s">
        <v>4880</v>
      </c>
      <c r="E1077" s="207" t="s">
        <v>4881</v>
      </c>
      <c r="F1077" s="207" t="s">
        <v>4882</v>
      </c>
      <c r="G1077" s="207" t="s">
        <v>562</v>
      </c>
    </row>
    <row r="1078">
      <c r="A1078" s="207">
        <f t="shared" si="4"/>
        <v>1077</v>
      </c>
      <c r="B1078" s="207" t="s">
        <v>4883</v>
      </c>
      <c r="C1078" s="207" t="s">
        <v>4884</v>
      </c>
      <c r="D1078" s="207" t="s">
        <v>1476</v>
      </c>
      <c r="E1078" s="207" t="s">
        <v>4886</v>
      </c>
      <c r="F1078" s="207" t="s">
        <v>4887</v>
      </c>
      <c r="G1078" s="208" t="s">
        <v>1444</v>
      </c>
    </row>
    <row r="1079">
      <c r="A1079" s="207">
        <f t="shared" si="4"/>
        <v>1078</v>
      </c>
      <c r="B1079" s="207" t="s">
        <v>4888</v>
      </c>
      <c r="C1079" s="211" t="s">
        <v>1444</v>
      </c>
      <c r="D1079" s="207" t="s">
        <v>4889</v>
      </c>
      <c r="E1079" s="207" t="s">
        <v>4890</v>
      </c>
      <c r="F1079" s="207" t="s">
        <v>4891</v>
      </c>
      <c r="G1079" s="208" t="s">
        <v>1444</v>
      </c>
    </row>
    <row r="1080">
      <c r="A1080" s="207">
        <f t="shared" si="4"/>
        <v>1079</v>
      </c>
      <c r="B1080" s="207" t="s">
        <v>4893</v>
      </c>
      <c r="C1080" s="211" t="s">
        <v>1444</v>
      </c>
      <c r="D1080" s="207" t="s">
        <v>2586</v>
      </c>
      <c r="E1080" s="207" t="s">
        <v>4894</v>
      </c>
      <c r="F1080" s="207" t="s">
        <v>4895</v>
      </c>
      <c r="G1080" s="208" t="s">
        <v>1444</v>
      </c>
    </row>
    <row r="1081" hidden="1">
      <c r="A1081" s="207">
        <f t="shared" si="4"/>
        <v>1080</v>
      </c>
      <c r="B1081" s="211" t="s">
        <v>1444</v>
      </c>
      <c r="C1081" s="207" t="s">
        <v>218</v>
      </c>
      <c r="D1081" s="207" t="s">
        <v>4896</v>
      </c>
      <c r="E1081" s="207" t="s">
        <v>4897</v>
      </c>
      <c r="F1081" s="207" t="s">
        <v>4899</v>
      </c>
      <c r="G1081" s="208" t="s">
        <v>1444</v>
      </c>
    </row>
    <row r="1082">
      <c r="A1082" s="207">
        <f t="shared" si="4"/>
        <v>1081</v>
      </c>
      <c r="B1082" s="207" t="s">
        <v>4900</v>
      </c>
      <c r="C1082" s="207">
        <v>121.0</v>
      </c>
      <c r="D1082" s="207" t="s">
        <v>4901</v>
      </c>
      <c r="E1082" s="207" t="s">
        <v>4902</v>
      </c>
      <c r="F1082" s="207" t="s">
        <v>4903</v>
      </c>
      <c r="G1082" s="208" t="s">
        <v>1444</v>
      </c>
    </row>
    <row r="1083">
      <c r="A1083" s="207">
        <f t="shared" si="4"/>
        <v>1082</v>
      </c>
      <c r="B1083" s="207" t="s">
        <v>4904</v>
      </c>
      <c r="C1083" s="207" t="s">
        <v>4905</v>
      </c>
      <c r="D1083" s="212" t="s">
        <v>4906</v>
      </c>
      <c r="E1083" s="207" t="s">
        <v>4908</v>
      </c>
      <c r="F1083" s="207" t="s">
        <v>4909</v>
      </c>
      <c r="G1083" s="208" t="s">
        <v>1444</v>
      </c>
    </row>
    <row r="1084">
      <c r="A1084" s="207">
        <f t="shared" si="4"/>
        <v>1083</v>
      </c>
      <c r="B1084" s="207">
        <v>415.0</v>
      </c>
      <c r="C1084" s="207" t="s">
        <v>4910</v>
      </c>
      <c r="D1084" s="212" t="s">
        <v>4906</v>
      </c>
      <c r="E1084" s="207" t="s">
        <v>4911</v>
      </c>
      <c r="F1084" s="207">
        <v>799.0</v>
      </c>
      <c r="G1084" s="208" t="s">
        <v>1444</v>
      </c>
    </row>
    <row r="1085">
      <c r="A1085" s="207">
        <f t="shared" si="4"/>
        <v>1084</v>
      </c>
      <c r="B1085" s="207">
        <v>226.0</v>
      </c>
      <c r="C1085" s="207" t="s">
        <v>4912</v>
      </c>
      <c r="D1085" s="207" t="s">
        <v>4913</v>
      </c>
      <c r="E1085" s="207" t="s">
        <v>4914</v>
      </c>
      <c r="F1085" s="207">
        <v>326.0</v>
      </c>
      <c r="G1085" s="208" t="s">
        <v>1444</v>
      </c>
    </row>
    <row r="1086">
      <c r="A1086" s="207">
        <f t="shared" si="4"/>
        <v>1085</v>
      </c>
      <c r="B1086" s="207" t="s">
        <v>4916</v>
      </c>
      <c r="C1086" s="207" t="s">
        <v>4917</v>
      </c>
      <c r="D1086" s="207" t="s">
        <v>4918</v>
      </c>
      <c r="E1086" s="207" t="s">
        <v>4919</v>
      </c>
      <c r="F1086" s="207" t="s">
        <v>4920</v>
      </c>
      <c r="G1086" s="208" t="s">
        <v>1444</v>
      </c>
    </row>
    <row r="1087">
      <c r="A1087" s="207">
        <f t="shared" si="4"/>
        <v>1086</v>
      </c>
      <c r="B1087" s="207" t="s">
        <v>4921</v>
      </c>
      <c r="C1087" s="207" t="s">
        <v>218</v>
      </c>
      <c r="D1087" s="207" t="s">
        <v>4922</v>
      </c>
      <c r="E1087" s="207">
        <v>108.0</v>
      </c>
      <c r="F1087" s="207" t="s">
        <v>4924</v>
      </c>
      <c r="G1087" s="208" t="s">
        <v>1444</v>
      </c>
    </row>
    <row r="1088">
      <c r="A1088" s="207">
        <f t="shared" si="4"/>
        <v>1087</v>
      </c>
      <c r="B1088" s="207" t="s">
        <v>4925</v>
      </c>
      <c r="C1088" s="207" t="s">
        <v>4926</v>
      </c>
      <c r="D1088" s="207" t="s">
        <v>4927</v>
      </c>
      <c r="E1088" s="207" t="s">
        <v>4928</v>
      </c>
      <c r="F1088" s="207" t="s">
        <v>4929</v>
      </c>
      <c r="G1088" s="208" t="s">
        <v>1444</v>
      </c>
    </row>
    <row r="1089">
      <c r="A1089" s="207">
        <f t="shared" si="4"/>
        <v>1088</v>
      </c>
      <c r="B1089" s="207" t="s">
        <v>4930</v>
      </c>
      <c r="C1089" s="207" t="s">
        <v>4931</v>
      </c>
      <c r="D1089" s="207" t="s">
        <v>4932</v>
      </c>
      <c r="E1089" s="207" t="s">
        <v>4934</v>
      </c>
      <c r="F1089" s="207" t="s">
        <v>4935</v>
      </c>
      <c r="G1089" s="208" t="s">
        <v>1444</v>
      </c>
    </row>
    <row r="1090">
      <c r="A1090" s="207">
        <f t="shared" si="4"/>
        <v>1089</v>
      </c>
      <c r="B1090" s="207" t="s">
        <v>4937</v>
      </c>
      <c r="C1090" s="207" t="s">
        <v>4938</v>
      </c>
      <c r="D1090" s="207" t="s">
        <v>4939</v>
      </c>
      <c r="E1090" s="207" t="s">
        <v>4940</v>
      </c>
      <c r="F1090" s="207" t="s">
        <v>4941</v>
      </c>
      <c r="G1090" s="208" t="s">
        <v>1444</v>
      </c>
    </row>
    <row r="1091">
      <c r="A1091" s="207">
        <f t="shared" si="4"/>
        <v>1090</v>
      </c>
      <c r="B1091" s="207" t="s">
        <v>4942</v>
      </c>
      <c r="C1091" s="207" t="s">
        <v>4943</v>
      </c>
      <c r="D1091" s="207" t="s">
        <v>4944</v>
      </c>
      <c r="E1091" s="207" t="s">
        <v>218</v>
      </c>
      <c r="F1091" s="207" t="s">
        <v>4946</v>
      </c>
      <c r="G1091" s="208" t="s">
        <v>1444</v>
      </c>
    </row>
    <row r="1092">
      <c r="A1092" s="207">
        <f t="shared" si="4"/>
        <v>1091</v>
      </c>
      <c r="B1092" s="207">
        <v>321.0</v>
      </c>
      <c r="C1092" s="207" t="s">
        <v>4947</v>
      </c>
      <c r="D1092" s="207" t="s">
        <v>4948</v>
      </c>
      <c r="E1092" s="207" t="s">
        <v>4949</v>
      </c>
      <c r="F1092" s="207">
        <v>321.0</v>
      </c>
      <c r="G1092" s="207" t="s">
        <v>562</v>
      </c>
    </row>
    <row r="1093">
      <c r="A1093" s="207">
        <f t="shared" si="4"/>
        <v>1092</v>
      </c>
      <c r="B1093" s="207" t="s">
        <v>4950</v>
      </c>
      <c r="C1093" s="207" t="s">
        <v>4951</v>
      </c>
      <c r="D1093" s="207" t="s">
        <v>4952</v>
      </c>
      <c r="E1093" s="207" t="s">
        <v>4953</v>
      </c>
      <c r="F1093" s="207">
        <v>922.0</v>
      </c>
      <c r="G1093" s="208" t="s">
        <v>1444</v>
      </c>
    </row>
    <row r="1094">
      <c r="A1094" s="207">
        <f t="shared" si="4"/>
        <v>1093</v>
      </c>
      <c r="B1094" s="207" t="s">
        <v>4955</v>
      </c>
      <c r="C1094" s="207" t="s">
        <v>4956</v>
      </c>
      <c r="D1094" s="207" t="s">
        <v>4957</v>
      </c>
      <c r="E1094" s="207" t="s">
        <v>4958</v>
      </c>
      <c r="F1094" s="207" t="s">
        <v>4959</v>
      </c>
      <c r="G1094" s="208" t="s">
        <v>1444</v>
      </c>
    </row>
    <row r="1095">
      <c r="A1095" s="207">
        <f t="shared" si="4"/>
        <v>1094</v>
      </c>
      <c r="B1095" s="207" t="s">
        <v>4960</v>
      </c>
      <c r="C1095" s="207" t="s">
        <v>4961</v>
      </c>
      <c r="D1095" s="207" t="s">
        <v>4962</v>
      </c>
      <c r="E1095" s="207" t="s">
        <v>4964</v>
      </c>
      <c r="F1095" s="207" t="s">
        <v>4965</v>
      </c>
      <c r="G1095" s="208" t="s">
        <v>1444</v>
      </c>
    </row>
    <row r="1096">
      <c r="A1096" s="207">
        <f t="shared" si="4"/>
        <v>1095</v>
      </c>
      <c r="B1096" s="207">
        <v>219.0</v>
      </c>
      <c r="C1096" s="207" t="s">
        <v>4966</v>
      </c>
      <c r="D1096" s="207" t="s">
        <v>4967</v>
      </c>
      <c r="E1096" s="207" t="s">
        <v>4968</v>
      </c>
      <c r="F1096" s="207">
        <v>637.0</v>
      </c>
      <c r="G1096" s="208" t="s">
        <v>1444</v>
      </c>
    </row>
    <row r="1097">
      <c r="A1097" s="207">
        <f t="shared" si="4"/>
        <v>1096</v>
      </c>
      <c r="B1097" s="207" t="s">
        <v>4970</v>
      </c>
      <c r="C1097" s="207" t="s">
        <v>4971</v>
      </c>
      <c r="D1097" s="207" t="s">
        <v>4972</v>
      </c>
      <c r="E1097" s="207" t="s">
        <v>4973</v>
      </c>
      <c r="F1097" s="207" t="s">
        <v>4974</v>
      </c>
      <c r="G1097" s="208" t="s">
        <v>1444</v>
      </c>
    </row>
    <row r="1098">
      <c r="A1098" s="207">
        <f t="shared" si="4"/>
        <v>1097</v>
      </c>
      <c r="B1098" s="207" t="s">
        <v>4975</v>
      </c>
      <c r="C1098" s="207" t="s">
        <v>4976</v>
      </c>
      <c r="D1098" s="207" t="s">
        <v>4977</v>
      </c>
      <c r="E1098" s="207" t="s">
        <v>4978</v>
      </c>
      <c r="F1098" s="207" t="s">
        <v>647</v>
      </c>
      <c r="G1098" s="208" t="s">
        <v>1444</v>
      </c>
    </row>
    <row r="1099">
      <c r="A1099" s="207">
        <f t="shared" si="4"/>
        <v>1098</v>
      </c>
      <c r="B1099" s="207" t="s">
        <v>4980</v>
      </c>
      <c r="C1099" s="207" t="s">
        <v>4981</v>
      </c>
      <c r="D1099" s="207" t="s">
        <v>4982</v>
      </c>
      <c r="E1099" s="207" t="s">
        <v>4983</v>
      </c>
      <c r="F1099" s="207" t="s">
        <v>4984</v>
      </c>
      <c r="G1099" s="208" t="s">
        <v>1444</v>
      </c>
    </row>
    <row r="1100">
      <c r="A1100" s="207">
        <f t="shared" si="4"/>
        <v>1099</v>
      </c>
      <c r="B1100" s="207">
        <v>179.0</v>
      </c>
      <c r="C1100" s="207" t="s">
        <v>4986</v>
      </c>
      <c r="D1100" s="207" t="s">
        <v>4987</v>
      </c>
      <c r="E1100" s="207" t="s">
        <v>4988</v>
      </c>
      <c r="F1100" s="207" t="s">
        <v>4989</v>
      </c>
      <c r="G1100" s="208" t="s">
        <v>1444</v>
      </c>
    </row>
    <row r="1101">
      <c r="A1101" s="207">
        <f t="shared" si="4"/>
        <v>1100</v>
      </c>
      <c r="B1101" s="207" t="s">
        <v>4990</v>
      </c>
      <c r="C1101" s="207" t="s">
        <v>4992</v>
      </c>
      <c r="D1101" s="207" t="s">
        <v>4993</v>
      </c>
      <c r="E1101" s="207" t="s">
        <v>4994</v>
      </c>
      <c r="F1101" s="207" t="s">
        <v>4995</v>
      </c>
      <c r="G1101" s="207" t="s">
        <v>562</v>
      </c>
    </row>
    <row r="1102" hidden="1">
      <c r="A1102" s="207">
        <f t="shared" si="4"/>
        <v>1101</v>
      </c>
      <c r="B1102" s="209" t="s">
        <v>216</v>
      </c>
      <c r="C1102" s="209" t="s">
        <v>216</v>
      </c>
      <c r="D1102" s="209" t="s">
        <v>216</v>
      </c>
      <c r="E1102" s="209" t="s">
        <v>216</v>
      </c>
      <c r="F1102" s="209" t="s">
        <v>216</v>
      </c>
      <c r="G1102" s="209" t="s">
        <v>488</v>
      </c>
    </row>
    <row r="1103">
      <c r="A1103" s="207">
        <f t="shared" si="4"/>
        <v>1102</v>
      </c>
      <c r="B1103" s="207" t="s">
        <v>4997</v>
      </c>
      <c r="C1103" s="207" t="s">
        <v>4998</v>
      </c>
      <c r="D1103" s="207">
        <v>242.0</v>
      </c>
      <c r="E1103" s="207" t="s">
        <v>4999</v>
      </c>
      <c r="F1103" s="207" t="s">
        <v>5000</v>
      </c>
      <c r="G1103" s="208" t="s">
        <v>1444</v>
      </c>
    </row>
    <row r="1104">
      <c r="A1104" s="207">
        <f t="shared" si="4"/>
        <v>1103</v>
      </c>
      <c r="B1104" s="207" t="s">
        <v>5002</v>
      </c>
      <c r="C1104" s="207" t="s">
        <v>5003</v>
      </c>
      <c r="D1104" s="207" t="s">
        <v>3628</v>
      </c>
      <c r="E1104" s="207" t="s">
        <v>218</v>
      </c>
      <c r="F1104" s="207" t="s">
        <v>5004</v>
      </c>
      <c r="G1104" s="208" t="s">
        <v>1444</v>
      </c>
    </row>
    <row r="1105">
      <c r="A1105" s="207">
        <f t="shared" si="4"/>
        <v>1104</v>
      </c>
      <c r="B1105" s="207" t="s">
        <v>5005</v>
      </c>
      <c r="C1105" s="207" t="s">
        <v>5006</v>
      </c>
      <c r="D1105" s="207" t="s">
        <v>5007</v>
      </c>
      <c r="E1105" s="207" t="s">
        <v>5008</v>
      </c>
      <c r="F1105" s="207">
        <v>841.0</v>
      </c>
      <c r="G1105" s="208" t="s">
        <v>1444</v>
      </c>
    </row>
    <row r="1106">
      <c r="A1106" s="207">
        <f t="shared" si="4"/>
        <v>1105</v>
      </c>
      <c r="B1106" s="207" t="s">
        <v>5010</v>
      </c>
      <c r="C1106" s="207" t="s">
        <v>5011</v>
      </c>
      <c r="D1106" s="207" t="s">
        <v>5012</v>
      </c>
      <c r="E1106" s="207" t="s">
        <v>5013</v>
      </c>
      <c r="F1106" s="207" t="s">
        <v>5014</v>
      </c>
      <c r="G1106" s="208" t="s">
        <v>1444</v>
      </c>
    </row>
    <row r="1107">
      <c r="A1107" s="207">
        <f t="shared" si="4"/>
        <v>1106</v>
      </c>
      <c r="B1107" s="207" t="s">
        <v>5016</v>
      </c>
      <c r="C1107" s="207" t="s">
        <v>218</v>
      </c>
      <c r="D1107" s="207" t="s">
        <v>5017</v>
      </c>
      <c r="E1107" s="207" t="s">
        <v>5018</v>
      </c>
      <c r="F1107" s="207" t="s">
        <v>5019</v>
      </c>
      <c r="G1107" s="208" t="s">
        <v>1444</v>
      </c>
    </row>
    <row r="1108">
      <c r="A1108" s="207">
        <f t="shared" si="4"/>
        <v>1107</v>
      </c>
      <c r="B1108" s="207" t="s">
        <v>5020</v>
      </c>
      <c r="C1108" s="207" t="s">
        <v>5022</v>
      </c>
      <c r="D1108" s="207" t="s">
        <v>3428</v>
      </c>
      <c r="E1108" s="207" t="s">
        <v>5023</v>
      </c>
      <c r="F1108" s="207" t="s">
        <v>5024</v>
      </c>
      <c r="G1108" s="208" t="s">
        <v>1444</v>
      </c>
    </row>
    <row r="1109">
      <c r="A1109" s="207">
        <f t="shared" si="4"/>
        <v>1108</v>
      </c>
      <c r="B1109" s="207" t="s">
        <v>5025</v>
      </c>
      <c r="C1109" s="207" t="s">
        <v>5026</v>
      </c>
      <c r="D1109" s="207" t="s">
        <v>5027</v>
      </c>
      <c r="E1109" s="207" t="s">
        <v>5028</v>
      </c>
      <c r="F1109" s="207" t="s">
        <v>5030</v>
      </c>
      <c r="G1109" s="208" t="s">
        <v>1444</v>
      </c>
    </row>
    <row r="1110">
      <c r="A1110" s="207">
        <f t="shared" si="4"/>
        <v>1109</v>
      </c>
      <c r="B1110" s="207" t="s">
        <v>5031</v>
      </c>
      <c r="C1110" s="207" t="s">
        <v>5032</v>
      </c>
      <c r="D1110" s="207" t="s">
        <v>3432</v>
      </c>
      <c r="E1110" s="207" t="s">
        <v>5033</v>
      </c>
      <c r="F1110" s="207">
        <v>960.0</v>
      </c>
      <c r="G1110" s="208" t="s">
        <v>1444</v>
      </c>
    </row>
    <row r="1111">
      <c r="A1111" s="207">
        <f t="shared" si="4"/>
        <v>1110</v>
      </c>
      <c r="B1111" s="207" t="s">
        <v>5035</v>
      </c>
      <c r="C1111" s="207">
        <v>389.0</v>
      </c>
      <c r="D1111" s="207" t="s">
        <v>5036</v>
      </c>
      <c r="E1111" s="207" t="s">
        <v>2777</v>
      </c>
      <c r="F1111" s="207" t="s">
        <v>5037</v>
      </c>
      <c r="G1111" s="208" t="s">
        <v>1444</v>
      </c>
    </row>
    <row r="1112">
      <c r="A1112" s="207">
        <f t="shared" si="4"/>
        <v>1111</v>
      </c>
      <c r="B1112" s="207">
        <v>198.0</v>
      </c>
      <c r="C1112" s="207" t="s">
        <v>5039</v>
      </c>
      <c r="D1112" s="207" t="s">
        <v>5040</v>
      </c>
      <c r="E1112" s="207" t="s">
        <v>5041</v>
      </c>
      <c r="F1112" s="207" t="s">
        <v>5042</v>
      </c>
      <c r="G1112" s="208" t="s">
        <v>1444</v>
      </c>
    </row>
    <row r="1113">
      <c r="A1113" s="207">
        <f t="shared" si="4"/>
        <v>1112</v>
      </c>
      <c r="B1113" s="207" t="s">
        <v>5043</v>
      </c>
      <c r="C1113" s="207" t="s">
        <v>5044</v>
      </c>
      <c r="D1113" s="212" t="s">
        <v>863</v>
      </c>
      <c r="E1113" s="207" t="s">
        <v>5045</v>
      </c>
      <c r="F1113" s="207" t="s">
        <v>451</v>
      </c>
      <c r="G1113" s="208"/>
    </row>
    <row r="1114">
      <c r="A1114" s="207">
        <f t="shared" si="4"/>
        <v>1113</v>
      </c>
      <c r="B1114" s="207">
        <v>234.0</v>
      </c>
      <c r="C1114" s="207" t="s">
        <v>5047</v>
      </c>
      <c r="D1114" s="228" t="s">
        <v>5048</v>
      </c>
      <c r="E1114" s="207" t="s">
        <v>451</v>
      </c>
      <c r="F1114" s="207" t="s">
        <v>451</v>
      </c>
      <c r="G1114" s="208"/>
    </row>
    <row r="1115">
      <c r="A1115" s="207">
        <f t="shared" si="4"/>
        <v>1114</v>
      </c>
      <c r="B1115" s="207" t="s">
        <v>5050</v>
      </c>
      <c r="C1115" s="207" t="s">
        <v>5051</v>
      </c>
      <c r="D1115" s="212" t="s">
        <v>863</v>
      </c>
      <c r="E1115" s="207" t="s">
        <v>5052</v>
      </c>
      <c r="F1115" s="207" t="s">
        <v>5053</v>
      </c>
      <c r="G1115" s="208"/>
    </row>
    <row r="1116">
      <c r="A1116" s="207">
        <f t="shared" si="4"/>
        <v>1115</v>
      </c>
      <c r="B1116" s="207" t="s">
        <v>5054</v>
      </c>
      <c r="C1116" s="207" t="s">
        <v>5055</v>
      </c>
      <c r="D1116" s="207" t="s">
        <v>5056</v>
      </c>
      <c r="E1116" s="207" t="s">
        <v>5057</v>
      </c>
      <c r="F1116" s="207" t="s">
        <v>5058</v>
      </c>
      <c r="G1116" s="208" t="s">
        <v>1444</v>
      </c>
    </row>
    <row r="1117" hidden="1">
      <c r="A1117" s="207">
        <f t="shared" si="4"/>
        <v>1116</v>
      </c>
      <c r="B1117" s="209" t="s">
        <v>216</v>
      </c>
      <c r="C1117" s="209" t="s">
        <v>216</v>
      </c>
      <c r="D1117" s="209" t="s">
        <v>216</v>
      </c>
      <c r="E1117" s="209" t="s">
        <v>216</v>
      </c>
      <c r="F1117" s="209" t="s">
        <v>216</v>
      </c>
      <c r="G1117" s="209" t="s">
        <v>488</v>
      </c>
    </row>
    <row r="1118">
      <c r="A1118" s="207">
        <f t="shared" si="4"/>
        <v>1117</v>
      </c>
      <c r="B1118" s="207" t="s">
        <v>5060</v>
      </c>
      <c r="C1118" s="207" t="s">
        <v>5061</v>
      </c>
      <c r="D1118" s="207" t="s">
        <v>3755</v>
      </c>
      <c r="E1118" s="207" t="s">
        <v>5063</v>
      </c>
      <c r="F1118" s="207" t="s">
        <v>5064</v>
      </c>
      <c r="G1118" s="208" t="s">
        <v>1444</v>
      </c>
    </row>
    <row r="1119">
      <c r="A1119" s="207">
        <f t="shared" si="4"/>
        <v>1118</v>
      </c>
      <c r="B1119" s="207" t="s">
        <v>5065</v>
      </c>
      <c r="C1119" s="207" t="s">
        <v>5066</v>
      </c>
      <c r="D1119" s="207" t="s">
        <v>5067</v>
      </c>
      <c r="E1119" s="207" t="s">
        <v>5068</v>
      </c>
      <c r="F1119" s="207" t="s">
        <v>4097</v>
      </c>
      <c r="G1119" s="208" t="s">
        <v>1444</v>
      </c>
    </row>
    <row r="1120">
      <c r="A1120" s="207">
        <f t="shared" si="4"/>
        <v>1119</v>
      </c>
      <c r="B1120" s="207" t="s">
        <v>5070</v>
      </c>
      <c r="C1120" s="207" t="s">
        <v>5071</v>
      </c>
      <c r="D1120" s="207" t="s">
        <v>5072</v>
      </c>
      <c r="E1120" s="207" t="s">
        <v>5073</v>
      </c>
      <c r="F1120" s="207" t="s">
        <v>5074</v>
      </c>
      <c r="G1120" s="208" t="s">
        <v>1444</v>
      </c>
    </row>
    <row r="1121">
      <c r="A1121" s="207">
        <f t="shared" si="4"/>
        <v>1120</v>
      </c>
      <c r="B1121" s="207">
        <v>254.0</v>
      </c>
      <c r="C1121" s="207" t="s">
        <v>5075</v>
      </c>
      <c r="D1121" s="207" t="s">
        <v>5076</v>
      </c>
      <c r="E1121" s="207" t="s">
        <v>5077</v>
      </c>
      <c r="F1121" s="207" t="s">
        <v>5078</v>
      </c>
      <c r="G1121" s="207" t="s">
        <v>562</v>
      </c>
    </row>
    <row r="1122">
      <c r="A1122" s="207">
        <f t="shared" si="4"/>
        <v>1121</v>
      </c>
      <c r="B1122" s="207" t="s">
        <v>5080</v>
      </c>
      <c r="C1122" s="207" t="s">
        <v>5081</v>
      </c>
      <c r="D1122" s="207" t="s">
        <v>5082</v>
      </c>
      <c r="E1122" s="207" t="s">
        <v>5083</v>
      </c>
      <c r="F1122" s="207" t="s">
        <v>5084</v>
      </c>
      <c r="G1122" s="208" t="s">
        <v>1444</v>
      </c>
    </row>
    <row r="1123">
      <c r="A1123" s="207">
        <f t="shared" si="4"/>
        <v>1122</v>
      </c>
      <c r="B1123" s="207" t="s">
        <v>5085</v>
      </c>
      <c r="C1123" s="207" t="s">
        <v>5086</v>
      </c>
      <c r="D1123" s="207" t="s">
        <v>5087</v>
      </c>
      <c r="E1123" s="207" t="s">
        <v>5088</v>
      </c>
      <c r="F1123" s="207" t="s">
        <v>5090</v>
      </c>
      <c r="G1123" s="208" t="s">
        <v>1444</v>
      </c>
    </row>
    <row r="1124">
      <c r="A1124" s="207">
        <f t="shared" si="4"/>
        <v>1123</v>
      </c>
      <c r="B1124" s="207" t="s">
        <v>5091</v>
      </c>
      <c r="C1124" s="207" t="s">
        <v>2124</v>
      </c>
      <c r="D1124" s="207" t="s">
        <v>5092</v>
      </c>
      <c r="E1124" s="207" t="s">
        <v>5093</v>
      </c>
      <c r="F1124" s="207" t="s">
        <v>5094</v>
      </c>
      <c r="G1124" s="208" t="s">
        <v>1444</v>
      </c>
    </row>
    <row r="1125">
      <c r="A1125" s="207">
        <f t="shared" si="4"/>
        <v>1124</v>
      </c>
      <c r="B1125" s="207" t="s">
        <v>5095</v>
      </c>
      <c r="C1125" s="207" t="s">
        <v>5096</v>
      </c>
      <c r="D1125" s="207" t="s">
        <v>5098</v>
      </c>
      <c r="E1125" s="207" t="s">
        <v>5099</v>
      </c>
      <c r="F1125" s="207" t="s">
        <v>5100</v>
      </c>
      <c r="G1125" s="207" t="s">
        <v>562</v>
      </c>
    </row>
    <row r="1126" hidden="1">
      <c r="A1126" s="207">
        <f t="shared" si="4"/>
        <v>1125</v>
      </c>
      <c r="B1126" s="211" t="s">
        <v>1444</v>
      </c>
      <c r="C1126" s="207" t="s">
        <v>5101</v>
      </c>
      <c r="D1126" s="207" t="s">
        <v>5102</v>
      </c>
      <c r="E1126" s="207" t="s">
        <v>5103</v>
      </c>
      <c r="F1126" s="207" t="s">
        <v>5104</v>
      </c>
      <c r="G1126" s="208" t="s">
        <v>1444</v>
      </c>
    </row>
    <row r="1127">
      <c r="A1127" s="207">
        <f t="shared" si="4"/>
        <v>1126</v>
      </c>
      <c r="B1127" s="207" t="s">
        <v>5106</v>
      </c>
      <c r="C1127" s="207" t="s">
        <v>5107</v>
      </c>
      <c r="D1127" s="207" t="s">
        <v>5108</v>
      </c>
      <c r="E1127" s="207" t="s">
        <v>5109</v>
      </c>
      <c r="F1127" s="207" t="s">
        <v>5110</v>
      </c>
      <c r="G1127" s="208" t="s">
        <v>1444</v>
      </c>
    </row>
    <row r="1128">
      <c r="A1128" s="207">
        <f t="shared" si="4"/>
        <v>1127</v>
      </c>
      <c r="B1128" s="207" t="s">
        <v>5112</v>
      </c>
      <c r="C1128" s="207" t="s">
        <v>5113</v>
      </c>
      <c r="D1128" s="207" t="s">
        <v>5114</v>
      </c>
      <c r="E1128" s="207" t="s">
        <v>5115</v>
      </c>
      <c r="F1128" s="207">
        <v>131.0</v>
      </c>
      <c r="G1128" s="208" t="s">
        <v>1444</v>
      </c>
    </row>
    <row r="1129">
      <c r="A1129" s="207">
        <f t="shared" si="4"/>
        <v>1128</v>
      </c>
      <c r="B1129" s="207">
        <v>447.0</v>
      </c>
      <c r="C1129" s="207" t="s">
        <v>5117</v>
      </c>
      <c r="D1129" s="207" t="s">
        <v>5118</v>
      </c>
      <c r="E1129" s="207" t="s">
        <v>5119</v>
      </c>
      <c r="F1129" s="207" t="s">
        <v>5120</v>
      </c>
      <c r="G1129" s="208" t="s">
        <v>1444</v>
      </c>
    </row>
    <row r="1130">
      <c r="A1130" s="207">
        <f t="shared" si="4"/>
        <v>1129</v>
      </c>
      <c r="B1130" s="207" t="s">
        <v>5121</v>
      </c>
      <c r="C1130" s="207" t="s">
        <v>5123</v>
      </c>
      <c r="D1130" s="211"/>
      <c r="E1130" s="207" t="s">
        <v>5124</v>
      </c>
      <c r="F1130" s="207" t="s">
        <v>5125</v>
      </c>
      <c r="G1130" s="208" t="s">
        <v>1444</v>
      </c>
    </row>
    <row r="1131">
      <c r="A1131" s="207">
        <f t="shared" si="4"/>
        <v>1130</v>
      </c>
      <c r="B1131" s="207" t="s">
        <v>5126</v>
      </c>
      <c r="C1131" s="207" t="s">
        <v>5127</v>
      </c>
      <c r="D1131" s="207" t="s">
        <v>5129</v>
      </c>
      <c r="E1131" s="207" t="s">
        <v>5130</v>
      </c>
      <c r="F1131" s="207" t="s">
        <v>5131</v>
      </c>
      <c r="G1131" s="208" t="s">
        <v>1444</v>
      </c>
    </row>
    <row r="1132">
      <c r="A1132" s="207">
        <f t="shared" si="4"/>
        <v>1131</v>
      </c>
      <c r="B1132" s="207" t="s">
        <v>5132</v>
      </c>
      <c r="C1132" s="207" t="s">
        <v>218</v>
      </c>
      <c r="D1132" s="211" t="s">
        <v>1444</v>
      </c>
      <c r="E1132" s="207" t="s">
        <v>5134</v>
      </c>
      <c r="F1132" s="207" t="s">
        <v>5135</v>
      </c>
      <c r="G1132" s="208" t="s">
        <v>1444</v>
      </c>
    </row>
    <row r="1133">
      <c r="A1133" s="207">
        <f t="shared" si="4"/>
        <v>1132</v>
      </c>
      <c r="B1133" s="207" t="s">
        <v>5136</v>
      </c>
      <c r="C1133" s="207" t="s">
        <v>5137</v>
      </c>
      <c r="D1133" s="207" t="s">
        <v>1899</v>
      </c>
      <c r="E1133" s="207" t="s">
        <v>5138</v>
      </c>
      <c r="F1133" s="207" t="s">
        <v>5140</v>
      </c>
      <c r="G1133" s="208" t="s">
        <v>1444</v>
      </c>
    </row>
    <row r="1134" hidden="1">
      <c r="A1134" s="207">
        <f t="shared" si="4"/>
        <v>1133</v>
      </c>
      <c r="B1134" s="209" t="s">
        <v>216</v>
      </c>
      <c r="C1134" s="209" t="s">
        <v>216</v>
      </c>
      <c r="D1134" s="209" t="s">
        <v>216</v>
      </c>
      <c r="E1134" s="209" t="s">
        <v>216</v>
      </c>
      <c r="F1134" s="209" t="s">
        <v>216</v>
      </c>
      <c r="G1134" s="209" t="s">
        <v>488</v>
      </c>
    </row>
    <row r="1135">
      <c r="A1135" s="207">
        <f t="shared" si="4"/>
        <v>1134</v>
      </c>
      <c r="B1135" s="207" t="s">
        <v>5142</v>
      </c>
      <c r="C1135" s="207" t="s">
        <v>5143</v>
      </c>
      <c r="D1135" s="207" t="s">
        <v>5144</v>
      </c>
      <c r="E1135" s="207" t="s">
        <v>5145</v>
      </c>
      <c r="F1135" s="207" t="s">
        <v>5146</v>
      </c>
      <c r="G1135" s="208"/>
    </row>
    <row r="1136">
      <c r="A1136" s="207">
        <f t="shared" si="4"/>
        <v>1135</v>
      </c>
      <c r="B1136" s="207" t="s">
        <v>5148</v>
      </c>
      <c r="C1136" s="207" t="s">
        <v>5149</v>
      </c>
      <c r="D1136" s="207" t="s">
        <v>5150</v>
      </c>
      <c r="E1136" s="207" t="s">
        <v>5151</v>
      </c>
      <c r="F1136" s="207" t="s">
        <v>5152</v>
      </c>
      <c r="G1136" s="208"/>
    </row>
    <row r="1137">
      <c r="A1137" s="207">
        <f t="shared" si="4"/>
        <v>1136</v>
      </c>
      <c r="B1137" s="207" t="s">
        <v>5154</v>
      </c>
      <c r="C1137" s="207" t="s">
        <v>5155</v>
      </c>
      <c r="D1137" s="207" t="s">
        <v>5156</v>
      </c>
      <c r="E1137" s="207" t="s">
        <v>5157</v>
      </c>
      <c r="F1137" s="207">
        <v>715.0</v>
      </c>
      <c r="G1137" s="208" t="s">
        <v>1444</v>
      </c>
    </row>
    <row r="1138">
      <c r="A1138" s="207">
        <f t="shared" si="4"/>
        <v>1137</v>
      </c>
      <c r="B1138" s="207">
        <v>579.0</v>
      </c>
      <c r="C1138" s="207" t="s">
        <v>5159</v>
      </c>
      <c r="D1138" s="207" t="s">
        <v>5160</v>
      </c>
      <c r="E1138" s="207" t="s">
        <v>5161</v>
      </c>
      <c r="F1138" s="207" t="s">
        <v>5162</v>
      </c>
      <c r="G1138" s="208" t="s">
        <v>1444</v>
      </c>
    </row>
    <row r="1139">
      <c r="A1139" s="207">
        <f t="shared" si="4"/>
        <v>1138</v>
      </c>
      <c r="B1139" s="207" t="s">
        <v>5163</v>
      </c>
      <c r="C1139" s="207" t="s">
        <v>5164</v>
      </c>
      <c r="D1139" s="207" t="s">
        <v>5165</v>
      </c>
      <c r="E1139" s="207" t="s">
        <v>510</v>
      </c>
      <c r="F1139" s="207" t="s">
        <v>2500</v>
      </c>
      <c r="G1139" s="208" t="s">
        <v>1444</v>
      </c>
    </row>
    <row r="1140">
      <c r="A1140" s="207">
        <f t="shared" si="4"/>
        <v>1139</v>
      </c>
      <c r="B1140" s="207">
        <v>272.0</v>
      </c>
      <c r="C1140" s="207" t="s">
        <v>5167</v>
      </c>
      <c r="D1140" s="207" t="s">
        <v>5168</v>
      </c>
      <c r="E1140" s="207" t="s">
        <v>5169</v>
      </c>
      <c r="F1140" s="207">
        <v>272.0</v>
      </c>
      <c r="G1140" s="207" t="s">
        <v>562</v>
      </c>
    </row>
    <row r="1141">
      <c r="A1141" s="207">
        <f t="shared" si="4"/>
        <v>1140</v>
      </c>
      <c r="B1141" s="207" t="s">
        <v>5171</v>
      </c>
      <c r="C1141" s="207" t="s">
        <v>5172</v>
      </c>
      <c r="D1141" s="207" t="s">
        <v>5173</v>
      </c>
      <c r="E1141" s="207" t="s">
        <v>5174</v>
      </c>
      <c r="F1141" s="207" t="s">
        <v>5175</v>
      </c>
      <c r="G1141" s="208" t="s">
        <v>1444</v>
      </c>
    </row>
    <row r="1142" hidden="1">
      <c r="A1142" s="207">
        <f t="shared" si="4"/>
        <v>1141</v>
      </c>
      <c r="B1142" s="209" t="s">
        <v>216</v>
      </c>
      <c r="C1142" s="209" t="s">
        <v>216</v>
      </c>
      <c r="D1142" s="209" t="s">
        <v>216</v>
      </c>
      <c r="E1142" s="209" t="s">
        <v>216</v>
      </c>
      <c r="F1142" s="209" t="s">
        <v>216</v>
      </c>
      <c r="G1142" s="209" t="s">
        <v>488</v>
      </c>
    </row>
    <row r="1143" hidden="1">
      <c r="A1143" s="207">
        <f t="shared" si="4"/>
        <v>1142</v>
      </c>
      <c r="B1143" s="209" t="s">
        <v>216</v>
      </c>
      <c r="C1143" s="209" t="s">
        <v>216</v>
      </c>
      <c r="D1143" s="209" t="s">
        <v>216</v>
      </c>
      <c r="E1143" s="209" t="s">
        <v>216</v>
      </c>
      <c r="F1143" s="209" t="s">
        <v>216</v>
      </c>
      <c r="G1143" s="209" t="s">
        <v>488</v>
      </c>
    </row>
    <row r="1144">
      <c r="A1144" s="207">
        <f t="shared" si="4"/>
        <v>1143</v>
      </c>
      <c r="B1144" s="207" t="s">
        <v>5178</v>
      </c>
      <c r="C1144" s="207" t="s">
        <v>5179</v>
      </c>
      <c r="D1144" s="207" t="s">
        <v>451</v>
      </c>
      <c r="E1144" s="207" t="s">
        <v>5180</v>
      </c>
      <c r="F1144" s="207" t="s">
        <v>5181</v>
      </c>
      <c r="G1144" s="208" t="s">
        <v>1444</v>
      </c>
    </row>
    <row r="1145">
      <c r="A1145" s="207">
        <f t="shared" si="4"/>
        <v>1144</v>
      </c>
      <c r="B1145" s="207" t="s">
        <v>5182</v>
      </c>
      <c r="C1145" s="207" t="s">
        <v>5183</v>
      </c>
      <c r="D1145" s="207" t="s">
        <v>5185</v>
      </c>
      <c r="E1145" s="207" t="s">
        <v>5186</v>
      </c>
      <c r="F1145" s="207" t="s">
        <v>5187</v>
      </c>
      <c r="G1145" s="208" t="s">
        <v>1444</v>
      </c>
    </row>
    <row r="1146">
      <c r="A1146" s="207">
        <f t="shared" si="4"/>
        <v>1145</v>
      </c>
      <c r="B1146" s="207" t="s">
        <v>5188</v>
      </c>
      <c r="C1146" s="207" t="s">
        <v>5189</v>
      </c>
      <c r="D1146" s="207" t="s">
        <v>5190</v>
      </c>
      <c r="E1146" s="207" t="s">
        <v>5191</v>
      </c>
      <c r="F1146" s="207" t="s">
        <v>5192</v>
      </c>
      <c r="G1146" s="208" t="s">
        <v>1444</v>
      </c>
    </row>
    <row r="1147">
      <c r="A1147" s="207">
        <f t="shared" si="4"/>
        <v>1146</v>
      </c>
      <c r="B1147" s="207" t="s">
        <v>5194</v>
      </c>
      <c r="C1147" s="207" t="s">
        <v>5195</v>
      </c>
      <c r="D1147" s="207" t="s">
        <v>5196</v>
      </c>
      <c r="E1147" s="207" t="s">
        <v>2792</v>
      </c>
      <c r="F1147" s="207" t="s">
        <v>5197</v>
      </c>
      <c r="G1147" s="208" t="s">
        <v>1444</v>
      </c>
    </row>
    <row r="1148">
      <c r="A1148" s="207">
        <f t="shared" si="4"/>
        <v>1147</v>
      </c>
      <c r="B1148" s="207" t="s">
        <v>5198</v>
      </c>
      <c r="C1148" s="207" t="s">
        <v>5200</v>
      </c>
      <c r="D1148" s="207" t="s">
        <v>5201</v>
      </c>
      <c r="E1148" s="207" t="s">
        <v>5202</v>
      </c>
      <c r="F1148" s="207" t="s">
        <v>5203</v>
      </c>
      <c r="G1148" s="208" t="s">
        <v>1444</v>
      </c>
    </row>
    <row r="1149">
      <c r="A1149" s="207">
        <f t="shared" si="4"/>
        <v>1148</v>
      </c>
      <c r="B1149" s="206" t="s">
        <v>5204</v>
      </c>
      <c r="C1149" s="207" t="s">
        <v>5205</v>
      </c>
      <c r="D1149" s="207" t="s">
        <v>5206</v>
      </c>
      <c r="E1149" s="207">
        <v>506.0</v>
      </c>
      <c r="F1149" s="207" t="s">
        <v>5208</v>
      </c>
      <c r="G1149" s="208" t="s">
        <v>1444</v>
      </c>
    </row>
    <row r="1150">
      <c r="A1150" s="207">
        <f t="shared" si="4"/>
        <v>1149</v>
      </c>
      <c r="B1150" s="206" t="s">
        <v>5209</v>
      </c>
      <c r="C1150" s="207" t="s">
        <v>5210</v>
      </c>
      <c r="D1150" s="207" t="s">
        <v>5212</v>
      </c>
      <c r="E1150" s="207" t="s">
        <v>5213</v>
      </c>
      <c r="F1150" s="207" t="s">
        <v>5214</v>
      </c>
      <c r="G1150" s="208" t="s">
        <v>1444</v>
      </c>
    </row>
    <row r="1151">
      <c r="A1151" s="207">
        <f t="shared" si="4"/>
        <v>1150</v>
      </c>
      <c r="B1151" s="206" t="s">
        <v>5216</v>
      </c>
      <c r="C1151" s="207" t="s">
        <v>876</v>
      </c>
      <c r="D1151" s="207" t="s">
        <v>5217</v>
      </c>
      <c r="E1151" s="207" t="s">
        <v>5218</v>
      </c>
      <c r="F1151" s="207">
        <v>366.0</v>
      </c>
      <c r="G1151" s="208" t="s">
        <v>1444</v>
      </c>
    </row>
    <row r="1152">
      <c r="A1152" s="207">
        <f t="shared" si="4"/>
        <v>1151</v>
      </c>
      <c r="B1152" s="207" t="s">
        <v>5219</v>
      </c>
      <c r="C1152" s="207" t="s">
        <v>5220</v>
      </c>
      <c r="D1152" s="207" t="s">
        <v>5221</v>
      </c>
      <c r="E1152" s="207" t="s">
        <v>5169</v>
      </c>
      <c r="F1152" s="207" t="s">
        <v>5223</v>
      </c>
      <c r="G1152" s="208" t="s">
        <v>1444</v>
      </c>
    </row>
    <row r="1153">
      <c r="A1153" s="207">
        <f t="shared" si="4"/>
        <v>1152</v>
      </c>
      <c r="B1153" s="207" t="s">
        <v>5224</v>
      </c>
      <c r="C1153" s="207" t="s">
        <v>5225</v>
      </c>
      <c r="D1153" s="207" t="s">
        <v>5226</v>
      </c>
      <c r="E1153" s="207" t="s">
        <v>5227</v>
      </c>
      <c r="F1153" s="207">
        <v>943.0</v>
      </c>
      <c r="G1153" s="208" t="s">
        <v>1444</v>
      </c>
    </row>
    <row r="1154">
      <c r="A1154" s="207">
        <f t="shared" si="4"/>
        <v>1153</v>
      </c>
      <c r="B1154" s="207">
        <v>123.0</v>
      </c>
      <c r="C1154" s="207" t="s">
        <v>5228</v>
      </c>
      <c r="D1154" s="207" t="s">
        <v>5230</v>
      </c>
      <c r="E1154" s="207" t="s">
        <v>5231</v>
      </c>
      <c r="F1154" s="207">
        <v>123.0</v>
      </c>
      <c r="G1154" s="207" t="s">
        <v>562</v>
      </c>
    </row>
    <row r="1155">
      <c r="A1155" s="207">
        <f t="shared" si="4"/>
        <v>1154</v>
      </c>
      <c r="B1155" s="207" t="s">
        <v>5232</v>
      </c>
      <c r="C1155" s="207" t="s">
        <v>5233</v>
      </c>
      <c r="D1155" s="207" t="s">
        <v>5234</v>
      </c>
      <c r="E1155" s="207" t="s">
        <v>5235</v>
      </c>
      <c r="F1155" s="207" t="s">
        <v>5236</v>
      </c>
      <c r="G1155" s="208" t="s">
        <v>1444</v>
      </c>
    </row>
    <row r="1156" hidden="1">
      <c r="A1156" s="207">
        <f t="shared" si="4"/>
        <v>1155</v>
      </c>
      <c r="B1156" s="209" t="s">
        <v>216</v>
      </c>
      <c r="C1156" s="209" t="s">
        <v>216</v>
      </c>
      <c r="D1156" s="209" t="s">
        <v>216</v>
      </c>
      <c r="E1156" s="209" t="s">
        <v>216</v>
      </c>
      <c r="F1156" s="209" t="s">
        <v>216</v>
      </c>
      <c r="G1156" s="209" t="s">
        <v>488</v>
      </c>
    </row>
    <row r="1157">
      <c r="A1157" s="207">
        <f t="shared" si="4"/>
        <v>1156</v>
      </c>
      <c r="B1157" s="207" t="s">
        <v>5238</v>
      </c>
      <c r="C1157" s="207" t="s">
        <v>5240</v>
      </c>
      <c r="D1157" s="207" t="s">
        <v>5241</v>
      </c>
      <c r="E1157" s="207" t="s">
        <v>5242</v>
      </c>
      <c r="F1157" s="207" t="s">
        <v>5243</v>
      </c>
      <c r="G1157" s="208" t="s">
        <v>1444</v>
      </c>
    </row>
    <row r="1158">
      <c r="A1158" s="207">
        <f t="shared" si="4"/>
        <v>1157</v>
      </c>
      <c r="B1158" s="207">
        <v>94.0</v>
      </c>
      <c r="C1158" s="207" t="s">
        <v>5244</v>
      </c>
      <c r="D1158" s="207" t="s">
        <v>5245</v>
      </c>
      <c r="E1158" s="207" t="s">
        <v>5247</v>
      </c>
      <c r="F1158" s="207" t="s">
        <v>5248</v>
      </c>
      <c r="G1158" s="208" t="s">
        <v>1444</v>
      </c>
    </row>
    <row r="1159">
      <c r="A1159" s="207">
        <f t="shared" si="4"/>
        <v>1158</v>
      </c>
      <c r="B1159" s="207" t="s">
        <v>5249</v>
      </c>
      <c r="C1159" s="207" t="s">
        <v>5250</v>
      </c>
      <c r="D1159" s="207" t="s">
        <v>5251</v>
      </c>
      <c r="E1159" s="207">
        <v>485.0</v>
      </c>
      <c r="F1159" s="207">
        <v>615.0</v>
      </c>
      <c r="G1159" s="208" t="s">
        <v>1444</v>
      </c>
    </row>
    <row r="1160">
      <c r="A1160" s="207">
        <f t="shared" si="4"/>
        <v>1159</v>
      </c>
      <c r="B1160" s="207" t="s">
        <v>5253</v>
      </c>
      <c r="C1160" s="207" t="s">
        <v>5254</v>
      </c>
      <c r="D1160" s="207" t="s">
        <v>5255</v>
      </c>
      <c r="E1160" s="207" t="s">
        <v>5256</v>
      </c>
      <c r="F1160" s="207" t="s">
        <v>5257</v>
      </c>
      <c r="G1160" s="208" t="s">
        <v>1444</v>
      </c>
    </row>
    <row r="1161">
      <c r="A1161" s="207">
        <f t="shared" si="4"/>
        <v>1160</v>
      </c>
      <c r="B1161" s="207" t="s">
        <v>5259</v>
      </c>
      <c r="C1161" s="207" t="s">
        <v>5260</v>
      </c>
      <c r="D1161" s="207" t="s">
        <v>5261</v>
      </c>
      <c r="E1161" s="207" t="s">
        <v>5262</v>
      </c>
      <c r="F1161" s="207" t="s">
        <v>5263</v>
      </c>
      <c r="G1161" s="208" t="s">
        <v>1444</v>
      </c>
    </row>
    <row r="1162">
      <c r="A1162" s="207">
        <f t="shared" si="4"/>
        <v>1161</v>
      </c>
      <c r="B1162" s="207" t="s">
        <v>5265</v>
      </c>
      <c r="C1162" s="207" t="s">
        <v>5266</v>
      </c>
      <c r="D1162" s="207" t="s">
        <v>5267</v>
      </c>
      <c r="E1162" s="207" t="s">
        <v>5268</v>
      </c>
      <c r="F1162" s="207" t="s">
        <v>5269</v>
      </c>
      <c r="G1162" s="208" t="s">
        <v>1444</v>
      </c>
    </row>
    <row r="1163">
      <c r="A1163" s="207">
        <f t="shared" si="4"/>
        <v>1162</v>
      </c>
      <c r="B1163" s="207" t="s">
        <v>5271</v>
      </c>
      <c r="C1163" s="207" t="s">
        <v>5272</v>
      </c>
      <c r="D1163" s="207" t="s">
        <v>5273</v>
      </c>
      <c r="E1163" s="207" t="s">
        <v>5274</v>
      </c>
      <c r="F1163" s="207" t="s">
        <v>5275</v>
      </c>
      <c r="G1163" s="208" t="s">
        <v>1444</v>
      </c>
    </row>
    <row r="1164">
      <c r="A1164" s="207">
        <f t="shared" si="4"/>
        <v>1163</v>
      </c>
      <c r="B1164" s="207" t="s">
        <v>5276</v>
      </c>
      <c r="C1164" s="207" t="s">
        <v>218</v>
      </c>
      <c r="D1164" s="207" t="s">
        <v>5278</v>
      </c>
      <c r="E1164" s="207" t="s">
        <v>1014</v>
      </c>
      <c r="F1164" s="207">
        <v>306.0</v>
      </c>
      <c r="G1164" s="207" t="s">
        <v>562</v>
      </c>
    </row>
    <row r="1165">
      <c r="A1165" s="207">
        <f t="shared" si="4"/>
        <v>1164</v>
      </c>
      <c r="B1165" s="207" t="s">
        <v>5279</v>
      </c>
      <c r="C1165" s="207" t="s">
        <v>5280</v>
      </c>
      <c r="D1165" s="207" t="s">
        <v>5282</v>
      </c>
      <c r="E1165" s="207" t="s">
        <v>5283</v>
      </c>
      <c r="F1165" s="207" t="s">
        <v>5284</v>
      </c>
      <c r="G1165" s="208" t="s">
        <v>1444</v>
      </c>
    </row>
    <row r="1166">
      <c r="A1166" s="207">
        <f t="shared" si="4"/>
        <v>1165</v>
      </c>
      <c r="B1166" s="207" t="s">
        <v>5285</v>
      </c>
      <c r="C1166" s="207" t="s">
        <v>218</v>
      </c>
      <c r="D1166" s="207" t="s">
        <v>5286</v>
      </c>
      <c r="E1166" s="207" t="s">
        <v>5288</v>
      </c>
      <c r="F1166" s="207" t="s">
        <v>5289</v>
      </c>
      <c r="G1166" s="208" t="s">
        <v>1444</v>
      </c>
    </row>
    <row r="1167">
      <c r="A1167" s="207">
        <f t="shared" si="4"/>
        <v>1166</v>
      </c>
      <c r="B1167" s="207" t="s">
        <v>5290</v>
      </c>
      <c r="C1167" s="207" t="s">
        <v>5291</v>
      </c>
      <c r="D1167" s="207" t="s">
        <v>5292</v>
      </c>
      <c r="E1167" s="207" t="s">
        <v>5293</v>
      </c>
      <c r="F1167" s="207" t="s">
        <v>5294</v>
      </c>
      <c r="G1167" s="208" t="s">
        <v>1444</v>
      </c>
    </row>
    <row r="1168">
      <c r="A1168" s="207">
        <f t="shared" si="4"/>
        <v>1167</v>
      </c>
      <c r="B1168" s="207" t="s">
        <v>5296</v>
      </c>
      <c r="C1168" s="207" t="s">
        <v>5297</v>
      </c>
      <c r="D1168" s="207" t="s">
        <v>5298</v>
      </c>
      <c r="E1168" s="207" t="s">
        <v>5299</v>
      </c>
      <c r="F1168" s="207" t="s">
        <v>5300</v>
      </c>
      <c r="G1168" s="208" t="s">
        <v>1444</v>
      </c>
    </row>
    <row r="1169">
      <c r="A1169" s="207">
        <f t="shared" si="4"/>
        <v>1168</v>
      </c>
      <c r="B1169" s="207" t="s">
        <v>5302</v>
      </c>
      <c r="C1169" s="207" t="s">
        <v>5303</v>
      </c>
      <c r="D1169" s="207" t="s">
        <v>5304</v>
      </c>
      <c r="E1169" s="207" t="s">
        <v>5305</v>
      </c>
      <c r="F1169" s="207" t="s">
        <v>5306</v>
      </c>
      <c r="G1169" s="208" t="s">
        <v>1444</v>
      </c>
    </row>
    <row r="1170">
      <c r="A1170" s="207">
        <f t="shared" si="4"/>
        <v>1169</v>
      </c>
      <c r="B1170" s="207" t="s">
        <v>5307</v>
      </c>
      <c r="C1170" s="207" t="s">
        <v>5308</v>
      </c>
      <c r="D1170" s="207" t="s">
        <v>5310</v>
      </c>
      <c r="E1170" s="207" t="s">
        <v>5311</v>
      </c>
      <c r="F1170" s="207" t="s">
        <v>5312</v>
      </c>
      <c r="G1170" s="208" t="s">
        <v>1444</v>
      </c>
    </row>
    <row r="1171">
      <c r="A1171" s="207">
        <f t="shared" si="4"/>
        <v>1170</v>
      </c>
      <c r="B1171" s="207" t="s">
        <v>5313</v>
      </c>
      <c r="C1171" s="207" t="s">
        <v>5314</v>
      </c>
      <c r="D1171" s="207" t="s">
        <v>5315</v>
      </c>
      <c r="E1171" s="207" t="s">
        <v>5317</v>
      </c>
      <c r="F1171" s="207" t="s">
        <v>5318</v>
      </c>
      <c r="G1171" s="229" t="s">
        <v>5319</v>
      </c>
    </row>
    <row r="1172">
      <c r="A1172" s="207">
        <f t="shared" si="4"/>
        <v>1171</v>
      </c>
      <c r="B1172" s="207" t="s">
        <v>5321</v>
      </c>
      <c r="C1172" s="207" t="s">
        <v>5322</v>
      </c>
      <c r="D1172" s="207" t="s">
        <v>5324</v>
      </c>
      <c r="E1172" s="207" t="s">
        <v>5325</v>
      </c>
      <c r="F1172" s="207" t="s">
        <v>5326</v>
      </c>
      <c r="G1172" s="208" t="s">
        <v>1444</v>
      </c>
    </row>
    <row r="1173">
      <c r="A1173" s="207">
        <f t="shared" si="4"/>
        <v>1172</v>
      </c>
      <c r="B1173" s="207" t="s">
        <v>5327</v>
      </c>
      <c r="C1173" s="207" t="s">
        <v>5328</v>
      </c>
      <c r="D1173" s="207" t="s">
        <v>5329</v>
      </c>
      <c r="E1173" s="207" t="s">
        <v>5330</v>
      </c>
      <c r="F1173" s="207" t="s">
        <v>5331</v>
      </c>
      <c r="G1173" s="208" t="s">
        <v>1444</v>
      </c>
    </row>
    <row r="1174">
      <c r="A1174" s="207">
        <f t="shared" si="4"/>
        <v>1173</v>
      </c>
      <c r="B1174" s="207" t="s">
        <v>5333</v>
      </c>
      <c r="C1174" s="207" t="s">
        <v>5334</v>
      </c>
      <c r="D1174" s="207" t="s">
        <v>5335</v>
      </c>
      <c r="E1174" s="207" t="s">
        <v>5336</v>
      </c>
      <c r="F1174" s="207" t="s">
        <v>2524</v>
      </c>
      <c r="G1174" s="208" t="s">
        <v>1444</v>
      </c>
    </row>
    <row r="1175">
      <c r="A1175" s="207">
        <f t="shared" si="4"/>
        <v>1174</v>
      </c>
      <c r="B1175" s="207" t="s">
        <v>5338</v>
      </c>
      <c r="C1175" s="207" t="s">
        <v>5339</v>
      </c>
      <c r="D1175" s="207" t="s">
        <v>5340</v>
      </c>
      <c r="E1175" s="207" t="s">
        <v>5341</v>
      </c>
      <c r="F1175" s="207" t="s">
        <v>5342</v>
      </c>
      <c r="G1175" s="208" t="s">
        <v>1444</v>
      </c>
    </row>
    <row r="1176">
      <c r="A1176" s="207">
        <f t="shared" si="4"/>
        <v>1175</v>
      </c>
      <c r="B1176" s="207" t="s">
        <v>5344</v>
      </c>
      <c r="C1176" s="207" t="s">
        <v>5345</v>
      </c>
      <c r="D1176" s="207" t="s">
        <v>4053</v>
      </c>
      <c r="E1176" s="207" t="s">
        <v>5346</v>
      </c>
      <c r="F1176" s="207" t="s">
        <v>5347</v>
      </c>
      <c r="G1176" s="208" t="s">
        <v>1444</v>
      </c>
    </row>
    <row r="1177">
      <c r="A1177" s="207">
        <f t="shared" si="4"/>
        <v>1176</v>
      </c>
      <c r="B1177" s="207" t="s">
        <v>5348</v>
      </c>
      <c r="C1177" s="207" t="s">
        <v>5350</v>
      </c>
      <c r="D1177" s="207" t="s">
        <v>3199</v>
      </c>
      <c r="E1177" s="207">
        <v>119.0</v>
      </c>
      <c r="F1177" s="207" t="s">
        <v>5351</v>
      </c>
      <c r="G1177" s="208" t="s">
        <v>1444</v>
      </c>
    </row>
    <row r="1178">
      <c r="A1178" s="207">
        <f t="shared" si="4"/>
        <v>1177</v>
      </c>
      <c r="B1178" s="207">
        <v>331.0</v>
      </c>
      <c r="C1178" s="207" t="s">
        <v>5352</v>
      </c>
      <c r="D1178" s="207" t="s">
        <v>5354</v>
      </c>
      <c r="E1178" s="207" t="s">
        <v>5355</v>
      </c>
      <c r="F1178" s="207">
        <v>331.0</v>
      </c>
      <c r="G1178" s="208" t="s">
        <v>1444</v>
      </c>
    </row>
    <row r="1179">
      <c r="A1179" s="207">
        <f t="shared" si="4"/>
        <v>1178</v>
      </c>
      <c r="B1179" s="207" t="s">
        <v>5356</v>
      </c>
      <c r="C1179" s="207" t="s">
        <v>5357</v>
      </c>
      <c r="D1179" s="207" t="s">
        <v>5358</v>
      </c>
      <c r="E1179" s="207" t="s">
        <v>5359</v>
      </c>
      <c r="F1179" s="207" t="s">
        <v>5361</v>
      </c>
      <c r="G1179" s="208" t="s">
        <v>1444</v>
      </c>
    </row>
    <row r="1180">
      <c r="A1180" s="207">
        <f t="shared" si="4"/>
        <v>1179</v>
      </c>
      <c r="B1180" s="207">
        <v>462.0</v>
      </c>
      <c r="C1180" s="206" t="s">
        <v>5362</v>
      </c>
      <c r="D1180" s="207" t="s">
        <v>451</v>
      </c>
      <c r="E1180" s="230" t="s">
        <v>5045</v>
      </c>
      <c r="F1180" s="207" t="s">
        <v>5364</v>
      </c>
      <c r="G1180" s="231" t="s">
        <v>5365</v>
      </c>
    </row>
    <row r="1181">
      <c r="A1181" s="207">
        <f t="shared" si="4"/>
        <v>1180</v>
      </c>
      <c r="B1181" s="207" t="s">
        <v>5367</v>
      </c>
      <c r="C1181" s="206" t="s">
        <v>5368</v>
      </c>
      <c r="D1181" s="207" t="s">
        <v>5369</v>
      </c>
      <c r="E1181" s="207" t="s">
        <v>5371</v>
      </c>
      <c r="F1181" s="207" t="s">
        <v>5372</v>
      </c>
      <c r="G1181" s="208" t="s">
        <v>1444</v>
      </c>
    </row>
    <row r="1182">
      <c r="A1182" s="207">
        <f t="shared" si="4"/>
        <v>1181</v>
      </c>
      <c r="B1182" s="207" t="s">
        <v>5373</v>
      </c>
      <c r="C1182" s="206" t="s">
        <v>5374</v>
      </c>
      <c r="D1182" s="207" t="s">
        <v>5375</v>
      </c>
      <c r="E1182" s="207" t="s">
        <v>5376</v>
      </c>
      <c r="F1182" s="207" t="s">
        <v>5377</v>
      </c>
      <c r="G1182" s="208" t="s">
        <v>1444</v>
      </c>
    </row>
    <row r="1183">
      <c r="A1183" s="207">
        <f t="shared" si="4"/>
        <v>1182</v>
      </c>
      <c r="B1183" s="207">
        <v>152.0</v>
      </c>
      <c r="C1183" s="206" t="s">
        <v>5379</v>
      </c>
      <c r="D1183" s="207" t="s">
        <v>1758</v>
      </c>
      <c r="E1183" s="207" t="s">
        <v>5380</v>
      </c>
      <c r="F1183" s="207">
        <v>520.0</v>
      </c>
      <c r="G1183" s="208" t="s">
        <v>1444</v>
      </c>
    </row>
    <row r="1184">
      <c r="A1184" s="207">
        <f t="shared" si="4"/>
        <v>1183</v>
      </c>
      <c r="B1184" s="207" t="s">
        <v>2175</v>
      </c>
      <c r="C1184" s="206" t="s">
        <v>5382</v>
      </c>
      <c r="D1184" s="207" t="s">
        <v>5383</v>
      </c>
      <c r="E1184" s="207" t="s">
        <v>1914</v>
      </c>
      <c r="F1184" s="207" t="s">
        <v>5384</v>
      </c>
      <c r="G1184" s="232" t="s">
        <v>5385</v>
      </c>
    </row>
    <row r="1185">
      <c r="A1185" s="207">
        <f t="shared" si="4"/>
        <v>1184</v>
      </c>
      <c r="B1185" s="207" t="s">
        <v>5387</v>
      </c>
      <c r="C1185" s="206" t="s">
        <v>5388</v>
      </c>
      <c r="D1185" s="207" t="s">
        <v>5389</v>
      </c>
      <c r="E1185" s="207" t="s">
        <v>5391</v>
      </c>
      <c r="F1185" s="207">
        <v>328.0</v>
      </c>
      <c r="G1185" s="207" t="s">
        <v>562</v>
      </c>
    </row>
    <row r="1186">
      <c r="A1186" s="207">
        <f t="shared" si="4"/>
        <v>1185</v>
      </c>
      <c r="B1186" s="207" t="s">
        <v>5392</v>
      </c>
      <c r="C1186" s="206" t="s">
        <v>5393</v>
      </c>
      <c r="D1186" s="207" t="s">
        <v>5394</v>
      </c>
      <c r="E1186" s="207" t="s">
        <v>5395</v>
      </c>
      <c r="F1186" s="207">
        <v>584.0</v>
      </c>
      <c r="G1186" s="208" t="s">
        <v>1444</v>
      </c>
    </row>
    <row r="1187">
      <c r="A1187" s="207">
        <f t="shared" si="4"/>
        <v>1186</v>
      </c>
      <c r="B1187" s="207" t="s">
        <v>5397</v>
      </c>
      <c r="C1187" s="206" t="s">
        <v>5398</v>
      </c>
      <c r="D1187" s="207" t="s">
        <v>5399</v>
      </c>
      <c r="E1187" s="207" t="s">
        <v>5400</v>
      </c>
      <c r="F1187" s="207" t="s">
        <v>5401</v>
      </c>
      <c r="G1187" s="208" t="s">
        <v>1444</v>
      </c>
    </row>
    <row r="1188">
      <c r="A1188" s="207">
        <f t="shared" si="4"/>
        <v>1187</v>
      </c>
      <c r="B1188" s="207">
        <v>308.0</v>
      </c>
      <c r="C1188" s="207" t="s">
        <v>5403</v>
      </c>
      <c r="D1188" s="207" t="s">
        <v>5404</v>
      </c>
      <c r="E1188" s="207" t="s">
        <v>5405</v>
      </c>
      <c r="F1188" s="207">
        <v>308.0</v>
      </c>
      <c r="G1188" s="208" t="s">
        <v>1444</v>
      </c>
    </row>
    <row r="1189">
      <c r="A1189" s="207">
        <f t="shared" si="4"/>
        <v>1188</v>
      </c>
      <c r="B1189" s="207" t="s">
        <v>5407</v>
      </c>
      <c r="C1189" s="207" t="s">
        <v>5408</v>
      </c>
      <c r="D1189" s="207" t="s">
        <v>2994</v>
      </c>
      <c r="E1189" s="207" t="s">
        <v>5409</v>
      </c>
      <c r="F1189" s="207" t="s">
        <v>5410</v>
      </c>
      <c r="G1189" s="208" t="s">
        <v>1444</v>
      </c>
    </row>
    <row r="1190">
      <c r="A1190" s="207">
        <f t="shared" si="4"/>
        <v>1189</v>
      </c>
      <c r="B1190" s="207" t="s">
        <v>5412</v>
      </c>
      <c r="C1190" s="207" t="s">
        <v>218</v>
      </c>
      <c r="D1190" s="207" t="s">
        <v>451</v>
      </c>
      <c r="E1190" s="207" t="s">
        <v>5413</v>
      </c>
      <c r="F1190" s="207" t="s">
        <v>5414</v>
      </c>
      <c r="G1190" s="208" t="s">
        <v>1444</v>
      </c>
    </row>
    <row r="1191">
      <c r="A1191" s="207">
        <f t="shared" si="4"/>
        <v>1190</v>
      </c>
      <c r="B1191" s="207" t="s">
        <v>5416</v>
      </c>
      <c r="C1191" s="207" t="s">
        <v>5417</v>
      </c>
      <c r="D1191" s="207" t="s">
        <v>5418</v>
      </c>
      <c r="E1191" s="207" t="s">
        <v>5419</v>
      </c>
      <c r="F1191" s="207" t="s">
        <v>5420</v>
      </c>
      <c r="G1191" s="208" t="s">
        <v>1444</v>
      </c>
    </row>
    <row r="1192">
      <c r="A1192" s="207">
        <f t="shared" si="4"/>
        <v>1191</v>
      </c>
      <c r="B1192" s="207" t="s">
        <v>5421</v>
      </c>
      <c r="C1192" s="207" t="s">
        <v>5423</v>
      </c>
      <c r="D1192" s="207" t="s">
        <v>5424</v>
      </c>
      <c r="E1192" s="207" t="s">
        <v>5425</v>
      </c>
      <c r="F1192" s="207" t="s">
        <v>5426</v>
      </c>
      <c r="G1192" s="208" t="s">
        <v>1444</v>
      </c>
    </row>
    <row r="1193">
      <c r="A1193" s="207">
        <f t="shared" si="4"/>
        <v>1192</v>
      </c>
      <c r="B1193" s="207" t="s">
        <v>5427</v>
      </c>
      <c r="C1193" s="207" t="s">
        <v>5428</v>
      </c>
      <c r="D1193" s="207" t="s">
        <v>5430</v>
      </c>
      <c r="E1193" s="207" t="s">
        <v>5431</v>
      </c>
      <c r="F1193" s="207" t="s">
        <v>5432</v>
      </c>
      <c r="G1193" s="208" t="s">
        <v>1444</v>
      </c>
    </row>
    <row r="1194">
      <c r="A1194" s="207">
        <f t="shared" si="4"/>
        <v>1193</v>
      </c>
      <c r="B1194" s="207">
        <v>467.0</v>
      </c>
      <c r="C1194" s="207" t="s">
        <v>5433</v>
      </c>
      <c r="D1194" s="207" t="s">
        <v>451</v>
      </c>
      <c r="E1194" s="207" t="s">
        <v>3395</v>
      </c>
      <c r="F1194" s="207" t="s">
        <v>5435</v>
      </c>
      <c r="G1194" s="208" t="s">
        <v>1444</v>
      </c>
    </row>
    <row r="1195">
      <c r="A1195" s="207">
        <f t="shared" si="4"/>
        <v>1194</v>
      </c>
      <c r="B1195" s="207" t="s">
        <v>5436</v>
      </c>
      <c r="C1195" s="207" t="s">
        <v>5437</v>
      </c>
      <c r="D1195" s="207" t="s">
        <v>5438</v>
      </c>
      <c r="E1195" s="207" t="s">
        <v>5439</v>
      </c>
      <c r="F1195" s="207" t="s">
        <v>5440</v>
      </c>
      <c r="G1195" s="208" t="s">
        <v>1444</v>
      </c>
    </row>
    <row r="1196">
      <c r="A1196" s="207">
        <f t="shared" si="4"/>
        <v>1195</v>
      </c>
      <c r="B1196" s="207" t="s">
        <v>2572</v>
      </c>
      <c r="C1196" s="207" t="s">
        <v>218</v>
      </c>
      <c r="D1196" s="207" t="s">
        <v>5442</v>
      </c>
      <c r="E1196" s="207" t="s">
        <v>5443</v>
      </c>
      <c r="F1196" s="207" t="s">
        <v>5444</v>
      </c>
      <c r="G1196" s="208" t="s">
        <v>1444</v>
      </c>
    </row>
    <row r="1197">
      <c r="A1197" s="207">
        <f t="shared" si="4"/>
        <v>1196</v>
      </c>
      <c r="B1197" s="207" t="s">
        <v>5446</v>
      </c>
      <c r="C1197" s="207" t="s">
        <v>218</v>
      </c>
      <c r="D1197" s="207" t="s">
        <v>5447</v>
      </c>
      <c r="E1197" s="207" t="s">
        <v>5448</v>
      </c>
      <c r="F1197" s="207" t="s">
        <v>5450</v>
      </c>
      <c r="G1197" s="208" t="s">
        <v>1444</v>
      </c>
    </row>
    <row r="1198">
      <c r="A1198" s="207">
        <f t="shared" si="4"/>
        <v>1197</v>
      </c>
      <c r="B1198" s="207" t="s">
        <v>5451</v>
      </c>
      <c r="C1198" s="207" t="s">
        <v>5452</v>
      </c>
      <c r="D1198" s="207" t="s">
        <v>5453</v>
      </c>
      <c r="E1198" s="207" t="s">
        <v>5454</v>
      </c>
      <c r="F1198" s="207" t="s">
        <v>5455</v>
      </c>
      <c r="G1198" s="208" t="s">
        <v>1444</v>
      </c>
    </row>
    <row r="1199">
      <c r="A1199" s="207">
        <f t="shared" si="4"/>
        <v>1198</v>
      </c>
      <c r="B1199" s="207" t="s">
        <v>5457</v>
      </c>
      <c r="C1199" s="207" t="s">
        <v>5458</v>
      </c>
      <c r="D1199" s="207" t="s">
        <v>5459</v>
      </c>
      <c r="E1199" s="207" t="s">
        <v>5460</v>
      </c>
      <c r="F1199" s="207" t="s">
        <v>5461</v>
      </c>
      <c r="G1199" s="208" t="s">
        <v>1444</v>
      </c>
    </row>
    <row r="1200">
      <c r="A1200" s="207">
        <f t="shared" si="4"/>
        <v>1199</v>
      </c>
      <c r="B1200" s="207" t="s">
        <v>5463</v>
      </c>
      <c r="C1200" s="207" t="s">
        <v>5464</v>
      </c>
      <c r="D1200" s="207" t="s">
        <v>5465</v>
      </c>
      <c r="E1200" s="207" t="s">
        <v>5466</v>
      </c>
      <c r="F1200" s="207" t="s">
        <v>5467</v>
      </c>
      <c r="G1200" s="208" t="s">
        <v>1444</v>
      </c>
    </row>
    <row r="1201">
      <c r="A1201" s="207">
        <f t="shared" si="4"/>
        <v>1200</v>
      </c>
      <c r="B1201" s="207" t="s">
        <v>5469</v>
      </c>
      <c r="C1201" s="207" t="s">
        <v>218</v>
      </c>
      <c r="D1201" s="207" t="s">
        <v>5470</v>
      </c>
      <c r="E1201" s="207" t="s">
        <v>5471</v>
      </c>
      <c r="F1201" s="207" t="s">
        <v>5472</v>
      </c>
      <c r="G1201" s="208" t="s">
        <v>1444</v>
      </c>
    </row>
    <row r="1202">
      <c r="A1202" s="207">
        <f t="shared" si="4"/>
        <v>1201</v>
      </c>
      <c r="B1202" s="207" t="s">
        <v>5474</v>
      </c>
      <c r="C1202" s="207" t="s">
        <v>218</v>
      </c>
      <c r="D1202" s="207" t="s">
        <v>5475</v>
      </c>
      <c r="E1202" s="207" t="s">
        <v>5476</v>
      </c>
      <c r="F1202" s="207" t="s">
        <v>5477</v>
      </c>
      <c r="G1202" s="208" t="s">
        <v>1444</v>
      </c>
    </row>
    <row r="1203">
      <c r="A1203" s="207">
        <f t="shared" si="4"/>
        <v>1202</v>
      </c>
      <c r="B1203" s="207" t="s">
        <v>5479</v>
      </c>
      <c r="C1203" s="207" t="s">
        <v>5480</v>
      </c>
      <c r="D1203" s="207" t="s">
        <v>5481</v>
      </c>
      <c r="E1203" s="207" t="s">
        <v>5482</v>
      </c>
      <c r="F1203" s="207" t="s">
        <v>5483</v>
      </c>
      <c r="G1203" s="208" t="s">
        <v>1444</v>
      </c>
    </row>
    <row r="1204">
      <c r="A1204" s="207">
        <f t="shared" si="4"/>
        <v>1203</v>
      </c>
      <c r="B1204" s="207" t="s">
        <v>4119</v>
      </c>
      <c r="C1204" s="207" t="s">
        <v>4195</v>
      </c>
      <c r="D1204" s="207" t="s">
        <v>5485</v>
      </c>
      <c r="E1204" s="207" t="s">
        <v>5486</v>
      </c>
      <c r="F1204" s="207" t="s">
        <v>5487</v>
      </c>
      <c r="G1204" s="208" t="s">
        <v>1444</v>
      </c>
    </row>
    <row r="1205">
      <c r="A1205" s="207">
        <f t="shared" si="4"/>
        <v>1204</v>
      </c>
      <c r="B1205" s="207" t="s">
        <v>5488</v>
      </c>
      <c r="C1205" s="207" t="s">
        <v>5489</v>
      </c>
      <c r="D1205" s="207" t="s">
        <v>5491</v>
      </c>
      <c r="E1205" s="207" t="s">
        <v>5492</v>
      </c>
      <c r="F1205" s="207" t="s">
        <v>5493</v>
      </c>
      <c r="G1205" s="208" t="s">
        <v>1444</v>
      </c>
    </row>
    <row r="1206">
      <c r="A1206" s="207">
        <f t="shared" si="4"/>
        <v>1205</v>
      </c>
      <c r="B1206" s="207" t="s">
        <v>5494</v>
      </c>
      <c r="C1206" s="206" t="s">
        <v>5495</v>
      </c>
      <c r="D1206" s="207" t="s">
        <v>5496</v>
      </c>
      <c r="E1206" s="207" t="s">
        <v>5498</v>
      </c>
      <c r="F1206" s="207" t="s">
        <v>5499</v>
      </c>
      <c r="G1206" s="208" t="s">
        <v>1444</v>
      </c>
    </row>
    <row r="1207">
      <c r="A1207" s="207">
        <f t="shared" si="4"/>
        <v>1206</v>
      </c>
      <c r="B1207" s="207" t="s">
        <v>532</v>
      </c>
      <c r="C1207" s="207" t="s">
        <v>5500</v>
      </c>
      <c r="D1207" s="207" t="s">
        <v>5501</v>
      </c>
      <c r="E1207" s="207" t="s">
        <v>5502</v>
      </c>
      <c r="F1207" s="207" t="s">
        <v>5503</v>
      </c>
      <c r="G1207" s="208" t="s">
        <v>1444</v>
      </c>
    </row>
    <row r="1208">
      <c r="A1208" s="207">
        <f t="shared" si="4"/>
        <v>1207</v>
      </c>
      <c r="B1208" s="207" t="s">
        <v>5505</v>
      </c>
      <c r="C1208" s="207" t="s">
        <v>5506</v>
      </c>
      <c r="D1208" s="207" t="s">
        <v>5507</v>
      </c>
      <c r="E1208" s="207" t="s">
        <v>5508</v>
      </c>
      <c r="F1208" s="207" t="s">
        <v>5509</v>
      </c>
      <c r="G1208" s="208" t="s">
        <v>1444</v>
      </c>
    </row>
    <row r="1209">
      <c r="A1209" s="207">
        <f t="shared" si="4"/>
        <v>1208</v>
      </c>
      <c r="B1209" s="207" t="s">
        <v>5511</v>
      </c>
      <c r="C1209" s="207" t="s">
        <v>5512</v>
      </c>
      <c r="D1209" s="207" t="s">
        <v>5513</v>
      </c>
      <c r="E1209" s="207" t="s">
        <v>5514</v>
      </c>
      <c r="F1209" s="207" t="s">
        <v>5515</v>
      </c>
      <c r="G1209" s="208" t="s">
        <v>1444</v>
      </c>
    </row>
    <row r="1210" hidden="1">
      <c r="A1210" s="207">
        <f t="shared" si="4"/>
        <v>1209</v>
      </c>
      <c r="B1210" s="209" t="s">
        <v>216</v>
      </c>
      <c r="C1210" s="209" t="s">
        <v>216</v>
      </c>
      <c r="D1210" s="209" t="s">
        <v>216</v>
      </c>
      <c r="E1210" s="209" t="s">
        <v>216</v>
      </c>
      <c r="F1210" s="209" t="s">
        <v>216</v>
      </c>
      <c r="G1210" s="209" t="s">
        <v>488</v>
      </c>
    </row>
    <row r="1211">
      <c r="A1211" s="207">
        <f t="shared" si="4"/>
        <v>1210</v>
      </c>
      <c r="B1211" s="207" t="s">
        <v>5518</v>
      </c>
      <c r="C1211" s="207" t="s">
        <v>5519</v>
      </c>
      <c r="D1211" s="207" t="s">
        <v>5520</v>
      </c>
      <c r="E1211" s="207" t="s">
        <v>5521</v>
      </c>
      <c r="F1211" s="207" t="s">
        <v>5522</v>
      </c>
      <c r="G1211" s="208" t="s">
        <v>1444</v>
      </c>
    </row>
    <row r="1212">
      <c r="A1212" s="207">
        <f t="shared" si="4"/>
        <v>1211</v>
      </c>
      <c r="B1212" s="207" t="s">
        <v>5524</v>
      </c>
      <c r="C1212" s="207" t="s">
        <v>5525</v>
      </c>
      <c r="D1212" s="207" t="s">
        <v>451</v>
      </c>
      <c r="E1212" s="207" t="s">
        <v>5526</v>
      </c>
      <c r="F1212" s="207">
        <v>946.0</v>
      </c>
      <c r="G1212" s="208" t="s">
        <v>1444</v>
      </c>
    </row>
    <row r="1213">
      <c r="A1213" s="215"/>
      <c r="B1213" s="215"/>
      <c r="C1213" s="215"/>
      <c r="D1213" s="215"/>
      <c r="E1213" s="215"/>
      <c r="F1213" s="215"/>
      <c r="G1213" s="233"/>
    </row>
    <row r="1214">
      <c r="A1214" s="215"/>
      <c r="B1214" s="215"/>
      <c r="C1214" s="215"/>
      <c r="D1214" s="215"/>
      <c r="E1214" s="215"/>
      <c r="F1214" s="215"/>
      <c r="G1214" s="233"/>
    </row>
    <row r="1215">
      <c r="A1215" s="215"/>
      <c r="B1215" s="215"/>
      <c r="C1215" s="215"/>
      <c r="D1215" s="215"/>
      <c r="E1215" s="215"/>
      <c r="F1215" s="215"/>
      <c r="G1215" s="233"/>
    </row>
    <row r="1216">
      <c r="A1216" s="215"/>
      <c r="B1216" s="215"/>
      <c r="C1216" s="215"/>
      <c r="D1216" s="215"/>
      <c r="E1216" s="215"/>
      <c r="F1216" s="215"/>
      <c r="G1216" s="233"/>
    </row>
    <row r="1217">
      <c r="A1217" s="215"/>
      <c r="B1217" s="215"/>
      <c r="C1217" s="215"/>
      <c r="D1217" s="215"/>
      <c r="E1217" s="215"/>
      <c r="F1217" s="215"/>
      <c r="G1217" s="233"/>
    </row>
    <row r="1218">
      <c r="A1218" s="215"/>
      <c r="B1218" s="215"/>
      <c r="C1218" s="215"/>
      <c r="D1218" s="215"/>
      <c r="E1218" s="215"/>
      <c r="F1218" s="215"/>
      <c r="G1218" s="233"/>
    </row>
    <row r="1219">
      <c r="A1219" s="215"/>
      <c r="B1219" s="215"/>
      <c r="C1219" s="215"/>
      <c r="D1219" s="215"/>
      <c r="E1219" s="215"/>
      <c r="F1219" s="215"/>
      <c r="G1219" s="233"/>
    </row>
    <row r="1220">
      <c r="A1220" s="215"/>
      <c r="B1220" s="215"/>
      <c r="C1220" s="215"/>
      <c r="D1220" s="215"/>
      <c r="E1220" s="215"/>
      <c r="F1220" s="215"/>
      <c r="G1220" s="233"/>
    </row>
    <row r="1221">
      <c r="A1221" s="215"/>
      <c r="B1221" s="215"/>
      <c r="C1221" s="215"/>
      <c r="D1221" s="215"/>
      <c r="E1221" s="215"/>
      <c r="F1221" s="215"/>
      <c r="G1221" s="233"/>
    </row>
    <row r="1222">
      <c r="A1222" s="215"/>
      <c r="B1222" s="215"/>
      <c r="C1222" s="215"/>
      <c r="D1222" s="215"/>
      <c r="E1222" s="215"/>
      <c r="F1222" s="215"/>
      <c r="G1222" s="233"/>
    </row>
    <row r="1223">
      <c r="A1223" s="215"/>
      <c r="B1223" s="215"/>
      <c r="C1223" s="215"/>
      <c r="D1223" s="215"/>
      <c r="E1223" s="215"/>
      <c r="F1223" s="215"/>
      <c r="G1223" s="233"/>
    </row>
    <row r="1224">
      <c r="A1224" s="215"/>
      <c r="B1224" s="215"/>
      <c r="C1224" s="215"/>
      <c r="D1224" s="215"/>
      <c r="E1224" s="215"/>
      <c r="F1224" s="215"/>
      <c r="G1224" s="233"/>
    </row>
    <row r="1225">
      <c r="A1225" s="215"/>
      <c r="B1225" s="215"/>
      <c r="C1225" s="215"/>
      <c r="D1225" s="215"/>
      <c r="E1225" s="215"/>
      <c r="F1225" s="215"/>
      <c r="G1225" s="233"/>
    </row>
    <row r="1226">
      <c r="A1226" s="215"/>
      <c r="B1226" s="215"/>
      <c r="C1226" s="215"/>
      <c r="D1226" s="215"/>
      <c r="E1226" s="215"/>
      <c r="F1226" s="215"/>
      <c r="G1226" s="233"/>
    </row>
    <row r="1227">
      <c r="A1227" s="215"/>
      <c r="B1227" s="215"/>
      <c r="C1227" s="215"/>
      <c r="D1227" s="215"/>
      <c r="E1227" s="215"/>
      <c r="F1227" s="215"/>
      <c r="G1227" s="233"/>
    </row>
    <row r="1228">
      <c r="A1228" s="215"/>
      <c r="B1228" s="215"/>
      <c r="C1228" s="215"/>
      <c r="D1228" s="215"/>
      <c r="E1228" s="215"/>
      <c r="F1228" s="215"/>
      <c r="G1228" s="233"/>
    </row>
    <row r="1229">
      <c r="A1229" s="215"/>
      <c r="B1229" s="215"/>
      <c r="C1229" s="215"/>
      <c r="D1229" s="215"/>
      <c r="E1229" s="215"/>
      <c r="F1229" s="215"/>
      <c r="G1229" s="233"/>
    </row>
    <row r="1230">
      <c r="A1230" s="215"/>
      <c r="B1230" s="215"/>
      <c r="C1230" s="215"/>
      <c r="D1230" s="215"/>
      <c r="E1230" s="215"/>
      <c r="F1230" s="215"/>
      <c r="G1230" s="233"/>
    </row>
    <row r="1231">
      <c r="A1231" s="215"/>
      <c r="B1231" s="215"/>
      <c r="C1231" s="215"/>
      <c r="D1231" s="215"/>
      <c r="E1231" s="215"/>
      <c r="F1231" s="215"/>
      <c r="G1231" s="233"/>
    </row>
    <row r="1232">
      <c r="A1232" s="215"/>
      <c r="B1232" s="215"/>
      <c r="C1232" s="215"/>
      <c r="D1232" s="215"/>
      <c r="E1232" s="215"/>
      <c r="F1232" s="215"/>
      <c r="G1232" s="233"/>
    </row>
    <row r="1233">
      <c r="A1233" s="215"/>
      <c r="B1233" s="215"/>
      <c r="C1233" s="215"/>
      <c r="D1233" s="215"/>
      <c r="E1233" s="215"/>
      <c r="F1233" s="215"/>
      <c r="G1233" s="233"/>
    </row>
    <row r="1234">
      <c r="A1234" s="215"/>
      <c r="B1234" s="215"/>
      <c r="C1234" s="215"/>
      <c r="D1234" s="215"/>
      <c r="E1234" s="215"/>
      <c r="F1234" s="215"/>
      <c r="G1234" s="233"/>
    </row>
    <row r="1235">
      <c r="A1235" s="215"/>
      <c r="B1235" s="215"/>
      <c r="C1235" s="215"/>
      <c r="D1235" s="215"/>
      <c r="E1235" s="215"/>
      <c r="F1235" s="215"/>
      <c r="G1235" s="233"/>
    </row>
    <row r="1236">
      <c r="A1236" s="215"/>
      <c r="B1236" s="215"/>
      <c r="C1236" s="215"/>
      <c r="D1236" s="215"/>
      <c r="E1236" s="215"/>
      <c r="F1236" s="215"/>
      <c r="G1236" s="233"/>
    </row>
    <row r="1237">
      <c r="A1237" s="215"/>
      <c r="B1237" s="215"/>
      <c r="C1237" s="215"/>
      <c r="D1237" s="215"/>
      <c r="E1237" s="215"/>
      <c r="F1237" s="215"/>
      <c r="G1237" s="233"/>
    </row>
    <row r="1238">
      <c r="A1238" s="215"/>
      <c r="B1238" s="215"/>
      <c r="C1238" s="215"/>
      <c r="D1238" s="215"/>
      <c r="E1238" s="215"/>
      <c r="F1238" s="215"/>
      <c r="G1238" s="233"/>
    </row>
    <row r="1239">
      <c r="A1239" s="215"/>
      <c r="B1239" s="215"/>
      <c r="C1239" s="215"/>
      <c r="D1239" s="215"/>
      <c r="E1239" s="215"/>
      <c r="F1239" s="215"/>
      <c r="G1239" s="233"/>
    </row>
    <row r="1240">
      <c r="A1240" s="215"/>
      <c r="B1240" s="215"/>
      <c r="C1240" s="215"/>
      <c r="D1240" s="215"/>
      <c r="E1240" s="215"/>
      <c r="F1240" s="215"/>
      <c r="G1240" s="233"/>
    </row>
    <row r="1241">
      <c r="A1241" s="215"/>
      <c r="B1241" s="215"/>
      <c r="C1241" s="215"/>
      <c r="D1241" s="215"/>
      <c r="E1241" s="215"/>
      <c r="F1241" s="215"/>
      <c r="G1241" s="233"/>
    </row>
    <row r="1242">
      <c r="A1242" s="215"/>
      <c r="B1242" s="215"/>
      <c r="C1242" s="215"/>
      <c r="D1242" s="215"/>
      <c r="E1242" s="215"/>
      <c r="F1242" s="215"/>
      <c r="G1242" s="233"/>
    </row>
    <row r="1243">
      <c r="A1243" s="215"/>
      <c r="B1243" s="215"/>
      <c r="C1243" s="215"/>
      <c r="D1243" s="215"/>
      <c r="E1243" s="215"/>
      <c r="F1243" s="215"/>
      <c r="G1243" s="233"/>
    </row>
    <row r="1244">
      <c r="A1244" s="215"/>
      <c r="B1244" s="215"/>
      <c r="C1244" s="215"/>
      <c r="D1244" s="215"/>
      <c r="E1244" s="215"/>
      <c r="F1244" s="215"/>
      <c r="G1244" s="233"/>
    </row>
    <row r="1245">
      <c r="A1245" s="215"/>
      <c r="B1245" s="215"/>
      <c r="C1245" s="215"/>
      <c r="D1245" s="215"/>
      <c r="E1245" s="215"/>
      <c r="F1245" s="215"/>
      <c r="G1245" s="233"/>
    </row>
    <row r="1246">
      <c r="A1246" s="215"/>
      <c r="B1246" s="215"/>
      <c r="C1246" s="215"/>
      <c r="D1246" s="215"/>
      <c r="E1246" s="215"/>
      <c r="F1246" s="215"/>
      <c r="G1246" s="233"/>
    </row>
    <row r="1247">
      <c r="A1247" s="215"/>
      <c r="B1247" s="215"/>
      <c r="C1247" s="215"/>
      <c r="D1247" s="215"/>
      <c r="E1247" s="215"/>
      <c r="F1247" s="215"/>
      <c r="G1247" s="233"/>
    </row>
    <row r="1248">
      <c r="A1248" s="215"/>
      <c r="B1248" s="215"/>
      <c r="C1248" s="215"/>
      <c r="D1248" s="215"/>
      <c r="E1248" s="215"/>
      <c r="F1248" s="215"/>
      <c r="G1248" s="233"/>
    </row>
    <row r="1249">
      <c r="A1249" s="215"/>
      <c r="B1249" s="215"/>
      <c r="C1249" s="215"/>
      <c r="D1249" s="215"/>
      <c r="E1249" s="215"/>
      <c r="F1249" s="215"/>
      <c r="G1249" s="233"/>
    </row>
    <row r="1250">
      <c r="A1250" s="215"/>
      <c r="B1250" s="215"/>
      <c r="C1250" s="215"/>
      <c r="D1250" s="215"/>
      <c r="E1250" s="215"/>
      <c r="F1250" s="215"/>
      <c r="G1250" s="233"/>
    </row>
    <row r="1251">
      <c r="A1251" s="215"/>
      <c r="B1251" s="215"/>
      <c r="C1251" s="215"/>
      <c r="D1251" s="215"/>
      <c r="E1251" s="215"/>
      <c r="F1251" s="215"/>
      <c r="G1251" s="233"/>
    </row>
    <row r="1252">
      <c r="A1252" s="215"/>
      <c r="B1252" s="215"/>
      <c r="C1252" s="215"/>
      <c r="D1252" s="215"/>
      <c r="E1252" s="215"/>
      <c r="F1252" s="215"/>
      <c r="G1252" s="233"/>
    </row>
    <row r="1253">
      <c r="A1253" s="215"/>
      <c r="B1253" s="215"/>
      <c r="C1253" s="215"/>
      <c r="D1253" s="215"/>
      <c r="E1253" s="215"/>
      <c r="F1253" s="215"/>
      <c r="G1253" s="233"/>
    </row>
    <row r="1254">
      <c r="A1254" s="215"/>
      <c r="B1254" s="215"/>
      <c r="C1254" s="215"/>
      <c r="D1254" s="215"/>
      <c r="E1254" s="215"/>
      <c r="F1254" s="215"/>
      <c r="G1254" s="233"/>
    </row>
    <row r="1255">
      <c r="A1255" s="215"/>
      <c r="B1255" s="215"/>
      <c r="C1255" s="215"/>
      <c r="D1255" s="215"/>
      <c r="E1255" s="215"/>
      <c r="F1255" s="215"/>
      <c r="G1255" s="233"/>
    </row>
    <row r="1256">
      <c r="A1256" s="215"/>
      <c r="B1256" s="215"/>
      <c r="C1256" s="215"/>
      <c r="D1256" s="215"/>
      <c r="E1256" s="215"/>
      <c r="F1256" s="215"/>
      <c r="G1256" s="233"/>
    </row>
    <row r="1257">
      <c r="A1257" s="215"/>
      <c r="B1257" s="215"/>
      <c r="C1257" s="215"/>
      <c r="D1257" s="215"/>
      <c r="E1257" s="215"/>
      <c r="F1257" s="215"/>
      <c r="G1257" s="233"/>
    </row>
    <row r="1258">
      <c r="A1258" s="215"/>
      <c r="B1258" s="215"/>
      <c r="C1258" s="215"/>
      <c r="D1258" s="215"/>
      <c r="E1258" s="215"/>
      <c r="F1258" s="215"/>
      <c r="G1258" s="233"/>
    </row>
    <row r="1259">
      <c r="A1259" s="215"/>
      <c r="B1259" s="215"/>
      <c r="C1259" s="215"/>
      <c r="D1259" s="215"/>
      <c r="E1259" s="215"/>
      <c r="F1259" s="215"/>
      <c r="G1259" s="233"/>
    </row>
    <row r="1260">
      <c r="A1260" s="215"/>
      <c r="B1260" s="215"/>
      <c r="C1260" s="215"/>
      <c r="D1260" s="215"/>
      <c r="E1260" s="215"/>
      <c r="F1260" s="215"/>
      <c r="G1260" s="233"/>
    </row>
    <row r="1261">
      <c r="A1261" s="215"/>
      <c r="B1261" s="215"/>
      <c r="C1261" s="215"/>
      <c r="D1261" s="215"/>
      <c r="E1261" s="215"/>
      <c r="F1261" s="215"/>
      <c r="G1261" s="233"/>
    </row>
    <row r="1262">
      <c r="A1262" s="215"/>
      <c r="B1262" s="215"/>
      <c r="C1262" s="215"/>
      <c r="D1262" s="215"/>
      <c r="E1262" s="215"/>
      <c r="F1262" s="215"/>
      <c r="G1262" s="233"/>
    </row>
    <row r="1263">
      <c r="A1263" s="215"/>
      <c r="B1263" s="215"/>
      <c r="C1263" s="215"/>
      <c r="D1263" s="215"/>
      <c r="E1263" s="215"/>
      <c r="F1263" s="215"/>
      <c r="G1263" s="233"/>
    </row>
    <row r="1264">
      <c r="A1264" s="215"/>
      <c r="B1264" s="215"/>
      <c r="C1264" s="215"/>
      <c r="D1264" s="215"/>
      <c r="E1264" s="215"/>
      <c r="F1264" s="215"/>
      <c r="G1264" s="233"/>
    </row>
    <row r="1265">
      <c r="A1265" s="215"/>
      <c r="B1265" s="215"/>
      <c r="C1265" s="215"/>
      <c r="D1265" s="215"/>
      <c r="E1265" s="215"/>
      <c r="F1265" s="215"/>
      <c r="G1265" s="233"/>
    </row>
    <row r="1266">
      <c r="A1266" s="215"/>
      <c r="B1266" s="215"/>
      <c r="C1266" s="215"/>
      <c r="D1266" s="215"/>
      <c r="E1266" s="215"/>
      <c r="F1266" s="215"/>
      <c r="G1266" s="233"/>
    </row>
    <row r="1267">
      <c r="A1267" s="215"/>
      <c r="B1267" s="215"/>
      <c r="C1267" s="215"/>
      <c r="D1267" s="215"/>
      <c r="E1267" s="215"/>
      <c r="F1267" s="215"/>
      <c r="G1267" s="233"/>
    </row>
    <row r="1268">
      <c r="A1268" s="215"/>
      <c r="B1268" s="215"/>
      <c r="C1268" s="215"/>
      <c r="D1268" s="215"/>
      <c r="E1268" s="215"/>
      <c r="F1268" s="215"/>
      <c r="G1268" s="233"/>
    </row>
    <row r="1269">
      <c r="A1269" s="215"/>
      <c r="B1269" s="215"/>
      <c r="C1269" s="215"/>
      <c r="D1269" s="215"/>
      <c r="E1269" s="215"/>
      <c r="F1269" s="215"/>
      <c r="G1269" s="233"/>
    </row>
    <row r="1270">
      <c r="A1270" s="215"/>
      <c r="B1270" s="215"/>
      <c r="C1270" s="215"/>
      <c r="D1270" s="215"/>
      <c r="E1270" s="215"/>
      <c r="F1270" s="215"/>
      <c r="G1270" s="233"/>
    </row>
    <row r="1271">
      <c r="A1271" s="215"/>
      <c r="B1271" s="215"/>
      <c r="C1271" s="215"/>
      <c r="D1271" s="215"/>
      <c r="E1271" s="215"/>
      <c r="F1271" s="215"/>
      <c r="G1271" s="233"/>
    </row>
    <row r="1272">
      <c r="A1272" s="215"/>
      <c r="B1272" s="215"/>
      <c r="C1272" s="215"/>
      <c r="D1272" s="215"/>
      <c r="E1272" s="215"/>
      <c r="F1272" s="215"/>
      <c r="G1272" s="233"/>
    </row>
    <row r="1273">
      <c r="A1273" s="215"/>
      <c r="B1273" s="215"/>
      <c r="C1273" s="215"/>
      <c r="D1273" s="215"/>
      <c r="E1273" s="215"/>
      <c r="F1273" s="215"/>
      <c r="G1273" s="233"/>
    </row>
    <row r="1274">
      <c r="A1274" s="215"/>
      <c r="B1274" s="215"/>
      <c r="C1274" s="215"/>
      <c r="D1274" s="215"/>
      <c r="E1274" s="215"/>
      <c r="F1274" s="215"/>
      <c r="G1274" s="233"/>
    </row>
    <row r="1275">
      <c r="A1275" s="215"/>
      <c r="B1275" s="215"/>
      <c r="C1275" s="215"/>
      <c r="D1275" s="215"/>
      <c r="E1275" s="215"/>
      <c r="F1275" s="215"/>
      <c r="G1275" s="233"/>
    </row>
    <row r="1276">
      <c r="A1276" s="215"/>
      <c r="B1276" s="215"/>
      <c r="C1276" s="215"/>
      <c r="D1276" s="215"/>
      <c r="E1276" s="215"/>
      <c r="F1276" s="215"/>
      <c r="G1276" s="233"/>
    </row>
    <row r="1277">
      <c r="A1277" s="215"/>
      <c r="B1277" s="215"/>
      <c r="C1277" s="215"/>
      <c r="D1277" s="215"/>
      <c r="E1277" s="215"/>
      <c r="F1277" s="215"/>
      <c r="G1277" s="233"/>
    </row>
    <row r="1278">
      <c r="A1278" s="215"/>
      <c r="B1278" s="215"/>
      <c r="C1278" s="215"/>
      <c r="D1278" s="215"/>
      <c r="E1278" s="215"/>
      <c r="F1278" s="215"/>
      <c r="G1278" s="233"/>
    </row>
    <row r="1279">
      <c r="A1279" s="215"/>
      <c r="B1279" s="215"/>
      <c r="C1279" s="215"/>
      <c r="D1279" s="215"/>
      <c r="E1279" s="215"/>
      <c r="F1279" s="215"/>
      <c r="G1279" s="233"/>
    </row>
    <row r="1280">
      <c r="A1280" s="215"/>
      <c r="B1280" s="215"/>
      <c r="C1280" s="215"/>
      <c r="D1280" s="215"/>
      <c r="E1280" s="215"/>
      <c r="F1280" s="215"/>
      <c r="G1280" s="233"/>
    </row>
    <row r="1281">
      <c r="A1281" s="215"/>
      <c r="B1281" s="215"/>
      <c r="C1281" s="215"/>
      <c r="D1281" s="215"/>
      <c r="E1281" s="215"/>
      <c r="F1281" s="215"/>
      <c r="G1281" s="233"/>
    </row>
    <row r="1282">
      <c r="A1282" s="215"/>
      <c r="B1282" s="215"/>
      <c r="C1282" s="215"/>
      <c r="D1282" s="215"/>
      <c r="E1282" s="215"/>
      <c r="F1282" s="215"/>
      <c r="G1282" s="233"/>
    </row>
    <row r="1283">
      <c r="A1283" s="215"/>
      <c r="B1283" s="215"/>
      <c r="C1283" s="215"/>
      <c r="D1283" s="215"/>
      <c r="E1283" s="215"/>
      <c r="F1283" s="215"/>
      <c r="G1283" s="233"/>
    </row>
    <row r="1284">
      <c r="A1284" s="215"/>
      <c r="B1284" s="215"/>
      <c r="C1284" s="215"/>
      <c r="D1284" s="215"/>
      <c r="E1284" s="215"/>
      <c r="F1284" s="215"/>
      <c r="G1284" s="233"/>
    </row>
    <row r="1285">
      <c r="A1285" s="215"/>
      <c r="B1285" s="215"/>
      <c r="C1285" s="215"/>
      <c r="D1285" s="215"/>
      <c r="E1285" s="215"/>
      <c r="F1285" s="215"/>
      <c r="G1285" s="233"/>
    </row>
    <row r="1286">
      <c r="A1286" s="215"/>
      <c r="B1286" s="215"/>
      <c r="C1286" s="215"/>
      <c r="D1286" s="215"/>
      <c r="E1286" s="215"/>
      <c r="F1286" s="215"/>
      <c r="G1286" s="233"/>
    </row>
    <row r="1287">
      <c r="A1287" s="215"/>
      <c r="B1287" s="215"/>
      <c r="C1287" s="215"/>
      <c r="D1287" s="215"/>
      <c r="E1287" s="215"/>
      <c r="F1287" s="215"/>
      <c r="G1287" s="233"/>
    </row>
    <row r="1288">
      <c r="A1288" s="215"/>
      <c r="B1288" s="215"/>
      <c r="C1288" s="215"/>
      <c r="D1288" s="215"/>
      <c r="E1288" s="215"/>
      <c r="F1288" s="215"/>
      <c r="G1288" s="233"/>
    </row>
    <row r="1289">
      <c r="A1289" s="215"/>
      <c r="B1289" s="215"/>
      <c r="C1289" s="215"/>
      <c r="D1289" s="215"/>
      <c r="E1289" s="215"/>
      <c r="F1289" s="215"/>
      <c r="G1289" s="233"/>
    </row>
    <row r="1290">
      <c r="A1290" s="215"/>
      <c r="B1290" s="215"/>
      <c r="C1290" s="215"/>
      <c r="D1290" s="215"/>
      <c r="E1290" s="215"/>
      <c r="F1290" s="215"/>
      <c r="G1290" s="233"/>
    </row>
    <row r="1291">
      <c r="A1291" s="215"/>
      <c r="B1291" s="215"/>
      <c r="C1291" s="215"/>
      <c r="D1291" s="215"/>
      <c r="E1291" s="215"/>
      <c r="F1291" s="215"/>
      <c r="G1291" s="233"/>
    </row>
    <row r="1292">
      <c r="A1292" s="215"/>
      <c r="B1292" s="215"/>
      <c r="C1292" s="215"/>
      <c r="D1292" s="215"/>
      <c r="E1292" s="215"/>
      <c r="F1292" s="215"/>
      <c r="G1292" s="233"/>
    </row>
    <row r="1293">
      <c r="A1293" s="215"/>
      <c r="B1293" s="215"/>
      <c r="C1293" s="215"/>
      <c r="D1293" s="215"/>
      <c r="E1293" s="215"/>
      <c r="F1293" s="215"/>
      <c r="G1293" s="233"/>
    </row>
    <row r="1294">
      <c r="A1294" s="215"/>
      <c r="B1294" s="215"/>
      <c r="C1294" s="215"/>
      <c r="D1294" s="215"/>
      <c r="E1294" s="215"/>
      <c r="F1294" s="215"/>
      <c r="G1294" s="233"/>
    </row>
    <row r="1295">
      <c r="A1295" s="215"/>
      <c r="B1295" s="215"/>
      <c r="C1295" s="215"/>
      <c r="D1295" s="215"/>
      <c r="E1295" s="215"/>
      <c r="F1295" s="215"/>
      <c r="G1295" s="233"/>
    </row>
    <row r="1296">
      <c r="A1296" s="215"/>
      <c r="B1296" s="215"/>
      <c r="C1296" s="215"/>
      <c r="D1296" s="215"/>
      <c r="E1296" s="215"/>
      <c r="F1296" s="215"/>
      <c r="G1296" s="233"/>
    </row>
    <row r="1297">
      <c r="A1297" s="215"/>
      <c r="B1297" s="215"/>
      <c r="C1297" s="215"/>
      <c r="D1297" s="215"/>
      <c r="E1297" s="215"/>
      <c r="F1297" s="215"/>
      <c r="G1297" s="233"/>
    </row>
    <row r="1298">
      <c r="A1298" s="215"/>
      <c r="B1298" s="215"/>
      <c r="C1298" s="215"/>
      <c r="D1298" s="215"/>
      <c r="E1298" s="215"/>
      <c r="F1298" s="215"/>
      <c r="G1298" s="233"/>
    </row>
    <row r="1299">
      <c r="A1299" s="215"/>
      <c r="B1299" s="215"/>
      <c r="C1299" s="215"/>
      <c r="D1299" s="215"/>
      <c r="E1299" s="215"/>
      <c r="F1299" s="215"/>
      <c r="G1299" s="233"/>
    </row>
    <row r="1300">
      <c r="A1300" s="215"/>
      <c r="B1300" s="215"/>
      <c r="C1300" s="215"/>
      <c r="D1300" s="215"/>
      <c r="E1300" s="215"/>
      <c r="F1300" s="215"/>
      <c r="G1300" s="233"/>
    </row>
    <row r="1301">
      <c r="A1301" s="215"/>
      <c r="B1301" s="215"/>
      <c r="C1301" s="215"/>
      <c r="D1301" s="215"/>
      <c r="E1301" s="215"/>
      <c r="F1301" s="215"/>
      <c r="G1301" s="233"/>
    </row>
    <row r="1302">
      <c r="A1302" s="215"/>
      <c r="B1302" s="215"/>
      <c r="C1302" s="215"/>
      <c r="D1302" s="215"/>
      <c r="E1302" s="215"/>
      <c r="F1302" s="215"/>
      <c r="G1302" s="233"/>
    </row>
    <row r="1303">
      <c r="A1303" s="215"/>
      <c r="B1303" s="215"/>
      <c r="C1303" s="215"/>
      <c r="D1303" s="215"/>
      <c r="E1303" s="215"/>
      <c r="F1303" s="215"/>
      <c r="G1303" s="233"/>
    </row>
    <row r="1304">
      <c r="A1304" s="215"/>
      <c r="B1304" s="215"/>
      <c r="C1304" s="215"/>
      <c r="D1304" s="215"/>
      <c r="E1304" s="215"/>
      <c r="F1304" s="215"/>
      <c r="G1304" s="233"/>
    </row>
    <row r="1305">
      <c r="A1305" s="215"/>
      <c r="B1305" s="215"/>
      <c r="C1305" s="215"/>
      <c r="D1305" s="215"/>
      <c r="E1305" s="215"/>
      <c r="F1305" s="215"/>
      <c r="G1305" s="233"/>
    </row>
    <row r="1306">
      <c r="A1306" s="215"/>
      <c r="B1306" s="215"/>
      <c r="C1306" s="215"/>
      <c r="D1306" s="215"/>
      <c r="E1306" s="215"/>
      <c r="F1306" s="215"/>
      <c r="G1306" s="233"/>
    </row>
    <row r="1307">
      <c r="A1307" s="215"/>
      <c r="B1307" s="215"/>
      <c r="C1307" s="215"/>
      <c r="D1307" s="215"/>
      <c r="E1307" s="215"/>
      <c r="F1307" s="215"/>
      <c r="G1307" s="233"/>
    </row>
    <row r="1308">
      <c r="A1308" s="215"/>
      <c r="B1308" s="215"/>
      <c r="C1308" s="215"/>
      <c r="D1308" s="215"/>
      <c r="E1308" s="215"/>
      <c r="F1308" s="215"/>
      <c r="G1308" s="233"/>
    </row>
    <row r="1309">
      <c r="A1309" s="215"/>
      <c r="B1309" s="215"/>
      <c r="C1309" s="215"/>
      <c r="D1309" s="215"/>
      <c r="E1309" s="215"/>
      <c r="F1309" s="215"/>
      <c r="G1309" s="233"/>
    </row>
    <row r="1310">
      <c r="A1310" s="215"/>
      <c r="B1310" s="215"/>
      <c r="C1310" s="215"/>
      <c r="D1310" s="215"/>
      <c r="E1310" s="215"/>
      <c r="F1310" s="215"/>
      <c r="G1310" s="233"/>
    </row>
    <row r="1311">
      <c r="A1311" s="215"/>
      <c r="B1311" s="215"/>
      <c r="C1311" s="215"/>
      <c r="D1311" s="215"/>
      <c r="E1311" s="215"/>
      <c r="F1311" s="215"/>
      <c r="G1311" s="233"/>
    </row>
    <row r="1312">
      <c r="A1312" s="215"/>
      <c r="B1312" s="215"/>
      <c r="C1312" s="215"/>
      <c r="D1312" s="215"/>
      <c r="E1312" s="215"/>
      <c r="F1312" s="215"/>
      <c r="G1312" s="233"/>
    </row>
    <row r="1313">
      <c r="A1313" s="215"/>
      <c r="B1313" s="215"/>
      <c r="C1313" s="215"/>
      <c r="D1313" s="215"/>
      <c r="E1313" s="215"/>
      <c r="F1313" s="215"/>
      <c r="G1313" s="233"/>
    </row>
    <row r="1314">
      <c r="A1314" s="215"/>
      <c r="B1314" s="215"/>
      <c r="C1314" s="215"/>
      <c r="D1314" s="215"/>
      <c r="E1314" s="215"/>
      <c r="F1314" s="215"/>
      <c r="G1314" s="233"/>
    </row>
    <row r="1315">
      <c r="A1315" s="215"/>
      <c r="B1315" s="215"/>
      <c r="C1315" s="215"/>
      <c r="D1315" s="215"/>
      <c r="E1315" s="215"/>
      <c r="F1315" s="215"/>
      <c r="G1315" s="233"/>
    </row>
    <row r="1316">
      <c r="A1316" s="215"/>
      <c r="B1316" s="215"/>
      <c r="C1316" s="215"/>
      <c r="D1316" s="215"/>
      <c r="E1316" s="215"/>
      <c r="F1316" s="215"/>
      <c r="G1316" s="233"/>
    </row>
    <row r="1317">
      <c r="A1317" s="215"/>
      <c r="B1317" s="215"/>
      <c r="C1317" s="215"/>
      <c r="D1317" s="215"/>
      <c r="E1317" s="215"/>
      <c r="F1317" s="215"/>
      <c r="G1317" s="233"/>
    </row>
    <row r="1318">
      <c r="A1318" s="215"/>
      <c r="B1318" s="215"/>
      <c r="C1318" s="215"/>
      <c r="D1318" s="215"/>
      <c r="E1318" s="215"/>
      <c r="F1318" s="215"/>
      <c r="G1318" s="233"/>
    </row>
    <row r="1319">
      <c r="A1319" s="215"/>
      <c r="B1319" s="215"/>
      <c r="C1319" s="215"/>
      <c r="D1319" s="215"/>
      <c r="E1319" s="215"/>
      <c r="F1319" s="215"/>
      <c r="G1319" s="233"/>
    </row>
    <row r="1320">
      <c r="A1320" s="215"/>
      <c r="B1320" s="215"/>
      <c r="C1320" s="215"/>
      <c r="D1320" s="215"/>
      <c r="E1320" s="215"/>
      <c r="F1320" s="215"/>
      <c r="G1320" s="233"/>
    </row>
    <row r="1321">
      <c r="A1321" s="215"/>
      <c r="B1321" s="215"/>
      <c r="C1321" s="215"/>
      <c r="D1321" s="215"/>
      <c r="E1321" s="215"/>
      <c r="F1321" s="215"/>
      <c r="G1321" s="233"/>
    </row>
    <row r="1322">
      <c r="A1322" s="215"/>
      <c r="B1322" s="215"/>
      <c r="C1322" s="215"/>
      <c r="D1322" s="215"/>
      <c r="E1322" s="215"/>
      <c r="F1322" s="215"/>
      <c r="G1322" s="233"/>
    </row>
    <row r="1323">
      <c r="A1323" s="215"/>
      <c r="B1323" s="215"/>
      <c r="C1323" s="215"/>
      <c r="D1323" s="215"/>
      <c r="E1323" s="215"/>
      <c r="F1323" s="215"/>
      <c r="G1323" s="233"/>
    </row>
    <row r="1324">
      <c r="A1324" s="215"/>
      <c r="B1324" s="215"/>
      <c r="C1324" s="215"/>
      <c r="D1324" s="215"/>
      <c r="E1324" s="215"/>
      <c r="F1324" s="215"/>
      <c r="G1324" s="233"/>
    </row>
    <row r="1325">
      <c r="A1325" s="215"/>
      <c r="B1325" s="215"/>
      <c r="C1325" s="215"/>
      <c r="D1325" s="215"/>
      <c r="E1325" s="215"/>
      <c r="F1325" s="215"/>
      <c r="G1325" s="233"/>
    </row>
    <row r="1326">
      <c r="A1326" s="215"/>
      <c r="B1326" s="215"/>
      <c r="C1326" s="215"/>
      <c r="D1326" s="215"/>
      <c r="E1326" s="215"/>
      <c r="F1326" s="215"/>
      <c r="G1326" s="233"/>
    </row>
    <row r="1327">
      <c r="A1327" s="215"/>
      <c r="B1327" s="215"/>
      <c r="C1327" s="215"/>
      <c r="D1327" s="215"/>
      <c r="E1327" s="215"/>
      <c r="F1327" s="215"/>
      <c r="G1327" s="233"/>
    </row>
    <row r="1328">
      <c r="A1328" s="215"/>
      <c r="B1328" s="215"/>
      <c r="C1328" s="215"/>
      <c r="D1328" s="215"/>
      <c r="E1328" s="215"/>
      <c r="F1328" s="215"/>
      <c r="G1328" s="233"/>
    </row>
    <row r="1329">
      <c r="A1329" s="215"/>
      <c r="B1329" s="215"/>
      <c r="C1329" s="215"/>
      <c r="D1329" s="215"/>
      <c r="E1329" s="215"/>
      <c r="F1329" s="215"/>
      <c r="G1329" s="233"/>
    </row>
    <row r="1330">
      <c r="A1330" s="215"/>
      <c r="B1330" s="215"/>
      <c r="C1330" s="215"/>
      <c r="D1330" s="215"/>
      <c r="E1330" s="215"/>
      <c r="F1330" s="215"/>
      <c r="G1330" s="233"/>
    </row>
    <row r="1331">
      <c r="A1331" s="215"/>
      <c r="B1331" s="215"/>
      <c r="C1331" s="215"/>
      <c r="D1331" s="215"/>
      <c r="E1331" s="215"/>
      <c r="F1331" s="215"/>
      <c r="G1331" s="233"/>
    </row>
    <row r="1332">
      <c r="A1332" s="215"/>
      <c r="B1332" s="215"/>
      <c r="C1332" s="215"/>
      <c r="D1332" s="215"/>
      <c r="E1332" s="215"/>
      <c r="F1332" s="215"/>
      <c r="G1332" s="233"/>
    </row>
    <row r="1333">
      <c r="A1333" s="215"/>
      <c r="B1333" s="215"/>
      <c r="C1333" s="215"/>
      <c r="D1333" s="215"/>
      <c r="E1333" s="215"/>
      <c r="F1333" s="215"/>
      <c r="G1333" s="233"/>
    </row>
    <row r="1334">
      <c r="A1334" s="215"/>
      <c r="B1334" s="215"/>
      <c r="C1334" s="215"/>
      <c r="D1334" s="215"/>
      <c r="E1334" s="215"/>
      <c r="F1334" s="215"/>
      <c r="G1334" s="233"/>
    </row>
    <row r="1335">
      <c r="A1335" s="215"/>
      <c r="B1335" s="215"/>
      <c r="C1335" s="215"/>
      <c r="D1335" s="215"/>
      <c r="E1335" s="215"/>
      <c r="F1335" s="215"/>
      <c r="G1335" s="233"/>
    </row>
    <row r="1336">
      <c r="A1336" s="215"/>
      <c r="B1336" s="215"/>
      <c r="C1336" s="215"/>
      <c r="D1336" s="215"/>
      <c r="E1336" s="215"/>
      <c r="F1336" s="215"/>
      <c r="G1336" s="233"/>
    </row>
    <row r="1337">
      <c r="A1337" s="215"/>
      <c r="B1337" s="215"/>
      <c r="C1337" s="215"/>
      <c r="D1337" s="215"/>
      <c r="E1337" s="215"/>
      <c r="F1337" s="215"/>
      <c r="G1337" s="233"/>
    </row>
    <row r="1338">
      <c r="A1338" s="215"/>
      <c r="B1338" s="215"/>
      <c r="C1338" s="215"/>
      <c r="D1338" s="215"/>
      <c r="E1338" s="215"/>
      <c r="F1338" s="215"/>
      <c r="G1338" s="233"/>
    </row>
    <row r="1339">
      <c r="A1339" s="215"/>
      <c r="B1339" s="215"/>
      <c r="C1339" s="215"/>
      <c r="D1339" s="215"/>
      <c r="E1339" s="215"/>
      <c r="F1339" s="215"/>
      <c r="G1339" s="233"/>
    </row>
    <row r="1340">
      <c r="A1340" s="215"/>
      <c r="B1340" s="215"/>
      <c r="C1340" s="215"/>
      <c r="D1340" s="215"/>
      <c r="E1340" s="215"/>
      <c r="F1340" s="215"/>
      <c r="G1340" s="233"/>
    </row>
    <row r="1341">
      <c r="A1341" s="215"/>
      <c r="B1341" s="215"/>
      <c r="C1341" s="215"/>
      <c r="D1341" s="215"/>
      <c r="E1341" s="215"/>
      <c r="F1341" s="215"/>
      <c r="G1341" s="233"/>
    </row>
    <row r="1342">
      <c r="A1342" s="215"/>
      <c r="B1342" s="215"/>
      <c r="C1342" s="215"/>
      <c r="D1342" s="215"/>
      <c r="E1342" s="215"/>
      <c r="F1342" s="215"/>
      <c r="G1342" s="233"/>
    </row>
    <row r="1343">
      <c r="A1343" s="215"/>
      <c r="B1343" s="215"/>
      <c r="C1343" s="215"/>
      <c r="D1343" s="215"/>
      <c r="E1343" s="215"/>
      <c r="F1343" s="215"/>
      <c r="G1343" s="233"/>
    </row>
    <row r="1344">
      <c r="A1344" s="215"/>
      <c r="B1344" s="215"/>
      <c r="C1344" s="215"/>
      <c r="D1344" s="215"/>
      <c r="E1344" s="215"/>
      <c r="F1344" s="215"/>
      <c r="G1344" s="233"/>
    </row>
    <row r="1345">
      <c r="A1345" s="215"/>
      <c r="B1345" s="215"/>
      <c r="C1345" s="215"/>
      <c r="D1345" s="215"/>
      <c r="E1345" s="215"/>
      <c r="F1345" s="215"/>
      <c r="G1345" s="233"/>
    </row>
    <row r="1346">
      <c r="A1346" s="215"/>
      <c r="B1346" s="215"/>
      <c r="C1346" s="215"/>
      <c r="D1346" s="215"/>
      <c r="E1346" s="215"/>
      <c r="F1346" s="215"/>
      <c r="G1346" s="233"/>
    </row>
    <row r="1347">
      <c r="A1347" s="215"/>
      <c r="B1347" s="215"/>
      <c r="C1347" s="215"/>
      <c r="D1347" s="215"/>
      <c r="E1347" s="215"/>
      <c r="F1347" s="215"/>
      <c r="G1347" s="233"/>
    </row>
    <row r="1348">
      <c r="A1348" s="215"/>
      <c r="B1348" s="215"/>
      <c r="C1348" s="215"/>
      <c r="D1348" s="215"/>
      <c r="E1348" s="215"/>
      <c r="F1348" s="215"/>
      <c r="G1348" s="233"/>
    </row>
    <row r="1349">
      <c r="A1349" s="215"/>
      <c r="B1349" s="215"/>
      <c r="C1349" s="215"/>
      <c r="D1349" s="215"/>
      <c r="E1349" s="215"/>
      <c r="F1349" s="215"/>
      <c r="G1349" s="233"/>
    </row>
    <row r="1350">
      <c r="A1350" s="215"/>
      <c r="B1350" s="215"/>
      <c r="C1350" s="215"/>
      <c r="D1350" s="215"/>
      <c r="E1350" s="215"/>
      <c r="F1350" s="215"/>
      <c r="G1350" s="233"/>
    </row>
    <row r="1351">
      <c r="A1351" s="215"/>
      <c r="B1351" s="215"/>
      <c r="C1351" s="215"/>
      <c r="D1351" s="215"/>
      <c r="E1351" s="215"/>
      <c r="F1351" s="215"/>
      <c r="G1351" s="233"/>
    </row>
    <row r="1352">
      <c r="A1352" s="215"/>
      <c r="B1352" s="215"/>
      <c r="C1352" s="215"/>
      <c r="D1352" s="215"/>
      <c r="E1352" s="215"/>
      <c r="F1352" s="215"/>
      <c r="G1352" s="233"/>
    </row>
    <row r="1353">
      <c r="A1353" s="215"/>
      <c r="B1353" s="215"/>
      <c r="C1353" s="215"/>
      <c r="D1353" s="215"/>
      <c r="E1353" s="215"/>
      <c r="F1353" s="215"/>
      <c r="G1353" s="233"/>
    </row>
    <row r="1354">
      <c r="A1354" s="215"/>
      <c r="B1354" s="215"/>
      <c r="C1354" s="215"/>
      <c r="D1354" s="215"/>
      <c r="E1354" s="215"/>
      <c r="F1354" s="215"/>
      <c r="G1354" s="233"/>
    </row>
    <row r="1355">
      <c r="A1355" s="215"/>
      <c r="B1355" s="215"/>
      <c r="C1355" s="215"/>
      <c r="D1355" s="215"/>
      <c r="E1355" s="215"/>
      <c r="F1355" s="215"/>
      <c r="G1355" s="233"/>
    </row>
    <row r="1356">
      <c r="A1356" s="215"/>
      <c r="B1356" s="215"/>
      <c r="C1356" s="215"/>
      <c r="D1356" s="215"/>
      <c r="E1356" s="215"/>
      <c r="F1356" s="215"/>
      <c r="G1356" s="233"/>
    </row>
    <row r="1357">
      <c r="A1357" s="215"/>
      <c r="B1357" s="215"/>
      <c r="C1357" s="215"/>
      <c r="D1357" s="215"/>
      <c r="E1357" s="215"/>
      <c r="F1357" s="215"/>
      <c r="G1357" s="233"/>
    </row>
    <row r="1358">
      <c r="A1358" s="215"/>
      <c r="B1358" s="215"/>
      <c r="C1358" s="215"/>
      <c r="D1358" s="215"/>
      <c r="E1358" s="215"/>
      <c r="F1358" s="215"/>
      <c r="G1358" s="233"/>
    </row>
    <row r="1359">
      <c r="A1359" s="215"/>
      <c r="B1359" s="215"/>
      <c r="C1359" s="215"/>
      <c r="D1359" s="215"/>
      <c r="E1359" s="215"/>
      <c r="F1359" s="215"/>
      <c r="G1359" s="233"/>
    </row>
    <row r="1360">
      <c r="A1360" s="215"/>
      <c r="B1360" s="215"/>
      <c r="C1360" s="215"/>
      <c r="D1360" s="215"/>
      <c r="E1360" s="215"/>
      <c r="F1360" s="215"/>
      <c r="G1360" s="233"/>
    </row>
    <row r="1361">
      <c r="A1361" s="215"/>
      <c r="B1361" s="215"/>
      <c r="C1361" s="215"/>
      <c r="D1361" s="215"/>
      <c r="E1361" s="215"/>
      <c r="F1361" s="215"/>
      <c r="G1361" s="233"/>
    </row>
    <row r="1362">
      <c r="A1362" s="215"/>
      <c r="B1362" s="215"/>
      <c r="C1362" s="215"/>
      <c r="D1362" s="215"/>
      <c r="E1362" s="215"/>
      <c r="F1362" s="215"/>
      <c r="G1362" s="233"/>
    </row>
    <row r="1363">
      <c r="A1363" s="215"/>
      <c r="B1363" s="215"/>
      <c r="C1363" s="215"/>
      <c r="D1363" s="215"/>
      <c r="E1363" s="215"/>
      <c r="F1363" s="215"/>
      <c r="G1363" s="233"/>
    </row>
    <row r="1364">
      <c r="A1364" s="215"/>
      <c r="B1364" s="215"/>
      <c r="C1364" s="215"/>
      <c r="D1364" s="215"/>
      <c r="E1364" s="215"/>
      <c r="F1364" s="215"/>
      <c r="G1364" s="233"/>
    </row>
    <row r="1365">
      <c r="A1365" s="215"/>
      <c r="B1365" s="215"/>
      <c r="C1365" s="215"/>
      <c r="D1365" s="215"/>
      <c r="E1365" s="215"/>
      <c r="F1365" s="215"/>
      <c r="G1365" s="233"/>
    </row>
    <row r="1366">
      <c r="A1366" s="215"/>
      <c r="B1366" s="215"/>
      <c r="C1366" s="215"/>
      <c r="D1366" s="215"/>
      <c r="E1366" s="215"/>
      <c r="F1366" s="215"/>
      <c r="G1366" s="233"/>
    </row>
    <row r="1367">
      <c r="A1367" s="215"/>
      <c r="B1367" s="215"/>
      <c r="C1367" s="215"/>
      <c r="D1367" s="215"/>
      <c r="E1367" s="215"/>
      <c r="F1367" s="215"/>
      <c r="G1367" s="233"/>
    </row>
    <row r="1368">
      <c r="A1368" s="215"/>
      <c r="B1368" s="215"/>
      <c r="C1368" s="215"/>
      <c r="D1368" s="215"/>
      <c r="E1368" s="215"/>
      <c r="F1368" s="215"/>
      <c r="G1368" s="233"/>
    </row>
    <row r="1369">
      <c r="A1369" s="215"/>
      <c r="B1369" s="215"/>
      <c r="C1369" s="215"/>
      <c r="D1369" s="215"/>
      <c r="E1369" s="215"/>
      <c r="F1369" s="215"/>
      <c r="G1369" s="233"/>
    </row>
    <row r="1370">
      <c r="A1370" s="215"/>
      <c r="B1370" s="215"/>
      <c r="C1370" s="215"/>
      <c r="D1370" s="215"/>
      <c r="E1370" s="215"/>
      <c r="F1370" s="215"/>
      <c r="G1370" s="233"/>
    </row>
    <row r="1371">
      <c r="A1371" s="215"/>
      <c r="B1371" s="215"/>
      <c r="C1371" s="215"/>
      <c r="D1371" s="215"/>
      <c r="E1371" s="215"/>
      <c r="F1371" s="215"/>
      <c r="G1371" s="233"/>
    </row>
    <row r="1372">
      <c r="A1372" s="215"/>
      <c r="B1372" s="215"/>
      <c r="C1372" s="215"/>
      <c r="D1372" s="215"/>
      <c r="E1372" s="215"/>
      <c r="F1372" s="215"/>
      <c r="G1372" s="233"/>
    </row>
    <row r="1373">
      <c r="A1373" s="215"/>
      <c r="B1373" s="215"/>
      <c r="C1373" s="215"/>
      <c r="D1373" s="215"/>
      <c r="E1373" s="215"/>
      <c r="F1373" s="215"/>
      <c r="G1373" s="233"/>
    </row>
    <row r="1374">
      <c r="A1374" s="215"/>
      <c r="B1374" s="215"/>
      <c r="C1374" s="215"/>
      <c r="D1374" s="215"/>
      <c r="E1374" s="215"/>
      <c r="F1374" s="215"/>
      <c r="G1374" s="233"/>
    </row>
    <row r="1375">
      <c r="A1375" s="215"/>
      <c r="B1375" s="215"/>
      <c r="C1375" s="215"/>
      <c r="D1375" s="215"/>
      <c r="E1375" s="215"/>
      <c r="F1375" s="215"/>
      <c r="G1375" s="233"/>
    </row>
    <row r="1376">
      <c r="A1376" s="215"/>
      <c r="B1376" s="215"/>
      <c r="C1376" s="215"/>
      <c r="D1376" s="215"/>
      <c r="E1376" s="215"/>
      <c r="F1376" s="215"/>
      <c r="G1376" s="233"/>
    </row>
    <row r="1377">
      <c r="A1377" s="215"/>
      <c r="B1377" s="215"/>
      <c r="C1377" s="215"/>
      <c r="D1377" s="215"/>
      <c r="E1377" s="215"/>
      <c r="F1377" s="215"/>
      <c r="G1377" s="233"/>
    </row>
    <row r="1378">
      <c r="A1378" s="215"/>
      <c r="B1378" s="215"/>
      <c r="C1378" s="215"/>
      <c r="D1378" s="215"/>
      <c r="E1378" s="215"/>
      <c r="F1378" s="215"/>
      <c r="G1378" s="233"/>
    </row>
    <row r="1379">
      <c r="A1379" s="215"/>
      <c r="B1379" s="215"/>
      <c r="C1379" s="215"/>
      <c r="D1379" s="215"/>
      <c r="E1379" s="215"/>
      <c r="F1379" s="215"/>
      <c r="G1379" s="233"/>
    </row>
    <row r="1380">
      <c r="A1380" s="215"/>
      <c r="B1380" s="215"/>
      <c r="C1380" s="215"/>
      <c r="D1380" s="215"/>
      <c r="E1380" s="215"/>
      <c r="F1380" s="215"/>
      <c r="G1380" s="233"/>
    </row>
    <row r="1381">
      <c r="A1381" s="215"/>
      <c r="B1381" s="215"/>
      <c r="C1381" s="215"/>
      <c r="D1381" s="215"/>
      <c r="E1381" s="215"/>
      <c r="F1381" s="215"/>
      <c r="G1381" s="233"/>
    </row>
    <row r="1382">
      <c r="A1382" s="215"/>
      <c r="B1382" s="215"/>
      <c r="C1382" s="215"/>
      <c r="D1382" s="215"/>
      <c r="E1382" s="215"/>
      <c r="F1382" s="215"/>
      <c r="G1382" s="233"/>
    </row>
    <row r="1383">
      <c r="A1383" s="215"/>
      <c r="B1383" s="215"/>
      <c r="C1383" s="215"/>
      <c r="D1383" s="215"/>
      <c r="E1383" s="215"/>
      <c r="F1383" s="215"/>
      <c r="G1383" s="233"/>
    </row>
    <row r="1384">
      <c r="A1384" s="215"/>
      <c r="B1384" s="215"/>
      <c r="C1384" s="215"/>
      <c r="D1384" s="215"/>
      <c r="E1384" s="215"/>
      <c r="F1384" s="215"/>
      <c r="G1384" s="233"/>
    </row>
    <row r="1385">
      <c r="A1385" s="215"/>
      <c r="B1385" s="215"/>
      <c r="C1385" s="215"/>
      <c r="D1385" s="215"/>
      <c r="E1385" s="215"/>
      <c r="F1385" s="215"/>
      <c r="G1385" s="233"/>
    </row>
    <row r="1386">
      <c r="A1386" s="215"/>
      <c r="B1386" s="215"/>
      <c r="C1386" s="215"/>
      <c r="D1386" s="215"/>
      <c r="E1386" s="215"/>
      <c r="F1386" s="215"/>
      <c r="G1386" s="233"/>
    </row>
    <row r="1387">
      <c r="A1387" s="215"/>
      <c r="B1387" s="215"/>
      <c r="C1387" s="215"/>
      <c r="D1387" s="215"/>
      <c r="E1387" s="215"/>
      <c r="F1387" s="215"/>
      <c r="G1387" s="233"/>
    </row>
    <row r="1388">
      <c r="A1388" s="215"/>
      <c r="B1388" s="215"/>
      <c r="C1388" s="215"/>
      <c r="D1388" s="215"/>
      <c r="E1388" s="215"/>
      <c r="F1388" s="215"/>
      <c r="G1388" s="233"/>
    </row>
    <row r="1389">
      <c r="A1389" s="215"/>
      <c r="B1389" s="215"/>
      <c r="C1389" s="215"/>
      <c r="D1389" s="215"/>
      <c r="E1389" s="215"/>
      <c r="F1389" s="215"/>
      <c r="G1389" s="233"/>
    </row>
    <row r="1390">
      <c r="A1390" s="215"/>
      <c r="B1390" s="215"/>
      <c r="C1390" s="215"/>
      <c r="D1390" s="215"/>
      <c r="E1390" s="215"/>
      <c r="F1390" s="215"/>
      <c r="G1390" s="233"/>
    </row>
    <row r="1391">
      <c r="A1391" s="215"/>
      <c r="B1391" s="215"/>
      <c r="C1391" s="215"/>
      <c r="D1391" s="215"/>
      <c r="E1391" s="215"/>
      <c r="F1391" s="215"/>
      <c r="G1391" s="233"/>
    </row>
    <row r="1392">
      <c r="A1392" s="215"/>
      <c r="B1392" s="215"/>
      <c r="C1392" s="215"/>
      <c r="D1392" s="215"/>
      <c r="E1392" s="215"/>
      <c r="F1392" s="215"/>
      <c r="G1392" s="233"/>
    </row>
    <row r="1393">
      <c r="A1393" s="215"/>
      <c r="B1393" s="215"/>
      <c r="C1393" s="215"/>
      <c r="D1393" s="215"/>
      <c r="E1393" s="215"/>
      <c r="F1393" s="215"/>
      <c r="G1393" s="233"/>
    </row>
    <row r="1394">
      <c r="A1394" s="215"/>
      <c r="B1394" s="215"/>
      <c r="C1394" s="215"/>
      <c r="D1394" s="215"/>
      <c r="E1394" s="215"/>
      <c r="F1394" s="215"/>
      <c r="G1394" s="233"/>
    </row>
    <row r="1395">
      <c r="A1395" s="215"/>
      <c r="B1395" s="215"/>
      <c r="C1395" s="215"/>
      <c r="D1395" s="215"/>
      <c r="E1395" s="215"/>
      <c r="F1395" s="215"/>
      <c r="G1395" s="233"/>
    </row>
    <row r="1396">
      <c r="A1396" s="215"/>
      <c r="B1396" s="215"/>
      <c r="C1396" s="215"/>
      <c r="D1396" s="215"/>
      <c r="E1396" s="215"/>
      <c r="F1396" s="215"/>
      <c r="G1396" s="233"/>
    </row>
    <row r="1397">
      <c r="A1397" s="215"/>
      <c r="B1397" s="215"/>
      <c r="C1397" s="215"/>
      <c r="D1397" s="215"/>
      <c r="E1397" s="215"/>
      <c r="F1397" s="215"/>
      <c r="G1397" s="233"/>
    </row>
    <row r="1398">
      <c r="A1398" s="215"/>
      <c r="B1398" s="215"/>
      <c r="C1398" s="215"/>
      <c r="D1398" s="215"/>
      <c r="E1398" s="215"/>
      <c r="F1398" s="215"/>
      <c r="G1398" s="233"/>
    </row>
    <row r="1399">
      <c r="A1399" s="215"/>
      <c r="B1399" s="215"/>
      <c r="C1399" s="215"/>
      <c r="D1399" s="215"/>
      <c r="E1399" s="215"/>
      <c r="F1399" s="215"/>
      <c r="G1399" s="233"/>
    </row>
    <row r="1400">
      <c r="A1400" s="215"/>
      <c r="B1400" s="215"/>
      <c r="C1400" s="215"/>
      <c r="D1400" s="215"/>
      <c r="E1400" s="215"/>
      <c r="F1400" s="215"/>
      <c r="G1400" s="233"/>
    </row>
    <row r="1401">
      <c r="A1401" s="215"/>
      <c r="B1401" s="215"/>
      <c r="C1401" s="215"/>
      <c r="D1401" s="215"/>
      <c r="E1401" s="215"/>
      <c r="F1401" s="215"/>
      <c r="G1401" s="233"/>
    </row>
    <row r="1402">
      <c r="A1402" s="215"/>
      <c r="B1402" s="215"/>
      <c r="C1402" s="215"/>
      <c r="D1402" s="215"/>
      <c r="E1402" s="215"/>
      <c r="F1402" s="215"/>
      <c r="G1402" s="233"/>
    </row>
    <row r="1403">
      <c r="A1403" s="215"/>
      <c r="B1403" s="215"/>
      <c r="C1403" s="215"/>
      <c r="D1403" s="215"/>
      <c r="E1403" s="215"/>
      <c r="F1403" s="215"/>
      <c r="G1403" s="233"/>
    </row>
    <row r="1404">
      <c r="A1404" s="215"/>
      <c r="B1404" s="215"/>
      <c r="C1404" s="215"/>
      <c r="D1404" s="215"/>
      <c r="E1404" s="215"/>
      <c r="F1404" s="215"/>
      <c r="G1404" s="233"/>
    </row>
    <row r="1405">
      <c r="A1405" s="215"/>
      <c r="B1405" s="215"/>
      <c r="C1405" s="215"/>
      <c r="D1405" s="215"/>
      <c r="E1405" s="215"/>
      <c r="F1405" s="215"/>
      <c r="G1405" s="233"/>
    </row>
    <row r="1406">
      <c r="A1406" s="215"/>
      <c r="B1406" s="215"/>
      <c r="C1406" s="215"/>
      <c r="D1406" s="215"/>
      <c r="E1406" s="215"/>
      <c r="F1406" s="215"/>
      <c r="G1406" s="233"/>
    </row>
    <row r="1407">
      <c r="A1407" s="215"/>
      <c r="B1407" s="215"/>
      <c r="C1407" s="215"/>
      <c r="D1407" s="215"/>
      <c r="E1407" s="215"/>
      <c r="F1407" s="215"/>
      <c r="G1407" s="233"/>
    </row>
    <row r="1408">
      <c r="A1408" s="215"/>
      <c r="B1408" s="215"/>
      <c r="C1408" s="215"/>
      <c r="D1408" s="215"/>
      <c r="E1408" s="215"/>
      <c r="F1408" s="215"/>
      <c r="G1408" s="233"/>
    </row>
    <row r="1409">
      <c r="A1409" s="215"/>
      <c r="B1409" s="215"/>
      <c r="C1409" s="215"/>
      <c r="D1409" s="215"/>
      <c r="E1409" s="215"/>
      <c r="F1409" s="215"/>
      <c r="G1409" s="233"/>
    </row>
    <row r="1410">
      <c r="A1410" s="215"/>
      <c r="B1410" s="215"/>
      <c r="C1410" s="215"/>
      <c r="D1410" s="215"/>
      <c r="E1410" s="215"/>
      <c r="F1410" s="215"/>
      <c r="G1410" s="233"/>
    </row>
    <row r="1411">
      <c r="A1411" s="215"/>
      <c r="B1411" s="215"/>
      <c r="C1411" s="215"/>
      <c r="D1411" s="215"/>
      <c r="E1411" s="215"/>
      <c r="F1411" s="215"/>
      <c r="G1411" s="233"/>
    </row>
    <row r="1412">
      <c r="A1412" s="215"/>
      <c r="B1412" s="215"/>
      <c r="C1412" s="215"/>
      <c r="D1412" s="215"/>
      <c r="E1412" s="215"/>
      <c r="F1412" s="215"/>
      <c r="G1412" s="233"/>
    </row>
    <row r="1413">
      <c r="A1413" s="215"/>
      <c r="B1413" s="215"/>
      <c r="C1413" s="215"/>
      <c r="D1413" s="215"/>
      <c r="E1413" s="215"/>
      <c r="F1413" s="215"/>
      <c r="G1413" s="233"/>
    </row>
    <row r="1414">
      <c r="A1414" s="215"/>
      <c r="B1414" s="215"/>
      <c r="C1414" s="215"/>
      <c r="D1414" s="215"/>
      <c r="E1414" s="215"/>
      <c r="F1414" s="215"/>
      <c r="G1414" s="233"/>
    </row>
    <row r="1415">
      <c r="A1415" s="215"/>
      <c r="B1415" s="215"/>
      <c r="C1415" s="215"/>
      <c r="D1415" s="215"/>
      <c r="E1415" s="215"/>
      <c r="F1415" s="215"/>
      <c r="G1415" s="233"/>
    </row>
    <row r="1416">
      <c r="A1416" s="215"/>
      <c r="B1416" s="215"/>
      <c r="C1416" s="215"/>
      <c r="D1416" s="215"/>
      <c r="E1416" s="215"/>
      <c r="F1416" s="215"/>
      <c r="G1416" s="233"/>
    </row>
    <row r="1417">
      <c r="A1417" s="215"/>
      <c r="B1417" s="215"/>
      <c r="C1417" s="215"/>
      <c r="D1417" s="215"/>
      <c r="E1417" s="215"/>
      <c r="F1417" s="215"/>
      <c r="G1417" s="233"/>
    </row>
    <row r="1418">
      <c r="A1418" s="215"/>
      <c r="B1418" s="215"/>
      <c r="C1418" s="215"/>
      <c r="D1418" s="215"/>
      <c r="E1418" s="215"/>
      <c r="F1418" s="215"/>
      <c r="G1418" s="233"/>
    </row>
    <row r="1419">
      <c r="A1419" s="215"/>
      <c r="B1419" s="215"/>
      <c r="C1419" s="215"/>
      <c r="D1419" s="215"/>
      <c r="E1419" s="215"/>
      <c r="F1419" s="215"/>
      <c r="G1419" s="233"/>
    </row>
    <row r="1420">
      <c r="A1420" s="215"/>
      <c r="B1420" s="215"/>
      <c r="C1420" s="215"/>
      <c r="D1420" s="215"/>
      <c r="E1420" s="215"/>
      <c r="F1420" s="215"/>
      <c r="G1420" s="233"/>
    </row>
    <row r="1421">
      <c r="A1421" s="215"/>
      <c r="B1421" s="215"/>
      <c r="C1421" s="215"/>
      <c r="D1421" s="215"/>
      <c r="E1421" s="215"/>
      <c r="F1421" s="215"/>
      <c r="G1421" s="233"/>
    </row>
    <row r="1422">
      <c r="A1422" s="215"/>
      <c r="B1422" s="215"/>
      <c r="C1422" s="215"/>
      <c r="D1422" s="215"/>
      <c r="E1422" s="215"/>
      <c r="F1422" s="215"/>
      <c r="G1422" s="233"/>
    </row>
    <row r="1423">
      <c r="A1423" s="215"/>
      <c r="B1423" s="215"/>
      <c r="C1423" s="215"/>
      <c r="D1423" s="215"/>
      <c r="E1423" s="215"/>
      <c r="F1423" s="215"/>
      <c r="G1423" s="233"/>
    </row>
    <row r="1424">
      <c r="A1424" s="215"/>
      <c r="B1424" s="215"/>
      <c r="C1424" s="215"/>
      <c r="D1424" s="215"/>
      <c r="E1424" s="215"/>
      <c r="F1424" s="215"/>
      <c r="G1424" s="233"/>
    </row>
    <row r="1425">
      <c r="A1425" s="215"/>
      <c r="B1425" s="215"/>
      <c r="C1425" s="215"/>
      <c r="D1425" s="215"/>
      <c r="E1425" s="215"/>
      <c r="F1425" s="215"/>
      <c r="G1425" s="233"/>
    </row>
    <row r="1426">
      <c r="A1426" s="215"/>
      <c r="B1426" s="215"/>
      <c r="C1426" s="215"/>
      <c r="D1426" s="215"/>
      <c r="E1426" s="215"/>
      <c r="F1426" s="215"/>
      <c r="G1426" s="233"/>
    </row>
    <row r="1427">
      <c r="A1427" s="215"/>
      <c r="B1427" s="215"/>
      <c r="C1427" s="215"/>
      <c r="D1427" s="215"/>
      <c r="E1427" s="215"/>
      <c r="F1427" s="215"/>
      <c r="G1427" s="233"/>
    </row>
    <row r="1428">
      <c r="A1428" s="215"/>
      <c r="B1428" s="215"/>
      <c r="C1428" s="215"/>
      <c r="D1428" s="215"/>
      <c r="E1428" s="215"/>
      <c r="F1428" s="215"/>
      <c r="G1428" s="233"/>
    </row>
    <row r="1429">
      <c r="A1429" s="215"/>
      <c r="B1429" s="215"/>
      <c r="C1429" s="215"/>
      <c r="D1429" s="215"/>
      <c r="E1429" s="215"/>
      <c r="F1429" s="215"/>
      <c r="G1429" s="233"/>
    </row>
    <row r="1430">
      <c r="A1430" s="215"/>
      <c r="B1430" s="215"/>
      <c r="C1430" s="215"/>
      <c r="D1430" s="215"/>
      <c r="E1430" s="215"/>
      <c r="F1430" s="215"/>
      <c r="G1430" s="233"/>
    </row>
    <row r="1431">
      <c r="A1431" s="215"/>
      <c r="B1431" s="215"/>
      <c r="C1431" s="215"/>
      <c r="D1431" s="215"/>
      <c r="E1431" s="215"/>
      <c r="F1431" s="215"/>
      <c r="G1431" s="233"/>
    </row>
    <row r="1432">
      <c r="A1432" s="215"/>
      <c r="B1432" s="215"/>
      <c r="C1432" s="215"/>
      <c r="D1432" s="215"/>
      <c r="E1432" s="215"/>
      <c r="F1432" s="215"/>
      <c r="G1432" s="233"/>
    </row>
    <row r="1433">
      <c r="A1433" s="215"/>
      <c r="B1433" s="215"/>
      <c r="C1433" s="215"/>
      <c r="D1433" s="215"/>
      <c r="E1433" s="215"/>
      <c r="F1433" s="215"/>
      <c r="G1433" s="233"/>
    </row>
    <row r="1434">
      <c r="A1434" s="215"/>
      <c r="B1434" s="215"/>
      <c r="C1434" s="215"/>
      <c r="D1434" s="215"/>
      <c r="E1434" s="215"/>
      <c r="F1434" s="215"/>
      <c r="G1434" s="233"/>
    </row>
    <row r="1435">
      <c r="A1435" s="215"/>
      <c r="B1435" s="215"/>
      <c r="C1435" s="215"/>
      <c r="D1435" s="215"/>
      <c r="E1435" s="215"/>
      <c r="F1435" s="215"/>
      <c r="G1435" s="233"/>
    </row>
    <row r="1436">
      <c r="A1436" s="215"/>
      <c r="B1436" s="215"/>
      <c r="C1436" s="215"/>
      <c r="D1436" s="215"/>
      <c r="E1436" s="215"/>
      <c r="F1436" s="215"/>
      <c r="G1436" s="233"/>
    </row>
    <row r="1437">
      <c r="A1437" s="215"/>
      <c r="B1437" s="215"/>
      <c r="C1437" s="215"/>
      <c r="D1437" s="215"/>
      <c r="E1437" s="215"/>
      <c r="F1437" s="215"/>
      <c r="G1437" s="233"/>
    </row>
    <row r="1438">
      <c r="A1438" s="215"/>
      <c r="B1438" s="215"/>
      <c r="C1438" s="215"/>
      <c r="D1438" s="215"/>
      <c r="E1438" s="215"/>
      <c r="F1438" s="215"/>
      <c r="G1438" s="233"/>
    </row>
    <row r="1439">
      <c r="A1439" s="215"/>
      <c r="B1439" s="215"/>
      <c r="C1439" s="215"/>
      <c r="D1439" s="215"/>
      <c r="E1439" s="215"/>
      <c r="F1439" s="215"/>
      <c r="G1439" s="233"/>
    </row>
    <row r="1440">
      <c r="A1440" s="215"/>
      <c r="B1440" s="215"/>
      <c r="C1440" s="215"/>
      <c r="D1440" s="215"/>
      <c r="E1440" s="215"/>
      <c r="F1440" s="215"/>
      <c r="G1440" s="233"/>
    </row>
    <row r="1441">
      <c r="A1441" s="215"/>
      <c r="B1441" s="215"/>
      <c r="C1441" s="215"/>
      <c r="D1441" s="215"/>
      <c r="E1441" s="215"/>
      <c r="F1441" s="215"/>
      <c r="G1441" s="233"/>
    </row>
    <row r="1442">
      <c r="A1442" s="215"/>
      <c r="B1442" s="215"/>
      <c r="C1442" s="215"/>
      <c r="D1442" s="215"/>
      <c r="E1442" s="215"/>
      <c r="F1442" s="215"/>
      <c r="G1442" s="233"/>
    </row>
    <row r="1443">
      <c r="A1443" s="215"/>
      <c r="B1443" s="215"/>
      <c r="C1443" s="215"/>
      <c r="D1443" s="215"/>
      <c r="E1443" s="215"/>
      <c r="F1443" s="215"/>
      <c r="G1443" s="233"/>
    </row>
    <row r="1444">
      <c r="A1444" s="215"/>
      <c r="B1444" s="215"/>
      <c r="C1444" s="215"/>
      <c r="D1444" s="215"/>
      <c r="E1444" s="215"/>
      <c r="F1444" s="215"/>
      <c r="G1444" s="233"/>
    </row>
    <row r="1445">
      <c r="A1445" s="215"/>
      <c r="B1445" s="215"/>
      <c r="C1445" s="215"/>
      <c r="D1445" s="215"/>
      <c r="E1445" s="215"/>
      <c r="F1445" s="215"/>
      <c r="G1445" s="233"/>
    </row>
    <row r="1446">
      <c r="A1446" s="215"/>
      <c r="B1446" s="215"/>
      <c r="C1446" s="215"/>
      <c r="D1446" s="215"/>
      <c r="E1446" s="215"/>
      <c r="F1446" s="215"/>
      <c r="G1446" s="233"/>
    </row>
    <row r="1447">
      <c r="A1447" s="215"/>
      <c r="B1447" s="215"/>
      <c r="C1447" s="215"/>
      <c r="D1447" s="215"/>
      <c r="E1447" s="215"/>
      <c r="F1447" s="215"/>
      <c r="G1447" s="233"/>
    </row>
    <row r="1448">
      <c r="A1448" s="215"/>
      <c r="B1448" s="215"/>
      <c r="C1448" s="215"/>
      <c r="D1448" s="215"/>
      <c r="E1448" s="215"/>
      <c r="F1448" s="215"/>
      <c r="G1448" s="233"/>
    </row>
    <row r="1449">
      <c r="A1449" s="215"/>
      <c r="B1449" s="215"/>
      <c r="C1449" s="215"/>
      <c r="D1449" s="215"/>
      <c r="E1449" s="215"/>
      <c r="F1449" s="215"/>
      <c r="G1449" s="233"/>
    </row>
    <row r="1450">
      <c r="A1450" s="215"/>
      <c r="B1450" s="215"/>
      <c r="C1450" s="215"/>
      <c r="D1450" s="215"/>
      <c r="E1450" s="215"/>
      <c r="F1450" s="215"/>
      <c r="G1450" s="233"/>
    </row>
    <row r="1451">
      <c r="A1451" s="215"/>
      <c r="B1451" s="215"/>
      <c r="C1451" s="215"/>
      <c r="D1451" s="215"/>
      <c r="E1451" s="215"/>
      <c r="F1451" s="215"/>
      <c r="G1451" s="233"/>
    </row>
    <row r="1452">
      <c r="A1452" s="215"/>
      <c r="B1452" s="215"/>
      <c r="C1452" s="215"/>
      <c r="D1452" s="215"/>
      <c r="E1452" s="215"/>
      <c r="F1452" s="215"/>
      <c r="G1452" s="233"/>
    </row>
    <row r="1453">
      <c r="A1453" s="215"/>
      <c r="B1453" s="215"/>
      <c r="C1453" s="215"/>
      <c r="D1453" s="215"/>
      <c r="E1453" s="215"/>
      <c r="F1453" s="215"/>
      <c r="G1453" s="233"/>
    </row>
    <row r="1454">
      <c r="A1454" s="215"/>
      <c r="B1454" s="215"/>
      <c r="C1454" s="215"/>
      <c r="D1454" s="215"/>
      <c r="E1454" s="215"/>
      <c r="F1454" s="215"/>
      <c r="G1454" s="233"/>
    </row>
    <row r="1455">
      <c r="A1455" s="215"/>
      <c r="B1455" s="215"/>
      <c r="C1455" s="215"/>
      <c r="D1455" s="215"/>
      <c r="E1455" s="215"/>
      <c r="F1455" s="215"/>
      <c r="G1455" s="233"/>
    </row>
    <row r="1456">
      <c r="A1456" s="215"/>
      <c r="B1456" s="215"/>
      <c r="C1456" s="215"/>
      <c r="D1456" s="215"/>
      <c r="E1456" s="215"/>
      <c r="F1456" s="215"/>
      <c r="G1456" s="233"/>
    </row>
    <row r="1457">
      <c r="A1457" s="215"/>
      <c r="B1457" s="215"/>
      <c r="C1457" s="215"/>
      <c r="D1457" s="215"/>
      <c r="E1457" s="215"/>
      <c r="F1457" s="215"/>
      <c r="G1457" s="233"/>
    </row>
    <row r="1458">
      <c r="A1458" s="215"/>
      <c r="B1458" s="215"/>
      <c r="C1458" s="215"/>
      <c r="D1458" s="215"/>
      <c r="E1458" s="215"/>
      <c r="F1458" s="215"/>
      <c r="G1458" s="233"/>
    </row>
    <row r="1459">
      <c r="A1459" s="215"/>
      <c r="B1459" s="215"/>
      <c r="C1459" s="215"/>
      <c r="D1459" s="215"/>
      <c r="E1459" s="215"/>
      <c r="F1459" s="215"/>
      <c r="G1459" s="233"/>
    </row>
    <row r="1460">
      <c r="A1460" s="215"/>
      <c r="B1460" s="215"/>
      <c r="C1460" s="215"/>
      <c r="D1460" s="215"/>
      <c r="E1460" s="215"/>
      <c r="F1460" s="215"/>
      <c r="G1460" s="233"/>
    </row>
    <row r="1461">
      <c r="A1461" s="215"/>
      <c r="B1461" s="215"/>
      <c r="C1461" s="215"/>
      <c r="D1461" s="215"/>
      <c r="E1461" s="215"/>
      <c r="F1461" s="215"/>
      <c r="G1461" s="233"/>
    </row>
    <row r="1462">
      <c r="A1462" s="215"/>
      <c r="B1462" s="215"/>
      <c r="C1462" s="215"/>
      <c r="D1462" s="215"/>
      <c r="E1462" s="215"/>
      <c r="F1462" s="215"/>
      <c r="G1462" s="233"/>
    </row>
    <row r="1463">
      <c r="A1463" s="215"/>
      <c r="B1463" s="215"/>
      <c r="C1463" s="215"/>
      <c r="D1463" s="215"/>
      <c r="E1463" s="215"/>
      <c r="F1463" s="215"/>
      <c r="G1463" s="233"/>
    </row>
    <row r="1464">
      <c r="A1464" s="215"/>
      <c r="B1464" s="215"/>
      <c r="C1464" s="215"/>
      <c r="D1464" s="215"/>
      <c r="E1464" s="215"/>
      <c r="F1464" s="215"/>
      <c r="G1464" s="233"/>
    </row>
    <row r="1465">
      <c r="A1465" s="215"/>
      <c r="B1465" s="215"/>
      <c r="C1465" s="215"/>
      <c r="D1465" s="215"/>
      <c r="E1465" s="215"/>
      <c r="F1465" s="215"/>
      <c r="G1465" s="233"/>
    </row>
    <row r="1466">
      <c r="A1466" s="215"/>
      <c r="B1466" s="215"/>
      <c r="C1466" s="215"/>
      <c r="D1466" s="215"/>
      <c r="E1466" s="215"/>
      <c r="F1466" s="215"/>
      <c r="G1466" s="233"/>
    </row>
    <row r="1467">
      <c r="A1467" s="215"/>
      <c r="B1467" s="215"/>
      <c r="C1467" s="215"/>
      <c r="D1467" s="215"/>
      <c r="E1467" s="215"/>
      <c r="F1467" s="215"/>
      <c r="G1467" s="233"/>
    </row>
    <row r="1468">
      <c r="A1468" s="215"/>
      <c r="B1468" s="215"/>
      <c r="C1468" s="215"/>
      <c r="D1468" s="215"/>
      <c r="E1468" s="215"/>
      <c r="F1468" s="215"/>
      <c r="G1468" s="233"/>
    </row>
    <row r="1469">
      <c r="A1469" s="215"/>
      <c r="B1469" s="215"/>
      <c r="C1469" s="215"/>
      <c r="D1469" s="215"/>
      <c r="E1469" s="215"/>
      <c r="F1469" s="215"/>
      <c r="G1469" s="233"/>
    </row>
    <row r="1470">
      <c r="A1470" s="215"/>
      <c r="B1470" s="215"/>
      <c r="C1470" s="215"/>
      <c r="D1470" s="215"/>
      <c r="E1470" s="215"/>
      <c r="F1470" s="215"/>
      <c r="G1470" s="233"/>
    </row>
    <row r="1471">
      <c r="A1471" s="215"/>
      <c r="B1471" s="215"/>
      <c r="C1471" s="215"/>
      <c r="D1471" s="215"/>
      <c r="E1471" s="215"/>
      <c r="F1471" s="215"/>
      <c r="G1471" s="233"/>
    </row>
    <row r="1472">
      <c r="A1472" s="215"/>
      <c r="B1472" s="215"/>
      <c r="C1472" s="215"/>
      <c r="D1472" s="215"/>
      <c r="E1472" s="215"/>
      <c r="F1472" s="215"/>
      <c r="G1472" s="233"/>
    </row>
    <row r="1473">
      <c r="A1473" s="215"/>
      <c r="B1473" s="215"/>
      <c r="C1473" s="215"/>
      <c r="D1473" s="215"/>
      <c r="E1473" s="215"/>
      <c r="F1473" s="215"/>
      <c r="G1473" s="233"/>
    </row>
    <row r="1474">
      <c r="A1474" s="215"/>
      <c r="B1474" s="215"/>
      <c r="C1474" s="215"/>
      <c r="D1474" s="215"/>
      <c r="E1474" s="215"/>
      <c r="F1474" s="215"/>
      <c r="G1474" s="233"/>
    </row>
    <row r="1475">
      <c r="A1475" s="215"/>
      <c r="B1475" s="215"/>
      <c r="C1475" s="215"/>
      <c r="D1475" s="215"/>
      <c r="E1475" s="215"/>
      <c r="F1475" s="215"/>
      <c r="G1475" s="233"/>
    </row>
    <row r="1476">
      <c r="A1476" s="215"/>
      <c r="B1476" s="215"/>
      <c r="C1476" s="215"/>
      <c r="D1476" s="215"/>
      <c r="E1476" s="215"/>
      <c r="F1476" s="215"/>
      <c r="G1476" s="233"/>
    </row>
    <row r="1477">
      <c r="A1477" s="215"/>
      <c r="B1477" s="215"/>
      <c r="C1477" s="215"/>
      <c r="D1477" s="215"/>
      <c r="E1477" s="215"/>
      <c r="F1477" s="215"/>
      <c r="G1477" s="233"/>
    </row>
    <row r="1478">
      <c r="A1478" s="215"/>
      <c r="B1478" s="215"/>
      <c r="C1478" s="215"/>
      <c r="D1478" s="215"/>
      <c r="E1478" s="215"/>
      <c r="F1478" s="215"/>
      <c r="G1478" s="233"/>
    </row>
    <row r="1479">
      <c r="A1479" s="215"/>
      <c r="B1479" s="215"/>
      <c r="C1479" s="215"/>
      <c r="D1479" s="215"/>
      <c r="E1479" s="215"/>
      <c r="F1479" s="215"/>
      <c r="G1479" s="233"/>
    </row>
    <row r="1480">
      <c r="A1480" s="215"/>
      <c r="B1480" s="215"/>
      <c r="C1480" s="215"/>
      <c r="D1480" s="215"/>
      <c r="E1480" s="215"/>
      <c r="F1480" s="215"/>
      <c r="G1480" s="233"/>
    </row>
    <row r="1481">
      <c r="A1481" s="215"/>
      <c r="B1481" s="215"/>
      <c r="C1481" s="215"/>
      <c r="D1481" s="215"/>
      <c r="E1481" s="215"/>
      <c r="F1481" s="215"/>
      <c r="G1481" s="233"/>
    </row>
    <row r="1482">
      <c r="A1482" s="215"/>
      <c r="B1482" s="215"/>
      <c r="C1482" s="215"/>
      <c r="D1482" s="215"/>
      <c r="E1482" s="215"/>
      <c r="F1482" s="215"/>
      <c r="G1482" s="233"/>
    </row>
    <row r="1483">
      <c r="A1483" s="215"/>
      <c r="B1483" s="215"/>
      <c r="C1483" s="215"/>
      <c r="D1483" s="215"/>
      <c r="E1483" s="215"/>
      <c r="F1483" s="215"/>
      <c r="G1483" s="233"/>
    </row>
    <row r="1484">
      <c r="A1484" s="215"/>
      <c r="B1484" s="215"/>
      <c r="C1484" s="215"/>
      <c r="D1484" s="215"/>
      <c r="E1484" s="215"/>
      <c r="F1484" s="215"/>
      <c r="G1484" s="233"/>
    </row>
    <row r="1485">
      <c r="A1485" s="215"/>
      <c r="B1485" s="215"/>
      <c r="C1485" s="215"/>
      <c r="D1485" s="215"/>
      <c r="E1485" s="215"/>
      <c r="F1485" s="215"/>
      <c r="G1485" s="233"/>
    </row>
    <row r="1486">
      <c r="A1486" s="215"/>
      <c r="B1486" s="215"/>
      <c r="C1486" s="215"/>
      <c r="D1486" s="215"/>
      <c r="E1486" s="215"/>
      <c r="F1486" s="215"/>
      <c r="G1486" s="233"/>
    </row>
    <row r="1487">
      <c r="A1487" s="215"/>
      <c r="B1487" s="215"/>
      <c r="C1487" s="215"/>
      <c r="D1487" s="215"/>
      <c r="E1487" s="215"/>
      <c r="F1487" s="215"/>
      <c r="G1487" s="233"/>
    </row>
    <row r="1488">
      <c r="A1488" s="215"/>
      <c r="B1488" s="215"/>
      <c r="C1488" s="215"/>
      <c r="D1488" s="215"/>
      <c r="E1488" s="215"/>
      <c r="F1488" s="215"/>
      <c r="G1488" s="233"/>
    </row>
    <row r="1489">
      <c r="A1489" s="215"/>
      <c r="B1489" s="215"/>
      <c r="C1489" s="215"/>
      <c r="D1489" s="215"/>
      <c r="E1489" s="215"/>
      <c r="F1489" s="215"/>
      <c r="G1489" s="233"/>
    </row>
    <row r="1490">
      <c r="A1490" s="215"/>
      <c r="B1490" s="215"/>
      <c r="C1490" s="215"/>
      <c r="D1490" s="215"/>
      <c r="E1490" s="215"/>
      <c r="F1490" s="215"/>
      <c r="G1490" s="233"/>
    </row>
    <row r="1491">
      <c r="A1491" s="215"/>
      <c r="B1491" s="215"/>
      <c r="C1491" s="215"/>
      <c r="D1491" s="215"/>
      <c r="E1491" s="215"/>
      <c r="F1491" s="215"/>
      <c r="G1491" s="233"/>
    </row>
    <row r="1492">
      <c r="A1492" s="215"/>
      <c r="B1492" s="215"/>
      <c r="C1492" s="215"/>
      <c r="D1492" s="215"/>
      <c r="E1492" s="215"/>
      <c r="F1492" s="215"/>
      <c r="G1492" s="233"/>
    </row>
    <row r="1493">
      <c r="A1493" s="215"/>
      <c r="B1493" s="215"/>
      <c r="C1493" s="215"/>
      <c r="D1493" s="215"/>
      <c r="E1493" s="215"/>
      <c r="F1493" s="215"/>
      <c r="G1493" s="233"/>
    </row>
    <row r="1494">
      <c r="A1494" s="215"/>
      <c r="B1494" s="215"/>
      <c r="C1494" s="215"/>
      <c r="D1494" s="215"/>
      <c r="E1494" s="215"/>
      <c r="F1494" s="215"/>
      <c r="G1494" s="233"/>
    </row>
    <row r="1495">
      <c r="A1495" s="215"/>
      <c r="B1495" s="215"/>
      <c r="C1495" s="215"/>
      <c r="D1495" s="215"/>
      <c r="E1495" s="215"/>
      <c r="F1495" s="215"/>
      <c r="G1495" s="233"/>
    </row>
    <row r="1496">
      <c r="A1496" s="215"/>
      <c r="B1496" s="215"/>
      <c r="C1496" s="215"/>
      <c r="D1496" s="215"/>
      <c r="E1496" s="215"/>
      <c r="F1496" s="215"/>
      <c r="G1496" s="233"/>
    </row>
    <row r="1497">
      <c r="A1497" s="215"/>
      <c r="B1497" s="215"/>
      <c r="C1497" s="215"/>
      <c r="D1497" s="215"/>
      <c r="E1497" s="215"/>
      <c r="F1497" s="215"/>
      <c r="G1497" s="233"/>
    </row>
    <row r="1498">
      <c r="A1498" s="215"/>
      <c r="B1498" s="215"/>
      <c r="C1498" s="215"/>
      <c r="D1498" s="215"/>
      <c r="E1498" s="215"/>
      <c r="F1498" s="215"/>
      <c r="G1498" s="233"/>
    </row>
    <row r="1499">
      <c r="A1499" s="215"/>
      <c r="B1499" s="215"/>
      <c r="C1499" s="215"/>
      <c r="D1499" s="215"/>
      <c r="E1499" s="215"/>
      <c r="F1499" s="215"/>
      <c r="G1499" s="233"/>
    </row>
    <row r="1500">
      <c r="A1500" s="215"/>
      <c r="B1500" s="215"/>
      <c r="C1500" s="215"/>
      <c r="D1500" s="215"/>
      <c r="E1500" s="215"/>
      <c r="F1500" s="215"/>
      <c r="G1500" s="233"/>
    </row>
    <row r="1501">
      <c r="A1501" s="215"/>
      <c r="B1501" s="215"/>
      <c r="C1501" s="215"/>
      <c r="D1501" s="215"/>
      <c r="E1501" s="215"/>
      <c r="F1501" s="215"/>
      <c r="G1501" s="233"/>
    </row>
    <row r="1502">
      <c r="A1502" s="215"/>
      <c r="B1502" s="215"/>
      <c r="C1502" s="215"/>
      <c r="D1502" s="215"/>
      <c r="E1502" s="215"/>
      <c r="F1502" s="215"/>
      <c r="G1502" s="233"/>
    </row>
    <row r="1503">
      <c r="A1503" s="215"/>
      <c r="B1503" s="215"/>
      <c r="C1503" s="215"/>
      <c r="D1503" s="215"/>
      <c r="E1503" s="215"/>
      <c r="F1503" s="215"/>
      <c r="G1503" s="233"/>
    </row>
    <row r="1504">
      <c r="A1504" s="215"/>
      <c r="B1504" s="215"/>
      <c r="C1504" s="215"/>
      <c r="D1504" s="215"/>
      <c r="E1504" s="215"/>
      <c r="F1504" s="215"/>
      <c r="G1504" s="233"/>
    </row>
    <row r="1505">
      <c r="A1505" s="215"/>
      <c r="B1505" s="215"/>
      <c r="C1505" s="215"/>
      <c r="D1505" s="215"/>
      <c r="E1505" s="215"/>
      <c r="F1505" s="215"/>
      <c r="G1505" s="233"/>
    </row>
    <row r="1506">
      <c r="A1506" s="215"/>
      <c r="B1506" s="215"/>
      <c r="C1506" s="215"/>
      <c r="D1506" s="215"/>
      <c r="E1506" s="215"/>
      <c r="F1506" s="215"/>
      <c r="G1506" s="233"/>
    </row>
    <row r="1507">
      <c r="A1507" s="215"/>
      <c r="B1507" s="215"/>
      <c r="C1507" s="215"/>
      <c r="D1507" s="215"/>
      <c r="E1507" s="215"/>
      <c r="F1507" s="215"/>
      <c r="G1507" s="233"/>
    </row>
    <row r="1508">
      <c r="A1508" s="215"/>
      <c r="B1508" s="215"/>
      <c r="C1508" s="215"/>
      <c r="D1508" s="215"/>
      <c r="E1508" s="215"/>
      <c r="F1508" s="215"/>
      <c r="G1508" s="233"/>
    </row>
    <row r="1509">
      <c r="A1509" s="215"/>
      <c r="B1509" s="215"/>
      <c r="C1509" s="215"/>
      <c r="D1509" s="215"/>
      <c r="E1509" s="215"/>
      <c r="F1509" s="215"/>
      <c r="G1509" s="233"/>
    </row>
    <row r="1510">
      <c r="A1510" s="215"/>
      <c r="B1510" s="215"/>
      <c r="C1510" s="215"/>
      <c r="D1510" s="215"/>
      <c r="E1510" s="215"/>
      <c r="F1510" s="215"/>
      <c r="G1510" s="233"/>
    </row>
    <row r="1511">
      <c r="A1511" s="215"/>
      <c r="B1511" s="215"/>
      <c r="C1511" s="215"/>
      <c r="D1511" s="215"/>
      <c r="E1511" s="215"/>
      <c r="F1511" s="215"/>
      <c r="G1511" s="233"/>
    </row>
    <row r="1512">
      <c r="A1512" s="215"/>
      <c r="B1512" s="215"/>
      <c r="C1512" s="215"/>
      <c r="D1512" s="215"/>
      <c r="E1512" s="215"/>
      <c r="F1512" s="215"/>
      <c r="G1512" s="233"/>
    </row>
    <row r="1513">
      <c r="A1513" s="215"/>
      <c r="B1513" s="215"/>
      <c r="C1513" s="215"/>
      <c r="D1513" s="215"/>
      <c r="E1513" s="215"/>
      <c r="F1513" s="215"/>
      <c r="G1513" s="233"/>
    </row>
    <row r="1514">
      <c r="A1514" s="215"/>
      <c r="B1514" s="215"/>
      <c r="C1514" s="215"/>
      <c r="D1514" s="215"/>
      <c r="E1514" s="215"/>
      <c r="F1514" s="215"/>
      <c r="G1514" s="233"/>
    </row>
    <row r="1515">
      <c r="A1515" s="215"/>
      <c r="B1515" s="215"/>
      <c r="C1515" s="215"/>
      <c r="D1515" s="215"/>
      <c r="E1515" s="215"/>
      <c r="F1515" s="215"/>
      <c r="G1515" s="233"/>
    </row>
    <row r="1516">
      <c r="A1516" s="215"/>
      <c r="B1516" s="215"/>
      <c r="C1516" s="215"/>
      <c r="D1516" s="215"/>
      <c r="E1516" s="215"/>
      <c r="F1516" s="215"/>
      <c r="G1516" s="233"/>
    </row>
    <row r="1517">
      <c r="A1517" s="215"/>
      <c r="B1517" s="215"/>
      <c r="C1517" s="215"/>
      <c r="D1517" s="215"/>
      <c r="E1517" s="215"/>
      <c r="F1517" s="215"/>
      <c r="G1517" s="233"/>
    </row>
    <row r="1518">
      <c r="A1518" s="215"/>
      <c r="B1518" s="215"/>
      <c r="C1518" s="215"/>
      <c r="D1518" s="215"/>
      <c r="E1518" s="215"/>
      <c r="F1518" s="215"/>
      <c r="G1518" s="233"/>
    </row>
    <row r="1519">
      <c r="A1519" s="215"/>
      <c r="B1519" s="215"/>
      <c r="C1519" s="215"/>
      <c r="D1519" s="215"/>
      <c r="E1519" s="215"/>
      <c r="F1519" s="215"/>
      <c r="G1519" s="233"/>
    </row>
    <row r="1520">
      <c r="A1520" s="215"/>
      <c r="B1520" s="215"/>
      <c r="C1520" s="215"/>
      <c r="D1520" s="215"/>
      <c r="E1520" s="215"/>
      <c r="F1520" s="215"/>
      <c r="G1520" s="233"/>
    </row>
    <row r="1521">
      <c r="A1521" s="215"/>
      <c r="B1521" s="215"/>
      <c r="C1521" s="215"/>
      <c r="D1521" s="215"/>
      <c r="E1521" s="215"/>
      <c r="F1521" s="215"/>
      <c r="G1521" s="233"/>
    </row>
    <row r="1522">
      <c r="A1522" s="215"/>
      <c r="B1522" s="215"/>
      <c r="C1522" s="215"/>
      <c r="D1522" s="215"/>
      <c r="E1522" s="215"/>
      <c r="F1522" s="215"/>
      <c r="G1522" s="233"/>
    </row>
    <row r="1523">
      <c r="A1523" s="215"/>
      <c r="B1523" s="215"/>
      <c r="C1523" s="215"/>
      <c r="D1523" s="215"/>
      <c r="E1523" s="215"/>
      <c r="F1523" s="215"/>
      <c r="G1523" s="233"/>
    </row>
    <row r="1524">
      <c r="A1524" s="215"/>
      <c r="B1524" s="215"/>
      <c r="C1524" s="215"/>
      <c r="D1524" s="215"/>
      <c r="E1524" s="215"/>
      <c r="F1524" s="215"/>
      <c r="G1524" s="233"/>
    </row>
    <row r="1525">
      <c r="A1525" s="215"/>
      <c r="B1525" s="215"/>
      <c r="C1525" s="215"/>
      <c r="D1525" s="215"/>
      <c r="E1525" s="215"/>
      <c r="F1525" s="215"/>
      <c r="G1525" s="233"/>
    </row>
    <row r="1526">
      <c r="A1526" s="215"/>
      <c r="B1526" s="215"/>
      <c r="C1526" s="215"/>
      <c r="D1526" s="215"/>
      <c r="E1526" s="215"/>
      <c r="F1526" s="215"/>
      <c r="G1526" s="233"/>
    </row>
    <row r="1527">
      <c r="A1527" s="215"/>
      <c r="B1527" s="215"/>
      <c r="C1527" s="215"/>
      <c r="D1527" s="215"/>
      <c r="E1527" s="215"/>
      <c r="F1527" s="215"/>
      <c r="G1527" s="233"/>
    </row>
    <row r="1528">
      <c r="A1528" s="215"/>
      <c r="B1528" s="215"/>
      <c r="C1528" s="215"/>
      <c r="D1528" s="215"/>
      <c r="E1528" s="215"/>
      <c r="F1528" s="215"/>
      <c r="G1528" s="233"/>
    </row>
    <row r="1529">
      <c r="A1529" s="215"/>
      <c r="B1529" s="215"/>
      <c r="C1529" s="215"/>
      <c r="D1529" s="215"/>
      <c r="E1529" s="215"/>
      <c r="F1529" s="215"/>
      <c r="G1529" s="233"/>
    </row>
    <row r="1530">
      <c r="A1530" s="215"/>
      <c r="B1530" s="215"/>
      <c r="C1530" s="215"/>
      <c r="D1530" s="215"/>
      <c r="E1530" s="215"/>
      <c r="F1530" s="215"/>
      <c r="G1530" s="233"/>
    </row>
    <row r="1531">
      <c r="A1531" s="215"/>
      <c r="B1531" s="215"/>
      <c r="C1531" s="215"/>
      <c r="D1531" s="215"/>
      <c r="E1531" s="215"/>
      <c r="F1531" s="215"/>
      <c r="G1531" s="233"/>
    </row>
    <row r="1532">
      <c r="A1532" s="215"/>
      <c r="B1532" s="215"/>
      <c r="C1532" s="215"/>
      <c r="D1532" s="215"/>
      <c r="E1532" s="215"/>
      <c r="F1532" s="215"/>
      <c r="G1532" s="233"/>
    </row>
    <row r="1533">
      <c r="A1533" s="215"/>
      <c r="B1533" s="215"/>
      <c r="C1533" s="215"/>
      <c r="D1533" s="215"/>
      <c r="E1533" s="215"/>
      <c r="F1533" s="215"/>
      <c r="G1533" s="233"/>
    </row>
    <row r="1534">
      <c r="A1534" s="215"/>
      <c r="B1534" s="215"/>
      <c r="C1534" s="215"/>
      <c r="D1534" s="215"/>
      <c r="E1534" s="215"/>
      <c r="F1534" s="215"/>
      <c r="G1534" s="233"/>
    </row>
    <row r="1535">
      <c r="A1535" s="215"/>
      <c r="B1535" s="215"/>
      <c r="C1535" s="215"/>
      <c r="D1535" s="215"/>
      <c r="E1535" s="215"/>
      <c r="F1535" s="215"/>
      <c r="G1535" s="233"/>
    </row>
    <row r="1536">
      <c r="A1536" s="215"/>
      <c r="B1536" s="215"/>
      <c r="C1536" s="215"/>
      <c r="D1536" s="215"/>
      <c r="E1536" s="215"/>
      <c r="F1536" s="215"/>
      <c r="G1536" s="233"/>
    </row>
    <row r="1537">
      <c r="A1537" s="215"/>
      <c r="B1537" s="215"/>
      <c r="C1537" s="215"/>
      <c r="D1537" s="215"/>
      <c r="E1537" s="215"/>
      <c r="F1537" s="215"/>
      <c r="G1537" s="233"/>
    </row>
    <row r="1538">
      <c r="A1538" s="215"/>
      <c r="B1538" s="215"/>
      <c r="C1538" s="215"/>
      <c r="D1538" s="215"/>
      <c r="E1538" s="215"/>
      <c r="F1538" s="215"/>
      <c r="G1538" s="233"/>
    </row>
    <row r="1539">
      <c r="A1539" s="215"/>
      <c r="B1539" s="215"/>
      <c r="C1539" s="215"/>
      <c r="D1539" s="215"/>
      <c r="E1539" s="215"/>
      <c r="F1539" s="215"/>
      <c r="G1539" s="233"/>
    </row>
    <row r="1540">
      <c r="A1540" s="215"/>
      <c r="B1540" s="215"/>
      <c r="C1540" s="215"/>
      <c r="D1540" s="215"/>
      <c r="E1540" s="215"/>
      <c r="F1540" s="215"/>
      <c r="G1540" s="233"/>
    </row>
    <row r="1541">
      <c r="A1541" s="215"/>
      <c r="B1541" s="215"/>
      <c r="C1541" s="215"/>
      <c r="D1541" s="215"/>
      <c r="E1541" s="215"/>
      <c r="F1541" s="215"/>
      <c r="G1541" s="233"/>
    </row>
    <row r="1542">
      <c r="A1542" s="215"/>
      <c r="B1542" s="215"/>
      <c r="C1542" s="215"/>
      <c r="D1542" s="215"/>
      <c r="E1542" s="215"/>
      <c r="F1542" s="215"/>
      <c r="G1542" s="233"/>
    </row>
    <row r="1543">
      <c r="A1543" s="215"/>
      <c r="B1543" s="215"/>
      <c r="C1543" s="215"/>
      <c r="D1543" s="215"/>
      <c r="E1543" s="215"/>
      <c r="F1543" s="215"/>
      <c r="G1543" s="233"/>
    </row>
    <row r="1544">
      <c r="A1544" s="215"/>
      <c r="B1544" s="215"/>
      <c r="C1544" s="215"/>
      <c r="D1544" s="215"/>
      <c r="E1544" s="215"/>
      <c r="F1544" s="215"/>
      <c r="G1544" s="233"/>
    </row>
    <row r="1545">
      <c r="A1545" s="215"/>
      <c r="B1545" s="215"/>
      <c r="C1545" s="215"/>
      <c r="D1545" s="215"/>
      <c r="E1545" s="215"/>
      <c r="F1545" s="215"/>
      <c r="G1545" s="233"/>
    </row>
    <row r="1546">
      <c r="A1546" s="215"/>
      <c r="B1546" s="215"/>
      <c r="C1546" s="215"/>
      <c r="D1546" s="215"/>
      <c r="E1546" s="215"/>
      <c r="F1546" s="215"/>
      <c r="G1546" s="233"/>
    </row>
    <row r="1547">
      <c r="A1547" s="215"/>
      <c r="B1547" s="215"/>
      <c r="C1547" s="215"/>
      <c r="D1547" s="215"/>
      <c r="E1547" s="215"/>
      <c r="F1547" s="215"/>
      <c r="G1547" s="233"/>
    </row>
    <row r="1548">
      <c r="A1548" s="215"/>
      <c r="B1548" s="215"/>
      <c r="C1548" s="215"/>
      <c r="D1548" s="215"/>
      <c r="E1548" s="215"/>
      <c r="F1548" s="215"/>
      <c r="G1548" s="233"/>
    </row>
    <row r="1549">
      <c r="A1549" s="215"/>
      <c r="B1549" s="215"/>
      <c r="C1549" s="215"/>
      <c r="D1549" s="215"/>
      <c r="E1549" s="215"/>
      <c r="F1549" s="215"/>
      <c r="G1549" s="233"/>
    </row>
    <row r="1550">
      <c r="A1550" s="215"/>
      <c r="B1550" s="215"/>
      <c r="C1550" s="215"/>
      <c r="D1550" s="215"/>
      <c r="E1550" s="215"/>
      <c r="F1550" s="215"/>
      <c r="G1550" s="233"/>
    </row>
    <row r="1551">
      <c r="A1551" s="215"/>
      <c r="B1551" s="215"/>
      <c r="C1551" s="215"/>
      <c r="D1551" s="215"/>
      <c r="E1551" s="215"/>
      <c r="F1551" s="215"/>
      <c r="G1551" s="233"/>
    </row>
    <row r="1552">
      <c r="A1552" s="215"/>
      <c r="B1552" s="215"/>
      <c r="C1552" s="215"/>
      <c r="D1552" s="215"/>
      <c r="E1552" s="215"/>
      <c r="F1552" s="215"/>
      <c r="G1552" s="233"/>
    </row>
    <row r="1553">
      <c r="A1553" s="215"/>
      <c r="B1553" s="215"/>
      <c r="C1553" s="215"/>
      <c r="D1553" s="215"/>
      <c r="E1553" s="215"/>
      <c r="F1553" s="215"/>
      <c r="G1553" s="233"/>
    </row>
    <row r="1554">
      <c r="A1554" s="215"/>
      <c r="B1554" s="215"/>
      <c r="C1554" s="215"/>
      <c r="D1554" s="215"/>
      <c r="E1554" s="215"/>
      <c r="F1554" s="215"/>
      <c r="G1554" s="233"/>
    </row>
    <row r="1555">
      <c r="A1555" s="215"/>
      <c r="B1555" s="215"/>
      <c r="C1555" s="215"/>
      <c r="D1555" s="215"/>
      <c r="E1555" s="215"/>
      <c r="F1555" s="215"/>
      <c r="G1555" s="233"/>
    </row>
    <row r="1556">
      <c r="A1556" s="215"/>
      <c r="B1556" s="215"/>
      <c r="C1556" s="215"/>
      <c r="D1556" s="215"/>
      <c r="E1556" s="215"/>
      <c r="F1556" s="215"/>
      <c r="G1556" s="233"/>
    </row>
    <row r="1557">
      <c r="A1557" s="215"/>
      <c r="B1557" s="215"/>
      <c r="C1557" s="215"/>
      <c r="D1557" s="215"/>
      <c r="E1557" s="215"/>
      <c r="F1557" s="215"/>
      <c r="G1557" s="233"/>
    </row>
    <row r="1558">
      <c r="A1558" s="215"/>
      <c r="B1558" s="215"/>
      <c r="C1558" s="215"/>
      <c r="D1558" s="215"/>
      <c r="E1558" s="215"/>
      <c r="F1558" s="215"/>
      <c r="G1558" s="233"/>
    </row>
    <row r="1559">
      <c r="A1559" s="215"/>
      <c r="B1559" s="215"/>
      <c r="C1559" s="215"/>
      <c r="D1559" s="215"/>
      <c r="E1559" s="215"/>
      <c r="F1559" s="215"/>
      <c r="G1559" s="233"/>
    </row>
    <row r="1560">
      <c r="A1560" s="215"/>
      <c r="B1560" s="215"/>
      <c r="C1560" s="215"/>
      <c r="D1560" s="215"/>
      <c r="E1560" s="215"/>
      <c r="F1560" s="215"/>
      <c r="G1560" s="233"/>
    </row>
    <row r="1561">
      <c r="A1561" s="215"/>
      <c r="B1561" s="215"/>
      <c r="C1561" s="215"/>
      <c r="D1561" s="215"/>
      <c r="E1561" s="215"/>
      <c r="F1561" s="215"/>
      <c r="G1561" s="233"/>
    </row>
    <row r="1562">
      <c r="A1562" s="215"/>
      <c r="B1562" s="215"/>
      <c r="C1562" s="215"/>
      <c r="D1562" s="215"/>
      <c r="E1562" s="215"/>
      <c r="F1562" s="215"/>
      <c r="G1562" s="233"/>
    </row>
    <row r="1563">
      <c r="A1563" s="215"/>
      <c r="B1563" s="215"/>
      <c r="C1563" s="215"/>
      <c r="D1563" s="215"/>
      <c r="E1563" s="215"/>
      <c r="F1563" s="215"/>
      <c r="G1563" s="233"/>
    </row>
    <row r="1564">
      <c r="A1564" s="215"/>
      <c r="B1564" s="215"/>
      <c r="C1564" s="215"/>
      <c r="D1564" s="215"/>
      <c r="E1564" s="215"/>
      <c r="F1564" s="215"/>
      <c r="G1564" s="233"/>
    </row>
    <row r="1565">
      <c r="A1565" s="215"/>
      <c r="B1565" s="215"/>
      <c r="C1565" s="215"/>
      <c r="D1565" s="215"/>
      <c r="E1565" s="215"/>
      <c r="F1565" s="215"/>
      <c r="G1565" s="233"/>
    </row>
    <row r="1566">
      <c r="A1566" s="215"/>
      <c r="B1566" s="215"/>
      <c r="C1566" s="215"/>
      <c r="D1566" s="215"/>
      <c r="E1566" s="215"/>
      <c r="F1566" s="215"/>
      <c r="G1566" s="233"/>
    </row>
    <row r="1567">
      <c r="A1567" s="215"/>
      <c r="B1567" s="215"/>
      <c r="C1567" s="215"/>
      <c r="D1567" s="215"/>
      <c r="E1567" s="215"/>
      <c r="F1567" s="215"/>
      <c r="G1567" s="233"/>
    </row>
    <row r="1568">
      <c r="A1568" s="215"/>
      <c r="B1568" s="215"/>
      <c r="C1568" s="215"/>
      <c r="D1568" s="215"/>
      <c r="E1568" s="215"/>
      <c r="F1568" s="215"/>
      <c r="G1568" s="233"/>
    </row>
    <row r="1569">
      <c r="A1569" s="215"/>
      <c r="B1569" s="215"/>
      <c r="C1569" s="215"/>
      <c r="D1569" s="215"/>
      <c r="E1569" s="215"/>
      <c r="F1569" s="215"/>
      <c r="G1569" s="233"/>
    </row>
    <row r="1570">
      <c r="A1570" s="215"/>
      <c r="B1570" s="215"/>
      <c r="C1570" s="215"/>
      <c r="D1570" s="215"/>
      <c r="E1570" s="215"/>
      <c r="F1570" s="215"/>
      <c r="G1570" s="233"/>
    </row>
    <row r="1571">
      <c r="A1571" s="215"/>
      <c r="B1571" s="215"/>
      <c r="C1571" s="215"/>
      <c r="D1571" s="215"/>
      <c r="E1571" s="215"/>
      <c r="F1571" s="215"/>
      <c r="G1571" s="233"/>
    </row>
    <row r="1572">
      <c r="A1572" s="215"/>
      <c r="B1572" s="215"/>
      <c r="C1572" s="215"/>
      <c r="D1572" s="215"/>
      <c r="E1572" s="215"/>
      <c r="F1572" s="215"/>
      <c r="G1572" s="233"/>
    </row>
    <row r="1573">
      <c r="A1573" s="215"/>
      <c r="B1573" s="215"/>
      <c r="C1573" s="215"/>
      <c r="D1573" s="215"/>
      <c r="E1573" s="215"/>
      <c r="F1573" s="215"/>
      <c r="G1573" s="233"/>
    </row>
    <row r="1574">
      <c r="A1574" s="215"/>
      <c r="B1574" s="215"/>
      <c r="C1574" s="215"/>
      <c r="D1574" s="215"/>
      <c r="E1574" s="215"/>
      <c r="F1574" s="215"/>
      <c r="G1574" s="233"/>
    </row>
    <row r="1575">
      <c r="A1575" s="215"/>
      <c r="B1575" s="215"/>
      <c r="C1575" s="215"/>
      <c r="D1575" s="215"/>
      <c r="E1575" s="215"/>
      <c r="F1575" s="215"/>
      <c r="G1575" s="233"/>
    </row>
    <row r="1576">
      <c r="A1576" s="215"/>
      <c r="B1576" s="215"/>
      <c r="C1576" s="215"/>
      <c r="D1576" s="215"/>
      <c r="E1576" s="215"/>
      <c r="F1576" s="215"/>
      <c r="G1576" s="233"/>
    </row>
    <row r="1577">
      <c r="A1577" s="215"/>
      <c r="B1577" s="215"/>
      <c r="C1577" s="215"/>
      <c r="D1577" s="215"/>
      <c r="E1577" s="215"/>
      <c r="F1577" s="215"/>
      <c r="G1577" s="233"/>
    </row>
    <row r="1578">
      <c r="A1578" s="215"/>
      <c r="B1578" s="215"/>
      <c r="C1578" s="215"/>
      <c r="D1578" s="215"/>
      <c r="E1578" s="215"/>
      <c r="F1578" s="215"/>
      <c r="G1578" s="233"/>
    </row>
    <row r="1579">
      <c r="A1579" s="215"/>
      <c r="B1579" s="215"/>
      <c r="C1579" s="215"/>
      <c r="D1579" s="215"/>
      <c r="E1579" s="215"/>
      <c r="F1579" s="215"/>
      <c r="G1579" s="233"/>
    </row>
    <row r="1580">
      <c r="A1580" s="215"/>
      <c r="B1580" s="215"/>
      <c r="C1580" s="215"/>
      <c r="D1580" s="215"/>
      <c r="E1580" s="215"/>
      <c r="F1580" s="215"/>
      <c r="G1580" s="233"/>
    </row>
    <row r="1581">
      <c r="A1581" s="215"/>
      <c r="B1581" s="215"/>
      <c r="C1581" s="215"/>
      <c r="D1581" s="215"/>
      <c r="E1581" s="215"/>
      <c r="F1581" s="215"/>
      <c r="G1581" s="233"/>
    </row>
    <row r="1582">
      <c r="A1582" s="215"/>
      <c r="B1582" s="215"/>
      <c r="C1582" s="215"/>
      <c r="D1582" s="215"/>
      <c r="E1582" s="215"/>
      <c r="F1582" s="215"/>
      <c r="G1582" s="233"/>
    </row>
    <row r="1583">
      <c r="A1583" s="215"/>
      <c r="B1583" s="215"/>
      <c r="C1583" s="215"/>
      <c r="D1583" s="215"/>
      <c r="E1583" s="215"/>
      <c r="F1583" s="215"/>
      <c r="G1583" s="233"/>
    </row>
    <row r="1584">
      <c r="A1584" s="215"/>
      <c r="B1584" s="215"/>
      <c r="C1584" s="215"/>
      <c r="D1584" s="215"/>
      <c r="E1584" s="215"/>
      <c r="F1584" s="215"/>
      <c r="G1584" s="233"/>
    </row>
    <row r="1585">
      <c r="A1585" s="215"/>
      <c r="B1585" s="215"/>
      <c r="C1585" s="215"/>
      <c r="D1585" s="215"/>
      <c r="E1585" s="215"/>
      <c r="F1585" s="215"/>
      <c r="G1585" s="233"/>
    </row>
    <row r="1586">
      <c r="A1586" s="215"/>
      <c r="B1586" s="215"/>
      <c r="C1586" s="215"/>
      <c r="D1586" s="215"/>
      <c r="E1586" s="215"/>
      <c r="F1586" s="215"/>
      <c r="G1586" s="233"/>
    </row>
    <row r="1587">
      <c r="A1587" s="215"/>
      <c r="B1587" s="215"/>
      <c r="C1587" s="215"/>
      <c r="D1587" s="215"/>
      <c r="E1587" s="215"/>
      <c r="F1587" s="215"/>
      <c r="G1587" s="233"/>
    </row>
    <row r="1588">
      <c r="A1588" s="215"/>
      <c r="B1588" s="215"/>
      <c r="C1588" s="215"/>
      <c r="D1588" s="215"/>
      <c r="E1588" s="215"/>
      <c r="F1588" s="215"/>
      <c r="G1588" s="233"/>
    </row>
    <row r="1589">
      <c r="A1589" s="215"/>
      <c r="B1589" s="215"/>
      <c r="C1589" s="215"/>
      <c r="D1589" s="215"/>
      <c r="E1589" s="215"/>
      <c r="F1589" s="215"/>
      <c r="G1589" s="233"/>
    </row>
    <row r="1590">
      <c r="A1590" s="215"/>
      <c r="B1590" s="215"/>
      <c r="C1590" s="215"/>
      <c r="D1590" s="215"/>
      <c r="E1590" s="215"/>
      <c r="F1590" s="215"/>
      <c r="G1590" s="233"/>
    </row>
    <row r="1591">
      <c r="A1591" s="215"/>
      <c r="B1591" s="215"/>
      <c r="C1591" s="215"/>
      <c r="D1591" s="215"/>
      <c r="E1591" s="215"/>
      <c r="F1591" s="215"/>
      <c r="G1591" s="233"/>
    </row>
    <row r="1592">
      <c r="A1592" s="215"/>
      <c r="B1592" s="215"/>
      <c r="C1592" s="215"/>
      <c r="D1592" s="215"/>
      <c r="E1592" s="215"/>
      <c r="F1592" s="215"/>
      <c r="G1592" s="233"/>
    </row>
    <row r="1593">
      <c r="A1593" s="215"/>
      <c r="B1593" s="215"/>
      <c r="C1593" s="215"/>
      <c r="D1593" s="215"/>
      <c r="E1593" s="215"/>
      <c r="F1593" s="215"/>
      <c r="G1593" s="233"/>
    </row>
    <row r="1594">
      <c r="A1594" s="215"/>
      <c r="B1594" s="215"/>
      <c r="C1594" s="215"/>
      <c r="D1594" s="215"/>
      <c r="E1594" s="215"/>
      <c r="F1594" s="215"/>
      <c r="G1594" s="233"/>
    </row>
    <row r="1595">
      <c r="A1595" s="215"/>
      <c r="B1595" s="215"/>
      <c r="C1595" s="215"/>
      <c r="D1595" s="215"/>
      <c r="E1595" s="215"/>
      <c r="F1595" s="215"/>
      <c r="G1595" s="233"/>
    </row>
    <row r="1596">
      <c r="A1596" s="215"/>
      <c r="B1596" s="215"/>
      <c r="C1596" s="215"/>
      <c r="D1596" s="215"/>
      <c r="E1596" s="215"/>
      <c r="F1596" s="215"/>
      <c r="G1596" s="233"/>
    </row>
    <row r="1597">
      <c r="A1597" s="215"/>
      <c r="B1597" s="215"/>
      <c r="C1597" s="215"/>
      <c r="D1597" s="215"/>
      <c r="E1597" s="215"/>
      <c r="F1597" s="215"/>
      <c r="G1597" s="233"/>
    </row>
    <row r="1598">
      <c r="A1598" s="215"/>
      <c r="B1598" s="215"/>
      <c r="C1598" s="215"/>
      <c r="D1598" s="215"/>
      <c r="E1598" s="215"/>
      <c r="F1598" s="215"/>
      <c r="G1598" s="233"/>
    </row>
    <row r="1599">
      <c r="A1599" s="215"/>
      <c r="B1599" s="215"/>
      <c r="C1599" s="215"/>
      <c r="D1599" s="215"/>
      <c r="E1599" s="215"/>
      <c r="F1599" s="215"/>
      <c r="G1599" s="233"/>
    </row>
    <row r="1600">
      <c r="A1600" s="215"/>
      <c r="B1600" s="215"/>
      <c r="C1600" s="215"/>
      <c r="D1600" s="215"/>
      <c r="E1600" s="215"/>
      <c r="F1600" s="215"/>
      <c r="G1600" s="233"/>
    </row>
    <row r="1601">
      <c r="A1601" s="215"/>
      <c r="B1601" s="215"/>
      <c r="C1601" s="215"/>
      <c r="D1601" s="215"/>
      <c r="E1601" s="215"/>
      <c r="F1601" s="215"/>
      <c r="G1601" s="233"/>
    </row>
    <row r="1602">
      <c r="A1602" s="215"/>
      <c r="B1602" s="215"/>
      <c r="C1602" s="215"/>
      <c r="D1602" s="215"/>
      <c r="E1602" s="215"/>
      <c r="F1602" s="215"/>
      <c r="G1602" s="233"/>
    </row>
    <row r="1603">
      <c r="A1603" s="215"/>
      <c r="B1603" s="215"/>
      <c r="C1603" s="215"/>
      <c r="D1603" s="215"/>
      <c r="E1603" s="215"/>
      <c r="F1603" s="215"/>
      <c r="G1603" s="233"/>
    </row>
    <row r="1604">
      <c r="A1604" s="215"/>
      <c r="B1604" s="215"/>
      <c r="C1604" s="215"/>
      <c r="D1604" s="215"/>
      <c r="E1604" s="215"/>
      <c r="F1604" s="215"/>
      <c r="G1604" s="233"/>
    </row>
    <row r="1605">
      <c r="A1605" s="215"/>
      <c r="B1605" s="215"/>
      <c r="C1605" s="215"/>
      <c r="D1605" s="215"/>
      <c r="E1605" s="215"/>
      <c r="F1605" s="215"/>
      <c r="G1605" s="233"/>
    </row>
    <row r="1606">
      <c r="A1606" s="215"/>
      <c r="B1606" s="215"/>
      <c r="C1606" s="215"/>
      <c r="D1606" s="215"/>
      <c r="E1606" s="215"/>
      <c r="F1606" s="215"/>
      <c r="G1606" s="233"/>
    </row>
    <row r="1607">
      <c r="A1607" s="215"/>
      <c r="B1607" s="215"/>
      <c r="C1607" s="215"/>
      <c r="D1607" s="215"/>
      <c r="E1607" s="215"/>
      <c r="F1607" s="215"/>
      <c r="G1607" s="233"/>
    </row>
    <row r="1608">
      <c r="A1608" s="215"/>
      <c r="B1608" s="215"/>
      <c r="C1608" s="215"/>
      <c r="D1608" s="215"/>
      <c r="E1608" s="215"/>
      <c r="F1608" s="215"/>
      <c r="G1608" s="233"/>
    </row>
    <row r="1609">
      <c r="A1609" s="215"/>
      <c r="B1609" s="215"/>
      <c r="C1609" s="215"/>
      <c r="D1609" s="215"/>
      <c r="E1609" s="215"/>
      <c r="F1609" s="215"/>
      <c r="G1609" s="233"/>
    </row>
    <row r="1610">
      <c r="A1610" s="215"/>
      <c r="B1610" s="215"/>
      <c r="C1610" s="215"/>
      <c r="D1610" s="215"/>
      <c r="E1610" s="215"/>
      <c r="F1610" s="215"/>
      <c r="G1610" s="233"/>
    </row>
    <row r="1611">
      <c r="A1611" s="215"/>
      <c r="B1611" s="215"/>
      <c r="C1611" s="215"/>
      <c r="D1611" s="215"/>
      <c r="E1611" s="215"/>
      <c r="F1611" s="215"/>
      <c r="G1611" s="233"/>
    </row>
    <row r="1612">
      <c r="A1612" s="215"/>
      <c r="B1612" s="215"/>
      <c r="C1612" s="215"/>
      <c r="D1612" s="215"/>
      <c r="E1612" s="215"/>
      <c r="F1612" s="215"/>
      <c r="G1612" s="233"/>
    </row>
    <row r="1613">
      <c r="A1613" s="215"/>
      <c r="B1613" s="215"/>
      <c r="C1613" s="215"/>
      <c r="D1613" s="215"/>
      <c r="E1613" s="215"/>
      <c r="F1613" s="215"/>
      <c r="G1613" s="233"/>
    </row>
    <row r="1614">
      <c r="A1614" s="215"/>
      <c r="B1614" s="215"/>
      <c r="C1614" s="215"/>
      <c r="D1614" s="215"/>
      <c r="E1614" s="215"/>
      <c r="F1614" s="215"/>
      <c r="G1614" s="233"/>
    </row>
    <row r="1615">
      <c r="A1615" s="215"/>
      <c r="B1615" s="215"/>
      <c r="C1615" s="215"/>
      <c r="D1615" s="215"/>
      <c r="E1615" s="215"/>
      <c r="F1615" s="215"/>
      <c r="G1615" s="233"/>
    </row>
    <row r="1616">
      <c r="A1616" s="215"/>
      <c r="B1616" s="215"/>
      <c r="C1616" s="215"/>
      <c r="D1616" s="215"/>
      <c r="E1616" s="215"/>
      <c r="F1616" s="215"/>
      <c r="G1616" s="233"/>
    </row>
    <row r="1617">
      <c r="A1617" s="215"/>
      <c r="B1617" s="215"/>
      <c r="C1617" s="215"/>
      <c r="D1617" s="215"/>
      <c r="E1617" s="215"/>
      <c r="F1617" s="215"/>
      <c r="G1617" s="233"/>
    </row>
    <row r="1618">
      <c r="A1618" s="215"/>
      <c r="B1618" s="215"/>
      <c r="C1618" s="215"/>
      <c r="D1618" s="215"/>
      <c r="E1618" s="215"/>
      <c r="F1618" s="215"/>
      <c r="G1618" s="233"/>
    </row>
    <row r="1619">
      <c r="A1619" s="215"/>
      <c r="B1619" s="215"/>
      <c r="C1619" s="215"/>
      <c r="D1619" s="215"/>
      <c r="E1619" s="215"/>
      <c r="F1619" s="215"/>
      <c r="G1619" s="233"/>
    </row>
    <row r="1620">
      <c r="A1620" s="215"/>
      <c r="B1620" s="215"/>
      <c r="C1620" s="215"/>
      <c r="D1620" s="215"/>
      <c r="E1620" s="215"/>
      <c r="F1620" s="215"/>
      <c r="G1620" s="233"/>
    </row>
    <row r="1621">
      <c r="A1621" s="215"/>
      <c r="B1621" s="215"/>
      <c r="C1621" s="215"/>
      <c r="D1621" s="215"/>
      <c r="E1621" s="215"/>
      <c r="F1621" s="215"/>
      <c r="G1621" s="233"/>
    </row>
    <row r="1622">
      <c r="A1622" s="215"/>
      <c r="B1622" s="215"/>
      <c r="C1622" s="215"/>
      <c r="D1622" s="215"/>
      <c r="E1622" s="215"/>
      <c r="F1622" s="215"/>
      <c r="G1622" s="233"/>
    </row>
    <row r="1623">
      <c r="A1623" s="215"/>
      <c r="B1623" s="215"/>
      <c r="C1623" s="215"/>
      <c r="D1623" s="215"/>
      <c r="E1623" s="215"/>
      <c r="F1623" s="215"/>
      <c r="G1623" s="233"/>
    </row>
    <row r="1624">
      <c r="A1624" s="215"/>
      <c r="B1624" s="215"/>
      <c r="C1624" s="215"/>
      <c r="D1624" s="215"/>
      <c r="E1624" s="215"/>
      <c r="F1624" s="215"/>
      <c r="G1624" s="233"/>
    </row>
    <row r="1625">
      <c r="A1625" s="215"/>
      <c r="B1625" s="215"/>
      <c r="C1625" s="215"/>
      <c r="D1625" s="215"/>
      <c r="E1625" s="215"/>
      <c r="F1625" s="215"/>
      <c r="G1625" s="233"/>
    </row>
    <row r="1626">
      <c r="A1626" s="215"/>
      <c r="B1626" s="215"/>
      <c r="C1626" s="215"/>
      <c r="D1626" s="215"/>
      <c r="E1626" s="215"/>
      <c r="F1626" s="215"/>
      <c r="G1626" s="233"/>
    </row>
    <row r="1627">
      <c r="A1627" s="215"/>
      <c r="B1627" s="215"/>
      <c r="C1627" s="215"/>
      <c r="D1627" s="215"/>
      <c r="E1627" s="215"/>
      <c r="F1627" s="215"/>
      <c r="G1627" s="233"/>
    </row>
    <row r="1628">
      <c r="A1628" s="215"/>
      <c r="B1628" s="215"/>
      <c r="C1628" s="215"/>
      <c r="D1628" s="215"/>
      <c r="E1628" s="215"/>
      <c r="F1628" s="215"/>
      <c r="G1628" s="233"/>
    </row>
    <row r="1629">
      <c r="A1629" s="215"/>
      <c r="B1629" s="215"/>
      <c r="C1629" s="215"/>
      <c r="D1629" s="215"/>
      <c r="E1629" s="215"/>
      <c r="F1629" s="215"/>
      <c r="G1629" s="233"/>
    </row>
    <row r="1630">
      <c r="A1630" s="215"/>
      <c r="B1630" s="215"/>
      <c r="C1630" s="215"/>
      <c r="D1630" s="215"/>
      <c r="E1630" s="215"/>
      <c r="F1630" s="215"/>
      <c r="G1630" s="233"/>
    </row>
    <row r="1631">
      <c r="A1631" s="215"/>
      <c r="B1631" s="215"/>
      <c r="C1631" s="215"/>
      <c r="D1631" s="215"/>
      <c r="E1631" s="215"/>
      <c r="F1631" s="215"/>
      <c r="G1631" s="233"/>
    </row>
    <row r="1632">
      <c r="A1632" s="215"/>
      <c r="B1632" s="215"/>
      <c r="C1632" s="215"/>
      <c r="D1632" s="215"/>
      <c r="E1632" s="215"/>
      <c r="F1632" s="215"/>
      <c r="G1632" s="233"/>
    </row>
    <row r="1633">
      <c r="A1633" s="215"/>
      <c r="B1633" s="215"/>
      <c r="C1633" s="215"/>
      <c r="D1633" s="215"/>
      <c r="E1633" s="215"/>
      <c r="F1633" s="215"/>
      <c r="G1633" s="233"/>
    </row>
    <row r="1634">
      <c r="A1634" s="215"/>
      <c r="B1634" s="215"/>
      <c r="C1634" s="215"/>
      <c r="D1634" s="215"/>
      <c r="E1634" s="215"/>
      <c r="F1634" s="215"/>
      <c r="G1634" s="233"/>
    </row>
    <row r="1635">
      <c r="A1635" s="215"/>
      <c r="B1635" s="215"/>
      <c r="C1635" s="215"/>
      <c r="D1635" s="215"/>
      <c r="E1635" s="215"/>
      <c r="F1635" s="215"/>
      <c r="G1635" s="233"/>
    </row>
    <row r="1636">
      <c r="A1636" s="215"/>
      <c r="B1636" s="215"/>
      <c r="C1636" s="215"/>
      <c r="D1636" s="215"/>
      <c r="E1636" s="215"/>
      <c r="F1636" s="215"/>
      <c r="G1636" s="233"/>
    </row>
    <row r="1637">
      <c r="A1637" s="215"/>
      <c r="B1637" s="215"/>
      <c r="C1637" s="215"/>
      <c r="D1637" s="215"/>
      <c r="E1637" s="215"/>
      <c r="F1637" s="215"/>
      <c r="G1637" s="233"/>
    </row>
    <row r="1638">
      <c r="A1638" s="215"/>
      <c r="B1638" s="215"/>
      <c r="C1638" s="215"/>
      <c r="D1638" s="215"/>
      <c r="E1638" s="215"/>
      <c r="F1638" s="215"/>
      <c r="G1638" s="233"/>
    </row>
    <row r="1639">
      <c r="A1639" s="215"/>
      <c r="B1639" s="215"/>
      <c r="C1639" s="215"/>
      <c r="D1639" s="215"/>
      <c r="E1639" s="215"/>
      <c r="F1639" s="215"/>
      <c r="G1639" s="233"/>
    </row>
    <row r="1640">
      <c r="A1640" s="215"/>
      <c r="B1640" s="215"/>
      <c r="C1640" s="215"/>
      <c r="D1640" s="215"/>
      <c r="E1640" s="215"/>
      <c r="F1640" s="215"/>
      <c r="G1640" s="233"/>
    </row>
    <row r="1641">
      <c r="A1641" s="215"/>
      <c r="B1641" s="215"/>
      <c r="C1641" s="215"/>
      <c r="D1641" s="215"/>
      <c r="E1641" s="215"/>
      <c r="F1641" s="215"/>
      <c r="G1641" s="233"/>
    </row>
    <row r="1642">
      <c r="A1642" s="215"/>
      <c r="B1642" s="215"/>
      <c r="C1642" s="215"/>
      <c r="D1642" s="215"/>
      <c r="E1642" s="215"/>
      <c r="F1642" s="215"/>
      <c r="G1642" s="233"/>
    </row>
    <row r="1643">
      <c r="A1643" s="215"/>
      <c r="B1643" s="215"/>
      <c r="C1643" s="215"/>
      <c r="D1643" s="215"/>
      <c r="E1643" s="215"/>
      <c r="F1643" s="215"/>
      <c r="G1643" s="233"/>
    </row>
    <row r="1644">
      <c r="A1644" s="215"/>
      <c r="B1644" s="215"/>
      <c r="C1644" s="215"/>
      <c r="D1644" s="215"/>
      <c r="E1644" s="215"/>
      <c r="F1644" s="215"/>
      <c r="G1644" s="233"/>
    </row>
    <row r="1645">
      <c r="A1645" s="215"/>
      <c r="B1645" s="215"/>
      <c r="C1645" s="215"/>
      <c r="D1645" s="215"/>
      <c r="E1645" s="215"/>
      <c r="F1645" s="215"/>
      <c r="G1645" s="233"/>
    </row>
    <row r="1646">
      <c r="A1646" s="215"/>
      <c r="B1646" s="215"/>
      <c r="C1646" s="215"/>
      <c r="D1646" s="215"/>
      <c r="E1646" s="215"/>
      <c r="F1646" s="215"/>
      <c r="G1646" s="233"/>
    </row>
    <row r="1647">
      <c r="A1647" s="215"/>
      <c r="B1647" s="215"/>
      <c r="C1647" s="215"/>
      <c r="D1647" s="215"/>
      <c r="E1647" s="215"/>
      <c r="F1647" s="215"/>
      <c r="G1647" s="233"/>
    </row>
    <row r="1648">
      <c r="A1648" s="215"/>
      <c r="B1648" s="215"/>
      <c r="C1648" s="215"/>
      <c r="D1648" s="215"/>
      <c r="E1648" s="215"/>
      <c r="F1648" s="215"/>
      <c r="G1648" s="233"/>
    </row>
    <row r="1649">
      <c r="A1649" s="215"/>
      <c r="B1649" s="215"/>
      <c r="C1649" s="215"/>
      <c r="D1649" s="215"/>
      <c r="E1649" s="215"/>
      <c r="F1649" s="215"/>
      <c r="G1649" s="233"/>
    </row>
    <row r="1650">
      <c r="A1650" s="215"/>
      <c r="B1650" s="215"/>
      <c r="C1650" s="215"/>
      <c r="D1650" s="215"/>
      <c r="E1650" s="215"/>
      <c r="F1650" s="215"/>
      <c r="G1650" s="233"/>
    </row>
    <row r="1651">
      <c r="A1651" s="215"/>
      <c r="B1651" s="215"/>
      <c r="C1651" s="215"/>
      <c r="D1651" s="215"/>
      <c r="E1651" s="215"/>
      <c r="F1651" s="215"/>
      <c r="G1651" s="233"/>
    </row>
    <row r="1652">
      <c r="A1652" s="215"/>
      <c r="B1652" s="215"/>
      <c r="C1652" s="215"/>
      <c r="D1652" s="215"/>
      <c r="E1652" s="215"/>
      <c r="F1652" s="215"/>
      <c r="G1652" s="233"/>
    </row>
    <row r="1653">
      <c r="A1653" s="215"/>
      <c r="B1653" s="215"/>
      <c r="C1653" s="215"/>
      <c r="D1653" s="215"/>
      <c r="E1653" s="215"/>
      <c r="F1653" s="215"/>
      <c r="G1653" s="233"/>
    </row>
    <row r="1654">
      <c r="A1654" s="215"/>
      <c r="B1654" s="215"/>
      <c r="C1654" s="215"/>
      <c r="D1654" s="215"/>
      <c r="E1654" s="215"/>
      <c r="F1654" s="215"/>
      <c r="G1654" s="233"/>
    </row>
    <row r="1655">
      <c r="A1655" s="215"/>
      <c r="B1655" s="215"/>
      <c r="C1655" s="215"/>
      <c r="D1655" s="215"/>
      <c r="E1655" s="215"/>
      <c r="F1655" s="215"/>
      <c r="G1655" s="233"/>
    </row>
    <row r="1656">
      <c r="A1656" s="215"/>
      <c r="B1656" s="215"/>
      <c r="C1656" s="215"/>
      <c r="D1656" s="215"/>
      <c r="E1656" s="215"/>
      <c r="F1656" s="215"/>
      <c r="G1656" s="233"/>
    </row>
    <row r="1657">
      <c r="A1657" s="215"/>
      <c r="B1657" s="215"/>
      <c r="C1657" s="215"/>
      <c r="D1657" s="215"/>
      <c r="E1657" s="215"/>
      <c r="F1657" s="215"/>
      <c r="G1657" s="233"/>
    </row>
    <row r="1658">
      <c r="A1658" s="215"/>
      <c r="B1658" s="215"/>
      <c r="C1658" s="215"/>
      <c r="D1658" s="215"/>
      <c r="E1658" s="215"/>
      <c r="F1658" s="215"/>
      <c r="G1658" s="233"/>
    </row>
    <row r="1659">
      <c r="A1659" s="215"/>
      <c r="B1659" s="215"/>
      <c r="C1659" s="215"/>
      <c r="D1659" s="215"/>
      <c r="E1659" s="215"/>
      <c r="F1659" s="215"/>
      <c r="G1659" s="233"/>
    </row>
    <row r="1660">
      <c r="A1660" s="215"/>
      <c r="B1660" s="215"/>
      <c r="C1660" s="215"/>
      <c r="D1660" s="215"/>
      <c r="E1660" s="215"/>
      <c r="F1660" s="215"/>
      <c r="G1660" s="233"/>
    </row>
    <row r="1661">
      <c r="A1661" s="215"/>
      <c r="B1661" s="215"/>
      <c r="C1661" s="215"/>
      <c r="D1661" s="215"/>
      <c r="E1661" s="215"/>
      <c r="F1661" s="215"/>
      <c r="G1661" s="233"/>
    </row>
    <row r="1662">
      <c r="A1662" s="215"/>
      <c r="B1662" s="215"/>
      <c r="C1662" s="215"/>
      <c r="D1662" s="215"/>
      <c r="E1662" s="215"/>
      <c r="F1662" s="215"/>
      <c r="G1662" s="233"/>
    </row>
    <row r="1663">
      <c r="A1663" s="215"/>
      <c r="B1663" s="215"/>
      <c r="C1663" s="215"/>
      <c r="D1663" s="215"/>
      <c r="E1663" s="215"/>
      <c r="F1663" s="215"/>
      <c r="G1663" s="233"/>
    </row>
    <row r="1664">
      <c r="A1664" s="215"/>
      <c r="B1664" s="215"/>
      <c r="C1664" s="215"/>
      <c r="D1664" s="215"/>
      <c r="E1664" s="215"/>
      <c r="F1664" s="215"/>
      <c r="G1664" s="233"/>
    </row>
    <row r="1665">
      <c r="A1665" s="215"/>
      <c r="B1665" s="215"/>
      <c r="C1665" s="215"/>
      <c r="D1665" s="215"/>
      <c r="E1665" s="215"/>
      <c r="F1665" s="215"/>
      <c r="G1665" s="233"/>
    </row>
    <row r="1666">
      <c r="A1666" s="215"/>
      <c r="B1666" s="215"/>
      <c r="C1666" s="215"/>
      <c r="D1666" s="215"/>
      <c r="E1666" s="215"/>
      <c r="F1666" s="215"/>
      <c r="G1666" s="233"/>
    </row>
    <row r="1667">
      <c r="A1667" s="215"/>
      <c r="B1667" s="215"/>
      <c r="C1667" s="215"/>
      <c r="D1667" s="215"/>
      <c r="E1667" s="215"/>
      <c r="F1667" s="215"/>
      <c r="G1667" s="233"/>
    </row>
    <row r="1668">
      <c r="A1668" s="215"/>
      <c r="B1668" s="215"/>
      <c r="C1668" s="215"/>
      <c r="D1668" s="215"/>
      <c r="E1668" s="215"/>
      <c r="F1668" s="215"/>
      <c r="G1668" s="233"/>
    </row>
    <row r="1669">
      <c r="A1669" s="215"/>
      <c r="B1669" s="215"/>
      <c r="C1669" s="215"/>
      <c r="D1669" s="215"/>
      <c r="E1669" s="215"/>
      <c r="F1669" s="215"/>
      <c r="G1669" s="233"/>
    </row>
    <row r="1670">
      <c r="A1670" s="215"/>
      <c r="B1670" s="215"/>
      <c r="C1670" s="215"/>
      <c r="D1670" s="215"/>
      <c r="E1670" s="215"/>
      <c r="F1670" s="215"/>
      <c r="G1670" s="233"/>
    </row>
    <row r="1671">
      <c r="A1671" s="215"/>
      <c r="B1671" s="215"/>
      <c r="C1671" s="215"/>
      <c r="D1671" s="215"/>
      <c r="E1671" s="215"/>
      <c r="F1671" s="215"/>
      <c r="G1671" s="233"/>
    </row>
    <row r="1672">
      <c r="A1672" s="215"/>
      <c r="B1672" s="215"/>
      <c r="C1672" s="215"/>
      <c r="D1672" s="215"/>
      <c r="E1672" s="215"/>
      <c r="F1672" s="215"/>
      <c r="G1672" s="233"/>
    </row>
    <row r="1673">
      <c r="A1673" s="215"/>
      <c r="B1673" s="215"/>
      <c r="C1673" s="215"/>
      <c r="D1673" s="215"/>
      <c r="E1673" s="215"/>
      <c r="F1673" s="215"/>
      <c r="G1673" s="233"/>
    </row>
    <row r="1674">
      <c r="A1674" s="215"/>
      <c r="B1674" s="215"/>
      <c r="C1674" s="215"/>
      <c r="D1674" s="215"/>
      <c r="E1674" s="215"/>
      <c r="F1674" s="215"/>
      <c r="G1674" s="233"/>
    </row>
    <row r="1675">
      <c r="A1675" s="215"/>
      <c r="B1675" s="215"/>
      <c r="C1675" s="215"/>
      <c r="D1675" s="215"/>
      <c r="E1675" s="215"/>
      <c r="F1675" s="215"/>
      <c r="G1675" s="233"/>
    </row>
    <row r="1676">
      <c r="A1676" s="215"/>
      <c r="B1676" s="215"/>
      <c r="C1676" s="215"/>
      <c r="D1676" s="215"/>
      <c r="E1676" s="215"/>
      <c r="F1676" s="215"/>
      <c r="G1676" s="233"/>
    </row>
    <row r="1677">
      <c r="A1677" s="215"/>
      <c r="B1677" s="215"/>
      <c r="C1677" s="215"/>
      <c r="D1677" s="215"/>
      <c r="E1677" s="215"/>
      <c r="F1677" s="215"/>
      <c r="G1677" s="233"/>
    </row>
    <row r="1678">
      <c r="A1678" s="215"/>
      <c r="B1678" s="215"/>
      <c r="C1678" s="215"/>
      <c r="D1678" s="215"/>
      <c r="E1678" s="215"/>
      <c r="F1678" s="215"/>
      <c r="G1678" s="233"/>
    </row>
    <row r="1679">
      <c r="A1679" s="215"/>
      <c r="B1679" s="215"/>
      <c r="C1679" s="215"/>
      <c r="D1679" s="215"/>
      <c r="E1679" s="215"/>
      <c r="F1679" s="215"/>
      <c r="G1679" s="233"/>
    </row>
    <row r="1680">
      <c r="A1680" s="215"/>
      <c r="B1680" s="215"/>
      <c r="C1680" s="215"/>
      <c r="D1680" s="215"/>
      <c r="E1680" s="215"/>
      <c r="F1680" s="215"/>
      <c r="G1680" s="233"/>
    </row>
    <row r="1681">
      <c r="A1681" s="215"/>
      <c r="B1681" s="215"/>
      <c r="C1681" s="215"/>
      <c r="D1681" s="215"/>
      <c r="E1681" s="215"/>
      <c r="F1681" s="215"/>
      <c r="G1681" s="233"/>
    </row>
    <row r="1682">
      <c r="A1682" s="215"/>
      <c r="B1682" s="215"/>
      <c r="C1682" s="215"/>
      <c r="D1682" s="215"/>
      <c r="E1682" s="215"/>
      <c r="F1682" s="215"/>
      <c r="G1682" s="233"/>
    </row>
    <row r="1683">
      <c r="A1683" s="215"/>
      <c r="B1683" s="215"/>
      <c r="C1683" s="215"/>
      <c r="D1683" s="215"/>
      <c r="E1683" s="215"/>
      <c r="F1683" s="215"/>
      <c r="G1683" s="233"/>
    </row>
    <row r="1684">
      <c r="A1684" s="215"/>
      <c r="B1684" s="215"/>
      <c r="C1684" s="215"/>
      <c r="D1684" s="215"/>
      <c r="E1684" s="215"/>
      <c r="F1684" s="215"/>
      <c r="G1684" s="233"/>
    </row>
    <row r="1685">
      <c r="A1685" s="215"/>
      <c r="B1685" s="215"/>
      <c r="C1685" s="215"/>
      <c r="D1685" s="215"/>
      <c r="E1685" s="215"/>
      <c r="F1685" s="215"/>
      <c r="G1685" s="233"/>
    </row>
    <row r="1686">
      <c r="A1686" s="215"/>
      <c r="B1686" s="215"/>
      <c r="C1686" s="215"/>
      <c r="D1686" s="215"/>
      <c r="E1686" s="215"/>
      <c r="F1686" s="215"/>
      <c r="G1686" s="233"/>
    </row>
    <row r="1687">
      <c r="A1687" s="215"/>
      <c r="B1687" s="215"/>
      <c r="C1687" s="215"/>
      <c r="D1687" s="215"/>
      <c r="E1687" s="215"/>
      <c r="F1687" s="215"/>
      <c r="G1687" s="233"/>
    </row>
    <row r="1688">
      <c r="A1688" s="215"/>
      <c r="B1688" s="215"/>
      <c r="C1688" s="215"/>
      <c r="D1688" s="215"/>
      <c r="E1688" s="215"/>
      <c r="F1688" s="215"/>
      <c r="G1688" s="233"/>
    </row>
    <row r="1689">
      <c r="A1689" s="215"/>
      <c r="B1689" s="215"/>
      <c r="C1689" s="215"/>
      <c r="D1689" s="215"/>
      <c r="E1689" s="215"/>
      <c r="F1689" s="215"/>
      <c r="G1689" s="233"/>
    </row>
    <row r="1690">
      <c r="A1690" s="215"/>
      <c r="B1690" s="215"/>
      <c r="C1690" s="215"/>
      <c r="D1690" s="215"/>
      <c r="E1690" s="215"/>
      <c r="F1690" s="215"/>
      <c r="G1690" s="233"/>
    </row>
    <row r="1691">
      <c r="A1691" s="215"/>
      <c r="B1691" s="215"/>
      <c r="C1691" s="215"/>
      <c r="D1691" s="215"/>
      <c r="E1691" s="215"/>
      <c r="F1691" s="215"/>
      <c r="G1691" s="233"/>
    </row>
    <row r="1692">
      <c r="A1692" s="215"/>
      <c r="B1692" s="215"/>
      <c r="C1692" s="215"/>
      <c r="D1692" s="215"/>
      <c r="E1692" s="215"/>
      <c r="F1692" s="215"/>
      <c r="G1692" s="233"/>
    </row>
    <row r="1693">
      <c r="A1693" s="215"/>
      <c r="B1693" s="215"/>
      <c r="C1693" s="215"/>
      <c r="D1693" s="215"/>
      <c r="E1693" s="215"/>
      <c r="F1693" s="215"/>
      <c r="G1693" s="233"/>
    </row>
    <row r="1694">
      <c r="A1694" s="215"/>
      <c r="B1694" s="215"/>
      <c r="C1694" s="215"/>
      <c r="D1694" s="215"/>
      <c r="E1694" s="215"/>
      <c r="F1694" s="215"/>
      <c r="G1694" s="233"/>
    </row>
    <row r="1695">
      <c r="A1695" s="215"/>
      <c r="B1695" s="215"/>
      <c r="C1695" s="215"/>
      <c r="D1695" s="215"/>
      <c r="E1695" s="215"/>
      <c r="F1695" s="215"/>
      <c r="G1695" s="233"/>
    </row>
    <row r="1696">
      <c r="A1696" s="215"/>
      <c r="B1696" s="215"/>
      <c r="C1696" s="215"/>
      <c r="D1696" s="215"/>
      <c r="E1696" s="215"/>
      <c r="F1696" s="215"/>
      <c r="G1696" s="233"/>
    </row>
    <row r="1697">
      <c r="A1697" s="215"/>
      <c r="B1697" s="215"/>
      <c r="C1697" s="215"/>
      <c r="D1697" s="215"/>
      <c r="E1697" s="215"/>
      <c r="F1697" s="215"/>
      <c r="G1697" s="233"/>
    </row>
    <row r="1698">
      <c r="A1698" s="215"/>
      <c r="B1698" s="215"/>
      <c r="C1698" s="215"/>
      <c r="D1698" s="215"/>
      <c r="E1698" s="215"/>
      <c r="F1698" s="215"/>
      <c r="G1698" s="233"/>
    </row>
    <row r="1699">
      <c r="A1699" s="215"/>
      <c r="B1699" s="215"/>
      <c r="C1699" s="215"/>
      <c r="D1699" s="215"/>
      <c r="E1699" s="215"/>
      <c r="F1699" s="215"/>
      <c r="G1699" s="233"/>
    </row>
    <row r="1700">
      <c r="A1700" s="215"/>
      <c r="B1700" s="215"/>
      <c r="C1700" s="215"/>
      <c r="D1700" s="215"/>
      <c r="E1700" s="215"/>
      <c r="F1700" s="215"/>
      <c r="G1700" s="233"/>
    </row>
    <row r="1701">
      <c r="A1701" s="215"/>
      <c r="B1701" s="215"/>
      <c r="C1701" s="215"/>
      <c r="D1701" s="215"/>
      <c r="E1701" s="215"/>
      <c r="F1701" s="215"/>
      <c r="G1701" s="233"/>
    </row>
    <row r="1702">
      <c r="A1702" s="215"/>
      <c r="B1702" s="215"/>
      <c r="C1702" s="215"/>
      <c r="D1702" s="215"/>
      <c r="E1702" s="215"/>
      <c r="F1702" s="215"/>
      <c r="G1702" s="233"/>
    </row>
    <row r="1703">
      <c r="A1703" s="215"/>
      <c r="B1703" s="215"/>
      <c r="C1703" s="215"/>
      <c r="D1703" s="215"/>
      <c r="E1703" s="215"/>
      <c r="F1703" s="215"/>
      <c r="G1703" s="233"/>
    </row>
    <row r="1704">
      <c r="A1704" s="215"/>
      <c r="B1704" s="215"/>
      <c r="C1704" s="215"/>
      <c r="D1704" s="215"/>
      <c r="E1704" s="215"/>
      <c r="F1704" s="215"/>
      <c r="G1704" s="233"/>
    </row>
    <row r="1705">
      <c r="A1705" s="215"/>
      <c r="B1705" s="215"/>
      <c r="C1705" s="215"/>
      <c r="D1705" s="215"/>
      <c r="E1705" s="215"/>
      <c r="F1705" s="215"/>
      <c r="G1705" s="233"/>
    </row>
    <row r="1706">
      <c r="A1706" s="215"/>
      <c r="B1706" s="215"/>
      <c r="C1706" s="215"/>
      <c r="D1706" s="215"/>
      <c r="E1706" s="215"/>
      <c r="F1706" s="215"/>
      <c r="G1706" s="233"/>
    </row>
    <row r="1707">
      <c r="A1707" s="215"/>
      <c r="B1707" s="215"/>
      <c r="C1707" s="215"/>
      <c r="D1707" s="215"/>
      <c r="E1707" s="215"/>
      <c r="F1707" s="215"/>
      <c r="G1707" s="233"/>
    </row>
    <row r="1708">
      <c r="A1708" s="215"/>
      <c r="B1708" s="215"/>
      <c r="C1708" s="215"/>
      <c r="D1708" s="215"/>
      <c r="E1708" s="215"/>
      <c r="F1708" s="215"/>
      <c r="G1708" s="233"/>
    </row>
    <row r="1709">
      <c r="A1709" s="215"/>
      <c r="B1709" s="215"/>
      <c r="C1709" s="215"/>
      <c r="D1709" s="215"/>
      <c r="E1709" s="215"/>
      <c r="F1709" s="215"/>
      <c r="G1709" s="233"/>
    </row>
    <row r="1710">
      <c r="A1710" s="215"/>
      <c r="B1710" s="215"/>
      <c r="C1710" s="215"/>
      <c r="D1710" s="215"/>
      <c r="E1710" s="215"/>
      <c r="F1710" s="215"/>
      <c r="G1710" s="233"/>
    </row>
    <row r="1711">
      <c r="A1711" s="215"/>
      <c r="B1711" s="215"/>
      <c r="C1711" s="215"/>
      <c r="D1711" s="215"/>
      <c r="E1711" s="215"/>
      <c r="F1711" s="215"/>
      <c r="G1711" s="233"/>
    </row>
    <row r="1712">
      <c r="A1712" s="215"/>
      <c r="B1712" s="215"/>
      <c r="C1712" s="215"/>
      <c r="D1712" s="215"/>
      <c r="E1712" s="215"/>
      <c r="F1712" s="215"/>
      <c r="G1712" s="233"/>
    </row>
    <row r="1713">
      <c r="A1713" s="215"/>
      <c r="B1713" s="215"/>
      <c r="C1713" s="215"/>
      <c r="D1713" s="215"/>
      <c r="E1713" s="215"/>
      <c r="F1713" s="215"/>
      <c r="G1713" s="233"/>
    </row>
    <row r="1714">
      <c r="A1714" s="215"/>
      <c r="B1714" s="215"/>
      <c r="C1714" s="215"/>
      <c r="D1714" s="215"/>
      <c r="E1714" s="215"/>
      <c r="F1714" s="215"/>
      <c r="G1714" s="233"/>
    </row>
    <row r="1715">
      <c r="A1715" s="215"/>
      <c r="B1715" s="215"/>
      <c r="C1715" s="215"/>
      <c r="D1715" s="215"/>
      <c r="E1715" s="215"/>
      <c r="F1715" s="215"/>
      <c r="G1715" s="233"/>
    </row>
    <row r="1716">
      <c r="A1716" s="215"/>
      <c r="B1716" s="215"/>
      <c r="C1716" s="215"/>
      <c r="D1716" s="215"/>
      <c r="E1716" s="215"/>
      <c r="F1716" s="215"/>
      <c r="G1716" s="233"/>
    </row>
    <row r="1717">
      <c r="A1717" s="215"/>
      <c r="B1717" s="215"/>
      <c r="C1717" s="215"/>
      <c r="D1717" s="215"/>
      <c r="E1717" s="215"/>
      <c r="F1717" s="215"/>
      <c r="G1717" s="233"/>
    </row>
    <row r="1718">
      <c r="A1718" s="215"/>
      <c r="B1718" s="215"/>
      <c r="C1718" s="215"/>
      <c r="D1718" s="215"/>
      <c r="E1718" s="215"/>
      <c r="F1718" s="215"/>
      <c r="G1718" s="233"/>
    </row>
    <row r="1719">
      <c r="A1719" s="215"/>
      <c r="B1719" s="215"/>
      <c r="C1719" s="215"/>
      <c r="D1719" s="215"/>
      <c r="E1719" s="215"/>
      <c r="F1719" s="215"/>
      <c r="G1719" s="233"/>
    </row>
    <row r="1720">
      <c r="A1720" s="215"/>
      <c r="B1720" s="215"/>
      <c r="C1720" s="215"/>
      <c r="D1720" s="215"/>
      <c r="E1720" s="215"/>
      <c r="F1720" s="215"/>
      <c r="G1720" s="233"/>
    </row>
    <row r="1721">
      <c r="A1721" s="215"/>
      <c r="B1721" s="215"/>
      <c r="C1721" s="215"/>
      <c r="D1721" s="215"/>
      <c r="E1721" s="215"/>
      <c r="F1721" s="215"/>
      <c r="G1721" s="233"/>
    </row>
    <row r="1722">
      <c r="A1722" s="215"/>
      <c r="B1722" s="215"/>
      <c r="C1722" s="215"/>
      <c r="D1722" s="215"/>
      <c r="E1722" s="215"/>
      <c r="F1722" s="215"/>
      <c r="G1722" s="233"/>
    </row>
    <row r="1723">
      <c r="A1723" s="215"/>
      <c r="B1723" s="215"/>
      <c r="C1723" s="215"/>
      <c r="D1723" s="215"/>
      <c r="E1723" s="215"/>
      <c r="F1723" s="215"/>
      <c r="G1723" s="233"/>
    </row>
    <row r="1724">
      <c r="A1724" s="215"/>
      <c r="B1724" s="215"/>
      <c r="C1724" s="215"/>
      <c r="D1724" s="215"/>
      <c r="E1724" s="215"/>
      <c r="F1724" s="215"/>
      <c r="G1724" s="233"/>
    </row>
    <row r="1725">
      <c r="A1725" s="215"/>
      <c r="B1725" s="215"/>
      <c r="C1725" s="215"/>
      <c r="D1725" s="215"/>
      <c r="E1725" s="215"/>
      <c r="F1725" s="215"/>
      <c r="G1725" s="233"/>
    </row>
    <row r="1726">
      <c r="A1726" s="215"/>
      <c r="B1726" s="215"/>
      <c r="C1726" s="215"/>
      <c r="D1726" s="215"/>
      <c r="E1726" s="215"/>
      <c r="F1726" s="215"/>
      <c r="G1726" s="233"/>
    </row>
    <row r="1727">
      <c r="A1727" s="215"/>
      <c r="B1727" s="215"/>
      <c r="C1727" s="215"/>
      <c r="D1727" s="215"/>
      <c r="E1727" s="215"/>
      <c r="F1727" s="215"/>
      <c r="G1727" s="233"/>
    </row>
    <row r="1728">
      <c r="A1728" s="215"/>
      <c r="B1728" s="215"/>
      <c r="C1728" s="215"/>
      <c r="D1728" s="215"/>
      <c r="E1728" s="215"/>
      <c r="F1728" s="215"/>
      <c r="G1728" s="233"/>
    </row>
    <row r="1729">
      <c r="A1729" s="215"/>
      <c r="B1729" s="215"/>
      <c r="C1729" s="215"/>
      <c r="D1729" s="215"/>
      <c r="E1729" s="215"/>
      <c r="F1729" s="215"/>
      <c r="G1729" s="233"/>
    </row>
    <row r="1730">
      <c r="A1730" s="215"/>
      <c r="B1730" s="215"/>
      <c r="C1730" s="215"/>
      <c r="D1730" s="215"/>
      <c r="E1730" s="215"/>
      <c r="F1730" s="215"/>
      <c r="G1730" s="233"/>
    </row>
    <row r="1731">
      <c r="A1731" s="215"/>
      <c r="B1731" s="215"/>
      <c r="C1731" s="215"/>
      <c r="D1731" s="215"/>
      <c r="E1731" s="215"/>
      <c r="F1731" s="215"/>
      <c r="G1731" s="233"/>
    </row>
    <row r="1732">
      <c r="A1732" s="215"/>
      <c r="B1732" s="215"/>
      <c r="C1732" s="215"/>
      <c r="D1732" s="215"/>
      <c r="E1732" s="215"/>
      <c r="F1732" s="215"/>
      <c r="G1732" s="233"/>
    </row>
    <row r="1733">
      <c r="A1733" s="215"/>
      <c r="B1733" s="215"/>
      <c r="C1733" s="215"/>
      <c r="D1733" s="215"/>
      <c r="E1733" s="215"/>
      <c r="F1733" s="215"/>
      <c r="G1733" s="233"/>
    </row>
    <row r="1734">
      <c r="A1734" s="215"/>
      <c r="B1734" s="215"/>
      <c r="C1734" s="215"/>
      <c r="D1734" s="215"/>
      <c r="E1734" s="215"/>
      <c r="F1734" s="215"/>
      <c r="G1734" s="233"/>
    </row>
    <row r="1735">
      <c r="A1735" s="215"/>
      <c r="B1735" s="215"/>
      <c r="C1735" s="215"/>
      <c r="D1735" s="215"/>
      <c r="E1735" s="215"/>
      <c r="F1735" s="215"/>
      <c r="G1735" s="233"/>
    </row>
    <row r="1736">
      <c r="A1736" s="215"/>
      <c r="B1736" s="215"/>
      <c r="C1736" s="215"/>
      <c r="D1736" s="215"/>
      <c r="E1736" s="215"/>
      <c r="F1736" s="215"/>
      <c r="G1736" s="233"/>
    </row>
    <row r="1737">
      <c r="A1737" s="215"/>
      <c r="B1737" s="215"/>
      <c r="C1737" s="215"/>
      <c r="D1737" s="215"/>
      <c r="E1737" s="215"/>
      <c r="F1737" s="215"/>
      <c r="G1737" s="233"/>
    </row>
    <row r="1738">
      <c r="A1738" s="215"/>
      <c r="B1738" s="215"/>
      <c r="C1738" s="215"/>
      <c r="D1738" s="215"/>
      <c r="E1738" s="215"/>
      <c r="F1738" s="215"/>
      <c r="G1738" s="233"/>
    </row>
    <row r="1739">
      <c r="A1739" s="215"/>
      <c r="B1739" s="215"/>
      <c r="C1739" s="215"/>
      <c r="D1739" s="215"/>
      <c r="E1739" s="215"/>
      <c r="F1739" s="215"/>
      <c r="G1739" s="233"/>
    </row>
    <row r="1740">
      <c r="A1740" s="215"/>
      <c r="B1740" s="215"/>
      <c r="C1740" s="215"/>
      <c r="D1740" s="215"/>
      <c r="E1740" s="215"/>
      <c r="F1740" s="215"/>
      <c r="G1740" s="233"/>
    </row>
    <row r="1741">
      <c r="A1741" s="215"/>
      <c r="B1741" s="215"/>
      <c r="C1741" s="215"/>
      <c r="D1741" s="215"/>
      <c r="E1741" s="215"/>
      <c r="F1741" s="215"/>
      <c r="G1741" s="233"/>
    </row>
    <row r="1742">
      <c r="A1742" s="215"/>
      <c r="B1742" s="215"/>
      <c r="C1742" s="215"/>
      <c r="D1742" s="215"/>
      <c r="E1742" s="215"/>
      <c r="F1742" s="215"/>
      <c r="G1742" s="233"/>
    </row>
    <row r="1743">
      <c r="A1743" s="215"/>
      <c r="B1743" s="215"/>
      <c r="C1743" s="215"/>
      <c r="D1743" s="215"/>
      <c r="E1743" s="215"/>
      <c r="F1743" s="215"/>
      <c r="G1743" s="233"/>
    </row>
    <row r="1744">
      <c r="A1744" s="215"/>
      <c r="B1744" s="215"/>
      <c r="C1744" s="215"/>
      <c r="D1744" s="215"/>
      <c r="E1744" s="215"/>
      <c r="F1744" s="215"/>
      <c r="G1744" s="233"/>
    </row>
    <row r="1745">
      <c r="A1745" s="215"/>
      <c r="B1745" s="215"/>
      <c r="C1745" s="215"/>
      <c r="D1745" s="215"/>
      <c r="E1745" s="215"/>
      <c r="F1745" s="215"/>
      <c r="G1745" s="233"/>
    </row>
    <row r="1746">
      <c r="A1746" s="215"/>
      <c r="B1746" s="215"/>
      <c r="C1746" s="215"/>
      <c r="D1746" s="215"/>
      <c r="E1746" s="215"/>
      <c r="F1746" s="215"/>
      <c r="G1746" s="233"/>
    </row>
    <row r="1747">
      <c r="A1747" s="215"/>
      <c r="B1747" s="215"/>
      <c r="C1747" s="215"/>
      <c r="D1747" s="215"/>
      <c r="E1747" s="215"/>
      <c r="F1747" s="215"/>
      <c r="G1747" s="233"/>
    </row>
    <row r="1748">
      <c r="A1748" s="215"/>
      <c r="B1748" s="215"/>
      <c r="C1748" s="215"/>
      <c r="D1748" s="215"/>
      <c r="E1748" s="215"/>
      <c r="F1748" s="215"/>
      <c r="G1748" s="233"/>
    </row>
    <row r="1749">
      <c r="A1749" s="215"/>
      <c r="B1749" s="215"/>
      <c r="C1749" s="215"/>
      <c r="D1749" s="215"/>
      <c r="E1749" s="215"/>
      <c r="F1749" s="215"/>
      <c r="G1749" s="233"/>
    </row>
    <row r="1750">
      <c r="A1750" s="215"/>
      <c r="B1750" s="215"/>
      <c r="C1750" s="215"/>
      <c r="D1750" s="215"/>
      <c r="E1750" s="215"/>
      <c r="F1750" s="215"/>
      <c r="G1750" s="233"/>
    </row>
    <row r="1751">
      <c r="A1751" s="215"/>
      <c r="B1751" s="215"/>
      <c r="C1751" s="215"/>
      <c r="D1751" s="215"/>
      <c r="E1751" s="215"/>
      <c r="F1751" s="215"/>
      <c r="G1751" s="233"/>
    </row>
    <row r="1752">
      <c r="A1752" s="215"/>
      <c r="B1752" s="215"/>
      <c r="C1752" s="215"/>
      <c r="D1752" s="215"/>
      <c r="E1752" s="215"/>
      <c r="F1752" s="215"/>
      <c r="G1752" s="233"/>
    </row>
    <row r="1753">
      <c r="A1753" s="215"/>
      <c r="B1753" s="215"/>
      <c r="C1753" s="215"/>
      <c r="D1753" s="215"/>
      <c r="E1753" s="215"/>
      <c r="F1753" s="215"/>
      <c r="G1753" s="233"/>
    </row>
    <row r="1754">
      <c r="A1754" s="215"/>
      <c r="B1754" s="215"/>
      <c r="C1754" s="215"/>
      <c r="D1754" s="215"/>
      <c r="E1754" s="215"/>
      <c r="F1754" s="215"/>
      <c r="G1754" s="233"/>
    </row>
    <row r="1755">
      <c r="A1755" s="215"/>
      <c r="B1755" s="215"/>
      <c r="C1755" s="215"/>
      <c r="D1755" s="215"/>
      <c r="E1755" s="215"/>
      <c r="F1755" s="215"/>
      <c r="G1755" s="233"/>
    </row>
    <row r="1756">
      <c r="A1756" s="215"/>
      <c r="B1756" s="215"/>
      <c r="C1756" s="215"/>
      <c r="D1756" s="215"/>
      <c r="E1756" s="215"/>
      <c r="F1756" s="215"/>
      <c r="G1756" s="233"/>
    </row>
    <row r="1757">
      <c r="A1757" s="215"/>
      <c r="B1757" s="215"/>
      <c r="C1757" s="215"/>
      <c r="D1757" s="215"/>
      <c r="E1757" s="215"/>
      <c r="F1757" s="215"/>
      <c r="G1757" s="233"/>
    </row>
    <row r="1758">
      <c r="A1758" s="215"/>
      <c r="B1758" s="215"/>
      <c r="C1758" s="215"/>
      <c r="D1758" s="215"/>
      <c r="E1758" s="215"/>
      <c r="F1758" s="215"/>
      <c r="G1758" s="233"/>
    </row>
    <row r="1759">
      <c r="A1759" s="215"/>
      <c r="B1759" s="215"/>
      <c r="C1759" s="215"/>
      <c r="D1759" s="215"/>
      <c r="E1759" s="215"/>
      <c r="F1759" s="215"/>
      <c r="G1759" s="233"/>
    </row>
    <row r="1760">
      <c r="A1760" s="215"/>
      <c r="B1760" s="215"/>
      <c r="C1760" s="215"/>
      <c r="D1760" s="215"/>
      <c r="E1760" s="215"/>
      <c r="F1760" s="215"/>
      <c r="G1760" s="233"/>
    </row>
    <row r="1761">
      <c r="A1761" s="215"/>
      <c r="B1761" s="215"/>
      <c r="C1761" s="215"/>
      <c r="D1761" s="215"/>
      <c r="E1761" s="215"/>
      <c r="F1761" s="215"/>
      <c r="G1761" s="233"/>
    </row>
    <row r="1762">
      <c r="A1762" s="215"/>
      <c r="B1762" s="215"/>
      <c r="C1762" s="215"/>
      <c r="D1762" s="215"/>
      <c r="E1762" s="215"/>
      <c r="F1762" s="215"/>
      <c r="G1762" s="233"/>
    </row>
    <row r="1763">
      <c r="A1763" s="215"/>
      <c r="B1763" s="215"/>
      <c r="C1763" s="215"/>
      <c r="D1763" s="215"/>
      <c r="E1763" s="215"/>
      <c r="F1763" s="215"/>
      <c r="G1763" s="233"/>
    </row>
    <row r="1764">
      <c r="A1764" s="215"/>
      <c r="B1764" s="215"/>
      <c r="C1764" s="215"/>
      <c r="D1764" s="215"/>
      <c r="E1764" s="215"/>
      <c r="F1764" s="215"/>
      <c r="G1764" s="233"/>
    </row>
    <row r="1765">
      <c r="A1765" s="215"/>
      <c r="B1765" s="215"/>
      <c r="C1765" s="215"/>
      <c r="D1765" s="215"/>
      <c r="E1765" s="215"/>
      <c r="F1765" s="215"/>
      <c r="G1765" s="233"/>
    </row>
    <row r="1766">
      <c r="A1766" s="215"/>
      <c r="B1766" s="215"/>
      <c r="C1766" s="215"/>
      <c r="D1766" s="215"/>
      <c r="E1766" s="215"/>
      <c r="F1766" s="215"/>
      <c r="G1766" s="233"/>
    </row>
    <row r="1767">
      <c r="A1767" s="215"/>
      <c r="B1767" s="215"/>
      <c r="C1767" s="215"/>
      <c r="D1767" s="215"/>
      <c r="E1767" s="215"/>
      <c r="F1767" s="215"/>
      <c r="G1767" s="233"/>
    </row>
    <row r="1768">
      <c r="A1768" s="215"/>
      <c r="B1768" s="215"/>
      <c r="C1768" s="215"/>
      <c r="D1768" s="215"/>
      <c r="E1768" s="215"/>
      <c r="F1768" s="215"/>
      <c r="G1768" s="233"/>
    </row>
    <row r="1769">
      <c r="A1769" s="215"/>
      <c r="B1769" s="215"/>
      <c r="C1769" s="215"/>
      <c r="D1769" s="215"/>
      <c r="E1769" s="215"/>
      <c r="F1769" s="215"/>
      <c r="G1769" s="233"/>
    </row>
    <row r="1770">
      <c r="A1770" s="215"/>
      <c r="B1770" s="215"/>
      <c r="C1770" s="215"/>
      <c r="D1770" s="215"/>
      <c r="E1770" s="215"/>
      <c r="F1770" s="215"/>
      <c r="G1770" s="233"/>
    </row>
    <row r="1771">
      <c r="A1771" s="215"/>
      <c r="B1771" s="215"/>
      <c r="C1771" s="215"/>
      <c r="D1771" s="215"/>
      <c r="E1771" s="215"/>
      <c r="F1771" s="215"/>
      <c r="G1771" s="233"/>
    </row>
    <row r="1772">
      <c r="A1772" s="215"/>
      <c r="B1772" s="215"/>
      <c r="C1772" s="215"/>
      <c r="D1772" s="215"/>
      <c r="E1772" s="215"/>
      <c r="F1772" s="215"/>
      <c r="G1772" s="233"/>
    </row>
    <row r="1773">
      <c r="A1773" s="215"/>
      <c r="B1773" s="215"/>
      <c r="C1773" s="215"/>
      <c r="D1773" s="215"/>
      <c r="E1773" s="215"/>
      <c r="F1773" s="215"/>
      <c r="G1773" s="233"/>
    </row>
    <row r="1774">
      <c r="A1774" s="215"/>
      <c r="B1774" s="215"/>
      <c r="C1774" s="215"/>
      <c r="D1774" s="215"/>
      <c r="E1774" s="215"/>
      <c r="F1774" s="215"/>
      <c r="G1774" s="233"/>
    </row>
    <row r="1775">
      <c r="A1775" s="215"/>
      <c r="B1775" s="215"/>
      <c r="C1775" s="215"/>
      <c r="D1775" s="215"/>
      <c r="E1775" s="215"/>
      <c r="F1775" s="215"/>
      <c r="G1775" s="233"/>
    </row>
    <row r="1776">
      <c r="A1776" s="215"/>
      <c r="B1776" s="215"/>
      <c r="C1776" s="215"/>
      <c r="D1776" s="215"/>
      <c r="E1776" s="215"/>
      <c r="F1776" s="215"/>
      <c r="G1776" s="233"/>
    </row>
    <row r="1777">
      <c r="A1777" s="215"/>
      <c r="B1777" s="215"/>
      <c r="C1777" s="215"/>
      <c r="D1777" s="215"/>
      <c r="E1777" s="215"/>
      <c r="F1777" s="215"/>
      <c r="G1777" s="233"/>
    </row>
    <row r="1778">
      <c r="A1778" s="215"/>
      <c r="B1778" s="215"/>
      <c r="C1778" s="215"/>
      <c r="D1778" s="215"/>
      <c r="E1778" s="215"/>
      <c r="F1778" s="215"/>
      <c r="G1778" s="233"/>
    </row>
    <row r="1779">
      <c r="A1779" s="215"/>
      <c r="B1779" s="215"/>
      <c r="C1779" s="215"/>
      <c r="D1779" s="215"/>
      <c r="E1779" s="215"/>
      <c r="F1779" s="215"/>
      <c r="G1779" s="233"/>
    </row>
    <row r="1780">
      <c r="A1780" s="215"/>
      <c r="B1780" s="215"/>
      <c r="C1780" s="215"/>
      <c r="D1780" s="215"/>
      <c r="E1780" s="215"/>
      <c r="F1780" s="215"/>
      <c r="G1780" s="233"/>
    </row>
    <row r="1781">
      <c r="A1781" s="215"/>
      <c r="B1781" s="215"/>
      <c r="C1781" s="215"/>
      <c r="D1781" s="215"/>
      <c r="E1781" s="215"/>
      <c r="F1781" s="215"/>
      <c r="G1781" s="233"/>
    </row>
    <row r="1782">
      <c r="A1782" s="215"/>
      <c r="B1782" s="215"/>
      <c r="C1782" s="215"/>
      <c r="D1782" s="215"/>
      <c r="E1782" s="215"/>
      <c r="F1782" s="215"/>
      <c r="G1782" s="233"/>
    </row>
    <row r="1783">
      <c r="A1783" s="215"/>
      <c r="B1783" s="215"/>
      <c r="C1783" s="215"/>
      <c r="D1783" s="215"/>
      <c r="E1783" s="215"/>
      <c r="F1783" s="215"/>
      <c r="G1783" s="233"/>
    </row>
    <row r="1784">
      <c r="A1784" s="215"/>
      <c r="B1784" s="215"/>
      <c r="C1784" s="215"/>
      <c r="D1784" s="215"/>
      <c r="E1784" s="215"/>
      <c r="F1784" s="215"/>
      <c r="G1784" s="233"/>
    </row>
    <row r="1785">
      <c r="A1785" s="215"/>
      <c r="B1785" s="215"/>
      <c r="C1785" s="215"/>
      <c r="D1785" s="215"/>
      <c r="E1785" s="215"/>
      <c r="F1785" s="215"/>
      <c r="G1785" s="233"/>
    </row>
    <row r="1786">
      <c r="A1786" s="215"/>
      <c r="B1786" s="215"/>
      <c r="C1786" s="215"/>
      <c r="D1786" s="215"/>
      <c r="E1786" s="215"/>
      <c r="F1786" s="215"/>
      <c r="G1786" s="233"/>
    </row>
    <row r="1787">
      <c r="A1787" s="215"/>
      <c r="B1787" s="215"/>
      <c r="C1787" s="215"/>
      <c r="D1787" s="215"/>
      <c r="E1787" s="215"/>
      <c r="F1787" s="215"/>
      <c r="G1787" s="233"/>
    </row>
    <row r="1788">
      <c r="A1788" s="215"/>
      <c r="B1788" s="215"/>
      <c r="C1788" s="215"/>
      <c r="D1788" s="215"/>
      <c r="E1788" s="215"/>
      <c r="F1788" s="215"/>
      <c r="G1788" s="233"/>
    </row>
    <row r="1789">
      <c r="A1789" s="215"/>
      <c r="B1789" s="215"/>
      <c r="C1789" s="215"/>
      <c r="D1789" s="215"/>
      <c r="E1789" s="215"/>
      <c r="F1789" s="215"/>
      <c r="G1789" s="233"/>
    </row>
    <row r="1790">
      <c r="A1790" s="215"/>
      <c r="B1790" s="215"/>
      <c r="C1790" s="215"/>
      <c r="D1790" s="215"/>
      <c r="E1790" s="215"/>
      <c r="F1790" s="215"/>
      <c r="G1790" s="233"/>
    </row>
    <row r="1791">
      <c r="A1791" s="215"/>
      <c r="B1791" s="215"/>
      <c r="C1791" s="215"/>
      <c r="D1791" s="215"/>
      <c r="E1791" s="215"/>
      <c r="F1791" s="215"/>
      <c r="G1791" s="233"/>
    </row>
    <row r="1792">
      <c r="A1792" s="215"/>
      <c r="B1792" s="215"/>
      <c r="C1792" s="215"/>
      <c r="D1792" s="215"/>
      <c r="E1792" s="215"/>
      <c r="F1792" s="215"/>
      <c r="G1792" s="233"/>
    </row>
    <row r="1793">
      <c r="A1793" s="215"/>
      <c r="B1793" s="215"/>
      <c r="C1793" s="215"/>
      <c r="D1793" s="215"/>
      <c r="E1793" s="215"/>
      <c r="F1793" s="215"/>
      <c r="G1793" s="233"/>
    </row>
    <row r="1794">
      <c r="A1794" s="215"/>
      <c r="B1794" s="215"/>
      <c r="C1794" s="215"/>
      <c r="D1794" s="215"/>
      <c r="E1794" s="215"/>
      <c r="F1794" s="215"/>
      <c r="G1794" s="233"/>
    </row>
    <row r="1795">
      <c r="A1795" s="215"/>
      <c r="B1795" s="215"/>
      <c r="C1795" s="215"/>
      <c r="D1795" s="215"/>
      <c r="E1795" s="215"/>
      <c r="F1795" s="215"/>
      <c r="G1795" s="233"/>
    </row>
    <row r="1796">
      <c r="A1796" s="215"/>
      <c r="B1796" s="215"/>
      <c r="C1796" s="215"/>
      <c r="D1796" s="215"/>
      <c r="E1796" s="215"/>
      <c r="F1796" s="215"/>
      <c r="G1796" s="233"/>
    </row>
    <row r="1797">
      <c r="A1797" s="215"/>
      <c r="B1797" s="215"/>
      <c r="C1797" s="215"/>
      <c r="D1797" s="215"/>
      <c r="E1797" s="215"/>
      <c r="F1797" s="215"/>
      <c r="G1797" s="233"/>
    </row>
    <row r="1798">
      <c r="A1798" s="215"/>
      <c r="B1798" s="215"/>
      <c r="C1798" s="215"/>
      <c r="D1798" s="215"/>
      <c r="E1798" s="215"/>
      <c r="F1798" s="215"/>
      <c r="G1798" s="233"/>
    </row>
    <row r="1799">
      <c r="A1799" s="215"/>
      <c r="B1799" s="215"/>
      <c r="C1799" s="215"/>
      <c r="D1799" s="215"/>
      <c r="E1799" s="215"/>
      <c r="F1799" s="215"/>
      <c r="G1799" s="233"/>
    </row>
    <row r="1800">
      <c r="A1800" s="215"/>
      <c r="B1800" s="215"/>
      <c r="C1800" s="215"/>
      <c r="D1800" s="215"/>
      <c r="E1800" s="215"/>
      <c r="F1800" s="215"/>
      <c r="G1800" s="233"/>
    </row>
    <row r="1801">
      <c r="A1801" s="215"/>
      <c r="B1801" s="215"/>
      <c r="C1801" s="215"/>
      <c r="D1801" s="215"/>
      <c r="E1801" s="215"/>
      <c r="F1801" s="215"/>
      <c r="G1801" s="233"/>
    </row>
    <row r="1802">
      <c r="A1802" s="215"/>
      <c r="B1802" s="215"/>
      <c r="C1802" s="215"/>
      <c r="D1802" s="215"/>
      <c r="E1802" s="215"/>
      <c r="F1802" s="215"/>
      <c r="G1802" s="233"/>
    </row>
    <row r="1803">
      <c r="A1803" s="215"/>
      <c r="B1803" s="215"/>
      <c r="C1803" s="215"/>
      <c r="D1803" s="215"/>
      <c r="E1803" s="215"/>
      <c r="F1803" s="215"/>
      <c r="G1803" s="233"/>
    </row>
    <row r="1804">
      <c r="A1804" s="215"/>
      <c r="B1804" s="215"/>
      <c r="C1804" s="215"/>
      <c r="D1804" s="215"/>
      <c r="E1804" s="215"/>
      <c r="F1804" s="215"/>
      <c r="G1804" s="233"/>
    </row>
    <row r="1805">
      <c r="A1805" s="215"/>
      <c r="B1805" s="215"/>
      <c r="C1805" s="215"/>
      <c r="D1805" s="215"/>
      <c r="E1805" s="215"/>
      <c r="F1805" s="215"/>
      <c r="G1805" s="233"/>
    </row>
    <row r="1806">
      <c r="A1806" s="215"/>
      <c r="B1806" s="215"/>
      <c r="C1806" s="215"/>
      <c r="D1806" s="215"/>
      <c r="E1806" s="215"/>
      <c r="F1806" s="215"/>
      <c r="G1806" s="233"/>
    </row>
    <row r="1807">
      <c r="A1807" s="215"/>
      <c r="B1807" s="215"/>
      <c r="C1807" s="215"/>
      <c r="D1807" s="215"/>
      <c r="E1807" s="215"/>
      <c r="F1807" s="215"/>
      <c r="G1807" s="233"/>
    </row>
    <row r="1808">
      <c r="A1808" s="215"/>
      <c r="B1808" s="215"/>
      <c r="C1808" s="215"/>
      <c r="D1808" s="215"/>
      <c r="E1808" s="215"/>
      <c r="F1808" s="215"/>
      <c r="G1808" s="233"/>
    </row>
    <row r="1809">
      <c r="A1809" s="215"/>
      <c r="B1809" s="215"/>
      <c r="C1809" s="215"/>
      <c r="D1809" s="215"/>
      <c r="E1809" s="215"/>
      <c r="F1809" s="215"/>
      <c r="G1809" s="233"/>
    </row>
    <row r="1810">
      <c r="A1810" s="215"/>
      <c r="B1810" s="215"/>
      <c r="C1810" s="215"/>
      <c r="D1810" s="215"/>
      <c r="E1810" s="215"/>
      <c r="F1810" s="215"/>
      <c r="G1810" s="233"/>
    </row>
    <row r="1811">
      <c r="A1811" s="215"/>
      <c r="B1811" s="215"/>
      <c r="C1811" s="215"/>
      <c r="D1811" s="215"/>
      <c r="E1811" s="215"/>
      <c r="F1811" s="215"/>
      <c r="G1811" s="233"/>
    </row>
    <row r="1812">
      <c r="A1812" s="215"/>
      <c r="B1812" s="215"/>
      <c r="C1812" s="215"/>
      <c r="D1812" s="215"/>
      <c r="E1812" s="215"/>
      <c r="F1812" s="215"/>
      <c r="G1812" s="233"/>
    </row>
    <row r="1813">
      <c r="A1813" s="215"/>
      <c r="B1813" s="215"/>
      <c r="C1813" s="215"/>
      <c r="D1813" s="215"/>
      <c r="E1813" s="215"/>
      <c r="F1813" s="215"/>
      <c r="G1813" s="233"/>
    </row>
    <row r="1814">
      <c r="A1814" s="215"/>
      <c r="B1814" s="215"/>
      <c r="C1814" s="215"/>
      <c r="D1814" s="215"/>
      <c r="E1814" s="215"/>
      <c r="F1814" s="215"/>
      <c r="G1814" s="233"/>
    </row>
    <row r="1815">
      <c r="A1815" s="215"/>
      <c r="B1815" s="215"/>
      <c r="C1815" s="215"/>
      <c r="D1815" s="215"/>
      <c r="E1815" s="215"/>
      <c r="F1815" s="215"/>
      <c r="G1815" s="233"/>
    </row>
    <row r="1816">
      <c r="A1816" s="215"/>
      <c r="B1816" s="215"/>
      <c r="C1816" s="215"/>
      <c r="D1816" s="215"/>
      <c r="E1816" s="215"/>
      <c r="F1816" s="215"/>
      <c r="G1816" s="233"/>
    </row>
    <row r="1817">
      <c r="A1817" s="215"/>
      <c r="B1817" s="215"/>
      <c r="C1817" s="215"/>
      <c r="D1817" s="215"/>
      <c r="E1817" s="215"/>
      <c r="F1817" s="215"/>
      <c r="G1817" s="233"/>
    </row>
    <row r="1818">
      <c r="A1818" s="215"/>
      <c r="B1818" s="215"/>
      <c r="C1818" s="215"/>
      <c r="D1818" s="215"/>
      <c r="E1818" s="215"/>
      <c r="F1818" s="215"/>
      <c r="G1818" s="233"/>
    </row>
    <row r="1819">
      <c r="A1819" s="215"/>
      <c r="B1819" s="215"/>
      <c r="C1819" s="215"/>
      <c r="D1819" s="215"/>
      <c r="E1819" s="215"/>
      <c r="F1819" s="215"/>
      <c r="G1819" s="233"/>
    </row>
    <row r="1820">
      <c r="A1820" s="215"/>
      <c r="B1820" s="215"/>
      <c r="C1820" s="215"/>
      <c r="D1820" s="215"/>
      <c r="E1820" s="215"/>
      <c r="F1820" s="215"/>
      <c r="G1820" s="233"/>
    </row>
    <row r="1821">
      <c r="A1821" s="215"/>
      <c r="B1821" s="215"/>
      <c r="C1821" s="215"/>
      <c r="D1821" s="215"/>
      <c r="E1821" s="215"/>
      <c r="F1821" s="215"/>
      <c r="G1821" s="233"/>
    </row>
    <row r="1822">
      <c r="A1822" s="215"/>
      <c r="B1822" s="215"/>
      <c r="C1822" s="215"/>
      <c r="D1822" s="215"/>
      <c r="E1822" s="215"/>
      <c r="F1822" s="215"/>
      <c r="G1822" s="233"/>
    </row>
    <row r="1823">
      <c r="A1823" s="215"/>
      <c r="B1823" s="215"/>
      <c r="C1823" s="215"/>
      <c r="D1823" s="215"/>
      <c r="E1823" s="215"/>
      <c r="F1823" s="215"/>
      <c r="G1823" s="233"/>
    </row>
    <row r="1824">
      <c r="A1824" s="215"/>
      <c r="B1824" s="215"/>
      <c r="C1824" s="215"/>
      <c r="D1824" s="215"/>
      <c r="E1824" s="215"/>
      <c r="F1824" s="215"/>
      <c r="G1824" s="233"/>
    </row>
    <row r="1825">
      <c r="A1825" s="215"/>
      <c r="B1825" s="215"/>
      <c r="C1825" s="215"/>
      <c r="D1825" s="215"/>
      <c r="E1825" s="215"/>
      <c r="F1825" s="215"/>
      <c r="G1825" s="233"/>
    </row>
    <row r="1826">
      <c r="A1826" s="215"/>
      <c r="B1826" s="215"/>
      <c r="C1826" s="215"/>
      <c r="D1826" s="215"/>
      <c r="E1826" s="215"/>
      <c r="F1826" s="215"/>
      <c r="G1826" s="233"/>
    </row>
    <row r="1827">
      <c r="A1827" s="215"/>
      <c r="B1827" s="215"/>
      <c r="C1827" s="215"/>
      <c r="D1827" s="215"/>
      <c r="E1827" s="215"/>
      <c r="F1827" s="215"/>
      <c r="G1827" s="233"/>
    </row>
    <row r="1828">
      <c r="A1828" s="215"/>
      <c r="B1828" s="215"/>
      <c r="C1828" s="215"/>
      <c r="D1828" s="215"/>
      <c r="E1828" s="215"/>
      <c r="F1828" s="215"/>
      <c r="G1828" s="233"/>
    </row>
    <row r="1829">
      <c r="A1829" s="215"/>
      <c r="B1829" s="215"/>
      <c r="C1829" s="215"/>
      <c r="D1829" s="215"/>
      <c r="E1829" s="215"/>
      <c r="F1829" s="215"/>
      <c r="G1829" s="233"/>
    </row>
    <row r="1830">
      <c r="A1830" s="215"/>
      <c r="B1830" s="215"/>
      <c r="C1830" s="215"/>
      <c r="D1830" s="215"/>
      <c r="E1830" s="215"/>
      <c r="F1830" s="215"/>
      <c r="G1830" s="233"/>
    </row>
    <row r="1831">
      <c r="A1831" s="215"/>
      <c r="B1831" s="215"/>
      <c r="C1831" s="215"/>
      <c r="D1831" s="215"/>
      <c r="E1831" s="215"/>
      <c r="F1831" s="215"/>
      <c r="G1831" s="233"/>
    </row>
    <row r="1832">
      <c r="A1832" s="215"/>
      <c r="B1832" s="215"/>
      <c r="C1832" s="215"/>
      <c r="D1832" s="215"/>
      <c r="E1832" s="215"/>
      <c r="F1832" s="215"/>
      <c r="G1832" s="233"/>
    </row>
    <row r="1833">
      <c r="A1833" s="215"/>
      <c r="B1833" s="215"/>
      <c r="C1833" s="215"/>
      <c r="D1833" s="215"/>
      <c r="E1833" s="215"/>
      <c r="F1833" s="215"/>
      <c r="G1833" s="233"/>
    </row>
    <row r="1834">
      <c r="A1834" s="215"/>
      <c r="B1834" s="215"/>
      <c r="C1834" s="215"/>
      <c r="D1834" s="215"/>
      <c r="E1834" s="215"/>
      <c r="F1834" s="215"/>
      <c r="G1834" s="233"/>
    </row>
    <row r="1835">
      <c r="A1835" s="215"/>
      <c r="B1835" s="215"/>
      <c r="C1835" s="215"/>
      <c r="D1835" s="215"/>
      <c r="E1835" s="215"/>
      <c r="F1835" s="215"/>
      <c r="G1835" s="233"/>
    </row>
    <row r="1836">
      <c r="A1836" s="215"/>
      <c r="B1836" s="215"/>
      <c r="C1836" s="215"/>
      <c r="D1836" s="215"/>
      <c r="E1836" s="215"/>
      <c r="F1836" s="215"/>
      <c r="G1836" s="233"/>
    </row>
    <row r="1837">
      <c r="A1837" s="215"/>
      <c r="B1837" s="215"/>
      <c r="C1837" s="215"/>
      <c r="D1837" s="215"/>
      <c r="E1837" s="215"/>
      <c r="F1837" s="215"/>
      <c r="G1837" s="233"/>
    </row>
    <row r="1838">
      <c r="A1838" s="215"/>
      <c r="B1838" s="215"/>
      <c r="C1838" s="215"/>
      <c r="D1838" s="215"/>
      <c r="E1838" s="215"/>
      <c r="F1838" s="215"/>
      <c r="G1838" s="233"/>
    </row>
    <row r="1839">
      <c r="A1839" s="215"/>
      <c r="B1839" s="215"/>
      <c r="C1839" s="215"/>
      <c r="D1839" s="215"/>
      <c r="E1839" s="215"/>
      <c r="F1839" s="215"/>
      <c r="G1839" s="233"/>
    </row>
    <row r="1840">
      <c r="A1840" s="215"/>
      <c r="B1840" s="215"/>
      <c r="C1840" s="215"/>
      <c r="D1840" s="215"/>
      <c r="E1840" s="215"/>
      <c r="F1840" s="215"/>
      <c r="G1840" s="233"/>
    </row>
    <row r="1841">
      <c r="A1841" s="215"/>
      <c r="B1841" s="215"/>
      <c r="C1841" s="215"/>
      <c r="D1841" s="215"/>
      <c r="E1841" s="215"/>
      <c r="F1841" s="215"/>
      <c r="G1841" s="233"/>
    </row>
    <row r="1842">
      <c r="A1842" s="215"/>
      <c r="B1842" s="215"/>
      <c r="C1842" s="215"/>
      <c r="D1842" s="215"/>
      <c r="E1842" s="215"/>
      <c r="F1842" s="215"/>
      <c r="G1842" s="233"/>
    </row>
    <row r="1843">
      <c r="A1843" s="215"/>
      <c r="B1843" s="215"/>
      <c r="C1843" s="215"/>
      <c r="D1843" s="215"/>
      <c r="E1843" s="215"/>
      <c r="F1843" s="215"/>
      <c r="G1843" s="233"/>
    </row>
    <row r="1844">
      <c r="A1844" s="215"/>
      <c r="B1844" s="215"/>
      <c r="C1844" s="215"/>
      <c r="D1844" s="215"/>
      <c r="E1844" s="215"/>
      <c r="F1844" s="215"/>
      <c r="G1844" s="233"/>
    </row>
    <row r="1845">
      <c r="A1845" s="215"/>
      <c r="B1845" s="215"/>
      <c r="C1845" s="215"/>
      <c r="D1845" s="215"/>
      <c r="E1845" s="215"/>
      <c r="F1845" s="215"/>
      <c r="G1845" s="233"/>
    </row>
    <row r="1846">
      <c r="A1846" s="215"/>
      <c r="B1846" s="215"/>
      <c r="C1846" s="215"/>
      <c r="D1846" s="215"/>
      <c r="E1846" s="215"/>
      <c r="F1846" s="215"/>
      <c r="G1846" s="233"/>
    </row>
    <row r="1847">
      <c r="A1847" s="215"/>
      <c r="B1847" s="215"/>
      <c r="C1847" s="215"/>
      <c r="D1847" s="215"/>
      <c r="E1847" s="215"/>
      <c r="F1847" s="215"/>
      <c r="G1847" s="233"/>
    </row>
    <row r="1848">
      <c r="A1848" s="215"/>
      <c r="B1848" s="215"/>
      <c r="C1848" s="215"/>
      <c r="D1848" s="215"/>
      <c r="E1848" s="215"/>
      <c r="F1848" s="215"/>
      <c r="G1848" s="233"/>
    </row>
    <row r="1849">
      <c r="A1849" s="215"/>
      <c r="B1849" s="215"/>
      <c r="C1849" s="215"/>
      <c r="D1849" s="215"/>
      <c r="E1849" s="215"/>
      <c r="F1849" s="215"/>
      <c r="G1849" s="233"/>
    </row>
    <row r="1850">
      <c r="A1850" s="215"/>
      <c r="B1850" s="215"/>
      <c r="C1850" s="215"/>
      <c r="D1850" s="215"/>
      <c r="E1850" s="215"/>
      <c r="F1850" s="215"/>
      <c r="G1850" s="233"/>
    </row>
    <row r="1851">
      <c r="A1851" s="215"/>
      <c r="B1851" s="215"/>
      <c r="C1851" s="215"/>
      <c r="D1851" s="215"/>
      <c r="E1851" s="215"/>
      <c r="F1851" s="215"/>
      <c r="G1851" s="233"/>
    </row>
    <row r="1852">
      <c r="A1852" s="215"/>
      <c r="B1852" s="215"/>
      <c r="C1852" s="215"/>
      <c r="D1852" s="215"/>
      <c r="E1852" s="215"/>
      <c r="F1852" s="215"/>
      <c r="G1852" s="233"/>
    </row>
    <row r="1853">
      <c r="A1853" s="215"/>
      <c r="B1853" s="215"/>
      <c r="C1853" s="215"/>
      <c r="D1853" s="215"/>
      <c r="E1853" s="215"/>
      <c r="F1853" s="215"/>
      <c r="G1853" s="233"/>
    </row>
    <row r="1854">
      <c r="A1854" s="215"/>
      <c r="B1854" s="215"/>
      <c r="C1854" s="215"/>
      <c r="D1854" s="215"/>
      <c r="E1854" s="215"/>
      <c r="F1854" s="215"/>
      <c r="G1854" s="233"/>
    </row>
    <row r="1855">
      <c r="A1855" s="215"/>
      <c r="B1855" s="215"/>
      <c r="C1855" s="215"/>
      <c r="D1855" s="215"/>
      <c r="E1855" s="215"/>
      <c r="F1855" s="215"/>
      <c r="G1855" s="233"/>
    </row>
    <row r="1856">
      <c r="A1856" s="215"/>
      <c r="B1856" s="215"/>
      <c r="C1856" s="215"/>
      <c r="D1856" s="215"/>
      <c r="E1856" s="215"/>
      <c r="F1856" s="215"/>
      <c r="G1856" s="233"/>
    </row>
    <row r="1857">
      <c r="A1857" s="215"/>
      <c r="B1857" s="215"/>
      <c r="C1857" s="215"/>
      <c r="D1857" s="215"/>
      <c r="E1857" s="215"/>
      <c r="F1857" s="215"/>
      <c r="G1857" s="233"/>
    </row>
    <row r="1858">
      <c r="A1858" s="215"/>
      <c r="B1858" s="215"/>
      <c r="C1858" s="215"/>
      <c r="D1858" s="215"/>
      <c r="E1858" s="215"/>
      <c r="F1858" s="215"/>
      <c r="G1858" s="233"/>
    </row>
    <row r="1859">
      <c r="A1859" s="215"/>
      <c r="B1859" s="215"/>
      <c r="C1859" s="215"/>
      <c r="D1859" s="215"/>
      <c r="E1859" s="215"/>
      <c r="F1859" s="215"/>
      <c r="G1859" s="233"/>
    </row>
    <row r="1860">
      <c r="A1860" s="215"/>
      <c r="B1860" s="215"/>
      <c r="C1860" s="215"/>
      <c r="D1860" s="215"/>
      <c r="E1860" s="215"/>
      <c r="F1860" s="215"/>
      <c r="G1860" s="233"/>
    </row>
    <row r="1861">
      <c r="A1861" s="215"/>
      <c r="B1861" s="215"/>
      <c r="C1861" s="215"/>
      <c r="D1861" s="215"/>
      <c r="E1861" s="215"/>
      <c r="F1861" s="215"/>
      <c r="G1861" s="233"/>
    </row>
    <row r="1862">
      <c r="A1862" s="215"/>
      <c r="B1862" s="215"/>
      <c r="C1862" s="215"/>
      <c r="D1862" s="215"/>
      <c r="E1862" s="215"/>
      <c r="F1862" s="215"/>
      <c r="G1862" s="233"/>
    </row>
    <row r="1863">
      <c r="A1863" s="215"/>
      <c r="B1863" s="215"/>
      <c r="C1863" s="215"/>
      <c r="D1863" s="215"/>
      <c r="E1863" s="215"/>
      <c r="F1863" s="215"/>
      <c r="G1863" s="233"/>
    </row>
    <row r="1864">
      <c r="A1864" s="215"/>
      <c r="B1864" s="215"/>
      <c r="C1864" s="215"/>
      <c r="D1864" s="215"/>
      <c r="E1864" s="215"/>
      <c r="F1864" s="215"/>
      <c r="G1864" s="233"/>
    </row>
    <row r="1865">
      <c r="A1865" s="215"/>
      <c r="B1865" s="215"/>
      <c r="C1865" s="215"/>
      <c r="D1865" s="215"/>
      <c r="E1865" s="215"/>
      <c r="F1865" s="215"/>
      <c r="G1865" s="233"/>
    </row>
    <row r="1866">
      <c r="A1866" s="215"/>
      <c r="B1866" s="215"/>
      <c r="C1866" s="215"/>
      <c r="D1866" s="215"/>
      <c r="E1866" s="215"/>
      <c r="F1866" s="215"/>
      <c r="G1866" s="233"/>
    </row>
    <row r="1867">
      <c r="A1867" s="215"/>
      <c r="B1867" s="215"/>
      <c r="C1867" s="215"/>
      <c r="D1867" s="215"/>
      <c r="E1867" s="215"/>
      <c r="F1867" s="215"/>
      <c r="G1867" s="233"/>
    </row>
    <row r="1868">
      <c r="A1868" s="215"/>
      <c r="B1868" s="215"/>
      <c r="C1868" s="215"/>
      <c r="D1868" s="215"/>
      <c r="E1868" s="215"/>
      <c r="F1868" s="215"/>
      <c r="G1868" s="233"/>
    </row>
    <row r="1869">
      <c r="A1869" s="215"/>
      <c r="B1869" s="215"/>
      <c r="C1869" s="215"/>
      <c r="D1869" s="215"/>
      <c r="E1869" s="215"/>
      <c r="F1869" s="215"/>
      <c r="G1869" s="233"/>
    </row>
    <row r="1870">
      <c r="A1870" s="215"/>
      <c r="B1870" s="215"/>
      <c r="C1870" s="215"/>
      <c r="D1870" s="215"/>
      <c r="E1870" s="215"/>
      <c r="F1870" s="215"/>
      <c r="G1870" s="233"/>
    </row>
    <row r="1871">
      <c r="A1871" s="215"/>
      <c r="B1871" s="215"/>
      <c r="C1871" s="215"/>
      <c r="D1871" s="215"/>
      <c r="E1871" s="215"/>
      <c r="F1871" s="215"/>
      <c r="G1871" s="233"/>
    </row>
    <row r="1872">
      <c r="A1872" s="215"/>
      <c r="B1872" s="215"/>
      <c r="C1872" s="215"/>
      <c r="D1872" s="215"/>
      <c r="E1872" s="215"/>
      <c r="F1872" s="215"/>
      <c r="G1872" s="233"/>
    </row>
    <row r="1873">
      <c r="A1873" s="215"/>
      <c r="B1873" s="215"/>
      <c r="C1873" s="215"/>
      <c r="D1873" s="215"/>
      <c r="E1873" s="215"/>
      <c r="F1873" s="215"/>
      <c r="G1873" s="233"/>
    </row>
    <row r="1874">
      <c r="A1874" s="215"/>
      <c r="B1874" s="215"/>
      <c r="C1874" s="215"/>
      <c r="D1874" s="215"/>
      <c r="E1874" s="215"/>
      <c r="F1874" s="215"/>
      <c r="G1874" s="233"/>
    </row>
    <row r="1875">
      <c r="A1875" s="215"/>
      <c r="B1875" s="215"/>
      <c r="C1875" s="215"/>
      <c r="D1875" s="215"/>
      <c r="E1875" s="215"/>
      <c r="F1875" s="215"/>
      <c r="G1875" s="233"/>
    </row>
    <row r="1876">
      <c r="A1876" s="215"/>
      <c r="B1876" s="215"/>
      <c r="C1876" s="215"/>
      <c r="D1876" s="215"/>
      <c r="E1876" s="215"/>
      <c r="F1876" s="215"/>
      <c r="G1876" s="233"/>
    </row>
    <row r="1877">
      <c r="A1877" s="215"/>
      <c r="B1877" s="215"/>
      <c r="C1877" s="215"/>
      <c r="D1877" s="215"/>
      <c r="E1877" s="215"/>
      <c r="F1877" s="215"/>
      <c r="G1877" s="233"/>
    </row>
    <row r="1878">
      <c r="A1878" s="215"/>
      <c r="B1878" s="215"/>
      <c r="C1878" s="215"/>
      <c r="D1878" s="215"/>
      <c r="E1878" s="215"/>
      <c r="F1878" s="215"/>
      <c r="G1878" s="233"/>
    </row>
    <row r="1879">
      <c r="A1879" s="215"/>
      <c r="B1879" s="215"/>
      <c r="C1879" s="215"/>
      <c r="D1879" s="215"/>
      <c r="E1879" s="215"/>
      <c r="F1879" s="215"/>
      <c r="G1879" s="233"/>
    </row>
    <row r="1880">
      <c r="A1880" s="215"/>
      <c r="B1880" s="215"/>
      <c r="C1880" s="215"/>
      <c r="D1880" s="215"/>
      <c r="E1880" s="215"/>
      <c r="F1880" s="215"/>
      <c r="G1880" s="233"/>
    </row>
    <row r="1881">
      <c r="A1881" s="215"/>
      <c r="B1881" s="215"/>
      <c r="C1881" s="215"/>
      <c r="D1881" s="215"/>
      <c r="E1881" s="215"/>
      <c r="F1881" s="215"/>
      <c r="G1881" s="233"/>
    </row>
    <row r="1882">
      <c r="A1882" s="215"/>
      <c r="B1882" s="215"/>
      <c r="C1882" s="215"/>
      <c r="D1882" s="215"/>
      <c r="E1882" s="215"/>
      <c r="F1882" s="215"/>
      <c r="G1882" s="233"/>
    </row>
    <row r="1883">
      <c r="A1883" s="215"/>
      <c r="B1883" s="215"/>
      <c r="C1883" s="215"/>
      <c r="D1883" s="215"/>
      <c r="E1883" s="215"/>
      <c r="F1883" s="215"/>
      <c r="G1883" s="233"/>
    </row>
    <row r="1884">
      <c r="A1884" s="215"/>
      <c r="B1884" s="215"/>
      <c r="C1884" s="215"/>
      <c r="D1884" s="215"/>
      <c r="E1884" s="215"/>
      <c r="F1884" s="215"/>
      <c r="G1884" s="233"/>
    </row>
    <row r="1885">
      <c r="A1885" s="215"/>
      <c r="B1885" s="215"/>
      <c r="C1885" s="215"/>
      <c r="D1885" s="215"/>
      <c r="E1885" s="215"/>
      <c r="F1885" s="215"/>
      <c r="G1885" s="233"/>
    </row>
    <row r="1886">
      <c r="A1886" s="215"/>
      <c r="B1886" s="215"/>
      <c r="C1886" s="215"/>
      <c r="D1886" s="215"/>
      <c r="E1886" s="215"/>
      <c r="F1886" s="215"/>
      <c r="G1886" s="233"/>
    </row>
    <row r="1887">
      <c r="A1887" s="215"/>
      <c r="B1887" s="215"/>
      <c r="C1887" s="215"/>
      <c r="D1887" s="215"/>
      <c r="E1887" s="215"/>
      <c r="F1887" s="215"/>
      <c r="G1887" s="233"/>
    </row>
    <row r="1888">
      <c r="A1888" s="215"/>
      <c r="B1888" s="215"/>
      <c r="C1888" s="215"/>
      <c r="D1888" s="215"/>
      <c r="E1888" s="215"/>
      <c r="F1888" s="215"/>
      <c r="G1888" s="233"/>
    </row>
    <row r="1889">
      <c r="A1889" s="215"/>
      <c r="B1889" s="215"/>
      <c r="C1889" s="215"/>
      <c r="D1889" s="215"/>
      <c r="E1889" s="215"/>
      <c r="F1889" s="215"/>
      <c r="G1889" s="233"/>
    </row>
    <row r="1890">
      <c r="A1890" s="215"/>
      <c r="B1890" s="215"/>
      <c r="C1890" s="215"/>
      <c r="D1890" s="215"/>
      <c r="E1890" s="215"/>
      <c r="F1890" s="215"/>
      <c r="G1890" s="233"/>
    </row>
    <row r="1891">
      <c r="A1891" s="215"/>
      <c r="B1891" s="215"/>
      <c r="C1891" s="215"/>
      <c r="D1891" s="215"/>
      <c r="E1891" s="215"/>
      <c r="F1891" s="215"/>
      <c r="G1891" s="233"/>
    </row>
    <row r="1892">
      <c r="A1892" s="215"/>
      <c r="B1892" s="215"/>
      <c r="C1892" s="215"/>
      <c r="D1892" s="215"/>
      <c r="E1892" s="215"/>
      <c r="F1892" s="215"/>
      <c r="G1892" s="233"/>
    </row>
    <row r="1893">
      <c r="A1893" s="215"/>
      <c r="B1893" s="215"/>
      <c r="C1893" s="215"/>
      <c r="D1893" s="215"/>
      <c r="E1893" s="215"/>
      <c r="F1893" s="215"/>
      <c r="G1893" s="233"/>
    </row>
    <row r="1894">
      <c r="A1894" s="215"/>
      <c r="B1894" s="215"/>
      <c r="C1894" s="215"/>
      <c r="D1894" s="215"/>
      <c r="E1894" s="215"/>
      <c r="F1894" s="215"/>
      <c r="G1894" s="233"/>
    </row>
    <row r="1895">
      <c r="A1895" s="215"/>
      <c r="B1895" s="215"/>
      <c r="C1895" s="215"/>
      <c r="D1895" s="215"/>
      <c r="E1895" s="215"/>
      <c r="F1895" s="215"/>
      <c r="G1895" s="233"/>
    </row>
    <row r="1896">
      <c r="A1896" s="215"/>
      <c r="B1896" s="215"/>
      <c r="C1896" s="215"/>
      <c r="D1896" s="215"/>
      <c r="E1896" s="215"/>
      <c r="F1896" s="215"/>
      <c r="G1896" s="233"/>
    </row>
    <row r="1897">
      <c r="A1897" s="215"/>
      <c r="B1897" s="215"/>
      <c r="C1897" s="215"/>
      <c r="D1897" s="215"/>
      <c r="E1897" s="215"/>
      <c r="F1897" s="215"/>
      <c r="G1897" s="233"/>
    </row>
    <row r="1898">
      <c r="A1898" s="215"/>
      <c r="B1898" s="215"/>
      <c r="C1898" s="215"/>
      <c r="D1898" s="215"/>
      <c r="E1898" s="215"/>
      <c r="F1898" s="215"/>
      <c r="G1898" s="233"/>
    </row>
    <row r="1899">
      <c r="A1899" s="215"/>
      <c r="B1899" s="215"/>
      <c r="C1899" s="215"/>
      <c r="D1899" s="215"/>
      <c r="E1899" s="215"/>
      <c r="F1899" s="215"/>
      <c r="G1899" s="233"/>
    </row>
    <row r="1900">
      <c r="A1900" s="215"/>
      <c r="B1900" s="215"/>
      <c r="C1900" s="215"/>
      <c r="D1900" s="215"/>
      <c r="E1900" s="215"/>
      <c r="F1900" s="215"/>
      <c r="G1900" s="233"/>
    </row>
    <row r="1901">
      <c r="A1901" s="215"/>
      <c r="B1901" s="215"/>
      <c r="C1901" s="215"/>
      <c r="D1901" s="215"/>
      <c r="E1901" s="215"/>
      <c r="F1901" s="215"/>
      <c r="G1901" s="233"/>
    </row>
    <row r="1902">
      <c r="A1902" s="215"/>
      <c r="B1902" s="215"/>
      <c r="C1902" s="215"/>
      <c r="D1902" s="215"/>
      <c r="E1902" s="215"/>
      <c r="F1902" s="215"/>
      <c r="G1902" s="233"/>
    </row>
    <row r="1903">
      <c r="A1903" s="215"/>
      <c r="B1903" s="215"/>
      <c r="C1903" s="215"/>
      <c r="D1903" s="215"/>
      <c r="E1903" s="215"/>
      <c r="F1903" s="215"/>
      <c r="G1903" s="233"/>
    </row>
    <row r="1904">
      <c r="A1904" s="215"/>
      <c r="B1904" s="215"/>
      <c r="C1904" s="215"/>
      <c r="D1904" s="215"/>
      <c r="E1904" s="215"/>
      <c r="F1904" s="215"/>
      <c r="G1904" s="233"/>
    </row>
    <row r="1905">
      <c r="A1905" s="215"/>
      <c r="B1905" s="215"/>
      <c r="C1905" s="215"/>
      <c r="D1905" s="215"/>
      <c r="E1905" s="215"/>
      <c r="F1905" s="215"/>
      <c r="G1905" s="233"/>
    </row>
    <row r="1906">
      <c r="A1906" s="215"/>
      <c r="B1906" s="215"/>
      <c r="C1906" s="215"/>
      <c r="D1906" s="215"/>
      <c r="E1906" s="215"/>
      <c r="F1906" s="215"/>
      <c r="G1906" s="233"/>
    </row>
    <row r="1907">
      <c r="A1907" s="215"/>
      <c r="B1907" s="215"/>
      <c r="C1907" s="215"/>
      <c r="D1907" s="215"/>
      <c r="E1907" s="215"/>
      <c r="F1907" s="215"/>
      <c r="G1907" s="233"/>
    </row>
    <row r="1908">
      <c r="A1908" s="215"/>
      <c r="B1908" s="215"/>
      <c r="C1908" s="215"/>
      <c r="D1908" s="215"/>
      <c r="E1908" s="215"/>
      <c r="F1908" s="215"/>
      <c r="G1908" s="233"/>
    </row>
    <row r="1909">
      <c r="A1909" s="215"/>
      <c r="B1909" s="215"/>
      <c r="C1909" s="215"/>
      <c r="D1909" s="215"/>
      <c r="E1909" s="215"/>
      <c r="F1909" s="215"/>
      <c r="G1909" s="233"/>
    </row>
    <row r="1910">
      <c r="A1910" s="215"/>
      <c r="B1910" s="215"/>
      <c r="C1910" s="215"/>
      <c r="D1910" s="215"/>
      <c r="E1910" s="215"/>
      <c r="F1910" s="215"/>
      <c r="G1910" s="233"/>
    </row>
    <row r="1911">
      <c r="A1911" s="215"/>
      <c r="B1911" s="215"/>
      <c r="C1911" s="215"/>
      <c r="D1911" s="215"/>
      <c r="E1911" s="215"/>
      <c r="F1911" s="215"/>
      <c r="G1911" s="233"/>
    </row>
    <row r="1912">
      <c r="A1912" s="215"/>
      <c r="B1912" s="215"/>
      <c r="C1912" s="215"/>
      <c r="D1912" s="215"/>
      <c r="E1912" s="215"/>
      <c r="F1912" s="215"/>
      <c r="G1912" s="233"/>
    </row>
    <row r="1913">
      <c r="A1913" s="215"/>
      <c r="B1913" s="215"/>
      <c r="C1913" s="215"/>
      <c r="D1913" s="215"/>
      <c r="E1913" s="215"/>
      <c r="F1913" s="215"/>
      <c r="G1913" s="233"/>
    </row>
    <row r="1914">
      <c r="A1914" s="215"/>
      <c r="B1914" s="215"/>
      <c r="C1914" s="215"/>
      <c r="D1914" s="215"/>
      <c r="E1914" s="215"/>
      <c r="F1914" s="215"/>
      <c r="G1914" s="233"/>
    </row>
    <row r="1915">
      <c r="A1915" s="215"/>
      <c r="B1915" s="215"/>
      <c r="C1915" s="215"/>
      <c r="D1915" s="215"/>
      <c r="E1915" s="215"/>
      <c r="F1915" s="215"/>
      <c r="G1915" s="233"/>
    </row>
    <row r="1916">
      <c r="A1916" s="215"/>
      <c r="B1916" s="215"/>
      <c r="C1916" s="215"/>
      <c r="D1916" s="215"/>
      <c r="E1916" s="215"/>
      <c r="F1916" s="215"/>
      <c r="G1916" s="233"/>
    </row>
    <row r="1917">
      <c r="A1917" s="215"/>
      <c r="B1917" s="215"/>
      <c r="C1917" s="215"/>
      <c r="D1917" s="215"/>
      <c r="E1917" s="215"/>
      <c r="F1917" s="215"/>
      <c r="G1917" s="233"/>
    </row>
    <row r="1918">
      <c r="A1918" s="215"/>
      <c r="B1918" s="215"/>
      <c r="C1918" s="215"/>
      <c r="D1918" s="215"/>
      <c r="E1918" s="215"/>
      <c r="F1918" s="215"/>
      <c r="G1918" s="233"/>
    </row>
    <row r="1919">
      <c r="A1919" s="215"/>
      <c r="B1919" s="215"/>
      <c r="C1919" s="215"/>
      <c r="D1919" s="215"/>
      <c r="E1919" s="215"/>
      <c r="F1919" s="215"/>
      <c r="G1919" s="233"/>
    </row>
    <row r="1920">
      <c r="A1920" s="215"/>
      <c r="B1920" s="215"/>
      <c r="C1920" s="215"/>
      <c r="D1920" s="215"/>
      <c r="E1920" s="215"/>
      <c r="F1920" s="215"/>
      <c r="G1920" s="233"/>
    </row>
    <row r="1921">
      <c r="A1921" s="215"/>
      <c r="B1921" s="215"/>
      <c r="C1921" s="215"/>
      <c r="D1921" s="215"/>
      <c r="E1921" s="215"/>
      <c r="F1921" s="215"/>
      <c r="G1921" s="233"/>
    </row>
    <row r="1922">
      <c r="A1922" s="215"/>
      <c r="B1922" s="215"/>
      <c r="C1922" s="215"/>
      <c r="D1922" s="215"/>
      <c r="E1922" s="215"/>
      <c r="F1922" s="215"/>
      <c r="G1922" s="233"/>
    </row>
    <row r="1923">
      <c r="A1923" s="215"/>
      <c r="B1923" s="215"/>
      <c r="C1923" s="215"/>
      <c r="D1923" s="215"/>
      <c r="E1923" s="215"/>
      <c r="F1923" s="215"/>
      <c r="G1923" s="233"/>
    </row>
    <row r="1924">
      <c r="A1924" s="215"/>
      <c r="B1924" s="215"/>
      <c r="C1924" s="215"/>
      <c r="D1924" s="215"/>
      <c r="E1924" s="215"/>
      <c r="F1924" s="215"/>
      <c r="G1924" s="233"/>
    </row>
    <row r="1925">
      <c r="A1925" s="215"/>
      <c r="B1925" s="215"/>
      <c r="C1925" s="215"/>
      <c r="D1925" s="215"/>
      <c r="E1925" s="215"/>
      <c r="F1925" s="215"/>
      <c r="G1925" s="233"/>
    </row>
    <row r="1926">
      <c r="A1926" s="215"/>
      <c r="B1926" s="215"/>
      <c r="C1926" s="215"/>
      <c r="D1926" s="215"/>
      <c r="E1926" s="215"/>
      <c r="F1926" s="215"/>
      <c r="G1926" s="233"/>
    </row>
    <row r="1927">
      <c r="A1927" s="215"/>
      <c r="B1927" s="215"/>
      <c r="C1927" s="215"/>
      <c r="D1927" s="215"/>
      <c r="E1927" s="215"/>
      <c r="F1927" s="215"/>
      <c r="G1927" s="233"/>
    </row>
    <row r="1928">
      <c r="A1928" s="215"/>
      <c r="B1928" s="215"/>
      <c r="C1928" s="215"/>
      <c r="D1928" s="215"/>
      <c r="E1928" s="215"/>
      <c r="F1928" s="215"/>
      <c r="G1928" s="233"/>
    </row>
    <row r="1929">
      <c r="A1929" s="215"/>
      <c r="B1929" s="215"/>
      <c r="C1929" s="215"/>
      <c r="D1929" s="215"/>
      <c r="E1929" s="215"/>
      <c r="F1929" s="215"/>
      <c r="G1929" s="233"/>
    </row>
    <row r="1930">
      <c r="A1930" s="215"/>
      <c r="B1930" s="215"/>
      <c r="C1930" s="215"/>
      <c r="D1930" s="215"/>
      <c r="E1930" s="215"/>
      <c r="F1930" s="215"/>
      <c r="G1930" s="233"/>
    </row>
    <row r="1931">
      <c r="A1931" s="215"/>
      <c r="B1931" s="215"/>
      <c r="C1931" s="215"/>
      <c r="D1931" s="215"/>
      <c r="E1931" s="215"/>
      <c r="F1931" s="215"/>
      <c r="G1931" s="233"/>
    </row>
    <row r="1932">
      <c r="A1932" s="215"/>
      <c r="B1932" s="215"/>
      <c r="C1932" s="215"/>
      <c r="D1932" s="215"/>
      <c r="E1932" s="215"/>
      <c r="F1932" s="215"/>
      <c r="G1932" s="233"/>
    </row>
    <row r="1933">
      <c r="A1933" s="215"/>
      <c r="B1933" s="215"/>
      <c r="C1933" s="215"/>
      <c r="D1933" s="215"/>
      <c r="E1933" s="215"/>
      <c r="F1933" s="215"/>
      <c r="G1933" s="233"/>
    </row>
    <row r="1934">
      <c r="A1934" s="215"/>
      <c r="B1934" s="215"/>
      <c r="C1934" s="215"/>
      <c r="D1934" s="215"/>
      <c r="E1934" s="215"/>
      <c r="F1934" s="215"/>
      <c r="G1934" s="233"/>
    </row>
    <row r="1935">
      <c r="A1935" s="215"/>
      <c r="B1935" s="215"/>
      <c r="C1935" s="215"/>
      <c r="D1935" s="215"/>
      <c r="E1935" s="215"/>
      <c r="F1935" s="215"/>
      <c r="G1935" s="233"/>
    </row>
    <row r="1936">
      <c r="A1936" s="215"/>
      <c r="B1936" s="215"/>
      <c r="C1936" s="215"/>
      <c r="D1936" s="215"/>
      <c r="E1936" s="215"/>
      <c r="F1936" s="215"/>
      <c r="G1936" s="233"/>
    </row>
    <row r="1937">
      <c r="A1937" s="215"/>
      <c r="B1937" s="215"/>
      <c r="C1937" s="215"/>
      <c r="D1937" s="215"/>
      <c r="E1937" s="215"/>
      <c r="F1937" s="215"/>
      <c r="G1937" s="233"/>
    </row>
    <row r="1938">
      <c r="A1938" s="215"/>
      <c r="B1938" s="215"/>
      <c r="C1938" s="215"/>
      <c r="D1938" s="215"/>
      <c r="E1938" s="215"/>
      <c r="F1938" s="215"/>
      <c r="G1938" s="233"/>
    </row>
    <row r="1939">
      <c r="A1939" s="215"/>
      <c r="B1939" s="215"/>
      <c r="C1939" s="215"/>
      <c r="D1939" s="215"/>
      <c r="E1939" s="215"/>
      <c r="F1939" s="215"/>
      <c r="G1939" s="233"/>
    </row>
    <row r="1940">
      <c r="A1940" s="215"/>
      <c r="B1940" s="215"/>
      <c r="C1940" s="215"/>
      <c r="D1940" s="215"/>
      <c r="E1940" s="215"/>
      <c r="F1940" s="215"/>
      <c r="G1940" s="233"/>
    </row>
    <row r="1941">
      <c r="A1941" s="215"/>
      <c r="B1941" s="215"/>
      <c r="C1941" s="215"/>
      <c r="D1941" s="215"/>
      <c r="E1941" s="215"/>
      <c r="F1941" s="215"/>
      <c r="G1941" s="233"/>
    </row>
    <row r="1942">
      <c r="A1942" s="215"/>
      <c r="B1942" s="215"/>
      <c r="C1942" s="215"/>
      <c r="D1942" s="215"/>
      <c r="E1942" s="215"/>
      <c r="F1942" s="215"/>
      <c r="G1942" s="233"/>
    </row>
    <row r="1943">
      <c r="A1943" s="215"/>
      <c r="B1943" s="215"/>
      <c r="C1943" s="215"/>
      <c r="D1943" s="215"/>
      <c r="E1943" s="215"/>
      <c r="F1943" s="215"/>
      <c r="G1943" s="233"/>
    </row>
    <row r="1944">
      <c r="A1944" s="215"/>
      <c r="B1944" s="215"/>
      <c r="C1944" s="215"/>
      <c r="D1944" s="215"/>
      <c r="E1944" s="215"/>
      <c r="F1944" s="215"/>
      <c r="G1944" s="233"/>
    </row>
    <row r="1945">
      <c r="A1945" s="215"/>
      <c r="B1945" s="215"/>
      <c r="C1945" s="215"/>
      <c r="D1945" s="215"/>
      <c r="E1945" s="215"/>
      <c r="F1945" s="215"/>
      <c r="G1945" s="233"/>
    </row>
    <row r="1946">
      <c r="A1946" s="215"/>
      <c r="B1946" s="215"/>
      <c r="C1946" s="215"/>
      <c r="D1946" s="215"/>
      <c r="E1946" s="215"/>
      <c r="F1946" s="215"/>
      <c r="G1946" s="233"/>
    </row>
    <row r="1947">
      <c r="A1947" s="215"/>
      <c r="B1947" s="215"/>
      <c r="C1947" s="215"/>
      <c r="D1947" s="215"/>
      <c r="E1947" s="215"/>
      <c r="F1947" s="215"/>
      <c r="G1947" s="233"/>
    </row>
    <row r="1948">
      <c r="A1948" s="215"/>
      <c r="B1948" s="215"/>
      <c r="C1948" s="215"/>
      <c r="D1948" s="215"/>
      <c r="E1948" s="215"/>
      <c r="F1948" s="215"/>
      <c r="G1948" s="233"/>
    </row>
    <row r="1949">
      <c r="A1949" s="215"/>
      <c r="B1949" s="215"/>
      <c r="C1949" s="215"/>
      <c r="D1949" s="215"/>
      <c r="E1949" s="215"/>
      <c r="F1949" s="215"/>
      <c r="G1949" s="233"/>
    </row>
    <row r="1950">
      <c r="A1950" s="215"/>
      <c r="B1950" s="215"/>
      <c r="C1950" s="215"/>
      <c r="D1950" s="215"/>
      <c r="E1950" s="215"/>
      <c r="F1950" s="215"/>
      <c r="G1950" s="233"/>
    </row>
    <row r="1951">
      <c r="A1951" s="215"/>
      <c r="B1951" s="215"/>
      <c r="C1951" s="215"/>
      <c r="D1951" s="215"/>
      <c r="E1951" s="215"/>
      <c r="F1951" s="215"/>
      <c r="G1951" s="233"/>
    </row>
    <row r="1952">
      <c r="A1952" s="215"/>
      <c r="B1952" s="215"/>
      <c r="C1952" s="215"/>
      <c r="D1952" s="215"/>
      <c r="E1952" s="215"/>
      <c r="F1952" s="215"/>
      <c r="G1952" s="233"/>
    </row>
    <row r="1953">
      <c r="A1953" s="215"/>
      <c r="B1953" s="215"/>
      <c r="C1953" s="215"/>
      <c r="D1953" s="215"/>
      <c r="E1953" s="215"/>
      <c r="F1953" s="215"/>
      <c r="G1953" s="233"/>
    </row>
    <row r="1954">
      <c r="A1954" s="215"/>
      <c r="B1954" s="215"/>
      <c r="C1954" s="215"/>
      <c r="D1954" s="215"/>
      <c r="E1954" s="215"/>
      <c r="F1954" s="215"/>
      <c r="G1954" s="233"/>
    </row>
    <row r="1955">
      <c r="A1955" s="215"/>
      <c r="B1955" s="215"/>
      <c r="C1955" s="215"/>
      <c r="D1955" s="215"/>
      <c r="E1955" s="215"/>
      <c r="F1955" s="215"/>
      <c r="G1955" s="233"/>
    </row>
    <row r="1956">
      <c r="A1956" s="215"/>
      <c r="B1956" s="215"/>
      <c r="C1956" s="215"/>
      <c r="D1956" s="215"/>
      <c r="E1956" s="215"/>
      <c r="F1956" s="215"/>
      <c r="G1956" s="233"/>
    </row>
    <row r="1957">
      <c r="A1957" s="215"/>
      <c r="B1957" s="215"/>
      <c r="C1957" s="215"/>
      <c r="D1957" s="215"/>
      <c r="E1957" s="215"/>
      <c r="F1957" s="215"/>
      <c r="G1957" s="233"/>
    </row>
    <row r="1958">
      <c r="A1958" s="215"/>
      <c r="B1958" s="215"/>
      <c r="C1958" s="215"/>
      <c r="D1958" s="215"/>
      <c r="E1958" s="215"/>
      <c r="F1958" s="215"/>
      <c r="G1958" s="233"/>
    </row>
    <row r="1959">
      <c r="A1959" s="215"/>
      <c r="B1959" s="215"/>
      <c r="C1959" s="215"/>
      <c r="D1959" s="215"/>
      <c r="E1959" s="215"/>
      <c r="F1959" s="215"/>
      <c r="G1959" s="233"/>
    </row>
    <row r="1960">
      <c r="A1960" s="215"/>
      <c r="B1960" s="215"/>
      <c r="C1960" s="215"/>
      <c r="D1960" s="215"/>
      <c r="E1960" s="215"/>
      <c r="F1960" s="215"/>
      <c r="G1960" s="233"/>
    </row>
    <row r="1961">
      <c r="A1961" s="215"/>
      <c r="B1961" s="215"/>
      <c r="C1961" s="215"/>
      <c r="D1961" s="215"/>
      <c r="E1961" s="215"/>
      <c r="F1961" s="215"/>
      <c r="G1961" s="233"/>
    </row>
    <row r="1962">
      <c r="A1962" s="215"/>
      <c r="B1962" s="215"/>
      <c r="C1962" s="215"/>
      <c r="D1962" s="215"/>
      <c r="E1962" s="215"/>
      <c r="F1962" s="215"/>
      <c r="G1962" s="233"/>
    </row>
    <row r="1963">
      <c r="A1963" s="215"/>
      <c r="B1963" s="215"/>
      <c r="C1963" s="215"/>
      <c r="D1963" s="215"/>
      <c r="E1963" s="215"/>
      <c r="F1963" s="215"/>
      <c r="G1963" s="233"/>
    </row>
    <row r="1964">
      <c r="A1964" s="215"/>
      <c r="B1964" s="215"/>
      <c r="C1964" s="215"/>
      <c r="D1964" s="215"/>
      <c r="E1964" s="215"/>
      <c r="F1964" s="215"/>
      <c r="G1964" s="233"/>
    </row>
    <row r="1965">
      <c r="A1965" s="215"/>
      <c r="B1965" s="215"/>
      <c r="C1965" s="215"/>
      <c r="D1965" s="215"/>
      <c r="E1965" s="215"/>
      <c r="F1965" s="215"/>
      <c r="G1965" s="233"/>
    </row>
    <row r="1966">
      <c r="A1966" s="215"/>
      <c r="B1966" s="215"/>
      <c r="C1966" s="215"/>
      <c r="D1966" s="215"/>
      <c r="E1966" s="215"/>
      <c r="F1966" s="215"/>
      <c r="G1966" s="233"/>
    </row>
    <row r="1967">
      <c r="A1967" s="215"/>
      <c r="B1967" s="215"/>
      <c r="C1967" s="215"/>
      <c r="D1967" s="215"/>
      <c r="E1967" s="215"/>
      <c r="F1967" s="215"/>
      <c r="G1967" s="233"/>
    </row>
    <row r="1968">
      <c r="A1968" s="215"/>
      <c r="B1968" s="215"/>
      <c r="C1968" s="215"/>
      <c r="D1968" s="215"/>
      <c r="E1968" s="215"/>
      <c r="F1968" s="215"/>
      <c r="G1968" s="233"/>
    </row>
    <row r="1969">
      <c r="A1969" s="215"/>
      <c r="B1969" s="215"/>
      <c r="C1969" s="215"/>
      <c r="D1969" s="215"/>
      <c r="E1969" s="215"/>
      <c r="F1969" s="215"/>
      <c r="G1969" s="233"/>
    </row>
    <row r="1970">
      <c r="A1970" s="215"/>
      <c r="B1970" s="215"/>
      <c r="C1970" s="215"/>
      <c r="D1970" s="215"/>
      <c r="E1970" s="215"/>
      <c r="F1970" s="215"/>
      <c r="G1970" s="233"/>
    </row>
    <row r="1971">
      <c r="A1971" s="215"/>
      <c r="B1971" s="215"/>
      <c r="C1971" s="215"/>
      <c r="D1971" s="215"/>
      <c r="E1971" s="215"/>
      <c r="F1971" s="215"/>
      <c r="G1971" s="233"/>
    </row>
    <row r="1972">
      <c r="A1972" s="215"/>
      <c r="B1972" s="215"/>
      <c r="C1972" s="215"/>
      <c r="D1972" s="215"/>
      <c r="E1972" s="215"/>
      <c r="F1972" s="215"/>
      <c r="G1972" s="233"/>
    </row>
    <row r="1973">
      <c r="A1973" s="215"/>
      <c r="B1973" s="215"/>
      <c r="C1973" s="215"/>
      <c r="D1973" s="215"/>
      <c r="E1973" s="215"/>
      <c r="F1973" s="215"/>
      <c r="G1973" s="233"/>
    </row>
    <row r="1974">
      <c r="A1974" s="215"/>
      <c r="B1974" s="215"/>
      <c r="C1974" s="215"/>
      <c r="D1974" s="215"/>
      <c r="E1974" s="215"/>
      <c r="F1974" s="215"/>
      <c r="G1974" s="233"/>
    </row>
    <row r="1975">
      <c r="A1975" s="215"/>
      <c r="B1975" s="215"/>
      <c r="C1975" s="215"/>
      <c r="D1975" s="215"/>
      <c r="E1975" s="215"/>
      <c r="F1975" s="215"/>
      <c r="G1975" s="233"/>
    </row>
    <row r="1976">
      <c r="A1976" s="215"/>
      <c r="B1976" s="215"/>
      <c r="C1976" s="215"/>
      <c r="D1976" s="215"/>
      <c r="E1976" s="215"/>
      <c r="F1976" s="215"/>
      <c r="G1976" s="233"/>
    </row>
    <row r="1977">
      <c r="A1977" s="215"/>
      <c r="B1977" s="215"/>
      <c r="C1977" s="215"/>
      <c r="D1977" s="215"/>
      <c r="E1977" s="215"/>
      <c r="F1977" s="215"/>
      <c r="G1977" s="233"/>
    </row>
    <row r="1978">
      <c r="A1978" s="215"/>
      <c r="B1978" s="215"/>
      <c r="C1978" s="215"/>
      <c r="D1978" s="215"/>
      <c r="E1978" s="215"/>
      <c r="F1978" s="215"/>
      <c r="G1978" s="233"/>
    </row>
    <row r="1979">
      <c r="A1979" s="215"/>
      <c r="B1979" s="215"/>
      <c r="C1979" s="215"/>
      <c r="D1979" s="215"/>
      <c r="E1979" s="215"/>
      <c r="F1979" s="215"/>
      <c r="G1979" s="233"/>
    </row>
    <row r="1980">
      <c r="A1980" s="215"/>
      <c r="B1980" s="215"/>
      <c r="C1980" s="215"/>
      <c r="D1980" s="215"/>
      <c r="E1980" s="215"/>
      <c r="F1980" s="215"/>
      <c r="G1980" s="233"/>
    </row>
    <row r="1981">
      <c r="A1981" s="215"/>
      <c r="B1981" s="215"/>
      <c r="C1981" s="215"/>
      <c r="D1981" s="215"/>
      <c r="E1981" s="215"/>
      <c r="F1981" s="215"/>
      <c r="G1981" s="233"/>
    </row>
    <row r="1982">
      <c r="A1982" s="215"/>
      <c r="B1982" s="215"/>
      <c r="C1982" s="215"/>
      <c r="D1982" s="215"/>
      <c r="E1982" s="215"/>
      <c r="F1982" s="215"/>
      <c r="G1982" s="233"/>
    </row>
    <row r="1983">
      <c r="A1983" s="215"/>
      <c r="B1983" s="215"/>
      <c r="C1983" s="215"/>
      <c r="D1983" s="215"/>
      <c r="E1983" s="215"/>
      <c r="F1983" s="215"/>
      <c r="G1983" s="233"/>
    </row>
    <row r="1984">
      <c r="A1984" s="215"/>
      <c r="B1984" s="215"/>
      <c r="C1984" s="215"/>
      <c r="D1984" s="215"/>
      <c r="E1984" s="215"/>
      <c r="F1984" s="215"/>
      <c r="G1984" s="233"/>
    </row>
    <row r="1985">
      <c r="A1985" s="215"/>
      <c r="B1985" s="215"/>
      <c r="C1985" s="215"/>
      <c r="D1985" s="215"/>
      <c r="E1985" s="215"/>
      <c r="F1985" s="215"/>
      <c r="G1985" s="233"/>
    </row>
    <row r="1986">
      <c r="A1986" s="215"/>
      <c r="B1986" s="215"/>
      <c r="C1986" s="215"/>
      <c r="D1986" s="215"/>
      <c r="E1986" s="215"/>
      <c r="F1986" s="215"/>
      <c r="G1986" s="233"/>
    </row>
    <row r="1987">
      <c r="A1987" s="215"/>
      <c r="B1987" s="215"/>
      <c r="C1987" s="215"/>
      <c r="D1987" s="215"/>
      <c r="E1987" s="215"/>
      <c r="F1987" s="215"/>
      <c r="G1987" s="233"/>
    </row>
    <row r="1988">
      <c r="A1988" s="215"/>
      <c r="B1988" s="215"/>
      <c r="C1988" s="215"/>
      <c r="D1988" s="215"/>
      <c r="E1988" s="215"/>
      <c r="F1988" s="215"/>
      <c r="G1988" s="233"/>
    </row>
    <row r="1989">
      <c r="A1989" s="215"/>
      <c r="B1989" s="215"/>
      <c r="C1989" s="215"/>
      <c r="D1989" s="215"/>
      <c r="E1989" s="215"/>
      <c r="F1989" s="215"/>
      <c r="G1989" s="233"/>
    </row>
    <row r="1990">
      <c r="A1990" s="215"/>
      <c r="B1990" s="215"/>
      <c r="C1990" s="215"/>
      <c r="D1990" s="215"/>
      <c r="E1990" s="215"/>
      <c r="F1990" s="215"/>
      <c r="G1990" s="233"/>
    </row>
    <row r="1991">
      <c r="A1991" s="215"/>
      <c r="B1991" s="215"/>
      <c r="C1991" s="215"/>
      <c r="D1991" s="215"/>
      <c r="E1991" s="215"/>
      <c r="F1991" s="215"/>
      <c r="G1991" s="233"/>
    </row>
    <row r="1992">
      <c r="A1992" s="215"/>
      <c r="B1992" s="215"/>
      <c r="C1992" s="215"/>
      <c r="D1992" s="215"/>
      <c r="E1992" s="215"/>
      <c r="F1992" s="215"/>
      <c r="G1992" s="233"/>
    </row>
    <row r="1993">
      <c r="A1993" s="215"/>
      <c r="B1993" s="215"/>
      <c r="C1993" s="215"/>
      <c r="D1993" s="215"/>
      <c r="E1993" s="215"/>
      <c r="F1993" s="215"/>
      <c r="G1993" s="233"/>
    </row>
    <row r="1994">
      <c r="A1994" s="215"/>
      <c r="B1994" s="215"/>
      <c r="C1994" s="215"/>
      <c r="D1994" s="215"/>
      <c r="E1994" s="215"/>
      <c r="F1994" s="215"/>
      <c r="G1994" s="233"/>
    </row>
    <row r="1995">
      <c r="A1995" s="215"/>
      <c r="B1995" s="215"/>
      <c r="C1995" s="215"/>
      <c r="D1995" s="215"/>
      <c r="E1995" s="215"/>
      <c r="F1995" s="215"/>
      <c r="G1995" s="233"/>
    </row>
    <row r="1996">
      <c r="A1996" s="215"/>
      <c r="B1996" s="215"/>
      <c r="C1996" s="215"/>
      <c r="D1996" s="215"/>
      <c r="E1996" s="215"/>
      <c r="F1996" s="215"/>
      <c r="G1996" s="233"/>
    </row>
    <row r="1997">
      <c r="A1997" s="215"/>
      <c r="B1997" s="215"/>
      <c r="C1997" s="215"/>
      <c r="D1997" s="215"/>
      <c r="E1997" s="215"/>
      <c r="F1997" s="215"/>
      <c r="G1997" s="233"/>
    </row>
    <row r="1998">
      <c r="A1998" s="215"/>
      <c r="B1998" s="215"/>
      <c r="C1998" s="215"/>
      <c r="D1998" s="215"/>
      <c r="E1998" s="215"/>
      <c r="F1998" s="215"/>
      <c r="G1998" s="233"/>
    </row>
    <row r="1999">
      <c r="A1999" s="215"/>
      <c r="B1999" s="215"/>
      <c r="C1999" s="215"/>
      <c r="D1999" s="215"/>
      <c r="E1999" s="215"/>
      <c r="F1999" s="215"/>
      <c r="G1999" s="233"/>
    </row>
    <row r="2000">
      <c r="A2000" s="215"/>
      <c r="B2000" s="215"/>
      <c r="C2000" s="215"/>
      <c r="D2000" s="215"/>
      <c r="E2000" s="215"/>
      <c r="F2000" s="215"/>
      <c r="G2000" s="233"/>
    </row>
    <row r="2001">
      <c r="A2001" s="215"/>
      <c r="B2001" s="215"/>
      <c r="C2001" s="215"/>
      <c r="D2001" s="215"/>
      <c r="E2001" s="215"/>
      <c r="F2001" s="215"/>
      <c r="G2001" s="233"/>
    </row>
    <row r="2002">
      <c r="A2002" s="215"/>
      <c r="B2002" s="215"/>
      <c r="C2002" s="215"/>
      <c r="D2002" s="215"/>
      <c r="E2002" s="215"/>
      <c r="F2002" s="215"/>
      <c r="G2002" s="233"/>
    </row>
    <row r="2003">
      <c r="A2003" s="215"/>
      <c r="B2003" s="215"/>
      <c r="C2003" s="215"/>
      <c r="D2003" s="215"/>
      <c r="E2003" s="215"/>
      <c r="F2003" s="215"/>
      <c r="G2003" s="233"/>
    </row>
    <row r="2004">
      <c r="A2004" s="215"/>
      <c r="B2004" s="215"/>
      <c r="C2004" s="215"/>
      <c r="D2004" s="215"/>
      <c r="E2004" s="215"/>
      <c r="F2004" s="215"/>
      <c r="G2004" s="233"/>
    </row>
    <row r="2005">
      <c r="A2005" s="215"/>
      <c r="B2005" s="215"/>
      <c r="C2005" s="215"/>
      <c r="D2005" s="215"/>
      <c r="E2005" s="215"/>
      <c r="F2005" s="215"/>
      <c r="G2005" s="233"/>
    </row>
    <row r="2006">
      <c r="A2006" s="215"/>
      <c r="B2006" s="215"/>
      <c r="C2006" s="215"/>
      <c r="D2006" s="215"/>
      <c r="E2006" s="215"/>
      <c r="F2006" s="215"/>
      <c r="G2006" s="233"/>
    </row>
    <row r="2007">
      <c r="A2007" s="215"/>
      <c r="B2007" s="215"/>
      <c r="C2007" s="215"/>
      <c r="D2007" s="215"/>
      <c r="E2007" s="215"/>
      <c r="F2007" s="215"/>
      <c r="G2007" s="233"/>
    </row>
    <row r="2008">
      <c r="A2008" s="215"/>
      <c r="B2008" s="215"/>
      <c r="C2008" s="215"/>
      <c r="D2008" s="215"/>
      <c r="E2008" s="215"/>
      <c r="F2008" s="215"/>
      <c r="G2008" s="233"/>
    </row>
    <row r="2009">
      <c r="A2009" s="215"/>
      <c r="B2009" s="215"/>
      <c r="C2009" s="215"/>
      <c r="D2009" s="215"/>
      <c r="E2009" s="215"/>
      <c r="F2009" s="215"/>
      <c r="G2009" s="233"/>
    </row>
    <row r="2010">
      <c r="A2010" s="215"/>
      <c r="B2010" s="215"/>
      <c r="C2010" s="215"/>
      <c r="D2010" s="215"/>
      <c r="E2010" s="215"/>
      <c r="F2010" s="215"/>
      <c r="G2010" s="233"/>
    </row>
    <row r="2011">
      <c r="A2011" s="215"/>
      <c r="B2011" s="215"/>
      <c r="C2011" s="215"/>
      <c r="D2011" s="215"/>
      <c r="E2011" s="215"/>
      <c r="F2011" s="215"/>
      <c r="G2011" s="233"/>
    </row>
    <row r="2012">
      <c r="A2012" s="215"/>
      <c r="B2012" s="215"/>
      <c r="C2012" s="215"/>
      <c r="D2012" s="215"/>
      <c r="E2012" s="215"/>
      <c r="F2012" s="215"/>
      <c r="G2012" s="233"/>
    </row>
    <row r="2013">
      <c r="A2013" s="215"/>
      <c r="B2013" s="215"/>
      <c r="C2013" s="215"/>
      <c r="D2013" s="215"/>
      <c r="E2013" s="215"/>
      <c r="F2013" s="215"/>
      <c r="G2013" s="233"/>
    </row>
    <row r="2014">
      <c r="A2014" s="215"/>
      <c r="B2014" s="215"/>
      <c r="C2014" s="215"/>
      <c r="D2014" s="215"/>
      <c r="E2014" s="215"/>
      <c r="F2014" s="215"/>
      <c r="G2014" s="233"/>
    </row>
    <row r="2015">
      <c r="A2015" s="215"/>
      <c r="B2015" s="215"/>
      <c r="C2015" s="215"/>
      <c r="D2015" s="215"/>
      <c r="E2015" s="215"/>
      <c r="F2015" s="215"/>
      <c r="G2015" s="233"/>
    </row>
    <row r="2016">
      <c r="A2016" s="215"/>
      <c r="B2016" s="215"/>
      <c r="C2016" s="215"/>
      <c r="D2016" s="215"/>
      <c r="E2016" s="215"/>
      <c r="F2016" s="215"/>
      <c r="G2016" s="233"/>
    </row>
    <row r="2017">
      <c r="A2017" s="215"/>
      <c r="B2017" s="215"/>
      <c r="C2017" s="215"/>
      <c r="D2017" s="215"/>
      <c r="E2017" s="215"/>
      <c r="F2017" s="215"/>
      <c r="G2017" s="233"/>
    </row>
    <row r="2018">
      <c r="A2018" s="215"/>
      <c r="B2018" s="215"/>
      <c r="C2018" s="215"/>
      <c r="D2018" s="215"/>
      <c r="E2018" s="215"/>
      <c r="F2018" s="215"/>
      <c r="G2018" s="233"/>
    </row>
    <row r="2019">
      <c r="A2019" s="215"/>
      <c r="B2019" s="215"/>
      <c r="C2019" s="215"/>
      <c r="D2019" s="215"/>
      <c r="E2019" s="215"/>
      <c r="F2019" s="215"/>
      <c r="G2019" s="233"/>
    </row>
    <row r="2020">
      <c r="A2020" s="215"/>
      <c r="B2020" s="215"/>
      <c r="C2020" s="215"/>
      <c r="D2020" s="215"/>
      <c r="E2020" s="215"/>
      <c r="F2020" s="215"/>
      <c r="G2020" s="233"/>
    </row>
    <row r="2021">
      <c r="A2021" s="215"/>
      <c r="B2021" s="215"/>
      <c r="C2021" s="215"/>
      <c r="D2021" s="215"/>
      <c r="E2021" s="215"/>
      <c r="F2021" s="215"/>
      <c r="G2021" s="233"/>
    </row>
    <row r="2022">
      <c r="A2022" s="215"/>
      <c r="B2022" s="215"/>
      <c r="C2022" s="215"/>
      <c r="D2022" s="215"/>
      <c r="E2022" s="215"/>
      <c r="F2022" s="215"/>
      <c r="G2022" s="233"/>
    </row>
    <row r="2023">
      <c r="A2023" s="215"/>
      <c r="B2023" s="215"/>
      <c r="C2023" s="215"/>
      <c r="D2023" s="215"/>
      <c r="E2023" s="215"/>
      <c r="F2023" s="215"/>
      <c r="G2023" s="233"/>
    </row>
    <row r="2024">
      <c r="A2024" s="215"/>
      <c r="B2024" s="215"/>
      <c r="C2024" s="215"/>
      <c r="D2024" s="215"/>
      <c r="E2024" s="215"/>
      <c r="F2024" s="215"/>
      <c r="G2024" s="233"/>
    </row>
    <row r="2025">
      <c r="A2025" s="215"/>
      <c r="B2025" s="215"/>
      <c r="C2025" s="215"/>
      <c r="D2025" s="215"/>
      <c r="E2025" s="215"/>
      <c r="F2025" s="215"/>
      <c r="G2025" s="233"/>
    </row>
    <row r="2026">
      <c r="A2026" s="215"/>
      <c r="B2026" s="215"/>
      <c r="C2026" s="215"/>
      <c r="D2026" s="215"/>
      <c r="E2026" s="215"/>
      <c r="F2026" s="215"/>
      <c r="G2026" s="233"/>
    </row>
    <row r="2027">
      <c r="A2027" s="215"/>
      <c r="B2027" s="215"/>
      <c r="C2027" s="215"/>
      <c r="D2027" s="215"/>
      <c r="E2027" s="215"/>
      <c r="F2027" s="215"/>
      <c r="G2027" s="233"/>
    </row>
    <row r="2028">
      <c r="A2028" s="215"/>
      <c r="B2028" s="215"/>
      <c r="C2028" s="215"/>
      <c r="D2028" s="215"/>
      <c r="E2028" s="215"/>
      <c r="F2028" s="215"/>
      <c r="G2028" s="233"/>
    </row>
    <row r="2029">
      <c r="A2029" s="215"/>
      <c r="B2029" s="215"/>
      <c r="C2029" s="215"/>
      <c r="D2029" s="215"/>
      <c r="E2029" s="215"/>
      <c r="F2029" s="215"/>
      <c r="G2029" s="233"/>
    </row>
    <row r="2030">
      <c r="A2030" s="215"/>
      <c r="B2030" s="215"/>
      <c r="C2030" s="215"/>
      <c r="D2030" s="215"/>
      <c r="E2030" s="215"/>
      <c r="F2030" s="215"/>
      <c r="G2030" s="233"/>
    </row>
    <row r="2031">
      <c r="A2031" s="215"/>
      <c r="B2031" s="215"/>
      <c r="C2031" s="215"/>
      <c r="D2031" s="215"/>
      <c r="E2031" s="215"/>
      <c r="F2031" s="215"/>
      <c r="G2031" s="233"/>
    </row>
    <row r="2032">
      <c r="A2032" s="215"/>
      <c r="B2032" s="215"/>
      <c r="C2032" s="215"/>
      <c r="D2032" s="215"/>
      <c r="E2032" s="215"/>
      <c r="F2032" s="215"/>
      <c r="G2032" s="233"/>
    </row>
    <row r="2033">
      <c r="A2033" s="215"/>
      <c r="B2033" s="215"/>
      <c r="C2033" s="215"/>
      <c r="D2033" s="215"/>
      <c r="E2033" s="215"/>
      <c r="F2033" s="215"/>
      <c r="G2033" s="233"/>
    </row>
    <row r="2034">
      <c r="A2034" s="215"/>
      <c r="B2034" s="215"/>
      <c r="C2034" s="215"/>
      <c r="D2034" s="215"/>
      <c r="E2034" s="215"/>
      <c r="F2034" s="215"/>
      <c r="G2034" s="233"/>
    </row>
    <row r="2035">
      <c r="A2035" s="215"/>
      <c r="B2035" s="215"/>
      <c r="C2035" s="215"/>
      <c r="D2035" s="215"/>
      <c r="E2035" s="215"/>
      <c r="F2035" s="215"/>
      <c r="G2035" s="233"/>
    </row>
    <row r="2036">
      <c r="A2036" s="215"/>
      <c r="B2036" s="215"/>
      <c r="C2036" s="215"/>
      <c r="D2036" s="215"/>
      <c r="E2036" s="215"/>
      <c r="F2036" s="215"/>
      <c r="G2036" s="233"/>
    </row>
    <row r="2037">
      <c r="A2037" s="215"/>
      <c r="B2037" s="215"/>
      <c r="C2037" s="215"/>
      <c r="D2037" s="215"/>
      <c r="E2037" s="215"/>
      <c r="F2037" s="215"/>
      <c r="G2037" s="233"/>
    </row>
    <row r="2038">
      <c r="A2038" s="215"/>
      <c r="B2038" s="215"/>
      <c r="C2038" s="215"/>
      <c r="D2038" s="215"/>
      <c r="E2038" s="215"/>
      <c r="F2038" s="215"/>
      <c r="G2038" s="233"/>
    </row>
    <row r="2039">
      <c r="A2039" s="215"/>
      <c r="B2039" s="215"/>
      <c r="C2039" s="215"/>
      <c r="D2039" s="215"/>
      <c r="E2039" s="215"/>
      <c r="F2039" s="215"/>
      <c r="G2039" s="233"/>
    </row>
    <row r="2040">
      <c r="A2040" s="215"/>
      <c r="B2040" s="215"/>
      <c r="C2040" s="215"/>
      <c r="D2040" s="215"/>
      <c r="E2040" s="215"/>
      <c r="F2040" s="215"/>
      <c r="G2040" s="233"/>
    </row>
    <row r="2041">
      <c r="A2041" s="215"/>
      <c r="B2041" s="215"/>
      <c r="C2041" s="215"/>
      <c r="D2041" s="215"/>
      <c r="E2041" s="215"/>
      <c r="F2041" s="215"/>
      <c r="G2041" s="233"/>
    </row>
    <row r="2042">
      <c r="A2042" s="215"/>
      <c r="B2042" s="215"/>
      <c r="C2042" s="215"/>
      <c r="D2042" s="215"/>
      <c r="E2042" s="215"/>
      <c r="F2042" s="215"/>
      <c r="G2042" s="233"/>
    </row>
    <row r="2043">
      <c r="A2043" s="215"/>
      <c r="B2043" s="215"/>
      <c r="C2043" s="215"/>
      <c r="D2043" s="215"/>
      <c r="E2043" s="215"/>
      <c r="F2043" s="215"/>
      <c r="G2043" s="233"/>
    </row>
    <row r="2044">
      <c r="A2044" s="215"/>
      <c r="B2044" s="215"/>
      <c r="C2044" s="215"/>
      <c r="D2044" s="215"/>
      <c r="E2044" s="215"/>
      <c r="F2044" s="215"/>
      <c r="G2044" s="233"/>
    </row>
    <row r="2045">
      <c r="A2045" s="215"/>
      <c r="B2045" s="215"/>
      <c r="C2045" s="215"/>
      <c r="D2045" s="215"/>
      <c r="E2045" s="215"/>
      <c r="F2045" s="215"/>
      <c r="G2045" s="233"/>
    </row>
    <row r="2046">
      <c r="A2046" s="215"/>
      <c r="B2046" s="215"/>
      <c r="C2046" s="215"/>
      <c r="D2046" s="215"/>
      <c r="E2046" s="215"/>
      <c r="F2046" s="215"/>
      <c r="G2046" s="233"/>
    </row>
    <row r="2047">
      <c r="A2047" s="215"/>
      <c r="B2047" s="215"/>
      <c r="C2047" s="215"/>
      <c r="D2047" s="215"/>
      <c r="E2047" s="215"/>
      <c r="F2047" s="215"/>
      <c r="G2047" s="233"/>
    </row>
    <row r="2048">
      <c r="A2048" s="215"/>
      <c r="B2048" s="215"/>
      <c r="C2048" s="215"/>
      <c r="D2048" s="215"/>
      <c r="E2048" s="215"/>
      <c r="F2048" s="215"/>
      <c r="G2048" s="233"/>
    </row>
    <row r="2049">
      <c r="A2049" s="215"/>
      <c r="B2049" s="215"/>
      <c r="C2049" s="215"/>
      <c r="D2049" s="215"/>
      <c r="E2049" s="215"/>
      <c r="F2049" s="215"/>
      <c r="G2049" s="233"/>
    </row>
    <row r="2050">
      <c r="A2050" s="215"/>
      <c r="B2050" s="215"/>
      <c r="C2050" s="215"/>
      <c r="D2050" s="215"/>
      <c r="E2050" s="215"/>
      <c r="F2050" s="215"/>
      <c r="G2050" s="233"/>
    </row>
    <row r="2051">
      <c r="A2051" s="215"/>
      <c r="B2051" s="215"/>
      <c r="C2051" s="215"/>
      <c r="D2051" s="215"/>
      <c r="E2051" s="215"/>
      <c r="F2051" s="215"/>
      <c r="G2051" s="233"/>
    </row>
    <row r="2052">
      <c r="A2052" s="215"/>
      <c r="B2052" s="215"/>
      <c r="C2052" s="215"/>
      <c r="D2052" s="215"/>
      <c r="E2052" s="215"/>
      <c r="F2052" s="215"/>
      <c r="G2052" s="233"/>
    </row>
    <row r="2053">
      <c r="A2053" s="215"/>
      <c r="B2053" s="215"/>
      <c r="C2053" s="215"/>
      <c r="D2053" s="215"/>
      <c r="E2053" s="215"/>
      <c r="F2053" s="215"/>
      <c r="G2053" s="233"/>
    </row>
    <row r="2054">
      <c r="A2054" s="215"/>
      <c r="B2054" s="215"/>
      <c r="C2054" s="215"/>
      <c r="D2054" s="215"/>
      <c r="E2054" s="215"/>
      <c r="F2054" s="215"/>
      <c r="G2054" s="233"/>
    </row>
    <row r="2055">
      <c r="A2055" s="215"/>
      <c r="B2055" s="215"/>
      <c r="C2055" s="215"/>
      <c r="D2055" s="215"/>
      <c r="E2055" s="215"/>
      <c r="F2055" s="215"/>
      <c r="G2055" s="233"/>
    </row>
    <row r="2056">
      <c r="A2056" s="215"/>
      <c r="B2056" s="215"/>
      <c r="C2056" s="215"/>
      <c r="D2056" s="215"/>
      <c r="E2056" s="215"/>
      <c r="F2056" s="215"/>
      <c r="G2056" s="233"/>
    </row>
    <row r="2057">
      <c r="A2057" s="215"/>
      <c r="B2057" s="215"/>
      <c r="C2057" s="215"/>
      <c r="D2057" s="215"/>
      <c r="E2057" s="215"/>
      <c r="F2057" s="215"/>
      <c r="G2057" s="233"/>
    </row>
    <row r="2058">
      <c r="A2058" s="215"/>
      <c r="B2058" s="215"/>
      <c r="C2058" s="215"/>
      <c r="D2058" s="215"/>
      <c r="E2058" s="215"/>
      <c r="F2058" s="215"/>
      <c r="G2058" s="233"/>
    </row>
    <row r="2059">
      <c r="A2059" s="215"/>
      <c r="B2059" s="215"/>
      <c r="C2059" s="215"/>
      <c r="D2059" s="215"/>
      <c r="E2059" s="215"/>
      <c r="F2059" s="215"/>
      <c r="G2059" s="233"/>
    </row>
    <row r="2060">
      <c r="A2060" s="215"/>
      <c r="B2060" s="215"/>
      <c r="C2060" s="215"/>
      <c r="D2060" s="215"/>
      <c r="E2060" s="215"/>
      <c r="F2060" s="215"/>
      <c r="G2060" s="233"/>
    </row>
    <row r="2061">
      <c r="A2061" s="215"/>
      <c r="B2061" s="215"/>
      <c r="C2061" s="215"/>
      <c r="D2061" s="215"/>
      <c r="E2061" s="215"/>
      <c r="F2061" s="215"/>
      <c r="G2061" s="233"/>
    </row>
    <row r="2062">
      <c r="A2062" s="215"/>
      <c r="B2062" s="215"/>
      <c r="C2062" s="215"/>
      <c r="D2062" s="215"/>
      <c r="E2062" s="215"/>
      <c r="F2062" s="215"/>
      <c r="G2062" s="233"/>
    </row>
    <row r="2063">
      <c r="A2063" s="215"/>
      <c r="B2063" s="215"/>
      <c r="C2063" s="215"/>
      <c r="D2063" s="215"/>
      <c r="E2063" s="215"/>
      <c r="F2063" s="215"/>
      <c r="G2063" s="233"/>
    </row>
    <row r="2064">
      <c r="A2064" s="215"/>
      <c r="B2064" s="215"/>
      <c r="C2064" s="215"/>
      <c r="D2064" s="215"/>
      <c r="E2064" s="215"/>
      <c r="F2064" s="215"/>
      <c r="G2064" s="233"/>
    </row>
    <row r="2065">
      <c r="A2065" s="215"/>
      <c r="B2065" s="215"/>
      <c r="C2065" s="215"/>
      <c r="D2065" s="215"/>
      <c r="E2065" s="215"/>
      <c r="F2065" s="215"/>
      <c r="G2065" s="233"/>
    </row>
    <row r="2066">
      <c r="A2066" s="215"/>
      <c r="B2066" s="215"/>
      <c r="C2066" s="215"/>
      <c r="D2066" s="215"/>
      <c r="E2066" s="215"/>
      <c r="F2066" s="215"/>
      <c r="G2066" s="233"/>
    </row>
    <row r="2067">
      <c r="A2067" s="215"/>
      <c r="B2067" s="215"/>
      <c r="C2067" s="215"/>
      <c r="D2067" s="215"/>
      <c r="E2067" s="215"/>
      <c r="F2067" s="215"/>
      <c r="G2067" s="233"/>
    </row>
    <row r="2068">
      <c r="A2068" s="215"/>
      <c r="B2068" s="215"/>
      <c r="C2068" s="215"/>
      <c r="D2068" s="215"/>
      <c r="E2068" s="215"/>
      <c r="F2068" s="215"/>
      <c r="G2068" s="233"/>
    </row>
    <row r="2069">
      <c r="A2069" s="215"/>
      <c r="B2069" s="215"/>
      <c r="C2069" s="215"/>
      <c r="D2069" s="215"/>
      <c r="E2069" s="215"/>
      <c r="F2069" s="215"/>
      <c r="G2069" s="233"/>
    </row>
    <row r="2070">
      <c r="A2070" s="215"/>
      <c r="B2070" s="215"/>
      <c r="C2070" s="215"/>
      <c r="D2070" s="215"/>
      <c r="E2070" s="215"/>
      <c r="F2070" s="215"/>
      <c r="G2070" s="233"/>
    </row>
    <row r="2071">
      <c r="A2071" s="215"/>
      <c r="B2071" s="215"/>
      <c r="C2071" s="215"/>
      <c r="D2071" s="215"/>
      <c r="E2071" s="215"/>
      <c r="F2071" s="215"/>
      <c r="G2071" s="233"/>
    </row>
    <row r="2072">
      <c r="A2072" s="215"/>
      <c r="B2072" s="215"/>
      <c r="C2072" s="215"/>
      <c r="D2072" s="215"/>
      <c r="E2072" s="215"/>
      <c r="F2072" s="215"/>
      <c r="G2072" s="233"/>
    </row>
    <row r="2073">
      <c r="A2073" s="215"/>
      <c r="B2073" s="215"/>
      <c r="C2073" s="215"/>
      <c r="D2073" s="215"/>
      <c r="E2073" s="215"/>
      <c r="F2073" s="215"/>
      <c r="G2073" s="233"/>
    </row>
    <row r="2074">
      <c r="A2074" s="215"/>
      <c r="B2074" s="215"/>
      <c r="C2074" s="215"/>
      <c r="D2074" s="215"/>
      <c r="E2074" s="215"/>
      <c r="F2074" s="215"/>
      <c r="G2074" s="233"/>
    </row>
    <row r="2075">
      <c r="A2075" s="215"/>
      <c r="B2075" s="215"/>
      <c r="C2075" s="215"/>
      <c r="D2075" s="215"/>
      <c r="E2075" s="215"/>
      <c r="F2075" s="215"/>
      <c r="G2075" s="233"/>
    </row>
    <row r="2076">
      <c r="A2076" s="215"/>
      <c r="B2076" s="215"/>
      <c r="C2076" s="215"/>
      <c r="D2076" s="215"/>
      <c r="E2076" s="215"/>
      <c r="F2076" s="215"/>
      <c r="G2076" s="233"/>
    </row>
    <row r="2077">
      <c r="A2077" s="215"/>
      <c r="B2077" s="215"/>
      <c r="C2077" s="215"/>
      <c r="D2077" s="215"/>
      <c r="E2077" s="215"/>
      <c r="F2077" s="215"/>
      <c r="G2077" s="233"/>
    </row>
    <row r="2078">
      <c r="A2078" s="215"/>
      <c r="B2078" s="215"/>
      <c r="C2078" s="215"/>
      <c r="D2078" s="215"/>
      <c r="E2078" s="215"/>
      <c r="F2078" s="215"/>
      <c r="G2078" s="233"/>
    </row>
    <row r="2079">
      <c r="A2079" s="215"/>
      <c r="B2079" s="215"/>
      <c r="C2079" s="215"/>
      <c r="D2079" s="215"/>
      <c r="E2079" s="215"/>
      <c r="F2079" s="215"/>
      <c r="G2079" s="233"/>
    </row>
    <row r="2080">
      <c r="A2080" s="215"/>
      <c r="B2080" s="215"/>
      <c r="C2080" s="215"/>
      <c r="D2080" s="215"/>
      <c r="E2080" s="215"/>
      <c r="F2080" s="215"/>
      <c r="G2080" s="233"/>
    </row>
    <row r="2081">
      <c r="A2081" s="215"/>
      <c r="B2081" s="215"/>
      <c r="C2081" s="215"/>
      <c r="D2081" s="215"/>
      <c r="E2081" s="215"/>
      <c r="F2081" s="215"/>
      <c r="G2081" s="233"/>
    </row>
    <row r="2082">
      <c r="A2082" s="215"/>
      <c r="B2082" s="215"/>
      <c r="C2082" s="215"/>
      <c r="D2082" s="215"/>
      <c r="E2082" s="215"/>
      <c r="F2082" s="215"/>
      <c r="G2082" s="233"/>
    </row>
    <row r="2083">
      <c r="A2083" s="215"/>
      <c r="B2083" s="215"/>
      <c r="C2083" s="215"/>
      <c r="D2083" s="215"/>
      <c r="E2083" s="215"/>
      <c r="F2083" s="215"/>
      <c r="G2083" s="233"/>
    </row>
    <row r="2084">
      <c r="A2084" s="215"/>
      <c r="B2084" s="215"/>
      <c r="C2084" s="215"/>
      <c r="D2084" s="215"/>
      <c r="E2084" s="215"/>
      <c r="F2084" s="215"/>
      <c r="G2084" s="233"/>
    </row>
    <row r="2085">
      <c r="A2085" s="215"/>
      <c r="B2085" s="215"/>
      <c r="C2085" s="215"/>
      <c r="D2085" s="215"/>
      <c r="E2085" s="215"/>
      <c r="F2085" s="215"/>
      <c r="G2085" s="233"/>
    </row>
    <row r="2086">
      <c r="A2086" s="215"/>
      <c r="B2086" s="215"/>
      <c r="C2086" s="215"/>
      <c r="D2086" s="215"/>
      <c r="E2086" s="215"/>
      <c r="F2086" s="215"/>
      <c r="G2086" s="233"/>
    </row>
    <row r="2087">
      <c r="A2087" s="215"/>
      <c r="B2087" s="215"/>
      <c r="C2087" s="215"/>
      <c r="D2087" s="215"/>
      <c r="E2087" s="215"/>
      <c r="F2087" s="215"/>
      <c r="G2087" s="233"/>
    </row>
    <row r="2088">
      <c r="A2088" s="215"/>
      <c r="B2088" s="215"/>
      <c r="C2088" s="215"/>
      <c r="D2088" s="215"/>
      <c r="E2088" s="215"/>
      <c r="F2088" s="215"/>
      <c r="G2088" s="233"/>
    </row>
    <row r="2089">
      <c r="A2089" s="215"/>
      <c r="B2089" s="215"/>
      <c r="C2089" s="215"/>
      <c r="D2089" s="215"/>
      <c r="E2089" s="215"/>
      <c r="F2089" s="215"/>
      <c r="G2089" s="233"/>
    </row>
    <row r="2090">
      <c r="A2090" s="215"/>
      <c r="B2090" s="215"/>
      <c r="C2090" s="215"/>
      <c r="D2090" s="215"/>
      <c r="E2090" s="215"/>
      <c r="F2090" s="215"/>
      <c r="G2090" s="233"/>
    </row>
    <row r="2091">
      <c r="A2091" s="215"/>
      <c r="B2091" s="215"/>
      <c r="C2091" s="215"/>
      <c r="D2091" s="215"/>
      <c r="E2091" s="215"/>
      <c r="F2091" s="215"/>
      <c r="G2091" s="233"/>
    </row>
    <row r="2092">
      <c r="A2092" s="215"/>
      <c r="B2092" s="215"/>
      <c r="C2092" s="215"/>
      <c r="D2092" s="215"/>
      <c r="E2092" s="215"/>
      <c r="F2092" s="215"/>
      <c r="G2092" s="233"/>
    </row>
    <row r="2093">
      <c r="A2093" s="215"/>
      <c r="B2093" s="215"/>
      <c r="C2093" s="215"/>
      <c r="D2093" s="215"/>
      <c r="E2093" s="215"/>
      <c r="F2093" s="215"/>
      <c r="G2093" s="233"/>
    </row>
    <row r="2094">
      <c r="A2094" s="215"/>
      <c r="B2094" s="215"/>
      <c r="C2094" s="215"/>
      <c r="D2094" s="215"/>
      <c r="E2094" s="215"/>
      <c r="F2094" s="215"/>
      <c r="G2094" s="233"/>
    </row>
    <row r="2095">
      <c r="A2095" s="215"/>
      <c r="B2095" s="215"/>
      <c r="C2095" s="215"/>
      <c r="D2095" s="215"/>
      <c r="E2095" s="215"/>
      <c r="F2095" s="215"/>
      <c r="G2095" s="233"/>
    </row>
    <row r="2096">
      <c r="A2096" s="215"/>
      <c r="B2096" s="215"/>
      <c r="C2096" s="215"/>
      <c r="D2096" s="215"/>
      <c r="E2096" s="215"/>
      <c r="F2096" s="215"/>
      <c r="G2096" s="233"/>
    </row>
    <row r="2097">
      <c r="A2097" s="215"/>
      <c r="B2097" s="215"/>
      <c r="C2097" s="215"/>
      <c r="D2097" s="215"/>
      <c r="E2097" s="215"/>
      <c r="F2097" s="215"/>
      <c r="G2097" s="233"/>
    </row>
    <row r="2098">
      <c r="A2098" s="215"/>
      <c r="B2098" s="215"/>
      <c r="C2098" s="215"/>
      <c r="D2098" s="215"/>
      <c r="E2098" s="215"/>
      <c r="F2098" s="215"/>
      <c r="G2098" s="233"/>
    </row>
    <row r="2099">
      <c r="A2099" s="215"/>
      <c r="B2099" s="215"/>
      <c r="C2099" s="215"/>
      <c r="D2099" s="215"/>
      <c r="E2099" s="215"/>
      <c r="F2099" s="215"/>
      <c r="G2099" s="233"/>
    </row>
    <row r="2100">
      <c r="A2100" s="215"/>
      <c r="B2100" s="215"/>
      <c r="C2100" s="215"/>
      <c r="D2100" s="215"/>
      <c r="E2100" s="215"/>
      <c r="F2100" s="215"/>
      <c r="G2100" s="233"/>
    </row>
    <row r="2101">
      <c r="A2101" s="215"/>
      <c r="B2101" s="215"/>
      <c r="C2101" s="215"/>
      <c r="D2101" s="215"/>
      <c r="E2101" s="215"/>
      <c r="F2101" s="215"/>
      <c r="G2101" s="233"/>
    </row>
    <row r="2102">
      <c r="A2102" s="215"/>
      <c r="B2102" s="215"/>
      <c r="C2102" s="215"/>
      <c r="D2102" s="215"/>
      <c r="E2102" s="215"/>
      <c r="F2102" s="215"/>
      <c r="G2102" s="233"/>
    </row>
    <row r="2103">
      <c r="A2103" s="215"/>
      <c r="B2103" s="215"/>
      <c r="C2103" s="215"/>
      <c r="D2103" s="215"/>
      <c r="E2103" s="215"/>
      <c r="F2103" s="215"/>
      <c r="G2103" s="233"/>
    </row>
    <row r="2104">
      <c r="A2104" s="215"/>
      <c r="B2104" s="215"/>
      <c r="C2104" s="215"/>
      <c r="D2104" s="215"/>
      <c r="E2104" s="215"/>
      <c r="F2104" s="215"/>
      <c r="G2104" s="233"/>
    </row>
    <row r="2105">
      <c r="A2105" s="215"/>
      <c r="B2105" s="215"/>
      <c r="C2105" s="215"/>
      <c r="D2105" s="215"/>
      <c r="E2105" s="215"/>
      <c r="F2105" s="215"/>
      <c r="G2105" s="233"/>
    </row>
    <row r="2106">
      <c r="A2106" s="215"/>
      <c r="B2106" s="215"/>
      <c r="C2106" s="215"/>
      <c r="D2106" s="215"/>
      <c r="E2106" s="215"/>
      <c r="F2106" s="215"/>
      <c r="G2106" s="233"/>
    </row>
    <row r="2107">
      <c r="A2107" s="215"/>
      <c r="B2107" s="215"/>
      <c r="C2107" s="215"/>
      <c r="D2107" s="215"/>
      <c r="E2107" s="215"/>
      <c r="F2107" s="215"/>
      <c r="G2107" s="233"/>
    </row>
    <row r="2108">
      <c r="A2108" s="215"/>
      <c r="B2108" s="215"/>
      <c r="C2108" s="215"/>
      <c r="D2108" s="215"/>
      <c r="E2108" s="215"/>
      <c r="F2108" s="215"/>
      <c r="G2108" s="233"/>
    </row>
    <row r="2109">
      <c r="A2109" s="215"/>
      <c r="B2109" s="215"/>
      <c r="C2109" s="215"/>
      <c r="D2109" s="215"/>
      <c r="E2109" s="215"/>
      <c r="F2109" s="215"/>
      <c r="G2109" s="233"/>
    </row>
    <row r="2110">
      <c r="A2110" s="215"/>
      <c r="B2110" s="215"/>
      <c r="C2110" s="215"/>
      <c r="D2110" s="215"/>
      <c r="E2110" s="215"/>
      <c r="F2110" s="215"/>
      <c r="G2110" s="233"/>
    </row>
    <row r="2111">
      <c r="A2111" s="215"/>
      <c r="B2111" s="215"/>
      <c r="C2111" s="215"/>
      <c r="D2111" s="215"/>
      <c r="E2111" s="215"/>
      <c r="F2111" s="215"/>
      <c r="G2111" s="233"/>
    </row>
    <row r="2112">
      <c r="A2112" s="215"/>
      <c r="B2112" s="215"/>
      <c r="C2112" s="215"/>
      <c r="D2112" s="215"/>
      <c r="E2112" s="215"/>
      <c r="F2112" s="215"/>
      <c r="G2112" s="233"/>
    </row>
    <row r="2113">
      <c r="A2113" s="215"/>
      <c r="B2113" s="215"/>
      <c r="C2113" s="215"/>
      <c r="D2113" s="215"/>
      <c r="E2113" s="215"/>
      <c r="F2113" s="215"/>
      <c r="G2113" s="233"/>
    </row>
    <row r="2114">
      <c r="A2114" s="215"/>
      <c r="B2114" s="215"/>
      <c r="C2114" s="215"/>
      <c r="D2114" s="215"/>
      <c r="E2114" s="215"/>
      <c r="F2114" s="215"/>
      <c r="G2114" s="233"/>
    </row>
    <row r="2115">
      <c r="A2115" s="215"/>
      <c r="B2115" s="215"/>
      <c r="C2115" s="215"/>
      <c r="D2115" s="215"/>
      <c r="E2115" s="215"/>
      <c r="F2115" s="215"/>
      <c r="G2115" s="233"/>
    </row>
    <row r="2116">
      <c r="A2116" s="215"/>
      <c r="B2116" s="215"/>
      <c r="C2116" s="215"/>
      <c r="D2116" s="215"/>
      <c r="E2116" s="215"/>
      <c r="F2116" s="215"/>
      <c r="G2116" s="233"/>
    </row>
    <row r="2117">
      <c r="A2117" s="215"/>
      <c r="B2117" s="215"/>
      <c r="C2117" s="215"/>
      <c r="D2117" s="215"/>
      <c r="E2117" s="215"/>
      <c r="F2117" s="215"/>
      <c r="G2117" s="233"/>
    </row>
    <row r="2118">
      <c r="A2118" s="215"/>
      <c r="B2118" s="215"/>
      <c r="C2118" s="215"/>
      <c r="D2118" s="215"/>
      <c r="E2118" s="215"/>
      <c r="F2118" s="215"/>
      <c r="G2118" s="233"/>
    </row>
    <row r="2119">
      <c r="A2119" s="215"/>
      <c r="B2119" s="215"/>
      <c r="C2119" s="215"/>
      <c r="D2119" s="215"/>
      <c r="E2119" s="215"/>
      <c r="F2119" s="215"/>
      <c r="G2119" s="233"/>
    </row>
    <row r="2120">
      <c r="A2120" s="215"/>
      <c r="B2120" s="215"/>
      <c r="C2120" s="215"/>
      <c r="D2120" s="215"/>
      <c r="E2120" s="215"/>
      <c r="F2120" s="215"/>
      <c r="G2120" s="233"/>
    </row>
    <row r="2121">
      <c r="A2121" s="215"/>
      <c r="B2121" s="215"/>
      <c r="C2121" s="215"/>
      <c r="D2121" s="215"/>
      <c r="E2121" s="215"/>
      <c r="F2121" s="215"/>
      <c r="G2121" s="233"/>
    </row>
    <row r="2122">
      <c r="A2122" s="215"/>
      <c r="B2122" s="215"/>
      <c r="C2122" s="215"/>
      <c r="D2122" s="215"/>
      <c r="E2122" s="215"/>
      <c r="F2122" s="215"/>
      <c r="G2122" s="233"/>
    </row>
    <row r="2123">
      <c r="A2123" s="215"/>
      <c r="B2123" s="215"/>
      <c r="C2123" s="215"/>
      <c r="D2123" s="215"/>
      <c r="E2123" s="215"/>
      <c r="F2123" s="215"/>
      <c r="G2123" s="233"/>
    </row>
    <row r="2124">
      <c r="A2124" s="215"/>
      <c r="B2124" s="215"/>
      <c r="C2124" s="215"/>
      <c r="D2124" s="215"/>
      <c r="E2124" s="215"/>
      <c r="F2124" s="215"/>
      <c r="G2124" s="233"/>
    </row>
    <row r="2125">
      <c r="A2125" s="215"/>
      <c r="B2125" s="215"/>
      <c r="C2125" s="215"/>
      <c r="D2125" s="215"/>
      <c r="E2125" s="215"/>
      <c r="F2125" s="215"/>
      <c r="G2125" s="233"/>
    </row>
    <row r="2126">
      <c r="A2126" s="215"/>
      <c r="B2126" s="215"/>
      <c r="C2126" s="215"/>
      <c r="D2126" s="215"/>
      <c r="E2126" s="215"/>
      <c r="F2126" s="215"/>
      <c r="G2126" s="233"/>
    </row>
    <row r="2127">
      <c r="A2127" s="215"/>
      <c r="B2127" s="215"/>
      <c r="C2127" s="215"/>
      <c r="D2127" s="215"/>
      <c r="E2127" s="215"/>
      <c r="F2127" s="215"/>
      <c r="G2127" s="233"/>
    </row>
    <row r="2128">
      <c r="A2128" s="215"/>
      <c r="B2128" s="215"/>
      <c r="C2128" s="215"/>
      <c r="D2128" s="215"/>
      <c r="E2128" s="215"/>
      <c r="F2128" s="215"/>
      <c r="G2128" s="233"/>
    </row>
    <row r="2129">
      <c r="A2129" s="215"/>
      <c r="B2129" s="215"/>
      <c r="C2129" s="215"/>
      <c r="D2129" s="215"/>
      <c r="E2129" s="215"/>
      <c r="F2129" s="215"/>
      <c r="G2129" s="233"/>
    </row>
    <row r="2130">
      <c r="A2130" s="215"/>
      <c r="B2130" s="215"/>
      <c r="C2130" s="215"/>
      <c r="D2130" s="215"/>
      <c r="E2130" s="215"/>
      <c r="F2130" s="215"/>
      <c r="G2130" s="233"/>
    </row>
    <row r="2131">
      <c r="A2131" s="215"/>
      <c r="B2131" s="215"/>
      <c r="C2131" s="215"/>
      <c r="D2131" s="215"/>
      <c r="E2131" s="215"/>
      <c r="F2131" s="215"/>
      <c r="G2131" s="233"/>
    </row>
    <row r="2132">
      <c r="A2132" s="215"/>
      <c r="B2132" s="215"/>
      <c r="C2132" s="215"/>
      <c r="D2132" s="215"/>
      <c r="E2132" s="215"/>
      <c r="F2132" s="215"/>
      <c r="G2132" s="233"/>
    </row>
    <row r="2133">
      <c r="A2133" s="215"/>
      <c r="B2133" s="215"/>
      <c r="C2133" s="215"/>
      <c r="D2133" s="215"/>
      <c r="E2133" s="215"/>
      <c r="F2133" s="215"/>
      <c r="G2133" s="233"/>
    </row>
    <row r="2134">
      <c r="A2134" s="215"/>
      <c r="B2134" s="215"/>
      <c r="C2134" s="215"/>
      <c r="D2134" s="215"/>
      <c r="E2134" s="215"/>
      <c r="F2134" s="215"/>
      <c r="G2134" s="233"/>
    </row>
    <row r="2135">
      <c r="A2135" s="215"/>
      <c r="B2135" s="215"/>
      <c r="C2135" s="215"/>
      <c r="D2135" s="215"/>
      <c r="E2135" s="215"/>
      <c r="F2135" s="215"/>
      <c r="G2135" s="233"/>
    </row>
    <row r="2136">
      <c r="A2136" s="215"/>
      <c r="B2136" s="215"/>
      <c r="C2136" s="215"/>
      <c r="D2136" s="215"/>
      <c r="E2136" s="215"/>
      <c r="F2136" s="215"/>
      <c r="G2136" s="233"/>
    </row>
    <row r="2137">
      <c r="A2137" s="215"/>
      <c r="B2137" s="215"/>
      <c r="C2137" s="215"/>
      <c r="D2137" s="215"/>
      <c r="E2137" s="215"/>
      <c r="F2137" s="215"/>
      <c r="G2137" s="233"/>
    </row>
    <row r="2138">
      <c r="A2138" s="215"/>
      <c r="B2138" s="215"/>
      <c r="C2138" s="215"/>
      <c r="D2138" s="215"/>
      <c r="E2138" s="215"/>
      <c r="F2138" s="215"/>
      <c r="G2138" s="233"/>
    </row>
    <row r="2139">
      <c r="A2139" s="215"/>
      <c r="B2139" s="215"/>
      <c r="C2139" s="215"/>
      <c r="D2139" s="215"/>
      <c r="E2139" s="215"/>
      <c r="F2139" s="215"/>
      <c r="G2139" s="233"/>
    </row>
    <row r="2140">
      <c r="A2140" s="215"/>
      <c r="B2140" s="215"/>
      <c r="C2140" s="215"/>
      <c r="D2140" s="215"/>
      <c r="E2140" s="215"/>
      <c r="F2140" s="215"/>
      <c r="G2140" s="233"/>
    </row>
    <row r="2141">
      <c r="A2141" s="215"/>
      <c r="B2141" s="215"/>
      <c r="C2141" s="215"/>
      <c r="D2141" s="215"/>
      <c r="E2141" s="215"/>
      <c r="F2141" s="215"/>
      <c r="G2141" s="233"/>
    </row>
    <row r="2142">
      <c r="A2142" s="215"/>
      <c r="B2142" s="215"/>
      <c r="C2142" s="215"/>
      <c r="D2142" s="215"/>
      <c r="E2142" s="215"/>
      <c r="F2142" s="215"/>
      <c r="G2142" s="233"/>
    </row>
    <row r="2143">
      <c r="A2143" s="215"/>
      <c r="B2143" s="215"/>
      <c r="C2143" s="215"/>
      <c r="D2143" s="215"/>
      <c r="E2143" s="215"/>
      <c r="F2143" s="215"/>
      <c r="G2143" s="233"/>
    </row>
    <row r="2144">
      <c r="A2144" s="215"/>
      <c r="B2144" s="215"/>
      <c r="C2144" s="215"/>
      <c r="D2144" s="215"/>
      <c r="E2144" s="215"/>
      <c r="F2144" s="215"/>
      <c r="G2144" s="233"/>
    </row>
    <row r="2145">
      <c r="A2145" s="215"/>
      <c r="B2145" s="215"/>
      <c r="C2145" s="215"/>
      <c r="D2145" s="215"/>
      <c r="E2145" s="215"/>
      <c r="F2145" s="215"/>
      <c r="G2145" s="233"/>
    </row>
    <row r="2146">
      <c r="A2146" s="215"/>
      <c r="B2146" s="215"/>
      <c r="C2146" s="215"/>
      <c r="D2146" s="215"/>
      <c r="E2146" s="215"/>
      <c r="F2146" s="215"/>
      <c r="G2146" s="233"/>
    </row>
    <row r="2147">
      <c r="A2147" s="215"/>
      <c r="B2147" s="215"/>
      <c r="C2147" s="215"/>
      <c r="D2147" s="215"/>
      <c r="E2147" s="215"/>
      <c r="F2147" s="215"/>
      <c r="G2147" s="233"/>
    </row>
    <row r="2148">
      <c r="A2148" s="215"/>
      <c r="B2148" s="215"/>
      <c r="C2148" s="215"/>
      <c r="D2148" s="215"/>
      <c r="E2148" s="215"/>
      <c r="F2148" s="215"/>
      <c r="G2148" s="233"/>
    </row>
    <row r="2149">
      <c r="A2149" s="215"/>
      <c r="B2149" s="215"/>
      <c r="C2149" s="215"/>
      <c r="D2149" s="215"/>
      <c r="E2149" s="215"/>
      <c r="F2149" s="215"/>
      <c r="G2149" s="233"/>
    </row>
    <row r="2150">
      <c r="A2150" s="215"/>
      <c r="B2150" s="215"/>
      <c r="C2150" s="215"/>
      <c r="D2150" s="215"/>
      <c r="E2150" s="215"/>
      <c r="F2150" s="215"/>
      <c r="G2150" s="233"/>
    </row>
    <row r="2151">
      <c r="A2151" s="215"/>
      <c r="B2151" s="215"/>
      <c r="C2151" s="215"/>
      <c r="D2151" s="215"/>
      <c r="E2151" s="215"/>
      <c r="F2151" s="215"/>
      <c r="G2151" s="233"/>
    </row>
    <row r="2152">
      <c r="A2152" s="215"/>
      <c r="B2152" s="215"/>
      <c r="C2152" s="215"/>
      <c r="D2152" s="215"/>
      <c r="E2152" s="215"/>
      <c r="F2152" s="215"/>
      <c r="G2152" s="233"/>
    </row>
    <row r="2153">
      <c r="A2153" s="215"/>
      <c r="B2153" s="215"/>
      <c r="C2153" s="215"/>
      <c r="D2153" s="215"/>
      <c r="E2153" s="215"/>
      <c r="F2153" s="215"/>
      <c r="G2153" s="233"/>
    </row>
    <row r="2154">
      <c r="A2154" s="215"/>
      <c r="B2154" s="215"/>
      <c r="C2154" s="215"/>
      <c r="D2154" s="215"/>
      <c r="E2154" s="215"/>
      <c r="F2154" s="215"/>
      <c r="G2154" s="233"/>
    </row>
    <row r="2155">
      <c r="A2155" s="215"/>
      <c r="B2155" s="215"/>
      <c r="C2155" s="215"/>
      <c r="D2155" s="215"/>
      <c r="E2155" s="215"/>
      <c r="F2155" s="215"/>
      <c r="G2155" s="233"/>
    </row>
    <row r="2156">
      <c r="A2156" s="215"/>
      <c r="B2156" s="215"/>
      <c r="C2156" s="215"/>
      <c r="D2156" s="215"/>
      <c r="E2156" s="215"/>
      <c r="F2156" s="215"/>
      <c r="G2156" s="233"/>
    </row>
    <row r="2157">
      <c r="A2157" s="215"/>
      <c r="B2157" s="215"/>
      <c r="C2157" s="215"/>
      <c r="D2157" s="215"/>
      <c r="E2157" s="215"/>
      <c r="F2157" s="215"/>
      <c r="G2157" s="233"/>
    </row>
    <row r="2158">
      <c r="A2158" s="215"/>
      <c r="B2158" s="215"/>
      <c r="C2158" s="215"/>
      <c r="D2158" s="215"/>
      <c r="E2158" s="215"/>
      <c r="F2158" s="215"/>
      <c r="G2158" s="233"/>
    </row>
    <row r="2159">
      <c r="A2159" s="215"/>
      <c r="B2159" s="215"/>
      <c r="C2159" s="215"/>
      <c r="D2159" s="215"/>
      <c r="E2159" s="215"/>
      <c r="F2159" s="215"/>
      <c r="G2159" s="233"/>
    </row>
    <row r="2160">
      <c r="A2160" s="215"/>
      <c r="B2160" s="215"/>
      <c r="C2160" s="215"/>
      <c r="D2160" s="215"/>
      <c r="E2160" s="215"/>
      <c r="F2160" s="215"/>
      <c r="G2160" s="233"/>
    </row>
    <row r="2161">
      <c r="A2161" s="215"/>
      <c r="B2161" s="215"/>
      <c r="C2161" s="215"/>
      <c r="D2161" s="215"/>
      <c r="E2161" s="215"/>
      <c r="F2161" s="215"/>
      <c r="G2161" s="233"/>
    </row>
    <row r="2162">
      <c r="A2162" s="215"/>
      <c r="B2162" s="215"/>
      <c r="C2162" s="215"/>
      <c r="D2162" s="215"/>
      <c r="E2162" s="215"/>
      <c r="F2162" s="215"/>
      <c r="G2162" s="233"/>
    </row>
    <row r="2163">
      <c r="A2163" s="215"/>
      <c r="B2163" s="215"/>
      <c r="C2163" s="215"/>
      <c r="D2163" s="215"/>
      <c r="E2163" s="215"/>
      <c r="F2163" s="215"/>
      <c r="G2163" s="233"/>
    </row>
    <row r="2164">
      <c r="A2164" s="215"/>
      <c r="B2164" s="215"/>
      <c r="C2164" s="215"/>
      <c r="D2164" s="215"/>
      <c r="E2164" s="215"/>
      <c r="F2164" s="215"/>
      <c r="G2164" s="233"/>
    </row>
    <row r="2165">
      <c r="A2165" s="215"/>
      <c r="B2165" s="215"/>
      <c r="C2165" s="215"/>
      <c r="D2165" s="215"/>
      <c r="E2165" s="215"/>
      <c r="F2165" s="215"/>
      <c r="G2165" s="233"/>
    </row>
    <row r="2166">
      <c r="A2166" s="215"/>
      <c r="B2166" s="215"/>
      <c r="C2166" s="215"/>
      <c r="D2166" s="215"/>
      <c r="E2166" s="215"/>
      <c r="F2166" s="215"/>
      <c r="G2166" s="233"/>
    </row>
    <row r="2167">
      <c r="A2167" s="215"/>
      <c r="B2167" s="215"/>
      <c r="C2167" s="215"/>
      <c r="D2167" s="215"/>
      <c r="E2167" s="215"/>
      <c r="F2167" s="215"/>
      <c r="G2167" s="233"/>
    </row>
    <row r="2168">
      <c r="A2168" s="215"/>
      <c r="B2168" s="215"/>
      <c r="C2168" s="215"/>
      <c r="D2168" s="215"/>
      <c r="E2168" s="215"/>
      <c r="F2168" s="215"/>
      <c r="G2168" s="233"/>
    </row>
    <row r="2169">
      <c r="A2169" s="215"/>
      <c r="B2169" s="215"/>
      <c r="C2169" s="215"/>
      <c r="D2169" s="215"/>
      <c r="E2169" s="215"/>
      <c r="F2169" s="215"/>
      <c r="G2169" s="233"/>
    </row>
    <row r="2170">
      <c r="A2170" s="215"/>
      <c r="B2170" s="215"/>
      <c r="C2170" s="215"/>
      <c r="D2170" s="215"/>
      <c r="E2170" s="215"/>
      <c r="F2170" s="215"/>
      <c r="G2170" s="233"/>
    </row>
    <row r="2171">
      <c r="A2171" s="215"/>
      <c r="B2171" s="215"/>
      <c r="C2171" s="215"/>
      <c r="D2171" s="215"/>
      <c r="E2171" s="215"/>
      <c r="F2171" s="215"/>
      <c r="G2171" s="233"/>
    </row>
    <row r="2172">
      <c r="A2172" s="215"/>
      <c r="B2172" s="215"/>
      <c r="C2172" s="215"/>
      <c r="D2172" s="215"/>
      <c r="E2172" s="215"/>
      <c r="F2172" s="215"/>
      <c r="G2172" s="233"/>
    </row>
    <row r="2173">
      <c r="A2173" s="215"/>
      <c r="B2173" s="215"/>
      <c r="C2173" s="215"/>
      <c r="D2173" s="215"/>
      <c r="E2173" s="215"/>
      <c r="F2173" s="215"/>
      <c r="G2173" s="233"/>
    </row>
    <row r="2174">
      <c r="A2174" s="215"/>
      <c r="B2174" s="215"/>
      <c r="C2174" s="215"/>
      <c r="D2174" s="215"/>
      <c r="E2174" s="215"/>
      <c r="F2174" s="215"/>
      <c r="G2174" s="233"/>
    </row>
    <row r="2175">
      <c r="A2175" s="215"/>
      <c r="B2175" s="215"/>
      <c r="C2175" s="215"/>
      <c r="D2175" s="215"/>
      <c r="E2175" s="215"/>
      <c r="F2175" s="215"/>
      <c r="G2175" s="233"/>
    </row>
    <row r="2176">
      <c r="A2176" s="215"/>
      <c r="B2176" s="215"/>
      <c r="C2176" s="215"/>
      <c r="D2176" s="215"/>
      <c r="E2176" s="215"/>
      <c r="F2176" s="215"/>
      <c r="G2176" s="233"/>
    </row>
    <row r="2177">
      <c r="A2177" s="215"/>
      <c r="B2177" s="215"/>
      <c r="C2177" s="215"/>
      <c r="D2177" s="215"/>
      <c r="E2177" s="215"/>
      <c r="F2177" s="215"/>
      <c r="G2177" s="233"/>
    </row>
    <row r="2178">
      <c r="A2178" s="215"/>
      <c r="B2178" s="215"/>
      <c r="C2178" s="215"/>
      <c r="D2178" s="215"/>
      <c r="E2178" s="215"/>
      <c r="F2178" s="215"/>
      <c r="G2178" s="233"/>
    </row>
    <row r="2179">
      <c r="A2179" s="215"/>
      <c r="B2179" s="215"/>
      <c r="C2179" s="215"/>
      <c r="D2179" s="215"/>
      <c r="E2179" s="215"/>
      <c r="F2179" s="215"/>
      <c r="G2179" s="233"/>
    </row>
    <row r="2180">
      <c r="A2180" s="215"/>
      <c r="B2180" s="215"/>
      <c r="C2180" s="215"/>
      <c r="D2180" s="215"/>
      <c r="E2180" s="215"/>
      <c r="F2180" s="215"/>
      <c r="G2180" s="233"/>
    </row>
    <row r="2181">
      <c r="A2181" s="215"/>
      <c r="B2181" s="215"/>
      <c r="C2181" s="215"/>
      <c r="D2181" s="215"/>
      <c r="E2181" s="215"/>
      <c r="F2181" s="215"/>
      <c r="G2181" s="233"/>
    </row>
    <row r="2182">
      <c r="A2182" s="215"/>
      <c r="B2182" s="215"/>
      <c r="C2182" s="215"/>
      <c r="D2182" s="215"/>
      <c r="E2182" s="215"/>
      <c r="F2182" s="215"/>
      <c r="G2182" s="233"/>
    </row>
    <row r="2183">
      <c r="A2183" s="215"/>
      <c r="B2183" s="215"/>
      <c r="C2183" s="215"/>
      <c r="D2183" s="215"/>
      <c r="E2183" s="215"/>
      <c r="F2183" s="215"/>
      <c r="G2183" s="233"/>
    </row>
    <row r="2184">
      <c r="A2184" s="215"/>
      <c r="B2184" s="215"/>
      <c r="C2184" s="215"/>
      <c r="D2184" s="215"/>
      <c r="E2184" s="215"/>
      <c r="F2184" s="215"/>
      <c r="G2184" s="233"/>
    </row>
    <row r="2185">
      <c r="A2185" s="215"/>
      <c r="B2185" s="215"/>
      <c r="C2185" s="215"/>
      <c r="D2185" s="215"/>
      <c r="E2185" s="215"/>
      <c r="F2185" s="215"/>
      <c r="G2185" s="233"/>
    </row>
    <row r="2186">
      <c r="A2186" s="215"/>
      <c r="B2186" s="215"/>
      <c r="C2186" s="215"/>
      <c r="D2186" s="215"/>
      <c r="E2186" s="215"/>
      <c r="F2186" s="215"/>
      <c r="G2186" s="233"/>
    </row>
    <row r="2187">
      <c r="A2187" s="215"/>
      <c r="B2187" s="215"/>
      <c r="C2187" s="215"/>
      <c r="D2187" s="215"/>
      <c r="E2187" s="215"/>
      <c r="F2187" s="215"/>
      <c r="G2187" s="233"/>
    </row>
    <row r="2188">
      <c r="A2188" s="215"/>
      <c r="B2188" s="215"/>
      <c r="C2188" s="215"/>
      <c r="D2188" s="215"/>
      <c r="E2188" s="215"/>
      <c r="F2188" s="215"/>
      <c r="G2188" s="233"/>
    </row>
    <row r="2189">
      <c r="A2189" s="215"/>
      <c r="B2189" s="215"/>
      <c r="C2189" s="215"/>
      <c r="D2189" s="215"/>
      <c r="E2189" s="215"/>
      <c r="F2189" s="215"/>
      <c r="G2189" s="233"/>
    </row>
    <row r="2190">
      <c r="A2190" s="215"/>
      <c r="B2190" s="215"/>
      <c r="C2190" s="215"/>
      <c r="D2190" s="215"/>
      <c r="E2190" s="215"/>
      <c r="F2190" s="215"/>
      <c r="G2190" s="233"/>
    </row>
    <row r="2191">
      <c r="A2191" s="215"/>
      <c r="B2191" s="215"/>
      <c r="C2191" s="215"/>
      <c r="D2191" s="215"/>
      <c r="E2191" s="215"/>
      <c r="F2191" s="215"/>
      <c r="G2191" s="233"/>
    </row>
    <row r="2192">
      <c r="A2192" s="215"/>
      <c r="B2192" s="215"/>
      <c r="C2192" s="215"/>
      <c r="D2192" s="215"/>
      <c r="E2192" s="215"/>
      <c r="F2192" s="215"/>
      <c r="G2192" s="233"/>
    </row>
    <row r="2193">
      <c r="A2193" s="215"/>
      <c r="B2193" s="215"/>
      <c r="C2193" s="215"/>
      <c r="D2193" s="215"/>
      <c r="E2193" s="215"/>
      <c r="F2193" s="215"/>
      <c r="G2193" s="233"/>
    </row>
    <row r="2194">
      <c r="A2194" s="215"/>
      <c r="B2194" s="215"/>
      <c r="C2194" s="215"/>
      <c r="D2194" s="215"/>
      <c r="E2194" s="215"/>
      <c r="F2194" s="215"/>
      <c r="G2194" s="233"/>
    </row>
    <row r="2195">
      <c r="A2195" s="215"/>
      <c r="B2195" s="215"/>
      <c r="C2195" s="215"/>
      <c r="D2195" s="215"/>
      <c r="E2195" s="215"/>
      <c r="F2195" s="215"/>
      <c r="G2195" s="233"/>
    </row>
    <row r="2196">
      <c r="A2196" s="215"/>
      <c r="B2196" s="215"/>
      <c r="C2196" s="215"/>
      <c r="D2196" s="215"/>
      <c r="E2196" s="215"/>
      <c r="F2196" s="215"/>
      <c r="G2196" s="233"/>
    </row>
    <row r="2197">
      <c r="A2197" s="215"/>
      <c r="B2197" s="215"/>
      <c r="C2197" s="215"/>
      <c r="D2197" s="215"/>
      <c r="E2197" s="215"/>
      <c r="F2197" s="215"/>
      <c r="G2197" s="233"/>
    </row>
    <row r="2198">
      <c r="A2198" s="215"/>
      <c r="B2198" s="215"/>
      <c r="C2198" s="215"/>
      <c r="D2198" s="215"/>
      <c r="E2198" s="215"/>
      <c r="F2198" s="215"/>
      <c r="G2198" s="233"/>
    </row>
    <row r="2199">
      <c r="A2199" s="215"/>
      <c r="B2199" s="215"/>
      <c r="C2199" s="215"/>
      <c r="D2199" s="215"/>
      <c r="E2199" s="215"/>
      <c r="F2199" s="215"/>
      <c r="G2199" s="233"/>
    </row>
    <row r="2200">
      <c r="A2200" s="215"/>
      <c r="B2200" s="215"/>
      <c r="C2200" s="215"/>
      <c r="D2200" s="215"/>
      <c r="E2200" s="215"/>
      <c r="F2200" s="215"/>
      <c r="G2200" s="233"/>
    </row>
    <row r="2201">
      <c r="A2201" s="215"/>
      <c r="B2201" s="215"/>
      <c r="C2201" s="215"/>
      <c r="D2201" s="215"/>
      <c r="E2201" s="215"/>
      <c r="F2201" s="215"/>
      <c r="G2201" s="233"/>
    </row>
    <row r="2202">
      <c r="A2202" s="215"/>
      <c r="B2202" s="215"/>
      <c r="C2202" s="215"/>
      <c r="D2202" s="215"/>
      <c r="E2202" s="215"/>
      <c r="F2202" s="215"/>
      <c r="G2202" s="233"/>
    </row>
    <row r="2203">
      <c r="A2203" s="215"/>
      <c r="B2203" s="215"/>
      <c r="C2203" s="215"/>
      <c r="D2203" s="215"/>
      <c r="E2203" s="215"/>
      <c r="F2203" s="215"/>
      <c r="G2203" s="233"/>
    </row>
    <row r="2204">
      <c r="A2204" s="215"/>
      <c r="B2204" s="215"/>
      <c r="C2204" s="215"/>
      <c r="D2204" s="215"/>
      <c r="E2204" s="215"/>
      <c r="F2204" s="215"/>
      <c r="G2204" s="233"/>
    </row>
    <row r="2205">
      <c r="A2205" s="215"/>
      <c r="B2205" s="215"/>
      <c r="C2205" s="215"/>
      <c r="D2205" s="215"/>
      <c r="E2205" s="215"/>
      <c r="F2205" s="215"/>
      <c r="G2205" s="233"/>
    </row>
    <row r="2206">
      <c r="A2206" s="215"/>
      <c r="B2206" s="215"/>
      <c r="C2206" s="215"/>
      <c r="D2206" s="215"/>
      <c r="E2206" s="215"/>
      <c r="F2206" s="215"/>
      <c r="G2206" s="233"/>
    </row>
    <row r="2207">
      <c r="A2207" s="215"/>
      <c r="B2207" s="215"/>
      <c r="C2207" s="215"/>
      <c r="D2207" s="215"/>
      <c r="E2207" s="215"/>
      <c r="F2207" s="215"/>
      <c r="G2207" s="233"/>
    </row>
    <row r="2208">
      <c r="A2208" s="215"/>
      <c r="B2208" s="215"/>
      <c r="C2208" s="215"/>
      <c r="D2208" s="215"/>
      <c r="E2208" s="215"/>
      <c r="F2208" s="215"/>
      <c r="G2208" s="233"/>
    </row>
    <row r="2209">
      <c r="A2209" s="215"/>
      <c r="B2209" s="215"/>
      <c r="C2209" s="215"/>
      <c r="D2209" s="215"/>
      <c r="E2209" s="215"/>
      <c r="F2209" s="215"/>
      <c r="G2209" s="233"/>
    </row>
    <row r="2210">
      <c r="A2210" s="215"/>
      <c r="B2210" s="215"/>
      <c r="C2210" s="215"/>
      <c r="D2210" s="215"/>
      <c r="E2210" s="215"/>
      <c r="F2210" s="215"/>
      <c r="G2210" s="233"/>
    </row>
    <row r="2211">
      <c r="A2211" s="215"/>
      <c r="B2211" s="215"/>
      <c r="C2211" s="215"/>
      <c r="D2211" s="215"/>
      <c r="E2211" s="215"/>
      <c r="F2211" s="215"/>
      <c r="G2211" s="233"/>
    </row>
    <row r="2212">
      <c r="A2212" s="215"/>
      <c r="B2212" s="215"/>
      <c r="C2212" s="215"/>
      <c r="D2212" s="215"/>
      <c r="E2212" s="215"/>
      <c r="F2212" s="215"/>
      <c r="G2212" s="233"/>
    </row>
  </sheetData>
  <autoFilter ref="$A$1:$G$1212">
    <filterColumn colId="1">
      <filters>
        <filter val="PC/1210/2025"/>
        <filter val="PC/1024/2020"/>
        <filter val="PC/0757/2020"/>
        <filter val="PC/0030/2021"/>
        <filter val="PC/0627/2020"/>
        <filter val="PC/0588/2021"/>
        <filter val="PC/0943/2020"/>
        <filter val="PC/1508/2025"/>
        <filter val="PC/1154/2025"/>
        <filter val="PC/0290/2021"/>
        <filter val="PC/0289/2021"/>
        <filter val="PC/1171/2025"/>
        <filter val="PC/0644/2020"/>
        <filter val="PC/0774/2020"/>
        <filter val="PC/1469/2025"/>
        <filter val="PC/0345/2021"/>
        <filter val="PC/1306/2025"/>
        <filter val="PC/0273/2021"/>
        <filter val="PC/1187/2025"/>
        <filter val="PC/0425/2021"/>
        <filter val="PC/0959/2021"/>
        <filter val="PC/1373/2025"/>
        <filter val="PC/0572/2021"/>
        <filter val="PC/1226/2025"/>
        <filter val="6"/>
        <filter val="PC/1007/2020"/>
        <filter val="8"/>
        <filter val="9"/>
        <filter val="PC/0531/2021"/>
        <filter val="PC/0492/2021"/>
        <filter val="PC/0887/2020"/>
        <filter val="PC/1113/2025"/>
        <filter val="PC/0993/2020"/>
        <filter val="PC/0401/2021"/>
        <filter val="PC/1104/2025"/>
        <filter val="PC/1243/2025"/>
        <filter val="PC/0694/2020"/>
        <filter val="PC/0741/2020"/>
        <filter val="PC/0240/2021"/>
        <filter val="PC/0716/2020"/>
        <filter val="X"/>
        <filter val="PC/0514/2019"/>
        <filter val="PC/1419/2025"/>
        <filter val="PC/0685/2025"/>
        <filter val="PC/0102/2021"/>
        <filter val="PC/0871/2020"/>
        <filter val="PC/0514/2025"/>
        <filter val="PC/1470/2025"/>
        <filter val="PC/0581/2021"/>
        <filter val="PC/0256/2021"/>
        <filter val="PC/1217/2025"/>
        <filter val="PC/1428/2025"/>
        <filter val="B11/212/22/2019"/>
        <filter val="PC/1315/2025"/>
        <filter val="PC/0984/2020"/>
        <filter val="PC/0029/2021"/>
        <filter val="PC/0700/2020"/>
        <filter val="PC/1098/2025"/>
        <filter val="PC/1129/2025"/>
        <filter val="PC/0395/2021"/>
        <filter val="PC/0442/2021"/>
        <filter val="PC/0635/2021"/>
        <filter val="PC/0321/2021"/>
        <filter val="PC/0449/2021"/>
        <filter val="PC/0297/2021"/>
        <filter val="PC/0749/2020"/>
        <filter val="PC/0935/2020"/>
        <filter val="PC/0581/2019"/>
        <filter val="PC/0483/2021"/>
        <filter val="PC/0022/2020"/>
        <filter val="PC/1146/2025"/>
        <filter val="PC/1201/2025"/>
        <filter val="PC/0636/2020"/>
        <filter val="PC/0021/2021"/>
        <filter val="PC/0821/2020"/>
        <filter val="PC/1293/2025"/>
        <filter val="PC/1445/2025"/>
        <filter val="PC/1259/2025"/>
        <filter val="PC/1314/2025"/>
        <filter val="PC/0281/2021"/>
        <filter val="PC/1234/2025"/>
        <filter val="PC/1420/2025"/>
        <filter val="PC/1381/2025"/>
        <filter val="PC/1128/2025"/>
        <filter val="PC/0336/2019"/>
        <filter val="PC/0523/2021"/>
        <filter val="PC/1130/2020"/>
        <filter val="PC/0596/2019"/>
        <filter val="PC/0748/2020"/>
        <filter val="PC/1195/2025"/>
        <filter val="PC/1130/2025"/>
        <filter val="601"/>
        <filter val="PC/0895/2020"/>
        <filter val="603"/>
        <filter val="604"/>
        <filter val="605"/>
        <filter val="608"/>
        <filter val="PC/1421/2025"/>
        <filter val="PC/1091/2020"/>
        <filter val="PC/0394/2021"/>
        <filter val="PC/1091/2025"/>
        <filter val="PC/0693/2020"/>
        <filter val="PC/0538/2021"/>
        <filter val="PC/0214/2019"/>
        <filter val="PC/0724/2020"/>
        <filter val="PC/1121/2025"/>
        <filter val="PC/1235/2025"/>
        <filter val="616"/>
        <filter val="PC/1090/2025"/>
        <filter val="617"/>
        <filter val="PC/1427/2025"/>
        <filter val="PC/0910/2020"/>
        <filter val="619"/>
        <filter val="PC/0110/2020"/>
        <filter val="PC/0037/2021"/>
        <filter val="PC/0248/2021"/>
        <filter val="PC/1137/2025"/>
        <filter val="PC/1323/2025"/>
        <filter val="PC/1292/2025"/>
        <filter val="PC/1112/2025"/>
        <filter val="B3/230/19/2019"/>
        <filter val="PC/0522/2021"/>
        <filter val="PC/0620/2021"/>
        <filter val="PC/1225/2025"/>
        <filter val="PC/0434/2021"/>
        <filter val="PC/0992/2020"/>
        <filter val="PC/0321/2019"/>
        <filter val="PC/0223/2021"/>
        <filter val="PC/1411/2025"/>
        <filter val="PC/0127/2021"/>
        <filter val="PC/1471/2025"/>
        <filter val="PC/0443/2021"/>
        <filter val="PC/0175/2021"/>
        <filter val="PC/0288/2021"/>
        <filter val="PC/0291/2021"/>
        <filter val="PC/0491/2021"/>
        <filter val="PC/0330/2021"/>
        <filter val="PC/0590/2021"/>
        <filter val="PC/1099/2025"/>
        <filter val="PC/0589/2021"/>
        <filter val="B3/230/37/2019"/>
        <filter val="PC/0790/2020"/>
        <filter val="PC/0313/2021"/>
        <filter val="PC/1008/2020"/>
        <filter val="PC/1169/2025"/>
        <filter val="B11/212/13/2019"/>
        <filter val="PC/1170/2025"/>
        <filter val="PC/0200/2020"/>
        <filter val="PC/1242/2025"/>
        <filter val="PC/0062/2021"/>
        <filter val="PC/1122/2025"/>
        <filter val="PC/0257/2021"/>
        <filter val="PC/0361/2021"/>
        <filter val="PC/0742/2020"/>
        <filter val="PC/0715/2020"/>
        <filter val="B3/230/71/2019"/>
        <filter val="PC/0363/2021"/>
        <filter val="PC/1227/2025"/>
        <filter val="PC/0999/2020"/>
        <filter val="PC/0659/2019"/>
        <filter val="PC1015/2020"/>
        <filter val="PC/0177/2021"/>
        <filter val="PC/1249/2025"/>
        <filter val="PC/1252/2025"/>
        <filter val="PC/1089/2025"/>
        <filter val="PC/1136/2025"/>
        <filter val="PC/0602/2021"/>
        <filter val="PC/0433/2021"/>
        <filter val="PC/1136/2020"/>
        <filter val="PC/1305/2025"/>
        <filter val="PC/0994/2020"/>
        <filter val="PC/1119/2020"/>
        <filter val="PC/0416/2021"/>
        <filter val="PC/0669/2020"/>
        <filter val="415"/>
        <filter val="PC/0539/2021"/>
        <filter val="PC/1413/2025"/>
        <filter val="PC/1066/2025"/>
        <filter val="PC/1119/2025"/>
        <filter val="PC/0247/2021"/>
        <filter val="PC/1006/2020"/>
        <filter val="PC/0725/2020"/>
        <filter val="PC/0303/2021"/>
        <filter val="PC/0908/2020"/>
        <filter val="PC/0886/2020"/>
        <filter val="PC/0911/2020"/>
        <filter val="PC/0117/2021"/>
        <filter val="PC/0335/2019"/>
        <filter val="421"/>
        <filter val="PC/1092/2025"/>
        <filter val="PC/0612/2021"/>
        <filter val="PC/0773/2020"/>
        <filter val="PC/0612/2020"/>
        <filter val="427"/>
        <filter val="PC/1180/2025"/>
        <filter val="PC/0587/2021"/>
        <filter val="PC/0426/2021"/>
        <filter val="PC/1202/2025"/>
        <filter val="PC/0283/2021"/>
        <filter val="PC/0119/2021"/>
        <filter val="PC/0896/2020"/>
        <filter val="PC/0396/2020"/>
        <filter val="PC/0396/2021"/>
        <filter val="PC/0619/2021"/>
        <filter val="PC/0966/2020"/>
        <filter val="433"/>
        <filter val="PC/0652/2020"/>
        <filter val="435"/>
        <filter val="PC/1177/2025"/>
        <filter val="PC/0805/2020"/>
        <filter val="PC/0582/2021"/>
        <filter val="PC/1016/2020"/>
        <filter val="PC/1300/2025"/>
        <filter val="PC/0484/2021"/>
        <filter val="PC/1162/2025"/>
        <filter val="PC/0353/2021"/>
        <filter val="PC/1179/2025"/>
        <filter val="B3/230/30/2019"/>
        <filter val="PC/0054/2021"/>
        <filter val="PC/0564/2021"/>
        <filter val="PC/0006/2021"/>
        <filter val="PC/0582/2019"/>
        <filter val="440"/>
        <filter val="PC/1064/2025"/>
        <filter val="442"/>
        <filter val="201"/>
        <filter val="PC/1074/2015"/>
        <filter val="PC/1330/2025"/>
        <filter val="PC/0881/2020"/>
        <filter val="447"/>
        <filter val="B3/230/63/2019"/>
        <filter val="PC/1114/2025"/>
        <filter val="449"/>
        <filter val="PC/0695/2020"/>
        <filter val="PC/0750/2020"/>
        <filter val="PC/0918/2020"/>
        <filter val="PC/0677/2020"/>
        <filter val="PC/0707/2025"/>
        <filter val="PC/0740/2020"/>
        <filter val="PC/1260/2025"/>
        <filter val="PC/1144/2025"/>
        <filter val="PC/1197/2025"/>
        <filter val="PC/0408/2021"/>
        <filter val="PC/1257/2025"/>
        <filter val="PC/0378/2021"/>
        <filter val="211"/>
        <filter val="PC/0441/2021"/>
        <filter val="PC/0667/2019"/>
        <filter val="PC/0185/2021"/>
        <filter val="216"/>
        <filter val="459"/>
        <filter val="PC/1219/2025"/>
        <filter val="219"/>
        <filter val="PC/1443/2025"/>
        <filter val="PC/1074/2020"/>
        <filter val="PC/1209/2025"/>
        <filter val="PC/0878/2020"/>
        <filter val="PC/0170/2021"/>
        <filter val="PC/0717/2020"/>
        <filter val="PC/1084/2025"/>
        <filter val="461"/>
        <filter val="462"/>
        <filter val="221"/>
        <filter val="PC/1468/2025"/>
        <filter val="223"/>
        <filter val="PC/0554/2019"/>
        <filter val="225"/>
        <filter val="467"/>
        <filter val="226"/>
        <filter val="229"/>
        <filter val="PC/1172/2025"/>
        <filter val="PC/0207/2021"/>
        <filter val="PC/0579/2021"/>
        <filter val="PC/0418/2021"/>
        <filter val="PC/0191/2021"/>
        <filter val="PC/0743/2020"/>
        <filter val="PC/0360/2021"/>
        <filter val="PC/1438/2025"/>
        <filter val="PC/1241/2025"/>
        <filter val="PC/0027/2021"/>
        <filter val="230"/>
        <filter val="472"/>
        <filter val="PC/0275/2021"/>
        <filter val="PC/0489/2021"/>
        <filter val="PC/1312//2025"/>
        <filter val="PC/0658/2020"/>
        <filter val="PC/0709/2020"/>
        <filter val="234"/>
        <filter val="PC/0128/2021"/>
        <filter val="237"/>
        <filter val="PC/0213/2021"/>
        <filter val="PC/1224/2025"/>
        <filter val="PC/1140/2025"/>
        <filter val="PC/1173/2025"/>
        <filter val="PC/0625/2020"/>
        <filter val="PC/1106/2025"/>
        <filter val="PC/0073/2021"/>
        <filter val="PC/0811/2020"/>
        <filter val="PC/0772/2020"/>
        <filter val="PC/1212/2025"/>
        <filter val="481"/>
        <filter val="482"/>
        <filter val="PC/0991/2020"/>
        <filter val="PC/0759/2020"/>
        <filter val="241"/>
        <filter val="242"/>
        <filter val="PC/0945/2020"/>
        <filter val="487"/>
        <filter val="488"/>
        <filter val="247"/>
        <filter val="PC/1072/2025"/>
        <filter val="PC/0687/2020"/>
        <filter val="PC/1467/2025"/>
        <filter val="PC/0507/2021"/>
        <filter val="PC/1291/2025"/>
        <filter val="PC/0432/2021"/>
        <filter val="PC/0178/2023"/>
        <filter val="491"/>
        <filter val="PC/0246/2021"/>
        <filter val="251"/>
        <filter val="254"/>
        <filter val="256"/>
        <filter val="PC/1088/2025"/>
        <filter val="499"/>
        <filter val="259"/>
        <filter val="PC/1190/2025"/>
        <filter val="PC/0310/2021"/>
        <filter val="PC/0347/2021"/>
        <filter val="PC/0710/2020"/>
        <filter val="PC/0936/2020"/>
        <filter val="PC/0448/2021"/>
        <filter val="PC/0020/2021"/>
        <filter val="PC/1079/2025"/>
        <filter val="PC/1123/2025"/>
        <filter val="260"/>
        <filter val="PC/0722/2021"/>
        <filter val="PC/0722/2020"/>
        <filter val="PC/0776/2020"/>
        <filter val="PC/1375/2025"/>
        <filter val="266"/>
        <filter val="267"/>
        <filter val="PC/1022/2020"/>
        <filter val="PC/0439/2019"/>
        <filter val="B3/230/05/2019"/>
        <filter val="35/2020"/>
        <filter val="PC/0820/2020"/>
        <filter val="PC/0435/2021"/>
        <filter val="PC/0982/2020"/>
        <filter val="PC/1147/2025"/>
        <filter val="PC/0796/2020"/>
        <filter val="272"/>
        <filter val="275"/>
        <filter val="PC/0296/2021"/>
        <filter val="PC/0752/2020"/>
        <filter val="277"/>
        <filter val="PC/1447/2025"/>
        <filter val="PC/0452/2021"/>
        <filter val="PC/0621/2021"/>
        <filter val="B11/212/49/2019"/>
        <filter val="PC/1193/2025"/>
        <filter val="PC/0482/2025"/>
        <filter val="PC/0498/2021"/>
        <filter val="PC/1245/2025"/>
        <filter val="PC/1176/2025"/>
        <filter val="PC/0347/2019"/>
        <filter val="PC/0481/2021"/>
        <filter val="PC/0003/2021"/>
        <filter val="PC/1431/2025"/>
        <filter val="281"/>
        <filter val="PC/0406/2021"/>
        <filter val="PC/0222/2021"/>
        <filter val="285"/>
        <filter val="PC/1333/2025"/>
        <filter val="PC/1215/2025"/>
        <filter val="288"/>
        <filter val="289"/>
        <filter val="PC/1418/2025"/>
        <filter val="PC/0295/2021"/>
        <filter val="PC/1464/2025"/>
        <filter val="PC/0723/2020"/>
        <filter val="PC/1029/2020"/>
        <filter val="PC/1103/2024"/>
        <filter val="PC/0318/2021"/>
        <filter val="PC/0684/2019"/>
        <filter val="PC/1127/2025"/>
        <filter val="PC/1160/2025"/>
        <filter val="290"/>
        <filter val="291"/>
        <filter val="PC/0301/2021"/>
        <filter val="PC/0601/2021"/>
        <filter val="294"/>
        <filter val="295"/>
        <filter val="PC/1244/2025"/>
        <filter val="296"/>
        <filter val="PC/0393/2021"/>
        <filter val="297"/>
        <filter val="298"/>
        <filter val="PC/0340/2021"/>
        <filter val="PC/0040/2021"/>
        <filter val="PC/0916/2020"/>
        <filter val="PC/0655/2020"/>
        <filter val="PC/1417/2025"/>
        <filter val="PC/1484/2025"/>
        <filter val="PC/0570/2021"/>
        <filter val="PC/1081/2025"/>
        <filter val="PC/0056/2021"/>
        <filter val="PC/0311/2021"/>
        <filter val="PC/1068/2025"/>
        <filter val="PC/1430/2025"/>
        <filter val="PC/1329/2025"/>
        <filter val="PC/0557/2021"/>
        <filter val="PC/0198/2021"/>
        <filter val="PC/0645/2021"/>
        <filter val="PC/1156/2025"/>
        <filter val="PC/1298/2025"/>
        <filter val="PC/0242/2021"/>
        <filter val="PC/0818/2020"/>
        <filter val="PC/0573/2019"/>
        <filter val="PC/1110/2025"/>
        <filter val="PC/0688/2020"/>
        <filter val="PC/0674/2020"/>
        <filter val="PC/1110/2020"/>
        <filter val="PC/0409/2019"/>
        <filter val="PC/0412/2019"/>
        <filter val="PC/0488/2021"/>
        <filter val="PC/0527/2021"/>
        <filter val="PC/1186/2025"/>
        <filter val="PC/1107/2025"/>
        <filter val="PC/0713/2020"/>
        <filter val="PC/1254/2025"/>
        <filter val="PC/1454/2025"/>
        <filter val="PC/0513/2021"/>
        <filter val="PC/0874/2020"/>
        <filter val="PC/1208/2025"/>
        <filter val="PC/1369/2025"/>
        <filter val="PC/0638/2019"/>
        <filter val="PC/0691/2019"/>
        <filter val="PC/0756/2020"/>
        <filter val="PC/0814/2020"/>
        <filter val="PC/0942/2020"/>
        <filter val="PC/0194/2021"/>
        <filter val="PC/0631/2019"/>
        <filter val="PC/1221/2025"/>
        <filter val="PC/1258/2025"/>
        <filter val="PC/0540/2021"/>
        <filter val="PC/0033/2021"/>
        <filter val="PC/1444/2025"/>
        <filter val="PC/0641/2020"/>
        <filter val="PC/1196/2025"/>
        <filter val="B3/230/87/2019"/>
        <filter val="PC/0171/2021"/>
        <filter val="PC/0517/2021"/>
        <filter val="PC/0033/2019"/>
        <filter val="B3/230/08/2019"/>
        <filter val="PC/0678/2020"/>
        <filter val="PC/1120/2020"/>
        <filter val="PC/0706/2020"/>
        <filter val="PC/0259/2021"/>
        <filter val="PC/1120/2025"/>
        <filter val="PC/1025/2020"/>
        <filter val="PC/0530/2021"/>
        <filter val="PC/0354/2021"/>
        <filter val="PC/1372/2025"/>
        <filter val="B11/212/25/2019"/>
        <filter val="PC/0007/2021"/>
        <filter val="PC/0272/2021"/>
        <filter val="PC/1095/2025"/>
        <filter val="PC/1211/2025"/>
        <filter val="PC/0618/2021"/>
        <filter val="B.3/230/47/2019"/>
        <filter val="B3/230/01/2019"/>
        <filter val="PC/1294/2025"/>
        <filter val="PC/1163/2025"/>
        <filter val="PC/0804/2020"/>
        <filter val="PC/0334/2019"/>
        <filter val="PC/0651/2021"/>
        <filter val="PC/1133/2025"/>
        <filter val="PC/0583/2021"/>
        <filter val="PC/0236/2021"/>
        <filter val="PC/0282/2021"/>
        <filter val="PC/0952/2020"/>
        <filter val="PC/1002/2020"/>
        <filter val="PC/1316/2025"/>
        <filter val="PC/02852021"/>
        <filter val="PC/1477/2025"/>
        <filter val="PC/0206/2021"/>
        <filter val="PC/1248/2025"/>
        <filter val="PC/1231/2025"/>
        <filter val="PC/0681/2020"/>
        <filter val="PC/1434/2025"/>
        <filter val="PC/1379/2025"/>
        <filter val="PC/1218/2025"/>
        <filter val="PC/1261/2025"/>
        <filter val="PC/0605/2019"/>
        <filter val="PC/0520/2021"/>
        <filter val="PC/1075/2025"/>
        <filter val="PC/1100/2025"/>
        <filter val="PC/0668/2020"/>
        <filter val="PC/0495/2021"/>
        <filter val="PC/0279/2021"/>
        <filter val="PC/0118/2021"/>
        <filter val="PC/0929/2020"/>
        <filter val="PC/0985/2020"/>
        <filter val="PC/0799/2020"/>
        <filter val="PC/1143/2025"/>
        <filter val="PC/1251/2025"/>
        <filter val="PC/0422/2019"/>
        <filter val="PC/0510/2021"/>
        <filter val="PC/0063/2021"/>
        <filter val="PC/0500/2021"/>
        <filter val="PC/1414/2025"/>
        <filter val="PC/1487/2025"/>
        <filter val="PC/0671/2019"/>
        <filter val="PC/0648/2020"/>
        <filter val="PC/0919/2020"/>
        <filter val="PC/1065/2025"/>
        <filter val="PC/0475/2021"/>
        <filter val="PC/1228/2025"/>
        <filter val="PC/0922/2020"/>
        <filter val="PC/1326/2025"/>
        <filter val="PC/0573/2021"/>
        <filter val="PC/0995/2020"/>
        <filter val="PC/1153/2025"/>
        <filter val="PC/0387/2021"/>
        <filter val="PC/0058/2021"/>
        <filter val="PC/1255/2025"/>
        <filter val="PC/0712/2020"/>
        <filter val="PC/1238/2025"/>
        <filter val="PC/0526/2019"/>
        <filter val="B3/230/24/2019"/>
        <filter val="PC/0988/2020"/>
        <filter val="PC/1441/2025"/>
        <filter val="PC/1086/2025"/>
        <filter val="PC/0391/2021"/>
        <filter val="PC/0188/2021"/>
        <filter val="PC/0673/2019"/>
        <filter val="PC/0689/2020"/>
        <filter val="PC/1199/2025"/>
        <filter val="PC/0244/2021"/>
        <filter val="PC/1108/2025"/>
        <filter val="PC/1069/2025"/>
        <filter val="PC/1424/2025"/>
        <filter val="PC/0131/2021"/>
        <filter val="PC/0808/2020"/>
        <filter val="PC/0211/2021"/>
        <filter val="PC/0786/2020"/>
        <filter val="PC/0559/2021"/>
        <filter val="PC/0430/2021"/>
        <filter val="PC/1125/2025"/>
        <filter val="PC/0374/2019"/>
        <filter val="PC/0931/2020"/>
        <filter val="PC/1311/2025"/>
        <filter val="PC/0892/2020"/>
        <filter val="PC/0227/2019"/>
        <filter val="PC/0801/2020"/>
        <filter val="PC/1327/2025"/>
        <filter val="PC/0640/2020"/>
        <filter val="PC/1158/2025"/>
        <filter val="PC/0294/2021"/>
        <filter val="PC/1183/2025"/>
        <filter val="PC/0341/2021"/>
        <filter val="PC/1504/2025"/>
        <filter val="PC/0480/2021"/>
        <filter val="PC/1457/2025"/>
        <filter val="PC/0454/2021"/>
        <filter val="PC/0502/2021"/>
        <filter val="PC/1296/2025"/>
        <filter val="PC/0955/2023"/>
        <filter val="PC/0593/2021"/>
        <filter val="PC/0769/2020"/>
        <filter val="PC/1205/2025"/>
        <filter val="PC/0955/2020"/>
        <filter val="PC/0300/2021"/>
        <filter val="PC/0656/2020"/>
        <filter val="PC/1070/2025"/>
        <filter val="PC/0181/2021"/>
        <filter val="PC/1003/2020"/>
        <filter val="PC/0728/2020"/>
        <filter val="PC/1142/2025"/>
        <filter val="PC/0914/2020"/>
        <filter val="PC/0883/2020"/>
        <filter val="PC/0429/2021"/>
        <filter val="PC/0001/2021"/>
        <filter val="PC/0770/2020"/>
        <filter val="PC/0357/2021"/>
        <filter val="PC/1318/2025"/>
        <filter val="PC/1214/2025"/>
        <filter val="PC/0584/2021"/>
        <filter val="PC/0316/2019"/>
        <filter val="PC/0704/2020"/>
        <filter val="PC/1263/2025"/>
        <filter val="PC/1078/2025"/>
        <filter val="PC/0405/2021"/>
        <filter val="PC/1416/2025"/>
        <filter val="PC/0905/2020"/>
        <filter val="PC/1377/2025"/>
        <filter val="PC/1077/2025"/>
        <filter val="PC/1303/2025"/>
        <filter val="B.3/230/15/2019"/>
        <filter val="PC/0203/2021"/>
        <filter val="PC/0270/2021"/>
        <filter val="PC/0698/2020"/>
        <filter val="PC/1450/2025"/>
        <filter val="PC/1376/2025"/>
        <filter val="PC/0017/2021"/>
        <filter val="PC/0817/2020"/>
        <filter val="PC/0307/2025"/>
        <filter val="PC/0307/2021"/>
        <filter val="PC/0350/2021"/>
        <filter val="PC/0884/2020"/>
        <filter val="PC/0479/2021"/>
        <filter val="PC/0607/2020"/>
        <filter val="PC/1166/2025"/>
        <filter val="PC/0762/2020"/>
        <filter val="PC/0399/2021"/>
        <filter val="PC/1505/2025"/>
        <filter val="PC/1004/2025"/>
        <filter val="PC/0567/2019"/>
        <filter val="PC/1319/2025"/>
        <filter val="PC/0771/2020"/>
        <filter val="PC/1206/2025"/>
        <filter val="PC/0664/2020"/>
        <filter val="PC/0173/2021"/>
        <filter val="PC/0478/2021"/>
        <filter val="PC/0906/2020"/>
        <filter val="PC/0472/2021"/>
        <filter val="PC/1175/2025"/>
        <filter val="PC/0261/2021"/>
        <filter val="503"/>
        <filter val="PC/0576/2021"/>
        <filter val="PC/0179/2020"/>
        <filter val="PC/0050/2021"/>
        <filter val="PC/1310/2025"/>
        <filter val="PC/0260/2021"/>
        <filter val="PC/0727/2020"/>
        <filter val="PC/0243/2021"/>
        <filter val="PC/0130/2021"/>
        <filter val="PC/1239/2025"/>
        <filter val="PC/0074/2021"/>
        <filter val="PC/1071/2025"/>
        <filter val="PC/0358/2021"/>
        <filter val="B.3/230/41/2019"/>
        <filter val="PC/0913/2020"/>
        <filter val="PC/1109/2025"/>
        <filter val="PC/0356/2021"/>
        <filter val="PC/1370/2025"/>
        <filter val="PC/0428/2021"/>
        <filter val="PC/0956/2020"/>
        <filter val="PC/1184/2025"/>
        <filter val="PC/1157/2025"/>
        <filter val="PC/1423/2025"/>
        <filter val="PC/0614/2021"/>
        <filter val="PC/0876/2020"/>
        <filter val="PC/0315/2021"/>
        <filter val="PC/0057/2021"/>
        <filter val="521"/>
        <filter val="PC/0800/2020"/>
        <filter val="PC/0729/2020"/>
        <filter val="PC/0129/2021"/>
        <filter val="PC/1237/2025"/>
        <filter val="PC/0542/2021"/>
        <filter val="PC/1456/2025"/>
        <filter val="PC/0024/2019"/>
        <filter val="PC/1466/2025"/>
        <filter val="PC/0893/2020"/>
        <filter val="PC/0599/2021"/>
        <filter val="PC/0594/2021"/>
        <filter val="PC/1204/2025"/>
        <filter val="PC/1297/2025"/>
        <filter val="PC/0278/2021"/>
        <filter val="PC/0810/2020"/>
        <filter val="530"/>
        <filter val="PC/0486/2021"/>
        <filter val="532"/>
        <filter val="PC/0622/2019"/>
        <filter val="PC/0508/2021"/>
        <filter val="535"/>
        <filter val="PC/0202/2021"/>
        <filter val="PC/1174/2025"/>
        <filter val="PC/1290/2025"/>
        <filter val="PC/1013/2020"/>
        <filter val="PC/0763/2020"/>
        <filter val="PC/0650/2020"/>
        <filter val="PC/0511/2021"/>
        <filter val="PC/1126/2025"/>
        <filter val="PC/1473/2025"/>
        <filter val="PC/0672/2020"/>
        <filter val="300"/>
        <filter val="PC/1230/2025"/>
        <filter val="302"/>
        <filter val="303"/>
        <filter val="PC/1167/2025"/>
        <filter val="305"/>
        <filter val="548"/>
        <filter val="308"/>
        <filter val="309"/>
        <filter val="PC/0187/2021"/>
        <filter val="PC/0649/2020"/>
        <filter val="PC/0421/2021"/>
        <filter val="PC/1302/2025"/>
        <filter val="PC/1247/2025"/>
        <filter val="PC/0235/2021"/>
        <filter val="PC/1415/2025"/>
        <filter val="PC/0697/2020"/>
        <filter val="551"/>
        <filter val="556"/>
        <filter val="B11/212/18/2019"/>
        <filter val="557"/>
        <filter val="PC/1232/2025"/>
        <filter val="558"/>
        <filter val="317"/>
        <filter val="318"/>
        <filter val="PC/0680/2019"/>
        <filter val="319"/>
        <filter val="PC/1116/2020"/>
        <filter val="PC/0403/2019"/>
        <filter val="PC/1116/2025"/>
        <filter val="PC/1317/2025"/>
        <filter val="PC/1192/2025"/>
        <filter val="PC/0217/2021"/>
        <filter val="321"/>
        <filter val="564"/>
        <filter val="322"/>
        <filter val="567"/>
        <filter val="569"/>
        <filter val="PC/0898/2020"/>
        <filter val="PC/1229/2025"/>
        <filter val="PC/0323/2021"/>
        <filter val="PC/1448/2025"/>
        <filter val="PC/0534/2021"/>
        <filter val="PC/1491/2025"/>
        <filter val="PC/0632/2020"/>
        <filter val="PC/0569/2021"/>
        <filter val="PC/0494/2021"/>
        <filter val="PC/0446/2021"/>
        <filter val="PC/0592/2019"/>
        <filter val="PC/1149/2025"/>
        <filter val="PC/0180/2021"/>
        <filter val="PC/0938/2020"/>
        <filter val="572"/>
        <filter val="PC/1182/2025"/>
        <filter val="PC/0333/2021"/>
        <filter val="PC/0755/2020"/>
        <filter val="331"/>
        <filter val="575"/>
        <filter val="577"/>
        <filter val="PC/0293/2021"/>
        <filter val="578"/>
        <filter val="PC/1458/2025"/>
        <filter val="579"/>
        <filter val="PC/0702/2020"/>
        <filter val="PC/0210/2021"/>
        <filter val="PC/1021/2020"/>
        <filter val="PC/0034/2021"/>
        <filter val="PC/0381/2020"/>
        <filter val="PC/0245/2021"/>
        <filter val="PC/1295/2025"/>
        <filter val="PC/0391/2019"/>
        <filter val="PC/0730/2020"/>
        <filter val="B3/230/331/2019"/>
        <filter val="PC/1320/2025"/>
        <filter val="580"/>
        <filter val="342"/>
        <filter val="102"/>
        <filter val="345"/>
        <filter val="587"/>
        <filter val="346"/>
        <filter val="588"/>
        <filter val="PC/1222/2025"/>
        <filter val="106"/>
        <filter val="PC/1011/2020"/>
        <filter val="PC/0195/2021"/>
        <filter val="PC/1159/2025"/>
        <filter val="PC/0642/2020"/>
        <filter val="109"/>
        <filter val="PC/0642/2021"/>
        <filter val="PC/1010/2020"/>
        <filter val="PC/0591/2021"/>
        <filter val="PC/1371/2025"/>
        <filter val="PC/1207/2025"/>
        <filter val="591"/>
        <filter val="350"/>
        <filter val="PC/0230/2020"/>
        <filter val="592"/>
        <filter val="593"/>
        <filter val="PC/0490/2021"/>
        <filter val="110"/>
        <filter val="594"/>
        <filter val="111"/>
        <filter val="595"/>
        <filter val="PC/1139/2025"/>
        <filter val="PC/0613/2020"/>
        <filter val="114"/>
        <filter val="356"/>
        <filter val="115"/>
        <filter val="358"/>
        <filter val="118"/>
        <filter val="PC/0889/2020"/>
        <filter val="PC/0258/2021"/>
        <filter val="PC/0613/2021"/>
        <filter val="PC/1185/2025"/>
        <filter val="PC/0287/2021"/>
        <filter val="PC/0692/2020"/>
        <filter val="14"/>
        <filter val="PC/1111/2020"/>
        <filter val="18"/>
        <filter val="PC/1168/2025"/>
        <filter val="PC/1325/2025"/>
        <filter val="PC/0630/2020"/>
        <filter val="PC/1067/2025"/>
        <filter val="B3/230/55/2019"/>
        <filter val="PC/1472/2025"/>
        <filter val="PC/0731/2020"/>
        <filter val="123"/>
        <filter val="PC/0372/2021"/>
        <filter val="PC/0388/2019"/>
        <filter val="PC/0512/2021"/>
        <filter val="368"/>
        <filter val="PC/1426/2025"/>
        <filter val="PC/1253/2025"/>
        <filter val="PC/0574/2019"/>
        <filter val="PC/0907/2020"/>
        <filter val="PC/1111/2025"/>
        <filter val="20"/>
        <filter val="23"/>
        <filter val="PC/1321/2025"/>
        <filter val="25"/>
        <filter val="PC/0477/2021"/>
        <filter val="371"/>
        <filter val="PC/1236/2025"/>
        <filter val="132"/>
        <filter val="133"/>
        <filter val="135"/>
        <filter val="PC/0208/2021"/>
        <filter val="PC/0322/2019"/>
        <filter val="137"/>
        <filter val="PC/0924/2020"/>
        <filter val="PC/0747/2020"/>
        <filter val="PC/1135/2025"/>
        <filter val="PC/1488/2025"/>
        <filter val="PC/0637/2019"/>
        <filter val="PC/0039/2021"/>
        <filter val="30"/>
        <filter val="PC/1076/2025"/>
        <filter val="PC/0933/2020"/>
        <filter val="PC/1409/2025"/>
        <filter val="PC/1476/2025"/>
        <filter val="B3/230/59/2019"/>
        <filter val="PC/1262/2025"/>
        <filter val="PC/0309/2021"/>
        <filter val="381"/>
        <filter val="141"/>
        <filter val="385"/>
        <filter val="PC/1161/2025"/>
        <filter val="PC/1164/2025"/>
        <filter val="PC/0562/2021"/>
        <filter val="387"/>
        <filter val="PC/1378/2025"/>
        <filter val="146"/>
        <filter val="PC/0420/2021"/>
        <filter val="148"/>
        <filter val="PC/0823/2020"/>
        <filter val="40"/>
        <filter val="41"/>
        <filter val="43"/>
        <filter val="PC/1080/2025"/>
        <filter val="PC/1194/2025"/>
        <filter val="47"/>
        <filter val="PC/0679/2019"/>
        <filter val="PC/0751/2020"/>
        <filter val="391"/>
        <filter val="PC/0335/2021"/>
        <filter val="393"/>
        <filter val="152"/>
        <filter val="PC/0182/2021"/>
        <filter val="396"/>
        <filter val="397"/>
        <filter val="PC/0519/2021"/>
        <filter val="PC/0650/2019"/>
        <filter val="PC/0497/2021"/>
        <filter val="PC/0705/2020"/>
        <filter val="PC/1216/2025"/>
        <filter val="54"/>
        <filter val="PC/1132/2025"/>
        <filter val="56"/>
        <filter val="PC/0120/2021"/>
        <filter val="PC/1328/2025"/>
        <filter val="PC/1220/2025"/>
        <filter val="PC/1165/2025"/>
        <filter val="PC/0617/2021"/>
        <filter val="PC/0251/2021"/>
        <filter val="PC/0767/2020"/>
        <filter val="PC/0734/2020"/>
        <filter val="PC/0199/2021"/>
        <filter val="169"/>
        <filter val="PC/0107/2021"/>
        <filter val="PC/0803/2020"/>
        <filter val="PC/0920/2020"/>
        <filter val="PC/1097/2025"/>
        <filter val="PC/0954/2020"/>
        <filter val="68"/>
        <filter val="PC/0885/2020"/>
        <filter val="PC/0532/2021"/>
        <filter val="PC/0424/2021"/>
        <filter val="PC/0346/2021"/>
        <filter val="PC/1304/2025"/>
        <filter val="171"/>
        <filter val="PC/0238/2021"/>
        <filter val="PC/1289/2025"/>
        <filter val="177"/>
        <filter val="PC/0541/2021"/>
        <filter val="179"/>
        <filter val="70"/>
        <filter val="PC/0802/2020"/>
        <filter val="PC/1096/2025"/>
        <filter val="PC/0002/2021"/>
        <filter val="PC/0302/2021"/>
        <filter val="PC/0610/2021"/>
        <filter val="PC/1131/2025"/>
        <filter val="78"/>
        <filter val="79"/>
        <filter val="PC/0100/2021"/>
        <filter val="PC/0453/2021"/>
        <filter val="PC/0528/2021"/>
        <filter val="PC/1131/2020"/>
        <filter val="PC/1087/2025"/>
        <filter val="PC/1014/2020"/>
        <filter val="183"/>
        <filter val="184"/>
        <filter val="PC/0714/2020"/>
        <filter val="PC/0267/2021"/>
        <filter val="PC/0699/2019"/>
        <filter val="PC/1118/2020"/>
        <filter val="PC/0204/2021"/>
        <filter val="PC/1380/2025"/>
        <filter val="PC/0781/2020"/>
        <filter val="PC/0768/2020"/>
        <filter val="PC/1200/2025"/>
        <filter val="84"/>
        <filter val="PC/0626/2020"/>
        <filter val="86"/>
        <filter val="PC/1324/2025"/>
        <filter val="PC/1155/2025"/>
        <filter val="PC/0091/2020"/>
        <filter val="PC/0812/2020"/>
        <filter val="PC/0990/2020"/>
        <filter val="B3/230/99/2019"/>
        <filter val="PC/1138/2025"/>
        <filter val="190"/>
        <filter val="192"/>
        <filter val="PC/1141/2025"/>
        <filter val="193"/>
        <filter val="195"/>
        <filter val="198"/>
        <filter val="PC/0525/2019"/>
        <filter val="PC/0809/2020"/>
        <filter val="PC/0744/2020"/>
        <filter val="PC/0028/2021"/>
        <filter val="91"/>
        <filter val="PC/0189/2021"/>
        <filter val="PC/0944/2020"/>
        <filter val="PC/0274/2021"/>
        <filter val="94"/>
        <filter val="PC/0558/2021"/>
        <filter val="96"/>
        <filter val="PC/0342/2021"/>
        <filter val="PC/0400/2021"/>
        <filter val="B11/212/27/2019"/>
        <filter val="PC/0761/2020"/>
        <filter val="PC/1442/2025"/>
        <filter val="PC/1223/2025"/>
        <filter val="PC/0414/2021"/>
        <filter val="PC/0575/2021"/>
        <filter val="PC/0643/2019"/>
        <filter val="MS/0570/2021"/>
        <filter val="B3/230/66/2019"/>
        <filter val="PC/1198/2025"/>
        <filter val="PC/1256/2025"/>
        <filter val="PC/0515/2021"/>
        <filter val="PC/0055/2021"/>
        <filter val="PC/0332/2021"/>
        <filter val="PC/0940/2020"/>
        <filter val="B3/230/49/2019"/>
        <filter val="PC/1083/2025"/>
        <filter val="PC/0038/2020"/>
        <filter val="PC/0676/2019"/>
        <filter val="PC/1489/2025"/>
        <filter val="PC/0414/2019"/>
        <filter val="PC/0385/2021"/>
        <filter val="PC/0653/2019"/>
        <filter val="PC/1151/2025"/>
        <filter val="PC/0571/2021"/>
        <filter val="PC/1073/2020"/>
        <filter val="PC/0045/2021"/>
        <filter val="PC/1492/2025"/>
        <filter val="PC/0917/2020"/>
        <filter val="PC/1331/2025"/>
        <filter val="B3/230/56/2019"/>
        <filter val="PC/0306/2021"/>
        <filter val="PC/1073/2025"/>
        <filter val="PC/0930/2020"/>
        <filter val="PC/0987/2020"/>
        <filter val="PC/0568/2021"/>
        <filter val="PC/1233/2025"/>
        <filter val="PC/0407/2021"/>
        <filter val="PC/1145/2025"/>
        <filter val="PC/1148/2025"/>
        <filter val="PC/0218/2021"/>
        <filter val="PC/0882/2020"/>
        <filter val="PC/0221/2021"/>
        <filter val="PC/0696/2020"/>
        <filter val="PC/0349/2021"/>
        <filter val="PC/0319/2021"/>
        <filter val="PC/0035/2021"/>
        <filter val="PC/1301/2025"/>
        <filter val="PC/1246/2025"/>
        <filter val="PC/1462/2025"/>
        <filter val="PC/0382/2021"/>
        <filter val="PC/0666/2020"/>
        <filter val="B.11/212/33/2018"/>
        <filter val="PC/0721/2020"/>
        <filter val="PC/1432/2025"/>
        <filter val="PC/1093/2025"/>
        <filter val="PC/0284/2021"/>
        <filter val="PC/0764/2020"/>
        <filter val="PC/0417/2021"/>
        <filter val="PC/0633/2020"/>
        <filter val="PC/0603/2021"/>
        <filter val="PC/1020/2020"/>
        <filter val="PC/0806/2020"/>
        <filter val="PC/1181/2025"/>
        <filter val="PC/0578/2025"/>
        <filter val="PC/1429/2025"/>
        <filter val="PC/0254/2021"/>
        <filter val="PC/0937/2020"/>
        <filter val="PC/0879/2020"/>
        <filter val="PC/0879/2021"/>
        <filter val="PC/1027/2020"/>
        <filter val="PC/1213/2025"/>
        <filter val="PC/0470/2019"/>
        <filter val="PC/1191/2025"/>
        <filter val="PC/1027/2021"/>
        <filter val="PC/0186/2021"/>
        <filter val="PC/1449/2025"/>
        <filter val="PC/0201/2021"/>
        <filter val="PC/1452/2025"/>
        <filter val="PC/0025/2021"/>
        <filter val="PC/0447/2021"/>
        <filter val="PC/1188/2025"/>
        <filter val="PC/0440/2021"/>
        <filter val="PC/0708/2020"/>
        <filter val="PC/1105/2025"/>
        <filter val="PC/1374/2025"/>
        <filter val="PC/0339/2021"/>
        <filter val="PC/0598/2021"/>
        <filter val="PC/0103/2021"/>
        <filter val="PC/0362/2021"/>
        <filter val="PC/1439/2025"/>
        <filter val="PC/1115/2025"/>
        <filter val="B3/230/16/2019"/>
        <filter val="PC/0623/2020"/>
        <filter val="PC/1178/2025"/>
        <filter val="PC/0784/2020"/>
        <filter val="PC/0015/2021"/>
        <filter val="PC/0450/2021"/>
        <filter val="PC/1203/2025"/>
      </filters>
    </filterColumn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6.38"/>
    <col customWidth="1" min="3" max="3" width="20.13"/>
    <col customWidth="1" min="4" max="4" width="23.5"/>
    <col customWidth="1" min="5" max="5" width="27.13"/>
    <col customWidth="1" min="6" max="6" width="19.63"/>
    <col customWidth="1" min="7" max="7" width="6.25"/>
    <col customWidth="1" min="11" max="11" width="32.63"/>
    <col customWidth="1" min="12" max="12" width="17.38"/>
  </cols>
  <sheetData>
    <row r="1" ht="17.25" customHeight="1">
      <c r="A1" s="157"/>
      <c r="B1" s="157" t="s">
        <v>3549</v>
      </c>
    </row>
    <row r="2">
      <c r="A2" s="216"/>
      <c r="B2" s="216"/>
      <c r="C2" s="216"/>
      <c r="D2" s="216"/>
      <c r="E2" s="216"/>
      <c r="F2" s="216"/>
      <c r="G2" s="173"/>
      <c r="H2" s="173"/>
      <c r="I2" s="173"/>
      <c r="J2" s="173"/>
    </row>
    <row r="3">
      <c r="A3" s="217" t="s">
        <v>6</v>
      </c>
      <c r="B3" s="217" t="s">
        <v>3571</v>
      </c>
      <c r="C3" s="217" t="s">
        <v>3572</v>
      </c>
      <c r="D3" s="217" t="s">
        <v>3573</v>
      </c>
      <c r="E3" s="217" t="s">
        <v>3575</v>
      </c>
      <c r="F3" s="217" t="s">
        <v>26</v>
      </c>
      <c r="G3" s="173"/>
      <c r="H3" s="157" t="s">
        <v>3580</v>
      </c>
      <c r="I3" s="157" t="s">
        <v>3581</v>
      </c>
      <c r="J3" s="157" t="s">
        <v>14</v>
      </c>
    </row>
    <row r="4">
      <c r="A4" s="218">
        <v>1.0</v>
      </c>
      <c r="B4" s="218" t="s">
        <v>203</v>
      </c>
      <c r="C4" s="219" t="str">
        <f t="shared" ref="C4:C873" si="1">H4&amp;"/"&amp;I4&amp;"/"&amp;J4</f>
        <v>MN/0181/2025</v>
      </c>
      <c r="D4" s="218" t="b">
        <v>1</v>
      </c>
      <c r="E4" s="219" t="b">
        <v>0</v>
      </c>
      <c r="F4" s="219"/>
      <c r="G4" s="173"/>
      <c r="H4" s="157" t="s">
        <v>3618</v>
      </c>
      <c r="I4" s="220" t="s">
        <v>3621</v>
      </c>
      <c r="J4" s="157">
        <v>2025.0</v>
      </c>
    </row>
    <row r="5">
      <c r="A5" s="218">
        <f t="shared" ref="A5:A873" si="2">A4+1</f>
        <v>2</v>
      </c>
      <c r="B5" s="218" t="s">
        <v>203</v>
      </c>
      <c r="C5" s="219" t="str">
        <f t="shared" si="1"/>
        <v>MN/0182/2025</v>
      </c>
      <c r="D5" s="218" t="b">
        <v>1</v>
      </c>
      <c r="E5" s="219" t="b">
        <v>0</v>
      </c>
      <c r="F5" s="219"/>
      <c r="G5" s="173"/>
      <c r="H5" s="157" t="s">
        <v>3618</v>
      </c>
      <c r="I5" s="157" t="s">
        <v>3636</v>
      </c>
      <c r="J5" s="157">
        <v>2025.0</v>
      </c>
    </row>
    <row r="6">
      <c r="A6" s="218">
        <f t="shared" si="2"/>
        <v>3</v>
      </c>
      <c r="B6" s="218" t="s">
        <v>203</v>
      </c>
      <c r="C6" s="219" t="str">
        <f t="shared" si="1"/>
        <v>MN/0183/2025</v>
      </c>
      <c r="D6" s="218" t="b">
        <v>1</v>
      </c>
      <c r="E6" s="219" t="b">
        <v>0</v>
      </c>
      <c r="F6" s="219"/>
      <c r="G6" s="173"/>
      <c r="H6" s="157" t="s">
        <v>3618</v>
      </c>
      <c r="I6" s="157" t="s">
        <v>3645</v>
      </c>
      <c r="J6" s="157">
        <v>2025.0</v>
      </c>
    </row>
    <row r="7">
      <c r="A7" s="218">
        <f t="shared" si="2"/>
        <v>4</v>
      </c>
      <c r="B7" s="218" t="s">
        <v>203</v>
      </c>
      <c r="C7" s="219" t="str">
        <f t="shared" si="1"/>
        <v>MN/0184/2025</v>
      </c>
      <c r="D7" s="218" t="b">
        <v>1</v>
      </c>
      <c r="E7" s="219" t="b">
        <v>0</v>
      </c>
      <c r="F7" s="219"/>
      <c r="G7" s="173"/>
      <c r="H7" s="157" t="s">
        <v>3618</v>
      </c>
      <c r="I7" s="157" t="s">
        <v>3655</v>
      </c>
      <c r="J7" s="157">
        <v>2025.0</v>
      </c>
    </row>
    <row r="8">
      <c r="A8" s="218">
        <f t="shared" si="2"/>
        <v>5</v>
      </c>
      <c r="B8" s="218" t="s">
        <v>203</v>
      </c>
      <c r="C8" s="219" t="str">
        <f t="shared" si="1"/>
        <v>MN/0185/2025</v>
      </c>
      <c r="D8" s="218" t="b">
        <v>1</v>
      </c>
      <c r="E8" s="219" t="b">
        <v>0</v>
      </c>
      <c r="F8" s="219"/>
      <c r="G8" s="173"/>
      <c r="H8" s="157" t="s">
        <v>3618</v>
      </c>
      <c r="I8" s="157" t="s">
        <v>3664</v>
      </c>
      <c r="J8" s="157">
        <v>2025.0</v>
      </c>
    </row>
    <row r="9">
      <c r="A9" s="218">
        <f t="shared" si="2"/>
        <v>6</v>
      </c>
      <c r="B9" s="218" t="s">
        <v>203</v>
      </c>
      <c r="C9" s="219" t="str">
        <f t="shared" si="1"/>
        <v>MN/0186/2025</v>
      </c>
      <c r="D9" s="218" t="b">
        <v>1</v>
      </c>
      <c r="E9" s="219" t="b">
        <v>0</v>
      </c>
      <c r="F9" s="219"/>
      <c r="G9" s="173"/>
      <c r="H9" s="157" t="s">
        <v>3618</v>
      </c>
      <c r="I9" s="157" t="s">
        <v>3677</v>
      </c>
      <c r="J9" s="157">
        <v>2025.0</v>
      </c>
    </row>
    <row r="10">
      <c r="A10" s="218">
        <f t="shared" si="2"/>
        <v>7</v>
      </c>
      <c r="B10" s="218" t="s">
        <v>203</v>
      </c>
      <c r="C10" s="219" t="str">
        <f t="shared" si="1"/>
        <v>MN/0187/2025</v>
      </c>
      <c r="D10" s="218" t="b">
        <v>1</v>
      </c>
      <c r="E10" s="219" t="b">
        <v>0</v>
      </c>
      <c r="F10" s="219"/>
      <c r="G10" s="173"/>
      <c r="H10" s="157" t="s">
        <v>3618</v>
      </c>
      <c r="I10" s="157" t="s">
        <v>3691</v>
      </c>
      <c r="J10" s="157">
        <v>2025.0</v>
      </c>
    </row>
    <row r="11">
      <c r="A11" s="218">
        <f t="shared" si="2"/>
        <v>8</v>
      </c>
      <c r="B11" s="218" t="s">
        <v>203</v>
      </c>
      <c r="C11" s="219" t="str">
        <f t="shared" si="1"/>
        <v>MN/0188/2025</v>
      </c>
      <c r="D11" s="218" t="b">
        <v>1</v>
      </c>
      <c r="E11" s="218" t="b">
        <v>0</v>
      </c>
      <c r="F11" s="219"/>
      <c r="G11" s="173"/>
      <c r="H11" s="157" t="s">
        <v>3618</v>
      </c>
      <c r="I11" s="157" t="s">
        <v>3702</v>
      </c>
      <c r="J11" s="157">
        <v>2025.0</v>
      </c>
    </row>
    <row r="12">
      <c r="A12" s="218">
        <f t="shared" si="2"/>
        <v>9</v>
      </c>
      <c r="B12" s="218" t="s">
        <v>203</v>
      </c>
      <c r="C12" s="219" t="str">
        <f t="shared" si="1"/>
        <v>MN/0189/2025</v>
      </c>
      <c r="D12" s="218" t="b">
        <v>1</v>
      </c>
      <c r="E12" s="219" t="b">
        <v>0</v>
      </c>
      <c r="F12" s="219"/>
      <c r="G12" s="173"/>
      <c r="H12" s="157" t="s">
        <v>3618</v>
      </c>
      <c r="I12" s="157" t="s">
        <v>3716</v>
      </c>
      <c r="J12" s="157">
        <v>2025.0</v>
      </c>
    </row>
    <row r="13">
      <c r="A13" s="218">
        <f t="shared" si="2"/>
        <v>10</v>
      </c>
      <c r="B13" s="218" t="s">
        <v>203</v>
      </c>
      <c r="C13" s="219" t="str">
        <f t="shared" si="1"/>
        <v>MN/0190/2025</v>
      </c>
      <c r="D13" s="218" t="b">
        <v>1</v>
      </c>
      <c r="E13" s="219" t="b">
        <v>0</v>
      </c>
      <c r="F13" s="219"/>
      <c r="G13" s="173"/>
      <c r="H13" s="157" t="s">
        <v>3618</v>
      </c>
      <c r="I13" s="157" t="s">
        <v>3722</v>
      </c>
      <c r="J13" s="157">
        <v>2025.0</v>
      </c>
    </row>
    <row r="14">
      <c r="A14" s="218">
        <f t="shared" si="2"/>
        <v>11</v>
      </c>
      <c r="B14" s="218" t="s">
        <v>203</v>
      </c>
      <c r="C14" s="219" t="str">
        <f t="shared" si="1"/>
        <v>MN/0191/2025</v>
      </c>
      <c r="D14" s="218" t="b">
        <v>1</v>
      </c>
      <c r="E14" s="219" t="b">
        <v>0</v>
      </c>
      <c r="F14" s="219"/>
      <c r="G14" s="173"/>
      <c r="H14" s="157" t="s">
        <v>3618</v>
      </c>
      <c r="I14" s="157" t="s">
        <v>3734</v>
      </c>
      <c r="J14" s="157">
        <v>2025.0</v>
      </c>
    </row>
    <row r="15">
      <c r="A15" s="218">
        <f t="shared" si="2"/>
        <v>12</v>
      </c>
      <c r="B15" s="218" t="s">
        <v>203</v>
      </c>
      <c r="C15" s="219" t="str">
        <f t="shared" si="1"/>
        <v>MN/0192/2025</v>
      </c>
      <c r="D15" s="218" t="b">
        <v>1</v>
      </c>
      <c r="E15" s="219" t="b">
        <v>0</v>
      </c>
      <c r="F15" s="219"/>
      <c r="G15" s="173"/>
      <c r="H15" s="157" t="s">
        <v>3618</v>
      </c>
      <c r="I15" s="157" t="s">
        <v>3749</v>
      </c>
      <c r="J15" s="157">
        <v>2025.0</v>
      </c>
    </row>
    <row r="16">
      <c r="A16" s="218">
        <f t="shared" si="2"/>
        <v>13</v>
      </c>
      <c r="B16" s="218" t="s">
        <v>203</v>
      </c>
      <c r="C16" s="219" t="str">
        <f t="shared" si="1"/>
        <v>MN/0193/2025</v>
      </c>
      <c r="D16" s="218" t="b">
        <v>1</v>
      </c>
      <c r="E16" s="219" t="b">
        <v>0</v>
      </c>
      <c r="F16" s="219"/>
      <c r="G16" s="173"/>
      <c r="H16" s="157" t="s">
        <v>3618</v>
      </c>
      <c r="I16" s="157" t="s">
        <v>3758</v>
      </c>
      <c r="J16" s="157">
        <v>2025.0</v>
      </c>
    </row>
    <row r="17">
      <c r="A17" s="218">
        <f t="shared" si="2"/>
        <v>14</v>
      </c>
      <c r="B17" s="218" t="s">
        <v>203</v>
      </c>
      <c r="C17" s="219" t="str">
        <f t="shared" si="1"/>
        <v>MN/0194/2025</v>
      </c>
      <c r="D17" s="218" t="b">
        <v>1</v>
      </c>
      <c r="E17" s="219" t="b">
        <v>0</v>
      </c>
      <c r="F17" s="219"/>
      <c r="G17" s="173"/>
      <c r="H17" s="157" t="s">
        <v>3618</v>
      </c>
      <c r="I17" s="157" t="s">
        <v>3764</v>
      </c>
      <c r="J17" s="157">
        <v>2025.0</v>
      </c>
    </row>
    <row r="18">
      <c r="A18" s="218">
        <f t="shared" si="2"/>
        <v>15</v>
      </c>
      <c r="B18" s="218" t="s">
        <v>203</v>
      </c>
      <c r="C18" s="219" t="str">
        <f t="shared" si="1"/>
        <v>MN/0195/2025</v>
      </c>
      <c r="D18" s="218" t="b">
        <v>1</v>
      </c>
      <c r="E18" s="219" t="b">
        <v>0</v>
      </c>
      <c r="F18" s="219"/>
      <c r="G18" s="173"/>
      <c r="H18" s="157" t="s">
        <v>3618</v>
      </c>
      <c r="I18" s="157" t="s">
        <v>3777</v>
      </c>
      <c r="J18" s="157">
        <v>2025.0</v>
      </c>
    </row>
    <row r="19">
      <c r="A19" s="218">
        <f t="shared" si="2"/>
        <v>16</v>
      </c>
      <c r="B19" s="218" t="s">
        <v>203</v>
      </c>
      <c r="C19" s="219" t="str">
        <f t="shared" si="1"/>
        <v>MN/0196/2025</v>
      </c>
      <c r="D19" s="218" t="b">
        <v>1</v>
      </c>
      <c r="E19" s="219" t="b">
        <v>0</v>
      </c>
      <c r="F19" s="219"/>
      <c r="G19" s="173"/>
      <c r="H19" s="157" t="s">
        <v>3618</v>
      </c>
      <c r="I19" s="157" t="s">
        <v>3789</v>
      </c>
      <c r="J19" s="157">
        <v>2025.0</v>
      </c>
    </row>
    <row r="20">
      <c r="A20" s="218">
        <f t="shared" si="2"/>
        <v>17</v>
      </c>
      <c r="B20" s="218" t="s">
        <v>203</v>
      </c>
      <c r="C20" s="219" t="str">
        <f t="shared" si="1"/>
        <v>MN/0197/2025</v>
      </c>
      <c r="D20" s="218" t="b">
        <v>1</v>
      </c>
      <c r="E20" s="219" t="b">
        <v>0</v>
      </c>
      <c r="F20" s="219"/>
      <c r="G20" s="173"/>
      <c r="H20" s="157" t="s">
        <v>3618</v>
      </c>
      <c r="I20" s="157" t="s">
        <v>3800</v>
      </c>
      <c r="J20" s="157">
        <v>2025.0</v>
      </c>
    </row>
    <row r="21">
      <c r="A21" s="218">
        <f t="shared" si="2"/>
        <v>18</v>
      </c>
      <c r="B21" s="218" t="s">
        <v>203</v>
      </c>
      <c r="C21" s="219" t="str">
        <f t="shared" si="1"/>
        <v>MN/0198/2025</v>
      </c>
      <c r="D21" s="218" t="b">
        <v>1</v>
      </c>
      <c r="E21" s="219" t="b">
        <v>0</v>
      </c>
      <c r="F21" s="219"/>
      <c r="G21" s="173"/>
      <c r="H21" s="157" t="s">
        <v>3618</v>
      </c>
      <c r="I21" s="157" t="s">
        <v>3815</v>
      </c>
      <c r="J21" s="157">
        <v>2025.0</v>
      </c>
    </row>
    <row r="22">
      <c r="A22" s="218">
        <f t="shared" si="2"/>
        <v>19</v>
      </c>
      <c r="B22" s="218" t="s">
        <v>203</v>
      </c>
      <c r="C22" s="219" t="str">
        <f t="shared" si="1"/>
        <v>MN/0199/2025</v>
      </c>
      <c r="D22" s="218" t="b">
        <v>1</v>
      </c>
      <c r="E22" s="219" t="b">
        <v>0</v>
      </c>
      <c r="F22" s="219"/>
      <c r="G22" s="173"/>
      <c r="H22" s="157" t="s">
        <v>3618</v>
      </c>
      <c r="I22" s="157" t="s">
        <v>3829</v>
      </c>
      <c r="J22" s="157">
        <v>2025.0</v>
      </c>
    </row>
    <row r="23">
      <c r="A23" s="218">
        <f t="shared" si="2"/>
        <v>20</v>
      </c>
      <c r="B23" s="218" t="s">
        <v>203</v>
      </c>
      <c r="C23" s="219" t="str">
        <f t="shared" si="1"/>
        <v>MN/0200/2025</v>
      </c>
      <c r="D23" s="218" t="b">
        <v>1</v>
      </c>
      <c r="E23" s="219" t="b">
        <v>0</v>
      </c>
      <c r="F23" s="219"/>
      <c r="G23" s="173"/>
      <c r="H23" s="157" t="s">
        <v>3618</v>
      </c>
      <c r="I23" s="157" t="s">
        <v>3842</v>
      </c>
      <c r="J23" s="157">
        <v>2025.0</v>
      </c>
    </row>
    <row r="24">
      <c r="A24" s="218">
        <f t="shared" si="2"/>
        <v>21</v>
      </c>
      <c r="B24" s="218" t="s">
        <v>203</v>
      </c>
      <c r="C24" s="219" t="str">
        <f t="shared" si="1"/>
        <v>MN/0201/2025</v>
      </c>
      <c r="D24" s="218" t="b">
        <v>1</v>
      </c>
      <c r="E24" s="219" t="b">
        <v>0</v>
      </c>
      <c r="F24" s="219"/>
      <c r="G24" s="173"/>
      <c r="H24" s="157" t="s">
        <v>3618</v>
      </c>
      <c r="I24" s="157" t="s">
        <v>3853</v>
      </c>
      <c r="J24" s="157">
        <v>2025.0</v>
      </c>
    </row>
    <row r="25">
      <c r="A25" s="218">
        <f t="shared" si="2"/>
        <v>22</v>
      </c>
      <c r="B25" s="218" t="s">
        <v>203</v>
      </c>
      <c r="C25" s="219" t="str">
        <f t="shared" si="1"/>
        <v>MN/0202/2025</v>
      </c>
      <c r="D25" s="218" t="b">
        <v>1</v>
      </c>
      <c r="E25" s="219" t="b">
        <v>0</v>
      </c>
      <c r="F25" s="219"/>
      <c r="G25" s="173"/>
      <c r="H25" s="157" t="s">
        <v>3618</v>
      </c>
      <c r="I25" s="157" t="s">
        <v>3862</v>
      </c>
      <c r="J25" s="157">
        <v>2025.0</v>
      </c>
    </row>
    <row r="26">
      <c r="A26" s="218">
        <f t="shared" si="2"/>
        <v>23</v>
      </c>
      <c r="B26" s="218" t="s">
        <v>203</v>
      </c>
      <c r="C26" s="219" t="str">
        <f t="shared" si="1"/>
        <v>MN/0203/2025</v>
      </c>
      <c r="D26" s="218" t="b">
        <v>1</v>
      </c>
      <c r="E26" s="219" t="b">
        <v>0</v>
      </c>
      <c r="F26" s="219"/>
      <c r="G26" s="173"/>
      <c r="H26" s="157" t="s">
        <v>3618</v>
      </c>
      <c r="I26" s="157" t="s">
        <v>3869</v>
      </c>
      <c r="J26" s="157">
        <v>2025.0</v>
      </c>
    </row>
    <row r="27">
      <c r="A27" s="218">
        <f t="shared" si="2"/>
        <v>24</v>
      </c>
      <c r="B27" s="218" t="s">
        <v>203</v>
      </c>
      <c r="C27" s="219" t="str">
        <f t="shared" si="1"/>
        <v>MN/0204/2025</v>
      </c>
      <c r="D27" s="218" t="b">
        <v>1</v>
      </c>
      <c r="E27" s="219" t="b">
        <v>0</v>
      </c>
      <c r="F27" s="219"/>
      <c r="G27" s="173"/>
      <c r="H27" s="157" t="s">
        <v>3618</v>
      </c>
      <c r="I27" s="157" t="s">
        <v>3879</v>
      </c>
      <c r="J27" s="157">
        <v>2025.0</v>
      </c>
    </row>
    <row r="28">
      <c r="A28" s="218">
        <f t="shared" si="2"/>
        <v>25</v>
      </c>
      <c r="B28" s="218" t="s">
        <v>203</v>
      </c>
      <c r="C28" s="219" t="str">
        <f t="shared" si="1"/>
        <v>MN/0205/2025</v>
      </c>
      <c r="D28" s="218" t="b">
        <v>1</v>
      </c>
      <c r="E28" s="219" t="b">
        <v>0</v>
      </c>
      <c r="F28" s="219"/>
      <c r="G28" s="173"/>
      <c r="H28" s="157" t="s">
        <v>3618</v>
      </c>
      <c r="I28" s="157" t="s">
        <v>3886</v>
      </c>
      <c r="J28" s="157">
        <v>2025.0</v>
      </c>
    </row>
    <row r="29">
      <c r="A29" s="218">
        <f t="shared" si="2"/>
        <v>26</v>
      </c>
      <c r="B29" s="218" t="s">
        <v>203</v>
      </c>
      <c r="C29" s="219" t="str">
        <f t="shared" si="1"/>
        <v>MN/0206/2025</v>
      </c>
      <c r="D29" s="218" t="b">
        <v>1</v>
      </c>
      <c r="E29" s="219" t="b">
        <v>0</v>
      </c>
      <c r="F29" s="219"/>
      <c r="G29" s="173"/>
      <c r="H29" s="157" t="s">
        <v>3618</v>
      </c>
      <c r="I29" s="157" t="s">
        <v>3895</v>
      </c>
      <c r="J29" s="157">
        <v>2025.0</v>
      </c>
    </row>
    <row r="30">
      <c r="A30" s="218">
        <f t="shared" si="2"/>
        <v>27</v>
      </c>
      <c r="B30" s="218" t="s">
        <v>203</v>
      </c>
      <c r="C30" s="219" t="str">
        <f t="shared" si="1"/>
        <v>MN/0207/2025</v>
      </c>
      <c r="D30" s="218" t="b">
        <v>1</v>
      </c>
      <c r="E30" s="219" t="b">
        <v>0</v>
      </c>
      <c r="F30" s="219"/>
      <c r="G30" s="173"/>
      <c r="H30" s="157" t="s">
        <v>3618</v>
      </c>
      <c r="I30" s="157" t="s">
        <v>3901</v>
      </c>
      <c r="J30" s="157">
        <v>2025.0</v>
      </c>
    </row>
    <row r="31">
      <c r="A31" s="218">
        <f t="shared" si="2"/>
        <v>28</v>
      </c>
      <c r="B31" s="218" t="s">
        <v>203</v>
      </c>
      <c r="C31" s="219" t="str">
        <f t="shared" si="1"/>
        <v>MN/0208/2025</v>
      </c>
      <c r="D31" s="218" t="b">
        <v>1</v>
      </c>
      <c r="E31" s="219" t="b">
        <v>0</v>
      </c>
      <c r="F31" s="219"/>
      <c r="G31" s="173"/>
      <c r="H31" s="157" t="s">
        <v>3618</v>
      </c>
      <c r="I31" s="157" t="s">
        <v>3912</v>
      </c>
      <c r="J31" s="157">
        <v>2025.0</v>
      </c>
    </row>
    <row r="32">
      <c r="A32" s="218">
        <f t="shared" si="2"/>
        <v>29</v>
      </c>
      <c r="B32" s="218" t="s">
        <v>203</v>
      </c>
      <c r="C32" s="219" t="str">
        <f t="shared" si="1"/>
        <v>MN/0209/2025</v>
      </c>
      <c r="D32" s="218" t="b">
        <v>1</v>
      </c>
      <c r="E32" s="219" t="b">
        <v>0</v>
      </c>
      <c r="F32" s="219"/>
      <c r="G32" s="173"/>
      <c r="H32" s="157" t="s">
        <v>3618</v>
      </c>
      <c r="I32" s="157" t="s">
        <v>3921</v>
      </c>
      <c r="J32" s="157">
        <v>2025.0</v>
      </c>
    </row>
    <row r="33">
      <c r="A33" s="218">
        <f t="shared" si="2"/>
        <v>30</v>
      </c>
      <c r="B33" s="218" t="s">
        <v>203</v>
      </c>
      <c r="C33" s="219" t="str">
        <f t="shared" si="1"/>
        <v>MN/0210/2025</v>
      </c>
      <c r="D33" s="218" t="b">
        <v>1</v>
      </c>
      <c r="E33" s="219" t="b">
        <v>0</v>
      </c>
      <c r="F33" s="219"/>
      <c r="G33" s="173"/>
      <c r="H33" s="157" t="s">
        <v>3618</v>
      </c>
      <c r="I33" s="157" t="s">
        <v>3930</v>
      </c>
      <c r="J33" s="157">
        <v>2025.0</v>
      </c>
    </row>
    <row r="34">
      <c r="A34" s="218">
        <f t="shared" si="2"/>
        <v>31</v>
      </c>
      <c r="B34" s="218" t="s">
        <v>203</v>
      </c>
      <c r="C34" s="219" t="str">
        <f t="shared" si="1"/>
        <v>MN/0211/2025</v>
      </c>
      <c r="D34" s="218" t="b">
        <v>1</v>
      </c>
      <c r="E34" s="219" t="b">
        <v>0</v>
      </c>
      <c r="F34" s="219"/>
      <c r="G34" s="173"/>
      <c r="H34" s="157" t="s">
        <v>3618</v>
      </c>
      <c r="I34" s="157" t="s">
        <v>3939</v>
      </c>
      <c r="J34" s="157">
        <v>2025.0</v>
      </c>
    </row>
    <row r="35">
      <c r="A35" s="218">
        <f t="shared" si="2"/>
        <v>32</v>
      </c>
      <c r="B35" s="218" t="s">
        <v>203</v>
      </c>
      <c r="C35" s="219" t="str">
        <f t="shared" si="1"/>
        <v>MN/0212/2025</v>
      </c>
      <c r="D35" s="218" t="b">
        <v>1</v>
      </c>
      <c r="E35" s="219" t="b">
        <v>0</v>
      </c>
      <c r="F35" s="219"/>
      <c r="G35" s="173"/>
      <c r="H35" s="157" t="s">
        <v>3618</v>
      </c>
      <c r="I35" s="157" t="s">
        <v>3948</v>
      </c>
      <c r="J35" s="157">
        <v>2025.0</v>
      </c>
    </row>
    <row r="36">
      <c r="A36" s="218">
        <f t="shared" si="2"/>
        <v>33</v>
      </c>
      <c r="B36" s="218" t="s">
        <v>203</v>
      </c>
      <c r="C36" s="219" t="str">
        <f t="shared" si="1"/>
        <v>MN/0213/2025</v>
      </c>
      <c r="D36" s="218" t="b">
        <v>1</v>
      </c>
      <c r="E36" s="219" t="b">
        <v>0</v>
      </c>
      <c r="F36" s="219"/>
      <c r="G36" s="173"/>
      <c r="H36" s="157" t="s">
        <v>3618</v>
      </c>
      <c r="I36" s="157" t="s">
        <v>3959</v>
      </c>
      <c r="J36" s="157">
        <v>2025.0</v>
      </c>
    </row>
    <row r="37">
      <c r="A37" s="218">
        <f t="shared" si="2"/>
        <v>34</v>
      </c>
      <c r="B37" s="218" t="s">
        <v>203</v>
      </c>
      <c r="C37" s="219" t="str">
        <f t="shared" si="1"/>
        <v>MN/0214/2025</v>
      </c>
      <c r="D37" s="218" t="b">
        <v>1</v>
      </c>
      <c r="E37" s="219" t="b">
        <v>0</v>
      </c>
      <c r="F37" s="219"/>
      <c r="G37" s="173"/>
      <c r="H37" s="157" t="s">
        <v>3618</v>
      </c>
      <c r="I37" s="157" t="s">
        <v>3974</v>
      </c>
      <c r="J37" s="157">
        <v>2025.0</v>
      </c>
    </row>
    <row r="38">
      <c r="A38" s="218">
        <f t="shared" si="2"/>
        <v>35</v>
      </c>
      <c r="B38" s="218" t="s">
        <v>203</v>
      </c>
      <c r="C38" s="219" t="str">
        <f t="shared" si="1"/>
        <v>MN/0215/2025</v>
      </c>
      <c r="D38" s="218" t="b">
        <v>1</v>
      </c>
      <c r="E38" s="219" t="b">
        <v>0</v>
      </c>
      <c r="F38" s="219"/>
      <c r="G38" s="173"/>
      <c r="H38" s="157" t="s">
        <v>3618</v>
      </c>
      <c r="I38" s="157" t="s">
        <v>3989</v>
      </c>
      <c r="J38" s="157">
        <v>2025.0</v>
      </c>
    </row>
    <row r="39">
      <c r="A39" s="218">
        <f t="shared" si="2"/>
        <v>36</v>
      </c>
      <c r="B39" s="218" t="s">
        <v>203</v>
      </c>
      <c r="C39" s="219" t="str">
        <f t="shared" si="1"/>
        <v>MN/0216/2025</v>
      </c>
      <c r="D39" s="218" t="b">
        <v>1</v>
      </c>
      <c r="E39" s="219" t="b">
        <v>0</v>
      </c>
      <c r="F39" s="219"/>
      <c r="G39" s="173"/>
      <c r="H39" s="157" t="s">
        <v>3618</v>
      </c>
      <c r="I39" s="157" t="s">
        <v>3999</v>
      </c>
      <c r="J39" s="157">
        <v>2025.0</v>
      </c>
    </row>
    <row r="40">
      <c r="A40" s="218">
        <f t="shared" si="2"/>
        <v>37</v>
      </c>
      <c r="B40" s="218" t="s">
        <v>203</v>
      </c>
      <c r="C40" s="219" t="str">
        <f t="shared" si="1"/>
        <v>MN/0217/2025</v>
      </c>
      <c r="D40" s="218" t="b">
        <v>1</v>
      </c>
      <c r="E40" s="219" t="b">
        <v>0</v>
      </c>
      <c r="F40" s="219"/>
      <c r="G40" s="173"/>
      <c r="H40" s="157" t="s">
        <v>3618</v>
      </c>
      <c r="I40" s="157" t="s">
        <v>4006</v>
      </c>
      <c r="J40" s="157">
        <v>2025.0</v>
      </c>
    </row>
    <row r="41">
      <c r="A41" s="218">
        <f t="shared" si="2"/>
        <v>38</v>
      </c>
      <c r="B41" s="218" t="s">
        <v>203</v>
      </c>
      <c r="C41" s="219" t="str">
        <f t="shared" si="1"/>
        <v>MN/0218/2025</v>
      </c>
      <c r="D41" s="218" t="b">
        <v>1</v>
      </c>
      <c r="E41" s="219" t="b">
        <v>0</v>
      </c>
      <c r="F41" s="219"/>
      <c r="G41" s="173"/>
      <c r="H41" s="157" t="s">
        <v>3618</v>
      </c>
      <c r="I41" s="157" t="s">
        <v>4012</v>
      </c>
      <c r="J41" s="157">
        <v>2025.0</v>
      </c>
    </row>
    <row r="42">
      <c r="A42" s="218">
        <f t="shared" si="2"/>
        <v>39</v>
      </c>
      <c r="B42" s="218" t="s">
        <v>203</v>
      </c>
      <c r="C42" s="219" t="str">
        <f t="shared" si="1"/>
        <v>MN/0219/2025</v>
      </c>
      <c r="D42" s="218" t="b">
        <v>1</v>
      </c>
      <c r="E42" s="219" t="b">
        <v>0</v>
      </c>
      <c r="F42" s="219"/>
      <c r="G42" s="173"/>
      <c r="H42" s="157" t="s">
        <v>3618</v>
      </c>
      <c r="I42" s="157" t="s">
        <v>4020</v>
      </c>
      <c r="J42" s="157">
        <v>2025.0</v>
      </c>
    </row>
    <row r="43">
      <c r="A43" s="218">
        <f t="shared" si="2"/>
        <v>40</v>
      </c>
      <c r="B43" s="218" t="s">
        <v>203</v>
      </c>
      <c r="C43" s="219" t="str">
        <f t="shared" si="1"/>
        <v>MN/0220/2025</v>
      </c>
      <c r="D43" s="218" t="b">
        <v>1</v>
      </c>
      <c r="E43" s="219" t="b">
        <v>0</v>
      </c>
      <c r="F43" s="219"/>
      <c r="G43" s="173"/>
      <c r="H43" s="157" t="s">
        <v>3618</v>
      </c>
      <c r="I43" s="157" t="s">
        <v>4029</v>
      </c>
      <c r="J43" s="157">
        <v>2025.0</v>
      </c>
    </row>
    <row r="44">
      <c r="A44" s="218">
        <f t="shared" si="2"/>
        <v>41</v>
      </c>
      <c r="B44" s="218" t="s">
        <v>203</v>
      </c>
      <c r="C44" s="219" t="str">
        <f t="shared" si="1"/>
        <v>MN/0221/2025</v>
      </c>
      <c r="D44" s="218" t="b">
        <v>1</v>
      </c>
      <c r="E44" s="219" t="b">
        <v>0</v>
      </c>
      <c r="F44" s="219"/>
      <c r="G44" s="173"/>
      <c r="H44" s="157" t="s">
        <v>3618</v>
      </c>
      <c r="I44" s="157" t="s">
        <v>4039</v>
      </c>
      <c r="J44" s="157">
        <v>2025.0</v>
      </c>
    </row>
    <row r="45">
      <c r="A45" s="218">
        <f t="shared" si="2"/>
        <v>42</v>
      </c>
      <c r="B45" s="218" t="s">
        <v>203</v>
      </c>
      <c r="C45" s="219" t="str">
        <f t="shared" si="1"/>
        <v>MN/0222/2025</v>
      </c>
      <c r="D45" s="218" t="b">
        <v>1</v>
      </c>
      <c r="E45" s="219" t="b">
        <v>0</v>
      </c>
      <c r="F45" s="219"/>
      <c r="G45" s="173"/>
      <c r="H45" s="157" t="s">
        <v>3618</v>
      </c>
      <c r="I45" s="157" t="s">
        <v>4047</v>
      </c>
      <c r="J45" s="157">
        <v>2025.0</v>
      </c>
    </row>
    <row r="46">
      <c r="A46" s="218">
        <f t="shared" si="2"/>
        <v>43</v>
      </c>
      <c r="B46" s="218" t="s">
        <v>203</v>
      </c>
      <c r="C46" s="219" t="str">
        <f t="shared" si="1"/>
        <v>MN/0223/2025</v>
      </c>
      <c r="D46" s="218" t="b">
        <v>1</v>
      </c>
      <c r="E46" s="219" t="b">
        <v>0</v>
      </c>
      <c r="F46" s="219"/>
      <c r="G46" s="173"/>
      <c r="H46" s="157" t="s">
        <v>3618</v>
      </c>
      <c r="I46" s="157" t="s">
        <v>4056</v>
      </c>
      <c r="J46" s="157">
        <v>2025.0</v>
      </c>
    </row>
    <row r="47">
      <c r="A47" s="218">
        <f t="shared" si="2"/>
        <v>44</v>
      </c>
      <c r="B47" s="218" t="s">
        <v>203</v>
      </c>
      <c r="C47" s="219" t="str">
        <f t="shared" si="1"/>
        <v>MN/0224/2025</v>
      </c>
      <c r="D47" s="218" t="b">
        <v>1</v>
      </c>
      <c r="E47" s="219" t="b">
        <v>0</v>
      </c>
      <c r="F47" s="219"/>
      <c r="G47" s="173"/>
      <c r="H47" s="157" t="s">
        <v>3618</v>
      </c>
      <c r="I47" s="157" t="s">
        <v>4063</v>
      </c>
      <c r="J47" s="157">
        <v>2025.0</v>
      </c>
    </row>
    <row r="48">
      <c r="A48" s="218">
        <f t="shared" si="2"/>
        <v>45</v>
      </c>
      <c r="B48" s="218" t="s">
        <v>203</v>
      </c>
      <c r="C48" s="219" t="str">
        <f t="shared" si="1"/>
        <v>MN/0225/2025</v>
      </c>
      <c r="D48" s="218" t="b">
        <v>1</v>
      </c>
      <c r="E48" s="219" t="b">
        <v>0</v>
      </c>
      <c r="F48" s="219"/>
      <c r="G48" s="173"/>
      <c r="H48" s="157" t="s">
        <v>3618</v>
      </c>
      <c r="I48" s="157" t="s">
        <v>4071</v>
      </c>
      <c r="J48" s="157">
        <v>2025.0</v>
      </c>
    </row>
    <row r="49">
      <c r="A49" s="218">
        <f t="shared" si="2"/>
        <v>46</v>
      </c>
      <c r="B49" s="218" t="s">
        <v>203</v>
      </c>
      <c r="C49" s="219" t="str">
        <f t="shared" si="1"/>
        <v>MN/0226/2025</v>
      </c>
      <c r="D49" s="218" t="b">
        <v>1</v>
      </c>
      <c r="E49" s="219" t="b">
        <v>0</v>
      </c>
      <c r="F49" s="219"/>
      <c r="G49" s="173"/>
      <c r="H49" s="157" t="s">
        <v>3618</v>
      </c>
      <c r="I49" s="157" t="s">
        <v>4077</v>
      </c>
      <c r="J49" s="157">
        <v>2025.0</v>
      </c>
    </row>
    <row r="50">
      <c r="A50" s="218">
        <f t="shared" si="2"/>
        <v>47</v>
      </c>
      <c r="B50" s="218" t="s">
        <v>203</v>
      </c>
      <c r="C50" s="219" t="str">
        <f t="shared" si="1"/>
        <v>MN/0227/2025</v>
      </c>
      <c r="D50" s="218" t="b">
        <v>1</v>
      </c>
      <c r="E50" s="219" t="b">
        <v>0</v>
      </c>
      <c r="F50" s="219"/>
      <c r="G50" s="173"/>
      <c r="H50" s="157" t="s">
        <v>3618</v>
      </c>
      <c r="I50" s="157" t="s">
        <v>4078</v>
      </c>
      <c r="J50" s="157">
        <v>2025.0</v>
      </c>
    </row>
    <row r="51">
      <c r="A51" s="218">
        <f t="shared" si="2"/>
        <v>48</v>
      </c>
      <c r="B51" s="218" t="s">
        <v>203</v>
      </c>
      <c r="C51" s="219" t="str">
        <f t="shared" si="1"/>
        <v>MN/0228/2025</v>
      </c>
      <c r="D51" s="218" t="b">
        <v>1</v>
      </c>
      <c r="E51" s="219" t="b">
        <v>0</v>
      </c>
      <c r="F51" s="219"/>
      <c r="G51" s="173"/>
      <c r="H51" s="157" t="s">
        <v>3618</v>
      </c>
      <c r="I51" s="157" t="s">
        <v>4079</v>
      </c>
      <c r="J51" s="157">
        <v>2025.0</v>
      </c>
    </row>
    <row r="52">
      <c r="A52" s="218">
        <f t="shared" si="2"/>
        <v>49</v>
      </c>
      <c r="B52" s="218" t="s">
        <v>203</v>
      </c>
      <c r="C52" s="219" t="str">
        <f t="shared" si="1"/>
        <v>MN/0229/2025</v>
      </c>
      <c r="D52" s="218" t="b">
        <v>1</v>
      </c>
      <c r="E52" s="219" t="b">
        <v>0</v>
      </c>
      <c r="F52" s="219"/>
      <c r="G52" s="173"/>
      <c r="H52" s="157" t="s">
        <v>3618</v>
      </c>
      <c r="I52" s="157" t="s">
        <v>4080</v>
      </c>
      <c r="J52" s="157">
        <v>2025.0</v>
      </c>
    </row>
    <row r="53">
      <c r="A53" s="218">
        <f t="shared" si="2"/>
        <v>50</v>
      </c>
      <c r="B53" s="218" t="s">
        <v>203</v>
      </c>
      <c r="C53" s="219" t="str">
        <f t="shared" si="1"/>
        <v>MN/0230/2025</v>
      </c>
      <c r="D53" s="218" t="b">
        <v>1</v>
      </c>
      <c r="E53" s="219" t="b">
        <v>0</v>
      </c>
      <c r="F53" s="219"/>
      <c r="G53" s="173"/>
      <c r="H53" s="157" t="s">
        <v>3618</v>
      </c>
      <c r="I53" s="157" t="s">
        <v>4081</v>
      </c>
      <c r="J53" s="157">
        <v>2025.0</v>
      </c>
    </row>
    <row r="54">
      <c r="A54" s="218">
        <f t="shared" si="2"/>
        <v>51</v>
      </c>
      <c r="B54" s="218" t="s">
        <v>203</v>
      </c>
      <c r="C54" s="219" t="str">
        <f t="shared" si="1"/>
        <v>MN/0231/2025</v>
      </c>
      <c r="D54" s="218" t="b">
        <v>1</v>
      </c>
      <c r="E54" s="219" t="b">
        <v>0</v>
      </c>
      <c r="F54" s="219"/>
      <c r="G54" s="173"/>
      <c r="H54" s="157" t="s">
        <v>3618</v>
      </c>
      <c r="I54" s="157" t="s">
        <v>4082</v>
      </c>
      <c r="J54" s="157">
        <v>2025.0</v>
      </c>
    </row>
    <row r="55">
      <c r="A55" s="218">
        <f t="shared" si="2"/>
        <v>52</v>
      </c>
      <c r="B55" s="218" t="s">
        <v>203</v>
      </c>
      <c r="C55" s="219" t="str">
        <f t="shared" si="1"/>
        <v>MN/0232/2025</v>
      </c>
      <c r="D55" s="218" t="b">
        <v>1</v>
      </c>
      <c r="E55" s="219" t="b">
        <v>0</v>
      </c>
      <c r="F55" s="219"/>
      <c r="G55" s="173"/>
      <c r="H55" s="157" t="s">
        <v>3618</v>
      </c>
      <c r="I55" s="157" t="s">
        <v>4083</v>
      </c>
      <c r="J55" s="157">
        <v>2025.0</v>
      </c>
    </row>
    <row r="56">
      <c r="A56" s="218">
        <f t="shared" si="2"/>
        <v>53</v>
      </c>
      <c r="B56" s="218" t="s">
        <v>203</v>
      </c>
      <c r="C56" s="219" t="str">
        <f t="shared" si="1"/>
        <v>MN/0233/2025</v>
      </c>
      <c r="D56" s="218" t="b">
        <v>1</v>
      </c>
      <c r="E56" s="219" t="b">
        <v>0</v>
      </c>
      <c r="F56" s="219"/>
      <c r="G56" s="173"/>
      <c r="H56" s="157" t="s">
        <v>3618</v>
      </c>
      <c r="I56" s="157" t="s">
        <v>4084</v>
      </c>
      <c r="J56" s="157">
        <v>2025.0</v>
      </c>
    </row>
    <row r="57">
      <c r="A57" s="218">
        <f t="shared" si="2"/>
        <v>54</v>
      </c>
      <c r="B57" s="218" t="s">
        <v>203</v>
      </c>
      <c r="C57" s="219" t="str">
        <f t="shared" si="1"/>
        <v>MN/0234/2025</v>
      </c>
      <c r="D57" s="218" t="b">
        <v>1</v>
      </c>
      <c r="E57" s="219" t="b">
        <v>0</v>
      </c>
      <c r="F57" s="219"/>
      <c r="G57" s="173"/>
      <c r="H57" s="157" t="s">
        <v>3618</v>
      </c>
      <c r="I57" s="157" t="s">
        <v>4085</v>
      </c>
      <c r="J57" s="157">
        <v>2025.0</v>
      </c>
    </row>
    <row r="58">
      <c r="A58" s="218">
        <f t="shared" si="2"/>
        <v>55</v>
      </c>
      <c r="B58" s="218" t="s">
        <v>203</v>
      </c>
      <c r="C58" s="219" t="str">
        <f t="shared" si="1"/>
        <v>MN/0235/2025</v>
      </c>
      <c r="D58" s="218" t="b">
        <v>1</v>
      </c>
      <c r="E58" s="219" t="b">
        <v>0</v>
      </c>
      <c r="F58" s="219"/>
      <c r="G58" s="173"/>
      <c r="H58" s="157" t="s">
        <v>3618</v>
      </c>
      <c r="I58" s="157" t="s">
        <v>4086</v>
      </c>
      <c r="J58" s="157">
        <v>2025.0</v>
      </c>
    </row>
    <row r="59">
      <c r="A59" s="218">
        <f t="shared" si="2"/>
        <v>56</v>
      </c>
      <c r="B59" s="218" t="s">
        <v>203</v>
      </c>
      <c r="C59" s="219" t="str">
        <f t="shared" si="1"/>
        <v>MN/0236/2025</v>
      </c>
      <c r="D59" s="218" t="b">
        <v>1</v>
      </c>
      <c r="E59" s="219" t="b">
        <v>0</v>
      </c>
      <c r="F59" s="219"/>
      <c r="G59" s="173"/>
      <c r="H59" s="157" t="s">
        <v>3618</v>
      </c>
      <c r="I59" s="157" t="s">
        <v>4087</v>
      </c>
      <c r="J59" s="157">
        <v>2025.0</v>
      </c>
    </row>
    <row r="60">
      <c r="A60" s="218">
        <f t="shared" si="2"/>
        <v>57</v>
      </c>
      <c r="B60" s="218" t="s">
        <v>203</v>
      </c>
      <c r="C60" s="219" t="str">
        <f t="shared" si="1"/>
        <v>MN/0237/2025</v>
      </c>
      <c r="D60" s="218" t="b">
        <v>1</v>
      </c>
      <c r="E60" s="219" t="b">
        <v>0</v>
      </c>
      <c r="F60" s="219"/>
      <c r="G60" s="173"/>
      <c r="H60" s="157" t="s">
        <v>3618</v>
      </c>
      <c r="I60" s="157" t="s">
        <v>4089</v>
      </c>
      <c r="J60" s="157">
        <v>2025.0</v>
      </c>
    </row>
    <row r="61">
      <c r="A61" s="218">
        <f t="shared" si="2"/>
        <v>58</v>
      </c>
      <c r="B61" s="218" t="s">
        <v>203</v>
      </c>
      <c r="C61" s="219" t="str">
        <f t="shared" si="1"/>
        <v>MN/0238/2025</v>
      </c>
      <c r="D61" s="218" t="b">
        <v>1</v>
      </c>
      <c r="E61" s="219" t="b">
        <v>0</v>
      </c>
      <c r="F61" s="219"/>
      <c r="G61" s="173"/>
      <c r="H61" s="157" t="s">
        <v>3618</v>
      </c>
      <c r="I61" s="157" t="s">
        <v>4103</v>
      </c>
      <c r="J61" s="157">
        <v>2025.0</v>
      </c>
    </row>
    <row r="62">
      <c r="A62" s="218">
        <f t="shared" si="2"/>
        <v>59</v>
      </c>
      <c r="B62" s="218" t="s">
        <v>203</v>
      </c>
      <c r="C62" s="219" t="str">
        <f t="shared" si="1"/>
        <v>MN/0239/2025</v>
      </c>
      <c r="D62" s="218" t="b">
        <v>1</v>
      </c>
      <c r="E62" s="219" t="b">
        <v>0</v>
      </c>
      <c r="F62" s="219"/>
      <c r="G62" s="173"/>
      <c r="H62" s="157" t="s">
        <v>3618</v>
      </c>
      <c r="I62" s="157" t="s">
        <v>4113</v>
      </c>
      <c r="J62" s="157">
        <v>2025.0</v>
      </c>
    </row>
    <row r="63">
      <c r="A63" s="218">
        <f t="shared" si="2"/>
        <v>60</v>
      </c>
      <c r="B63" s="218" t="s">
        <v>203</v>
      </c>
      <c r="C63" s="219" t="str">
        <f t="shared" si="1"/>
        <v>MN/0240/2025</v>
      </c>
      <c r="D63" s="218" t="b">
        <v>1</v>
      </c>
      <c r="E63" s="219" t="b">
        <v>0</v>
      </c>
      <c r="F63" s="219"/>
      <c r="G63" s="173"/>
      <c r="H63" s="157" t="s">
        <v>3618</v>
      </c>
      <c r="I63" s="157" t="s">
        <v>4124</v>
      </c>
      <c r="J63" s="157">
        <v>2025.0</v>
      </c>
    </row>
    <row r="64">
      <c r="A64" s="218">
        <f t="shared" si="2"/>
        <v>61</v>
      </c>
      <c r="B64" s="218" t="s">
        <v>203</v>
      </c>
      <c r="C64" s="219" t="str">
        <f t="shared" si="1"/>
        <v>MN/0241/2025</v>
      </c>
      <c r="D64" s="218" t="b">
        <v>1</v>
      </c>
      <c r="E64" s="219" t="b">
        <v>0</v>
      </c>
      <c r="F64" s="219"/>
      <c r="G64" s="173"/>
      <c r="H64" s="157" t="s">
        <v>3618</v>
      </c>
      <c r="I64" s="157" t="s">
        <v>4132</v>
      </c>
      <c r="J64" s="157">
        <v>2025.0</v>
      </c>
    </row>
    <row r="65">
      <c r="A65" s="218">
        <f t="shared" si="2"/>
        <v>62</v>
      </c>
      <c r="B65" s="218" t="s">
        <v>203</v>
      </c>
      <c r="C65" s="219" t="str">
        <f t="shared" si="1"/>
        <v>MN/0242/2025</v>
      </c>
      <c r="D65" s="218" t="b">
        <v>1</v>
      </c>
      <c r="E65" s="219" t="b">
        <v>0</v>
      </c>
      <c r="F65" s="219"/>
      <c r="G65" s="173"/>
      <c r="H65" s="157" t="s">
        <v>3618</v>
      </c>
      <c r="I65" s="157" t="s">
        <v>4142</v>
      </c>
      <c r="J65" s="157">
        <v>2025.0</v>
      </c>
    </row>
    <row r="66">
      <c r="A66" s="218">
        <f t="shared" si="2"/>
        <v>63</v>
      </c>
      <c r="B66" s="218" t="s">
        <v>203</v>
      </c>
      <c r="C66" s="219" t="str">
        <f t="shared" si="1"/>
        <v>MN/0243/2025</v>
      </c>
      <c r="D66" s="218" t="b">
        <v>1</v>
      </c>
      <c r="E66" s="219" t="b">
        <v>0</v>
      </c>
      <c r="F66" s="219"/>
      <c r="G66" s="173"/>
      <c r="H66" s="157" t="s">
        <v>3618</v>
      </c>
      <c r="I66" s="157" t="s">
        <v>4143</v>
      </c>
      <c r="J66" s="157">
        <v>2025.0</v>
      </c>
    </row>
    <row r="67">
      <c r="A67" s="218">
        <f t="shared" si="2"/>
        <v>64</v>
      </c>
      <c r="B67" s="218" t="s">
        <v>203</v>
      </c>
      <c r="C67" s="219" t="str">
        <f t="shared" si="1"/>
        <v>MN/0244/2025</v>
      </c>
      <c r="D67" s="218" t="b">
        <v>1</v>
      </c>
      <c r="E67" s="219" t="b">
        <v>0</v>
      </c>
      <c r="F67" s="219"/>
      <c r="G67" s="173"/>
      <c r="H67" s="157" t="s">
        <v>3618</v>
      </c>
      <c r="I67" s="157" t="s">
        <v>4144</v>
      </c>
      <c r="J67" s="157">
        <v>2025.0</v>
      </c>
    </row>
    <row r="68">
      <c r="A68" s="218">
        <f t="shared" si="2"/>
        <v>65</v>
      </c>
      <c r="B68" s="218" t="s">
        <v>203</v>
      </c>
      <c r="C68" s="219" t="str">
        <f t="shared" si="1"/>
        <v>MN/0245/2025</v>
      </c>
      <c r="D68" s="218" t="b">
        <v>1</v>
      </c>
      <c r="E68" s="219" t="b">
        <v>0</v>
      </c>
      <c r="F68" s="219"/>
      <c r="G68" s="173"/>
      <c r="H68" s="157" t="s">
        <v>3618</v>
      </c>
      <c r="I68" s="157" t="s">
        <v>4145</v>
      </c>
      <c r="J68" s="157">
        <v>2025.0</v>
      </c>
    </row>
    <row r="69">
      <c r="A69" s="218">
        <f t="shared" si="2"/>
        <v>66</v>
      </c>
      <c r="B69" s="218" t="s">
        <v>203</v>
      </c>
      <c r="C69" s="219" t="str">
        <f t="shared" si="1"/>
        <v>MN/0246/2025</v>
      </c>
      <c r="D69" s="218" t="b">
        <v>1</v>
      </c>
      <c r="E69" s="219" t="b">
        <v>0</v>
      </c>
      <c r="F69" s="219"/>
      <c r="G69" s="173"/>
      <c r="H69" s="157" t="s">
        <v>3618</v>
      </c>
      <c r="I69" s="157" t="s">
        <v>4151</v>
      </c>
      <c r="J69" s="157">
        <v>2025.0</v>
      </c>
    </row>
    <row r="70">
      <c r="A70" s="218">
        <f t="shared" si="2"/>
        <v>67</v>
      </c>
      <c r="B70" s="218" t="s">
        <v>203</v>
      </c>
      <c r="C70" s="219" t="str">
        <f t="shared" si="1"/>
        <v>MN/0247/2025</v>
      </c>
      <c r="D70" s="218" t="b">
        <v>1</v>
      </c>
      <c r="E70" s="219" t="b">
        <v>0</v>
      </c>
      <c r="F70" s="219"/>
      <c r="G70" s="173"/>
      <c r="H70" s="157" t="s">
        <v>3618</v>
      </c>
      <c r="I70" s="157" t="s">
        <v>4154</v>
      </c>
      <c r="J70" s="157">
        <v>2025.0</v>
      </c>
    </row>
    <row r="71">
      <c r="A71" s="218">
        <f t="shared" si="2"/>
        <v>68</v>
      </c>
      <c r="B71" s="218" t="s">
        <v>203</v>
      </c>
      <c r="C71" s="219" t="str">
        <f t="shared" si="1"/>
        <v>MN/0248/2025</v>
      </c>
      <c r="D71" s="218" t="b">
        <v>1</v>
      </c>
      <c r="E71" s="219" t="b">
        <v>0</v>
      </c>
      <c r="F71" s="219"/>
      <c r="G71" s="173"/>
      <c r="H71" s="157" t="s">
        <v>3618</v>
      </c>
      <c r="I71" s="157" t="s">
        <v>4161</v>
      </c>
      <c r="J71" s="157">
        <v>2025.0</v>
      </c>
    </row>
    <row r="72">
      <c r="A72" s="218">
        <f t="shared" si="2"/>
        <v>69</v>
      </c>
      <c r="B72" s="218" t="s">
        <v>203</v>
      </c>
      <c r="C72" s="219" t="str">
        <f t="shared" si="1"/>
        <v>MN/0249/2025</v>
      </c>
      <c r="D72" s="218" t="b">
        <v>1</v>
      </c>
      <c r="E72" s="219" t="b">
        <v>0</v>
      </c>
      <c r="F72" s="219"/>
      <c r="G72" s="173"/>
      <c r="H72" s="157" t="s">
        <v>3618</v>
      </c>
      <c r="I72" s="157" t="s">
        <v>4168</v>
      </c>
      <c r="J72" s="157">
        <v>2025.0</v>
      </c>
    </row>
    <row r="73">
      <c r="A73" s="218">
        <f t="shared" si="2"/>
        <v>70</v>
      </c>
      <c r="B73" s="218" t="s">
        <v>203</v>
      </c>
      <c r="C73" s="219" t="str">
        <f t="shared" si="1"/>
        <v>MN/0250/2025</v>
      </c>
      <c r="D73" s="218" t="b">
        <v>1</v>
      </c>
      <c r="E73" s="219" t="b">
        <v>0</v>
      </c>
      <c r="F73" s="219"/>
      <c r="G73" s="173"/>
      <c r="H73" s="157" t="s">
        <v>3618</v>
      </c>
      <c r="I73" s="157" t="s">
        <v>4176</v>
      </c>
      <c r="J73" s="157">
        <v>2025.0</v>
      </c>
    </row>
    <row r="74">
      <c r="A74" s="218">
        <f t="shared" si="2"/>
        <v>71</v>
      </c>
      <c r="B74" s="218" t="s">
        <v>203</v>
      </c>
      <c r="C74" s="219" t="str">
        <f t="shared" si="1"/>
        <v>MN/0251/2025</v>
      </c>
      <c r="D74" s="218" t="b">
        <v>1</v>
      </c>
      <c r="E74" s="219" t="b">
        <v>0</v>
      </c>
      <c r="F74" s="219"/>
      <c r="G74" s="173"/>
      <c r="H74" s="157" t="s">
        <v>3618</v>
      </c>
      <c r="I74" s="157" t="s">
        <v>4183</v>
      </c>
      <c r="J74" s="157">
        <v>2025.0</v>
      </c>
    </row>
    <row r="75">
      <c r="A75" s="218">
        <f t="shared" si="2"/>
        <v>72</v>
      </c>
      <c r="B75" s="218" t="s">
        <v>203</v>
      </c>
      <c r="C75" s="219" t="str">
        <f t="shared" si="1"/>
        <v>MN/0252/2025</v>
      </c>
      <c r="D75" s="218" t="b">
        <v>1</v>
      </c>
      <c r="E75" s="219" t="b">
        <v>0</v>
      </c>
      <c r="F75" s="219"/>
      <c r="G75" s="173"/>
      <c r="H75" s="157" t="s">
        <v>3618</v>
      </c>
      <c r="I75" s="157" t="s">
        <v>4193</v>
      </c>
      <c r="J75" s="157">
        <v>2025.0</v>
      </c>
    </row>
    <row r="76">
      <c r="A76" s="218">
        <f t="shared" si="2"/>
        <v>73</v>
      </c>
      <c r="B76" s="218" t="s">
        <v>203</v>
      </c>
      <c r="C76" s="219" t="str">
        <f t="shared" si="1"/>
        <v>MN/0253/2025</v>
      </c>
      <c r="D76" s="218" t="b">
        <v>1</v>
      </c>
      <c r="E76" s="219" t="b">
        <v>0</v>
      </c>
      <c r="F76" s="219"/>
      <c r="G76" s="173"/>
      <c r="H76" s="157" t="s">
        <v>3618</v>
      </c>
      <c r="I76" s="157" t="s">
        <v>4200</v>
      </c>
      <c r="J76" s="157">
        <v>2025.0</v>
      </c>
    </row>
    <row r="77">
      <c r="A77" s="218">
        <f t="shared" si="2"/>
        <v>74</v>
      </c>
      <c r="B77" s="218" t="s">
        <v>203</v>
      </c>
      <c r="C77" s="219" t="str">
        <f t="shared" si="1"/>
        <v>MN/0254/2025</v>
      </c>
      <c r="D77" s="218" t="b">
        <v>1</v>
      </c>
      <c r="E77" s="219" t="b">
        <v>0</v>
      </c>
      <c r="F77" s="219"/>
      <c r="G77" s="173"/>
      <c r="H77" s="157" t="s">
        <v>3618</v>
      </c>
      <c r="I77" s="157" t="s">
        <v>4206</v>
      </c>
      <c r="J77" s="157">
        <v>2025.0</v>
      </c>
    </row>
    <row r="78">
      <c r="A78" s="218">
        <f t="shared" si="2"/>
        <v>75</v>
      </c>
      <c r="B78" s="218" t="s">
        <v>203</v>
      </c>
      <c r="C78" s="219" t="str">
        <f t="shared" si="1"/>
        <v>MN/0255/2025</v>
      </c>
      <c r="D78" s="218" t="b">
        <v>1</v>
      </c>
      <c r="E78" s="219" t="b">
        <v>0</v>
      </c>
      <c r="F78" s="219"/>
      <c r="G78" s="173"/>
      <c r="H78" s="157" t="s">
        <v>3618</v>
      </c>
      <c r="I78" s="157" t="s">
        <v>4213</v>
      </c>
      <c r="J78" s="157">
        <v>2025.0</v>
      </c>
    </row>
    <row r="79">
      <c r="A79" s="218">
        <f t="shared" si="2"/>
        <v>76</v>
      </c>
      <c r="B79" s="218" t="s">
        <v>203</v>
      </c>
      <c r="C79" s="219" t="str">
        <f t="shared" si="1"/>
        <v>MN/0256/2025</v>
      </c>
      <c r="D79" s="218" t="b">
        <v>1</v>
      </c>
      <c r="E79" s="219" t="b">
        <v>0</v>
      </c>
      <c r="F79" s="219"/>
      <c r="G79" s="173"/>
      <c r="H79" s="157" t="s">
        <v>3618</v>
      </c>
      <c r="I79" s="157" t="s">
        <v>4221</v>
      </c>
      <c r="J79" s="157">
        <v>2025.0</v>
      </c>
    </row>
    <row r="80">
      <c r="A80" s="218">
        <f t="shared" si="2"/>
        <v>77</v>
      </c>
      <c r="B80" s="218" t="s">
        <v>203</v>
      </c>
      <c r="C80" s="219" t="str">
        <f t="shared" si="1"/>
        <v>MN/0257/2025</v>
      </c>
      <c r="D80" s="218" t="b">
        <v>1</v>
      </c>
      <c r="E80" s="219" t="b">
        <v>0</v>
      </c>
      <c r="F80" s="219"/>
      <c r="G80" s="173"/>
      <c r="H80" s="157" t="s">
        <v>3618</v>
      </c>
      <c r="I80" s="157" t="s">
        <v>4229</v>
      </c>
      <c r="J80" s="157">
        <v>2025.0</v>
      </c>
    </row>
    <row r="81">
      <c r="A81" s="218">
        <f t="shared" si="2"/>
        <v>78</v>
      </c>
      <c r="B81" s="218" t="s">
        <v>203</v>
      </c>
      <c r="C81" s="219" t="str">
        <f t="shared" si="1"/>
        <v>MN/0258/2025</v>
      </c>
      <c r="D81" s="218" t="b">
        <v>1</v>
      </c>
      <c r="E81" s="219" t="b">
        <v>0</v>
      </c>
      <c r="F81" s="219"/>
      <c r="G81" s="173"/>
      <c r="H81" s="157" t="s">
        <v>3618</v>
      </c>
      <c r="I81" s="157" t="s">
        <v>4236</v>
      </c>
      <c r="J81" s="157">
        <v>2025.0</v>
      </c>
    </row>
    <row r="82">
      <c r="A82" s="218">
        <f t="shared" si="2"/>
        <v>79</v>
      </c>
      <c r="B82" s="218" t="s">
        <v>203</v>
      </c>
      <c r="C82" s="219" t="str">
        <f t="shared" si="1"/>
        <v>MN/0259/2025</v>
      </c>
      <c r="D82" s="218" t="b">
        <v>1</v>
      </c>
      <c r="E82" s="219" t="b">
        <v>0</v>
      </c>
      <c r="F82" s="219"/>
      <c r="G82" s="173"/>
      <c r="H82" s="157" t="s">
        <v>3618</v>
      </c>
      <c r="I82" s="157" t="s">
        <v>4242</v>
      </c>
      <c r="J82" s="157">
        <v>2025.0</v>
      </c>
    </row>
    <row r="83">
      <c r="A83" s="218">
        <f t="shared" si="2"/>
        <v>80</v>
      </c>
      <c r="B83" s="218" t="s">
        <v>203</v>
      </c>
      <c r="C83" s="219" t="str">
        <f t="shared" si="1"/>
        <v>MN/0260/2025</v>
      </c>
      <c r="D83" s="218" t="b">
        <v>1</v>
      </c>
      <c r="E83" s="219" t="b">
        <v>0</v>
      </c>
      <c r="F83" s="219"/>
      <c r="G83" s="173"/>
      <c r="H83" s="157" t="s">
        <v>3618</v>
      </c>
      <c r="I83" s="157" t="s">
        <v>4250</v>
      </c>
      <c r="J83" s="157">
        <v>2025.0</v>
      </c>
    </row>
    <row r="84">
      <c r="A84" s="218">
        <f t="shared" si="2"/>
        <v>81</v>
      </c>
      <c r="B84" s="218" t="s">
        <v>203</v>
      </c>
      <c r="C84" s="219" t="str">
        <f t="shared" si="1"/>
        <v>MN/0261/2025</v>
      </c>
      <c r="D84" s="218" t="b">
        <v>1</v>
      </c>
      <c r="E84" s="219" t="b">
        <v>0</v>
      </c>
      <c r="F84" s="219"/>
      <c r="G84" s="173"/>
      <c r="H84" s="157" t="s">
        <v>3618</v>
      </c>
      <c r="I84" s="157" t="s">
        <v>4256</v>
      </c>
      <c r="J84" s="157">
        <v>2025.0</v>
      </c>
    </row>
    <row r="85">
      <c r="A85" s="218">
        <f t="shared" si="2"/>
        <v>82</v>
      </c>
      <c r="B85" s="218" t="s">
        <v>203</v>
      </c>
      <c r="C85" s="219" t="str">
        <f t="shared" si="1"/>
        <v>MN/0262/2025</v>
      </c>
      <c r="D85" s="218" t="b">
        <v>1</v>
      </c>
      <c r="E85" s="219" t="b">
        <v>0</v>
      </c>
      <c r="F85" s="219"/>
      <c r="G85" s="173"/>
      <c r="H85" s="157" t="s">
        <v>3618</v>
      </c>
      <c r="I85" s="157" t="s">
        <v>4264</v>
      </c>
      <c r="J85" s="157">
        <v>2025.0</v>
      </c>
    </row>
    <row r="86">
      <c r="A86" s="218">
        <f t="shared" si="2"/>
        <v>83</v>
      </c>
      <c r="B86" s="218" t="s">
        <v>203</v>
      </c>
      <c r="C86" s="219" t="str">
        <f t="shared" si="1"/>
        <v>MN/0263/2025</v>
      </c>
      <c r="D86" s="218" t="b">
        <v>1</v>
      </c>
      <c r="E86" s="219" t="b">
        <v>0</v>
      </c>
      <c r="F86" s="219"/>
      <c r="G86" s="173"/>
      <c r="H86" s="157" t="s">
        <v>3618</v>
      </c>
      <c r="I86" s="157" t="s">
        <v>4267</v>
      </c>
      <c r="J86" s="157">
        <v>2025.0</v>
      </c>
    </row>
    <row r="87">
      <c r="A87" s="218">
        <f t="shared" si="2"/>
        <v>84</v>
      </c>
      <c r="B87" s="218" t="s">
        <v>203</v>
      </c>
      <c r="C87" s="219" t="str">
        <f t="shared" si="1"/>
        <v>MN/0264/2025</v>
      </c>
      <c r="D87" s="218" t="b">
        <v>1</v>
      </c>
      <c r="E87" s="219" t="b">
        <v>0</v>
      </c>
      <c r="F87" s="219"/>
      <c r="G87" s="173"/>
      <c r="H87" s="157" t="s">
        <v>3618</v>
      </c>
      <c r="I87" s="157" t="s">
        <v>4273</v>
      </c>
      <c r="J87" s="157">
        <v>2025.0</v>
      </c>
    </row>
    <row r="88">
      <c r="A88" s="218">
        <f t="shared" si="2"/>
        <v>85</v>
      </c>
      <c r="B88" s="218" t="s">
        <v>203</v>
      </c>
      <c r="C88" s="219" t="str">
        <f t="shared" si="1"/>
        <v>MN/0265/2025</v>
      </c>
      <c r="D88" s="218" t="b">
        <v>1</v>
      </c>
      <c r="E88" s="219" t="b">
        <v>0</v>
      </c>
      <c r="F88" s="219"/>
      <c r="G88" s="173"/>
      <c r="H88" s="157" t="s">
        <v>3618</v>
      </c>
      <c r="I88" s="157" t="s">
        <v>4280</v>
      </c>
      <c r="J88" s="157">
        <v>2025.0</v>
      </c>
    </row>
    <row r="89">
      <c r="A89" s="218">
        <f t="shared" si="2"/>
        <v>86</v>
      </c>
      <c r="B89" s="218" t="s">
        <v>203</v>
      </c>
      <c r="C89" s="219" t="str">
        <f t="shared" si="1"/>
        <v>MN/0266/2025</v>
      </c>
      <c r="D89" s="218" t="b">
        <v>1</v>
      </c>
      <c r="E89" s="219" t="b">
        <v>0</v>
      </c>
      <c r="F89" s="219"/>
      <c r="G89" s="173"/>
      <c r="H89" s="157" t="s">
        <v>3618</v>
      </c>
      <c r="I89" s="157" t="s">
        <v>4289</v>
      </c>
      <c r="J89" s="157">
        <v>2025.0</v>
      </c>
    </row>
    <row r="90">
      <c r="A90" s="218">
        <f t="shared" si="2"/>
        <v>87</v>
      </c>
      <c r="B90" s="218" t="s">
        <v>203</v>
      </c>
      <c r="C90" s="219" t="str">
        <f t="shared" si="1"/>
        <v>MN/0267/2025</v>
      </c>
      <c r="D90" s="218" t="b">
        <v>1</v>
      </c>
      <c r="E90" s="219" t="b">
        <v>0</v>
      </c>
      <c r="F90" s="219"/>
      <c r="G90" s="173"/>
      <c r="H90" s="157" t="s">
        <v>3618</v>
      </c>
      <c r="I90" s="157" t="s">
        <v>4298</v>
      </c>
      <c r="J90" s="157">
        <v>2025.0</v>
      </c>
    </row>
    <row r="91">
      <c r="A91" s="218">
        <f t="shared" si="2"/>
        <v>88</v>
      </c>
      <c r="B91" s="218" t="s">
        <v>203</v>
      </c>
      <c r="C91" s="219" t="str">
        <f t="shared" si="1"/>
        <v>MN/0268/2025</v>
      </c>
      <c r="D91" s="218" t="b">
        <v>1</v>
      </c>
      <c r="E91" s="219" t="b">
        <v>0</v>
      </c>
      <c r="F91" s="219"/>
      <c r="G91" s="173"/>
      <c r="H91" s="157" t="s">
        <v>3618</v>
      </c>
      <c r="I91" s="157" t="s">
        <v>4304</v>
      </c>
      <c r="J91" s="157">
        <v>2025.0</v>
      </c>
    </row>
    <row r="92">
      <c r="A92" s="218">
        <f t="shared" si="2"/>
        <v>89</v>
      </c>
      <c r="B92" s="218" t="s">
        <v>203</v>
      </c>
      <c r="C92" s="219" t="str">
        <f t="shared" si="1"/>
        <v>MN/0269/2025</v>
      </c>
      <c r="D92" s="218" t="b">
        <v>1</v>
      </c>
      <c r="E92" s="219" t="b">
        <v>0</v>
      </c>
      <c r="F92" s="219"/>
      <c r="G92" s="173"/>
      <c r="H92" s="157" t="s">
        <v>3618</v>
      </c>
      <c r="I92" s="157" t="s">
        <v>4312</v>
      </c>
      <c r="J92" s="157">
        <v>2025.0</v>
      </c>
    </row>
    <row r="93">
      <c r="A93" s="218">
        <f t="shared" si="2"/>
        <v>90</v>
      </c>
      <c r="B93" s="218" t="s">
        <v>203</v>
      </c>
      <c r="C93" s="219" t="str">
        <f t="shared" si="1"/>
        <v>MN/0270/2025</v>
      </c>
      <c r="D93" s="218" t="b">
        <v>1</v>
      </c>
      <c r="E93" s="219" t="b">
        <v>0</v>
      </c>
      <c r="F93" s="219"/>
      <c r="G93" s="173"/>
      <c r="H93" s="157" t="s">
        <v>3618</v>
      </c>
      <c r="I93" s="157" t="s">
        <v>4319</v>
      </c>
      <c r="J93" s="157">
        <v>2025.0</v>
      </c>
    </row>
    <row r="94">
      <c r="A94" s="218">
        <f t="shared" si="2"/>
        <v>91</v>
      </c>
      <c r="B94" s="218" t="s">
        <v>203</v>
      </c>
      <c r="C94" s="219" t="str">
        <f t="shared" si="1"/>
        <v>MN/0271/2025</v>
      </c>
      <c r="D94" s="218" t="b">
        <v>1</v>
      </c>
      <c r="E94" s="219" t="b">
        <v>0</v>
      </c>
      <c r="F94" s="219"/>
      <c r="G94" s="173"/>
      <c r="H94" s="157" t="s">
        <v>3618</v>
      </c>
      <c r="I94" s="157" t="s">
        <v>4327</v>
      </c>
      <c r="J94" s="157">
        <v>2025.0</v>
      </c>
    </row>
    <row r="95">
      <c r="A95" s="218">
        <f t="shared" si="2"/>
        <v>92</v>
      </c>
      <c r="B95" s="218" t="s">
        <v>203</v>
      </c>
      <c r="C95" s="219" t="str">
        <f t="shared" si="1"/>
        <v>MN/0272/2025</v>
      </c>
      <c r="D95" s="218" t="b">
        <v>1</v>
      </c>
      <c r="E95" s="219" t="b">
        <v>0</v>
      </c>
      <c r="F95" s="219"/>
      <c r="G95" s="173"/>
      <c r="H95" s="157" t="s">
        <v>3618</v>
      </c>
      <c r="I95" s="157" t="s">
        <v>4338</v>
      </c>
      <c r="J95" s="157">
        <v>2025.0</v>
      </c>
    </row>
    <row r="96">
      <c r="A96" s="218">
        <f t="shared" si="2"/>
        <v>93</v>
      </c>
      <c r="B96" s="218" t="s">
        <v>203</v>
      </c>
      <c r="C96" s="219" t="str">
        <f t="shared" si="1"/>
        <v>MN/0273/2025</v>
      </c>
      <c r="D96" s="218" t="b">
        <v>1</v>
      </c>
      <c r="E96" s="219" t="b">
        <v>0</v>
      </c>
      <c r="F96" s="219"/>
      <c r="G96" s="173"/>
      <c r="H96" s="157" t="s">
        <v>3618</v>
      </c>
      <c r="I96" s="157" t="s">
        <v>4345</v>
      </c>
      <c r="J96" s="157">
        <v>2025.0</v>
      </c>
    </row>
    <row r="97">
      <c r="A97" s="218">
        <f t="shared" si="2"/>
        <v>94</v>
      </c>
      <c r="B97" s="218" t="s">
        <v>203</v>
      </c>
      <c r="C97" s="219" t="str">
        <f t="shared" si="1"/>
        <v>MN/0274/2025</v>
      </c>
      <c r="D97" s="218" t="b">
        <v>1</v>
      </c>
      <c r="E97" s="219" t="b">
        <v>0</v>
      </c>
      <c r="F97" s="219"/>
      <c r="G97" s="173"/>
      <c r="H97" s="157" t="s">
        <v>3618</v>
      </c>
      <c r="I97" s="157" t="s">
        <v>4354</v>
      </c>
      <c r="J97" s="157">
        <v>2025.0</v>
      </c>
    </row>
    <row r="98">
      <c r="A98" s="218">
        <f t="shared" si="2"/>
        <v>95</v>
      </c>
      <c r="B98" s="218" t="s">
        <v>203</v>
      </c>
      <c r="C98" s="219" t="str">
        <f t="shared" si="1"/>
        <v>MN/0275/2025</v>
      </c>
      <c r="D98" s="218" t="b">
        <v>1</v>
      </c>
      <c r="E98" s="219" t="b">
        <v>0</v>
      </c>
      <c r="F98" s="219"/>
      <c r="G98" s="173"/>
      <c r="H98" s="157" t="s">
        <v>3618</v>
      </c>
      <c r="I98" s="157" t="s">
        <v>4363</v>
      </c>
      <c r="J98" s="157">
        <v>2025.0</v>
      </c>
    </row>
    <row r="99">
      <c r="A99" s="218">
        <f t="shared" si="2"/>
        <v>96</v>
      </c>
      <c r="B99" s="218" t="s">
        <v>203</v>
      </c>
      <c r="C99" s="219" t="str">
        <f t="shared" si="1"/>
        <v>MN/0276/2025</v>
      </c>
      <c r="D99" s="218" t="b">
        <v>1</v>
      </c>
      <c r="E99" s="219" t="b">
        <v>0</v>
      </c>
      <c r="F99" s="219"/>
      <c r="G99" s="173"/>
      <c r="H99" s="157" t="s">
        <v>3618</v>
      </c>
      <c r="I99" s="157" t="s">
        <v>4373</v>
      </c>
      <c r="J99" s="157">
        <v>2025.0</v>
      </c>
    </row>
    <row r="100">
      <c r="A100" s="218">
        <f t="shared" si="2"/>
        <v>97</v>
      </c>
      <c r="B100" s="218" t="s">
        <v>203</v>
      </c>
      <c r="C100" s="219" t="str">
        <f t="shared" si="1"/>
        <v>MN/0277/2025</v>
      </c>
      <c r="D100" s="218" t="b">
        <v>1</v>
      </c>
      <c r="E100" s="219" t="b">
        <v>0</v>
      </c>
      <c r="F100" s="219"/>
      <c r="G100" s="173"/>
      <c r="H100" s="157" t="s">
        <v>3618</v>
      </c>
      <c r="I100" s="157" t="s">
        <v>4379</v>
      </c>
      <c r="J100" s="157">
        <v>2025.0</v>
      </c>
    </row>
    <row r="101">
      <c r="A101" s="218">
        <f t="shared" si="2"/>
        <v>98</v>
      </c>
      <c r="B101" s="218" t="s">
        <v>203</v>
      </c>
      <c r="C101" s="219" t="str">
        <f t="shared" si="1"/>
        <v>MN/0278/2025</v>
      </c>
      <c r="D101" s="218" t="b">
        <v>1</v>
      </c>
      <c r="E101" s="219" t="b">
        <v>0</v>
      </c>
      <c r="F101" s="219"/>
      <c r="G101" s="173"/>
      <c r="H101" s="157" t="s">
        <v>3618</v>
      </c>
      <c r="I101" s="157" t="s">
        <v>4384</v>
      </c>
      <c r="J101" s="157">
        <v>2025.0</v>
      </c>
    </row>
    <row r="102">
      <c r="A102" s="218">
        <f t="shared" si="2"/>
        <v>99</v>
      </c>
      <c r="B102" s="218" t="s">
        <v>203</v>
      </c>
      <c r="C102" s="219" t="str">
        <f t="shared" si="1"/>
        <v>MN/0279/2025</v>
      </c>
      <c r="D102" s="218" t="b">
        <v>1</v>
      </c>
      <c r="E102" s="219" t="b">
        <v>0</v>
      </c>
      <c r="F102" s="219"/>
      <c r="G102" s="173"/>
      <c r="H102" s="157" t="s">
        <v>3618</v>
      </c>
      <c r="I102" s="157" t="s">
        <v>4385</v>
      </c>
      <c r="J102" s="157">
        <v>2025.0</v>
      </c>
    </row>
    <row r="103">
      <c r="A103" s="218">
        <f t="shared" si="2"/>
        <v>100</v>
      </c>
      <c r="B103" s="218" t="s">
        <v>203</v>
      </c>
      <c r="C103" s="219" t="str">
        <f t="shared" si="1"/>
        <v>MN/0280/2025</v>
      </c>
      <c r="D103" s="218" t="b">
        <v>1</v>
      </c>
      <c r="E103" s="219" t="b">
        <v>0</v>
      </c>
      <c r="F103" s="219"/>
      <c r="G103" s="173"/>
      <c r="H103" s="157" t="s">
        <v>3618</v>
      </c>
      <c r="I103" s="157" t="s">
        <v>4395</v>
      </c>
      <c r="J103" s="157">
        <v>2025.0</v>
      </c>
    </row>
    <row r="104">
      <c r="A104" s="218">
        <f t="shared" si="2"/>
        <v>101</v>
      </c>
      <c r="B104" s="218" t="s">
        <v>203</v>
      </c>
      <c r="C104" s="219" t="str">
        <f t="shared" si="1"/>
        <v>MN/0281/2025</v>
      </c>
      <c r="D104" s="218" t="b">
        <v>1</v>
      </c>
      <c r="E104" s="219" t="b">
        <v>0</v>
      </c>
      <c r="F104" s="219"/>
      <c r="G104" s="173"/>
      <c r="H104" s="157" t="s">
        <v>3618</v>
      </c>
      <c r="I104" s="157" t="s">
        <v>4404</v>
      </c>
      <c r="J104" s="157">
        <v>2025.0</v>
      </c>
    </row>
    <row r="105">
      <c r="A105" s="218">
        <f t="shared" si="2"/>
        <v>102</v>
      </c>
      <c r="B105" s="218" t="s">
        <v>203</v>
      </c>
      <c r="C105" s="219" t="str">
        <f t="shared" si="1"/>
        <v>MN/0282/2025</v>
      </c>
      <c r="D105" s="218" t="b">
        <v>1</v>
      </c>
      <c r="E105" s="219" t="b">
        <v>0</v>
      </c>
      <c r="F105" s="219"/>
      <c r="G105" s="173"/>
      <c r="H105" s="157" t="s">
        <v>3618</v>
      </c>
      <c r="I105" s="157" t="s">
        <v>4412</v>
      </c>
      <c r="J105" s="157">
        <v>2025.0</v>
      </c>
    </row>
    <row r="106">
      <c r="A106" s="218">
        <f t="shared" si="2"/>
        <v>103</v>
      </c>
      <c r="B106" s="218" t="s">
        <v>203</v>
      </c>
      <c r="C106" s="219" t="str">
        <f t="shared" si="1"/>
        <v>MN/0283/2025</v>
      </c>
      <c r="D106" s="218" t="b">
        <v>1</v>
      </c>
      <c r="E106" s="219" t="b">
        <v>0</v>
      </c>
      <c r="F106" s="219"/>
      <c r="G106" s="173"/>
      <c r="H106" s="157" t="s">
        <v>3618</v>
      </c>
      <c r="I106" s="157" t="s">
        <v>4418</v>
      </c>
      <c r="J106" s="157">
        <v>2025.0</v>
      </c>
    </row>
    <row r="107">
      <c r="A107" s="218">
        <f t="shared" si="2"/>
        <v>104</v>
      </c>
      <c r="B107" s="218" t="s">
        <v>203</v>
      </c>
      <c r="C107" s="219" t="str">
        <f t="shared" si="1"/>
        <v>MN/0284/2025</v>
      </c>
      <c r="D107" s="218" t="b">
        <v>1</v>
      </c>
      <c r="E107" s="219" t="b">
        <v>0</v>
      </c>
      <c r="F107" s="219"/>
      <c r="G107" s="173"/>
      <c r="H107" s="157" t="s">
        <v>3618</v>
      </c>
      <c r="I107" s="157" t="s">
        <v>4424</v>
      </c>
      <c r="J107" s="157">
        <v>2025.0</v>
      </c>
    </row>
    <row r="108">
      <c r="A108" s="218">
        <f t="shared" si="2"/>
        <v>105</v>
      </c>
      <c r="B108" s="218" t="s">
        <v>203</v>
      </c>
      <c r="C108" s="219" t="str">
        <f t="shared" si="1"/>
        <v>MN/0285/2025</v>
      </c>
      <c r="D108" s="218" t="b">
        <v>1</v>
      </c>
      <c r="E108" s="219" t="b">
        <v>0</v>
      </c>
      <c r="F108" s="219"/>
      <c r="G108" s="173"/>
      <c r="H108" s="157" t="s">
        <v>3618</v>
      </c>
      <c r="I108" s="157" t="s">
        <v>4429</v>
      </c>
      <c r="J108" s="157">
        <v>2025.0</v>
      </c>
    </row>
    <row r="109">
      <c r="A109" s="218">
        <f t="shared" si="2"/>
        <v>106</v>
      </c>
      <c r="B109" s="218" t="s">
        <v>203</v>
      </c>
      <c r="C109" s="219" t="str">
        <f t="shared" si="1"/>
        <v>MN/0286/2025</v>
      </c>
      <c r="D109" s="218" t="b">
        <v>1</v>
      </c>
      <c r="E109" s="219" t="b">
        <v>0</v>
      </c>
      <c r="F109" s="219"/>
      <c r="G109" s="173"/>
      <c r="H109" s="157" t="s">
        <v>3618</v>
      </c>
      <c r="I109" s="157" t="s">
        <v>4436</v>
      </c>
      <c r="J109" s="157">
        <v>2025.0</v>
      </c>
    </row>
    <row r="110">
      <c r="A110" s="218">
        <f t="shared" si="2"/>
        <v>107</v>
      </c>
      <c r="B110" s="218" t="s">
        <v>203</v>
      </c>
      <c r="C110" s="219" t="str">
        <f t="shared" si="1"/>
        <v>MN/0287/2025</v>
      </c>
      <c r="D110" s="218" t="b">
        <v>1</v>
      </c>
      <c r="E110" s="219" t="b">
        <v>0</v>
      </c>
      <c r="F110" s="219"/>
      <c r="G110" s="173"/>
      <c r="H110" s="157" t="s">
        <v>3618</v>
      </c>
      <c r="I110" s="157" t="s">
        <v>4444</v>
      </c>
      <c r="J110" s="157">
        <v>2025.0</v>
      </c>
    </row>
    <row r="111">
      <c r="A111" s="218">
        <f t="shared" si="2"/>
        <v>108</v>
      </c>
      <c r="B111" s="218" t="s">
        <v>203</v>
      </c>
      <c r="C111" s="219" t="str">
        <f t="shared" si="1"/>
        <v>MN/0288/2025</v>
      </c>
      <c r="D111" s="218" t="b">
        <v>1</v>
      </c>
      <c r="E111" s="219" t="b">
        <v>0</v>
      </c>
      <c r="F111" s="219"/>
      <c r="G111" s="173"/>
      <c r="H111" s="157" t="s">
        <v>3618</v>
      </c>
      <c r="I111" s="157" t="s">
        <v>4451</v>
      </c>
      <c r="J111" s="157">
        <v>2025.0</v>
      </c>
    </row>
    <row r="112">
      <c r="A112" s="218">
        <f t="shared" si="2"/>
        <v>109</v>
      </c>
      <c r="B112" s="218" t="s">
        <v>203</v>
      </c>
      <c r="C112" s="219" t="str">
        <f t="shared" si="1"/>
        <v>MN/0289/2025</v>
      </c>
      <c r="D112" s="218" t="b">
        <v>1</v>
      </c>
      <c r="E112" s="219" t="b">
        <v>0</v>
      </c>
      <c r="F112" s="219"/>
      <c r="G112" s="173"/>
      <c r="H112" s="157" t="s">
        <v>3618</v>
      </c>
      <c r="I112" s="157" t="s">
        <v>4453</v>
      </c>
      <c r="J112" s="157">
        <v>2025.0</v>
      </c>
    </row>
    <row r="113">
      <c r="A113" s="218">
        <f t="shared" si="2"/>
        <v>110</v>
      </c>
      <c r="B113" s="218" t="s">
        <v>203</v>
      </c>
      <c r="C113" s="219" t="str">
        <f t="shared" si="1"/>
        <v>MN/0290/2025</v>
      </c>
      <c r="D113" s="218" t="b">
        <v>1</v>
      </c>
      <c r="E113" s="219" t="b">
        <v>0</v>
      </c>
      <c r="F113" s="219"/>
      <c r="G113" s="173"/>
      <c r="H113" s="157" t="s">
        <v>3618</v>
      </c>
      <c r="I113" s="157" t="s">
        <v>4454</v>
      </c>
      <c r="J113" s="157">
        <v>2025.0</v>
      </c>
    </row>
    <row r="114">
      <c r="A114" s="218">
        <f t="shared" si="2"/>
        <v>111</v>
      </c>
      <c r="B114" s="218" t="s">
        <v>203</v>
      </c>
      <c r="C114" s="219" t="str">
        <f t="shared" si="1"/>
        <v>MN/0291/2025</v>
      </c>
      <c r="D114" s="218" t="b">
        <v>1</v>
      </c>
      <c r="E114" s="219" t="b">
        <v>0</v>
      </c>
      <c r="F114" s="219"/>
      <c r="G114" s="173"/>
      <c r="H114" s="157" t="s">
        <v>3618</v>
      </c>
      <c r="I114" s="157" t="s">
        <v>4455</v>
      </c>
      <c r="J114" s="157">
        <v>2025.0</v>
      </c>
    </row>
    <row r="115">
      <c r="A115" s="218">
        <f t="shared" si="2"/>
        <v>112</v>
      </c>
      <c r="B115" s="218" t="s">
        <v>203</v>
      </c>
      <c r="C115" s="219" t="str">
        <f t="shared" si="1"/>
        <v>MN/0292/2025</v>
      </c>
      <c r="D115" s="218" t="b">
        <v>1</v>
      </c>
      <c r="E115" s="219" t="b">
        <v>0</v>
      </c>
      <c r="F115" s="219"/>
      <c r="G115" s="173"/>
      <c r="H115" s="157" t="s">
        <v>3618</v>
      </c>
      <c r="I115" s="157" t="s">
        <v>4457</v>
      </c>
      <c r="J115" s="157">
        <v>2025.0</v>
      </c>
    </row>
    <row r="116">
      <c r="A116" s="218">
        <f t="shared" si="2"/>
        <v>113</v>
      </c>
      <c r="B116" s="218" t="s">
        <v>203</v>
      </c>
      <c r="C116" s="219" t="str">
        <f t="shared" si="1"/>
        <v>MN/0293/2025</v>
      </c>
      <c r="D116" s="218" t="b">
        <v>1</v>
      </c>
      <c r="E116" s="219" t="b">
        <v>0</v>
      </c>
      <c r="F116" s="219"/>
      <c r="G116" s="173"/>
      <c r="H116" s="157" t="s">
        <v>3618</v>
      </c>
      <c r="I116" s="157" t="s">
        <v>4464</v>
      </c>
      <c r="J116" s="157">
        <v>2025.0</v>
      </c>
    </row>
    <row r="117">
      <c r="A117" s="218">
        <f t="shared" si="2"/>
        <v>114</v>
      </c>
      <c r="B117" s="218" t="s">
        <v>203</v>
      </c>
      <c r="C117" s="219" t="str">
        <f t="shared" si="1"/>
        <v>MN/0294/2025</v>
      </c>
      <c r="D117" s="218" t="b">
        <v>1</v>
      </c>
      <c r="E117" s="219" t="b">
        <v>0</v>
      </c>
      <c r="F117" s="219"/>
      <c r="G117" s="173"/>
      <c r="H117" s="157" t="s">
        <v>3618</v>
      </c>
      <c r="I117" s="157" t="s">
        <v>4468</v>
      </c>
      <c r="J117" s="157">
        <v>2025.0</v>
      </c>
    </row>
    <row r="118">
      <c r="A118" s="218">
        <f t="shared" si="2"/>
        <v>115</v>
      </c>
      <c r="B118" s="218" t="s">
        <v>203</v>
      </c>
      <c r="C118" s="219" t="str">
        <f t="shared" si="1"/>
        <v>MN/0295/2025</v>
      </c>
      <c r="D118" s="218" t="b">
        <v>1</v>
      </c>
      <c r="E118" s="219" t="b">
        <v>0</v>
      </c>
      <c r="F118" s="219"/>
      <c r="G118" s="173"/>
      <c r="H118" s="157" t="s">
        <v>3618</v>
      </c>
      <c r="I118" s="157" t="s">
        <v>4475</v>
      </c>
      <c r="J118" s="157">
        <v>2025.0</v>
      </c>
    </row>
    <row r="119">
      <c r="A119" s="218">
        <f t="shared" si="2"/>
        <v>116</v>
      </c>
      <c r="B119" s="218" t="s">
        <v>203</v>
      </c>
      <c r="C119" s="219" t="str">
        <f t="shared" si="1"/>
        <v>MN/0296/2025</v>
      </c>
      <c r="D119" s="218" t="b">
        <v>1</v>
      </c>
      <c r="E119" s="219" t="b">
        <v>0</v>
      </c>
      <c r="F119" s="219"/>
      <c r="G119" s="173"/>
      <c r="H119" s="157" t="s">
        <v>3618</v>
      </c>
      <c r="I119" s="157" t="s">
        <v>4483</v>
      </c>
      <c r="J119" s="157">
        <v>2025.0</v>
      </c>
    </row>
    <row r="120">
      <c r="A120" s="218">
        <f t="shared" si="2"/>
        <v>117</v>
      </c>
      <c r="B120" s="218" t="s">
        <v>203</v>
      </c>
      <c r="C120" s="219" t="str">
        <f t="shared" si="1"/>
        <v>MN/0297/2025</v>
      </c>
      <c r="D120" s="218" t="b">
        <v>1</v>
      </c>
      <c r="E120" s="219" t="b">
        <v>0</v>
      </c>
      <c r="F120" s="219"/>
      <c r="G120" s="173"/>
      <c r="H120" s="157" t="s">
        <v>3618</v>
      </c>
      <c r="I120" s="157" t="s">
        <v>4488</v>
      </c>
      <c r="J120" s="157">
        <v>2025.0</v>
      </c>
    </row>
    <row r="121">
      <c r="A121" s="218">
        <f t="shared" si="2"/>
        <v>118</v>
      </c>
      <c r="B121" s="218" t="s">
        <v>203</v>
      </c>
      <c r="C121" s="219" t="str">
        <f t="shared" si="1"/>
        <v>MN/0298/2025</v>
      </c>
      <c r="D121" s="218" t="b">
        <v>1</v>
      </c>
      <c r="E121" s="219" t="b">
        <v>0</v>
      </c>
      <c r="F121" s="219"/>
      <c r="G121" s="173"/>
      <c r="H121" s="157" t="s">
        <v>3618</v>
      </c>
      <c r="I121" s="157" t="s">
        <v>4494</v>
      </c>
      <c r="J121" s="157">
        <v>2025.0</v>
      </c>
    </row>
    <row r="122">
      <c r="A122" s="218">
        <f t="shared" si="2"/>
        <v>119</v>
      </c>
      <c r="B122" s="218" t="s">
        <v>203</v>
      </c>
      <c r="C122" s="219" t="str">
        <f t="shared" si="1"/>
        <v>MN/0299/2025</v>
      </c>
      <c r="D122" s="218" t="b">
        <v>1</v>
      </c>
      <c r="E122" s="219" t="b">
        <v>0</v>
      </c>
      <c r="F122" s="219"/>
      <c r="G122" s="173"/>
      <c r="H122" s="157" t="s">
        <v>3618</v>
      </c>
      <c r="I122" s="157" t="s">
        <v>4499</v>
      </c>
      <c r="J122" s="157">
        <v>2025.0</v>
      </c>
    </row>
    <row r="123">
      <c r="A123" s="218">
        <f t="shared" si="2"/>
        <v>120</v>
      </c>
      <c r="B123" s="218" t="s">
        <v>203</v>
      </c>
      <c r="C123" s="219" t="str">
        <f t="shared" si="1"/>
        <v>MN/0300/2025</v>
      </c>
      <c r="D123" s="218" t="b">
        <v>1</v>
      </c>
      <c r="E123" s="219" t="b">
        <v>0</v>
      </c>
      <c r="F123" s="219"/>
      <c r="G123" s="173"/>
      <c r="H123" s="157" t="s">
        <v>3618</v>
      </c>
      <c r="I123" s="157" t="s">
        <v>4505</v>
      </c>
      <c r="J123" s="157">
        <v>2025.0</v>
      </c>
    </row>
    <row r="124">
      <c r="A124" s="218">
        <f t="shared" si="2"/>
        <v>121</v>
      </c>
      <c r="B124" s="218" t="s">
        <v>203</v>
      </c>
      <c r="C124" s="219" t="str">
        <f t="shared" si="1"/>
        <v>MN/0301/2025</v>
      </c>
      <c r="D124" s="218" t="b">
        <v>1</v>
      </c>
      <c r="E124" s="219" t="b">
        <v>0</v>
      </c>
      <c r="F124" s="219"/>
      <c r="G124" s="173"/>
      <c r="H124" s="157" t="s">
        <v>3618</v>
      </c>
      <c r="I124" s="157" t="s">
        <v>4512</v>
      </c>
      <c r="J124" s="157">
        <v>2025.0</v>
      </c>
    </row>
    <row r="125">
      <c r="A125" s="218">
        <f t="shared" si="2"/>
        <v>122</v>
      </c>
      <c r="B125" s="218" t="s">
        <v>203</v>
      </c>
      <c r="C125" s="219" t="str">
        <f t="shared" si="1"/>
        <v>MN/0302/2025</v>
      </c>
      <c r="D125" s="218" t="b">
        <v>1</v>
      </c>
      <c r="E125" s="219" t="b">
        <v>0</v>
      </c>
      <c r="F125" s="219"/>
      <c r="G125" s="173"/>
      <c r="H125" s="157" t="s">
        <v>3618</v>
      </c>
      <c r="I125" s="157" t="s">
        <v>4518</v>
      </c>
      <c r="J125" s="157">
        <v>2025.0</v>
      </c>
    </row>
    <row r="126">
      <c r="A126" s="218">
        <f t="shared" si="2"/>
        <v>123</v>
      </c>
      <c r="B126" s="218" t="s">
        <v>203</v>
      </c>
      <c r="C126" s="219" t="str">
        <f t="shared" si="1"/>
        <v>MN/0303/2025</v>
      </c>
      <c r="D126" s="218" t="b">
        <v>1</v>
      </c>
      <c r="E126" s="219" t="b">
        <v>0</v>
      </c>
      <c r="F126" s="219"/>
      <c r="G126" s="173"/>
      <c r="H126" s="157" t="s">
        <v>3618</v>
      </c>
      <c r="I126" s="157" t="s">
        <v>4524</v>
      </c>
      <c r="J126" s="157">
        <v>2025.0</v>
      </c>
    </row>
    <row r="127">
      <c r="A127" s="218">
        <f t="shared" si="2"/>
        <v>124</v>
      </c>
      <c r="B127" s="218" t="s">
        <v>203</v>
      </c>
      <c r="C127" s="219" t="str">
        <f t="shared" si="1"/>
        <v>MN/0304/2025</v>
      </c>
      <c r="D127" s="218" t="b">
        <v>1</v>
      </c>
      <c r="E127" s="219" t="b">
        <v>0</v>
      </c>
      <c r="F127" s="219"/>
      <c r="G127" s="173"/>
      <c r="H127" s="157" t="s">
        <v>3618</v>
      </c>
      <c r="I127" s="157" t="s">
        <v>4531</v>
      </c>
      <c r="J127" s="157">
        <v>2025.0</v>
      </c>
    </row>
    <row r="128">
      <c r="A128" s="218">
        <f t="shared" si="2"/>
        <v>125</v>
      </c>
      <c r="B128" s="218" t="s">
        <v>203</v>
      </c>
      <c r="C128" s="219" t="str">
        <f t="shared" si="1"/>
        <v>MN/0305/2025</v>
      </c>
      <c r="D128" s="218" t="b">
        <v>1</v>
      </c>
      <c r="E128" s="219" t="b">
        <v>0</v>
      </c>
      <c r="F128" s="219"/>
      <c r="G128" s="173"/>
      <c r="H128" s="157" t="s">
        <v>3618</v>
      </c>
      <c r="I128" s="157" t="s">
        <v>4539</v>
      </c>
      <c r="J128" s="157">
        <v>2025.0</v>
      </c>
    </row>
    <row r="129">
      <c r="A129" s="218">
        <f t="shared" si="2"/>
        <v>126</v>
      </c>
      <c r="B129" s="218" t="s">
        <v>203</v>
      </c>
      <c r="C129" s="219" t="str">
        <f t="shared" si="1"/>
        <v>MN/0306/2025</v>
      </c>
      <c r="D129" s="218" t="b">
        <v>1</v>
      </c>
      <c r="E129" s="219" t="b">
        <v>0</v>
      </c>
      <c r="F129" s="219"/>
      <c r="G129" s="173"/>
      <c r="H129" s="157" t="s">
        <v>3618</v>
      </c>
      <c r="I129" s="157" t="s">
        <v>4547</v>
      </c>
      <c r="J129" s="157">
        <v>2025.0</v>
      </c>
    </row>
    <row r="130">
      <c r="A130" s="218">
        <f t="shared" si="2"/>
        <v>127</v>
      </c>
      <c r="B130" s="218" t="s">
        <v>203</v>
      </c>
      <c r="C130" s="219" t="str">
        <f t="shared" si="1"/>
        <v>MN/0307/2025</v>
      </c>
      <c r="D130" s="218" t="b">
        <v>1</v>
      </c>
      <c r="E130" s="219" t="b">
        <v>0</v>
      </c>
      <c r="F130" s="219"/>
      <c r="G130" s="173"/>
      <c r="H130" s="157" t="s">
        <v>3618</v>
      </c>
      <c r="I130" s="157" t="s">
        <v>4554</v>
      </c>
      <c r="J130" s="157">
        <v>2025.0</v>
      </c>
    </row>
    <row r="131">
      <c r="A131" s="218">
        <f t="shared" si="2"/>
        <v>128</v>
      </c>
      <c r="B131" s="218" t="s">
        <v>203</v>
      </c>
      <c r="C131" s="219" t="str">
        <f t="shared" si="1"/>
        <v>MN/0308/2025</v>
      </c>
      <c r="D131" s="218" t="b">
        <v>1</v>
      </c>
      <c r="E131" s="219" t="b">
        <v>0</v>
      </c>
      <c r="F131" s="219"/>
      <c r="G131" s="173"/>
      <c r="H131" s="157" t="s">
        <v>3618</v>
      </c>
      <c r="I131" s="157" t="s">
        <v>4559</v>
      </c>
      <c r="J131" s="157">
        <v>2025.0</v>
      </c>
    </row>
    <row r="132">
      <c r="A132" s="218">
        <f t="shared" si="2"/>
        <v>129</v>
      </c>
      <c r="B132" s="218" t="s">
        <v>203</v>
      </c>
      <c r="C132" s="219" t="str">
        <f t="shared" si="1"/>
        <v>MN/0309/2025</v>
      </c>
      <c r="D132" s="218" t="b">
        <v>1</v>
      </c>
      <c r="E132" s="219" t="b">
        <v>0</v>
      </c>
      <c r="F132" s="219"/>
      <c r="G132" s="173"/>
      <c r="H132" s="157" t="s">
        <v>3618</v>
      </c>
      <c r="I132" s="157" t="s">
        <v>4567</v>
      </c>
      <c r="J132" s="157">
        <v>2025.0</v>
      </c>
    </row>
    <row r="133">
      <c r="A133" s="218">
        <f t="shared" si="2"/>
        <v>130</v>
      </c>
      <c r="B133" s="218" t="s">
        <v>203</v>
      </c>
      <c r="C133" s="219" t="str">
        <f t="shared" si="1"/>
        <v>MN/0310/2025</v>
      </c>
      <c r="D133" s="218" t="b">
        <v>1</v>
      </c>
      <c r="E133" s="219" t="b">
        <v>0</v>
      </c>
      <c r="F133" s="219"/>
      <c r="G133" s="173"/>
      <c r="H133" s="157" t="s">
        <v>3618</v>
      </c>
      <c r="I133" s="157" t="s">
        <v>4574</v>
      </c>
      <c r="J133" s="157">
        <v>2025.0</v>
      </c>
    </row>
    <row r="134">
      <c r="A134" s="218">
        <f t="shared" si="2"/>
        <v>131</v>
      </c>
      <c r="B134" s="218" t="s">
        <v>203</v>
      </c>
      <c r="C134" s="219" t="str">
        <f t="shared" si="1"/>
        <v>MN/0311/2025</v>
      </c>
      <c r="D134" s="218" t="b">
        <v>1</v>
      </c>
      <c r="E134" s="219" t="b">
        <v>0</v>
      </c>
      <c r="F134" s="219"/>
      <c r="G134" s="173"/>
      <c r="H134" s="157" t="s">
        <v>3618</v>
      </c>
      <c r="I134" s="157" t="s">
        <v>4581</v>
      </c>
      <c r="J134" s="157">
        <v>2025.0</v>
      </c>
    </row>
    <row r="135">
      <c r="A135" s="218">
        <f t="shared" si="2"/>
        <v>132</v>
      </c>
      <c r="B135" s="218" t="s">
        <v>203</v>
      </c>
      <c r="C135" s="219" t="str">
        <f t="shared" si="1"/>
        <v>MN/0312/2025</v>
      </c>
      <c r="D135" s="218" t="b">
        <v>1</v>
      </c>
      <c r="E135" s="219" t="b">
        <v>0</v>
      </c>
      <c r="F135" s="219"/>
      <c r="G135" s="173"/>
      <c r="H135" s="157" t="s">
        <v>3618</v>
      </c>
      <c r="I135" s="157" t="s">
        <v>4587</v>
      </c>
      <c r="J135" s="157">
        <v>2025.0</v>
      </c>
    </row>
    <row r="136">
      <c r="A136" s="218">
        <f t="shared" si="2"/>
        <v>133</v>
      </c>
      <c r="B136" s="218" t="s">
        <v>203</v>
      </c>
      <c r="C136" s="219" t="str">
        <f t="shared" si="1"/>
        <v>MN/0313/2025</v>
      </c>
      <c r="D136" s="218" t="b">
        <v>1</v>
      </c>
      <c r="E136" s="219" t="b">
        <v>0</v>
      </c>
      <c r="F136" s="219"/>
      <c r="G136" s="173"/>
      <c r="H136" s="157" t="s">
        <v>3618</v>
      </c>
      <c r="I136" s="157" t="s">
        <v>4595</v>
      </c>
      <c r="J136" s="157">
        <v>2025.0</v>
      </c>
    </row>
    <row r="137">
      <c r="A137" s="218">
        <f t="shared" si="2"/>
        <v>134</v>
      </c>
      <c r="B137" s="218" t="s">
        <v>203</v>
      </c>
      <c r="C137" s="219" t="str">
        <f t="shared" si="1"/>
        <v>MN/0314/2025</v>
      </c>
      <c r="D137" s="218" t="b">
        <v>1</v>
      </c>
      <c r="E137" s="219" t="b">
        <v>0</v>
      </c>
      <c r="F137" s="219"/>
      <c r="G137" s="173"/>
      <c r="H137" s="157" t="s">
        <v>3618</v>
      </c>
      <c r="I137" s="157" t="s">
        <v>4598</v>
      </c>
      <c r="J137" s="157">
        <v>2025.0</v>
      </c>
    </row>
    <row r="138">
      <c r="A138" s="218">
        <f t="shared" si="2"/>
        <v>135</v>
      </c>
      <c r="B138" s="218" t="s">
        <v>203</v>
      </c>
      <c r="C138" s="219" t="str">
        <f t="shared" si="1"/>
        <v>MN/0315/2025</v>
      </c>
      <c r="D138" s="218" t="b">
        <v>1</v>
      </c>
      <c r="E138" s="219" t="b">
        <v>0</v>
      </c>
      <c r="F138" s="219"/>
      <c r="G138" s="173"/>
      <c r="H138" s="157" t="s">
        <v>3618</v>
      </c>
      <c r="I138" s="157" t="s">
        <v>4604</v>
      </c>
      <c r="J138" s="157">
        <v>2025.0</v>
      </c>
    </row>
    <row r="139">
      <c r="A139" s="218">
        <f t="shared" si="2"/>
        <v>136</v>
      </c>
      <c r="B139" s="218" t="s">
        <v>203</v>
      </c>
      <c r="C139" s="219" t="str">
        <f t="shared" si="1"/>
        <v>MN/0316/2025</v>
      </c>
      <c r="D139" s="218" t="b">
        <v>1</v>
      </c>
      <c r="E139" s="219" t="b">
        <v>0</v>
      </c>
      <c r="F139" s="219"/>
      <c r="G139" s="173"/>
      <c r="H139" s="157" t="s">
        <v>3618</v>
      </c>
      <c r="I139" s="157" t="s">
        <v>4610</v>
      </c>
      <c r="J139" s="157">
        <v>2025.0</v>
      </c>
    </row>
    <row r="140">
      <c r="A140" s="218">
        <f t="shared" si="2"/>
        <v>137</v>
      </c>
      <c r="B140" s="218" t="s">
        <v>203</v>
      </c>
      <c r="C140" s="219" t="str">
        <f t="shared" si="1"/>
        <v>MN/0317/2025</v>
      </c>
      <c r="D140" s="218" t="b">
        <v>1</v>
      </c>
      <c r="E140" s="219" t="b">
        <v>0</v>
      </c>
      <c r="F140" s="219"/>
      <c r="G140" s="173"/>
      <c r="H140" s="157" t="s">
        <v>3618</v>
      </c>
      <c r="I140" s="157" t="s">
        <v>4614</v>
      </c>
      <c r="J140" s="157">
        <v>2025.0</v>
      </c>
    </row>
    <row r="141">
      <c r="A141" s="218">
        <f t="shared" si="2"/>
        <v>138</v>
      </c>
      <c r="B141" s="218" t="s">
        <v>203</v>
      </c>
      <c r="C141" s="219" t="str">
        <f t="shared" si="1"/>
        <v>MN/0318/2025</v>
      </c>
      <c r="D141" s="218" t="b">
        <v>1</v>
      </c>
      <c r="E141" s="219" t="b">
        <v>0</v>
      </c>
      <c r="F141" s="219"/>
      <c r="G141" s="173"/>
      <c r="H141" s="157" t="s">
        <v>3618</v>
      </c>
      <c r="I141" s="157" t="s">
        <v>4621</v>
      </c>
      <c r="J141" s="157">
        <v>2025.0</v>
      </c>
    </row>
    <row r="142">
      <c r="A142" s="218">
        <f t="shared" si="2"/>
        <v>139</v>
      </c>
      <c r="B142" s="218" t="s">
        <v>203</v>
      </c>
      <c r="C142" s="219" t="str">
        <f t="shared" si="1"/>
        <v>MN/0319/2025</v>
      </c>
      <c r="D142" s="218" t="b">
        <v>1</v>
      </c>
      <c r="E142" s="219" t="b">
        <v>0</v>
      </c>
      <c r="F142" s="219"/>
      <c r="G142" s="173"/>
      <c r="H142" s="157" t="s">
        <v>3618</v>
      </c>
      <c r="I142" s="157" t="s">
        <v>4625</v>
      </c>
      <c r="J142" s="157">
        <v>2025.0</v>
      </c>
    </row>
    <row r="143">
      <c r="A143" s="218">
        <f t="shared" si="2"/>
        <v>140</v>
      </c>
      <c r="B143" s="218" t="s">
        <v>203</v>
      </c>
      <c r="C143" s="219" t="str">
        <f t="shared" si="1"/>
        <v>MN/0320/2025</v>
      </c>
      <c r="D143" s="218" t="b">
        <v>1</v>
      </c>
      <c r="E143" s="219" t="b">
        <v>0</v>
      </c>
      <c r="F143" s="219"/>
      <c r="G143" s="173"/>
      <c r="H143" s="157" t="s">
        <v>3618</v>
      </c>
      <c r="I143" s="157" t="s">
        <v>4632</v>
      </c>
      <c r="J143" s="157">
        <v>2025.0</v>
      </c>
    </row>
    <row r="144">
      <c r="A144" s="218">
        <f t="shared" si="2"/>
        <v>141</v>
      </c>
      <c r="B144" s="218" t="s">
        <v>203</v>
      </c>
      <c r="C144" s="219" t="str">
        <f t="shared" si="1"/>
        <v>MN/0321/2025</v>
      </c>
      <c r="D144" s="218" t="b">
        <v>1</v>
      </c>
      <c r="E144" s="219" t="b">
        <v>0</v>
      </c>
      <c r="F144" s="219"/>
      <c r="G144" s="173"/>
      <c r="H144" s="157" t="s">
        <v>3618</v>
      </c>
      <c r="I144" s="157" t="s">
        <v>4637</v>
      </c>
      <c r="J144" s="157">
        <v>2025.0</v>
      </c>
    </row>
    <row r="145">
      <c r="A145" s="218">
        <f t="shared" si="2"/>
        <v>142</v>
      </c>
      <c r="B145" s="218" t="s">
        <v>203</v>
      </c>
      <c r="C145" s="219" t="str">
        <f t="shared" si="1"/>
        <v>MN/0322/2025</v>
      </c>
      <c r="D145" s="218" t="b">
        <v>1</v>
      </c>
      <c r="E145" s="219" t="b">
        <v>0</v>
      </c>
      <c r="F145" s="219"/>
      <c r="G145" s="173"/>
      <c r="H145" s="157" t="s">
        <v>3618</v>
      </c>
      <c r="I145" s="157" t="s">
        <v>4638</v>
      </c>
      <c r="J145" s="157">
        <v>2025.0</v>
      </c>
    </row>
    <row r="146">
      <c r="A146" s="218">
        <f t="shared" si="2"/>
        <v>143</v>
      </c>
      <c r="B146" s="218" t="s">
        <v>203</v>
      </c>
      <c r="C146" s="219" t="str">
        <f t="shared" si="1"/>
        <v>MN/0323/2025</v>
      </c>
      <c r="D146" s="218" t="b">
        <v>1</v>
      </c>
      <c r="E146" s="219" t="b">
        <v>0</v>
      </c>
      <c r="F146" s="219"/>
      <c r="G146" s="173"/>
      <c r="H146" s="157" t="s">
        <v>3618</v>
      </c>
      <c r="I146" s="157" t="s">
        <v>4639</v>
      </c>
      <c r="J146" s="157">
        <v>2025.0</v>
      </c>
    </row>
    <row r="147">
      <c r="A147" s="218">
        <f t="shared" si="2"/>
        <v>144</v>
      </c>
      <c r="B147" s="218" t="s">
        <v>203</v>
      </c>
      <c r="C147" s="219" t="str">
        <f t="shared" si="1"/>
        <v>MN/0324/2025</v>
      </c>
      <c r="D147" s="218" t="b">
        <v>1</v>
      </c>
      <c r="E147" s="219" t="b">
        <v>0</v>
      </c>
      <c r="F147" s="219"/>
      <c r="G147" s="173"/>
      <c r="H147" s="157" t="s">
        <v>3618</v>
      </c>
      <c r="I147" s="157" t="s">
        <v>4650</v>
      </c>
      <c r="J147" s="157">
        <v>2025.0</v>
      </c>
    </row>
    <row r="148">
      <c r="A148" s="218">
        <f t="shared" si="2"/>
        <v>145</v>
      </c>
      <c r="B148" s="218" t="s">
        <v>203</v>
      </c>
      <c r="C148" s="219" t="str">
        <f t="shared" si="1"/>
        <v>MN/0325/2025</v>
      </c>
      <c r="D148" s="218" t="b">
        <v>1</v>
      </c>
      <c r="E148" s="219" t="b">
        <v>0</v>
      </c>
      <c r="F148" s="219"/>
      <c r="G148" s="173"/>
      <c r="H148" s="157" t="s">
        <v>3618</v>
      </c>
      <c r="I148" s="157" t="s">
        <v>4659</v>
      </c>
      <c r="J148" s="157">
        <v>2025.0</v>
      </c>
    </row>
    <row r="149">
      <c r="A149" s="218">
        <f t="shared" si="2"/>
        <v>146</v>
      </c>
      <c r="B149" s="218" t="s">
        <v>203</v>
      </c>
      <c r="C149" s="219" t="str">
        <f t="shared" si="1"/>
        <v>MN/0326/2025</v>
      </c>
      <c r="D149" s="218" t="b">
        <v>1</v>
      </c>
      <c r="E149" s="219" t="b">
        <v>0</v>
      </c>
      <c r="F149" s="219"/>
      <c r="G149" s="173"/>
      <c r="H149" s="157" t="s">
        <v>3618</v>
      </c>
      <c r="I149" s="157" t="s">
        <v>4669</v>
      </c>
      <c r="J149" s="157">
        <v>2025.0</v>
      </c>
    </row>
    <row r="150">
      <c r="A150" s="218">
        <f t="shared" si="2"/>
        <v>147</v>
      </c>
      <c r="B150" s="218" t="s">
        <v>203</v>
      </c>
      <c r="C150" s="219" t="str">
        <f t="shared" si="1"/>
        <v>MN/0327/2025</v>
      </c>
      <c r="D150" s="218" t="b">
        <v>1</v>
      </c>
      <c r="E150" s="219" t="b">
        <v>0</v>
      </c>
      <c r="F150" s="219"/>
      <c r="G150" s="173"/>
      <c r="H150" s="157" t="s">
        <v>3618</v>
      </c>
      <c r="I150" s="157" t="s">
        <v>4675</v>
      </c>
      <c r="J150" s="157">
        <v>2025.0</v>
      </c>
    </row>
    <row r="151">
      <c r="A151" s="218">
        <f t="shared" si="2"/>
        <v>148</v>
      </c>
      <c r="B151" s="218" t="s">
        <v>203</v>
      </c>
      <c r="C151" s="219" t="str">
        <f t="shared" si="1"/>
        <v>MN/0328/2025</v>
      </c>
      <c r="D151" s="218" t="b">
        <v>1</v>
      </c>
      <c r="E151" s="219" t="b">
        <v>0</v>
      </c>
      <c r="F151" s="219"/>
      <c r="G151" s="173"/>
      <c r="H151" s="157" t="s">
        <v>3618</v>
      </c>
      <c r="I151" s="157" t="s">
        <v>4680</v>
      </c>
      <c r="J151" s="157">
        <v>2025.0</v>
      </c>
    </row>
    <row r="152">
      <c r="A152" s="218">
        <f t="shared" si="2"/>
        <v>149</v>
      </c>
      <c r="B152" s="218" t="s">
        <v>203</v>
      </c>
      <c r="C152" s="219" t="str">
        <f t="shared" si="1"/>
        <v>MN/0329/2025</v>
      </c>
      <c r="D152" s="218" t="b">
        <v>1</v>
      </c>
      <c r="E152" s="219" t="b">
        <v>0</v>
      </c>
      <c r="F152" s="219"/>
      <c r="G152" s="173"/>
      <c r="H152" s="157" t="s">
        <v>3618</v>
      </c>
      <c r="I152" s="157" t="s">
        <v>4690</v>
      </c>
      <c r="J152" s="157">
        <v>2025.0</v>
      </c>
    </row>
    <row r="153">
      <c r="A153" s="218">
        <f t="shared" si="2"/>
        <v>150</v>
      </c>
      <c r="B153" s="218" t="s">
        <v>203</v>
      </c>
      <c r="C153" s="219" t="str">
        <f t="shared" si="1"/>
        <v>MN/0330/2025</v>
      </c>
      <c r="D153" s="218" t="b">
        <v>1</v>
      </c>
      <c r="E153" s="219" t="b">
        <v>0</v>
      </c>
      <c r="F153" s="219"/>
      <c r="G153" s="173"/>
      <c r="H153" s="157" t="s">
        <v>3618</v>
      </c>
      <c r="I153" s="157" t="s">
        <v>4698</v>
      </c>
      <c r="J153" s="157">
        <v>2025.0</v>
      </c>
    </row>
    <row r="154">
      <c r="A154" s="218">
        <f t="shared" si="2"/>
        <v>151</v>
      </c>
      <c r="B154" s="218" t="s">
        <v>203</v>
      </c>
      <c r="C154" s="219" t="str">
        <f t="shared" si="1"/>
        <v>MN/0331/2025</v>
      </c>
      <c r="D154" s="218" t="b">
        <v>1</v>
      </c>
      <c r="E154" s="219" t="b">
        <v>0</v>
      </c>
      <c r="F154" s="219"/>
      <c r="G154" s="173"/>
      <c r="H154" s="157" t="s">
        <v>3618</v>
      </c>
      <c r="I154" s="157" t="s">
        <v>4706</v>
      </c>
      <c r="J154" s="157">
        <v>2025.0</v>
      </c>
    </row>
    <row r="155">
      <c r="A155" s="218">
        <f t="shared" si="2"/>
        <v>152</v>
      </c>
      <c r="B155" s="218" t="s">
        <v>203</v>
      </c>
      <c r="C155" s="219" t="str">
        <f t="shared" si="1"/>
        <v>MN/0332/2025</v>
      </c>
      <c r="D155" s="218" t="b">
        <v>1</v>
      </c>
      <c r="E155" s="219" t="b">
        <v>0</v>
      </c>
      <c r="F155" s="219"/>
      <c r="G155" s="173"/>
      <c r="H155" s="157" t="s">
        <v>3618</v>
      </c>
      <c r="I155" s="157" t="s">
        <v>4713</v>
      </c>
      <c r="J155" s="157">
        <v>2025.0</v>
      </c>
    </row>
    <row r="156">
      <c r="A156" s="218">
        <f t="shared" si="2"/>
        <v>153</v>
      </c>
      <c r="B156" s="218" t="s">
        <v>203</v>
      </c>
      <c r="C156" s="219" t="str">
        <f t="shared" si="1"/>
        <v>MN/0333/2025</v>
      </c>
      <c r="D156" s="218" t="b">
        <v>1</v>
      </c>
      <c r="E156" s="219" t="b">
        <v>0</v>
      </c>
      <c r="F156" s="219"/>
      <c r="G156" s="173"/>
      <c r="H156" s="157" t="s">
        <v>3618</v>
      </c>
      <c r="I156" s="157" t="s">
        <v>4715</v>
      </c>
      <c r="J156" s="157">
        <v>2025.0</v>
      </c>
    </row>
    <row r="157">
      <c r="A157" s="218">
        <f t="shared" si="2"/>
        <v>154</v>
      </c>
      <c r="B157" s="218" t="s">
        <v>203</v>
      </c>
      <c r="C157" s="219" t="str">
        <f t="shared" si="1"/>
        <v>MN/0334/2025</v>
      </c>
      <c r="D157" s="218" t="b">
        <v>1</v>
      </c>
      <c r="E157" s="219" t="b">
        <v>0</v>
      </c>
      <c r="F157" s="219"/>
      <c r="G157" s="173"/>
      <c r="H157" s="157" t="s">
        <v>3618</v>
      </c>
      <c r="I157" s="157" t="s">
        <v>4716</v>
      </c>
      <c r="J157" s="157">
        <v>2025.0</v>
      </c>
    </row>
    <row r="158">
      <c r="A158" s="218">
        <f t="shared" si="2"/>
        <v>155</v>
      </c>
      <c r="B158" s="218" t="s">
        <v>203</v>
      </c>
      <c r="C158" s="219" t="str">
        <f t="shared" si="1"/>
        <v>MN/0335/2025</v>
      </c>
      <c r="D158" s="218" t="b">
        <v>1</v>
      </c>
      <c r="E158" s="219" t="b">
        <v>0</v>
      </c>
      <c r="F158" s="219"/>
      <c r="G158" s="173"/>
      <c r="H158" s="157" t="s">
        <v>3618</v>
      </c>
      <c r="I158" s="157" t="s">
        <v>4718</v>
      </c>
      <c r="J158" s="157">
        <v>2025.0</v>
      </c>
    </row>
    <row r="159">
      <c r="A159" s="218">
        <f t="shared" si="2"/>
        <v>156</v>
      </c>
      <c r="B159" s="218" t="s">
        <v>203</v>
      </c>
      <c r="C159" s="219" t="str">
        <f t="shared" si="1"/>
        <v>MN/0336/2025</v>
      </c>
      <c r="D159" s="218" t="b">
        <v>1</v>
      </c>
      <c r="E159" s="219" t="b">
        <v>0</v>
      </c>
      <c r="F159" s="219"/>
      <c r="G159" s="173"/>
      <c r="H159" s="157" t="s">
        <v>3618</v>
      </c>
      <c r="I159" s="157" t="s">
        <v>4724</v>
      </c>
      <c r="J159" s="157">
        <v>2025.0</v>
      </c>
    </row>
    <row r="160">
      <c r="A160" s="218">
        <f t="shared" si="2"/>
        <v>157</v>
      </c>
      <c r="B160" s="218" t="s">
        <v>203</v>
      </c>
      <c r="C160" s="219" t="str">
        <f t="shared" si="1"/>
        <v>MN/0337/2025</v>
      </c>
      <c r="D160" s="218" t="b">
        <v>1</v>
      </c>
      <c r="E160" s="219" t="b">
        <v>0</v>
      </c>
      <c r="F160" s="219"/>
      <c r="G160" s="173"/>
      <c r="H160" s="157" t="s">
        <v>3618</v>
      </c>
      <c r="I160" s="157" t="s">
        <v>4731</v>
      </c>
      <c r="J160" s="157">
        <v>2025.0</v>
      </c>
    </row>
    <row r="161">
      <c r="A161" s="218">
        <f t="shared" si="2"/>
        <v>158</v>
      </c>
      <c r="B161" s="218" t="s">
        <v>203</v>
      </c>
      <c r="C161" s="219" t="str">
        <f t="shared" si="1"/>
        <v>MN/0338/2025</v>
      </c>
      <c r="D161" s="218" t="b">
        <v>1</v>
      </c>
      <c r="E161" s="219" t="b">
        <v>0</v>
      </c>
      <c r="F161" s="219"/>
      <c r="G161" s="173"/>
      <c r="H161" s="157" t="s">
        <v>3618</v>
      </c>
      <c r="I161" s="157" t="s">
        <v>4734</v>
      </c>
      <c r="J161" s="157">
        <v>2025.0</v>
      </c>
    </row>
    <row r="162">
      <c r="A162" s="218">
        <f t="shared" si="2"/>
        <v>159</v>
      </c>
      <c r="B162" s="218" t="s">
        <v>203</v>
      </c>
      <c r="C162" s="219" t="str">
        <f t="shared" si="1"/>
        <v>MN/0339/2025</v>
      </c>
      <c r="D162" s="218" t="b">
        <v>1</v>
      </c>
      <c r="E162" s="219" t="b">
        <v>0</v>
      </c>
      <c r="F162" s="219"/>
      <c r="G162" s="173"/>
      <c r="H162" s="157" t="s">
        <v>3618</v>
      </c>
      <c r="I162" s="157" t="s">
        <v>4735</v>
      </c>
      <c r="J162" s="157">
        <v>2025.0</v>
      </c>
    </row>
    <row r="163">
      <c r="A163" s="218">
        <f t="shared" si="2"/>
        <v>160</v>
      </c>
      <c r="B163" s="218" t="s">
        <v>203</v>
      </c>
      <c r="C163" s="219" t="str">
        <f t="shared" si="1"/>
        <v>MN/0340/2025</v>
      </c>
      <c r="D163" s="218" t="b">
        <v>1</v>
      </c>
      <c r="E163" s="219" t="b">
        <v>0</v>
      </c>
      <c r="F163" s="219"/>
      <c r="G163" s="173"/>
      <c r="H163" s="157" t="s">
        <v>3618</v>
      </c>
      <c r="I163" s="157" t="s">
        <v>4742</v>
      </c>
      <c r="J163" s="157">
        <v>2025.0</v>
      </c>
    </row>
    <row r="164">
      <c r="A164" s="218">
        <f t="shared" si="2"/>
        <v>161</v>
      </c>
      <c r="B164" s="218" t="s">
        <v>203</v>
      </c>
      <c r="C164" s="219" t="str">
        <f t="shared" si="1"/>
        <v>MN/0341/2025</v>
      </c>
      <c r="D164" s="218" t="b">
        <v>1</v>
      </c>
      <c r="E164" s="219" t="b">
        <v>0</v>
      </c>
      <c r="F164" s="219"/>
      <c r="G164" s="173"/>
      <c r="H164" s="157" t="s">
        <v>3618</v>
      </c>
      <c r="I164" s="157" t="s">
        <v>4750</v>
      </c>
      <c r="J164" s="157">
        <v>2025.0</v>
      </c>
    </row>
    <row r="165">
      <c r="A165" s="218">
        <f t="shared" si="2"/>
        <v>162</v>
      </c>
      <c r="B165" s="218" t="s">
        <v>203</v>
      </c>
      <c r="C165" s="219" t="str">
        <f t="shared" si="1"/>
        <v>MN/0342/2025</v>
      </c>
      <c r="D165" s="218" t="b">
        <v>1</v>
      </c>
      <c r="E165" s="219" t="b">
        <v>0</v>
      </c>
      <c r="F165" s="219"/>
      <c r="G165" s="173"/>
      <c r="H165" s="157" t="s">
        <v>3618</v>
      </c>
      <c r="I165" s="157" t="s">
        <v>4755</v>
      </c>
      <c r="J165" s="157">
        <v>2025.0</v>
      </c>
    </row>
    <row r="166">
      <c r="A166" s="218">
        <f t="shared" si="2"/>
        <v>163</v>
      </c>
      <c r="B166" s="218" t="s">
        <v>203</v>
      </c>
      <c r="C166" s="219" t="str">
        <f t="shared" si="1"/>
        <v>MN/0343/2025</v>
      </c>
      <c r="D166" s="218" t="b">
        <v>1</v>
      </c>
      <c r="E166" s="219" t="b">
        <v>0</v>
      </c>
      <c r="F166" s="219"/>
      <c r="G166" s="173"/>
      <c r="H166" s="157" t="s">
        <v>3618</v>
      </c>
      <c r="I166" s="157" t="s">
        <v>4765</v>
      </c>
      <c r="J166" s="157">
        <v>2025.0</v>
      </c>
    </row>
    <row r="167">
      <c r="A167" s="218">
        <f t="shared" si="2"/>
        <v>164</v>
      </c>
      <c r="B167" s="218" t="s">
        <v>203</v>
      </c>
      <c r="C167" s="219" t="str">
        <f t="shared" si="1"/>
        <v>MN/0344/2025</v>
      </c>
      <c r="D167" s="218" t="b">
        <v>1</v>
      </c>
      <c r="E167" s="219" t="b">
        <v>0</v>
      </c>
      <c r="F167" s="219"/>
      <c r="G167" s="173"/>
      <c r="H167" s="157" t="s">
        <v>3618</v>
      </c>
      <c r="I167" s="157" t="s">
        <v>4770</v>
      </c>
      <c r="J167" s="157">
        <v>2025.0</v>
      </c>
    </row>
    <row r="168">
      <c r="A168" s="218">
        <f t="shared" si="2"/>
        <v>165</v>
      </c>
      <c r="B168" s="218" t="s">
        <v>203</v>
      </c>
      <c r="C168" s="219" t="str">
        <f t="shared" si="1"/>
        <v>MN/0345/2025</v>
      </c>
      <c r="D168" s="218" t="b">
        <v>1</v>
      </c>
      <c r="E168" s="219" t="b">
        <v>0</v>
      </c>
      <c r="F168" s="219"/>
      <c r="G168" s="173"/>
      <c r="H168" s="157" t="s">
        <v>3618</v>
      </c>
      <c r="I168" s="157" t="s">
        <v>4775</v>
      </c>
      <c r="J168" s="157">
        <v>2025.0</v>
      </c>
    </row>
    <row r="169">
      <c r="A169" s="218">
        <f t="shared" si="2"/>
        <v>166</v>
      </c>
      <c r="B169" s="218" t="s">
        <v>203</v>
      </c>
      <c r="C169" s="219" t="str">
        <f t="shared" si="1"/>
        <v>MN/0346/2025</v>
      </c>
      <c r="D169" s="218" t="b">
        <v>1</v>
      </c>
      <c r="E169" s="219" t="b">
        <v>0</v>
      </c>
      <c r="F169" s="219"/>
      <c r="G169" s="173"/>
      <c r="H169" s="157" t="s">
        <v>3618</v>
      </c>
      <c r="I169" s="157" t="s">
        <v>4777</v>
      </c>
      <c r="J169" s="157">
        <v>2025.0</v>
      </c>
    </row>
    <row r="170">
      <c r="A170" s="218">
        <f t="shared" si="2"/>
        <v>167</v>
      </c>
      <c r="B170" s="218" t="s">
        <v>203</v>
      </c>
      <c r="C170" s="219" t="str">
        <f t="shared" si="1"/>
        <v>MN/0347/2025</v>
      </c>
      <c r="D170" s="218" t="b">
        <v>1</v>
      </c>
      <c r="E170" s="219" t="b">
        <v>0</v>
      </c>
      <c r="F170" s="219"/>
      <c r="G170" s="173"/>
      <c r="H170" s="157" t="s">
        <v>3618</v>
      </c>
      <c r="I170" s="157" t="s">
        <v>4785</v>
      </c>
      <c r="J170" s="157">
        <v>2025.0</v>
      </c>
    </row>
    <row r="171">
      <c r="A171" s="218">
        <f t="shared" si="2"/>
        <v>168</v>
      </c>
      <c r="B171" s="218" t="s">
        <v>203</v>
      </c>
      <c r="C171" s="219" t="str">
        <f t="shared" si="1"/>
        <v>MN/0348/2025</v>
      </c>
      <c r="D171" s="218" t="b">
        <v>1</v>
      </c>
      <c r="E171" s="219" t="b">
        <v>0</v>
      </c>
      <c r="F171" s="219"/>
      <c r="G171" s="173"/>
      <c r="H171" s="157" t="s">
        <v>3618</v>
      </c>
      <c r="I171" s="157" t="s">
        <v>4791</v>
      </c>
      <c r="J171" s="157">
        <v>2025.0</v>
      </c>
    </row>
    <row r="172">
      <c r="A172" s="218">
        <f t="shared" si="2"/>
        <v>169</v>
      </c>
      <c r="B172" s="218" t="s">
        <v>203</v>
      </c>
      <c r="C172" s="219" t="str">
        <f t="shared" si="1"/>
        <v>MN/0349/2025</v>
      </c>
      <c r="D172" s="218" t="b">
        <v>1</v>
      </c>
      <c r="E172" s="219" t="b">
        <v>0</v>
      </c>
      <c r="F172" s="219"/>
      <c r="G172" s="173"/>
      <c r="H172" s="157" t="s">
        <v>3618</v>
      </c>
      <c r="I172" s="157" t="s">
        <v>4797</v>
      </c>
      <c r="J172" s="157">
        <v>2025.0</v>
      </c>
    </row>
    <row r="173">
      <c r="A173" s="218">
        <f t="shared" si="2"/>
        <v>170</v>
      </c>
      <c r="B173" s="218" t="s">
        <v>203</v>
      </c>
      <c r="C173" s="219" t="str">
        <f t="shared" si="1"/>
        <v>MN/0350/2025</v>
      </c>
      <c r="D173" s="218" t="b">
        <v>1</v>
      </c>
      <c r="E173" s="219" t="b">
        <v>0</v>
      </c>
      <c r="F173" s="219"/>
      <c r="G173" s="173"/>
      <c r="H173" s="157" t="s">
        <v>3618</v>
      </c>
      <c r="I173" s="157" t="s">
        <v>4804</v>
      </c>
      <c r="J173" s="157">
        <v>2025.0</v>
      </c>
    </row>
    <row r="174">
      <c r="A174" s="218">
        <f t="shared" si="2"/>
        <v>171</v>
      </c>
      <c r="B174" s="218" t="s">
        <v>203</v>
      </c>
      <c r="C174" s="219" t="str">
        <f t="shared" si="1"/>
        <v>MN/0351/2025</v>
      </c>
      <c r="D174" s="218" t="b">
        <v>1</v>
      </c>
      <c r="E174" s="219" t="b">
        <v>0</v>
      </c>
      <c r="F174" s="219"/>
      <c r="G174" s="173"/>
      <c r="H174" s="157" t="s">
        <v>3618</v>
      </c>
      <c r="I174" s="157" t="s">
        <v>4809</v>
      </c>
      <c r="J174" s="157">
        <v>2025.0</v>
      </c>
    </row>
    <row r="175">
      <c r="A175" s="218">
        <f t="shared" si="2"/>
        <v>172</v>
      </c>
      <c r="B175" s="218" t="s">
        <v>203</v>
      </c>
      <c r="C175" s="219" t="str">
        <f t="shared" si="1"/>
        <v>MN/0352/2025</v>
      </c>
      <c r="D175" s="218" t="b">
        <v>1</v>
      </c>
      <c r="E175" s="219" t="b">
        <v>0</v>
      </c>
      <c r="F175" s="219"/>
      <c r="G175" s="173"/>
      <c r="H175" s="157" t="s">
        <v>3618</v>
      </c>
      <c r="I175" s="157" t="s">
        <v>4816</v>
      </c>
      <c r="J175" s="157">
        <v>2025.0</v>
      </c>
    </row>
    <row r="176">
      <c r="A176" s="218">
        <f t="shared" si="2"/>
        <v>173</v>
      </c>
      <c r="B176" s="218" t="s">
        <v>203</v>
      </c>
      <c r="C176" s="219" t="str">
        <f t="shared" si="1"/>
        <v>MN/0353/2025</v>
      </c>
      <c r="D176" s="218" t="b">
        <v>1</v>
      </c>
      <c r="E176" s="219" t="b">
        <v>0</v>
      </c>
      <c r="F176" s="219"/>
      <c r="G176" s="173"/>
      <c r="H176" s="157" t="s">
        <v>3618</v>
      </c>
      <c r="I176" s="157" t="s">
        <v>4821</v>
      </c>
      <c r="J176" s="157">
        <v>2025.0</v>
      </c>
    </row>
    <row r="177">
      <c r="A177" s="218">
        <f t="shared" si="2"/>
        <v>174</v>
      </c>
      <c r="B177" s="218" t="s">
        <v>203</v>
      </c>
      <c r="C177" s="219" t="str">
        <f t="shared" si="1"/>
        <v>MN/0354/2025</v>
      </c>
      <c r="D177" s="218" t="b">
        <v>1</v>
      </c>
      <c r="E177" s="219" t="b">
        <v>0</v>
      </c>
      <c r="F177" s="219"/>
      <c r="G177" s="173"/>
      <c r="H177" s="157" t="s">
        <v>3618</v>
      </c>
      <c r="I177" s="157" t="s">
        <v>4827</v>
      </c>
      <c r="J177" s="157">
        <v>2025.0</v>
      </c>
    </row>
    <row r="178">
      <c r="A178" s="218">
        <f t="shared" si="2"/>
        <v>175</v>
      </c>
      <c r="B178" s="218" t="s">
        <v>203</v>
      </c>
      <c r="C178" s="219" t="str">
        <f t="shared" si="1"/>
        <v>MN/0355/2025</v>
      </c>
      <c r="D178" s="218" t="b">
        <v>1</v>
      </c>
      <c r="E178" s="219" t="b">
        <v>0</v>
      </c>
      <c r="F178" s="219"/>
      <c r="G178" s="173"/>
      <c r="H178" s="157" t="s">
        <v>3618</v>
      </c>
      <c r="I178" s="157" t="s">
        <v>4832</v>
      </c>
      <c r="J178" s="157">
        <v>2025.0</v>
      </c>
    </row>
    <row r="179">
      <c r="A179" s="218">
        <f t="shared" si="2"/>
        <v>176</v>
      </c>
      <c r="B179" s="222" t="s">
        <v>203</v>
      </c>
      <c r="C179" s="224" t="str">
        <f t="shared" si="1"/>
        <v>MN/0356/2025</v>
      </c>
      <c r="D179" s="222" t="b">
        <v>1</v>
      </c>
      <c r="E179" s="224" t="b">
        <v>0</v>
      </c>
      <c r="F179" s="224"/>
      <c r="G179" s="225"/>
      <c r="H179" s="226" t="s">
        <v>3618</v>
      </c>
      <c r="I179" s="226" t="s">
        <v>4859</v>
      </c>
      <c r="J179" s="226">
        <v>2025.0</v>
      </c>
      <c r="K179" s="227" t="s">
        <v>4861</v>
      </c>
    </row>
    <row r="180">
      <c r="A180" s="218">
        <f t="shared" si="2"/>
        <v>177</v>
      </c>
      <c r="B180" s="218" t="s">
        <v>203</v>
      </c>
      <c r="C180" s="219" t="str">
        <f t="shared" si="1"/>
        <v>MN/0357/2025</v>
      </c>
      <c r="D180" s="218" t="b">
        <v>1</v>
      </c>
      <c r="E180" s="219" t="b">
        <v>0</v>
      </c>
      <c r="F180" s="219"/>
      <c r="G180" s="173"/>
      <c r="H180" s="157" t="s">
        <v>3618</v>
      </c>
      <c r="I180" s="157" t="s">
        <v>4867</v>
      </c>
      <c r="J180" s="157">
        <v>2025.0</v>
      </c>
    </row>
    <row r="181">
      <c r="A181" s="218">
        <f t="shared" si="2"/>
        <v>178</v>
      </c>
      <c r="B181" s="218" t="s">
        <v>203</v>
      </c>
      <c r="C181" s="219" t="str">
        <f t="shared" si="1"/>
        <v>MN/0358/2025</v>
      </c>
      <c r="D181" s="218" t="b">
        <v>1</v>
      </c>
      <c r="E181" s="219" t="b">
        <v>0</v>
      </c>
      <c r="F181" s="219"/>
      <c r="G181" s="173"/>
      <c r="H181" s="157" t="s">
        <v>3618</v>
      </c>
      <c r="I181" s="157" t="s">
        <v>4874</v>
      </c>
      <c r="J181" s="157">
        <v>2025.0</v>
      </c>
    </row>
    <row r="182">
      <c r="A182" s="218">
        <f t="shared" si="2"/>
        <v>179</v>
      </c>
      <c r="B182" s="218" t="s">
        <v>203</v>
      </c>
      <c r="C182" s="219" t="str">
        <f t="shared" si="1"/>
        <v>MN/0359/2025</v>
      </c>
      <c r="D182" s="218" t="b">
        <v>1</v>
      </c>
      <c r="E182" s="219" t="b">
        <v>0</v>
      </c>
      <c r="F182" s="219"/>
      <c r="G182" s="173"/>
      <c r="H182" s="157" t="s">
        <v>3618</v>
      </c>
      <c r="I182" s="157" t="s">
        <v>4879</v>
      </c>
      <c r="J182" s="157">
        <v>2025.0</v>
      </c>
    </row>
    <row r="183">
      <c r="A183" s="218">
        <f t="shared" si="2"/>
        <v>180</v>
      </c>
      <c r="B183" s="218" t="s">
        <v>203</v>
      </c>
      <c r="C183" s="219" t="str">
        <f t="shared" si="1"/>
        <v>MN/0360/2025</v>
      </c>
      <c r="D183" s="218" t="b">
        <v>1</v>
      </c>
      <c r="E183" s="219" t="b">
        <v>0</v>
      </c>
      <c r="F183" s="219"/>
      <c r="G183" s="173"/>
      <c r="H183" s="157" t="s">
        <v>3618</v>
      </c>
      <c r="I183" s="157" t="s">
        <v>4885</v>
      </c>
      <c r="J183" s="157">
        <v>2025.0</v>
      </c>
    </row>
    <row r="184">
      <c r="A184" s="218">
        <f t="shared" si="2"/>
        <v>181</v>
      </c>
      <c r="B184" s="218" t="s">
        <v>203</v>
      </c>
      <c r="C184" s="219" t="str">
        <f t="shared" si="1"/>
        <v>MN/0361/2025</v>
      </c>
      <c r="D184" s="218" t="b">
        <v>1</v>
      </c>
      <c r="E184" s="219" t="b">
        <v>0</v>
      </c>
      <c r="F184" s="219"/>
      <c r="G184" s="173"/>
      <c r="H184" s="157" t="s">
        <v>3618</v>
      </c>
      <c r="I184" s="157" t="s">
        <v>4892</v>
      </c>
      <c r="J184" s="157">
        <v>2025.0</v>
      </c>
    </row>
    <row r="185">
      <c r="A185" s="218">
        <f t="shared" si="2"/>
        <v>182</v>
      </c>
      <c r="B185" s="218" t="s">
        <v>203</v>
      </c>
      <c r="C185" s="219" t="str">
        <f t="shared" si="1"/>
        <v>MN/0362/2025</v>
      </c>
      <c r="D185" s="218" t="b">
        <v>1</v>
      </c>
      <c r="E185" s="219" t="b">
        <v>0</v>
      </c>
      <c r="F185" s="219"/>
      <c r="G185" s="173"/>
      <c r="H185" s="157" t="s">
        <v>3618</v>
      </c>
      <c r="I185" s="157" t="s">
        <v>4898</v>
      </c>
      <c r="J185" s="157">
        <v>2025.0</v>
      </c>
    </row>
    <row r="186">
      <c r="A186" s="218">
        <f t="shared" si="2"/>
        <v>183</v>
      </c>
      <c r="B186" s="218" t="s">
        <v>203</v>
      </c>
      <c r="C186" s="219" t="str">
        <f t="shared" si="1"/>
        <v>MN/0363/2025</v>
      </c>
      <c r="D186" s="218" t="b">
        <v>1</v>
      </c>
      <c r="E186" s="219" t="b">
        <v>0</v>
      </c>
      <c r="F186" s="219"/>
      <c r="G186" s="173"/>
      <c r="H186" s="157" t="s">
        <v>3618</v>
      </c>
      <c r="I186" s="157" t="s">
        <v>4907</v>
      </c>
      <c r="J186" s="157">
        <v>2025.0</v>
      </c>
    </row>
    <row r="187">
      <c r="A187" s="218">
        <f t="shared" si="2"/>
        <v>184</v>
      </c>
      <c r="B187" s="218" t="s">
        <v>203</v>
      </c>
      <c r="C187" s="219" t="str">
        <f t="shared" si="1"/>
        <v>MN/0364/2025</v>
      </c>
      <c r="D187" s="218" t="b">
        <v>1</v>
      </c>
      <c r="E187" s="219" t="b">
        <v>0</v>
      </c>
      <c r="F187" s="219"/>
      <c r="G187" s="173"/>
      <c r="H187" s="157" t="s">
        <v>3618</v>
      </c>
      <c r="I187" s="157" t="s">
        <v>4915</v>
      </c>
      <c r="J187" s="157">
        <v>2025.0</v>
      </c>
    </row>
    <row r="188">
      <c r="A188" s="218">
        <f t="shared" si="2"/>
        <v>185</v>
      </c>
      <c r="B188" s="218" t="s">
        <v>203</v>
      </c>
      <c r="C188" s="219" t="str">
        <f t="shared" si="1"/>
        <v>MN/0365/2025</v>
      </c>
      <c r="D188" s="218" t="b">
        <v>1</v>
      </c>
      <c r="E188" s="219" t="b">
        <v>0</v>
      </c>
      <c r="F188" s="219"/>
      <c r="G188" s="173"/>
      <c r="H188" s="157" t="s">
        <v>3618</v>
      </c>
      <c r="I188" s="157" t="s">
        <v>4923</v>
      </c>
      <c r="J188" s="157">
        <v>2025.0</v>
      </c>
    </row>
    <row r="189">
      <c r="A189" s="218">
        <f t="shared" si="2"/>
        <v>186</v>
      </c>
      <c r="B189" s="218" t="s">
        <v>203</v>
      </c>
      <c r="C189" s="219" t="str">
        <f t="shared" si="1"/>
        <v>MN/0366/2025</v>
      </c>
      <c r="D189" s="218" t="b">
        <v>1</v>
      </c>
      <c r="E189" s="219" t="b">
        <v>0</v>
      </c>
      <c r="F189" s="218" t="s">
        <v>4933</v>
      </c>
      <c r="G189" s="173"/>
      <c r="H189" s="157" t="s">
        <v>3618</v>
      </c>
      <c r="I189" s="157" t="s">
        <v>4936</v>
      </c>
      <c r="J189" s="157">
        <v>2025.0</v>
      </c>
    </row>
    <row r="190">
      <c r="A190" s="218">
        <f t="shared" si="2"/>
        <v>187</v>
      </c>
      <c r="B190" s="218" t="s">
        <v>203</v>
      </c>
      <c r="C190" s="219" t="str">
        <f t="shared" si="1"/>
        <v>MN/0367/2025</v>
      </c>
      <c r="D190" s="218" t="b">
        <v>1</v>
      </c>
      <c r="E190" s="219" t="b">
        <v>0</v>
      </c>
      <c r="F190" s="218" t="s">
        <v>4933</v>
      </c>
      <c r="G190" s="173"/>
      <c r="H190" s="157" t="s">
        <v>3618</v>
      </c>
      <c r="I190" s="157" t="s">
        <v>4945</v>
      </c>
      <c r="J190" s="157">
        <v>2025.0</v>
      </c>
    </row>
    <row r="191">
      <c r="A191" s="218">
        <f t="shared" si="2"/>
        <v>188</v>
      </c>
      <c r="B191" s="218" t="s">
        <v>203</v>
      </c>
      <c r="C191" s="219" t="str">
        <f t="shared" si="1"/>
        <v>MN/0368/2025</v>
      </c>
      <c r="D191" s="218" t="b">
        <v>1</v>
      </c>
      <c r="E191" s="219" t="b">
        <v>0</v>
      </c>
      <c r="F191" s="219"/>
      <c r="G191" s="173"/>
      <c r="H191" s="157" t="s">
        <v>3618</v>
      </c>
      <c r="I191" s="157" t="s">
        <v>4954</v>
      </c>
      <c r="J191" s="157">
        <v>2025.0</v>
      </c>
    </row>
    <row r="192">
      <c r="A192" s="218">
        <f t="shared" si="2"/>
        <v>189</v>
      </c>
      <c r="B192" s="218" t="s">
        <v>203</v>
      </c>
      <c r="C192" s="219" t="str">
        <f t="shared" si="1"/>
        <v>MN/0369/2025</v>
      </c>
      <c r="D192" s="218" t="b">
        <v>1</v>
      </c>
      <c r="E192" s="219" t="b">
        <v>0</v>
      </c>
      <c r="F192" s="218" t="s">
        <v>4933</v>
      </c>
      <c r="G192" s="173"/>
      <c r="H192" s="157" t="s">
        <v>3618</v>
      </c>
      <c r="I192" s="157" t="s">
        <v>4963</v>
      </c>
      <c r="J192" s="157">
        <v>2025.0</v>
      </c>
    </row>
    <row r="193">
      <c r="A193" s="218">
        <f t="shared" si="2"/>
        <v>190</v>
      </c>
      <c r="B193" s="218" t="s">
        <v>203</v>
      </c>
      <c r="C193" s="219" t="str">
        <f t="shared" si="1"/>
        <v>MN/0370/2025</v>
      </c>
      <c r="D193" s="218" t="b">
        <v>1</v>
      </c>
      <c r="E193" s="219" t="b">
        <v>0</v>
      </c>
      <c r="F193" s="218" t="s">
        <v>4933</v>
      </c>
      <c r="G193" s="173"/>
      <c r="H193" s="157" t="s">
        <v>3618</v>
      </c>
      <c r="I193" s="157" t="s">
        <v>4969</v>
      </c>
      <c r="J193" s="157">
        <v>2025.0</v>
      </c>
    </row>
    <row r="194">
      <c r="A194" s="218">
        <f t="shared" si="2"/>
        <v>191</v>
      </c>
      <c r="B194" s="218" t="s">
        <v>203</v>
      </c>
      <c r="C194" s="219" t="str">
        <f t="shared" si="1"/>
        <v>MN/0371/2025</v>
      </c>
      <c r="D194" s="218" t="b">
        <v>1</v>
      </c>
      <c r="E194" s="219" t="b">
        <v>0</v>
      </c>
      <c r="F194" s="218" t="s">
        <v>4933</v>
      </c>
      <c r="G194" s="173"/>
      <c r="H194" s="157" t="s">
        <v>3618</v>
      </c>
      <c r="I194" s="157" t="s">
        <v>4979</v>
      </c>
      <c r="J194" s="157">
        <v>2025.0</v>
      </c>
    </row>
    <row r="195">
      <c r="A195" s="218">
        <f t="shared" si="2"/>
        <v>192</v>
      </c>
      <c r="B195" s="218" t="s">
        <v>203</v>
      </c>
      <c r="C195" s="219" t="str">
        <f t="shared" si="1"/>
        <v>MN/0372/2025</v>
      </c>
      <c r="D195" s="218" t="b">
        <v>1</v>
      </c>
      <c r="E195" s="219" t="b">
        <v>0</v>
      </c>
      <c r="F195" s="218" t="s">
        <v>4933</v>
      </c>
      <c r="G195" s="173"/>
      <c r="H195" s="157" t="s">
        <v>3618</v>
      </c>
      <c r="I195" s="157" t="s">
        <v>4985</v>
      </c>
      <c r="J195" s="157">
        <v>2025.0</v>
      </c>
    </row>
    <row r="196">
      <c r="A196" s="218">
        <f t="shared" si="2"/>
        <v>193</v>
      </c>
      <c r="B196" s="218" t="s">
        <v>203</v>
      </c>
      <c r="C196" s="219" t="str">
        <f t="shared" si="1"/>
        <v>MN/0373/2025</v>
      </c>
      <c r="D196" s="218" t="b">
        <v>1</v>
      </c>
      <c r="E196" s="219" t="b">
        <v>0</v>
      </c>
      <c r="F196" s="218" t="s">
        <v>4933</v>
      </c>
      <c r="G196" s="173"/>
      <c r="H196" s="157" t="s">
        <v>3618</v>
      </c>
      <c r="I196" s="157" t="s">
        <v>4991</v>
      </c>
      <c r="J196" s="157">
        <v>2025.0</v>
      </c>
    </row>
    <row r="197">
      <c r="A197" s="218">
        <f t="shared" si="2"/>
        <v>194</v>
      </c>
      <c r="B197" s="218" t="s">
        <v>203</v>
      </c>
      <c r="C197" s="219" t="str">
        <f t="shared" si="1"/>
        <v>MN/0374/2025</v>
      </c>
      <c r="D197" s="218" t="b">
        <v>1</v>
      </c>
      <c r="E197" s="219" t="b">
        <v>0</v>
      </c>
      <c r="F197" s="218" t="s">
        <v>4933</v>
      </c>
      <c r="G197" s="173"/>
      <c r="H197" s="157" t="s">
        <v>3618</v>
      </c>
      <c r="I197" s="157" t="s">
        <v>4996</v>
      </c>
      <c r="J197" s="157">
        <v>2025.0</v>
      </c>
    </row>
    <row r="198">
      <c r="A198" s="218">
        <f t="shared" si="2"/>
        <v>195</v>
      </c>
      <c r="B198" s="218" t="s">
        <v>203</v>
      </c>
      <c r="C198" s="219" t="str">
        <f t="shared" si="1"/>
        <v>MN/0375/2025</v>
      </c>
      <c r="D198" s="218" t="b">
        <v>1</v>
      </c>
      <c r="E198" s="219" t="b">
        <v>0</v>
      </c>
      <c r="F198" s="218" t="s">
        <v>4933</v>
      </c>
      <c r="G198" s="173"/>
      <c r="H198" s="157" t="s">
        <v>3618</v>
      </c>
      <c r="I198" s="157" t="s">
        <v>5001</v>
      </c>
      <c r="J198" s="157">
        <v>2025.0</v>
      </c>
    </row>
    <row r="199">
      <c r="A199" s="218">
        <f t="shared" si="2"/>
        <v>196</v>
      </c>
      <c r="B199" s="218" t="s">
        <v>203</v>
      </c>
      <c r="C199" s="219" t="str">
        <f t="shared" si="1"/>
        <v>MN/0376/2025</v>
      </c>
      <c r="D199" s="218" t="b">
        <v>1</v>
      </c>
      <c r="E199" s="219" t="b">
        <v>0</v>
      </c>
      <c r="F199" s="218" t="s">
        <v>4933</v>
      </c>
      <c r="G199" s="173"/>
      <c r="H199" s="157" t="s">
        <v>3618</v>
      </c>
      <c r="I199" s="157" t="s">
        <v>5009</v>
      </c>
      <c r="J199" s="157">
        <v>2025.0</v>
      </c>
    </row>
    <row r="200">
      <c r="A200" s="218">
        <f t="shared" si="2"/>
        <v>197</v>
      </c>
      <c r="B200" s="218" t="s">
        <v>203</v>
      </c>
      <c r="C200" s="219" t="str">
        <f t="shared" si="1"/>
        <v>MN/0377/2025</v>
      </c>
      <c r="D200" s="218" t="b">
        <v>1</v>
      </c>
      <c r="E200" s="219" t="b">
        <v>0</v>
      </c>
      <c r="F200" s="218" t="s">
        <v>4933</v>
      </c>
      <c r="G200" s="173"/>
      <c r="H200" s="157" t="s">
        <v>3618</v>
      </c>
      <c r="I200" s="157" t="s">
        <v>5015</v>
      </c>
      <c r="J200" s="157">
        <v>2025.0</v>
      </c>
    </row>
    <row r="201">
      <c r="A201" s="218">
        <f t="shared" si="2"/>
        <v>198</v>
      </c>
      <c r="B201" s="218" t="s">
        <v>203</v>
      </c>
      <c r="C201" s="219" t="str">
        <f t="shared" si="1"/>
        <v>MN/0378/2025</v>
      </c>
      <c r="D201" s="218" t="b">
        <v>1</v>
      </c>
      <c r="E201" s="219" t="b">
        <v>0</v>
      </c>
      <c r="F201" s="218" t="s">
        <v>4933</v>
      </c>
      <c r="G201" s="173"/>
      <c r="H201" s="157" t="s">
        <v>3618</v>
      </c>
      <c r="I201" s="157" t="s">
        <v>5021</v>
      </c>
      <c r="J201" s="157">
        <v>2025.0</v>
      </c>
    </row>
    <row r="202">
      <c r="A202" s="218">
        <f t="shared" si="2"/>
        <v>199</v>
      </c>
      <c r="B202" s="218" t="s">
        <v>203</v>
      </c>
      <c r="C202" s="219" t="str">
        <f t="shared" si="1"/>
        <v>MN/0379/2025</v>
      </c>
      <c r="D202" s="218" t="b">
        <v>1</v>
      </c>
      <c r="E202" s="219" t="b">
        <v>0</v>
      </c>
      <c r="F202" s="218" t="s">
        <v>4933</v>
      </c>
      <c r="G202" s="173"/>
      <c r="H202" s="157" t="s">
        <v>3618</v>
      </c>
      <c r="I202" s="157" t="s">
        <v>5029</v>
      </c>
      <c r="J202" s="157">
        <v>2025.0</v>
      </c>
    </row>
    <row r="203">
      <c r="A203" s="218">
        <f t="shared" si="2"/>
        <v>200</v>
      </c>
      <c r="B203" s="222" t="s">
        <v>203</v>
      </c>
      <c r="C203" s="224" t="str">
        <f t="shared" si="1"/>
        <v>MN/0380/2025</v>
      </c>
      <c r="D203" s="222" t="b">
        <v>1</v>
      </c>
      <c r="E203" s="224" t="b">
        <v>0</v>
      </c>
      <c r="F203" s="222" t="s">
        <v>4933</v>
      </c>
      <c r="G203" s="225"/>
      <c r="H203" s="226" t="s">
        <v>3618</v>
      </c>
      <c r="I203" s="226" t="s">
        <v>5034</v>
      </c>
      <c r="J203" s="226">
        <v>2025.0</v>
      </c>
    </row>
    <row r="204">
      <c r="A204" s="218">
        <f t="shared" si="2"/>
        <v>201</v>
      </c>
      <c r="B204" s="218" t="s">
        <v>203</v>
      </c>
      <c r="C204" s="219" t="str">
        <f t="shared" si="1"/>
        <v>MN/0381/2025</v>
      </c>
      <c r="D204" s="218" t="b">
        <v>1</v>
      </c>
      <c r="E204" s="219" t="b">
        <v>0</v>
      </c>
      <c r="F204" s="219"/>
      <c r="G204" s="173"/>
      <c r="H204" s="157" t="s">
        <v>3618</v>
      </c>
      <c r="I204" s="157" t="s">
        <v>5038</v>
      </c>
      <c r="J204" s="157">
        <v>2025.0</v>
      </c>
    </row>
    <row r="205">
      <c r="A205" s="218">
        <f t="shared" si="2"/>
        <v>202</v>
      </c>
      <c r="B205" s="218" t="s">
        <v>203</v>
      </c>
      <c r="C205" s="219" t="str">
        <f t="shared" si="1"/>
        <v>MN/0382/2025</v>
      </c>
      <c r="D205" s="218" t="b">
        <v>1</v>
      </c>
      <c r="E205" s="219" t="b">
        <v>0</v>
      </c>
      <c r="F205" s="219"/>
      <c r="G205" s="173"/>
      <c r="H205" s="157" t="s">
        <v>3618</v>
      </c>
      <c r="I205" s="157" t="s">
        <v>5046</v>
      </c>
      <c r="J205" s="157">
        <v>2025.0</v>
      </c>
    </row>
    <row r="206">
      <c r="A206" s="218">
        <f t="shared" si="2"/>
        <v>203</v>
      </c>
      <c r="B206" s="218" t="s">
        <v>203</v>
      </c>
      <c r="C206" s="219" t="str">
        <f t="shared" si="1"/>
        <v>MN/0383/2025</v>
      </c>
      <c r="D206" s="218" t="b">
        <v>1</v>
      </c>
      <c r="E206" s="219" t="b">
        <v>0</v>
      </c>
      <c r="F206" s="219"/>
      <c r="G206" s="173"/>
      <c r="H206" s="157" t="s">
        <v>3618</v>
      </c>
      <c r="I206" s="157" t="s">
        <v>5049</v>
      </c>
      <c r="J206" s="157">
        <v>2025.0</v>
      </c>
    </row>
    <row r="207">
      <c r="A207" s="218">
        <f t="shared" si="2"/>
        <v>204</v>
      </c>
      <c r="B207" s="218" t="s">
        <v>203</v>
      </c>
      <c r="C207" s="219" t="str">
        <f t="shared" si="1"/>
        <v>MN/0384/2025</v>
      </c>
      <c r="D207" s="218" t="b">
        <v>1</v>
      </c>
      <c r="E207" s="219" t="b">
        <v>0</v>
      </c>
      <c r="F207" s="219"/>
      <c r="G207" s="173"/>
      <c r="H207" s="157" t="s">
        <v>3618</v>
      </c>
      <c r="I207" s="157" t="s">
        <v>5059</v>
      </c>
      <c r="J207" s="157">
        <v>2025.0</v>
      </c>
    </row>
    <row r="208">
      <c r="A208" s="218">
        <f t="shared" si="2"/>
        <v>205</v>
      </c>
      <c r="B208" s="218" t="s">
        <v>203</v>
      </c>
      <c r="C208" s="219" t="str">
        <f t="shared" si="1"/>
        <v>MN/0385/2025</v>
      </c>
      <c r="D208" s="218" t="b">
        <v>1</v>
      </c>
      <c r="E208" s="219" t="b">
        <v>0</v>
      </c>
      <c r="F208" s="219"/>
      <c r="G208" s="173"/>
      <c r="H208" s="157" t="s">
        <v>3618</v>
      </c>
      <c r="I208" s="157" t="s">
        <v>5062</v>
      </c>
      <c r="J208" s="157">
        <v>2025.0</v>
      </c>
    </row>
    <row r="209">
      <c r="A209" s="218">
        <f t="shared" si="2"/>
        <v>206</v>
      </c>
      <c r="B209" s="218" t="s">
        <v>203</v>
      </c>
      <c r="C209" s="219" t="str">
        <f t="shared" si="1"/>
        <v>MN/0386/2025</v>
      </c>
      <c r="D209" s="218" t="b">
        <v>1</v>
      </c>
      <c r="E209" s="219" t="b">
        <v>0</v>
      </c>
      <c r="F209" s="219"/>
      <c r="G209" s="173"/>
      <c r="H209" s="157" t="s">
        <v>3618</v>
      </c>
      <c r="I209" s="157" t="s">
        <v>5069</v>
      </c>
      <c r="J209" s="157">
        <v>2025.0</v>
      </c>
    </row>
    <row r="210">
      <c r="A210" s="218">
        <f t="shared" si="2"/>
        <v>207</v>
      </c>
      <c r="B210" s="218" t="s">
        <v>203</v>
      </c>
      <c r="C210" s="219" t="str">
        <f t="shared" si="1"/>
        <v>MN/0387/2025</v>
      </c>
      <c r="D210" s="218" t="b">
        <v>1</v>
      </c>
      <c r="E210" s="219" t="b">
        <v>0</v>
      </c>
      <c r="F210" s="219"/>
      <c r="G210" s="173"/>
      <c r="H210" s="157" t="s">
        <v>3618</v>
      </c>
      <c r="I210" s="157" t="s">
        <v>5079</v>
      </c>
      <c r="J210" s="157">
        <v>2025.0</v>
      </c>
    </row>
    <row r="211">
      <c r="A211" s="218">
        <f t="shared" si="2"/>
        <v>208</v>
      </c>
      <c r="B211" s="218" t="s">
        <v>203</v>
      </c>
      <c r="C211" s="219" t="str">
        <f t="shared" si="1"/>
        <v>MN/0388/2025</v>
      </c>
      <c r="D211" s="218" t="b">
        <v>1</v>
      </c>
      <c r="E211" s="219" t="b">
        <v>0</v>
      </c>
      <c r="F211" s="219"/>
      <c r="G211" s="173"/>
      <c r="H211" s="157" t="s">
        <v>3618</v>
      </c>
      <c r="I211" s="157" t="s">
        <v>5089</v>
      </c>
      <c r="J211" s="157">
        <v>2025.0</v>
      </c>
    </row>
    <row r="212">
      <c r="A212" s="218">
        <f t="shared" si="2"/>
        <v>209</v>
      </c>
      <c r="B212" s="218" t="s">
        <v>203</v>
      </c>
      <c r="C212" s="219" t="str">
        <f t="shared" si="1"/>
        <v>MN/0389/2025</v>
      </c>
      <c r="D212" s="218" t="b">
        <v>1</v>
      </c>
      <c r="E212" s="219" t="b">
        <v>0</v>
      </c>
      <c r="F212" s="219"/>
      <c r="G212" s="173"/>
      <c r="H212" s="157" t="s">
        <v>3618</v>
      </c>
      <c r="I212" s="157" t="s">
        <v>5097</v>
      </c>
      <c r="J212" s="157">
        <v>2025.0</v>
      </c>
    </row>
    <row r="213">
      <c r="A213" s="218">
        <f t="shared" si="2"/>
        <v>210</v>
      </c>
      <c r="B213" s="218" t="s">
        <v>203</v>
      </c>
      <c r="C213" s="219" t="str">
        <f t="shared" si="1"/>
        <v>MN/0390/2025</v>
      </c>
      <c r="D213" s="218" t="b">
        <v>1</v>
      </c>
      <c r="E213" s="219" t="b">
        <v>0</v>
      </c>
      <c r="F213" s="219"/>
      <c r="G213" s="173"/>
      <c r="H213" s="157" t="s">
        <v>3618</v>
      </c>
      <c r="I213" s="157" t="s">
        <v>5105</v>
      </c>
      <c r="J213" s="157">
        <v>2025.0</v>
      </c>
    </row>
    <row r="214">
      <c r="A214" s="218">
        <f t="shared" si="2"/>
        <v>211</v>
      </c>
      <c r="B214" s="218" t="s">
        <v>203</v>
      </c>
      <c r="C214" s="219" t="str">
        <f t="shared" si="1"/>
        <v>MN/0391/2025</v>
      </c>
      <c r="D214" s="218" t="b">
        <v>1</v>
      </c>
      <c r="E214" s="219" t="b">
        <v>0</v>
      </c>
      <c r="F214" s="219"/>
      <c r="G214" s="173"/>
      <c r="H214" s="157" t="s">
        <v>3618</v>
      </c>
      <c r="I214" s="157" t="s">
        <v>5111</v>
      </c>
      <c r="J214" s="157">
        <v>2025.0</v>
      </c>
    </row>
    <row r="215">
      <c r="A215" s="218">
        <f t="shared" si="2"/>
        <v>212</v>
      </c>
      <c r="B215" s="218" t="s">
        <v>203</v>
      </c>
      <c r="C215" s="219" t="str">
        <f t="shared" si="1"/>
        <v>MN/0392/2025</v>
      </c>
      <c r="D215" s="218" t="b">
        <v>1</v>
      </c>
      <c r="E215" s="219" t="b">
        <v>0</v>
      </c>
      <c r="F215" s="219"/>
      <c r="G215" s="173"/>
      <c r="H215" s="157" t="s">
        <v>3618</v>
      </c>
      <c r="I215" s="157" t="s">
        <v>5116</v>
      </c>
      <c r="J215" s="157">
        <v>2025.0</v>
      </c>
    </row>
    <row r="216">
      <c r="A216" s="218">
        <f t="shared" si="2"/>
        <v>213</v>
      </c>
      <c r="B216" s="218" t="s">
        <v>203</v>
      </c>
      <c r="C216" s="219" t="str">
        <f t="shared" si="1"/>
        <v>MN/0393/2025</v>
      </c>
      <c r="D216" s="218" t="b">
        <v>1</v>
      </c>
      <c r="E216" s="219" t="b">
        <v>0</v>
      </c>
      <c r="F216" s="219"/>
      <c r="G216" s="173"/>
      <c r="H216" s="157" t="s">
        <v>3618</v>
      </c>
      <c r="I216" s="157" t="s">
        <v>5122</v>
      </c>
      <c r="J216" s="157">
        <v>2025.0</v>
      </c>
    </row>
    <row r="217">
      <c r="A217" s="218">
        <f t="shared" si="2"/>
        <v>214</v>
      </c>
      <c r="B217" s="218" t="s">
        <v>203</v>
      </c>
      <c r="C217" s="219" t="str">
        <f t="shared" si="1"/>
        <v>MN/0394/2025</v>
      </c>
      <c r="D217" s="218" t="b">
        <v>1</v>
      </c>
      <c r="E217" s="219" t="b">
        <v>0</v>
      </c>
      <c r="F217" s="219"/>
      <c r="G217" s="173"/>
      <c r="H217" s="157" t="s">
        <v>3618</v>
      </c>
      <c r="I217" s="157" t="s">
        <v>5128</v>
      </c>
      <c r="J217" s="157">
        <v>2025.0</v>
      </c>
    </row>
    <row r="218">
      <c r="A218" s="218">
        <f t="shared" si="2"/>
        <v>215</v>
      </c>
      <c r="B218" s="218" t="s">
        <v>203</v>
      </c>
      <c r="C218" s="219" t="str">
        <f t="shared" si="1"/>
        <v>MN/0395/2025</v>
      </c>
      <c r="D218" s="218" t="b">
        <v>1</v>
      </c>
      <c r="E218" s="219" t="b">
        <v>0</v>
      </c>
      <c r="F218" s="219"/>
      <c r="G218" s="173"/>
      <c r="H218" s="157" t="s">
        <v>3618</v>
      </c>
      <c r="I218" s="157" t="s">
        <v>5133</v>
      </c>
      <c r="J218" s="157">
        <v>2025.0</v>
      </c>
    </row>
    <row r="219">
      <c r="A219" s="218">
        <f t="shared" si="2"/>
        <v>216</v>
      </c>
      <c r="B219" s="218" t="s">
        <v>203</v>
      </c>
      <c r="C219" s="219" t="str">
        <f t="shared" si="1"/>
        <v>MN/0396/2025</v>
      </c>
      <c r="D219" s="218" t="b">
        <v>1</v>
      </c>
      <c r="E219" s="219" t="b">
        <v>0</v>
      </c>
      <c r="F219" s="219"/>
      <c r="G219" s="173"/>
      <c r="H219" s="157" t="s">
        <v>3618</v>
      </c>
      <c r="I219" s="157" t="s">
        <v>5139</v>
      </c>
      <c r="J219" s="157">
        <v>2025.0</v>
      </c>
    </row>
    <row r="220">
      <c r="A220" s="218">
        <f t="shared" si="2"/>
        <v>217</v>
      </c>
      <c r="B220" s="218" t="s">
        <v>203</v>
      </c>
      <c r="C220" s="219" t="str">
        <f t="shared" si="1"/>
        <v>MN/0397/2025</v>
      </c>
      <c r="D220" s="218" t="b">
        <v>1</v>
      </c>
      <c r="E220" s="219" t="b">
        <v>0</v>
      </c>
      <c r="F220" s="219"/>
      <c r="G220" s="173"/>
      <c r="H220" s="157" t="s">
        <v>3618</v>
      </c>
      <c r="I220" s="157" t="s">
        <v>5141</v>
      </c>
      <c r="J220" s="157">
        <v>2025.0</v>
      </c>
    </row>
    <row r="221">
      <c r="A221" s="218">
        <f t="shared" si="2"/>
        <v>218</v>
      </c>
      <c r="B221" s="218" t="s">
        <v>203</v>
      </c>
      <c r="C221" s="219" t="str">
        <f t="shared" si="1"/>
        <v>MN/0398/2025</v>
      </c>
      <c r="D221" s="218" t="b">
        <v>1</v>
      </c>
      <c r="E221" s="219" t="b">
        <v>0</v>
      </c>
      <c r="F221" s="219"/>
      <c r="G221" s="173"/>
      <c r="H221" s="157" t="s">
        <v>3618</v>
      </c>
      <c r="I221" s="157" t="s">
        <v>5147</v>
      </c>
      <c r="J221" s="157">
        <v>2025.0</v>
      </c>
    </row>
    <row r="222">
      <c r="A222" s="218">
        <f t="shared" si="2"/>
        <v>219</v>
      </c>
      <c r="B222" s="218" t="s">
        <v>203</v>
      </c>
      <c r="C222" s="219" t="str">
        <f t="shared" si="1"/>
        <v>MN/0399/2025</v>
      </c>
      <c r="D222" s="218" t="b">
        <v>1</v>
      </c>
      <c r="E222" s="219" t="b">
        <v>0</v>
      </c>
      <c r="F222" s="219"/>
      <c r="G222" s="173"/>
      <c r="H222" s="157" t="s">
        <v>3618</v>
      </c>
      <c r="I222" s="157" t="s">
        <v>5153</v>
      </c>
      <c r="J222" s="157">
        <v>2025.0</v>
      </c>
    </row>
    <row r="223">
      <c r="A223" s="218">
        <f t="shared" si="2"/>
        <v>220</v>
      </c>
      <c r="B223" s="218" t="s">
        <v>203</v>
      </c>
      <c r="C223" s="219" t="str">
        <f t="shared" si="1"/>
        <v>MN/0400/2025</v>
      </c>
      <c r="D223" s="218" t="b">
        <v>1</v>
      </c>
      <c r="E223" s="219" t="b">
        <v>0</v>
      </c>
      <c r="F223" s="219"/>
      <c r="G223" s="173"/>
      <c r="H223" s="157" t="s">
        <v>3618</v>
      </c>
      <c r="I223" s="157" t="s">
        <v>5158</v>
      </c>
      <c r="J223" s="157">
        <v>2025.0</v>
      </c>
    </row>
    <row r="224">
      <c r="A224" s="218">
        <f t="shared" si="2"/>
        <v>221</v>
      </c>
      <c r="B224" s="218" t="s">
        <v>203</v>
      </c>
      <c r="C224" s="219" t="str">
        <f t="shared" si="1"/>
        <v>MN/0401/2025</v>
      </c>
      <c r="D224" s="218" t="b">
        <v>1</v>
      </c>
      <c r="E224" s="219" t="b">
        <v>0</v>
      </c>
      <c r="F224" s="219"/>
      <c r="G224" s="173"/>
      <c r="H224" s="157" t="s">
        <v>3618</v>
      </c>
      <c r="I224" s="157" t="s">
        <v>5166</v>
      </c>
      <c r="J224" s="157">
        <v>2025.0</v>
      </c>
    </row>
    <row r="225">
      <c r="A225" s="218">
        <f t="shared" si="2"/>
        <v>222</v>
      </c>
      <c r="B225" s="218" t="s">
        <v>203</v>
      </c>
      <c r="C225" s="219" t="str">
        <f t="shared" si="1"/>
        <v>MN/0402/2025</v>
      </c>
      <c r="D225" s="218" t="b">
        <v>1</v>
      </c>
      <c r="E225" s="219" t="b">
        <v>0</v>
      </c>
      <c r="F225" s="219"/>
      <c r="G225" s="173"/>
      <c r="H225" s="157" t="s">
        <v>3618</v>
      </c>
      <c r="I225" s="157" t="s">
        <v>5170</v>
      </c>
      <c r="J225" s="157">
        <v>2025.0</v>
      </c>
    </row>
    <row r="226">
      <c r="A226" s="218">
        <f t="shared" si="2"/>
        <v>223</v>
      </c>
      <c r="B226" s="218" t="s">
        <v>203</v>
      </c>
      <c r="C226" s="219" t="str">
        <f t="shared" si="1"/>
        <v>MN/0403/2025</v>
      </c>
      <c r="D226" s="218" t="b">
        <v>1</v>
      </c>
      <c r="E226" s="219" t="b">
        <v>0</v>
      </c>
      <c r="F226" s="219"/>
      <c r="G226" s="173"/>
      <c r="H226" s="157" t="s">
        <v>3618</v>
      </c>
      <c r="I226" s="157" t="s">
        <v>5177</v>
      </c>
      <c r="J226" s="157">
        <v>2025.0</v>
      </c>
    </row>
    <row r="227">
      <c r="A227" s="218">
        <f t="shared" si="2"/>
        <v>224</v>
      </c>
      <c r="B227" s="218" t="s">
        <v>203</v>
      </c>
      <c r="C227" s="219" t="str">
        <f t="shared" si="1"/>
        <v>MN/0404/2025</v>
      </c>
      <c r="D227" s="218" t="b">
        <v>1</v>
      </c>
      <c r="E227" s="219" t="b">
        <v>0</v>
      </c>
      <c r="F227" s="219"/>
      <c r="G227" s="173"/>
      <c r="H227" s="157" t="s">
        <v>3618</v>
      </c>
      <c r="I227" s="157" t="s">
        <v>5184</v>
      </c>
      <c r="J227" s="157">
        <v>2025.0</v>
      </c>
    </row>
    <row r="228">
      <c r="A228" s="218">
        <f t="shared" si="2"/>
        <v>225</v>
      </c>
      <c r="B228" s="218" t="s">
        <v>203</v>
      </c>
      <c r="C228" s="219" t="str">
        <f t="shared" si="1"/>
        <v>MN/0405/2025</v>
      </c>
      <c r="D228" s="218" t="b">
        <v>1</v>
      </c>
      <c r="E228" s="219" t="b">
        <v>0</v>
      </c>
      <c r="F228" s="219"/>
      <c r="G228" s="173"/>
      <c r="H228" s="157" t="s">
        <v>3618</v>
      </c>
      <c r="I228" s="157" t="s">
        <v>5193</v>
      </c>
      <c r="J228" s="157">
        <v>2025.0</v>
      </c>
    </row>
    <row r="229">
      <c r="A229" s="218">
        <f t="shared" si="2"/>
        <v>226</v>
      </c>
      <c r="B229" s="218" t="s">
        <v>203</v>
      </c>
      <c r="C229" s="219" t="str">
        <f t="shared" si="1"/>
        <v>MN/0406/2025</v>
      </c>
      <c r="D229" s="218" t="b">
        <v>1</v>
      </c>
      <c r="E229" s="219" t="b">
        <v>0</v>
      </c>
      <c r="F229" s="219"/>
      <c r="G229" s="173"/>
      <c r="H229" s="157" t="s">
        <v>3618</v>
      </c>
      <c r="I229" s="157" t="s">
        <v>5199</v>
      </c>
      <c r="J229" s="157">
        <v>2025.0</v>
      </c>
    </row>
    <row r="230">
      <c r="A230" s="218">
        <f t="shared" si="2"/>
        <v>227</v>
      </c>
      <c r="B230" s="218" t="s">
        <v>203</v>
      </c>
      <c r="C230" s="219" t="str">
        <f t="shared" si="1"/>
        <v>MN/0407/2025</v>
      </c>
      <c r="D230" s="218" t="b">
        <v>1</v>
      </c>
      <c r="E230" s="219" t="b">
        <v>0</v>
      </c>
      <c r="F230" s="219"/>
      <c r="G230" s="173"/>
      <c r="H230" s="157" t="s">
        <v>3618</v>
      </c>
      <c r="I230" s="157" t="s">
        <v>5207</v>
      </c>
      <c r="J230" s="157">
        <v>2025.0</v>
      </c>
    </row>
    <row r="231">
      <c r="A231" s="218">
        <f t="shared" si="2"/>
        <v>228</v>
      </c>
      <c r="B231" s="218" t="s">
        <v>203</v>
      </c>
      <c r="C231" s="219" t="str">
        <f t="shared" si="1"/>
        <v>MN/0408/2025</v>
      </c>
      <c r="D231" s="218" t="b">
        <v>1</v>
      </c>
      <c r="E231" s="219" t="b">
        <v>0</v>
      </c>
      <c r="F231" s="219"/>
      <c r="G231" s="173"/>
      <c r="H231" s="157" t="s">
        <v>3618</v>
      </c>
      <c r="I231" s="157" t="s">
        <v>5215</v>
      </c>
      <c r="J231" s="157">
        <v>2025.0</v>
      </c>
    </row>
    <row r="232">
      <c r="A232" s="218">
        <f t="shared" si="2"/>
        <v>229</v>
      </c>
      <c r="B232" s="218" t="s">
        <v>203</v>
      </c>
      <c r="C232" s="219" t="str">
        <f t="shared" si="1"/>
        <v>MN/0409/2025</v>
      </c>
      <c r="D232" s="218" t="b">
        <v>1</v>
      </c>
      <c r="E232" s="219" t="b">
        <v>0</v>
      </c>
      <c r="F232" s="219"/>
      <c r="G232" s="173"/>
      <c r="H232" s="157" t="s">
        <v>3618</v>
      </c>
      <c r="I232" s="157" t="s">
        <v>5222</v>
      </c>
      <c r="J232" s="157">
        <v>2025.0</v>
      </c>
    </row>
    <row r="233">
      <c r="A233" s="218">
        <f t="shared" si="2"/>
        <v>230</v>
      </c>
      <c r="B233" s="218" t="s">
        <v>203</v>
      </c>
      <c r="C233" s="219" t="str">
        <f t="shared" si="1"/>
        <v>MN/0410/2025</v>
      </c>
      <c r="D233" s="218" t="b">
        <v>1</v>
      </c>
      <c r="E233" s="219" t="b">
        <v>0</v>
      </c>
      <c r="F233" s="219"/>
      <c r="G233" s="173"/>
      <c r="H233" s="157" t="s">
        <v>3618</v>
      </c>
      <c r="I233" s="157" t="s">
        <v>5229</v>
      </c>
      <c r="J233" s="157">
        <v>2025.0</v>
      </c>
    </row>
    <row r="234">
      <c r="A234" s="218">
        <f t="shared" si="2"/>
        <v>231</v>
      </c>
      <c r="B234" s="218" t="s">
        <v>203</v>
      </c>
      <c r="C234" s="219" t="str">
        <f t="shared" si="1"/>
        <v>MN/0411/2025</v>
      </c>
      <c r="D234" s="218" t="b">
        <v>1</v>
      </c>
      <c r="E234" s="219" t="b">
        <v>0</v>
      </c>
      <c r="F234" s="219"/>
      <c r="G234" s="173"/>
      <c r="H234" s="157" t="s">
        <v>3618</v>
      </c>
      <c r="I234" s="157" t="s">
        <v>5237</v>
      </c>
      <c r="J234" s="157">
        <v>2025.0</v>
      </c>
    </row>
    <row r="235">
      <c r="A235" s="218">
        <f t="shared" si="2"/>
        <v>232</v>
      </c>
      <c r="B235" s="218" t="s">
        <v>203</v>
      </c>
      <c r="C235" s="219" t="str">
        <f t="shared" si="1"/>
        <v>MN/0412/2025</v>
      </c>
      <c r="D235" s="218" t="b">
        <v>1</v>
      </c>
      <c r="E235" s="219" t="b">
        <v>0</v>
      </c>
      <c r="F235" s="219"/>
      <c r="G235" s="173"/>
      <c r="H235" s="157" t="s">
        <v>3618</v>
      </c>
      <c r="I235" s="157" t="s">
        <v>5239</v>
      </c>
      <c r="J235" s="157">
        <v>2025.0</v>
      </c>
    </row>
    <row r="236">
      <c r="A236" s="218">
        <f t="shared" si="2"/>
        <v>233</v>
      </c>
      <c r="B236" s="218" t="s">
        <v>203</v>
      </c>
      <c r="C236" s="219" t="str">
        <f t="shared" si="1"/>
        <v>MN/0413/2025</v>
      </c>
      <c r="D236" s="218" t="b">
        <v>1</v>
      </c>
      <c r="E236" s="219" t="b">
        <v>0</v>
      </c>
      <c r="F236" s="219"/>
      <c r="G236" s="173"/>
      <c r="H236" s="157" t="s">
        <v>3618</v>
      </c>
      <c r="I236" s="157" t="s">
        <v>5246</v>
      </c>
      <c r="J236" s="157">
        <v>2025.0</v>
      </c>
    </row>
    <row r="237">
      <c r="A237" s="218">
        <f t="shared" si="2"/>
        <v>234</v>
      </c>
      <c r="B237" s="218" t="s">
        <v>203</v>
      </c>
      <c r="C237" s="219" t="str">
        <f t="shared" si="1"/>
        <v>MN/0414/2025</v>
      </c>
      <c r="D237" s="218" t="b">
        <v>1</v>
      </c>
      <c r="E237" s="219" t="b">
        <v>0</v>
      </c>
      <c r="F237" s="219"/>
      <c r="G237" s="173"/>
      <c r="H237" s="157" t="s">
        <v>3618</v>
      </c>
      <c r="I237" s="157" t="s">
        <v>5252</v>
      </c>
      <c r="J237" s="157">
        <v>2025.0</v>
      </c>
    </row>
    <row r="238">
      <c r="A238" s="218">
        <f t="shared" si="2"/>
        <v>235</v>
      </c>
      <c r="B238" s="218" t="s">
        <v>203</v>
      </c>
      <c r="C238" s="219" t="str">
        <f t="shared" si="1"/>
        <v>MN/0415/2025</v>
      </c>
      <c r="D238" s="218" t="b">
        <v>1</v>
      </c>
      <c r="E238" s="219" t="b">
        <v>0</v>
      </c>
      <c r="F238" s="219"/>
      <c r="G238" s="173"/>
      <c r="H238" s="157" t="s">
        <v>3618</v>
      </c>
      <c r="I238" s="157" t="s">
        <v>5258</v>
      </c>
      <c r="J238" s="157">
        <v>2025.0</v>
      </c>
    </row>
    <row r="239">
      <c r="A239" s="218">
        <f t="shared" si="2"/>
        <v>236</v>
      </c>
      <c r="B239" s="218" t="s">
        <v>203</v>
      </c>
      <c r="C239" s="219" t="str">
        <f t="shared" si="1"/>
        <v>MN/0416/2025</v>
      </c>
      <c r="D239" s="218" t="b">
        <v>1</v>
      </c>
      <c r="E239" s="219" t="b">
        <v>0</v>
      </c>
      <c r="F239" s="219"/>
      <c r="G239" s="173"/>
      <c r="H239" s="157" t="s">
        <v>3618</v>
      </c>
      <c r="I239" s="157" t="s">
        <v>5264</v>
      </c>
      <c r="J239" s="157">
        <v>2025.0</v>
      </c>
    </row>
    <row r="240">
      <c r="A240" s="218">
        <f t="shared" si="2"/>
        <v>237</v>
      </c>
      <c r="B240" s="218" t="s">
        <v>203</v>
      </c>
      <c r="C240" s="219" t="str">
        <f t="shared" si="1"/>
        <v>MN/0417/2025</v>
      </c>
      <c r="D240" s="218" t="b">
        <v>1</v>
      </c>
      <c r="E240" s="219" t="b">
        <v>0</v>
      </c>
      <c r="F240" s="219"/>
      <c r="G240" s="173"/>
      <c r="H240" s="157" t="s">
        <v>3618</v>
      </c>
      <c r="I240" s="157" t="s">
        <v>5270</v>
      </c>
      <c r="J240" s="157">
        <v>2025.0</v>
      </c>
    </row>
    <row r="241">
      <c r="A241" s="218">
        <f t="shared" si="2"/>
        <v>238</v>
      </c>
      <c r="B241" s="218" t="s">
        <v>203</v>
      </c>
      <c r="C241" s="219" t="str">
        <f t="shared" si="1"/>
        <v>MN/0418/2025</v>
      </c>
      <c r="D241" s="218" t="b">
        <v>1</v>
      </c>
      <c r="E241" s="219" t="b">
        <v>0</v>
      </c>
      <c r="F241" s="219"/>
      <c r="G241" s="173"/>
      <c r="H241" s="157" t="s">
        <v>3618</v>
      </c>
      <c r="I241" s="157" t="s">
        <v>5277</v>
      </c>
      <c r="J241" s="157">
        <v>2025.0</v>
      </c>
    </row>
    <row r="242">
      <c r="A242" s="218">
        <f t="shared" si="2"/>
        <v>239</v>
      </c>
      <c r="B242" s="218" t="s">
        <v>203</v>
      </c>
      <c r="C242" s="219" t="str">
        <f t="shared" si="1"/>
        <v>MN/0419/2025</v>
      </c>
      <c r="D242" s="218" t="b">
        <v>1</v>
      </c>
      <c r="E242" s="219" t="b">
        <v>0</v>
      </c>
      <c r="F242" s="219"/>
      <c r="G242" s="173"/>
      <c r="H242" s="157" t="s">
        <v>3618</v>
      </c>
      <c r="I242" s="157" t="s">
        <v>5281</v>
      </c>
      <c r="J242" s="157">
        <v>2025.0</v>
      </c>
    </row>
    <row r="243">
      <c r="A243" s="218">
        <f t="shared" si="2"/>
        <v>240</v>
      </c>
      <c r="B243" s="218" t="s">
        <v>203</v>
      </c>
      <c r="C243" s="219" t="str">
        <f t="shared" si="1"/>
        <v>MN/0420/2025</v>
      </c>
      <c r="D243" s="218" t="b">
        <v>1</v>
      </c>
      <c r="E243" s="219" t="b">
        <v>0</v>
      </c>
      <c r="F243" s="219"/>
      <c r="G243" s="173"/>
      <c r="H243" s="157" t="s">
        <v>3618</v>
      </c>
      <c r="I243" s="157" t="s">
        <v>5287</v>
      </c>
      <c r="J243" s="157">
        <v>2025.0</v>
      </c>
    </row>
    <row r="244">
      <c r="A244" s="218">
        <f t="shared" si="2"/>
        <v>241</v>
      </c>
      <c r="B244" s="218" t="s">
        <v>203</v>
      </c>
      <c r="C244" s="219" t="str">
        <f t="shared" si="1"/>
        <v>MN/0421/2025</v>
      </c>
      <c r="D244" s="218" t="b">
        <v>1</v>
      </c>
      <c r="E244" s="219" t="b">
        <v>0</v>
      </c>
      <c r="F244" s="219"/>
      <c r="G244" s="173"/>
      <c r="H244" s="157" t="s">
        <v>3618</v>
      </c>
      <c r="I244" s="157" t="s">
        <v>5295</v>
      </c>
      <c r="J244" s="157">
        <v>2025.0</v>
      </c>
    </row>
    <row r="245">
      <c r="A245" s="218">
        <f t="shared" si="2"/>
        <v>242</v>
      </c>
      <c r="B245" s="218" t="s">
        <v>203</v>
      </c>
      <c r="C245" s="219" t="str">
        <f t="shared" si="1"/>
        <v>MN/0422/2025</v>
      </c>
      <c r="D245" s="218" t="b">
        <v>1</v>
      </c>
      <c r="E245" s="219" t="b">
        <v>0</v>
      </c>
      <c r="F245" s="219"/>
      <c r="G245" s="173"/>
      <c r="H245" s="157" t="s">
        <v>3618</v>
      </c>
      <c r="I245" s="157" t="s">
        <v>5301</v>
      </c>
      <c r="J245" s="157">
        <v>2025.0</v>
      </c>
    </row>
    <row r="246">
      <c r="A246" s="218">
        <f t="shared" si="2"/>
        <v>243</v>
      </c>
      <c r="B246" s="218" t="s">
        <v>203</v>
      </c>
      <c r="C246" s="219" t="str">
        <f t="shared" si="1"/>
        <v>MN/0423/2025</v>
      </c>
      <c r="D246" s="218" t="b">
        <v>1</v>
      </c>
      <c r="E246" s="219" t="b">
        <v>0</v>
      </c>
      <c r="F246" s="219"/>
      <c r="G246" s="173"/>
      <c r="H246" s="157" t="s">
        <v>3618</v>
      </c>
      <c r="I246" s="157" t="s">
        <v>5309</v>
      </c>
      <c r="J246" s="157">
        <v>2025.0</v>
      </c>
    </row>
    <row r="247">
      <c r="A247" s="218">
        <f t="shared" si="2"/>
        <v>244</v>
      </c>
      <c r="B247" s="218" t="s">
        <v>203</v>
      </c>
      <c r="C247" s="219" t="str">
        <f t="shared" si="1"/>
        <v>MN/0424/2025</v>
      </c>
      <c r="D247" s="218" t="b">
        <v>1</v>
      </c>
      <c r="E247" s="219" t="b">
        <v>0</v>
      </c>
      <c r="F247" s="219"/>
      <c r="G247" s="173"/>
      <c r="H247" s="157" t="s">
        <v>3618</v>
      </c>
      <c r="I247" s="157" t="s">
        <v>5316</v>
      </c>
      <c r="J247" s="157">
        <v>2025.0</v>
      </c>
    </row>
    <row r="248">
      <c r="A248" s="218">
        <f t="shared" si="2"/>
        <v>245</v>
      </c>
      <c r="B248" s="218" t="s">
        <v>203</v>
      </c>
      <c r="C248" s="219" t="str">
        <f t="shared" si="1"/>
        <v>MN/0425/2025</v>
      </c>
      <c r="D248" s="218" t="b">
        <v>1</v>
      </c>
      <c r="E248" s="219" t="b">
        <v>0</v>
      </c>
      <c r="F248" s="219"/>
      <c r="G248" s="173"/>
      <c r="H248" s="157" t="s">
        <v>3618</v>
      </c>
      <c r="I248" s="157" t="s">
        <v>5320</v>
      </c>
      <c r="J248" s="157">
        <v>2025.0</v>
      </c>
    </row>
    <row r="249">
      <c r="A249" s="218">
        <f t="shared" si="2"/>
        <v>246</v>
      </c>
      <c r="B249" s="218" t="s">
        <v>203</v>
      </c>
      <c r="C249" s="219" t="str">
        <f t="shared" si="1"/>
        <v>MN/0426/2025</v>
      </c>
      <c r="D249" s="218" t="b">
        <v>1</v>
      </c>
      <c r="E249" s="219" t="b">
        <v>0</v>
      </c>
      <c r="F249" s="219"/>
      <c r="G249" s="173"/>
      <c r="H249" s="157" t="s">
        <v>3618</v>
      </c>
      <c r="I249" s="157" t="s">
        <v>5323</v>
      </c>
      <c r="J249" s="157">
        <v>2025.0</v>
      </c>
    </row>
    <row r="250">
      <c r="A250" s="218">
        <f t="shared" si="2"/>
        <v>247</v>
      </c>
      <c r="B250" s="218" t="s">
        <v>203</v>
      </c>
      <c r="C250" s="219" t="str">
        <f t="shared" si="1"/>
        <v>MN/0427/2025</v>
      </c>
      <c r="D250" s="218" t="b">
        <v>1</v>
      </c>
      <c r="E250" s="219" t="b">
        <v>0</v>
      </c>
      <c r="F250" s="219"/>
      <c r="G250" s="173"/>
      <c r="H250" s="157" t="s">
        <v>3618</v>
      </c>
      <c r="I250" s="157" t="s">
        <v>5332</v>
      </c>
      <c r="J250" s="157">
        <v>2025.0</v>
      </c>
    </row>
    <row r="251">
      <c r="A251" s="218">
        <f t="shared" si="2"/>
        <v>248</v>
      </c>
      <c r="B251" s="218" t="s">
        <v>203</v>
      </c>
      <c r="C251" s="219" t="str">
        <f t="shared" si="1"/>
        <v>MN/0428/2025</v>
      </c>
      <c r="D251" s="218" t="b">
        <v>1</v>
      </c>
      <c r="E251" s="219" t="b">
        <v>0</v>
      </c>
      <c r="F251" s="219"/>
      <c r="G251" s="173"/>
      <c r="H251" s="157" t="s">
        <v>3618</v>
      </c>
      <c r="I251" s="157" t="s">
        <v>5337</v>
      </c>
      <c r="J251" s="157">
        <v>2025.0</v>
      </c>
    </row>
    <row r="252">
      <c r="A252" s="218">
        <f t="shared" si="2"/>
        <v>249</v>
      </c>
      <c r="B252" s="218" t="s">
        <v>203</v>
      </c>
      <c r="C252" s="219" t="str">
        <f t="shared" si="1"/>
        <v>MN/0429/2025</v>
      </c>
      <c r="D252" s="218" t="b">
        <v>1</v>
      </c>
      <c r="E252" s="219" t="b">
        <v>0</v>
      </c>
      <c r="F252" s="219"/>
      <c r="G252" s="173"/>
      <c r="H252" s="157" t="s">
        <v>3618</v>
      </c>
      <c r="I252" s="157" t="s">
        <v>5343</v>
      </c>
      <c r="J252" s="157">
        <v>2025.0</v>
      </c>
    </row>
    <row r="253">
      <c r="A253" s="218">
        <f t="shared" si="2"/>
        <v>250</v>
      </c>
      <c r="B253" s="218" t="s">
        <v>203</v>
      </c>
      <c r="C253" s="219" t="str">
        <f t="shared" si="1"/>
        <v>MN/0430/2025</v>
      </c>
      <c r="D253" s="218" t="b">
        <v>1</v>
      </c>
      <c r="E253" s="219" t="b">
        <v>0</v>
      </c>
      <c r="F253" s="219"/>
      <c r="G253" s="173"/>
      <c r="H253" s="157" t="s">
        <v>3618</v>
      </c>
      <c r="I253" s="157" t="s">
        <v>5349</v>
      </c>
      <c r="J253" s="157">
        <v>2025.0</v>
      </c>
    </row>
    <row r="254">
      <c r="A254" s="218">
        <f t="shared" si="2"/>
        <v>251</v>
      </c>
      <c r="B254" s="218" t="s">
        <v>203</v>
      </c>
      <c r="C254" s="219" t="str">
        <f t="shared" si="1"/>
        <v>MN/0431/2025</v>
      </c>
      <c r="D254" s="218" t="b">
        <v>1</v>
      </c>
      <c r="E254" s="219" t="b">
        <v>0</v>
      </c>
      <c r="F254" s="219"/>
      <c r="G254" s="173"/>
      <c r="H254" s="157" t="s">
        <v>3618</v>
      </c>
      <c r="I254" s="157" t="s">
        <v>5353</v>
      </c>
      <c r="J254" s="157">
        <v>2025.0</v>
      </c>
    </row>
    <row r="255">
      <c r="A255" s="218">
        <f t="shared" si="2"/>
        <v>252</v>
      </c>
      <c r="B255" s="218" t="s">
        <v>203</v>
      </c>
      <c r="C255" s="219" t="str">
        <f t="shared" si="1"/>
        <v>MN/0432/2025</v>
      </c>
      <c r="D255" s="218" t="b">
        <v>1</v>
      </c>
      <c r="E255" s="219" t="b">
        <v>0</v>
      </c>
      <c r="F255" s="219"/>
      <c r="G255" s="173"/>
      <c r="H255" s="157" t="s">
        <v>3618</v>
      </c>
      <c r="I255" s="157" t="s">
        <v>5360</v>
      </c>
      <c r="J255" s="157">
        <v>2025.0</v>
      </c>
    </row>
    <row r="256">
      <c r="A256" s="218">
        <f t="shared" si="2"/>
        <v>253</v>
      </c>
      <c r="B256" s="218" t="s">
        <v>203</v>
      </c>
      <c r="C256" s="219" t="str">
        <f t="shared" si="1"/>
        <v>MN/0433/2025</v>
      </c>
      <c r="D256" s="218" t="b">
        <v>1</v>
      </c>
      <c r="E256" s="219" t="b">
        <v>0</v>
      </c>
      <c r="F256" s="219"/>
      <c r="G256" s="173"/>
      <c r="H256" s="157" t="s">
        <v>3618</v>
      </c>
      <c r="I256" s="157" t="s">
        <v>5363</v>
      </c>
      <c r="J256" s="157">
        <v>2025.0</v>
      </c>
    </row>
    <row r="257">
      <c r="A257" s="218">
        <f t="shared" si="2"/>
        <v>254</v>
      </c>
      <c r="B257" s="218" t="s">
        <v>203</v>
      </c>
      <c r="C257" s="219" t="str">
        <f t="shared" si="1"/>
        <v>MN/0434/2025</v>
      </c>
      <c r="D257" s="218" t="b">
        <v>1</v>
      </c>
      <c r="E257" s="219" t="b">
        <v>0</v>
      </c>
      <c r="F257" s="219"/>
      <c r="G257" s="173"/>
      <c r="H257" s="157" t="s">
        <v>3618</v>
      </c>
      <c r="I257" s="157" t="s">
        <v>5366</v>
      </c>
      <c r="J257" s="157">
        <v>2025.0</v>
      </c>
    </row>
    <row r="258">
      <c r="A258" s="218">
        <f t="shared" si="2"/>
        <v>255</v>
      </c>
      <c r="B258" s="218" t="s">
        <v>203</v>
      </c>
      <c r="C258" s="219" t="str">
        <f t="shared" si="1"/>
        <v>MN/0435/2025</v>
      </c>
      <c r="D258" s="218" t="b">
        <v>1</v>
      </c>
      <c r="E258" s="219" t="b">
        <v>0</v>
      </c>
      <c r="F258" s="219"/>
      <c r="G258" s="173"/>
      <c r="H258" s="157" t="s">
        <v>3618</v>
      </c>
      <c r="I258" s="157" t="s">
        <v>5370</v>
      </c>
      <c r="J258" s="157">
        <v>2025.0</v>
      </c>
    </row>
    <row r="259">
      <c r="A259" s="218">
        <f t="shared" si="2"/>
        <v>256</v>
      </c>
      <c r="B259" s="218" t="s">
        <v>203</v>
      </c>
      <c r="C259" s="219" t="str">
        <f t="shared" si="1"/>
        <v>MN/0436/2025</v>
      </c>
      <c r="D259" s="218" t="b">
        <v>1</v>
      </c>
      <c r="E259" s="219" t="b">
        <v>0</v>
      </c>
      <c r="F259" s="219"/>
      <c r="G259" s="173"/>
      <c r="H259" s="157" t="s">
        <v>3618</v>
      </c>
      <c r="I259" s="157" t="s">
        <v>5378</v>
      </c>
      <c r="J259" s="157">
        <v>2025.0</v>
      </c>
    </row>
    <row r="260">
      <c r="A260" s="218">
        <f t="shared" si="2"/>
        <v>257</v>
      </c>
      <c r="B260" s="218" t="s">
        <v>203</v>
      </c>
      <c r="C260" s="219" t="str">
        <f t="shared" si="1"/>
        <v>MN/0437/2025</v>
      </c>
      <c r="D260" s="218" t="b">
        <v>1</v>
      </c>
      <c r="E260" s="219" t="b">
        <v>0</v>
      </c>
      <c r="F260" s="219"/>
      <c r="G260" s="173"/>
      <c r="H260" s="157" t="s">
        <v>3618</v>
      </c>
      <c r="I260" s="157" t="s">
        <v>5381</v>
      </c>
      <c r="J260" s="157">
        <v>2025.0</v>
      </c>
    </row>
    <row r="261">
      <c r="A261" s="218">
        <f t="shared" si="2"/>
        <v>258</v>
      </c>
      <c r="B261" s="218" t="s">
        <v>203</v>
      </c>
      <c r="C261" s="219" t="str">
        <f t="shared" si="1"/>
        <v>MN/0438/2025</v>
      </c>
      <c r="D261" s="218" t="b">
        <v>1</v>
      </c>
      <c r="E261" s="219" t="b">
        <v>0</v>
      </c>
      <c r="F261" s="219"/>
      <c r="G261" s="173"/>
      <c r="H261" s="157" t="s">
        <v>3618</v>
      </c>
      <c r="I261" s="157" t="s">
        <v>5386</v>
      </c>
      <c r="J261" s="157">
        <v>2025.0</v>
      </c>
    </row>
    <row r="262">
      <c r="A262" s="218">
        <f t="shared" si="2"/>
        <v>259</v>
      </c>
      <c r="B262" s="218" t="s">
        <v>203</v>
      </c>
      <c r="C262" s="219" t="str">
        <f t="shared" si="1"/>
        <v>MN/0439/2025</v>
      </c>
      <c r="D262" s="218" t="b">
        <v>1</v>
      </c>
      <c r="E262" s="219" t="b">
        <v>0</v>
      </c>
      <c r="F262" s="219"/>
      <c r="G262" s="173"/>
      <c r="H262" s="157" t="s">
        <v>3618</v>
      </c>
      <c r="I262" s="157" t="s">
        <v>5390</v>
      </c>
      <c r="J262" s="157">
        <v>2025.0</v>
      </c>
    </row>
    <row r="263">
      <c r="A263" s="218">
        <f t="shared" si="2"/>
        <v>260</v>
      </c>
      <c r="B263" s="218" t="s">
        <v>203</v>
      </c>
      <c r="C263" s="219" t="str">
        <f t="shared" si="1"/>
        <v>MN/0440/2025</v>
      </c>
      <c r="D263" s="218" t="b">
        <v>1</v>
      </c>
      <c r="E263" s="219" t="b">
        <v>0</v>
      </c>
      <c r="F263" s="219"/>
      <c r="G263" s="173"/>
      <c r="H263" s="157" t="s">
        <v>3618</v>
      </c>
      <c r="I263" s="157" t="s">
        <v>5396</v>
      </c>
      <c r="J263" s="157">
        <v>2025.0</v>
      </c>
    </row>
    <row r="264">
      <c r="A264" s="218">
        <f t="shared" si="2"/>
        <v>261</v>
      </c>
      <c r="B264" s="218" t="s">
        <v>203</v>
      </c>
      <c r="C264" s="219" t="str">
        <f t="shared" si="1"/>
        <v>MN/0441/2025</v>
      </c>
      <c r="D264" s="218" t="b">
        <v>1</v>
      </c>
      <c r="E264" s="219" t="b">
        <v>0</v>
      </c>
      <c r="F264" s="219"/>
      <c r="G264" s="173"/>
      <c r="H264" s="157" t="s">
        <v>3618</v>
      </c>
      <c r="I264" s="157" t="s">
        <v>5402</v>
      </c>
      <c r="J264" s="157">
        <v>2025.0</v>
      </c>
    </row>
    <row r="265">
      <c r="A265" s="218">
        <f t="shared" si="2"/>
        <v>262</v>
      </c>
      <c r="B265" s="218" t="s">
        <v>203</v>
      </c>
      <c r="C265" s="219" t="str">
        <f t="shared" si="1"/>
        <v>MN/0442/2025</v>
      </c>
      <c r="D265" s="218" t="b">
        <v>1</v>
      </c>
      <c r="E265" s="219" t="b">
        <v>0</v>
      </c>
      <c r="F265" s="219"/>
      <c r="G265" s="173"/>
      <c r="H265" s="157" t="s">
        <v>3618</v>
      </c>
      <c r="I265" s="157" t="s">
        <v>5406</v>
      </c>
      <c r="J265" s="157">
        <v>2025.0</v>
      </c>
    </row>
    <row r="266">
      <c r="A266" s="218">
        <f t="shared" si="2"/>
        <v>263</v>
      </c>
      <c r="B266" s="218" t="s">
        <v>203</v>
      </c>
      <c r="C266" s="219" t="str">
        <f t="shared" si="1"/>
        <v>MN/0443/2025</v>
      </c>
      <c r="D266" s="218" t="b">
        <v>1</v>
      </c>
      <c r="E266" s="219" t="b">
        <v>0</v>
      </c>
      <c r="F266" s="219"/>
      <c r="G266" s="173"/>
      <c r="H266" s="157" t="s">
        <v>3618</v>
      </c>
      <c r="I266" s="157" t="s">
        <v>5411</v>
      </c>
      <c r="J266" s="157">
        <v>2025.0</v>
      </c>
    </row>
    <row r="267">
      <c r="A267" s="218">
        <f t="shared" si="2"/>
        <v>264</v>
      </c>
      <c r="B267" s="218" t="s">
        <v>203</v>
      </c>
      <c r="C267" s="219" t="str">
        <f t="shared" si="1"/>
        <v>MN/0444/2025</v>
      </c>
      <c r="D267" s="218" t="b">
        <v>1</v>
      </c>
      <c r="E267" s="219" t="b">
        <v>0</v>
      </c>
      <c r="F267" s="219"/>
      <c r="G267" s="173"/>
      <c r="H267" s="157" t="s">
        <v>3618</v>
      </c>
      <c r="I267" s="157" t="s">
        <v>5415</v>
      </c>
      <c r="J267" s="157">
        <v>2025.0</v>
      </c>
    </row>
    <row r="268">
      <c r="A268" s="218">
        <f t="shared" si="2"/>
        <v>265</v>
      </c>
      <c r="B268" s="218" t="s">
        <v>203</v>
      </c>
      <c r="C268" s="219" t="str">
        <f t="shared" si="1"/>
        <v>MN/0445/2025</v>
      </c>
      <c r="D268" s="218" t="b">
        <v>1</v>
      </c>
      <c r="E268" s="219" t="b">
        <v>0</v>
      </c>
      <c r="F268" s="219"/>
      <c r="G268" s="173"/>
      <c r="H268" s="157" t="s">
        <v>3618</v>
      </c>
      <c r="I268" s="157" t="s">
        <v>5422</v>
      </c>
      <c r="J268" s="157">
        <v>2025.0</v>
      </c>
    </row>
    <row r="269">
      <c r="A269" s="218">
        <f t="shared" si="2"/>
        <v>266</v>
      </c>
      <c r="B269" s="218" t="s">
        <v>203</v>
      </c>
      <c r="C269" s="219" t="str">
        <f t="shared" si="1"/>
        <v>MN/0446/2025</v>
      </c>
      <c r="D269" s="218" t="b">
        <v>1</v>
      </c>
      <c r="E269" s="219" t="b">
        <v>0</v>
      </c>
      <c r="F269" s="219"/>
      <c r="G269" s="173"/>
      <c r="H269" s="157" t="s">
        <v>3618</v>
      </c>
      <c r="I269" s="157" t="s">
        <v>5429</v>
      </c>
      <c r="J269" s="157">
        <v>2025.0</v>
      </c>
    </row>
    <row r="270">
      <c r="A270" s="218">
        <f t="shared" si="2"/>
        <v>267</v>
      </c>
      <c r="B270" s="218" t="s">
        <v>203</v>
      </c>
      <c r="C270" s="219" t="str">
        <f t="shared" si="1"/>
        <v>MN/0447/2025</v>
      </c>
      <c r="D270" s="218" t="b">
        <v>1</v>
      </c>
      <c r="E270" s="219" t="b">
        <v>0</v>
      </c>
      <c r="F270" s="219"/>
      <c r="G270" s="173"/>
      <c r="H270" s="157" t="s">
        <v>3618</v>
      </c>
      <c r="I270" s="157" t="s">
        <v>5434</v>
      </c>
      <c r="J270" s="157">
        <v>2025.0</v>
      </c>
    </row>
    <row r="271">
      <c r="A271" s="218">
        <f t="shared" si="2"/>
        <v>268</v>
      </c>
      <c r="B271" s="218" t="s">
        <v>203</v>
      </c>
      <c r="C271" s="219" t="str">
        <f t="shared" si="1"/>
        <v>MN/0448/2025</v>
      </c>
      <c r="D271" s="218" t="b">
        <v>1</v>
      </c>
      <c r="E271" s="219" t="b">
        <v>0</v>
      </c>
      <c r="F271" s="219"/>
      <c r="G271" s="173"/>
      <c r="H271" s="157" t="s">
        <v>3618</v>
      </c>
      <c r="I271" s="157" t="s">
        <v>5441</v>
      </c>
      <c r="J271" s="157">
        <v>2025.0</v>
      </c>
    </row>
    <row r="272">
      <c r="A272" s="218">
        <f t="shared" si="2"/>
        <v>269</v>
      </c>
      <c r="B272" s="218" t="s">
        <v>203</v>
      </c>
      <c r="C272" s="219" t="str">
        <f t="shared" si="1"/>
        <v>MN/0449/2025</v>
      </c>
      <c r="D272" s="218" t="b">
        <v>1</v>
      </c>
      <c r="E272" s="219" t="b">
        <v>0</v>
      </c>
      <c r="F272" s="219"/>
      <c r="G272" s="173"/>
      <c r="H272" s="157" t="s">
        <v>3618</v>
      </c>
      <c r="I272" s="157" t="s">
        <v>5445</v>
      </c>
      <c r="J272" s="157">
        <v>2025.0</v>
      </c>
    </row>
    <row r="273">
      <c r="A273" s="218">
        <f t="shared" si="2"/>
        <v>270</v>
      </c>
      <c r="B273" s="218" t="s">
        <v>203</v>
      </c>
      <c r="C273" s="219" t="str">
        <f t="shared" si="1"/>
        <v>MN/0450/2025</v>
      </c>
      <c r="D273" s="218" t="b">
        <v>1</v>
      </c>
      <c r="E273" s="219" t="b">
        <v>0</v>
      </c>
      <c r="F273" s="219"/>
      <c r="G273" s="173"/>
      <c r="H273" s="157" t="s">
        <v>3618</v>
      </c>
      <c r="I273" s="157" t="s">
        <v>5449</v>
      </c>
      <c r="J273" s="157">
        <v>2025.0</v>
      </c>
    </row>
    <row r="274">
      <c r="A274" s="218">
        <f t="shared" si="2"/>
        <v>271</v>
      </c>
      <c r="B274" s="218" t="s">
        <v>203</v>
      </c>
      <c r="C274" s="219" t="str">
        <f t="shared" si="1"/>
        <v>MN/0451/2025</v>
      </c>
      <c r="D274" s="218" t="b">
        <v>1</v>
      </c>
      <c r="E274" s="219" t="b">
        <v>0</v>
      </c>
      <c r="F274" s="219"/>
      <c r="G274" s="173"/>
      <c r="H274" s="157" t="s">
        <v>3618</v>
      </c>
      <c r="I274" s="157" t="s">
        <v>5456</v>
      </c>
      <c r="J274" s="157">
        <v>2025.0</v>
      </c>
    </row>
    <row r="275">
      <c r="A275" s="218">
        <f t="shared" si="2"/>
        <v>272</v>
      </c>
      <c r="B275" s="218" t="s">
        <v>203</v>
      </c>
      <c r="C275" s="219" t="str">
        <f t="shared" si="1"/>
        <v>MN/0452/2025</v>
      </c>
      <c r="D275" s="218" t="b">
        <v>1</v>
      </c>
      <c r="E275" s="219" t="b">
        <v>0</v>
      </c>
      <c r="F275" s="219"/>
      <c r="G275" s="173"/>
      <c r="H275" s="157" t="s">
        <v>3618</v>
      </c>
      <c r="I275" s="157" t="s">
        <v>5462</v>
      </c>
      <c r="J275" s="157">
        <v>2025.0</v>
      </c>
    </row>
    <row r="276">
      <c r="A276" s="218">
        <f t="shared" si="2"/>
        <v>273</v>
      </c>
      <c r="B276" s="218" t="s">
        <v>203</v>
      </c>
      <c r="C276" s="219" t="str">
        <f t="shared" si="1"/>
        <v>MN/0453/2025</v>
      </c>
      <c r="D276" s="218" t="b">
        <v>1</v>
      </c>
      <c r="E276" s="219" t="b">
        <v>0</v>
      </c>
      <c r="F276" s="219"/>
      <c r="G276" s="173"/>
      <c r="H276" s="157" t="s">
        <v>3618</v>
      </c>
      <c r="I276" s="157" t="s">
        <v>5468</v>
      </c>
      <c r="J276" s="157">
        <v>2025.0</v>
      </c>
    </row>
    <row r="277">
      <c r="A277" s="218">
        <f t="shared" si="2"/>
        <v>274</v>
      </c>
      <c r="B277" s="218" t="s">
        <v>203</v>
      </c>
      <c r="C277" s="219" t="str">
        <f t="shared" si="1"/>
        <v>MN/0454/2025</v>
      </c>
      <c r="D277" s="218" t="b">
        <v>1</v>
      </c>
      <c r="E277" s="219" t="b">
        <v>0</v>
      </c>
      <c r="F277" s="219"/>
      <c r="G277" s="173"/>
      <c r="H277" s="157" t="s">
        <v>3618</v>
      </c>
      <c r="I277" s="157" t="s">
        <v>5473</v>
      </c>
      <c r="J277" s="157">
        <v>2025.0</v>
      </c>
    </row>
    <row r="278">
      <c r="A278" s="218">
        <f t="shared" si="2"/>
        <v>275</v>
      </c>
      <c r="B278" s="218" t="s">
        <v>203</v>
      </c>
      <c r="C278" s="219" t="str">
        <f t="shared" si="1"/>
        <v>MN/0455/2025</v>
      </c>
      <c r="D278" s="218" t="b">
        <v>1</v>
      </c>
      <c r="E278" s="219" t="b">
        <v>0</v>
      </c>
      <c r="F278" s="219"/>
      <c r="G278" s="173"/>
      <c r="H278" s="157" t="s">
        <v>3618</v>
      </c>
      <c r="I278" s="157" t="s">
        <v>5478</v>
      </c>
      <c r="J278" s="157">
        <v>2025.0</v>
      </c>
    </row>
    <row r="279">
      <c r="A279" s="218">
        <f t="shared" si="2"/>
        <v>276</v>
      </c>
      <c r="B279" s="218" t="s">
        <v>203</v>
      </c>
      <c r="C279" s="219" t="str">
        <f t="shared" si="1"/>
        <v>MN/0456/2025</v>
      </c>
      <c r="D279" s="218" t="b">
        <v>1</v>
      </c>
      <c r="E279" s="219" t="b">
        <v>0</v>
      </c>
      <c r="F279" s="219"/>
      <c r="G279" s="173"/>
      <c r="H279" s="157" t="s">
        <v>3618</v>
      </c>
      <c r="I279" s="157" t="s">
        <v>5484</v>
      </c>
      <c r="J279" s="157">
        <v>2025.0</v>
      </c>
    </row>
    <row r="280">
      <c r="A280" s="218">
        <f t="shared" si="2"/>
        <v>277</v>
      </c>
      <c r="B280" s="218" t="s">
        <v>203</v>
      </c>
      <c r="C280" s="219" t="str">
        <f t="shared" si="1"/>
        <v>MN/0457/2025</v>
      </c>
      <c r="D280" s="218" t="b">
        <v>1</v>
      </c>
      <c r="E280" s="219" t="b">
        <v>0</v>
      </c>
      <c r="F280" s="219"/>
      <c r="G280" s="173"/>
      <c r="H280" s="157" t="s">
        <v>3618</v>
      </c>
      <c r="I280" s="157" t="s">
        <v>5490</v>
      </c>
      <c r="J280" s="157">
        <v>2025.0</v>
      </c>
    </row>
    <row r="281">
      <c r="A281" s="218">
        <f t="shared" si="2"/>
        <v>278</v>
      </c>
      <c r="B281" s="218" t="s">
        <v>203</v>
      </c>
      <c r="C281" s="219" t="str">
        <f t="shared" si="1"/>
        <v>MN/0458/2025</v>
      </c>
      <c r="D281" s="218" t="b">
        <v>1</v>
      </c>
      <c r="E281" s="219" t="b">
        <v>0</v>
      </c>
      <c r="F281" s="219"/>
      <c r="G281" s="173"/>
      <c r="H281" s="157" t="s">
        <v>3618</v>
      </c>
      <c r="I281" s="157" t="s">
        <v>5497</v>
      </c>
      <c r="J281" s="157">
        <v>2025.0</v>
      </c>
    </row>
    <row r="282">
      <c r="A282" s="218">
        <f t="shared" si="2"/>
        <v>279</v>
      </c>
      <c r="B282" s="218" t="s">
        <v>203</v>
      </c>
      <c r="C282" s="219" t="str">
        <f t="shared" si="1"/>
        <v>MN/0459/2025</v>
      </c>
      <c r="D282" s="218" t="b">
        <v>1</v>
      </c>
      <c r="E282" s="219" t="b">
        <v>0</v>
      </c>
      <c r="F282" s="219"/>
      <c r="G282" s="173"/>
      <c r="H282" s="157" t="s">
        <v>3618</v>
      </c>
      <c r="I282" s="157" t="s">
        <v>5504</v>
      </c>
      <c r="J282" s="157">
        <v>2025.0</v>
      </c>
    </row>
    <row r="283">
      <c r="A283" s="218">
        <f t="shared" si="2"/>
        <v>280</v>
      </c>
      <c r="B283" s="218" t="s">
        <v>203</v>
      </c>
      <c r="C283" s="219" t="str">
        <f t="shared" si="1"/>
        <v>MN/0460/2025</v>
      </c>
      <c r="D283" s="218" t="b">
        <v>1</v>
      </c>
      <c r="E283" s="219" t="b">
        <v>0</v>
      </c>
      <c r="F283" s="219"/>
      <c r="G283" s="173"/>
      <c r="H283" s="157" t="s">
        <v>3618</v>
      </c>
      <c r="I283" s="157" t="s">
        <v>5510</v>
      </c>
      <c r="J283" s="157">
        <v>2025.0</v>
      </c>
    </row>
    <row r="284">
      <c r="A284" s="218">
        <f t="shared" si="2"/>
        <v>281</v>
      </c>
      <c r="B284" s="218" t="s">
        <v>203</v>
      </c>
      <c r="C284" s="219" t="str">
        <f t="shared" si="1"/>
        <v>MN/0461/2025</v>
      </c>
      <c r="D284" s="218" t="b">
        <v>1</v>
      </c>
      <c r="E284" s="219" t="b">
        <v>0</v>
      </c>
      <c r="F284" s="219"/>
      <c r="G284" s="173"/>
      <c r="H284" s="157" t="s">
        <v>3618</v>
      </c>
      <c r="I284" s="157" t="s">
        <v>5516</v>
      </c>
      <c r="J284" s="157">
        <v>2025.0</v>
      </c>
    </row>
    <row r="285">
      <c r="A285" s="218">
        <f t="shared" si="2"/>
        <v>282</v>
      </c>
      <c r="B285" s="218" t="s">
        <v>203</v>
      </c>
      <c r="C285" s="219" t="str">
        <f t="shared" si="1"/>
        <v>MN/0462/2025</v>
      </c>
      <c r="D285" s="218" t="b">
        <v>1</v>
      </c>
      <c r="E285" s="219" t="b">
        <v>0</v>
      </c>
      <c r="F285" s="219"/>
      <c r="G285" s="173"/>
      <c r="H285" s="157" t="s">
        <v>3618</v>
      </c>
      <c r="I285" s="157" t="s">
        <v>5517</v>
      </c>
      <c r="J285" s="157">
        <v>2025.0</v>
      </c>
    </row>
    <row r="286">
      <c r="A286" s="218">
        <f t="shared" si="2"/>
        <v>283</v>
      </c>
      <c r="B286" s="218" t="s">
        <v>203</v>
      </c>
      <c r="C286" s="219" t="str">
        <f t="shared" si="1"/>
        <v>MN/0463/2025</v>
      </c>
      <c r="D286" s="218" t="b">
        <v>1</v>
      </c>
      <c r="E286" s="219" t="b">
        <v>0</v>
      </c>
      <c r="F286" s="219"/>
      <c r="G286" s="173"/>
      <c r="H286" s="157" t="s">
        <v>3618</v>
      </c>
      <c r="I286" s="157" t="s">
        <v>5523</v>
      </c>
      <c r="J286" s="157">
        <v>2025.0</v>
      </c>
    </row>
    <row r="287">
      <c r="A287" s="218">
        <f t="shared" si="2"/>
        <v>284</v>
      </c>
      <c r="B287" s="218" t="s">
        <v>203</v>
      </c>
      <c r="C287" s="219" t="str">
        <f t="shared" si="1"/>
        <v>MN/0464/2025</v>
      </c>
      <c r="D287" s="218" t="b">
        <v>1</v>
      </c>
      <c r="E287" s="219" t="b">
        <v>0</v>
      </c>
      <c r="F287" s="219"/>
      <c r="G287" s="173"/>
      <c r="H287" s="157" t="s">
        <v>3618</v>
      </c>
      <c r="I287" s="157" t="s">
        <v>5527</v>
      </c>
      <c r="J287" s="157">
        <v>2025.0</v>
      </c>
    </row>
    <row r="288">
      <c r="A288" s="218">
        <f t="shared" si="2"/>
        <v>285</v>
      </c>
      <c r="B288" s="218" t="s">
        <v>203</v>
      </c>
      <c r="C288" s="219" t="str">
        <f t="shared" si="1"/>
        <v>MN/0465/2025</v>
      </c>
      <c r="D288" s="218" t="b">
        <v>1</v>
      </c>
      <c r="E288" s="219" t="b">
        <v>0</v>
      </c>
      <c r="F288" s="219"/>
      <c r="G288" s="173"/>
      <c r="H288" s="157" t="s">
        <v>3618</v>
      </c>
      <c r="I288" s="157" t="s">
        <v>5528</v>
      </c>
      <c r="J288" s="157">
        <v>2025.0</v>
      </c>
    </row>
    <row r="289">
      <c r="A289" s="218">
        <f t="shared" si="2"/>
        <v>286</v>
      </c>
      <c r="B289" s="218" t="s">
        <v>203</v>
      </c>
      <c r="C289" s="219" t="str">
        <f t="shared" si="1"/>
        <v>MN/0466/2025</v>
      </c>
      <c r="D289" s="218" t="b">
        <v>1</v>
      </c>
      <c r="E289" s="219" t="b">
        <v>0</v>
      </c>
      <c r="F289" s="219"/>
      <c r="G289" s="173"/>
      <c r="H289" s="157" t="s">
        <v>3618</v>
      </c>
      <c r="I289" s="157" t="s">
        <v>5529</v>
      </c>
      <c r="J289" s="157">
        <v>2025.0</v>
      </c>
    </row>
    <row r="290">
      <c r="A290" s="218">
        <f t="shared" si="2"/>
        <v>287</v>
      </c>
      <c r="B290" s="218" t="s">
        <v>203</v>
      </c>
      <c r="C290" s="219" t="str">
        <f t="shared" si="1"/>
        <v>MN/0467/2025</v>
      </c>
      <c r="D290" s="218" t="b">
        <v>1</v>
      </c>
      <c r="E290" s="219" t="b">
        <v>0</v>
      </c>
      <c r="F290" s="219"/>
      <c r="G290" s="173"/>
      <c r="H290" s="157" t="s">
        <v>3618</v>
      </c>
      <c r="I290" s="157" t="s">
        <v>5530</v>
      </c>
      <c r="J290" s="157">
        <v>2025.0</v>
      </c>
    </row>
    <row r="291">
      <c r="A291" s="218">
        <f t="shared" si="2"/>
        <v>288</v>
      </c>
      <c r="B291" s="218" t="s">
        <v>203</v>
      </c>
      <c r="C291" s="219" t="str">
        <f t="shared" si="1"/>
        <v>MN/0468/2025</v>
      </c>
      <c r="D291" s="218" t="b">
        <v>1</v>
      </c>
      <c r="E291" s="219" t="b">
        <v>0</v>
      </c>
      <c r="F291" s="219"/>
      <c r="G291" s="173"/>
      <c r="H291" s="157" t="s">
        <v>3618</v>
      </c>
      <c r="I291" s="157" t="s">
        <v>5531</v>
      </c>
      <c r="J291" s="157">
        <v>2025.0</v>
      </c>
    </row>
    <row r="292">
      <c r="A292" s="218">
        <f t="shared" si="2"/>
        <v>289</v>
      </c>
      <c r="B292" s="218" t="s">
        <v>203</v>
      </c>
      <c r="C292" s="219" t="str">
        <f t="shared" si="1"/>
        <v>MN/0469/2025</v>
      </c>
      <c r="D292" s="218" t="b">
        <v>1</v>
      </c>
      <c r="E292" s="219" t="b">
        <v>0</v>
      </c>
      <c r="F292" s="219"/>
      <c r="G292" s="173"/>
      <c r="H292" s="157" t="s">
        <v>3618</v>
      </c>
      <c r="I292" s="157" t="s">
        <v>5532</v>
      </c>
      <c r="J292" s="157">
        <v>2025.0</v>
      </c>
    </row>
    <row r="293">
      <c r="A293" s="218">
        <f t="shared" si="2"/>
        <v>290</v>
      </c>
      <c r="B293" s="218" t="s">
        <v>203</v>
      </c>
      <c r="C293" s="219" t="str">
        <f t="shared" si="1"/>
        <v>MN/0470/2025</v>
      </c>
      <c r="D293" s="218" t="b">
        <v>1</v>
      </c>
      <c r="E293" s="219" t="b">
        <v>0</v>
      </c>
      <c r="F293" s="219"/>
      <c r="G293" s="173"/>
      <c r="H293" s="157" t="s">
        <v>3618</v>
      </c>
      <c r="I293" s="157" t="s">
        <v>5533</v>
      </c>
      <c r="J293" s="157">
        <v>2025.0</v>
      </c>
    </row>
    <row r="294">
      <c r="A294" s="218">
        <f t="shared" si="2"/>
        <v>291</v>
      </c>
      <c r="B294" s="218" t="s">
        <v>203</v>
      </c>
      <c r="C294" s="219" t="str">
        <f t="shared" si="1"/>
        <v>MN/0471/2025</v>
      </c>
      <c r="D294" s="218" t="b">
        <v>1</v>
      </c>
      <c r="E294" s="219" t="b">
        <v>0</v>
      </c>
      <c r="F294" s="219"/>
      <c r="G294" s="173"/>
      <c r="H294" s="157" t="s">
        <v>3618</v>
      </c>
      <c r="I294" s="157" t="s">
        <v>5534</v>
      </c>
      <c r="J294" s="157">
        <v>2025.0</v>
      </c>
    </row>
    <row r="295">
      <c r="A295" s="218">
        <f t="shared" si="2"/>
        <v>292</v>
      </c>
      <c r="B295" s="218" t="s">
        <v>203</v>
      </c>
      <c r="C295" s="219" t="str">
        <f t="shared" si="1"/>
        <v>MN/0472/2025</v>
      </c>
      <c r="D295" s="218" t="b">
        <v>1</v>
      </c>
      <c r="E295" s="218" t="b">
        <v>0</v>
      </c>
      <c r="F295" s="219"/>
      <c r="G295" s="173"/>
      <c r="H295" s="157" t="s">
        <v>3618</v>
      </c>
      <c r="I295" s="157" t="s">
        <v>5535</v>
      </c>
      <c r="J295" s="157">
        <v>2025.0</v>
      </c>
    </row>
    <row r="296">
      <c r="A296" s="218">
        <f t="shared" si="2"/>
        <v>293</v>
      </c>
      <c r="B296" s="218" t="s">
        <v>203</v>
      </c>
      <c r="C296" s="219" t="str">
        <f t="shared" si="1"/>
        <v>MN/0473/2025</v>
      </c>
      <c r="D296" s="218" t="b">
        <v>1</v>
      </c>
      <c r="E296" s="218" t="b">
        <v>0</v>
      </c>
      <c r="F296" s="219"/>
      <c r="G296" s="173"/>
      <c r="H296" s="157" t="s">
        <v>3618</v>
      </c>
      <c r="I296" s="157" t="s">
        <v>5536</v>
      </c>
      <c r="J296" s="157">
        <v>2025.0</v>
      </c>
    </row>
    <row r="297">
      <c r="A297" s="218">
        <f t="shared" si="2"/>
        <v>294</v>
      </c>
      <c r="B297" s="218" t="s">
        <v>203</v>
      </c>
      <c r="C297" s="219" t="str">
        <f t="shared" si="1"/>
        <v>MN/0474/2025</v>
      </c>
      <c r="D297" s="218" t="b">
        <v>1</v>
      </c>
      <c r="E297" s="218" t="b">
        <v>0</v>
      </c>
      <c r="F297" s="219"/>
      <c r="G297" s="173"/>
      <c r="H297" s="157" t="s">
        <v>3618</v>
      </c>
      <c r="I297" s="157" t="s">
        <v>5537</v>
      </c>
      <c r="J297" s="157">
        <v>2025.0</v>
      </c>
    </row>
    <row r="298">
      <c r="A298" s="218">
        <f t="shared" si="2"/>
        <v>295</v>
      </c>
      <c r="B298" s="218" t="s">
        <v>203</v>
      </c>
      <c r="C298" s="219" t="str">
        <f t="shared" si="1"/>
        <v>MN/0475/2025</v>
      </c>
      <c r="D298" s="218" t="b">
        <v>1</v>
      </c>
      <c r="E298" s="219" t="b">
        <v>0</v>
      </c>
      <c r="F298" s="219"/>
      <c r="G298" s="173"/>
      <c r="H298" s="157" t="s">
        <v>3618</v>
      </c>
      <c r="I298" s="157" t="s">
        <v>5538</v>
      </c>
      <c r="J298" s="157">
        <v>2025.0</v>
      </c>
    </row>
    <row r="299">
      <c r="A299" s="218">
        <f t="shared" si="2"/>
        <v>296</v>
      </c>
      <c r="B299" s="218" t="s">
        <v>203</v>
      </c>
      <c r="C299" s="219" t="str">
        <f t="shared" si="1"/>
        <v>MN/0476/2025</v>
      </c>
      <c r="D299" s="218" t="b">
        <v>1</v>
      </c>
      <c r="E299" s="219" t="b">
        <v>0</v>
      </c>
      <c r="F299" s="219"/>
      <c r="G299" s="173"/>
      <c r="H299" s="157" t="s">
        <v>3618</v>
      </c>
      <c r="I299" s="157" t="s">
        <v>5539</v>
      </c>
      <c r="J299" s="157">
        <v>2025.0</v>
      </c>
    </row>
    <row r="300">
      <c r="A300" s="218">
        <f t="shared" si="2"/>
        <v>297</v>
      </c>
      <c r="B300" s="218" t="s">
        <v>203</v>
      </c>
      <c r="C300" s="219" t="str">
        <f t="shared" si="1"/>
        <v>MN/0477/2025</v>
      </c>
      <c r="D300" s="218" t="b">
        <v>1</v>
      </c>
      <c r="E300" s="219" t="b">
        <v>0</v>
      </c>
      <c r="F300" s="218" t="s">
        <v>4933</v>
      </c>
      <c r="G300" s="173"/>
      <c r="H300" s="157" t="s">
        <v>3618</v>
      </c>
      <c r="I300" s="157" t="s">
        <v>5540</v>
      </c>
      <c r="J300" s="157">
        <v>2025.0</v>
      </c>
    </row>
    <row r="301">
      <c r="A301" s="218">
        <f t="shared" si="2"/>
        <v>298</v>
      </c>
      <c r="B301" s="218" t="s">
        <v>203</v>
      </c>
      <c r="C301" s="219" t="str">
        <f t="shared" si="1"/>
        <v>MN/0478/2025</v>
      </c>
      <c r="D301" s="218" t="b">
        <v>1</v>
      </c>
      <c r="E301" s="219" t="b">
        <v>0</v>
      </c>
      <c r="F301" s="218" t="s">
        <v>4933</v>
      </c>
      <c r="G301" s="173"/>
      <c r="H301" s="157" t="s">
        <v>3618</v>
      </c>
      <c r="I301" s="157" t="s">
        <v>5541</v>
      </c>
      <c r="J301" s="157">
        <v>2025.0</v>
      </c>
    </row>
    <row r="302">
      <c r="A302" s="218">
        <f t="shared" si="2"/>
        <v>299</v>
      </c>
      <c r="B302" s="218" t="s">
        <v>203</v>
      </c>
      <c r="C302" s="219" t="str">
        <f t="shared" si="1"/>
        <v>MN/0479/2025</v>
      </c>
      <c r="D302" s="218" t="b">
        <v>1</v>
      </c>
      <c r="E302" s="219" t="b">
        <v>0</v>
      </c>
      <c r="F302" s="218" t="s">
        <v>4933</v>
      </c>
      <c r="G302" s="173"/>
      <c r="H302" s="157" t="s">
        <v>3618</v>
      </c>
      <c r="I302" s="157" t="s">
        <v>5542</v>
      </c>
      <c r="J302" s="157">
        <v>2025.0</v>
      </c>
    </row>
    <row r="303">
      <c r="A303" s="218">
        <f t="shared" si="2"/>
        <v>300</v>
      </c>
      <c r="B303" s="218" t="s">
        <v>203</v>
      </c>
      <c r="C303" s="219" t="str">
        <f t="shared" si="1"/>
        <v>MN/0480/2025</v>
      </c>
      <c r="D303" s="218" t="b">
        <v>1</v>
      </c>
      <c r="E303" s="219" t="b">
        <v>0</v>
      </c>
      <c r="F303" s="218" t="s">
        <v>4933</v>
      </c>
      <c r="G303" s="173"/>
      <c r="H303" s="157" t="s">
        <v>3618</v>
      </c>
      <c r="I303" s="157" t="s">
        <v>5543</v>
      </c>
      <c r="J303" s="157">
        <v>2025.0</v>
      </c>
    </row>
    <row r="304">
      <c r="A304" s="218">
        <f t="shared" si="2"/>
        <v>301</v>
      </c>
      <c r="B304" s="218" t="s">
        <v>203</v>
      </c>
      <c r="C304" s="219" t="str">
        <f t="shared" si="1"/>
        <v>MN/0481/2025</v>
      </c>
      <c r="D304" s="218" t="b">
        <v>1</v>
      </c>
      <c r="E304" s="219" t="b">
        <v>0</v>
      </c>
      <c r="F304" s="218" t="s">
        <v>4933</v>
      </c>
      <c r="G304" s="173"/>
      <c r="H304" s="157" t="s">
        <v>3618</v>
      </c>
      <c r="I304" s="157" t="s">
        <v>5544</v>
      </c>
      <c r="J304" s="157">
        <v>2025.0</v>
      </c>
    </row>
    <row r="305">
      <c r="A305" s="218">
        <f t="shared" si="2"/>
        <v>302</v>
      </c>
      <c r="B305" s="218" t="s">
        <v>203</v>
      </c>
      <c r="C305" s="219" t="str">
        <f t="shared" si="1"/>
        <v>MN/0482/2025</v>
      </c>
      <c r="D305" s="218" t="b">
        <v>1</v>
      </c>
      <c r="E305" s="219" t="b">
        <v>0</v>
      </c>
      <c r="F305" s="218" t="s">
        <v>4933</v>
      </c>
      <c r="G305" s="173"/>
      <c r="H305" s="157" t="s">
        <v>3618</v>
      </c>
      <c r="I305" s="157" t="s">
        <v>5545</v>
      </c>
      <c r="J305" s="157">
        <v>2025.0</v>
      </c>
    </row>
    <row r="306">
      <c r="A306" s="218">
        <f t="shared" si="2"/>
        <v>303</v>
      </c>
      <c r="B306" s="218" t="s">
        <v>203</v>
      </c>
      <c r="C306" s="219" t="str">
        <f t="shared" si="1"/>
        <v>MN/0483/2025</v>
      </c>
      <c r="D306" s="218" t="b">
        <v>1</v>
      </c>
      <c r="E306" s="219" t="b">
        <v>0</v>
      </c>
      <c r="F306" s="218" t="s">
        <v>4933</v>
      </c>
      <c r="G306" s="173"/>
      <c r="H306" s="157" t="s">
        <v>3618</v>
      </c>
      <c r="I306" s="157" t="s">
        <v>5546</v>
      </c>
      <c r="J306" s="157">
        <v>2025.0</v>
      </c>
    </row>
    <row r="307">
      <c r="A307" s="218">
        <f t="shared" si="2"/>
        <v>304</v>
      </c>
      <c r="B307" s="218" t="s">
        <v>203</v>
      </c>
      <c r="C307" s="219" t="str">
        <f t="shared" si="1"/>
        <v>MN/0484/2025</v>
      </c>
      <c r="D307" s="218" t="b">
        <v>1</v>
      </c>
      <c r="E307" s="219" t="b">
        <v>0</v>
      </c>
      <c r="F307" s="218" t="s">
        <v>4933</v>
      </c>
      <c r="G307" s="173"/>
      <c r="H307" s="157" t="s">
        <v>3618</v>
      </c>
      <c r="I307" s="157" t="s">
        <v>5547</v>
      </c>
      <c r="J307" s="157">
        <v>2025.0</v>
      </c>
    </row>
    <row r="308">
      <c r="A308" s="218">
        <f t="shared" si="2"/>
        <v>305</v>
      </c>
      <c r="B308" s="218" t="s">
        <v>203</v>
      </c>
      <c r="C308" s="219" t="str">
        <f t="shared" si="1"/>
        <v>MN/0485/2025</v>
      </c>
      <c r="D308" s="218" t="b">
        <v>1</v>
      </c>
      <c r="E308" s="219" t="b">
        <v>0</v>
      </c>
      <c r="F308" s="219"/>
      <c r="G308" s="173"/>
      <c r="H308" s="157" t="s">
        <v>3618</v>
      </c>
      <c r="I308" s="157" t="s">
        <v>5548</v>
      </c>
      <c r="J308" s="157">
        <v>2025.0</v>
      </c>
    </row>
    <row r="309">
      <c r="A309" s="218">
        <f t="shared" si="2"/>
        <v>306</v>
      </c>
      <c r="B309" s="218" t="s">
        <v>203</v>
      </c>
      <c r="C309" s="219" t="str">
        <f t="shared" si="1"/>
        <v>MN/0486/2025</v>
      </c>
      <c r="D309" s="218" t="b">
        <v>1</v>
      </c>
      <c r="E309" s="219" t="b">
        <v>0</v>
      </c>
      <c r="F309" s="219"/>
      <c r="G309" s="173"/>
      <c r="H309" s="157" t="s">
        <v>3618</v>
      </c>
      <c r="I309" s="157" t="s">
        <v>5549</v>
      </c>
      <c r="J309" s="157">
        <v>2025.0</v>
      </c>
    </row>
    <row r="310">
      <c r="A310" s="218">
        <f t="shared" si="2"/>
        <v>307</v>
      </c>
      <c r="B310" s="218" t="s">
        <v>203</v>
      </c>
      <c r="C310" s="219" t="str">
        <f t="shared" si="1"/>
        <v>MN/0487/2025</v>
      </c>
      <c r="D310" s="218" t="b">
        <v>1</v>
      </c>
      <c r="E310" s="219" t="b">
        <v>0</v>
      </c>
      <c r="F310" s="219"/>
      <c r="G310" s="173"/>
      <c r="H310" s="157" t="s">
        <v>3618</v>
      </c>
      <c r="I310" s="157" t="s">
        <v>5550</v>
      </c>
      <c r="J310" s="157">
        <v>2025.0</v>
      </c>
    </row>
    <row r="311">
      <c r="A311" s="218">
        <f t="shared" si="2"/>
        <v>308</v>
      </c>
      <c r="B311" s="218" t="s">
        <v>203</v>
      </c>
      <c r="C311" s="219" t="str">
        <f t="shared" si="1"/>
        <v>MN/0488/2025</v>
      </c>
      <c r="D311" s="218" t="b">
        <v>1</v>
      </c>
      <c r="E311" s="219" t="b">
        <v>0</v>
      </c>
      <c r="F311" s="219"/>
      <c r="G311" s="173"/>
      <c r="H311" s="157" t="s">
        <v>3618</v>
      </c>
      <c r="I311" s="157" t="s">
        <v>5551</v>
      </c>
      <c r="J311" s="157">
        <v>2025.0</v>
      </c>
    </row>
    <row r="312">
      <c r="A312" s="218">
        <f t="shared" si="2"/>
        <v>309</v>
      </c>
      <c r="B312" s="218" t="s">
        <v>203</v>
      </c>
      <c r="C312" s="219" t="str">
        <f t="shared" si="1"/>
        <v>MN/0489/2025</v>
      </c>
      <c r="D312" s="218" t="b">
        <v>1</v>
      </c>
      <c r="E312" s="219" t="b">
        <v>0</v>
      </c>
      <c r="F312" s="219"/>
      <c r="G312" s="173"/>
      <c r="H312" s="157" t="s">
        <v>3618</v>
      </c>
      <c r="I312" s="157" t="s">
        <v>5552</v>
      </c>
      <c r="J312" s="157">
        <v>2025.0</v>
      </c>
    </row>
    <row r="313">
      <c r="A313" s="218">
        <f t="shared" si="2"/>
        <v>310</v>
      </c>
      <c r="B313" s="218" t="s">
        <v>203</v>
      </c>
      <c r="C313" s="219" t="str">
        <f t="shared" si="1"/>
        <v>MN/0490/2025</v>
      </c>
      <c r="D313" s="218" t="b">
        <v>1</v>
      </c>
      <c r="E313" s="219" t="b">
        <v>0</v>
      </c>
      <c r="F313" s="219"/>
      <c r="G313" s="173"/>
      <c r="H313" s="157" t="s">
        <v>3618</v>
      </c>
      <c r="I313" s="157" t="s">
        <v>5553</v>
      </c>
      <c r="J313" s="157">
        <v>2025.0</v>
      </c>
    </row>
    <row r="314">
      <c r="A314" s="218">
        <f t="shared" si="2"/>
        <v>311</v>
      </c>
      <c r="B314" s="218" t="s">
        <v>203</v>
      </c>
      <c r="C314" s="219" t="str">
        <f t="shared" si="1"/>
        <v>MN/0491/2025</v>
      </c>
      <c r="D314" s="218" t="b">
        <v>1</v>
      </c>
      <c r="E314" s="219" t="b">
        <v>0</v>
      </c>
      <c r="F314" s="219"/>
      <c r="G314" s="173"/>
      <c r="H314" s="157" t="s">
        <v>3618</v>
      </c>
      <c r="I314" s="157" t="s">
        <v>5554</v>
      </c>
      <c r="J314" s="157">
        <v>2025.0</v>
      </c>
    </row>
    <row r="315">
      <c r="A315" s="218">
        <f t="shared" si="2"/>
        <v>312</v>
      </c>
      <c r="B315" s="218" t="s">
        <v>203</v>
      </c>
      <c r="C315" s="219" t="str">
        <f t="shared" si="1"/>
        <v>MN/0492/2025</v>
      </c>
      <c r="D315" s="218" t="b">
        <v>1</v>
      </c>
      <c r="E315" s="219" t="b">
        <v>0</v>
      </c>
      <c r="F315" s="219"/>
      <c r="G315" s="173"/>
      <c r="H315" s="157" t="s">
        <v>3618</v>
      </c>
      <c r="I315" s="157" t="s">
        <v>5555</v>
      </c>
      <c r="J315" s="157">
        <v>2025.0</v>
      </c>
    </row>
    <row r="316">
      <c r="A316" s="218">
        <f t="shared" si="2"/>
        <v>313</v>
      </c>
      <c r="B316" s="218" t="s">
        <v>203</v>
      </c>
      <c r="C316" s="219" t="str">
        <f t="shared" si="1"/>
        <v>MN/0493/2025</v>
      </c>
      <c r="D316" s="218" t="b">
        <v>1</v>
      </c>
      <c r="E316" s="219" t="b">
        <v>0</v>
      </c>
      <c r="F316" s="219"/>
      <c r="G316" s="173"/>
      <c r="H316" s="157" t="s">
        <v>3618</v>
      </c>
      <c r="I316" s="157" t="s">
        <v>5556</v>
      </c>
      <c r="J316" s="157">
        <v>2025.0</v>
      </c>
    </row>
    <row r="317">
      <c r="A317" s="218">
        <f t="shared" si="2"/>
        <v>314</v>
      </c>
      <c r="B317" s="218" t="s">
        <v>203</v>
      </c>
      <c r="C317" s="219" t="str">
        <f t="shared" si="1"/>
        <v>MN/0494/2025</v>
      </c>
      <c r="D317" s="218" t="b">
        <v>1</v>
      </c>
      <c r="E317" s="219" t="b">
        <v>0</v>
      </c>
      <c r="F317" s="219"/>
      <c r="G317" s="173"/>
      <c r="H317" s="157" t="s">
        <v>3618</v>
      </c>
      <c r="I317" s="157" t="s">
        <v>5557</v>
      </c>
      <c r="J317" s="157">
        <v>2025.0</v>
      </c>
    </row>
    <row r="318">
      <c r="A318" s="218">
        <f t="shared" si="2"/>
        <v>315</v>
      </c>
      <c r="B318" s="218" t="s">
        <v>203</v>
      </c>
      <c r="C318" s="219" t="str">
        <f t="shared" si="1"/>
        <v>MN/0495/2025</v>
      </c>
      <c r="D318" s="218" t="b">
        <v>1</v>
      </c>
      <c r="E318" s="219" t="b">
        <v>0</v>
      </c>
      <c r="F318" s="219"/>
      <c r="G318" s="173"/>
      <c r="H318" s="157" t="s">
        <v>3618</v>
      </c>
      <c r="I318" s="157" t="s">
        <v>5558</v>
      </c>
      <c r="J318" s="157">
        <v>2025.0</v>
      </c>
    </row>
    <row r="319">
      <c r="A319" s="218">
        <f t="shared" si="2"/>
        <v>316</v>
      </c>
      <c r="B319" s="218" t="s">
        <v>203</v>
      </c>
      <c r="C319" s="219" t="str">
        <f t="shared" si="1"/>
        <v>MN/0496/2025</v>
      </c>
      <c r="D319" s="218" t="b">
        <v>1</v>
      </c>
      <c r="E319" s="219" t="b">
        <v>0</v>
      </c>
      <c r="F319" s="219"/>
      <c r="G319" s="173"/>
      <c r="H319" s="157" t="s">
        <v>3618</v>
      </c>
      <c r="I319" s="157" t="s">
        <v>5559</v>
      </c>
      <c r="J319" s="157">
        <v>2025.0</v>
      </c>
    </row>
    <row r="320">
      <c r="A320" s="218">
        <f t="shared" si="2"/>
        <v>317</v>
      </c>
      <c r="B320" s="218" t="s">
        <v>203</v>
      </c>
      <c r="C320" s="219" t="str">
        <f t="shared" si="1"/>
        <v>MN/0497/2025</v>
      </c>
      <c r="D320" s="218" t="b">
        <v>1</v>
      </c>
      <c r="E320" s="219" t="b">
        <v>0</v>
      </c>
      <c r="F320" s="219"/>
      <c r="G320" s="173"/>
      <c r="H320" s="157" t="s">
        <v>3618</v>
      </c>
      <c r="I320" s="157" t="s">
        <v>5560</v>
      </c>
      <c r="J320" s="157">
        <v>2025.0</v>
      </c>
    </row>
    <row r="321">
      <c r="A321" s="218">
        <f t="shared" si="2"/>
        <v>318</v>
      </c>
      <c r="B321" s="218" t="s">
        <v>203</v>
      </c>
      <c r="C321" s="219" t="str">
        <f t="shared" si="1"/>
        <v>MN/0498/2025</v>
      </c>
      <c r="D321" s="218" t="b">
        <v>1</v>
      </c>
      <c r="E321" s="219" t="b">
        <v>0</v>
      </c>
      <c r="F321" s="219"/>
      <c r="G321" s="173"/>
      <c r="H321" s="157" t="s">
        <v>3618</v>
      </c>
      <c r="I321" s="157" t="s">
        <v>5561</v>
      </c>
      <c r="J321" s="157">
        <v>2025.0</v>
      </c>
    </row>
    <row r="322">
      <c r="A322" s="218">
        <f t="shared" si="2"/>
        <v>319</v>
      </c>
      <c r="B322" s="218" t="s">
        <v>203</v>
      </c>
      <c r="C322" s="219" t="str">
        <f t="shared" si="1"/>
        <v>MN/0499/2025</v>
      </c>
      <c r="D322" s="218" t="b">
        <v>1</v>
      </c>
      <c r="E322" s="219" t="b">
        <v>0</v>
      </c>
      <c r="F322" s="219"/>
      <c r="G322" s="173"/>
      <c r="H322" s="157" t="s">
        <v>3618</v>
      </c>
      <c r="I322" s="157" t="s">
        <v>5562</v>
      </c>
      <c r="J322" s="157">
        <v>2025.0</v>
      </c>
    </row>
    <row r="323">
      <c r="A323" s="218">
        <f t="shared" si="2"/>
        <v>320</v>
      </c>
      <c r="B323" s="218" t="s">
        <v>203</v>
      </c>
      <c r="C323" s="219" t="str">
        <f t="shared" si="1"/>
        <v>MN/0500/2025</v>
      </c>
      <c r="D323" s="218" t="b">
        <v>1</v>
      </c>
      <c r="E323" s="219" t="b">
        <v>0</v>
      </c>
      <c r="F323" s="219"/>
      <c r="G323" s="173"/>
      <c r="H323" s="157" t="s">
        <v>3618</v>
      </c>
      <c r="I323" s="157" t="s">
        <v>5563</v>
      </c>
      <c r="J323" s="157">
        <v>2025.0</v>
      </c>
    </row>
    <row r="324">
      <c r="A324" s="218">
        <f t="shared" si="2"/>
        <v>321</v>
      </c>
      <c r="B324" s="218" t="s">
        <v>203</v>
      </c>
      <c r="C324" s="219" t="str">
        <f t="shared" si="1"/>
        <v>MN/0501/2025</v>
      </c>
      <c r="D324" s="218" t="b">
        <v>1</v>
      </c>
      <c r="E324" s="219" t="b">
        <v>0</v>
      </c>
      <c r="F324" s="219"/>
      <c r="G324" s="173"/>
      <c r="H324" s="157" t="s">
        <v>3618</v>
      </c>
      <c r="I324" s="157" t="s">
        <v>5564</v>
      </c>
      <c r="J324" s="157">
        <v>2025.0</v>
      </c>
    </row>
    <row r="325">
      <c r="A325" s="218">
        <f t="shared" si="2"/>
        <v>322</v>
      </c>
      <c r="B325" s="218" t="s">
        <v>203</v>
      </c>
      <c r="C325" s="219" t="str">
        <f t="shared" si="1"/>
        <v>MN/0502/2025</v>
      </c>
      <c r="D325" s="218" t="b">
        <v>1</v>
      </c>
      <c r="E325" s="219" t="b">
        <v>0</v>
      </c>
      <c r="F325" s="219"/>
      <c r="G325" s="173"/>
      <c r="H325" s="157" t="s">
        <v>3618</v>
      </c>
      <c r="I325" s="157" t="s">
        <v>5565</v>
      </c>
      <c r="J325" s="157">
        <v>2025.0</v>
      </c>
    </row>
    <row r="326">
      <c r="A326" s="218">
        <f t="shared" si="2"/>
        <v>323</v>
      </c>
      <c r="B326" s="218" t="s">
        <v>203</v>
      </c>
      <c r="C326" s="219" t="str">
        <f t="shared" si="1"/>
        <v>MN/0503/2025</v>
      </c>
      <c r="D326" s="218" t="b">
        <v>1</v>
      </c>
      <c r="E326" s="219" t="b">
        <v>0</v>
      </c>
      <c r="F326" s="219"/>
      <c r="G326" s="173"/>
      <c r="H326" s="157" t="s">
        <v>3618</v>
      </c>
      <c r="I326" s="157" t="s">
        <v>5566</v>
      </c>
      <c r="J326" s="157">
        <v>2025.0</v>
      </c>
    </row>
    <row r="327">
      <c r="A327" s="218">
        <f t="shared" si="2"/>
        <v>324</v>
      </c>
      <c r="B327" s="218" t="s">
        <v>203</v>
      </c>
      <c r="C327" s="219" t="str">
        <f t="shared" si="1"/>
        <v>MN/0504/2025</v>
      </c>
      <c r="D327" s="218" t="b">
        <v>1</v>
      </c>
      <c r="E327" s="219" t="b">
        <v>0</v>
      </c>
      <c r="F327" s="219"/>
      <c r="G327" s="173"/>
      <c r="H327" s="157" t="s">
        <v>3618</v>
      </c>
      <c r="I327" s="157" t="s">
        <v>5567</v>
      </c>
      <c r="J327" s="157">
        <v>2025.0</v>
      </c>
    </row>
    <row r="328">
      <c r="A328" s="218">
        <f t="shared" si="2"/>
        <v>325</v>
      </c>
      <c r="B328" s="218" t="s">
        <v>203</v>
      </c>
      <c r="C328" s="219" t="str">
        <f t="shared" si="1"/>
        <v>MN/0505/2025</v>
      </c>
      <c r="D328" s="218" t="b">
        <v>1</v>
      </c>
      <c r="E328" s="219" t="b">
        <v>0</v>
      </c>
      <c r="F328" s="219"/>
      <c r="G328" s="173"/>
      <c r="H328" s="157" t="s">
        <v>3618</v>
      </c>
      <c r="I328" s="157" t="s">
        <v>5568</v>
      </c>
      <c r="J328" s="157">
        <v>2025.0</v>
      </c>
    </row>
    <row r="329">
      <c r="A329" s="218">
        <f t="shared" si="2"/>
        <v>326</v>
      </c>
      <c r="B329" s="218" t="s">
        <v>203</v>
      </c>
      <c r="C329" s="219" t="str">
        <f t="shared" si="1"/>
        <v>MN/0506/2025</v>
      </c>
      <c r="D329" s="218" t="b">
        <v>1</v>
      </c>
      <c r="E329" s="219" t="b">
        <v>0</v>
      </c>
      <c r="F329" s="219"/>
      <c r="G329" s="173"/>
      <c r="H329" s="157" t="s">
        <v>3618</v>
      </c>
      <c r="I329" s="157" t="s">
        <v>5569</v>
      </c>
      <c r="J329" s="157">
        <v>2025.0</v>
      </c>
    </row>
    <row r="330">
      <c r="A330" s="218">
        <f t="shared" si="2"/>
        <v>327</v>
      </c>
      <c r="B330" s="218" t="s">
        <v>203</v>
      </c>
      <c r="C330" s="219" t="str">
        <f t="shared" si="1"/>
        <v>MN/0507/2025</v>
      </c>
      <c r="D330" s="218" t="b">
        <v>1</v>
      </c>
      <c r="E330" s="219" t="b">
        <v>0</v>
      </c>
      <c r="F330" s="219"/>
      <c r="G330" s="173"/>
      <c r="H330" s="157" t="s">
        <v>3618</v>
      </c>
      <c r="I330" s="157" t="s">
        <v>5570</v>
      </c>
      <c r="J330" s="157">
        <v>2025.0</v>
      </c>
    </row>
    <row r="331">
      <c r="A331" s="218">
        <f t="shared" si="2"/>
        <v>328</v>
      </c>
      <c r="B331" s="218" t="s">
        <v>203</v>
      </c>
      <c r="C331" s="219" t="str">
        <f t="shared" si="1"/>
        <v>MN/0508/2025</v>
      </c>
      <c r="D331" s="218" t="b">
        <v>1</v>
      </c>
      <c r="E331" s="219" t="b">
        <v>0</v>
      </c>
      <c r="F331" s="219"/>
      <c r="G331" s="173"/>
      <c r="H331" s="157" t="s">
        <v>3618</v>
      </c>
      <c r="I331" s="157" t="s">
        <v>5571</v>
      </c>
      <c r="J331" s="157">
        <v>2025.0</v>
      </c>
    </row>
    <row r="332">
      <c r="A332" s="218">
        <f t="shared" si="2"/>
        <v>329</v>
      </c>
      <c r="B332" s="218" t="s">
        <v>203</v>
      </c>
      <c r="C332" s="219" t="str">
        <f t="shared" si="1"/>
        <v>MN/0509/2025</v>
      </c>
      <c r="D332" s="218" t="b">
        <v>1</v>
      </c>
      <c r="E332" s="219" t="b">
        <v>0</v>
      </c>
      <c r="F332" s="219"/>
      <c r="G332" s="173"/>
      <c r="H332" s="157" t="s">
        <v>3618</v>
      </c>
      <c r="I332" s="157" t="s">
        <v>5572</v>
      </c>
      <c r="J332" s="157">
        <v>2025.0</v>
      </c>
    </row>
    <row r="333">
      <c r="A333" s="218">
        <f t="shared" si="2"/>
        <v>330</v>
      </c>
      <c r="B333" s="218" t="s">
        <v>203</v>
      </c>
      <c r="C333" s="219" t="str">
        <f t="shared" si="1"/>
        <v>MN/0510/2025</v>
      </c>
      <c r="D333" s="218" t="b">
        <v>1</v>
      </c>
      <c r="E333" s="219" t="b">
        <v>0</v>
      </c>
      <c r="F333" s="219"/>
      <c r="G333" s="173"/>
      <c r="H333" s="157" t="s">
        <v>3618</v>
      </c>
      <c r="I333" s="157" t="s">
        <v>5573</v>
      </c>
      <c r="J333" s="157">
        <v>2025.0</v>
      </c>
    </row>
    <row r="334">
      <c r="A334" s="218">
        <f t="shared" si="2"/>
        <v>331</v>
      </c>
      <c r="B334" s="218" t="s">
        <v>203</v>
      </c>
      <c r="C334" s="219" t="str">
        <f t="shared" si="1"/>
        <v>MN/0511/2025</v>
      </c>
      <c r="D334" s="218" t="b">
        <v>1</v>
      </c>
      <c r="E334" s="219" t="b">
        <v>0</v>
      </c>
      <c r="F334" s="219"/>
      <c r="G334" s="173"/>
      <c r="H334" s="157" t="s">
        <v>3618</v>
      </c>
      <c r="I334" s="157" t="s">
        <v>5574</v>
      </c>
      <c r="J334" s="157">
        <v>2025.0</v>
      </c>
    </row>
    <row r="335">
      <c r="A335" s="218">
        <f t="shared" si="2"/>
        <v>332</v>
      </c>
      <c r="B335" s="218" t="s">
        <v>203</v>
      </c>
      <c r="C335" s="219" t="str">
        <f t="shared" si="1"/>
        <v>MN/0512/2025</v>
      </c>
      <c r="D335" s="218" t="b">
        <v>1</v>
      </c>
      <c r="E335" s="219" t="b">
        <v>0</v>
      </c>
      <c r="F335" s="219"/>
      <c r="G335" s="173"/>
      <c r="H335" s="157" t="s">
        <v>3618</v>
      </c>
      <c r="I335" s="157" t="s">
        <v>5575</v>
      </c>
      <c r="J335" s="157">
        <v>2025.0</v>
      </c>
    </row>
    <row r="336">
      <c r="A336" s="218">
        <f t="shared" si="2"/>
        <v>333</v>
      </c>
      <c r="B336" s="218" t="s">
        <v>203</v>
      </c>
      <c r="C336" s="219" t="str">
        <f t="shared" si="1"/>
        <v>MN/0513/2025</v>
      </c>
      <c r="D336" s="218" t="b">
        <v>1</v>
      </c>
      <c r="E336" s="219" t="b">
        <v>0</v>
      </c>
      <c r="F336" s="219"/>
      <c r="G336" s="173"/>
      <c r="H336" s="157" t="s">
        <v>3618</v>
      </c>
      <c r="I336" s="157" t="s">
        <v>5576</v>
      </c>
      <c r="J336" s="157">
        <v>2025.0</v>
      </c>
    </row>
    <row r="337">
      <c r="A337" s="218">
        <f t="shared" si="2"/>
        <v>334</v>
      </c>
      <c r="B337" s="218" t="s">
        <v>203</v>
      </c>
      <c r="C337" s="219" t="str">
        <f t="shared" si="1"/>
        <v>MN/0514/2025</v>
      </c>
      <c r="D337" s="218" t="b">
        <v>1</v>
      </c>
      <c r="E337" s="219" t="b">
        <v>0</v>
      </c>
      <c r="F337" s="219"/>
      <c r="G337" s="173"/>
      <c r="H337" s="157" t="s">
        <v>3618</v>
      </c>
      <c r="I337" s="157" t="s">
        <v>5577</v>
      </c>
      <c r="J337" s="157">
        <v>2025.0</v>
      </c>
    </row>
    <row r="338">
      <c r="A338" s="218">
        <f t="shared" si="2"/>
        <v>335</v>
      </c>
      <c r="B338" s="218" t="s">
        <v>203</v>
      </c>
      <c r="C338" s="219" t="str">
        <f t="shared" si="1"/>
        <v>MN/0515/2025</v>
      </c>
      <c r="D338" s="218" t="b">
        <v>1</v>
      </c>
      <c r="E338" s="219" t="b">
        <v>0</v>
      </c>
      <c r="F338" s="219"/>
      <c r="G338" s="173"/>
      <c r="H338" s="157" t="s">
        <v>3618</v>
      </c>
      <c r="I338" s="157" t="s">
        <v>5578</v>
      </c>
      <c r="J338" s="157">
        <v>2025.0</v>
      </c>
    </row>
    <row r="339">
      <c r="A339" s="218">
        <f t="shared" si="2"/>
        <v>336</v>
      </c>
      <c r="B339" s="218" t="s">
        <v>203</v>
      </c>
      <c r="C339" s="219" t="str">
        <f t="shared" si="1"/>
        <v>MN/0516/2025</v>
      </c>
      <c r="D339" s="218" t="b">
        <v>1</v>
      </c>
      <c r="E339" s="219" t="b">
        <v>0</v>
      </c>
      <c r="F339" s="219"/>
      <c r="G339" s="173"/>
      <c r="H339" s="157" t="s">
        <v>3618</v>
      </c>
      <c r="I339" s="157" t="s">
        <v>5579</v>
      </c>
      <c r="J339" s="157">
        <v>2025.0</v>
      </c>
    </row>
    <row r="340">
      <c r="A340" s="218">
        <f t="shared" si="2"/>
        <v>337</v>
      </c>
      <c r="B340" s="218" t="s">
        <v>203</v>
      </c>
      <c r="C340" s="219" t="str">
        <f t="shared" si="1"/>
        <v>MN/0517/2025</v>
      </c>
      <c r="D340" s="218" t="b">
        <v>1</v>
      </c>
      <c r="E340" s="219" t="b">
        <v>0</v>
      </c>
      <c r="F340" s="219"/>
      <c r="G340" s="173"/>
      <c r="H340" s="157" t="s">
        <v>3618</v>
      </c>
      <c r="I340" s="157" t="s">
        <v>5580</v>
      </c>
      <c r="J340" s="157">
        <v>2025.0</v>
      </c>
    </row>
    <row r="341">
      <c r="A341" s="218">
        <f t="shared" si="2"/>
        <v>338</v>
      </c>
      <c r="B341" s="218" t="s">
        <v>203</v>
      </c>
      <c r="C341" s="219" t="str">
        <f t="shared" si="1"/>
        <v>MN/0518/2025</v>
      </c>
      <c r="D341" s="218" t="b">
        <v>1</v>
      </c>
      <c r="E341" s="219" t="b">
        <v>0</v>
      </c>
      <c r="F341" s="219"/>
      <c r="G341" s="173"/>
      <c r="H341" s="157" t="s">
        <v>3618</v>
      </c>
      <c r="I341" s="157" t="s">
        <v>5581</v>
      </c>
      <c r="J341" s="157">
        <v>2025.0</v>
      </c>
    </row>
    <row r="342">
      <c r="A342" s="218">
        <f t="shared" si="2"/>
        <v>339</v>
      </c>
      <c r="B342" s="218" t="s">
        <v>203</v>
      </c>
      <c r="C342" s="219" t="str">
        <f t="shared" si="1"/>
        <v>MN/0519/2025</v>
      </c>
      <c r="D342" s="218" t="b">
        <v>1</v>
      </c>
      <c r="E342" s="219" t="b">
        <v>0</v>
      </c>
      <c r="F342" s="219"/>
      <c r="G342" s="173"/>
      <c r="H342" s="157" t="s">
        <v>3618</v>
      </c>
      <c r="I342" s="157" t="s">
        <v>5582</v>
      </c>
      <c r="J342" s="157">
        <v>2025.0</v>
      </c>
    </row>
    <row r="343">
      <c r="A343" s="218">
        <f t="shared" si="2"/>
        <v>340</v>
      </c>
      <c r="B343" s="218" t="s">
        <v>203</v>
      </c>
      <c r="C343" s="219" t="str">
        <f t="shared" si="1"/>
        <v>MN/0520/2025</v>
      </c>
      <c r="D343" s="218" t="b">
        <v>1</v>
      </c>
      <c r="E343" s="219" t="b">
        <v>0</v>
      </c>
      <c r="F343" s="219"/>
      <c r="G343" s="173"/>
      <c r="H343" s="157" t="s">
        <v>3618</v>
      </c>
      <c r="I343" s="157" t="s">
        <v>5583</v>
      </c>
      <c r="J343" s="157">
        <v>2025.0</v>
      </c>
    </row>
    <row r="344">
      <c r="A344" s="218">
        <f t="shared" si="2"/>
        <v>341</v>
      </c>
      <c r="B344" s="218" t="s">
        <v>203</v>
      </c>
      <c r="C344" s="219" t="str">
        <f t="shared" si="1"/>
        <v>MN/0521/2025</v>
      </c>
      <c r="D344" s="218" t="b">
        <v>1</v>
      </c>
      <c r="E344" s="219" t="b">
        <v>0</v>
      </c>
      <c r="F344" s="219"/>
      <c r="G344" s="173"/>
      <c r="H344" s="157" t="s">
        <v>3618</v>
      </c>
      <c r="I344" s="157" t="s">
        <v>5584</v>
      </c>
      <c r="J344" s="157">
        <v>2025.0</v>
      </c>
    </row>
    <row r="345">
      <c r="A345" s="218">
        <f t="shared" si="2"/>
        <v>342</v>
      </c>
      <c r="B345" s="218" t="s">
        <v>203</v>
      </c>
      <c r="C345" s="219" t="str">
        <f t="shared" si="1"/>
        <v>MN/0522/2025</v>
      </c>
      <c r="D345" s="218" t="b">
        <v>1</v>
      </c>
      <c r="E345" s="219" t="b">
        <v>0</v>
      </c>
      <c r="F345" s="219"/>
      <c r="G345" s="173"/>
      <c r="H345" s="157" t="s">
        <v>3618</v>
      </c>
      <c r="I345" s="157" t="s">
        <v>5585</v>
      </c>
      <c r="J345" s="157">
        <v>2025.0</v>
      </c>
    </row>
    <row r="346">
      <c r="A346" s="218">
        <f t="shared" si="2"/>
        <v>343</v>
      </c>
      <c r="B346" s="218" t="s">
        <v>203</v>
      </c>
      <c r="C346" s="219" t="str">
        <f t="shared" si="1"/>
        <v>MN/0523/2025</v>
      </c>
      <c r="D346" s="218" t="b">
        <v>1</v>
      </c>
      <c r="E346" s="219" t="b">
        <v>0</v>
      </c>
      <c r="F346" s="219"/>
      <c r="G346" s="173"/>
      <c r="H346" s="157" t="s">
        <v>3618</v>
      </c>
      <c r="I346" s="157" t="s">
        <v>5586</v>
      </c>
      <c r="J346" s="157">
        <v>2025.0</v>
      </c>
    </row>
    <row r="347">
      <c r="A347" s="218">
        <f t="shared" si="2"/>
        <v>344</v>
      </c>
      <c r="B347" s="218" t="s">
        <v>203</v>
      </c>
      <c r="C347" s="219" t="str">
        <f t="shared" si="1"/>
        <v>MN/0524/2025</v>
      </c>
      <c r="D347" s="218" t="b">
        <v>1</v>
      </c>
      <c r="E347" s="219" t="b">
        <v>0</v>
      </c>
      <c r="F347" s="219"/>
      <c r="G347" s="173"/>
      <c r="H347" s="157" t="s">
        <v>3618</v>
      </c>
      <c r="I347" s="157" t="s">
        <v>5587</v>
      </c>
      <c r="J347" s="157">
        <v>2025.0</v>
      </c>
    </row>
    <row r="348">
      <c r="A348" s="218">
        <f t="shared" si="2"/>
        <v>345</v>
      </c>
      <c r="B348" s="218" t="s">
        <v>203</v>
      </c>
      <c r="C348" s="219" t="str">
        <f t="shared" si="1"/>
        <v>MN/0525/2025</v>
      </c>
      <c r="D348" s="218" t="b">
        <v>1</v>
      </c>
      <c r="E348" s="219" t="b">
        <v>0</v>
      </c>
      <c r="F348" s="219"/>
      <c r="G348" s="173"/>
      <c r="H348" s="157" t="s">
        <v>3618</v>
      </c>
      <c r="I348" s="157" t="s">
        <v>5588</v>
      </c>
      <c r="J348" s="157">
        <v>2025.0</v>
      </c>
    </row>
    <row r="349">
      <c r="A349" s="218">
        <f t="shared" si="2"/>
        <v>346</v>
      </c>
      <c r="B349" s="218" t="s">
        <v>203</v>
      </c>
      <c r="C349" s="219" t="str">
        <f t="shared" si="1"/>
        <v>MN/0526/2025</v>
      </c>
      <c r="D349" s="218" t="b">
        <v>1</v>
      </c>
      <c r="E349" s="219" t="b">
        <v>0</v>
      </c>
      <c r="F349" s="219"/>
      <c r="G349" s="173"/>
      <c r="H349" s="157" t="s">
        <v>3618</v>
      </c>
      <c r="I349" s="157" t="s">
        <v>5589</v>
      </c>
      <c r="J349" s="157">
        <v>2025.0</v>
      </c>
    </row>
    <row r="350">
      <c r="A350" s="218">
        <f t="shared" si="2"/>
        <v>347</v>
      </c>
      <c r="B350" s="218" t="s">
        <v>203</v>
      </c>
      <c r="C350" s="219" t="str">
        <f t="shared" si="1"/>
        <v>MN/0527/2025</v>
      </c>
      <c r="D350" s="218" t="b">
        <v>1</v>
      </c>
      <c r="E350" s="219" t="b">
        <v>0</v>
      </c>
      <c r="F350" s="219"/>
      <c r="G350" s="173"/>
      <c r="H350" s="157" t="s">
        <v>3618</v>
      </c>
      <c r="I350" s="157" t="s">
        <v>5590</v>
      </c>
      <c r="J350" s="157">
        <v>2025.0</v>
      </c>
    </row>
    <row r="351">
      <c r="A351" s="218">
        <f t="shared" si="2"/>
        <v>348</v>
      </c>
      <c r="B351" s="218" t="s">
        <v>203</v>
      </c>
      <c r="C351" s="219" t="str">
        <f t="shared" si="1"/>
        <v>MN/0528/2025</v>
      </c>
      <c r="D351" s="218" t="b">
        <v>1</v>
      </c>
      <c r="E351" s="219" t="b">
        <v>0</v>
      </c>
      <c r="F351" s="219"/>
      <c r="G351" s="173"/>
      <c r="H351" s="157" t="s">
        <v>3618</v>
      </c>
      <c r="I351" s="157" t="s">
        <v>5591</v>
      </c>
      <c r="J351" s="157">
        <v>2025.0</v>
      </c>
    </row>
    <row r="352">
      <c r="A352" s="218">
        <f t="shared" si="2"/>
        <v>349</v>
      </c>
      <c r="B352" s="218" t="s">
        <v>203</v>
      </c>
      <c r="C352" s="219" t="str">
        <f t="shared" si="1"/>
        <v>MN/0529/2025</v>
      </c>
      <c r="D352" s="218" t="b">
        <v>1</v>
      </c>
      <c r="E352" s="219" t="b">
        <v>0</v>
      </c>
      <c r="F352" s="219"/>
      <c r="G352" s="173"/>
      <c r="H352" s="157" t="s">
        <v>3618</v>
      </c>
      <c r="I352" s="157" t="s">
        <v>5592</v>
      </c>
      <c r="J352" s="157">
        <v>2025.0</v>
      </c>
    </row>
    <row r="353">
      <c r="A353" s="218">
        <f t="shared" si="2"/>
        <v>350</v>
      </c>
      <c r="B353" s="218" t="s">
        <v>203</v>
      </c>
      <c r="C353" s="219" t="str">
        <f t="shared" si="1"/>
        <v>MN/0530/2025</v>
      </c>
      <c r="D353" s="218" t="b">
        <v>1</v>
      </c>
      <c r="E353" s="219" t="b">
        <v>0</v>
      </c>
      <c r="F353" s="219"/>
      <c r="G353" s="173"/>
      <c r="H353" s="157" t="s">
        <v>3618</v>
      </c>
      <c r="I353" s="157" t="s">
        <v>5593</v>
      </c>
      <c r="J353" s="157">
        <v>2025.0</v>
      </c>
    </row>
    <row r="354">
      <c r="A354" s="218">
        <f t="shared" si="2"/>
        <v>351</v>
      </c>
      <c r="B354" s="218" t="s">
        <v>203</v>
      </c>
      <c r="C354" s="219" t="str">
        <f t="shared" si="1"/>
        <v>MN/0531/2025</v>
      </c>
      <c r="D354" s="218" t="b">
        <v>1</v>
      </c>
      <c r="E354" s="219" t="b">
        <v>0</v>
      </c>
      <c r="F354" s="219"/>
      <c r="G354" s="173"/>
      <c r="H354" s="157" t="s">
        <v>3618</v>
      </c>
      <c r="I354" s="157" t="s">
        <v>5594</v>
      </c>
      <c r="J354" s="157">
        <v>2025.0</v>
      </c>
    </row>
    <row r="355">
      <c r="A355" s="218">
        <f t="shared" si="2"/>
        <v>352</v>
      </c>
      <c r="B355" s="218" t="s">
        <v>203</v>
      </c>
      <c r="C355" s="219" t="str">
        <f t="shared" si="1"/>
        <v>MN/0532/2025</v>
      </c>
      <c r="D355" s="218" t="b">
        <v>1</v>
      </c>
      <c r="E355" s="219" t="b">
        <v>0</v>
      </c>
      <c r="F355" s="219"/>
      <c r="G355" s="173"/>
      <c r="H355" s="157" t="s">
        <v>3618</v>
      </c>
      <c r="I355" s="157" t="s">
        <v>5595</v>
      </c>
      <c r="J355" s="157">
        <v>2025.0</v>
      </c>
    </row>
    <row r="356">
      <c r="A356" s="218">
        <f t="shared" si="2"/>
        <v>353</v>
      </c>
      <c r="B356" s="218" t="s">
        <v>203</v>
      </c>
      <c r="C356" s="219" t="str">
        <f t="shared" si="1"/>
        <v>MN/0533/2025</v>
      </c>
      <c r="D356" s="218" t="b">
        <v>1</v>
      </c>
      <c r="E356" s="219" t="b">
        <v>0</v>
      </c>
      <c r="F356" s="219"/>
      <c r="G356" s="173"/>
      <c r="H356" s="157" t="s">
        <v>3618</v>
      </c>
      <c r="I356" s="157" t="s">
        <v>5596</v>
      </c>
      <c r="J356" s="157">
        <v>2025.0</v>
      </c>
    </row>
    <row r="357">
      <c r="A357" s="218">
        <f t="shared" si="2"/>
        <v>354</v>
      </c>
      <c r="B357" s="218" t="s">
        <v>203</v>
      </c>
      <c r="C357" s="219" t="str">
        <f t="shared" si="1"/>
        <v>MN/0534/2025</v>
      </c>
      <c r="D357" s="218" t="b">
        <v>1</v>
      </c>
      <c r="E357" s="219" t="b">
        <v>0</v>
      </c>
      <c r="F357" s="219"/>
      <c r="G357" s="173"/>
      <c r="H357" s="157" t="s">
        <v>3618</v>
      </c>
      <c r="I357" s="157" t="s">
        <v>5597</v>
      </c>
      <c r="J357" s="157">
        <v>2025.0</v>
      </c>
    </row>
    <row r="358">
      <c r="A358" s="218">
        <f t="shared" si="2"/>
        <v>355</v>
      </c>
      <c r="B358" s="218" t="s">
        <v>203</v>
      </c>
      <c r="C358" s="219" t="str">
        <f t="shared" si="1"/>
        <v>MN/0535/2025</v>
      </c>
      <c r="D358" s="218" t="b">
        <v>1</v>
      </c>
      <c r="E358" s="219" t="b">
        <v>0</v>
      </c>
      <c r="F358" s="219"/>
      <c r="G358" s="173"/>
      <c r="H358" s="157" t="s">
        <v>3618</v>
      </c>
      <c r="I358" s="157" t="s">
        <v>5598</v>
      </c>
      <c r="J358" s="157">
        <v>2025.0</v>
      </c>
    </row>
    <row r="359">
      <c r="A359" s="218">
        <f t="shared" si="2"/>
        <v>356</v>
      </c>
      <c r="B359" s="218" t="s">
        <v>203</v>
      </c>
      <c r="C359" s="219" t="str">
        <f t="shared" si="1"/>
        <v>MN/0536/2025</v>
      </c>
      <c r="D359" s="218" t="b">
        <v>1</v>
      </c>
      <c r="E359" s="219" t="b">
        <v>0</v>
      </c>
      <c r="F359" s="219"/>
      <c r="G359" s="173"/>
      <c r="H359" s="157" t="s">
        <v>3618</v>
      </c>
      <c r="I359" s="157" t="s">
        <v>5599</v>
      </c>
      <c r="J359" s="157">
        <v>2025.0</v>
      </c>
    </row>
    <row r="360">
      <c r="A360" s="218">
        <f t="shared" si="2"/>
        <v>357</v>
      </c>
      <c r="B360" s="218" t="s">
        <v>203</v>
      </c>
      <c r="C360" s="219" t="str">
        <f t="shared" si="1"/>
        <v>MN/0537/2025</v>
      </c>
      <c r="D360" s="218" t="b">
        <v>1</v>
      </c>
      <c r="E360" s="219" t="b">
        <v>0</v>
      </c>
      <c r="F360" s="219"/>
      <c r="G360" s="173"/>
      <c r="H360" s="157" t="s">
        <v>3618</v>
      </c>
      <c r="I360" s="157" t="s">
        <v>5600</v>
      </c>
      <c r="J360" s="157">
        <v>2025.0</v>
      </c>
    </row>
    <row r="361">
      <c r="A361" s="218">
        <f t="shared" si="2"/>
        <v>358</v>
      </c>
      <c r="B361" s="218" t="s">
        <v>203</v>
      </c>
      <c r="C361" s="219" t="str">
        <f t="shared" si="1"/>
        <v>MN/0538/2025</v>
      </c>
      <c r="D361" s="218" t="b">
        <v>1</v>
      </c>
      <c r="E361" s="219" t="b">
        <v>0</v>
      </c>
      <c r="F361" s="219"/>
      <c r="G361" s="173"/>
      <c r="H361" s="157" t="s">
        <v>3618</v>
      </c>
      <c r="I361" s="157" t="s">
        <v>5601</v>
      </c>
      <c r="J361" s="157">
        <v>2025.0</v>
      </c>
    </row>
    <row r="362">
      <c r="A362" s="218">
        <f t="shared" si="2"/>
        <v>359</v>
      </c>
      <c r="B362" s="218" t="s">
        <v>203</v>
      </c>
      <c r="C362" s="219" t="str">
        <f t="shared" si="1"/>
        <v>MN/0539/2025</v>
      </c>
      <c r="D362" s="218" t="b">
        <v>1</v>
      </c>
      <c r="E362" s="219" t="b">
        <v>0</v>
      </c>
      <c r="F362" s="218" t="s">
        <v>4933</v>
      </c>
      <c r="G362" s="173"/>
      <c r="H362" s="157" t="s">
        <v>3618</v>
      </c>
      <c r="I362" s="157" t="s">
        <v>5602</v>
      </c>
      <c r="J362" s="157">
        <v>2025.0</v>
      </c>
    </row>
    <row r="363">
      <c r="A363" s="218">
        <f t="shared" si="2"/>
        <v>360</v>
      </c>
      <c r="B363" s="218" t="s">
        <v>203</v>
      </c>
      <c r="C363" s="219" t="str">
        <f t="shared" si="1"/>
        <v>MN/0540/2025</v>
      </c>
      <c r="D363" s="218" t="b">
        <v>1</v>
      </c>
      <c r="E363" s="219" t="b">
        <v>0</v>
      </c>
      <c r="F363" s="219"/>
      <c r="G363" s="173"/>
      <c r="H363" s="157" t="s">
        <v>3618</v>
      </c>
      <c r="I363" s="157" t="s">
        <v>5603</v>
      </c>
      <c r="J363" s="157">
        <v>2025.0</v>
      </c>
    </row>
    <row r="364">
      <c r="A364" s="218">
        <f t="shared" si="2"/>
        <v>361</v>
      </c>
      <c r="B364" s="218" t="s">
        <v>203</v>
      </c>
      <c r="C364" s="219" t="str">
        <f t="shared" si="1"/>
        <v>MN/0541/2025</v>
      </c>
      <c r="D364" s="218" t="b">
        <v>1</v>
      </c>
      <c r="E364" s="219" t="b">
        <v>0</v>
      </c>
      <c r="F364" s="219"/>
      <c r="G364" s="173"/>
      <c r="H364" s="157" t="s">
        <v>3618</v>
      </c>
      <c r="I364" s="157" t="s">
        <v>5604</v>
      </c>
      <c r="J364" s="157">
        <v>2025.0</v>
      </c>
    </row>
    <row r="365">
      <c r="A365" s="218">
        <f t="shared" si="2"/>
        <v>362</v>
      </c>
      <c r="B365" s="218" t="s">
        <v>203</v>
      </c>
      <c r="C365" s="219" t="str">
        <f t="shared" si="1"/>
        <v>MN/0542/2025</v>
      </c>
      <c r="D365" s="218" t="b">
        <v>1</v>
      </c>
      <c r="E365" s="219" t="b">
        <v>0</v>
      </c>
      <c r="F365" s="219"/>
      <c r="G365" s="173"/>
      <c r="H365" s="157" t="s">
        <v>3618</v>
      </c>
      <c r="I365" s="157" t="s">
        <v>5605</v>
      </c>
      <c r="J365" s="157">
        <v>2025.0</v>
      </c>
    </row>
    <row r="366">
      <c r="A366" s="218">
        <f t="shared" si="2"/>
        <v>363</v>
      </c>
      <c r="B366" s="218" t="s">
        <v>203</v>
      </c>
      <c r="C366" s="219" t="str">
        <f t="shared" si="1"/>
        <v>MN/0543/2025</v>
      </c>
      <c r="D366" s="218" t="b">
        <v>1</v>
      </c>
      <c r="E366" s="219" t="b">
        <v>0</v>
      </c>
      <c r="F366" s="219"/>
      <c r="G366" s="173"/>
      <c r="H366" s="157" t="s">
        <v>3618</v>
      </c>
      <c r="I366" s="157" t="s">
        <v>5606</v>
      </c>
      <c r="J366" s="157">
        <v>2025.0</v>
      </c>
    </row>
    <row r="367">
      <c r="A367" s="218">
        <f t="shared" si="2"/>
        <v>364</v>
      </c>
      <c r="B367" s="218" t="s">
        <v>203</v>
      </c>
      <c r="C367" s="219" t="str">
        <f t="shared" si="1"/>
        <v>MN/0544/2025</v>
      </c>
      <c r="D367" s="218" t="b">
        <v>1</v>
      </c>
      <c r="E367" s="219" t="b">
        <v>0</v>
      </c>
      <c r="F367" s="219"/>
      <c r="G367" s="173"/>
      <c r="H367" s="157" t="s">
        <v>3618</v>
      </c>
      <c r="I367" s="157" t="s">
        <v>5607</v>
      </c>
      <c r="J367" s="157">
        <v>2025.0</v>
      </c>
    </row>
    <row r="368">
      <c r="A368" s="218">
        <f t="shared" si="2"/>
        <v>365</v>
      </c>
      <c r="B368" s="218" t="s">
        <v>203</v>
      </c>
      <c r="C368" s="219" t="str">
        <f t="shared" si="1"/>
        <v>MN/0545/2025</v>
      </c>
      <c r="D368" s="218" t="b">
        <v>1</v>
      </c>
      <c r="E368" s="219" t="b">
        <v>0</v>
      </c>
      <c r="F368" s="219"/>
      <c r="G368" s="173"/>
      <c r="H368" s="157" t="s">
        <v>3618</v>
      </c>
      <c r="I368" s="157" t="s">
        <v>5608</v>
      </c>
      <c r="J368" s="157">
        <v>2025.0</v>
      </c>
    </row>
    <row r="369">
      <c r="A369" s="218">
        <f t="shared" si="2"/>
        <v>366</v>
      </c>
      <c r="B369" s="218" t="s">
        <v>203</v>
      </c>
      <c r="C369" s="219" t="str">
        <f t="shared" si="1"/>
        <v>MN/0546/2025</v>
      </c>
      <c r="D369" s="218" t="b">
        <v>1</v>
      </c>
      <c r="E369" s="219" t="b">
        <v>0</v>
      </c>
      <c r="F369" s="219"/>
      <c r="G369" s="173"/>
      <c r="H369" s="157" t="s">
        <v>3618</v>
      </c>
      <c r="I369" s="157" t="s">
        <v>5609</v>
      </c>
      <c r="J369" s="157">
        <v>2025.0</v>
      </c>
    </row>
    <row r="370">
      <c r="A370" s="218">
        <f t="shared" si="2"/>
        <v>367</v>
      </c>
      <c r="B370" s="218" t="s">
        <v>203</v>
      </c>
      <c r="C370" s="219" t="str">
        <f t="shared" si="1"/>
        <v>MN/0547/2025</v>
      </c>
      <c r="D370" s="218" t="b">
        <v>1</v>
      </c>
      <c r="E370" s="219" t="b">
        <v>0</v>
      </c>
      <c r="F370" s="219"/>
      <c r="G370" s="173"/>
      <c r="H370" s="157" t="s">
        <v>3618</v>
      </c>
      <c r="I370" s="157" t="s">
        <v>5610</v>
      </c>
      <c r="J370" s="157">
        <v>2025.0</v>
      </c>
    </row>
    <row r="371">
      <c r="A371" s="218">
        <f t="shared" si="2"/>
        <v>368</v>
      </c>
      <c r="B371" s="218" t="s">
        <v>203</v>
      </c>
      <c r="C371" s="219" t="str">
        <f t="shared" si="1"/>
        <v>MN/0548/2025</v>
      </c>
      <c r="D371" s="218" t="b">
        <v>1</v>
      </c>
      <c r="E371" s="219" t="b">
        <v>0</v>
      </c>
      <c r="F371" s="219"/>
      <c r="G371" s="173"/>
      <c r="H371" s="157" t="s">
        <v>3618</v>
      </c>
      <c r="I371" s="157" t="s">
        <v>5611</v>
      </c>
      <c r="J371" s="157">
        <v>2025.0</v>
      </c>
    </row>
    <row r="372">
      <c r="A372" s="218">
        <f t="shared" si="2"/>
        <v>369</v>
      </c>
      <c r="B372" s="218" t="s">
        <v>203</v>
      </c>
      <c r="C372" s="219" t="str">
        <f t="shared" si="1"/>
        <v>MN/0549/2025</v>
      </c>
      <c r="D372" s="218" t="b">
        <v>1</v>
      </c>
      <c r="E372" s="219" t="b">
        <v>0</v>
      </c>
      <c r="F372" s="219"/>
      <c r="G372" s="173"/>
      <c r="H372" s="157" t="s">
        <v>3618</v>
      </c>
      <c r="I372" s="157" t="s">
        <v>5612</v>
      </c>
      <c r="J372" s="157">
        <v>2025.0</v>
      </c>
    </row>
    <row r="373">
      <c r="A373" s="218">
        <f t="shared" si="2"/>
        <v>370</v>
      </c>
      <c r="B373" s="218" t="s">
        <v>203</v>
      </c>
      <c r="C373" s="219" t="str">
        <f t="shared" si="1"/>
        <v>MN/0550/2025</v>
      </c>
      <c r="D373" s="218" t="b">
        <v>1</v>
      </c>
      <c r="E373" s="219" t="b">
        <v>0</v>
      </c>
      <c r="F373" s="218" t="s">
        <v>4933</v>
      </c>
      <c r="G373" s="173"/>
      <c r="H373" s="157" t="s">
        <v>3618</v>
      </c>
      <c r="I373" s="157" t="s">
        <v>5613</v>
      </c>
      <c r="J373" s="157">
        <v>2025.0</v>
      </c>
    </row>
    <row r="374">
      <c r="A374" s="218">
        <f t="shared" si="2"/>
        <v>371</v>
      </c>
      <c r="B374" s="218" t="s">
        <v>203</v>
      </c>
      <c r="C374" s="219" t="str">
        <f t="shared" si="1"/>
        <v>MN/0551/2025</v>
      </c>
      <c r="D374" s="218" t="b">
        <v>1</v>
      </c>
      <c r="E374" s="219" t="b">
        <v>0</v>
      </c>
      <c r="F374" s="219"/>
      <c r="G374" s="173"/>
      <c r="H374" s="157" t="s">
        <v>3618</v>
      </c>
      <c r="I374" s="157" t="s">
        <v>5614</v>
      </c>
      <c r="J374" s="157">
        <v>2025.0</v>
      </c>
    </row>
    <row r="375">
      <c r="A375" s="218">
        <f t="shared" si="2"/>
        <v>372</v>
      </c>
      <c r="B375" s="218" t="s">
        <v>203</v>
      </c>
      <c r="C375" s="219" t="str">
        <f t="shared" si="1"/>
        <v>MN/0552/2025</v>
      </c>
      <c r="D375" s="218" t="b">
        <v>1</v>
      </c>
      <c r="E375" s="219" t="b">
        <v>0</v>
      </c>
      <c r="F375" s="219"/>
      <c r="G375" s="173"/>
      <c r="H375" s="157" t="s">
        <v>3618</v>
      </c>
      <c r="I375" s="157" t="s">
        <v>5615</v>
      </c>
      <c r="J375" s="157">
        <v>2025.0</v>
      </c>
    </row>
    <row r="376">
      <c r="A376" s="218">
        <f t="shared" si="2"/>
        <v>373</v>
      </c>
      <c r="B376" s="218" t="s">
        <v>203</v>
      </c>
      <c r="C376" s="219" t="str">
        <f t="shared" si="1"/>
        <v>MN/0553/2025</v>
      </c>
      <c r="D376" s="218" t="b">
        <v>1</v>
      </c>
      <c r="E376" s="219" t="b">
        <v>0</v>
      </c>
      <c r="F376" s="219"/>
      <c r="G376" s="173"/>
      <c r="H376" s="157" t="s">
        <v>3618</v>
      </c>
      <c r="I376" s="157" t="s">
        <v>5616</v>
      </c>
      <c r="J376" s="157">
        <v>2025.0</v>
      </c>
    </row>
    <row r="377">
      <c r="A377" s="218">
        <f t="shared" si="2"/>
        <v>374</v>
      </c>
      <c r="B377" s="218" t="s">
        <v>203</v>
      </c>
      <c r="C377" s="219" t="str">
        <f t="shared" si="1"/>
        <v>MN/0554/2025</v>
      </c>
      <c r="D377" s="218" t="b">
        <v>1</v>
      </c>
      <c r="E377" s="219" t="b">
        <v>0</v>
      </c>
      <c r="F377" s="219"/>
      <c r="G377" s="173"/>
      <c r="H377" s="157" t="s">
        <v>3618</v>
      </c>
      <c r="I377" s="157" t="s">
        <v>5617</v>
      </c>
      <c r="J377" s="157">
        <v>2025.0</v>
      </c>
    </row>
    <row r="378">
      <c r="A378" s="218">
        <f t="shared" si="2"/>
        <v>375</v>
      </c>
      <c r="B378" s="218" t="s">
        <v>203</v>
      </c>
      <c r="C378" s="219" t="str">
        <f t="shared" si="1"/>
        <v>MN/0555/2025</v>
      </c>
      <c r="D378" s="218" t="b">
        <v>1</v>
      </c>
      <c r="E378" s="219" t="b">
        <v>0</v>
      </c>
      <c r="F378" s="219"/>
      <c r="G378" s="173"/>
      <c r="H378" s="157" t="s">
        <v>3618</v>
      </c>
      <c r="I378" s="157" t="s">
        <v>5618</v>
      </c>
      <c r="J378" s="157">
        <v>2025.0</v>
      </c>
    </row>
    <row r="379">
      <c r="A379" s="218">
        <f t="shared" si="2"/>
        <v>376</v>
      </c>
      <c r="B379" s="218" t="s">
        <v>203</v>
      </c>
      <c r="C379" s="219" t="str">
        <f t="shared" si="1"/>
        <v>MN/0556/2025</v>
      </c>
      <c r="D379" s="218" t="b">
        <v>1</v>
      </c>
      <c r="E379" s="219" t="b">
        <v>0</v>
      </c>
      <c r="F379" s="219"/>
      <c r="G379" s="173"/>
      <c r="H379" s="157" t="s">
        <v>3618</v>
      </c>
      <c r="I379" s="157" t="s">
        <v>5619</v>
      </c>
      <c r="J379" s="157">
        <v>2025.0</v>
      </c>
    </row>
    <row r="380">
      <c r="A380" s="218">
        <f t="shared" si="2"/>
        <v>377</v>
      </c>
      <c r="B380" s="218" t="s">
        <v>203</v>
      </c>
      <c r="C380" s="219" t="str">
        <f t="shared" si="1"/>
        <v>MN/0557/2025</v>
      </c>
      <c r="D380" s="218" t="b">
        <v>1</v>
      </c>
      <c r="E380" s="219" t="b">
        <v>0</v>
      </c>
      <c r="F380" s="219"/>
      <c r="G380" s="173"/>
      <c r="H380" s="157" t="s">
        <v>3618</v>
      </c>
      <c r="I380" s="157" t="s">
        <v>5620</v>
      </c>
      <c r="J380" s="157">
        <v>2025.0</v>
      </c>
    </row>
    <row r="381">
      <c r="A381" s="218">
        <f t="shared" si="2"/>
        <v>378</v>
      </c>
      <c r="B381" s="218" t="s">
        <v>203</v>
      </c>
      <c r="C381" s="219" t="str">
        <f t="shared" si="1"/>
        <v>MN/0558/2025</v>
      </c>
      <c r="D381" s="218" t="b">
        <v>1</v>
      </c>
      <c r="E381" s="219" t="b">
        <v>0</v>
      </c>
      <c r="F381" s="219"/>
      <c r="G381" s="173"/>
      <c r="H381" s="157" t="s">
        <v>3618</v>
      </c>
      <c r="I381" s="157" t="s">
        <v>5621</v>
      </c>
      <c r="J381" s="157">
        <v>2025.0</v>
      </c>
    </row>
    <row r="382">
      <c r="A382" s="218">
        <f t="shared" si="2"/>
        <v>379</v>
      </c>
      <c r="B382" s="218" t="s">
        <v>203</v>
      </c>
      <c r="C382" s="219" t="str">
        <f t="shared" si="1"/>
        <v>MN/0559/2025</v>
      </c>
      <c r="D382" s="218" t="b">
        <v>1</v>
      </c>
      <c r="E382" s="219" t="b">
        <v>0</v>
      </c>
      <c r="F382" s="219"/>
      <c r="G382" s="173"/>
      <c r="H382" s="157" t="s">
        <v>3618</v>
      </c>
      <c r="I382" s="157" t="s">
        <v>5622</v>
      </c>
      <c r="J382" s="157">
        <v>2025.0</v>
      </c>
    </row>
    <row r="383">
      <c r="A383" s="218">
        <f t="shared" si="2"/>
        <v>380</v>
      </c>
      <c r="B383" s="218" t="s">
        <v>203</v>
      </c>
      <c r="C383" s="219" t="str">
        <f t="shared" si="1"/>
        <v>MN/0560/2025</v>
      </c>
      <c r="D383" s="218" t="b">
        <v>1</v>
      </c>
      <c r="E383" s="219" t="b">
        <v>0</v>
      </c>
      <c r="F383" s="219"/>
      <c r="G383" s="173"/>
      <c r="H383" s="157" t="s">
        <v>3618</v>
      </c>
      <c r="I383" s="157" t="s">
        <v>5623</v>
      </c>
      <c r="J383" s="157">
        <v>2025.0</v>
      </c>
    </row>
    <row r="384">
      <c r="A384" s="218">
        <f t="shared" si="2"/>
        <v>381</v>
      </c>
      <c r="B384" s="218" t="s">
        <v>203</v>
      </c>
      <c r="C384" s="219" t="str">
        <f t="shared" si="1"/>
        <v>MN/0561/2025</v>
      </c>
      <c r="D384" s="218" t="b">
        <v>1</v>
      </c>
      <c r="E384" s="219" t="b">
        <v>0</v>
      </c>
      <c r="F384" s="219"/>
      <c r="G384" s="173"/>
      <c r="H384" s="157" t="s">
        <v>3618</v>
      </c>
      <c r="I384" s="157" t="s">
        <v>5624</v>
      </c>
      <c r="J384" s="157">
        <v>2025.0</v>
      </c>
    </row>
    <row r="385">
      <c r="A385" s="218">
        <f t="shared" si="2"/>
        <v>382</v>
      </c>
      <c r="B385" s="218" t="s">
        <v>203</v>
      </c>
      <c r="C385" s="219" t="str">
        <f t="shared" si="1"/>
        <v>MN/0562/2025</v>
      </c>
      <c r="D385" s="218" t="b">
        <v>1</v>
      </c>
      <c r="E385" s="219" t="b">
        <v>0</v>
      </c>
      <c r="F385" s="219"/>
      <c r="G385" s="173"/>
      <c r="H385" s="157" t="s">
        <v>3618</v>
      </c>
      <c r="I385" s="157" t="s">
        <v>5625</v>
      </c>
      <c r="J385" s="157">
        <v>2025.0</v>
      </c>
    </row>
    <row r="386">
      <c r="A386" s="218">
        <f t="shared" si="2"/>
        <v>383</v>
      </c>
      <c r="B386" s="218" t="s">
        <v>203</v>
      </c>
      <c r="C386" s="219" t="str">
        <f t="shared" si="1"/>
        <v>MN/0563/2025</v>
      </c>
      <c r="D386" s="218" t="b">
        <v>1</v>
      </c>
      <c r="E386" s="219" t="b">
        <v>0</v>
      </c>
      <c r="F386" s="219"/>
      <c r="G386" s="173"/>
      <c r="H386" s="157" t="s">
        <v>3618</v>
      </c>
      <c r="I386" s="157" t="s">
        <v>5626</v>
      </c>
      <c r="J386" s="157">
        <v>2025.0</v>
      </c>
    </row>
    <row r="387">
      <c r="A387" s="218">
        <f t="shared" si="2"/>
        <v>384</v>
      </c>
      <c r="B387" s="218" t="s">
        <v>203</v>
      </c>
      <c r="C387" s="219" t="str">
        <f t="shared" si="1"/>
        <v>MN/0564/2025</v>
      </c>
      <c r="D387" s="218" t="b">
        <v>1</v>
      </c>
      <c r="E387" s="219" t="b">
        <v>0</v>
      </c>
      <c r="F387" s="219"/>
      <c r="G387" s="173"/>
      <c r="H387" s="157" t="s">
        <v>3618</v>
      </c>
      <c r="I387" s="157" t="s">
        <v>5627</v>
      </c>
      <c r="J387" s="157">
        <v>2025.0</v>
      </c>
    </row>
    <row r="388">
      <c r="A388" s="218">
        <f t="shared" si="2"/>
        <v>385</v>
      </c>
      <c r="B388" s="218" t="s">
        <v>203</v>
      </c>
      <c r="C388" s="219" t="str">
        <f t="shared" si="1"/>
        <v>MN/0565/2025</v>
      </c>
      <c r="D388" s="218" t="b">
        <v>1</v>
      </c>
      <c r="E388" s="219" t="b">
        <v>0</v>
      </c>
      <c r="F388" s="219"/>
      <c r="G388" s="173"/>
      <c r="H388" s="157" t="s">
        <v>3618</v>
      </c>
      <c r="I388" s="157" t="s">
        <v>5628</v>
      </c>
      <c r="J388" s="157">
        <v>2025.0</v>
      </c>
    </row>
    <row r="389">
      <c r="A389" s="218">
        <f t="shared" si="2"/>
        <v>386</v>
      </c>
      <c r="B389" s="218" t="s">
        <v>203</v>
      </c>
      <c r="C389" s="219" t="str">
        <f t="shared" si="1"/>
        <v>MN/0566/2025</v>
      </c>
      <c r="D389" s="218" t="b">
        <v>1</v>
      </c>
      <c r="E389" s="219" t="b">
        <v>0</v>
      </c>
      <c r="F389" s="219"/>
      <c r="G389" s="173"/>
      <c r="H389" s="157" t="s">
        <v>3618</v>
      </c>
      <c r="I389" s="157" t="s">
        <v>5629</v>
      </c>
      <c r="J389" s="157">
        <v>2025.0</v>
      </c>
    </row>
    <row r="390">
      <c r="A390" s="218">
        <f t="shared" si="2"/>
        <v>387</v>
      </c>
      <c r="B390" s="218" t="s">
        <v>203</v>
      </c>
      <c r="C390" s="219" t="str">
        <f t="shared" si="1"/>
        <v>MN/0567/2025</v>
      </c>
      <c r="D390" s="218" t="b">
        <v>1</v>
      </c>
      <c r="E390" s="219" t="b">
        <v>0</v>
      </c>
      <c r="F390" s="219"/>
      <c r="G390" s="173"/>
      <c r="H390" s="157" t="s">
        <v>3618</v>
      </c>
      <c r="I390" s="157" t="s">
        <v>5630</v>
      </c>
      <c r="J390" s="157">
        <v>2025.0</v>
      </c>
    </row>
    <row r="391">
      <c r="A391" s="218">
        <f t="shared" si="2"/>
        <v>388</v>
      </c>
      <c r="B391" s="218" t="s">
        <v>203</v>
      </c>
      <c r="C391" s="219" t="str">
        <f t="shared" si="1"/>
        <v>MN/0568/2025</v>
      </c>
      <c r="D391" s="218" t="b">
        <v>1</v>
      </c>
      <c r="E391" s="219" t="b">
        <v>0</v>
      </c>
      <c r="F391" s="219"/>
      <c r="G391" s="173"/>
      <c r="H391" s="157" t="s">
        <v>3618</v>
      </c>
      <c r="I391" s="157" t="s">
        <v>5631</v>
      </c>
      <c r="J391" s="157">
        <v>2025.0</v>
      </c>
    </row>
    <row r="392">
      <c r="A392" s="218">
        <f t="shared" si="2"/>
        <v>389</v>
      </c>
      <c r="B392" s="218" t="s">
        <v>203</v>
      </c>
      <c r="C392" s="219" t="str">
        <f t="shared" si="1"/>
        <v>MN/0569/2025</v>
      </c>
      <c r="D392" s="218" t="b">
        <v>1</v>
      </c>
      <c r="E392" s="219" t="b">
        <v>0</v>
      </c>
      <c r="F392" s="219"/>
      <c r="G392" s="173"/>
      <c r="H392" s="157" t="s">
        <v>3618</v>
      </c>
      <c r="I392" s="157" t="s">
        <v>5632</v>
      </c>
      <c r="J392" s="157">
        <v>2025.0</v>
      </c>
    </row>
    <row r="393">
      <c r="A393" s="218">
        <f t="shared" si="2"/>
        <v>390</v>
      </c>
      <c r="B393" s="218" t="s">
        <v>203</v>
      </c>
      <c r="C393" s="219" t="str">
        <f t="shared" si="1"/>
        <v>MN/0570/2025</v>
      </c>
      <c r="D393" s="218" t="b">
        <v>1</v>
      </c>
      <c r="E393" s="219" t="b">
        <v>0</v>
      </c>
      <c r="F393" s="219"/>
      <c r="G393" s="173"/>
      <c r="H393" s="157" t="s">
        <v>3618</v>
      </c>
      <c r="I393" s="157" t="s">
        <v>5633</v>
      </c>
      <c r="J393" s="157">
        <v>2025.0</v>
      </c>
    </row>
    <row r="394">
      <c r="A394" s="218">
        <f t="shared" si="2"/>
        <v>391</v>
      </c>
      <c r="B394" s="218" t="s">
        <v>203</v>
      </c>
      <c r="C394" s="219" t="str">
        <f t="shared" si="1"/>
        <v>MN/0571/2025</v>
      </c>
      <c r="D394" s="218" t="b">
        <v>1</v>
      </c>
      <c r="E394" s="219" t="b">
        <v>0</v>
      </c>
      <c r="F394" s="219"/>
      <c r="G394" s="173"/>
      <c r="H394" s="157" t="s">
        <v>3618</v>
      </c>
      <c r="I394" s="157" t="s">
        <v>5634</v>
      </c>
      <c r="J394" s="157">
        <v>2025.0</v>
      </c>
    </row>
    <row r="395">
      <c r="A395" s="218">
        <f t="shared" si="2"/>
        <v>392</v>
      </c>
      <c r="B395" s="218" t="s">
        <v>203</v>
      </c>
      <c r="C395" s="219" t="str">
        <f t="shared" si="1"/>
        <v>MN/0572/2025</v>
      </c>
      <c r="D395" s="218" t="b">
        <v>1</v>
      </c>
      <c r="E395" s="219" t="b">
        <v>0</v>
      </c>
      <c r="F395" s="218" t="s">
        <v>4933</v>
      </c>
      <c r="G395" s="173"/>
      <c r="H395" s="157" t="s">
        <v>3618</v>
      </c>
      <c r="I395" s="157" t="s">
        <v>5635</v>
      </c>
      <c r="J395" s="157">
        <v>2025.0</v>
      </c>
    </row>
    <row r="396">
      <c r="A396" s="218">
        <f t="shared" si="2"/>
        <v>393</v>
      </c>
      <c r="B396" s="218" t="s">
        <v>203</v>
      </c>
      <c r="C396" s="219" t="str">
        <f t="shared" si="1"/>
        <v>MN/0573/2025</v>
      </c>
      <c r="D396" s="218" t="b">
        <v>1</v>
      </c>
      <c r="E396" s="219" t="b">
        <v>0</v>
      </c>
      <c r="F396" s="234">
        <v>45869.0</v>
      </c>
      <c r="G396" s="173"/>
      <c r="H396" s="157" t="s">
        <v>3618</v>
      </c>
      <c r="I396" s="157" t="s">
        <v>5636</v>
      </c>
      <c r="J396" s="157">
        <v>2025.0</v>
      </c>
    </row>
    <row r="397">
      <c r="A397" s="218">
        <f t="shared" si="2"/>
        <v>394</v>
      </c>
      <c r="B397" s="218" t="s">
        <v>203</v>
      </c>
      <c r="C397" s="219" t="str">
        <f t="shared" si="1"/>
        <v>MN/0574/2025</v>
      </c>
      <c r="D397" s="218" t="b">
        <v>1</v>
      </c>
      <c r="E397" s="219" t="b">
        <v>0</v>
      </c>
      <c r="F397" s="234">
        <v>45869.0</v>
      </c>
      <c r="G397" s="173"/>
      <c r="H397" s="157" t="s">
        <v>3618</v>
      </c>
      <c r="I397" s="157" t="s">
        <v>5637</v>
      </c>
      <c r="J397" s="157">
        <v>2025.0</v>
      </c>
    </row>
    <row r="398">
      <c r="A398" s="218">
        <f t="shared" si="2"/>
        <v>395</v>
      </c>
      <c r="B398" s="218" t="s">
        <v>203</v>
      </c>
      <c r="C398" s="219" t="str">
        <f t="shared" si="1"/>
        <v>MN/0575/2025</v>
      </c>
      <c r="D398" s="218" t="b">
        <v>1</v>
      </c>
      <c r="E398" s="219" t="b">
        <v>0</v>
      </c>
      <c r="F398" s="234">
        <v>45869.0</v>
      </c>
      <c r="G398" s="173"/>
      <c r="H398" s="157" t="s">
        <v>3618</v>
      </c>
      <c r="I398" s="157" t="s">
        <v>5638</v>
      </c>
      <c r="J398" s="157">
        <v>2025.0</v>
      </c>
    </row>
    <row r="399">
      <c r="A399" s="218">
        <f t="shared" si="2"/>
        <v>396</v>
      </c>
      <c r="B399" s="218" t="s">
        <v>203</v>
      </c>
      <c r="C399" s="219" t="str">
        <f t="shared" si="1"/>
        <v>MN/0576/2025</v>
      </c>
      <c r="D399" s="218" t="b">
        <v>1</v>
      </c>
      <c r="E399" s="219" t="b">
        <v>0</v>
      </c>
      <c r="F399" s="219"/>
      <c r="G399" s="173"/>
      <c r="H399" s="157" t="s">
        <v>3618</v>
      </c>
      <c r="I399" s="157" t="s">
        <v>5639</v>
      </c>
      <c r="J399" s="157">
        <v>2025.0</v>
      </c>
    </row>
    <row r="400">
      <c r="A400" s="218">
        <f t="shared" si="2"/>
        <v>397</v>
      </c>
      <c r="B400" s="218" t="s">
        <v>203</v>
      </c>
      <c r="C400" s="219" t="str">
        <f t="shared" si="1"/>
        <v>MN/0577/2025</v>
      </c>
      <c r="D400" s="218" t="b">
        <v>1</v>
      </c>
      <c r="E400" s="219" t="b">
        <v>0</v>
      </c>
      <c r="F400" s="219"/>
      <c r="G400" s="173"/>
      <c r="H400" s="157" t="s">
        <v>3618</v>
      </c>
      <c r="I400" s="157" t="s">
        <v>5640</v>
      </c>
      <c r="J400" s="157">
        <v>2025.0</v>
      </c>
    </row>
    <row r="401">
      <c r="A401" s="218">
        <f t="shared" si="2"/>
        <v>398</v>
      </c>
      <c r="B401" s="218" t="s">
        <v>203</v>
      </c>
      <c r="C401" s="219" t="str">
        <f t="shared" si="1"/>
        <v>MN/0578/2025</v>
      </c>
      <c r="D401" s="218" t="b">
        <v>1</v>
      </c>
      <c r="E401" s="219" t="b">
        <v>0</v>
      </c>
      <c r="F401" s="219"/>
      <c r="G401" s="173"/>
      <c r="H401" s="157" t="s">
        <v>3618</v>
      </c>
      <c r="I401" s="157" t="s">
        <v>5641</v>
      </c>
      <c r="J401" s="157">
        <v>2025.0</v>
      </c>
    </row>
    <row r="402">
      <c r="A402" s="218">
        <f t="shared" si="2"/>
        <v>399</v>
      </c>
      <c r="B402" s="218" t="s">
        <v>203</v>
      </c>
      <c r="C402" s="219" t="str">
        <f t="shared" si="1"/>
        <v>MN/0579/2025</v>
      </c>
      <c r="D402" s="218" t="b">
        <v>1</v>
      </c>
      <c r="E402" s="219" t="b">
        <v>0</v>
      </c>
      <c r="F402" s="219"/>
      <c r="G402" s="173"/>
      <c r="H402" s="157" t="s">
        <v>3618</v>
      </c>
      <c r="I402" s="157" t="s">
        <v>5642</v>
      </c>
      <c r="J402" s="157">
        <v>2025.0</v>
      </c>
    </row>
    <row r="403">
      <c r="A403" s="218">
        <f t="shared" si="2"/>
        <v>400</v>
      </c>
      <c r="B403" s="218" t="s">
        <v>203</v>
      </c>
      <c r="C403" s="219" t="str">
        <f t="shared" si="1"/>
        <v>MN/0580/2025</v>
      </c>
      <c r="D403" s="218" t="b">
        <v>1</v>
      </c>
      <c r="E403" s="219" t="b">
        <v>0</v>
      </c>
      <c r="F403" s="219"/>
      <c r="G403" s="173"/>
      <c r="H403" s="157" t="s">
        <v>3618</v>
      </c>
      <c r="I403" s="157" t="s">
        <v>5643</v>
      </c>
      <c r="J403" s="157">
        <v>2025.0</v>
      </c>
    </row>
    <row r="404">
      <c r="A404" s="218">
        <f t="shared" si="2"/>
        <v>401</v>
      </c>
      <c r="B404" s="218" t="s">
        <v>203</v>
      </c>
      <c r="C404" s="219" t="str">
        <f t="shared" si="1"/>
        <v>MN/0581/2025</v>
      </c>
      <c r="D404" s="218" t="b">
        <v>1</v>
      </c>
      <c r="E404" s="219" t="b">
        <v>0</v>
      </c>
      <c r="F404" s="219"/>
      <c r="G404" s="173"/>
      <c r="H404" s="157" t="s">
        <v>3618</v>
      </c>
      <c r="I404" s="157" t="s">
        <v>5644</v>
      </c>
      <c r="J404" s="157">
        <v>2025.0</v>
      </c>
    </row>
    <row r="405">
      <c r="A405" s="218">
        <f t="shared" si="2"/>
        <v>402</v>
      </c>
      <c r="B405" s="218" t="s">
        <v>203</v>
      </c>
      <c r="C405" s="219" t="str">
        <f t="shared" si="1"/>
        <v>MN/0582/2025</v>
      </c>
      <c r="D405" s="218" t="b">
        <v>1</v>
      </c>
      <c r="E405" s="219" t="b">
        <v>0</v>
      </c>
      <c r="F405" s="219"/>
      <c r="G405" s="173"/>
      <c r="H405" s="157" t="s">
        <v>3618</v>
      </c>
      <c r="I405" s="157" t="s">
        <v>5645</v>
      </c>
      <c r="J405" s="157">
        <v>2025.0</v>
      </c>
    </row>
    <row r="406">
      <c r="A406" s="218">
        <f t="shared" si="2"/>
        <v>403</v>
      </c>
      <c r="B406" s="218" t="s">
        <v>203</v>
      </c>
      <c r="C406" s="219" t="str">
        <f t="shared" si="1"/>
        <v>MN/0583/2025</v>
      </c>
      <c r="D406" s="218" t="b">
        <v>1</v>
      </c>
      <c r="E406" s="219" t="b">
        <v>0</v>
      </c>
      <c r="F406" s="219"/>
      <c r="G406" s="173"/>
      <c r="H406" s="157" t="s">
        <v>3618</v>
      </c>
      <c r="I406" s="157" t="s">
        <v>5646</v>
      </c>
      <c r="J406" s="157">
        <v>2025.0</v>
      </c>
    </row>
    <row r="407">
      <c r="A407" s="218">
        <f t="shared" si="2"/>
        <v>404</v>
      </c>
      <c r="B407" s="218" t="s">
        <v>203</v>
      </c>
      <c r="C407" s="219" t="str">
        <f t="shared" si="1"/>
        <v>MN/0584/2025</v>
      </c>
      <c r="D407" s="218" t="b">
        <v>1</v>
      </c>
      <c r="E407" s="219" t="b">
        <v>0</v>
      </c>
      <c r="F407" s="219"/>
      <c r="G407" s="173"/>
      <c r="H407" s="157" t="s">
        <v>3618</v>
      </c>
      <c r="I407" s="157" t="s">
        <v>5647</v>
      </c>
      <c r="J407" s="157">
        <v>2025.0</v>
      </c>
    </row>
    <row r="408">
      <c r="A408" s="218">
        <f t="shared" si="2"/>
        <v>405</v>
      </c>
      <c r="B408" s="218" t="s">
        <v>203</v>
      </c>
      <c r="C408" s="219" t="str">
        <f t="shared" si="1"/>
        <v>MN/0585/2025</v>
      </c>
      <c r="D408" s="218" t="b">
        <v>1</v>
      </c>
      <c r="E408" s="219" t="b">
        <v>0</v>
      </c>
      <c r="F408" s="219"/>
      <c r="G408" s="173"/>
      <c r="H408" s="157" t="s">
        <v>3618</v>
      </c>
      <c r="I408" s="157" t="s">
        <v>5648</v>
      </c>
      <c r="J408" s="157">
        <v>2025.0</v>
      </c>
    </row>
    <row r="409">
      <c r="A409" s="218">
        <f t="shared" si="2"/>
        <v>406</v>
      </c>
      <c r="B409" s="218" t="s">
        <v>203</v>
      </c>
      <c r="C409" s="219" t="str">
        <f t="shared" si="1"/>
        <v>MN/0586/2025</v>
      </c>
      <c r="D409" s="218" t="b">
        <v>1</v>
      </c>
      <c r="E409" s="219" t="b">
        <v>0</v>
      </c>
      <c r="F409" s="219"/>
      <c r="G409" s="173"/>
      <c r="H409" s="157" t="s">
        <v>3618</v>
      </c>
      <c r="I409" s="157" t="s">
        <v>5649</v>
      </c>
      <c r="J409" s="157">
        <v>2025.0</v>
      </c>
    </row>
    <row r="410">
      <c r="A410" s="218">
        <f t="shared" si="2"/>
        <v>407</v>
      </c>
      <c r="B410" s="218" t="s">
        <v>203</v>
      </c>
      <c r="C410" s="219" t="str">
        <f t="shared" si="1"/>
        <v>MN/0587/2025</v>
      </c>
      <c r="D410" s="218" t="b">
        <v>1</v>
      </c>
      <c r="E410" s="219" t="b">
        <v>0</v>
      </c>
      <c r="F410" s="219"/>
      <c r="G410" s="173"/>
      <c r="H410" s="157" t="s">
        <v>3618</v>
      </c>
      <c r="I410" s="157" t="s">
        <v>5650</v>
      </c>
      <c r="J410" s="157">
        <v>2025.0</v>
      </c>
    </row>
    <row r="411">
      <c r="A411" s="218">
        <f t="shared" si="2"/>
        <v>408</v>
      </c>
      <c r="B411" s="218" t="s">
        <v>203</v>
      </c>
      <c r="C411" s="219" t="str">
        <f t="shared" si="1"/>
        <v>MN/0588/2025</v>
      </c>
      <c r="D411" s="218" t="b">
        <v>1</v>
      </c>
      <c r="E411" s="219" t="b">
        <v>0</v>
      </c>
      <c r="F411" s="219"/>
      <c r="G411" s="173"/>
      <c r="H411" s="157" t="s">
        <v>3618</v>
      </c>
      <c r="I411" s="157" t="s">
        <v>5651</v>
      </c>
      <c r="J411" s="157">
        <v>2025.0</v>
      </c>
    </row>
    <row r="412">
      <c r="A412" s="218">
        <f t="shared" si="2"/>
        <v>409</v>
      </c>
      <c r="B412" s="218" t="s">
        <v>203</v>
      </c>
      <c r="C412" s="219" t="str">
        <f t="shared" si="1"/>
        <v>MN/0589/2025</v>
      </c>
      <c r="D412" s="218" t="b">
        <v>1</v>
      </c>
      <c r="E412" s="219" t="b">
        <v>0</v>
      </c>
      <c r="F412" s="219"/>
      <c r="G412" s="173"/>
      <c r="H412" s="157" t="s">
        <v>3618</v>
      </c>
      <c r="I412" s="157" t="s">
        <v>5652</v>
      </c>
      <c r="J412" s="157">
        <v>2025.0</v>
      </c>
    </row>
    <row r="413">
      <c r="A413" s="218">
        <f t="shared" si="2"/>
        <v>410</v>
      </c>
      <c r="B413" s="218" t="s">
        <v>203</v>
      </c>
      <c r="C413" s="219" t="str">
        <f t="shared" si="1"/>
        <v>MN/0590/2025</v>
      </c>
      <c r="D413" s="218" t="b">
        <v>1</v>
      </c>
      <c r="E413" s="219" t="b">
        <v>0</v>
      </c>
      <c r="F413" s="219"/>
      <c r="G413" s="173"/>
      <c r="H413" s="157" t="s">
        <v>3618</v>
      </c>
      <c r="I413" s="157" t="s">
        <v>5653</v>
      </c>
      <c r="J413" s="157">
        <v>2025.0</v>
      </c>
    </row>
    <row r="414">
      <c r="A414" s="218">
        <f t="shared" si="2"/>
        <v>411</v>
      </c>
      <c r="B414" s="218" t="s">
        <v>203</v>
      </c>
      <c r="C414" s="219" t="str">
        <f t="shared" si="1"/>
        <v>MN/0591/2025</v>
      </c>
      <c r="D414" s="218" t="b">
        <v>1</v>
      </c>
      <c r="E414" s="219" t="b">
        <v>0</v>
      </c>
      <c r="F414" s="219"/>
      <c r="G414" s="173"/>
      <c r="H414" s="157" t="s">
        <v>3618</v>
      </c>
      <c r="I414" s="157" t="s">
        <v>5654</v>
      </c>
      <c r="J414" s="157">
        <v>2025.0</v>
      </c>
    </row>
    <row r="415">
      <c r="A415" s="218">
        <f t="shared" si="2"/>
        <v>412</v>
      </c>
      <c r="B415" s="218" t="s">
        <v>203</v>
      </c>
      <c r="C415" s="219" t="str">
        <f t="shared" si="1"/>
        <v>MN/0592/2025</v>
      </c>
      <c r="D415" s="218" t="b">
        <v>1</v>
      </c>
      <c r="E415" s="219" t="b">
        <v>0</v>
      </c>
      <c r="F415" s="219"/>
      <c r="G415" s="173"/>
      <c r="H415" s="157" t="s">
        <v>3618</v>
      </c>
      <c r="I415" s="157" t="s">
        <v>5655</v>
      </c>
      <c r="J415" s="157">
        <v>2025.0</v>
      </c>
    </row>
    <row r="416">
      <c r="A416" s="218">
        <f t="shared" si="2"/>
        <v>413</v>
      </c>
      <c r="B416" s="218" t="s">
        <v>203</v>
      </c>
      <c r="C416" s="219" t="str">
        <f t="shared" si="1"/>
        <v>MN/0593/2025</v>
      </c>
      <c r="D416" s="218" t="b">
        <v>1</v>
      </c>
      <c r="E416" s="219" t="b">
        <v>0</v>
      </c>
      <c r="F416" s="219"/>
      <c r="G416" s="173"/>
      <c r="H416" s="157" t="s">
        <v>3618</v>
      </c>
      <c r="I416" s="157" t="s">
        <v>5656</v>
      </c>
      <c r="J416" s="157">
        <v>2025.0</v>
      </c>
    </row>
    <row r="417">
      <c r="A417" s="218">
        <f t="shared" si="2"/>
        <v>414</v>
      </c>
      <c r="B417" s="218" t="s">
        <v>203</v>
      </c>
      <c r="C417" s="219" t="str">
        <f t="shared" si="1"/>
        <v>MN/0594/2025</v>
      </c>
      <c r="D417" s="218" t="b">
        <v>1</v>
      </c>
      <c r="E417" s="219" t="b">
        <v>0</v>
      </c>
      <c r="F417" s="219"/>
      <c r="G417" s="173"/>
      <c r="H417" s="157" t="s">
        <v>3618</v>
      </c>
      <c r="I417" s="157" t="s">
        <v>5657</v>
      </c>
      <c r="J417" s="157">
        <v>2025.0</v>
      </c>
    </row>
    <row r="418">
      <c r="A418" s="218">
        <f t="shared" si="2"/>
        <v>415</v>
      </c>
      <c r="B418" s="218" t="s">
        <v>203</v>
      </c>
      <c r="C418" s="219" t="str">
        <f t="shared" si="1"/>
        <v>MN/0595/2025</v>
      </c>
      <c r="D418" s="218" t="b">
        <v>1</v>
      </c>
      <c r="E418" s="219" t="b">
        <v>0</v>
      </c>
      <c r="F418" s="219"/>
      <c r="G418" s="173"/>
      <c r="H418" s="157" t="s">
        <v>3618</v>
      </c>
      <c r="I418" s="157" t="s">
        <v>5658</v>
      </c>
      <c r="J418" s="157">
        <v>2025.0</v>
      </c>
    </row>
    <row r="419">
      <c r="A419" s="218">
        <f t="shared" si="2"/>
        <v>416</v>
      </c>
      <c r="B419" s="218" t="s">
        <v>203</v>
      </c>
      <c r="C419" s="219" t="str">
        <f t="shared" si="1"/>
        <v>MN/0596/2025</v>
      </c>
      <c r="D419" s="218" t="b">
        <v>1</v>
      </c>
      <c r="E419" s="219" t="b">
        <v>0</v>
      </c>
      <c r="F419" s="219"/>
      <c r="G419" s="173"/>
      <c r="H419" s="157" t="s">
        <v>3618</v>
      </c>
      <c r="I419" s="157" t="s">
        <v>5659</v>
      </c>
      <c r="J419" s="157">
        <v>2025.0</v>
      </c>
    </row>
    <row r="420">
      <c r="A420" s="218">
        <f t="shared" si="2"/>
        <v>417</v>
      </c>
      <c r="B420" s="218" t="s">
        <v>203</v>
      </c>
      <c r="C420" s="219" t="str">
        <f t="shared" si="1"/>
        <v>MN/0597/2025</v>
      </c>
      <c r="D420" s="218" t="b">
        <v>1</v>
      </c>
      <c r="E420" s="219" t="b">
        <v>0</v>
      </c>
      <c r="F420" s="219"/>
      <c r="G420" s="173"/>
      <c r="H420" s="157" t="s">
        <v>3618</v>
      </c>
      <c r="I420" s="157" t="s">
        <v>5660</v>
      </c>
      <c r="J420" s="157">
        <v>2025.0</v>
      </c>
    </row>
    <row r="421">
      <c r="A421" s="218">
        <f t="shared" si="2"/>
        <v>418</v>
      </c>
      <c r="B421" s="218" t="s">
        <v>203</v>
      </c>
      <c r="C421" s="219" t="str">
        <f t="shared" si="1"/>
        <v>MN/0598/2025</v>
      </c>
      <c r="D421" s="218" t="b">
        <v>1</v>
      </c>
      <c r="E421" s="219" t="b">
        <v>0</v>
      </c>
      <c r="F421" s="219"/>
      <c r="G421" s="173"/>
      <c r="H421" s="157" t="s">
        <v>3618</v>
      </c>
      <c r="I421" s="157" t="s">
        <v>5661</v>
      </c>
      <c r="J421" s="157">
        <v>2025.0</v>
      </c>
    </row>
    <row r="422">
      <c r="A422" s="218">
        <f t="shared" si="2"/>
        <v>419</v>
      </c>
      <c r="B422" s="218" t="s">
        <v>203</v>
      </c>
      <c r="C422" s="219" t="str">
        <f t="shared" si="1"/>
        <v>MN/0599/2025</v>
      </c>
      <c r="D422" s="218" t="b">
        <v>1</v>
      </c>
      <c r="E422" s="219" t="b">
        <v>0</v>
      </c>
      <c r="F422" s="219"/>
      <c r="G422" s="173"/>
      <c r="H422" s="157" t="s">
        <v>3618</v>
      </c>
      <c r="I422" s="157" t="s">
        <v>5662</v>
      </c>
      <c r="J422" s="157">
        <v>2025.0</v>
      </c>
    </row>
    <row r="423">
      <c r="A423" s="218">
        <f t="shared" si="2"/>
        <v>420</v>
      </c>
      <c r="B423" s="218" t="s">
        <v>203</v>
      </c>
      <c r="C423" s="219" t="str">
        <f t="shared" si="1"/>
        <v>MN/0600/2025</v>
      </c>
      <c r="D423" s="218" t="b">
        <v>1</v>
      </c>
      <c r="E423" s="219" t="b">
        <v>0</v>
      </c>
      <c r="F423" s="219"/>
      <c r="G423" s="173"/>
      <c r="H423" s="157" t="s">
        <v>3618</v>
      </c>
      <c r="I423" s="157" t="s">
        <v>5663</v>
      </c>
      <c r="J423" s="157">
        <v>2025.0</v>
      </c>
    </row>
    <row r="424">
      <c r="A424" s="218">
        <f t="shared" si="2"/>
        <v>421</v>
      </c>
      <c r="B424" s="218" t="s">
        <v>203</v>
      </c>
      <c r="C424" s="219" t="str">
        <f t="shared" si="1"/>
        <v>MN/0601/2025</v>
      </c>
      <c r="D424" s="218" t="b">
        <v>1</v>
      </c>
      <c r="E424" s="219" t="b">
        <v>0</v>
      </c>
      <c r="F424" s="219"/>
      <c r="G424" s="173"/>
      <c r="H424" s="157" t="s">
        <v>3618</v>
      </c>
      <c r="I424" s="157" t="s">
        <v>5664</v>
      </c>
      <c r="J424" s="157">
        <v>2025.0</v>
      </c>
    </row>
    <row r="425">
      <c r="A425" s="218">
        <f t="shared" si="2"/>
        <v>422</v>
      </c>
      <c r="B425" s="218" t="s">
        <v>203</v>
      </c>
      <c r="C425" s="219" t="str">
        <f t="shared" si="1"/>
        <v>MN/0602/2025</v>
      </c>
      <c r="D425" s="218" t="b">
        <v>1</v>
      </c>
      <c r="E425" s="219" t="b">
        <v>0</v>
      </c>
      <c r="F425" s="219"/>
      <c r="G425" s="173"/>
      <c r="H425" s="157" t="s">
        <v>3618</v>
      </c>
      <c r="I425" s="157" t="s">
        <v>5665</v>
      </c>
      <c r="J425" s="157">
        <v>2025.0</v>
      </c>
    </row>
    <row r="426">
      <c r="A426" s="218">
        <f t="shared" si="2"/>
        <v>423</v>
      </c>
      <c r="B426" s="218" t="s">
        <v>203</v>
      </c>
      <c r="C426" s="219" t="str">
        <f t="shared" si="1"/>
        <v>MN/0603/2025</v>
      </c>
      <c r="D426" s="218" t="b">
        <v>1</v>
      </c>
      <c r="E426" s="219" t="b">
        <v>0</v>
      </c>
      <c r="F426" s="219"/>
      <c r="G426" s="173"/>
      <c r="H426" s="157" t="s">
        <v>3618</v>
      </c>
      <c r="I426" s="157" t="s">
        <v>5666</v>
      </c>
      <c r="J426" s="157">
        <v>2025.0</v>
      </c>
    </row>
    <row r="427">
      <c r="A427" s="218">
        <f t="shared" si="2"/>
        <v>424</v>
      </c>
      <c r="B427" s="218" t="s">
        <v>203</v>
      </c>
      <c r="C427" s="219" t="str">
        <f t="shared" si="1"/>
        <v>MN/0604/2025</v>
      </c>
      <c r="D427" s="218" t="b">
        <v>1</v>
      </c>
      <c r="E427" s="219" t="b">
        <v>0</v>
      </c>
      <c r="F427" s="219"/>
      <c r="G427" s="173"/>
      <c r="H427" s="157" t="s">
        <v>3618</v>
      </c>
      <c r="I427" s="157" t="s">
        <v>5667</v>
      </c>
      <c r="J427" s="157">
        <v>2025.0</v>
      </c>
    </row>
    <row r="428">
      <c r="A428" s="218">
        <f t="shared" si="2"/>
        <v>425</v>
      </c>
      <c r="B428" s="218" t="s">
        <v>203</v>
      </c>
      <c r="C428" s="219" t="str">
        <f t="shared" si="1"/>
        <v>MN/0605/2025</v>
      </c>
      <c r="D428" s="218" t="b">
        <v>1</v>
      </c>
      <c r="E428" s="219" t="b">
        <v>0</v>
      </c>
      <c r="F428" s="219"/>
      <c r="G428" s="173"/>
      <c r="H428" s="157" t="s">
        <v>3618</v>
      </c>
      <c r="I428" s="157" t="s">
        <v>5668</v>
      </c>
      <c r="J428" s="157">
        <v>2025.0</v>
      </c>
    </row>
    <row r="429">
      <c r="A429" s="218">
        <f t="shared" si="2"/>
        <v>426</v>
      </c>
      <c r="B429" s="218" t="s">
        <v>203</v>
      </c>
      <c r="C429" s="219" t="str">
        <f t="shared" si="1"/>
        <v>MN/0606/2025</v>
      </c>
      <c r="D429" s="218" t="b">
        <v>1</v>
      </c>
      <c r="E429" s="219" t="b">
        <v>0</v>
      </c>
      <c r="F429" s="219"/>
      <c r="G429" s="173"/>
      <c r="H429" s="157" t="s">
        <v>3618</v>
      </c>
      <c r="I429" s="157" t="s">
        <v>5669</v>
      </c>
      <c r="J429" s="157">
        <v>2025.0</v>
      </c>
    </row>
    <row r="430">
      <c r="A430" s="218">
        <f t="shared" si="2"/>
        <v>427</v>
      </c>
      <c r="B430" s="218" t="s">
        <v>203</v>
      </c>
      <c r="C430" s="219" t="str">
        <f t="shared" si="1"/>
        <v>MN/0607/2025</v>
      </c>
      <c r="D430" s="218" t="b">
        <v>1</v>
      </c>
      <c r="E430" s="219" t="b">
        <v>0</v>
      </c>
      <c r="F430" s="219"/>
      <c r="G430" s="173"/>
      <c r="H430" s="157" t="s">
        <v>3618</v>
      </c>
      <c r="I430" s="157" t="s">
        <v>5670</v>
      </c>
      <c r="J430" s="157">
        <v>2025.0</v>
      </c>
    </row>
    <row r="431">
      <c r="A431" s="218">
        <f t="shared" si="2"/>
        <v>428</v>
      </c>
      <c r="B431" s="218" t="s">
        <v>203</v>
      </c>
      <c r="C431" s="219" t="str">
        <f t="shared" si="1"/>
        <v>MN/0608/2025</v>
      </c>
      <c r="D431" s="218" t="b">
        <v>1</v>
      </c>
      <c r="E431" s="219" t="b">
        <v>0</v>
      </c>
      <c r="F431" s="219"/>
      <c r="G431" s="173"/>
      <c r="H431" s="157" t="s">
        <v>3618</v>
      </c>
      <c r="I431" s="157" t="s">
        <v>5671</v>
      </c>
      <c r="J431" s="157">
        <v>2025.0</v>
      </c>
    </row>
    <row r="432">
      <c r="A432" s="218">
        <f t="shared" si="2"/>
        <v>429</v>
      </c>
      <c r="B432" s="218" t="s">
        <v>203</v>
      </c>
      <c r="C432" s="219" t="str">
        <f t="shared" si="1"/>
        <v>MN/0609/2025</v>
      </c>
      <c r="D432" s="218" t="b">
        <v>1</v>
      </c>
      <c r="E432" s="219" t="b">
        <v>0</v>
      </c>
      <c r="F432" s="219"/>
      <c r="G432" s="173"/>
      <c r="H432" s="157" t="s">
        <v>3618</v>
      </c>
      <c r="I432" s="157" t="s">
        <v>5672</v>
      </c>
      <c r="J432" s="157">
        <v>2025.0</v>
      </c>
    </row>
    <row r="433">
      <c r="A433" s="218">
        <f t="shared" si="2"/>
        <v>430</v>
      </c>
      <c r="B433" s="218" t="s">
        <v>203</v>
      </c>
      <c r="C433" s="219" t="str">
        <f t="shared" si="1"/>
        <v>MN/0610/2025</v>
      </c>
      <c r="D433" s="218" t="b">
        <v>1</v>
      </c>
      <c r="E433" s="219" t="b">
        <v>0</v>
      </c>
      <c r="F433" s="219"/>
      <c r="G433" s="173"/>
      <c r="H433" s="157" t="s">
        <v>3618</v>
      </c>
      <c r="I433" s="157" t="s">
        <v>5673</v>
      </c>
      <c r="J433" s="157">
        <v>2025.0</v>
      </c>
    </row>
    <row r="434">
      <c r="A434" s="218">
        <f t="shared" si="2"/>
        <v>431</v>
      </c>
      <c r="B434" s="218" t="s">
        <v>203</v>
      </c>
      <c r="C434" s="219" t="str">
        <f t="shared" si="1"/>
        <v>MN/0611/2025</v>
      </c>
      <c r="D434" s="218" t="b">
        <v>1</v>
      </c>
      <c r="E434" s="219" t="b">
        <v>0</v>
      </c>
      <c r="F434" s="219"/>
      <c r="G434" s="173"/>
      <c r="H434" s="157" t="s">
        <v>3618</v>
      </c>
      <c r="I434" s="157" t="s">
        <v>5674</v>
      </c>
      <c r="J434" s="157">
        <v>2025.0</v>
      </c>
    </row>
    <row r="435">
      <c r="A435" s="218">
        <f t="shared" si="2"/>
        <v>432</v>
      </c>
      <c r="B435" s="218" t="s">
        <v>203</v>
      </c>
      <c r="C435" s="219" t="str">
        <f t="shared" si="1"/>
        <v>MN/0612/2025</v>
      </c>
      <c r="D435" s="218" t="b">
        <v>1</v>
      </c>
      <c r="E435" s="219" t="b">
        <v>0</v>
      </c>
      <c r="F435" s="219"/>
      <c r="G435" s="173"/>
      <c r="H435" s="157" t="s">
        <v>3618</v>
      </c>
      <c r="I435" s="157" t="s">
        <v>5675</v>
      </c>
      <c r="J435" s="157">
        <v>2025.0</v>
      </c>
    </row>
    <row r="436">
      <c r="A436" s="218">
        <f t="shared" si="2"/>
        <v>433</v>
      </c>
      <c r="B436" s="218" t="s">
        <v>203</v>
      </c>
      <c r="C436" s="219" t="str">
        <f t="shared" si="1"/>
        <v>MN/0613/2025</v>
      </c>
      <c r="D436" s="218" t="b">
        <v>1</v>
      </c>
      <c r="E436" s="219" t="b">
        <v>0</v>
      </c>
      <c r="F436" s="219"/>
      <c r="G436" s="173"/>
      <c r="H436" s="157" t="s">
        <v>3618</v>
      </c>
      <c r="I436" s="157" t="s">
        <v>5676</v>
      </c>
      <c r="J436" s="157">
        <v>2025.0</v>
      </c>
    </row>
    <row r="437">
      <c r="A437" s="218">
        <f t="shared" si="2"/>
        <v>434</v>
      </c>
      <c r="B437" s="218" t="s">
        <v>203</v>
      </c>
      <c r="C437" s="219" t="str">
        <f t="shared" si="1"/>
        <v>MN/0614/2025</v>
      </c>
      <c r="D437" s="218" t="b">
        <v>1</v>
      </c>
      <c r="E437" s="219" t="b">
        <v>0</v>
      </c>
      <c r="F437" s="219"/>
      <c r="G437" s="173"/>
      <c r="H437" s="157" t="s">
        <v>3618</v>
      </c>
      <c r="I437" s="157" t="s">
        <v>5677</v>
      </c>
      <c r="J437" s="157">
        <v>2025.0</v>
      </c>
    </row>
    <row r="438">
      <c r="A438" s="218">
        <f t="shared" si="2"/>
        <v>435</v>
      </c>
      <c r="B438" s="218" t="s">
        <v>203</v>
      </c>
      <c r="C438" s="219" t="str">
        <f t="shared" si="1"/>
        <v>MN/0615/2025</v>
      </c>
      <c r="D438" s="218" t="b">
        <v>1</v>
      </c>
      <c r="E438" s="219" t="b">
        <v>0</v>
      </c>
      <c r="F438" s="219"/>
      <c r="G438" s="173"/>
      <c r="H438" s="157" t="s">
        <v>3618</v>
      </c>
      <c r="I438" s="157" t="s">
        <v>5678</v>
      </c>
      <c r="J438" s="157">
        <v>2025.0</v>
      </c>
    </row>
    <row r="439">
      <c r="A439" s="218">
        <f t="shared" si="2"/>
        <v>436</v>
      </c>
      <c r="B439" s="218" t="s">
        <v>203</v>
      </c>
      <c r="C439" s="219" t="str">
        <f t="shared" si="1"/>
        <v>MN/0616/2025</v>
      </c>
      <c r="D439" s="218" t="b">
        <v>1</v>
      </c>
      <c r="E439" s="219" t="b">
        <v>0</v>
      </c>
      <c r="F439" s="219"/>
      <c r="G439" s="173"/>
      <c r="H439" s="157" t="s">
        <v>3618</v>
      </c>
      <c r="I439" s="157" t="s">
        <v>5679</v>
      </c>
      <c r="J439" s="157">
        <v>2025.0</v>
      </c>
    </row>
    <row r="440">
      <c r="A440" s="218">
        <f t="shared" si="2"/>
        <v>437</v>
      </c>
      <c r="B440" s="218" t="s">
        <v>203</v>
      </c>
      <c r="C440" s="219" t="str">
        <f t="shared" si="1"/>
        <v>MN/0617/2025</v>
      </c>
      <c r="D440" s="218" t="b">
        <v>1</v>
      </c>
      <c r="E440" s="219" t="b">
        <v>0</v>
      </c>
      <c r="F440" s="219"/>
      <c r="G440" s="173"/>
      <c r="H440" s="157" t="s">
        <v>3618</v>
      </c>
      <c r="I440" s="157" t="s">
        <v>5680</v>
      </c>
      <c r="J440" s="157">
        <v>2025.0</v>
      </c>
    </row>
    <row r="441">
      <c r="A441" s="218">
        <f t="shared" si="2"/>
        <v>438</v>
      </c>
      <c r="B441" s="218" t="s">
        <v>203</v>
      </c>
      <c r="C441" s="219" t="str">
        <f t="shared" si="1"/>
        <v>MN/0618/2025</v>
      </c>
      <c r="D441" s="218" t="b">
        <v>1</v>
      </c>
      <c r="E441" s="219" t="b">
        <v>0</v>
      </c>
      <c r="F441" s="219"/>
      <c r="G441" s="173"/>
      <c r="H441" s="157" t="s">
        <v>3618</v>
      </c>
      <c r="I441" s="157" t="s">
        <v>5681</v>
      </c>
      <c r="J441" s="157">
        <v>2025.0</v>
      </c>
    </row>
    <row r="442">
      <c r="A442" s="218">
        <f t="shared" si="2"/>
        <v>439</v>
      </c>
      <c r="B442" s="218" t="s">
        <v>203</v>
      </c>
      <c r="C442" s="219" t="str">
        <f t="shared" si="1"/>
        <v>MN/0619/2025</v>
      </c>
      <c r="D442" s="218" t="b">
        <v>1</v>
      </c>
      <c r="E442" s="219" t="b">
        <v>0</v>
      </c>
      <c r="F442" s="219"/>
      <c r="G442" s="173"/>
      <c r="H442" s="157" t="s">
        <v>3618</v>
      </c>
      <c r="I442" s="157" t="s">
        <v>5682</v>
      </c>
      <c r="J442" s="157">
        <v>2025.0</v>
      </c>
    </row>
    <row r="443">
      <c r="A443" s="218">
        <f t="shared" si="2"/>
        <v>440</v>
      </c>
      <c r="B443" s="218" t="s">
        <v>203</v>
      </c>
      <c r="C443" s="219" t="str">
        <f t="shared" si="1"/>
        <v>MN/0620/2025</v>
      </c>
      <c r="D443" s="218" t="b">
        <v>1</v>
      </c>
      <c r="E443" s="219" t="b">
        <v>0</v>
      </c>
      <c r="F443" s="219"/>
      <c r="G443" s="173"/>
      <c r="H443" s="157" t="s">
        <v>3618</v>
      </c>
      <c r="I443" s="157" t="s">
        <v>5683</v>
      </c>
      <c r="J443" s="157">
        <v>2025.0</v>
      </c>
    </row>
    <row r="444">
      <c r="A444" s="218">
        <f t="shared" si="2"/>
        <v>441</v>
      </c>
      <c r="B444" s="218" t="s">
        <v>203</v>
      </c>
      <c r="C444" s="219" t="str">
        <f t="shared" si="1"/>
        <v>MN/0621/2025</v>
      </c>
      <c r="D444" s="218" t="b">
        <v>1</v>
      </c>
      <c r="E444" s="219" t="b">
        <v>0</v>
      </c>
      <c r="F444" s="219"/>
      <c r="G444" s="173"/>
      <c r="H444" s="157" t="s">
        <v>3618</v>
      </c>
      <c r="I444" s="157" t="s">
        <v>5684</v>
      </c>
      <c r="J444" s="157">
        <v>2025.0</v>
      </c>
    </row>
    <row r="445">
      <c r="A445" s="218">
        <f t="shared" si="2"/>
        <v>442</v>
      </c>
      <c r="B445" s="218" t="s">
        <v>203</v>
      </c>
      <c r="C445" s="219" t="str">
        <f t="shared" si="1"/>
        <v>MN/0622/2025</v>
      </c>
      <c r="D445" s="218" t="b">
        <v>1</v>
      </c>
      <c r="E445" s="219" t="b">
        <v>0</v>
      </c>
      <c r="F445" s="219"/>
      <c r="G445" s="173"/>
      <c r="H445" s="157" t="s">
        <v>3618</v>
      </c>
      <c r="I445" s="157" t="s">
        <v>5685</v>
      </c>
      <c r="J445" s="157">
        <v>2025.0</v>
      </c>
    </row>
    <row r="446">
      <c r="A446" s="218">
        <f t="shared" si="2"/>
        <v>443</v>
      </c>
      <c r="B446" s="218" t="s">
        <v>203</v>
      </c>
      <c r="C446" s="219" t="str">
        <f t="shared" si="1"/>
        <v>MN/0623/2025</v>
      </c>
      <c r="D446" s="218" t="b">
        <v>1</v>
      </c>
      <c r="E446" s="219" t="b">
        <v>0</v>
      </c>
      <c r="F446" s="219"/>
      <c r="G446" s="173"/>
      <c r="H446" s="157" t="s">
        <v>3618</v>
      </c>
      <c r="I446" s="157" t="s">
        <v>5686</v>
      </c>
      <c r="J446" s="157">
        <v>2025.0</v>
      </c>
    </row>
    <row r="447">
      <c r="A447" s="218">
        <f t="shared" si="2"/>
        <v>444</v>
      </c>
      <c r="B447" s="218" t="s">
        <v>203</v>
      </c>
      <c r="C447" s="219" t="str">
        <f t="shared" si="1"/>
        <v>MN/0624/2025</v>
      </c>
      <c r="D447" s="218" t="b">
        <v>1</v>
      </c>
      <c r="E447" s="219" t="b">
        <v>0</v>
      </c>
      <c r="F447" s="219"/>
      <c r="G447" s="173"/>
      <c r="H447" s="157" t="s">
        <v>3618</v>
      </c>
      <c r="I447" s="157" t="s">
        <v>5687</v>
      </c>
      <c r="J447" s="157">
        <v>2025.0</v>
      </c>
    </row>
    <row r="448">
      <c r="A448" s="218">
        <f t="shared" si="2"/>
        <v>445</v>
      </c>
      <c r="B448" s="218" t="s">
        <v>203</v>
      </c>
      <c r="C448" s="219" t="str">
        <f t="shared" si="1"/>
        <v>MN/0625/2025</v>
      </c>
      <c r="D448" s="218" t="b">
        <v>1</v>
      </c>
      <c r="E448" s="219" t="b">
        <v>0</v>
      </c>
      <c r="F448" s="219"/>
      <c r="G448" s="173"/>
      <c r="H448" s="157" t="s">
        <v>3618</v>
      </c>
      <c r="I448" s="157" t="s">
        <v>5688</v>
      </c>
      <c r="J448" s="157">
        <v>2025.0</v>
      </c>
    </row>
    <row r="449">
      <c r="A449" s="218">
        <f t="shared" si="2"/>
        <v>446</v>
      </c>
      <c r="B449" s="218" t="s">
        <v>203</v>
      </c>
      <c r="C449" s="219" t="str">
        <f t="shared" si="1"/>
        <v>MN/0626/2025</v>
      </c>
      <c r="D449" s="218" t="b">
        <v>1</v>
      </c>
      <c r="E449" s="219" t="b">
        <v>0</v>
      </c>
      <c r="F449" s="219"/>
      <c r="G449" s="173"/>
      <c r="H449" s="157" t="s">
        <v>3618</v>
      </c>
      <c r="I449" s="157" t="s">
        <v>5689</v>
      </c>
      <c r="J449" s="157">
        <v>2025.0</v>
      </c>
    </row>
    <row r="450">
      <c r="A450" s="218">
        <f t="shared" si="2"/>
        <v>447</v>
      </c>
      <c r="B450" s="218" t="s">
        <v>203</v>
      </c>
      <c r="C450" s="219" t="str">
        <f t="shared" si="1"/>
        <v>MN/0627/2025</v>
      </c>
      <c r="D450" s="218" t="b">
        <v>1</v>
      </c>
      <c r="E450" s="219" t="b">
        <v>0</v>
      </c>
      <c r="F450" s="219"/>
      <c r="G450" s="173"/>
      <c r="H450" s="157" t="s">
        <v>3618</v>
      </c>
      <c r="I450" s="157" t="s">
        <v>5690</v>
      </c>
      <c r="J450" s="157">
        <v>2025.0</v>
      </c>
    </row>
    <row r="451">
      <c r="A451" s="218">
        <f t="shared" si="2"/>
        <v>448</v>
      </c>
      <c r="B451" s="218" t="s">
        <v>203</v>
      </c>
      <c r="C451" s="219" t="str">
        <f t="shared" si="1"/>
        <v>MN/0628/2025</v>
      </c>
      <c r="D451" s="218" t="b">
        <v>1</v>
      </c>
      <c r="E451" s="219" t="b">
        <v>0</v>
      </c>
      <c r="F451" s="219"/>
      <c r="G451" s="173"/>
      <c r="H451" s="157" t="s">
        <v>3618</v>
      </c>
      <c r="I451" s="157" t="s">
        <v>5691</v>
      </c>
      <c r="J451" s="157">
        <v>2025.0</v>
      </c>
    </row>
    <row r="452">
      <c r="A452" s="218">
        <f t="shared" si="2"/>
        <v>449</v>
      </c>
      <c r="B452" s="218" t="s">
        <v>203</v>
      </c>
      <c r="C452" s="219" t="str">
        <f t="shared" si="1"/>
        <v>MN/0629/2025</v>
      </c>
      <c r="D452" s="218" t="b">
        <v>1</v>
      </c>
      <c r="E452" s="219" t="b">
        <v>0</v>
      </c>
      <c r="F452" s="219"/>
      <c r="G452" s="173"/>
      <c r="H452" s="157" t="s">
        <v>3618</v>
      </c>
      <c r="I452" s="157" t="s">
        <v>5692</v>
      </c>
      <c r="J452" s="157">
        <v>2025.0</v>
      </c>
    </row>
    <row r="453">
      <c r="A453" s="218">
        <f t="shared" si="2"/>
        <v>450</v>
      </c>
      <c r="B453" s="218" t="s">
        <v>203</v>
      </c>
      <c r="C453" s="219" t="str">
        <f t="shared" si="1"/>
        <v>MN/0630/2025</v>
      </c>
      <c r="D453" s="218" t="b">
        <v>1</v>
      </c>
      <c r="E453" s="219" t="b">
        <v>0</v>
      </c>
      <c r="F453" s="219"/>
      <c r="G453" s="173"/>
      <c r="H453" s="157" t="s">
        <v>3618</v>
      </c>
      <c r="I453" s="157" t="s">
        <v>5693</v>
      </c>
      <c r="J453" s="157">
        <v>2025.0</v>
      </c>
    </row>
    <row r="454">
      <c r="A454" s="218">
        <f t="shared" si="2"/>
        <v>451</v>
      </c>
      <c r="B454" s="218" t="s">
        <v>203</v>
      </c>
      <c r="C454" s="219" t="str">
        <f t="shared" si="1"/>
        <v>MN/0631/2025</v>
      </c>
      <c r="D454" s="218" t="b">
        <v>1</v>
      </c>
      <c r="E454" s="219" t="b">
        <v>0</v>
      </c>
      <c r="F454" s="219"/>
      <c r="G454" s="173"/>
      <c r="H454" s="157" t="s">
        <v>3618</v>
      </c>
      <c r="I454" s="157" t="s">
        <v>5694</v>
      </c>
      <c r="J454" s="157">
        <v>2025.0</v>
      </c>
    </row>
    <row r="455">
      <c r="A455" s="218">
        <f t="shared" si="2"/>
        <v>452</v>
      </c>
      <c r="B455" s="218" t="s">
        <v>203</v>
      </c>
      <c r="C455" s="219" t="str">
        <f t="shared" si="1"/>
        <v>MN/0632/2025</v>
      </c>
      <c r="D455" s="218" t="b">
        <v>1</v>
      </c>
      <c r="E455" s="219" t="b">
        <v>0</v>
      </c>
      <c r="F455" s="219"/>
      <c r="G455" s="173"/>
      <c r="H455" s="157" t="s">
        <v>3618</v>
      </c>
      <c r="I455" s="157" t="s">
        <v>5695</v>
      </c>
      <c r="J455" s="157">
        <v>2025.0</v>
      </c>
    </row>
    <row r="456">
      <c r="A456" s="218">
        <f t="shared" si="2"/>
        <v>453</v>
      </c>
      <c r="B456" s="218" t="s">
        <v>203</v>
      </c>
      <c r="C456" s="219" t="str">
        <f t="shared" si="1"/>
        <v>MN/0633/2025</v>
      </c>
      <c r="D456" s="218" t="b">
        <v>1</v>
      </c>
      <c r="E456" s="219" t="b">
        <v>0</v>
      </c>
      <c r="F456" s="219"/>
      <c r="G456" s="173"/>
      <c r="H456" s="157" t="s">
        <v>3618</v>
      </c>
      <c r="I456" s="157" t="s">
        <v>5696</v>
      </c>
      <c r="J456" s="157">
        <v>2025.0</v>
      </c>
    </row>
    <row r="457">
      <c r="A457" s="218">
        <f t="shared" si="2"/>
        <v>454</v>
      </c>
      <c r="B457" s="218" t="s">
        <v>203</v>
      </c>
      <c r="C457" s="219" t="str">
        <f t="shared" si="1"/>
        <v>MN/0634/2025</v>
      </c>
      <c r="D457" s="218" t="b">
        <v>1</v>
      </c>
      <c r="E457" s="219" t="b">
        <v>0</v>
      </c>
      <c r="F457" s="219"/>
      <c r="G457" s="173"/>
      <c r="H457" s="157" t="s">
        <v>3618</v>
      </c>
      <c r="I457" s="157" t="s">
        <v>5697</v>
      </c>
      <c r="J457" s="157">
        <v>2025.0</v>
      </c>
    </row>
    <row r="458">
      <c r="A458" s="218">
        <f t="shared" si="2"/>
        <v>455</v>
      </c>
      <c r="B458" s="218" t="s">
        <v>203</v>
      </c>
      <c r="C458" s="219" t="str">
        <f t="shared" si="1"/>
        <v>MN/0635/2025</v>
      </c>
      <c r="D458" s="218" t="b">
        <v>1</v>
      </c>
      <c r="E458" s="219" t="b">
        <v>0</v>
      </c>
      <c r="F458" s="219"/>
      <c r="G458" s="173"/>
      <c r="H458" s="157" t="s">
        <v>3618</v>
      </c>
      <c r="I458" s="157" t="s">
        <v>5698</v>
      </c>
      <c r="J458" s="157">
        <v>2025.0</v>
      </c>
    </row>
    <row r="459">
      <c r="A459" s="218">
        <f t="shared" si="2"/>
        <v>456</v>
      </c>
      <c r="B459" s="218" t="s">
        <v>203</v>
      </c>
      <c r="C459" s="219" t="str">
        <f t="shared" si="1"/>
        <v>MN/0636/2025</v>
      </c>
      <c r="D459" s="218" t="b">
        <v>1</v>
      </c>
      <c r="E459" s="219" t="b">
        <v>0</v>
      </c>
      <c r="F459" s="219"/>
      <c r="G459" s="173"/>
      <c r="H459" s="157" t="s">
        <v>3618</v>
      </c>
      <c r="I459" s="157" t="s">
        <v>5699</v>
      </c>
      <c r="J459" s="157">
        <v>2025.0</v>
      </c>
    </row>
    <row r="460">
      <c r="A460" s="218">
        <f t="shared" si="2"/>
        <v>457</v>
      </c>
      <c r="B460" s="218" t="s">
        <v>203</v>
      </c>
      <c r="C460" s="219" t="str">
        <f t="shared" si="1"/>
        <v>MN/0637/2025</v>
      </c>
      <c r="D460" s="218" t="b">
        <v>1</v>
      </c>
      <c r="E460" s="219" t="b">
        <v>0</v>
      </c>
      <c r="F460" s="219"/>
      <c r="G460" s="173"/>
      <c r="H460" s="157" t="s">
        <v>3618</v>
      </c>
      <c r="I460" s="157" t="s">
        <v>5700</v>
      </c>
      <c r="J460" s="157">
        <v>2025.0</v>
      </c>
    </row>
    <row r="461">
      <c r="A461" s="218">
        <f t="shared" si="2"/>
        <v>458</v>
      </c>
      <c r="B461" s="218" t="s">
        <v>203</v>
      </c>
      <c r="C461" s="219" t="str">
        <f t="shared" si="1"/>
        <v>MN/0638/2025</v>
      </c>
      <c r="D461" s="218" t="b">
        <v>1</v>
      </c>
      <c r="E461" s="219" t="b">
        <v>0</v>
      </c>
      <c r="F461" s="219"/>
      <c r="G461" s="173"/>
      <c r="H461" s="157" t="s">
        <v>3618</v>
      </c>
      <c r="I461" s="157" t="s">
        <v>5701</v>
      </c>
      <c r="J461" s="157">
        <v>2025.0</v>
      </c>
    </row>
    <row r="462">
      <c r="A462" s="218">
        <f t="shared" si="2"/>
        <v>459</v>
      </c>
      <c r="B462" s="218" t="s">
        <v>203</v>
      </c>
      <c r="C462" s="219" t="str">
        <f t="shared" si="1"/>
        <v>MN/0639/2025</v>
      </c>
      <c r="D462" s="218" t="b">
        <v>1</v>
      </c>
      <c r="E462" s="219" t="b">
        <v>0</v>
      </c>
      <c r="F462" s="219"/>
      <c r="G462" s="173"/>
      <c r="H462" s="157" t="s">
        <v>3618</v>
      </c>
      <c r="I462" s="157" t="s">
        <v>5702</v>
      </c>
      <c r="J462" s="157">
        <v>2025.0</v>
      </c>
    </row>
    <row r="463">
      <c r="A463" s="218">
        <f t="shared" si="2"/>
        <v>460</v>
      </c>
      <c r="B463" s="218" t="s">
        <v>203</v>
      </c>
      <c r="C463" s="219" t="str">
        <f t="shared" si="1"/>
        <v>MN/0640/2025</v>
      </c>
      <c r="D463" s="218" t="b">
        <v>1</v>
      </c>
      <c r="E463" s="219" t="b">
        <v>0</v>
      </c>
      <c r="F463" s="219"/>
      <c r="G463" s="173"/>
      <c r="H463" s="157" t="s">
        <v>3618</v>
      </c>
      <c r="I463" s="157" t="s">
        <v>5703</v>
      </c>
      <c r="J463" s="157">
        <v>2025.0</v>
      </c>
    </row>
    <row r="464">
      <c r="A464" s="218">
        <f t="shared" si="2"/>
        <v>461</v>
      </c>
      <c r="B464" s="218" t="s">
        <v>203</v>
      </c>
      <c r="C464" s="219" t="str">
        <f t="shared" si="1"/>
        <v>MN/0641/2025</v>
      </c>
      <c r="D464" s="218" t="b">
        <v>1</v>
      </c>
      <c r="E464" s="219" t="b">
        <v>0</v>
      </c>
      <c r="F464" s="219"/>
      <c r="G464" s="173"/>
      <c r="H464" s="157" t="s">
        <v>3618</v>
      </c>
      <c r="I464" s="157" t="s">
        <v>5704</v>
      </c>
      <c r="J464" s="157">
        <v>2025.0</v>
      </c>
    </row>
    <row r="465">
      <c r="A465" s="218">
        <f t="shared" si="2"/>
        <v>462</v>
      </c>
      <c r="B465" s="218" t="s">
        <v>203</v>
      </c>
      <c r="C465" s="219" t="str">
        <f t="shared" si="1"/>
        <v>MN/0642/2025</v>
      </c>
      <c r="D465" s="218" t="b">
        <v>1</v>
      </c>
      <c r="E465" s="219" t="b">
        <v>0</v>
      </c>
      <c r="F465" s="219"/>
      <c r="G465" s="173"/>
      <c r="H465" s="157" t="s">
        <v>3618</v>
      </c>
      <c r="I465" s="157" t="s">
        <v>5705</v>
      </c>
      <c r="J465" s="157">
        <v>2025.0</v>
      </c>
    </row>
    <row r="466">
      <c r="A466" s="218">
        <f t="shared" si="2"/>
        <v>463</v>
      </c>
      <c r="B466" s="218" t="s">
        <v>203</v>
      </c>
      <c r="C466" s="219" t="str">
        <f t="shared" si="1"/>
        <v>MN/0643/2025</v>
      </c>
      <c r="D466" s="218" t="b">
        <v>1</v>
      </c>
      <c r="E466" s="219" t="b">
        <v>0</v>
      </c>
      <c r="F466" s="219"/>
      <c r="G466" s="173"/>
      <c r="H466" s="157" t="s">
        <v>3618</v>
      </c>
      <c r="I466" s="157" t="s">
        <v>5706</v>
      </c>
      <c r="J466" s="157">
        <v>2025.0</v>
      </c>
    </row>
    <row r="467">
      <c r="A467" s="218">
        <f t="shared" si="2"/>
        <v>464</v>
      </c>
      <c r="B467" s="218" t="s">
        <v>203</v>
      </c>
      <c r="C467" s="219" t="str">
        <f t="shared" si="1"/>
        <v>MN/0644/2025</v>
      </c>
      <c r="D467" s="218" t="b">
        <v>1</v>
      </c>
      <c r="E467" s="219" t="b">
        <v>0</v>
      </c>
      <c r="F467" s="219"/>
      <c r="G467" s="173"/>
      <c r="H467" s="157" t="s">
        <v>3618</v>
      </c>
      <c r="I467" s="157" t="s">
        <v>5707</v>
      </c>
      <c r="J467" s="157">
        <v>2025.0</v>
      </c>
    </row>
    <row r="468">
      <c r="A468" s="218">
        <f t="shared" si="2"/>
        <v>465</v>
      </c>
      <c r="B468" s="218" t="s">
        <v>203</v>
      </c>
      <c r="C468" s="219" t="str">
        <f t="shared" si="1"/>
        <v>MN/0645/2025</v>
      </c>
      <c r="D468" s="218" t="b">
        <v>1</v>
      </c>
      <c r="E468" s="219" t="b">
        <v>0</v>
      </c>
      <c r="F468" s="219"/>
      <c r="G468" s="173"/>
      <c r="H468" s="157" t="s">
        <v>3618</v>
      </c>
      <c r="I468" s="157" t="s">
        <v>5708</v>
      </c>
      <c r="J468" s="157">
        <v>2025.0</v>
      </c>
    </row>
    <row r="469">
      <c r="A469" s="218">
        <f t="shared" si="2"/>
        <v>466</v>
      </c>
      <c r="B469" s="218" t="s">
        <v>203</v>
      </c>
      <c r="C469" s="219" t="str">
        <f t="shared" si="1"/>
        <v>MN/0646/2025</v>
      </c>
      <c r="D469" s="218" t="b">
        <v>1</v>
      </c>
      <c r="E469" s="219" t="b">
        <v>0</v>
      </c>
      <c r="F469" s="219"/>
      <c r="G469" s="173"/>
      <c r="H469" s="157" t="s">
        <v>3618</v>
      </c>
      <c r="I469" s="157" t="s">
        <v>5709</v>
      </c>
      <c r="J469" s="157">
        <v>2025.0</v>
      </c>
    </row>
    <row r="470">
      <c r="A470" s="218">
        <f t="shared" si="2"/>
        <v>467</v>
      </c>
      <c r="B470" s="218" t="s">
        <v>203</v>
      </c>
      <c r="C470" s="219" t="str">
        <f t="shared" si="1"/>
        <v>MN/0647/2025</v>
      </c>
      <c r="D470" s="218" t="b">
        <v>1</v>
      </c>
      <c r="E470" s="219" t="b">
        <v>0</v>
      </c>
      <c r="F470" s="219"/>
      <c r="G470" s="173"/>
      <c r="H470" s="157" t="s">
        <v>3618</v>
      </c>
      <c r="I470" s="157" t="s">
        <v>5710</v>
      </c>
      <c r="J470" s="157">
        <v>2025.0</v>
      </c>
    </row>
    <row r="471">
      <c r="A471" s="218">
        <f t="shared" si="2"/>
        <v>468</v>
      </c>
      <c r="B471" s="218" t="s">
        <v>203</v>
      </c>
      <c r="C471" s="219" t="str">
        <f t="shared" si="1"/>
        <v>MN/0648/2025</v>
      </c>
      <c r="D471" s="218" t="b">
        <v>1</v>
      </c>
      <c r="E471" s="219" t="b">
        <v>0</v>
      </c>
      <c r="F471" s="219"/>
      <c r="G471" s="173"/>
      <c r="H471" s="157" t="s">
        <v>3618</v>
      </c>
      <c r="I471" s="157" t="s">
        <v>5711</v>
      </c>
      <c r="J471" s="157">
        <v>2025.0</v>
      </c>
    </row>
    <row r="472">
      <c r="A472" s="218">
        <f t="shared" si="2"/>
        <v>469</v>
      </c>
      <c r="B472" s="218" t="s">
        <v>203</v>
      </c>
      <c r="C472" s="219" t="str">
        <f t="shared" si="1"/>
        <v>MN/0649/2025</v>
      </c>
      <c r="D472" s="218" t="b">
        <v>1</v>
      </c>
      <c r="E472" s="219" t="b">
        <v>0</v>
      </c>
      <c r="F472" s="219"/>
      <c r="G472" s="173"/>
      <c r="H472" s="157" t="s">
        <v>3618</v>
      </c>
      <c r="I472" s="157" t="s">
        <v>5712</v>
      </c>
      <c r="J472" s="157">
        <v>2025.0</v>
      </c>
    </row>
    <row r="473">
      <c r="A473" s="218">
        <f t="shared" si="2"/>
        <v>470</v>
      </c>
      <c r="B473" s="218" t="s">
        <v>203</v>
      </c>
      <c r="C473" s="219" t="str">
        <f t="shared" si="1"/>
        <v>MN/0650/2025</v>
      </c>
      <c r="D473" s="218" t="b">
        <v>1</v>
      </c>
      <c r="E473" s="219" t="b">
        <v>0</v>
      </c>
      <c r="F473" s="219"/>
      <c r="G473" s="173"/>
      <c r="H473" s="157" t="s">
        <v>3618</v>
      </c>
      <c r="I473" s="157" t="s">
        <v>5713</v>
      </c>
      <c r="J473" s="157">
        <v>2025.0</v>
      </c>
    </row>
    <row r="474">
      <c r="A474" s="218">
        <f t="shared" si="2"/>
        <v>471</v>
      </c>
      <c r="B474" s="218" t="s">
        <v>203</v>
      </c>
      <c r="C474" s="219" t="str">
        <f t="shared" si="1"/>
        <v>MN/0651/2025</v>
      </c>
      <c r="D474" s="218" t="b">
        <v>1</v>
      </c>
      <c r="E474" s="219" t="b">
        <v>0</v>
      </c>
      <c r="F474" s="219"/>
      <c r="G474" s="173"/>
      <c r="H474" s="157" t="s">
        <v>3618</v>
      </c>
      <c r="I474" s="157" t="s">
        <v>5714</v>
      </c>
      <c r="J474" s="157">
        <v>2025.0</v>
      </c>
    </row>
    <row r="475">
      <c r="A475" s="218">
        <f t="shared" si="2"/>
        <v>472</v>
      </c>
      <c r="B475" s="218" t="s">
        <v>203</v>
      </c>
      <c r="C475" s="219" t="str">
        <f t="shared" si="1"/>
        <v>MN/0652/2025</v>
      </c>
      <c r="D475" s="218" t="b">
        <v>1</v>
      </c>
      <c r="E475" s="219" t="b">
        <v>0</v>
      </c>
      <c r="F475" s="219"/>
      <c r="G475" s="173"/>
      <c r="H475" s="157" t="s">
        <v>3618</v>
      </c>
      <c r="I475" s="157" t="s">
        <v>5715</v>
      </c>
      <c r="J475" s="157">
        <v>2025.0</v>
      </c>
    </row>
    <row r="476">
      <c r="A476" s="218">
        <f t="shared" si="2"/>
        <v>473</v>
      </c>
      <c r="B476" s="218" t="s">
        <v>203</v>
      </c>
      <c r="C476" s="219" t="str">
        <f t="shared" si="1"/>
        <v>MN/0653/2025</v>
      </c>
      <c r="D476" s="218" t="b">
        <v>1</v>
      </c>
      <c r="E476" s="219" t="b">
        <v>0</v>
      </c>
      <c r="F476" s="219"/>
      <c r="G476" s="173"/>
      <c r="H476" s="157" t="s">
        <v>3618</v>
      </c>
      <c r="I476" s="157" t="s">
        <v>5716</v>
      </c>
      <c r="J476" s="157">
        <v>2025.0</v>
      </c>
    </row>
    <row r="477">
      <c r="A477" s="218">
        <f t="shared" si="2"/>
        <v>474</v>
      </c>
      <c r="B477" s="218" t="s">
        <v>203</v>
      </c>
      <c r="C477" s="219" t="str">
        <f t="shared" si="1"/>
        <v>MN/0654/2025</v>
      </c>
      <c r="D477" s="218" t="b">
        <v>1</v>
      </c>
      <c r="E477" s="219" t="b">
        <v>0</v>
      </c>
      <c r="F477" s="219"/>
      <c r="G477" s="173"/>
      <c r="H477" s="157" t="s">
        <v>3618</v>
      </c>
      <c r="I477" s="157" t="s">
        <v>5717</v>
      </c>
      <c r="J477" s="157">
        <v>2025.0</v>
      </c>
    </row>
    <row r="478">
      <c r="A478" s="218">
        <f t="shared" si="2"/>
        <v>475</v>
      </c>
      <c r="B478" s="218" t="s">
        <v>203</v>
      </c>
      <c r="C478" s="219" t="str">
        <f t="shared" si="1"/>
        <v>MN/0655/2025</v>
      </c>
      <c r="D478" s="218" t="b">
        <v>1</v>
      </c>
      <c r="E478" s="219" t="b">
        <v>0</v>
      </c>
      <c r="F478" s="219"/>
      <c r="G478" s="173"/>
      <c r="H478" s="157" t="s">
        <v>3618</v>
      </c>
      <c r="I478" s="157" t="s">
        <v>5718</v>
      </c>
      <c r="J478" s="157">
        <v>2025.0</v>
      </c>
    </row>
    <row r="479">
      <c r="A479" s="218">
        <f t="shared" si="2"/>
        <v>476</v>
      </c>
      <c r="B479" s="218" t="s">
        <v>203</v>
      </c>
      <c r="C479" s="219" t="str">
        <f t="shared" si="1"/>
        <v>MN/0656/2025</v>
      </c>
      <c r="D479" s="218" t="b">
        <v>1</v>
      </c>
      <c r="E479" s="219" t="b">
        <v>0</v>
      </c>
      <c r="F479" s="219"/>
      <c r="G479" s="173"/>
      <c r="H479" s="157" t="s">
        <v>3618</v>
      </c>
      <c r="I479" s="157" t="s">
        <v>5719</v>
      </c>
      <c r="J479" s="157">
        <v>2025.0</v>
      </c>
    </row>
    <row r="480">
      <c r="A480" s="218">
        <f t="shared" si="2"/>
        <v>477</v>
      </c>
      <c r="B480" s="218" t="s">
        <v>203</v>
      </c>
      <c r="C480" s="219" t="str">
        <f t="shared" si="1"/>
        <v>MN/0657/2025</v>
      </c>
      <c r="D480" s="218" t="b">
        <v>1</v>
      </c>
      <c r="E480" s="219" t="b">
        <v>0</v>
      </c>
      <c r="F480" s="219"/>
      <c r="G480" s="173"/>
      <c r="H480" s="157" t="s">
        <v>3618</v>
      </c>
      <c r="I480" s="157" t="s">
        <v>5720</v>
      </c>
      <c r="J480" s="157">
        <v>2025.0</v>
      </c>
    </row>
    <row r="481">
      <c r="A481" s="218">
        <f t="shared" si="2"/>
        <v>478</v>
      </c>
      <c r="B481" s="218" t="s">
        <v>203</v>
      </c>
      <c r="C481" s="219" t="str">
        <f t="shared" si="1"/>
        <v>MN/0658/2025</v>
      </c>
      <c r="D481" s="218" t="b">
        <v>1</v>
      </c>
      <c r="E481" s="219" t="b">
        <v>0</v>
      </c>
      <c r="F481" s="219"/>
      <c r="G481" s="173"/>
      <c r="H481" s="157" t="s">
        <v>3618</v>
      </c>
      <c r="I481" s="157" t="s">
        <v>5721</v>
      </c>
      <c r="J481" s="157">
        <v>2025.0</v>
      </c>
    </row>
    <row r="482">
      <c r="A482" s="218">
        <f t="shared" si="2"/>
        <v>479</v>
      </c>
      <c r="B482" s="218" t="s">
        <v>203</v>
      </c>
      <c r="C482" s="219" t="str">
        <f t="shared" si="1"/>
        <v>MN/0659/2025</v>
      </c>
      <c r="D482" s="218" t="b">
        <v>1</v>
      </c>
      <c r="E482" s="219" t="b">
        <v>0</v>
      </c>
      <c r="F482" s="219"/>
      <c r="G482" s="173"/>
      <c r="H482" s="157" t="s">
        <v>3618</v>
      </c>
      <c r="I482" s="157" t="s">
        <v>5722</v>
      </c>
      <c r="J482" s="157">
        <v>2025.0</v>
      </c>
    </row>
    <row r="483">
      <c r="A483" s="218">
        <f t="shared" si="2"/>
        <v>480</v>
      </c>
      <c r="B483" s="218" t="s">
        <v>203</v>
      </c>
      <c r="C483" s="219" t="str">
        <f t="shared" si="1"/>
        <v>MN/0660/2025</v>
      </c>
      <c r="D483" s="218" t="b">
        <v>1</v>
      </c>
      <c r="E483" s="219" t="b">
        <v>0</v>
      </c>
      <c r="F483" s="219"/>
      <c r="G483" s="173"/>
      <c r="H483" s="157" t="s">
        <v>3618</v>
      </c>
      <c r="I483" s="157" t="s">
        <v>5723</v>
      </c>
      <c r="J483" s="157">
        <v>2025.0</v>
      </c>
    </row>
    <row r="484">
      <c r="A484" s="218">
        <f t="shared" si="2"/>
        <v>481</v>
      </c>
      <c r="B484" s="218" t="s">
        <v>203</v>
      </c>
      <c r="C484" s="219" t="str">
        <f t="shared" si="1"/>
        <v>MN/0661/2025</v>
      </c>
      <c r="D484" s="218" t="b">
        <v>1</v>
      </c>
      <c r="E484" s="219" t="b">
        <v>0</v>
      </c>
      <c r="F484" s="219"/>
      <c r="G484" s="173"/>
      <c r="H484" s="157" t="s">
        <v>3618</v>
      </c>
      <c r="I484" s="157" t="s">
        <v>5724</v>
      </c>
      <c r="J484" s="157">
        <v>2025.0</v>
      </c>
    </row>
    <row r="485">
      <c r="A485" s="218">
        <f t="shared" si="2"/>
        <v>482</v>
      </c>
      <c r="B485" s="218" t="s">
        <v>203</v>
      </c>
      <c r="C485" s="219" t="str">
        <f t="shared" si="1"/>
        <v>MN/0662/2025</v>
      </c>
      <c r="D485" s="218" t="b">
        <v>1</v>
      </c>
      <c r="E485" s="219" t="b">
        <v>0</v>
      </c>
      <c r="F485" s="219"/>
      <c r="G485" s="173"/>
      <c r="H485" s="157" t="s">
        <v>3618</v>
      </c>
      <c r="I485" s="157" t="s">
        <v>5725</v>
      </c>
      <c r="J485" s="157">
        <v>2025.0</v>
      </c>
    </row>
    <row r="486">
      <c r="A486" s="218">
        <f t="shared" si="2"/>
        <v>483</v>
      </c>
      <c r="B486" s="218" t="s">
        <v>203</v>
      </c>
      <c r="C486" s="219" t="str">
        <f t="shared" si="1"/>
        <v>MN/0663/2025</v>
      </c>
      <c r="D486" s="218" t="b">
        <v>1</v>
      </c>
      <c r="E486" s="219" t="b">
        <v>0</v>
      </c>
      <c r="F486" s="219"/>
      <c r="G486" s="173"/>
      <c r="H486" s="157" t="s">
        <v>3618</v>
      </c>
      <c r="I486" s="157" t="s">
        <v>5726</v>
      </c>
      <c r="J486" s="157">
        <v>2025.0</v>
      </c>
    </row>
    <row r="487">
      <c r="A487" s="218">
        <f t="shared" si="2"/>
        <v>484</v>
      </c>
      <c r="B487" s="218" t="s">
        <v>203</v>
      </c>
      <c r="C487" s="219" t="str">
        <f t="shared" si="1"/>
        <v>MN/0664/2025</v>
      </c>
      <c r="D487" s="218" t="b">
        <v>1</v>
      </c>
      <c r="E487" s="219" t="b">
        <v>0</v>
      </c>
      <c r="F487" s="219"/>
      <c r="G487" s="173"/>
      <c r="H487" s="157" t="s">
        <v>3618</v>
      </c>
      <c r="I487" s="157" t="s">
        <v>5727</v>
      </c>
      <c r="J487" s="157">
        <v>2025.0</v>
      </c>
    </row>
    <row r="488">
      <c r="A488" s="218">
        <f t="shared" si="2"/>
        <v>485</v>
      </c>
      <c r="B488" s="218" t="s">
        <v>203</v>
      </c>
      <c r="C488" s="219" t="str">
        <f t="shared" si="1"/>
        <v>MN/0665/2025</v>
      </c>
      <c r="D488" s="218" t="b">
        <v>1</v>
      </c>
      <c r="E488" s="219" t="b">
        <v>0</v>
      </c>
      <c r="F488" s="219"/>
      <c r="G488" s="173"/>
      <c r="H488" s="157" t="s">
        <v>3618</v>
      </c>
      <c r="I488" s="157" t="s">
        <v>5728</v>
      </c>
      <c r="J488" s="157">
        <v>2025.0</v>
      </c>
    </row>
    <row r="489">
      <c r="A489" s="218">
        <f t="shared" si="2"/>
        <v>486</v>
      </c>
      <c r="B489" s="218" t="s">
        <v>203</v>
      </c>
      <c r="C489" s="219" t="str">
        <f t="shared" si="1"/>
        <v>MN/0666/2025</v>
      </c>
      <c r="D489" s="218" t="b">
        <v>1</v>
      </c>
      <c r="E489" s="219" t="b">
        <v>0</v>
      </c>
      <c r="F489" s="219"/>
      <c r="G489" s="173"/>
      <c r="H489" s="157" t="s">
        <v>3618</v>
      </c>
      <c r="I489" s="157" t="s">
        <v>5729</v>
      </c>
      <c r="J489" s="157">
        <v>2025.0</v>
      </c>
    </row>
    <row r="490">
      <c r="A490" s="218">
        <f t="shared" si="2"/>
        <v>487</v>
      </c>
      <c r="B490" s="218" t="s">
        <v>203</v>
      </c>
      <c r="C490" s="219" t="str">
        <f t="shared" si="1"/>
        <v>MN/0667/2025</v>
      </c>
      <c r="D490" s="218" t="b">
        <v>1</v>
      </c>
      <c r="E490" s="219" t="b">
        <v>0</v>
      </c>
      <c r="F490" s="219"/>
      <c r="G490" s="173"/>
      <c r="H490" s="157" t="s">
        <v>3618</v>
      </c>
      <c r="I490" s="157" t="s">
        <v>5730</v>
      </c>
      <c r="J490" s="157">
        <v>2025.0</v>
      </c>
    </row>
    <row r="491">
      <c r="A491" s="218">
        <f t="shared" si="2"/>
        <v>488</v>
      </c>
      <c r="B491" s="218" t="s">
        <v>203</v>
      </c>
      <c r="C491" s="219" t="str">
        <f t="shared" si="1"/>
        <v>MN/0668/2025</v>
      </c>
      <c r="D491" s="218" t="b">
        <v>1</v>
      </c>
      <c r="E491" s="219" t="b">
        <v>0</v>
      </c>
      <c r="F491" s="219"/>
      <c r="G491" s="173"/>
      <c r="H491" s="157" t="s">
        <v>3618</v>
      </c>
      <c r="I491" s="157" t="s">
        <v>5731</v>
      </c>
      <c r="J491" s="157">
        <v>2025.0</v>
      </c>
    </row>
    <row r="492">
      <c r="A492" s="218">
        <f t="shared" si="2"/>
        <v>489</v>
      </c>
      <c r="B492" s="218" t="s">
        <v>203</v>
      </c>
      <c r="C492" s="219" t="str">
        <f t="shared" si="1"/>
        <v>MN/0669/2025</v>
      </c>
      <c r="D492" s="218" t="b">
        <v>1</v>
      </c>
      <c r="E492" s="219" t="b">
        <v>0</v>
      </c>
      <c r="F492" s="219"/>
      <c r="G492" s="173"/>
      <c r="H492" s="157" t="s">
        <v>3618</v>
      </c>
      <c r="I492" s="157" t="s">
        <v>5732</v>
      </c>
      <c r="J492" s="157">
        <v>2025.0</v>
      </c>
    </row>
    <row r="493">
      <c r="A493" s="218">
        <f t="shared" si="2"/>
        <v>490</v>
      </c>
      <c r="B493" s="218" t="s">
        <v>203</v>
      </c>
      <c r="C493" s="219" t="str">
        <f t="shared" si="1"/>
        <v>MN/0670/2025</v>
      </c>
      <c r="D493" s="218" t="b">
        <v>1</v>
      </c>
      <c r="E493" s="219" t="b">
        <v>0</v>
      </c>
      <c r="F493" s="219"/>
      <c r="G493" s="173"/>
      <c r="H493" s="157" t="s">
        <v>3618</v>
      </c>
      <c r="I493" s="157" t="s">
        <v>5733</v>
      </c>
      <c r="J493" s="157">
        <v>2025.0</v>
      </c>
    </row>
    <row r="494">
      <c r="A494" s="218">
        <f t="shared" si="2"/>
        <v>491</v>
      </c>
      <c r="B494" s="218" t="s">
        <v>203</v>
      </c>
      <c r="C494" s="219" t="str">
        <f t="shared" si="1"/>
        <v>MN/0671/2025</v>
      </c>
      <c r="D494" s="218" t="b">
        <v>1</v>
      </c>
      <c r="E494" s="219" t="b">
        <v>0</v>
      </c>
      <c r="F494" s="219"/>
      <c r="G494" s="173"/>
      <c r="H494" s="157" t="s">
        <v>3618</v>
      </c>
      <c r="I494" s="157" t="s">
        <v>5734</v>
      </c>
      <c r="J494" s="157">
        <v>2025.0</v>
      </c>
    </row>
    <row r="495">
      <c r="A495" s="218">
        <f t="shared" si="2"/>
        <v>492</v>
      </c>
      <c r="B495" s="218" t="s">
        <v>203</v>
      </c>
      <c r="C495" s="219" t="str">
        <f t="shared" si="1"/>
        <v>MN/0672/2025</v>
      </c>
      <c r="D495" s="218" t="b">
        <v>1</v>
      </c>
      <c r="E495" s="219" t="b">
        <v>0</v>
      </c>
      <c r="F495" s="219"/>
      <c r="G495" s="173"/>
      <c r="H495" s="157" t="s">
        <v>3618</v>
      </c>
      <c r="I495" s="157" t="s">
        <v>5735</v>
      </c>
      <c r="J495" s="157">
        <v>2025.0</v>
      </c>
    </row>
    <row r="496">
      <c r="A496" s="218">
        <f t="shared" si="2"/>
        <v>493</v>
      </c>
      <c r="B496" s="218" t="s">
        <v>203</v>
      </c>
      <c r="C496" s="219" t="str">
        <f t="shared" si="1"/>
        <v>MN/0673/2025</v>
      </c>
      <c r="D496" s="218" t="b">
        <v>1</v>
      </c>
      <c r="E496" s="219" t="b">
        <v>0</v>
      </c>
      <c r="F496" s="219"/>
      <c r="G496" s="173"/>
      <c r="H496" s="157" t="s">
        <v>3618</v>
      </c>
      <c r="I496" s="157" t="s">
        <v>5736</v>
      </c>
      <c r="J496" s="157">
        <v>2025.0</v>
      </c>
    </row>
    <row r="497">
      <c r="A497" s="218">
        <f t="shared" si="2"/>
        <v>494</v>
      </c>
      <c r="B497" s="218" t="s">
        <v>203</v>
      </c>
      <c r="C497" s="219" t="str">
        <f t="shared" si="1"/>
        <v>MN/0674/2025</v>
      </c>
      <c r="D497" s="218" t="b">
        <v>1</v>
      </c>
      <c r="E497" s="219" t="b">
        <v>0</v>
      </c>
      <c r="F497" s="219"/>
      <c r="G497" s="173"/>
      <c r="H497" s="157" t="s">
        <v>3618</v>
      </c>
      <c r="I497" s="157" t="s">
        <v>5737</v>
      </c>
      <c r="J497" s="157">
        <v>2025.0</v>
      </c>
    </row>
    <row r="498">
      <c r="A498" s="218">
        <f t="shared" si="2"/>
        <v>495</v>
      </c>
      <c r="B498" s="218" t="s">
        <v>203</v>
      </c>
      <c r="C498" s="219" t="str">
        <f t="shared" si="1"/>
        <v>MN/0675/2025</v>
      </c>
      <c r="D498" s="218" t="b">
        <v>1</v>
      </c>
      <c r="E498" s="219" t="b">
        <v>0</v>
      </c>
      <c r="F498" s="219"/>
      <c r="G498" s="173"/>
      <c r="H498" s="157" t="s">
        <v>3618</v>
      </c>
      <c r="I498" s="157" t="s">
        <v>5738</v>
      </c>
      <c r="J498" s="157">
        <v>2025.0</v>
      </c>
    </row>
    <row r="499">
      <c r="A499" s="218">
        <f t="shared" si="2"/>
        <v>496</v>
      </c>
      <c r="B499" s="218" t="s">
        <v>203</v>
      </c>
      <c r="C499" s="219" t="str">
        <f t="shared" si="1"/>
        <v>MN/0676/2025</v>
      </c>
      <c r="D499" s="218" t="b">
        <v>1</v>
      </c>
      <c r="E499" s="219" t="b">
        <v>0</v>
      </c>
      <c r="F499" s="219"/>
      <c r="G499" s="173"/>
      <c r="H499" s="157" t="s">
        <v>3618</v>
      </c>
      <c r="I499" s="157" t="s">
        <v>5739</v>
      </c>
      <c r="J499" s="157">
        <v>2025.0</v>
      </c>
    </row>
    <row r="500">
      <c r="A500" s="218">
        <f t="shared" si="2"/>
        <v>497</v>
      </c>
      <c r="B500" s="218" t="s">
        <v>203</v>
      </c>
      <c r="C500" s="219" t="str">
        <f t="shared" si="1"/>
        <v>MN/0677/2025</v>
      </c>
      <c r="D500" s="218" t="b">
        <v>1</v>
      </c>
      <c r="E500" s="219" t="b">
        <v>0</v>
      </c>
      <c r="F500" s="219"/>
      <c r="G500" s="173"/>
      <c r="H500" s="157" t="s">
        <v>3618</v>
      </c>
      <c r="I500" s="157" t="s">
        <v>5740</v>
      </c>
      <c r="J500" s="157">
        <v>2025.0</v>
      </c>
    </row>
    <row r="501">
      <c r="A501" s="218">
        <f t="shared" si="2"/>
        <v>498</v>
      </c>
      <c r="B501" s="218" t="s">
        <v>203</v>
      </c>
      <c r="C501" s="219" t="str">
        <f t="shared" si="1"/>
        <v>MN/0678/2025</v>
      </c>
      <c r="D501" s="218" t="b">
        <v>1</v>
      </c>
      <c r="E501" s="219" t="b">
        <v>0</v>
      </c>
      <c r="F501" s="219"/>
      <c r="G501" s="173"/>
      <c r="H501" s="157" t="s">
        <v>3618</v>
      </c>
      <c r="I501" s="157" t="s">
        <v>5741</v>
      </c>
      <c r="J501" s="157">
        <v>2025.0</v>
      </c>
    </row>
    <row r="502">
      <c r="A502" s="218">
        <f t="shared" si="2"/>
        <v>499</v>
      </c>
      <c r="B502" s="218" t="s">
        <v>203</v>
      </c>
      <c r="C502" s="219" t="str">
        <f t="shared" si="1"/>
        <v>MN/0679/2025</v>
      </c>
      <c r="D502" s="218" t="b">
        <v>1</v>
      </c>
      <c r="E502" s="219" t="b">
        <v>0</v>
      </c>
      <c r="F502" s="219"/>
      <c r="G502" s="173"/>
      <c r="H502" s="157" t="s">
        <v>3618</v>
      </c>
      <c r="I502" s="157" t="s">
        <v>5742</v>
      </c>
      <c r="J502" s="157">
        <v>2025.0</v>
      </c>
    </row>
    <row r="503">
      <c r="A503" s="218">
        <f t="shared" si="2"/>
        <v>500</v>
      </c>
      <c r="B503" s="218" t="s">
        <v>203</v>
      </c>
      <c r="C503" s="219" t="str">
        <f t="shared" si="1"/>
        <v>MN/0680/2025</v>
      </c>
      <c r="D503" s="218" t="b">
        <v>1</v>
      </c>
      <c r="E503" s="219" t="b">
        <v>0</v>
      </c>
      <c r="F503" s="219"/>
      <c r="G503" s="173"/>
      <c r="H503" s="157" t="s">
        <v>3618</v>
      </c>
      <c r="I503" s="157" t="s">
        <v>5743</v>
      </c>
      <c r="J503" s="157">
        <v>2025.0</v>
      </c>
    </row>
    <row r="504">
      <c r="A504" s="218">
        <f t="shared" si="2"/>
        <v>501</v>
      </c>
      <c r="B504" s="218" t="s">
        <v>203</v>
      </c>
      <c r="C504" s="219" t="str">
        <f t="shared" si="1"/>
        <v>MN/0681/2025</v>
      </c>
      <c r="D504" s="218" t="b">
        <v>1</v>
      </c>
      <c r="E504" s="219" t="b">
        <v>0</v>
      </c>
      <c r="F504" s="219"/>
      <c r="G504" s="173"/>
      <c r="H504" s="157" t="s">
        <v>3618</v>
      </c>
      <c r="I504" s="157" t="s">
        <v>5744</v>
      </c>
      <c r="J504" s="157">
        <v>2025.0</v>
      </c>
    </row>
    <row r="505">
      <c r="A505" s="218">
        <f t="shared" si="2"/>
        <v>502</v>
      </c>
      <c r="B505" s="218" t="s">
        <v>203</v>
      </c>
      <c r="C505" s="219" t="str">
        <f t="shared" si="1"/>
        <v>MN/0682/2025</v>
      </c>
      <c r="D505" s="218" t="b">
        <v>1</v>
      </c>
      <c r="E505" s="219" t="b">
        <v>0</v>
      </c>
      <c r="F505" s="219"/>
      <c r="G505" s="173"/>
      <c r="H505" s="157" t="s">
        <v>3618</v>
      </c>
      <c r="I505" s="157" t="s">
        <v>5745</v>
      </c>
      <c r="J505" s="157">
        <v>2025.0</v>
      </c>
    </row>
    <row r="506">
      <c r="A506" s="218">
        <f t="shared" si="2"/>
        <v>503</v>
      </c>
      <c r="B506" s="218" t="s">
        <v>203</v>
      </c>
      <c r="C506" s="219" t="str">
        <f t="shared" si="1"/>
        <v>MN/0683/2025</v>
      </c>
      <c r="D506" s="218" t="b">
        <v>1</v>
      </c>
      <c r="E506" s="219" t="b">
        <v>0</v>
      </c>
      <c r="F506" s="219"/>
      <c r="G506" s="173"/>
      <c r="H506" s="157" t="s">
        <v>3618</v>
      </c>
      <c r="I506" s="157" t="s">
        <v>5746</v>
      </c>
      <c r="J506" s="157">
        <v>2025.0</v>
      </c>
    </row>
    <row r="507">
      <c r="A507" s="218">
        <f t="shared" si="2"/>
        <v>504</v>
      </c>
      <c r="B507" s="218" t="s">
        <v>203</v>
      </c>
      <c r="C507" s="219" t="str">
        <f t="shared" si="1"/>
        <v>MN/0684/2025</v>
      </c>
      <c r="D507" s="218" t="b">
        <v>1</v>
      </c>
      <c r="E507" s="219" t="b">
        <v>0</v>
      </c>
      <c r="F507" s="219"/>
      <c r="G507" s="173"/>
      <c r="H507" s="157" t="s">
        <v>3618</v>
      </c>
      <c r="I507" s="157" t="s">
        <v>5747</v>
      </c>
      <c r="J507" s="157">
        <v>2025.0</v>
      </c>
    </row>
    <row r="508">
      <c r="A508" s="218">
        <f t="shared" si="2"/>
        <v>505</v>
      </c>
      <c r="B508" s="218" t="s">
        <v>203</v>
      </c>
      <c r="C508" s="219" t="str">
        <f t="shared" si="1"/>
        <v>MN/0685/2025</v>
      </c>
      <c r="D508" s="218" t="b">
        <v>1</v>
      </c>
      <c r="E508" s="219" t="b">
        <v>0</v>
      </c>
      <c r="F508" s="219"/>
      <c r="G508" s="173"/>
      <c r="H508" s="157" t="s">
        <v>3618</v>
      </c>
      <c r="I508" s="157" t="s">
        <v>5748</v>
      </c>
      <c r="J508" s="157">
        <v>2025.0</v>
      </c>
    </row>
    <row r="509">
      <c r="A509" s="218">
        <f t="shared" si="2"/>
        <v>506</v>
      </c>
      <c r="B509" s="218" t="s">
        <v>203</v>
      </c>
      <c r="C509" s="219" t="str">
        <f t="shared" si="1"/>
        <v>MN/0686/2025</v>
      </c>
      <c r="D509" s="218" t="b">
        <v>1</v>
      </c>
      <c r="E509" s="219" t="b">
        <v>0</v>
      </c>
      <c r="F509" s="219"/>
      <c r="G509" s="173"/>
      <c r="H509" s="157" t="s">
        <v>3618</v>
      </c>
      <c r="I509" s="157" t="s">
        <v>5749</v>
      </c>
      <c r="J509" s="157">
        <v>2025.0</v>
      </c>
    </row>
    <row r="510">
      <c r="A510" s="218">
        <f t="shared" si="2"/>
        <v>507</v>
      </c>
      <c r="B510" s="218" t="s">
        <v>203</v>
      </c>
      <c r="C510" s="219" t="str">
        <f t="shared" si="1"/>
        <v>MN/0687/2025</v>
      </c>
      <c r="D510" s="218" t="b">
        <v>1</v>
      </c>
      <c r="E510" s="219" t="b">
        <v>0</v>
      </c>
      <c r="F510" s="219"/>
      <c r="G510" s="173"/>
      <c r="H510" s="157" t="s">
        <v>3618</v>
      </c>
      <c r="I510" s="157" t="s">
        <v>5750</v>
      </c>
      <c r="J510" s="157">
        <v>2025.0</v>
      </c>
    </row>
    <row r="511">
      <c r="A511" s="218">
        <f t="shared" si="2"/>
        <v>508</v>
      </c>
      <c r="B511" s="218" t="s">
        <v>203</v>
      </c>
      <c r="C511" s="219" t="str">
        <f t="shared" si="1"/>
        <v>MN/0688/2025</v>
      </c>
      <c r="D511" s="218" t="b">
        <v>1</v>
      </c>
      <c r="E511" s="219" t="b">
        <v>0</v>
      </c>
      <c r="F511" s="219"/>
      <c r="G511" s="173"/>
      <c r="H511" s="157" t="s">
        <v>3618</v>
      </c>
      <c r="I511" s="157" t="s">
        <v>5751</v>
      </c>
      <c r="J511" s="157">
        <v>2025.0</v>
      </c>
    </row>
    <row r="512">
      <c r="A512" s="218">
        <f t="shared" si="2"/>
        <v>509</v>
      </c>
      <c r="B512" s="218" t="s">
        <v>203</v>
      </c>
      <c r="C512" s="219" t="str">
        <f t="shared" si="1"/>
        <v>MN/0689/2025</v>
      </c>
      <c r="D512" s="218" t="b">
        <v>1</v>
      </c>
      <c r="E512" s="219" t="b">
        <v>0</v>
      </c>
      <c r="F512" s="219"/>
      <c r="G512" s="173"/>
      <c r="H512" s="157" t="s">
        <v>3618</v>
      </c>
      <c r="I512" s="157" t="s">
        <v>5752</v>
      </c>
      <c r="J512" s="157">
        <v>2025.0</v>
      </c>
    </row>
    <row r="513">
      <c r="A513" s="218">
        <f t="shared" si="2"/>
        <v>510</v>
      </c>
      <c r="B513" s="218" t="s">
        <v>203</v>
      </c>
      <c r="C513" s="219" t="str">
        <f t="shared" si="1"/>
        <v>MN/0690/2025</v>
      </c>
      <c r="D513" s="218" t="b">
        <v>1</v>
      </c>
      <c r="E513" s="219" t="b">
        <v>0</v>
      </c>
      <c r="F513" s="219"/>
      <c r="G513" s="173"/>
      <c r="H513" s="157" t="s">
        <v>3618</v>
      </c>
      <c r="I513" s="157" t="s">
        <v>5753</v>
      </c>
      <c r="J513" s="157">
        <v>2025.0</v>
      </c>
    </row>
    <row r="514">
      <c r="A514" s="218">
        <f t="shared" si="2"/>
        <v>511</v>
      </c>
      <c r="B514" s="218" t="s">
        <v>203</v>
      </c>
      <c r="C514" s="219" t="str">
        <f t="shared" si="1"/>
        <v>MN/0691/2025</v>
      </c>
      <c r="D514" s="218" t="b">
        <v>1</v>
      </c>
      <c r="E514" s="219" t="b">
        <v>0</v>
      </c>
      <c r="F514" s="219"/>
      <c r="G514" s="173"/>
      <c r="H514" s="157" t="s">
        <v>3618</v>
      </c>
      <c r="I514" s="157" t="s">
        <v>5754</v>
      </c>
      <c r="J514" s="157">
        <v>2025.0</v>
      </c>
    </row>
    <row r="515">
      <c r="A515" s="218">
        <f t="shared" si="2"/>
        <v>512</v>
      </c>
      <c r="B515" s="218" t="s">
        <v>203</v>
      </c>
      <c r="C515" s="219" t="str">
        <f t="shared" si="1"/>
        <v>MN/0692/2025</v>
      </c>
      <c r="D515" s="218" t="b">
        <v>1</v>
      </c>
      <c r="E515" s="219" t="b">
        <v>0</v>
      </c>
      <c r="F515" s="219"/>
      <c r="G515" s="173"/>
      <c r="H515" s="157" t="s">
        <v>3618</v>
      </c>
      <c r="I515" s="157" t="s">
        <v>5755</v>
      </c>
      <c r="J515" s="157">
        <v>2025.0</v>
      </c>
    </row>
    <row r="516">
      <c r="A516" s="218">
        <f t="shared" si="2"/>
        <v>513</v>
      </c>
      <c r="B516" s="218" t="s">
        <v>203</v>
      </c>
      <c r="C516" s="219" t="str">
        <f t="shared" si="1"/>
        <v>MN/0693/2025</v>
      </c>
      <c r="D516" s="218" t="b">
        <v>1</v>
      </c>
      <c r="E516" s="219" t="b">
        <v>0</v>
      </c>
      <c r="F516" s="219"/>
      <c r="G516" s="173"/>
      <c r="H516" s="157" t="s">
        <v>3618</v>
      </c>
      <c r="I516" s="157" t="s">
        <v>5756</v>
      </c>
      <c r="J516" s="157">
        <v>2025.0</v>
      </c>
    </row>
    <row r="517">
      <c r="A517" s="218">
        <f t="shared" si="2"/>
        <v>514</v>
      </c>
      <c r="B517" s="218" t="s">
        <v>203</v>
      </c>
      <c r="C517" s="219" t="str">
        <f t="shared" si="1"/>
        <v>MN/0694/2025</v>
      </c>
      <c r="D517" s="218" t="b">
        <v>1</v>
      </c>
      <c r="E517" s="219" t="b">
        <v>0</v>
      </c>
      <c r="F517" s="219"/>
      <c r="G517" s="173"/>
      <c r="H517" s="157" t="s">
        <v>3618</v>
      </c>
      <c r="I517" s="157" t="s">
        <v>5757</v>
      </c>
      <c r="J517" s="157">
        <v>2025.0</v>
      </c>
    </row>
    <row r="518">
      <c r="A518" s="218">
        <f t="shared" si="2"/>
        <v>515</v>
      </c>
      <c r="B518" s="218" t="s">
        <v>203</v>
      </c>
      <c r="C518" s="219" t="str">
        <f t="shared" si="1"/>
        <v>MN/0695/2025</v>
      </c>
      <c r="D518" s="218" t="b">
        <v>1</v>
      </c>
      <c r="E518" s="219" t="b">
        <v>0</v>
      </c>
      <c r="F518" s="219"/>
      <c r="G518" s="173"/>
      <c r="H518" s="157" t="s">
        <v>3618</v>
      </c>
      <c r="I518" s="157" t="s">
        <v>5758</v>
      </c>
      <c r="J518" s="157">
        <v>2025.0</v>
      </c>
    </row>
    <row r="519">
      <c r="A519" s="218">
        <f t="shared" si="2"/>
        <v>516</v>
      </c>
      <c r="B519" s="218" t="s">
        <v>203</v>
      </c>
      <c r="C519" s="219" t="str">
        <f t="shared" si="1"/>
        <v>MN/0696/2025</v>
      </c>
      <c r="D519" s="218" t="b">
        <v>1</v>
      </c>
      <c r="E519" s="219" t="b">
        <v>0</v>
      </c>
      <c r="F519" s="219"/>
      <c r="G519" s="173"/>
      <c r="H519" s="157" t="s">
        <v>3618</v>
      </c>
      <c r="I519" s="157" t="s">
        <v>5759</v>
      </c>
      <c r="J519" s="157">
        <v>2025.0</v>
      </c>
    </row>
    <row r="520">
      <c r="A520" s="218">
        <f t="shared" si="2"/>
        <v>517</v>
      </c>
      <c r="B520" s="218" t="s">
        <v>203</v>
      </c>
      <c r="C520" s="219" t="str">
        <f t="shared" si="1"/>
        <v>MN/0697/2025</v>
      </c>
      <c r="D520" s="218" t="b">
        <v>1</v>
      </c>
      <c r="E520" s="219" t="b">
        <v>0</v>
      </c>
      <c r="F520" s="219"/>
      <c r="G520" s="173"/>
      <c r="H520" s="157" t="s">
        <v>3618</v>
      </c>
      <c r="I520" s="157" t="s">
        <v>5760</v>
      </c>
      <c r="J520" s="157">
        <v>2025.0</v>
      </c>
    </row>
    <row r="521">
      <c r="A521" s="218">
        <f t="shared" si="2"/>
        <v>518</v>
      </c>
      <c r="B521" s="218" t="s">
        <v>203</v>
      </c>
      <c r="C521" s="219" t="str">
        <f t="shared" si="1"/>
        <v>MN/0698/2025</v>
      </c>
      <c r="D521" s="218" t="b">
        <v>1</v>
      </c>
      <c r="E521" s="219" t="b">
        <v>0</v>
      </c>
      <c r="F521" s="219"/>
      <c r="G521" s="173"/>
      <c r="H521" s="157" t="s">
        <v>3618</v>
      </c>
      <c r="I521" s="157" t="s">
        <v>5761</v>
      </c>
      <c r="J521" s="157">
        <v>2025.0</v>
      </c>
    </row>
    <row r="522">
      <c r="A522" s="218">
        <f t="shared" si="2"/>
        <v>519</v>
      </c>
      <c r="B522" s="218" t="s">
        <v>203</v>
      </c>
      <c r="C522" s="219" t="str">
        <f t="shared" si="1"/>
        <v>MN/0699/2025</v>
      </c>
      <c r="D522" s="218" t="b">
        <v>1</v>
      </c>
      <c r="E522" s="219" t="b">
        <v>0</v>
      </c>
      <c r="F522" s="219"/>
      <c r="G522" s="173"/>
      <c r="H522" s="157" t="s">
        <v>3618</v>
      </c>
      <c r="I522" s="157" t="s">
        <v>5762</v>
      </c>
      <c r="J522" s="157">
        <v>2025.0</v>
      </c>
    </row>
    <row r="523">
      <c r="A523" s="218">
        <f t="shared" si="2"/>
        <v>520</v>
      </c>
      <c r="B523" s="218" t="s">
        <v>203</v>
      </c>
      <c r="C523" s="219" t="str">
        <f t="shared" si="1"/>
        <v>MN/0700/2025</v>
      </c>
      <c r="D523" s="218" t="b">
        <v>1</v>
      </c>
      <c r="E523" s="219" t="b">
        <v>0</v>
      </c>
      <c r="F523" s="219"/>
      <c r="G523" s="173"/>
      <c r="H523" s="157" t="s">
        <v>3618</v>
      </c>
      <c r="I523" s="157" t="s">
        <v>5763</v>
      </c>
      <c r="J523" s="157">
        <v>2025.0</v>
      </c>
    </row>
    <row r="524">
      <c r="A524" s="218">
        <f t="shared" si="2"/>
        <v>521</v>
      </c>
      <c r="B524" s="218" t="s">
        <v>203</v>
      </c>
      <c r="C524" s="219" t="str">
        <f t="shared" si="1"/>
        <v>MN/0701/2025</v>
      </c>
      <c r="D524" s="218" t="b">
        <v>1</v>
      </c>
      <c r="E524" s="219" t="b">
        <v>0</v>
      </c>
      <c r="F524" s="219"/>
      <c r="G524" s="173"/>
      <c r="H524" s="157" t="s">
        <v>3618</v>
      </c>
      <c r="I524" s="157" t="s">
        <v>5764</v>
      </c>
      <c r="J524" s="157">
        <v>2025.0</v>
      </c>
    </row>
    <row r="525">
      <c r="A525" s="218">
        <f t="shared" si="2"/>
        <v>522</v>
      </c>
      <c r="B525" s="218" t="s">
        <v>203</v>
      </c>
      <c r="C525" s="219" t="str">
        <f t="shared" si="1"/>
        <v>MN/0702/2025</v>
      </c>
      <c r="D525" s="218" t="b">
        <v>1</v>
      </c>
      <c r="E525" s="219" t="b">
        <v>0</v>
      </c>
      <c r="F525" s="234">
        <v>45869.0</v>
      </c>
      <c r="G525" s="173"/>
      <c r="H525" s="157" t="s">
        <v>3618</v>
      </c>
      <c r="I525" s="157" t="s">
        <v>5765</v>
      </c>
      <c r="J525" s="157">
        <v>2025.0</v>
      </c>
    </row>
    <row r="526">
      <c r="A526" s="218">
        <f t="shared" si="2"/>
        <v>523</v>
      </c>
      <c r="B526" s="218" t="s">
        <v>203</v>
      </c>
      <c r="C526" s="219" t="str">
        <f t="shared" si="1"/>
        <v>MN/0703/2025</v>
      </c>
      <c r="D526" s="218" t="b">
        <v>1</v>
      </c>
      <c r="E526" s="219" t="b">
        <v>0</v>
      </c>
      <c r="F526" s="219"/>
      <c r="G526" s="173"/>
      <c r="H526" s="157" t="s">
        <v>3618</v>
      </c>
      <c r="I526" s="157" t="s">
        <v>5766</v>
      </c>
      <c r="J526" s="157">
        <v>2025.0</v>
      </c>
    </row>
    <row r="527">
      <c r="A527" s="218">
        <f t="shared" si="2"/>
        <v>524</v>
      </c>
      <c r="B527" s="218" t="s">
        <v>203</v>
      </c>
      <c r="C527" s="219" t="str">
        <f t="shared" si="1"/>
        <v>MN/0704/2025</v>
      </c>
      <c r="D527" s="218" t="b">
        <v>1</v>
      </c>
      <c r="E527" s="219" t="b">
        <v>0</v>
      </c>
      <c r="F527" s="234">
        <v>45869.0</v>
      </c>
      <c r="G527" s="173"/>
      <c r="H527" s="157" t="s">
        <v>3618</v>
      </c>
      <c r="I527" s="157" t="s">
        <v>5767</v>
      </c>
      <c r="J527" s="157">
        <v>2025.0</v>
      </c>
    </row>
    <row r="528">
      <c r="A528" s="218">
        <f t="shared" si="2"/>
        <v>525</v>
      </c>
      <c r="B528" s="218" t="s">
        <v>203</v>
      </c>
      <c r="C528" s="219" t="str">
        <f t="shared" si="1"/>
        <v>MN/0705/2025</v>
      </c>
      <c r="D528" s="218" t="b">
        <v>1</v>
      </c>
      <c r="E528" s="219" t="b">
        <v>0</v>
      </c>
      <c r="F528" s="234">
        <v>45869.0</v>
      </c>
      <c r="G528" s="173"/>
      <c r="H528" s="157" t="s">
        <v>3618</v>
      </c>
      <c r="I528" s="157" t="s">
        <v>5768</v>
      </c>
      <c r="J528" s="157">
        <v>2025.0</v>
      </c>
    </row>
    <row r="529">
      <c r="A529" s="218">
        <f t="shared" si="2"/>
        <v>526</v>
      </c>
      <c r="B529" s="218" t="s">
        <v>203</v>
      </c>
      <c r="C529" s="219" t="str">
        <f t="shared" si="1"/>
        <v>MN/0706/2025</v>
      </c>
      <c r="D529" s="218" t="b">
        <v>1</v>
      </c>
      <c r="E529" s="219" t="b">
        <v>0</v>
      </c>
      <c r="F529" s="219"/>
      <c r="G529" s="173"/>
      <c r="H529" s="157" t="s">
        <v>3618</v>
      </c>
      <c r="I529" s="157" t="s">
        <v>5769</v>
      </c>
      <c r="J529" s="157">
        <v>2025.0</v>
      </c>
    </row>
    <row r="530">
      <c r="A530" s="218">
        <f t="shared" si="2"/>
        <v>527</v>
      </c>
      <c r="B530" s="218" t="s">
        <v>203</v>
      </c>
      <c r="C530" s="219" t="str">
        <f t="shared" si="1"/>
        <v>MN/0707/2025</v>
      </c>
      <c r="D530" s="218" t="b">
        <v>1</v>
      </c>
      <c r="E530" s="219" t="b">
        <v>0</v>
      </c>
      <c r="F530" s="219"/>
      <c r="G530" s="173"/>
      <c r="H530" s="157" t="s">
        <v>3618</v>
      </c>
      <c r="I530" s="157" t="s">
        <v>5770</v>
      </c>
      <c r="J530" s="157">
        <v>2025.0</v>
      </c>
    </row>
    <row r="531">
      <c r="A531" s="218">
        <f t="shared" si="2"/>
        <v>528</v>
      </c>
      <c r="B531" s="218" t="s">
        <v>203</v>
      </c>
      <c r="C531" s="219" t="str">
        <f t="shared" si="1"/>
        <v>MN/0708/2025</v>
      </c>
      <c r="D531" s="218" t="b">
        <v>1</v>
      </c>
      <c r="E531" s="219" t="b">
        <v>0</v>
      </c>
      <c r="F531" s="219"/>
      <c r="G531" s="173"/>
      <c r="H531" s="157" t="s">
        <v>3618</v>
      </c>
      <c r="I531" s="157" t="s">
        <v>5771</v>
      </c>
      <c r="J531" s="157">
        <v>2025.0</v>
      </c>
    </row>
    <row r="532">
      <c r="A532" s="218">
        <f t="shared" si="2"/>
        <v>529</v>
      </c>
      <c r="B532" s="218" t="s">
        <v>203</v>
      </c>
      <c r="C532" s="219" t="str">
        <f t="shared" si="1"/>
        <v>MN/0709/2025</v>
      </c>
      <c r="D532" s="218" t="b">
        <v>1</v>
      </c>
      <c r="E532" s="219" t="b">
        <v>0</v>
      </c>
      <c r="F532" s="219"/>
      <c r="G532" s="173"/>
      <c r="H532" s="157" t="s">
        <v>3618</v>
      </c>
      <c r="I532" s="157" t="s">
        <v>5772</v>
      </c>
      <c r="J532" s="157">
        <v>2025.0</v>
      </c>
    </row>
    <row r="533">
      <c r="A533" s="218">
        <f t="shared" si="2"/>
        <v>530</v>
      </c>
      <c r="B533" s="218" t="s">
        <v>203</v>
      </c>
      <c r="C533" s="219" t="str">
        <f t="shared" si="1"/>
        <v>MN/0710/2025</v>
      </c>
      <c r="D533" s="218" t="b">
        <v>1</v>
      </c>
      <c r="E533" s="219" t="b">
        <v>0</v>
      </c>
      <c r="F533" s="219"/>
      <c r="G533" s="173"/>
      <c r="H533" s="157" t="s">
        <v>3618</v>
      </c>
      <c r="I533" s="157" t="s">
        <v>5773</v>
      </c>
      <c r="J533" s="157">
        <v>2025.0</v>
      </c>
    </row>
    <row r="534">
      <c r="A534" s="218">
        <f t="shared" si="2"/>
        <v>531</v>
      </c>
      <c r="B534" s="218" t="s">
        <v>203</v>
      </c>
      <c r="C534" s="219" t="str">
        <f t="shared" si="1"/>
        <v>MN/0711/2025</v>
      </c>
      <c r="D534" s="218" t="b">
        <v>1</v>
      </c>
      <c r="E534" s="219" t="b">
        <v>0</v>
      </c>
      <c r="F534" s="219"/>
      <c r="G534" s="173"/>
      <c r="H534" s="157" t="s">
        <v>3618</v>
      </c>
      <c r="I534" s="157" t="s">
        <v>5774</v>
      </c>
      <c r="J534" s="157">
        <v>2025.0</v>
      </c>
    </row>
    <row r="535">
      <c r="A535" s="218">
        <f t="shared" si="2"/>
        <v>532</v>
      </c>
      <c r="B535" s="218" t="s">
        <v>203</v>
      </c>
      <c r="C535" s="219" t="str">
        <f t="shared" si="1"/>
        <v>MN/0712/2025</v>
      </c>
      <c r="D535" s="218" t="b">
        <v>1</v>
      </c>
      <c r="E535" s="219" t="b">
        <v>0</v>
      </c>
      <c r="F535" s="234">
        <v>45869.0</v>
      </c>
      <c r="G535" s="173"/>
      <c r="H535" s="157" t="s">
        <v>3618</v>
      </c>
      <c r="I535" s="157" t="s">
        <v>5775</v>
      </c>
      <c r="J535" s="157">
        <v>2025.0</v>
      </c>
    </row>
    <row r="536">
      <c r="A536" s="218">
        <f t="shared" si="2"/>
        <v>533</v>
      </c>
      <c r="B536" s="218" t="s">
        <v>203</v>
      </c>
      <c r="C536" s="219" t="str">
        <f t="shared" si="1"/>
        <v>MN/0713/2025</v>
      </c>
      <c r="D536" s="218" t="b">
        <v>1</v>
      </c>
      <c r="E536" s="219" t="b">
        <v>0</v>
      </c>
      <c r="F536" s="219"/>
      <c r="G536" s="173"/>
      <c r="H536" s="157" t="s">
        <v>3618</v>
      </c>
      <c r="I536" s="157" t="s">
        <v>5776</v>
      </c>
      <c r="J536" s="157">
        <v>2025.0</v>
      </c>
    </row>
    <row r="537">
      <c r="A537" s="218">
        <f t="shared" si="2"/>
        <v>534</v>
      </c>
      <c r="B537" s="218" t="s">
        <v>203</v>
      </c>
      <c r="C537" s="219" t="str">
        <f t="shared" si="1"/>
        <v>MN/0714/2025</v>
      </c>
      <c r="D537" s="218" t="b">
        <v>1</v>
      </c>
      <c r="E537" s="219" t="b">
        <v>0</v>
      </c>
      <c r="F537" s="234">
        <v>45869.0</v>
      </c>
      <c r="G537" s="173"/>
      <c r="H537" s="157" t="s">
        <v>3618</v>
      </c>
      <c r="I537" s="157" t="s">
        <v>5777</v>
      </c>
      <c r="J537" s="157">
        <v>2025.0</v>
      </c>
    </row>
    <row r="538">
      <c r="A538" s="218">
        <f t="shared" si="2"/>
        <v>535</v>
      </c>
      <c r="B538" s="218" t="s">
        <v>203</v>
      </c>
      <c r="C538" s="219" t="str">
        <f t="shared" si="1"/>
        <v>MN/0715/2025</v>
      </c>
      <c r="D538" s="218" t="b">
        <v>1</v>
      </c>
      <c r="E538" s="219" t="b">
        <v>0</v>
      </c>
      <c r="F538" s="219"/>
      <c r="G538" s="173"/>
      <c r="H538" s="157" t="s">
        <v>3618</v>
      </c>
      <c r="I538" s="157" t="s">
        <v>5778</v>
      </c>
      <c r="J538" s="157">
        <v>2025.0</v>
      </c>
    </row>
    <row r="539">
      <c r="A539" s="218">
        <f t="shared" si="2"/>
        <v>536</v>
      </c>
      <c r="B539" s="218" t="s">
        <v>203</v>
      </c>
      <c r="C539" s="219" t="str">
        <f t="shared" si="1"/>
        <v>MN/0716/2025</v>
      </c>
      <c r="D539" s="218" t="b">
        <v>1</v>
      </c>
      <c r="E539" s="219" t="b">
        <v>0</v>
      </c>
      <c r="F539" s="219"/>
      <c r="G539" s="173"/>
      <c r="H539" s="157" t="s">
        <v>3618</v>
      </c>
      <c r="I539" s="157" t="s">
        <v>5779</v>
      </c>
      <c r="J539" s="157">
        <v>2025.0</v>
      </c>
    </row>
    <row r="540">
      <c r="A540" s="218">
        <f t="shared" si="2"/>
        <v>537</v>
      </c>
      <c r="B540" s="218" t="s">
        <v>203</v>
      </c>
      <c r="C540" s="219" t="str">
        <f t="shared" si="1"/>
        <v>MN/0717/2025</v>
      </c>
      <c r="D540" s="218" t="b">
        <v>1</v>
      </c>
      <c r="E540" s="219" t="b">
        <v>0</v>
      </c>
      <c r="F540" s="234">
        <v>45869.0</v>
      </c>
      <c r="G540" s="173"/>
      <c r="H540" s="157" t="s">
        <v>3618</v>
      </c>
      <c r="I540" s="157" t="s">
        <v>5780</v>
      </c>
      <c r="J540" s="157">
        <v>2025.0</v>
      </c>
    </row>
    <row r="541">
      <c r="A541" s="218">
        <f t="shared" si="2"/>
        <v>538</v>
      </c>
      <c r="B541" s="218" t="s">
        <v>203</v>
      </c>
      <c r="C541" s="219" t="str">
        <f t="shared" si="1"/>
        <v>MN/0718/2025</v>
      </c>
      <c r="D541" s="218" t="b">
        <v>1</v>
      </c>
      <c r="E541" s="219" t="b">
        <v>0</v>
      </c>
      <c r="F541" s="219"/>
      <c r="G541" s="173"/>
      <c r="H541" s="157" t="s">
        <v>3618</v>
      </c>
      <c r="I541" s="157" t="s">
        <v>5781</v>
      </c>
      <c r="J541" s="157">
        <v>2025.0</v>
      </c>
    </row>
    <row r="542">
      <c r="A542" s="218">
        <f t="shared" si="2"/>
        <v>539</v>
      </c>
      <c r="B542" s="218" t="s">
        <v>203</v>
      </c>
      <c r="C542" s="219" t="str">
        <f t="shared" si="1"/>
        <v>MN/0719/2025</v>
      </c>
      <c r="D542" s="218" t="b">
        <v>1</v>
      </c>
      <c r="E542" s="219" t="b">
        <v>0</v>
      </c>
      <c r="F542" s="234">
        <v>45869.0</v>
      </c>
      <c r="G542" s="173"/>
      <c r="H542" s="157" t="s">
        <v>3618</v>
      </c>
      <c r="I542" s="157" t="s">
        <v>5782</v>
      </c>
      <c r="J542" s="157">
        <v>2025.0</v>
      </c>
    </row>
    <row r="543">
      <c r="A543" s="218">
        <f t="shared" si="2"/>
        <v>540</v>
      </c>
      <c r="B543" s="218" t="s">
        <v>203</v>
      </c>
      <c r="C543" s="219" t="str">
        <f t="shared" si="1"/>
        <v>MN/0720/2025</v>
      </c>
      <c r="D543" s="218" t="b">
        <v>1</v>
      </c>
      <c r="E543" s="219" t="b">
        <v>0</v>
      </c>
      <c r="F543" s="219"/>
      <c r="G543" s="173"/>
      <c r="H543" s="157" t="s">
        <v>3618</v>
      </c>
      <c r="I543" s="157" t="s">
        <v>5783</v>
      </c>
      <c r="J543" s="157">
        <v>2025.0</v>
      </c>
    </row>
    <row r="544">
      <c r="A544" s="218">
        <f t="shared" si="2"/>
        <v>541</v>
      </c>
      <c r="B544" s="218" t="s">
        <v>203</v>
      </c>
      <c r="C544" s="219" t="str">
        <f t="shared" si="1"/>
        <v>MN/0721/2025</v>
      </c>
      <c r="D544" s="218" t="b">
        <v>1</v>
      </c>
      <c r="E544" s="219" t="b">
        <v>0</v>
      </c>
      <c r="F544" s="219"/>
      <c r="G544" s="173"/>
      <c r="H544" s="157" t="s">
        <v>3618</v>
      </c>
      <c r="I544" s="157" t="s">
        <v>5784</v>
      </c>
      <c r="J544" s="157">
        <v>2025.0</v>
      </c>
    </row>
    <row r="545">
      <c r="A545" s="218">
        <f t="shared" si="2"/>
        <v>542</v>
      </c>
      <c r="B545" s="218" t="s">
        <v>203</v>
      </c>
      <c r="C545" s="219" t="str">
        <f t="shared" si="1"/>
        <v>MN/0722/2025</v>
      </c>
      <c r="D545" s="218" t="b">
        <v>1</v>
      </c>
      <c r="E545" s="219" t="b">
        <v>0</v>
      </c>
      <c r="F545" s="219"/>
      <c r="G545" s="173"/>
      <c r="H545" s="157" t="s">
        <v>3618</v>
      </c>
      <c r="I545" s="157" t="s">
        <v>5785</v>
      </c>
      <c r="J545" s="157">
        <v>2025.0</v>
      </c>
    </row>
    <row r="546">
      <c r="A546" s="218">
        <f t="shared" si="2"/>
        <v>543</v>
      </c>
      <c r="B546" s="218" t="s">
        <v>203</v>
      </c>
      <c r="C546" s="219" t="str">
        <f t="shared" si="1"/>
        <v>MN/0723/2025</v>
      </c>
      <c r="D546" s="218" t="b">
        <v>1</v>
      </c>
      <c r="E546" s="219" t="b">
        <v>0</v>
      </c>
      <c r="F546" s="219"/>
      <c r="G546" s="173"/>
      <c r="H546" s="157" t="s">
        <v>3618</v>
      </c>
      <c r="I546" s="157" t="s">
        <v>5786</v>
      </c>
      <c r="J546" s="157">
        <v>2025.0</v>
      </c>
    </row>
    <row r="547">
      <c r="A547" s="218">
        <f t="shared" si="2"/>
        <v>544</v>
      </c>
      <c r="B547" s="218" t="s">
        <v>203</v>
      </c>
      <c r="C547" s="219" t="str">
        <f t="shared" si="1"/>
        <v>MN/0724/2025</v>
      </c>
      <c r="D547" s="218" t="b">
        <v>1</v>
      </c>
      <c r="E547" s="219" t="b">
        <v>0</v>
      </c>
      <c r="F547" s="219"/>
      <c r="G547" s="173"/>
      <c r="H547" s="157" t="s">
        <v>3618</v>
      </c>
      <c r="I547" s="157" t="s">
        <v>5787</v>
      </c>
      <c r="J547" s="157">
        <v>2025.0</v>
      </c>
    </row>
    <row r="548">
      <c r="A548" s="218">
        <f t="shared" si="2"/>
        <v>545</v>
      </c>
      <c r="B548" s="218" t="s">
        <v>203</v>
      </c>
      <c r="C548" s="219" t="str">
        <f t="shared" si="1"/>
        <v>MN/0725/2025</v>
      </c>
      <c r="D548" s="218" t="b">
        <v>1</v>
      </c>
      <c r="E548" s="219" t="b">
        <v>0</v>
      </c>
      <c r="F548" s="219"/>
      <c r="G548" s="173"/>
      <c r="H548" s="157" t="s">
        <v>3618</v>
      </c>
      <c r="I548" s="157" t="s">
        <v>5788</v>
      </c>
      <c r="J548" s="157">
        <v>2025.0</v>
      </c>
    </row>
    <row r="549">
      <c r="A549" s="218">
        <f t="shared" si="2"/>
        <v>546</v>
      </c>
      <c r="B549" s="218" t="s">
        <v>203</v>
      </c>
      <c r="C549" s="219" t="str">
        <f t="shared" si="1"/>
        <v>MN/0726/2025</v>
      </c>
      <c r="D549" s="218" t="b">
        <v>1</v>
      </c>
      <c r="E549" s="219" t="b">
        <v>0</v>
      </c>
      <c r="F549" s="219"/>
      <c r="G549" s="173"/>
      <c r="H549" s="157" t="s">
        <v>3618</v>
      </c>
      <c r="I549" s="157" t="s">
        <v>5789</v>
      </c>
      <c r="J549" s="157">
        <v>2025.0</v>
      </c>
    </row>
    <row r="550">
      <c r="A550" s="218">
        <f t="shared" si="2"/>
        <v>547</v>
      </c>
      <c r="B550" s="218" t="s">
        <v>203</v>
      </c>
      <c r="C550" s="219" t="str">
        <f t="shared" si="1"/>
        <v>MN/0727/2025</v>
      </c>
      <c r="D550" s="218" t="b">
        <v>1</v>
      </c>
      <c r="E550" s="219" t="b">
        <v>0</v>
      </c>
      <c r="F550" s="219"/>
      <c r="G550" s="173"/>
      <c r="H550" s="157" t="s">
        <v>3618</v>
      </c>
      <c r="I550" s="157" t="s">
        <v>5790</v>
      </c>
      <c r="J550" s="157">
        <v>2025.0</v>
      </c>
    </row>
    <row r="551">
      <c r="A551" s="218">
        <f t="shared" si="2"/>
        <v>548</v>
      </c>
      <c r="B551" s="218" t="s">
        <v>203</v>
      </c>
      <c r="C551" s="219" t="str">
        <f t="shared" si="1"/>
        <v>MN/0728/2025</v>
      </c>
      <c r="D551" s="218" t="b">
        <v>1</v>
      </c>
      <c r="E551" s="219" t="b">
        <v>0</v>
      </c>
      <c r="F551" s="219"/>
      <c r="G551" s="173"/>
      <c r="H551" s="157" t="s">
        <v>3618</v>
      </c>
      <c r="I551" s="157" t="s">
        <v>5791</v>
      </c>
      <c r="J551" s="157">
        <v>2025.0</v>
      </c>
    </row>
    <row r="552">
      <c r="A552" s="218">
        <f t="shared" si="2"/>
        <v>549</v>
      </c>
      <c r="B552" s="218" t="s">
        <v>203</v>
      </c>
      <c r="C552" s="219" t="str">
        <f t="shared" si="1"/>
        <v>MN/0729/2025</v>
      </c>
      <c r="D552" s="218" t="b">
        <v>1</v>
      </c>
      <c r="E552" s="219" t="b">
        <v>0</v>
      </c>
      <c r="F552" s="219"/>
      <c r="G552" s="173"/>
      <c r="H552" s="157" t="s">
        <v>3618</v>
      </c>
      <c r="I552" s="157" t="s">
        <v>5792</v>
      </c>
      <c r="J552" s="157">
        <v>2025.0</v>
      </c>
    </row>
    <row r="553">
      <c r="A553" s="218">
        <f t="shared" si="2"/>
        <v>550</v>
      </c>
      <c r="B553" s="218" t="s">
        <v>203</v>
      </c>
      <c r="C553" s="219" t="str">
        <f t="shared" si="1"/>
        <v>MN/0730/2025</v>
      </c>
      <c r="D553" s="218" t="b">
        <v>1</v>
      </c>
      <c r="E553" s="219" t="b">
        <v>0</v>
      </c>
      <c r="F553" s="219"/>
      <c r="G553" s="173"/>
      <c r="H553" s="157" t="s">
        <v>3618</v>
      </c>
      <c r="I553" s="157" t="s">
        <v>5793</v>
      </c>
      <c r="J553" s="157">
        <v>2025.0</v>
      </c>
    </row>
    <row r="554">
      <c r="A554" s="218">
        <f t="shared" si="2"/>
        <v>551</v>
      </c>
      <c r="B554" s="218" t="s">
        <v>203</v>
      </c>
      <c r="C554" s="219" t="str">
        <f t="shared" si="1"/>
        <v>MN/0731/2025</v>
      </c>
      <c r="D554" s="218" t="b">
        <v>1</v>
      </c>
      <c r="E554" s="219" t="b">
        <v>0</v>
      </c>
      <c r="F554" s="219"/>
      <c r="G554" s="173"/>
      <c r="H554" s="157" t="s">
        <v>3618</v>
      </c>
      <c r="I554" s="157" t="s">
        <v>5794</v>
      </c>
      <c r="J554" s="157">
        <v>2025.0</v>
      </c>
    </row>
    <row r="555">
      <c r="A555" s="218">
        <f t="shared" si="2"/>
        <v>552</v>
      </c>
      <c r="B555" s="218" t="s">
        <v>203</v>
      </c>
      <c r="C555" s="219" t="str">
        <f t="shared" si="1"/>
        <v>MN/0732/2025</v>
      </c>
      <c r="D555" s="218" t="b">
        <v>1</v>
      </c>
      <c r="E555" s="219" t="b">
        <v>0</v>
      </c>
      <c r="F555" s="219"/>
      <c r="G555" s="173"/>
      <c r="H555" s="157" t="s">
        <v>3618</v>
      </c>
      <c r="I555" s="157" t="s">
        <v>5795</v>
      </c>
      <c r="J555" s="157">
        <v>2025.0</v>
      </c>
    </row>
    <row r="556">
      <c r="A556" s="218">
        <f t="shared" si="2"/>
        <v>553</v>
      </c>
      <c r="B556" s="218" t="s">
        <v>203</v>
      </c>
      <c r="C556" s="219" t="str">
        <f t="shared" si="1"/>
        <v>MN/0733/2025</v>
      </c>
      <c r="D556" s="218" t="b">
        <v>1</v>
      </c>
      <c r="E556" s="219" t="b">
        <v>0</v>
      </c>
      <c r="F556" s="219"/>
      <c r="G556" s="173"/>
      <c r="H556" s="157" t="s">
        <v>3618</v>
      </c>
      <c r="I556" s="157" t="s">
        <v>5796</v>
      </c>
      <c r="J556" s="157">
        <v>2025.0</v>
      </c>
    </row>
    <row r="557">
      <c r="A557" s="218">
        <f t="shared" si="2"/>
        <v>554</v>
      </c>
      <c r="B557" s="218" t="s">
        <v>203</v>
      </c>
      <c r="C557" s="219" t="str">
        <f t="shared" si="1"/>
        <v>MN/0734/2025</v>
      </c>
      <c r="D557" s="218" t="b">
        <v>1</v>
      </c>
      <c r="E557" s="219" t="b">
        <v>0</v>
      </c>
      <c r="F557" s="219"/>
      <c r="G557" s="173"/>
      <c r="H557" s="157" t="s">
        <v>3618</v>
      </c>
      <c r="I557" s="157" t="s">
        <v>5797</v>
      </c>
      <c r="J557" s="157">
        <v>2025.0</v>
      </c>
    </row>
    <row r="558">
      <c r="A558" s="218">
        <f t="shared" si="2"/>
        <v>555</v>
      </c>
      <c r="B558" s="218" t="s">
        <v>203</v>
      </c>
      <c r="C558" s="219" t="str">
        <f t="shared" si="1"/>
        <v>MN/0735/2025</v>
      </c>
      <c r="D558" s="218" t="b">
        <v>1</v>
      </c>
      <c r="E558" s="219" t="b">
        <v>0</v>
      </c>
      <c r="F558" s="219"/>
      <c r="G558" s="173"/>
      <c r="H558" s="157" t="s">
        <v>3618</v>
      </c>
      <c r="I558" s="157" t="s">
        <v>5798</v>
      </c>
      <c r="J558" s="157">
        <v>2025.0</v>
      </c>
    </row>
    <row r="559">
      <c r="A559" s="218">
        <f t="shared" si="2"/>
        <v>556</v>
      </c>
      <c r="B559" s="218" t="s">
        <v>203</v>
      </c>
      <c r="C559" s="219" t="str">
        <f t="shared" si="1"/>
        <v>MN/0736/2025</v>
      </c>
      <c r="D559" s="218" t="b">
        <v>1</v>
      </c>
      <c r="E559" s="219" t="b">
        <v>0</v>
      </c>
      <c r="F559" s="219"/>
      <c r="G559" s="173"/>
      <c r="H559" s="157" t="s">
        <v>3618</v>
      </c>
      <c r="I559" s="157" t="s">
        <v>5799</v>
      </c>
      <c r="J559" s="157">
        <v>2025.0</v>
      </c>
    </row>
    <row r="560">
      <c r="A560" s="218">
        <f t="shared" si="2"/>
        <v>557</v>
      </c>
      <c r="B560" s="218" t="s">
        <v>203</v>
      </c>
      <c r="C560" s="219" t="str">
        <f t="shared" si="1"/>
        <v>MN/0737/2025</v>
      </c>
      <c r="D560" s="218" t="b">
        <v>1</v>
      </c>
      <c r="E560" s="219" t="b">
        <v>0</v>
      </c>
      <c r="F560" s="219"/>
      <c r="G560" s="173"/>
      <c r="H560" s="157" t="s">
        <v>3618</v>
      </c>
      <c r="I560" s="157" t="s">
        <v>5800</v>
      </c>
      <c r="J560" s="157">
        <v>2025.0</v>
      </c>
    </row>
    <row r="561">
      <c r="A561" s="218">
        <f t="shared" si="2"/>
        <v>558</v>
      </c>
      <c r="B561" s="218" t="s">
        <v>203</v>
      </c>
      <c r="C561" s="219" t="str">
        <f t="shared" si="1"/>
        <v>MN/0738/2025</v>
      </c>
      <c r="D561" s="218" t="b">
        <v>1</v>
      </c>
      <c r="E561" s="219" t="b">
        <v>0</v>
      </c>
      <c r="F561" s="219"/>
      <c r="G561" s="173"/>
      <c r="H561" s="157" t="s">
        <v>3618</v>
      </c>
      <c r="I561" s="157" t="s">
        <v>5801</v>
      </c>
      <c r="J561" s="157">
        <v>2025.0</v>
      </c>
    </row>
    <row r="562">
      <c r="A562" s="218">
        <f t="shared" si="2"/>
        <v>559</v>
      </c>
      <c r="B562" s="218" t="s">
        <v>203</v>
      </c>
      <c r="C562" s="219" t="str">
        <f t="shared" si="1"/>
        <v>MN/0739/2025</v>
      </c>
      <c r="D562" s="218" t="b">
        <v>1</v>
      </c>
      <c r="E562" s="219" t="b">
        <v>0</v>
      </c>
      <c r="F562" s="219"/>
      <c r="G562" s="173"/>
      <c r="H562" s="157" t="s">
        <v>3618</v>
      </c>
      <c r="I562" s="157" t="s">
        <v>5802</v>
      </c>
      <c r="J562" s="157">
        <v>2025.0</v>
      </c>
    </row>
    <row r="563">
      <c r="A563" s="218">
        <f t="shared" si="2"/>
        <v>560</v>
      </c>
      <c r="B563" s="218" t="s">
        <v>203</v>
      </c>
      <c r="C563" s="219" t="str">
        <f t="shared" si="1"/>
        <v>MN/0740/2025</v>
      </c>
      <c r="D563" s="218" t="b">
        <v>1</v>
      </c>
      <c r="E563" s="219" t="b">
        <v>0</v>
      </c>
      <c r="F563" s="219"/>
      <c r="G563" s="173"/>
      <c r="H563" s="157" t="s">
        <v>3618</v>
      </c>
      <c r="I563" s="157" t="s">
        <v>5803</v>
      </c>
      <c r="J563" s="157">
        <v>2025.0</v>
      </c>
    </row>
    <row r="564">
      <c r="A564" s="218">
        <f t="shared" si="2"/>
        <v>561</v>
      </c>
      <c r="B564" s="218" t="s">
        <v>203</v>
      </c>
      <c r="C564" s="219" t="str">
        <f t="shared" si="1"/>
        <v>MN/0741/2025</v>
      </c>
      <c r="D564" s="218" t="b">
        <v>1</v>
      </c>
      <c r="E564" s="219" t="b">
        <v>0</v>
      </c>
      <c r="F564" s="219"/>
      <c r="G564" s="173"/>
      <c r="H564" s="157" t="s">
        <v>3618</v>
      </c>
      <c r="I564" s="157" t="s">
        <v>5804</v>
      </c>
      <c r="J564" s="157">
        <v>2025.0</v>
      </c>
    </row>
    <row r="565">
      <c r="A565" s="218">
        <f t="shared" si="2"/>
        <v>562</v>
      </c>
      <c r="B565" s="218" t="s">
        <v>203</v>
      </c>
      <c r="C565" s="219" t="str">
        <f t="shared" si="1"/>
        <v>MN/0742/2025</v>
      </c>
      <c r="D565" s="218" t="b">
        <v>1</v>
      </c>
      <c r="E565" s="219" t="b">
        <v>0</v>
      </c>
      <c r="F565" s="219"/>
      <c r="G565" s="173"/>
      <c r="H565" s="157" t="s">
        <v>3618</v>
      </c>
      <c r="I565" s="157" t="s">
        <v>5805</v>
      </c>
      <c r="J565" s="157">
        <v>2025.0</v>
      </c>
    </row>
    <row r="566">
      <c r="A566" s="218">
        <f t="shared" si="2"/>
        <v>563</v>
      </c>
      <c r="B566" s="218" t="s">
        <v>203</v>
      </c>
      <c r="C566" s="219" t="str">
        <f t="shared" si="1"/>
        <v>MN/0743/2025</v>
      </c>
      <c r="D566" s="218" t="b">
        <v>1</v>
      </c>
      <c r="E566" s="219" t="b">
        <v>0</v>
      </c>
      <c r="F566" s="219"/>
      <c r="G566" s="173"/>
      <c r="H566" s="157" t="s">
        <v>3618</v>
      </c>
      <c r="I566" s="157" t="s">
        <v>5806</v>
      </c>
      <c r="J566" s="157">
        <v>2025.0</v>
      </c>
    </row>
    <row r="567">
      <c r="A567" s="218">
        <f t="shared" si="2"/>
        <v>564</v>
      </c>
      <c r="B567" s="218" t="s">
        <v>203</v>
      </c>
      <c r="C567" s="219" t="str">
        <f t="shared" si="1"/>
        <v>MN/0744/2025</v>
      </c>
      <c r="D567" s="218" t="b">
        <v>1</v>
      </c>
      <c r="E567" s="219" t="b">
        <v>0</v>
      </c>
      <c r="F567" s="219"/>
      <c r="G567" s="173"/>
      <c r="H567" s="157" t="s">
        <v>3618</v>
      </c>
      <c r="I567" s="157" t="s">
        <v>5808</v>
      </c>
      <c r="J567" s="157">
        <v>2025.0</v>
      </c>
    </row>
    <row r="568">
      <c r="A568" s="218">
        <f t="shared" si="2"/>
        <v>565</v>
      </c>
      <c r="B568" s="218" t="s">
        <v>203</v>
      </c>
      <c r="C568" s="219" t="str">
        <f t="shared" si="1"/>
        <v>MN/0745/2025</v>
      </c>
      <c r="D568" s="218" t="b">
        <v>1</v>
      </c>
      <c r="E568" s="219" t="b">
        <v>0</v>
      </c>
      <c r="F568" s="219"/>
      <c r="G568" s="173"/>
      <c r="H568" s="157" t="s">
        <v>3618</v>
      </c>
      <c r="I568" s="157" t="s">
        <v>5809</v>
      </c>
      <c r="J568" s="157">
        <v>2025.0</v>
      </c>
    </row>
    <row r="569">
      <c r="A569" s="218">
        <f t="shared" si="2"/>
        <v>566</v>
      </c>
      <c r="B569" s="218" t="s">
        <v>203</v>
      </c>
      <c r="C569" s="219" t="str">
        <f t="shared" si="1"/>
        <v>MN/0746/2025</v>
      </c>
      <c r="D569" s="218" t="b">
        <v>1</v>
      </c>
      <c r="E569" s="219" t="b">
        <v>0</v>
      </c>
      <c r="F569" s="219"/>
      <c r="G569" s="173"/>
      <c r="H569" s="157" t="s">
        <v>3618</v>
      </c>
      <c r="I569" s="157" t="s">
        <v>5810</v>
      </c>
      <c r="J569" s="157">
        <v>2025.0</v>
      </c>
    </row>
    <row r="570">
      <c r="A570" s="218">
        <f t="shared" si="2"/>
        <v>567</v>
      </c>
      <c r="B570" s="218" t="s">
        <v>203</v>
      </c>
      <c r="C570" s="219" t="str">
        <f t="shared" si="1"/>
        <v>MN/0747/2025</v>
      </c>
      <c r="D570" s="218" t="b">
        <v>1</v>
      </c>
      <c r="E570" s="219" t="b">
        <v>0</v>
      </c>
      <c r="F570" s="219"/>
      <c r="G570" s="173"/>
      <c r="H570" s="157" t="s">
        <v>3618</v>
      </c>
      <c r="I570" s="157" t="s">
        <v>5811</v>
      </c>
      <c r="J570" s="157">
        <v>2025.0</v>
      </c>
    </row>
    <row r="571">
      <c r="A571" s="218">
        <f t="shared" si="2"/>
        <v>568</v>
      </c>
      <c r="B571" s="218" t="s">
        <v>203</v>
      </c>
      <c r="C571" s="219" t="str">
        <f t="shared" si="1"/>
        <v>MN/0748/2025</v>
      </c>
      <c r="D571" s="218" t="b">
        <v>1</v>
      </c>
      <c r="E571" s="219" t="b">
        <v>0</v>
      </c>
      <c r="F571" s="219"/>
      <c r="G571" s="173"/>
      <c r="H571" s="157" t="s">
        <v>3618</v>
      </c>
      <c r="I571" s="157" t="s">
        <v>5812</v>
      </c>
      <c r="J571" s="157">
        <v>2025.0</v>
      </c>
    </row>
    <row r="572">
      <c r="A572" s="218">
        <f t="shared" si="2"/>
        <v>569</v>
      </c>
      <c r="B572" s="218" t="s">
        <v>203</v>
      </c>
      <c r="C572" s="219" t="str">
        <f t="shared" si="1"/>
        <v>MN/0749/2025</v>
      </c>
      <c r="D572" s="218" t="b">
        <v>1</v>
      </c>
      <c r="E572" s="219" t="b">
        <v>0</v>
      </c>
      <c r="F572" s="219"/>
      <c r="G572" s="173"/>
      <c r="H572" s="157" t="s">
        <v>3618</v>
      </c>
      <c r="I572" s="157" t="s">
        <v>5813</v>
      </c>
      <c r="J572" s="157">
        <v>2025.0</v>
      </c>
    </row>
    <row r="573">
      <c r="A573" s="218">
        <f t="shared" si="2"/>
        <v>570</v>
      </c>
      <c r="B573" s="218" t="s">
        <v>203</v>
      </c>
      <c r="C573" s="219" t="str">
        <f t="shared" si="1"/>
        <v>MN/0750/2025</v>
      </c>
      <c r="D573" s="218" t="b">
        <v>1</v>
      </c>
      <c r="E573" s="219" t="b">
        <v>0</v>
      </c>
      <c r="F573" s="219"/>
      <c r="G573" s="173"/>
      <c r="H573" s="157" t="s">
        <v>3618</v>
      </c>
      <c r="I573" s="157" t="s">
        <v>5814</v>
      </c>
      <c r="J573" s="157">
        <v>2025.0</v>
      </c>
    </row>
    <row r="574">
      <c r="A574" s="218">
        <f t="shared" si="2"/>
        <v>571</v>
      </c>
      <c r="B574" s="218" t="s">
        <v>203</v>
      </c>
      <c r="C574" s="219" t="str">
        <f t="shared" si="1"/>
        <v>MN/0751/2025</v>
      </c>
      <c r="D574" s="218" t="b">
        <v>1</v>
      </c>
      <c r="E574" s="219" t="b">
        <v>0</v>
      </c>
      <c r="F574" s="219"/>
      <c r="G574" s="173"/>
      <c r="H574" s="157" t="s">
        <v>3618</v>
      </c>
      <c r="I574" s="157" t="s">
        <v>5815</v>
      </c>
      <c r="J574" s="157">
        <v>2025.0</v>
      </c>
    </row>
    <row r="575">
      <c r="A575" s="218">
        <f t="shared" si="2"/>
        <v>572</v>
      </c>
      <c r="B575" s="218" t="s">
        <v>203</v>
      </c>
      <c r="C575" s="219" t="str">
        <f t="shared" si="1"/>
        <v>MN/0752/2025</v>
      </c>
      <c r="D575" s="218" t="b">
        <v>1</v>
      </c>
      <c r="E575" s="219" t="b">
        <v>0</v>
      </c>
      <c r="F575" s="219"/>
      <c r="G575" s="173"/>
      <c r="H575" s="157" t="s">
        <v>3618</v>
      </c>
      <c r="I575" s="157" t="s">
        <v>5816</v>
      </c>
      <c r="J575" s="157">
        <v>2025.0</v>
      </c>
    </row>
    <row r="576">
      <c r="A576" s="218">
        <f t="shared" si="2"/>
        <v>573</v>
      </c>
      <c r="B576" s="218" t="s">
        <v>203</v>
      </c>
      <c r="C576" s="219" t="str">
        <f t="shared" si="1"/>
        <v>MN/0753/2025</v>
      </c>
      <c r="D576" s="218" t="b">
        <v>1</v>
      </c>
      <c r="E576" s="219" t="b">
        <v>0</v>
      </c>
      <c r="F576" s="219"/>
      <c r="G576" s="173"/>
      <c r="H576" s="157" t="s">
        <v>3618</v>
      </c>
      <c r="I576" s="157" t="s">
        <v>5817</v>
      </c>
      <c r="J576" s="157">
        <v>2025.0</v>
      </c>
    </row>
    <row r="577">
      <c r="A577" s="218">
        <f t="shared" si="2"/>
        <v>574</v>
      </c>
      <c r="B577" s="218" t="s">
        <v>203</v>
      </c>
      <c r="C577" s="219" t="str">
        <f t="shared" si="1"/>
        <v>MN/0754/2025</v>
      </c>
      <c r="D577" s="218" t="b">
        <v>1</v>
      </c>
      <c r="E577" s="219" t="b">
        <v>0</v>
      </c>
      <c r="F577" s="219"/>
      <c r="G577" s="173"/>
      <c r="H577" s="157" t="s">
        <v>3618</v>
      </c>
      <c r="I577" s="157" t="s">
        <v>5818</v>
      </c>
      <c r="J577" s="157">
        <v>2025.0</v>
      </c>
    </row>
    <row r="578">
      <c r="A578" s="218">
        <f t="shared" si="2"/>
        <v>575</v>
      </c>
      <c r="B578" s="218" t="s">
        <v>203</v>
      </c>
      <c r="C578" s="219" t="str">
        <f t="shared" si="1"/>
        <v>MN/0755/2025</v>
      </c>
      <c r="D578" s="218" t="b">
        <v>1</v>
      </c>
      <c r="E578" s="219" t="b">
        <v>0</v>
      </c>
      <c r="F578" s="219"/>
      <c r="G578" s="173"/>
      <c r="H578" s="157" t="s">
        <v>3618</v>
      </c>
      <c r="I578" s="157" t="s">
        <v>5819</v>
      </c>
      <c r="J578" s="157">
        <v>2025.0</v>
      </c>
    </row>
    <row r="579">
      <c r="A579" s="218">
        <f t="shared" si="2"/>
        <v>576</v>
      </c>
      <c r="B579" s="218" t="s">
        <v>203</v>
      </c>
      <c r="C579" s="219" t="str">
        <f t="shared" si="1"/>
        <v>MN/0756/2025</v>
      </c>
      <c r="D579" s="218" t="b">
        <v>1</v>
      </c>
      <c r="E579" s="219" t="b">
        <v>0</v>
      </c>
      <c r="F579" s="219"/>
      <c r="G579" s="173"/>
      <c r="H579" s="157" t="s">
        <v>3618</v>
      </c>
      <c r="I579" s="157" t="s">
        <v>5820</v>
      </c>
      <c r="J579" s="157">
        <v>2025.0</v>
      </c>
    </row>
    <row r="580">
      <c r="A580" s="218">
        <f t="shared" si="2"/>
        <v>577</v>
      </c>
      <c r="B580" s="218" t="s">
        <v>203</v>
      </c>
      <c r="C580" s="219" t="str">
        <f t="shared" si="1"/>
        <v>MN/0757/2025</v>
      </c>
      <c r="D580" s="218" t="b">
        <v>1</v>
      </c>
      <c r="E580" s="219" t="b">
        <v>0</v>
      </c>
      <c r="F580" s="219"/>
      <c r="G580" s="173"/>
      <c r="H580" s="157" t="s">
        <v>3618</v>
      </c>
      <c r="I580" s="157" t="s">
        <v>5821</v>
      </c>
      <c r="J580" s="157">
        <v>2025.0</v>
      </c>
    </row>
    <row r="581">
      <c r="A581" s="218">
        <f t="shared" si="2"/>
        <v>578</v>
      </c>
      <c r="B581" s="218" t="s">
        <v>203</v>
      </c>
      <c r="C581" s="219" t="str">
        <f t="shared" si="1"/>
        <v>MN/0758/2025</v>
      </c>
      <c r="D581" s="218" t="b">
        <v>1</v>
      </c>
      <c r="E581" s="219" t="b">
        <v>0</v>
      </c>
      <c r="F581" s="219"/>
      <c r="G581" s="173"/>
      <c r="H581" s="157" t="s">
        <v>3618</v>
      </c>
      <c r="I581" s="157" t="s">
        <v>5822</v>
      </c>
      <c r="J581" s="157">
        <v>2025.0</v>
      </c>
    </row>
    <row r="582">
      <c r="A582" s="218">
        <f t="shared" si="2"/>
        <v>579</v>
      </c>
      <c r="B582" s="218" t="s">
        <v>203</v>
      </c>
      <c r="C582" s="219" t="str">
        <f t="shared" si="1"/>
        <v>MN/0759/2025</v>
      </c>
      <c r="D582" s="218" t="b">
        <v>1</v>
      </c>
      <c r="E582" s="219" t="b">
        <v>0</v>
      </c>
      <c r="F582" s="219"/>
      <c r="G582" s="173"/>
      <c r="H582" s="157" t="s">
        <v>3618</v>
      </c>
      <c r="I582" s="157" t="s">
        <v>5823</v>
      </c>
      <c r="J582" s="157">
        <v>2025.0</v>
      </c>
    </row>
    <row r="583">
      <c r="A583" s="218">
        <f t="shared" si="2"/>
        <v>580</v>
      </c>
      <c r="B583" s="218" t="s">
        <v>203</v>
      </c>
      <c r="C583" s="219" t="str">
        <f t="shared" si="1"/>
        <v>MN/0760/2025</v>
      </c>
      <c r="D583" s="218" t="b">
        <v>1</v>
      </c>
      <c r="E583" s="219" t="b">
        <v>0</v>
      </c>
      <c r="F583" s="219"/>
      <c r="G583" s="173"/>
      <c r="H583" s="157" t="s">
        <v>3618</v>
      </c>
      <c r="I583" s="157" t="s">
        <v>5824</v>
      </c>
      <c r="J583" s="157">
        <v>2025.0</v>
      </c>
    </row>
    <row r="584">
      <c r="A584" s="218">
        <f t="shared" si="2"/>
        <v>581</v>
      </c>
      <c r="B584" s="218" t="s">
        <v>203</v>
      </c>
      <c r="C584" s="219" t="str">
        <f t="shared" si="1"/>
        <v>MN/0761/2025</v>
      </c>
      <c r="D584" s="218" t="b">
        <v>1</v>
      </c>
      <c r="E584" s="219" t="b">
        <v>0</v>
      </c>
      <c r="F584" s="219"/>
      <c r="G584" s="173"/>
      <c r="H584" s="157" t="s">
        <v>3618</v>
      </c>
      <c r="I584" s="157" t="s">
        <v>5825</v>
      </c>
      <c r="J584" s="157">
        <v>2025.0</v>
      </c>
    </row>
    <row r="585">
      <c r="A585" s="218">
        <f t="shared" si="2"/>
        <v>582</v>
      </c>
      <c r="B585" s="218" t="s">
        <v>203</v>
      </c>
      <c r="C585" s="219" t="str">
        <f t="shared" si="1"/>
        <v>MN/0762/2025</v>
      </c>
      <c r="D585" s="218" t="b">
        <v>1</v>
      </c>
      <c r="E585" s="219" t="b">
        <v>0</v>
      </c>
      <c r="F585" s="219"/>
      <c r="G585" s="173"/>
      <c r="H585" s="157" t="s">
        <v>3618</v>
      </c>
      <c r="I585" s="157" t="s">
        <v>5826</v>
      </c>
      <c r="J585" s="157">
        <v>2025.0</v>
      </c>
    </row>
    <row r="586">
      <c r="A586" s="218">
        <f t="shared" si="2"/>
        <v>583</v>
      </c>
      <c r="B586" s="218" t="s">
        <v>203</v>
      </c>
      <c r="C586" s="219" t="str">
        <f t="shared" si="1"/>
        <v>MN/0763/2025</v>
      </c>
      <c r="D586" s="218" t="b">
        <v>1</v>
      </c>
      <c r="E586" s="219" t="b">
        <v>0</v>
      </c>
      <c r="F586" s="219"/>
      <c r="G586" s="173"/>
      <c r="H586" s="157" t="s">
        <v>3618</v>
      </c>
      <c r="I586" s="157" t="s">
        <v>5827</v>
      </c>
      <c r="J586" s="157">
        <v>2025.0</v>
      </c>
    </row>
    <row r="587">
      <c r="A587" s="218">
        <f t="shared" si="2"/>
        <v>584</v>
      </c>
      <c r="B587" s="218" t="s">
        <v>203</v>
      </c>
      <c r="C587" s="219" t="str">
        <f t="shared" si="1"/>
        <v>MN/0764/2025</v>
      </c>
      <c r="D587" s="218" t="b">
        <v>1</v>
      </c>
      <c r="E587" s="219" t="b">
        <v>0</v>
      </c>
      <c r="F587" s="219"/>
      <c r="G587" s="173"/>
      <c r="H587" s="157" t="s">
        <v>3618</v>
      </c>
      <c r="I587" s="157" t="s">
        <v>5828</v>
      </c>
      <c r="J587" s="157">
        <v>2025.0</v>
      </c>
    </row>
    <row r="588">
      <c r="A588" s="218">
        <f t="shared" si="2"/>
        <v>585</v>
      </c>
      <c r="B588" s="218" t="s">
        <v>203</v>
      </c>
      <c r="C588" s="219" t="str">
        <f t="shared" si="1"/>
        <v>MN/0765/2025</v>
      </c>
      <c r="D588" s="218" t="b">
        <v>1</v>
      </c>
      <c r="E588" s="219" t="b">
        <v>0</v>
      </c>
      <c r="F588" s="219"/>
      <c r="G588" s="173"/>
      <c r="H588" s="157" t="s">
        <v>3618</v>
      </c>
      <c r="I588" s="157" t="s">
        <v>5829</v>
      </c>
      <c r="J588" s="157">
        <v>2025.0</v>
      </c>
    </row>
    <row r="589">
      <c r="A589" s="218">
        <f t="shared" si="2"/>
        <v>586</v>
      </c>
      <c r="B589" s="218" t="s">
        <v>203</v>
      </c>
      <c r="C589" s="219" t="str">
        <f t="shared" si="1"/>
        <v>MN/0766/2025</v>
      </c>
      <c r="D589" s="218" t="b">
        <v>1</v>
      </c>
      <c r="E589" s="219" t="b">
        <v>0</v>
      </c>
      <c r="F589" s="219"/>
      <c r="G589" s="173"/>
      <c r="H589" s="157" t="s">
        <v>3618</v>
      </c>
      <c r="I589" s="157" t="s">
        <v>5830</v>
      </c>
      <c r="J589" s="157">
        <v>2025.0</v>
      </c>
    </row>
    <row r="590">
      <c r="A590" s="218">
        <f t="shared" si="2"/>
        <v>587</v>
      </c>
      <c r="B590" s="218" t="s">
        <v>203</v>
      </c>
      <c r="C590" s="219" t="str">
        <f t="shared" si="1"/>
        <v>MN/0767/2025</v>
      </c>
      <c r="D590" s="218" t="b">
        <v>1</v>
      </c>
      <c r="E590" s="219" t="b">
        <v>0</v>
      </c>
      <c r="F590" s="219"/>
      <c r="G590" s="173"/>
      <c r="H590" s="157" t="s">
        <v>3618</v>
      </c>
      <c r="I590" s="157" t="s">
        <v>5831</v>
      </c>
      <c r="J590" s="157">
        <v>2025.0</v>
      </c>
    </row>
    <row r="591">
      <c r="A591" s="218">
        <f t="shared" si="2"/>
        <v>588</v>
      </c>
      <c r="B591" s="218" t="s">
        <v>203</v>
      </c>
      <c r="C591" s="219" t="str">
        <f t="shared" si="1"/>
        <v>MN/0768/2025</v>
      </c>
      <c r="D591" s="218" t="b">
        <v>1</v>
      </c>
      <c r="E591" s="219" t="b">
        <v>0</v>
      </c>
      <c r="F591" s="219"/>
      <c r="G591" s="173"/>
      <c r="H591" s="157" t="s">
        <v>3618</v>
      </c>
      <c r="I591" s="157" t="s">
        <v>5832</v>
      </c>
      <c r="J591" s="157">
        <v>2025.0</v>
      </c>
    </row>
    <row r="592">
      <c r="A592" s="218">
        <f t="shared" si="2"/>
        <v>589</v>
      </c>
      <c r="B592" s="218" t="s">
        <v>203</v>
      </c>
      <c r="C592" s="219" t="str">
        <f t="shared" si="1"/>
        <v>MN/0769/2025</v>
      </c>
      <c r="D592" s="218" t="b">
        <v>1</v>
      </c>
      <c r="E592" s="219" t="b">
        <v>0</v>
      </c>
      <c r="F592" s="219"/>
      <c r="G592" s="173"/>
      <c r="H592" s="157" t="s">
        <v>3618</v>
      </c>
      <c r="I592" s="157" t="s">
        <v>5833</v>
      </c>
      <c r="J592" s="157">
        <v>2025.0</v>
      </c>
    </row>
    <row r="593">
      <c r="A593" s="218">
        <f t="shared" si="2"/>
        <v>590</v>
      </c>
      <c r="B593" s="218" t="s">
        <v>203</v>
      </c>
      <c r="C593" s="219" t="str">
        <f t="shared" si="1"/>
        <v>MN/0770/2025</v>
      </c>
      <c r="D593" s="218" t="b">
        <v>1</v>
      </c>
      <c r="E593" s="219" t="b">
        <v>0</v>
      </c>
      <c r="F593" s="219"/>
      <c r="G593" s="173"/>
      <c r="H593" s="157" t="s">
        <v>3618</v>
      </c>
      <c r="I593" s="157" t="s">
        <v>5834</v>
      </c>
      <c r="J593" s="157">
        <v>2025.0</v>
      </c>
    </row>
    <row r="594">
      <c r="A594" s="218">
        <f t="shared" si="2"/>
        <v>591</v>
      </c>
      <c r="B594" s="218" t="s">
        <v>203</v>
      </c>
      <c r="C594" s="219" t="str">
        <f t="shared" si="1"/>
        <v>MN/0771/2025</v>
      </c>
      <c r="D594" s="218" t="b">
        <v>1</v>
      </c>
      <c r="E594" s="219" t="b">
        <v>0</v>
      </c>
      <c r="F594" s="219"/>
      <c r="G594" s="173"/>
      <c r="H594" s="157" t="s">
        <v>3618</v>
      </c>
      <c r="I594" s="157" t="s">
        <v>5835</v>
      </c>
      <c r="J594" s="157">
        <v>2025.0</v>
      </c>
    </row>
    <row r="595">
      <c r="A595" s="218">
        <f t="shared" si="2"/>
        <v>592</v>
      </c>
      <c r="B595" s="218" t="s">
        <v>203</v>
      </c>
      <c r="C595" s="219" t="str">
        <f t="shared" si="1"/>
        <v>MN/0772/2025</v>
      </c>
      <c r="D595" s="218" t="b">
        <v>1</v>
      </c>
      <c r="E595" s="219" t="b">
        <v>0</v>
      </c>
      <c r="F595" s="219"/>
      <c r="G595" s="173"/>
      <c r="H595" s="157" t="s">
        <v>3618</v>
      </c>
      <c r="I595" s="157" t="s">
        <v>5836</v>
      </c>
      <c r="J595" s="157">
        <v>2025.0</v>
      </c>
    </row>
    <row r="596">
      <c r="A596" s="218">
        <f t="shared" si="2"/>
        <v>593</v>
      </c>
      <c r="B596" s="218" t="s">
        <v>203</v>
      </c>
      <c r="C596" s="219" t="str">
        <f t="shared" si="1"/>
        <v>MN/0773/2025</v>
      </c>
      <c r="D596" s="218" t="b">
        <v>1</v>
      </c>
      <c r="E596" s="219" t="b">
        <v>0</v>
      </c>
      <c r="F596" s="219"/>
      <c r="G596" s="173"/>
      <c r="H596" s="157" t="s">
        <v>3618</v>
      </c>
      <c r="I596" s="157" t="s">
        <v>5837</v>
      </c>
      <c r="J596" s="157">
        <v>2025.0</v>
      </c>
    </row>
    <row r="597">
      <c r="A597" s="218">
        <f t="shared" si="2"/>
        <v>594</v>
      </c>
      <c r="B597" s="218" t="s">
        <v>203</v>
      </c>
      <c r="C597" s="219" t="str">
        <f t="shared" si="1"/>
        <v>MN/0774/2025</v>
      </c>
      <c r="D597" s="218" t="b">
        <v>1</v>
      </c>
      <c r="E597" s="219" t="b">
        <v>0</v>
      </c>
      <c r="F597" s="219"/>
      <c r="G597" s="173"/>
      <c r="H597" s="157" t="s">
        <v>3618</v>
      </c>
      <c r="I597" s="157" t="s">
        <v>5838</v>
      </c>
      <c r="J597" s="157">
        <v>2025.0</v>
      </c>
    </row>
    <row r="598">
      <c r="A598" s="218">
        <f t="shared" si="2"/>
        <v>595</v>
      </c>
      <c r="B598" s="218" t="s">
        <v>203</v>
      </c>
      <c r="C598" s="219" t="str">
        <f t="shared" si="1"/>
        <v>MN/0775/2025</v>
      </c>
      <c r="D598" s="218" t="b">
        <v>1</v>
      </c>
      <c r="E598" s="219" t="b">
        <v>0</v>
      </c>
      <c r="F598" s="219"/>
      <c r="G598" s="173"/>
      <c r="H598" s="157" t="s">
        <v>3618</v>
      </c>
      <c r="I598" s="157" t="s">
        <v>5839</v>
      </c>
      <c r="J598" s="157">
        <v>2025.0</v>
      </c>
    </row>
    <row r="599">
      <c r="A599" s="218">
        <f t="shared" si="2"/>
        <v>596</v>
      </c>
      <c r="B599" s="218" t="s">
        <v>203</v>
      </c>
      <c r="C599" s="224" t="str">
        <f t="shared" si="1"/>
        <v>MN/0776/2025</v>
      </c>
      <c r="D599" s="218" t="b">
        <v>1</v>
      </c>
      <c r="E599" s="219" t="b">
        <v>0</v>
      </c>
      <c r="F599" s="234">
        <v>45869.0</v>
      </c>
      <c r="G599" s="173"/>
      <c r="H599" s="157" t="s">
        <v>3618</v>
      </c>
      <c r="I599" s="157" t="s">
        <v>5840</v>
      </c>
      <c r="J599" s="157">
        <v>2025.0</v>
      </c>
    </row>
    <row r="600">
      <c r="A600" s="218">
        <f t="shared" si="2"/>
        <v>597</v>
      </c>
      <c r="B600" s="218" t="s">
        <v>203</v>
      </c>
      <c r="C600" s="224" t="str">
        <f t="shared" si="1"/>
        <v>MN/0777/2025</v>
      </c>
      <c r="D600" s="218" t="b">
        <v>1</v>
      </c>
      <c r="E600" s="219" t="b">
        <v>0</v>
      </c>
      <c r="F600" s="234">
        <v>45869.0</v>
      </c>
      <c r="G600" s="173"/>
      <c r="H600" s="157" t="s">
        <v>3618</v>
      </c>
      <c r="I600" s="157" t="s">
        <v>5841</v>
      </c>
      <c r="J600" s="157">
        <v>2025.0</v>
      </c>
    </row>
    <row r="601">
      <c r="A601" s="218">
        <f t="shared" si="2"/>
        <v>598</v>
      </c>
      <c r="B601" s="218" t="s">
        <v>203</v>
      </c>
      <c r="C601" s="224" t="str">
        <f t="shared" si="1"/>
        <v>MN/0778/2025</v>
      </c>
      <c r="D601" s="218" t="b">
        <v>1</v>
      </c>
      <c r="E601" s="219" t="b">
        <v>0</v>
      </c>
      <c r="F601" s="234">
        <v>45869.0</v>
      </c>
      <c r="G601" s="173"/>
      <c r="H601" s="157" t="s">
        <v>3618</v>
      </c>
      <c r="I601" s="157" t="s">
        <v>5842</v>
      </c>
      <c r="J601" s="157">
        <v>2025.0</v>
      </c>
    </row>
    <row r="602">
      <c r="A602" s="218">
        <f t="shared" si="2"/>
        <v>599</v>
      </c>
      <c r="B602" s="218" t="s">
        <v>203</v>
      </c>
      <c r="C602" s="224" t="str">
        <f t="shared" si="1"/>
        <v>MN/0779/2025</v>
      </c>
      <c r="D602" s="218" t="b">
        <v>1</v>
      </c>
      <c r="E602" s="219" t="b">
        <v>0</v>
      </c>
      <c r="F602" s="234">
        <v>45869.0</v>
      </c>
      <c r="G602" s="173"/>
      <c r="H602" s="157" t="s">
        <v>3618</v>
      </c>
      <c r="I602" s="157" t="s">
        <v>5843</v>
      </c>
      <c r="J602" s="157">
        <v>2025.0</v>
      </c>
    </row>
    <row r="603">
      <c r="A603" s="218">
        <f t="shared" si="2"/>
        <v>600</v>
      </c>
      <c r="B603" s="218" t="s">
        <v>203</v>
      </c>
      <c r="C603" s="224" t="str">
        <f t="shared" si="1"/>
        <v>MN/0780/2025</v>
      </c>
      <c r="D603" s="218" t="b">
        <v>1</v>
      </c>
      <c r="E603" s="219" t="b">
        <v>0</v>
      </c>
      <c r="F603" s="234">
        <v>45869.0</v>
      </c>
      <c r="G603" s="173"/>
      <c r="H603" s="157" t="s">
        <v>3618</v>
      </c>
      <c r="I603" s="157" t="s">
        <v>5844</v>
      </c>
      <c r="J603" s="157">
        <v>2025.0</v>
      </c>
    </row>
    <row r="604">
      <c r="A604" s="218">
        <f t="shared" si="2"/>
        <v>601</v>
      </c>
      <c r="B604" s="218" t="s">
        <v>203</v>
      </c>
      <c r="C604" s="224" t="str">
        <f t="shared" si="1"/>
        <v>MN/0781/2025</v>
      </c>
      <c r="D604" s="218" t="b">
        <v>1</v>
      </c>
      <c r="E604" s="219" t="b">
        <v>0</v>
      </c>
      <c r="F604" s="234">
        <v>45869.0</v>
      </c>
      <c r="G604" s="173"/>
      <c r="H604" s="157" t="s">
        <v>3618</v>
      </c>
      <c r="I604" s="157" t="s">
        <v>5845</v>
      </c>
      <c r="J604" s="157">
        <v>2025.0</v>
      </c>
    </row>
    <row r="605">
      <c r="A605" s="218">
        <f t="shared" si="2"/>
        <v>602</v>
      </c>
      <c r="B605" s="218" t="s">
        <v>203</v>
      </c>
      <c r="C605" s="224" t="str">
        <f t="shared" si="1"/>
        <v>MN/0782/2025</v>
      </c>
      <c r="D605" s="218" t="b">
        <v>1</v>
      </c>
      <c r="E605" s="219" t="b">
        <v>0</v>
      </c>
      <c r="F605" s="234">
        <v>45869.0</v>
      </c>
      <c r="G605" s="173"/>
      <c r="H605" s="157" t="s">
        <v>3618</v>
      </c>
      <c r="I605" s="157" t="s">
        <v>5846</v>
      </c>
      <c r="J605" s="157">
        <v>2025.0</v>
      </c>
    </row>
    <row r="606">
      <c r="A606" s="218">
        <f t="shared" si="2"/>
        <v>603</v>
      </c>
      <c r="B606" s="218" t="s">
        <v>203</v>
      </c>
      <c r="C606" s="224" t="str">
        <f t="shared" si="1"/>
        <v>MN/0783/2025</v>
      </c>
      <c r="D606" s="218" t="b">
        <v>1</v>
      </c>
      <c r="E606" s="219" t="b">
        <v>0</v>
      </c>
      <c r="F606" s="234">
        <v>45869.0</v>
      </c>
      <c r="G606" s="173"/>
      <c r="H606" s="157" t="s">
        <v>3618</v>
      </c>
      <c r="I606" s="157" t="s">
        <v>5847</v>
      </c>
      <c r="J606" s="157">
        <v>2025.0</v>
      </c>
    </row>
    <row r="607">
      <c r="A607" s="218">
        <f t="shared" si="2"/>
        <v>604</v>
      </c>
      <c r="B607" s="218" t="s">
        <v>203</v>
      </c>
      <c r="C607" s="224" t="str">
        <f t="shared" si="1"/>
        <v>MN/0784/2025</v>
      </c>
      <c r="D607" s="218" t="b">
        <v>1</v>
      </c>
      <c r="E607" s="219" t="b">
        <v>0</v>
      </c>
      <c r="F607" s="234">
        <v>45869.0</v>
      </c>
      <c r="G607" s="173"/>
      <c r="H607" s="157" t="s">
        <v>3618</v>
      </c>
      <c r="I607" s="157" t="s">
        <v>5848</v>
      </c>
      <c r="J607" s="157">
        <v>2025.0</v>
      </c>
    </row>
    <row r="608">
      <c r="A608" s="218">
        <f t="shared" si="2"/>
        <v>605</v>
      </c>
      <c r="B608" s="218" t="s">
        <v>203</v>
      </c>
      <c r="C608" s="224" t="str">
        <f t="shared" si="1"/>
        <v>MN/0785/2025</v>
      </c>
      <c r="D608" s="218" t="b">
        <v>1</v>
      </c>
      <c r="E608" s="219" t="b">
        <v>0</v>
      </c>
      <c r="F608" s="234">
        <v>45869.0</v>
      </c>
      <c r="G608" s="173"/>
      <c r="H608" s="157" t="s">
        <v>3618</v>
      </c>
      <c r="I608" s="157" t="s">
        <v>5849</v>
      </c>
      <c r="J608" s="157">
        <v>2025.0</v>
      </c>
    </row>
    <row r="609">
      <c r="A609" s="218">
        <f t="shared" si="2"/>
        <v>606</v>
      </c>
      <c r="B609" s="218" t="s">
        <v>203</v>
      </c>
      <c r="C609" s="224" t="str">
        <f t="shared" si="1"/>
        <v>MN/0786/2025</v>
      </c>
      <c r="D609" s="218" t="b">
        <v>1</v>
      </c>
      <c r="E609" s="219" t="b">
        <v>0</v>
      </c>
      <c r="F609" s="234">
        <v>45869.0</v>
      </c>
      <c r="G609" s="173"/>
      <c r="H609" s="157" t="s">
        <v>3618</v>
      </c>
      <c r="I609" s="157" t="s">
        <v>5850</v>
      </c>
      <c r="J609" s="157">
        <v>2025.0</v>
      </c>
    </row>
    <row r="610">
      <c r="A610" s="218">
        <f t="shared" si="2"/>
        <v>607</v>
      </c>
      <c r="B610" s="218" t="s">
        <v>203</v>
      </c>
      <c r="C610" s="224" t="str">
        <f t="shared" si="1"/>
        <v>MN/0787/2025</v>
      </c>
      <c r="D610" s="218" t="b">
        <v>1</v>
      </c>
      <c r="E610" s="219" t="b">
        <v>0</v>
      </c>
      <c r="F610" s="234">
        <v>45869.0</v>
      </c>
      <c r="G610" s="173"/>
      <c r="H610" s="157" t="s">
        <v>3618</v>
      </c>
      <c r="I610" s="157" t="s">
        <v>5851</v>
      </c>
      <c r="J610" s="157">
        <v>2025.0</v>
      </c>
    </row>
    <row r="611">
      <c r="A611" s="218">
        <f t="shared" si="2"/>
        <v>608</v>
      </c>
      <c r="B611" s="218" t="s">
        <v>203</v>
      </c>
      <c r="C611" s="224" t="str">
        <f t="shared" si="1"/>
        <v>MN/0788/2025</v>
      </c>
      <c r="D611" s="218" t="b">
        <v>1</v>
      </c>
      <c r="E611" s="219" t="b">
        <v>0</v>
      </c>
      <c r="F611" s="234">
        <v>45869.0</v>
      </c>
      <c r="G611" s="173"/>
      <c r="H611" s="157" t="s">
        <v>3618</v>
      </c>
      <c r="I611" s="157" t="s">
        <v>5852</v>
      </c>
      <c r="J611" s="157">
        <v>2025.0</v>
      </c>
    </row>
    <row r="612">
      <c r="A612" s="218">
        <f t="shared" si="2"/>
        <v>609</v>
      </c>
      <c r="B612" s="218" t="s">
        <v>203</v>
      </c>
      <c r="C612" s="224" t="str">
        <f t="shared" si="1"/>
        <v>MN/0789/2025</v>
      </c>
      <c r="D612" s="218" t="b">
        <v>1</v>
      </c>
      <c r="E612" s="219" t="b">
        <v>0</v>
      </c>
      <c r="F612" s="234">
        <v>45869.0</v>
      </c>
      <c r="G612" s="173"/>
      <c r="H612" s="157" t="s">
        <v>3618</v>
      </c>
      <c r="I612" s="157" t="s">
        <v>5853</v>
      </c>
      <c r="J612" s="157">
        <v>2025.0</v>
      </c>
    </row>
    <row r="613">
      <c r="A613" s="218">
        <f t="shared" si="2"/>
        <v>610</v>
      </c>
      <c r="B613" s="218" t="s">
        <v>203</v>
      </c>
      <c r="C613" s="224" t="str">
        <f t="shared" si="1"/>
        <v>MN/0790/2025</v>
      </c>
      <c r="D613" s="218" t="b">
        <v>1</v>
      </c>
      <c r="E613" s="219" t="b">
        <v>0</v>
      </c>
      <c r="F613" s="234">
        <v>45869.0</v>
      </c>
      <c r="G613" s="173"/>
      <c r="H613" s="157" t="s">
        <v>3618</v>
      </c>
      <c r="I613" s="157" t="s">
        <v>5854</v>
      </c>
      <c r="J613" s="157">
        <v>2025.0</v>
      </c>
    </row>
    <row r="614">
      <c r="A614" s="218">
        <f t="shared" si="2"/>
        <v>611</v>
      </c>
      <c r="B614" s="218" t="s">
        <v>203</v>
      </c>
      <c r="C614" s="224" t="str">
        <f t="shared" si="1"/>
        <v>MN/0791/2025</v>
      </c>
      <c r="D614" s="218" t="b">
        <v>1</v>
      </c>
      <c r="E614" s="218" t="b">
        <v>0</v>
      </c>
      <c r="F614" s="219"/>
      <c r="G614" s="173"/>
      <c r="H614" s="157" t="s">
        <v>3618</v>
      </c>
      <c r="I614" s="157" t="s">
        <v>5855</v>
      </c>
      <c r="J614" s="157">
        <v>2025.0</v>
      </c>
    </row>
    <row r="615">
      <c r="A615" s="218">
        <f t="shared" si="2"/>
        <v>612</v>
      </c>
      <c r="B615" s="218" t="s">
        <v>203</v>
      </c>
      <c r="C615" s="224" t="str">
        <f t="shared" si="1"/>
        <v>MN/0792/2025</v>
      </c>
      <c r="D615" s="218" t="b">
        <v>1</v>
      </c>
      <c r="E615" s="218" t="b">
        <v>0</v>
      </c>
      <c r="F615" s="219"/>
      <c r="G615" s="173"/>
      <c r="H615" s="157" t="s">
        <v>3618</v>
      </c>
      <c r="I615" s="157" t="s">
        <v>5856</v>
      </c>
      <c r="J615" s="157">
        <v>2025.0</v>
      </c>
    </row>
    <row r="616">
      <c r="A616" s="218">
        <f t="shared" si="2"/>
        <v>613</v>
      </c>
      <c r="B616" s="218" t="s">
        <v>203</v>
      </c>
      <c r="C616" s="224" t="str">
        <f t="shared" si="1"/>
        <v>MN/0793/2025</v>
      </c>
      <c r="D616" s="218" t="b">
        <v>1</v>
      </c>
      <c r="E616" s="218" t="b">
        <v>0</v>
      </c>
      <c r="F616" s="219"/>
      <c r="G616" s="173"/>
      <c r="H616" s="157" t="s">
        <v>3618</v>
      </c>
      <c r="I616" s="157" t="s">
        <v>5859</v>
      </c>
      <c r="J616" s="157">
        <v>2025.0</v>
      </c>
    </row>
    <row r="617">
      <c r="A617" s="218">
        <f t="shared" si="2"/>
        <v>614</v>
      </c>
      <c r="B617" s="218" t="s">
        <v>203</v>
      </c>
      <c r="C617" s="224" t="str">
        <f t="shared" si="1"/>
        <v>MN/0794/2025</v>
      </c>
      <c r="D617" s="218" t="b">
        <v>1</v>
      </c>
      <c r="E617" s="218" t="b">
        <v>0</v>
      </c>
      <c r="F617" s="219"/>
      <c r="G617" s="173"/>
      <c r="H617" s="157" t="s">
        <v>3618</v>
      </c>
      <c r="I617" s="157" t="s">
        <v>5860</v>
      </c>
      <c r="J617" s="157">
        <v>2025.0</v>
      </c>
    </row>
    <row r="618">
      <c r="A618" s="218">
        <f t="shared" si="2"/>
        <v>615</v>
      </c>
      <c r="B618" s="218" t="s">
        <v>203</v>
      </c>
      <c r="C618" s="224" t="str">
        <f t="shared" si="1"/>
        <v>MN/0795/2025</v>
      </c>
      <c r="D618" s="218" t="b">
        <v>1</v>
      </c>
      <c r="E618" s="218" t="b">
        <v>0</v>
      </c>
      <c r="F618" s="219"/>
      <c r="G618" s="173"/>
      <c r="H618" s="157" t="s">
        <v>3618</v>
      </c>
      <c r="I618" s="157" t="s">
        <v>5861</v>
      </c>
      <c r="J618" s="157">
        <v>2025.0</v>
      </c>
    </row>
    <row r="619">
      <c r="A619" s="218">
        <f t="shared" si="2"/>
        <v>616</v>
      </c>
      <c r="B619" s="218" t="s">
        <v>203</v>
      </c>
      <c r="C619" s="224" t="str">
        <f t="shared" si="1"/>
        <v>MN/0796/2025</v>
      </c>
      <c r="D619" s="218" t="b">
        <v>1</v>
      </c>
      <c r="E619" s="218" t="b">
        <v>0</v>
      </c>
      <c r="F619" s="219"/>
      <c r="G619" s="173"/>
      <c r="H619" s="157" t="s">
        <v>3618</v>
      </c>
      <c r="I619" s="157" t="s">
        <v>5862</v>
      </c>
      <c r="J619" s="157">
        <v>2025.0</v>
      </c>
    </row>
    <row r="620">
      <c r="A620" s="218">
        <f t="shared" si="2"/>
        <v>617</v>
      </c>
      <c r="B620" s="218" t="s">
        <v>203</v>
      </c>
      <c r="C620" s="224" t="str">
        <f t="shared" si="1"/>
        <v>MN/0797/2025</v>
      </c>
      <c r="D620" s="218" t="b">
        <v>1</v>
      </c>
      <c r="E620" s="218" t="b">
        <v>0</v>
      </c>
      <c r="F620" s="219"/>
      <c r="G620" s="173"/>
      <c r="H620" s="157" t="s">
        <v>3618</v>
      </c>
      <c r="I620" s="157" t="s">
        <v>5863</v>
      </c>
      <c r="J620" s="157">
        <v>2025.0</v>
      </c>
    </row>
    <row r="621">
      <c r="A621" s="218">
        <f t="shared" si="2"/>
        <v>618</v>
      </c>
      <c r="B621" s="218" t="s">
        <v>203</v>
      </c>
      <c r="C621" s="224" t="str">
        <f t="shared" si="1"/>
        <v>MN/0798/2025</v>
      </c>
      <c r="D621" s="218" t="b">
        <v>1</v>
      </c>
      <c r="E621" s="218" t="b">
        <v>0</v>
      </c>
      <c r="F621" s="219"/>
      <c r="G621" s="173"/>
      <c r="H621" s="157" t="s">
        <v>3618</v>
      </c>
      <c r="I621" s="157" t="s">
        <v>5864</v>
      </c>
      <c r="J621" s="157">
        <v>2025.0</v>
      </c>
    </row>
    <row r="622">
      <c r="A622" s="218">
        <f t="shared" si="2"/>
        <v>619</v>
      </c>
      <c r="B622" s="218" t="s">
        <v>203</v>
      </c>
      <c r="C622" s="224" t="str">
        <f t="shared" si="1"/>
        <v>MN/0799/2025</v>
      </c>
      <c r="D622" s="218" t="b">
        <v>1</v>
      </c>
      <c r="E622" s="218" t="b">
        <v>0</v>
      </c>
      <c r="F622" s="219"/>
      <c r="G622" s="173"/>
      <c r="H622" s="157" t="s">
        <v>3618</v>
      </c>
      <c r="I622" s="157" t="s">
        <v>5865</v>
      </c>
      <c r="J622" s="157">
        <v>2025.0</v>
      </c>
    </row>
    <row r="623">
      <c r="A623" s="218">
        <f t="shared" si="2"/>
        <v>620</v>
      </c>
      <c r="B623" s="218" t="s">
        <v>203</v>
      </c>
      <c r="C623" s="224" t="str">
        <f t="shared" si="1"/>
        <v>MN/0800/2025</v>
      </c>
      <c r="D623" s="218" t="b">
        <v>1</v>
      </c>
      <c r="E623" s="218" t="b">
        <v>0</v>
      </c>
      <c r="F623" s="219"/>
      <c r="G623" s="173"/>
      <c r="H623" s="157" t="s">
        <v>3618</v>
      </c>
      <c r="I623" s="157" t="s">
        <v>5866</v>
      </c>
      <c r="J623" s="157">
        <v>2025.0</v>
      </c>
    </row>
    <row r="624">
      <c r="A624" s="218">
        <f t="shared" si="2"/>
        <v>621</v>
      </c>
      <c r="B624" s="218" t="s">
        <v>203</v>
      </c>
      <c r="C624" s="224" t="str">
        <f t="shared" si="1"/>
        <v>MN/0801/2025</v>
      </c>
      <c r="D624" s="218" t="b">
        <v>1</v>
      </c>
      <c r="E624" s="218" t="b">
        <v>0</v>
      </c>
      <c r="F624" s="219"/>
      <c r="G624" s="173"/>
      <c r="H624" s="157" t="s">
        <v>3618</v>
      </c>
      <c r="I624" s="157" t="s">
        <v>5867</v>
      </c>
      <c r="J624" s="157">
        <v>2025.0</v>
      </c>
    </row>
    <row r="625">
      <c r="A625" s="218">
        <f t="shared" si="2"/>
        <v>622</v>
      </c>
      <c r="B625" s="218" t="s">
        <v>203</v>
      </c>
      <c r="C625" s="224" t="str">
        <f t="shared" si="1"/>
        <v>MN/0802/2025</v>
      </c>
      <c r="D625" s="218" t="b">
        <v>1</v>
      </c>
      <c r="E625" s="218" t="b">
        <v>0</v>
      </c>
      <c r="F625" s="234">
        <v>45999.0</v>
      </c>
      <c r="G625" s="173"/>
      <c r="H625" s="157" t="s">
        <v>3618</v>
      </c>
      <c r="I625" s="157" t="s">
        <v>5868</v>
      </c>
      <c r="J625" s="157">
        <v>2025.0</v>
      </c>
    </row>
    <row r="626">
      <c r="A626" s="218">
        <f t="shared" si="2"/>
        <v>623</v>
      </c>
      <c r="B626" s="218" t="s">
        <v>203</v>
      </c>
      <c r="C626" s="224" t="str">
        <f t="shared" si="1"/>
        <v>MN/0803/2025</v>
      </c>
      <c r="D626" s="218" t="b">
        <v>1</v>
      </c>
      <c r="E626" s="218" t="b">
        <v>0</v>
      </c>
      <c r="F626" s="234">
        <v>45999.0</v>
      </c>
      <c r="G626" s="173"/>
      <c r="H626" s="157" t="s">
        <v>3618</v>
      </c>
      <c r="I626" s="157" t="s">
        <v>5869</v>
      </c>
      <c r="J626" s="157">
        <v>2025.0</v>
      </c>
    </row>
    <row r="627">
      <c r="A627" s="218">
        <f t="shared" si="2"/>
        <v>624</v>
      </c>
      <c r="B627" s="218" t="s">
        <v>203</v>
      </c>
      <c r="C627" s="224" t="str">
        <f t="shared" si="1"/>
        <v>MN/0804/2025</v>
      </c>
      <c r="D627" s="218" t="b">
        <v>1</v>
      </c>
      <c r="E627" s="218" t="b">
        <v>0</v>
      </c>
      <c r="F627" s="234">
        <v>45999.0</v>
      </c>
      <c r="G627" s="173"/>
      <c r="H627" s="157" t="s">
        <v>3618</v>
      </c>
      <c r="I627" s="157" t="s">
        <v>5870</v>
      </c>
      <c r="J627" s="157">
        <v>2025.0</v>
      </c>
    </row>
    <row r="628">
      <c r="A628" s="218">
        <f t="shared" si="2"/>
        <v>625</v>
      </c>
      <c r="B628" s="218" t="s">
        <v>203</v>
      </c>
      <c r="C628" s="224" t="str">
        <f t="shared" si="1"/>
        <v>MN/0805/2025</v>
      </c>
      <c r="D628" s="218" t="b">
        <v>1</v>
      </c>
      <c r="E628" s="218" t="b">
        <v>0</v>
      </c>
      <c r="F628" s="234">
        <v>45999.0</v>
      </c>
      <c r="G628" s="173"/>
      <c r="H628" s="157" t="s">
        <v>3618</v>
      </c>
      <c r="I628" s="157" t="s">
        <v>5871</v>
      </c>
      <c r="J628" s="157">
        <v>2025.0</v>
      </c>
    </row>
    <row r="629">
      <c r="A629" s="218">
        <f t="shared" si="2"/>
        <v>626</v>
      </c>
      <c r="B629" s="218" t="s">
        <v>203</v>
      </c>
      <c r="C629" s="224" t="str">
        <f t="shared" si="1"/>
        <v>MN/0806/2025</v>
      </c>
      <c r="D629" s="218" t="b">
        <v>1</v>
      </c>
      <c r="E629" s="218" t="b">
        <v>0</v>
      </c>
      <c r="F629" s="234">
        <v>45999.0</v>
      </c>
      <c r="G629" s="173"/>
      <c r="H629" s="157" t="s">
        <v>3618</v>
      </c>
      <c r="I629" s="157" t="s">
        <v>5872</v>
      </c>
      <c r="J629" s="157">
        <v>2025.0</v>
      </c>
    </row>
    <row r="630">
      <c r="A630" s="218">
        <f t="shared" si="2"/>
        <v>627</v>
      </c>
      <c r="B630" s="218" t="s">
        <v>203</v>
      </c>
      <c r="C630" s="224" t="str">
        <f t="shared" si="1"/>
        <v>MN/0807/2025</v>
      </c>
      <c r="D630" s="218" t="b">
        <v>1</v>
      </c>
      <c r="E630" s="218" t="b">
        <v>0</v>
      </c>
      <c r="F630" s="234">
        <v>45999.0</v>
      </c>
      <c r="G630" s="173"/>
      <c r="H630" s="157" t="s">
        <v>3618</v>
      </c>
      <c r="I630" s="157" t="s">
        <v>5873</v>
      </c>
      <c r="J630" s="157">
        <v>2025.0</v>
      </c>
    </row>
    <row r="631">
      <c r="A631" s="218">
        <f t="shared" si="2"/>
        <v>628</v>
      </c>
      <c r="B631" s="218" t="s">
        <v>203</v>
      </c>
      <c r="C631" s="224" t="str">
        <f t="shared" si="1"/>
        <v>MN/0808/2025</v>
      </c>
      <c r="D631" s="218" t="b">
        <v>1</v>
      </c>
      <c r="E631" s="218" t="b">
        <v>0</v>
      </c>
      <c r="F631" s="234">
        <v>45999.0</v>
      </c>
      <c r="G631" s="173"/>
      <c r="H631" s="157" t="s">
        <v>3618</v>
      </c>
      <c r="I631" s="157" t="s">
        <v>5874</v>
      </c>
      <c r="J631" s="157">
        <v>2025.0</v>
      </c>
    </row>
    <row r="632">
      <c r="A632" s="218">
        <f t="shared" si="2"/>
        <v>629</v>
      </c>
      <c r="B632" s="218" t="s">
        <v>203</v>
      </c>
      <c r="C632" s="224" t="str">
        <f t="shared" si="1"/>
        <v>MN/0809/2025</v>
      </c>
      <c r="D632" s="218" t="b">
        <v>1</v>
      </c>
      <c r="E632" s="218" t="b">
        <v>0</v>
      </c>
      <c r="F632" s="234">
        <v>45999.0</v>
      </c>
      <c r="G632" s="173"/>
      <c r="H632" s="157" t="s">
        <v>3618</v>
      </c>
      <c r="I632" s="157" t="s">
        <v>5875</v>
      </c>
      <c r="J632" s="157">
        <v>2025.0</v>
      </c>
    </row>
    <row r="633">
      <c r="A633" s="218">
        <f t="shared" si="2"/>
        <v>630</v>
      </c>
      <c r="B633" s="218" t="s">
        <v>203</v>
      </c>
      <c r="C633" s="224" t="str">
        <f t="shared" si="1"/>
        <v>MN/0810/2025</v>
      </c>
      <c r="D633" s="218" t="b">
        <v>1</v>
      </c>
      <c r="E633" s="218" t="b">
        <v>0</v>
      </c>
      <c r="F633" s="234">
        <v>45999.0</v>
      </c>
      <c r="G633" s="173"/>
      <c r="H633" s="157" t="s">
        <v>3618</v>
      </c>
      <c r="I633" s="157" t="s">
        <v>5877</v>
      </c>
      <c r="J633" s="157">
        <v>2025.0</v>
      </c>
    </row>
    <row r="634">
      <c r="A634" s="218">
        <f t="shared" si="2"/>
        <v>631</v>
      </c>
      <c r="B634" s="218" t="s">
        <v>203</v>
      </c>
      <c r="C634" s="224" t="str">
        <f t="shared" si="1"/>
        <v>MN/0811/2025</v>
      </c>
      <c r="D634" s="218" t="b">
        <v>1</v>
      </c>
      <c r="E634" s="218" t="b">
        <v>0</v>
      </c>
      <c r="F634" s="234">
        <v>45999.0</v>
      </c>
      <c r="G634" s="173"/>
      <c r="H634" s="157" t="s">
        <v>3618</v>
      </c>
      <c r="I634" s="157" t="s">
        <v>5878</v>
      </c>
      <c r="J634" s="157">
        <v>2025.0</v>
      </c>
    </row>
    <row r="635">
      <c r="A635" s="218">
        <f t="shared" si="2"/>
        <v>632</v>
      </c>
      <c r="B635" s="218" t="s">
        <v>203</v>
      </c>
      <c r="C635" s="224" t="str">
        <f t="shared" si="1"/>
        <v>MN/0812/2025</v>
      </c>
      <c r="D635" s="218" t="b">
        <v>1</v>
      </c>
      <c r="E635" s="218" t="b">
        <v>0</v>
      </c>
      <c r="F635" s="234">
        <v>45999.0</v>
      </c>
      <c r="G635" s="173"/>
      <c r="H635" s="157" t="s">
        <v>3618</v>
      </c>
      <c r="I635" s="157" t="s">
        <v>5879</v>
      </c>
      <c r="J635" s="157">
        <v>2025.0</v>
      </c>
    </row>
    <row r="636">
      <c r="A636" s="218">
        <f t="shared" si="2"/>
        <v>633</v>
      </c>
      <c r="B636" s="218" t="s">
        <v>203</v>
      </c>
      <c r="C636" s="224" t="str">
        <f t="shared" si="1"/>
        <v>MN/0813/2025</v>
      </c>
      <c r="D636" s="218" t="b">
        <v>1</v>
      </c>
      <c r="E636" s="218" t="b">
        <v>0</v>
      </c>
      <c r="F636" s="234">
        <v>45999.0</v>
      </c>
      <c r="G636" s="173"/>
      <c r="H636" s="157" t="s">
        <v>3618</v>
      </c>
      <c r="I636" s="157" t="s">
        <v>5880</v>
      </c>
      <c r="J636" s="157">
        <v>2025.0</v>
      </c>
    </row>
    <row r="637">
      <c r="A637" s="218">
        <f t="shared" si="2"/>
        <v>634</v>
      </c>
      <c r="B637" s="218" t="s">
        <v>203</v>
      </c>
      <c r="C637" s="224" t="str">
        <f t="shared" si="1"/>
        <v>MN/0814/2025</v>
      </c>
      <c r="D637" s="218" t="b">
        <v>1</v>
      </c>
      <c r="E637" s="218" t="b">
        <v>0</v>
      </c>
      <c r="F637" s="234">
        <v>45999.0</v>
      </c>
      <c r="G637" s="173"/>
      <c r="H637" s="157" t="s">
        <v>3618</v>
      </c>
      <c r="I637" s="157" t="s">
        <v>5881</v>
      </c>
      <c r="J637" s="157">
        <v>2025.0</v>
      </c>
    </row>
    <row r="638">
      <c r="A638" s="218">
        <f t="shared" si="2"/>
        <v>635</v>
      </c>
      <c r="B638" s="218" t="s">
        <v>203</v>
      </c>
      <c r="C638" s="224" t="str">
        <f t="shared" si="1"/>
        <v>MN/0815/2025</v>
      </c>
      <c r="D638" s="218" t="b">
        <v>1</v>
      </c>
      <c r="E638" s="218" t="b">
        <v>0</v>
      </c>
      <c r="F638" s="234">
        <v>45999.0</v>
      </c>
      <c r="G638" s="173"/>
      <c r="H638" s="157" t="s">
        <v>3618</v>
      </c>
      <c r="I638" s="157" t="s">
        <v>5882</v>
      </c>
      <c r="J638" s="157">
        <v>2025.0</v>
      </c>
    </row>
    <row r="639">
      <c r="A639" s="218">
        <f t="shared" si="2"/>
        <v>636</v>
      </c>
      <c r="B639" s="218" t="s">
        <v>203</v>
      </c>
      <c r="C639" s="224" t="str">
        <f t="shared" si="1"/>
        <v>MN/0816/2025</v>
      </c>
      <c r="D639" s="218" t="b">
        <v>1</v>
      </c>
      <c r="E639" s="218" t="b">
        <v>0</v>
      </c>
      <c r="F639" s="234">
        <v>45999.0</v>
      </c>
      <c r="G639" s="173"/>
      <c r="H639" s="157" t="s">
        <v>3618</v>
      </c>
      <c r="I639" s="157" t="s">
        <v>5883</v>
      </c>
      <c r="J639" s="157">
        <v>2025.0</v>
      </c>
    </row>
    <row r="640">
      <c r="A640" s="218">
        <f t="shared" si="2"/>
        <v>637</v>
      </c>
      <c r="B640" s="218" t="s">
        <v>203</v>
      </c>
      <c r="C640" s="224" t="str">
        <f t="shared" si="1"/>
        <v>MN/0817/2025</v>
      </c>
      <c r="D640" s="218" t="b">
        <v>1</v>
      </c>
      <c r="E640" s="218" t="b">
        <v>0</v>
      </c>
      <c r="F640" s="234">
        <v>45999.0</v>
      </c>
      <c r="G640" s="173"/>
      <c r="H640" s="157" t="s">
        <v>3618</v>
      </c>
      <c r="I640" s="157" t="s">
        <v>5884</v>
      </c>
      <c r="J640" s="157">
        <v>2025.0</v>
      </c>
    </row>
    <row r="641">
      <c r="A641" s="218">
        <f t="shared" si="2"/>
        <v>638</v>
      </c>
      <c r="B641" s="218" t="s">
        <v>203</v>
      </c>
      <c r="C641" s="224" t="str">
        <f t="shared" si="1"/>
        <v>MN/0818/2025</v>
      </c>
      <c r="D641" s="218" t="b">
        <v>1</v>
      </c>
      <c r="E641" s="218" t="b">
        <v>0</v>
      </c>
      <c r="F641" s="234">
        <v>45999.0</v>
      </c>
      <c r="G641" s="173"/>
      <c r="H641" s="157" t="s">
        <v>3618</v>
      </c>
      <c r="I641" s="157" t="s">
        <v>5885</v>
      </c>
      <c r="J641" s="157">
        <v>2025.0</v>
      </c>
    </row>
    <row r="642">
      <c r="A642" s="218">
        <f t="shared" si="2"/>
        <v>639</v>
      </c>
      <c r="B642" s="218" t="s">
        <v>203</v>
      </c>
      <c r="C642" s="224" t="str">
        <f t="shared" si="1"/>
        <v>MN/0819/2025</v>
      </c>
      <c r="D642" s="219" t="b">
        <v>0</v>
      </c>
      <c r="E642" s="218" t="b">
        <v>1</v>
      </c>
      <c r="F642" s="218" t="s">
        <v>5887</v>
      </c>
      <c r="G642" s="173"/>
      <c r="H642" s="157" t="s">
        <v>3618</v>
      </c>
      <c r="I642" s="157" t="s">
        <v>5888</v>
      </c>
      <c r="J642" s="157">
        <v>2025.0</v>
      </c>
    </row>
    <row r="643">
      <c r="A643" s="218">
        <f t="shared" si="2"/>
        <v>640</v>
      </c>
      <c r="B643" s="218" t="s">
        <v>203</v>
      </c>
      <c r="C643" s="224" t="str">
        <f t="shared" si="1"/>
        <v>MN/0820/2025</v>
      </c>
      <c r="D643" s="219" t="b">
        <v>0</v>
      </c>
      <c r="E643" s="218" t="b">
        <v>1</v>
      </c>
      <c r="F643" s="218" t="s">
        <v>5887</v>
      </c>
      <c r="G643" s="173"/>
      <c r="H643" s="157" t="s">
        <v>3618</v>
      </c>
      <c r="I643" s="157" t="s">
        <v>5889</v>
      </c>
      <c r="J643" s="157">
        <v>2025.0</v>
      </c>
    </row>
    <row r="644">
      <c r="A644" s="218">
        <f t="shared" si="2"/>
        <v>641</v>
      </c>
      <c r="B644" s="218" t="s">
        <v>203</v>
      </c>
      <c r="C644" s="224" t="str">
        <f t="shared" si="1"/>
        <v>MN/0821/2025</v>
      </c>
      <c r="D644" s="219" t="b">
        <v>0</v>
      </c>
      <c r="E644" s="218" t="b">
        <v>1</v>
      </c>
      <c r="F644" s="218" t="s">
        <v>5887</v>
      </c>
      <c r="G644" s="173"/>
      <c r="H644" s="157" t="s">
        <v>3618</v>
      </c>
      <c r="I644" s="157" t="s">
        <v>5890</v>
      </c>
      <c r="J644" s="157">
        <v>2025.0</v>
      </c>
    </row>
    <row r="645">
      <c r="A645" s="218">
        <f t="shared" si="2"/>
        <v>642</v>
      </c>
      <c r="B645" s="218" t="s">
        <v>203</v>
      </c>
      <c r="C645" s="224" t="str">
        <f t="shared" si="1"/>
        <v>MN/0822/2025</v>
      </c>
      <c r="D645" s="219" t="b">
        <v>0</v>
      </c>
      <c r="E645" s="218" t="b">
        <v>1</v>
      </c>
      <c r="F645" s="218" t="s">
        <v>5887</v>
      </c>
      <c r="G645" s="173"/>
      <c r="H645" s="157" t="s">
        <v>3618</v>
      </c>
      <c r="I645" s="157" t="s">
        <v>5891</v>
      </c>
      <c r="J645" s="157">
        <v>2025.0</v>
      </c>
    </row>
    <row r="646">
      <c r="A646" s="218">
        <f t="shared" si="2"/>
        <v>643</v>
      </c>
      <c r="B646" s="218" t="s">
        <v>203</v>
      </c>
      <c r="C646" s="224" t="str">
        <f t="shared" si="1"/>
        <v>MN/0823/2025</v>
      </c>
      <c r="D646" s="219" t="b">
        <v>0</v>
      </c>
      <c r="E646" s="218" t="b">
        <v>1</v>
      </c>
      <c r="F646" s="218" t="s">
        <v>5887</v>
      </c>
      <c r="G646" s="173"/>
      <c r="H646" s="157" t="s">
        <v>3618</v>
      </c>
      <c r="I646" s="157" t="s">
        <v>5892</v>
      </c>
      <c r="J646" s="157">
        <v>2025.0</v>
      </c>
    </row>
    <row r="647">
      <c r="A647" s="218">
        <f t="shared" si="2"/>
        <v>644</v>
      </c>
      <c r="B647" s="218" t="s">
        <v>203</v>
      </c>
      <c r="C647" s="224" t="str">
        <f t="shared" si="1"/>
        <v>MN/0824/2025</v>
      </c>
      <c r="D647" s="219" t="b">
        <v>0</v>
      </c>
      <c r="E647" s="218" t="b">
        <v>1</v>
      </c>
      <c r="F647" s="218" t="s">
        <v>5887</v>
      </c>
      <c r="G647" s="173"/>
      <c r="H647" s="157" t="s">
        <v>3618</v>
      </c>
      <c r="I647" s="157" t="s">
        <v>5893</v>
      </c>
      <c r="J647" s="157">
        <v>2025.0</v>
      </c>
    </row>
    <row r="648">
      <c r="A648" s="218">
        <f t="shared" si="2"/>
        <v>645</v>
      </c>
      <c r="B648" s="218" t="s">
        <v>203</v>
      </c>
      <c r="C648" s="224" t="str">
        <f t="shared" si="1"/>
        <v>MN/0825/2025</v>
      </c>
      <c r="D648" s="219" t="b">
        <v>0</v>
      </c>
      <c r="E648" s="218" t="b">
        <v>1</v>
      </c>
      <c r="F648" s="218" t="s">
        <v>5887</v>
      </c>
      <c r="G648" s="173"/>
      <c r="H648" s="157" t="s">
        <v>3618</v>
      </c>
      <c r="I648" s="157" t="s">
        <v>5894</v>
      </c>
      <c r="J648" s="157">
        <v>2025.0</v>
      </c>
    </row>
    <row r="649">
      <c r="A649" s="218">
        <f t="shared" si="2"/>
        <v>646</v>
      </c>
      <c r="B649" s="218" t="s">
        <v>203</v>
      </c>
      <c r="C649" s="224" t="str">
        <f t="shared" si="1"/>
        <v>MN/0826/2025</v>
      </c>
      <c r="D649" s="219" t="b">
        <v>0</v>
      </c>
      <c r="E649" s="218" t="b">
        <v>1</v>
      </c>
      <c r="F649" s="218" t="s">
        <v>5887</v>
      </c>
      <c r="G649" s="173"/>
      <c r="H649" s="157" t="s">
        <v>3618</v>
      </c>
      <c r="I649" s="157" t="s">
        <v>5895</v>
      </c>
      <c r="J649" s="157">
        <v>2025.0</v>
      </c>
    </row>
    <row r="650">
      <c r="A650" s="218">
        <f t="shared" si="2"/>
        <v>647</v>
      </c>
      <c r="B650" s="218" t="s">
        <v>203</v>
      </c>
      <c r="C650" s="224" t="str">
        <f t="shared" si="1"/>
        <v>MN/0827/2025</v>
      </c>
      <c r="D650" s="219" t="b">
        <v>0</v>
      </c>
      <c r="E650" s="218" t="b">
        <v>1</v>
      </c>
      <c r="F650" s="218" t="s">
        <v>5887</v>
      </c>
      <c r="G650" s="173"/>
      <c r="H650" s="157" t="s">
        <v>3618</v>
      </c>
      <c r="I650" s="157" t="s">
        <v>5896</v>
      </c>
      <c r="J650" s="157">
        <v>2025.0</v>
      </c>
    </row>
    <row r="651">
      <c r="A651" s="218">
        <f t="shared" si="2"/>
        <v>648</v>
      </c>
      <c r="B651" s="218" t="s">
        <v>203</v>
      </c>
      <c r="C651" s="224" t="str">
        <f t="shared" si="1"/>
        <v>MN/0828/2025</v>
      </c>
      <c r="D651" s="219" t="b">
        <v>0</v>
      </c>
      <c r="E651" s="218" t="b">
        <v>1</v>
      </c>
      <c r="F651" s="218" t="s">
        <v>5887</v>
      </c>
      <c r="G651" s="173"/>
      <c r="H651" s="157" t="s">
        <v>3618</v>
      </c>
      <c r="I651" s="157" t="s">
        <v>5897</v>
      </c>
      <c r="J651" s="157">
        <v>2025.0</v>
      </c>
    </row>
    <row r="652">
      <c r="A652" s="218">
        <f t="shared" si="2"/>
        <v>649</v>
      </c>
      <c r="B652" s="218" t="s">
        <v>203</v>
      </c>
      <c r="C652" s="224" t="str">
        <f t="shared" si="1"/>
        <v>MN/0829/2025</v>
      </c>
      <c r="D652" s="219" t="b">
        <v>0</v>
      </c>
      <c r="E652" s="218" t="b">
        <v>1</v>
      </c>
      <c r="F652" s="218" t="s">
        <v>5887</v>
      </c>
      <c r="G652" s="173"/>
      <c r="H652" s="157" t="s">
        <v>3618</v>
      </c>
      <c r="I652" s="157" t="s">
        <v>5898</v>
      </c>
      <c r="J652" s="157">
        <v>2025.0</v>
      </c>
    </row>
    <row r="653">
      <c r="A653" s="218">
        <f t="shared" si="2"/>
        <v>650</v>
      </c>
      <c r="B653" s="218" t="s">
        <v>203</v>
      </c>
      <c r="C653" s="224" t="str">
        <f t="shared" si="1"/>
        <v>MN/0830/2025</v>
      </c>
      <c r="D653" s="218" t="b">
        <v>1</v>
      </c>
      <c r="E653" s="219" t="b">
        <v>0</v>
      </c>
      <c r="F653" s="234">
        <v>45999.0</v>
      </c>
      <c r="G653" s="173"/>
      <c r="H653" s="157" t="s">
        <v>3618</v>
      </c>
      <c r="I653" s="157" t="s">
        <v>5899</v>
      </c>
      <c r="J653" s="157">
        <v>2025.0</v>
      </c>
    </row>
    <row r="654">
      <c r="A654" s="218">
        <f t="shared" si="2"/>
        <v>651</v>
      </c>
      <c r="B654" s="218" t="s">
        <v>203</v>
      </c>
      <c r="C654" s="224" t="str">
        <f t="shared" si="1"/>
        <v>MN/0831/2025</v>
      </c>
      <c r="D654" s="218" t="b">
        <v>1</v>
      </c>
      <c r="E654" s="219" t="b">
        <v>0</v>
      </c>
      <c r="F654" s="234">
        <v>45999.0</v>
      </c>
      <c r="G654" s="173"/>
      <c r="H654" s="157" t="s">
        <v>3618</v>
      </c>
      <c r="I654" s="157" t="s">
        <v>5900</v>
      </c>
      <c r="J654" s="157">
        <v>2025.0</v>
      </c>
    </row>
    <row r="655">
      <c r="A655" s="218">
        <f t="shared" si="2"/>
        <v>652</v>
      </c>
      <c r="B655" s="218" t="s">
        <v>203</v>
      </c>
      <c r="C655" s="224" t="str">
        <f t="shared" si="1"/>
        <v>MN/0832/2025</v>
      </c>
      <c r="D655" s="218" t="b">
        <v>1</v>
      </c>
      <c r="E655" s="219" t="b">
        <v>0</v>
      </c>
      <c r="F655" s="234">
        <v>45999.0</v>
      </c>
      <c r="G655" s="173"/>
      <c r="H655" s="157" t="s">
        <v>3618</v>
      </c>
      <c r="I655" s="157" t="s">
        <v>5901</v>
      </c>
      <c r="J655" s="157">
        <v>2025.0</v>
      </c>
    </row>
    <row r="656">
      <c r="A656" s="218">
        <f t="shared" si="2"/>
        <v>653</v>
      </c>
      <c r="B656" s="218" t="s">
        <v>203</v>
      </c>
      <c r="C656" s="224" t="str">
        <f t="shared" si="1"/>
        <v>MN/0833/2025</v>
      </c>
      <c r="D656" s="218" t="b">
        <v>1</v>
      </c>
      <c r="E656" s="219" t="b">
        <v>0</v>
      </c>
      <c r="F656" s="234">
        <v>45999.0</v>
      </c>
      <c r="G656" s="173"/>
      <c r="H656" s="157" t="s">
        <v>3618</v>
      </c>
      <c r="I656" s="157" t="s">
        <v>5902</v>
      </c>
      <c r="J656" s="157">
        <v>2025.0</v>
      </c>
    </row>
    <row r="657">
      <c r="A657" s="218">
        <f t="shared" si="2"/>
        <v>654</v>
      </c>
      <c r="B657" s="218" t="s">
        <v>203</v>
      </c>
      <c r="C657" s="224" t="str">
        <f t="shared" si="1"/>
        <v>MN/0834/2025</v>
      </c>
      <c r="D657" s="218" t="b">
        <v>1</v>
      </c>
      <c r="E657" s="219" t="b">
        <v>0</v>
      </c>
      <c r="F657" s="234">
        <v>45999.0</v>
      </c>
      <c r="G657" s="173"/>
      <c r="H657" s="157" t="s">
        <v>3618</v>
      </c>
      <c r="I657" s="157" t="s">
        <v>5903</v>
      </c>
      <c r="J657" s="157">
        <v>2025.0</v>
      </c>
    </row>
    <row r="658">
      <c r="A658" s="218">
        <f t="shared" si="2"/>
        <v>655</v>
      </c>
      <c r="B658" s="218" t="s">
        <v>203</v>
      </c>
      <c r="C658" s="224" t="str">
        <f t="shared" si="1"/>
        <v>MN/0835/2025</v>
      </c>
      <c r="D658" s="218" t="b">
        <v>1</v>
      </c>
      <c r="E658" s="219" t="b">
        <v>0</v>
      </c>
      <c r="F658" s="234">
        <v>45999.0</v>
      </c>
      <c r="G658" s="173"/>
      <c r="H658" s="157" t="s">
        <v>3618</v>
      </c>
      <c r="I658" s="157" t="s">
        <v>5904</v>
      </c>
      <c r="J658" s="157">
        <v>2025.0</v>
      </c>
    </row>
    <row r="659">
      <c r="A659" s="218">
        <f t="shared" si="2"/>
        <v>656</v>
      </c>
      <c r="B659" s="218" t="s">
        <v>203</v>
      </c>
      <c r="C659" s="237" t="str">
        <f t="shared" si="1"/>
        <v>MN/0836/2025</v>
      </c>
      <c r="D659" s="218" t="b">
        <v>1</v>
      </c>
      <c r="E659" s="219" t="b">
        <v>0</v>
      </c>
      <c r="F659" s="234">
        <v>45999.0</v>
      </c>
      <c r="G659" s="173"/>
      <c r="H659" s="157" t="s">
        <v>3618</v>
      </c>
      <c r="I659" s="157" t="s">
        <v>5905</v>
      </c>
      <c r="J659" s="157">
        <v>2025.0</v>
      </c>
    </row>
    <row r="660">
      <c r="A660" s="218">
        <f t="shared" si="2"/>
        <v>657</v>
      </c>
      <c r="B660" s="218" t="s">
        <v>203</v>
      </c>
      <c r="C660" s="237" t="str">
        <f t="shared" si="1"/>
        <v>MN/0837/2025</v>
      </c>
      <c r="D660" s="218" t="b">
        <v>1</v>
      </c>
      <c r="E660" s="219" t="b">
        <v>0</v>
      </c>
      <c r="F660" s="234">
        <v>45999.0</v>
      </c>
      <c r="G660" s="173"/>
      <c r="H660" s="157" t="s">
        <v>3618</v>
      </c>
      <c r="I660" s="157" t="s">
        <v>5906</v>
      </c>
      <c r="J660" s="157">
        <v>2025.0</v>
      </c>
    </row>
    <row r="661">
      <c r="A661" s="218">
        <f t="shared" si="2"/>
        <v>658</v>
      </c>
      <c r="B661" s="218" t="s">
        <v>203</v>
      </c>
      <c r="C661" s="237" t="str">
        <f t="shared" si="1"/>
        <v>MN/0838/2025</v>
      </c>
      <c r="D661" s="218" t="b">
        <v>1</v>
      </c>
      <c r="E661" s="219" t="b">
        <v>0</v>
      </c>
      <c r="F661" s="234">
        <v>45999.0</v>
      </c>
      <c r="G661" s="173"/>
      <c r="H661" s="157" t="s">
        <v>3618</v>
      </c>
      <c r="I661" s="157" t="s">
        <v>5907</v>
      </c>
      <c r="J661" s="157">
        <v>2025.0</v>
      </c>
    </row>
    <row r="662">
      <c r="A662" s="218">
        <f t="shared" si="2"/>
        <v>659</v>
      </c>
      <c r="B662" s="218" t="s">
        <v>203</v>
      </c>
      <c r="C662" s="237" t="str">
        <f t="shared" si="1"/>
        <v>MN/0839/2025</v>
      </c>
      <c r="D662" s="218" t="b">
        <v>1</v>
      </c>
      <c r="E662" s="219" t="b">
        <v>0</v>
      </c>
      <c r="F662" s="234">
        <v>45999.0</v>
      </c>
      <c r="G662" s="173"/>
      <c r="H662" s="157" t="s">
        <v>3618</v>
      </c>
      <c r="I662" s="157" t="s">
        <v>5908</v>
      </c>
      <c r="J662" s="157">
        <v>2025.0</v>
      </c>
    </row>
    <row r="663">
      <c r="A663" s="218">
        <f t="shared" si="2"/>
        <v>660</v>
      </c>
      <c r="B663" s="218" t="s">
        <v>203</v>
      </c>
      <c r="C663" s="237" t="str">
        <f t="shared" si="1"/>
        <v>MN/0840/2025</v>
      </c>
      <c r="D663" s="218" t="b">
        <v>1</v>
      </c>
      <c r="E663" s="219" t="b">
        <v>0</v>
      </c>
      <c r="F663" s="234">
        <v>45999.0</v>
      </c>
      <c r="G663" s="173"/>
      <c r="H663" s="157" t="s">
        <v>3618</v>
      </c>
      <c r="I663" s="157" t="s">
        <v>5909</v>
      </c>
      <c r="J663" s="157">
        <v>2025.0</v>
      </c>
    </row>
    <row r="664">
      <c r="A664" s="218">
        <f t="shared" si="2"/>
        <v>661</v>
      </c>
      <c r="B664" s="218" t="s">
        <v>203</v>
      </c>
      <c r="C664" s="237" t="str">
        <f t="shared" si="1"/>
        <v>MN/0841/2025</v>
      </c>
      <c r="D664" s="218" t="b">
        <v>1</v>
      </c>
      <c r="E664" s="219" t="b">
        <v>0</v>
      </c>
      <c r="F664" s="234">
        <v>45999.0</v>
      </c>
      <c r="G664" s="173"/>
      <c r="H664" s="157" t="s">
        <v>3618</v>
      </c>
      <c r="I664" s="157" t="s">
        <v>5910</v>
      </c>
      <c r="J664" s="157">
        <v>2025.0</v>
      </c>
    </row>
    <row r="665">
      <c r="A665" s="218">
        <f t="shared" si="2"/>
        <v>662</v>
      </c>
      <c r="B665" s="218" t="s">
        <v>203</v>
      </c>
      <c r="C665" s="237" t="str">
        <f t="shared" si="1"/>
        <v>MN/0842/2025</v>
      </c>
      <c r="D665" s="218" t="b">
        <v>1</v>
      </c>
      <c r="E665" s="219" t="b">
        <v>0</v>
      </c>
      <c r="F665" s="234">
        <v>45999.0</v>
      </c>
      <c r="G665" s="173"/>
      <c r="H665" s="157" t="s">
        <v>3618</v>
      </c>
      <c r="I665" s="157" t="s">
        <v>5911</v>
      </c>
      <c r="J665" s="157">
        <v>2025.0</v>
      </c>
    </row>
    <row r="666">
      <c r="A666" s="218">
        <f t="shared" si="2"/>
        <v>663</v>
      </c>
      <c r="B666" s="218" t="s">
        <v>203</v>
      </c>
      <c r="C666" s="237" t="str">
        <f t="shared" si="1"/>
        <v>MN/0843/2025</v>
      </c>
      <c r="D666" s="218" t="b">
        <v>1</v>
      </c>
      <c r="E666" s="219" t="b">
        <v>0</v>
      </c>
      <c r="F666" s="234">
        <v>45999.0</v>
      </c>
      <c r="G666" s="173"/>
      <c r="H666" s="157" t="s">
        <v>3618</v>
      </c>
      <c r="I666" s="157" t="s">
        <v>5912</v>
      </c>
      <c r="J666" s="157">
        <v>2025.0</v>
      </c>
    </row>
    <row r="667">
      <c r="A667" s="218">
        <f t="shared" si="2"/>
        <v>664</v>
      </c>
      <c r="B667" s="218" t="s">
        <v>203</v>
      </c>
      <c r="C667" s="237" t="str">
        <f t="shared" si="1"/>
        <v>MN/0844/2025</v>
      </c>
      <c r="D667" s="218" t="b">
        <v>1</v>
      </c>
      <c r="E667" s="219" t="b">
        <v>0</v>
      </c>
      <c r="F667" s="234">
        <v>45999.0</v>
      </c>
      <c r="G667" s="173"/>
      <c r="H667" s="157" t="s">
        <v>3618</v>
      </c>
      <c r="I667" s="157" t="s">
        <v>5913</v>
      </c>
      <c r="J667" s="157">
        <v>2025.0</v>
      </c>
    </row>
    <row r="668">
      <c r="A668" s="218">
        <f t="shared" si="2"/>
        <v>665</v>
      </c>
      <c r="B668" s="218" t="s">
        <v>203</v>
      </c>
      <c r="C668" s="237" t="str">
        <f t="shared" si="1"/>
        <v>MN/0845/2025</v>
      </c>
      <c r="D668" s="218" t="b">
        <v>1</v>
      </c>
      <c r="E668" s="219" t="b">
        <v>0</v>
      </c>
      <c r="F668" s="234">
        <v>45999.0</v>
      </c>
      <c r="G668" s="173"/>
      <c r="H668" s="157" t="s">
        <v>3618</v>
      </c>
      <c r="I668" s="157" t="s">
        <v>5914</v>
      </c>
      <c r="J668" s="157">
        <v>2025.0</v>
      </c>
    </row>
    <row r="669">
      <c r="A669" s="218">
        <f t="shared" si="2"/>
        <v>666</v>
      </c>
      <c r="B669" s="218" t="s">
        <v>203</v>
      </c>
      <c r="C669" s="237" t="str">
        <f t="shared" si="1"/>
        <v>MN/0846/2025</v>
      </c>
      <c r="D669" s="218" t="b">
        <v>1</v>
      </c>
      <c r="E669" s="219" t="b">
        <v>0</v>
      </c>
      <c r="F669" s="234">
        <v>45999.0</v>
      </c>
      <c r="G669" s="173"/>
      <c r="H669" s="157" t="s">
        <v>3618</v>
      </c>
      <c r="I669" s="157" t="s">
        <v>5915</v>
      </c>
      <c r="J669" s="157">
        <v>2025.0</v>
      </c>
    </row>
    <row r="670">
      <c r="A670" s="218">
        <f t="shared" si="2"/>
        <v>667</v>
      </c>
      <c r="B670" s="218" t="s">
        <v>203</v>
      </c>
      <c r="C670" s="237" t="str">
        <f t="shared" si="1"/>
        <v>MN/0847/2025</v>
      </c>
      <c r="D670" s="218" t="b">
        <v>1</v>
      </c>
      <c r="E670" s="219" t="b">
        <v>0</v>
      </c>
      <c r="F670" s="234">
        <v>45999.0</v>
      </c>
      <c r="G670" s="173"/>
      <c r="H670" s="157" t="s">
        <v>3618</v>
      </c>
      <c r="I670" s="157" t="s">
        <v>5916</v>
      </c>
      <c r="J670" s="157">
        <v>2025.0</v>
      </c>
    </row>
    <row r="671">
      <c r="A671" s="218">
        <f t="shared" si="2"/>
        <v>668</v>
      </c>
      <c r="B671" s="218" t="s">
        <v>203</v>
      </c>
      <c r="C671" s="237" t="str">
        <f t="shared" si="1"/>
        <v>MN/0848/2025</v>
      </c>
      <c r="D671" s="218" t="b">
        <v>1</v>
      </c>
      <c r="E671" s="219" t="b">
        <v>0</v>
      </c>
      <c r="F671" s="234">
        <v>45999.0</v>
      </c>
      <c r="G671" s="173"/>
      <c r="H671" s="157" t="s">
        <v>3618</v>
      </c>
      <c r="I671" s="157" t="s">
        <v>5917</v>
      </c>
      <c r="J671" s="157">
        <v>2025.0</v>
      </c>
    </row>
    <row r="672">
      <c r="A672" s="218">
        <f t="shared" si="2"/>
        <v>669</v>
      </c>
      <c r="B672" s="218" t="s">
        <v>203</v>
      </c>
      <c r="C672" s="237" t="str">
        <f t="shared" si="1"/>
        <v>MN/0849/2025</v>
      </c>
      <c r="D672" s="218" t="b">
        <v>1</v>
      </c>
      <c r="E672" s="219" t="b">
        <v>0</v>
      </c>
      <c r="F672" s="234">
        <v>45999.0</v>
      </c>
      <c r="G672" s="173"/>
      <c r="H672" s="157" t="s">
        <v>3618</v>
      </c>
      <c r="I672" s="157" t="s">
        <v>5918</v>
      </c>
      <c r="J672" s="157">
        <v>2025.0</v>
      </c>
    </row>
    <row r="673">
      <c r="A673" s="218">
        <f t="shared" si="2"/>
        <v>670</v>
      </c>
      <c r="B673" s="218" t="s">
        <v>203</v>
      </c>
      <c r="C673" s="237" t="str">
        <f t="shared" si="1"/>
        <v>MN/0850/2025</v>
      </c>
      <c r="D673" s="218" t="b">
        <v>1</v>
      </c>
      <c r="E673" s="219" t="b">
        <v>0</v>
      </c>
      <c r="F673" s="234">
        <v>45999.0</v>
      </c>
      <c r="G673" s="173"/>
      <c r="H673" s="157" t="s">
        <v>3618</v>
      </c>
      <c r="I673" s="157" t="s">
        <v>5920</v>
      </c>
      <c r="J673" s="157">
        <v>2025.0</v>
      </c>
    </row>
    <row r="674">
      <c r="A674" s="218">
        <f t="shared" si="2"/>
        <v>671</v>
      </c>
      <c r="B674" s="218" t="s">
        <v>203</v>
      </c>
      <c r="C674" s="237" t="str">
        <f t="shared" si="1"/>
        <v>MN/0851/2025</v>
      </c>
      <c r="D674" s="218" t="b">
        <v>1</v>
      </c>
      <c r="E674" s="219" t="b">
        <v>0</v>
      </c>
      <c r="F674" s="234">
        <v>45999.0</v>
      </c>
      <c r="G674" s="173"/>
      <c r="H674" s="157" t="s">
        <v>3618</v>
      </c>
      <c r="I674" s="157" t="s">
        <v>5923</v>
      </c>
      <c r="J674" s="157">
        <v>2025.0</v>
      </c>
    </row>
    <row r="675">
      <c r="A675" s="218">
        <f t="shared" si="2"/>
        <v>672</v>
      </c>
      <c r="B675" s="218" t="s">
        <v>203</v>
      </c>
      <c r="C675" s="237" t="str">
        <f t="shared" si="1"/>
        <v>MN/0852/2025</v>
      </c>
      <c r="D675" s="218" t="b">
        <v>1</v>
      </c>
      <c r="E675" s="219" t="b">
        <v>0</v>
      </c>
      <c r="F675" s="234">
        <v>45999.0</v>
      </c>
      <c r="G675" s="173"/>
      <c r="H675" s="157" t="s">
        <v>3618</v>
      </c>
      <c r="I675" s="157" t="s">
        <v>5925</v>
      </c>
      <c r="J675" s="157">
        <v>2025.0</v>
      </c>
    </row>
    <row r="676">
      <c r="A676" s="218">
        <f t="shared" si="2"/>
        <v>673</v>
      </c>
      <c r="B676" s="218" t="s">
        <v>203</v>
      </c>
      <c r="C676" s="237" t="str">
        <f t="shared" si="1"/>
        <v>MN/0853/2025</v>
      </c>
      <c r="D676" s="218" t="b">
        <v>1</v>
      </c>
      <c r="E676" s="219" t="b">
        <v>0</v>
      </c>
      <c r="F676" s="234">
        <v>45999.0</v>
      </c>
      <c r="G676" s="173"/>
      <c r="H676" s="157" t="s">
        <v>3618</v>
      </c>
      <c r="I676" s="157" t="s">
        <v>5926</v>
      </c>
      <c r="J676" s="157">
        <v>2025.0</v>
      </c>
    </row>
    <row r="677">
      <c r="A677" s="218">
        <f t="shared" si="2"/>
        <v>674</v>
      </c>
      <c r="B677" s="218" t="s">
        <v>203</v>
      </c>
      <c r="C677" s="237" t="str">
        <f t="shared" si="1"/>
        <v>MN/0854/2025</v>
      </c>
      <c r="D677" s="218" t="b">
        <v>1</v>
      </c>
      <c r="E677" s="219" t="b">
        <v>0</v>
      </c>
      <c r="F677" s="234">
        <v>45999.0</v>
      </c>
      <c r="G677" s="173"/>
      <c r="H677" s="157" t="s">
        <v>3618</v>
      </c>
      <c r="I677" s="157" t="s">
        <v>5927</v>
      </c>
      <c r="J677" s="157">
        <v>2025.0</v>
      </c>
    </row>
    <row r="678">
      <c r="A678" s="218">
        <f t="shared" si="2"/>
        <v>675</v>
      </c>
      <c r="B678" s="218" t="s">
        <v>203</v>
      </c>
      <c r="C678" s="237" t="str">
        <f t="shared" si="1"/>
        <v>MN/0855/2025</v>
      </c>
      <c r="D678" s="218" t="b">
        <v>1</v>
      </c>
      <c r="E678" s="219" t="b">
        <v>0</v>
      </c>
      <c r="F678" s="234">
        <v>45999.0</v>
      </c>
      <c r="G678" s="173"/>
      <c r="H678" s="157" t="s">
        <v>3618</v>
      </c>
      <c r="I678" s="157" t="s">
        <v>5928</v>
      </c>
      <c r="J678" s="157">
        <v>2025.0</v>
      </c>
    </row>
    <row r="679">
      <c r="A679" s="218">
        <f t="shared" si="2"/>
        <v>676</v>
      </c>
      <c r="B679" s="218" t="s">
        <v>203</v>
      </c>
      <c r="C679" s="237" t="str">
        <f t="shared" si="1"/>
        <v>MN/0856/2025</v>
      </c>
      <c r="D679" s="218" t="b">
        <v>1</v>
      </c>
      <c r="E679" s="219" t="b">
        <v>0</v>
      </c>
      <c r="F679" s="234">
        <v>45999.0</v>
      </c>
      <c r="G679" s="173"/>
      <c r="H679" s="157" t="s">
        <v>3618</v>
      </c>
      <c r="I679" s="157" t="s">
        <v>5929</v>
      </c>
      <c r="J679" s="157">
        <v>2025.0</v>
      </c>
    </row>
    <row r="680">
      <c r="A680" s="218">
        <f t="shared" si="2"/>
        <v>677</v>
      </c>
      <c r="B680" s="218" t="s">
        <v>203</v>
      </c>
      <c r="C680" s="237" t="str">
        <f t="shared" si="1"/>
        <v>MN/0857/2025</v>
      </c>
      <c r="D680" s="219" t="b">
        <v>0</v>
      </c>
      <c r="E680" s="218" t="b">
        <v>1</v>
      </c>
      <c r="F680" s="218" t="s">
        <v>5887</v>
      </c>
      <c r="G680" s="173"/>
      <c r="H680" s="157" t="s">
        <v>3618</v>
      </c>
      <c r="I680" s="157" t="s">
        <v>5930</v>
      </c>
      <c r="J680" s="157">
        <v>2025.0</v>
      </c>
    </row>
    <row r="681">
      <c r="A681" s="218">
        <f t="shared" si="2"/>
        <v>678</v>
      </c>
      <c r="B681" s="218" t="s">
        <v>203</v>
      </c>
      <c r="C681" s="237" t="str">
        <f t="shared" si="1"/>
        <v>MN/0858/2025</v>
      </c>
      <c r="D681" s="219" t="b">
        <v>0</v>
      </c>
      <c r="E681" s="218" t="b">
        <v>1</v>
      </c>
      <c r="F681" s="218" t="s">
        <v>5887</v>
      </c>
      <c r="G681" s="173"/>
      <c r="H681" s="157" t="s">
        <v>3618</v>
      </c>
      <c r="I681" s="157" t="s">
        <v>5931</v>
      </c>
      <c r="J681" s="157">
        <v>2025.0</v>
      </c>
    </row>
    <row r="682">
      <c r="A682" s="218">
        <f t="shared" si="2"/>
        <v>679</v>
      </c>
      <c r="B682" s="218" t="s">
        <v>203</v>
      </c>
      <c r="C682" s="237" t="str">
        <f t="shared" si="1"/>
        <v>MN/0859/2025</v>
      </c>
      <c r="D682" s="219" t="b">
        <v>0</v>
      </c>
      <c r="E682" s="218" t="b">
        <v>1</v>
      </c>
      <c r="F682" s="218" t="s">
        <v>5887</v>
      </c>
      <c r="G682" s="173"/>
      <c r="H682" s="157" t="s">
        <v>3618</v>
      </c>
      <c r="I682" s="157" t="s">
        <v>5932</v>
      </c>
      <c r="J682" s="157">
        <v>2025.0</v>
      </c>
    </row>
    <row r="683">
      <c r="A683" s="218">
        <f t="shared" si="2"/>
        <v>680</v>
      </c>
      <c r="B683" s="218" t="s">
        <v>203</v>
      </c>
      <c r="C683" s="237" t="str">
        <f t="shared" si="1"/>
        <v>MN/0860/2025</v>
      </c>
      <c r="D683" s="219" t="b">
        <v>0</v>
      </c>
      <c r="E683" s="218" t="b">
        <v>1</v>
      </c>
      <c r="F683" s="218" t="s">
        <v>5887</v>
      </c>
      <c r="G683" s="173"/>
      <c r="H683" s="157" t="s">
        <v>3618</v>
      </c>
      <c r="I683" s="157" t="s">
        <v>5933</v>
      </c>
      <c r="J683" s="157">
        <v>2025.0</v>
      </c>
    </row>
    <row r="684">
      <c r="A684" s="218">
        <f t="shared" si="2"/>
        <v>681</v>
      </c>
      <c r="B684" s="218" t="s">
        <v>203</v>
      </c>
      <c r="C684" s="237" t="str">
        <f t="shared" si="1"/>
        <v>MN/0861/2025</v>
      </c>
      <c r="D684" s="219" t="b">
        <v>0</v>
      </c>
      <c r="E684" s="218" t="b">
        <v>1</v>
      </c>
      <c r="F684" s="218" t="s">
        <v>5887</v>
      </c>
      <c r="G684" s="173"/>
      <c r="H684" s="157" t="s">
        <v>3618</v>
      </c>
      <c r="I684" s="157" t="s">
        <v>5934</v>
      </c>
      <c r="J684" s="157">
        <v>2025.0</v>
      </c>
    </row>
    <row r="685">
      <c r="A685" s="218">
        <f t="shared" si="2"/>
        <v>682</v>
      </c>
      <c r="B685" s="218" t="s">
        <v>203</v>
      </c>
      <c r="C685" s="237" t="str">
        <f t="shared" si="1"/>
        <v>MN/0862/2025</v>
      </c>
      <c r="D685" s="219" t="b">
        <v>0</v>
      </c>
      <c r="E685" s="218" t="b">
        <v>1</v>
      </c>
      <c r="F685" s="218" t="s">
        <v>5887</v>
      </c>
      <c r="G685" s="173"/>
      <c r="H685" s="157" t="s">
        <v>3618</v>
      </c>
      <c r="I685" s="157" t="s">
        <v>5935</v>
      </c>
      <c r="J685" s="157">
        <v>2025.0</v>
      </c>
    </row>
    <row r="686">
      <c r="A686" s="218">
        <f t="shared" si="2"/>
        <v>683</v>
      </c>
      <c r="B686" s="218" t="s">
        <v>203</v>
      </c>
      <c r="C686" s="237" t="str">
        <f t="shared" si="1"/>
        <v>MN/0863/2025</v>
      </c>
      <c r="D686" s="219" t="b">
        <v>0</v>
      </c>
      <c r="E686" s="218" t="b">
        <v>1</v>
      </c>
      <c r="F686" s="218" t="s">
        <v>5887</v>
      </c>
      <c r="G686" s="173"/>
      <c r="H686" s="157" t="s">
        <v>3618</v>
      </c>
      <c r="I686" s="157" t="s">
        <v>5936</v>
      </c>
      <c r="J686" s="157">
        <v>2025.0</v>
      </c>
    </row>
    <row r="687">
      <c r="A687" s="218">
        <f t="shared" si="2"/>
        <v>684</v>
      </c>
      <c r="B687" s="218" t="s">
        <v>203</v>
      </c>
      <c r="C687" s="237" t="str">
        <f t="shared" si="1"/>
        <v>MN/0864/2025</v>
      </c>
      <c r="D687" s="219" t="b">
        <v>0</v>
      </c>
      <c r="E687" s="218" t="b">
        <v>1</v>
      </c>
      <c r="F687" s="218" t="s">
        <v>5887</v>
      </c>
      <c r="G687" s="173"/>
      <c r="H687" s="157" t="s">
        <v>3618</v>
      </c>
      <c r="I687" s="157" t="s">
        <v>5937</v>
      </c>
      <c r="J687" s="157">
        <v>2025.0</v>
      </c>
    </row>
    <row r="688">
      <c r="A688" s="218">
        <f t="shared" si="2"/>
        <v>685</v>
      </c>
      <c r="B688" s="218" t="s">
        <v>203</v>
      </c>
      <c r="C688" s="237" t="str">
        <f t="shared" si="1"/>
        <v>MN/0865/2025</v>
      </c>
      <c r="D688" s="219" t="b">
        <v>0</v>
      </c>
      <c r="E688" s="218" t="b">
        <v>1</v>
      </c>
      <c r="F688" s="218" t="s">
        <v>5887</v>
      </c>
      <c r="G688" s="173"/>
      <c r="H688" s="157" t="s">
        <v>3618</v>
      </c>
      <c r="I688" s="157" t="s">
        <v>5938</v>
      </c>
      <c r="J688" s="157">
        <v>2025.0</v>
      </c>
    </row>
    <row r="689">
      <c r="A689" s="218">
        <f t="shared" si="2"/>
        <v>686</v>
      </c>
      <c r="B689" s="218" t="s">
        <v>203</v>
      </c>
      <c r="C689" s="237" t="str">
        <f t="shared" si="1"/>
        <v>MN/0866/2025</v>
      </c>
      <c r="D689" s="219" t="b">
        <v>0</v>
      </c>
      <c r="E689" s="218" t="b">
        <v>1</v>
      </c>
      <c r="F689" s="218" t="s">
        <v>5887</v>
      </c>
      <c r="G689" s="173"/>
      <c r="H689" s="157" t="s">
        <v>3618</v>
      </c>
      <c r="I689" s="157" t="s">
        <v>5939</v>
      </c>
      <c r="J689" s="157">
        <v>2025.0</v>
      </c>
    </row>
    <row r="690">
      <c r="A690" s="218">
        <f t="shared" si="2"/>
        <v>687</v>
      </c>
      <c r="B690" s="218" t="s">
        <v>203</v>
      </c>
      <c r="C690" s="237" t="str">
        <f t="shared" si="1"/>
        <v>MN/0867/2025</v>
      </c>
      <c r="D690" s="219" t="b">
        <v>0</v>
      </c>
      <c r="E690" s="218" t="b">
        <v>1</v>
      </c>
      <c r="F690" s="218" t="s">
        <v>5887</v>
      </c>
      <c r="G690" s="173"/>
      <c r="H690" s="157" t="s">
        <v>3618</v>
      </c>
      <c r="I690" s="157" t="s">
        <v>5940</v>
      </c>
      <c r="J690" s="157">
        <v>2025.0</v>
      </c>
    </row>
    <row r="691">
      <c r="A691" s="218">
        <f t="shared" si="2"/>
        <v>688</v>
      </c>
      <c r="B691" s="218" t="s">
        <v>203</v>
      </c>
      <c r="C691" s="237" t="str">
        <f t="shared" si="1"/>
        <v>MN/0868/2025</v>
      </c>
      <c r="D691" s="219" t="b">
        <v>0</v>
      </c>
      <c r="E691" s="218" t="b">
        <v>1</v>
      </c>
      <c r="F691" s="218" t="s">
        <v>5887</v>
      </c>
      <c r="G691" s="173"/>
      <c r="H691" s="157" t="s">
        <v>3618</v>
      </c>
      <c r="I691" s="157" t="s">
        <v>5941</v>
      </c>
      <c r="J691" s="157">
        <v>2025.0</v>
      </c>
    </row>
    <row r="692">
      <c r="A692" s="218">
        <f t="shared" si="2"/>
        <v>689</v>
      </c>
      <c r="B692" s="218" t="s">
        <v>203</v>
      </c>
      <c r="C692" s="237" t="str">
        <f t="shared" si="1"/>
        <v>MN/0869/2025</v>
      </c>
      <c r="D692" s="218" t="b">
        <v>1</v>
      </c>
      <c r="E692" s="219" t="b">
        <v>0</v>
      </c>
      <c r="F692" s="234">
        <v>45999.0</v>
      </c>
      <c r="G692" s="173"/>
      <c r="H692" s="157" t="s">
        <v>3618</v>
      </c>
      <c r="I692" s="157" t="s">
        <v>5942</v>
      </c>
      <c r="J692" s="157">
        <v>2025.0</v>
      </c>
    </row>
    <row r="693">
      <c r="A693" s="218">
        <f t="shared" si="2"/>
        <v>690</v>
      </c>
      <c r="B693" s="218" t="s">
        <v>203</v>
      </c>
      <c r="C693" s="237" t="str">
        <f t="shared" si="1"/>
        <v>MN/0870/2025</v>
      </c>
      <c r="D693" s="218" t="b">
        <v>1</v>
      </c>
      <c r="E693" s="219" t="b">
        <v>0</v>
      </c>
      <c r="F693" s="234">
        <v>45999.0</v>
      </c>
      <c r="G693" s="173"/>
      <c r="H693" s="157" t="s">
        <v>3618</v>
      </c>
      <c r="I693" s="157" t="s">
        <v>5943</v>
      </c>
      <c r="J693" s="157">
        <v>2025.0</v>
      </c>
    </row>
    <row r="694">
      <c r="A694" s="218">
        <f t="shared" si="2"/>
        <v>691</v>
      </c>
      <c r="B694" s="218" t="s">
        <v>203</v>
      </c>
      <c r="C694" s="237" t="str">
        <f t="shared" si="1"/>
        <v>MN/0871/2025</v>
      </c>
      <c r="D694" s="218" t="b">
        <v>1</v>
      </c>
      <c r="E694" s="219" t="b">
        <v>0</v>
      </c>
      <c r="F694" s="234">
        <v>45999.0</v>
      </c>
      <c r="G694" s="173"/>
      <c r="H694" s="157" t="s">
        <v>3618</v>
      </c>
      <c r="I694" s="157" t="s">
        <v>5944</v>
      </c>
      <c r="J694" s="157">
        <v>2025.0</v>
      </c>
    </row>
    <row r="695">
      <c r="A695" s="218">
        <f t="shared" si="2"/>
        <v>692</v>
      </c>
      <c r="B695" s="218" t="s">
        <v>203</v>
      </c>
      <c r="C695" s="237" t="str">
        <f t="shared" si="1"/>
        <v>MN/0872/2025</v>
      </c>
      <c r="D695" s="218" t="b">
        <v>1</v>
      </c>
      <c r="E695" s="219" t="b">
        <v>0</v>
      </c>
      <c r="F695" s="234">
        <v>45999.0</v>
      </c>
      <c r="G695" s="173"/>
      <c r="H695" s="157" t="s">
        <v>3618</v>
      </c>
      <c r="I695" s="157" t="s">
        <v>5945</v>
      </c>
      <c r="J695" s="157">
        <v>2025.0</v>
      </c>
    </row>
    <row r="696">
      <c r="A696" s="218">
        <f t="shared" si="2"/>
        <v>693</v>
      </c>
      <c r="B696" s="218" t="s">
        <v>203</v>
      </c>
      <c r="C696" s="237" t="str">
        <f t="shared" si="1"/>
        <v>MN/0873/2025</v>
      </c>
      <c r="D696" s="218" t="b">
        <v>1</v>
      </c>
      <c r="E696" s="219" t="b">
        <v>0</v>
      </c>
      <c r="F696" s="234">
        <v>45999.0</v>
      </c>
      <c r="G696" s="173"/>
      <c r="H696" s="157" t="s">
        <v>3618</v>
      </c>
      <c r="I696" s="157" t="s">
        <v>5946</v>
      </c>
      <c r="J696" s="157">
        <v>2025.0</v>
      </c>
    </row>
    <row r="697">
      <c r="A697" s="218">
        <f t="shared" si="2"/>
        <v>694</v>
      </c>
      <c r="B697" s="218" t="s">
        <v>203</v>
      </c>
      <c r="C697" s="237" t="str">
        <f t="shared" si="1"/>
        <v>MN/0874/2025</v>
      </c>
      <c r="D697" s="218" t="b">
        <v>1</v>
      </c>
      <c r="E697" s="218" t="b">
        <v>0</v>
      </c>
      <c r="F697" s="234">
        <v>45999.0</v>
      </c>
      <c r="G697" s="173"/>
      <c r="H697" s="157" t="s">
        <v>3618</v>
      </c>
      <c r="I697" s="157" t="s">
        <v>5947</v>
      </c>
      <c r="J697" s="157">
        <v>2025.0</v>
      </c>
    </row>
    <row r="698">
      <c r="A698" s="218">
        <f t="shared" si="2"/>
        <v>695</v>
      </c>
      <c r="B698" s="218" t="s">
        <v>203</v>
      </c>
      <c r="C698" s="224" t="str">
        <f t="shared" si="1"/>
        <v>MN/0875/2026</v>
      </c>
      <c r="D698" s="222" t="b">
        <v>1</v>
      </c>
      <c r="E698" s="224" t="b">
        <v>0</v>
      </c>
      <c r="F698" s="238">
        <v>46079.0</v>
      </c>
      <c r="G698" s="225"/>
      <c r="H698" s="226" t="s">
        <v>3618</v>
      </c>
      <c r="I698" s="226" t="s">
        <v>5948</v>
      </c>
      <c r="J698" s="226">
        <v>2026.0</v>
      </c>
    </row>
    <row r="699">
      <c r="A699" s="218">
        <f t="shared" si="2"/>
        <v>696</v>
      </c>
      <c r="B699" s="218" t="s">
        <v>203</v>
      </c>
      <c r="C699" s="237" t="str">
        <f t="shared" si="1"/>
        <v>MN/0876/2026</v>
      </c>
      <c r="D699" s="218" t="b">
        <v>1</v>
      </c>
      <c r="E699" s="219" t="b">
        <v>0</v>
      </c>
      <c r="F699" s="234">
        <v>46079.0</v>
      </c>
      <c r="G699" s="173"/>
      <c r="H699" s="157" t="s">
        <v>3618</v>
      </c>
      <c r="I699" s="157" t="s">
        <v>5949</v>
      </c>
      <c r="J699" s="157">
        <v>2026.0</v>
      </c>
    </row>
    <row r="700">
      <c r="A700" s="218">
        <f t="shared" si="2"/>
        <v>697</v>
      </c>
      <c r="B700" s="218" t="s">
        <v>203</v>
      </c>
      <c r="C700" s="237" t="str">
        <f t="shared" si="1"/>
        <v>MN/0877/2026</v>
      </c>
      <c r="D700" s="218" t="b">
        <v>1</v>
      </c>
      <c r="E700" s="219" t="b">
        <v>0</v>
      </c>
      <c r="F700" s="234">
        <v>46079.0</v>
      </c>
      <c r="G700" s="173"/>
      <c r="H700" s="157" t="s">
        <v>3618</v>
      </c>
      <c r="I700" s="157" t="s">
        <v>5950</v>
      </c>
      <c r="J700" s="157">
        <v>2026.0</v>
      </c>
    </row>
    <row r="701">
      <c r="A701" s="218">
        <f t="shared" si="2"/>
        <v>698</v>
      </c>
      <c r="B701" s="218" t="s">
        <v>203</v>
      </c>
      <c r="C701" s="237" t="str">
        <f t="shared" si="1"/>
        <v>MN/0878/2026</v>
      </c>
      <c r="D701" s="218" t="b">
        <v>1</v>
      </c>
      <c r="E701" s="219" t="b">
        <v>0</v>
      </c>
      <c r="F701" s="234">
        <v>46079.0</v>
      </c>
      <c r="G701" s="173"/>
      <c r="H701" s="157" t="s">
        <v>3618</v>
      </c>
      <c r="I701" s="157" t="s">
        <v>5951</v>
      </c>
      <c r="J701" s="157">
        <v>2026.0</v>
      </c>
    </row>
    <row r="702">
      <c r="A702" s="218">
        <f t="shared" si="2"/>
        <v>699</v>
      </c>
      <c r="B702" s="218" t="s">
        <v>203</v>
      </c>
      <c r="C702" s="237" t="str">
        <f t="shared" si="1"/>
        <v>MN/0879/2026</v>
      </c>
      <c r="D702" s="218" t="b">
        <v>1</v>
      </c>
      <c r="E702" s="219" t="b">
        <v>0</v>
      </c>
      <c r="F702" s="234">
        <v>46079.0</v>
      </c>
      <c r="G702" s="173"/>
      <c r="H702" s="157" t="s">
        <v>3618</v>
      </c>
      <c r="I702" s="157" t="s">
        <v>5952</v>
      </c>
      <c r="J702" s="157">
        <v>2026.0</v>
      </c>
    </row>
    <row r="703">
      <c r="A703" s="218">
        <f t="shared" si="2"/>
        <v>700</v>
      </c>
      <c r="B703" s="218" t="s">
        <v>203</v>
      </c>
      <c r="C703" s="237" t="str">
        <f t="shared" si="1"/>
        <v>MN/0880/2026</v>
      </c>
      <c r="D703" s="218" t="b">
        <v>1</v>
      </c>
      <c r="E703" s="219" t="b">
        <v>0</v>
      </c>
      <c r="F703" s="234">
        <v>46079.0</v>
      </c>
      <c r="G703" s="173"/>
      <c r="H703" s="157" t="s">
        <v>3618</v>
      </c>
      <c r="I703" s="157" t="s">
        <v>5953</v>
      </c>
      <c r="J703" s="157">
        <v>2026.0</v>
      </c>
    </row>
    <row r="704">
      <c r="A704" s="218">
        <f t="shared" si="2"/>
        <v>701</v>
      </c>
      <c r="B704" s="218" t="s">
        <v>203</v>
      </c>
      <c r="C704" s="237" t="str">
        <f t="shared" si="1"/>
        <v>MN/0881/2026</v>
      </c>
      <c r="D704" s="218" t="b">
        <v>1</v>
      </c>
      <c r="E704" s="219" t="b">
        <v>0</v>
      </c>
      <c r="F704" s="234">
        <v>46079.0</v>
      </c>
      <c r="G704" s="173"/>
      <c r="H704" s="157" t="s">
        <v>3618</v>
      </c>
      <c r="I704" s="157" t="s">
        <v>5954</v>
      </c>
      <c r="J704" s="157">
        <v>2026.0</v>
      </c>
    </row>
    <row r="705">
      <c r="A705" s="218">
        <f t="shared" si="2"/>
        <v>702</v>
      </c>
      <c r="B705" s="218" t="s">
        <v>203</v>
      </c>
      <c r="C705" s="237" t="str">
        <f t="shared" si="1"/>
        <v>MN/0882/2026</v>
      </c>
      <c r="D705" s="218" t="b">
        <v>1</v>
      </c>
      <c r="E705" s="219" t="b">
        <v>0</v>
      </c>
      <c r="F705" s="234">
        <v>46079.0</v>
      </c>
      <c r="G705" s="173"/>
      <c r="H705" s="157" t="s">
        <v>3618</v>
      </c>
      <c r="I705" s="157" t="s">
        <v>5955</v>
      </c>
      <c r="J705" s="157">
        <v>2026.0</v>
      </c>
    </row>
    <row r="706">
      <c r="A706" s="218">
        <f t="shared" si="2"/>
        <v>703</v>
      </c>
      <c r="B706" s="218" t="s">
        <v>203</v>
      </c>
      <c r="C706" s="237" t="str">
        <f t="shared" si="1"/>
        <v>MN/0883/2026</v>
      </c>
      <c r="D706" s="218" t="b">
        <v>1</v>
      </c>
      <c r="E706" s="219" t="b">
        <v>0</v>
      </c>
      <c r="F706" s="234">
        <v>46079.0</v>
      </c>
      <c r="G706" s="173"/>
      <c r="H706" s="157" t="s">
        <v>3618</v>
      </c>
      <c r="I706" s="157" t="s">
        <v>5956</v>
      </c>
      <c r="J706" s="157">
        <v>2026.0</v>
      </c>
    </row>
    <row r="707">
      <c r="A707" s="218">
        <f t="shared" si="2"/>
        <v>704</v>
      </c>
      <c r="B707" s="218" t="s">
        <v>203</v>
      </c>
      <c r="C707" s="237" t="str">
        <f t="shared" si="1"/>
        <v>MN/0884/2026</v>
      </c>
      <c r="D707" s="218" t="b">
        <v>1</v>
      </c>
      <c r="E707" s="219" t="b">
        <v>0</v>
      </c>
      <c r="F707" s="234">
        <v>46079.0</v>
      </c>
      <c r="G707" s="173"/>
      <c r="H707" s="157" t="s">
        <v>3618</v>
      </c>
      <c r="I707" s="157" t="s">
        <v>5957</v>
      </c>
      <c r="J707" s="157">
        <v>2026.0</v>
      </c>
    </row>
    <row r="708">
      <c r="A708" s="218">
        <f t="shared" si="2"/>
        <v>705</v>
      </c>
      <c r="B708" s="218" t="s">
        <v>203</v>
      </c>
      <c r="C708" s="237" t="str">
        <f t="shared" si="1"/>
        <v>MN/0885/2026</v>
      </c>
      <c r="D708" s="218" t="b">
        <v>1</v>
      </c>
      <c r="E708" s="219" t="b">
        <v>0</v>
      </c>
      <c r="F708" s="234">
        <v>46079.0</v>
      </c>
      <c r="G708" s="173"/>
      <c r="H708" s="157" t="s">
        <v>3618</v>
      </c>
      <c r="I708" s="157" t="s">
        <v>5958</v>
      </c>
      <c r="J708" s="157">
        <v>2026.0</v>
      </c>
    </row>
    <row r="709">
      <c r="A709" s="218">
        <f t="shared" si="2"/>
        <v>706</v>
      </c>
      <c r="B709" s="218" t="s">
        <v>203</v>
      </c>
      <c r="C709" s="237" t="str">
        <f t="shared" si="1"/>
        <v>MN/0886/2026</v>
      </c>
      <c r="D709" s="218" t="b">
        <v>1</v>
      </c>
      <c r="E709" s="219" t="b">
        <v>0</v>
      </c>
      <c r="F709" s="234">
        <v>46079.0</v>
      </c>
      <c r="G709" s="173"/>
      <c r="H709" s="157" t="s">
        <v>3618</v>
      </c>
      <c r="I709" s="157" t="s">
        <v>5959</v>
      </c>
      <c r="J709" s="157">
        <v>2026.0</v>
      </c>
    </row>
    <row r="710">
      <c r="A710" s="218">
        <f t="shared" si="2"/>
        <v>707</v>
      </c>
      <c r="B710" s="218" t="s">
        <v>203</v>
      </c>
      <c r="C710" s="237" t="str">
        <f t="shared" si="1"/>
        <v>MN/0887/2026</v>
      </c>
      <c r="D710" s="218" t="b">
        <v>1</v>
      </c>
      <c r="E710" s="219" t="b">
        <v>0</v>
      </c>
      <c r="F710" s="234">
        <v>46079.0</v>
      </c>
      <c r="G710" s="173"/>
      <c r="H710" s="157" t="s">
        <v>3618</v>
      </c>
      <c r="I710" s="157" t="s">
        <v>5960</v>
      </c>
      <c r="J710" s="157">
        <v>2026.0</v>
      </c>
    </row>
    <row r="711">
      <c r="A711" s="218">
        <f t="shared" si="2"/>
        <v>708</v>
      </c>
      <c r="B711" s="218" t="s">
        <v>203</v>
      </c>
      <c r="C711" s="237" t="str">
        <f t="shared" si="1"/>
        <v>MN/0888/2026</v>
      </c>
      <c r="D711" s="218" t="b">
        <v>1</v>
      </c>
      <c r="E711" s="219" t="b">
        <v>0</v>
      </c>
      <c r="F711" s="234">
        <v>46079.0</v>
      </c>
      <c r="G711" s="173"/>
      <c r="H711" s="157" t="s">
        <v>3618</v>
      </c>
      <c r="I711" s="157" t="s">
        <v>5961</v>
      </c>
      <c r="J711" s="157">
        <v>2026.0</v>
      </c>
    </row>
    <row r="712">
      <c r="A712" s="218">
        <f t="shared" si="2"/>
        <v>709</v>
      </c>
      <c r="B712" s="218" t="s">
        <v>203</v>
      </c>
      <c r="C712" s="237" t="str">
        <f t="shared" si="1"/>
        <v>MN/0889/2026</v>
      </c>
      <c r="D712" s="218" t="b">
        <v>1</v>
      </c>
      <c r="E712" s="219" t="b">
        <v>0</v>
      </c>
      <c r="F712" s="234">
        <v>46079.0</v>
      </c>
      <c r="G712" s="173"/>
      <c r="H712" s="157" t="s">
        <v>3618</v>
      </c>
      <c r="I712" s="157" t="s">
        <v>5962</v>
      </c>
      <c r="J712" s="157">
        <v>2026.0</v>
      </c>
    </row>
    <row r="713">
      <c r="A713" s="218">
        <f t="shared" si="2"/>
        <v>710</v>
      </c>
      <c r="B713" s="218" t="s">
        <v>203</v>
      </c>
      <c r="C713" s="237" t="str">
        <f t="shared" si="1"/>
        <v>MN/0890/2026</v>
      </c>
      <c r="D713" s="218" t="b">
        <v>1</v>
      </c>
      <c r="E713" s="219" t="b">
        <v>0</v>
      </c>
      <c r="F713" s="234">
        <v>46079.0</v>
      </c>
      <c r="G713" s="173"/>
      <c r="H713" s="157" t="s">
        <v>3618</v>
      </c>
      <c r="I713" s="157" t="s">
        <v>5963</v>
      </c>
      <c r="J713" s="157">
        <v>2026.0</v>
      </c>
    </row>
    <row r="714">
      <c r="A714" s="218">
        <f t="shared" si="2"/>
        <v>711</v>
      </c>
      <c r="B714" s="218" t="s">
        <v>203</v>
      </c>
      <c r="C714" s="237" t="str">
        <f t="shared" si="1"/>
        <v>MN/0891/2026</v>
      </c>
      <c r="D714" s="218" t="b">
        <v>1</v>
      </c>
      <c r="E714" s="219" t="b">
        <v>0</v>
      </c>
      <c r="F714" s="234">
        <v>46079.0</v>
      </c>
      <c r="G714" s="173"/>
      <c r="H714" s="157" t="s">
        <v>3618</v>
      </c>
      <c r="I714" s="157" t="s">
        <v>5964</v>
      </c>
      <c r="J714" s="157">
        <v>2026.0</v>
      </c>
    </row>
    <row r="715">
      <c r="A715" s="218">
        <f t="shared" si="2"/>
        <v>712</v>
      </c>
      <c r="B715" s="218" t="s">
        <v>203</v>
      </c>
      <c r="C715" s="237" t="str">
        <f t="shared" si="1"/>
        <v>MN/0892/2026</v>
      </c>
      <c r="D715" s="218" t="b">
        <v>1</v>
      </c>
      <c r="E715" s="219" t="b">
        <v>0</v>
      </c>
      <c r="F715" s="234">
        <v>46079.0</v>
      </c>
      <c r="G715" s="173"/>
      <c r="H715" s="157" t="s">
        <v>3618</v>
      </c>
      <c r="I715" s="157" t="s">
        <v>5965</v>
      </c>
      <c r="J715" s="157">
        <v>2026.0</v>
      </c>
    </row>
    <row r="716">
      <c r="A716" s="218">
        <f t="shared" si="2"/>
        <v>713</v>
      </c>
      <c r="B716" s="218" t="s">
        <v>203</v>
      </c>
      <c r="C716" s="237" t="str">
        <f t="shared" si="1"/>
        <v>MN/0893/2026</v>
      </c>
      <c r="D716" s="218" t="b">
        <v>1</v>
      </c>
      <c r="E716" s="219" t="b">
        <v>0</v>
      </c>
      <c r="F716" s="234">
        <v>46079.0</v>
      </c>
      <c r="G716" s="173"/>
      <c r="H716" s="157" t="s">
        <v>3618</v>
      </c>
      <c r="I716" s="157" t="s">
        <v>5966</v>
      </c>
      <c r="J716" s="157">
        <v>2026.0</v>
      </c>
    </row>
    <row r="717">
      <c r="A717" s="218">
        <f t="shared" si="2"/>
        <v>714</v>
      </c>
      <c r="B717" s="218" t="s">
        <v>203</v>
      </c>
      <c r="C717" s="237" t="str">
        <f t="shared" si="1"/>
        <v>MN/0894/2026</v>
      </c>
      <c r="D717" s="218" t="b">
        <v>1</v>
      </c>
      <c r="E717" s="219" t="b">
        <v>0</v>
      </c>
      <c r="F717" s="234">
        <v>46079.0</v>
      </c>
      <c r="G717" s="173"/>
      <c r="H717" s="157" t="s">
        <v>3618</v>
      </c>
      <c r="I717" s="157" t="s">
        <v>5967</v>
      </c>
      <c r="J717" s="157">
        <v>2026.0</v>
      </c>
    </row>
    <row r="718">
      <c r="A718" s="218">
        <f t="shared" si="2"/>
        <v>715</v>
      </c>
      <c r="B718" s="218" t="s">
        <v>203</v>
      </c>
      <c r="C718" s="237" t="str">
        <f t="shared" si="1"/>
        <v>MN/0895/2026</v>
      </c>
      <c r="D718" s="218" t="b">
        <v>1</v>
      </c>
      <c r="E718" s="219" t="b">
        <v>0</v>
      </c>
      <c r="F718" s="234">
        <v>46079.0</v>
      </c>
      <c r="G718" s="173"/>
      <c r="H718" s="157" t="s">
        <v>3618</v>
      </c>
      <c r="I718" s="157" t="s">
        <v>5968</v>
      </c>
      <c r="J718" s="157">
        <v>2026.0</v>
      </c>
    </row>
    <row r="719">
      <c r="A719" s="218">
        <f t="shared" si="2"/>
        <v>716</v>
      </c>
      <c r="B719" s="218" t="s">
        <v>203</v>
      </c>
      <c r="C719" s="239" t="str">
        <f t="shared" si="1"/>
        <v>MN/0896/2026</v>
      </c>
      <c r="D719" s="218" t="b">
        <v>1</v>
      </c>
      <c r="E719" s="219" t="b">
        <v>0</v>
      </c>
      <c r="F719" s="234">
        <v>46079.0</v>
      </c>
      <c r="G719" s="173"/>
      <c r="H719" s="157" t="s">
        <v>3618</v>
      </c>
      <c r="I719" s="157" t="s">
        <v>5969</v>
      </c>
      <c r="J719" s="157">
        <v>2026.0</v>
      </c>
    </row>
    <row r="720">
      <c r="A720" s="218">
        <f t="shared" si="2"/>
        <v>717</v>
      </c>
      <c r="B720" s="218" t="s">
        <v>203</v>
      </c>
      <c r="C720" s="239" t="str">
        <f t="shared" si="1"/>
        <v>MN/0897/2026</v>
      </c>
      <c r="D720" s="218" t="b">
        <v>1</v>
      </c>
      <c r="E720" s="219" t="b">
        <v>0</v>
      </c>
      <c r="F720" s="234">
        <v>46079.0</v>
      </c>
      <c r="G720" s="173"/>
      <c r="H720" s="157" t="s">
        <v>3618</v>
      </c>
      <c r="I720" s="157" t="s">
        <v>5970</v>
      </c>
      <c r="J720" s="157">
        <v>2026.0</v>
      </c>
    </row>
    <row r="721">
      <c r="A721" s="218">
        <f t="shared" si="2"/>
        <v>718</v>
      </c>
      <c r="B721" s="218" t="s">
        <v>203</v>
      </c>
      <c r="C721" s="239" t="str">
        <f t="shared" si="1"/>
        <v>MN/0898/2026</v>
      </c>
      <c r="D721" s="218" t="b">
        <v>1</v>
      </c>
      <c r="E721" s="219" t="b">
        <v>0</v>
      </c>
      <c r="F721" s="234">
        <v>46079.0</v>
      </c>
      <c r="G721" s="173"/>
      <c r="H721" s="157" t="s">
        <v>3618</v>
      </c>
      <c r="I721" s="157" t="s">
        <v>5971</v>
      </c>
      <c r="J721" s="157">
        <v>2026.0</v>
      </c>
    </row>
    <row r="722">
      <c r="A722" s="218">
        <f t="shared" si="2"/>
        <v>719</v>
      </c>
      <c r="B722" s="218" t="s">
        <v>203</v>
      </c>
      <c r="C722" s="239" t="str">
        <f t="shared" si="1"/>
        <v>MN/0899/2026</v>
      </c>
      <c r="D722" s="218" t="b">
        <v>1</v>
      </c>
      <c r="E722" s="219" t="b">
        <v>0</v>
      </c>
      <c r="F722" s="234">
        <v>46079.0</v>
      </c>
      <c r="G722" s="173"/>
      <c r="H722" s="157" t="s">
        <v>3618</v>
      </c>
      <c r="I722" s="157" t="s">
        <v>5972</v>
      </c>
      <c r="J722" s="157">
        <v>2026.0</v>
      </c>
    </row>
    <row r="723">
      <c r="A723" s="218">
        <f t="shared" si="2"/>
        <v>720</v>
      </c>
      <c r="B723" s="218" t="s">
        <v>203</v>
      </c>
      <c r="C723" s="239" t="str">
        <f t="shared" si="1"/>
        <v>MN/0900/2026</v>
      </c>
      <c r="D723" s="218" t="b">
        <v>1</v>
      </c>
      <c r="E723" s="219" t="b">
        <v>0</v>
      </c>
      <c r="F723" s="234">
        <v>46079.0</v>
      </c>
      <c r="G723" s="173"/>
      <c r="H723" s="157" t="s">
        <v>3618</v>
      </c>
      <c r="I723" s="157" t="s">
        <v>5973</v>
      </c>
      <c r="J723" s="157">
        <v>2026.0</v>
      </c>
    </row>
    <row r="724">
      <c r="A724" s="218">
        <f t="shared" si="2"/>
        <v>721</v>
      </c>
      <c r="B724" s="218" t="s">
        <v>203</v>
      </c>
      <c r="C724" s="239" t="str">
        <f t="shared" si="1"/>
        <v>MN/0901/2026</v>
      </c>
      <c r="D724" s="218" t="b">
        <v>1</v>
      </c>
      <c r="E724" s="219" t="b">
        <v>0</v>
      </c>
      <c r="F724" s="234">
        <v>46079.0</v>
      </c>
      <c r="G724" s="173"/>
      <c r="H724" s="157" t="s">
        <v>3618</v>
      </c>
      <c r="I724" s="157" t="s">
        <v>5974</v>
      </c>
      <c r="J724" s="157">
        <v>2026.0</v>
      </c>
    </row>
    <row r="725">
      <c r="A725" s="218">
        <f t="shared" si="2"/>
        <v>722</v>
      </c>
      <c r="B725" s="218" t="s">
        <v>203</v>
      </c>
      <c r="C725" s="239" t="str">
        <f t="shared" si="1"/>
        <v>MN/0902/2026</v>
      </c>
      <c r="D725" s="218" t="b">
        <v>1</v>
      </c>
      <c r="E725" s="219" t="b">
        <v>0</v>
      </c>
      <c r="F725" s="234">
        <v>46079.0</v>
      </c>
      <c r="G725" s="173"/>
      <c r="H725" s="157" t="s">
        <v>3618</v>
      </c>
      <c r="I725" s="157" t="s">
        <v>5975</v>
      </c>
      <c r="J725" s="157">
        <v>2026.0</v>
      </c>
    </row>
    <row r="726">
      <c r="A726" s="218">
        <f t="shared" si="2"/>
        <v>723</v>
      </c>
      <c r="B726" s="218" t="s">
        <v>203</v>
      </c>
      <c r="C726" s="239" t="str">
        <f t="shared" si="1"/>
        <v>MN/0903/2026</v>
      </c>
      <c r="D726" s="218" t="b">
        <v>1</v>
      </c>
      <c r="E726" s="219" t="b">
        <v>0</v>
      </c>
      <c r="F726" s="234">
        <v>46079.0</v>
      </c>
      <c r="G726" s="173"/>
      <c r="H726" s="157" t="s">
        <v>3618</v>
      </c>
      <c r="I726" s="157" t="s">
        <v>5976</v>
      </c>
      <c r="J726" s="157">
        <v>2026.0</v>
      </c>
    </row>
    <row r="727">
      <c r="A727" s="218">
        <f t="shared" si="2"/>
        <v>724</v>
      </c>
      <c r="B727" s="218" t="s">
        <v>203</v>
      </c>
      <c r="C727" s="239" t="str">
        <f t="shared" si="1"/>
        <v>MN/0904/2026</v>
      </c>
      <c r="D727" s="218" t="b">
        <v>1</v>
      </c>
      <c r="E727" s="219" t="b">
        <v>0</v>
      </c>
      <c r="F727" s="234">
        <v>46079.0</v>
      </c>
      <c r="G727" s="173"/>
      <c r="H727" s="157" t="s">
        <v>3618</v>
      </c>
      <c r="I727" s="157" t="s">
        <v>5977</v>
      </c>
      <c r="J727" s="157">
        <v>2026.0</v>
      </c>
    </row>
    <row r="728">
      <c r="A728" s="218">
        <f t="shared" si="2"/>
        <v>725</v>
      </c>
      <c r="B728" s="218" t="s">
        <v>203</v>
      </c>
      <c r="C728" s="239" t="str">
        <f t="shared" si="1"/>
        <v>MN/0905/2026</v>
      </c>
      <c r="D728" s="218" t="b">
        <v>1</v>
      </c>
      <c r="E728" s="219" t="b">
        <v>0</v>
      </c>
      <c r="F728" s="234">
        <v>46079.0</v>
      </c>
      <c r="G728" s="173"/>
      <c r="H728" s="157" t="s">
        <v>3618</v>
      </c>
      <c r="I728" s="157" t="s">
        <v>5978</v>
      </c>
      <c r="J728" s="157">
        <v>2026.0</v>
      </c>
    </row>
    <row r="729">
      <c r="A729" s="218">
        <f t="shared" si="2"/>
        <v>726</v>
      </c>
      <c r="B729" s="218" t="s">
        <v>203</v>
      </c>
      <c r="C729" s="239" t="str">
        <f t="shared" si="1"/>
        <v>MN/0906/2026</v>
      </c>
      <c r="D729" s="218" t="b">
        <v>1</v>
      </c>
      <c r="E729" s="219" t="b">
        <v>0</v>
      </c>
      <c r="F729" s="234">
        <v>46079.0</v>
      </c>
      <c r="G729" s="173"/>
      <c r="H729" s="157" t="s">
        <v>3618</v>
      </c>
      <c r="I729" s="157" t="s">
        <v>5979</v>
      </c>
      <c r="J729" s="157">
        <v>2026.0</v>
      </c>
    </row>
    <row r="730">
      <c r="A730" s="218">
        <f t="shared" si="2"/>
        <v>727</v>
      </c>
      <c r="B730" s="218" t="s">
        <v>203</v>
      </c>
      <c r="C730" s="239" t="str">
        <f t="shared" si="1"/>
        <v>MN/0907/2026</v>
      </c>
      <c r="D730" s="218" t="b">
        <v>1</v>
      </c>
      <c r="E730" s="219" t="b">
        <v>0</v>
      </c>
      <c r="F730" s="234">
        <v>46079.0</v>
      </c>
      <c r="G730" s="173"/>
      <c r="H730" s="157" t="s">
        <v>3618</v>
      </c>
      <c r="I730" s="157" t="s">
        <v>5980</v>
      </c>
      <c r="J730" s="157">
        <v>2026.0</v>
      </c>
    </row>
    <row r="731">
      <c r="A731" s="218">
        <f t="shared" si="2"/>
        <v>728</v>
      </c>
      <c r="B731" s="218" t="s">
        <v>203</v>
      </c>
      <c r="C731" s="239" t="str">
        <f t="shared" si="1"/>
        <v>MN/0908/2026</v>
      </c>
      <c r="D731" s="218" t="b">
        <v>1</v>
      </c>
      <c r="E731" s="219" t="b">
        <v>0</v>
      </c>
      <c r="F731" s="234">
        <v>46079.0</v>
      </c>
      <c r="G731" s="173"/>
      <c r="H731" s="157" t="s">
        <v>3618</v>
      </c>
      <c r="I731" s="157" t="s">
        <v>5981</v>
      </c>
      <c r="J731" s="157">
        <v>2026.0</v>
      </c>
    </row>
    <row r="732">
      <c r="A732" s="218">
        <f t="shared" si="2"/>
        <v>729</v>
      </c>
      <c r="B732" s="218" t="s">
        <v>203</v>
      </c>
      <c r="C732" s="239" t="str">
        <f t="shared" si="1"/>
        <v>MN/0909/2026</v>
      </c>
      <c r="D732" s="218" t="b">
        <v>1</v>
      </c>
      <c r="E732" s="219" t="b">
        <v>0</v>
      </c>
      <c r="F732" s="234">
        <v>46079.0</v>
      </c>
      <c r="G732" s="173"/>
      <c r="H732" s="157" t="s">
        <v>3618</v>
      </c>
      <c r="I732" s="157" t="s">
        <v>5982</v>
      </c>
      <c r="J732" s="157">
        <v>2026.0</v>
      </c>
    </row>
    <row r="733">
      <c r="A733" s="218">
        <f t="shared" si="2"/>
        <v>730</v>
      </c>
      <c r="B733" s="218" t="s">
        <v>203</v>
      </c>
      <c r="C733" s="239" t="str">
        <f t="shared" si="1"/>
        <v>MN/0910/2026</v>
      </c>
      <c r="D733" s="218" t="b">
        <v>1</v>
      </c>
      <c r="E733" s="219" t="b">
        <v>0</v>
      </c>
      <c r="F733" s="234">
        <v>46079.0</v>
      </c>
      <c r="G733" s="173"/>
      <c r="H733" s="157" t="s">
        <v>3618</v>
      </c>
      <c r="I733" s="157" t="s">
        <v>5983</v>
      </c>
      <c r="J733" s="157">
        <v>2026.0</v>
      </c>
    </row>
    <row r="734">
      <c r="A734" s="218">
        <f t="shared" si="2"/>
        <v>731</v>
      </c>
      <c r="B734" s="218" t="s">
        <v>203</v>
      </c>
      <c r="C734" s="239" t="str">
        <f t="shared" si="1"/>
        <v>MN/0911/2026</v>
      </c>
      <c r="D734" s="218" t="b">
        <v>1</v>
      </c>
      <c r="E734" s="219" t="b">
        <v>0</v>
      </c>
      <c r="F734" s="234">
        <v>46079.0</v>
      </c>
      <c r="G734" s="173"/>
      <c r="H734" s="157" t="s">
        <v>3618</v>
      </c>
      <c r="I734" s="157" t="s">
        <v>5984</v>
      </c>
      <c r="J734" s="157">
        <v>2026.0</v>
      </c>
    </row>
    <row r="735">
      <c r="A735" s="218">
        <f t="shared" si="2"/>
        <v>732</v>
      </c>
      <c r="B735" s="218" t="s">
        <v>203</v>
      </c>
      <c r="C735" s="239" t="str">
        <f t="shared" si="1"/>
        <v>MN/0912/2026</v>
      </c>
      <c r="D735" s="218" t="b">
        <v>1</v>
      </c>
      <c r="E735" s="219" t="b">
        <v>0</v>
      </c>
      <c r="F735" s="234">
        <v>46079.0</v>
      </c>
      <c r="G735" s="173"/>
      <c r="H735" s="157" t="s">
        <v>3618</v>
      </c>
      <c r="I735" s="157" t="s">
        <v>5985</v>
      </c>
      <c r="J735" s="157">
        <v>2026.0</v>
      </c>
    </row>
    <row r="736">
      <c r="A736" s="218">
        <f t="shared" si="2"/>
        <v>733</v>
      </c>
      <c r="B736" s="218" t="s">
        <v>203</v>
      </c>
      <c r="C736" s="239" t="str">
        <f t="shared" si="1"/>
        <v>MN/0913/2026</v>
      </c>
      <c r="D736" s="218" t="b">
        <v>1</v>
      </c>
      <c r="E736" s="219" t="b">
        <v>0</v>
      </c>
      <c r="F736" s="234">
        <v>46079.0</v>
      </c>
      <c r="G736" s="173"/>
      <c r="H736" s="157" t="s">
        <v>3618</v>
      </c>
      <c r="I736" s="157" t="s">
        <v>5986</v>
      </c>
      <c r="J736" s="157">
        <v>2026.0</v>
      </c>
    </row>
    <row r="737">
      <c r="A737" s="218">
        <f t="shared" si="2"/>
        <v>734</v>
      </c>
      <c r="B737" s="218" t="s">
        <v>203</v>
      </c>
      <c r="C737" s="239" t="str">
        <f t="shared" si="1"/>
        <v>MN/0914/2026</v>
      </c>
      <c r="D737" s="218" t="b">
        <v>1</v>
      </c>
      <c r="E737" s="219" t="b">
        <v>0</v>
      </c>
      <c r="F737" s="234">
        <v>46079.0</v>
      </c>
      <c r="G737" s="173"/>
      <c r="H737" s="157" t="s">
        <v>3618</v>
      </c>
      <c r="I737" s="157" t="s">
        <v>5988</v>
      </c>
      <c r="J737" s="157">
        <v>2026.0</v>
      </c>
    </row>
    <row r="738">
      <c r="A738" s="218">
        <f t="shared" si="2"/>
        <v>735</v>
      </c>
      <c r="B738" s="218" t="s">
        <v>203</v>
      </c>
      <c r="C738" s="239" t="str">
        <f t="shared" si="1"/>
        <v>MN/0915/2026</v>
      </c>
      <c r="D738" s="218" t="b">
        <v>1</v>
      </c>
      <c r="E738" s="219" t="b">
        <v>0</v>
      </c>
      <c r="F738" s="234">
        <v>46079.0</v>
      </c>
      <c r="G738" s="173"/>
      <c r="H738" s="157" t="s">
        <v>3618</v>
      </c>
      <c r="I738" s="157" t="s">
        <v>5990</v>
      </c>
      <c r="J738" s="157">
        <v>2026.0</v>
      </c>
    </row>
    <row r="739">
      <c r="A739" s="218">
        <f t="shared" si="2"/>
        <v>736</v>
      </c>
      <c r="B739" s="218" t="s">
        <v>203</v>
      </c>
      <c r="C739" s="239" t="str">
        <f t="shared" si="1"/>
        <v>MN/0916/2026</v>
      </c>
      <c r="D739" s="218" t="b">
        <v>1</v>
      </c>
      <c r="E739" s="219" t="b">
        <v>0</v>
      </c>
      <c r="F739" s="234">
        <v>46079.0</v>
      </c>
      <c r="G739" s="173"/>
      <c r="H739" s="157" t="s">
        <v>3618</v>
      </c>
      <c r="I739" s="157" t="s">
        <v>5993</v>
      </c>
      <c r="J739" s="157">
        <v>2026.0</v>
      </c>
    </row>
    <row r="740">
      <c r="A740" s="218">
        <f t="shared" si="2"/>
        <v>737</v>
      </c>
      <c r="B740" s="218" t="s">
        <v>203</v>
      </c>
      <c r="C740" s="239" t="str">
        <f t="shared" si="1"/>
        <v>MN/0917/2026</v>
      </c>
      <c r="D740" s="218" t="b">
        <v>1</v>
      </c>
      <c r="E740" s="219" t="b">
        <v>0</v>
      </c>
      <c r="F740" s="234">
        <v>46079.0</v>
      </c>
      <c r="G740" s="173"/>
      <c r="H740" s="157" t="s">
        <v>3618</v>
      </c>
      <c r="I740" s="157" t="s">
        <v>5995</v>
      </c>
      <c r="J740" s="157">
        <v>2026.0</v>
      </c>
    </row>
    <row r="741">
      <c r="A741" s="218">
        <f t="shared" si="2"/>
        <v>738</v>
      </c>
      <c r="B741" s="218" t="s">
        <v>203</v>
      </c>
      <c r="C741" s="239" t="str">
        <f t="shared" si="1"/>
        <v>MN/0918/2026</v>
      </c>
      <c r="D741" s="218" t="b">
        <v>1</v>
      </c>
      <c r="E741" s="219" t="b">
        <v>0</v>
      </c>
      <c r="F741" s="234">
        <v>46079.0</v>
      </c>
      <c r="G741" s="173"/>
      <c r="H741" s="157" t="s">
        <v>3618</v>
      </c>
      <c r="I741" s="157" t="s">
        <v>5997</v>
      </c>
      <c r="J741" s="157">
        <v>2026.0</v>
      </c>
    </row>
    <row r="742">
      <c r="A742" s="218">
        <f t="shared" si="2"/>
        <v>739</v>
      </c>
      <c r="B742" s="218" t="s">
        <v>203</v>
      </c>
      <c r="C742" s="239" t="str">
        <f t="shared" si="1"/>
        <v>MN/0919/2026</v>
      </c>
      <c r="D742" s="218" t="b">
        <v>1</v>
      </c>
      <c r="E742" s="219" t="b">
        <v>0</v>
      </c>
      <c r="F742" s="234">
        <v>46079.0</v>
      </c>
      <c r="G742" s="173"/>
      <c r="H742" s="157" t="s">
        <v>3618</v>
      </c>
      <c r="I742" s="157" t="s">
        <v>5999</v>
      </c>
      <c r="J742" s="157">
        <v>2026.0</v>
      </c>
    </row>
    <row r="743">
      <c r="A743" s="218">
        <f t="shared" si="2"/>
        <v>740</v>
      </c>
      <c r="B743" s="218" t="s">
        <v>203</v>
      </c>
      <c r="C743" s="239" t="str">
        <f t="shared" si="1"/>
        <v>MN/0920/2026</v>
      </c>
      <c r="D743" s="218" t="b">
        <v>1</v>
      </c>
      <c r="E743" s="219" t="b">
        <v>0</v>
      </c>
      <c r="F743" s="234">
        <v>46079.0</v>
      </c>
      <c r="G743" s="173"/>
      <c r="H743" s="157" t="s">
        <v>3618</v>
      </c>
      <c r="I743" s="157" t="s">
        <v>6001</v>
      </c>
      <c r="J743" s="157">
        <v>2026.0</v>
      </c>
    </row>
    <row r="744">
      <c r="A744" s="218">
        <f t="shared" si="2"/>
        <v>741</v>
      </c>
      <c r="B744" s="218" t="s">
        <v>203</v>
      </c>
      <c r="C744" s="239" t="str">
        <f t="shared" si="1"/>
        <v>MN/0921/2026</v>
      </c>
      <c r="D744" s="218" t="b">
        <v>1</v>
      </c>
      <c r="E744" s="219" t="b">
        <v>0</v>
      </c>
      <c r="F744" s="234">
        <v>46079.0</v>
      </c>
      <c r="G744" s="173"/>
      <c r="H744" s="157" t="s">
        <v>3618</v>
      </c>
      <c r="I744" s="157" t="s">
        <v>6004</v>
      </c>
      <c r="J744" s="157">
        <v>2026.0</v>
      </c>
    </row>
    <row r="745">
      <c r="A745" s="218">
        <f t="shared" si="2"/>
        <v>742</v>
      </c>
      <c r="B745" s="218" t="s">
        <v>203</v>
      </c>
      <c r="C745" s="239" t="str">
        <f t="shared" si="1"/>
        <v>MN/0922/2026</v>
      </c>
      <c r="D745" s="218" t="b">
        <v>1</v>
      </c>
      <c r="E745" s="219" t="b">
        <v>0</v>
      </c>
      <c r="F745" s="234">
        <v>46079.0</v>
      </c>
      <c r="G745" s="173"/>
      <c r="H745" s="157" t="s">
        <v>3618</v>
      </c>
      <c r="I745" s="157" t="s">
        <v>6006</v>
      </c>
      <c r="J745" s="157">
        <v>2026.0</v>
      </c>
    </row>
    <row r="746">
      <c r="A746" s="218">
        <f t="shared" si="2"/>
        <v>743</v>
      </c>
      <c r="B746" s="218" t="s">
        <v>203</v>
      </c>
      <c r="C746" s="239" t="str">
        <f t="shared" si="1"/>
        <v>MN/0923/2026</v>
      </c>
      <c r="D746" s="218" t="b">
        <v>1</v>
      </c>
      <c r="E746" s="219" t="b">
        <v>0</v>
      </c>
      <c r="F746" s="234">
        <v>46079.0</v>
      </c>
      <c r="G746" s="173"/>
      <c r="H746" s="157" t="s">
        <v>3618</v>
      </c>
      <c r="I746" s="157" t="s">
        <v>6007</v>
      </c>
      <c r="J746" s="157">
        <v>2026.0</v>
      </c>
    </row>
    <row r="747">
      <c r="A747" s="218">
        <f t="shared" si="2"/>
        <v>744</v>
      </c>
      <c r="B747" s="218" t="s">
        <v>203</v>
      </c>
      <c r="C747" s="239" t="str">
        <f t="shared" si="1"/>
        <v>MN/0924/2026</v>
      </c>
      <c r="D747" s="218" t="b">
        <v>1</v>
      </c>
      <c r="E747" s="219" t="b">
        <v>0</v>
      </c>
      <c r="F747" s="234">
        <v>46079.0</v>
      </c>
      <c r="G747" s="173"/>
      <c r="H747" s="157" t="s">
        <v>3618</v>
      </c>
      <c r="I747" s="157" t="s">
        <v>6010</v>
      </c>
      <c r="J747" s="157">
        <v>2026.0</v>
      </c>
    </row>
    <row r="748">
      <c r="A748" s="218">
        <f t="shared" si="2"/>
        <v>745</v>
      </c>
      <c r="B748" s="218" t="s">
        <v>203</v>
      </c>
      <c r="C748" s="239" t="str">
        <f t="shared" si="1"/>
        <v>MN/0925/2026</v>
      </c>
      <c r="D748" s="218" t="b">
        <v>1</v>
      </c>
      <c r="E748" s="219" t="b">
        <v>0</v>
      </c>
      <c r="F748" s="234">
        <v>46155.0</v>
      </c>
      <c r="G748" s="173"/>
      <c r="H748" s="157" t="s">
        <v>3618</v>
      </c>
      <c r="I748" s="157" t="s">
        <v>6012</v>
      </c>
      <c r="J748" s="157">
        <v>2026.0</v>
      </c>
    </row>
    <row r="749">
      <c r="A749" s="218">
        <f t="shared" si="2"/>
        <v>746</v>
      </c>
      <c r="B749" s="218" t="s">
        <v>203</v>
      </c>
      <c r="C749" s="239" t="str">
        <f t="shared" si="1"/>
        <v>MN/0926/2026</v>
      </c>
      <c r="D749" s="218" t="b">
        <v>1</v>
      </c>
      <c r="E749" s="219" t="b">
        <v>0</v>
      </c>
      <c r="F749" s="234">
        <v>46155.0</v>
      </c>
      <c r="G749" s="173"/>
      <c r="H749" s="157" t="s">
        <v>3618</v>
      </c>
      <c r="I749" s="157" t="s">
        <v>6015</v>
      </c>
      <c r="J749" s="157">
        <v>2026.0</v>
      </c>
    </row>
    <row r="750">
      <c r="A750" s="218">
        <f t="shared" si="2"/>
        <v>747</v>
      </c>
      <c r="B750" s="218" t="s">
        <v>203</v>
      </c>
      <c r="C750" s="239" t="str">
        <f t="shared" si="1"/>
        <v>MN/0927/2026</v>
      </c>
      <c r="D750" s="218" t="b">
        <v>1</v>
      </c>
      <c r="E750" s="219" t="b">
        <v>0</v>
      </c>
      <c r="F750" s="234">
        <v>46155.0</v>
      </c>
      <c r="G750" s="173"/>
      <c r="H750" s="157" t="s">
        <v>3618</v>
      </c>
      <c r="I750" s="157" t="s">
        <v>6018</v>
      </c>
      <c r="J750" s="157">
        <v>2026.0</v>
      </c>
    </row>
    <row r="751">
      <c r="A751" s="218">
        <f t="shared" si="2"/>
        <v>748</v>
      </c>
      <c r="B751" s="218" t="s">
        <v>203</v>
      </c>
      <c r="C751" s="239" t="str">
        <f t="shared" si="1"/>
        <v>MN/0928/2026</v>
      </c>
      <c r="D751" s="218" t="b">
        <v>1</v>
      </c>
      <c r="E751" s="219" t="b">
        <v>0</v>
      </c>
      <c r="F751" s="234">
        <v>46155.0</v>
      </c>
      <c r="G751" s="173"/>
      <c r="H751" s="157" t="s">
        <v>3618</v>
      </c>
      <c r="I751" s="157" t="s">
        <v>6020</v>
      </c>
      <c r="J751" s="157">
        <v>2026.0</v>
      </c>
    </row>
    <row r="752">
      <c r="A752" s="218">
        <f t="shared" si="2"/>
        <v>749</v>
      </c>
      <c r="B752" s="218" t="s">
        <v>203</v>
      </c>
      <c r="C752" s="239" t="str">
        <f t="shared" si="1"/>
        <v>MN/0929/2026</v>
      </c>
      <c r="D752" s="218" t="b">
        <v>1</v>
      </c>
      <c r="E752" s="219" t="b">
        <v>0</v>
      </c>
      <c r="F752" s="234">
        <v>46155.0</v>
      </c>
      <c r="G752" s="173"/>
      <c r="H752" s="157" t="s">
        <v>3618</v>
      </c>
      <c r="I752" s="157" t="s">
        <v>6022</v>
      </c>
      <c r="J752" s="157">
        <v>2026.0</v>
      </c>
    </row>
    <row r="753">
      <c r="A753" s="218">
        <f t="shared" si="2"/>
        <v>750</v>
      </c>
      <c r="B753" s="218" t="s">
        <v>203</v>
      </c>
      <c r="C753" s="239" t="str">
        <f t="shared" si="1"/>
        <v>MN/0930/2026</v>
      </c>
      <c r="D753" s="218" t="b">
        <v>1</v>
      </c>
      <c r="E753" s="219" t="b">
        <v>0</v>
      </c>
      <c r="F753" s="234">
        <v>46155.0</v>
      </c>
      <c r="G753" s="173"/>
      <c r="H753" s="157" t="s">
        <v>3618</v>
      </c>
      <c r="I753" s="157" t="s">
        <v>6023</v>
      </c>
      <c r="J753" s="157">
        <v>2026.0</v>
      </c>
    </row>
    <row r="754">
      <c r="A754" s="218">
        <f t="shared" si="2"/>
        <v>751</v>
      </c>
      <c r="B754" s="218" t="s">
        <v>203</v>
      </c>
      <c r="C754" s="239" t="str">
        <f t="shared" si="1"/>
        <v>MN/0931/2026</v>
      </c>
      <c r="D754" s="218" t="b">
        <v>1</v>
      </c>
      <c r="E754" s="219" t="b">
        <v>0</v>
      </c>
      <c r="F754" s="234">
        <v>46155.0</v>
      </c>
      <c r="G754" s="173"/>
      <c r="H754" s="157" t="s">
        <v>3618</v>
      </c>
      <c r="I754" s="157" t="s">
        <v>6024</v>
      </c>
      <c r="J754" s="157">
        <v>2026.0</v>
      </c>
    </row>
    <row r="755">
      <c r="A755" s="218">
        <f t="shared" si="2"/>
        <v>752</v>
      </c>
      <c r="B755" s="218" t="s">
        <v>203</v>
      </c>
      <c r="C755" s="239" t="str">
        <f t="shared" si="1"/>
        <v>MN/0932/2026</v>
      </c>
      <c r="D755" s="218" t="b">
        <v>1</v>
      </c>
      <c r="E755" s="219" t="b">
        <v>0</v>
      </c>
      <c r="F755" s="234">
        <v>46155.0</v>
      </c>
      <c r="G755" s="173"/>
      <c r="H755" s="157" t="s">
        <v>3618</v>
      </c>
      <c r="I755" s="157" t="s">
        <v>6025</v>
      </c>
      <c r="J755" s="157">
        <v>2026.0</v>
      </c>
    </row>
    <row r="756">
      <c r="A756" s="218">
        <f t="shared" si="2"/>
        <v>753</v>
      </c>
      <c r="B756" s="218" t="s">
        <v>203</v>
      </c>
      <c r="C756" s="239" t="str">
        <f t="shared" si="1"/>
        <v>MN/0933/2026</v>
      </c>
      <c r="D756" s="218" t="b">
        <v>1</v>
      </c>
      <c r="E756" s="219" t="b">
        <v>0</v>
      </c>
      <c r="F756" s="234">
        <v>46155.0</v>
      </c>
      <c r="G756" s="173"/>
      <c r="H756" s="157" t="s">
        <v>3618</v>
      </c>
      <c r="I756" s="157" t="s">
        <v>6026</v>
      </c>
      <c r="J756" s="157">
        <v>2026.0</v>
      </c>
    </row>
    <row r="757">
      <c r="A757" s="218">
        <f t="shared" si="2"/>
        <v>754</v>
      </c>
      <c r="B757" s="218" t="s">
        <v>203</v>
      </c>
      <c r="C757" s="239" t="str">
        <f t="shared" si="1"/>
        <v>MN/0934/2026</v>
      </c>
      <c r="D757" s="218" t="b">
        <v>1</v>
      </c>
      <c r="E757" s="219" t="b">
        <v>0</v>
      </c>
      <c r="F757" s="234">
        <v>46155.0</v>
      </c>
      <c r="G757" s="173"/>
      <c r="H757" s="157" t="s">
        <v>3618</v>
      </c>
      <c r="I757" s="157" t="s">
        <v>6027</v>
      </c>
      <c r="J757" s="157">
        <v>2026.0</v>
      </c>
    </row>
    <row r="758">
      <c r="A758" s="218">
        <f t="shared" si="2"/>
        <v>755</v>
      </c>
      <c r="B758" s="218" t="s">
        <v>203</v>
      </c>
      <c r="C758" s="239" t="str">
        <f t="shared" si="1"/>
        <v>MN/0935/2026</v>
      </c>
      <c r="D758" s="218" t="b">
        <v>1</v>
      </c>
      <c r="E758" s="219" t="b">
        <v>0</v>
      </c>
      <c r="F758" s="234">
        <v>46155.0</v>
      </c>
      <c r="G758" s="173"/>
      <c r="H758" s="157" t="s">
        <v>3618</v>
      </c>
      <c r="I758" s="157" t="s">
        <v>6028</v>
      </c>
      <c r="J758" s="157">
        <v>2026.0</v>
      </c>
    </row>
    <row r="759">
      <c r="A759" s="218">
        <f t="shared" si="2"/>
        <v>756</v>
      </c>
      <c r="B759" s="218" t="s">
        <v>203</v>
      </c>
      <c r="C759" s="239" t="str">
        <f t="shared" si="1"/>
        <v>MN/0936/2026</v>
      </c>
      <c r="D759" s="218" t="b">
        <v>1</v>
      </c>
      <c r="E759" s="219" t="b">
        <v>0</v>
      </c>
      <c r="F759" s="234">
        <v>46155.0</v>
      </c>
      <c r="G759" s="173"/>
      <c r="H759" s="157" t="s">
        <v>3618</v>
      </c>
      <c r="I759" s="157" t="s">
        <v>6029</v>
      </c>
      <c r="J759" s="157">
        <v>2026.0</v>
      </c>
    </row>
    <row r="760">
      <c r="A760" s="218">
        <f t="shared" si="2"/>
        <v>757</v>
      </c>
      <c r="B760" s="218" t="s">
        <v>203</v>
      </c>
      <c r="C760" s="239" t="str">
        <f t="shared" si="1"/>
        <v>MN/0937/2026</v>
      </c>
      <c r="D760" s="218" t="b">
        <v>1</v>
      </c>
      <c r="E760" s="219" t="b">
        <v>0</v>
      </c>
      <c r="F760" s="234">
        <v>46155.0</v>
      </c>
      <c r="G760" s="173"/>
      <c r="H760" s="157" t="s">
        <v>3618</v>
      </c>
      <c r="I760" s="157" t="s">
        <v>6030</v>
      </c>
      <c r="J760" s="157">
        <v>2026.0</v>
      </c>
    </row>
    <row r="761">
      <c r="A761" s="218">
        <f t="shared" si="2"/>
        <v>758</v>
      </c>
      <c r="B761" s="218" t="s">
        <v>203</v>
      </c>
      <c r="C761" s="239" t="str">
        <f t="shared" si="1"/>
        <v>MN/0938/2026</v>
      </c>
      <c r="D761" s="218" t="b">
        <v>1</v>
      </c>
      <c r="E761" s="219" t="b">
        <v>0</v>
      </c>
      <c r="F761" s="234">
        <v>46155.0</v>
      </c>
      <c r="G761" s="173"/>
      <c r="H761" s="157" t="s">
        <v>3618</v>
      </c>
      <c r="I761" s="157" t="s">
        <v>6031</v>
      </c>
      <c r="J761" s="157">
        <v>2026.0</v>
      </c>
    </row>
    <row r="762">
      <c r="A762" s="218">
        <f t="shared" si="2"/>
        <v>759</v>
      </c>
      <c r="B762" s="218" t="s">
        <v>203</v>
      </c>
      <c r="C762" s="239" t="str">
        <f t="shared" si="1"/>
        <v>MN/0939/2026</v>
      </c>
      <c r="D762" s="218" t="b">
        <v>1</v>
      </c>
      <c r="E762" s="219" t="b">
        <v>0</v>
      </c>
      <c r="F762" s="234">
        <v>46155.0</v>
      </c>
      <c r="G762" s="173"/>
      <c r="H762" s="157" t="s">
        <v>3618</v>
      </c>
      <c r="I762" s="157" t="s">
        <v>6032</v>
      </c>
      <c r="J762" s="157">
        <v>2026.0</v>
      </c>
    </row>
    <row r="763">
      <c r="A763" s="218">
        <f t="shared" si="2"/>
        <v>760</v>
      </c>
      <c r="B763" s="218" t="s">
        <v>203</v>
      </c>
      <c r="C763" s="239" t="str">
        <f t="shared" si="1"/>
        <v>MN/0940/2026</v>
      </c>
      <c r="D763" s="218" t="b">
        <v>1</v>
      </c>
      <c r="E763" s="219" t="b">
        <v>0</v>
      </c>
      <c r="F763" s="234">
        <v>46155.0</v>
      </c>
      <c r="G763" s="173"/>
      <c r="H763" s="157" t="s">
        <v>3618</v>
      </c>
      <c r="I763" s="157" t="s">
        <v>6033</v>
      </c>
      <c r="J763" s="157">
        <v>2026.0</v>
      </c>
    </row>
    <row r="764">
      <c r="A764" s="218">
        <f t="shared" si="2"/>
        <v>761</v>
      </c>
      <c r="B764" s="218" t="s">
        <v>203</v>
      </c>
      <c r="C764" s="239" t="str">
        <f t="shared" si="1"/>
        <v>MN/0941/2026</v>
      </c>
      <c r="D764" s="218" t="b">
        <v>1</v>
      </c>
      <c r="E764" s="219" t="b">
        <v>0</v>
      </c>
      <c r="F764" s="234">
        <v>46155.0</v>
      </c>
      <c r="G764" s="173"/>
      <c r="H764" s="157" t="s">
        <v>3618</v>
      </c>
      <c r="I764" s="157" t="s">
        <v>6034</v>
      </c>
      <c r="J764" s="157">
        <v>2026.0</v>
      </c>
    </row>
    <row r="765">
      <c r="A765" s="218">
        <f t="shared" si="2"/>
        <v>762</v>
      </c>
      <c r="B765" s="218" t="s">
        <v>203</v>
      </c>
      <c r="C765" s="239" t="str">
        <f t="shared" si="1"/>
        <v>MN/0942/2026</v>
      </c>
      <c r="D765" s="218" t="b">
        <v>1</v>
      </c>
      <c r="E765" s="219" t="b">
        <v>0</v>
      </c>
      <c r="F765" s="234">
        <v>46155.0</v>
      </c>
      <c r="G765" s="173"/>
      <c r="H765" s="157" t="s">
        <v>3618</v>
      </c>
      <c r="I765" s="157" t="s">
        <v>6035</v>
      </c>
      <c r="J765" s="157">
        <v>2026.0</v>
      </c>
    </row>
    <row r="766">
      <c r="A766" s="218">
        <f t="shared" si="2"/>
        <v>763</v>
      </c>
      <c r="B766" s="218" t="s">
        <v>203</v>
      </c>
      <c r="C766" s="239" t="str">
        <f t="shared" si="1"/>
        <v>MN/0943/2026</v>
      </c>
      <c r="D766" s="218" t="b">
        <v>1</v>
      </c>
      <c r="E766" s="219" t="b">
        <v>0</v>
      </c>
      <c r="F766" s="234">
        <v>46155.0</v>
      </c>
      <c r="G766" s="173"/>
      <c r="H766" s="157" t="s">
        <v>3618</v>
      </c>
      <c r="I766" s="157" t="s">
        <v>6036</v>
      </c>
      <c r="J766" s="157">
        <v>2026.0</v>
      </c>
    </row>
    <row r="767">
      <c r="A767" s="218">
        <f t="shared" si="2"/>
        <v>764</v>
      </c>
      <c r="B767" s="218" t="s">
        <v>203</v>
      </c>
      <c r="C767" s="239" t="str">
        <f t="shared" si="1"/>
        <v>MN/0944/2026</v>
      </c>
      <c r="D767" s="218" t="b">
        <v>1</v>
      </c>
      <c r="E767" s="219" t="b">
        <v>0</v>
      </c>
      <c r="F767" s="234">
        <v>46155.0</v>
      </c>
      <c r="G767" s="173"/>
      <c r="H767" s="157" t="s">
        <v>3618</v>
      </c>
      <c r="I767" s="157" t="s">
        <v>6037</v>
      </c>
      <c r="J767" s="157">
        <v>2026.0</v>
      </c>
    </row>
    <row r="768">
      <c r="A768" s="218">
        <f t="shared" si="2"/>
        <v>765</v>
      </c>
      <c r="B768" s="218" t="s">
        <v>203</v>
      </c>
      <c r="C768" s="239" t="str">
        <f t="shared" si="1"/>
        <v>MN/0945/2026</v>
      </c>
      <c r="D768" s="218" t="b">
        <v>1</v>
      </c>
      <c r="E768" s="219" t="b">
        <v>0</v>
      </c>
      <c r="F768" s="234">
        <v>46155.0</v>
      </c>
      <c r="G768" s="173"/>
      <c r="H768" s="157" t="s">
        <v>3618</v>
      </c>
      <c r="I768" s="157" t="s">
        <v>6038</v>
      </c>
      <c r="J768" s="157">
        <v>2026.0</v>
      </c>
    </row>
    <row r="769">
      <c r="A769" s="218">
        <f t="shared" si="2"/>
        <v>766</v>
      </c>
      <c r="B769" s="218" t="s">
        <v>203</v>
      </c>
      <c r="C769" s="239" t="str">
        <f t="shared" si="1"/>
        <v>MN/0946/2026</v>
      </c>
      <c r="D769" s="218" t="b">
        <v>1</v>
      </c>
      <c r="E769" s="219" t="b">
        <v>0</v>
      </c>
      <c r="F769" s="234">
        <v>46155.0</v>
      </c>
      <c r="G769" s="173"/>
      <c r="H769" s="157" t="s">
        <v>3618</v>
      </c>
      <c r="I769" s="157" t="s">
        <v>6039</v>
      </c>
      <c r="J769" s="157">
        <v>2026.0</v>
      </c>
    </row>
    <row r="770">
      <c r="A770" s="218">
        <f t="shared" si="2"/>
        <v>767</v>
      </c>
      <c r="B770" s="218" t="s">
        <v>203</v>
      </c>
      <c r="C770" s="239" t="str">
        <f t="shared" si="1"/>
        <v>MN/0947/2026</v>
      </c>
      <c r="D770" s="218" t="b">
        <v>1</v>
      </c>
      <c r="E770" s="219" t="b">
        <v>0</v>
      </c>
      <c r="F770" s="234">
        <v>46155.0</v>
      </c>
      <c r="G770" s="173"/>
      <c r="H770" s="157" t="s">
        <v>3618</v>
      </c>
      <c r="I770" s="157" t="s">
        <v>6040</v>
      </c>
      <c r="J770" s="157">
        <v>2026.0</v>
      </c>
    </row>
    <row r="771">
      <c r="A771" s="218">
        <f t="shared" si="2"/>
        <v>768</v>
      </c>
      <c r="B771" s="218" t="s">
        <v>203</v>
      </c>
      <c r="C771" s="239" t="str">
        <f t="shared" si="1"/>
        <v>MN/0948/2026</v>
      </c>
      <c r="D771" s="218" t="b">
        <v>1</v>
      </c>
      <c r="E771" s="219" t="b">
        <v>0</v>
      </c>
      <c r="F771" s="234">
        <v>46155.0</v>
      </c>
      <c r="G771" s="173"/>
      <c r="H771" s="157" t="s">
        <v>3618</v>
      </c>
      <c r="I771" s="157" t="s">
        <v>6041</v>
      </c>
      <c r="J771" s="157">
        <v>2026.0</v>
      </c>
    </row>
    <row r="772">
      <c r="A772" s="218">
        <f t="shared" si="2"/>
        <v>769</v>
      </c>
      <c r="B772" s="218" t="s">
        <v>203</v>
      </c>
      <c r="C772" s="239" t="str">
        <f t="shared" si="1"/>
        <v>MN/0949/2026</v>
      </c>
      <c r="D772" s="218" t="b">
        <v>1</v>
      </c>
      <c r="E772" s="219" t="b">
        <v>0</v>
      </c>
      <c r="F772" s="234">
        <v>46155.0</v>
      </c>
      <c r="G772" s="173"/>
      <c r="H772" s="157" t="s">
        <v>3618</v>
      </c>
      <c r="I772" s="157" t="s">
        <v>6042</v>
      </c>
      <c r="J772" s="157">
        <v>2026.0</v>
      </c>
    </row>
    <row r="773">
      <c r="A773" s="218">
        <f t="shared" si="2"/>
        <v>770</v>
      </c>
      <c r="B773" s="218" t="s">
        <v>203</v>
      </c>
      <c r="C773" s="239" t="str">
        <f t="shared" si="1"/>
        <v>MN/0950/2026</v>
      </c>
      <c r="D773" s="218" t="b">
        <v>1</v>
      </c>
      <c r="E773" s="219" t="b">
        <v>0</v>
      </c>
      <c r="F773" s="234">
        <v>46155.0</v>
      </c>
      <c r="G773" s="173"/>
      <c r="H773" s="157" t="s">
        <v>3618</v>
      </c>
      <c r="I773" s="157" t="s">
        <v>6043</v>
      </c>
      <c r="J773" s="157">
        <v>2026.0</v>
      </c>
    </row>
    <row r="774">
      <c r="A774" s="218">
        <f t="shared" si="2"/>
        <v>771</v>
      </c>
      <c r="B774" s="218" t="s">
        <v>203</v>
      </c>
      <c r="C774" s="239" t="str">
        <f t="shared" si="1"/>
        <v>MN/0951/2026</v>
      </c>
      <c r="D774" s="218" t="b">
        <v>1</v>
      </c>
      <c r="E774" s="219" t="b">
        <v>0</v>
      </c>
      <c r="F774" s="234">
        <v>46155.0</v>
      </c>
      <c r="G774" s="173"/>
      <c r="H774" s="157" t="s">
        <v>3618</v>
      </c>
      <c r="I774" s="157" t="s">
        <v>6044</v>
      </c>
      <c r="J774" s="157">
        <v>2026.0</v>
      </c>
    </row>
    <row r="775">
      <c r="A775" s="218">
        <f t="shared" si="2"/>
        <v>772</v>
      </c>
      <c r="B775" s="218" t="s">
        <v>203</v>
      </c>
      <c r="C775" s="239" t="str">
        <f t="shared" si="1"/>
        <v>MN/0952/2026</v>
      </c>
      <c r="D775" s="218" t="b">
        <v>1</v>
      </c>
      <c r="E775" s="219" t="b">
        <v>0</v>
      </c>
      <c r="F775" s="234">
        <v>46155.0</v>
      </c>
      <c r="G775" s="173"/>
      <c r="H775" s="157" t="s">
        <v>3618</v>
      </c>
      <c r="I775" s="157" t="s">
        <v>6045</v>
      </c>
      <c r="J775" s="157">
        <v>2026.0</v>
      </c>
    </row>
    <row r="776">
      <c r="A776" s="218">
        <f t="shared" si="2"/>
        <v>773</v>
      </c>
      <c r="B776" s="218" t="s">
        <v>203</v>
      </c>
      <c r="C776" s="239" t="str">
        <f t="shared" si="1"/>
        <v>MN/0953/2026</v>
      </c>
      <c r="D776" s="218" t="b">
        <v>1</v>
      </c>
      <c r="E776" s="219" t="b">
        <v>0</v>
      </c>
      <c r="F776" s="234">
        <v>46155.0</v>
      </c>
      <c r="G776" s="173"/>
      <c r="H776" s="157" t="s">
        <v>3618</v>
      </c>
      <c r="I776" s="157" t="s">
        <v>6047</v>
      </c>
      <c r="J776" s="157">
        <v>2026.0</v>
      </c>
    </row>
    <row r="777">
      <c r="A777" s="218">
        <f t="shared" si="2"/>
        <v>774</v>
      </c>
      <c r="B777" s="218" t="s">
        <v>203</v>
      </c>
      <c r="C777" s="239" t="str">
        <f t="shared" si="1"/>
        <v>MN/0954/2026</v>
      </c>
      <c r="D777" s="218" t="b">
        <v>1</v>
      </c>
      <c r="E777" s="219" t="b">
        <v>0</v>
      </c>
      <c r="F777" s="234">
        <v>46155.0</v>
      </c>
      <c r="G777" s="173"/>
      <c r="H777" s="157" t="s">
        <v>3618</v>
      </c>
      <c r="I777" s="157" t="s">
        <v>6049</v>
      </c>
      <c r="J777" s="157">
        <v>2026.0</v>
      </c>
    </row>
    <row r="778">
      <c r="A778" s="218">
        <f t="shared" si="2"/>
        <v>775</v>
      </c>
      <c r="B778" s="218" t="s">
        <v>203</v>
      </c>
      <c r="C778" s="239" t="str">
        <f t="shared" si="1"/>
        <v>MN/0955/2026</v>
      </c>
      <c r="D778" s="218" t="b">
        <v>1</v>
      </c>
      <c r="E778" s="219" t="b">
        <v>0</v>
      </c>
      <c r="F778" s="234">
        <v>46155.0</v>
      </c>
      <c r="G778" s="173"/>
      <c r="H778" s="157" t="s">
        <v>3618</v>
      </c>
      <c r="I778" s="157" t="s">
        <v>6050</v>
      </c>
      <c r="J778" s="157">
        <v>2026.0</v>
      </c>
    </row>
    <row r="779">
      <c r="A779" s="218">
        <f t="shared" si="2"/>
        <v>776</v>
      </c>
      <c r="B779" s="218" t="s">
        <v>203</v>
      </c>
      <c r="C779" s="240" t="str">
        <f t="shared" si="1"/>
        <v>MN/0956/2026</v>
      </c>
      <c r="D779" s="218" t="b">
        <v>1</v>
      </c>
      <c r="E779" s="219" t="b">
        <v>0</v>
      </c>
      <c r="F779" s="234">
        <v>46155.0</v>
      </c>
      <c r="G779" s="173"/>
      <c r="H779" s="157" t="s">
        <v>3618</v>
      </c>
      <c r="I779" s="157" t="s">
        <v>6051</v>
      </c>
      <c r="J779" s="157">
        <v>2026.0</v>
      </c>
    </row>
    <row r="780">
      <c r="A780" s="218">
        <f t="shared" si="2"/>
        <v>777</v>
      </c>
      <c r="B780" s="218" t="s">
        <v>203</v>
      </c>
      <c r="C780" s="240" t="str">
        <f t="shared" si="1"/>
        <v>MN/0957/2026</v>
      </c>
      <c r="D780" s="218" t="b">
        <v>1</v>
      </c>
      <c r="E780" s="219" t="b">
        <v>0</v>
      </c>
      <c r="F780" s="234">
        <v>46155.0</v>
      </c>
      <c r="G780" s="173"/>
      <c r="H780" s="157" t="s">
        <v>3618</v>
      </c>
      <c r="I780" s="157" t="s">
        <v>6052</v>
      </c>
      <c r="J780" s="157">
        <v>2026.0</v>
      </c>
    </row>
    <row r="781">
      <c r="A781" s="218">
        <f t="shared" si="2"/>
        <v>778</v>
      </c>
      <c r="B781" s="218" t="s">
        <v>203</v>
      </c>
      <c r="C781" s="240" t="str">
        <f t="shared" si="1"/>
        <v>MN/0958/2026</v>
      </c>
      <c r="D781" s="218" t="b">
        <v>1</v>
      </c>
      <c r="E781" s="219" t="b">
        <v>0</v>
      </c>
      <c r="F781" s="234">
        <v>46155.0</v>
      </c>
      <c r="G781" s="173"/>
      <c r="H781" s="157" t="s">
        <v>3618</v>
      </c>
      <c r="I781" s="157" t="s">
        <v>6053</v>
      </c>
      <c r="J781" s="157">
        <v>2026.0</v>
      </c>
    </row>
    <row r="782">
      <c r="A782" s="218">
        <f t="shared" si="2"/>
        <v>779</v>
      </c>
      <c r="B782" s="218" t="s">
        <v>203</v>
      </c>
      <c r="C782" s="240" t="str">
        <f t="shared" si="1"/>
        <v>MN/0959/2026</v>
      </c>
      <c r="D782" s="218" t="b">
        <v>1</v>
      </c>
      <c r="E782" s="219" t="b">
        <v>0</v>
      </c>
      <c r="F782" s="234">
        <v>46155.0</v>
      </c>
      <c r="G782" s="173"/>
      <c r="H782" s="157" t="s">
        <v>3618</v>
      </c>
      <c r="I782" s="157" t="s">
        <v>6054</v>
      </c>
      <c r="J782" s="157">
        <v>2026.0</v>
      </c>
    </row>
    <row r="783">
      <c r="A783" s="218">
        <f t="shared" si="2"/>
        <v>780</v>
      </c>
      <c r="B783" s="218" t="s">
        <v>203</v>
      </c>
      <c r="C783" s="240" t="str">
        <f t="shared" si="1"/>
        <v>MN/0960/2026</v>
      </c>
      <c r="D783" s="218" t="b">
        <v>1</v>
      </c>
      <c r="E783" s="219" t="b">
        <v>0</v>
      </c>
      <c r="F783" s="234">
        <v>46155.0</v>
      </c>
      <c r="G783" s="173"/>
      <c r="H783" s="157" t="s">
        <v>3618</v>
      </c>
      <c r="I783" s="157" t="s">
        <v>6055</v>
      </c>
      <c r="J783" s="157">
        <v>2026.0</v>
      </c>
    </row>
    <row r="784">
      <c r="A784" s="218">
        <f t="shared" si="2"/>
        <v>781</v>
      </c>
      <c r="B784" s="218" t="s">
        <v>203</v>
      </c>
      <c r="C784" s="240" t="str">
        <f t="shared" si="1"/>
        <v>MN/0961/2026</v>
      </c>
      <c r="D784" s="218" t="b">
        <v>1</v>
      </c>
      <c r="E784" s="219" t="b">
        <v>0</v>
      </c>
      <c r="F784" s="234">
        <v>46155.0</v>
      </c>
      <c r="G784" s="173"/>
      <c r="H784" s="157" t="s">
        <v>3618</v>
      </c>
      <c r="I784" s="157" t="s">
        <v>6056</v>
      </c>
      <c r="J784" s="157">
        <v>2026.0</v>
      </c>
    </row>
    <row r="785">
      <c r="A785" s="218">
        <f t="shared" si="2"/>
        <v>782</v>
      </c>
      <c r="B785" s="218" t="s">
        <v>203</v>
      </c>
      <c r="C785" s="240" t="str">
        <f t="shared" si="1"/>
        <v>MN/0962/2026</v>
      </c>
      <c r="D785" s="218" t="b">
        <v>1</v>
      </c>
      <c r="E785" s="219" t="b">
        <v>0</v>
      </c>
      <c r="F785" s="234">
        <v>46155.0</v>
      </c>
      <c r="G785" s="173"/>
      <c r="H785" s="157" t="s">
        <v>3618</v>
      </c>
      <c r="I785" s="157" t="s">
        <v>6057</v>
      </c>
      <c r="J785" s="157">
        <v>2026.0</v>
      </c>
    </row>
    <row r="786">
      <c r="A786" s="218">
        <f t="shared" si="2"/>
        <v>783</v>
      </c>
      <c r="B786" s="218" t="s">
        <v>203</v>
      </c>
      <c r="C786" s="240" t="str">
        <f t="shared" si="1"/>
        <v>MN/0963/2026</v>
      </c>
      <c r="D786" s="218" t="b">
        <v>1</v>
      </c>
      <c r="E786" s="219" t="b">
        <v>0</v>
      </c>
      <c r="F786" s="234">
        <v>46155.0</v>
      </c>
      <c r="G786" s="173"/>
      <c r="H786" s="157" t="s">
        <v>3618</v>
      </c>
      <c r="I786" s="157" t="s">
        <v>6058</v>
      </c>
      <c r="J786" s="157">
        <v>2026.0</v>
      </c>
    </row>
    <row r="787">
      <c r="A787" s="218">
        <f t="shared" si="2"/>
        <v>784</v>
      </c>
      <c r="B787" s="218" t="s">
        <v>203</v>
      </c>
      <c r="C787" s="240" t="str">
        <f t="shared" si="1"/>
        <v>MN/0964/2026</v>
      </c>
      <c r="D787" s="218" t="b">
        <v>1</v>
      </c>
      <c r="E787" s="219" t="b">
        <v>0</v>
      </c>
      <c r="F787" s="234">
        <v>46155.0</v>
      </c>
      <c r="G787" s="173"/>
      <c r="H787" s="157" t="s">
        <v>3618</v>
      </c>
      <c r="I787" s="157" t="s">
        <v>6059</v>
      </c>
      <c r="J787" s="157">
        <v>2026.0</v>
      </c>
    </row>
    <row r="788">
      <c r="A788" s="218">
        <f t="shared" si="2"/>
        <v>785</v>
      </c>
      <c r="B788" s="218" t="s">
        <v>203</v>
      </c>
      <c r="C788" s="240" t="str">
        <f t="shared" si="1"/>
        <v>MN/0965/2026</v>
      </c>
      <c r="D788" s="218" t="b">
        <v>1</v>
      </c>
      <c r="E788" s="219" t="b">
        <v>0</v>
      </c>
      <c r="F788" s="234">
        <v>46155.0</v>
      </c>
      <c r="G788" s="173"/>
      <c r="H788" s="157" t="s">
        <v>3618</v>
      </c>
      <c r="I788" s="157" t="s">
        <v>6060</v>
      </c>
      <c r="J788" s="157">
        <v>2026.0</v>
      </c>
    </row>
    <row r="789">
      <c r="A789" s="218">
        <f t="shared" si="2"/>
        <v>786</v>
      </c>
      <c r="B789" s="218" t="s">
        <v>203</v>
      </c>
      <c r="C789" s="240" t="str">
        <f t="shared" si="1"/>
        <v>MN/0966/2026</v>
      </c>
      <c r="D789" s="218" t="b">
        <v>1</v>
      </c>
      <c r="E789" s="219" t="b">
        <v>0</v>
      </c>
      <c r="F789" s="234">
        <v>46155.0</v>
      </c>
      <c r="G789" s="173"/>
      <c r="H789" s="157" t="s">
        <v>3618</v>
      </c>
      <c r="I789" s="157" t="s">
        <v>6062</v>
      </c>
      <c r="J789" s="157">
        <v>2026.0</v>
      </c>
    </row>
    <row r="790">
      <c r="A790" s="218">
        <f t="shared" si="2"/>
        <v>787</v>
      </c>
      <c r="B790" s="218" t="s">
        <v>203</v>
      </c>
      <c r="C790" s="240" t="str">
        <f t="shared" si="1"/>
        <v>MN/0967/2026</v>
      </c>
      <c r="D790" s="218" t="b">
        <v>1</v>
      </c>
      <c r="E790" s="219" t="b">
        <v>0</v>
      </c>
      <c r="F790" s="234">
        <v>46155.0</v>
      </c>
      <c r="G790" s="173"/>
      <c r="H790" s="157" t="s">
        <v>3618</v>
      </c>
      <c r="I790" s="157" t="s">
        <v>6063</v>
      </c>
      <c r="J790" s="157">
        <v>2026.0</v>
      </c>
    </row>
    <row r="791">
      <c r="A791" s="218">
        <f t="shared" si="2"/>
        <v>788</v>
      </c>
      <c r="B791" s="218" t="s">
        <v>203</v>
      </c>
      <c r="C791" s="240" t="str">
        <f t="shared" si="1"/>
        <v>MN/0968/2026</v>
      </c>
      <c r="D791" s="218" t="b">
        <v>1</v>
      </c>
      <c r="E791" s="219" t="b">
        <v>0</v>
      </c>
      <c r="F791" s="234">
        <v>46155.0</v>
      </c>
      <c r="G791" s="173"/>
      <c r="H791" s="157" t="s">
        <v>3618</v>
      </c>
      <c r="I791" s="157" t="s">
        <v>6064</v>
      </c>
      <c r="J791" s="157">
        <v>2026.0</v>
      </c>
    </row>
    <row r="792">
      <c r="A792" s="218">
        <f t="shared" si="2"/>
        <v>789</v>
      </c>
      <c r="B792" s="218" t="s">
        <v>203</v>
      </c>
      <c r="C792" s="240" t="str">
        <f t="shared" si="1"/>
        <v>MN/0969/2026</v>
      </c>
      <c r="D792" s="218" t="b">
        <v>1</v>
      </c>
      <c r="E792" s="219" t="b">
        <v>0</v>
      </c>
      <c r="F792" s="234">
        <v>46155.0</v>
      </c>
      <c r="G792" s="173"/>
      <c r="H792" s="157" t="s">
        <v>3618</v>
      </c>
      <c r="I792" s="157" t="s">
        <v>6065</v>
      </c>
      <c r="J792" s="157">
        <v>2026.0</v>
      </c>
    </row>
    <row r="793">
      <c r="A793" s="218">
        <f t="shared" si="2"/>
        <v>790</v>
      </c>
      <c r="B793" s="218" t="s">
        <v>203</v>
      </c>
      <c r="C793" s="240" t="str">
        <f t="shared" si="1"/>
        <v>MN/0970/2026</v>
      </c>
      <c r="D793" s="218" t="b">
        <v>1</v>
      </c>
      <c r="E793" s="219" t="b">
        <v>0</v>
      </c>
      <c r="F793" s="234">
        <v>46155.0</v>
      </c>
      <c r="G793" s="173"/>
      <c r="H793" s="157" t="s">
        <v>3618</v>
      </c>
      <c r="I793" s="157" t="s">
        <v>6066</v>
      </c>
      <c r="J793" s="157">
        <v>2026.0</v>
      </c>
    </row>
    <row r="794">
      <c r="A794" s="218">
        <f t="shared" si="2"/>
        <v>791</v>
      </c>
      <c r="B794" s="218" t="s">
        <v>203</v>
      </c>
      <c r="C794" s="240" t="str">
        <f t="shared" si="1"/>
        <v>MN/0971/2026</v>
      </c>
      <c r="D794" s="218" t="b">
        <v>1</v>
      </c>
      <c r="E794" s="219" t="b">
        <v>0</v>
      </c>
      <c r="F794" s="234">
        <v>46155.0</v>
      </c>
      <c r="G794" s="173"/>
      <c r="H794" s="157" t="s">
        <v>3618</v>
      </c>
      <c r="I794" s="157" t="s">
        <v>6067</v>
      </c>
      <c r="J794" s="157">
        <v>2026.0</v>
      </c>
    </row>
    <row r="795">
      <c r="A795" s="218">
        <f t="shared" si="2"/>
        <v>792</v>
      </c>
      <c r="B795" s="218" t="s">
        <v>203</v>
      </c>
      <c r="C795" s="240" t="str">
        <f t="shared" si="1"/>
        <v>MN/0972/2026</v>
      </c>
      <c r="D795" s="218" t="b">
        <v>1</v>
      </c>
      <c r="E795" s="219" t="b">
        <v>0</v>
      </c>
      <c r="F795" s="234">
        <v>46155.0</v>
      </c>
      <c r="G795" s="173"/>
      <c r="H795" s="157" t="s">
        <v>3618</v>
      </c>
      <c r="I795" s="157" t="s">
        <v>6068</v>
      </c>
      <c r="J795" s="157">
        <v>2026.0</v>
      </c>
    </row>
    <row r="796">
      <c r="A796" s="218">
        <f t="shared" si="2"/>
        <v>793</v>
      </c>
      <c r="B796" s="218" t="s">
        <v>203</v>
      </c>
      <c r="C796" s="240" t="str">
        <f t="shared" si="1"/>
        <v>MN/0973/2026</v>
      </c>
      <c r="D796" s="218" t="b">
        <v>1</v>
      </c>
      <c r="E796" s="219" t="b">
        <v>0</v>
      </c>
      <c r="F796" s="234">
        <v>46155.0</v>
      </c>
      <c r="G796" s="173"/>
      <c r="H796" s="157" t="s">
        <v>3618</v>
      </c>
      <c r="I796" s="157" t="s">
        <v>6069</v>
      </c>
      <c r="J796" s="157">
        <v>2026.0</v>
      </c>
    </row>
    <row r="797">
      <c r="A797" s="218">
        <f t="shared" si="2"/>
        <v>794</v>
      </c>
      <c r="B797" s="218" t="s">
        <v>203</v>
      </c>
      <c r="C797" s="240" t="str">
        <f t="shared" si="1"/>
        <v>MN/0974/2026</v>
      </c>
      <c r="D797" s="218" t="b">
        <v>1</v>
      </c>
      <c r="E797" s="219" t="b">
        <v>0</v>
      </c>
      <c r="F797" s="234">
        <v>46155.0</v>
      </c>
      <c r="G797" s="173"/>
      <c r="H797" s="157" t="s">
        <v>3618</v>
      </c>
      <c r="I797" s="157" t="s">
        <v>6070</v>
      </c>
      <c r="J797" s="157">
        <v>2026.0</v>
      </c>
    </row>
    <row r="798">
      <c r="A798" s="218">
        <f t="shared" si="2"/>
        <v>795</v>
      </c>
      <c r="B798" s="218" t="s">
        <v>203</v>
      </c>
      <c r="C798" s="240" t="str">
        <f t="shared" si="1"/>
        <v>MN/0975/2026</v>
      </c>
      <c r="D798" s="218" t="b">
        <v>1</v>
      </c>
      <c r="E798" s="219" t="b">
        <v>0</v>
      </c>
      <c r="F798" s="234">
        <v>46198.0</v>
      </c>
      <c r="G798" s="173"/>
      <c r="H798" s="157" t="s">
        <v>3618</v>
      </c>
      <c r="I798" s="157" t="s">
        <v>6071</v>
      </c>
      <c r="J798" s="157">
        <v>2026.0</v>
      </c>
    </row>
    <row r="799">
      <c r="A799" s="218">
        <f t="shared" si="2"/>
        <v>796</v>
      </c>
      <c r="B799" s="218" t="s">
        <v>203</v>
      </c>
      <c r="C799" s="240" t="str">
        <f t="shared" si="1"/>
        <v>MN/0976/2026</v>
      </c>
      <c r="D799" s="218" t="b">
        <v>1</v>
      </c>
      <c r="E799" s="219" t="b">
        <v>0</v>
      </c>
      <c r="F799" s="234">
        <v>46198.0</v>
      </c>
      <c r="G799" s="173"/>
      <c r="H799" s="157" t="s">
        <v>3618</v>
      </c>
      <c r="I799" s="157" t="s">
        <v>6072</v>
      </c>
      <c r="J799" s="157">
        <v>2026.0</v>
      </c>
    </row>
    <row r="800">
      <c r="A800" s="218">
        <f t="shared" si="2"/>
        <v>797</v>
      </c>
      <c r="B800" s="218" t="s">
        <v>203</v>
      </c>
      <c r="C800" s="240" t="str">
        <f t="shared" si="1"/>
        <v>MN/0977/2026</v>
      </c>
      <c r="D800" s="218" t="b">
        <v>1</v>
      </c>
      <c r="E800" s="219" t="b">
        <v>0</v>
      </c>
      <c r="F800" s="234">
        <v>46198.0</v>
      </c>
      <c r="G800" s="173"/>
      <c r="H800" s="157" t="s">
        <v>3618</v>
      </c>
      <c r="I800" s="157" t="s">
        <v>6074</v>
      </c>
      <c r="J800" s="157">
        <v>2026.0</v>
      </c>
    </row>
    <row r="801">
      <c r="A801" s="218">
        <f t="shared" si="2"/>
        <v>798</v>
      </c>
      <c r="B801" s="218" t="s">
        <v>203</v>
      </c>
      <c r="C801" s="240" t="str">
        <f t="shared" si="1"/>
        <v>MN/0978/2026</v>
      </c>
      <c r="D801" s="218" t="b">
        <v>1</v>
      </c>
      <c r="E801" s="219" t="b">
        <v>0</v>
      </c>
      <c r="F801" s="234">
        <v>46198.0</v>
      </c>
      <c r="G801" s="173"/>
      <c r="H801" s="157" t="s">
        <v>3618</v>
      </c>
      <c r="I801" s="157" t="s">
        <v>6075</v>
      </c>
      <c r="J801" s="157">
        <v>2026.0</v>
      </c>
    </row>
    <row r="802">
      <c r="A802" s="218">
        <f t="shared" si="2"/>
        <v>799</v>
      </c>
      <c r="B802" s="218" t="s">
        <v>203</v>
      </c>
      <c r="C802" s="240" t="str">
        <f t="shared" si="1"/>
        <v>MN/0979/2026</v>
      </c>
      <c r="D802" s="218" t="b">
        <v>1</v>
      </c>
      <c r="E802" s="219" t="b">
        <v>0</v>
      </c>
      <c r="F802" s="234">
        <v>46198.0</v>
      </c>
      <c r="G802" s="173"/>
      <c r="H802" s="157" t="s">
        <v>3618</v>
      </c>
      <c r="I802" s="157" t="s">
        <v>6076</v>
      </c>
      <c r="J802" s="157">
        <v>2026.0</v>
      </c>
    </row>
    <row r="803">
      <c r="A803" s="218">
        <f t="shared" si="2"/>
        <v>800</v>
      </c>
      <c r="B803" s="218" t="s">
        <v>203</v>
      </c>
      <c r="C803" s="240" t="str">
        <f t="shared" si="1"/>
        <v>MN/0980/2026</v>
      </c>
      <c r="D803" s="218" t="b">
        <v>1</v>
      </c>
      <c r="E803" s="219" t="b">
        <v>0</v>
      </c>
      <c r="F803" s="234">
        <v>46198.0</v>
      </c>
      <c r="G803" s="173"/>
      <c r="H803" s="157" t="s">
        <v>3618</v>
      </c>
      <c r="I803" s="157" t="s">
        <v>6077</v>
      </c>
      <c r="J803" s="157">
        <v>2026.0</v>
      </c>
    </row>
    <row r="804">
      <c r="A804" s="218">
        <f t="shared" si="2"/>
        <v>801</v>
      </c>
      <c r="B804" s="218" t="s">
        <v>203</v>
      </c>
      <c r="C804" s="240" t="str">
        <f t="shared" si="1"/>
        <v>MN/0981/2026</v>
      </c>
      <c r="D804" s="218" t="b">
        <v>1</v>
      </c>
      <c r="E804" s="219" t="b">
        <v>0</v>
      </c>
      <c r="F804" s="234">
        <v>46198.0</v>
      </c>
      <c r="G804" s="173"/>
      <c r="H804" s="157" t="s">
        <v>3618</v>
      </c>
      <c r="I804" s="157" t="s">
        <v>6078</v>
      </c>
      <c r="J804" s="157">
        <v>2026.0</v>
      </c>
    </row>
    <row r="805">
      <c r="A805" s="218">
        <f t="shared" si="2"/>
        <v>802</v>
      </c>
      <c r="B805" s="218" t="s">
        <v>203</v>
      </c>
      <c r="C805" s="240" t="str">
        <f t="shared" si="1"/>
        <v>MN/0982/2026</v>
      </c>
      <c r="D805" s="218" t="b">
        <v>1</v>
      </c>
      <c r="E805" s="219" t="b">
        <v>0</v>
      </c>
      <c r="F805" s="234">
        <v>46198.0</v>
      </c>
      <c r="G805" s="173"/>
      <c r="H805" s="157" t="s">
        <v>3618</v>
      </c>
      <c r="I805" s="157" t="s">
        <v>6079</v>
      </c>
      <c r="J805" s="157">
        <v>2026.0</v>
      </c>
    </row>
    <row r="806">
      <c r="A806" s="218">
        <f t="shared" si="2"/>
        <v>803</v>
      </c>
      <c r="B806" s="218" t="s">
        <v>203</v>
      </c>
      <c r="C806" s="240" t="str">
        <f t="shared" si="1"/>
        <v>MN/0983/2026</v>
      </c>
      <c r="D806" s="218" t="b">
        <v>1</v>
      </c>
      <c r="E806" s="219" t="b">
        <v>0</v>
      </c>
      <c r="F806" s="234">
        <v>46198.0</v>
      </c>
      <c r="G806" s="173"/>
      <c r="H806" s="157" t="s">
        <v>3618</v>
      </c>
      <c r="I806" s="157" t="s">
        <v>6080</v>
      </c>
      <c r="J806" s="157">
        <v>2026.0</v>
      </c>
    </row>
    <row r="807">
      <c r="A807" s="218">
        <f t="shared" si="2"/>
        <v>804</v>
      </c>
      <c r="B807" s="218" t="s">
        <v>203</v>
      </c>
      <c r="C807" s="240" t="str">
        <f t="shared" si="1"/>
        <v>MN/0984/2026</v>
      </c>
      <c r="D807" s="218" t="b">
        <v>1</v>
      </c>
      <c r="E807" s="219" t="b">
        <v>0</v>
      </c>
      <c r="F807" s="234">
        <v>46198.0</v>
      </c>
      <c r="G807" s="173"/>
      <c r="H807" s="157" t="s">
        <v>3618</v>
      </c>
      <c r="I807" s="157" t="s">
        <v>6081</v>
      </c>
      <c r="J807" s="157">
        <v>2026.0</v>
      </c>
    </row>
    <row r="808">
      <c r="A808" s="218">
        <f t="shared" si="2"/>
        <v>805</v>
      </c>
      <c r="B808" s="218" t="s">
        <v>203</v>
      </c>
      <c r="C808" s="240" t="str">
        <f t="shared" si="1"/>
        <v>MN/0985/2026</v>
      </c>
      <c r="D808" s="218" t="b">
        <v>1</v>
      </c>
      <c r="E808" s="219" t="b">
        <v>0</v>
      </c>
      <c r="F808" s="234">
        <v>46198.0</v>
      </c>
      <c r="G808" s="173"/>
      <c r="H808" s="157" t="s">
        <v>3618</v>
      </c>
      <c r="I808" s="157" t="s">
        <v>6082</v>
      </c>
      <c r="J808" s="157">
        <v>2026.0</v>
      </c>
    </row>
    <row r="809">
      <c r="A809" s="218">
        <f t="shared" si="2"/>
        <v>806</v>
      </c>
      <c r="B809" s="218" t="s">
        <v>203</v>
      </c>
      <c r="C809" s="240" t="str">
        <f t="shared" si="1"/>
        <v>MN/0986/2026</v>
      </c>
      <c r="D809" s="218" t="b">
        <v>1</v>
      </c>
      <c r="E809" s="219" t="b">
        <v>0</v>
      </c>
      <c r="F809" s="234">
        <v>46198.0</v>
      </c>
      <c r="G809" s="173"/>
      <c r="H809" s="157" t="s">
        <v>3618</v>
      </c>
      <c r="I809" s="157" t="s">
        <v>6083</v>
      </c>
      <c r="J809" s="157">
        <v>2026.0</v>
      </c>
    </row>
    <row r="810">
      <c r="A810" s="218">
        <f t="shared" si="2"/>
        <v>807</v>
      </c>
      <c r="B810" s="218" t="s">
        <v>203</v>
      </c>
      <c r="C810" s="240" t="str">
        <f t="shared" si="1"/>
        <v>MN/0987/2026</v>
      </c>
      <c r="D810" s="218" t="b">
        <v>1</v>
      </c>
      <c r="E810" s="219" t="b">
        <v>0</v>
      </c>
      <c r="F810" s="234">
        <v>46198.0</v>
      </c>
      <c r="G810" s="173"/>
      <c r="H810" s="157" t="s">
        <v>3618</v>
      </c>
      <c r="I810" s="157" t="s">
        <v>6084</v>
      </c>
      <c r="J810" s="157">
        <v>2026.0</v>
      </c>
    </row>
    <row r="811">
      <c r="A811" s="218">
        <f t="shared" si="2"/>
        <v>808</v>
      </c>
      <c r="B811" s="218" t="s">
        <v>203</v>
      </c>
      <c r="C811" s="240" t="str">
        <f t="shared" si="1"/>
        <v>MN/0988/2026</v>
      </c>
      <c r="D811" s="218" t="b">
        <v>1</v>
      </c>
      <c r="E811" s="219" t="b">
        <v>0</v>
      </c>
      <c r="F811" s="234">
        <v>46198.0</v>
      </c>
      <c r="G811" s="173"/>
      <c r="H811" s="157" t="s">
        <v>3618</v>
      </c>
      <c r="I811" s="157" t="s">
        <v>6085</v>
      </c>
      <c r="J811" s="157">
        <v>2026.0</v>
      </c>
    </row>
    <row r="812">
      <c r="A812" s="218">
        <f t="shared" si="2"/>
        <v>809</v>
      </c>
      <c r="B812" s="218" t="s">
        <v>203</v>
      </c>
      <c r="C812" s="240" t="str">
        <f t="shared" si="1"/>
        <v>MN/0989/2026</v>
      </c>
      <c r="D812" s="218" t="b">
        <v>1</v>
      </c>
      <c r="E812" s="219" t="b">
        <v>0</v>
      </c>
      <c r="F812" s="234">
        <v>46198.0</v>
      </c>
      <c r="G812" s="173"/>
      <c r="H812" s="157" t="s">
        <v>3618</v>
      </c>
      <c r="I812" s="157" t="s">
        <v>6086</v>
      </c>
      <c r="J812" s="157">
        <v>2026.0</v>
      </c>
    </row>
    <row r="813">
      <c r="A813" s="218">
        <f t="shared" si="2"/>
        <v>810</v>
      </c>
      <c r="B813" s="218" t="s">
        <v>203</v>
      </c>
      <c r="C813" s="240" t="str">
        <f t="shared" si="1"/>
        <v>MN/0990/2026</v>
      </c>
      <c r="D813" s="218" t="b">
        <v>1</v>
      </c>
      <c r="E813" s="219" t="b">
        <v>0</v>
      </c>
      <c r="F813" s="234">
        <v>46198.0</v>
      </c>
      <c r="G813" s="173"/>
      <c r="H813" s="157" t="s">
        <v>3618</v>
      </c>
      <c r="I813" s="157" t="s">
        <v>6088</v>
      </c>
      <c r="J813" s="157">
        <v>2026.0</v>
      </c>
    </row>
    <row r="814">
      <c r="A814" s="218">
        <f t="shared" si="2"/>
        <v>811</v>
      </c>
      <c r="B814" s="218" t="s">
        <v>203</v>
      </c>
      <c r="C814" s="240" t="str">
        <f t="shared" si="1"/>
        <v>MN/0991/2026</v>
      </c>
      <c r="D814" s="218" t="b">
        <v>1</v>
      </c>
      <c r="E814" s="219" t="b">
        <v>0</v>
      </c>
      <c r="F814" s="234">
        <v>46198.0</v>
      </c>
      <c r="G814" s="173"/>
      <c r="H814" s="157" t="s">
        <v>3618</v>
      </c>
      <c r="I814" s="157" t="s">
        <v>6089</v>
      </c>
      <c r="J814" s="157">
        <v>2026.0</v>
      </c>
    </row>
    <row r="815">
      <c r="A815" s="218">
        <f t="shared" si="2"/>
        <v>812</v>
      </c>
      <c r="B815" s="218" t="s">
        <v>203</v>
      </c>
      <c r="C815" s="240" t="str">
        <f t="shared" si="1"/>
        <v>MN/0992/2026</v>
      </c>
      <c r="D815" s="218" t="b">
        <v>1</v>
      </c>
      <c r="E815" s="219" t="b">
        <v>0</v>
      </c>
      <c r="F815" s="234">
        <v>46198.0</v>
      </c>
      <c r="G815" s="173"/>
      <c r="H815" s="157" t="s">
        <v>3618</v>
      </c>
      <c r="I815" s="157" t="s">
        <v>6090</v>
      </c>
      <c r="J815" s="157">
        <v>2026.0</v>
      </c>
    </row>
    <row r="816">
      <c r="A816" s="218">
        <f t="shared" si="2"/>
        <v>813</v>
      </c>
      <c r="B816" s="218" t="s">
        <v>203</v>
      </c>
      <c r="C816" s="240" t="str">
        <f t="shared" si="1"/>
        <v>MN/0993/2026</v>
      </c>
      <c r="D816" s="218" t="b">
        <v>1</v>
      </c>
      <c r="E816" s="219" t="b">
        <v>0</v>
      </c>
      <c r="F816" s="234">
        <v>46198.0</v>
      </c>
      <c r="G816" s="173"/>
      <c r="H816" s="157" t="s">
        <v>3618</v>
      </c>
      <c r="I816" s="157" t="s">
        <v>6091</v>
      </c>
      <c r="J816" s="157">
        <v>2026.0</v>
      </c>
    </row>
    <row r="817">
      <c r="A817" s="218">
        <f t="shared" si="2"/>
        <v>814</v>
      </c>
      <c r="B817" s="218" t="s">
        <v>203</v>
      </c>
      <c r="C817" s="240" t="str">
        <f t="shared" si="1"/>
        <v>MN/0994/2026</v>
      </c>
      <c r="D817" s="218" t="b">
        <v>1</v>
      </c>
      <c r="E817" s="219" t="b">
        <v>0</v>
      </c>
      <c r="F817" s="234">
        <v>46198.0</v>
      </c>
      <c r="G817" s="173"/>
      <c r="H817" s="157" t="s">
        <v>3618</v>
      </c>
      <c r="I817" s="157" t="s">
        <v>6093</v>
      </c>
      <c r="J817" s="157">
        <v>2026.0</v>
      </c>
    </row>
    <row r="818">
      <c r="A818" s="218">
        <f t="shared" si="2"/>
        <v>815</v>
      </c>
      <c r="B818" s="218" t="s">
        <v>203</v>
      </c>
      <c r="C818" s="240" t="str">
        <f t="shared" si="1"/>
        <v>MN/0995/2026</v>
      </c>
      <c r="D818" s="218" t="b">
        <v>1</v>
      </c>
      <c r="E818" s="219" t="b">
        <v>0</v>
      </c>
      <c r="F818" s="234">
        <v>46198.0</v>
      </c>
      <c r="G818" s="173"/>
      <c r="H818" s="157" t="s">
        <v>3618</v>
      </c>
      <c r="I818" s="157" t="s">
        <v>6094</v>
      </c>
      <c r="J818" s="157">
        <v>2026.0</v>
      </c>
    </row>
    <row r="819">
      <c r="A819" s="218">
        <f t="shared" si="2"/>
        <v>816</v>
      </c>
      <c r="B819" s="218" t="s">
        <v>203</v>
      </c>
      <c r="C819" s="240" t="str">
        <f t="shared" si="1"/>
        <v>MN/0996/2026</v>
      </c>
      <c r="D819" s="218" t="b">
        <v>1</v>
      </c>
      <c r="E819" s="219" t="b">
        <v>0</v>
      </c>
      <c r="F819" s="234">
        <v>46198.0</v>
      </c>
      <c r="G819" s="173"/>
      <c r="H819" s="157" t="s">
        <v>3618</v>
      </c>
      <c r="I819" s="157" t="s">
        <v>6095</v>
      </c>
      <c r="J819" s="157">
        <v>2026.0</v>
      </c>
    </row>
    <row r="820">
      <c r="A820" s="218">
        <f t="shared" si="2"/>
        <v>817</v>
      </c>
      <c r="B820" s="218" t="s">
        <v>203</v>
      </c>
      <c r="C820" s="240" t="str">
        <f t="shared" si="1"/>
        <v>MN/0997/2026</v>
      </c>
      <c r="D820" s="218" t="b">
        <v>1</v>
      </c>
      <c r="E820" s="219" t="b">
        <v>0</v>
      </c>
      <c r="F820" s="234">
        <v>46198.0</v>
      </c>
      <c r="G820" s="173"/>
      <c r="H820" s="157" t="s">
        <v>3618</v>
      </c>
      <c r="I820" s="157" t="s">
        <v>6096</v>
      </c>
      <c r="J820" s="157">
        <v>2026.0</v>
      </c>
    </row>
    <row r="821">
      <c r="A821" s="218">
        <f t="shared" si="2"/>
        <v>818</v>
      </c>
      <c r="B821" s="218" t="s">
        <v>203</v>
      </c>
      <c r="C821" s="240" t="str">
        <f t="shared" si="1"/>
        <v>MN/0998/2026</v>
      </c>
      <c r="D821" s="218" t="b">
        <v>1</v>
      </c>
      <c r="E821" s="219" t="b">
        <v>0</v>
      </c>
      <c r="F821" s="234">
        <v>46198.0</v>
      </c>
      <c r="G821" s="173"/>
      <c r="H821" s="157" t="s">
        <v>3618</v>
      </c>
      <c r="I821" s="157" t="s">
        <v>6097</v>
      </c>
      <c r="J821" s="157">
        <v>2026.0</v>
      </c>
    </row>
    <row r="822">
      <c r="A822" s="218">
        <f t="shared" si="2"/>
        <v>819</v>
      </c>
      <c r="B822" s="218" t="s">
        <v>203</v>
      </c>
      <c r="C822" s="240" t="str">
        <f t="shared" si="1"/>
        <v>MN/0999/2026</v>
      </c>
      <c r="D822" s="218" t="b">
        <v>1</v>
      </c>
      <c r="E822" s="219" t="b">
        <v>0</v>
      </c>
      <c r="F822" s="234">
        <v>46198.0</v>
      </c>
      <c r="G822" s="173"/>
      <c r="H822" s="157" t="s">
        <v>3618</v>
      </c>
      <c r="I822" s="157" t="s">
        <v>6098</v>
      </c>
      <c r="J822" s="157">
        <v>2026.0</v>
      </c>
    </row>
    <row r="823">
      <c r="A823" s="218">
        <f t="shared" si="2"/>
        <v>820</v>
      </c>
      <c r="B823" s="218" t="s">
        <v>203</v>
      </c>
      <c r="C823" s="219" t="str">
        <f t="shared" si="1"/>
        <v>MN/1000/2026</v>
      </c>
      <c r="D823" s="218" t="b">
        <v>1</v>
      </c>
      <c r="E823" s="219" t="b">
        <v>0</v>
      </c>
      <c r="F823" s="234">
        <v>46220.0</v>
      </c>
      <c r="G823" s="173"/>
      <c r="H823" s="157" t="s">
        <v>3618</v>
      </c>
      <c r="I823" s="226" t="s">
        <v>6099</v>
      </c>
      <c r="J823" s="157">
        <v>2026.0</v>
      </c>
    </row>
    <row r="824">
      <c r="A824" s="218">
        <f t="shared" si="2"/>
        <v>821</v>
      </c>
      <c r="B824" s="218" t="s">
        <v>203</v>
      </c>
      <c r="C824" s="219" t="str">
        <f t="shared" si="1"/>
        <v>MN/1001/2026</v>
      </c>
      <c r="D824" s="218" t="b">
        <v>1</v>
      </c>
      <c r="E824" s="219" t="b">
        <v>0</v>
      </c>
      <c r="F824" s="234">
        <v>46220.0</v>
      </c>
      <c r="G824" s="173"/>
      <c r="H824" s="157" t="s">
        <v>3618</v>
      </c>
      <c r="I824" s="226" t="s">
        <v>6100</v>
      </c>
      <c r="J824" s="157">
        <v>2026.0</v>
      </c>
    </row>
    <row r="825">
      <c r="A825" s="218">
        <f t="shared" si="2"/>
        <v>822</v>
      </c>
      <c r="B825" s="218" t="s">
        <v>203</v>
      </c>
      <c r="C825" s="219" t="str">
        <f t="shared" si="1"/>
        <v>MN/1002/2026</v>
      </c>
      <c r="D825" s="218" t="b">
        <v>1</v>
      </c>
      <c r="E825" s="219" t="b">
        <v>0</v>
      </c>
      <c r="F825" s="234">
        <v>46220.0</v>
      </c>
      <c r="G825" s="173"/>
      <c r="H825" s="157" t="s">
        <v>3618</v>
      </c>
      <c r="I825" s="226" t="s">
        <v>6101</v>
      </c>
      <c r="J825" s="157">
        <v>2026.0</v>
      </c>
    </row>
    <row r="826">
      <c r="A826" s="218">
        <f t="shared" si="2"/>
        <v>823</v>
      </c>
      <c r="B826" s="218" t="s">
        <v>203</v>
      </c>
      <c r="C826" s="219" t="str">
        <f t="shared" si="1"/>
        <v>MN/1003/2026</v>
      </c>
      <c r="D826" s="218" t="b">
        <v>1</v>
      </c>
      <c r="E826" s="219" t="b">
        <v>0</v>
      </c>
      <c r="F826" s="234">
        <v>46220.0</v>
      </c>
      <c r="G826" s="173"/>
      <c r="H826" s="157" t="s">
        <v>3618</v>
      </c>
      <c r="I826" s="226" t="s">
        <v>6102</v>
      </c>
      <c r="J826" s="157">
        <v>2026.0</v>
      </c>
    </row>
    <row r="827">
      <c r="A827" s="218">
        <f t="shared" si="2"/>
        <v>824</v>
      </c>
      <c r="B827" s="218" t="s">
        <v>203</v>
      </c>
      <c r="C827" s="219" t="str">
        <f t="shared" si="1"/>
        <v>MN/1004/2026</v>
      </c>
      <c r="D827" s="218" t="b">
        <v>1</v>
      </c>
      <c r="E827" s="219" t="b">
        <v>0</v>
      </c>
      <c r="F827" s="234">
        <v>46220.0</v>
      </c>
      <c r="G827" s="173"/>
      <c r="H827" s="157" t="s">
        <v>3618</v>
      </c>
      <c r="I827" s="226" t="s">
        <v>6103</v>
      </c>
      <c r="J827" s="157">
        <v>2026.0</v>
      </c>
    </row>
    <row r="828">
      <c r="A828" s="218">
        <f t="shared" si="2"/>
        <v>825</v>
      </c>
      <c r="B828" s="218" t="s">
        <v>203</v>
      </c>
      <c r="C828" s="219" t="str">
        <f t="shared" si="1"/>
        <v>MN/1005/2026</v>
      </c>
      <c r="D828" s="218" t="b">
        <v>1</v>
      </c>
      <c r="E828" s="219" t="b">
        <v>0</v>
      </c>
      <c r="F828" s="234">
        <v>46220.0</v>
      </c>
      <c r="G828" s="173"/>
      <c r="H828" s="157" t="s">
        <v>3618</v>
      </c>
      <c r="I828" s="226" t="s">
        <v>6104</v>
      </c>
      <c r="J828" s="157">
        <v>2026.0</v>
      </c>
    </row>
    <row r="829">
      <c r="A829" s="218">
        <f t="shared" si="2"/>
        <v>826</v>
      </c>
      <c r="B829" s="218" t="s">
        <v>203</v>
      </c>
      <c r="C829" s="219" t="str">
        <f t="shared" si="1"/>
        <v>MN/1006/2026</v>
      </c>
      <c r="D829" s="218" t="b">
        <v>1</v>
      </c>
      <c r="E829" s="219" t="b">
        <v>0</v>
      </c>
      <c r="F829" s="234">
        <v>46220.0</v>
      </c>
      <c r="G829" s="173"/>
      <c r="H829" s="157" t="s">
        <v>3618</v>
      </c>
      <c r="I829" s="226" t="s">
        <v>6105</v>
      </c>
      <c r="J829" s="157">
        <v>2026.0</v>
      </c>
    </row>
    <row r="830">
      <c r="A830" s="218">
        <f t="shared" si="2"/>
        <v>827</v>
      </c>
      <c r="B830" s="218" t="s">
        <v>203</v>
      </c>
      <c r="C830" s="219" t="str">
        <f t="shared" si="1"/>
        <v>MN/1007/2026</v>
      </c>
      <c r="D830" s="218" t="b">
        <v>1</v>
      </c>
      <c r="E830" s="219" t="b">
        <v>0</v>
      </c>
      <c r="F830" s="234">
        <v>46220.0</v>
      </c>
      <c r="G830" s="173"/>
      <c r="H830" s="157" t="s">
        <v>3618</v>
      </c>
      <c r="I830" s="226" t="s">
        <v>6106</v>
      </c>
      <c r="J830" s="157">
        <v>2026.0</v>
      </c>
    </row>
    <row r="831">
      <c r="A831" s="218">
        <f t="shared" si="2"/>
        <v>828</v>
      </c>
      <c r="B831" s="218" t="s">
        <v>203</v>
      </c>
      <c r="C831" s="219" t="str">
        <f t="shared" si="1"/>
        <v>MN/1008/2026</v>
      </c>
      <c r="D831" s="218" t="b">
        <v>1</v>
      </c>
      <c r="E831" s="219" t="b">
        <v>0</v>
      </c>
      <c r="F831" s="234">
        <v>46220.0</v>
      </c>
      <c r="G831" s="173"/>
      <c r="H831" s="157" t="s">
        <v>3618</v>
      </c>
      <c r="I831" s="226" t="s">
        <v>6107</v>
      </c>
      <c r="J831" s="157">
        <v>2026.0</v>
      </c>
    </row>
    <row r="832">
      <c r="A832" s="218">
        <f t="shared" si="2"/>
        <v>829</v>
      </c>
      <c r="B832" s="218" t="s">
        <v>203</v>
      </c>
      <c r="C832" s="219" t="str">
        <f t="shared" si="1"/>
        <v>MN/1009/2026</v>
      </c>
      <c r="D832" s="218" t="b">
        <v>1</v>
      </c>
      <c r="E832" s="219" t="b">
        <v>0</v>
      </c>
      <c r="F832" s="234">
        <v>46220.0</v>
      </c>
      <c r="G832" s="173"/>
      <c r="H832" s="157" t="s">
        <v>3618</v>
      </c>
      <c r="I832" s="226" t="s">
        <v>6108</v>
      </c>
      <c r="J832" s="157">
        <v>2026.0</v>
      </c>
    </row>
    <row r="833">
      <c r="A833" s="218">
        <f t="shared" si="2"/>
        <v>830</v>
      </c>
      <c r="B833" s="218" t="s">
        <v>203</v>
      </c>
      <c r="C833" s="219" t="str">
        <f t="shared" si="1"/>
        <v>MN/1010/2026</v>
      </c>
      <c r="D833" s="218" t="b">
        <v>1</v>
      </c>
      <c r="E833" s="219" t="b">
        <v>0</v>
      </c>
      <c r="F833" s="234">
        <v>46220.0</v>
      </c>
      <c r="G833" s="173"/>
      <c r="H833" s="157" t="s">
        <v>3618</v>
      </c>
      <c r="I833" s="226" t="s">
        <v>6109</v>
      </c>
      <c r="J833" s="157">
        <v>2026.0</v>
      </c>
    </row>
    <row r="834">
      <c r="A834" s="218">
        <f t="shared" si="2"/>
        <v>831</v>
      </c>
      <c r="B834" s="218" t="s">
        <v>203</v>
      </c>
      <c r="C834" s="219" t="str">
        <f t="shared" si="1"/>
        <v>MN/1011/2026</v>
      </c>
      <c r="D834" s="218" t="b">
        <v>1</v>
      </c>
      <c r="E834" s="219" t="b">
        <v>0</v>
      </c>
      <c r="F834" s="234">
        <v>46220.0</v>
      </c>
      <c r="G834" s="173"/>
      <c r="H834" s="157" t="s">
        <v>3618</v>
      </c>
      <c r="I834" s="226" t="s">
        <v>6110</v>
      </c>
      <c r="J834" s="157">
        <v>2026.0</v>
      </c>
    </row>
    <row r="835">
      <c r="A835" s="218">
        <f t="shared" si="2"/>
        <v>832</v>
      </c>
      <c r="B835" s="218" t="s">
        <v>203</v>
      </c>
      <c r="C835" s="219" t="str">
        <f t="shared" si="1"/>
        <v>MN/1012/2026</v>
      </c>
      <c r="D835" s="218" t="b">
        <v>1</v>
      </c>
      <c r="E835" s="219" t="b">
        <v>0</v>
      </c>
      <c r="F835" s="234">
        <v>46220.0</v>
      </c>
      <c r="G835" s="173"/>
      <c r="H835" s="157" t="s">
        <v>3618</v>
      </c>
      <c r="I835" s="226" t="s">
        <v>6111</v>
      </c>
      <c r="J835" s="157">
        <v>2026.0</v>
      </c>
    </row>
    <row r="836">
      <c r="A836" s="218">
        <f t="shared" si="2"/>
        <v>833</v>
      </c>
      <c r="B836" s="218" t="s">
        <v>203</v>
      </c>
      <c r="C836" s="219" t="str">
        <f t="shared" si="1"/>
        <v>MN/1013/2026</v>
      </c>
      <c r="D836" s="218" t="b">
        <v>1</v>
      </c>
      <c r="E836" s="219" t="b">
        <v>0</v>
      </c>
      <c r="F836" s="234">
        <v>46220.0</v>
      </c>
      <c r="G836" s="173"/>
      <c r="H836" s="157" t="s">
        <v>3618</v>
      </c>
      <c r="I836" s="226" t="s">
        <v>6112</v>
      </c>
      <c r="J836" s="157">
        <v>2026.0</v>
      </c>
    </row>
    <row r="837">
      <c r="A837" s="218">
        <f t="shared" si="2"/>
        <v>834</v>
      </c>
      <c r="B837" s="218" t="s">
        <v>203</v>
      </c>
      <c r="C837" s="219" t="str">
        <f t="shared" si="1"/>
        <v>MN/1014/2026</v>
      </c>
      <c r="D837" s="218" t="b">
        <v>1</v>
      </c>
      <c r="E837" s="219" t="b">
        <v>0</v>
      </c>
      <c r="F837" s="234">
        <v>46220.0</v>
      </c>
      <c r="G837" s="173"/>
      <c r="H837" s="157" t="s">
        <v>3618</v>
      </c>
      <c r="I837" s="226" t="s">
        <v>6114</v>
      </c>
      <c r="J837" s="157">
        <v>2026.0</v>
      </c>
    </row>
    <row r="838">
      <c r="A838" s="218">
        <f t="shared" si="2"/>
        <v>835</v>
      </c>
      <c r="B838" s="218" t="s">
        <v>203</v>
      </c>
      <c r="C838" s="219" t="str">
        <f t="shared" si="1"/>
        <v>MN/1015/2026</v>
      </c>
      <c r="D838" s="218" t="b">
        <v>1</v>
      </c>
      <c r="E838" s="219" t="b">
        <v>0</v>
      </c>
      <c r="F838" s="234">
        <v>46220.0</v>
      </c>
      <c r="G838" s="173"/>
      <c r="H838" s="157" t="s">
        <v>3618</v>
      </c>
      <c r="I838" s="226" t="s">
        <v>6115</v>
      </c>
      <c r="J838" s="157">
        <v>2026.0</v>
      </c>
    </row>
    <row r="839">
      <c r="A839" s="218">
        <f t="shared" si="2"/>
        <v>836</v>
      </c>
      <c r="B839" s="218" t="s">
        <v>203</v>
      </c>
      <c r="C839" s="219" t="str">
        <f t="shared" si="1"/>
        <v>MN/1016/2026</v>
      </c>
      <c r="D839" s="218" t="b">
        <v>1</v>
      </c>
      <c r="E839" s="219" t="b">
        <v>0</v>
      </c>
      <c r="F839" s="234">
        <v>46220.0</v>
      </c>
      <c r="G839" s="173"/>
      <c r="H839" s="157" t="s">
        <v>3618</v>
      </c>
      <c r="I839" s="226" t="s">
        <v>6116</v>
      </c>
      <c r="J839" s="157">
        <v>2026.0</v>
      </c>
    </row>
    <row r="840">
      <c r="A840" s="218">
        <f t="shared" si="2"/>
        <v>837</v>
      </c>
      <c r="B840" s="218" t="s">
        <v>203</v>
      </c>
      <c r="C840" s="219" t="str">
        <f t="shared" si="1"/>
        <v>MN/1017/2026</v>
      </c>
      <c r="D840" s="218" t="b">
        <v>1</v>
      </c>
      <c r="E840" s="219" t="b">
        <v>0</v>
      </c>
      <c r="F840" s="234">
        <v>46220.0</v>
      </c>
      <c r="G840" s="173"/>
      <c r="H840" s="157" t="s">
        <v>3618</v>
      </c>
      <c r="I840" s="226" t="s">
        <v>6118</v>
      </c>
      <c r="J840" s="157">
        <v>2026.0</v>
      </c>
    </row>
    <row r="841">
      <c r="A841" s="218">
        <f t="shared" si="2"/>
        <v>838</v>
      </c>
      <c r="B841" s="218" t="s">
        <v>203</v>
      </c>
      <c r="C841" s="219" t="str">
        <f t="shared" si="1"/>
        <v>MN/1018/2026</v>
      </c>
      <c r="D841" s="218" t="b">
        <v>1</v>
      </c>
      <c r="E841" s="219" t="b">
        <v>0</v>
      </c>
      <c r="F841" s="234">
        <v>46220.0</v>
      </c>
      <c r="G841" s="173"/>
      <c r="H841" s="157" t="s">
        <v>3618</v>
      </c>
      <c r="I841" s="226" t="s">
        <v>6119</v>
      </c>
      <c r="J841" s="157">
        <v>2026.0</v>
      </c>
    </row>
    <row r="842">
      <c r="A842" s="218">
        <f t="shared" si="2"/>
        <v>839</v>
      </c>
      <c r="B842" s="218" t="s">
        <v>203</v>
      </c>
      <c r="C842" s="219" t="str">
        <f t="shared" si="1"/>
        <v>MN/1019/2026</v>
      </c>
      <c r="D842" s="218" t="b">
        <v>1</v>
      </c>
      <c r="E842" s="219" t="b">
        <v>0</v>
      </c>
      <c r="F842" s="234">
        <v>46220.0</v>
      </c>
      <c r="G842" s="173"/>
      <c r="H842" s="157" t="s">
        <v>3618</v>
      </c>
      <c r="I842" s="226" t="s">
        <v>6120</v>
      </c>
      <c r="J842" s="157">
        <v>2026.0</v>
      </c>
    </row>
    <row r="843">
      <c r="A843" s="218">
        <f t="shared" si="2"/>
        <v>840</v>
      </c>
      <c r="B843" s="218" t="s">
        <v>203</v>
      </c>
      <c r="C843" s="219" t="str">
        <f t="shared" si="1"/>
        <v>MN/1020/2026</v>
      </c>
      <c r="D843" s="218" t="b">
        <v>1</v>
      </c>
      <c r="E843" s="219" t="b">
        <v>0</v>
      </c>
      <c r="F843" s="234">
        <v>46220.0</v>
      </c>
      <c r="G843" s="173"/>
      <c r="H843" s="157" t="s">
        <v>3618</v>
      </c>
      <c r="I843" s="226" t="s">
        <v>6121</v>
      </c>
      <c r="J843" s="157">
        <v>2026.0</v>
      </c>
    </row>
    <row r="844">
      <c r="A844" s="218">
        <f t="shared" si="2"/>
        <v>841</v>
      </c>
      <c r="B844" s="218" t="s">
        <v>203</v>
      </c>
      <c r="C844" s="219" t="str">
        <f t="shared" si="1"/>
        <v>MN/1021/2026</v>
      </c>
      <c r="D844" s="218" t="b">
        <v>1</v>
      </c>
      <c r="E844" s="219" t="b">
        <v>0</v>
      </c>
      <c r="F844" s="234">
        <v>46220.0</v>
      </c>
      <c r="G844" s="173"/>
      <c r="H844" s="157" t="s">
        <v>3618</v>
      </c>
      <c r="I844" s="226" t="s">
        <v>6122</v>
      </c>
      <c r="J844" s="157">
        <v>2026.0</v>
      </c>
    </row>
    <row r="845">
      <c r="A845" s="218">
        <f t="shared" si="2"/>
        <v>842</v>
      </c>
      <c r="B845" s="218" t="s">
        <v>203</v>
      </c>
      <c r="C845" s="219" t="str">
        <f t="shared" si="1"/>
        <v>MN/1022/2026</v>
      </c>
      <c r="D845" s="218" t="b">
        <v>1</v>
      </c>
      <c r="E845" s="219" t="b">
        <v>0</v>
      </c>
      <c r="F845" s="234">
        <v>46220.0</v>
      </c>
      <c r="G845" s="173"/>
      <c r="H845" s="157" t="s">
        <v>3618</v>
      </c>
      <c r="I845" s="226" t="s">
        <v>6124</v>
      </c>
      <c r="J845" s="157">
        <v>2026.0</v>
      </c>
    </row>
    <row r="846">
      <c r="A846" s="218">
        <f t="shared" si="2"/>
        <v>843</v>
      </c>
      <c r="B846" s="218" t="s">
        <v>203</v>
      </c>
      <c r="C846" s="219" t="str">
        <f t="shared" si="1"/>
        <v>MN/1023/2026</v>
      </c>
      <c r="D846" s="218" t="b">
        <v>1</v>
      </c>
      <c r="E846" s="219" t="b">
        <v>0</v>
      </c>
      <c r="F846" s="234">
        <v>46220.0</v>
      </c>
      <c r="G846" s="173"/>
      <c r="H846" s="157" t="s">
        <v>3618</v>
      </c>
      <c r="I846" s="226" t="s">
        <v>6125</v>
      </c>
      <c r="J846" s="157">
        <v>2026.0</v>
      </c>
    </row>
    <row r="847">
      <c r="A847" s="218">
        <f t="shared" si="2"/>
        <v>844</v>
      </c>
      <c r="B847" s="218" t="s">
        <v>203</v>
      </c>
      <c r="C847" s="219" t="str">
        <f t="shared" si="1"/>
        <v>MN/1024/2026</v>
      </c>
      <c r="D847" s="218" t="b">
        <v>1</v>
      </c>
      <c r="E847" s="219" t="b">
        <v>0</v>
      </c>
      <c r="F847" s="234">
        <v>46220.0</v>
      </c>
      <c r="G847" s="173"/>
      <c r="H847" s="157" t="s">
        <v>3618</v>
      </c>
      <c r="I847" s="226" t="s">
        <v>6126</v>
      </c>
      <c r="J847" s="157">
        <v>2026.0</v>
      </c>
    </row>
    <row r="848">
      <c r="A848" s="218">
        <f t="shared" si="2"/>
        <v>845</v>
      </c>
      <c r="B848" s="218" t="s">
        <v>203</v>
      </c>
      <c r="C848" s="219" t="str">
        <f t="shared" si="1"/>
        <v>MN/1025/2026</v>
      </c>
      <c r="D848" s="218" t="b">
        <v>1</v>
      </c>
      <c r="E848" s="219" t="b">
        <v>0</v>
      </c>
      <c r="F848" s="234">
        <v>46220.0</v>
      </c>
      <c r="G848" s="173"/>
      <c r="H848" s="157" t="s">
        <v>3618</v>
      </c>
      <c r="I848" s="226" t="s">
        <v>6127</v>
      </c>
      <c r="J848" s="157">
        <v>2026.0</v>
      </c>
    </row>
    <row r="849">
      <c r="A849" s="218">
        <f t="shared" si="2"/>
        <v>846</v>
      </c>
      <c r="B849" s="218" t="s">
        <v>203</v>
      </c>
      <c r="C849" s="219" t="str">
        <f t="shared" si="1"/>
        <v>MN/1026/2026</v>
      </c>
      <c r="D849" s="218" t="b">
        <v>1</v>
      </c>
      <c r="E849" s="219" t="b">
        <v>0</v>
      </c>
      <c r="F849" s="234">
        <v>46220.0</v>
      </c>
      <c r="G849" s="173"/>
      <c r="H849" s="157" t="s">
        <v>3618</v>
      </c>
      <c r="I849" s="226" t="s">
        <v>6128</v>
      </c>
      <c r="J849" s="157">
        <v>2026.0</v>
      </c>
    </row>
    <row r="850">
      <c r="A850" s="218">
        <f t="shared" si="2"/>
        <v>847</v>
      </c>
      <c r="B850" s="218" t="s">
        <v>203</v>
      </c>
      <c r="C850" s="219" t="str">
        <f t="shared" si="1"/>
        <v>MN/1027/2026</v>
      </c>
      <c r="D850" s="218" t="b">
        <v>1</v>
      </c>
      <c r="E850" s="219" t="b">
        <v>0</v>
      </c>
      <c r="F850" s="234">
        <v>46220.0</v>
      </c>
      <c r="G850" s="173"/>
      <c r="H850" s="157" t="s">
        <v>3618</v>
      </c>
      <c r="I850" s="226" t="s">
        <v>6129</v>
      </c>
      <c r="J850" s="157">
        <v>2026.0</v>
      </c>
    </row>
    <row r="851">
      <c r="A851" s="218">
        <f t="shared" si="2"/>
        <v>848</v>
      </c>
      <c r="B851" s="218" t="s">
        <v>203</v>
      </c>
      <c r="C851" s="219" t="str">
        <f t="shared" si="1"/>
        <v>MN/1028/2026</v>
      </c>
      <c r="D851" s="218" t="b">
        <v>1</v>
      </c>
      <c r="E851" s="219" t="b">
        <v>0</v>
      </c>
      <c r="F851" s="234">
        <v>46220.0</v>
      </c>
      <c r="G851" s="173"/>
      <c r="H851" s="157" t="s">
        <v>3618</v>
      </c>
      <c r="I851" s="226" t="s">
        <v>6130</v>
      </c>
      <c r="J851" s="157">
        <v>2026.0</v>
      </c>
    </row>
    <row r="852">
      <c r="A852" s="218">
        <f t="shared" si="2"/>
        <v>849</v>
      </c>
      <c r="B852" s="218" t="s">
        <v>203</v>
      </c>
      <c r="C852" s="219" t="str">
        <f t="shared" si="1"/>
        <v>MN/1029/2026</v>
      </c>
      <c r="D852" s="218" t="b">
        <v>1</v>
      </c>
      <c r="E852" s="219" t="b">
        <v>0</v>
      </c>
      <c r="F852" s="234">
        <v>46220.0</v>
      </c>
      <c r="G852" s="173"/>
      <c r="H852" s="157" t="s">
        <v>3618</v>
      </c>
      <c r="I852" s="226" t="s">
        <v>6131</v>
      </c>
      <c r="J852" s="157">
        <v>2026.0</v>
      </c>
    </row>
    <row r="853">
      <c r="A853" s="218">
        <f t="shared" si="2"/>
        <v>850</v>
      </c>
      <c r="B853" s="218" t="s">
        <v>203</v>
      </c>
      <c r="C853" s="219" t="str">
        <f t="shared" si="1"/>
        <v>MN/1030/2026</v>
      </c>
      <c r="D853" s="218" t="b">
        <v>1</v>
      </c>
      <c r="E853" s="219" t="b">
        <v>0</v>
      </c>
      <c r="F853" s="234">
        <v>46220.0</v>
      </c>
      <c r="G853" s="173"/>
      <c r="H853" s="157" t="s">
        <v>3618</v>
      </c>
      <c r="I853" s="226" t="s">
        <v>6132</v>
      </c>
      <c r="J853" s="157">
        <v>2026.0</v>
      </c>
    </row>
    <row r="854">
      <c r="A854" s="218">
        <f t="shared" si="2"/>
        <v>851</v>
      </c>
      <c r="B854" s="218" t="s">
        <v>203</v>
      </c>
      <c r="C854" s="219" t="str">
        <f t="shared" si="1"/>
        <v>MN/1031/2026</v>
      </c>
      <c r="D854" s="218" t="b">
        <v>1</v>
      </c>
      <c r="E854" s="219" t="b">
        <v>0</v>
      </c>
      <c r="F854" s="234">
        <v>46220.0</v>
      </c>
      <c r="G854" s="173"/>
      <c r="H854" s="157" t="s">
        <v>3618</v>
      </c>
      <c r="I854" s="226" t="s">
        <v>6133</v>
      </c>
      <c r="J854" s="157">
        <v>2026.0</v>
      </c>
    </row>
    <row r="855">
      <c r="A855" s="218">
        <f t="shared" si="2"/>
        <v>852</v>
      </c>
      <c r="B855" s="218" t="s">
        <v>203</v>
      </c>
      <c r="C855" s="219" t="str">
        <f t="shared" si="1"/>
        <v>MN/1032/2026</v>
      </c>
      <c r="D855" s="218" t="b">
        <v>1</v>
      </c>
      <c r="E855" s="219" t="b">
        <v>0</v>
      </c>
      <c r="F855" s="234">
        <v>46220.0</v>
      </c>
      <c r="G855" s="173"/>
      <c r="H855" s="157" t="s">
        <v>3618</v>
      </c>
      <c r="I855" s="226" t="s">
        <v>6134</v>
      </c>
      <c r="J855" s="157">
        <v>2026.0</v>
      </c>
    </row>
    <row r="856">
      <c r="A856" s="218">
        <f t="shared" si="2"/>
        <v>853</v>
      </c>
      <c r="B856" s="218" t="s">
        <v>203</v>
      </c>
      <c r="C856" s="219" t="str">
        <f t="shared" si="1"/>
        <v>MN/1033/2026</v>
      </c>
      <c r="D856" s="218" t="b">
        <v>1</v>
      </c>
      <c r="E856" s="219" t="b">
        <v>0</v>
      </c>
      <c r="F856" s="234">
        <v>46220.0</v>
      </c>
      <c r="G856" s="173"/>
      <c r="H856" s="157" t="s">
        <v>3618</v>
      </c>
      <c r="I856" s="226" t="s">
        <v>6135</v>
      </c>
      <c r="J856" s="157">
        <v>2026.0</v>
      </c>
    </row>
    <row r="857">
      <c r="A857" s="218">
        <f t="shared" si="2"/>
        <v>854</v>
      </c>
      <c r="B857" s="218" t="s">
        <v>203</v>
      </c>
      <c r="C857" s="219" t="str">
        <f t="shared" si="1"/>
        <v>MN/1034/2026</v>
      </c>
      <c r="D857" s="218" t="b">
        <v>1</v>
      </c>
      <c r="E857" s="219" t="b">
        <v>0</v>
      </c>
      <c r="F857" s="234">
        <v>46220.0</v>
      </c>
      <c r="G857" s="173"/>
      <c r="H857" s="157" t="s">
        <v>3618</v>
      </c>
      <c r="I857" s="226" t="s">
        <v>6136</v>
      </c>
      <c r="J857" s="157">
        <v>2026.0</v>
      </c>
    </row>
    <row r="858">
      <c r="A858" s="218">
        <f t="shared" si="2"/>
        <v>855</v>
      </c>
      <c r="B858" s="218" t="s">
        <v>203</v>
      </c>
      <c r="C858" s="219" t="str">
        <f t="shared" si="1"/>
        <v>MN/1035/2026</v>
      </c>
      <c r="D858" s="218" t="b">
        <v>1</v>
      </c>
      <c r="E858" s="219" t="b">
        <v>0</v>
      </c>
      <c r="F858" s="234">
        <v>46220.0</v>
      </c>
      <c r="G858" s="173"/>
      <c r="H858" s="157" t="s">
        <v>3618</v>
      </c>
      <c r="I858" s="226" t="s">
        <v>6137</v>
      </c>
      <c r="J858" s="157">
        <v>2026.0</v>
      </c>
    </row>
    <row r="859">
      <c r="A859" s="218">
        <f t="shared" si="2"/>
        <v>856</v>
      </c>
      <c r="B859" s="218" t="s">
        <v>203</v>
      </c>
      <c r="C859" s="219" t="str">
        <f t="shared" si="1"/>
        <v>MN/1036/2026</v>
      </c>
      <c r="D859" s="218" t="b">
        <v>1</v>
      </c>
      <c r="E859" s="219" t="b">
        <v>0</v>
      </c>
      <c r="F859" s="234">
        <v>46220.0</v>
      </c>
      <c r="G859" s="173"/>
      <c r="H859" s="157" t="s">
        <v>3618</v>
      </c>
      <c r="I859" s="226" t="s">
        <v>6138</v>
      </c>
      <c r="J859" s="157">
        <v>2026.0</v>
      </c>
    </row>
    <row r="860">
      <c r="A860" s="218">
        <f t="shared" si="2"/>
        <v>857</v>
      </c>
      <c r="B860" s="218" t="s">
        <v>203</v>
      </c>
      <c r="C860" s="219" t="str">
        <f t="shared" si="1"/>
        <v>MN/1037/2026</v>
      </c>
      <c r="D860" s="218" t="b">
        <v>1</v>
      </c>
      <c r="E860" s="219" t="b">
        <v>0</v>
      </c>
      <c r="F860" s="234">
        <v>46220.0</v>
      </c>
      <c r="G860" s="173"/>
      <c r="H860" s="157" t="s">
        <v>3618</v>
      </c>
      <c r="I860" s="226" t="s">
        <v>6139</v>
      </c>
      <c r="J860" s="157">
        <v>2026.0</v>
      </c>
    </row>
    <row r="861">
      <c r="A861" s="218">
        <f t="shared" si="2"/>
        <v>858</v>
      </c>
      <c r="B861" s="218" t="s">
        <v>203</v>
      </c>
      <c r="C861" s="219" t="str">
        <f t="shared" si="1"/>
        <v>MN/1038/2026</v>
      </c>
      <c r="D861" s="218" t="b">
        <v>1</v>
      </c>
      <c r="E861" s="219" t="b">
        <v>0</v>
      </c>
      <c r="F861" s="234">
        <v>46220.0</v>
      </c>
      <c r="G861" s="173"/>
      <c r="H861" s="157" t="s">
        <v>3618</v>
      </c>
      <c r="I861" s="226" t="s">
        <v>6140</v>
      </c>
      <c r="J861" s="157">
        <v>2026.0</v>
      </c>
    </row>
    <row r="862">
      <c r="A862" s="218">
        <f t="shared" si="2"/>
        <v>859</v>
      </c>
      <c r="B862" s="218" t="s">
        <v>203</v>
      </c>
      <c r="C862" s="219" t="str">
        <f t="shared" si="1"/>
        <v>MN/1039/2026</v>
      </c>
      <c r="D862" s="218" t="b">
        <v>1</v>
      </c>
      <c r="E862" s="219" t="b">
        <v>0</v>
      </c>
      <c r="F862" s="234">
        <v>46220.0</v>
      </c>
      <c r="G862" s="173"/>
      <c r="H862" s="157" t="s">
        <v>3618</v>
      </c>
      <c r="I862" s="226" t="s">
        <v>6141</v>
      </c>
      <c r="J862" s="157">
        <v>2026.0</v>
      </c>
    </row>
    <row r="863">
      <c r="A863" s="218">
        <f t="shared" si="2"/>
        <v>860</v>
      </c>
      <c r="B863" s="218" t="s">
        <v>203</v>
      </c>
      <c r="C863" s="219" t="str">
        <f t="shared" si="1"/>
        <v>MN/1040/2026</v>
      </c>
      <c r="D863" s="218" t="b">
        <v>1</v>
      </c>
      <c r="E863" s="219" t="b">
        <v>0</v>
      </c>
      <c r="F863" s="234">
        <v>46220.0</v>
      </c>
      <c r="G863" s="173"/>
      <c r="H863" s="157" t="s">
        <v>3618</v>
      </c>
      <c r="I863" s="226" t="s">
        <v>6142</v>
      </c>
      <c r="J863" s="157">
        <v>2026.0</v>
      </c>
    </row>
    <row r="864">
      <c r="A864" s="218">
        <f t="shared" si="2"/>
        <v>861</v>
      </c>
      <c r="B864" s="218" t="s">
        <v>203</v>
      </c>
      <c r="C864" s="219" t="str">
        <f t="shared" si="1"/>
        <v>MN/1041/2026</v>
      </c>
      <c r="D864" s="218" t="b">
        <v>1</v>
      </c>
      <c r="E864" s="219" t="b">
        <v>0</v>
      </c>
      <c r="F864" s="234">
        <v>46220.0</v>
      </c>
      <c r="G864" s="173"/>
      <c r="H864" s="157" t="s">
        <v>3618</v>
      </c>
      <c r="I864" s="226" t="s">
        <v>6143</v>
      </c>
      <c r="J864" s="157">
        <v>2026.0</v>
      </c>
    </row>
    <row r="865">
      <c r="A865" s="218">
        <f t="shared" si="2"/>
        <v>862</v>
      </c>
      <c r="B865" s="218" t="s">
        <v>203</v>
      </c>
      <c r="C865" s="219" t="str">
        <f t="shared" si="1"/>
        <v>MN/1042/2026</v>
      </c>
      <c r="D865" s="218" t="b">
        <v>1</v>
      </c>
      <c r="E865" s="219" t="b">
        <v>0</v>
      </c>
      <c r="F865" s="234">
        <v>46220.0</v>
      </c>
      <c r="G865" s="173"/>
      <c r="H865" s="157" t="s">
        <v>3618</v>
      </c>
      <c r="I865" s="226" t="s">
        <v>6144</v>
      </c>
      <c r="J865" s="157">
        <v>2026.0</v>
      </c>
    </row>
    <row r="866">
      <c r="A866" s="218">
        <f t="shared" si="2"/>
        <v>863</v>
      </c>
      <c r="B866" s="218" t="s">
        <v>203</v>
      </c>
      <c r="C866" s="219" t="str">
        <f t="shared" si="1"/>
        <v>MN/1043/2026</v>
      </c>
      <c r="D866" s="218" t="b">
        <v>1</v>
      </c>
      <c r="E866" s="219" t="b">
        <v>0</v>
      </c>
      <c r="F866" s="234">
        <v>46220.0</v>
      </c>
      <c r="G866" s="173"/>
      <c r="H866" s="157" t="s">
        <v>3618</v>
      </c>
      <c r="I866" s="226" t="s">
        <v>6145</v>
      </c>
      <c r="J866" s="157">
        <v>2026.0</v>
      </c>
    </row>
    <row r="867">
      <c r="A867" s="218">
        <f t="shared" si="2"/>
        <v>864</v>
      </c>
      <c r="B867" s="218" t="s">
        <v>203</v>
      </c>
      <c r="C867" s="219" t="str">
        <f t="shared" si="1"/>
        <v>MN/1044/2026</v>
      </c>
      <c r="D867" s="218" t="b">
        <v>1</v>
      </c>
      <c r="E867" s="219" t="b">
        <v>0</v>
      </c>
      <c r="F867" s="234">
        <v>46220.0</v>
      </c>
      <c r="G867" s="173"/>
      <c r="H867" s="157" t="s">
        <v>3618</v>
      </c>
      <c r="I867" s="226" t="s">
        <v>6146</v>
      </c>
      <c r="J867" s="157">
        <v>2026.0</v>
      </c>
    </row>
    <row r="868">
      <c r="A868" s="218">
        <f t="shared" si="2"/>
        <v>865</v>
      </c>
      <c r="B868" s="218" t="s">
        <v>203</v>
      </c>
      <c r="C868" s="219" t="str">
        <f t="shared" si="1"/>
        <v>MN/1045/2026</v>
      </c>
      <c r="D868" s="218" t="b">
        <v>1</v>
      </c>
      <c r="E868" s="219" t="b">
        <v>0</v>
      </c>
      <c r="F868" s="234">
        <v>46220.0</v>
      </c>
      <c r="G868" s="173"/>
      <c r="H868" s="157" t="s">
        <v>3618</v>
      </c>
      <c r="I868" s="226" t="s">
        <v>6147</v>
      </c>
      <c r="J868" s="157">
        <v>2026.0</v>
      </c>
    </row>
    <row r="869">
      <c r="A869" s="218">
        <f t="shared" si="2"/>
        <v>866</v>
      </c>
      <c r="B869" s="218" t="s">
        <v>203</v>
      </c>
      <c r="C869" s="219" t="str">
        <f t="shared" si="1"/>
        <v>MN/1046/2026</v>
      </c>
      <c r="D869" s="218" t="b">
        <v>1</v>
      </c>
      <c r="E869" s="219" t="b">
        <v>0</v>
      </c>
      <c r="F869" s="234">
        <v>46220.0</v>
      </c>
      <c r="G869" s="173"/>
      <c r="H869" s="157" t="s">
        <v>3618</v>
      </c>
      <c r="I869" s="226" t="s">
        <v>6148</v>
      </c>
      <c r="J869" s="157">
        <v>2026.0</v>
      </c>
    </row>
    <row r="870">
      <c r="A870" s="218">
        <f t="shared" si="2"/>
        <v>867</v>
      </c>
      <c r="B870" s="218" t="s">
        <v>203</v>
      </c>
      <c r="C870" s="219" t="str">
        <f t="shared" si="1"/>
        <v>MN/1047/2026</v>
      </c>
      <c r="D870" s="218" t="b">
        <v>1</v>
      </c>
      <c r="E870" s="219" t="b">
        <v>0</v>
      </c>
      <c r="F870" s="234">
        <v>46220.0</v>
      </c>
      <c r="G870" s="173"/>
      <c r="H870" s="157" t="s">
        <v>3618</v>
      </c>
      <c r="I870" s="226" t="s">
        <v>6149</v>
      </c>
      <c r="J870" s="157">
        <v>2026.0</v>
      </c>
    </row>
    <row r="871">
      <c r="A871" s="218">
        <f t="shared" si="2"/>
        <v>868</v>
      </c>
      <c r="B871" s="218" t="s">
        <v>203</v>
      </c>
      <c r="C871" s="219" t="str">
        <f t="shared" si="1"/>
        <v>MN/1048/2026</v>
      </c>
      <c r="D871" s="218" t="b">
        <v>1</v>
      </c>
      <c r="E871" s="219" t="b">
        <v>0</v>
      </c>
      <c r="F871" s="234">
        <v>46220.0</v>
      </c>
      <c r="G871" s="173"/>
      <c r="H871" s="157" t="s">
        <v>3618</v>
      </c>
      <c r="I871" s="226" t="s">
        <v>6150</v>
      </c>
      <c r="J871" s="157">
        <v>2026.0</v>
      </c>
    </row>
    <row r="872">
      <c r="A872" s="218">
        <f t="shared" si="2"/>
        <v>869</v>
      </c>
      <c r="B872" s="218" t="s">
        <v>203</v>
      </c>
      <c r="C872" s="219" t="str">
        <f t="shared" si="1"/>
        <v>MN/1049/2026</v>
      </c>
      <c r="D872" s="218" t="b">
        <v>1</v>
      </c>
      <c r="E872" s="219" t="b">
        <v>0</v>
      </c>
      <c r="F872" s="234">
        <v>46220.0</v>
      </c>
      <c r="G872" s="173"/>
      <c r="H872" s="157" t="s">
        <v>3618</v>
      </c>
      <c r="I872" s="226" t="s">
        <v>6151</v>
      </c>
      <c r="J872" s="157">
        <v>2026.0</v>
      </c>
      <c r="K872" s="241" t="s">
        <v>6152</v>
      </c>
    </row>
    <row r="873">
      <c r="A873" s="218">
        <f t="shared" si="2"/>
        <v>870</v>
      </c>
      <c r="B873" s="218" t="s">
        <v>203</v>
      </c>
      <c r="C873" s="219" t="str">
        <f t="shared" si="1"/>
        <v>//</v>
      </c>
      <c r="D873" s="219" t="b">
        <v>0</v>
      </c>
      <c r="E873" s="218" t="b">
        <v>1</v>
      </c>
      <c r="F873" s="234"/>
      <c r="G873" s="173"/>
      <c r="H873" s="173"/>
      <c r="I873" s="173"/>
      <c r="J873" s="173"/>
      <c r="K873" s="227" t="s">
        <v>6153</v>
      </c>
    </row>
    <row r="874">
      <c r="A874" s="216"/>
      <c r="B874" s="216"/>
      <c r="C874" s="216"/>
      <c r="D874" s="216"/>
      <c r="E874" s="216"/>
      <c r="F874" s="216"/>
      <c r="G874" s="173"/>
      <c r="H874" s="173"/>
      <c r="I874" s="173"/>
      <c r="J874" s="173"/>
    </row>
    <row r="875">
      <c r="A875" s="216"/>
      <c r="B875" s="216"/>
      <c r="C875" s="216"/>
      <c r="D875" s="216"/>
      <c r="E875" s="216"/>
      <c r="F875" s="216"/>
      <c r="G875" s="173"/>
      <c r="H875" s="173"/>
      <c r="I875" s="173"/>
      <c r="J875" s="173"/>
    </row>
    <row r="876">
      <c r="A876" s="216"/>
      <c r="B876" s="216"/>
      <c r="C876" s="216"/>
      <c r="D876" s="216"/>
      <c r="E876" s="216"/>
      <c r="F876" s="216"/>
      <c r="G876" s="173"/>
      <c r="H876" s="173"/>
      <c r="I876" s="173"/>
      <c r="J876" s="173"/>
    </row>
    <row r="877">
      <c r="A877" s="216"/>
      <c r="B877" s="216"/>
      <c r="C877" s="216"/>
      <c r="D877" s="216"/>
      <c r="E877" s="216"/>
      <c r="F877" s="216"/>
      <c r="G877" s="173"/>
      <c r="H877" s="173"/>
      <c r="I877" s="173"/>
      <c r="J877" s="173"/>
    </row>
    <row r="878">
      <c r="A878" s="216"/>
      <c r="B878" s="216"/>
      <c r="C878" s="216"/>
      <c r="D878" s="216"/>
      <c r="E878" s="216"/>
      <c r="F878" s="216"/>
      <c r="G878" s="173"/>
      <c r="H878" s="173"/>
      <c r="I878" s="173"/>
      <c r="J878" s="173"/>
    </row>
    <row r="879">
      <c r="A879" s="216"/>
      <c r="B879" s="216"/>
      <c r="C879" s="216"/>
      <c r="D879" s="216"/>
      <c r="E879" s="216"/>
      <c r="F879" s="216"/>
      <c r="G879" s="173"/>
      <c r="H879" s="173"/>
      <c r="I879" s="173"/>
      <c r="J879" s="173"/>
    </row>
    <row r="880">
      <c r="A880" s="216"/>
      <c r="B880" s="216"/>
      <c r="C880" s="216"/>
      <c r="D880" s="216"/>
      <c r="E880" s="216"/>
      <c r="F880" s="216"/>
      <c r="G880" s="173"/>
      <c r="H880" s="173"/>
      <c r="I880" s="173"/>
      <c r="J880" s="173"/>
    </row>
    <row r="881">
      <c r="A881" s="216"/>
      <c r="B881" s="216"/>
      <c r="C881" s="216"/>
      <c r="D881" s="216"/>
      <c r="E881" s="216"/>
      <c r="F881" s="216"/>
      <c r="G881" s="173"/>
      <c r="H881" s="173"/>
      <c r="I881" s="173"/>
      <c r="J881" s="173"/>
    </row>
    <row r="882">
      <c r="A882" s="216"/>
      <c r="B882" s="216"/>
      <c r="C882" s="216"/>
      <c r="D882" s="216"/>
      <c r="E882" s="216"/>
      <c r="F882" s="216"/>
      <c r="G882" s="173"/>
      <c r="H882" s="173"/>
      <c r="I882" s="173"/>
      <c r="J882" s="173"/>
    </row>
    <row r="883">
      <c r="A883" s="216"/>
      <c r="B883" s="216"/>
      <c r="C883" s="216"/>
      <c r="D883" s="216"/>
      <c r="E883" s="216"/>
      <c r="F883" s="216"/>
      <c r="G883" s="173"/>
      <c r="H883" s="173"/>
      <c r="I883" s="173"/>
      <c r="J883" s="173"/>
    </row>
    <row r="884">
      <c r="A884" s="216"/>
      <c r="B884" s="216"/>
      <c r="C884" s="216"/>
      <c r="D884" s="216"/>
      <c r="E884" s="216"/>
      <c r="F884" s="216"/>
      <c r="G884" s="173"/>
      <c r="H884" s="173"/>
      <c r="I884" s="173"/>
      <c r="J884" s="173"/>
    </row>
    <row r="885">
      <c r="A885" s="216"/>
      <c r="B885" s="216"/>
      <c r="C885" s="216"/>
      <c r="D885" s="216"/>
      <c r="E885" s="216"/>
      <c r="F885" s="216"/>
      <c r="G885" s="173"/>
      <c r="H885" s="173"/>
      <c r="I885" s="173"/>
      <c r="J885" s="173"/>
    </row>
    <row r="886">
      <c r="A886" s="216"/>
      <c r="B886" s="216"/>
      <c r="C886" s="216"/>
      <c r="D886" s="216"/>
      <c r="E886" s="216"/>
      <c r="F886" s="216"/>
      <c r="G886" s="173"/>
      <c r="H886" s="173"/>
      <c r="I886" s="173"/>
      <c r="J886" s="173"/>
    </row>
    <row r="887">
      <c r="A887" s="216"/>
      <c r="B887" s="216"/>
      <c r="C887" s="216"/>
      <c r="D887" s="216"/>
      <c r="E887" s="216"/>
      <c r="F887" s="216"/>
      <c r="G887" s="173"/>
      <c r="H887" s="173"/>
      <c r="I887" s="173"/>
      <c r="J887" s="173"/>
    </row>
    <row r="888">
      <c r="A888" s="216"/>
      <c r="B888" s="216"/>
      <c r="C888" s="216"/>
      <c r="D888" s="216"/>
      <c r="E888" s="216"/>
      <c r="F888" s="216"/>
      <c r="G888" s="173"/>
      <c r="H888" s="173"/>
      <c r="I888" s="173"/>
      <c r="J888" s="173"/>
    </row>
    <row r="889">
      <c r="A889" s="216"/>
      <c r="B889" s="216"/>
      <c r="C889" s="216"/>
      <c r="D889" s="216"/>
      <c r="E889" s="216"/>
      <c r="F889" s="216"/>
      <c r="G889" s="173"/>
      <c r="H889" s="173"/>
      <c r="I889" s="173"/>
      <c r="J889" s="173"/>
    </row>
    <row r="890">
      <c r="A890" s="216"/>
      <c r="B890" s="216"/>
      <c r="C890" s="216"/>
      <c r="D890" s="216"/>
      <c r="E890" s="216"/>
      <c r="F890" s="216"/>
      <c r="G890" s="173"/>
      <c r="H890" s="173"/>
      <c r="I890" s="173"/>
      <c r="J890" s="173"/>
    </row>
    <row r="891">
      <c r="A891" s="216"/>
      <c r="B891" s="216"/>
      <c r="C891" s="216"/>
      <c r="D891" s="216"/>
      <c r="E891" s="216"/>
      <c r="F891" s="216"/>
      <c r="G891" s="173"/>
      <c r="H891" s="173"/>
      <c r="I891" s="173"/>
      <c r="J891" s="173"/>
    </row>
    <row r="892">
      <c r="A892" s="216"/>
      <c r="B892" s="216"/>
      <c r="C892" s="216"/>
      <c r="D892" s="216"/>
      <c r="E892" s="216"/>
      <c r="F892" s="216"/>
      <c r="G892" s="173"/>
      <c r="H892" s="173"/>
      <c r="I892" s="173"/>
      <c r="J892" s="173"/>
    </row>
    <row r="893">
      <c r="A893" s="216"/>
      <c r="B893" s="216"/>
      <c r="C893" s="216"/>
      <c r="D893" s="216"/>
      <c r="E893" s="216"/>
      <c r="F893" s="216"/>
      <c r="G893" s="173"/>
      <c r="H893" s="173"/>
      <c r="I893" s="173"/>
      <c r="J893" s="173"/>
    </row>
    <row r="894">
      <c r="A894" s="216"/>
      <c r="B894" s="216"/>
      <c r="C894" s="216"/>
      <c r="D894" s="216"/>
      <c r="E894" s="216"/>
      <c r="F894" s="216"/>
      <c r="G894" s="173"/>
      <c r="H894" s="173"/>
      <c r="I894" s="173"/>
      <c r="J894" s="173"/>
    </row>
    <row r="895">
      <c r="A895" s="216"/>
      <c r="B895" s="216"/>
      <c r="C895" s="216"/>
      <c r="D895" s="216"/>
      <c r="E895" s="216"/>
      <c r="F895" s="216"/>
      <c r="G895" s="173"/>
      <c r="H895" s="173"/>
      <c r="I895" s="173"/>
      <c r="J895" s="173"/>
    </row>
    <row r="896">
      <c r="A896" s="216"/>
      <c r="B896" s="216"/>
      <c r="C896" s="216"/>
      <c r="D896" s="216"/>
      <c r="E896" s="216"/>
      <c r="F896" s="216"/>
      <c r="G896" s="173"/>
      <c r="H896" s="173"/>
      <c r="I896" s="173"/>
      <c r="J896" s="173"/>
    </row>
    <row r="897">
      <c r="A897" s="216"/>
      <c r="B897" s="216"/>
      <c r="C897" s="216"/>
      <c r="D897" s="216"/>
      <c r="E897" s="216"/>
      <c r="F897" s="216"/>
      <c r="G897" s="173"/>
      <c r="H897" s="173"/>
      <c r="I897" s="173"/>
      <c r="J897" s="173"/>
    </row>
    <row r="898">
      <c r="A898" s="216"/>
      <c r="B898" s="216"/>
      <c r="C898" s="216"/>
      <c r="D898" s="216"/>
      <c r="E898" s="216"/>
      <c r="F898" s="216"/>
      <c r="G898" s="173"/>
      <c r="H898" s="173"/>
      <c r="I898" s="173"/>
      <c r="J898" s="173"/>
    </row>
    <row r="899">
      <c r="A899" s="216"/>
      <c r="B899" s="216"/>
      <c r="C899" s="216"/>
      <c r="D899" s="216"/>
      <c r="E899" s="216"/>
      <c r="F899" s="216"/>
      <c r="G899" s="173"/>
      <c r="H899" s="173"/>
      <c r="I899" s="173"/>
      <c r="J899" s="173"/>
    </row>
    <row r="900">
      <c r="A900" s="216"/>
      <c r="B900" s="216"/>
      <c r="C900" s="216"/>
      <c r="D900" s="216"/>
      <c r="E900" s="216"/>
      <c r="F900" s="216"/>
      <c r="G900" s="173"/>
      <c r="H900" s="173"/>
      <c r="I900" s="173"/>
      <c r="J900" s="173"/>
    </row>
    <row r="901">
      <c r="A901" s="216"/>
      <c r="B901" s="216"/>
      <c r="C901" s="216"/>
      <c r="D901" s="216"/>
      <c r="E901" s="216"/>
      <c r="F901" s="216"/>
      <c r="G901" s="173"/>
      <c r="H901" s="173"/>
      <c r="I901" s="173"/>
      <c r="J901" s="173"/>
    </row>
    <row r="902">
      <c r="A902" s="216"/>
      <c r="B902" s="216"/>
      <c r="C902" s="216"/>
      <c r="D902" s="216"/>
      <c r="E902" s="216"/>
      <c r="F902" s="216"/>
      <c r="G902" s="173"/>
      <c r="H902" s="173"/>
      <c r="I902" s="173"/>
      <c r="J902" s="173"/>
    </row>
    <row r="903">
      <c r="A903" s="216"/>
      <c r="B903" s="216"/>
      <c r="C903" s="216"/>
      <c r="D903" s="216"/>
      <c r="E903" s="216"/>
      <c r="F903" s="216"/>
      <c r="G903" s="173"/>
      <c r="H903" s="173"/>
      <c r="I903" s="173"/>
      <c r="J903" s="173"/>
    </row>
    <row r="904">
      <c r="A904" s="216"/>
      <c r="B904" s="216"/>
      <c r="C904" s="216"/>
      <c r="D904" s="216"/>
      <c r="E904" s="216"/>
      <c r="F904" s="216"/>
      <c r="G904" s="173"/>
      <c r="H904" s="173"/>
      <c r="I904" s="173"/>
      <c r="J904" s="173"/>
    </row>
    <row r="905">
      <c r="A905" s="216"/>
      <c r="B905" s="216"/>
      <c r="C905" s="216"/>
      <c r="D905" s="216"/>
      <c r="E905" s="216"/>
      <c r="F905" s="216"/>
      <c r="G905" s="173"/>
      <c r="H905" s="173"/>
      <c r="I905" s="173"/>
      <c r="J905" s="173"/>
    </row>
    <row r="906">
      <c r="A906" s="216"/>
      <c r="B906" s="216"/>
      <c r="C906" s="216"/>
      <c r="D906" s="216"/>
      <c r="E906" s="216"/>
      <c r="F906" s="216"/>
      <c r="G906" s="173"/>
      <c r="H906" s="173"/>
      <c r="I906" s="173"/>
      <c r="J906" s="173"/>
    </row>
    <row r="907">
      <c r="A907" s="216"/>
      <c r="B907" s="216"/>
      <c r="C907" s="216"/>
      <c r="D907" s="216"/>
      <c r="E907" s="216"/>
      <c r="F907" s="216"/>
      <c r="G907" s="173"/>
      <c r="H907" s="173"/>
      <c r="I907" s="173"/>
      <c r="J907" s="173"/>
    </row>
    <row r="908">
      <c r="A908" s="216"/>
      <c r="B908" s="216"/>
      <c r="C908" s="216"/>
      <c r="D908" s="216"/>
      <c r="E908" s="216"/>
      <c r="F908" s="216"/>
      <c r="G908" s="173"/>
      <c r="H908" s="173"/>
      <c r="I908" s="173"/>
      <c r="J908" s="173"/>
    </row>
    <row r="909">
      <c r="A909" s="216"/>
      <c r="B909" s="216"/>
      <c r="C909" s="216"/>
      <c r="D909" s="216"/>
      <c r="E909" s="216"/>
      <c r="F909" s="216"/>
      <c r="G909" s="173"/>
      <c r="H909" s="173"/>
      <c r="I909" s="173"/>
      <c r="J909" s="173"/>
    </row>
    <row r="910">
      <c r="A910" s="216"/>
      <c r="B910" s="216"/>
      <c r="C910" s="216"/>
      <c r="D910" s="216"/>
      <c r="E910" s="216"/>
      <c r="F910" s="216"/>
      <c r="G910" s="173"/>
      <c r="H910" s="173"/>
      <c r="I910" s="173"/>
      <c r="J910" s="173"/>
    </row>
    <row r="911">
      <c r="A911" s="216"/>
      <c r="B911" s="216"/>
      <c r="C911" s="216"/>
      <c r="D911" s="216"/>
      <c r="E911" s="216"/>
      <c r="F911" s="216"/>
      <c r="G911" s="173"/>
      <c r="H911" s="173"/>
      <c r="I911" s="173"/>
      <c r="J911" s="173"/>
    </row>
    <row r="912">
      <c r="A912" s="216"/>
      <c r="B912" s="216"/>
      <c r="C912" s="216"/>
      <c r="D912" s="216"/>
      <c r="E912" s="216"/>
      <c r="F912" s="216"/>
      <c r="G912" s="173"/>
      <c r="H912" s="173"/>
      <c r="I912" s="173"/>
      <c r="J912" s="173"/>
    </row>
    <row r="913">
      <c r="A913" s="216"/>
      <c r="B913" s="216"/>
      <c r="C913" s="216"/>
      <c r="D913" s="216"/>
      <c r="E913" s="216"/>
      <c r="F913" s="216"/>
      <c r="G913" s="173"/>
      <c r="H913" s="173"/>
      <c r="I913" s="173"/>
      <c r="J913" s="173"/>
    </row>
    <row r="914">
      <c r="A914" s="216"/>
      <c r="B914" s="216"/>
      <c r="C914" s="216"/>
      <c r="D914" s="216"/>
      <c r="E914" s="216"/>
      <c r="F914" s="216"/>
      <c r="G914" s="173"/>
      <c r="H914" s="173"/>
      <c r="I914" s="173"/>
      <c r="J914" s="173"/>
    </row>
    <row r="915">
      <c r="A915" s="216"/>
      <c r="B915" s="216"/>
      <c r="C915" s="216"/>
      <c r="D915" s="216"/>
      <c r="E915" s="216"/>
      <c r="F915" s="216"/>
      <c r="G915" s="173"/>
      <c r="H915" s="173"/>
      <c r="I915" s="173"/>
      <c r="J915" s="173"/>
    </row>
    <row r="916">
      <c r="A916" s="216"/>
      <c r="B916" s="216"/>
      <c r="C916" s="216"/>
      <c r="D916" s="216"/>
      <c r="E916" s="216"/>
      <c r="F916" s="216"/>
      <c r="G916" s="173"/>
      <c r="H916" s="173"/>
      <c r="I916" s="173"/>
      <c r="J916" s="173"/>
    </row>
    <row r="917">
      <c r="A917" s="216"/>
      <c r="B917" s="216"/>
      <c r="C917" s="216"/>
      <c r="D917" s="216"/>
      <c r="E917" s="216"/>
      <c r="F917" s="216"/>
      <c r="G917" s="173"/>
      <c r="H917" s="173"/>
      <c r="I917" s="173"/>
      <c r="J917" s="173"/>
    </row>
    <row r="918">
      <c r="A918" s="216"/>
      <c r="B918" s="216"/>
      <c r="C918" s="216"/>
      <c r="D918" s="216"/>
      <c r="E918" s="216"/>
      <c r="F918" s="216"/>
      <c r="G918" s="173"/>
      <c r="H918" s="173"/>
      <c r="I918" s="173"/>
      <c r="J918" s="173"/>
    </row>
    <row r="919">
      <c r="A919" s="216"/>
      <c r="B919" s="216"/>
      <c r="C919" s="216"/>
      <c r="D919" s="216"/>
      <c r="E919" s="216"/>
      <c r="F919" s="216"/>
      <c r="G919" s="173"/>
      <c r="H919" s="173"/>
      <c r="I919" s="173"/>
      <c r="J919" s="173"/>
    </row>
    <row r="920">
      <c r="A920" s="216"/>
      <c r="B920" s="216"/>
      <c r="C920" s="216"/>
      <c r="D920" s="216"/>
      <c r="E920" s="216"/>
      <c r="F920" s="216"/>
      <c r="G920" s="173"/>
      <c r="H920" s="173"/>
      <c r="I920" s="173"/>
      <c r="J920" s="173"/>
    </row>
    <row r="921">
      <c r="A921" s="216"/>
      <c r="B921" s="216"/>
      <c r="C921" s="216"/>
      <c r="D921" s="216"/>
      <c r="E921" s="216"/>
      <c r="F921" s="216"/>
      <c r="G921" s="173"/>
      <c r="H921" s="173"/>
      <c r="I921" s="173"/>
      <c r="J921" s="173"/>
    </row>
    <row r="922">
      <c r="A922" s="216"/>
      <c r="B922" s="216"/>
      <c r="C922" s="216"/>
      <c r="D922" s="216"/>
      <c r="E922" s="216"/>
      <c r="F922" s="216"/>
      <c r="G922" s="173"/>
      <c r="H922" s="173"/>
      <c r="I922" s="173"/>
      <c r="J922" s="173"/>
    </row>
    <row r="923">
      <c r="A923" s="216"/>
      <c r="B923" s="216"/>
      <c r="C923" s="216"/>
      <c r="D923" s="216"/>
      <c r="E923" s="216"/>
      <c r="F923" s="216"/>
      <c r="G923" s="173"/>
      <c r="H923" s="173"/>
      <c r="I923" s="173"/>
      <c r="J923" s="173"/>
    </row>
    <row r="924">
      <c r="A924" s="216"/>
      <c r="B924" s="216"/>
      <c r="C924" s="216"/>
      <c r="D924" s="216"/>
      <c r="E924" s="216"/>
      <c r="F924" s="216"/>
      <c r="G924" s="173"/>
      <c r="H924" s="173"/>
      <c r="I924" s="173"/>
      <c r="J924" s="173"/>
    </row>
    <row r="925">
      <c r="A925" s="216"/>
      <c r="B925" s="216"/>
      <c r="C925" s="216"/>
      <c r="D925" s="216"/>
      <c r="E925" s="216"/>
      <c r="F925" s="216"/>
      <c r="G925" s="173"/>
      <c r="H925" s="173"/>
      <c r="I925" s="173"/>
      <c r="J925" s="173"/>
    </row>
    <row r="926">
      <c r="A926" s="216"/>
      <c r="B926" s="216"/>
      <c r="C926" s="216"/>
      <c r="D926" s="216"/>
      <c r="E926" s="216"/>
      <c r="F926" s="216"/>
      <c r="G926" s="173"/>
      <c r="H926" s="173"/>
      <c r="I926" s="173"/>
      <c r="J926" s="173"/>
    </row>
    <row r="927">
      <c r="A927" s="216"/>
      <c r="B927" s="216"/>
      <c r="C927" s="216"/>
      <c r="D927" s="216"/>
      <c r="E927" s="216"/>
      <c r="F927" s="216"/>
      <c r="G927" s="173"/>
      <c r="H927" s="173"/>
      <c r="I927" s="173"/>
      <c r="J927" s="173"/>
    </row>
    <row r="928">
      <c r="A928" s="216"/>
      <c r="B928" s="216"/>
      <c r="C928" s="216"/>
      <c r="D928" s="216"/>
      <c r="E928" s="216"/>
      <c r="F928" s="216"/>
      <c r="G928" s="173"/>
      <c r="H928" s="173"/>
      <c r="I928" s="173"/>
      <c r="J928" s="173"/>
    </row>
    <row r="929">
      <c r="A929" s="216"/>
      <c r="B929" s="216"/>
      <c r="C929" s="216"/>
      <c r="D929" s="216"/>
      <c r="E929" s="216"/>
      <c r="F929" s="216"/>
      <c r="G929" s="173"/>
      <c r="H929" s="173"/>
      <c r="I929" s="173"/>
      <c r="J929" s="173"/>
    </row>
    <row r="930">
      <c r="A930" s="216"/>
      <c r="B930" s="216"/>
      <c r="C930" s="216"/>
      <c r="D930" s="216"/>
      <c r="E930" s="216"/>
      <c r="F930" s="216"/>
      <c r="G930" s="173"/>
      <c r="H930" s="173"/>
      <c r="I930" s="173"/>
      <c r="J930" s="173"/>
    </row>
    <row r="931">
      <c r="A931" s="216"/>
      <c r="B931" s="216"/>
      <c r="C931" s="216"/>
      <c r="D931" s="216"/>
      <c r="E931" s="216"/>
      <c r="F931" s="216"/>
      <c r="G931" s="173"/>
      <c r="H931" s="173"/>
      <c r="I931" s="173"/>
      <c r="J931" s="173"/>
    </row>
    <row r="932">
      <c r="A932" s="216"/>
      <c r="B932" s="216"/>
      <c r="C932" s="216"/>
      <c r="D932" s="216"/>
      <c r="E932" s="216"/>
      <c r="F932" s="216"/>
      <c r="G932" s="173"/>
      <c r="H932" s="173"/>
      <c r="I932" s="173"/>
      <c r="J932" s="173"/>
    </row>
    <row r="933">
      <c r="A933" s="216"/>
      <c r="B933" s="216"/>
      <c r="C933" s="216"/>
      <c r="D933" s="216"/>
      <c r="E933" s="216"/>
      <c r="F933" s="216"/>
      <c r="G933" s="173"/>
      <c r="H933" s="173"/>
      <c r="I933" s="173"/>
      <c r="J933" s="173"/>
    </row>
    <row r="934">
      <c r="A934" s="216"/>
      <c r="B934" s="216"/>
      <c r="C934" s="216"/>
      <c r="D934" s="216"/>
      <c r="E934" s="216"/>
      <c r="F934" s="216"/>
      <c r="G934" s="173"/>
      <c r="H934" s="173"/>
      <c r="I934" s="173"/>
      <c r="J934" s="173"/>
    </row>
    <row r="935">
      <c r="A935" s="216"/>
      <c r="B935" s="216"/>
      <c r="C935" s="216"/>
      <c r="D935" s="216"/>
      <c r="E935" s="216"/>
      <c r="F935" s="216"/>
      <c r="G935" s="173"/>
      <c r="H935" s="173"/>
      <c r="I935" s="173"/>
      <c r="J935" s="173"/>
    </row>
    <row r="936">
      <c r="A936" s="216"/>
      <c r="B936" s="216"/>
      <c r="C936" s="216"/>
      <c r="D936" s="216"/>
      <c r="E936" s="216"/>
      <c r="F936" s="216"/>
      <c r="G936" s="173"/>
      <c r="H936" s="173"/>
      <c r="I936" s="173"/>
      <c r="J936" s="173"/>
    </row>
    <row r="937">
      <c r="A937" s="216"/>
      <c r="B937" s="216"/>
      <c r="C937" s="216"/>
      <c r="D937" s="216"/>
      <c r="E937" s="216"/>
      <c r="F937" s="216"/>
      <c r="G937" s="173"/>
      <c r="H937" s="173"/>
      <c r="I937" s="173"/>
      <c r="J937" s="173"/>
    </row>
    <row r="938">
      <c r="A938" s="216"/>
      <c r="B938" s="216"/>
      <c r="C938" s="216"/>
      <c r="D938" s="216"/>
      <c r="E938" s="216"/>
      <c r="F938" s="216"/>
      <c r="G938" s="173"/>
      <c r="H938" s="173"/>
      <c r="I938" s="173"/>
      <c r="J938" s="173"/>
    </row>
    <row r="939">
      <c r="A939" s="216"/>
      <c r="B939" s="216"/>
      <c r="C939" s="216"/>
      <c r="D939" s="216"/>
      <c r="E939" s="216"/>
      <c r="F939" s="216"/>
      <c r="G939" s="173"/>
      <c r="H939" s="173"/>
      <c r="I939" s="173"/>
      <c r="J939" s="173"/>
    </row>
    <row r="940">
      <c r="A940" s="216"/>
      <c r="B940" s="216"/>
      <c r="C940" s="216"/>
      <c r="D940" s="216"/>
      <c r="E940" s="216"/>
      <c r="F940" s="216"/>
      <c r="G940" s="173"/>
      <c r="H940" s="173"/>
      <c r="I940" s="173"/>
      <c r="J940" s="173"/>
    </row>
    <row r="941">
      <c r="A941" s="216"/>
      <c r="B941" s="216"/>
      <c r="C941" s="216"/>
      <c r="D941" s="216"/>
      <c r="E941" s="216"/>
      <c r="F941" s="216"/>
      <c r="G941" s="173"/>
      <c r="H941" s="173"/>
      <c r="I941" s="173"/>
      <c r="J941" s="173"/>
    </row>
    <row r="942">
      <c r="A942" s="216"/>
      <c r="B942" s="216"/>
      <c r="C942" s="216"/>
      <c r="D942" s="216"/>
      <c r="E942" s="216"/>
      <c r="F942" s="216"/>
      <c r="G942" s="173"/>
      <c r="H942" s="173"/>
      <c r="I942" s="173"/>
      <c r="J942" s="173"/>
    </row>
    <row r="943">
      <c r="A943" s="216"/>
      <c r="B943" s="216"/>
      <c r="C943" s="216"/>
      <c r="D943" s="216"/>
      <c r="E943" s="216"/>
      <c r="F943" s="216"/>
      <c r="G943" s="173"/>
      <c r="H943" s="173"/>
      <c r="I943" s="173"/>
      <c r="J943" s="173"/>
    </row>
    <row r="944">
      <c r="A944" s="216"/>
      <c r="B944" s="216"/>
      <c r="C944" s="216"/>
      <c r="D944" s="216"/>
      <c r="E944" s="216"/>
      <c r="F944" s="216"/>
      <c r="G944" s="173"/>
      <c r="H944" s="173"/>
      <c r="I944" s="173"/>
      <c r="J944" s="173"/>
    </row>
    <row r="945">
      <c r="A945" s="216"/>
      <c r="B945" s="216"/>
      <c r="C945" s="216"/>
      <c r="D945" s="216"/>
      <c r="E945" s="216"/>
      <c r="F945" s="216"/>
      <c r="G945" s="173"/>
      <c r="H945" s="173"/>
      <c r="I945" s="173"/>
      <c r="J945" s="173"/>
    </row>
    <row r="946">
      <c r="A946" s="216"/>
      <c r="B946" s="216"/>
      <c r="C946" s="216"/>
      <c r="D946" s="216"/>
      <c r="E946" s="216"/>
      <c r="F946" s="216"/>
      <c r="G946" s="173"/>
      <c r="H946" s="173"/>
      <c r="I946" s="173"/>
      <c r="J946" s="173"/>
    </row>
    <row r="947">
      <c r="A947" s="216"/>
      <c r="B947" s="216"/>
      <c r="C947" s="216"/>
      <c r="D947" s="216"/>
      <c r="E947" s="216"/>
      <c r="F947" s="216"/>
      <c r="G947" s="173"/>
      <c r="H947" s="173"/>
      <c r="I947" s="173"/>
      <c r="J947" s="173"/>
    </row>
    <row r="948">
      <c r="A948" s="216"/>
      <c r="B948" s="216"/>
      <c r="C948" s="216"/>
      <c r="D948" s="216"/>
      <c r="E948" s="216"/>
      <c r="F948" s="216"/>
      <c r="G948" s="173"/>
      <c r="H948" s="173"/>
      <c r="I948" s="173"/>
      <c r="J948" s="173"/>
    </row>
    <row r="949">
      <c r="A949" s="216"/>
      <c r="B949" s="216"/>
      <c r="C949" s="216"/>
      <c r="D949" s="216"/>
      <c r="E949" s="216"/>
      <c r="F949" s="216"/>
      <c r="G949" s="173"/>
      <c r="H949" s="173"/>
      <c r="I949" s="173"/>
      <c r="J949" s="173"/>
    </row>
    <row r="950">
      <c r="A950" s="216"/>
      <c r="B950" s="216"/>
      <c r="C950" s="216"/>
      <c r="D950" s="216"/>
      <c r="E950" s="216"/>
      <c r="F950" s="216"/>
      <c r="G950" s="173"/>
      <c r="H950" s="173"/>
      <c r="I950" s="173"/>
      <c r="J950" s="173"/>
    </row>
  </sheetData>
  <autoFilter ref="$A$3:$F$843"/>
  <mergeCells count="1">
    <mergeCell ref="B1:J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6.38"/>
    <col customWidth="1" min="3" max="3" width="26.0"/>
    <col customWidth="1" min="4" max="6" width="16.5"/>
    <col customWidth="1" min="7" max="7" width="17.63"/>
  </cols>
  <sheetData>
    <row r="1">
      <c r="A1" s="217" t="s">
        <v>6</v>
      </c>
      <c r="B1" s="217" t="s">
        <v>3571</v>
      </c>
      <c r="C1" s="217" t="s">
        <v>3572</v>
      </c>
      <c r="D1" s="217" t="s">
        <v>5857</v>
      </c>
      <c r="E1" s="217" t="s">
        <v>222</v>
      </c>
      <c r="F1" s="217" t="s">
        <v>5858</v>
      </c>
      <c r="G1" s="217" t="s">
        <v>26</v>
      </c>
    </row>
    <row r="2">
      <c r="A2" s="218">
        <v>1.0</v>
      </c>
      <c r="B2" s="218" t="s">
        <v>203</v>
      </c>
      <c r="C2" s="218">
        <v>9.0</v>
      </c>
      <c r="D2" s="218" t="b">
        <v>1</v>
      </c>
      <c r="E2" s="219" t="b">
        <v>0</v>
      </c>
      <c r="F2" s="219" t="b">
        <v>0</v>
      </c>
      <c r="G2" s="219"/>
    </row>
    <row r="3">
      <c r="A3" s="218">
        <f t="shared" ref="A3:A1095" si="1">A2+1</f>
        <v>2</v>
      </c>
      <c r="B3" s="218" t="s">
        <v>203</v>
      </c>
      <c r="C3" s="218">
        <v>20.0</v>
      </c>
      <c r="D3" s="218" t="b">
        <v>1</v>
      </c>
      <c r="E3" s="219" t="b">
        <v>0</v>
      </c>
      <c r="F3" s="219" t="b">
        <v>0</v>
      </c>
      <c r="G3" s="219"/>
    </row>
    <row r="4">
      <c r="A4" s="218">
        <f t="shared" si="1"/>
        <v>3</v>
      </c>
      <c r="B4" s="218" t="s">
        <v>203</v>
      </c>
      <c r="C4" s="218">
        <v>21.0</v>
      </c>
      <c r="D4" s="218" t="b">
        <v>1</v>
      </c>
      <c r="E4" s="219" t="b">
        <v>0</v>
      </c>
      <c r="F4" s="219" t="b">
        <v>0</v>
      </c>
      <c r="G4" s="219"/>
    </row>
    <row r="5">
      <c r="A5" s="218">
        <f t="shared" si="1"/>
        <v>4</v>
      </c>
      <c r="B5" s="218" t="s">
        <v>203</v>
      </c>
      <c r="C5" s="218">
        <v>28.0</v>
      </c>
      <c r="D5" s="218" t="b">
        <v>1</v>
      </c>
      <c r="E5" s="219" t="b">
        <v>0</v>
      </c>
      <c r="F5" s="219" t="b">
        <v>0</v>
      </c>
      <c r="G5" s="219"/>
    </row>
    <row r="6">
      <c r="A6" s="218">
        <f t="shared" si="1"/>
        <v>5</v>
      </c>
      <c r="B6" s="218" t="s">
        <v>203</v>
      </c>
      <c r="C6" s="218">
        <v>33.0</v>
      </c>
      <c r="D6" s="218" t="b">
        <v>1</v>
      </c>
      <c r="E6" s="219" t="b">
        <v>0</v>
      </c>
      <c r="F6" s="219" t="b">
        <v>0</v>
      </c>
      <c r="G6" s="219"/>
    </row>
    <row r="7">
      <c r="A7" s="218">
        <f t="shared" si="1"/>
        <v>6</v>
      </c>
      <c r="B7" s="218" t="s">
        <v>203</v>
      </c>
      <c r="C7" s="218">
        <v>35.0</v>
      </c>
      <c r="D7" s="218" t="b">
        <v>1</v>
      </c>
      <c r="E7" s="219" t="b">
        <v>0</v>
      </c>
      <c r="F7" s="219" t="b">
        <v>0</v>
      </c>
      <c r="G7" s="219"/>
    </row>
    <row r="8">
      <c r="A8" s="218">
        <f t="shared" si="1"/>
        <v>7</v>
      </c>
      <c r="B8" s="218" t="s">
        <v>203</v>
      </c>
      <c r="C8" s="218">
        <v>44.0</v>
      </c>
      <c r="D8" s="218" t="b">
        <v>1</v>
      </c>
      <c r="E8" s="219" t="b">
        <v>0</v>
      </c>
      <c r="F8" s="219" t="b">
        <v>0</v>
      </c>
      <c r="G8" s="219"/>
    </row>
    <row r="9">
      <c r="A9" s="218">
        <f t="shared" si="1"/>
        <v>8</v>
      </c>
      <c r="B9" s="218" t="s">
        <v>203</v>
      </c>
      <c r="C9" s="218">
        <v>47.0</v>
      </c>
      <c r="D9" s="218" t="b">
        <v>1</v>
      </c>
      <c r="E9" s="219" t="b">
        <v>0</v>
      </c>
      <c r="F9" s="219" t="b">
        <v>0</v>
      </c>
      <c r="G9" s="219"/>
    </row>
    <row r="10">
      <c r="A10" s="218">
        <f t="shared" si="1"/>
        <v>9</v>
      </c>
      <c r="B10" s="218" t="s">
        <v>203</v>
      </c>
      <c r="C10" s="218">
        <v>49.0</v>
      </c>
      <c r="D10" s="218" t="b">
        <v>1</v>
      </c>
      <c r="E10" s="219" t="b">
        <v>0</v>
      </c>
      <c r="F10" s="219" t="b">
        <v>0</v>
      </c>
      <c r="G10" s="219"/>
    </row>
    <row r="11">
      <c r="A11" s="218">
        <f t="shared" si="1"/>
        <v>10</v>
      </c>
      <c r="B11" s="218" t="s">
        <v>203</v>
      </c>
      <c r="C11" s="218">
        <v>54.0</v>
      </c>
      <c r="D11" s="218" t="b">
        <v>1</v>
      </c>
      <c r="E11" s="219" t="b">
        <v>0</v>
      </c>
      <c r="F11" s="219" t="b">
        <v>0</v>
      </c>
      <c r="G11" s="219"/>
    </row>
    <row r="12">
      <c r="A12" s="218">
        <f t="shared" si="1"/>
        <v>11</v>
      </c>
      <c r="B12" s="218" t="s">
        <v>203</v>
      </c>
      <c r="C12" s="218">
        <v>62.0</v>
      </c>
      <c r="D12" s="218" t="b">
        <v>1</v>
      </c>
      <c r="E12" s="219" t="b">
        <v>0</v>
      </c>
      <c r="F12" s="219" t="b">
        <v>0</v>
      </c>
      <c r="G12" s="219"/>
    </row>
    <row r="13">
      <c r="A13" s="218">
        <f t="shared" si="1"/>
        <v>12</v>
      </c>
      <c r="B13" s="218" t="s">
        <v>203</v>
      </c>
      <c r="C13" s="218">
        <v>72.0</v>
      </c>
      <c r="D13" s="218" t="b">
        <v>1</v>
      </c>
      <c r="E13" s="219" t="b">
        <v>0</v>
      </c>
      <c r="F13" s="219" t="b">
        <v>0</v>
      </c>
      <c r="G13" s="219"/>
    </row>
    <row r="14">
      <c r="A14" s="218">
        <f t="shared" si="1"/>
        <v>13</v>
      </c>
      <c r="B14" s="218" t="s">
        <v>203</v>
      </c>
      <c r="C14" s="218">
        <v>80.0</v>
      </c>
      <c r="D14" s="218" t="b">
        <v>1</v>
      </c>
      <c r="E14" s="219" t="b">
        <v>0</v>
      </c>
      <c r="F14" s="219" t="b">
        <v>0</v>
      </c>
      <c r="G14" s="219"/>
    </row>
    <row r="15">
      <c r="A15" s="218">
        <f t="shared" si="1"/>
        <v>14</v>
      </c>
      <c r="B15" s="218" t="s">
        <v>203</v>
      </c>
      <c r="C15" s="218">
        <v>85.0</v>
      </c>
      <c r="D15" s="218" t="b">
        <v>1</v>
      </c>
      <c r="E15" s="219" t="b">
        <v>0</v>
      </c>
      <c r="F15" s="219" t="b">
        <v>0</v>
      </c>
      <c r="G15" s="219"/>
    </row>
    <row r="16">
      <c r="A16" s="218">
        <f t="shared" si="1"/>
        <v>15</v>
      </c>
      <c r="B16" s="218" t="s">
        <v>203</v>
      </c>
      <c r="C16" s="218">
        <v>94.0</v>
      </c>
      <c r="D16" s="218" t="b">
        <v>1</v>
      </c>
      <c r="E16" s="219" t="b">
        <v>0</v>
      </c>
      <c r="F16" s="219" t="b">
        <v>0</v>
      </c>
      <c r="G16" s="219"/>
    </row>
    <row r="17">
      <c r="A17" s="218">
        <f t="shared" si="1"/>
        <v>16</v>
      </c>
      <c r="B17" s="218" t="s">
        <v>203</v>
      </c>
      <c r="C17" s="218">
        <v>96.0</v>
      </c>
      <c r="D17" s="218" t="b">
        <v>1</v>
      </c>
      <c r="E17" s="219" t="b">
        <v>0</v>
      </c>
      <c r="F17" s="219" t="b">
        <v>0</v>
      </c>
      <c r="G17" s="219"/>
    </row>
    <row r="18">
      <c r="A18" s="218">
        <f t="shared" si="1"/>
        <v>17</v>
      </c>
      <c r="B18" s="218" t="s">
        <v>203</v>
      </c>
      <c r="C18" s="218">
        <v>107.0</v>
      </c>
      <c r="D18" s="218" t="b">
        <v>1</v>
      </c>
      <c r="E18" s="219" t="b">
        <v>0</v>
      </c>
      <c r="F18" s="219" t="b">
        <v>0</v>
      </c>
      <c r="G18" s="219"/>
    </row>
    <row r="19">
      <c r="A19" s="218">
        <f t="shared" si="1"/>
        <v>18</v>
      </c>
      <c r="B19" s="218" t="s">
        <v>203</v>
      </c>
      <c r="C19" s="218">
        <v>109.0</v>
      </c>
      <c r="D19" s="218" t="b">
        <v>1</v>
      </c>
      <c r="E19" s="219" t="b">
        <v>0</v>
      </c>
      <c r="F19" s="219" t="b">
        <v>0</v>
      </c>
      <c r="G19" s="219"/>
    </row>
    <row r="20">
      <c r="A20" s="218">
        <f t="shared" si="1"/>
        <v>19</v>
      </c>
      <c r="B20" s="218" t="s">
        <v>203</v>
      </c>
      <c r="C20" s="218">
        <v>114.0</v>
      </c>
      <c r="D20" s="218" t="b">
        <v>1</v>
      </c>
      <c r="E20" s="219" t="b">
        <v>0</v>
      </c>
      <c r="F20" s="219" t="b">
        <v>0</v>
      </c>
      <c r="G20" s="219"/>
    </row>
    <row r="21">
      <c r="A21" s="218">
        <f t="shared" si="1"/>
        <v>20</v>
      </c>
      <c r="B21" s="218" t="s">
        <v>203</v>
      </c>
      <c r="C21" s="218">
        <v>117.0</v>
      </c>
      <c r="D21" s="218" t="b">
        <v>1</v>
      </c>
      <c r="E21" s="219" t="b">
        <v>0</v>
      </c>
      <c r="F21" s="219" t="b">
        <v>0</v>
      </c>
      <c r="G21" s="219"/>
    </row>
    <row r="22">
      <c r="A22" s="218">
        <f t="shared" si="1"/>
        <v>21</v>
      </c>
      <c r="B22" s="218" t="s">
        <v>203</v>
      </c>
      <c r="C22" s="218">
        <v>119.0</v>
      </c>
      <c r="D22" s="218" t="b">
        <v>1</v>
      </c>
      <c r="E22" s="219" t="b">
        <v>0</v>
      </c>
      <c r="F22" s="219" t="b">
        <v>0</v>
      </c>
      <c r="G22" s="219"/>
    </row>
    <row r="23">
      <c r="A23" s="218">
        <f t="shared" si="1"/>
        <v>22</v>
      </c>
      <c r="B23" s="218" t="s">
        <v>203</v>
      </c>
      <c r="C23" s="218">
        <v>123.0</v>
      </c>
      <c r="D23" s="218" t="b">
        <v>1</v>
      </c>
      <c r="E23" s="219" t="b">
        <v>0</v>
      </c>
      <c r="F23" s="219" t="b">
        <v>0</v>
      </c>
      <c r="G23" s="219"/>
    </row>
    <row r="24">
      <c r="A24" s="218">
        <f t="shared" si="1"/>
        <v>23</v>
      </c>
      <c r="B24" s="218" t="s">
        <v>203</v>
      </c>
      <c r="C24" s="218">
        <v>124.0</v>
      </c>
      <c r="D24" s="218" t="b">
        <v>1</v>
      </c>
      <c r="E24" s="219" t="b">
        <v>0</v>
      </c>
      <c r="F24" s="219" t="b">
        <v>0</v>
      </c>
      <c r="G24" s="219"/>
    </row>
    <row r="25">
      <c r="A25" s="218">
        <f t="shared" si="1"/>
        <v>24</v>
      </c>
      <c r="B25" s="218" t="s">
        <v>203</v>
      </c>
      <c r="C25" s="218">
        <v>127.0</v>
      </c>
      <c r="D25" s="218" t="b">
        <v>1</v>
      </c>
      <c r="E25" s="219" t="b">
        <v>0</v>
      </c>
      <c r="F25" s="219" t="b">
        <v>0</v>
      </c>
      <c r="G25" s="219"/>
    </row>
    <row r="26">
      <c r="A26" s="218">
        <f t="shared" si="1"/>
        <v>25</v>
      </c>
      <c r="B26" s="218" t="s">
        <v>203</v>
      </c>
      <c r="C26" s="218">
        <v>130.0</v>
      </c>
      <c r="D26" s="218" t="b">
        <v>1</v>
      </c>
      <c r="E26" s="219" t="b">
        <v>0</v>
      </c>
      <c r="F26" s="219" t="b">
        <v>0</v>
      </c>
      <c r="G26" s="219"/>
    </row>
    <row r="27">
      <c r="A27" s="218">
        <f t="shared" si="1"/>
        <v>26</v>
      </c>
      <c r="B27" s="218" t="s">
        <v>203</v>
      </c>
      <c r="C27" s="218">
        <v>131.0</v>
      </c>
      <c r="D27" s="218" t="b">
        <v>1</v>
      </c>
      <c r="E27" s="219" t="b">
        <v>0</v>
      </c>
      <c r="F27" s="219" t="b">
        <v>0</v>
      </c>
      <c r="G27" s="219"/>
    </row>
    <row r="28">
      <c r="A28" s="218">
        <f t="shared" si="1"/>
        <v>27</v>
      </c>
      <c r="B28" s="218" t="s">
        <v>203</v>
      </c>
      <c r="C28" s="218">
        <v>132.0</v>
      </c>
      <c r="D28" s="218" t="b">
        <v>1</v>
      </c>
      <c r="E28" s="219" t="b">
        <v>0</v>
      </c>
      <c r="F28" s="219" t="b">
        <v>0</v>
      </c>
      <c r="G28" s="219"/>
    </row>
    <row r="29">
      <c r="A29" s="218">
        <f t="shared" si="1"/>
        <v>28</v>
      </c>
      <c r="B29" s="218" t="s">
        <v>203</v>
      </c>
      <c r="C29" s="218">
        <v>133.0</v>
      </c>
      <c r="D29" s="218" t="b">
        <v>1</v>
      </c>
      <c r="E29" s="219" t="b">
        <v>0</v>
      </c>
      <c r="F29" s="219" t="b">
        <v>0</v>
      </c>
      <c r="G29" s="219"/>
    </row>
    <row r="30">
      <c r="A30" s="218">
        <f t="shared" si="1"/>
        <v>29</v>
      </c>
      <c r="B30" s="218" t="s">
        <v>203</v>
      </c>
      <c r="C30" s="218">
        <v>134.0</v>
      </c>
      <c r="D30" s="218" t="b">
        <v>1</v>
      </c>
      <c r="E30" s="219" t="b">
        <v>0</v>
      </c>
      <c r="F30" s="219" t="b">
        <v>0</v>
      </c>
      <c r="G30" s="219"/>
    </row>
    <row r="31">
      <c r="A31" s="218">
        <f t="shared" si="1"/>
        <v>30</v>
      </c>
      <c r="B31" s="218" t="s">
        <v>203</v>
      </c>
      <c r="C31" s="218">
        <v>143.0</v>
      </c>
      <c r="D31" s="218" t="b">
        <v>1</v>
      </c>
      <c r="E31" s="219" t="b">
        <v>0</v>
      </c>
      <c r="F31" s="219" t="b">
        <v>0</v>
      </c>
      <c r="G31" s="219"/>
    </row>
    <row r="32">
      <c r="A32" s="218">
        <f t="shared" si="1"/>
        <v>31</v>
      </c>
      <c r="B32" s="218" t="s">
        <v>203</v>
      </c>
      <c r="C32" s="218">
        <v>146.0</v>
      </c>
      <c r="D32" s="218" t="b">
        <v>1</v>
      </c>
      <c r="E32" s="219" t="b">
        <v>0</v>
      </c>
      <c r="F32" s="219" t="b">
        <v>0</v>
      </c>
      <c r="G32" s="219"/>
    </row>
    <row r="33">
      <c r="A33" s="218">
        <f t="shared" si="1"/>
        <v>32</v>
      </c>
      <c r="B33" s="218" t="s">
        <v>203</v>
      </c>
      <c r="C33" s="218">
        <v>153.0</v>
      </c>
      <c r="D33" s="218" t="b">
        <v>1</v>
      </c>
      <c r="E33" s="219" t="b">
        <v>0</v>
      </c>
      <c r="F33" s="219" t="b">
        <v>0</v>
      </c>
      <c r="G33" s="219"/>
    </row>
    <row r="34">
      <c r="A34" s="218">
        <f t="shared" si="1"/>
        <v>33</v>
      </c>
      <c r="B34" s="218" t="s">
        <v>203</v>
      </c>
      <c r="C34" s="218">
        <v>168.0</v>
      </c>
      <c r="D34" s="218" t="b">
        <v>1</v>
      </c>
      <c r="E34" s="219" t="b">
        <v>0</v>
      </c>
      <c r="F34" s="219" t="b">
        <v>0</v>
      </c>
      <c r="G34" s="219"/>
    </row>
    <row r="35">
      <c r="A35" s="218">
        <f t="shared" si="1"/>
        <v>34</v>
      </c>
      <c r="B35" s="218" t="s">
        <v>203</v>
      </c>
      <c r="C35" s="218">
        <v>179.0</v>
      </c>
      <c r="D35" s="218" t="b">
        <v>1</v>
      </c>
      <c r="E35" s="219" t="b">
        <v>0</v>
      </c>
      <c r="F35" s="219" t="b">
        <v>0</v>
      </c>
      <c r="G35" s="219"/>
    </row>
    <row r="36">
      <c r="A36" s="218">
        <f t="shared" si="1"/>
        <v>35</v>
      </c>
      <c r="B36" s="218" t="s">
        <v>203</v>
      </c>
      <c r="C36" s="218">
        <v>187.0</v>
      </c>
      <c r="D36" s="218" t="b">
        <v>1</v>
      </c>
      <c r="E36" s="219" t="b">
        <v>0</v>
      </c>
      <c r="F36" s="219" t="b">
        <v>0</v>
      </c>
      <c r="G36" s="219"/>
    </row>
    <row r="37">
      <c r="A37" s="218">
        <f t="shared" si="1"/>
        <v>36</v>
      </c>
      <c r="B37" s="218" t="s">
        <v>203</v>
      </c>
      <c r="C37" s="218">
        <v>188.0</v>
      </c>
      <c r="D37" s="218" t="b">
        <v>1</v>
      </c>
      <c r="E37" s="219" t="b">
        <v>0</v>
      </c>
      <c r="F37" s="219" t="b">
        <v>0</v>
      </c>
      <c r="G37" s="219"/>
    </row>
    <row r="38">
      <c r="A38" s="218">
        <f t="shared" si="1"/>
        <v>37</v>
      </c>
      <c r="B38" s="218" t="s">
        <v>203</v>
      </c>
      <c r="C38" s="218">
        <v>189.0</v>
      </c>
      <c r="D38" s="218" t="b">
        <v>1</v>
      </c>
      <c r="E38" s="219" t="b">
        <v>0</v>
      </c>
      <c r="F38" s="219" t="b">
        <v>0</v>
      </c>
      <c r="G38" s="219"/>
    </row>
    <row r="39">
      <c r="A39" s="218">
        <f t="shared" si="1"/>
        <v>38</v>
      </c>
      <c r="B39" s="218" t="s">
        <v>203</v>
      </c>
      <c r="C39" s="218">
        <v>198.0</v>
      </c>
      <c r="D39" s="218" t="b">
        <v>1</v>
      </c>
      <c r="E39" s="219" t="b">
        <v>0</v>
      </c>
      <c r="F39" s="219" t="b">
        <v>0</v>
      </c>
      <c r="G39" s="219"/>
    </row>
    <row r="40">
      <c r="A40" s="218">
        <f t="shared" si="1"/>
        <v>39</v>
      </c>
      <c r="B40" s="218" t="s">
        <v>203</v>
      </c>
      <c r="C40" s="218">
        <v>211.0</v>
      </c>
      <c r="D40" s="218" t="b">
        <v>1</v>
      </c>
      <c r="E40" s="219" t="b">
        <v>0</v>
      </c>
      <c r="F40" s="219" t="b">
        <v>0</v>
      </c>
      <c r="G40" s="219"/>
    </row>
    <row r="41">
      <c r="A41" s="218">
        <f t="shared" si="1"/>
        <v>40</v>
      </c>
      <c r="B41" s="218" t="s">
        <v>203</v>
      </c>
      <c r="C41" s="218">
        <v>220.0</v>
      </c>
      <c r="D41" s="218" t="b">
        <v>1</v>
      </c>
      <c r="E41" s="219" t="b">
        <v>0</v>
      </c>
      <c r="F41" s="219" t="b">
        <v>0</v>
      </c>
      <c r="G41" s="219"/>
    </row>
    <row r="42">
      <c r="A42" s="218">
        <f t="shared" si="1"/>
        <v>41</v>
      </c>
      <c r="B42" s="218" t="s">
        <v>203</v>
      </c>
      <c r="C42" s="218">
        <v>221.0</v>
      </c>
      <c r="D42" s="218" t="b">
        <v>1</v>
      </c>
      <c r="E42" s="219" t="b">
        <v>0</v>
      </c>
      <c r="F42" s="219" t="b">
        <v>0</v>
      </c>
      <c r="G42" s="219"/>
    </row>
    <row r="43">
      <c r="A43" s="218">
        <f t="shared" si="1"/>
        <v>42</v>
      </c>
      <c r="B43" s="218" t="s">
        <v>203</v>
      </c>
      <c r="C43" s="218">
        <v>223.0</v>
      </c>
      <c r="D43" s="218" t="b">
        <v>1</v>
      </c>
      <c r="E43" s="219" t="b">
        <v>0</v>
      </c>
      <c r="F43" s="219" t="b">
        <v>0</v>
      </c>
      <c r="G43" s="219"/>
    </row>
    <row r="44">
      <c r="A44" s="218">
        <f t="shared" si="1"/>
        <v>43</v>
      </c>
      <c r="B44" s="218" t="s">
        <v>203</v>
      </c>
      <c r="C44" s="218">
        <v>224.0</v>
      </c>
      <c r="D44" s="218" t="b">
        <v>1</v>
      </c>
      <c r="E44" s="219" t="b">
        <v>0</v>
      </c>
      <c r="F44" s="219" t="b">
        <v>0</v>
      </c>
      <c r="G44" s="219"/>
    </row>
    <row r="45">
      <c r="A45" s="218">
        <f t="shared" si="1"/>
        <v>44</v>
      </c>
      <c r="B45" s="218" t="s">
        <v>203</v>
      </c>
      <c r="C45" s="218">
        <v>225.0</v>
      </c>
      <c r="D45" s="218" t="b">
        <v>1</v>
      </c>
      <c r="E45" s="219" t="b">
        <v>0</v>
      </c>
      <c r="F45" s="219" t="b">
        <v>0</v>
      </c>
      <c r="G45" s="219"/>
    </row>
    <row r="46">
      <c r="A46" s="218">
        <f t="shared" si="1"/>
        <v>45</v>
      </c>
      <c r="B46" s="218" t="s">
        <v>203</v>
      </c>
      <c r="C46" s="218">
        <v>230.0</v>
      </c>
      <c r="D46" s="218" t="b">
        <v>1</v>
      </c>
      <c r="E46" s="219" t="b">
        <v>0</v>
      </c>
      <c r="F46" s="219" t="b">
        <v>0</v>
      </c>
      <c r="G46" s="219"/>
    </row>
    <row r="47">
      <c r="A47" s="218">
        <f t="shared" si="1"/>
        <v>46</v>
      </c>
      <c r="B47" s="218" t="s">
        <v>203</v>
      </c>
      <c r="C47" s="218">
        <v>231.0</v>
      </c>
      <c r="D47" s="218" t="b">
        <v>1</v>
      </c>
      <c r="E47" s="219" t="b">
        <v>0</v>
      </c>
      <c r="F47" s="219" t="b">
        <v>0</v>
      </c>
      <c r="G47" s="219"/>
    </row>
    <row r="48">
      <c r="A48" s="218">
        <f t="shared" si="1"/>
        <v>47</v>
      </c>
      <c r="B48" s="218" t="s">
        <v>203</v>
      </c>
      <c r="C48" s="218">
        <v>247.0</v>
      </c>
      <c r="D48" s="218" t="b">
        <v>1</v>
      </c>
      <c r="E48" s="219" t="b">
        <v>0</v>
      </c>
      <c r="F48" s="219" t="b">
        <v>0</v>
      </c>
      <c r="G48" s="219"/>
    </row>
    <row r="49">
      <c r="A49" s="218">
        <f t="shared" si="1"/>
        <v>48</v>
      </c>
      <c r="B49" s="218" t="s">
        <v>203</v>
      </c>
      <c r="C49" s="218">
        <v>256.0</v>
      </c>
      <c r="D49" s="218" t="b">
        <v>1</v>
      </c>
      <c r="E49" s="219" t="b">
        <v>0</v>
      </c>
      <c r="F49" s="219" t="b">
        <v>0</v>
      </c>
      <c r="G49" s="219"/>
    </row>
    <row r="50">
      <c r="A50" s="218">
        <f t="shared" si="1"/>
        <v>49</v>
      </c>
      <c r="B50" s="218" t="s">
        <v>203</v>
      </c>
      <c r="C50" s="218">
        <v>260.0</v>
      </c>
      <c r="D50" s="218" t="b">
        <v>1</v>
      </c>
      <c r="E50" s="219" t="b">
        <v>0</v>
      </c>
      <c r="F50" s="219" t="b">
        <v>0</v>
      </c>
      <c r="G50" s="219"/>
    </row>
    <row r="51">
      <c r="A51" s="218">
        <f t="shared" si="1"/>
        <v>50</v>
      </c>
      <c r="B51" s="218" t="s">
        <v>203</v>
      </c>
      <c r="C51" s="218">
        <v>266.0</v>
      </c>
      <c r="D51" s="218" t="b">
        <v>1</v>
      </c>
      <c r="E51" s="219" t="b">
        <v>0</v>
      </c>
      <c r="F51" s="219" t="b">
        <v>0</v>
      </c>
      <c r="G51" s="219"/>
    </row>
    <row r="52">
      <c r="A52" s="218">
        <f t="shared" si="1"/>
        <v>51</v>
      </c>
      <c r="B52" s="218" t="s">
        <v>203</v>
      </c>
      <c r="C52" s="218">
        <v>272.0</v>
      </c>
      <c r="D52" s="218" t="b">
        <v>1</v>
      </c>
      <c r="E52" s="219" t="b">
        <v>0</v>
      </c>
      <c r="F52" s="219" t="b">
        <v>0</v>
      </c>
      <c r="G52" s="219"/>
    </row>
    <row r="53">
      <c r="A53" s="218">
        <f t="shared" si="1"/>
        <v>52</v>
      </c>
      <c r="B53" s="218" t="s">
        <v>203</v>
      </c>
      <c r="C53" s="218">
        <v>274.0</v>
      </c>
      <c r="D53" s="218" t="b">
        <v>1</v>
      </c>
      <c r="E53" s="219" t="b">
        <v>0</v>
      </c>
      <c r="F53" s="219" t="b">
        <v>0</v>
      </c>
      <c r="G53" s="219"/>
    </row>
    <row r="54">
      <c r="A54" s="218">
        <f t="shared" si="1"/>
        <v>53</v>
      </c>
      <c r="B54" s="218" t="s">
        <v>203</v>
      </c>
      <c r="C54" s="218">
        <v>278.0</v>
      </c>
      <c r="D54" s="218" t="b">
        <v>1</v>
      </c>
      <c r="E54" s="219" t="b">
        <v>0</v>
      </c>
      <c r="F54" s="219" t="b">
        <v>0</v>
      </c>
      <c r="G54" s="219"/>
    </row>
    <row r="55">
      <c r="A55" s="218">
        <f t="shared" si="1"/>
        <v>54</v>
      </c>
      <c r="B55" s="218" t="s">
        <v>203</v>
      </c>
      <c r="C55" s="218">
        <v>282.0</v>
      </c>
      <c r="D55" s="218" t="b">
        <v>1</v>
      </c>
      <c r="E55" s="219" t="b">
        <v>0</v>
      </c>
      <c r="F55" s="219" t="b">
        <v>0</v>
      </c>
      <c r="G55" s="219"/>
    </row>
    <row r="56">
      <c r="A56" s="218">
        <f t="shared" si="1"/>
        <v>55</v>
      </c>
      <c r="B56" s="218" t="s">
        <v>203</v>
      </c>
      <c r="C56" s="218">
        <v>288.0</v>
      </c>
      <c r="D56" s="218" t="b">
        <v>1</v>
      </c>
      <c r="E56" s="219" t="b">
        <v>0</v>
      </c>
      <c r="F56" s="219" t="b">
        <v>0</v>
      </c>
      <c r="G56" s="219"/>
    </row>
    <row r="57">
      <c r="A57" s="218">
        <f t="shared" si="1"/>
        <v>56</v>
      </c>
      <c r="B57" s="218" t="s">
        <v>203</v>
      </c>
      <c r="C57" s="218">
        <v>290.0</v>
      </c>
      <c r="D57" s="218" t="b">
        <v>1</v>
      </c>
      <c r="E57" s="219" t="b">
        <v>0</v>
      </c>
      <c r="F57" s="219" t="b">
        <v>0</v>
      </c>
      <c r="G57" s="219"/>
    </row>
    <row r="58">
      <c r="A58" s="218">
        <f t="shared" si="1"/>
        <v>57</v>
      </c>
      <c r="B58" s="218" t="s">
        <v>203</v>
      </c>
      <c r="C58" s="218">
        <v>291.0</v>
      </c>
      <c r="D58" s="218" t="b">
        <v>1</v>
      </c>
      <c r="E58" s="219" t="b">
        <v>0</v>
      </c>
      <c r="F58" s="219" t="b">
        <v>0</v>
      </c>
      <c r="G58" s="219"/>
    </row>
    <row r="59">
      <c r="A59" s="218">
        <f t="shared" si="1"/>
        <v>58</v>
      </c>
      <c r="B59" s="218" t="s">
        <v>203</v>
      </c>
      <c r="C59" s="218">
        <v>292.0</v>
      </c>
      <c r="D59" s="218" t="b">
        <v>1</v>
      </c>
      <c r="E59" s="219" t="b">
        <v>0</v>
      </c>
      <c r="F59" s="219" t="b">
        <v>0</v>
      </c>
      <c r="G59" s="219"/>
    </row>
    <row r="60">
      <c r="A60" s="218">
        <f t="shared" si="1"/>
        <v>59</v>
      </c>
      <c r="B60" s="218" t="s">
        <v>203</v>
      </c>
      <c r="C60" s="218">
        <v>294.0</v>
      </c>
      <c r="D60" s="218" t="b">
        <v>1</v>
      </c>
      <c r="E60" s="219" t="b">
        <v>0</v>
      </c>
      <c r="F60" s="219" t="b">
        <v>0</v>
      </c>
      <c r="G60" s="219"/>
    </row>
    <row r="61">
      <c r="A61" s="218">
        <f t="shared" si="1"/>
        <v>60</v>
      </c>
      <c r="B61" s="218" t="s">
        <v>203</v>
      </c>
      <c r="C61" s="218">
        <v>295.0</v>
      </c>
      <c r="D61" s="218" t="b">
        <v>1</v>
      </c>
      <c r="E61" s="219" t="b">
        <v>0</v>
      </c>
      <c r="F61" s="219" t="b">
        <v>0</v>
      </c>
      <c r="G61" s="219"/>
    </row>
    <row r="62">
      <c r="A62" s="218">
        <f t="shared" si="1"/>
        <v>61</v>
      </c>
      <c r="B62" s="218" t="s">
        <v>203</v>
      </c>
      <c r="C62" s="218">
        <v>296.0</v>
      </c>
      <c r="D62" s="218" t="b">
        <v>1</v>
      </c>
      <c r="E62" s="219" t="b">
        <v>0</v>
      </c>
      <c r="F62" s="219" t="b">
        <v>0</v>
      </c>
      <c r="G62" s="219"/>
    </row>
    <row r="63">
      <c r="A63" s="218">
        <f t="shared" si="1"/>
        <v>62</v>
      </c>
      <c r="B63" s="218" t="s">
        <v>203</v>
      </c>
      <c r="C63" s="218">
        <v>297.0</v>
      </c>
      <c r="D63" s="218" t="b">
        <v>1</v>
      </c>
      <c r="E63" s="219" t="b">
        <v>0</v>
      </c>
      <c r="F63" s="219" t="b">
        <v>0</v>
      </c>
      <c r="G63" s="219"/>
    </row>
    <row r="64">
      <c r="A64" s="218">
        <f t="shared" si="1"/>
        <v>63</v>
      </c>
      <c r="B64" s="218" t="s">
        <v>203</v>
      </c>
      <c r="C64" s="218">
        <v>298.0</v>
      </c>
      <c r="D64" s="218" t="b">
        <v>1</v>
      </c>
      <c r="E64" s="219" t="b">
        <v>0</v>
      </c>
      <c r="F64" s="219" t="b">
        <v>0</v>
      </c>
      <c r="G64" s="219"/>
    </row>
    <row r="65">
      <c r="A65" s="218">
        <f t="shared" si="1"/>
        <v>64</v>
      </c>
      <c r="B65" s="218" t="s">
        <v>203</v>
      </c>
      <c r="C65" s="218">
        <v>300.0</v>
      </c>
      <c r="D65" s="218" t="b">
        <v>1</v>
      </c>
      <c r="E65" s="219" t="b">
        <v>0</v>
      </c>
      <c r="F65" s="219" t="b">
        <v>0</v>
      </c>
      <c r="G65" s="219"/>
    </row>
    <row r="66">
      <c r="A66" s="218">
        <f t="shared" si="1"/>
        <v>65</v>
      </c>
      <c r="B66" s="218" t="s">
        <v>203</v>
      </c>
      <c r="C66" s="218">
        <v>305.0</v>
      </c>
      <c r="D66" s="218" t="b">
        <v>1</v>
      </c>
      <c r="E66" s="219" t="b">
        <v>0</v>
      </c>
      <c r="F66" s="219" t="b">
        <v>0</v>
      </c>
      <c r="G66" s="219"/>
    </row>
    <row r="67">
      <c r="A67" s="218">
        <f t="shared" si="1"/>
        <v>66</v>
      </c>
      <c r="B67" s="218" t="s">
        <v>203</v>
      </c>
      <c r="C67" s="218">
        <v>306.0</v>
      </c>
      <c r="D67" s="218" t="b">
        <v>1</v>
      </c>
      <c r="E67" s="219" t="b">
        <v>0</v>
      </c>
      <c r="F67" s="219" t="b">
        <v>0</v>
      </c>
      <c r="G67" s="219"/>
    </row>
    <row r="68">
      <c r="A68" s="218">
        <f t="shared" si="1"/>
        <v>67</v>
      </c>
      <c r="B68" s="218" t="s">
        <v>203</v>
      </c>
      <c r="C68" s="218">
        <v>308.0</v>
      </c>
      <c r="D68" s="218" t="b">
        <v>1</v>
      </c>
      <c r="E68" s="219" t="b">
        <v>0</v>
      </c>
      <c r="F68" s="219" t="b">
        <v>0</v>
      </c>
      <c r="G68" s="219"/>
    </row>
    <row r="69">
      <c r="A69" s="218">
        <f t="shared" si="1"/>
        <v>68</v>
      </c>
      <c r="B69" s="218" t="s">
        <v>203</v>
      </c>
      <c r="C69" s="218">
        <v>309.0</v>
      </c>
      <c r="D69" s="218" t="b">
        <v>1</v>
      </c>
      <c r="E69" s="219" t="b">
        <v>0</v>
      </c>
      <c r="F69" s="219" t="b">
        <v>0</v>
      </c>
      <c r="G69" s="219"/>
    </row>
    <row r="70">
      <c r="A70" s="218">
        <f t="shared" si="1"/>
        <v>69</v>
      </c>
      <c r="B70" s="218" t="s">
        <v>203</v>
      </c>
      <c r="C70" s="218">
        <v>310.0</v>
      </c>
      <c r="D70" s="218" t="b">
        <v>1</v>
      </c>
      <c r="E70" s="219" t="b">
        <v>0</v>
      </c>
      <c r="F70" s="219" t="b">
        <v>0</v>
      </c>
      <c r="G70" s="219"/>
    </row>
    <row r="71">
      <c r="A71" s="218">
        <f t="shared" si="1"/>
        <v>70</v>
      </c>
      <c r="B71" s="218" t="s">
        <v>203</v>
      </c>
      <c r="C71" s="218">
        <v>317.0</v>
      </c>
      <c r="D71" s="218" t="b">
        <v>1</v>
      </c>
      <c r="E71" s="219" t="b">
        <v>0</v>
      </c>
      <c r="F71" s="219" t="b">
        <v>0</v>
      </c>
      <c r="G71" s="219"/>
    </row>
    <row r="72">
      <c r="A72" s="218">
        <f t="shared" si="1"/>
        <v>71</v>
      </c>
      <c r="B72" s="218" t="s">
        <v>203</v>
      </c>
      <c r="C72" s="218">
        <v>318.0</v>
      </c>
      <c r="D72" s="218" t="b">
        <v>1</v>
      </c>
      <c r="E72" s="219" t="b">
        <v>0</v>
      </c>
      <c r="F72" s="219" t="b">
        <v>0</v>
      </c>
      <c r="G72" s="219"/>
    </row>
    <row r="73">
      <c r="A73" s="218">
        <f t="shared" si="1"/>
        <v>72</v>
      </c>
      <c r="B73" s="218" t="s">
        <v>203</v>
      </c>
      <c r="C73" s="218">
        <v>319.0</v>
      </c>
      <c r="D73" s="218" t="b">
        <v>1</v>
      </c>
      <c r="E73" s="219" t="b">
        <v>0</v>
      </c>
      <c r="F73" s="219" t="b">
        <v>0</v>
      </c>
      <c r="G73" s="219"/>
    </row>
    <row r="74">
      <c r="A74" s="218">
        <f t="shared" si="1"/>
        <v>73</v>
      </c>
      <c r="B74" s="218" t="s">
        <v>203</v>
      </c>
      <c r="C74" s="218">
        <v>321.0</v>
      </c>
      <c r="D74" s="218" t="b">
        <v>1</v>
      </c>
      <c r="E74" s="219" t="b">
        <v>0</v>
      </c>
      <c r="F74" s="219" t="b">
        <v>0</v>
      </c>
      <c r="G74" s="219"/>
    </row>
    <row r="75">
      <c r="A75" s="218">
        <f t="shared" si="1"/>
        <v>74</v>
      </c>
      <c r="B75" s="218" t="s">
        <v>203</v>
      </c>
      <c r="C75" s="218">
        <v>323.0</v>
      </c>
      <c r="D75" s="218" t="b">
        <v>1</v>
      </c>
      <c r="E75" s="219" t="b">
        <v>0</v>
      </c>
      <c r="F75" s="219" t="b">
        <v>0</v>
      </c>
      <c r="G75" s="219"/>
    </row>
    <row r="76">
      <c r="A76" s="218">
        <f t="shared" si="1"/>
        <v>75</v>
      </c>
      <c r="B76" s="218" t="s">
        <v>203</v>
      </c>
      <c r="C76" s="218">
        <v>326.0</v>
      </c>
      <c r="D76" s="218" t="b">
        <v>1</v>
      </c>
      <c r="E76" s="219" t="b">
        <v>0</v>
      </c>
      <c r="F76" s="219" t="b">
        <v>0</v>
      </c>
      <c r="G76" s="219"/>
    </row>
    <row r="77">
      <c r="A77" s="218">
        <f t="shared" si="1"/>
        <v>76</v>
      </c>
      <c r="B77" s="218" t="s">
        <v>203</v>
      </c>
      <c r="C77" s="218">
        <v>328.0</v>
      </c>
      <c r="D77" s="218" t="b">
        <v>1</v>
      </c>
      <c r="E77" s="219" t="b">
        <v>0</v>
      </c>
      <c r="F77" s="219" t="b">
        <v>0</v>
      </c>
      <c r="G77" s="219"/>
    </row>
    <row r="78">
      <c r="A78" s="218">
        <f t="shared" si="1"/>
        <v>77</v>
      </c>
      <c r="B78" s="218" t="s">
        <v>203</v>
      </c>
      <c r="C78" s="218">
        <v>331.0</v>
      </c>
      <c r="D78" s="218" t="b">
        <v>1</v>
      </c>
      <c r="E78" s="219" t="b">
        <v>0</v>
      </c>
      <c r="F78" s="219" t="b">
        <v>0</v>
      </c>
      <c r="G78" s="219"/>
    </row>
    <row r="79">
      <c r="A79" s="218">
        <f t="shared" si="1"/>
        <v>78</v>
      </c>
      <c r="B79" s="218" t="s">
        <v>203</v>
      </c>
      <c r="C79" s="218">
        <v>337.0</v>
      </c>
      <c r="D79" s="218" t="b">
        <v>1</v>
      </c>
      <c r="E79" s="219" t="b">
        <v>0</v>
      </c>
      <c r="F79" s="219" t="b">
        <v>0</v>
      </c>
      <c r="G79" s="219"/>
    </row>
    <row r="80">
      <c r="A80" s="218">
        <f t="shared" si="1"/>
        <v>79</v>
      </c>
      <c r="B80" s="218" t="s">
        <v>203</v>
      </c>
      <c r="C80" s="218">
        <v>342.0</v>
      </c>
      <c r="D80" s="218" t="b">
        <v>1</v>
      </c>
      <c r="E80" s="219" t="b">
        <v>0</v>
      </c>
      <c r="F80" s="219" t="b">
        <v>0</v>
      </c>
      <c r="G80" s="219"/>
    </row>
    <row r="81">
      <c r="A81" s="218">
        <f t="shared" si="1"/>
        <v>80</v>
      </c>
      <c r="B81" s="218" t="s">
        <v>203</v>
      </c>
      <c r="C81" s="218">
        <v>345.0</v>
      </c>
      <c r="D81" s="218" t="b">
        <v>1</v>
      </c>
      <c r="E81" s="219" t="b">
        <v>0</v>
      </c>
      <c r="F81" s="219" t="b">
        <v>0</v>
      </c>
      <c r="G81" s="219"/>
    </row>
    <row r="82">
      <c r="A82" s="218">
        <f t="shared" si="1"/>
        <v>81</v>
      </c>
      <c r="B82" s="218" t="s">
        <v>203</v>
      </c>
      <c r="C82" s="218">
        <v>353.0</v>
      </c>
      <c r="D82" s="218" t="b">
        <v>1</v>
      </c>
      <c r="E82" s="219" t="b">
        <v>0</v>
      </c>
      <c r="F82" s="219" t="b">
        <v>0</v>
      </c>
      <c r="G82" s="219"/>
    </row>
    <row r="83">
      <c r="A83" s="218">
        <f t="shared" si="1"/>
        <v>82</v>
      </c>
      <c r="B83" s="218" t="s">
        <v>203</v>
      </c>
      <c r="C83" s="218">
        <v>360.0</v>
      </c>
      <c r="D83" s="218" t="b">
        <v>1</v>
      </c>
      <c r="E83" s="219" t="b">
        <v>0</v>
      </c>
      <c r="F83" s="219" t="b">
        <v>0</v>
      </c>
      <c r="G83" s="219"/>
    </row>
    <row r="84">
      <c r="A84" s="218">
        <f t="shared" si="1"/>
        <v>83</v>
      </c>
      <c r="B84" s="218" t="s">
        <v>203</v>
      </c>
      <c r="C84" s="218">
        <v>366.0</v>
      </c>
      <c r="D84" s="218" t="b">
        <v>1</v>
      </c>
      <c r="E84" s="219" t="b">
        <v>0</v>
      </c>
      <c r="F84" s="219" t="b">
        <v>0</v>
      </c>
      <c r="G84" s="219"/>
    </row>
    <row r="85">
      <c r="A85" s="218">
        <f t="shared" si="1"/>
        <v>84</v>
      </c>
      <c r="B85" s="218" t="s">
        <v>203</v>
      </c>
      <c r="C85" s="218">
        <v>380.0</v>
      </c>
      <c r="D85" s="218" t="b">
        <v>1</v>
      </c>
      <c r="E85" s="219" t="b">
        <v>0</v>
      </c>
      <c r="F85" s="219" t="b">
        <v>0</v>
      </c>
      <c r="G85" s="219"/>
    </row>
    <row r="86">
      <c r="A86" s="218">
        <f t="shared" si="1"/>
        <v>85</v>
      </c>
      <c r="B86" s="218" t="s">
        <v>203</v>
      </c>
      <c r="C86" s="218">
        <v>393.0</v>
      </c>
      <c r="D86" s="218" t="b">
        <v>1</v>
      </c>
      <c r="E86" s="219" t="b">
        <v>0</v>
      </c>
      <c r="F86" s="219" t="b">
        <v>0</v>
      </c>
      <c r="G86" s="219"/>
    </row>
    <row r="87">
      <c r="A87" s="218">
        <f t="shared" si="1"/>
        <v>86</v>
      </c>
      <c r="B87" s="218" t="s">
        <v>203</v>
      </c>
      <c r="C87" s="218">
        <v>409.0</v>
      </c>
      <c r="D87" s="218" t="b">
        <v>1</v>
      </c>
      <c r="E87" s="219" t="b">
        <v>0</v>
      </c>
      <c r="F87" s="219" t="b">
        <v>0</v>
      </c>
      <c r="G87" s="219"/>
    </row>
    <row r="88">
      <c r="A88" s="218">
        <f t="shared" si="1"/>
        <v>87</v>
      </c>
      <c r="B88" s="218" t="s">
        <v>203</v>
      </c>
      <c r="C88" s="218">
        <v>410.0</v>
      </c>
      <c r="D88" s="218" t="b">
        <v>1</v>
      </c>
      <c r="E88" s="219" t="b">
        <v>0</v>
      </c>
      <c r="F88" s="219" t="b">
        <v>0</v>
      </c>
      <c r="G88" s="219"/>
    </row>
    <row r="89">
      <c r="A89" s="218">
        <f t="shared" si="1"/>
        <v>88</v>
      </c>
      <c r="B89" s="218" t="s">
        <v>203</v>
      </c>
      <c r="C89" s="218">
        <v>411.0</v>
      </c>
      <c r="D89" s="218" t="b">
        <v>1</v>
      </c>
      <c r="E89" s="219" t="b">
        <v>0</v>
      </c>
      <c r="F89" s="219" t="b">
        <v>0</v>
      </c>
      <c r="G89" s="219"/>
    </row>
    <row r="90">
      <c r="A90" s="218">
        <f t="shared" si="1"/>
        <v>89</v>
      </c>
      <c r="B90" s="218" t="s">
        <v>203</v>
      </c>
      <c r="C90" s="218">
        <v>413.0</v>
      </c>
      <c r="D90" s="218" t="b">
        <v>1</v>
      </c>
      <c r="E90" s="219" t="b">
        <v>0</v>
      </c>
      <c r="F90" s="219" t="b">
        <v>0</v>
      </c>
      <c r="G90" s="219"/>
    </row>
    <row r="91">
      <c r="A91" s="218">
        <f t="shared" si="1"/>
        <v>90</v>
      </c>
      <c r="B91" s="218" t="s">
        <v>203</v>
      </c>
      <c r="C91" s="218">
        <v>414.0</v>
      </c>
      <c r="D91" s="218" t="b">
        <v>1</v>
      </c>
      <c r="E91" s="219" t="b">
        <v>0</v>
      </c>
      <c r="F91" s="219" t="b">
        <v>0</v>
      </c>
      <c r="G91" s="219"/>
    </row>
    <row r="92">
      <c r="A92" s="218">
        <f t="shared" si="1"/>
        <v>91</v>
      </c>
      <c r="B92" s="218" t="s">
        <v>203</v>
      </c>
      <c r="C92" s="218">
        <v>417.0</v>
      </c>
      <c r="D92" s="218" t="b">
        <v>1</v>
      </c>
      <c r="E92" s="219" t="b">
        <v>0</v>
      </c>
      <c r="F92" s="219" t="b">
        <v>0</v>
      </c>
      <c r="G92" s="219"/>
    </row>
    <row r="93">
      <c r="A93" s="218">
        <f t="shared" si="1"/>
        <v>92</v>
      </c>
      <c r="B93" s="218" t="s">
        <v>203</v>
      </c>
      <c r="C93" s="218">
        <v>422.0</v>
      </c>
      <c r="D93" s="218" t="b">
        <v>1</v>
      </c>
      <c r="E93" s="219" t="b">
        <v>0</v>
      </c>
      <c r="F93" s="219" t="b">
        <v>0</v>
      </c>
      <c r="G93" s="219"/>
    </row>
    <row r="94">
      <c r="A94" s="218">
        <f t="shared" si="1"/>
        <v>93</v>
      </c>
      <c r="B94" s="218" t="s">
        <v>203</v>
      </c>
      <c r="C94" s="218">
        <v>428.0</v>
      </c>
      <c r="D94" s="218" t="b">
        <v>1</v>
      </c>
      <c r="E94" s="219" t="b">
        <v>0</v>
      </c>
      <c r="F94" s="219" t="b">
        <v>0</v>
      </c>
      <c r="G94" s="219"/>
    </row>
    <row r="95">
      <c r="A95" s="218">
        <f t="shared" si="1"/>
        <v>94</v>
      </c>
      <c r="B95" s="218" t="s">
        <v>203</v>
      </c>
      <c r="C95" s="218">
        <v>430.0</v>
      </c>
      <c r="D95" s="218" t="b">
        <v>1</v>
      </c>
      <c r="E95" s="219" t="b">
        <v>0</v>
      </c>
      <c r="F95" s="219" t="b">
        <v>0</v>
      </c>
      <c r="G95" s="219"/>
    </row>
    <row r="96">
      <c r="A96" s="218">
        <f t="shared" si="1"/>
        <v>95</v>
      </c>
      <c r="B96" s="218" t="s">
        <v>203</v>
      </c>
      <c r="C96" s="218">
        <v>440.0</v>
      </c>
      <c r="D96" s="218" t="b">
        <v>1</v>
      </c>
      <c r="E96" s="219" t="b">
        <v>0</v>
      </c>
      <c r="F96" s="219" t="b">
        <v>0</v>
      </c>
      <c r="G96" s="219"/>
    </row>
    <row r="97">
      <c r="A97" s="218">
        <f t="shared" si="1"/>
        <v>96</v>
      </c>
      <c r="B97" s="218" t="s">
        <v>203</v>
      </c>
      <c r="C97" s="218">
        <v>441.0</v>
      </c>
      <c r="D97" s="218" t="b">
        <v>1</v>
      </c>
      <c r="E97" s="219" t="b">
        <v>0</v>
      </c>
      <c r="F97" s="219" t="b">
        <v>0</v>
      </c>
      <c r="G97" s="219"/>
    </row>
    <row r="98">
      <c r="A98" s="218">
        <f t="shared" si="1"/>
        <v>97</v>
      </c>
      <c r="B98" s="218" t="s">
        <v>203</v>
      </c>
      <c r="C98" s="218">
        <v>448.0</v>
      </c>
      <c r="D98" s="218" t="b">
        <v>1</v>
      </c>
      <c r="E98" s="219" t="b">
        <v>0</v>
      </c>
      <c r="F98" s="219" t="b">
        <v>0</v>
      </c>
      <c r="G98" s="219"/>
    </row>
    <row r="99">
      <c r="A99" s="218">
        <f t="shared" si="1"/>
        <v>98</v>
      </c>
      <c r="B99" s="218" t="s">
        <v>203</v>
      </c>
      <c r="C99" s="218">
        <v>462.0</v>
      </c>
      <c r="D99" s="218" t="b">
        <v>1</v>
      </c>
      <c r="E99" s="219" t="b">
        <v>0</v>
      </c>
      <c r="F99" s="219" t="b">
        <v>0</v>
      </c>
      <c r="G99" s="219"/>
    </row>
    <row r="100">
      <c r="A100" s="218">
        <f t="shared" si="1"/>
        <v>99</v>
      </c>
      <c r="B100" s="218" t="s">
        <v>203</v>
      </c>
      <c r="C100" s="218">
        <v>468.0</v>
      </c>
      <c r="D100" s="218" t="b">
        <v>1</v>
      </c>
      <c r="E100" s="219" t="b">
        <v>0</v>
      </c>
      <c r="F100" s="219" t="b">
        <v>0</v>
      </c>
      <c r="G100" s="219"/>
    </row>
    <row r="101">
      <c r="A101" s="218">
        <f t="shared" si="1"/>
        <v>100</v>
      </c>
      <c r="B101" s="218" t="s">
        <v>203</v>
      </c>
      <c r="C101" s="218">
        <v>470.0</v>
      </c>
      <c r="D101" s="218" t="b">
        <v>1</v>
      </c>
      <c r="E101" s="219" t="b">
        <v>0</v>
      </c>
      <c r="F101" s="219" t="b">
        <v>0</v>
      </c>
      <c r="G101" s="219"/>
    </row>
    <row r="102">
      <c r="A102" s="218">
        <f t="shared" si="1"/>
        <v>101</v>
      </c>
      <c r="B102" s="218" t="s">
        <v>203</v>
      </c>
      <c r="C102" s="218">
        <v>479.0</v>
      </c>
      <c r="D102" s="218" t="b">
        <v>1</v>
      </c>
      <c r="E102" s="219" t="b">
        <v>0</v>
      </c>
      <c r="F102" s="219" t="b">
        <v>0</v>
      </c>
      <c r="G102" s="219"/>
    </row>
    <row r="103">
      <c r="A103" s="218">
        <f t="shared" si="1"/>
        <v>102</v>
      </c>
      <c r="B103" s="218" t="s">
        <v>203</v>
      </c>
      <c r="C103" s="218">
        <v>484.0</v>
      </c>
      <c r="D103" s="218" t="b">
        <v>1</v>
      </c>
      <c r="E103" s="219" t="b">
        <v>0</v>
      </c>
      <c r="F103" s="219" t="b">
        <v>0</v>
      </c>
      <c r="G103" s="219"/>
    </row>
    <row r="104">
      <c r="A104" s="218">
        <f t="shared" si="1"/>
        <v>103</v>
      </c>
      <c r="B104" s="218" t="s">
        <v>203</v>
      </c>
      <c r="C104" s="218">
        <v>490.0</v>
      </c>
      <c r="D104" s="218" t="b">
        <v>1</v>
      </c>
      <c r="E104" s="219" t="b">
        <v>0</v>
      </c>
      <c r="F104" s="219" t="b">
        <v>0</v>
      </c>
      <c r="G104" s="219"/>
    </row>
    <row r="105">
      <c r="A105" s="218">
        <f t="shared" si="1"/>
        <v>104</v>
      </c>
      <c r="B105" s="218" t="s">
        <v>203</v>
      </c>
      <c r="C105" s="218">
        <v>493.0</v>
      </c>
      <c r="D105" s="218" t="b">
        <v>1</v>
      </c>
      <c r="E105" s="219" t="b">
        <v>0</v>
      </c>
      <c r="F105" s="219" t="b">
        <v>0</v>
      </c>
      <c r="G105" s="219"/>
    </row>
    <row r="106">
      <c r="A106" s="218">
        <f t="shared" si="1"/>
        <v>105</v>
      </c>
      <c r="B106" s="218" t="s">
        <v>203</v>
      </c>
      <c r="C106" s="218">
        <v>503.0</v>
      </c>
      <c r="D106" s="218" t="b">
        <v>1</v>
      </c>
      <c r="E106" s="219" t="b">
        <v>0</v>
      </c>
      <c r="F106" s="219" t="b">
        <v>0</v>
      </c>
      <c r="G106" s="219"/>
    </row>
    <row r="107">
      <c r="A107" s="218">
        <f t="shared" si="1"/>
        <v>106</v>
      </c>
      <c r="B107" s="218" t="s">
        <v>203</v>
      </c>
      <c r="C107" s="218">
        <v>515.0</v>
      </c>
      <c r="D107" s="218" t="b">
        <v>1</v>
      </c>
      <c r="E107" s="219" t="b">
        <v>0</v>
      </c>
      <c r="F107" s="219" t="b">
        <v>0</v>
      </c>
      <c r="G107" s="219"/>
    </row>
    <row r="108">
      <c r="A108" s="218">
        <f t="shared" si="1"/>
        <v>107</v>
      </c>
      <c r="B108" s="218" t="s">
        <v>203</v>
      </c>
      <c r="C108" s="218">
        <v>517.0</v>
      </c>
      <c r="D108" s="218" t="b">
        <v>1</v>
      </c>
      <c r="E108" s="219" t="b">
        <v>0</v>
      </c>
      <c r="F108" s="219" t="b">
        <v>0</v>
      </c>
      <c r="G108" s="219"/>
    </row>
    <row r="109">
      <c r="A109" s="218">
        <f t="shared" si="1"/>
        <v>108</v>
      </c>
      <c r="B109" s="218" t="s">
        <v>203</v>
      </c>
      <c r="C109" s="218">
        <v>520.0</v>
      </c>
      <c r="D109" s="218" t="b">
        <v>1</v>
      </c>
      <c r="E109" s="219" t="b">
        <v>0</v>
      </c>
      <c r="F109" s="219" t="b">
        <v>0</v>
      </c>
      <c r="G109" s="219"/>
    </row>
    <row r="110">
      <c r="A110" s="218">
        <f t="shared" si="1"/>
        <v>109</v>
      </c>
      <c r="B110" s="218" t="s">
        <v>203</v>
      </c>
      <c r="C110" s="218">
        <v>521.0</v>
      </c>
      <c r="D110" s="218" t="b">
        <v>1</v>
      </c>
      <c r="E110" s="219" t="b">
        <v>0</v>
      </c>
      <c r="F110" s="219" t="b">
        <v>0</v>
      </c>
      <c r="G110" s="219"/>
    </row>
    <row r="111">
      <c r="A111" s="218">
        <f t="shared" si="1"/>
        <v>110</v>
      </c>
      <c r="B111" s="218" t="s">
        <v>203</v>
      </c>
      <c r="C111" s="218">
        <v>529.0</v>
      </c>
      <c r="D111" s="218" t="b">
        <v>1</v>
      </c>
      <c r="E111" s="219" t="b">
        <v>0</v>
      </c>
      <c r="F111" s="219" t="b">
        <v>0</v>
      </c>
      <c r="G111" s="219"/>
    </row>
    <row r="112">
      <c r="A112" s="218">
        <f t="shared" si="1"/>
        <v>111</v>
      </c>
      <c r="B112" s="218" t="s">
        <v>203</v>
      </c>
      <c r="C112" s="218">
        <v>530.0</v>
      </c>
      <c r="D112" s="218" t="b">
        <v>1</v>
      </c>
      <c r="E112" s="219" t="b">
        <v>0</v>
      </c>
      <c r="F112" s="219" t="b">
        <v>0</v>
      </c>
      <c r="G112" s="219"/>
    </row>
    <row r="113">
      <c r="A113" s="218">
        <f t="shared" si="1"/>
        <v>112</v>
      </c>
      <c r="B113" s="218" t="s">
        <v>203</v>
      </c>
      <c r="C113" s="218">
        <v>538.0</v>
      </c>
      <c r="D113" s="218" t="b">
        <v>1</v>
      </c>
      <c r="E113" s="219" t="b">
        <v>0</v>
      </c>
      <c r="F113" s="219" t="b">
        <v>0</v>
      </c>
      <c r="G113" s="219"/>
    </row>
    <row r="114">
      <c r="A114" s="218">
        <f t="shared" si="1"/>
        <v>113</v>
      </c>
      <c r="B114" s="218" t="s">
        <v>203</v>
      </c>
      <c r="C114" s="218">
        <v>539.0</v>
      </c>
      <c r="D114" s="218" t="b">
        <v>1</v>
      </c>
      <c r="E114" s="219" t="b">
        <v>0</v>
      </c>
      <c r="F114" s="219" t="b">
        <v>0</v>
      </c>
      <c r="G114" s="219"/>
    </row>
    <row r="115">
      <c r="A115" s="218">
        <f t="shared" si="1"/>
        <v>114</v>
      </c>
      <c r="B115" s="218" t="s">
        <v>203</v>
      </c>
      <c r="C115" s="218">
        <v>540.0</v>
      </c>
      <c r="D115" s="218" t="b">
        <v>1</v>
      </c>
      <c r="E115" s="219" t="b">
        <v>0</v>
      </c>
      <c r="F115" s="219" t="b">
        <v>0</v>
      </c>
      <c r="G115" s="219"/>
    </row>
    <row r="116">
      <c r="A116" s="218">
        <f t="shared" si="1"/>
        <v>115</v>
      </c>
      <c r="B116" s="218" t="s">
        <v>203</v>
      </c>
      <c r="C116" s="218">
        <v>542.0</v>
      </c>
      <c r="D116" s="218" t="b">
        <v>1</v>
      </c>
      <c r="E116" s="219" t="b">
        <v>0</v>
      </c>
      <c r="F116" s="219" t="b">
        <v>0</v>
      </c>
      <c r="G116" s="219"/>
    </row>
    <row r="117">
      <c r="A117" s="218">
        <f t="shared" si="1"/>
        <v>116</v>
      </c>
      <c r="B117" s="218" t="s">
        <v>203</v>
      </c>
      <c r="C117" s="218">
        <v>549.0</v>
      </c>
      <c r="D117" s="218" t="b">
        <v>1</v>
      </c>
      <c r="E117" s="219" t="b">
        <v>0</v>
      </c>
      <c r="F117" s="219" t="b">
        <v>0</v>
      </c>
      <c r="G117" s="219"/>
    </row>
    <row r="118">
      <c r="A118" s="218">
        <f t="shared" si="1"/>
        <v>117</v>
      </c>
      <c r="B118" s="218" t="s">
        <v>203</v>
      </c>
      <c r="C118" s="218">
        <v>553.0</v>
      </c>
      <c r="D118" s="218" t="b">
        <v>1</v>
      </c>
      <c r="E118" s="219" t="b">
        <v>0</v>
      </c>
      <c r="F118" s="219" t="b">
        <v>0</v>
      </c>
      <c r="G118" s="219"/>
    </row>
    <row r="119">
      <c r="A119" s="218">
        <f t="shared" si="1"/>
        <v>118</v>
      </c>
      <c r="B119" s="218" t="s">
        <v>203</v>
      </c>
      <c r="C119" s="218">
        <v>554.0</v>
      </c>
      <c r="D119" s="218" t="b">
        <v>1</v>
      </c>
      <c r="E119" s="219" t="b">
        <v>0</v>
      </c>
      <c r="F119" s="219" t="b">
        <v>0</v>
      </c>
      <c r="G119" s="219"/>
    </row>
    <row r="120">
      <c r="A120" s="218">
        <f t="shared" si="1"/>
        <v>119</v>
      </c>
      <c r="B120" s="218" t="s">
        <v>203</v>
      </c>
      <c r="C120" s="218">
        <v>562.0</v>
      </c>
      <c r="D120" s="218" t="b">
        <v>1</v>
      </c>
      <c r="E120" s="219" t="b">
        <v>0</v>
      </c>
      <c r="F120" s="219" t="b">
        <v>0</v>
      </c>
      <c r="G120" s="219"/>
    </row>
    <row r="121">
      <c r="A121" s="218">
        <f t="shared" si="1"/>
        <v>120</v>
      </c>
      <c r="B121" s="218" t="s">
        <v>203</v>
      </c>
      <c r="C121" s="218">
        <v>564.0</v>
      </c>
      <c r="D121" s="218" t="b">
        <v>1</v>
      </c>
      <c r="E121" s="219" t="b">
        <v>0</v>
      </c>
      <c r="F121" s="219" t="b">
        <v>0</v>
      </c>
      <c r="G121" s="219"/>
    </row>
    <row r="122">
      <c r="A122" s="218">
        <f t="shared" si="1"/>
        <v>121</v>
      </c>
      <c r="B122" s="218" t="s">
        <v>203</v>
      </c>
      <c r="C122" s="218">
        <v>565.0</v>
      </c>
      <c r="D122" s="218" t="b">
        <v>1</v>
      </c>
      <c r="E122" s="219" t="b">
        <v>0</v>
      </c>
      <c r="F122" s="219" t="b">
        <v>0</v>
      </c>
      <c r="G122" s="219"/>
    </row>
    <row r="123">
      <c r="A123" s="218">
        <f t="shared" si="1"/>
        <v>122</v>
      </c>
      <c r="B123" s="218" t="s">
        <v>203</v>
      </c>
      <c r="C123" s="218">
        <v>566.0</v>
      </c>
      <c r="D123" s="218" t="b">
        <v>1</v>
      </c>
      <c r="E123" s="219" t="b">
        <v>0</v>
      </c>
      <c r="F123" s="219" t="b">
        <v>0</v>
      </c>
      <c r="G123" s="219"/>
    </row>
    <row r="124">
      <c r="A124" s="218">
        <f t="shared" si="1"/>
        <v>123</v>
      </c>
      <c r="B124" s="218" t="s">
        <v>203</v>
      </c>
      <c r="C124" s="218">
        <v>575.0</v>
      </c>
      <c r="D124" s="218" t="b">
        <v>1</v>
      </c>
      <c r="E124" s="219" t="b">
        <v>0</v>
      </c>
      <c r="F124" s="219" t="b">
        <v>0</v>
      </c>
      <c r="G124" s="219"/>
    </row>
    <row r="125">
      <c r="A125" s="218">
        <f t="shared" si="1"/>
        <v>124</v>
      </c>
      <c r="B125" s="218" t="s">
        <v>203</v>
      </c>
      <c r="C125" s="218">
        <v>577.0</v>
      </c>
      <c r="D125" s="218" t="b">
        <v>1</v>
      </c>
      <c r="E125" s="219" t="b">
        <v>0</v>
      </c>
      <c r="F125" s="219" t="b">
        <v>0</v>
      </c>
      <c r="G125" s="219"/>
    </row>
    <row r="126">
      <c r="A126" s="218">
        <f t="shared" si="1"/>
        <v>125</v>
      </c>
      <c r="B126" s="218" t="s">
        <v>203</v>
      </c>
      <c r="C126" s="218">
        <v>580.0</v>
      </c>
      <c r="D126" s="218" t="b">
        <v>1</v>
      </c>
      <c r="E126" s="219" t="b">
        <v>0</v>
      </c>
      <c r="F126" s="219" t="b">
        <v>0</v>
      </c>
      <c r="G126" s="219"/>
    </row>
    <row r="127">
      <c r="A127" s="218">
        <f t="shared" si="1"/>
        <v>126</v>
      </c>
      <c r="B127" s="218" t="s">
        <v>203</v>
      </c>
      <c r="C127" s="218">
        <v>584.0</v>
      </c>
      <c r="D127" s="218" t="b">
        <v>1</v>
      </c>
      <c r="E127" s="219" t="b">
        <v>0</v>
      </c>
      <c r="F127" s="219" t="b">
        <v>0</v>
      </c>
      <c r="G127" s="219"/>
    </row>
    <row r="128">
      <c r="A128" s="218">
        <f t="shared" si="1"/>
        <v>127</v>
      </c>
      <c r="B128" s="218" t="s">
        <v>203</v>
      </c>
      <c r="C128" s="218">
        <v>585.0</v>
      </c>
      <c r="D128" s="218" t="b">
        <v>1</v>
      </c>
      <c r="E128" s="219" t="b">
        <v>0</v>
      </c>
      <c r="F128" s="219" t="b">
        <v>0</v>
      </c>
      <c r="G128" s="219"/>
    </row>
    <row r="129">
      <c r="A129" s="218">
        <f t="shared" si="1"/>
        <v>128</v>
      </c>
      <c r="B129" s="218" t="s">
        <v>203</v>
      </c>
      <c r="C129" s="218">
        <v>587.0</v>
      </c>
      <c r="D129" s="218" t="b">
        <v>1</v>
      </c>
      <c r="E129" s="219" t="b">
        <v>0</v>
      </c>
      <c r="F129" s="219" t="b">
        <v>0</v>
      </c>
      <c r="G129" s="219"/>
    </row>
    <row r="130">
      <c r="A130" s="218">
        <f t="shared" si="1"/>
        <v>129</v>
      </c>
      <c r="B130" s="218" t="s">
        <v>203</v>
      </c>
      <c r="C130" s="218">
        <v>588.0</v>
      </c>
      <c r="D130" s="218" t="b">
        <v>1</v>
      </c>
      <c r="E130" s="219" t="b">
        <v>0</v>
      </c>
      <c r="F130" s="219" t="b">
        <v>0</v>
      </c>
      <c r="G130" s="219"/>
    </row>
    <row r="131">
      <c r="A131" s="218">
        <f t="shared" si="1"/>
        <v>130</v>
      </c>
      <c r="B131" s="218" t="s">
        <v>203</v>
      </c>
      <c r="C131" s="218">
        <v>589.0</v>
      </c>
      <c r="D131" s="218" t="b">
        <v>1</v>
      </c>
      <c r="E131" s="219" t="b">
        <v>0</v>
      </c>
      <c r="F131" s="219" t="b">
        <v>0</v>
      </c>
      <c r="G131" s="219"/>
    </row>
    <row r="132">
      <c r="A132" s="218">
        <f t="shared" si="1"/>
        <v>131</v>
      </c>
      <c r="B132" s="218" t="s">
        <v>203</v>
      </c>
      <c r="C132" s="218">
        <v>592.0</v>
      </c>
      <c r="D132" s="218" t="b">
        <v>1</v>
      </c>
      <c r="E132" s="219" t="b">
        <v>0</v>
      </c>
      <c r="F132" s="219" t="b">
        <v>0</v>
      </c>
      <c r="G132" s="219"/>
    </row>
    <row r="133">
      <c r="A133" s="218">
        <f t="shared" si="1"/>
        <v>132</v>
      </c>
      <c r="B133" s="218" t="s">
        <v>203</v>
      </c>
      <c r="C133" s="218">
        <v>593.0</v>
      </c>
      <c r="D133" s="218" t="b">
        <v>1</v>
      </c>
      <c r="E133" s="219" t="b">
        <v>0</v>
      </c>
      <c r="F133" s="219" t="b">
        <v>0</v>
      </c>
      <c r="G133" s="219"/>
    </row>
    <row r="134">
      <c r="A134" s="218">
        <f t="shared" si="1"/>
        <v>133</v>
      </c>
      <c r="B134" s="218" t="s">
        <v>203</v>
      </c>
      <c r="C134" s="218">
        <v>596.0</v>
      </c>
      <c r="D134" s="218" t="b">
        <v>1</v>
      </c>
      <c r="E134" s="219" t="b">
        <v>0</v>
      </c>
      <c r="F134" s="219" t="b">
        <v>0</v>
      </c>
      <c r="G134" s="219"/>
    </row>
    <row r="135">
      <c r="A135" s="218">
        <f t="shared" si="1"/>
        <v>134</v>
      </c>
      <c r="B135" s="218" t="s">
        <v>203</v>
      </c>
      <c r="C135" s="218">
        <v>599.0</v>
      </c>
      <c r="D135" s="218" t="b">
        <v>1</v>
      </c>
      <c r="E135" s="219" t="b">
        <v>0</v>
      </c>
      <c r="F135" s="219" t="b">
        <v>0</v>
      </c>
      <c r="G135" s="219"/>
    </row>
    <row r="136">
      <c r="A136" s="218">
        <f t="shared" si="1"/>
        <v>135</v>
      </c>
      <c r="B136" s="218" t="s">
        <v>203</v>
      </c>
      <c r="C136" s="218">
        <v>601.0</v>
      </c>
      <c r="D136" s="218" t="b">
        <v>1</v>
      </c>
      <c r="E136" s="219" t="b">
        <v>0</v>
      </c>
      <c r="F136" s="219" t="b">
        <v>0</v>
      </c>
      <c r="G136" s="219"/>
    </row>
    <row r="137">
      <c r="A137" s="218">
        <f t="shared" si="1"/>
        <v>136</v>
      </c>
      <c r="B137" s="218" t="s">
        <v>203</v>
      </c>
      <c r="C137" s="218">
        <v>608.0</v>
      </c>
      <c r="D137" s="218" t="b">
        <v>1</v>
      </c>
      <c r="E137" s="219" t="b">
        <v>0</v>
      </c>
      <c r="F137" s="219" t="b">
        <v>0</v>
      </c>
      <c r="G137" s="219"/>
    </row>
    <row r="138">
      <c r="A138" s="218">
        <f t="shared" si="1"/>
        <v>137</v>
      </c>
      <c r="B138" s="218" t="s">
        <v>203</v>
      </c>
      <c r="C138" s="218">
        <v>611.0</v>
      </c>
      <c r="D138" s="218" t="b">
        <v>1</v>
      </c>
      <c r="E138" s="219" t="b">
        <v>0</v>
      </c>
      <c r="F138" s="219" t="b">
        <v>0</v>
      </c>
      <c r="G138" s="219"/>
    </row>
    <row r="139">
      <c r="A139" s="218">
        <f t="shared" si="1"/>
        <v>138</v>
      </c>
      <c r="B139" s="218" t="s">
        <v>203</v>
      </c>
      <c r="C139" s="218">
        <v>615.0</v>
      </c>
      <c r="D139" s="218" t="b">
        <v>1</v>
      </c>
      <c r="E139" s="219" t="b">
        <v>0</v>
      </c>
      <c r="F139" s="219" t="b">
        <v>0</v>
      </c>
      <c r="G139" s="219"/>
    </row>
    <row r="140">
      <c r="A140" s="218">
        <f t="shared" si="1"/>
        <v>139</v>
      </c>
      <c r="B140" s="218" t="s">
        <v>203</v>
      </c>
      <c r="C140" s="218">
        <v>617.0</v>
      </c>
      <c r="D140" s="218" t="b">
        <v>1</v>
      </c>
      <c r="E140" s="219" t="b">
        <v>0</v>
      </c>
      <c r="F140" s="219" t="b">
        <v>0</v>
      </c>
      <c r="G140" s="219"/>
    </row>
    <row r="141">
      <c r="A141" s="218">
        <f t="shared" si="1"/>
        <v>140</v>
      </c>
      <c r="B141" s="218" t="s">
        <v>203</v>
      </c>
      <c r="C141" s="218">
        <v>618.0</v>
      </c>
      <c r="D141" s="218" t="b">
        <v>1</v>
      </c>
      <c r="E141" s="219" t="b">
        <v>0</v>
      </c>
      <c r="F141" s="219" t="b">
        <v>0</v>
      </c>
      <c r="G141" s="219"/>
    </row>
    <row r="142">
      <c r="A142" s="218">
        <f t="shared" si="1"/>
        <v>141</v>
      </c>
      <c r="B142" s="218" t="s">
        <v>203</v>
      </c>
      <c r="C142" s="218">
        <v>624.0</v>
      </c>
      <c r="D142" s="218" t="b">
        <v>1</v>
      </c>
      <c r="E142" s="219" t="b">
        <v>0</v>
      </c>
      <c r="F142" s="219" t="b">
        <v>0</v>
      </c>
      <c r="G142" s="219"/>
    </row>
    <row r="143">
      <c r="A143" s="218">
        <f t="shared" si="1"/>
        <v>142</v>
      </c>
      <c r="B143" s="218" t="s">
        <v>203</v>
      </c>
      <c r="C143" s="218">
        <v>625.0</v>
      </c>
      <c r="D143" s="218" t="b">
        <v>1</v>
      </c>
      <c r="E143" s="219" t="b">
        <v>0</v>
      </c>
      <c r="F143" s="219" t="b">
        <v>0</v>
      </c>
      <c r="G143" s="219"/>
    </row>
    <row r="144">
      <c r="A144" s="218">
        <f t="shared" si="1"/>
        <v>143</v>
      </c>
      <c r="B144" s="218" t="s">
        <v>203</v>
      </c>
      <c r="C144" s="218">
        <v>627.0</v>
      </c>
      <c r="D144" s="218" t="b">
        <v>1</v>
      </c>
      <c r="E144" s="219" t="b">
        <v>0</v>
      </c>
      <c r="F144" s="219" t="b">
        <v>0</v>
      </c>
      <c r="G144" s="219"/>
    </row>
    <row r="145">
      <c r="A145" s="218">
        <f t="shared" si="1"/>
        <v>144</v>
      </c>
      <c r="B145" s="218" t="s">
        <v>203</v>
      </c>
      <c r="C145" s="218">
        <v>628.0</v>
      </c>
      <c r="D145" s="218" t="b">
        <v>1</v>
      </c>
      <c r="E145" s="219" t="b">
        <v>0</v>
      </c>
      <c r="F145" s="219" t="b">
        <v>0</v>
      </c>
      <c r="G145" s="219"/>
    </row>
    <row r="146">
      <c r="A146" s="218">
        <f t="shared" si="1"/>
        <v>145</v>
      </c>
      <c r="B146" s="218" t="s">
        <v>203</v>
      </c>
      <c r="C146" s="218">
        <v>629.0</v>
      </c>
      <c r="D146" s="218" t="b">
        <v>1</v>
      </c>
      <c r="E146" s="219" t="b">
        <v>0</v>
      </c>
      <c r="F146" s="219" t="b">
        <v>0</v>
      </c>
      <c r="G146" s="219"/>
    </row>
    <row r="147">
      <c r="A147" s="218">
        <f t="shared" si="1"/>
        <v>146</v>
      </c>
      <c r="B147" s="218" t="s">
        <v>203</v>
      </c>
      <c r="C147" s="218">
        <v>637.0</v>
      </c>
      <c r="D147" s="218" t="b">
        <v>1</v>
      </c>
      <c r="E147" s="219" t="b">
        <v>0</v>
      </c>
      <c r="F147" s="219" t="b">
        <v>0</v>
      </c>
      <c r="G147" s="219"/>
    </row>
    <row r="148">
      <c r="A148" s="218">
        <f t="shared" si="1"/>
        <v>147</v>
      </c>
      <c r="B148" s="218" t="s">
        <v>203</v>
      </c>
      <c r="C148" s="218">
        <v>644.0</v>
      </c>
      <c r="D148" s="218" t="b">
        <v>1</v>
      </c>
      <c r="E148" s="219" t="b">
        <v>0</v>
      </c>
      <c r="F148" s="219" t="b">
        <v>0</v>
      </c>
      <c r="G148" s="219"/>
    </row>
    <row r="149">
      <c r="A149" s="218">
        <f t="shared" si="1"/>
        <v>148</v>
      </c>
      <c r="B149" s="218" t="s">
        <v>203</v>
      </c>
      <c r="C149" s="218">
        <v>658.0</v>
      </c>
      <c r="D149" s="218" t="b">
        <v>1</v>
      </c>
      <c r="E149" s="219" t="b">
        <v>0</v>
      </c>
      <c r="F149" s="219" t="b">
        <v>0</v>
      </c>
      <c r="G149" s="219"/>
    </row>
    <row r="150">
      <c r="A150" s="218">
        <f t="shared" si="1"/>
        <v>149</v>
      </c>
      <c r="B150" s="218" t="s">
        <v>203</v>
      </c>
      <c r="C150" s="218">
        <v>675.0</v>
      </c>
      <c r="D150" s="218" t="b">
        <v>1</v>
      </c>
      <c r="E150" s="219" t="b">
        <v>0</v>
      </c>
      <c r="F150" s="219" t="b">
        <v>0</v>
      </c>
      <c r="G150" s="219"/>
    </row>
    <row r="151">
      <c r="A151" s="218">
        <f t="shared" si="1"/>
        <v>150</v>
      </c>
      <c r="B151" s="218" t="s">
        <v>203</v>
      </c>
      <c r="C151" s="218">
        <v>715.0</v>
      </c>
      <c r="D151" s="218" t="b">
        <v>1</v>
      </c>
      <c r="E151" s="219" t="b">
        <v>0</v>
      </c>
      <c r="F151" s="219" t="b">
        <v>0</v>
      </c>
      <c r="G151" s="219"/>
    </row>
    <row r="152">
      <c r="A152" s="218">
        <f t="shared" si="1"/>
        <v>151</v>
      </c>
      <c r="B152" s="218" t="s">
        <v>203</v>
      </c>
      <c r="C152" s="218">
        <v>718.0</v>
      </c>
      <c r="D152" s="218" t="b">
        <v>1</v>
      </c>
      <c r="E152" s="219" t="b">
        <v>0</v>
      </c>
      <c r="F152" s="219" t="b">
        <v>0</v>
      </c>
      <c r="G152" s="219"/>
    </row>
    <row r="153">
      <c r="A153" s="218">
        <f t="shared" si="1"/>
        <v>152</v>
      </c>
      <c r="B153" s="218" t="s">
        <v>203</v>
      </c>
      <c r="C153" s="218">
        <v>719.0</v>
      </c>
      <c r="D153" s="218" t="b">
        <v>1</v>
      </c>
      <c r="E153" s="219" t="b">
        <v>0</v>
      </c>
      <c r="F153" s="219" t="b">
        <v>0</v>
      </c>
      <c r="G153" s="219"/>
    </row>
    <row r="154">
      <c r="A154" s="218">
        <f t="shared" si="1"/>
        <v>153</v>
      </c>
      <c r="B154" s="218" t="s">
        <v>203</v>
      </c>
      <c r="C154" s="218">
        <v>742.0</v>
      </c>
      <c r="D154" s="218" t="b">
        <v>1</v>
      </c>
      <c r="E154" s="219" t="b">
        <v>0</v>
      </c>
      <c r="F154" s="219" t="b">
        <v>0</v>
      </c>
      <c r="G154" s="219"/>
    </row>
    <row r="155">
      <c r="A155" s="218">
        <f t="shared" si="1"/>
        <v>154</v>
      </c>
      <c r="B155" s="218" t="s">
        <v>203</v>
      </c>
      <c r="C155" s="218">
        <v>757.0</v>
      </c>
      <c r="D155" s="218" t="b">
        <v>1</v>
      </c>
      <c r="E155" s="219" t="b">
        <v>0</v>
      </c>
      <c r="F155" s="219" t="b">
        <v>0</v>
      </c>
      <c r="G155" s="219"/>
    </row>
    <row r="156">
      <c r="A156" s="218">
        <f t="shared" si="1"/>
        <v>155</v>
      </c>
      <c r="B156" s="218" t="s">
        <v>203</v>
      </c>
      <c r="C156" s="218">
        <v>776.0</v>
      </c>
      <c r="D156" s="218" t="b">
        <v>1</v>
      </c>
      <c r="E156" s="219" t="b">
        <v>0</v>
      </c>
      <c r="F156" s="219" t="b">
        <v>0</v>
      </c>
      <c r="G156" s="219"/>
    </row>
    <row r="157">
      <c r="A157" s="218">
        <f t="shared" si="1"/>
        <v>156</v>
      </c>
      <c r="B157" s="218" t="s">
        <v>203</v>
      </c>
      <c r="C157" s="218">
        <v>779.0</v>
      </c>
      <c r="D157" s="218" t="b">
        <v>1</v>
      </c>
      <c r="E157" s="219" t="b">
        <v>0</v>
      </c>
      <c r="F157" s="219" t="b">
        <v>0</v>
      </c>
      <c r="G157" s="219"/>
    </row>
    <row r="158">
      <c r="A158" s="218">
        <f t="shared" si="1"/>
        <v>157</v>
      </c>
      <c r="B158" s="218" t="s">
        <v>203</v>
      </c>
      <c r="C158" s="218">
        <v>782.0</v>
      </c>
      <c r="D158" s="218" t="b">
        <v>1</v>
      </c>
      <c r="E158" s="219" t="b">
        <v>0</v>
      </c>
      <c r="F158" s="219" t="b">
        <v>0</v>
      </c>
      <c r="G158" s="219"/>
    </row>
    <row r="159">
      <c r="A159" s="218">
        <f t="shared" si="1"/>
        <v>158</v>
      </c>
      <c r="B159" s="218" t="s">
        <v>203</v>
      </c>
      <c r="C159" s="218">
        <v>799.0</v>
      </c>
      <c r="D159" s="218" t="b">
        <v>1</v>
      </c>
      <c r="E159" s="219" t="b">
        <v>0</v>
      </c>
      <c r="F159" s="219" t="b">
        <v>0</v>
      </c>
      <c r="G159" s="219"/>
    </row>
    <row r="160">
      <c r="A160" s="218">
        <f t="shared" si="1"/>
        <v>159</v>
      </c>
      <c r="B160" s="218" t="s">
        <v>203</v>
      </c>
      <c r="C160" s="218">
        <v>818.0</v>
      </c>
      <c r="D160" s="218" t="b">
        <v>1</v>
      </c>
      <c r="E160" s="219" t="b">
        <v>0</v>
      </c>
      <c r="F160" s="219" t="b">
        <v>0</v>
      </c>
      <c r="G160" s="219"/>
    </row>
    <row r="161">
      <c r="A161" s="218">
        <f t="shared" si="1"/>
        <v>160</v>
      </c>
      <c r="B161" s="218" t="s">
        <v>203</v>
      </c>
      <c r="C161" s="218">
        <v>825.0</v>
      </c>
      <c r="D161" s="218" t="b">
        <v>1</v>
      </c>
      <c r="E161" s="219" t="b">
        <v>0</v>
      </c>
      <c r="F161" s="219" t="b">
        <v>0</v>
      </c>
      <c r="G161" s="219"/>
    </row>
    <row r="162">
      <c r="A162" s="218">
        <f t="shared" si="1"/>
        <v>161</v>
      </c>
      <c r="B162" s="218" t="s">
        <v>203</v>
      </c>
      <c r="C162" s="218">
        <v>841.0</v>
      </c>
      <c r="D162" s="218" t="b">
        <v>1</v>
      </c>
      <c r="E162" s="219" t="b">
        <v>0</v>
      </c>
      <c r="F162" s="219" t="b">
        <v>0</v>
      </c>
      <c r="G162" s="219"/>
    </row>
    <row r="163">
      <c r="A163" s="218">
        <f t="shared" si="1"/>
        <v>162</v>
      </c>
      <c r="B163" s="218" t="s">
        <v>203</v>
      </c>
      <c r="C163" s="218">
        <v>847.0</v>
      </c>
      <c r="D163" s="218" t="b">
        <v>1</v>
      </c>
      <c r="E163" s="219" t="b">
        <v>0</v>
      </c>
      <c r="F163" s="219" t="b">
        <v>0</v>
      </c>
      <c r="G163" s="219"/>
    </row>
    <row r="164">
      <c r="A164" s="218">
        <f t="shared" si="1"/>
        <v>163</v>
      </c>
      <c r="B164" s="218" t="s">
        <v>203</v>
      </c>
      <c r="C164" s="218">
        <v>885.0</v>
      </c>
      <c r="D164" s="218" t="b">
        <v>1</v>
      </c>
      <c r="E164" s="219" t="b">
        <v>0</v>
      </c>
      <c r="F164" s="219" t="b">
        <v>0</v>
      </c>
      <c r="G164" s="219"/>
    </row>
    <row r="165">
      <c r="A165" s="218">
        <f t="shared" si="1"/>
        <v>164</v>
      </c>
      <c r="B165" s="218" t="s">
        <v>203</v>
      </c>
      <c r="C165" s="218">
        <v>922.0</v>
      </c>
      <c r="D165" s="218" t="b">
        <v>1</v>
      </c>
      <c r="E165" s="219" t="b">
        <v>0</v>
      </c>
      <c r="F165" s="219" t="b">
        <v>0</v>
      </c>
      <c r="G165" s="219"/>
    </row>
    <row r="166">
      <c r="A166" s="218">
        <f t="shared" si="1"/>
        <v>165</v>
      </c>
      <c r="B166" s="218" t="s">
        <v>203</v>
      </c>
      <c r="C166" s="218">
        <v>923.0</v>
      </c>
      <c r="D166" s="218" t="b">
        <v>1</v>
      </c>
      <c r="E166" s="219" t="b">
        <v>0</v>
      </c>
      <c r="F166" s="219" t="b">
        <v>0</v>
      </c>
      <c r="G166" s="219"/>
    </row>
    <row r="167">
      <c r="A167" s="218">
        <f t="shared" si="1"/>
        <v>166</v>
      </c>
      <c r="B167" s="218" t="s">
        <v>203</v>
      </c>
      <c r="C167" s="218">
        <v>938.0</v>
      </c>
      <c r="D167" s="218" t="b">
        <v>1</v>
      </c>
      <c r="E167" s="219" t="b">
        <v>0</v>
      </c>
      <c r="F167" s="219" t="b">
        <v>0</v>
      </c>
      <c r="G167" s="219"/>
    </row>
    <row r="168">
      <c r="A168" s="218">
        <f t="shared" si="1"/>
        <v>167</v>
      </c>
      <c r="B168" s="218" t="s">
        <v>203</v>
      </c>
      <c r="C168" s="218">
        <v>940.0</v>
      </c>
      <c r="D168" s="218" t="b">
        <v>1</v>
      </c>
      <c r="E168" s="219" t="b">
        <v>0</v>
      </c>
      <c r="F168" s="219" t="b">
        <v>0</v>
      </c>
      <c r="G168" s="219"/>
    </row>
    <row r="169">
      <c r="A169" s="218">
        <f t="shared" si="1"/>
        <v>168</v>
      </c>
      <c r="B169" s="218" t="s">
        <v>203</v>
      </c>
      <c r="C169" s="218">
        <v>941.0</v>
      </c>
      <c r="D169" s="218" t="b">
        <v>1</v>
      </c>
      <c r="E169" s="219" t="b">
        <v>0</v>
      </c>
      <c r="F169" s="219" t="b">
        <v>0</v>
      </c>
      <c r="G169" s="219"/>
    </row>
    <row r="170">
      <c r="A170" s="218">
        <f t="shared" si="1"/>
        <v>169</v>
      </c>
      <c r="B170" s="218" t="s">
        <v>203</v>
      </c>
      <c r="C170" s="218">
        <v>942.0</v>
      </c>
      <c r="D170" s="218" t="b">
        <v>1</v>
      </c>
      <c r="E170" s="219" t="b">
        <v>0</v>
      </c>
      <c r="F170" s="219" t="b">
        <v>0</v>
      </c>
      <c r="G170" s="219"/>
    </row>
    <row r="171">
      <c r="A171" s="218">
        <f t="shared" si="1"/>
        <v>170</v>
      </c>
      <c r="B171" s="218" t="s">
        <v>203</v>
      </c>
      <c r="C171" s="218">
        <v>943.0</v>
      </c>
      <c r="D171" s="218" t="b">
        <v>1</v>
      </c>
      <c r="E171" s="219" t="b">
        <v>0</v>
      </c>
      <c r="F171" s="219" t="b">
        <v>0</v>
      </c>
      <c r="G171" s="219"/>
    </row>
    <row r="172">
      <c r="A172" s="218">
        <f t="shared" si="1"/>
        <v>171</v>
      </c>
      <c r="B172" s="218" t="s">
        <v>203</v>
      </c>
      <c r="C172" s="218">
        <v>946.0</v>
      </c>
      <c r="D172" s="218" t="b">
        <v>1</v>
      </c>
      <c r="E172" s="219" t="b">
        <v>0</v>
      </c>
      <c r="F172" s="219" t="b">
        <v>0</v>
      </c>
      <c r="G172" s="219"/>
    </row>
    <row r="173">
      <c r="A173" s="218">
        <f t="shared" si="1"/>
        <v>172</v>
      </c>
      <c r="B173" s="218" t="s">
        <v>203</v>
      </c>
      <c r="C173" s="218">
        <v>947.0</v>
      </c>
      <c r="D173" s="218" t="b">
        <v>1</v>
      </c>
      <c r="E173" s="219" t="b">
        <v>0</v>
      </c>
      <c r="F173" s="219" t="b">
        <v>0</v>
      </c>
      <c r="G173" s="219"/>
    </row>
    <row r="174">
      <c r="A174" s="218">
        <f t="shared" si="1"/>
        <v>173</v>
      </c>
      <c r="B174" s="218" t="s">
        <v>203</v>
      </c>
      <c r="C174" s="218">
        <v>952.0</v>
      </c>
      <c r="D174" s="218" t="b">
        <v>1</v>
      </c>
      <c r="E174" s="219" t="b">
        <v>0</v>
      </c>
      <c r="F174" s="219" t="b">
        <v>0</v>
      </c>
      <c r="G174" s="219"/>
    </row>
    <row r="175">
      <c r="A175" s="218">
        <f t="shared" si="1"/>
        <v>174</v>
      </c>
      <c r="B175" s="218" t="s">
        <v>203</v>
      </c>
      <c r="C175" s="218">
        <v>954.0</v>
      </c>
      <c r="D175" s="218" t="b">
        <v>1</v>
      </c>
      <c r="E175" s="219" t="b">
        <v>0</v>
      </c>
      <c r="F175" s="219" t="b">
        <v>0</v>
      </c>
      <c r="G175" s="219"/>
    </row>
    <row r="176">
      <c r="A176" s="218">
        <f t="shared" si="1"/>
        <v>175</v>
      </c>
      <c r="B176" s="218" t="s">
        <v>203</v>
      </c>
      <c r="C176" s="218">
        <v>960.0</v>
      </c>
      <c r="D176" s="218" t="b">
        <v>1</v>
      </c>
      <c r="E176" s="219" t="b">
        <v>0</v>
      </c>
      <c r="F176" s="219" t="b">
        <v>0</v>
      </c>
      <c r="G176" s="219"/>
    </row>
    <row r="177">
      <c r="A177" s="218">
        <f t="shared" si="1"/>
        <v>176</v>
      </c>
      <c r="B177" s="218" t="s">
        <v>203</v>
      </c>
      <c r="C177" s="218">
        <v>966.0</v>
      </c>
      <c r="D177" s="218" t="b">
        <v>1</v>
      </c>
      <c r="E177" s="219" t="b">
        <v>0</v>
      </c>
      <c r="F177" s="219" t="b">
        <v>0</v>
      </c>
      <c r="G177" s="219"/>
    </row>
    <row r="178">
      <c r="A178" s="218">
        <f t="shared" si="1"/>
        <v>177</v>
      </c>
      <c r="B178" s="218" t="s">
        <v>203</v>
      </c>
      <c r="C178" s="218" t="s">
        <v>5987</v>
      </c>
      <c r="D178" s="218" t="b">
        <v>1</v>
      </c>
      <c r="E178" s="219" t="b">
        <v>0</v>
      </c>
      <c r="F178" s="219" t="b">
        <v>0</v>
      </c>
      <c r="G178" s="219"/>
    </row>
    <row r="179">
      <c r="A179" s="218">
        <f t="shared" si="1"/>
        <v>178</v>
      </c>
      <c r="B179" s="218" t="s">
        <v>203</v>
      </c>
      <c r="C179" s="218" t="s">
        <v>5989</v>
      </c>
      <c r="D179" s="218" t="b">
        <v>1</v>
      </c>
      <c r="E179" s="219" t="b">
        <v>0</v>
      </c>
      <c r="F179" s="219" t="b">
        <v>0</v>
      </c>
      <c r="G179" s="219"/>
    </row>
    <row r="180">
      <c r="A180" s="218">
        <f t="shared" si="1"/>
        <v>179</v>
      </c>
      <c r="B180" s="218" t="s">
        <v>203</v>
      </c>
      <c r="C180" s="218" t="s">
        <v>5991</v>
      </c>
      <c r="D180" s="218" t="b">
        <v>1</v>
      </c>
      <c r="E180" s="219" t="b">
        <v>0</v>
      </c>
      <c r="F180" s="219" t="b">
        <v>0</v>
      </c>
      <c r="G180" s="219"/>
    </row>
    <row r="181">
      <c r="A181" s="218">
        <f t="shared" si="1"/>
        <v>180</v>
      </c>
      <c r="B181" s="218" t="s">
        <v>203</v>
      </c>
      <c r="C181" s="218" t="s">
        <v>5992</v>
      </c>
      <c r="D181" s="218" t="b">
        <v>1</v>
      </c>
      <c r="E181" s="219" t="b">
        <v>0</v>
      </c>
      <c r="F181" s="219" t="b">
        <v>0</v>
      </c>
      <c r="G181" s="219"/>
    </row>
    <row r="182">
      <c r="A182" s="218">
        <f t="shared" si="1"/>
        <v>181</v>
      </c>
      <c r="B182" s="218" t="s">
        <v>203</v>
      </c>
      <c r="C182" s="218" t="s">
        <v>5994</v>
      </c>
      <c r="D182" s="218" t="b">
        <v>1</v>
      </c>
      <c r="E182" s="219" t="b">
        <v>0</v>
      </c>
      <c r="F182" s="219" t="b">
        <v>0</v>
      </c>
      <c r="G182" s="219"/>
    </row>
    <row r="183">
      <c r="A183" s="218">
        <f t="shared" si="1"/>
        <v>182</v>
      </c>
      <c r="B183" s="218" t="s">
        <v>203</v>
      </c>
      <c r="C183" s="218" t="s">
        <v>5996</v>
      </c>
      <c r="D183" s="218" t="b">
        <v>1</v>
      </c>
      <c r="E183" s="219" t="b">
        <v>0</v>
      </c>
      <c r="F183" s="219" t="b">
        <v>0</v>
      </c>
      <c r="G183" s="219"/>
    </row>
    <row r="184">
      <c r="A184" s="218">
        <f t="shared" si="1"/>
        <v>183</v>
      </c>
      <c r="B184" s="218" t="s">
        <v>203</v>
      </c>
      <c r="C184" s="218" t="s">
        <v>5998</v>
      </c>
      <c r="D184" s="218" t="b">
        <v>1</v>
      </c>
      <c r="E184" s="219" t="b">
        <v>0</v>
      </c>
      <c r="F184" s="219" t="b">
        <v>0</v>
      </c>
      <c r="G184" s="219"/>
    </row>
    <row r="185">
      <c r="A185" s="218">
        <f t="shared" si="1"/>
        <v>184</v>
      </c>
      <c r="B185" s="218" t="s">
        <v>203</v>
      </c>
      <c r="C185" s="218" t="s">
        <v>6000</v>
      </c>
      <c r="D185" s="218" t="b">
        <v>1</v>
      </c>
      <c r="E185" s="219" t="b">
        <v>0</v>
      </c>
      <c r="F185" s="219" t="b">
        <v>0</v>
      </c>
      <c r="G185" s="219"/>
    </row>
    <row r="186">
      <c r="A186" s="218">
        <f t="shared" si="1"/>
        <v>185</v>
      </c>
      <c r="B186" s="218" t="s">
        <v>203</v>
      </c>
      <c r="C186" s="218" t="s">
        <v>6002</v>
      </c>
      <c r="D186" s="218" t="b">
        <v>1</v>
      </c>
      <c r="E186" s="219" t="b">
        <v>0</v>
      </c>
      <c r="F186" s="219" t="b">
        <v>0</v>
      </c>
      <c r="G186" s="219"/>
    </row>
    <row r="187">
      <c r="A187" s="218">
        <f t="shared" si="1"/>
        <v>186</v>
      </c>
      <c r="B187" s="218" t="s">
        <v>203</v>
      </c>
      <c r="C187" s="218" t="s">
        <v>6003</v>
      </c>
      <c r="D187" s="218" t="b">
        <v>1</v>
      </c>
      <c r="E187" s="219" t="b">
        <v>0</v>
      </c>
      <c r="F187" s="219" t="b">
        <v>0</v>
      </c>
      <c r="G187" s="219"/>
    </row>
    <row r="188">
      <c r="A188" s="218">
        <f t="shared" si="1"/>
        <v>187</v>
      </c>
      <c r="B188" s="218" t="s">
        <v>203</v>
      </c>
      <c r="C188" s="218" t="s">
        <v>2737</v>
      </c>
      <c r="D188" s="218" t="b">
        <v>1</v>
      </c>
      <c r="E188" s="219" t="b">
        <v>0</v>
      </c>
      <c r="F188" s="219" t="b">
        <v>0</v>
      </c>
      <c r="G188" s="219"/>
    </row>
    <row r="189">
      <c r="A189" s="218">
        <f t="shared" si="1"/>
        <v>188</v>
      </c>
      <c r="B189" s="218" t="s">
        <v>203</v>
      </c>
      <c r="C189" s="218" t="s">
        <v>6005</v>
      </c>
      <c r="D189" s="218" t="b">
        <v>1</v>
      </c>
      <c r="E189" s="219" t="b">
        <v>0</v>
      </c>
      <c r="F189" s="219" t="b">
        <v>0</v>
      </c>
      <c r="G189" s="219"/>
    </row>
    <row r="190">
      <c r="A190" s="218">
        <f t="shared" si="1"/>
        <v>189</v>
      </c>
      <c r="B190" s="218" t="s">
        <v>203</v>
      </c>
      <c r="C190" s="218" t="s">
        <v>2794</v>
      </c>
      <c r="D190" s="218" t="b">
        <v>1</v>
      </c>
      <c r="E190" s="219" t="b">
        <v>0</v>
      </c>
      <c r="F190" s="219" t="b">
        <v>0</v>
      </c>
      <c r="G190" s="219"/>
    </row>
    <row r="191">
      <c r="A191" s="218">
        <f t="shared" si="1"/>
        <v>190</v>
      </c>
      <c r="B191" s="218" t="s">
        <v>203</v>
      </c>
      <c r="C191" s="218" t="s">
        <v>2794</v>
      </c>
      <c r="D191" s="218" t="b">
        <v>1</v>
      </c>
      <c r="E191" s="219" t="b">
        <v>0</v>
      </c>
      <c r="F191" s="219" t="b">
        <v>0</v>
      </c>
      <c r="G191" s="219"/>
    </row>
    <row r="192">
      <c r="A192" s="218">
        <f t="shared" si="1"/>
        <v>191</v>
      </c>
      <c r="B192" s="218" t="s">
        <v>203</v>
      </c>
      <c r="C192" s="218" t="s">
        <v>6008</v>
      </c>
      <c r="D192" s="218" t="b">
        <v>1</v>
      </c>
      <c r="E192" s="219" t="b">
        <v>0</v>
      </c>
      <c r="F192" s="219" t="b">
        <v>0</v>
      </c>
      <c r="G192" s="219"/>
    </row>
    <row r="193">
      <c r="A193" s="218">
        <f t="shared" si="1"/>
        <v>192</v>
      </c>
      <c r="B193" s="218" t="s">
        <v>203</v>
      </c>
      <c r="C193" s="218" t="s">
        <v>6009</v>
      </c>
      <c r="D193" s="218" t="b">
        <v>1</v>
      </c>
      <c r="E193" s="219" t="b">
        <v>0</v>
      </c>
      <c r="F193" s="219" t="b">
        <v>0</v>
      </c>
      <c r="G193" s="219"/>
    </row>
    <row r="194">
      <c r="A194" s="218">
        <f t="shared" si="1"/>
        <v>193</v>
      </c>
      <c r="B194" s="218" t="s">
        <v>203</v>
      </c>
      <c r="C194" s="218" t="s">
        <v>6011</v>
      </c>
      <c r="D194" s="218" t="b">
        <v>1</v>
      </c>
      <c r="E194" s="219" t="b">
        <v>0</v>
      </c>
      <c r="F194" s="219" t="b">
        <v>0</v>
      </c>
      <c r="G194" s="219"/>
    </row>
    <row r="195">
      <c r="A195" s="218">
        <f t="shared" si="1"/>
        <v>194</v>
      </c>
      <c r="B195" s="218" t="s">
        <v>203</v>
      </c>
      <c r="C195" s="218" t="s">
        <v>2765</v>
      </c>
      <c r="D195" s="218" t="b">
        <v>1</v>
      </c>
      <c r="E195" s="219" t="b">
        <v>0</v>
      </c>
      <c r="F195" s="219" t="b">
        <v>0</v>
      </c>
      <c r="G195" s="219"/>
    </row>
    <row r="196">
      <c r="A196" s="218">
        <f t="shared" si="1"/>
        <v>195</v>
      </c>
      <c r="B196" s="218" t="s">
        <v>203</v>
      </c>
      <c r="C196" s="218" t="s">
        <v>6013</v>
      </c>
      <c r="D196" s="218" t="b">
        <v>1</v>
      </c>
      <c r="E196" s="219" t="b">
        <v>0</v>
      </c>
      <c r="F196" s="219" t="b">
        <v>0</v>
      </c>
      <c r="G196" s="219"/>
    </row>
    <row r="197">
      <c r="A197" s="218">
        <f t="shared" si="1"/>
        <v>196</v>
      </c>
      <c r="B197" s="218" t="s">
        <v>203</v>
      </c>
      <c r="C197" s="218" t="s">
        <v>6014</v>
      </c>
      <c r="D197" s="218" t="b">
        <v>1</v>
      </c>
      <c r="E197" s="219" t="b">
        <v>0</v>
      </c>
      <c r="F197" s="219" t="b">
        <v>0</v>
      </c>
      <c r="G197" s="219"/>
    </row>
    <row r="198">
      <c r="A198" s="218">
        <f t="shared" si="1"/>
        <v>197</v>
      </c>
      <c r="B198" s="218" t="s">
        <v>203</v>
      </c>
      <c r="C198" s="218" t="s">
        <v>6016</v>
      </c>
      <c r="D198" s="218" t="b">
        <v>1</v>
      </c>
      <c r="E198" s="219" t="b">
        <v>0</v>
      </c>
      <c r="F198" s="219" t="b">
        <v>0</v>
      </c>
      <c r="G198" s="219"/>
    </row>
    <row r="199">
      <c r="A199" s="218">
        <f t="shared" si="1"/>
        <v>198</v>
      </c>
      <c r="B199" s="218" t="s">
        <v>203</v>
      </c>
      <c r="C199" s="218" t="s">
        <v>6017</v>
      </c>
      <c r="D199" s="218" t="b">
        <v>1</v>
      </c>
      <c r="E199" s="219" t="b">
        <v>0</v>
      </c>
      <c r="F199" s="219" t="b">
        <v>0</v>
      </c>
      <c r="G199" s="219"/>
    </row>
    <row r="200">
      <c r="A200" s="218">
        <f t="shared" si="1"/>
        <v>199</v>
      </c>
      <c r="B200" s="218" t="s">
        <v>203</v>
      </c>
      <c r="C200" s="218" t="s">
        <v>1334</v>
      </c>
      <c r="D200" s="218" t="b">
        <v>1</v>
      </c>
      <c r="E200" s="219" t="b">
        <v>0</v>
      </c>
      <c r="F200" s="219" t="b">
        <v>0</v>
      </c>
      <c r="G200" s="219"/>
    </row>
    <row r="201">
      <c r="A201" s="218">
        <f t="shared" si="1"/>
        <v>200</v>
      </c>
      <c r="B201" s="218" t="s">
        <v>203</v>
      </c>
      <c r="C201" s="218" t="s">
        <v>6019</v>
      </c>
      <c r="D201" s="218" t="b">
        <v>1</v>
      </c>
      <c r="E201" s="219" t="b">
        <v>0</v>
      </c>
      <c r="F201" s="219" t="b">
        <v>0</v>
      </c>
      <c r="G201" s="219"/>
    </row>
    <row r="202">
      <c r="A202" s="218">
        <f t="shared" si="1"/>
        <v>201</v>
      </c>
      <c r="B202" s="218" t="s">
        <v>203</v>
      </c>
      <c r="C202" s="218" t="s">
        <v>6021</v>
      </c>
      <c r="D202" s="218" t="b">
        <v>1</v>
      </c>
      <c r="E202" s="219" t="b">
        <v>0</v>
      </c>
      <c r="F202" s="219" t="b">
        <v>0</v>
      </c>
      <c r="G202" s="219"/>
    </row>
    <row r="203">
      <c r="A203" s="218">
        <f t="shared" si="1"/>
        <v>202</v>
      </c>
      <c r="B203" s="218" t="s">
        <v>203</v>
      </c>
      <c r="C203" s="218" t="s">
        <v>1063</v>
      </c>
      <c r="D203" s="218" t="b">
        <v>1</v>
      </c>
      <c r="E203" s="219" t="b">
        <v>0</v>
      </c>
      <c r="F203" s="219" t="b">
        <v>0</v>
      </c>
      <c r="G203" s="219"/>
    </row>
    <row r="204">
      <c r="A204" s="218">
        <f t="shared" si="1"/>
        <v>203</v>
      </c>
      <c r="B204" s="218" t="s">
        <v>203</v>
      </c>
      <c r="C204" s="218" t="s">
        <v>1222</v>
      </c>
      <c r="D204" s="218" t="b">
        <v>1</v>
      </c>
      <c r="E204" s="219" t="b">
        <v>0</v>
      </c>
      <c r="F204" s="219" t="b">
        <v>0</v>
      </c>
      <c r="G204" s="219"/>
    </row>
    <row r="205">
      <c r="A205" s="218">
        <f t="shared" si="1"/>
        <v>204</v>
      </c>
      <c r="B205" s="218" t="s">
        <v>203</v>
      </c>
      <c r="C205" s="218" t="s">
        <v>755</v>
      </c>
      <c r="D205" s="218" t="b">
        <v>1</v>
      </c>
      <c r="E205" s="219" t="b">
        <v>0</v>
      </c>
      <c r="F205" s="219" t="b">
        <v>0</v>
      </c>
      <c r="G205" s="219"/>
    </row>
    <row r="206">
      <c r="A206" s="218">
        <f t="shared" si="1"/>
        <v>205</v>
      </c>
      <c r="B206" s="218" t="s">
        <v>203</v>
      </c>
      <c r="C206" s="218" t="s">
        <v>751</v>
      </c>
      <c r="D206" s="218" t="b">
        <v>1</v>
      </c>
      <c r="E206" s="219" t="b">
        <v>0</v>
      </c>
      <c r="F206" s="219" t="b">
        <v>0</v>
      </c>
      <c r="G206" s="219"/>
    </row>
    <row r="207">
      <c r="A207" s="218">
        <f t="shared" si="1"/>
        <v>206</v>
      </c>
      <c r="B207" s="218" t="s">
        <v>203</v>
      </c>
      <c r="C207" s="218" t="s">
        <v>2807</v>
      </c>
      <c r="D207" s="218" t="b">
        <v>1</v>
      </c>
      <c r="E207" s="219" t="b">
        <v>0</v>
      </c>
      <c r="F207" s="219" t="b">
        <v>0</v>
      </c>
      <c r="G207" s="219"/>
    </row>
    <row r="208">
      <c r="A208" s="218">
        <f t="shared" si="1"/>
        <v>207</v>
      </c>
      <c r="B208" s="218" t="s">
        <v>203</v>
      </c>
      <c r="C208" s="218" t="s">
        <v>735</v>
      </c>
      <c r="D208" s="218" t="b">
        <v>1</v>
      </c>
      <c r="E208" s="219" t="b">
        <v>0</v>
      </c>
      <c r="F208" s="219" t="b">
        <v>0</v>
      </c>
      <c r="G208" s="219"/>
    </row>
    <row r="209">
      <c r="A209" s="218">
        <f t="shared" si="1"/>
        <v>208</v>
      </c>
      <c r="B209" s="218" t="s">
        <v>203</v>
      </c>
      <c r="C209" s="218" t="s">
        <v>730</v>
      </c>
      <c r="D209" s="218" t="b">
        <v>1</v>
      </c>
      <c r="E209" s="219" t="b">
        <v>0</v>
      </c>
      <c r="F209" s="219" t="b">
        <v>0</v>
      </c>
      <c r="G209" s="219"/>
    </row>
    <row r="210">
      <c r="A210" s="218">
        <f t="shared" si="1"/>
        <v>209</v>
      </c>
      <c r="B210" s="218" t="s">
        <v>203</v>
      </c>
      <c r="C210" s="218" t="s">
        <v>632</v>
      </c>
      <c r="D210" s="218" t="b">
        <v>1</v>
      </c>
      <c r="E210" s="219" t="b">
        <v>0</v>
      </c>
      <c r="F210" s="219" t="b">
        <v>0</v>
      </c>
      <c r="G210" s="219"/>
    </row>
    <row r="211">
      <c r="A211" s="218">
        <f t="shared" si="1"/>
        <v>210</v>
      </c>
      <c r="B211" s="218" t="s">
        <v>203</v>
      </c>
      <c r="C211" s="218" t="s">
        <v>2343</v>
      </c>
      <c r="D211" s="218" t="b">
        <v>1</v>
      </c>
      <c r="E211" s="219" t="b">
        <v>0</v>
      </c>
      <c r="F211" s="219" t="b">
        <v>0</v>
      </c>
      <c r="G211" s="219"/>
    </row>
    <row r="212">
      <c r="A212" s="218">
        <f t="shared" si="1"/>
        <v>211</v>
      </c>
      <c r="B212" s="218" t="s">
        <v>203</v>
      </c>
      <c r="C212" s="218" t="s">
        <v>403</v>
      </c>
      <c r="D212" s="218" t="b">
        <v>1</v>
      </c>
      <c r="E212" s="219" t="b">
        <v>0</v>
      </c>
      <c r="F212" s="219" t="b">
        <v>0</v>
      </c>
      <c r="G212" s="219"/>
    </row>
    <row r="213">
      <c r="A213" s="218">
        <f t="shared" si="1"/>
        <v>212</v>
      </c>
      <c r="B213" s="218" t="s">
        <v>203</v>
      </c>
      <c r="C213" s="218" t="s">
        <v>1701</v>
      </c>
      <c r="D213" s="218" t="b">
        <v>1</v>
      </c>
      <c r="E213" s="219" t="b">
        <v>0</v>
      </c>
      <c r="F213" s="219" t="b">
        <v>0</v>
      </c>
      <c r="G213" s="219"/>
    </row>
    <row r="214">
      <c r="A214" s="218">
        <f t="shared" si="1"/>
        <v>213</v>
      </c>
      <c r="B214" s="218" t="s">
        <v>203</v>
      </c>
      <c r="C214" s="218" t="s">
        <v>1424</v>
      </c>
      <c r="D214" s="218" t="b">
        <v>1</v>
      </c>
      <c r="E214" s="219" t="b">
        <v>0</v>
      </c>
      <c r="F214" s="219" t="b">
        <v>0</v>
      </c>
      <c r="G214" s="219"/>
    </row>
    <row r="215">
      <c r="A215" s="218">
        <f t="shared" si="1"/>
        <v>214</v>
      </c>
      <c r="B215" s="218" t="s">
        <v>203</v>
      </c>
      <c r="C215" s="218" t="s">
        <v>3260</v>
      </c>
      <c r="D215" s="218" t="b">
        <v>1</v>
      </c>
      <c r="E215" s="219" t="b">
        <v>0</v>
      </c>
      <c r="F215" s="219" t="b">
        <v>0</v>
      </c>
      <c r="G215" s="219"/>
    </row>
    <row r="216">
      <c r="A216" s="218">
        <f t="shared" si="1"/>
        <v>215</v>
      </c>
      <c r="B216" s="218" t="s">
        <v>203</v>
      </c>
      <c r="C216" s="218" t="s">
        <v>1343</v>
      </c>
      <c r="D216" s="218" t="b">
        <v>1</v>
      </c>
      <c r="E216" s="219" t="b">
        <v>0</v>
      </c>
      <c r="F216" s="219" t="b">
        <v>0</v>
      </c>
      <c r="G216" s="219"/>
    </row>
    <row r="217">
      <c r="A217" s="218">
        <f t="shared" si="1"/>
        <v>216</v>
      </c>
      <c r="B217" s="218" t="s">
        <v>203</v>
      </c>
      <c r="C217" s="218" t="s">
        <v>1905</v>
      </c>
      <c r="D217" s="218" t="b">
        <v>1</v>
      </c>
      <c r="E217" s="219" t="b">
        <v>0</v>
      </c>
      <c r="F217" s="219" t="b">
        <v>0</v>
      </c>
      <c r="G217" s="219"/>
    </row>
    <row r="218">
      <c r="A218" s="218">
        <f t="shared" si="1"/>
        <v>217</v>
      </c>
      <c r="B218" s="218" t="s">
        <v>203</v>
      </c>
      <c r="C218" s="218" t="s">
        <v>1971</v>
      </c>
      <c r="D218" s="218" t="b">
        <v>1</v>
      </c>
      <c r="E218" s="219" t="b">
        <v>0</v>
      </c>
      <c r="F218" s="219" t="b">
        <v>0</v>
      </c>
      <c r="G218" s="219"/>
    </row>
    <row r="219">
      <c r="A219" s="218">
        <f t="shared" si="1"/>
        <v>218</v>
      </c>
      <c r="B219" s="218" t="s">
        <v>203</v>
      </c>
      <c r="C219" s="218" t="s">
        <v>788</v>
      </c>
      <c r="D219" s="218" t="b">
        <v>1</v>
      </c>
      <c r="E219" s="219" t="b">
        <v>0</v>
      </c>
      <c r="F219" s="219" t="b">
        <v>0</v>
      </c>
      <c r="G219" s="219"/>
    </row>
    <row r="220">
      <c r="A220" s="218">
        <f t="shared" si="1"/>
        <v>219</v>
      </c>
      <c r="B220" s="218" t="s">
        <v>203</v>
      </c>
      <c r="C220" s="218" t="s">
        <v>783</v>
      </c>
      <c r="D220" s="218" t="b">
        <v>1</v>
      </c>
      <c r="E220" s="219" t="b">
        <v>0</v>
      </c>
      <c r="F220" s="219" t="b">
        <v>0</v>
      </c>
      <c r="G220" s="219"/>
    </row>
    <row r="221">
      <c r="A221" s="218">
        <f t="shared" si="1"/>
        <v>220</v>
      </c>
      <c r="B221" s="218" t="s">
        <v>203</v>
      </c>
      <c r="C221" s="218" t="s">
        <v>1687</v>
      </c>
      <c r="D221" s="218" t="b">
        <v>1</v>
      </c>
      <c r="E221" s="219" t="b">
        <v>0</v>
      </c>
      <c r="F221" s="219" t="b">
        <v>0</v>
      </c>
      <c r="G221" s="219"/>
    </row>
    <row r="222">
      <c r="A222" s="218">
        <f t="shared" si="1"/>
        <v>221</v>
      </c>
      <c r="B222" s="218" t="s">
        <v>203</v>
      </c>
      <c r="C222" s="218" t="s">
        <v>1516</v>
      </c>
      <c r="D222" s="218" t="b">
        <v>1</v>
      </c>
      <c r="E222" s="219" t="b">
        <v>0</v>
      </c>
      <c r="F222" s="219" t="b">
        <v>0</v>
      </c>
      <c r="G222" s="219"/>
    </row>
    <row r="223">
      <c r="A223" s="218">
        <f t="shared" si="1"/>
        <v>222</v>
      </c>
      <c r="B223" s="218" t="s">
        <v>203</v>
      </c>
      <c r="C223" s="218" t="s">
        <v>837</v>
      </c>
      <c r="D223" s="218" t="b">
        <v>1</v>
      </c>
      <c r="E223" s="219" t="b">
        <v>0</v>
      </c>
      <c r="F223" s="219" t="b">
        <v>0</v>
      </c>
      <c r="G223" s="219"/>
    </row>
    <row r="224">
      <c r="A224" s="218">
        <f t="shared" si="1"/>
        <v>223</v>
      </c>
      <c r="B224" s="218" t="s">
        <v>203</v>
      </c>
      <c r="C224" s="218" t="s">
        <v>888</v>
      </c>
      <c r="D224" s="218" t="b">
        <v>1</v>
      </c>
      <c r="E224" s="219" t="b">
        <v>0</v>
      </c>
      <c r="F224" s="219" t="b">
        <v>0</v>
      </c>
      <c r="G224" s="219"/>
    </row>
    <row r="225">
      <c r="A225" s="218">
        <f t="shared" si="1"/>
        <v>224</v>
      </c>
      <c r="B225" s="218" t="s">
        <v>203</v>
      </c>
      <c r="C225" s="218" t="s">
        <v>482</v>
      </c>
      <c r="D225" s="218" t="b">
        <v>1</v>
      </c>
      <c r="E225" s="219" t="b">
        <v>0</v>
      </c>
      <c r="F225" s="219" t="b">
        <v>0</v>
      </c>
      <c r="G225" s="219"/>
    </row>
    <row r="226">
      <c r="A226" s="218">
        <f t="shared" si="1"/>
        <v>225</v>
      </c>
      <c r="B226" s="218" t="s">
        <v>203</v>
      </c>
      <c r="C226" s="218" t="s">
        <v>827</v>
      </c>
      <c r="D226" s="218" t="b">
        <v>1</v>
      </c>
      <c r="E226" s="219" t="b">
        <v>0</v>
      </c>
      <c r="F226" s="219" t="b">
        <v>0</v>
      </c>
      <c r="G226" s="219"/>
    </row>
    <row r="227">
      <c r="A227" s="218">
        <f t="shared" si="1"/>
        <v>226</v>
      </c>
      <c r="B227" s="218" t="s">
        <v>203</v>
      </c>
      <c r="C227" s="218" t="s">
        <v>822</v>
      </c>
      <c r="D227" s="218" t="b">
        <v>1</v>
      </c>
      <c r="E227" s="219" t="b">
        <v>0</v>
      </c>
      <c r="F227" s="219" t="b">
        <v>0</v>
      </c>
      <c r="G227" s="219"/>
    </row>
    <row r="228">
      <c r="A228" s="218">
        <f t="shared" si="1"/>
        <v>227</v>
      </c>
      <c r="B228" s="218" t="s">
        <v>203</v>
      </c>
      <c r="C228" s="218" t="s">
        <v>817</v>
      </c>
      <c r="D228" s="218" t="b">
        <v>1</v>
      </c>
      <c r="E228" s="219" t="b">
        <v>0</v>
      </c>
      <c r="F228" s="219" t="b">
        <v>0</v>
      </c>
      <c r="G228" s="219"/>
    </row>
    <row r="229">
      <c r="A229" s="218">
        <f t="shared" si="1"/>
        <v>228</v>
      </c>
      <c r="B229" s="218" t="s">
        <v>203</v>
      </c>
      <c r="C229" s="218" t="s">
        <v>1429</v>
      </c>
      <c r="D229" s="218" t="b">
        <v>1</v>
      </c>
      <c r="E229" s="219" t="b">
        <v>0</v>
      </c>
      <c r="F229" s="219" t="b">
        <v>0</v>
      </c>
      <c r="G229" s="219"/>
    </row>
    <row r="230">
      <c r="A230" s="218">
        <f t="shared" si="1"/>
        <v>229</v>
      </c>
      <c r="B230" s="218" t="s">
        <v>203</v>
      </c>
      <c r="C230" s="218" t="s">
        <v>812</v>
      </c>
      <c r="D230" s="218" t="b">
        <v>1</v>
      </c>
      <c r="E230" s="219" t="b">
        <v>0</v>
      </c>
      <c r="F230" s="219" t="b">
        <v>0</v>
      </c>
      <c r="G230" s="219"/>
    </row>
    <row r="231">
      <c r="A231" s="218">
        <f t="shared" si="1"/>
        <v>230</v>
      </c>
      <c r="B231" s="218" t="s">
        <v>203</v>
      </c>
      <c r="C231" s="218" t="s">
        <v>2222</v>
      </c>
      <c r="D231" s="218" t="b">
        <v>1</v>
      </c>
      <c r="E231" s="219" t="b">
        <v>0</v>
      </c>
      <c r="F231" s="219" t="b">
        <v>0</v>
      </c>
      <c r="G231" s="219"/>
    </row>
    <row r="232">
      <c r="A232" s="218">
        <f t="shared" si="1"/>
        <v>231</v>
      </c>
      <c r="B232" s="218" t="s">
        <v>203</v>
      </c>
      <c r="C232" s="218" t="s">
        <v>798</v>
      </c>
      <c r="D232" s="218" t="b">
        <v>1</v>
      </c>
      <c r="E232" s="219" t="b">
        <v>0</v>
      </c>
      <c r="F232" s="219" t="b">
        <v>0</v>
      </c>
      <c r="G232" s="219"/>
    </row>
    <row r="233">
      <c r="A233" s="218">
        <f t="shared" si="1"/>
        <v>232</v>
      </c>
      <c r="B233" s="218" t="s">
        <v>203</v>
      </c>
      <c r="C233" s="218" t="s">
        <v>832</v>
      </c>
      <c r="D233" s="218" t="b">
        <v>1</v>
      </c>
      <c r="E233" s="219" t="b">
        <v>0</v>
      </c>
      <c r="F233" s="219" t="b">
        <v>0</v>
      </c>
      <c r="G233" s="219"/>
    </row>
    <row r="234">
      <c r="A234" s="218">
        <f t="shared" si="1"/>
        <v>233</v>
      </c>
      <c r="B234" s="218" t="s">
        <v>203</v>
      </c>
      <c r="C234" s="218" t="s">
        <v>874</v>
      </c>
      <c r="D234" s="218" t="b">
        <v>1</v>
      </c>
      <c r="E234" s="219" t="b">
        <v>0</v>
      </c>
      <c r="F234" s="219" t="b">
        <v>0</v>
      </c>
      <c r="G234" s="219"/>
    </row>
    <row r="235">
      <c r="A235" s="218">
        <f t="shared" si="1"/>
        <v>234</v>
      </c>
      <c r="B235" s="218" t="s">
        <v>203</v>
      </c>
      <c r="C235" s="218" t="s">
        <v>5203</v>
      </c>
      <c r="D235" s="218" t="b">
        <v>1</v>
      </c>
      <c r="E235" s="219" t="b">
        <v>0</v>
      </c>
      <c r="F235" s="219" t="b">
        <v>0</v>
      </c>
      <c r="G235" s="219"/>
    </row>
    <row r="236">
      <c r="A236" s="218">
        <f t="shared" si="1"/>
        <v>235</v>
      </c>
      <c r="B236" s="218" t="s">
        <v>203</v>
      </c>
      <c r="C236" s="218" t="s">
        <v>865</v>
      </c>
      <c r="D236" s="218" t="b">
        <v>1</v>
      </c>
      <c r="E236" s="219" t="b">
        <v>0</v>
      </c>
      <c r="F236" s="219" t="b">
        <v>0</v>
      </c>
      <c r="G236" s="219"/>
    </row>
    <row r="237">
      <c r="A237" s="218">
        <f t="shared" si="1"/>
        <v>236</v>
      </c>
      <c r="B237" s="218" t="s">
        <v>203</v>
      </c>
      <c r="C237" s="218" t="s">
        <v>859</v>
      </c>
      <c r="D237" s="218" t="b">
        <v>1</v>
      </c>
      <c r="E237" s="219" t="b">
        <v>0</v>
      </c>
      <c r="F237" s="219" t="b">
        <v>0</v>
      </c>
      <c r="G237" s="219"/>
    </row>
    <row r="238">
      <c r="A238" s="218">
        <f t="shared" si="1"/>
        <v>237</v>
      </c>
      <c r="B238" s="218" t="s">
        <v>203</v>
      </c>
      <c r="C238" s="218" t="s">
        <v>1271</v>
      </c>
      <c r="D238" s="218" t="b">
        <v>1</v>
      </c>
      <c r="E238" s="219" t="b">
        <v>0</v>
      </c>
      <c r="F238" s="219" t="b">
        <v>0</v>
      </c>
      <c r="G238" s="219"/>
    </row>
    <row r="239">
      <c r="A239" s="218">
        <f t="shared" si="1"/>
        <v>238</v>
      </c>
      <c r="B239" s="218" t="s">
        <v>203</v>
      </c>
      <c r="C239" s="218" t="s">
        <v>851</v>
      </c>
      <c r="D239" s="218" t="b">
        <v>1</v>
      </c>
      <c r="E239" s="219" t="b">
        <v>0</v>
      </c>
      <c r="F239" s="219" t="b">
        <v>0</v>
      </c>
      <c r="G239" s="219"/>
    </row>
    <row r="240">
      <c r="A240" s="218">
        <f t="shared" si="1"/>
        <v>239</v>
      </c>
      <c r="B240" s="218" t="s">
        <v>203</v>
      </c>
      <c r="C240" s="218" t="s">
        <v>1152</v>
      </c>
      <c r="D240" s="218" t="b">
        <v>1</v>
      </c>
      <c r="E240" s="219" t="b">
        <v>0</v>
      </c>
      <c r="F240" s="219" t="b">
        <v>0</v>
      </c>
      <c r="G240" s="219"/>
    </row>
    <row r="241">
      <c r="A241" s="218">
        <f t="shared" si="1"/>
        <v>240</v>
      </c>
      <c r="B241" s="218" t="s">
        <v>203</v>
      </c>
      <c r="C241" s="218" t="s">
        <v>1171</v>
      </c>
      <c r="D241" s="218" t="b">
        <v>1</v>
      </c>
      <c r="E241" s="219" t="b">
        <v>0</v>
      </c>
      <c r="F241" s="219" t="b">
        <v>0</v>
      </c>
      <c r="G241" s="219"/>
    </row>
    <row r="242">
      <c r="A242" s="218">
        <f t="shared" si="1"/>
        <v>241</v>
      </c>
      <c r="B242" s="218" t="s">
        <v>203</v>
      </c>
      <c r="C242" s="218" t="s">
        <v>3973</v>
      </c>
      <c r="D242" s="218" t="b">
        <v>1</v>
      </c>
      <c r="E242" s="219" t="b">
        <v>0</v>
      </c>
      <c r="F242" s="219" t="b">
        <v>0</v>
      </c>
      <c r="G242" s="219"/>
    </row>
    <row r="243">
      <c r="A243" s="218">
        <f t="shared" si="1"/>
        <v>242</v>
      </c>
      <c r="B243" s="218" t="s">
        <v>203</v>
      </c>
      <c r="C243" s="218" t="s">
        <v>913</v>
      </c>
      <c r="D243" s="218" t="b">
        <v>1</v>
      </c>
      <c r="E243" s="219" t="b">
        <v>0</v>
      </c>
      <c r="F243" s="219" t="b">
        <v>0</v>
      </c>
      <c r="G243" s="219"/>
    </row>
    <row r="244">
      <c r="A244" s="218">
        <f t="shared" si="1"/>
        <v>243</v>
      </c>
      <c r="B244" s="218" t="s">
        <v>203</v>
      </c>
      <c r="C244" s="218" t="s">
        <v>1966</v>
      </c>
      <c r="D244" s="218" t="b">
        <v>1</v>
      </c>
      <c r="E244" s="219" t="b">
        <v>0</v>
      </c>
      <c r="F244" s="219" t="b">
        <v>0</v>
      </c>
      <c r="G244" s="219"/>
    </row>
    <row r="245">
      <c r="A245" s="218">
        <f t="shared" si="1"/>
        <v>244</v>
      </c>
      <c r="B245" s="218" t="s">
        <v>203</v>
      </c>
      <c r="C245" s="218" t="s">
        <v>6046</v>
      </c>
      <c r="D245" s="218" t="b">
        <v>1</v>
      </c>
      <c r="E245" s="219" t="b">
        <v>0</v>
      </c>
      <c r="F245" s="219" t="b">
        <v>0</v>
      </c>
      <c r="G245" s="219"/>
    </row>
    <row r="246">
      <c r="A246" s="218">
        <f t="shared" si="1"/>
        <v>245</v>
      </c>
      <c r="B246" s="218" t="s">
        <v>203</v>
      </c>
      <c r="C246" s="218" t="s">
        <v>893</v>
      </c>
      <c r="D246" s="218" t="b">
        <v>1</v>
      </c>
      <c r="E246" s="219" t="b">
        <v>0</v>
      </c>
      <c r="F246" s="219" t="b">
        <v>0</v>
      </c>
      <c r="G246" s="219"/>
    </row>
    <row r="247">
      <c r="A247" s="218">
        <f t="shared" si="1"/>
        <v>246</v>
      </c>
      <c r="B247" s="218" t="s">
        <v>203</v>
      </c>
      <c r="C247" s="218" t="s">
        <v>6048</v>
      </c>
      <c r="D247" s="218" t="b">
        <v>1</v>
      </c>
      <c r="E247" s="219" t="b">
        <v>0</v>
      </c>
      <c r="F247" s="219" t="b">
        <v>0</v>
      </c>
      <c r="G247" s="219"/>
    </row>
    <row r="248">
      <c r="A248" s="218">
        <f t="shared" si="1"/>
        <v>247</v>
      </c>
      <c r="B248" s="218" t="s">
        <v>203</v>
      </c>
      <c r="C248" s="218" t="s">
        <v>898</v>
      </c>
      <c r="D248" s="218" t="b">
        <v>1</v>
      </c>
      <c r="E248" s="219" t="b">
        <v>0</v>
      </c>
      <c r="F248" s="219" t="b">
        <v>0</v>
      </c>
      <c r="G248" s="219"/>
    </row>
    <row r="249">
      <c r="A249" s="218">
        <f t="shared" si="1"/>
        <v>248</v>
      </c>
      <c r="B249" s="218" t="s">
        <v>203</v>
      </c>
      <c r="C249" s="218" t="s">
        <v>4131</v>
      </c>
      <c r="D249" s="218" t="b">
        <v>1</v>
      </c>
      <c r="E249" s="219" t="b">
        <v>0</v>
      </c>
      <c r="F249" s="219" t="b">
        <v>0</v>
      </c>
      <c r="G249" s="219"/>
    </row>
    <row r="250">
      <c r="A250" s="218">
        <f t="shared" si="1"/>
        <v>249</v>
      </c>
      <c r="B250" s="218" t="s">
        <v>203</v>
      </c>
      <c r="C250" s="218" t="s">
        <v>3898</v>
      </c>
      <c r="D250" s="218" t="b">
        <v>1</v>
      </c>
      <c r="E250" s="219" t="b">
        <v>0</v>
      </c>
      <c r="F250" s="219" t="b">
        <v>0</v>
      </c>
      <c r="G250" s="219"/>
    </row>
    <row r="251">
      <c r="A251" s="218">
        <f t="shared" si="1"/>
        <v>250</v>
      </c>
      <c r="B251" s="218" t="s">
        <v>203</v>
      </c>
      <c r="C251" s="218" t="s">
        <v>2802</v>
      </c>
      <c r="D251" s="218" t="b">
        <v>1</v>
      </c>
      <c r="E251" s="219" t="b">
        <v>0</v>
      </c>
      <c r="F251" s="219" t="b">
        <v>0</v>
      </c>
      <c r="G251" s="219"/>
    </row>
    <row r="252">
      <c r="A252" s="218">
        <f t="shared" si="1"/>
        <v>251</v>
      </c>
      <c r="B252" s="218" t="s">
        <v>203</v>
      </c>
      <c r="C252" s="218" t="s">
        <v>952</v>
      </c>
      <c r="D252" s="218" t="b">
        <v>1</v>
      </c>
      <c r="E252" s="219" t="b">
        <v>0</v>
      </c>
      <c r="F252" s="219" t="b">
        <v>0</v>
      </c>
      <c r="G252" s="219"/>
    </row>
    <row r="253">
      <c r="A253" s="218">
        <f t="shared" si="1"/>
        <v>252</v>
      </c>
      <c r="B253" s="218" t="s">
        <v>203</v>
      </c>
      <c r="C253" s="218" t="s">
        <v>947</v>
      </c>
      <c r="D253" s="218" t="b">
        <v>1</v>
      </c>
      <c r="E253" s="219" t="b">
        <v>0</v>
      </c>
      <c r="F253" s="219" t="b">
        <v>0</v>
      </c>
      <c r="G253" s="219"/>
    </row>
    <row r="254">
      <c r="A254" s="218">
        <f t="shared" si="1"/>
        <v>253</v>
      </c>
      <c r="B254" s="218" t="s">
        <v>203</v>
      </c>
      <c r="C254" s="218" t="s">
        <v>937</v>
      </c>
      <c r="D254" s="218" t="b">
        <v>1</v>
      </c>
      <c r="E254" s="219" t="b">
        <v>0</v>
      </c>
      <c r="F254" s="219" t="b">
        <v>0</v>
      </c>
      <c r="G254" s="219"/>
    </row>
    <row r="255">
      <c r="A255" s="218">
        <f t="shared" si="1"/>
        <v>254</v>
      </c>
      <c r="B255" s="218" t="s">
        <v>203</v>
      </c>
      <c r="C255" s="218" t="s">
        <v>932</v>
      </c>
      <c r="D255" s="218" t="b">
        <v>1</v>
      </c>
      <c r="E255" s="219" t="b">
        <v>0</v>
      </c>
      <c r="F255" s="219" t="b">
        <v>0</v>
      </c>
      <c r="G255" s="219"/>
    </row>
    <row r="256">
      <c r="A256" s="218">
        <f t="shared" si="1"/>
        <v>255</v>
      </c>
      <c r="B256" s="218" t="s">
        <v>203</v>
      </c>
      <c r="C256" s="218" t="s">
        <v>2296</v>
      </c>
      <c r="D256" s="218" t="b">
        <v>1</v>
      </c>
      <c r="E256" s="219" t="b">
        <v>0</v>
      </c>
      <c r="F256" s="219" t="b">
        <v>0</v>
      </c>
      <c r="G256" s="219"/>
    </row>
    <row r="257">
      <c r="A257" s="218">
        <f t="shared" si="1"/>
        <v>256</v>
      </c>
      <c r="B257" s="218" t="s">
        <v>203</v>
      </c>
      <c r="C257" s="218" t="s">
        <v>2301</v>
      </c>
      <c r="D257" s="218" t="b">
        <v>1</v>
      </c>
      <c r="E257" s="219" t="b">
        <v>0</v>
      </c>
      <c r="F257" s="219" t="b">
        <v>0</v>
      </c>
      <c r="G257" s="219"/>
    </row>
    <row r="258">
      <c r="A258" s="218">
        <f t="shared" si="1"/>
        <v>257</v>
      </c>
      <c r="B258" s="218" t="s">
        <v>203</v>
      </c>
      <c r="C258" s="218" t="s">
        <v>5014</v>
      </c>
      <c r="D258" s="218" t="b">
        <v>1</v>
      </c>
      <c r="E258" s="219" t="b">
        <v>0</v>
      </c>
      <c r="F258" s="219" t="b">
        <v>0</v>
      </c>
      <c r="G258" s="219"/>
    </row>
    <row r="259">
      <c r="A259" s="218">
        <f t="shared" si="1"/>
        <v>258</v>
      </c>
      <c r="B259" s="218" t="s">
        <v>203</v>
      </c>
      <c r="C259" s="218" t="s">
        <v>1001</v>
      </c>
      <c r="D259" s="218" t="b">
        <v>1</v>
      </c>
      <c r="E259" s="219" t="b">
        <v>0</v>
      </c>
      <c r="F259" s="219" t="b">
        <v>0</v>
      </c>
      <c r="G259" s="219"/>
    </row>
    <row r="260">
      <c r="A260" s="218">
        <f t="shared" si="1"/>
        <v>259</v>
      </c>
      <c r="B260" s="218" t="s">
        <v>203</v>
      </c>
      <c r="C260" s="218" t="s">
        <v>996</v>
      </c>
      <c r="D260" s="218" t="b">
        <v>1</v>
      </c>
      <c r="E260" s="219" t="b">
        <v>0</v>
      </c>
      <c r="F260" s="219" t="b">
        <v>0</v>
      </c>
      <c r="G260" s="219"/>
    </row>
    <row r="261">
      <c r="A261" s="218">
        <f t="shared" si="1"/>
        <v>260</v>
      </c>
      <c r="B261" s="218" t="s">
        <v>203</v>
      </c>
      <c r="C261" s="218" t="s">
        <v>991</v>
      </c>
      <c r="D261" s="218" t="b">
        <v>1</v>
      </c>
      <c r="E261" s="219" t="b">
        <v>0</v>
      </c>
      <c r="F261" s="219" t="b">
        <v>0</v>
      </c>
      <c r="G261" s="219"/>
    </row>
    <row r="262">
      <c r="A262" s="218">
        <f t="shared" si="1"/>
        <v>261</v>
      </c>
      <c r="B262" s="218" t="s">
        <v>203</v>
      </c>
      <c r="C262" s="218" t="s">
        <v>986</v>
      </c>
      <c r="D262" s="218" t="b">
        <v>1</v>
      </c>
      <c r="E262" s="219" t="b">
        <v>0</v>
      </c>
      <c r="F262" s="219" t="b">
        <v>0</v>
      </c>
      <c r="G262" s="219"/>
    </row>
    <row r="263">
      <c r="A263" s="218">
        <f t="shared" si="1"/>
        <v>262</v>
      </c>
      <c r="B263" s="218" t="s">
        <v>203</v>
      </c>
      <c r="C263" s="218" t="s">
        <v>2409</v>
      </c>
      <c r="D263" s="218" t="b">
        <v>1</v>
      </c>
      <c r="E263" s="219" t="b">
        <v>0</v>
      </c>
      <c r="F263" s="219" t="b">
        <v>0</v>
      </c>
      <c r="G263" s="219"/>
    </row>
    <row r="264">
      <c r="A264" s="218">
        <f t="shared" si="1"/>
        <v>263</v>
      </c>
      <c r="B264" s="218" t="s">
        <v>203</v>
      </c>
      <c r="C264" s="218" t="s">
        <v>981</v>
      </c>
      <c r="D264" s="218" t="b">
        <v>1</v>
      </c>
      <c r="E264" s="219" t="b">
        <v>0</v>
      </c>
      <c r="F264" s="219" t="b">
        <v>0</v>
      </c>
      <c r="G264" s="219"/>
    </row>
    <row r="265">
      <c r="A265" s="218">
        <f t="shared" si="1"/>
        <v>264</v>
      </c>
      <c r="B265" s="218" t="s">
        <v>203</v>
      </c>
      <c r="C265" s="218" t="s">
        <v>976</v>
      </c>
      <c r="D265" s="218" t="b">
        <v>1</v>
      </c>
      <c r="E265" s="219" t="b">
        <v>0</v>
      </c>
      <c r="F265" s="219" t="b">
        <v>0</v>
      </c>
      <c r="G265" s="219"/>
    </row>
    <row r="266">
      <c r="A266" s="218">
        <f t="shared" si="1"/>
        <v>265</v>
      </c>
      <c r="B266" s="218" t="s">
        <v>203</v>
      </c>
      <c r="C266" s="218" t="s">
        <v>972</v>
      </c>
      <c r="D266" s="218" t="b">
        <v>1</v>
      </c>
      <c r="E266" s="219" t="b">
        <v>0</v>
      </c>
      <c r="F266" s="219" t="b">
        <v>0</v>
      </c>
      <c r="G266" s="219"/>
    </row>
    <row r="267">
      <c r="A267" s="218">
        <f t="shared" si="1"/>
        <v>266</v>
      </c>
      <c r="B267" s="218" t="s">
        <v>203</v>
      </c>
      <c r="C267" s="218" t="s">
        <v>531</v>
      </c>
      <c r="D267" s="218" t="b">
        <v>1</v>
      </c>
      <c r="E267" s="219" t="b">
        <v>0</v>
      </c>
      <c r="F267" s="219" t="b">
        <v>0</v>
      </c>
      <c r="G267" s="219"/>
    </row>
    <row r="268">
      <c r="A268" s="218">
        <f t="shared" si="1"/>
        <v>267</v>
      </c>
      <c r="B268" s="218" t="s">
        <v>203</v>
      </c>
      <c r="C268" s="218" t="s">
        <v>1310</v>
      </c>
      <c r="D268" s="218" t="b">
        <v>1</v>
      </c>
      <c r="E268" s="219" t="b">
        <v>0</v>
      </c>
      <c r="F268" s="219" t="b">
        <v>0</v>
      </c>
      <c r="G268" s="219"/>
    </row>
    <row r="269">
      <c r="A269" s="218">
        <f t="shared" si="1"/>
        <v>268</v>
      </c>
      <c r="B269" s="218" t="s">
        <v>203</v>
      </c>
      <c r="C269" s="218" t="s">
        <v>883</v>
      </c>
      <c r="D269" s="218" t="b">
        <v>1</v>
      </c>
      <c r="E269" s="219" t="b">
        <v>0</v>
      </c>
      <c r="F269" s="219" t="b">
        <v>0</v>
      </c>
      <c r="G269" s="219"/>
    </row>
    <row r="270">
      <c r="A270" s="218">
        <f t="shared" si="1"/>
        <v>269</v>
      </c>
      <c r="B270" s="218" t="s">
        <v>203</v>
      </c>
      <c r="C270" s="218" t="s">
        <v>1030</v>
      </c>
      <c r="D270" s="218" t="b">
        <v>1</v>
      </c>
      <c r="E270" s="219" t="b">
        <v>0</v>
      </c>
      <c r="F270" s="219" t="b">
        <v>0</v>
      </c>
      <c r="G270" s="219"/>
    </row>
    <row r="271">
      <c r="A271" s="218">
        <f t="shared" si="1"/>
        <v>270</v>
      </c>
      <c r="B271" s="218" t="s">
        <v>203</v>
      </c>
      <c r="C271" s="218" t="s">
        <v>1025</v>
      </c>
      <c r="D271" s="218" t="b">
        <v>1</v>
      </c>
      <c r="E271" s="219" t="b">
        <v>0</v>
      </c>
      <c r="F271" s="219" t="b">
        <v>0</v>
      </c>
      <c r="G271" s="219"/>
    </row>
    <row r="272">
      <c r="A272" s="218">
        <f t="shared" si="1"/>
        <v>271</v>
      </c>
      <c r="B272" s="218" t="s">
        <v>203</v>
      </c>
      <c r="C272" s="218" t="s">
        <v>6061</v>
      </c>
      <c r="D272" s="218" t="b">
        <v>1</v>
      </c>
      <c r="E272" s="219" t="b">
        <v>0</v>
      </c>
      <c r="F272" s="219" t="b">
        <v>0</v>
      </c>
      <c r="G272" s="219"/>
    </row>
    <row r="273">
      <c r="A273" s="218">
        <f t="shared" si="1"/>
        <v>272</v>
      </c>
      <c r="B273" s="218" t="s">
        <v>203</v>
      </c>
      <c r="C273" s="218" t="s">
        <v>1020</v>
      </c>
      <c r="D273" s="218" t="b">
        <v>1</v>
      </c>
      <c r="E273" s="219" t="b">
        <v>0</v>
      </c>
      <c r="F273" s="219" t="b">
        <v>0</v>
      </c>
      <c r="G273" s="219"/>
    </row>
    <row r="274">
      <c r="A274" s="218">
        <f t="shared" si="1"/>
        <v>273</v>
      </c>
      <c r="B274" s="218" t="s">
        <v>203</v>
      </c>
      <c r="C274" s="218" t="s">
        <v>4774</v>
      </c>
      <c r="D274" s="218" t="b">
        <v>1</v>
      </c>
      <c r="E274" s="219" t="b">
        <v>0</v>
      </c>
      <c r="F274" s="219" t="b">
        <v>0</v>
      </c>
      <c r="G274" s="219"/>
    </row>
    <row r="275">
      <c r="A275" s="218">
        <f t="shared" si="1"/>
        <v>274</v>
      </c>
      <c r="B275" s="218" t="s">
        <v>203</v>
      </c>
      <c r="C275" s="218" t="s">
        <v>2462</v>
      </c>
      <c r="D275" s="218" t="b">
        <v>1</v>
      </c>
      <c r="E275" s="219" t="b">
        <v>0</v>
      </c>
      <c r="F275" s="219" t="b">
        <v>0</v>
      </c>
      <c r="G275" s="219"/>
    </row>
    <row r="276">
      <c r="A276" s="218">
        <f t="shared" si="1"/>
        <v>275</v>
      </c>
      <c r="B276" s="218" t="s">
        <v>203</v>
      </c>
      <c r="C276" s="218" t="s">
        <v>2194</v>
      </c>
      <c r="D276" s="218" t="b">
        <v>1</v>
      </c>
      <c r="E276" s="219" t="b">
        <v>0</v>
      </c>
      <c r="F276" s="219" t="b">
        <v>0</v>
      </c>
      <c r="G276" s="219"/>
    </row>
    <row r="277">
      <c r="A277" s="218">
        <f t="shared" si="1"/>
        <v>276</v>
      </c>
      <c r="B277" s="218" t="s">
        <v>203</v>
      </c>
      <c r="C277" s="218" t="s">
        <v>3585</v>
      </c>
      <c r="D277" s="218" t="b">
        <v>1</v>
      </c>
      <c r="E277" s="219" t="b">
        <v>0</v>
      </c>
      <c r="F277" s="219" t="b">
        <v>0</v>
      </c>
      <c r="G277" s="219"/>
    </row>
    <row r="278">
      <c r="A278" s="218">
        <f t="shared" si="1"/>
        <v>277</v>
      </c>
      <c r="B278" s="218" t="s">
        <v>203</v>
      </c>
      <c r="C278" s="218" t="s">
        <v>1617</v>
      </c>
      <c r="D278" s="218" t="b">
        <v>1</v>
      </c>
      <c r="E278" s="219" t="b">
        <v>0</v>
      </c>
      <c r="F278" s="219" t="b">
        <v>0</v>
      </c>
      <c r="G278" s="219"/>
    </row>
    <row r="279">
      <c r="A279" s="218">
        <f t="shared" si="1"/>
        <v>278</v>
      </c>
      <c r="B279" s="218" t="s">
        <v>203</v>
      </c>
      <c r="C279" s="218" t="s">
        <v>2927</v>
      </c>
      <c r="D279" s="218" t="b">
        <v>1</v>
      </c>
      <c r="E279" s="219" t="b">
        <v>0</v>
      </c>
      <c r="F279" s="219" t="b">
        <v>0</v>
      </c>
      <c r="G279" s="219"/>
    </row>
    <row r="280">
      <c r="A280" s="218">
        <f t="shared" si="1"/>
        <v>279</v>
      </c>
      <c r="B280" s="218" t="s">
        <v>203</v>
      </c>
      <c r="C280" s="218" t="s">
        <v>1068</v>
      </c>
      <c r="D280" s="218" t="b">
        <v>1</v>
      </c>
      <c r="E280" s="219" t="b">
        <v>0</v>
      </c>
      <c r="F280" s="219" t="b">
        <v>0</v>
      </c>
      <c r="G280" s="219"/>
    </row>
    <row r="281">
      <c r="A281" s="218">
        <f t="shared" si="1"/>
        <v>280</v>
      </c>
      <c r="B281" s="218" t="s">
        <v>203</v>
      </c>
      <c r="C281" s="218" t="s">
        <v>5377</v>
      </c>
      <c r="D281" s="218" t="b">
        <v>1</v>
      </c>
      <c r="E281" s="219" t="b">
        <v>0</v>
      </c>
      <c r="F281" s="219" t="b">
        <v>0</v>
      </c>
      <c r="G281" s="219"/>
    </row>
    <row r="282">
      <c r="A282" s="218">
        <f t="shared" si="1"/>
        <v>281</v>
      </c>
      <c r="B282" s="218" t="s">
        <v>203</v>
      </c>
      <c r="C282" s="218" t="s">
        <v>457</v>
      </c>
      <c r="D282" s="218" t="b">
        <v>1</v>
      </c>
      <c r="E282" s="219" t="b">
        <v>0</v>
      </c>
      <c r="F282" s="219" t="b">
        <v>0</v>
      </c>
      <c r="G282" s="219"/>
    </row>
    <row r="283">
      <c r="A283" s="218">
        <f t="shared" si="1"/>
        <v>282</v>
      </c>
      <c r="B283" s="218" t="s">
        <v>203</v>
      </c>
      <c r="C283" s="218" t="s">
        <v>2467</v>
      </c>
      <c r="D283" s="218" t="b">
        <v>1</v>
      </c>
      <c r="E283" s="219" t="b">
        <v>0</v>
      </c>
      <c r="F283" s="219" t="b">
        <v>0</v>
      </c>
      <c r="G283" s="219"/>
    </row>
    <row r="284">
      <c r="A284" s="218">
        <f t="shared" si="1"/>
        <v>283</v>
      </c>
      <c r="B284" s="218" t="s">
        <v>203</v>
      </c>
      <c r="C284" s="218" t="s">
        <v>1166</v>
      </c>
      <c r="D284" s="218" t="b">
        <v>1</v>
      </c>
      <c r="E284" s="219" t="b">
        <v>0</v>
      </c>
      <c r="F284" s="219" t="b">
        <v>0</v>
      </c>
      <c r="G284" s="219"/>
    </row>
    <row r="285">
      <c r="A285" s="218">
        <f t="shared" si="1"/>
        <v>284</v>
      </c>
      <c r="B285" s="218" t="s">
        <v>203</v>
      </c>
      <c r="C285" s="218" t="s">
        <v>413</v>
      </c>
      <c r="D285" s="218" t="b">
        <v>1</v>
      </c>
      <c r="E285" s="219" t="b">
        <v>0</v>
      </c>
      <c r="F285" s="219" t="b">
        <v>0</v>
      </c>
      <c r="G285" s="219"/>
    </row>
    <row r="286">
      <c r="A286" s="218">
        <f t="shared" si="1"/>
        <v>285</v>
      </c>
      <c r="B286" s="218" t="s">
        <v>203</v>
      </c>
      <c r="C286" s="218" t="s">
        <v>3216</v>
      </c>
      <c r="D286" s="218" t="b">
        <v>1</v>
      </c>
      <c r="E286" s="219" t="b">
        <v>0</v>
      </c>
      <c r="F286" s="219" t="b">
        <v>0</v>
      </c>
      <c r="G286" s="219"/>
    </row>
    <row r="287">
      <c r="A287" s="218">
        <f t="shared" si="1"/>
        <v>286</v>
      </c>
      <c r="B287" s="218" t="s">
        <v>203</v>
      </c>
      <c r="C287" s="218" t="s">
        <v>1161</v>
      </c>
      <c r="D287" s="218" t="b">
        <v>1</v>
      </c>
      <c r="E287" s="219" t="b">
        <v>0</v>
      </c>
      <c r="F287" s="219" t="b">
        <v>0</v>
      </c>
      <c r="G287" s="219"/>
    </row>
    <row r="288">
      <c r="A288" s="218">
        <f t="shared" si="1"/>
        <v>287</v>
      </c>
      <c r="B288" s="218" t="s">
        <v>203</v>
      </c>
      <c r="C288" s="218" t="s">
        <v>2232</v>
      </c>
      <c r="D288" s="218" t="b">
        <v>1</v>
      </c>
      <c r="E288" s="219" t="b">
        <v>0</v>
      </c>
      <c r="F288" s="219" t="b">
        <v>0</v>
      </c>
      <c r="G288" s="219"/>
    </row>
    <row r="289">
      <c r="A289" s="218">
        <f t="shared" si="1"/>
        <v>288</v>
      </c>
      <c r="B289" s="218" t="s">
        <v>203</v>
      </c>
      <c r="C289" s="218" t="s">
        <v>2067</v>
      </c>
      <c r="D289" s="218" t="b">
        <v>1</v>
      </c>
      <c r="E289" s="219" t="b">
        <v>0</v>
      </c>
      <c r="F289" s="219" t="b">
        <v>0</v>
      </c>
      <c r="G289" s="219"/>
    </row>
    <row r="290">
      <c r="A290" s="218">
        <f t="shared" si="1"/>
        <v>289</v>
      </c>
      <c r="B290" s="218" t="s">
        <v>203</v>
      </c>
      <c r="C290" s="218" t="s">
        <v>4004</v>
      </c>
      <c r="D290" s="218" t="b">
        <v>1</v>
      </c>
      <c r="E290" s="219" t="b">
        <v>0</v>
      </c>
      <c r="F290" s="219" t="b">
        <v>0</v>
      </c>
      <c r="G290" s="219"/>
    </row>
    <row r="291">
      <c r="A291" s="218">
        <f t="shared" si="1"/>
        <v>290</v>
      </c>
      <c r="B291" s="218" t="s">
        <v>203</v>
      </c>
      <c r="C291" s="218" t="s">
        <v>2783</v>
      </c>
      <c r="D291" s="218" t="b">
        <v>1</v>
      </c>
      <c r="E291" s="219" t="b">
        <v>0</v>
      </c>
      <c r="F291" s="219" t="b">
        <v>0</v>
      </c>
      <c r="G291" s="219"/>
    </row>
    <row r="292">
      <c r="A292" s="218">
        <f t="shared" si="1"/>
        <v>291</v>
      </c>
      <c r="B292" s="218" t="s">
        <v>203</v>
      </c>
      <c r="C292" s="218" t="s">
        <v>6073</v>
      </c>
      <c r="D292" s="218" t="b">
        <v>1</v>
      </c>
      <c r="E292" s="219" t="b">
        <v>0</v>
      </c>
      <c r="F292" s="219" t="b">
        <v>0</v>
      </c>
      <c r="G292" s="219"/>
    </row>
    <row r="293">
      <c r="A293" s="218">
        <f t="shared" si="1"/>
        <v>292</v>
      </c>
      <c r="B293" s="218" t="s">
        <v>203</v>
      </c>
      <c r="C293" s="218" t="s">
        <v>2208</v>
      </c>
      <c r="D293" s="218" t="b">
        <v>1</v>
      </c>
      <c r="E293" s="219" t="b">
        <v>0</v>
      </c>
      <c r="F293" s="219" t="b">
        <v>0</v>
      </c>
      <c r="G293" s="219"/>
    </row>
    <row r="294">
      <c r="A294" s="218">
        <f t="shared" si="1"/>
        <v>293</v>
      </c>
      <c r="B294" s="218" t="s">
        <v>203</v>
      </c>
      <c r="C294" s="218" t="s">
        <v>2628</v>
      </c>
      <c r="D294" s="218" t="b">
        <v>1</v>
      </c>
      <c r="E294" s="219" t="b">
        <v>0</v>
      </c>
      <c r="F294" s="219" t="b">
        <v>0</v>
      </c>
      <c r="G294" s="219"/>
    </row>
    <row r="295">
      <c r="A295" s="218">
        <f t="shared" si="1"/>
        <v>294</v>
      </c>
      <c r="B295" s="218" t="s">
        <v>203</v>
      </c>
      <c r="C295" s="218" t="s">
        <v>2628</v>
      </c>
      <c r="D295" s="218" t="b">
        <v>1</v>
      </c>
      <c r="E295" s="219" t="b">
        <v>0</v>
      </c>
      <c r="F295" s="219" t="b">
        <v>0</v>
      </c>
      <c r="G295" s="219"/>
    </row>
    <row r="296">
      <c r="A296" s="218">
        <f t="shared" si="1"/>
        <v>295</v>
      </c>
      <c r="B296" s="218" t="s">
        <v>203</v>
      </c>
      <c r="C296" s="218" t="s">
        <v>5515</v>
      </c>
      <c r="D296" s="218" t="b">
        <v>1</v>
      </c>
      <c r="E296" s="219" t="b">
        <v>0</v>
      </c>
      <c r="F296" s="219" t="b">
        <v>0</v>
      </c>
      <c r="G296" s="219"/>
    </row>
    <row r="297">
      <c r="A297" s="218">
        <f t="shared" si="1"/>
        <v>296</v>
      </c>
      <c r="B297" s="218" t="s">
        <v>203</v>
      </c>
      <c r="C297" s="218" t="s">
        <v>585</v>
      </c>
      <c r="D297" s="218" t="b">
        <v>1</v>
      </c>
      <c r="E297" s="219" t="b">
        <v>0</v>
      </c>
      <c r="F297" s="219" t="b">
        <v>0</v>
      </c>
      <c r="G297" s="219"/>
    </row>
    <row r="298">
      <c r="A298" s="218">
        <f t="shared" si="1"/>
        <v>297</v>
      </c>
      <c r="B298" s="218" t="s">
        <v>203</v>
      </c>
      <c r="C298" s="218" t="s">
        <v>556</v>
      </c>
      <c r="D298" s="218" t="b">
        <v>1</v>
      </c>
      <c r="E298" s="219" t="b">
        <v>0</v>
      </c>
      <c r="F298" s="219" t="b">
        <v>0</v>
      </c>
      <c r="G298" s="219"/>
    </row>
    <row r="299">
      <c r="A299" s="218">
        <f t="shared" si="1"/>
        <v>298</v>
      </c>
      <c r="B299" s="218" t="s">
        <v>203</v>
      </c>
      <c r="C299" s="218" t="s">
        <v>551</v>
      </c>
      <c r="D299" s="218" t="b">
        <v>1</v>
      </c>
      <c r="E299" s="219" t="b">
        <v>0</v>
      </c>
      <c r="F299" s="219" t="b">
        <v>0</v>
      </c>
      <c r="G299" s="219"/>
    </row>
    <row r="300">
      <c r="A300" s="218">
        <f t="shared" si="1"/>
        <v>299</v>
      </c>
      <c r="B300" s="218" t="s">
        <v>203</v>
      </c>
      <c r="C300" s="218" t="s">
        <v>3270</v>
      </c>
      <c r="D300" s="218" t="b">
        <v>1</v>
      </c>
      <c r="E300" s="219" t="b">
        <v>0</v>
      </c>
      <c r="F300" s="219" t="b">
        <v>0</v>
      </c>
      <c r="G300" s="219"/>
    </row>
    <row r="301">
      <c r="A301" s="218">
        <f t="shared" si="1"/>
        <v>300</v>
      </c>
      <c r="B301" s="218" t="s">
        <v>203</v>
      </c>
      <c r="C301" s="218" t="s">
        <v>516</v>
      </c>
      <c r="D301" s="218" t="b">
        <v>1</v>
      </c>
      <c r="E301" s="219" t="b">
        <v>0</v>
      </c>
      <c r="F301" s="219" t="b">
        <v>0</v>
      </c>
      <c r="G301" s="219"/>
    </row>
    <row r="302">
      <c r="A302" s="218">
        <f t="shared" si="1"/>
        <v>301</v>
      </c>
      <c r="B302" s="218" t="s">
        <v>203</v>
      </c>
      <c r="C302" s="218" t="s">
        <v>462</v>
      </c>
      <c r="D302" s="218" t="b">
        <v>1</v>
      </c>
      <c r="E302" s="219" t="b">
        <v>0</v>
      </c>
      <c r="F302" s="219" t="b">
        <v>0</v>
      </c>
      <c r="G302" s="219"/>
    </row>
    <row r="303">
      <c r="A303" s="218">
        <f t="shared" si="1"/>
        <v>302</v>
      </c>
      <c r="B303" s="218" t="s">
        <v>203</v>
      </c>
      <c r="C303" s="218" t="s">
        <v>2950</v>
      </c>
      <c r="D303" s="218" t="b">
        <v>1</v>
      </c>
      <c r="E303" s="219" t="b">
        <v>0</v>
      </c>
      <c r="F303" s="219" t="b">
        <v>0</v>
      </c>
      <c r="G303" s="219"/>
    </row>
    <row r="304">
      <c r="A304" s="218">
        <f t="shared" si="1"/>
        <v>303</v>
      </c>
      <c r="B304" s="218" t="s">
        <v>203</v>
      </c>
      <c r="C304" s="218" t="s">
        <v>793</v>
      </c>
      <c r="D304" s="218" t="b">
        <v>1</v>
      </c>
      <c r="E304" s="219" t="b">
        <v>0</v>
      </c>
      <c r="F304" s="219" t="b">
        <v>0</v>
      </c>
      <c r="G304" s="219"/>
    </row>
    <row r="305">
      <c r="A305" s="218">
        <f t="shared" si="1"/>
        <v>304</v>
      </c>
      <c r="B305" s="218" t="s">
        <v>203</v>
      </c>
      <c r="C305" s="218" t="s">
        <v>695</v>
      </c>
      <c r="D305" s="218" t="b">
        <v>1</v>
      </c>
      <c r="E305" s="219" t="b">
        <v>0</v>
      </c>
      <c r="F305" s="219" t="b">
        <v>0</v>
      </c>
      <c r="G305" s="219"/>
    </row>
    <row r="306">
      <c r="A306" s="218">
        <f t="shared" si="1"/>
        <v>305</v>
      </c>
      <c r="B306" s="218" t="s">
        <v>203</v>
      </c>
      <c r="C306" s="218" t="s">
        <v>613</v>
      </c>
      <c r="D306" s="218" t="b">
        <v>1</v>
      </c>
      <c r="E306" s="219" t="b">
        <v>0</v>
      </c>
      <c r="F306" s="219" t="b">
        <v>0</v>
      </c>
      <c r="G306" s="219"/>
    </row>
    <row r="307">
      <c r="A307" s="218">
        <f t="shared" si="1"/>
        <v>306</v>
      </c>
      <c r="B307" s="218" t="s">
        <v>203</v>
      </c>
      <c r="C307" s="218" t="s">
        <v>3129</v>
      </c>
      <c r="D307" s="218" t="b">
        <v>1</v>
      </c>
      <c r="E307" s="219" t="b">
        <v>0</v>
      </c>
      <c r="F307" s="219" t="b">
        <v>0</v>
      </c>
      <c r="G307" s="219"/>
    </row>
    <row r="308">
      <c r="A308" s="218">
        <f t="shared" si="1"/>
        <v>307</v>
      </c>
      <c r="B308" s="218" t="s">
        <v>203</v>
      </c>
      <c r="C308" s="218" t="s">
        <v>1261</v>
      </c>
      <c r="D308" s="218" t="b">
        <v>1</v>
      </c>
      <c r="E308" s="219" t="b">
        <v>0</v>
      </c>
      <c r="F308" s="219" t="b">
        <v>0</v>
      </c>
      <c r="G308" s="219"/>
    </row>
    <row r="309">
      <c r="A309" s="218">
        <f t="shared" si="1"/>
        <v>308</v>
      </c>
      <c r="B309" s="218" t="s">
        <v>203</v>
      </c>
      <c r="C309" s="218" t="s">
        <v>3698</v>
      </c>
      <c r="D309" s="218" t="b">
        <v>1</v>
      </c>
      <c r="E309" s="219" t="b">
        <v>0</v>
      </c>
      <c r="F309" s="219" t="b">
        <v>0</v>
      </c>
      <c r="G309" s="219"/>
    </row>
    <row r="310">
      <c r="A310" s="218">
        <f t="shared" si="1"/>
        <v>309</v>
      </c>
      <c r="B310" s="218" t="s">
        <v>203</v>
      </c>
      <c r="C310" s="218" t="s">
        <v>1072</v>
      </c>
      <c r="D310" s="218" t="b">
        <v>1</v>
      </c>
      <c r="E310" s="219" t="b">
        <v>0</v>
      </c>
      <c r="F310" s="219" t="b">
        <v>0</v>
      </c>
      <c r="G310" s="219"/>
    </row>
    <row r="311">
      <c r="A311" s="218">
        <f t="shared" si="1"/>
        <v>310</v>
      </c>
      <c r="B311" s="218" t="s">
        <v>203</v>
      </c>
      <c r="C311" s="218" t="s">
        <v>3087</v>
      </c>
      <c r="D311" s="218" t="b">
        <v>1</v>
      </c>
      <c r="E311" s="219" t="b">
        <v>0</v>
      </c>
      <c r="F311" s="219" t="b">
        <v>0</v>
      </c>
      <c r="G311" s="219"/>
    </row>
    <row r="312">
      <c r="A312" s="218">
        <f t="shared" si="1"/>
        <v>311</v>
      </c>
      <c r="B312" s="218" t="s">
        <v>203</v>
      </c>
      <c r="C312" s="218" t="s">
        <v>6087</v>
      </c>
      <c r="D312" s="218" t="b">
        <v>1</v>
      </c>
      <c r="E312" s="219" t="b">
        <v>0</v>
      </c>
      <c r="F312" s="219" t="b">
        <v>0</v>
      </c>
      <c r="G312" s="219"/>
    </row>
    <row r="313">
      <c r="A313" s="218">
        <f t="shared" si="1"/>
        <v>312</v>
      </c>
      <c r="B313" s="218" t="s">
        <v>203</v>
      </c>
      <c r="C313" s="218" t="s">
        <v>3225</v>
      </c>
      <c r="D313" s="218" t="b">
        <v>1</v>
      </c>
      <c r="E313" s="219" t="b">
        <v>0</v>
      </c>
      <c r="F313" s="219" t="b">
        <v>0</v>
      </c>
      <c r="G313" s="219"/>
    </row>
    <row r="314">
      <c r="A314" s="218">
        <f t="shared" si="1"/>
        <v>313</v>
      </c>
      <c r="B314" s="218" t="s">
        <v>203</v>
      </c>
      <c r="C314" s="218" t="s">
        <v>1142</v>
      </c>
      <c r="D314" s="218" t="b">
        <v>1</v>
      </c>
      <c r="E314" s="219" t="b">
        <v>0</v>
      </c>
      <c r="F314" s="219" t="b">
        <v>0</v>
      </c>
      <c r="G314" s="219"/>
    </row>
    <row r="315">
      <c r="A315" s="218">
        <f t="shared" si="1"/>
        <v>314</v>
      </c>
      <c r="B315" s="218" t="s">
        <v>203</v>
      </c>
      <c r="C315" s="218" t="s">
        <v>2670</v>
      </c>
      <c r="D315" s="218" t="b">
        <v>1</v>
      </c>
      <c r="E315" s="219" t="b">
        <v>0</v>
      </c>
      <c r="F315" s="219" t="b">
        <v>0</v>
      </c>
      <c r="G315" s="219"/>
    </row>
    <row r="316">
      <c r="A316" s="218">
        <f t="shared" si="1"/>
        <v>315</v>
      </c>
      <c r="B316" s="218" t="s">
        <v>203</v>
      </c>
      <c r="C316" s="218" t="s">
        <v>580</v>
      </c>
      <c r="D316" s="218" t="b">
        <v>1</v>
      </c>
      <c r="E316" s="219" t="b">
        <v>0</v>
      </c>
      <c r="F316" s="219" t="b">
        <v>0</v>
      </c>
      <c r="G316" s="219"/>
    </row>
    <row r="317">
      <c r="A317" s="218">
        <f t="shared" si="1"/>
        <v>316</v>
      </c>
      <c r="B317" s="218" t="s">
        <v>203</v>
      </c>
      <c r="C317" s="218" t="s">
        <v>6092</v>
      </c>
      <c r="D317" s="218" t="b">
        <v>1</v>
      </c>
      <c r="E317" s="219" t="b">
        <v>0</v>
      </c>
      <c r="F317" s="219" t="b">
        <v>0</v>
      </c>
      <c r="G317" s="219"/>
    </row>
    <row r="318">
      <c r="A318" s="218">
        <f t="shared" si="1"/>
        <v>317</v>
      </c>
      <c r="B318" s="218" t="s">
        <v>203</v>
      </c>
      <c r="C318" s="218" t="s">
        <v>4840</v>
      </c>
      <c r="D318" s="218" t="b">
        <v>1</v>
      </c>
      <c r="E318" s="219" t="b">
        <v>0</v>
      </c>
      <c r="F318" s="219" t="b">
        <v>0</v>
      </c>
      <c r="G318" s="219"/>
    </row>
    <row r="319">
      <c r="A319" s="218">
        <f t="shared" si="1"/>
        <v>318</v>
      </c>
      <c r="B319" s="218" t="s">
        <v>203</v>
      </c>
      <c r="C319" s="218" t="s">
        <v>2520</v>
      </c>
      <c r="D319" s="218" t="b">
        <v>1</v>
      </c>
      <c r="E319" s="219" t="b">
        <v>0</v>
      </c>
      <c r="F319" s="219" t="b">
        <v>0</v>
      </c>
      <c r="G319" s="219"/>
    </row>
    <row r="320">
      <c r="A320" s="218">
        <f t="shared" si="1"/>
        <v>319</v>
      </c>
      <c r="B320" s="218" t="s">
        <v>203</v>
      </c>
      <c r="C320" s="218" t="s">
        <v>541</v>
      </c>
      <c r="D320" s="218" t="b">
        <v>1</v>
      </c>
      <c r="E320" s="219" t="b">
        <v>0</v>
      </c>
      <c r="F320" s="219" t="b">
        <v>0</v>
      </c>
      <c r="G320" s="219"/>
    </row>
    <row r="321">
      <c r="A321" s="218">
        <f t="shared" si="1"/>
        <v>320</v>
      </c>
      <c r="B321" s="218" t="s">
        <v>203</v>
      </c>
      <c r="C321" s="218" t="s">
        <v>4292</v>
      </c>
      <c r="D321" s="218" t="b">
        <v>1</v>
      </c>
      <c r="E321" s="219" t="b">
        <v>0</v>
      </c>
      <c r="F321" s="219" t="b">
        <v>0</v>
      </c>
      <c r="G321" s="219"/>
    </row>
    <row r="322">
      <c r="A322" s="218">
        <f t="shared" si="1"/>
        <v>321</v>
      </c>
      <c r="B322" s="218" t="s">
        <v>203</v>
      </c>
      <c r="C322" s="218" t="s">
        <v>2815</v>
      </c>
      <c r="D322" s="218" t="b">
        <v>1</v>
      </c>
      <c r="E322" s="219" t="b">
        <v>0</v>
      </c>
      <c r="F322" s="219" t="b">
        <v>0</v>
      </c>
      <c r="G322" s="219"/>
    </row>
    <row r="323">
      <c r="A323" s="218">
        <f t="shared" si="1"/>
        <v>322</v>
      </c>
      <c r="B323" s="218" t="s">
        <v>203</v>
      </c>
      <c r="C323" s="218" t="s">
        <v>2030</v>
      </c>
      <c r="D323" s="218" t="b">
        <v>1</v>
      </c>
      <c r="E323" s="219" t="b">
        <v>0</v>
      </c>
      <c r="F323" s="219" t="b">
        <v>0</v>
      </c>
      <c r="G323" s="219"/>
    </row>
    <row r="324">
      <c r="A324" s="218">
        <f t="shared" si="1"/>
        <v>323</v>
      </c>
      <c r="B324" s="218" t="s">
        <v>203</v>
      </c>
      <c r="C324" s="218" t="s">
        <v>2030</v>
      </c>
      <c r="D324" s="218" t="b">
        <v>1</v>
      </c>
      <c r="E324" s="219" t="b">
        <v>0</v>
      </c>
      <c r="F324" s="219" t="b">
        <v>0</v>
      </c>
      <c r="G324" s="219"/>
    </row>
    <row r="325">
      <c r="A325" s="218">
        <f t="shared" si="1"/>
        <v>324</v>
      </c>
      <c r="B325" s="218" t="s">
        <v>203</v>
      </c>
      <c r="C325" s="218" t="s">
        <v>4628</v>
      </c>
      <c r="D325" s="218" t="b">
        <v>1</v>
      </c>
      <c r="E325" s="219" t="b">
        <v>0</v>
      </c>
      <c r="F325" s="219" t="b">
        <v>0</v>
      </c>
      <c r="G325" s="219"/>
    </row>
    <row r="326">
      <c r="A326" s="218">
        <f t="shared" si="1"/>
        <v>325</v>
      </c>
      <c r="B326" s="218" t="s">
        <v>203</v>
      </c>
      <c r="C326" s="218" t="s">
        <v>4055</v>
      </c>
      <c r="D326" s="218" t="b">
        <v>1</v>
      </c>
      <c r="E326" s="219" t="b">
        <v>0</v>
      </c>
      <c r="F326" s="219" t="b">
        <v>0</v>
      </c>
      <c r="G326" s="219"/>
    </row>
    <row r="327">
      <c r="A327" s="218">
        <f t="shared" si="1"/>
        <v>326</v>
      </c>
      <c r="B327" s="218" t="s">
        <v>203</v>
      </c>
      <c r="C327" s="218" t="s">
        <v>3968</v>
      </c>
      <c r="D327" s="218" t="b">
        <v>1</v>
      </c>
      <c r="E327" s="219" t="b">
        <v>0</v>
      </c>
      <c r="F327" s="219" t="b">
        <v>0</v>
      </c>
      <c r="G327" s="219"/>
    </row>
    <row r="328">
      <c r="A328" s="218">
        <f t="shared" si="1"/>
        <v>327</v>
      </c>
      <c r="B328" s="218" t="s">
        <v>203</v>
      </c>
      <c r="C328" s="218" t="s">
        <v>5131</v>
      </c>
      <c r="D328" s="218" t="b">
        <v>1</v>
      </c>
      <c r="E328" s="219" t="b">
        <v>0</v>
      </c>
      <c r="F328" s="219" t="b">
        <v>0</v>
      </c>
      <c r="G328" s="219"/>
    </row>
    <row r="329">
      <c r="A329" s="218">
        <f t="shared" si="1"/>
        <v>328</v>
      </c>
      <c r="B329" s="218" t="s">
        <v>203</v>
      </c>
      <c r="C329" s="218" t="s">
        <v>3103</v>
      </c>
      <c r="D329" s="218" t="b">
        <v>1</v>
      </c>
      <c r="E329" s="219" t="b">
        <v>0</v>
      </c>
      <c r="F329" s="219" t="b">
        <v>0</v>
      </c>
      <c r="G329" s="219"/>
    </row>
    <row r="330">
      <c r="A330" s="218">
        <f t="shared" si="1"/>
        <v>329</v>
      </c>
      <c r="B330" s="218" t="s">
        <v>203</v>
      </c>
      <c r="C330" s="218" t="s">
        <v>2145</v>
      </c>
      <c r="D330" s="218" t="b">
        <v>1</v>
      </c>
      <c r="E330" s="219" t="b">
        <v>0</v>
      </c>
      <c r="F330" s="219" t="b">
        <v>0</v>
      </c>
      <c r="G330" s="219"/>
    </row>
    <row r="331">
      <c r="A331" s="218">
        <f t="shared" si="1"/>
        <v>330</v>
      </c>
      <c r="B331" s="218" t="s">
        <v>203</v>
      </c>
      <c r="C331" s="218" t="s">
        <v>609</v>
      </c>
      <c r="D331" s="218" t="b">
        <v>1</v>
      </c>
      <c r="E331" s="219" t="b">
        <v>0</v>
      </c>
      <c r="F331" s="219" t="b">
        <v>0</v>
      </c>
      <c r="G331" s="219"/>
    </row>
    <row r="332">
      <c r="A332" s="218">
        <f t="shared" si="1"/>
        <v>331</v>
      </c>
      <c r="B332" s="218" t="s">
        <v>203</v>
      </c>
      <c r="C332" s="218" t="s">
        <v>3170</v>
      </c>
      <c r="D332" s="218" t="b">
        <v>1</v>
      </c>
      <c r="E332" s="219" t="b">
        <v>0</v>
      </c>
      <c r="F332" s="219" t="b">
        <v>0</v>
      </c>
      <c r="G332" s="219"/>
    </row>
    <row r="333">
      <c r="A333" s="218">
        <f t="shared" si="1"/>
        <v>332</v>
      </c>
      <c r="B333" s="218" t="s">
        <v>203</v>
      </c>
      <c r="C333" s="218" t="s">
        <v>1314</v>
      </c>
      <c r="D333" s="218" t="b">
        <v>1</v>
      </c>
      <c r="E333" s="219" t="b">
        <v>0</v>
      </c>
      <c r="F333" s="219" t="b">
        <v>0</v>
      </c>
      <c r="G333" s="219"/>
    </row>
    <row r="334">
      <c r="A334" s="218">
        <f t="shared" si="1"/>
        <v>333</v>
      </c>
      <c r="B334" s="218" t="s">
        <v>203</v>
      </c>
      <c r="C334" s="218" t="s">
        <v>3125</v>
      </c>
      <c r="D334" s="218" t="b">
        <v>1</v>
      </c>
      <c r="E334" s="219" t="b">
        <v>0</v>
      </c>
      <c r="F334" s="219" t="b">
        <v>0</v>
      </c>
      <c r="G334" s="219"/>
    </row>
    <row r="335">
      <c r="A335" s="218">
        <f t="shared" si="1"/>
        <v>334</v>
      </c>
      <c r="B335" s="218" t="s">
        <v>203</v>
      </c>
      <c r="C335" s="218" t="s">
        <v>2315</v>
      </c>
      <c r="D335" s="218" t="b">
        <v>1</v>
      </c>
      <c r="E335" s="219" t="b">
        <v>0</v>
      </c>
      <c r="F335" s="219" t="b">
        <v>0</v>
      </c>
      <c r="G335" s="219"/>
    </row>
    <row r="336">
      <c r="A336" s="218">
        <f t="shared" si="1"/>
        <v>335</v>
      </c>
      <c r="B336" s="218" t="s">
        <v>203</v>
      </c>
      <c r="C336" s="218" t="s">
        <v>5125</v>
      </c>
      <c r="D336" s="218" t="b">
        <v>1</v>
      </c>
      <c r="E336" s="219" t="b">
        <v>0</v>
      </c>
      <c r="F336" s="219" t="b">
        <v>0</v>
      </c>
      <c r="G336" s="219"/>
    </row>
    <row r="337">
      <c r="A337" s="218">
        <f t="shared" si="1"/>
        <v>336</v>
      </c>
      <c r="B337" s="218" t="s">
        <v>203</v>
      </c>
      <c r="C337" s="218" t="s">
        <v>5162</v>
      </c>
      <c r="D337" s="218" t="b">
        <v>1</v>
      </c>
      <c r="E337" s="219" t="b">
        <v>0</v>
      </c>
      <c r="F337" s="219" t="b">
        <v>0</v>
      </c>
      <c r="G337" s="219"/>
    </row>
    <row r="338">
      <c r="A338" s="218">
        <f t="shared" si="1"/>
        <v>337</v>
      </c>
      <c r="B338" s="218" t="s">
        <v>203</v>
      </c>
      <c r="C338" s="218" t="s">
        <v>922</v>
      </c>
      <c r="D338" s="218" t="b">
        <v>1</v>
      </c>
      <c r="E338" s="219" t="b">
        <v>0</v>
      </c>
      <c r="F338" s="219" t="b">
        <v>0</v>
      </c>
      <c r="G338" s="219"/>
    </row>
    <row r="339">
      <c r="A339" s="218">
        <f t="shared" si="1"/>
        <v>338</v>
      </c>
      <c r="B339" s="218" t="s">
        <v>203</v>
      </c>
      <c r="C339" s="218" t="s">
        <v>443</v>
      </c>
      <c r="D339" s="218" t="b">
        <v>1</v>
      </c>
      <c r="E339" s="219" t="b">
        <v>0</v>
      </c>
      <c r="F339" s="219" t="b">
        <v>0</v>
      </c>
      <c r="G339" s="219"/>
    </row>
    <row r="340">
      <c r="A340" s="218">
        <f t="shared" si="1"/>
        <v>339</v>
      </c>
      <c r="B340" s="218" t="s">
        <v>203</v>
      </c>
      <c r="C340" s="218" t="s">
        <v>438</v>
      </c>
      <c r="D340" s="218" t="b">
        <v>1</v>
      </c>
      <c r="E340" s="219" t="b">
        <v>0</v>
      </c>
      <c r="F340" s="219" t="b">
        <v>0</v>
      </c>
      <c r="G340" s="219"/>
    </row>
    <row r="341">
      <c r="A341" s="218">
        <f t="shared" si="1"/>
        <v>340</v>
      </c>
      <c r="B341" s="218" t="s">
        <v>203</v>
      </c>
      <c r="C341" s="218" t="s">
        <v>433</v>
      </c>
      <c r="D341" s="218" t="b">
        <v>1</v>
      </c>
      <c r="E341" s="219" t="b">
        <v>0</v>
      </c>
      <c r="F341" s="219" t="b">
        <v>0</v>
      </c>
      <c r="G341" s="219"/>
    </row>
    <row r="342">
      <c r="A342" s="218">
        <f t="shared" si="1"/>
        <v>341</v>
      </c>
      <c r="B342" s="218" t="s">
        <v>203</v>
      </c>
      <c r="C342" s="218" t="s">
        <v>1227</v>
      </c>
      <c r="D342" s="218" t="b">
        <v>1</v>
      </c>
      <c r="E342" s="219" t="b">
        <v>0</v>
      </c>
      <c r="F342" s="219" t="b">
        <v>0</v>
      </c>
      <c r="G342" s="219"/>
    </row>
    <row r="343">
      <c r="A343" s="218">
        <f t="shared" si="1"/>
        <v>342</v>
      </c>
      <c r="B343" s="218" t="s">
        <v>203</v>
      </c>
      <c r="C343" s="218" t="s">
        <v>5024</v>
      </c>
      <c r="D343" s="218" t="b">
        <v>1</v>
      </c>
      <c r="E343" s="219" t="b">
        <v>0</v>
      </c>
      <c r="F343" s="219" t="b">
        <v>0</v>
      </c>
      <c r="G343" s="219"/>
    </row>
    <row r="344">
      <c r="A344" s="218">
        <f t="shared" si="1"/>
        <v>343</v>
      </c>
      <c r="B344" s="218" t="s">
        <v>203</v>
      </c>
      <c r="C344" s="218" t="s">
        <v>6113</v>
      </c>
      <c r="D344" s="218" t="b">
        <v>1</v>
      </c>
      <c r="E344" s="219" t="b">
        <v>0</v>
      </c>
      <c r="F344" s="219" t="b">
        <v>0</v>
      </c>
      <c r="G344" s="219"/>
    </row>
    <row r="345">
      <c r="A345" s="218">
        <f t="shared" si="1"/>
        <v>344</v>
      </c>
      <c r="B345" s="218" t="s">
        <v>203</v>
      </c>
      <c r="C345" s="218" t="s">
        <v>4546</v>
      </c>
      <c r="D345" s="218" t="b">
        <v>1</v>
      </c>
      <c r="E345" s="219" t="b">
        <v>0</v>
      </c>
      <c r="F345" s="219" t="b">
        <v>0</v>
      </c>
      <c r="G345" s="219"/>
    </row>
    <row r="346">
      <c r="A346" s="218">
        <f t="shared" si="1"/>
        <v>345</v>
      </c>
      <c r="B346" s="218" t="s">
        <v>203</v>
      </c>
      <c r="C346" s="218" t="s">
        <v>1822</v>
      </c>
      <c r="D346" s="218" t="b">
        <v>1</v>
      </c>
      <c r="E346" s="219" t="b">
        <v>0</v>
      </c>
      <c r="F346" s="219" t="b">
        <v>0</v>
      </c>
      <c r="G346" s="219"/>
    </row>
    <row r="347">
      <c r="A347" s="218">
        <f t="shared" si="1"/>
        <v>346</v>
      </c>
      <c r="B347" s="218" t="s">
        <v>203</v>
      </c>
      <c r="C347" s="218" t="s">
        <v>2793</v>
      </c>
      <c r="D347" s="218" t="b">
        <v>1</v>
      </c>
      <c r="E347" s="219" t="b">
        <v>0</v>
      </c>
      <c r="F347" s="219" t="b">
        <v>0</v>
      </c>
      <c r="G347" s="219"/>
    </row>
    <row r="348">
      <c r="A348" s="218">
        <f t="shared" si="1"/>
        <v>347</v>
      </c>
      <c r="B348" s="218" t="s">
        <v>203</v>
      </c>
      <c r="C348" s="218" t="s">
        <v>6117</v>
      </c>
      <c r="D348" s="218" t="b">
        <v>1</v>
      </c>
      <c r="E348" s="219" t="b">
        <v>0</v>
      </c>
      <c r="F348" s="219" t="b">
        <v>0</v>
      </c>
      <c r="G348" s="219"/>
    </row>
    <row r="349">
      <c r="A349" s="218">
        <f t="shared" si="1"/>
        <v>348</v>
      </c>
      <c r="B349" s="218" t="s">
        <v>203</v>
      </c>
      <c r="C349" s="218" t="s">
        <v>2348</v>
      </c>
      <c r="D349" s="218" t="b">
        <v>1</v>
      </c>
      <c r="E349" s="219" t="b">
        <v>0</v>
      </c>
      <c r="F349" s="219" t="b">
        <v>0</v>
      </c>
      <c r="G349" s="219"/>
    </row>
    <row r="350">
      <c r="A350" s="218">
        <f t="shared" si="1"/>
        <v>349</v>
      </c>
      <c r="B350" s="218" t="s">
        <v>203</v>
      </c>
      <c r="C350" s="218" t="s">
        <v>1861</v>
      </c>
      <c r="D350" s="218" t="b">
        <v>1</v>
      </c>
      <c r="E350" s="219" t="b">
        <v>0</v>
      </c>
      <c r="F350" s="219" t="b">
        <v>0</v>
      </c>
      <c r="G350" s="219"/>
    </row>
    <row r="351">
      <c r="A351" s="218">
        <f t="shared" si="1"/>
        <v>350</v>
      </c>
      <c r="B351" s="218" t="s">
        <v>203</v>
      </c>
      <c r="C351" s="218" t="s">
        <v>4719</v>
      </c>
      <c r="D351" s="218" t="b">
        <v>1</v>
      </c>
      <c r="E351" s="219" t="b">
        <v>0</v>
      </c>
      <c r="F351" s="219" t="b">
        <v>0</v>
      </c>
      <c r="G351" s="219"/>
    </row>
    <row r="352">
      <c r="A352" s="218">
        <f t="shared" si="1"/>
        <v>351</v>
      </c>
      <c r="B352" s="218" t="s">
        <v>203</v>
      </c>
      <c r="C352" s="218" t="s">
        <v>5037</v>
      </c>
      <c r="D352" s="218" t="b">
        <v>1</v>
      </c>
      <c r="E352" s="219" t="b">
        <v>0</v>
      </c>
      <c r="F352" s="219" t="b">
        <v>0</v>
      </c>
      <c r="G352" s="219"/>
    </row>
    <row r="353">
      <c r="A353" s="218">
        <f t="shared" si="1"/>
        <v>352</v>
      </c>
      <c r="B353" s="218" t="s">
        <v>203</v>
      </c>
      <c r="C353" s="218" t="s">
        <v>6123</v>
      </c>
      <c r="D353" s="218" t="b">
        <v>1</v>
      </c>
      <c r="E353" s="219" t="b">
        <v>0</v>
      </c>
      <c r="F353" s="219" t="b">
        <v>0</v>
      </c>
      <c r="G353" s="219"/>
    </row>
    <row r="354">
      <c r="A354" s="218">
        <f t="shared" si="1"/>
        <v>353</v>
      </c>
      <c r="B354" s="218" t="s">
        <v>203</v>
      </c>
      <c r="C354" s="218" t="s">
        <v>1481</v>
      </c>
      <c r="D354" s="218" t="b">
        <v>1</v>
      </c>
      <c r="E354" s="219" t="b">
        <v>0</v>
      </c>
      <c r="F354" s="219" t="b">
        <v>0</v>
      </c>
      <c r="G354" s="219"/>
    </row>
    <row r="355">
      <c r="A355" s="218">
        <f t="shared" si="1"/>
        <v>354</v>
      </c>
      <c r="B355" s="218" t="s">
        <v>203</v>
      </c>
      <c r="C355" s="218" t="s">
        <v>1128</v>
      </c>
      <c r="D355" s="218" t="b">
        <v>1</v>
      </c>
      <c r="E355" s="219" t="b">
        <v>0</v>
      </c>
      <c r="F355" s="219" t="b">
        <v>0</v>
      </c>
      <c r="G355" s="219"/>
    </row>
    <row r="356">
      <c r="A356" s="218">
        <f t="shared" si="1"/>
        <v>355</v>
      </c>
      <c r="B356" s="218" t="s">
        <v>203</v>
      </c>
      <c r="C356" s="218" t="s">
        <v>1077</v>
      </c>
      <c r="D356" s="218" t="b">
        <v>1</v>
      </c>
      <c r="E356" s="219" t="b">
        <v>0</v>
      </c>
      <c r="F356" s="219" t="b">
        <v>0</v>
      </c>
      <c r="G356" s="219"/>
    </row>
    <row r="357">
      <c r="A357" s="218">
        <f t="shared" si="1"/>
        <v>356</v>
      </c>
      <c r="B357" s="218" t="s">
        <v>203</v>
      </c>
      <c r="C357" s="218" t="s">
        <v>1847</v>
      </c>
      <c r="D357" s="218" t="b">
        <v>1</v>
      </c>
      <c r="E357" s="219" t="b">
        <v>0</v>
      </c>
      <c r="F357" s="219" t="b">
        <v>0</v>
      </c>
      <c r="G357" s="219"/>
    </row>
    <row r="358">
      <c r="A358" s="218">
        <f t="shared" si="1"/>
        <v>357</v>
      </c>
      <c r="B358" s="218" t="s">
        <v>203</v>
      </c>
      <c r="C358" s="218" t="s">
        <v>2859</v>
      </c>
      <c r="D358" s="218" t="b">
        <v>1</v>
      </c>
      <c r="E358" s="219" t="b">
        <v>0</v>
      </c>
      <c r="F358" s="219" t="b">
        <v>0</v>
      </c>
      <c r="G358" s="219"/>
    </row>
    <row r="359">
      <c r="A359" s="218">
        <f t="shared" si="1"/>
        <v>358</v>
      </c>
      <c r="B359" s="218" t="s">
        <v>203</v>
      </c>
      <c r="C359" s="218" t="s">
        <v>1612</v>
      </c>
      <c r="D359" s="218" t="b">
        <v>1</v>
      </c>
      <c r="E359" s="219" t="b">
        <v>0</v>
      </c>
      <c r="F359" s="219" t="b">
        <v>0</v>
      </c>
      <c r="G359" s="219"/>
    </row>
    <row r="360">
      <c r="A360" s="218">
        <f t="shared" si="1"/>
        <v>359</v>
      </c>
      <c r="B360" s="218" t="s">
        <v>203</v>
      </c>
      <c r="C360" s="218" t="s">
        <v>3474</v>
      </c>
      <c r="D360" s="218" t="b">
        <v>1</v>
      </c>
      <c r="E360" s="219" t="b">
        <v>0</v>
      </c>
      <c r="F360" s="219" t="b">
        <v>0</v>
      </c>
      <c r="G360" s="219"/>
    </row>
    <row r="361">
      <c r="A361" s="218">
        <f t="shared" si="1"/>
        <v>360</v>
      </c>
      <c r="B361" s="218" t="s">
        <v>203</v>
      </c>
      <c r="C361" s="218" t="s">
        <v>1818</v>
      </c>
      <c r="D361" s="218" t="b">
        <v>1</v>
      </c>
      <c r="E361" s="219" t="b">
        <v>0</v>
      </c>
      <c r="F361" s="219" t="b">
        <v>0</v>
      </c>
      <c r="G361" s="219"/>
    </row>
    <row r="362">
      <c r="A362" s="218">
        <f t="shared" si="1"/>
        <v>361</v>
      </c>
      <c r="B362" s="218" t="s">
        <v>203</v>
      </c>
      <c r="C362" s="218" t="s">
        <v>1491</v>
      </c>
      <c r="D362" s="218" t="b">
        <v>1</v>
      </c>
      <c r="E362" s="219" t="b">
        <v>0</v>
      </c>
      <c r="F362" s="219" t="b">
        <v>0</v>
      </c>
      <c r="G362" s="219"/>
    </row>
    <row r="363">
      <c r="A363" s="218">
        <f t="shared" si="1"/>
        <v>362</v>
      </c>
      <c r="B363" s="218" t="s">
        <v>203</v>
      </c>
      <c r="C363" s="218" t="s">
        <v>1434</v>
      </c>
      <c r="D363" s="218" t="b">
        <v>1</v>
      </c>
      <c r="E363" s="219" t="b">
        <v>0</v>
      </c>
      <c r="F363" s="219" t="b">
        <v>0</v>
      </c>
      <c r="G363" s="219"/>
    </row>
    <row r="364">
      <c r="A364" s="218">
        <f t="shared" si="1"/>
        <v>363</v>
      </c>
      <c r="B364" s="218" t="s">
        <v>203</v>
      </c>
      <c r="C364" s="218" t="s">
        <v>1176</v>
      </c>
      <c r="D364" s="218" t="b">
        <v>1</v>
      </c>
      <c r="E364" s="219" t="b">
        <v>0</v>
      </c>
      <c r="F364" s="219" t="b">
        <v>0</v>
      </c>
      <c r="G364" s="219"/>
    </row>
    <row r="365">
      <c r="A365" s="218">
        <f t="shared" si="1"/>
        <v>364</v>
      </c>
      <c r="B365" s="218" t="s">
        <v>203</v>
      </c>
      <c r="C365" s="218" t="s">
        <v>1511</v>
      </c>
      <c r="D365" s="218" t="b">
        <v>1</v>
      </c>
      <c r="E365" s="219" t="b">
        <v>0</v>
      </c>
      <c r="F365" s="219" t="b">
        <v>0</v>
      </c>
      <c r="G365" s="219"/>
    </row>
    <row r="366">
      <c r="A366" s="218">
        <f t="shared" si="1"/>
        <v>365</v>
      </c>
      <c r="B366" s="218" t="s">
        <v>203</v>
      </c>
      <c r="C366" s="218" t="s">
        <v>561</v>
      </c>
      <c r="D366" s="218" t="b">
        <v>1</v>
      </c>
      <c r="E366" s="219" t="b">
        <v>0</v>
      </c>
      <c r="F366" s="219" t="b">
        <v>0</v>
      </c>
      <c r="G366" s="219"/>
    </row>
    <row r="367">
      <c r="A367" s="218">
        <f t="shared" si="1"/>
        <v>366</v>
      </c>
      <c r="B367" s="218" t="s">
        <v>203</v>
      </c>
      <c r="C367" s="218" t="s">
        <v>565</v>
      </c>
      <c r="D367" s="218" t="b">
        <v>1</v>
      </c>
      <c r="E367" s="219" t="b">
        <v>0</v>
      </c>
      <c r="F367" s="219" t="b">
        <v>0</v>
      </c>
      <c r="G367" s="219"/>
    </row>
    <row r="368">
      <c r="A368" s="218">
        <f t="shared" si="1"/>
        <v>367</v>
      </c>
      <c r="B368" s="218" t="s">
        <v>203</v>
      </c>
      <c r="C368" s="218" t="s">
        <v>408</v>
      </c>
      <c r="D368" s="218" t="b">
        <v>1</v>
      </c>
      <c r="E368" s="219" t="b">
        <v>0</v>
      </c>
      <c r="F368" s="219" t="b">
        <v>0</v>
      </c>
      <c r="G368" s="219"/>
    </row>
    <row r="369">
      <c r="A369" s="218">
        <f t="shared" si="1"/>
        <v>368</v>
      </c>
      <c r="B369" s="218" t="s">
        <v>203</v>
      </c>
      <c r="C369" s="218" t="s">
        <v>623</v>
      </c>
      <c r="D369" s="218" t="b">
        <v>1</v>
      </c>
      <c r="E369" s="219" t="b">
        <v>0</v>
      </c>
      <c r="F369" s="219" t="b">
        <v>0</v>
      </c>
      <c r="G369" s="219"/>
    </row>
    <row r="370">
      <c r="A370" s="218">
        <f t="shared" si="1"/>
        <v>369</v>
      </c>
      <c r="B370" s="218" t="s">
        <v>203</v>
      </c>
      <c r="C370" s="218" t="s">
        <v>2964</v>
      </c>
      <c r="D370" s="218" t="b">
        <v>1</v>
      </c>
      <c r="E370" s="219" t="b">
        <v>0</v>
      </c>
      <c r="F370" s="219" t="b">
        <v>0</v>
      </c>
      <c r="G370" s="219"/>
    </row>
    <row r="371">
      <c r="A371" s="218">
        <f t="shared" si="1"/>
        <v>370</v>
      </c>
      <c r="B371" s="218" t="s">
        <v>203</v>
      </c>
      <c r="C371" s="218" t="s">
        <v>618</v>
      </c>
      <c r="D371" s="218" t="b">
        <v>1</v>
      </c>
      <c r="E371" s="219" t="b">
        <v>0</v>
      </c>
      <c r="F371" s="219" t="b">
        <v>0</v>
      </c>
      <c r="G371" s="219"/>
    </row>
    <row r="372">
      <c r="A372" s="218">
        <f t="shared" si="1"/>
        <v>371</v>
      </c>
      <c r="B372" s="218" t="s">
        <v>203</v>
      </c>
      <c r="C372" s="218" t="s">
        <v>1496</v>
      </c>
      <c r="D372" s="218" t="b">
        <v>1</v>
      </c>
      <c r="E372" s="219" t="b">
        <v>0</v>
      </c>
      <c r="F372" s="219" t="b">
        <v>0</v>
      </c>
      <c r="G372" s="219"/>
    </row>
    <row r="373">
      <c r="A373" s="218">
        <f t="shared" si="1"/>
        <v>372</v>
      </c>
      <c r="B373" s="218" t="s">
        <v>203</v>
      </c>
      <c r="C373" s="218" t="s">
        <v>604</v>
      </c>
      <c r="D373" s="218" t="b">
        <v>1</v>
      </c>
      <c r="E373" s="219" t="b">
        <v>0</v>
      </c>
      <c r="F373" s="219" t="b">
        <v>0</v>
      </c>
      <c r="G373" s="219"/>
    </row>
    <row r="374">
      <c r="A374" s="218">
        <f t="shared" si="1"/>
        <v>373</v>
      </c>
      <c r="B374" s="218" t="s">
        <v>203</v>
      </c>
      <c r="C374" s="218" t="s">
        <v>599</v>
      </c>
      <c r="D374" s="218" t="b">
        <v>1</v>
      </c>
      <c r="E374" s="219" t="b">
        <v>0</v>
      </c>
      <c r="F374" s="219" t="b">
        <v>0</v>
      </c>
      <c r="G374" s="219"/>
    </row>
    <row r="375">
      <c r="A375" s="218">
        <f t="shared" si="1"/>
        <v>374</v>
      </c>
      <c r="B375" s="218" t="s">
        <v>203</v>
      </c>
      <c r="C375" s="218" t="s">
        <v>1578</v>
      </c>
      <c r="D375" s="218" t="b">
        <v>1</v>
      </c>
      <c r="E375" s="219" t="b">
        <v>0</v>
      </c>
      <c r="F375" s="219" t="b">
        <v>0</v>
      </c>
      <c r="G375" s="219"/>
    </row>
    <row r="376">
      <c r="A376" s="218">
        <f t="shared" si="1"/>
        <v>375</v>
      </c>
      <c r="B376" s="218" t="s">
        <v>203</v>
      </c>
      <c r="C376" s="218" t="s">
        <v>594</v>
      </c>
      <c r="D376" s="218" t="b">
        <v>1</v>
      </c>
      <c r="E376" s="219" t="b">
        <v>0</v>
      </c>
      <c r="F376" s="219" t="b">
        <v>0</v>
      </c>
      <c r="G376" s="219"/>
    </row>
    <row r="377">
      <c r="A377" s="218">
        <f t="shared" si="1"/>
        <v>376</v>
      </c>
      <c r="B377" s="218" t="s">
        <v>203</v>
      </c>
      <c r="C377" s="218" t="s">
        <v>5461</v>
      </c>
      <c r="D377" s="218" t="b">
        <v>1</v>
      </c>
      <c r="E377" s="219" t="b">
        <v>0</v>
      </c>
      <c r="F377" s="219" t="b">
        <v>0</v>
      </c>
      <c r="G377" s="219"/>
    </row>
    <row r="378">
      <c r="A378" s="218">
        <f t="shared" si="1"/>
        <v>377</v>
      </c>
      <c r="B378" s="218" t="s">
        <v>203</v>
      </c>
      <c r="C378" s="218" t="s">
        <v>590</v>
      </c>
      <c r="D378" s="218" t="b">
        <v>1</v>
      </c>
      <c r="E378" s="219" t="b">
        <v>0</v>
      </c>
      <c r="F378" s="219" t="b">
        <v>0</v>
      </c>
      <c r="G378" s="219"/>
    </row>
    <row r="379">
      <c r="A379" s="218">
        <f t="shared" si="1"/>
        <v>378</v>
      </c>
      <c r="B379" s="218" t="s">
        <v>203</v>
      </c>
      <c r="C379" s="218" t="s">
        <v>1569</v>
      </c>
      <c r="D379" s="218" t="b">
        <v>1</v>
      </c>
      <c r="E379" s="219" t="b">
        <v>0</v>
      </c>
      <c r="F379" s="219" t="b">
        <v>0</v>
      </c>
      <c r="G379" s="219"/>
    </row>
    <row r="380">
      <c r="A380" s="218">
        <f t="shared" si="1"/>
        <v>379</v>
      </c>
      <c r="B380" s="218" t="s">
        <v>203</v>
      </c>
      <c r="C380" s="218" t="s">
        <v>2292</v>
      </c>
      <c r="D380" s="218" t="b">
        <v>1</v>
      </c>
      <c r="E380" s="219" t="b">
        <v>0</v>
      </c>
      <c r="F380" s="219" t="b">
        <v>0</v>
      </c>
      <c r="G380" s="219"/>
    </row>
    <row r="381">
      <c r="A381" s="218">
        <f t="shared" si="1"/>
        <v>380</v>
      </c>
      <c r="B381" s="218" t="s">
        <v>203</v>
      </c>
      <c r="C381" s="218" t="s">
        <v>745</v>
      </c>
      <c r="D381" s="218" t="b">
        <v>1</v>
      </c>
      <c r="E381" s="219" t="b">
        <v>0</v>
      </c>
      <c r="F381" s="219" t="b">
        <v>0</v>
      </c>
      <c r="G381" s="219"/>
    </row>
    <row r="382">
      <c r="A382" s="218">
        <f t="shared" si="1"/>
        <v>381</v>
      </c>
      <c r="B382" s="218" t="s">
        <v>203</v>
      </c>
      <c r="C382" s="218" t="s">
        <v>3994</v>
      </c>
      <c r="D382" s="218" t="b">
        <v>1</v>
      </c>
      <c r="E382" s="219" t="b">
        <v>0</v>
      </c>
      <c r="F382" s="219" t="b">
        <v>0</v>
      </c>
      <c r="G382" s="219"/>
    </row>
    <row r="383">
      <c r="A383" s="218">
        <f t="shared" si="1"/>
        <v>382</v>
      </c>
      <c r="B383" s="218" t="s">
        <v>203</v>
      </c>
      <c r="C383" s="218" t="s">
        <v>778</v>
      </c>
      <c r="D383" s="218" t="b">
        <v>1</v>
      </c>
      <c r="E383" s="219" t="b">
        <v>0</v>
      </c>
      <c r="F383" s="219" t="b">
        <v>0</v>
      </c>
      <c r="G383" s="219"/>
    </row>
    <row r="384">
      <c r="A384" s="218">
        <f t="shared" si="1"/>
        <v>383</v>
      </c>
      <c r="B384" s="218" t="s">
        <v>203</v>
      </c>
      <c r="C384" s="218" t="s">
        <v>1501</v>
      </c>
      <c r="D384" s="218" t="b">
        <v>1</v>
      </c>
      <c r="E384" s="219" t="b">
        <v>0</v>
      </c>
      <c r="F384" s="219" t="b">
        <v>0</v>
      </c>
      <c r="G384" s="219"/>
    </row>
    <row r="385">
      <c r="A385" s="218">
        <f t="shared" si="1"/>
        <v>384</v>
      </c>
      <c r="B385" s="218" t="s">
        <v>203</v>
      </c>
      <c r="C385" s="218" t="s">
        <v>680</v>
      </c>
      <c r="D385" s="218" t="b">
        <v>1</v>
      </c>
      <c r="E385" s="219" t="b">
        <v>0</v>
      </c>
      <c r="F385" s="219" t="b">
        <v>0</v>
      </c>
      <c r="G385" s="219"/>
    </row>
    <row r="386">
      <c r="A386" s="218">
        <f t="shared" si="1"/>
        <v>385</v>
      </c>
      <c r="B386" s="218" t="s">
        <v>203</v>
      </c>
      <c r="C386" s="218" t="s">
        <v>493</v>
      </c>
      <c r="D386" s="218" t="b">
        <v>1</v>
      </c>
      <c r="E386" s="219" t="b">
        <v>0</v>
      </c>
      <c r="F386" s="219" t="b">
        <v>0</v>
      </c>
      <c r="G386" s="219"/>
    </row>
    <row r="387">
      <c r="A387" s="218">
        <f t="shared" si="1"/>
        <v>386</v>
      </c>
      <c r="B387" s="218" t="s">
        <v>203</v>
      </c>
      <c r="C387" s="218" t="s">
        <v>685</v>
      </c>
      <c r="D387" s="218" t="b">
        <v>1</v>
      </c>
      <c r="E387" s="219" t="b">
        <v>0</v>
      </c>
      <c r="F387" s="219" t="b">
        <v>0</v>
      </c>
      <c r="G387" s="219"/>
    </row>
    <row r="388">
      <c r="A388" s="218">
        <f t="shared" si="1"/>
        <v>387</v>
      </c>
      <c r="B388" s="218" t="s">
        <v>203</v>
      </c>
      <c r="C388" s="218" t="s">
        <v>1379</v>
      </c>
      <c r="D388" s="218" t="b">
        <v>1</v>
      </c>
      <c r="E388" s="219" t="b">
        <v>0</v>
      </c>
      <c r="F388" s="219" t="b">
        <v>0</v>
      </c>
      <c r="G388" s="219"/>
    </row>
    <row r="389">
      <c r="A389" s="218">
        <f t="shared" si="1"/>
        <v>388</v>
      </c>
      <c r="B389" s="218" t="s">
        <v>203</v>
      </c>
      <c r="C389" s="218" t="s">
        <v>690</v>
      </c>
      <c r="D389" s="218" t="b">
        <v>1</v>
      </c>
      <c r="E389" s="219" t="b">
        <v>0</v>
      </c>
      <c r="F389" s="219" t="b">
        <v>0</v>
      </c>
      <c r="G389" s="219"/>
    </row>
    <row r="390">
      <c r="A390" s="218">
        <f t="shared" si="1"/>
        <v>389</v>
      </c>
      <c r="B390" s="218" t="s">
        <v>203</v>
      </c>
      <c r="C390" s="218" t="s">
        <v>3545</v>
      </c>
      <c r="D390" s="218" t="b">
        <v>1</v>
      </c>
      <c r="E390" s="219" t="b">
        <v>0</v>
      </c>
      <c r="F390" s="219" t="b">
        <v>0</v>
      </c>
      <c r="G390" s="219"/>
    </row>
    <row r="391">
      <c r="A391" s="218">
        <f t="shared" si="1"/>
        <v>390</v>
      </c>
      <c r="B391" s="218" t="s">
        <v>203</v>
      </c>
      <c r="C391" s="218" t="s">
        <v>710</v>
      </c>
      <c r="D391" s="218" t="b">
        <v>1</v>
      </c>
      <c r="E391" s="219" t="b">
        <v>0</v>
      </c>
      <c r="F391" s="219" t="b">
        <v>0</v>
      </c>
      <c r="G391" s="219"/>
    </row>
    <row r="392">
      <c r="A392" s="218">
        <f t="shared" si="1"/>
        <v>391</v>
      </c>
      <c r="B392" s="218" t="s">
        <v>203</v>
      </c>
      <c r="C392" s="218" t="s">
        <v>1281</v>
      </c>
      <c r="D392" s="218" t="b">
        <v>1</v>
      </c>
      <c r="E392" s="219" t="b">
        <v>0</v>
      </c>
      <c r="F392" s="219" t="b">
        <v>0</v>
      </c>
      <c r="G392" s="219"/>
    </row>
    <row r="393">
      <c r="A393" s="218">
        <f t="shared" si="1"/>
        <v>392</v>
      </c>
      <c r="B393" s="218" t="s">
        <v>203</v>
      </c>
      <c r="C393" s="218" t="s">
        <v>715</v>
      </c>
      <c r="D393" s="218" t="b">
        <v>1</v>
      </c>
      <c r="E393" s="219" t="b">
        <v>0</v>
      </c>
      <c r="F393" s="219" t="b">
        <v>0</v>
      </c>
      <c r="G393" s="219"/>
    </row>
    <row r="394">
      <c r="A394" s="218">
        <f t="shared" si="1"/>
        <v>393</v>
      </c>
      <c r="B394" s="218" t="s">
        <v>203</v>
      </c>
      <c r="C394" s="218" t="s">
        <v>720</v>
      </c>
      <c r="D394" s="218" t="b">
        <v>1</v>
      </c>
      <c r="E394" s="219" t="b">
        <v>0</v>
      </c>
      <c r="F394" s="219" t="b">
        <v>0</v>
      </c>
      <c r="G394" s="219"/>
    </row>
    <row r="395">
      <c r="A395" s="218">
        <f t="shared" si="1"/>
        <v>394</v>
      </c>
      <c r="B395" s="218" t="s">
        <v>203</v>
      </c>
      <c r="C395" s="218" t="s">
        <v>1604</v>
      </c>
      <c r="D395" s="218" t="b">
        <v>1</v>
      </c>
      <c r="E395" s="219" t="b">
        <v>0</v>
      </c>
      <c r="F395" s="219" t="b">
        <v>0</v>
      </c>
      <c r="G395" s="219"/>
    </row>
    <row r="396">
      <c r="A396" s="218">
        <f t="shared" si="1"/>
        <v>395</v>
      </c>
      <c r="B396" s="218" t="s">
        <v>203</v>
      </c>
      <c r="C396" s="218" t="s">
        <v>6154</v>
      </c>
      <c r="D396" s="218" t="b">
        <v>1</v>
      </c>
      <c r="E396" s="219" t="b">
        <v>0</v>
      </c>
      <c r="F396" s="219" t="b">
        <v>0</v>
      </c>
      <c r="G396" s="219"/>
    </row>
    <row r="397">
      <c r="A397" s="218">
        <f t="shared" si="1"/>
        <v>396</v>
      </c>
      <c r="B397" s="218" t="s">
        <v>203</v>
      </c>
      <c r="C397" s="218" t="s">
        <v>637</v>
      </c>
      <c r="D397" s="218" t="b">
        <v>1</v>
      </c>
      <c r="E397" s="219" t="b">
        <v>0</v>
      </c>
      <c r="F397" s="219" t="b">
        <v>0</v>
      </c>
      <c r="G397" s="219"/>
    </row>
    <row r="398">
      <c r="A398" s="218">
        <f t="shared" si="1"/>
        <v>397</v>
      </c>
      <c r="B398" s="218" t="s">
        <v>203</v>
      </c>
      <c r="C398" s="218" t="s">
        <v>642</v>
      </c>
      <c r="D398" s="218" t="b">
        <v>1</v>
      </c>
      <c r="E398" s="219" t="b">
        <v>0</v>
      </c>
      <c r="F398" s="219" t="b">
        <v>0</v>
      </c>
      <c r="G398" s="219"/>
    </row>
    <row r="399">
      <c r="A399" s="218">
        <f t="shared" si="1"/>
        <v>398</v>
      </c>
      <c r="B399" s="218" t="s">
        <v>203</v>
      </c>
      <c r="C399" s="218" t="s">
        <v>1217</v>
      </c>
      <c r="D399" s="218" t="b">
        <v>1</v>
      </c>
      <c r="E399" s="219" t="b">
        <v>0</v>
      </c>
      <c r="F399" s="219" t="b">
        <v>0</v>
      </c>
      <c r="G399" s="219"/>
    </row>
    <row r="400">
      <c r="A400" s="218">
        <f t="shared" si="1"/>
        <v>399</v>
      </c>
      <c r="B400" s="218" t="s">
        <v>203</v>
      </c>
      <c r="C400" s="218" t="s">
        <v>652</v>
      </c>
      <c r="D400" s="218" t="b">
        <v>1</v>
      </c>
      <c r="E400" s="219" t="b">
        <v>0</v>
      </c>
      <c r="F400" s="219" t="b">
        <v>0</v>
      </c>
      <c r="G400" s="219"/>
    </row>
    <row r="401">
      <c r="A401" s="218">
        <f t="shared" si="1"/>
        <v>400</v>
      </c>
      <c r="B401" s="218" t="s">
        <v>203</v>
      </c>
      <c r="C401" s="218" t="s">
        <v>2217</v>
      </c>
      <c r="D401" s="218" t="b">
        <v>1</v>
      </c>
      <c r="E401" s="219" t="b">
        <v>0</v>
      </c>
      <c r="F401" s="219" t="b">
        <v>0</v>
      </c>
      <c r="G401" s="219"/>
    </row>
    <row r="402">
      <c r="A402" s="218">
        <f t="shared" si="1"/>
        <v>401</v>
      </c>
      <c r="B402" s="218" t="s">
        <v>203</v>
      </c>
      <c r="C402" s="218" t="s">
        <v>667</v>
      </c>
      <c r="D402" s="218" t="b">
        <v>1</v>
      </c>
      <c r="E402" s="219" t="b">
        <v>0</v>
      </c>
      <c r="F402" s="219" t="b">
        <v>0</v>
      </c>
      <c r="G402" s="219"/>
    </row>
    <row r="403">
      <c r="A403" s="218">
        <f t="shared" si="1"/>
        <v>402</v>
      </c>
      <c r="B403" s="218" t="s">
        <v>203</v>
      </c>
      <c r="C403" s="218" t="s">
        <v>3274</v>
      </c>
      <c r="D403" s="218" t="b">
        <v>1</v>
      </c>
      <c r="E403" s="219" t="b">
        <v>0</v>
      </c>
      <c r="F403" s="219" t="b">
        <v>0</v>
      </c>
      <c r="G403" s="219"/>
    </row>
    <row r="404">
      <c r="A404" s="218">
        <f t="shared" si="1"/>
        <v>403</v>
      </c>
      <c r="B404" s="218" t="s">
        <v>203</v>
      </c>
      <c r="C404" s="218" t="s">
        <v>705</v>
      </c>
      <c r="D404" s="218" t="b">
        <v>1</v>
      </c>
      <c r="E404" s="219" t="b">
        <v>0</v>
      </c>
      <c r="F404" s="219" t="b">
        <v>0</v>
      </c>
      <c r="G404" s="219"/>
    </row>
    <row r="405">
      <c r="A405" s="218">
        <f t="shared" si="1"/>
        <v>404</v>
      </c>
      <c r="B405" s="218" t="s">
        <v>203</v>
      </c>
      <c r="C405" s="218" t="s">
        <v>1526</v>
      </c>
      <c r="D405" s="218" t="b">
        <v>1</v>
      </c>
      <c r="E405" s="219" t="b">
        <v>0</v>
      </c>
      <c r="F405" s="219" t="b">
        <v>0</v>
      </c>
      <c r="G405" s="219"/>
    </row>
    <row r="406">
      <c r="A406" s="218">
        <f t="shared" si="1"/>
        <v>405</v>
      </c>
      <c r="B406" s="218" t="s">
        <v>203</v>
      </c>
      <c r="C406" s="218" t="s">
        <v>1453</v>
      </c>
      <c r="D406" s="218" t="b">
        <v>1</v>
      </c>
      <c r="E406" s="219" t="b">
        <v>0</v>
      </c>
      <c r="F406" s="219" t="b">
        <v>0</v>
      </c>
      <c r="G406" s="219"/>
    </row>
    <row r="407">
      <c r="A407" s="218">
        <f t="shared" si="1"/>
        <v>406</v>
      </c>
      <c r="B407" s="218" t="s">
        <v>203</v>
      </c>
      <c r="C407" s="218" t="s">
        <v>1486</v>
      </c>
      <c r="D407" s="218" t="b">
        <v>1</v>
      </c>
      <c r="E407" s="219" t="b">
        <v>0</v>
      </c>
      <c r="F407" s="219" t="b">
        <v>0</v>
      </c>
      <c r="G407" s="219"/>
    </row>
    <row r="408">
      <c r="A408" s="218">
        <f t="shared" si="1"/>
        <v>407</v>
      </c>
      <c r="B408" s="218" t="s">
        <v>203</v>
      </c>
      <c r="C408" s="218" t="s">
        <v>1673</v>
      </c>
      <c r="D408" s="218" t="b">
        <v>1</v>
      </c>
      <c r="E408" s="219" t="b">
        <v>0</v>
      </c>
      <c r="F408" s="219" t="b">
        <v>0</v>
      </c>
      <c r="G408" s="219"/>
    </row>
    <row r="409">
      <c r="A409" s="218">
        <f t="shared" si="1"/>
        <v>408</v>
      </c>
      <c r="B409" s="218" t="s">
        <v>203</v>
      </c>
      <c r="C409" s="218" t="s">
        <v>1673</v>
      </c>
      <c r="D409" s="218" t="b">
        <v>1</v>
      </c>
      <c r="E409" s="219" t="b">
        <v>0</v>
      </c>
      <c r="F409" s="219" t="b">
        <v>0</v>
      </c>
      <c r="G409" s="219"/>
    </row>
    <row r="410">
      <c r="A410" s="218">
        <f t="shared" si="1"/>
        <v>409</v>
      </c>
      <c r="B410" s="218" t="s">
        <v>203</v>
      </c>
      <c r="C410" s="218" t="s">
        <v>1795</v>
      </c>
      <c r="D410" s="218" t="b">
        <v>1</v>
      </c>
      <c r="E410" s="219" t="b">
        <v>0</v>
      </c>
      <c r="F410" s="219" t="b">
        <v>0</v>
      </c>
      <c r="G410" s="219"/>
    </row>
    <row r="411">
      <c r="A411" s="218">
        <f t="shared" si="1"/>
        <v>410</v>
      </c>
      <c r="B411" s="218" t="s">
        <v>203</v>
      </c>
      <c r="C411" s="218" t="s">
        <v>1665</v>
      </c>
      <c r="D411" s="218" t="b">
        <v>1</v>
      </c>
      <c r="E411" s="219" t="b">
        <v>0</v>
      </c>
      <c r="F411" s="219" t="b">
        <v>0</v>
      </c>
      <c r="G411" s="219"/>
    </row>
    <row r="412">
      <c r="A412" s="218">
        <f t="shared" si="1"/>
        <v>411</v>
      </c>
      <c r="B412" s="218" t="s">
        <v>203</v>
      </c>
      <c r="C412" s="218" t="s">
        <v>1787</v>
      </c>
      <c r="D412" s="218" t="b">
        <v>1</v>
      </c>
      <c r="E412" s="219" t="b">
        <v>0</v>
      </c>
      <c r="F412" s="219" t="b">
        <v>0</v>
      </c>
      <c r="G412" s="219"/>
    </row>
    <row r="413">
      <c r="A413" s="218">
        <f t="shared" si="1"/>
        <v>412</v>
      </c>
      <c r="B413" s="218" t="s">
        <v>203</v>
      </c>
      <c r="C413" s="218" t="s">
        <v>1660</v>
      </c>
      <c r="D413" s="218" t="b">
        <v>1</v>
      </c>
      <c r="E413" s="219" t="b">
        <v>0</v>
      </c>
      <c r="F413" s="219" t="b">
        <v>0</v>
      </c>
      <c r="G413" s="219"/>
    </row>
    <row r="414">
      <c r="A414" s="218">
        <f t="shared" si="1"/>
        <v>413</v>
      </c>
      <c r="B414" s="218" t="s">
        <v>203</v>
      </c>
      <c r="C414" s="218" t="s">
        <v>1956</v>
      </c>
      <c r="D414" s="218" t="b">
        <v>1</v>
      </c>
      <c r="E414" s="219" t="b">
        <v>0</v>
      </c>
      <c r="F414" s="219" t="b">
        <v>0</v>
      </c>
      <c r="G414" s="219"/>
    </row>
    <row r="415">
      <c r="A415" s="218">
        <f t="shared" si="1"/>
        <v>414</v>
      </c>
      <c r="B415" s="218" t="s">
        <v>203</v>
      </c>
      <c r="C415" s="218" t="s">
        <v>1656</v>
      </c>
      <c r="D415" s="218" t="b">
        <v>1</v>
      </c>
      <c r="E415" s="219" t="b">
        <v>0</v>
      </c>
      <c r="F415" s="219" t="b">
        <v>0</v>
      </c>
      <c r="G415" s="219"/>
    </row>
    <row r="416">
      <c r="A416" s="218">
        <f t="shared" si="1"/>
        <v>415</v>
      </c>
      <c r="B416" s="218" t="s">
        <v>203</v>
      </c>
      <c r="C416" s="218" t="s">
        <v>1827</v>
      </c>
      <c r="D416" s="218" t="b">
        <v>1</v>
      </c>
      <c r="E416" s="219" t="b">
        <v>0</v>
      </c>
      <c r="F416" s="219" t="b">
        <v>0</v>
      </c>
      <c r="G416" s="219"/>
    </row>
    <row r="417">
      <c r="A417" s="218">
        <f t="shared" si="1"/>
        <v>416</v>
      </c>
      <c r="B417" s="218" t="s">
        <v>203</v>
      </c>
      <c r="C417" s="218" t="s">
        <v>1541</v>
      </c>
      <c r="D417" s="218" t="b">
        <v>1</v>
      </c>
      <c r="E417" s="219" t="b">
        <v>0</v>
      </c>
      <c r="F417" s="219" t="b">
        <v>0</v>
      </c>
      <c r="G417" s="219"/>
    </row>
    <row r="418">
      <c r="A418" s="218">
        <f t="shared" si="1"/>
        <v>417</v>
      </c>
      <c r="B418" s="218" t="s">
        <v>203</v>
      </c>
      <c r="C418" s="218" t="s">
        <v>1870</v>
      </c>
      <c r="D418" s="218" t="b">
        <v>1</v>
      </c>
      <c r="E418" s="219" t="b">
        <v>0</v>
      </c>
      <c r="F418" s="219" t="b">
        <v>0</v>
      </c>
      <c r="G418" s="219"/>
    </row>
    <row r="419">
      <c r="A419" s="218">
        <f t="shared" si="1"/>
        <v>418</v>
      </c>
      <c r="B419" s="218" t="s">
        <v>203</v>
      </c>
      <c r="C419" s="218" t="s">
        <v>1938</v>
      </c>
      <c r="D419" s="218" t="b">
        <v>1</v>
      </c>
      <c r="E419" s="219" t="b">
        <v>0</v>
      </c>
      <c r="F419" s="219" t="b">
        <v>0</v>
      </c>
      <c r="G419" s="219"/>
    </row>
    <row r="420">
      <c r="A420" s="218">
        <f t="shared" si="1"/>
        <v>419</v>
      </c>
      <c r="B420" s="218" t="s">
        <v>203</v>
      </c>
      <c r="C420" s="218" t="s">
        <v>1643</v>
      </c>
      <c r="D420" s="218" t="b">
        <v>1</v>
      </c>
      <c r="E420" s="219" t="b">
        <v>0</v>
      </c>
      <c r="F420" s="219" t="b">
        <v>0</v>
      </c>
      <c r="G420" s="219"/>
    </row>
    <row r="421">
      <c r="A421" s="218">
        <f t="shared" si="1"/>
        <v>420</v>
      </c>
      <c r="B421" s="218" t="s">
        <v>203</v>
      </c>
      <c r="C421" s="218" t="s">
        <v>1897</v>
      </c>
      <c r="D421" s="218" t="b">
        <v>1</v>
      </c>
      <c r="E421" s="219" t="b">
        <v>0</v>
      </c>
      <c r="F421" s="219" t="b">
        <v>0</v>
      </c>
      <c r="G421" s="219"/>
    </row>
    <row r="422">
      <c r="A422" s="218">
        <f t="shared" si="1"/>
        <v>421</v>
      </c>
      <c r="B422" s="218" t="s">
        <v>203</v>
      </c>
      <c r="C422" s="218" t="s">
        <v>1506</v>
      </c>
      <c r="D422" s="218" t="b">
        <v>1</v>
      </c>
      <c r="E422" s="219" t="b">
        <v>0</v>
      </c>
      <c r="F422" s="219" t="b">
        <v>0</v>
      </c>
      <c r="G422" s="219"/>
    </row>
    <row r="423">
      <c r="A423" s="218">
        <f t="shared" si="1"/>
        <v>422</v>
      </c>
      <c r="B423" s="218" t="s">
        <v>203</v>
      </c>
      <c r="C423" s="218" t="s">
        <v>2048</v>
      </c>
      <c r="D423" s="218" t="b">
        <v>1</v>
      </c>
      <c r="E423" s="219" t="b">
        <v>0</v>
      </c>
      <c r="F423" s="219" t="b">
        <v>0</v>
      </c>
      <c r="G423" s="219"/>
    </row>
    <row r="424">
      <c r="A424" s="218">
        <f t="shared" si="1"/>
        <v>423</v>
      </c>
      <c r="B424" s="218" t="s">
        <v>203</v>
      </c>
      <c r="C424" s="218" t="s">
        <v>3023</v>
      </c>
      <c r="D424" s="218" t="b">
        <v>1</v>
      </c>
      <c r="E424" s="219" t="b">
        <v>0</v>
      </c>
      <c r="F424" s="219" t="b">
        <v>0</v>
      </c>
      <c r="G424" s="219"/>
    </row>
    <row r="425">
      <c r="A425" s="218">
        <f t="shared" si="1"/>
        <v>424</v>
      </c>
      <c r="B425" s="218" t="s">
        <v>203</v>
      </c>
      <c r="C425" s="218" t="s">
        <v>2005</v>
      </c>
      <c r="D425" s="218" t="b">
        <v>1</v>
      </c>
      <c r="E425" s="219" t="b">
        <v>0</v>
      </c>
      <c r="F425" s="219" t="b">
        <v>0</v>
      </c>
      <c r="G425" s="219"/>
    </row>
    <row r="426">
      <c r="A426" s="218">
        <f t="shared" si="1"/>
        <v>425</v>
      </c>
      <c r="B426" s="218" t="s">
        <v>203</v>
      </c>
      <c r="C426" s="218" t="s">
        <v>700</v>
      </c>
      <c r="D426" s="218" t="b">
        <v>1</v>
      </c>
      <c r="E426" s="219" t="b">
        <v>0</v>
      </c>
      <c r="F426" s="219" t="b">
        <v>0</v>
      </c>
      <c r="G426" s="219"/>
    </row>
    <row r="427">
      <c r="A427" s="218">
        <f t="shared" si="1"/>
        <v>426</v>
      </c>
      <c r="B427" s="218" t="s">
        <v>203</v>
      </c>
      <c r="C427" s="218" t="s">
        <v>1961</v>
      </c>
      <c r="D427" s="218" t="b">
        <v>1</v>
      </c>
      <c r="E427" s="219" t="b">
        <v>0</v>
      </c>
      <c r="F427" s="219" t="b">
        <v>0</v>
      </c>
      <c r="G427" s="219"/>
    </row>
    <row r="428">
      <c r="A428" s="218">
        <f t="shared" si="1"/>
        <v>427</v>
      </c>
      <c r="B428" s="218" t="s">
        <v>203</v>
      </c>
      <c r="C428" s="218" t="s">
        <v>1648</v>
      </c>
      <c r="D428" s="218" t="b">
        <v>1</v>
      </c>
      <c r="E428" s="219" t="b">
        <v>0</v>
      </c>
      <c r="F428" s="219" t="b">
        <v>0</v>
      </c>
      <c r="G428" s="219"/>
    </row>
    <row r="429">
      <c r="A429" s="218">
        <f t="shared" si="1"/>
        <v>428</v>
      </c>
      <c r="B429" s="218" t="s">
        <v>203</v>
      </c>
      <c r="C429" s="218" t="s">
        <v>1648</v>
      </c>
      <c r="D429" s="218" t="b">
        <v>1</v>
      </c>
      <c r="E429" s="219" t="b">
        <v>0</v>
      </c>
      <c r="F429" s="219" t="b">
        <v>0</v>
      </c>
      <c r="G429" s="219"/>
    </row>
    <row r="430">
      <c r="A430" s="218">
        <f t="shared" si="1"/>
        <v>429</v>
      </c>
      <c r="B430" s="218" t="s">
        <v>203</v>
      </c>
      <c r="C430" s="218" t="s">
        <v>1933</v>
      </c>
      <c r="D430" s="218" t="b">
        <v>1</v>
      </c>
      <c r="E430" s="219" t="b">
        <v>0</v>
      </c>
      <c r="F430" s="219" t="b">
        <v>0</v>
      </c>
      <c r="G430" s="219"/>
    </row>
    <row r="431">
      <c r="A431" s="218">
        <f t="shared" si="1"/>
        <v>430</v>
      </c>
      <c r="B431" s="218" t="s">
        <v>203</v>
      </c>
      <c r="C431" s="218" t="s">
        <v>5364</v>
      </c>
      <c r="D431" s="218" t="b">
        <v>1</v>
      </c>
      <c r="E431" s="219" t="b">
        <v>0</v>
      </c>
      <c r="F431" s="219" t="b">
        <v>0</v>
      </c>
      <c r="G431" s="219"/>
    </row>
    <row r="432">
      <c r="A432" s="218">
        <f t="shared" si="1"/>
        <v>431</v>
      </c>
      <c r="B432" s="218" t="s">
        <v>203</v>
      </c>
      <c r="C432" s="218" t="s">
        <v>1875</v>
      </c>
      <c r="D432" s="218" t="b">
        <v>1</v>
      </c>
      <c r="E432" s="219" t="b">
        <v>0</v>
      </c>
      <c r="F432" s="219" t="b">
        <v>0</v>
      </c>
      <c r="G432" s="219"/>
    </row>
    <row r="433">
      <c r="A433" s="218">
        <f t="shared" si="1"/>
        <v>432</v>
      </c>
      <c r="B433" s="218" t="s">
        <v>203</v>
      </c>
      <c r="C433" s="218" t="s">
        <v>942</v>
      </c>
      <c r="D433" s="218" t="b">
        <v>1</v>
      </c>
      <c r="E433" s="219" t="b">
        <v>0</v>
      </c>
      <c r="F433" s="219" t="b">
        <v>0</v>
      </c>
      <c r="G433" s="219"/>
    </row>
    <row r="434">
      <c r="A434" s="218">
        <f t="shared" si="1"/>
        <v>433</v>
      </c>
      <c r="B434" s="218" t="s">
        <v>203</v>
      </c>
      <c r="C434" s="218" t="s">
        <v>2057</v>
      </c>
      <c r="D434" s="218" t="b">
        <v>1</v>
      </c>
      <c r="E434" s="219" t="b">
        <v>0</v>
      </c>
      <c r="F434" s="219" t="b">
        <v>0</v>
      </c>
      <c r="G434" s="219"/>
    </row>
    <row r="435">
      <c r="A435" s="218">
        <f t="shared" si="1"/>
        <v>434</v>
      </c>
      <c r="B435" s="218" t="s">
        <v>203</v>
      </c>
      <c r="C435" s="218" t="s">
        <v>1928</v>
      </c>
      <c r="D435" s="218" t="b">
        <v>1</v>
      </c>
      <c r="E435" s="219" t="b">
        <v>0</v>
      </c>
      <c r="F435" s="219" t="b">
        <v>0</v>
      </c>
      <c r="G435" s="219"/>
    </row>
    <row r="436">
      <c r="A436" s="218">
        <f t="shared" si="1"/>
        <v>435</v>
      </c>
      <c r="B436" s="218" t="s">
        <v>203</v>
      </c>
      <c r="C436" s="218" t="s">
        <v>768</v>
      </c>
      <c r="D436" s="218" t="b">
        <v>1</v>
      </c>
      <c r="E436" s="219" t="b">
        <v>0</v>
      </c>
      <c r="F436" s="219" t="b">
        <v>0</v>
      </c>
      <c r="G436" s="219"/>
    </row>
    <row r="437">
      <c r="A437" s="218">
        <f t="shared" si="1"/>
        <v>436</v>
      </c>
      <c r="B437" s="218" t="s">
        <v>203</v>
      </c>
      <c r="C437" s="218" t="s">
        <v>1883</v>
      </c>
      <c r="D437" s="218" t="b">
        <v>1</v>
      </c>
      <c r="E437" s="219" t="b">
        <v>0</v>
      </c>
      <c r="F437" s="219" t="b">
        <v>0</v>
      </c>
      <c r="G437" s="219"/>
    </row>
    <row r="438">
      <c r="A438" s="218">
        <f t="shared" si="1"/>
        <v>437</v>
      </c>
      <c r="B438" s="218" t="s">
        <v>203</v>
      </c>
      <c r="C438" s="218" t="s">
        <v>2277</v>
      </c>
      <c r="D438" s="218" t="b">
        <v>1</v>
      </c>
      <c r="E438" s="219" t="b">
        <v>0</v>
      </c>
      <c r="F438" s="219" t="b">
        <v>0</v>
      </c>
      <c r="G438" s="219"/>
    </row>
    <row r="439">
      <c r="A439" s="218">
        <f t="shared" si="1"/>
        <v>438</v>
      </c>
      <c r="B439" s="218" t="s">
        <v>203</v>
      </c>
      <c r="C439" s="218" t="s">
        <v>1893</v>
      </c>
      <c r="D439" s="218" t="b">
        <v>1</v>
      </c>
      <c r="E439" s="219" t="b">
        <v>0</v>
      </c>
      <c r="F439" s="219" t="b">
        <v>0</v>
      </c>
      <c r="G439" s="219"/>
    </row>
    <row r="440">
      <c r="A440" s="218">
        <f t="shared" si="1"/>
        <v>439</v>
      </c>
      <c r="B440" s="218" t="s">
        <v>203</v>
      </c>
      <c r="C440" s="218" t="s">
        <v>1842</v>
      </c>
      <c r="D440" s="218" t="b">
        <v>1</v>
      </c>
      <c r="E440" s="219" t="b">
        <v>0</v>
      </c>
      <c r="F440" s="219" t="b">
        <v>0</v>
      </c>
      <c r="G440" s="219"/>
    </row>
    <row r="441">
      <c r="A441" s="218">
        <f t="shared" si="1"/>
        <v>440</v>
      </c>
      <c r="B441" s="218" t="s">
        <v>203</v>
      </c>
      <c r="C441" s="218" t="s">
        <v>4258</v>
      </c>
      <c r="D441" s="218" t="b">
        <v>1</v>
      </c>
      <c r="E441" s="219" t="b">
        <v>0</v>
      </c>
      <c r="F441" s="219" t="b">
        <v>0</v>
      </c>
      <c r="G441" s="219"/>
    </row>
    <row r="442">
      <c r="A442" s="218">
        <f t="shared" si="1"/>
        <v>441</v>
      </c>
      <c r="B442" s="218" t="s">
        <v>203</v>
      </c>
      <c r="C442" s="218" t="s">
        <v>1810</v>
      </c>
      <c r="D442" s="218" t="b">
        <v>1</v>
      </c>
      <c r="E442" s="219" t="b">
        <v>0</v>
      </c>
      <c r="F442" s="219" t="b">
        <v>0</v>
      </c>
      <c r="G442" s="219"/>
    </row>
    <row r="443">
      <c r="A443" s="218">
        <f t="shared" si="1"/>
        <v>442</v>
      </c>
      <c r="B443" s="218" t="s">
        <v>203</v>
      </c>
      <c r="C443" s="218" t="s">
        <v>1800</v>
      </c>
      <c r="D443" s="218" t="b">
        <v>1</v>
      </c>
      <c r="E443" s="219" t="b">
        <v>0</v>
      </c>
      <c r="F443" s="219" t="b">
        <v>0</v>
      </c>
      <c r="G443" s="219"/>
    </row>
    <row r="444">
      <c r="A444" s="218">
        <f t="shared" si="1"/>
        <v>443</v>
      </c>
      <c r="B444" s="218" t="s">
        <v>203</v>
      </c>
      <c r="C444" s="218" t="s">
        <v>1805</v>
      </c>
      <c r="D444" s="218" t="b">
        <v>1</v>
      </c>
      <c r="E444" s="219" t="b">
        <v>0</v>
      </c>
      <c r="F444" s="219" t="b">
        <v>0</v>
      </c>
      <c r="G444" s="219"/>
    </row>
    <row r="445">
      <c r="A445" s="218">
        <f t="shared" si="1"/>
        <v>444</v>
      </c>
      <c r="B445" s="218" t="s">
        <v>203</v>
      </c>
      <c r="C445" s="218" t="s">
        <v>2007</v>
      </c>
      <c r="D445" s="218" t="b">
        <v>1</v>
      </c>
      <c r="E445" s="219" t="b">
        <v>0</v>
      </c>
      <c r="F445" s="219" t="b">
        <v>0</v>
      </c>
      <c r="G445" s="219"/>
    </row>
    <row r="446">
      <c r="A446" s="218">
        <f t="shared" si="1"/>
        <v>445</v>
      </c>
      <c r="B446" s="218" t="s">
        <v>203</v>
      </c>
      <c r="C446" s="218" t="s">
        <v>2820</v>
      </c>
      <c r="D446" s="218" t="b">
        <v>1</v>
      </c>
      <c r="E446" s="219" t="b">
        <v>0</v>
      </c>
      <c r="F446" s="219" t="b">
        <v>0</v>
      </c>
      <c r="G446" s="219"/>
    </row>
    <row r="447">
      <c r="A447" s="218">
        <f t="shared" si="1"/>
        <v>446</v>
      </c>
      <c r="B447" s="218" t="s">
        <v>203</v>
      </c>
      <c r="C447" s="218" t="s">
        <v>1156</v>
      </c>
      <c r="D447" s="218" t="b">
        <v>1</v>
      </c>
      <c r="E447" s="219" t="b">
        <v>0</v>
      </c>
      <c r="F447" s="219" t="b">
        <v>0</v>
      </c>
      <c r="G447" s="219"/>
    </row>
    <row r="448">
      <c r="A448" s="218">
        <f t="shared" si="1"/>
        <v>447</v>
      </c>
      <c r="B448" s="218" t="s">
        <v>203</v>
      </c>
      <c r="C448" s="218" t="s">
        <v>2830</v>
      </c>
      <c r="D448" s="218" t="b">
        <v>1</v>
      </c>
      <c r="E448" s="219" t="b">
        <v>0</v>
      </c>
      <c r="F448" s="219" t="b">
        <v>0</v>
      </c>
      <c r="G448" s="219"/>
    </row>
    <row r="449">
      <c r="A449" s="218">
        <f t="shared" si="1"/>
        <v>448</v>
      </c>
      <c r="B449" s="218" t="s">
        <v>203</v>
      </c>
      <c r="C449" s="218" t="s">
        <v>2844</v>
      </c>
      <c r="D449" s="218" t="b">
        <v>1</v>
      </c>
      <c r="E449" s="219" t="b">
        <v>0</v>
      </c>
      <c r="F449" s="219" t="b">
        <v>0</v>
      </c>
      <c r="G449" s="219"/>
    </row>
    <row r="450">
      <c r="A450" s="218">
        <f t="shared" si="1"/>
        <v>449</v>
      </c>
      <c r="B450" s="218" t="s">
        <v>203</v>
      </c>
      <c r="C450" s="218" t="s">
        <v>1773</v>
      </c>
      <c r="D450" s="218" t="b">
        <v>1</v>
      </c>
      <c r="E450" s="219" t="b">
        <v>0</v>
      </c>
      <c r="F450" s="219" t="b">
        <v>0</v>
      </c>
      <c r="G450" s="219"/>
    </row>
    <row r="451">
      <c r="A451" s="218">
        <f t="shared" si="1"/>
        <v>450</v>
      </c>
      <c r="B451" s="218" t="s">
        <v>203</v>
      </c>
      <c r="C451" s="218" t="s">
        <v>2864</v>
      </c>
      <c r="D451" s="218" t="b">
        <v>1</v>
      </c>
      <c r="E451" s="219" t="b">
        <v>0</v>
      </c>
      <c r="F451" s="219" t="b">
        <v>0</v>
      </c>
      <c r="G451" s="219"/>
    </row>
    <row r="452">
      <c r="A452" s="218">
        <f t="shared" si="1"/>
        <v>451</v>
      </c>
      <c r="B452" s="218" t="s">
        <v>203</v>
      </c>
      <c r="C452" s="218" t="s">
        <v>2880</v>
      </c>
      <c r="D452" s="218" t="b">
        <v>1</v>
      </c>
      <c r="E452" s="219" t="b">
        <v>0</v>
      </c>
      <c r="F452" s="219" t="b">
        <v>0</v>
      </c>
      <c r="G452" s="219"/>
    </row>
    <row r="453">
      <c r="A453" s="218">
        <f t="shared" si="1"/>
        <v>452</v>
      </c>
      <c r="B453" s="218" t="s">
        <v>203</v>
      </c>
      <c r="C453" s="218" t="s">
        <v>2889</v>
      </c>
      <c r="D453" s="218" t="b">
        <v>1</v>
      </c>
      <c r="E453" s="219" t="b">
        <v>0</v>
      </c>
      <c r="F453" s="219" t="b">
        <v>0</v>
      </c>
      <c r="G453" s="219"/>
    </row>
    <row r="454">
      <c r="A454" s="218">
        <f t="shared" si="1"/>
        <v>453</v>
      </c>
      <c r="B454" s="218" t="s">
        <v>203</v>
      </c>
      <c r="C454" s="218" t="s">
        <v>2894</v>
      </c>
      <c r="D454" s="218" t="b">
        <v>1</v>
      </c>
      <c r="E454" s="219" t="b">
        <v>0</v>
      </c>
      <c r="F454" s="219" t="b">
        <v>0</v>
      </c>
      <c r="G454" s="219"/>
    </row>
    <row r="455">
      <c r="A455" s="218">
        <f t="shared" si="1"/>
        <v>454</v>
      </c>
      <c r="B455" s="218" t="s">
        <v>203</v>
      </c>
      <c r="C455" s="218" t="s">
        <v>1755</v>
      </c>
      <c r="D455" s="218" t="b">
        <v>1</v>
      </c>
      <c r="E455" s="219" t="b">
        <v>0</v>
      </c>
      <c r="F455" s="219" t="b">
        <v>0</v>
      </c>
      <c r="G455" s="219"/>
    </row>
    <row r="456">
      <c r="A456" s="218">
        <f t="shared" si="1"/>
        <v>455</v>
      </c>
      <c r="B456" s="218" t="s">
        <v>203</v>
      </c>
      <c r="C456" s="218" t="s">
        <v>2898</v>
      </c>
      <c r="D456" s="218" t="b">
        <v>1</v>
      </c>
      <c r="E456" s="219" t="b">
        <v>0</v>
      </c>
      <c r="F456" s="219" t="b">
        <v>0</v>
      </c>
      <c r="G456" s="219"/>
    </row>
    <row r="457">
      <c r="A457" s="218">
        <f t="shared" si="1"/>
        <v>456</v>
      </c>
      <c r="B457" s="218" t="s">
        <v>203</v>
      </c>
      <c r="C457" s="218" t="s">
        <v>3179</v>
      </c>
      <c r="D457" s="218" t="b">
        <v>1</v>
      </c>
      <c r="E457" s="219" t="b">
        <v>0</v>
      </c>
      <c r="F457" s="219" t="b">
        <v>0</v>
      </c>
      <c r="G457" s="219"/>
    </row>
    <row r="458">
      <c r="A458" s="218">
        <f t="shared" si="1"/>
        <v>457</v>
      </c>
      <c r="B458" s="218" t="s">
        <v>203</v>
      </c>
      <c r="C458" s="218" t="s">
        <v>2052</v>
      </c>
      <c r="D458" s="218" t="b">
        <v>1</v>
      </c>
      <c r="E458" s="219" t="b">
        <v>0</v>
      </c>
      <c r="F458" s="219" t="b">
        <v>0</v>
      </c>
      <c r="G458" s="219"/>
    </row>
    <row r="459">
      <c r="A459" s="218">
        <f t="shared" si="1"/>
        <v>458</v>
      </c>
      <c r="B459" s="218" t="s">
        <v>203</v>
      </c>
      <c r="C459" s="218" t="s">
        <v>2052</v>
      </c>
      <c r="D459" s="218" t="b">
        <v>1</v>
      </c>
      <c r="E459" s="219" t="b">
        <v>0</v>
      </c>
      <c r="F459" s="219" t="b">
        <v>0</v>
      </c>
      <c r="G459" s="219"/>
    </row>
    <row r="460">
      <c r="A460" s="218">
        <f t="shared" si="1"/>
        <v>459</v>
      </c>
      <c r="B460" s="218" t="s">
        <v>203</v>
      </c>
      <c r="C460" s="218" t="s">
        <v>1212</v>
      </c>
      <c r="D460" s="218" t="b">
        <v>1</v>
      </c>
      <c r="E460" s="219" t="b">
        <v>0</v>
      </c>
      <c r="F460" s="219" t="b">
        <v>0</v>
      </c>
      <c r="G460" s="219"/>
    </row>
    <row r="461">
      <c r="A461" s="218">
        <f t="shared" si="1"/>
        <v>460</v>
      </c>
      <c r="B461" s="218" t="s">
        <v>203</v>
      </c>
      <c r="C461" s="218" t="s">
        <v>2912</v>
      </c>
      <c r="D461" s="218" t="b">
        <v>1</v>
      </c>
      <c r="E461" s="219" t="b">
        <v>0</v>
      </c>
      <c r="F461" s="219" t="b">
        <v>0</v>
      </c>
      <c r="G461" s="219"/>
    </row>
    <row r="462">
      <c r="A462" s="218">
        <f t="shared" si="1"/>
        <v>461</v>
      </c>
      <c r="B462" s="218" t="s">
        <v>203</v>
      </c>
      <c r="C462" s="218" t="s">
        <v>3121</v>
      </c>
      <c r="D462" s="218" t="b">
        <v>1</v>
      </c>
      <c r="E462" s="219" t="b">
        <v>0</v>
      </c>
      <c r="F462" s="219" t="b">
        <v>0</v>
      </c>
      <c r="G462" s="219"/>
    </row>
    <row r="463">
      <c r="A463" s="218">
        <f t="shared" si="1"/>
        <v>462</v>
      </c>
      <c r="B463" s="218" t="s">
        <v>203</v>
      </c>
      <c r="C463" s="218" t="s">
        <v>2922</v>
      </c>
      <c r="D463" s="218" t="b">
        <v>1</v>
      </c>
      <c r="E463" s="219" t="b">
        <v>0</v>
      </c>
      <c r="F463" s="219" t="b">
        <v>0</v>
      </c>
      <c r="G463" s="219"/>
    </row>
    <row r="464">
      <c r="A464" s="218">
        <f t="shared" si="1"/>
        <v>463</v>
      </c>
      <c r="B464" s="218" t="s">
        <v>203</v>
      </c>
      <c r="C464" s="218" t="s">
        <v>4045</v>
      </c>
      <c r="D464" s="218" t="b">
        <v>1</v>
      </c>
      <c r="E464" s="219" t="b">
        <v>0</v>
      </c>
      <c r="F464" s="219" t="b">
        <v>0</v>
      </c>
      <c r="G464" s="219"/>
    </row>
    <row r="465">
      <c r="A465" s="218">
        <f t="shared" si="1"/>
        <v>464</v>
      </c>
      <c r="B465" s="218" t="s">
        <v>203</v>
      </c>
      <c r="C465" s="218" t="s">
        <v>2932</v>
      </c>
      <c r="D465" s="218" t="b">
        <v>1</v>
      </c>
      <c r="E465" s="219" t="b">
        <v>0</v>
      </c>
      <c r="F465" s="219" t="b">
        <v>0</v>
      </c>
      <c r="G465" s="219"/>
    </row>
    <row r="466">
      <c r="A466" s="218">
        <f t="shared" si="1"/>
        <v>465</v>
      </c>
      <c r="B466" s="218" t="s">
        <v>203</v>
      </c>
      <c r="C466" s="218" t="s">
        <v>4076</v>
      </c>
      <c r="D466" s="218" t="b">
        <v>1</v>
      </c>
      <c r="E466" s="219" t="b">
        <v>0</v>
      </c>
      <c r="F466" s="219" t="b">
        <v>0</v>
      </c>
      <c r="G466" s="219"/>
    </row>
    <row r="467">
      <c r="A467" s="218">
        <f t="shared" si="1"/>
        <v>466</v>
      </c>
      <c r="B467" s="218" t="s">
        <v>203</v>
      </c>
      <c r="C467" s="218" t="s">
        <v>2936</v>
      </c>
      <c r="D467" s="218" t="b">
        <v>1</v>
      </c>
      <c r="E467" s="219" t="b">
        <v>0</v>
      </c>
      <c r="F467" s="219" t="b">
        <v>0</v>
      </c>
      <c r="G467" s="219"/>
    </row>
    <row r="468">
      <c r="A468" s="218">
        <f t="shared" si="1"/>
        <v>467</v>
      </c>
      <c r="B468" s="218" t="s">
        <v>203</v>
      </c>
      <c r="C468" s="218" t="s">
        <v>657</v>
      </c>
      <c r="D468" s="218" t="b">
        <v>1</v>
      </c>
      <c r="E468" s="219" t="b">
        <v>0</v>
      </c>
      <c r="F468" s="219" t="b">
        <v>0</v>
      </c>
      <c r="G468" s="219"/>
    </row>
    <row r="469">
      <c r="A469" s="218">
        <f t="shared" si="1"/>
        <v>468</v>
      </c>
      <c r="B469" s="218" t="s">
        <v>203</v>
      </c>
      <c r="C469" s="218" t="s">
        <v>2945</v>
      </c>
      <c r="D469" s="218" t="b">
        <v>1</v>
      </c>
      <c r="E469" s="219" t="b">
        <v>0</v>
      </c>
      <c r="F469" s="219" t="b">
        <v>0</v>
      </c>
      <c r="G469" s="219"/>
    </row>
    <row r="470">
      <c r="A470" s="218">
        <f t="shared" si="1"/>
        <v>469</v>
      </c>
      <c r="B470" s="218" t="s">
        <v>203</v>
      </c>
      <c r="C470" s="218" t="s">
        <v>2338</v>
      </c>
      <c r="D470" s="218" t="b">
        <v>1</v>
      </c>
      <c r="E470" s="219" t="b">
        <v>0</v>
      </c>
      <c r="F470" s="219" t="b">
        <v>0</v>
      </c>
      <c r="G470" s="219"/>
    </row>
    <row r="471">
      <c r="A471" s="218">
        <f t="shared" si="1"/>
        <v>470</v>
      </c>
      <c r="B471" s="218" t="s">
        <v>203</v>
      </c>
      <c r="C471" s="218" t="s">
        <v>2955</v>
      </c>
      <c r="D471" s="218" t="b">
        <v>1</v>
      </c>
      <c r="E471" s="219" t="b">
        <v>0</v>
      </c>
      <c r="F471" s="219" t="b">
        <v>0</v>
      </c>
      <c r="G471" s="219"/>
    </row>
    <row r="472">
      <c r="A472" s="218">
        <f t="shared" si="1"/>
        <v>471</v>
      </c>
      <c r="B472" s="218" t="s">
        <v>203</v>
      </c>
      <c r="C472" s="218" t="s">
        <v>2093</v>
      </c>
      <c r="D472" s="218" t="b">
        <v>1</v>
      </c>
      <c r="E472" s="219" t="b">
        <v>0</v>
      </c>
      <c r="F472" s="219" t="b">
        <v>0</v>
      </c>
      <c r="G472" s="219"/>
    </row>
    <row r="473">
      <c r="A473" s="218">
        <f t="shared" si="1"/>
        <v>472</v>
      </c>
      <c r="B473" s="218" t="s">
        <v>203</v>
      </c>
      <c r="C473" s="218" t="s">
        <v>2960</v>
      </c>
      <c r="D473" s="218" t="b">
        <v>1</v>
      </c>
      <c r="E473" s="219" t="b">
        <v>0</v>
      </c>
      <c r="F473" s="219" t="b">
        <v>0</v>
      </c>
      <c r="G473" s="219"/>
    </row>
    <row r="474">
      <c r="A474" s="218">
        <f t="shared" si="1"/>
        <v>473</v>
      </c>
      <c r="B474" s="218" t="s">
        <v>203</v>
      </c>
      <c r="C474" s="218" t="s">
        <v>2419</v>
      </c>
      <c r="D474" s="218" t="b">
        <v>1</v>
      </c>
      <c r="E474" s="219" t="b">
        <v>0</v>
      </c>
      <c r="F474" s="219" t="b">
        <v>0</v>
      </c>
      <c r="G474" s="219"/>
    </row>
    <row r="475">
      <c r="A475" s="218">
        <f t="shared" si="1"/>
        <v>474</v>
      </c>
      <c r="B475" s="218" t="s">
        <v>203</v>
      </c>
      <c r="C475" s="218" t="s">
        <v>2969</v>
      </c>
      <c r="D475" s="218" t="b">
        <v>1</v>
      </c>
      <c r="E475" s="219" t="b">
        <v>0</v>
      </c>
      <c r="F475" s="219" t="b">
        <v>0</v>
      </c>
      <c r="G475" s="219"/>
    </row>
    <row r="476">
      <c r="A476" s="218">
        <f t="shared" si="1"/>
        <v>475</v>
      </c>
      <c r="B476" s="218" t="s">
        <v>203</v>
      </c>
      <c r="C476" s="218" t="s">
        <v>2974</v>
      </c>
      <c r="D476" s="218" t="b">
        <v>1</v>
      </c>
      <c r="E476" s="219" t="b">
        <v>0</v>
      </c>
      <c r="F476" s="219" t="b">
        <v>0</v>
      </c>
      <c r="G476" s="219"/>
    </row>
    <row r="477">
      <c r="A477" s="218">
        <f t="shared" si="1"/>
        <v>476</v>
      </c>
      <c r="B477" s="218" t="s">
        <v>203</v>
      </c>
      <c r="C477" s="218" t="s">
        <v>4510</v>
      </c>
      <c r="D477" s="218" t="b">
        <v>1</v>
      </c>
      <c r="E477" s="219" t="b">
        <v>0</v>
      </c>
      <c r="F477" s="219" t="b">
        <v>0</v>
      </c>
      <c r="G477" s="219"/>
    </row>
    <row r="478">
      <c r="A478" s="218">
        <f t="shared" si="1"/>
        <v>477</v>
      </c>
      <c r="B478" s="218" t="s">
        <v>203</v>
      </c>
      <c r="C478" s="218" t="s">
        <v>2917</v>
      </c>
      <c r="D478" s="218" t="b">
        <v>1</v>
      </c>
      <c r="E478" s="219" t="b">
        <v>0</v>
      </c>
      <c r="F478" s="219" t="b">
        <v>0</v>
      </c>
      <c r="G478" s="219"/>
    </row>
    <row r="479">
      <c r="A479" s="218">
        <f t="shared" si="1"/>
        <v>478</v>
      </c>
      <c r="B479" s="218" t="s">
        <v>203</v>
      </c>
      <c r="C479" s="218" t="s">
        <v>2941</v>
      </c>
      <c r="D479" s="218" t="b">
        <v>1</v>
      </c>
      <c r="E479" s="219" t="b">
        <v>0</v>
      </c>
      <c r="F479" s="219" t="b">
        <v>0</v>
      </c>
      <c r="G479" s="219"/>
    </row>
    <row r="480">
      <c r="A480" s="218">
        <f t="shared" si="1"/>
        <v>479</v>
      </c>
      <c r="B480" s="218" t="s">
        <v>203</v>
      </c>
      <c r="C480" s="218" t="s">
        <v>1832</v>
      </c>
      <c r="D480" s="218" t="b">
        <v>1</v>
      </c>
      <c r="E480" s="219" t="b">
        <v>0</v>
      </c>
      <c r="F480" s="219" t="b">
        <v>0</v>
      </c>
      <c r="G480" s="219"/>
    </row>
    <row r="481">
      <c r="A481" s="218">
        <f t="shared" si="1"/>
        <v>480</v>
      </c>
      <c r="B481" s="218" t="s">
        <v>203</v>
      </c>
      <c r="C481" s="218" t="s">
        <v>1832</v>
      </c>
      <c r="D481" s="218" t="b">
        <v>1</v>
      </c>
      <c r="E481" s="219" t="b">
        <v>0</v>
      </c>
      <c r="F481" s="219" t="b">
        <v>0</v>
      </c>
      <c r="G481" s="219"/>
    </row>
    <row r="482">
      <c r="A482" s="218">
        <f t="shared" si="1"/>
        <v>481</v>
      </c>
      <c r="B482" s="218" t="s">
        <v>203</v>
      </c>
      <c r="C482" s="218" t="s">
        <v>3048</v>
      </c>
      <c r="D482" s="218" t="b">
        <v>1</v>
      </c>
      <c r="E482" s="219" t="b">
        <v>0</v>
      </c>
      <c r="F482" s="219" t="b">
        <v>0</v>
      </c>
      <c r="G482" s="219"/>
    </row>
    <row r="483">
      <c r="A483" s="218">
        <f t="shared" si="1"/>
        <v>482</v>
      </c>
      <c r="B483" s="218" t="s">
        <v>203</v>
      </c>
      <c r="C483" s="218" t="s">
        <v>2987</v>
      </c>
      <c r="D483" s="218" t="b">
        <v>1</v>
      </c>
      <c r="E483" s="219" t="b">
        <v>0</v>
      </c>
      <c r="F483" s="219" t="b">
        <v>0</v>
      </c>
      <c r="G483" s="219"/>
    </row>
    <row r="484">
      <c r="A484" s="218">
        <f t="shared" si="1"/>
        <v>483</v>
      </c>
      <c r="B484" s="218" t="s">
        <v>203</v>
      </c>
      <c r="C484" s="218" t="s">
        <v>1866</v>
      </c>
      <c r="D484" s="218" t="b">
        <v>1</v>
      </c>
      <c r="E484" s="219" t="b">
        <v>0</v>
      </c>
      <c r="F484" s="219" t="b">
        <v>0</v>
      </c>
      <c r="G484" s="219"/>
    </row>
    <row r="485">
      <c r="A485" s="218">
        <f t="shared" si="1"/>
        <v>484</v>
      </c>
      <c r="B485" s="218" t="s">
        <v>203</v>
      </c>
      <c r="C485" s="218" t="s">
        <v>3043</v>
      </c>
      <c r="D485" s="218" t="b">
        <v>1</v>
      </c>
      <c r="E485" s="219" t="b">
        <v>0</v>
      </c>
      <c r="F485" s="219" t="b">
        <v>0</v>
      </c>
      <c r="G485" s="219"/>
    </row>
    <row r="486">
      <c r="A486" s="218">
        <f t="shared" si="1"/>
        <v>485</v>
      </c>
      <c r="B486" s="218" t="s">
        <v>203</v>
      </c>
      <c r="C486" s="218" t="s">
        <v>3483</v>
      </c>
      <c r="D486" s="218" t="b">
        <v>1</v>
      </c>
      <c r="E486" s="219" t="b">
        <v>0</v>
      </c>
      <c r="F486" s="219" t="b">
        <v>0</v>
      </c>
      <c r="G486" s="219"/>
    </row>
    <row r="487">
      <c r="A487" s="218">
        <f t="shared" si="1"/>
        <v>486</v>
      </c>
      <c r="B487" s="218" t="s">
        <v>203</v>
      </c>
      <c r="C487" s="218" t="s">
        <v>3038</v>
      </c>
      <c r="D487" s="218" t="b">
        <v>1</v>
      </c>
      <c r="E487" s="219" t="b">
        <v>0</v>
      </c>
      <c r="F487" s="219" t="b">
        <v>0</v>
      </c>
      <c r="G487" s="219"/>
    </row>
    <row r="488">
      <c r="A488" s="218">
        <f t="shared" si="1"/>
        <v>487</v>
      </c>
      <c r="B488" s="218" t="s">
        <v>203</v>
      </c>
      <c r="C488" s="218" t="s">
        <v>3654</v>
      </c>
      <c r="D488" s="218" t="b">
        <v>1</v>
      </c>
      <c r="E488" s="219" t="b">
        <v>0</v>
      </c>
      <c r="F488" s="219" t="b">
        <v>0</v>
      </c>
      <c r="G488" s="219"/>
    </row>
    <row r="489">
      <c r="A489" s="218">
        <f t="shared" si="1"/>
        <v>488</v>
      </c>
      <c r="B489" s="218" t="s">
        <v>203</v>
      </c>
      <c r="C489" s="218" t="s">
        <v>2996</v>
      </c>
      <c r="D489" s="218" t="b">
        <v>1</v>
      </c>
      <c r="E489" s="219" t="b">
        <v>0</v>
      </c>
      <c r="F489" s="219" t="b">
        <v>0</v>
      </c>
      <c r="G489" s="219"/>
    </row>
    <row r="490">
      <c r="A490" s="218">
        <f t="shared" si="1"/>
        <v>489</v>
      </c>
      <c r="B490" s="218" t="s">
        <v>203</v>
      </c>
      <c r="C490" s="218" t="s">
        <v>1090</v>
      </c>
      <c r="D490" s="218" t="b">
        <v>1</v>
      </c>
      <c r="E490" s="219" t="b">
        <v>0</v>
      </c>
      <c r="F490" s="219" t="b">
        <v>0</v>
      </c>
      <c r="G490" s="219"/>
    </row>
    <row r="491">
      <c r="A491" s="218">
        <f t="shared" si="1"/>
        <v>490</v>
      </c>
      <c r="B491" s="218" t="s">
        <v>203</v>
      </c>
      <c r="C491" s="218" t="s">
        <v>368</v>
      </c>
      <c r="D491" s="218" t="b">
        <v>1</v>
      </c>
      <c r="E491" s="219" t="b">
        <v>0</v>
      </c>
      <c r="F491" s="219" t="b">
        <v>0</v>
      </c>
      <c r="G491" s="219"/>
    </row>
    <row r="492">
      <c r="A492" s="218">
        <f t="shared" si="1"/>
        <v>491</v>
      </c>
      <c r="B492" s="218" t="s">
        <v>203</v>
      </c>
      <c r="C492" s="218" t="s">
        <v>5104</v>
      </c>
      <c r="D492" s="218" t="b">
        <v>1</v>
      </c>
      <c r="E492" s="219" t="b">
        <v>0</v>
      </c>
      <c r="F492" s="219" t="b">
        <v>0</v>
      </c>
      <c r="G492" s="219"/>
    </row>
    <row r="493">
      <c r="A493" s="218">
        <f t="shared" si="1"/>
        <v>492</v>
      </c>
      <c r="B493" s="218" t="s">
        <v>203</v>
      </c>
      <c r="C493" s="218" t="s">
        <v>378</v>
      </c>
      <c r="D493" s="218" t="b">
        <v>1</v>
      </c>
      <c r="E493" s="219" t="b">
        <v>0</v>
      </c>
      <c r="F493" s="219" t="b">
        <v>0</v>
      </c>
      <c r="G493" s="219"/>
    </row>
    <row r="494">
      <c r="A494" s="218">
        <f t="shared" si="1"/>
        <v>493</v>
      </c>
      <c r="B494" s="218" t="s">
        <v>203</v>
      </c>
      <c r="C494" s="218" t="s">
        <v>2698</v>
      </c>
      <c r="D494" s="218" t="b">
        <v>1</v>
      </c>
      <c r="E494" s="219" t="b">
        <v>0</v>
      </c>
      <c r="F494" s="219" t="b">
        <v>0</v>
      </c>
      <c r="G494" s="219"/>
    </row>
    <row r="495">
      <c r="A495" s="218">
        <f t="shared" si="1"/>
        <v>494</v>
      </c>
      <c r="B495" s="218" t="s">
        <v>203</v>
      </c>
      <c r="C495" s="218" t="s">
        <v>383</v>
      </c>
      <c r="D495" s="218" t="b">
        <v>1</v>
      </c>
      <c r="E495" s="219" t="b">
        <v>0</v>
      </c>
      <c r="F495" s="219" t="b">
        <v>0</v>
      </c>
      <c r="G495" s="219"/>
    </row>
    <row r="496">
      <c r="A496" s="218">
        <f t="shared" si="1"/>
        <v>495</v>
      </c>
      <c r="B496" s="218" t="s">
        <v>203</v>
      </c>
      <c r="C496" s="218" t="s">
        <v>3053</v>
      </c>
      <c r="D496" s="218" t="b">
        <v>1</v>
      </c>
      <c r="E496" s="219" t="b">
        <v>0</v>
      </c>
      <c r="F496" s="219" t="b">
        <v>0</v>
      </c>
      <c r="G496" s="219"/>
    </row>
    <row r="497">
      <c r="A497" s="218">
        <f t="shared" si="1"/>
        <v>496</v>
      </c>
      <c r="B497" s="218" t="s">
        <v>203</v>
      </c>
      <c r="C497" s="218" t="s">
        <v>388</v>
      </c>
      <c r="D497" s="218" t="b">
        <v>1</v>
      </c>
      <c r="E497" s="219" t="b">
        <v>0</v>
      </c>
      <c r="F497" s="219" t="b">
        <v>0</v>
      </c>
      <c r="G497" s="219"/>
    </row>
    <row r="498">
      <c r="A498" s="218">
        <f t="shared" si="1"/>
        <v>497</v>
      </c>
      <c r="B498" s="218" t="s">
        <v>203</v>
      </c>
      <c r="C498" s="218" t="s">
        <v>5483</v>
      </c>
      <c r="D498" s="218" t="b">
        <v>1</v>
      </c>
      <c r="E498" s="219" t="b">
        <v>0</v>
      </c>
      <c r="F498" s="219" t="b">
        <v>0</v>
      </c>
      <c r="G498" s="219"/>
    </row>
    <row r="499">
      <c r="A499" s="218">
        <f t="shared" si="1"/>
        <v>498</v>
      </c>
      <c r="B499" s="218" t="s">
        <v>203</v>
      </c>
      <c r="C499" s="218" t="s">
        <v>398</v>
      </c>
      <c r="D499" s="218" t="b">
        <v>1</v>
      </c>
      <c r="E499" s="219" t="b">
        <v>0</v>
      </c>
      <c r="F499" s="219" t="b">
        <v>0</v>
      </c>
      <c r="G499" s="219"/>
    </row>
    <row r="500">
      <c r="A500" s="218">
        <f t="shared" si="1"/>
        <v>499</v>
      </c>
      <c r="B500" s="218" t="s">
        <v>203</v>
      </c>
      <c r="C500" s="218" t="s">
        <v>393</v>
      </c>
      <c r="D500" s="218" t="b">
        <v>1</v>
      </c>
      <c r="E500" s="219" t="b">
        <v>0</v>
      </c>
      <c r="F500" s="219" t="b">
        <v>0</v>
      </c>
      <c r="G500" s="219"/>
    </row>
    <row r="501">
      <c r="A501" s="218">
        <f t="shared" si="1"/>
        <v>500</v>
      </c>
      <c r="B501" s="218" t="s">
        <v>203</v>
      </c>
      <c r="C501" s="218" t="s">
        <v>393</v>
      </c>
      <c r="D501" s="218" t="b">
        <v>1</v>
      </c>
      <c r="E501" s="219" t="b">
        <v>0</v>
      </c>
      <c r="F501" s="219" t="b">
        <v>0</v>
      </c>
      <c r="G501" s="219"/>
    </row>
    <row r="502">
      <c r="A502" s="218">
        <f t="shared" si="1"/>
        <v>501</v>
      </c>
      <c r="B502" s="218" t="s">
        <v>203</v>
      </c>
      <c r="C502" s="218" t="s">
        <v>2179</v>
      </c>
      <c r="D502" s="218" t="b">
        <v>1</v>
      </c>
      <c r="E502" s="219" t="b">
        <v>0</v>
      </c>
      <c r="F502" s="219" t="b">
        <v>0</v>
      </c>
      <c r="G502" s="219"/>
    </row>
    <row r="503">
      <c r="A503" s="218">
        <f t="shared" si="1"/>
        <v>502</v>
      </c>
      <c r="B503" s="218" t="s">
        <v>203</v>
      </c>
      <c r="C503" s="218" t="s">
        <v>418</v>
      </c>
      <c r="D503" s="218" t="b">
        <v>1</v>
      </c>
      <c r="E503" s="219" t="b">
        <v>0</v>
      </c>
      <c r="F503" s="219" t="b">
        <v>0</v>
      </c>
      <c r="G503" s="219"/>
    </row>
    <row r="504">
      <c r="A504" s="218">
        <f t="shared" si="1"/>
        <v>503</v>
      </c>
      <c r="B504" s="218" t="s">
        <v>203</v>
      </c>
      <c r="C504" s="218" t="s">
        <v>1622</v>
      </c>
      <c r="D504" s="218" t="b">
        <v>1</v>
      </c>
      <c r="E504" s="219" t="b">
        <v>0</v>
      </c>
      <c r="F504" s="219" t="b">
        <v>0</v>
      </c>
      <c r="G504" s="219"/>
    </row>
    <row r="505">
      <c r="A505" s="218">
        <f t="shared" si="1"/>
        <v>504</v>
      </c>
      <c r="B505" s="218" t="s">
        <v>203</v>
      </c>
      <c r="C505" s="218" t="s">
        <v>423</v>
      </c>
      <c r="D505" s="218" t="b">
        <v>1</v>
      </c>
      <c r="E505" s="219" t="b">
        <v>0</v>
      </c>
      <c r="F505" s="219" t="b">
        <v>0</v>
      </c>
      <c r="G505" s="219"/>
    </row>
    <row r="506">
      <c r="A506" s="218">
        <f t="shared" si="1"/>
        <v>505</v>
      </c>
      <c r="B506" s="218" t="s">
        <v>203</v>
      </c>
      <c r="C506" s="218" t="s">
        <v>428</v>
      </c>
      <c r="D506" s="218" t="b">
        <v>1</v>
      </c>
      <c r="E506" s="219" t="b">
        <v>0</v>
      </c>
      <c r="F506" s="219" t="b">
        <v>0</v>
      </c>
      <c r="G506" s="219"/>
    </row>
    <row r="507">
      <c r="A507" s="218">
        <f t="shared" si="1"/>
        <v>506</v>
      </c>
      <c r="B507" s="218" t="s">
        <v>203</v>
      </c>
      <c r="C507" s="218" t="s">
        <v>448</v>
      </c>
      <c r="D507" s="218" t="b">
        <v>1</v>
      </c>
      <c r="E507" s="219" t="b">
        <v>0</v>
      </c>
      <c r="F507" s="219" t="b">
        <v>0</v>
      </c>
      <c r="G507" s="219"/>
    </row>
    <row r="508">
      <c r="A508" s="218">
        <f t="shared" si="1"/>
        <v>507</v>
      </c>
      <c r="B508" s="218" t="s">
        <v>203</v>
      </c>
      <c r="C508" s="218" t="s">
        <v>2983</v>
      </c>
      <c r="D508" s="218" t="b">
        <v>1</v>
      </c>
      <c r="E508" s="219" t="b">
        <v>0</v>
      </c>
      <c r="F508" s="219" t="b">
        <v>0</v>
      </c>
      <c r="G508" s="219"/>
    </row>
    <row r="509">
      <c r="A509" s="218">
        <f t="shared" si="1"/>
        <v>508</v>
      </c>
      <c r="B509" s="218" t="s">
        <v>203</v>
      </c>
      <c r="C509" s="218" t="s">
        <v>453</v>
      </c>
      <c r="D509" s="218" t="b">
        <v>1</v>
      </c>
      <c r="E509" s="219" t="b">
        <v>0</v>
      </c>
      <c r="F509" s="219" t="b">
        <v>0</v>
      </c>
      <c r="G509" s="219"/>
    </row>
    <row r="510">
      <c r="A510" s="218">
        <f t="shared" si="1"/>
        <v>509</v>
      </c>
      <c r="B510" s="218" t="s">
        <v>203</v>
      </c>
      <c r="C510" s="218" t="s">
        <v>4118</v>
      </c>
      <c r="D510" s="218" t="b">
        <v>1</v>
      </c>
      <c r="E510" s="219" t="b">
        <v>0</v>
      </c>
      <c r="F510" s="219" t="b">
        <v>0</v>
      </c>
      <c r="G510" s="219"/>
    </row>
    <row r="511">
      <c r="A511" s="218">
        <f t="shared" si="1"/>
        <v>510</v>
      </c>
      <c r="B511" s="218" t="s">
        <v>203</v>
      </c>
      <c r="C511" s="218" t="s">
        <v>467</v>
      </c>
      <c r="D511" s="218" t="b">
        <v>1</v>
      </c>
      <c r="E511" s="219" t="b">
        <v>0</v>
      </c>
      <c r="F511" s="219" t="b">
        <v>0</v>
      </c>
      <c r="G511" s="219"/>
    </row>
    <row r="512">
      <c r="A512" s="218">
        <f t="shared" si="1"/>
        <v>511</v>
      </c>
      <c r="B512" s="218" t="s">
        <v>203</v>
      </c>
      <c r="C512" s="218" t="s">
        <v>472</v>
      </c>
      <c r="D512" s="218" t="b">
        <v>1</v>
      </c>
      <c r="E512" s="219" t="b">
        <v>0</v>
      </c>
      <c r="F512" s="219" t="b">
        <v>0</v>
      </c>
      <c r="G512" s="219"/>
    </row>
    <row r="513">
      <c r="A513" s="218">
        <f t="shared" si="1"/>
        <v>512</v>
      </c>
      <c r="B513" s="218" t="s">
        <v>203</v>
      </c>
      <c r="C513" s="218" t="s">
        <v>477</v>
      </c>
      <c r="D513" s="218" t="b">
        <v>1</v>
      </c>
      <c r="E513" s="219" t="b">
        <v>0</v>
      </c>
      <c r="F513" s="219" t="b">
        <v>0</v>
      </c>
      <c r="G513" s="219"/>
    </row>
    <row r="514">
      <c r="A514" s="218">
        <f t="shared" si="1"/>
        <v>513</v>
      </c>
      <c r="B514" s="218" t="s">
        <v>203</v>
      </c>
      <c r="C514" s="218" t="s">
        <v>1715</v>
      </c>
      <c r="D514" s="218" t="b">
        <v>1</v>
      </c>
      <c r="E514" s="219" t="b">
        <v>0</v>
      </c>
      <c r="F514" s="219" t="b">
        <v>0</v>
      </c>
      <c r="G514" s="219"/>
    </row>
    <row r="515">
      <c r="A515" s="218">
        <f t="shared" si="1"/>
        <v>514</v>
      </c>
      <c r="B515" s="218" t="s">
        <v>203</v>
      </c>
      <c r="C515" s="218" t="s">
        <v>487</v>
      </c>
      <c r="D515" s="218" t="b">
        <v>1</v>
      </c>
      <c r="E515" s="219" t="b">
        <v>0</v>
      </c>
      <c r="F515" s="219" t="b">
        <v>0</v>
      </c>
      <c r="G515" s="219"/>
    </row>
    <row r="516">
      <c r="A516" s="218">
        <f t="shared" si="1"/>
        <v>515</v>
      </c>
      <c r="B516" s="218" t="s">
        <v>203</v>
      </c>
      <c r="C516" s="218" t="s">
        <v>2319</v>
      </c>
      <c r="D516" s="218" t="b">
        <v>1</v>
      </c>
      <c r="E516" s="219" t="b">
        <v>0</v>
      </c>
      <c r="F516" s="219" t="b">
        <v>0</v>
      </c>
      <c r="G516" s="219"/>
    </row>
    <row r="517">
      <c r="A517" s="218">
        <f t="shared" si="1"/>
        <v>516</v>
      </c>
      <c r="B517" s="218" t="s">
        <v>203</v>
      </c>
      <c r="C517" s="218" t="s">
        <v>498</v>
      </c>
      <c r="D517" s="218" t="b">
        <v>1</v>
      </c>
      <c r="E517" s="219" t="b">
        <v>0</v>
      </c>
      <c r="F517" s="219" t="b">
        <v>0</v>
      </c>
      <c r="G517" s="219"/>
    </row>
    <row r="518">
      <c r="A518" s="218">
        <f t="shared" si="1"/>
        <v>517</v>
      </c>
      <c r="B518" s="218" t="s">
        <v>203</v>
      </c>
      <c r="C518" s="218" t="s">
        <v>507</v>
      </c>
      <c r="D518" s="218" t="b">
        <v>1</v>
      </c>
      <c r="E518" s="219" t="b">
        <v>0</v>
      </c>
      <c r="F518" s="219" t="b">
        <v>0</v>
      </c>
      <c r="G518" s="219"/>
    </row>
    <row r="519">
      <c r="A519" s="218">
        <f t="shared" si="1"/>
        <v>518</v>
      </c>
      <c r="B519" s="218" t="s">
        <v>203</v>
      </c>
      <c r="C519" s="218" t="s">
        <v>511</v>
      </c>
      <c r="D519" s="218" t="b">
        <v>1</v>
      </c>
      <c r="E519" s="219" t="b">
        <v>0</v>
      </c>
      <c r="F519" s="219" t="b">
        <v>0</v>
      </c>
      <c r="G519" s="219"/>
    </row>
    <row r="520">
      <c r="A520" s="218">
        <f t="shared" si="1"/>
        <v>519</v>
      </c>
      <c r="B520" s="218" t="s">
        <v>203</v>
      </c>
      <c r="C520" s="218" t="s">
        <v>521</v>
      </c>
      <c r="D520" s="218" t="b">
        <v>1</v>
      </c>
      <c r="E520" s="219" t="b">
        <v>0</v>
      </c>
      <c r="F520" s="219" t="b">
        <v>0</v>
      </c>
      <c r="G520" s="219"/>
    </row>
    <row r="521">
      <c r="A521" s="218">
        <f t="shared" si="1"/>
        <v>520</v>
      </c>
      <c r="B521" s="218" t="s">
        <v>203</v>
      </c>
      <c r="C521" s="218" t="s">
        <v>521</v>
      </c>
      <c r="D521" s="218" t="b">
        <v>1</v>
      </c>
      <c r="E521" s="219" t="b">
        <v>0</v>
      </c>
      <c r="F521" s="219" t="b">
        <v>0</v>
      </c>
      <c r="G521" s="219"/>
    </row>
    <row r="522">
      <c r="A522" s="218">
        <f t="shared" si="1"/>
        <v>521</v>
      </c>
      <c r="B522" s="218" t="s">
        <v>203</v>
      </c>
      <c r="C522" s="218" t="s">
        <v>2718</v>
      </c>
      <c r="D522" s="218" t="b">
        <v>1</v>
      </c>
      <c r="E522" s="219" t="b">
        <v>0</v>
      </c>
      <c r="F522" s="219" t="b">
        <v>0</v>
      </c>
      <c r="G522" s="219"/>
    </row>
    <row r="523">
      <c r="A523" s="218">
        <f t="shared" si="1"/>
        <v>522</v>
      </c>
      <c r="B523" s="218" t="s">
        <v>203</v>
      </c>
      <c r="C523" s="218" t="s">
        <v>526</v>
      </c>
      <c r="D523" s="218" t="b">
        <v>1</v>
      </c>
      <c r="E523" s="219" t="b">
        <v>0</v>
      </c>
      <c r="F523" s="219" t="b">
        <v>0</v>
      </c>
      <c r="G523" s="219"/>
    </row>
    <row r="524">
      <c r="A524" s="218">
        <f t="shared" si="1"/>
        <v>523</v>
      </c>
      <c r="B524" s="218" t="s">
        <v>203</v>
      </c>
      <c r="C524" s="218" t="s">
        <v>1319</v>
      </c>
      <c r="D524" s="218" t="b">
        <v>1</v>
      </c>
      <c r="E524" s="219" t="b">
        <v>0</v>
      </c>
      <c r="F524" s="219" t="b">
        <v>0</v>
      </c>
      <c r="G524" s="219"/>
    </row>
    <row r="525">
      <c r="A525" s="218">
        <f t="shared" si="1"/>
        <v>524</v>
      </c>
      <c r="B525" s="218" t="s">
        <v>203</v>
      </c>
      <c r="C525" s="218" t="s">
        <v>536</v>
      </c>
      <c r="D525" s="218" t="b">
        <v>1</v>
      </c>
      <c r="E525" s="219" t="b">
        <v>0</v>
      </c>
      <c r="F525" s="219" t="b">
        <v>0</v>
      </c>
      <c r="G525" s="219"/>
    </row>
    <row r="526">
      <c r="A526" s="218">
        <f t="shared" si="1"/>
        <v>525</v>
      </c>
      <c r="B526" s="218" t="s">
        <v>203</v>
      </c>
      <c r="C526" s="218" t="s">
        <v>1366</v>
      </c>
      <c r="D526" s="218" t="b">
        <v>1</v>
      </c>
      <c r="E526" s="219" t="b">
        <v>0</v>
      </c>
      <c r="F526" s="219" t="b">
        <v>0</v>
      </c>
      <c r="G526" s="219"/>
    </row>
    <row r="527">
      <c r="A527" s="218">
        <f t="shared" si="1"/>
        <v>526</v>
      </c>
      <c r="B527" s="218" t="s">
        <v>203</v>
      </c>
      <c r="C527" s="218" t="s">
        <v>546</v>
      </c>
      <c r="D527" s="218" t="b">
        <v>1</v>
      </c>
      <c r="E527" s="219" t="b">
        <v>0</v>
      </c>
      <c r="F527" s="219" t="b">
        <v>0</v>
      </c>
      <c r="G527" s="219"/>
    </row>
    <row r="528">
      <c r="A528" s="218">
        <f t="shared" si="1"/>
        <v>527</v>
      </c>
      <c r="B528" s="218" t="s">
        <v>203</v>
      </c>
      <c r="C528" s="218" t="s">
        <v>1189</v>
      </c>
      <c r="D528" s="218" t="b">
        <v>1</v>
      </c>
      <c r="E528" s="219" t="b">
        <v>0</v>
      </c>
      <c r="F528" s="219" t="b">
        <v>0</v>
      </c>
      <c r="G528" s="219"/>
    </row>
    <row r="529">
      <c r="A529" s="218">
        <f t="shared" si="1"/>
        <v>528</v>
      </c>
      <c r="B529" s="218" t="s">
        <v>203</v>
      </c>
      <c r="C529" s="218" t="s">
        <v>3459</v>
      </c>
      <c r="D529" s="218" t="b">
        <v>1</v>
      </c>
      <c r="E529" s="219" t="b">
        <v>0</v>
      </c>
      <c r="F529" s="219" t="b">
        <v>0</v>
      </c>
      <c r="G529" s="219"/>
    </row>
    <row r="530">
      <c r="A530" s="218">
        <f t="shared" si="1"/>
        <v>529</v>
      </c>
      <c r="B530" s="218" t="s">
        <v>203</v>
      </c>
      <c r="C530" s="218" t="s">
        <v>1193</v>
      </c>
      <c r="D530" s="218" t="b">
        <v>1</v>
      </c>
      <c r="E530" s="219" t="b">
        <v>0</v>
      </c>
      <c r="F530" s="219" t="b">
        <v>0</v>
      </c>
      <c r="G530" s="219"/>
    </row>
    <row r="531">
      <c r="A531" s="218">
        <f t="shared" si="1"/>
        <v>530</v>
      </c>
      <c r="B531" s="218" t="s">
        <v>203</v>
      </c>
      <c r="C531" s="218" t="s">
        <v>3532</v>
      </c>
      <c r="D531" s="218" t="b">
        <v>1</v>
      </c>
      <c r="E531" s="219" t="b">
        <v>0</v>
      </c>
      <c r="F531" s="219" t="b">
        <v>0</v>
      </c>
      <c r="G531" s="219"/>
    </row>
    <row r="532">
      <c r="A532" s="218">
        <f t="shared" si="1"/>
        <v>531</v>
      </c>
      <c r="B532" s="218" t="s">
        <v>203</v>
      </c>
      <c r="C532" s="218" t="s">
        <v>1203</v>
      </c>
      <c r="D532" s="218" t="b">
        <v>1</v>
      </c>
      <c r="E532" s="219" t="b">
        <v>0</v>
      </c>
      <c r="F532" s="219" t="b">
        <v>0</v>
      </c>
      <c r="G532" s="219"/>
    </row>
    <row r="533">
      <c r="A533" s="218">
        <f t="shared" si="1"/>
        <v>532</v>
      </c>
      <c r="B533" s="218" t="s">
        <v>203</v>
      </c>
      <c r="C533" s="218" t="s">
        <v>503</v>
      </c>
      <c r="D533" s="218" t="b">
        <v>1</v>
      </c>
      <c r="E533" s="219" t="b">
        <v>0</v>
      </c>
      <c r="F533" s="219" t="b">
        <v>0</v>
      </c>
      <c r="G533" s="219"/>
    </row>
    <row r="534">
      <c r="A534" s="218">
        <f t="shared" si="1"/>
        <v>533</v>
      </c>
      <c r="B534" s="218" t="s">
        <v>203</v>
      </c>
      <c r="C534" s="218" t="s">
        <v>1443</v>
      </c>
      <c r="D534" s="218" t="b">
        <v>1</v>
      </c>
      <c r="E534" s="219" t="b">
        <v>0</v>
      </c>
      <c r="F534" s="219" t="b">
        <v>0</v>
      </c>
      <c r="G534" s="219"/>
    </row>
    <row r="535">
      <c r="A535" s="218">
        <f t="shared" si="1"/>
        <v>534</v>
      </c>
      <c r="B535" s="218" t="s">
        <v>203</v>
      </c>
      <c r="C535" s="218" t="s">
        <v>1448</v>
      </c>
      <c r="D535" s="218" t="b">
        <v>1</v>
      </c>
      <c r="E535" s="219" t="b">
        <v>0</v>
      </c>
      <c r="F535" s="219" t="b">
        <v>0</v>
      </c>
      <c r="G535" s="219"/>
    </row>
    <row r="536">
      <c r="A536" s="218">
        <f t="shared" si="1"/>
        <v>535</v>
      </c>
      <c r="B536" s="218" t="s">
        <v>203</v>
      </c>
      <c r="C536" s="218" t="s">
        <v>1710</v>
      </c>
      <c r="D536" s="218" t="b">
        <v>1</v>
      </c>
      <c r="E536" s="219" t="b">
        <v>0</v>
      </c>
      <c r="F536" s="219" t="b">
        <v>0</v>
      </c>
      <c r="G536" s="219"/>
    </row>
    <row r="537">
      <c r="A537" s="218">
        <f t="shared" si="1"/>
        <v>536</v>
      </c>
      <c r="B537" s="218" t="s">
        <v>203</v>
      </c>
      <c r="C537" s="218" t="s">
        <v>1705</v>
      </c>
      <c r="D537" s="218" t="b">
        <v>1</v>
      </c>
      <c r="E537" s="219" t="b">
        <v>0</v>
      </c>
      <c r="F537" s="219" t="b">
        <v>0</v>
      </c>
      <c r="G537" s="219"/>
    </row>
    <row r="538">
      <c r="A538" s="218">
        <f t="shared" si="1"/>
        <v>537</v>
      </c>
      <c r="B538" s="218" t="s">
        <v>203</v>
      </c>
      <c r="C538" s="218" t="s">
        <v>1652</v>
      </c>
      <c r="D538" s="218" t="b">
        <v>1</v>
      </c>
      <c r="E538" s="219" t="b">
        <v>0</v>
      </c>
      <c r="F538" s="219" t="b">
        <v>0</v>
      </c>
      <c r="G538" s="219"/>
    </row>
    <row r="539">
      <c r="A539" s="218">
        <f t="shared" si="1"/>
        <v>538</v>
      </c>
      <c r="B539" s="218" t="s">
        <v>203</v>
      </c>
      <c r="C539" s="218" t="s">
        <v>1730</v>
      </c>
      <c r="D539" s="218" t="b">
        <v>1</v>
      </c>
      <c r="E539" s="219" t="b">
        <v>0</v>
      </c>
      <c r="F539" s="219" t="b">
        <v>0</v>
      </c>
      <c r="G539" s="219"/>
    </row>
    <row r="540">
      <c r="A540" s="218">
        <f t="shared" si="1"/>
        <v>539</v>
      </c>
      <c r="B540" s="218" t="s">
        <v>203</v>
      </c>
      <c r="C540" s="218" t="s">
        <v>2733</v>
      </c>
      <c r="D540" s="218" t="b">
        <v>1</v>
      </c>
      <c r="E540" s="219" t="b">
        <v>0</v>
      </c>
      <c r="F540" s="219" t="b">
        <v>0</v>
      </c>
      <c r="G540" s="219"/>
    </row>
    <row r="541">
      <c r="A541" s="218">
        <f t="shared" si="1"/>
        <v>540</v>
      </c>
      <c r="B541" s="218" t="s">
        <v>203</v>
      </c>
      <c r="C541" s="218" t="s">
        <v>1723</v>
      </c>
      <c r="D541" s="218" t="b">
        <v>1</v>
      </c>
      <c r="E541" s="219" t="b">
        <v>0</v>
      </c>
      <c r="F541" s="219" t="b">
        <v>0</v>
      </c>
      <c r="G541" s="219"/>
    </row>
    <row r="542">
      <c r="A542" s="218">
        <f t="shared" si="1"/>
        <v>541</v>
      </c>
      <c r="B542" s="218" t="s">
        <v>203</v>
      </c>
      <c r="C542" s="218" t="s">
        <v>1723</v>
      </c>
      <c r="D542" s="218" t="b">
        <v>1</v>
      </c>
      <c r="E542" s="219" t="b">
        <v>0</v>
      </c>
      <c r="F542" s="219" t="b">
        <v>0</v>
      </c>
      <c r="G542" s="219"/>
    </row>
    <row r="543">
      <c r="A543" s="218">
        <f t="shared" si="1"/>
        <v>542</v>
      </c>
      <c r="B543" s="218" t="s">
        <v>203</v>
      </c>
      <c r="C543" s="218" t="s">
        <v>3148</v>
      </c>
      <c r="D543" s="218" t="b">
        <v>1</v>
      </c>
      <c r="E543" s="219" t="b">
        <v>0</v>
      </c>
      <c r="F543" s="219" t="b">
        <v>0</v>
      </c>
      <c r="G543" s="219"/>
    </row>
    <row r="544">
      <c r="A544" s="218">
        <f t="shared" si="1"/>
        <v>543</v>
      </c>
      <c r="B544" s="218" t="s">
        <v>203</v>
      </c>
      <c r="C544" s="218" t="s">
        <v>1683</v>
      </c>
      <c r="D544" s="218" t="b">
        <v>1</v>
      </c>
      <c r="E544" s="219" t="b">
        <v>0</v>
      </c>
      <c r="F544" s="219" t="b">
        <v>0</v>
      </c>
      <c r="G544" s="219"/>
    </row>
    <row r="545">
      <c r="A545" s="218">
        <f t="shared" si="1"/>
        <v>544</v>
      </c>
      <c r="B545" s="218" t="s">
        <v>203</v>
      </c>
      <c r="C545" s="218" t="s">
        <v>4466</v>
      </c>
      <c r="D545" s="218" t="b">
        <v>1</v>
      </c>
      <c r="E545" s="219" t="b">
        <v>0</v>
      </c>
      <c r="F545" s="219" t="b">
        <v>0</v>
      </c>
      <c r="G545" s="219"/>
    </row>
    <row r="546">
      <c r="A546" s="218">
        <f t="shared" si="1"/>
        <v>545</v>
      </c>
      <c r="B546" s="218" t="s">
        <v>203</v>
      </c>
      <c r="C546" s="218" t="s">
        <v>2434</v>
      </c>
      <c r="D546" s="218" t="b">
        <v>1</v>
      </c>
      <c r="E546" s="219" t="b">
        <v>0</v>
      </c>
      <c r="F546" s="219" t="b">
        <v>0</v>
      </c>
      <c r="G546" s="219"/>
    </row>
    <row r="547">
      <c r="A547" s="218">
        <f t="shared" si="1"/>
        <v>546</v>
      </c>
      <c r="B547" s="218" t="s">
        <v>203</v>
      </c>
      <c r="C547" s="218" t="s">
        <v>3340</v>
      </c>
      <c r="D547" s="218" t="b">
        <v>1</v>
      </c>
      <c r="E547" s="219" t="b">
        <v>0</v>
      </c>
      <c r="F547" s="219" t="b">
        <v>0</v>
      </c>
      <c r="G547" s="219"/>
    </row>
    <row r="548">
      <c r="A548" s="218">
        <f t="shared" si="1"/>
        <v>547</v>
      </c>
      <c r="B548" s="218" t="s">
        <v>203</v>
      </c>
      <c r="C548" s="218" t="s">
        <v>3255</v>
      </c>
      <c r="D548" s="218" t="b">
        <v>1</v>
      </c>
      <c r="E548" s="219" t="b">
        <v>0</v>
      </c>
      <c r="F548" s="219" t="b">
        <v>0</v>
      </c>
      <c r="G548" s="219"/>
    </row>
    <row r="549">
      <c r="A549" s="218">
        <f t="shared" si="1"/>
        <v>548</v>
      </c>
      <c r="B549" s="218" t="s">
        <v>203</v>
      </c>
      <c r="C549" s="218" t="s">
        <v>1531</v>
      </c>
      <c r="D549" s="218" t="b">
        <v>1</v>
      </c>
      <c r="E549" s="219" t="b">
        <v>0</v>
      </c>
      <c r="F549" s="219" t="b">
        <v>0</v>
      </c>
      <c r="G549" s="219"/>
    </row>
    <row r="550">
      <c r="A550" s="218">
        <f t="shared" si="1"/>
        <v>549</v>
      </c>
      <c r="B550" s="218" t="s">
        <v>203</v>
      </c>
      <c r="C550" s="218" t="s">
        <v>2854</v>
      </c>
      <c r="D550" s="218" t="b">
        <v>1</v>
      </c>
      <c r="E550" s="219" t="b">
        <v>0</v>
      </c>
      <c r="F550" s="219" t="b">
        <v>0</v>
      </c>
      <c r="G550" s="219"/>
    </row>
    <row r="551">
      <c r="A551" s="218">
        <f t="shared" si="1"/>
        <v>550</v>
      </c>
      <c r="B551" s="218" t="s">
        <v>203</v>
      </c>
      <c r="C551" s="218" t="s">
        <v>1560</v>
      </c>
      <c r="D551" s="218" t="b">
        <v>1</v>
      </c>
      <c r="E551" s="219" t="b">
        <v>0</v>
      </c>
      <c r="F551" s="219" t="b">
        <v>0</v>
      </c>
      <c r="G551" s="219"/>
    </row>
    <row r="552">
      <c r="A552" s="218">
        <f t="shared" si="1"/>
        <v>551</v>
      </c>
      <c r="B552" s="218" t="s">
        <v>203</v>
      </c>
      <c r="C552" s="218" t="s">
        <v>2907</v>
      </c>
      <c r="D552" s="218" t="b">
        <v>1</v>
      </c>
      <c r="E552" s="219" t="b">
        <v>0</v>
      </c>
      <c r="F552" s="219" t="b">
        <v>0</v>
      </c>
      <c r="G552" s="219"/>
    </row>
    <row r="553">
      <c r="A553" s="218">
        <f t="shared" si="1"/>
        <v>552</v>
      </c>
      <c r="B553" s="218" t="s">
        <v>203</v>
      </c>
      <c r="C553" s="218" t="s">
        <v>3246</v>
      </c>
      <c r="D553" s="218" t="b">
        <v>1</v>
      </c>
      <c r="E553" s="219" t="b">
        <v>0</v>
      </c>
      <c r="F553" s="219" t="b">
        <v>0</v>
      </c>
      <c r="G553" s="219"/>
    </row>
    <row r="554">
      <c r="A554" s="218">
        <f t="shared" si="1"/>
        <v>553</v>
      </c>
      <c r="B554" s="218" t="s">
        <v>203</v>
      </c>
      <c r="C554" s="218" t="s">
        <v>1468</v>
      </c>
      <c r="D554" s="218" t="b">
        <v>1</v>
      </c>
      <c r="E554" s="219" t="b">
        <v>0</v>
      </c>
      <c r="F554" s="219" t="b">
        <v>0</v>
      </c>
      <c r="G554" s="219"/>
    </row>
    <row r="555">
      <c r="A555" s="218">
        <f t="shared" si="1"/>
        <v>554</v>
      </c>
      <c r="B555" s="218" t="s">
        <v>203</v>
      </c>
      <c r="C555" s="218" t="s">
        <v>1468</v>
      </c>
      <c r="D555" s="218" t="b">
        <v>1</v>
      </c>
      <c r="E555" s="219" t="b">
        <v>0</v>
      </c>
      <c r="F555" s="219" t="b">
        <v>0</v>
      </c>
      <c r="G555" s="219"/>
    </row>
    <row r="556">
      <c r="A556" s="218">
        <f t="shared" si="1"/>
        <v>555</v>
      </c>
      <c r="B556" s="218" t="s">
        <v>203</v>
      </c>
      <c r="C556" s="218" t="s">
        <v>3234</v>
      </c>
      <c r="D556" s="218" t="b">
        <v>1</v>
      </c>
      <c r="E556" s="219" t="b">
        <v>0</v>
      </c>
      <c r="F556" s="219" t="b">
        <v>0</v>
      </c>
      <c r="G556" s="219"/>
    </row>
    <row r="557">
      <c r="A557" s="218">
        <f t="shared" si="1"/>
        <v>556</v>
      </c>
      <c r="B557" s="218" t="s">
        <v>203</v>
      </c>
      <c r="C557" s="218" t="s">
        <v>1546</v>
      </c>
      <c r="D557" s="218" t="b">
        <v>1</v>
      </c>
      <c r="E557" s="219" t="b">
        <v>0</v>
      </c>
      <c r="F557" s="219" t="b">
        <v>0</v>
      </c>
      <c r="G557" s="219"/>
    </row>
    <row r="558">
      <c r="A558" s="218">
        <f t="shared" si="1"/>
        <v>557</v>
      </c>
      <c r="B558" s="218" t="s">
        <v>203</v>
      </c>
      <c r="C558" s="218" t="s">
        <v>3317</v>
      </c>
      <c r="D558" s="218" t="b">
        <v>1</v>
      </c>
      <c r="E558" s="219" t="b">
        <v>0</v>
      </c>
      <c r="F558" s="219" t="b">
        <v>0</v>
      </c>
      <c r="G558" s="219"/>
    </row>
    <row r="559">
      <c r="A559" s="218">
        <f t="shared" si="1"/>
        <v>558</v>
      </c>
      <c r="B559" s="218" t="s">
        <v>203</v>
      </c>
      <c r="C559" s="218" t="s">
        <v>3297</v>
      </c>
      <c r="D559" s="218" t="b">
        <v>1</v>
      </c>
      <c r="E559" s="219" t="b">
        <v>0</v>
      </c>
      <c r="F559" s="219" t="b">
        <v>0</v>
      </c>
      <c r="G559" s="219"/>
    </row>
    <row r="560">
      <c r="A560" s="218">
        <f t="shared" si="1"/>
        <v>559</v>
      </c>
      <c r="B560" s="218" t="s">
        <v>203</v>
      </c>
      <c r="C560" s="218" t="s">
        <v>1565</v>
      </c>
      <c r="D560" s="218" t="b">
        <v>1</v>
      </c>
      <c r="E560" s="219" t="b">
        <v>0</v>
      </c>
      <c r="F560" s="219" t="b">
        <v>0</v>
      </c>
      <c r="G560" s="219"/>
    </row>
    <row r="561">
      <c r="A561" s="218">
        <f t="shared" si="1"/>
        <v>560</v>
      </c>
      <c r="B561" s="218" t="s">
        <v>203</v>
      </c>
      <c r="C561" s="218" t="s">
        <v>373</v>
      </c>
      <c r="D561" s="218" t="b">
        <v>1</v>
      </c>
      <c r="E561" s="219" t="b">
        <v>0</v>
      </c>
      <c r="F561" s="219" t="b">
        <v>0</v>
      </c>
      <c r="G561" s="219"/>
    </row>
    <row r="562">
      <c r="A562" s="218">
        <f t="shared" si="1"/>
        <v>561</v>
      </c>
      <c r="B562" s="218" t="s">
        <v>203</v>
      </c>
      <c r="C562" s="218" t="s">
        <v>1573</v>
      </c>
      <c r="D562" s="218" t="b">
        <v>1</v>
      </c>
      <c r="E562" s="219" t="b">
        <v>0</v>
      </c>
      <c r="F562" s="219" t="b">
        <v>0</v>
      </c>
      <c r="G562" s="219"/>
    </row>
    <row r="563">
      <c r="A563" s="218">
        <f t="shared" si="1"/>
        <v>562</v>
      </c>
      <c r="B563" s="218" t="s">
        <v>203</v>
      </c>
      <c r="C563" s="218" t="s">
        <v>3371</v>
      </c>
      <c r="D563" s="218" t="b">
        <v>1</v>
      </c>
      <c r="E563" s="219" t="b">
        <v>0</v>
      </c>
      <c r="F563" s="219" t="b">
        <v>0</v>
      </c>
      <c r="G563" s="219"/>
    </row>
    <row r="564">
      <c r="A564" s="218">
        <f t="shared" si="1"/>
        <v>563</v>
      </c>
      <c r="B564" s="218" t="s">
        <v>203</v>
      </c>
      <c r="C564" s="218" t="s">
        <v>1473</v>
      </c>
      <c r="D564" s="218" t="b">
        <v>1</v>
      </c>
      <c r="E564" s="219" t="b">
        <v>0</v>
      </c>
      <c r="F564" s="219" t="b">
        <v>0</v>
      </c>
      <c r="G564" s="219"/>
    </row>
    <row r="565">
      <c r="A565" s="218">
        <f t="shared" si="1"/>
        <v>564</v>
      </c>
      <c r="B565" s="218" t="s">
        <v>203</v>
      </c>
      <c r="C565" s="218" t="s">
        <v>2237</v>
      </c>
      <c r="D565" s="218" t="b">
        <v>1</v>
      </c>
      <c r="E565" s="219" t="b">
        <v>0</v>
      </c>
      <c r="F565" s="219" t="b">
        <v>0</v>
      </c>
      <c r="G565" s="219"/>
    </row>
    <row r="566">
      <c r="A566" s="218">
        <f t="shared" si="1"/>
        <v>565</v>
      </c>
      <c r="B566" s="218" t="s">
        <v>203</v>
      </c>
      <c r="C566" s="218" t="s">
        <v>1463</v>
      </c>
      <c r="D566" s="218" t="b">
        <v>1</v>
      </c>
      <c r="E566" s="219" t="b">
        <v>0</v>
      </c>
      <c r="F566" s="219" t="b">
        <v>0</v>
      </c>
      <c r="G566" s="219"/>
    </row>
    <row r="567">
      <c r="A567" s="218">
        <f t="shared" si="1"/>
        <v>566</v>
      </c>
      <c r="B567" s="218" t="s">
        <v>203</v>
      </c>
      <c r="C567" s="218" t="s">
        <v>1478</v>
      </c>
      <c r="D567" s="218" t="b">
        <v>1</v>
      </c>
      <c r="E567" s="219" t="b">
        <v>0</v>
      </c>
      <c r="F567" s="219" t="b">
        <v>0</v>
      </c>
      <c r="G567" s="219"/>
    </row>
    <row r="568">
      <c r="A568" s="218">
        <f t="shared" si="1"/>
        <v>567</v>
      </c>
      <c r="B568" s="218" t="s">
        <v>203</v>
      </c>
      <c r="C568" s="218" t="s">
        <v>3302</v>
      </c>
      <c r="D568" s="218" t="b">
        <v>1</v>
      </c>
      <c r="E568" s="219" t="b">
        <v>0</v>
      </c>
      <c r="F568" s="219" t="b">
        <v>0</v>
      </c>
      <c r="G568" s="219"/>
    </row>
    <row r="569">
      <c r="A569" s="218">
        <f t="shared" si="1"/>
        <v>568</v>
      </c>
      <c r="B569" s="218" t="s">
        <v>203</v>
      </c>
      <c r="C569" s="218" t="s">
        <v>1735</v>
      </c>
      <c r="D569" s="218" t="b">
        <v>1</v>
      </c>
      <c r="E569" s="219" t="b">
        <v>0</v>
      </c>
      <c r="F569" s="219" t="b">
        <v>0</v>
      </c>
      <c r="G569" s="219"/>
    </row>
    <row r="570">
      <c r="A570" s="218">
        <f t="shared" si="1"/>
        <v>569</v>
      </c>
      <c r="B570" s="218" t="s">
        <v>203</v>
      </c>
      <c r="C570" s="218" t="s">
        <v>3355</v>
      </c>
      <c r="D570" s="218" t="b">
        <v>1</v>
      </c>
      <c r="E570" s="219" t="b">
        <v>0</v>
      </c>
      <c r="F570" s="219" t="b">
        <v>0</v>
      </c>
      <c r="G570" s="219"/>
    </row>
    <row r="571">
      <c r="A571" s="218">
        <f t="shared" si="1"/>
        <v>570</v>
      </c>
      <c r="B571" s="218" t="s">
        <v>203</v>
      </c>
      <c r="C571" s="218" t="s">
        <v>1536</v>
      </c>
      <c r="D571" s="218" t="b">
        <v>1</v>
      </c>
      <c r="E571" s="219" t="b">
        <v>0</v>
      </c>
      <c r="F571" s="219" t="b">
        <v>0</v>
      </c>
      <c r="G571" s="219"/>
    </row>
    <row r="572">
      <c r="A572" s="218">
        <f t="shared" si="1"/>
        <v>571</v>
      </c>
      <c r="B572" s="218" t="s">
        <v>203</v>
      </c>
      <c r="C572" s="218" t="s">
        <v>1058</v>
      </c>
      <c r="D572" s="218" t="b">
        <v>1</v>
      </c>
      <c r="E572" s="219" t="b">
        <v>0</v>
      </c>
      <c r="F572" s="219" t="b">
        <v>0</v>
      </c>
      <c r="G572" s="219"/>
    </row>
    <row r="573">
      <c r="A573" s="218">
        <f t="shared" si="1"/>
        <v>572</v>
      </c>
      <c r="B573" s="218" t="s">
        <v>203</v>
      </c>
      <c r="C573" s="218" t="s">
        <v>1634</v>
      </c>
      <c r="D573" s="218" t="b">
        <v>1</v>
      </c>
      <c r="E573" s="219" t="b">
        <v>0</v>
      </c>
      <c r="F573" s="219" t="b">
        <v>0</v>
      </c>
      <c r="G573" s="219"/>
    </row>
    <row r="574">
      <c r="A574" s="218">
        <f t="shared" si="1"/>
        <v>573</v>
      </c>
      <c r="B574" s="218" t="s">
        <v>203</v>
      </c>
      <c r="C574" s="218" t="s">
        <v>3312</v>
      </c>
      <c r="D574" s="218" t="b">
        <v>1</v>
      </c>
      <c r="E574" s="219" t="b">
        <v>0</v>
      </c>
      <c r="F574" s="219" t="b">
        <v>0</v>
      </c>
      <c r="G574" s="219"/>
    </row>
    <row r="575">
      <c r="A575" s="218">
        <f t="shared" si="1"/>
        <v>574</v>
      </c>
      <c r="B575" s="218" t="s">
        <v>203</v>
      </c>
      <c r="C575" s="218" t="s">
        <v>3033</v>
      </c>
      <c r="D575" s="218" t="b">
        <v>1</v>
      </c>
      <c r="E575" s="219" t="b">
        <v>0</v>
      </c>
      <c r="F575" s="219" t="b">
        <v>0</v>
      </c>
      <c r="G575" s="219"/>
    </row>
    <row r="576">
      <c r="A576" s="218">
        <f t="shared" si="1"/>
        <v>575</v>
      </c>
      <c r="B576" s="218" t="s">
        <v>203</v>
      </c>
      <c r="C576" s="218" t="s">
        <v>3537</v>
      </c>
      <c r="D576" s="218" t="b">
        <v>1</v>
      </c>
      <c r="E576" s="219" t="b">
        <v>0</v>
      </c>
      <c r="F576" s="219" t="b">
        <v>0</v>
      </c>
      <c r="G576" s="219"/>
    </row>
    <row r="577">
      <c r="A577" s="218">
        <f t="shared" si="1"/>
        <v>576</v>
      </c>
      <c r="B577" s="218" t="s">
        <v>203</v>
      </c>
      <c r="C577" s="218" t="s">
        <v>3028</v>
      </c>
      <c r="D577" s="218" t="b">
        <v>1</v>
      </c>
      <c r="E577" s="219" t="b">
        <v>0</v>
      </c>
      <c r="F577" s="219" t="b">
        <v>0</v>
      </c>
      <c r="G577" s="219"/>
    </row>
    <row r="578">
      <c r="A578" s="218">
        <f t="shared" si="1"/>
        <v>577</v>
      </c>
      <c r="B578" s="218" t="s">
        <v>203</v>
      </c>
      <c r="C578" s="218" t="s">
        <v>3522</v>
      </c>
      <c r="D578" s="218" t="b">
        <v>1</v>
      </c>
      <c r="E578" s="219" t="b">
        <v>0</v>
      </c>
      <c r="F578" s="219" t="b">
        <v>0</v>
      </c>
      <c r="G578" s="219"/>
    </row>
    <row r="579">
      <c r="A579" s="218">
        <f t="shared" si="1"/>
        <v>578</v>
      </c>
      <c r="B579" s="218" t="s">
        <v>203</v>
      </c>
      <c r="C579" s="218" t="s">
        <v>3005</v>
      </c>
      <c r="D579" s="218" t="b">
        <v>1</v>
      </c>
      <c r="E579" s="219" t="b">
        <v>0</v>
      </c>
      <c r="F579" s="219" t="b">
        <v>0</v>
      </c>
      <c r="G579" s="219"/>
    </row>
    <row r="580">
      <c r="A580" s="218">
        <f t="shared" si="1"/>
        <v>579</v>
      </c>
      <c r="B580" s="218" t="s">
        <v>203</v>
      </c>
      <c r="C580" s="218" t="s">
        <v>3345</v>
      </c>
      <c r="D580" s="218" t="b">
        <v>1</v>
      </c>
      <c r="E580" s="219" t="b">
        <v>0</v>
      </c>
      <c r="F580" s="219" t="b">
        <v>0</v>
      </c>
      <c r="G580" s="219"/>
    </row>
    <row r="581">
      <c r="A581" s="218">
        <f t="shared" si="1"/>
        <v>580</v>
      </c>
      <c r="B581" s="218" t="s">
        <v>203</v>
      </c>
      <c r="C581" s="218" t="s">
        <v>3014</v>
      </c>
      <c r="D581" s="218" t="b">
        <v>1</v>
      </c>
      <c r="E581" s="219" t="b">
        <v>0</v>
      </c>
      <c r="F581" s="219" t="b">
        <v>0</v>
      </c>
      <c r="G581" s="219"/>
    </row>
    <row r="582">
      <c r="A582" s="218">
        <f t="shared" si="1"/>
        <v>581</v>
      </c>
      <c r="B582" s="218" t="s">
        <v>203</v>
      </c>
      <c r="C582" s="218" t="s">
        <v>3326</v>
      </c>
      <c r="D582" s="218" t="b">
        <v>1</v>
      </c>
      <c r="E582" s="219" t="b">
        <v>0</v>
      </c>
      <c r="F582" s="219" t="b">
        <v>0</v>
      </c>
      <c r="G582" s="219"/>
    </row>
    <row r="583">
      <c r="A583" s="218">
        <f t="shared" si="1"/>
        <v>582</v>
      </c>
      <c r="B583" s="218" t="s">
        <v>203</v>
      </c>
      <c r="C583" s="218" t="s">
        <v>3091</v>
      </c>
      <c r="D583" s="218" t="b">
        <v>1</v>
      </c>
      <c r="E583" s="219" t="b">
        <v>0</v>
      </c>
      <c r="F583" s="219" t="b">
        <v>0</v>
      </c>
      <c r="G583" s="219"/>
    </row>
    <row r="584">
      <c r="A584" s="218">
        <f t="shared" si="1"/>
        <v>583</v>
      </c>
      <c r="B584" s="218" t="s">
        <v>203</v>
      </c>
      <c r="C584" s="218" t="s">
        <v>662</v>
      </c>
      <c r="D584" s="218" t="b">
        <v>1</v>
      </c>
      <c r="E584" s="219" t="b">
        <v>0</v>
      </c>
      <c r="F584" s="219" t="b">
        <v>0</v>
      </c>
      <c r="G584" s="219"/>
    </row>
    <row r="585">
      <c r="A585" s="218">
        <f t="shared" si="1"/>
        <v>584</v>
      </c>
      <c r="B585" s="218" t="s">
        <v>203</v>
      </c>
      <c r="C585" s="218" t="s">
        <v>3098</v>
      </c>
      <c r="D585" s="218" t="b">
        <v>1</v>
      </c>
      <c r="E585" s="219" t="b">
        <v>0</v>
      </c>
      <c r="F585" s="219" t="b">
        <v>0</v>
      </c>
      <c r="G585" s="219"/>
    </row>
    <row r="586">
      <c r="A586" s="218">
        <f t="shared" si="1"/>
        <v>585</v>
      </c>
      <c r="B586" s="218" t="s">
        <v>203</v>
      </c>
      <c r="C586" s="218" t="s">
        <v>3244</v>
      </c>
      <c r="D586" s="218" t="b">
        <v>1</v>
      </c>
      <c r="E586" s="219" t="b">
        <v>0</v>
      </c>
      <c r="F586" s="219" t="b">
        <v>0</v>
      </c>
      <c r="G586" s="219"/>
    </row>
    <row r="587">
      <c r="A587" s="218">
        <f t="shared" si="1"/>
        <v>586</v>
      </c>
      <c r="B587" s="218" t="s">
        <v>203</v>
      </c>
      <c r="C587" s="218" t="s">
        <v>3077</v>
      </c>
      <c r="D587" s="218" t="b">
        <v>1</v>
      </c>
      <c r="E587" s="219" t="b">
        <v>0</v>
      </c>
      <c r="F587" s="219" t="b">
        <v>0</v>
      </c>
      <c r="G587" s="219"/>
    </row>
    <row r="588">
      <c r="A588" s="218">
        <f t="shared" si="1"/>
        <v>587</v>
      </c>
      <c r="B588" s="218" t="s">
        <v>203</v>
      </c>
      <c r="C588" s="218" t="s">
        <v>570</v>
      </c>
      <c r="D588" s="218" t="b">
        <v>1</v>
      </c>
      <c r="E588" s="219" t="b">
        <v>0</v>
      </c>
      <c r="F588" s="219" t="b">
        <v>0</v>
      </c>
      <c r="G588" s="219"/>
    </row>
    <row r="589">
      <c r="A589" s="218">
        <f t="shared" si="1"/>
        <v>588</v>
      </c>
      <c r="B589" s="218" t="s">
        <v>203</v>
      </c>
      <c r="C589" s="218" t="s">
        <v>3111</v>
      </c>
      <c r="D589" s="218" t="b">
        <v>1</v>
      </c>
      <c r="E589" s="219" t="b">
        <v>0</v>
      </c>
      <c r="F589" s="219" t="b">
        <v>0</v>
      </c>
      <c r="G589" s="219"/>
    </row>
    <row r="590">
      <c r="A590" s="218">
        <f t="shared" si="1"/>
        <v>589</v>
      </c>
      <c r="B590" s="218" t="s">
        <v>203</v>
      </c>
      <c r="C590" s="218" t="s">
        <v>3107</v>
      </c>
      <c r="D590" s="218" t="b">
        <v>1</v>
      </c>
      <c r="E590" s="219" t="b">
        <v>0</v>
      </c>
      <c r="F590" s="219" t="b">
        <v>0</v>
      </c>
      <c r="G590" s="219"/>
    </row>
    <row r="591">
      <c r="A591" s="218">
        <f t="shared" si="1"/>
        <v>590</v>
      </c>
      <c r="B591" s="218" t="s">
        <v>203</v>
      </c>
      <c r="C591" s="218" t="s">
        <v>3072</v>
      </c>
      <c r="D591" s="218" t="b">
        <v>1</v>
      </c>
      <c r="E591" s="219" t="b">
        <v>0</v>
      </c>
      <c r="F591" s="219" t="b">
        <v>0</v>
      </c>
      <c r="G591" s="219"/>
    </row>
    <row r="592">
      <c r="A592" s="218">
        <f t="shared" si="1"/>
        <v>591</v>
      </c>
      <c r="B592" s="218" t="s">
        <v>203</v>
      </c>
      <c r="C592" s="218" t="s">
        <v>3958</v>
      </c>
      <c r="D592" s="218" t="b">
        <v>1</v>
      </c>
      <c r="E592" s="219" t="b">
        <v>0</v>
      </c>
      <c r="F592" s="219" t="b">
        <v>0</v>
      </c>
      <c r="G592" s="219"/>
    </row>
    <row r="593">
      <c r="A593" s="218">
        <f t="shared" si="1"/>
        <v>592</v>
      </c>
      <c r="B593" s="218" t="s">
        <v>203</v>
      </c>
      <c r="C593" s="218" t="s">
        <v>3162</v>
      </c>
      <c r="D593" s="218" t="b">
        <v>1</v>
      </c>
      <c r="E593" s="219" t="b">
        <v>0</v>
      </c>
      <c r="F593" s="219" t="b">
        <v>0</v>
      </c>
      <c r="G593" s="219"/>
    </row>
    <row r="594">
      <c r="A594" s="218">
        <f t="shared" si="1"/>
        <v>593</v>
      </c>
      <c r="B594" s="218" t="s">
        <v>203</v>
      </c>
      <c r="C594" s="218" t="s">
        <v>5146</v>
      </c>
      <c r="D594" s="218" t="b">
        <v>1</v>
      </c>
      <c r="E594" s="219" t="b">
        <v>0</v>
      </c>
      <c r="F594" s="219" t="b">
        <v>0</v>
      </c>
      <c r="G594" s="219"/>
    </row>
    <row r="595">
      <c r="A595" s="218">
        <f t="shared" si="1"/>
        <v>594</v>
      </c>
      <c r="B595" s="218" t="s">
        <v>203</v>
      </c>
      <c r="C595" s="218" t="s">
        <v>3143</v>
      </c>
      <c r="D595" s="218" t="b">
        <v>1</v>
      </c>
      <c r="E595" s="219" t="b">
        <v>0</v>
      </c>
      <c r="F595" s="219" t="b">
        <v>0</v>
      </c>
      <c r="G595" s="219"/>
    </row>
    <row r="596">
      <c r="A596" s="218">
        <f t="shared" si="1"/>
        <v>595</v>
      </c>
      <c r="B596" s="218" t="s">
        <v>203</v>
      </c>
      <c r="C596" s="218" t="s">
        <v>3139</v>
      </c>
      <c r="D596" s="218" t="b">
        <v>1</v>
      </c>
      <c r="E596" s="219" t="b">
        <v>0</v>
      </c>
      <c r="F596" s="219" t="b">
        <v>0</v>
      </c>
      <c r="G596" s="219"/>
    </row>
    <row r="597">
      <c r="A597" s="218">
        <f t="shared" si="1"/>
        <v>596</v>
      </c>
      <c r="B597" s="218" t="s">
        <v>203</v>
      </c>
      <c r="C597" s="218" t="s">
        <v>3265</v>
      </c>
      <c r="D597" s="218" t="b">
        <v>1</v>
      </c>
      <c r="E597" s="219" t="b">
        <v>0</v>
      </c>
      <c r="F597" s="219" t="b">
        <v>0</v>
      </c>
      <c r="G597" s="219"/>
    </row>
    <row r="598">
      <c r="A598" s="218">
        <f t="shared" si="1"/>
        <v>597</v>
      </c>
      <c r="B598" s="218" t="s">
        <v>203</v>
      </c>
      <c r="C598" s="218" t="s">
        <v>3239</v>
      </c>
      <c r="D598" s="218" t="b">
        <v>1</v>
      </c>
      <c r="E598" s="219" t="b">
        <v>0</v>
      </c>
      <c r="F598" s="219" t="b">
        <v>0</v>
      </c>
      <c r="G598" s="219"/>
    </row>
    <row r="599">
      <c r="A599" s="218">
        <f t="shared" si="1"/>
        <v>598</v>
      </c>
      <c r="B599" s="218" t="s">
        <v>203</v>
      </c>
      <c r="C599" s="218" t="s">
        <v>5120</v>
      </c>
      <c r="D599" s="218" t="b">
        <v>1</v>
      </c>
      <c r="E599" s="219" t="b">
        <v>0</v>
      </c>
      <c r="F599" s="219" t="b">
        <v>0</v>
      </c>
      <c r="G599" s="219"/>
    </row>
    <row r="600">
      <c r="A600" s="218">
        <f t="shared" si="1"/>
        <v>599</v>
      </c>
      <c r="B600" s="218" t="s">
        <v>203</v>
      </c>
      <c r="C600" s="218" t="s">
        <v>3187</v>
      </c>
      <c r="D600" s="218" t="b">
        <v>1</v>
      </c>
      <c r="E600" s="219" t="b">
        <v>0</v>
      </c>
      <c r="F600" s="219" t="b">
        <v>0</v>
      </c>
      <c r="G600" s="219"/>
    </row>
    <row r="601">
      <c r="A601" s="218">
        <f t="shared" si="1"/>
        <v>600</v>
      </c>
      <c r="B601" s="218" t="s">
        <v>203</v>
      </c>
      <c r="C601" s="218" t="s">
        <v>1184</v>
      </c>
      <c r="D601" s="218" t="b">
        <v>1</v>
      </c>
      <c r="E601" s="219" t="b">
        <v>0</v>
      </c>
      <c r="F601" s="219" t="b">
        <v>0</v>
      </c>
      <c r="G601" s="219"/>
    </row>
    <row r="602">
      <c r="A602" s="218">
        <f t="shared" si="1"/>
        <v>601</v>
      </c>
      <c r="B602" s="218" t="s">
        <v>203</v>
      </c>
      <c r="C602" s="218" t="s">
        <v>3230</v>
      </c>
      <c r="D602" s="218" t="b">
        <v>1</v>
      </c>
      <c r="E602" s="219" t="b">
        <v>0</v>
      </c>
      <c r="F602" s="219" t="b">
        <v>0</v>
      </c>
      <c r="G602" s="219"/>
    </row>
    <row r="603">
      <c r="A603" s="218">
        <f t="shared" si="1"/>
        <v>602</v>
      </c>
      <c r="B603" s="218" t="s">
        <v>203</v>
      </c>
      <c r="C603" s="218" t="s">
        <v>3196</v>
      </c>
      <c r="D603" s="218" t="b">
        <v>1</v>
      </c>
      <c r="E603" s="219" t="b">
        <v>0</v>
      </c>
      <c r="F603" s="219" t="b">
        <v>0</v>
      </c>
      <c r="G603" s="219"/>
    </row>
    <row r="604">
      <c r="A604" s="218">
        <f t="shared" si="1"/>
        <v>603</v>
      </c>
      <c r="B604" s="218" t="s">
        <v>203</v>
      </c>
      <c r="C604" s="218" t="s">
        <v>3209</v>
      </c>
      <c r="D604" s="218" t="b">
        <v>1</v>
      </c>
      <c r="E604" s="219" t="b">
        <v>0</v>
      </c>
      <c r="F604" s="219" t="b">
        <v>0</v>
      </c>
      <c r="G604" s="219"/>
    </row>
    <row r="605">
      <c r="A605" s="218">
        <f t="shared" si="1"/>
        <v>604</v>
      </c>
      <c r="B605" s="218" t="s">
        <v>203</v>
      </c>
      <c r="C605" s="218" t="s">
        <v>2062</v>
      </c>
      <c r="D605" s="218" t="b">
        <v>1</v>
      </c>
      <c r="E605" s="219" t="b">
        <v>0</v>
      </c>
      <c r="F605" s="219" t="b">
        <v>0</v>
      </c>
      <c r="G605" s="219"/>
    </row>
    <row r="606">
      <c r="A606" s="218">
        <f t="shared" si="1"/>
        <v>605</v>
      </c>
      <c r="B606" s="218" t="s">
        <v>203</v>
      </c>
      <c r="C606" s="218" t="s">
        <v>3205</v>
      </c>
      <c r="D606" s="218" t="b">
        <v>1</v>
      </c>
      <c r="E606" s="219" t="b">
        <v>0</v>
      </c>
      <c r="F606" s="219" t="b">
        <v>0</v>
      </c>
      <c r="G606" s="219"/>
    </row>
    <row r="607">
      <c r="A607" s="218">
        <f t="shared" si="1"/>
        <v>606</v>
      </c>
      <c r="B607" s="218" t="s">
        <v>203</v>
      </c>
      <c r="C607" s="218" t="s">
        <v>3250</v>
      </c>
      <c r="D607" s="218" t="b">
        <v>1</v>
      </c>
      <c r="E607" s="219" t="b">
        <v>0</v>
      </c>
      <c r="F607" s="219" t="b">
        <v>0</v>
      </c>
      <c r="G607" s="219"/>
    </row>
    <row r="608">
      <c r="A608" s="218">
        <f t="shared" si="1"/>
        <v>607</v>
      </c>
      <c r="B608" s="218" t="s">
        <v>203</v>
      </c>
      <c r="C608" s="218" t="s">
        <v>3330</v>
      </c>
      <c r="D608" s="218" t="b">
        <v>1</v>
      </c>
      <c r="E608" s="219" t="b">
        <v>0</v>
      </c>
      <c r="F608" s="219" t="b">
        <v>0</v>
      </c>
      <c r="G608" s="219"/>
    </row>
    <row r="609">
      <c r="A609" s="218">
        <f t="shared" si="1"/>
        <v>608</v>
      </c>
      <c r="B609" s="218" t="s">
        <v>203</v>
      </c>
      <c r="C609" s="218" t="s">
        <v>3307</v>
      </c>
      <c r="D609" s="218" t="b">
        <v>1</v>
      </c>
      <c r="E609" s="219" t="b">
        <v>0</v>
      </c>
      <c r="F609" s="219" t="b">
        <v>0</v>
      </c>
      <c r="G609" s="219"/>
    </row>
    <row r="610">
      <c r="A610" s="218">
        <f t="shared" si="1"/>
        <v>609</v>
      </c>
      <c r="B610" s="218" t="s">
        <v>203</v>
      </c>
      <c r="C610" s="218" t="s">
        <v>3288</v>
      </c>
      <c r="D610" s="218" t="b">
        <v>1</v>
      </c>
      <c r="E610" s="219" t="b">
        <v>0</v>
      </c>
      <c r="F610" s="219" t="b">
        <v>0</v>
      </c>
      <c r="G610" s="219"/>
    </row>
    <row r="611">
      <c r="A611" s="218">
        <f t="shared" si="1"/>
        <v>610</v>
      </c>
      <c r="B611" s="218" t="s">
        <v>203</v>
      </c>
      <c r="C611" s="218" t="s">
        <v>1740</v>
      </c>
      <c r="D611" s="218" t="b">
        <v>1</v>
      </c>
      <c r="E611" s="219" t="b">
        <v>0</v>
      </c>
      <c r="F611" s="219" t="b">
        <v>0</v>
      </c>
      <c r="G611" s="219"/>
    </row>
    <row r="612">
      <c r="A612" s="218">
        <f t="shared" si="1"/>
        <v>611</v>
      </c>
      <c r="B612" s="218" t="s">
        <v>203</v>
      </c>
      <c r="C612" s="218" t="s">
        <v>3284</v>
      </c>
      <c r="D612" s="218" t="b">
        <v>1</v>
      </c>
      <c r="E612" s="219" t="b">
        <v>0</v>
      </c>
      <c r="F612" s="219" t="b">
        <v>0</v>
      </c>
      <c r="G612" s="219"/>
    </row>
    <row r="613">
      <c r="A613" s="218">
        <f t="shared" si="1"/>
        <v>612</v>
      </c>
      <c r="B613" s="218" t="s">
        <v>203</v>
      </c>
      <c r="C613" s="218" t="s">
        <v>3213</v>
      </c>
      <c r="D613" s="218" t="b">
        <v>1</v>
      </c>
      <c r="E613" s="219" t="b">
        <v>0</v>
      </c>
      <c r="F613" s="219" t="b">
        <v>0</v>
      </c>
      <c r="G613" s="219"/>
    </row>
    <row r="614">
      <c r="A614" s="218">
        <f t="shared" si="1"/>
        <v>613</v>
      </c>
      <c r="B614" s="218" t="s">
        <v>203</v>
      </c>
      <c r="C614" s="218" t="s">
        <v>3279</v>
      </c>
      <c r="D614" s="218" t="b">
        <v>1</v>
      </c>
      <c r="E614" s="219" t="b">
        <v>0</v>
      </c>
      <c r="F614" s="219" t="b">
        <v>0</v>
      </c>
      <c r="G614" s="219"/>
    </row>
    <row r="615">
      <c r="A615" s="218">
        <f t="shared" si="1"/>
        <v>614</v>
      </c>
      <c r="B615" s="218" t="s">
        <v>203</v>
      </c>
      <c r="C615" s="218" t="s">
        <v>3116</v>
      </c>
      <c r="D615" s="218" t="b">
        <v>1</v>
      </c>
      <c r="E615" s="219" t="b">
        <v>0</v>
      </c>
      <c r="F615" s="219" t="b">
        <v>0</v>
      </c>
      <c r="G615" s="219"/>
    </row>
    <row r="616">
      <c r="A616" s="218">
        <f t="shared" si="1"/>
        <v>615</v>
      </c>
      <c r="B616" s="218" t="s">
        <v>203</v>
      </c>
      <c r="C616" s="218" t="s">
        <v>1412</v>
      </c>
      <c r="D616" s="218" t="b">
        <v>1</v>
      </c>
      <c r="E616" s="219" t="b">
        <v>0</v>
      </c>
      <c r="F616" s="219" t="b">
        <v>0</v>
      </c>
      <c r="G616" s="219"/>
    </row>
    <row r="617">
      <c r="A617" s="218">
        <f t="shared" si="1"/>
        <v>616</v>
      </c>
      <c r="B617" s="218" t="s">
        <v>203</v>
      </c>
      <c r="C617" s="218" t="s">
        <v>676</v>
      </c>
      <c r="D617" s="218" t="b">
        <v>1</v>
      </c>
      <c r="E617" s="219" t="b">
        <v>0</v>
      </c>
      <c r="F617" s="219" t="b">
        <v>0</v>
      </c>
      <c r="G617" s="219"/>
    </row>
    <row r="618">
      <c r="A618" s="218">
        <f t="shared" si="1"/>
        <v>617</v>
      </c>
      <c r="B618" s="218" t="s">
        <v>203</v>
      </c>
      <c r="C618" s="218" t="s">
        <v>807</v>
      </c>
      <c r="D618" s="218" t="b">
        <v>1</v>
      </c>
      <c r="E618" s="219" t="b">
        <v>0</v>
      </c>
      <c r="F618" s="219" t="b">
        <v>0</v>
      </c>
      <c r="G618" s="219"/>
    </row>
    <row r="619">
      <c r="A619" s="218">
        <f t="shared" si="1"/>
        <v>618</v>
      </c>
      <c r="B619" s="218" t="s">
        <v>203</v>
      </c>
      <c r="C619" s="218" t="s">
        <v>802</v>
      </c>
      <c r="D619" s="218" t="b">
        <v>1</v>
      </c>
      <c r="E619" s="219" t="b">
        <v>0</v>
      </c>
      <c r="F619" s="219" t="b">
        <v>0</v>
      </c>
      <c r="G619" s="219"/>
    </row>
    <row r="620">
      <c r="A620" s="218">
        <f t="shared" si="1"/>
        <v>619</v>
      </c>
      <c r="B620" s="218" t="s">
        <v>203</v>
      </c>
      <c r="C620" s="218" t="s">
        <v>879</v>
      </c>
      <c r="D620" s="218" t="b">
        <v>1</v>
      </c>
      <c r="E620" s="219" t="b">
        <v>0</v>
      </c>
      <c r="F620" s="219" t="b">
        <v>0</v>
      </c>
      <c r="G620" s="219"/>
    </row>
    <row r="621">
      <c r="A621" s="218">
        <f t="shared" si="1"/>
        <v>620</v>
      </c>
      <c r="B621" s="218" t="s">
        <v>203</v>
      </c>
      <c r="C621" s="218" t="s">
        <v>846</v>
      </c>
      <c r="D621" s="218" t="b">
        <v>1</v>
      </c>
      <c r="E621" s="219" t="b">
        <v>0</v>
      </c>
      <c r="F621" s="219" t="b">
        <v>0</v>
      </c>
      <c r="G621" s="219"/>
    </row>
    <row r="622">
      <c r="A622" s="218">
        <f t="shared" si="1"/>
        <v>621</v>
      </c>
      <c r="B622" s="218" t="s">
        <v>203</v>
      </c>
      <c r="C622" s="218" t="s">
        <v>903</v>
      </c>
      <c r="D622" s="218" t="b">
        <v>1</v>
      </c>
      <c r="E622" s="219" t="b">
        <v>0</v>
      </c>
      <c r="F622" s="219" t="b">
        <v>0</v>
      </c>
      <c r="G622" s="219"/>
    </row>
    <row r="623">
      <c r="A623" s="218">
        <f t="shared" si="1"/>
        <v>622</v>
      </c>
      <c r="B623" s="218" t="s">
        <v>203</v>
      </c>
      <c r="C623" s="218" t="s">
        <v>918</v>
      </c>
      <c r="D623" s="218" t="b">
        <v>1</v>
      </c>
      <c r="E623" s="219" t="b">
        <v>0</v>
      </c>
      <c r="F623" s="219" t="b">
        <v>0</v>
      </c>
      <c r="G623" s="219"/>
    </row>
    <row r="624">
      <c r="A624" s="218">
        <f t="shared" si="1"/>
        <v>623</v>
      </c>
      <c r="B624" s="218" t="s">
        <v>203</v>
      </c>
      <c r="C624" s="218" t="s">
        <v>962</v>
      </c>
      <c r="D624" s="218" t="b">
        <v>1</v>
      </c>
      <c r="E624" s="219" t="b">
        <v>0</v>
      </c>
      <c r="F624" s="219" t="b">
        <v>0</v>
      </c>
      <c r="G624" s="219"/>
    </row>
    <row r="625">
      <c r="A625" s="218">
        <f t="shared" si="1"/>
        <v>624</v>
      </c>
      <c r="B625" s="218" t="s">
        <v>203</v>
      </c>
      <c r="C625" s="218" t="s">
        <v>967</v>
      </c>
      <c r="D625" s="218" t="b">
        <v>1</v>
      </c>
      <c r="E625" s="219" t="b">
        <v>0</v>
      </c>
      <c r="F625" s="219" t="b">
        <v>0</v>
      </c>
      <c r="G625" s="219"/>
    </row>
    <row r="626">
      <c r="A626" s="218">
        <f t="shared" si="1"/>
        <v>625</v>
      </c>
      <c r="B626" s="218" t="s">
        <v>203</v>
      </c>
      <c r="C626" s="218" t="s">
        <v>908</v>
      </c>
      <c r="D626" s="218" t="b">
        <v>1</v>
      </c>
      <c r="E626" s="219" t="b">
        <v>0</v>
      </c>
      <c r="F626" s="219" t="b">
        <v>0</v>
      </c>
      <c r="G626" s="219"/>
    </row>
    <row r="627">
      <c r="A627" s="218">
        <f t="shared" si="1"/>
        <v>626</v>
      </c>
      <c r="B627" s="218" t="s">
        <v>203</v>
      </c>
      <c r="C627" s="218" t="s">
        <v>1124</v>
      </c>
      <c r="D627" s="218" t="b">
        <v>1</v>
      </c>
      <c r="E627" s="219" t="b">
        <v>0</v>
      </c>
      <c r="F627" s="219" t="b">
        <v>0</v>
      </c>
      <c r="G627" s="219"/>
    </row>
    <row r="628">
      <c r="A628" s="218">
        <f t="shared" si="1"/>
        <v>627</v>
      </c>
      <c r="B628" s="218" t="s">
        <v>203</v>
      </c>
      <c r="C628" s="218" t="s">
        <v>957</v>
      </c>
      <c r="D628" s="218" t="b">
        <v>1</v>
      </c>
      <c r="E628" s="219" t="b">
        <v>0</v>
      </c>
      <c r="F628" s="219" t="b">
        <v>0</v>
      </c>
      <c r="G628" s="219"/>
    </row>
    <row r="629">
      <c r="A629" s="218">
        <f t="shared" si="1"/>
        <v>628</v>
      </c>
      <c r="B629" s="218" t="s">
        <v>203</v>
      </c>
      <c r="C629" s="218" t="s">
        <v>1035</v>
      </c>
      <c r="D629" s="218" t="b">
        <v>1</v>
      </c>
      <c r="E629" s="219" t="b">
        <v>0</v>
      </c>
      <c r="F629" s="219" t="b">
        <v>0</v>
      </c>
      <c r="G629" s="219"/>
    </row>
    <row r="630">
      <c r="A630" s="218">
        <f t="shared" si="1"/>
        <v>629</v>
      </c>
      <c r="B630" s="218" t="s">
        <v>203</v>
      </c>
      <c r="C630" s="218" t="s">
        <v>1048</v>
      </c>
      <c r="D630" s="218" t="b">
        <v>1</v>
      </c>
      <c r="E630" s="219" t="b">
        <v>0</v>
      </c>
      <c r="F630" s="219" t="b">
        <v>0</v>
      </c>
      <c r="G630" s="219"/>
    </row>
    <row r="631">
      <c r="A631" s="218">
        <f t="shared" si="1"/>
        <v>630</v>
      </c>
      <c r="B631" s="218" t="s">
        <v>203</v>
      </c>
      <c r="C631" s="218" t="s">
        <v>1006</v>
      </c>
      <c r="D631" s="218" t="b">
        <v>1</v>
      </c>
      <c r="E631" s="219" t="b">
        <v>0</v>
      </c>
      <c r="F631" s="219" t="b">
        <v>0</v>
      </c>
      <c r="G631" s="219"/>
    </row>
    <row r="632">
      <c r="A632" s="218">
        <f t="shared" si="1"/>
        <v>631</v>
      </c>
      <c r="B632" s="218" t="s">
        <v>203</v>
      </c>
      <c r="C632" s="218" t="s">
        <v>927</v>
      </c>
      <c r="D632" s="218" t="b">
        <v>1</v>
      </c>
      <c r="E632" s="219" t="b">
        <v>0</v>
      </c>
      <c r="F632" s="219" t="b">
        <v>0</v>
      </c>
      <c r="G632" s="219"/>
    </row>
    <row r="633">
      <c r="A633" s="218">
        <f t="shared" si="1"/>
        <v>632</v>
      </c>
      <c r="B633" s="218" t="s">
        <v>203</v>
      </c>
      <c r="C633" s="218" t="s">
        <v>1085</v>
      </c>
      <c r="D633" s="218" t="b">
        <v>1</v>
      </c>
      <c r="E633" s="219" t="b">
        <v>0</v>
      </c>
      <c r="F633" s="219" t="b">
        <v>0</v>
      </c>
      <c r="G633" s="219"/>
    </row>
    <row r="634">
      <c r="A634" s="218">
        <f t="shared" si="1"/>
        <v>633</v>
      </c>
      <c r="B634" s="218" t="s">
        <v>203</v>
      </c>
      <c r="C634" s="218" t="s">
        <v>1085</v>
      </c>
      <c r="D634" s="218" t="b">
        <v>1</v>
      </c>
      <c r="E634" s="219" t="b">
        <v>0</v>
      </c>
      <c r="F634" s="219" t="b">
        <v>0</v>
      </c>
      <c r="G634" s="219"/>
    </row>
    <row r="635">
      <c r="A635" s="218">
        <f t="shared" si="1"/>
        <v>634</v>
      </c>
      <c r="B635" s="218" t="s">
        <v>203</v>
      </c>
      <c r="C635" s="218" t="s">
        <v>1104</v>
      </c>
      <c r="D635" s="218" t="b">
        <v>1</v>
      </c>
      <c r="E635" s="219" t="b">
        <v>0</v>
      </c>
      <c r="F635" s="219" t="b">
        <v>0</v>
      </c>
      <c r="G635" s="219"/>
    </row>
    <row r="636">
      <c r="A636" s="218">
        <f t="shared" si="1"/>
        <v>635</v>
      </c>
      <c r="B636" s="218" t="s">
        <v>203</v>
      </c>
      <c r="C636" s="218" t="s">
        <v>1081</v>
      </c>
      <c r="D636" s="218" t="b">
        <v>1</v>
      </c>
      <c r="E636" s="219" t="b">
        <v>0</v>
      </c>
      <c r="F636" s="219" t="b">
        <v>0</v>
      </c>
      <c r="G636" s="219"/>
    </row>
    <row r="637">
      <c r="A637" s="218">
        <f t="shared" si="1"/>
        <v>636</v>
      </c>
      <c r="B637" s="218" t="s">
        <v>203</v>
      </c>
      <c r="C637" s="218" t="s">
        <v>1039</v>
      </c>
      <c r="D637" s="218" t="b">
        <v>1</v>
      </c>
      <c r="E637" s="219" t="b">
        <v>0</v>
      </c>
      <c r="F637" s="219" t="b">
        <v>0</v>
      </c>
      <c r="G637" s="219"/>
    </row>
    <row r="638">
      <c r="A638" s="218">
        <f t="shared" si="1"/>
        <v>637</v>
      </c>
      <c r="B638" s="218" t="s">
        <v>203</v>
      </c>
      <c r="C638" s="218" t="s">
        <v>842</v>
      </c>
      <c r="D638" s="218" t="b">
        <v>1</v>
      </c>
      <c r="E638" s="219" t="b">
        <v>0</v>
      </c>
      <c r="F638" s="219" t="b">
        <v>0</v>
      </c>
      <c r="G638" s="219"/>
    </row>
    <row r="639">
      <c r="A639" s="218">
        <f t="shared" si="1"/>
        <v>638</v>
      </c>
      <c r="B639" s="218" t="s">
        <v>203</v>
      </c>
      <c r="C639" s="218" t="s">
        <v>869</v>
      </c>
      <c r="D639" s="218" t="b">
        <v>1</v>
      </c>
      <c r="E639" s="219" t="b">
        <v>0</v>
      </c>
      <c r="F639" s="219" t="b">
        <v>0</v>
      </c>
      <c r="G639" s="219"/>
    </row>
    <row r="640">
      <c r="A640" s="218">
        <f t="shared" si="1"/>
        <v>639</v>
      </c>
      <c r="B640" s="218" t="s">
        <v>203</v>
      </c>
      <c r="C640" s="218" t="s">
        <v>856</v>
      </c>
      <c r="D640" s="218" t="b">
        <v>1</v>
      </c>
      <c r="E640" s="219" t="b">
        <v>0</v>
      </c>
      <c r="F640" s="219" t="b">
        <v>0</v>
      </c>
      <c r="G640" s="219"/>
    </row>
    <row r="641">
      <c r="A641" s="218">
        <f t="shared" si="1"/>
        <v>640</v>
      </c>
      <c r="B641" s="218" t="s">
        <v>203</v>
      </c>
      <c r="C641" s="218" t="s">
        <v>2262</v>
      </c>
      <c r="D641" s="218" t="b">
        <v>1</v>
      </c>
      <c r="E641" s="219" t="b">
        <v>0</v>
      </c>
      <c r="F641" s="219" t="b">
        <v>0</v>
      </c>
      <c r="G641" s="219"/>
    </row>
    <row r="642">
      <c r="A642" s="218">
        <f t="shared" si="1"/>
        <v>641</v>
      </c>
      <c r="B642" s="218" t="s">
        <v>203</v>
      </c>
      <c r="C642" s="218" t="s">
        <v>2140</v>
      </c>
      <c r="D642" s="218" t="b">
        <v>1</v>
      </c>
      <c r="E642" s="219" t="b">
        <v>0</v>
      </c>
      <c r="F642" s="219" t="b">
        <v>0</v>
      </c>
      <c r="G642" s="219"/>
    </row>
    <row r="643">
      <c r="A643" s="218">
        <f t="shared" si="1"/>
        <v>642</v>
      </c>
      <c r="B643" s="218" t="s">
        <v>203</v>
      </c>
      <c r="C643" s="218" t="s">
        <v>2371</v>
      </c>
      <c r="D643" s="218" t="b">
        <v>1</v>
      </c>
      <c r="E643" s="219" t="b">
        <v>0</v>
      </c>
      <c r="F643" s="219" t="b">
        <v>0</v>
      </c>
      <c r="G643" s="219"/>
    </row>
    <row r="644">
      <c r="A644" s="218">
        <f t="shared" si="1"/>
        <v>643</v>
      </c>
      <c r="B644" s="218" t="s">
        <v>203</v>
      </c>
      <c r="C644" s="218" t="s">
        <v>2287</v>
      </c>
      <c r="D644" s="218" t="b">
        <v>1</v>
      </c>
      <c r="E644" s="219" t="b">
        <v>0</v>
      </c>
      <c r="F644" s="219" t="b">
        <v>0</v>
      </c>
      <c r="G644" s="219"/>
    </row>
    <row r="645">
      <c r="A645" s="218">
        <f t="shared" si="1"/>
        <v>644</v>
      </c>
      <c r="B645" s="218" t="s">
        <v>203</v>
      </c>
      <c r="C645" s="218" t="s">
        <v>2252</v>
      </c>
      <c r="D645" s="218" t="b">
        <v>1</v>
      </c>
      <c r="E645" s="219" t="b">
        <v>0</v>
      </c>
      <c r="F645" s="219" t="b">
        <v>0</v>
      </c>
      <c r="G645" s="219"/>
    </row>
    <row r="646">
      <c r="A646" s="218">
        <f t="shared" si="1"/>
        <v>645</v>
      </c>
      <c r="B646" s="218" t="s">
        <v>203</v>
      </c>
      <c r="C646" s="218" t="s">
        <v>2257</v>
      </c>
      <c r="D646" s="218" t="b">
        <v>1</v>
      </c>
      <c r="E646" s="219" t="b">
        <v>0</v>
      </c>
      <c r="F646" s="219" t="b">
        <v>0</v>
      </c>
      <c r="G646" s="219"/>
    </row>
    <row r="647">
      <c r="A647" s="218">
        <f t="shared" si="1"/>
        <v>646</v>
      </c>
      <c r="B647" s="218" t="s">
        <v>203</v>
      </c>
      <c r="C647" s="218" t="s">
        <v>2272</v>
      </c>
      <c r="D647" s="218" t="b">
        <v>1</v>
      </c>
      <c r="E647" s="219" t="b">
        <v>0</v>
      </c>
      <c r="F647" s="219" t="b">
        <v>0</v>
      </c>
      <c r="G647" s="219"/>
    </row>
    <row r="648">
      <c r="A648" s="218">
        <f t="shared" si="1"/>
        <v>647</v>
      </c>
      <c r="B648" s="218" t="s">
        <v>203</v>
      </c>
      <c r="C648" s="218" t="s">
        <v>2282</v>
      </c>
      <c r="D648" s="218" t="b">
        <v>1</v>
      </c>
      <c r="E648" s="219" t="b">
        <v>0</v>
      </c>
      <c r="F648" s="219" t="b">
        <v>0</v>
      </c>
      <c r="G648" s="219"/>
    </row>
    <row r="649">
      <c r="A649" s="218">
        <f t="shared" si="1"/>
        <v>648</v>
      </c>
      <c r="B649" s="218" t="s">
        <v>203</v>
      </c>
      <c r="C649" s="218" t="s">
        <v>2267</v>
      </c>
      <c r="D649" s="218" t="b">
        <v>1</v>
      </c>
      <c r="E649" s="219" t="b">
        <v>0</v>
      </c>
      <c r="F649" s="219" t="b">
        <v>0</v>
      </c>
      <c r="G649" s="219"/>
    </row>
    <row r="650">
      <c r="A650" s="218">
        <f t="shared" si="1"/>
        <v>649</v>
      </c>
      <c r="B650" s="218" t="s">
        <v>203</v>
      </c>
      <c r="C650" s="218" t="s">
        <v>2159</v>
      </c>
      <c r="D650" s="218" t="b">
        <v>1</v>
      </c>
      <c r="E650" s="219" t="b">
        <v>0</v>
      </c>
      <c r="F650" s="219" t="b">
        <v>0</v>
      </c>
      <c r="G650" s="219"/>
    </row>
    <row r="651">
      <c r="A651" s="218">
        <f t="shared" si="1"/>
        <v>650</v>
      </c>
      <c r="B651" s="218" t="s">
        <v>203</v>
      </c>
      <c r="C651" s="218" t="s">
        <v>2122</v>
      </c>
      <c r="D651" s="218" t="b">
        <v>1</v>
      </c>
      <c r="E651" s="219" t="b">
        <v>0</v>
      </c>
      <c r="F651" s="219" t="b">
        <v>0</v>
      </c>
      <c r="G651" s="219"/>
    </row>
    <row r="652">
      <c r="A652" s="218">
        <f t="shared" si="1"/>
        <v>651</v>
      </c>
      <c r="B652" s="218" t="s">
        <v>203</v>
      </c>
      <c r="C652" s="218" t="s">
        <v>2118</v>
      </c>
      <c r="D652" s="218" t="b">
        <v>1</v>
      </c>
      <c r="E652" s="219" t="b">
        <v>0</v>
      </c>
      <c r="F652" s="219" t="b">
        <v>0</v>
      </c>
      <c r="G652" s="219"/>
    </row>
    <row r="653">
      <c r="A653" s="218">
        <f t="shared" si="1"/>
        <v>652</v>
      </c>
      <c r="B653" s="218" t="s">
        <v>203</v>
      </c>
      <c r="C653" s="218" t="s">
        <v>2242</v>
      </c>
      <c r="D653" s="218" t="b">
        <v>1</v>
      </c>
      <c r="E653" s="219" t="b">
        <v>0</v>
      </c>
      <c r="F653" s="219" t="b">
        <v>0</v>
      </c>
      <c r="G653" s="219"/>
    </row>
    <row r="654">
      <c r="A654" s="218">
        <f t="shared" si="1"/>
        <v>653</v>
      </c>
      <c r="B654" s="218" t="s">
        <v>203</v>
      </c>
      <c r="C654" s="218" t="s">
        <v>2306</v>
      </c>
      <c r="D654" s="218" t="b">
        <v>1</v>
      </c>
      <c r="E654" s="219" t="b">
        <v>0</v>
      </c>
      <c r="F654" s="219" t="b">
        <v>0</v>
      </c>
      <c r="G654" s="219"/>
    </row>
    <row r="655">
      <c r="A655" s="218">
        <f t="shared" si="1"/>
        <v>654</v>
      </c>
      <c r="B655" s="218" t="s">
        <v>203</v>
      </c>
      <c r="C655" s="218" t="s">
        <v>2169</v>
      </c>
      <c r="D655" s="218" t="b">
        <v>1</v>
      </c>
      <c r="E655" s="219" t="b">
        <v>0</v>
      </c>
      <c r="F655" s="219" t="b">
        <v>0</v>
      </c>
      <c r="G655" s="219"/>
    </row>
    <row r="656">
      <c r="A656" s="218">
        <f t="shared" si="1"/>
        <v>655</v>
      </c>
      <c r="B656" s="218" t="s">
        <v>203</v>
      </c>
      <c r="C656" s="218" t="s">
        <v>2150</v>
      </c>
      <c r="D656" s="218" t="b">
        <v>1</v>
      </c>
      <c r="E656" s="219" t="b">
        <v>0</v>
      </c>
      <c r="F656" s="219" t="b">
        <v>0</v>
      </c>
      <c r="G656" s="219"/>
    </row>
    <row r="657">
      <c r="A657" s="218">
        <f t="shared" si="1"/>
        <v>656</v>
      </c>
      <c r="B657" s="218" t="s">
        <v>203</v>
      </c>
      <c r="C657" s="218" t="s">
        <v>2155</v>
      </c>
      <c r="D657" s="218" t="b">
        <v>1</v>
      </c>
      <c r="E657" s="219" t="b">
        <v>0</v>
      </c>
      <c r="F657" s="219" t="b">
        <v>0</v>
      </c>
      <c r="G657" s="219"/>
    </row>
    <row r="658">
      <c r="A658" s="218">
        <f t="shared" si="1"/>
        <v>657</v>
      </c>
      <c r="B658" s="218" t="s">
        <v>203</v>
      </c>
      <c r="C658" s="218" t="s">
        <v>2174</v>
      </c>
      <c r="D658" s="218" t="b">
        <v>1</v>
      </c>
      <c r="E658" s="219" t="b">
        <v>0</v>
      </c>
      <c r="F658" s="219" t="b">
        <v>0</v>
      </c>
      <c r="G658" s="219"/>
    </row>
    <row r="659">
      <c r="A659" s="218">
        <f t="shared" si="1"/>
        <v>658</v>
      </c>
      <c r="B659" s="218" t="s">
        <v>203</v>
      </c>
      <c r="C659" s="218" t="s">
        <v>2247</v>
      </c>
      <c r="D659" s="218" t="b">
        <v>1</v>
      </c>
      <c r="E659" s="219" t="b">
        <v>0</v>
      </c>
      <c r="F659" s="219" t="b">
        <v>0</v>
      </c>
      <c r="G659" s="219"/>
    </row>
    <row r="660">
      <c r="A660" s="218">
        <f t="shared" si="1"/>
        <v>659</v>
      </c>
      <c r="B660" s="218" t="s">
        <v>203</v>
      </c>
      <c r="C660" s="218" t="s">
        <v>2376</v>
      </c>
      <c r="D660" s="218" t="b">
        <v>1</v>
      </c>
      <c r="E660" s="219" t="b">
        <v>0</v>
      </c>
      <c r="F660" s="219" t="b">
        <v>0</v>
      </c>
      <c r="G660" s="219"/>
    </row>
    <row r="661">
      <c r="A661" s="218">
        <f t="shared" si="1"/>
        <v>660</v>
      </c>
      <c r="B661" s="218" t="s">
        <v>203</v>
      </c>
      <c r="C661" s="218" t="s">
        <v>2184</v>
      </c>
      <c r="D661" s="218" t="b">
        <v>1</v>
      </c>
      <c r="E661" s="219" t="b">
        <v>0</v>
      </c>
      <c r="F661" s="219" t="b">
        <v>0</v>
      </c>
      <c r="G661" s="219"/>
    </row>
    <row r="662">
      <c r="A662" s="218">
        <f t="shared" si="1"/>
        <v>661</v>
      </c>
      <c r="B662" s="218" t="s">
        <v>203</v>
      </c>
      <c r="C662" s="218" t="s">
        <v>2362</v>
      </c>
      <c r="D662" s="218" t="b">
        <v>1</v>
      </c>
      <c r="E662" s="219" t="b">
        <v>0</v>
      </c>
      <c r="F662" s="219" t="b">
        <v>0</v>
      </c>
      <c r="G662" s="219"/>
    </row>
    <row r="663">
      <c r="A663" s="218">
        <f t="shared" si="1"/>
        <v>662</v>
      </c>
      <c r="B663" s="218" t="s">
        <v>203</v>
      </c>
      <c r="C663" s="218" t="s">
        <v>2366</v>
      </c>
      <c r="D663" s="218" t="b">
        <v>1</v>
      </c>
      <c r="E663" s="219" t="b">
        <v>0</v>
      </c>
      <c r="F663" s="219" t="b">
        <v>0</v>
      </c>
      <c r="G663" s="219"/>
    </row>
    <row r="664">
      <c r="A664" s="218">
        <f t="shared" si="1"/>
        <v>663</v>
      </c>
      <c r="B664" s="218" t="s">
        <v>203</v>
      </c>
      <c r="C664" s="218" t="s">
        <v>2227</v>
      </c>
      <c r="D664" s="218" t="b">
        <v>1</v>
      </c>
      <c r="E664" s="219" t="b">
        <v>0</v>
      </c>
      <c r="F664" s="219" t="b">
        <v>0</v>
      </c>
      <c r="G664" s="219"/>
    </row>
    <row r="665">
      <c r="A665" s="218">
        <f t="shared" si="1"/>
        <v>664</v>
      </c>
      <c r="B665" s="218" t="s">
        <v>203</v>
      </c>
      <c r="C665" s="218" t="s">
        <v>2660</v>
      </c>
      <c r="D665" s="218" t="b">
        <v>1</v>
      </c>
      <c r="E665" s="219" t="b">
        <v>0</v>
      </c>
      <c r="F665" s="219" t="b">
        <v>0</v>
      </c>
      <c r="G665" s="219"/>
    </row>
    <row r="666">
      <c r="A666" s="218">
        <f t="shared" si="1"/>
        <v>665</v>
      </c>
      <c r="B666" s="218" t="s">
        <v>203</v>
      </c>
      <c r="C666" s="218" t="s">
        <v>2614</v>
      </c>
      <c r="D666" s="218" t="b">
        <v>1</v>
      </c>
      <c r="E666" s="219" t="b">
        <v>0</v>
      </c>
      <c r="F666" s="219" t="b">
        <v>0</v>
      </c>
      <c r="G666" s="219"/>
    </row>
    <row r="667">
      <c r="A667" s="218">
        <f t="shared" si="1"/>
        <v>666</v>
      </c>
      <c r="B667" s="218" t="s">
        <v>203</v>
      </c>
      <c r="C667" s="218" t="s">
        <v>627</v>
      </c>
      <c r="D667" s="218" t="b">
        <v>1</v>
      </c>
      <c r="E667" s="219" t="b">
        <v>0</v>
      </c>
      <c r="F667" s="219" t="b">
        <v>0</v>
      </c>
      <c r="G667" s="219"/>
    </row>
    <row r="668">
      <c r="A668" s="218">
        <f t="shared" si="1"/>
        <v>667</v>
      </c>
      <c r="B668" s="218" t="s">
        <v>203</v>
      </c>
      <c r="C668" s="218" t="s">
        <v>2703</v>
      </c>
      <c r="D668" s="218" t="b">
        <v>1</v>
      </c>
      <c r="E668" s="219" t="b">
        <v>0</v>
      </c>
      <c r="F668" s="219" t="b">
        <v>0</v>
      </c>
      <c r="G668" s="219"/>
    </row>
    <row r="669">
      <c r="A669" s="218">
        <f t="shared" si="1"/>
        <v>668</v>
      </c>
      <c r="B669" s="218" t="s">
        <v>203</v>
      </c>
      <c r="C669" s="218" t="s">
        <v>575</v>
      </c>
      <c r="D669" s="218" t="b">
        <v>1</v>
      </c>
      <c r="E669" s="219" t="b">
        <v>0</v>
      </c>
      <c r="F669" s="219" t="b">
        <v>0</v>
      </c>
      <c r="G669" s="219"/>
    </row>
    <row r="670">
      <c r="A670" s="218">
        <f t="shared" si="1"/>
        <v>669</v>
      </c>
      <c r="B670" s="218" t="s">
        <v>203</v>
      </c>
      <c r="C670" s="218" t="s">
        <v>2641</v>
      </c>
      <c r="D670" s="218" t="b">
        <v>1</v>
      </c>
      <c r="E670" s="219" t="b">
        <v>0</v>
      </c>
      <c r="F670" s="219" t="b">
        <v>0</v>
      </c>
      <c r="G670" s="219"/>
    </row>
    <row r="671">
      <c r="A671" s="218">
        <f t="shared" si="1"/>
        <v>670</v>
      </c>
      <c r="B671" s="218" t="s">
        <v>203</v>
      </c>
      <c r="C671" s="218" t="s">
        <v>2617</v>
      </c>
      <c r="D671" s="218" t="b">
        <v>1</v>
      </c>
      <c r="E671" s="219" t="b">
        <v>0</v>
      </c>
      <c r="F671" s="219" t="b">
        <v>0</v>
      </c>
      <c r="G671" s="219"/>
    </row>
    <row r="672">
      <c r="A672" s="218">
        <f t="shared" si="1"/>
        <v>671</v>
      </c>
      <c r="B672" s="218" t="s">
        <v>203</v>
      </c>
      <c r="C672" s="218" t="s">
        <v>2633</v>
      </c>
      <c r="D672" s="218" t="b">
        <v>1</v>
      </c>
      <c r="E672" s="219" t="b">
        <v>0</v>
      </c>
      <c r="F672" s="219" t="b">
        <v>0</v>
      </c>
      <c r="G672" s="219"/>
    </row>
    <row r="673">
      <c r="A673" s="218">
        <f t="shared" si="1"/>
        <v>672</v>
      </c>
      <c r="B673" s="218" t="s">
        <v>203</v>
      </c>
      <c r="C673" s="218" t="s">
        <v>2624</v>
      </c>
      <c r="D673" s="218" t="b">
        <v>1</v>
      </c>
      <c r="E673" s="219" t="b">
        <v>0</v>
      </c>
      <c r="F673" s="219" t="b">
        <v>0</v>
      </c>
      <c r="G673" s="219"/>
    </row>
    <row r="674">
      <c r="A674" s="218">
        <f t="shared" si="1"/>
        <v>673</v>
      </c>
      <c r="B674" s="218" t="s">
        <v>203</v>
      </c>
      <c r="C674" s="218" t="s">
        <v>2728</v>
      </c>
      <c r="D674" s="218" t="b">
        <v>1</v>
      </c>
      <c r="E674" s="219" t="b">
        <v>0</v>
      </c>
      <c r="F674" s="219" t="b">
        <v>0</v>
      </c>
      <c r="G674" s="219"/>
    </row>
    <row r="675">
      <c r="A675" s="218">
        <f t="shared" si="1"/>
        <v>674</v>
      </c>
      <c r="B675" s="218" t="s">
        <v>203</v>
      </c>
      <c r="C675" s="218" t="s">
        <v>764</v>
      </c>
      <c r="D675" s="218" t="b">
        <v>1</v>
      </c>
      <c r="E675" s="219" t="b">
        <v>0</v>
      </c>
      <c r="F675" s="219" t="b">
        <v>0</v>
      </c>
      <c r="G675" s="219"/>
    </row>
    <row r="676">
      <c r="A676" s="218">
        <f t="shared" si="1"/>
        <v>675</v>
      </c>
      <c r="B676" s="218" t="s">
        <v>203</v>
      </c>
      <c r="C676" s="218" t="s">
        <v>2760</v>
      </c>
      <c r="D676" s="218" t="b">
        <v>1</v>
      </c>
      <c r="E676" s="219" t="b">
        <v>0</v>
      </c>
      <c r="F676" s="219" t="b">
        <v>0</v>
      </c>
      <c r="G676" s="219"/>
    </row>
    <row r="677">
      <c r="A677" s="218">
        <f t="shared" si="1"/>
        <v>676</v>
      </c>
      <c r="B677" s="218" t="s">
        <v>203</v>
      </c>
      <c r="C677" s="218" t="s">
        <v>2756</v>
      </c>
      <c r="D677" s="218" t="b">
        <v>1</v>
      </c>
      <c r="E677" s="219" t="b">
        <v>0</v>
      </c>
      <c r="F677" s="219" t="b">
        <v>0</v>
      </c>
      <c r="G677" s="219"/>
    </row>
    <row r="678">
      <c r="A678" s="218">
        <f t="shared" si="1"/>
        <v>677</v>
      </c>
      <c r="B678" s="218" t="s">
        <v>203</v>
      </c>
      <c r="C678" s="218" t="s">
        <v>2323</v>
      </c>
      <c r="D678" s="218" t="b">
        <v>1</v>
      </c>
      <c r="E678" s="219" t="b">
        <v>0</v>
      </c>
      <c r="F678" s="219" t="b">
        <v>0</v>
      </c>
      <c r="G678" s="219"/>
    </row>
    <row r="679">
      <c r="A679" s="218">
        <f t="shared" si="1"/>
        <v>678</v>
      </c>
      <c r="B679" s="218" t="s">
        <v>203</v>
      </c>
      <c r="C679" s="218" t="s">
        <v>2328</v>
      </c>
      <c r="D679" s="218" t="b">
        <v>1</v>
      </c>
      <c r="E679" s="219" t="b">
        <v>0</v>
      </c>
      <c r="F679" s="219" t="b">
        <v>0</v>
      </c>
      <c r="G679" s="219"/>
    </row>
    <row r="680">
      <c r="A680" s="218">
        <f t="shared" si="1"/>
        <v>679</v>
      </c>
      <c r="B680" s="218" t="s">
        <v>203</v>
      </c>
      <c r="C680" s="218" t="s">
        <v>2333</v>
      </c>
      <c r="D680" s="218" t="b">
        <v>1</v>
      </c>
      <c r="E680" s="219" t="b">
        <v>0</v>
      </c>
      <c r="F680" s="219" t="b">
        <v>0</v>
      </c>
      <c r="G680" s="219"/>
    </row>
    <row r="681">
      <c r="A681" s="218">
        <f t="shared" si="1"/>
        <v>680</v>
      </c>
      <c r="B681" s="218" t="s">
        <v>203</v>
      </c>
      <c r="C681" s="218" t="s">
        <v>2353</v>
      </c>
      <c r="D681" s="218" t="b">
        <v>1</v>
      </c>
      <c r="E681" s="219" t="b">
        <v>0</v>
      </c>
      <c r="F681" s="219" t="b">
        <v>0</v>
      </c>
      <c r="G681" s="219"/>
    </row>
    <row r="682">
      <c r="A682" s="218">
        <f t="shared" si="1"/>
        <v>681</v>
      </c>
      <c r="B682" s="218" t="s">
        <v>203</v>
      </c>
      <c r="C682" s="218" t="s">
        <v>2357</v>
      </c>
      <c r="D682" s="218" t="b">
        <v>1</v>
      </c>
      <c r="E682" s="219" t="b">
        <v>0</v>
      </c>
      <c r="F682" s="219" t="b">
        <v>0</v>
      </c>
      <c r="G682" s="219"/>
    </row>
    <row r="683">
      <c r="A683" s="218">
        <f t="shared" si="1"/>
        <v>682</v>
      </c>
      <c r="B683" s="218" t="s">
        <v>203</v>
      </c>
      <c r="C683" s="218" t="s">
        <v>2380</v>
      </c>
      <c r="D683" s="218" t="b">
        <v>1</v>
      </c>
      <c r="E683" s="219" t="b">
        <v>0</v>
      </c>
      <c r="F683" s="219" t="b">
        <v>0</v>
      </c>
      <c r="G683" s="219"/>
    </row>
    <row r="684">
      <c r="A684" s="218">
        <f t="shared" si="1"/>
        <v>683</v>
      </c>
      <c r="B684" s="218" t="s">
        <v>203</v>
      </c>
      <c r="C684" s="218" t="s">
        <v>2385</v>
      </c>
      <c r="D684" s="218" t="b">
        <v>1</v>
      </c>
      <c r="E684" s="219" t="b">
        <v>0</v>
      </c>
      <c r="F684" s="219" t="b">
        <v>0</v>
      </c>
      <c r="G684" s="219"/>
    </row>
    <row r="685">
      <c r="A685" s="218">
        <f t="shared" si="1"/>
        <v>684</v>
      </c>
      <c r="B685" s="218" t="s">
        <v>203</v>
      </c>
      <c r="C685" s="218" t="s">
        <v>2390</v>
      </c>
      <c r="D685" s="218" t="b">
        <v>1</v>
      </c>
      <c r="E685" s="219" t="b">
        <v>0</v>
      </c>
      <c r="F685" s="219" t="b">
        <v>0</v>
      </c>
      <c r="G685" s="219"/>
    </row>
    <row r="686">
      <c r="A686" s="218">
        <f t="shared" si="1"/>
        <v>685</v>
      </c>
      <c r="B686" s="218" t="s">
        <v>203</v>
      </c>
      <c r="C686" s="218" t="s">
        <v>2394</v>
      </c>
      <c r="D686" s="218" t="b">
        <v>1</v>
      </c>
      <c r="E686" s="219" t="b">
        <v>0</v>
      </c>
      <c r="F686" s="219" t="b">
        <v>0</v>
      </c>
      <c r="G686" s="219"/>
    </row>
    <row r="687">
      <c r="A687" s="218">
        <f t="shared" si="1"/>
        <v>686</v>
      </c>
      <c r="B687" s="218" t="s">
        <v>203</v>
      </c>
      <c r="C687" s="218" t="s">
        <v>2414</v>
      </c>
      <c r="D687" s="218" t="b">
        <v>1</v>
      </c>
      <c r="E687" s="219" t="b">
        <v>0</v>
      </c>
      <c r="F687" s="219" t="b">
        <v>0</v>
      </c>
      <c r="G687" s="219"/>
    </row>
    <row r="688">
      <c r="A688" s="218">
        <f t="shared" si="1"/>
        <v>687</v>
      </c>
      <c r="B688" s="218" t="s">
        <v>203</v>
      </c>
      <c r="C688" s="218" t="s">
        <v>2424</v>
      </c>
      <c r="D688" s="218" t="b">
        <v>1</v>
      </c>
      <c r="E688" s="219" t="b">
        <v>0</v>
      </c>
      <c r="F688" s="219" t="b">
        <v>0</v>
      </c>
      <c r="G688" s="219"/>
    </row>
    <row r="689">
      <c r="A689" s="218">
        <f t="shared" si="1"/>
        <v>688</v>
      </c>
      <c r="B689" s="218" t="s">
        <v>203</v>
      </c>
      <c r="C689" s="218" t="s">
        <v>2429</v>
      </c>
      <c r="D689" s="218" t="b">
        <v>1</v>
      </c>
      <c r="E689" s="219" t="b">
        <v>0</v>
      </c>
      <c r="F689" s="219" t="b">
        <v>0</v>
      </c>
      <c r="G689" s="219"/>
    </row>
    <row r="690">
      <c r="A690" s="218">
        <f t="shared" si="1"/>
        <v>689</v>
      </c>
      <c r="B690" s="218" t="s">
        <v>203</v>
      </c>
      <c r="C690" s="218" t="s">
        <v>2438</v>
      </c>
      <c r="D690" s="218" t="b">
        <v>1</v>
      </c>
      <c r="E690" s="219" t="b">
        <v>0</v>
      </c>
      <c r="F690" s="219" t="b">
        <v>0</v>
      </c>
      <c r="G690" s="219"/>
    </row>
    <row r="691">
      <c r="A691" s="218">
        <f t="shared" si="1"/>
        <v>690</v>
      </c>
      <c r="B691" s="218" t="s">
        <v>203</v>
      </c>
      <c r="C691" s="218" t="s">
        <v>2773</v>
      </c>
      <c r="D691" s="218" t="b">
        <v>1</v>
      </c>
      <c r="E691" s="219" t="b">
        <v>0</v>
      </c>
      <c r="F691" s="219" t="b">
        <v>0</v>
      </c>
      <c r="G691" s="219"/>
    </row>
    <row r="692">
      <c r="A692" s="218">
        <f t="shared" si="1"/>
        <v>691</v>
      </c>
      <c r="B692" s="218" t="s">
        <v>203</v>
      </c>
      <c r="C692" s="218" t="s">
        <v>2713</v>
      </c>
      <c r="D692" s="218" t="b">
        <v>1</v>
      </c>
      <c r="E692" s="219" t="b">
        <v>0</v>
      </c>
      <c r="F692" s="219" t="b">
        <v>0</v>
      </c>
      <c r="G692" s="219"/>
    </row>
    <row r="693">
      <c r="A693" s="218">
        <f t="shared" si="1"/>
        <v>692</v>
      </c>
      <c r="B693" s="218" t="s">
        <v>203</v>
      </c>
      <c r="C693" s="218" t="s">
        <v>2723</v>
      </c>
      <c r="D693" s="218" t="b">
        <v>1</v>
      </c>
      <c r="E693" s="219" t="b">
        <v>0</v>
      </c>
      <c r="F693" s="219" t="b">
        <v>0</v>
      </c>
      <c r="G693" s="219"/>
    </row>
    <row r="694">
      <c r="A694" s="218">
        <f t="shared" si="1"/>
        <v>693</v>
      </c>
      <c r="B694" s="218" t="s">
        <v>203</v>
      </c>
      <c r="C694" s="218" t="s">
        <v>2684</v>
      </c>
      <c r="D694" s="218" t="b">
        <v>1</v>
      </c>
      <c r="E694" s="219" t="b">
        <v>0</v>
      </c>
      <c r="F694" s="219" t="b">
        <v>0</v>
      </c>
      <c r="G694" s="219"/>
    </row>
    <row r="695">
      <c r="A695" s="218">
        <f t="shared" si="1"/>
        <v>694</v>
      </c>
      <c r="B695" s="218" t="s">
        <v>203</v>
      </c>
      <c r="C695" s="218" t="s">
        <v>2665</v>
      </c>
      <c r="D695" s="218" t="b">
        <v>1</v>
      </c>
      <c r="E695" s="219" t="b">
        <v>0</v>
      </c>
      <c r="F695" s="219" t="b">
        <v>0</v>
      </c>
      <c r="G695" s="219"/>
    </row>
    <row r="696">
      <c r="A696" s="218">
        <f t="shared" si="1"/>
        <v>695</v>
      </c>
      <c r="B696" s="218" t="s">
        <v>203</v>
      </c>
      <c r="C696" s="218" t="s">
        <v>2603</v>
      </c>
      <c r="D696" s="218" t="b">
        <v>1</v>
      </c>
      <c r="E696" s="219" t="b">
        <v>0</v>
      </c>
      <c r="F696" s="219" t="b">
        <v>0</v>
      </c>
      <c r="G696" s="219"/>
    </row>
    <row r="697">
      <c r="A697" s="218">
        <f t="shared" si="1"/>
        <v>696</v>
      </c>
      <c r="B697" s="218" t="s">
        <v>203</v>
      </c>
      <c r="C697" s="218" t="s">
        <v>2610</v>
      </c>
      <c r="D697" s="218" t="b">
        <v>1</v>
      </c>
      <c r="E697" s="219" t="b">
        <v>0</v>
      </c>
      <c r="F697" s="219" t="b">
        <v>0</v>
      </c>
      <c r="G697" s="219"/>
    </row>
    <row r="698">
      <c r="A698" s="218">
        <f t="shared" si="1"/>
        <v>697</v>
      </c>
      <c r="B698" s="218" t="s">
        <v>203</v>
      </c>
      <c r="C698" s="218" t="s">
        <v>2708</v>
      </c>
      <c r="D698" s="218" t="b">
        <v>1</v>
      </c>
      <c r="E698" s="219" t="b">
        <v>0</v>
      </c>
      <c r="F698" s="219" t="b">
        <v>0</v>
      </c>
      <c r="G698" s="219"/>
    </row>
    <row r="699">
      <c r="A699" s="218">
        <f t="shared" si="1"/>
        <v>698</v>
      </c>
      <c r="B699" s="218" t="s">
        <v>203</v>
      </c>
      <c r="C699" s="218" t="s">
        <v>2674</v>
      </c>
      <c r="D699" s="218" t="b">
        <v>1</v>
      </c>
      <c r="E699" s="219" t="b">
        <v>0</v>
      </c>
      <c r="F699" s="219" t="b">
        <v>0</v>
      </c>
      <c r="G699" s="219"/>
    </row>
    <row r="700">
      <c r="A700" s="218">
        <f t="shared" si="1"/>
        <v>699</v>
      </c>
      <c r="B700" s="218" t="s">
        <v>203</v>
      </c>
      <c r="C700" s="218" t="s">
        <v>2694</v>
      </c>
      <c r="D700" s="218" t="b">
        <v>1</v>
      </c>
      <c r="E700" s="219" t="b">
        <v>0</v>
      </c>
      <c r="F700" s="219" t="b">
        <v>0</v>
      </c>
      <c r="G700" s="219"/>
    </row>
    <row r="701">
      <c r="A701" s="218">
        <f t="shared" si="1"/>
        <v>700</v>
      </c>
      <c r="B701" s="218" t="s">
        <v>203</v>
      </c>
      <c r="C701" s="218" t="s">
        <v>2583</v>
      </c>
      <c r="D701" s="218" t="b">
        <v>1</v>
      </c>
      <c r="E701" s="219" t="b">
        <v>0</v>
      </c>
      <c r="F701" s="219" t="b">
        <v>0</v>
      </c>
      <c r="G701" s="219"/>
    </row>
    <row r="702">
      <c r="A702" s="218">
        <f t="shared" si="1"/>
        <v>701</v>
      </c>
      <c r="B702" s="218" t="s">
        <v>203</v>
      </c>
      <c r="C702" s="218" t="s">
        <v>2651</v>
      </c>
      <c r="D702" s="218" t="b">
        <v>1</v>
      </c>
      <c r="E702" s="219" t="b">
        <v>0</v>
      </c>
      <c r="F702" s="219" t="b">
        <v>0</v>
      </c>
      <c r="G702" s="219"/>
    </row>
    <row r="703">
      <c r="A703" s="218">
        <f t="shared" si="1"/>
        <v>702</v>
      </c>
      <c r="B703" s="218" t="s">
        <v>203</v>
      </c>
      <c r="C703" s="218" t="s">
        <v>1246</v>
      </c>
      <c r="D703" s="218" t="b">
        <v>1</v>
      </c>
      <c r="E703" s="219" t="b">
        <v>0</v>
      </c>
      <c r="F703" s="219" t="b">
        <v>0</v>
      </c>
      <c r="G703" s="219"/>
    </row>
    <row r="704">
      <c r="A704" s="218">
        <f t="shared" si="1"/>
        <v>703</v>
      </c>
      <c r="B704" s="218" t="s">
        <v>203</v>
      </c>
      <c r="C704" s="218" t="s">
        <v>1015</v>
      </c>
      <c r="D704" s="218" t="b">
        <v>1</v>
      </c>
      <c r="E704" s="219" t="b">
        <v>0</v>
      </c>
      <c r="F704" s="219" t="b">
        <v>0</v>
      </c>
      <c r="G704" s="219"/>
    </row>
    <row r="705">
      <c r="A705" s="218">
        <f t="shared" si="1"/>
        <v>704</v>
      </c>
      <c r="B705" s="218" t="s">
        <v>203</v>
      </c>
      <c r="C705" s="218" t="s">
        <v>1095</v>
      </c>
      <c r="D705" s="218" t="b">
        <v>1</v>
      </c>
      <c r="E705" s="219" t="b">
        <v>0</v>
      </c>
      <c r="F705" s="219" t="b">
        <v>0</v>
      </c>
      <c r="G705" s="219"/>
    </row>
    <row r="706">
      <c r="A706" s="218">
        <f t="shared" si="1"/>
        <v>705</v>
      </c>
      <c r="B706" s="218" t="s">
        <v>203</v>
      </c>
      <c r="C706" s="218" t="s">
        <v>1133</v>
      </c>
      <c r="D706" s="218" t="b">
        <v>1</v>
      </c>
      <c r="E706" s="219" t="b">
        <v>0</v>
      </c>
      <c r="F706" s="219" t="b">
        <v>0</v>
      </c>
      <c r="G706" s="219"/>
    </row>
    <row r="707">
      <c r="A707" s="218">
        <f t="shared" si="1"/>
        <v>706</v>
      </c>
      <c r="B707" s="218" t="s">
        <v>203</v>
      </c>
      <c r="C707" s="218" t="s">
        <v>1147</v>
      </c>
      <c r="D707" s="218" t="b">
        <v>1</v>
      </c>
      <c r="E707" s="219" t="b">
        <v>0</v>
      </c>
      <c r="F707" s="219" t="b">
        <v>0</v>
      </c>
      <c r="G707" s="219"/>
    </row>
    <row r="708">
      <c r="A708" s="218">
        <f t="shared" si="1"/>
        <v>707</v>
      </c>
      <c r="B708" s="218" t="s">
        <v>203</v>
      </c>
      <c r="C708" s="218" t="s">
        <v>1232</v>
      </c>
      <c r="D708" s="218" t="b">
        <v>1</v>
      </c>
      <c r="E708" s="219" t="b">
        <v>0</v>
      </c>
      <c r="F708" s="219" t="b">
        <v>0</v>
      </c>
      <c r="G708" s="219"/>
    </row>
    <row r="709">
      <c r="A709" s="218">
        <f t="shared" si="1"/>
        <v>708</v>
      </c>
      <c r="B709" s="218" t="s">
        <v>203</v>
      </c>
      <c r="C709" s="218" t="s">
        <v>1237</v>
      </c>
      <c r="D709" s="218" t="b">
        <v>1</v>
      </c>
      <c r="E709" s="219" t="b">
        <v>0</v>
      </c>
      <c r="F709" s="219" t="b">
        <v>0</v>
      </c>
      <c r="G709" s="219"/>
    </row>
    <row r="710">
      <c r="A710" s="218">
        <f t="shared" si="1"/>
        <v>709</v>
      </c>
      <c r="B710" s="218" t="s">
        <v>203</v>
      </c>
      <c r="C710" s="218" t="s">
        <v>5312</v>
      </c>
      <c r="D710" s="218" t="b">
        <v>1</v>
      </c>
      <c r="E710" s="219" t="b">
        <v>0</v>
      </c>
      <c r="F710" s="219" t="b">
        <v>0</v>
      </c>
      <c r="G710" s="219"/>
    </row>
    <row r="711">
      <c r="A711" s="218">
        <f t="shared" si="1"/>
        <v>710</v>
      </c>
      <c r="B711" s="218" t="s">
        <v>203</v>
      </c>
      <c r="C711" s="218" t="s">
        <v>5236</v>
      </c>
      <c r="D711" s="218" t="b">
        <v>1</v>
      </c>
      <c r="E711" s="219" t="b">
        <v>0</v>
      </c>
      <c r="F711" s="219" t="b">
        <v>0</v>
      </c>
      <c r="G711" s="219"/>
    </row>
    <row r="712">
      <c r="A712" s="218">
        <f t="shared" si="1"/>
        <v>711</v>
      </c>
      <c r="B712" s="218" t="s">
        <v>203</v>
      </c>
      <c r="C712" s="218" t="s">
        <v>5243</v>
      </c>
      <c r="D712" s="218" t="b">
        <v>1</v>
      </c>
      <c r="E712" s="219" t="b">
        <v>0</v>
      </c>
      <c r="F712" s="219" t="b">
        <v>0</v>
      </c>
      <c r="G712" s="219"/>
    </row>
    <row r="713">
      <c r="A713" s="218">
        <f t="shared" si="1"/>
        <v>712</v>
      </c>
      <c r="B713" s="218" t="s">
        <v>203</v>
      </c>
      <c r="C713" s="218" t="s">
        <v>5248</v>
      </c>
      <c r="D713" s="218" t="b">
        <v>1</v>
      </c>
      <c r="E713" s="219" t="b">
        <v>0</v>
      </c>
      <c r="F713" s="219" t="b">
        <v>0</v>
      </c>
      <c r="G713" s="219"/>
    </row>
    <row r="714">
      <c r="A714" s="218">
        <f t="shared" si="1"/>
        <v>713</v>
      </c>
      <c r="B714" s="218" t="s">
        <v>203</v>
      </c>
      <c r="C714" s="218" t="s">
        <v>5347</v>
      </c>
      <c r="D714" s="218" t="b">
        <v>1</v>
      </c>
      <c r="E714" s="219" t="b">
        <v>0</v>
      </c>
      <c r="F714" s="219" t="b">
        <v>0</v>
      </c>
      <c r="G714" s="219"/>
    </row>
    <row r="715">
      <c r="A715" s="218">
        <f t="shared" si="1"/>
        <v>714</v>
      </c>
      <c r="B715" s="218" t="s">
        <v>203</v>
      </c>
      <c r="C715" s="218" t="s">
        <v>5289</v>
      </c>
      <c r="D715" s="218" t="b">
        <v>1</v>
      </c>
      <c r="E715" s="219" t="b">
        <v>0</v>
      </c>
      <c r="F715" s="219" t="b">
        <v>0</v>
      </c>
      <c r="G715" s="219"/>
    </row>
    <row r="716">
      <c r="A716" s="218">
        <f t="shared" si="1"/>
        <v>715</v>
      </c>
      <c r="B716" s="218" t="s">
        <v>203</v>
      </c>
      <c r="C716" s="218" t="s">
        <v>5306</v>
      </c>
      <c r="D716" s="218" t="b">
        <v>1</v>
      </c>
      <c r="E716" s="219" t="b">
        <v>0</v>
      </c>
      <c r="F716" s="219" t="b">
        <v>0</v>
      </c>
      <c r="G716" s="219"/>
    </row>
    <row r="717">
      <c r="A717" s="218">
        <f t="shared" si="1"/>
        <v>716</v>
      </c>
      <c r="B717" s="218" t="s">
        <v>203</v>
      </c>
      <c r="C717" s="218" t="s">
        <v>5300</v>
      </c>
      <c r="D717" s="218" t="b">
        <v>1</v>
      </c>
      <c r="E717" s="219" t="b">
        <v>0</v>
      </c>
      <c r="F717" s="219" t="b">
        <v>0</v>
      </c>
      <c r="G717" s="219"/>
    </row>
    <row r="718">
      <c r="A718" s="218">
        <f t="shared" si="1"/>
        <v>717</v>
      </c>
      <c r="B718" s="218" t="s">
        <v>203</v>
      </c>
      <c r="C718" s="218" t="s">
        <v>5257</v>
      </c>
      <c r="D718" s="218" t="b">
        <v>1</v>
      </c>
      <c r="E718" s="219" t="b">
        <v>0</v>
      </c>
      <c r="F718" s="219" t="b">
        <v>0</v>
      </c>
      <c r="G718" s="219"/>
    </row>
    <row r="719">
      <c r="A719" s="218">
        <f t="shared" si="1"/>
        <v>718</v>
      </c>
      <c r="B719" s="218" t="s">
        <v>203</v>
      </c>
      <c r="C719" s="218" t="s">
        <v>5275</v>
      </c>
      <c r="D719" s="218" t="b">
        <v>1</v>
      </c>
      <c r="E719" s="219" t="b">
        <v>0</v>
      </c>
      <c r="F719" s="219" t="b">
        <v>0</v>
      </c>
      <c r="G719" s="219"/>
    </row>
    <row r="720">
      <c r="A720" s="218">
        <f t="shared" si="1"/>
        <v>719</v>
      </c>
      <c r="B720" s="218" t="s">
        <v>203</v>
      </c>
      <c r="C720" s="218" t="s">
        <v>2588</v>
      </c>
      <c r="D720" s="218" t="b">
        <v>1</v>
      </c>
      <c r="E720" s="219" t="b">
        <v>0</v>
      </c>
      <c r="F720" s="219" t="b">
        <v>0</v>
      </c>
      <c r="G720" s="219"/>
    </row>
    <row r="721">
      <c r="A721" s="218">
        <f t="shared" si="1"/>
        <v>720</v>
      </c>
      <c r="B721" s="218" t="s">
        <v>203</v>
      </c>
      <c r="C721" s="218" t="s">
        <v>2593</v>
      </c>
      <c r="D721" s="218" t="b">
        <v>1</v>
      </c>
      <c r="E721" s="219" t="b">
        <v>0</v>
      </c>
      <c r="F721" s="219" t="b">
        <v>0</v>
      </c>
      <c r="G721" s="219"/>
    </row>
    <row r="722">
      <c r="A722" s="218">
        <f t="shared" si="1"/>
        <v>721</v>
      </c>
      <c r="B722" s="218" t="s">
        <v>203</v>
      </c>
      <c r="C722" s="218" t="s">
        <v>2598</v>
      </c>
      <c r="D722" s="218" t="b">
        <v>1</v>
      </c>
      <c r="E722" s="219" t="b">
        <v>0</v>
      </c>
      <c r="F722" s="219" t="b">
        <v>0</v>
      </c>
      <c r="G722" s="219"/>
    </row>
    <row r="723">
      <c r="A723" s="218">
        <f t="shared" si="1"/>
        <v>722</v>
      </c>
      <c r="B723" s="218" t="s">
        <v>203</v>
      </c>
      <c r="C723" s="218" t="s">
        <v>2620</v>
      </c>
      <c r="D723" s="218" t="b">
        <v>1</v>
      </c>
      <c r="E723" s="219" t="b">
        <v>0</v>
      </c>
      <c r="F723" s="219" t="b">
        <v>0</v>
      </c>
      <c r="G723" s="219"/>
    </row>
    <row r="724">
      <c r="A724" s="218">
        <f t="shared" si="1"/>
        <v>723</v>
      </c>
      <c r="B724" s="218" t="s">
        <v>203</v>
      </c>
      <c r="C724" s="218" t="s">
        <v>2689</v>
      </c>
      <c r="D724" s="218" t="b">
        <v>1</v>
      </c>
      <c r="E724" s="219" t="b">
        <v>0</v>
      </c>
      <c r="F724" s="219" t="b">
        <v>0</v>
      </c>
      <c r="G724" s="219"/>
    </row>
    <row r="725">
      <c r="A725" s="218">
        <f t="shared" si="1"/>
        <v>724</v>
      </c>
      <c r="B725" s="218" t="s">
        <v>203</v>
      </c>
      <c r="C725" s="218" t="s">
        <v>2747</v>
      </c>
      <c r="D725" s="218" t="b">
        <v>1</v>
      </c>
      <c r="E725" s="219" t="b">
        <v>0</v>
      </c>
      <c r="F725" s="219" t="b">
        <v>0</v>
      </c>
      <c r="G725" s="219"/>
    </row>
    <row r="726">
      <c r="A726" s="218">
        <f t="shared" si="1"/>
        <v>725</v>
      </c>
      <c r="B726" s="218" t="s">
        <v>203</v>
      </c>
      <c r="C726" s="218" t="s">
        <v>2553</v>
      </c>
      <c r="D726" s="218" t="b">
        <v>1</v>
      </c>
      <c r="E726" s="219" t="b">
        <v>0</v>
      </c>
      <c r="F726" s="219" t="b">
        <v>0</v>
      </c>
      <c r="G726" s="219"/>
    </row>
    <row r="727">
      <c r="A727" s="218">
        <f t="shared" si="1"/>
        <v>726</v>
      </c>
      <c r="B727" s="218" t="s">
        <v>203</v>
      </c>
      <c r="C727" s="218" t="s">
        <v>2576</v>
      </c>
      <c r="D727" s="218" t="b">
        <v>1</v>
      </c>
      <c r="E727" s="219" t="b">
        <v>0</v>
      </c>
      <c r="F727" s="219" t="b">
        <v>0</v>
      </c>
      <c r="G727" s="219"/>
    </row>
    <row r="728">
      <c r="A728" s="218">
        <f t="shared" si="1"/>
        <v>727</v>
      </c>
      <c r="B728" s="218" t="s">
        <v>203</v>
      </c>
      <c r="C728" s="218" t="s">
        <v>1750</v>
      </c>
      <c r="D728" s="218" t="b">
        <v>1</v>
      </c>
      <c r="E728" s="219" t="b">
        <v>0</v>
      </c>
      <c r="F728" s="219" t="b">
        <v>0</v>
      </c>
      <c r="G728" s="219"/>
    </row>
    <row r="729">
      <c r="A729" s="218">
        <f t="shared" si="1"/>
        <v>728</v>
      </c>
      <c r="B729" s="218" t="s">
        <v>203</v>
      </c>
      <c r="C729" s="218" t="s">
        <v>1696</v>
      </c>
      <c r="D729" s="218" t="b">
        <v>1</v>
      </c>
      <c r="E729" s="219" t="b">
        <v>0</v>
      </c>
      <c r="F729" s="219" t="b">
        <v>0</v>
      </c>
      <c r="G729" s="219"/>
    </row>
    <row r="730">
      <c r="A730" s="218">
        <f t="shared" si="1"/>
        <v>729</v>
      </c>
      <c r="B730" s="218" t="s">
        <v>203</v>
      </c>
      <c r="C730" s="218" t="s">
        <v>3335</v>
      </c>
      <c r="D730" s="218" t="b">
        <v>1</v>
      </c>
      <c r="E730" s="219" t="b">
        <v>0</v>
      </c>
      <c r="F730" s="219" t="b">
        <v>0</v>
      </c>
      <c r="G730" s="219"/>
    </row>
    <row r="731">
      <c r="A731" s="218">
        <f t="shared" si="1"/>
        <v>730</v>
      </c>
      <c r="B731" s="218" t="s">
        <v>203</v>
      </c>
      <c r="C731" s="218" t="s">
        <v>3350</v>
      </c>
      <c r="D731" s="218" t="b">
        <v>1</v>
      </c>
      <c r="E731" s="219" t="b">
        <v>0</v>
      </c>
      <c r="F731" s="219" t="b">
        <v>0</v>
      </c>
      <c r="G731" s="219"/>
    </row>
    <row r="732">
      <c r="A732" s="218">
        <f t="shared" si="1"/>
        <v>731</v>
      </c>
      <c r="B732" s="218" t="s">
        <v>203</v>
      </c>
      <c r="C732" s="218" t="s">
        <v>3366</v>
      </c>
      <c r="D732" s="218" t="b">
        <v>1</v>
      </c>
      <c r="E732" s="219" t="b">
        <v>0</v>
      </c>
      <c r="F732" s="219" t="b">
        <v>0</v>
      </c>
      <c r="G732" s="219"/>
    </row>
    <row r="733">
      <c r="A733" s="218">
        <f t="shared" si="1"/>
        <v>732</v>
      </c>
      <c r="B733" s="218" t="s">
        <v>203</v>
      </c>
      <c r="C733" s="218" t="s">
        <v>1251</v>
      </c>
      <c r="D733" s="218" t="b">
        <v>1</v>
      </c>
      <c r="E733" s="219" t="b">
        <v>0</v>
      </c>
      <c r="F733" s="219" t="b">
        <v>0</v>
      </c>
      <c r="G733" s="219"/>
    </row>
    <row r="734">
      <c r="A734" s="218">
        <f t="shared" si="1"/>
        <v>733</v>
      </c>
      <c r="B734" s="218" t="s">
        <v>203</v>
      </c>
      <c r="C734" s="218" t="s">
        <v>1256</v>
      </c>
      <c r="D734" s="218" t="b">
        <v>1</v>
      </c>
      <c r="E734" s="219" t="b">
        <v>0</v>
      </c>
      <c r="F734" s="219" t="b">
        <v>0</v>
      </c>
      <c r="G734" s="219"/>
    </row>
    <row r="735">
      <c r="A735" s="218">
        <f t="shared" si="1"/>
        <v>734</v>
      </c>
      <c r="B735" s="218" t="s">
        <v>203</v>
      </c>
      <c r="C735" s="218" t="s">
        <v>1266</v>
      </c>
      <c r="D735" s="218" t="b">
        <v>1</v>
      </c>
      <c r="E735" s="219" t="b">
        <v>0</v>
      </c>
      <c r="F735" s="219" t="b">
        <v>0</v>
      </c>
      <c r="G735" s="219"/>
    </row>
    <row r="736">
      <c r="A736" s="218">
        <f t="shared" si="1"/>
        <v>735</v>
      </c>
      <c r="B736" s="218" t="s">
        <v>203</v>
      </c>
      <c r="C736" s="218" t="s">
        <v>1276</v>
      </c>
      <c r="D736" s="218" t="b">
        <v>1</v>
      </c>
      <c r="E736" s="219" t="b">
        <v>0</v>
      </c>
      <c r="F736" s="219" t="b">
        <v>0</v>
      </c>
      <c r="G736" s="219"/>
    </row>
    <row r="737">
      <c r="A737" s="218">
        <f t="shared" si="1"/>
        <v>736</v>
      </c>
      <c r="B737" s="218" t="s">
        <v>203</v>
      </c>
      <c r="C737" s="218" t="s">
        <v>1286</v>
      </c>
      <c r="D737" s="218" t="b">
        <v>1</v>
      </c>
      <c r="E737" s="219" t="b">
        <v>0</v>
      </c>
      <c r="F737" s="219" t="b">
        <v>0</v>
      </c>
      <c r="G737" s="219"/>
    </row>
    <row r="738">
      <c r="A738" s="218">
        <f t="shared" si="1"/>
        <v>737</v>
      </c>
      <c r="B738" s="218" t="s">
        <v>203</v>
      </c>
      <c r="C738" s="218" t="s">
        <v>1296</v>
      </c>
      <c r="D738" s="218" t="b">
        <v>1</v>
      </c>
      <c r="E738" s="219" t="b">
        <v>0</v>
      </c>
      <c r="F738" s="219" t="b">
        <v>0</v>
      </c>
      <c r="G738" s="219"/>
    </row>
    <row r="739">
      <c r="A739" s="218">
        <f t="shared" si="1"/>
        <v>738</v>
      </c>
      <c r="B739" s="218" t="s">
        <v>203</v>
      </c>
      <c r="C739" s="218" t="s">
        <v>1301</v>
      </c>
      <c r="D739" s="218" t="b">
        <v>1</v>
      </c>
      <c r="E739" s="219" t="b">
        <v>0</v>
      </c>
      <c r="F739" s="219" t="b">
        <v>0</v>
      </c>
      <c r="G739" s="219"/>
    </row>
    <row r="740">
      <c r="A740" s="218">
        <f t="shared" si="1"/>
        <v>739</v>
      </c>
      <c r="B740" s="218" t="s">
        <v>203</v>
      </c>
      <c r="C740" s="218" t="s">
        <v>1346</v>
      </c>
      <c r="D740" s="218" t="b">
        <v>1</v>
      </c>
      <c r="E740" s="219" t="b">
        <v>0</v>
      </c>
      <c r="F740" s="219" t="b">
        <v>0</v>
      </c>
      <c r="G740" s="219"/>
    </row>
    <row r="741">
      <c r="A741" s="218">
        <f t="shared" si="1"/>
        <v>740</v>
      </c>
      <c r="B741" s="218" t="s">
        <v>203</v>
      </c>
      <c r="C741" s="218" t="s">
        <v>1339</v>
      </c>
      <c r="D741" s="218" t="b">
        <v>1</v>
      </c>
      <c r="E741" s="219" t="b">
        <v>0</v>
      </c>
      <c r="F741" s="219" t="b">
        <v>0</v>
      </c>
      <c r="G741" s="219"/>
    </row>
    <row r="742">
      <c r="A742" s="218">
        <f t="shared" si="1"/>
        <v>741</v>
      </c>
      <c r="B742" s="218" t="s">
        <v>203</v>
      </c>
      <c r="C742" s="218" t="s">
        <v>1356</v>
      </c>
      <c r="D742" s="218" t="b">
        <v>1</v>
      </c>
      <c r="E742" s="219" t="b">
        <v>0</v>
      </c>
      <c r="F742" s="219" t="b">
        <v>0</v>
      </c>
      <c r="G742" s="219"/>
    </row>
    <row r="743">
      <c r="A743" s="218">
        <f t="shared" si="1"/>
        <v>742</v>
      </c>
      <c r="B743" s="218" t="s">
        <v>203</v>
      </c>
      <c r="C743" s="218" t="s">
        <v>1370</v>
      </c>
      <c r="D743" s="218" t="b">
        <v>1</v>
      </c>
      <c r="E743" s="219" t="b">
        <v>0</v>
      </c>
      <c r="F743" s="219" t="b">
        <v>0</v>
      </c>
      <c r="G743" s="219"/>
    </row>
    <row r="744">
      <c r="A744" s="218">
        <f t="shared" si="1"/>
        <v>743</v>
      </c>
      <c r="B744" s="218" t="s">
        <v>203</v>
      </c>
      <c r="C744" s="218" t="s">
        <v>1361</v>
      </c>
      <c r="D744" s="218" t="b">
        <v>1</v>
      </c>
      <c r="E744" s="219" t="b">
        <v>0</v>
      </c>
      <c r="F744" s="219" t="b">
        <v>0</v>
      </c>
      <c r="G744" s="219"/>
    </row>
    <row r="745">
      <c r="A745" s="218">
        <f t="shared" si="1"/>
        <v>744</v>
      </c>
      <c r="B745" s="218" t="s">
        <v>203</v>
      </c>
      <c r="C745" s="218" t="s">
        <v>1384</v>
      </c>
      <c r="D745" s="218" t="b">
        <v>1</v>
      </c>
      <c r="E745" s="219" t="b">
        <v>0</v>
      </c>
      <c r="F745" s="219" t="b">
        <v>0</v>
      </c>
      <c r="G745" s="219"/>
    </row>
    <row r="746">
      <c r="A746" s="218">
        <f t="shared" si="1"/>
        <v>745</v>
      </c>
      <c r="B746" s="218" t="s">
        <v>203</v>
      </c>
      <c r="C746" s="218" t="s">
        <v>1389</v>
      </c>
      <c r="D746" s="218" t="b">
        <v>1</v>
      </c>
      <c r="E746" s="219" t="b">
        <v>0</v>
      </c>
      <c r="F746" s="219" t="b">
        <v>0</v>
      </c>
      <c r="G746" s="219"/>
    </row>
    <row r="747">
      <c r="A747" s="218">
        <f t="shared" si="1"/>
        <v>746</v>
      </c>
      <c r="B747" s="218" t="s">
        <v>203</v>
      </c>
      <c r="C747" s="218" t="s">
        <v>1394</v>
      </c>
      <c r="D747" s="218" t="b">
        <v>1</v>
      </c>
      <c r="E747" s="219" t="b">
        <v>0</v>
      </c>
      <c r="F747" s="219" t="b">
        <v>0</v>
      </c>
      <c r="G747" s="219"/>
    </row>
    <row r="748">
      <c r="A748" s="218">
        <f t="shared" si="1"/>
        <v>747</v>
      </c>
      <c r="B748" s="218" t="s">
        <v>203</v>
      </c>
      <c r="C748" s="218" t="s">
        <v>1403</v>
      </c>
      <c r="D748" s="218" t="b">
        <v>1</v>
      </c>
      <c r="E748" s="219" t="b">
        <v>0</v>
      </c>
      <c r="F748" s="219" t="b">
        <v>0</v>
      </c>
      <c r="G748" s="219"/>
    </row>
    <row r="749">
      <c r="A749" s="218">
        <f t="shared" si="1"/>
        <v>748</v>
      </c>
      <c r="B749" s="218" t="s">
        <v>203</v>
      </c>
      <c r="C749" s="218" t="s">
        <v>759</v>
      </c>
      <c r="D749" s="218" t="b">
        <v>1</v>
      </c>
      <c r="E749" s="219" t="b">
        <v>0</v>
      </c>
      <c r="F749" s="219" t="b">
        <v>0</v>
      </c>
      <c r="G749" s="219"/>
    </row>
    <row r="750">
      <c r="A750" s="218">
        <f t="shared" si="1"/>
        <v>749</v>
      </c>
      <c r="B750" s="218" t="s">
        <v>203</v>
      </c>
      <c r="C750" s="218" t="s">
        <v>725</v>
      </c>
      <c r="D750" s="218" t="b">
        <v>1</v>
      </c>
      <c r="E750" s="219" t="b">
        <v>0</v>
      </c>
      <c r="F750" s="219" t="b">
        <v>0</v>
      </c>
      <c r="G750" s="219"/>
    </row>
    <row r="751">
      <c r="A751" s="218">
        <f t="shared" si="1"/>
        <v>750</v>
      </c>
      <c r="B751" s="218" t="s">
        <v>203</v>
      </c>
      <c r="C751" s="218" t="s">
        <v>740</v>
      </c>
      <c r="D751" s="218" t="b">
        <v>1</v>
      </c>
      <c r="E751" s="219" t="b">
        <v>0</v>
      </c>
      <c r="F751" s="219" t="b">
        <v>0</v>
      </c>
      <c r="G751" s="219"/>
    </row>
    <row r="752">
      <c r="A752" s="218">
        <f t="shared" si="1"/>
        <v>751</v>
      </c>
      <c r="B752" s="218" t="s">
        <v>203</v>
      </c>
      <c r="C752" s="218" t="s">
        <v>5326</v>
      </c>
      <c r="D752" s="218" t="b">
        <v>1</v>
      </c>
      <c r="E752" s="219" t="b">
        <v>0</v>
      </c>
      <c r="F752" s="219" t="b">
        <v>0</v>
      </c>
      <c r="G752" s="219"/>
    </row>
    <row r="753">
      <c r="A753" s="218">
        <f t="shared" si="1"/>
        <v>752</v>
      </c>
      <c r="B753" s="218" t="s">
        <v>203</v>
      </c>
      <c r="C753" s="218" t="s">
        <v>5331</v>
      </c>
      <c r="D753" s="218" t="b">
        <v>1</v>
      </c>
      <c r="E753" s="219" t="b">
        <v>0</v>
      </c>
      <c r="F753" s="219" t="b">
        <v>0</v>
      </c>
      <c r="G753" s="219"/>
    </row>
    <row r="754">
      <c r="A754" s="218">
        <f t="shared" si="1"/>
        <v>753</v>
      </c>
      <c r="B754" s="218" t="s">
        <v>203</v>
      </c>
      <c r="C754" s="218" t="s">
        <v>5342</v>
      </c>
      <c r="D754" s="218" t="b">
        <v>1</v>
      </c>
      <c r="E754" s="219" t="b">
        <v>0</v>
      </c>
      <c r="F754" s="219" t="b">
        <v>0</v>
      </c>
      <c r="G754" s="219"/>
    </row>
    <row r="755">
      <c r="A755" s="218">
        <f t="shared" si="1"/>
        <v>754</v>
      </c>
      <c r="B755" s="218" t="s">
        <v>203</v>
      </c>
      <c r="C755" s="218" t="s">
        <v>5426</v>
      </c>
      <c r="D755" s="218" t="b">
        <v>1</v>
      </c>
      <c r="E755" s="219" t="b">
        <v>0</v>
      </c>
      <c r="F755" s="219" t="b">
        <v>0</v>
      </c>
      <c r="G755" s="219"/>
    </row>
    <row r="756">
      <c r="A756" s="218">
        <f t="shared" si="1"/>
        <v>755</v>
      </c>
      <c r="B756" s="218" t="s">
        <v>203</v>
      </c>
      <c r="C756" s="218" t="s">
        <v>5432</v>
      </c>
      <c r="D756" s="218" t="b">
        <v>1</v>
      </c>
      <c r="E756" s="219" t="b">
        <v>0</v>
      </c>
      <c r="F756" s="219" t="b">
        <v>0</v>
      </c>
      <c r="G756" s="219"/>
    </row>
    <row r="757">
      <c r="A757" s="218">
        <f t="shared" si="1"/>
        <v>756</v>
      </c>
      <c r="B757" s="218" t="s">
        <v>203</v>
      </c>
      <c r="C757" s="218" t="s">
        <v>2655</v>
      </c>
      <c r="D757" s="218" t="b">
        <v>1</v>
      </c>
      <c r="E757" s="219" t="b">
        <v>0</v>
      </c>
      <c r="F757" s="219" t="b">
        <v>0</v>
      </c>
      <c r="G757" s="219"/>
    </row>
    <row r="758">
      <c r="A758" s="218">
        <f t="shared" si="1"/>
        <v>757</v>
      </c>
      <c r="B758" s="218" t="s">
        <v>203</v>
      </c>
      <c r="C758" s="218" t="s">
        <v>5435</v>
      </c>
      <c r="D758" s="218" t="b">
        <v>1</v>
      </c>
      <c r="E758" s="219" t="b">
        <v>0</v>
      </c>
      <c r="F758" s="219" t="b">
        <v>0</v>
      </c>
      <c r="G758" s="219"/>
    </row>
    <row r="759">
      <c r="A759" s="218">
        <f t="shared" si="1"/>
        <v>758</v>
      </c>
      <c r="B759" s="218" t="s">
        <v>203</v>
      </c>
      <c r="C759" s="218" t="s">
        <v>5384</v>
      </c>
      <c r="D759" s="218" t="b">
        <v>1</v>
      </c>
      <c r="E759" s="219" t="b">
        <v>0</v>
      </c>
      <c r="F759" s="219" t="b">
        <v>0</v>
      </c>
      <c r="G759" s="219"/>
    </row>
    <row r="760">
      <c r="A760" s="218">
        <f t="shared" si="1"/>
        <v>759</v>
      </c>
      <c r="B760" s="218" t="s">
        <v>203</v>
      </c>
      <c r="C760" s="218" t="s">
        <v>5401</v>
      </c>
      <c r="D760" s="218" t="b">
        <v>1</v>
      </c>
      <c r="E760" s="219" t="b">
        <v>0</v>
      </c>
      <c r="F760" s="219" t="b">
        <v>0</v>
      </c>
      <c r="G760" s="219"/>
    </row>
    <row r="761">
      <c r="A761" s="218">
        <f t="shared" si="1"/>
        <v>760</v>
      </c>
      <c r="B761" s="218" t="s">
        <v>203</v>
      </c>
      <c r="C761" s="218" t="s">
        <v>5372</v>
      </c>
      <c r="D761" s="218" t="b">
        <v>1</v>
      </c>
      <c r="E761" s="219" t="b">
        <v>0</v>
      </c>
      <c r="F761" s="219" t="b">
        <v>0</v>
      </c>
      <c r="G761" s="219"/>
    </row>
    <row r="762">
      <c r="A762" s="218">
        <f t="shared" si="1"/>
        <v>761</v>
      </c>
      <c r="B762" s="218" t="s">
        <v>203</v>
      </c>
      <c r="C762" s="218" t="s">
        <v>5361</v>
      </c>
      <c r="D762" s="218" t="b">
        <v>1</v>
      </c>
      <c r="E762" s="219" t="b">
        <v>0</v>
      </c>
      <c r="F762" s="219" t="b">
        <v>0</v>
      </c>
      <c r="G762" s="219"/>
    </row>
    <row r="763">
      <c r="A763" s="218">
        <f t="shared" si="1"/>
        <v>762</v>
      </c>
      <c r="B763" s="218" t="s">
        <v>203</v>
      </c>
      <c r="C763" s="218" t="s">
        <v>5318</v>
      </c>
      <c r="D763" s="218" t="b">
        <v>1</v>
      </c>
      <c r="E763" s="219" t="b">
        <v>0</v>
      </c>
      <c r="F763" s="219" t="b">
        <v>0</v>
      </c>
      <c r="G763" s="219"/>
    </row>
    <row r="764">
      <c r="A764" s="218">
        <f t="shared" si="1"/>
        <v>763</v>
      </c>
      <c r="B764" s="218" t="s">
        <v>203</v>
      </c>
      <c r="C764" s="218" t="s">
        <v>2524</v>
      </c>
      <c r="D764" s="218" t="b">
        <v>1</v>
      </c>
      <c r="E764" s="219" t="b">
        <v>0</v>
      </c>
      <c r="F764" s="219" t="b">
        <v>0</v>
      </c>
      <c r="G764" s="219"/>
    </row>
    <row r="765">
      <c r="A765" s="218">
        <f t="shared" si="1"/>
        <v>764</v>
      </c>
      <c r="B765" s="218" t="s">
        <v>203</v>
      </c>
      <c r="C765" s="218" t="s">
        <v>2524</v>
      </c>
      <c r="D765" s="218" t="b">
        <v>1</v>
      </c>
      <c r="E765" s="219" t="b">
        <v>0</v>
      </c>
      <c r="F765" s="219" t="b">
        <v>0</v>
      </c>
      <c r="G765" s="219"/>
    </row>
    <row r="766">
      <c r="A766" s="218">
        <f t="shared" si="1"/>
        <v>765</v>
      </c>
      <c r="B766" s="218" t="s">
        <v>203</v>
      </c>
      <c r="C766" s="218" t="s">
        <v>5444</v>
      </c>
      <c r="D766" s="218" t="b">
        <v>1</v>
      </c>
      <c r="E766" s="219" t="b">
        <v>0</v>
      </c>
      <c r="F766" s="219" t="b">
        <v>0</v>
      </c>
      <c r="G766" s="219"/>
    </row>
    <row r="767">
      <c r="A767" s="218">
        <f t="shared" si="1"/>
        <v>766</v>
      </c>
      <c r="B767" s="218" t="s">
        <v>203</v>
      </c>
      <c r="C767" s="218" t="s">
        <v>5187</v>
      </c>
      <c r="D767" s="218" t="b">
        <v>1</v>
      </c>
      <c r="E767" s="219" t="b">
        <v>0</v>
      </c>
      <c r="F767" s="219" t="b">
        <v>0</v>
      </c>
      <c r="G767" s="219"/>
    </row>
    <row r="768">
      <c r="A768" s="218">
        <f t="shared" si="1"/>
        <v>767</v>
      </c>
      <c r="B768" s="218" t="s">
        <v>203</v>
      </c>
      <c r="C768" s="218" t="s">
        <v>5214</v>
      </c>
      <c r="D768" s="218" t="b">
        <v>1</v>
      </c>
      <c r="E768" s="219" t="b">
        <v>0</v>
      </c>
      <c r="F768" s="219" t="b">
        <v>0</v>
      </c>
      <c r="G768" s="219"/>
    </row>
    <row r="769">
      <c r="A769" s="218">
        <f t="shared" si="1"/>
        <v>768</v>
      </c>
      <c r="B769" s="218" t="s">
        <v>203</v>
      </c>
      <c r="C769" s="218" t="s">
        <v>2500</v>
      </c>
      <c r="D769" s="218" t="b">
        <v>1</v>
      </c>
      <c r="E769" s="219" t="b">
        <v>0</v>
      </c>
      <c r="F769" s="219" t="b">
        <v>0</v>
      </c>
      <c r="G769" s="219"/>
    </row>
    <row r="770">
      <c r="A770" s="218">
        <f t="shared" si="1"/>
        <v>769</v>
      </c>
      <c r="B770" s="218" t="s">
        <v>203</v>
      </c>
      <c r="C770" s="218" t="s">
        <v>2500</v>
      </c>
      <c r="D770" s="218" t="b">
        <v>1</v>
      </c>
      <c r="E770" s="219" t="b">
        <v>0</v>
      </c>
      <c r="F770" s="219" t="b">
        <v>0</v>
      </c>
      <c r="G770" s="219"/>
    </row>
    <row r="771">
      <c r="A771" s="218">
        <f t="shared" si="1"/>
        <v>770</v>
      </c>
      <c r="B771" s="218" t="s">
        <v>203</v>
      </c>
      <c r="C771" s="218" t="s">
        <v>2505</v>
      </c>
      <c r="D771" s="218" t="b">
        <v>1</v>
      </c>
      <c r="E771" s="219" t="b">
        <v>0</v>
      </c>
      <c r="F771" s="219" t="b">
        <v>0</v>
      </c>
      <c r="G771" s="219"/>
    </row>
    <row r="772">
      <c r="A772" s="218">
        <f t="shared" si="1"/>
        <v>771</v>
      </c>
      <c r="B772" s="218" t="s">
        <v>203</v>
      </c>
      <c r="C772" s="218" t="s">
        <v>1888</v>
      </c>
      <c r="D772" s="218" t="b">
        <v>1</v>
      </c>
      <c r="E772" s="219" t="b">
        <v>0</v>
      </c>
      <c r="F772" s="219" t="b">
        <v>0</v>
      </c>
      <c r="G772" s="219"/>
    </row>
    <row r="773">
      <c r="A773" s="218">
        <f t="shared" si="1"/>
        <v>772</v>
      </c>
      <c r="B773" s="218" t="s">
        <v>203</v>
      </c>
      <c r="C773" s="218" t="s">
        <v>2071</v>
      </c>
      <c r="D773" s="218" t="b">
        <v>1</v>
      </c>
      <c r="E773" s="219" t="b">
        <v>0</v>
      </c>
      <c r="F773" s="219" t="b">
        <v>0</v>
      </c>
      <c r="G773" s="219"/>
    </row>
    <row r="774">
      <c r="A774" s="218">
        <f t="shared" si="1"/>
        <v>773</v>
      </c>
      <c r="B774" s="218" t="s">
        <v>203</v>
      </c>
      <c r="C774" s="218" t="s">
        <v>2088</v>
      </c>
      <c r="D774" s="218" t="b">
        <v>1</v>
      </c>
      <c r="E774" s="219" t="b">
        <v>0</v>
      </c>
      <c r="F774" s="219" t="b">
        <v>0</v>
      </c>
      <c r="G774" s="219"/>
    </row>
    <row r="775">
      <c r="A775" s="218">
        <f t="shared" si="1"/>
        <v>774</v>
      </c>
      <c r="B775" s="218" t="s">
        <v>203</v>
      </c>
      <c r="C775" s="218" t="s">
        <v>2539</v>
      </c>
      <c r="D775" s="218" t="b">
        <v>1</v>
      </c>
      <c r="E775" s="219" t="b">
        <v>0</v>
      </c>
      <c r="F775" s="219" t="b">
        <v>0</v>
      </c>
      <c r="G775" s="219"/>
    </row>
    <row r="776">
      <c r="A776" s="218">
        <f t="shared" si="1"/>
        <v>775</v>
      </c>
      <c r="B776" s="218" t="s">
        <v>203</v>
      </c>
      <c r="C776" s="218" t="s">
        <v>2443</v>
      </c>
      <c r="D776" s="218" t="b">
        <v>1</v>
      </c>
      <c r="E776" s="219" t="b">
        <v>0</v>
      </c>
      <c r="F776" s="219" t="b">
        <v>0</v>
      </c>
      <c r="G776" s="219"/>
    </row>
    <row r="777">
      <c r="A777" s="218">
        <f t="shared" si="1"/>
        <v>776</v>
      </c>
      <c r="B777" s="218" t="s">
        <v>203</v>
      </c>
      <c r="C777" s="218" t="s">
        <v>2457</v>
      </c>
      <c r="D777" s="218" t="b">
        <v>1</v>
      </c>
      <c r="E777" s="219" t="b">
        <v>0</v>
      </c>
      <c r="F777" s="219" t="b">
        <v>0</v>
      </c>
      <c r="G777" s="219"/>
    </row>
    <row r="778">
      <c r="A778" s="218">
        <f t="shared" si="1"/>
        <v>777</v>
      </c>
      <c r="B778" s="218" t="s">
        <v>203</v>
      </c>
      <c r="C778" s="218" t="s">
        <v>2472</v>
      </c>
      <c r="D778" s="218" t="b">
        <v>1</v>
      </c>
      <c r="E778" s="219" t="b">
        <v>0</v>
      </c>
      <c r="F778" s="219" t="b">
        <v>0</v>
      </c>
      <c r="G778" s="219"/>
    </row>
    <row r="779">
      <c r="A779" s="218">
        <f t="shared" si="1"/>
        <v>778</v>
      </c>
      <c r="B779" s="218" t="s">
        <v>203</v>
      </c>
      <c r="C779" s="218" t="s">
        <v>2481</v>
      </c>
      <c r="D779" s="218" t="b">
        <v>1</v>
      </c>
      <c r="E779" s="219" t="b">
        <v>0</v>
      </c>
      <c r="F779" s="219" t="b">
        <v>0</v>
      </c>
      <c r="G779" s="219"/>
    </row>
    <row r="780">
      <c r="A780" s="218">
        <f t="shared" si="1"/>
        <v>779</v>
      </c>
      <c r="B780" s="218" t="s">
        <v>203</v>
      </c>
      <c r="C780" s="218" t="s">
        <v>2486</v>
      </c>
      <c r="D780" s="218" t="b">
        <v>1</v>
      </c>
      <c r="E780" s="219" t="b">
        <v>0</v>
      </c>
      <c r="F780" s="219" t="b">
        <v>0</v>
      </c>
      <c r="G780" s="219"/>
    </row>
    <row r="781">
      <c r="A781" s="218">
        <f t="shared" si="1"/>
        <v>780</v>
      </c>
      <c r="B781" s="218" t="s">
        <v>203</v>
      </c>
      <c r="C781" s="218" t="s">
        <v>2496</v>
      </c>
      <c r="D781" s="218" t="b">
        <v>1</v>
      </c>
      <c r="E781" s="219" t="b">
        <v>0</v>
      </c>
      <c r="F781" s="219" t="b">
        <v>0</v>
      </c>
      <c r="G781" s="219"/>
    </row>
    <row r="782">
      <c r="A782" s="218">
        <f t="shared" si="1"/>
        <v>781</v>
      </c>
      <c r="B782" s="218" t="s">
        <v>203</v>
      </c>
      <c r="C782" s="218" t="s">
        <v>4357</v>
      </c>
      <c r="D782" s="218" t="b">
        <v>1</v>
      </c>
      <c r="E782" s="219" t="b">
        <v>0</v>
      </c>
      <c r="F782" s="219" t="b">
        <v>0</v>
      </c>
      <c r="G782" s="219"/>
    </row>
    <row r="783">
      <c r="A783" s="218">
        <f t="shared" si="1"/>
        <v>782</v>
      </c>
      <c r="B783" s="218" t="s">
        <v>203</v>
      </c>
      <c r="C783" s="218" t="s">
        <v>4362</v>
      </c>
      <c r="D783" s="218" t="b">
        <v>1</v>
      </c>
      <c r="E783" s="219" t="b">
        <v>0</v>
      </c>
      <c r="F783" s="219" t="b">
        <v>0</v>
      </c>
      <c r="G783" s="219"/>
    </row>
    <row r="784">
      <c r="A784" s="218">
        <f t="shared" si="1"/>
        <v>783</v>
      </c>
      <c r="B784" s="218" t="s">
        <v>203</v>
      </c>
      <c r="C784" s="218" t="s">
        <v>4367</v>
      </c>
      <c r="D784" s="218" t="b">
        <v>1</v>
      </c>
      <c r="E784" s="219" t="b">
        <v>0</v>
      </c>
      <c r="F784" s="219" t="b">
        <v>0</v>
      </c>
      <c r="G784" s="219"/>
    </row>
    <row r="785">
      <c r="A785" s="218">
        <f t="shared" si="1"/>
        <v>784</v>
      </c>
      <c r="B785" s="218" t="s">
        <v>203</v>
      </c>
      <c r="C785" s="218" t="s">
        <v>4378</v>
      </c>
      <c r="D785" s="218" t="b">
        <v>1</v>
      </c>
      <c r="E785" s="219" t="b">
        <v>0</v>
      </c>
      <c r="F785" s="219" t="b">
        <v>0</v>
      </c>
      <c r="G785" s="219"/>
    </row>
    <row r="786">
      <c r="A786" s="218">
        <f t="shared" si="1"/>
        <v>785</v>
      </c>
      <c r="B786" s="218" t="s">
        <v>203</v>
      </c>
      <c r="C786" s="218" t="s">
        <v>1010</v>
      </c>
      <c r="D786" s="218" t="b">
        <v>1</v>
      </c>
      <c r="E786" s="219" t="b">
        <v>0</v>
      </c>
      <c r="F786" s="219" t="b">
        <v>0</v>
      </c>
      <c r="G786" s="219"/>
    </row>
    <row r="787">
      <c r="A787" s="218">
        <f t="shared" si="1"/>
        <v>786</v>
      </c>
      <c r="B787" s="218" t="s">
        <v>203</v>
      </c>
      <c r="C787" s="218" t="s">
        <v>1010</v>
      </c>
      <c r="D787" s="218" t="b">
        <v>1</v>
      </c>
      <c r="E787" s="219" t="b">
        <v>0</v>
      </c>
      <c r="F787" s="219" t="b">
        <v>0</v>
      </c>
      <c r="G787" s="219"/>
    </row>
    <row r="788">
      <c r="A788" s="218">
        <f t="shared" si="1"/>
        <v>787</v>
      </c>
      <c r="B788" s="218" t="s">
        <v>203</v>
      </c>
      <c r="C788" s="218" t="s">
        <v>4498</v>
      </c>
      <c r="D788" s="218" t="b">
        <v>1</v>
      </c>
      <c r="E788" s="219" t="b">
        <v>0</v>
      </c>
      <c r="F788" s="219" t="b">
        <v>0</v>
      </c>
      <c r="G788" s="219"/>
    </row>
    <row r="789">
      <c r="A789" s="218">
        <f t="shared" si="1"/>
        <v>788</v>
      </c>
      <c r="B789" s="218" t="s">
        <v>203</v>
      </c>
      <c r="C789" s="218" t="s">
        <v>5503</v>
      </c>
      <c r="D789" s="218" t="b">
        <v>1</v>
      </c>
      <c r="E789" s="219" t="b">
        <v>0</v>
      </c>
      <c r="F789" s="219" t="b">
        <v>0</v>
      </c>
      <c r="G789" s="219"/>
    </row>
    <row r="790">
      <c r="A790" s="218">
        <f t="shared" si="1"/>
        <v>789</v>
      </c>
      <c r="B790" s="218" t="s">
        <v>203</v>
      </c>
      <c r="C790" s="218" t="s">
        <v>5455</v>
      </c>
      <c r="D790" s="218" t="b">
        <v>1</v>
      </c>
      <c r="E790" s="219" t="b">
        <v>0</v>
      </c>
      <c r="F790" s="219" t="b">
        <v>0</v>
      </c>
      <c r="G790" s="219"/>
    </row>
    <row r="791">
      <c r="A791" s="218">
        <f t="shared" si="1"/>
        <v>790</v>
      </c>
      <c r="B791" s="218" t="s">
        <v>203</v>
      </c>
      <c r="C791" s="218" t="s">
        <v>5509</v>
      </c>
      <c r="D791" s="218" t="b">
        <v>1</v>
      </c>
      <c r="E791" s="219" t="b">
        <v>0</v>
      </c>
      <c r="F791" s="219" t="b">
        <v>0</v>
      </c>
      <c r="G791" s="219"/>
    </row>
    <row r="792">
      <c r="A792" s="218">
        <f t="shared" si="1"/>
        <v>791</v>
      </c>
      <c r="B792" s="218" t="s">
        <v>203</v>
      </c>
      <c r="C792" s="218" t="s">
        <v>5467</v>
      </c>
      <c r="D792" s="218" t="b">
        <v>1</v>
      </c>
      <c r="E792" s="219" t="b">
        <v>0</v>
      </c>
      <c r="F792" s="219" t="b">
        <v>0</v>
      </c>
      <c r="G792" s="219"/>
    </row>
    <row r="793">
      <c r="A793" s="218">
        <f t="shared" si="1"/>
        <v>792</v>
      </c>
      <c r="B793" s="218" t="s">
        <v>203</v>
      </c>
      <c r="C793" s="218" t="s">
        <v>5410</v>
      </c>
      <c r="D793" s="218" t="b">
        <v>1</v>
      </c>
      <c r="E793" s="219" t="b">
        <v>0</v>
      </c>
      <c r="F793" s="219" t="b">
        <v>0</v>
      </c>
      <c r="G793" s="219"/>
    </row>
    <row r="794">
      <c r="A794" s="218">
        <f t="shared" si="1"/>
        <v>793</v>
      </c>
      <c r="B794" s="218" t="s">
        <v>203</v>
      </c>
      <c r="C794" s="218" t="s">
        <v>5192</v>
      </c>
      <c r="D794" s="218" t="b">
        <v>1</v>
      </c>
      <c r="E794" s="219" t="b">
        <v>0</v>
      </c>
      <c r="F794" s="219" t="b">
        <v>0</v>
      </c>
      <c r="G794" s="219"/>
    </row>
    <row r="795">
      <c r="A795" s="218">
        <f t="shared" si="1"/>
        <v>794</v>
      </c>
      <c r="B795" s="218" t="s">
        <v>203</v>
      </c>
      <c r="C795" s="218" t="s">
        <v>5197</v>
      </c>
      <c r="D795" s="218" t="b">
        <v>1</v>
      </c>
      <c r="E795" s="219" t="b">
        <v>0</v>
      </c>
      <c r="F795" s="219" t="b">
        <v>0</v>
      </c>
      <c r="G795" s="219"/>
    </row>
    <row r="796">
      <c r="A796" s="218">
        <f t="shared" si="1"/>
        <v>795</v>
      </c>
      <c r="B796" s="218" t="s">
        <v>203</v>
      </c>
      <c r="C796" s="218" t="s">
        <v>5223</v>
      </c>
      <c r="D796" s="218" t="b">
        <v>1</v>
      </c>
      <c r="E796" s="219" t="b">
        <v>0</v>
      </c>
      <c r="F796" s="219" t="b">
        <v>0</v>
      </c>
      <c r="G796" s="219"/>
    </row>
    <row r="797">
      <c r="A797" s="218">
        <f t="shared" si="1"/>
        <v>796</v>
      </c>
      <c r="B797" s="218" t="s">
        <v>203</v>
      </c>
      <c r="C797" s="218" t="s">
        <v>5472</v>
      </c>
      <c r="D797" s="218" t="b">
        <v>1</v>
      </c>
      <c r="E797" s="219" t="b">
        <v>0</v>
      </c>
      <c r="F797" s="219" t="b">
        <v>0</v>
      </c>
      <c r="G797" s="219"/>
    </row>
    <row r="798">
      <c r="A798" s="218">
        <f t="shared" si="1"/>
        <v>797</v>
      </c>
      <c r="B798" s="218" t="s">
        <v>203</v>
      </c>
      <c r="C798" s="218" t="s">
        <v>5487</v>
      </c>
      <c r="D798" s="218" t="b">
        <v>1</v>
      </c>
      <c r="E798" s="219" t="b">
        <v>0</v>
      </c>
      <c r="F798" s="219" t="b">
        <v>0</v>
      </c>
      <c r="G798" s="219"/>
    </row>
    <row r="799">
      <c r="A799" s="218">
        <f t="shared" si="1"/>
        <v>798</v>
      </c>
      <c r="B799" s="218" t="s">
        <v>203</v>
      </c>
      <c r="C799" s="218" t="s">
        <v>5493</v>
      </c>
      <c r="D799" s="218" t="b">
        <v>1</v>
      </c>
      <c r="E799" s="219" t="b">
        <v>0</v>
      </c>
      <c r="F799" s="219" t="b">
        <v>0</v>
      </c>
      <c r="G799" s="219"/>
    </row>
    <row r="800">
      <c r="A800" s="218">
        <f t="shared" si="1"/>
        <v>799</v>
      </c>
      <c r="B800" s="218" t="s">
        <v>203</v>
      </c>
      <c r="C800" s="218" t="s">
        <v>5499</v>
      </c>
      <c r="D800" s="218" t="b">
        <v>1</v>
      </c>
      <c r="E800" s="219" t="b">
        <v>0</v>
      </c>
      <c r="F800" s="219" t="b">
        <v>0</v>
      </c>
      <c r="G800" s="219"/>
    </row>
    <row r="801">
      <c r="A801" s="218">
        <f t="shared" si="1"/>
        <v>800</v>
      </c>
      <c r="B801" s="218" t="s">
        <v>203</v>
      </c>
      <c r="C801" s="218" t="s">
        <v>5420</v>
      </c>
      <c r="D801" s="218" t="b">
        <v>1</v>
      </c>
      <c r="E801" s="219" t="b">
        <v>0</v>
      </c>
      <c r="F801" s="219" t="b">
        <v>0</v>
      </c>
      <c r="G801" s="219"/>
    </row>
    <row r="802">
      <c r="A802" s="218">
        <f t="shared" si="1"/>
        <v>801</v>
      </c>
      <c r="B802" s="218" t="s">
        <v>203</v>
      </c>
      <c r="C802" s="218" t="s">
        <v>5135</v>
      </c>
      <c r="D802" s="218" t="b">
        <v>1</v>
      </c>
      <c r="E802" s="219" t="b">
        <v>0</v>
      </c>
      <c r="F802" s="219" t="b">
        <v>0</v>
      </c>
      <c r="G802" s="219"/>
    </row>
    <row r="803">
      <c r="A803" s="218">
        <f t="shared" si="1"/>
        <v>802</v>
      </c>
      <c r="B803" s="218" t="s">
        <v>203</v>
      </c>
      <c r="C803" s="218" t="s">
        <v>5140</v>
      </c>
      <c r="D803" s="218" t="b">
        <v>1</v>
      </c>
      <c r="E803" s="219" t="b">
        <v>0</v>
      </c>
      <c r="F803" s="219" t="b">
        <v>0</v>
      </c>
      <c r="G803" s="219"/>
    </row>
    <row r="804">
      <c r="A804" s="218">
        <f t="shared" si="1"/>
        <v>803</v>
      </c>
      <c r="B804" s="218" t="s">
        <v>203</v>
      </c>
      <c r="C804" s="218" t="s">
        <v>5152</v>
      </c>
      <c r="D804" s="218" t="b">
        <v>1</v>
      </c>
      <c r="E804" s="219" t="b">
        <v>0</v>
      </c>
      <c r="F804" s="219" t="b">
        <v>0</v>
      </c>
      <c r="G804" s="219"/>
    </row>
    <row r="805">
      <c r="A805" s="218">
        <f t="shared" si="1"/>
        <v>804</v>
      </c>
      <c r="B805" s="218" t="s">
        <v>203</v>
      </c>
      <c r="C805" s="218" t="s">
        <v>5522</v>
      </c>
      <c r="D805" s="218" t="b">
        <v>1</v>
      </c>
      <c r="E805" s="219" t="b">
        <v>0</v>
      </c>
      <c r="F805" s="219" t="b">
        <v>0</v>
      </c>
      <c r="G805" s="219"/>
    </row>
    <row r="806">
      <c r="A806" s="218">
        <f t="shared" si="1"/>
        <v>805</v>
      </c>
      <c r="B806" s="218" t="s">
        <v>203</v>
      </c>
      <c r="C806" s="218" t="s">
        <v>5477</v>
      </c>
      <c r="D806" s="218" t="b">
        <v>1</v>
      </c>
      <c r="E806" s="219" t="b">
        <v>0</v>
      </c>
      <c r="F806" s="219" t="b">
        <v>0</v>
      </c>
      <c r="G806" s="219"/>
    </row>
    <row r="807">
      <c r="A807" s="218">
        <f t="shared" si="1"/>
        <v>806</v>
      </c>
      <c r="B807" s="218" t="s">
        <v>203</v>
      </c>
      <c r="C807" s="218" t="s">
        <v>5440</v>
      </c>
      <c r="D807" s="218" t="b">
        <v>1</v>
      </c>
      <c r="E807" s="219" t="b">
        <v>0</v>
      </c>
      <c r="F807" s="219" t="b">
        <v>0</v>
      </c>
      <c r="G807" s="219"/>
    </row>
    <row r="808">
      <c r="A808" s="218">
        <f t="shared" si="1"/>
        <v>807</v>
      </c>
      <c r="B808" s="218" t="s">
        <v>203</v>
      </c>
      <c r="C808" s="218" t="s">
        <v>5450</v>
      </c>
      <c r="D808" s="218" t="b">
        <v>1</v>
      </c>
      <c r="E808" s="219" t="b">
        <v>0</v>
      </c>
      <c r="F808" s="219" t="b">
        <v>0</v>
      </c>
      <c r="G808" s="219"/>
    </row>
    <row r="809">
      <c r="A809" s="218">
        <f t="shared" si="1"/>
        <v>808</v>
      </c>
      <c r="B809" s="218" t="s">
        <v>203</v>
      </c>
      <c r="C809" s="218" t="s">
        <v>3512</v>
      </c>
      <c r="D809" s="218" t="b">
        <v>1</v>
      </c>
      <c r="E809" s="219" t="b">
        <v>0</v>
      </c>
      <c r="F809" s="219" t="b">
        <v>0</v>
      </c>
      <c r="G809" s="219"/>
    </row>
    <row r="810">
      <c r="A810" s="218">
        <f t="shared" si="1"/>
        <v>809</v>
      </c>
      <c r="B810" s="218" t="s">
        <v>203</v>
      </c>
      <c r="C810" s="218" t="s">
        <v>3640</v>
      </c>
      <c r="D810" s="218" t="b">
        <v>1</v>
      </c>
      <c r="E810" s="219" t="b">
        <v>0</v>
      </c>
      <c r="F810" s="219" t="b">
        <v>0</v>
      </c>
      <c r="G810" s="219"/>
    </row>
    <row r="811">
      <c r="A811" s="218">
        <f t="shared" si="1"/>
        <v>810</v>
      </c>
      <c r="B811" s="218" t="s">
        <v>203</v>
      </c>
      <c r="C811" s="218" t="s">
        <v>3738</v>
      </c>
      <c r="D811" s="218" t="b">
        <v>1</v>
      </c>
      <c r="E811" s="219" t="b">
        <v>0</v>
      </c>
      <c r="F811" s="219" t="b">
        <v>0</v>
      </c>
      <c r="G811" s="219"/>
    </row>
    <row r="812">
      <c r="A812" s="218">
        <f t="shared" si="1"/>
        <v>811</v>
      </c>
      <c r="B812" s="218" t="s">
        <v>203</v>
      </c>
      <c r="C812" s="218" t="s">
        <v>3753</v>
      </c>
      <c r="D812" s="218" t="b">
        <v>1</v>
      </c>
      <c r="E812" s="219" t="b">
        <v>0</v>
      </c>
      <c r="F812" s="219" t="b">
        <v>0</v>
      </c>
      <c r="G812" s="219"/>
    </row>
    <row r="813">
      <c r="A813" s="218">
        <f t="shared" si="1"/>
        <v>812</v>
      </c>
      <c r="B813" s="218" t="s">
        <v>203</v>
      </c>
      <c r="C813" s="218" t="s">
        <v>3553</v>
      </c>
      <c r="D813" s="218" t="b">
        <v>1</v>
      </c>
      <c r="E813" s="219" t="b">
        <v>0</v>
      </c>
      <c r="F813" s="219" t="b">
        <v>0</v>
      </c>
      <c r="G813" s="219"/>
    </row>
    <row r="814">
      <c r="A814" s="218">
        <f t="shared" si="1"/>
        <v>813</v>
      </c>
      <c r="B814" s="218" t="s">
        <v>203</v>
      </c>
      <c r="C814" s="218" t="s">
        <v>3567</v>
      </c>
      <c r="D814" s="218" t="b">
        <v>1</v>
      </c>
      <c r="E814" s="219" t="b">
        <v>0</v>
      </c>
      <c r="F814" s="219" t="b">
        <v>0</v>
      </c>
      <c r="G814" s="219"/>
    </row>
    <row r="815">
      <c r="A815" s="218">
        <f t="shared" si="1"/>
        <v>814</v>
      </c>
      <c r="B815" s="218" t="s">
        <v>203</v>
      </c>
      <c r="C815" s="218" t="s">
        <v>3763</v>
      </c>
      <c r="D815" s="218" t="b">
        <v>1</v>
      </c>
      <c r="E815" s="219" t="b">
        <v>0</v>
      </c>
      <c r="F815" s="219" t="b">
        <v>0</v>
      </c>
      <c r="G815" s="219"/>
    </row>
    <row r="816">
      <c r="A816" s="218">
        <f t="shared" si="1"/>
        <v>815</v>
      </c>
      <c r="B816" s="218" t="s">
        <v>203</v>
      </c>
      <c r="C816" s="218" t="s">
        <v>3430</v>
      </c>
      <c r="D816" s="218" t="b">
        <v>1</v>
      </c>
      <c r="E816" s="219" t="b">
        <v>0</v>
      </c>
      <c r="F816" s="219" t="b">
        <v>0</v>
      </c>
      <c r="G816" s="219"/>
    </row>
    <row r="817">
      <c r="A817" s="218">
        <f t="shared" si="1"/>
        <v>816</v>
      </c>
      <c r="B817" s="218" t="s">
        <v>203</v>
      </c>
      <c r="C817" s="218" t="s">
        <v>3558</v>
      </c>
      <c r="D817" s="218" t="b">
        <v>1</v>
      </c>
      <c r="E817" s="219" t="b">
        <v>0</v>
      </c>
      <c r="F817" s="219" t="b">
        <v>0</v>
      </c>
      <c r="G817" s="219"/>
    </row>
    <row r="818">
      <c r="A818" s="218">
        <f t="shared" si="1"/>
        <v>817</v>
      </c>
      <c r="B818" s="218" t="s">
        <v>203</v>
      </c>
      <c r="C818" s="218" t="s">
        <v>3590</v>
      </c>
      <c r="D818" s="218" t="b">
        <v>1</v>
      </c>
      <c r="E818" s="219" t="b">
        <v>0</v>
      </c>
      <c r="F818" s="219" t="b">
        <v>0</v>
      </c>
      <c r="G818" s="219"/>
    </row>
    <row r="819">
      <c r="A819" s="218">
        <f t="shared" si="1"/>
        <v>818</v>
      </c>
      <c r="B819" s="218" t="s">
        <v>203</v>
      </c>
      <c r="C819" s="218" t="s">
        <v>3772</v>
      </c>
      <c r="D819" s="218" t="b">
        <v>1</v>
      </c>
      <c r="E819" s="219" t="b">
        <v>0</v>
      </c>
      <c r="F819" s="219" t="b">
        <v>0</v>
      </c>
      <c r="G819" s="219"/>
    </row>
    <row r="820">
      <c r="A820" s="218">
        <f t="shared" si="1"/>
        <v>819</v>
      </c>
      <c r="B820" s="218" t="s">
        <v>203</v>
      </c>
      <c r="C820" s="218" t="s">
        <v>3630</v>
      </c>
      <c r="D820" s="218" t="b">
        <v>1</v>
      </c>
      <c r="E820" s="219" t="b">
        <v>0</v>
      </c>
      <c r="F820" s="219" t="b">
        <v>0</v>
      </c>
      <c r="G820" s="219"/>
    </row>
    <row r="821">
      <c r="A821" s="218">
        <f t="shared" si="1"/>
        <v>820</v>
      </c>
      <c r="B821" s="218" t="s">
        <v>203</v>
      </c>
      <c r="C821" s="218" t="s">
        <v>3386</v>
      </c>
      <c r="D821" s="218" t="b">
        <v>1</v>
      </c>
      <c r="E821" s="219" t="b">
        <v>0</v>
      </c>
      <c r="F821" s="219" t="b">
        <v>0</v>
      </c>
      <c r="G821" s="219"/>
    </row>
    <row r="822">
      <c r="A822" s="218">
        <f t="shared" si="1"/>
        <v>821</v>
      </c>
      <c r="B822" s="218" t="s">
        <v>203</v>
      </c>
      <c r="C822" s="218" t="s">
        <v>3381</v>
      </c>
      <c r="D822" s="218" t="b">
        <v>1</v>
      </c>
      <c r="E822" s="219" t="b">
        <v>0</v>
      </c>
      <c r="F822" s="219" t="b">
        <v>0</v>
      </c>
      <c r="G822" s="219"/>
    </row>
    <row r="823">
      <c r="A823" s="218">
        <f t="shared" si="1"/>
        <v>822</v>
      </c>
      <c r="B823" s="218" t="s">
        <v>203</v>
      </c>
      <c r="C823" s="218" t="s">
        <v>3449</v>
      </c>
      <c r="D823" s="218" t="b">
        <v>1</v>
      </c>
      <c r="E823" s="219" t="b">
        <v>0</v>
      </c>
      <c r="F823" s="219" t="b">
        <v>0</v>
      </c>
      <c r="G823" s="219"/>
    </row>
    <row r="824">
      <c r="A824" s="218">
        <f t="shared" si="1"/>
        <v>823</v>
      </c>
      <c r="B824" s="218" t="s">
        <v>203</v>
      </c>
      <c r="C824" s="218" t="s">
        <v>3507</v>
      </c>
      <c r="D824" s="218" t="b">
        <v>1</v>
      </c>
      <c r="E824" s="219" t="b">
        <v>0</v>
      </c>
      <c r="F824" s="219" t="b">
        <v>0</v>
      </c>
      <c r="G824" s="219"/>
    </row>
    <row r="825">
      <c r="A825" s="218">
        <f t="shared" si="1"/>
        <v>824</v>
      </c>
      <c r="B825" s="218" t="s">
        <v>203</v>
      </c>
      <c r="C825" s="218" t="s">
        <v>3404</v>
      </c>
      <c r="D825" s="218" t="b">
        <v>1</v>
      </c>
      <c r="E825" s="219" t="b">
        <v>0</v>
      </c>
      <c r="F825" s="219" t="b">
        <v>0</v>
      </c>
      <c r="G825" s="219"/>
    </row>
    <row r="826">
      <c r="A826" s="218">
        <f t="shared" si="1"/>
        <v>825</v>
      </c>
      <c r="B826" s="218" t="s">
        <v>203</v>
      </c>
      <c r="C826" s="218" t="s">
        <v>3408</v>
      </c>
      <c r="D826" s="218" t="b">
        <v>1</v>
      </c>
      <c r="E826" s="219" t="b">
        <v>0</v>
      </c>
      <c r="F826" s="219" t="b">
        <v>0</v>
      </c>
      <c r="G826" s="219"/>
    </row>
    <row r="827">
      <c r="A827" s="218">
        <f t="shared" si="1"/>
        <v>826</v>
      </c>
      <c r="B827" s="218" t="s">
        <v>203</v>
      </c>
      <c r="C827" s="218" t="s">
        <v>3376</v>
      </c>
      <c r="D827" s="218" t="b">
        <v>1</v>
      </c>
      <c r="E827" s="219" t="b">
        <v>0</v>
      </c>
      <c r="F827" s="219" t="b">
        <v>0</v>
      </c>
      <c r="G827" s="219"/>
    </row>
    <row r="828">
      <c r="A828" s="218">
        <f t="shared" si="1"/>
        <v>827</v>
      </c>
      <c r="B828" s="218" t="s">
        <v>203</v>
      </c>
      <c r="C828" s="218" t="s">
        <v>3439</v>
      </c>
      <c r="D828" s="218" t="b">
        <v>1</v>
      </c>
      <c r="E828" s="219" t="b">
        <v>0</v>
      </c>
      <c r="F828" s="219" t="b">
        <v>0</v>
      </c>
      <c r="G828" s="219"/>
    </row>
    <row r="829">
      <c r="A829" s="218">
        <f t="shared" si="1"/>
        <v>828</v>
      </c>
      <c r="B829" s="218" t="s">
        <v>203</v>
      </c>
      <c r="C829" s="218" t="s">
        <v>3644</v>
      </c>
      <c r="D829" s="218" t="b">
        <v>1</v>
      </c>
      <c r="E829" s="219" t="b">
        <v>0</v>
      </c>
      <c r="F829" s="219" t="b">
        <v>0</v>
      </c>
      <c r="G829" s="219"/>
    </row>
    <row r="830">
      <c r="A830" s="218">
        <f t="shared" si="1"/>
        <v>829</v>
      </c>
      <c r="B830" s="218" t="s">
        <v>203</v>
      </c>
      <c r="C830" s="218" t="s">
        <v>3595</v>
      </c>
      <c r="D830" s="218" t="b">
        <v>1</v>
      </c>
      <c r="E830" s="219" t="b">
        <v>0</v>
      </c>
      <c r="F830" s="219" t="b">
        <v>0</v>
      </c>
      <c r="G830" s="219"/>
    </row>
    <row r="831">
      <c r="A831" s="218">
        <f t="shared" si="1"/>
        <v>830</v>
      </c>
      <c r="B831" s="218" t="s">
        <v>203</v>
      </c>
      <c r="C831" s="218" t="s">
        <v>3625</v>
      </c>
      <c r="D831" s="218" t="b">
        <v>1</v>
      </c>
      <c r="E831" s="219" t="b">
        <v>0</v>
      </c>
      <c r="F831" s="219" t="b">
        <v>0</v>
      </c>
      <c r="G831" s="219"/>
    </row>
    <row r="832">
      <c r="A832" s="218">
        <f t="shared" si="1"/>
        <v>831</v>
      </c>
      <c r="B832" s="218" t="s">
        <v>203</v>
      </c>
      <c r="C832" s="218" t="s">
        <v>3719</v>
      </c>
      <c r="D832" s="218" t="b">
        <v>1</v>
      </c>
      <c r="E832" s="219" t="b">
        <v>0</v>
      </c>
      <c r="F832" s="219" t="b">
        <v>0</v>
      </c>
      <c r="G832" s="219"/>
    </row>
    <row r="833">
      <c r="A833" s="218">
        <f t="shared" si="1"/>
        <v>832</v>
      </c>
      <c r="B833" s="218" t="s">
        <v>203</v>
      </c>
      <c r="C833" s="218" t="s">
        <v>3609</v>
      </c>
      <c r="D833" s="218" t="b">
        <v>1</v>
      </c>
      <c r="E833" s="219" t="b">
        <v>0</v>
      </c>
      <c r="F833" s="219" t="b">
        <v>0</v>
      </c>
      <c r="G833" s="219"/>
    </row>
    <row r="834">
      <c r="A834" s="218">
        <f t="shared" si="1"/>
        <v>833</v>
      </c>
      <c r="B834" s="218" t="s">
        <v>203</v>
      </c>
      <c r="C834" s="218" t="s">
        <v>3605</v>
      </c>
      <c r="D834" s="218" t="b">
        <v>1</v>
      </c>
      <c r="E834" s="219" t="b">
        <v>0</v>
      </c>
      <c r="F834" s="219" t="b">
        <v>0</v>
      </c>
      <c r="G834" s="219"/>
    </row>
    <row r="835">
      <c r="A835" s="218">
        <f t="shared" si="1"/>
        <v>834</v>
      </c>
      <c r="B835" s="218" t="s">
        <v>203</v>
      </c>
      <c r="C835" s="218" t="s">
        <v>3634</v>
      </c>
      <c r="D835" s="218" t="b">
        <v>1</v>
      </c>
      <c r="E835" s="219" t="b">
        <v>0</v>
      </c>
      <c r="F835" s="219" t="b">
        <v>0</v>
      </c>
      <c r="G835" s="219"/>
    </row>
    <row r="836">
      <c r="A836" s="218">
        <f t="shared" si="1"/>
        <v>835</v>
      </c>
      <c r="B836" s="218" t="s">
        <v>203</v>
      </c>
      <c r="C836" s="218" t="s">
        <v>3548</v>
      </c>
      <c r="D836" s="218" t="b">
        <v>1</v>
      </c>
      <c r="E836" s="219" t="b">
        <v>0</v>
      </c>
      <c r="F836" s="219" t="b">
        <v>0</v>
      </c>
      <c r="G836" s="219"/>
    </row>
    <row r="837">
      <c r="A837" s="218">
        <f t="shared" si="1"/>
        <v>836</v>
      </c>
      <c r="B837" s="218" t="s">
        <v>203</v>
      </c>
      <c r="C837" s="218" t="s">
        <v>3391</v>
      </c>
      <c r="D837" s="218" t="b">
        <v>1</v>
      </c>
      <c r="E837" s="219" t="b">
        <v>0</v>
      </c>
      <c r="F837" s="219" t="b">
        <v>0</v>
      </c>
      <c r="G837" s="219"/>
    </row>
    <row r="838">
      <c r="A838" s="218">
        <f t="shared" si="1"/>
        <v>837</v>
      </c>
      <c r="B838" s="218" t="s">
        <v>203</v>
      </c>
      <c r="C838" s="218" t="s">
        <v>3454</v>
      </c>
      <c r="D838" s="218" t="b">
        <v>1</v>
      </c>
      <c r="E838" s="219" t="b">
        <v>0</v>
      </c>
      <c r="F838" s="219" t="b">
        <v>0</v>
      </c>
      <c r="G838" s="219"/>
    </row>
    <row r="839">
      <c r="A839" s="218">
        <f t="shared" si="1"/>
        <v>838</v>
      </c>
      <c r="B839" s="218" t="s">
        <v>203</v>
      </c>
      <c r="C839" s="218" t="s">
        <v>3400</v>
      </c>
      <c r="D839" s="218" t="b">
        <v>1</v>
      </c>
      <c r="E839" s="219" t="b">
        <v>0</v>
      </c>
      <c r="F839" s="219" t="b">
        <v>0</v>
      </c>
      <c r="G839" s="219"/>
    </row>
    <row r="840">
      <c r="A840" s="218">
        <f t="shared" si="1"/>
        <v>839</v>
      </c>
      <c r="B840" s="218" t="s">
        <v>203</v>
      </c>
      <c r="C840" s="218" t="s">
        <v>3421</v>
      </c>
      <c r="D840" s="218" t="b">
        <v>1</v>
      </c>
      <c r="E840" s="219" t="b">
        <v>0</v>
      </c>
      <c r="F840" s="219" t="b">
        <v>0</v>
      </c>
      <c r="G840" s="219"/>
    </row>
    <row r="841">
      <c r="A841" s="218">
        <f t="shared" si="1"/>
        <v>840</v>
      </c>
      <c r="B841" s="218" t="s">
        <v>203</v>
      </c>
      <c r="C841" s="218" t="s">
        <v>3497</v>
      </c>
      <c r="D841" s="218" t="b">
        <v>1</v>
      </c>
      <c r="E841" s="219" t="b">
        <v>0</v>
      </c>
      <c r="F841" s="219" t="b">
        <v>0</v>
      </c>
      <c r="G841" s="219"/>
    </row>
    <row r="842">
      <c r="A842" s="218">
        <f t="shared" si="1"/>
        <v>841</v>
      </c>
      <c r="B842" s="218" t="s">
        <v>203</v>
      </c>
      <c r="C842" s="218" t="s">
        <v>3434</v>
      </c>
      <c r="D842" s="218" t="b">
        <v>1</v>
      </c>
      <c r="E842" s="219" t="b">
        <v>0</v>
      </c>
      <c r="F842" s="219" t="b">
        <v>0</v>
      </c>
      <c r="G842" s="219"/>
    </row>
    <row r="843">
      <c r="A843" s="218">
        <f t="shared" si="1"/>
        <v>842</v>
      </c>
      <c r="B843" s="218" t="s">
        <v>203</v>
      </c>
      <c r="C843" s="218" t="s">
        <v>3464</v>
      </c>
      <c r="D843" s="218" t="b">
        <v>1</v>
      </c>
      <c r="E843" s="219" t="b">
        <v>0</v>
      </c>
      <c r="F843" s="219" t="b">
        <v>0</v>
      </c>
      <c r="G843" s="219"/>
    </row>
    <row r="844">
      <c r="A844" s="218">
        <f t="shared" si="1"/>
        <v>843</v>
      </c>
      <c r="B844" s="218" t="s">
        <v>203</v>
      </c>
      <c r="C844" s="218" t="s">
        <v>3724</v>
      </c>
      <c r="D844" s="218" t="b">
        <v>1</v>
      </c>
      <c r="E844" s="219" t="b">
        <v>0</v>
      </c>
      <c r="F844" s="219" t="b">
        <v>0</v>
      </c>
      <c r="G844" s="219"/>
    </row>
    <row r="845">
      <c r="A845" s="218">
        <f t="shared" si="1"/>
        <v>844</v>
      </c>
      <c r="B845" s="218" t="s">
        <v>203</v>
      </c>
      <c r="C845" s="218" t="s">
        <v>3579</v>
      </c>
      <c r="D845" s="218" t="b">
        <v>1</v>
      </c>
      <c r="E845" s="219" t="b">
        <v>0</v>
      </c>
      <c r="F845" s="219" t="b">
        <v>0</v>
      </c>
      <c r="G845" s="219"/>
    </row>
    <row r="846">
      <c r="A846" s="218">
        <f t="shared" si="1"/>
        <v>845</v>
      </c>
      <c r="B846" s="218" t="s">
        <v>203</v>
      </c>
      <c r="C846" s="218" t="s">
        <v>3492</v>
      </c>
      <c r="D846" s="218" t="b">
        <v>1</v>
      </c>
      <c r="E846" s="219" t="b">
        <v>0</v>
      </c>
      <c r="F846" s="219" t="b">
        <v>0</v>
      </c>
      <c r="G846" s="219"/>
    </row>
    <row r="847">
      <c r="A847" s="218">
        <f t="shared" si="1"/>
        <v>846</v>
      </c>
      <c r="B847" s="218" t="s">
        <v>203</v>
      </c>
      <c r="C847" s="218" t="s">
        <v>3620</v>
      </c>
      <c r="D847" s="218" t="b">
        <v>1</v>
      </c>
      <c r="E847" s="219" t="b">
        <v>0</v>
      </c>
      <c r="F847" s="219" t="b">
        <v>0</v>
      </c>
      <c r="G847" s="219"/>
    </row>
    <row r="848">
      <c r="A848" s="218">
        <f t="shared" si="1"/>
        <v>847</v>
      </c>
      <c r="B848" s="218" t="s">
        <v>203</v>
      </c>
      <c r="C848" s="218" t="s">
        <v>3649</v>
      </c>
      <c r="D848" s="218" t="b">
        <v>1</v>
      </c>
      <c r="E848" s="219" t="b">
        <v>0</v>
      </c>
      <c r="F848" s="219" t="b">
        <v>0</v>
      </c>
      <c r="G848" s="219"/>
    </row>
    <row r="849">
      <c r="A849" s="218">
        <f t="shared" si="1"/>
        <v>848</v>
      </c>
      <c r="B849" s="218" t="s">
        <v>203</v>
      </c>
      <c r="C849" s="218" t="s">
        <v>3663</v>
      </c>
      <c r="D849" s="218" t="b">
        <v>1</v>
      </c>
      <c r="E849" s="219" t="b">
        <v>0</v>
      </c>
      <c r="F849" s="219" t="b">
        <v>0</v>
      </c>
      <c r="G849" s="219"/>
    </row>
    <row r="850">
      <c r="A850" s="218">
        <f t="shared" si="1"/>
        <v>849</v>
      </c>
      <c r="B850" s="218" t="s">
        <v>203</v>
      </c>
      <c r="C850" s="218" t="s">
        <v>3732</v>
      </c>
      <c r="D850" s="218" t="b">
        <v>1</v>
      </c>
      <c r="E850" s="219" t="b">
        <v>0</v>
      </c>
      <c r="F850" s="219" t="b">
        <v>0</v>
      </c>
      <c r="G850" s="219"/>
    </row>
    <row r="851">
      <c r="A851" s="218">
        <f t="shared" si="1"/>
        <v>850</v>
      </c>
      <c r="B851" s="218" t="s">
        <v>203</v>
      </c>
      <c r="C851" s="218" t="s">
        <v>3688</v>
      </c>
      <c r="D851" s="218" t="b">
        <v>1</v>
      </c>
      <c r="E851" s="219" t="b">
        <v>0</v>
      </c>
      <c r="F851" s="219" t="b">
        <v>0</v>
      </c>
      <c r="G851" s="219"/>
    </row>
    <row r="852">
      <c r="A852" s="218">
        <f t="shared" si="1"/>
        <v>851</v>
      </c>
      <c r="B852" s="218" t="s">
        <v>203</v>
      </c>
      <c r="C852" s="218" t="s">
        <v>3703</v>
      </c>
      <c r="D852" s="218" t="b">
        <v>1</v>
      </c>
      <c r="E852" s="219" t="b">
        <v>0</v>
      </c>
      <c r="F852" s="219" t="b">
        <v>0</v>
      </c>
      <c r="G852" s="219"/>
    </row>
    <row r="853">
      <c r="A853" s="218">
        <f t="shared" si="1"/>
        <v>852</v>
      </c>
      <c r="B853" s="218" t="s">
        <v>203</v>
      </c>
      <c r="C853" s="218" t="s">
        <v>3683</v>
      </c>
      <c r="D853" s="218" t="b">
        <v>1</v>
      </c>
      <c r="E853" s="219" t="b">
        <v>0</v>
      </c>
      <c r="F853" s="219" t="b">
        <v>0</v>
      </c>
      <c r="G853" s="219"/>
    </row>
    <row r="854">
      <c r="A854" s="218">
        <f t="shared" si="1"/>
        <v>853</v>
      </c>
      <c r="B854" s="218" t="s">
        <v>203</v>
      </c>
      <c r="C854" s="218" t="s">
        <v>3708</v>
      </c>
      <c r="D854" s="218" t="b">
        <v>1</v>
      </c>
      <c r="E854" s="219" t="b">
        <v>0</v>
      </c>
      <c r="F854" s="219" t="b">
        <v>0</v>
      </c>
      <c r="G854" s="219"/>
    </row>
    <row r="855">
      <c r="A855" s="218">
        <f t="shared" si="1"/>
        <v>854</v>
      </c>
      <c r="B855" s="218" t="s">
        <v>203</v>
      </c>
      <c r="C855" s="218" t="s">
        <v>4034</v>
      </c>
      <c r="D855" s="218" t="b">
        <v>1</v>
      </c>
      <c r="E855" s="219" t="b">
        <v>0</v>
      </c>
      <c r="F855" s="219" t="b">
        <v>0</v>
      </c>
      <c r="G855" s="219"/>
    </row>
    <row r="856">
      <c r="A856" s="218">
        <f t="shared" si="1"/>
        <v>855</v>
      </c>
      <c r="B856" s="218" t="s">
        <v>203</v>
      </c>
      <c r="C856" s="218" t="s">
        <v>3416</v>
      </c>
      <c r="D856" s="218" t="b">
        <v>1</v>
      </c>
      <c r="E856" s="219" t="b">
        <v>0</v>
      </c>
      <c r="F856" s="219" t="b">
        <v>0</v>
      </c>
      <c r="G856" s="219"/>
    </row>
    <row r="857">
      <c r="A857" s="218">
        <f t="shared" si="1"/>
        <v>856</v>
      </c>
      <c r="B857" s="218" t="s">
        <v>203</v>
      </c>
      <c r="C857" s="218" t="s">
        <v>4028</v>
      </c>
      <c r="D857" s="218" t="b">
        <v>1</v>
      </c>
      <c r="E857" s="219" t="b">
        <v>0</v>
      </c>
      <c r="F857" s="219" t="b">
        <v>0</v>
      </c>
      <c r="G857" s="219"/>
    </row>
    <row r="858">
      <c r="A858" s="218">
        <f t="shared" si="1"/>
        <v>857</v>
      </c>
      <c r="B858" s="218" t="s">
        <v>203</v>
      </c>
      <c r="C858" s="218" t="s">
        <v>3478</v>
      </c>
      <c r="D858" s="218" t="b">
        <v>1</v>
      </c>
      <c r="E858" s="219" t="b">
        <v>0</v>
      </c>
      <c r="F858" s="219" t="b">
        <v>0</v>
      </c>
      <c r="G858" s="219"/>
    </row>
    <row r="859">
      <c r="A859" s="218">
        <f t="shared" si="1"/>
        <v>858</v>
      </c>
      <c r="B859" s="218" t="s">
        <v>203</v>
      </c>
      <c r="C859" s="218" t="s">
        <v>1856</v>
      </c>
      <c r="D859" s="218" t="b">
        <v>1</v>
      </c>
      <c r="E859" s="219" t="b">
        <v>0</v>
      </c>
      <c r="F859" s="219" t="b">
        <v>0</v>
      </c>
      <c r="G859" s="219"/>
    </row>
    <row r="860">
      <c r="A860" s="218">
        <f t="shared" si="1"/>
        <v>859</v>
      </c>
      <c r="B860" s="218" t="s">
        <v>203</v>
      </c>
      <c r="C860" s="218" t="s">
        <v>3614</v>
      </c>
      <c r="D860" s="218" t="b">
        <v>1</v>
      </c>
      <c r="E860" s="219" t="b">
        <v>0</v>
      </c>
      <c r="F860" s="219" t="b">
        <v>0</v>
      </c>
      <c r="G860" s="219"/>
    </row>
    <row r="861">
      <c r="A861" s="218">
        <f t="shared" si="1"/>
        <v>860</v>
      </c>
      <c r="B861" s="218" t="s">
        <v>203</v>
      </c>
      <c r="C861" s="218" t="s">
        <v>4018</v>
      </c>
      <c r="D861" s="218" t="b">
        <v>1</v>
      </c>
      <c r="E861" s="219" t="b">
        <v>0</v>
      </c>
      <c r="F861" s="219" t="b">
        <v>0</v>
      </c>
      <c r="G861" s="219"/>
    </row>
    <row r="862">
      <c r="A862" s="218">
        <f t="shared" si="1"/>
        <v>861</v>
      </c>
      <c r="B862" s="218" t="s">
        <v>203</v>
      </c>
      <c r="C862" s="218" t="s">
        <v>3694</v>
      </c>
      <c r="D862" s="218" t="b">
        <v>1</v>
      </c>
      <c r="E862" s="219" t="b">
        <v>0</v>
      </c>
      <c r="F862" s="219" t="b">
        <v>0</v>
      </c>
      <c r="G862" s="219"/>
    </row>
    <row r="863">
      <c r="A863" s="218">
        <f t="shared" si="1"/>
        <v>862</v>
      </c>
      <c r="B863" s="218" t="s">
        <v>203</v>
      </c>
      <c r="C863" s="218" t="s">
        <v>4013</v>
      </c>
      <c r="D863" s="218" t="b">
        <v>1</v>
      </c>
      <c r="E863" s="219" t="b">
        <v>0</v>
      </c>
      <c r="F863" s="219" t="b">
        <v>0</v>
      </c>
      <c r="G863" s="219"/>
    </row>
    <row r="864">
      <c r="A864" s="218">
        <f t="shared" si="1"/>
        <v>863</v>
      </c>
      <c r="B864" s="218" t="s">
        <v>203</v>
      </c>
      <c r="C864" s="218" t="s">
        <v>4899</v>
      </c>
      <c r="D864" s="218" t="b">
        <v>1</v>
      </c>
      <c r="E864" s="219" t="b">
        <v>0</v>
      </c>
      <c r="F864" s="219" t="b">
        <v>0</v>
      </c>
      <c r="G864" s="219"/>
    </row>
    <row r="865">
      <c r="A865" s="218">
        <f t="shared" si="1"/>
        <v>864</v>
      </c>
      <c r="B865" s="218" t="s">
        <v>203</v>
      </c>
      <c r="C865" s="218" t="s">
        <v>2529</v>
      </c>
      <c r="D865" s="218" t="b">
        <v>1</v>
      </c>
      <c r="E865" s="219" t="b">
        <v>0</v>
      </c>
      <c r="F865" s="219" t="b">
        <v>0</v>
      </c>
      <c r="G865" s="219"/>
    </row>
    <row r="866">
      <c r="A866" s="218">
        <f t="shared" si="1"/>
        <v>865</v>
      </c>
      <c r="B866" s="218" t="s">
        <v>203</v>
      </c>
      <c r="C866" s="218" t="s">
        <v>4887</v>
      </c>
      <c r="D866" s="218" t="b">
        <v>1</v>
      </c>
      <c r="E866" s="219" t="b">
        <v>0</v>
      </c>
      <c r="F866" s="219" t="b">
        <v>0</v>
      </c>
      <c r="G866" s="219"/>
    </row>
    <row r="867">
      <c r="A867" s="218">
        <f t="shared" si="1"/>
        <v>866</v>
      </c>
      <c r="B867" s="218" t="s">
        <v>203</v>
      </c>
      <c r="C867" s="218" t="s">
        <v>1198</v>
      </c>
      <c r="D867" s="218" t="b">
        <v>1</v>
      </c>
      <c r="E867" s="219" t="b">
        <v>0</v>
      </c>
      <c r="F867" s="219" t="b">
        <v>0</v>
      </c>
      <c r="G867" s="219"/>
    </row>
    <row r="868">
      <c r="A868" s="218">
        <f t="shared" si="1"/>
        <v>867</v>
      </c>
      <c r="B868" s="218" t="s">
        <v>203</v>
      </c>
      <c r="C868" s="218" t="s">
        <v>5110</v>
      </c>
      <c r="D868" s="218" t="b">
        <v>1</v>
      </c>
      <c r="E868" s="219" t="b">
        <v>0</v>
      </c>
      <c r="F868" s="219" t="b">
        <v>0</v>
      </c>
      <c r="G868" s="219"/>
    </row>
    <row r="869">
      <c r="A869" s="218">
        <f t="shared" si="1"/>
        <v>868</v>
      </c>
      <c r="B869" s="218" t="s">
        <v>203</v>
      </c>
      <c r="C869" s="218" t="s">
        <v>4000</v>
      </c>
      <c r="D869" s="218" t="b">
        <v>1</v>
      </c>
      <c r="E869" s="219" t="b">
        <v>0</v>
      </c>
      <c r="F869" s="219" t="b">
        <v>0</v>
      </c>
      <c r="G869" s="219"/>
    </row>
    <row r="870">
      <c r="A870" s="218">
        <f t="shared" si="1"/>
        <v>869</v>
      </c>
      <c r="B870" s="218" t="s">
        <v>203</v>
      </c>
      <c r="C870" s="218" t="s">
        <v>4868</v>
      </c>
      <c r="D870" s="218" t="b">
        <v>1</v>
      </c>
      <c r="E870" s="219" t="b">
        <v>0</v>
      </c>
      <c r="F870" s="219" t="b">
        <v>0</v>
      </c>
      <c r="G870" s="219"/>
    </row>
    <row r="871">
      <c r="A871" s="218">
        <f t="shared" si="1"/>
        <v>870</v>
      </c>
      <c r="B871" s="218" t="s">
        <v>203</v>
      </c>
      <c r="C871" s="218" t="s">
        <v>5064</v>
      </c>
      <c r="D871" s="218" t="b">
        <v>1</v>
      </c>
      <c r="E871" s="219" t="b">
        <v>0</v>
      </c>
      <c r="F871" s="219" t="b">
        <v>0</v>
      </c>
      <c r="G871" s="219"/>
    </row>
    <row r="872">
      <c r="A872" s="218">
        <f t="shared" si="1"/>
        <v>871</v>
      </c>
      <c r="B872" s="218" t="s">
        <v>203</v>
      </c>
      <c r="C872" s="218" t="s">
        <v>5019</v>
      </c>
      <c r="D872" s="218" t="b">
        <v>1</v>
      </c>
      <c r="E872" s="219" t="b">
        <v>0</v>
      </c>
      <c r="F872" s="219" t="b">
        <v>0</v>
      </c>
      <c r="G872" s="219"/>
    </row>
    <row r="873">
      <c r="A873" s="218">
        <f t="shared" si="1"/>
        <v>872</v>
      </c>
      <c r="B873" s="218" t="s">
        <v>203</v>
      </c>
      <c r="C873" s="218" t="s">
        <v>5094</v>
      </c>
      <c r="D873" s="218" t="b">
        <v>1</v>
      </c>
      <c r="E873" s="219" t="b">
        <v>0</v>
      </c>
      <c r="F873" s="219" t="b">
        <v>0</v>
      </c>
      <c r="G873" s="219"/>
    </row>
    <row r="874">
      <c r="A874" s="218">
        <f t="shared" si="1"/>
        <v>873</v>
      </c>
      <c r="B874" s="218" t="s">
        <v>203</v>
      </c>
      <c r="C874" s="218" t="s">
        <v>3805</v>
      </c>
      <c r="D874" s="218" t="b">
        <v>1</v>
      </c>
      <c r="E874" s="219" t="b">
        <v>0</v>
      </c>
      <c r="F874" s="219" t="b">
        <v>0</v>
      </c>
      <c r="G874" s="219"/>
    </row>
    <row r="875">
      <c r="A875" s="218">
        <f t="shared" si="1"/>
        <v>874</v>
      </c>
      <c r="B875" s="218" t="s">
        <v>203</v>
      </c>
      <c r="C875" s="218" t="s">
        <v>3868</v>
      </c>
      <c r="D875" s="218" t="b">
        <v>1</v>
      </c>
      <c r="E875" s="219" t="b">
        <v>0</v>
      </c>
      <c r="F875" s="219" t="b">
        <v>0</v>
      </c>
      <c r="G875" s="219"/>
    </row>
    <row r="876">
      <c r="A876" s="218">
        <f t="shared" si="1"/>
        <v>875</v>
      </c>
      <c r="B876" s="218" t="s">
        <v>203</v>
      </c>
      <c r="C876" s="218" t="s">
        <v>2189</v>
      </c>
      <c r="D876" s="218" t="b">
        <v>1</v>
      </c>
      <c r="E876" s="219" t="b">
        <v>0</v>
      </c>
      <c r="F876" s="219" t="b">
        <v>0</v>
      </c>
      <c r="G876" s="219"/>
    </row>
    <row r="877">
      <c r="A877" s="218">
        <f t="shared" si="1"/>
        <v>876</v>
      </c>
      <c r="B877" s="218" t="s">
        <v>203</v>
      </c>
      <c r="C877" s="218" t="s">
        <v>5074</v>
      </c>
      <c r="D877" s="218" t="b">
        <v>1</v>
      </c>
      <c r="E877" s="219" t="b">
        <v>0</v>
      </c>
      <c r="F877" s="219" t="b">
        <v>0</v>
      </c>
      <c r="G877" s="219"/>
    </row>
    <row r="878">
      <c r="A878" s="218">
        <f t="shared" si="1"/>
        <v>877</v>
      </c>
      <c r="B878" s="218" t="s">
        <v>203</v>
      </c>
      <c r="C878" s="218" t="s">
        <v>2079</v>
      </c>
      <c r="D878" s="218" t="b">
        <v>1</v>
      </c>
      <c r="E878" s="219" t="b">
        <v>0</v>
      </c>
      <c r="F878" s="219" t="b">
        <v>0</v>
      </c>
      <c r="G878" s="219"/>
    </row>
    <row r="879">
      <c r="A879" s="218">
        <f t="shared" si="1"/>
        <v>878</v>
      </c>
      <c r="B879" s="218" t="s">
        <v>203</v>
      </c>
      <c r="C879" s="218" t="s">
        <v>2079</v>
      </c>
      <c r="D879" s="218" t="b">
        <v>1</v>
      </c>
      <c r="E879" s="219" t="b">
        <v>0</v>
      </c>
      <c r="F879" s="219" t="b">
        <v>0</v>
      </c>
      <c r="G879" s="219"/>
    </row>
    <row r="880">
      <c r="A880" s="218">
        <f t="shared" si="1"/>
        <v>879</v>
      </c>
      <c r="B880" s="218" t="s">
        <v>203</v>
      </c>
      <c r="C880" s="218" t="s">
        <v>3412</v>
      </c>
      <c r="D880" s="218" t="b">
        <v>1</v>
      </c>
      <c r="E880" s="219" t="b">
        <v>0</v>
      </c>
      <c r="F880" s="219" t="b">
        <v>0</v>
      </c>
      <c r="G880" s="219"/>
    </row>
    <row r="881">
      <c r="A881" s="218">
        <f t="shared" si="1"/>
        <v>880</v>
      </c>
      <c r="B881" s="218" t="s">
        <v>203</v>
      </c>
      <c r="C881" s="218" t="s">
        <v>5058</v>
      </c>
      <c r="D881" s="218" t="b">
        <v>1</v>
      </c>
      <c r="E881" s="219" t="b">
        <v>0</v>
      </c>
      <c r="F881" s="219" t="b">
        <v>0</v>
      </c>
      <c r="G881" s="219"/>
    </row>
    <row r="882">
      <c r="A882" s="218">
        <f t="shared" si="1"/>
        <v>881</v>
      </c>
      <c r="B882" s="218" t="s">
        <v>203</v>
      </c>
      <c r="C882" s="218" t="s">
        <v>4313</v>
      </c>
      <c r="D882" s="218" t="b">
        <v>1</v>
      </c>
      <c r="E882" s="219" t="b">
        <v>0</v>
      </c>
      <c r="F882" s="219" t="b">
        <v>0</v>
      </c>
      <c r="G882" s="219"/>
    </row>
    <row r="883">
      <c r="A883" s="218">
        <f t="shared" si="1"/>
        <v>882</v>
      </c>
      <c r="B883" s="218" t="s">
        <v>203</v>
      </c>
      <c r="C883" s="218" t="s">
        <v>5042</v>
      </c>
      <c r="D883" s="218" t="b">
        <v>1</v>
      </c>
      <c r="E883" s="219" t="b">
        <v>0</v>
      </c>
      <c r="F883" s="219" t="b">
        <v>0</v>
      </c>
      <c r="G883" s="219"/>
    </row>
    <row r="884">
      <c r="A884" s="218">
        <f t="shared" si="1"/>
        <v>883</v>
      </c>
      <c r="B884" s="218" t="s">
        <v>203</v>
      </c>
      <c r="C884" s="218" t="s">
        <v>2016</v>
      </c>
      <c r="D884" s="218" t="b">
        <v>1</v>
      </c>
      <c r="E884" s="219" t="b">
        <v>0</v>
      </c>
      <c r="F884" s="219" t="b">
        <v>0</v>
      </c>
      <c r="G884" s="219"/>
    </row>
    <row r="885">
      <c r="A885" s="218">
        <f t="shared" si="1"/>
        <v>884</v>
      </c>
      <c r="B885" s="218" t="s">
        <v>203</v>
      </c>
      <c r="C885" s="218" t="s">
        <v>4878</v>
      </c>
      <c r="D885" s="218" t="b">
        <v>1</v>
      </c>
      <c r="E885" s="219" t="b">
        <v>0</v>
      </c>
      <c r="F885" s="219" t="b">
        <v>0</v>
      </c>
      <c r="G885" s="219"/>
    </row>
    <row r="886">
      <c r="A886" s="218">
        <f t="shared" si="1"/>
        <v>885</v>
      </c>
      <c r="B886" s="218" t="s">
        <v>203</v>
      </c>
      <c r="C886" s="218" t="s">
        <v>5030</v>
      </c>
      <c r="D886" s="218" t="b">
        <v>1</v>
      </c>
      <c r="E886" s="219" t="b">
        <v>0</v>
      </c>
      <c r="F886" s="219" t="b">
        <v>0</v>
      </c>
      <c r="G886" s="219"/>
    </row>
    <row r="887">
      <c r="A887" s="218">
        <f t="shared" si="1"/>
        <v>886</v>
      </c>
      <c r="B887" s="218" t="s">
        <v>203</v>
      </c>
      <c r="C887" s="218" t="s">
        <v>4984</v>
      </c>
      <c r="D887" s="218" t="b">
        <v>1</v>
      </c>
      <c r="E887" s="219" t="b">
        <v>0</v>
      </c>
      <c r="F887" s="219" t="b">
        <v>0</v>
      </c>
      <c r="G887" s="219"/>
    </row>
    <row r="888">
      <c r="A888" s="218">
        <f t="shared" si="1"/>
        <v>887</v>
      </c>
      <c r="B888" s="218" t="s">
        <v>203</v>
      </c>
      <c r="C888" s="218" t="s">
        <v>3854</v>
      </c>
      <c r="D888" s="218" t="b">
        <v>1</v>
      </c>
      <c r="E888" s="219" t="b">
        <v>0</v>
      </c>
      <c r="F888" s="219" t="b">
        <v>0</v>
      </c>
      <c r="G888" s="219"/>
    </row>
    <row r="889">
      <c r="A889" s="218">
        <f t="shared" si="1"/>
        <v>888</v>
      </c>
      <c r="B889" s="218" t="s">
        <v>203</v>
      </c>
      <c r="C889" s="218" t="s">
        <v>4848</v>
      </c>
      <c r="D889" s="218" t="b">
        <v>1</v>
      </c>
      <c r="E889" s="219" t="b">
        <v>0</v>
      </c>
      <c r="F889" s="219" t="b">
        <v>0</v>
      </c>
      <c r="G889" s="219"/>
    </row>
    <row r="890">
      <c r="A890" s="218">
        <f t="shared" si="1"/>
        <v>889</v>
      </c>
      <c r="B890" s="218" t="s">
        <v>203</v>
      </c>
      <c r="C890" s="218" t="s">
        <v>3856</v>
      </c>
      <c r="D890" s="218" t="b">
        <v>1</v>
      </c>
      <c r="E890" s="219" t="b">
        <v>0</v>
      </c>
      <c r="F890" s="219" t="b">
        <v>0</v>
      </c>
      <c r="G890" s="219"/>
    </row>
    <row r="891">
      <c r="A891" s="218">
        <f t="shared" si="1"/>
        <v>890</v>
      </c>
      <c r="B891" s="218" t="s">
        <v>203</v>
      </c>
      <c r="C891" s="218" t="s">
        <v>4040</v>
      </c>
      <c r="D891" s="218" t="b">
        <v>1</v>
      </c>
      <c r="E891" s="219" t="b">
        <v>0</v>
      </c>
      <c r="F891" s="219" t="b">
        <v>0</v>
      </c>
      <c r="G891" s="219"/>
    </row>
    <row r="892">
      <c r="A892" s="218">
        <f t="shared" si="1"/>
        <v>891</v>
      </c>
      <c r="B892" s="218" t="s">
        <v>203</v>
      </c>
      <c r="C892" s="218" t="s">
        <v>3840</v>
      </c>
      <c r="D892" s="218" t="b">
        <v>1</v>
      </c>
      <c r="E892" s="219" t="b">
        <v>0</v>
      </c>
      <c r="F892" s="219" t="b">
        <v>0</v>
      </c>
      <c r="G892" s="219"/>
    </row>
    <row r="893">
      <c r="A893" s="218">
        <f t="shared" si="1"/>
        <v>892</v>
      </c>
      <c r="B893" s="218" t="s">
        <v>203</v>
      </c>
      <c r="C893" s="218" t="s">
        <v>4920</v>
      </c>
      <c r="D893" s="218" t="b">
        <v>1</v>
      </c>
      <c r="E893" s="219" t="b">
        <v>0</v>
      </c>
      <c r="F893" s="219" t="b">
        <v>0</v>
      </c>
      <c r="G893" s="219"/>
    </row>
    <row r="894">
      <c r="A894" s="218">
        <f t="shared" si="1"/>
        <v>893</v>
      </c>
      <c r="B894" s="218" t="s">
        <v>203</v>
      </c>
      <c r="C894" s="218" t="s">
        <v>3909</v>
      </c>
      <c r="D894" s="218" t="b">
        <v>1</v>
      </c>
      <c r="E894" s="219" t="b">
        <v>0</v>
      </c>
      <c r="F894" s="219" t="b">
        <v>0</v>
      </c>
      <c r="G894" s="219"/>
    </row>
    <row r="895">
      <c r="A895" s="218">
        <f t="shared" si="1"/>
        <v>894</v>
      </c>
      <c r="B895" s="218" t="s">
        <v>203</v>
      </c>
      <c r="C895" s="218" t="s">
        <v>3889</v>
      </c>
      <c r="D895" s="218" t="b">
        <v>1</v>
      </c>
      <c r="E895" s="219" t="b">
        <v>0</v>
      </c>
      <c r="F895" s="219" t="b">
        <v>0</v>
      </c>
      <c r="G895" s="219"/>
    </row>
    <row r="896">
      <c r="A896" s="218">
        <f t="shared" si="1"/>
        <v>895</v>
      </c>
      <c r="B896" s="218" t="s">
        <v>203</v>
      </c>
      <c r="C896" s="218" t="s">
        <v>4714</v>
      </c>
      <c r="D896" s="218" t="b">
        <v>1</v>
      </c>
      <c r="E896" s="219" t="b">
        <v>0</v>
      </c>
      <c r="F896" s="219" t="b">
        <v>0</v>
      </c>
      <c r="G896" s="219"/>
    </row>
    <row r="897">
      <c r="A897" s="218">
        <f t="shared" si="1"/>
        <v>896</v>
      </c>
      <c r="B897" s="218" t="s">
        <v>203</v>
      </c>
      <c r="C897" s="218" t="s">
        <v>3816</v>
      </c>
      <c r="D897" s="218" t="b">
        <v>1</v>
      </c>
      <c r="E897" s="219" t="b">
        <v>0</v>
      </c>
      <c r="F897" s="219" t="b">
        <v>0</v>
      </c>
      <c r="G897" s="219"/>
    </row>
    <row r="898">
      <c r="A898" s="218">
        <f t="shared" si="1"/>
        <v>897</v>
      </c>
      <c r="B898" s="218" t="s">
        <v>203</v>
      </c>
      <c r="C898" s="218" t="s">
        <v>5269</v>
      </c>
      <c r="D898" s="218" t="b">
        <v>1</v>
      </c>
      <c r="E898" s="219" t="b">
        <v>0</v>
      </c>
      <c r="F898" s="219" t="b">
        <v>0</v>
      </c>
      <c r="G898" s="219"/>
    </row>
    <row r="899">
      <c r="A899" s="218">
        <f t="shared" si="1"/>
        <v>898</v>
      </c>
      <c r="B899" s="218" t="s">
        <v>203</v>
      </c>
      <c r="C899" s="218" t="s">
        <v>5000</v>
      </c>
      <c r="D899" s="218" t="b">
        <v>1</v>
      </c>
      <c r="E899" s="219" t="b">
        <v>0</v>
      </c>
      <c r="F899" s="219" t="b">
        <v>0</v>
      </c>
      <c r="G899" s="219"/>
    </row>
    <row r="900">
      <c r="A900" s="218">
        <f t="shared" si="1"/>
        <v>899</v>
      </c>
      <c r="B900" s="218" t="s">
        <v>203</v>
      </c>
      <c r="C900" s="218" t="s">
        <v>4097</v>
      </c>
      <c r="D900" s="218" t="b">
        <v>1</v>
      </c>
      <c r="E900" s="219" t="b">
        <v>0</v>
      </c>
      <c r="F900" s="219" t="b">
        <v>0</v>
      </c>
      <c r="G900" s="219"/>
    </row>
    <row r="901">
      <c r="A901" s="218">
        <f t="shared" si="1"/>
        <v>900</v>
      </c>
      <c r="B901" s="218" t="s">
        <v>203</v>
      </c>
      <c r="C901" s="218" t="s">
        <v>4097</v>
      </c>
      <c r="D901" s="218" t="b">
        <v>1</v>
      </c>
      <c r="E901" s="219" t="b">
        <v>0</v>
      </c>
      <c r="F901" s="219" t="b">
        <v>0</v>
      </c>
      <c r="G901" s="219"/>
    </row>
    <row r="902">
      <c r="A902" s="218">
        <f t="shared" si="1"/>
        <v>901</v>
      </c>
      <c r="B902" s="218" t="s">
        <v>203</v>
      </c>
      <c r="C902" s="218" t="s">
        <v>3929</v>
      </c>
      <c r="D902" s="218" t="b">
        <v>1</v>
      </c>
      <c r="E902" s="219" t="b">
        <v>0</v>
      </c>
      <c r="F902" s="219" t="b">
        <v>0</v>
      </c>
      <c r="G902" s="219"/>
    </row>
    <row r="903">
      <c r="A903" s="218">
        <f t="shared" si="1"/>
        <v>902</v>
      </c>
      <c r="B903" s="218" t="s">
        <v>203</v>
      </c>
      <c r="C903" s="218" t="s">
        <v>4909</v>
      </c>
      <c r="D903" s="218" t="b">
        <v>1</v>
      </c>
      <c r="E903" s="219" t="b">
        <v>0</v>
      </c>
      <c r="F903" s="219" t="b">
        <v>0</v>
      </c>
      <c r="G903" s="219"/>
    </row>
    <row r="904">
      <c r="A904" s="218">
        <f t="shared" si="1"/>
        <v>903</v>
      </c>
      <c r="B904" s="218" t="s">
        <v>203</v>
      </c>
      <c r="C904" s="218" t="s">
        <v>3935</v>
      </c>
      <c r="D904" s="218" t="b">
        <v>1</v>
      </c>
      <c r="E904" s="219" t="b">
        <v>0</v>
      </c>
      <c r="F904" s="219" t="b">
        <v>0</v>
      </c>
      <c r="G904" s="219"/>
    </row>
    <row r="905">
      <c r="A905" s="218">
        <f t="shared" si="1"/>
        <v>904</v>
      </c>
      <c r="B905" s="218" t="s">
        <v>203</v>
      </c>
      <c r="C905" s="218" t="s">
        <v>4924</v>
      </c>
      <c r="D905" s="218" t="b">
        <v>1</v>
      </c>
      <c r="E905" s="219" t="b">
        <v>0</v>
      </c>
      <c r="F905" s="219" t="b">
        <v>0</v>
      </c>
      <c r="G905" s="219"/>
    </row>
    <row r="906">
      <c r="A906" s="218">
        <f t="shared" si="1"/>
        <v>905</v>
      </c>
      <c r="B906" s="218" t="s">
        <v>203</v>
      </c>
      <c r="C906" s="218" t="s">
        <v>3821</v>
      </c>
      <c r="D906" s="218" t="b">
        <v>1</v>
      </c>
      <c r="E906" s="219" t="b">
        <v>0</v>
      </c>
      <c r="F906" s="219" t="b">
        <v>0</v>
      </c>
      <c r="G906" s="219"/>
    </row>
    <row r="907">
      <c r="A907" s="218">
        <f t="shared" si="1"/>
        <v>906</v>
      </c>
      <c r="B907" s="218" t="s">
        <v>203</v>
      </c>
      <c r="C907" s="218" t="s">
        <v>4903</v>
      </c>
      <c r="D907" s="218" t="b">
        <v>1</v>
      </c>
      <c r="E907" s="219" t="b">
        <v>0</v>
      </c>
      <c r="F907" s="219" t="b">
        <v>0</v>
      </c>
      <c r="G907" s="219"/>
    </row>
    <row r="908">
      <c r="A908" s="218">
        <f t="shared" si="1"/>
        <v>907</v>
      </c>
      <c r="B908" s="218" t="s">
        <v>203</v>
      </c>
      <c r="C908" s="218" t="s">
        <v>3849</v>
      </c>
      <c r="D908" s="218" t="b">
        <v>1</v>
      </c>
      <c r="E908" s="219" t="b">
        <v>0</v>
      </c>
      <c r="F908" s="219" t="b">
        <v>0</v>
      </c>
      <c r="G908" s="219"/>
    </row>
    <row r="909">
      <c r="A909" s="218">
        <f t="shared" si="1"/>
        <v>908</v>
      </c>
      <c r="B909" s="218" t="s">
        <v>203</v>
      </c>
      <c r="C909" s="218" t="s">
        <v>4989</v>
      </c>
      <c r="D909" s="218" t="b">
        <v>1</v>
      </c>
      <c r="E909" s="219" t="b">
        <v>0</v>
      </c>
      <c r="F909" s="219" t="b">
        <v>0</v>
      </c>
      <c r="G909" s="219"/>
    </row>
    <row r="910">
      <c r="A910" s="218">
        <f t="shared" si="1"/>
        <v>909</v>
      </c>
      <c r="B910" s="218" t="s">
        <v>203</v>
      </c>
      <c r="C910" s="218" t="s">
        <v>4860</v>
      </c>
      <c r="D910" s="218" t="b">
        <v>1</v>
      </c>
      <c r="E910" s="219" t="b">
        <v>0</v>
      </c>
      <c r="F910" s="219" t="b">
        <v>0</v>
      </c>
      <c r="G910" s="219"/>
    </row>
    <row r="911">
      <c r="A911" s="218">
        <f t="shared" si="1"/>
        <v>910</v>
      </c>
      <c r="B911" s="218" t="s">
        <v>203</v>
      </c>
      <c r="C911" s="218" t="s">
        <v>4337</v>
      </c>
      <c r="D911" s="218" t="b">
        <v>1</v>
      </c>
      <c r="E911" s="219" t="b">
        <v>0</v>
      </c>
      <c r="F911" s="219" t="b">
        <v>0</v>
      </c>
      <c r="G911" s="219"/>
    </row>
    <row r="912">
      <c r="A912" s="218">
        <f t="shared" si="1"/>
        <v>911</v>
      </c>
      <c r="B912" s="218" t="s">
        <v>203</v>
      </c>
      <c r="C912" s="218" t="s">
        <v>4974</v>
      </c>
      <c r="D912" s="218" t="b">
        <v>1</v>
      </c>
      <c r="E912" s="219" t="b">
        <v>0</v>
      </c>
      <c r="F912" s="219" t="b">
        <v>0</v>
      </c>
      <c r="G912" s="219"/>
    </row>
    <row r="913">
      <c r="A913" s="218">
        <f t="shared" si="1"/>
        <v>912</v>
      </c>
      <c r="B913" s="218" t="s">
        <v>203</v>
      </c>
      <c r="C913" s="218" t="s">
        <v>3874</v>
      </c>
      <c r="D913" s="218" t="b">
        <v>1</v>
      </c>
      <c r="E913" s="219" t="b">
        <v>0</v>
      </c>
      <c r="F913" s="219" t="b">
        <v>0</v>
      </c>
      <c r="G913" s="219"/>
    </row>
    <row r="914">
      <c r="A914" s="218">
        <f t="shared" si="1"/>
        <v>913</v>
      </c>
      <c r="B914" s="218" t="s">
        <v>203</v>
      </c>
      <c r="C914" s="218" t="s">
        <v>3904</v>
      </c>
      <c r="D914" s="218" t="b">
        <v>1</v>
      </c>
      <c r="E914" s="219" t="b">
        <v>0</v>
      </c>
      <c r="F914" s="219" t="b">
        <v>0</v>
      </c>
      <c r="G914" s="219"/>
    </row>
    <row r="915">
      <c r="A915" s="218">
        <f t="shared" si="1"/>
        <v>914</v>
      </c>
      <c r="B915" s="218" t="s">
        <v>203</v>
      </c>
      <c r="C915" s="218" t="s">
        <v>4941</v>
      </c>
      <c r="D915" s="218" t="b">
        <v>1</v>
      </c>
      <c r="E915" s="219" t="b">
        <v>0</v>
      </c>
      <c r="F915" s="219" t="b">
        <v>0</v>
      </c>
      <c r="G915" s="219"/>
    </row>
    <row r="916">
      <c r="A916" s="218">
        <f t="shared" si="1"/>
        <v>915</v>
      </c>
      <c r="B916" s="218" t="s">
        <v>203</v>
      </c>
      <c r="C916" s="218" t="s">
        <v>2084</v>
      </c>
      <c r="D916" s="218" t="b">
        <v>1</v>
      </c>
      <c r="E916" s="219" t="b">
        <v>0</v>
      </c>
      <c r="F916" s="219" t="b">
        <v>0</v>
      </c>
      <c r="G916" s="219"/>
    </row>
    <row r="917">
      <c r="A917" s="218">
        <f t="shared" si="1"/>
        <v>916</v>
      </c>
      <c r="B917" s="218" t="s">
        <v>203</v>
      </c>
      <c r="C917" s="218" t="s">
        <v>2084</v>
      </c>
      <c r="D917" s="218" t="b">
        <v>1</v>
      </c>
      <c r="E917" s="219" t="b">
        <v>0</v>
      </c>
      <c r="F917" s="219" t="b">
        <v>0</v>
      </c>
      <c r="G917" s="219"/>
    </row>
    <row r="918">
      <c r="A918" s="218">
        <f t="shared" si="1"/>
        <v>917</v>
      </c>
      <c r="B918" s="218" t="s">
        <v>203</v>
      </c>
      <c r="C918" s="218" t="s">
        <v>3787</v>
      </c>
      <c r="D918" s="218" t="b">
        <v>1</v>
      </c>
      <c r="E918" s="219" t="b">
        <v>0</v>
      </c>
      <c r="F918" s="219" t="b">
        <v>0</v>
      </c>
      <c r="G918" s="219"/>
    </row>
    <row r="919">
      <c r="A919" s="218">
        <f t="shared" si="1"/>
        <v>918</v>
      </c>
      <c r="B919" s="218" t="s">
        <v>203</v>
      </c>
      <c r="C919" s="218" t="s">
        <v>3845</v>
      </c>
      <c r="D919" s="218" t="b">
        <v>1</v>
      </c>
      <c r="E919" s="219" t="b">
        <v>0</v>
      </c>
      <c r="F919" s="219" t="b">
        <v>0</v>
      </c>
      <c r="G919" s="219"/>
    </row>
    <row r="920">
      <c r="A920" s="218">
        <f t="shared" si="1"/>
        <v>919</v>
      </c>
      <c r="B920" s="218" t="s">
        <v>203</v>
      </c>
      <c r="C920" s="218" t="s">
        <v>5084</v>
      </c>
      <c r="D920" s="218" t="b">
        <v>1</v>
      </c>
      <c r="E920" s="219" t="b">
        <v>0</v>
      </c>
      <c r="F920" s="219" t="b">
        <v>0</v>
      </c>
      <c r="G920" s="219"/>
    </row>
    <row r="921">
      <c r="A921" s="218">
        <f t="shared" si="1"/>
        <v>920</v>
      </c>
      <c r="B921" s="218" t="s">
        <v>203</v>
      </c>
      <c r="C921" s="218" t="s">
        <v>3894</v>
      </c>
      <c r="D921" s="218" t="b">
        <v>1</v>
      </c>
      <c r="E921" s="219" t="b">
        <v>0</v>
      </c>
      <c r="F921" s="219" t="b">
        <v>0</v>
      </c>
      <c r="G921" s="219"/>
    </row>
    <row r="922">
      <c r="A922" s="218">
        <f t="shared" si="1"/>
        <v>921</v>
      </c>
      <c r="B922" s="218" t="s">
        <v>203</v>
      </c>
      <c r="C922" s="218" t="s">
        <v>5263</v>
      </c>
      <c r="D922" s="218" t="b">
        <v>1</v>
      </c>
      <c r="E922" s="219" t="b">
        <v>0</v>
      </c>
      <c r="F922" s="219" t="b">
        <v>0</v>
      </c>
      <c r="G922" s="219"/>
    </row>
    <row r="923">
      <c r="A923" s="218">
        <f t="shared" si="1"/>
        <v>922</v>
      </c>
      <c r="B923" s="218" t="s">
        <v>203</v>
      </c>
      <c r="C923" s="218" t="s">
        <v>3783</v>
      </c>
      <c r="D923" s="218" t="b">
        <v>1</v>
      </c>
      <c r="E923" s="219" t="b">
        <v>0</v>
      </c>
      <c r="F923" s="219" t="b">
        <v>0</v>
      </c>
      <c r="G923" s="219"/>
    </row>
    <row r="924">
      <c r="A924" s="218">
        <f t="shared" si="1"/>
        <v>923</v>
      </c>
      <c r="B924" s="218" t="s">
        <v>203</v>
      </c>
      <c r="C924" s="218" t="s">
        <v>4342</v>
      </c>
      <c r="D924" s="218" t="b">
        <v>1</v>
      </c>
      <c r="E924" s="219" t="b">
        <v>0</v>
      </c>
      <c r="F924" s="219" t="b">
        <v>0</v>
      </c>
      <c r="G924" s="219"/>
    </row>
    <row r="925">
      <c r="A925" s="218">
        <f t="shared" si="1"/>
        <v>924</v>
      </c>
      <c r="B925" s="218" t="s">
        <v>203</v>
      </c>
      <c r="C925" s="218" t="s">
        <v>3978</v>
      </c>
      <c r="D925" s="218" t="b">
        <v>1</v>
      </c>
      <c r="E925" s="219" t="b">
        <v>0</v>
      </c>
      <c r="F925" s="219" t="b">
        <v>0</v>
      </c>
      <c r="G925" s="219"/>
    </row>
    <row r="926">
      <c r="A926" s="218">
        <f t="shared" si="1"/>
        <v>925</v>
      </c>
      <c r="B926" s="218" t="s">
        <v>203</v>
      </c>
      <c r="C926" s="218" t="s">
        <v>3826</v>
      </c>
      <c r="D926" s="218" t="b">
        <v>1</v>
      </c>
      <c r="E926" s="219" t="b">
        <v>0</v>
      </c>
      <c r="F926" s="219" t="b">
        <v>0</v>
      </c>
      <c r="G926" s="219"/>
    </row>
    <row r="927">
      <c r="A927" s="218">
        <f t="shared" si="1"/>
        <v>926</v>
      </c>
      <c r="B927" s="218" t="s">
        <v>203</v>
      </c>
      <c r="C927" s="218" t="s">
        <v>4070</v>
      </c>
      <c r="D927" s="218" t="b">
        <v>1</v>
      </c>
      <c r="E927" s="219" t="b">
        <v>0</v>
      </c>
      <c r="F927" s="219" t="b">
        <v>0</v>
      </c>
      <c r="G927" s="219"/>
    </row>
    <row r="928">
      <c r="A928" s="218">
        <f t="shared" si="1"/>
        <v>927</v>
      </c>
      <c r="B928" s="218" t="s">
        <v>203</v>
      </c>
      <c r="C928" s="218" t="s">
        <v>4929</v>
      </c>
      <c r="D928" s="218" t="b">
        <v>1</v>
      </c>
      <c r="E928" s="219" t="b">
        <v>0</v>
      </c>
      <c r="F928" s="219" t="b">
        <v>0</v>
      </c>
      <c r="G928" s="219"/>
    </row>
    <row r="929">
      <c r="A929" s="218">
        <f t="shared" si="1"/>
        <v>928</v>
      </c>
      <c r="B929" s="218" t="s">
        <v>203</v>
      </c>
      <c r="C929" s="218" t="s">
        <v>3944</v>
      </c>
      <c r="D929" s="218" t="b">
        <v>1</v>
      </c>
      <c r="E929" s="219" t="b">
        <v>0</v>
      </c>
      <c r="F929" s="219" t="b">
        <v>0</v>
      </c>
      <c r="G929" s="219"/>
    </row>
    <row r="930">
      <c r="A930" s="218">
        <f t="shared" si="1"/>
        <v>929</v>
      </c>
      <c r="B930" s="218" t="s">
        <v>203</v>
      </c>
      <c r="C930" s="218" t="s">
        <v>3988</v>
      </c>
      <c r="D930" s="218" t="b">
        <v>1</v>
      </c>
      <c r="E930" s="219" t="b">
        <v>0</v>
      </c>
      <c r="F930" s="219" t="b">
        <v>0</v>
      </c>
      <c r="G930" s="219"/>
    </row>
    <row r="931">
      <c r="A931" s="218">
        <f t="shared" si="1"/>
        <v>930</v>
      </c>
      <c r="B931" s="218" t="s">
        <v>203</v>
      </c>
      <c r="C931" s="218" t="s">
        <v>3940</v>
      </c>
      <c r="D931" s="218" t="b">
        <v>1</v>
      </c>
      <c r="E931" s="219" t="b">
        <v>0</v>
      </c>
      <c r="F931" s="219" t="b">
        <v>0</v>
      </c>
      <c r="G931" s="219"/>
    </row>
    <row r="932">
      <c r="A932" s="218">
        <f t="shared" si="1"/>
        <v>931</v>
      </c>
      <c r="B932" s="218" t="s">
        <v>203</v>
      </c>
      <c r="C932" s="218" t="s">
        <v>4024</v>
      </c>
      <c r="D932" s="218" t="b">
        <v>1</v>
      </c>
      <c r="E932" s="219" t="b">
        <v>0</v>
      </c>
      <c r="F932" s="219" t="b">
        <v>0</v>
      </c>
      <c r="G932" s="219"/>
    </row>
    <row r="933">
      <c r="A933" s="218">
        <f t="shared" si="1"/>
        <v>932</v>
      </c>
      <c r="B933" s="218" t="s">
        <v>203</v>
      </c>
      <c r="C933" s="218" t="s">
        <v>4570</v>
      </c>
      <c r="D933" s="218" t="b">
        <v>1</v>
      </c>
      <c r="E933" s="219" t="b">
        <v>0</v>
      </c>
      <c r="F933" s="219" t="b">
        <v>0</v>
      </c>
      <c r="G933" s="219"/>
    </row>
    <row r="934">
      <c r="A934" s="218">
        <f t="shared" si="1"/>
        <v>933</v>
      </c>
      <c r="B934" s="218" t="s">
        <v>203</v>
      </c>
      <c r="C934" s="218" t="s">
        <v>4946</v>
      </c>
      <c r="D934" s="218" t="b">
        <v>1</v>
      </c>
      <c r="E934" s="219" t="b">
        <v>0</v>
      </c>
      <c r="F934" s="219" t="b">
        <v>0</v>
      </c>
      <c r="G934" s="219"/>
    </row>
    <row r="935">
      <c r="A935" s="218">
        <f t="shared" si="1"/>
        <v>934</v>
      </c>
      <c r="B935" s="218" t="s">
        <v>203</v>
      </c>
      <c r="C935" s="218" t="s">
        <v>3810</v>
      </c>
      <c r="D935" s="218" t="b">
        <v>1</v>
      </c>
      <c r="E935" s="219" t="b">
        <v>0</v>
      </c>
      <c r="F935" s="219" t="b">
        <v>0</v>
      </c>
      <c r="G935" s="219"/>
    </row>
    <row r="936">
      <c r="A936" s="218">
        <f t="shared" si="1"/>
        <v>935</v>
      </c>
      <c r="B936" s="218" t="s">
        <v>203</v>
      </c>
      <c r="C936" s="218" t="s">
        <v>4959</v>
      </c>
      <c r="D936" s="218" t="b">
        <v>1</v>
      </c>
      <c r="E936" s="219" t="b">
        <v>0</v>
      </c>
      <c r="F936" s="219" t="b">
        <v>0</v>
      </c>
      <c r="G936" s="219"/>
    </row>
    <row r="937">
      <c r="A937" s="218">
        <f t="shared" si="1"/>
        <v>936</v>
      </c>
      <c r="B937" s="218" t="s">
        <v>203</v>
      </c>
      <c r="C937" s="218" t="s">
        <v>3713</v>
      </c>
      <c r="D937" s="218" t="b">
        <v>1</v>
      </c>
      <c r="E937" s="219" t="b">
        <v>0</v>
      </c>
      <c r="F937" s="219" t="b">
        <v>0</v>
      </c>
      <c r="G937" s="219"/>
    </row>
    <row r="938">
      <c r="A938" s="218">
        <f t="shared" si="1"/>
        <v>937</v>
      </c>
      <c r="B938" s="218" t="s">
        <v>203</v>
      </c>
      <c r="C938" s="218" t="s">
        <v>4873</v>
      </c>
      <c r="D938" s="218" t="b">
        <v>1</v>
      </c>
      <c r="E938" s="219" t="b">
        <v>0</v>
      </c>
      <c r="F938" s="219" t="b">
        <v>0</v>
      </c>
      <c r="G938" s="219"/>
    </row>
    <row r="939">
      <c r="A939" s="218">
        <f t="shared" si="1"/>
        <v>938</v>
      </c>
      <c r="B939" s="218" t="s">
        <v>203</v>
      </c>
      <c r="C939" s="218" t="s">
        <v>3562</v>
      </c>
      <c r="D939" s="218" t="b">
        <v>1</v>
      </c>
      <c r="E939" s="219" t="b">
        <v>0</v>
      </c>
      <c r="F939" s="219" t="b">
        <v>0</v>
      </c>
      <c r="G939" s="219"/>
    </row>
    <row r="940">
      <c r="A940" s="218">
        <f t="shared" si="1"/>
        <v>939</v>
      </c>
      <c r="B940" s="218" t="s">
        <v>203</v>
      </c>
      <c r="C940" s="218" t="s">
        <v>4845</v>
      </c>
      <c r="D940" s="218" t="b">
        <v>1</v>
      </c>
      <c r="E940" s="219" t="b">
        <v>0</v>
      </c>
      <c r="F940" s="219" t="b">
        <v>0</v>
      </c>
      <c r="G940" s="219"/>
    </row>
    <row r="941">
      <c r="A941" s="218">
        <f t="shared" si="1"/>
        <v>940</v>
      </c>
      <c r="B941" s="218" t="s">
        <v>203</v>
      </c>
      <c r="C941" s="218" t="s">
        <v>3488</v>
      </c>
      <c r="D941" s="218" t="b">
        <v>1</v>
      </c>
      <c r="E941" s="219" t="b">
        <v>0</v>
      </c>
      <c r="F941" s="219" t="b">
        <v>0</v>
      </c>
      <c r="G941" s="219"/>
    </row>
    <row r="942">
      <c r="A942" s="218">
        <f t="shared" si="1"/>
        <v>941</v>
      </c>
      <c r="B942" s="218" t="s">
        <v>203</v>
      </c>
      <c r="C942" s="218" t="s">
        <v>4050</v>
      </c>
      <c r="D942" s="218" t="b">
        <v>1</v>
      </c>
      <c r="E942" s="219" t="b">
        <v>0</v>
      </c>
      <c r="F942" s="219" t="b">
        <v>0</v>
      </c>
      <c r="G942" s="219"/>
    </row>
    <row r="943">
      <c r="A943" s="218">
        <f t="shared" si="1"/>
        <v>942</v>
      </c>
      <c r="B943" s="218" t="s">
        <v>203</v>
      </c>
      <c r="C943" s="218" t="s">
        <v>5004</v>
      </c>
      <c r="D943" s="218" t="b">
        <v>1</v>
      </c>
      <c r="E943" s="219" t="b">
        <v>0</v>
      </c>
      <c r="F943" s="219" t="b">
        <v>0</v>
      </c>
      <c r="G943" s="219"/>
    </row>
    <row r="944">
      <c r="A944" s="218">
        <f t="shared" si="1"/>
        <v>943</v>
      </c>
      <c r="B944" s="218" t="s">
        <v>203</v>
      </c>
      <c r="C944" s="218" t="s">
        <v>4263</v>
      </c>
      <c r="D944" s="218" t="b">
        <v>1</v>
      </c>
      <c r="E944" s="219" t="b">
        <v>0</v>
      </c>
      <c r="F944" s="219" t="b">
        <v>0</v>
      </c>
      <c r="G944" s="219"/>
    </row>
    <row r="945">
      <c r="A945" s="218">
        <f t="shared" si="1"/>
        <v>944</v>
      </c>
      <c r="B945" s="218" t="s">
        <v>203</v>
      </c>
      <c r="C945" s="218" t="s">
        <v>3964</v>
      </c>
      <c r="D945" s="218" t="b">
        <v>1</v>
      </c>
      <c r="E945" s="219" t="b">
        <v>0</v>
      </c>
      <c r="F945" s="219" t="b">
        <v>0</v>
      </c>
      <c r="G945" s="219"/>
    </row>
    <row r="946">
      <c r="A946" s="218">
        <f t="shared" si="1"/>
        <v>945</v>
      </c>
      <c r="B946" s="218" t="s">
        <v>203</v>
      </c>
      <c r="C946" s="218" t="s">
        <v>4965</v>
      </c>
      <c r="D946" s="218" t="b">
        <v>1</v>
      </c>
      <c r="E946" s="219" t="b">
        <v>0</v>
      </c>
      <c r="F946" s="219" t="b">
        <v>0</v>
      </c>
      <c r="G946" s="219"/>
    </row>
    <row r="947">
      <c r="A947" s="218">
        <f t="shared" si="1"/>
        <v>946</v>
      </c>
      <c r="B947" s="218" t="s">
        <v>203</v>
      </c>
      <c r="C947" s="218" t="s">
        <v>3793</v>
      </c>
      <c r="D947" s="218" t="b">
        <v>1</v>
      </c>
      <c r="E947" s="219" t="b">
        <v>0</v>
      </c>
      <c r="F947" s="219" t="b">
        <v>0</v>
      </c>
      <c r="G947" s="219"/>
    </row>
    <row r="948">
      <c r="A948" s="218">
        <f t="shared" si="1"/>
        <v>947</v>
      </c>
      <c r="B948" s="218" t="s">
        <v>203</v>
      </c>
      <c r="C948" s="218" t="s">
        <v>2114</v>
      </c>
      <c r="D948" s="218" t="b">
        <v>1</v>
      </c>
      <c r="E948" s="219" t="b">
        <v>0</v>
      </c>
      <c r="F948" s="219" t="b">
        <v>0</v>
      </c>
      <c r="G948" s="219"/>
    </row>
    <row r="949">
      <c r="A949" s="218">
        <f t="shared" si="1"/>
        <v>948</v>
      </c>
      <c r="B949" s="218" t="s">
        <v>203</v>
      </c>
      <c r="C949" s="218" t="s">
        <v>3158</v>
      </c>
      <c r="D949" s="218" t="b">
        <v>1</v>
      </c>
      <c r="E949" s="219" t="b">
        <v>0</v>
      </c>
      <c r="F949" s="219" t="b">
        <v>0</v>
      </c>
      <c r="G949" s="219"/>
    </row>
    <row r="950">
      <c r="A950" s="218">
        <f t="shared" si="1"/>
        <v>949</v>
      </c>
      <c r="B950" s="218" t="s">
        <v>203</v>
      </c>
      <c r="C950" s="218" t="s">
        <v>4891</v>
      </c>
      <c r="D950" s="218" t="b">
        <v>1</v>
      </c>
      <c r="E950" s="219" t="b">
        <v>0</v>
      </c>
      <c r="F950" s="219" t="b">
        <v>0</v>
      </c>
      <c r="G950" s="219"/>
    </row>
    <row r="951">
      <c r="A951" s="218">
        <f t="shared" si="1"/>
        <v>950</v>
      </c>
      <c r="B951" s="218" t="s">
        <v>203</v>
      </c>
      <c r="C951" s="218" t="s">
        <v>4159</v>
      </c>
      <c r="D951" s="218" t="b">
        <v>1</v>
      </c>
      <c r="E951" s="219" t="b">
        <v>0</v>
      </c>
      <c r="F951" s="219" t="b">
        <v>0</v>
      </c>
      <c r="G951" s="219"/>
    </row>
    <row r="952">
      <c r="A952" s="218">
        <f t="shared" si="1"/>
        <v>951</v>
      </c>
      <c r="B952" s="218" t="s">
        <v>203</v>
      </c>
      <c r="C952" s="218" t="s">
        <v>5351</v>
      </c>
      <c r="D952" s="218" t="b">
        <v>1</v>
      </c>
      <c r="E952" s="219" t="b">
        <v>0</v>
      </c>
      <c r="F952" s="219" t="b">
        <v>0</v>
      </c>
      <c r="G952" s="219"/>
    </row>
    <row r="953">
      <c r="A953" s="218">
        <f t="shared" si="1"/>
        <v>952</v>
      </c>
      <c r="B953" s="218" t="s">
        <v>203</v>
      </c>
      <c r="C953" s="218" t="s">
        <v>4181</v>
      </c>
      <c r="D953" s="218" t="b">
        <v>1</v>
      </c>
      <c r="E953" s="219" t="b">
        <v>0</v>
      </c>
      <c r="F953" s="219" t="b">
        <v>0</v>
      </c>
      <c r="G953" s="219"/>
    </row>
    <row r="954">
      <c r="A954" s="218">
        <f t="shared" si="1"/>
        <v>953</v>
      </c>
      <c r="B954" s="218" t="s">
        <v>203</v>
      </c>
      <c r="C954" s="218" t="s">
        <v>4282</v>
      </c>
      <c r="D954" s="218" t="b">
        <v>1</v>
      </c>
      <c r="E954" s="219" t="b">
        <v>0</v>
      </c>
      <c r="F954" s="219" t="b">
        <v>0</v>
      </c>
      <c r="G954" s="219"/>
    </row>
    <row r="955">
      <c r="A955" s="218">
        <f t="shared" si="1"/>
        <v>954</v>
      </c>
      <c r="B955" s="218" t="s">
        <v>203</v>
      </c>
      <c r="C955" s="218" t="s">
        <v>3174</v>
      </c>
      <c r="D955" s="218" t="b">
        <v>1</v>
      </c>
      <c r="E955" s="219" t="b">
        <v>0</v>
      </c>
      <c r="F955" s="219" t="b">
        <v>0</v>
      </c>
      <c r="G955" s="219"/>
    </row>
    <row r="956">
      <c r="A956" s="218">
        <f t="shared" si="1"/>
        <v>955</v>
      </c>
      <c r="B956" s="218" t="s">
        <v>203</v>
      </c>
      <c r="C956" s="218" t="s">
        <v>1910</v>
      </c>
      <c r="D956" s="218" t="b">
        <v>1</v>
      </c>
      <c r="E956" s="219" t="b">
        <v>0</v>
      </c>
      <c r="F956" s="219" t="b">
        <v>0</v>
      </c>
      <c r="G956" s="219"/>
    </row>
    <row r="957">
      <c r="A957" s="218">
        <f t="shared" si="1"/>
        <v>956</v>
      </c>
      <c r="B957" s="218" t="s">
        <v>203</v>
      </c>
      <c r="C957" s="218" t="s">
        <v>4538</v>
      </c>
      <c r="D957" s="218" t="b">
        <v>1</v>
      </c>
      <c r="E957" s="219" t="b">
        <v>0</v>
      </c>
      <c r="F957" s="219" t="b">
        <v>0</v>
      </c>
      <c r="G957" s="219"/>
    </row>
    <row r="958">
      <c r="A958" s="218">
        <f t="shared" si="1"/>
        <v>957</v>
      </c>
      <c r="B958" s="218" t="s">
        <v>203</v>
      </c>
      <c r="C958" s="218" t="s">
        <v>1043</v>
      </c>
      <c r="D958" s="218" t="b">
        <v>1</v>
      </c>
      <c r="E958" s="219" t="b">
        <v>0</v>
      </c>
      <c r="F958" s="219" t="b">
        <v>0</v>
      </c>
      <c r="G958" s="219"/>
    </row>
    <row r="959">
      <c r="A959" s="218">
        <f t="shared" si="1"/>
        <v>958</v>
      </c>
      <c r="B959" s="218" t="s">
        <v>203</v>
      </c>
      <c r="C959" s="218" t="s">
        <v>4220</v>
      </c>
      <c r="D959" s="218" t="b">
        <v>1</v>
      </c>
      <c r="E959" s="219" t="b">
        <v>0</v>
      </c>
      <c r="F959" s="219" t="b">
        <v>0</v>
      </c>
      <c r="G959" s="219"/>
    </row>
    <row r="960">
      <c r="A960" s="218">
        <f t="shared" si="1"/>
        <v>959</v>
      </c>
      <c r="B960" s="218" t="s">
        <v>203</v>
      </c>
      <c r="C960" s="218" t="s">
        <v>5208</v>
      </c>
      <c r="D960" s="218" t="b">
        <v>1</v>
      </c>
      <c r="E960" s="219" t="b">
        <v>0</v>
      </c>
      <c r="F960" s="219" t="b">
        <v>0</v>
      </c>
      <c r="G960" s="219"/>
    </row>
    <row r="961">
      <c r="A961" s="218">
        <f t="shared" si="1"/>
        <v>960</v>
      </c>
      <c r="B961" s="218" t="s">
        <v>203</v>
      </c>
      <c r="C961" s="218" t="s">
        <v>4187</v>
      </c>
      <c r="D961" s="218" t="b">
        <v>1</v>
      </c>
      <c r="E961" s="219" t="b">
        <v>0</v>
      </c>
      <c r="F961" s="219" t="b">
        <v>0</v>
      </c>
      <c r="G961" s="219"/>
    </row>
    <row r="962">
      <c r="A962" s="218">
        <f t="shared" si="1"/>
        <v>961</v>
      </c>
      <c r="B962" s="218" t="s">
        <v>203</v>
      </c>
      <c r="C962" s="218" t="s">
        <v>4198</v>
      </c>
      <c r="D962" s="218" t="b">
        <v>1</v>
      </c>
      <c r="E962" s="219" t="b">
        <v>0</v>
      </c>
      <c r="F962" s="219" t="b">
        <v>0</v>
      </c>
      <c r="G962" s="219"/>
    </row>
    <row r="963">
      <c r="A963" s="218">
        <f t="shared" si="1"/>
        <v>962</v>
      </c>
      <c r="B963" s="218" t="s">
        <v>203</v>
      </c>
      <c r="C963" s="218" t="s">
        <v>2399</v>
      </c>
      <c r="D963" s="218" t="b">
        <v>1</v>
      </c>
      <c r="E963" s="219" t="b">
        <v>0</v>
      </c>
      <c r="F963" s="219" t="b">
        <v>0</v>
      </c>
      <c r="G963" s="219"/>
    </row>
    <row r="964">
      <c r="A964" s="218">
        <f t="shared" si="1"/>
        <v>963</v>
      </c>
      <c r="B964" s="218" t="s">
        <v>203</v>
      </c>
      <c r="C964" s="218" t="s">
        <v>4209</v>
      </c>
      <c r="D964" s="218" t="b">
        <v>1</v>
      </c>
      <c r="E964" s="219" t="b">
        <v>0</v>
      </c>
      <c r="F964" s="219" t="b">
        <v>0</v>
      </c>
      <c r="G964" s="219"/>
    </row>
    <row r="965">
      <c r="A965" s="218">
        <f t="shared" si="1"/>
        <v>964</v>
      </c>
      <c r="B965" s="218" t="s">
        <v>203</v>
      </c>
      <c r="C965" s="218" t="s">
        <v>1329</v>
      </c>
      <c r="D965" s="218" t="b">
        <v>1</v>
      </c>
      <c r="E965" s="219" t="b">
        <v>0</v>
      </c>
      <c r="F965" s="219" t="b">
        <v>0</v>
      </c>
      <c r="G965" s="219"/>
    </row>
    <row r="966">
      <c r="A966" s="218">
        <f t="shared" si="1"/>
        <v>965</v>
      </c>
      <c r="B966" s="218" t="s">
        <v>203</v>
      </c>
      <c r="C966" s="218" t="s">
        <v>4226</v>
      </c>
      <c r="D966" s="218" t="b">
        <v>1</v>
      </c>
      <c r="E966" s="219" t="b">
        <v>0</v>
      </c>
      <c r="F966" s="219" t="b">
        <v>0</v>
      </c>
      <c r="G966" s="219"/>
    </row>
    <row r="967">
      <c r="A967" s="218">
        <f t="shared" si="1"/>
        <v>966</v>
      </c>
      <c r="B967" s="218" t="s">
        <v>203</v>
      </c>
      <c r="C967" s="218" t="s">
        <v>1109</v>
      </c>
      <c r="D967" s="218" t="b">
        <v>1</v>
      </c>
      <c r="E967" s="219" t="b">
        <v>0</v>
      </c>
      <c r="F967" s="219" t="b">
        <v>0</v>
      </c>
      <c r="G967" s="219"/>
    </row>
    <row r="968">
      <c r="A968" s="218">
        <f t="shared" si="1"/>
        <v>967</v>
      </c>
      <c r="B968" s="218" t="s">
        <v>203</v>
      </c>
      <c r="C968" s="218" t="s">
        <v>4231</v>
      </c>
      <c r="D968" s="218" t="b">
        <v>1</v>
      </c>
      <c r="E968" s="219" t="b">
        <v>0</v>
      </c>
      <c r="F968" s="219" t="b">
        <v>0</v>
      </c>
      <c r="G968" s="219"/>
    </row>
    <row r="969">
      <c r="A969" s="218">
        <f t="shared" si="1"/>
        <v>968</v>
      </c>
      <c r="B969" s="218" t="s">
        <v>203</v>
      </c>
      <c r="C969" s="218" t="s">
        <v>3836</v>
      </c>
      <c r="D969" s="218" t="b">
        <v>1</v>
      </c>
      <c r="E969" s="219" t="b">
        <v>0</v>
      </c>
      <c r="F969" s="219" t="b">
        <v>0</v>
      </c>
      <c r="G969" s="219"/>
    </row>
    <row r="970">
      <c r="A970" s="218">
        <f t="shared" si="1"/>
        <v>969</v>
      </c>
      <c r="B970" s="218" t="s">
        <v>203</v>
      </c>
      <c r="C970" s="218" t="s">
        <v>4204</v>
      </c>
      <c r="D970" s="218" t="b">
        <v>1</v>
      </c>
      <c r="E970" s="219" t="b">
        <v>0</v>
      </c>
      <c r="F970" s="219" t="b">
        <v>0</v>
      </c>
      <c r="G970" s="219"/>
    </row>
    <row r="971">
      <c r="A971" s="218">
        <f t="shared" si="1"/>
        <v>970</v>
      </c>
      <c r="B971" s="218" t="s">
        <v>203</v>
      </c>
      <c r="C971" s="218" t="s">
        <v>4526</v>
      </c>
      <c r="D971" s="218" t="b">
        <v>1</v>
      </c>
      <c r="E971" s="219" t="b">
        <v>0</v>
      </c>
      <c r="F971" s="219" t="b">
        <v>0</v>
      </c>
      <c r="G971" s="219"/>
    </row>
    <row r="972">
      <c r="A972" s="218">
        <f t="shared" si="1"/>
        <v>971</v>
      </c>
      <c r="B972" s="218" t="s">
        <v>203</v>
      </c>
      <c r="C972" s="218" t="s">
        <v>3983</v>
      </c>
      <c r="D972" s="218" t="b">
        <v>1</v>
      </c>
      <c r="E972" s="219" t="b">
        <v>0</v>
      </c>
      <c r="F972" s="219" t="b">
        <v>0</v>
      </c>
      <c r="G972" s="219"/>
    </row>
    <row r="973">
      <c r="A973" s="218">
        <f t="shared" si="1"/>
        <v>972</v>
      </c>
      <c r="B973" s="218" t="s">
        <v>203</v>
      </c>
      <c r="C973" s="218" t="s">
        <v>4241</v>
      </c>
      <c r="D973" s="218" t="b">
        <v>1</v>
      </c>
      <c r="E973" s="219" t="b">
        <v>0</v>
      </c>
      <c r="F973" s="219" t="b">
        <v>0</v>
      </c>
      <c r="G973" s="219"/>
    </row>
    <row r="974">
      <c r="A974" s="218">
        <f t="shared" si="1"/>
        <v>973</v>
      </c>
      <c r="B974" s="218" t="s">
        <v>203</v>
      </c>
      <c r="C974" s="218" t="s">
        <v>4108</v>
      </c>
      <c r="D974" s="218" t="b">
        <v>1</v>
      </c>
      <c r="E974" s="219" t="b">
        <v>0</v>
      </c>
      <c r="F974" s="219" t="b">
        <v>0</v>
      </c>
      <c r="G974" s="219"/>
    </row>
    <row r="975">
      <c r="A975" s="218">
        <f t="shared" si="1"/>
        <v>974</v>
      </c>
      <c r="B975" s="218" t="s">
        <v>203</v>
      </c>
      <c r="C975" s="218" t="s">
        <v>4440</v>
      </c>
      <c r="D975" s="218" t="b">
        <v>1</v>
      </c>
      <c r="E975" s="219" t="b">
        <v>0</v>
      </c>
      <c r="F975" s="219" t="b">
        <v>0</v>
      </c>
      <c r="G975" s="219"/>
    </row>
    <row r="976">
      <c r="A976" s="218">
        <f t="shared" si="1"/>
        <v>975</v>
      </c>
      <c r="B976" s="218" t="s">
        <v>203</v>
      </c>
      <c r="C976" s="218" t="s">
        <v>4272</v>
      </c>
      <c r="D976" s="218" t="b">
        <v>1</v>
      </c>
      <c r="E976" s="219" t="b">
        <v>0</v>
      </c>
      <c r="F976" s="219" t="b">
        <v>0</v>
      </c>
      <c r="G976" s="219"/>
    </row>
    <row r="977">
      <c r="A977" s="218">
        <f t="shared" si="1"/>
        <v>976</v>
      </c>
      <c r="B977" s="218" t="s">
        <v>203</v>
      </c>
      <c r="C977" s="218" t="s">
        <v>2510</v>
      </c>
      <c r="D977" s="218" t="b">
        <v>1</v>
      </c>
      <c r="E977" s="219" t="b">
        <v>0</v>
      </c>
      <c r="F977" s="219" t="b">
        <v>0</v>
      </c>
      <c r="G977" s="219"/>
    </row>
    <row r="978">
      <c r="A978" s="218">
        <f t="shared" si="1"/>
        <v>977</v>
      </c>
      <c r="B978" s="218" t="s">
        <v>203</v>
      </c>
      <c r="C978" s="218" t="s">
        <v>4164</v>
      </c>
      <c r="D978" s="218" t="b">
        <v>1</v>
      </c>
      <c r="E978" s="219" t="b">
        <v>0</v>
      </c>
      <c r="F978" s="219" t="b">
        <v>0</v>
      </c>
      <c r="G978" s="219"/>
    </row>
    <row r="979">
      <c r="A979" s="218">
        <f t="shared" si="1"/>
        <v>978</v>
      </c>
      <c r="B979" s="218" t="s">
        <v>203</v>
      </c>
      <c r="C979" s="218" t="s">
        <v>3293</v>
      </c>
      <c r="D979" s="218" t="b">
        <v>1</v>
      </c>
      <c r="E979" s="219" t="b">
        <v>0</v>
      </c>
      <c r="F979" s="219" t="b">
        <v>0</v>
      </c>
      <c r="G979" s="219"/>
    </row>
    <row r="980">
      <c r="A980" s="218">
        <f t="shared" si="1"/>
        <v>979</v>
      </c>
      <c r="B980" s="218" t="s">
        <v>203</v>
      </c>
      <c r="C980" s="218" t="s">
        <v>4149</v>
      </c>
      <c r="D980" s="218" t="b">
        <v>1</v>
      </c>
      <c r="E980" s="219" t="b">
        <v>0</v>
      </c>
      <c r="F980" s="219" t="b">
        <v>0</v>
      </c>
      <c r="G980" s="219"/>
    </row>
    <row r="981">
      <c r="A981" s="218">
        <f t="shared" si="1"/>
        <v>980</v>
      </c>
      <c r="B981" s="218" t="s">
        <v>203</v>
      </c>
      <c r="C981" s="218" t="s">
        <v>3167</v>
      </c>
      <c r="D981" s="218" t="b">
        <v>1</v>
      </c>
      <c r="E981" s="219" t="b">
        <v>0</v>
      </c>
      <c r="F981" s="219" t="b">
        <v>0</v>
      </c>
      <c r="G981" s="219"/>
    </row>
    <row r="982">
      <c r="A982" s="218">
        <f t="shared" si="1"/>
        <v>981</v>
      </c>
      <c r="B982" s="218" t="s">
        <v>203</v>
      </c>
      <c r="C982" s="218" t="s">
        <v>4235</v>
      </c>
      <c r="D982" s="218" t="b">
        <v>1</v>
      </c>
      <c r="E982" s="219" t="b">
        <v>0</v>
      </c>
      <c r="F982" s="219" t="b">
        <v>0</v>
      </c>
      <c r="G982" s="219"/>
    </row>
    <row r="983">
      <c r="A983" s="218">
        <f t="shared" si="1"/>
        <v>982</v>
      </c>
      <c r="B983" s="218" t="s">
        <v>203</v>
      </c>
      <c r="C983" s="218" t="s">
        <v>2646</v>
      </c>
      <c r="D983" s="218" t="b">
        <v>1</v>
      </c>
      <c r="E983" s="219" t="b">
        <v>0</v>
      </c>
      <c r="F983" s="219" t="b">
        <v>0</v>
      </c>
      <c r="G983" s="219"/>
    </row>
    <row r="984">
      <c r="A984" s="218">
        <f t="shared" si="1"/>
        <v>983</v>
      </c>
      <c r="B984" s="218" t="s">
        <v>203</v>
      </c>
      <c r="C984" s="218" t="s">
        <v>4551</v>
      </c>
      <c r="D984" s="218" t="b">
        <v>1</v>
      </c>
      <c r="E984" s="219" t="b">
        <v>0</v>
      </c>
      <c r="F984" s="219" t="b">
        <v>0</v>
      </c>
      <c r="G984" s="219"/>
    </row>
    <row r="985">
      <c r="A985" s="218">
        <f t="shared" si="1"/>
        <v>984</v>
      </c>
      <c r="B985" s="218" t="s">
        <v>203</v>
      </c>
      <c r="C985" s="218" t="s">
        <v>1241</v>
      </c>
      <c r="D985" s="218" t="b">
        <v>1</v>
      </c>
      <c r="E985" s="219" t="b">
        <v>0</v>
      </c>
      <c r="F985" s="219" t="b">
        <v>0</v>
      </c>
      <c r="G985" s="219"/>
    </row>
    <row r="986">
      <c r="A986" s="218">
        <f t="shared" si="1"/>
        <v>985</v>
      </c>
      <c r="B986" s="218" t="s">
        <v>203</v>
      </c>
      <c r="C986" s="218" t="s">
        <v>4215</v>
      </c>
      <c r="D986" s="218" t="b">
        <v>1</v>
      </c>
      <c r="E986" s="219" t="b">
        <v>0</v>
      </c>
      <c r="F986" s="219" t="b">
        <v>0</v>
      </c>
      <c r="G986" s="219"/>
    </row>
    <row r="987">
      <c r="A987" s="218">
        <f t="shared" si="1"/>
        <v>986</v>
      </c>
      <c r="B987" s="218" t="s">
        <v>203</v>
      </c>
      <c r="C987" s="218" t="s">
        <v>1947</v>
      </c>
      <c r="D987" s="218" t="b">
        <v>1</v>
      </c>
      <c r="E987" s="219" t="b">
        <v>0</v>
      </c>
      <c r="F987" s="219" t="b">
        <v>0</v>
      </c>
      <c r="G987" s="219"/>
    </row>
    <row r="988">
      <c r="A988" s="218">
        <f t="shared" si="1"/>
        <v>987</v>
      </c>
      <c r="B988" s="218" t="s">
        <v>203</v>
      </c>
      <c r="C988" s="218" t="s">
        <v>1947</v>
      </c>
      <c r="D988" s="218" t="b">
        <v>1</v>
      </c>
      <c r="E988" s="219" t="b">
        <v>0</v>
      </c>
      <c r="F988" s="219" t="b">
        <v>0</v>
      </c>
      <c r="G988" s="219"/>
    </row>
    <row r="989">
      <c r="A989" s="218">
        <f t="shared" si="1"/>
        <v>988</v>
      </c>
      <c r="B989" s="218" t="s">
        <v>203</v>
      </c>
      <c r="C989" s="218" t="s">
        <v>4434</v>
      </c>
      <c r="D989" s="218" t="b">
        <v>1</v>
      </c>
      <c r="E989" s="219" t="b">
        <v>0</v>
      </c>
      <c r="F989" s="219" t="b">
        <v>0</v>
      </c>
      <c r="G989" s="219"/>
    </row>
    <row r="990">
      <c r="A990" s="218">
        <f t="shared" si="1"/>
        <v>989</v>
      </c>
      <c r="B990" s="218" t="s">
        <v>203</v>
      </c>
      <c r="C990" s="218" t="s">
        <v>1943</v>
      </c>
      <c r="D990" s="218" t="b">
        <v>1</v>
      </c>
      <c r="E990" s="219" t="b">
        <v>0</v>
      </c>
      <c r="F990" s="219" t="b">
        <v>0</v>
      </c>
      <c r="G990" s="219"/>
    </row>
    <row r="991">
      <c r="A991" s="218">
        <f t="shared" si="1"/>
        <v>990</v>
      </c>
      <c r="B991" s="218" t="s">
        <v>203</v>
      </c>
      <c r="C991" s="218" t="s">
        <v>4411</v>
      </c>
      <c r="D991" s="218" t="b">
        <v>1</v>
      </c>
      <c r="E991" s="219" t="b">
        <v>0</v>
      </c>
      <c r="F991" s="219" t="b">
        <v>0</v>
      </c>
      <c r="G991" s="219"/>
    </row>
    <row r="992">
      <c r="A992" s="218">
        <f t="shared" si="1"/>
        <v>991</v>
      </c>
      <c r="B992" s="218" t="s">
        <v>203</v>
      </c>
      <c r="C992" s="218" t="s">
        <v>2534</v>
      </c>
      <c r="D992" s="218" t="b">
        <v>1</v>
      </c>
      <c r="E992" s="219" t="b">
        <v>0</v>
      </c>
      <c r="F992" s="219" t="b">
        <v>0</v>
      </c>
      <c r="G992" s="219"/>
    </row>
    <row r="993">
      <c r="A993" s="218">
        <f t="shared" si="1"/>
        <v>992</v>
      </c>
      <c r="B993" s="218" t="s">
        <v>203</v>
      </c>
      <c r="C993" s="218" t="s">
        <v>4317</v>
      </c>
      <c r="D993" s="218" t="b">
        <v>1</v>
      </c>
      <c r="E993" s="219" t="b">
        <v>0</v>
      </c>
      <c r="F993" s="219" t="b">
        <v>0</v>
      </c>
      <c r="G993" s="219"/>
    </row>
    <row r="994">
      <c r="A994" s="218">
        <f t="shared" si="1"/>
        <v>993</v>
      </c>
      <c r="B994" s="218" t="s">
        <v>203</v>
      </c>
      <c r="C994" s="218" t="s">
        <v>3018</v>
      </c>
      <c r="D994" s="218" t="b">
        <v>1</v>
      </c>
      <c r="E994" s="219" t="b">
        <v>0</v>
      </c>
      <c r="F994" s="219" t="b">
        <v>0</v>
      </c>
      <c r="G994" s="219"/>
    </row>
    <row r="995">
      <c r="A995" s="218">
        <f t="shared" si="1"/>
        <v>994</v>
      </c>
      <c r="B995" s="218" t="s">
        <v>203</v>
      </c>
      <c r="C995" s="218" t="s">
        <v>4493</v>
      </c>
      <c r="D995" s="218" t="b">
        <v>1</v>
      </c>
      <c r="E995" s="219" t="b">
        <v>0</v>
      </c>
      <c r="F995" s="219" t="b">
        <v>0</v>
      </c>
      <c r="G995" s="219"/>
    </row>
    <row r="996">
      <c r="A996" s="218">
        <f t="shared" si="1"/>
        <v>995</v>
      </c>
      <c r="B996" s="218" t="s">
        <v>203</v>
      </c>
      <c r="C996" s="218" t="s">
        <v>1119</v>
      </c>
      <c r="D996" s="218" t="b">
        <v>1</v>
      </c>
      <c r="E996" s="219" t="b">
        <v>0</v>
      </c>
      <c r="F996" s="219" t="b">
        <v>0</v>
      </c>
      <c r="G996" s="219"/>
    </row>
    <row r="997">
      <c r="A997" s="218">
        <f t="shared" si="1"/>
        <v>996</v>
      </c>
      <c r="B997" s="218" t="s">
        <v>203</v>
      </c>
      <c r="C997" s="218" t="s">
        <v>1291</v>
      </c>
      <c r="D997" s="218" t="b">
        <v>1</v>
      </c>
      <c r="E997" s="219" t="b">
        <v>0</v>
      </c>
      <c r="F997" s="219" t="b">
        <v>0</v>
      </c>
      <c r="G997" s="219"/>
    </row>
    <row r="998">
      <c r="A998" s="218">
        <f t="shared" si="1"/>
        <v>997</v>
      </c>
      <c r="B998" s="218" t="s">
        <v>203</v>
      </c>
      <c r="C998" s="218" t="s">
        <v>4400</v>
      </c>
      <c r="D998" s="218" t="b">
        <v>1</v>
      </c>
      <c r="E998" s="219" t="b">
        <v>0</v>
      </c>
      <c r="F998" s="219" t="b">
        <v>0</v>
      </c>
      <c r="G998" s="219"/>
    </row>
    <row r="999">
      <c r="A999" s="218">
        <f t="shared" si="1"/>
        <v>998</v>
      </c>
      <c r="B999" s="218" t="s">
        <v>203</v>
      </c>
      <c r="C999" s="218" t="s">
        <v>1100</v>
      </c>
      <c r="D999" s="218" t="b">
        <v>1</v>
      </c>
      <c r="E999" s="219" t="b">
        <v>0</v>
      </c>
      <c r="F999" s="219" t="b">
        <v>0</v>
      </c>
      <c r="G999" s="219"/>
    </row>
    <row r="1000">
      <c r="A1000" s="218">
        <f t="shared" si="1"/>
        <v>999</v>
      </c>
      <c r="B1000" s="218" t="s">
        <v>203</v>
      </c>
      <c r="C1000" s="218" t="s">
        <v>1114</v>
      </c>
      <c r="D1000" s="218" t="b">
        <v>1</v>
      </c>
      <c r="E1000" s="219" t="b">
        <v>0</v>
      </c>
      <c r="F1000" s="219" t="b">
        <v>0</v>
      </c>
      <c r="G1000" s="219"/>
    </row>
    <row r="1001">
      <c r="A1001" s="218">
        <f t="shared" si="1"/>
        <v>1000</v>
      </c>
      <c r="B1001" s="218" t="s">
        <v>203</v>
      </c>
      <c r="C1001" s="218" t="s">
        <v>2203</v>
      </c>
      <c r="D1001" s="218" t="b">
        <v>1</v>
      </c>
      <c r="E1001" s="219" t="b">
        <v>0</v>
      </c>
      <c r="F1001" s="219" t="b">
        <v>0</v>
      </c>
      <c r="G1001" s="219"/>
    </row>
    <row r="1002">
      <c r="A1002" s="218">
        <f t="shared" si="1"/>
        <v>1001</v>
      </c>
      <c r="B1002" s="218" t="s">
        <v>203</v>
      </c>
      <c r="C1002" s="218" t="s">
        <v>4247</v>
      </c>
      <c r="D1002" s="218" t="b">
        <v>1</v>
      </c>
      <c r="E1002" s="219" t="b">
        <v>0</v>
      </c>
      <c r="F1002" s="219" t="b">
        <v>0</v>
      </c>
      <c r="G1002" s="219"/>
    </row>
    <row r="1003">
      <c r="A1003" s="218">
        <f t="shared" si="1"/>
        <v>1002</v>
      </c>
      <c r="B1003" s="218" t="s">
        <v>203</v>
      </c>
      <c r="C1003" s="218" t="s">
        <v>2199</v>
      </c>
      <c r="D1003" s="218" t="b">
        <v>1</v>
      </c>
      <c r="E1003" s="219" t="b">
        <v>0</v>
      </c>
      <c r="F1003" s="219" t="b">
        <v>0</v>
      </c>
      <c r="G1003" s="219"/>
    </row>
    <row r="1004">
      <c r="A1004" s="218">
        <f t="shared" si="1"/>
        <v>1003</v>
      </c>
      <c r="B1004" s="218" t="s">
        <v>203</v>
      </c>
      <c r="C1004" s="218" t="s">
        <v>4277</v>
      </c>
      <c r="D1004" s="218" t="b">
        <v>1</v>
      </c>
      <c r="E1004" s="219" t="b">
        <v>0</v>
      </c>
      <c r="F1004" s="219" t="b">
        <v>0</v>
      </c>
      <c r="G1004" s="219"/>
    </row>
    <row r="1005">
      <c r="A1005" s="218">
        <f t="shared" si="1"/>
        <v>1004</v>
      </c>
      <c r="B1005" s="218" t="s">
        <v>203</v>
      </c>
      <c r="C1005" s="218" t="s">
        <v>4303</v>
      </c>
      <c r="D1005" s="218" t="b">
        <v>1</v>
      </c>
      <c r="E1005" s="219" t="b">
        <v>0</v>
      </c>
      <c r="F1005" s="219" t="b">
        <v>0</v>
      </c>
      <c r="G1005" s="219"/>
    </row>
    <row r="1006">
      <c r="A1006" s="218">
        <f t="shared" si="1"/>
        <v>1005</v>
      </c>
      <c r="B1006" s="218" t="s">
        <v>203</v>
      </c>
      <c r="C1006" s="218" t="s">
        <v>647</v>
      </c>
      <c r="D1006" s="218" t="b">
        <v>1</v>
      </c>
      <c r="E1006" s="219" t="b">
        <v>0</v>
      </c>
      <c r="F1006" s="219" t="b">
        <v>0</v>
      </c>
      <c r="G1006" s="219"/>
    </row>
    <row r="1007">
      <c r="A1007" s="218">
        <f t="shared" si="1"/>
        <v>1006</v>
      </c>
      <c r="B1007" s="218" t="s">
        <v>203</v>
      </c>
      <c r="C1007" s="218" t="s">
        <v>647</v>
      </c>
      <c r="D1007" s="218" t="b">
        <v>1</v>
      </c>
      <c r="E1007" s="219" t="b">
        <v>0</v>
      </c>
      <c r="F1007" s="219" t="b">
        <v>0</v>
      </c>
      <c r="G1007" s="219"/>
    </row>
    <row r="1008">
      <c r="A1008" s="218">
        <f t="shared" si="1"/>
        <v>1007</v>
      </c>
      <c r="B1008" s="218" t="s">
        <v>203</v>
      </c>
      <c r="C1008" s="218" t="s">
        <v>4153</v>
      </c>
      <c r="D1008" s="218" t="b">
        <v>1</v>
      </c>
      <c r="E1008" s="219" t="b">
        <v>0</v>
      </c>
      <c r="F1008" s="219" t="b">
        <v>0</v>
      </c>
      <c r="G1008" s="219"/>
    </row>
    <row r="1009">
      <c r="A1009" s="218">
        <f t="shared" si="1"/>
        <v>1008</v>
      </c>
      <c r="B1009" s="218" t="s">
        <v>203</v>
      </c>
      <c r="C1009" s="218" t="s">
        <v>1053</v>
      </c>
      <c r="D1009" s="218" t="b">
        <v>1</v>
      </c>
      <c r="E1009" s="219" t="b">
        <v>0</v>
      </c>
      <c r="F1009" s="219" t="b">
        <v>0</v>
      </c>
      <c r="G1009" s="219"/>
    </row>
    <row r="1010">
      <c r="A1010" s="218">
        <f t="shared" si="1"/>
        <v>1009</v>
      </c>
      <c r="B1010" s="218" t="s">
        <v>203</v>
      </c>
      <c r="C1010" s="218" t="s">
        <v>4308</v>
      </c>
      <c r="D1010" s="218" t="b">
        <v>1</v>
      </c>
      <c r="E1010" s="219" t="b">
        <v>0</v>
      </c>
      <c r="F1010" s="219" t="b">
        <v>0</v>
      </c>
      <c r="G1010" s="219"/>
    </row>
    <row r="1011">
      <c r="A1011" s="218">
        <f t="shared" si="1"/>
        <v>1010</v>
      </c>
      <c r="B1011" s="218" t="s">
        <v>203</v>
      </c>
      <c r="C1011" s="218" t="s">
        <v>2788</v>
      </c>
      <c r="D1011" s="218" t="b">
        <v>1</v>
      </c>
      <c r="E1011" s="219" t="b">
        <v>0</v>
      </c>
      <c r="F1011" s="219" t="b">
        <v>0</v>
      </c>
      <c r="G1011" s="219"/>
    </row>
    <row r="1012">
      <c r="A1012" s="218">
        <f t="shared" si="1"/>
        <v>1011</v>
      </c>
      <c r="B1012" s="218" t="s">
        <v>203</v>
      </c>
      <c r="C1012" s="218" t="s">
        <v>4450</v>
      </c>
      <c r="D1012" s="218" t="b">
        <v>1</v>
      </c>
      <c r="E1012" s="219" t="b">
        <v>0</v>
      </c>
      <c r="F1012" s="219" t="b">
        <v>0</v>
      </c>
      <c r="G1012" s="219"/>
    </row>
    <row r="1013">
      <c r="A1013" s="218">
        <f t="shared" si="1"/>
        <v>1012</v>
      </c>
      <c r="B1013" s="218" t="s">
        <v>203</v>
      </c>
      <c r="C1013" s="218" t="s">
        <v>1408</v>
      </c>
      <c r="D1013" s="218" t="b">
        <v>1</v>
      </c>
      <c r="E1013" s="219" t="b">
        <v>0</v>
      </c>
      <c r="F1013" s="219" t="b">
        <v>0</v>
      </c>
      <c r="G1013" s="219"/>
    </row>
    <row r="1014">
      <c r="A1014" s="218">
        <f t="shared" si="1"/>
        <v>1013</v>
      </c>
      <c r="B1014" s="218" t="s">
        <v>203</v>
      </c>
      <c r="C1014" s="218" t="s">
        <v>4446</v>
      </c>
      <c r="D1014" s="218" t="b">
        <v>1</v>
      </c>
      <c r="E1014" s="219" t="b">
        <v>0</v>
      </c>
      <c r="F1014" s="219" t="b">
        <v>0</v>
      </c>
      <c r="G1014" s="219"/>
    </row>
    <row r="1015">
      <c r="A1015" s="218">
        <f t="shared" si="1"/>
        <v>1014</v>
      </c>
      <c r="B1015" s="218" t="s">
        <v>203</v>
      </c>
      <c r="C1015" s="218" t="s">
        <v>4521</v>
      </c>
      <c r="D1015" s="218" t="b">
        <v>1</v>
      </c>
      <c r="E1015" s="219" t="b">
        <v>0</v>
      </c>
      <c r="F1015" s="219" t="b">
        <v>0</v>
      </c>
      <c r="G1015" s="219"/>
    </row>
    <row r="1016">
      <c r="A1016" s="218">
        <f t="shared" si="1"/>
        <v>1015</v>
      </c>
      <c r="B1016" s="218" t="s">
        <v>203</v>
      </c>
      <c r="C1016" s="218" t="s">
        <v>1439</v>
      </c>
      <c r="D1016" s="218" t="b">
        <v>1</v>
      </c>
      <c r="E1016" s="219" t="b">
        <v>0</v>
      </c>
      <c r="F1016" s="219" t="b">
        <v>0</v>
      </c>
      <c r="G1016" s="219"/>
    </row>
    <row r="1017">
      <c r="A1017" s="218">
        <f t="shared" si="1"/>
        <v>1016</v>
      </c>
      <c r="B1017" s="218" t="s">
        <v>203</v>
      </c>
      <c r="C1017" s="218" t="s">
        <v>4406</v>
      </c>
      <c r="D1017" s="218" t="b">
        <v>1</v>
      </c>
      <c r="E1017" s="219" t="b">
        <v>0</v>
      </c>
      <c r="F1017" s="219" t="b">
        <v>0</v>
      </c>
      <c r="G1017" s="219"/>
    </row>
    <row r="1018">
      <c r="A1018" s="218">
        <f t="shared" si="1"/>
        <v>1017</v>
      </c>
      <c r="B1018" s="218" t="s">
        <v>203</v>
      </c>
      <c r="C1018" s="218" t="s">
        <v>5414</v>
      </c>
      <c r="D1018" s="218" t="b">
        <v>1</v>
      </c>
      <c r="E1018" s="219" t="b">
        <v>0</v>
      </c>
      <c r="F1018" s="219" t="b">
        <v>0</v>
      </c>
      <c r="G1018" s="219"/>
    </row>
    <row r="1019">
      <c r="A1019" s="218">
        <f t="shared" si="1"/>
        <v>1018</v>
      </c>
      <c r="B1019" s="218" t="s">
        <v>203</v>
      </c>
      <c r="C1019" s="218" t="s">
        <v>2102</v>
      </c>
      <c r="D1019" s="218" t="b">
        <v>1</v>
      </c>
      <c r="E1019" s="219" t="b">
        <v>0</v>
      </c>
      <c r="F1019" s="219" t="b">
        <v>0</v>
      </c>
      <c r="G1019" s="219"/>
    </row>
    <row r="1020">
      <c r="A1020" s="218">
        <f t="shared" si="1"/>
        <v>1019</v>
      </c>
      <c r="B1020" s="218" t="s">
        <v>203</v>
      </c>
      <c r="C1020" s="218" t="s">
        <v>4515</v>
      </c>
      <c r="D1020" s="218" t="b">
        <v>1</v>
      </c>
      <c r="E1020" s="219" t="b">
        <v>0</v>
      </c>
      <c r="F1020" s="219" t="b">
        <v>0</v>
      </c>
      <c r="G1020" s="219"/>
    </row>
    <row r="1021">
      <c r="A1021" s="218">
        <f t="shared" si="1"/>
        <v>1020</v>
      </c>
      <c r="B1021" s="218" t="s">
        <v>203</v>
      </c>
      <c r="C1021" s="218" t="s">
        <v>4482</v>
      </c>
      <c r="D1021" s="218" t="b">
        <v>1</v>
      </c>
      <c r="E1021" s="219" t="b">
        <v>0</v>
      </c>
      <c r="F1021" s="219" t="b">
        <v>0</v>
      </c>
      <c r="G1021" s="219"/>
    </row>
    <row r="1022">
      <c r="A1022" s="218">
        <f t="shared" si="1"/>
        <v>1021</v>
      </c>
      <c r="B1022" s="218" t="s">
        <v>203</v>
      </c>
      <c r="C1022" s="218" t="s">
        <v>3396</v>
      </c>
      <c r="D1022" s="218" t="b">
        <v>1</v>
      </c>
      <c r="E1022" s="219" t="b">
        <v>0</v>
      </c>
      <c r="F1022" s="219" t="b">
        <v>0</v>
      </c>
      <c r="G1022" s="219"/>
    </row>
    <row r="1023">
      <c r="A1023" s="218">
        <f t="shared" si="1"/>
        <v>1022</v>
      </c>
      <c r="B1023" s="218" t="s">
        <v>203</v>
      </c>
      <c r="C1023" s="218" t="s">
        <v>4536</v>
      </c>
      <c r="D1023" s="218" t="b">
        <v>1</v>
      </c>
      <c r="E1023" s="219" t="b">
        <v>0</v>
      </c>
      <c r="F1023" s="219" t="b">
        <v>0</v>
      </c>
      <c r="G1023" s="219"/>
    </row>
    <row r="1024">
      <c r="A1024" s="218">
        <f t="shared" si="1"/>
        <v>1023</v>
      </c>
      <c r="B1024" s="218" t="s">
        <v>203</v>
      </c>
      <c r="C1024" s="218" t="s">
        <v>2679</v>
      </c>
      <c r="D1024" s="218" t="b">
        <v>1</v>
      </c>
      <c r="E1024" s="219" t="b">
        <v>0</v>
      </c>
      <c r="F1024" s="219" t="b">
        <v>0</v>
      </c>
      <c r="G1024" s="219"/>
    </row>
    <row r="1025">
      <c r="A1025" s="218">
        <f t="shared" si="1"/>
        <v>1024</v>
      </c>
      <c r="B1025" s="218" t="s">
        <v>203</v>
      </c>
      <c r="C1025" s="218" t="s">
        <v>4462</v>
      </c>
      <c r="D1025" s="218" t="b">
        <v>1</v>
      </c>
      <c r="E1025" s="219" t="b">
        <v>0</v>
      </c>
      <c r="F1025" s="219" t="b">
        <v>0</v>
      </c>
      <c r="G1025" s="219"/>
    </row>
    <row r="1026">
      <c r="A1026" s="218">
        <f t="shared" si="1"/>
        <v>1025</v>
      </c>
      <c r="B1026" s="218" t="s">
        <v>203</v>
      </c>
      <c r="C1026" s="218" t="s">
        <v>4423</v>
      </c>
      <c r="D1026" s="218" t="b">
        <v>1</v>
      </c>
      <c r="E1026" s="219" t="b">
        <v>0</v>
      </c>
      <c r="F1026" s="219" t="b">
        <v>0</v>
      </c>
      <c r="G1026" s="219"/>
    </row>
    <row r="1027">
      <c r="A1027" s="218">
        <f t="shared" si="1"/>
        <v>1026</v>
      </c>
      <c r="B1027" s="218" t="s">
        <v>203</v>
      </c>
      <c r="C1027" s="218" t="s">
        <v>1720</v>
      </c>
      <c r="D1027" s="218" t="b">
        <v>1</v>
      </c>
      <c r="E1027" s="219" t="b">
        <v>0</v>
      </c>
      <c r="F1027" s="219" t="b">
        <v>0</v>
      </c>
      <c r="G1027" s="219"/>
    </row>
    <row r="1028">
      <c r="A1028" s="218">
        <f t="shared" si="1"/>
        <v>1027</v>
      </c>
      <c r="B1028" s="218" t="s">
        <v>203</v>
      </c>
      <c r="C1028" s="218" t="s">
        <v>4504</v>
      </c>
      <c r="D1028" s="218" t="b">
        <v>1</v>
      </c>
      <c r="E1028" s="219" t="b">
        <v>0</v>
      </c>
      <c r="F1028" s="219" t="b">
        <v>0</v>
      </c>
      <c r="G1028" s="219"/>
    </row>
    <row r="1029">
      <c r="A1029" s="218">
        <f t="shared" si="1"/>
        <v>1028</v>
      </c>
      <c r="B1029" s="218" t="s">
        <v>203</v>
      </c>
      <c r="C1029" s="218" t="s">
        <v>5294</v>
      </c>
      <c r="D1029" s="218" t="b">
        <v>1</v>
      </c>
      <c r="E1029" s="219" t="b">
        <v>0</v>
      </c>
      <c r="F1029" s="219" t="b">
        <v>0</v>
      </c>
      <c r="G1029" s="219"/>
    </row>
    <row r="1030">
      <c r="A1030" s="218">
        <f t="shared" si="1"/>
        <v>1029</v>
      </c>
      <c r="B1030" s="218" t="s">
        <v>203</v>
      </c>
      <c r="C1030" s="218" t="s">
        <v>4477</v>
      </c>
      <c r="D1030" s="218" t="b">
        <v>1</v>
      </c>
      <c r="E1030" s="219" t="b">
        <v>0</v>
      </c>
      <c r="F1030" s="219" t="b">
        <v>0</v>
      </c>
      <c r="G1030" s="219"/>
    </row>
    <row r="1031">
      <c r="A1031" s="218">
        <f t="shared" si="1"/>
        <v>1030</v>
      </c>
      <c r="B1031" s="218" t="s">
        <v>203</v>
      </c>
      <c r="C1031" s="218" t="s">
        <v>4895</v>
      </c>
      <c r="D1031" s="218" t="b">
        <v>1</v>
      </c>
      <c r="E1031" s="219" t="b">
        <v>0</v>
      </c>
      <c r="F1031" s="219" t="b">
        <v>0</v>
      </c>
      <c r="G1031" s="219"/>
    </row>
    <row r="1032">
      <c r="A1032" s="218">
        <f t="shared" si="1"/>
        <v>1031</v>
      </c>
      <c r="B1032" s="218" t="s">
        <v>203</v>
      </c>
      <c r="C1032" s="218" t="s">
        <v>5181</v>
      </c>
      <c r="D1032" s="218" t="b">
        <v>1</v>
      </c>
      <c r="E1032" s="219" t="b">
        <v>0</v>
      </c>
      <c r="F1032" s="219" t="b">
        <v>0</v>
      </c>
      <c r="G1032" s="219"/>
    </row>
    <row r="1033">
      <c r="A1033" s="218">
        <f t="shared" si="1"/>
        <v>1032</v>
      </c>
      <c r="B1033" s="218" t="s">
        <v>203</v>
      </c>
      <c r="C1033" s="218" t="s">
        <v>4835</v>
      </c>
      <c r="D1033" s="218" t="b">
        <v>1</v>
      </c>
      <c r="E1033" s="219" t="b">
        <v>0</v>
      </c>
      <c r="F1033" s="219" t="b">
        <v>0</v>
      </c>
      <c r="G1033" s="219"/>
    </row>
    <row r="1034">
      <c r="A1034" s="218">
        <f t="shared" si="1"/>
        <v>1033</v>
      </c>
      <c r="B1034" s="218" t="s">
        <v>203</v>
      </c>
      <c r="C1034" s="218" t="s">
        <v>4754</v>
      </c>
      <c r="D1034" s="218" t="b">
        <v>1</v>
      </c>
      <c r="E1034" s="219" t="b">
        <v>0</v>
      </c>
      <c r="F1034" s="219" t="b">
        <v>0</v>
      </c>
      <c r="G1034" s="219"/>
    </row>
    <row r="1035">
      <c r="A1035" s="218">
        <f t="shared" si="1"/>
        <v>1034</v>
      </c>
      <c r="B1035" s="218" t="s">
        <v>203</v>
      </c>
      <c r="C1035" s="218" t="s">
        <v>4829</v>
      </c>
      <c r="D1035" s="218" t="b">
        <v>1</v>
      </c>
      <c r="E1035" s="219" t="b">
        <v>0</v>
      </c>
      <c r="F1035" s="219" t="b">
        <v>0</v>
      </c>
      <c r="G1035" s="219"/>
    </row>
    <row r="1036">
      <c r="A1036" s="218">
        <f t="shared" si="1"/>
        <v>1035</v>
      </c>
      <c r="B1036" s="218" t="s">
        <v>203</v>
      </c>
      <c r="C1036" s="218" t="s">
        <v>3748</v>
      </c>
      <c r="D1036" s="218" t="b">
        <v>1</v>
      </c>
      <c r="E1036" s="219" t="b">
        <v>0</v>
      </c>
      <c r="F1036" s="219" t="b">
        <v>0</v>
      </c>
      <c r="G1036" s="219"/>
    </row>
    <row r="1037">
      <c r="A1037" s="218">
        <f t="shared" si="1"/>
        <v>1036</v>
      </c>
      <c r="B1037" s="218" t="s">
        <v>203</v>
      </c>
      <c r="C1037" s="218" t="s">
        <v>4825</v>
      </c>
      <c r="D1037" s="218" t="b">
        <v>1</v>
      </c>
      <c r="E1037" s="219" t="b">
        <v>0</v>
      </c>
      <c r="F1037" s="219" t="b">
        <v>0</v>
      </c>
      <c r="G1037" s="219"/>
    </row>
    <row r="1038">
      <c r="A1038" s="218">
        <f t="shared" si="1"/>
        <v>1037</v>
      </c>
      <c r="B1038" s="218" t="s">
        <v>203</v>
      </c>
      <c r="C1038" s="218" t="s">
        <v>3768</v>
      </c>
      <c r="D1038" s="218" t="b">
        <v>1</v>
      </c>
      <c r="E1038" s="219" t="b">
        <v>0</v>
      </c>
      <c r="F1038" s="219" t="b">
        <v>0</v>
      </c>
      <c r="G1038" s="219"/>
    </row>
    <row r="1039">
      <c r="A1039" s="218">
        <f t="shared" si="1"/>
        <v>1038</v>
      </c>
      <c r="B1039" s="218" t="s">
        <v>203</v>
      </c>
      <c r="C1039" s="218" t="s">
        <v>4819</v>
      </c>
      <c r="D1039" s="218" t="b">
        <v>1</v>
      </c>
      <c r="E1039" s="219" t="b">
        <v>0</v>
      </c>
      <c r="F1039" s="219" t="b">
        <v>0</v>
      </c>
      <c r="G1039" s="219"/>
    </row>
    <row r="1040">
      <c r="A1040" s="218">
        <f t="shared" si="1"/>
        <v>1039</v>
      </c>
      <c r="B1040" s="218" t="s">
        <v>203</v>
      </c>
      <c r="C1040" s="218" t="s">
        <v>3860</v>
      </c>
      <c r="D1040" s="218" t="b">
        <v>1</v>
      </c>
      <c r="E1040" s="219" t="b">
        <v>0</v>
      </c>
      <c r="F1040" s="219" t="b">
        <v>0</v>
      </c>
      <c r="G1040" s="219"/>
    </row>
    <row r="1041">
      <c r="A1041" s="218">
        <f t="shared" si="1"/>
        <v>1040</v>
      </c>
      <c r="B1041" s="218" t="s">
        <v>203</v>
      </c>
      <c r="C1041" s="218" t="s">
        <v>4813</v>
      </c>
      <c r="D1041" s="218" t="b">
        <v>1</v>
      </c>
      <c r="E1041" s="219" t="b">
        <v>0</v>
      </c>
      <c r="F1041" s="219" t="b">
        <v>0</v>
      </c>
      <c r="G1041" s="219"/>
    </row>
    <row r="1042">
      <c r="A1042" s="218">
        <f t="shared" si="1"/>
        <v>1041</v>
      </c>
      <c r="B1042" s="218" t="s">
        <v>203</v>
      </c>
      <c r="C1042" s="218" t="s">
        <v>3915</v>
      </c>
      <c r="D1042" s="218" t="b">
        <v>1</v>
      </c>
      <c r="E1042" s="219" t="b">
        <v>0</v>
      </c>
      <c r="F1042" s="219" t="b">
        <v>0</v>
      </c>
      <c r="G1042" s="219"/>
    </row>
    <row r="1043">
      <c r="A1043" s="218">
        <f t="shared" si="1"/>
        <v>1042</v>
      </c>
      <c r="B1043" s="218" t="s">
        <v>203</v>
      </c>
      <c r="C1043" s="218" t="s">
        <v>4803</v>
      </c>
      <c r="D1043" s="218" t="b">
        <v>1</v>
      </c>
      <c r="E1043" s="219" t="b">
        <v>0</v>
      </c>
      <c r="F1043" s="219" t="b">
        <v>0</v>
      </c>
      <c r="G1043" s="219"/>
    </row>
    <row r="1044">
      <c r="A1044" s="218">
        <f t="shared" si="1"/>
        <v>1043</v>
      </c>
      <c r="B1044" s="218" t="s">
        <v>203</v>
      </c>
      <c r="C1044" s="218" t="s">
        <v>3920</v>
      </c>
      <c r="D1044" s="218" t="b">
        <v>1</v>
      </c>
      <c r="E1044" s="219" t="b">
        <v>0</v>
      </c>
      <c r="F1044" s="219" t="b">
        <v>0</v>
      </c>
      <c r="G1044" s="219"/>
    </row>
    <row r="1045">
      <c r="A1045" s="218">
        <f t="shared" si="1"/>
        <v>1044</v>
      </c>
      <c r="B1045" s="218" t="s">
        <v>203</v>
      </c>
      <c r="C1045" s="218" t="s">
        <v>4798</v>
      </c>
      <c r="D1045" s="218" t="b">
        <v>1</v>
      </c>
      <c r="E1045" s="219" t="b">
        <v>0</v>
      </c>
      <c r="F1045" s="219" t="b">
        <v>0</v>
      </c>
      <c r="G1045" s="219"/>
    </row>
    <row r="1046">
      <c r="A1046" s="218">
        <f t="shared" si="1"/>
        <v>1045</v>
      </c>
      <c r="B1046" s="218" t="s">
        <v>203</v>
      </c>
      <c r="C1046" s="218" t="s">
        <v>3743</v>
      </c>
      <c r="D1046" s="218" t="b">
        <v>1</v>
      </c>
      <c r="E1046" s="219" t="b">
        <v>0</v>
      </c>
      <c r="F1046" s="219" t="b">
        <v>0</v>
      </c>
      <c r="G1046" s="219"/>
    </row>
    <row r="1047">
      <c r="A1047" s="218">
        <f t="shared" si="1"/>
        <v>1046</v>
      </c>
      <c r="B1047" s="218" t="s">
        <v>203</v>
      </c>
      <c r="C1047" s="218" t="s">
        <v>4781</v>
      </c>
      <c r="D1047" s="218" t="b">
        <v>1</v>
      </c>
      <c r="E1047" s="219" t="b">
        <v>0</v>
      </c>
      <c r="F1047" s="219" t="b">
        <v>0</v>
      </c>
      <c r="G1047" s="219"/>
    </row>
    <row r="1048">
      <c r="A1048" s="218">
        <f t="shared" si="1"/>
        <v>1047</v>
      </c>
      <c r="B1048" s="218" t="s">
        <v>203</v>
      </c>
      <c r="C1048" s="218" t="s">
        <v>2127</v>
      </c>
      <c r="D1048" s="218" t="b">
        <v>1</v>
      </c>
      <c r="E1048" s="219" t="b">
        <v>0</v>
      </c>
      <c r="F1048" s="219" t="b">
        <v>0</v>
      </c>
      <c r="G1048" s="219"/>
    </row>
    <row r="1049">
      <c r="A1049" s="218">
        <f t="shared" si="1"/>
        <v>1048</v>
      </c>
      <c r="B1049" s="218" t="s">
        <v>203</v>
      </c>
      <c r="C1049" s="218" t="s">
        <v>4787</v>
      </c>
      <c r="D1049" s="218" t="b">
        <v>1</v>
      </c>
      <c r="E1049" s="219" t="b">
        <v>0</v>
      </c>
      <c r="F1049" s="219" t="b">
        <v>0</v>
      </c>
      <c r="G1049" s="219"/>
    </row>
    <row r="1050">
      <c r="A1050" s="218">
        <f t="shared" si="1"/>
        <v>1049</v>
      </c>
      <c r="B1050" s="218" t="s">
        <v>203</v>
      </c>
      <c r="C1050" s="218" t="s">
        <v>4766</v>
      </c>
      <c r="D1050" s="218" t="b">
        <v>1</v>
      </c>
      <c r="E1050" s="219" t="b">
        <v>0</v>
      </c>
      <c r="F1050" s="219" t="b">
        <v>0</v>
      </c>
      <c r="G1050" s="219"/>
    </row>
    <row r="1051">
      <c r="A1051" s="218">
        <f t="shared" si="1"/>
        <v>1050</v>
      </c>
      <c r="B1051" s="218" t="s">
        <v>203</v>
      </c>
      <c r="C1051" s="218" t="s">
        <v>4760</v>
      </c>
      <c r="D1051" s="218" t="b">
        <v>1</v>
      </c>
      <c r="E1051" s="219" t="b">
        <v>0</v>
      </c>
      <c r="F1051" s="219" t="b">
        <v>0</v>
      </c>
      <c r="G1051" s="219"/>
    </row>
    <row r="1052">
      <c r="A1052" s="218">
        <f t="shared" si="1"/>
        <v>1051</v>
      </c>
      <c r="B1052" s="218" t="s">
        <v>203</v>
      </c>
      <c r="C1052" s="218" t="s">
        <v>4752</v>
      </c>
      <c r="D1052" s="218" t="b">
        <v>1</v>
      </c>
      <c r="E1052" s="219" t="b">
        <v>0</v>
      </c>
      <c r="F1052" s="219" t="b">
        <v>0</v>
      </c>
      <c r="G1052" s="219"/>
    </row>
    <row r="1053">
      <c r="A1053" s="218">
        <f t="shared" si="1"/>
        <v>1052</v>
      </c>
      <c r="B1053" s="218" t="s">
        <v>203</v>
      </c>
      <c r="C1053" s="218" t="s">
        <v>4733</v>
      </c>
      <c r="D1053" s="218" t="b">
        <v>1</v>
      </c>
      <c r="E1053" s="219" t="b">
        <v>0</v>
      </c>
      <c r="F1053" s="219" t="b">
        <v>0</v>
      </c>
      <c r="G1053" s="219"/>
    </row>
    <row r="1054">
      <c r="A1054" s="218">
        <f t="shared" si="1"/>
        <v>1053</v>
      </c>
      <c r="B1054" s="218" t="s">
        <v>203</v>
      </c>
      <c r="C1054" s="218" t="s">
        <v>4710</v>
      </c>
      <c r="D1054" s="218" t="b">
        <v>1</v>
      </c>
      <c r="E1054" s="219" t="b">
        <v>0</v>
      </c>
      <c r="F1054" s="219" t="b">
        <v>0</v>
      </c>
      <c r="G1054" s="219"/>
    </row>
    <row r="1055">
      <c r="A1055" s="218">
        <f t="shared" si="1"/>
        <v>1054</v>
      </c>
      <c r="B1055" s="218" t="s">
        <v>203</v>
      </c>
      <c r="C1055" s="218" t="s">
        <v>4705</v>
      </c>
      <c r="D1055" s="218" t="b">
        <v>1</v>
      </c>
      <c r="E1055" s="219" t="b">
        <v>0</v>
      </c>
      <c r="F1055" s="219" t="b">
        <v>0</v>
      </c>
      <c r="G1055" s="219"/>
    </row>
    <row r="1056">
      <c r="A1056" s="218">
        <f t="shared" si="1"/>
        <v>1055</v>
      </c>
      <c r="B1056" s="218" t="s">
        <v>203</v>
      </c>
      <c r="C1056" s="218" t="s">
        <v>4700</v>
      </c>
      <c r="D1056" s="218" t="b">
        <v>1</v>
      </c>
      <c r="E1056" s="219" t="b">
        <v>0</v>
      </c>
      <c r="F1056" s="219" t="b">
        <v>0</v>
      </c>
      <c r="G1056" s="219"/>
    </row>
    <row r="1057">
      <c r="A1057" s="218">
        <f t="shared" si="1"/>
        <v>1056</v>
      </c>
      <c r="B1057" s="218" t="s">
        <v>203</v>
      </c>
      <c r="C1057" s="218" t="s">
        <v>4694</v>
      </c>
      <c r="D1057" s="218" t="b">
        <v>1</v>
      </c>
      <c r="E1057" s="219" t="b">
        <v>0</v>
      </c>
      <c r="F1057" s="219" t="b">
        <v>0</v>
      </c>
      <c r="G1057" s="219"/>
    </row>
    <row r="1058">
      <c r="A1058" s="218">
        <f t="shared" si="1"/>
        <v>1057</v>
      </c>
      <c r="B1058" s="218" t="s">
        <v>203</v>
      </c>
      <c r="C1058" s="218" t="s">
        <v>4689</v>
      </c>
      <c r="D1058" s="218" t="b">
        <v>1</v>
      </c>
      <c r="E1058" s="219" t="b">
        <v>0</v>
      </c>
      <c r="F1058" s="219" t="b">
        <v>0</v>
      </c>
      <c r="G1058" s="219"/>
    </row>
    <row r="1059">
      <c r="A1059" s="218">
        <f t="shared" si="1"/>
        <v>1058</v>
      </c>
      <c r="B1059" s="218" t="s">
        <v>203</v>
      </c>
      <c r="C1059" s="218" t="s">
        <v>4674</v>
      </c>
      <c r="D1059" s="218" t="b">
        <v>1</v>
      </c>
      <c r="E1059" s="219" t="b">
        <v>0</v>
      </c>
      <c r="F1059" s="219" t="b">
        <v>0</v>
      </c>
      <c r="G1059" s="219"/>
    </row>
    <row r="1060">
      <c r="A1060" s="218">
        <f t="shared" si="1"/>
        <v>1059</v>
      </c>
      <c r="B1060" s="218" t="s">
        <v>203</v>
      </c>
      <c r="C1060" s="218" t="s">
        <v>4685</v>
      </c>
      <c r="D1060" s="218" t="b">
        <v>1</v>
      </c>
      <c r="E1060" s="219" t="b">
        <v>0</v>
      </c>
      <c r="F1060" s="219" t="b">
        <v>0</v>
      </c>
      <c r="G1060" s="219"/>
    </row>
    <row r="1061">
      <c r="A1061" s="218">
        <f t="shared" si="1"/>
        <v>1060</v>
      </c>
      <c r="B1061" s="218" t="s">
        <v>203</v>
      </c>
      <c r="C1061" s="218" t="s">
        <v>4671</v>
      </c>
      <c r="D1061" s="218" t="b">
        <v>1</v>
      </c>
      <c r="E1061" s="219" t="b">
        <v>0</v>
      </c>
      <c r="F1061" s="219" t="b">
        <v>0</v>
      </c>
      <c r="G1061" s="219"/>
    </row>
    <row r="1062">
      <c r="A1062" s="218">
        <f t="shared" si="1"/>
        <v>1061</v>
      </c>
      <c r="B1062" s="218" t="s">
        <v>203</v>
      </c>
      <c r="C1062" s="218" t="s">
        <v>4666</v>
      </c>
      <c r="D1062" s="218" t="b">
        <v>1</v>
      </c>
      <c r="E1062" s="219" t="b">
        <v>0</v>
      </c>
      <c r="F1062" s="219" t="b">
        <v>0</v>
      </c>
      <c r="G1062" s="219"/>
    </row>
    <row r="1063">
      <c r="A1063" s="218">
        <f t="shared" si="1"/>
        <v>1062</v>
      </c>
      <c r="B1063" s="218" t="s">
        <v>203</v>
      </c>
      <c r="C1063" s="218" t="s">
        <v>4662</v>
      </c>
      <c r="D1063" s="218" t="b">
        <v>1</v>
      </c>
      <c r="E1063" s="219" t="b">
        <v>0</v>
      </c>
      <c r="F1063" s="219" t="b">
        <v>0</v>
      </c>
      <c r="G1063" s="219"/>
    </row>
    <row r="1064">
      <c r="A1064" s="218">
        <f t="shared" si="1"/>
        <v>1063</v>
      </c>
      <c r="B1064" s="218" t="s">
        <v>203</v>
      </c>
      <c r="C1064" s="218" t="s">
        <v>4657</v>
      </c>
      <c r="D1064" s="218" t="b">
        <v>1</v>
      </c>
      <c r="E1064" s="219" t="b">
        <v>0</v>
      </c>
      <c r="F1064" s="219" t="b">
        <v>0</v>
      </c>
      <c r="G1064" s="219"/>
    </row>
    <row r="1065">
      <c r="A1065" s="218">
        <f t="shared" si="1"/>
        <v>1064</v>
      </c>
      <c r="B1065" s="218" t="s">
        <v>203</v>
      </c>
      <c r="C1065" s="218" t="s">
        <v>4647</v>
      </c>
      <c r="D1065" s="218" t="b">
        <v>1</v>
      </c>
      <c r="E1065" s="219" t="b">
        <v>0</v>
      </c>
      <c r="F1065" s="219" t="b">
        <v>0</v>
      </c>
      <c r="G1065" s="219"/>
    </row>
    <row r="1066">
      <c r="A1066" s="218">
        <f t="shared" si="1"/>
        <v>1065</v>
      </c>
      <c r="B1066" s="218" t="s">
        <v>203</v>
      </c>
      <c r="C1066" s="218" t="s">
        <v>4643</v>
      </c>
      <c r="D1066" s="218" t="b">
        <v>1</v>
      </c>
      <c r="E1066" s="219" t="b">
        <v>0</v>
      </c>
      <c r="F1066" s="219" t="b">
        <v>0</v>
      </c>
      <c r="G1066" s="219"/>
    </row>
    <row r="1067">
      <c r="A1067" s="218">
        <f t="shared" si="1"/>
        <v>1066</v>
      </c>
      <c r="B1067" s="218" t="s">
        <v>203</v>
      </c>
      <c r="C1067" s="218" t="s">
        <v>4556</v>
      </c>
      <c r="D1067" s="218" t="b">
        <v>1</v>
      </c>
      <c r="E1067" s="219" t="b">
        <v>0</v>
      </c>
      <c r="F1067" s="219" t="b">
        <v>0</v>
      </c>
      <c r="G1067" s="219"/>
    </row>
    <row r="1068">
      <c r="A1068" s="218">
        <f t="shared" si="1"/>
        <v>1067</v>
      </c>
      <c r="B1068" s="218" t="s">
        <v>203</v>
      </c>
      <c r="C1068" s="218" t="s">
        <v>4636</v>
      </c>
      <c r="D1068" s="218" t="b">
        <v>1</v>
      </c>
      <c r="E1068" s="219" t="b">
        <v>0</v>
      </c>
      <c r="F1068" s="219" t="b">
        <v>0</v>
      </c>
      <c r="G1068" s="219"/>
    </row>
    <row r="1069">
      <c r="A1069" s="218">
        <f t="shared" si="1"/>
        <v>1068</v>
      </c>
      <c r="B1069" s="218" t="s">
        <v>203</v>
      </c>
      <c r="C1069" s="218" t="s">
        <v>4633</v>
      </c>
      <c r="D1069" s="218" t="b">
        <v>1</v>
      </c>
      <c r="E1069" s="219" t="b">
        <v>0</v>
      </c>
      <c r="F1069" s="219" t="b">
        <v>0</v>
      </c>
      <c r="G1069" s="219"/>
    </row>
    <row r="1070">
      <c r="A1070" s="218">
        <f t="shared" si="1"/>
        <v>1069</v>
      </c>
      <c r="B1070" s="218" t="s">
        <v>203</v>
      </c>
      <c r="C1070" s="218" t="s">
        <v>4626</v>
      </c>
      <c r="D1070" s="218" t="b">
        <v>1</v>
      </c>
      <c r="E1070" s="219" t="b">
        <v>0</v>
      </c>
      <c r="F1070" s="219" t="b">
        <v>0</v>
      </c>
      <c r="G1070" s="219"/>
    </row>
    <row r="1071">
      <c r="A1071" s="218">
        <f t="shared" si="1"/>
        <v>1070</v>
      </c>
      <c r="B1071" s="218" t="s">
        <v>203</v>
      </c>
      <c r="C1071" s="218" t="s">
        <v>4620</v>
      </c>
      <c r="D1071" s="218" t="b">
        <v>1</v>
      </c>
      <c r="E1071" s="219" t="b">
        <v>0</v>
      </c>
      <c r="F1071" s="219" t="b">
        <v>0</v>
      </c>
      <c r="G1071" s="219"/>
    </row>
    <row r="1072">
      <c r="A1072" s="218">
        <f t="shared" si="1"/>
        <v>1071</v>
      </c>
      <c r="B1072" s="218" t="s">
        <v>203</v>
      </c>
      <c r="C1072" s="218" t="s">
        <v>4612</v>
      </c>
      <c r="D1072" s="218" t="b">
        <v>1</v>
      </c>
      <c r="E1072" s="219" t="b">
        <v>0</v>
      </c>
      <c r="F1072" s="219" t="b">
        <v>0</v>
      </c>
      <c r="G1072" s="219"/>
    </row>
    <row r="1073">
      <c r="A1073" s="218">
        <f t="shared" si="1"/>
        <v>1072</v>
      </c>
      <c r="B1073" s="218" t="s">
        <v>203</v>
      </c>
      <c r="C1073" s="218" t="s">
        <v>4607</v>
      </c>
      <c r="D1073" s="218" t="b">
        <v>1</v>
      </c>
      <c r="E1073" s="219" t="b">
        <v>0</v>
      </c>
      <c r="F1073" s="219" t="b">
        <v>0</v>
      </c>
      <c r="G1073" s="219"/>
    </row>
    <row r="1074">
      <c r="A1074" s="218">
        <f t="shared" si="1"/>
        <v>1073</v>
      </c>
      <c r="B1074" s="218" t="s">
        <v>203</v>
      </c>
      <c r="C1074" s="218" t="s">
        <v>4600</v>
      </c>
      <c r="D1074" s="218" t="b">
        <v>1</v>
      </c>
      <c r="E1074" s="219" t="b">
        <v>0</v>
      </c>
      <c r="F1074" s="219" t="b">
        <v>0</v>
      </c>
      <c r="G1074" s="219"/>
    </row>
    <row r="1075">
      <c r="A1075" s="218">
        <f t="shared" si="1"/>
        <v>1074</v>
      </c>
      <c r="B1075" s="218" t="s">
        <v>203</v>
      </c>
      <c r="C1075" s="218" t="s">
        <v>4593</v>
      </c>
      <c r="D1075" s="218" t="b">
        <v>1</v>
      </c>
      <c r="E1075" s="219" t="b">
        <v>0</v>
      </c>
      <c r="F1075" s="219" t="b">
        <v>0</v>
      </c>
      <c r="G1075" s="219"/>
    </row>
    <row r="1076">
      <c r="A1076" s="218">
        <f t="shared" si="1"/>
        <v>1075</v>
      </c>
      <c r="B1076" s="218" t="s">
        <v>203</v>
      </c>
      <c r="C1076" s="218" t="s">
        <v>4578</v>
      </c>
      <c r="D1076" s="218" t="b">
        <v>1</v>
      </c>
      <c r="E1076" s="219" t="b">
        <v>0</v>
      </c>
      <c r="F1076" s="219" t="b">
        <v>0</v>
      </c>
      <c r="G1076" s="219"/>
    </row>
    <row r="1077">
      <c r="A1077" s="218">
        <f t="shared" si="1"/>
        <v>1076</v>
      </c>
      <c r="B1077" s="218" t="s">
        <v>203</v>
      </c>
      <c r="C1077" s="218" t="s">
        <v>4575</v>
      </c>
      <c r="D1077" s="218" t="b">
        <v>1</v>
      </c>
      <c r="E1077" s="219" t="b">
        <v>0</v>
      </c>
      <c r="F1077" s="219" t="b">
        <v>0</v>
      </c>
      <c r="G1077" s="219"/>
    </row>
    <row r="1078">
      <c r="A1078" s="218">
        <f t="shared" si="1"/>
        <v>1077</v>
      </c>
      <c r="B1078" s="218" t="s">
        <v>203</v>
      </c>
      <c r="C1078" s="218" t="s">
        <v>4562</v>
      </c>
      <c r="D1078" s="218" t="b">
        <v>1</v>
      </c>
      <c r="E1078" s="219" t="b">
        <v>0</v>
      </c>
      <c r="F1078" s="219" t="b">
        <v>0</v>
      </c>
      <c r="G1078" s="219"/>
    </row>
    <row r="1079">
      <c r="A1079" s="218">
        <f t="shared" si="1"/>
        <v>1078</v>
      </c>
      <c r="B1079" s="218" t="s">
        <v>203</v>
      </c>
      <c r="C1079" s="218" t="s">
        <v>4351</v>
      </c>
      <c r="D1079" s="218" t="b">
        <v>1</v>
      </c>
      <c r="E1079" s="219" t="b">
        <v>0</v>
      </c>
      <c r="F1079" s="219" t="b">
        <v>0</v>
      </c>
      <c r="G1079" s="219"/>
    </row>
    <row r="1080">
      <c r="A1080" s="218">
        <f t="shared" si="1"/>
        <v>1079</v>
      </c>
      <c r="B1080" s="218" t="s">
        <v>203</v>
      </c>
      <c r="C1080" s="218" t="s">
        <v>4935</v>
      </c>
      <c r="D1080" s="218" t="b">
        <v>1</v>
      </c>
      <c r="E1080" s="219" t="b">
        <v>0</v>
      </c>
      <c r="F1080" s="219" t="b">
        <v>0</v>
      </c>
      <c r="G1080" s="219"/>
    </row>
    <row r="1081">
      <c r="A1081" s="218">
        <f t="shared" si="1"/>
        <v>1080</v>
      </c>
      <c r="B1081" s="218" t="s">
        <v>203</v>
      </c>
      <c r="C1081" s="218" t="s">
        <v>2543</v>
      </c>
      <c r="D1081" s="218" t="b">
        <v>1</v>
      </c>
      <c r="E1081" s="219" t="b">
        <v>0</v>
      </c>
      <c r="F1081" s="219" t="b">
        <v>0</v>
      </c>
      <c r="G1081" s="219"/>
    </row>
    <row r="1082">
      <c r="A1082" s="218">
        <f t="shared" si="1"/>
        <v>1081</v>
      </c>
      <c r="B1082" s="218" t="s">
        <v>203</v>
      </c>
      <c r="C1082" s="219" t="s">
        <v>6161</v>
      </c>
      <c r="D1082" s="218" t="b">
        <v>1</v>
      </c>
      <c r="E1082" s="219" t="b">
        <v>0</v>
      </c>
      <c r="F1082" s="219" t="b">
        <v>0</v>
      </c>
      <c r="G1082" s="219"/>
    </row>
    <row r="1083">
      <c r="A1083" s="218">
        <f t="shared" si="1"/>
        <v>1082</v>
      </c>
      <c r="B1083" s="218" t="s">
        <v>203</v>
      </c>
      <c r="C1083" s="219" t="s">
        <v>6162</v>
      </c>
      <c r="D1083" s="218" t="b">
        <v>1</v>
      </c>
      <c r="E1083" s="219" t="b">
        <v>0</v>
      </c>
      <c r="F1083" s="219" t="b">
        <v>0</v>
      </c>
      <c r="G1083" s="219"/>
    </row>
    <row r="1084">
      <c r="A1084" s="218">
        <f t="shared" si="1"/>
        <v>1083</v>
      </c>
      <c r="B1084" s="218" t="s">
        <v>203</v>
      </c>
      <c r="C1084" s="219" t="s">
        <v>6163</v>
      </c>
      <c r="D1084" s="218" t="b">
        <v>1</v>
      </c>
      <c r="E1084" s="219" t="b">
        <v>0</v>
      </c>
      <c r="F1084" s="219" t="b">
        <v>0</v>
      </c>
      <c r="G1084" s="219"/>
    </row>
    <row r="1085">
      <c r="A1085" s="218">
        <f t="shared" si="1"/>
        <v>1084</v>
      </c>
      <c r="B1085" s="218" t="s">
        <v>203</v>
      </c>
      <c r="C1085" s="218"/>
      <c r="D1085" s="219"/>
      <c r="E1085" s="219"/>
      <c r="F1085" s="219"/>
      <c r="G1085" s="219"/>
    </row>
    <row r="1086">
      <c r="A1086" s="218">
        <f t="shared" si="1"/>
        <v>1085</v>
      </c>
      <c r="B1086" s="218" t="s">
        <v>203</v>
      </c>
      <c r="C1086" s="218"/>
      <c r="D1086" s="219"/>
      <c r="E1086" s="219"/>
      <c r="F1086" s="219"/>
      <c r="G1086" s="219"/>
    </row>
    <row r="1087">
      <c r="A1087" s="218">
        <f t="shared" si="1"/>
        <v>1086</v>
      </c>
      <c r="B1087" s="218" t="s">
        <v>203</v>
      </c>
      <c r="C1087" s="218"/>
      <c r="D1087" s="219"/>
      <c r="E1087" s="219"/>
      <c r="F1087" s="219"/>
      <c r="G1087" s="219"/>
    </row>
    <row r="1088">
      <c r="A1088" s="218">
        <f t="shared" si="1"/>
        <v>1087</v>
      </c>
      <c r="B1088" s="218" t="s">
        <v>203</v>
      </c>
      <c r="C1088" s="218"/>
      <c r="D1088" s="219"/>
      <c r="E1088" s="219"/>
      <c r="F1088" s="219"/>
      <c r="G1088" s="219"/>
    </row>
    <row r="1089">
      <c r="A1089" s="218">
        <f t="shared" si="1"/>
        <v>1088</v>
      </c>
      <c r="B1089" s="218" t="s">
        <v>203</v>
      </c>
      <c r="C1089" s="218"/>
      <c r="D1089" s="219"/>
      <c r="E1089" s="219"/>
      <c r="F1089" s="219"/>
      <c r="G1089" s="219"/>
    </row>
    <row r="1090">
      <c r="A1090" s="218">
        <f t="shared" si="1"/>
        <v>1089</v>
      </c>
      <c r="B1090" s="218" t="s">
        <v>203</v>
      </c>
      <c r="C1090" s="218"/>
      <c r="D1090" s="219"/>
      <c r="E1090" s="219"/>
      <c r="F1090" s="219"/>
      <c r="G1090" s="219"/>
    </row>
    <row r="1091">
      <c r="A1091" s="218">
        <f t="shared" si="1"/>
        <v>1090</v>
      </c>
      <c r="B1091" s="218" t="s">
        <v>203</v>
      </c>
      <c r="C1091" s="218"/>
      <c r="D1091" s="219"/>
      <c r="E1091" s="219"/>
      <c r="F1091" s="219"/>
      <c r="G1091" s="219"/>
    </row>
    <row r="1092">
      <c r="A1092" s="218">
        <f t="shared" si="1"/>
        <v>1091</v>
      </c>
      <c r="B1092" s="218" t="s">
        <v>203</v>
      </c>
      <c r="C1092" s="218"/>
      <c r="D1092" s="219"/>
      <c r="E1092" s="219"/>
      <c r="F1092" s="219"/>
      <c r="G1092" s="219"/>
    </row>
    <row r="1093">
      <c r="A1093" s="218">
        <f t="shared" si="1"/>
        <v>1092</v>
      </c>
      <c r="B1093" s="218" t="s">
        <v>203</v>
      </c>
      <c r="C1093" s="218"/>
      <c r="D1093" s="219"/>
      <c r="E1093" s="219"/>
      <c r="F1093" s="219"/>
      <c r="G1093" s="219"/>
    </row>
    <row r="1094">
      <c r="A1094" s="218">
        <f t="shared" si="1"/>
        <v>1093</v>
      </c>
      <c r="B1094" s="218" t="s">
        <v>203</v>
      </c>
      <c r="C1094" s="218"/>
      <c r="D1094" s="219"/>
      <c r="E1094" s="219"/>
      <c r="F1094" s="219"/>
      <c r="G1094" s="219"/>
    </row>
    <row r="1095">
      <c r="A1095" s="218">
        <f t="shared" si="1"/>
        <v>1094</v>
      </c>
      <c r="B1095" s="218" t="s">
        <v>203</v>
      </c>
      <c r="C1095" s="218"/>
      <c r="D1095" s="219"/>
      <c r="E1095" s="219"/>
      <c r="F1095" s="219"/>
      <c r="G1095" s="219"/>
    </row>
    <row r="1096">
      <c r="A1096" s="216"/>
      <c r="B1096" s="216"/>
      <c r="C1096" s="157"/>
      <c r="D1096" s="216"/>
      <c r="E1096" s="216"/>
      <c r="F1096" s="216"/>
      <c r="G1096" s="216"/>
    </row>
    <row r="1097">
      <c r="A1097" s="216"/>
      <c r="B1097" s="216"/>
      <c r="C1097" s="157"/>
      <c r="D1097" s="216"/>
      <c r="E1097" s="216"/>
      <c r="F1097" s="216"/>
      <c r="G1097" s="216"/>
    </row>
    <row r="1098">
      <c r="A1098" s="216"/>
      <c r="B1098" s="216"/>
      <c r="C1098" s="157"/>
      <c r="D1098" s="216"/>
      <c r="E1098" s="216"/>
      <c r="F1098" s="216"/>
      <c r="G1098" s="216"/>
    </row>
    <row r="1099">
      <c r="A1099" s="216"/>
      <c r="B1099" s="216"/>
      <c r="C1099" s="157"/>
      <c r="D1099" s="216"/>
      <c r="E1099" s="216"/>
      <c r="F1099" s="216"/>
      <c r="G1099" s="216"/>
    </row>
    <row r="1100">
      <c r="A1100" s="216"/>
      <c r="B1100" s="216"/>
      <c r="C1100" s="157"/>
      <c r="D1100" s="216"/>
      <c r="E1100" s="216"/>
      <c r="F1100" s="216"/>
      <c r="G1100" s="216"/>
    </row>
    <row r="1101">
      <c r="A1101" s="216"/>
      <c r="B1101" s="216"/>
      <c r="C1101" s="157"/>
      <c r="D1101" s="216"/>
      <c r="E1101" s="216"/>
      <c r="F1101" s="216"/>
      <c r="G1101" s="216"/>
    </row>
    <row r="1102">
      <c r="A1102" s="216"/>
      <c r="B1102" s="216"/>
      <c r="C1102" s="157"/>
      <c r="D1102" s="216"/>
      <c r="E1102" s="216"/>
      <c r="F1102" s="216"/>
      <c r="G1102" s="216"/>
    </row>
    <row r="1103">
      <c r="A1103" s="216"/>
      <c r="B1103" s="216"/>
      <c r="C1103" s="157"/>
      <c r="D1103" s="216"/>
      <c r="E1103" s="216"/>
      <c r="F1103" s="216"/>
      <c r="G1103" s="216"/>
    </row>
    <row r="1104">
      <c r="A1104" s="216"/>
      <c r="B1104" s="216"/>
      <c r="C1104" s="157"/>
      <c r="D1104" s="216"/>
      <c r="E1104" s="216"/>
      <c r="F1104" s="216"/>
      <c r="G1104" s="216"/>
    </row>
    <row r="1105">
      <c r="A1105" s="216"/>
      <c r="B1105" s="216"/>
      <c r="C1105" s="157"/>
      <c r="D1105" s="216"/>
      <c r="E1105" s="216"/>
      <c r="F1105" s="216"/>
      <c r="G1105" s="216"/>
    </row>
    <row r="1106">
      <c r="A1106" s="216"/>
      <c r="B1106" s="216"/>
      <c r="C1106" s="157"/>
      <c r="D1106" s="216"/>
      <c r="E1106" s="216"/>
      <c r="F1106" s="216"/>
      <c r="G1106" s="216"/>
    </row>
    <row r="1107">
      <c r="A1107" s="216"/>
      <c r="B1107" s="216"/>
      <c r="C1107" s="157"/>
      <c r="D1107" s="216"/>
      <c r="E1107" s="216"/>
      <c r="F1107" s="216"/>
      <c r="G1107" s="216"/>
    </row>
    <row r="1108">
      <c r="A1108" s="216"/>
      <c r="B1108" s="216"/>
      <c r="C1108" s="157"/>
      <c r="D1108" s="216"/>
      <c r="E1108" s="216"/>
      <c r="F1108" s="216"/>
      <c r="G1108" s="216"/>
    </row>
    <row r="1109">
      <c r="A1109" s="216"/>
      <c r="B1109" s="216"/>
      <c r="C1109" s="157"/>
      <c r="D1109" s="216"/>
      <c r="E1109" s="216"/>
      <c r="F1109" s="216"/>
      <c r="G1109" s="216"/>
    </row>
    <row r="1110">
      <c r="A1110" s="216"/>
      <c r="B1110" s="216"/>
      <c r="C1110" s="157"/>
      <c r="D1110" s="216"/>
      <c r="E1110" s="216"/>
      <c r="F1110" s="216"/>
      <c r="G1110" s="216"/>
    </row>
    <row r="1111">
      <c r="A1111" s="216"/>
      <c r="B1111" s="216"/>
      <c r="C1111" s="157"/>
      <c r="D1111" s="216"/>
      <c r="E1111" s="216"/>
      <c r="F1111" s="216"/>
      <c r="G1111" s="216"/>
    </row>
    <row r="1112">
      <c r="A1112" s="216"/>
      <c r="B1112" s="216"/>
      <c r="C1112" s="157"/>
      <c r="D1112" s="216"/>
      <c r="E1112" s="216"/>
      <c r="F1112" s="216"/>
      <c r="G1112" s="216"/>
    </row>
    <row r="1113">
      <c r="A1113" s="216"/>
      <c r="B1113" s="216"/>
      <c r="C1113" s="157"/>
      <c r="D1113" s="216"/>
      <c r="E1113" s="216"/>
      <c r="F1113" s="216"/>
      <c r="G1113" s="216"/>
    </row>
    <row r="1114">
      <c r="A1114" s="216"/>
      <c r="B1114" s="216"/>
      <c r="C1114" s="157"/>
      <c r="D1114" s="216"/>
      <c r="E1114" s="216"/>
      <c r="F1114" s="216"/>
      <c r="G1114" s="216"/>
    </row>
    <row r="1115">
      <c r="A1115" s="216"/>
      <c r="B1115" s="216"/>
      <c r="C1115" s="157"/>
      <c r="D1115" s="216"/>
      <c r="E1115" s="216"/>
      <c r="F1115" s="216"/>
      <c r="G1115" s="216"/>
    </row>
    <row r="1116">
      <c r="A1116" s="216"/>
      <c r="B1116" s="216"/>
      <c r="C1116" s="157"/>
      <c r="D1116" s="216"/>
      <c r="E1116" s="216"/>
      <c r="F1116" s="216"/>
      <c r="G1116" s="216"/>
    </row>
    <row r="1117">
      <c r="A1117" s="216"/>
      <c r="B1117" s="216"/>
      <c r="C1117" s="157"/>
      <c r="D1117" s="216"/>
      <c r="E1117" s="216"/>
      <c r="F1117" s="216"/>
      <c r="G1117" s="216"/>
    </row>
    <row r="1118">
      <c r="A1118" s="216"/>
      <c r="B1118" s="216"/>
      <c r="C1118" s="157"/>
      <c r="D1118" s="216"/>
      <c r="E1118" s="216"/>
      <c r="F1118" s="216"/>
      <c r="G1118" s="216"/>
    </row>
    <row r="1119">
      <c r="A1119" s="216"/>
      <c r="B1119" s="216"/>
      <c r="C1119" s="157"/>
      <c r="D1119" s="216"/>
      <c r="E1119" s="216"/>
      <c r="F1119" s="216"/>
      <c r="G1119" s="216"/>
    </row>
    <row r="1120">
      <c r="A1120" s="216"/>
      <c r="B1120" s="216"/>
      <c r="C1120" s="157"/>
      <c r="D1120" s="216"/>
      <c r="E1120" s="216"/>
      <c r="F1120" s="216"/>
      <c r="G1120" s="216"/>
    </row>
    <row r="1121">
      <c r="A1121" s="216"/>
      <c r="B1121" s="216"/>
      <c r="C1121" s="157"/>
      <c r="D1121" s="216"/>
      <c r="E1121" s="216"/>
      <c r="F1121" s="216"/>
      <c r="G1121" s="216"/>
    </row>
    <row r="1122">
      <c r="A1122" s="216"/>
      <c r="B1122" s="216"/>
      <c r="C1122" s="157"/>
      <c r="D1122" s="216"/>
      <c r="E1122" s="216"/>
      <c r="F1122" s="216"/>
      <c r="G1122" s="216"/>
    </row>
    <row r="1123">
      <c r="A1123" s="216"/>
      <c r="B1123" s="216"/>
      <c r="C1123" s="157"/>
      <c r="D1123" s="216"/>
      <c r="E1123" s="216"/>
      <c r="F1123" s="216"/>
      <c r="G1123" s="216"/>
    </row>
    <row r="1124">
      <c r="A1124" s="216"/>
      <c r="B1124" s="216"/>
      <c r="C1124" s="157"/>
      <c r="D1124" s="216"/>
      <c r="E1124" s="216"/>
      <c r="F1124" s="216"/>
      <c r="G1124" s="216"/>
    </row>
    <row r="1125">
      <c r="A1125" s="216"/>
      <c r="B1125" s="216"/>
      <c r="C1125" s="157"/>
      <c r="D1125" s="216"/>
      <c r="E1125" s="216"/>
      <c r="F1125" s="216"/>
      <c r="G1125" s="216"/>
    </row>
    <row r="1126">
      <c r="A1126" s="216"/>
      <c r="B1126" s="216"/>
      <c r="C1126" s="157"/>
      <c r="D1126" s="216"/>
      <c r="E1126" s="216"/>
      <c r="F1126" s="216"/>
      <c r="G1126" s="216"/>
    </row>
    <row r="1127">
      <c r="A1127" s="216"/>
      <c r="B1127" s="216"/>
      <c r="C1127" s="157"/>
      <c r="D1127" s="216"/>
      <c r="E1127" s="216"/>
      <c r="F1127" s="216"/>
      <c r="G1127" s="216"/>
    </row>
    <row r="1128">
      <c r="A1128" s="216"/>
      <c r="B1128" s="216"/>
      <c r="C1128" s="157"/>
      <c r="D1128" s="216"/>
      <c r="E1128" s="216"/>
      <c r="F1128" s="216"/>
      <c r="G1128" s="216"/>
    </row>
    <row r="1129">
      <c r="A1129" s="216"/>
      <c r="B1129" s="216"/>
      <c r="C1129" s="157"/>
      <c r="D1129" s="216"/>
      <c r="E1129" s="216"/>
      <c r="F1129" s="216"/>
      <c r="G1129" s="216"/>
    </row>
    <row r="1130">
      <c r="A1130" s="216"/>
      <c r="B1130" s="216"/>
      <c r="C1130" s="157"/>
      <c r="D1130" s="216"/>
      <c r="E1130" s="216"/>
      <c r="F1130" s="216"/>
      <c r="G1130" s="216"/>
    </row>
    <row r="1131">
      <c r="A1131" s="216"/>
      <c r="B1131" s="216"/>
      <c r="C1131" s="157"/>
      <c r="D1131" s="216"/>
      <c r="E1131" s="216"/>
      <c r="F1131" s="216"/>
      <c r="G1131" s="216"/>
    </row>
    <row r="1132">
      <c r="A1132" s="216"/>
      <c r="B1132" s="216"/>
      <c r="C1132" s="157"/>
      <c r="D1132" s="216"/>
      <c r="E1132" s="216"/>
      <c r="F1132" s="216"/>
      <c r="G1132" s="216"/>
    </row>
    <row r="1133">
      <c r="A1133" s="216"/>
      <c r="B1133" s="216"/>
      <c r="C1133" s="157"/>
      <c r="D1133" s="216"/>
      <c r="E1133" s="216"/>
      <c r="F1133" s="216"/>
      <c r="G1133" s="216"/>
    </row>
    <row r="1134">
      <c r="A1134" s="216"/>
      <c r="B1134" s="216"/>
      <c r="C1134" s="157"/>
      <c r="D1134" s="216"/>
      <c r="E1134" s="216"/>
      <c r="F1134" s="216"/>
      <c r="G1134" s="216"/>
    </row>
    <row r="1135">
      <c r="A1135" s="216"/>
      <c r="B1135" s="216"/>
      <c r="C1135" s="157"/>
      <c r="D1135" s="216"/>
      <c r="E1135" s="216"/>
      <c r="F1135" s="216"/>
      <c r="G1135" s="216"/>
    </row>
    <row r="1136">
      <c r="A1136" s="216"/>
      <c r="B1136" s="216"/>
      <c r="C1136" s="157"/>
      <c r="D1136" s="216"/>
      <c r="E1136" s="216"/>
      <c r="F1136" s="216"/>
      <c r="G1136" s="216"/>
    </row>
    <row r="1137">
      <c r="A1137" s="216"/>
      <c r="B1137" s="216"/>
      <c r="C1137" s="157"/>
      <c r="D1137" s="216"/>
      <c r="E1137" s="216"/>
      <c r="F1137" s="216"/>
      <c r="G1137" s="216"/>
    </row>
    <row r="1138">
      <c r="A1138" s="216"/>
      <c r="B1138" s="216"/>
      <c r="C1138" s="157"/>
      <c r="D1138" s="216"/>
      <c r="E1138" s="216"/>
      <c r="F1138" s="216"/>
      <c r="G1138" s="216"/>
    </row>
    <row r="1139">
      <c r="A1139" s="216"/>
      <c r="B1139" s="216"/>
      <c r="C1139" s="157"/>
      <c r="D1139" s="216"/>
      <c r="E1139" s="216"/>
      <c r="F1139" s="216"/>
      <c r="G1139" s="216"/>
    </row>
    <row r="1140">
      <c r="A1140" s="216"/>
      <c r="B1140" s="216"/>
      <c r="C1140" s="157"/>
      <c r="D1140" s="216"/>
      <c r="E1140" s="216"/>
      <c r="F1140" s="216"/>
      <c r="G1140" s="216"/>
    </row>
    <row r="1141">
      <c r="A1141" s="216"/>
      <c r="B1141" s="216"/>
      <c r="C1141" s="157"/>
      <c r="D1141" s="216"/>
      <c r="E1141" s="216"/>
      <c r="F1141" s="216"/>
      <c r="G1141" s="216"/>
    </row>
    <row r="1142">
      <c r="A1142" s="216"/>
      <c r="B1142" s="216"/>
      <c r="C1142" s="157"/>
      <c r="D1142" s="216"/>
      <c r="E1142" s="216"/>
      <c r="F1142" s="216"/>
      <c r="G1142" s="216"/>
    </row>
    <row r="1143">
      <c r="A1143" s="216"/>
      <c r="B1143" s="216"/>
      <c r="C1143" s="157"/>
      <c r="D1143" s="216"/>
      <c r="E1143" s="216"/>
      <c r="F1143" s="216"/>
      <c r="G1143" s="216"/>
    </row>
    <row r="1144">
      <c r="A1144" s="216"/>
      <c r="B1144" s="216"/>
      <c r="C1144" s="157"/>
      <c r="D1144" s="216"/>
      <c r="E1144" s="216"/>
      <c r="F1144" s="216"/>
      <c r="G1144" s="216"/>
    </row>
    <row r="1145">
      <c r="A1145" s="216"/>
      <c r="B1145" s="216"/>
      <c r="C1145" s="157"/>
      <c r="D1145" s="216"/>
      <c r="E1145" s="216"/>
      <c r="F1145" s="216"/>
      <c r="G1145" s="216"/>
    </row>
    <row r="1146">
      <c r="A1146" s="216"/>
      <c r="B1146" s="216"/>
      <c r="C1146" s="157"/>
      <c r="D1146" s="216"/>
      <c r="E1146" s="216"/>
      <c r="F1146" s="216"/>
      <c r="G1146" s="216"/>
    </row>
    <row r="1147">
      <c r="A1147" s="216"/>
      <c r="B1147" s="216"/>
      <c r="C1147" s="157"/>
      <c r="D1147" s="216"/>
      <c r="E1147" s="216"/>
      <c r="F1147" s="216"/>
      <c r="G1147" s="216"/>
    </row>
    <row r="1148">
      <c r="A1148" s="216"/>
      <c r="B1148" s="216"/>
      <c r="C1148" s="157"/>
      <c r="D1148" s="216"/>
      <c r="E1148" s="216"/>
      <c r="F1148" s="216"/>
      <c r="G1148" s="216"/>
    </row>
    <row r="1149">
      <c r="A1149" s="216"/>
      <c r="B1149" s="216"/>
      <c r="C1149" s="157"/>
      <c r="D1149" s="216"/>
      <c r="E1149" s="216"/>
      <c r="F1149" s="216"/>
      <c r="G1149" s="216"/>
    </row>
    <row r="1150">
      <c r="A1150" s="216"/>
      <c r="B1150" s="216"/>
      <c r="C1150" s="157"/>
      <c r="D1150" s="216"/>
      <c r="E1150" s="216"/>
      <c r="F1150" s="216"/>
      <c r="G1150" s="216"/>
    </row>
    <row r="1151">
      <c r="A1151" s="216"/>
      <c r="B1151" s="216"/>
      <c r="C1151" s="157"/>
      <c r="D1151" s="216"/>
      <c r="E1151" s="216"/>
      <c r="F1151" s="216"/>
      <c r="G1151" s="216"/>
    </row>
    <row r="1152">
      <c r="A1152" s="216"/>
      <c r="B1152" s="216"/>
      <c r="C1152" s="157"/>
      <c r="D1152" s="216"/>
      <c r="E1152" s="216"/>
      <c r="F1152" s="216"/>
      <c r="G1152" s="216"/>
    </row>
    <row r="1153">
      <c r="A1153" s="216"/>
      <c r="B1153" s="216"/>
      <c r="C1153" s="157"/>
      <c r="D1153" s="216"/>
      <c r="E1153" s="216"/>
      <c r="F1153" s="216"/>
      <c r="G1153" s="216"/>
    </row>
    <row r="1154">
      <c r="A1154" s="216"/>
      <c r="B1154" s="216"/>
      <c r="C1154" s="157"/>
      <c r="D1154" s="216"/>
      <c r="E1154" s="216"/>
      <c r="F1154" s="216"/>
      <c r="G1154" s="216"/>
    </row>
    <row r="1155">
      <c r="A1155" s="216"/>
      <c r="B1155" s="216"/>
      <c r="C1155" s="157"/>
      <c r="D1155" s="216"/>
      <c r="E1155" s="216"/>
      <c r="F1155" s="216"/>
      <c r="G1155" s="216"/>
    </row>
    <row r="1156">
      <c r="A1156" s="216"/>
      <c r="B1156" s="216"/>
      <c r="C1156" s="157"/>
      <c r="D1156" s="216"/>
      <c r="E1156" s="216"/>
      <c r="F1156" s="216"/>
      <c r="G1156" s="216"/>
    </row>
    <row r="1157">
      <c r="A1157" s="216"/>
      <c r="B1157" s="216"/>
      <c r="C1157" s="157"/>
      <c r="D1157" s="216"/>
      <c r="E1157" s="216"/>
      <c r="F1157" s="216"/>
      <c r="G1157" s="216"/>
    </row>
    <row r="1158">
      <c r="A1158" s="216"/>
      <c r="B1158" s="216"/>
      <c r="C1158" s="157"/>
      <c r="D1158" s="216"/>
      <c r="E1158" s="216"/>
      <c r="F1158" s="216"/>
      <c r="G1158" s="216"/>
    </row>
    <row r="1159">
      <c r="A1159" s="216"/>
      <c r="B1159" s="216"/>
      <c r="C1159" s="157"/>
      <c r="D1159" s="216"/>
      <c r="E1159" s="216"/>
      <c r="F1159" s="216"/>
      <c r="G1159" s="216"/>
    </row>
    <row r="1160">
      <c r="A1160" s="216"/>
      <c r="B1160" s="216"/>
      <c r="C1160" s="157"/>
      <c r="D1160" s="216"/>
      <c r="E1160" s="216"/>
      <c r="F1160" s="216"/>
      <c r="G1160" s="216"/>
    </row>
    <row r="1161">
      <c r="A1161" s="216"/>
      <c r="B1161" s="216"/>
      <c r="C1161" s="157"/>
      <c r="D1161" s="216"/>
      <c r="E1161" s="216"/>
      <c r="F1161" s="216"/>
      <c r="G1161" s="216"/>
    </row>
    <row r="1162">
      <c r="A1162" s="216"/>
      <c r="B1162" s="216"/>
      <c r="C1162" s="157"/>
      <c r="D1162" s="216"/>
      <c r="E1162" s="216"/>
      <c r="F1162" s="216"/>
      <c r="G1162" s="216"/>
    </row>
    <row r="1163">
      <c r="A1163" s="216"/>
      <c r="B1163" s="216"/>
      <c r="C1163" s="157"/>
      <c r="D1163" s="216"/>
      <c r="E1163" s="216"/>
      <c r="F1163" s="216"/>
      <c r="G1163" s="216"/>
    </row>
    <row r="1164">
      <c r="A1164" s="216"/>
      <c r="B1164" s="216"/>
      <c r="C1164" s="157"/>
      <c r="D1164" s="216"/>
      <c r="E1164" s="216"/>
      <c r="F1164" s="216"/>
      <c r="G1164" s="216"/>
    </row>
    <row r="1165">
      <c r="A1165" s="216"/>
      <c r="B1165" s="216"/>
      <c r="C1165" s="157"/>
      <c r="D1165" s="216"/>
      <c r="E1165" s="216"/>
      <c r="F1165" s="216"/>
      <c r="G1165" s="216"/>
    </row>
    <row r="1166">
      <c r="A1166" s="216"/>
      <c r="B1166" s="216"/>
      <c r="C1166" s="157"/>
      <c r="D1166" s="216"/>
      <c r="E1166" s="216"/>
      <c r="F1166" s="216"/>
      <c r="G1166" s="216"/>
    </row>
    <row r="1167">
      <c r="A1167" s="216"/>
      <c r="B1167" s="216"/>
      <c r="C1167" s="157"/>
      <c r="D1167" s="216"/>
      <c r="E1167" s="216"/>
      <c r="F1167" s="216"/>
      <c r="G1167" s="216"/>
    </row>
    <row r="1168">
      <c r="A1168" s="216"/>
      <c r="B1168" s="216"/>
      <c r="C1168" s="157"/>
      <c r="D1168" s="216"/>
      <c r="E1168" s="216"/>
      <c r="F1168" s="216"/>
      <c r="G1168" s="216"/>
    </row>
    <row r="1169">
      <c r="A1169" s="216"/>
      <c r="B1169" s="216"/>
      <c r="C1169" s="157"/>
      <c r="D1169" s="216"/>
      <c r="E1169" s="216"/>
      <c r="F1169" s="216"/>
      <c r="G1169" s="216"/>
    </row>
    <row r="1170">
      <c r="A1170" s="216"/>
      <c r="B1170" s="216"/>
      <c r="C1170" s="157"/>
      <c r="D1170" s="216"/>
      <c r="E1170" s="216"/>
      <c r="F1170" s="216"/>
      <c r="G1170" s="216"/>
    </row>
    <row r="1171">
      <c r="A1171" s="216"/>
      <c r="B1171" s="216"/>
      <c r="C1171" s="157"/>
      <c r="D1171" s="216"/>
      <c r="E1171" s="216"/>
      <c r="F1171" s="216"/>
      <c r="G1171" s="216"/>
    </row>
    <row r="1172">
      <c r="A1172" s="216"/>
      <c r="B1172" s="216"/>
      <c r="C1172" s="157"/>
      <c r="D1172" s="216"/>
      <c r="E1172" s="216"/>
      <c r="F1172" s="216"/>
      <c r="G1172" s="216"/>
    </row>
    <row r="1173">
      <c r="A1173" s="216"/>
      <c r="B1173" s="216"/>
      <c r="C1173" s="157"/>
      <c r="D1173" s="216"/>
      <c r="E1173" s="216"/>
      <c r="F1173" s="216"/>
      <c r="G1173" s="216"/>
    </row>
    <row r="1174">
      <c r="A1174" s="216"/>
      <c r="B1174" s="216"/>
      <c r="C1174" s="157"/>
      <c r="D1174" s="216"/>
      <c r="E1174" s="216"/>
      <c r="F1174" s="216"/>
      <c r="G1174" s="216"/>
    </row>
    <row r="1175">
      <c r="A1175" s="216"/>
      <c r="B1175" s="216"/>
      <c r="C1175" s="157"/>
      <c r="D1175" s="216"/>
      <c r="E1175" s="216"/>
      <c r="F1175" s="216"/>
      <c r="G1175" s="216"/>
    </row>
    <row r="1176">
      <c r="A1176" s="216"/>
      <c r="B1176" s="216"/>
      <c r="C1176" s="157"/>
      <c r="D1176" s="216"/>
      <c r="E1176" s="216"/>
      <c r="F1176" s="216"/>
      <c r="G1176" s="216"/>
    </row>
    <row r="1177">
      <c r="A1177" s="216"/>
      <c r="B1177" s="216"/>
      <c r="C1177" s="157"/>
      <c r="D1177" s="216"/>
      <c r="E1177" s="216"/>
      <c r="F1177" s="216"/>
      <c r="G1177" s="216"/>
    </row>
    <row r="1178">
      <c r="A1178" s="216"/>
      <c r="B1178" s="216"/>
      <c r="C1178" s="157"/>
      <c r="D1178" s="216"/>
      <c r="E1178" s="216"/>
      <c r="F1178" s="216"/>
      <c r="G1178" s="216"/>
    </row>
    <row r="1179">
      <c r="A1179" s="216"/>
      <c r="B1179" s="216"/>
      <c r="C1179" s="157"/>
      <c r="D1179" s="216"/>
      <c r="E1179" s="216"/>
      <c r="F1179" s="216"/>
      <c r="G1179" s="216"/>
    </row>
    <row r="1180">
      <c r="A1180" s="216"/>
      <c r="B1180" s="216"/>
      <c r="C1180" s="157"/>
      <c r="D1180" s="216"/>
      <c r="E1180" s="216"/>
      <c r="F1180" s="216"/>
      <c r="G1180" s="216"/>
    </row>
    <row r="1181">
      <c r="A1181" s="216"/>
      <c r="B1181" s="216"/>
      <c r="C1181" s="157"/>
      <c r="D1181" s="216"/>
      <c r="E1181" s="216"/>
      <c r="F1181" s="216"/>
      <c r="G1181" s="216"/>
    </row>
    <row r="1182">
      <c r="A1182" s="216"/>
      <c r="B1182" s="216"/>
      <c r="C1182" s="157"/>
      <c r="D1182" s="216"/>
      <c r="E1182" s="216"/>
      <c r="F1182" s="216"/>
      <c r="G1182" s="216"/>
    </row>
    <row r="1183">
      <c r="A1183" s="216"/>
      <c r="B1183" s="216"/>
      <c r="C1183" s="157"/>
      <c r="D1183" s="216"/>
      <c r="E1183" s="216"/>
      <c r="F1183" s="216"/>
      <c r="G1183" s="216"/>
    </row>
    <row r="1184">
      <c r="A1184" s="216"/>
      <c r="B1184" s="216"/>
      <c r="C1184" s="157"/>
      <c r="D1184" s="216"/>
      <c r="E1184" s="216"/>
      <c r="F1184" s="216"/>
      <c r="G1184" s="216"/>
    </row>
    <row r="1185">
      <c r="A1185" s="216"/>
      <c r="B1185" s="216"/>
      <c r="C1185" s="157"/>
      <c r="D1185" s="216"/>
      <c r="E1185" s="216"/>
      <c r="F1185" s="216"/>
      <c r="G1185" s="216"/>
    </row>
    <row r="1186">
      <c r="A1186" s="216"/>
      <c r="B1186" s="216"/>
      <c r="C1186" s="157"/>
      <c r="D1186" s="216"/>
      <c r="E1186" s="216"/>
      <c r="F1186" s="216"/>
      <c r="G1186" s="216"/>
    </row>
    <row r="1187">
      <c r="A1187" s="216"/>
      <c r="B1187" s="216"/>
      <c r="C1187" s="157"/>
      <c r="D1187" s="216"/>
      <c r="E1187" s="216"/>
      <c r="F1187" s="216"/>
      <c r="G1187" s="216"/>
    </row>
    <row r="1188">
      <c r="A1188" s="216"/>
      <c r="B1188" s="216"/>
      <c r="C1188" s="157"/>
      <c r="D1188" s="216"/>
      <c r="E1188" s="216"/>
      <c r="F1188" s="216"/>
      <c r="G1188" s="216"/>
    </row>
    <row r="1189">
      <c r="A1189" s="216"/>
      <c r="B1189" s="216"/>
      <c r="C1189" s="157"/>
      <c r="D1189" s="216"/>
      <c r="E1189" s="216"/>
      <c r="F1189" s="216"/>
      <c r="G1189" s="216"/>
    </row>
    <row r="1190">
      <c r="A1190" s="216"/>
      <c r="B1190" s="216"/>
      <c r="C1190" s="157"/>
      <c r="D1190" s="216"/>
      <c r="E1190" s="216"/>
      <c r="F1190" s="216"/>
      <c r="G1190" s="216"/>
    </row>
    <row r="1191">
      <c r="A1191" s="216"/>
      <c r="B1191" s="216"/>
      <c r="C1191" s="157"/>
      <c r="D1191" s="216"/>
      <c r="E1191" s="216"/>
      <c r="F1191" s="216"/>
      <c r="G1191" s="216"/>
    </row>
    <row r="1192">
      <c r="A1192" s="216"/>
      <c r="B1192" s="216"/>
      <c r="C1192" s="157"/>
      <c r="D1192" s="216"/>
      <c r="E1192" s="216"/>
      <c r="F1192" s="216"/>
      <c r="G1192" s="216"/>
    </row>
    <row r="1193">
      <c r="A1193" s="216"/>
      <c r="B1193" s="216"/>
      <c r="C1193" s="157"/>
      <c r="D1193" s="216"/>
      <c r="E1193" s="216"/>
      <c r="F1193" s="216"/>
      <c r="G1193" s="216"/>
    </row>
    <row r="1194">
      <c r="A1194" s="216"/>
      <c r="B1194" s="216"/>
      <c r="C1194" s="157"/>
      <c r="D1194" s="216"/>
      <c r="E1194" s="216"/>
      <c r="F1194" s="216"/>
      <c r="G1194" s="216"/>
    </row>
    <row r="1195">
      <c r="A1195" s="216"/>
      <c r="B1195" s="216"/>
      <c r="C1195" s="157"/>
      <c r="D1195" s="216"/>
      <c r="E1195" s="216"/>
      <c r="F1195" s="216"/>
      <c r="G1195" s="216"/>
    </row>
    <row r="1196">
      <c r="A1196" s="216"/>
      <c r="B1196" s="216"/>
      <c r="C1196" s="157"/>
      <c r="D1196" s="216"/>
      <c r="E1196" s="216"/>
      <c r="F1196" s="216"/>
      <c r="G1196" s="216"/>
    </row>
    <row r="1197">
      <c r="A1197" s="216"/>
      <c r="B1197" s="216"/>
      <c r="C1197" s="157"/>
      <c r="D1197" s="216"/>
      <c r="E1197" s="216"/>
      <c r="F1197" s="216"/>
      <c r="G1197" s="216"/>
    </row>
    <row r="1198">
      <c r="A1198" s="216"/>
      <c r="B1198" s="216"/>
      <c r="C1198" s="157"/>
      <c r="D1198" s="216"/>
      <c r="E1198" s="216"/>
      <c r="F1198" s="216"/>
      <c r="G1198" s="216"/>
    </row>
    <row r="1199">
      <c r="A1199" s="216"/>
      <c r="B1199" s="216"/>
      <c r="C1199" s="157"/>
      <c r="D1199" s="216"/>
      <c r="E1199" s="216"/>
      <c r="F1199" s="216"/>
      <c r="G1199" s="216"/>
    </row>
    <row r="1200">
      <c r="A1200" s="216"/>
      <c r="B1200" s="216"/>
      <c r="C1200" s="157"/>
      <c r="D1200" s="216"/>
      <c r="E1200" s="216"/>
      <c r="F1200" s="216"/>
      <c r="G1200" s="216"/>
    </row>
    <row r="1201">
      <c r="A1201" s="216"/>
      <c r="B1201" s="216"/>
      <c r="C1201" s="157"/>
      <c r="D1201" s="216"/>
      <c r="E1201" s="216"/>
      <c r="F1201" s="216"/>
      <c r="G1201" s="216"/>
    </row>
    <row r="1202">
      <c r="A1202" s="216"/>
      <c r="B1202" s="216"/>
      <c r="C1202" s="157"/>
      <c r="D1202" s="216"/>
      <c r="E1202" s="216"/>
      <c r="F1202" s="216"/>
      <c r="G1202" s="216"/>
    </row>
    <row r="1203">
      <c r="A1203" s="216"/>
      <c r="B1203" s="216"/>
      <c r="C1203" s="157"/>
      <c r="D1203" s="216"/>
      <c r="E1203" s="216"/>
      <c r="F1203" s="216"/>
      <c r="G1203" s="216"/>
    </row>
    <row r="1204">
      <c r="A1204" s="216"/>
      <c r="B1204" s="216"/>
      <c r="C1204" s="157"/>
      <c r="D1204" s="216"/>
      <c r="E1204" s="216"/>
      <c r="F1204" s="216"/>
      <c r="G1204" s="216"/>
    </row>
    <row r="1205">
      <c r="A1205" s="216"/>
      <c r="B1205" s="216"/>
      <c r="C1205" s="157"/>
      <c r="D1205" s="216"/>
      <c r="E1205" s="216"/>
      <c r="F1205" s="216"/>
      <c r="G1205" s="216"/>
    </row>
    <row r="1206">
      <c r="A1206" s="216"/>
      <c r="B1206" s="216"/>
      <c r="C1206" s="157"/>
      <c r="D1206" s="216"/>
      <c r="E1206" s="216"/>
      <c r="F1206" s="216"/>
      <c r="G1206" s="216"/>
    </row>
    <row r="1207">
      <c r="A1207" s="216"/>
      <c r="B1207" s="216"/>
      <c r="C1207" s="157"/>
      <c r="D1207" s="216"/>
      <c r="E1207" s="216"/>
      <c r="F1207" s="216"/>
      <c r="G1207" s="216"/>
    </row>
    <row r="1208">
      <c r="A1208" s="216"/>
      <c r="B1208" s="216"/>
      <c r="C1208" s="157"/>
      <c r="D1208" s="216"/>
      <c r="E1208" s="216"/>
      <c r="F1208" s="216"/>
      <c r="G1208" s="216"/>
    </row>
    <row r="1209">
      <c r="A1209" s="216"/>
      <c r="B1209" s="216"/>
      <c r="C1209" s="157"/>
      <c r="D1209" s="216"/>
      <c r="E1209" s="216"/>
      <c r="F1209" s="216"/>
      <c r="G1209" s="216"/>
    </row>
    <row r="1210">
      <c r="A1210" s="216"/>
      <c r="B1210" s="216"/>
      <c r="C1210" s="157"/>
      <c r="D1210" s="216"/>
      <c r="E1210" s="216"/>
      <c r="F1210" s="216"/>
      <c r="G1210" s="216"/>
    </row>
    <row r="1211">
      <c r="A1211" s="216"/>
      <c r="B1211" s="216"/>
      <c r="C1211" s="157"/>
      <c r="D1211" s="216"/>
      <c r="E1211" s="216"/>
      <c r="F1211" s="216"/>
      <c r="G1211" s="216"/>
    </row>
    <row r="1212">
      <c r="A1212" s="216"/>
      <c r="B1212" s="216"/>
      <c r="C1212" s="157"/>
      <c r="D1212" s="216"/>
      <c r="E1212" s="216"/>
      <c r="F1212" s="216"/>
      <c r="G1212" s="216"/>
    </row>
    <row r="1213">
      <c r="A1213" s="216"/>
      <c r="B1213" s="216"/>
      <c r="C1213" s="157"/>
      <c r="D1213" s="216"/>
      <c r="E1213" s="216"/>
      <c r="F1213" s="216"/>
      <c r="G1213" s="216"/>
    </row>
    <row r="1214">
      <c r="A1214" s="216"/>
      <c r="B1214" s="216"/>
      <c r="C1214" s="157"/>
      <c r="D1214" s="216"/>
      <c r="E1214" s="216"/>
      <c r="F1214" s="216"/>
      <c r="G1214" s="216"/>
    </row>
    <row r="1215">
      <c r="A1215" s="216"/>
      <c r="B1215" s="216"/>
      <c r="C1215" s="157"/>
      <c r="D1215" s="216"/>
      <c r="E1215" s="216"/>
      <c r="F1215" s="216"/>
      <c r="G1215" s="216"/>
    </row>
    <row r="1216">
      <c r="A1216" s="216"/>
      <c r="B1216" s="216"/>
      <c r="C1216" s="157"/>
      <c r="D1216" s="216"/>
      <c r="E1216" s="216"/>
      <c r="F1216" s="216"/>
      <c r="G1216" s="216"/>
    </row>
    <row r="1217">
      <c r="A1217" s="216"/>
      <c r="B1217" s="216"/>
      <c r="C1217" s="157"/>
      <c r="D1217" s="216"/>
      <c r="E1217" s="216"/>
      <c r="F1217" s="216"/>
      <c r="G1217" s="216"/>
    </row>
    <row r="1218">
      <c r="A1218" s="216"/>
      <c r="B1218" s="216"/>
      <c r="C1218" s="157"/>
      <c r="D1218" s="216"/>
      <c r="E1218" s="216"/>
      <c r="F1218" s="216"/>
      <c r="G1218" s="216"/>
    </row>
    <row r="1219">
      <c r="A1219" s="216"/>
      <c r="B1219" s="216"/>
      <c r="C1219" s="157"/>
      <c r="D1219" s="216"/>
      <c r="E1219" s="216"/>
      <c r="F1219" s="216"/>
      <c r="G1219" s="216"/>
    </row>
    <row r="1220">
      <c r="A1220" s="216"/>
      <c r="B1220" s="216"/>
      <c r="C1220" s="157"/>
      <c r="D1220" s="216"/>
      <c r="E1220" s="216"/>
      <c r="F1220" s="216"/>
      <c r="G1220" s="216"/>
    </row>
    <row r="1221">
      <c r="A1221" s="216"/>
      <c r="B1221" s="216"/>
      <c r="C1221" s="157"/>
      <c r="D1221" s="216"/>
      <c r="E1221" s="216"/>
      <c r="F1221" s="216"/>
      <c r="G1221" s="216"/>
    </row>
    <row r="1222">
      <c r="A1222" s="216"/>
      <c r="B1222" s="216"/>
      <c r="C1222" s="157"/>
      <c r="D1222" s="216"/>
      <c r="E1222" s="216"/>
      <c r="F1222" s="216"/>
      <c r="G1222" s="216"/>
    </row>
    <row r="1223">
      <c r="A1223" s="216"/>
      <c r="B1223" s="216"/>
      <c r="C1223" s="157"/>
      <c r="D1223" s="216"/>
      <c r="E1223" s="216"/>
      <c r="F1223" s="216"/>
      <c r="G1223" s="216"/>
    </row>
    <row r="1224">
      <c r="A1224" s="216"/>
      <c r="B1224" s="216"/>
      <c r="C1224" s="157"/>
      <c r="D1224" s="216"/>
      <c r="E1224" s="216"/>
      <c r="F1224" s="216"/>
      <c r="G1224" s="216"/>
    </row>
    <row r="1225">
      <c r="A1225" s="216"/>
      <c r="B1225" s="216"/>
      <c r="C1225" s="157"/>
      <c r="D1225" s="216"/>
      <c r="E1225" s="216"/>
      <c r="F1225" s="216"/>
      <c r="G1225" s="216"/>
    </row>
    <row r="1226">
      <c r="A1226" s="216"/>
      <c r="B1226" s="216"/>
      <c r="C1226" s="157"/>
      <c r="D1226" s="216"/>
      <c r="E1226" s="216"/>
      <c r="F1226" s="216"/>
      <c r="G1226" s="216"/>
    </row>
    <row r="1227">
      <c r="A1227" s="216"/>
      <c r="B1227" s="216"/>
      <c r="C1227" s="157"/>
      <c r="D1227" s="216"/>
      <c r="E1227" s="216"/>
      <c r="F1227" s="216"/>
      <c r="G1227" s="216"/>
    </row>
    <row r="1228">
      <c r="A1228" s="216"/>
      <c r="B1228" s="216"/>
      <c r="C1228" s="157"/>
      <c r="D1228" s="216"/>
      <c r="E1228" s="216"/>
      <c r="F1228" s="216"/>
      <c r="G1228" s="216"/>
    </row>
    <row r="1229">
      <c r="A1229" s="216"/>
      <c r="B1229" s="216"/>
      <c r="C1229" s="157"/>
      <c r="D1229" s="216"/>
      <c r="E1229" s="216"/>
      <c r="F1229" s="216"/>
      <c r="G1229" s="216"/>
    </row>
    <row r="1230">
      <c r="A1230" s="216"/>
      <c r="B1230" s="216"/>
      <c r="C1230" s="157"/>
      <c r="D1230" s="216"/>
      <c r="E1230" s="216"/>
      <c r="F1230" s="216"/>
      <c r="G1230" s="216"/>
    </row>
    <row r="1231">
      <c r="A1231" s="216"/>
      <c r="B1231" s="216"/>
      <c r="C1231" s="157"/>
      <c r="D1231" s="216"/>
      <c r="E1231" s="216"/>
      <c r="F1231" s="216"/>
      <c r="G1231" s="216"/>
    </row>
    <row r="1232">
      <c r="A1232" s="216"/>
      <c r="B1232" s="216"/>
      <c r="C1232" s="157"/>
      <c r="D1232" s="216"/>
      <c r="E1232" s="216"/>
      <c r="F1232" s="216"/>
      <c r="G1232" s="216"/>
    </row>
    <row r="1233">
      <c r="A1233" s="216"/>
      <c r="B1233" s="216"/>
      <c r="C1233" s="157"/>
      <c r="D1233" s="216"/>
      <c r="E1233" s="216"/>
      <c r="F1233" s="216"/>
      <c r="G1233" s="216"/>
    </row>
    <row r="1234">
      <c r="A1234" s="216"/>
      <c r="B1234" s="216"/>
      <c r="C1234" s="157"/>
      <c r="D1234" s="216"/>
      <c r="E1234" s="216"/>
      <c r="F1234" s="216"/>
      <c r="G1234" s="216"/>
    </row>
    <row r="1235">
      <c r="A1235" s="216"/>
      <c r="B1235" s="216"/>
      <c r="C1235" s="157"/>
      <c r="D1235" s="216"/>
      <c r="E1235" s="216"/>
      <c r="F1235" s="216"/>
      <c r="G1235" s="216"/>
    </row>
    <row r="1236">
      <c r="A1236" s="216"/>
      <c r="B1236" s="216"/>
      <c r="C1236" s="157"/>
      <c r="D1236" s="216"/>
      <c r="E1236" s="216"/>
      <c r="F1236" s="216"/>
      <c r="G1236" s="216"/>
    </row>
    <row r="1237">
      <c r="A1237" s="216"/>
      <c r="B1237" s="216"/>
      <c r="C1237" s="157"/>
      <c r="D1237" s="216"/>
      <c r="E1237" s="216"/>
      <c r="F1237" s="216"/>
      <c r="G1237" s="216"/>
    </row>
    <row r="1238">
      <c r="A1238" s="216"/>
      <c r="B1238" s="216"/>
      <c r="C1238" s="157"/>
      <c r="D1238" s="216"/>
      <c r="E1238" s="216"/>
      <c r="F1238" s="216"/>
      <c r="G1238" s="216"/>
    </row>
    <row r="1239">
      <c r="A1239" s="216"/>
      <c r="B1239" s="216"/>
      <c r="C1239" s="157"/>
      <c r="D1239" s="216"/>
      <c r="E1239" s="216"/>
      <c r="F1239" s="216"/>
      <c r="G1239" s="216"/>
    </row>
    <row r="1240">
      <c r="A1240" s="216"/>
      <c r="B1240" s="216"/>
      <c r="C1240" s="157"/>
      <c r="D1240" s="216"/>
      <c r="E1240" s="216"/>
      <c r="F1240" s="216"/>
      <c r="G1240" s="216"/>
    </row>
    <row r="1241">
      <c r="A1241" s="216"/>
      <c r="B1241" s="216"/>
      <c r="C1241" s="157"/>
      <c r="D1241" s="216"/>
      <c r="E1241" s="216"/>
      <c r="F1241" s="216"/>
      <c r="G1241" s="216"/>
    </row>
    <row r="1242">
      <c r="A1242" s="216"/>
      <c r="B1242" s="216"/>
      <c r="C1242" s="157"/>
      <c r="D1242" s="216"/>
      <c r="E1242" s="216"/>
      <c r="F1242" s="216"/>
      <c r="G1242" s="216"/>
    </row>
    <row r="1243">
      <c r="A1243" s="216"/>
      <c r="B1243" s="216"/>
      <c r="C1243" s="157"/>
      <c r="D1243" s="216"/>
      <c r="E1243" s="216"/>
      <c r="F1243" s="216"/>
      <c r="G1243" s="216"/>
    </row>
    <row r="1244">
      <c r="A1244" s="216"/>
      <c r="B1244" s="216"/>
      <c r="C1244" s="157"/>
      <c r="D1244" s="216"/>
      <c r="E1244" s="216"/>
      <c r="F1244" s="216"/>
      <c r="G1244" s="216"/>
    </row>
    <row r="1245">
      <c r="A1245" s="216"/>
      <c r="B1245" s="216"/>
      <c r="C1245" s="157"/>
      <c r="D1245" s="216"/>
      <c r="E1245" s="216"/>
      <c r="F1245" s="216"/>
      <c r="G1245" s="216"/>
    </row>
    <row r="1246">
      <c r="A1246" s="216"/>
      <c r="B1246" s="216"/>
      <c r="C1246" s="157"/>
      <c r="D1246" s="216"/>
      <c r="E1246" s="216"/>
      <c r="F1246" s="216"/>
      <c r="G1246" s="216"/>
    </row>
    <row r="1247">
      <c r="A1247" s="216"/>
      <c r="B1247" s="216"/>
      <c r="C1247" s="157"/>
      <c r="D1247" s="216"/>
      <c r="E1247" s="216"/>
      <c r="F1247" s="216"/>
      <c r="G1247" s="216"/>
    </row>
    <row r="1248">
      <c r="A1248" s="216"/>
      <c r="B1248" s="216"/>
      <c r="C1248" s="157"/>
      <c r="D1248" s="216"/>
      <c r="E1248" s="216"/>
      <c r="F1248" s="216"/>
      <c r="G1248" s="216"/>
    </row>
    <row r="1249">
      <c r="A1249" s="216"/>
      <c r="B1249" s="216"/>
      <c r="C1249" s="157"/>
      <c r="D1249" s="216"/>
      <c r="E1249" s="216"/>
      <c r="F1249" s="216"/>
      <c r="G1249" s="216"/>
    </row>
    <row r="1250">
      <c r="A1250" s="216"/>
      <c r="B1250" s="216"/>
      <c r="C1250" s="157"/>
      <c r="D1250" s="216"/>
      <c r="E1250" s="216"/>
      <c r="F1250" s="216"/>
      <c r="G1250" s="216"/>
    </row>
    <row r="1251">
      <c r="A1251" s="216"/>
      <c r="B1251" s="216"/>
      <c r="C1251" s="157"/>
      <c r="D1251" s="216"/>
      <c r="E1251" s="216"/>
      <c r="F1251" s="216"/>
      <c r="G1251" s="216"/>
    </row>
    <row r="1252">
      <c r="A1252" s="216"/>
      <c r="B1252" s="216"/>
      <c r="C1252" s="157"/>
      <c r="D1252" s="216"/>
      <c r="E1252" s="216"/>
      <c r="F1252" s="216"/>
      <c r="G1252" s="216"/>
    </row>
    <row r="1253">
      <c r="A1253" s="216"/>
      <c r="B1253" s="216"/>
      <c r="C1253" s="157"/>
      <c r="D1253" s="216"/>
      <c r="E1253" s="216"/>
      <c r="F1253" s="216"/>
      <c r="G1253" s="216"/>
    </row>
    <row r="1254">
      <c r="A1254" s="216"/>
      <c r="B1254" s="216"/>
      <c r="C1254" s="157"/>
      <c r="D1254" s="216"/>
      <c r="E1254" s="216"/>
      <c r="F1254" s="216"/>
      <c r="G1254" s="216"/>
    </row>
    <row r="1255">
      <c r="A1255" s="216"/>
      <c r="B1255" s="216"/>
      <c r="C1255" s="157"/>
      <c r="D1255" s="216"/>
      <c r="E1255" s="216"/>
      <c r="F1255" s="216"/>
      <c r="G1255" s="216"/>
    </row>
    <row r="1256">
      <c r="A1256" s="216"/>
      <c r="B1256" s="216"/>
      <c r="C1256" s="157"/>
      <c r="D1256" s="216"/>
      <c r="E1256" s="216"/>
      <c r="F1256" s="216"/>
      <c r="G1256" s="216"/>
    </row>
    <row r="1257">
      <c r="A1257" s="216"/>
      <c r="B1257" s="216"/>
      <c r="C1257" s="157"/>
      <c r="D1257" s="216"/>
      <c r="E1257" s="216"/>
      <c r="F1257" s="216"/>
      <c r="G1257" s="216"/>
    </row>
    <row r="1258">
      <c r="A1258" s="216"/>
      <c r="B1258" s="216"/>
      <c r="C1258" s="157"/>
      <c r="D1258" s="216"/>
      <c r="E1258" s="216"/>
      <c r="F1258" s="216"/>
      <c r="G1258" s="216"/>
    </row>
    <row r="1259">
      <c r="A1259" s="216"/>
      <c r="B1259" s="216"/>
      <c r="C1259" s="157"/>
      <c r="D1259" s="216"/>
      <c r="E1259" s="216"/>
      <c r="F1259" s="216"/>
      <c r="G1259" s="216"/>
    </row>
    <row r="1260">
      <c r="A1260" s="216"/>
      <c r="B1260" s="216"/>
      <c r="C1260" s="157"/>
      <c r="D1260" s="216"/>
      <c r="E1260" s="216"/>
      <c r="F1260" s="216"/>
      <c r="G1260" s="216"/>
    </row>
    <row r="1261">
      <c r="A1261" s="216"/>
      <c r="B1261" s="216"/>
      <c r="C1261" s="157"/>
      <c r="D1261" s="216"/>
      <c r="E1261" s="216"/>
      <c r="F1261" s="216"/>
      <c r="G1261" s="216"/>
    </row>
    <row r="1262">
      <c r="A1262" s="216"/>
      <c r="B1262" s="216"/>
      <c r="C1262" s="157"/>
      <c r="D1262" s="216"/>
      <c r="E1262" s="216"/>
      <c r="F1262" s="216"/>
      <c r="G1262" s="216"/>
    </row>
    <row r="1263">
      <c r="A1263" s="216"/>
      <c r="B1263" s="216"/>
      <c r="C1263" s="157"/>
      <c r="D1263" s="216"/>
      <c r="E1263" s="216"/>
      <c r="F1263" s="216"/>
      <c r="G1263" s="216"/>
    </row>
    <row r="1264">
      <c r="A1264" s="216"/>
      <c r="B1264" s="216"/>
      <c r="C1264" s="157"/>
      <c r="D1264" s="216"/>
      <c r="E1264" s="216"/>
      <c r="F1264" s="216"/>
      <c r="G1264" s="216"/>
    </row>
    <row r="1265">
      <c r="A1265" s="216"/>
      <c r="B1265" s="216"/>
      <c r="C1265" s="157"/>
      <c r="D1265" s="216"/>
      <c r="E1265" s="216"/>
      <c r="F1265" s="216"/>
      <c r="G1265" s="216"/>
    </row>
    <row r="1266">
      <c r="A1266" s="216"/>
      <c r="B1266" s="216"/>
      <c r="C1266" s="157"/>
      <c r="D1266" s="216"/>
      <c r="E1266" s="216"/>
      <c r="F1266" s="216"/>
      <c r="G1266" s="216"/>
    </row>
    <row r="1267">
      <c r="A1267" s="216"/>
      <c r="B1267" s="216"/>
      <c r="C1267" s="157"/>
      <c r="D1267" s="216"/>
      <c r="E1267" s="216"/>
      <c r="F1267" s="216"/>
      <c r="G1267" s="216"/>
    </row>
    <row r="1268">
      <c r="A1268" s="216"/>
      <c r="B1268" s="216"/>
      <c r="C1268" s="157"/>
      <c r="D1268" s="216"/>
      <c r="E1268" s="216"/>
      <c r="F1268" s="216"/>
      <c r="G1268" s="216"/>
    </row>
    <row r="1269">
      <c r="A1269" s="216"/>
      <c r="B1269" s="216"/>
      <c r="C1269" s="157"/>
      <c r="D1269" s="216"/>
      <c r="E1269" s="216"/>
      <c r="F1269" s="216"/>
      <c r="G1269" s="216"/>
    </row>
    <row r="1270">
      <c r="A1270" s="216"/>
      <c r="B1270" s="216"/>
      <c r="C1270" s="157"/>
      <c r="D1270" s="216"/>
      <c r="E1270" s="216"/>
      <c r="F1270" s="216"/>
      <c r="G1270" s="216"/>
    </row>
    <row r="1271">
      <c r="A1271" s="216"/>
      <c r="B1271" s="216"/>
      <c r="C1271" s="157"/>
      <c r="D1271" s="216"/>
      <c r="E1271" s="216"/>
      <c r="F1271" s="216"/>
      <c r="G1271" s="216"/>
    </row>
    <row r="1272">
      <c r="A1272" s="216"/>
      <c r="B1272" s="216"/>
      <c r="C1272" s="157"/>
      <c r="D1272" s="216"/>
      <c r="E1272" s="216"/>
      <c r="F1272" s="216"/>
      <c r="G1272" s="216"/>
    </row>
    <row r="1273">
      <c r="A1273" s="216"/>
      <c r="B1273" s="216"/>
      <c r="C1273" s="157"/>
      <c r="D1273" s="216"/>
      <c r="E1273" s="216"/>
      <c r="F1273" s="216"/>
      <c r="G1273" s="216"/>
    </row>
    <row r="1274">
      <c r="A1274" s="216"/>
      <c r="B1274" s="216"/>
      <c r="C1274" s="157"/>
      <c r="D1274" s="216"/>
      <c r="E1274" s="216"/>
      <c r="F1274" s="216"/>
      <c r="G1274" s="216"/>
    </row>
    <row r="1275">
      <c r="A1275" s="216"/>
      <c r="B1275" s="216"/>
      <c r="C1275" s="157"/>
      <c r="D1275" s="216"/>
      <c r="E1275" s="216"/>
      <c r="F1275" s="216"/>
      <c r="G1275" s="216"/>
    </row>
    <row r="1276">
      <c r="A1276" s="216"/>
      <c r="B1276" s="216"/>
      <c r="C1276" s="157"/>
      <c r="D1276" s="216"/>
      <c r="E1276" s="216"/>
      <c r="F1276" s="216"/>
      <c r="G1276" s="216"/>
    </row>
    <row r="1277">
      <c r="A1277" s="216"/>
      <c r="B1277" s="216"/>
      <c r="C1277" s="157"/>
      <c r="D1277" s="216"/>
      <c r="E1277" s="216"/>
      <c r="F1277" s="216"/>
      <c r="G1277" s="216"/>
    </row>
    <row r="1278">
      <c r="A1278" s="216"/>
      <c r="B1278" s="216"/>
      <c r="C1278" s="157"/>
      <c r="D1278" s="216"/>
      <c r="E1278" s="216"/>
      <c r="F1278" s="216"/>
      <c r="G1278" s="216"/>
    </row>
    <row r="1279">
      <c r="A1279" s="216"/>
      <c r="B1279" s="216"/>
      <c r="C1279" s="157"/>
      <c r="D1279" s="216"/>
      <c r="E1279" s="216"/>
      <c r="F1279" s="216"/>
      <c r="G1279" s="216"/>
    </row>
    <row r="1280">
      <c r="A1280" s="216"/>
      <c r="B1280" s="216"/>
      <c r="C1280" s="157"/>
      <c r="D1280" s="216"/>
      <c r="E1280" s="216"/>
      <c r="F1280" s="216"/>
      <c r="G1280" s="216"/>
    </row>
    <row r="1281">
      <c r="A1281" s="216"/>
      <c r="B1281" s="216"/>
      <c r="C1281" s="157"/>
      <c r="D1281" s="216"/>
      <c r="E1281" s="216"/>
      <c r="F1281" s="216"/>
      <c r="G1281" s="216"/>
    </row>
    <row r="1282">
      <c r="A1282" s="216"/>
      <c r="B1282" s="216"/>
      <c r="C1282" s="157"/>
      <c r="D1282" s="216"/>
      <c r="E1282" s="216"/>
      <c r="F1282" s="216"/>
      <c r="G1282" s="216"/>
    </row>
    <row r="1283">
      <c r="A1283" s="216"/>
      <c r="B1283" s="216"/>
      <c r="C1283" s="157"/>
      <c r="D1283" s="216"/>
      <c r="E1283" s="216"/>
      <c r="F1283" s="216"/>
      <c r="G1283" s="216"/>
    </row>
    <row r="1284">
      <c r="A1284" s="216"/>
      <c r="B1284" s="216"/>
      <c r="C1284" s="157"/>
      <c r="D1284" s="216"/>
      <c r="E1284" s="216"/>
      <c r="F1284" s="216"/>
      <c r="G1284" s="216"/>
    </row>
    <row r="1285">
      <c r="A1285" s="216"/>
      <c r="B1285" s="216"/>
      <c r="C1285" s="157"/>
      <c r="D1285" s="216"/>
      <c r="E1285" s="216"/>
      <c r="F1285" s="216"/>
      <c r="G1285" s="216"/>
    </row>
    <row r="1286">
      <c r="A1286" s="216"/>
      <c r="B1286" s="216"/>
      <c r="C1286" s="157"/>
      <c r="D1286" s="216"/>
      <c r="E1286" s="216"/>
      <c r="F1286" s="216"/>
      <c r="G1286" s="216"/>
    </row>
    <row r="1287">
      <c r="A1287" s="216"/>
      <c r="B1287" s="216"/>
      <c r="C1287" s="157"/>
      <c r="D1287" s="216"/>
      <c r="E1287" s="216"/>
      <c r="F1287" s="216"/>
      <c r="G1287" s="216"/>
    </row>
    <row r="1288">
      <c r="A1288" s="216"/>
      <c r="B1288" s="216"/>
      <c r="C1288" s="157"/>
      <c r="D1288" s="216"/>
      <c r="E1288" s="216"/>
      <c r="F1288" s="216"/>
      <c r="G1288" s="216"/>
    </row>
    <row r="1289">
      <c r="A1289" s="216"/>
      <c r="B1289" s="216"/>
      <c r="C1289" s="157"/>
      <c r="D1289" s="216"/>
      <c r="E1289" s="216"/>
      <c r="F1289" s="216"/>
      <c r="G1289" s="216"/>
    </row>
    <row r="1290">
      <c r="A1290" s="216"/>
      <c r="B1290" s="216"/>
      <c r="C1290" s="157"/>
      <c r="D1290" s="216"/>
      <c r="E1290" s="216"/>
      <c r="F1290" s="216"/>
      <c r="G1290" s="216"/>
    </row>
    <row r="1291">
      <c r="A1291" s="216"/>
      <c r="B1291" s="216"/>
      <c r="C1291" s="157"/>
      <c r="D1291" s="216"/>
      <c r="E1291" s="216"/>
      <c r="F1291" s="216"/>
      <c r="G1291" s="216"/>
    </row>
    <row r="1292">
      <c r="A1292" s="216"/>
      <c r="B1292" s="216"/>
      <c r="C1292" s="157"/>
      <c r="D1292" s="216"/>
      <c r="E1292" s="216"/>
      <c r="F1292" s="216"/>
      <c r="G1292" s="216"/>
    </row>
    <row r="1293">
      <c r="A1293" s="216"/>
      <c r="B1293" s="216"/>
      <c r="C1293" s="157"/>
      <c r="D1293" s="216"/>
      <c r="E1293" s="216"/>
      <c r="F1293" s="216"/>
      <c r="G1293" s="216"/>
    </row>
    <row r="1294">
      <c r="A1294" s="216"/>
      <c r="B1294" s="216"/>
      <c r="C1294" s="157"/>
      <c r="D1294" s="216"/>
      <c r="E1294" s="216"/>
      <c r="F1294" s="216"/>
      <c r="G1294" s="216"/>
    </row>
    <row r="1295">
      <c r="A1295" s="216"/>
      <c r="B1295" s="216"/>
      <c r="C1295" s="157"/>
      <c r="D1295" s="216"/>
      <c r="E1295" s="216"/>
      <c r="F1295" s="216"/>
      <c r="G1295" s="216"/>
    </row>
    <row r="1296">
      <c r="A1296" s="216"/>
      <c r="B1296" s="216"/>
      <c r="C1296" s="157"/>
      <c r="D1296" s="216"/>
      <c r="E1296" s="216"/>
      <c r="F1296" s="216"/>
      <c r="G1296" s="216"/>
    </row>
    <row r="1297">
      <c r="A1297" s="216"/>
      <c r="B1297" s="216"/>
      <c r="C1297" s="157"/>
      <c r="D1297" s="216"/>
      <c r="E1297" s="216"/>
      <c r="F1297" s="216"/>
      <c r="G1297" s="216"/>
    </row>
    <row r="1298">
      <c r="A1298" s="216"/>
      <c r="B1298" s="216"/>
      <c r="C1298" s="157"/>
      <c r="D1298" s="216"/>
      <c r="E1298" s="216"/>
      <c r="F1298" s="216"/>
      <c r="G1298" s="216"/>
    </row>
    <row r="1299">
      <c r="A1299" s="216"/>
      <c r="B1299" s="216"/>
      <c r="C1299" s="157"/>
      <c r="D1299" s="216"/>
      <c r="E1299" s="216"/>
      <c r="F1299" s="216"/>
      <c r="G1299" s="216"/>
    </row>
    <row r="1300">
      <c r="A1300" s="216"/>
      <c r="B1300" s="216"/>
      <c r="C1300" s="157"/>
      <c r="D1300" s="216"/>
      <c r="E1300" s="216"/>
      <c r="F1300" s="216"/>
      <c r="G1300" s="216"/>
    </row>
    <row r="1301">
      <c r="A1301" s="216"/>
      <c r="B1301" s="216"/>
      <c r="C1301" s="157"/>
      <c r="D1301" s="216"/>
      <c r="E1301" s="216"/>
      <c r="F1301" s="216"/>
      <c r="G1301" s="216"/>
    </row>
    <row r="1302">
      <c r="A1302" s="216"/>
      <c r="B1302" s="216"/>
      <c r="C1302" s="157"/>
      <c r="D1302" s="216"/>
      <c r="E1302" s="216"/>
      <c r="F1302" s="216"/>
      <c r="G1302" s="216"/>
    </row>
    <row r="1303">
      <c r="A1303" s="216"/>
      <c r="B1303" s="216"/>
      <c r="C1303" s="157"/>
      <c r="D1303" s="216"/>
      <c r="E1303" s="216"/>
      <c r="F1303" s="216"/>
      <c r="G1303" s="216"/>
    </row>
    <row r="1304">
      <c r="A1304" s="216"/>
      <c r="B1304" s="216"/>
      <c r="C1304" s="157"/>
      <c r="D1304" s="216"/>
      <c r="E1304" s="216"/>
      <c r="F1304" s="216"/>
      <c r="G1304" s="216"/>
    </row>
    <row r="1305">
      <c r="A1305" s="216"/>
      <c r="B1305" s="216"/>
      <c r="C1305" s="157"/>
      <c r="D1305" s="216"/>
      <c r="E1305" s="216"/>
      <c r="F1305" s="216"/>
      <c r="G1305" s="216"/>
    </row>
    <row r="1306">
      <c r="A1306" s="216"/>
      <c r="B1306" s="216"/>
      <c r="C1306" s="157"/>
      <c r="D1306" s="216"/>
      <c r="E1306" s="216"/>
      <c r="F1306" s="216"/>
      <c r="G1306" s="216"/>
    </row>
    <row r="1307">
      <c r="A1307" s="216"/>
      <c r="B1307" s="216"/>
      <c r="C1307" s="157"/>
      <c r="D1307" s="216"/>
      <c r="E1307" s="216"/>
      <c r="F1307" s="216"/>
      <c r="G1307" s="216"/>
    </row>
    <row r="1308">
      <c r="A1308" s="216"/>
      <c r="B1308" s="216"/>
      <c r="C1308" s="157"/>
      <c r="D1308" s="216"/>
      <c r="E1308" s="216"/>
      <c r="F1308" s="216"/>
      <c r="G1308" s="216"/>
    </row>
    <row r="1309">
      <c r="A1309" s="216"/>
      <c r="B1309" s="216"/>
      <c r="C1309" s="157"/>
      <c r="D1309" s="216"/>
      <c r="E1309" s="216"/>
      <c r="F1309" s="216"/>
      <c r="G1309" s="216"/>
    </row>
    <row r="1310">
      <c r="A1310" s="216"/>
      <c r="B1310" s="216"/>
      <c r="C1310" s="157"/>
      <c r="D1310" s="216"/>
      <c r="E1310" s="216"/>
      <c r="F1310" s="216"/>
      <c r="G1310" s="216"/>
    </row>
    <row r="1311">
      <c r="A1311" s="216"/>
      <c r="B1311" s="216"/>
      <c r="C1311" s="157"/>
      <c r="D1311" s="216"/>
      <c r="E1311" s="216"/>
      <c r="F1311" s="216"/>
      <c r="G1311" s="216"/>
    </row>
    <row r="1312">
      <c r="A1312" s="216"/>
      <c r="B1312" s="216"/>
      <c r="C1312" s="157"/>
      <c r="D1312" s="216"/>
      <c r="E1312" s="216"/>
      <c r="F1312" s="216"/>
      <c r="G1312" s="216"/>
    </row>
    <row r="1313">
      <c r="A1313" s="216"/>
      <c r="B1313" s="216"/>
      <c r="C1313" s="157"/>
      <c r="D1313" s="216"/>
      <c r="E1313" s="216"/>
      <c r="F1313" s="216"/>
      <c r="G1313" s="216"/>
    </row>
    <row r="1314">
      <c r="A1314" s="216"/>
      <c r="B1314" s="216"/>
      <c r="C1314" s="157"/>
      <c r="D1314" s="216"/>
      <c r="E1314" s="216"/>
      <c r="F1314" s="216"/>
      <c r="G1314" s="216"/>
    </row>
    <row r="1315">
      <c r="A1315" s="216"/>
      <c r="B1315" s="216"/>
      <c r="C1315" s="157"/>
      <c r="D1315" s="216"/>
      <c r="E1315" s="216"/>
      <c r="F1315" s="216"/>
      <c r="G1315" s="216"/>
    </row>
    <row r="1316">
      <c r="A1316" s="216"/>
      <c r="B1316" s="216"/>
      <c r="C1316" s="157"/>
      <c r="D1316" s="216"/>
      <c r="E1316" s="216"/>
      <c r="F1316" s="216"/>
      <c r="G1316" s="216"/>
    </row>
    <row r="1317">
      <c r="A1317" s="216"/>
      <c r="B1317" s="216"/>
      <c r="C1317" s="157"/>
      <c r="D1317" s="216"/>
      <c r="E1317" s="216"/>
      <c r="F1317" s="216"/>
      <c r="G1317" s="216"/>
    </row>
    <row r="1318">
      <c r="A1318" s="216"/>
      <c r="B1318" s="216"/>
      <c r="C1318" s="157"/>
      <c r="D1318" s="216"/>
      <c r="E1318" s="216"/>
      <c r="F1318" s="216"/>
      <c r="G1318" s="216"/>
    </row>
    <row r="1319">
      <c r="A1319" s="216"/>
      <c r="B1319" s="216"/>
      <c r="C1319" s="157"/>
      <c r="D1319" s="216"/>
      <c r="E1319" s="216"/>
      <c r="F1319" s="216"/>
      <c r="G1319" s="216"/>
    </row>
    <row r="1320">
      <c r="A1320" s="216"/>
      <c r="B1320" s="216"/>
      <c r="C1320" s="157"/>
      <c r="D1320" s="216"/>
      <c r="E1320" s="216"/>
      <c r="F1320" s="216"/>
      <c r="G1320" s="216"/>
    </row>
    <row r="1321">
      <c r="A1321" s="216"/>
      <c r="B1321" s="216"/>
      <c r="C1321" s="157"/>
      <c r="D1321" s="216"/>
      <c r="E1321" s="216"/>
      <c r="F1321" s="216"/>
      <c r="G1321" s="216"/>
    </row>
    <row r="1322">
      <c r="A1322" s="216"/>
      <c r="B1322" s="216"/>
      <c r="C1322" s="157"/>
      <c r="D1322" s="216"/>
      <c r="E1322" s="216"/>
      <c r="F1322" s="216"/>
      <c r="G1322" s="216"/>
    </row>
    <row r="1323">
      <c r="A1323" s="216"/>
      <c r="B1323" s="216"/>
      <c r="C1323" s="157"/>
      <c r="D1323" s="216"/>
      <c r="E1323" s="216"/>
      <c r="F1323" s="216"/>
      <c r="G1323" s="216"/>
    </row>
    <row r="1324">
      <c r="A1324" s="216"/>
      <c r="B1324" s="216"/>
      <c r="C1324" s="157"/>
      <c r="D1324" s="216"/>
      <c r="E1324" s="216"/>
      <c r="F1324" s="216"/>
      <c r="G1324" s="216"/>
    </row>
    <row r="1325">
      <c r="A1325" s="216"/>
      <c r="B1325" s="216"/>
      <c r="C1325" s="157"/>
      <c r="D1325" s="216"/>
      <c r="E1325" s="216"/>
      <c r="F1325" s="216"/>
      <c r="G1325" s="216"/>
    </row>
    <row r="1326">
      <c r="A1326" s="216"/>
      <c r="B1326" s="216"/>
      <c r="C1326" s="157"/>
      <c r="D1326" s="216"/>
      <c r="E1326" s="216"/>
      <c r="F1326" s="216"/>
      <c r="G1326" s="216"/>
    </row>
    <row r="1327">
      <c r="A1327" s="216"/>
      <c r="B1327" s="216"/>
      <c r="C1327" s="157"/>
      <c r="D1327" s="216"/>
      <c r="E1327" s="216"/>
      <c r="F1327" s="216"/>
      <c r="G1327" s="216"/>
    </row>
    <row r="1328">
      <c r="A1328" s="216"/>
      <c r="B1328" s="216"/>
      <c r="C1328" s="157"/>
      <c r="D1328" s="216"/>
      <c r="E1328" s="216"/>
      <c r="F1328" s="216"/>
      <c r="G1328" s="216"/>
    </row>
    <row r="1329">
      <c r="A1329" s="216"/>
      <c r="B1329" s="216"/>
      <c r="C1329" s="157"/>
      <c r="D1329" s="216"/>
      <c r="E1329" s="216"/>
      <c r="F1329" s="216"/>
      <c r="G1329" s="216"/>
    </row>
    <row r="1330">
      <c r="A1330" s="216"/>
      <c r="B1330" s="216"/>
      <c r="C1330" s="157"/>
      <c r="D1330" s="216"/>
      <c r="E1330" s="216"/>
      <c r="F1330" s="216"/>
      <c r="G1330" s="216"/>
    </row>
    <row r="1331">
      <c r="A1331" s="216"/>
      <c r="B1331" s="216"/>
      <c r="C1331" s="157"/>
      <c r="D1331" s="216"/>
      <c r="E1331" s="216"/>
      <c r="F1331" s="216"/>
      <c r="G1331" s="216"/>
    </row>
    <row r="1332">
      <c r="A1332" s="216"/>
      <c r="B1332" s="216"/>
      <c r="C1332" s="157"/>
      <c r="D1332" s="216"/>
      <c r="E1332" s="216"/>
      <c r="F1332" s="216"/>
      <c r="G1332" s="216"/>
    </row>
    <row r="1333">
      <c r="A1333" s="216"/>
      <c r="B1333" s="216"/>
      <c r="C1333" s="157"/>
      <c r="D1333" s="216"/>
      <c r="E1333" s="216"/>
      <c r="F1333" s="216"/>
      <c r="G1333" s="216"/>
    </row>
    <row r="1334">
      <c r="A1334" s="216"/>
      <c r="B1334" s="216"/>
      <c r="C1334" s="157"/>
      <c r="D1334" s="216"/>
      <c r="E1334" s="216"/>
      <c r="F1334" s="216"/>
      <c r="G1334" s="216"/>
    </row>
    <row r="1335">
      <c r="A1335" s="216"/>
      <c r="B1335" s="216"/>
      <c r="C1335" s="157"/>
      <c r="D1335" s="216"/>
      <c r="E1335" s="216"/>
      <c r="F1335" s="216"/>
      <c r="G1335" s="216"/>
    </row>
    <row r="1336">
      <c r="A1336" s="216"/>
      <c r="B1336" s="216"/>
      <c r="C1336" s="157"/>
      <c r="D1336" s="216"/>
      <c r="E1336" s="216"/>
      <c r="F1336" s="216"/>
      <c r="G1336" s="216"/>
    </row>
    <row r="1337">
      <c r="A1337" s="216"/>
      <c r="B1337" s="216"/>
      <c r="C1337" s="157"/>
      <c r="D1337" s="216"/>
      <c r="E1337" s="216"/>
      <c r="F1337" s="216"/>
      <c r="G1337" s="216"/>
    </row>
    <row r="1338">
      <c r="A1338" s="216"/>
      <c r="B1338" s="216"/>
      <c r="C1338" s="157"/>
      <c r="D1338" s="216"/>
      <c r="E1338" s="216"/>
      <c r="F1338" s="216"/>
      <c r="G1338" s="216"/>
    </row>
    <row r="1339">
      <c r="A1339" s="216"/>
      <c r="B1339" s="216"/>
      <c r="C1339" s="157"/>
      <c r="D1339" s="216"/>
      <c r="E1339" s="216"/>
      <c r="F1339" s="216"/>
      <c r="G1339" s="216"/>
    </row>
    <row r="1340">
      <c r="A1340" s="216"/>
      <c r="B1340" s="216"/>
      <c r="C1340" s="157"/>
      <c r="D1340" s="216"/>
      <c r="E1340" s="216"/>
      <c r="F1340" s="216"/>
      <c r="G1340" s="216"/>
    </row>
    <row r="1341">
      <c r="A1341" s="216"/>
      <c r="B1341" s="216"/>
      <c r="C1341" s="157"/>
      <c r="D1341" s="216"/>
      <c r="E1341" s="216"/>
      <c r="F1341" s="216"/>
      <c r="G1341" s="216"/>
    </row>
    <row r="1342">
      <c r="A1342" s="216"/>
      <c r="B1342" s="216"/>
      <c r="C1342" s="157"/>
      <c r="D1342" s="216"/>
      <c r="E1342" s="216"/>
      <c r="F1342" s="216"/>
      <c r="G1342" s="216"/>
    </row>
    <row r="1343">
      <c r="A1343" s="216"/>
      <c r="B1343" s="216"/>
      <c r="C1343" s="157"/>
      <c r="D1343" s="216"/>
      <c r="E1343" s="216"/>
      <c r="F1343" s="216"/>
      <c r="G1343" s="216"/>
    </row>
    <row r="1344">
      <c r="A1344" s="216"/>
      <c r="B1344" s="216"/>
      <c r="C1344" s="157"/>
      <c r="D1344" s="216"/>
      <c r="E1344" s="216"/>
      <c r="F1344" s="216"/>
      <c r="G1344" s="216"/>
    </row>
    <row r="1345">
      <c r="A1345" s="216"/>
      <c r="B1345" s="216"/>
      <c r="C1345" s="157"/>
      <c r="D1345" s="216"/>
      <c r="E1345" s="216"/>
      <c r="F1345" s="216"/>
      <c r="G1345" s="216"/>
    </row>
    <row r="1346">
      <c r="A1346" s="216"/>
      <c r="B1346" s="216"/>
      <c r="C1346" s="157"/>
      <c r="D1346" s="216"/>
      <c r="E1346" s="216"/>
      <c r="F1346" s="216"/>
      <c r="G1346" s="216"/>
    </row>
    <row r="1347">
      <c r="A1347" s="216"/>
      <c r="B1347" s="216"/>
      <c r="C1347" s="157"/>
      <c r="D1347" s="216"/>
      <c r="E1347" s="216"/>
      <c r="F1347" s="216"/>
      <c r="G1347" s="216"/>
    </row>
    <row r="1348">
      <c r="A1348" s="216"/>
      <c r="B1348" s="216"/>
      <c r="C1348" s="157"/>
      <c r="D1348" s="216"/>
      <c r="E1348" s="216"/>
      <c r="F1348" s="216"/>
      <c r="G1348" s="216"/>
    </row>
    <row r="1349">
      <c r="A1349" s="216"/>
      <c r="B1349" s="216"/>
      <c r="C1349" s="157"/>
      <c r="D1349" s="216"/>
      <c r="E1349" s="216"/>
      <c r="F1349" s="216"/>
      <c r="G1349" s="216"/>
    </row>
    <row r="1350">
      <c r="A1350" s="216"/>
      <c r="B1350" s="216"/>
      <c r="C1350" s="157"/>
      <c r="D1350" s="216"/>
      <c r="E1350" s="216"/>
      <c r="F1350" s="216"/>
      <c r="G1350" s="216"/>
    </row>
    <row r="1351">
      <c r="A1351" s="216"/>
      <c r="B1351" s="216"/>
      <c r="C1351" s="157"/>
      <c r="D1351" s="216"/>
      <c r="E1351" s="216"/>
      <c r="F1351" s="216"/>
      <c r="G1351" s="216"/>
    </row>
    <row r="1352">
      <c r="A1352" s="216"/>
      <c r="B1352" s="216"/>
      <c r="C1352" s="157"/>
      <c r="D1352" s="216"/>
      <c r="E1352" s="216"/>
      <c r="F1352" s="216"/>
      <c r="G1352" s="216"/>
    </row>
    <row r="1353">
      <c r="A1353" s="216"/>
      <c r="B1353" s="216"/>
      <c r="C1353" s="157"/>
      <c r="D1353" s="216"/>
      <c r="E1353" s="216"/>
      <c r="F1353" s="216"/>
      <c r="G1353" s="216"/>
    </row>
    <row r="1354">
      <c r="A1354" s="216"/>
      <c r="B1354" s="216"/>
      <c r="C1354" s="157"/>
      <c r="D1354" s="216"/>
      <c r="E1354" s="216"/>
      <c r="F1354" s="216"/>
      <c r="G1354" s="216"/>
    </row>
    <row r="1355">
      <c r="A1355" s="216"/>
      <c r="B1355" s="216"/>
      <c r="C1355" s="157"/>
      <c r="D1355" s="216"/>
      <c r="E1355" s="216"/>
      <c r="F1355" s="216"/>
      <c r="G1355" s="216"/>
    </row>
    <row r="1356">
      <c r="A1356" s="216"/>
      <c r="B1356" s="216"/>
      <c r="C1356" s="157"/>
      <c r="D1356" s="216"/>
      <c r="E1356" s="216"/>
      <c r="F1356" s="216"/>
      <c r="G1356" s="216"/>
    </row>
    <row r="1357">
      <c r="A1357" s="216"/>
      <c r="B1357" s="216"/>
      <c r="C1357" s="157"/>
      <c r="D1357" s="216"/>
      <c r="E1357" s="216"/>
      <c r="F1357" s="216"/>
      <c r="G1357" s="216"/>
    </row>
    <row r="1358">
      <c r="A1358" s="216"/>
      <c r="B1358" s="216"/>
      <c r="C1358" s="157"/>
      <c r="D1358" s="216"/>
      <c r="E1358" s="216"/>
      <c r="F1358" s="216"/>
      <c r="G1358" s="216"/>
    </row>
    <row r="1359">
      <c r="A1359" s="216"/>
      <c r="B1359" s="216"/>
      <c r="C1359" s="157"/>
      <c r="D1359" s="216"/>
      <c r="E1359" s="216"/>
      <c r="F1359" s="216"/>
      <c r="G1359" s="216"/>
    </row>
    <row r="1360">
      <c r="A1360" s="216"/>
      <c r="B1360" s="216"/>
      <c r="C1360" s="157"/>
      <c r="D1360" s="216"/>
      <c r="E1360" s="216"/>
      <c r="F1360" s="216"/>
      <c r="G1360" s="216"/>
    </row>
    <row r="1361">
      <c r="A1361" s="216"/>
      <c r="B1361" s="216"/>
      <c r="C1361" s="157"/>
      <c r="D1361" s="216"/>
      <c r="E1361" s="216"/>
      <c r="F1361" s="216"/>
      <c r="G1361" s="216"/>
    </row>
    <row r="1362">
      <c r="A1362" s="216"/>
      <c r="B1362" s="216"/>
      <c r="C1362" s="157"/>
      <c r="D1362" s="216"/>
      <c r="E1362" s="216"/>
      <c r="F1362" s="216"/>
      <c r="G1362" s="216"/>
    </row>
    <row r="1363">
      <c r="A1363" s="216"/>
      <c r="B1363" s="216"/>
      <c r="C1363" s="157"/>
      <c r="D1363" s="216"/>
      <c r="E1363" s="216"/>
      <c r="F1363" s="216"/>
      <c r="G1363" s="216"/>
    </row>
    <row r="1364">
      <c r="A1364" s="216"/>
      <c r="B1364" s="216"/>
      <c r="C1364" s="157"/>
      <c r="D1364" s="216"/>
      <c r="E1364" s="216"/>
      <c r="F1364" s="216"/>
      <c r="G1364" s="216"/>
    </row>
    <row r="1365">
      <c r="A1365" s="216"/>
      <c r="B1365" s="216"/>
      <c r="C1365" s="157"/>
      <c r="D1365" s="216"/>
      <c r="E1365" s="216"/>
      <c r="F1365" s="216"/>
      <c r="G1365" s="216"/>
    </row>
    <row r="1366">
      <c r="A1366" s="216"/>
      <c r="B1366" s="216"/>
      <c r="C1366" s="157"/>
      <c r="D1366" s="216"/>
      <c r="E1366" s="216"/>
      <c r="F1366" s="216"/>
      <c r="G1366" s="216"/>
    </row>
    <row r="1367">
      <c r="A1367" s="216"/>
      <c r="B1367" s="216"/>
      <c r="C1367" s="157"/>
      <c r="D1367" s="216"/>
      <c r="E1367" s="216"/>
      <c r="F1367" s="216"/>
      <c r="G1367" s="216"/>
    </row>
    <row r="1368">
      <c r="A1368" s="216"/>
      <c r="B1368" s="216"/>
      <c r="C1368" s="157"/>
      <c r="D1368" s="216"/>
      <c r="E1368" s="216"/>
      <c r="F1368" s="216"/>
      <c r="G1368" s="216"/>
    </row>
    <row r="1369">
      <c r="A1369" s="216"/>
      <c r="B1369" s="216"/>
      <c r="C1369" s="157"/>
      <c r="D1369" s="216"/>
      <c r="E1369" s="216"/>
      <c r="F1369" s="216"/>
      <c r="G1369" s="216"/>
    </row>
    <row r="1370">
      <c r="A1370" s="216"/>
      <c r="B1370" s="216"/>
      <c r="C1370" s="157"/>
      <c r="D1370" s="216"/>
      <c r="E1370" s="216"/>
      <c r="F1370" s="216"/>
      <c r="G1370" s="216"/>
    </row>
    <row r="1371">
      <c r="A1371" s="216"/>
      <c r="B1371" s="216"/>
      <c r="C1371" s="157"/>
      <c r="D1371" s="216"/>
      <c r="E1371" s="216"/>
      <c r="F1371" s="216"/>
      <c r="G1371" s="216"/>
    </row>
    <row r="1372">
      <c r="A1372" s="216"/>
      <c r="B1372" s="216"/>
      <c r="C1372" s="157"/>
      <c r="D1372" s="216"/>
      <c r="E1372" s="216"/>
      <c r="F1372" s="216"/>
      <c r="G1372" s="216"/>
    </row>
    <row r="1373">
      <c r="A1373" s="216"/>
      <c r="B1373" s="216"/>
      <c r="C1373" s="157"/>
      <c r="D1373" s="216"/>
      <c r="E1373" s="216"/>
      <c r="F1373" s="216"/>
      <c r="G1373" s="216"/>
    </row>
    <row r="1374">
      <c r="A1374" s="216"/>
      <c r="B1374" s="216"/>
      <c r="C1374" s="157"/>
      <c r="D1374" s="216"/>
      <c r="E1374" s="216"/>
      <c r="F1374" s="216"/>
      <c r="G1374" s="216"/>
    </row>
    <row r="1375">
      <c r="A1375" s="216"/>
      <c r="B1375" s="216"/>
      <c r="C1375" s="157"/>
      <c r="D1375" s="216"/>
      <c r="E1375" s="216"/>
      <c r="F1375" s="216"/>
      <c r="G1375" s="216"/>
    </row>
    <row r="1376">
      <c r="A1376" s="216"/>
      <c r="B1376" s="216"/>
      <c r="C1376" s="157"/>
      <c r="D1376" s="216"/>
      <c r="E1376" s="216"/>
      <c r="F1376" s="216"/>
      <c r="G1376" s="216"/>
    </row>
    <row r="1377">
      <c r="A1377" s="216"/>
      <c r="B1377" s="216"/>
      <c r="C1377" s="157"/>
      <c r="D1377" s="216"/>
      <c r="E1377" s="216"/>
      <c r="F1377" s="216"/>
      <c r="G1377" s="216"/>
    </row>
    <row r="1378">
      <c r="A1378" s="216"/>
      <c r="B1378" s="216"/>
      <c r="C1378" s="157"/>
      <c r="D1378" s="216"/>
      <c r="E1378" s="216"/>
      <c r="F1378" s="216"/>
      <c r="G1378" s="216"/>
    </row>
    <row r="1379">
      <c r="A1379" s="216"/>
      <c r="B1379" s="216"/>
      <c r="C1379" s="157"/>
      <c r="D1379" s="216"/>
      <c r="E1379" s="216"/>
      <c r="F1379" s="216"/>
      <c r="G1379" s="216"/>
    </row>
    <row r="1380">
      <c r="A1380" s="216"/>
      <c r="B1380" s="216"/>
      <c r="C1380" s="157"/>
      <c r="D1380" s="216"/>
      <c r="E1380" s="216"/>
      <c r="F1380" s="216"/>
      <c r="G1380" s="216"/>
    </row>
    <row r="1381">
      <c r="A1381" s="216"/>
      <c r="B1381" s="216"/>
      <c r="C1381" s="157"/>
      <c r="D1381" s="216"/>
      <c r="E1381" s="216"/>
      <c r="F1381" s="216"/>
      <c r="G1381" s="216"/>
    </row>
    <row r="1382">
      <c r="A1382" s="216"/>
      <c r="B1382" s="216"/>
      <c r="C1382" s="157"/>
      <c r="D1382" s="216"/>
      <c r="E1382" s="216"/>
      <c r="F1382" s="216"/>
      <c r="G1382" s="216"/>
    </row>
    <row r="1383">
      <c r="A1383" s="216"/>
      <c r="B1383" s="216"/>
      <c r="C1383" s="157"/>
      <c r="D1383" s="216"/>
      <c r="E1383" s="216"/>
      <c r="F1383" s="216"/>
      <c r="G1383" s="216"/>
    </row>
    <row r="1384">
      <c r="A1384" s="216"/>
      <c r="B1384" s="216"/>
      <c r="C1384" s="157"/>
      <c r="D1384" s="216"/>
      <c r="E1384" s="216"/>
      <c r="F1384" s="216"/>
      <c r="G1384" s="216"/>
    </row>
    <row r="1385">
      <c r="A1385" s="216"/>
      <c r="B1385" s="216"/>
      <c r="C1385" s="157"/>
      <c r="D1385" s="216"/>
      <c r="E1385" s="216"/>
      <c r="F1385" s="216"/>
      <c r="G1385" s="216"/>
    </row>
    <row r="1386">
      <c r="A1386" s="216"/>
      <c r="B1386" s="216"/>
      <c r="C1386" s="157"/>
      <c r="D1386" s="216"/>
      <c r="E1386" s="216"/>
      <c r="F1386" s="216"/>
      <c r="G1386" s="216"/>
    </row>
    <row r="1387">
      <c r="A1387" s="216"/>
      <c r="B1387" s="216"/>
      <c r="C1387" s="157"/>
      <c r="D1387" s="216"/>
      <c r="E1387" s="216"/>
      <c r="F1387" s="216"/>
      <c r="G1387" s="216"/>
    </row>
    <row r="1388">
      <c r="A1388" s="216"/>
      <c r="B1388" s="216"/>
      <c r="C1388" s="157"/>
      <c r="D1388" s="216"/>
      <c r="E1388" s="216"/>
      <c r="F1388" s="216"/>
      <c r="G1388" s="216"/>
    </row>
    <row r="1389">
      <c r="A1389" s="216"/>
      <c r="B1389" s="216"/>
      <c r="C1389" s="157"/>
      <c r="D1389" s="216"/>
      <c r="E1389" s="216"/>
      <c r="F1389" s="216"/>
      <c r="G1389" s="216"/>
    </row>
    <row r="1390">
      <c r="A1390" s="216"/>
      <c r="B1390" s="216"/>
      <c r="C1390" s="157"/>
      <c r="D1390" s="216"/>
      <c r="E1390" s="216"/>
      <c r="F1390" s="216"/>
      <c r="G1390" s="216"/>
    </row>
    <row r="1391">
      <c r="A1391" s="216"/>
      <c r="B1391" s="216"/>
      <c r="C1391" s="157"/>
      <c r="D1391" s="216"/>
      <c r="E1391" s="216"/>
      <c r="F1391" s="216"/>
      <c r="G1391" s="216"/>
    </row>
    <row r="1392">
      <c r="A1392" s="216"/>
      <c r="B1392" s="216"/>
      <c r="C1392" s="157"/>
      <c r="D1392" s="216"/>
      <c r="E1392" s="216"/>
      <c r="F1392" s="216"/>
      <c r="G1392" s="216"/>
    </row>
    <row r="1393">
      <c r="A1393" s="216"/>
      <c r="B1393" s="216"/>
      <c r="C1393" s="157"/>
      <c r="D1393" s="216"/>
      <c r="E1393" s="216"/>
      <c r="F1393" s="216"/>
      <c r="G1393" s="216"/>
    </row>
    <row r="1394">
      <c r="A1394" s="216"/>
      <c r="B1394" s="216"/>
      <c r="C1394" s="157"/>
      <c r="D1394" s="216"/>
      <c r="E1394" s="216"/>
      <c r="F1394" s="216"/>
      <c r="G1394" s="216"/>
    </row>
    <row r="1395">
      <c r="A1395" s="216"/>
      <c r="B1395" s="216"/>
      <c r="C1395" s="157"/>
      <c r="D1395" s="216"/>
      <c r="E1395" s="216"/>
      <c r="F1395" s="216"/>
      <c r="G1395" s="216"/>
    </row>
    <row r="1396">
      <c r="A1396" s="216"/>
      <c r="B1396" s="216"/>
      <c r="C1396" s="157"/>
      <c r="D1396" s="216"/>
      <c r="E1396" s="216"/>
      <c r="F1396" s="216"/>
      <c r="G1396" s="216"/>
    </row>
    <row r="1397">
      <c r="A1397" s="216"/>
      <c r="B1397" s="216"/>
      <c r="C1397" s="157"/>
      <c r="D1397" s="216"/>
      <c r="E1397" s="216"/>
      <c r="F1397" s="216"/>
      <c r="G1397" s="216"/>
    </row>
    <row r="1398">
      <c r="A1398" s="216"/>
      <c r="B1398" s="216"/>
      <c r="C1398" s="157"/>
      <c r="D1398" s="216"/>
      <c r="E1398" s="216"/>
      <c r="F1398" s="216"/>
      <c r="G1398" s="216"/>
    </row>
    <row r="1399">
      <c r="A1399" s="216"/>
      <c r="B1399" s="216"/>
      <c r="C1399" s="157"/>
      <c r="D1399" s="216"/>
      <c r="E1399" s="216"/>
      <c r="F1399" s="216"/>
      <c r="G1399" s="216"/>
    </row>
    <row r="1400">
      <c r="A1400" s="216"/>
      <c r="B1400" s="216"/>
      <c r="C1400" s="157"/>
      <c r="D1400" s="216"/>
      <c r="E1400" s="216"/>
      <c r="F1400" s="216"/>
      <c r="G1400" s="216"/>
    </row>
    <row r="1401">
      <c r="A1401" s="216"/>
      <c r="B1401" s="216"/>
      <c r="C1401" s="157"/>
      <c r="D1401" s="216"/>
      <c r="E1401" s="216"/>
      <c r="F1401" s="216"/>
      <c r="G1401" s="216"/>
    </row>
    <row r="1402">
      <c r="A1402" s="216"/>
      <c r="B1402" s="216"/>
      <c r="C1402" s="157"/>
      <c r="D1402" s="216"/>
      <c r="E1402" s="216"/>
      <c r="F1402" s="216"/>
      <c r="G1402" s="216"/>
    </row>
    <row r="1403">
      <c r="A1403" s="216"/>
      <c r="B1403" s="216"/>
      <c r="C1403" s="157"/>
      <c r="D1403" s="216"/>
      <c r="E1403" s="216"/>
      <c r="F1403" s="216"/>
      <c r="G1403" s="216"/>
    </row>
    <row r="1404">
      <c r="A1404" s="216"/>
      <c r="B1404" s="216"/>
      <c r="C1404" s="157"/>
      <c r="D1404" s="216"/>
      <c r="E1404" s="216"/>
      <c r="F1404" s="216"/>
      <c r="G1404" s="216"/>
    </row>
    <row r="1405">
      <c r="A1405" s="216"/>
      <c r="B1405" s="216"/>
      <c r="C1405" s="157"/>
      <c r="D1405" s="216"/>
      <c r="E1405" s="216"/>
      <c r="F1405" s="216"/>
      <c r="G1405" s="216"/>
    </row>
    <row r="1406">
      <c r="A1406" s="216"/>
      <c r="B1406" s="216"/>
      <c r="C1406" s="157"/>
      <c r="D1406" s="216"/>
      <c r="E1406" s="216"/>
      <c r="F1406" s="216"/>
      <c r="G1406" s="216"/>
    </row>
    <row r="1407">
      <c r="A1407" s="216"/>
      <c r="B1407" s="216"/>
      <c r="C1407" s="157"/>
      <c r="D1407" s="216"/>
      <c r="E1407" s="216"/>
      <c r="F1407" s="216"/>
      <c r="G1407" s="216"/>
    </row>
    <row r="1408">
      <c r="A1408" s="216"/>
      <c r="B1408" s="216"/>
      <c r="C1408" s="157"/>
      <c r="D1408" s="216"/>
      <c r="E1408" s="216"/>
      <c r="F1408" s="216"/>
      <c r="G1408" s="216"/>
    </row>
    <row r="1409">
      <c r="A1409" s="216"/>
      <c r="B1409" s="216"/>
      <c r="C1409" s="157"/>
      <c r="D1409" s="216"/>
      <c r="E1409" s="216"/>
      <c r="F1409" s="216"/>
      <c r="G1409" s="216"/>
    </row>
    <row r="1410">
      <c r="A1410" s="216"/>
      <c r="B1410" s="216"/>
      <c r="C1410" s="157"/>
      <c r="D1410" s="216"/>
      <c r="E1410" s="216"/>
      <c r="F1410" s="216"/>
      <c r="G1410" s="216"/>
    </row>
    <row r="1411">
      <c r="A1411" s="216"/>
      <c r="B1411" s="216"/>
      <c r="C1411" s="157"/>
      <c r="D1411" s="216"/>
      <c r="E1411" s="216"/>
      <c r="F1411" s="216"/>
      <c r="G1411" s="216"/>
    </row>
    <row r="1412">
      <c r="A1412" s="216"/>
      <c r="B1412" s="216"/>
      <c r="C1412" s="157"/>
      <c r="D1412" s="216"/>
      <c r="E1412" s="216"/>
      <c r="F1412" s="216"/>
      <c r="G1412" s="216"/>
    </row>
    <row r="1413">
      <c r="A1413" s="216"/>
      <c r="B1413" s="216"/>
      <c r="C1413" s="157"/>
      <c r="D1413" s="216"/>
      <c r="E1413" s="216"/>
      <c r="F1413" s="216"/>
      <c r="G1413" s="216"/>
    </row>
    <row r="1414">
      <c r="A1414" s="216"/>
      <c r="B1414" s="216"/>
      <c r="C1414" s="157"/>
      <c r="D1414" s="216"/>
      <c r="E1414" s="216"/>
      <c r="F1414" s="216"/>
      <c r="G1414" s="216"/>
    </row>
    <row r="1415">
      <c r="A1415" s="216"/>
      <c r="B1415" s="216"/>
      <c r="C1415" s="157"/>
      <c r="D1415" s="216"/>
      <c r="E1415" s="216"/>
      <c r="F1415" s="216"/>
      <c r="G1415" s="216"/>
    </row>
    <row r="1416">
      <c r="A1416" s="216"/>
      <c r="B1416" s="216"/>
      <c r="C1416" s="157"/>
      <c r="D1416" s="216"/>
      <c r="E1416" s="216"/>
      <c r="F1416" s="216"/>
      <c r="G1416" s="216"/>
    </row>
    <row r="1417">
      <c r="A1417" s="216"/>
      <c r="B1417" s="216"/>
      <c r="C1417" s="157"/>
      <c r="D1417" s="216"/>
      <c r="E1417" s="216"/>
      <c r="F1417" s="216"/>
      <c r="G1417" s="216"/>
    </row>
    <row r="1418">
      <c r="A1418" s="216"/>
      <c r="B1418" s="216"/>
      <c r="C1418" s="157"/>
      <c r="D1418" s="216"/>
      <c r="E1418" s="216"/>
      <c r="F1418" s="216"/>
      <c r="G1418" s="216"/>
    </row>
    <row r="1419">
      <c r="A1419" s="216"/>
      <c r="B1419" s="216"/>
      <c r="C1419" s="157"/>
      <c r="D1419" s="216"/>
      <c r="E1419" s="216"/>
      <c r="F1419" s="216"/>
      <c r="G1419" s="216"/>
    </row>
    <row r="1420">
      <c r="A1420" s="216"/>
      <c r="B1420" s="216"/>
      <c r="C1420" s="157"/>
      <c r="D1420" s="216"/>
      <c r="E1420" s="216"/>
      <c r="F1420" s="216"/>
      <c r="G1420" s="216"/>
    </row>
    <row r="1421">
      <c r="A1421" s="216"/>
      <c r="B1421" s="216"/>
      <c r="C1421" s="157"/>
      <c r="D1421" s="216"/>
      <c r="E1421" s="216"/>
      <c r="F1421" s="216"/>
      <c r="G1421" s="216"/>
    </row>
    <row r="1422">
      <c r="A1422" s="216"/>
      <c r="B1422" s="216"/>
      <c r="C1422" s="157"/>
      <c r="D1422" s="216"/>
      <c r="E1422" s="216"/>
      <c r="F1422" s="216"/>
      <c r="G1422" s="216"/>
    </row>
    <row r="1423">
      <c r="A1423" s="216"/>
      <c r="B1423" s="216"/>
      <c r="C1423" s="157"/>
      <c r="D1423" s="216"/>
      <c r="E1423" s="216"/>
      <c r="F1423" s="216"/>
      <c r="G1423" s="216"/>
    </row>
    <row r="1424">
      <c r="A1424" s="216"/>
      <c r="B1424" s="216"/>
      <c r="C1424" s="157"/>
      <c r="D1424" s="216"/>
      <c r="E1424" s="216"/>
      <c r="F1424" s="216"/>
      <c r="G1424" s="216"/>
    </row>
    <row r="1425">
      <c r="A1425" s="216"/>
      <c r="B1425" s="216"/>
      <c r="C1425" s="157"/>
      <c r="D1425" s="216"/>
      <c r="E1425" s="216"/>
      <c r="F1425" s="216"/>
      <c r="G1425" s="216"/>
    </row>
    <row r="1426">
      <c r="A1426" s="216"/>
      <c r="B1426" s="216"/>
      <c r="C1426" s="157"/>
      <c r="D1426" s="216"/>
      <c r="E1426" s="216"/>
      <c r="F1426" s="216"/>
      <c r="G1426" s="216"/>
    </row>
    <row r="1427">
      <c r="A1427" s="216"/>
      <c r="B1427" s="216"/>
      <c r="C1427" s="157"/>
      <c r="D1427" s="216"/>
      <c r="E1427" s="216"/>
      <c r="F1427" s="216"/>
      <c r="G1427" s="216"/>
    </row>
    <row r="1428">
      <c r="A1428" s="216"/>
      <c r="B1428" s="216"/>
      <c r="C1428" s="157"/>
      <c r="D1428" s="216"/>
      <c r="E1428" s="216"/>
      <c r="F1428" s="216"/>
      <c r="G1428" s="216"/>
    </row>
    <row r="1429">
      <c r="A1429" s="216"/>
      <c r="B1429" s="216"/>
      <c r="C1429" s="157"/>
      <c r="D1429" s="216"/>
      <c r="E1429" s="216"/>
      <c r="F1429" s="216"/>
      <c r="G1429" s="216"/>
    </row>
    <row r="1430">
      <c r="A1430" s="216"/>
      <c r="B1430" s="216"/>
      <c r="C1430" s="157"/>
      <c r="D1430" s="216"/>
      <c r="E1430" s="216"/>
      <c r="F1430" s="216"/>
      <c r="G1430" s="216"/>
    </row>
    <row r="1431">
      <c r="A1431" s="216"/>
      <c r="B1431" s="216"/>
      <c r="C1431" s="157"/>
      <c r="D1431" s="216"/>
      <c r="E1431" s="216"/>
      <c r="F1431" s="216"/>
      <c r="G1431" s="216"/>
    </row>
    <row r="1432">
      <c r="A1432" s="216"/>
      <c r="B1432" s="216"/>
      <c r="C1432" s="157"/>
      <c r="D1432" s="216"/>
      <c r="E1432" s="216"/>
      <c r="F1432" s="216"/>
      <c r="G1432" s="216"/>
    </row>
    <row r="1433">
      <c r="A1433" s="216"/>
      <c r="B1433" s="216"/>
      <c r="C1433" s="157"/>
      <c r="D1433" s="216"/>
      <c r="E1433" s="216"/>
      <c r="F1433" s="216"/>
      <c r="G1433" s="216"/>
    </row>
    <row r="1434">
      <c r="A1434" s="216"/>
      <c r="B1434" s="216"/>
      <c r="C1434" s="157"/>
      <c r="D1434" s="216"/>
      <c r="E1434" s="216"/>
      <c r="F1434" s="216"/>
      <c r="G1434" s="216"/>
    </row>
    <row r="1435">
      <c r="A1435" s="216"/>
      <c r="B1435" s="216"/>
      <c r="C1435" s="157"/>
      <c r="D1435" s="216"/>
      <c r="E1435" s="216"/>
      <c r="F1435" s="216"/>
      <c r="G1435" s="216"/>
    </row>
    <row r="1436">
      <c r="A1436" s="216"/>
      <c r="B1436" s="216"/>
      <c r="C1436" s="157"/>
      <c r="D1436" s="216"/>
      <c r="E1436" s="216"/>
      <c r="F1436" s="216"/>
      <c r="G1436" s="216"/>
    </row>
    <row r="1437">
      <c r="A1437" s="216"/>
      <c r="B1437" s="216"/>
      <c r="C1437" s="157"/>
      <c r="D1437" s="216"/>
      <c r="E1437" s="216"/>
      <c r="F1437" s="216"/>
      <c r="G1437" s="216"/>
    </row>
    <row r="1438">
      <c r="A1438" s="216"/>
      <c r="B1438" s="216"/>
      <c r="C1438" s="157"/>
      <c r="D1438" s="216"/>
      <c r="E1438" s="216"/>
      <c r="F1438" s="216"/>
      <c r="G1438" s="216"/>
    </row>
    <row r="1439">
      <c r="A1439" s="216"/>
      <c r="B1439" s="216"/>
      <c r="C1439" s="157"/>
      <c r="D1439" s="216"/>
      <c r="E1439" s="216"/>
      <c r="F1439" s="216"/>
      <c r="G1439" s="216"/>
    </row>
    <row r="1440">
      <c r="A1440" s="216"/>
      <c r="B1440" s="216"/>
      <c r="C1440" s="157"/>
      <c r="D1440" s="216"/>
      <c r="E1440" s="216"/>
      <c r="F1440" s="216"/>
      <c r="G1440" s="216"/>
    </row>
    <row r="1441">
      <c r="A1441" s="216"/>
      <c r="B1441" s="216"/>
      <c r="C1441" s="157"/>
      <c r="D1441" s="216"/>
      <c r="E1441" s="216"/>
      <c r="F1441" s="216"/>
      <c r="G1441" s="216"/>
    </row>
    <row r="1442">
      <c r="A1442" s="216"/>
      <c r="B1442" s="216"/>
      <c r="C1442" s="157"/>
      <c r="D1442" s="216"/>
      <c r="E1442" s="216"/>
      <c r="F1442" s="216"/>
      <c r="G1442" s="216"/>
    </row>
    <row r="1443">
      <c r="A1443" s="216"/>
      <c r="B1443" s="216"/>
      <c r="C1443" s="157"/>
      <c r="D1443" s="216"/>
      <c r="E1443" s="216"/>
      <c r="F1443" s="216"/>
      <c r="G1443" s="216"/>
    </row>
    <row r="1444">
      <c r="A1444" s="216"/>
      <c r="B1444" s="216"/>
      <c r="C1444" s="157"/>
      <c r="D1444" s="216"/>
      <c r="E1444" s="216"/>
      <c r="F1444" s="216"/>
      <c r="G1444" s="216"/>
    </row>
    <row r="1445">
      <c r="A1445" s="216"/>
      <c r="B1445" s="216"/>
      <c r="C1445" s="157"/>
      <c r="D1445" s="216"/>
      <c r="E1445" s="216"/>
      <c r="F1445" s="216"/>
      <c r="G1445" s="216"/>
    </row>
    <row r="1446">
      <c r="A1446" s="216"/>
      <c r="B1446" s="216"/>
      <c r="C1446" s="157"/>
      <c r="D1446" s="216"/>
      <c r="E1446" s="216"/>
      <c r="F1446" s="216"/>
      <c r="G1446" s="216"/>
    </row>
    <row r="1447">
      <c r="A1447" s="216"/>
      <c r="B1447" s="216"/>
      <c r="C1447" s="157"/>
      <c r="D1447" s="216"/>
      <c r="E1447" s="216"/>
      <c r="F1447" s="216"/>
      <c r="G1447" s="216"/>
    </row>
    <row r="1448">
      <c r="A1448" s="216"/>
      <c r="B1448" s="216"/>
      <c r="C1448" s="157"/>
      <c r="D1448" s="216"/>
      <c r="E1448" s="216"/>
      <c r="F1448" s="216"/>
      <c r="G1448" s="216"/>
    </row>
    <row r="1449">
      <c r="A1449" s="216"/>
      <c r="B1449" s="216"/>
      <c r="C1449" s="157"/>
      <c r="D1449" s="216"/>
      <c r="E1449" s="216"/>
      <c r="F1449" s="216"/>
      <c r="G1449" s="216"/>
    </row>
    <row r="1450">
      <c r="A1450" s="216"/>
      <c r="B1450" s="216"/>
      <c r="C1450" s="157"/>
      <c r="D1450" s="216"/>
      <c r="E1450" s="216"/>
      <c r="F1450" s="216"/>
      <c r="G1450" s="216"/>
    </row>
    <row r="1451">
      <c r="A1451" s="216"/>
      <c r="B1451" s="216"/>
      <c r="C1451" s="157"/>
      <c r="D1451" s="216"/>
      <c r="E1451" s="216"/>
      <c r="F1451" s="216"/>
      <c r="G1451" s="216"/>
    </row>
    <row r="1452">
      <c r="A1452" s="216"/>
      <c r="B1452" s="216"/>
      <c r="C1452" s="157"/>
      <c r="D1452" s="216"/>
      <c r="E1452" s="216"/>
      <c r="F1452" s="216"/>
      <c r="G1452" s="216"/>
    </row>
    <row r="1453">
      <c r="A1453" s="216"/>
      <c r="B1453" s="216"/>
      <c r="C1453" s="157"/>
      <c r="D1453" s="216"/>
      <c r="E1453" s="216"/>
      <c r="F1453" s="216"/>
      <c r="G1453" s="216"/>
    </row>
    <row r="1454">
      <c r="A1454" s="216"/>
      <c r="B1454" s="216"/>
      <c r="C1454" s="157"/>
      <c r="D1454" s="216"/>
      <c r="E1454" s="216"/>
      <c r="F1454" s="216"/>
      <c r="G1454" s="216"/>
    </row>
    <row r="1455">
      <c r="A1455" s="216"/>
      <c r="B1455" s="216"/>
      <c r="C1455" s="157"/>
      <c r="D1455" s="216"/>
      <c r="E1455" s="216"/>
      <c r="F1455" s="216"/>
      <c r="G1455" s="216"/>
    </row>
    <row r="1456">
      <c r="A1456" s="216"/>
      <c r="B1456" s="216"/>
      <c r="C1456" s="157"/>
      <c r="D1456" s="216"/>
      <c r="E1456" s="216"/>
      <c r="F1456" s="216"/>
      <c r="G1456" s="216"/>
    </row>
    <row r="1457">
      <c r="A1457" s="216"/>
      <c r="B1457" s="216"/>
      <c r="C1457" s="157"/>
      <c r="D1457" s="216"/>
      <c r="E1457" s="216"/>
      <c r="F1457" s="216"/>
      <c r="G1457" s="216"/>
    </row>
    <row r="1458">
      <c r="A1458" s="216"/>
      <c r="B1458" s="216"/>
      <c r="C1458" s="157"/>
      <c r="D1458" s="216"/>
      <c r="E1458" s="216"/>
      <c r="F1458" s="216"/>
      <c r="G1458" s="216"/>
    </row>
    <row r="1459">
      <c r="A1459" s="216"/>
      <c r="B1459" s="216"/>
      <c r="C1459" s="157"/>
      <c r="D1459" s="216"/>
      <c r="E1459" s="216"/>
      <c r="F1459" s="216"/>
      <c r="G1459" s="216"/>
    </row>
    <row r="1460">
      <c r="A1460" s="216"/>
      <c r="B1460" s="216"/>
      <c r="C1460" s="157"/>
      <c r="D1460" s="216"/>
      <c r="E1460" s="216"/>
      <c r="F1460" s="216"/>
      <c r="G1460" s="216"/>
    </row>
    <row r="1461">
      <c r="A1461" s="216"/>
      <c r="B1461" s="216"/>
      <c r="C1461" s="157"/>
      <c r="D1461" s="216"/>
      <c r="E1461" s="216"/>
      <c r="F1461" s="216"/>
      <c r="G1461" s="216"/>
    </row>
    <row r="1462">
      <c r="A1462" s="216"/>
      <c r="B1462" s="216"/>
      <c r="C1462" s="157"/>
      <c r="D1462" s="216"/>
      <c r="E1462" s="216"/>
      <c r="F1462" s="216"/>
      <c r="G1462" s="216"/>
    </row>
    <row r="1463">
      <c r="A1463" s="216"/>
      <c r="B1463" s="216"/>
      <c r="C1463" s="157"/>
      <c r="D1463" s="216"/>
      <c r="E1463" s="216"/>
      <c r="F1463" s="216"/>
      <c r="G1463" s="216"/>
    </row>
    <row r="1464">
      <c r="A1464" s="216"/>
      <c r="B1464" s="216"/>
      <c r="C1464" s="157"/>
      <c r="D1464" s="216"/>
      <c r="E1464" s="216"/>
      <c r="F1464" s="216"/>
      <c r="G1464" s="216"/>
    </row>
    <row r="1465">
      <c r="A1465" s="216"/>
      <c r="B1465" s="216"/>
      <c r="C1465" s="157"/>
      <c r="D1465" s="216"/>
      <c r="E1465" s="216"/>
      <c r="F1465" s="216"/>
      <c r="G1465" s="216"/>
    </row>
    <row r="1466">
      <c r="A1466" s="216"/>
      <c r="B1466" s="216"/>
      <c r="C1466" s="157"/>
      <c r="D1466" s="216"/>
      <c r="E1466" s="216"/>
      <c r="F1466" s="216"/>
      <c r="G1466" s="216"/>
    </row>
    <row r="1467">
      <c r="A1467" s="216"/>
      <c r="B1467" s="216"/>
      <c r="C1467" s="157"/>
      <c r="D1467" s="216"/>
      <c r="E1467" s="216"/>
      <c r="F1467" s="216"/>
      <c r="G1467" s="216"/>
    </row>
    <row r="1468">
      <c r="A1468" s="216"/>
      <c r="B1468" s="216"/>
      <c r="C1468" s="157"/>
      <c r="D1468" s="216"/>
      <c r="E1468" s="216"/>
      <c r="F1468" s="216"/>
      <c r="G1468" s="216"/>
    </row>
    <row r="1469">
      <c r="A1469" s="216"/>
      <c r="B1469" s="216"/>
      <c r="C1469" s="157"/>
      <c r="D1469" s="216"/>
      <c r="E1469" s="216"/>
      <c r="F1469" s="216"/>
      <c r="G1469" s="216"/>
    </row>
    <row r="1470">
      <c r="A1470" s="216"/>
      <c r="B1470" s="216"/>
      <c r="C1470" s="157"/>
      <c r="D1470" s="216"/>
      <c r="E1470" s="216"/>
      <c r="F1470" s="216"/>
      <c r="G1470" s="216"/>
    </row>
    <row r="1471">
      <c r="A1471" s="216"/>
      <c r="B1471" s="216"/>
      <c r="C1471" s="157"/>
      <c r="D1471" s="216"/>
      <c r="E1471" s="216"/>
      <c r="F1471" s="216"/>
      <c r="G1471" s="216"/>
    </row>
    <row r="1472">
      <c r="A1472" s="216"/>
      <c r="B1472" s="216"/>
      <c r="C1472" s="157"/>
      <c r="D1472" s="216"/>
      <c r="E1472" s="216"/>
      <c r="F1472" s="216"/>
      <c r="G1472" s="216"/>
    </row>
    <row r="1473">
      <c r="A1473" s="216"/>
      <c r="B1473" s="216"/>
      <c r="C1473" s="157"/>
      <c r="D1473" s="216"/>
      <c r="E1473" s="216"/>
      <c r="F1473" s="216"/>
      <c r="G1473" s="216"/>
    </row>
    <row r="1474">
      <c r="A1474" s="216"/>
      <c r="B1474" s="216"/>
      <c r="C1474" s="157"/>
      <c r="D1474" s="216"/>
      <c r="E1474" s="216"/>
      <c r="F1474" s="216"/>
      <c r="G1474" s="216"/>
    </row>
    <row r="1475">
      <c r="A1475" s="216"/>
      <c r="B1475" s="216"/>
      <c r="C1475" s="157"/>
      <c r="D1475" s="216"/>
      <c r="E1475" s="216"/>
      <c r="F1475" s="216"/>
      <c r="G1475" s="216"/>
    </row>
    <row r="1476">
      <c r="A1476" s="216"/>
      <c r="B1476" s="216"/>
      <c r="C1476" s="157"/>
      <c r="D1476" s="216"/>
      <c r="E1476" s="216"/>
      <c r="F1476" s="216"/>
      <c r="G1476" s="216"/>
    </row>
    <row r="1477">
      <c r="A1477" s="216"/>
      <c r="B1477" s="216"/>
      <c r="C1477" s="157"/>
      <c r="D1477" s="216"/>
      <c r="E1477" s="216"/>
      <c r="F1477" s="216"/>
      <c r="G1477" s="216"/>
    </row>
    <row r="1478">
      <c r="A1478" s="216"/>
      <c r="B1478" s="216"/>
      <c r="C1478" s="157"/>
      <c r="D1478" s="216"/>
      <c r="E1478" s="216"/>
      <c r="F1478" s="216"/>
      <c r="G1478" s="216"/>
    </row>
    <row r="1479">
      <c r="A1479" s="216"/>
      <c r="B1479" s="216"/>
      <c r="C1479" s="157"/>
      <c r="D1479" s="216"/>
      <c r="E1479" s="216"/>
      <c r="F1479" s="216"/>
      <c r="G1479" s="216"/>
    </row>
    <row r="1480">
      <c r="A1480" s="216"/>
      <c r="B1480" s="216"/>
      <c r="C1480" s="157"/>
      <c r="D1480" s="216"/>
      <c r="E1480" s="216"/>
      <c r="F1480" s="216"/>
      <c r="G1480" s="216"/>
    </row>
    <row r="1481">
      <c r="A1481" s="216"/>
      <c r="B1481" s="216"/>
      <c r="C1481" s="157"/>
      <c r="D1481" s="216"/>
      <c r="E1481" s="216"/>
      <c r="F1481" s="216"/>
      <c r="G1481" s="216"/>
    </row>
    <row r="1482">
      <c r="A1482" s="216"/>
      <c r="B1482" s="216"/>
      <c r="C1482" s="157"/>
      <c r="D1482" s="216"/>
      <c r="E1482" s="216"/>
      <c r="F1482" s="216"/>
      <c r="G1482" s="216"/>
    </row>
    <row r="1483">
      <c r="A1483" s="216"/>
      <c r="B1483" s="216"/>
      <c r="C1483" s="157"/>
      <c r="D1483" s="216"/>
      <c r="E1483" s="216"/>
      <c r="F1483" s="216"/>
      <c r="G1483" s="216"/>
    </row>
    <row r="1484">
      <c r="A1484" s="216"/>
      <c r="B1484" s="216"/>
      <c r="C1484" s="157"/>
      <c r="D1484" s="216"/>
      <c r="E1484" s="216"/>
      <c r="F1484" s="216"/>
      <c r="G1484" s="216"/>
    </row>
    <row r="1485">
      <c r="A1485" s="216"/>
      <c r="B1485" s="216"/>
      <c r="C1485" s="157"/>
      <c r="D1485" s="216"/>
      <c r="E1485" s="216"/>
      <c r="F1485" s="216"/>
      <c r="G1485" s="216"/>
    </row>
    <row r="1486">
      <c r="A1486" s="216"/>
      <c r="B1486" s="216"/>
      <c r="C1486" s="157"/>
      <c r="D1486" s="216"/>
      <c r="E1486" s="216"/>
      <c r="F1486" s="216"/>
      <c r="G1486" s="216"/>
    </row>
    <row r="1487">
      <c r="A1487" s="216"/>
      <c r="B1487" s="216"/>
      <c r="C1487" s="157"/>
      <c r="D1487" s="216"/>
      <c r="E1487" s="216"/>
      <c r="F1487" s="216"/>
      <c r="G1487" s="216"/>
    </row>
    <row r="1488">
      <c r="A1488" s="216"/>
      <c r="B1488" s="216"/>
      <c r="C1488" s="157"/>
      <c r="D1488" s="216"/>
      <c r="E1488" s="216"/>
      <c r="F1488" s="216"/>
      <c r="G1488" s="216"/>
    </row>
    <row r="1489">
      <c r="A1489" s="216"/>
      <c r="B1489" s="216"/>
      <c r="C1489" s="157"/>
      <c r="D1489" s="216"/>
      <c r="E1489" s="216"/>
      <c r="F1489" s="216"/>
      <c r="G1489" s="216"/>
    </row>
    <row r="1490">
      <c r="A1490" s="216"/>
      <c r="B1490" s="216"/>
      <c r="C1490" s="157"/>
      <c r="D1490" s="216"/>
      <c r="E1490" s="216"/>
      <c r="F1490" s="216"/>
      <c r="G1490" s="216"/>
    </row>
    <row r="1491">
      <c r="A1491" s="216"/>
      <c r="B1491" s="216"/>
      <c r="C1491" s="157"/>
      <c r="D1491" s="216"/>
      <c r="E1491" s="216"/>
      <c r="F1491" s="216"/>
      <c r="G1491" s="216"/>
    </row>
    <row r="1492">
      <c r="A1492" s="216"/>
      <c r="B1492" s="216"/>
      <c r="C1492" s="157"/>
      <c r="D1492" s="216"/>
      <c r="E1492" s="216"/>
      <c r="F1492" s="216"/>
      <c r="G1492" s="216"/>
    </row>
    <row r="1493">
      <c r="A1493" s="216"/>
      <c r="B1493" s="216"/>
      <c r="C1493" s="157"/>
      <c r="D1493" s="216"/>
      <c r="E1493" s="216"/>
      <c r="F1493" s="216"/>
      <c r="G1493" s="216"/>
    </row>
    <row r="1494">
      <c r="A1494" s="216"/>
      <c r="B1494" s="216"/>
      <c r="C1494" s="157"/>
      <c r="D1494" s="216"/>
      <c r="E1494" s="216"/>
      <c r="F1494" s="216"/>
      <c r="G1494" s="216"/>
    </row>
    <row r="1495">
      <c r="A1495" s="216"/>
      <c r="B1495" s="216"/>
      <c r="C1495" s="157"/>
      <c r="D1495" s="216"/>
      <c r="E1495" s="216"/>
      <c r="F1495" s="216"/>
      <c r="G1495" s="216"/>
    </row>
    <row r="1496">
      <c r="A1496" s="216"/>
      <c r="B1496" s="216"/>
      <c r="C1496" s="157"/>
      <c r="D1496" s="216"/>
      <c r="E1496" s="216"/>
      <c r="F1496" s="216"/>
      <c r="G1496" s="216"/>
    </row>
    <row r="1497">
      <c r="A1497" s="216"/>
      <c r="B1497" s="216"/>
      <c r="C1497" s="157"/>
      <c r="D1497" s="216"/>
      <c r="E1497" s="216"/>
      <c r="F1497" s="216"/>
      <c r="G1497" s="216"/>
    </row>
    <row r="1498">
      <c r="A1498" s="216"/>
      <c r="B1498" s="216"/>
      <c r="C1498" s="157"/>
      <c r="D1498" s="216"/>
      <c r="E1498" s="216"/>
      <c r="F1498" s="216"/>
      <c r="G1498" s="216"/>
    </row>
    <row r="1499">
      <c r="A1499" s="216"/>
      <c r="B1499" s="216"/>
      <c r="C1499" s="157"/>
      <c r="D1499" s="216"/>
      <c r="E1499" s="216"/>
      <c r="F1499" s="216"/>
      <c r="G1499" s="216"/>
    </row>
    <row r="1500">
      <c r="A1500" s="216"/>
      <c r="B1500" s="216"/>
      <c r="C1500" s="157"/>
      <c r="D1500" s="216"/>
      <c r="E1500" s="216"/>
      <c r="F1500" s="216"/>
      <c r="G1500" s="216"/>
    </row>
    <row r="1501">
      <c r="A1501" s="216"/>
      <c r="B1501" s="216"/>
      <c r="C1501" s="157"/>
      <c r="D1501" s="216"/>
      <c r="E1501" s="216"/>
      <c r="F1501" s="216"/>
      <c r="G1501" s="216"/>
    </row>
    <row r="1502">
      <c r="A1502" s="216"/>
      <c r="B1502" s="216"/>
      <c r="C1502" s="157"/>
      <c r="D1502" s="216"/>
      <c r="E1502" s="216"/>
      <c r="F1502" s="216"/>
      <c r="G1502" s="216"/>
    </row>
    <row r="1503">
      <c r="A1503" s="216"/>
      <c r="B1503" s="216"/>
      <c r="C1503" s="157"/>
      <c r="D1503" s="216"/>
      <c r="E1503" s="216"/>
      <c r="F1503" s="216"/>
      <c r="G1503" s="216"/>
    </row>
    <row r="1504">
      <c r="A1504" s="216"/>
      <c r="B1504" s="216"/>
      <c r="C1504" s="157"/>
      <c r="D1504" s="216"/>
      <c r="E1504" s="216"/>
      <c r="F1504" s="216"/>
      <c r="G1504" s="216"/>
    </row>
    <row r="1505">
      <c r="A1505" s="216"/>
      <c r="B1505" s="216"/>
      <c r="C1505" s="157"/>
      <c r="D1505" s="216"/>
      <c r="E1505" s="216"/>
      <c r="F1505" s="216"/>
      <c r="G1505" s="216"/>
    </row>
    <row r="1506">
      <c r="A1506" s="216"/>
      <c r="B1506" s="216"/>
      <c r="C1506" s="157"/>
      <c r="D1506" s="216"/>
      <c r="E1506" s="216"/>
      <c r="F1506" s="216"/>
      <c r="G1506" s="216"/>
    </row>
    <row r="1507">
      <c r="A1507" s="216"/>
      <c r="B1507" s="216"/>
      <c r="C1507" s="157"/>
      <c r="D1507" s="216"/>
      <c r="E1507" s="216"/>
      <c r="F1507" s="216"/>
      <c r="G1507" s="216"/>
    </row>
    <row r="1508">
      <c r="A1508" s="216"/>
      <c r="B1508" s="216"/>
      <c r="C1508" s="157"/>
      <c r="D1508" s="216"/>
      <c r="E1508" s="216"/>
      <c r="F1508" s="216"/>
      <c r="G1508" s="216"/>
    </row>
    <row r="1509">
      <c r="A1509" s="216"/>
      <c r="B1509" s="216"/>
      <c r="C1509" s="157"/>
      <c r="D1509" s="216"/>
      <c r="E1509" s="216"/>
      <c r="F1509" s="216"/>
      <c r="G1509" s="216"/>
    </row>
    <row r="1510">
      <c r="A1510" s="216"/>
      <c r="B1510" s="216"/>
      <c r="C1510" s="157"/>
      <c r="D1510" s="216"/>
      <c r="E1510" s="216"/>
      <c r="F1510" s="216"/>
      <c r="G1510" s="216"/>
    </row>
    <row r="1511">
      <c r="A1511" s="216"/>
      <c r="B1511" s="216"/>
      <c r="C1511" s="157"/>
      <c r="D1511" s="216"/>
      <c r="E1511" s="216"/>
      <c r="F1511" s="216"/>
      <c r="G1511" s="216"/>
    </row>
    <row r="1512">
      <c r="A1512" s="216"/>
      <c r="B1512" s="216"/>
      <c r="C1512" s="157"/>
      <c r="D1512" s="216"/>
      <c r="E1512" s="216"/>
      <c r="F1512" s="216"/>
      <c r="G1512" s="216"/>
    </row>
    <row r="1513">
      <c r="A1513" s="216"/>
      <c r="B1513" s="216"/>
      <c r="C1513" s="157"/>
      <c r="D1513" s="216"/>
      <c r="E1513" s="216"/>
      <c r="F1513" s="216"/>
      <c r="G1513" s="216"/>
    </row>
    <row r="1514">
      <c r="A1514" s="216"/>
      <c r="B1514" s="216"/>
      <c r="C1514" s="157"/>
      <c r="D1514" s="216"/>
      <c r="E1514" s="216"/>
      <c r="F1514" s="216"/>
      <c r="G1514" s="216"/>
    </row>
    <row r="1515">
      <c r="A1515" s="216"/>
      <c r="B1515" s="216"/>
      <c r="C1515" s="157"/>
      <c r="D1515" s="216"/>
      <c r="E1515" s="216"/>
      <c r="F1515" s="216"/>
      <c r="G1515" s="216"/>
    </row>
    <row r="1516">
      <c r="A1516" s="216"/>
      <c r="B1516" s="216"/>
      <c r="C1516" s="157"/>
      <c r="D1516" s="216"/>
      <c r="E1516" s="216"/>
      <c r="F1516" s="216"/>
      <c r="G1516" s="216"/>
    </row>
    <row r="1517">
      <c r="A1517" s="216"/>
      <c r="B1517" s="216"/>
      <c r="C1517" s="157"/>
      <c r="D1517" s="216"/>
      <c r="E1517" s="216"/>
      <c r="F1517" s="216"/>
      <c r="G1517" s="216"/>
    </row>
    <row r="1518">
      <c r="A1518" s="216"/>
      <c r="B1518" s="216"/>
      <c r="C1518" s="157"/>
      <c r="D1518" s="216"/>
      <c r="E1518" s="216"/>
      <c r="F1518" s="216"/>
      <c r="G1518" s="216"/>
    </row>
    <row r="1519">
      <c r="A1519" s="216"/>
      <c r="B1519" s="216"/>
      <c r="C1519" s="157"/>
      <c r="D1519" s="216"/>
      <c r="E1519" s="216"/>
      <c r="F1519" s="216"/>
      <c r="G1519" s="216"/>
    </row>
    <row r="1520">
      <c r="A1520" s="216"/>
      <c r="B1520" s="216"/>
      <c r="C1520" s="157"/>
      <c r="D1520" s="216"/>
      <c r="E1520" s="216"/>
      <c r="F1520" s="216"/>
      <c r="G1520" s="216"/>
    </row>
    <row r="1521">
      <c r="A1521" s="216"/>
      <c r="B1521" s="216"/>
      <c r="C1521" s="157"/>
      <c r="D1521" s="216"/>
      <c r="E1521" s="216"/>
      <c r="F1521" s="216"/>
      <c r="G1521" s="216"/>
    </row>
    <row r="1522">
      <c r="A1522" s="216"/>
      <c r="B1522" s="216"/>
      <c r="C1522" s="157"/>
      <c r="D1522" s="216"/>
      <c r="E1522" s="216"/>
      <c r="F1522" s="216"/>
      <c r="G1522" s="216"/>
    </row>
    <row r="1523">
      <c r="A1523" s="216"/>
      <c r="B1523" s="216"/>
      <c r="C1523" s="157"/>
      <c r="D1523" s="216"/>
      <c r="E1523" s="216"/>
      <c r="F1523" s="216"/>
      <c r="G1523" s="216"/>
    </row>
    <row r="1524">
      <c r="A1524" s="216"/>
      <c r="B1524" s="216"/>
      <c r="C1524" s="157"/>
      <c r="D1524" s="216"/>
      <c r="E1524" s="216"/>
      <c r="F1524" s="216"/>
      <c r="G1524" s="216"/>
    </row>
    <row r="1525">
      <c r="A1525" s="216"/>
      <c r="B1525" s="216"/>
      <c r="C1525" s="157"/>
      <c r="D1525" s="216"/>
      <c r="E1525" s="216"/>
      <c r="F1525" s="216"/>
      <c r="G1525" s="216"/>
    </row>
    <row r="1526">
      <c r="A1526" s="216"/>
      <c r="B1526" s="216"/>
      <c r="C1526" s="157"/>
      <c r="D1526" s="216"/>
      <c r="E1526" s="216"/>
      <c r="F1526" s="216"/>
      <c r="G1526" s="216"/>
    </row>
    <row r="1527">
      <c r="A1527" s="216"/>
      <c r="B1527" s="216"/>
      <c r="C1527" s="157"/>
      <c r="D1527" s="216"/>
      <c r="E1527" s="216"/>
      <c r="F1527" s="216"/>
      <c r="G1527" s="216"/>
    </row>
    <row r="1528">
      <c r="A1528" s="216"/>
      <c r="B1528" s="216"/>
      <c r="C1528" s="157"/>
      <c r="D1528" s="216"/>
      <c r="E1528" s="216"/>
      <c r="F1528" s="216"/>
      <c r="G1528" s="216"/>
    </row>
    <row r="1529">
      <c r="A1529" s="216"/>
      <c r="B1529" s="216"/>
      <c r="C1529" s="157"/>
      <c r="D1529" s="216"/>
      <c r="E1529" s="216"/>
      <c r="F1529" s="216"/>
      <c r="G1529" s="216"/>
    </row>
    <row r="1530">
      <c r="A1530" s="216"/>
      <c r="B1530" s="216"/>
      <c r="C1530" s="157"/>
      <c r="D1530" s="216"/>
      <c r="E1530" s="216"/>
      <c r="F1530" s="216"/>
      <c r="G1530" s="216"/>
    </row>
    <row r="1531">
      <c r="A1531" s="216"/>
      <c r="B1531" s="216"/>
      <c r="C1531" s="157"/>
      <c r="D1531" s="216"/>
      <c r="E1531" s="216"/>
      <c r="F1531" s="216"/>
      <c r="G1531" s="216"/>
    </row>
    <row r="1532">
      <c r="A1532" s="216"/>
      <c r="B1532" s="216"/>
      <c r="C1532" s="157"/>
      <c r="D1532" s="216"/>
      <c r="E1532" s="216"/>
      <c r="F1532" s="216"/>
      <c r="G1532" s="216"/>
    </row>
    <row r="1533">
      <c r="A1533" s="216"/>
      <c r="B1533" s="216"/>
      <c r="C1533" s="157"/>
      <c r="D1533" s="216"/>
      <c r="E1533" s="216"/>
      <c r="F1533" s="216"/>
      <c r="G1533" s="216"/>
    </row>
    <row r="1534">
      <c r="A1534" s="216"/>
      <c r="B1534" s="216"/>
      <c r="C1534" s="157"/>
      <c r="D1534" s="216"/>
      <c r="E1534" s="216"/>
      <c r="F1534" s="216"/>
      <c r="G1534" s="216"/>
    </row>
    <row r="1535">
      <c r="A1535" s="216"/>
      <c r="B1535" s="216"/>
      <c r="C1535" s="157"/>
      <c r="D1535" s="216"/>
      <c r="E1535" s="216"/>
      <c r="F1535" s="216"/>
      <c r="G1535" s="216"/>
    </row>
    <row r="1536">
      <c r="A1536" s="216"/>
      <c r="B1536" s="216"/>
      <c r="C1536" s="157"/>
      <c r="D1536" s="216"/>
      <c r="E1536" s="216"/>
      <c r="F1536" s="216"/>
      <c r="G1536" s="216"/>
    </row>
    <row r="1537">
      <c r="A1537" s="216"/>
      <c r="B1537" s="216"/>
      <c r="C1537" s="157"/>
      <c r="D1537" s="216"/>
      <c r="E1537" s="216"/>
      <c r="F1537" s="216"/>
      <c r="G1537" s="216"/>
    </row>
    <row r="1538">
      <c r="A1538" s="216"/>
      <c r="B1538" s="216"/>
      <c r="C1538" s="157"/>
      <c r="D1538" s="216"/>
      <c r="E1538" s="216"/>
      <c r="F1538" s="216"/>
      <c r="G1538" s="216"/>
    </row>
    <row r="1539">
      <c r="A1539" s="216"/>
      <c r="B1539" s="216"/>
      <c r="C1539" s="157"/>
      <c r="D1539" s="216"/>
      <c r="E1539" s="216"/>
      <c r="F1539" s="216"/>
      <c r="G1539" s="216"/>
    </row>
    <row r="1540">
      <c r="A1540" s="216"/>
      <c r="B1540" s="216"/>
      <c r="C1540" s="157"/>
      <c r="D1540" s="216"/>
      <c r="E1540" s="216"/>
      <c r="F1540" s="216"/>
      <c r="G1540" s="216"/>
    </row>
    <row r="1541">
      <c r="A1541" s="216"/>
      <c r="B1541" s="216"/>
      <c r="C1541" s="157"/>
      <c r="D1541" s="216"/>
      <c r="E1541" s="216"/>
      <c r="F1541" s="216"/>
      <c r="G1541" s="216"/>
    </row>
    <row r="1542">
      <c r="A1542" s="216"/>
      <c r="B1542" s="216"/>
      <c r="C1542" s="157"/>
      <c r="D1542" s="216"/>
      <c r="E1542" s="216"/>
      <c r="F1542" s="216"/>
      <c r="G1542" s="216"/>
    </row>
    <row r="1543">
      <c r="A1543" s="216"/>
      <c r="B1543" s="216"/>
      <c r="C1543" s="157"/>
      <c r="D1543" s="216"/>
      <c r="E1543" s="216"/>
      <c r="F1543" s="216"/>
      <c r="G1543" s="216"/>
    </row>
    <row r="1544">
      <c r="A1544" s="216"/>
      <c r="B1544" s="216"/>
      <c r="C1544" s="157"/>
      <c r="D1544" s="216"/>
      <c r="E1544" s="216"/>
      <c r="F1544" s="216"/>
      <c r="G1544" s="216"/>
    </row>
    <row r="1545">
      <c r="A1545" s="216"/>
      <c r="B1545" s="216"/>
      <c r="C1545" s="157"/>
      <c r="D1545" s="216"/>
      <c r="E1545" s="216"/>
      <c r="F1545" s="216"/>
      <c r="G1545" s="216"/>
    </row>
    <row r="1546">
      <c r="A1546" s="216"/>
      <c r="B1546" s="216"/>
      <c r="C1546" s="157"/>
      <c r="D1546" s="216"/>
      <c r="E1546" s="216"/>
      <c r="F1546" s="216"/>
      <c r="G1546" s="216"/>
    </row>
    <row r="1547">
      <c r="A1547" s="216"/>
      <c r="B1547" s="216"/>
      <c r="C1547" s="157"/>
      <c r="D1547" s="216"/>
      <c r="E1547" s="216"/>
      <c r="F1547" s="216"/>
      <c r="G1547" s="216"/>
    </row>
    <row r="1548">
      <c r="A1548" s="216"/>
      <c r="B1548" s="216"/>
      <c r="C1548" s="157"/>
      <c r="D1548" s="216"/>
      <c r="E1548" s="216"/>
      <c r="F1548" s="216"/>
      <c r="G1548" s="216"/>
    </row>
    <row r="1549">
      <c r="A1549" s="216"/>
      <c r="B1549" s="216"/>
      <c r="C1549" s="157"/>
      <c r="D1549" s="216"/>
      <c r="E1549" s="216"/>
      <c r="F1549" s="216"/>
      <c r="G1549" s="216"/>
    </row>
    <row r="1550">
      <c r="A1550" s="216"/>
      <c r="B1550" s="216"/>
      <c r="C1550" s="157"/>
      <c r="D1550" s="216"/>
      <c r="E1550" s="216"/>
      <c r="F1550" s="216"/>
      <c r="G1550" s="216"/>
    </row>
    <row r="1551">
      <c r="A1551" s="216"/>
      <c r="B1551" s="216"/>
      <c r="C1551" s="157"/>
      <c r="D1551" s="216"/>
      <c r="E1551" s="216"/>
      <c r="F1551" s="216"/>
      <c r="G1551" s="216"/>
    </row>
    <row r="1552">
      <c r="A1552" s="216"/>
      <c r="B1552" s="216"/>
      <c r="C1552" s="157"/>
      <c r="D1552" s="216"/>
      <c r="E1552" s="216"/>
      <c r="F1552" s="216"/>
      <c r="G1552" s="216"/>
    </row>
    <row r="1553">
      <c r="A1553" s="216"/>
      <c r="B1553" s="216"/>
      <c r="C1553" s="157"/>
      <c r="D1553" s="216"/>
      <c r="E1553" s="216"/>
      <c r="F1553" s="216"/>
      <c r="G1553" s="216"/>
    </row>
    <row r="1554">
      <c r="A1554" s="216"/>
      <c r="B1554" s="216"/>
      <c r="C1554" s="157"/>
      <c r="D1554" s="216"/>
      <c r="E1554" s="216"/>
      <c r="F1554" s="216"/>
      <c r="G1554" s="216"/>
    </row>
    <row r="1555">
      <c r="A1555" s="216"/>
      <c r="B1555" s="216"/>
      <c r="C1555" s="157"/>
      <c r="D1555" s="216"/>
      <c r="E1555" s="216"/>
      <c r="F1555" s="216"/>
      <c r="G1555" s="216"/>
    </row>
    <row r="1556">
      <c r="A1556" s="216"/>
      <c r="B1556" s="216"/>
      <c r="C1556" s="157"/>
      <c r="D1556" s="216"/>
      <c r="E1556" s="216"/>
      <c r="F1556" s="216"/>
      <c r="G1556" s="216"/>
    </row>
    <row r="1557">
      <c r="A1557" s="216"/>
      <c r="B1557" s="216"/>
      <c r="C1557" s="157"/>
      <c r="D1557" s="216"/>
      <c r="E1557" s="216"/>
      <c r="F1557" s="216"/>
      <c r="G1557" s="216"/>
    </row>
    <row r="1558">
      <c r="A1558" s="216"/>
      <c r="B1558" s="216"/>
      <c r="C1558" s="157"/>
      <c r="D1558" s="216"/>
      <c r="E1558" s="216"/>
      <c r="F1558" s="216"/>
      <c r="G1558" s="216"/>
    </row>
    <row r="1559">
      <c r="A1559" s="216"/>
      <c r="B1559" s="216"/>
      <c r="C1559" s="157"/>
      <c r="D1559" s="216"/>
      <c r="E1559" s="216"/>
      <c r="F1559" s="216"/>
      <c r="G1559" s="216"/>
    </row>
    <row r="1560">
      <c r="A1560" s="216"/>
      <c r="B1560" s="216"/>
      <c r="C1560" s="157"/>
      <c r="D1560" s="216"/>
      <c r="E1560" s="216"/>
      <c r="F1560" s="216"/>
      <c r="G1560" s="216"/>
    </row>
    <row r="1561">
      <c r="A1561" s="216"/>
      <c r="B1561" s="216"/>
      <c r="C1561" s="157"/>
      <c r="D1561" s="216"/>
      <c r="E1561" s="216"/>
      <c r="F1561" s="216"/>
      <c r="G1561" s="216"/>
    </row>
    <row r="1562">
      <c r="A1562" s="216"/>
      <c r="B1562" s="216"/>
      <c r="C1562" s="157"/>
      <c r="D1562" s="216"/>
      <c r="E1562" s="216"/>
      <c r="F1562" s="216"/>
      <c r="G1562" s="216"/>
    </row>
    <row r="1563">
      <c r="A1563" s="216"/>
      <c r="B1563" s="216"/>
      <c r="C1563" s="157"/>
      <c r="D1563" s="216"/>
      <c r="E1563" s="216"/>
      <c r="F1563" s="216"/>
      <c r="G1563" s="216"/>
    </row>
    <row r="1564">
      <c r="A1564" s="216"/>
      <c r="B1564" s="216"/>
      <c r="C1564" s="157"/>
      <c r="D1564" s="216"/>
      <c r="E1564" s="216"/>
      <c r="F1564" s="216"/>
      <c r="G1564" s="216"/>
    </row>
    <row r="1565">
      <c r="A1565" s="216"/>
      <c r="B1565" s="216"/>
      <c r="C1565" s="157"/>
      <c r="D1565" s="216"/>
      <c r="E1565" s="216"/>
      <c r="F1565" s="216"/>
      <c r="G1565" s="216"/>
    </row>
    <row r="1566">
      <c r="A1566" s="216"/>
      <c r="B1566" s="216"/>
      <c r="C1566" s="157"/>
      <c r="D1566" s="216"/>
      <c r="E1566" s="216"/>
      <c r="F1566" s="216"/>
      <c r="G1566" s="216"/>
    </row>
    <row r="1567">
      <c r="A1567" s="216"/>
      <c r="B1567" s="216"/>
      <c r="C1567" s="157"/>
      <c r="D1567" s="216"/>
      <c r="E1567" s="216"/>
      <c r="F1567" s="216"/>
      <c r="G1567" s="216"/>
    </row>
    <row r="1568">
      <c r="A1568" s="216"/>
      <c r="B1568" s="216"/>
      <c r="C1568" s="157"/>
      <c r="D1568" s="216"/>
      <c r="E1568" s="216"/>
      <c r="F1568" s="216"/>
      <c r="G1568" s="216"/>
    </row>
    <row r="1569">
      <c r="A1569" s="216"/>
      <c r="B1569" s="216"/>
      <c r="C1569" s="157"/>
      <c r="D1569" s="216"/>
      <c r="E1569" s="216"/>
      <c r="F1569" s="216"/>
      <c r="G1569" s="216"/>
    </row>
    <row r="1570">
      <c r="A1570" s="216"/>
      <c r="B1570" s="216"/>
      <c r="C1570" s="157"/>
      <c r="D1570" s="216"/>
      <c r="E1570" s="216"/>
      <c r="F1570" s="216"/>
      <c r="G1570" s="216"/>
    </row>
    <row r="1571">
      <c r="A1571" s="216"/>
      <c r="B1571" s="216"/>
      <c r="C1571" s="157"/>
      <c r="D1571" s="216"/>
      <c r="E1571" s="216"/>
      <c r="F1571" s="216"/>
      <c r="G1571" s="216"/>
    </row>
    <row r="1572">
      <c r="A1572" s="216"/>
      <c r="B1572" s="216"/>
      <c r="C1572" s="157"/>
      <c r="D1572" s="216"/>
      <c r="E1572" s="216"/>
      <c r="F1572" s="216"/>
      <c r="G1572" s="216"/>
    </row>
    <row r="1573">
      <c r="A1573" s="216"/>
      <c r="B1573" s="216"/>
      <c r="C1573" s="157"/>
      <c r="D1573" s="216"/>
      <c r="E1573" s="216"/>
      <c r="F1573" s="216"/>
      <c r="G1573" s="216"/>
    </row>
    <row r="1574">
      <c r="A1574" s="216"/>
      <c r="B1574" s="216"/>
      <c r="C1574" s="157"/>
      <c r="D1574" s="216"/>
      <c r="E1574" s="216"/>
      <c r="F1574" s="216"/>
      <c r="G1574" s="216"/>
    </row>
    <row r="1575">
      <c r="A1575" s="216"/>
      <c r="B1575" s="216"/>
      <c r="C1575" s="157"/>
      <c r="D1575" s="216"/>
      <c r="E1575" s="216"/>
      <c r="F1575" s="216"/>
      <c r="G1575" s="216"/>
    </row>
    <row r="1576">
      <c r="A1576" s="216"/>
      <c r="B1576" s="216"/>
      <c r="C1576" s="157"/>
      <c r="D1576" s="216"/>
      <c r="E1576" s="216"/>
      <c r="F1576" s="216"/>
      <c r="G1576" s="216"/>
    </row>
    <row r="1577">
      <c r="A1577" s="216"/>
      <c r="B1577" s="216"/>
      <c r="C1577" s="157"/>
      <c r="D1577" s="216"/>
      <c r="E1577" s="216"/>
      <c r="F1577" s="216"/>
      <c r="G1577" s="216"/>
    </row>
    <row r="1578">
      <c r="A1578" s="216"/>
      <c r="B1578" s="216"/>
      <c r="C1578" s="157"/>
      <c r="D1578" s="216"/>
      <c r="E1578" s="216"/>
      <c r="F1578" s="216"/>
      <c r="G1578" s="216"/>
    </row>
    <row r="1579">
      <c r="A1579" s="216"/>
      <c r="B1579" s="216"/>
      <c r="C1579" s="157"/>
      <c r="D1579" s="216"/>
      <c r="E1579" s="216"/>
      <c r="F1579" s="216"/>
      <c r="G1579" s="216"/>
    </row>
    <row r="1580">
      <c r="A1580" s="216"/>
      <c r="B1580" s="216"/>
      <c r="C1580" s="157"/>
      <c r="D1580" s="216"/>
      <c r="E1580" s="216"/>
      <c r="F1580" s="216"/>
      <c r="G1580" s="216"/>
    </row>
    <row r="1581">
      <c r="A1581" s="216"/>
      <c r="B1581" s="216"/>
      <c r="C1581" s="157"/>
      <c r="D1581" s="216"/>
      <c r="E1581" s="216"/>
      <c r="F1581" s="216"/>
      <c r="G1581" s="216"/>
    </row>
    <row r="1582">
      <c r="A1582" s="216"/>
      <c r="B1582" s="216"/>
      <c r="C1582" s="157"/>
      <c r="D1582" s="216"/>
      <c r="E1582" s="216"/>
      <c r="F1582" s="216"/>
      <c r="G1582" s="216"/>
    </row>
    <row r="1583">
      <c r="A1583" s="216"/>
      <c r="B1583" s="216"/>
      <c r="C1583" s="157"/>
      <c r="D1583" s="216"/>
      <c r="E1583" s="216"/>
      <c r="F1583" s="216"/>
      <c r="G1583" s="216"/>
    </row>
    <row r="1584">
      <c r="A1584" s="216"/>
      <c r="B1584" s="216"/>
      <c r="C1584" s="157"/>
      <c r="D1584" s="216"/>
      <c r="E1584" s="216"/>
      <c r="F1584" s="216"/>
      <c r="G1584" s="216"/>
    </row>
    <row r="1585">
      <c r="A1585" s="216"/>
      <c r="B1585" s="216"/>
      <c r="C1585" s="157"/>
      <c r="D1585" s="216"/>
      <c r="E1585" s="216"/>
      <c r="F1585" s="216"/>
      <c r="G1585" s="216"/>
    </row>
    <row r="1586">
      <c r="A1586" s="216"/>
      <c r="B1586" s="216"/>
      <c r="C1586" s="157"/>
      <c r="D1586" s="216"/>
      <c r="E1586" s="216"/>
      <c r="F1586" s="216"/>
      <c r="G1586" s="216"/>
    </row>
    <row r="1587">
      <c r="A1587" s="216"/>
      <c r="B1587" s="216"/>
      <c r="C1587" s="157"/>
      <c r="D1587" s="216"/>
      <c r="E1587" s="216"/>
      <c r="F1587" s="216"/>
      <c r="G1587" s="216"/>
    </row>
    <row r="1588">
      <c r="A1588" s="216"/>
      <c r="B1588" s="216"/>
      <c r="C1588" s="157"/>
      <c r="D1588" s="216"/>
      <c r="E1588" s="216"/>
      <c r="F1588" s="216"/>
      <c r="G1588" s="216"/>
    </row>
    <row r="1589">
      <c r="A1589" s="216"/>
      <c r="B1589" s="216"/>
      <c r="C1589" s="157"/>
      <c r="D1589" s="216"/>
      <c r="E1589" s="216"/>
      <c r="F1589" s="216"/>
      <c r="G1589" s="216"/>
    </row>
    <row r="1590">
      <c r="A1590" s="216"/>
      <c r="B1590" s="216"/>
      <c r="C1590" s="157"/>
      <c r="D1590" s="216"/>
      <c r="E1590" s="216"/>
      <c r="F1590" s="216"/>
      <c r="G1590" s="216"/>
    </row>
    <row r="1591">
      <c r="A1591" s="216"/>
      <c r="B1591" s="216"/>
      <c r="C1591" s="157"/>
      <c r="D1591" s="216"/>
      <c r="E1591" s="216"/>
      <c r="F1591" s="216"/>
      <c r="G1591" s="216"/>
    </row>
    <row r="1592">
      <c r="A1592" s="216"/>
      <c r="B1592" s="216"/>
      <c r="C1592" s="157"/>
      <c r="D1592" s="216"/>
      <c r="E1592" s="216"/>
      <c r="F1592" s="216"/>
      <c r="G1592" s="216"/>
    </row>
    <row r="1593">
      <c r="A1593" s="216"/>
      <c r="B1593" s="216"/>
      <c r="C1593" s="157"/>
      <c r="D1593" s="216"/>
      <c r="E1593" s="216"/>
      <c r="F1593" s="216"/>
      <c r="G1593" s="216"/>
    </row>
    <row r="1594">
      <c r="A1594" s="216"/>
      <c r="B1594" s="216"/>
      <c r="C1594" s="157"/>
      <c r="D1594" s="216"/>
      <c r="E1594" s="216"/>
      <c r="F1594" s="216"/>
      <c r="G1594" s="216"/>
    </row>
    <row r="1595">
      <c r="A1595" s="216"/>
      <c r="B1595" s="216"/>
      <c r="C1595" s="157"/>
      <c r="D1595" s="216"/>
      <c r="E1595" s="216"/>
      <c r="F1595" s="216"/>
      <c r="G1595" s="216"/>
    </row>
    <row r="1596">
      <c r="A1596" s="216"/>
      <c r="B1596" s="216"/>
      <c r="C1596" s="157"/>
      <c r="D1596" s="216"/>
      <c r="E1596" s="216"/>
      <c r="F1596" s="216"/>
      <c r="G1596" s="216"/>
    </row>
    <row r="1597">
      <c r="A1597" s="216"/>
      <c r="B1597" s="216"/>
      <c r="C1597" s="157"/>
      <c r="D1597" s="216"/>
      <c r="E1597" s="216"/>
      <c r="F1597" s="216"/>
      <c r="G1597" s="216"/>
    </row>
    <row r="1598">
      <c r="A1598" s="216"/>
      <c r="B1598" s="216"/>
      <c r="C1598" s="157"/>
      <c r="D1598" s="216"/>
      <c r="E1598" s="216"/>
      <c r="F1598" s="216"/>
      <c r="G1598" s="216"/>
    </row>
    <row r="1599">
      <c r="A1599" s="216"/>
      <c r="B1599" s="216"/>
      <c r="C1599" s="157"/>
      <c r="D1599" s="216"/>
      <c r="E1599" s="216"/>
      <c r="F1599" s="216"/>
      <c r="G1599" s="216"/>
    </row>
    <row r="1600">
      <c r="A1600" s="216"/>
      <c r="B1600" s="216"/>
      <c r="C1600" s="157"/>
      <c r="D1600" s="216"/>
      <c r="E1600" s="216"/>
      <c r="F1600" s="216"/>
      <c r="G1600" s="216"/>
    </row>
    <row r="1601">
      <c r="A1601" s="216"/>
      <c r="B1601" s="216"/>
      <c r="C1601" s="157"/>
      <c r="D1601" s="216"/>
      <c r="E1601" s="216"/>
      <c r="F1601" s="216"/>
      <c r="G1601" s="216"/>
    </row>
    <row r="1602">
      <c r="A1602" s="216"/>
      <c r="B1602" s="216"/>
      <c r="C1602" s="157"/>
      <c r="D1602" s="216"/>
      <c r="E1602" s="216"/>
      <c r="F1602" s="216"/>
      <c r="G1602" s="216"/>
    </row>
    <row r="1603">
      <c r="A1603" s="216"/>
      <c r="B1603" s="216"/>
      <c r="C1603" s="157"/>
      <c r="D1603" s="216"/>
      <c r="E1603" s="216"/>
      <c r="F1603" s="216"/>
      <c r="G1603" s="216"/>
    </row>
    <row r="1604">
      <c r="A1604" s="216"/>
      <c r="B1604" s="216"/>
      <c r="C1604" s="157"/>
      <c r="D1604" s="216"/>
      <c r="E1604" s="216"/>
      <c r="F1604" s="216"/>
      <c r="G1604" s="216"/>
    </row>
    <row r="1605">
      <c r="A1605" s="216"/>
      <c r="B1605" s="216"/>
      <c r="C1605" s="157"/>
      <c r="D1605" s="216"/>
      <c r="E1605" s="216"/>
      <c r="F1605" s="216"/>
      <c r="G1605" s="216"/>
    </row>
    <row r="1606">
      <c r="A1606" s="216"/>
      <c r="B1606" s="216"/>
      <c r="C1606" s="157"/>
      <c r="D1606" s="216"/>
      <c r="E1606" s="216"/>
      <c r="F1606" s="216"/>
      <c r="G1606" s="216"/>
    </row>
    <row r="1607">
      <c r="A1607" s="216"/>
      <c r="B1607" s="216"/>
      <c r="C1607" s="157"/>
      <c r="D1607" s="216"/>
      <c r="E1607" s="216"/>
      <c r="F1607" s="216"/>
      <c r="G1607" s="216"/>
    </row>
    <row r="1608">
      <c r="A1608" s="216"/>
      <c r="B1608" s="216"/>
      <c r="C1608" s="157"/>
      <c r="D1608" s="216"/>
      <c r="E1608" s="216"/>
      <c r="F1608" s="216"/>
      <c r="G1608" s="216"/>
    </row>
    <row r="1609">
      <c r="A1609" s="216"/>
      <c r="B1609" s="216"/>
      <c r="C1609" s="157"/>
      <c r="D1609" s="216"/>
      <c r="E1609" s="216"/>
      <c r="F1609" s="216"/>
      <c r="G1609" s="216"/>
    </row>
    <row r="1610">
      <c r="A1610" s="216"/>
      <c r="B1610" s="216"/>
      <c r="C1610" s="157"/>
      <c r="D1610" s="216"/>
      <c r="E1610" s="216"/>
      <c r="F1610" s="216"/>
      <c r="G1610" s="216"/>
    </row>
    <row r="1611">
      <c r="A1611" s="216"/>
      <c r="B1611" s="216"/>
      <c r="C1611" s="157"/>
      <c r="D1611" s="216"/>
      <c r="E1611" s="216"/>
      <c r="F1611" s="216"/>
      <c r="G1611" s="216"/>
    </row>
    <row r="1612">
      <c r="A1612" s="216"/>
      <c r="B1612" s="216"/>
      <c r="C1612" s="157"/>
      <c r="D1612" s="216"/>
      <c r="E1612" s="216"/>
      <c r="F1612" s="216"/>
      <c r="G1612" s="216"/>
    </row>
    <row r="1613">
      <c r="A1613" s="216"/>
      <c r="B1613" s="216"/>
      <c r="C1613" s="157"/>
      <c r="D1613" s="216"/>
      <c r="E1613" s="216"/>
      <c r="F1613" s="216"/>
      <c r="G1613" s="216"/>
    </row>
    <row r="1614">
      <c r="A1614" s="216"/>
      <c r="B1614" s="216"/>
      <c r="C1614" s="157"/>
      <c r="D1614" s="216"/>
      <c r="E1614" s="216"/>
      <c r="F1614" s="216"/>
      <c r="G1614" s="216"/>
    </row>
    <row r="1615">
      <c r="A1615" s="216"/>
      <c r="B1615" s="216"/>
      <c r="C1615" s="157"/>
      <c r="D1615" s="216"/>
      <c r="E1615" s="216"/>
      <c r="F1615" s="216"/>
      <c r="G1615" s="216"/>
    </row>
    <row r="1616">
      <c r="A1616" s="216"/>
      <c r="B1616" s="216"/>
      <c r="C1616" s="157"/>
      <c r="D1616" s="216"/>
      <c r="E1616" s="216"/>
      <c r="F1616" s="216"/>
      <c r="G1616" s="216"/>
    </row>
    <row r="1617">
      <c r="A1617" s="216"/>
      <c r="B1617" s="216"/>
      <c r="C1617" s="157"/>
      <c r="D1617" s="216"/>
      <c r="E1617" s="216"/>
      <c r="F1617" s="216"/>
      <c r="G1617" s="216"/>
    </row>
    <row r="1618">
      <c r="A1618" s="216"/>
      <c r="B1618" s="216"/>
      <c r="C1618" s="157"/>
      <c r="D1618" s="216"/>
      <c r="E1618" s="216"/>
      <c r="F1618" s="216"/>
      <c r="G1618" s="216"/>
    </row>
    <row r="1619">
      <c r="A1619" s="216"/>
      <c r="B1619" s="216"/>
      <c r="C1619" s="157"/>
      <c r="D1619" s="216"/>
      <c r="E1619" s="216"/>
      <c r="F1619" s="216"/>
      <c r="G1619" s="216"/>
    </row>
    <row r="1620">
      <c r="A1620" s="216"/>
      <c r="B1620" s="216"/>
      <c r="C1620" s="157"/>
      <c r="D1620" s="216"/>
      <c r="E1620" s="216"/>
      <c r="F1620" s="216"/>
      <c r="G1620" s="216"/>
    </row>
    <row r="1621">
      <c r="A1621" s="216"/>
      <c r="B1621" s="216"/>
      <c r="C1621" s="157"/>
      <c r="D1621" s="216"/>
      <c r="E1621" s="216"/>
      <c r="F1621" s="216"/>
      <c r="G1621" s="216"/>
    </row>
    <row r="1622">
      <c r="A1622" s="216"/>
      <c r="B1622" s="216"/>
      <c r="C1622" s="157"/>
      <c r="D1622" s="216"/>
      <c r="E1622" s="216"/>
      <c r="F1622" s="216"/>
      <c r="G1622" s="216"/>
    </row>
    <row r="1623">
      <c r="A1623" s="216"/>
      <c r="B1623" s="216"/>
      <c r="C1623" s="157"/>
      <c r="D1623" s="216"/>
      <c r="E1623" s="216"/>
      <c r="F1623" s="216"/>
      <c r="G1623" s="216"/>
    </row>
    <row r="1624">
      <c r="A1624" s="216"/>
      <c r="B1624" s="216"/>
      <c r="C1624" s="157"/>
      <c r="D1624" s="216"/>
      <c r="E1624" s="216"/>
      <c r="F1624" s="216"/>
      <c r="G1624" s="216"/>
    </row>
    <row r="1625">
      <c r="A1625" s="216"/>
      <c r="B1625" s="216"/>
      <c r="C1625" s="157"/>
      <c r="D1625" s="216"/>
      <c r="E1625" s="216"/>
      <c r="F1625" s="216"/>
      <c r="G1625" s="216"/>
    </row>
    <row r="1626">
      <c r="A1626" s="216"/>
      <c r="B1626" s="216"/>
      <c r="C1626" s="157"/>
      <c r="D1626" s="216"/>
      <c r="E1626" s="216"/>
      <c r="F1626" s="216"/>
      <c r="G1626" s="216"/>
    </row>
    <row r="1627">
      <c r="A1627" s="216"/>
      <c r="B1627" s="216"/>
      <c r="C1627" s="157"/>
      <c r="D1627" s="216"/>
      <c r="E1627" s="216"/>
      <c r="F1627" s="216"/>
      <c r="G1627" s="216"/>
    </row>
    <row r="1628">
      <c r="A1628" s="216"/>
      <c r="B1628" s="216"/>
      <c r="C1628" s="157"/>
      <c r="D1628" s="216"/>
      <c r="E1628" s="216"/>
      <c r="F1628" s="216"/>
      <c r="G1628" s="216"/>
    </row>
    <row r="1629">
      <c r="A1629" s="216"/>
      <c r="B1629" s="216"/>
      <c r="C1629" s="157"/>
      <c r="D1629" s="216"/>
      <c r="E1629" s="216"/>
      <c r="F1629" s="216"/>
      <c r="G1629" s="216"/>
    </row>
    <row r="1630">
      <c r="A1630" s="216"/>
      <c r="B1630" s="216"/>
      <c r="C1630" s="157"/>
      <c r="D1630" s="216"/>
      <c r="E1630" s="216"/>
      <c r="F1630" s="216"/>
      <c r="G1630" s="216"/>
    </row>
    <row r="1631">
      <c r="A1631" s="216"/>
      <c r="B1631" s="216"/>
      <c r="C1631" s="157"/>
      <c r="D1631" s="216"/>
      <c r="E1631" s="216"/>
      <c r="F1631" s="216"/>
      <c r="G1631" s="216"/>
    </row>
    <row r="1632">
      <c r="A1632" s="216"/>
      <c r="B1632" s="216"/>
      <c r="C1632" s="157"/>
      <c r="D1632" s="216"/>
      <c r="E1632" s="216"/>
      <c r="F1632" s="216"/>
      <c r="G1632" s="216"/>
    </row>
    <row r="1633">
      <c r="A1633" s="216"/>
      <c r="B1633" s="216"/>
      <c r="C1633" s="157"/>
      <c r="D1633" s="216"/>
      <c r="E1633" s="216"/>
      <c r="F1633" s="216"/>
      <c r="G1633" s="216"/>
    </row>
    <row r="1634">
      <c r="A1634" s="216"/>
      <c r="B1634" s="216"/>
      <c r="C1634" s="157"/>
      <c r="D1634" s="216"/>
      <c r="E1634" s="216"/>
      <c r="F1634" s="216"/>
      <c r="G1634" s="216"/>
    </row>
    <row r="1635">
      <c r="A1635" s="216"/>
      <c r="B1635" s="216"/>
      <c r="C1635" s="157"/>
      <c r="D1635" s="216"/>
      <c r="E1635" s="216"/>
      <c r="F1635" s="216"/>
      <c r="G1635" s="216"/>
    </row>
    <row r="1636">
      <c r="A1636" s="216"/>
      <c r="B1636" s="216"/>
      <c r="C1636" s="157"/>
      <c r="D1636" s="216"/>
      <c r="E1636" s="216"/>
      <c r="F1636" s="216"/>
      <c r="G1636" s="216"/>
    </row>
    <row r="1637">
      <c r="A1637" s="216"/>
      <c r="B1637" s="216"/>
      <c r="C1637" s="157"/>
      <c r="D1637" s="216"/>
      <c r="E1637" s="216"/>
      <c r="F1637" s="216"/>
      <c r="G1637" s="216"/>
    </row>
    <row r="1638">
      <c r="A1638" s="216"/>
      <c r="B1638" s="216"/>
      <c r="C1638" s="157"/>
      <c r="D1638" s="216"/>
      <c r="E1638" s="216"/>
      <c r="F1638" s="216"/>
      <c r="G1638" s="216"/>
    </row>
    <row r="1639">
      <c r="A1639" s="216"/>
      <c r="B1639" s="216"/>
      <c r="C1639" s="157"/>
      <c r="D1639" s="216"/>
      <c r="E1639" s="216"/>
      <c r="F1639" s="216"/>
      <c r="G1639" s="216"/>
    </row>
    <row r="1640">
      <c r="A1640" s="216"/>
      <c r="B1640" s="216"/>
      <c r="C1640" s="157"/>
      <c r="D1640" s="216"/>
      <c r="E1640" s="216"/>
      <c r="F1640" s="216"/>
      <c r="G1640" s="216"/>
    </row>
    <row r="1641">
      <c r="A1641" s="216"/>
      <c r="B1641" s="216"/>
      <c r="C1641" s="157"/>
      <c r="D1641" s="216"/>
      <c r="E1641" s="216"/>
      <c r="F1641" s="216"/>
      <c r="G1641" s="216"/>
    </row>
    <row r="1642">
      <c r="A1642" s="216"/>
      <c r="B1642" s="216"/>
      <c r="C1642" s="157"/>
      <c r="D1642" s="216"/>
      <c r="E1642" s="216"/>
      <c r="F1642" s="216"/>
      <c r="G1642" s="216"/>
    </row>
    <row r="1643">
      <c r="A1643" s="216"/>
      <c r="B1643" s="216"/>
      <c r="C1643" s="157"/>
      <c r="D1643" s="216"/>
      <c r="E1643" s="216"/>
      <c r="F1643" s="216"/>
      <c r="G1643" s="216"/>
    </row>
    <row r="1644">
      <c r="A1644" s="216"/>
      <c r="B1644" s="216"/>
      <c r="C1644" s="157"/>
      <c r="D1644" s="216"/>
      <c r="E1644" s="216"/>
      <c r="F1644" s="216"/>
      <c r="G1644" s="216"/>
    </row>
    <row r="1645">
      <c r="A1645" s="216"/>
      <c r="B1645" s="216"/>
      <c r="C1645" s="157"/>
      <c r="D1645" s="216"/>
      <c r="E1645" s="216"/>
      <c r="F1645" s="216"/>
      <c r="G1645" s="216"/>
    </row>
    <row r="1646">
      <c r="A1646" s="216"/>
      <c r="B1646" s="216"/>
      <c r="C1646" s="157"/>
      <c r="D1646" s="216"/>
      <c r="E1646" s="216"/>
      <c r="F1646" s="216"/>
      <c r="G1646" s="216"/>
    </row>
    <row r="1647">
      <c r="A1647" s="216"/>
      <c r="B1647" s="216"/>
      <c r="C1647" s="157"/>
      <c r="D1647" s="216"/>
      <c r="E1647" s="216"/>
      <c r="F1647" s="216"/>
      <c r="G1647" s="216"/>
    </row>
    <row r="1648">
      <c r="A1648" s="216"/>
      <c r="B1648" s="216"/>
      <c r="C1648" s="157"/>
      <c r="D1648" s="216"/>
      <c r="E1648" s="216"/>
      <c r="F1648" s="216"/>
      <c r="G1648" s="216"/>
    </row>
    <row r="1649">
      <c r="A1649" s="216"/>
      <c r="B1649" s="216"/>
      <c r="C1649" s="157"/>
      <c r="D1649" s="216"/>
      <c r="E1649" s="216"/>
      <c r="F1649" s="216"/>
      <c r="G1649" s="216"/>
    </row>
    <row r="1650">
      <c r="A1650" s="216"/>
      <c r="B1650" s="216"/>
      <c r="C1650" s="157"/>
      <c r="D1650" s="216"/>
      <c r="E1650" s="216"/>
      <c r="F1650" s="216"/>
      <c r="G1650" s="216"/>
    </row>
    <row r="1651">
      <c r="A1651" s="216"/>
      <c r="B1651" s="216"/>
      <c r="C1651" s="157"/>
      <c r="D1651" s="216"/>
      <c r="E1651" s="216"/>
      <c r="F1651" s="216"/>
      <c r="G1651" s="216"/>
    </row>
    <row r="1652">
      <c r="A1652" s="216"/>
      <c r="B1652" s="216"/>
      <c r="C1652" s="157"/>
      <c r="D1652" s="216"/>
      <c r="E1652" s="216"/>
      <c r="F1652" s="216"/>
      <c r="G1652" s="216"/>
    </row>
    <row r="1653">
      <c r="A1653" s="216"/>
      <c r="B1653" s="216"/>
      <c r="C1653" s="157"/>
      <c r="D1653" s="216"/>
      <c r="E1653" s="216"/>
      <c r="F1653" s="216"/>
      <c r="G1653" s="216"/>
    </row>
    <row r="1654">
      <c r="A1654" s="216"/>
      <c r="B1654" s="216"/>
      <c r="C1654" s="157"/>
      <c r="D1654" s="216"/>
      <c r="E1654" s="216"/>
      <c r="F1654" s="216"/>
      <c r="G1654" s="216"/>
    </row>
    <row r="1655">
      <c r="A1655" s="216"/>
      <c r="B1655" s="216"/>
      <c r="C1655" s="157"/>
      <c r="D1655" s="216"/>
      <c r="E1655" s="216"/>
      <c r="F1655" s="216"/>
      <c r="G1655" s="216"/>
    </row>
    <row r="1656">
      <c r="A1656" s="216"/>
      <c r="B1656" s="216"/>
      <c r="C1656" s="157"/>
      <c r="D1656" s="216"/>
      <c r="E1656" s="216"/>
      <c r="F1656" s="216"/>
      <c r="G1656" s="216"/>
    </row>
    <row r="1657">
      <c r="A1657" s="216"/>
      <c r="B1657" s="216"/>
      <c r="C1657" s="157"/>
      <c r="D1657" s="216"/>
      <c r="E1657" s="216"/>
      <c r="F1657" s="216"/>
      <c r="G1657" s="216"/>
    </row>
    <row r="1658">
      <c r="A1658" s="216"/>
      <c r="B1658" s="216"/>
      <c r="C1658" s="157"/>
      <c r="D1658" s="216"/>
      <c r="E1658" s="216"/>
      <c r="F1658" s="216"/>
      <c r="G1658" s="216"/>
    </row>
    <row r="1659">
      <c r="A1659" s="216"/>
      <c r="B1659" s="216"/>
      <c r="C1659" s="157"/>
      <c r="D1659" s="216"/>
      <c r="E1659" s="216"/>
      <c r="F1659" s="216"/>
      <c r="G1659" s="216"/>
    </row>
    <row r="1660">
      <c r="A1660" s="216"/>
      <c r="B1660" s="216"/>
      <c r="C1660" s="157"/>
      <c r="D1660" s="216"/>
      <c r="E1660" s="216"/>
      <c r="F1660" s="216"/>
      <c r="G1660" s="216"/>
    </row>
    <row r="1661">
      <c r="A1661" s="216"/>
      <c r="B1661" s="216"/>
      <c r="C1661" s="157"/>
      <c r="D1661" s="216"/>
      <c r="E1661" s="216"/>
      <c r="F1661" s="216"/>
      <c r="G1661" s="216"/>
    </row>
    <row r="1662">
      <c r="A1662" s="216"/>
      <c r="B1662" s="216"/>
      <c r="C1662" s="157"/>
      <c r="D1662" s="216"/>
      <c r="E1662" s="216"/>
      <c r="F1662" s="216"/>
      <c r="G1662" s="216"/>
    </row>
    <row r="1663">
      <c r="A1663" s="216"/>
      <c r="B1663" s="216"/>
      <c r="C1663" s="157"/>
      <c r="D1663" s="216"/>
      <c r="E1663" s="216"/>
      <c r="F1663" s="216"/>
      <c r="G1663" s="216"/>
    </row>
    <row r="1664">
      <c r="A1664" s="216"/>
      <c r="B1664" s="216"/>
      <c r="C1664" s="157"/>
      <c r="D1664" s="216"/>
      <c r="E1664" s="216"/>
      <c r="F1664" s="216"/>
      <c r="G1664" s="216"/>
    </row>
    <row r="1665">
      <c r="A1665" s="216"/>
      <c r="B1665" s="216"/>
      <c r="C1665" s="157"/>
      <c r="D1665" s="216"/>
      <c r="E1665" s="216"/>
      <c r="F1665" s="216"/>
      <c r="G1665" s="216"/>
    </row>
    <row r="1666">
      <c r="A1666" s="216"/>
      <c r="B1666" s="216"/>
      <c r="C1666" s="157"/>
      <c r="D1666" s="216"/>
      <c r="E1666" s="216"/>
      <c r="F1666" s="216"/>
      <c r="G1666" s="216"/>
    </row>
    <row r="1667">
      <c r="A1667" s="216"/>
      <c r="B1667" s="216"/>
      <c r="C1667" s="157"/>
      <c r="D1667" s="216"/>
      <c r="E1667" s="216"/>
      <c r="F1667" s="216"/>
      <c r="G1667" s="216"/>
    </row>
    <row r="1668">
      <c r="A1668" s="216"/>
      <c r="B1668" s="216"/>
      <c r="C1668" s="157"/>
      <c r="D1668" s="216"/>
      <c r="E1668" s="216"/>
      <c r="F1668" s="216"/>
      <c r="G1668" s="216"/>
    </row>
    <row r="1669">
      <c r="A1669" s="216"/>
      <c r="B1669" s="216"/>
      <c r="C1669" s="157"/>
      <c r="D1669" s="216"/>
      <c r="E1669" s="216"/>
      <c r="F1669" s="216"/>
      <c r="G1669" s="216"/>
    </row>
    <row r="1670">
      <c r="A1670" s="216"/>
      <c r="B1670" s="216"/>
      <c r="C1670" s="157"/>
      <c r="D1670" s="216"/>
      <c r="E1670" s="216"/>
      <c r="F1670" s="216"/>
      <c r="G1670" s="216"/>
    </row>
    <row r="1671">
      <c r="A1671" s="216"/>
      <c r="B1671" s="216"/>
      <c r="C1671" s="157"/>
      <c r="D1671" s="216"/>
      <c r="E1671" s="216"/>
      <c r="F1671" s="216"/>
      <c r="G1671" s="216"/>
    </row>
    <row r="1672">
      <c r="A1672" s="216"/>
      <c r="B1672" s="216"/>
      <c r="C1672" s="157"/>
      <c r="D1672" s="216"/>
      <c r="E1672" s="216"/>
      <c r="F1672" s="216"/>
      <c r="G1672" s="216"/>
    </row>
    <row r="1673">
      <c r="A1673" s="216"/>
      <c r="B1673" s="216"/>
      <c r="C1673" s="157"/>
      <c r="D1673" s="216"/>
      <c r="E1673" s="216"/>
      <c r="F1673" s="216"/>
      <c r="G1673" s="216"/>
    </row>
    <row r="1674">
      <c r="A1674" s="216"/>
      <c r="B1674" s="216"/>
      <c r="C1674" s="157"/>
      <c r="D1674" s="216"/>
      <c r="E1674" s="216"/>
      <c r="F1674" s="216"/>
      <c r="G1674" s="216"/>
    </row>
    <row r="1675">
      <c r="A1675" s="216"/>
      <c r="B1675" s="216"/>
      <c r="C1675" s="157"/>
      <c r="D1675" s="216"/>
      <c r="E1675" s="216"/>
      <c r="F1675" s="216"/>
      <c r="G1675" s="216"/>
    </row>
    <row r="1676">
      <c r="A1676" s="216"/>
      <c r="B1676" s="216"/>
      <c r="C1676" s="157"/>
      <c r="D1676" s="216"/>
      <c r="E1676" s="216"/>
      <c r="F1676" s="216"/>
      <c r="G1676" s="216"/>
    </row>
    <row r="1677">
      <c r="A1677" s="216"/>
      <c r="B1677" s="216"/>
      <c r="C1677" s="157"/>
      <c r="D1677" s="216"/>
      <c r="E1677" s="216"/>
      <c r="F1677" s="216"/>
      <c r="G1677" s="216"/>
    </row>
    <row r="1678">
      <c r="A1678" s="216"/>
      <c r="B1678" s="216"/>
      <c r="C1678" s="157"/>
      <c r="D1678" s="216"/>
      <c r="E1678" s="216"/>
      <c r="F1678" s="216"/>
      <c r="G1678" s="216"/>
    </row>
    <row r="1679">
      <c r="A1679" s="216"/>
      <c r="B1679" s="216"/>
      <c r="C1679" s="157"/>
      <c r="D1679" s="216"/>
      <c r="E1679" s="216"/>
      <c r="F1679" s="216"/>
      <c r="G1679" s="216"/>
    </row>
    <row r="1680">
      <c r="A1680" s="216"/>
      <c r="B1680" s="216"/>
      <c r="C1680" s="157"/>
      <c r="D1680" s="216"/>
      <c r="E1680" s="216"/>
      <c r="F1680" s="216"/>
      <c r="G1680" s="216"/>
    </row>
    <row r="1681">
      <c r="A1681" s="216"/>
      <c r="B1681" s="216"/>
      <c r="C1681" s="157"/>
      <c r="D1681" s="216"/>
      <c r="E1681" s="216"/>
      <c r="F1681" s="216"/>
      <c r="G1681" s="216"/>
    </row>
    <row r="1682">
      <c r="A1682" s="216"/>
      <c r="B1682" s="216"/>
      <c r="C1682" s="157"/>
      <c r="D1682" s="216"/>
      <c r="E1682" s="216"/>
      <c r="F1682" s="216"/>
      <c r="G1682" s="216"/>
    </row>
    <row r="1683">
      <c r="A1683" s="216"/>
      <c r="B1683" s="216"/>
      <c r="C1683" s="157"/>
      <c r="D1683" s="216"/>
      <c r="E1683" s="216"/>
      <c r="F1683" s="216"/>
      <c r="G1683" s="216"/>
    </row>
    <row r="1684">
      <c r="A1684" s="216"/>
      <c r="B1684" s="216"/>
      <c r="C1684" s="157"/>
      <c r="D1684" s="216"/>
      <c r="E1684" s="216"/>
      <c r="F1684" s="216"/>
      <c r="G1684" s="216"/>
    </row>
    <row r="1685">
      <c r="A1685" s="216"/>
      <c r="B1685" s="216"/>
      <c r="C1685" s="157"/>
      <c r="D1685" s="216"/>
      <c r="E1685" s="216"/>
      <c r="F1685" s="216"/>
      <c r="G1685" s="216"/>
    </row>
    <row r="1686">
      <c r="A1686" s="216"/>
      <c r="B1686" s="216"/>
      <c r="C1686" s="157"/>
      <c r="D1686" s="216"/>
      <c r="E1686" s="216"/>
      <c r="F1686" s="216"/>
      <c r="G1686" s="216"/>
    </row>
    <row r="1687">
      <c r="A1687" s="216"/>
      <c r="B1687" s="216"/>
      <c r="C1687" s="157"/>
      <c r="D1687" s="216"/>
      <c r="E1687" s="216"/>
      <c r="F1687" s="216"/>
      <c r="G1687" s="216"/>
    </row>
    <row r="1688">
      <c r="A1688" s="216"/>
      <c r="B1688" s="216"/>
      <c r="C1688" s="157"/>
      <c r="D1688" s="216"/>
      <c r="E1688" s="216"/>
      <c r="F1688" s="216"/>
      <c r="G1688" s="216"/>
    </row>
    <row r="1689">
      <c r="A1689" s="216"/>
      <c r="B1689" s="216"/>
      <c r="C1689" s="157"/>
      <c r="D1689" s="216"/>
      <c r="E1689" s="216"/>
      <c r="F1689" s="216"/>
      <c r="G1689" s="216"/>
    </row>
    <row r="1690">
      <c r="A1690" s="216"/>
      <c r="B1690" s="216"/>
      <c r="C1690" s="157"/>
      <c r="D1690" s="216"/>
      <c r="E1690" s="216"/>
      <c r="F1690" s="216"/>
      <c r="G1690" s="216"/>
    </row>
    <row r="1691">
      <c r="A1691" s="216"/>
      <c r="B1691" s="216"/>
      <c r="C1691" s="157"/>
      <c r="D1691" s="216"/>
      <c r="E1691" s="216"/>
      <c r="F1691" s="216"/>
      <c r="G1691" s="216"/>
    </row>
    <row r="1692">
      <c r="A1692" s="216"/>
      <c r="B1692" s="216"/>
      <c r="C1692" s="157"/>
      <c r="D1692" s="216"/>
      <c r="E1692" s="216"/>
      <c r="F1692" s="216"/>
      <c r="G1692" s="216"/>
    </row>
    <row r="1693">
      <c r="A1693" s="216"/>
      <c r="B1693" s="216"/>
      <c r="C1693" s="157"/>
      <c r="D1693" s="216"/>
      <c r="E1693" s="216"/>
      <c r="F1693" s="216"/>
      <c r="G1693" s="216"/>
    </row>
    <row r="1694">
      <c r="A1694" s="216"/>
      <c r="B1694" s="216"/>
      <c r="C1694" s="157"/>
      <c r="D1694" s="216"/>
      <c r="E1694" s="216"/>
      <c r="F1694" s="216"/>
      <c r="G1694" s="216"/>
    </row>
    <row r="1695">
      <c r="A1695" s="216"/>
      <c r="B1695" s="216"/>
      <c r="C1695" s="157"/>
      <c r="D1695" s="216"/>
      <c r="E1695" s="216"/>
      <c r="F1695" s="216"/>
      <c r="G1695" s="216"/>
    </row>
    <row r="1696">
      <c r="A1696" s="216"/>
      <c r="B1696" s="216"/>
      <c r="C1696" s="157"/>
      <c r="D1696" s="216"/>
      <c r="E1696" s="216"/>
      <c r="F1696" s="216"/>
      <c r="G1696" s="216"/>
    </row>
    <row r="1697">
      <c r="A1697" s="216"/>
      <c r="B1697" s="216"/>
      <c r="C1697" s="157"/>
      <c r="D1697" s="216"/>
      <c r="E1697" s="216"/>
      <c r="F1697" s="216"/>
      <c r="G1697" s="216"/>
    </row>
    <row r="1698">
      <c r="A1698" s="216"/>
      <c r="B1698" s="216"/>
      <c r="C1698" s="157"/>
      <c r="D1698" s="216"/>
      <c r="E1698" s="216"/>
      <c r="F1698" s="216"/>
      <c r="G1698" s="216"/>
    </row>
    <row r="1699">
      <c r="A1699" s="216"/>
      <c r="B1699" s="216"/>
      <c r="C1699" s="157"/>
      <c r="D1699" s="216"/>
      <c r="E1699" s="216"/>
      <c r="F1699" s="216"/>
      <c r="G1699" s="216"/>
    </row>
    <row r="1700">
      <c r="A1700" s="216"/>
      <c r="B1700" s="216"/>
      <c r="C1700" s="157"/>
      <c r="D1700" s="216"/>
      <c r="E1700" s="216"/>
      <c r="F1700" s="216"/>
      <c r="G1700" s="216"/>
    </row>
    <row r="1701">
      <c r="A1701" s="216"/>
      <c r="B1701" s="216"/>
      <c r="C1701" s="157"/>
      <c r="D1701" s="216"/>
      <c r="E1701" s="216"/>
      <c r="F1701" s="216"/>
      <c r="G1701" s="216"/>
    </row>
    <row r="1702">
      <c r="A1702" s="216"/>
      <c r="B1702" s="216"/>
      <c r="C1702" s="157"/>
      <c r="D1702" s="216"/>
      <c r="E1702" s="216"/>
      <c r="F1702" s="216"/>
      <c r="G1702" s="216"/>
    </row>
    <row r="1703">
      <c r="A1703" s="216"/>
      <c r="B1703" s="216"/>
      <c r="C1703" s="157"/>
      <c r="D1703" s="216"/>
      <c r="E1703" s="216"/>
      <c r="F1703" s="216"/>
      <c r="G1703" s="216"/>
    </row>
    <row r="1704">
      <c r="A1704" s="216"/>
      <c r="B1704" s="216"/>
      <c r="C1704" s="157"/>
      <c r="D1704" s="216"/>
      <c r="E1704" s="216"/>
      <c r="F1704" s="216"/>
      <c r="G1704" s="216"/>
    </row>
    <row r="1705">
      <c r="A1705" s="216"/>
      <c r="B1705" s="216"/>
      <c r="C1705" s="157"/>
      <c r="D1705" s="216"/>
      <c r="E1705" s="216"/>
      <c r="F1705" s="216"/>
      <c r="G1705" s="216"/>
    </row>
    <row r="1706">
      <c r="A1706" s="216"/>
      <c r="B1706" s="216"/>
      <c r="C1706" s="157"/>
      <c r="D1706" s="216"/>
      <c r="E1706" s="216"/>
      <c r="F1706" s="216"/>
      <c r="G1706" s="216"/>
    </row>
    <row r="1707">
      <c r="A1707" s="216"/>
      <c r="B1707" s="216"/>
      <c r="C1707" s="157"/>
      <c r="D1707" s="216"/>
      <c r="E1707" s="216"/>
      <c r="F1707" s="216"/>
      <c r="G1707" s="216"/>
    </row>
    <row r="1708">
      <c r="A1708" s="216"/>
      <c r="B1708" s="216"/>
      <c r="C1708" s="157"/>
      <c r="D1708" s="216"/>
      <c r="E1708" s="216"/>
      <c r="F1708" s="216"/>
      <c r="G1708" s="216"/>
    </row>
    <row r="1709">
      <c r="A1709" s="216"/>
      <c r="B1709" s="216"/>
      <c r="C1709" s="157"/>
      <c r="D1709" s="216"/>
      <c r="E1709" s="216"/>
      <c r="F1709" s="216"/>
      <c r="G1709" s="216"/>
    </row>
    <row r="1710">
      <c r="A1710" s="216"/>
      <c r="B1710" s="216"/>
      <c r="C1710" s="157"/>
      <c r="D1710" s="216"/>
      <c r="E1710" s="216"/>
      <c r="F1710" s="216"/>
      <c r="G1710" s="216"/>
    </row>
    <row r="1711">
      <c r="A1711" s="216"/>
      <c r="B1711" s="216"/>
      <c r="C1711" s="157"/>
      <c r="D1711" s="216"/>
      <c r="E1711" s="216"/>
      <c r="F1711" s="216"/>
      <c r="G1711" s="216"/>
    </row>
    <row r="1712">
      <c r="A1712" s="216"/>
      <c r="B1712" s="216"/>
      <c r="C1712" s="157"/>
      <c r="D1712" s="216"/>
      <c r="E1712" s="216"/>
      <c r="F1712" s="216"/>
      <c r="G1712" s="216"/>
    </row>
    <row r="1713">
      <c r="A1713" s="216"/>
      <c r="B1713" s="216"/>
      <c r="C1713" s="157"/>
      <c r="D1713" s="216"/>
      <c r="E1713" s="216"/>
      <c r="F1713" s="216"/>
      <c r="G1713" s="216"/>
    </row>
    <row r="1714">
      <c r="A1714" s="216"/>
      <c r="B1714" s="216"/>
      <c r="C1714" s="157"/>
      <c r="D1714" s="216"/>
      <c r="E1714" s="216"/>
      <c r="F1714" s="216"/>
      <c r="G1714" s="216"/>
    </row>
    <row r="1715">
      <c r="A1715" s="216"/>
      <c r="B1715" s="216"/>
      <c r="C1715" s="157"/>
      <c r="D1715" s="216"/>
      <c r="E1715" s="216"/>
      <c r="F1715" s="216"/>
      <c r="G1715" s="216"/>
    </row>
    <row r="1716">
      <c r="A1716" s="216"/>
      <c r="B1716" s="216"/>
      <c r="C1716" s="157"/>
      <c r="D1716" s="216"/>
      <c r="E1716" s="216"/>
      <c r="F1716" s="216"/>
      <c r="G1716" s="216"/>
    </row>
    <row r="1717">
      <c r="A1717" s="216"/>
      <c r="B1717" s="216"/>
      <c r="C1717" s="157"/>
      <c r="D1717" s="216"/>
      <c r="E1717" s="216"/>
      <c r="F1717" s="216"/>
      <c r="G1717" s="216"/>
    </row>
    <row r="1718">
      <c r="A1718" s="216"/>
      <c r="B1718" s="216"/>
      <c r="C1718" s="157"/>
      <c r="D1718" s="216"/>
      <c r="E1718" s="216"/>
      <c r="F1718" s="216"/>
      <c r="G1718" s="216"/>
    </row>
    <row r="1719">
      <c r="A1719" s="216"/>
      <c r="B1719" s="216"/>
      <c r="C1719" s="157"/>
      <c r="D1719" s="216"/>
      <c r="E1719" s="216"/>
      <c r="F1719" s="216"/>
      <c r="G1719" s="216"/>
    </row>
    <row r="1720">
      <c r="A1720" s="216"/>
      <c r="B1720" s="216"/>
      <c r="C1720" s="157"/>
      <c r="D1720" s="216"/>
      <c r="E1720" s="216"/>
      <c r="F1720" s="216"/>
      <c r="G1720" s="216"/>
    </row>
    <row r="1721">
      <c r="A1721" s="216"/>
      <c r="B1721" s="216"/>
      <c r="C1721" s="157"/>
      <c r="D1721" s="216"/>
      <c r="E1721" s="216"/>
      <c r="F1721" s="216"/>
      <c r="G1721" s="216"/>
    </row>
    <row r="1722">
      <c r="A1722" s="216"/>
      <c r="B1722" s="216"/>
      <c r="C1722" s="157"/>
      <c r="D1722" s="216"/>
      <c r="E1722" s="216"/>
      <c r="F1722" s="216"/>
      <c r="G1722" s="216"/>
    </row>
    <row r="1723">
      <c r="A1723" s="216"/>
      <c r="B1723" s="216"/>
      <c r="C1723" s="157"/>
      <c r="D1723" s="216"/>
      <c r="E1723" s="216"/>
      <c r="F1723" s="216"/>
      <c r="G1723" s="216"/>
    </row>
    <row r="1724">
      <c r="A1724" s="216"/>
      <c r="B1724" s="216"/>
      <c r="C1724" s="157"/>
      <c r="D1724" s="216"/>
      <c r="E1724" s="216"/>
      <c r="F1724" s="216"/>
      <c r="G1724" s="216"/>
    </row>
    <row r="1725">
      <c r="A1725" s="216"/>
      <c r="B1725" s="216"/>
      <c r="C1725" s="157"/>
      <c r="D1725" s="216"/>
      <c r="E1725" s="216"/>
      <c r="F1725" s="216"/>
      <c r="G1725" s="216"/>
    </row>
    <row r="1726">
      <c r="A1726" s="216"/>
      <c r="B1726" s="216"/>
      <c r="C1726" s="157"/>
      <c r="D1726" s="216"/>
      <c r="E1726" s="216"/>
      <c r="F1726" s="216"/>
      <c r="G1726" s="216"/>
    </row>
    <row r="1727">
      <c r="A1727" s="216"/>
      <c r="B1727" s="216"/>
      <c r="C1727" s="157"/>
      <c r="D1727" s="216"/>
      <c r="E1727" s="216"/>
      <c r="F1727" s="216"/>
      <c r="G1727" s="216"/>
    </row>
    <row r="1728">
      <c r="A1728" s="216"/>
      <c r="B1728" s="216"/>
      <c r="C1728" s="157"/>
      <c r="D1728" s="216"/>
      <c r="E1728" s="216"/>
      <c r="F1728" s="216"/>
      <c r="G1728" s="216"/>
    </row>
    <row r="1729">
      <c r="A1729" s="216"/>
      <c r="B1729" s="216"/>
      <c r="C1729" s="157"/>
      <c r="D1729" s="216"/>
      <c r="E1729" s="216"/>
      <c r="F1729" s="216"/>
      <c r="G1729" s="216"/>
    </row>
    <row r="1730">
      <c r="A1730" s="216"/>
      <c r="B1730" s="216"/>
      <c r="C1730" s="157"/>
      <c r="D1730" s="216"/>
      <c r="E1730" s="216"/>
      <c r="F1730" s="216"/>
      <c r="G1730" s="216"/>
    </row>
    <row r="1731">
      <c r="A1731" s="216"/>
      <c r="B1731" s="216"/>
      <c r="C1731" s="157"/>
      <c r="D1731" s="216"/>
      <c r="E1731" s="216"/>
      <c r="F1731" s="216"/>
      <c r="G1731" s="216"/>
    </row>
    <row r="1732">
      <c r="A1732" s="216"/>
      <c r="B1732" s="216"/>
      <c r="C1732" s="157"/>
      <c r="D1732" s="216"/>
      <c r="E1732" s="216"/>
      <c r="F1732" s="216"/>
      <c r="G1732" s="216"/>
    </row>
    <row r="1733">
      <c r="A1733" s="216"/>
      <c r="B1733" s="216"/>
      <c r="C1733" s="157"/>
      <c r="D1733" s="216"/>
      <c r="E1733" s="216"/>
      <c r="F1733" s="216"/>
      <c r="G1733" s="216"/>
    </row>
    <row r="1734">
      <c r="A1734" s="216"/>
      <c r="B1734" s="216"/>
      <c r="C1734" s="157"/>
      <c r="D1734" s="216"/>
      <c r="E1734" s="216"/>
      <c r="F1734" s="216"/>
      <c r="G1734" s="216"/>
    </row>
    <row r="1735">
      <c r="A1735" s="216"/>
      <c r="B1735" s="216"/>
      <c r="C1735" s="157"/>
      <c r="D1735" s="216"/>
      <c r="E1735" s="216"/>
      <c r="F1735" s="216"/>
      <c r="G1735" s="216"/>
    </row>
    <row r="1736">
      <c r="A1736" s="216"/>
      <c r="B1736" s="216"/>
      <c r="C1736" s="157"/>
      <c r="D1736" s="216"/>
      <c r="E1736" s="216"/>
      <c r="F1736" s="216"/>
      <c r="G1736" s="216"/>
    </row>
    <row r="1737">
      <c r="A1737" s="216"/>
      <c r="B1737" s="216"/>
      <c r="C1737" s="157"/>
      <c r="D1737" s="216"/>
      <c r="E1737" s="216"/>
      <c r="F1737" s="216"/>
      <c r="G1737" s="216"/>
    </row>
    <row r="1738">
      <c r="A1738" s="216"/>
      <c r="B1738" s="216"/>
      <c r="C1738" s="157"/>
      <c r="D1738" s="216"/>
      <c r="E1738" s="216"/>
      <c r="F1738" s="216"/>
      <c r="G1738" s="216"/>
    </row>
    <row r="1739">
      <c r="A1739" s="216"/>
      <c r="B1739" s="216"/>
      <c r="C1739" s="157"/>
      <c r="D1739" s="216"/>
      <c r="E1739" s="216"/>
      <c r="F1739" s="216"/>
      <c r="G1739" s="216"/>
    </row>
    <row r="1740">
      <c r="A1740" s="216"/>
      <c r="B1740" s="216"/>
      <c r="C1740" s="157"/>
      <c r="D1740" s="216"/>
      <c r="E1740" s="216"/>
      <c r="F1740" s="216"/>
      <c r="G1740" s="216"/>
    </row>
    <row r="1741">
      <c r="A1741" s="216"/>
      <c r="B1741" s="216"/>
      <c r="C1741" s="157"/>
      <c r="D1741" s="216"/>
      <c r="E1741" s="216"/>
      <c r="F1741" s="216"/>
      <c r="G1741" s="216"/>
    </row>
    <row r="1742">
      <c r="A1742" s="216"/>
      <c r="B1742" s="216"/>
      <c r="C1742" s="157"/>
      <c r="D1742" s="216"/>
      <c r="E1742" s="216"/>
      <c r="F1742" s="216"/>
      <c r="G1742" s="216"/>
    </row>
    <row r="1743">
      <c r="A1743" s="216"/>
      <c r="B1743" s="216"/>
      <c r="C1743" s="157"/>
      <c r="D1743" s="216"/>
      <c r="E1743" s="216"/>
      <c r="F1743" s="216"/>
      <c r="G1743" s="216"/>
    </row>
    <row r="1744">
      <c r="A1744" s="216"/>
      <c r="B1744" s="216"/>
      <c r="C1744" s="157"/>
      <c r="D1744" s="216"/>
      <c r="E1744" s="216"/>
      <c r="F1744" s="216"/>
      <c r="G1744" s="216"/>
    </row>
    <row r="1745">
      <c r="A1745" s="216"/>
      <c r="B1745" s="216"/>
      <c r="C1745" s="157"/>
      <c r="D1745" s="216"/>
      <c r="E1745" s="216"/>
      <c r="F1745" s="216"/>
      <c r="G1745" s="216"/>
    </row>
    <row r="1746">
      <c r="A1746" s="216"/>
      <c r="B1746" s="216"/>
      <c r="C1746" s="157"/>
      <c r="D1746" s="216"/>
      <c r="E1746" s="216"/>
      <c r="F1746" s="216"/>
      <c r="G1746" s="216"/>
    </row>
    <row r="1747">
      <c r="A1747" s="216"/>
      <c r="B1747" s="216"/>
      <c r="C1747" s="157"/>
      <c r="D1747" s="216"/>
      <c r="E1747" s="216"/>
      <c r="F1747" s="216"/>
      <c r="G1747" s="216"/>
    </row>
    <row r="1748">
      <c r="A1748" s="216"/>
      <c r="B1748" s="216"/>
      <c r="C1748" s="157"/>
      <c r="D1748" s="216"/>
      <c r="E1748" s="216"/>
      <c r="F1748" s="216"/>
      <c r="G1748" s="216"/>
    </row>
    <row r="1749">
      <c r="A1749" s="216"/>
      <c r="B1749" s="216"/>
      <c r="C1749" s="157"/>
      <c r="D1749" s="216"/>
      <c r="E1749" s="216"/>
      <c r="F1749" s="216"/>
      <c r="G1749" s="216"/>
    </row>
    <row r="1750">
      <c r="A1750" s="216"/>
      <c r="B1750" s="216"/>
      <c r="C1750" s="157"/>
      <c r="D1750" s="216"/>
      <c r="E1750" s="216"/>
      <c r="F1750" s="216"/>
      <c r="G1750" s="216"/>
    </row>
    <row r="1751">
      <c r="A1751" s="216"/>
      <c r="B1751" s="216"/>
      <c r="C1751" s="157"/>
      <c r="D1751" s="216"/>
      <c r="E1751" s="216"/>
      <c r="F1751" s="216"/>
      <c r="G1751" s="216"/>
    </row>
    <row r="1752">
      <c r="A1752" s="216"/>
      <c r="B1752" s="216"/>
      <c r="C1752" s="157"/>
      <c r="D1752" s="216"/>
      <c r="E1752" s="216"/>
      <c r="F1752" s="216"/>
      <c r="G1752" s="216"/>
    </row>
    <row r="1753">
      <c r="A1753" s="216"/>
      <c r="B1753" s="216"/>
      <c r="C1753" s="157"/>
      <c r="D1753" s="216"/>
      <c r="E1753" s="216"/>
      <c r="F1753" s="216"/>
      <c r="G1753" s="216"/>
    </row>
    <row r="1754">
      <c r="A1754" s="216"/>
      <c r="B1754" s="216"/>
      <c r="C1754" s="157"/>
      <c r="D1754" s="216"/>
      <c r="E1754" s="216"/>
      <c r="F1754" s="216"/>
      <c r="G1754" s="216"/>
    </row>
    <row r="1755">
      <c r="A1755" s="216"/>
      <c r="B1755" s="216"/>
      <c r="C1755" s="157"/>
      <c r="D1755" s="216"/>
      <c r="E1755" s="216"/>
      <c r="F1755" s="216"/>
      <c r="G1755" s="216"/>
    </row>
    <row r="1756">
      <c r="A1756" s="216"/>
      <c r="B1756" s="216"/>
      <c r="C1756" s="157"/>
      <c r="D1756" s="216"/>
      <c r="E1756" s="216"/>
      <c r="F1756" s="216"/>
      <c r="G1756" s="216"/>
    </row>
    <row r="1757">
      <c r="A1757" s="216"/>
      <c r="B1757" s="216"/>
      <c r="C1757" s="157"/>
      <c r="D1757" s="216"/>
      <c r="E1757" s="216"/>
      <c r="F1757" s="216"/>
      <c r="G1757" s="216"/>
    </row>
    <row r="1758">
      <c r="A1758" s="216"/>
      <c r="B1758" s="216"/>
      <c r="C1758" s="157"/>
      <c r="D1758" s="216"/>
      <c r="E1758" s="216"/>
      <c r="F1758" s="216"/>
      <c r="G1758" s="216"/>
    </row>
    <row r="1759">
      <c r="A1759" s="216"/>
      <c r="B1759" s="216"/>
      <c r="C1759" s="157"/>
      <c r="D1759" s="216"/>
      <c r="E1759" s="216"/>
      <c r="F1759" s="216"/>
      <c r="G1759" s="216"/>
    </row>
    <row r="1760">
      <c r="A1760" s="216"/>
      <c r="B1760" s="216"/>
      <c r="C1760" s="157"/>
      <c r="D1760" s="216"/>
      <c r="E1760" s="216"/>
      <c r="F1760" s="216"/>
      <c r="G1760" s="216"/>
    </row>
    <row r="1761">
      <c r="A1761" s="216"/>
      <c r="B1761" s="216"/>
      <c r="C1761" s="157"/>
      <c r="D1761" s="216"/>
      <c r="E1761" s="216"/>
      <c r="F1761" s="216"/>
      <c r="G1761" s="216"/>
    </row>
    <row r="1762">
      <c r="A1762" s="216"/>
      <c r="B1762" s="216"/>
      <c r="C1762" s="157"/>
      <c r="D1762" s="216"/>
      <c r="E1762" s="216"/>
      <c r="F1762" s="216"/>
      <c r="G1762" s="216"/>
    </row>
    <row r="1763">
      <c r="A1763" s="216"/>
      <c r="B1763" s="216"/>
      <c r="C1763" s="157"/>
      <c r="D1763" s="216"/>
      <c r="E1763" s="216"/>
      <c r="F1763" s="216"/>
      <c r="G1763" s="216"/>
    </row>
    <row r="1764">
      <c r="A1764" s="216"/>
      <c r="B1764" s="216"/>
      <c r="C1764" s="157"/>
      <c r="D1764" s="216"/>
      <c r="E1764" s="216"/>
      <c r="F1764" s="216"/>
      <c r="G1764" s="216"/>
    </row>
    <row r="1765">
      <c r="A1765" s="216"/>
      <c r="B1765" s="216"/>
      <c r="C1765" s="157"/>
      <c r="D1765" s="216"/>
      <c r="E1765" s="216"/>
      <c r="F1765" s="216"/>
      <c r="G1765" s="216"/>
    </row>
    <row r="1766">
      <c r="A1766" s="216"/>
      <c r="B1766" s="216"/>
      <c r="C1766" s="157"/>
      <c r="D1766" s="216"/>
      <c r="E1766" s="216"/>
      <c r="F1766" s="216"/>
      <c r="G1766" s="216"/>
    </row>
    <row r="1767">
      <c r="A1767" s="216"/>
      <c r="B1767" s="216"/>
      <c r="C1767" s="157"/>
      <c r="D1767" s="216"/>
      <c r="E1767" s="216"/>
      <c r="F1767" s="216"/>
      <c r="G1767" s="216"/>
    </row>
    <row r="1768">
      <c r="A1768" s="216"/>
      <c r="B1768" s="216"/>
      <c r="C1768" s="157"/>
      <c r="D1768" s="216"/>
      <c r="E1768" s="216"/>
      <c r="F1768" s="216"/>
      <c r="G1768" s="216"/>
    </row>
    <row r="1769">
      <c r="A1769" s="216"/>
      <c r="B1769" s="216"/>
      <c r="C1769" s="157"/>
      <c r="D1769" s="216"/>
      <c r="E1769" s="216"/>
      <c r="F1769" s="216"/>
      <c r="G1769" s="216"/>
    </row>
    <row r="1770">
      <c r="A1770" s="216"/>
      <c r="B1770" s="216"/>
      <c r="C1770" s="157"/>
      <c r="D1770" s="216"/>
      <c r="E1770" s="216"/>
      <c r="F1770" s="216"/>
      <c r="G1770" s="216"/>
    </row>
    <row r="1771">
      <c r="A1771" s="216"/>
      <c r="B1771" s="216"/>
      <c r="C1771" s="157"/>
      <c r="D1771" s="216"/>
      <c r="E1771" s="216"/>
      <c r="F1771" s="216"/>
      <c r="G1771" s="216"/>
    </row>
    <row r="1772">
      <c r="A1772" s="216"/>
      <c r="B1772" s="216"/>
      <c r="C1772" s="157"/>
      <c r="D1772" s="216"/>
      <c r="E1772" s="216"/>
      <c r="F1772" s="216"/>
      <c r="G1772" s="216"/>
    </row>
    <row r="1773">
      <c r="A1773" s="216"/>
      <c r="B1773" s="216"/>
      <c r="C1773" s="157"/>
      <c r="D1773" s="216"/>
      <c r="E1773" s="216"/>
      <c r="F1773" s="216"/>
      <c r="G1773" s="216"/>
    </row>
    <row r="1774">
      <c r="A1774" s="216"/>
      <c r="B1774" s="216"/>
      <c r="C1774" s="157"/>
      <c r="D1774" s="216"/>
      <c r="E1774" s="216"/>
      <c r="F1774" s="216"/>
      <c r="G1774" s="216"/>
    </row>
    <row r="1775">
      <c r="A1775" s="216"/>
      <c r="B1775" s="216"/>
      <c r="C1775" s="157"/>
      <c r="D1775" s="216"/>
      <c r="E1775" s="216"/>
      <c r="F1775" s="216"/>
      <c r="G1775" s="216"/>
    </row>
    <row r="1776">
      <c r="A1776" s="216"/>
      <c r="B1776" s="216"/>
      <c r="C1776" s="157"/>
      <c r="D1776" s="216"/>
      <c r="E1776" s="216"/>
      <c r="F1776" s="216"/>
      <c r="G1776" s="216"/>
    </row>
    <row r="1777">
      <c r="A1777" s="216"/>
      <c r="B1777" s="216"/>
      <c r="C1777" s="157"/>
      <c r="D1777" s="216"/>
      <c r="E1777" s="216"/>
      <c r="F1777" s="216"/>
      <c r="G1777" s="216"/>
    </row>
    <row r="1778">
      <c r="A1778" s="216"/>
      <c r="B1778" s="216"/>
      <c r="C1778" s="157"/>
      <c r="D1778" s="216"/>
      <c r="E1778" s="216"/>
      <c r="F1778" s="216"/>
      <c r="G1778" s="216"/>
    </row>
    <row r="1779">
      <c r="A1779" s="216"/>
      <c r="B1779" s="216"/>
      <c r="C1779" s="157"/>
      <c r="D1779" s="216"/>
      <c r="E1779" s="216"/>
      <c r="F1779" s="216"/>
      <c r="G1779" s="216"/>
    </row>
    <row r="1780">
      <c r="A1780" s="216"/>
      <c r="B1780" s="216"/>
      <c r="C1780" s="157"/>
      <c r="D1780" s="216"/>
      <c r="E1780" s="216"/>
      <c r="F1780" s="216"/>
      <c r="G1780" s="216"/>
    </row>
    <row r="1781">
      <c r="A1781" s="216"/>
      <c r="B1781" s="216"/>
      <c r="C1781" s="157"/>
      <c r="D1781" s="216"/>
      <c r="E1781" s="216"/>
      <c r="F1781" s="216"/>
      <c r="G1781" s="216"/>
    </row>
    <row r="1782">
      <c r="A1782" s="216"/>
      <c r="B1782" s="216"/>
      <c r="C1782" s="157"/>
      <c r="D1782" s="216"/>
      <c r="E1782" s="216"/>
      <c r="F1782" s="216"/>
      <c r="G1782" s="216"/>
    </row>
    <row r="1783">
      <c r="A1783" s="216"/>
      <c r="B1783" s="216"/>
      <c r="C1783" s="157"/>
      <c r="D1783" s="216"/>
      <c r="E1783" s="216"/>
      <c r="F1783" s="216"/>
      <c r="G1783" s="216"/>
    </row>
    <row r="1784">
      <c r="A1784" s="216"/>
      <c r="B1784" s="216"/>
      <c r="C1784" s="157"/>
      <c r="D1784" s="216"/>
      <c r="E1784" s="216"/>
      <c r="F1784" s="216"/>
      <c r="G1784" s="216"/>
    </row>
    <row r="1785">
      <c r="A1785" s="216"/>
      <c r="B1785" s="216"/>
      <c r="C1785" s="157"/>
      <c r="D1785" s="216"/>
      <c r="E1785" s="216"/>
      <c r="F1785" s="216"/>
      <c r="G1785" s="216"/>
    </row>
    <row r="1786">
      <c r="A1786" s="216"/>
      <c r="B1786" s="216"/>
      <c r="C1786" s="157"/>
      <c r="D1786" s="216"/>
      <c r="E1786" s="216"/>
      <c r="F1786" s="216"/>
      <c r="G1786" s="216"/>
    </row>
    <row r="1787">
      <c r="A1787" s="216"/>
      <c r="B1787" s="216"/>
      <c r="C1787" s="157"/>
      <c r="D1787" s="216"/>
      <c r="E1787" s="216"/>
      <c r="F1787" s="216"/>
      <c r="G1787" s="216"/>
    </row>
    <row r="1788">
      <c r="A1788" s="216"/>
      <c r="B1788" s="216"/>
      <c r="C1788" s="157"/>
      <c r="D1788" s="216"/>
      <c r="E1788" s="216"/>
      <c r="F1788" s="216"/>
      <c r="G1788" s="216"/>
    </row>
    <row r="1789">
      <c r="A1789" s="216"/>
      <c r="B1789" s="216"/>
      <c r="C1789" s="157"/>
      <c r="D1789" s="216"/>
      <c r="E1789" s="216"/>
      <c r="F1789" s="216"/>
      <c r="G1789" s="216"/>
    </row>
    <row r="1790">
      <c r="A1790" s="216"/>
      <c r="B1790" s="216"/>
      <c r="C1790" s="157"/>
      <c r="D1790" s="216"/>
      <c r="E1790" s="216"/>
      <c r="F1790" s="216"/>
      <c r="G1790" s="216"/>
    </row>
    <row r="1791">
      <c r="A1791" s="216"/>
      <c r="B1791" s="216"/>
      <c r="C1791" s="157"/>
      <c r="D1791" s="216"/>
      <c r="E1791" s="216"/>
      <c r="F1791" s="216"/>
      <c r="G1791" s="216"/>
    </row>
    <row r="1792">
      <c r="A1792" s="216"/>
      <c r="B1792" s="216"/>
      <c r="C1792" s="157"/>
      <c r="D1792" s="216"/>
      <c r="E1792" s="216"/>
      <c r="F1792" s="216"/>
      <c r="G1792" s="216"/>
    </row>
    <row r="1793">
      <c r="A1793" s="216"/>
      <c r="B1793" s="216"/>
      <c r="C1793" s="157"/>
      <c r="D1793" s="216"/>
      <c r="E1793" s="216"/>
      <c r="F1793" s="216"/>
      <c r="G1793" s="216"/>
    </row>
    <row r="1794">
      <c r="A1794" s="216"/>
      <c r="B1794" s="216"/>
      <c r="C1794" s="157"/>
      <c r="D1794" s="216"/>
      <c r="E1794" s="216"/>
      <c r="F1794" s="216"/>
      <c r="G1794" s="216"/>
    </row>
    <row r="1795">
      <c r="A1795" s="216"/>
      <c r="B1795" s="216"/>
      <c r="C1795" s="157"/>
      <c r="D1795" s="216"/>
      <c r="E1795" s="216"/>
      <c r="F1795" s="216"/>
      <c r="G1795" s="216"/>
    </row>
    <row r="1796">
      <c r="A1796" s="216"/>
      <c r="B1796" s="216"/>
      <c r="C1796" s="157"/>
      <c r="D1796" s="216"/>
      <c r="E1796" s="216"/>
      <c r="F1796" s="216"/>
      <c r="G1796" s="216"/>
    </row>
    <row r="1797">
      <c r="A1797" s="216"/>
      <c r="B1797" s="216"/>
      <c r="C1797" s="157"/>
      <c r="D1797" s="216"/>
      <c r="E1797" s="216"/>
      <c r="F1797" s="216"/>
      <c r="G1797" s="216"/>
    </row>
    <row r="1798">
      <c r="A1798" s="216"/>
      <c r="B1798" s="216"/>
      <c r="C1798" s="157"/>
      <c r="D1798" s="216"/>
      <c r="E1798" s="216"/>
      <c r="F1798" s="216"/>
      <c r="G1798" s="216"/>
    </row>
    <row r="1799">
      <c r="A1799" s="216"/>
      <c r="B1799" s="216"/>
      <c r="C1799" s="157"/>
      <c r="D1799" s="216"/>
      <c r="E1799" s="216"/>
      <c r="F1799" s="216"/>
      <c r="G1799" s="216"/>
    </row>
    <row r="1800">
      <c r="A1800" s="216"/>
      <c r="B1800" s="216"/>
      <c r="C1800" s="157"/>
      <c r="D1800" s="216"/>
      <c r="E1800" s="216"/>
      <c r="F1800" s="216"/>
      <c r="G1800" s="216"/>
    </row>
    <row r="1801">
      <c r="A1801" s="216"/>
      <c r="B1801" s="216"/>
      <c r="C1801" s="157"/>
      <c r="D1801" s="216"/>
      <c r="E1801" s="216"/>
      <c r="F1801" s="216"/>
      <c r="G1801" s="216"/>
    </row>
    <row r="1802">
      <c r="A1802" s="216"/>
      <c r="B1802" s="216"/>
      <c r="C1802" s="157"/>
      <c r="D1802" s="216"/>
      <c r="E1802" s="216"/>
      <c r="F1802" s="216"/>
      <c r="G1802" s="216"/>
    </row>
    <row r="1803">
      <c r="A1803" s="216"/>
      <c r="B1803" s="216"/>
      <c r="C1803" s="157"/>
      <c r="D1803" s="216"/>
      <c r="E1803" s="216"/>
      <c r="F1803" s="216"/>
      <c r="G1803" s="216"/>
    </row>
    <row r="1804">
      <c r="A1804" s="216"/>
      <c r="B1804" s="216"/>
      <c r="C1804" s="157"/>
      <c r="D1804" s="216"/>
      <c r="E1804" s="216"/>
      <c r="F1804" s="216"/>
      <c r="G1804" s="216"/>
    </row>
    <row r="1805">
      <c r="A1805" s="216"/>
      <c r="B1805" s="216"/>
      <c r="C1805" s="157"/>
      <c r="D1805" s="216"/>
      <c r="E1805" s="216"/>
      <c r="F1805" s="216"/>
      <c r="G1805" s="216"/>
    </row>
    <row r="1806">
      <c r="A1806" s="216"/>
      <c r="B1806" s="216"/>
      <c r="C1806" s="157"/>
      <c r="D1806" s="216"/>
      <c r="E1806" s="216"/>
      <c r="F1806" s="216"/>
      <c r="G1806" s="216"/>
    </row>
    <row r="1807">
      <c r="A1807" s="216"/>
      <c r="B1807" s="216"/>
      <c r="C1807" s="157"/>
      <c r="D1807" s="216"/>
      <c r="E1807" s="216"/>
      <c r="F1807" s="216"/>
      <c r="G1807" s="216"/>
    </row>
    <row r="1808">
      <c r="A1808" s="216"/>
      <c r="B1808" s="216"/>
      <c r="C1808" s="157"/>
      <c r="D1808" s="216"/>
      <c r="E1808" s="216"/>
      <c r="F1808" s="216"/>
      <c r="G1808" s="216"/>
    </row>
    <row r="1809">
      <c r="A1809" s="216"/>
      <c r="B1809" s="216"/>
      <c r="C1809" s="157"/>
      <c r="D1809" s="216"/>
      <c r="E1809" s="216"/>
      <c r="F1809" s="216"/>
      <c r="G1809" s="216"/>
    </row>
    <row r="1810">
      <c r="A1810" s="216"/>
      <c r="B1810" s="216"/>
      <c r="C1810" s="157"/>
      <c r="D1810" s="216"/>
      <c r="E1810" s="216"/>
      <c r="F1810" s="216"/>
      <c r="G1810" s="216"/>
    </row>
    <row r="1811">
      <c r="A1811" s="216"/>
      <c r="B1811" s="216"/>
      <c r="C1811" s="157"/>
      <c r="D1811" s="216"/>
      <c r="E1811" s="216"/>
      <c r="F1811" s="216"/>
      <c r="G1811" s="216"/>
    </row>
    <row r="1812">
      <c r="A1812" s="216"/>
      <c r="B1812" s="216"/>
      <c r="C1812" s="157"/>
      <c r="D1812" s="216"/>
      <c r="E1812" s="216"/>
      <c r="F1812" s="216"/>
      <c r="G1812" s="216"/>
    </row>
    <row r="1813">
      <c r="A1813" s="216"/>
      <c r="B1813" s="216"/>
      <c r="C1813" s="157"/>
      <c r="D1813" s="216"/>
      <c r="E1813" s="216"/>
      <c r="F1813" s="216"/>
      <c r="G1813" s="216"/>
    </row>
    <row r="1814">
      <c r="A1814" s="216"/>
      <c r="B1814" s="216"/>
      <c r="C1814" s="157"/>
      <c r="D1814" s="216"/>
      <c r="E1814" s="216"/>
      <c r="F1814" s="216"/>
      <c r="G1814" s="216"/>
    </row>
    <row r="1815">
      <c r="A1815" s="216"/>
      <c r="B1815" s="216"/>
      <c r="C1815" s="157"/>
      <c r="D1815" s="216"/>
      <c r="E1815" s="216"/>
      <c r="F1815" s="216"/>
      <c r="G1815" s="216"/>
    </row>
    <row r="1816">
      <c r="A1816" s="216"/>
      <c r="B1816" s="216"/>
      <c r="C1816" s="157"/>
      <c r="D1816" s="216"/>
      <c r="E1816" s="216"/>
      <c r="F1816" s="216"/>
      <c r="G1816" s="216"/>
    </row>
    <row r="1817">
      <c r="A1817" s="216"/>
      <c r="B1817" s="216"/>
      <c r="C1817" s="157"/>
      <c r="D1817" s="216"/>
      <c r="E1817" s="216"/>
      <c r="F1817" s="216"/>
      <c r="G1817" s="216"/>
    </row>
    <row r="1818">
      <c r="A1818" s="216"/>
      <c r="B1818" s="216"/>
      <c r="C1818" s="157"/>
      <c r="D1818" s="216"/>
      <c r="E1818" s="216"/>
      <c r="F1818" s="216"/>
      <c r="G1818" s="216"/>
    </row>
    <row r="1819">
      <c r="A1819" s="216"/>
      <c r="B1819" s="216"/>
      <c r="C1819" s="157"/>
      <c r="D1819" s="216"/>
      <c r="E1819" s="216"/>
      <c r="F1819" s="216"/>
      <c r="G1819" s="216"/>
    </row>
    <row r="1820">
      <c r="A1820" s="216"/>
      <c r="B1820" s="216"/>
      <c r="C1820" s="157"/>
      <c r="D1820" s="216"/>
      <c r="E1820" s="216"/>
      <c r="F1820" s="216"/>
      <c r="G1820" s="216"/>
    </row>
    <row r="1821">
      <c r="A1821" s="216"/>
      <c r="B1821" s="216"/>
      <c r="C1821" s="157"/>
      <c r="D1821" s="216"/>
      <c r="E1821" s="216"/>
      <c r="F1821" s="216"/>
      <c r="G1821" s="216"/>
    </row>
    <row r="1822">
      <c r="A1822" s="216"/>
      <c r="B1822" s="216"/>
      <c r="C1822" s="157"/>
      <c r="D1822" s="216"/>
      <c r="E1822" s="216"/>
      <c r="F1822" s="216"/>
      <c r="G1822" s="216"/>
    </row>
    <row r="1823">
      <c r="A1823" s="216"/>
      <c r="B1823" s="216"/>
      <c r="C1823" s="157"/>
      <c r="D1823" s="216"/>
      <c r="E1823" s="216"/>
      <c r="F1823" s="216"/>
      <c r="G1823" s="216"/>
    </row>
    <row r="1824">
      <c r="A1824" s="216"/>
      <c r="B1824" s="216"/>
      <c r="C1824" s="157"/>
      <c r="D1824" s="216"/>
      <c r="E1824" s="216"/>
      <c r="F1824" s="216"/>
      <c r="G1824" s="216"/>
    </row>
    <row r="1825">
      <c r="A1825" s="216"/>
      <c r="B1825" s="216"/>
      <c r="C1825" s="157"/>
      <c r="D1825" s="216"/>
      <c r="E1825" s="216"/>
      <c r="F1825" s="216"/>
      <c r="G1825" s="216"/>
    </row>
    <row r="1826">
      <c r="A1826" s="216"/>
      <c r="B1826" s="216"/>
      <c r="C1826" s="157"/>
      <c r="D1826" s="216"/>
      <c r="E1826" s="216"/>
      <c r="F1826" s="216"/>
      <c r="G1826" s="216"/>
    </row>
    <row r="1827">
      <c r="A1827" s="216"/>
      <c r="B1827" s="216"/>
      <c r="C1827" s="157"/>
      <c r="D1827" s="216"/>
      <c r="E1827" s="216"/>
      <c r="F1827" s="216"/>
      <c r="G1827" s="216"/>
    </row>
    <row r="1828">
      <c r="A1828" s="216"/>
      <c r="B1828" s="216"/>
      <c r="C1828" s="157"/>
      <c r="D1828" s="216"/>
      <c r="E1828" s="216"/>
      <c r="F1828" s="216"/>
      <c r="G1828" s="216"/>
    </row>
    <row r="1829">
      <c r="A1829" s="216"/>
      <c r="B1829" s="216"/>
      <c r="C1829" s="157"/>
      <c r="D1829" s="216"/>
      <c r="E1829" s="216"/>
      <c r="F1829" s="216"/>
      <c r="G1829" s="216"/>
    </row>
    <row r="1830">
      <c r="A1830" s="216"/>
      <c r="B1830" s="216"/>
      <c r="C1830" s="157"/>
      <c r="D1830" s="216"/>
      <c r="E1830" s="216"/>
      <c r="F1830" s="216"/>
      <c r="G1830" s="216"/>
    </row>
    <row r="1831">
      <c r="A1831" s="216"/>
      <c r="B1831" s="216"/>
      <c r="C1831" s="157"/>
      <c r="D1831" s="216"/>
      <c r="E1831" s="216"/>
      <c r="F1831" s="216"/>
      <c r="G1831" s="216"/>
    </row>
    <row r="1832">
      <c r="A1832" s="216"/>
      <c r="B1832" s="216"/>
      <c r="C1832" s="157"/>
      <c r="D1832" s="216"/>
      <c r="E1832" s="216"/>
      <c r="F1832" s="216"/>
      <c r="G1832" s="216"/>
    </row>
    <row r="1833">
      <c r="A1833" s="216"/>
      <c r="B1833" s="216"/>
      <c r="C1833" s="157"/>
      <c r="D1833" s="216"/>
      <c r="E1833" s="216"/>
      <c r="F1833" s="216"/>
      <c r="G1833" s="216"/>
    </row>
    <row r="1834">
      <c r="A1834" s="216"/>
      <c r="B1834" s="216"/>
      <c r="C1834" s="157"/>
      <c r="D1834" s="216"/>
      <c r="E1834" s="216"/>
      <c r="F1834" s="216"/>
      <c r="G1834" s="216"/>
    </row>
    <row r="1835">
      <c r="A1835" s="216"/>
      <c r="B1835" s="216"/>
      <c r="C1835" s="157"/>
      <c r="D1835" s="216"/>
      <c r="E1835" s="216"/>
      <c r="F1835" s="216"/>
      <c r="G1835" s="216"/>
    </row>
    <row r="1836">
      <c r="A1836" s="216"/>
      <c r="B1836" s="216"/>
      <c r="C1836" s="157"/>
      <c r="D1836" s="216"/>
      <c r="E1836" s="216"/>
      <c r="F1836" s="216"/>
      <c r="G1836" s="216"/>
    </row>
    <row r="1837">
      <c r="A1837" s="216"/>
      <c r="B1837" s="216"/>
      <c r="C1837" s="157"/>
      <c r="D1837" s="216"/>
      <c r="E1837" s="216"/>
      <c r="F1837" s="216"/>
      <c r="G1837" s="216"/>
    </row>
    <row r="1838">
      <c r="A1838" s="216"/>
      <c r="B1838" s="216"/>
      <c r="C1838" s="157"/>
      <c r="D1838" s="216"/>
      <c r="E1838" s="216"/>
      <c r="F1838" s="216"/>
      <c r="G1838" s="216"/>
    </row>
    <row r="1839">
      <c r="A1839" s="216"/>
      <c r="B1839" s="216"/>
      <c r="C1839" s="157"/>
      <c r="D1839" s="216"/>
      <c r="E1839" s="216"/>
      <c r="F1839" s="216"/>
      <c r="G1839" s="216"/>
    </row>
    <row r="1840">
      <c r="A1840" s="216"/>
      <c r="B1840" s="216"/>
      <c r="C1840" s="157"/>
      <c r="D1840" s="216"/>
      <c r="E1840" s="216"/>
      <c r="F1840" s="216"/>
      <c r="G1840" s="216"/>
    </row>
    <row r="1841">
      <c r="A1841" s="216"/>
      <c r="B1841" s="216"/>
      <c r="C1841" s="157"/>
      <c r="D1841" s="216"/>
      <c r="E1841" s="216"/>
      <c r="F1841" s="216"/>
      <c r="G1841" s="216"/>
    </row>
    <row r="1842">
      <c r="A1842" s="216"/>
      <c r="B1842" s="216"/>
      <c r="C1842" s="157"/>
      <c r="D1842" s="216"/>
      <c r="E1842" s="216"/>
      <c r="F1842" s="216"/>
      <c r="G1842" s="216"/>
    </row>
    <row r="1843">
      <c r="A1843" s="216"/>
      <c r="B1843" s="216"/>
      <c r="C1843" s="157"/>
      <c r="D1843" s="216"/>
      <c r="E1843" s="216"/>
      <c r="F1843" s="216"/>
      <c r="G1843" s="216"/>
    </row>
    <row r="1844">
      <c r="A1844" s="216"/>
      <c r="B1844" s="216"/>
      <c r="C1844" s="157"/>
      <c r="D1844" s="216"/>
      <c r="E1844" s="216"/>
      <c r="F1844" s="216"/>
      <c r="G1844" s="216"/>
    </row>
    <row r="1845">
      <c r="A1845" s="216"/>
      <c r="B1845" s="216"/>
      <c r="C1845" s="157"/>
      <c r="D1845" s="216"/>
      <c r="E1845" s="216"/>
      <c r="F1845" s="216"/>
      <c r="G1845" s="216"/>
    </row>
    <row r="1846">
      <c r="A1846" s="216"/>
      <c r="B1846" s="216"/>
      <c r="C1846" s="157"/>
      <c r="D1846" s="216"/>
      <c r="E1846" s="216"/>
      <c r="F1846" s="216"/>
      <c r="G1846" s="216"/>
    </row>
    <row r="1847">
      <c r="A1847" s="216"/>
      <c r="B1847" s="216"/>
      <c r="C1847" s="157"/>
      <c r="D1847" s="216"/>
      <c r="E1847" s="216"/>
      <c r="F1847" s="216"/>
      <c r="G1847" s="216"/>
    </row>
    <row r="1848">
      <c r="A1848" s="216"/>
      <c r="B1848" s="216"/>
      <c r="C1848" s="157"/>
      <c r="D1848" s="216"/>
      <c r="E1848" s="216"/>
      <c r="F1848" s="216"/>
      <c r="G1848" s="216"/>
    </row>
    <row r="1849">
      <c r="A1849" s="216"/>
      <c r="B1849" s="216"/>
      <c r="C1849" s="157"/>
      <c r="D1849" s="216"/>
      <c r="E1849" s="216"/>
      <c r="F1849" s="216"/>
      <c r="G1849" s="216"/>
    </row>
    <row r="1850">
      <c r="A1850" s="216"/>
      <c r="B1850" s="216"/>
      <c r="C1850" s="157"/>
      <c r="D1850" s="216"/>
      <c r="E1850" s="216"/>
      <c r="F1850" s="216"/>
      <c r="G1850" s="216"/>
    </row>
    <row r="1851">
      <c r="A1851" s="216"/>
      <c r="B1851" s="216"/>
      <c r="C1851" s="157"/>
      <c r="D1851" s="216"/>
      <c r="E1851" s="216"/>
      <c r="F1851" s="216"/>
      <c r="G1851" s="216"/>
    </row>
    <row r="1852">
      <c r="A1852" s="216"/>
      <c r="B1852" s="216"/>
      <c r="C1852" s="157"/>
      <c r="D1852" s="216"/>
      <c r="E1852" s="216"/>
      <c r="F1852" s="216"/>
      <c r="G1852" s="216"/>
    </row>
    <row r="1853">
      <c r="A1853" s="216"/>
      <c r="B1853" s="216"/>
      <c r="C1853" s="157"/>
      <c r="D1853" s="216"/>
      <c r="E1853" s="216"/>
      <c r="F1853" s="216"/>
      <c r="G1853" s="216"/>
    </row>
    <row r="1854">
      <c r="A1854" s="216"/>
      <c r="B1854" s="216"/>
      <c r="C1854" s="157"/>
      <c r="D1854" s="216"/>
      <c r="E1854" s="216"/>
      <c r="F1854" s="216"/>
      <c r="G1854" s="216"/>
    </row>
    <row r="1855">
      <c r="A1855" s="216"/>
      <c r="B1855" s="216"/>
      <c r="C1855" s="157"/>
      <c r="D1855" s="216"/>
      <c r="E1855" s="216"/>
      <c r="F1855" s="216"/>
      <c r="G1855" s="216"/>
    </row>
    <row r="1856">
      <c r="A1856" s="216"/>
      <c r="B1856" s="216"/>
      <c r="C1856" s="157"/>
      <c r="D1856" s="216"/>
      <c r="E1856" s="216"/>
      <c r="F1856" s="216"/>
      <c r="G1856" s="216"/>
    </row>
    <row r="1857">
      <c r="A1857" s="216"/>
      <c r="B1857" s="216"/>
      <c r="C1857" s="157"/>
      <c r="D1857" s="216"/>
      <c r="E1857" s="216"/>
      <c r="F1857" s="216"/>
      <c r="G1857" s="216"/>
    </row>
    <row r="1858">
      <c r="A1858" s="216"/>
      <c r="B1858" s="216"/>
      <c r="C1858" s="157"/>
      <c r="D1858" s="216"/>
      <c r="E1858" s="216"/>
      <c r="F1858" s="216"/>
      <c r="G1858" s="216"/>
    </row>
    <row r="1859">
      <c r="A1859" s="216"/>
      <c r="B1859" s="216"/>
      <c r="C1859" s="157"/>
      <c r="D1859" s="216"/>
      <c r="E1859" s="216"/>
      <c r="F1859" s="216"/>
      <c r="G1859" s="216"/>
    </row>
    <row r="1860">
      <c r="A1860" s="216"/>
      <c r="B1860" s="216"/>
      <c r="C1860" s="157"/>
      <c r="D1860" s="216"/>
      <c r="E1860" s="216"/>
      <c r="F1860" s="216"/>
      <c r="G1860" s="216"/>
    </row>
    <row r="1861">
      <c r="A1861" s="216"/>
      <c r="B1861" s="216"/>
      <c r="C1861" s="157"/>
      <c r="D1861" s="216"/>
      <c r="E1861" s="216"/>
      <c r="F1861" s="216"/>
      <c r="G1861" s="216"/>
    </row>
    <row r="1862">
      <c r="A1862" s="216"/>
      <c r="B1862" s="216"/>
      <c r="C1862" s="157"/>
      <c r="D1862" s="216"/>
      <c r="E1862" s="216"/>
      <c r="F1862" s="216"/>
      <c r="G1862" s="216"/>
    </row>
    <row r="1863">
      <c r="A1863" s="216"/>
      <c r="B1863" s="216"/>
      <c r="C1863" s="157"/>
      <c r="D1863" s="216"/>
      <c r="E1863" s="216"/>
      <c r="F1863" s="216"/>
      <c r="G1863" s="216"/>
    </row>
    <row r="1864">
      <c r="A1864" s="216"/>
      <c r="B1864" s="216"/>
      <c r="C1864" s="157"/>
      <c r="D1864" s="216"/>
      <c r="E1864" s="216"/>
      <c r="F1864" s="216"/>
      <c r="G1864" s="216"/>
    </row>
    <row r="1865">
      <c r="A1865" s="216"/>
      <c r="B1865" s="216"/>
      <c r="C1865" s="157"/>
      <c r="D1865" s="216"/>
      <c r="E1865" s="216"/>
      <c r="F1865" s="216"/>
      <c r="G1865" s="216"/>
    </row>
    <row r="1866">
      <c r="A1866" s="216"/>
      <c r="B1866" s="216"/>
      <c r="C1866" s="157"/>
      <c r="D1866" s="216"/>
      <c r="E1866" s="216"/>
      <c r="F1866" s="216"/>
      <c r="G1866" s="216"/>
    </row>
    <row r="1867">
      <c r="A1867" s="216"/>
      <c r="B1867" s="216"/>
      <c r="C1867" s="157"/>
      <c r="D1867" s="216"/>
      <c r="E1867" s="216"/>
      <c r="F1867" s="216"/>
      <c r="G1867" s="216"/>
    </row>
    <row r="1868">
      <c r="A1868" s="216"/>
      <c r="B1868" s="216"/>
      <c r="C1868" s="157"/>
      <c r="D1868" s="216"/>
      <c r="E1868" s="216"/>
      <c r="F1868" s="216"/>
      <c r="G1868" s="216"/>
    </row>
    <row r="1869">
      <c r="A1869" s="216"/>
      <c r="B1869" s="216"/>
      <c r="C1869" s="157"/>
      <c r="D1869" s="216"/>
      <c r="E1869" s="216"/>
      <c r="F1869" s="216"/>
      <c r="G1869" s="216"/>
    </row>
    <row r="1870">
      <c r="A1870" s="216"/>
      <c r="B1870" s="216"/>
      <c r="C1870" s="157"/>
      <c r="D1870" s="216"/>
      <c r="E1870" s="216"/>
      <c r="F1870" s="216"/>
      <c r="G1870" s="216"/>
    </row>
    <row r="1871">
      <c r="A1871" s="216"/>
      <c r="B1871" s="216"/>
      <c r="C1871" s="157"/>
      <c r="D1871" s="216"/>
      <c r="E1871" s="216"/>
      <c r="F1871" s="216"/>
      <c r="G1871" s="216"/>
    </row>
    <row r="1872">
      <c r="A1872" s="216"/>
      <c r="B1872" s="216"/>
      <c r="C1872" s="157"/>
      <c r="D1872" s="216"/>
      <c r="E1872" s="216"/>
      <c r="F1872" s="216"/>
      <c r="G1872" s="216"/>
    </row>
    <row r="1873">
      <c r="A1873" s="216"/>
      <c r="B1873" s="216"/>
      <c r="C1873" s="157"/>
      <c r="D1873" s="216"/>
      <c r="E1873" s="216"/>
      <c r="F1873" s="216"/>
      <c r="G1873" s="216"/>
    </row>
    <row r="1874">
      <c r="A1874" s="216"/>
      <c r="B1874" s="216"/>
      <c r="C1874" s="157"/>
      <c r="D1874" s="216"/>
      <c r="E1874" s="216"/>
      <c r="F1874" s="216"/>
      <c r="G1874" s="216"/>
    </row>
    <row r="1875">
      <c r="A1875" s="216"/>
      <c r="B1875" s="216"/>
      <c r="C1875" s="157"/>
      <c r="D1875" s="216"/>
      <c r="E1875" s="216"/>
      <c r="F1875" s="216"/>
      <c r="G1875" s="216"/>
    </row>
    <row r="1876">
      <c r="A1876" s="216"/>
      <c r="B1876" s="216"/>
      <c r="C1876" s="157"/>
      <c r="D1876" s="216"/>
      <c r="E1876" s="216"/>
      <c r="F1876" s="216"/>
      <c r="G1876" s="216"/>
    </row>
    <row r="1877">
      <c r="A1877" s="216"/>
      <c r="B1877" s="216"/>
      <c r="C1877" s="157"/>
      <c r="D1877" s="216"/>
      <c r="E1877" s="216"/>
      <c r="F1877" s="216"/>
      <c r="G1877" s="216"/>
    </row>
    <row r="1878">
      <c r="A1878" s="216"/>
      <c r="B1878" s="216"/>
      <c r="C1878" s="157"/>
      <c r="D1878" s="216"/>
      <c r="E1878" s="216"/>
      <c r="F1878" s="216"/>
      <c r="G1878" s="216"/>
    </row>
    <row r="1879">
      <c r="A1879" s="216"/>
      <c r="B1879" s="216"/>
      <c r="C1879" s="157"/>
      <c r="D1879" s="216"/>
      <c r="E1879" s="216"/>
      <c r="F1879" s="216"/>
      <c r="G1879" s="216"/>
    </row>
    <row r="1880">
      <c r="A1880" s="216"/>
      <c r="B1880" s="216"/>
      <c r="C1880" s="157"/>
      <c r="D1880" s="216"/>
      <c r="E1880" s="216"/>
      <c r="F1880" s="216"/>
      <c r="G1880" s="216"/>
    </row>
    <row r="1881">
      <c r="A1881" s="216"/>
      <c r="B1881" s="216"/>
      <c r="C1881" s="157"/>
      <c r="D1881" s="216"/>
      <c r="E1881" s="216"/>
      <c r="F1881" s="216"/>
      <c r="G1881" s="216"/>
    </row>
    <row r="1882">
      <c r="A1882" s="216"/>
      <c r="B1882" s="216"/>
      <c r="C1882" s="157"/>
      <c r="D1882" s="216"/>
      <c r="E1882" s="216"/>
      <c r="F1882" s="216"/>
      <c r="G1882" s="216"/>
    </row>
    <row r="1883">
      <c r="A1883" s="216"/>
      <c r="B1883" s="216"/>
      <c r="C1883" s="157"/>
      <c r="D1883" s="216"/>
      <c r="E1883" s="216"/>
      <c r="F1883" s="216"/>
      <c r="G1883" s="216"/>
    </row>
    <row r="1884">
      <c r="A1884" s="216"/>
      <c r="B1884" s="216"/>
      <c r="C1884" s="157"/>
      <c r="D1884" s="216"/>
      <c r="E1884" s="216"/>
      <c r="F1884" s="216"/>
      <c r="G1884" s="216"/>
    </row>
    <row r="1885">
      <c r="A1885" s="216"/>
      <c r="B1885" s="216"/>
      <c r="C1885" s="157"/>
      <c r="D1885" s="216"/>
      <c r="E1885" s="216"/>
      <c r="F1885" s="216"/>
      <c r="G1885" s="216"/>
    </row>
    <row r="1886">
      <c r="A1886" s="216"/>
      <c r="B1886" s="216"/>
      <c r="C1886" s="157"/>
      <c r="D1886" s="216"/>
      <c r="E1886" s="216"/>
      <c r="F1886" s="216"/>
      <c r="G1886" s="216"/>
    </row>
    <row r="1887">
      <c r="A1887" s="216"/>
      <c r="B1887" s="216"/>
      <c r="C1887" s="157"/>
      <c r="D1887" s="216"/>
      <c r="E1887" s="216"/>
      <c r="F1887" s="216"/>
      <c r="G1887" s="216"/>
    </row>
    <row r="1888">
      <c r="A1888" s="216"/>
      <c r="B1888" s="216"/>
      <c r="C1888" s="157"/>
      <c r="D1888" s="216"/>
      <c r="E1888" s="216"/>
      <c r="F1888" s="216"/>
      <c r="G1888" s="216"/>
    </row>
    <row r="1889">
      <c r="A1889" s="216"/>
      <c r="B1889" s="216"/>
      <c r="C1889" s="157"/>
      <c r="D1889" s="216"/>
      <c r="E1889" s="216"/>
      <c r="F1889" s="216"/>
      <c r="G1889" s="216"/>
    </row>
    <row r="1890">
      <c r="A1890" s="216"/>
      <c r="B1890" s="216"/>
      <c r="C1890" s="157"/>
      <c r="D1890" s="216"/>
      <c r="E1890" s="216"/>
      <c r="F1890" s="216"/>
      <c r="G1890" s="216"/>
    </row>
    <row r="1891">
      <c r="A1891" s="216"/>
      <c r="B1891" s="216"/>
      <c r="C1891" s="157"/>
      <c r="D1891" s="216"/>
      <c r="E1891" s="216"/>
      <c r="F1891" s="216"/>
      <c r="G1891" s="216"/>
    </row>
    <row r="1892">
      <c r="A1892" s="216"/>
      <c r="B1892" s="216"/>
      <c r="C1892" s="157"/>
      <c r="D1892" s="216"/>
      <c r="E1892" s="216"/>
      <c r="F1892" s="216"/>
      <c r="G1892" s="216"/>
    </row>
    <row r="1893">
      <c r="A1893" s="216"/>
      <c r="B1893" s="216"/>
      <c r="C1893" s="157"/>
      <c r="D1893" s="216"/>
      <c r="E1893" s="216"/>
      <c r="F1893" s="216"/>
      <c r="G1893" s="216"/>
    </row>
    <row r="1894">
      <c r="A1894" s="216"/>
      <c r="B1894" s="216"/>
      <c r="C1894" s="157"/>
      <c r="D1894" s="216"/>
      <c r="E1894" s="216"/>
      <c r="F1894" s="216"/>
      <c r="G1894" s="216"/>
    </row>
    <row r="1895">
      <c r="A1895" s="216"/>
      <c r="B1895" s="216"/>
      <c r="C1895" s="157"/>
      <c r="D1895" s="216"/>
      <c r="E1895" s="216"/>
      <c r="F1895" s="216"/>
      <c r="G1895" s="216"/>
    </row>
    <row r="1896">
      <c r="A1896" s="216"/>
      <c r="B1896" s="216"/>
      <c r="C1896" s="157"/>
      <c r="D1896" s="216"/>
      <c r="E1896" s="216"/>
      <c r="F1896" s="216"/>
      <c r="G1896" s="216"/>
    </row>
    <row r="1897">
      <c r="A1897" s="216"/>
      <c r="B1897" s="216"/>
      <c r="C1897" s="157"/>
      <c r="D1897" s="216"/>
      <c r="E1897" s="216"/>
      <c r="F1897" s="216"/>
      <c r="G1897" s="216"/>
    </row>
    <row r="1898">
      <c r="A1898" s="216"/>
      <c r="B1898" s="216"/>
      <c r="C1898" s="157"/>
      <c r="D1898" s="216"/>
      <c r="E1898" s="216"/>
      <c r="F1898" s="216"/>
      <c r="G1898" s="216"/>
    </row>
    <row r="1899">
      <c r="A1899" s="216"/>
      <c r="B1899" s="216"/>
      <c r="C1899" s="157"/>
      <c r="D1899" s="216"/>
      <c r="E1899" s="216"/>
      <c r="F1899" s="216"/>
      <c r="G1899" s="216"/>
    </row>
    <row r="1900">
      <c r="A1900" s="216"/>
      <c r="B1900" s="216"/>
      <c r="C1900" s="157"/>
      <c r="D1900" s="216"/>
      <c r="E1900" s="216"/>
      <c r="F1900" s="216"/>
      <c r="G1900" s="216"/>
    </row>
    <row r="1901">
      <c r="A1901" s="216"/>
      <c r="B1901" s="216"/>
      <c r="C1901" s="157"/>
      <c r="D1901" s="216"/>
      <c r="E1901" s="216"/>
      <c r="F1901" s="216"/>
      <c r="G1901" s="216"/>
    </row>
    <row r="1902">
      <c r="A1902" s="216"/>
      <c r="B1902" s="216"/>
      <c r="C1902" s="157"/>
      <c r="D1902" s="216"/>
      <c r="E1902" s="216"/>
      <c r="F1902" s="216"/>
      <c r="G1902" s="216"/>
    </row>
    <row r="1903">
      <c r="A1903" s="216"/>
      <c r="B1903" s="216"/>
      <c r="C1903" s="157"/>
      <c r="D1903" s="216"/>
      <c r="E1903" s="216"/>
      <c r="F1903" s="216"/>
      <c r="G1903" s="216"/>
    </row>
    <row r="1904">
      <c r="A1904" s="216"/>
      <c r="B1904" s="216"/>
      <c r="C1904" s="157"/>
      <c r="D1904" s="216"/>
      <c r="E1904" s="216"/>
      <c r="F1904" s="216"/>
      <c r="G1904" s="216"/>
    </row>
    <row r="1905">
      <c r="A1905" s="216"/>
      <c r="B1905" s="216"/>
      <c r="C1905" s="157"/>
      <c r="D1905" s="216"/>
      <c r="E1905" s="216"/>
      <c r="F1905" s="216"/>
      <c r="G1905" s="216"/>
    </row>
    <row r="1906">
      <c r="A1906" s="216"/>
      <c r="B1906" s="216"/>
      <c r="C1906" s="157"/>
      <c r="D1906" s="216"/>
      <c r="E1906" s="216"/>
      <c r="F1906" s="216"/>
      <c r="G1906" s="216"/>
    </row>
    <row r="1907">
      <c r="A1907" s="216"/>
      <c r="B1907" s="216"/>
      <c r="C1907" s="157"/>
      <c r="D1907" s="216"/>
      <c r="E1907" s="216"/>
      <c r="F1907" s="216"/>
      <c r="G1907" s="216"/>
    </row>
    <row r="1908">
      <c r="A1908" s="216"/>
      <c r="B1908" s="216"/>
      <c r="C1908" s="157"/>
      <c r="D1908" s="216"/>
      <c r="E1908" s="216"/>
      <c r="F1908" s="216"/>
      <c r="G1908" s="216"/>
    </row>
    <row r="1909">
      <c r="A1909" s="216"/>
      <c r="B1909" s="216"/>
      <c r="C1909" s="157"/>
      <c r="D1909" s="216"/>
      <c r="E1909" s="216"/>
      <c r="F1909" s="216"/>
      <c r="G1909" s="216"/>
    </row>
    <row r="1910">
      <c r="A1910" s="216"/>
      <c r="B1910" s="216"/>
      <c r="C1910" s="157"/>
      <c r="D1910" s="216"/>
      <c r="E1910" s="216"/>
      <c r="F1910" s="216"/>
      <c r="G1910" s="216"/>
    </row>
    <row r="1911">
      <c r="A1911" s="216"/>
      <c r="B1911" s="216"/>
      <c r="C1911" s="157"/>
      <c r="D1911" s="216"/>
      <c r="E1911" s="216"/>
      <c r="F1911" s="216"/>
      <c r="G1911" s="216"/>
    </row>
    <row r="1912">
      <c r="A1912" s="216"/>
      <c r="B1912" s="216"/>
      <c r="C1912" s="157"/>
      <c r="D1912" s="216"/>
      <c r="E1912" s="216"/>
      <c r="F1912" s="216"/>
      <c r="G1912" s="216"/>
    </row>
    <row r="1913">
      <c r="A1913" s="216"/>
      <c r="B1913" s="216"/>
      <c r="C1913" s="157"/>
      <c r="D1913" s="216"/>
      <c r="E1913" s="216"/>
      <c r="F1913" s="216"/>
      <c r="G1913" s="216"/>
    </row>
    <row r="1914">
      <c r="A1914" s="216"/>
      <c r="B1914" s="216"/>
      <c r="C1914" s="157"/>
      <c r="D1914" s="216"/>
      <c r="E1914" s="216"/>
      <c r="F1914" s="216"/>
      <c r="G1914" s="216"/>
    </row>
    <row r="1915">
      <c r="A1915" s="216"/>
      <c r="B1915" s="216"/>
      <c r="C1915" s="157"/>
      <c r="D1915" s="216"/>
      <c r="E1915" s="216"/>
      <c r="F1915" s="216"/>
      <c r="G1915" s="216"/>
    </row>
    <row r="1916">
      <c r="A1916" s="216"/>
      <c r="B1916" s="216"/>
      <c r="C1916" s="157"/>
      <c r="D1916" s="216"/>
      <c r="E1916" s="216"/>
      <c r="F1916" s="216"/>
      <c r="G1916" s="216"/>
    </row>
    <row r="1917">
      <c r="A1917" s="216"/>
      <c r="B1917" s="216"/>
      <c r="C1917" s="157"/>
      <c r="D1917" s="216"/>
      <c r="E1917" s="216"/>
      <c r="F1917" s="216"/>
      <c r="G1917" s="216"/>
    </row>
    <row r="1918">
      <c r="A1918" s="216"/>
      <c r="B1918" s="216"/>
      <c r="C1918" s="157"/>
      <c r="D1918" s="216"/>
      <c r="E1918" s="216"/>
      <c r="F1918" s="216"/>
      <c r="G1918" s="216"/>
    </row>
    <row r="1919">
      <c r="A1919" s="216"/>
      <c r="B1919" s="216"/>
      <c r="C1919" s="157"/>
      <c r="D1919" s="216"/>
      <c r="E1919" s="216"/>
      <c r="F1919" s="216"/>
      <c r="G1919" s="216"/>
    </row>
    <row r="1920">
      <c r="A1920" s="216"/>
      <c r="B1920" s="216"/>
      <c r="C1920" s="157"/>
      <c r="D1920" s="216"/>
      <c r="E1920" s="216"/>
      <c r="F1920" s="216"/>
      <c r="G1920" s="216"/>
    </row>
    <row r="1921">
      <c r="A1921" s="216"/>
      <c r="B1921" s="216"/>
      <c r="C1921" s="157"/>
      <c r="D1921" s="216"/>
      <c r="E1921" s="216"/>
      <c r="F1921" s="216"/>
      <c r="G1921" s="216"/>
    </row>
    <row r="1922">
      <c r="A1922" s="216"/>
      <c r="B1922" s="216"/>
      <c r="C1922" s="157"/>
      <c r="D1922" s="216"/>
      <c r="E1922" s="216"/>
      <c r="F1922" s="216"/>
      <c r="G1922" s="216"/>
    </row>
    <row r="1923">
      <c r="A1923" s="216"/>
      <c r="B1923" s="216"/>
      <c r="C1923" s="157"/>
      <c r="D1923" s="216"/>
      <c r="E1923" s="216"/>
      <c r="F1923" s="216"/>
      <c r="G1923" s="216"/>
    </row>
    <row r="1924">
      <c r="A1924" s="216"/>
      <c r="B1924" s="216"/>
      <c r="C1924" s="157"/>
      <c r="D1924" s="216"/>
      <c r="E1924" s="216"/>
      <c r="F1924" s="216"/>
      <c r="G1924" s="216"/>
    </row>
    <row r="1925">
      <c r="A1925" s="216"/>
      <c r="B1925" s="216"/>
      <c r="C1925" s="157"/>
      <c r="D1925" s="216"/>
      <c r="E1925" s="216"/>
      <c r="F1925" s="216"/>
      <c r="G1925" s="216"/>
    </row>
    <row r="1926">
      <c r="A1926" s="216"/>
      <c r="B1926" s="216"/>
      <c r="C1926" s="157"/>
      <c r="D1926" s="216"/>
      <c r="E1926" s="216"/>
      <c r="F1926" s="216"/>
      <c r="G1926" s="216"/>
    </row>
    <row r="1927">
      <c r="A1927" s="216"/>
      <c r="B1927" s="216"/>
      <c r="C1927" s="157"/>
      <c r="D1927" s="216"/>
      <c r="E1927" s="216"/>
      <c r="F1927" s="216"/>
      <c r="G1927" s="216"/>
    </row>
    <row r="1928">
      <c r="A1928" s="216"/>
      <c r="B1928" s="216"/>
      <c r="C1928" s="157"/>
      <c r="D1928" s="216"/>
      <c r="E1928" s="216"/>
      <c r="F1928" s="216"/>
      <c r="G1928" s="216"/>
    </row>
    <row r="1929">
      <c r="A1929" s="216"/>
      <c r="B1929" s="216"/>
      <c r="C1929" s="157"/>
      <c r="D1929" s="216"/>
      <c r="E1929" s="216"/>
      <c r="F1929" s="216"/>
      <c r="G1929" s="216"/>
    </row>
    <row r="1930">
      <c r="A1930" s="216"/>
      <c r="B1930" s="216"/>
      <c r="C1930" s="157"/>
      <c r="D1930" s="216"/>
      <c r="E1930" s="216"/>
      <c r="F1930" s="216"/>
      <c r="G1930" s="216"/>
    </row>
    <row r="1931">
      <c r="A1931" s="216"/>
      <c r="B1931" s="216"/>
      <c r="C1931" s="157"/>
      <c r="D1931" s="216"/>
      <c r="E1931" s="216"/>
      <c r="F1931" s="216"/>
      <c r="G1931" s="216"/>
    </row>
    <row r="1932">
      <c r="A1932" s="216"/>
      <c r="B1932" s="216"/>
      <c r="C1932" s="157"/>
      <c r="D1932" s="216"/>
      <c r="E1932" s="216"/>
      <c r="F1932" s="216"/>
      <c r="G1932" s="216"/>
    </row>
    <row r="1933">
      <c r="A1933" s="216"/>
      <c r="B1933" s="216"/>
      <c r="C1933" s="157"/>
      <c r="D1933" s="216"/>
      <c r="E1933" s="216"/>
      <c r="F1933" s="216"/>
      <c r="G1933" s="216"/>
    </row>
    <row r="1934">
      <c r="A1934" s="216"/>
      <c r="B1934" s="216"/>
      <c r="C1934" s="157"/>
      <c r="D1934" s="216"/>
      <c r="E1934" s="216"/>
      <c r="F1934" s="216"/>
      <c r="G1934" s="216"/>
    </row>
    <row r="1935">
      <c r="A1935" s="216"/>
      <c r="B1935" s="216"/>
      <c r="C1935" s="157"/>
      <c r="D1935" s="216"/>
      <c r="E1935" s="216"/>
      <c r="F1935" s="216"/>
      <c r="G1935" s="216"/>
    </row>
    <row r="1936">
      <c r="A1936" s="216"/>
      <c r="B1936" s="216"/>
      <c r="C1936" s="157"/>
      <c r="D1936" s="216"/>
      <c r="E1936" s="216"/>
      <c r="F1936" s="216"/>
      <c r="G1936" s="216"/>
    </row>
    <row r="1937">
      <c r="A1937" s="216"/>
      <c r="B1937" s="216"/>
      <c r="C1937" s="157"/>
      <c r="D1937" s="216"/>
      <c r="E1937" s="216"/>
      <c r="F1937" s="216"/>
      <c r="G1937" s="216"/>
    </row>
    <row r="1938">
      <c r="A1938" s="216"/>
      <c r="B1938" s="216"/>
      <c r="C1938" s="157"/>
      <c r="D1938" s="216"/>
      <c r="E1938" s="216"/>
      <c r="F1938" s="216"/>
      <c r="G1938" s="216"/>
    </row>
    <row r="1939">
      <c r="A1939" s="216"/>
      <c r="B1939" s="216"/>
      <c r="C1939" s="157"/>
      <c r="D1939" s="216"/>
      <c r="E1939" s="216"/>
      <c r="F1939" s="216"/>
      <c r="G1939" s="216"/>
    </row>
    <row r="1940">
      <c r="A1940" s="216"/>
      <c r="B1940" s="216"/>
      <c r="C1940" s="157"/>
      <c r="D1940" s="216"/>
      <c r="E1940" s="216"/>
      <c r="F1940" s="216"/>
      <c r="G1940" s="216"/>
    </row>
    <row r="1941">
      <c r="A1941" s="216"/>
      <c r="B1941" s="216"/>
      <c r="C1941" s="157"/>
      <c r="D1941" s="216"/>
      <c r="E1941" s="216"/>
      <c r="F1941" s="216"/>
      <c r="G1941" s="216"/>
    </row>
    <row r="1942">
      <c r="A1942" s="216"/>
      <c r="B1942" s="216"/>
      <c r="C1942" s="157"/>
      <c r="D1942" s="216"/>
      <c r="E1942" s="216"/>
      <c r="F1942" s="216"/>
      <c r="G1942" s="216"/>
    </row>
    <row r="1943">
      <c r="A1943" s="216"/>
      <c r="B1943" s="216"/>
      <c r="C1943" s="157"/>
      <c r="D1943" s="216"/>
      <c r="E1943" s="216"/>
      <c r="F1943" s="216"/>
      <c r="G1943" s="216"/>
    </row>
    <row r="1944">
      <c r="A1944" s="216"/>
      <c r="B1944" s="216"/>
      <c r="C1944" s="157"/>
      <c r="D1944" s="216"/>
      <c r="E1944" s="216"/>
      <c r="F1944" s="216"/>
      <c r="G1944" s="216"/>
    </row>
    <row r="1945">
      <c r="A1945" s="216"/>
      <c r="B1945" s="216"/>
      <c r="C1945" s="157"/>
      <c r="D1945" s="216"/>
      <c r="E1945" s="216"/>
      <c r="F1945" s="216"/>
      <c r="G1945" s="216"/>
    </row>
    <row r="1946">
      <c r="A1946" s="216"/>
      <c r="B1946" s="216"/>
      <c r="C1946" s="157"/>
      <c r="D1946" s="216"/>
      <c r="E1946" s="216"/>
      <c r="F1946" s="216"/>
      <c r="G1946" s="216"/>
    </row>
    <row r="1947">
      <c r="A1947" s="216"/>
      <c r="B1947" s="216"/>
      <c r="C1947" s="157"/>
      <c r="D1947" s="216"/>
      <c r="E1947" s="216"/>
      <c r="F1947" s="216"/>
      <c r="G1947" s="216"/>
    </row>
    <row r="1948">
      <c r="A1948" s="216"/>
      <c r="B1948" s="216"/>
      <c r="C1948" s="157"/>
      <c r="D1948" s="216"/>
      <c r="E1948" s="216"/>
      <c r="F1948" s="216"/>
      <c r="G1948" s="216"/>
    </row>
    <row r="1949">
      <c r="A1949" s="216"/>
      <c r="B1949" s="216"/>
      <c r="C1949" s="157"/>
      <c r="D1949" s="216"/>
      <c r="E1949" s="216"/>
      <c r="F1949" s="216"/>
      <c r="G1949" s="216"/>
    </row>
    <row r="1950">
      <c r="A1950" s="216"/>
      <c r="B1950" s="216"/>
      <c r="C1950" s="157"/>
      <c r="D1950" s="216"/>
      <c r="E1950" s="216"/>
      <c r="F1950" s="216"/>
      <c r="G1950" s="216"/>
    </row>
    <row r="1951">
      <c r="A1951" s="216"/>
      <c r="B1951" s="216"/>
      <c r="C1951" s="157"/>
      <c r="D1951" s="216"/>
      <c r="E1951" s="216"/>
      <c r="F1951" s="216"/>
      <c r="G1951" s="216"/>
    </row>
    <row r="1952">
      <c r="A1952" s="216"/>
      <c r="B1952" s="216"/>
      <c r="C1952" s="157"/>
      <c r="D1952" s="216"/>
      <c r="E1952" s="216"/>
      <c r="F1952" s="216"/>
      <c r="G1952" s="216"/>
    </row>
    <row r="1953">
      <c r="A1953" s="216"/>
      <c r="B1953" s="216"/>
      <c r="C1953" s="157"/>
      <c r="D1953" s="216"/>
      <c r="E1953" s="216"/>
      <c r="F1953" s="216"/>
      <c r="G1953" s="216"/>
    </row>
    <row r="1954">
      <c r="A1954" s="216"/>
      <c r="B1954" s="216"/>
      <c r="C1954" s="157"/>
      <c r="D1954" s="216"/>
      <c r="E1954" s="216"/>
      <c r="F1954" s="216"/>
      <c r="G1954" s="216"/>
    </row>
    <row r="1955">
      <c r="A1955" s="216"/>
      <c r="B1955" s="216"/>
      <c r="C1955" s="157"/>
      <c r="D1955" s="216"/>
      <c r="E1955" s="216"/>
      <c r="F1955" s="216"/>
      <c r="G1955" s="216"/>
    </row>
    <row r="1956">
      <c r="A1956" s="216"/>
      <c r="B1956" s="216"/>
      <c r="C1956" s="157"/>
      <c r="D1956" s="216"/>
      <c r="E1956" s="216"/>
      <c r="F1956" s="216"/>
      <c r="G1956" s="216"/>
    </row>
    <row r="1957">
      <c r="A1957" s="216"/>
      <c r="B1957" s="216"/>
      <c r="C1957" s="157"/>
      <c r="D1957" s="216"/>
      <c r="E1957" s="216"/>
      <c r="F1957" s="216"/>
      <c r="G1957" s="216"/>
    </row>
    <row r="1958">
      <c r="A1958" s="216"/>
      <c r="B1958" s="216"/>
      <c r="C1958" s="157"/>
      <c r="D1958" s="216"/>
      <c r="E1958" s="216"/>
      <c r="F1958" s="216"/>
      <c r="G1958" s="216"/>
    </row>
    <row r="1959">
      <c r="A1959" s="216"/>
      <c r="B1959" s="216"/>
      <c r="C1959" s="157"/>
      <c r="D1959" s="216"/>
      <c r="E1959" s="216"/>
      <c r="F1959" s="216"/>
      <c r="G1959" s="216"/>
    </row>
    <row r="1960">
      <c r="A1960" s="216"/>
      <c r="B1960" s="216"/>
      <c r="C1960" s="157"/>
      <c r="D1960" s="216"/>
      <c r="E1960" s="216"/>
      <c r="F1960" s="216"/>
      <c r="G1960" s="216"/>
    </row>
    <row r="1961">
      <c r="A1961" s="216"/>
      <c r="B1961" s="216"/>
      <c r="C1961" s="157"/>
      <c r="D1961" s="216"/>
      <c r="E1961" s="216"/>
      <c r="F1961" s="216"/>
      <c r="G1961" s="216"/>
    </row>
    <row r="1962">
      <c r="A1962" s="216"/>
      <c r="B1962" s="216"/>
      <c r="C1962" s="157"/>
      <c r="D1962" s="216"/>
      <c r="E1962" s="216"/>
      <c r="F1962" s="216"/>
      <c r="G1962" s="216"/>
    </row>
    <row r="1963">
      <c r="A1963" s="216"/>
      <c r="B1963" s="216"/>
      <c r="C1963" s="157"/>
      <c r="D1963" s="216"/>
      <c r="E1963" s="216"/>
      <c r="F1963" s="216"/>
      <c r="G1963" s="216"/>
    </row>
    <row r="1964">
      <c r="A1964" s="216"/>
      <c r="B1964" s="216"/>
      <c r="C1964" s="157"/>
      <c r="D1964" s="216"/>
      <c r="E1964" s="216"/>
      <c r="F1964" s="216"/>
      <c r="G1964" s="216"/>
    </row>
    <row r="1965">
      <c r="A1965" s="216"/>
      <c r="B1965" s="216"/>
      <c r="C1965" s="157"/>
      <c r="D1965" s="216"/>
      <c r="E1965" s="216"/>
      <c r="F1965" s="216"/>
      <c r="G1965" s="216"/>
    </row>
    <row r="1966">
      <c r="A1966" s="216"/>
      <c r="B1966" s="216"/>
      <c r="C1966" s="157"/>
      <c r="D1966" s="216"/>
      <c r="E1966" s="216"/>
      <c r="F1966" s="216"/>
      <c r="G1966" s="216"/>
    </row>
    <row r="1967">
      <c r="A1967" s="216"/>
      <c r="B1967" s="216"/>
      <c r="C1967" s="157"/>
      <c r="D1967" s="216"/>
      <c r="E1967" s="216"/>
      <c r="F1967" s="216"/>
      <c r="G1967" s="216"/>
    </row>
    <row r="1968">
      <c r="A1968" s="216"/>
      <c r="B1968" s="216"/>
      <c r="C1968" s="157"/>
      <c r="D1968" s="216"/>
      <c r="E1968" s="216"/>
      <c r="F1968" s="216"/>
      <c r="G1968" s="216"/>
    </row>
    <row r="1969">
      <c r="A1969" s="216"/>
      <c r="B1969" s="216"/>
      <c r="C1969" s="157"/>
      <c r="D1969" s="216"/>
      <c r="E1969" s="216"/>
      <c r="F1969" s="216"/>
      <c r="G1969" s="216"/>
    </row>
    <row r="1970">
      <c r="A1970" s="216"/>
      <c r="B1970" s="216"/>
      <c r="C1970" s="157"/>
      <c r="D1970" s="216"/>
      <c r="E1970" s="216"/>
      <c r="F1970" s="216"/>
      <c r="G1970" s="216"/>
    </row>
    <row r="1971">
      <c r="A1971" s="216"/>
      <c r="B1971" s="216"/>
      <c r="C1971" s="157"/>
      <c r="D1971" s="216"/>
      <c r="E1971" s="216"/>
      <c r="F1971" s="216"/>
      <c r="G1971" s="216"/>
    </row>
    <row r="1972">
      <c r="A1972" s="216"/>
      <c r="B1972" s="216"/>
      <c r="C1972" s="157"/>
      <c r="D1972" s="216"/>
      <c r="E1972" s="216"/>
      <c r="F1972" s="216"/>
      <c r="G1972" s="216"/>
    </row>
    <row r="1973">
      <c r="A1973" s="216"/>
      <c r="B1973" s="216"/>
      <c r="C1973" s="157"/>
      <c r="D1973" s="216"/>
      <c r="E1973" s="216"/>
      <c r="F1973" s="216"/>
      <c r="G1973" s="216"/>
    </row>
    <row r="1974">
      <c r="A1974" s="216"/>
      <c r="B1974" s="216"/>
      <c r="C1974" s="157"/>
      <c r="D1974" s="216"/>
      <c r="E1974" s="216"/>
      <c r="F1974" s="216"/>
      <c r="G1974" s="216"/>
    </row>
    <row r="1975">
      <c r="A1975" s="216"/>
      <c r="B1975" s="216"/>
      <c r="C1975" s="157"/>
      <c r="D1975" s="216"/>
      <c r="E1975" s="216"/>
      <c r="F1975" s="216"/>
      <c r="G1975" s="216"/>
    </row>
    <row r="1976">
      <c r="A1976" s="216"/>
      <c r="B1976" s="216"/>
      <c r="C1976" s="157"/>
      <c r="D1976" s="216"/>
      <c r="E1976" s="216"/>
      <c r="F1976" s="216"/>
      <c r="G1976" s="216"/>
    </row>
    <row r="1977">
      <c r="A1977" s="216"/>
      <c r="B1977" s="216"/>
      <c r="C1977" s="157"/>
      <c r="D1977" s="216"/>
      <c r="E1977" s="216"/>
      <c r="F1977" s="216"/>
      <c r="G1977" s="216"/>
    </row>
    <row r="1978">
      <c r="A1978" s="216"/>
      <c r="B1978" s="216"/>
      <c r="C1978" s="157"/>
      <c r="D1978" s="216"/>
      <c r="E1978" s="216"/>
      <c r="F1978" s="216"/>
      <c r="G1978" s="216"/>
    </row>
    <row r="1979">
      <c r="A1979" s="216"/>
      <c r="B1979" s="216"/>
      <c r="C1979" s="157"/>
      <c r="D1979" s="216"/>
      <c r="E1979" s="216"/>
      <c r="F1979" s="216"/>
      <c r="G1979" s="216"/>
    </row>
    <row r="1980">
      <c r="A1980" s="216"/>
      <c r="B1980" s="216"/>
      <c r="C1980" s="157"/>
      <c r="D1980" s="216"/>
      <c r="E1980" s="216"/>
      <c r="F1980" s="216"/>
      <c r="G1980" s="216"/>
    </row>
    <row r="1981">
      <c r="A1981" s="216"/>
      <c r="B1981" s="216"/>
      <c r="C1981" s="157"/>
      <c r="D1981" s="216"/>
      <c r="E1981" s="216"/>
      <c r="F1981" s="216"/>
      <c r="G1981" s="216"/>
    </row>
    <row r="1982">
      <c r="A1982" s="216"/>
      <c r="B1982" s="216"/>
      <c r="C1982" s="157"/>
      <c r="D1982" s="216"/>
      <c r="E1982" s="216"/>
      <c r="F1982" s="216"/>
      <c r="G1982" s="216"/>
    </row>
    <row r="1983">
      <c r="A1983" s="216"/>
      <c r="B1983" s="216"/>
      <c r="C1983" s="157"/>
      <c r="D1983" s="216"/>
      <c r="E1983" s="216"/>
      <c r="F1983" s="216"/>
      <c r="G1983" s="216"/>
    </row>
    <row r="1984">
      <c r="A1984" s="216"/>
      <c r="B1984" s="216"/>
      <c r="C1984" s="157"/>
      <c r="D1984" s="216"/>
      <c r="E1984" s="216"/>
      <c r="F1984" s="216"/>
      <c r="G1984" s="216"/>
    </row>
    <row r="1985">
      <c r="A1985" s="216"/>
      <c r="B1985" s="216"/>
      <c r="C1985" s="157"/>
      <c r="D1985" s="216"/>
      <c r="E1985" s="216"/>
      <c r="F1985" s="216"/>
      <c r="G1985" s="216"/>
    </row>
    <row r="1986">
      <c r="A1986" s="216"/>
      <c r="B1986" s="216"/>
      <c r="C1986" s="157"/>
      <c r="D1986" s="216"/>
      <c r="E1986" s="216"/>
      <c r="F1986" s="216"/>
      <c r="G1986" s="216"/>
    </row>
    <row r="1987">
      <c r="A1987" s="216"/>
      <c r="B1987" s="216"/>
      <c r="C1987" s="157"/>
      <c r="D1987" s="216"/>
      <c r="E1987" s="216"/>
      <c r="F1987" s="216"/>
      <c r="G1987" s="216"/>
    </row>
    <row r="1988">
      <c r="A1988" s="216"/>
      <c r="B1988" s="216"/>
      <c r="C1988" s="157"/>
      <c r="D1988" s="216"/>
      <c r="E1988" s="216"/>
      <c r="F1988" s="216"/>
      <c r="G1988" s="216"/>
    </row>
    <row r="1989">
      <c r="A1989" s="216"/>
      <c r="B1989" s="216"/>
      <c r="C1989" s="157"/>
      <c r="D1989" s="216"/>
      <c r="E1989" s="216"/>
      <c r="F1989" s="216"/>
      <c r="G1989" s="216"/>
    </row>
    <row r="1990">
      <c r="A1990" s="216"/>
      <c r="B1990" s="216"/>
      <c r="C1990" s="157"/>
      <c r="D1990" s="216"/>
      <c r="E1990" s="216"/>
      <c r="F1990" s="216"/>
      <c r="G1990" s="216"/>
    </row>
    <row r="1991">
      <c r="A1991" s="216"/>
      <c r="B1991" s="216"/>
      <c r="C1991" s="157"/>
      <c r="D1991" s="216"/>
      <c r="E1991" s="216"/>
      <c r="F1991" s="216"/>
      <c r="G1991" s="216"/>
    </row>
    <row r="1992">
      <c r="A1992" s="216"/>
      <c r="B1992" s="216"/>
      <c r="C1992" s="157"/>
      <c r="D1992" s="216"/>
      <c r="E1992" s="216"/>
      <c r="F1992" s="216"/>
      <c r="G1992" s="216"/>
    </row>
    <row r="1993">
      <c r="A1993" s="216"/>
      <c r="B1993" s="216"/>
      <c r="C1993" s="157"/>
      <c r="D1993" s="216"/>
      <c r="E1993" s="216"/>
      <c r="F1993" s="216"/>
      <c r="G1993" s="216"/>
    </row>
    <row r="1994">
      <c r="A1994" s="216"/>
      <c r="B1994" s="216"/>
      <c r="C1994" s="157"/>
      <c r="D1994" s="216"/>
      <c r="E1994" s="216"/>
      <c r="F1994" s="216"/>
      <c r="G1994" s="216"/>
    </row>
    <row r="1995">
      <c r="A1995" s="216"/>
      <c r="B1995" s="216"/>
      <c r="C1995" s="157"/>
      <c r="D1995" s="216"/>
      <c r="E1995" s="216"/>
      <c r="F1995" s="216"/>
      <c r="G1995" s="216"/>
    </row>
    <row r="1996">
      <c r="A1996" s="216"/>
      <c r="B1996" s="216"/>
      <c r="C1996" s="157"/>
      <c r="D1996" s="216"/>
      <c r="E1996" s="216"/>
      <c r="F1996" s="216"/>
      <c r="G1996" s="216"/>
    </row>
    <row r="1997">
      <c r="A1997" s="216"/>
      <c r="B1997" s="216"/>
      <c r="C1997" s="157"/>
      <c r="D1997" s="216"/>
      <c r="E1997" s="216"/>
      <c r="F1997" s="216"/>
      <c r="G1997" s="216"/>
    </row>
    <row r="1998">
      <c r="A1998" s="216"/>
      <c r="B1998" s="216"/>
      <c r="C1998" s="157"/>
      <c r="D1998" s="216"/>
      <c r="E1998" s="216"/>
      <c r="F1998" s="216"/>
      <c r="G1998" s="216"/>
    </row>
    <row r="1999">
      <c r="A1999" s="216"/>
      <c r="B1999" s="216"/>
      <c r="C1999" s="157"/>
      <c r="D1999" s="216"/>
      <c r="E1999" s="216"/>
      <c r="F1999" s="216"/>
      <c r="G1999" s="216"/>
    </row>
    <row r="2000">
      <c r="A2000" s="216"/>
      <c r="B2000" s="216"/>
      <c r="C2000" s="157"/>
      <c r="D2000" s="216"/>
      <c r="E2000" s="216"/>
      <c r="F2000" s="216"/>
      <c r="G2000" s="216"/>
    </row>
    <row r="2001">
      <c r="A2001" s="216"/>
      <c r="B2001" s="216"/>
      <c r="C2001" s="157"/>
      <c r="D2001" s="216"/>
      <c r="E2001" s="216"/>
      <c r="F2001" s="216"/>
      <c r="G2001" s="216"/>
    </row>
    <row r="2002">
      <c r="A2002" s="216"/>
      <c r="B2002" s="216"/>
      <c r="C2002" s="157"/>
      <c r="D2002" s="216"/>
      <c r="E2002" s="216"/>
      <c r="F2002" s="216"/>
      <c r="G2002" s="216"/>
    </row>
    <row r="2003">
      <c r="A2003" s="216"/>
      <c r="B2003" s="216"/>
      <c r="C2003" s="157"/>
      <c r="D2003" s="216"/>
      <c r="E2003" s="216"/>
      <c r="F2003" s="216"/>
      <c r="G2003" s="216"/>
    </row>
    <row r="2004">
      <c r="A2004" s="216"/>
      <c r="B2004" s="216"/>
      <c r="C2004" s="157"/>
      <c r="D2004" s="216"/>
      <c r="E2004" s="216"/>
      <c r="F2004" s="216"/>
      <c r="G2004" s="216"/>
    </row>
    <row r="2005">
      <c r="A2005" s="216"/>
      <c r="B2005" s="216"/>
      <c r="C2005" s="157"/>
      <c r="D2005" s="216"/>
      <c r="E2005" s="216"/>
      <c r="F2005" s="216"/>
      <c r="G2005" s="216"/>
    </row>
    <row r="2006">
      <c r="A2006" s="216"/>
      <c r="B2006" s="216"/>
      <c r="C2006" s="157"/>
      <c r="D2006" s="216"/>
      <c r="E2006" s="216"/>
      <c r="F2006" s="216"/>
      <c r="G2006" s="216"/>
    </row>
    <row r="2007">
      <c r="A2007" s="216"/>
      <c r="B2007" s="216"/>
      <c r="C2007" s="157"/>
      <c r="D2007" s="216"/>
      <c r="E2007" s="216"/>
      <c r="F2007" s="216"/>
      <c r="G2007" s="216"/>
    </row>
    <row r="2008">
      <c r="A2008" s="216"/>
      <c r="B2008" s="216"/>
      <c r="C2008" s="157"/>
      <c r="D2008" s="216"/>
      <c r="E2008" s="216"/>
      <c r="F2008" s="216"/>
      <c r="G2008" s="216"/>
    </row>
    <row r="2009">
      <c r="A2009" s="216"/>
      <c r="B2009" s="216"/>
      <c r="C2009" s="157"/>
      <c r="D2009" s="216"/>
      <c r="E2009" s="216"/>
      <c r="F2009" s="216"/>
      <c r="G2009" s="216"/>
    </row>
    <row r="2010">
      <c r="A2010" s="216"/>
      <c r="B2010" s="216"/>
      <c r="C2010" s="157"/>
      <c r="D2010" s="216"/>
      <c r="E2010" s="216"/>
      <c r="F2010" s="216"/>
      <c r="G2010" s="216"/>
    </row>
    <row r="2011">
      <c r="A2011" s="216"/>
      <c r="B2011" s="216"/>
      <c r="C2011" s="157"/>
      <c r="D2011" s="216"/>
      <c r="E2011" s="216"/>
      <c r="F2011" s="216"/>
      <c r="G2011" s="216"/>
    </row>
    <row r="2012">
      <c r="A2012" s="216"/>
      <c r="B2012" s="216"/>
      <c r="C2012" s="157"/>
      <c r="D2012" s="216"/>
      <c r="E2012" s="216"/>
      <c r="F2012" s="216"/>
      <c r="G2012" s="216"/>
    </row>
    <row r="2013">
      <c r="A2013" s="216"/>
      <c r="B2013" s="216"/>
      <c r="C2013" s="157"/>
      <c r="D2013" s="216"/>
      <c r="E2013" s="216"/>
      <c r="F2013" s="216"/>
      <c r="G2013" s="216"/>
    </row>
    <row r="2014">
      <c r="A2014" s="216"/>
      <c r="B2014" s="216"/>
      <c r="C2014" s="157"/>
      <c r="D2014" s="216"/>
      <c r="E2014" s="216"/>
      <c r="F2014" s="216"/>
      <c r="G2014" s="216"/>
    </row>
    <row r="2015">
      <c r="A2015" s="216"/>
      <c r="B2015" s="216"/>
      <c r="C2015" s="157"/>
      <c r="D2015" s="216"/>
      <c r="E2015" s="216"/>
      <c r="F2015" s="216"/>
      <c r="G2015" s="216"/>
    </row>
    <row r="2016">
      <c r="A2016" s="216"/>
      <c r="B2016" s="216"/>
      <c r="C2016" s="157"/>
      <c r="D2016" s="216"/>
      <c r="E2016" s="216"/>
      <c r="F2016" s="216"/>
      <c r="G2016" s="216"/>
    </row>
    <row r="2017">
      <c r="A2017" s="216"/>
      <c r="B2017" s="216"/>
      <c r="C2017" s="157"/>
      <c r="D2017" s="216"/>
      <c r="E2017" s="216"/>
      <c r="F2017" s="216"/>
      <c r="G2017" s="216"/>
    </row>
    <row r="2018">
      <c r="A2018" s="216"/>
      <c r="B2018" s="216"/>
      <c r="C2018" s="157"/>
      <c r="D2018" s="216"/>
      <c r="E2018" s="216"/>
      <c r="F2018" s="216"/>
      <c r="G2018" s="216"/>
    </row>
    <row r="2019">
      <c r="A2019" s="216"/>
      <c r="B2019" s="216"/>
      <c r="C2019" s="157"/>
      <c r="D2019" s="216"/>
      <c r="E2019" s="216"/>
      <c r="F2019" s="216"/>
      <c r="G2019" s="216"/>
    </row>
    <row r="2020">
      <c r="A2020" s="216"/>
      <c r="B2020" s="216"/>
      <c r="C2020" s="157"/>
      <c r="D2020" s="216"/>
      <c r="E2020" s="216"/>
      <c r="F2020" s="216"/>
      <c r="G2020" s="216"/>
    </row>
    <row r="2021">
      <c r="A2021" s="216"/>
      <c r="B2021" s="216"/>
      <c r="C2021" s="157"/>
      <c r="D2021" s="216"/>
      <c r="E2021" s="216"/>
      <c r="F2021" s="216"/>
      <c r="G2021" s="216"/>
    </row>
    <row r="2022">
      <c r="A2022" s="216"/>
      <c r="B2022" s="216"/>
      <c r="C2022" s="157"/>
      <c r="D2022" s="216"/>
      <c r="E2022" s="216"/>
      <c r="F2022" s="216"/>
      <c r="G2022" s="216"/>
    </row>
    <row r="2023">
      <c r="A2023" s="216"/>
      <c r="B2023" s="216"/>
      <c r="C2023" s="157"/>
      <c r="D2023" s="216"/>
      <c r="E2023" s="216"/>
      <c r="F2023" s="216"/>
      <c r="G2023" s="216"/>
    </row>
    <row r="2024">
      <c r="A2024" s="216"/>
      <c r="B2024" s="216"/>
      <c r="C2024" s="157"/>
      <c r="D2024" s="216"/>
      <c r="E2024" s="216"/>
      <c r="F2024" s="216"/>
      <c r="G2024" s="216"/>
    </row>
    <row r="2025">
      <c r="A2025" s="216"/>
      <c r="B2025" s="216"/>
      <c r="C2025" s="157"/>
      <c r="D2025" s="216"/>
      <c r="E2025" s="216"/>
      <c r="F2025" s="216"/>
      <c r="G2025" s="216"/>
    </row>
    <row r="2026">
      <c r="A2026" s="216"/>
      <c r="B2026" s="216"/>
      <c r="C2026" s="157"/>
      <c r="D2026" s="216"/>
      <c r="E2026" s="216"/>
      <c r="F2026" s="216"/>
      <c r="G2026" s="216"/>
    </row>
    <row r="2027">
      <c r="A2027" s="216"/>
      <c r="B2027" s="216"/>
      <c r="C2027" s="157"/>
      <c r="D2027" s="216"/>
      <c r="E2027" s="216"/>
      <c r="F2027" s="216"/>
      <c r="G2027" s="216"/>
    </row>
    <row r="2028">
      <c r="A2028" s="216"/>
      <c r="B2028" s="216"/>
      <c r="C2028" s="157"/>
      <c r="D2028" s="216"/>
      <c r="E2028" s="216"/>
      <c r="F2028" s="216"/>
      <c r="G2028" s="216"/>
    </row>
    <row r="2029">
      <c r="A2029" s="216"/>
      <c r="B2029" s="216"/>
      <c r="C2029" s="157"/>
      <c r="D2029" s="216"/>
      <c r="E2029" s="216"/>
      <c r="F2029" s="216"/>
      <c r="G2029" s="216"/>
    </row>
    <row r="2030">
      <c r="A2030" s="216"/>
      <c r="B2030" s="216"/>
      <c r="C2030" s="157"/>
      <c r="D2030" s="216"/>
      <c r="E2030" s="216"/>
      <c r="F2030" s="216"/>
      <c r="G2030" s="216"/>
    </row>
    <row r="2031">
      <c r="A2031" s="216"/>
      <c r="B2031" s="216"/>
      <c r="C2031" s="157"/>
      <c r="D2031" s="216"/>
      <c r="E2031" s="216"/>
      <c r="F2031" s="216"/>
      <c r="G2031" s="216"/>
    </row>
    <row r="2032">
      <c r="A2032" s="216"/>
      <c r="B2032" s="216"/>
      <c r="C2032" s="157"/>
      <c r="D2032" s="216"/>
      <c r="E2032" s="216"/>
      <c r="F2032" s="216"/>
      <c r="G2032" s="216"/>
    </row>
    <row r="2033">
      <c r="A2033" s="216"/>
      <c r="B2033" s="216"/>
      <c r="C2033" s="157"/>
      <c r="D2033" s="216"/>
      <c r="E2033" s="216"/>
      <c r="F2033" s="216"/>
      <c r="G2033" s="216"/>
    </row>
    <row r="2034">
      <c r="A2034" s="216"/>
      <c r="B2034" s="216"/>
      <c r="C2034" s="157"/>
      <c r="D2034" s="216"/>
      <c r="E2034" s="216"/>
      <c r="F2034" s="216"/>
      <c r="G2034" s="216"/>
    </row>
    <row r="2035">
      <c r="A2035" s="216"/>
      <c r="B2035" s="216"/>
      <c r="C2035" s="157"/>
      <c r="D2035" s="216"/>
      <c r="E2035" s="216"/>
      <c r="F2035" s="216"/>
      <c r="G2035" s="216"/>
    </row>
    <row r="2036">
      <c r="A2036" s="216"/>
      <c r="B2036" s="216"/>
      <c r="C2036" s="157"/>
      <c r="D2036" s="216"/>
      <c r="E2036" s="216"/>
      <c r="F2036" s="216"/>
      <c r="G2036" s="216"/>
    </row>
    <row r="2037">
      <c r="A2037" s="216"/>
      <c r="B2037" s="216"/>
      <c r="C2037" s="157"/>
      <c r="D2037" s="216"/>
      <c r="E2037" s="216"/>
      <c r="F2037" s="216"/>
      <c r="G2037" s="216"/>
    </row>
    <row r="2038">
      <c r="A2038" s="216"/>
      <c r="B2038" s="216"/>
      <c r="C2038" s="157"/>
      <c r="D2038" s="216"/>
      <c r="E2038" s="216"/>
      <c r="F2038" s="216"/>
      <c r="G2038" s="216"/>
    </row>
    <row r="2039">
      <c r="A2039" s="216"/>
      <c r="B2039" s="216"/>
      <c r="C2039" s="157"/>
      <c r="D2039" s="216"/>
      <c r="E2039" s="216"/>
      <c r="F2039" s="216"/>
      <c r="G2039" s="216"/>
    </row>
    <row r="2040">
      <c r="A2040" s="216"/>
      <c r="B2040" s="216"/>
      <c r="C2040" s="157"/>
      <c r="D2040" s="216"/>
      <c r="E2040" s="216"/>
      <c r="F2040" s="216"/>
      <c r="G2040" s="216"/>
    </row>
    <row r="2041">
      <c r="A2041" s="216"/>
      <c r="B2041" s="216"/>
      <c r="C2041" s="157"/>
      <c r="D2041" s="216"/>
      <c r="E2041" s="216"/>
      <c r="F2041" s="216"/>
      <c r="G2041" s="216"/>
    </row>
    <row r="2042">
      <c r="A2042" s="216"/>
      <c r="B2042" s="216"/>
      <c r="C2042" s="157"/>
      <c r="D2042" s="216"/>
      <c r="E2042" s="216"/>
      <c r="F2042" s="216"/>
      <c r="G2042" s="216"/>
    </row>
    <row r="2043">
      <c r="A2043" s="216"/>
      <c r="B2043" s="216"/>
      <c r="C2043" s="157"/>
      <c r="D2043" s="216"/>
      <c r="E2043" s="216"/>
      <c r="F2043" s="216"/>
      <c r="G2043" s="216"/>
    </row>
    <row r="2044">
      <c r="A2044" s="216"/>
      <c r="B2044" s="216"/>
      <c r="C2044" s="157"/>
      <c r="D2044" s="216"/>
      <c r="E2044" s="216"/>
      <c r="F2044" s="216"/>
      <c r="G2044" s="216"/>
    </row>
    <row r="2045">
      <c r="A2045" s="216"/>
      <c r="B2045" s="216"/>
      <c r="C2045" s="157"/>
      <c r="D2045" s="216"/>
      <c r="E2045" s="216"/>
      <c r="F2045" s="216"/>
      <c r="G2045" s="216"/>
    </row>
    <row r="2046">
      <c r="A2046" s="216"/>
      <c r="B2046" s="216"/>
      <c r="C2046" s="157"/>
      <c r="D2046" s="216"/>
      <c r="E2046" s="216"/>
      <c r="F2046" s="216"/>
      <c r="G2046" s="216"/>
    </row>
    <row r="2047">
      <c r="A2047" s="216"/>
      <c r="B2047" s="216"/>
      <c r="C2047" s="157"/>
      <c r="D2047" s="216"/>
      <c r="E2047" s="216"/>
      <c r="F2047" s="216"/>
      <c r="G2047" s="216"/>
    </row>
    <row r="2048">
      <c r="A2048" s="216"/>
      <c r="B2048" s="216"/>
      <c r="C2048" s="157"/>
      <c r="D2048" s="216"/>
      <c r="E2048" s="216"/>
      <c r="F2048" s="216"/>
      <c r="G2048" s="216"/>
    </row>
    <row r="2049">
      <c r="A2049" s="216"/>
      <c r="B2049" s="216"/>
      <c r="C2049" s="157"/>
      <c r="D2049" s="216"/>
      <c r="E2049" s="216"/>
      <c r="F2049" s="216"/>
      <c r="G2049" s="216"/>
    </row>
    <row r="2050">
      <c r="A2050" s="216"/>
      <c r="B2050" s="216"/>
      <c r="C2050" s="157"/>
      <c r="D2050" s="216"/>
      <c r="E2050" s="216"/>
      <c r="F2050" s="216"/>
      <c r="G2050" s="216"/>
    </row>
    <row r="2051">
      <c r="A2051" s="216"/>
      <c r="B2051" s="216"/>
      <c r="C2051" s="157"/>
      <c r="D2051" s="216"/>
      <c r="E2051" s="216"/>
      <c r="F2051" s="216"/>
      <c r="G2051" s="216"/>
    </row>
    <row r="2052">
      <c r="A2052" s="216"/>
      <c r="B2052" s="216"/>
      <c r="C2052" s="157"/>
      <c r="D2052" s="216"/>
      <c r="E2052" s="216"/>
      <c r="F2052" s="216"/>
      <c r="G2052" s="216"/>
    </row>
    <row r="2053">
      <c r="A2053" s="216"/>
      <c r="B2053" s="216"/>
      <c r="C2053" s="157"/>
      <c r="D2053" s="216"/>
      <c r="E2053" s="216"/>
      <c r="F2053" s="216"/>
      <c r="G2053" s="216"/>
    </row>
    <row r="2054">
      <c r="A2054" s="216"/>
      <c r="B2054" s="216"/>
      <c r="C2054" s="157"/>
      <c r="D2054" s="216"/>
      <c r="E2054" s="216"/>
      <c r="F2054" s="216"/>
      <c r="G2054" s="216"/>
    </row>
    <row r="2055">
      <c r="A2055" s="216"/>
      <c r="B2055" s="216"/>
      <c r="C2055" s="157"/>
      <c r="D2055" s="216"/>
      <c r="E2055" s="216"/>
      <c r="F2055" s="216"/>
      <c r="G2055" s="216"/>
    </row>
    <row r="2056">
      <c r="A2056" s="216"/>
      <c r="B2056" s="216"/>
      <c r="C2056" s="157"/>
      <c r="D2056" s="216"/>
      <c r="E2056" s="216"/>
      <c r="F2056" s="216"/>
      <c r="G2056" s="216"/>
    </row>
    <row r="2057">
      <c r="A2057" s="216"/>
      <c r="B2057" s="216"/>
      <c r="C2057" s="157"/>
      <c r="D2057" s="216"/>
      <c r="E2057" s="216"/>
      <c r="F2057" s="216"/>
      <c r="G2057" s="216"/>
    </row>
    <row r="2058">
      <c r="A2058" s="216"/>
      <c r="B2058" s="216"/>
      <c r="C2058" s="157"/>
      <c r="D2058" s="216"/>
      <c r="E2058" s="216"/>
      <c r="F2058" s="216"/>
      <c r="G2058" s="216"/>
    </row>
    <row r="2059">
      <c r="A2059" s="216"/>
      <c r="B2059" s="216"/>
      <c r="C2059" s="157"/>
      <c r="D2059" s="216"/>
      <c r="E2059" s="216"/>
      <c r="F2059" s="216"/>
      <c r="G2059" s="216"/>
    </row>
    <row r="2060">
      <c r="A2060" s="216"/>
      <c r="B2060" s="216"/>
      <c r="C2060" s="157"/>
      <c r="D2060" s="216"/>
      <c r="E2060" s="216"/>
      <c r="F2060" s="216"/>
      <c r="G2060" s="216"/>
    </row>
    <row r="2061">
      <c r="A2061" s="216"/>
      <c r="B2061" s="216"/>
      <c r="C2061" s="157"/>
      <c r="D2061" s="216"/>
      <c r="E2061" s="216"/>
      <c r="F2061" s="216"/>
      <c r="G2061" s="216"/>
    </row>
    <row r="2062">
      <c r="A2062" s="216"/>
      <c r="B2062" s="216"/>
      <c r="C2062" s="157"/>
      <c r="D2062" s="216"/>
      <c r="E2062" s="216"/>
      <c r="F2062" s="216"/>
      <c r="G2062" s="216"/>
    </row>
    <row r="2063">
      <c r="A2063" s="216"/>
      <c r="B2063" s="216"/>
      <c r="C2063" s="157"/>
      <c r="D2063" s="216"/>
      <c r="E2063" s="216"/>
      <c r="F2063" s="216"/>
      <c r="G2063" s="216"/>
    </row>
    <row r="2064">
      <c r="A2064" s="216"/>
      <c r="B2064" s="216"/>
      <c r="C2064" s="157"/>
      <c r="D2064" s="216"/>
      <c r="E2064" s="216"/>
      <c r="F2064" s="216"/>
      <c r="G2064" s="216"/>
    </row>
    <row r="2065">
      <c r="A2065" s="216"/>
      <c r="B2065" s="216"/>
      <c r="C2065" s="157"/>
      <c r="D2065" s="216"/>
      <c r="E2065" s="216"/>
      <c r="F2065" s="216"/>
      <c r="G2065" s="216"/>
    </row>
    <row r="2066">
      <c r="A2066" s="216"/>
      <c r="B2066" s="216"/>
      <c r="C2066" s="157"/>
      <c r="D2066" s="216"/>
      <c r="E2066" s="216"/>
      <c r="F2066" s="216"/>
      <c r="G2066" s="216"/>
    </row>
    <row r="2067">
      <c r="A2067" s="216"/>
      <c r="B2067" s="216"/>
      <c r="C2067" s="157"/>
      <c r="D2067" s="216"/>
      <c r="E2067" s="216"/>
      <c r="F2067" s="216"/>
      <c r="G2067" s="216"/>
    </row>
    <row r="2068">
      <c r="A2068" s="216"/>
      <c r="B2068" s="216"/>
      <c r="C2068" s="157"/>
      <c r="D2068" s="216"/>
      <c r="E2068" s="216"/>
      <c r="F2068" s="216"/>
      <c r="G2068" s="216"/>
    </row>
    <row r="2069">
      <c r="A2069" s="216"/>
      <c r="B2069" s="216"/>
      <c r="C2069" s="157"/>
      <c r="D2069" s="216"/>
      <c r="E2069" s="216"/>
      <c r="F2069" s="216"/>
      <c r="G2069" s="216"/>
    </row>
    <row r="2070">
      <c r="A2070" s="216"/>
      <c r="B2070" s="216"/>
      <c r="C2070" s="157"/>
      <c r="D2070" s="216"/>
      <c r="E2070" s="216"/>
      <c r="F2070" s="216"/>
      <c r="G2070" s="216"/>
    </row>
    <row r="2071">
      <c r="A2071" s="216"/>
      <c r="B2071" s="216"/>
      <c r="C2071" s="157"/>
      <c r="D2071" s="216"/>
      <c r="E2071" s="216"/>
      <c r="F2071" s="216"/>
      <c r="G2071" s="216"/>
    </row>
    <row r="2072">
      <c r="A2072" s="216"/>
      <c r="B2072" s="216"/>
      <c r="C2072" s="157"/>
      <c r="D2072" s="216"/>
      <c r="E2072" s="216"/>
      <c r="F2072" s="216"/>
      <c r="G2072" s="216"/>
    </row>
    <row r="2073">
      <c r="A2073" s="216"/>
      <c r="B2073" s="216"/>
      <c r="C2073" s="157"/>
      <c r="D2073" s="216"/>
      <c r="E2073" s="216"/>
      <c r="F2073" s="216"/>
      <c r="G2073" s="216"/>
    </row>
    <row r="2074">
      <c r="A2074" s="216"/>
      <c r="B2074" s="216"/>
      <c r="C2074" s="157"/>
      <c r="D2074" s="216"/>
      <c r="E2074" s="216"/>
      <c r="F2074" s="216"/>
      <c r="G2074" s="216"/>
    </row>
    <row r="2075">
      <c r="A2075" s="216"/>
      <c r="B2075" s="216"/>
      <c r="C2075" s="157"/>
      <c r="D2075" s="216"/>
      <c r="E2075" s="216"/>
      <c r="F2075" s="216"/>
      <c r="G2075" s="216"/>
    </row>
    <row r="2076">
      <c r="A2076" s="216"/>
      <c r="B2076" s="216"/>
      <c r="C2076" s="157"/>
      <c r="D2076" s="216"/>
      <c r="E2076" s="216"/>
      <c r="F2076" s="216"/>
      <c r="G2076" s="216"/>
    </row>
    <row r="2077">
      <c r="A2077" s="216"/>
      <c r="B2077" s="216"/>
      <c r="C2077" s="157"/>
      <c r="D2077" s="216"/>
      <c r="E2077" s="216"/>
      <c r="F2077" s="216"/>
      <c r="G2077" s="216"/>
    </row>
    <row r="2078">
      <c r="A2078" s="216"/>
      <c r="B2078" s="216"/>
      <c r="C2078" s="157"/>
      <c r="D2078" s="216"/>
      <c r="E2078" s="216"/>
      <c r="F2078" s="216"/>
      <c r="G2078" s="216"/>
    </row>
    <row r="2079">
      <c r="A2079" s="216"/>
      <c r="B2079" s="216"/>
      <c r="C2079" s="157"/>
      <c r="D2079" s="216"/>
      <c r="E2079" s="216"/>
      <c r="F2079" s="216"/>
      <c r="G2079" s="216"/>
    </row>
    <row r="2080">
      <c r="A2080" s="216"/>
      <c r="B2080" s="216"/>
      <c r="C2080" s="157"/>
      <c r="D2080" s="216"/>
      <c r="E2080" s="216"/>
      <c r="F2080" s="216"/>
      <c r="G2080" s="216"/>
    </row>
    <row r="2081">
      <c r="A2081" s="216"/>
      <c r="B2081" s="216"/>
      <c r="C2081" s="157"/>
      <c r="D2081" s="216"/>
      <c r="E2081" s="216"/>
      <c r="F2081" s="216"/>
      <c r="G2081" s="216"/>
    </row>
    <row r="2082">
      <c r="A2082" s="216"/>
      <c r="B2082" s="216"/>
      <c r="C2082" s="157"/>
      <c r="D2082" s="216"/>
      <c r="E2082" s="216"/>
      <c r="F2082" s="216"/>
      <c r="G2082" s="216"/>
    </row>
  </sheetData>
  <autoFilter ref="$A$1:$G$1084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.13"/>
    <col customWidth="1" min="2" max="2" width="15.25"/>
    <col customWidth="1" min="3" max="3" width="20.25"/>
    <col customWidth="1" min="4" max="4" width="22.25"/>
    <col customWidth="1" min="5" max="5" width="28.5"/>
    <col customWidth="1" min="6" max="6" width="19.63"/>
    <col customWidth="1" min="7" max="7" width="5.5"/>
    <col customWidth="1" min="11" max="11" width="25.88"/>
  </cols>
  <sheetData>
    <row r="1">
      <c r="A1" s="157"/>
      <c r="B1" s="157" t="s">
        <v>5876</v>
      </c>
    </row>
    <row r="2">
      <c r="A2" s="216"/>
      <c r="B2" s="216"/>
      <c r="C2" s="216"/>
      <c r="D2" s="216"/>
      <c r="E2" s="216"/>
      <c r="F2" s="216"/>
      <c r="G2" s="173"/>
      <c r="H2" s="173"/>
      <c r="I2" s="173"/>
      <c r="J2" s="173"/>
    </row>
    <row r="3">
      <c r="A3" s="217" t="s">
        <v>6</v>
      </c>
      <c r="B3" s="217" t="s">
        <v>3571</v>
      </c>
      <c r="C3" s="235" t="s">
        <v>3572</v>
      </c>
      <c r="D3" s="217" t="s">
        <v>3573</v>
      </c>
      <c r="E3" s="217" t="s">
        <v>3575</v>
      </c>
      <c r="F3" s="217" t="s">
        <v>26</v>
      </c>
      <c r="G3" s="173"/>
      <c r="H3" s="157" t="s">
        <v>3580</v>
      </c>
      <c r="I3" s="157" t="s">
        <v>3581</v>
      </c>
      <c r="J3" s="157" t="s">
        <v>14</v>
      </c>
    </row>
    <row r="4">
      <c r="A4" s="218">
        <v>1.0</v>
      </c>
      <c r="B4" s="218" t="s">
        <v>202</v>
      </c>
      <c r="C4" s="236" t="str">
        <f t="shared" ref="C4:C1023" si="1">H4&amp;"/"&amp;I4&amp;"/"&amp;J4</f>
        <v>KB/0324/2025</v>
      </c>
      <c r="D4" s="218" t="b">
        <v>1</v>
      </c>
      <c r="E4" s="219" t="b">
        <v>0</v>
      </c>
      <c r="F4" s="219"/>
      <c r="G4" s="173"/>
      <c r="H4" s="157" t="s">
        <v>5886</v>
      </c>
      <c r="I4" s="220" t="s">
        <v>4650</v>
      </c>
      <c r="J4" s="157">
        <v>2025.0</v>
      </c>
    </row>
    <row r="5">
      <c r="A5" s="218">
        <f t="shared" ref="A5:A1023" si="2">A4+1</f>
        <v>2</v>
      </c>
      <c r="B5" s="218" t="s">
        <v>202</v>
      </c>
      <c r="C5" s="236" t="str">
        <f t="shared" si="1"/>
        <v>KB/0325/2025</v>
      </c>
      <c r="D5" s="218" t="b">
        <v>1</v>
      </c>
      <c r="E5" s="219" t="b">
        <v>0</v>
      </c>
      <c r="F5" s="219"/>
      <c r="G5" s="173"/>
      <c r="H5" s="157" t="s">
        <v>5886</v>
      </c>
      <c r="I5" s="157" t="s">
        <v>4659</v>
      </c>
      <c r="J5" s="157">
        <v>2025.0</v>
      </c>
    </row>
    <row r="6">
      <c r="A6" s="218">
        <f t="shared" si="2"/>
        <v>3</v>
      </c>
      <c r="B6" s="218" t="s">
        <v>202</v>
      </c>
      <c r="C6" s="236" t="str">
        <f t="shared" si="1"/>
        <v>KB/0326/2025</v>
      </c>
      <c r="D6" s="218" t="b">
        <v>1</v>
      </c>
      <c r="E6" s="219" t="b">
        <v>0</v>
      </c>
      <c r="F6" s="219"/>
      <c r="G6" s="173"/>
      <c r="H6" s="157" t="s">
        <v>5886</v>
      </c>
      <c r="I6" s="157" t="s">
        <v>4669</v>
      </c>
      <c r="J6" s="157">
        <v>2025.0</v>
      </c>
    </row>
    <row r="7">
      <c r="A7" s="218">
        <f t="shared" si="2"/>
        <v>4</v>
      </c>
      <c r="B7" s="218" t="s">
        <v>202</v>
      </c>
      <c r="C7" s="236" t="str">
        <f t="shared" si="1"/>
        <v>KB/0327/2025</v>
      </c>
      <c r="D7" s="218" t="b">
        <v>1</v>
      </c>
      <c r="E7" s="219" t="b">
        <v>0</v>
      </c>
      <c r="F7" s="219"/>
      <c r="G7" s="173"/>
      <c r="H7" s="157" t="s">
        <v>5886</v>
      </c>
      <c r="I7" s="157" t="s">
        <v>4675</v>
      </c>
      <c r="J7" s="157">
        <v>2025.0</v>
      </c>
    </row>
    <row r="8">
      <c r="A8" s="218">
        <f t="shared" si="2"/>
        <v>5</v>
      </c>
      <c r="B8" s="218" t="s">
        <v>202</v>
      </c>
      <c r="C8" s="236" t="str">
        <f t="shared" si="1"/>
        <v>KB/0328/2025</v>
      </c>
      <c r="D8" s="218" t="b">
        <v>1</v>
      </c>
      <c r="E8" s="219" t="b">
        <v>0</v>
      </c>
      <c r="F8" s="219"/>
      <c r="G8" s="173"/>
      <c r="H8" s="157" t="s">
        <v>5886</v>
      </c>
      <c r="I8" s="157" t="s">
        <v>4680</v>
      </c>
      <c r="J8" s="157">
        <v>2025.0</v>
      </c>
    </row>
    <row r="9">
      <c r="A9" s="218">
        <f t="shared" si="2"/>
        <v>6</v>
      </c>
      <c r="B9" s="218" t="s">
        <v>202</v>
      </c>
      <c r="C9" s="236" t="str">
        <f t="shared" si="1"/>
        <v>KB/0329/2025</v>
      </c>
      <c r="D9" s="218" t="b">
        <v>1</v>
      </c>
      <c r="E9" s="219" t="b">
        <v>0</v>
      </c>
      <c r="F9" s="219"/>
      <c r="G9" s="173"/>
      <c r="H9" s="157" t="s">
        <v>5886</v>
      </c>
      <c r="I9" s="157" t="s">
        <v>4690</v>
      </c>
      <c r="J9" s="157">
        <v>2025.0</v>
      </c>
    </row>
    <row r="10">
      <c r="A10" s="218">
        <f t="shared" si="2"/>
        <v>7</v>
      </c>
      <c r="B10" s="218" t="s">
        <v>202</v>
      </c>
      <c r="C10" s="236" t="str">
        <f t="shared" si="1"/>
        <v>KB/0330/2025</v>
      </c>
      <c r="D10" s="218" t="b">
        <v>1</v>
      </c>
      <c r="E10" s="219" t="b">
        <v>0</v>
      </c>
      <c r="F10" s="219"/>
      <c r="G10" s="173"/>
      <c r="H10" s="157" t="s">
        <v>5886</v>
      </c>
      <c r="I10" s="157" t="s">
        <v>4698</v>
      </c>
      <c r="J10" s="157">
        <v>2025.0</v>
      </c>
    </row>
    <row r="11">
      <c r="A11" s="218">
        <f t="shared" si="2"/>
        <v>8</v>
      </c>
      <c r="B11" s="218" t="s">
        <v>202</v>
      </c>
      <c r="C11" s="236" t="str">
        <f t="shared" si="1"/>
        <v>KB/0331/2025</v>
      </c>
      <c r="D11" s="218" t="b">
        <v>1</v>
      </c>
      <c r="E11" s="219" t="b">
        <v>0</v>
      </c>
      <c r="F11" s="219"/>
      <c r="G11" s="173"/>
      <c r="H11" s="157" t="s">
        <v>5886</v>
      </c>
      <c r="I11" s="157" t="s">
        <v>4706</v>
      </c>
      <c r="J11" s="157">
        <v>2025.0</v>
      </c>
    </row>
    <row r="12">
      <c r="A12" s="218">
        <f t="shared" si="2"/>
        <v>9</v>
      </c>
      <c r="B12" s="218" t="s">
        <v>202</v>
      </c>
      <c r="C12" s="236" t="str">
        <f t="shared" si="1"/>
        <v>KB/0332/2025</v>
      </c>
      <c r="D12" s="218" t="b">
        <v>1</v>
      </c>
      <c r="E12" s="219" t="b">
        <v>0</v>
      </c>
      <c r="F12" s="219"/>
      <c r="G12" s="173"/>
      <c r="H12" s="157" t="s">
        <v>5886</v>
      </c>
      <c r="I12" s="157" t="s">
        <v>4713</v>
      </c>
      <c r="J12" s="157">
        <v>2025.0</v>
      </c>
    </row>
    <row r="13">
      <c r="A13" s="218">
        <f t="shared" si="2"/>
        <v>10</v>
      </c>
      <c r="B13" s="218" t="s">
        <v>202</v>
      </c>
      <c r="C13" s="236" t="str">
        <f t="shared" si="1"/>
        <v>KB/0333/2025</v>
      </c>
      <c r="D13" s="218" t="b">
        <v>1</v>
      </c>
      <c r="E13" s="219" t="b">
        <v>0</v>
      </c>
      <c r="F13" s="219"/>
      <c r="G13" s="173"/>
      <c r="H13" s="157" t="s">
        <v>5886</v>
      </c>
      <c r="I13" s="157" t="s">
        <v>4715</v>
      </c>
      <c r="J13" s="157">
        <v>2025.0</v>
      </c>
    </row>
    <row r="14">
      <c r="A14" s="218">
        <f t="shared" si="2"/>
        <v>11</v>
      </c>
      <c r="B14" s="218" t="s">
        <v>202</v>
      </c>
      <c r="C14" s="236" t="str">
        <f t="shared" si="1"/>
        <v>KB/0334/2025</v>
      </c>
      <c r="D14" s="218" t="b">
        <v>1</v>
      </c>
      <c r="E14" s="219" t="b">
        <v>0</v>
      </c>
      <c r="F14" s="219"/>
      <c r="G14" s="173"/>
      <c r="H14" s="157" t="s">
        <v>5886</v>
      </c>
      <c r="I14" s="157" t="s">
        <v>4716</v>
      </c>
      <c r="J14" s="157">
        <v>2025.0</v>
      </c>
    </row>
    <row r="15">
      <c r="A15" s="218">
        <f t="shared" si="2"/>
        <v>12</v>
      </c>
      <c r="B15" s="218" t="s">
        <v>202</v>
      </c>
      <c r="C15" s="236" t="str">
        <f t="shared" si="1"/>
        <v>KB/0335/2025</v>
      </c>
      <c r="D15" s="218" t="b">
        <v>1</v>
      </c>
      <c r="E15" s="218" t="b">
        <v>0</v>
      </c>
      <c r="F15" s="219"/>
      <c r="G15" s="173"/>
      <c r="H15" s="157" t="s">
        <v>5886</v>
      </c>
      <c r="I15" s="157" t="s">
        <v>4718</v>
      </c>
      <c r="J15" s="157">
        <v>2025.0</v>
      </c>
    </row>
    <row r="16">
      <c r="A16" s="218">
        <f t="shared" si="2"/>
        <v>13</v>
      </c>
      <c r="B16" s="218" t="s">
        <v>202</v>
      </c>
      <c r="C16" s="236" t="str">
        <f t="shared" si="1"/>
        <v>KB/0336/2025</v>
      </c>
      <c r="D16" s="218" t="b">
        <v>1</v>
      </c>
      <c r="E16" s="219" t="b">
        <v>0</v>
      </c>
      <c r="F16" s="219"/>
      <c r="G16" s="173"/>
      <c r="H16" s="157" t="s">
        <v>5886</v>
      </c>
      <c r="I16" s="157" t="s">
        <v>4724</v>
      </c>
      <c r="J16" s="157">
        <v>2025.0</v>
      </c>
    </row>
    <row r="17">
      <c r="A17" s="218">
        <f t="shared" si="2"/>
        <v>14</v>
      </c>
      <c r="B17" s="218" t="s">
        <v>202</v>
      </c>
      <c r="C17" s="236" t="str">
        <f t="shared" si="1"/>
        <v>KB/0337/2025</v>
      </c>
      <c r="D17" s="218" t="b">
        <v>1</v>
      </c>
      <c r="E17" s="219" t="b">
        <v>0</v>
      </c>
      <c r="F17" s="219"/>
      <c r="G17" s="173"/>
      <c r="H17" s="157" t="s">
        <v>5886</v>
      </c>
      <c r="I17" s="157" t="s">
        <v>4731</v>
      </c>
      <c r="J17" s="157">
        <v>2025.0</v>
      </c>
    </row>
    <row r="18">
      <c r="A18" s="218">
        <f t="shared" si="2"/>
        <v>15</v>
      </c>
      <c r="B18" s="218" t="s">
        <v>202</v>
      </c>
      <c r="C18" s="236" t="str">
        <f t="shared" si="1"/>
        <v>KB/0338/2025</v>
      </c>
      <c r="D18" s="218" t="b">
        <v>1</v>
      </c>
      <c r="E18" s="219" t="b">
        <v>0</v>
      </c>
      <c r="F18" s="219"/>
      <c r="G18" s="173"/>
      <c r="H18" s="157" t="s">
        <v>5886</v>
      </c>
      <c r="I18" s="157" t="s">
        <v>4734</v>
      </c>
      <c r="J18" s="157">
        <v>2025.0</v>
      </c>
    </row>
    <row r="19">
      <c r="A19" s="218">
        <f t="shared" si="2"/>
        <v>16</v>
      </c>
      <c r="B19" s="218" t="s">
        <v>202</v>
      </c>
      <c r="C19" s="236" t="str">
        <f t="shared" si="1"/>
        <v>KB/0339/2025</v>
      </c>
      <c r="D19" s="218" t="b">
        <v>1</v>
      </c>
      <c r="E19" s="219" t="b">
        <v>0</v>
      </c>
      <c r="F19" s="219"/>
      <c r="G19" s="173"/>
      <c r="H19" s="157" t="s">
        <v>5886</v>
      </c>
      <c r="I19" s="157" t="s">
        <v>4735</v>
      </c>
      <c r="J19" s="157">
        <v>2025.0</v>
      </c>
    </row>
    <row r="20">
      <c r="A20" s="218">
        <f t="shared" si="2"/>
        <v>17</v>
      </c>
      <c r="B20" s="218" t="s">
        <v>202</v>
      </c>
      <c r="C20" s="236" t="str">
        <f t="shared" si="1"/>
        <v>KB/0340/2025</v>
      </c>
      <c r="D20" s="218" t="b">
        <v>1</v>
      </c>
      <c r="E20" s="219" t="b">
        <v>0</v>
      </c>
      <c r="F20" s="219"/>
      <c r="G20" s="173"/>
      <c r="H20" s="157" t="s">
        <v>5886</v>
      </c>
      <c r="I20" s="157" t="s">
        <v>4742</v>
      </c>
      <c r="J20" s="157">
        <v>2025.0</v>
      </c>
    </row>
    <row r="21">
      <c r="A21" s="218">
        <f t="shared" si="2"/>
        <v>18</v>
      </c>
      <c r="B21" s="218" t="s">
        <v>202</v>
      </c>
      <c r="C21" s="236" t="str">
        <f t="shared" si="1"/>
        <v>KB/0341/2025</v>
      </c>
      <c r="D21" s="218" t="b">
        <v>1</v>
      </c>
      <c r="E21" s="219" t="b">
        <v>0</v>
      </c>
      <c r="F21" s="219"/>
      <c r="G21" s="173"/>
      <c r="H21" s="157" t="s">
        <v>5886</v>
      </c>
      <c r="I21" s="157" t="s">
        <v>4750</v>
      </c>
      <c r="J21" s="157">
        <v>2025.0</v>
      </c>
    </row>
    <row r="22">
      <c r="A22" s="218">
        <f t="shared" si="2"/>
        <v>19</v>
      </c>
      <c r="B22" s="218" t="s">
        <v>202</v>
      </c>
      <c r="C22" s="236" t="str">
        <f t="shared" si="1"/>
        <v>KB/0342/2025</v>
      </c>
      <c r="D22" s="218" t="b">
        <v>1</v>
      </c>
      <c r="E22" s="219" t="b">
        <v>0</v>
      </c>
      <c r="F22" s="219"/>
      <c r="G22" s="173"/>
      <c r="H22" s="157" t="s">
        <v>5886</v>
      </c>
      <c r="I22" s="157" t="s">
        <v>4755</v>
      </c>
      <c r="J22" s="157">
        <v>2025.0</v>
      </c>
    </row>
    <row r="23">
      <c r="A23" s="218">
        <f t="shared" si="2"/>
        <v>20</v>
      </c>
      <c r="B23" s="218" t="s">
        <v>202</v>
      </c>
      <c r="C23" s="236" t="str">
        <f t="shared" si="1"/>
        <v>KB/0343/2025</v>
      </c>
      <c r="D23" s="218" t="b">
        <v>1</v>
      </c>
      <c r="E23" s="219" t="b">
        <v>0</v>
      </c>
      <c r="F23" s="219"/>
      <c r="G23" s="173"/>
      <c r="H23" s="157" t="s">
        <v>5886</v>
      </c>
      <c r="I23" s="157" t="s">
        <v>4765</v>
      </c>
      <c r="J23" s="157">
        <v>2025.0</v>
      </c>
    </row>
    <row r="24">
      <c r="A24" s="218">
        <f t="shared" si="2"/>
        <v>21</v>
      </c>
      <c r="B24" s="218" t="s">
        <v>202</v>
      </c>
      <c r="C24" s="236" t="str">
        <f t="shared" si="1"/>
        <v>KB/0344/2025</v>
      </c>
      <c r="D24" s="218" t="b">
        <v>1</v>
      </c>
      <c r="E24" s="219" t="b">
        <v>0</v>
      </c>
      <c r="F24" s="219"/>
      <c r="G24" s="173"/>
      <c r="H24" s="157" t="s">
        <v>5886</v>
      </c>
      <c r="I24" s="157" t="s">
        <v>4770</v>
      </c>
      <c r="J24" s="157">
        <v>2025.0</v>
      </c>
    </row>
    <row r="25">
      <c r="A25" s="218">
        <f t="shared" si="2"/>
        <v>22</v>
      </c>
      <c r="B25" s="218" t="s">
        <v>202</v>
      </c>
      <c r="C25" s="236" t="str">
        <f t="shared" si="1"/>
        <v>KB/0345/2025</v>
      </c>
      <c r="D25" s="218" t="b">
        <v>1</v>
      </c>
      <c r="E25" s="219" t="b">
        <v>0</v>
      </c>
      <c r="F25" s="219"/>
      <c r="G25" s="173"/>
      <c r="H25" s="157" t="s">
        <v>5886</v>
      </c>
      <c r="I25" s="157" t="s">
        <v>4775</v>
      </c>
      <c r="J25" s="157">
        <v>2025.0</v>
      </c>
    </row>
    <row r="26">
      <c r="A26" s="218">
        <f t="shared" si="2"/>
        <v>23</v>
      </c>
      <c r="B26" s="218" t="s">
        <v>202</v>
      </c>
      <c r="C26" s="236" t="str">
        <f t="shared" si="1"/>
        <v>KB/0346/2025</v>
      </c>
      <c r="D26" s="218" t="b">
        <v>1</v>
      </c>
      <c r="E26" s="219" t="b">
        <v>0</v>
      </c>
      <c r="F26" s="219"/>
      <c r="G26" s="173"/>
      <c r="H26" s="157" t="s">
        <v>5886</v>
      </c>
      <c r="I26" s="157" t="s">
        <v>4777</v>
      </c>
      <c r="J26" s="157">
        <v>2025.0</v>
      </c>
    </row>
    <row r="27">
      <c r="A27" s="218">
        <f t="shared" si="2"/>
        <v>24</v>
      </c>
      <c r="B27" s="218" t="s">
        <v>202</v>
      </c>
      <c r="C27" s="236" t="str">
        <f t="shared" si="1"/>
        <v>KB/0347/2025</v>
      </c>
      <c r="D27" s="218" t="b">
        <v>1</v>
      </c>
      <c r="E27" s="219" t="b">
        <v>0</v>
      </c>
      <c r="F27" s="219"/>
      <c r="G27" s="173"/>
      <c r="H27" s="157" t="s">
        <v>5886</v>
      </c>
      <c r="I27" s="157" t="s">
        <v>4785</v>
      </c>
      <c r="J27" s="157">
        <v>2025.0</v>
      </c>
    </row>
    <row r="28">
      <c r="A28" s="218">
        <f t="shared" si="2"/>
        <v>25</v>
      </c>
      <c r="B28" s="218" t="s">
        <v>202</v>
      </c>
      <c r="C28" s="236" t="str">
        <f t="shared" si="1"/>
        <v>KB/0348/2025</v>
      </c>
      <c r="D28" s="218" t="b">
        <v>1</v>
      </c>
      <c r="E28" s="219" t="b">
        <v>0</v>
      </c>
      <c r="F28" s="219"/>
      <c r="G28" s="173"/>
      <c r="H28" s="157" t="s">
        <v>5886</v>
      </c>
      <c r="I28" s="157" t="s">
        <v>4791</v>
      </c>
      <c r="J28" s="157">
        <v>2025.0</v>
      </c>
    </row>
    <row r="29">
      <c r="A29" s="218">
        <f t="shared" si="2"/>
        <v>26</v>
      </c>
      <c r="B29" s="218" t="s">
        <v>202</v>
      </c>
      <c r="C29" s="236" t="str">
        <f t="shared" si="1"/>
        <v>KB/0349/2025</v>
      </c>
      <c r="D29" s="218" t="b">
        <v>1</v>
      </c>
      <c r="E29" s="219" t="b">
        <v>0</v>
      </c>
      <c r="F29" s="219"/>
      <c r="G29" s="173"/>
      <c r="H29" s="157" t="s">
        <v>5886</v>
      </c>
      <c r="I29" s="157" t="s">
        <v>4797</v>
      </c>
      <c r="J29" s="157">
        <v>2025.0</v>
      </c>
    </row>
    <row r="30">
      <c r="A30" s="218">
        <f t="shared" si="2"/>
        <v>27</v>
      </c>
      <c r="B30" s="218" t="s">
        <v>202</v>
      </c>
      <c r="C30" s="236" t="str">
        <f t="shared" si="1"/>
        <v>KB/0350/2025</v>
      </c>
      <c r="D30" s="218" t="b">
        <v>1</v>
      </c>
      <c r="E30" s="219" t="b">
        <v>0</v>
      </c>
      <c r="F30" s="219"/>
      <c r="G30" s="173"/>
      <c r="H30" s="157" t="s">
        <v>5886</v>
      </c>
      <c r="I30" s="157" t="s">
        <v>4804</v>
      </c>
      <c r="J30" s="157">
        <v>2025.0</v>
      </c>
    </row>
    <row r="31">
      <c r="A31" s="218">
        <f t="shared" si="2"/>
        <v>28</v>
      </c>
      <c r="B31" s="218" t="s">
        <v>202</v>
      </c>
      <c r="C31" s="236" t="str">
        <f t="shared" si="1"/>
        <v>KB/0351/2025</v>
      </c>
      <c r="D31" s="218" t="b">
        <v>1</v>
      </c>
      <c r="E31" s="219" t="b">
        <v>0</v>
      </c>
      <c r="F31" s="219"/>
      <c r="G31" s="173"/>
      <c r="H31" s="157" t="s">
        <v>5886</v>
      </c>
      <c r="I31" s="157" t="s">
        <v>4809</v>
      </c>
      <c r="J31" s="157">
        <v>2025.0</v>
      </c>
    </row>
    <row r="32">
      <c r="A32" s="218">
        <f t="shared" si="2"/>
        <v>29</v>
      </c>
      <c r="B32" s="218" t="s">
        <v>202</v>
      </c>
      <c r="C32" s="236" t="str">
        <f t="shared" si="1"/>
        <v>KB/0352/2025</v>
      </c>
      <c r="D32" s="218" t="b">
        <v>1</v>
      </c>
      <c r="E32" s="219" t="b">
        <v>0</v>
      </c>
      <c r="F32" s="219"/>
      <c r="G32" s="173"/>
      <c r="H32" s="157" t="s">
        <v>5886</v>
      </c>
      <c r="I32" s="157" t="s">
        <v>4816</v>
      </c>
      <c r="J32" s="157">
        <v>2025.0</v>
      </c>
    </row>
    <row r="33">
      <c r="A33" s="218">
        <f t="shared" si="2"/>
        <v>30</v>
      </c>
      <c r="B33" s="218" t="s">
        <v>202</v>
      </c>
      <c r="C33" s="236" t="str">
        <f t="shared" si="1"/>
        <v>KB/0353/2025</v>
      </c>
      <c r="D33" s="218" t="b">
        <v>1</v>
      </c>
      <c r="E33" s="219" t="b">
        <v>0</v>
      </c>
      <c r="F33" s="219"/>
      <c r="G33" s="173"/>
      <c r="H33" s="157" t="s">
        <v>5886</v>
      </c>
      <c r="I33" s="157" t="s">
        <v>4821</v>
      </c>
      <c r="J33" s="157">
        <v>2025.0</v>
      </c>
    </row>
    <row r="34">
      <c r="A34" s="218">
        <f t="shared" si="2"/>
        <v>31</v>
      </c>
      <c r="B34" s="218" t="s">
        <v>202</v>
      </c>
      <c r="C34" s="236" t="str">
        <f t="shared" si="1"/>
        <v>KB/0354/2025</v>
      </c>
      <c r="D34" s="218" t="b">
        <v>1</v>
      </c>
      <c r="E34" s="219" t="b">
        <v>0</v>
      </c>
      <c r="F34" s="219"/>
      <c r="G34" s="173"/>
      <c r="H34" s="157" t="s">
        <v>5886</v>
      </c>
      <c r="I34" s="157" t="s">
        <v>4827</v>
      </c>
      <c r="J34" s="157">
        <v>2025.0</v>
      </c>
    </row>
    <row r="35">
      <c r="A35" s="218">
        <f t="shared" si="2"/>
        <v>32</v>
      </c>
      <c r="B35" s="218" t="s">
        <v>202</v>
      </c>
      <c r="C35" s="236" t="str">
        <f t="shared" si="1"/>
        <v>KB/0355/2025</v>
      </c>
      <c r="D35" s="218" t="b">
        <v>1</v>
      </c>
      <c r="E35" s="219" t="b">
        <v>0</v>
      </c>
      <c r="F35" s="219"/>
      <c r="G35" s="173"/>
      <c r="H35" s="157" t="s">
        <v>5886</v>
      </c>
      <c r="I35" s="157" t="s">
        <v>4832</v>
      </c>
      <c r="J35" s="157">
        <v>2025.0</v>
      </c>
    </row>
    <row r="36">
      <c r="A36" s="218">
        <f t="shared" si="2"/>
        <v>33</v>
      </c>
      <c r="B36" s="218" t="s">
        <v>202</v>
      </c>
      <c r="C36" s="236" t="str">
        <f t="shared" si="1"/>
        <v>KB/0356/2025</v>
      </c>
      <c r="D36" s="218" t="b">
        <v>1</v>
      </c>
      <c r="E36" s="219" t="b">
        <v>0</v>
      </c>
      <c r="F36" s="219"/>
      <c r="G36" s="173"/>
      <c r="H36" s="157" t="s">
        <v>5886</v>
      </c>
      <c r="I36" s="157" t="s">
        <v>4859</v>
      </c>
      <c r="J36" s="157">
        <v>2025.0</v>
      </c>
    </row>
    <row r="37">
      <c r="A37" s="218">
        <f t="shared" si="2"/>
        <v>34</v>
      </c>
      <c r="B37" s="218" t="s">
        <v>202</v>
      </c>
      <c r="C37" s="236" t="str">
        <f t="shared" si="1"/>
        <v>KB/0357/2025</v>
      </c>
      <c r="D37" s="218" t="b">
        <v>1</v>
      </c>
      <c r="E37" s="219" t="b">
        <v>0</v>
      </c>
      <c r="F37" s="219"/>
      <c r="G37" s="173"/>
      <c r="H37" s="157" t="s">
        <v>5886</v>
      </c>
      <c r="I37" s="157" t="s">
        <v>4867</v>
      </c>
      <c r="J37" s="157">
        <v>2025.0</v>
      </c>
    </row>
    <row r="38">
      <c r="A38" s="218">
        <f t="shared" si="2"/>
        <v>35</v>
      </c>
      <c r="B38" s="218" t="s">
        <v>202</v>
      </c>
      <c r="C38" s="236" t="str">
        <f t="shared" si="1"/>
        <v>KB/0358/2025</v>
      </c>
      <c r="D38" s="218" t="b">
        <v>1</v>
      </c>
      <c r="E38" s="219" t="b">
        <v>0</v>
      </c>
      <c r="F38" s="219"/>
      <c r="G38" s="173"/>
      <c r="H38" s="157" t="s">
        <v>5886</v>
      </c>
      <c r="I38" s="157" t="s">
        <v>4874</v>
      </c>
      <c r="J38" s="157">
        <v>2025.0</v>
      </c>
    </row>
    <row r="39">
      <c r="A39" s="218">
        <f t="shared" si="2"/>
        <v>36</v>
      </c>
      <c r="B39" s="218" t="s">
        <v>202</v>
      </c>
      <c r="C39" s="236" t="str">
        <f t="shared" si="1"/>
        <v>KB/0359/2025</v>
      </c>
      <c r="D39" s="218" t="b">
        <v>1</v>
      </c>
      <c r="E39" s="219" t="b">
        <v>0</v>
      </c>
      <c r="F39" s="219"/>
      <c r="G39" s="173"/>
      <c r="H39" s="157" t="s">
        <v>5886</v>
      </c>
      <c r="I39" s="157" t="s">
        <v>4879</v>
      </c>
      <c r="J39" s="157">
        <v>2025.0</v>
      </c>
    </row>
    <row r="40">
      <c r="A40" s="218">
        <f t="shared" si="2"/>
        <v>37</v>
      </c>
      <c r="B40" s="218" t="s">
        <v>202</v>
      </c>
      <c r="C40" s="236" t="str">
        <f t="shared" si="1"/>
        <v>KB/0360/2025</v>
      </c>
      <c r="D40" s="218" t="b">
        <v>1</v>
      </c>
      <c r="E40" s="219" t="b">
        <v>0</v>
      </c>
      <c r="F40" s="219"/>
      <c r="G40" s="173"/>
      <c r="H40" s="157" t="s">
        <v>5886</v>
      </c>
      <c r="I40" s="157" t="s">
        <v>4885</v>
      </c>
      <c r="J40" s="157">
        <v>2025.0</v>
      </c>
    </row>
    <row r="41">
      <c r="A41" s="218">
        <f t="shared" si="2"/>
        <v>38</v>
      </c>
      <c r="B41" s="218" t="s">
        <v>202</v>
      </c>
      <c r="C41" s="236" t="str">
        <f t="shared" si="1"/>
        <v>KB/0361/2025</v>
      </c>
      <c r="D41" s="218" t="b">
        <v>1</v>
      </c>
      <c r="E41" s="219" t="b">
        <v>0</v>
      </c>
      <c r="F41" s="219"/>
      <c r="G41" s="173"/>
      <c r="H41" s="157" t="s">
        <v>5886</v>
      </c>
      <c r="I41" s="157" t="s">
        <v>4892</v>
      </c>
      <c r="J41" s="157">
        <v>2025.0</v>
      </c>
    </row>
    <row r="42">
      <c r="A42" s="218">
        <f t="shared" si="2"/>
        <v>39</v>
      </c>
      <c r="B42" s="218" t="s">
        <v>202</v>
      </c>
      <c r="C42" s="236" t="str">
        <f t="shared" si="1"/>
        <v>KB/0362/2025</v>
      </c>
      <c r="D42" s="218" t="b">
        <v>1</v>
      </c>
      <c r="E42" s="219" t="b">
        <v>0</v>
      </c>
      <c r="F42" s="219"/>
      <c r="G42" s="173"/>
      <c r="H42" s="157" t="s">
        <v>5886</v>
      </c>
      <c r="I42" s="157" t="s">
        <v>4898</v>
      </c>
      <c r="J42" s="157">
        <v>2025.0</v>
      </c>
    </row>
    <row r="43">
      <c r="A43" s="218">
        <f t="shared" si="2"/>
        <v>40</v>
      </c>
      <c r="B43" s="218" t="s">
        <v>202</v>
      </c>
      <c r="C43" s="236" t="str">
        <f t="shared" si="1"/>
        <v>KB/0363/2025</v>
      </c>
      <c r="D43" s="218" t="b">
        <v>1</v>
      </c>
      <c r="E43" s="219" t="b">
        <v>0</v>
      </c>
      <c r="F43" s="219"/>
      <c r="G43" s="173"/>
      <c r="H43" s="157" t="s">
        <v>5886</v>
      </c>
      <c r="I43" s="157" t="s">
        <v>4907</v>
      </c>
      <c r="J43" s="157">
        <v>2025.0</v>
      </c>
    </row>
    <row r="44">
      <c r="A44" s="218">
        <f t="shared" si="2"/>
        <v>41</v>
      </c>
      <c r="B44" s="218" t="s">
        <v>202</v>
      </c>
      <c r="C44" s="236" t="str">
        <f t="shared" si="1"/>
        <v>KB/0364/2025</v>
      </c>
      <c r="D44" s="218" t="b">
        <v>1</v>
      </c>
      <c r="E44" s="219" t="b">
        <v>0</v>
      </c>
      <c r="F44" s="219"/>
      <c r="G44" s="173"/>
      <c r="H44" s="157" t="s">
        <v>5886</v>
      </c>
      <c r="I44" s="157" t="s">
        <v>4915</v>
      </c>
      <c r="J44" s="157">
        <v>2025.0</v>
      </c>
    </row>
    <row r="45">
      <c r="A45" s="218">
        <f t="shared" si="2"/>
        <v>42</v>
      </c>
      <c r="B45" s="218" t="s">
        <v>202</v>
      </c>
      <c r="C45" s="236" t="str">
        <f t="shared" si="1"/>
        <v>KB/0365/2025</v>
      </c>
      <c r="D45" s="218" t="b">
        <v>1</v>
      </c>
      <c r="E45" s="219" t="b">
        <v>0</v>
      </c>
      <c r="F45" s="219"/>
      <c r="G45" s="173"/>
      <c r="H45" s="157" t="s">
        <v>5886</v>
      </c>
      <c r="I45" s="157" t="s">
        <v>4923</v>
      </c>
      <c r="J45" s="157">
        <v>2025.0</v>
      </c>
    </row>
    <row r="46">
      <c r="A46" s="218">
        <f t="shared" si="2"/>
        <v>43</v>
      </c>
      <c r="B46" s="218" t="s">
        <v>202</v>
      </c>
      <c r="C46" s="236" t="str">
        <f t="shared" si="1"/>
        <v>KB/0366/2025</v>
      </c>
      <c r="D46" s="218" t="b">
        <v>1</v>
      </c>
      <c r="E46" s="219" t="b">
        <v>0</v>
      </c>
      <c r="F46" s="219"/>
      <c r="G46" s="173"/>
      <c r="H46" s="157" t="s">
        <v>5886</v>
      </c>
      <c r="I46" s="157" t="s">
        <v>4936</v>
      </c>
      <c r="J46" s="157">
        <v>2025.0</v>
      </c>
    </row>
    <row r="47">
      <c r="A47" s="218">
        <f t="shared" si="2"/>
        <v>44</v>
      </c>
      <c r="B47" s="218" t="s">
        <v>202</v>
      </c>
      <c r="C47" s="236" t="str">
        <f t="shared" si="1"/>
        <v>KB/0367/2025</v>
      </c>
      <c r="D47" s="218" t="b">
        <v>1</v>
      </c>
      <c r="E47" s="219" t="b">
        <v>0</v>
      </c>
      <c r="F47" s="219"/>
      <c r="G47" s="173"/>
      <c r="H47" s="157" t="s">
        <v>5886</v>
      </c>
      <c r="I47" s="157" t="s">
        <v>4945</v>
      </c>
      <c r="J47" s="157">
        <v>2025.0</v>
      </c>
    </row>
    <row r="48">
      <c r="A48" s="218">
        <f t="shared" si="2"/>
        <v>45</v>
      </c>
      <c r="B48" s="218" t="s">
        <v>202</v>
      </c>
      <c r="C48" s="236" t="str">
        <f t="shared" si="1"/>
        <v>KB/0368/2025</v>
      </c>
      <c r="D48" s="218" t="b">
        <v>1</v>
      </c>
      <c r="E48" s="219" t="b">
        <v>0</v>
      </c>
      <c r="F48" s="219"/>
      <c r="G48" s="173"/>
      <c r="H48" s="157" t="s">
        <v>5886</v>
      </c>
      <c r="I48" s="157" t="s">
        <v>4954</v>
      </c>
      <c r="J48" s="157">
        <v>2025.0</v>
      </c>
    </row>
    <row r="49">
      <c r="A49" s="218">
        <f t="shared" si="2"/>
        <v>46</v>
      </c>
      <c r="B49" s="218" t="s">
        <v>202</v>
      </c>
      <c r="C49" s="236" t="str">
        <f t="shared" si="1"/>
        <v>KB/0369/2025</v>
      </c>
      <c r="D49" s="218" t="b">
        <v>1</v>
      </c>
      <c r="E49" s="219" t="b">
        <v>0</v>
      </c>
      <c r="F49" s="219"/>
      <c r="G49" s="173"/>
      <c r="H49" s="157" t="s">
        <v>5886</v>
      </c>
      <c r="I49" s="157" t="s">
        <v>4963</v>
      </c>
      <c r="J49" s="157">
        <v>2025.0</v>
      </c>
    </row>
    <row r="50">
      <c r="A50" s="218">
        <f t="shared" si="2"/>
        <v>47</v>
      </c>
      <c r="B50" s="218" t="s">
        <v>202</v>
      </c>
      <c r="C50" s="236" t="str">
        <f t="shared" si="1"/>
        <v>KB/0370/2025</v>
      </c>
      <c r="D50" s="218" t="b">
        <v>1</v>
      </c>
      <c r="E50" s="219" t="b">
        <v>0</v>
      </c>
      <c r="F50" s="219"/>
      <c r="G50" s="173"/>
      <c r="H50" s="157" t="s">
        <v>5886</v>
      </c>
      <c r="I50" s="157" t="s">
        <v>4969</v>
      </c>
      <c r="J50" s="157">
        <v>2025.0</v>
      </c>
    </row>
    <row r="51">
      <c r="A51" s="218">
        <f t="shared" si="2"/>
        <v>48</v>
      </c>
      <c r="B51" s="218" t="s">
        <v>202</v>
      </c>
      <c r="C51" s="236" t="str">
        <f t="shared" si="1"/>
        <v>KB/0371/2025</v>
      </c>
      <c r="D51" s="218" t="b">
        <v>1</v>
      </c>
      <c r="E51" s="219" t="b">
        <v>0</v>
      </c>
      <c r="F51" s="219"/>
      <c r="G51" s="173"/>
      <c r="H51" s="157" t="s">
        <v>5886</v>
      </c>
      <c r="I51" s="157" t="s">
        <v>4979</v>
      </c>
      <c r="J51" s="157">
        <v>2025.0</v>
      </c>
    </row>
    <row r="52">
      <c r="A52" s="218">
        <f t="shared" si="2"/>
        <v>49</v>
      </c>
      <c r="B52" s="218" t="s">
        <v>202</v>
      </c>
      <c r="C52" s="236" t="str">
        <f t="shared" si="1"/>
        <v>KB/0372/2025</v>
      </c>
      <c r="D52" s="218" t="b">
        <v>1</v>
      </c>
      <c r="E52" s="219" t="b">
        <v>0</v>
      </c>
      <c r="F52" s="219"/>
      <c r="G52" s="173"/>
      <c r="H52" s="157" t="s">
        <v>5886</v>
      </c>
      <c r="I52" s="157" t="s">
        <v>4985</v>
      </c>
      <c r="J52" s="157">
        <v>2025.0</v>
      </c>
    </row>
    <row r="53">
      <c r="A53" s="218">
        <f t="shared" si="2"/>
        <v>50</v>
      </c>
      <c r="B53" s="218" t="s">
        <v>202</v>
      </c>
      <c r="C53" s="236" t="str">
        <f t="shared" si="1"/>
        <v>KB/0373/2025</v>
      </c>
      <c r="D53" s="218" t="b">
        <v>1</v>
      </c>
      <c r="E53" s="219" t="b">
        <v>0</v>
      </c>
      <c r="F53" s="219"/>
      <c r="G53" s="173"/>
      <c r="H53" s="157" t="s">
        <v>5886</v>
      </c>
      <c r="I53" s="157" t="s">
        <v>4991</v>
      </c>
      <c r="J53" s="157">
        <v>2025.0</v>
      </c>
    </row>
    <row r="54">
      <c r="A54" s="218">
        <f t="shared" si="2"/>
        <v>51</v>
      </c>
      <c r="B54" s="218" t="s">
        <v>202</v>
      </c>
      <c r="C54" s="236" t="str">
        <f t="shared" si="1"/>
        <v>KB/0374/2025</v>
      </c>
      <c r="D54" s="218" t="b">
        <v>1</v>
      </c>
      <c r="E54" s="219" t="b">
        <v>0</v>
      </c>
      <c r="F54" s="219"/>
      <c r="G54" s="173"/>
      <c r="H54" s="157" t="s">
        <v>5886</v>
      </c>
      <c r="I54" s="157" t="s">
        <v>4996</v>
      </c>
      <c r="J54" s="157">
        <v>2025.0</v>
      </c>
    </row>
    <row r="55">
      <c r="A55" s="218">
        <f t="shared" si="2"/>
        <v>52</v>
      </c>
      <c r="B55" s="218" t="s">
        <v>202</v>
      </c>
      <c r="C55" s="236" t="str">
        <f t="shared" si="1"/>
        <v>KB/0375/2025</v>
      </c>
      <c r="D55" s="218" t="b">
        <v>1</v>
      </c>
      <c r="E55" s="219" t="b">
        <v>0</v>
      </c>
      <c r="F55" s="219"/>
      <c r="G55" s="173"/>
      <c r="H55" s="157" t="s">
        <v>5886</v>
      </c>
      <c r="I55" s="157" t="s">
        <v>5001</v>
      </c>
      <c r="J55" s="157">
        <v>2025.0</v>
      </c>
    </row>
    <row r="56">
      <c r="A56" s="218">
        <f t="shared" si="2"/>
        <v>53</v>
      </c>
      <c r="B56" s="218" t="s">
        <v>202</v>
      </c>
      <c r="C56" s="236" t="str">
        <f t="shared" si="1"/>
        <v>KB/0376/2025</v>
      </c>
      <c r="D56" s="218" t="b">
        <v>1</v>
      </c>
      <c r="E56" s="219" t="b">
        <v>0</v>
      </c>
      <c r="F56" s="219"/>
      <c r="G56" s="173"/>
      <c r="H56" s="157" t="s">
        <v>5886</v>
      </c>
      <c r="I56" s="157" t="s">
        <v>5009</v>
      </c>
      <c r="J56" s="157">
        <v>2025.0</v>
      </c>
    </row>
    <row r="57">
      <c r="A57" s="218">
        <f t="shared" si="2"/>
        <v>54</v>
      </c>
      <c r="B57" s="218" t="s">
        <v>202</v>
      </c>
      <c r="C57" s="236" t="str">
        <f t="shared" si="1"/>
        <v>KB/0377/2025</v>
      </c>
      <c r="D57" s="218" t="b">
        <v>1</v>
      </c>
      <c r="E57" s="219" t="b">
        <v>0</v>
      </c>
      <c r="F57" s="219"/>
      <c r="G57" s="173"/>
      <c r="H57" s="157" t="s">
        <v>5886</v>
      </c>
      <c r="I57" s="157" t="s">
        <v>5015</v>
      </c>
      <c r="J57" s="157">
        <v>2025.0</v>
      </c>
    </row>
    <row r="58">
      <c r="A58" s="218">
        <f t="shared" si="2"/>
        <v>55</v>
      </c>
      <c r="B58" s="218" t="s">
        <v>202</v>
      </c>
      <c r="C58" s="236" t="str">
        <f t="shared" si="1"/>
        <v>KB/0378/2025</v>
      </c>
      <c r="D58" s="218" t="b">
        <v>1</v>
      </c>
      <c r="E58" s="219" t="b">
        <v>0</v>
      </c>
      <c r="F58" s="219"/>
      <c r="G58" s="173"/>
      <c r="H58" s="157" t="s">
        <v>5886</v>
      </c>
      <c r="I58" s="157" t="s">
        <v>5021</v>
      </c>
      <c r="J58" s="157">
        <v>2025.0</v>
      </c>
    </row>
    <row r="59">
      <c r="A59" s="218">
        <f t="shared" si="2"/>
        <v>56</v>
      </c>
      <c r="B59" s="218" t="s">
        <v>202</v>
      </c>
      <c r="C59" s="236" t="str">
        <f t="shared" si="1"/>
        <v>KB/0379/2025</v>
      </c>
      <c r="D59" s="218" t="b">
        <v>1</v>
      </c>
      <c r="E59" s="219" t="b">
        <v>0</v>
      </c>
      <c r="F59" s="219"/>
      <c r="G59" s="173"/>
      <c r="H59" s="157" t="s">
        <v>5886</v>
      </c>
      <c r="I59" s="157" t="s">
        <v>5029</v>
      </c>
      <c r="J59" s="157">
        <v>2025.0</v>
      </c>
    </row>
    <row r="60">
      <c r="A60" s="218">
        <f t="shared" si="2"/>
        <v>57</v>
      </c>
      <c r="B60" s="218" t="s">
        <v>202</v>
      </c>
      <c r="C60" s="236" t="str">
        <f t="shared" si="1"/>
        <v>KB/0380/2025</v>
      </c>
      <c r="D60" s="218" t="b">
        <v>1</v>
      </c>
      <c r="E60" s="219" t="b">
        <v>0</v>
      </c>
      <c r="F60" s="219"/>
      <c r="G60" s="173"/>
      <c r="H60" s="157" t="s">
        <v>5886</v>
      </c>
      <c r="I60" s="157" t="s">
        <v>5034</v>
      </c>
      <c r="J60" s="157">
        <v>2025.0</v>
      </c>
    </row>
    <row r="61">
      <c r="A61" s="218">
        <f t="shared" si="2"/>
        <v>58</v>
      </c>
      <c r="B61" s="218" t="s">
        <v>202</v>
      </c>
      <c r="C61" s="236" t="str">
        <f t="shared" si="1"/>
        <v>KB/0381/2025</v>
      </c>
      <c r="D61" s="218" t="b">
        <v>1</v>
      </c>
      <c r="E61" s="219" t="b">
        <v>0</v>
      </c>
      <c r="F61" s="219"/>
      <c r="G61" s="173"/>
      <c r="H61" s="157" t="s">
        <v>5886</v>
      </c>
      <c r="I61" s="157" t="s">
        <v>5038</v>
      </c>
      <c r="J61" s="157">
        <v>2025.0</v>
      </c>
    </row>
    <row r="62">
      <c r="A62" s="218">
        <f t="shared" si="2"/>
        <v>59</v>
      </c>
      <c r="B62" s="218" t="s">
        <v>202</v>
      </c>
      <c r="C62" s="236" t="str">
        <f t="shared" si="1"/>
        <v>KB/0382/2025</v>
      </c>
      <c r="D62" s="218" t="b">
        <v>1</v>
      </c>
      <c r="E62" s="219" t="b">
        <v>0</v>
      </c>
      <c r="F62" s="219"/>
      <c r="G62" s="173"/>
      <c r="H62" s="157" t="s">
        <v>5886</v>
      </c>
      <c r="I62" s="157" t="s">
        <v>5046</v>
      </c>
      <c r="J62" s="157">
        <v>2025.0</v>
      </c>
    </row>
    <row r="63">
      <c r="A63" s="218">
        <f t="shared" si="2"/>
        <v>60</v>
      </c>
      <c r="B63" s="218" t="s">
        <v>202</v>
      </c>
      <c r="C63" s="236" t="str">
        <f t="shared" si="1"/>
        <v>KB/0383/2025</v>
      </c>
      <c r="D63" s="218" t="b">
        <v>1</v>
      </c>
      <c r="E63" s="219" t="b">
        <v>0</v>
      </c>
      <c r="F63" s="219"/>
      <c r="G63" s="173"/>
      <c r="H63" s="157" t="s">
        <v>5886</v>
      </c>
      <c r="I63" s="157" t="s">
        <v>5049</v>
      </c>
      <c r="J63" s="157">
        <v>2025.0</v>
      </c>
    </row>
    <row r="64">
      <c r="A64" s="218">
        <f t="shared" si="2"/>
        <v>61</v>
      </c>
      <c r="B64" s="218" t="s">
        <v>202</v>
      </c>
      <c r="C64" s="236" t="str">
        <f t="shared" si="1"/>
        <v>KB/0384/2025</v>
      </c>
      <c r="D64" s="218" t="b">
        <v>1</v>
      </c>
      <c r="E64" s="219" t="b">
        <v>0</v>
      </c>
      <c r="F64" s="219"/>
      <c r="G64" s="173"/>
      <c r="H64" s="157" t="s">
        <v>5886</v>
      </c>
      <c r="I64" s="157" t="s">
        <v>5059</v>
      </c>
      <c r="J64" s="157">
        <v>2025.0</v>
      </c>
    </row>
    <row r="65">
      <c r="A65" s="218">
        <f t="shared" si="2"/>
        <v>62</v>
      </c>
      <c r="B65" s="218" t="s">
        <v>202</v>
      </c>
      <c r="C65" s="236" t="str">
        <f t="shared" si="1"/>
        <v>KB/0385/2025</v>
      </c>
      <c r="D65" s="218" t="b">
        <v>1</v>
      </c>
      <c r="E65" s="219" t="b">
        <v>0</v>
      </c>
      <c r="F65" s="219"/>
      <c r="G65" s="173"/>
      <c r="H65" s="157" t="s">
        <v>5886</v>
      </c>
      <c r="I65" s="157" t="s">
        <v>5062</v>
      </c>
      <c r="J65" s="157">
        <v>2025.0</v>
      </c>
    </row>
    <row r="66">
      <c r="A66" s="218">
        <f t="shared" si="2"/>
        <v>63</v>
      </c>
      <c r="B66" s="218" t="s">
        <v>202</v>
      </c>
      <c r="C66" s="236" t="str">
        <f t="shared" si="1"/>
        <v>KB/0386/2025</v>
      </c>
      <c r="D66" s="218" t="b">
        <v>1</v>
      </c>
      <c r="E66" s="219" t="b">
        <v>0</v>
      </c>
      <c r="F66" s="219"/>
      <c r="G66" s="173"/>
      <c r="H66" s="157" t="s">
        <v>5886</v>
      </c>
      <c r="I66" s="157" t="s">
        <v>5069</v>
      </c>
      <c r="J66" s="157">
        <v>2025.0</v>
      </c>
    </row>
    <row r="67">
      <c r="A67" s="218">
        <f t="shared" si="2"/>
        <v>64</v>
      </c>
      <c r="B67" s="218" t="s">
        <v>202</v>
      </c>
      <c r="C67" s="236" t="str">
        <f t="shared" si="1"/>
        <v>KB/0387/2025</v>
      </c>
      <c r="D67" s="218" t="b">
        <v>1</v>
      </c>
      <c r="E67" s="219" t="b">
        <v>0</v>
      </c>
      <c r="F67" s="219"/>
      <c r="G67" s="173"/>
      <c r="H67" s="157" t="s">
        <v>5886</v>
      </c>
      <c r="I67" s="157" t="s">
        <v>5079</v>
      </c>
      <c r="J67" s="157">
        <v>2025.0</v>
      </c>
    </row>
    <row r="68">
      <c r="A68" s="218">
        <f t="shared" si="2"/>
        <v>65</v>
      </c>
      <c r="B68" s="218" t="s">
        <v>202</v>
      </c>
      <c r="C68" s="236" t="str">
        <f t="shared" si="1"/>
        <v>KB/0388/2025</v>
      </c>
      <c r="D68" s="218" t="b">
        <v>1</v>
      </c>
      <c r="E68" s="219" t="b">
        <v>0</v>
      </c>
      <c r="F68" s="219"/>
      <c r="G68" s="173"/>
      <c r="H68" s="157" t="s">
        <v>5886</v>
      </c>
      <c r="I68" s="157" t="s">
        <v>5089</v>
      </c>
      <c r="J68" s="157">
        <v>2025.0</v>
      </c>
    </row>
    <row r="69">
      <c r="A69" s="218">
        <f t="shared" si="2"/>
        <v>66</v>
      </c>
      <c r="B69" s="218" t="s">
        <v>202</v>
      </c>
      <c r="C69" s="236" t="str">
        <f t="shared" si="1"/>
        <v>KB/0389/2025</v>
      </c>
      <c r="D69" s="218" t="b">
        <v>1</v>
      </c>
      <c r="E69" s="219" t="b">
        <v>0</v>
      </c>
      <c r="F69" s="219"/>
      <c r="G69" s="173"/>
      <c r="H69" s="157" t="s">
        <v>5886</v>
      </c>
      <c r="I69" s="157" t="s">
        <v>5097</v>
      </c>
      <c r="J69" s="157">
        <v>2025.0</v>
      </c>
    </row>
    <row r="70">
      <c r="A70" s="218">
        <f t="shared" si="2"/>
        <v>67</v>
      </c>
      <c r="B70" s="218" t="s">
        <v>202</v>
      </c>
      <c r="C70" s="236" t="str">
        <f t="shared" si="1"/>
        <v>KB/0390/2025</v>
      </c>
      <c r="D70" s="218" t="b">
        <v>1</v>
      </c>
      <c r="E70" s="219" t="b">
        <v>0</v>
      </c>
      <c r="F70" s="219"/>
      <c r="G70" s="173"/>
      <c r="H70" s="157" t="s">
        <v>5886</v>
      </c>
      <c r="I70" s="157" t="s">
        <v>5105</v>
      </c>
      <c r="J70" s="157">
        <v>2025.0</v>
      </c>
    </row>
    <row r="71">
      <c r="A71" s="218">
        <f t="shared" si="2"/>
        <v>68</v>
      </c>
      <c r="B71" s="218" t="s">
        <v>202</v>
      </c>
      <c r="C71" s="236" t="str">
        <f t="shared" si="1"/>
        <v>KB/0391/2025</v>
      </c>
      <c r="D71" s="218" t="b">
        <v>1</v>
      </c>
      <c r="E71" s="219" t="b">
        <v>0</v>
      </c>
      <c r="F71" s="219"/>
      <c r="G71" s="173"/>
      <c r="H71" s="157" t="s">
        <v>5886</v>
      </c>
      <c r="I71" s="157" t="s">
        <v>5111</v>
      </c>
      <c r="J71" s="157">
        <v>2025.0</v>
      </c>
    </row>
    <row r="72">
      <c r="A72" s="218">
        <f t="shared" si="2"/>
        <v>69</v>
      </c>
      <c r="B72" s="218" t="s">
        <v>202</v>
      </c>
      <c r="C72" s="236" t="str">
        <f t="shared" si="1"/>
        <v>KB/0392/2025</v>
      </c>
      <c r="D72" s="218" t="b">
        <v>1</v>
      </c>
      <c r="E72" s="219" t="b">
        <v>0</v>
      </c>
      <c r="F72" s="219"/>
      <c r="G72" s="173"/>
      <c r="H72" s="157" t="s">
        <v>5886</v>
      </c>
      <c r="I72" s="157" t="s">
        <v>5116</v>
      </c>
      <c r="J72" s="157">
        <v>2025.0</v>
      </c>
    </row>
    <row r="73">
      <c r="A73" s="218">
        <f t="shared" si="2"/>
        <v>70</v>
      </c>
      <c r="B73" s="218" t="s">
        <v>202</v>
      </c>
      <c r="C73" s="236" t="str">
        <f t="shared" si="1"/>
        <v>KB/0393/2025</v>
      </c>
      <c r="D73" s="218" t="b">
        <v>1</v>
      </c>
      <c r="E73" s="219" t="b">
        <v>0</v>
      </c>
      <c r="F73" s="219"/>
      <c r="G73" s="173"/>
      <c r="H73" s="157" t="s">
        <v>5886</v>
      </c>
      <c r="I73" s="157" t="s">
        <v>5122</v>
      </c>
      <c r="J73" s="157">
        <v>2025.0</v>
      </c>
    </row>
    <row r="74">
      <c r="A74" s="218">
        <f t="shared" si="2"/>
        <v>71</v>
      </c>
      <c r="B74" s="218" t="s">
        <v>202</v>
      </c>
      <c r="C74" s="236" t="str">
        <f t="shared" si="1"/>
        <v>KB/0394/2025</v>
      </c>
      <c r="D74" s="218" t="b">
        <v>1</v>
      </c>
      <c r="E74" s="219" t="b">
        <v>0</v>
      </c>
      <c r="F74" s="219"/>
      <c r="G74" s="173"/>
      <c r="H74" s="157" t="s">
        <v>5886</v>
      </c>
      <c r="I74" s="157" t="s">
        <v>5128</v>
      </c>
      <c r="J74" s="157">
        <v>2025.0</v>
      </c>
    </row>
    <row r="75">
      <c r="A75" s="218">
        <f t="shared" si="2"/>
        <v>72</v>
      </c>
      <c r="B75" s="218" t="s">
        <v>202</v>
      </c>
      <c r="C75" s="236" t="str">
        <f t="shared" si="1"/>
        <v>KB/0395/2025</v>
      </c>
      <c r="D75" s="218" t="b">
        <v>1</v>
      </c>
      <c r="E75" s="219" t="b">
        <v>0</v>
      </c>
      <c r="F75" s="219"/>
      <c r="G75" s="173"/>
      <c r="H75" s="157" t="s">
        <v>5886</v>
      </c>
      <c r="I75" s="157" t="s">
        <v>5133</v>
      </c>
      <c r="J75" s="157">
        <v>2025.0</v>
      </c>
    </row>
    <row r="76">
      <c r="A76" s="218">
        <f t="shared" si="2"/>
        <v>73</v>
      </c>
      <c r="B76" s="218" t="s">
        <v>202</v>
      </c>
      <c r="C76" s="236" t="str">
        <f t="shared" si="1"/>
        <v>KB/0396/2025</v>
      </c>
      <c r="D76" s="218" t="b">
        <v>1</v>
      </c>
      <c r="E76" s="219" t="b">
        <v>0</v>
      </c>
      <c r="F76" s="219"/>
      <c r="G76" s="173"/>
      <c r="H76" s="157" t="s">
        <v>5886</v>
      </c>
      <c r="I76" s="157" t="s">
        <v>5139</v>
      </c>
      <c r="J76" s="157">
        <v>2025.0</v>
      </c>
    </row>
    <row r="77">
      <c r="A77" s="218">
        <f t="shared" si="2"/>
        <v>74</v>
      </c>
      <c r="B77" s="218" t="s">
        <v>202</v>
      </c>
      <c r="C77" s="236" t="str">
        <f t="shared" si="1"/>
        <v>KB/0397/2025</v>
      </c>
      <c r="D77" s="218" t="b">
        <v>1</v>
      </c>
      <c r="E77" s="219" t="b">
        <v>0</v>
      </c>
      <c r="F77" s="219"/>
      <c r="G77" s="173"/>
      <c r="H77" s="157" t="s">
        <v>5886</v>
      </c>
      <c r="I77" s="157" t="s">
        <v>5141</v>
      </c>
      <c r="J77" s="157">
        <v>2025.0</v>
      </c>
    </row>
    <row r="78">
      <c r="A78" s="218">
        <f t="shared" si="2"/>
        <v>75</v>
      </c>
      <c r="B78" s="218" t="s">
        <v>202</v>
      </c>
      <c r="C78" s="236" t="str">
        <f t="shared" si="1"/>
        <v>KB/0398/2025</v>
      </c>
      <c r="D78" s="218" t="b">
        <v>1</v>
      </c>
      <c r="E78" s="219" t="b">
        <v>0</v>
      </c>
      <c r="F78" s="219"/>
      <c r="G78" s="173"/>
      <c r="H78" s="157" t="s">
        <v>5886</v>
      </c>
      <c r="I78" s="157" t="s">
        <v>5147</v>
      </c>
      <c r="J78" s="157">
        <v>2025.0</v>
      </c>
    </row>
    <row r="79">
      <c r="A79" s="218">
        <f t="shared" si="2"/>
        <v>76</v>
      </c>
      <c r="B79" s="218" t="s">
        <v>202</v>
      </c>
      <c r="C79" s="236" t="str">
        <f t="shared" si="1"/>
        <v>KB/0399/2025</v>
      </c>
      <c r="D79" s="218" t="b">
        <v>1</v>
      </c>
      <c r="E79" s="219" t="b">
        <v>0</v>
      </c>
      <c r="F79" s="219"/>
      <c r="G79" s="173"/>
      <c r="H79" s="157" t="s">
        <v>5886</v>
      </c>
      <c r="I79" s="157" t="s">
        <v>5153</v>
      </c>
      <c r="J79" s="157">
        <v>2025.0</v>
      </c>
    </row>
    <row r="80">
      <c r="A80" s="218">
        <f t="shared" si="2"/>
        <v>77</v>
      </c>
      <c r="B80" s="218" t="s">
        <v>202</v>
      </c>
      <c r="C80" s="236" t="str">
        <f t="shared" si="1"/>
        <v>KB/0400/2025</v>
      </c>
      <c r="D80" s="218" t="b">
        <v>1</v>
      </c>
      <c r="E80" s="219" t="b">
        <v>0</v>
      </c>
      <c r="F80" s="219"/>
      <c r="G80" s="173"/>
      <c r="H80" s="157" t="s">
        <v>5886</v>
      </c>
      <c r="I80" s="157" t="s">
        <v>5158</v>
      </c>
      <c r="J80" s="157">
        <v>2025.0</v>
      </c>
    </row>
    <row r="81">
      <c r="A81" s="218">
        <f t="shared" si="2"/>
        <v>78</v>
      </c>
      <c r="B81" s="218" t="s">
        <v>202</v>
      </c>
      <c r="C81" s="236" t="str">
        <f t="shared" si="1"/>
        <v>KB/0401/2025</v>
      </c>
      <c r="D81" s="218" t="b">
        <v>1</v>
      </c>
      <c r="E81" s="219" t="b">
        <v>0</v>
      </c>
      <c r="F81" s="219"/>
      <c r="G81" s="173"/>
      <c r="H81" s="157" t="s">
        <v>5886</v>
      </c>
      <c r="I81" s="157" t="s">
        <v>5166</v>
      </c>
      <c r="J81" s="157">
        <v>2025.0</v>
      </c>
    </row>
    <row r="82">
      <c r="A82" s="218">
        <f t="shared" si="2"/>
        <v>79</v>
      </c>
      <c r="B82" s="218" t="s">
        <v>202</v>
      </c>
      <c r="C82" s="236" t="str">
        <f t="shared" si="1"/>
        <v>KB/0402/2025</v>
      </c>
      <c r="D82" s="218" t="b">
        <v>1</v>
      </c>
      <c r="E82" s="219" t="b">
        <v>0</v>
      </c>
      <c r="F82" s="219"/>
      <c r="G82" s="173"/>
      <c r="H82" s="157" t="s">
        <v>5886</v>
      </c>
      <c r="I82" s="157" t="s">
        <v>5170</v>
      </c>
      <c r="J82" s="157">
        <v>2025.0</v>
      </c>
    </row>
    <row r="83">
      <c r="A83" s="218">
        <f t="shared" si="2"/>
        <v>80</v>
      </c>
      <c r="B83" s="218" t="s">
        <v>202</v>
      </c>
      <c r="C83" s="236" t="str">
        <f t="shared" si="1"/>
        <v>KB/0403/2025</v>
      </c>
      <c r="D83" s="218" t="b">
        <v>1</v>
      </c>
      <c r="E83" s="219" t="b">
        <v>0</v>
      </c>
      <c r="F83" s="219"/>
      <c r="G83" s="173"/>
      <c r="H83" s="157" t="s">
        <v>5886</v>
      </c>
      <c r="I83" s="157" t="s">
        <v>5177</v>
      </c>
      <c r="J83" s="157">
        <v>2025.0</v>
      </c>
    </row>
    <row r="84">
      <c r="A84" s="218">
        <f t="shared" si="2"/>
        <v>81</v>
      </c>
      <c r="B84" s="218" t="s">
        <v>202</v>
      </c>
      <c r="C84" s="236" t="str">
        <f t="shared" si="1"/>
        <v>KB/0404/2025</v>
      </c>
      <c r="D84" s="218" t="b">
        <v>1</v>
      </c>
      <c r="E84" s="219" t="b">
        <v>0</v>
      </c>
      <c r="F84" s="219"/>
      <c r="G84" s="173"/>
      <c r="H84" s="157" t="s">
        <v>5886</v>
      </c>
      <c r="I84" s="157" t="s">
        <v>5184</v>
      </c>
      <c r="J84" s="157">
        <v>2025.0</v>
      </c>
    </row>
    <row r="85">
      <c r="A85" s="218">
        <f t="shared" si="2"/>
        <v>82</v>
      </c>
      <c r="B85" s="218" t="s">
        <v>202</v>
      </c>
      <c r="C85" s="236" t="str">
        <f t="shared" si="1"/>
        <v>KB/0405/2025</v>
      </c>
      <c r="D85" s="218" t="b">
        <v>1</v>
      </c>
      <c r="E85" s="219" t="b">
        <v>0</v>
      </c>
      <c r="F85" s="219"/>
      <c r="G85" s="173"/>
      <c r="H85" s="157" t="s">
        <v>5886</v>
      </c>
      <c r="I85" s="157" t="s">
        <v>5193</v>
      </c>
      <c r="J85" s="157">
        <v>2025.0</v>
      </c>
    </row>
    <row r="86">
      <c r="A86" s="218">
        <f t="shared" si="2"/>
        <v>83</v>
      </c>
      <c r="B86" s="218" t="s">
        <v>202</v>
      </c>
      <c r="C86" s="236" t="str">
        <f t="shared" si="1"/>
        <v>KB/0406/2025</v>
      </c>
      <c r="D86" s="218" t="b">
        <v>1</v>
      </c>
      <c r="E86" s="219" t="b">
        <v>0</v>
      </c>
      <c r="F86" s="219"/>
      <c r="G86" s="173"/>
      <c r="H86" s="157" t="s">
        <v>5886</v>
      </c>
      <c r="I86" s="157" t="s">
        <v>5199</v>
      </c>
      <c r="J86" s="157">
        <v>2025.0</v>
      </c>
    </row>
    <row r="87">
      <c r="A87" s="218">
        <f t="shared" si="2"/>
        <v>84</v>
      </c>
      <c r="B87" s="218" t="s">
        <v>202</v>
      </c>
      <c r="C87" s="236" t="str">
        <f t="shared" si="1"/>
        <v>KB/0407/2025</v>
      </c>
      <c r="D87" s="218" t="b">
        <v>1</v>
      </c>
      <c r="E87" s="218" t="b">
        <v>0</v>
      </c>
      <c r="F87" s="219"/>
      <c r="G87" s="173"/>
      <c r="H87" s="157" t="s">
        <v>5886</v>
      </c>
      <c r="I87" s="157" t="s">
        <v>5207</v>
      </c>
      <c r="J87" s="157">
        <v>2025.0</v>
      </c>
    </row>
    <row r="88">
      <c r="A88" s="218">
        <f t="shared" si="2"/>
        <v>85</v>
      </c>
      <c r="B88" s="218" t="s">
        <v>202</v>
      </c>
      <c r="C88" s="236" t="str">
        <f t="shared" si="1"/>
        <v>KB/0408/2025</v>
      </c>
      <c r="D88" s="218" t="b">
        <v>1</v>
      </c>
      <c r="E88" s="219" t="b">
        <v>0</v>
      </c>
      <c r="F88" s="219"/>
      <c r="G88" s="173"/>
      <c r="H88" s="157" t="s">
        <v>5886</v>
      </c>
      <c r="I88" s="157" t="s">
        <v>5215</v>
      </c>
      <c r="J88" s="157">
        <v>2025.0</v>
      </c>
    </row>
    <row r="89">
      <c r="A89" s="218">
        <f t="shared" si="2"/>
        <v>86</v>
      </c>
      <c r="B89" s="218" t="s">
        <v>202</v>
      </c>
      <c r="C89" s="236" t="str">
        <f t="shared" si="1"/>
        <v>KB/0409/2025</v>
      </c>
      <c r="D89" s="218" t="b">
        <v>1</v>
      </c>
      <c r="E89" s="219" t="b">
        <v>0</v>
      </c>
      <c r="F89" s="219"/>
      <c r="G89" s="173"/>
      <c r="H89" s="157" t="s">
        <v>5886</v>
      </c>
      <c r="I89" s="157" t="s">
        <v>5222</v>
      </c>
      <c r="J89" s="157">
        <v>2025.0</v>
      </c>
    </row>
    <row r="90">
      <c r="A90" s="218">
        <f t="shared" si="2"/>
        <v>87</v>
      </c>
      <c r="B90" s="218" t="s">
        <v>202</v>
      </c>
      <c r="C90" s="236" t="str">
        <f t="shared" si="1"/>
        <v>KB/0410/2025</v>
      </c>
      <c r="D90" s="218" t="b">
        <v>1</v>
      </c>
      <c r="E90" s="219" t="b">
        <v>0</v>
      </c>
      <c r="F90" s="219"/>
      <c r="G90" s="173"/>
      <c r="H90" s="157" t="s">
        <v>5886</v>
      </c>
      <c r="I90" s="157" t="s">
        <v>5229</v>
      </c>
      <c r="J90" s="157">
        <v>2025.0</v>
      </c>
    </row>
    <row r="91">
      <c r="A91" s="218">
        <f t="shared" si="2"/>
        <v>88</v>
      </c>
      <c r="B91" s="218" t="s">
        <v>202</v>
      </c>
      <c r="C91" s="236" t="str">
        <f t="shared" si="1"/>
        <v>KB/0411/2025</v>
      </c>
      <c r="D91" s="218" t="b">
        <v>1</v>
      </c>
      <c r="E91" s="219" t="b">
        <v>0</v>
      </c>
      <c r="F91" s="219"/>
      <c r="G91" s="173"/>
      <c r="H91" s="157" t="s">
        <v>5886</v>
      </c>
      <c r="I91" s="157" t="s">
        <v>5237</v>
      </c>
      <c r="J91" s="157">
        <v>2025.0</v>
      </c>
    </row>
    <row r="92">
      <c r="A92" s="218">
        <f t="shared" si="2"/>
        <v>89</v>
      </c>
      <c r="B92" s="218" t="s">
        <v>202</v>
      </c>
      <c r="C92" s="236" t="str">
        <f t="shared" si="1"/>
        <v>KB/0412/2025</v>
      </c>
      <c r="D92" s="218" t="b">
        <v>1</v>
      </c>
      <c r="E92" s="219" t="b">
        <v>0</v>
      </c>
      <c r="F92" s="219"/>
      <c r="G92" s="173"/>
      <c r="H92" s="157" t="s">
        <v>5886</v>
      </c>
      <c r="I92" s="157" t="s">
        <v>5239</v>
      </c>
      <c r="J92" s="157">
        <v>2025.0</v>
      </c>
    </row>
    <row r="93">
      <c r="A93" s="218">
        <f t="shared" si="2"/>
        <v>90</v>
      </c>
      <c r="B93" s="218" t="s">
        <v>202</v>
      </c>
      <c r="C93" s="236" t="str">
        <f t="shared" si="1"/>
        <v>KB/0413/2025</v>
      </c>
      <c r="D93" s="218" t="b">
        <v>1</v>
      </c>
      <c r="E93" s="219" t="b">
        <v>0</v>
      </c>
      <c r="F93" s="219"/>
      <c r="G93" s="173"/>
      <c r="H93" s="157" t="s">
        <v>5886</v>
      </c>
      <c r="I93" s="157" t="s">
        <v>5246</v>
      </c>
      <c r="J93" s="157">
        <v>2025.0</v>
      </c>
    </row>
    <row r="94">
      <c r="A94" s="218">
        <f t="shared" si="2"/>
        <v>91</v>
      </c>
      <c r="B94" s="218" t="s">
        <v>202</v>
      </c>
      <c r="C94" s="236" t="str">
        <f t="shared" si="1"/>
        <v>KB/0414/2025</v>
      </c>
      <c r="D94" s="218" t="b">
        <v>1</v>
      </c>
      <c r="E94" s="219" t="b">
        <v>0</v>
      </c>
      <c r="F94" s="219"/>
      <c r="G94" s="173"/>
      <c r="H94" s="157" t="s">
        <v>5886</v>
      </c>
      <c r="I94" s="157" t="s">
        <v>5252</v>
      </c>
      <c r="J94" s="157">
        <v>2025.0</v>
      </c>
    </row>
    <row r="95">
      <c r="A95" s="218">
        <f t="shared" si="2"/>
        <v>92</v>
      </c>
      <c r="B95" s="218" t="s">
        <v>202</v>
      </c>
      <c r="C95" s="236" t="str">
        <f t="shared" si="1"/>
        <v>KB/0415/2025</v>
      </c>
      <c r="D95" s="218" t="b">
        <v>1</v>
      </c>
      <c r="E95" s="219" t="b">
        <v>0</v>
      </c>
      <c r="F95" s="219"/>
      <c r="G95" s="173"/>
      <c r="H95" s="157" t="s">
        <v>5886</v>
      </c>
      <c r="I95" s="157" t="s">
        <v>5258</v>
      </c>
      <c r="J95" s="157">
        <v>2025.0</v>
      </c>
    </row>
    <row r="96">
      <c r="A96" s="218">
        <f t="shared" si="2"/>
        <v>93</v>
      </c>
      <c r="B96" s="218" t="s">
        <v>202</v>
      </c>
      <c r="C96" s="236" t="str">
        <f t="shared" si="1"/>
        <v>KB/0416/2025</v>
      </c>
      <c r="D96" s="218" t="b">
        <v>1</v>
      </c>
      <c r="E96" s="219" t="b">
        <v>0</v>
      </c>
      <c r="F96" s="219"/>
      <c r="G96" s="173"/>
      <c r="H96" s="157" t="s">
        <v>5886</v>
      </c>
      <c r="I96" s="157" t="s">
        <v>5264</v>
      </c>
      <c r="J96" s="157">
        <v>2025.0</v>
      </c>
    </row>
    <row r="97">
      <c r="A97" s="218">
        <f t="shared" si="2"/>
        <v>94</v>
      </c>
      <c r="B97" s="218" t="s">
        <v>202</v>
      </c>
      <c r="C97" s="236" t="str">
        <f t="shared" si="1"/>
        <v>KB/0417/2025</v>
      </c>
      <c r="D97" s="218" t="b">
        <v>1</v>
      </c>
      <c r="E97" s="219" t="b">
        <v>0</v>
      </c>
      <c r="F97" s="219"/>
      <c r="G97" s="173"/>
      <c r="H97" s="157" t="s">
        <v>5886</v>
      </c>
      <c r="I97" s="157" t="s">
        <v>5270</v>
      </c>
      <c r="J97" s="157">
        <v>2025.0</v>
      </c>
    </row>
    <row r="98">
      <c r="A98" s="218">
        <f t="shared" si="2"/>
        <v>95</v>
      </c>
      <c r="B98" s="218" t="s">
        <v>202</v>
      </c>
      <c r="C98" s="236" t="str">
        <f t="shared" si="1"/>
        <v>KB/0418/2025</v>
      </c>
      <c r="D98" s="218" t="b">
        <v>1</v>
      </c>
      <c r="E98" s="219" t="b">
        <v>0</v>
      </c>
      <c r="F98" s="219"/>
      <c r="G98" s="173"/>
      <c r="H98" s="157" t="s">
        <v>5886</v>
      </c>
      <c r="I98" s="157" t="s">
        <v>5277</v>
      </c>
      <c r="J98" s="157">
        <v>2025.0</v>
      </c>
    </row>
    <row r="99">
      <c r="A99" s="218">
        <f t="shared" si="2"/>
        <v>96</v>
      </c>
      <c r="B99" s="218" t="s">
        <v>202</v>
      </c>
      <c r="C99" s="236" t="str">
        <f t="shared" si="1"/>
        <v>KB/0419/2025</v>
      </c>
      <c r="D99" s="218" t="b">
        <v>1</v>
      </c>
      <c r="E99" s="219" t="b">
        <v>0</v>
      </c>
      <c r="F99" s="219"/>
      <c r="G99" s="173"/>
      <c r="H99" s="157" t="s">
        <v>5886</v>
      </c>
      <c r="I99" s="157" t="s">
        <v>5281</v>
      </c>
      <c r="J99" s="157">
        <v>2025.0</v>
      </c>
    </row>
    <row r="100">
      <c r="A100" s="218">
        <f t="shared" si="2"/>
        <v>97</v>
      </c>
      <c r="B100" s="218" t="s">
        <v>202</v>
      </c>
      <c r="C100" s="236" t="str">
        <f t="shared" si="1"/>
        <v>KB/0420/2025</v>
      </c>
      <c r="D100" s="218" t="b">
        <v>1</v>
      </c>
      <c r="E100" s="219" t="b">
        <v>0</v>
      </c>
      <c r="F100" s="219"/>
      <c r="G100" s="173"/>
      <c r="H100" s="157" t="s">
        <v>5886</v>
      </c>
      <c r="I100" s="157" t="s">
        <v>5287</v>
      </c>
      <c r="J100" s="157">
        <v>2025.0</v>
      </c>
    </row>
    <row r="101">
      <c r="A101" s="218">
        <f t="shared" si="2"/>
        <v>98</v>
      </c>
      <c r="B101" s="218" t="s">
        <v>202</v>
      </c>
      <c r="C101" s="236" t="str">
        <f t="shared" si="1"/>
        <v>KB/0421/2025</v>
      </c>
      <c r="D101" s="218" t="b">
        <v>1</v>
      </c>
      <c r="E101" s="219" t="b">
        <v>0</v>
      </c>
      <c r="F101" s="219"/>
      <c r="G101" s="173"/>
      <c r="H101" s="157" t="s">
        <v>5886</v>
      </c>
      <c r="I101" s="157" t="s">
        <v>5295</v>
      </c>
      <c r="J101" s="157">
        <v>2025.0</v>
      </c>
    </row>
    <row r="102">
      <c r="A102" s="218">
        <f t="shared" si="2"/>
        <v>99</v>
      </c>
      <c r="B102" s="218" t="s">
        <v>202</v>
      </c>
      <c r="C102" s="236" t="str">
        <f t="shared" si="1"/>
        <v>KB/0422/2025</v>
      </c>
      <c r="D102" s="218" t="b">
        <v>1</v>
      </c>
      <c r="E102" s="219" t="b">
        <v>0</v>
      </c>
      <c r="F102" s="219"/>
      <c r="G102" s="173"/>
      <c r="H102" s="157" t="s">
        <v>5886</v>
      </c>
      <c r="I102" s="157" t="s">
        <v>5301</v>
      </c>
      <c r="J102" s="157">
        <v>2025.0</v>
      </c>
    </row>
    <row r="103">
      <c r="A103" s="218">
        <f t="shared" si="2"/>
        <v>100</v>
      </c>
      <c r="B103" s="218" t="s">
        <v>202</v>
      </c>
      <c r="C103" s="236" t="str">
        <f t="shared" si="1"/>
        <v>KB/0423/2025</v>
      </c>
      <c r="D103" s="218" t="b">
        <v>1</v>
      </c>
      <c r="E103" s="219" t="b">
        <v>0</v>
      </c>
      <c r="F103" s="219"/>
      <c r="G103" s="173"/>
      <c r="H103" s="157" t="s">
        <v>5886</v>
      </c>
      <c r="I103" s="157" t="s">
        <v>5309</v>
      </c>
      <c r="J103" s="157">
        <v>2025.0</v>
      </c>
    </row>
    <row r="104">
      <c r="A104" s="218">
        <f t="shared" si="2"/>
        <v>101</v>
      </c>
      <c r="B104" s="218" t="s">
        <v>202</v>
      </c>
      <c r="C104" s="236" t="str">
        <f t="shared" si="1"/>
        <v>KB/0424/2025</v>
      </c>
      <c r="D104" s="218" t="b">
        <v>1</v>
      </c>
      <c r="E104" s="219" t="b">
        <v>0</v>
      </c>
      <c r="F104" s="219"/>
      <c r="G104" s="173"/>
      <c r="H104" s="157" t="s">
        <v>5886</v>
      </c>
      <c r="I104" s="157" t="s">
        <v>5316</v>
      </c>
      <c r="J104" s="157">
        <v>2025.0</v>
      </c>
    </row>
    <row r="105">
      <c r="A105" s="218">
        <f t="shared" si="2"/>
        <v>102</v>
      </c>
      <c r="B105" s="218" t="s">
        <v>202</v>
      </c>
      <c r="C105" s="236" t="str">
        <f t="shared" si="1"/>
        <v>KB/0425/2025</v>
      </c>
      <c r="D105" s="218" t="b">
        <v>1</v>
      </c>
      <c r="E105" s="219" t="b">
        <v>0</v>
      </c>
      <c r="F105" s="219"/>
      <c r="G105" s="173"/>
      <c r="H105" s="157" t="s">
        <v>5886</v>
      </c>
      <c r="I105" s="157" t="s">
        <v>5320</v>
      </c>
      <c r="J105" s="157">
        <v>2025.0</v>
      </c>
    </row>
    <row r="106">
      <c r="A106" s="218">
        <f t="shared" si="2"/>
        <v>103</v>
      </c>
      <c r="B106" s="218" t="s">
        <v>202</v>
      </c>
      <c r="C106" s="236" t="str">
        <f t="shared" si="1"/>
        <v>KB/0426/2025</v>
      </c>
      <c r="D106" s="218" t="b">
        <v>1</v>
      </c>
      <c r="E106" s="219" t="b">
        <v>0</v>
      </c>
      <c r="F106" s="219"/>
      <c r="G106" s="173"/>
      <c r="H106" s="157" t="s">
        <v>5886</v>
      </c>
      <c r="I106" s="157" t="s">
        <v>5323</v>
      </c>
      <c r="J106" s="157">
        <v>2025.0</v>
      </c>
    </row>
    <row r="107">
      <c r="A107" s="218">
        <f t="shared" si="2"/>
        <v>104</v>
      </c>
      <c r="B107" s="218" t="s">
        <v>202</v>
      </c>
      <c r="C107" s="236" t="str">
        <f t="shared" si="1"/>
        <v>KB/0427/2025</v>
      </c>
      <c r="D107" s="218" t="b">
        <v>1</v>
      </c>
      <c r="E107" s="219" t="b">
        <v>0</v>
      </c>
      <c r="F107" s="219"/>
      <c r="G107" s="173"/>
      <c r="H107" s="157" t="s">
        <v>5886</v>
      </c>
      <c r="I107" s="157" t="s">
        <v>5332</v>
      </c>
      <c r="J107" s="157">
        <v>2025.0</v>
      </c>
    </row>
    <row r="108">
      <c r="A108" s="218">
        <f t="shared" si="2"/>
        <v>105</v>
      </c>
      <c r="B108" s="218" t="s">
        <v>202</v>
      </c>
      <c r="C108" s="236" t="str">
        <f t="shared" si="1"/>
        <v>KB/0428/2025</v>
      </c>
      <c r="D108" s="218" t="b">
        <v>1</v>
      </c>
      <c r="E108" s="219" t="b">
        <v>0</v>
      </c>
      <c r="F108" s="219"/>
      <c r="G108" s="173"/>
      <c r="H108" s="157" t="s">
        <v>5886</v>
      </c>
      <c r="I108" s="157" t="s">
        <v>5337</v>
      </c>
      <c r="J108" s="157">
        <v>2025.0</v>
      </c>
    </row>
    <row r="109">
      <c r="A109" s="218">
        <f t="shared" si="2"/>
        <v>106</v>
      </c>
      <c r="B109" s="218" t="s">
        <v>202</v>
      </c>
      <c r="C109" s="236" t="str">
        <f t="shared" si="1"/>
        <v>KB/0429/2025</v>
      </c>
      <c r="D109" s="218" t="b">
        <v>1</v>
      </c>
      <c r="E109" s="219" t="b">
        <v>0</v>
      </c>
      <c r="F109" s="219"/>
      <c r="G109" s="173"/>
      <c r="H109" s="157" t="s">
        <v>5886</v>
      </c>
      <c r="I109" s="157" t="s">
        <v>5343</v>
      </c>
      <c r="J109" s="157">
        <v>2025.0</v>
      </c>
    </row>
    <row r="110">
      <c r="A110" s="218">
        <f t="shared" si="2"/>
        <v>107</v>
      </c>
      <c r="B110" s="218" t="s">
        <v>202</v>
      </c>
      <c r="C110" s="236" t="str">
        <f t="shared" si="1"/>
        <v>KB/0430/2025</v>
      </c>
      <c r="D110" s="218" t="b">
        <v>1</v>
      </c>
      <c r="E110" s="219" t="b">
        <v>0</v>
      </c>
      <c r="F110" s="219"/>
      <c r="G110" s="173"/>
      <c r="H110" s="157" t="s">
        <v>5886</v>
      </c>
      <c r="I110" s="157" t="s">
        <v>5349</v>
      </c>
      <c r="J110" s="157">
        <v>2025.0</v>
      </c>
    </row>
    <row r="111">
      <c r="A111" s="218">
        <f t="shared" si="2"/>
        <v>108</v>
      </c>
      <c r="B111" s="218" t="s">
        <v>202</v>
      </c>
      <c r="C111" s="236" t="str">
        <f t="shared" si="1"/>
        <v>KB/0431/2025</v>
      </c>
      <c r="D111" s="218" t="b">
        <v>1</v>
      </c>
      <c r="E111" s="219" t="b">
        <v>0</v>
      </c>
      <c r="F111" s="219"/>
      <c r="G111" s="173"/>
      <c r="H111" s="157" t="s">
        <v>5886</v>
      </c>
      <c r="I111" s="157" t="s">
        <v>5353</v>
      </c>
      <c r="J111" s="157">
        <v>2025.0</v>
      </c>
    </row>
    <row r="112">
      <c r="A112" s="218">
        <f t="shared" si="2"/>
        <v>109</v>
      </c>
      <c r="B112" s="218" t="s">
        <v>202</v>
      </c>
      <c r="C112" s="236" t="str">
        <f t="shared" si="1"/>
        <v>KB/0432/2025</v>
      </c>
      <c r="D112" s="218" t="b">
        <v>1</v>
      </c>
      <c r="E112" s="219" t="b">
        <v>0</v>
      </c>
      <c r="F112" s="219"/>
      <c r="G112" s="173"/>
      <c r="H112" s="157" t="s">
        <v>5886</v>
      </c>
      <c r="I112" s="157" t="s">
        <v>5360</v>
      </c>
      <c r="J112" s="157">
        <v>2025.0</v>
      </c>
    </row>
    <row r="113">
      <c r="A113" s="218">
        <f t="shared" si="2"/>
        <v>110</v>
      </c>
      <c r="B113" s="218" t="s">
        <v>202</v>
      </c>
      <c r="C113" s="236" t="str">
        <f t="shared" si="1"/>
        <v>KB/0433/2025</v>
      </c>
      <c r="D113" s="218" t="b">
        <v>1</v>
      </c>
      <c r="E113" s="219" t="b">
        <v>0</v>
      </c>
      <c r="F113" s="219"/>
      <c r="G113" s="173"/>
      <c r="H113" s="157" t="s">
        <v>5886</v>
      </c>
      <c r="I113" s="157" t="s">
        <v>5363</v>
      </c>
      <c r="J113" s="157">
        <v>2025.0</v>
      </c>
    </row>
    <row r="114">
      <c r="A114" s="218">
        <f t="shared" si="2"/>
        <v>111</v>
      </c>
      <c r="B114" s="218" t="s">
        <v>202</v>
      </c>
      <c r="C114" s="236" t="str">
        <f t="shared" si="1"/>
        <v>KB/0434/2025</v>
      </c>
      <c r="D114" s="218" t="b">
        <v>1</v>
      </c>
      <c r="E114" s="219" t="b">
        <v>0</v>
      </c>
      <c r="F114" s="219"/>
      <c r="G114" s="173"/>
      <c r="H114" s="157" t="s">
        <v>5886</v>
      </c>
      <c r="I114" s="157" t="s">
        <v>5366</v>
      </c>
      <c r="J114" s="157">
        <v>2025.0</v>
      </c>
    </row>
    <row r="115">
      <c r="A115" s="218">
        <f t="shared" si="2"/>
        <v>112</v>
      </c>
      <c r="B115" s="218" t="s">
        <v>202</v>
      </c>
      <c r="C115" s="236" t="str">
        <f t="shared" si="1"/>
        <v>KB/0435/2025</v>
      </c>
      <c r="D115" s="218" t="b">
        <v>1</v>
      </c>
      <c r="E115" s="219" t="b">
        <v>0</v>
      </c>
      <c r="F115" s="219"/>
      <c r="G115" s="173"/>
      <c r="H115" s="157" t="s">
        <v>5886</v>
      </c>
      <c r="I115" s="157" t="s">
        <v>5370</v>
      </c>
      <c r="J115" s="157">
        <v>2025.0</v>
      </c>
    </row>
    <row r="116">
      <c r="A116" s="218">
        <f t="shared" si="2"/>
        <v>113</v>
      </c>
      <c r="B116" s="218" t="s">
        <v>202</v>
      </c>
      <c r="C116" s="236" t="str">
        <f t="shared" si="1"/>
        <v>KB/0436/2025</v>
      </c>
      <c r="D116" s="218" t="b">
        <v>1</v>
      </c>
      <c r="E116" s="219" t="b">
        <v>0</v>
      </c>
      <c r="F116" s="219"/>
      <c r="G116" s="173"/>
      <c r="H116" s="157" t="s">
        <v>5886</v>
      </c>
      <c r="I116" s="157" t="s">
        <v>5378</v>
      </c>
      <c r="J116" s="157">
        <v>2025.0</v>
      </c>
    </row>
    <row r="117">
      <c r="A117" s="218">
        <f t="shared" si="2"/>
        <v>114</v>
      </c>
      <c r="B117" s="218" t="s">
        <v>202</v>
      </c>
      <c r="C117" s="236" t="str">
        <f t="shared" si="1"/>
        <v>KB/0437/2025</v>
      </c>
      <c r="D117" s="218" t="b">
        <v>1</v>
      </c>
      <c r="E117" s="219" t="b">
        <v>0</v>
      </c>
      <c r="F117" s="219"/>
      <c r="G117" s="173"/>
      <c r="H117" s="157" t="s">
        <v>5886</v>
      </c>
      <c r="I117" s="157" t="s">
        <v>5381</v>
      </c>
      <c r="J117" s="157">
        <v>2025.0</v>
      </c>
    </row>
    <row r="118">
      <c r="A118" s="218">
        <f t="shared" si="2"/>
        <v>115</v>
      </c>
      <c r="B118" s="218" t="s">
        <v>202</v>
      </c>
      <c r="C118" s="236" t="str">
        <f t="shared" si="1"/>
        <v>KB/0438/2025</v>
      </c>
      <c r="D118" s="218" t="b">
        <v>1</v>
      </c>
      <c r="E118" s="219" t="b">
        <v>0</v>
      </c>
      <c r="F118" s="219"/>
      <c r="G118" s="173"/>
      <c r="H118" s="157" t="s">
        <v>5886</v>
      </c>
      <c r="I118" s="157" t="s">
        <v>5386</v>
      </c>
      <c r="J118" s="157">
        <v>2025.0</v>
      </c>
    </row>
    <row r="119">
      <c r="A119" s="218">
        <f t="shared" si="2"/>
        <v>116</v>
      </c>
      <c r="B119" s="218" t="s">
        <v>202</v>
      </c>
      <c r="C119" s="236" t="str">
        <f t="shared" si="1"/>
        <v>KB/0439/2025</v>
      </c>
      <c r="D119" s="218" t="b">
        <v>1</v>
      </c>
      <c r="E119" s="219" t="b">
        <v>0</v>
      </c>
      <c r="F119" s="219"/>
      <c r="G119" s="173"/>
      <c r="H119" s="157" t="s">
        <v>5886</v>
      </c>
      <c r="I119" s="157" t="s">
        <v>5390</v>
      </c>
      <c r="J119" s="157">
        <v>2025.0</v>
      </c>
    </row>
    <row r="120">
      <c r="A120" s="218">
        <f t="shared" si="2"/>
        <v>117</v>
      </c>
      <c r="B120" s="218" t="s">
        <v>202</v>
      </c>
      <c r="C120" s="236" t="str">
        <f t="shared" si="1"/>
        <v>KB/0440/2025</v>
      </c>
      <c r="D120" s="218" t="b">
        <v>1</v>
      </c>
      <c r="E120" s="219" t="b">
        <v>0</v>
      </c>
      <c r="F120" s="219"/>
      <c r="G120" s="173"/>
      <c r="H120" s="157" t="s">
        <v>5886</v>
      </c>
      <c r="I120" s="157" t="s">
        <v>5396</v>
      </c>
      <c r="J120" s="157">
        <v>2025.0</v>
      </c>
    </row>
    <row r="121">
      <c r="A121" s="218">
        <f t="shared" si="2"/>
        <v>118</v>
      </c>
      <c r="B121" s="218" t="s">
        <v>202</v>
      </c>
      <c r="C121" s="236" t="str">
        <f t="shared" si="1"/>
        <v>KB/0441/2025</v>
      </c>
      <c r="D121" s="218" t="b">
        <v>1</v>
      </c>
      <c r="E121" s="219" t="b">
        <v>0</v>
      </c>
      <c r="F121" s="219"/>
      <c r="G121" s="173"/>
      <c r="H121" s="157" t="s">
        <v>5886</v>
      </c>
      <c r="I121" s="157" t="s">
        <v>5402</v>
      </c>
      <c r="J121" s="157">
        <v>2025.0</v>
      </c>
    </row>
    <row r="122">
      <c r="A122" s="218">
        <f t="shared" si="2"/>
        <v>119</v>
      </c>
      <c r="B122" s="218" t="s">
        <v>202</v>
      </c>
      <c r="C122" s="236" t="str">
        <f t="shared" si="1"/>
        <v>KB/0442/2025</v>
      </c>
      <c r="D122" s="218" t="b">
        <v>1</v>
      </c>
      <c r="E122" s="219" t="b">
        <v>0</v>
      </c>
      <c r="F122" s="219"/>
      <c r="G122" s="173"/>
      <c r="H122" s="157" t="s">
        <v>5886</v>
      </c>
      <c r="I122" s="157" t="s">
        <v>5406</v>
      </c>
      <c r="J122" s="157">
        <v>2025.0</v>
      </c>
    </row>
    <row r="123">
      <c r="A123" s="218">
        <f t="shared" si="2"/>
        <v>120</v>
      </c>
      <c r="B123" s="218" t="s">
        <v>202</v>
      </c>
      <c r="C123" s="236" t="str">
        <f t="shared" si="1"/>
        <v>KB/0443/2025</v>
      </c>
      <c r="D123" s="218" t="b">
        <v>1</v>
      </c>
      <c r="E123" s="219" t="b">
        <v>0</v>
      </c>
      <c r="F123" s="219"/>
      <c r="G123" s="173"/>
      <c r="H123" s="157" t="s">
        <v>5886</v>
      </c>
      <c r="I123" s="157" t="s">
        <v>5411</v>
      </c>
      <c r="J123" s="157">
        <v>2025.0</v>
      </c>
    </row>
    <row r="124">
      <c r="A124" s="218">
        <f t="shared" si="2"/>
        <v>121</v>
      </c>
      <c r="B124" s="218" t="s">
        <v>202</v>
      </c>
      <c r="C124" s="236" t="str">
        <f t="shared" si="1"/>
        <v>KB/0444/2025</v>
      </c>
      <c r="D124" s="218" t="b">
        <v>1</v>
      </c>
      <c r="E124" s="219" t="b">
        <v>0</v>
      </c>
      <c r="F124" s="219"/>
      <c r="G124" s="173"/>
      <c r="H124" s="157" t="s">
        <v>5886</v>
      </c>
      <c r="I124" s="157" t="s">
        <v>5415</v>
      </c>
      <c r="J124" s="157">
        <v>2025.0</v>
      </c>
    </row>
    <row r="125">
      <c r="A125" s="218">
        <f t="shared" si="2"/>
        <v>122</v>
      </c>
      <c r="B125" s="218" t="s">
        <v>202</v>
      </c>
      <c r="C125" s="236" t="str">
        <f t="shared" si="1"/>
        <v>KB/0445/2025</v>
      </c>
      <c r="D125" s="218" t="b">
        <v>1</v>
      </c>
      <c r="E125" s="219" t="b">
        <v>0</v>
      </c>
      <c r="F125" s="219"/>
      <c r="G125" s="173"/>
      <c r="H125" s="157" t="s">
        <v>5886</v>
      </c>
      <c r="I125" s="157" t="s">
        <v>5422</v>
      </c>
      <c r="J125" s="157">
        <v>2025.0</v>
      </c>
    </row>
    <row r="126">
      <c r="A126" s="218">
        <f t="shared" si="2"/>
        <v>123</v>
      </c>
      <c r="B126" s="218" t="s">
        <v>202</v>
      </c>
      <c r="C126" s="236" t="str">
        <f t="shared" si="1"/>
        <v>KB/0446/2025</v>
      </c>
      <c r="D126" s="218" t="b">
        <v>1</v>
      </c>
      <c r="E126" s="219" t="b">
        <v>0</v>
      </c>
      <c r="F126" s="219"/>
      <c r="G126" s="173"/>
      <c r="H126" s="157" t="s">
        <v>5886</v>
      </c>
      <c r="I126" s="157" t="s">
        <v>5429</v>
      </c>
      <c r="J126" s="157">
        <v>2025.0</v>
      </c>
    </row>
    <row r="127">
      <c r="A127" s="218">
        <f t="shared" si="2"/>
        <v>124</v>
      </c>
      <c r="B127" s="218" t="s">
        <v>202</v>
      </c>
      <c r="C127" s="236" t="str">
        <f t="shared" si="1"/>
        <v>KB/0447/2025</v>
      </c>
      <c r="D127" s="218" t="b">
        <v>1</v>
      </c>
      <c r="E127" s="219" t="b">
        <v>0</v>
      </c>
      <c r="F127" s="219"/>
      <c r="G127" s="173"/>
      <c r="H127" s="157" t="s">
        <v>5886</v>
      </c>
      <c r="I127" s="157" t="s">
        <v>5434</v>
      </c>
      <c r="J127" s="157">
        <v>2025.0</v>
      </c>
    </row>
    <row r="128">
      <c r="A128" s="218">
        <f t="shared" si="2"/>
        <v>125</v>
      </c>
      <c r="B128" s="218" t="s">
        <v>202</v>
      </c>
      <c r="C128" s="236" t="str">
        <f t="shared" si="1"/>
        <v>KB/0448/2025</v>
      </c>
      <c r="D128" s="218" t="b">
        <v>1</v>
      </c>
      <c r="E128" s="219" t="b">
        <v>0</v>
      </c>
      <c r="F128" s="219"/>
      <c r="G128" s="173"/>
      <c r="H128" s="157" t="s">
        <v>5886</v>
      </c>
      <c r="I128" s="157" t="s">
        <v>5441</v>
      </c>
      <c r="J128" s="157">
        <v>2025.0</v>
      </c>
    </row>
    <row r="129">
      <c r="A129" s="218">
        <f t="shared" si="2"/>
        <v>126</v>
      </c>
      <c r="B129" s="218" t="s">
        <v>202</v>
      </c>
      <c r="C129" s="236" t="str">
        <f t="shared" si="1"/>
        <v>KB/0449/2025</v>
      </c>
      <c r="D129" s="218" t="b">
        <v>1</v>
      </c>
      <c r="E129" s="219" t="b">
        <v>0</v>
      </c>
      <c r="F129" s="219"/>
      <c r="G129" s="173"/>
      <c r="H129" s="157" t="s">
        <v>5886</v>
      </c>
      <c r="I129" s="157" t="s">
        <v>5445</v>
      </c>
      <c r="J129" s="157">
        <v>2025.0</v>
      </c>
    </row>
    <row r="130">
      <c r="A130" s="218">
        <f t="shared" si="2"/>
        <v>127</v>
      </c>
      <c r="B130" s="218" t="s">
        <v>202</v>
      </c>
      <c r="C130" s="236" t="str">
        <f t="shared" si="1"/>
        <v>KB/0450/2025</v>
      </c>
      <c r="D130" s="218" t="b">
        <v>1</v>
      </c>
      <c r="E130" s="219" t="b">
        <v>0</v>
      </c>
      <c r="F130" s="219"/>
      <c r="G130" s="173"/>
      <c r="H130" s="157" t="s">
        <v>5886</v>
      </c>
      <c r="I130" s="157" t="s">
        <v>5449</v>
      </c>
      <c r="J130" s="157">
        <v>2025.0</v>
      </c>
    </row>
    <row r="131">
      <c r="A131" s="218">
        <f t="shared" si="2"/>
        <v>128</v>
      </c>
      <c r="B131" s="218" t="s">
        <v>202</v>
      </c>
      <c r="C131" s="236" t="str">
        <f t="shared" si="1"/>
        <v>KB/0451/2025</v>
      </c>
      <c r="D131" s="218" t="b">
        <v>1</v>
      </c>
      <c r="E131" s="219" t="b">
        <v>0</v>
      </c>
      <c r="F131" s="219"/>
      <c r="G131" s="173"/>
      <c r="H131" s="157" t="s">
        <v>5886</v>
      </c>
      <c r="I131" s="157" t="s">
        <v>5456</v>
      </c>
      <c r="J131" s="157">
        <v>2025.0</v>
      </c>
    </row>
    <row r="132">
      <c r="A132" s="218">
        <f t="shared" si="2"/>
        <v>129</v>
      </c>
      <c r="B132" s="218" t="s">
        <v>202</v>
      </c>
      <c r="C132" s="236" t="str">
        <f t="shared" si="1"/>
        <v>KB/0452/2025</v>
      </c>
      <c r="D132" s="218" t="b">
        <v>1</v>
      </c>
      <c r="E132" s="219" t="b">
        <v>0</v>
      </c>
      <c r="F132" s="219"/>
      <c r="G132" s="173"/>
      <c r="H132" s="157" t="s">
        <v>5886</v>
      </c>
      <c r="I132" s="157" t="s">
        <v>5462</v>
      </c>
      <c r="J132" s="157">
        <v>2025.0</v>
      </c>
    </row>
    <row r="133">
      <c r="A133" s="218">
        <f t="shared" si="2"/>
        <v>130</v>
      </c>
      <c r="B133" s="218" t="s">
        <v>202</v>
      </c>
      <c r="C133" s="236" t="str">
        <f t="shared" si="1"/>
        <v>KB/0453/2025</v>
      </c>
      <c r="D133" s="218" t="b">
        <v>1</v>
      </c>
      <c r="E133" s="219" t="b">
        <v>0</v>
      </c>
      <c r="F133" s="219"/>
      <c r="G133" s="173"/>
      <c r="H133" s="157" t="s">
        <v>5886</v>
      </c>
      <c r="I133" s="157" t="s">
        <v>5468</v>
      </c>
      <c r="J133" s="157">
        <v>2025.0</v>
      </c>
    </row>
    <row r="134">
      <c r="A134" s="218">
        <f t="shared" si="2"/>
        <v>131</v>
      </c>
      <c r="B134" s="218" t="s">
        <v>202</v>
      </c>
      <c r="C134" s="236" t="str">
        <f t="shared" si="1"/>
        <v>KB/0454/2025</v>
      </c>
      <c r="D134" s="218" t="b">
        <v>1</v>
      </c>
      <c r="E134" s="219" t="b">
        <v>0</v>
      </c>
      <c r="F134" s="219"/>
      <c r="G134" s="173"/>
      <c r="H134" s="157" t="s">
        <v>5886</v>
      </c>
      <c r="I134" s="157" t="s">
        <v>5473</v>
      </c>
      <c r="J134" s="157">
        <v>2025.0</v>
      </c>
    </row>
    <row r="135">
      <c r="A135" s="218">
        <f t="shared" si="2"/>
        <v>132</v>
      </c>
      <c r="B135" s="218" t="s">
        <v>202</v>
      </c>
      <c r="C135" s="236" t="str">
        <f t="shared" si="1"/>
        <v>KB/0455/2025</v>
      </c>
      <c r="D135" s="218" t="b">
        <v>1</v>
      </c>
      <c r="E135" s="219" t="b">
        <v>0</v>
      </c>
      <c r="F135" s="219"/>
      <c r="G135" s="173"/>
      <c r="H135" s="157" t="s">
        <v>5886</v>
      </c>
      <c r="I135" s="157" t="s">
        <v>5478</v>
      </c>
      <c r="J135" s="157">
        <v>2025.0</v>
      </c>
    </row>
    <row r="136">
      <c r="A136" s="218">
        <f t="shared" si="2"/>
        <v>133</v>
      </c>
      <c r="B136" s="218" t="s">
        <v>202</v>
      </c>
      <c r="C136" s="236" t="str">
        <f t="shared" si="1"/>
        <v>KB/0456/2025</v>
      </c>
      <c r="D136" s="218" t="b">
        <v>1</v>
      </c>
      <c r="E136" s="219" t="b">
        <v>0</v>
      </c>
      <c r="F136" s="219"/>
      <c r="G136" s="173"/>
      <c r="H136" s="157" t="s">
        <v>5886</v>
      </c>
      <c r="I136" s="157" t="s">
        <v>5484</v>
      </c>
      <c r="J136" s="157">
        <v>2025.0</v>
      </c>
    </row>
    <row r="137">
      <c r="A137" s="218">
        <f t="shared" si="2"/>
        <v>134</v>
      </c>
      <c r="B137" s="218" t="s">
        <v>202</v>
      </c>
      <c r="C137" s="236" t="str">
        <f t="shared" si="1"/>
        <v>KB/0457/2025</v>
      </c>
      <c r="D137" s="218" t="b">
        <v>1</v>
      </c>
      <c r="E137" s="219" t="b">
        <v>0</v>
      </c>
      <c r="F137" s="219"/>
      <c r="G137" s="173"/>
      <c r="H137" s="157" t="s">
        <v>5886</v>
      </c>
      <c r="I137" s="157" t="s">
        <v>5490</v>
      </c>
      <c r="J137" s="157">
        <v>2025.0</v>
      </c>
    </row>
    <row r="138">
      <c r="A138" s="218">
        <f t="shared" si="2"/>
        <v>135</v>
      </c>
      <c r="B138" s="218" t="s">
        <v>202</v>
      </c>
      <c r="C138" s="236" t="str">
        <f t="shared" si="1"/>
        <v>KB/0458/2025</v>
      </c>
      <c r="D138" s="218" t="b">
        <v>1</v>
      </c>
      <c r="E138" s="219" t="b">
        <v>0</v>
      </c>
      <c r="F138" s="219"/>
      <c r="G138" s="173"/>
      <c r="H138" s="157" t="s">
        <v>5886</v>
      </c>
      <c r="I138" s="157" t="s">
        <v>5497</v>
      </c>
      <c r="J138" s="157">
        <v>2025.0</v>
      </c>
    </row>
    <row r="139">
      <c r="A139" s="218">
        <f t="shared" si="2"/>
        <v>136</v>
      </c>
      <c r="B139" s="218" t="s">
        <v>202</v>
      </c>
      <c r="C139" s="236" t="str">
        <f t="shared" si="1"/>
        <v>KB/0459/2025</v>
      </c>
      <c r="D139" s="218" t="b">
        <v>1</v>
      </c>
      <c r="E139" s="219" t="b">
        <v>0</v>
      </c>
      <c r="F139" s="219"/>
      <c r="G139" s="173"/>
      <c r="H139" s="157" t="s">
        <v>5886</v>
      </c>
      <c r="I139" s="157" t="s">
        <v>5504</v>
      </c>
      <c r="J139" s="157">
        <v>2025.0</v>
      </c>
    </row>
    <row r="140">
      <c r="A140" s="218">
        <f t="shared" si="2"/>
        <v>137</v>
      </c>
      <c r="B140" s="218" t="s">
        <v>202</v>
      </c>
      <c r="C140" s="236" t="str">
        <f t="shared" si="1"/>
        <v>KB/0460/2025</v>
      </c>
      <c r="D140" s="218" t="b">
        <v>1</v>
      </c>
      <c r="E140" s="219" t="b">
        <v>0</v>
      </c>
      <c r="F140" s="219"/>
      <c r="G140" s="173"/>
      <c r="H140" s="157" t="s">
        <v>5886</v>
      </c>
      <c r="I140" s="157" t="s">
        <v>5510</v>
      </c>
      <c r="J140" s="157">
        <v>2025.0</v>
      </c>
    </row>
    <row r="141">
      <c r="A141" s="218">
        <f t="shared" si="2"/>
        <v>138</v>
      </c>
      <c r="B141" s="218" t="s">
        <v>202</v>
      </c>
      <c r="C141" s="236" t="str">
        <f t="shared" si="1"/>
        <v>KB/0461/2025</v>
      </c>
      <c r="D141" s="218" t="b">
        <v>1</v>
      </c>
      <c r="E141" s="219" t="b">
        <v>0</v>
      </c>
      <c r="F141" s="219"/>
      <c r="G141" s="173"/>
      <c r="H141" s="157" t="s">
        <v>5886</v>
      </c>
      <c r="I141" s="157" t="s">
        <v>5516</v>
      </c>
      <c r="J141" s="157">
        <v>2025.0</v>
      </c>
    </row>
    <row r="142">
      <c r="A142" s="218">
        <f t="shared" si="2"/>
        <v>139</v>
      </c>
      <c r="B142" s="218" t="s">
        <v>202</v>
      </c>
      <c r="C142" s="236" t="str">
        <f t="shared" si="1"/>
        <v>KB/0462/2025</v>
      </c>
      <c r="D142" s="218" t="b">
        <v>1</v>
      </c>
      <c r="E142" s="219" t="b">
        <v>0</v>
      </c>
      <c r="F142" s="219"/>
      <c r="G142" s="173"/>
      <c r="H142" s="157" t="s">
        <v>5886</v>
      </c>
      <c r="I142" s="157" t="s">
        <v>5517</v>
      </c>
      <c r="J142" s="157">
        <v>2025.0</v>
      </c>
    </row>
    <row r="143">
      <c r="A143" s="218">
        <f t="shared" si="2"/>
        <v>140</v>
      </c>
      <c r="B143" s="218" t="s">
        <v>202</v>
      </c>
      <c r="C143" s="236" t="str">
        <f t="shared" si="1"/>
        <v>KB/0463/2025</v>
      </c>
      <c r="D143" s="218" t="b">
        <v>1</v>
      </c>
      <c r="E143" s="219" t="b">
        <v>0</v>
      </c>
      <c r="F143" s="219"/>
      <c r="G143" s="173"/>
      <c r="H143" s="157" t="s">
        <v>5886</v>
      </c>
      <c r="I143" s="157" t="s">
        <v>5523</v>
      </c>
      <c r="J143" s="157">
        <v>2025.0</v>
      </c>
    </row>
    <row r="144">
      <c r="A144" s="218">
        <f t="shared" si="2"/>
        <v>141</v>
      </c>
      <c r="B144" s="218" t="s">
        <v>202</v>
      </c>
      <c r="C144" s="236" t="str">
        <f t="shared" si="1"/>
        <v>KB/0464/2025</v>
      </c>
      <c r="D144" s="218" t="b">
        <v>1</v>
      </c>
      <c r="E144" s="219" t="b">
        <v>0</v>
      </c>
      <c r="F144" s="219"/>
      <c r="G144" s="173"/>
      <c r="H144" s="157" t="s">
        <v>5886</v>
      </c>
      <c r="I144" s="157" t="s">
        <v>5527</v>
      </c>
      <c r="J144" s="157">
        <v>2025.0</v>
      </c>
    </row>
    <row r="145">
      <c r="A145" s="218">
        <f t="shared" si="2"/>
        <v>142</v>
      </c>
      <c r="B145" s="218" t="s">
        <v>202</v>
      </c>
      <c r="C145" s="236" t="str">
        <f t="shared" si="1"/>
        <v>KB/0465/2025</v>
      </c>
      <c r="D145" s="218" t="b">
        <v>1</v>
      </c>
      <c r="E145" s="219" t="b">
        <v>0</v>
      </c>
      <c r="F145" s="219"/>
      <c r="G145" s="173"/>
      <c r="H145" s="157" t="s">
        <v>5886</v>
      </c>
      <c r="I145" s="157" t="s">
        <v>5528</v>
      </c>
      <c r="J145" s="157">
        <v>2025.0</v>
      </c>
    </row>
    <row r="146">
      <c r="A146" s="218">
        <f t="shared" si="2"/>
        <v>143</v>
      </c>
      <c r="B146" s="218" t="s">
        <v>202</v>
      </c>
      <c r="C146" s="236" t="str">
        <f t="shared" si="1"/>
        <v>KB/0466/2025</v>
      </c>
      <c r="D146" s="218" t="b">
        <v>1</v>
      </c>
      <c r="E146" s="219" t="b">
        <v>0</v>
      </c>
      <c r="F146" s="219"/>
      <c r="G146" s="173"/>
      <c r="H146" s="157" t="s">
        <v>5886</v>
      </c>
      <c r="I146" s="157" t="s">
        <v>5529</v>
      </c>
      <c r="J146" s="157">
        <v>2025.0</v>
      </c>
    </row>
    <row r="147">
      <c r="A147" s="218">
        <f t="shared" si="2"/>
        <v>144</v>
      </c>
      <c r="B147" s="218" t="s">
        <v>202</v>
      </c>
      <c r="C147" s="236" t="str">
        <f t="shared" si="1"/>
        <v>KB/0467/2025</v>
      </c>
      <c r="D147" s="218" t="b">
        <v>1</v>
      </c>
      <c r="E147" s="219" t="b">
        <v>0</v>
      </c>
      <c r="F147" s="219"/>
      <c r="G147" s="173"/>
      <c r="H147" s="157" t="s">
        <v>5886</v>
      </c>
      <c r="I147" s="157" t="s">
        <v>5530</v>
      </c>
      <c r="J147" s="157">
        <v>2025.0</v>
      </c>
    </row>
    <row r="148">
      <c r="A148" s="218">
        <f t="shared" si="2"/>
        <v>145</v>
      </c>
      <c r="B148" s="218" t="s">
        <v>202</v>
      </c>
      <c r="C148" s="236" t="str">
        <f t="shared" si="1"/>
        <v>KB/0468/2025</v>
      </c>
      <c r="D148" s="218" t="b">
        <v>1</v>
      </c>
      <c r="E148" s="219" t="b">
        <v>0</v>
      </c>
      <c r="F148" s="219"/>
      <c r="G148" s="173"/>
      <c r="H148" s="157" t="s">
        <v>5886</v>
      </c>
      <c r="I148" s="157" t="s">
        <v>5531</v>
      </c>
      <c r="J148" s="157">
        <v>2025.0</v>
      </c>
    </row>
    <row r="149">
      <c r="A149" s="218">
        <f t="shared" si="2"/>
        <v>146</v>
      </c>
      <c r="B149" s="218" t="s">
        <v>202</v>
      </c>
      <c r="C149" s="236" t="str">
        <f t="shared" si="1"/>
        <v>KB/0469/2025</v>
      </c>
      <c r="D149" s="218" t="b">
        <v>1</v>
      </c>
      <c r="E149" s="219" t="b">
        <v>0</v>
      </c>
      <c r="F149" s="219"/>
      <c r="G149" s="173"/>
      <c r="H149" s="157" t="s">
        <v>5886</v>
      </c>
      <c r="I149" s="157" t="s">
        <v>5532</v>
      </c>
      <c r="J149" s="157">
        <v>2025.0</v>
      </c>
    </row>
    <row r="150">
      <c r="A150" s="218">
        <f t="shared" si="2"/>
        <v>147</v>
      </c>
      <c r="B150" s="218" t="s">
        <v>202</v>
      </c>
      <c r="C150" s="236" t="str">
        <f t="shared" si="1"/>
        <v>KB/0470/2025</v>
      </c>
      <c r="D150" s="218" t="b">
        <v>1</v>
      </c>
      <c r="E150" s="219" t="b">
        <v>0</v>
      </c>
      <c r="F150" s="219"/>
      <c r="G150" s="173"/>
      <c r="H150" s="157" t="s">
        <v>5886</v>
      </c>
      <c r="I150" s="157" t="s">
        <v>5533</v>
      </c>
      <c r="J150" s="157">
        <v>2025.0</v>
      </c>
    </row>
    <row r="151">
      <c r="A151" s="218">
        <f t="shared" si="2"/>
        <v>148</v>
      </c>
      <c r="B151" s="218" t="s">
        <v>202</v>
      </c>
      <c r="C151" s="236" t="str">
        <f t="shared" si="1"/>
        <v>KB/0471/2025</v>
      </c>
      <c r="D151" s="218" t="b">
        <v>1</v>
      </c>
      <c r="E151" s="219" t="b">
        <v>0</v>
      </c>
      <c r="F151" s="219"/>
      <c r="G151" s="173"/>
      <c r="H151" s="157" t="s">
        <v>5886</v>
      </c>
      <c r="I151" s="157" t="s">
        <v>5534</v>
      </c>
      <c r="J151" s="157">
        <v>2025.0</v>
      </c>
    </row>
    <row r="152">
      <c r="A152" s="218">
        <f t="shared" si="2"/>
        <v>149</v>
      </c>
      <c r="B152" s="218" t="s">
        <v>202</v>
      </c>
      <c r="C152" s="236" t="str">
        <f t="shared" si="1"/>
        <v>KB/0472/2025</v>
      </c>
      <c r="D152" s="218" t="b">
        <v>1</v>
      </c>
      <c r="E152" s="219" t="b">
        <v>0</v>
      </c>
      <c r="F152" s="219"/>
      <c r="G152" s="173"/>
      <c r="H152" s="157" t="s">
        <v>5886</v>
      </c>
      <c r="I152" s="157" t="s">
        <v>5535</v>
      </c>
      <c r="J152" s="157">
        <v>2025.0</v>
      </c>
    </row>
    <row r="153">
      <c r="A153" s="218">
        <f t="shared" si="2"/>
        <v>150</v>
      </c>
      <c r="B153" s="218" t="s">
        <v>202</v>
      </c>
      <c r="C153" s="236" t="str">
        <f t="shared" si="1"/>
        <v>KB/0473/2025</v>
      </c>
      <c r="D153" s="218" t="b">
        <v>1</v>
      </c>
      <c r="E153" s="219" t="b">
        <v>0</v>
      </c>
      <c r="F153" s="219"/>
      <c r="G153" s="173"/>
      <c r="H153" s="157" t="s">
        <v>5886</v>
      </c>
      <c r="I153" s="157" t="s">
        <v>5536</v>
      </c>
      <c r="J153" s="157">
        <v>2025.0</v>
      </c>
    </row>
    <row r="154">
      <c r="A154" s="218">
        <f t="shared" si="2"/>
        <v>151</v>
      </c>
      <c r="B154" s="222" t="s">
        <v>202</v>
      </c>
      <c r="C154" s="224" t="str">
        <f t="shared" si="1"/>
        <v>KB/0474/2025</v>
      </c>
      <c r="D154" s="222" t="b">
        <v>1</v>
      </c>
      <c r="E154" s="224" t="b">
        <v>0</v>
      </c>
      <c r="F154" s="224"/>
      <c r="G154" s="225"/>
      <c r="H154" s="226" t="s">
        <v>5886</v>
      </c>
      <c r="I154" s="226" t="s">
        <v>5537</v>
      </c>
      <c r="J154" s="226">
        <v>2025.0</v>
      </c>
      <c r="K154" s="227" t="s">
        <v>4861</v>
      </c>
    </row>
    <row r="155">
      <c r="A155" s="218">
        <f t="shared" si="2"/>
        <v>152</v>
      </c>
      <c r="B155" s="218" t="s">
        <v>202</v>
      </c>
      <c r="C155" s="236" t="str">
        <f t="shared" si="1"/>
        <v>KB/0475/2025</v>
      </c>
      <c r="D155" s="218" t="b">
        <v>1</v>
      </c>
      <c r="E155" s="219" t="b">
        <v>0</v>
      </c>
      <c r="F155" s="219"/>
      <c r="G155" s="173"/>
      <c r="H155" s="157" t="s">
        <v>5886</v>
      </c>
      <c r="I155" s="157" t="s">
        <v>5538</v>
      </c>
      <c r="J155" s="157">
        <v>2025.0</v>
      </c>
    </row>
    <row r="156">
      <c r="A156" s="218">
        <f t="shared" si="2"/>
        <v>153</v>
      </c>
      <c r="B156" s="218" t="s">
        <v>202</v>
      </c>
      <c r="C156" s="236" t="str">
        <f t="shared" si="1"/>
        <v>KB/0476/2025</v>
      </c>
      <c r="D156" s="218" t="b">
        <v>1</v>
      </c>
      <c r="E156" s="219" t="b">
        <v>0</v>
      </c>
      <c r="F156" s="219"/>
      <c r="G156" s="173"/>
      <c r="H156" s="157" t="s">
        <v>5886</v>
      </c>
      <c r="I156" s="157" t="s">
        <v>5539</v>
      </c>
      <c r="J156" s="157">
        <v>2025.0</v>
      </c>
    </row>
    <row r="157">
      <c r="A157" s="218">
        <f t="shared" si="2"/>
        <v>154</v>
      </c>
      <c r="B157" s="218" t="s">
        <v>202</v>
      </c>
      <c r="C157" s="236" t="str">
        <f t="shared" si="1"/>
        <v>KB/0477/2025</v>
      </c>
      <c r="D157" s="218" t="b">
        <v>1</v>
      </c>
      <c r="E157" s="219" t="b">
        <v>0</v>
      </c>
      <c r="F157" s="219"/>
      <c r="G157" s="173"/>
      <c r="H157" s="157" t="s">
        <v>5886</v>
      </c>
      <c r="I157" s="157" t="s">
        <v>5540</v>
      </c>
      <c r="J157" s="157">
        <v>2025.0</v>
      </c>
    </row>
    <row r="158">
      <c r="A158" s="218">
        <f t="shared" si="2"/>
        <v>155</v>
      </c>
      <c r="B158" s="218" t="s">
        <v>202</v>
      </c>
      <c r="C158" s="236" t="str">
        <f t="shared" si="1"/>
        <v>KB/0478/2025</v>
      </c>
      <c r="D158" s="218" t="b">
        <v>1</v>
      </c>
      <c r="E158" s="219" t="b">
        <v>0</v>
      </c>
      <c r="F158" s="219"/>
      <c r="G158" s="173"/>
      <c r="H158" s="157" t="s">
        <v>5886</v>
      </c>
      <c r="I158" s="157" t="s">
        <v>5541</v>
      </c>
      <c r="J158" s="157">
        <v>2025.0</v>
      </c>
    </row>
    <row r="159">
      <c r="A159" s="218">
        <f t="shared" si="2"/>
        <v>156</v>
      </c>
      <c r="B159" s="218" t="s">
        <v>202</v>
      </c>
      <c r="C159" s="236" t="str">
        <f t="shared" si="1"/>
        <v>KB/0479/2025</v>
      </c>
      <c r="D159" s="218" t="b">
        <v>1</v>
      </c>
      <c r="E159" s="219" t="b">
        <v>0</v>
      </c>
      <c r="F159" s="219"/>
      <c r="G159" s="173"/>
      <c r="H159" s="157" t="s">
        <v>5886</v>
      </c>
      <c r="I159" s="157" t="s">
        <v>5542</v>
      </c>
      <c r="J159" s="157">
        <v>2025.0</v>
      </c>
    </row>
    <row r="160">
      <c r="A160" s="218">
        <f t="shared" si="2"/>
        <v>157</v>
      </c>
      <c r="B160" s="218" t="s">
        <v>202</v>
      </c>
      <c r="C160" s="236" t="str">
        <f t="shared" si="1"/>
        <v>KB/0480/2025</v>
      </c>
      <c r="D160" s="218" t="b">
        <v>1</v>
      </c>
      <c r="E160" s="219" t="b">
        <v>0</v>
      </c>
      <c r="F160" s="219"/>
      <c r="G160" s="173"/>
      <c r="H160" s="157" t="s">
        <v>5886</v>
      </c>
      <c r="I160" s="157" t="s">
        <v>5543</v>
      </c>
      <c r="J160" s="157">
        <v>2025.0</v>
      </c>
    </row>
    <row r="161">
      <c r="A161" s="218">
        <f t="shared" si="2"/>
        <v>158</v>
      </c>
      <c r="B161" s="218" t="s">
        <v>202</v>
      </c>
      <c r="C161" s="236" t="str">
        <f t="shared" si="1"/>
        <v>KB/0481/2025</v>
      </c>
      <c r="D161" s="218" t="b">
        <v>1</v>
      </c>
      <c r="E161" s="219" t="b">
        <v>0</v>
      </c>
      <c r="F161" s="219"/>
      <c r="G161" s="173"/>
      <c r="H161" s="157" t="s">
        <v>5886</v>
      </c>
      <c r="I161" s="157" t="s">
        <v>5544</v>
      </c>
      <c r="J161" s="157">
        <v>2025.0</v>
      </c>
    </row>
    <row r="162">
      <c r="A162" s="218">
        <f t="shared" si="2"/>
        <v>159</v>
      </c>
      <c r="B162" s="218" t="s">
        <v>202</v>
      </c>
      <c r="C162" s="236" t="str">
        <f t="shared" si="1"/>
        <v>KB/0482/2025</v>
      </c>
      <c r="D162" s="218" t="b">
        <v>1</v>
      </c>
      <c r="E162" s="219" t="b">
        <v>0</v>
      </c>
      <c r="F162" s="234">
        <v>45867.0</v>
      </c>
      <c r="G162" s="173"/>
      <c r="H162" s="157" t="s">
        <v>5886</v>
      </c>
      <c r="I162" s="157" t="s">
        <v>5545</v>
      </c>
      <c r="J162" s="157">
        <v>2025.0</v>
      </c>
    </row>
    <row r="163">
      <c r="A163" s="218">
        <f t="shared" si="2"/>
        <v>160</v>
      </c>
      <c r="B163" s="218" t="s">
        <v>202</v>
      </c>
      <c r="C163" s="236" t="str">
        <f t="shared" si="1"/>
        <v>KB/0483/2025</v>
      </c>
      <c r="D163" s="218" t="b">
        <v>1</v>
      </c>
      <c r="E163" s="219" t="b">
        <v>0</v>
      </c>
      <c r="F163" s="234">
        <v>45867.0</v>
      </c>
      <c r="G163" s="173"/>
      <c r="H163" s="157" t="s">
        <v>5886</v>
      </c>
      <c r="I163" s="157" t="s">
        <v>5546</v>
      </c>
      <c r="J163" s="157">
        <v>2025.0</v>
      </c>
    </row>
    <row r="164">
      <c r="A164" s="218">
        <f t="shared" si="2"/>
        <v>161</v>
      </c>
      <c r="B164" s="218" t="s">
        <v>202</v>
      </c>
      <c r="C164" s="236" t="str">
        <f t="shared" si="1"/>
        <v>KB/0484/2025</v>
      </c>
      <c r="D164" s="218" t="b">
        <v>1</v>
      </c>
      <c r="E164" s="219" t="b">
        <v>0</v>
      </c>
      <c r="F164" s="219"/>
      <c r="G164" s="173"/>
      <c r="H164" s="157" t="s">
        <v>5886</v>
      </c>
      <c r="I164" s="157" t="s">
        <v>5547</v>
      </c>
      <c r="J164" s="157">
        <v>2025.0</v>
      </c>
    </row>
    <row r="165">
      <c r="A165" s="218">
        <f t="shared" si="2"/>
        <v>162</v>
      </c>
      <c r="B165" s="218" t="s">
        <v>202</v>
      </c>
      <c r="C165" s="236" t="str">
        <f t="shared" si="1"/>
        <v>KB/0485/2025</v>
      </c>
      <c r="D165" s="218" t="b">
        <v>1</v>
      </c>
      <c r="E165" s="219" t="b">
        <v>0</v>
      </c>
      <c r="F165" s="219"/>
      <c r="G165" s="173"/>
      <c r="H165" s="157" t="s">
        <v>5886</v>
      </c>
      <c r="I165" s="157" t="s">
        <v>5548</v>
      </c>
      <c r="J165" s="157">
        <v>2025.0</v>
      </c>
    </row>
    <row r="166">
      <c r="A166" s="218">
        <f t="shared" si="2"/>
        <v>163</v>
      </c>
      <c r="B166" s="218" t="s">
        <v>202</v>
      </c>
      <c r="C166" s="236" t="str">
        <f t="shared" si="1"/>
        <v>KB/0486/2025</v>
      </c>
      <c r="D166" s="218" t="b">
        <v>1</v>
      </c>
      <c r="E166" s="219" t="b">
        <v>0</v>
      </c>
      <c r="F166" s="219"/>
      <c r="G166" s="173"/>
      <c r="H166" s="157" t="s">
        <v>5886</v>
      </c>
      <c r="I166" s="157" t="s">
        <v>5549</v>
      </c>
      <c r="J166" s="157">
        <v>2025.0</v>
      </c>
    </row>
    <row r="167">
      <c r="A167" s="218">
        <f t="shared" si="2"/>
        <v>164</v>
      </c>
      <c r="B167" s="218" t="s">
        <v>202</v>
      </c>
      <c r="C167" s="236" t="str">
        <f t="shared" si="1"/>
        <v>KB/0487/2025</v>
      </c>
      <c r="D167" s="218" t="b">
        <v>1</v>
      </c>
      <c r="E167" s="219" t="b">
        <v>0</v>
      </c>
      <c r="F167" s="234">
        <v>45867.0</v>
      </c>
      <c r="G167" s="173"/>
      <c r="H167" s="157" t="s">
        <v>5886</v>
      </c>
      <c r="I167" s="157" t="s">
        <v>5550</v>
      </c>
      <c r="J167" s="157">
        <v>2025.0</v>
      </c>
    </row>
    <row r="168">
      <c r="A168" s="218">
        <f t="shared" si="2"/>
        <v>165</v>
      </c>
      <c r="B168" s="218" t="s">
        <v>202</v>
      </c>
      <c r="C168" s="236" t="str">
        <f t="shared" si="1"/>
        <v>KB/0488/2025</v>
      </c>
      <c r="D168" s="218" t="b">
        <v>1</v>
      </c>
      <c r="E168" s="219" t="b">
        <v>0</v>
      </c>
      <c r="F168" s="234">
        <v>45867.0</v>
      </c>
      <c r="G168" s="173"/>
      <c r="H168" s="157" t="s">
        <v>5886</v>
      </c>
      <c r="I168" s="157" t="s">
        <v>5551</v>
      </c>
      <c r="J168" s="157">
        <v>2025.0</v>
      </c>
    </row>
    <row r="169">
      <c r="A169" s="218">
        <f t="shared" si="2"/>
        <v>166</v>
      </c>
      <c r="B169" s="218" t="s">
        <v>202</v>
      </c>
      <c r="C169" s="236" t="str">
        <f t="shared" si="1"/>
        <v>KB/0489/2025</v>
      </c>
      <c r="D169" s="218" t="b">
        <v>1</v>
      </c>
      <c r="E169" s="219" t="b">
        <v>0</v>
      </c>
      <c r="F169" s="234">
        <v>45867.0</v>
      </c>
      <c r="G169" s="173"/>
      <c r="H169" s="157" t="s">
        <v>5886</v>
      </c>
      <c r="I169" s="157" t="s">
        <v>5552</v>
      </c>
      <c r="J169" s="157">
        <v>2025.0</v>
      </c>
    </row>
    <row r="170">
      <c r="A170" s="218">
        <f t="shared" si="2"/>
        <v>167</v>
      </c>
      <c r="B170" s="218" t="s">
        <v>202</v>
      </c>
      <c r="C170" s="236" t="str">
        <f t="shared" si="1"/>
        <v>KB/0490/2025</v>
      </c>
      <c r="D170" s="218" t="b">
        <v>1</v>
      </c>
      <c r="E170" s="219" t="b">
        <v>0</v>
      </c>
      <c r="F170" s="234">
        <v>45867.0</v>
      </c>
      <c r="G170" s="173"/>
      <c r="H170" s="157" t="s">
        <v>5886</v>
      </c>
      <c r="I170" s="157" t="s">
        <v>5553</v>
      </c>
      <c r="J170" s="157">
        <v>2025.0</v>
      </c>
    </row>
    <row r="171">
      <c r="A171" s="218">
        <f t="shared" si="2"/>
        <v>168</v>
      </c>
      <c r="B171" s="218" t="s">
        <v>202</v>
      </c>
      <c r="C171" s="236" t="str">
        <f t="shared" si="1"/>
        <v>KB/0491/2025</v>
      </c>
      <c r="D171" s="218" t="b">
        <v>1</v>
      </c>
      <c r="E171" s="219" t="b">
        <v>0</v>
      </c>
      <c r="F171" s="234">
        <v>45867.0</v>
      </c>
      <c r="G171" s="173"/>
      <c r="H171" s="157" t="s">
        <v>5886</v>
      </c>
      <c r="I171" s="157" t="s">
        <v>5554</v>
      </c>
      <c r="J171" s="157">
        <v>2025.0</v>
      </c>
    </row>
    <row r="172">
      <c r="A172" s="218">
        <f t="shared" si="2"/>
        <v>169</v>
      </c>
      <c r="B172" s="218" t="s">
        <v>202</v>
      </c>
      <c r="C172" s="236" t="str">
        <f t="shared" si="1"/>
        <v>KB/0492/2025</v>
      </c>
      <c r="D172" s="218" t="b">
        <v>1</v>
      </c>
      <c r="E172" s="219" t="b">
        <v>0</v>
      </c>
      <c r="F172" s="234">
        <v>45867.0</v>
      </c>
      <c r="G172" s="173"/>
      <c r="H172" s="157" t="s">
        <v>5886</v>
      </c>
      <c r="I172" s="157" t="s">
        <v>5555</v>
      </c>
      <c r="J172" s="157">
        <v>2025.0</v>
      </c>
    </row>
    <row r="173">
      <c r="A173" s="218">
        <f t="shared" si="2"/>
        <v>170</v>
      </c>
      <c r="B173" s="218" t="s">
        <v>202</v>
      </c>
      <c r="C173" s="236" t="str">
        <f t="shared" si="1"/>
        <v>KB/0493/2025</v>
      </c>
      <c r="D173" s="218" t="b">
        <v>1</v>
      </c>
      <c r="E173" s="219" t="b">
        <v>0</v>
      </c>
      <c r="F173" s="234">
        <v>45867.0</v>
      </c>
      <c r="G173" s="173"/>
      <c r="H173" s="157" t="s">
        <v>5886</v>
      </c>
      <c r="I173" s="157" t="s">
        <v>5556</v>
      </c>
      <c r="J173" s="157">
        <v>2025.0</v>
      </c>
    </row>
    <row r="174">
      <c r="A174" s="218">
        <f t="shared" si="2"/>
        <v>171</v>
      </c>
      <c r="B174" s="218" t="s">
        <v>202</v>
      </c>
      <c r="C174" s="236" t="str">
        <f t="shared" si="1"/>
        <v>KB/0494/2025</v>
      </c>
      <c r="D174" s="218" t="b">
        <v>1</v>
      </c>
      <c r="E174" s="219" t="b">
        <v>0</v>
      </c>
      <c r="F174" s="234">
        <v>45867.0</v>
      </c>
      <c r="G174" s="173"/>
      <c r="H174" s="157" t="s">
        <v>5886</v>
      </c>
      <c r="I174" s="157" t="s">
        <v>5557</v>
      </c>
      <c r="J174" s="157">
        <v>2025.0</v>
      </c>
    </row>
    <row r="175">
      <c r="A175" s="218">
        <f t="shared" si="2"/>
        <v>172</v>
      </c>
      <c r="B175" s="218" t="s">
        <v>202</v>
      </c>
      <c r="C175" s="236" t="str">
        <f t="shared" si="1"/>
        <v>KB/0495/2025</v>
      </c>
      <c r="D175" s="218" t="b">
        <v>1</v>
      </c>
      <c r="E175" s="219" t="b">
        <v>0</v>
      </c>
      <c r="F175" s="234">
        <v>45867.0</v>
      </c>
      <c r="G175" s="173"/>
      <c r="H175" s="157" t="s">
        <v>5886</v>
      </c>
      <c r="I175" s="157" t="s">
        <v>5558</v>
      </c>
      <c r="J175" s="157">
        <v>2025.0</v>
      </c>
    </row>
    <row r="176">
      <c r="A176" s="218">
        <f t="shared" si="2"/>
        <v>173</v>
      </c>
      <c r="B176" s="218" t="s">
        <v>202</v>
      </c>
      <c r="C176" s="236" t="str">
        <f t="shared" si="1"/>
        <v>KB/0496/2025</v>
      </c>
      <c r="D176" s="218" t="b">
        <v>1</v>
      </c>
      <c r="E176" s="219" t="b">
        <v>0</v>
      </c>
      <c r="F176" s="234">
        <v>45867.0</v>
      </c>
      <c r="G176" s="173"/>
      <c r="H176" s="157" t="s">
        <v>5886</v>
      </c>
      <c r="I176" s="157" t="s">
        <v>5559</v>
      </c>
      <c r="J176" s="157">
        <v>2025.0</v>
      </c>
    </row>
    <row r="177">
      <c r="A177" s="218">
        <f t="shared" si="2"/>
        <v>174</v>
      </c>
      <c r="B177" s="218" t="s">
        <v>202</v>
      </c>
      <c r="C177" s="236" t="str">
        <f t="shared" si="1"/>
        <v>KB/0497/2025</v>
      </c>
      <c r="D177" s="218" t="b">
        <v>1</v>
      </c>
      <c r="E177" s="219" t="b">
        <v>0</v>
      </c>
      <c r="F177" s="234">
        <v>45867.0</v>
      </c>
      <c r="G177" s="173"/>
      <c r="H177" s="157" t="s">
        <v>5886</v>
      </c>
      <c r="I177" s="157" t="s">
        <v>5560</v>
      </c>
      <c r="J177" s="157">
        <v>2025.0</v>
      </c>
    </row>
    <row r="178">
      <c r="A178" s="218">
        <f t="shared" si="2"/>
        <v>175</v>
      </c>
      <c r="B178" s="222" t="s">
        <v>202</v>
      </c>
      <c r="C178" s="224" t="str">
        <f t="shared" si="1"/>
        <v>KB/0498/2025</v>
      </c>
      <c r="D178" s="222" t="b">
        <v>1</v>
      </c>
      <c r="E178" s="222" t="b">
        <v>0</v>
      </c>
      <c r="F178" s="238">
        <v>45867.0</v>
      </c>
      <c r="G178" s="225"/>
      <c r="H178" s="226" t="s">
        <v>5886</v>
      </c>
      <c r="I178" s="226" t="s">
        <v>5561</v>
      </c>
      <c r="J178" s="226">
        <v>2025.0</v>
      </c>
      <c r="K178" s="119"/>
    </row>
    <row r="179">
      <c r="A179" s="218">
        <f t="shared" si="2"/>
        <v>176</v>
      </c>
      <c r="B179" s="218" t="s">
        <v>202</v>
      </c>
      <c r="C179" s="236" t="str">
        <f t="shared" si="1"/>
        <v>KB/0499/2025</v>
      </c>
      <c r="D179" s="218" t="b">
        <v>1</v>
      </c>
      <c r="E179" s="219" t="b">
        <v>0</v>
      </c>
      <c r="F179" s="219"/>
      <c r="G179" s="173"/>
      <c r="H179" s="157" t="s">
        <v>5886</v>
      </c>
      <c r="I179" s="157" t="s">
        <v>5562</v>
      </c>
      <c r="J179" s="157">
        <v>2025.0</v>
      </c>
    </row>
    <row r="180">
      <c r="A180" s="218">
        <f t="shared" si="2"/>
        <v>177</v>
      </c>
      <c r="B180" s="218" t="s">
        <v>202</v>
      </c>
      <c r="C180" s="236" t="str">
        <f t="shared" si="1"/>
        <v>KB/0500/2025</v>
      </c>
      <c r="D180" s="218" t="b">
        <v>1</v>
      </c>
      <c r="E180" s="219" t="b">
        <v>0</v>
      </c>
      <c r="F180" s="219"/>
      <c r="G180" s="173"/>
      <c r="H180" s="157" t="s">
        <v>5886</v>
      </c>
      <c r="I180" s="157" t="s">
        <v>5563</v>
      </c>
      <c r="J180" s="157">
        <v>2025.0</v>
      </c>
    </row>
    <row r="181">
      <c r="A181" s="218">
        <f t="shared" si="2"/>
        <v>178</v>
      </c>
      <c r="B181" s="218" t="s">
        <v>202</v>
      </c>
      <c r="C181" s="236" t="str">
        <f t="shared" si="1"/>
        <v>KB/0501/2025</v>
      </c>
      <c r="D181" s="218" t="b">
        <v>1</v>
      </c>
      <c r="E181" s="219" t="b">
        <v>0</v>
      </c>
      <c r="F181" s="219"/>
      <c r="G181" s="173"/>
      <c r="H181" s="157" t="s">
        <v>5886</v>
      </c>
      <c r="I181" s="157" t="s">
        <v>5564</v>
      </c>
      <c r="J181" s="157">
        <v>2025.0</v>
      </c>
    </row>
    <row r="182">
      <c r="A182" s="218">
        <f t="shared" si="2"/>
        <v>179</v>
      </c>
      <c r="B182" s="218" t="s">
        <v>202</v>
      </c>
      <c r="C182" s="236" t="str">
        <f t="shared" si="1"/>
        <v>KB/0502/2025</v>
      </c>
      <c r="D182" s="218" t="b">
        <v>1</v>
      </c>
      <c r="E182" s="219" t="b">
        <v>0</v>
      </c>
      <c r="F182" s="219"/>
      <c r="G182" s="173"/>
      <c r="H182" s="157" t="s">
        <v>5886</v>
      </c>
      <c r="I182" s="157" t="s">
        <v>5565</v>
      </c>
      <c r="J182" s="157">
        <v>2025.0</v>
      </c>
    </row>
    <row r="183">
      <c r="A183" s="218">
        <f t="shared" si="2"/>
        <v>180</v>
      </c>
      <c r="B183" s="218" t="s">
        <v>202</v>
      </c>
      <c r="C183" s="236" t="str">
        <f t="shared" si="1"/>
        <v>KB/0503/2025</v>
      </c>
      <c r="D183" s="218" t="b">
        <v>1</v>
      </c>
      <c r="E183" s="219" t="b">
        <v>0</v>
      </c>
      <c r="F183" s="219"/>
      <c r="G183" s="173"/>
      <c r="H183" s="157" t="s">
        <v>5886</v>
      </c>
      <c r="I183" s="157" t="s">
        <v>5566</v>
      </c>
      <c r="J183" s="157">
        <v>2025.0</v>
      </c>
    </row>
    <row r="184">
      <c r="A184" s="218">
        <f t="shared" si="2"/>
        <v>181</v>
      </c>
      <c r="B184" s="218" t="s">
        <v>202</v>
      </c>
      <c r="C184" s="236" t="str">
        <f t="shared" si="1"/>
        <v>KB/0504/2025</v>
      </c>
      <c r="D184" s="218" t="b">
        <v>1</v>
      </c>
      <c r="E184" s="219" t="b">
        <v>0</v>
      </c>
      <c r="F184" s="219"/>
      <c r="G184" s="173"/>
      <c r="H184" s="157" t="s">
        <v>5886</v>
      </c>
      <c r="I184" s="157" t="s">
        <v>5567</v>
      </c>
      <c r="J184" s="157">
        <v>2025.0</v>
      </c>
    </row>
    <row r="185">
      <c r="A185" s="218">
        <f t="shared" si="2"/>
        <v>182</v>
      </c>
      <c r="B185" s="218" t="s">
        <v>202</v>
      </c>
      <c r="C185" s="236" t="str">
        <f t="shared" si="1"/>
        <v>KB/0505/2025</v>
      </c>
      <c r="D185" s="218" t="b">
        <v>1</v>
      </c>
      <c r="E185" s="219" t="b">
        <v>0</v>
      </c>
      <c r="F185" s="219"/>
      <c r="G185" s="173"/>
      <c r="H185" s="157" t="s">
        <v>5886</v>
      </c>
      <c r="I185" s="157" t="s">
        <v>5568</v>
      </c>
      <c r="J185" s="157">
        <v>2025.0</v>
      </c>
    </row>
    <row r="186">
      <c r="A186" s="218">
        <f t="shared" si="2"/>
        <v>183</v>
      </c>
      <c r="B186" s="218" t="s">
        <v>202</v>
      </c>
      <c r="C186" s="236" t="str">
        <f t="shared" si="1"/>
        <v>KB/0506/2025</v>
      </c>
      <c r="D186" s="218" t="b">
        <v>1</v>
      </c>
      <c r="E186" s="219" t="b">
        <v>0</v>
      </c>
      <c r="F186" s="219"/>
      <c r="G186" s="173"/>
      <c r="H186" s="157" t="s">
        <v>5886</v>
      </c>
      <c r="I186" s="157" t="s">
        <v>5569</v>
      </c>
      <c r="J186" s="157">
        <v>2025.0</v>
      </c>
    </row>
    <row r="187">
      <c r="A187" s="218">
        <f t="shared" si="2"/>
        <v>184</v>
      </c>
      <c r="B187" s="218" t="s">
        <v>202</v>
      </c>
      <c r="C187" s="236" t="str">
        <f t="shared" si="1"/>
        <v>KB/0507/2025</v>
      </c>
      <c r="D187" s="218" t="b">
        <v>1</v>
      </c>
      <c r="E187" s="219" t="b">
        <v>0</v>
      </c>
      <c r="F187" s="219"/>
      <c r="G187" s="173"/>
      <c r="H187" s="157" t="s">
        <v>5886</v>
      </c>
      <c r="I187" s="157" t="s">
        <v>5570</v>
      </c>
      <c r="J187" s="157">
        <v>2025.0</v>
      </c>
    </row>
    <row r="188">
      <c r="A188" s="218">
        <f t="shared" si="2"/>
        <v>185</v>
      </c>
      <c r="B188" s="218" t="s">
        <v>202</v>
      </c>
      <c r="C188" s="236" t="str">
        <f t="shared" si="1"/>
        <v>KB/0508/2025</v>
      </c>
      <c r="D188" s="218" t="b">
        <v>1</v>
      </c>
      <c r="E188" s="219" t="b">
        <v>0</v>
      </c>
      <c r="F188" s="219"/>
      <c r="G188" s="173"/>
      <c r="H188" s="157" t="s">
        <v>5886</v>
      </c>
      <c r="I188" s="157" t="s">
        <v>5571</v>
      </c>
      <c r="J188" s="157">
        <v>2025.0</v>
      </c>
    </row>
    <row r="189">
      <c r="A189" s="218">
        <f t="shared" si="2"/>
        <v>186</v>
      </c>
      <c r="B189" s="218" t="s">
        <v>202</v>
      </c>
      <c r="C189" s="236" t="str">
        <f t="shared" si="1"/>
        <v>KB/0509/2025</v>
      </c>
      <c r="D189" s="218" t="b">
        <v>1</v>
      </c>
      <c r="E189" s="219" t="b">
        <v>0</v>
      </c>
      <c r="F189" s="219"/>
      <c r="G189" s="173"/>
      <c r="H189" s="157" t="s">
        <v>5886</v>
      </c>
      <c r="I189" s="157" t="s">
        <v>5572</v>
      </c>
      <c r="J189" s="157">
        <v>2025.0</v>
      </c>
    </row>
    <row r="190">
      <c r="A190" s="218">
        <f t="shared" si="2"/>
        <v>187</v>
      </c>
      <c r="B190" s="218" t="s">
        <v>202</v>
      </c>
      <c r="C190" s="236" t="str">
        <f t="shared" si="1"/>
        <v>KB/0510/2025</v>
      </c>
      <c r="D190" s="218" t="b">
        <v>1</v>
      </c>
      <c r="E190" s="219" t="b">
        <v>0</v>
      </c>
      <c r="F190" s="219"/>
      <c r="G190" s="173"/>
      <c r="H190" s="157" t="s">
        <v>5886</v>
      </c>
      <c r="I190" s="157" t="s">
        <v>5573</v>
      </c>
      <c r="J190" s="157">
        <v>2025.0</v>
      </c>
    </row>
    <row r="191">
      <c r="A191" s="218">
        <f t="shared" si="2"/>
        <v>188</v>
      </c>
      <c r="B191" s="218" t="s">
        <v>202</v>
      </c>
      <c r="C191" s="236" t="str">
        <f t="shared" si="1"/>
        <v>KB/0511/2025</v>
      </c>
      <c r="D191" s="218" t="b">
        <v>1</v>
      </c>
      <c r="E191" s="219" t="b">
        <v>0</v>
      </c>
      <c r="F191" s="219"/>
      <c r="G191" s="173"/>
      <c r="H191" s="157" t="s">
        <v>5886</v>
      </c>
      <c r="I191" s="157" t="s">
        <v>5574</v>
      </c>
      <c r="J191" s="157">
        <v>2025.0</v>
      </c>
    </row>
    <row r="192">
      <c r="A192" s="218">
        <f t="shared" si="2"/>
        <v>189</v>
      </c>
      <c r="B192" s="218" t="s">
        <v>202</v>
      </c>
      <c r="C192" s="236" t="str">
        <f t="shared" si="1"/>
        <v>KB/0512/2025</v>
      </c>
      <c r="D192" s="218" t="b">
        <v>1</v>
      </c>
      <c r="E192" s="219" t="b">
        <v>0</v>
      </c>
      <c r="F192" s="219"/>
      <c r="G192" s="173"/>
      <c r="H192" s="157" t="s">
        <v>5886</v>
      </c>
      <c r="I192" s="157" t="s">
        <v>5575</v>
      </c>
      <c r="J192" s="157">
        <v>2025.0</v>
      </c>
    </row>
    <row r="193">
      <c r="A193" s="218">
        <f t="shared" si="2"/>
        <v>190</v>
      </c>
      <c r="B193" s="218" t="s">
        <v>202</v>
      </c>
      <c r="C193" s="236" t="str">
        <f t="shared" si="1"/>
        <v>KB/0513/2025</v>
      </c>
      <c r="D193" s="218" t="b">
        <v>1</v>
      </c>
      <c r="E193" s="219" t="b">
        <v>0</v>
      </c>
      <c r="F193" s="219"/>
      <c r="G193" s="173"/>
      <c r="H193" s="157" t="s">
        <v>5886</v>
      </c>
      <c r="I193" s="157" t="s">
        <v>5576</v>
      </c>
      <c r="J193" s="157">
        <v>2025.0</v>
      </c>
    </row>
    <row r="194">
      <c r="A194" s="218">
        <f t="shared" si="2"/>
        <v>191</v>
      </c>
      <c r="B194" s="218" t="s">
        <v>202</v>
      </c>
      <c r="C194" s="236" t="str">
        <f t="shared" si="1"/>
        <v>KB/0514/2025</v>
      </c>
      <c r="D194" s="218" t="b">
        <v>1</v>
      </c>
      <c r="E194" s="219" t="b">
        <v>0</v>
      </c>
      <c r="F194" s="219"/>
      <c r="G194" s="173"/>
      <c r="H194" s="157" t="s">
        <v>5886</v>
      </c>
      <c r="I194" s="157" t="s">
        <v>5577</v>
      </c>
      <c r="J194" s="157">
        <v>2025.0</v>
      </c>
    </row>
    <row r="195">
      <c r="A195" s="218">
        <f t="shared" si="2"/>
        <v>192</v>
      </c>
      <c r="B195" s="218" t="s">
        <v>202</v>
      </c>
      <c r="C195" s="236" t="str">
        <f t="shared" si="1"/>
        <v>KB/0515/2025</v>
      </c>
      <c r="D195" s="218" t="b">
        <v>1</v>
      </c>
      <c r="E195" s="219" t="b">
        <v>0</v>
      </c>
      <c r="F195" s="219"/>
      <c r="G195" s="173"/>
      <c r="H195" s="157" t="s">
        <v>5886</v>
      </c>
      <c r="I195" s="157" t="s">
        <v>5578</v>
      </c>
      <c r="J195" s="157">
        <v>2025.0</v>
      </c>
    </row>
    <row r="196">
      <c r="A196" s="218">
        <f t="shared" si="2"/>
        <v>193</v>
      </c>
      <c r="B196" s="218" t="s">
        <v>202</v>
      </c>
      <c r="C196" s="236" t="str">
        <f t="shared" si="1"/>
        <v>KB/0516/2025</v>
      </c>
      <c r="D196" s="218" t="b">
        <v>1</v>
      </c>
      <c r="E196" s="219" t="b">
        <v>0</v>
      </c>
      <c r="F196" s="219"/>
      <c r="G196" s="173"/>
      <c r="H196" s="157" t="s">
        <v>5886</v>
      </c>
      <c r="I196" s="157" t="s">
        <v>5579</v>
      </c>
      <c r="J196" s="157">
        <v>2025.0</v>
      </c>
    </row>
    <row r="197">
      <c r="A197" s="218">
        <f t="shared" si="2"/>
        <v>194</v>
      </c>
      <c r="B197" s="218" t="s">
        <v>202</v>
      </c>
      <c r="C197" s="236" t="str">
        <f t="shared" si="1"/>
        <v>KB/0517/2025</v>
      </c>
      <c r="D197" s="218" t="b">
        <v>1</v>
      </c>
      <c r="E197" s="219" t="b">
        <v>0</v>
      </c>
      <c r="F197" s="219"/>
      <c r="G197" s="173"/>
      <c r="H197" s="157" t="s">
        <v>5886</v>
      </c>
      <c r="I197" s="157" t="s">
        <v>5580</v>
      </c>
      <c r="J197" s="157">
        <v>2025.0</v>
      </c>
    </row>
    <row r="198">
      <c r="A198" s="218">
        <f t="shared" si="2"/>
        <v>195</v>
      </c>
      <c r="B198" s="218" t="s">
        <v>202</v>
      </c>
      <c r="C198" s="236" t="str">
        <f t="shared" si="1"/>
        <v>KB/0518/2025</v>
      </c>
      <c r="D198" s="218" t="b">
        <v>1</v>
      </c>
      <c r="E198" s="219" t="b">
        <v>0</v>
      </c>
      <c r="F198" s="219"/>
      <c r="G198" s="173"/>
      <c r="H198" s="157" t="s">
        <v>5886</v>
      </c>
      <c r="I198" s="157" t="s">
        <v>5581</v>
      </c>
      <c r="J198" s="157">
        <v>2025.0</v>
      </c>
    </row>
    <row r="199">
      <c r="A199" s="218">
        <f t="shared" si="2"/>
        <v>196</v>
      </c>
      <c r="B199" s="218" t="s">
        <v>202</v>
      </c>
      <c r="C199" s="236" t="str">
        <f t="shared" si="1"/>
        <v>KB/0519/2025</v>
      </c>
      <c r="D199" s="218" t="b">
        <v>1</v>
      </c>
      <c r="E199" s="219" t="b">
        <v>0</v>
      </c>
      <c r="F199" s="219"/>
      <c r="G199" s="173"/>
      <c r="H199" s="157" t="s">
        <v>5886</v>
      </c>
      <c r="I199" s="157" t="s">
        <v>5582</v>
      </c>
      <c r="J199" s="157">
        <v>2025.0</v>
      </c>
    </row>
    <row r="200">
      <c r="A200" s="218">
        <f t="shared" si="2"/>
        <v>197</v>
      </c>
      <c r="B200" s="218" t="s">
        <v>202</v>
      </c>
      <c r="C200" s="239" t="str">
        <f t="shared" si="1"/>
        <v>KB/0520/2025</v>
      </c>
      <c r="D200" s="218" t="b">
        <v>1</v>
      </c>
      <c r="E200" s="219" t="b">
        <v>0</v>
      </c>
      <c r="F200" s="234">
        <v>45856.0</v>
      </c>
      <c r="G200" s="173"/>
      <c r="H200" s="157" t="s">
        <v>5886</v>
      </c>
      <c r="I200" s="157" t="s">
        <v>5583</v>
      </c>
      <c r="J200" s="157">
        <v>2025.0</v>
      </c>
    </row>
    <row r="201">
      <c r="A201" s="218">
        <f t="shared" si="2"/>
        <v>198</v>
      </c>
      <c r="B201" s="218" t="s">
        <v>202</v>
      </c>
      <c r="C201" s="239" t="str">
        <f t="shared" si="1"/>
        <v>KB/0521/2025</v>
      </c>
      <c r="D201" s="218" t="b">
        <v>1</v>
      </c>
      <c r="E201" s="219" t="b">
        <v>0</v>
      </c>
      <c r="F201" s="234">
        <v>45856.0</v>
      </c>
      <c r="G201" s="173"/>
      <c r="H201" s="157" t="s">
        <v>5886</v>
      </c>
      <c r="I201" s="157" t="s">
        <v>5584</v>
      </c>
      <c r="J201" s="157">
        <v>2025.0</v>
      </c>
    </row>
    <row r="202">
      <c r="A202" s="218">
        <f t="shared" si="2"/>
        <v>199</v>
      </c>
      <c r="B202" s="218" t="s">
        <v>202</v>
      </c>
      <c r="C202" s="236" t="str">
        <f t="shared" si="1"/>
        <v>KB/0522/2025</v>
      </c>
      <c r="D202" s="218" t="b">
        <v>1</v>
      </c>
      <c r="E202" s="219" t="b">
        <v>0</v>
      </c>
      <c r="F202" s="219"/>
      <c r="G202" s="173"/>
      <c r="H202" s="157" t="s">
        <v>5886</v>
      </c>
      <c r="I202" s="157" t="s">
        <v>5585</v>
      </c>
      <c r="J202" s="157">
        <v>2025.0</v>
      </c>
    </row>
    <row r="203">
      <c r="A203" s="218">
        <f t="shared" si="2"/>
        <v>200</v>
      </c>
      <c r="B203" s="218" t="s">
        <v>202</v>
      </c>
      <c r="C203" s="239" t="str">
        <f t="shared" si="1"/>
        <v>KB/0523/2025</v>
      </c>
      <c r="D203" s="218" t="b">
        <v>1</v>
      </c>
      <c r="E203" s="219" t="b">
        <v>0</v>
      </c>
      <c r="F203" s="234">
        <v>45856.0</v>
      </c>
      <c r="G203" s="173"/>
      <c r="H203" s="157" t="s">
        <v>5886</v>
      </c>
      <c r="I203" s="157" t="s">
        <v>5586</v>
      </c>
      <c r="J203" s="157">
        <v>2025.0</v>
      </c>
    </row>
    <row r="204">
      <c r="A204" s="218">
        <f t="shared" si="2"/>
        <v>201</v>
      </c>
      <c r="B204" s="218" t="s">
        <v>202</v>
      </c>
      <c r="C204" s="236" t="str">
        <f t="shared" si="1"/>
        <v>KB/0524/2025</v>
      </c>
      <c r="D204" s="218" t="b">
        <v>1</v>
      </c>
      <c r="E204" s="219" t="b">
        <v>0</v>
      </c>
      <c r="F204" s="219"/>
      <c r="G204" s="173"/>
      <c r="H204" s="157" t="s">
        <v>5886</v>
      </c>
      <c r="I204" s="157" t="s">
        <v>5587</v>
      </c>
      <c r="J204" s="157">
        <v>2025.0</v>
      </c>
    </row>
    <row r="205">
      <c r="A205" s="218">
        <f t="shared" si="2"/>
        <v>202</v>
      </c>
      <c r="B205" s="218" t="s">
        <v>202</v>
      </c>
      <c r="C205" s="236" t="str">
        <f t="shared" si="1"/>
        <v>KB/0525/2025</v>
      </c>
      <c r="D205" s="218" t="b">
        <v>1</v>
      </c>
      <c r="E205" s="219" t="b">
        <v>0</v>
      </c>
      <c r="F205" s="219"/>
      <c r="G205" s="173"/>
      <c r="H205" s="157" t="s">
        <v>5886</v>
      </c>
      <c r="I205" s="157" t="s">
        <v>5588</v>
      </c>
      <c r="J205" s="157">
        <v>2025.0</v>
      </c>
    </row>
    <row r="206">
      <c r="A206" s="218">
        <f t="shared" si="2"/>
        <v>203</v>
      </c>
      <c r="B206" s="218" t="s">
        <v>202</v>
      </c>
      <c r="C206" s="236" t="str">
        <f t="shared" si="1"/>
        <v>KB/0526/2025</v>
      </c>
      <c r="D206" s="218" t="b">
        <v>1</v>
      </c>
      <c r="E206" s="219" t="b">
        <v>0</v>
      </c>
      <c r="F206" s="219"/>
      <c r="G206" s="173"/>
      <c r="H206" s="157" t="s">
        <v>5886</v>
      </c>
      <c r="I206" s="157" t="s">
        <v>5589</v>
      </c>
      <c r="J206" s="157">
        <v>2025.0</v>
      </c>
    </row>
    <row r="207">
      <c r="A207" s="218">
        <f t="shared" si="2"/>
        <v>204</v>
      </c>
      <c r="B207" s="218" t="s">
        <v>202</v>
      </c>
      <c r="C207" s="236" t="str">
        <f t="shared" si="1"/>
        <v>KB/0527/2025</v>
      </c>
      <c r="D207" s="218" t="b">
        <v>1</v>
      </c>
      <c r="E207" s="219" t="b">
        <v>0</v>
      </c>
      <c r="F207" s="219"/>
      <c r="G207" s="173"/>
      <c r="H207" s="157" t="s">
        <v>5886</v>
      </c>
      <c r="I207" s="157" t="s">
        <v>5590</v>
      </c>
      <c r="J207" s="157">
        <v>2025.0</v>
      </c>
    </row>
    <row r="208">
      <c r="A208" s="218">
        <f t="shared" si="2"/>
        <v>205</v>
      </c>
      <c r="B208" s="218" t="s">
        <v>202</v>
      </c>
      <c r="C208" s="236" t="str">
        <f t="shared" si="1"/>
        <v>KB/0528/2025</v>
      </c>
      <c r="D208" s="218" t="b">
        <v>1</v>
      </c>
      <c r="E208" s="219" t="b">
        <v>0</v>
      </c>
      <c r="F208" s="219"/>
      <c r="G208" s="173"/>
      <c r="H208" s="157" t="s">
        <v>5886</v>
      </c>
      <c r="I208" s="157" t="s">
        <v>5591</v>
      </c>
      <c r="J208" s="157">
        <v>2025.0</v>
      </c>
    </row>
    <row r="209">
      <c r="A209" s="218">
        <f t="shared" si="2"/>
        <v>206</v>
      </c>
      <c r="B209" s="218" t="s">
        <v>202</v>
      </c>
      <c r="C209" s="236" t="str">
        <f t="shared" si="1"/>
        <v>KB/0529/2025</v>
      </c>
      <c r="D209" s="218" t="b">
        <v>1</v>
      </c>
      <c r="E209" s="219" t="b">
        <v>0</v>
      </c>
      <c r="F209" s="219"/>
      <c r="G209" s="173"/>
      <c r="H209" s="157" t="s">
        <v>5886</v>
      </c>
      <c r="I209" s="157" t="s">
        <v>5592</v>
      </c>
      <c r="J209" s="157">
        <v>2025.0</v>
      </c>
    </row>
    <row r="210">
      <c r="A210" s="218">
        <f t="shared" si="2"/>
        <v>207</v>
      </c>
      <c r="B210" s="218" t="s">
        <v>202</v>
      </c>
      <c r="C210" s="236" t="str">
        <f t="shared" si="1"/>
        <v>KB/0530/2025</v>
      </c>
      <c r="D210" s="218" t="b">
        <v>1</v>
      </c>
      <c r="E210" s="219" t="b">
        <v>0</v>
      </c>
      <c r="F210" s="219"/>
      <c r="G210" s="173"/>
      <c r="H210" s="157" t="s">
        <v>5886</v>
      </c>
      <c r="I210" s="157" t="s">
        <v>5593</v>
      </c>
      <c r="J210" s="157">
        <v>2025.0</v>
      </c>
    </row>
    <row r="211">
      <c r="A211" s="218">
        <f t="shared" si="2"/>
        <v>208</v>
      </c>
      <c r="B211" s="218" t="s">
        <v>202</v>
      </c>
      <c r="C211" s="236" t="str">
        <f t="shared" si="1"/>
        <v>KB/0531/2025</v>
      </c>
      <c r="D211" s="218" t="b">
        <v>1</v>
      </c>
      <c r="E211" s="219" t="b">
        <v>0</v>
      </c>
      <c r="F211" s="219"/>
      <c r="G211" s="173"/>
      <c r="H211" s="157" t="s">
        <v>5886</v>
      </c>
      <c r="I211" s="157" t="s">
        <v>5594</v>
      </c>
      <c r="J211" s="157">
        <v>2025.0</v>
      </c>
    </row>
    <row r="212">
      <c r="A212" s="218">
        <f t="shared" si="2"/>
        <v>209</v>
      </c>
      <c r="B212" s="218" t="s">
        <v>202</v>
      </c>
      <c r="C212" s="236" t="str">
        <f t="shared" si="1"/>
        <v>KB/0532/2025</v>
      </c>
      <c r="D212" s="218" t="b">
        <v>1</v>
      </c>
      <c r="E212" s="219" t="b">
        <v>0</v>
      </c>
      <c r="F212" s="219"/>
      <c r="G212" s="173"/>
      <c r="H212" s="157" t="s">
        <v>5886</v>
      </c>
      <c r="I212" s="157" t="s">
        <v>5595</v>
      </c>
      <c r="J212" s="157">
        <v>2025.0</v>
      </c>
    </row>
    <row r="213">
      <c r="A213" s="218">
        <f t="shared" si="2"/>
        <v>210</v>
      </c>
      <c r="B213" s="218" t="s">
        <v>202</v>
      </c>
      <c r="C213" s="236" t="str">
        <f t="shared" si="1"/>
        <v>KB/0533/2025</v>
      </c>
      <c r="D213" s="218" t="b">
        <v>1</v>
      </c>
      <c r="E213" s="219" t="b">
        <v>0</v>
      </c>
      <c r="F213" s="219"/>
      <c r="G213" s="173"/>
      <c r="H213" s="157" t="s">
        <v>5886</v>
      </c>
      <c r="I213" s="157" t="s">
        <v>5596</v>
      </c>
      <c r="J213" s="157">
        <v>2025.0</v>
      </c>
    </row>
    <row r="214">
      <c r="A214" s="218">
        <f t="shared" si="2"/>
        <v>211</v>
      </c>
      <c r="B214" s="218" t="s">
        <v>202</v>
      </c>
      <c r="C214" s="236" t="str">
        <f t="shared" si="1"/>
        <v>KB/0534/2025</v>
      </c>
      <c r="D214" s="218" t="b">
        <v>1</v>
      </c>
      <c r="E214" s="219" t="b">
        <v>0</v>
      </c>
      <c r="F214" s="219"/>
      <c r="G214" s="173"/>
      <c r="H214" s="157" t="s">
        <v>5886</v>
      </c>
      <c r="I214" s="157" t="s">
        <v>5597</v>
      </c>
      <c r="J214" s="157">
        <v>2025.0</v>
      </c>
    </row>
    <row r="215">
      <c r="A215" s="218">
        <f t="shared" si="2"/>
        <v>212</v>
      </c>
      <c r="B215" s="218" t="s">
        <v>202</v>
      </c>
      <c r="C215" s="236" t="str">
        <f t="shared" si="1"/>
        <v>KB/0535/2025</v>
      </c>
      <c r="D215" s="218" t="b">
        <v>1</v>
      </c>
      <c r="E215" s="219" t="b">
        <v>0</v>
      </c>
      <c r="F215" s="219"/>
      <c r="G215" s="173"/>
      <c r="H215" s="157" t="s">
        <v>5886</v>
      </c>
      <c r="I215" s="157" t="s">
        <v>5598</v>
      </c>
      <c r="J215" s="157">
        <v>2025.0</v>
      </c>
    </row>
    <row r="216">
      <c r="A216" s="218">
        <f t="shared" si="2"/>
        <v>213</v>
      </c>
      <c r="B216" s="218" t="s">
        <v>202</v>
      </c>
      <c r="C216" s="236" t="str">
        <f t="shared" si="1"/>
        <v>KB/0536/2025</v>
      </c>
      <c r="D216" s="218" t="b">
        <v>1</v>
      </c>
      <c r="E216" s="219" t="b">
        <v>0</v>
      </c>
      <c r="F216" s="219"/>
      <c r="G216" s="173"/>
      <c r="H216" s="157" t="s">
        <v>5886</v>
      </c>
      <c r="I216" s="157" t="s">
        <v>5599</v>
      </c>
      <c r="J216" s="157">
        <v>2025.0</v>
      </c>
    </row>
    <row r="217">
      <c r="A217" s="218">
        <f t="shared" si="2"/>
        <v>214</v>
      </c>
      <c r="B217" s="218" t="s">
        <v>202</v>
      </c>
      <c r="C217" s="236" t="str">
        <f t="shared" si="1"/>
        <v>KB/0537/2025</v>
      </c>
      <c r="D217" s="218" t="b">
        <v>1</v>
      </c>
      <c r="E217" s="219" t="b">
        <v>0</v>
      </c>
      <c r="F217" s="219"/>
      <c r="G217" s="173"/>
      <c r="H217" s="157" t="s">
        <v>5886</v>
      </c>
      <c r="I217" s="157" t="s">
        <v>5600</v>
      </c>
      <c r="J217" s="157">
        <v>2025.0</v>
      </c>
    </row>
    <row r="218">
      <c r="A218" s="218">
        <f t="shared" si="2"/>
        <v>215</v>
      </c>
      <c r="B218" s="218" t="s">
        <v>202</v>
      </c>
      <c r="C218" s="236" t="str">
        <f t="shared" si="1"/>
        <v>KB/0538/2025</v>
      </c>
      <c r="D218" s="218" t="b">
        <v>1</v>
      </c>
      <c r="E218" s="219" t="b">
        <v>0</v>
      </c>
      <c r="F218" s="219"/>
      <c r="G218" s="173"/>
      <c r="H218" s="157" t="s">
        <v>5886</v>
      </c>
      <c r="I218" s="157" t="s">
        <v>5601</v>
      </c>
      <c r="J218" s="157">
        <v>2025.0</v>
      </c>
    </row>
    <row r="219">
      <c r="A219" s="218">
        <f t="shared" si="2"/>
        <v>216</v>
      </c>
      <c r="B219" s="218" t="s">
        <v>202</v>
      </c>
      <c r="C219" s="236" t="str">
        <f t="shared" si="1"/>
        <v>KB/0539/2025</v>
      </c>
      <c r="D219" s="218" t="b">
        <v>1</v>
      </c>
      <c r="E219" s="219" t="b">
        <v>0</v>
      </c>
      <c r="F219" s="219"/>
      <c r="G219" s="173"/>
      <c r="H219" s="157" t="s">
        <v>5886</v>
      </c>
      <c r="I219" s="157" t="s">
        <v>5602</v>
      </c>
      <c r="J219" s="157">
        <v>2025.0</v>
      </c>
    </row>
    <row r="220">
      <c r="A220" s="218">
        <f t="shared" si="2"/>
        <v>217</v>
      </c>
      <c r="B220" s="218" t="s">
        <v>202</v>
      </c>
      <c r="C220" s="236" t="str">
        <f t="shared" si="1"/>
        <v>KB/0540/2025</v>
      </c>
      <c r="D220" s="218" t="b">
        <v>1</v>
      </c>
      <c r="E220" s="219" t="b">
        <v>0</v>
      </c>
      <c r="F220" s="219"/>
      <c r="G220" s="173"/>
      <c r="H220" s="157" t="s">
        <v>5886</v>
      </c>
      <c r="I220" s="157" t="s">
        <v>5603</v>
      </c>
      <c r="J220" s="157">
        <v>2025.0</v>
      </c>
    </row>
    <row r="221">
      <c r="A221" s="218">
        <f t="shared" si="2"/>
        <v>218</v>
      </c>
      <c r="B221" s="218" t="s">
        <v>202</v>
      </c>
      <c r="C221" s="236" t="str">
        <f t="shared" si="1"/>
        <v>KB/0541/2025</v>
      </c>
      <c r="D221" s="218" t="b">
        <v>1</v>
      </c>
      <c r="E221" s="219" t="b">
        <v>0</v>
      </c>
      <c r="F221" s="219"/>
      <c r="G221" s="173"/>
      <c r="H221" s="157" t="s">
        <v>5886</v>
      </c>
      <c r="I221" s="157" t="s">
        <v>5604</v>
      </c>
      <c r="J221" s="157">
        <v>2025.0</v>
      </c>
    </row>
    <row r="222">
      <c r="A222" s="218">
        <f t="shared" si="2"/>
        <v>219</v>
      </c>
      <c r="B222" s="218" t="s">
        <v>202</v>
      </c>
      <c r="C222" s="236" t="str">
        <f t="shared" si="1"/>
        <v>KB/0542/2025</v>
      </c>
      <c r="D222" s="218" t="b">
        <v>1</v>
      </c>
      <c r="E222" s="219" t="b">
        <v>0</v>
      </c>
      <c r="F222" s="219"/>
      <c r="G222" s="173"/>
      <c r="H222" s="157" t="s">
        <v>5886</v>
      </c>
      <c r="I222" s="157" t="s">
        <v>5605</v>
      </c>
      <c r="J222" s="157">
        <v>2025.0</v>
      </c>
    </row>
    <row r="223">
      <c r="A223" s="218">
        <f t="shared" si="2"/>
        <v>220</v>
      </c>
      <c r="B223" s="218" t="s">
        <v>202</v>
      </c>
      <c r="C223" s="236" t="str">
        <f t="shared" si="1"/>
        <v>KB/0543/2025</v>
      </c>
      <c r="D223" s="218" t="b">
        <v>1</v>
      </c>
      <c r="E223" s="219" t="b">
        <v>0</v>
      </c>
      <c r="F223" s="219"/>
      <c r="G223" s="173"/>
      <c r="H223" s="157" t="s">
        <v>5886</v>
      </c>
      <c r="I223" s="157" t="s">
        <v>5606</v>
      </c>
      <c r="J223" s="157">
        <v>2025.0</v>
      </c>
    </row>
    <row r="224">
      <c r="A224" s="218">
        <f t="shared" si="2"/>
        <v>221</v>
      </c>
      <c r="B224" s="218" t="s">
        <v>202</v>
      </c>
      <c r="C224" s="236" t="str">
        <f t="shared" si="1"/>
        <v>KB/0544/2025</v>
      </c>
      <c r="D224" s="218" t="b">
        <v>1</v>
      </c>
      <c r="E224" s="219" t="b">
        <v>0</v>
      </c>
      <c r="F224" s="219"/>
      <c r="G224" s="173"/>
      <c r="H224" s="157" t="s">
        <v>5886</v>
      </c>
      <c r="I224" s="157" t="s">
        <v>5607</v>
      </c>
      <c r="J224" s="157">
        <v>2025.0</v>
      </c>
    </row>
    <row r="225">
      <c r="A225" s="218">
        <f t="shared" si="2"/>
        <v>222</v>
      </c>
      <c r="B225" s="218" t="s">
        <v>202</v>
      </c>
      <c r="C225" s="236" t="str">
        <f t="shared" si="1"/>
        <v>KB/0545/2025</v>
      </c>
      <c r="D225" s="218" t="b">
        <v>1</v>
      </c>
      <c r="E225" s="219" t="b">
        <v>0</v>
      </c>
      <c r="F225" s="219"/>
      <c r="G225" s="173"/>
      <c r="H225" s="157" t="s">
        <v>5886</v>
      </c>
      <c r="I225" s="157" t="s">
        <v>5608</v>
      </c>
      <c r="J225" s="157">
        <v>2025.0</v>
      </c>
    </row>
    <row r="226">
      <c r="A226" s="218">
        <f t="shared" si="2"/>
        <v>223</v>
      </c>
      <c r="B226" s="218" t="s">
        <v>202</v>
      </c>
      <c r="C226" s="236" t="str">
        <f t="shared" si="1"/>
        <v>KB/0546/2025</v>
      </c>
      <c r="D226" s="218" t="b">
        <v>1</v>
      </c>
      <c r="E226" s="219" t="b">
        <v>0</v>
      </c>
      <c r="F226" s="219"/>
      <c r="G226" s="173"/>
      <c r="H226" s="157" t="s">
        <v>5886</v>
      </c>
      <c r="I226" s="157" t="s">
        <v>5609</v>
      </c>
      <c r="J226" s="157">
        <v>2025.0</v>
      </c>
    </row>
    <row r="227">
      <c r="A227" s="218">
        <f t="shared" si="2"/>
        <v>224</v>
      </c>
      <c r="B227" s="218" t="s">
        <v>202</v>
      </c>
      <c r="C227" s="236" t="str">
        <f t="shared" si="1"/>
        <v>KB/0547/2025</v>
      </c>
      <c r="D227" s="218" t="b">
        <v>1</v>
      </c>
      <c r="E227" s="219" t="b">
        <v>0</v>
      </c>
      <c r="F227" s="219"/>
      <c r="G227" s="173"/>
      <c r="H227" s="157" t="s">
        <v>5886</v>
      </c>
      <c r="I227" s="157" t="s">
        <v>5610</v>
      </c>
      <c r="J227" s="157">
        <v>2025.0</v>
      </c>
    </row>
    <row r="228">
      <c r="A228" s="218">
        <f t="shared" si="2"/>
        <v>225</v>
      </c>
      <c r="B228" s="218" t="s">
        <v>202</v>
      </c>
      <c r="C228" s="236" t="str">
        <f t="shared" si="1"/>
        <v>KB/0548/2025</v>
      </c>
      <c r="D228" s="218" t="b">
        <v>1</v>
      </c>
      <c r="E228" s="219" t="b">
        <v>0</v>
      </c>
      <c r="F228" s="219"/>
      <c r="G228" s="173"/>
      <c r="H228" s="157" t="s">
        <v>5886</v>
      </c>
      <c r="I228" s="157" t="s">
        <v>5611</v>
      </c>
      <c r="J228" s="157">
        <v>2025.0</v>
      </c>
    </row>
    <row r="229">
      <c r="A229" s="218">
        <f t="shared" si="2"/>
        <v>226</v>
      </c>
      <c r="B229" s="218" t="s">
        <v>202</v>
      </c>
      <c r="C229" s="236" t="str">
        <f t="shared" si="1"/>
        <v>KB/0549/2025</v>
      </c>
      <c r="D229" s="218" t="b">
        <v>1</v>
      </c>
      <c r="E229" s="219" t="b">
        <v>0</v>
      </c>
      <c r="F229" s="219"/>
      <c r="G229" s="173"/>
      <c r="H229" s="157" t="s">
        <v>5886</v>
      </c>
      <c r="I229" s="157" t="s">
        <v>5612</v>
      </c>
      <c r="J229" s="157">
        <v>2025.0</v>
      </c>
    </row>
    <row r="230">
      <c r="A230" s="218">
        <f t="shared" si="2"/>
        <v>227</v>
      </c>
      <c r="B230" s="218" t="s">
        <v>202</v>
      </c>
      <c r="C230" s="236" t="str">
        <f t="shared" si="1"/>
        <v>KB/0550/2025</v>
      </c>
      <c r="D230" s="218" t="b">
        <v>1</v>
      </c>
      <c r="E230" s="219" t="b">
        <v>0</v>
      </c>
      <c r="F230" s="219"/>
      <c r="G230" s="173"/>
      <c r="H230" s="157" t="s">
        <v>5886</v>
      </c>
      <c r="I230" s="157" t="s">
        <v>5613</v>
      </c>
      <c r="J230" s="157">
        <v>2025.0</v>
      </c>
    </row>
    <row r="231">
      <c r="A231" s="218">
        <f t="shared" si="2"/>
        <v>228</v>
      </c>
      <c r="B231" s="218" t="s">
        <v>202</v>
      </c>
      <c r="C231" s="236" t="str">
        <f t="shared" si="1"/>
        <v>KB/0551/2025</v>
      </c>
      <c r="D231" s="218" t="b">
        <v>1</v>
      </c>
      <c r="E231" s="219" t="b">
        <v>0</v>
      </c>
      <c r="F231" s="219"/>
      <c r="G231" s="173"/>
      <c r="H231" s="157" t="s">
        <v>5886</v>
      </c>
      <c r="I231" s="157" t="s">
        <v>5614</v>
      </c>
      <c r="J231" s="157">
        <v>2025.0</v>
      </c>
    </row>
    <row r="232">
      <c r="A232" s="218">
        <f t="shared" si="2"/>
        <v>229</v>
      </c>
      <c r="B232" s="218" t="s">
        <v>202</v>
      </c>
      <c r="C232" s="236" t="str">
        <f t="shared" si="1"/>
        <v>KB/0552/2025</v>
      </c>
      <c r="D232" s="218" t="b">
        <v>1</v>
      </c>
      <c r="E232" s="219" t="b">
        <v>0</v>
      </c>
      <c r="F232" s="219"/>
      <c r="G232" s="173"/>
      <c r="H232" s="157" t="s">
        <v>5886</v>
      </c>
      <c r="I232" s="157" t="s">
        <v>5615</v>
      </c>
      <c r="J232" s="157">
        <v>2025.0</v>
      </c>
    </row>
    <row r="233">
      <c r="A233" s="218">
        <f t="shared" si="2"/>
        <v>230</v>
      </c>
      <c r="B233" s="218" t="s">
        <v>202</v>
      </c>
      <c r="C233" s="236" t="str">
        <f t="shared" si="1"/>
        <v>KB/0553/2025</v>
      </c>
      <c r="D233" s="218" t="b">
        <v>1</v>
      </c>
      <c r="E233" s="219" t="b">
        <v>0</v>
      </c>
      <c r="F233" s="219"/>
      <c r="G233" s="173"/>
      <c r="H233" s="157" t="s">
        <v>5886</v>
      </c>
      <c r="I233" s="157" t="s">
        <v>5616</v>
      </c>
      <c r="J233" s="157">
        <v>2025.0</v>
      </c>
    </row>
    <row r="234">
      <c r="A234" s="218">
        <f t="shared" si="2"/>
        <v>231</v>
      </c>
      <c r="B234" s="218" t="s">
        <v>202</v>
      </c>
      <c r="C234" s="236" t="str">
        <f t="shared" si="1"/>
        <v>KB/0554/2025</v>
      </c>
      <c r="D234" s="218" t="b">
        <v>1</v>
      </c>
      <c r="E234" s="219" t="b">
        <v>0</v>
      </c>
      <c r="F234" s="219"/>
      <c r="G234" s="173"/>
      <c r="H234" s="157" t="s">
        <v>5886</v>
      </c>
      <c r="I234" s="157" t="s">
        <v>5617</v>
      </c>
      <c r="J234" s="157">
        <v>2025.0</v>
      </c>
    </row>
    <row r="235">
      <c r="A235" s="218">
        <f t="shared" si="2"/>
        <v>232</v>
      </c>
      <c r="B235" s="218" t="s">
        <v>202</v>
      </c>
      <c r="C235" s="236" t="str">
        <f t="shared" si="1"/>
        <v>KB/0555/2025</v>
      </c>
      <c r="D235" s="218" t="b">
        <v>1</v>
      </c>
      <c r="E235" s="219" t="b">
        <v>0</v>
      </c>
      <c r="F235" s="219"/>
      <c r="G235" s="173"/>
      <c r="H235" s="157" t="s">
        <v>5886</v>
      </c>
      <c r="I235" s="157" t="s">
        <v>5618</v>
      </c>
      <c r="J235" s="157">
        <v>2025.0</v>
      </c>
    </row>
    <row r="236">
      <c r="A236" s="218">
        <f t="shared" si="2"/>
        <v>233</v>
      </c>
      <c r="B236" s="218" t="s">
        <v>202</v>
      </c>
      <c r="C236" s="236" t="str">
        <f t="shared" si="1"/>
        <v>KB/0556/2025</v>
      </c>
      <c r="D236" s="218" t="b">
        <v>1</v>
      </c>
      <c r="E236" s="219" t="b">
        <v>0</v>
      </c>
      <c r="F236" s="219"/>
      <c r="G236" s="173"/>
      <c r="H236" s="157" t="s">
        <v>5886</v>
      </c>
      <c r="I236" s="157" t="s">
        <v>5619</v>
      </c>
      <c r="J236" s="157">
        <v>2025.0</v>
      </c>
    </row>
    <row r="237">
      <c r="A237" s="218">
        <f t="shared" si="2"/>
        <v>234</v>
      </c>
      <c r="B237" s="218" t="s">
        <v>202</v>
      </c>
      <c r="C237" s="236" t="str">
        <f t="shared" si="1"/>
        <v>KB/0557/2025</v>
      </c>
      <c r="D237" s="218" t="b">
        <v>1</v>
      </c>
      <c r="E237" s="219" t="b">
        <v>0</v>
      </c>
      <c r="F237" s="219"/>
      <c r="G237" s="173"/>
      <c r="H237" s="157" t="s">
        <v>5886</v>
      </c>
      <c r="I237" s="157" t="s">
        <v>5620</v>
      </c>
      <c r="J237" s="157">
        <v>2025.0</v>
      </c>
    </row>
    <row r="238">
      <c r="A238" s="218">
        <f t="shared" si="2"/>
        <v>235</v>
      </c>
      <c r="B238" s="218" t="s">
        <v>202</v>
      </c>
      <c r="C238" s="236" t="str">
        <f t="shared" si="1"/>
        <v>KB/0558/2025</v>
      </c>
      <c r="D238" s="218" t="b">
        <v>1</v>
      </c>
      <c r="E238" s="219" t="b">
        <v>0</v>
      </c>
      <c r="F238" s="219"/>
      <c r="G238" s="173"/>
      <c r="H238" s="157" t="s">
        <v>5886</v>
      </c>
      <c r="I238" s="157" t="s">
        <v>5621</v>
      </c>
      <c r="J238" s="157">
        <v>2025.0</v>
      </c>
    </row>
    <row r="239">
      <c r="A239" s="218">
        <f t="shared" si="2"/>
        <v>236</v>
      </c>
      <c r="B239" s="218" t="s">
        <v>202</v>
      </c>
      <c r="C239" s="236" t="str">
        <f t="shared" si="1"/>
        <v>KB/0559/2025</v>
      </c>
      <c r="D239" s="218" t="b">
        <v>1</v>
      </c>
      <c r="E239" s="219" t="b">
        <v>0</v>
      </c>
      <c r="F239" s="219"/>
      <c r="G239" s="173"/>
      <c r="H239" s="157" t="s">
        <v>5886</v>
      </c>
      <c r="I239" s="157" t="s">
        <v>5622</v>
      </c>
      <c r="J239" s="157">
        <v>2025.0</v>
      </c>
    </row>
    <row r="240">
      <c r="A240" s="218">
        <f t="shared" si="2"/>
        <v>237</v>
      </c>
      <c r="B240" s="218" t="s">
        <v>202</v>
      </c>
      <c r="C240" s="236" t="str">
        <f t="shared" si="1"/>
        <v>KB/0560/2025</v>
      </c>
      <c r="D240" s="218" t="b">
        <v>1</v>
      </c>
      <c r="E240" s="219" t="b">
        <v>0</v>
      </c>
      <c r="F240" s="219"/>
      <c r="G240" s="173"/>
      <c r="H240" s="157" t="s">
        <v>5886</v>
      </c>
      <c r="I240" s="157" t="s">
        <v>5623</v>
      </c>
      <c r="J240" s="157">
        <v>2025.0</v>
      </c>
    </row>
    <row r="241">
      <c r="A241" s="218">
        <f t="shared" si="2"/>
        <v>238</v>
      </c>
      <c r="B241" s="218" t="s">
        <v>202</v>
      </c>
      <c r="C241" s="236" t="str">
        <f t="shared" si="1"/>
        <v>KB/0561/2025</v>
      </c>
      <c r="D241" s="218" t="b">
        <v>1</v>
      </c>
      <c r="E241" s="219" t="b">
        <v>0</v>
      </c>
      <c r="F241" s="219"/>
      <c r="G241" s="173"/>
      <c r="H241" s="157" t="s">
        <v>5886</v>
      </c>
      <c r="I241" s="157" t="s">
        <v>5624</v>
      </c>
      <c r="J241" s="157">
        <v>2025.0</v>
      </c>
    </row>
    <row r="242">
      <c r="A242" s="218">
        <f t="shared" si="2"/>
        <v>239</v>
      </c>
      <c r="B242" s="218" t="s">
        <v>202</v>
      </c>
      <c r="C242" s="236" t="str">
        <f t="shared" si="1"/>
        <v>KB/0562/2025</v>
      </c>
      <c r="D242" s="218" t="b">
        <v>1</v>
      </c>
      <c r="E242" s="219" t="b">
        <v>0</v>
      </c>
      <c r="F242" s="219"/>
      <c r="G242" s="173"/>
      <c r="H242" s="157" t="s">
        <v>5886</v>
      </c>
      <c r="I242" s="157" t="s">
        <v>5625</v>
      </c>
      <c r="J242" s="157">
        <v>2025.0</v>
      </c>
    </row>
    <row r="243">
      <c r="A243" s="218">
        <f t="shared" si="2"/>
        <v>240</v>
      </c>
      <c r="B243" s="218" t="s">
        <v>202</v>
      </c>
      <c r="C243" s="236" t="str">
        <f t="shared" si="1"/>
        <v>KB/0563/2025</v>
      </c>
      <c r="D243" s="218" t="b">
        <v>1</v>
      </c>
      <c r="E243" s="219" t="b">
        <v>0</v>
      </c>
      <c r="F243" s="219"/>
      <c r="G243" s="173"/>
      <c r="H243" s="157" t="s">
        <v>5886</v>
      </c>
      <c r="I243" s="157" t="s">
        <v>5626</v>
      </c>
      <c r="J243" s="157">
        <v>2025.0</v>
      </c>
    </row>
    <row r="244">
      <c r="A244" s="218">
        <f t="shared" si="2"/>
        <v>241</v>
      </c>
      <c r="B244" s="218" t="s">
        <v>202</v>
      </c>
      <c r="C244" s="236" t="str">
        <f t="shared" si="1"/>
        <v>KB/0564/2025</v>
      </c>
      <c r="D244" s="218" t="b">
        <v>1</v>
      </c>
      <c r="E244" s="219" t="b">
        <v>0</v>
      </c>
      <c r="F244" s="219"/>
      <c r="G244" s="173"/>
      <c r="H244" s="157" t="s">
        <v>5886</v>
      </c>
      <c r="I244" s="157" t="s">
        <v>5627</v>
      </c>
      <c r="J244" s="157">
        <v>2025.0</v>
      </c>
    </row>
    <row r="245">
      <c r="A245" s="218">
        <f t="shared" si="2"/>
        <v>242</v>
      </c>
      <c r="B245" s="218" t="s">
        <v>202</v>
      </c>
      <c r="C245" s="236" t="str">
        <f t="shared" si="1"/>
        <v>KB/0565/2025</v>
      </c>
      <c r="D245" s="218" t="b">
        <v>1</v>
      </c>
      <c r="E245" s="219" t="b">
        <v>0</v>
      </c>
      <c r="F245" s="219"/>
      <c r="G245" s="173"/>
      <c r="H245" s="157" t="s">
        <v>5886</v>
      </c>
      <c r="I245" s="157" t="s">
        <v>5628</v>
      </c>
      <c r="J245" s="157">
        <v>2025.0</v>
      </c>
    </row>
    <row r="246">
      <c r="A246" s="218">
        <f t="shared" si="2"/>
        <v>243</v>
      </c>
      <c r="B246" s="218" t="s">
        <v>202</v>
      </c>
      <c r="C246" s="236" t="str">
        <f t="shared" si="1"/>
        <v>KB/0566/2025</v>
      </c>
      <c r="D246" s="218" t="b">
        <v>1</v>
      </c>
      <c r="E246" s="219" t="b">
        <v>0</v>
      </c>
      <c r="F246" s="219"/>
      <c r="G246" s="173"/>
      <c r="H246" s="157" t="s">
        <v>5886</v>
      </c>
      <c r="I246" s="157" t="s">
        <v>5629</v>
      </c>
      <c r="J246" s="157">
        <v>2025.0</v>
      </c>
    </row>
    <row r="247">
      <c r="A247" s="218">
        <f t="shared" si="2"/>
        <v>244</v>
      </c>
      <c r="B247" s="218" t="s">
        <v>202</v>
      </c>
      <c r="C247" s="236" t="str">
        <f t="shared" si="1"/>
        <v>KB/0567/2025</v>
      </c>
      <c r="D247" s="218" t="b">
        <v>1</v>
      </c>
      <c r="E247" s="219" t="b">
        <v>0</v>
      </c>
      <c r="F247" s="219"/>
      <c r="G247" s="173"/>
      <c r="H247" s="157" t="s">
        <v>5886</v>
      </c>
      <c r="I247" s="157" t="s">
        <v>5630</v>
      </c>
      <c r="J247" s="157">
        <v>2025.0</v>
      </c>
    </row>
    <row r="248">
      <c r="A248" s="218">
        <f t="shared" si="2"/>
        <v>245</v>
      </c>
      <c r="B248" s="218" t="s">
        <v>202</v>
      </c>
      <c r="C248" s="236" t="str">
        <f t="shared" si="1"/>
        <v>KB/0568/2025</v>
      </c>
      <c r="D248" s="218" t="b">
        <v>1</v>
      </c>
      <c r="E248" s="219" t="b">
        <v>0</v>
      </c>
      <c r="F248" s="219"/>
      <c r="G248" s="173"/>
      <c r="H248" s="157" t="s">
        <v>5886</v>
      </c>
      <c r="I248" s="157" t="s">
        <v>5631</v>
      </c>
      <c r="J248" s="157">
        <v>2025.0</v>
      </c>
    </row>
    <row r="249">
      <c r="A249" s="218">
        <f t="shared" si="2"/>
        <v>246</v>
      </c>
      <c r="B249" s="218" t="s">
        <v>202</v>
      </c>
      <c r="C249" s="236" t="str">
        <f t="shared" si="1"/>
        <v>KB/0569/2025</v>
      </c>
      <c r="D249" s="218" t="b">
        <v>1</v>
      </c>
      <c r="E249" s="219" t="b">
        <v>0</v>
      </c>
      <c r="F249" s="219"/>
      <c r="G249" s="173"/>
      <c r="H249" s="157" t="s">
        <v>5886</v>
      </c>
      <c r="I249" s="157" t="s">
        <v>5632</v>
      </c>
      <c r="J249" s="157">
        <v>2025.0</v>
      </c>
    </row>
    <row r="250">
      <c r="A250" s="218">
        <f t="shared" si="2"/>
        <v>247</v>
      </c>
      <c r="B250" s="218" t="s">
        <v>202</v>
      </c>
      <c r="C250" s="236" t="str">
        <f t="shared" si="1"/>
        <v>KB/0570/2025</v>
      </c>
      <c r="D250" s="218" t="b">
        <v>1</v>
      </c>
      <c r="E250" s="219" t="b">
        <v>0</v>
      </c>
      <c r="F250" s="219"/>
      <c r="G250" s="173"/>
      <c r="H250" s="157" t="s">
        <v>5886</v>
      </c>
      <c r="I250" s="157" t="s">
        <v>5633</v>
      </c>
      <c r="J250" s="157">
        <v>2025.0</v>
      </c>
    </row>
    <row r="251">
      <c r="A251" s="218">
        <f t="shared" si="2"/>
        <v>248</v>
      </c>
      <c r="B251" s="218" t="s">
        <v>202</v>
      </c>
      <c r="C251" s="236" t="str">
        <f t="shared" si="1"/>
        <v>KB/0571/2025</v>
      </c>
      <c r="D251" s="218" t="b">
        <v>1</v>
      </c>
      <c r="E251" s="219" t="b">
        <v>0</v>
      </c>
      <c r="F251" s="219"/>
      <c r="G251" s="173"/>
      <c r="H251" s="157" t="s">
        <v>5886</v>
      </c>
      <c r="I251" s="157" t="s">
        <v>5634</v>
      </c>
      <c r="J251" s="157">
        <v>2025.0</v>
      </c>
    </row>
    <row r="252">
      <c r="A252" s="218">
        <f t="shared" si="2"/>
        <v>249</v>
      </c>
      <c r="B252" s="218" t="s">
        <v>202</v>
      </c>
      <c r="C252" s="236" t="str">
        <f t="shared" si="1"/>
        <v>KB/0572/2025</v>
      </c>
      <c r="D252" s="218" t="b">
        <v>1</v>
      </c>
      <c r="E252" s="219" t="b">
        <v>0</v>
      </c>
      <c r="F252" s="219"/>
      <c r="G252" s="173"/>
      <c r="H252" s="157" t="s">
        <v>5886</v>
      </c>
      <c r="I252" s="157" t="s">
        <v>5635</v>
      </c>
      <c r="J252" s="157">
        <v>2025.0</v>
      </c>
    </row>
    <row r="253">
      <c r="A253" s="218">
        <f t="shared" si="2"/>
        <v>250</v>
      </c>
      <c r="B253" s="218" t="s">
        <v>202</v>
      </c>
      <c r="C253" s="236" t="str">
        <f t="shared" si="1"/>
        <v>KB/0573/2025</v>
      </c>
      <c r="D253" s="218" t="b">
        <v>1</v>
      </c>
      <c r="E253" s="219" t="b">
        <v>0</v>
      </c>
      <c r="F253" s="219"/>
      <c r="G253" s="173"/>
      <c r="H253" s="157" t="s">
        <v>5886</v>
      </c>
      <c r="I253" s="157" t="s">
        <v>5636</v>
      </c>
      <c r="J253" s="157">
        <v>2025.0</v>
      </c>
    </row>
    <row r="254">
      <c r="A254" s="218">
        <f t="shared" si="2"/>
        <v>251</v>
      </c>
      <c r="B254" s="218" t="s">
        <v>202</v>
      </c>
      <c r="C254" s="236" t="str">
        <f t="shared" si="1"/>
        <v>KB/0574/2025</v>
      </c>
      <c r="D254" s="218" t="b">
        <v>1</v>
      </c>
      <c r="E254" s="219" t="b">
        <v>0</v>
      </c>
      <c r="F254" s="219"/>
      <c r="G254" s="173"/>
      <c r="H254" s="157" t="s">
        <v>5886</v>
      </c>
      <c r="I254" s="157" t="s">
        <v>5637</v>
      </c>
      <c r="J254" s="157">
        <v>2025.0</v>
      </c>
    </row>
    <row r="255">
      <c r="A255" s="218">
        <f t="shared" si="2"/>
        <v>252</v>
      </c>
      <c r="B255" s="218" t="s">
        <v>202</v>
      </c>
      <c r="C255" s="236" t="str">
        <f t="shared" si="1"/>
        <v>KB/0575/2025</v>
      </c>
      <c r="D255" s="218" t="b">
        <v>1</v>
      </c>
      <c r="E255" s="219" t="b">
        <v>0</v>
      </c>
      <c r="F255" s="219"/>
      <c r="G255" s="173"/>
      <c r="H255" s="157" t="s">
        <v>5886</v>
      </c>
      <c r="I255" s="157" t="s">
        <v>5638</v>
      </c>
      <c r="J255" s="157">
        <v>2025.0</v>
      </c>
    </row>
    <row r="256">
      <c r="A256" s="218">
        <f t="shared" si="2"/>
        <v>253</v>
      </c>
      <c r="B256" s="218" t="s">
        <v>202</v>
      </c>
      <c r="C256" s="236" t="str">
        <f t="shared" si="1"/>
        <v>KB/0576/2025</v>
      </c>
      <c r="D256" s="218" t="b">
        <v>1</v>
      </c>
      <c r="E256" s="219" t="b">
        <v>0</v>
      </c>
      <c r="F256" s="219"/>
      <c r="G256" s="173"/>
      <c r="H256" s="157" t="s">
        <v>5886</v>
      </c>
      <c r="I256" s="157" t="s">
        <v>5639</v>
      </c>
      <c r="J256" s="157">
        <v>2025.0</v>
      </c>
    </row>
    <row r="257">
      <c r="A257" s="218">
        <f t="shared" si="2"/>
        <v>254</v>
      </c>
      <c r="B257" s="218" t="s">
        <v>202</v>
      </c>
      <c r="C257" s="236" t="str">
        <f t="shared" si="1"/>
        <v>KB/0577/2025</v>
      </c>
      <c r="D257" s="218" t="b">
        <v>1</v>
      </c>
      <c r="E257" s="219" t="b">
        <v>0</v>
      </c>
      <c r="F257" s="219"/>
      <c r="G257" s="173"/>
      <c r="H257" s="157" t="s">
        <v>5886</v>
      </c>
      <c r="I257" s="157" t="s">
        <v>5640</v>
      </c>
      <c r="J257" s="157">
        <v>2025.0</v>
      </c>
    </row>
    <row r="258">
      <c r="A258" s="218">
        <f t="shared" si="2"/>
        <v>255</v>
      </c>
      <c r="B258" s="218" t="s">
        <v>202</v>
      </c>
      <c r="C258" s="236" t="str">
        <f t="shared" si="1"/>
        <v>KB/0578/2025</v>
      </c>
      <c r="D258" s="218" t="b">
        <v>1</v>
      </c>
      <c r="E258" s="219" t="b">
        <v>0</v>
      </c>
      <c r="F258" s="219"/>
      <c r="G258" s="173"/>
      <c r="H258" s="157" t="s">
        <v>5886</v>
      </c>
      <c r="I258" s="157" t="s">
        <v>5641</v>
      </c>
      <c r="J258" s="157">
        <v>2025.0</v>
      </c>
    </row>
    <row r="259">
      <c r="A259" s="218">
        <f t="shared" si="2"/>
        <v>256</v>
      </c>
      <c r="B259" s="218" t="s">
        <v>202</v>
      </c>
      <c r="C259" s="236" t="str">
        <f t="shared" si="1"/>
        <v>KB/0579/2025</v>
      </c>
      <c r="D259" s="218" t="b">
        <v>1</v>
      </c>
      <c r="E259" s="219" t="b">
        <v>0</v>
      </c>
      <c r="F259" s="219"/>
      <c r="G259" s="173"/>
      <c r="H259" s="157" t="s">
        <v>5886</v>
      </c>
      <c r="I259" s="157" t="s">
        <v>5642</v>
      </c>
      <c r="J259" s="157">
        <v>2025.0</v>
      </c>
    </row>
    <row r="260">
      <c r="A260" s="218">
        <f t="shared" si="2"/>
        <v>257</v>
      </c>
      <c r="B260" s="218" t="s">
        <v>202</v>
      </c>
      <c r="C260" s="236" t="str">
        <f t="shared" si="1"/>
        <v>KB/0580/2025</v>
      </c>
      <c r="D260" s="218" t="b">
        <v>1</v>
      </c>
      <c r="E260" s="219" t="b">
        <v>0</v>
      </c>
      <c r="F260" s="219"/>
      <c r="G260" s="173"/>
      <c r="H260" s="157" t="s">
        <v>5886</v>
      </c>
      <c r="I260" s="157" t="s">
        <v>5643</v>
      </c>
      <c r="J260" s="157">
        <v>2025.0</v>
      </c>
    </row>
    <row r="261">
      <c r="A261" s="218">
        <f t="shared" si="2"/>
        <v>258</v>
      </c>
      <c r="B261" s="218" t="s">
        <v>202</v>
      </c>
      <c r="C261" s="236" t="str">
        <f t="shared" si="1"/>
        <v>KB/0581/2025</v>
      </c>
      <c r="D261" s="218" t="b">
        <v>1</v>
      </c>
      <c r="E261" s="219" t="b">
        <v>0</v>
      </c>
      <c r="F261" s="219"/>
      <c r="G261" s="173"/>
      <c r="H261" s="157" t="s">
        <v>5886</v>
      </c>
      <c r="I261" s="157" t="s">
        <v>5644</v>
      </c>
      <c r="J261" s="157">
        <v>2025.0</v>
      </c>
    </row>
    <row r="262">
      <c r="A262" s="218">
        <f t="shared" si="2"/>
        <v>259</v>
      </c>
      <c r="B262" s="218" t="s">
        <v>202</v>
      </c>
      <c r="C262" s="236" t="str">
        <f t="shared" si="1"/>
        <v>KB/0582/2025</v>
      </c>
      <c r="D262" s="218" t="b">
        <v>1</v>
      </c>
      <c r="E262" s="219" t="b">
        <v>0</v>
      </c>
      <c r="F262" s="219"/>
      <c r="G262" s="173"/>
      <c r="H262" s="157" t="s">
        <v>5886</v>
      </c>
      <c r="I262" s="157" t="s">
        <v>5645</v>
      </c>
      <c r="J262" s="157">
        <v>2025.0</v>
      </c>
    </row>
    <row r="263">
      <c r="A263" s="218">
        <f t="shared" si="2"/>
        <v>260</v>
      </c>
      <c r="B263" s="218" t="s">
        <v>202</v>
      </c>
      <c r="C263" s="236" t="str">
        <f t="shared" si="1"/>
        <v>KB/0583/2025</v>
      </c>
      <c r="D263" s="218" t="b">
        <v>1</v>
      </c>
      <c r="E263" s="219" t="b">
        <v>0</v>
      </c>
      <c r="F263" s="219"/>
      <c r="G263" s="173"/>
      <c r="H263" s="157" t="s">
        <v>5886</v>
      </c>
      <c r="I263" s="157" t="s">
        <v>5646</v>
      </c>
      <c r="J263" s="157">
        <v>2025.0</v>
      </c>
    </row>
    <row r="264">
      <c r="A264" s="218">
        <f t="shared" si="2"/>
        <v>261</v>
      </c>
      <c r="B264" s="218" t="s">
        <v>202</v>
      </c>
      <c r="C264" s="236" t="str">
        <f t="shared" si="1"/>
        <v>KB/0584/2025</v>
      </c>
      <c r="D264" s="218" t="b">
        <v>1</v>
      </c>
      <c r="E264" s="219" t="b">
        <v>0</v>
      </c>
      <c r="F264" s="219"/>
      <c r="G264" s="173"/>
      <c r="H264" s="157" t="s">
        <v>5886</v>
      </c>
      <c r="I264" s="157" t="s">
        <v>5647</v>
      </c>
      <c r="J264" s="157">
        <v>2025.0</v>
      </c>
    </row>
    <row r="265">
      <c r="A265" s="218">
        <f t="shared" si="2"/>
        <v>262</v>
      </c>
      <c r="B265" s="218" t="s">
        <v>202</v>
      </c>
      <c r="C265" s="236" t="str">
        <f t="shared" si="1"/>
        <v>KB/0585/2025</v>
      </c>
      <c r="D265" s="218" t="b">
        <v>1</v>
      </c>
      <c r="E265" s="219" t="b">
        <v>0</v>
      </c>
      <c r="F265" s="219"/>
      <c r="G265" s="173"/>
      <c r="H265" s="157" t="s">
        <v>5886</v>
      </c>
      <c r="I265" s="157" t="s">
        <v>5648</v>
      </c>
      <c r="J265" s="157">
        <v>2025.0</v>
      </c>
    </row>
    <row r="266">
      <c r="A266" s="218">
        <f t="shared" si="2"/>
        <v>263</v>
      </c>
      <c r="B266" s="218" t="s">
        <v>202</v>
      </c>
      <c r="C266" s="236" t="str">
        <f t="shared" si="1"/>
        <v>KB/0586/2025</v>
      </c>
      <c r="D266" s="218" t="b">
        <v>1</v>
      </c>
      <c r="E266" s="219" t="b">
        <v>0</v>
      </c>
      <c r="F266" s="219"/>
      <c r="G266" s="173"/>
      <c r="H266" s="157" t="s">
        <v>5886</v>
      </c>
      <c r="I266" s="157" t="s">
        <v>5649</v>
      </c>
      <c r="J266" s="157">
        <v>2025.0</v>
      </c>
    </row>
    <row r="267">
      <c r="A267" s="218">
        <f t="shared" si="2"/>
        <v>264</v>
      </c>
      <c r="B267" s="218" t="s">
        <v>202</v>
      </c>
      <c r="C267" s="236" t="str">
        <f t="shared" si="1"/>
        <v>KB/0587/2025</v>
      </c>
      <c r="D267" s="218" t="b">
        <v>1</v>
      </c>
      <c r="E267" s="219" t="b">
        <v>0</v>
      </c>
      <c r="F267" s="219"/>
      <c r="G267" s="173"/>
      <c r="H267" s="157" t="s">
        <v>5886</v>
      </c>
      <c r="I267" s="157" t="s">
        <v>5650</v>
      </c>
      <c r="J267" s="157">
        <v>2025.0</v>
      </c>
    </row>
    <row r="268">
      <c r="A268" s="218">
        <f t="shared" si="2"/>
        <v>265</v>
      </c>
      <c r="B268" s="218" t="s">
        <v>202</v>
      </c>
      <c r="C268" s="236" t="str">
        <f t="shared" si="1"/>
        <v>KB/0588/2025</v>
      </c>
      <c r="D268" s="218" t="b">
        <v>1</v>
      </c>
      <c r="E268" s="219" t="b">
        <v>0</v>
      </c>
      <c r="F268" s="219"/>
      <c r="G268" s="173"/>
      <c r="H268" s="157" t="s">
        <v>5886</v>
      </c>
      <c r="I268" s="157" t="s">
        <v>5651</v>
      </c>
      <c r="J268" s="157">
        <v>2025.0</v>
      </c>
    </row>
    <row r="269">
      <c r="A269" s="218">
        <f t="shared" si="2"/>
        <v>266</v>
      </c>
      <c r="B269" s="218" t="s">
        <v>202</v>
      </c>
      <c r="C269" s="236" t="str">
        <f t="shared" si="1"/>
        <v>KB/0589/2025</v>
      </c>
      <c r="D269" s="218" t="b">
        <v>1</v>
      </c>
      <c r="E269" s="219" t="b">
        <v>0</v>
      </c>
      <c r="F269" s="219"/>
      <c r="G269" s="173"/>
      <c r="H269" s="157" t="s">
        <v>5886</v>
      </c>
      <c r="I269" s="157" t="s">
        <v>5652</v>
      </c>
      <c r="J269" s="157">
        <v>2025.0</v>
      </c>
    </row>
    <row r="270">
      <c r="A270" s="218">
        <f t="shared" si="2"/>
        <v>267</v>
      </c>
      <c r="B270" s="218" t="s">
        <v>202</v>
      </c>
      <c r="C270" s="236" t="str">
        <f t="shared" si="1"/>
        <v>KB/0590/2025</v>
      </c>
      <c r="D270" s="218" t="b">
        <v>1</v>
      </c>
      <c r="E270" s="219" t="b">
        <v>0</v>
      </c>
      <c r="F270" s="219"/>
      <c r="G270" s="173"/>
      <c r="H270" s="157" t="s">
        <v>5886</v>
      </c>
      <c r="I270" s="157" t="s">
        <v>5653</v>
      </c>
      <c r="J270" s="157">
        <v>2025.0</v>
      </c>
    </row>
    <row r="271">
      <c r="A271" s="218">
        <f t="shared" si="2"/>
        <v>268</v>
      </c>
      <c r="B271" s="218" t="s">
        <v>202</v>
      </c>
      <c r="C271" s="236" t="str">
        <f t="shared" si="1"/>
        <v>KB/0591/2025</v>
      </c>
      <c r="D271" s="218" t="b">
        <v>1</v>
      </c>
      <c r="E271" s="219" t="b">
        <v>0</v>
      </c>
      <c r="F271" s="219"/>
      <c r="G271" s="173"/>
      <c r="H271" s="157" t="s">
        <v>5886</v>
      </c>
      <c r="I271" s="157" t="s">
        <v>5654</v>
      </c>
      <c r="J271" s="157">
        <v>2025.0</v>
      </c>
    </row>
    <row r="272">
      <c r="A272" s="218">
        <f t="shared" si="2"/>
        <v>269</v>
      </c>
      <c r="B272" s="218" t="s">
        <v>202</v>
      </c>
      <c r="C272" s="236" t="str">
        <f t="shared" si="1"/>
        <v>KB/0592/2025</v>
      </c>
      <c r="D272" s="218" t="b">
        <v>1</v>
      </c>
      <c r="E272" s="219" t="b">
        <v>0</v>
      </c>
      <c r="F272" s="219"/>
      <c r="G272" s="173"/>
      <c r="H272" s="157" t="s">
        <v>5886</v>
      </c>
      <c r="I272" s="157" t="s">
        <v>5655</v>
      </c>
      <c r="J272" s="157">
        <v>2025.0</v>
      </c>
    </row>
    <row r="273">
      <c r="A273" s="218">
        <f t="shared" si="2"/>
        <v>270</v>
      </c>
      <c r="B273" s="218" t="s">
        <v>202</v>
      </c>
      <c r="C273" s="236" t="str">
        <f t="shared" si="1"/>
        <v>KB/0593/2025</v>
      </c>
      <c r="D273" s="218" t="b">
        <v>1</v>
      </c>
      <c r="E273" s="219" t="b">
        <v>0</v>
      </c>
      <c r="F273" s="219"/>
      <c r="G273" s="173"/>
      <c r="H273" s="157" t="s">
        <v>5886</v>
      </c>
      <c r="I273" s="157" t="s">
        <v>5656</v>
      </c>
      <c r="J273" s="157">
        <v>2025.0</v>
      </c>
    </row>
    <row r="274">
      <c r="A274" s="218">
        <f t="shared" si="2"/>
        <v>271</v>
      </c>
      <c r="B274" s="218" t="s">
        <v>202</v>
      </c>
      <c r="C274" s="236" t="str">
        <f t="shared" si="1"/>
        <v>KB/0594/2025</v>
      </c>
      <c r="D274" s="218" t="b">
        <v>1</v>
      </c>
      <c r="E274" s="219" t="b">
        <v>0</v>
      </c>
      <c r="F274" s="219"/>
      <c r="G274" s="173"/>
      <c r="H274" s="157" t="s">
        <v>5886</v>
      </c>
      <c r="I274" s="157" t="s">
        <v>5657</v>
      </c>
      <c r="J274" s="157">
        <v>2025.0</v>
      </c>
    </row>
    <row r="275">
      <c r="A275" s="218">
        <f t="shared" si="2"/>
        <v>272</v>
      </c>
      <c r="B275" s="218" t="s">
        <v>202</v>
      </c>
      <c r="C275" s="236" t="str">
        <f t="shared" si="1"/>
        <v>KB/0595/2025</v>
      </c>
      <c r="D275" s="218" t="b">
        <v>1</v>
      </c>
      <c r="E275" s="219" t="b">
        <v>0</v>
      </c>
      <c r="F275" s="219"/>
      <c r="G275" s="173"/>
      <c r="H275" s="157" t="s">
        <v>5886</v>
      </c>
      <c r="I275" s="157" t="s">
        <v>5658</v>
      </c>
      <c r="J275" s="157">
        <v>2025.0</v>
      </c>
    </row>
    <row r="276">
      <c r="A276" s="218">
        <f t="shared" si="2"/>
        <v>273</v>
      </c>
      <c r="B276" s="218" t="s">
        <v>202</v>
      </c>
      <c r="C276" s="236" t="str">
        <f t="shared" si="1"/>
        <v>KB/0596/2025</v>
      </c>
      <c r="D276" s="218" t="b">
        <v>1</v>
      </c>
      <c r="E276" s="219" t="b">
        <v>0</v>
      </c>
      <c r="F276" s="219"/>
      <c r="G276" s="173"/>
      <c r="H276" s="157" t="s">
        <v>5886</v>
      </c>
      <c r="I276" s="157" t="s">
        <v>5659</v>
      </c>
      <c r="J276" s="157">
        <v>2025.0</v>
      </c>
    </row>
    <row r="277">
      <c r="A277" s="218">
        <f t="shared" si="2"/>
        <v>274</v>
      </c>
      <c r="B277" s="218" t="s">
        <v>202</v>
      </c>
      <c r="C277" s="236" t="str">
        <f t="shared" si="1"/>
        <v>KB/0597/2025</v>
      </c>
      <c r="D277" s="218" t="b">
        <v>1</v>
      </c>
      <c r="E277" s="219" t="b">
        <v>0</v>
      </c>
      <c r="F277" s="219"/>
      <c r="G277" s="173"/>
      <c r="H277" s="157" t="s">
        <v>5886</v>
      </c>
      <c r="I277" s="157" t="s">
        <v>5660</v>
      </c>
      <c r="J277" s="157">
        <v>2025.0</v>
      </c>
    </row>
    <row r="278">
      <c r="A278" s="218">
        <f t="shared" si="2"/>
        <v>275</v>
      </c>
      <c r="B278" s="218" t="s">
        <v>202</v>
      </c>
      <c r="C278" s="236" t="str">
        <f t="shared" si="1"/>
        <v>KB/0598/2025</v>
      </c>
      <c r="D278" s="218" t="b">
        <v>1</v>
      </c>
      <c r="E278" s="219" t="b">
        <v>0</v>
      </c>
      <c r="F278" s="219"/>
      <c r="G278" s="173"/>
      <c r="H278" s="157" t="s">
        <v>5886</v>
      </c>
      <c r="I278" s="157" t="s">
        <v>5661</v>
      </c>
      <c r="J278" s="157">
        <v>2025.0</v>
      </c>
    </row>
    <row r="279">
      <c r="A279" s="218">
        <f t="shared" si="2"/>
        <v>276</v>
      </c>
      <c r="B279" s="218" t="s">
        <v>202</v>
      </c>
      <c r="C279" s="236" t="str">
        <f t="shared" si="1"/>
        <v>KB/0599/2025</v>
      </c>
      <c r="D279" s="218" t="b">
        <v>1</v>
      </c>
      <c r="E279" s="219" t="b">
        <v>0</v>
      </c>
      <c r="F279" s="219"/>
      <c r="G279" s="173"/>
      <c r="H279" s="157" t="s">
        <v>5886</v>
      </c>
      <c r="I279" s="157" t="s">
        <v>5662</v>
      </c>
      <c r="J279" s="157">
        <v>2025.0</v>
      </c>
    </row>
    <row r="280">
      <c r="A280" s="218">
        <f t="shared" si="2"/>
        <v>277</v>
      </c>
      <c r="B280" s="218" t="s">
        <v>202</v>
      </c>
      <c r="C280" s="236" t="str">
        <f t="shared" si="1"/>
        <v>KB/0600/2025</v>
      </c>
      <c r="D280" s="218" t="b">
        <v>1</v>
      </c>
      <c r="E280" s="219" t="b">
        <v>0</v>
      </c>
      <c r="F280" s="219"/>
      <c r="G280" s="173"/>
      <c r="H280" s="157" t="s">
        <v>5886</v>
      </c>
      <c r="I280" s="157" t="s">
        <v>5663</v>
      </c>
      <c r="J280" s="157">
        <v>2025.0</v>
      </c>
    </row>
    <row r="281">
      <c r="A281" s="218">
        <f t="shared" si="2"/>
        <v>278</v>
      </c>
      <c r="B281" s="218" t="s">
        <v>202</v>
      </c>
      <c r="C281" s="236" t="str">
        <f t="shared" si="1"/>
        <v>KB/0601/2025</v>
      </c>
      <c r="D281" s="218" t="b">
        <v>1</v>
      </c>
      <c r="E281" s="219" t="b">
        <v>0</v>
      </c>
      <c r="F281" s="219"/>
      <c r="G281" s="173"/>
      <c r="H281" s="157" t="s">
        <v>5886</v>
      </c>
      <c r="I281" s="157" t="s">
        <v>5664</v>
      </c>
      <c r="J281" s="157">
        <v>2025.0</v>
      </c>
    </row>
    <row r="282">
      <c r="A282" s="218">
        <f t="shared" si="2"/>
        <v>279</v>
      </c>
      <c r="B282" s="218" t="s">
        <v>202</v>
      </c>
      <c r="C282" s="236" t="str">
        <f t="shared" si="1"/>
        <v>KB/0602/2025</v>
      </c>
      <c r="D282" s="218" t="b">
        <v>1</v>
      </c>
      <c r="E282" s="219" t="b">
        <v>0</v>
      </c>
      <c r="F282" s="219"/>
      <c r="G282" s="173"/>
      <c r="H282" s="157" t="s">
        <v>5886</v>
      </c>
      <c r="I282" s="157" t="s">
        <v>5665</v>
      </c>
      <c r="J282" s="157">
        <v>2025.0</v>
      </c>
    </row>
    <row r="283">
      <c r="A283" s="218">
        <f t="shared" si="2"/>
        <v>280</v>
      </c>
      <c r="B283" s="218" t="s">
        <v>202</v>
      </c>
      <c r="C283" s="236" t="str">
        <f t="shared" si="1"/>
        <v>KB/0603/2025</v>
      </c>
      <c r="D283" s="218" t="b">
        <v>1</v>
      </c>
      <c r="E283" s="219" t="b">
        <v>0</v>
      </c>
      <c r="F283" s="219"/>
      <c r="G283" s="173"/>
      <c r="H283" s="157" t="s">
        <v>5886</v>
      </c>
      <c r="I283" s="157" t="s">
        <v>5666</v>
      </c>
      <c r="J283" s="157">
        <v>2025.0</v>
      </c>
    </row>
    <row r="284">
      <c r="A284" s="218">
        <f t="shared" si="2"/>
        <v>281</v>
      </c>
      <c r="B284" s="218" t="s">
        <v>202</v>
      </c>
      <c r="C284" s="236" t="str">
        <f t="shared" si="1"/>
        <v>KB/0604/2025</v>
      </c>
      <c r="D284" s="218" t="b">
        <v>1</v>
      </c>
      <c r="E284" s="219" t="b">
        <v>0</v>
      </c>
      <c r="F284" s="219"/>
      <c r="G284" s="173"/>
      <c r="H284" s="157" t="s">
        <v>5886</v>
      </c>
      <c r="I284" s="157" t="s">
        <v>5667</v>
      </c>
      <c r="J284" s="157">
        <v>2025.0</v>
      </c>
    </row>
    <row r="285">
      <c r="A285" s="218">
        <f t="shared" si="2"/>
        <v>282</v>
      </c>
      <c r="B285" s="218" t="s">
        <v>202</v>
      </c>
      <c r="C285" s="236" t="str">
        <f t="shared" si="1"/>
        <v>KB/0605/2025</v>
      </c>
      <c r="D285" s="218" t="b">
        <v>1</v>
      </c>
      <c r="E285" s="219" t="b">
        <v>0</v>
      </c>
      <c r="F285" s="219"/>
      <c r="G285" s="173"/>
      <c r="H285" s="157" t="s">
        <v>5886</v>
      </c>
      <c r="I285" s="157" t="s">
        <v>5668</v>
      </c>
      <c r="J285" s="157">
        <v>2025.0</v>
      </c>
    </row>
    <row r="286">
      <c r="A286" s="218">
        <f t="shared" si="2"/>
        <v>283</v>
      </c>
      <c r="B286" s="218" t="s">
        <v>202</v>
      </c>
      <c r="C286" s="236" t="str">
        <f t="shared" si="1"/>
        <v>KB/0606/2025</v>
      </c>
      <c r="D286" s="218" t="b">
        <v>1</v>
      </c>
      <c r="E286" s="219" t="b">
        <v>0</v>
      </c>
      <c r="F286" s="219"/>
      <c r="G286" s="173"/>
      <c r="H286" s="157" t="s">
        <v>5886</v>
      </c>
      <c r="I286" s="157" t="s">
        <v>5669</v>
      </c>
      <c r="J286" s="157">
        <v>2025.0</v>
      </c>
    </row>
    <row r="287">
      <c r="A287" s="218">
        <f t="shared" si="2"/>
        <v>284</v>
      </c>
      <c r="B287" s="218" t="s">
        <v>202</v>
      </c>
      <c r="C287" s="236" t="str">
        <f t="shared" si="1"/>
        <v>KB/0607/2025</v>
      </c>
      <c r="D287" s="218" t="b">
        <v>1</v>
      </c>
      <c r="E287" s="219" t="b">
        <v>0</v>
      </c>
      <c r="F287" s="219"/>
      <c r="G287" s="173"/>
      <c r="H287" s="157" t="s">
        <v>5886</v>
      </c>
      <c r="I287" s="157" t="s">
        <v>5670</v>
      </c>
      <c r="J287" s="157">
        <v>2025.0</v>
      </c>
    </row>
    <row r="288">
      <c r="A288" s="218">
        <f t="shared" si="2"/>
        <v>285</v>
      </c>
      <c r="B288" s="218" t="s">
        <v>202</v>
      </c>
      <c r="C288" s="236" t="str">
        <f t="shared" si="1"/>
        <v>KB/0608/2025</v>
      </c>
      <c r="D288" s="218" t="b">
        <v>1</v>
      </c>
      <c r="E288" s="219" t="b">
        <v>0</v>
      </c>
      <c r="F288" s="219"/>
      <c r="G288" s="173"/>
      <c r="H288" s="157" t="s">
        <v>5886</v>
      </c>
      <c r="I288" s="157" t="s">
        <v>5671</v>
      </c>
      <c r="J288" s="157">
        <v>2025.0</v>
      </c>
    </row>
    <row r="289">
      <c r="A289" s="218">
        <f t="shared" si="2"/>
        <v>286</v>
      </c>
      <c r="B289" s="218" t="s">
        <v>202</v>
      </c>
      <c r="C289" s="236" t="str">
        <f t="shared" si="1"/>
        <v>KB/0609/2025</v>
      </c>
      <c r="D289" s="218" t="b">
        <v>1</v>
      </c>
      <c r="E289" s="219" t="b">
        <v>0</v>
      </c>
      <c r="F289" s="219"/>
      <c r="G289" s="173"/>
      <c r="H289" s="157" t="s">
        <v>5886</v>
      </c>
      <c r="I289" s="157" t="s">
        <v>5672</v>
      </c>
      <c r="J289" s="157">
        <v>2025.0</v>
      </c>
    </row>
    <row r="290">
      <c r="A290" s="218">
        <f t="shared" si="2"/>
        <v>287</v>
      </c>
      <c r="B290" s="218" t="s">
        <v>202</v>
      </c>
      <c r="C290" s="236" t="str">
        <f t="shared" si="1"/>
        <v>KB/0610/2025</v>
      </c>
      <c r="D290" s="218" t="b">
        <v>1</v>
      </c>
      <c r="E290" s="219" t="b">
        <v>0</v>
      </c>
      <c r="F290" s="219"/>
      <c r="G290" s="173"/>
      <c r="H290" s="157" t="s">
        <v>5886</v>
      </c>
      <c r="I290" s="157" t="s">
        <v>5673</v>
      </c>
      <c r="J290" s="157">
        <v>2025.0</v>
      </c>
    </row>
    <row r="291">
      <c r="A291" s="218">
        <f t="shared" si="2"/>
        <v>288</v>
      </c>
      <c r="B291" s="218" t="s">
        <v>202</v>
      </c>
      <c r="C291" s="236" t="str">
        <f t="shared" si="1"/>
        <v>KB/0611/2025</v>
      </c>
      <c r="D291" s="218" t="b">
        <v>1</v>
      </c>
      <c r="E291" s="219" t="b">
        <v>0</v>
      </c>
      <c r="F291" s="219"/>
      <c r="G291" s="173"/>
      <c r="H291" s="157" t="s">
        <v>5886</v>
      </c>
      <c r="I291" s="157" t="s">
        <v>5674</v>
      </c>
      <c r="J291" s="157">
        <v>2025.0</v>
      </c>
    </row>
    <row r="292">
      <c r="A292" s="218">
        <f t="shared" si="2"/>
        <v>289</v>
      </c>
      <c r="B292" s="218" t="s">
        <v>202</v>
      </c>
      <c r="C292" s="236" t="str">
        <f t="shared" si="1"/>
        <v>KB/0612/2025</v>
      </c>
      <c r="D292" s="218" t="b">
        <v>1</v>
      </c>
      <c r="E292" s="219" t="b">
        <v>0</v>
      </c>
      <c r="F292" s="219"/>
      <c r="G292" s="173"/>
      <c r="H292" s="157" t="s">
        <v>5886</v>
      </c>
      <c r="I292" s="157" t="s">
        <v>5675</v>
      </c>
      <c r="J292" s="157">
        <v>2025.0</v>
      </c>
    </row>
    <row r="293">
      <c r="A293" s="218">
        <f t="shared" si="2"/>
        <v>290</v>
      </c>
      <c r="B293" s="218" t="s">
        <v>202</v>
      </c>
      <c r="C293" s="236" t="str">
        <f t="shared" si="1"/>
        <v>KB/0613/2025</v>
      </c>
      <c r="D293" s="218" t="b">
        <v>1</v>
      </c>
      <c r="E293" s="219" t="b">
        <v>0</v>
      </c>
      <c r="F293" s="219"/>
      <c r="G293" s="173"/>
      <c r="H293" s="157" t="s">
        <v>5886</v>
      </c>
      <c r="I293" s="157" t="s">
        <v>5676</v>
      </c>
      <c r="J293" s="157">
        <v>2025.0</v>
      </c>
    </row>
    <row r="294">
      <c r="A294" s="218">
        <f t="shared" si="2"/>
        <v>291</v>
      </c>
      <c r="B294" s="218" t="s">
        <v>202</v>
      </c>
      <c r="C294" s="236" t="str">
        <f t="shared" si="1"/>
        <v>KB/0614/2025</v>
      </c>
      <c r="D294" s="218" t="b">
        <v>1</v>
      </c>
      <c r="E294" s="219" t="b">
        <v>0</v>
      </c>
      <c r="F294" s="219"/>
      <c r="G294" s="173"/>
      <c r="H294" s="157" t="s">
        <v>5886</v>
      </c>
      <c r="I294" s="157" t="s">
        <v>5677</v>
      </c>
      <c r="J294" s="157">
        <v>2025.0</v>
      </c>
    </row>
    <row r="295">
      <c r="A295" s="218">
        <f t="shared" si="2"/>
        <v>292</v>
      </c>
      <c r="B295" s="218" t="s">
        <v>202</v>
      </c>
      <c r="C295" s="236" t="str">
        <f t="shared" si="1"/>
        <v>KB/0615/2025</v>
      </c>
      <c r="D295" s="218" t="b">
        <v>1</v>
      </c>
      <c r="E295" s="219" t="b">
        <v>0</v>
      </c>
      <c r="F295" s="219"/>
      <c r="G295" s="173"/>
      <c r="H295" s="157" t="s">
        <v>5886</v>
      </c>
      <c r="I295" s="157" t="s">
        <v>5678</v>
      </c>
      <c r="J295" s="157">
        <v>2025.0</v>
      </c>
    </row>
    <row r="296">
      <c r="A296" s="218">
        <f t="shared" si="2"/>
        <v>293</v>
      </c>
      <c r="B296" s="218" t="s">
        <v>202</v>
      </c>
      <c r="C296" s="236" t="str">
        <f t="shared" si="1"/>
        <v>KB/0616/2025</v>
      </c>
      <c r="D296" s="218" t="b">
        <v>1</v>
      </c>
      <c r="E296" s="219" t="b">
        <v>0</v>
      </c>
      <c r="F296" s="219"/>
      <c r="G296" s="173"/>
      <c r="H296" s="157" t="s">
        <v>5886</v>
      </c>
      <c r="I296" s="157" t="s">
        <v>5679</v>
      </c>
      <c r="J296" s="157">
        <v>2025.0</v>
      </c>
    </row>
    <row r="297">
      <c r="A297" s="218">
        <f t="shared" si="2"/>
        <v>294</v>
      </c>
      <c r="B297" s="218" t="s">
        <v>202</v>
      </c>
      <c r="C297" s="236" t="str">
        <f t="shared" si="1"/>
        <v>KB/0617/2025</v>
      </c>
      <c r="D297" s="218" t="b">
        <v>1</v>
      </c>
      <c r="E297" s="219" t="b">
        <v>0</v>
      </c>
      <c r="F297" s="219"/>
      <c r="G297" s="173"/>
      <c r="H297" s="157" t="s">
        <v>5886</v>
      </c>
      <c r="I297" s="157" t="s">
        <v>5680</v>
      </c>
      <c r="J297" s="157">
        <v>2025.0</v>
      </c>
    </row>
    <row r="298">
      <c r="A298" s="218">
        <f t="shared" si="2"/>
        <v>295</v>
      </c>
      <c r="B298" s="218" t="s">
        <v>202</v>
      </c>
      <c r="C298" s="236" t="str">
        <f t="shared" si="1"/>
        <v>KB/0618/2025</v>
      </c>
      <c r="D298" s="218" t="b">
        <v>1</v>
      </c>
      <c r="E298" s="219" t="b">
        <v>0</v>
      </c>
      <c r="F298" s="219"/>
      <c r="G298" s="173"/>
      <c r="H298" s="157" t="s">
        <v>5886</v>
      </c>
      <c r="I298" s="157" t="s">
        <v>5681</v>
      </c>
      <c r="J298" s="157">
        <v>2025.0</v>
      </c>
    </row>
    <row r="299">
      <c r="A299" s="218">
        <f t="shared" si="2"/>
        <v>296</v>
      </c>
      <c r="B299" s="218" t="s">
        <v>202</v>
      </c>
      <c r="C299" s="236" t="str">
        <f t="shared" si="1"/>
        <v>KB/0619/2025</v>
      </c>
      <c r="D299" s="218" t="b">
        <v>1</v>
      </c>
      <c r="E299" s="219" t="b">
        <v>0</v>
      </c>
      <c r="F299" s="219"/>
      <c r="G299" s="173"/>
      <c r="H299" s="157" t="s">
        <v>5886</v>
      </c>
      <c r="I299" s="157" t="s">
        <v>5682</v>
      </c>
      <c r="J299" s="157">
        <v>2025.0</v>
      </c>
    </row>
    <row r="300">
      <c r="A300" s="218">
        <f t="shared" si="2"/>
        <v>297</v>
      </c>
      <c r="B300" s="218" t="s">
        <v>202</v>
      </c>
      <c r="C300" s="236" t="str">
        <f t="shared" si="1"/>
        <v>KB/0620/2025</v>
      </c>
      <c r="D300" s="218" t="b">
        <v>1</v>
      </c>
      <c r="E300" s="219" t="b">
        <v>0</v>
      </c>
      <c r="F300" s="219"/>
      <c r="G300" s="173"/>
      <c r="H300" s="157" t="s">
        <v>5886</v>
      </c>
      <c r="I300" s="157" t="s">
        <v>5683</v>
      </c>
      <c r="J300" s="157">
        <v>2025.0</v>
      </c>
    </row>
    <row r="301">
      <c r="A301" s="218">
        <f t="shared" si="2"/>
        <v>298</v>
      </c>
      <c r="B301" s="218" t="s">
        <v>202</v>
      </c>
      <c r="C301" s="236" t="str">
        <f t="shared" si="1"/>
        <v>KB/0621/2025</v>
      </c>
      <c r="D301" s="218" t="b">
        <v>1</v>
      </c>
      <c r="E301" s="219" t="b">
        <v>0</v>
      </c>
      <c r="F301" s="219"/>
      <c r="G301" s="173"/>
      <c r="H301" s="157" t="s">
        <v>5886</v>
      </c>
      <c r="I301" s="157" t="s">
        <v>5684</v>
      </c>
      <c r="J301" s="157">
        <v>2025.0</v>
      </c>
    </row>
    <row r="302">
      <c r="A302" s="218">
        <f t="shared" si="2"/>
        <v>299</v>
      </c>
      <c r="B302" s="218" t="s">
        <v>202</v>
      </c>
      <c r="C302" s="236" t="str">
        <f t="shared" si="1"/>
        <v>KB/0622/2025</v>
      </c>
      <c r="D302" s="218" t="b">
        <v>1</v>
      </c>
      <c r="E302" s="219" t="b">
        <v>0</v>
      </c>
      <c r="F302" s="219"/>
      <c r="G302" s="173"/>
      <c r="H302" s="157" t="s">
        <v>5886</v>
      </c>
      <c r="I302" s="157" t="s">
        <v>5685</v>
      </c>
      <c r="J302" s="157">
        <v>2025.0</v>
      </c>
    </row>
    <row r="303">
      <c r="A303" s="218">
        <f t="shared" si="2"/>
        <v>300</v>
      </c>
      <c r="B303" s="218" t="s">
        <v>202</v>
      </c>
      <c r="C303" s="236" t="str">
        <f t="shared" si="1"/>
        <v>KB/0623/2025</v>
      </c>
      <c r="D303" s="218" t="b">
        <v>1</v>
      </c>
      <c r="E303" s="219" t="b">
        <v>0</v>
      </c>
      <c r="F303" s="219"/>
      <c r="G303" s="173"/>
      <c r="H303" s="157" t="s">
        <v>5886</v>
      </c>
      <c r="I303" s="157" t="s">
        <v>5686</v>
      </c>
      <c r="J303" s="157">
        <v>2025.0</v>
      </c>
    </row>
    <row r="304">
      <c r="A304" s="218">
        <f t="shared" si="2"/>
        <v>301</v>
      </c>
      <c r="B304" s="218" t="s">
        <v>202</v>
      </c>
      <c r="C304" s="236" t="str">
        <f t="shared" si="1"/>
        <v>KB/0624/2025</v>
      </c>
      <c r="D304" s="218" t="b">
        <v>1</v>
      </c>
      <c r="E304" s="219" t="b">
        <v>0</v>
      </c>
      <c r="F304" s="219"/>
      <c r="G304" s="173"/>
      <c r="H304" s="157" t="s">
        <v>5886</v>
      </c>
      <c r="I304" s="157" t="s">
        <v>5687</v>
      </c>
      <c r="J304" s="157">
        <v>2025.0</v>
      </c>
    </row>
    <row r="305">
      <c r="A305" s="218">
        <f t="shared" si="2"/>
        <v>302</v>
      </c>
      <c r="B305" s="218" t="s">
        <v>202</v>
      </c>
      <c r="C305" s="236" t="str">
        <f t="shared" si="1"/>
        <v>KB/0625/2025</v>
      </c>
      <c r="D305" s="218" t="b">
        <v>1</v>
      </c>
      <c r="E305" s="219" t="b">
        <v>0</v>
      </c>
      <c r="F305" s="219"/>
      <c r="G305" s="173"/>
      <c r="H305" s="157" t="s">
        <v>5886</v>
      </c>
      <c r="I305" s="157" t="s">
        <v>5688</v>
      </c>
      <c r="J305" s="157">
        <v>2025.0</v>
      </c>
    </row>
    <row r="306">
      <c r="A306" s="218">
        <f t="shared" si="2"/>
        <v>303</v>
      </c>
      <c r="B306" s="218" t="s">
        <v>202</v>
      </c>
      <c r="C306" s="236" t="str">
        <f t="shared" si="1"/>
        <v>KB/0626/2025</v>
      </c>
      <c r="D306" s="218" t="b">
        <v>1</v>
      </c>
      <c r="E306" s="219" t="b">
        <v>0</v>
      </c>
      <c r="F306" s="219"/>
      <c r="G306" s="173"/>
      <c r="H306" s="157" t="s">
        <v>5886</v>
      </c>
      <c r="I306" s="157" t="s">
        <v>5689</v>
      </c>
      <c r="J306" s="157">
        <v>2025.0</v>
      </c>
    </row>
    <row r="307">
      <c r="A307" s="218">
        <f t="shared" si="2"/>
        <v>304</v>
      </c>
      <c r="B307" s="218" t="s">
        <v>202</v>
      </c>
      <c r="C307" s="236" t="str">
        <f t="shared" si="1"/>
        <v>KB/0627/2025</v>
      </c>
      <c r="D307" s="218" t="b">
        <v>1</v>
      </c>
      <c r="E307" s="219" t="b">
        <v>0</v>
      </c>
      <c r="F307" s="219"/>
      <c r="G307" s="173"/>
      <c r="H307" s="157" t="s">
        <v>5886</v>
      </c>
      <c r="I307" s="157" t="s">
        <v>5690</v>
      </c>
      <c r="J307" s="157">
        <v>2025.0</v>
      </c>
    </row>
    <row r="308">
      <c r="A308" s="218">
        <f t="shared" si="2"/>
        <v>305</v>
      </c>
      <c r="B308" s="218" t="s">
        <v>202</v>
      </c>
      <c r="C308" s="236" t="str">
        <f t="shared" si="1"/>
        <v>KB/0628/2025</v>
      </c>
      <c r="D308" s="218" t="b">
        <v>1</v>
      </c>
      <c r="E308" s="219" t="b">
        <v>0</v>
      </c>
      <c r="F308" s="219"/>
      <c r="G308" s="173"/>
      <c r="H308" s="157" t="s">
        <v>5886</v>
      </c>
      <c r="I308" s="157" t="s">
        <v>5691</v>
      </c>
      <c r="J308" s="157">
        <v>2025.0</v>
      </c>
    </row>
    <row r="309">
      <c r="A309" s="218">
        <f t="shared" si="2"/>
        <v>306</v>
      </c>
      <c r="B309" s="218" t="s">
        <v>202</v>
      </c>
      <c r="C309" s="236" t="str">
        <f t="shared" si="1"/>
        <v>KB/0629/2025</v>
      </c>
      <c r="D309" s="218" t="b">
        <v>1</v>
      </c>
      <c r="E309" s="219" t="b">
        <v>0</v>
      </c>
      <c r="F309" s="219"/>
      <c r="G309" s="173"/>
      <c r="H309" s="157" t="s">
        <v>5886</v>
      </c>
      <c r="I309" s="157" t="s">
        <v>5692</v>
      </c>
      <c r="J309" s="157">
        <v>2025.0</v>
      </c>
    </row>
    <row r="310">
      <c r="A310" s="218">
        <f t="shared" si="2"/>
        <v>307</v>
      </c>
      <c r="B310" s="218" t="s">
        <v>202</v>
      </c>
      <c r="C310" s="236" t="str">
        <f t="shared" si="1"/>
        <v>KB/0630/2025</v>
      </c>
      <c r="D310" s="218" t="b">
        <v>1</v>
      </c>
      <c r="E310" s="219" t="b">
        <v>0</v>
      </c>
      <c r="F310" s="219"/>
      <c r="G310" s="173"/>
      <c r="H310" s="157" t="s">
        <v>5886</v>
      </c>
      <c r="I310" s="157" t="s">
        <v>5693</v>
      </c>
      <c r="J310" s="157">
        <v>2025.0</v>
      </c>
    </row>
    <row r="311">
      <c r="A311" s="218">
        <f t="shared" si="2"/>
        <v>308</v>
      </c>
      <c r="B311" s="218" t="s">
        <v>202</v>
      </c>
      <c r="C311" s="236" t="str">
        <f t="shared" si="1"/>
        <v>KB/0631/2025</v>
      </c>
      <c r="D311" s="218" t="b">
        <v>1</v>
      </c>
      <c r="E311" s="219" t="b">
        <v>0</v>
      </c>
      <c r="F311" s="219"/>
      <c r="G311" s="173"/>
      <c r="H311" s="157" t="s">
        <v>5886</v>
      </c>
      <c r="I311" s="157" t="s">
        <v>5694</v>
      </c>
      <c r="J311" s="157">
        <v>2025.0</v>
      </c>
    </row>
    <row r="312">
      <c r="A312" s="218">
        <f t="shared" si="2"/>
        <v>309</v>
      </c>
      <c r="B312" s="218" t="s">
        <v>202</v>
      </c>
      <c r="C312" s="236" t="str">
        <f t="shared" si="1"/>
        <v>KB/0632/2025</v>
      </c>
      <c r="D312" s="218" t="b">
        <v>1</v>
      </c>
      <c r="E312" s="219" t="b">
        <v>0</v>
      </c>
      <c r="F312" s="219"/>
      <c r="G312" s="173"/>
      <c r="H312" s="157" t="s">
        <v>5886</v>
      </c>
      <c r="I312" s="157" t="s">
        <v>5695</v>
      </c>
      <c r="J312" s="157">
        <v>2025.0</v>
      </c>
    </row>
    <row r="313">
      <c r="A313" s="218">
        <f t="shared" si="2"/>
        <v>310</v>
      </c>
      <c r="B313" s="218" t="s">
        <v>202</v>
      </c>
      <c r="C313" s="236" t="str">
        <f t="shared" si="1"/>
        <v>KB/0633/2025</v>
      </c>
      <c r="D313" s="218" t="b">
        <v>1</v>
      </c>
      <c r="E313" s="219" t="b">
        <v>0</v>
      </c>
      <c r="F313" s="219"/>
      <c r="G313" s="173"/>
      <c r="H313" s="157" t="s">
        <v>5886</v>
      </c>
      <c r="I313" s="157" t="s">
        <v>5696</v>
      </c>
      <c r="J313" s="157">
        <v>2025.0</v>
      </c>
    </row>
    <row r="314">
      <c r="A314" s="218">
        <f t="shared" si="2"/>
        <v>311</v>
      </c>
      <c r="B314" s="218" t="s">
        <v>202</v>
      </c>
      <c r="C314" s="236" t="str">
        <f t="shared" si="1"/>
        <v>KB/0634/2025</v>
      </c>
      <c r="D314" s="218" t="b">
        <v>1</v>
      </c>
      <c r="E314" s="219" t="b">
        <v>0</v>
      </c>
      <c r="F314" s="219"/>
      <c r="G314" s="173"/>
      <c r="H314" s="157" t="s">
        <v>5886</v>
      </c>
      <c r="I314" s="157" t="s">
        <v>5697</v>
      </c>
      <c r="J314" s="157">
        <v>2025.0</v>
      </c>
    </row>
    <row r="315">
      <c r="A315" s="218">
        <f t="shared" si="2"/>
        <v>312</v>
      </c>
      <c r="B315" s="218" t="s">
        <v>202</v>
      </c>
      <c r="C315" s="236" t="str">
        <f t="shared" si="1"/>
        <v>KB/0635/2025</v>
      </c>
      <c r="D315" s="218" t="b">
        <v>1</v>
      </c>
      <c r="E315" s="219" t="b">
        <v>0</v>
      </c>
      <c r="F315" s="219"/>
      <c r="G315" s="173"/>
      <c r="H315" s="157" t="s">
        <v>5886</v>
      </c>
      <c r="I315" s="157" t="s">
        <v>5698</v>
      </c>
      <c r="J315" s="157">
        <v>2025.0</v>
      </c>
    </row>
    <row r="316">
      <c r="A316" s="218">
        <f t="shared" si="2"/>
        <v>313</v>
      </c>
      <c r="B316" s="218" t="s">
        <v>202</v>
      </c>
      <c r="C316" s="236" t="str">
        <f t="shared" si="1"/>
        <v>KB/0636/2025</v>
      </c>
      <c r="D316" s="218" t="b">
        <v>1</v>
      </c>
      <c r="E316" s="219" t="b">
        <v>0</v>
      </c>
      <c r="F316" s="219"/>
      <c r="G316" s="173"/>
      <c r="H316" s="157" t="s">
        <v>5886</v>
      </c>
      <c r="I316" s="157" t="s">
        <v>5699</v>
      </c>
      <c r="J316" s="157">
        <v>2025.0</v>
      </c>
    </row>
    <row r="317">
      <c r="A317" s="218">
        <f t="shared" si="2"/>
        <v>314</v>
      </c>
      <c r="B317" s="218" t="s">
        <v>202</v>
      </c>
      <c r="C317" s="236" t="str">
        <f t="shared" si="1"/>
        <v>KB/0637/2025</v>
      </c>
      <c r="D317" s="218" t="b">
        <v>1</v>
      </c>
      <c r="E317" s="219" t="b">
        <v>0</v>
      </c>
      <c r="F317" s="219"/>
      <c r="G317" s="173"/>
      <c r="H317" s="157" t="s">
        <v>5886</v>
      </c>
      <c r="I317" s="157" t="s">
        <v>5700</v>
      </c>
      <c r="J317" s="157">
        <v>2025.0</v>
      </c>
    </row>
    <row r="318">
      <c r="A318" s="218">
        <f t="shared" si="2"/>
        <v>315</v>
      </c>
      <c r="B318" s="218" t="s">
        <v>202</v>
      </c>
      <c r="C318" s="236" t="str">
        <f t="shared" si="1"/>
        <v>KB/0638/2025</v>
      </c>
      <c r="D318" s="218" t="b">
        <v>1</v>
      </c>
      <c r="E318" s="219" t="b">
        <v>0</v>
      </c>
      <c r="F318" s="219"/>
      <c r="G318" s="173"/>
      <c r="H318" s="157" t="s">
        <v>5886</v>
      </c>
      <c r="I318" s="157" t="s">
        <v>5701</v>
      </c>
      <c r="J318" s="157">
        <v>2025.0</v>
      </c>
    </row>
    <row r="319">
      <c r="A319" s="218">
        <f t="shared" si="2"/>
        <v>316</v>
      </c>
      <c r="B319" s="218" t="s">
        <v>202</v>
      </c>
      <c r="C319" s="236" t="str">
        <f t="shared" si="1"/>
        <v>KB/0639/2025</v>
      </c>
      <c r="D319" s="218" t="b">
        <v>1</v>
      </c>
      <c r="E319" s="219" t="b">
        <v>0</v>
      </c>
      <c r="F319" s="219"/>
      <c r="G319" s="173"/>
      <c r="H319" s="157" t="s">
        <v>5886</v>
      </c>
      <c r="I319" s="157" t="s">
        <v>5702</v>
      </c>
      <c r="J319" s="157">
        <v>2025.0</v>
      </c>
    </row>
    <row r="320">
      <c r="A320" s="218">
        <f t="shared" si="2"/>
        <v>317</v>
      </c>
      <c r="B320" s="218" t="s">
        <v>202</v>
      </c>
      <c r="C320" s="236" t="str">
        <f t="shared" si="1"/>
        <v>KB/0640/2025</v>
      </c>
      <c r="D320" s="218" t="b">
        <v>1</v>
      </c>
      <c r="E320" s="219" t="b">
        <v>0</v>
      </c>
      <c r="F320" s="219"/>
      <c r="G320" s="173"/>
      <c r="H320" s="157" t="s">
        <v>5886</v>
      </c>
      <c r="I320" s="157" t="s">
        <v>5703</v>
      </c>
      <c r="J320" s="157">
        <v>2025.0</v>
      </c>
    </row>
    <row r="321">
      <c r="A321" s="218">
        <f t="shared" si="2"/>
        <v>318</v>
      </c>
      <c r="B321" s="218" t="s">
        <v>202</v>
      </c>
      <c r="C321" s="236" t="str">
        <f t="shared" si="1"/>
        <v>KB/0641/2025</v>
      </c>
      <c r="D321" s="218" t="b">
        <v>1</v>
      </c>
      <c r="E321" s="219" t="b">
        <v>0</v>
      </c>
      <c r="F321" s="219"/>
      <c r="G321" s="173"/>
      <c r="H321" s="157" t="s">
        <v>5886</v>
      </c>
      <c r="I321" s="157" t="s">
        <v>5704</v>
      </c>
      <c r="J321" s="157">
        <v>2025.0</v>
      </c>
    </row>
    <row r="322">
      <c r="A322" s="218">
        <f t="shared" si="2"/>
        <v>319</v>
      </c>
      <c r="B322" s="218" t="s">
        <v>202</v>
      </c>
      <c r="C322" s="236" t="str">
        <f t="shared" si="1"/>
        <v>KB/0642/2025</v>
      </c>
      <c r="D322" s="218" t="b">
        <v>1</v>
      </c>
      <c r="E322" s="219" t="b">
        <v>0</v>
      </c>
      <c r="F322" s="219"/>
      <c r="G322" s="173"/>
      <c r="H322" s="157" t="s">
        <v>5886</v>
      </c>
      <c r="I322" s="157" t="s">
        <v>5705</v>
      </c>
      <c r="J322" s="157">
        <v>2025.0</v>
      </c>
    </row>
    <row r="323">
      <c r="A323" s="218">
        <f t="shared" si="2"/>
        <v>320</v>
      </c>
      <c r="B323" s="218" t="s">
        <v>202</v>
      </c>
      <c r="C323" s="236" t="str">
        <f t="shared" si="1"/>
        <v>KB/0643/2025</v>
      </c>
      <c r="D323" s="218" t="b">
        <v>1</v>
      </c>
      <c r="E323" s="219" t="b">
        <v>0</v>
      </c>
      <c r="F323" s="219"/>
      <c r="G323" s="173"/>
      <c r="H323" s="157" t="s">
        <v>5886</v>
      </c>
      <c r="I323" s="157" t="s">
        <v>5706</v>
      </c>
      <c r="J323" s="157">
        <v>2025.0</v>
      </c>
    </row>
    <row r="324">
      <c r="A324" s="218">
        <f t="shared" si="2"/>
        <v>321</v>
      </c>
      <c r="B324" s="218" t="s">
        <v>202</v>
      </c>
      <c r="C324" s="236" t="str">
        <f t="shared" si="1"/>
        <v>KB/0644/2025</v>
      </c>
      <c r="D324" s="218" t="b">
        <v>1</v>
      </c>
      <c r="E324" s="219" t="b">
        <v>0</v>
      </c>
      <c r="F324" s="219"/>
      <c r="G324" s="173"/>
      <c r="H324" s="157" t="s">
        <v>5886</v>
      </c>
      <c r="I324" s="157" t="s">
        <v>5707</v>
      </c>
      <c r="J324" s="157">
        <v>2025.0</v>
      </c>
    </row>
    <row r="325">
      <c r="A325" s="218">
        <f t="shared" si="2"/>
        <v>322</v>
      </c>
      <c r="B325" s="218" t="s">
        <v>202</v>
      </c>
      <c r="C325" s="236" t="str">
        <f t="shared" si="1"/>
        <v>KB/0645/2025</v>
      </c>
      <c r="D325" s="218" t="b">
        <v>1</v>
      </c>
      <c r="E325" s="219" t="b">
        <v>0</v>
      </c>
      <c r="F325" s="219"/>
      <c r="G325" s="173"/>
      <c r="H325" s="157" t="s">
        <v>5886</v>
      </c>
      <c r="I325" s="157" t="s">
        <v>5708</v>
      </c>
      <c r="J325" s="157">
        <v>2025.0</v>
      </c>
    </row>
    <row r="326">
      <c r="A326" s="218">
        <f t="shared" si="2"/>
        <v>323</v>
      </c>
      <c r="B326" s="218" t="s">
        <v>202</v>
      </c>
      <c r="C326" s="236" t="str">
        <f t="shared" si="1"/>
        <v>KB/0646/2025</v>
      </c>
      <c r="D326" s="218" t="b">
        <v>1</v>
      </c>
      <c r="E326" s="219" t="b">
        <v>0</v>
      </c>
      <c r="F326" s="219"/>
      <c r="G326" s="173"/>
      <c r="H326" s="157" t="s">
        <v>5886</v>
      </c>
      <c r="I326" s="157" t="s">
        <v>5709</v>
      </c>
      <c r="J326" s="157">
        <v>2025.0</v>
      </c>
    </row>
    <row r="327">
      <c r="A327" s="218">
        <f t="shared" si="2"/>
        <v>324</v>
      </c>
      <c r="B327" s="218" t="s">
        <v>202</v>
      </c>
      <c r="C327" s="239" t="str">
        <f t="shared" si="1"/>
        <v>KB/0647/2025</v>
      </c>
      <c r="D327" s="218" t="b">
        <v>1</v>
      </c>
      <c r="E327" s="219" t="b">
        <v>0</v>
      </c>
      <c r="F327" s="234">
        <v>45856.0</v>
      </c>
      <c r="G327" s="173"/>
      <c r="H327" s="157" t="s">
        <v>5886</v>
      </c>
      <c r="I327" s="157" t="s">
        <v>5710</v>
      </c>
      <c r="J327" s="157">
        <v>2025.0</v>
      </c>
    </row>
    <row r="328">
      <c r="A328" s="218">
        <f t="shared" si="2"/>
        <v>325</v>
      </c>
      <c r="B328" s="218" t="s">
        <v>202</v>
      </c>
      <c r="C328" s="236" t="str">
        <f t="shared" si="1"/>
        <v>KB/0648/2025</v>
      </c>
      <c r="D328" s="218" t="b">
        <v>1</v>
      </c>
      <c r="E328" s="219" t="b">
        <v>0</v>
      </c>
      <c r="F328" s="219"/>
      <c r="G328" s="173"/>
      <c r="H328" s="157" t="s">
        <v>5886</v>
      </c>
      <c r="I328" s="157" t="s">
        <v>5711</v>
      </c>
      <c r="J328" s="157">
        <v>2025.0</v>
      </c>
    </row>
    <row r="329">
      <c r="A329" s="218">
        <f t="shared" si="2"/>
        <v>326</v>
      </c>
      <c r="B329" s="218" t="s">
        <v>202</v>
      </c>
      <c r="C329" s="236" t="str">
        <f t="shared" si="1"/>
        <v>KB/0649/2025</v>
      </c>
      <c r="D329" s="218" t="b">
        <v>1</v>
      </c>
      <c r="E329" s="219" t="b">
        <v>0</v>
      </c>
      <c r="F329" s="219"/>
      <c r="G329" s="173"/>
      <c r="H329" s="157" t="s">
        <v>5886</v>
      </c>
      <c r="I329" s="157" t="s">
        <v>5712</v>
      </c>
      <c r="J329" s="157">
        <v>2025.0</v>
      </c>
    </row>
    <row r="330">
      <c r="A330" s="218">
        <f t="shared" si="2"/>
        <v>327</v>
      </c>
      <c r="B330" s="218" t="s">
        <v>202</v>
      </c>
      <c r="C330" s="236" t="str">
        <f t="shared" si="1"/>
        <v>KB/0650/2025</v>
      </c>
      <c r="D330" s="218" t="b">
        <v>1</v>
      </c>
      <c r="E330" s="219" t="b">
        <v>0</v>
      </c>
      <c r="F330" s="219"/>
      <c r="G330" s="173"/>
      <c r="H330" s="157" t="s">
        <v>5886</v>
      </c>
      <c r="I330" s="157" t="s">
        <v>5713</v>
      </c>
      <c r="J330" s="157">
        <v>2025.0</v>
      </c>
    </row>
    <row r="331">
      <c r="A331" s="218">
        <f t="shared" si="2"/>
        <v>328</v>
      </c>
      <c r="B331" s="218" t="s">
        <v>202</v>
      </c>
      <c r="C331" s="236" t="str">
        <f t="shared" si="1"/>
        <v>KB/0651/2025</v>
      </c>
      <c r="D331" s="218" t="b">
        <v>1</v>
      </c>
      <c r="E331" s="219" t="b">
        <v>0</v>
      </c>
      <c r="F331" s="219"/>
      <c r="G331" s="173"/>
      <c r="H331" s="157" t="s">
        <v>5886</v>
      </c>
      <c r="I331" s="157" t="s">
        <v>5714</v>
      </c>
      <c r="J331" s="157">
        <v>2025.0</v>
      </c>
    </row>
    <row r="332">
      <c r="A332" s="218">
        <f t="shared" si="2"/>
        <v>329</v>
      </c>
      <c r="B332" s="218" t="s">
        <v>202</v>
      </c>
      <c r="C332" s="236" t="str">
        <f t="shared" si="1"/>
        <v>KB/0652/2025</v>
      </c>
      <c r="D332" s="218" t="b">
        <v>1</v>
      </c>
      <c r="E332" s="219" t="b">
        <v>0</v>
      </c>
      <c r="F332" s="219"/>
      <c r="G332" s="173"/>
      <c r="H332" s="157" t="s">
        <v>5886</v>
      </c>
      <c r="I332" s="157" t="s">
        <v>5715</v>
      </c>
      <c r="J332" s="157">
        <v>2025.0</v>
      </c>
    </row>
    <row r="333">
      <c r="A333" s="218">
        <f t="shared" si="2"/>
        <v>330</v>
      </c>
      <c r="B333" s="218" t="s">
        <v>202</v>
      </c>
      <c r="C333" s="236" t="str">
        <f t="shared" si="1"/>
        <v>KB/0653/2025</v>
      </c>
      <c r="D333" s="218" t="b">
        <v>1</v>
      </c>
      <c r="E333" s="219" t="b">
        <v>0</v>
      </c>
      <c r="F333" s="219"/>
      <c r="G333" s="173"/>
      <c r="H333" s="157" t="s">
        <v>5886</v>
      </c>
      <c r="I333" s="157" t="s">
        <v>5716</v>
      </c>
      <c r="J333" s="157">
        <v>2025.0</v>
      </c>
    </row>
    <row r="334">
      <c r="A334" s="218">
        <f t="shared" si="2"/>
        <v>331</v>
      </c>
      <c r="B334" s="218" t="s">
        <v>202</v>
      </c>
      <c r="C334" s="236" t="str">
        <f t="shared" si="1"/>
        <v>KB/0654/2025</v>
      </c>
      <c r="D334" s="218" t="b">
        <v>1</v>
      </c>
      <c r="E334" s="219" t="b">
        <v>0</v>
      </c>
      <c r="F334" s="219"/>
      <c r="G334" s="173"/>
      <c r="H334" s="157" t="s">
        <v>5886</v>
      </c>
      <c r="I334" s="157" t="s">
        <v>5717</v>
      </c>
      <c r="J334" s="157">
        <v>2025.0</v>
      </c>
    </row>
    <row r="335">
      <c r="A335" s="218">
        <f t="shared" si="2"/>
        <v>332</v>
      </c>
      <c r="B335" s="218" t="s">
        <v>202</v>
      </c>
      <c r="C335" s="236" t="str">
        <f t="shared" si="1"/>
        <v>KB/0655/2025</v>
      </c>
      <c r="D335" s="218" t="b">
        <v>1</v>
      </c>
      <c r="E335" s="219" t="b">
        <v>0</v>
      </c>
      <c r="F335" s="219"/>
      <c r="G335" s="173"/>
      <c r="H335" s="157" t="s">
        <v>5886</v>
      </c>
      <c r="I335" s="157" t="s">
        <v>5718</v>
      </c>
      <c r="J335" s="157">
        <v>2025.0</v>
      </c>
    </row>
    <row r="336">
      <c r="A336" s="218">
        <f t="shared" si="2"/>
        <v>333</v>
      </c>
      <c r="B336" s="218" t="s">
        <v>202</v>
      </c>
      <c r="C336" s="236" t="str">
        <f t="shared" si="1"/>
        <v>KB/0656/2025</v>
      </c>
      <c r="D336" s="218" t="b">
        <v>1</v>
      </c>
      <c r="E336" s="219" t="b">
        <v>0</v>
      </c>
      <c r="F336" s="219"/>
      <c r="G336" s="173"/>
      <c r="H336" s="157" t="s">
        <v>5886</v>
      </c>
      <c r="I336" s="157" t="s">
        <v>5719</v>
      </c>
      <c r="J336" s="157">
        <v>2025.0</v>
      </c>
    </row>
    <row r="337">
      <c r="A337" s="218">
        <f t="shared" si="2"/>
        <v>334</v>
      </c>
      <c r="B337" s="218" t="s">
        <v>202</v>
      </c>
      <c r="C337" s="236" t="str">
        <f t="shared" si="1"/>
        <v>KB/0657/2025</v>
      </c>
      <c r="D337" s="218" t="b">
        <v>1</v>
      </c>
      <c r="E337" s="219" t="b">
        <v>0</v>
      </c>
      <c r="F337" s="219"/>
      <c r="G337" s="173"/>
      <c r="H337" s="157" t="s">
        <v>5886</v>
      </c>
      <c r="I337" s="157" t="s">
        <v>5720</v>
      </c>
      <c r="J337" s="157">
        <v>2025.0</v>
      </c>
    </row>
    <row r="338">
      <c r="A338" s="218">
        <f t="shared" si="2"/>
        <v>335</v>
      </c>
      <c r="B338" s="218" t="s">
        <v>202</v>
      </c>
      <c r="C338" s="236" t="str">
        <f t="shared" si="1"/>
        <v>KB/0658/2025</v>
      </c>
      <c r="D338" s="218" t="b">
        <v>1</v>
      </c>
      <c r="E338" s="219" t="b">
        <v>0</v>
      </c>
      <c r="F338" s="219"/>
      <c r="G338" s="173"/>
      <c r="H338" s="157" t="s">
        <v>5886</v>
      </c>
      <c r="I338" s="157" t="s">
        <v>5721</v>
      </c>
      <c r="J338" s="157">
        <v>2025.0</v>
      </c>
    </row>
    <row r="339">
      <c r="A339" s="218">
        <f t="shared" si="2"/>
        <v>336</v>
      </c>
      <c r="B339" s="218" t="s">
        <v>202</v>
      </c>
      <c r="C339" s="236" t="str">
        <f t="shared" si="1"/>
        <v>KB/0659/2025</v>
      </c>
      <c r="D339" s="218" t="b">
        <v>1</v>
      </c>
      <c r="E339" s="219" t="b">
        <v>0</v>
      </c>
      <c r="F339" s="219"/>
      <c r="G339" s="173"/>
      <c r="H339" s="157" t="s">
        <v>5886</v>
      </c>
      <c r="I339" s="157" t="s">
        <v>5722</v>
      </c>
      <c r="J339" s="157">
        <v>2025.0</v>
      </c>
    </row>
    <row r="340">
      <c r="A340" s="218">
        <f t="shared" si="2"/>
        <v>337</v>
      </c>
      <c r="B340" s="218" t="s">
        <v>202</v>
      </c>
      <c r="C340" s="236" t="str">
        <f t="shared" si="1"/>
        <v>KB/0660/2025</v>
      </c>
      <c r="D340" s="218" t="b">
        <v>1</v>
      </c>
      <c r="E340" s="219" t="b">
        <v>0</v>
      </c>
      <c r="F340" s="219"/>
      <c r="G340" s="173"/>
      <c r="H340" s="157" t="s">
        <v>5886</v>
      </c>
      <c r="I340" s="157" t="s">
        <v>5723</v>
      </c>
      <c r="J340" s="157">
        <v>2025.0</v>
      </c>
    </row>
    <row r="341">
      <c r="A341" s="218">
        <f t="shared" si="2"/>
        <v>338</v>
      </c>
      <c r="B341" s="218" t="s">
        <v>202</v>
      </c>
      <c r="C341" s="236" t="str">
        <f t="shared" si="1"/>
        <v>KB/0661/2025</v>
      </c>
      <c r="D341" s="218" t="b">
        <v>1</v>
      </c>
      <c r="E341" s="219" t="b">
        <v>0</v>
      </c>
      <c r="F341" s="219"/>
      <c r="G341" s="173"/>
      <c r="H341" s="157" t="s">
        <v>5886</v>
      </c>
      <c r="I341" s="157" t="s">
        <v>5724</v>
      </c>
      <c r="J341" s="157">
        <v>2025.0</v>
      </c>
    </row>
    <row r="342">
      <c r="A342" s="218">
        <f t="shared" si="2"/>
        <v>339</v>
      </c>
      <c r="B342" s="218" t="s">
        <v>202</v>
      </c>
      <c r="C342" s="236" t="str">
        <f t="shared" si="1"/>
        <v>KB/0662/2025</v>
      </c>
      <c r="D342" s="218" t="b">
        <v>1</v>
      </c>
      <c r="E342" s="219" t="b">
        <v>0</v>
      </c>
      <c r="F342" s="219"/>
      <c r="G342" s="173"/>
      <c r="H342" s="157" t="s">
        <v>5886</v>
      </c>
      <c r="I342" s="157" t="s">
        <v>5725</v>
      </c>
      <c r="J342" s="157">
        <v>2025.0</v>
      </c>
    </row>
    <row r="343">
      <c r="A343" s="218">
        <f t="shared" si="2"/>
        <v>340</v>
      </c>
      <c r="B343" s="218" t="s">
        <v>202</v>
      </c>
      <c r="C343" s="239" t="str">
        <f t="shared" si="1"/>
        <v>KB/0663/2025</v>
      </c>
      <c r="D343" s="218" t="b">
        <v>1</v>
      </c>
      <c r="E343" s="219" t="b">
        <v>0</v>
      </c>
      <c r="F343" s="234">
        <v>45856.0</v>
      </c>
      <c r="G343" s="173"/>
      <c r="H343" s="157" t="s">
        <v>5886</v>
      </c>
      <c r="I343" s="157" t="s">
        <v>5726</v>
      </c>
      <c r="J343" s="157">
        <v>2025.0</v>
      </c>
    </row>
    <row r="344">
      <c r="A344" s="218">
        <f t="shared" si="2"/>
        <v>341</v>
      </c>
      <c r="B344" s="218" t="s">
        <v>202</v>
      </c>
      <c r="C344" s="239" t="str">
        <f t="shared" si="1"/>
        <v>KB/0664/2025</v>
      </c>
      <c r="D344" s="218" t="b">
        <v>1</v>
      </c>
      <c r="E344" s="219" t="b">
        <v>0</v>
      </c>
      <c r="F344" s="234">
        <v>45856.0</v>
      </c>
      <c r="G344" s="173"/>
      <c r="H344" s="157" t="s">
        <v>5886</v>
      </c>
      <c r="I344" s="157" t="s">
        <v>5727</v>
      </c>
      <c r="J344" s="157">
        <v>2025.0</v>
      </c>
    </row>
    <row r="345">
      <c r="A345" s="218">
        <f t="shared" si="2"/>
        <v>342</v>
      </c>
      <c r="B345" s="218" t="s">
        <v>202</v>
      </c>
      <c r="C345" s="236" t="str">
        <f t="shared" si="1"/>
        <v>KB/0665/2025</v>
      </c>
      <c r="D345" s="218" t="b">
        <v>1</v>
      </c>
      <c r="E345" s="219" t="b">
        <v>0</v>
      </c>
      <c r="F345" s="219"/>
      <c r="G345" s="173"/>
      <c r="H345" s="157" t="s">
        <v>5886</v>
      </c>
      <c r="I345" s="157" t="s">
        <v>5728</v>
      </c>
      <c r="J345" s="157">
        <v>2025.0</v>
      </c>
    </row>
    <row r="346">
      <c r="A346" s="218">
        <f t="shared" si="2"/>
        <v>343</v>
      </c>
      <c r="B346" s="218" t="s">
        <v>202</v>
      </c>
      <c r="C346" s="239" t="str">
        <f t="shared" si="1"/>
        <v>KB/0666/2025</v>
      </c>
      <c r="D346" s="218" t="b">
        <v>1</v>
      </c>
      <c r="E346" s="219" t="b">
        <v>0</v>
      </c>
      <c r="F346" s="234">
        <v>45856.0</v>
      </c>
      <c r="G346" s="173"/>
      <c r="H346" s="157" t="s">
        <v>5886</v>
      </c>
      <c r="I346" s="157" t="s">
        <v>5729</v>
      </c>
      <c r="J346" s="157">
        <v>2025.0</v>
      </c>
    </row>
    <row r="347">
      <c r="A347" s="218">
        <f t="shared" si="2"/>
        <v>344</v>
      </c>
      <c r="B347" s="218" t="s">
        <v>202</v>
      </c>
      <c r="C347" s="236" t="str">
        <f t="shared" si="1"/>
        <v>KB/0667/2025</v>
      </c>
      <c r="D347" s="218" t="b">
        <v>1</v>
      </c>
      <c r="E347" s="219" t="b">
        <v>0</v>
      </c>
      <c r="F347" s="219"/>
      <c r="G347" s="173"/>
      <c r="H347" s="157" t="s">
        <v>5886</v>
      </c>
      <c r="I347" s="157" t="s">
        <v>5730</v>
      </c>
      <c r="J347" s="157">
        <v>2025.0</v>
      </c>
    </row>
    <row r="348">
      <c r="A348" s="218">
        <f t="shared" si="2"/>
        <v>345</v>
      </c>
      <c r="B348" s="218" t="s">
        <v>202</v>
      </c>
      <c r="C348" s="239" t="str">
        <f t="shared" si="1"/>
        <v>KB/0668/2025</v>
      </c>
      <c r="D348" s="218" t="b">
        <v>1</v>
      </c>
      <c r="E348" s="219" t="b">
        <v>0</v>
      </c>
      <c r="F348" s="234">
        <v>45856.0</v>
      </c>
      <c r="G348" s="173"/>
      <c r="H348" s="157" t="s">
        <v>5886</v>
      </c>
      <c r="I348" s="157" t="s">
        <v>5731</v>
      </c>
      <c r="J348" s="157">
        <v>2025.0</v>
      </c>
    </row>
    <row r="349">
      <c r="A349" s="218">
        <f t="shared" si="2"/>
        <v>346</v>
      </c>
      <c r="B349" s="218" t="s">
        <v>202</v>
      </c>
      <c r="C349" s="236" t="str">
        <f t="shared" si="1"/>
        <v>KB/0669/2025</v>
      </c>
      <c r="D349" s="218" t="b">
        <v>1</v>
      </c>
      <c r="E349" s="219" t="b">
        <v>0</v>
      </c>
      <c r="F349" s="219"/>
      <c r="G349" s="173"/>
      <c r="H349" s="157" t="s">
        <v>5886</v>
      </c>
      <c r="I349" s="157" t="s">
        <v>5732</v>
      </c>
      <c r="J349" s="157">
        <v>2025.0</v>
      </c>
    </row>
    <row r="350">
      <c r="A350" s="218">
        <f t="shared" si="2"/>
        <v>347</v>
      </c>
      <c r="B350" s="218" t="s">
        <v>202</v>
      </c>
      <c r="C350" s="236" t="str">
        <f t="shared" si="1"/>
        <v>KB/0670/2025</v>
      </c>
      <c r="D350" s="218" t="b">
        <v>1</v>
      </c>
      <c r="E350" s="219" t="b">
        <v>0</v>
      </c>
      <c r="F350" s="219"/>
      <c r="G350" s="173"/>
      <c r="H350" s="157" t="s">
        <v>5886</v>
      </c>
      <c r="I350" s="157" t="s">
        <v>5733</v>
      </c>
      <c r="J350" s="157">
        <v>2025.0</v>
      </c>
    </row>
    <row r="351">
      <c r="A351" s="218">
        <f t="shared" si="2"/>
        <v>348</v>
      </c>
      <c r="B351" s="218" t="s">
        <v>202</v>
      </c>
      <c r="C351" s="236" t="str">
        <f t="shared" si="1"/>
        <v>KB/0671/2025</v>
      </c>
      <c r="D351" s="218" t="b">
        <v>1</v>
      </c>
      <c r="E351" s="219" t="b">
        <v>0</v>
      </c>
      <c r="F351" s="219"/>
      <c r="G351" s="173"/>
      <c r="H351" s="157" t="s">
        <v>5886</v>
      </c>
      <c r="I351" s="157" t="s">
        <v>5734</v>
      </c>
      <c r="J351" s="157">
        <v>2025.0</v>
      </c>
    </row>
    <row r="352">
      <c r="A352" s="218">
        <f t="shared" si="2"/>
        <v>349</v>
      </c>
      <c r="B352" s="218" t="s">
        <v>202</v>
      </c>
      <c r="C352" s="236" t="str">
        <f t="shared" si="1"/>
        <v>KB/0672/2025</v>
      </c>
      <c r="D352" s="218" t="b">
        <v>1</v>
      </c>
      <c r="E352" s="219" t="b">
        <v>0</v>
      </c>
      <c r="F352" s="219"/>
      <c r="G352" s="173"/>
      <c r="H352" s="157" t="s">
        <v>5886</v>
      </c>
      <c r="I352" s="157" t="s">
        <v>5735</v>
      </c>
      <c r="J352" s="157">
        <v>2025.0</v>
      </c>
    </row>
    <row r="353">
      <c r="A353" s="218">
        <f t="shared" si="2"/>
        <v>350</v>
      </c>
      <c r="B353" s="218" t="s">
        <v>202</v>
      </c>
      <c r="C353" s="236" t="str">
        <f t="shared" si="1"/>
        <v>KB/0673/2025</v>
      </c>
      <c r="D353" s="218" t="b">
        <v>1</v>
      </c>
      <c r="E353" s="219" t="b">
        <v>0</v>
      </c>
      <c r="F353" s="219"/>
      <c r="G353" s="173"/>
      <c r="H353" s="157" t="s">
        <v>5886</v>
      </c>
      <c r="I353" s="157" t="s">
        <v>5736</v>
      </c>
      <c r="J353" s="157">
        <v>2025.0</v>
      </c>
    </row>
    <row r="354">
      <c r="A354" s="218">
        <f t="shared" si="2"/>
        <v>351</v>
      </c>
      <c r="B354" s="218" t="s">
        <v>202</v>
      </c>
      <c r="C354" s="236" t="str">
        <f t="shared" si="1"/>
        <v>KB/0674/2025</v>
      </c>
      <c r="D354" s="218" t="b">
        <v>1</v>
      </c>
      <c r="E354" s="219" t="b">
        <v>0</v>
      </c>
      <c r="F354" s="219"/>
      <c r="G354" s="173"/>
      <c r="H354" s="157" t="s">
        <v>5886</v>
      </c>
      <c r="I354" s="157" t="s">
        <v>5737</v>
      </c>
      <c r="J354" s="157">
        <v>2025.0</v>
      </c>
    </row>
    <row r="355">
      <c r="A355" s="218">
        <f t="shared" si="2"/>
        <v>352</v>
      </c>
      <c r="B355" s="218" t="s">
        <v>202</v>
      </c>
      <c r="C355" s="236" t="str">
        <f t="shared" si="1"/>
        <v>KB/0675/2025</v>
      </c>
      <c r="D355" s="218" t="b">
        <v>1</v>
      </c>
      <c r="E355" s="219" t="b">
        <v>0</v>
      </c>
      <c r="F355" s="219"/>
      <c r="G355" s="173"/>
      <c r="H355" s="157" t="s">
        <v>5886</v>
      </c>
      <c r="I355" s="157" t="s">
        <v>5738</v>
      </c>
      <c r="J355" s="157">
        <v>2025.0</v>
      </c>
    </row>
    <row r="356">
      <c r="A356" s="218">
        <f t="shared" si="2"/>
        <v>353</v>
      </c>
      <c r="B356" s="218" t="s">
        <v>202</v>
      </c>
      <c r="C356" s="236" t="str">
        <f t="shared" si="1"/>
        <v>KB/0676/2025</v>
      </c>
      <c r="D356" s="218" t="b">
        <v>1</v>
      </c>
      <c r="E356" s="219" t="b">
        <v>0</v>
      </c>
      <c r="F356" s="219"/>
      <c r="G356" s="173"/>
      <c r="H356" s="157" t="s">
        <v>5886</v>
      </c>
      <c r="I356" s="157" t="s">
        <v>5739</v>
      </c>
      <c r="J356" s="157">
        <v>2025.0</v>
      </c>
    </row>
    <row r="357">
      <c r="A357" s="218">
        <f t="shared" si="2"/>
        <v>354</v>
      </c>
      <c r="B357" s="218" t="s">
        <v>202</v>
      </c>
      <c r="C357" s="236" t="str">
        <f t="shared" si="1"/>
        <v>KB/0677/2025</v>
      </c>
      <c r="D357" s="218" t="b">
        <v>1</v>
      </c>
      <c r="E357" s="219" t="b">
        <v>0</v>
      </c>
      <c r="F357" s="219"/>
      <c r="G357" s="173"/>
      <c r="H357" s="157" t="s">
        <v>5886</v>
      </c>
      <c r="I357" s="157" t="s">
        <v>5740</v>
      </c>
      <c r="J357" s="157">
        <v>2025.0</v>
      </c>
    </row>
    <row r="358">
      <c r="A358" s="218">
        <f t="shared" si="2"/>
        <v>355</v>
      </c>
      <c r="B358" s="218" t="s">
        <v>202</v>
      </c>
      <c r="C358" s="236" t="str">
        <f t="shared" si="1"/>
        <v>KB/0678/2025</v>
      </c>
      <c r="D358" s="218" t="b">
        <v>1</v>
      </c>
      <c r="E358" s="219" t="b">
        <v>0</v>
      </c>
      <c r="F358" s="219"/>
      <c r="G358" s="173"/>
      <c r="H358" s="157" t="s">
        <v>5886</v>
      </c>
      <c r="I358" s="157" t="s">
        <v>5741</v>
      </c>
      <c r="J358" s="157">
        <v>2025.0</v>
      </c>
    </row>
    <row r="359">
      <c r="A359" s="218">
        <f t="shared" si="2"/>
        <v>356</v>
      </c>
      <c r="B359" s="218" t="s">
        <v>202</v>
      </c>
      <c r="C359" s="236" t="str">
        <f t="shared" si="1"/>
        <v>KB/0679/2025</v>
      </c>
      <c r="D359" s="218" t="b">
        <v>1</v>
      </c>
      <c r="E359" s="219" t="b">
        <v>0</v>
      </c>
      <c r="F359" s="219"/>
      <c r="G359" s="173"/>
      <c r="H359" s="157" t="s">
        <v>5886</v>
      </c>
      <c r="I359" s="157" t="s">
        <v>5742</v>
      </c>
      <c r="J359" s="157">
        <v>2025.0</v>
      </c>
    </row>
    <row r="360">
      <c r="A360" s="218">
        <f t="shared" si="2"/>
        <v>357</v>
      </c>
      <c r="B360" s="218" t="s">
        <v>202</v>
      </c>
      <c r="C360" s="236" t="str">
        <f t="shared" si="1"/>
        <v>KB/0680/2025</v>
      </c>
      <c r="D360" s="218" t="b">
        <v>1</v>
      </c>
      <c r="E360" s="219" t="b">
        <v>0</v>
      </c>
      <c r="F360" s="219"/>
      <c r="G360" s="173"/>
      <c r="H360" s="157" t="s">
        <v>5886</v>
      </c>
      <c r="I360" s="157" t="s">
        <v>5743</v>
      </c>
      <c r="J360" s="157">
        <v>2025.0</v>
      </c>
    </row>
    <row r="361">
      <c r="A361" s="218">
        <f t="shared" si="2"/>
        <v>358</v>
      </c>
      <c r="B361" s="218" t="s">
        <v>202</v>
      </c>
      <c r="C361" s="236" t="str">
        <f t="shared" si="1"/>
        <v>KB/0681/2025</v>
      </c>
      <c r="D361" s="218" t="b">
        <v>1</v>
      </c>
      <c r="E361" s="219" t="b">
        <v>0</v>
      </c>
      <c r="F361" s="219"/>
      <c r="G361" s="173"/>
      <c r="H361" s="157" t="s">
        <v>5886</v>
      </c>
      <c r="I361" s="157" t="s">
        <v>5744</v>
      </c>
      <c r="J361" s="157">
        <v>2025.0</v>
      </c>
    </row>
    <row r="362">
      <c r="A362" s="218">
        <f t="shared" si="2"/>
        <v>359</v>
      </c>
      <c r="B362" s="218" t="s">
        <v>202</v>
      </c>
      <c r="C362" s="236" t="str">
        <f t="shared" si="1"/>
        <v>KB/0682/2025</v>
      </c>
      <c r="D362" s="218" t="b">
        <v>1</v>
      </c>
      <c r="E362" s="219" t="b">
        <v>0</v>
      </c>
      <c r="F362" s="219"/>
      <c r="G362" s="173"/>
      <c r="H362" s="157" t="s">
        <v>5886</v>
      </c>
      <c r="I362" s="157" t="s">
        <v>5745</v>
      </c>
      <c r="J362" s="157">
        <v>2025.0</v>
      </c>
    </row>
    <row r="363">
      <c r="A363" s="218">
        <f t="shared" si="2"/>
        <v>360</v>
      </c>
      <c r="B363" s="218" t="s">
        <v>202</v>
      </c>
      <c r="C363" s="236" t="str">
        <f t="shared" si="1"/>
        <v>KB/0683/2025</v>
      </c>
      <c r="D363" s="218" t="b">
        <v>1</v>
      </c>
      <c r="E363" s="219" t="b">
        <v>0</v>
      </c>
      <c r="F363" s="219"/>
      <c r="G363" s="173"/>
      <c r="H363" s="157" t="s">
        <v>5886</v>
      </c>
      <c r="I363" s="157" t="s">
        <v>5746</v>
      </c>
      <c r="J363" s="157">
        <v>2025.0</v>
      </c>
    </row>
    <row r="364">
      <c r="A364" s="218">
        <f t="shared" si="2"/>
        <v>361</v>
      </c>
      <c r="B364" s="218" t="s">
        <v>202</v>
      </c>
      <c r="C364" s="236" t="str">
        <f t="shared" si="1"/>
        <v>KB/0684/2025</v>
      </c>
      <c r="D364" s="218" t="b">
        <v>1</v>
      </c>
      <c r="E364" s="219" t="b">
        <v>0</v>
      </c>
      <c r="F364" s="219"/>
      <c r="G364" s="173"/>
      <c r="H364" s="157" t="s">
        <v>5886</v>
      </c>
      <c r="I364" s="157" t="s">
        <v>5747</v>
      </c>
      <c r="J364" s="157">
        <v>2025.0</v>
      </c>
    </row>
    <row r="365">
      <c r="A365" s="218">
        <f t="shared" si="2"/>
        <v>362</v>
      </c>
      <c r="B365" s="218" t="s">
        <v>202</v>
      </c>
      <c r="C365" s="236" t="str">
        <f t="shared" si="1"/>
        <v>KB/0685/2025</v>
      </c>
      <c r="D365" s="218" t="b">
        <v>1</v>
      </c>
      <c r="E365" s="219" t="b">
        <v>0</v>
      </c>
      <c r="F365" s="219"/>
      <c r="G365" s="173"/>
      <c r="H365" s="157" t="s">
        <v>5886</v>
      </c>
      <c r="I365" s="157" t="s">
        <v>5748</v>
      </c>
      <c r="J365" s="157">
        <v>2025.0</v>
      </c>
    </row>
    <row r="366">
      <c r="A366" s="218">
        <f t="shared" si="2"/>
        <v>363</v>
      </c>
      <c r="B366" s="218" t="s">
        <v>202</v>
      </c>
      <c r="C366" s="236" t="str">
        <f t="shared" si="1"/>
        <v>KB/0686/2025</v>
      </c>
      <c r="D366" s="218" t="b">
        <v>1</v>
      </c>
      <c r="E366" s="219" t="b">
        <v>0</v>
      </c>
      <c r="F366" s="219"/>
      <c r="G366" s="173"/>
      <c r="H366" s="157" t="s">
        <v>5886</v>
      </c>
      <c r="I366" s="157" t="s">
        <v>5749</v>
      </c>
      <c r="J366" s="157">
        <v>2025.0</v>
      </c>
    </row>
    <row r="367">
      <c r="A367" s="218">
        <f t="shared" si="2"/>
        <v>364</v>
      </c>
      <c r="B367" s="218" t="s">
        <v>202</v>
      </c>
      <c r="C367" s="236" t="str">
        <f t="shared" si="1"/>
        <v>KB/0687/2025</v>
      </c>
      <c r="D367" s="218" t="b">
        <v>1</v>
      </c>
      <c r="E367" s="219" t="b">
        <v>0</v>
      </c>
      <c r="F367" s="219"/>
      <c r="G367" s="173"/>
      <c r="H367" s="157" t="s">
        <v>5886</v>
      </c>
      <c r="I367" s="157" t="s">
        <v>5750</v>
      </c>
      <c r="J367" s="157">
        <v>2025.0</v>
      </c>
    </row>
    <row r="368">
      <c r="A368" s="218">
        <f t="shared" si="2"/>
        <v>365</v>
      </c>
      <c r="B368" s="218" t="s">
        <v>202</v>
      </c>
      <c r="C368" s="236" t="str">
        <f t="shared" si="1"/>
        <v>KB/0688/2025</v>
      </c>
      <c r="D368" s="218" t="b">
        <v>1</v>
      </c>
      <c r="E368" s="219" t="b">
        <v>0</v>
      </c>
      <c r="F368" s="219"/>
      <c r="G368" s="173"/>
      <c r="H368" s="157" t="s">
        <v>5886</v>
      </c>
      <c r="I368" s="157" t="s">
        <v>5751</v>
      </c>
      <c r="J368" s="157">
        <v>2025.0</v>
      </c>
    </row>
    <row r="369">
      <c r="A369" s="218">
        <f t="shared" si="2"/>
        <v>366</v>
      </c>
      <c r="B369" s="218" t="s">
        <v>202</v>
      </c>
      <c r="C369" s="236" t="str">
        <f t="shared" si="1"/>
        <v>KB/0689/2025</v>
      </c>
      <c r="D369" s="218" t="b">
        <v>1</v>
      </c>
      <c r="E369" s="219" t="b">
        <v>0</v>
      </c>
      <c r="F369" s="219"/>
      <c r="G369" s="173"/>
      <c r="H369" s="157" t="s">
        <v>5886</v>
      </c>
      <c r="I369" s="157" t="s">
        <v>5752</v>
      </c>
      <c r="J369" s="157">
        <v>2025.0</v>
      </c>
    </row>
    <row r="370">
      <c r="A370" s="218">
        <f t="shared" si="2"/>
        <v>367</v>
      </c>
      <c r="B370" s="218" t="s">
        <v>202</v>
      </c>
      <c r="C370" s="236" t="str">
        <f t="shared" si="1"/>
        <v>KB/0690/2025</v>
      </c>
      <c r="D370" s="218" t="b">
        <v>1</v>
      </c>
      <c r="E370" s="219" t="b">
        <v>0</v>
      </c>
      <c r="F370" s="219"/>
      <c r="G370" s="173"/>
      <c r="H370" s="157" t="s">
        <v>5886</v>
      </c>
      <c r="I370" s="157" t="s">
        <v>5753</v>
      </c>
      <c r="J370" s="157">
        <v>2025.0</v>
      </c>
    </row>
    <row r="371">
      <c r="A371" s="218">
        <f t="shared" si="2"/>
        <v>368</v>
      </c>
      <c r="B371" s="218" t="s">
        <v>202</v>
      </c>
      <c r="C371" s="236" t="str">
        <f t="shared" si="1"/>
        <v>KB/0691/2025</v>
      </c>
      <c r="D371" s="218" t="b">
        <v>1</v>
      </c>
      <c r="E371" s="219" t="b">
        <v>0</v>
      </c>
      <c r="F371" s="219"/>
      <c r="G371" s="173"/>
      <c r="H371" s="157" t="s">
        <v>5886</v>
      </c>
      <c r="I371" s="157" t="s">
        <v>5754</v>
      </c>
      <c r="J371" s="157">
        <v>2025.0</v>
      </c>
    </row>
    <row r="372">
      <c r="A372" s="218">
        <f t="shared" si="2"/>
        <v>369</v>
      </c>
      <c r="B372" s="218" t="s">
        <v>202</v>
      </c>
      <c r="C372" s="236" t="str">
        <f t="shared" si="1"/>
        <v>KB/0692/2025</v>
      </c>
      <c r="D372" s="218" t="b">
        <v>1</v>
      </c>
      <c r="E372" s="219" t="b">
        <v>0</v>
      </c>
      <c r="F372" s="219"/>
      <c r="G372" s="173"/>
      <c r="H372" s="157" t="s">
        <v>5886</v>
      </c>
      <c r="I372" s="157" t="s">
        <v>5755</v>
      </c>
      <c r="J372" s="157">
        <v>2025.0</v>
      </c>
    </row>
    <row r="373">
      <c r="A373" s="218">
        <f t="shared" si="2"/>
        <v>370</v>
      </c>
      <c r="B373" s="218" t="s">
        <v>202</v>
      </c>
      <c r="C373" s="239" t="str">
        <f t="shared" si="1"/>
        <v>KB/0693/2025</v>
      </c>
      <c r="D373" s="218" t="b">
        <v>1</v>
      </c>
      <c r="E373" s="219" t="b">
        <v>0</v>
      </c>
      <c r="F373" s="234">
        <v>45856.0</v>
      </c>
      <c r="G373" s="173"/>
      <c r="H373" s="157" t="s">
        <v>5886</v>
      </c>
      <c r="I373" s="157" t="s">
        <v>5756</v>
      </c>
      <c r="J373" s="157">
        <v>2025.0</v>
      </c>
    </row>
    <row r="374">
      <c r="A374" s="218">
        <f t="shared" si="2"/>
        <v>371</v>
      </c>
      <c r="B374" s="218" t="s">
        <v>202</v>
      </c>
      <c r="C374" s="236" t="str">
        <f t="shared" si="1"/>
        <v>KB/0694/2025</v>
      </c>
      <c r="D374" s="218" t="b">
        <v>1</v>
      </c>
      <c r="E374" s="219" t="b">
        <v>0</v>
      </c>
      <c r="F374" s="219"/>
      <c r="G374" s="173"/>
      <c r="H374" s="157" t="s">
        <v>5886</v>
      </c>
      <c r="I374" s="157" t="s">
        <v>5757</v>
      </c>
      <c r="J374" s="157">
        <v>2025.0</v>
      </c>
    </row>
    <row r="375">
      <c r="A375" s="218">
        <f t="shared" si="2"/>
        <v>372</v>
      </c>
      <c r="B375" s="218" t="s">
        <v>202</v>
      </c>
      <c r="C375" s="236" t="str">
        <f t="shared" si="1"/>
        <v>KB/0695/2025</v>
      </c>
      <c r="D375" s="218" t="b">
        <v>1</v>
      </c>
      <c r="E375" s="219" t="b">
        <v>0</v>
      </c>
      <c r="F375" s="219"/>
      <c r="G375" s="173"/>
      <c r="H375" s="157" t="s">
        <v>5886</v>
      </c>
      <c r="I375" s="157" t="s">
        <v>5758</v>
      </c>
      <c r="J375" s="157">
        <v>2025.0</v>
      </c>
    </row>
    <row r="376">
      <c r="A376" s="218">
        <f t="shared" si="2"/>
        <v>373</v>
      </c>
      <c r="B376" s="218" t="s">
        <v>202</v>
      </c>
      <c r="C376" s="236" t="str">
        <f t="shared" si="1"/>
        <v>KB/0696/2025</v>
      </c>
      <c r="D376" s="218" t="b">
        <v>1</v>
      </c>
      <c r="E376" s="219" t="b">
        <v>0</v>
      </c>
      <c r="F376" s="219"/>
      <c r="G376" s="173"/>
      <c r="H376" s="157" t="s">
        <v>5886</v>
      </c>
      <c r="I376" s="157" t="s">
        <v>5759</v>
      </c>
      <c r="J376" s="157">
        <v>2025.0</v>
      </c>
    </row>
    <row r="377">
      <c r="A377" s="218">
        <f t="shared" si="2"/>
        <v>374</v>
      </c>
      <c r="B377" s="218" t="s">
        <v>202</v>
      </c>
      <c r="C377" s="236" t="str">
        <f t="shared" si="1"/>
        <v>KB/0697/2025</v>
      </c>
      <c r="D377" s="218" t="b">
        <v>1</v>
      </c>
      <c r="E377" s="219" t="b">
        <v>0</v>
      </c>
      <c r="F377" s="219"/>
      <c r="G377" s="173"/>
      <c r="H377" s="157" t="s">
        <v>5886</v>
      </c>
      <c r="I377" s="157" t="s">
        <v>5760</v>
      </c>
      <c r="J377" s="157">
        <v>2025.0</v>
      </c>
    </row>
    <row r="378">
      <c r="A378" s="218">
        <f t="shared" si="2"/>
        <v>375</v>
      </c>
      <c r="B378" s="218" t="s">
        <v>202</v>
      </c>
      <c r="C378" s="236" t="str">
        <f t="shared" si="1"/>
        <v>KB/0698/2025</v>
      </c>
      <c r="D378" s="218" t="b">
        <v>1</v>
      </c>
      <c r="E378" s="219" t="b">
        <v>0</v>
      </c>
      <c r="F378" s="219"/>
      <c r="G378" s="173"/>
      <c r="H378" s="157" t="s">
        <v>5886</v>
      </c>
      <c r="I378" s="157" t="s">
        <v>5761</v>
      </c>
      <c r="J378" s="157">
        <v>2025.0</v>
      </c>
    </row>
    <row r="379">
      <c r="A379" s="218">
        <f t="shared" si="2"/>
        <v>376</v>
      </c>
      <c r="B379" s="218" t="s">
        <v>202</v>
      </c>
      <c r="C379" s="236" t="str">
        <f t="shared" si="1"/>
        <v>KB/0699/2025</v>
      </c>
      <c r="D379" s="218" t="b">
        <v>1</v>
      </c>
      <c r="E379" s="219" t="b">
        <v>0</v>
      </c>
      <c r="F379" s="219"/>
      <c r="G379" s="173"/>
      <c r="H379" s="157" t="s">
        <v>5886</v>
      </c>
      <c r="I379" s="157" t="s">
        <v>5762</v>
      </c>
      <c r="J379" s="157">
        <v>2025.0</v>
      </c>
    </row>
    <row r="380">
      <c r="A380" s="218">
        <f t="shared" si="2"/>
        <v>377</v>
      </c>
      <c r="B380" s="218" t="s">
        <v>202</v>
      </c>
      <c r="C380" s="236" t="str">
        <f t="shared" si="1"/>
        <v>KB/0700/2025</v>
      </c>
      <c r="D380" s="218" t="b">
        <v>1</v>
      </c>
      <c r="E380" s="219" t="b">
        <v>0</v>
      </c>
      <c r="F380" s="219"/>
      <c r="G380" s="173"/>
      <c r="H380" s="157" t="s">
        <v>5886</v>
      </c>
      <c r="I380" s="157" t="s">
        <v>5763</v>
      </c>
      <c r="J380" s="157">
        <v>2025.0</v>
      </c>
    </row>
    <row r="381">
      <c r="A381" s="218">
        <f t="shared" si="2"/>
        <v>378</v>
      </c>
      <c r="B381" s="218" t="s">
        <v>202</v>
      </c>
      <c r="C381" s="236" t="str">
        <f t="shared" si="1"/>
        <v>KB/0701/2025</v>
      </c>
      <c r="D381" s="218" t="b">
        <v>1</v>
      </c>
      <c r="E381" s="219" t="b">
        <v>0</v>
      </c>
      <c r="F381" s="219"/>
      <c r="G381" s="173"/>
      <c r="H381" s="157" t="s">
        <v>5886</v>
      </c>
      <c r="I381" s="157" t="s">
        <v>5764</v>
      </c>
      <c r="J381" s="157">
        <v>2025.0</v>
      </c>
    </row>
    <row r="382">
      <c r="A382" s="218">
        <f t="shared" si="2"/>
        <v>379</v>
      </c>
      <c r="B382" s="218" t="s">
        <v>202</v>
      </c>
      <c r="C382" s="236" t="str">
        <f t="shared" si="1"/>
        <v>KB/0702/2025</v>
      </c>
      <c r="D382" s="218" t="b">
        <v>1</v>
      </c>
      <c r="E382" s="219" t="b">
        <v>0</v>
      </c>
      <c r="F382" s="219"/>
      <c r="G382" s="173"/>
      <c r="H382" s="157" t="s">
        <v>5886</v>
      </c>
      <c r="I382" s="157" t="s">
        <v>5765</v>
      </c>
      <c r="J382" s="157">
        <v>2025.0</v>
      </c>
    </row>
    <row r="383">
      <c r="A383" s="218">
        <f t="shared" si="2"/>
        <v>380</v>
      </c>
      <c r="B383" s="218" t="s">
        <v>202</v>
      </c>
      <c r="C383" s="236" t="str">
        <f t="shared" si="1"/>
        <v>KB/0703/2025</v>
      </c>
      <c r="D383" s="218" t="b">
        <v>1</v>
      </c>
      <c r="E383" s="219" t="b">
        <v>0</v>
      </c>
      <c r="F383" s="219"/>
      <c r="G383" s="173"/>
      <c r="H383" s="157" t="s">
        <v>5886</v>
      </c>
      <c r="I383" s="157" t="s">
        <v>5766</v>
      </c>
      <c r="J383" s="157">
        <v>2025.0</v>
      </c>
    </row>
    <row r="384">
      <c r="A384" s="218">
        <f t="shared" si="2"/>
        <v>381</v>
      </c>
      <c r="B384" s="218" t="s">
        <v>202</v>
      </c>
      <c r="C384" s="236" t="str">
        <f t="shared" si="1"/>
        <v>KB/0704/2025</v>
      </c>
      <c r="D384" s="218" t="b">
        <v>1</v>
      </c>
      <c r="E384" s="219" t="b">
        <v>0</v>
      </c>
      <c r="F384" s="219"/>
      <c r="G384" s="173"/>
      <c r="H384" s="157" t="s">
        <v>5886</v>
      </c>
      <c r="I384" s="157" t="s">
        <v>5767</v>
      </c>
      <c r="J384" s="157">
        <v>2025.0</v>
      </c>
    </row>
    <row r="385">
      <c r="A385" s="218">
        <f t="shared" si="2"/>
        <v>382</v>
      </c>
      <c r="B385" s="218" t="s">
        <v>202</v>
      </c>
      <c r="C385" s="236" t="str">
        <f t="shared" si="1"/>
        <v>KB/0705/2025</v>
      </c>
      <c r="D385" s="218" t="b">
        <v>1</v>
      </c>
      <c r="E385" s="219" t="b">
        <v>0</v>
      </c>
      <c r="F385" s="219"/>
      <c r="G385" s="173"/>
      <c r="H385" s="157" t="s">
        <v>5886</v>
      </c>
      <c r="I385" s="157" t="s">
        <v>5768</v>
      </c>
      <c r="J385" s="157">
        <v>2025.0</v>
      </c>
    </row>
    <row r="386">
      <c r="A386" s="218">
        <f t="shared" si="2"/>
        <v>383</v>
      </c>
      <c r="B386" s="218" t="s">
        <v>202</v>
      </c>
      <c r="C386" s="239" t="str">
        <f t="shared" si="1"/>
        <v>KB/0706/2025</v>
      </c>
      <c r="D386" s="218" t="b">
        <v>1</v>
      </c>
      <c r="E386" s="219" t="b">
        <v>0</v>
      </c>
      <c r="F386" s="234">
        <v>45856.0</v>
      </c>
      <c r="G386" s="173"/>
      <c r="H386" s="157" t="s">
        <v>5886</v>
      </c>
      <c r="I386" s="157" t="s">
        <v>5769</v>
      </c>
      <c r="J386" s="157">
        <v>2025.0</v>
      </c>
    </row>
    <row r="387">
      <c r="A387" s="218">
        <f t="shared" si="2"/>
        <v>384</v>
      </c>
      <c r="B387" s="218" t="s">
        <v>202</v>
      </c>
      <c r="C387" s="239" t="str">
        <f t="shared" si="1"/>
        <v>KB/0707/2025</v>
      </c>
      <c r="D387" s="218" t="b">
        <v>1</v>
      </c>
      <c r="E387" s="219" t="b">
        <v>0</v>
      </c>
      <c r="F387" s="234">
        <v>45856.0</v>
      </c>
      <c r="G387" s="173"/>
      <c r="H387" s="157" t="s">
        <v>5886</v>
      </c>
      <c r="I387" s="157" t="s">
        <v>5770</v>
      </c>
      <c r="J387" s="157">
        <v>2025.0</v>
      </c>
    </row>
    <row r="388">
      <c r="A388" s="218">
        <f t="shared" si="2"/>
        <v>385</v>
      </c>
      <c r="B388" s="218" t="s">
        <v>202</v>
      </c>
      <c r="C388" s="236" t="str">
        <f t="shared" si="1"/>
        <v>KB/0708/2025</v>
      </c>
      <c r="D388" s="218" t="b">
        <v>1</v>
      </c>
      <c r="E388" s="219" t="b">
        <v>0</v>
      </c>
      <c r="F388" s="234">
        <v>45867.0</v>
      </c>
      <c r="G388" s="173"/>
      <c r="H388" s="157" t="s">
        <v>5886</v>
      </c>
      <c r="I388" s="157" t="s">
        <v>5771</v>
      </c>
      <c r="J388" s="157">
        <v>2025.0</v>
      </c>
    </row>
    <row r="389">
      <c r="A389" s="218">
        <f t="shared" si="2"/>
        <v>386</v>
      </c>
      <c r="B389" s="218" t="s">
        <v>202</v>
      </c>
      <c r="C389" s="236" t="str">
        <f t="shared" si="1"/>
        <v>KB/0709/2025</v>
      </c>
      <c r="D389" s="218" t="b">
        <v>1</v>
      </c>
      <c r="E389" s="219" t="b">
        <v>0</v>
      </c>
      <c r="F389" s="234">
        <v>45867.0</v>
      </c>
      <c r="G389" s="173"/>
      <c r="H389" s="157" t="s">
        <v>5886</v>
      </c>
      <c r="I389" s="157" t="s">
        <v>5772</v>
      </c>
      <c r="J389" s="157">
        <v>2025.0</v>
      </c>
    </row>
    <row r="390">
      <c r="A390" s="218">
        <f t="shared" si="2"/>
        <v>387</v>
      </c>
      <c r="B390" s="218" t="s">
        <v>202</v>
      </c>
      <c r="C390" s="236" t="str">
        <f t="shared" si="1"/>
        <v>KB/0710/2025</v>
      </c>
      <c r="D390" s="218" t="b">
        <v>1</v>
      </c>
      <c r="E390" s="219" t="b">
        <v>0</v>
      </c>
      <c r="F390" s="234">
        <v>45867.0</v>
      </c>
      <c r="G390" s="173"/>
      <c r="H390" s="157" t="s">
        <v>5886</v>
      </c>
      <c r="I390" s="157" t="s">
        <v>5773</v>
      </c>
      <c r="J390" s="157">
        <v>2025.0</v>
      </c>
    </row>
    <row r="391">
      <c r="A391" s="218">
        <f t="shared" si="2"/>
        <v>388</v>
      </c>
      <c r="B391" s="218" t="s">
        <v>202</v>
      </c>
      <c r="C391" s="236" t="str">
        <f t="shared" si="1"/>
        <v>KB/0711/2025</v>
      </c>
      <c r="D391" s="218" t="b">
        <v>1</v>
      </c>
      <c r="E391" s="219" t="b">
        <v>0</v>
      </c>
      <c r="F391" s="234">
        <v>45867.0</v>
      </c>
      <c r="G391" s="173"/>
      <c r="H391" s="157" t="s">
        <v>5886</v>
      </c>
      <c r="I391" s="157" t="s">
        <v>5774</v>
      </c>
      <c r="J391" s="157">
        <v>2025.0</v>
      </c>
    </row>
    <row r="392">
      <c r="A392" s="218">
        <f t="shared" si="2"/>
        <v>389</v>
      </c>
      <c r="B392" s="218" t="s">
        <v>202</v>
      </c>
      <c r="C392" s="236" t="str">
        <f t="shared" si="1"/>
        <v>KB/0712/2025</v>
      </c>
      <c r="D392" s="218" t="b">
        <v>1</v>
      </c>
      <c r="E392" s="219" t="b">
        <v>0</v>
      </c>
      <c r="F392" s="234">
        <v>45867.0</v>
      </c>
      <c r="G392" s="173"/>
      <c r="H392" s="157" t="s">
        <v>5886</v>
      </c>
      <c r="I392" s="157" t="s">
        <v>5775</v>
      </c>
      <c r="J392" s="157">
        <v>2025.0</v>
      </c>
    </row>
    <row r="393">
      <c r="A393" s="218">
        <f t="shared" si="2"/>
        <v>390</v>
      </c>
      <c r="B393" s="218" t="s">
        <v>202</v>
      </c>
      <c r="C393" s="236" t="str">
        <f t="shared" si="1"/>
        <v>KB/0713/2025</v>
      </c>
      <c r="D393" s="218" t="b">
        <v>1</v>
      </c>
      <c r="E393" s="219" t="b">
        <v>0</v>
      </c>
      <c r="F393" s="234">
        <v>45867.0</v>
      </c>
      <c r="G393" s="173"/>
      <c r="H393" s="157" t="s">
        <v>5886</v>
      </c>
      <c r="I393" s="157" t="s">
        <v>5776</v>
      </c>
      <c r="J393" s="157">
        <v>2025.0</v>
      </c>
    </row>
    <row r="394">
      <c r="A394" s="218">
        <f t="shared" si="2"/>
        <v>391</v>
      </c>
      <c r="B394" s="218" t="s">
        <v>202</v>
      </c>
      <c r="C394" s="236" t="str">
        <f t="shared" si="1"/>
        <v>KB/0714/2025</v>
      </c>
      <c r="D394" s="218" t="b">
        <v>1</v>
      </c>
      <c r="E394" s="219" t="b">
        <v>0</v>
      </c>
      <c r="F394" s="234">
        <v>45867.0</v>
      </c>
      <c r="G394" s="173"/>
      <c r="H394" s="157" t="s">
        <v>5886</v>
      </c>
      <c r="I394" s="157" t="s">
        <v>5777</v>
      </c>
      <c r="J394" s="157">
        <v>2025.0</v>
      </c>
    </row>
    <row r="395">
      <c r="A395" s="218">
        <f t="shared" si="2"/>
        <v>392</v>
      </c>
      <c r="B395" s="218" t="s">
        <v>202</v>
      </c>
      <c r="C395" s="236" t="str">
        <f t="shared" si="1"/>
        <v>KB/0715/2025</v>
      </c>
      <c r="D395" s="218" t="b">
        <v>1</v>
      </c>
      <c r="E395" s="219" t="b">
        <v>0</v>
      </c>
      <c r="F395" s="234">
        <v>45867.0</v>
      </c>
      <c r="G395" s="173"/>
      <c r="H395" s="157" t="s">
        <v>5886</v>
      </c>
      <c r="I395" s="157" t="s">
        <v>5778</v>
      </c>
      <c r="J395" s="157">
        <v>2025.0</v>
      </c>
    </row>
    <row r="396">
      <c r="A396" s="218">
        <f t="shared" si="2"/>
        <v>393</v>
      </c>
      <c r="B396" s="218" t="s">
        <v>202</v>
      </c>
      <c r="C396" s="236" t="str">
        <f t="shared" si="1"/>
        <v>KB/0716/2025</v>
      </c>
      <c r="D396" s="218" t="b">
        <v>1</v>
      </c>
      <c r="E396" s="219" t="b">
        <v>0</v>
      </c>
      <c r="F396" s="234">
        <v>45867.0</v>
      </c>
      <c r="G396" s="173"/>
      <c r="H396" s="157" t="s">
        <v>5886</v>
      </c>
      <c r="I396" s="157" t="s">
        <v>5779</v>
      </c>
      <c r="J396" s="157">
        <v>2025.0</v>
      </c>
    </row>
    <row r="397">
      <c r="A397" s="218">
        <f t="shared" si="2"/>
        <v>394</v>
      </c>
      <c r="B397" s="218" t="s">
        <v>202</v>
      </c>
      <c r="C397" s="236" t="str">
        <f t="shared" si="1"/>
        <v>KB/0717/2025</v>
      </c>
      <c r="D397" s="218" t="b">
        <v>1</v>
      </c>
      <c r="E397" s="219" t="b">
        <v>0</v>
      </c>
      <c r="F397" s="234">
        <v>45867.0</v>
      </c>
      <c r="G397" s="173"/>
      <c r="H397" s="157" t="s">
        <v>5886</v>
      </c>
      <c r="I397" s="157" t="s">
        <v>5780</v>
      </c>
      <c r="J397" s="157">
        <v>2025.0</v>
      </c>
    </row>
    <row r="398">
      <c r="A398" s="218">
        <f t="shared" si="2"/>
        <v>395</v>
      </c>
      <c r="B398" s="218" t="s">
        <v>202</v>
      </c>
      <c r="C398" s="236" t="str">
        <f t="shared" si="1"/>
        <v>KB/0718/2025</v>
      </c>
      <c r="D398" s="218" t="b">
        <v>1</v>
      </c>
      <c r="E398" s="218" t="b">
        <v>0</v>
      </c>
      <c r="F398" s="234">
        <v>45867.0</v>
      </c>
      <c r="G398" s="173"/>
      <c r="H398" s="157" t="s">
        <v>5886</v>
      </c>
      <c r="I398" s="157" t="s">
        <v>5781</v>
      </c>
      <c r="J398" s="157">
        <v>2025.0</v>
      </c>
    </row>
    <row r="399">
      <c r="A399" s="218">
        <f t="shared" si="2"/>
        <v>396</v>
      </c>
      <c r="B399" s="218" t="s">
        <v>202</v>
      </c>
      <c r="C399" s="236" t="str">
        <f t="shared" si="1"/>
        <v>KB/0719/2025</v>
      </c>
      <c r="D399" s="218" t="b">
        <v>1</v>
      </c>
      <c r="E399" s="219" t="b">
        <v>0</v>
      </c>
      <c r="F399" s="219"/>
      <c r="G399" s="173"/>
      <c r="H399" s="157" t="s">
        <v>5886</v>
      </c>
      <c r="I399" s="157" t="s">
        <v>5782</v>
      </c>
      <c r="J399" s="157">
        <v>2025.0</v>
      </c>
    </row>
    <row r="400">
      <c r="A400" s="218">
        <f t="shared" si="2"/>
        <v>397</v>
      </c>
      <c r="B400" s="218" t="s">
        <v>202</v>
      </c>
      <c r="C400" s="236" t="str">
        <f t="shared" si="1"/>
        <v>KB/0720/2025</v>
      </c>
      <c r="D400" s="218" t="b">
        <v>1</v>
      </c>
      <c r="E400" s="219" t="b">
        <v>0</v>
      </c>
      <c r="F400" s="219"/>
      <c r="G400" s="173"/>
      <c r="H400" s="157" t="s">
        <v>5886</v>
      </c>
      <c r="I400" s="157" t="s">
        <v>5783</v>
      </c>
      <c r="J400" s="157">
        <v>2025.0</v>
      </c>
    </row>
    <row r="401">
      <c r="A401" s="218">
        <f t="shared" si="2"/>
        <v>398</v>
      </c>
      <c r="B401" s="218" t="s">
        <v>202</v>
      </c>
      <c r="C401" s="236" t="str">
        <f t="shared" si="1"/>
        <v>KB/0721/2025</v>
      </c>
      <c r="D401" s="218" t="b">
        <v>1</v>
      </c>
      <c r="E401" s="219" t="b">
        <v>0</v>
      </c>
      <c r="F401" s="219"/>
      <c r="G401" s="173"/>
      <c r="H401" s="157" t="s">
        <v>5886</v>
      </c>
      <c r="I401" s="157" t="s">
        <v>5784</v>
      </c>
      <c r="J401" s="157">
        <v>2025.0</v>
      </c>
    </row>
    <row r="402">
      <c r="A402" s="218">
        <f t="shared" si="2"/>
        <v>399</v>
      </c>
      <c r="B402" s="218" t="s">
        <v>202</v>
      </c>
      <c r="C402" s="236" t="str">
        <f t="shared" si="1"/>
        <v>KB/0722/2025</v>
      </c>
      <c r="D402" s="218" t="b">
        <v>1</v>
      </c>
      <c r="E402" s="219" t="b">
        <v>0</v>
      </c>
      <c r="F402" s="219"/>
      <c r="G402" s="173"/>
      <c r="H402" s="157" t="s">
        <v>5886</v>
      </c>
      <c r="I402" s="157" t="s">
        <v>5785</v>
      </c>
      <c r="J402" s="157">
        <v>2025.0</v>
      </c>
    </row>
    <row r="403">
      <c r="A403" s="218">
        <f t="shared" si="2"/>
        <v>400</v>
      </c>
      <c r="B403" s="218" t="s">
        <v>202</v>
      </c>
      <c r="C403" s="236" t="str">
        <f t="shared" si="1"/>
        <v>KB/0723/2025</v>
      </c>
      <c r="D403" s="218" t="b">
        <v>1</v>
      </c>
      <c r="E403" s="219" t="b">
        <v>0</v>
      </c>
      <c r="F403" s="219"/>
      <c r="G403" s="173"/>
      <c r="H403" s="157" t="s">
        <v>5886</v>
      </c>
      <c r="I403" s="157" t="s">
        <v>5786</v>
      </c>
      <c r="J403" s="157">
        <v>2025.0</v>
      </c>
    </row>
    <row r="404">
      <c r="A404" s="218">
        <f t="shared" si="2"/>
        <v>401</v>
      </c>
      <c r="B404" s="218" t="s">
        <v>202</v>
      </c>
      <c r="C404" s="236" t="str">
        <f t="shared" si="1"/>
        <v>KB/0724/2025</v>
      </c>
      <c r="D404" s="218" t="b">
        <v>1</v>
      </c>
      <c r="E404" s="218" t="b">
        <v>0</v>
      </c>
      <c r="F404" s="234">
        <v>45869.0</v>
      </c>
      <c r="G404" s="173"/>
      <c r="H404" s="157" t="s">
        <v>5886</v>
      </c>
      <c r="I404" s="157" t="s">
        <v>5787</v>
      </c>
      <c r="J404" s="157">
        <v>2025.0</v>
      </c>
    </row>
    <row r="405">
      <c r="A405" s="218">
        <f t="shared" si="2"/>
        <v>402</v>
      </c>
      <c r="B405" s="218" t="s">
        <v>202</v>
      </c>
      <c r="C405" s="236" t="str">
        <f t="shared" si="1"/>
        <v>KB/0725/2025</v>
      </c>
      <c r="D405" s="218" t="b">
        <v>1</v>
      </c>
      <c r="E405" s="218" t="b">
        <v>0</v>
      </c>
      <c r="F405" s="234">
        <v>45869.0</v>
      </c>
      <c r="G405" s="173"/>
      <c r="H405" s="157" t="s">
        <v>5886</v>
      </c>
      <c r="I405" s="157" t="s">
        <v>5788</v>
      </c>
      <c r="J405" s="157">
        <v>2025.0</v>
      </c>
    </row>
    <row r="406">
      <c r="A406" s="218">
        <f t="shared" si="2"/>
        <v>403</v>
      </c>
      <c r="B406" s="218" t="s">
        <v>202</v>
      </c>
      <c r="C406" s="236" t="str">
        <f t="shared" si="1"/>
        <v>KB/0726/2025</v>
      </c>
      <c r="D406" s="218" t="b">
        <v>1</v>
      </c>
      <c r="E406" s="218" t="b">
        <v>0</v>
      </c>
      <c r="F406" s="234">
        <v>45869.0</v>
      </c>
      <c r="G406" s="173"/>
      <c r="H406" s="157" t="s">
        <v>5886</v>
      </c>
      <c r="I406" s="157" t="s">
        <v>5789</v>
      </c>
      <c r="J406" s="157">
        <v>2025.0</v>
      </c>
    </row>
    <row r="407">
      <c r="A407" s="218">
        <f t="shared" si="2"/>
        <v>404</v>
      </c>
      <c r="B407" s="218" t="s">
        <v>202</v>
      </c>
      <c r="C407" s="236" t="str">
        <f t="shared" si="1"/>
        <v>KB/0727/2025</v>
      </c>
      <c r="D407" s="218" t="b">
        <v>1</v>
      </c>
      <c r="E407" s="218" t="b">
        <v>0</v>
      </c>
      <c r="F407" s="234">
        <v>45869.0</v>
      </c>
      <c r="G407" s="173"/>
      <c r="H407" s="157" t="s">
        <v>5886</v>
      </c>
      <c r="I407" s="157" t="s">
        <v>5790</v>
      </c>
      <c r="J407" s="157">
        <v>2025.0</v>
      </c>
    </row>
    <row r="408">
      <c r="A408" s="218">
        <f t="shared" si="2"/>
        <v>405</v>
      </c>
      <c r="B408" s="218" t="s">
        <v>202</v>
      </c>
      <c r="C408" s="236" t="str">
        <f t="shared" si="1"/>
        <v>KB/0728/2025</v>
      </c>
      <c r="D408" s="218" t="b">
        <v>1</v>
      </c>
      <c r="E408" s="218" t="b">
        <v>0</v>
      </c>
      <c r="F408" s="234">
        <v>45869.0</v>
      </c>
      <c r="G408" s="173"/>
      <c r="H408" s="157" t="s">
        <v>5886</v>
      </c>
      <c r="I408" s="157" t="s">
        <v>5791</v>
      </c>
      <c r="J408" s="157">
        <v>2025.0</v>
      </c>
    </row>
    <row r="409">
      <c r="A409" s="218">
        <f t="shared" si="2"/>
        <v>406</v>
      </c>
      <c r="B409" s="218" t="s">
        <v>202</v>
      </c>
      <c r="C409" s="236" t="str">
        <f t="shared" si="1"/>
        <v>KB/0729/2025</v>
      </c>
      <c r="D409" s="218" t="b">
        <v>1</v>
      </c>
      <c r="E409" s="218" t="b">
        <v>0</v>
      </c>
      <c r="F409" s="234">
        <v>45869.0</v>
      </c>
      <c r="G409" s="173"/>
      <c r="H409" s="157" t="s">
        <v>5886</v>
      </c>
      <c r="I409" s="157" t="s">
        <v>5792</v>
      </c>
      <c r="J409" s="157">
        <v>2025.0</v>
      </c>
    </row>
    <row r="410">
      <c r="A410" s="218">
        <f t="shared" si="2"/>
        <v>407</v>
      </c>
      <c r="B410" s="218" t="s">
        <v>202</v>
      </c>
      <c r="C410" s="236" t="str">
        <f t="shared" si="1"/>
        <v>KB/0730/2025</v>
      </c>
      <c r="D410" s="218" t="b">
        <v>1</v>
      </c>
      <c r="E410" s="218" t="b">
        <v>0</v>
      </c>
      <c r="F410" s="234">
        <v>45869.0</v>
      </c>
      <c r="G410" s="173"/>
      <c r="H410" s="157" t="s">
        <v>5886</v>
      </c>
      <c r="I410" s="157" t="s">
        <v>5793</v>
      </c>
      <c r="J410" s="157">
        <v>2025.0</v>
      </c>
    </row>
    <row r="411">
      <c r="A411" s="218">
        <f t="shared" si="2"/>
        <v>408</v>
      </c>
      <c r="B411" s="218" t="s">
        <v>202</v>
      </c>
      <c r="C411" s="236" t="str">
        <f t="shared" si="1"/>
        <v>KB/0731/2025</v>
      </c>
      <c r="D411" s="218" t="b">
        <v>1</v>
      </c>
      <c r="E411" s="218" t="b">
        <v>0</v>
      </c>
      <c r="F411" s="234">
        <v>45869.0</v>
      </c>
      <c r="G411" s="173"/>
      <c r="H411" s="157" t="s">
        <v>5886</v>
      </c>
      <c r="I411" s="157" t="s">
        <v>5794</v>
      </c>
      <c r="J411" s="157">
        <v>2025.0</v>
      </c>
    </row>
    <row r="412">
      <c r="A412" s="218">
        <f t="shared" si="2"/>
        <v>409</v>
      </c>
      <c r="B412" s="218" t="s">
        <v>202</v>
      </c>
      <c r="C412" s="236" t="str">
        <f t="shared" si="1"/>
        <v>KB/0732/2025</v>
      </c>
      <c r="D412" s="218" t="b">
        <v>1</v>
      </c>
      <c r="E412" s="218" t="b">
        <v>0</v>
      </c>
      <c r="F412" s="234">
        <v>45869.0</v>
      </c>
      <c r="G412" s="173"/>
      <c r="H412" s="157" t="s">
        <v>5886</v>
      </c>
      <c r="I412" s="157" t="s">
        <v>5795</v>
      </c>
      <c r="J412" s="157">
        <v>2025.0</v>
      </c>
    </row>
    <row r="413">
      <c r="A413" s="218">
        <f t="shared" si="2"/>
        <v>410</v>
      </c>
      <c r="B413" s="218" t="s">
        <v>202</v>
      </c>
      <c r="C413" s="236" t="str">
        <f t="shared" si="1"/>
        <v>KB/0733/2025</v>
      </c>
      <c r="D413" s="218" t="b">
        <v>1</v>
      </c>
      <c r="E413" s="218" t="b">
        <v>0</v>
      </c>
      <c r="F413" s="234">
        <v>45869.0</v>
      </c>
      <c r="G413" s="173"/>
      <c r="H413" s="157" t="s">
        <v>5886</v>
      </c>
      <c r="I413" s="157" t="s">
        <v>5796</v>
      </c>
      <c r="J413" s="157">
        <v>2025.0</v>
      </c>
    </row>
    <row r="414">
      <c r="A414" s="218">
        <f t="shared" si="2"/>
        <v>411</v>
      </c>
      <c r="B414" s="218" t="s">
        <v>202</v>
      </c>
      <c r="C414" s="236" t="str">
        <f t="shared" si="1"/>
        <v>KB/0734/2025</v>
      </c>
      <c r="D414" s="218" t="b">
        <v>1</v>
      </c>
      <c r="E414" s="218" t="b">
        <v>0</v>
      </c>
      <c r="F414" s="234">
        <v>45869.0</v>
      </c>
      <c r="G414" s="173"/>
      <c r="H414" s="157" t="s">
        <v>5886</v>
      </c>
      <c r="I414" s="157" t="s">
        <v>5797</v>
      </c>
      <c r="J414" s="157">
        <v>2025.0</v>
      </c>
    </row>
    <row r="415">
      <c r="A415" s="218">
        <f t="shared" si="2"/>
        <v>412</v>
      </c>
      <c r="B415" s="218" t="s">
        <v>202</v>
      </c>
      <c r="C415" s="236" t="str">
        <f t="shared" si="1"/>
        <v>KB/0735/2025</v>
      </c>
      <c r="D415" s="218" t="b">
        <v>1</v>
      </c>
      <c r="E415" s="218" t="b">
        <v>0</v>
      </c>
      <c r="F415" s="234">
        <v>45869.0</v>
      </c>
      <c r="G415" s="173"/>
      <c r="H415" s="157" t="s">
        <v>5886</v>
      </c>
      <c r="I415" s="157" t="s">
        <v>5798</v>
      </c>
      <c r="J415" s="157">
        <v>2025.0</v>
      </c>
    </row>
    <row r="416">
      <c r="A416" s="218">
        <f t="shared" si="2"/>
        <v>413</v>
      </c>
      <c r="B416" s="218" t="s">
        <v>202</v>
      </c>
      <c r="C416" s="236" t="str">
        <f t="shared" si="1"/>
        <v>KB/0736/2025</v>
      </c>
      <c r="D416" s="218" t="b">
        <v>1</v>
      </c>
      <c r="E416" s="218" t="b">
        <v>0</v>
      </c>
      <c r="F416" s="234">
        <v>45869.0</v>
      </c>
      <c r="G416" s="173"/>
      <c r="H416" s="157" t="s">
        <v>5886</v>
      </c>
      <c r="I416" s="157" t="s">
        <v>5799</v>
      </c>
      <c r="J416" s="157">
        <v>2025.0</v>
      </c>
    </row>
    <row r="417">
      <c r="A417" s="218">
        <f t="shared" si="2"/>
        <v>414</v>
      </c>
      <c r="B417" s="218" t="s">
        <v>202</v>
      </c>
      <c r="C417" s="236" t="str">
        <f t="shared" si="1"/>
        <v>KB/0737/2025</v>
      </c>
      <c r="D417" s="218" t="b">
        <v>1</v>
      </c>
      <c r="E417" s="218" t="b">
        <v>0</v>
      </c>
      <c r="F417" s="234">
        <v>45869.0</v>
      </c>
      <c r="G417" s="173"/>
      <c r="H417" s="157" t="s">
        <v>5886</v>
      </c>
      <c r="I417" s="157" t="s">
        <v>5800</v>
      </c>
      <c r="J417" s="157">
        <v>2025.0</v>
      </c>
    </row>
    <row r="418">
      <c r="A418" s="218">
        <f t="shared" si="2"/>
        <v>415</v>
      </c>
      <c r="B418" s="218" t="s">
        <v>202</v>
      </c>
      <c r="C418" s="236" t="str">
        <f t="shared" si="1"/>
        <v>KB/0738/2025</v>
      </c>
      <c r="D418" s="218" t="b">
        <v>1</v>
      </c>
      <c r="E418" s="218" t="b">
        <v>0</v>
      </c>
      <c r="F418" s="234">
        <v>45869.0</v>
      </c>
      <c r="G418" s="173"/>
      <c r="H418" s="157" t="s">
        <v>5886</v>
      </c>
      <c r="I418" s="157" t="s">
        <v>5801</v>
      </c>
      <c r="J418" s="157">
        <v>2025.0</v>
      </c>
    </row>
    <row r="419">
      <c r="A419" s="218">
        <f t="shared" si="2"/>
        <v>416</v>
      </c>
      <c r="B419" s="218" t="s">
        <v>202</v>
      </c>
      <c r="C419" s="236" t="str">
        <f t="shared" si="1"/>
        <v>KB/0739/2025</v>
      </c>
      <c r="D419" s="218" t="b">
        <v>1</v>
      </c>
      <c r="E419" s="218" t="b">
        <v>0</v>
      </c>
      <c r="F419" s="234">
        <v>45869.0</v>
      </c>
      <c r="G419" s="173"/>
      <c r="H419" s="157" t="s">
        <v>5886</v>
      </c>
      <c r="I419" s="157" t="s">
        <v>5802</v>
      </c>
      <c r="J419" s="157">
        <v>2025.0</v>
      </c>
    </row>
    <row r="420">
      <c r="A420" s="218">
        <f t="shared" si="2"/>
        <v>417</v>
      </c>
      <c r="B420" s="218" t="s">
        <v>202</v>
      </c>
      <c r="C420" s="236" t="str">
        <f t="shared" si="1"/>
        <v>KB/0740/2025</v>
      </c>
      <c r="D420" s="218" t="b">
        <v>1</v>
      </c>
      <c r="E420" s="218" t="b">
        <v>0</v>
      </c>
      <c r="F420" s="234">
        <v>45869.0</v>
      </c>
      <c r="G420" s="173"/>
      <c r="H420" s="157" t="s">
        <v>5886</v>
      </c>
      <c r="I420" s="157" t="s">
        <v>5803</v>
      </c>
      <c r="J420" s="157">
        <v>2025.0</v>
      </c>
    </row>
    <row r="421">
      <c r="A421" s="218">
        <f t="shared" si="2"/>
        <v>418</v>
      </c>
      <c r="B421" s="218" t="s">
        <v>202</v>
      </c>
      <c r="C421" s="236" t="str">
        <f t="shared" si="1"/>
        <v>KB/0741/2025</v>
      </c>
      <c r="D421" s="218" t="b">
        <v>1</v>
      </c>
      <c r="E421" s="218" t="b">
        <v>0</v>
      </c>
      <c r="F421" s="234">
        <v>45869.0</v>
      </c>
      <c r="G421" s="173"/>
      <c r="H421" s="157" t="s">
        <v>5886</v>
      </c>
      <c r="I421" s="157" t="s">
        <v>5804</v>
      </c>
      <c r="J421" s="157">
        <v>2025.0</v>
      </c>
    </row>
    <row r="422">
      <c r="A422" s="218">
        <f t="shared" si="2"/>
        <v>419</v>
      </c>
      <c r="B422" s="218" t="s">
        <v>202</v>
      </c>
      <c r="C422" s="236" t="str">
        <f t="shared" si="1"/>
        <v>KB/0742/2025</v>
      </c>
      <c r="D422" s="218" t="b">
        <v>1</v>
      </c>
      <c r="E422" s="218" t="b">
        <v>0</v>
      </c>
      <c r="F422" s="234">
        <v>45869.0</v>
      </c>
      <c r="G422" s="173"/>
      <c r="H422" s="157" t="s">
        <v>5886</v>
      </c>
      <c r="I422" s="157" t="s">
        <v>5805</v>
      </c>
      <c r="J422" s="157">
        <v>2025.0</v>
      </c>
    </row>
    <row r="423">
      <c r="A423" s="218">
        <f t="shared" si="2"/>
        <v>420</v>
      </c>
      <c r="B423" s="218" t="s">
        <v>202</v>
      </c>
      <c r="C423" s="236" t="str">
        <f t="shared" si="1"/>
        <v>KB/0743/2025</v>
      </c>
      <c r="D423" s="218" t="b">
        <v>1</v>
      </c>
      <c r="E423" s="218" t="b">
        <v>0</v>
      </c>
      <c r="F423" s="234">
        <v>45869.0</v>
      </c>
      <c r="G423" s="173"/>
      <c r="H423" s="157" t="s">
        <v>5886</v>
      </c>
      <c r="I423" s="157" t="s">
        <v>5806</v>
      </c>
      <c r="J423" s="157">
        <v>2025.0</v>
      </c>
    </row>
    <row r="424">
      <c r="A424" s="218">
        <f t="shared" si="2"/>
        <v>421</v>
      </c>
      <c r="B424" s="218" t="s">
        <v>202</v>
      </c>
      <c r="C424" s="236" t="str">
        <f t="shared" si="1"/>
        <v>KB/0744/2025</v>
      </c>
      <c r="D424" s="218" t="b">
        <v>1</v>
      </c>
      <c r="E424" s="218" t="b">
        <v>0</v>
      </c>
      <c r="F424" s="234">
        <v>45869.0</v>
      </c>
      <c r="G424" s="173"/>
      <c r="H424" s="157" t="s">
        <v>5886</v>
      </c>
      <c r="I424" s="157" t="s">
        <v>5808</v>
      </c>
      <c r="J424" s="157">
        <v>2025.0</v>
      </c>
    </row>
    <row r="425">
      <c r="A425" s="218">
        <f t="shared" si="2"/>
        <v>422</v>
      </c>
      <c r="B425" s="218" t="s">
        <v>202</v>
      </c>
      <c r="C425" s="236" t="str">
        <f t="shared" si="1"/>
        <v>KB/0745/2025</v>
      </c>
      <c r="D425" s="218" t="b">
        <v>1</v>
      </c>
      <c r="E425" s="218" t="b">
        <v>0</v>
      </c>
      <c r="F425" s="234">
        <v>45869.0</v>
      </c>
      <c r="G425" s="173"/>
      <c r="H425" s="157" t="s">
        <v>5886</v>
      </c>
      <c r="I425" s="157" t="s">
        <v>5809</v>
      </c>
      <c r="J425" s="157">
        <v>2025.0</v>
      </c>
    </row>
    <row r="426">
      <c r="A426" s="218">
        <f t="shared" si="2"/>
        <v>423</v>
      </c>
      <c r="B426" s="218" t="s">
        <v>202</v>
      </c>
      <c r="C426" s="236" t="str">
        <f t="shared" si="1"/>
        <v>KB/0746/2025</v>
      </c>
      <c r="D426" s="218" t="b">
        <v>1</v>
      </c>
      <c r="E426" s="218" t="b">
        <v>0</v>
      </c>
      <c r="F426" s="234">
        <v>45869.0</v>
      </c>
      <c r="G426" s="173"/>
      <c r="H426" s="157" t="s">
        <v>5886</v>
      </c>
      <c r="I426" s="157" t="s">
        <v>5810</v>
      </c>
      <c r="J426" s="157">
        <v>2025.0</v>
      </c>
    </row>
    <row r="427">
      <c r="A427" s="218">
        <f t="shared" si="2"/>
        <v>424</v>
      </c>
      <c r="B427" s="218" t="s">
        <v>202</v>
      </c>
      <c r="C427" s="236" t="str">
        <f t="shared" si="1"/>
        <v>KB/0747/2025</v>
      </c>
      <c r="D427" s="218" t="b">
        <v>1</v>
      </c>
      <c r="E427" s="218" t="b">
        <v>0</v>
      </c>
      <c r="F427" s="234">
        <v>45869.0</v>
      </c>
      <c r="G427" s="173"/>
      <c r="H427" s="157" t="s">
        <v>5886</v>
      </c>
      <c r="I427" s="157" t="s">
        <v>5811</v>
      </c>
      <c r="J427" s="157">
        <v>2025.0</v>
      </c>
    </row>
    <row r="428">
      <c r="A428" s="218">
        <f t="shared" si="2"/>
        <v>425</v>
      </c>
      <c r="B428" s="218" t="s">
        <v>202</v>
      </c>
      <c r="C428" s="236" t="str">
        <f t="shared" si="1"/>
        <v>KB/0748/2025</v>
      </c>
      <c r="D428" s="218" t="b">
        <v>1</v>
      </c>
      <c r="E428" s="218" t="b">
        <v>0</v>
      </c>
      <c r="F428" s="234">
        <v>45869.0</v>
      </c>
      <c r="G428" s="173"/>
      <c r="H428" s="157" t="s">
        <v>5886</v>
      </c>
      <c r="I428" s="157" t="s">
        <v>5812</v>
      </c>
      <c r="J428" s="157">
        <v>2025.0</v>
      </c>
    </row>
    <row r="429">
      <c r="A429" s="218">
        <f t="shared" si="2"/>
        <v>426</v>
      </c>
      <c r="B429" s="218" t="s">
        <v>202</v>
      </c>
      <c r="C429" s="236" t="str">
        <f t="shared" si="1"/>
        <v>KB/0749/2025</v>
      </c>
      <c r="D429" s="218" t="b">
        <v>0</v>
      </c>
      <c r="E429" s="218" t="b">
        <v>1</v>
      </c>
      <c r="F429" s="218" t="s">
        <v>5887</v>
      </c>
      <c r="G429" s="173"/>
      <c r="H429" s="157" t="s">
        <v>5886</v>
      </c>
      <c r="I429" s="157" t="s">
        <v>5813</v>
      </c>
      <c r="J429" s="157">
        <v>2025.0</v>
      </c>
    </row>
    <row r="430">
      <c r="A430" s="218">
        <f t="shared" si="2"/>
        <v>427</v>
      </c>
      <c r="B430" s="218" t="s">
        <v>202</v>
      </c>
      <c r="C430" s="236" t="str">
        <f t="shared" si="1"/>
        <v>KB/0750/2025</v>
      </c>
      <c r="D430" s="218" t="b">
        <v>0</v>
      </c>
      <c r="E430" s="218" t="b">
        <v>1</v>
      </c>
      <c r="F430" s="218" t="s">
        <v>5887</v>
      </c>
      <c r="G430" s="173"/>
      <c r="H430" s="157" t="s">
        <v>5886</v>
      </c>
      <c r="I430" s="157" t="s">
        <v>5814</v>
      </c>
      <c r="J430" s="157">
        <v>2025.0</v>
      </c>
    </row>
    <row r="431">
      <c r="A431" s="218">
        <f t="shared" si="2"/>
        <v>428</v>
      </c>
      <c r="B431" s="218" t="s">
        <v>202</v>
      </c>
      <c r="C431" s="236" t="str">
        <f t="shared" si="1"/>
        <v>KB/0751/2025</v>
      </c>
      <c r="D431" s="218" t="b">
        <v>0</v>
      </c>
      <c r="E431" s="218" t="b">
        <v>1</v>
      </c>
      <c r="F431" s="218" t="s">
        <v>5887</v>
      </c>
      <c r="G431" s="173"/>
      <c r="H431" s="157" t="s">
        <v>5886</v>
      </c>
      <c r="I431" s="157" t="s">
        <v>5815</v>
      </c>
      <c r="J431" s="157">
        <v>2025.0</v>
      </c>
    </row>
    <row r="432">
      <c r="A432" s="218">
        <f t="shared" si="2"/>
        <v>429</v>
      </c>
      <c r="B432" s="218" t="s">
        <v>202</v>
      </c>
      <c r="C432" s="236" t="str">
        <f t="shared" si="1"/>
        <v>KB/0752/2025</v>
      </c>
      <c r="D432" s="218" t="b">
        <v>0</v>
      </c>
      <c r="E432" s="218" t="b">
        <v>1</v>
      </c>
      <c r="F432" s="218" t="s">
        <v>5887</v>
      </c>
      <c r="G432" s="173"/>
      <c r="H432" s="157" t="s">
        <v>5886</v>
      </c>
      <c r="I432" s="157" t="s">
        <v>5816</v>
      </c>
      <c r="J432" s="157">
        <v>2025.0</v>
      </c>
    </row>
    <row r="433">
      <c r="A433" s="218">
        <f t="shared" si="2"/>
        <v>430</v>
      </c>
      <c r="B433" s="218" t="s">
        <v>202</v>
      </c>
      <c r="C433" s="236" t="str">
        <f t="shared" si="1"/>
        <v>KB/0753/2025</v>
      </c>
      <c r="D433" s="218" t="b">
        <v>0</v>
      </c>
      <c r="E433" s="218" t="b">
        <v>1</v>
      </c>
      <c r="F433" s="218" t="s">
        <v>5887</v>
      </c>
      <c r="G433" s="173"/>
      <c r="H433" s="157" t="s">
        <v>5886</v>
      </c>
      <c r="I433" s="157" t="s">
        <v>5817</v>
      </c>
      <c r="J433" s="157">
        <v>2025.0</v>
      </c>
    </row>
    <row r="434">
      <c r="A434" s="218">
        <f t="shared" si="2"/>
        <v>431</v>
      </c>
      <c r="B434" s="218" t="s">
        <v>202</v>
      </c>
      <c r="C434" s="236" t="str">
        <f t="shared" si="1"/>
        <v>KB/0754/2025</v>
      </c>
      <c r="D434" s="218" t="b">
        <v>0</v>
      </c>
      <c r="E434" s="218" t="b">
        <v>1</v>
      </c>
      <c r="F434" s="218" t="s">
        <v>5887</v>
      </c>
      <c r="G434" s="173"/>
      <c r="H434" s="157" t="s">
        <v>5886</v>
      </c>
      <c r="I434" s="157" t="s">
        <v>5818</v>
      </c>
      <c r="J434" s="157">
        <v>2025.0</v>
      </c>
    </row>
    <row r="435">
      <c r="A435" s="218">
        <f t="shared" si="2"/>
        <v>432</v>
      </c>
      <c r="B435" s="218" t="s">
        <v>202</v>
      </c>
      <c r="C435" s="236" t="str">
        <f t="shared" si="1"/>
        <v>KB/0755/2025</v>
      </c>
      <c r="D435" s="218" t="b">
        <v>0</v>
      </c>
      <c r="E435" s="218" t="b">
        <v>1</v>
      </c>
      <c r="F435" s="218" t="s">
        <v>5887</v>
      </c>
      <c r="G435" s="173"/>
      <c r="H435" s="157" t="s">
        <v>5886</v>
      </c>
      <c r="I435" s="157" t="s">
        <v>5819</v>
      </c>
      <c r="J435" s="157">
        <v>2025.0</v>
      </c>
    </row>
    <row r="436">
      <c r="A436" s="218">
        <f t="shared" si="2"/>
        <v>433</v>
      </c>
      <c r="B436" s="218" t="s">
        <v>202</v>
      </c>
      <c r="C436" s="236" t="str">
        <f t="shared" si="1"/>
        <v>KB/0756/2025</v>
      </c>
      <c r="D436" s="218" t="b">
        <v>0</v>
      </c>
      <c r="E436" s="218" t="b">
        <v>1</v>
      </c>
      <c r="F436" s="218" t="s">
        <v>5887</v>
      </c>
      <c r="G436" s="173"/>
      <c r="H436" s="157" t="s">
        <v>5886</v>
      </c>
      <c r="I436" s="157" t="s">
        <v>5820</v>
      </c>
      <c r="J436" s="157">
        <v>2025.0</v>
      </c>
    </row>
    <row r="437">
      <c r="A437" s="218">
        <f t="shared" si="2"/>
        <v>434</v>
      </c>
      <c r="B437" s="218" t="s">
        <v>202</v>
      </c>
      <c r="C437" s="236" t="str">
        <f t="shared" si="1"/>
        <v>KB/0757/2025</v>
      </c>
      <c r="D437" s="218" t="b">
        <v>0</v>
      </c>
      <c r="E437" s="218" t="b">
        <v>1</v>
      </c>
      <c r="F437" s="218" t="s">
        <v>5887</v>
      </c>
      <c r="G437" s="173"/>
      <c r="H437" s="157" t="s">
        <v>5886</v>
      </c>
      <c r="I437" s="157" t="s">
        <v>5821</v>
      </c>
      <c r="J437" s="157">
        <v>2025.0</v>
      </c>
    </row>
    <row r="438">
      <c r="A438" s="218">
        <f t="shared" si="2"/>
        <v>435</v>
      </c>
      <c r="B438" s="218" t="s">
        <v>202</v>
      </c>
      <c r="C438" s="236" t="str">
        <f t="shared" si="1"/>
        <v>KB/0758/2025</v>
      </c>
      <c r="D438" s="218" t="b">
        <v>0</v>
      </c>
      <c r="E438" s="218" t="b">
        <v>1</v>
      </c>
      <c r="F438" s="218" t="s">
        <v>5887</v>
      </c>
      <c r="G438" s="173"/>
      <c r="H438" s="157" t="s">
        <v>5886</v>
      </c>
      <c r="I438" s="157" t="s">
        <v>5822</v>
      </c>
      <c r="J438" s="157">
        <v>2025.0</v>
      </c>
    </row>
    <row r="439">
      <c r="A439" s="218">
        <f t="shared" si="2"/>
        <v>436</v>
      </c>
      <c r="B439" s="218" t="s">
        <v>202</v>
      </c>
      <c r="C439" s="236" t="str">
        <f t="shared" si="1"/>
        <v>KB/0759/2025</v>
      </c>
      <c r="D439" s="218" t="b">
        <v>0</v>
      </c>
      <c r="E439" s="218" t="b">
        <v>1</v>
      </c>
      <c r="F439" s="218" t="s">
        <v>5887</v>
      </c>
      <c r="G439" s="173"/>
      <c r="H439" s="157" t="s">
        <v>5886</v>
      </c>
      <c r="I439" s="157" t="s">
        <v>5823</v>
      </c>
      <c r="J439" s="157">
        <v>2025.0</v>
      </c>
    </row>
    <row r="440">
      <c r="A440" s="218">
        <f t="shared" si="2"/>
        <v>437</v>
      </c>
      <c r="B440" s="218" t="s">
        <v>202</v>
      </c>
      <c r="C440" s="236" t="str">
        <f t="shared" si="1"/>
        <v>KB/0760/2025</v>
      </c>
      <c r="D440" s="218" t="b">
        <v>0</v>
      </c>
      <c r="E440" s="218" t="b">
        <v>1</v>
      </c>
      <c r="F440" s="218" t="s">
        <v>5887</v>
      </c>
      <c r="G440" s="173"/>
      <c r="H440" s="157" t="s">
        <v>5886</v>
      </c>
      <c r="I440" s="157" t="s">
        <v>5824</v>
      </c>
      <c r="J440" s="157">
        <v>2025.0</v>
      </c>
    </row>
    <row r="441">
      <c r="A441" s="218">
        <f t="shared" si="2"/>
        <v>438</v>
      </c>
      <c r="B441" s="218" t="s">
        <v>202</v>
      </c>
      <c r="C441" s="236" t="str">
        <f t="shared" si="1"/>
        <v>KB/0761/2025</v>
      </c>
      <c r="D441" s="218" t="b">
        <v>0</v>
      </c>
      <c r="E441" s="218" t="b">
        <v>1</v>
      </c>
      <c r="F441" s="218" t="s">
        <v>5887</v>
      </c>
      <c r="G441" s="173"/>
      <c r="H441" s="157" t="s">
        <v>5886</v>
      </c>
      <c r="I441" s="157" t="s">
        <v>5825</v>
      </c>
      <c r="J441" s="157">
        <v>2025.0</v>
      </c>
    </row>
    <row r="442">
      <c r="A442" s="218">
        <f t="shared" si="2"/>
        <v>439</v>
      </c>
      <c r="B442" s="218" t="s">
        <v>202</v>
      </c>
      <c r="C442" s="236" t="str">
        <f t="shared" si="1"/>
        <v>KB/0762/2025</v>
      </c>
      <c r="D442" s="218" t="b">
        <v>0</v>
      </c>
      <c r="E442" s="218" t="b">
        <v>1</v>
      </c>
      <c r="F442" s="218" t="s">
        <v>5887</v>
      </c>
      <c r="G442" s="173"/>
      <c r="H442" s="157" t="s">
        <v>5886</v>
      </c>
      <c r="I442" s="157" t="s">
        <v>5826</v>
      </c>
      <c r="J442" s="157">
        <v>2025.0</v>
      </c>
    </row>
    <row r="443">
      <c r="A443" s="218">
        <f t="shared" si="2"/>
        <v>440</v>
      </c>
      <c r="B443" s="218" t="s">
        <v>202</v>
      </c>
      <c r="C443" s="236" t="str">
        <f t="shared" si="1"/>
        <v>KB/0763/2025</v>
      </c>
      <c r="D443" s="218" t="b">
        <v>0</v>
      </c>
      <c r="E443" s="218" t="b">
        <v>1</v>
      </c>
      <c r="F443" s="218" t="s">
        <v>5887</v>
      </c>
      <c r="G443" s="173"/>
      <c r="H443" s="157" t="s">
        <v>5886</v>
      </c>
      <c r="I443" s="157" t="s">
        <v>5827</v>
      </c>
      <c r="J443" s="157">
        <v>2025.0</v>
      </c>
    </row>
    <row r="444">
      <c r="A444" s="218">
        <f t="shared" si="2"/>
        <v>441</v>
      </c>
      <c r="B444" s="218" t="s">
        <v>202</v>
      </c>
      <c r="C444" s="236" t="str">
        <f t="shared" si="1"/>
        <v>KB/0764/2025</v>
      </c>
      <c r="D444" s="218" t="b">
        <v>0</v>
      </c>
      <c r="E444" s="218" t="b">
        <v>1</v>
      </c>
      <c r="F444" s="218" t="s">
        <v>5887</v>
      </c>
      <c r="G444" s="173"/>
      <c r="H444" s="157" t="s">
        <v>5886</v>
      </c>
      <c r="I444" s="157" t="s">
        <v>5828</v>
      </c>
      <c r="J444" s="157">
        <v>2025.0</v>
      </c>
    </row>
    <row r="445">
      <c r="A445" s="218">
        <f t="shared" si="2"/>
        <v>442</v>
      </c>
      <c r="B445" s="218" t="s">
        <v>202</v>
      </c>
      <c r="C445" s="236" t="str">
        <f t="shared" si="1"/>
        <v>KB/0765/2025</v>
      </c>
      <c r="D445" s="218" t="b">
        <v>0</v>
      </c>
      <c r="E445" s="218" t="b">
        <v>1</v>
      </c>
      <c r="F445" s="218" t="s">
        <v>5887</v>
      </c>
      <c r="G445" s="173"/>
      <c r="H445" s="157" t="s">
        <v>5886</v>
      </c>
      <c r="I445" s="157" t="s">
        <v>5829</v>
      </c>
      <c r="J445" s="157">
        <v>2025.0</v>
      </c>
    </row>
    <row r="446">
      <c r="A446" s="218">
        <f t="shared" si="2"/>
        <v>443</v>
      </c>
      <c r="B446" s="218" t="s">
        <v>202</v>
      </c>
      <c r="C446" s="236" t="str">
        <f t="shared" si="1"/>
        <v>KB/0766/2025</v>
      </c>
      <c r="D446" s="218" t="b">
        <v>0</v>
      </c>
      <c r="E446" s="218" t="b">
        <v>1</v>
      </c>
      <c r="F446" s="218" t="s">
        <v>5887</v>
      </c>
      <c r="G446" s="173"/>
      <c r="H446" s="157" t="s">
        <v>5886</v>
      </c>
      <c r="I446" s="157" t="s">
        <v>5830</v>
      </c>
      <c r="J446" s="157">
        <v>2025.0</v>
      </c>
    </row>
    <row r="447">
      <c r="A447" s="218">
        <f t="shared" si="2"/>
        <v>444</v>
      </c>
      <c r="B447" s="218" t="s">
        <v>202</v>
      </c>
      <c r="C447" s="236" t="str">
        <f t="shared" si="1"/>
        <v>KB/0767/2025</v>
      </c>
      <c r="D447" s="218" t="b">
        <v>0</v>
      </c>
      <c r="E447" s="218" t="b">
        <v>1</v>
      </c>
      <c r="F447" s="218" t="s">
        <v>5887</v>
      </c>
      <c r="G447" s="173"/>
      <c r="H447" s="157" t="s">
        <v>5886</v>
      </c>
      <c r="I447" s="157" t="s">
        <v>5831</v>
      </c>
      <c r="J447" s="157">
        <v>2025.0</v>
      </c>
    </row>
    <row r="448">
      <c r="A448" s="218">
        <f t="shared" si="2"/>
        <v>445</v>
      </c>
      <c r="B448" s="218" t="s">
        <v>202</v>
      </c>
      <c r="C448" s="236" t="str">
        <f t="shared" si="1"/>
        <v>KB/0768/2025</v>
      </c>
      <c r="D448" s="218" t="b">
        <v>0</v>
      </c>
      <c r="E448" s="218" t="b">
        <v>1</v>
      </c>
      <c r="F448" s="218" t="s">
        <v>5887</v>
      </c>
      <c r="G448" s="173"/>
      <c r="H448" s="157" t="s">
        <v>5886</v>
      </c>
      <c r="I448" s="157" t="s">
        <v>5832</v>
      </c>
      <c r="J448" s="157">
        <v>2025.0</v>
      </c>
    </row>
    <row r="449">
      <c r="A449" s="218">
        <f t="shared" si="2"/>
        <v>446</v>
      </c>
      <c r="B449" s="218" t="s">
        <v>202</v>
      </c>
      <c r="C449" s="236" t="str">
        <f t="shared" si="1"/>
        <v>KB/0769/2025</v>
      </c>
      <c r="D449" s="218" t="b">
        <v>1</v>
      </c>
      <c r="E449" s="219" t="b">
        <v>0</v>
      </c>
      <c r="F449" s="219"/>
      <c r="G449" s="173"/>
      <c r="H449" s="157" t="s">
        <v>5886</v>
      </c>
      <c r="I449" s="157" t="s">
        <v>5833</v>
      </c>
      <c r="J449" s="157">
        <v>2025.0</v>
      </c>
    </row>
    <row r="450">
      <c r="A450" s="218">
        <f t="shared" si="2"/>
        <v>447</v>
      </c>
      <c r="B450" s="218" t="s">
        <v>202</v>
      </c>
      <c r="C450" s="236" t="str">
        <f t="shared" si="1"/>
        <v>KB/0770/2025</v>
      </c>
      <c r="D450" s="218" t="b">
        <v>1</v>
      </c>
      <c r="E450" s="219" t="b">
        <v>0</v>
      </c>
      <c r="F450" s="219"/>
      <c r="G450" s="173"/>
      <c r="H450" s="157" t="s">
        <v>5886</v>
      </c>
      <c r="I450" s="157" t="s">
        <v>5834</v>
      </c>
      <c r="J450" s="157">
        <v>2025.0</v>
      </c>
    </row>
    <row r="451">
      <c r="A451" s="218">
        <f t="shared" si="2"/>
        <v>448</v>
      </c>
      <c r="B451" s="218" t="s">
        <v>202</v>
      </c>
      <c r="C451" s="236" t="str">
        <f t="shared" si="1"/>
        <v>KB/0771/2025</v>
      </c>
      <c r="D451" s="218" t="b">
        <v>1</v>
      </c>
      <c r="E451" s="219" t="b">
        <v>0</v>
      </c>
      <c r="F451" s="219"/>
      <c r="G451" s="173"/>
      <c r="H451" s="157" t="s">
        <v>5886</v>
      </c>
      <c r="I451" s="157" t="s">
        <v>5835</v>
      </c>
      <c r="J451" s="157">
        <v>2025.0</v>
      </c>
    </row>
    <row r="452">
      <c r="A452" s="218">
        <f t="shared" si="2"/>
        <v>449</v>
      </c>
      <c r="B452" s="218" t="s">
        <v>202</v>
      </c>
      <c r="C452" s="236" t="str">
        <f t="shared" si="1"/>
        <v>KB/0772/2025</v>
      </c>
      <c r="D452" s="218" t="b">
        <v>1</v>
      </c>
      <c r="E452" s="219" t="b">
        <v>0</v>
      </c>
      <c r="F452" s="219"/>
      <c r="G452" s="173"/>
      <c r="H452" s="157" t="s">
        <v>5886</v>
      </c>
      <c r="I452" s="157" t="s">
        <v>5836</v>
      </c>
      <c r="J452" s="157">
        <v>2025.0</v>
      </c>
    </row>
    <row r="453">
      <c r="A453" s="218">
        <f t="shared" si="2"/>
        <v>450</v>
      </c>
      <c r="B453" s="218" t="s">
        <v>202</v>
      </c>
      <c r="C453" s="236" t="str">
        <f t="shared" si="1"/>
        <v>KB/0773/2025</v>
      </c>
      <c r="D453" s="218" t="b">
        <v>1</v>
      </c>
      <c r="E453" s="219" t="b">
        <v>0</v>
      </c>
      <c r="F453" s="219"/>
      <c r="G453" s="173"/>
      <c r="H453" s="157" t="s">
        <v>5886</v>
      </c>
      <c r="I453" s="157" t="s">
        <v>5837</v>
      </c>
      <c r="J453" s="157">
        <v>2025.0</v>
      </c>
    </row>
    <row r="454">
      <c r="A454" s="218">
        <f t="shared" si="2"/>
        <v>451</v>
      </c>
      <c r="B454" s="218" t="s">
        <v>202</v>
      </c>
      <c r="C454" s="236" t="str">
        <f t="shared" si="1"/>
        <v>KB/0774/2025</v>
      </c>
      <c r="D454" s="218" t="b">
        <v>1</v>
      </c>
      <c r="E454" s="219" t="b">
        <v>0</v>
      </c>
      <c r="F454" s="219"/>
      <c r="G454" s="173"/>
      <c r="H454" s="157" t="s">
        <v>5886</v>
      </c>
      <c r="I454" s="157" t="s">
        <v>5838</v>
      </c>
      <c r="J454" s="157">
        <v>2025.0</v>
      </c>
    </row>
    <row r="455">
      <c r="A455" s="218">
        <f t="shared" si="2"/>
        <v>452</v>
      </c>
      <c r="B455" s="218" t="s">
        <v>202</v>
      </c>
      <c r="C455" s="236" t="str">
        <f t="shared" si="1"/>
        <v>KB/0775/2025</v>
      </c>
      <c r="D455" s="218" t="b">
        <v>1</v>
      </c>
      <c r="E455" s="219" t="b">
        <v>0</v>
      </c>
      <c r="F455" s="219"/>
      <c r="G455" s="173"/>
      <c r="H455" s="157" t="s">
        <v>5886</v>
      </c>
      <c r="I455" s="157" t="s">
        <v>5839</v>
      </c>
      <c r="J455" s="157">
        <v>2025.0</v>
      </c>
    </row>
    <row r="456">
      <c r="A456" s="218">
        <f t="shared" si="2"/>
        <v>453</v>
      </c>
      <c r="B456" s="218" t="s">
        <v>202</v>
      </c>
      <c r="C456" s="236" t="str">
        <f t="shared" si="1"/>
        <v>KB/0776/2025</v>
      </c>
      <c r="D456" s="218" t="b">
        <v>1</v>
      </c>
      <c r="E456" s="219" t="b">
        <v>0</v>
      </c>
      <c r="F456" s="219"/>
      <c r="G456" s="173"/>
      <c r="H456" s="157" t="s">
        <v>5886</v>
      </c>
      <c r="I456" s="157" t="s">
        <v>5840</v>
      </c>
      <c r="J456" s="157">
        <v>2025.0</v>
      </c>
    </row>
    <row r="457">
      <c r="A457" s="218">
        <f t="shared" si="2"/>
        <v>454</v>
      </c>
      <c r="B457" s="218" t="s">
        <v>202</v>
      </c>
      <c r="C457" s="236" t="str">
        <f t="shared" si="1"/>
        <v>KB/0777/2025</v>
      </c>
      <c r="D457" s="218" t="b">
        <v>1</v>
      </c>
      <c r="E457" s="219" t="b">
        <v>0</v>
      </c>
      <c r="F457" s="219"/>
      <c r="G457" s="173"/>
      <c r="H457" s="157" t="s">
        <v>5886</v>
      </c>
      <c r="I457" s="157" t="s">
        <v>5841</v>
      </c>
      <c r="J457" s="157">
        <v>2025.0</v>
      </c>
    </row>
    <row r="458">
      <c r="A458" s="218">
        <f t="shared" si="2"/>
        <v>455</v>
      </c>
      <c r="B458" s="218" t="s">
        <v>202</v>
      </c>
      <c r="C458" s="236" t="str">
        <f t="shared" si="1"/>
        <v>KB/0778/2025</v>
      </c>
      <c r="D458" s="218" t="b">
        <v>1</v>
      </c>
      <c r="E458" s="219" t="b">
        <v>0</v>
      </c>
      <c r="F458" s="219"/>
      <c r="G458" s="173"/>
      <c r="H458" s="157" t="s">
        <v>5886</v>
      </c>
      <c r="I458" s="157" t="s">
        <v>5842</v>
      </c>
      <c r="J458" s="157">
        <v>2025.0</v>
      </c>
    </row>
    <row r="459">
      <c r="A459" s="218">
        <f t="shared" si="2"/>
        <v>456</v>
      </c>
      <c r="B459" s="218" t="s">
        <v>202</v>
      </c>
      <c r="C459" s="236" t="str">
        <f t="shared" si="1"/>
        <v>KB/0779/2025</v>
      </c>
      <c r="D459" s="218" t="b">
        <v>1</v>
      </c>
      <c r="E459" s="219" t="b">
        <v>0</v>
      </c>
      <c r="F459" s="219"/>
      <c r="G459" s="173"/>
      <c r="H459" s="157" t="s">
        <v>5886</v>
      </c>
      <c r="I459" s="157" t="s">
        <v>5843</v>
      </c>
      <c r="J459" s="157">
        <v>2025.0</v>
      </c>
    </row>
    <row r="460">
      <c r="A460" s="218">
        <f t="shared" si="2"/>
        <v>457</v>
      </c>
      <c r="B460" s="218" t="s">
        <v>202</v>
      </c>
      <c r="C460" s="236" t="str">
        <f t="shared" si="1"/>
        <v>KB/0780/2025</v>
      </c>
      <c r="D460" s="218" t="b">
        <v>1</v>
      </c>
      <c r="E460" s="219" t="b">
        <v>0</v>
      </c>
      <c r="F460" s="219"/>
      <c r="G460" s="173"/>
      <c r="H460" s="157" t="s">
        <v>5886</v>
      </c>
      <c r="I460" s="157" t="s">
        <v>5844</v>
      </c>
      <c r="J460" s="157">
        <v>2025.0</v>
      </c>
    </row>
    <row r="461">
      <c r="A461" s="218">
        <f t="shared" si="2"/>
        <v>458</v>
      </c>
      <c r="B461" s="218" t="s">
        <v>202</v>
      </c>
      <c r="C461" s="236" t="str">
        <f t="shared" si="1"/>
        <v>KB/0781/2025</v>
      </c>
      <c r="D461" s="218" t="b">
        <v>1</v>
      </c>
      <c r="E461" s="219" t="b">
        <v>0</v>
      </c>
      <c r="F461" s="219"/>
      <c r="G461" s="173"/>
      <c r="H461" s="157" t="s">
        <v>5886</v>
      </c>
      <c r="I461" s="157" t="s">
        <v>5845</v>
      </c>
      <c r="J461" s="157">
        <v>2025.0</v>
      </c>
    </row>
    <row r="462">
      <c r="A462" s="218">
        <f t="shared" si="2"/>
        <v>459</v>
      </c>
      <c r="B462" s="218" t="s">
        <v>202</v>
      </c>
      <c r="C462" s="236" t="str">
        <f t="shared" si="1"/>
        <v>KB/0782/2025</v>
      </c>
      <c r="D462" s="218" t="b">
        <v>1</v>
      </c>
      <c r="E462" s="219" t="b">
        <v>0</v>
      </c>
      <c r="F462" s="219"/>
      <c r="G462" s="173"/>
      <c r="H462" s="157" t="s">
        <v>5886</v>
      </c>
      <c r="I462" s="157" t="s">
        <v>5846</v>
      </c>
      <c r="J462" s="157">
        <v>2025.0</v>
      </c>
    </row>
    <row r="463">
      <c r="A463" s="218">
        <f t="shared" si="2"/>
        <v>460</v>
      </c>
      <c r="B463" s="218" t="s">
        <v>202</v>
      </c>
      <c r="C463" s="236" t="str">
        <f t="shared" si="1"/>
        <v>KB/0783/2025</v>
      </c>
      <c r="D463" s="218" t="b">
        <v>1</v>
      </c>
      <c r="E463" s="219" t="b">
        <v>0</v>
      </c>
      <c r="F463" s="219"/>
      <c r="G463" s="173"/>
      <c r="H463" s="157" t="s">
        <v>5886</v>
      </c>
      <c r="I463" s="157" t="s">
        <v>5847</v>
      </c>
      <c r="J463" s="157">
        <v>2025.0</v>
      </c>
    </row>
    <row r="464">
      <c r="A464" s="218">
        <f t="shared" si="2"/>
        <v>461</v>
      </c>
      <c r="B464" s="218" t="s">
        <v>202</v>
      </c>
      <c r="C464" s="236" t="str">
        <f t="shared" si="1"/>
        <v>KB/0784/2025</v>
      </c>
      <c r="D464" s="218" t="b">
        <v>1</v>
      </c>
      <c r="E464" s="219" t="b">
        <v>0</v>
      </c>
      <c r="F464" s="219"/>
      <c r="G464" s="173"/>
      <c r="H464" s="157" t="s">
        <v>5886</v>
      </c>
      <c r="I464" s="157" t="s">
        <v>5848</v>
      </c>
      <c r="J464" s="157">
        <v>2025.0</v>
      </c>
    </row>
    <row r="465">
      <c r="A465" s="218">
        <f t="shared" si="2"/>
        <v>462</v>
      </c>
      <c r="B465" s="218" t="s">
        <v>202</v>
      </c>
      <c r="C465" s="236" t="str">
        <f t="shared" si="1"/>
        <v>KB/0785/2025</v>
      </c>
      <c r="D465" s="218" t="b">
        <v>1</v>
      </c>
      <c r="E465" s="219" t="b">
        <v>0</v>
      </c>
      <c r="F465" s="219"/>
      <c r="G465" s="173"/>
      <c r="H465" s="157" t="s">
        <v>5886</v>
      </c>
      <c r="I465" s="157" t="s">
        <v>5849</v>
      </c>
      <c r="J465" s="157">
        <v>2025.0</v>
      </c>
    </row>
    <row r="466">
      <c r="A466" s="218">
        <f t="shared" si="2"/>
        <v>463</v>
      </c>
      <c r="B466" s="218" t="s">
        <v>202</v>
      </c>
      <c r="C466" s="236" t="str">
        <f t="shared" si="1"/>
        <v>KB/0786/2025</v>
      </c>
      <c r="D466" s="218" t="b">
        <v>1</v>
      </c>
      <c r="E466" s="219" t="b">
        <v>0</v>
      </c>
      <c r="F466" s="219"/>
      <c r="G466" s="173"/>
      <c r="H466" s="157" t="s">
        <v>5886</v>
      </c>
      <c r="I466" s="157" t="s">
        <v>5850</v>
      </c>
      <c r="J466" s="157">
        <v>2025.0</v>
      </c>
    </row>
    <row r="467">
      <c r="A467" s="218">
        <f t="shared" si="2"/>
        <v>464</v>
      </c>
      <c r="B467" s="218" t="s">
        <v>202</v>
      </c>
      <c r="C467" s="236" t="str">
        <f t="shared" si="1"/>
        <v>KB/0787/2025</v>
      </c>
      <c r="D467" s="218" t="b">
        <v>1</v>
      </c>
      <c r="E467" s="219" t="b">
        <v>0</v>
      </c>
      <c r="F467" s="219"/>
      <c r="G467" s="173"/>
      <c r="H467" s="157" t="s">
        <v>5886</v>
      </c>
      <c r="I467" s="157" t="s">
        <v>5851</v>
      </c>
      <c r="J467" s="157">
        <v>2025.0</v>
      </c>
    </row>
    <row r="468">
      <c r="A468" s="218">
        <f t="shared" si="2"/>
        <v>465</v>
      </c>
      <c r="B468" s="218" t="s">
        <v>202</v>
      </c>
      <c r="C468" s="236" t="str">
        <f t="shared" si="1"/>
        <v>KB/0788/2025</v>
      </c>
      <c r="D468" s="218" t="b">
        <v>1</v>
      </c>
      <c r="E468" s="219" t="b">
        <v>0</v>
      </c>
      <c r="F468" s="219"/>
      <c r="G468" s="173"/>
      <c r="H468" s="157" t="s">
        <v>5886</v>
      </c>
      <c r="I468" s="157" t="s">
        <v>5852</v>
      </c>
      <c r="J468" s="157">
        <v>2025.0</v>
      </c>
    </row>
    <row r="469">
      <c r="A469" s="218">
        <f t="shared" si="2"/>
        <v>466</v>
      </c>
      <c r="B469" s="218" t="s">
        <v>202</v>
      </c>
      <c r="C469" s="236" t="str">
        <f t="shared" si="1"/>
        <v>KB/0789/2025</v>
      </c>
      <c r="D469" s="218" t="b">
        <v>1</v>
      </c>
      <c r="E469" s="219" t="b">
        <v>0</v>
      </c>
      <c r="F469" s="219"/>
      <c r="G469" s="173"/>
      <c r="H469" s="157" t="s">
        <v>5886</v>
      </c>
      <c r="I469" s="157" t="s">
        <v>5853</v>
      </c>
      <c r="J469" s="157">
        <v>2025.0</v>
      </c>
    </row>
    <row r="470">
      <c r="A470" s="218">
        <f t="shared" si="2"/>
        <v>467</v>
      </c>
      <c r="B470" s="218" t="s">
        <v>202</v>
      </c>
      <c r="C470" s="236" t="str">
        <f t="shared" si="1"/>
        <v>KB/0790/2025</v>
      </c>
      <c r="D470" s="218" t="b">
        <v>1</v>
      </c>
      <c r="E470" s="219" t="b">
        <v>0</v>
      </c>
      <c r="F470" s="219"/>
      <c r="G470" s="173"/>
      <c r="H470" s="157" t="s">
        <v>5886</v>
      </c>
      <c r="I470" s="157" t="s">
        <v>5854</v>
      </c>
      <c r="J470" s="157">
        <v>2025.0</v>
      </c>
    </row>
    <row r="471">
      <c r="A471" s="218">
        <f t="shared" si="2"/>
        <v>468</v>
      </c>
      <c r="B471" s="218" t="s">
        <v>202</v>
      </c>
      <c r="C471" s="236" t="str">
        <f t="shared" si="1"/>
        <v>KB/0791/2025</v>
      </c>
      <c r="D471" s="218" t="b">
        <v>1</v>
      </c>
      <c r="E471" s="219" t="b">
        <v>0</v>
      </c>
      <c r="F471" s="219"/>
      <c r="G471" s="173"/>
      <c r="H471" s="157" t="s">
        <v>5886</v>
      </c>
      <c r="I471" s="157" t="s">
        <v>5855</v>
      </c>
      <c r="J471" s="157">
        <v>2025.0</v>
      </c>
    </row>
    <row r="472">
      <c r="A472" s="218">
        <f t="shared" si="2"/>
        <v>469</v>
      </c>
      <c r="B472" s="218" t="s">
        <v>202</v>
      </c>
      <c r="C472" s="236" t="str">
        <f t="shared" si="1"/>
        <v>KB/0792/2025</v>
      </c>
      <c r="D472" s="218" t="b">
        <v>0</v>
      </c>
      <c r="E472" s="218" t="b">
        <v>1</v>
      </c>
      <c r="F472" s="218" t="s">
        <v>5887</v>
      </c>
      <c r="G472" s="173"/>
      <c r="H472" s="157" t="s">
        <v>5886</v>
      </c>
      <c r="I472" s="157" t="s">
        <v>5856</v>
      </c>
      <c r="J472" s="157">
        <v>2025.0</v>
      </c>
    </row>
    <row r="473">
      <c r="A473" s="218">
        <f t="shared" si="2"/>
        <v>470</v>
      </c>
      <c r="B473" s="218" t="s">
        <v>202</v>
      </c>
      <c r="C473" s="236" t="str">
        <f t="shared" si="1"/>
        <v>KB/0793/2025</v>
      </c>
      <c r="D473" s="218" t="b">
        <v>1</v>
      </c>
      <c r="E473" s="219" t="b">
        <v>0</v>
      </c>
      <c r="F473" s="219"/>
      <c r="G473" s="173"/>
      <c r="H473" s="157" t="s">
        <v>5886</v>
      </c>
      <c r="I473" s="157" t="s">
        <v>5859</v>
      </c>
      <c r="J473" s="157">
        <v>2025.0</v>
      </c>
    </row>
    <row r="474">
      <c r="A474" s="218">
        <f t="shared" si="2"/>
        <v>471</v>
      </c>
      <c r="B474" s="218" t="s">
        <v>202</v>
      </c>
      <c r="C474" s="236" t="str">
        <f t="shared" si="1"/>
        <v>KB/0794/2025</v>
      </c>
      <c r="D474" s="218" t="b">
        <v>1</v>
      </c>
      <c r="E474" s="219" t="b">
        <v>0</v>
      </c>
      <c r="F474" s="219"/>
      <c r="G474" s="173"/>
      <c r="H474" s="157" t="s">
        <v>5886</v>
      </c>
      <c r="I474" s="157" t="s">
        <v>5860</v>
      </c>
      <c r="J474" s="157">
        <v>2025.0</v>
      </c>
    </row>
    <row r="475">
      <c r="A475" s="218">
        <f t="shared" si="2"/>
        <v>472</v>
      </c>
      <c r="B475" s="218" t="s">
        <v>202</v>
      </c>
      <c r="C475" s="236" t="str">
        <f t="shared" si="1"/>
        <v>KB/0795/2025</v>
      </c>
      <c r="D475" s="218" t="b">
        <v>1</v>
      </c>
      <c r="E475" s="219" t="b">
        <v>0</v>
      </c>
      <c r="F475" s="219"/>
      <c r="G475" s="173"/>
      <c r="H475" s="157" t="s">
        <v>5886</v>
      </c>
      <c r="I475" s="157" t="s">
        <v>5861</v>
      </c>
      <c r="J475" s="157">
        <v>2025.0</v>
      </c>
    </row>
    <row r="476">
      <c r="A476" s="218">
        <f t="shared" si="2"/>
        <v>473</v>
      </c>
      <c r="B476" s="218" t="s">
        <v>202</v>
      </c>
      <c r="C476" s="236" t="str">
        <f t="shared" si="1"/>
        <v>KB/0796/2025</v>
      </c>
      <c r="D476" s="218" t="b">
        <v>1</v>
      </c>
      <c r="E476" s="219" t="b">
        <v>0</v>
      </c>
      <c r="F476" s="219"/>
      <c r="G476" s="173"/>
      <c r="H476" s="157" t="s">
        <v>5886</v>
      </c>
      <c r="I476" s="157" t="s">
        <v>5862</v>
      </c>
      <c r="J476" s="157">
        <v>2025.0</v>
      </c>
    </row>
    <row r="477">
      <c r="A477" s="218">
        <f t="shared" si="2"/>
        <v>474</v>
      </c>
      <c r="B477" s="218" t="s">
        <v>202</v>
      </c>
      <c r="C477" s="236" t="str">
        <f t="shared" si="1"/>
        <v>KB/0797/2025</v>
      </c>
      <c r="D477" s="218" t="b">
        <v>1</v>
      </c>
      <c r="E477" s="219" t="b">
        <v>0</v>
      </c>
      <c r="F477" s="219"/>
      <c r="G477" s="173"/>
      <c r="H477" s="157" t="s">
        <v>5886</v>
      </c>
      <c r="I477" s="157" t="s">
        <v>5863</v>
      </c>
      <c r="J477" s="157">
        <v>2025.0</v>
      </c>
    </row>
    <row r="478">
      <c r="A478" s="218">
        <f t="shared" si="2"/>
        <v>475</v>
      </c>
      <c r="B478" s="218" t="s">
        <v>202</v>
      </c>
      <c r="C478" s="236" t="str">
        <f t="shared" si="1"/>
        <v>KB/0798/2025</v>
      </c>
      <c r="D478" s="218" t="b">
        <v>1</v>
      </c>
      <c r="E478" s="219" t="b">
        <v>0</v>
      </c>
      <c r="F478" s="219"/>
      <c r="G478" s="173"/>
      <c r="H478" s="157" t="s">
        <v>5886</v>
      </c>
      <c r="I478" s="157" t="s">
        <v>5864</v>
      </c>
      <c r="J478" s="157">
        <v>2025.0</v>
      </c>
    </row>
    <row r="479">
      <c r="A479" s="218">
        <f t="shared" si="2"/>
        <v>476</v>
      </c>
      <c r="B479" s="218" t="s">
        <v>202</v>
      </c>
      <c r="C479" s="236" t="str">
        <f t="shared" si="1"/>
        <v>KB/0799/2025</v>
      </c>
      <c r="D479" s="218" t="b">
        <v>1</v>
      </c>
      <c r="E479" s="219" t="b">
        <v>0</v>
      </c>
      <c r="F479" s="219"/>
      <c r="G479" s="173"/>
      <c r="H479" s="157" t="s">
        <v>5886</v>
      </c>
      <c r="I479" s="157" t="s">
        <v>5865</v>
      </c>
      <c r="J479" s="157">
        <v>2025.0</v>
      </c>
    </row>
    <row r="480">
      <c r="A480" s="218">
        <f t="shared" si="2"/>
        <v>477</v>
      </c>
      <c r="B480" s="218" t="s">
        <v>202</v>
      </c>
      <c r="C480" s="236" t="str">
        <f t="shared" si="1"/>
        <v>KB/0800/2025</v>
      </c>
      <c r="D480" s="218" t="b">
        <v>1</v>
      </c>
      <c r="E480" s="219" t="b">
        <v>0</v>
      </c>
      <c r="F480" s="219"/>
      <c r="G480" s="173"/>
      <c r="H480" s="157" t="s">
        <v>5886</v>
      </c>
      <c r="I480" s="157" t="s">
        <v>5866</v>
      </c>
      <c r="J480" s="157">
        <v>2025.0</v>
      </c>
    </row>
    <row r="481">
      <c r="A481" s="218">
        <f t="shared" si="2"/>
        <v>478</v>
      </c>
      <c r="B481" s="218" t="s">
        <v>202</v>
      </c>
      <c r="C481" s="236" t="str">
        <f t="shared" si="1"/>
        <v>KB/0801/2025</v>
      </c>
      <c r="D481" s="218" t="b">
        <v>1</v>
      </c>
      <c r="E481" s="219" t="b">
        <v>0</v>
      </c>
      <c r="F481" s="219"/>
      <c r="G481" s="173"/>
      <c r="H481" s="157" t="s">
        <v>5886</v>
      </c>
      <c r="I481" s="157" t="s">
        <v>5867</v>
      </c>
      <c r="J481" s="157">
        <v>2025.0</v>
      </c>
    </row>
    <row r="482">
      <c r="A482" s="218">
        <f t="shared" si="2"/>
        <v>479</v>
      </c>
      <c r="B482" s="218" t="s">
        <v>202</v>
      </c>
      <c r="C482" s="236" t="str">
        <f t="shared" si="1"/>
        <v>KB/0802/2025</v>
      </c>
      <c r="D482" s="218" t="b">
        <v>1</v>
      </c>
      <c r="E482" s="219" t="b">
        <v>0</v>
      </c>
      <c r="F482" s="219"/>
      <c r="G482" s="173"/>
      <c r="H482" s="157" t="s">
        <v>5886</v>
      </c>
      <c r="I482" s="157" t="s">
        <v>5868</v>
      </c>
      <c r="J482" s="157">
        <v>2025.0</v>
      </c>
    </row>
    <row r="483">
      <c r="A483" s="218">
        <f t="shared" si="2"/>
        <v>480</v>
      </c>
      <c r="B483" s="218" t="s">
        <v>202</v>
      </c>
      <c r="C483" s="236" t="str">
        <f t="shared" si="1"/>
        <v>KB/0803/2025</v>
      </c>
      <c r="D483" s="218" t="b">
        <v>1</v>
      </c>
      <c r="E483" s="219" t="b">
        <v>0</v>
      </c>
      <c r="F483" s="219"/>
      <c r="G483" s="173"/>
      <c r="H483" s="157" t="s">
        <v>5886</v>
      </c>
      <c r="I483" s="157" t="s">
        <v>5869</v>
      </c>
      <c r="J483" s="157">
        <v>2025.0</v>
      </c>
    </row>
    <row r="484">
      <c r="A484" s="218">
        <f t="shared" si="2"/>
        <v>481</v>
      </c>
      <c r="B484" s="218" t="s">
        <v>202</v>
      </c>
      <c r="C484" s="236" t="str">
        <f t="shared" si="1"/>
        <v>KB/0804/2025</v>
      </c>
      <c r="D484" s="218" t="b">
        <v>1</v>
      </c>
      <c r="E484" s="219" t="b">
        <v>0</v>
      </c>
      <c r="F484" s="219"/>
      <c r="G484" s="173"/>
      <c r="H484" s="157" t="s">
        <v>5886</v>
      </c>
      <c r="I484" s="157" t="s">
        <v>5870</v>
      </c>
      <c r="J484" s="157">
        <v>2025.0</v>
      </c>
    </row>
    <row r="485">
      <c r="A485" s="218">
        <f t="shared" si="2"/>
        <v>482</v>
      </c>
      <c r="B485" s="218" t="s">
        <v>202</v>
      </c>
      <c r="C485" s="236" t="str">
        <f t="shared" si="1"/>
        <v>KB/0805/2025</v>
      </c>
      <c r="D485" s="218" t="b">
        <v>1</v>
      </c>
      <c r="E485" s="219" t="b">
        <v>0</v>
      </c>
      <c r="F485" s="219"/>
      <c r="G485" s="173"/>
      <c r="H485" s="157" t="s">
        <v>5886</v>
      </c>
      <c r="I485" s="157" t="s">
        <v>5871</v>
      </c>
      <c r="J485" s="157">
        <v>2025.0</v>
      </c>
    </row>
    <row r="486">
      <c r="A486" s="218">
        <f t="shared" si="2"/>
        <v>483</v>
      </c>
      <c r="B486" s="218" t="s">
        <v>202</v>
      </c>
      <c r="C486" s="236" t="str">
        <f t="shared" si="1"/>
        <v>KB/0806/2025</v>
      </c>
      <c r="D486" s="218" t="b">
        <v>1</v>
      </c>
      <c r="E486" s="219" t="b">
        <v>0</v>
      </c>
      <c r="F486" s="219"/>
      <c r="G486" s="173"/>
      <c r="H486" s="157" t="s">
        <v>5886</v>
      </c>
      <c r="I486" s="157" t="s">
        <v>5872</v>
      </c>
      <c r="J486" s="157">
        <v>2025.0</v>
      </c>
    </row>
    <row r="487">
      <c r="A487" s="218">
        <f t="shared" si="2"/>
        <v>484</v>
      </c>
      <c r="B487" s="218" t="s">
        <v>202</v>
      </c>
      <c r="C487" s="236" t="str">
        <f t="shared" si="1"/>
        <v>KB/0807/2025</v>
      </c>
      <c r="D487" s="218" t="b">
        <v>1</v>
      </c>
      <c r="E487" s="219" t="b">
        <v>0</v>
      </c>
      <c r="F487" s="219"/>
      <c r="G487" s="173"/>
      <c r="H487" s="157" t="s">
        <v>5886</v>
      </c>
      <c r="I487" s="157" t="s">
        <v>5873</v>
      </c>
      <c r="J487" s="157">
        <v>2025.0</v>
      </c>
    </row>
    <row r="488">
      <c r="A488" s="218">
        <f t="shared" si="2"/>
        <v>485</v>
      </c>
      <c r="B488" s="218" t="s">
        <v>202</v>
      </c>
      <c r="C488" s="236" t="str">
        <f t="shared" si="1"/>
        <v>KB/0808/2025</v>
      </c>
      <c r="D488" s="218" t="b">
        <v>1</v>
      </c>
      <c r="E488" s="219" t="b">
        <v>0</v>
      </c>
      <c r="F488" s="219"/>
      <c r="G488" s="173"/>
      <c r="H488" s="157" t="s">
        <v>5886</v>
      </c>
      <c r="I488" s="157" t="s">
        <v>5874</v>
      </c>
      <c r="J488" s="157">
        <v>2025.0</v>
      </c>
    </row>
    <row r="489">
      <c r="A489" s="218">
        <f t="shared" si="2"/>
        <v>486</v>
      </c>
      <c r="B489" s="218" t="s">
        <v>202</v>
      </c>
      <c r="C489" s="236" t="str">
        <f t="shared" si="1"/>
        <v>KB/0809/2025</v>
      </c>
      <c r="D489" s="218" t="b">
        <v>1</v>
      </c>
      <c r="E489" s="219" t="b">
        <v>0</v>
      </c>
      <c r="F489" s="219"/>
      <c r="G489" s="173"/>
      <c r="H489" s="157" t="s">
        <v>5886</v>
      </c>
      <c r="I489" s="157" t="s">
        <v>5875</v>
      </c>
      <c r="J489" s="157">
        <v>2025.0</v>
      </c>
    </row>
    <row r="490">
      <c r="A490" s="218">
        <f t="shared" si="2"/>
        <v>487</v>
      </c>
      <c r="B490" s="218" t="s">
        <v>202</v>
      </c>
      <c r="C490" s="236" t="str">
        <f t="shared" si="1"/>
        <v>KB/0810/2025</v>
      </c>
      <c r="D490" s="218" t="b">
        <v>1</v>
      </c>
      <c r="E490" s="219" t="b">
        <v>0</v>
      </c>
      <c r="F490" s="219"/>
      <c r="G490" s="173"/>
      <c r="H490" s="157" t="s">
        <v>5886</v>
      </c>
      <c r="I490" s="157" t="s">
        <v>5877</v>
      </c>
      <c r="J490" s="157">
        <v>2025.0</v>
      </c>
    </row>
    <row r="491">
      <c r="A491" s="218">
        <f t="shared" si="2"/>
        <v>488</v>
      </c>
      <c r="B491" s="218" t="s">
        <v>202</v>
      </c>
      <c r="C491" s="236" t="str">
        <f t="shared" si="1"/>
        <v>KB/0811/2025</v>
      </c>
      <c r="D491" s="218" t="b">
        <v>1</v>
      </c>
      <c r="E491" s="219" t="b">
        <v>0</v>
      </c>
      <c r="F491" s="219"/>
      <c r="G491" s="173"/>
      <c r="H491" s="157" t="s">
        <v>5886</v>
      </c>
      <c r="I491" s="157" t="s">
        <v>5878</v>
      </c>
      <c r="J491" s="157">
        <v>2025.0</v>
      </c>
    </row>
    <row r="492">
      <c r="A492" s="218">
        <f t="shared" si="2"/>
        <v>489</v>
      </c>
      <c r="B492" s="218" t="s">
        <v>202</v>
      </c>
      <c r="C492" s="236" t="str">
        <f t="shared" si="1"/>
        <v>KB/0812/2025</v>
      </c>
      <c r="D492" s="218" t="b">
        <v>1</v>
      </c>
      <c r="E492" s="219" t="b">
        <v>0</v>
      </c>
      <c r="F492" s="219"/>
      <c r="G492" s="173"/>
      <c r="H492" s="157" t="s">
        <v>5886</v>
      </c>
      <c r="I492" s="157" t="s">
        <v>5879</v>
      </c>
      <c r="J492" s="157">
        <v>2025.0</v>
      </c>
    </row>
    <row r="493">
      <c r="A493" s="218">
        <f t="shared" si="2"/>
        <v>490</v>
      </c>
      <c r="B493" s="218" t="s">
        <v>202</v>
      </c>
      <c r="C493" s="236" t="str">
        <f t="shared" si="1"/>
        <v>KB/0813/2025</v>
      </c>
      <c r="D493" s="218" t="b">
        <v>1</v>
      </c>
      <c r="E493" s="219" t="b">
        <v>0</v>
      </c>
      <c r="F493" s="219"/>
      <c r="G493" s="173"/>
      <c r="H493" s="157" t="s">
        <v>5886</v>
      </c>
      <c r="I493" s="157" t="s">
        <v>5880</v>
      </c>
      <c r="J493" s="157">
        <v>2025.0</v>
      </c>
    </row>
    <row r="494">
      <c r="A494" s="218">
        <f t="shared" si="2"/>
        <v>491</v>
      </c>
      <c r="B494" s="218" t="s">
        <v>202</v>
      </c>
      <c r="C494" s="236" t="str">
        <f t="shared" si="1"/>
        <v>KB/0814/2025</v>
      </c>
      <c r="D494" s="218" t="b">
        <v>1</v>
      </c>
      <c r="E494" s="219" t="b">
        <v>0</v>
      </c>
      <c r="F494" s="219"/>
      <c r="G494" s="173"/>
      <c r="H494" s="157" t="s">
        <v>5886</v>
      </c>
      <c r="I494" s="157" t="s">
        <v>5881</v>
      </c>
      <c r="J494" s="157">
        <v>2025.0</v>
      </c>
    </row>
    <row r="495">
      <c r="A495" s="218">
        <f t="shared" si="2"/>
        <v>492</v>
      </c>
      <c r="B495" s="218" t="s">
        <v>202</v>
      </c>
      <c r="C495" s="236" t="str">
        <f t="shared" si="1"/>
        <v>KB/0815/2025</v>
      </c>
      <c r="D495" s="218" t="b">
        <v>1</v>
      </c>
      <c r="E495" s="219" t="b">
        <v>0</v>
      </c>
      <c r="F495" s="219"/>
      <c r="G495" s="173"/>
      <c r="H495" s="157" t="s">
        <v>5886</v>
      </c>
      <c r="I495" s="157" t="s">
        <v>5882</v>
      </c>
      <c r="J495" s="157">
        <v>2025.0</v>
      </c>
    </row>
    <row r="496">
      <c r="A496" s="218">
        <f t="shared" si="2"/>
        <v>493</v>
      </c>
      <c r="B496" s="218" t="s">
        <v>202</v>
      </c>
      <c r="C496" s="236" t="str">
        <f t="shared" si="1"/>
        <v>KB/0816/2025</v>
      </c>
      <c r="D496" s="218" t="b">
        <v>0</v>
      </c>
      <c r="E496" s="218" t="b">
        <v>1</v>
      </c>
      <c r="F496" s="218" t="s">
        <v>5887</v>
      </c>
      <c r="G496" s="173"/>
      <c r="H496" s="157" t="s">
        <v>5886</v>
      </c>
      <c r="I496" s="157" t="s">
        <v>5883</v>
      </c>
      <c r="J496" s="157">
        <v>2025.0</v>
      </c>
    </row>
    <row r="497">
      <c r="A497" s="218">
        <f t="shared" si="2"/>
        <v>494</v>
      </c>
      <c r="B497" s="218" t="s">
        <v>202</v>
      </c>
      <c r="C497" s="236" t="str">
        <f t="shared" si="1"/>
        <v>KB/0817/2025</v>
      </c>
      <c r="D497" s="218" t="b">
        <v>1</v>
      </c>
      <c r="E497" s="218" t="b">
        <v>0</v>
      </c>
      <c r="F497" s="234">
        <v>45999.0</v>
      </c>
      <c r="G497" s="173"/>
      <c r="H497" s="157" t="s">
        <v>5886</v>
      </c>
      <c r="I497" s="157" t="s">
        <v>5884</v>
      </c>
      <c r="J497" s="157">
        <v>2025.0</v>
      </c>
    </row>
    <row r="498">
      <c r="A498" s="218">
        <f t="shared" si="2"/>
        <v>495</v>
      </c>
      <c r="B498" s="218" t="s">
        <v>202</v>
      </c>
      <c r="C498" s="236" t="str">
        <f t="shared" si="1"/>
        <v>KB/0818/2025</v>
      </c>
      <c r="D498" s="218" t="b">
        <v>1</v>
      </c>
      <c r="E498" s="218" t="b">
        <v>0</v>
      </c>
      <c r="F498" s="234">
        <v>45999.0</v>
      </c>
      <c r="G498" s="173"/>
      <c r="H498" s="157" t="s">
        <v>5886</v>
      </c>
      <c r="I498" s="157" t="s">
        <v>5885</v>
      </c>
      <c r="J498" s="157">
        <v>2025.0</v>
      </c>
    </row>
    <row r="499">
      <c r="A499" s="218">
        <f t="shared" si="2"/>
        <v>496</v>
      </c>
      <c r="B499" s="218" t="s">
        <v>202</v>
      </c>
      <c r="C499" s="236" t="str">
        <f t="shared" si="1"/>
        <v>KB/0819/2025</v>
      </c>
      <c r="D499" s="218" t="b">
        <v>1</v>
      </c>
      <c r="E499" s="219" t="b">
        <v>0</v>
      </c>
      <c r="F499" s="219"/>
      <c r="G499" s="173"/>
      <c r="H499" s="157" t="s">
        <v>5886</v>
      </c>
      <c r="I499" s="157" t="s">
        <v>5888</v>
      </c>
      <c r="J499" s="157">
        <v>2025.0</v>
      </c>
    </row>
    <row r="500">
      <c r="A500" s="218">
        <f t="shared" si="2"/>
        <v>497</v>
      </c>
      <c r="B500" s="218" t="s">
        <v>202</v>
      </c>
      <c r="C500" s="236" t="str">
        <f t="shared" si="1"/>
        <v>KB/0820/2025</v>
      </c>
      <c r="D500" s="218" t="b">
        <v>1</v>
      </c>
      <c r="E500" s="219" t="b">
        <v>0</v>
      </c>
      <c r="F500" s="219"/>
      <c r="G500" s="173"/>
      <c r="H500" s="157" t="s">
        <v>5886</v>
      </c>
      <c r="I500" s="157" t="s">
        <v>5889</v>
      </c>
      <c r="J500" s="157">
        <v>2025.0</v>
      </c>
    </row>
    <row r="501">
      <c r="A501" s="218">
        <f t="shared" si="2"/>
        <v>498</v>
      </c>
      <c r="B501" s="218" t="s">
        <v>202</v>
      </c>
      <c r="C501" s="236" t="str">
        <f t="shared" si="1"/>
        <v>KB/0821/2025</v>
      </c>
      <c r="D501" s="218" t="b">
        <v>1</v>
      </c>
      <c r="E501" s="219" t="b">
        <v>0</v>
      </c>
      <c r="F501" s="219"/>
      <c r="G501" s="173"/>
      <c r="H501" s="157" t="s">
        <v>5886</v>
      </c>
      <c r="I501" s="157" t="s">
        <v>5890</v>
      </c>
      <c r="J501" s="157">
        <v>2025.0</v>
      </c>
    </row>
    <row r="502">
      <c r="A502" s="218">
        <f t="shared" si="2"/>
        <v>499</v>
      </c>
      <c r="B502" s="218" t="s">
        <v>202</v>
      </c>
      <c r="C502" s="236" t="str">
        <f t="shared" si="1"/>
        <v>KB/0822/2025</v>
      </c>
      <c r="D502" s="218" t="b">
        <v>1</v>
      </c>
      <c r="E502" s="219" t="b">
        <v>0</v>
      </c>
      <c r="F502" s="219"/>
      <c r="G502" s="173"/>
      <c r="H502" s="157" t="s">
        <v>5886</v>
      </c>
      <c r="I502" s="157" t="s">
        <v>5891</v>
      </c>
      <c r="J502" s="157">
        <v>2025.0</v>
      </c>
    </row>
    <row r="503">
      <c r="A503" s="218">
        <f t="shared" si="2"/>
        <v>500</v>
      </c>
      <c r="B503" s="218" t="s">
        <v>202</v>
      </c>
      <c r="C503" s="236" t="str">
        <f t="shared" si="1"/>
        <v>KB/0823/2025</v>
      </c>
      <c r="D503" s="218" t="b">
        <v>1</v>
      </c>
      <c r="E503" s="219" t="b">
        <v>0</v>
      </c>
      <c r="F503" s="219"/>
      <c r="G503" s="173"/>
      <c r="H503" s="157" t="s">
        <v>5886</v>
      </c>
      <c r="I503" s="157" t="s">
        <v>5892</v>
      </c>
      <c r="J503" s="157">
        <v>2025.0</v>
      </c>
    </row>
    <row r="504">
      <c r="A504" s="218">
        <f t="shared" si="2"/>
        <v>501</v>
      </c>
      <c r="B504" s="218" t="s">
        <v>202</v>
      </c>
      <c r="C504" s="236" t="str">
        <f t="shared" si="1"/>
        <v>KB/0824/2025</v>
      </c>
      <c r="D504" s="218" t="b">
        <v>1</v>
      </c>
      <c r="E504" s="219" t="b">
        <v>0</v>
      </c>
      <c r="F504" s="219"/>
      <c r="G504" s="173"/>
      <c r="H504" s="157" t="s">
        <v>5886</v>
      </c>
      <c r="I504" s="157" t="s">
        <v>5893</v>
      </c>
      <c r="J504" s="157">
        <v>2025.0</v>
      </c>
    </row>
    <row r="505">
      <c r="A505" s="218">
        <f t="shared" si="2"/>
        <v>502</v>
      </c>
      <c r="B505" s="218" t="s">
        <v>202</v>
      </c>
      <c r="C505" s="236" t="str">
        <f t="shared" si="1"/>
        <v>KB/0825/2025</v>
      </c>
      <c r="D505" s="218" t="b">
        <v>1</v>
      </c>
      <c r="E505" s="219" t="b">
        <v>0</v>
      </c>
      <c r="F505" s="219"/>
      <c r="G505" s="173"/>
      <c r="H505" s="157" t="s">
        <v>5886</v>
      </c>
      <c r="I505" s="157" t="s">
        <v>5894</v>
      </c>
      <c r="J505" s="157">
        <v>2025.0</v>
      </c>
    </row>
    <row r="506">
      <c r="A506" s="218">
        <f t="shared" si="2"/>
        <v>503</v>
      </c>
      <c r="B506" s="218" t="s">
        <v>202</v>
      </c>
      <c r="C506" s="236" t="str">
        <f t="shared" si="1"/>
        <v>KB/0826/2025</v>
      </c>
      <c r="D506" s="218" t="b">
        <v>1</v>
      </c>
      <c r="E506" s="219" t="b">
        <v>0</v>
      </c>
      <c r="F506" s="219"/>
      <c r="G506" s="173"/>
      <c r="H506" s="157" t="s">
        <v>5886</v>
      </c>
      <c r="I506" s="157" t="s">
        <v>5895</v>
      </c>
      <c r="J506" s="157">
        <v>2025.0</v>
      </c>
    </row>
    <row r="507">
      <c r="A507" s="218">
        <f t="shared" si="2"/>
        <v>504</v>
      </c>
      <c r="B507" s="218" t="s">
        <v>202</v>
      </c>
      <c r="C507" s="236" t="str">
        <f t="shared" si="1"/>
        <v>KB/0827/2025</v>
      </c>
      <c r="D507" s="218" t="b">
        <v>1</v>
      </c>
      <c r="E507" s="219" t="b">
        <v>0</v>
      </c>
      <c r="F507" s="219"/>
      <c r="G507" s="173"/>
      <c r="H507" s="157" t="s">
        <v>5886</v>
      </c>
      <c r="I507" s="157" t="s">
        <v>5896</v>
      </c>
      <c r="J507" s="157">
        <v>2025.0</v>
      </c>
    </row>
    <row r="508">
      <c r="A508" s="218">
        <f t="shared" si="2"/>
        <v>505</v>
      </c>
      <c r="B508" s="218" t="s">
        <v>202</v>
      </c>
      <c r="C508" s="236" t="str">
        <f t="shared" si="1"/>
        <v>KB/0828/2025</v>
      </c>
      <c r="D508" s="218" t="b">
        <v>1</v>
      </c>
      <c r="E508" s="219" t="b">
        <v>0</v>
      </c>
      <c r="F508" s="219"/>
      <c r="G508" s="173"/>
      <c r="H508" s="157" t="s">
        <v>5886</v>
      </c>
      <c r="I508" s="157" t="s">
        <v>5897</v>
      </c>
      <c r="J508" s="157">
        <v>2025.0</v>
      </c>
    </row>
    <row r="509">
      <c r="A509" s="218">
        <f t="shared" si="2"/>
        <v>506</v>
      </c>
      <c r="B509" s="218" t="s">
        <v>202</v>
      </c>
      <c r="C509" s="236" t="str">
        <f t="shared" si="1"/>
        <v>KB/0829/2025</v>
      </c>
      <c r="D509" s="218" t="b">
        <v>1</v>
      </c>
      <c r="E509" s="219" t="b">
        <v>0</v>
      </c>
      <c r="F509" s="219"/>
      <c r="G509" s="173"/>
      <c r="H509" s="157" t="s">
        <v>5886</v>
      </c>
      <c r="I509" s="157" t="s">
        <v>5898</v>
      </c>
      <c r="J509" s="157">
        <v>2025.0</v>
      </c>
    </row>
    <row r="510">
      <c r="A510" s="218">
        <f t="shared" si="2"/>
        <v>507</v>
      </c>
      <c r="B510" s="218" t="s">
        <v>202</v>
      </c>
      <c r="C510" s="236" t="str">
        <f t="shared" si="1"/>
        <v>KB/0830/2025</v>
      </c>
      <c r="D510" s="218" t="b">
        <v>1</v>
      </c>
      <c r="E510" s="219" t="b">
        <v>0</v>
      </c>
      <c r="F510" s="219"/>
      <c r="G510" s="173"/>
      <c r="H510" s="157" t="s">
        <v>5886</v>
      </c>
      <c r="I510" s="157" t="s">
        <v>5899</v>
      </c>
      <c r="J510" s="157">
        <v>2025.0</v>
      </c>
    </row>
    <row r="511">
      <c r="A511" s="218">
        <f t="shared" si="2"/>
        <v>508</v>
      </c>
      <c r="B511" s="218" t="s">
        <v>202</v>
      </c>
      <c r="C511" s="236" t="str">
        <f t="shared" si="1"/>
        <v>KB/0831/2025</v>
      </c>
      <c r="D511" s="218" t="b">
        <v>1</v>
      </c>
      <c r="E511" s="219" t="b">
        <v>0</v>
      </c>
      <c r="F511" s="219"/>
      <c r="G511" s="173"/>
      <c r="H511" s="157" t="s">
        <v>5886</v>
      </c>
      <c r="I511" s="157" t="s">
        <v>5900</v>
      </c>
      <c r="J511" s="157">
        <v>2025.0</v>
      </c>
    </row>
    <row r="512">
      <c r="A512" s="218">
        <f t="shared" si="2"/>
        <v>509</v>
      </c>
      <c r="B512" s="218" t="s">
        <v>202</v>
      </c>
      <c r="C512" s="236" t="str">
        <f t="shared" si="1"/>
        <v>KB/0832/2025</v>
      </c>
      <c r="D512" s="218" t="b">
        <v>1</v>
      </c>
      <c r="E512" s="219" t="b">
        <v>0</v>
      </c>
      <c r="F512" s="219"/>
      <c r="G512" s="173"/>
      <c r="H512" s="157" t="s">
        <v>5886</v>
      </c>
      <c r="I512" s="157" t="s">
        <v>5901</v>
      </c>
      <c r="J512" s="157">
        <v>2025.0</v>
      </c>
    </row>
    <row r="513">
      <c r="A513" s="218">
        <f t="shared" si="2"/>
        <v>510</v>
      </c>
      <c r="B513" s="218" t="s">
        <v>202</v>
      </c>
      <c r="C513" s="236" t="str">
        <f t="shared" si="1"/>
        <v>KB/0833/2025</v>
      </c>
      <c r="D513" s="218" t="b">
        <v>1</v>
      </c>
      <c r="E513" s="219" t="b">
        <v>0</v>
      </c>
      <c r="F513" s="219"/>
      <c r="G513" s="173"/>
      <c r="H513" s="157" t="s">
        <v>5886</v>
      </c>
      <c r="I513" s="157" t="s">
        <v>5902</v>
      </c>
      <c r="J513" s="157">
        <v>2025.0</v>
      </c>
    </row>
    <row r="514">
      <c r="A514" s="218">
        <f t="shared" si="2"/>
        <v>511</v>
      </c>
      <c r="B514" s="218" t="s">
        <v>202</v>
      </c>
      <c r="C514" s="236" t="str">
        <f t="shared" si="1"/>
        <v>KB/0834/2025</v>
      </c>
      <c r="D514" s="218" t="b">
        <v>1</v>
      </c>
      <c r="E514" s="219" t="b">
        <v>0</v>
      </c>
      <c r="F514" s="219"/>
      <c r="G514" s="173"/>
      <c r="H514" s="157" t="s">
        <v>5886</v>
      </c>
      <c r="I514" s="157" t="s">
        <v>5903</v>
      </c>
      <c r="J514" s="157">
        <v>2025.0</v>
      </c>
    </row>
    <row r="515">
      <c r="A515" s="218">
        <f t="shared" si="2"/>
        <v>512</v>
      </c>
      <c r="B515" s="218" t="s">
        <v>202</v>
      </c>
      <c r="C515" s="236" t="str">
        <f t="shared" si="1"/>
        <v>KB/0835/2025</v>
      </c>
      <c r="D515" s="218" t="b">
        <v>1</v>
      </c>
      <c r="E515" s="219" t="b">
        <v>0</v>
      </c>
      <c r="F515" s="219"/>
      <c r="G515" s="173"/>
      <c r="H515" s="157" t="s">
        <v>5886</v>
      </c>
      <c r="I515" s="157" t="s">
        <v>5904</v>
      </c>
      <c r="J515" s="157">
        <v>2025.0</v>
      </c>
    </row>
    <row r="516">
      <c r="A516" s="218">
        <f t="shared" si="2"/>
        <v>513</v>
      </c>
      <c r="B516" s="218" t="s">
        <v>202</v>
      </c>
      <c r="C516" s="236" t="str">
        <f t="shared" si="1"/>
        <v>KB/0836/2025</v>
      </c>
      <c r="D516" s="218" t="b">
        <v>1</v>
      </c>
      <c r="E516" s="219" t="b">
        <v>0</v>
      </c>
      <c r="F516" s="219"/>
      <c r="G516" s="173"/>
      <c r="H516" s="157" t="s">
        <v>5886</v>
      </c>
      <c r="I516" s="157" t="s">
        <v>5905</v>
      </c>
      <c r="J516" s="157">
        <v>2025.0</v>
      </c>
    </row>
    <row r="517">
      <c r="A517" s="218">
        <f t="shared" si="2"/>
        <v>514</v>
      </c>
      <c r="B517" s="218" t="s">
        <v>202</v>
      </c>
      <c r="C517" s="236" t="str">
        <f t="shared" si="1"/>
        <v>KB/0837/2025</v>
      </c>
      <c r="D517" s="218" t="b">
        <v>1</v>
      </c>
      <c r="E517" s="219" t="b">
        <v>0</v>
      </c>
      <c r="F517" s="219"/>
      <c r="G517" s="173"/>
      <c r="H517" s="157" t="s">
        <v>5886</v>
      </c>
      <c r="I517" s="157" t="s">
        <v>5906</v>
      </c>
      <c r="J517" s="157">
        <v>2025.0</v>
      </c>
    </row>
    <row r="518">
      <c r="A518" s="218">
        <f t="shared" si="2"/>
        <v>515</v>
      </c>
      <c r="B518" s="218" t="s">
        <v>202</v>
      </c>
      <c r="C518" s="236" t="str">
        <f t="shared" si="1"/>
        <v>KB/0838/2025</v>
      </c>
      <c r="D518" s="218" t="b">
        <v>1</v>
      </c>
      <c r="E518" s="219" t="b">
        <v>0</v>
      </c>
      <c r="F518" s="219"/>
      <c r="G518" s="173"/>
      <c r="H518" s="157" t="s">
        <v>5886</v>
      </c>
      <c r="I518" s="157" t="s">
        <v>5907</v>
      </c>
      <c r="J518" s="157">
        <v>2025.0</v>
      </c>
    </row>
    <row r="519">
      <c r="A519" s="218">
        <f t="shared" si="2"/>
        <v>516</v>
      </c>
      <c r="B519" s="218" t="s">
        <v>202</v>
      </c>
      <c r="C519" s="236" t="str">
        <f t="shared" si="1"/>
        <v>KB/0839/2025</v>
      </c>
      <c r="D519" s="218" t="b">
        <v>1</v>
      </c>
      <c r="E519" s="219" t="b">
        <v>0</v>
      </c>
      <c r="F519" s="219"/>
      <c r="G519" s="173"/>
      <c r="H519" s="157" t="s">
        <v>5886</v>
      </c>
      <c r="I519" s="157" t="s">
        <v>5908</v>
      </c>
      <c r="J519" s="157">
        <v>2025.0</v>
      </c>
    </row>
    <row r="520">
      <c r="A520" s="218">
        <f t="shared" si="2"/>
        <v>517</v>
      </c>
      <c r="B520" s="218" t="s">
        <v>202</v>
      </c>
      <c r="C520" s="236" t="str">
        <f t="shared" si="1"/>
        <v>KB/0840/2025</v>
      </c>
      <c r="D520" s="218" t="b">
        <v>1</v>
      </c>
      <c r="E520" s="219" t="b">
        <v>0</v>
      </c>
      <c r="F520" s="219"/>
      <c r="G520" s="173"/>
      <c r="H520" s="157" t="s">
        <v>5886</v>
      </c>
      <c r="I520" s="157" t="s">
        <v>5909</v>
      </c>
      <c r="J520" s="157">
        <v>2025.0</v>
      </c>
    </row>
    <row r="521">
      <c r="A521" s="218">
        <f t="shared" si="2"/>
        <v>518</v>
      </c>
      <c r="B521" s="218" t="s">
        <v>202</v>
      </c>
      <c r="C521" s="236" t="str">
        <f t="shared" si="1"/>
        <v>KB/0841/2025</v>
      </c>
      <c r="D521" s="218" t="b">
        <v>1</v>
      </c>
      <c r="E521" s="219" t="b">
        <v>0</v>
      </c>
      <c r="F521" s="219"/>
      <c r="G521" s="173"/>
      <c r="H521" s="157" t="s">
        <v>5886</v>
      </c>
      <c r="I521" s="157" t="s">
        <v>5910</v>
      </c>
      <c r="J521" s="157">
        <v>2025.0</v>
      </c>
    </row>
    <row r="522">
      <c r="A522" s="218">
        <f t="shared" si="2"/>
        <v>519</v>
      </c>
      <c r="B522" s="218" t="s">
        <v>202</v>
      </c>
      <c r="C522" s="236" t="str">
        <f t="shared" si="1"/>
        <v>KB/0842/2025</v>
      </c>
      <c r="D522" s="218" t="b">
        <v>1</v>
      </c>
      <c r="E522" s="219" t="b">
        <v>0</v>
      </c>
      <c r="F522" s="219"/>
      <c r="G522" s="173"/>
      <c r="H522" s="157" t="s">
        <v>5886</v>
      </c>
      <c r="I522" s="157" t="s">
        <v>5911</v>
      </c>
      <c r="J522" s="157">
        <v>2025.0</v>
      </c>
    </row>
    <row r="523">
      <c r="A523" s="218">
        <f t="shared" si="2"/>
        <v>520</v>
      </c>
      <c r="B523" s="218" t="s">
        <v>202</v>
      </c>
      <c r="C523" s="236" t="str">
        <f t="shared" si="1"/>
        <v>KB/0843/2025</v>
      </c>
      <c r="D523" s="218" t="b">
        <v>1</v>
      </c>
      <c r="E523" s="219" t="b">
        <v>0</v>
      </c>
      <c r="F523" s="219"/>
      <c r="G523" s="173"/>
      <c r="H523" s="157" t="s">
        <v>5886</v>
      </c>
      <c r="I523" s="157" t="s">
        <v>5912</v>
      </c>
      <c r="J523" s="157">
        <v>2025.0</v>
      </c>
    </row>
    <row r="524">
      <c r="A524" s="218">
        <f t="shared" si="2"/>
        <v>521</v>
      </c>
      <c r="B524" s="218" t="s">
        <v>202</v>
      </c>
      <c r="C524" s="236" t="str">
        <f t="shared" si="1"/>
        <v>KB/0844/2025</v>
      </c>
      <c r="D524" s="218" t="b">
        <v>1</v>
      </c>
      <c r="E524" s="219" t="b">
        <v>0</v>
      </c>
      <c r="F524" s="219"/>
      <c r="G524" s="173"/>
      <c r="H524" s="157" t="s">
        <v>5886</v>
      </c>
      <c r="I524" s="157" t="s">
        <v>5913</v>
      </c>
      <c r="J524" s="157">
        <v>2025.0</v>
      </c>
    </row>
    <row r="525">
      <c r="A525" s="218">
        <f t="shared" si="2"/>
        <v>522</v>
      </c>
      <c r="B525" s="218" t="s">
        <v>202</v>
      </c>
      <c r="C525" s="236" t="str">
        <f t="shared" si="1"/>
        <v>KB/0845/2025</v>
      </c>
      <c r="D525" s="218" t="b">
        <v>1</v>
      </c>
      <c r="E525" s="219" t="b">
        <v>0</v>
      </c>
      <c r="F525" s="219"/>
      <c r="G525" s="173"/>
      <c r="H525" s="157" t="s">
        <v>5886</v>
      </c>
      <c r="I525" s="157" t="s">
        <v>5914</v>
      </c>
      <c r="J525" s="157">
        <v>2025.0</v>
      </c>
    </row>
    <row r="526">
      <c r="A526" s="218">
        <f t="shared" si="2"/>
        <v>523</v>
      </c>
      <c r="B526" s="218" t="s">
        <v>202</v>
      </c>
      <c r="C526" s="236" t="str">
        <f t="shared" si="1"/>
        <v>KB/0846/2025</v>
      </c>
      <c r="D526" s="218" t="b">
        <v>1</v>
      </c>
      <c r="E526" s="219" t="b">
        <v>0</v>
      </c>
      <c r="F526" s="219"/>
      <c r="G526" s="173"/>
      <c r="H526" s="157" t="s">
        <v>5886</v>
      </c>
      <c r="I526" s="157" t="s">
        <v>5915</v>
      </c>
      <c r="J526" s="157">
        <v>2025.0</v>
      </c>
    </row>
    <row r="527">
      <c r="A527" s="218">
        <f t="shared" si="2"/>
        <v>524</v>
      </c>
      <c r="B527" s="218" t="s">
        <v>202</v>
      </c>
      <c r="C527" s="236" t="str">
        <f t="shared" si="1"/>
        <v>KB/0847/2025</v>
      </c>
      <c r="D527" s="218" t="b">
        <v>1</v>
      </c>
      <c r="E527" s="219" t="b">
        <v>0</v>
      </c>
      <c r="F527" s="219"/>
      <c r="G527" s="173"/>
      <c r="H527" s="157" t="s">
        <v>5886</v>
      </c>
      <c r="I527" s="157" t="s">
        <v>5916</v>
      </c>
      <c r="J527" s="157">
        <v>2025.0</v>
      </c>
    </row>
    <row r="528">
      <c r="A528" s="218">
        <f t="shared" si="2"/>
        <v>525</v>
      </c>
      <c r="B528" s="218" t="s">
        <v>202</v>
      </c>
      <c r="C528" s="236" t="str">
        <f t="shared" si="1"/>
        <v>KB/0848/2025</v>
      </c>
      <c r="D528" s="218" t="b">
        <v>1</v>
      </c>
      <c r="E528" s="219" t="b">
        <v>0</v>
      </c>
      <c r="F528" s="219"/>
      <c r="G528" s="173"/>
      <c r="H528" s="157" t="s">
        <v>5886</v>
      </c>
      <c r="I528" s="157" t="s">
        <v>5917</v>
      </c>
      <c r="J528" s="157">
        <v>2025.0</v>
      </c>
    </row>
    <row r="529">
      <c r="A529" s="218">
        <f t="shared" si="2"/>
        <v>526</v>
      </c>
      <c r="B529" s="218" t="s">
        <v>202</v>
      </c>
      <c r="C529" s="236" t="str">
        <f t="shared" si="1"/>
        <v>KB/0849/2025</v>
      </c>
      <c r="D529" s="218" t="b">
        <v>1</v>
      </c>
      <c r="E529" s="219" t="b">
        <v>0</v>
      </c>
      <c r="F529" s="219"/>
      <c r="G529" s="173"/>
      <c r="H529" s="157" t="s">
        <v>5886</v>
      </c>
      <c r="I529" s="157" t="s">
        <v>5918</v>
      </c>
      <c r="J529" s="157">
        <v>2025.0</v>
      </c>
    </row>
    <row r="530">
      <c r="A530" s="218">
        <f t="shared" si="2"/>
        <v>527</v>
      </c>
      <c r="B530" s="218" t="s">
        <v>202</v>
      </c>
      <c r="C530" s="236" t="str">
        <f t="shared" si="1"/>
        <v>KB/0850/2025</v>
      </c>
      <c r="D530" s="218" t="b">
        <v>1</v>
      </c>
      <c r="E530" s="219" t="b">
        <v>0</v>
      </c>
      <c r="F530" s="219"/>
      <c r="G530" s="173"/>
      <c r="H530" s="157" t="s">
        <v>5886</v>
      </c>
      <c r="I530" s="157" t="s">
        <v>5920</v>
      </c>
      <c r="J530" s="157">
        <v>2025.0</v>
      </c>
    </row>
    <row r="531">
      <c r="A531" s="218">
        <f t="shared" si="2"/>
        <v>528</v>
      </c>
      <c r="B531" s="218" t="s">
        <v>202</v>
      </c>
      <c r="C531" s="236" t="str">
        <f t="shared" si="1"/>
        <v>KB/0851/2025</v>
      </c>
      <c r="D531" s="218" t="b">
        <v>1</v>
      </c>
      <c r="E531" s="219" t="b">
        <v>0</v>
      </c>
      <c r="F531" s="219"/>
      <c r="G531" s="173"/>
      <c r="H531" s="157" t="s">
        <v>5886</v>
      </c>
      <c r="I531" s="157" t="s">
        <v>5923</v>
      </c>
      <c r="J531" s="157">
        <v>2025.0</v>
      </c>
    </row>
    <row r="532">
      <c r="A532" s="218">
        <f t="shared" si="2"/>
        <v>529</v>
      </c>
      <c r="B532" s="218" t="s">
        <v>202</v>
      </c>
      <c r="C532" s="236" t="str">
        <f t="shared" si="1"/>
        <v>KB/0852/2025</v>
      </c>
      <c r="D532" s="218" t="b">
        <v>1</v>
      </c>
      <c r="E532" s="219" t="b">
        <v>0</v>
      </c>
      <c r="F532" s="219"/>
      <c r="G532" s="173"/>
      <c r="H532" s="157" t="s">
        <v>5886</v>
      </c>
      <c r="I532" s="157" t="s">
        <v>5925</v>
      </c>
      <c r="J532" s="157">
        <v>2025.0</v>
      </c>
    </row>
    <row r="533">
      <c r="A533" s="218">
        <f t="shared" si="2"/>
        <v>530</v>
      </c>
      <c r="B533" s="218" t="s">
        <v>202</v>
      </c>
      <c r="C533" s="236" t="str">
        <f t="shared" si="1"/>
        <v>KB/0853/2025</v>
      </c>
      <c r="D533" s="218" t="b">
        <v>1</v>
      </c>
      <c r="E533" s="219" t="b">
        <v>0</v>
      </c>
      <c r="F533" s="219"/>
      <c r="G533" s="173"/>
      <c r="H533" s="157" t="s">
        <v>5886</v>
      </c>
      <c r="I533" s="157" t="s">
        <v>5926</v>
      </c>
      <c r="J533" s="157">
        <v>2025.0</v>
      </c>
    </row>
    <row r="534">
      <c r="A534" s="218">
        <f t="shared" si="2"/>
        <v>531</v>
      </c>
      <c r="B534" s="218" t="s">
        <v>202</v>
      </c>
      <c r="C534" s="236" t="str">
        <f t="shared" si="1"/>
        <v>KB/0854/2025</v>
      </c>
      <c r="D534" s="218" t="b">
        <v>1</v>
      </c>
      <c r="E534" s="219" t="b">
        <v>0</v>
      </c>
      <c r="F534" s="219"/>
      <c r="G534" s="173"/>
      <c r="H534" s="157" t="s">
        <v>5886</v>
      </c>
      <c r="I534" s="157" t="s">
        <v>5927</v>
      </c>
      <c r="J534" s="157">
        <v>2025.0</v>
      </c>
    </row>
    <row r="535">
      <c r="A535" s="218">
        <f t="shared" si="2"/>
        <v>532</v>
      </c>
      <c r="B535" s="218" t="s">
        <v>202</v>
      </c>
      <c r="C535" s="236" t="str">
        <f t="shared" si="1"/>
        <v>KB/0855/2025</v>
      </c>
      <c r="D535" s="218" t="b">
        <v>1</v>
      </c>
      <c r="E535" s="219" t="b">
        <v>0</v>
      </c>
      <c r="F535" s="219"/>
      <c r="G535" s="173"/>
      <c r="H535" s="157" t="s">
        <v>5886</v>
      </c>
      <c r="I535" s="157" t="s">
        <v>5928</v>
      </c>
      <c r="J535" s="157">
        <v>2025.0</v>
      </c>
    </row>
    <row r="536">
      <c r="A536" s="218">
        <f t="shared" si="2"/>
        <v>533</v>
      </c>
      <c r="B536" s="218" t="s">
        <v>202</v>
      </c>
      <c r="C536" s="236" t="str">
        <f t="shared" si="1"/>
        <v>KB/0856/2025</v>
      </c>
      <c r="D536" s="218" t="b">
        <v>1</v>
      </c>
      <c r="E536" s="219" t="b">
        <v>0</v>
      </c>
      <c r="F536" s="219"/>
      <c r="G536" s="173"/>
      <c r="H536" s="157" t="s">
        <v>5886</v>
      </c>
      <c r="I536" s="157" t="s">
        <v>5929</v>
      </c>
      <c r="J536" s="157">
        <v>2025.0</v>
      </c>
    </row>
    <row r="537">
      <c r="A537" s="218">
        <f t="shared" si="2"/>
        <v>534</v>
      </c>
      <c r="B537" s="218" t="s">
        <v>202</v>
      </c>
      <c r="C537" s="236" t="str">
        <f t="shared" si="1"/>
        <v>KB/0857/2025</v>
      </c>
      <c r="D537" s="218" t="b">
        <v>1</v>
      </c>
      <c r="E537" s="219" t="b">
        <v>0</v>
      </c>
      <c r="F537" s="219"/>
      <c r="G537" s="173"/>
      <c r="H537" s="157" t="s">
        <v>5886</v>
      </c>
      <c r="I537" s="157" t="s">
        <v>5930</v>
      </c>
      <c r="J537" s="157">
        <v>2025.0</v>
      </c>
    </row>
    <row r="538">
      <c r="A538" s="218">
        <f t="shared" si="2"/>
        <v>535</v>
      </c>
      <c r="B538" s="218" t="s">
        <v>202</v>
      </c>
      <c r="C538" s="236" t="str">
        <f t="shared" si="1"/>
        <v>KB/0858/2025</v>
      </c>
      <c r="D538" s="218" t="b">
        <v>1</v>
      </c>
      <c r="E538" s="219" t="b">
        <v>0</v>
      </c>
      <c r="F538" s="219"/>
      <c r="G538" s="173"/>
      <c r="H538" s="157" t="s">
        <v>5886</v>
      </c>
      <c r="I538" s="157" t="s">
        <v>5931</v>
      </c>
      <c r="J538" s="157">
        <v>2025.0</v>
      </c>
    </row>
    <row r="539">
      <c r="A539" s="218">
        <f t="shared" si="2"/>
        <v>536</v>
      </c>
      <c r="B539" s="218" t="s">
        <v>202</v>
      </c>
      <c r="C539" s="236" t="str">
        <f t="shared" si="1"/>
        <v>KB/0859/2025</v>
      </c>
      <c r="D539" s="218" t="b">
        <v>1</v>
      </c>
      <c r="E539" s="219" t="b">
        <v>0</v>
      </c>
      <c r="F539" s="219"/>
      <c r="G539" s="173"/>
      <c r="H539" s="157" t="s">
        <v>5886</v>
      </c>
      <c r="I539" s="157" t="s">
        <v>5932</v>
      </c>
      <c r="J539" s="157">
        <v>2025.0</v>
      </c>
    </row>
    <row r="540">
      <c r="A540" s="218">
        <f t="shared" si="2"/>
        <v>537</v>
      </c>
      <c r="B540" s="218" t="s">
        <v>202</v>
      </c>
      <c r="C540" s="236" t="str">
        <f t="shared" si="1"/>
        <v>KB/0860/2025</v>
      </c>
      <c r="D540" s="218" t="b">
        <v>1</v>
      </c>
      <c r="E540" s="219" t="b">
        <v>0</v>
      </c>
      <c r="F540" s="219"/>
      <c r="G540" s="173"/>
      <c r="H540" s="157" t="s">
        <v>5886</v>
      </c>
      <c r="I540" s="157" t="s">
        <v>5933</v>
      </c>
      <c r="J540" s="157">
        <v>2025.0</v>
      </c>
    </row>
    <row r="541">
      <c r="A541" s="218">
        <f t="shared" si="2"/>
        <v>538</v>
      </c>
      <c r="B541" s="218" t="s">
        <v>202</v>
      </c>
      <c r="C541" s="236" t="str">
        <f t="shared" si="1"/>
        <v>KB/0861/2025</v>
      </c>
      <c r="D541" s="218" t="b">
        <v>1</v>
      </c>
      <c r="E541" s="219" t="b">
        <v>0</v>
      </c>
      <c r="F541" s="219"/>
      <c r="G541" s="173"/>
      <c r="H541" s="157" t="s">
        <v>5886</v>
      </c>
      <c r="I541" s="157" t="s">
        <v>5934</v>
      </c>
      <c r="J541" s="157">
        <v>2025.0</v>
      </c>
    </row>
    <row r="542">
      <c r="A542" s="218">
        <f t="shared" si="2"/>
        <v>539</v>
      </c>
      <c r="B542" s="218" t="s">
        <v>202</v>
      </c>
      <c r="C542" s="236" t="str">
        <f t="shared" si="1"/>
        <v>KB/0862/2025</v>
      </c>
      <c r="D542" s="218" t="b">
        <v>1</v>
      </c>
      <c r="E542" s="219" t="b">
        <v>0</v>
      </c>
      <c r="F542" s="219"/>
      <c r="G542" s="173"/>
      <c r="H542" s="157" t="s">
        <v>5886</v>
      </c>
      <c r="I542" s="157" t="s">
        <v>5935</v>
      </c>
      <c r="J542" s="157">
        <v>2025.0</v>
      </c>
    </row>
    <row r="543">
      <c r="A543" s="218">
        <f t="shared" si="2"/>
        <v>540</v>
      </c>
      <c r="B543" s="218" t="s">
        <v>202</v>
      </c>
      <c r="C543" s="236" t="str">
        <f t="shared" si="1"/>
        <v>KB/0863/2025</v>
      </c>
      <c r="D543" s="218" t="b">
        <v>1</v>
      </c>
      <c r="E543" s="219" t="b">
        <v>0</v>
      </c>
      <c r="F543" s="219"/>
      <c r="G543" s="173"/>
      <c r="H543" s="157" t="s">
        <v>5886</v>
      </c>
      <c r="I543" s="157" t="s">
        <v>5936</v>
      </c>
      <c r="J543" s="157">
        <v>2025.0</v>
      </c>
    </row>
    <row r="544">
      <c r="A544" s="218">
        <f t="shared" si="2"/>
        <v>541</v>
      </c>
      <c r="B544" s="218" t="s">
        <v>202</v>
      </c>
      <c r="C544" s="236" t="str">
        <f t="shared" si="1"/>
        <v>KB/0864/2025</v>
      </c>
      <c r="D544" s="218" t="b">
        <v>1</v>
      </c>
      <c r="E544" s="219" t="b">
        <v>0</v>
      </c>
      <c r="F544" s="219"/>
      <c r="G544" s="173"/>
      <c r="H544" s="157" t="s">
        <v>5886</v>
      </c>
      <c r="I544" s="157" t="s">
        <v>5937</v>
      </c>
      <c r="J544" s="157">
        <v>2025.0</v>
      </c>
    </row>
    <row r="545">
      <c r="A545" s="218">
        <f t="shared" si="2"/>
        <v>542</v>
      </c>
      <c r="B545" s="218" t="s">
        <v>202</v>
      </c>
      <c r="C545" s="236" t="str">
        <f t="shared" si="1"/>
        <v>KB/0865/2025</v>
      </c>
      <c r="D545" s="218" t="b">
        <v>1</v>
      </c>
      <c r="E545" s="219" t="b">
        <v>0</v>
      </c>
      <c r="F545" s="219"/>
      <c r="G545" s="173"/>
      <c r="H545" s="157" t="s">
        <v>5886</v>
      </c>
      <c r="I545" s="157" t="s">
        <v>5938</v>
      </c>
      <c r="J545" s="157">
        <v>2025.0</v>
      </c>
    </row>
    <row r="546">
      <c r="A546" s="218">
        <f t="shared" si="2"/>
        <v>543</v>
      </c>
      <c r="B546" s="218" t="s">
        <v>202</v>
      </c>
      <c r="C546" s="236" t="str">
        <f t="shared" si="1"/>
        <v>KB/0866/2025</v>
      </c>
      <c r="D546" s="218" t="b">
        <v>1</v>
      </c>
      <c r="E546" s="219" t="b">
        <v>0</v>
      </c>
      <c r="F546" s="219"/>
      <c r="G546" s="173"/>
      <c r="H546" s="157" t="s">
        <v>5886</v>
      </c>
      <c r="I546" s="157" t="s">
        <v>5939</v>
      </c>
      <c r="J546" s="157">
        <v>2025.0</v>
      </c>
    </row>
    <row r="547">
      <c r="A547" s="218">
        <f t="shared" si="2"/>
        <v>544</v>
      </c>
      <c r="B547" s="218" t="s">
        <v>202</v>
      </c>
      <c r="C547" s="236" t="str">
        <f t="shared" si="1"/>
        <v>KB/0867/2025</v>
      </c>
      <c r="D547" s="218" t="b">
        <v>1</v>
      </c>
      <c r="E547" s="219" t="b">
        <v>0</v>
      </c>
      <c r="F547" s="219"/>
      <c r="G547" s="173"/>
      <c r="H547" s="157" t="s">
        <v>5886</v>
      </c>
      <c r="I547" s="157" t="s">
        <v>5940</v>
      </c>
      <c r="J547" s="157">
        <v>2025.0</v>
      </c>
    </row>
    <row r="548">
      <c r="A548" s="218">
        <f t="shared" si="2"/>
        <v>545</v>
      </c>
      <c r="B548" s="218" t="s">
        <v>202</v>
      </c>
      <c r="C548" s="236" t="str">
        <f t="shared" si="1"/>
        <v>KB/0868/2025</v>
      </c>
      <c r="D548" s="218" t="b">
        <v>1</v>
      </c>
      <c r="E548" s="219" t="b">
        <v>0</v>
      </c>
      <c r="F548" s="219"/>
      <c r="G548" s="173"/>
      <c r="H548" s="157" t="s">
        <v>5886</v>
      </c>
      <c r="I548" s="157" t="s">
        <v>5941</v>
      </c>
      <c r="J548" s="157">
        <v>2025.0</v>
      </c>
    </row>
    <row r="549">
      <c r="A549" s="218">
        <f t="shared" si="2"/>
        <v>546</v>
      </c>
      <c r="B549" s="218" t="s">
        <v>202</v>
      </c>
      <c r="C549" s="236" t="str">
        <f t="shared" si="1"/>
        <v>KB/0869/2025</v>
      </c>
      <c r="D549" s="218" t="b">
        <v>1</v>
      </c>
      <c r="E549" s="219" t="b">
        <v>0</v>
      </c>
      <c r="F549" s="219"/>
      <c r="G549" s="173"/>
      <c r="H549" s="157" t="s">
        <v>5886</v>
      </c>
      <c r="I549" s="157" t="s">
        <v>5942</v>
      </c>
      <c r="J549" s="157">
        <v>2025.0</v>
      </c>
    </row>
    <row r="550">
      <c r="A550" s="218">
        <f t="shared" si="2"/>
        <v>547</v>
      </c>
      <c r="B550" s="218" t="s">
        <v>202</v>
      </c>
      <c r="C550" s="236" t="str">
        <f t="shared" si="1"/>
        <v>KB/0870/2025</v>
      </c>
      <c r="D550" s="218" t="b">
        <v>1</v>
      </c>
      <c r="E550" s="219" t="b">
        <v>0</v>
      </c>
      <c r="F550" s="219"/>
      <c r="G550" s="173"/>
      <c r="H550" s="157" t="s">
        <v>5886</v>
      </c>
      <c r="I550" s="157" t="s">
        <v>5943</v>
      </c>
      <c r="J550" s="157">
        <v>2025.0</v>
      </c>
    </row>
    <row r="551">
      <c r="A551" s="218">
        <f t="shared" si="2"/>
        <v>548</v>
      </c>
      <c r="B551" s="218" t="s">
        <v>202</v>
      </c>
      <c r="C551" s="236" t="str">
        <f t="shared" si="1"/>
        <v>KB/0871/2025</v>
      </c>
      <c r="D551" s="218" t="b">
        <v>1</v>
      </c>
      <c r="E551" s="219" t="b">
        <v>0</v>
      </c>
      <c r="F551" s="219"/>
      <c r="G551" s="173"/>
      <c r="H551" s="157" t="s">
        <v>5886</v>
      </c>
      <c r="I551" s="157" t="s">
        <v>5944</v>
      </c>
      <c r="J551" s="157">
        <v>2025.0</v>
      </c>
    </row>
    <row r="552">
      <c r="A552" s="218">
        <f t="shared" si="2"/>
        <v>549</v>
      </c>
      <c r="B552" s="218" t="s">
        <v>202</v>
      </c>
      <c r="C552" s="236" t="str">
        <f t="shared" si="1"/>
        <v>KB/0872/2025</v>
      </c>
      <c r="D552" s="218" t="b">
        <v>1</v>
      </c>
      <c r="E552" s="219" t="b">
        <v>0</v>
      </c>
      <c r="F552" s="219"/>
      <c r="G552" s="173"/>
      <c r="H552" s="157" t="s">
        <v>5886</v>
      </c>
      <c r="I552" s="157" t="s">
        <v>5945</v>
      </c>
      <c r="J552" s="157">
        <v>2025.0</v>
      </c>
    </row>
    <row r="553">
      <c r="A553" s="218">
        <f t="shared" si="2"/>
        <v>550</v>
      </c>
      <c r="B553" s="218" t="s">
        <v>202</v>
      </c>
      <c r="C553" s="236" t="str">
        <f t="shared" si="1"/>
        <v>KB/0873/2025</v>
      </c>
      <c r="D553" s="218" t="b">
        <v>1</v>
      </c>
      <c r="E553" s="219" t="b">
        <v>0</v>
      </c>
      <c r="F553" s="219"/>
      <c r="G553" s="173"/>
      <c r="H553" s="157" t="s">
        <v>5886</v>
      </c>
      <c r="I553" s="157" t="s">
        <v>5946</v>
      </c>
      <c r="J553" s="157">
        <v>2025.0</v>
      </c>
    </row>
    <row r="554">
      <c r="A554" s="218">
        <f t="shared" si="2"/>
        <v>551</v>
      </c>
      <c r="B554" s="218" t="s">
        <v>202</v>
      </c>
      <c r="C554" s="236" t="str">
        <f t="shared" si="1"/>
        <v>KB/0874/2025</v>
      </c>
      <c r="D554" s="218" t="b">
        <v>1</v>
      </c>
      <c r="E554" s="219" t="b">
        <v>0</v>
      </c>
      <c r="F554" s="219"/>
      <c r="G554" s="173"/>
      <c r="H554" s="157" t="s">
        <v>5886</v>
      </c>
      <c r="I554" s="157" t="s">
        <v>5947</v>
      </c>
      <c r="J554" s="157">
        <v>2025.0</v>
      </c>
    </row>
    <row r="555">
      <c r="A555" s="218">
        <f t="shared" si="2"/>
        <v>552</v>
      </c>
      <c r="B555" s="218" t="s">
        <v>202</v>
      </c>
      <c r="C555" s="236" t="str">
        <f t="shared" si="1"/>
        <v>KB/0875/2025</v>
      </c>
      <c r="D555" s="218" t="b">
        <v>1</v>
      </c>
      <c r="E555" s="219" t="b">
        <v>0</v>
      </c>
      <c r="F555" s="219"/>
      <c r="G555" s="173"/>
      <c r="H555" s="157" t="s">
        <v>5886</v>
      </c>
      <c r="I555" s="157" t="s">
        <v>5948</v>
      </c>
      <c r="J555" s="157">
        <v>2025.0</v>
      </c>
    </row>
    <row r="556">
      <c r="A556" s="218">
        <f t="shared" si="2"/>
        <v>553</v>
      </c>
      <c r="B556" s="218" t="s">
        <v>202</v>
      </c>
      <c r="C556" s="236" t="str">
        <f t="shared" si="1"/>
        <v>KB/0876/2025</v>
      </c>
      <c r="D556" s="218" t="b">
        <v>1</v>
      </c>
      <c r="E556" s="219" t="b">
        <v>0</v>
      </c>
      <c r="F556" s="219"/>
      <c r="G556" s="173"/>
      <c r="H556" s="157" t="s">
        <v>5886</v>
      </c>
      <c r="I556" s="157" t="s">
        <v>5949</v>
      </c>
      <c r="J556" s="157">
        <v>2025.0</v>
      </c>
    </row>
    <row r="557">
      <c r="A557" s="218">
        <f t="shared" si="2"/>
        <v>554</v>
      </c>
      <c r="B557" s="218" t="s">
        <v>202</v>
      </c>
      <c r="C557" s="236" t="str">
        <f t="shared" si="1"/>
        <v>KB/0877/2025</v>
      </c>
      <c r="D557" s="218" t="b">
        <v>1</v>
      </c>
      <c r="E557" s="219" t="b">
        <v>0</v>
      </c>
      <c r="F557" s="219"/>
      <c r="G557" s="173"/>
      <c r="H557" s="157" t="s">
        <v>5886</v>
      </c>
      <c r="I557" s="157" t="s">
        <v>5950</v>
      </c>
      <c r="J557" s="157">
        <v>2025.0</v>
      </c>
    </row>
    <row r="558">
      <c r="A558" s="218">
        <f t="shared" si="2"/>
        <v>555</v>
      </c>
      <c r="B558" s="218" t="s">
        <v>202</v>
      </c>
      <c r="C558" s="236" t="str">
        <f t="shared" si="1"/>
        <v>KB/0878/2025</v>
      </c>
      <c r="D558" s="218" t="b">
        <v>1</v>
      </c>
      <c r="E558" s="219" t="b">
        <v>0</v>
      </c>
      <c r="F558" s="219"/>
      <c r="G558" s="173"/>
      <c r="H558" s="157" t="s">
        <v>5886</v>
      </c>
      <c r="I558" s="157" t="s">
        <v>5951</v>
      </c>
      <c r="J558" s="157">
        <v>2025.0</v>
      </c>
    </row>
    <row r="559">
      <c r="A559" s="218">
        <f t="shared" si="2"/>
        <v>556</v>
      </c>
      <c r="B559" s="218" t="s">
        <v>202</v>
      </c>
      <c r="C559" s="236" t="str">
        <f t="shared" si="1"/>
        <v>KB/0879/2025</v>
      </c>
      <c r="D559" s="218" t="b">
        <v>1</v>
      </c>
      <c r="E559" s="219" t="b">
        <v>0</v>
      </c>
      <c r="F559" s="219"/>
      <c r="G559" s="173"/>
      <c r="H559" s="157" t="s">
        <v>5886</v>
      </c>
      <c r="I559" s="157" t="s">
        <v>5952</v>
      </c>
      <c r="J559" s="157">
        <v>2025.0</v>
      </c>
    </row>
    <row r="560">
      <c r="A560" s="218">
        <f t="shared" si="2"/>
        <v>557</v>
      </c>
      <c r="B560" s="218" t="s">
        <v>202</v>
      </c>
      <c r="C560" s="236" t="str">
        <f t="shared" si="1"/>
        <v>KB/0880/2025</v>
      </c>
      <c r="D560" s="218" t="b">
        <v>1</v>
      </c>
      <c r="E560" s="219" t="b">
        <v>0</v>
      </c>
      <c r="F560" s="219"/>
      <c r="G560" s="173"/>
      <c r="H560" s="157" t="s">
        <v>5886</v>
      </c>
      <c r="I560" s="157" t="s">
        <v>5953</v>
      </c>
      <c r="J560" s="157">
        <v>2025.0</v>
      </c>
    </row>
    <row r="561">
      <c r="A561" s="218">
        <f t="shared" si="2"/>
        <v>558</v>
      </c>
      <c r="B561" s="218" t="s">
        <v>202</v>
      </c>
      <c r="C561" s="236" t="str">
        <f t="shared" si="1"/>
        <v>KB/0881/2025</v>
      </c>
      <c r="D561" s="218" t="b">
        <v>1</v>
      </c>
      <c r="E561" s="219" t="b">
        <v>0</v>
      </c>
      <c r="F561" s="219"/>
      <c r="G561" s="173"/>
      <c r="H561" s="157" t="s">
        <v>5886</v>
      </c>
      <c r="I561" s="157" t="s">
        <v>5954</v>
      </c>
      <c r="J561" s="157">
        <v>2025.0</v>
      </c>
    </row>
    <row r="562">
      <c r="A562" s="218">
        <f t="shared" si="2"/>
        <v>559</v>
      </c>
      <c r="B562" s="218" t="s">
        <v>202</v>
      </c>
      <c r="C562" s="236" t="str">
        <f t="shared" si="1"/>
        <v>KB/0882/2025</v>
      </c>
      <c r="D562" s="218" t="b">
        <v>1</v>
      </c>
      <c r="E562" s="219" t="b">
        <v>0</v>
      </c>
      <c r="F562" s="219"/>
      <c r="G562" s="173"/>
      <c r="H562" s="157" t="s">
        <v>5886</v>
      </c>
      <c r="I562" s="157" t="s">
        <v>5955</v>
      </c>
      <c r="J562" s="157">
        <v>2025.0</v>
      </c>
    </row>
    <row r="563">
      <c r="A563" s="218">
        <f t="shared" si="2"/>
        <v>560</v>
      </c>
      <c r="B563" s="218" t="s">
        <v>202</v>
      </c>
      <c r="C563" s="236" t="str">
        <f t="shared" si="1"/>
        <v>KB/0883/2025</v>
      </c>
      <c r="D563" s="218" t="b">
        <v>1</v>
      </c>
      <c r="E563" s="219" t="b">
        <v>0</v>
      </c>
      <c r="F563" s="219"/>
      <c r="G563" s="173"/>
      <c r="H563" s="157" t="s">
        <v>5886</v>
      </c>
      <c r="I563" s="157" t="s">
        <v>5956</v>
      </c>
      <c r="J563" s="157">
        <v>2025.0</v>
      </c>
    </row>
    <row r="564">
      <c r="A564" s="218">
        <f t="shared" si="2"/>
        <v>561</v>
      </c>
      <c r="B564" s="218" t="s">
        <v>202</v>
      </c>
      <c r="C564" s="236" t="str">
        <f t="shared" si="1"/>
        <v>KB/0884/2025</v>
      </c>
      <c r="D564" s="218" t="b">
        <v>1</v>
      </c>
      <c r="E564" s="219" t="b">
        <v>0</v>
      </c>
      <c r="F564" s="219"/>
      <c r="G564" s="173"/>
      <c r="H564" s="157" t="s">
        <v>5886</v>
      </c>
      <c r="I564" s="157" t="s">
        <v>5957</v>
      </c>
      <c r="J564" s="157">
        <v>2025.0</v>
      </c>
    </row>
    <row r="565">
      <c r="A565" s="218">
        <f t="shared" si="2"/>
        <v>562</v>
      </c>
      <c r="B565" s="218" t="s">
        <v>202</v>
      </c>
      <c r="C565" s="236" t="str">
        <f t="shared" si="1"/>
        <v>KB/0885/2025</v>
      </c>
      <c r="D565" s="218" t="b">
        <v>1</v>
      </c>
      <c r="E565" s="219" t="b">
        <v>0</v>
      </c>
      <c r="F565" s="219"/>
      <c r="G565" s="173"/>
      <c r="H565" s="157" t="s">
        <v>5886</v>
      </c>
      <c r="I565" s="157" t="s">
        <v>5958</v>
      </c>
      <c r="J565" s="157">
        <v>2025.0</v>
      </c>
    </row>
    <row r="566">
      <c r="A566" s="218">
        <f t="shared" si="2"/>
        <v>563</v>
      </c>
      <c r="B566" s="218" t="s">
        <v>202</v>
      </c>
      <c r="C566" s="236" t="str">
        <f t="shared" si="1"/>
        <v>KB/0886/2025</v>
      </c>
      <c r="D566" s="218" t="b">
        <v>1</v>
      </c>
      <c r="E566" s="219" t="b">
        <v>0</v>
      </c>
      <c r="F566" s="219"/>
      <c r="G566" s="173"/>
      <c r="H566" s="157" t="s">
        <v>5886</v>
      </c>
      <c r="I566" s="157" t="s">
        <v>5959</v>
      </c>
      <c r="J566" s="157">
        <v>2025.0</v>
      </c>
    </row>
    <row r="567">
      <c r="A567" s="218">
        <f t="shared" si="2"/>
        <v>564</v>
      </c>
      <c r="B567" s="218" t="s">
        <v>202</v>
      </c>
      <c r="C567" s="236" t="str">
        <f t="shared" si="1"/>
        <v>KB/0887/2025</v>
      </c>
      <c r="D567" s="218" t="b">
        <v>1</v>
      </c>
      <c r="E567" s="219" t="b">
        <v>0</v>
      </c>
      <c r="F567" s="219"/>
      <c r="G567" s="173"/>
      <c r="H567" s="157" t="s">
        <v>5886</v>
      </c>
      <c r="I567" s="157" t="s">
        <v>5960</v>
      </c>
      <c r="J567" s="157">
        <v>2025.0</v>
      </c>
    </row>
    <row r="568">
      <c r="A568" s="218">
        <f t="shared" si="2"/>
        <v>565</v>
      </c>
      <c r="B568" s="218" t="s">
        <v>202</v>
      </c>
      <c r="C568" s="236" t="str">
        <f t="shared" si="1"/>
        <v>KB/0888/2025</v>
      </c>
      <c r="D568" s="218" t="b">
        <v>1</v>
      </c>
      <c r="E568" s="219" t="b">
        <v>0</v>
      </c>
      <c r="F568" s="219"/>
      <c r="G568" s="173"/>
      <c r="H568" s="157" t="s">
        <v>5886</v>
      </c>
      <c r="I568" s="157" t="s">
        <v>5961</v>
      </c>
      <c r="J568" s="157">
        <v>2025.0</v>
      </c>
    </row>
    <row r="569">
      <c r="A569" s="218">
        <f t="shared" si="2"/>
        <v>566</v>
      </c>
      <c r="B569" s="218" t="s">
        <v>202</v>
      </c>
      <c r="C569" s="236" t="str">
        <f t="shared" si="1"/>
        <v>KB/0889/2025</v>
      </c>
      <c r="D569" s="218" t="b">
        <v>1</v>
      </c>
      <c r="E569" s="219" t="b">
        <v>0</v>
      </c>
      <c r="F569" s="219"/>
      <c r="G569" s="173"/>
      <c r="H569" s="157" t="s">
        <v>5886</v>
      </c>
      <c r="I569" s="157" t="s">
        <v>5962</v>
      </c>
      <c r="J569" s="157">
        <v>2025.0</v>
      </c>
    </row>
    <row r="570">
      <c r="A570" s="218">
        <f t="shared" si="2"/>
        <v>567</v>
      </c>
      <c r="B570" s="218" t="s">
        <v>202</v>
      </c>
      <c r="C570" s="236" t="str">
        <f t="shared" si="1"/>
        <v>KB/0890/2025</v>
      </c>
      <c r="D570" s="218" t="b">
        <v>1</v>
      </c>
      <c r="E570" s="219" t="b">
        <v>0</v>
      </c>
      <c r="F570" s="219"/>
      <c r="G570" s="173"/>
      <c r="H570" s="157" t="s">
        <v>5886</v>
      </c>
      <c r="I570" s="157" t="s">
        <v>5963</v>
      </c>
      <c r="J570" s="157">
        <v>2025.0</v>
      </c>
    </row>
    <row r="571">
      <c r="A571" s="218">
        <f t="shared" si="2"/>
        <v>568</v>
      </c>
      <c r="B571" s="218" t="s">
        <v>202</v>
      </c>
      <c r="C571" s="236" t="str">
        <f t="shared" si="1"/>
        <v>KB/0891/2025</v>
      </c>
      <c r="D571" s="218" t="b">
        <v>1</v>
      </c>
      <c r="E571" s="219" t="b">
        <v>0</v>
      </c>
      <c r="F571" s="219"/>
      <c r="G571" s="173"/>
      <c r="H571" s="157" t="s">
        <v>5886</v>
      </c>
      <c r="I571" s="157" t="s">
        <v>5964</v>
      </c>
      <c r="J571" s="157">
        <v>2025.0</v>
      </c>
    </row>
    <row r="572">
      <c r="A572" s="218">
        <f t="shared" si="2"/>
        <v>569</v>
      </c>
      <c r="B572" s="218" t="s">
        <v>202</v>
      </c>
      <c r="C572" s="236" t="str">
        <f t="shared" si="1"/>
        <v>KB/0892/2025</v>
      </c>
      <c r="D572" s="218" t="b">
        <v>1</v>
      </c>
      <c r="E572" s="219" t="b">
        <v>0</v>
      </c>
      <c r="F572" s="219"/>
      <c r="G572" s="173"/>
      <c r="H572" s="157" t="s">
        <v>5886</v>
      </c>
      <c r="I572" s="157" t="s">
        <v>5965</v>
      </c>
      <c r="J572" s="157">
        <v>2025.0</v>
      </c>
    </row>
    <row r="573">
      <c r="A573" s="218">
        <f t="shared" si="2"/>
        <v>570</v>
      </c>
      <c r="B573" s="218" t="s">
        <v>202</v>
      </c>
      <c r="C573" s="236" t="str">
        <f t="shared" si="1"/>
        <v>KB/0893/2025</v>
      </c>
      <c r="D573" s="218" t="b">
        <v>1</v>
      </c>
      <c r="E573" s="219" t="b">
        <v>0</v>
      </c>
      <c r="F573" s="219"/>
      <c r="G573" s="173"/>
      <c r="H573" s="157" t="s">
        <v>5886</v>
      </c>
      <c r="I573" s="157" t="s">
        <v>5966</v>
      </c>
      <c r="J573" s="157">
        <v>2025.0</v>
      </c>
    </row>
    <row r="574">
      <c r="A574" s="218">
        <f t="shared" si="2"/>
        <v>571</v>
      </c>
      <c r="B574" s="218" t="s">
        <v>202</v>
      </c>
      <c r="C574" s="236" t="str">
        <f t="shared" si="1"/>
        <v>KB/0894/2025</v>
      </c>
      <c r="D574" s="218" t="b">
        <v>1</v>
      </c>
      <c r="E574" s="219" t="b">
        <v>0</v>
      </c>
      <c r="F574" s="219"/>
      <c r="G574" s="173"/>
      <c r="H574" s="157" t="s">
        <v>5886</v>
      </c>
      <c r="I574" s="157" t="s">
        <v>5967</v>
      </c>
      <c r="J574" s="157">
        <v>2025.0</v>
      </c>
    </row>
    <row r="575">
      <c r="A575" s="218">
        <f t="shared" si="2"/>
        <v>572</v>
      </c>
      <c r="B575" s="218" t="s">
        <v>202</v>
      </c>
      <c r="C575" s="236" t="str">
        <f t="shared" si="1"/>
        <v>KB/0895/2025</v>
      </c>
      <c r="D575" s="218" t="b">
        <v>1</v>
      </c>
      <c r="E575" s="219" t="b">
        <v>0</v>
      </c>
      <c r="F575" s="219"/>
      <c r="G575" s="173"/>
      <c r="H575" s="157" t="s">
        <v>5886</v>
      </c>
      <c r="I575" s="157" t="s">
        <v>5968</v>
      </c>
      <c r="J575" s="157">
        <v>2025.0</v>
      </c>
      <c r="L575" s="26">
        <v>1965000.0</v>
      </c>
    </row>
    <row r="576">
      <c r="A576" s="218">
        <f t="shared" si="2"/>
        <v>573</v>
      </c>
      <c r="B576" s="218" t="s">
        <v>202</v>
      </c>
      <c r="C576" s="236" t="str">
        <f t="shared" si="1"/>
        <v>KB/0896/2025</v>
      </c>
      <c r="D576" s="218" t="b">
        <v>1</v>
      </c>
      <c r="E576" s="219" t="b">
        <v>0</v>
      </c>
      <c r="F576" s="219"/>
      <c r="G576" s="173"/>
      <c r="H576" s="157" t="s">
        <v>5886</v>
      </c>
      <c r="I576" s="157" t="s">
        <v>5969</v>
      </c>
      <c r="J576" s="157">
        <v>2025.0</v>
      </c>
      <c r="L576" s="63">
        <f>L575*11/12</f>
        <v>1801250</v>
      </c>
    </row>
    <row r="577">
      <c r="A577" s="218">
        <f t="shared" si="2"/>
        <v>574</v>
      </c>
      <c r="B577" s="218" t="s">
        <v>202</v>
      </c>
      <c r="C577" s="236" t="str">
        <f t="shared" si="1"/>
        <v>KB/0897/2025</v>
      </c>
      <c r="D577" s="218" t="b">
        <v>1</v>
      </c>
      <c r="E577" s="219" t="b">
        <v>0</v>
      </c>
      <c r="F577" s="219"/>
      <c r="G577" s="173"/>
      <c r="H577" s="157" t="s">
        <v>5886</v>
      </c>
      <c r="I577" s="157" t="s">
        <v>5970</v>
      </c>
      <c r="J577" s="157">
        <v>2025.0</v>
      </c>
      <c r="L577" s="63">
        <f>L576*12%</f>
        <v>216150</v>
      </c>
    </row>
    <row r="578">
      <c r="A578" s="218">
        <f t="shared" si="2"/>
        <v>575</v>
      </c>
      <c r="B578" s="218" t="s">
        <v>202</v>
      </c>
      <c r="C578" s="236" t="str">
        <f t="shared" si="1"/>
        <v>KB/0898/2025</v>
      </c>
      <c r="D578" s="218" t="b">
        <v>1</v>
      </c>
      <c r="E578" s="219" t="b">
        <v>0</v>
      </c>
      <c r="F578" s="219"/>
      <c r="G578" s="173"/>
      <c r="H578" s="157" t="s">
        <v>5886</v>
      </c>
      <c r="I578" s="157" t="s">
        <v>5971</v>
      </c>
      <c r="J578" s="157">
        <v>2025.0</v>
      </c>
    </row>
    <row r="579">
      <c r="A579" s="218">
        <f t="shared" si="2"/>
        <v>576</v>
      </c>
      <c r="B579" s="218" t="s">
        <v>202</v>
      </c>
      <c r="C579" s="236" t="str">
        <f t="shared" si="1"/>
        <v>KB/0899/2025</v>
      </c>
      <c r="D579" s="218" t="b">
        <v>1</v>
      </c>
      <c r="E579" s="219" t="b">
        <v>0</v>
      </c>
      <c r="F579" s="219"/>
      <c r="G579" s="173"/>
      <c r="H579" s="157" t="s">
        <v>5886</v>
      </c>
      <c r="I579" s="157" t="s">
        <v>5972</v>
      </c>
      <c r="J579" s="157">
        <v>2025.0</v>
      </c>
    </row>
    <row r="580">
      <c r="A580" s="218">
        <f t="shared" si="2"/>
        <v>577</v>
      </c>
      <c r="B580" s="218" t="s">
        <v>202</v>
      </c>
      <c r="C580" s="236" t="str">
        <f t="shared" si="1"/>
        <v>KB/0900/2025</v>
      </c>
      <c r="D580" s="218" t="b">
        <v>1</v>
      </c>
      <c r="E580" s="219" t="b">
        <v>0</v>
      </c>
      <c r="F580" s="219"/>
      <c r="G580" s="173"/>
      <c r="H580" s="157" t="s">
        <v>5886</v>
      </c>
      <c r="I580" s="157" t="s">
        <v>5973</v>
      </c>
      <c r="J580" s="157">
        <v>2025.0</v>
      </c>
    </row>
    <row r="581">
      <c r="A581" s="218">
        <f t="shared" si="2"/>
        <v>578</v>
      </c>
      <c r="B581" s="218" t="s">
        <v>202</v>
      </c>
      <c r="C581" s="236" t="str">
        <f t="shared" si="1"/>
        <v>KB/0901/2025</v>
      </c>
      <c r="D581" s="218" t="b">
        <v>1</v>
      </c>
      <c r="E581" s="219" t="b">
        <v>0</v>
      </c>
      <c r="F581" s="219"/>
      <c r="G581" s="173"/>
      <c r="H581" s="157" t="s">
        <v>5886</v>
      </c>
      <c r="I581" s="157" t="s">
        <v>5974</v>
      </c>
      <c r="J581" s="157">
        <v>2025.0</v>
      </c>
    </row>
    <row r="582">
      <c r="A582" s="218">
        <f t="shared" si="2"/>
        <v>579</v>
      </c>
      <c r="B582" s="218" t="s">
        <v>202</v>
      </c>
      <c r="C582" s="236" t="str">
        <f t="shared" si="1"/>
        <v>KB/0902/2025</v>
      </c>
      <c r="D582" s="218" t="b">
        <v>1</v>
      </c>
      <c r="E582" s="219" t="b">
        <v>0</v>
      </c>
      <c r="F582" s="219"/>
      <c r="G582" s="173"/>
      <c r="H582" s="157" t="s">
        <v>5886</v>
      </c>
      <c r="I582" s="157" t="s">
        <v>5975</v>
      </c>
      <c r="J582" s="157">
        <v>2025.0</v>
      </c>
    </row>
    <row r="583">
      <c r="A583" s="218">
        <f t="shared" si="2"/>
        <v>580</v>
      </c>
      <c r="B583" s="218" t="s">
        <v>202</v>
      </c>
      <c r="C583" s="236" t="str">
        <f t="shared" si="1"/>
        <v>KB/0903/2025</v>
      </c>
      <c r="D583" s="218" t="b">
        <v>1</v>
      </c>
      <c r="E583" s="219" t="b">
        <v>0</v>
      </c>
      <c r="F583" s="219"/>
      <c r="G583" s="173"/>
      <c r="H583" s="157" t="s">
        <v>5886</v>
      </c>
      <c r="I583" s="157" t="s">
        <v>5976</v>
      </c>
      <c r="J583" s="157">
        <v>2025.0</v>
      </c>
    </row>
    <row r="584">
      <c r="A584" s="218">
        <f t="shared" si="2"/>
        <v>581</v>
      </c>
      <c r="B584" s="218" t="s">
        <v>202</v>
      </c>
      <c r="C584" s="236" t="str">
        <f t="shared" si="1"/>
        <v>KB/0904/2025</v>
      </c>
      <c r="D584" s="218" t="b">
        <v>1</v>
      </c>
      <c r="E584" s="219" t="b">
        <v>0</v>
      </c>
      <c r="F584" s="219"/>
      <c r="G584" s="173"/>
      <c r="H584" s="157" t="s">
        <v>5886</v>
      </c>
      <c r="I584" s="157" t="s">
        <v>5977</v>
      </c>
      <c r="J584" s="157">
        <v>2025.0</v>
      </c>
    </row>
    <row r="585">
      <c r="A585" s="218">
        <f t="shared" si="2"/>
        <v>582</v>
      </c>
      <c r="B585" s="218" t="s">
        <v>202</v>
      </c>
      <c r="C585" s="236" t="str">
        <f t="shared" si="1"/>
        <v>KB/0905/2025</v>
      </c>
      <c r="D585" s="218" t="b">
        <v>1</v>
      </c>
      <c r="E585" s="219" t="b">
        <v>0</v>
      </c>
      <c r="F585" s="219"/>
      <c r="G585" s="173"/>
      <c r="H585" s="157" t="s">
        <v>5886</v>
      </c>
      <c r="I585" s="157" t="s">
        <v>5978</v>
      </c>
      <c r="J585" s="157">
        <v>2025.0</v>
      </c>
    </row>
    <row r="586">
      <c r="A586" s="218">
        <f t="shared" si="2"/>
        <v>583</v>
      </c>
      <c r="B586" s="218" t="s">
        <v>202</v>
      </c>
      <c r="C586" s="236" t="str">
        <f t="shared" si="1"/>
        <v>KB/0906/2025</v>
      </c>
      <c r="D586" s="218" t="b">
        <v>1</v>
      </c>
      <c r="E586" s="219" t="b">
        <v>0</v>
      </c>
      <c r="F586" s="219"/>
      <c r="G586" s="173"/>
      <c r="H586" s="157" t="s">
        <v>5886</v>
      </c>
      <c r="I586" s="157" t="s">
        <v>5979</v>
      </c>
      <c r="J586" s="157">
        <v>2025.0</v>
      </c>
    </row>
    <row r="587">
      <c r="A587" s="218">
        <f t="shared" si="2"/>
        <v>584</v>
      </c>
      <c r="B587" s="218" t="s">
        <v>202</v>
      </c>
      <c r="C587" s="236" t="str">
        <f t="shared" si="1"/>
        <v>KB/0907/2025</v>
      </c>
      <c r="D587" s="218" t="b">
        <v>1</v>
      </c>
      <c r="E587" s="219" t="b">
        <v>0</v>
      </c>
      <c r="F587" s="219"/>
      <c r="G587" s="173"/>
      <c r="H587" s="157" t="s">
        <v>5886</v>
      </c>
      <c r="I587" s="157" t="s">
        <v>5980</v>
      </c>
      <c r="J587" s="157">
        <v>2025.0</v>
      </c>
    </row>
    <row r="588">
      <c r="A588" s="218">
        <f t="shared" si="2"/>
        <v>585</v>
      </c>
      <c r="B588" s="218" t="s">
        <v>202</v>
      </c>
      <c r="C588" s="236" t="str">
        <f t="shared" si="1"/>
        <v>KB/0908/2025</v>
      </c>
      <c r="D588" s="218" t="b">
        <v>1</v>
      </c>
      <c r="E588" s="219" t="b">
        <v>0</v>
      </c>
      <c r="F588" s="219"/>
      <c r="G588" s="173"/>
      <c r="H588" s="157" t="s">
        <v>5886</v>
      </c>
      <c r="I588" s="157" t="s">
        <v>5981</v>
      </c>
      <c r="J588" s="157">
        <v>2025.0</v>
      </c>
    </row>
    <row r="589">
      <c r="A589" s="218">
        <f t="shared" si="2"/>
        <v>586</v>
      </c>
      <c r="B589" s="218" t="s">
        <v>202</v>
      </c>
      <c r="C589" s="236" t="str">
        <f t="shared" si="1"/>
        <v>KB/0909/2025</v>
      </c>
      <c r="D589" s="218" t="b">
        <v>1</v>
      </c>
      <c r="E589" s="219" t="b">
        <v>0</v>
      </c>
      <c r="F589" s="219"/>
      <c r="G589" s="173"/>
      <c r="H589" s="157" t="s">
        <v>5886</v>
      </c>
      <c r="I589" s="157" t="s">
        <v>5982</v>
      </c>
      <c r="J589" s="157">
        <v>2025.0</v>
      </c>
    </row>
    <row r="590">
      <c r="A590" s="218">
        <f t="shared" si="2"/>
        <v>587</v>
      </c>
      <c r="B590" s="218" t="s">
        <v>202</v>
      </c>
      <c r="C590" s="236" t="str">
        <f t="shared" si="1"/>
        <v>KB/0910/2025</v>
      </c>
      <c r="D590" s="218" t="b">
        <v>1</v>
      </c>
      <c r="E590" s="219" t="b">
        <v>0</v>
      </c>
      <c r="F590" s="219"/>
      <c r="G590" s="173"/>
      <c r="H590" s="157" t="s">
        <v>5886</v>
      </c>
      <c r="I590" s="157" t="s">
        <v>5983</v>
      </c>
      <c r="J590" s="157">
        <v>2025.0</v>
      </c>
    </row>
    <row r="591">
      <c r="A591" s="218">
        <f t="shared" si="2"/>
        <v>588</v>
      </c>
      <c r="B591" s="218" t="s">
        <v>202</v>
      </c>
      <c r="C591" s="236" t="str">
        <f t="shared" si="1"/>
        <v>KB/0911/2025</v>
      </c>
      <c r="D591" s="218" t="b">
        <v>1</v>
      </c>
      <c r="E591" s="219" t="b">
        <v>0</v>
      </c>
      <c r="F591" s="219"/>
      <c r="G591" s="173"/>
      <c r="H591" s="157" t="s">
        <v>5886</v>
      </c>
      <c r="I591" s="157" t="s">
        <v>5984</v>
      </c>
      <c r="J591" s="157">
        <v>2025.0</v>
      </c>
    </row>
    <row r="592">
      <c r="A592" s="218">
        <f t="shared" si="2"/>
        <v>589</v>
      </c>
      <c r="B592" s="218" t="s">
        <v>202</v>
      </c>
      <c r="C592" s="236" t="str">
        <f t="shared" si="1"/>
        <v>KB/0912/2025</v>
      </c>
      <c r="D592" s="218" t="b">
        <v>1</v>
      </c>
      <c r="E592" s="219" t="b">
        <v>0</v>
      </c>
      <c r="F592" s="219"/>
      <c r="G592" s="173"/>
      <c r="H592" s="157" t="s">
        <v>5886</v>
      </c>
      <c r="I592" s="157" t="s">
        <v>5985</v>
      </c>
      <c r="J592" s="157">
        <v>2025.0</v>
      </c>
    </row>
    <row r="593">
      <c r="A593" s="218">
        <f t="shared" si="2"/>
        <v>590</v>
      </c>
      <c r="B593" s="218" t="s">
        <v>202</v>
      </c>
      <c r="C593" s="236" t="str">
        <f t="shared" si="1"/>
        <v>KB/0913/2025</v>
      </c>
      <c r="D593" s="218" t="b">
        <v>1</v>
      </c>
      <c r="E593" s="219" t="b">
        <v>0</v>
      </c>
      <c r="F593" s="219"/>
      <c r="G593" s="173"/>
      <c r="H593" s="157" t="s">
        <v>5886</v>
      </c>
      <c r="I593" s="157" t="s">
        <v>5986</v>
      </c>
      <c r="J593" s="157">
        <v>2025.0</v>
      </c>
    </row>
    <row r="594">
      <c r="A594" s="218">
        <f t="shared" si="2"/>
        <v>591</v>
      </c>
      <c r="B594" s="218" t="s">
        <v>202</v>
      </c>
      <c r="C594" s="236" t="str">
        <f t="shared" si="1"/>
        <v>KB/0914/2025</v>
      </c>
      <c r="D594" s="218" t="b">
        <v>1</v>
      </c>
      <c r="E594" s="219" t="b">
        <v>0</v>
      </c>
      <c r="F594" s="219"/>
      <c r="G594" s="173"/>
      <c r="H594" s="157" t="s">
        <v>5886</v>
      </c>
      <c r="I594" s="157" t="s">
        <v>5988</v>
      </c>
      <c r="J594" s="157">
        <v>2025.0</v>
      </c>
    </row>
    <row r="595">
      <c r="A595" s="218">
        <f t="shared" si="2"/>
        <v>592</v>
      </c>
      <c r="B595" s="218" t="s">
        <v>202</v>
      </c>
      <c r="C595" s="236" t="str">
        <f t="shared" si="1"/>
        <v>KB/0915/2025</v>
      </c>
      <c r="D595" s="218" t="b">
        <v>1</v>
      </c>
      <c r="E595" s="219" t="b">
        <v>0</v>
      </c>
      <c r="F595" s="219"/>
      <c r="G595" s="173"/>
      <c r="H595" s="157" t="s">
        <v>5886</v>
      </c>
      <c r="I595" s="157" t="s">
        <v>5990</v>
      </c>
      <c r="J595" s="157">
        <v>2025.0</v>
      </c>
    </row>
    <row r="596">
      <c r="A596" s="218">
        <f t="shared" si="2"/>
        <v>593</v>
      </c>
      <c r="B596" s="218" t="s">
        <v>202</v>
      </c>
      <c r="C596" s="236" t="str">
        <f t="shared" si="1"/>
        <v>KB/0916/2025</v>
      </c>
      <c r="D596" s="218" t="b">
        <v>1</v>
      </c>
      <c r="E596" s="219" t="b">
        <v>0</v>
      </c>
      <c r="F596" s="219"/>
      <c r="G596" s="173"/>
      <c r="H596" s="157" t="s">
        <v>5886</v>
      </c>
      <c r="I596" s="157" t="s">
        <v>5993</v>
      </c>
      <c r="J596" s="157">
        <v>2025.0</v>
      </c>
    </row>
    <row r="597">
      <c r="A597" s="218">
        <f t="shared" si="2"/>
        <v>594</v>
      </c>
      <c r="B597" s="218" t="s">
        <v>202</v>
      </c>
      <c r="C597" s="236" t="str">
        <f t="shared" si="1"/>
        <v>KB/0917/2025</v>
      </c>
      <c r="D597" s="218" t="b">
        <v>1</v>
      </c>
      <c r="E597" s="219" t="b">
        <v>0</v>
      </c>
      <c r="F597" s="219"/>
      <c r="G597" s="173"/>
      <c r="H597" s="157" t="s">
        <v>5886</v>
      </c>
      <c r="I597" s="157" t="s">
        <v>5995</v>
      </c>
      <c r="J597" s="157">
        <v>2025.0</v>
      </c>
    </row>
    <row r="598">
      <c r="A598" s="218">
        <f t="shared" si="2"/>
        <v>595</v>
      </c>
      <c r="B598" s="218" t="s">
        <v>202</v>
      </c>
      <c r="C598" s="236" t="str">
        <f t="shared" si="1"/>
        <v>KB/0918/2025</v>
      </c>
      <c r="D598" s="218" t="b">
        <v>1</v>
      </c>
      <c r="E598" s="219" t="b">
        <v>0</v>
      </c>
      <c r="F598" s="219"/>
      <c r="G598" s="173"/>
      <c r="H598" s="157" t="s">
        <v>5886</v>
      </c>
      <c r="I598" s="157" t="s">
        <v>5997</v>
      </c>
      <c r="J598" s="157">
        <v>2025.0</v>
      </c>
    </row>
    <row r="599">
      <c r="A599" s="218">
        <f t="shared" si="2"/>
        <v>596</v>
      </c>
      <c r="B599" s="218" t="s">
        <v>202</v>
      </c>
      <c r="C599" s="236" t="str">
        <f t="shared" si="1"/>
        <v>KB/0919/2025</v>
      </c>
      <c r="D599" s="218" t="b">
        <v>1</v>
      </c>
      <c r="E599" s="219" t="b">
        <v>0</v>
      </c>
      <c r="F599" s="219"/>
      <c r="G599" s="173"/>
      <c r="H599" s="157" t="s">
        <v>5886</v>
      </c>
      <c r="I599" s="157" t="s">
        <v>5999</v>
      </c>
      <c r="J599" s="157">
        <v>2025.0</v>
      </c>
    </row>
    <row r="600">
      <c r="A600" s="218">
        <f t="shared" si="2"/>
        <v>597</v>
      </c>
      <c r="B600" s="218" t="s">
        <v>202</v>
      </c>
      <c r="C600" s="236" t="str">
        <f t="shared" si="1"/>
        <v>KB/0920/2025</v>
      </c>
      <c r="D600" s="218" t="b">
        <v>1</v>
      </c>
      <c r="E600" s="219" t="b">
        <v>0</v>
      </c>
      <c r="F600" s="219"/>
      <c r="G600" s="173"/>
      <c r="H600" s="157" t="s">
        <v>5886</v>
      </c>
      <c r="I600" s="157" t="s">
        <v>6001</v>
      </c>
      <c r="J600" s="157">
        <v>2025.0</v>
      </c>
    </row>
    <row r="601">
      <c r="A601" s="218">
        <f t="shared" si="2"/>
        <v>598</v>
      </c>
      <c r="B601" s="218" t="s">
        <v>202</v>
      </c>
      <c r="C601" s="236" t="str">
        <f t="shared" si="1"/>
        <v>KB/0921/2025</v>
      </c>
      <c r="D601" s="218" t="b">
        <v>1</v>
      </c>
      <c r="E601" s="219" t="b">
        <v>0</v>
      </c>
      <c r="F601" s="219"/>
      <c r="G601" s="173"/>
      <c r="H601" s="157" t="s">
        <v>5886</v>
      </c>
      <c r="I601" s="157" t="s">
        <v>6004</v>
      </c>
      <c r="J601" s="157">
        <v>2025.0</v>
      </c>
    </row>
    <row r="602">
      <c r="A602" s="218">
        <f t="shared" si="2"/>
        <v>599</v>
      </c>
      <c r="B602" s="218" t="s">
        <v>202</v>
      </c>
      <c r="C602" s="236" t="str">
        <f t="shared" si="1"/>
        <v>KB/0922/2025</v>
      </c>
      <c r="D602" s="218" t="b">
        <v>1</v>
      </c>
      <c r="E602" s="219" t="b">
        <v>0</v>
      </c>
      <c r="F602" s="219"/>
      <c r="G602" s="173"/>
      <c r="H602" s="157" t="s">
        <v>5886</v>
      </c>
      <c r="I602" s="157" t="s">
        <v>6006</v>
      </c>
      <c r="J602" s="157">
        <v>2025.0</v>
      </c>
    </row>
    <row r="603">
      <c r="A603" s="218">
        <f t="shared" si="2"/>
        <v>600</v>
      </c>
      <c r="B603" s="218" t="s">
        <v>202</v>
      </c>
      <c r="C603" s="236" t="str">
        <f t="shared" si="1"/>
        <v>KB/0923/2025</v>
      </c>
      <c r="D603" s="218" t="b">
        <v>1</v>
      </c>
      <c r="E603" s="219" t="b">
        <v>0</v>
      </c>
      <c r="F603" s="219"/>
      <c r="G603" s="173"/>
      <c r="H603" s="157" t="s">
        <v>5886</v>
      </c>
      <c r="I603" s="157" t="s">
        <v>6007</v>
      </c>
      <c r="J603" s="157">
        <v>2025.0</v>
      </c>
    </row>
    <row r="604">
      <c r="A604" s="218">
        <f t="shared" si="2"/>
        <v>601</v>
      </c>
      <c r="B604" s="218" t="s">
        <v>202</v>
      </c>
      <c r="C604" s="236" t="str">
        <f t="shared" si="1"/>
        <v>KB/0924/2025</v>
      </c>
      <c r="D604" s="218" t="b">
        <v>1</v>
      </c>
      <c r="E604" s="219" t="b">
        <v>0</v>
      </c>
      <c r="F604" s="219"/>
      <c r="G604" s="173"/>
      <c r="H604" s="157" t="s">
        <v>5886</v>
      </c>
      <c r="I604" s="157" t="s">
        <v>6010</v>
      </c>
      <c r="J604" s="157">
        <v>2025.0</v>
      </c>
    </row>
    <row r="605">
      <c r="A605" s="218">
        <f t="shared" si="2"/>
        <v>602</v>
      </c>
      <c r="B605" s="218" t="s">
        <v>202</v>
      </c>
      <c r="C605" s="236" t="str">
        <f t="shared" si="1"/>
        <v>KB/0925/2025</v>
      </c>
      <c r="D605" s="218" t="b">
        <v>1</v>
      </c>
      <c r="E605" s="219" t="b">
        <v>0</v>
      </c>
      <c r="F605" s="219"/>
      <c r="G605" s="173"/>
      <c r="H605" s="157" t="s">
        <v>5886</v>
      </c>
      <c r="I605" s="157" t="s">
        <v>6012</v>
      </c>
      <c r="J605" s="157">
        <v>2025.0</v>
      </c>
    </row>
    <row r="606">
      <c r="A606" s="218">
        <f t="shared" si="2"/>
        <v>603</v>
      </c>
      <c r="B606" s="218" t="s">
        <v>202</v>
      </c>
      <c r="C606" s="236" t="str">
        <f t="shared" si="1"/>
        <v>KB/0926/2025</v>
      </c>
      <c r="D606" s="218" t="b">
        <v>1</v>
      </c>
      <c r="E606" s="219" t="b">
        <v>0</v>
      </c>
      <c r="F606" s="219"/>
      <c r="G606" s="173"/>
      <c r="H606" s="157" t="s">
        <v>5886</v>
      </c>
      <c r="I606" s="157" t="s">
        <v>6015</v>
      </c>
      <c r="J606" s="157">
        <v>2025.0</v>
      </c>
    </row>
    <row r="607">
      <c r="A607" s="218">
        <f t="shared" si="2"/>
        <v>604</v>
      </c>
      <c r="B607" s="218" t="s">
        <v>202</v>
      </c>
      <c r="C607" s="236" t="str">
        <f t="shared" si="1"/>
        <v>KB/0927/2025</v>
      </c>
      <c r="D607" s="218" t="b">
        <v>1</v>
      </c>
      <c r="E607" s="219" t="b">
        <v>0</v>
      </c>
      <c r="F607" s="219"/>
      <c r="G607" s="173"/>
      <c r="H607" s="157" t="s">
        <v>5886</v>
      </c>
      <c r="I607" s="157" t="s">
        <v>6018</v>
      </c>
      <c r="J607" s="157">
        <v>2025.0</v>
      </c>
    </row>
    <row r="608">
      <c r="A608" s="218">
        <f t="shared" si="2"/>
        <v>605</v>
      </c>
      <c r="B608" s="218" t="s">
        <v>202</v>
      </c>
      <c r="C608" s="236" t="str">
        <f t="shared" si="1"/>
        <v>KB/0928/2025</v>
      </c>
      <c r="D608" s="218" t="b">
        <v>1</v>
      </c>
      <c r="E608" s="219" t="b">
        <v>0</v>
      </c>
      <c r="F608" s="219"/>
      <c r="G608" s="173"/>
      <c r="H608" s="157" t="s">
        <v>5886</v>
      </c>
      <c r="I608" s="157" t="s">
        <v>6020</v>
      </c>
      <c r="J608" s="157">
        <v>2025.0</v>
      </c>
    </row>
    <row r="609">
      <c r="A609" s="218">
        <f t="shared" si="2"/>
        <v>606</v>
      </c>
      <c r="B609" s="218" t="s">
        <v>202</v>
      </c>
      <c r="C609" s="236" t="str">
        <f t="shared" si="1"/>
        <v>KB/0929/2025</v>
      </c>
      <c r="D609" s="218" t="b">
        <v>1</v>
      </c>
      <c r="E609" s="219" t="b">
        <v>0</v>
      </c>
      <c r="F609" s="219"/>
      <c r="G609" s="173"/>
      <c r="H609" s="157" t="s">
        <v>5886</v>
      </c>
      <c r="I609" s="157" t="s">
        <v>6022</v>
      </c>
      <c r="J609" s="157">
        <v>2025.0</v>
      </c>
    </row>
    <row r="610">
      <c r="A610" s="218">
        <f t="shared" si="2"/>
        <v>607</v>
      </c>
      <c r="B610" s="218" t="s">
        <v>202</v>
      </c>
      <c r="C610" s="236" t="str">
        <f t="shared" si="1"/>
        <v>KB/0930/2025</v>
      </c>
      <c r="D610" s="218" t="b">
        <v>1</v>
      </c>
      <c r="E610" s="219" t="b">
        <v>0</v>
      </c>
      <c r="F610" s="219"/>
      <c r="G610" s="173"/>
      <c r="H610" s="157" t="s">
        <v>5886</v>
      </c>
      <c r="I610" s="157" t="s">
        <v>6023</v>
      </c>
      <c r="J610" s="157">
        <v>2025.0</v>
      </c>
    </row>
    <row r="611">
      <c r="A611" s="218">
        <f t="shared" si="2"/>
        <v>608</v>
      </c>
      <c r="B611" s="218" t="s">
        <v>202</v>
      </c>
      <c r="C611" s="236" t="str">
        <f t="shared" si="1"/>
        <v>KB/0931/2025</v>
      </c>
      <c r="D611" s="218" t="b">
        <v>1</v>
      </c>
      <c r="E611" s="219" t="b">
        <v>0</v>
      </c>
      <c r="F611" s="219"/>
      <c r="G611" s="173"/>
      <c r="H611" s="157" t="s">
        <v>5886</v>
      </c>
      <c r="I611" s="157" t="s">
        <v>6024</v>
      </c>
      <c r="J611" s="157">
        <v>2025.0</v>
      </c>
    </row>
    <row r="612">
      <c r="A612" s="218">
        <f t="shared" si="2"/>
        <v>609</v>
      </c>
      <c r="B612" s="218" t="s">
        <v>202</v>
      </c>
      <c r="C612" s="236" t="str">
        <f t="shared" si="1"/>
        <v>KB/0932/2025</v>
      </c>
      <c r="D612" s="218" t="b">
        <v>1</v>
      </c>
      <c r="E612" s="219" t="b">
        <v>0</v>
      </c>
      <c r="F612" s="219"/>
      <c r="G612" s="173"/>
      <c r="H612" s="157" t="s">
        <v>5886</v>
      </c>
      <c r="I612" s="157" t="s">
        <v>6025</v>
      </c>
      <c r="J612" s="157">
        <v>2025.0</v>
      </c>
    </row>
    <row r="613">
      <c r="A613" s="218">
        <f t="shared" si="2"/>
        <v>610</v>
      </c>
      <c r="B613" s="218" t="s">
        <v>202</v>
      </c>
      <c r="C613" s="236" t="str">
        <f t="shared" si="1"/>
        <v>KB/0933/2025</v>
      </c>
      <c r="D613" s="218" t="b">
        <v>1</v>
      </c>
      <c r="E613" s="219" t="b">
        <v>0</v>
      </c>
      <c r="F613" s="219"/>
      <c r="G613" s="173"/>
      <c r="H613" s="157" t="s">
        <v>5886</v>
      </c>
      <c r="I613" s="157" t="s">
        <v>6026</v>
      </c>
      <c r="J613" s="157">
        <v>2025.0</v>
      </c>
    </row>
    <row r="614">
      <c r="A614" s="218">
        <f t="shared" si="2"/>
        <v>611</v>
      </c>
      <c r="B614" s="218" t="s">
        <v>202</v>
      </c>
      <c r="C614" s="236" t="str">
        <f t="shared" si="1"/>
        <v>KB/0934/2025</v>
      </c>
      <c r="D614" s="218" t="b">
        <v>1</v>
      </c>
      <c r="E614" s="219" t="b">
        <v>0</v>
      </c>
      <c r="F614" s="219"/>
      <c r="G614" s="173"/>
      <c r="H614" s="157" t="s">
        <v>5886</v>
      </c>
      <c r="I614" s="157" t="s">
        <v>6027</v>
      </c>
      <c r="J614" s="157">
        <v>2025.0</v>
      </c>
    </row>
    <row r="615">
      <c r="A615" s="218">
        <f t="shared" si="2"/>
        <v>612</v>
      </c>
      <c r="B615" s="218" t="s">
        <v>202</v>
      </c>
      <c r="C615" s="236" t="str">
        <f t="shared" si="1"/>
        <v>KB/0935/2025</v>
      </c>
      <c r="D615" s="218" t="b">
        <v>1</v>
      </c>
      <c r="E615" s="219" t="b">
        <v>0</v>
      </c>
      <c r="F615" s="219"/>
      <c r="G615" s="173"/>
      <c r="H615" s="157" t="s">
        <v>5886</v>
      </c>
      <c r="I615" s="157" t="s">
        <v>6028</v>
      </c>
      <c r="J615" s="157">
        <v>2025.0</v>
      </c>
    </row>
    <row r="616">
      <c r="A616" s="218">
        <f t="shared" si="2"/>
        <v>613</v>
      </c>
      <c r="B616" s="218" t="s">
        <v>202</v>
      </c>
      <c r="C616" s="236" t="str">
        <f t="shared" si="1"/>
        <v>KB/0936/2025</v>
      </c>
      <c r="D616" s="218" t="b">
        <v>1</v>
      </c>
      <c r="E616" s="219" t="b">
        <v>0</v>
      </c>
      <c r="F616" s="219"/>
      <c r="G616" s="173"/>
      <c r="H616" s="157" t="s">
        <v>5886</v>
      </c>
      <c r="I616" s="157" t="s">
        <v>6029</v>
      </c>
      <c r="J616" s="157">
        <v>2025.0</v>
      </c>
    </row>
    <row r="617">
      <c r="A617" s="218">
        <f t="shared" si="2"/>
        <v>614</v>
      </c>
      <c r="B617" s="218" t="s">
        <v>202</v>
      </c>
      <c r="C617" s="236" t="str">
        <f t="shared" si="1"/>
        <v>KB/0937/2025</v>
      </c>
      <c r="D617" s="218" t="b">
        <v>1</v>
      </c>
      <c r="E617" s="219" t="b">
        <v>0</v>
      </c>
      <c r="F617" s="219"/>
      <c r="G617" s="173"/>
      <c r="H617" s="157" t="s">
        <v>5886</v>
      </c>
      <c r="I617" s="157" t="s">
        <v>6030</v>
      </c>
      <c r="J617" s="157">
        <v>2025.0</v>
      </c>
    </row>
    <row r="618">
      <c r="A618" s="218">
        <f t="shared" si="2"/>
        <v>615</v>
      </c>
      <c r="B618" s="218" t="s">
        <v>202</v>
      </c>
      <c r="C618" s="236" t="str">
        <f t="shared" si="1"/>
        <v>KB/0938/2025</v>
      </c>
      <c r="D618" s="218" t="b">
        <v>1</v>
      </c>
      <c r="E618" s="219" t="b">
        <v>0</v>
      </c>
      <c r="F618" s="219"/>
      <c r="G618" s="173"/>
      <c r="H618" s="157" t="s">
        <v>5886</v>
      </c>
      <c r="I618" s="157" t="s">
        <v>6031</v>
      </c>
      <c r="J618" s="157">
        <v>2025.0</v>
      </c>
    </row>
    <row r="619">
      <c r="A619" s="218">
        <f t="shared" si="2"/>
        <v>616</v>
      </c>
      <c r="B619" s="218" t="s">
        <v>202</v>
      </c>
      <c r="C619" s="236" t="str">
        <f t="shared" si="1"/>
        <v>KB/0939/2025</v>
      </c>
      <c r="D619" s="218" t="b">
        <v>1</v>
      </c>
      <c r="E619" s="219" t="b">
        <v>0</v>
      </c>
      <c r="F619" s="219"/>
      <c r="G619" s="173"/>
      <c r="H619" s="157" t="s">
        <v>5886</v>
      </c>
      <c r="I619" s="157" t="s">
        <v>6032</v>
      </c>
      <c r="J619" s="157">
        <v>2025.0</v>
      </c>
    </row>
    <row r="620">
      <c r="A620" s="218">
        <f t="shared" si="2"/>
        <v>617</v>
      </c>
      <c r="B620" s="218" t="s">
        <v>202</v>
      </c>
      <c r="C620" s="236" t="str">
        <f t="shared" si="1"/>
        <v>KB/0940/2025</v>
      </c>
      <c r="D620" s="218" t="b">
        <v>1</v>
      </c>
      <c r="E620" s="219" t="b">
        <v>0</v>
      </c>
      <c r="F620" s="219"/>
      <c r="G620" s="173"/>
      <c r="H620" s="157" t="s">
        <v>5886</v>
      </c>
      <c r="I620" s="157" t="s">
        <v>6033</v>
      </c>
      <c r="J620" s="157">
        <v>2025.0</v>
      </c>
    </row>
    <row r="621">
      <c r="A621" s="218">
        <f t="shared" si="2"/>
        <v>618</v>
      </c>
      <c r="B621" s="218" t="s">
        <v>202</v>
      </c>
      <c r="C621" s="236" t="str">
        <f t="shared" si="1"/>
        <v>KB/0941/2025</v>
      </c>
      <c r="D621" s="218" t="b">
        <v>1</v>
      </c>
      <c r="E621" s="219" t="b">
        <v>0</v>
      </c>
      <c r="F621" s="219"/>
      <c r="G621" s="173"/>
      <c r="H621" s="157" t="s">
        <v>5886</v>
      </c>
      <c r="I621" s="157" t="s">
        <v>6034</v>
      </c>
      <c r="J621" s="157">
        <v>2025.0</v>
      </c>
    </row>
    <row r="622">
      <c r="A622" s="218">
        <f t="shared" si="2"/>
        <v>619</v>
      </c>
      <c r="B622" s="218" t="s">
        <v>202</v>
      </c>
      <c r="C622" s="236" t="str">
        <f t="shared" si="1"/>
        <v>KB/0942/2025</v>
      </c>
      <c r="D622" s="218" t="b">
        <v>1</v>
      </c>
      <c r="E622" s="219" t="b">
        <v>0</v>
      </c>
      <c r="F622" s="219"/>
      <c r="G622" s="173"/>
      <c r="H622" s="157" t="s">
        <v>5886</v>
      </c>
      <c r="I622" s="157" t="s">
        <v>6035</v>
      </c>
      <c r="J622" s="157">
        <v>2025.0</v>
      </c>
    </row>
    <row r="623">
      <c r="A623" s="218">
        <f t="shared" si="2"/>
        <v>620</v>
      </c>
      <c r="B623" s="218" t="s">
        <v>202</v>
      </c>
      <c r="C623" s="236" t="str">
        <f t="shared" si="1"/>
        <v>KB/0943/2025</v>
      </c>
      <c r="D623" s="218" t="b">
        <v>1</v>
      </c>
      <c r="E623" s="219" t="b">
        <v>0</v>
      </c>
      <c r="F623" s="219"/>
      <c r="G623" s="173"/>
      <c r="H623" s="157" t="s">
        <v>5886</v>
      </c>
      <c r="I623" s="157" t="s">
        <v>6036</v>
      </c>
      <c r="J623" s="157">
        <v>2025.0</v>
      </c>
    </row>
    <row r="624">
      <c r="A624" s="218">
        <f t="shared" si="2"/>
        <v>621</v>
      </c>
      <c r="B624" s="218" t="s">
        <v>202</v>
      </c>
      <c r="C624" s="236" t="str">
        <f t="shared" si="1"/>
        <v>KB/0944/2025</v>
      </c>
      <c r="D624" s="218" t="b">
        <v>1</v>
      </c>
      <c r="E624" s="219" t="b">
        <v>0</v>
      </c>
      <c r="F624" s="219"/>
      <c r="G624" s="173"/>
      <c r="H624" s="157" t="s">
        <v>5886</v>
      </c>
      <c r="I624" s="157" t="s">
        <v>6037</v>
      </c>
      <c r="J624" s="157">
        <v>2025.0</v>
      </c>
    </row>
    <row r="625">
      <c r="A625" s="218">
        <f t="shared" si="2"/>
        <v>622</v>
      </c>
      <c r="B625" s="218" t="s">
        <v>202</v>
      </c>
      <c r="C625" s="236" t="str">
        <f t="shared" si="1"/>
        <v>KB/0945/2025</v>
      </c>
      <c r="D625" s="218" t="b">
        <v>1</v>
      </c>
      <c r="E625" s="219" t="b">
        <v>0</v>
      </c>
      <c r="F625" s="219"/>
      <c r="G625" s="173"/>
      <c r="H625" s="157" t="s">
        <v>5886</v>
      </c>
      <c r="I625" s="157" t="s">
        <v>6038</v>
      </c>
      <c r="J625" s="157">
        <v>2025.0</v>
      </c>
    </row>
    <row r="626">
      <c r="A626" s="218">
        <f t="shared" si="2"/>
        <v>623</v>
      </c>
      <c r="B626" s="218" t="s">
        <v>202</v>
      </c>
      <c r="C626" s="236" t="str">
        <f t="shared" si="1"/>
        <v>KB/0946/2025</v>
      </c>
      <c r="D626" s="218" t="b">
        <v>1</v>
      </c>
      <c r="E626" s="219" t="b">
        <v>0</v>
      </c>
      <c r="F626" s="219"/>
      <c r="G626" s="173"/>
      <c r="H626" s="157" t="s">
        <v>5886</v>
      </c>
      <c r="I626" s="157" t="s">
        <v>6039</v>
      </c>
      <c r="J626" s="157">
        <v>2025.0</v>
      </c>
    </row>
    <row r="627">
      <c r="A627" s="218">
        <f t="shared" si="2"/>
        <v>624</v>
      </c>
      <c r="B627" s="218" t="s">
        <v>202</v>
      </c>
      <c r="C627" s="236" t="str">
        <f t="shared" si="1"/>
        <v>KB/0947/2025</v>
      </c>
      <c r="D627" s="218" t="b">
        <v>1</v>
      </c>
      <c r="E627" s="219" t="b">
        <v>0</v>
      </c>
      <c r="F627" s="219"/>
      <c r="G627" s="173"/>
      <c r="H627" s="157" t="s">
        <v>5886</v>
      </c>
      <c r="I627" s="157" t="s">
        <v>6040</v>
      </c>
      <c r="J627" s="157">
        <v>2025.0</v>
      </c>
    </row>
    <row r="628">
      <c r="A628" s="218">
        <f t="shared" si="2"/>
        <v>625</v>
      </c>
      <c r="B628" s="218" t="s">
        <v>202</v>
      </c>
      <c r="C628" s="236" t="str">
        <f t="shared" si="1"/>
        <v>KB/0948/2025</v>
      </c>
      <c r="D628" s="218" t="b">
        <v>1</v>
      </c>
      <c r="E628" s="219" t="b">
        <v>0</v>
      </c>
      <c r="F628" s="219"/>
      <c r="G628" s="173"/>
      <c r="H628" s="157" t="s">
        <v>5886</v>
      </c>
      <c r="I628" s="157" t="s">
        <v>6041</v>
      </c>
      <c r="J628" s="157">
        <v>2025.0</v>
      </c>
    </row>
    <row r="629">
      <c r="A629" s="218">
        <f t="shared" si="2"/>
        <v>626</v>
      </c>
      <c r="B629" s="218" t="s">
        <v>202</v>
      </c>
      <c r="C629" s="236" t="str">
        <f t="shared" si="1"/>
        <v>KB/0949/2025</v>
      </c>
      <c r="D629" s="218" t="b">
        <v>1</v>
      </c>
      <c r="E629" s="219" t="b">
        <v>0</v>
      </c>
      <c r="F629" s="219"/>
      <c r="G629" s="173"/>
      <c r="H629" s="157" t="s">
        <v>5886</v>
      </c>
      <c r="I629" s="157" t="s">
        <v>6042</v>
      </c>
      <c r="J629" s="157">
        <v>2025.0</v>
      </c>
    </row>
    <row r="630">
      <c r="A630" s="218">
        <f t="shared" si="2"/>
        <v>627</v>
      </c>
      <c r="B630" s="218" t="s">
        <v>202</v>
      </c>
      <c r="C630" s="236" t="str">
        <f t="shared" si="1"/>
        <v>KB/0950/2025</v>
      </c>
      <c r="D630" s="218" t="b">
        <v>1</v>
      </c>
      <c r="E630" s="219" t="b">
        <v>0</v>
      </c>
      <c r="F630" s="219"/>
      <c r="G630" s="173"/>
      <c r="H630" s="157" t="s">
        <v>5886</v>
      </c>
      <c r="I630" s="157" t="s">
        <v>6043</v>
      </c>
      <c r="J630" s="157">
        <v>2025.0</v>
      </c>
    </row>
    <row r="631">
      <c r="A631" s="218">
        <f t="shared" si="2"/>
        <v>628</v>
      </c>
      <c r="B631" s="218" t="s">
        <v>202</v>
      </c>
      <c r="C631" s="236" t="str">
        <f t="shared" si="1"/>
        <v>KB/0951/2025</v>
      </c>
      <c r="D631" s="218" t="b">
        <v>1</v>
      </c>
      <c r="E631" s="219" t="b">
        <v>0</v>
      </c>
      <c r="F631" s="219"/>
      <c r="G631" s="173"/>
      <c r="H631" s="157" t="s">
        <v>5886</v>
      </c>
      <c r="I631" s="157" t="s">
        <v>6044</v>
      </c>
      <c r="J631" s="157">
        <v>2025.0</v>
      </c>
    </row>
    <row r="632">
      <c r="A632" s="218">
        <f t="shared" si="2"/>
        <v>629</v>
      </c>
      <c r="B632" s="218" t="s">
        <v>202</v>
      </c>
      <c r="C632" s="236" t="str">
        <f t="shared" si="1"/>
        <v>KB/0952/2025</v>
      </c>
      <c r="D632" s="218" t="b">
        <v>1</v>
      </c>
      <c r="E632" s="219" t="b">
        <v>0</v>
      </c>
      <c r="F632" s="219"/>
      <c r="G632" s="173"/>
      <c r="H632" s="157" t="s">
        <v>5886</v>
      </c>
      <c r="I632" s="157" t="s">
        <v>6045</v>
      </c>
      <c r="J632" s="157">
        <v>2025.0</v>
      </c>
    </row>
    <row r="633">
      <c r="A633" s="218">
        <f t="shared" si="2"/>
        <v>630</v>
      </c>
      <c r="B633" s="218" t="s">
        <v>202</v>
      </c>
      <c r="C633" s="236" t="str">
        <f t="shared" si="1"/>
        <v>KB/0953/2025</v>
      </c>
      <c r="D633" s="218" t="b">
        <v>1</v>
      </c>
      <c r="E633" s="219" t="b">
        <v>0</v>
      </c>
      <c r="F633" s="219"/>
      <c r="G633" s="173"/>
      <c r="H633" s="157" t="s">
        <v>5886</v>
      </c>
      <c r="I633" s="157" t="s">
        <v>6047</v>
      </c>
      <c r="J633" s="157">
        <v>2025.0</v>
      </c>
    </row>
    <row r="634">
      <c r="A634" s="218">
        <f t="shared" si="2"/>
        <v>631</v>
      </c>
      <c r="B634" s="218" t="s">
        <v>202</v>
      </c>
      <c r="C634" s="236" t="str">
        <f t="shared" si="1"/>
        <v>KB/0954/2025</v>
      </c>
      <c r="D634" s="218" t="b">
        <v>1</v>
      </c>
      <c r="E634" s="219" t="b">
        <v>0</v>
      </c>
      <c r="F634" s="219"/>
      <c r="G634" s="173"/>
      <c r="H634" s="157" t="s">
        <v>5886</v>
      </c>
      <c r="I634" s="157" t="s">
        <v>6049</v>
      </c>
      <c r="J634" s="157">
        <v>2025.0</v>
      </c>
    </row>
    <row r="635">
      <c r="A635" s="218">
        <f t="shared" si="2"/>
        <v>632</v>
      </c>
      <c r="B635" s="218" t="s">
        <v>202</v>
      </c>
      <c r="C635" s="236" t="str">
        <f t="shared" si="1"/>
        <v>KB/0955/2025</v>
      </c>
      <c r="D635" s="218" t="b">
        <v>1</v>
      </c>
      <c r="E635" s="219" t="b">
        <v>0</v>
      </c>
      <c r="F635" s="219"/>
      <c r="G635" s="173"/>
      <c r="H635" s="157" t="s">
        <v>5886</v>
      </c>
      <c r="I635" s="157" t="s">
        <v>6050</v>
      </c>
      <c r="J635" s="157">
        <v>2025.0</v>
      </c>
    </row>
    <row r="636">
      <c r="A636" s="218">
        <f t="shared" si="2"/>
        <v>633</v>
      </c>
      <c r="B636" s="218" t="s">
        <v>202</v>
      </c>
      <c r="C636" s="236" t="str">
        <f t="shared" si="1"/>
        <v>KB/0956/2025</v>
      </c>
      <c r="D636" s="218" t="b">
        <v>1</v>
      </c>
      <c r="E636" s="219" t="b">
        <v>0</v>
      </c>
      <c r="F636" s="219"/>
      <c r="G636" s="173"/>
      <c r="H636" s="157" t="s">
        <v>5886</v>
      </c>
      <c r="I636" s="157" t="s">
        <v>6051</v>
      </c>
      <c r="J636" s="157">
        <v>2025.0</v>
      </c>
    </row>
    <row r="637">
      <c r="A637" s="218">
        <f t="shared" si="2"/>
        <v>634</v>
      </c>
      <c r="B637" s="218" t="s">
        <v>202</v>
      </c>
      <c r="C637" s="236" t="str">
        <f t="shared" si="1"/>
        <v>KB/0957/2025</v>
      </c>
      <c r="D637" s="218" t="b">
        <v>1</v>
      </c>
      <c r="E637" s="219" t="b">
        <v>0</v>
      </c>
      <c r="F637" s="219"/>
      <c r="G637" s="173"/>
      <c r="H637" s="157" t="s">
        <v>5886</v>
      </c>
      <c r="I637" s="157" t="s">
        <v>6052</v>
      </c>
      <c r="J637" s="157">
        <v>2025.0</v>
      </c>
    </row>
    <row r="638">
      <c r="A638" s="218">
        <f t="shared" si="2"/>
        <v>635</v>
      </c>
      <c r="B638" s="218" t="s">
        <v>202</v>
      </c>
      <c r="C638" s="236" t="str">
        <f t="shared" si="1"/>
        <v>KB/0958/2025</v>
      </c>
      <c r="D638" s="218" t="b">
        <v>1</v>
      </c>
      <c r="E638" s="219" t="b">
        <v>0</v>
      </c>
      <c r="F638" s="219"/>
      <c r="G638" s="173"/>
      <c r="H638" s="157" t="s">
        <v>5886</v>
      </c>
      <c r="I638" s="157" t="s">
        <v>6053</v>
      </c>
      <c r="J638" s="157">
        <v>2025.0</v>
      </c>
    </row>
    <row r="639">
      <c r="A639" s="218">
        <f t="shared" si="2"/>
        <v>636</v>
      </c>
      <c r="B639" s="218" t="s">
        <v>202</v>
      </c>
      <c r="C639" s="236" t="str">
        <f t="shared" si="1"/>
        <v>KB/0959/2025</v>
      </c>
      <c r="D639" s="218" t="b">
        <v>1</v>
      </c>
      <c r="E639" s="219" t="b">
        <v>0</v>
      </c>
      <c r="F639" s="219"/>
      <c r="G639" s="173"/>
      <c r="H639" s="157" t="s">
        <v>5886</v>
      </c>
      <c r="I639" s="157" t="s">
        <v>6054</v>
      </c>
      <c r="J639" s="157">
        <v>2025.0</v>
      </c>
    </row>
    <row r="640">
      <c r="A640" s="218">
        <f t="shared" si="2"/>
        <v>637</v>
      </c>
      <c r="B640" s="218" t="s">
        <v>202</v>
      </c>
      <c r="C640" s="236" t="str">
        <f t="shared" si="1"/>
        <v>KB/0960/2025</v>
      </c>
      <c r="D640" s="218" t="b">
        <v>1</v>
      </c>
      <c r="E640" s="219" t="b">
        <v>0</v>
      </c>
      <c r="F640" s="219"/>
      <c r="G640" s="173"/>
      <c r="H640" s="157" t="s">
        <v>5886</v>
      </c>
      <c r="I640" s="157" t="s">
        <v>6055</v>
      </c>
      <c r="J640" s="157">
        <v>2025.0</v>
      </c>
    </row>
    <row r="641">
      <c r="A641" s="218">
        <f t="shared" si="2"/>
        <v>638</v>
      </c>
      <c r="B641" s="218" t="s">
        <v>202</v>
      </c>
      <c r="C641" s="236" t="str">
        <f t="shared" si="1"/>
        <v>KB/0961/2025</v>
      </c>
      <c r="D641" s="218" t="b">
        <v>1</v>
      </c>
      <c r="E641" s="219" t="b">
        <v>0</v>
      </c>
      <c r="F641" s="219"/>
      <c r="G641" s="173"/>
      <c r="H641" s="157" t="s">
        <v>5886</v>
      </c>
      <c r="I641" s="157" t="s">
        <v>6056</v>
      </c>
      <c r="J641" s="157">
        <v>2025.0</v>
      </c>
    </row>
    <row r="642">
      <c r="A642" s="218">
        <f t="shared" si="2"/>
        <v>639</v>
      </c>
      <c r="B642" s="218" t="s">
        <v>202</v>
      </c>
      <c r="C642" s="236" t="str">
        <f t="shared" si="1"/>
        <v>KB/0962/2025</v>
      </c>
      <c r="D642" s="218" t="b">
        <v>1</v>
      </c>
      <c r="E642" s="219" t="b">
        <v>0</v>
      </c>
      <c r="F642" s="219"/>
      <c r="G642" s="173"/>
      <c r="H642" s="157" t="s">
        <v>5886</v>
      </c>
      <c r="I642" s="157" t="s">
        <v>6057</v>
      </c>
      <c r="J642" s="157">
        <v>2025.0</v>
      </c>
    </row>
    <row r="643">
      <c r="A643" s="218">
        <f t="shared" si="2"/>
        <v>640</v>
      </c>
      <c r="B643" s="218" t="s">
        <v>202</v>
      </c>
      <c r="C643" s="236" t="str">
        <f t="shared" si="1"/>
        <v>KB/0963/2025</v>
      </c>
      <c r="D643" s="218" t="b">
        <v>1</v>
      </c>
      <c r="E643" s="219" t="b">
        <v>0</v>
      </c>
      <c r="F643" s="219"/>
      <c r="G643" s="173"/>
      <c r="H643" s="157" t="s">
        <v>5886</v>
      </c>
      <c r="I643" s="157" t="s">
        <v>6058</v>
      </c>
      <c r="J643" s="157">
        <v>2025.0</v>
      </c>
    </row>
    <row r="644">
      <c r="A644" s="218">
        <f t="shared" si="2"/>
        <v>641</v>
      </c>
      <c r="B644" s="218" t="s">
        <v>202</v>
      </c>
      <c r="C644" s="236" t="str">
        <f t="shared" si="1"/>
        <v>KB/0964/2025</v>
      </c>
      <c r="D644" s="218" t="b">
        <v>1</v>
      </c>
      <c r="E644" s="219" t="b">
        <v>0</v>
      </c>
      <c r="F644" s="219"/>
      <c r="G644" s="173"/>
      <c r="H644" s="157" t="s">
        <v>5886</v>
      </c>
      <c r="I644" s="157" t="s">
        <v>6059</v>
      </c>
      <c r="J644" s="157">
        <v>2025.0</v>
      </c>
    </row>
    <row r="645">
      <c r="A645" s="218">
        <f t="shared" si="2"/>
        <v>642</v>
      </c>
      <c r="B645" s="218" t="s">
        <v>202</v>
      </c>
      <c r="C645" s="236" t="str">
        <f t="shared" si="1"/>
        <v>KB/0965/2025</v>
      </c>
      <c r="D645" s="218" t="b">
        <v>1</v>
      </c>
      <c r="E645" s="219" t="b">
        <v>0</v>
      </c>
      <c r="F645" s="219"/>
      <c r="G645" s="173"/>
      <c r="H645" s="157" t="s">
        <v>5886</v>
      </c>
      <c r="I645" s="157" t="s">
        <v>6060</v>
      </c>
      <c r="J645" s="157">
        <v>2025.0</v>
      </c>
    </row>
    <row r="646">
      <c r="A646" s="218">
        <f t="shared" si="2"/>
        <v>643</v>
      </c>
      <c r="B646" s="218" t="s">
        <v>202</v>
      </c>
      <c r="C646" s="236" t="str">
        <f t="shared" si="1"/>
        <v>KB/0966/2025</v>
      </c>
      <c r="D646" s="218" t="b">
        <v>1</v>
      </c>
      <c r="E646" s="219" t="b">
        <v>0</v>
      </c>
      <c r="F646" s="219"/>
      <c r="G646" s="173"/>
      <c r="H646" s="157" t="s">
        <v>5886</v>
      </c>
      <c r="I646" s="157" t="s">
        <v>6062</v>
      </c>
      <c r="J646" s="157">
        <v>2025.0</v>
      </c>
    </row>
    <row r="647">
      <c r="A647" s="218">
        <f t="shared" si="2"/>
        <v>644</v>
      </c>
      <c r="B647" s="218" t="s">
        <v>202</v>
      </c>
      <c r="C647" s="236" t="str">
        <f t="shared" si="1"/>
        <v>KB/0967/2025</v>
      </c>
      <c r="D647" s="218" t="b">
        <v>1</v>
      </c>
      <c r="E647" s="219" t="b">
        <v>0</v>
      </c>
      <c r="F647" s="219"/>
      <c r="G647" s="173"/>
      <c r="H647" s="157" t="s">
        <v>5886</v>
      </c>
      <c r="I647" s="157" t="s">
        <v>6063</v>
      </c>
      <c r="J647" s="157">
        <v>2025.0</v>
      </c>
    </row>
    <row r="648">
      <c r="A648" s="218">
        <f t="shared" si="2"/>
        <v>645</v>
      </c>
      <c r="B648" s="218" t="s">
        <v>202</v>
      </c>
      <c r="C648" s="236" t="str">
        <f t="shared" si="1"/>
        <v>KB/0968/2025</v>
      </c>
      <c r="D648" s="218" t="b">
        <v>1</v>
      </c>
      <c r="E648" s="219" t="b">
        <v>0</v>
      </c>
      <c r="F648" s="219"/>
      <c r="G648" s="173"/>
      <c r="H648" s="157" t="s">
        <v>5886</v>
      </c>
      <c r="I648" s="157" t="s">
        <v>6064</v>
      </c>
      <c r="J648" s="157">
        <v>2025.0</v>
      </c>
    </row>
    <row r="649">
      <c r="A649" s="218">
        <f t="shared" si="2"/>
        <v>646</v>
      </c>
      <c r="B649" s="218" t="s">
        <v>202</v>
      </c>
      <c r="C649" s="236" t="str">
        <f t="shared" si="1"/>
        <v>KB/0969/2025</v>
      </c>
      <c r="D649" s="218" t="b">
        <v>1</v>
      </c>
      <c r="E649" s="219" t="b">
        <v>0</v>
      </c>
      <c r="F649" s="219"/>
      <c r="G649" s="173"/>
      <c r="H649" s="157" t="s">
        <v>5886</v>
      </c>
      <c r="I649" s="157" t="s">
        <v>6065</v>
      </c>
      <c r="J649" s="157">
        <v>2025.0</v>
      </c>
    </row>
    <row r="650">
      <c r="A650" s="218">
        <f t="shared" si="2"/>
        <v>647</v>
      </c>
      <c r="B650" s="218" t="s">
        <v>202</v>
      </c>
      <c r="C650" s="236" t="str">
        <f t="shared" si="1"/>
        <v>KB/0970/2025</v>
      </c>
      <c r="D650" s="218" t="b">
        <v>1</v>
      </c>
      <c r="E650" s="219" t="b">
        <v>0</v>
      </c>
      <c r="F650" s="219"/>
      <c r="G650" s="173"/>
      <c r="H650" s="157" t="s">
        <v>5886</v>
      </c>
      <c r="I650" s="157" t="s">
        <v>6066</v>
      </c>
      <c r="J650" s="157">
        <v>2025.0</v>
      </c>
    </row>
    <row r="651">
      <c r="A651" s="218">
        <f t="shared" si="2"/>
        <v>648</v>
      </c>
      <c r="B651" s="218" t="s">
        <v>202</v>
      </c>
      <c r="C651" s="236" t="str">
        <f t="shared" si="1"/>
        <v>KB/0971/2025</v>
      </c>
      <c r="D651" s="218" t="b">
        <v>1</v>
      </c>
      <c r="E651" s="219" t="b">
        <v>0</v>
      </c>
      <c r="F651" s="219"/>
      <c r="G651" s="173"/>
      <c r="H651" s="157" t="s">
        <v>5886</v>
      </c>
      <c r="I651" s="157" t="s">
        <v>6067</v>
      </c>
      <c r="J651" s="157">
        <v>2025.0</v>
      </c>
    </row>
    <row r="652">
      <c r="A652" s="218">
        <f t="shared" si="2"/>
        <v>649</v>
      </c>
      <c r="B652" s="218" t="s">
        <v>202</v>
      </c>
      <c r="C652" s="236" t="str">
        <f t="shared" si="1"/>
        <v>KB/0972/2025</v>
      </c>
      <c r="D652" s="218" t="b">
        <v>1</v>
      </c>
      <c r="E652" s="219" t="b">
        <v>0</v>
      </c>
      <c r="F652" s="219"/>
      <c r="G652" s="173"/>
      <c r="H652" s="157" t="s">
        <v>5886</v>
      </c>
      <c r="I652" s="157" t="s">
        <v>6068</v>
      </c>
      <c r="J652" s="157">
        <v>2025.0</v>
      </c>
    </row>
    <row r="653">
      <c r="A653" s="218">
        <f t="shared" si="2"/>
        <v>650</v>
      </c>
      <c r="B653" s="218" t="s">
        <v>202</v>
      </c>
      <c r="C653" s="236" t="str">
        <f t="shared" si="1"/>
        <v>KB/0973/2025</v>
      </c>
      <c r="D653" s="218" t="b">
        <v>1</v>
      </c>
      <c r="E653" s="219" t="b">
        <v>0</v>
      </c>
      <c r="F653" s="219"/>
      <c r="G653" s="173"/>
      <c r="H653" s="157" t="s">
        <v>5886</v>
      </c>
      <c r="I653" s="157" t="s">
        <v>6069</v>
      </c>
      <c r="J653" s="157">
        <v>2025.0</v>
      </c>
    </row>
    <row r="654">
      <c r="A654" s="218">
        <f t="shared" si="2"/>
        <v>651</v>
      </c>
      <c r="B654" s="218" t="s">
        <v>202</v>
      </c>
      <c r="C654" s="236" t="str">
        <f t="shared" si="1"/>
        <v>KB/0974/2025</v>
      </c>
      <c r="D654" s="218" t="b">
        <v>1</v>
      </c>
      <c r="E654" s="219" t="b">
        <v>0</v>
      </c>
      <c r="F654" s="219"/>
      <c r="G654" s="173"/>
      <c r="H654" s="157" t="s">
        <v>5886</v>
      </c>
      <c r="I654" s="157" t="s">
        <v>6070</v>
      </c>
      <c r="J654" s="157">
        <v>2025.0</v>
      </c>
    </row>
    <row r="655">
      <c r="A655" s="218">
        <f t="shared" si="2"/>
        <v>652</v>
      </c>
      <c r="B655" s="218" t="s">
        <v>202</v>
      </c>
      <c r="C655" s="236" t="str">
        <f t="shared" si="1"/>
        <v>KB/0975/2025</v>
      </c>
      <c r="D655" s="218" t="b">
        <v>1</v>
      </c>
      <c r="E655" s="219" t="b">
        <v>0</v>
      </c>
      <c r="F655" s="219"/>
      <c r="G655" s="173"/>
      <c r="H655" s="157" t="s">
        <v>5886</v>
      </c>
      <c r="I655" s="157" t="s">
        <v>6071</v>
      </c>
      <c r="J655" s="157">
        <v>2025.0</v>
      </c>
    </row>
    <row r="656">
      <c r="A656" s="218">
        <f t="shared" si="2"/>
        <v>653</v>
      </c>
      <c r="B656" s="218" t="s">
        <v>202</v>
      </c>
      <c r="C656" s="236" t="str">
        <f t="shared" si="1"/>
        <v>KB/0976/2025</v>
      </c>
      <c r="D656" s="218" t="b">
        <v>1</v>
      </c>
      <c r="E656" s="219" t="b">
        <v>0</v>
      </c>
      <c r="F656" s="219"/>
      <c r="G656" s="173"/>
      <c r="H656" s="157" t="s">
        <v>5886</v>
      </c>
      <c r="I656" s="157" t="s">
        <v>6072</v>
      </c>
      <c r="J656" s="157">
        <v>2025.0</v>
      </c>
    </row>
    <row r="657">
      <c r="A657" s="218">
        <f t="shared" si="2"/>
        <v>654</v>
      </c>
      <c r="B657" s="218" t="s">
        <v>202</v>
      </c>
      <c r="C657" s="236" t="str">
        <f t="shared" si="1"/>
        <v>KB/0977/2025</v>
      </c>
      <c r="D657" s="218" t="b">
        <v>1</v>
      </c>
      <c r="E657" s="219" t="b">
        <v>0</v>
      </c>
      <c r="F657" s="219"/>
      <c r="G657" s="173"/>
      <c r="H657" s="157" t="s">
        <v>5886</v>
      </c>
      <c r="I657" s="157" t="s">
        <v>6074</v>
      </c>
      <c r="J657" s="157">
        <v>2025.0</v>
      </c>
    </row>
    <row r="658">
      <c r="A658" s="218">
        <f t="shared" si="2"/>
        <v>655</v>
      </c>
      <c r="B658" s="218" t="s">
        <v>202</v>
      </c>
      <c r="C658" s="236" t="str">
        <f t="shared" si="1"/>
        <v>KB/0978/2025</v>
      </c>
      <c r="D658" s="218" t="b">
        <v>1</v>
      </c>
      <c r="E658" s="219" t="b">
        <v>0</v>
      </c>
      <c r="F658" s="219"/>
      <c r="G658" s="173"/>
      <c r="H658" s="157" t="s">
        <v>5886</v>
      </c>
      <c r="I658" s="157" t="s">
        <v>6075</v>
      </c>
      <c r="J658" s="157">
        <v>2025.0</v>
      </c>
    </row>
    <row r="659">
      <c r="A659" s="218">
        <f t="shared" si="2"/>
        <v>656</v>
      </c>
      <c r="B659" s="218" t="s">
        <v>202</v>
      </c>
      <c r="C659" s="236" t="str">
        <f t="shared" si="1"/>
        <v>KB/0979/2025</v>
      </c>
      <c r="D659" s="218" t="b">
        <v>1</v>
      </c>
      <c r="E659" s="219" t="b">
        <v>0</v>
      </c>
      <c r="F659" s="219"/>
      <c r="G659" s="173"/>
      <c r="H659" s="157" t="s">
        <v>5886</v>
      </c>
      <c r="I659" s="157" t="s">
        <v>6076</v>
      </c>
      <c r="J659" s="157">
        <v>2025.0</v>
      </c>
    </row>
    <row r="660">
      <c r="A660" s="218">
        <f t="shared" si="2"/>
        <v>657</v>
      </c>
      <c r="B660" s="218" t="s">
        <v>202</v>
      </c>
      <c r="C660" s="236" t="str">
        <f t="shared" si="1"/>
        <v>KB/0980/2025</v>
      </c>
      <c r="D660" s="218" t="b">
        <v>1</v>
      </c>
      <c r="E660" s="219" t="b">
        <v>0</v>
      </c>
      <c r="F660" s="219"/>
      <c r="G660" s="173"/>
      <c r="H660" s="157" t="s">
        <v>5886</v>
      </c>
      <c r="I660" s="157" t="s">
        <v>6077</v>
      </c>
      <c r="J660" s="157">
        <v>2025.0</v>
      </c>
    </row>
    <row r="661">
      <c r="A661" s="218">
        <f t="shared" si="2"/>
        <v>658</v>
      </c>
      <c r="B661" s="218" t="s">
        <v>202</v>
      </c>
      <c r="C661" s="236" t="str">
        <f t="shared" si="1"/>
        <v>KB/0981/2025</v>
      </c>
      <c r="D661" s="218" t="b">
        <v>1</v>
      </c>
      <c r="E661" s="219" t="b">
        <v>0</v>
      </c>
      <c r="F661" s="219"/>
      <c r="G661" s="173"/>
      <c r="H661" s="157" t="s">
        <v>5886</v>
      </c>
      <c r="I661" s="157" t="s">
        <v>6078</v>
      </c>
      <c r="J661" s="157">
        <v>2025.0</v>
      </c>
    </row>
    <row r="662">
      <c r="A662" s="218">
        <f t="shared" si="2"/>
        <v>659</v>
      </c>
      <c r="B662" s="218" t="s">
        <v>202</v>
      </c>
      <c r="C662" s="236" t="str">
        <f t="shared" si="1"/>
        <v>KB/0982/2025</v>
      </c>
      <c r="D662" s="218" t="b">
        <v>1</v>
      </c>
      <c r="E662" s="219" t="b">
        <v>0</v>
      </c>
      <c r="F662" s="219"/>
      <c r="G662" s="173"/>
      <c r="H662" s="157" t="s">
        <v>5886</v>
      </c>
      <c r="I662" s="157" t="s">
        <v>6079</v>
      </c>
      <c r="J662" s="157">
        <v>2025.0</v>
      </c>
    </row>
    <row r="663">
      <c r="A663" s="218">
        <f t="shared" si="2"/>
        <v>660</v>
      </c>
      <c r="B663" s="218" t="s">
        <v>202</v>
      </c>
      <c r="C663" s="236" t="str">
        <f t="shared" si="1"/>
        <v>KB/0983/2025</v>
      </c>
      <c r="D663" s="218" t="b">
        <v>1</v>
      </c>
      <c r="E663" s="219" t="b">
        <v>0</v>
      </c>
      <c r="F663" s="219"/>
      <c r="G663" s="173"/>
      <c r="H663" s="157" t="s">
        <v>5886</v>
      </c>
      <c r="I663" s="157" t="s">
        <v>6080</v>
      </c>
      <c r="J663" s="157">
        <v>2025.0</v>
      </c>
    </row>
    <row r="664">
      <c r="A664" s="218">
        <f t="shared" si="2"/>
        <v>661</v>
      </c>
      <c r="B664" s="218" t="s">
        <v>202</v>
      </c>
      <c r="C664" s="236" t="str">
        <f t="shared" si="1"/>
        <v>KB/0984/2025</v>
      </c>
      <c r="D664" s="218" t="b">
        <v>1</v>
      </c>
      <c r="E664" s="219" t="b">
        <v>0</v>
      </c>
      <c r="F664" s="219"/>
      <c r="G664" s="173"/>
      <c r="H664" s="157" t="s">
        <v>5886</v>
      </c>
      <c r="I664" s="157" t="s">
        <v>6081</v>
      </c>
      <c r="J664" s="157">
        <v>2025.0</v>
      </c>
    </row>
    <row r="665">
      <c r="A665" s="218">
        <f t="shared" si="2"/>
        <v>662</v>
      </c>
      <c r="B665" s="218" t="s">
        <v>202</v>
      </c>
      <c r="C665" s="236" t="str">
        <f t="shared" si="1"/>
        <v>KB/0985/2025</v>
      </c>
      <c r="D665" s="218" t="b">
        <v>1</v>
      </c>
      <c r="E665" s="219" t="b">
        <v>0</v>
      </c>
      <c r="F665" s="219"/>
      <c r="G665" s="173"/>
      <c r="H665" s="157" t="s">
        <v>5886</v>
      </c>
      <c r="I665" s="157" t="s">
        <v>6082</v>
      </c>
      <c r="J665" s="157">
        <v>2025.0</v>
      </c>
    </row>
    <row r="666">
      <c r="A666" s="218">
        <f t="shared" si="2"/>
        <v>663</v>
      </c>
      <c r="B666" s="218" t="s">
        <v>202</v>
      </c>
      <c r="C666" s="236" t="str">
        <f t="shared" si="1"/>
        <v>KB/0986/2025</v>
      </c>
      <c r="D666" s="218" t="b">
        <v>1</v>
      </c>
      <c r="E666" s="219" t="b">
        <v>0</v>
      </c>
      <c r="F666" s="219"/>
      <c r="G666" s="173"/>
      <c r="H666" s="157" t="s">
        <v>5886</v>
      </c>
      <c r="I666" s="157" t="s">
        <v>6083</v>
      </c>
      <c r="J666" s="157">
        <v>2025.0</v>
      </c>
    </row>
    <row r="667">
      <c r="A667" s="218">
        <f t="shared" si="2"/>
        <v>664</v>
      </c>
      <c r="B667" s="218" t="s">
        <v>202</v>
      </c>
      <c r="C667" s="236" t="str">
        <f t="shared" si="1"/>
        <v>KB/0987/2025</v>
      </c>
      <c r="D667" s="218" t="b">
        <v>1</v>
      </c>
      <c r="E667" s="219" t="b">
        <v>0</v>
      </c>
      <c r="F667" s="219"/>
      <c r="G667" s="173"/>
      <c r="H667" s="157" t="s">
        <v>5886</v>
      </c>
      <c r="I667" s="157" t="s">
        <v>6084</v>
      </c>
      <c r="J667" s="157">
        <v>2025.0</v>
      </c>
    </row>
    <row r="668">
      <c r="A668" s="218">
        <f t="shared" si="2"/>
        <v>665</v>
      </c>
      <c r="B668" s="218" t="s">
        <v>202</v>
      </c>
      <c r="C668" s="236" t="str">
        <f t="shared" si="1"/>
        <v>KB/0988/2025</v>
      </c>
      <c r="D668" s="218" t="b">
        <v>1</v>
      </c>
      <c r="E668" s="219" t="b">
        <v>0</v>
      </c>
      <c r="F668" s="219"/>
      <c r="G668" s="173"/>
      <c r="H668" s="157" t="s">
        <v>5886</v>
      </c>
      <c r="I668" s="157" t="s">
        <v>6085</v>
      </c>
      <c r="J668" s="157">
        <v>2025.0</v>
      </c>
    </row>
    <row r="669">
      <c r="A669" s="218">
        <f t="shared" si="2"/>
        <v>666</v>
      </c>
      <c r="B669" s="218" t="s">
        <v>202</v>
      </c>
      <c r="C669" s="236" t="str">
        <f t="shared" si="1"/>
        <v>KB/0989/2025</v>
      </c>
      <c r="D669" s="218" t="b">
        <v>1</v>
      </c>
      <c r="E669" s="219" t="b">
        <v>0</v>
      </c>
      <c r="F669" s="219"/>
      <c r="G669" s="173"/>
      <c r="H669" s="157" t="s">
        <v>5886</v>
      </c>
      <c r="I669" s="157" t="s">
        <v>6086</v>
      </c>
      <c r="J669" s="157">
        <v>2025.0</v>
      </c>
    </row>
    <row r="670">
      <c r="A670" s="218">
        <f t="shared" si="2"/>
        <v>667</v>
      </c>
      <c r="B670" s="218" t="s">
        <v>202</v>
      </c>
      <c r="C670" s="236" t="str">
        <f t="shared" si="1"/>
        <v>KB/0990/2025</v>
      </c>
      <c r="D670" s="218" t="b">
        <v>1</v>
      </c>
      <c r="E670" s="219" t="b">
        <v>0</v>
      </c>
      <c r="F670" s="219"/>
      <c r="G670" s="173"/>
      <c r="H670" s="157" t="s">
        <v>5886</v>
      </c>
      <c r="I670" s="157" t="s">
        <v>6088</v>
      </c>
      <c r="J670" s="157">
        <v>2025.0</v>
      </c>
    </row>
    <row r="671">
      <c r="A671" s="218">
        <f t="shared" si="2"/>
        <v>668</v>
      </c>
      <c r="B671" s="218" t="s">
        <v>202</v>
      </c>
      <c r="C671" s="236" t="str">
        <f t="shared" si="1"/>
        <v>KB/0991/2025</v>
      </c>
      <c r="D671" s="218" t="b">
        <v>1</v>
      </c>
      <c r="E671" s="219" t="b">
        <v>0</v>
      </c>
      <c r="F671" s="219"/>
      <c r="G671" s="173"/>
      <c r="H671" s="157" t="s">
        <v>5886</v>
      </c>
      <c r="I671" s="157" t="s">
        <v>6089</v>
      </c>
      <c r="J671" s="157">
        <v>2025.0</v>
      </c>
    </row>
    <row r="672">
      <c r="A672" s="218">
        <f t="shared" si="2"/>
        <v>669</v>
      </c>
      <c r="B672" s="218" t="s">
        <v>202</v>
      </c>
      <c r="C672" s="236" t="str">
        <f t="shared" si="1"/>
        <v>KB/0992/2025</v>
      </c>
      <c r="D672" s="218" t="b">
        <v>1</v>
      </c>
      <c r="E672" s="219" t="b">
        <v>0</v>
      </c>
      <c r="F672" s="219"/>
      <c r="G672" s="173"/>
      <c r="H672" s="157" t="s">
        <v>5886</v>
      </c>
      <c r="I672" s="157" t="s">
        <v>6090</v>
      </c>
      <c r="J672" s="157">
        <v>2025.0</v>
      </c>
    </row>
    <row r="673">
      <c r="A673" s="218">
        <f t="shared" si="2"/>
        <v>670</v>
      </c>
      <c r="B673" s="218" t="s">
        <v>202</v>
      </c>
      <c r="C673" s="236" t="str">
        <f t="shared" si="1"/>
        <v>KB/0993/2025</v>
      </c>
      <c r="D673" s="218" t="b">
        <v>1</v>
      </c>
      <c r="E673" s="219" t="b">
        <v>0</v>
      </c>
      <c r="F673" s="219"/>
      <c r="G673" s="173"/>
      <c r="H673" s="157" t="s">
        <v>5886</v>
      </c>
      <c r="I673" s="157" t="s">
        <v>6091</v>
      </c>
      <c r="J673" s="157">
        <v>2025.0</v>
      </c>
    </row>
    <row r="674">
      <c r="A674" s="218">
        <f t="shared" si="2"/>
        <v>671</v>
      </c>
      <c r="B674" s="218" t="s">
        <v>202</v>
      </c>
      <c r="C674" s="236" t="str">
        <f t="shared" si="1"/>
        <v>KB/0994/2025</v>
      </c>
      <c r="D674" s="218" t="b">
        <v>1</v>
      </c>
      <c r="E674" s="219" t="b">
        <v>0</v>
      </c>
      <c r="F674" s="219"/>
      <c r="G674" s="173"/>
      <c r="H674" s="157" t="s">
        <v>5886</v>
      </c>
      <c r="I674" s="157" t="s">
        <v>6093</v>
      </c>
      <c r="J674" s="157">
        <v>2025.0</v>
      </c>
    </row>
    <row r="675">
      <c r="A675" s="218">
        <f t="shared" si="2"/>
        <v>672</v>
      </c>
      <c r="B675" s="218" t="s">
        <v>202</v>
      </c>
      <c r="C675" s="236" t="str">
        <f t="shared" si="1"/>
        <v>KB/0995/2025</v>
      </c>
      <c r="D675" s="218" t="b">
        <v>1</v>
      </c>
      <c r="E675" s="219" t="b">
        <v>0</v>
      </c>
      <c r="F675" s="219"/>
      <c r="G675" s="173"/>
      <c r="H675" s="157" t="s">
        <v>5886</v>
      </c>
      <c r="I675" s="157" t="s">
        <v>6094</v>
      </c>
      <c r="J675" s="157">
        <v>2025.0</v>
      </c>
    </row>
    <row r="676">
      <c r="A676" s="218">
        <f t="shared" si="2"/>
        <v>673</v>
      </c>
      <c r="B676" s="218" t="s">
        <v>202</v>
      </c>
      <c r="C676" s="236" t="str">
        <f t="shared" si="1"/>
        <v>KB/0996/2025</v>
      </c>
      <c r="D676" s="218" t="b">
        <v>1</v>
      </c>
      <c r="E676" s="219" t="b">
        <v>0</v>
      </c>
      <c r="F676" s="219"/>
      <c r="G676" s="173"/>
      <c r="H676" s="157" t="s">
        <v>5886</v>
      </c>
      <c r="I676" s="157" t="s">
        <v>6095</v>
      </c>
      <c r="J676" s="157">
        <v>2025.0</v>
      </c>
    </row>
    <row r="677">
      <c r="A677" s="218">
        <f t="shared" si="2"/>
        <v>674</v>
      </c>
      <c r="B677" s="218" t="s">
        <v>202</v>
      </c>
      <c r="C677" s="236" t="str">
        <f t="shared" si="1"/>
        <v>KB/0997/2025</v>
      </c>
      <c r="D677" s="218" t="b">
        <v>1</v>
      </c>
      <c r="E677" s="219" t="b">
        <v>0</v>
      </c>
      <c r="F677" s="219"/>
      <c r="G677" s="173"/>
      <c r="H677" s="157" t="s">
        <v>5886</v>
      </c>
      <c r="I677" s="157" t="s">
        <v>6096</v>
      </c>
      <c r="J677" s="157">
        <v>2025.0</v>
      </c>
    </row>
    <row r="678">
      <c r="A678" s="218">
        <f t="shared" si="2"/>
        <v>675</v>
      </c>
      <c r="B678" s="218" t="s">
        <v>202</v>
      </c>
      <c r="C678" s="236" t="str">
        <f t="shared" si="1"/>
        <v>KB/0998/2025</v>
      </c>
      <c r="D678" s="218" t="b">
        <v>1</v>
      </c>
      <c r="E678" s="219" t="b">
        <v>0</v>
      </c>
      <c r="F678" s="219"/>
      <c r="G678" s="173"/>
      <c r="H678" s="157" t="s">
        <v>5886</v>
      </c>
      <c r="I678" s="157" t="s">
        <v>6097</v>
      </c>
      <c r="J678" s="157">
        <v>2025.0</v>
      </c>
    </row>
    <row r="679">
      <c r="A679" s="218">
        <f t="shared" si="2"/>
        <v>676</v>
      </c>
      <c r="B679" s="218" t="s">
        <v>202</v>
      </c>
      <c r="C679" s="236" t="str">
        <f t="shared" si="1"/>
        <v>KB/0999/2025</v>
      </c>
      <c r="D679" s="218" t="b">
        <v>1</v>
      </c>
      <c r="E679" s="219" t="b">
        <v>0</v>
      </c>
      <c r="F679" s="219"/>
      <c r="G679" s="173"/>
      <c r="H679" s="157" t="s">
        <v>5886</v>
      </c>
      <c r="I679" s="157" t="s">
        <v>6098</v>
      </c>
      <c r="J679" s="157">
        <v>2025.0</v>
      </c>
    </row>
    <row r="680">
      <c r="A680" s="218">
        <f t="shared" si="2"/>
        <v>677</v>
      </c>
      <c r="B680" s="218" t="s">
        <v>202</v>
      </c>
      <c r="C680" s="236" t="str">
        <f t="shared" si="1"/>
        <v>KB/1000/2025</v>
      </c>
      <c r="D680" s="218" t="b">
        <v>1</v>
      </c>
      <c r="E680" s="219" t="b">
        <v>0</v>
      </c>
      <c r="F680" s="219"/>
      <c r="G680" s="173"/>
      <c r="H680" s="157" t="s">
        <v>5886</v>
      </c>
      <c r="I680" s="157" t="s">
        <v>6099</v>
      </c>
      <c r="J680" s="157">
        <v>2025.0</v>
      </c>
    </row>
    <row r="681">
      <c r="A681" s="218">
        <f t="shared" si="2"/>
        <v>678</v>
      </c>
      <c r="B681" s="218" t="s">
        <v>202</v>
      </c>
      <c r="C681" s="236" t="str">
        <f t="shared" si="1"/>
        <v>KB/1001/2025</v>
      </c>
      <c r="D681" s="218" t="b">
        <v>1</v>
      </c>
      <c r="E681" s="219" t="b">
        <v>0</v>
      </c>
      <c r="F681" s="219"/>
      <c r="G681" s="173"/>
      <c r="H681" s="157" t="s">
        <v>5886</v>
      </c>
      <c r="I681" s="157" t="s">
        <v>6100</v>
      </c>
      <c r="J681" s="157">
        <v>2025.0</v>
      </c>
    </row>
    <row r="682">
      <c r="A682" s="218">
        <f t="shared" si="2"/>
        <v>679</v>
      </c>
      <c r="B682" s="218" t="s">
        <v>202</v>
      </c>
      <c r="C682" s="236" t="str">
        <f t="shared" si="1"/>
        <v>KB/1002/2025</v>
      </c>
      <c r="D682" s="218" t="b">
        <v>1</v>
      </c>
      <c r="E682" s="219" t="b">
        <v>0</v>
      </c>
      <c r="F682" s="219"/>
      <c r="G682" s="173"/>
      <c r="H682" s="157" t="s">
        <v>5886</v>
      </c>
      <c r="I682" s="157" t="s">
        <v>6101</v>
      </c>
      <c r="J682" s="157">
        <v>2025.0</v>
      </c>
    </row>
    <row r="683">
      <c r="A683" s="218">
        <f t="shared" si="2"/>
        <v>680</v>
      </c>
      <c r="B683" s="218" t="s">
        <v>202</v>
      </c>
      <c r="C683" s="236" t="str">
        <f t="shared" si="1"/>
        <v>KB/1003/2025</v>
      </c>
      <c r="D683" s="218" t="b">
        <v>1</v>
      </c>
      <c r="E683" s="219" t="b">
        <v>0</v>
      </c>
      <c r="F683" s="219"/>
      <c r="G683" s="173"/>
      <c r="H683" s="157" t="s">
        <v>5886</v>
      </c>
      <c r="I683" s="157" t="s">
        <v>6102</v>
      </c>
      <c r="J683" s="157">
        <v>2025.0</v>
      </c>
    </row>
    <row r="684">
      <c r="A684" s="218">
        <f t="shared" si="2"/>
        <v>681</v>
      </c>
      <c r="B684" s="218" t="s">
        <v>202</v>
      </c>
      <c r="C684" s="236" t="str">
        <f t="shared" si="1"/>
        <v>KB/1004/2025</v>
      </c>
      <c r="D684" s="218" t="b">
        <v>1</v>
      </c>
      <c r="E684" s="219" t="b">
        <v>0</v>
      </c>
      <c r="F684" s="219"/>
      <c r="G684" s="173"/>
      <c r="H684" s="157" t="s">
        <v>5886</v>
      </c>
      <c r="I684" s="157" t="s">
        <v>6103</v>
      </c>
      <c r="J684" s="157">
        <v>2025.0</v>
      </c>
    </row>
    <row r="685">
      <c r="A685" s="218">
        <f t="shared" si="2"/>
        <v>682</v>
      </c>
      <c r="B685" s="218" t="s">
        <v>202</v>
      </c>
      <c r="C685" s="236" t="str">
        <f t="shared" si="1"/>
        <v>KB/1005/2025</v>
      </c>
      <c r="D685" s="218" t="b">
        <v>1</v>
      </c>
      <c r="E685" s="219" t="b">
        <v>0</v>
      </c>
      <c r="F685" s="219"/>
      <c r="G685" s="173"/>
      <c r="H685" s="157" t="s">
        <v>5886</v>
      </c>
      <c r="I685" s="157" t="s">
        <v>6104</v>
      </c>
      <c r="J685" s="157">
        <v>2025.0</v>
      </c>
    </row>
    <row r="686">
      <c r="A686" s="218">
        <f t="shared" si="2"/>
        <v>683</v>
      </c>
      <c r="B686" s="218" t="s">
        <v>202</v>
      </c>
      <c r="C686" s="236" t="str">
        <f t="shared" si="1"/>
        <v>KB/1006/2025</v>
      </c>
      <c r="D686" s="218" t="b">
        <v>1</v>
      </c>
      <c r="E686" s="219" t="b">
        <v>0</v>
      </c>
      <c r="F686" s="219"/>
      <c r="G686" s="173"/>
      <c r="H686" s="157" t="s">
        <v>5886</v>
      </c>
      <c r="I686" s="157" t="s">
        <v>6105</v>
      </c>
      <c r="J686" s="157">
        <v>2025.0</v>
      </c>
    </row>
    <row r="687">
      <c r="A687" s="218">
        <f t="shared" si="2"/>
        <v>684</v>
      </c>
      <c r="B687" s="218" t="s">
        <v>202</v>
      </c>
      <c r="C687" s="236" t="str">
        <f t="shared" si="1"/>
        <v>KB/1007/2025</v>
      </c>
      <c r="D687" s="218" t="b">
        <v>1</v>
      </c>
      <c r="E687" s="219" t="b">
        <v>0</v>
      </c>
      <c r="F687" s="219"/>
      <c r="G687" s="173"/>
      <c r="H687" s="157" t="s">
        <v>5886</v>
      </c>
      <c r="I687" s="157" t="s">
        <v>6106</v>
      </c>
      <c r="J687" s="157">
        <v>2025.0</v>
      </c>
    </row>
    <row r="688">
      <c r="A688" s="218">
        <f t="shared" si="2"/>
        <v>685</v>
      </c>
      <c r="B688" s="218" t="s">
        <v>202</v>
      </c>
      <c r="C688" s="236" t="str">
        <f t="shared" si="1"/>
        <v>KB/1008/2025</v>
      </c>
      <c r="D688" s="218" t="b">
        <v>1</v>
      </c>
      <c r="E688" s="219" t="b">
        <v>0</v>
      </c>
      <c r="F688" s="219"/>
      <c r="G688" s="173"/>
      <c r="H688" s="157" t="s">
        <v>5886</v>
      </c>
      <c r="I688" s="157" t="s">
        <v>6107</v>
      </c>
      <c r="J688" s="157">
        <v>2025.0</v>
      </c>
    </row>
    <row r="689">
      <c r="A689" s="218">
        <f t="shared" si="2"/>
        <v>686</v>
      </c>
      <c r="B689" s="218" t="s">
        <v>202</v>
      </c>
      <c r="C689" s="236" t="str">
        <f t="shared" si="1"/>
        <v>KB/1009/2025</v>
      </c>
      <c r="D689" s="218" t="b">
        <v>1</v>
      </c>
      <c r="E689" s="219" t="b">
        <v>0</v>
      </c>
      <c r="F689" s="219"/>
      <c r="G689" s="173"/>
      <c r="H689" s="157" t="s">
        <v>5886</v>
      </c>
      <c r="I689" s="157" t="s">
        <v>6108</v>
      </c>
      <c r="J689" s="157">
        <v>2025.0</v>
      </c>
    </row>
    <row r="690">
      <c r="A690" s="218">
        <f t="shared" si="2"/>
        <v>687</v>
      </c>
      <c r="B690" s="218" t="s">
        <v>202</v>
      </c>
      <c r="C690" s="236" t="str">
        <f t="shared" si="1"/>
        <v>KB/1010/2025</v>
      </c>
      <c r="D690" s="218" t="b">
        <v>1</v>
      </c>
      <c r="E690" s="219" t="b">
        <v>0</v>
      </c>
      <c r="F690" s="219"/>
      <c r="G690" s="173"/>
      <c r="H690" s="157" t="s">
        <v>5886</v>
      </c>
      <c r="I690" s="157" t="s">
        <v>6109</v>
      </c>
      <c r="J690" s="157">
        <v>2025.0</v>
      </c>
    </row>
    <row r="691">
      <c r="A691" s="218">
        <f t="shared" si="2"/>
        <v>688</v>
      </c>
      <c r="B691" s="218" t="s">
        <v>202</v>
      </c>
      <c r="C691" s="236" t="str">
        <f t="shared" si="1"/>
        <v>KB/1011/2025</v>
      </c>
      <c r="D691" s="218" t="b">
        <v>1</v>
      </c>
      <c r="E691" s="219" t="b">
        <v>0</v>
      </c>
      <c r="F691" s="219"/>
      <c r="G691" s="173"/>
      <c r="H691" s="157" t="s">
        <v>5886</v>
      </c>
      <c r="I691" s="157" t="s">
        <v>6110</v>
      </c>
      <c r="J691" s="157">
        <v>2025.0</v>
      </c>
    </row>
    <row r="692">
      <c r="A692" s="218">
        <f t="shared" si="2"/>
        <v>689</v>
      </c>
      <c r="B692" s="218" t="s">
        <v>202</v>
      </c>
      <c r="C692" s="236" t="str">
        <f t="shared" si="1"/>
        <v>KB/1012/2025</v>
      </c>
      <c r="D692" s="218" t="b">
        <v>1</v>
      </c>
      <c r="E692" s="219" t="b">
        <v>0</v>
      </c>
      <c r="F692" s="219"/>
      <c r="G692" s="173"/>
      <c r="H692" s="157" t="s">
        <v>5886</v>
      </c>
      <c r="I692" s="157" t="s">
        <v>6111</v>
      </c>
      <c r="J692" s="157">
        <v>2025.0</v>
      </c>
    </row>
    <row r="693">
      <c r="A693" s="218">
        <f t="shared" si="2"/>
        <v>690</v>
      </c>
      <c r="B693" s="218" t="s">
        <v>202</v>
      </c>
      <c r="C693" s="236" t="str">
        <f t="shared" si="1"/>
        <v>KB/1013/2025</v>
      </c>
      <c r="D693" s="218" t="b">
        <v>1</v>
      </c>
      <c r="E693" s="219" t="b">
        <v>0</v>
      </c>
      <c r="F693" s="219"/>
      <c r="G693" s="173"/>
      <c r="H693" s="157" t="s">
        <v>5886</v>
      </c>
      <c r="I693" s="157" t="s">
        <v>6112</v>
      </c>
      <c r="J693" s="157">
        <v>2025.0</v>
      </c>
    </row>
    <row r="694">
      <c r="A694" s="218">
        <f t="shared" si="2"/>
        <v>691</v>
      </c>
      <c r="B694" s="218" t="s">
        <v>202</v>
      </c>
      <c r="C694" s="236" t="str">
        <f t="shared" si="1"/>
        <v>KB/1014/2025</v>
      </c>
      <c r="D694" s="218" t="b">
        <v>1</v>
      </c>
      <c r="E694" s="219" t="b">
        <v>0</v>
      </c>
      <c r="F694" s="219"/>
      <c r="G694" s="173"/>
      <c r="H694" s="157" t="s">
        <v>5886</v>
      </c>
      <c r="I694" s="157" t="s">
        <v>6114</v>
      </c>
      <c r="J694" s="157">
        <v>2025.0</v>
      </c>
    </row>
    <row r="695">
      <c r="A695" s="218">
        <f t="shared" si="2"/>
        <v>692</v>
      </c>
      <c r="B695" s="218" t="s">
        <v>202</v>
      </c>
      <c r="C695" s="236" t="str">
        <f t="shared" si="1"/>
        <v>KB/1015/2025</v>
      </c>
      <c r="D695" s="218" t="b">
        <v>1</v>
      </c>
      <c r="E695" s="219" t="b">
        <v>0</v>
      </c>
      <c r="F695" s="219"/>
      <c r="G695" s="173"/>
      <c r="H695" s="157" t="s">
        <v>5886</v>
      </c>
      <c r="I695" s="157" t="s">
        <v>6115</v>
      </c>
      <c r="J695" s="157">
        <v>2025.0</v>
      </c>
    </row>
    <row r="696">
      <c r="A696" s="218">
        <f t="shared" si="2"/>
        <v>693</v>
      </c>
      <c r="B696" s="218" t="s">
        <v>202</v>
      </c>
      <c r="C696" s="236" t="str">
        <f t="shared" si="1"/>
        <v>KB/1016/2025</v>
      </c>
      <c r="D696" s="218" t="b">
        <v>1</v>
      </c>
      <c r="E696" s="219" t="b">
        <v>0</v>
      </c>
      <c r="F696" s="219"/>
      <c r="G696" s="173"/>
      <c r="H696" s="157" t="s">
        <v>5886</v>
      </c>
      <c r="I696" s="157" t="s">
        <v>6116</v>
      </c>
      <c r="J696" s="157">
        <v>2025.0</v>
      </c>
    </row>
    <row r="697">
      <c r="A697" s="218">
        <f t="shared" si="2"/>
        <v>694</v>
      </c>
      <c r="B697" s="218" t="s">
        <v>202</v>
      </c>
      <c r="C697" s="236" t="str">
        <f t="shared" si="1"/>
        <v>KB/1017/2025</v>
      </c>
      <c r="D697" s="218" t="b">
        <v>1</v>
      </c>
      <c r="E697" s="219" t="b">
        <v>0</v>
      </c>
      <c r="F697" s="219"/>
      <c r="G697" s="173"/>
      <c r="H697" s="157" t="s">
        <v>5886</v>
      </c>
      <c r="I697" s="157" t="s">
        <v>6118</v>
      </c>
      <c r="J697" s="157">
        <v>2025.0</v>
      </c>
    </row>
    <row r="698">
      <c r="A698" s="218">
        <f t="shared" si="2"/>
        <v>695</v>
      </c>
      <c r="B698" s="218" t="s">
        <v>202</v>
      </c>
      <c r="C698" s="236" t="str">
        <f t="shared" si="1"/>
        <v>KB/1018/2025</v>
      </c>
      <c r="D698" s="218" t="b">
        <v>1</v>
      </c>
      <c r="E698" s="219" t="b">
        <v>0</v>
      </c>
      <c r="F698" s="219"/>
      <c r="G698" s="173"/>
      <c r="H698" s="157" t="s">
        <v>5886</v>
      </c>
      <c r="I698" s="157" t="s">
        <v>6119</v>
      </c>
      <c r="J698" s="157">
        <v>2025.0</v>
      </c>
    </row>
    <row r="699">
      <c r="A699" s="218">
        <f t="shared" si="2"/>
        <v>696</v>
      </c>
      <c r="B699" s="218" t="s">
        <v>202</v>
      </c>
      <c r="C699" s="236" t="str">
        <f t="shared" si="1"/>
        <v>KB/1019/2025</v>
      </c>
      <c r="D699" s="218" t="b">
        <v>1</v>
      </c>
      <c r="E699" s="219" t="b">
        <v>0</v>
      </c>
      <c r="F699" s="219"/>
      <c r="G699" s="173"/>
      <c r="H699" s="157" t="s">
        <v>5886</v>
      </c>
      <c r="I699" s="157" t="s">
        <v>6120</v>
      </c>
      <c r="J699" s="157">
        <v>2025.0</v>
      </c>
    </row>
    <row r="700">
      <c r="A700" s="218">
        <f t="shared" si="2"/>
        <v>697</v>
      </c>
      <c r="B700" s="218" t="s">
        <v>202</v>
      </c>
      <c r="C700" s="236" t="str">
        <f t="shared" si="1"/>
        <v>KB/1020/2025</v>
      </c>
      <c r="D700" s="218" t="b">
        <v>1</v>
      </c>
      <c r="E700" s="218" t="b">
        <v>0</v>
      </c>
      <c r="F700" s="234">
        <v>45999.0</v>
      </c>
      <c r="G700" s="173"/>
      <c r="H700" s="157" t="s">
        <v>5886</v>
      </c>
      <c r="I700" s="157" t="s">
        <v>6121</v>
      </c>
      <c r="J700" s="157">
        <v>2025.0</v>
      </c>
    </row>
    <row r="701">
      <c r="A701" s="218">
        <f t="shared" si="2"/>
        <v>698</v>
      </c>
      <c r="B701" s="218" t="s">
        <v>202</v>
      </c>
      <c r="C701" s="236" t="str">
        <f t="shared" si="1"/>
        <v>KB/1021/2025</v>
      </c>
      <c r="D701" s="218" t="b">
        <v>1</v>
      </c>
      <c r="E701" s="219" t="b">
        <v>0</v>
      </c>
      <c r="F701" s="219"/>
      <c r="G701" s="173"/>
      <c r="H701" s="157" t="s">
        <v>5886</v>
      </c>
      <c r="I701" s="157" t="s">
        <v>6122</v>
      </c>
      <c r="J701" s="157">
        <v>2025.0</v>
      </c>
    </row>
    <row r="702">
      <c r="A702" s="218">
        <f t="shared" si="2"/>
        <v>699</v>
      </c>
      <c r="B702" s="218" t="s">
        <v>202</v>
      </c>
      <c r="C702" s="236" t="str">
        <f t="shared" si="1"/>
        <v>KB/1022/2025</v>
      </c>
      <c r="D702" s="218" t="b">
        <v>1</v>
      </c>
      <c r="E702" s="219" t="b">
        <v>0</v>
      </c>
      <c r="F702" s="219"/>
      <c r="G702" s="173"/>
      <c r="H702" s="157" t="s">
        <v>5886</v>
      </c>
      <c r="I702" s="157" t="s">
        <v>6124</v>
      </c>
      <c r="J702" s="157">
        <v>2025.0</v>
      </c>
    </row>
    <row r="703">
      <c r="A703" s="218">
        <f t="shared" si="2"/>
        <v>700</v>
      </c>
      <c r="B703" s="218" t="s">
        <v>202</v>
      </c>
      <c r="C703" s="236" t="str">
        <f t="shared" si="1"/>
        <v>KB/1023/2025</v>
      </c>
      <c r="D703" s="218" t="b">
        <v>1</v>
      </c>
      <c r="E703" s="218" t="b">
        <v>0</v>
      </c>
      <c r="F703" s="234">
        <v>45999.0</v>
      </c>
      <c r="G703" s="173"/>
      <c r="H703" s="157" t="s">
        <v>5886</v>
      </c>
      <c r="I703" s="157" t="s">
        <v>6125</v>
      </c>
      <c r="J703" s="157">
        <v>2025.0</v>
      </c>
    </row>
    <row r="704">
      <c r="A704" s="218">
        <f t="shared" si="2"/>
        <v>701</v>
      </c>
      <c r="B704" s="218" t="s">
        <v>202</v>
      </c>
      <c r="C704" s="236" t="str">
        <f t="shared" si="1"/>
        <v>KB/1024/2025</v>
      </c>
      <c r="D704" s="218" t="b">
        <v>1</v>
      </c>
      <c r="E704" s="219" t="b">
        <v>0</v>
      </c>
      <c r="F704" s="219"/>
      <c r="G704" s="173"/>
      <c r="H704" s="157" t="s">
        <v>5886</v>
      </c>
      <c r="I704" s="157" t="s">
        <v>6126</v>
      </c>
      <c r="J704" s="157">
        <v>2025.0</v>
      </c>
    </row>
    <row r="705">
      <c r="A705" s="218">
        <f t="shared" si="2"/>
        <v>702</v>
      </c>
      <c r="B705" s="218" t="s">
        <v>202</v>
      </c>
      <c r="C705" s="236" t="str">
        <f t="shared" si="1"/>
        <v>KB/1025/2025</v>
      </c>
      <c r="D705" s="218" t="b">
        <v>1</v>
      </c>
      <c r="E705" s="218" t="b">
        <v>0</v>
      </c>
      <c r="F705" s="234">
        <v>45999.0</v>
      </c>
      <c r="G705" s="173"/>
      <c r="H705" s="157" t="s">
        <v>5886</v>
      </c>
      <c r="I705" s="157" t="s">
        <v>6127</v>
      </c>
      <c r="J705" s="157">
        <v>2025.0</v>
      </c>
    </row>
    <row r="706">
      <c r="A706" s="218">
        <f t="shared" si="2"/>
        <v>703</v>
      </c>
      <c r="B706" s="218" t="s">
        <v>202</v>
      </c>
      <c r="C706" s="236" t="str">
        <f t="shared" si="1"/>
        <v>KB/1026/2025</v>
      </c>
      <c r="D706" s="218" t="b">
        <v>1</v>
      </c>
      <c r="E706" s="218" t="b">
        <v>0</v>
      </c>
      <c r="F706" s="234">
        <v>45999.0</v>
      </c>
      <c r="G706" s="173"/>
      <c r="H706" s="157" t="s">
        <v>5886</v>
      </c>
      <c r="I706" s="157" t="s">
        <v>6128</v>
      </c>
      <c r="J706" s="157">
        <v>2025.0</v>
      </c>
    </row>
    <row r="707">
      <c r="A707" s="218">
        <f t="shared" si="2"/>
        <v>704</v>
      </c>
      <c r="B707" s="218" t="s">
        <v>202</v>
      </c>
      <c r="C707" s="236" t="str">
        <f t="shared" si="1"/>
        <v>KB/1027/2025</v>
      </c>
      <c r="D707" s="218" t="b">
        <v>1</v>
      </c>
      <c r="E707" s="218" t="b">
        <v>0</v>
      </c>
      <c r="F707" s="234">
        <v>45999.0</v>
      </c>
      <c r="G707" s="173"/>
      <c r="H707" s="157" t="s">
        <v>5886</v>
      </c>
      <c r="I707" s="157" t="s">
        <v>6129</v>
      </c>
      <c r="J707" s="157">
        <v>2025.0</v>
      </c>
    </row>
    <row r="708">
      <c r="A708" s="218">
        <f t="shared" si="2"/>
        <v>705</v>
      </c>
      <c r="B708" s="218" t="s">
        <v>202</v>
      </c>
      <c r="C708" s="236" t="str">
        <f t="shared" si="1"/>
        <v>KB/1028/2025</v>
      </c>
      <c r="D708" s="218" t="b">
        <v>1</v>
      </c>
      <c r="E708" s="218" t="b">
        <v>0</v>
      </c>
      <c r="F708" s="234">
        <v>45999.0</v>
      </c>
      <c r="G708" s="173"/>
      <c r="H708" s="157" t="s">
        <v>5886</v>
      </c>
      <c r="I708" s="157" t="s">
        <v>6130</v>
      </c>
      <c r="J708" s="157">
        <v>2025.0</v>
      </c>
    </row>
    <row r="709">
      <c r="A709" s="218">
        <f t="shared" si="2"/>
        <v>706</v>
      </c>
      <c r="B709" s="218" t="s">
        <v>202</v>
      </c>
      <c r="C709" s="236" t="str">
        <f t="shared" si="1"/>
        <v>KB/1029/2025</v>
      </c>
      <c r="D709" s="218" t="b">
        <v>1</v>
      </c>
      <c r="E709" s="218" t="b">
        <v>0</v>
      </c>
      <c r="F709" s="234">
        <v>45999.0</v>
      </c>
      <c r="G709" s="173"/>
      <c r="H709" s="157" t="s">
        <v>5886</v>
      </c>
      <c r="I709" s="157" t="s">
        <v>6131</v>
      </c>
      <c r="J709" s="157">
        <v>2025.0</v>
      </c>
    </row>
    <row r="710">
      <c r="A710" s="218">
        <f t="shared" si="2"/>
        <v>707</v>
      </c>
      <c r="B710" s="218" t="s">
        <v>202</v>
      </c>
      <c r="C710" s="236" t="str">
        <f t="shared" si="1"/>
        <v>KB/1030/2025</v>
      </c>
      <c r="D710" s="218" t="b">
        <v>1</v>
      </c>
      <c r="E710" s="219" t="b">
        <v>0</v>
      </c>
      <c r="F710" s="219"/>
      <c r="G710" s="173"/>
      <c r="H710" s="157" t="s">
        <v>5886</v>
      </c>
      <c r="I710" s="157" t="s">
        <v>6132</v>
      </c>
      <c r="J710" s="157">
        <v>2025.0</v>
      </c>
    </row>
    <row r="711">
      <c r="A711" s="218">
        <f t="shared" si="2"/>
        <v>708</v>
      </c>
      <c r="B711" s="218" t="s">
        <v>202</v>
      </c>
      <c r="C711" s="236" t="str">
        <f t="shared" si="1"/>
        <v>KB/1031/2025</v>
      </c>
      <c r="D711" s="218" t="b">
        <v>1</v>
      </c>
      <c r="E711" s="218" t="b">
        <v>0</v>
      </c>
      <c r="F711" s="234">
        <v>45999.0</v>
      </c>
      <c r="G711" s="173"/>
      <c r="H711" s="157" t="s">
        <v>5886</v>
      </c>
      <c r="I711" s="157" t="s">
        <v>6133</v>
      </c>
      <c r="J711" s="157">
        <v>2025.0</v>
      </c>
    </row>
    <row r="712">
      <c r="A712" s="218">
        <f t="shared" si="2"/>
        <v>709</v>
      </c>
      <c r="B712" s="218" t="s">
        <v>202</v>
      </c>
      <c r="C712" s="236" t="str">
        <f t="shared" si="1"/>
        <v>KB/1032/2025</v>
      </c>
      <c r="D712" s="218" t="b">
        <v>1</v>
      </c>
      <c r="E712" s="218" t="b">
        <v>0</v>
      </c>
      <c r="F712" s="234">
        <v>45999.0</v>
      </c>
      <c r="G712" s="173"/>
      <c r="H712" s="157" t="s">
        <v>5886</v>
      </c>
      <c r="I712" s="157" t="s">
        <v>6134</v>
      </c>
      <c r="J712" s="157">
        <v>2025.0</v>
      </c>
    </row>
    <row r="713">
      <c r="A713" s="218">
        <f t="shared" si="2"/>
        <v>710</v>
      </c>
      <c r="B713" s="218" t="s">
        <v>202</v>
      </c>
      <c r="C713" s="236" t="str">
        <f t="shared" si="1"/>
        <v>KB/1033/2025</v>
      </c>
      <c r="D713" s="218" t="b">
        <v>1</v>
      </c>
      <c r="E713" s="219" t="b">
        <v>0</v>
      </c>
      <c r="F713" s="219"/>
      <c r="G713" s="173"/>
      <c r="H713" s="157" t="s">
        <v>5886</v>
      </c>
      <c r="I713" s="157" t="s">
        <v>6135</v>
      </c>
      <c r="J713" s="157">
        <v>2025.0</v>
      </c>
    </row>
    <row r="714">
      <c r="A714" s="218">
        <f t="shared" si="2"/>
        <v>711</v>
      </c>
      <c r="B714" s="218" t="s">
        <v>202</v>
      </c>
      <c r="C714" s="236" t="str">
        <f t="shared" si="1"/>
        <v>KB/1034/2025</v>
      </c>
      <c r="D714" s="218" t="b">
        <v>1</v>
      </c>
      <c r="E714" s="218" t="b">
        <v>0</v>
      </c>
      <c r="F714" s="234">
        <v>45999.0</v>
      </c>
      <c r="G714" s="173"/>
      <c r="H714" s="157" t="s">
        <v>5886</v>
      </c>
      <c r="I714" s="157" t="s">
        <v>6136</v>
      </c>
      <c r="J714" s="157">
        <v>2025.0</v>
      </c>
    </row>
    <row r="715">
      <c r="A715" s="218">
        <f t="shared" si="2"/>
        <v>712</v>
      </c>
      <c r="B715" s="218" t="s">
        <v>202</v>
      </c>
      <c r="C715" s="236" t="str">
        <f t="shared" si="1"/>
        <v>KB/1035/2025</v>
      </c>
      <c r="D715" s="218" t="b">
        <v>1</v>
      </c>
      <c r="E715" s="218" t="b">
        <v>0</v>
      </c>
      <c r="F715" s="234">
        <v>45999.0</v>
      </c>
      <c r="G715" s="173"/>
      <c r="H715" s="157" t="s">
        <v>5886</v>
      </c>
      <c r="I715" s="157" t="s">
        <v>6137</v>
      </c>
      <c r="J715" s="157">
        <v>2025.0</v>
      </c>
    </row>
    <row r="716">
      <c r="A716" s="218">
        <f t="shared" si="2"/>
        <v>713</v>
      </c>
      <c r="B716" s="218" t="s">
        <v>202</v>
      </c>
      <c r="C716" s="236" t="str">
        <f t="shared" si="1"/>
        <v>KB/1036/2025</v>
      </c>
      <c r="D716" s="218" t="b">
        <v>1</v>
      </c>
      <c r="E716" s="219" t="b">
        <v>0</v>
      </c>
      <c r="F716" s="219"/>
      <c r="G716" s="173"/>
      <c r="H716" s="157" t="s">
        <v>5886</v>
      </c>
      <c r="I716" s="157" t="s">
        <v>6138</v>
      </c>
      <c r="J716" s="157">
        <v>2025.0</v>
      </c>
    </row>
    <row r="717">
      <c r="A717" s="218">
        <f t="shared" si="2"/>
        <v>714</v>
      </c>
      <c r="B717" s="218" t="s">
        <v>202</v>
      </c>
      <c r="C717" s="236" t="str">
        <f t="shared" si="1"/>
        <v>KB/1037/2025</v>
      </c>
      <c r="D717" s="218" t="b">
        <v>1</v>
      </c>
      <c r="E717" s="219" t="b">
        <v>0</v>
      </c>
      <c r="F717" s="219"/>
      <c r="G717" s="173"/>
      <c r="H717" s="157" t="s">
        <v>5886</v>
      </c>
      <c r="I717" s="157" t="s">
        <v>6139</v>
      </c>
      <c r="J717" s="157">
        <v>2025.0</v>
      </c>
    </row>
    <row r="718">
      <c r="A718" s="218">
        <f t="shared" si="2"/>
        <v>715</v>
      </c>
      <c r="B718" s="218" t="s">
        <v>202</v>
      </c>
      <c r="C718" s="236" t="str">
        <f t="shared" si="1"/>
        <v>KB/1038/2025</v>
      </c>
      <c r="D718" s="218" t="b">
        <v>1</v>
      </c>
      <c r="E718" s="218" t="b">
        <v>0</v>
      </c>
      <c r="F718" s="234">
        <v>45999.0</v>
      </c>
      <c r="G718" s="173"/>
      <c r="H718" s="157" t="s">
        <v>5886</v>
      </c>
      <c r="I718" s="157" t="s">
        <v>6140</v>
      </c>
      <c r="J718" s="157">
        <v>2025.0</v>
      </c>
    </row>
    <row r="719">
      <c r="A719" s="218">
        <f t="shared" si="2"/>
        <v>716</v>
      </c>
      <c r="B719" s="218" t="s">
        <v>202</v>
      </c>
      <c r="C719" s="236" t="str">
        <f t="shared" si="1"/>
        <v>KB/1039/2025</v>
      </c>
      <c r="D719" s="218" t="b">
        <v>1</v>
      </c>
      <c r="E719" s="219" t="b">
        <v>0</v>
      </c>
      <c r="F719" s="219"/>
      <c r="G719" s="173"/>
      <c r="H719" s="157" t="s">
        <v>5886</v>
      </c>
      <c r="I719" s="157" t="s">
        <v>6141</v>
      </c>
      <c r="J719" s="157">
        <v>2025.0</v>
      </c>
    </row>
    <row r="720">
      <c r="A720" s="218">
        <f t="shared" si="2"/>
        <v>717</v>
      </c>
      <c r="B720" s="218" t="s">
        <v>202</v>
      </c>
      <c r="C720" s="236" t="str">
        <f t="shared" si="1"/>
        <v>KB/1040/2025</v>
      </c>
      <c r="D720" s="218" t="b">
        <v>1</v>
      </c>
      <c r="E720" s="219" t="b">
        <v>0</v>
      </c>
      <c r="F720" s="219"/>
      <c r="G720" s="173"/>
      <c r="H720" s="157" t="s">
        <v>5886</v>
      </c>
      <c r="I720" s="157" t="s">
        <v>6142</v>
      </c>
      <c r="J720" s="157">
        <v>2025.0</v>
      </c>
    </row>
    <row r="721">
      <c r="A721" s="218">
        <f t="shared" si="2"/>
        <v>718</v>
      </c>
      <c r="B721" s="218" t="s">
        <v>202</v>
      </c>
      <c r="C721" s="236" t="str">
        <f t="shared" si="1"/>
        <v>KB/1041/2025</v>
      </c>
      <c r="D721" s="218" t="b">
        <v>1</v>
      </c>
      <c r="E721" s="219" t="b">
        <v>0</v>
      </c>
      <c r="F721" s="219"/>
      <c r="G721" s="173"/>
      <c r="H721" s="157" t="s">
        <v>5886</v>
      </c>
      <c r="I721" s="157" t="s">
        <v>6143</v>
      </c>
      <c r="J721" s="157">
        <v>2025.0</v>
      </c>
    </row>
    <row r="722">
      <c r="A722" s="218">
        <f t="shared" si="2"/>
        <v>719</v>
      </c>
      <c r="B722" s="218" t="s">
        <v>202</v>
      </c>
      <c r="C722" s="236" t="str">
        <f t="shared" si="1"/>
        <v>KB/1042/2025</v>
      </c>
      <c r="D722" s="218" t="b">
        <v>1</v>
      </c>
      <c r="E722" s="219" t="b">
        <v>0</v>
      </c>
      <c r="F722" s="219"/>
      <c r="G722" s="173"/>
      <c r="H722" s="157" t="s">
        <v>5886</v>
      </c>
      <c r="I722" s="157" t="s">
        <v>6144</v>
      </c>
      <c r="J722" s="157">
        <v>2025.0</v>
      </c>
    </row>
    <row r="723">
      <c r="A723" s="218">
        <f t="shared" si="2"/>
        <v>720</v>
      </c>
      <c r="B723" s="218" t="s">
        <v>202</v>
      </c>
      <c r="C723" s="236" t="str">
        <f t="shared" si="1"/>
        <v>KB/1043/2025</v>
      </c>
      <c r="D723" s="218" t="b">
        <v>1</v>
      </c>
      <c r="E723" s="219" t="b">
        <v>0</v>
      </c>
      <c r="F723" s="219"/>
      <c r="G723" s="173"/>
      <c r="H723" s="157" t="s">
        <v>5886</v>
      </c>
      <c r="I723" s="157" t="s">
        <v>6145</v>
      </c>
      <c r="J723" s="157">
        <v>2025.0</v>
      </c>
    </row>
    <row r="724">
      <c r="A724" s="218">
        <f t="shared" si="2"/>
        <v>721</v>
      </c>
      <c r="B724" s="218" t="s">
        <v>202</v>
      </c>
      <c r="C724" s="236" t="str">
        <f t="shared" si="1"/>
        <v>KB/1044/2025</v>
      </c>
      <c r="D724" s="218" t="b">
        <v>1</v>
      </c>
      <c r="E724" s="218" t="b">
        <v>0</v>
      </c>
      <c r="F724" s="234">
        <v>45999.0</v>
      </c>
      <c r="G724" s="173"/>
      <c r="H724" s="157" t="s">
        <v>5886</v>
      </c>
      <c r="I724" s="157" t="s">
        <v>6146</v>
      </c>
      <c r="J724" s="157">
        <v>2025.0</v>
      </c>
    </row>
    <row r="725">
      <c r="A725" s="218">
        <f t="shared" si="2"/>
        <v>722</v>
      </c>
      <c r="B725" s="218" t="s">
        <v>202</v>
      </c>
      <c r="C725" s="236" t="str">
        <f t="shared" si="1"/>
        <v>KB/1045/2025</v>
      </c>
      <c r="D725" s="218" t="b">
        <v>1</v>
      </c>
      <c r="E725" s="218" t="b">
        <v>0</v>
      </c>
      <c r="F725" s="234">
        <v>45999.0</v>
      </c>
      <c r="G725" s="173"/>
      <c r="H725" s="157" t="s">
        <v>5886</v>
      </c>
      <c r="I725" s="157" t="s">
        <v>6147</v>
      </c>
      <c r="J725" s="157">
        <v>2025.0</v>
      </c>
    </row>
    <row r="726">
      <c r="A726" s="218">
        <f t="shared" si="2"/>
        <v>723</v>
      </c>
      <c r="B726" s="218" t="s">
        <v>202</v>
      </c>
      <c r="C726" s="236" t="str">
        <f t="shared" si="1"/>
        <v>KB/1046/2025</v>
      </c>
      <c r="D726" s="218" t="b">
        <v>1</v>
      </c>
      <c r="E726" s="218" t="b">
        <v>0</v>
      </c>
      <c r="F726" s="234">
        <v>45999.0</v>
      </c>
      <c r="G726" s="173"/>
      <c r="H726" s="157" t="s">
        <v>5886</v>
      </c>
      <c r="I726" s="157" t="s">
        <v>6148</v>
      </c>
      <c r="J726" s="157">
        <v>2025.0</v>
      </c>
    </row>
    <row r="727">
      <c r="A727" s="218">
        <f t="shared" si="2"/>
        <v>724</v>
      </c>
      <c r="B727" s="218" t="s">
        <v>202</v>
      </c>
      <c r="C727" s="236" t="str">
        <f t="shared" si="1"/>
        <v>KB/1047/2025</v>
      </c>
      <c r="D727" s="218" t="b">
        <v>1</v>
      </c>
      <c r="E727" s="219" t="b">
        <v>0</v>
      </c>
      <c r="F727" s="219"/>
      <c r="G727" s="173"/>
      <c r="H727" s="157" t="s">
        <v>5886</v>
      </c>
      <c r="I727" s="157" t="s">
        <v>6149</v>
      </c>
      <c r="J727" s="157">
        <v>2025.0</v>
      </c>
    </row>
    <row r="728">
      <c r="A728" s="218">
        <f t="shared" si="2"/>
        <v>725</v>
      </c>
      <c r="B728" s="218" t="s">
        <v>202</v>
      </c>
      <c r="C728" s="236" t="str">
        <f t="shared" si="1"/>
        <v>KB/1048/2025</v>
      </c>
      <c r="D728" s="218" t="b">
        <v>1</v>
      </c>
      <c r="E728" s="218" t="b">
        <v>0</v>
      </c>
      <c r="F728" s="234">
        <v>45999.0</v>
      </c>
      <c r="G728" s="173"/>
      <c r="H728" s="157" t="s">
        <v>5886</v>
      </c>
      <c r="I728" s="157" t="s">
        <v>6150</v>
      </c>
      <c r="J728" s="157">
        <v>2025.0</v>
      </c>
    </row>
    <row r="729">
      <c r="A729" s="218">
        <f t="shared" si="2"/>
        <v>726</v>
      </c>
      <c r="B729" s="218" t="s">
        <v>202</v>
      </c>
      <c r="C729" s="236" t="str">
        <f t="shared" si="1"/>
        <v>KB/1049/2025</v>
      </c>
      <c r="D729" s="218" t="b">
        <v>1</v>
      </c>
      <c r="E729" s="218" t="b">
        <v>0</v>
      </c>
      <c r="F729" s="234">
        <v>45999.0</v>
      </c>
      <c r="G729" s="173"/>
      <c r="H729" s="157" t="s">
        <v>5886</v>
      </c>
      <c r="I729" s="157" t="s">
        <v>6151</v>
      </c>
      <c r="J729" s="157">
        <v>2025.0</v>
      </c>
    </row>
    <row r="730">
      <c r="A730" s="218">
        <f t="shared" si="2"/>
        <v>727</v>
      </c>
      <c r="B730" s="218" t="s">
        <v>202</v>
      </c>
      <c r="C730" s="236" t="str">
        <f t="shared" si="1"/>
        <v>KB/1050/2025</v>
      </c>
      <c r="D730" s="218" t="b">
        <v>1</v>
      </c>
      <c r="E730" s="219" t="b">
        <v>0</v>
      </c>
      <c r="F730" s="219"/>
      <c r="G730" s="173"/>
      <c r="H730" s="157" t="s">
        <v>5886</v>
      </c>
      <c r="I730" s="157" t="s">
        <v>6165</v>
      </c>
      <c r="J730" s="157">
        <v>2025.0</v>
      </c>
    </row>
    <row r="731">
      <c r="A731" s="218">
        <f t="shared" si="2"/>
        <v>728</v>
      </c>
      <c r="B731" s="218" t="s">
        <v>202</v>
      </c>
      <c r="C731" s="236" t="str">
        <f t="shared" si="1"/>
        <v>KB/1051/2025</v>
      </c>
      <c r="D731" s="218" t="b">
        <v>1</v>
      </c>
      <c r="E731" s="219" t="b">
        <v>0</v>
      </c>
      <c r="F731" s="219"/>
      <c r="G731" s="173"/>
      <c r="H731" s="157" t="s">
        <v>5886</v>
      </c>
      <c r="I731" s="157" t="s">
        <v>6166</v>
      </c>
      <c r="J731" s="157">
        <v>2025.0</v>
      </c>
    </row>
    <row r="732">
      <c r="A732" s="218">
        <f t="shared" si="2"/>
        <v>729</v>
      </c>
      <c r="B732" s="218" t="s">
        <v>202</v>
      </c>
      <c r="C732" s="236" t="str">
        <f t="shared" si="1"/>
        <v>KB/1052/2025</v>
      </c>
      <c r="D732" s="218" t="b">
        <v>1</v>
      </c>
      <c r="E732" s="219" t="b">
        <v>0</v>
      </c>
      <c r="F732" s="219"/>
      <c r="G732" s="173"/>
      <c r="H732" s="157" t="s">
        <v>5886</v>
      </c>
      <c r="I732" s="157" t="s">
        <v>6167</v>
      </c>
      <c r="J732" s="157">
        <v>2025.0</v>
      </c>
    </row>
    <row r="733">
      <c r="A733" s="218">
        <f t="shared" si="2"/>
        <v>730</v>
      </c>
      <c r="B733" s="218" t="s">
        <v>202</v>
      </c>
      <c r="C733" s="236" t="str">
        <f t="shared" si="1"/>
        <v>KB/1053/2025</v>
      </c>
      <c r="D733" s="218" t="b">
        <v>1</v>
      </c>
      <c r="E733" s="219" t="b">
        <v>0</v>
      </c>
      <c r="F733" s="219"/>
      <c r="G733" s="173"/>
      <c r="H733" s="157" t="s">
        <v>5886</v>
      </c>
      <c r="I733" s="157" t="s">
        <v>6168</v>
      </c>
      <c r="J733" s="157">
        <v>2025.0</v>
      </c>
    </row>
    <row r="734">
      <c r="A734" s="218">
        <f t="shared" si="2"/>
        <v>731</v>
      </c>
      <c r="B734" s="218" t="s">
        <v>202</v>
      </c>
      <c r="C734" s="236" t="str">
        <f t="shared" si="1"/>
        <v>KB/1054/2025</v>
      </c>
      <c r="D734" s="218" t="b">
        <v>1</v>
      </c>
      <c r="E734" s="218" t="b">
        <v>0</v>
      </c>
      <c r="F734" s="234">
        <v>45999.0</v>
      </c>
      <c r="G734" s="173"/>
      <c r="H734" s="157" t="s">
        <v>5886</v>
      </c>
      <c r="I734" s="157" t="s">
        <v>6169</v>
      </c>
      <c r="J734" s="157">
        <v>2025.0</v>
      </c>
    </row>
    <row r="735">
      <c r="A735" s="218">
        <f t="shared" si="2"/>
        <v>732</v>
      </c>
      <c r="B735" s="218" t="s">
        <v>202</v>
      </c>
      <c r="C735" s="236" t="str">
        <f t="shared" si="1"/>
        <v>KB/1055/2025</v>
      </c>
      <c r="D735" s="218" t="b">
        <v>1</v>
      </c>
      <c r="E735" s="219" t="b">
        <v>0</v>
      </c>
      <c r="F735" s="219"/>
      <c r="G735" s="173"/>
      <c r="H735" s="157" t="s">
        <v>5886</v>
      </c>
      <c r="I735" s="157" t="s">
        <v>6170</v>
      </c>
      <c r="J735" s="157">
        <v>2025.0</v>
      </c>
    </row>
    <row r="736">
      <c r="A736" s="218">
        <f t="shared" si="2"/>
        <v>733</v>
      </c>
      <c r="B736" s="218" t="s">
        <v>202</v>
      </c>
      <c r="C736" s="236" t="str">
        <f t="shared" si="1"/>
        <v>KB/1056/2025</v>
      </c>
      <c r="D736" s="218" t="b">
        <v>1</v>
      </c>
      <c r="E736" s="218" t="b">
        <v>0</v>
      </c>
      <c r="F736" s="234">
        <v>45999.0</v>
      </c>
      <c r="G736" s="173"/>
      <c r="H736" s="157" t="s">
        <v>5886</v>
      </c>
      <c r="I736" s="157" t="s">
        <v>6171</v>
      </c>
      <c r="J736" s="157">
        <v>2025.0</v>
      </c>
    </row>
    <row r="737">
      <c r="A737" s="218">
        <f t="shared" si="2"/>
        <v>734</v>
      </c>
      <c r="B737" s="218" t="s">
        <v>202</v>
      </c>
      <c r="C737" s="236" t="str">
        <f t="shared" si="1"/>
        <v>KB/1057/2025</v>
      </c>
      <c r="D737" s="218" t="b">
        <v>1</v>
      </c>
      <c r="E737" s="218" t="b">
        <v>0</v>
      </c>
      <c r="F737" s="234">
        <v>45999.0</v>
      </c>
      <c r="G737" s="173"/>
      <c r="H737" s="157" t="s">
        <v>5886</v>
      </c>
      <c r="I737" s="157" t="s">
        <v>6172</v>
      </c>
      <c r="J737" s="157">
        <v>2025.0</v>
      </c>
    </row>
    <row r="738">
      <c r="A738" s="218">
        <f t="shared" si="2"/>
        <v>735</v>
      </c>
      <c r="B738" s="218" t="s">
        <v>202</v>
      </c>
      <c r="C738" s="236" t="str">
        <f t="shared" si="1"/>
        <v>KB/1058/2025</v>
      </c>
      <c r="D738" s="218" t="b">
        <v>1</v>
      </c>
      <c r="E738" s="219" t="b">
        <v>0</v>
      </c>
      <c r="F738" s="219"/>
      <c r="G738" s="173"/>
      <c r="H738" s="157" t="s">
        <v>5886</v>
      </c>
      <c r="I738" s="157" t="s">
        <v>6173</v>
      </c>
      <c r="J738" s="157">
        <v>2025.0</v>
      </c>
    </row>
    <row r="739">
      <c r="A739" s="218">
        <f t="shared" si="2"/>
        <v>736</v>
      </c>
      <c r="B739" s="218" t="s">
        <v>202</v>
      </c>
      <c r="C739" s="236" t="str">
        <f t="shared" si="1"/>
        <v>KB/1059/2025</v>
      </c>
      <c r="D739" s="218" t="b">
        <v>1</v>
      </c>
      <c r="E739" s="219" t="b">
        <v>0</v>
      </c>
      <c r="F739" s="219"/>
      <c r="G739" s="173"/>
      <c r="H739" s="157" t="s">
        <v>5886</v>
      </c>
      <c r="I739" s="157" t="s">
        <v>6174</v>
      </c>
      <c r="J739" s="157">
        <v>2025.0</v>
      </c>
    </row>
    <row r="740">
      <c r="A740" s="218">
        <f t="shared" si="2"/>
        <v>737</v>
      </c>
      <c r="B740" s="218" t="s">
        <v>202</v>
      </c>
      <c r="C740" s="236" t="str">
        <f t="shared" si="1"/>
        <v>KB/1060/2025</v>
      </c>
      <c r="D740" s="218" t="b">
        <v>1</v>
      </c>
      <c r="E740" s="218" t="b">
        <v>0</v>
      </c>
      <c r="F740" s="234">
        <v>45999.0</v>
      </c>
      <c r="G740" s="173"/>
      <c r="H740" s="157" t="s">
        <v>5886</v>
      </c>
      <c r="I740" s="157" t="s">
        <v>6175</v>
      </c>
      <c r="J740" s="157">
        <v>2025.0</v>
      </c>
    </row>
    <row r="741">
      <c r="A741" s="218">
        <f t="shared" si="2"/>
        <v>738</v>
      </c>
      <c r="B741" s="218" t="s">
        <v>202</v>
      </c>
      <c r="C741" s="236" t="str">
        <f t="shared" si="1"/>
        <v>KB/1061/2025</v>
      </c>
      <c r="D741" s="218" t="b">
        <v>1</v>
      </c>
      <c r="E741" s="219" t="b">
        <v>0</v>
      </c>
      <c r="F741" s="219"/>
      <c r="G741" s="173"/>
      <c r="H741" s="157" t="s">
        <v>5886</v>
      </c>
      <c r="I741" s="157" t="s">
        <v>6176</v>
      </c>
      <c r="J741" s="157">
        <v>2025.0</v>
      </c>
    </row>
    <row r="742">
      <c r="A742" s="218">
        <f t="shared" si="2"/>
        <v>739</v>
      </c>
      <c r="B742" s="218" t="s">
        <v>202</v>
      </c>
      <c r="C742" s="236" t="str">
        <f t="shared" si="1"/>
        <v>KB/1062/2025</v>
      </c>
      <c r="D742" s="218" t="b">
        <v>1</v>
      </c>
      <c r="E742" s="218" t="b">
        <v>0</v>
      </c>
      <c r="F742" s="234">
        <v>45999.0</v>
      </c>
      <c r="G742" s="173"/>
      <c r="H742" s="157" t="s">
        <v>5886</v>
      </c>
      <c r="I742" s="157" t="s">
        <v>6177</v>
      </c>
      <c r="J742" s="157">
        <v>2025.0</v>
      </c>
    </row>
    <row r="743">
      <c r="A743" s="218">
        <f t="shared" si="2"/>
        <v>740</v>
      </c>
      <c r="B743" s="218" t="s">
        <v>202</v>
      </c>
      <c r="C743" s="236" t="str">
        <f t="shared" si="1"/>
        <v>KB/1063/2025</v>
      </c>
      <c r="D743" s="218" t="b">
        <v>1</v>
      </c>
      <c r="E743" s="218" t="b">
        <v>0</v>
      </c>
      <c r="F743" s="234">
        <v>45999.0</v>
      </c>
      <c r="G743" s="173"/>
      <c r="H743" s="157" t="s">
        <v>5886</v>
      </c>
      <c r="I743" s="157" t="s">
        <v>6178</v>
      </c>
      <c r="J743" s="157">
        <v>2025.0</v>
      </c>
    </row>
    <row r="744">
      <c r="A744" s="218">
        <f t="shared" si="2"/>
        <v>741</v>
      </c>
      <c r="B744" s="218" t="s">
        <v>202</v>
      </c>
      <c r="C744" s="236" t="str">
        <f t="shared" si="1"/>
        <v>KB/1064/2025</v>
      </c>
      <c r="D744" s="218" t="b">
        <v>1</v>
      </c>
      <c r="E744" s="219" t="b">
        <v>0</v>
      </c>
      <c r="F744" s="219"/>
      <c r="G744" s="173"/>
      <c r="H744" s="157" t="s">
        <v>5886</v>
      </c>
      <c r="I744" s="157" t="s">
        <v>6179</v>
      </c>
      <c r="J744" s="157">
        <v>2025.0</v>
      </c>
    </row>
    <row r="745">
      <c r="A745" s="218">
        <f t="shared" si="2"/>
        <v>742</v>
      </c>
      <c r="B745" s="218" t="s">
        <v>202</v>
      </c>
      <c r="C745" s="236" t="str">
        <f t="shared" si="1"/>
        <v>KB/1065/2025</v>
      </c>
      <c r="D745" s="218" t="b">
        <v>1</v>
      </c>
      <c r="E745" s="219" t="b">
        <v>0</v>
      </c>
      <c r="F745" s="219"/>
      <c r="G745" s="173"/>
      <c r="H745" s="157" t="s">
        <v>5886</v>
      </c>
      <c r="I745" s="157" t="s">
        <v>6180</v>
      </c>
      <c r="J745" s="157">
        <v>2025.0</v>
      </c>
    </row>
    <row r="746">
      <c r="A746" s="218">
        <f t="shared" si="2"/>
        <v>743</v>
      </c>
      <c r="B746" s="218" t="s">
        <v>202</v>
      </c>
      <c r="C746" s="236" t="str">
        <f t="shared" si="1"/>
        <v>KB/1066/2025</v>
      </c>
      <c r="D746" s="218" t="b">
        <v>1</v>
      </c>
      <c r="E746" s="219" t="b">
        <v>0</v>
      </c>
      <c r="F746" s="219"/>
      <c r="G746" s="173"/>
      <c r="H746" s="157" t="s">
        <v>5886</v>
      </c>
      <c r="I746" s="157" t="s">
        <v>6181</v>
      </c>
      <c r="J746" s="157">
        <v>2025.0</v>
      </c>
    </row>
    <row r="747">
      <c r="A747" s="218">
        <f t="shared" si="2"/>
        <v>744</v>
      </c>
      <c r="B747" s="218" t="s">
        <v>202</v>
      </c>
      <c r="C747" s="236" t="str">
        <f t="shared" si="1"/>
        <v>KB/1067/2025</v>
      </c>
      <c r="D747" s="218" t="b">
        <v>1</v>
      </c>
      <c r="E747" s="219" t="b">
        <v>0</v>
      </c>
      <c r="F747" s="219"/>
      <c r="G747" s="173"/>
      <c r="H747" s="157" t="s">
        <v>5886</v>
      </c>
      <c r="I747" s="157" t="s">
        <v>6182</v>
      </c>
      <c r="J747" s="157">
        <v>2025.0</v>
      </c>
    </row>
    <row r="748">
      <c r="A748" s="218">
        <f t="shared" si="2"/>
        <v>745</v>
      </c>
      <c r="B748" s="218" t="s">
        <v>202</v>
      </c>
      <c r="C748" s="236" t="str">
        <f t="shared" si="1"/>
        <v>KB/1068/2025</v>
      </c>
      <c r="D748" s="218" t="b">
        <v>1</v>
      </c>
      <c r="E748" s="218" t="b">
        <v>0</v>
      </c>
      <c r="F748" s="234">
        <v>45999.0</v>
      </c>
      <c r="G748" s="173"/>
      <c r="H748" s="157" t="s">
        <v>5886</v>
      </c>
      <c r="I748" s="157" t="s">
        <v>6183</v>
      </c>
      <c r="J748" s="157">
        <v>2025.0</v>
      </c>
    </row>
    <row r="749">
      <c r="A749" s="218">
        <f t="shared" si="2"/>
        <v>746</v>
      </c>
      <c r="B749" s="218" t="s">
        <v>202</v>
      </c>
      <c r="C749" s="236" t="str">
        <f t="shared" si="1"/>
        <v>KB/1069/2025</v>
      </c>
      <c r="D749" s="218" t="b">
        <v>1</v>
      </c>
      <c r="E749" s="218" t="b">
        <v>0</v>
      </c>
      <c r="F749" s="234">
        <v>45999.0</v>
      </c>
      <c r="G749" s="173"/>
      <c r="H749" s="157" t="s">
        <v>5886</v>
      </c>
      <c r="I749" s="157" t="s">
        <v>6184</v>
      </c>
      <c r="J749" s="157">
        <v>2025.0</v>
      </c>
    </row>
    <row r="750">
      <c r="A750" s="218">
        <f t="shared" si="2"/>
        <v>747</v>
      </c>
      <c r="B750" s="218" t="s">
        <v>202</v>
      </c>
      <c r="C750" s="236" t="str">
        <f t="shared" si="1"/>
        <v>KB/1070/2025</v>
      </c>
      <c r="D750" s="218" t="b">
        <v>1</v>
      </c>
      <c r="E750" s="218" t="b">
        <v>0</v>
      </c>
      <c r="F750" s="234">
        <v>45999.0</v>
      </c>
      <c r="G750" s="173"/>
      <c r="H750" s="157" t="s">
        <v>5886</v>
      </c>
      <c r="I750" s="157" t="s">
        <v>6185</v>
      </c>
      <c r="J750" s="157">
        <v>2025.0</v>
      </c>
    </row>
    <row r="751">
      <c r="A751" s="218">
        <f t="shared" si="2"/>
        <v>748</v>
      </c>
      <c r="B751" s="218" t="s">
        <v>202</v>
      </c>
      <c r="C751" s="236" t="str">
        <f t="shared" si="1"/>
        <v>KB/1071/2025</v>
      </c>
      <c r="D751" s="218" t="b">
        <v>1</v>
      </c>
      <c r="E751" s="218" t="b">
        <v>0</v>
      </c>
      <c r="F751" s="234">
        <v>45999.0</v>
      </c>
      <c r="G751" s="173"/>
      <c r="H751" s="157" t="s">
        <v>5886</v>
      </c>
      <c r="I751" s="157" t="s">
        <v>6186</v>
      </c>
      <c r="J751" s="157">
        <v>2025.0</v>
      </c>
    </row>
    <row r="752">
      <c r="A752" s="218">
        <f t="shared" si="2"/>
        <v>749</v>
      </c>
      <c r="B752" s="218" t="s">
        <v>202</v>
      </c>
      <c r="C752" s="236" t="str">
        <f t="shared" si="1"/>
        <v>KB/1072/2025</v>
      </c>
      <c r="D752" s="218" t="b">
        <v>1</v>
      </c>
      <c r="E752" s="218" t="b">
        <v>0</v>
      </c>
      <c r="F752" s="234">
        <v>45999.0</v>
      </c>
      <c r="G752" s="173"/>
      <c r="H752" s="157" t="s">
        <v>5886</v>
      </c>
      <c r="I752" s="157" t="s">
        <v>6187</v>
      </c>
      <c r="J752" s="157">
        <v>2025.0</v>
      </c>
    </row>
    <row r="753">
      <c r="A753" s="218">
        <f t="shared" si="2"/>
        <v>750</v>
      </c>
      <c r="B753" s="218" t="s">
        <v>202</v>
      </c>
      <c r="C753" s="236" t="str">
        <f t="shared" si="1"/>
        <v>KB/1073/2025</v>
      </c>
      <c r="D753" s="218" t="b">
        <v>1</v>
      </c>
      <c r="E753" s="218" t="b">
        <v>0</v>
      </c>
      <c r="F753" s="234">
        <v>45999.0</v>
      </c>
      <c r="G753" s="173"/>
      <c r="H753" s="157" t="s">
        <v>5886</v>
      </c>
      <c r="I753" s="157" t="s">
        <v>6188</v>
      </c>
      <c r="J753" s="157">
        <v>2025.0</v>
      </c>
    </row>
    <row r="754">
      <c r="A754" s="218">
        <f t="shared" si="2"/>
        <v>751</v>
      </c>
      <c r="B754" s="218" t="s">
        <v>202</v>
      </c>
      <c r="C754" s="236" t="str">
        <f t="shared" si="1"/>
        <v>KB/1074/2025</v>
      </c>
      <c r="D754" s="218" t="b">
        <v>1</v>
      </c>
      <c r="E754" s="218" t="b">
        <v>0</v>
      </c>
      <c r="F754" s="234">
        <v>45999.0</v>
      </c>
      <c r="G754" s="173"/>
      <c r="H754" s="157" t="s">
        <v>5886</v>
      </c>
      <c r="I754" s="157" t="s">
        <v>6189</v>
      </c>
      <c r="J754" s="157">
        <v>2025.0</v>
      </c>
    </row>
    <row r="755">
      <c r="A755" s="218">
        <f t="shared" si="2"/>
        <v>752</v>
      </c>
      <c r="B755" s="218" t="s">
        <v>202</v>
      </c>
      <c r="C755" s="236" t="str">
        <f t="shared" si="1"/>
        <v>KB/1075/2025</v>
      </c>
      <c r="D755" s="218" t="b">
        <v>1</v>
      </c>
      <c r="E755" s="218" t="b">
        <v>0</v>
      </c>
      <c r="F755" s="234">
        <v>45999.0</v>
      </c>
      <c r="G755" s="173"/>
      <c r="H755" s="157" t="s">
        <v>5886</v>
      </c>
      <c r="I755" s="157" t="s">
        <v>6190</v>
      </c>
      <c r="J755" s="157">
        <v>2025.0</v>
      </c>
    </row>
    <row r="756">
      <c r="A756" s="218">
        <f t="shared" si="2"/>
        <v>753</v>
      </c>
      <c r="B756" s="218" t="s">
        <v>202</v>
      </c>
      <c r="C756" s="236" t="str">
        <f t="shared" si="1"/>
        <v>KB/1076/2025</v>
      </c>
      <c r="D756" s="218" t="b">
        <v>1</v>
      </c>
      <c r="E756" s="218" t="b">
        <v>0</v>
      </c>
      <c r="F756" s="234">
        <v>45999.0</v>
      </c>
      <c r="G756" s="173"/>
      <c r="H756" s="157" t="s">
        <v>5886</v>
      </c>
      <c r="I756" s="157" t="s">
        <v>6191</v>
      </c>
      <c r="J756" s="157">
        <v>2025.0</v>
      </c>
    </row>
    <row r="757">
      <c r="A757" s="218">
        <f t="shared" si="2"/>
        <v>754</v>
      </c>
      <c r="B757" s="218" t="s">
        <v>202</v>
      </c>
      <c r="C757" s="236" t="str">
        <f t="shared" si="1"/>
        <v>KB/1077/2025</v>
      </c>
      <c r="D757" s="218" t="b">
        <v>1</v>
      </c>
      <c r="E757" s="218" t="b">
        <v>0</v>
      </c>
      <c r="F757" s="234">
        <v>45999.0</v>
      </c>
      <c r="G757" s="173"/>
      <c r="H757" s="157" t="s">
        <v>5886</v>
      </c>
      <c r="I757" s="157" t="s">
        <v>6192</v>
      </c>
      <c r="J757" s="157">
        <v>2025.0</v>
      </c>
    </row>
    <row r="758">
      <c r="A758" s="218">
        <f t="shared" si="2"/>
        <v>755</v>
      </c>
      <c r="B758" s="218" t="s">
        <v>202</v>
      </c>
      <c r="C758" s="236" t="str">
        <f t="shared" si="1"/>
        <v>KB/1078/2025</v>
      </c>
      <c r="D758" s="218" t="b">
        <v>1</v>
      </c>
      <c r="E758" s="218" t="b">
        <v>0</v>
      </c>
      <c r="F758" s="234">
        <v>45999.0</v>
      </c>
      <c r="G758" s="173"/>
      <c r="H758" s="157" t="s">
        <v>5886</v>
      </c>
      <c r="I758" s="157" t="s">
        <v>6193</v>
      </c>
      <c r="J758" s="157">
        <v>2025.0</v>
      </c>
    </row>
    <row r="759">
      <c r="A759" s="218">
        <f t="shared" si="2"/>
        <v>756</v>
      </c>
      <c r="B759" s="218" t="s">
        <v>202</v>
      </c>
      <c r="C759" s="236" t="str">
        <f t="shared" si="1"/>
        <v>KB/1079/2025</v>
      </c>
      <c r="D759" s="218" t="b">
        <v>1</v>
      </c>
      <c r="E759" s="218" t="b">
        <v>0</v>
      </c>
      <c r="F759" s="234">
        <v>45999.0</v>
      </c>
      <c r="G759" s="173"/>
      <c r="H759" s="157" t="s">
        <v>5886</v>
      </c>
      <c r="I759" s="157" t="s">
        <v>6194</v>
      </c>
      <c r="J759" s="157">
        <v>2025.0</v>
      </c>
    </row>
    <row r="760">
      <c r="A760" s="218">
        <f t="shared" si="2"/>
        <v>757</v>
      </c>
      <c r="B760" s="218" t="s">
        <v>202</v>
      </c>
      <c r="C760" s="236" t="str">
        <f t="shared" si="1"/>
        <v>KB/1080/2025</v>
      </c>
      <c r="D760" s="218" t="b">
        <v>1</v>
      </c>
      <c r="E760" s="218" t="b">
        <v>0</v>
      </c>
      <c r="F760" s="234">
        <v>45999.0</v>
      </c>
      <c r="G760" s="173"/>
      <c r="H760" s="157" t="s">
        <v>5886</v>
      </c>
      <c r="I760" s="157" t="s">
        <v>6195</v>
      </c>
      <c r="J760" s="157">
        <v>2025.0</v>
      </c>
    </row>
    <row r="761">
      <c r="A761" s="218">
        <f t="shared" si="2"/>
        <v>758</v>
      </c>
      <c r="B761" s="218" t="s">
        <v>202</v>
      </c>
      <c r="C761" s="236" t="str">
        <f t="shared" si="1"/>
        <v>KB/1081/2025</v>
      </c>
      <c r="D761" s="218" t="b">
        <v>1</v>
      </c>
      <c r="E761" s="218" t="b">
        <v>0</v>
      </c>
      <c r="F761" s="234">
        <v>45999.0</v>
      </c>
      <c r="G761" s="173"/>
      <c r="H761" s="157" t="s">
        <v>5886</v>
      </c>
      <c r="I761" s="157" t="s">
        <v>6196</v>
      </c>
      <c r="J761" s="157">
        <v>2025.0</v>
      </c>
    </row>
    <row r="762">
      <c r="A762" s="218">
        <f t="shared" si="2"/>
        <v>759</v>
      </c>
      <c r="B762" s="218" t="s">
        <v>202</v>
      </c>
      <c r="C762" s="236" t="str">
        <f t="shared" si="1"/>
        <v>KB/1082/2025</v>
      </c>
      <c r="D762" s="218" t="b">
        <v>1</v>
      </c>
      <c r="E762" s="218" t="b">
        <v>0</v>
      </c>
      <c r="F762" s="234">
        <v>45999.0</v>
      </c>
      <c r="G762" s="173"/>
      <c r="H762" s="157" t="s">
        <v>5886</v>
      </c>
      <c r="I762" s="157" t="s">
        <v>6197</v>
      </c>
      <c r="J762" s="157">
        <v>2025.0</v>
      </c>
    </row>
    <row r="763">
      <c r="A763" s="218">
        <f t="shared" si="2"/>
        <v>760</v>
      </c>
      <c r="B763" s="218" t="s">
        <v>202</v>
      </c>
      <c r="C763" s="236" t="str">
        <f t="shared" si="1"/>
        <v>KB/1083/2025</v>
      </c>
      <c r="D763" s="218" t="b">
        <v>1</v>
      </c>
      <c r="E763" s="218" t="b">
        <v>0</v>
      </c>
      <c r="F763" s="234">
        <v>45999.0</v>
      </c>
      <c r="G763" s="173"/>
      <c r="H763" s="157" t="s">
        <v>5886</v>
      </c>
      <c r="I763" s="157" t="s">
        <v>6198</v>
      </c>
      <c r="J763" s="157">
        <v>2025.0</v>
      </c>
    </row>
    <row r="764">
      <c r="A764" s="218">
        <f t="shared" si="2"/>
        <v>761</v>
      </c>
      <c r="B764" s="218" t="s">
        <v>202</v>
      </c>
      <c r="C764" s="236" t="str">
        <f t="shared" si="1"/>
        <v>KB/1084/2025</v>
      </c>
      <c r="D764" s="218" t="b">
        <v>1</v>
      </c>
      <c r="E764" s="218" t="b">
        <v>0</v>
      </c>
      <c r="F764" s="234">
        <v>45999.0</v>
      </c>
      <c r="G764" s="173"/>
      <c r="H764" s="157" t="s">
        <v>5886</v>
      </c>
      <c r="I764" s="157" t="s">
        <v>6199</v>
      </c>
      <c r="J764" s="157">
        <v>2025.0</v>
      </c>
    </row>
    <row r="765">
      <c r="A765" s="218">
        <f t="shared" si="2"/>
        <v>762</v>
      </c>
      <c r="B765" s="218" t="s">
        <v>202</v>
      </c>
      <c r="C765" s="236" t="str">
        <f t="shared" si="1"/>
        <v>KB/1085/2025</v>
      </c>
      <c r="D765" s="218" t="b">
        <v>1</v>
      </c>
      <c r="E765" s="218" t="b">
        <v>0</v>
      </c>
      <c r="F765" s="234">
        <v>45999.0</v>
      </c>
      <c r="G765" s="173"/>
      <c r="H765" s="157" t="s">
        <v>5886</v>
      </c>
      <c r="I765" s="157" t="s">
        <v>6200</v>
      </c>
      <c r="J765" s="157">
        <v>2025.0</v>
      </c>
    </row>
    <row r="766">
      <c r="A766" s="218">
        <f t="shared" si="2"/>
        <v>763</v>
      </c>
      <c r="B766" s="218" t="s">
        <v>202</v>
      </c>
      <c r="C766" s="236" t="str">
        <f t="shared" si="1"/>
        <v>KB/1086/2025</v>
      </c>
      <c r="D766" s="218" t="b">
        <v>1</v>
      </c>
      <c r="E766" s="218" t="b">
        <v>0</v>
      </c>
      <c r="F766" s="234">
        <v>45999.0</v>
      </c>
      <c r="G766" s="173"/>
      <c r="H766" s="157" t="s">
        <v>5886</v>
      </c>
      <c r="I766" s="157" t="s">
        <v>6201</v>
      </c>
      <c r="J766" s="157">
        <v>2025.0</v>
      </c>
    </row>
    <row r="767">
      <c r="A767" s="218">
        <f t="shared" si="2"/>
        <v>764</v>
      </c>
      <c r="B767" s="218" t="s">
        <v>202</v>
      </c>
      <c r="C767" s="236" t="str">
        <f t="shared" si="1"/>
        <v>KB/1087/2025</v>
      </c>
      <c r="D767" s="218" t="b">
        <v>1</v>
      </c>
      <c r="E767" s="218" t="b">
        <v>0</v>
      </c>
      <c r="F767" s="234">
        <v>45999.0</v>
      </c>
      <c r="G767" s="173"/>
      <c r="H767" s="157" t="s">
        <v>5886</v>
      </c>
      <c r="I767" s="157" t="s">
        <v>6202</v>
      </c>
      <c r="J767" s="157">
        <v>2025.0</v>
      </c>
    </row>
    <row r="768">
      <c r="A768" s="218">
        <f t="shared" si="2"/>
        <v>765</v>
      </c>
      <c r="B768" s="218" t="s">
        <v>202</v>
      </c>
      <c r="C768" s="236" t="str">
        <f t="shared" si="1"/>
        <v>KB/1088/2025</v>
      </c>
      <c r="D768" s="218" t="b">
        <v>1</v>
      </c>
      <c r="E768" s="218" t="b">
        <v>0</v>
      </c>
      <c r="F768" s="234">
        <v>45999.0</v>
      </c>
      <c r="G768" s="173"/>
      <c r="H768" s="157" t="s">
        <v>5886</v>
      </c>
      <c r="I768" s="157" t="s">
        <v>6203</v>
      </c>
      <c r="J768" s="157">
        <v>2025.0</v>
      </c>
    </row>
    <row r="769">
      <c r="A769" s="218">
        <f t="shared" si="2"/>
        <v>766</v>
      </c>
      <c r="B769" s="218" t="s">
        <v>202</v>
      </c>
      <c r="C769" s="236" t="str">
        <f t="shared" si="1"/>
        <v>KB/1089/2025</v>
      </c>
      <c r="D769" s="218" t="b">
        <v>1</v>
      </c>
      <c r="E769" s="218" t="b">
        <v>0</v>
      </c>
      <c r="F769" s="234">
        <v>45999.0</v>
      </c>
      <c r="G769" s="173"/>
      <c r="H769" s="157" t="s">
        <v>5886</v>
      </c>
      <c r="I769" s="157" t="s">
        <v>6204</v>
      </c>
      <c r="J769" s="157">
        <v>2025.0</v>
      </c>
    </row>
    <row r="770">
      <c r="A770" s="218">
        <f t="shared" si="2"/>
        <v>767</v>
      </c>
      <c r="B770" s="218" t="s">
        <v>202</v>
      </c>
      <c r="C770" s="236" t="str">
        <f t="shared" si="1"/>
        <v>KB/1090/2025</v>
      </c>
      <c r="D770" s="218" t="b">
        <v>1</v>
      </c>
      <c r="E770" s="218" t="b">
        <v>0</v>
      </c>
      <c r="F770" s="234">
        <v>45999.0</v>
      </c>
      <c r="G770" s="173"/>
      <c r="H770" s="157" t="s">
        <v>5886</v>
      </c>
      <c r="I770" s="157" t="s">
        <v>6205</v>
      </c>
      <c r="J770" s="157">
        <v>2025.0</v>
      </c>
    </row>
    <row r="771">
      <c r="A771" s="218">
        <f t="shared" si="2"/>
        <v>768</v>
      </c>
      <c r="B771" s="218" t="s">
        <v>202</v>
      </c>
      <c r="C771" s="236" t="str">
        <f t="shared" si="1"/>
        <v>KB/1091/2025</v>
      </c>
      <c r="D771" s="218" t="b">
        <v>1</v>
      </c>
      <c r="E771" s="218" t="b">
        <v>0</v>
      </c>
      <c r="F771" s="234">
        <v>45999.0</v>
      </c>
      <c r="G771" s="173"/>
      <c r="H771" s="157" t="s">
        <v>5886</v>
      </c>
      <c r="I771" s="157" t="s">
        <v>6206</v>
      </c>
      <c r="J771" s="157">
        <v>2025.0</v>
      </c>
    </row>
    <row r="772">
      <c r="A772" s="218">
        <f t="shared" si="2"/>
        <v>769</v>
      </c>
      <c r="B772" s="218" t="s">
        <v>202</v>
      </c>
      <c r="C772" s="236" t="str">
        <f t="shared" si="1"/>
        <v>KB/1092/2025</v>
      </c>
      <c r="D772" s="218" t="b">
        <v>1</v>
      </c>
      <c r="E772" s="218" t="b">
        <v>0</v>
      </c>
      <c r="F772" s="234">
        <v>45999.0</v>
      </c>
      <c r="G772" s="173"/>
      <c r="H772" s="157" t="s">
        <v>5886</v>
      </c>
      <c r="I772" s="157" t="s">
        <v>6207</v>
      </c>
      <c r="J772" s="157">
        <v>2025.0</v>
      </c>
    </row>
    <row r="773">
      <c r="A773" s="218">
        <f t="shared" si="2"/>
        <v>770</v>
      </c>
      <c r="B773" s="218" t="s">
        <v>202</v>
      </c>
      <c r="C773" s="245" t="str">
        <f t="shared" si="1"/>
        <v>KB/1093/2026</v>
      </c>
      <c r="D773" s="246" t="b">
        <v>1</v>
      </c>
      <c r="E773" s="246" t="b">
        <v>0</v>
      </c>
      <c r="F773" s="247">
        <v>46079.0</v>
      </c>
      <c r="G773" s="248"/>
      <c r="H773" s="249" t="s">
        <v>5886</v>
      </c>
      <c r="I773" s="249" t="s">
        <v>6208</v>
      </c>
      <c r="J773" s="249">
        <v>2026.0</v>
      </c>
    </row>
    <row r="774">
      <c r="A774" s="218">
        <f t="shared" si="2"/>
        <v>771</v>
      </c>
      <c r="B774" s="218" t="s">
        <v>202</v>
      </c>
      <c r="C774" s="236" t="str">
        <f t="shared" si="1"/>
        <v>KB/1094/2026</v>
      </c>
      <c r="D774" s="218" t="b">
        <v>1</v>
      </c>
      <c r="E774" s="218" t="b">
        <v>0</v>
      </c>
      <c r="F774" s="234">
        <v>46079.0</v>
      </c>
      <c r="G774" s="173"/>
      <c r="H774" s="157" t="s">
        <v>5886</v>
      </c>
      <c r="I774" s="157" t="s">
        <v>6209</v>
      </c>
      <c r="J774" s="157">
        <v>2026.0</v>
      </c>
    </row>
    <row r="775">
      <c r="A775" s="218">
        <f t="shared" si="2"/>
        <v>772</v>
      </c>
      <c r="B775" s="218" t="s">
        <v>202</v>
      </c>
      <c r="C775" s="236" t="str">
        <f t="shared" si="1"/>
        <v>KB/1095/2026</v>
      </c>
      <c r="D775" s="218" t="b">
        <v>1</v>
      </c>
      <c r="E775" s="218" t="b">
        <v>0</v>
      </c>
      <c r="F775" s="234">
        <v>46079.0</v>
      </c>
      <c r="G775" s="173"/>
      <c r="H775" s="157" t="s">
        <v>5886</v>
      </c>
      <c r="I775" s="157" t="s">
        <v>6210</v>
      </c>
      <c r="J775" s="157">
        <v>2026.0</v>
      </c>
    </row>
    <row r="776">
      <c r="A776" s="218">
        <f t="shared" si="2"/>
        <v>773</v>
      </c>
      <c r="B776" s="218" t="s">
        <v>202</v>
      </c>
      <c r="C776" s="236" t="str">
        <f t="shared" si="1"/>
        <v>KB/1096/2026</v>
      </c>
      <c r="D776" s="218" t="b">
        <v>1</v>
      </c>
      <c r="E776" s="218" t="b">
        <v>0</v>
      </c>
      <c r="F776" s="234">
        <v>46079.0</v>
      </c>
      <c r="G776" s="173"/>
      <c r="H776" s="157" t="s">
        <v>5886</v>
      </c>
      <c r="I776" s="157" t="s">
        <v>6211</v>
      </c>
      <c r="J776" s="157">
        <v>2026.0</v>
      </c>
    </row>
    <row r="777">
      <c r="A777" s="218">
        <f t="shared" si="2"/>
        <v>774</v>
      </c>
      <c r="B777" s="218" t="s">
        <v>202</v>
      </c>
      <c r="C777" s="236" t="str">
        <f t="shared" si="1"/>
        <v>KB/1097/2026</v>
      </c>
      <c r="D777" s="218" t="b">
        <v>1</v>
      </c>
      <c r="E777" s="218" t="b">
        <v>0</v>
      </c>
      <c r="F777" s="234">
        <v>46079.0</v>
      </c>
      <c r="G777" s="173"/>
      <c r="H777" s="157" t="s">
        <v>5886</v>
      </c>
      <c r="I777" s="157" t="s">
        <v>6212</v>
      </c>
      <c r="J777" s="157">
        <v>2026.0</v>
      </c>
    </row>
    <row r="778">
      <c r="A778" s="218">
        <f t="shared" si="2"/>
        <v>775</v>
      </c>
      <c r="B778" s="218" t="s">
        <v>202</v>
      </c>
      <c r="C778" s="236" t="str">
        <f t="shared" si="1"/>
        <v>KB/1098/2026</v>
      </c>
      <c r="D778" s="218" t="b">
        <v>1</v>
      </c>
      <c r="E778" s="218" t="b">
        <v>0</v>
      </c>
      <c r="F778" s="234">
        <v>46079.0</v>
      </c>
      <c r="G778" s="173"/>
      <c r="H778" s="157" t="s">
        <v>5886</v>
      </c>
      <c r="I778" s="157" t="s">
        <v>6213</v>
      </c>
      <c r="J778" s="157">
        <v>2026.0</v>
      </c>
    </row>
    <row r="779">
      <c r="A779" s="218">
        <f t="shared" si="2"/>
        <v>776</v>
      </c>
      <c r="B779" s="218" t="s">
        <v>202</v>
      </c>
      <c r="C779" s="236" t="str">
        <f t="shared" si="1"/>
        <v>KB/1099/2026</v>
      </c>
      <c r="D779" s="218" t="b">
        <v>1</v>
      </c>
      <c r="E779" s="218" t="b">
        <v>0</v>
      </c>
      <c r="F779" s="234">
        <v>46079.0</v>
      </c>
      <c r="G779" s="173"/>
      <c r="H779" s="157" t="s">
        <v>5886</v>
      </c>
      <c r="I779" s="157" t="s">
        <v>6214</v>
      </c>
      <c r="J779" s="157">
        <v>2026.0</v>
      </c>
    </row>
    <row r="780">
      <c r="A780" s="218">
        <f t="shared" si="2"/>
        <v>777</v>
      </c>
      <c r="B780" s="218" t="s">
        <v>202</v>
      </c>
      <c r="C780" s="236" t="str">
        <f t="shared" si="1"/>
        <v>KB/1100/2026</v>
      </c>
      <c r="D780" s="218" t="b">
        <v>1</v>
      </c>
      <c r="E780" s="218" t="b">
        <v>0</v>
      </c>
      <c r="F780" s="234">
        <v>46079.0</v>
      </c>
      <c r="G780" s="173"/>
      <c r="H780" s="157" t="s">
        <v>5886</v>
      </c>
      <c r="I780" s="157" t="s">
        <v>6215</v>
      </c>
      <c r="J780" s="157">
        <v>2026.0</v>
      </c>
    </row>
    <row r="781">
      <c r="A781" s="218">
        <f t="shared" si="2"/>
        <v>778</v>
      </c>
      <c r="B781" s="218" t="s">
        <v>202</v>
      </c>
      <c r="C781" s="236" t="str">
        <f t="shared" si="1"/>
        <v>KB/1101/2026</v>
      </c>
      <c r="D781" s="218" t="b">
        <v>1</v>
      </c>
      <c r="E781" s="218" t="b">
        <v>0</v>
      </c>
      <c r="F781" s="234">
        <v>46079.0</v>
      </c>
      <c r="G781" s="173"/>
      <c r="H781" s="157" t="s">
        <v>5886</v>
      </c>
      <c r="I781" s="157" t="s">
        <v>6216</v>
      </c>
      <c r="J781" s="157">
        <v>2026.0</v>
      </c>
    </row>
    <row r="782">
      <c r="A782" s="218">
        <f t="shared" si="2"/>
        <v>779</v>
      </c>
      <c r="B782" s="218" t="s">
        <v>202</v>
      </c>
      <c r="C782" s="236" t="str">
        <f t="shared" si="1"/>
        <v>KB/1102/2026</v>
      </c>
      <c r="D782" s="218" t="b">
        <v>1</v>
      </c>
      <c r="E782" s="218" t="b">
        <v>0</v>
      </c>
      <c r="F782" s="234">
        <v>46079.0</v>
      </c>
      <c r="G782" s="173"/>
      <c r="H782" s="157" t="s">
        <v>5886</v>
      </c>
      <c r="I782" s="157" t="s">
        <v>6217</v>
      </c>
      <c r="J782" s="157">
        <v>2026.0</v>
      </c>
    </row>
    <row r="783">
      <c r="A783" s="218">
        <f t="shared" si="2"/>
        <v>780</v>
      </c>
      <c r="B783" s="218" t="s">
        <v>202</v>
      </c>
      <c r="C783" s="236" t="str">
        <f t="shared" si="1"/>
        <v>KB/1103/2026</v>
      </c>
      <c r="D783" s="218" t="b">
        <v>1</v>
      </c>
      <c r="E783" s="218" t="b">
        <v>0</v>
      </c>
      <c r="F783" s="234">
        <v>46079.0</v>
      </c>
      <c r="G783" s="173"/>
      <c r="H783" s="157" t="s">
        <v>5886</v>
      </c>
      <c r="I783" s="157" t="s">
        <v>6218</v>
      </c>
      <c r="J783" s="157">
        <v>2026.0</v>
      </c>
    </row>
    <row r="784">
      <c r="A784" s="218">
        <f t="shared" si="2"/>
        <v>781</v>
      </c>
      <c r="B784" s="218" t="s">
        <v>202</v>
      </c>
      <c r="C784" s="236" t="str">
        <f t="shared" si="1"/>
        <v>KB/1104/2026</v>
      </c>
      <c r="D784" s="218" t="b">
        <v>1</v>
      </c>
      <c r="E784" s="218" t="b">
        <v>0</v>
      </c>
      <c r="F784" s="234">
        <v>46079.0</v>
      </c>
      <c r="G784" s="173"/>
      <c r="H784" s="157" t="s">
        <v>5886</v>
      </c>
      <c r="I784" s="157" t="s">
        <v>6219</v>
      </c>
      <c r="J784" s="157">
        <v>2026.0</v>
      </c>
    </row>
    <row r="785">
      <c r="A785" s="218">
        <f t="shared" si="2"/>
        <v>782</v>
      </c>
      <c r="B785" s="218" t="s">
        <v>202</v>
      </c>
      <c r="C785" s="236" t="str">
        <f t="shared" si="1"/>
        <v>KB/1105/2026</v>
      </c>
      <c r="D785" s="218" t="b">
        <v>1</v>
      </c>
      <c r="E785" s="218" t="b">
        <v>0</v>
      </c>
      <c r="F785" s="234">
        <v>46079.0</v>
      </c>
      <c r="G785" s="173"/>
      <c r="H785" s="157" t="s">
        <v>5886</v>
      </c>
      <c r="I785" s="157" t="s">
        <v>6220</v>
      </c>
      <c r="J785" s="157">
        <v>2026.0</v>
      </c>
    </row>
    <row r="786">
      <c r="A786" s="218">
        <f t="shared" si="2"/>
        <v>783</v>
      </c>
      <c r="B786" s="218" t="s">
        <v>202</v>
      </c>
      <c r="C786" s="236" t="str">
        <f t="shared" si="1"/>
        <v>KB/1106/2026</v>
      </c>
      <c r="D786" s="218" t="b">
        <v>1</v>
      </c>
      <c r="E786" s="218" t="b">
        <v>0</v>
      </c>
      <c r="F786" s="234">
        <v>46079.0</v>
      </c>
      <c r="G786" s="173"/>
      <c r="H786" s="157" t="s">
        <v>5886</v>
      </c>
      <c r="I786" s="157" t="s">
        <v>6221</v>
      </c>
      <c r="J786" s="157">
        <v>2026.0</v>
      </c>
    </row>
    <row r="787">
      <c r="A787" s="218">
        <f t="shared" si="2"/>
        <v>784</v>
      </c>
      <c r="B787" s="218" t="s">
        <v>202</v>
      </c>
      <c r="C787" s="236" t="str">
        <f t="shared" si="1"/>
        <v>KB/1107/2026</v>
      </c>
      <c r="D787" s="218" t="b">
        <v>1</v>
      </c>
      <c r="E787" s="218" t="b">
        <v>0</v>
      </c>
      <c r="F787" s="234">
        <v>46079.0</v>
      </c>
      <c r="G787" s="173"/>
      <c r="H787" s="157" t="s">
        <v>5886</v>
      </c>
      <c r="I787" s="157" t="s">
        <v>6222</v>
      </c>
      <c r="J787" s="157">
        <v>2026.0</v>
      </c>
    </row>
    <row r="788">
      <c r="A788" s="218">
        <f t="shared" si="2"/>
        <v>785</v>
      </c>
      <c r="B788" s="218" t="s">
        <v>202</v>
      </c>
      <c r="C788" s="236" t="str">
        <f t="shared" si="1"/>
        <v>KB/1108/2026</v>
      </c>
      <c r="D788" s="218" t="b">
        <v>1</v>
      </c>
      <c r="E788" s="218" t="b">
        <v>0</v>
      </c>
      <c r="F788" s="234">
        <v>46079.0</v>
      </c>
      <c r="G788" s="173"/>
      <c r="H788" s="157" t="s">
        <v>5886</v>
      </c>
      <c r="I788" s="157" t="s">
        <v>6223</v>
      </c>
      <c r="J788" s="157">
        <v>2026.0</v>
      </c>
    </row>
    <row r="789">
      <c r="A789" s="218">
        <f t="shared" si="2"/>
        <v>786</v>
      </c>
      <c r="B789" s="218" t="s">
        <v>202</v>
      </c>
      <c r="C789" s="236" t="str">
        <f t="shared" si="1"/>
        <v>KB/1109/2026</v>
      </c>
      <c r="D789" s="218" t="b">
        <v>1</v>
      </c>
      <c r="E789" s="218" t="b">
        <v>0</v>
      </c>
      <c r="F789" s="234">
        <v>46079.0</v>
      </c>
      <c r="G789" s="173"/>
      <c r="H789" s="157" t="s">
        <v>5886</v>
      </c>
      <c r="I789" s="157" t="s">
        <v>6224</v>
      </c>
      <c r="J789" s="157">
        <v>2026.0</v>
      </c>
    </row>
    <row r="790">
      <c r="A790" s="218">
        <f t="shared" si="2"/>
        <v>787</v>
      </c>
      <c r="B790" s="218" t="s">
        <v>202</v>
      </c>
      <c r="C790" s="236" t="str">
        <f t="shared" si="1"/>
        <v>KB/1110/2026</v>
      </c>
      <c r="D790" s="218" t="b">
        <v>1</v>
      </c>
      <c r="E790" s="218" t="b">
        <v>0</v>
      </c>
      <c r="F790" s="234">
        <v>46079.0</v>
      </c>
      <c r="G790" s="173"/>
      <c r="H790" s="157" t="s">
        <v>5886</v>
      </c>
      <c r="I790" s="157" t="s">
        <v>6225</v>
      </c>
      <c r="J790" s="157">
        <v>2026.0</v>
      </c>
    </row>
    <row r="791">
      <c r="A791" s="218">
        <f t="shared" si="2"/>
        <v>788</v>
      </c>
      <c r="B791" s="218" t="s">
        <v>202</v>
      </c>
      <c r="C791" s="236" t="str">
        <f t="shared" si="1"/>
        <v>KB/1111/2026</v>
      </c>
      <c r="D791" s="218" t="b">
        <v>1</v>
      </c>
      <c r="E791" s="218" t="b">
        <v>0</v>
      </c>
      <c r="F791" s="234">
        <v>46079.0</v>
      </c>
      <c r="G791" s="173"/>
      <c r="H791" s="157" t="s">
        <v>5886</v>
      </c>
      <c r="I791" s="157" t="s">
        <v>6226</v>
      </c>
      <c r="J791" s="157">
        <v>2026.0</v>
      </c>
    </row>
    <row r="792">
      <c r="A792" s="218">
        <f t="shared" si="2"/>
        <v>789</v>
      </c>
      <c r="B792" s="218" t="s">
        <v>202</v>
      </c>
      <c r="C792" s="236" t="str">
        <f t="shared" si="1"/>
        <v>KB/1112/2026</v>
      </c>
      <c r="D792" s="218" t="b">
        <v>1</v>
      </c>
      <c r="E792" s="218" t="b">
        <v>0</v>
      </c>
      <c r="F792" s="234">
        <v>46079.0</v>
      </c>
      <c r="G792" s="173"/>
      <c r="H792" s="157" t="s">
        <v>5886</v>
      </c>
      <c r="I792" s="157" t="s">
        <v>6227</v>
      </c>
      <c r="J792" s="157">
        <v>2026.0</v>
      </c>
    </row>
    <row r="793">
      <c r="A793" s="218">
        <f t="shared" si="2"/>
        <v>790</v>
      </c>
      <c r="B793" s="218" t="s">
        <v>202</v>
      </c>
      <c r="C793" s="236" t="str">
        <f t="shared" si="1"/>
        <v>KB/1113/2026</v>
      </c>
      <c r="D793" s="218" t="b">
        <v>1</v>
      </c>
      <c r="E793" s="218" t="b">
        <v>0</v>
      </c>
      <c r="F793" s="234">
        <v>46079.0</v>
      </c>
      <c r="G793" s="173"/>
      <c r="H793" s="157" t="s">
        <v>5886</v>
      </c>
      <c r="I793" s="157" t="s">
        <v>6228</v>
      </c>
      <c r="J793" s="157">
        <v>2026.0</v>
      </c>
    </row>
    <row r="794">
      <c r="A794" s="218">
        <f t="shared" si="2"/>
        <v>791</v>
      </c>
      <c r="B794" s="218" t="s">
        <v>202</v>
      </c>
      <c r="C794" s="236" t="str">
        <f t="shared" si="1"/>
        <v>KB/1114/2026</v>
      </c>
      <c r="D794" s="218" t="b">
        <v>1</v>
      </c>
      <c r="E794" s="218" t="b">
        <v>0</v>
      </c>
      <c r="F794" s="234">
        <v>46079.0</v>
      </c>
      <c r="G794" s="173"/>
      <c r="H794" s="157" t="s">
        <v>5886</v>
      </c>
      <c r="I794" s="157" t="s">
        <v>6229</v>
      </c>
      <c r="J794" s="157">
        <v>2026.0</v>
      </c>
    </row>
    <row r="795">
      <c r="A795" s="218">
        <f t="shared" si="2"/>
        <v>792</v>
      </c>
      <c r="B795" s="218" t="s">
        <v>202</v>
      </c>
      <c r="C795" s="236" t="str">
        <f t="shared" si="1"/>
        <v>KB/1115/2026</v>
      </c>
      <c r="D795" s="218" t="b">
        <v>1</v>
      </c>
      <c r="E795" s="218" t="b">
        <v>0</v>
      </c>
      <c r="F795" s="234">
        <v>46079.0</v>
      </c>
      <c r="G795" s="173"/>
      <c r="H795" s="157" t="s">
        <v>5886</v>
      </c>
      <c r="I795" s="157" t="s">
        <v>6230</v>
      </c>
      <c r="J795" s="157">
        <v>2026.0</v>
      </c>
    </row>
    <row r="796">
      <c r="A796" s="218">
        <f t="shared" si="2"/>
        <v>793</v>
      </c>
      <c r="B796" s="218" t="s">
        <v>202</v>
      </c>
      <c r="C796" s="236" t="str">
        <f t="shared" si="1"/>
        <v>KB/1116/2026</v>
      </c>
      <c r="D796" s="218" t="b">
        <v>1</v>
      </c>
      <c r="E796" s="218" t="b">
        <v>0</v>
      </c>
      <c r="F796" s="234">
        <v>46079.0</v>
      </c>
      <c r="G796" s="173"/>
      <c r="H796" s="157" t="s">
        <v>5886</v>
      </c>
      <c r="I796" s="157" t="s">
        <v>6231</v>
      </c>
      <c r="J796" s="157">
        <v>2026.0</v>
      </c>
    </row>
    <row r="797">
      <c r="A797" s="218">
        <f t="shared" si="2"/>
        <v>794</v>
      </c>
      <c r="B797" s="218" t="s">
        <v>202</v>
      </c>
      <c r="C797" s="236" t="str">
        <f t="shared" si="1"/>
        <v>KB/1117/2026</v>
      </c>
      <c r="D797" s="218" t="b">
        <v>1</v>
      </c>
      <c r="E797" s="218" t="b">
        <v>0</v>
      </c>
      <c r="F797" s="234">
        <v>46079.0</v>
      </c>
      <c r="G797" s="173"/>
      <c r="H797" s="157" t="s">
        <v>5886</v>
      </c>
      <c r="I797" s="157" t="s">
        <v>6232</v>
      </c>
      <c r="J797" s="157">
        <v>2026.0</v>
      </c>
    </row>
    <row r="798">
      <c r="A798" s="218">
        <f t="shared" si="2"/>
        <v>795</v>
      </c>
      <c r="B798" s="218" t="s">
        <v>202</v>
      </c>
      <c r="C798" s="236" t="str">
        <f t="shared" si="1"/>
        <v>KB/1118/2026</v>
      </c>
      <c r="D798" s="218" t="b">
        <v>1</v>
      </c>
      <c r="E798" s="218" t="b">
        <v>0</v>
      </c>
      <c r="F798" s="234">
        <v>46079.0</v>
      </c>
      <c r="G798" s="173"/>
      <c r="H798" s="157" t="s">
        <v>5886</v>
      </c>
      <c r="I798" s="157" t="s">
        <v>6233</v>
      </c>
      <c r="J798" s="157">
        <v>2026.0</v>
      </c>
    </row>
    <row r="799">
      <c r="A799" s="218">
        <f t="shared" si="2"/>
        <v>796</v>
      </c>
      <c r="B799" s="218" t="s">
        <v>202</v>
      </c>
      <c r="C799" s="236" t="str">
        <f t="shared" si="1"/>
        <v>KB/1119/2026</v>
      </c>
      <c r="D799" s="218" t="b">
        <v>1</v>
      </c>
      <c r="E799" s="218" t="b">
        <v>0</v>
      </c>
      <c r="F799" s="234">
        <v>46079.0</v>
      </c>
      <c r="G799" s="173"/>
      <c r="H799" s="157" t="s">
        <v>5886</v>
      </c>
      <c r="I799" s="157" t="s">
        <v>6234</v>
      </c>
      <c r="J799" s="157">
        <v>2026.0</v>
      </c>
    </row>
    <row r="800">
      <c r="A800" s="218">
        <f t="shared" si="2"/>
        <v>797</v>
      </c>
      <c r="B800" s="218" t="s">
        <v>202</v>
      </c>
      <c r="C800" s="236" t="str">
        <f t="shared" si="1"/>
        <v>KB/1120/2026</v>
      </c>
      <c r="D800" s="218" t="b">
        <v>1</v>
      </c>
      <c r="E800" s="218" t="b">
        <v>0</v>
      </c>
      <c r="F800" s="234">
        <v>46079.0</v>
      </c>
      <c r="G800" s="173"/>
      <c r="H800" s="157" t="s">
        <v>5886</v>
      </c>
      <c r="I800" s="157" t="s">
        <v>6235</v>
      </c>
      <c r="J800" s="157">
        <v>2026.0</v>
      </c>
    </row>
    <row r="801">
      <c r="A801" s="218">
        <f t="shared" si="2"/>
        <v>798</v>
      </c>
      <c r="B801" s="218" t="s">
        <v>202</v>
      </c>
      <c r="C801" s="236" t="str">
        <f t="shared" si="1"/>
        <v>KB/1121/2026</v>
      </c>
      <c r="D801" s="218" t="b">
        <v>1</v>
      </c>
      <c r="E801" s="218" t="b">
        <v>0</v>
      </c>
      <c r="F801" s="234">
        <v>46079.0</v>
      </c>
      <c r="G801" s="173"/>
      <c r="H801" s="157" t="s">
        <v>5886</v>
      </c>
      <c r="I801" s="157" t="s">
        <v>6236</v>
      </c>
      <c r="J801" s="157">
        <v>2026.0</v>
      </c>
    </row>
    <row r="802">
      <c r="A802" s="218">
        <f t="shared" si="2"/>
        <v>799</v>
      </c>
      <c r="B802" s="218" t="s">
        <v>202</v>
      </c>
      <c r="C802" s="236" t="str">
        <f t="shared" si="1"/>
        <v>KB/1122/2026</v>
      </c>
      <c r="D802" s="218" t="b">
        <v>1</v>
      </c>
      <c r="E802" s="218" t="b">
        <v>0</v>
      </c>
      <c r="F802" s="234">
        <v>46079.0</v>
      </c>
      <c r="G802" s="173"/>
      <c r="H802" s="157" t="s">
        <v>5886</v>
      </c>
      <c r="I802" s="157" t="s">
        <v>6237</v>
      </c>
      <c r="J802" s="157">
        <v>2026.0</v>
      </c>
    </row>
    <row r="803">
      <c r="A803" s="218">
        <f t="shared" si="2"/>
        <v>800</v>
      </c>
      <c r="B803" s="218" t="s">
        <v>202</v>
      </c>
      <c r="C803" s="236" t="str">
        <f t="shared" si="1"/>
        <v>KB/1123/2026</v>
      </c>
      <c r="D803" s="218" t="b">
        <v>1</v>
      </c>
      <c r="E803" s="218" t="b">
        <v>0</v>
      </c>
      <c r="F803" s="234">
        <v>46079.0</v>
      </c>
      <c r="G803" s="173"/>
      <c r="H803" s="157" t="s">
        <v>5886</v>
      </c>
      <c r="I803" s="157" t="s">
        <v>6238</v>
      </c>
      <c r="J803" s="157">
        <v>2026.0</v>
      </c>
    </row>
    <row r="804">
      <c r="A804" s="218">
        <f t="shared" si="2"/>
        <v>801</v>
      </c>
      <c r="B804" s="218" t="s">
        <v>202</v>
      </c>
      <c r="C804" s="236" t="str">
        <f t="shared" si="1"/>
        <v>KB/1124/2026</v>
      </c>
      <c r="D804" s="218" t="b">
        <v>1</v>
      </c>
      <c r="E804" s="218" t="b">
        <v>0</v>
      </c>
      <c r="F804" s="234">
        <v>46079.0</v>
      </c>
      <c r="G804" s="173"/>
      <c r="H804" s="157" t="s">
        <v>5886</v>
      </c>
      <c r="I804" s="157" t="s">
        <v>6239</v>
      </c>
      <c r="J804" s="157">
        <v>2026.0</v>
      </c>
    </row>
    <row r="805">
      <c r="A805" s="218">
        <f t="shared" si="2"/>
        <v>802</v>
      </c>
      <c r="B805" s="218" t="s">
        <v>202</v>
      </c>
      <c r="C805" s="236" t="str">
        <f t="shared" si="1"/>
        <v>KB/1125/2026</v>
      </c>
      <c r="D805" s="218" t="b">
        <v>1</v>
      </c>
      <c r="E805" s="218" t="b">
        <v>0</v>
      </c>
      <c r="F805" s="234">
        <v>46079.0</v>
      </c>
      <c r="G805" s="173"/>
      <c r="H805" s="157" t="s">
        <v>5886</v>
      </c>
      <c r="I805" s="157" t="s">
        <v>6240</v>
      </c>
      <c r="J805" s="157">
        <v>2026.0</v>
      </c>
    </row>
    <row r="806">
      <c r="A806" s="218">
        <f t="shared" si="2"/>
        <v>803</v>
      </c>
      <c r="B806" s="218" t="s">
        <v>202</v>
      </c>
      <c r="C806" s="236" t="str">
        <f t="shared" si="1"/>
        <v>KB/1126/2026</v>
      </c>
      <c r="D806" s="218" t="b">
        <v>1</v>
      </c>
      <c r="E806" s="218" t="b">
        <v>0</v>
      </c>
      <c r="F806" s="234">
        <v>46079.0</v>
      </c>
      <c r="G806" s="173"/>
      <c r="H806" s="157" t="s">
        <v>5886</v>
      </c>
      <c r="I806" s="157" t="s">
        <v>6241</v>
      </c>
      <c r="J806" s="157">
        <v>2026.0</v>
      </c>
    </row>
    <row r="807">
      <c r="A807" s="218">
        <f t="shared" si="2"/>
        <v>804</v>
      </c>
      <c r="B807" s="218" t="s">
        <v>202</v>
      </c>
      <c r="C807" s="236" t="str">
        <f t="shared" si="1"/>
        <v>KB/1127/2026</v>
      </c>
      <c r="D807" s="218" t="b">
        <v>1</v>
      </c>
      <c r="E807" s="218" t="b">
        <v>0</v>
      </c>
      <c r="F807" s="234">
        <v>46079.0</v>
      </c>
      <c r="G807" s="173"/>
      <c r="H807" s="157" t="s">
        <v>5886</v>
      </c>
      <c r="I807" s="157" t="s">
        <v>6242</v>
      </c>
      <c r="J807" s="157">
        <v>2026.0</v>
      </c>
    </row>
    <row r="808">
      <c r="A808" s="218">
        <f t="shared" si="2"/>
        <v>805</v>
      </c>
      <c r="B808" s="218" t="s">
        <v>202</v>
      </c>
      <c r="C808" s="236" t="str">
        <f t="shared" si="1"/>
        <v>KB/1128/2026</v>
      </c>
      <c r="D808" s="218" t="b">
        <v>1</v>
      </c>
      <c r="E808" s="218" t="b">
        <v>0</v>
      </c>
      <c r="F808" s="234">
        <v>46079.0</v>
      </c>
      <c r="G808" s="173"/>
      <c r="H808" s="157" t="s">
        <v>5886</v>
      </c>
      <c r="I808" s="157" t="s">
        <v>6243</v>
      </c>
      <c r="J808" s="157">
        <v>2026.0</v>
      </c>
    </row>
    <row r="809">
      <c r="A809" s="218">
        <f t="shared" si="2"/>
        <v>806</v>
      </c>
      <c r="B809" s="218" t="s">
        <v>202</v>
      </c>
      <c r="C809" s="236" t="str">
        <f t="shared" si="1"/>
        <v>KB/1129/2026</v>
      </c>
      <c r="D809" s="218" t="b">
        <v>1</v>
      </c>
      <c r="E809" s="218" t="b">
        <v>0</v>
      </c>
      <c r="F809" s="234">
        <v>46079.0</v>
      </c>
      <c r="G809" s="173"/>
      <c r="H809" s="157" t="s">
        <v>5886</v>
      </c>
      <c r="I809" s="157" t="s">
        <v>6244</v>
      </c>
      <c r="J809" s="157">
        <v>2026.0</v>
      </c>
    </row>
    <row r="810">
      <c r="A810" s="218">
        <f t="shared" si="2"/>
        <v>807</v>
      </c>
      <c r="B810" s="218" t="s">
        <v>202</v>
      </c>
      <c r="C810" s="236" t="str">
        <f t="shared" si="1"/>
        <v>KB/1130/2026</v>
      </c>
      <c r="D810" s="218" t="b">
        <v>1</v>
      </c>
      <c r="E810" s="218" t="b">
        <v>0</v>
      </c>
      <c r="F810" s="234">
        <v>46079.0</v>
      </c>
      <c r="G810" s="173"/>
      <c r="H810" s="157" t="s">
        <v>5886</v>
      </c>
      <c r="I810" s="157" t="s">
        <v>6245</v>
      </c>
      <c r="J810" s="157">
        <v>2026.0</v>
      </c>
    </row>
    <row r="811">
      <c r="A811" s="218">
        <f t="shared" si="2"/>
        <v>808</v>
      </c>
      <c r="B811" s="218" t="s">
        <v>202</v>
      </c>
      <c r="C811" s="236" t="str">
        <f t="shared" si="1"/>
        <v>KB/1131/2026</v>
      </c>
      <c r="D811" s="218" t="b">
        <v>1</v>
      </c>
      <c r="E811" s="218" t="b">
        <v>0</v>
      </c>
      <c r="F811" s="234">
        <v>46079.0</v>
      </c>
      <c r="G811" s="173"/>
      <c r="H811" s="157" t="s">
        <v>5886</v>
      </c>
      <c r="I811" s="157" t="s">
        <v>6246</v>
      </c>
      <c r="J811" s="157">
        <v>2026.0</v>
      </c>
    </row>
    <row r="812">
      <c r="A812" s="218">
        <f t="shared" si="2"/>
        <v>809</v>
      </c>
      <c r="B812" s="218" t="s">
        <v>202</v>
      </c>
      <c r="C812" s="236" t="str">
        <f t="shared" si="1"/>
        <v>KB/1132/2026</v>
      </c>
      <c r="D812" s="218" t="b">
        <v>1</v>
      </c>
      <c r="E812" s="218" t="b">
        <v>0</v>
      </c>
      <c r="F812" s="234">
        <v>46079.0</v>
      </c>
      <c r="G812" s="173"/>
      <c r="H812" s="157" t="s">
        <v>5886</v>
      </c>
      <c r="I812" s="157" t="s">
        <v>6247</v>
      </c>
      <c r="J812" s="157">
        <v>2026.0</v>
      </c>
    </row>
    <row r="813">
      <c r="A813" s="218">
        <f t="shared" si="2"/>
        <v>810</v>
      </c>
      <c r="B813" s="218" t="s">
        <v>202</v>
      </c>
      <c r="C813" s="236" t="str">
        <f t="shared" si="1"/>
        <v>KB/1133/2026</v>
      </c>
      <c r="D813" s="218" t="b">
        <v>1</v>
      </c>
      <c r="E813" s="218" t="b">
        <v>0</v>
      </c>
      <c r="F813" s="234">
        <v>46079.0</v>
      </c>
      <c r="G813" s="173"/>
      <c r="H813" s="157" t="s">
        <v>5886</v>
      </c>
      <c r="I813" s="157" t="s">
        <v>6248</v>
      </c>
      <c r="J813" s="157">
        <v>2026.0</v>
      </c>
    </row>
    <row r="814">
      <c r="A814" s="218">
        <f t="shared" si="2"/>
        <v>811</v>
      </c>
      <c r="B814" s="218" t="s">
        <v>202</v>
      </c>
      <c r="C814" s="236" t="str">
        <f t="shared" si="1"/>
        <v>KB/1134/2026</v>
      </c>
      <c r="D814" s="218" t="b">
        <v>1</v>
      </c>
      <c r="E814" s="218" t="b">
        <v>0</v>
      </c>
      <c r="F814" s="234">
        <v>46079.0</v>
      </c>
      <c r="G814" s="173"/>
      <c r="H814" s="157" t="s">
        <v>5886</v>
      </c>
      <c r="I814" s="157" t="s">
        <v>6249</v>
      </c>
      <c r="J814" s="157">
        <v>2026.0</v>
      </c>
    </row>
    <row r="815">
      <c r="A815" s="218">
        <f t="shared" si="2"/>
        <v>812</v>
      </c>
      <c r="B815" s="218" t="s">
        <v>202</v>
      </c>
      <c r="C815" s="236" t="str">
        <f t="shared" si="1"/>
        <v>KB/1135/2026</v>
      </c>
      <c r="D815" s="218" t="b">
        <v>1</v>
      </c>
      <c r="E815" s="218" t="b">
        <v>0</v>
      </c>
      <c r="F815" s="234">
        <v>46079.0</v>
      </c>
      <c r="G815" s="173"/>
      <c r="H815" s="157" t="s">
        <v>5886</v>
      </c>
      <c r="I815" s="157" t="s">
        <v>6250</v>
      </c>
      <c r="J815" s="157">
        <v>2026.0</v>
      </c>
    </row>
    <row r="816">
      <c r="A816" s="218">
        <f t="shared" si="2"/>
        <v>813</v>
      </c>
      <c r="B816" s="218" t="s">
        <v>202</v>
      </c>
      <c r="C816" s="236" t="str">
        <f t="shared" si="1"/>
        <v>KB/1136/2026</v>
      </c>
      <c r="D816" s="218" t="b">
        <v>1</v>
      </c>
      <c r="E816" s="218" t="b">
        <v>0</v>
      </c>
      <c r="F816" s="234">
        <v>46079.0</v>
      </c>
      <c r="G816" s="173"/>
      <c r="H816" s="157" t="s">
        <v>5886</v>
      </c>
      <c r="I816" s="157" t="s">
        <v>6251</v>
      </c>
      <c r="J816" s="157">
        <v>2026.0</v>
      </c>
    </row>
    <row r="817">
      <c r="A817" s="218">
        <f t="shared" si="2"/>
        <v>814</v>
      </c>
      <c r="B817" s="218" t="s">
        <v>202</v>
      </c>
      <c r="C817" s="236" t="str">
        <f t="shared" si="1"/>
        <v>KB/1137/2026</v>
      </c>
      <c r="D817" s="218" t="b">
        <v>1</v>
      </c>
      <c r="E817" s="218" t="b">
        <v>0</v>
      </c>
      <c r="F817" s="234">
        <v>46079.0</v>
      </c>
      <c r="G817" s="173"/>
      <c r="H817" s="157" t="s">
        <v>5886</v>
      </c>
      <c r="I817" s="157" t="s">
        <v>6252</v>
      </c>
      <c r="J817" s="157">
        <v>2026.0</v>
      </c>
    </row>
    <row r="818">
      <c r="A818" s="218">
        <f t="shared" si="2"/>
        <v>815</v>
      </c>
      <c r="B818" s="218" t="s">
        <v>202</v>
      </c>
      <c r="C818" s="236" t="str">
        <f t="shared" si="1"/>
        <v>KB/1138/2026</v>
      </c>
      <c r="D818" s="218" t="b">
        <v>1</v>
      </c>
      <c r="E818" s="218" t="b">
        <v>0</v>
      </c>
      <c r="F818" s="234">
        <v>46079.0</v>
      </c>
      <c r="G818" s="173"/>
      <c r="H818" s="157" t="s">
        <v>5886</v>
      </c>
      <c r="I818" s="157" t="s">
        <v>6253</v>
      </c>
      <c r="J818" s="157">
        <v>2026.0</v>
      </c>
    </row>
    <row r="819">
      <c r="A819" s="218">
        <f t="shared" si="2"/>
        <v>816</v>
      </c>
      <c r="B819" s="218" t="s">
        <v>202</v>
      </c>
      <c r="C819" s="236" t="str">
        <f t="shared" si="1"/>
        <v>KB/1139/2026</v>
      </c>
      <c r="D819" s="218" t="b">
        <v>1</v>
      </c>
      <c r="E819" s="218" t="b">
        <v>0</v>
      </c>
      <c r="F819" s="234">
        <v>46079.0</v>
      </c>
      <c r="G819" s="173"/>
      <c r="H819" s="157" t="s">
        <v>5886</v>
      </c>
      <c r="I819" s="157" t="s">
        <v>6254</v>
      </c>
      <c r="J819" s="157">
        <v>2026.0</v>
      </c>
    </row>
    <row r="820">
      <c r="A820" s="218">
        <f t="shared" si="2"/>
        <v>817</v>
      </c>
      <c r="B820" s="218" t="s">
        <v>202</v>
      </c>
      <c r="C820" s="236" t="str">
        <f t="shared" si="1"/>
        <v>KB/1140/2026</v>
      </c>
      <c r="D820" s="218" t="b">
        <v>1</v>
      </c>
      <c r="E820" s="218" t="b">
        <v>0</v>
      </c>
      <c r="F820" s="234">
        <v>46079.0</v>
      </c>
      <c r="G820" s="173"/>
      <c r="H820" s="157" t="s">
        <v>5886</v>
      </c>
      <c r="I820" s="157" t="s">
        <v>6255</v>
      </c>
      <c r="J820" s="157">
        <v>2026.0</v>
      </c>
    </row>
    <row r="821">
      <c r="A821" s="218">
        <f t="shared" si="2"/>
        <v>818</v>
      </c>
      <c r="B821" s="218" t="s">
        <v>202</v>
      </c>
      <c r="C821" s="236" t="str">
        <f t="shared" si="1"/>
        <v>KB/1141/2026</v>
      </c>
      <c r="D821" s="218" t="b">
        <v>1</v>
      </c>
      <c r="E821" s="218" t="b">
        <v>0</v>
      </c>
      <c r="F821" s="234">
        <v>46079.0</v>
      </c>
      <c r="G821" s="173"/>
      <c r="H821" s="157" t="s">
        <v>5886</v>
      </c>
      <c r="I821" s="157" t="s">
        <v>6256</v>
      </c>
      <c r="J821" s="157">
        <v>2026.0</v>
      </c>
    </row>
    <row r="822">
      <c r="A822" s="218">
        <f t="shared" si="2"/>
        <v>819</v>
      </c>
      <c r="B822" s="218" t="s">
        <v>202</v>
      </c>
      <c r="C822" s="236" t="str">
        <f t="shared" si="1"/>
        <v>KB/1142/2026</v>
      </c>
      <c r="D822" s="218" t="b">
        <v>1</v>
      </c>
      <c r="E822" s="218" t="b">
        <v>0</v>
      </c>
      <c r="F822" s="234">
        <v>46079.0</v>
      </c>
      <c r="G822" s="173"/>
      <c r="H822" s="157" t="s">
        <v>5886</v>
      </c>
      <c r="I822" s="157" t="s">
        <v>6257</v>
      </c>
      <c r="J822" s="157">
        <v>2026.0</v>
      </c>
    </row>
    <row r="823">
      <c r="A823" s="218">
        <f t="shared" si="2"/>
        <v>820</v>
      </c>
      <c r="B823" s="218" t="s">
        <v>202</v>
      </c>
      <c r="C823" s="236" t="str">
        <f t="shared" si="1"/>
        <v>KB/1143/2026</v>
      </c>
      <c r="D823" s="218" t="b">
        <v>1</v>
      </c>
      <c r="E823" s="218" t="b">
        <v>0</v>
      </c>
      <c r="F823" s="238">
        <v>46090.0</v>
      </c>
      <c r="G823" s="173"/>
      <c r="H823" s="157" t="s">
        <v>5886</v>
      </c>
      <c r="I823" s="157" t="s">
        <v>6258</v>
      </c>
      <c r="J823" s="157">
        <v>2026.0</v>
      </c>
    </row>
    <row r="824">
      <c r="A824" s="218">
        <f t="shared" si="2"/>
        <v>821</v>
      </c>
      <c r="B824" s="218" t="s">
        <v>202</v>
      </c>
      <c r="C824" s="236" t="str">
        <f t="shared" si="1"/>
        <v>KB/1144/2026</v>
      </c>
      <c r="D824" s="218" t="b">
        <v>1</v>
      </c>
      <c r="E824" s="218" t="b">
        <v>0</v>
      </c>
      <c r="F824" s="238">
        <v>46090.0</v>
      </c>
      <c r="G824" s="173"/>
      <c r="H824" s="157" t="s">
        <v>5886</v>
      </c>
      <c r="I824" s="157" t="s">
        <v>6259</v>
      </c>
      <c r="J824" s="157">
        <v>2026.0</v>
      </c>
    </row>
    <row r="825">
      <c r="A825" s="218">
        <f t="shared" si="2"/>
        <v>822</v>
      </c>
      <c r="B825" s="218" t="s">
        <v>202</v>
      </c>
      <c r="C825" s="236" t="str">
        <f t="shared" si="1"/>
        <v>KB/1145/2026</v>
      </c>
      <c r="D825" s="218" t="b">
        <v>1</v>
      </c>
      <c r="E825" s="218" t="b">
        <v>0</v>
      </c>
      <c r="F825" s="238">
        <v>46090.0</v>
      </c>
      <c r="G825" s="173"/>
      <c r="H825" s="157" t="s">
        <v>5886</v>
      </c>
      <c r="I825" s="157" t="s">
        <v>6260</v>
      </c>
      <c r="J825" s="157">
        <v>2026.0</v>
      </c>
    </row>
    <row r="826">
      <c r="A826" s="218">
        <f t="shared" si="2"/>
        <v>823</v>
      </c>
      <c r="B826" s="218" t="s">
        <v>202</v>
      </c>
      <c r="C826" s="236" t="str">
        <f t="shared" si="1"/>
        <v>KB/1146/2026</v>
      </c>
      <c r="D826" s="218" t="b">
        <v>1</v>
      </c>
      <c r="E826" s="218" t="b">
        <v>0</v>
      </c>
      <c r="F826" s="238">
        <v>46090.0</v>
      </c>
      <c r="G826" s="173"/>
      <c r="H826" s="157" t="s">
        <v>5886</v>
      </c>
      <c r="I826" s="157" t="s">
        <v>6261</v>
      </c>
      <c r="J826" s="157">
        <v>2026.0</v>
      </c>
    </row>
    <row r="827">
      <c r="A827" s="218">
        <f t="shared" si="2"/>
        <v>824</v>
      </c>
      <c r="B827" s="218" t="s">
        <v>202</v>
      </c>
      <c r="C827" s="236" t="str">
        <f t="shared" si="1"/>
        <v>KB/1147/2026</v>
      </c>
      <c r="D827" s="218" t="b">
        <v>1</v>
      </c>
      <c r="E827" s="218" t="b">
        <v>0</v>
      </c>
      <c r="F827" s="238">
        <v>46090.0</v>
      </c>
      <c r="G827" s="173"/>
      <c r="H827" s="157" t="s">
        <v>5886</v>
      </c>
      <c r="I827" s="157" t="s">
        <v>6262</v>
      </c>
      <c r="J827" s="157">
        <v>2026.0</v>
      </c>
    </row>
    <row r="828">
      <c r="A828" s="218">
        <f t="shared" si="2"/>
        <v>825</v>
      </c>
      <c r="B828" s="218" t="s">
        <v>202</v>
      </c>
      <c r="C828" s="236" t="str">
        <f t="shared" si="1"/>
        <v>KB/1148/2026</v>
      </c>
      <c r="D828" s="218" t="b">
        <v>1</v>
      </c>
      <c r="E828" s="218" t="b">
        <v>0</v>
      </c>
      <c r="F828" s="238">
        <v>46090.0</v>
      </c>
      <c r="G828" s="173"/>
      <c r="H828" s="157" t="s">
        <v>5886</v>
      </c>
      <c r="I828" s="157" t="s">
        <v>6263</v>
      </c>
      <c r="J828" s="157">
        <v>2026.0</v>
      </c>
    </row>
    <row r="829">
      <c r="A829" s="218">
        <f t="shared" si="2"/>
        <v>826</v>
      </c>
      <c r="B829" s="218" t="s">
        <v>202</v>
      </c>
      <c r="C829" s="236" t="str">
        <f t="shared" si="1"/>
        <v>KB/1149/2026</v>
      </c>
      <c r="D829" s="218" t="b">
        <v>1</v>
      </c>
      <c r="E829" s="218" t="b">
        <v>0</v>
      </c>
      <c r="F829" s="238">
        <v>46090.0</v>
      </c>
      <c r="G829" s="173"/>
      <c r="H829" s="157" t="s">
        <v>5886</v>
      </c>
      <c r="I829" s="157" t="s">
        <v>6264</v>
      </c>
      <c r="J829" s="157">
        <v>2026.0</v>
      </c>
    </row>
    <row r="830">
      <c r="A830" s="218">
        <f t="shared" si="2"/>
        <v>827</v>
      </c>
      <c r="B830" s="218" t="s">
        <v>202</v>
      </c>
      <c r="C830" s="236" t="str">
        <f t="shared" si="1"/>
        <v>KB/1150/2026</v>
      </c>
      <c r="D830" s="218" t="b">
        <v>1</v>
      </c>
      <c r="E830" s="218" t="b">
        <v>0</v>
      </c>
      <c r="F830" s="238">
        <v>46090.0</v>
      </c>
      <c r="G830" s="173"/>
      <c r="H830" s="157" t="s">
        <v>5886</v>
      </c>
      <c r="I830" s="157" t="s">
        <v>6265</v>
      </c>
      <c r="J830" s="157">
        <v>2026.0</v>
      </c>
    </row>
    <row r="831">
      <c r="A831" s="218">
        <f t="shared" si="2"/>
        <v>828</v>
      </c>
      <c r="B831" s="218" t="s">
        <v>202</v>
      </c>
      <c r="C831" s="236" t="str">
        <f t="shared" si="1"/>
        <v>KB/1151/2026</v>
      </c>
      <c r="D831" s="218" t="b">
        <v>1</v>
      </c>
      <c r="E831" s="218" t="b">
        <v>0</v>
      </c>
      <c r="F831" s="238">
        <v>46090.0</v>
      </c>
      <c r="G831" s="173"/>
      <c r="H831" s="157" t="s">
        <v>5886</v>
      </c>
      <c r="I831" s="157" t="s">
        <v>6266</v>
      </c>
      <c r="J831" s="157">
        <v>2026.0</v>
      </c>
    </row>
    <row r="832">
      <c r="A832" s="218">
        <f t="shared" si="2"/>
        <v>829</v>
      </c>
      <c r="B832" s="218" t="s">
        <v>202</v>
      </c>
      <c r="C832" s="236" t="str">
        <f t="shared" si="1"/>
        <v>KB/1152/2026</v>
      </c>
      <c r="D832" s="218" t="b">
        <v>1</v>
      </c>
      <c r="E832" s="218" t="b">
        <v>0</v>
      </c>
      <c r="F832" s="238">
        <v>46090.0</v>
      </c>
      <c r="G832" s="173"/>
      <c r="H832" s="157" t="s">
        <v>5886</v>
      </c>
      <c r="I832" s="157" t="s">
        <v>6267</v>
      </c>
      <c r="J832" s="157">
        <v>2026.0</v>
      </c>
    </row>
    <row r="833">
      <c r="A833" s="218">
        <f t="shared" si="2"/>
        <v>830</v>
      </c>
      <c r="B833" s="218" t="s">
        <v>202</v>
      </c>
      <c r="C833" s="236" t="str">
        <f t="shared" si="1"/>
        <v>KB/1153/2026</v>
      </c>
      <c r="D833" s="218" t="b">
        <v>1</v>
      </c>
      <c r="E833" s="218" t="b">
        <v>0</v>
      </c>
      <c r="F833" s="238">
        <v>46090.0</v>
      </c>
      <c r="G833" s="173"/>
      <c r="H833" s="157" t="s">
        <v>5886</v>
      </c>
      <c r="I833" s="157" t="s">
        <v>6268</v>
      </c>
      <c r="J833" s="157">
        <v>2026.0</v>
      </c>
    </row>
    <row r="834">
      <c r="A834" s="218">
        <f t="shared" si="2"/>
        <v>831</v>
      </c>
      <c r="B834" s="218" t="s">
        <v>202</v>
      </c>
      <c r="C834" s="236" t="str">
        <f t="shared" si="1"/>
        <v>KB/1154/2026</v>
      </c>
      <c r="D834" s="218" t="b">
        <v>1</v>
      </c>
      <c r="E834" s="218" t="b">
        <v>0</v>
      </c>
      <c r="F834" s="238">
        <v>46090.0</v>
      </c>
      <c r="G834" s="173"/>
      <c r="H834" s="157" t="s">
        <v>5886</v>
      </c>
      <c r="I834" s="157" t="s">
        <v>6269</v>
      </c>
      <c r="J834" s="157">
        <v>2026.0</v>
      </c>
    </row>
    <row r="835">
      <c r="A835" s="218">
        <f t="shared" si="2"/>
        <v>832</v>
      </c>
      <c r="B835" s="218" t="s">
        <v>202</v>
      </c>
      <c r="C835" s="236" t="str">
        <f t="shared" si="1"/>
        <v>KB/1155/2026</v>
      </c>
      <c r="D835" s="218" t="b">
        <v>1</v>
      </c>
      <c r="E835" s="218" t="b">
        <v>0</v>
      </c>
      <c r="F835" s="238">
        <v>46090.0</v>
      </c>
      <c r="G835" s="173"/>
      <c r="H835" s="157" t="s">
        <v>5886</v>
      </c>
      <c r="I835" s="157" t="s">
        <v>6270</v>
      </c>
      <c r="J835" s="157">
        <v>2026.0</v>
      </c>
    </row>
    <row r="836">
      <c r="A836" s="218">
        <f t="shared" si="2"/>
        <v>833</v>
      </c>
      <c r="B836" s="218" t="s">
        <v>202</v>
      </c>
      <c r="C836" s="236" t="str">
        <f t="shared" si="1"/>
        <v>KB/1156/2026</v>
      </c>
      <c r="D836" s="218" t="b">
        <v>1</v>
      </c>
      <c r="E836" s="218" t="b">
        <v>0</v>
      </c>
      <c r="F836" s="238">
        <v>46090.0</v>
      </c>
      <c r="G836" s="173"/>
      <c r="H836" s="157" t="s">
        <v>5886</v>
      </c>
      <c r="I836" s="157" t="s">
        <v>6271</v>
      </c>
      <c r="J836" s="157">
        <v>2026.0</v>
      </c>
    </row>
    <row r="837">
      <c r="A837" s="218">
        <f t="shared" si="2"/>
        <v>834</v>
      </c>
      <c r="B837" s="218" t="s">
        <v>202</v>
      </c>
      <c r="C837" s="236" t="str">
        <f t="shared" si="1"/>
        <v>KB/1157/2026</v>
      </c>
      <c r="D837" s="218" t="b">
        <v>1</v>
      </c>
      <c r="E837" s="218" t="b">
        <v>0</v>
      </c>
      <c r="F837" s="238">
        <v>46090.0</v>
      </c>
      <c r="G837" s="173"/>
      <c r="H837" s="157" t="s">
        <v>5886</v>
      </c>
      <c r="I837" s="157" t="s">
        <v>6272</v>
      </c>
      <c r="J837" s="157">
        <v>2026.0</v>
      </c>
    </row>
    <row r="838">
      <c r="A838" s="218">
        <f t="shared" si="2"/>
        <v>835</v>
      </c>
      <c r="B838" s="218" t="s">
        <v>202</v>
      </c>
      <c r="C838" s="236" t="str">
        <f t="shared" si="1"/>
        <v>KB/1158/2026</v>
      </c>
      <c r="D838" s="218" t="b">
        <v>1</v>
      </c>
      <c r="E838" s="218" t="b">
        <v>0</v>
      </c>
      <c r="F838" s="238">
        <v>46090.0</v>
      </c>
      <c r="G838" s="173"/>
      <c r="H838" s="157" t="s">
        <v>5886</v>
      </c>
      <c r="I838" s="157" t="s">
        <v>6273</v>
      </c>
      <c r="J838" s="157">
        <v>2026.0</v>
      </c>
    </row>
    <row r="839">
      <c r="A839" s="218">
        <f t="shared" si="2"/>
        <v>836</v>
      </c>
      <c r="B839" s="218" t="s">
        <v>202</v>
      </c>
      <c r="C839" s="236" t="str">
        <f t="shared" si="1"/>
        <v>KB/1159/2026</v>
      </c>
      <c r="D839" s="218" t="b">
        <v>1</v>
      </c>
      <c r="E839" s="218" t="b">
        <v>0</v>
      </c>
      <c r="F839" s="238">
        <v>46090.0</v>
      </c>
      <c r="G839" s="173"/>
      <c r="H839" s="157" t="s">
        <v>5886</v>
      </c>
      <c r="I839" s="157" t="s">
        <v>6274</v>
      </c>
      <c r="J839" s="157">
        <v>2026.0</v>
      </c>
    </row>
    <row r="840">
      <c r="A840" s="218">
        <f t="shared" si="2"/>
        <v>837</v>
      </c>
      <c r="B840" s="218" t="s">
        <v>202</v>
      </c>
      <c r="C840" s="236" t="str">
        <f t="shared" si="1"/>
        <v>KB/1160/2026</v>
      </c>
      <c r="D840" s="218" t="b">
        <v>1</v>
      </c>
      <c r="E840" s="218" t="b">
        <v>0</v>
      </c>
      <c r="F840" s="238">
        <v>46090.0</v>
      </c>
      <c r="G840" s="173"/>
      <c r="H840" s="157" t="s">
        <v>5886</v>
      </c>
      <c r="I840" s="157" t="s">
        <v>6275</v>
      </c>
      <c r="J840" s="157">
        <v>2026.0</v>
      </c>
    </row>
    <row r="841">
      <c r="A841" s="218">
        <f t="shared" si="2"/>
        <v>838</v>
      </c>
      <c r="B841" s="218" t="s">
        <v>202</v>
      </c>
      <c r="C841" s="236" t="str">
        <f t="shared" si="1"/>
        <v>KB/1161/2026</v>
      </c>
      <c r="D841" s="218" t="b">
        <v>1</v>
      </c>
      <c r="E841" s="218" t="b">
        <v>0</v>
      </c>
      <c r="F841" s="238">
        <v>46090.0</v>
      </c>
      <c r="G841" s="173"/>
      <c r="H841" s="157" t="s">
        <v>5886</v>
      </c>
      <c r="I841" s="157" t="s">
        <v>6276</v>
      </c>
      <c r="J841" s="157">
        <v>2026.0</v>
      </c>
    </row>
    <row r="842">
      <c r="A842" s="218">
        <f t="shared" si="2"/>
        <v>839</v>
      </c>
      <c r="B842" s="218" t="s">
        <v>202</v>
      </c>
      <c r="C842" s="236" t="str">
        <f t="shared" si="1"/>
        <v>KB/1162/2026</v>
      </c>
      <c r="D842" s="218" t="b">
        <v>1</v>
      </c>
      <c r="E842" s="218" t="b">
        <v>0</v>
      </c>
      <c r="F842" s="238">
        <v>46090.0</v>
      </c>
      <c r="G842" s="173"/>
      <c r="H842" s="157" t="s">
        <v>5886</v>
      </c>
      <c r="I842" s="157" t="s">
        <v>6277</v>
      </c>
      <c r="J842" s="157">
        <v>2026.0</v>
      </c>
    </row>
    <row r="843">
      <c r="A843" s="218">
        <f t="shared" si="2"/>
        <v>840</v>
      </c>
      <c r="B843" s="218" t="s">
        <v>202</v>
      </c>
      <c r="C843" s="236" t="str">
        <f t="shared" si="1"/>
        <v>KB/1163/2026</v>
      </c>
      <c r="D843" s="218" t="b">
        <v>1</v>
      </c>
      <c r="E843" s="218" t="b">
        <v>0</v>
      </c>
      <c r="F843" s="238">
        <v>46090.0</v>
      </c>
      <c r="G843" s="173"/>
      <c r="H843" s="157" t="s">
        <v>5886</v>
      </c>
      <c r="I843" s="157" t="s">
        <v>6278</v>
      </c>
      <c r="J843" s="157">
        <v>2026.0</v>
      </c>
    </row>
    <row r="844">
      <c r="A844" s="218">
        <f t="shared" si="2"/>
        <v>841</v>
      </c>
      <c r="B844" s="218" t="s">
        <v>202</v>
      </c>
      <c r="C844" s="236" t="str">
        <f t="shared" si="1"/>
        <v>KB/1164/2026</v>
      </c>
      <c r="D844" s="218" t="b">
        <v>1</v>
      </c>
      <c r="E844" s="218" t="b">
        <v>0</v>
      </c>
      <c r="F844" s="238">
        <v>46090.0</v>
      </c>
      <c r="G844" s="173"/>
      <c r="H844" s="157" t="s">
        <v>5886</v>
      </c>
      <c r="I844" s="157" t="s">
        <v>6279</v>
      </c>
      <c r="J844" s="157">
        <v>2026.0</v>
      </c>
    </row>
    <row r="845">
      <c r="A845" s="218">
        <f t="shared" si="2"/>
        <v>842</v>
      </c>
      <c r="B845" s="218" t="s">
        <v>202</v>
      </c>
      <c r="C845" s="236" t="str">
        <f t="shared" si="1"/>
        <v>KB/1165/2026</v>
      </c>
      <c r="D845" s="218" t="b">
        <v>1</v>
      </c>
      <c r="E845" s="218" t="b">
        <v>0</v>
      </c>
      <c r="F845" s="238">
        <v>46090.0</v>
      </c>
      <c r="G845" s="173"/>
      <c r="H845" s="157" t="s">
        <v>5886</v>
      </c>
      <c r="I845" s="157" t="s">
        <v>6280</v>
      </c>
      <c r="J845" s="157">
        <v>2026.0</v>
      </c>
    </row>
    <row r="846">
      <c r="A846" s="218">
        <f t="shared" si="2"/>
        <v>843</v>
      </c>
      <c r="B846" s="218" t="s">
        <v>202</v>
      </c>
      <c r="C846" s="236" t="str">
        <f t="shared" si="1"/>
        <v>KB/1166/2026</v>
      </c>
      <c r="D846" s="218" t="b">
        <v>1</v>
      </c>
      <c r="E846" s="218" t="b">
        <v>0</v>
      </c>
      <c r="F846" s="238">
        <v>46090.0</v>
      </c>
      <c r="G846" s="173"/>
      <c r="H846" s="157" t="s">
        <v>5886</v>
      </c>
      <c r="I846" s="157" t="s">
        <v>6281</v>
      </c>
      <c r="J846" s="157">
        <v>2026.0</v>
      </c>
    </row>
    <row r="847">
      <c r="A847" s="218">
        <f t="shared" si="2"/>
        <v>844</v>
      </c>
      <c r="B847" s="218" t="s">
        <v>202</v>
      </c>
      <c r="C847" s="236" t="str">
        <f t="shared" si="1"/>
        <v>KB/1167/2026</v>
      </c>
      <c r="D847" s="218" t="b">
        <v>1</v>
      </c>
      <c r="E847" s="218" t="b">
        <v>0</v>
      </c>
      <c r="F847" s="238">
        <v>46090.0</v>
      </c>
      <c r="G847" s="173"/>
      <c r="H847" s="157" t="s">
        <v>5886</v>
      </c>
      <c r="I847" s="157" t="s">
        <v>6282</v>
      </c>
      <c r="J847" s="157">
        <v>2026.0</v>
      </c>
    </row>
    <row r="848">
      <c r="A848" s="218">
        <f t="shared" si="2"/>
        <v>845</v>
      </c>
      <c r="B848" s="218" t="s">
        <v>202</v>
      </c>
      <c r="C848" s="236" t="str">
        <f t="shared" si="1"/>
        <v>KB/1168/2026</v>
      </c>
      <c r="D848" s="218" t="b">
        <v>1</v>
      </c>
      <c r="E848" s="218" t="b">
        <v>0</v>
      </c>
      <c r="F848" s="238">
        <v>46090.0</v>
      </c>
      <c r="G848" s="173"/>
      <c r="H848" s="157" t="s">
        <v>5886</v>
      </c>
      <c r="I848" s="157" t="s">
        <v>6283</v>
      </c>
      <c r="J848" s="157">
        <v>2026.0</v>
      </c>
    </row>
    <row r="849">
      <c r="A849" s="218">
        <f t="shared" si="2"/>
        <v>846</v>
      </c>
      <c r="B849" s="218" t="s">
        <v>202</v>
      </c>
      <c r="C849" s="236" t="str">
        <f t="shared" si="1"/>
        <v>KB/1169/2026</v>
      </c>
      <c r="D849" s="218" t="b">
        <v>1</v>
      </c>
      <c r="E849" s="218" t="b">
        <v>0</v>
      </c>
      <c r="F849" s="238">
        <v>46090.0</v>
      </c>
      <c r="G849" s="173"/>
      <c r="H849" s="157" t="s">
        <v>5886</v>
      </c>
      <c r="I849" s="157" t="s">
        <v>6284</v>
      </c>
      <c r="J849" s="157">
        <v>2026.0</v>
      </c>
    </row>
    <row r="850">
      <c r="A850" s="218">
        <f t="shared" si="2"/>
        <v>847</v>
      </c>
      <c r="B850" s="218" t="s">
        <v>202</v>
      </c>
      <c r="C850" s="236" t="str">
        <f t="shared" si="1"/>
        <v>KB/1170/2026</v>
      </c>
      <c r="D850" s="218" t="b">
        <v>1</v>
      </c>
      <c r="E850" s="218" t="b">
        <v>0</v>
      </c>
      <c r="F850" s="238">
        <v>46090.0</v>
      </c>
      <c r="G850" s="173"/>
      <c r="H850" s="157" t="s">
        <v>5886</v>
      </c>
      <c r="I850" s="157" t="s">
        <v>6285</v>
      </c>
      <c r="J850" s="157">
        <v>2026.0</v>
      </c>
    </row>
    <row r="851">
      <c r="A851" s="218">
        <f t="shared" si="2"/>
        <v>848</v>
      </c>
      <c r="B851" s="218" t="s">
        <v>202</v>
      </c>
      <c r="C851" s="236" t="str">
        <f t="shared" si="1"/>
        <v>KB/1171/2026</v>
      </c>
      <c r="D851" s="218" t="b">
        <v>1</v>
      </c>
      <c r="E851" s="218" t="b">
        <v>0</v>
      </c>
      <c r="F851" s="238">
        <v>46090.0</v>
      </c>
      <c r="G851" s="173"/>
      <c r="H851" s="157" t="s">
        <v>5886</v>
      </c>
      <c r="I851" s="157" t="s">
        <v>6286</v>
      </c>
      <c r="J851" s="157">
        <v>2026.0</v>
      </c>
    </row>
    <row r="852">
      <c r="A852" s="218">
        <f t="shared" si="2"/>
        <v>849</v>
      </c>
      <c r="B852" s="218" t="s">
        <v>202</v>
      </c>
      <c r="C852" s="236" t="str">
        <f t="shared" si="1"/>
        <v>KB/1172/2026</v>
      </c>
      <c r="D852" s="218" t="b">
        <v>1</v>
      </c>
      <c r="E852" s="218" t="b">
        <v>0</v>
      </c>
      <c r="F852" s="238">
        <v>46090.0</v>
      </c>
      <c r="G852" s="173"/>
      <c r="H852" s="157" t="s">
        <v>5886</v>
      </c>
      <c r="I852" s="157" t="s">
        <v>6287</v>
      </c>
      <c r="J852" s="157">
        <v>2026.0</v>
      </c>
    </row>
    <row r="853">
      <c r="A853" s="218">
        <f t="shared" si="2"/>
        <v>850</v>
      </c>
      <c r="B853" s="218" t="s">
        <v>202</v>
      </c>
      <c r="C853" s="236" t="str">
        <f t="shared" si="1"/>
        <v>KB/1173/2026</v>
      </c>
      <c r="D853" s="218" t="b">
        <v>1</v>
      </c>
      <c r="E853" s="218" t="b">
        <v>0</v>
      </c>
      <c r="F853" s="238">
        <v>46090.0</v>
      </c>
      <c r="G853" s="173"/>
      <c r="H853" s="157" t="s">
        <v>5886</v>
      </c>
      <c r="I853" s="157" t="s">
        <v>6288</v>
      </c>
      <c r="J853" s="157">
        <v>2026.0</v>
      </c>
    </row>
    <row r="854">
      <c r="A854" s="218">
        <f t="shared" si="2"/>
        <v>851</v>
      </c>
      <c r="B854" s="218" t="s">
        <v>202</v>
      </c>
      <c r="C854" s="236" t="str">
        <f t="shared" si="1"/>
        <v>KB/1174/2026</v>
      </c>
      <c r="D854" s="218" t="b">
        <v>1</v>
      </c>
      <c r="E854" s="218" t="b">
        <v>0</v>
      </c>
      <c r="F854" s="238">
        <v>46090.0</v>
      </c>
      <c r="G854" s="173"/>
      <c r="H854" s="157" t="s">
        <v>5886</v>
      </c>
      <c r="I854" s="157" t="s">
        <v>6289</v>
      </c>
      <c r="J854" s="157">
        <v>2026.0</v>
      </c>
    </row>
    <row r="855">
      <c r="A855" s="218">
        <f t="shared" si="2"/>
        <v>852</v>
      </c>
      <c r="B855" s="218" t="s">
        <v>202</v>
      </c>
      <c r="C855" s="236" t="str">
        <f t="shared" si="1"/>
        <v>KB/1175/2026</v>
      </c>
      <c r="D855" s="218" t="b">
        <v>1</v>
      </c>
      <c r="E855" s="218" t="b">
        <v>0</v>
      </c>
      <c r="F855" s="238">
        <v>46090.0</v>
      </c>
      <c r="G855" s="173"/>
      <c r="H855" s="157" t="s">
        <v>5886</v>
      </c>
      <c r="I855" s="157" t="s">
        <v>6290</v>
      </c>
      <c r="J855" s="157">
        <v>2026.0</v>
      </c>
    </row>
    <row r="856">
      <c r="A856" s="218">
        <f t="shared" si="2"/>
        <v>853</v>
      </c>
      <c r="B856" s="218" t="s">
        <v>202</v>
      </c>
      <c r="C856" s="236" t="str">
        <f t="shared" si="1"/>
        <v>KB/1176/2026</v>
      </c>
      <c r="D856" s="218" t="b">
        <v>1</v>
      </c>
      <c r="E856" s="218" t="b">
        <v>0</v>
      </c>
      <c r="F856" s="238">
        <v>46090.0</v>
      </c>
      <c r="G856" s="173"/>
      <c r="H856" s="157" t="s">
        <v>5886</v>
      </c>
      <c r="I856" s="157" t="s">
        <v>6291</v>
      </c>
      <c r="J856" s="157">
        <v>2026.0</v>
      </c>
    </row>
    <row r="857">
      <c r="A857" s="218">
        <f t="shared" si="2"/>
        <v>854</v>
      </c>
      <c r="B857" s="218" t="s">
        <v>202</v>
      </c>
      <c r="C857" s="236" t="str">
        <f t="shared" si="1"/>
        <v>KB/1177/2026</v>
      </c>
      <c r="D857" s="218" t="b">
        <v>1</v>
      </c>
      <c r="E857" s="218" t="b">
        <v>0</v>
      </c>
      <c r="F857" s="238">
        <v>46090.0</v>
      </c>
      <c r="G857" s="173"/>
      <c r="H857" s="157" t="s">
        <v>5886</v>
      </c>
      <c r="I857" s="157" t="s">
        <v>6292</v>
      </c>
      <c r="J857" s="157">
        <v>2026.0</v>
      </c>
    </row>
    <row r="858">
      <c r="A858" s="218">
        <f t="shared" si="2"/>
        <v>855</v>
      </c>
      <c r="B858" s="218" t="s">
        <v>202</v>
      </c>
      <c r="C858" s="236" t="str">
        <f t="shared" si="1"/>
        <v>KB/1178/2026</v>
      </c>
      <c r="D858" s="218" t="b">
        <v>1</v>
      </c>
      <c r="E858" s="218" t="b">
        <v>0</v>
      </c>
      <c r="F858" s="238">
        <v>46090.0</v>
      </c>
      <c r="G858" s="173"/>
      <c r="H858" s="157" t="s">
        <v>5886</v>
      </c>
      <c r="I858" s="157" t="s">
        <v>6293</v>
      </c>
      <c r="J858" s="157">
        <v>2026.0</v>
      </c>
    </row>
    <row r="859">
      <c r="A859" s="218">
        <f t="shared" si="2"/>
        <v>856</v>
      </c>
      <c r="B859" s="218" t="s">
        <v>202</v>
      </c>
      <c r="C859" s="236" t="str">
        <f t="shared" si="1"/>
        <v>KB/1179/2026</v>
      </c>
      <c r="D859" s="218" t="b">
        <v>1</v>
      </c>
      <c r="E859" s="218" t="b">
        <v>0</v>
      </c>
      <c r="F859" s="238">
        <v>46090.0</v>
      </c>
      <c r="G859" s="173"/>
      <c r="H859" s="157" t="s">
        <v>5886</v>
      </c>
      <c r="I859" s="157" t="s">
        <v>6294</v>
      </c>
      <c r="J859" s="157">
        <v>2026.0</v>
      </c>
    </row>
    <row r="860">
      <c r="A860" s="218">
        <f t="shared" si="2"/>
        <v>857</v>
      </c>
      <c r="B860" s="218" t="s">
        <v>202</v>
      </c>
      <c r="C860" s="236" t="str">
        <f t="shared" si="1"/>
        <v>KB/1180/2026</v>
      </c>
      <c r="D860" s="218" t="b">
        <v>1</v>
      </c>
      <c r="E860" s="218" t="b">
        <v>0</v>
      </c>
      <c r="F860" s="238">
        <v>46090.0</v>
      </c>
      <c r="G860" s="173"/>
      <c r="H860" s="157" t="s">
        <v>5886</v>
      </c>
      <c r="I860" s="157" t="s">
        <v>6295</v>
      </c>
      <c r="J860" s="157">
        <v>2026.0</v>
      </c>
    </row>
    <row r="861">
      <c r="A861" s="218">
        <f t="shared" si="2"/>
        <v>858</v>
      </c>
      <c r="B861" s="218" t="s">
        <v>202</v>
      </c>
      <c r="C861" s="236" t="str">
        <f t="shared" si="1"/>
        <v>KB/1181/2026</v>
      </c>
      <c r="D861" s="218" t="b">
        <v>1</v>
      </c>
      <c r="E861" s="218" t="b">
        <v>0</v>
      </c>
      <c r="F861" s="238">
        <v>46090.0</v>
      </c>
      <c r="G861" s="173"/>
      <c r="H861" s="157" t="s">
        <v>5886</v>
      </c>
      <c r="I861" s="157" t="s">
        <v>6296</v>
      </c>
      <c r="J861" s="157">
        <v>2026.0</v>
      </c>
    </row>
    <row r="862">
      <c r="A862" s="218">
        <f t="shared" si="2"/>
        <v>859</v>
      </c>
      <c r="B862" s="218" t="s">
        <v>202</v>
      </c>
      <c r="C862" s="236" t="str">
        <f t="shared" si="1"/>
        <v>KB/1182/2026</v>
      </c>
      <c r="D862" s="218" t="b">
        <v>1</v>
      </c>
      <c r="E862" s="218" t="b">
        <v>0</v>
      </c>
      <c r="F862" s="238">
        <v>46090.0</v>
      </c>
      <c r="G862" s="173"/>
      <c r="H862" s="157" t="s">
        <v>5886</v>
      </c>
      <c r="I862" s="157" t="s">
        <v>6297</v>
      </c>
      <c r="J862" s="157">
        <v>2026.0</v>
      </c>
    </row>
    <row r="863">
      <c r="A863" s="218">
        <f t="shared" si="2"/>
        <v>860</v>
      </c>
      <c r="B863" s="218" t="s">
        <v>202</v>
      </c>
      <c r="C863" s="236" t="str">
        <f t="shared" si="1"/>
        <v>KB/1183/2026</v>
      </c>
      <c r="D863" s="218" t="b">
        <v>1</v>
      </c>
      <c r="E863" s="218" t="b">
        <v>0</v>
      </c>
      <c r="F863" s="238">
        <v>46090.0</v>
      </c>
      <c r="G863" s="173"/>
      <c r="H863" s="157" t="s">
        <v>5886</v>
      </c>
      <c r="I863" s="157" t="s">
        <v>6298</v>
      </c>
      <c r="J863" s="157">
        <v>2026.0</v>
      </c>
    </row>
    <row r="864">
      <c r="A864" s="218">
        <f t="shared" si="2"/>
        <v>861</v>
      </c>
      <c r="B864" s="218" t="s">
        <v>202</v>
      </c>
      <c r="C864" s="236" t="str">
        <f t="shared" si="1"/>
        <v>KB/1184/2026</v>
      </c>
      <c r="D864" s="218" t="b">
        <v>1</v>
      </c>
      <c r="E864" s="218" t="b">
        <v>0</v>
      </c>
      <c r="F864" s="238">
        <v>46090.0</v>
      </c>
      <c r="G864" s="173"/>
      <c r="H864" s="157" t="s">
        <v>5886</v>
      </c>
      <c r="I864" s="157" t="s">
        <v>6299</v>
      </c>
      <c r="J864" s="157">
        <v>2026.0</v>
      </c>
    </row>
    <row r="865">
      <c r="A865" s="218">
        <f t="shared" si="2"/>
        <v>862</v>
      </c>
      <c r="B865" s="218" t="s">
        <v>202</v>
      </c>
      <c r="C865" s="236" t="str">
        <f t="shared" si="1"/>
        <v>KB/1185/2026</v>
      </c>
      <c r="D865" s="218" t="b">
        <v>1</v>
      </c>
      <c r="E865" s="218" t="b">
        <v>0</v>
      </c>
      <c r="F865" s="238">
        <v>46090.0</v>
      </c>
      <c r="G865" s="173"/>
      <c r="H865" s="157" t="s">
        <v>5886</v>
      </c>
      <c r="I865" s="157" t="s">
        <v>6300</v>
      </c>
      <c r="J865" s="157">
        <v>2026.0</v>
      </c>
    </row>
    <row r="866">
      <c r="A866" s="218">
        <f t="shared" si="2"/>
        <v>863</v>
      </c>
      <c r="B866" s="218" t="s">
        <v>202</v>
      </c>
      <c r="C866" s="236" t="str">
        <f t="shared" si="1"/>
        <v>KB/1186/2026</v>
      </c>
      <c r="D866" s="218" t="b">
        <v>1</v>
      </c>
      <c r="E866" s="218" t="b">
        <v>0</v>
      </c>
      <c r="F866" s="238">
        <v>46090.0</v>
      </c>
      <c r="G866" s="173"/>
      <c r="H866" s="157" t="s">
        <v>5886</v>
      </c>
      <c r="I866" s="157" t="s">
        <v>6301</v>
      </c>
      <c r="J866" s="157">
        <v>2026.0</v>
      </c>
    </row>
    <row r="867">
      <c r="A867" s="218">
        <f t="shared" si="2"/>
        <v>864</v>
      </c>
      <c r="B867" s="218" t="s">
        <v>202</v>
      </c>
      <c r="C867" s="236" t="str">
        <f t="shared" si="1"/>
        <v>KB/1187/2026</v>
      </c>
      <c r="D867" s="218" t="b">
        <v>1</v>
      </c>
      <c r="E867" s="218" t="b">
        <v>0</v>
      </c>
      <c r="F867" s="238">
        <v>46090.0</v>
      </c>
      <c r="G867" s="173"/>
      <c r="H867" s="157" t="s">
        <v>5886</v>
      </c>
      <c r="I867" s="157" t="s">
        <v>6302</v>
      </c>
      <c r="J867" s="157">
        <v>2026.0</v>
      </c>
    </row>
    <row r="868">
      <c r="A868" s="218">
        <f t="shared" si="2"/>
        <v>865</v>
      </c>
      <c r="B868" s="218" t="s">
        <v>202</v>
      </c>
      <c r="C868" s="236" t="str">
        <f t="shared" si="1"/>
        <v>KB/1188/2026</v>
      </c>
      <c r="D868" s="218" t="b">
        <v>1</v>
      </c>
      <c r="E868" s="218" t="b">
        <v>0</v>
      </c>
      <c r="F868" s="238">
        <v>46090.0</v>
      </c>
      <c r="G868" s="173"/>
      <c r="H868" s="157" t="s">
        <v>5886</v>
      </c>
      <c r="I868" s="157" t="s">
        <v>6303</v>
      </c>
      <c r="J868" s="157">
        <v>2026.0</v>
      </c>
    </row>
    <row r="869">
      <c r="A869" s="218">
        <f t="shared" si="2"/>
        <v>866</v>
      </c>
      <c r="B869" s="218" t="s">
        <v>202</v>
      </c>
      <c r="C869" s="236" t="str">
        <f t="shared" si="1"/>
        <v>KB/1189/2026</v>
      </c>
      <c r="D869" s="218" t="b">
        <v>1</v>
      </c>
      <c r="E869" s="218" t="b">
        <v>0</v>
      </c>
      <c r="F869" s="238">
        <v>46090.0</v>
      </c>
      <c r="G869" s="173"/>
      <c r="H869" s="157" t="s">
        <v>5886</v>
      </c>
      <c r="I869" s="157" t="s">
        <v>6304</v>
      </c>
      <c r="J869" s="157">
        <v>2026.0</v>
      </c>
    </row>
    <row r="870">
      <c r="A870" s="218">
        <f t="shared" si="2"/>
        <v>867</v>
      </c>
      <c r="B870" s="218" t="s">
        <v>202</v>
      </c>
      <c r="C870" s="236" t="str">
        <f t="shared" si="1"/>
        <v>KB/1190/2026</v>
      </c>
      <c r="D870" s="218" t="b">
        <v>1</v>
      </c>
      <c r="E870" s="218" t="b">
        <v>0</v>
      </c>
      <c r="F870" s="238">
        <v>46090.0</v>
      </c>
      <c r="G870" s="173"/>
      <c r="H870" s="157" t="s">
        <v>5886</v>
      </c>
      <c r="I870" s="157" t="s">
        <v>6305</v>
      </c>
      <c r="J870" s="157">
        <v>2026.0</v>
      </c>
    </row>
    <row r="871">
      <c r="A871" s="218">
        <f t="shared" si="2"/>
        <v>868</v>
      </c>
      <c r="B871" s="218" t="s">
        <v>202</v>
      </c>
      <c r="C871" s="236" t="str">
        <f t="shared" si="1"/>
        <v>KB/1191/2026</v>
      </c>
      <c r="D871" s="218" t="b">
        <v>1</v>
      </c>
      <c r="E871" s="218" t="b">
        <v>0</v>
      </c>
      <c r="F871" s="238">
        <v>46090.0</v>
      </c>
      <c r="G871" s="173"/>
      <c r="H871" s="157" t="s">
        <v>5886</v>
      </c>
      <c r="I871" s="157" t="s">
        <v>6306</v>
      </c>
      <c r="J871" s="157">
        <v>2026.0</v>
      </c>
    </row>
    <row r="872">
      <c r="A872" s="218">
        <f t="shared" si="2"/>
        <v>869</v>
      </c>
      <c r="B872" s="218" t="s">
        <v>202</v>
      </c>
      <c r="C872" s="236" t="str">
        <f t="shared" si="1"/>
        <v>KB/1192/2026</v>
      </c>
      <c r="D872" s="218" t="b">
        <v>1</v>
      </c>
      <c r="E872" s="218" t="b">
        <v>0</v>
      </c>
      <c r="F872" s="238">
        <v>46090.0</v>
      </c>
      <c r="G872" s="173"/>
      <c r="H872" s="157" t="s">
        <v>5886</v>
      </c>
      <c r="I872" s="157" t="s">
        <v>6307</v>
      </c>
      <c r="J872" s="157">
        <v>2026.0</v>
      </c>
    </row>
    <row r="873">
      <c r="A873" s="218">
        <f t="shared" si="2"/>
        <v>870</v>
      </c>
      <c r="B873" s="218" t="s">
        <v>202</v>
      </c>
      <c r="C873" s="236" t="str">
        <f t="shared" si="1"/>
        <v>KB/1193/2026</v>
      </c>
      <c r="D873" s="218" t="b">
        <v>1</v>
      </c>
      <c r="E873" s="218" t="b">
        <v>0</v>
      </c>
      <c r="F873" s="234">
        <v>46155.0</v>
      </c>
      <c r="G873" s="173"/>
      <c r="H873" s="157" t="s">
        <v>5886</v>
      </c>
      <c r="I873" s="157" t="s">
        <v>6308</v>
      </c>
      <c r="J873" s="157">
        <v>2026.0</v>
      </c>
    </row>
    <row r="874">
      <c r="A874" s="218">
        <f t="shared" si="2"/>
        <v>871</v>
      </c>
      <c r="B874" s="218" t="s">
        <v>202</v>
      </c>
      <c r="C874" s="236" t="str">
        <f t="shared" si="1"/>
        <v>KB/1194/2026</v>
      </c>
      <c r="D874" s="218" t="b">
        <v>1</v>
      </c>
      <c r="E874" s="218" t="b">
        <v>0</v>
      </c>
      <c r="F874" s="234">
        <v>46155.0</v>
      </c>
      <c r="G874" s="173"/>
      <c r="H874" s="157" t="s">
        <v>5886</v>
      </c>
      <c r="I874" s="157" t="s">
        <v>6309</v>
      </c>
      <c r="J874" s="157">
        <v>2026.0</v>
      </c>
    </row>
    <row r="875">
      <c r="A875" s="218">
        <f t="shared" si="2"/>
        <v>872</v>
      </c>
      <c r="B875" s="218" t="s">
        <v>202</v>
      </c>
      <c r="C875" s="236" t="str">
        <f t="shared" si="1"/>
        <v>KB/1195/2026</v>
      </c>
      <c r="D875" s="218" t="b">
        <v>1</v>
      </c>
      <c r="E875" s="218" t="b">
        <v>0</v>
      </c>
      <c r="F875" s="234">
        <v>46155.0</v>
      </c>
      <c r="G875" s="173"/>
      <c r="H875" s="157" t="s">
        <v>5886</v>
      </c>
      <c r="I875" s="157" t="s">
        <v>6310</v>
      </c>
      <c r="J875" s="157">
        <v>2026.0</v>
      </c>
    </row>
    <row r="876">
      <c r="A876" s="218">
        <f t="shared" si="2"/>
        <v>873</v>
      </c>
      <c r="B876" s="218" t="s">
        <v>202</v>
      </c>
      <c r="C876" s="236" t="str">
        <f t="shared" si="1"/>
        <v>KB/1196/2026</v>
      </c>
      <c r="D876" s="218" t="b">
        <v>1</v>
      </c>
      <c r="E876" s="218" t="b">
        <v>0</v>
      </c>
      <c r="F876" s="234">
        <v>46155.0</v>
      </c>
      <c r="G876" s="173"/>
      <c r="H876" s="157" t="s">
        <v>5886</v>
      </c>
      <c r="I876" s="157" t="s">
        <v>6311</v>
      </c>
      <c r="J876" s="157">
        <v>2026.0</v>
      </c>
    </row>
    <row r="877">
      <c r="A877" s="218">
        <f t="shared" si="2"/>
        <v>874</v>
      </c>
      <c r="B877" s="218" t="s">
        <v>202</v>
      </c>
      <c r="C877" s="236" t="str">
        <f t="shared" si="1"/>
        <v>KB/1197/2026</v>
      </c>
      <c r="D877" s="218" t="b">
        <v>1</v>
      </c>
      <c r="E877" s="218" t="b">
        <v>0</v>
      </c>
      <c r="F877" s="234">
        <v>46155.0</v>
      </c>
      <c r="G877" s="173"/>
      <c r="H877" s="157" t="s">
        <v>5886</v>
      </c>
      <c r="I877" s="157" t="s">
        <v>6312</v>
      </c>
      <c r="J877" s="157">
        <v>2026.0</v>
      </c>
    </row>
    <row r="878">
      <c r="A878" s="218">
        <f t="shared" si="2"/>
        <v>875</v>
      </c>
      <c r="B878" s="218" t="s">
        <v>202</v>
      </c>
      <c r="C878" s="236" t="str">
        <f t="shared" si="1"/>
        <v>KB/1198/2026</v>
      </c>
      <c r="D878" s="218" t="b">
        <v>1</v>
      </c>
      <c r="E878" s="218" t="b">
        <v>0</v>
      </c>
      <c r="F878" s="234">
        <v>46155.0</v>
      </c>
      <c r="G878" s="173"/>
      <c r="H878" s="157" t="s">
        <v>5886</v>
      </c>
      <c r="I878" s="157" t="s">
        <v>6314</v>
      </c>
      <c r="J878" s="157">
        <v>2026.0</v>
      </c>
    </row>
    <row r="879">
      <c r="A879" s="218">
        <f t="shared" si="2"/>
        <v>876</v>
      </c>
      <c r="B879" s="218" t="s">
        <v>202</v>
      </c>
      <c r="C879" s="236" t="str">
        <f t="shared" si="1"/>
        <v>KB/1199/2026</v>
      </c>
      <c r="D879" s="218" t="b">
        <v>1</v>
      </c>
      <c r="E879" s="218" t="b">
        <v>0</v>
      </c>
      <c r="F879" s="234">
        <v>46155.0</v>
      </c>
      <c r="G879" s="173"/>
      <c r="H879" s="157" t="s">
        <v>5886</v>
      </c>
      <c r="I879" s="157" t="s">
        <v>6316</v>
      </c>
      <c r="J879" s="157">
        <v>2026.0</v>
      </c>
    </row>
    <row r="880">
      <c r="A880" s="218">
        <f t="shared" si="2"/>
        <v>877</v>
      </c>
      <c r="B880" s="218" t="s">
        <v>202</v>
      </c>
      <c r="C880" s="236" t="str">
        <f t="shared" si="1"/>
        <v>KB/1200/2026</v>
      </c>
      <c r="D880" s="218" t="b">
        <v>1</v>
      </c>
      <c r="E880" s="218" t="b">
        <v>0</v>
      </c>
      <c r="F880" s="234">
        <v>46155.0</v>
      </c>
      <c r="G880" s="173"/>
      <c r="H880" s="157" t="s">
        <v>5886</v>
      </c>
      <c r="I880" s="157" t="s">
        <v>6318</v>
      </c>
      <c r="J880" s="157">
        <v>2026.0</v>
      </c>
    </row>
    <row r="881">
      <c r="A881" s="218">
        <f t="shared" si="2"/>
        <v>878</v>
      </c>
      <c r="B881" s="218" t="s">
        <v>202</v>
      </c>
      <c r="C881" s="236" t="str">
        <f t="shared" si="1"/>
        <v>KB/1201/2026</v>
      </c>
      <c r="D881" s="218" t="b">
        <v>1</v>
      </c>
      <c r="E881" s="218" t="b">
        <v>0</v>
      </c>
      <c r="F881" s="234">
        <v>46155.0</v>
      </c>
      <c r="G881" s="173"/>
      <c r="H881" s="157" t="s">
        <v>5886</v>
      </c>
      <c r="I881" s="157" t="s">
        <v>6319</v>
      </c>
      <c r="J881" s="157">
        <v>2026.0</v>
      </c>
    </row>
    <row r="882">
      <c r="A882" s="218">
        <f t="shared" si="2"/>
        <v>879</v>
      </c>
      <c r="B882" s="218" t="s">
        <v>202</v>
      </c>
      <c r="C882" s="236" t="str">
        <f t="shared" si="1"/>
        <v>KB/1202/2026</v>
      </c>
      <c r="D882" s="218" t="b">
        <v>1</v>
      </c>
      <c r="E882" s="218" t="b">
        <v>0</v>
      </c>
      <c r="F882" s="234">
        <v>46155.0</v>
      </c>
      <c r="G882" s="173"/>
      <c r="H882" s="157" t="s">
        <v>5886</v>
      </c>
      <c r="I882" s="157" t="s">
        <v>6320</v>
      </c>
      <c r="J882" s="157">
        <v>2026.0</v>
      </c>
    </row>
    <row r="883">
      <c r="A883" s="218">
        <f t="shared" si="2"/>
        <v>880</v>
      </c>
      <c r="B883" s="218" t="s">
        <v>202</v>
      </c>
      <c r="C883" s="236" t="str">
        <f t="shared" si="1"/>
        <v>KB/1203/2026</v>
      </c>
      <c r="D883" s="218" t="b">
        <v>1</v>
      </c>
      <c r="E883" s="218" t="b">
        <v>0</v>
      </c>
      <c r="F883" s="234">
        <v>46155.0</v>
      </c>
      <c r="G883" s="173"/>
      <c r="H883" s="157" t="s">
        <v>5886</v>
      </c>
      <c r="I883" s="157" t="s">
        <v>6321</v>
      </c>
      <c r="J883" s="157">
        <v>2026.0</v>
      </c>
    </row>
    <row r="884">
      <c r="A884" s="218">
        <f t="shared" si="2"/>
        <v>881</v>
      </c>
      <c r="B884" s="218" t="s">
        <v>202</v>
      </c>
      <c r="C884" s="236" t="str">
        <f t="shared" si="1"/>
        <v>KB/1204/2026</v>
      </c>
      <c r="D884" s="218" t="b">
        <v>1</v>
      </c>
      <c r="E884" s="218" t="b">
        <v>0</v>
      </c>
      <c r="F884" s="234">
        <v>46155.0</v>
      </c>
      <c r="G884" s="173"/>
      <c r="H884" s="157" t="s">
        <v>5886</v>
      </c>
      <c r="I884" s="157" t="s">
        <v>6322</v>
      </c>
      <c r="J884" s="157">
        <v>2026.0</v>
      </c>
    </row>
    <row r="885">
      <c r="A885" s="218">
        <f t="shared" si="2"/>
        <v>882</v>
      </c>
      <c r="B885" s="218" t="s">
        <v>202</v>
      </c>
      <c r="C885" s="236" t="str">
        <f t="shared" si="1"/>
        <v>KB/1205/2026</v>
      </c>
      <c r="D885" s="218" t="b">
        <v>1</v>
      </c>
      <c r="E885" s="218" t="b">
        <v>0</v>
      </c>
      <c r="F885" s="234">
        <v>46155.0</v>
      </c>
      <c r="G885" s="173"/>
      <c r="H885" s="157" t="s">
        <v>5886</v>
      </c>
      <c r="I885" s="157" t="s">
        <v>6323</v>
      </c>
      <c r="J885" s="157">
        <v>2026.0</v>
      </c>
    </row>
    <row r="886">
      <c r="A886" s="218">
        <f t="shared" si="2"/>
        <v>883</v>
      </c>
      <c r="B886" s="218" t="s">
        <v>202</v>
      </c>
      <c r="C886" s="236" t="str">
        <f t="shared" si="1"/>
        <v>KB/1206/2026</v>
      </c>
      <c r="D886" s="218" t="b">
        <v>1</v>
      </c>
      <c r="E886" s="218" t="b">
        <v>0</v>
      </c>
      <c r="F886" s="234">
        <v>46155.0</v>
      </c>
      <c r="G886" s="173"/>
      <c r="H886" s="157" t="s">
        <v>5886</v>
      </c>
      <c r="I886" s="157" t="s">
        <v>6324</v>
      </c>
      <c r="J886" s="157">
        <v>2026.0</v>
      </c>
    </row>
    <row r="887">
      <c r="A887" s="218">
        <f t="shared" si="2"/>
        <v>884</v>
      </c>
      <c r="B887" s="218" t="s">
        <v>202</v>
      </c>
      <c r="C887" s="236" t="str">
        <f t="shared" si="1"/>
        <v>KB/1207/2026</v>
      </c>
      <c r="D887" s="218" t="b">
        <v>1</v>
      </c>
      <c r="E887" s="218" t="b">
        <v>0</v>
      </c>
      <c r="F887" s="234">
        <v>46155.0</v>
      </c>
      <c r="G887" s="173"/>
      <c r="H887" s="157" t="s">
        <v>5886</v>
      </c>
      <c r="I887" s="157" t="s">
        <v>6325</v>
      </c>
      <c r="J887" s="157">
        <v>2026.0</v>
      </c>
    </row>
    <row r="888">
      <c r="A888" s="218">
        <f t="shared" si="2"/>
        <v>885</v>
      </c>
      <c r="B888" s="218" t="s">
        <v>202</v>
      </c>
      <c r="C888" s="236" t="str">
        <f t="shared" si="1"/>
        <v>KB/1208/2026</v>
      </c>
      <c r="D888" s="218" t="b">
        <v>1</v>
      </c>
      <c r="E888" s="218" t="b">
        <v>0</v>
      </c>
      <c r="F888" s="234">
        <v>46155.0</v>
      </c>
      <c r="G888" s="173"/>
      <c r="H888" s="157" t="s">
        <v>5886</v>
      </c>
      <c r="I888" s="157" t="s">
        <v>6326</v>
      </c>
      <c r="J888" s="157">
        <v>2026.0</v>
      </c>
    </row>
    <row r="889">
      <c r="A889" s="218">
        <f t="shared" si="2"/>
        <v>886</v>
      </c>
      <c r="B889" s="218" t="s">
        <v>202</v>
      </c>
      <c r="C889" s="236" t="str">
        <f t="shared" si="1"/>
        <v>KB/1209/2026</v>
      </c>
      <c r="D889" s="218" t="b">
        <v>1</v>
      </c>
      <c r="E889" s="218" t="b">
        <v>0</v>
      </c>
      <c r="F889" s="234">
        <v>46155.0</v>
      </c>
      <c r="G889" s="173"/>
      <c r="H889" s="157" t="s">
        <v>5886</v>
      </c>
      <c r="I889" s="157" t="s">
        <v>6327</v>
      </c>
      <c r="J889" s="157">
        <v>2026.0</v>
      </c>
    </row>
    <row r="890">
      <c r="A890" s="218">
        <f t="shared" si="2"/>
        <v>887</v>
      </c>
      <c r="B890" s="218" t="s">
        <v>202</v>
      </c>
      <c r="C890" s="236" t="str">
        <f t="shared" si="1"/>
        <v>KB/1210/2026</v>
      </c>
      <c r="D890" s="218" t="b">
        <v>1</v>
      </c>
      <c r="E890" s="218" t="b">
        <v>0</v>
      </c>
      <c r="F890" s="234">
        <v>46155.0</v>
      </c>
      <c r="G890" s="173"/>
      <c r="H890" s="157" t="s">
        <v>5886</v>
      </c>
      <c r="I890" s="157" t="s">
        <v>6328</v>
      </c>
      <c r="J890" s="157">
        <v>2026.0</v>
      </c>
    </row>
    <row r="891">
      <c r="A891" s="218">
        <f t="shared" si="2"/>
        <v>888</v>
      </c>
      <c r="B891" s="218" t="s">
        <v>202</v>
      </c>
      <c r="C891" s="236" t="str">
        <f t="shared" si="1"/>
        <v>KB/1211/2026</v>
      </c>
      <c r="D891" s="218" t="b">
        <v>1</v>
      </c>
      <c r="E891" s="218" t="b">
        <v>0</v>
      </c>
      <c r="F891" s="234">
        <v>46155.0</v>
      </c>
      <c r="G891" s="173"/>
      <c r="H891" s="157" t="s">
        <v>5886</v>
      </c>
      <c r="I891" s="157" t="s">
        <v>6329</v>
      </c>
      <c r="J891" s="157">
        <v>2026.0</v>
      </c>
    </row>
    <row r="892">
      <c r="A892" s="218">
        <f t="shared" si="2"/>
        <v>889</v>
      </c>
      <c r="B892" s="218" t="s">
        <v>202</v>
      </c>
      <c r="C892" s="236" t="str">
        <f t="shared" si="1"/>
        <v>KB/1212/2026</v>
      </c>
      <c r="D892" s="218" t="b">
        <v>1</v>
      </c>
      <c r="E892" s="218" t="b">
        <v>0</v>
      </c>
      <c r="F892" s="234">
        <v>46155.0</v>
      </c>
      <c r="G892" s="173"/>
      <c r="H892" s="157" t="s">
        <v>5886</v>
      </c>
      <c r="I892" s="157" t="s">
        <v>6330</v>
      </c>
      <c r="J892" s="157">
        <v>2026.0</v>
      </c>
    </row>
    <row r="893">
      <c r="A893" s="218">
        <f t="shared" si="2"/>
        <v>890</v>
      </c>
      <c r="B893" s="218" t="s">
        <v>202</v>
      </c>
      <c r="C893" s="236" t="str">
        <f t="shared" si="1"/>
        <v>KB/1213/2026</v>
      </c>
      <c r="D893" s="218" t="b">
        <v>1</v>
      </c>
      <c r="E893" s="218" t="b">
        <v>0</v>
      </c>
      <c r="F893" s="234">
        <v>46155.0</v>
      </c>
      <c r="G893" s="173"/>
      <c r="H893" s="157" t="s">
        <v>5886</v>
      </c>
      <c r="I893" s="157" t="s">
        <v>6331</v>
      </c>
      <c r="J893" s="157">
        <v>2026.0</v>
      </c>
    </row>
    <row r="894">
      <c r="A894" s="218">
        <f t="shared" si="2"/>
        <v>891</v>
      </c>
      <c r="B894" s="218" t="s">
        <v>202</v>
      </c>
      <c r="C894" s="236" t="str">
        <f t="shared" si="1"/>
        <v>KB/1214/2026</v>
      </c>
      <c r="D894" s="218" t="b">
        <v>1</v>
      </c>
      <c r="E894" s="218" t="b">
        <v>0</v>
      </c>
      <c r="F894" s="234">
        <v>46155.0</v>
      </c>
      <c r="G894" s="173"/>
      <c r="H894" s="157" t="s">
        <v>5886</v>
      </c>
      <c r="I894" s="157" t="s">
        <v>6332</v>
      </c>
      <c r="J894" s="157">
        <v>2026.0</v>
      </c>
    </row>
    <row r="895">
      <c r="A895" s="218">
        <f t="shared" si="2"/>
        <v>892</v>
      </c>
      <c r="B895" s="218" t="s">
        <v>202</v>
      </c>
      <c r="C895" s="236" t="str">
        <f t="shared" si="1"/>
        <v>KB/1215/2026</v>
      </c>
      <c r="D895" s="218" t="b">
        <v>1</v>
      </c>
      <c r="E895" s="218" t="b">
        <v>0</v>
      </c>
      <c r="F895" s="234">
        <v>46155.0</v>
      </c>
      <c r="G895" s="173"/>
      <c r="H895" s="157" t="s">
        <v>5886</v>
      </c>
      <c r="I895" s="157" t="s">
        <v>6333</v>
      </c>
      <c r="J895" s="157">
        <v>2026.0</v>
      </c>
    </row>
    <row r="896">
      <c r="A896" s="218">
        <f t="shared" si="2"/>
        <v>893</v>
      </c>
      <c r="B896" s="218" t="s">
        <v>202</v>
      </c>
      <c r="C896" s="236" t="str">
        <f t="shared" si="1"/>
        <v>KB/1216/2026</v>
      </c>
      <c r="D896" s="218" t="b">
        <v>1</v>
      </c>
      <c r="E896" s="218" t="b">
        <v>0</v>
      </c>
      <c r="F896" s="234">
        <v>46155.0</v>
      </c>
      <c r="G896" s="173"/>
      <c r="H896" s="157" t="s">
        <v>5886</v>
      </c>
      <c r="I896" s="157" t="s">
        <v>6334</v>
      </c>
      <c r="J896" s="157">
        <v>2026.0</v>
      </c>
    </row>
    <row r="897">
      <c r="A897" s="218">
        <f t="shared" si="2"/>
        <v>894</v>
      </c>
      <c r="B897" s="218" t="s">
        <v>202</v>
      </c>
      <c r="C897" s="236" t="str">
        <f t="shared" si="1"/>
        <v>KB/1217/2026</v>
      </c>
      <c r="D897" s="218" t="b">
        <v>1</v>
      </c>
      <c r="E897" s="218" t="b">
        <v>0</v>
      </c>
      <c r="F897" s="234">
        <v>46155.0</v>
      </c>
      <c r="G897" s="173"/>
      <c r="H897" s="157" t="s">
        <v>5886</v>
      </c>
      <c r="I897" s="157" t="s">
        <v>6335</v>
      </c>
      <c r="J897" s="157">
        <v>2026.0</v>
      </c>
    </row>
    <row r="898">
      <c r="A898" s="218">
        <f t="shared" si="2"/>
        <v>895</v>
      </c>
      <c r="B898" s="218" t="s">
        <v>202</v>
      </c>
      <c r="C898" s="236" t="str">
        <f t="shared" si="1"/>
        <v>KB/1218/2026</v>
      </c>
      <c r="D898" s="218" t="b">
        <v>1</v>
      </c>
      <c r="E898" s="218" t="b">
        <v>0</v>
      </c>
      <c r="F898" s="234">
        <v>46155.0</v>
      </c>
      <c r="G898" s="173"/>
      <c r="H898" s="157" t="s">
        <v>5886</v>
      </c>
      <c r="I898" s="157" t="s">
        <v>6336</v>
      </c>
      <c r="J898" s="157">
        <v>2026.0</v>
      </c>
    </row>
    <row r="899">
      <c r="A899" s="218">
        <f t="shared" si="2"/>
        <v>896</v>
      </c>
      <c r="B899" s="218" t="s">
        <v>202</v>
      </c>
      <c r="C899" s="236" t="str">
        <f t="shared" si="1"/>
        <v>KB/1219/2026</v>
      </c>
      <c r="D899" s="218" t="b">
        <v>1</v>
      </c>
      <c r="E899" s="218" t="b">
        <v>0</v>
      </c>
      <c r="F899" s="234">
        <v>46155.0</v>
      </c>
      <c r="G899" s="173"/>
      <c r="H899" s="157" t="s">
        <v>5886</v>
      </c>
      <c r="I899" s="157" t="s">
        <v>6337</v>
      </c>
      <c r="J899" s="157">
        <v>2026.0</v>
      </c>
    </row>
    <row r="900">
      <c r="A900" s="218">
        <f t="shared" si="2"/>
        <v>897</v>
      </c>
      <c r="B900" s="218" t="s">
        <v>202</v>
      </c>
      <c r="C900" s="236" t="str">
        <f t="shared" si="1"/>
        <v>KB/1220/2026</v>
      </c>
      <c r="D900" s="218" t="b">
        <v>1</v>
      </c>
      <c r="E900" s="218" t="b">
        <v>0</v>
      </c>
      <c r="F900" s="234">
        <v>46155.0</v>
      </c>
      <c r="G900" s="173"/>
      <c r="H900" s="157" t="s">
        <v>5886</v>
      </c>
      <c r="I900" s="157" t="s">
        <v>6338</v>
      </c>
      <c r="J900" s="157">
        <v>2026.0</v>
      </c>
    </row>
    <row r="901">
      <c r="A901" s="218">
        <f t="shared" si="2"/>
        <v>898</v>
      </c>
      <c r="B901" s="218" t="s">
        <v>202</v>
      </c>
      <c r="C901" s="236" t="str">
        <f t="shared" si="1"/>
        <v>KB/1221/2026</v>
      </c>
      <c r="D901" s="218" t="b">
        <v>1</v>
      </c>
      <c r="E901" s="218" t="b">
        <v>0</v>
      </c>
      <c r="F901" s="234">
        <v>46155.0</v>
      </c>
      <c r="G901" s="173"/>
      <c r="H901" s="157" t="s">
        <v>5886</v>
      </c>
      <c r="I901" s="157" t="s">
        <v>6339</v>
      </c>
      <c r="J901" s="157">
        <v>2026.0</v>
      </c>
    </row>
    <row r="902">
      <c r="A902" s="218">
        <f t="shared" si="2"/>
        <v>899</v>
      </c>
      <c r="B902" s="218" t="s">
        <v>202</v>
      </c>
      <c r="C902" s="236" t="str">
        <f t="shared" si="1"/>
        <v>KB/1222/2026</v>
      </c>
      <c r="D902" s="218" t="b">
        <v>1</v>
      </c>
      <c r="E902" s="218" t="b">
        <v>0</v>
      </c>
      <c r="F902" s="234">
        <v>46155.0</v>
      </c>
      <c r="G902" s="173"/>
      <c r="H902" s="157" t="s">
        <v>5886</v>
      </c>
      <c r="I902" s="157" t="s">
        <v>6340</v>
      </c>
      <c r="J902" s="157">
        <v>2026.0</v>
      </c>
    </row>
    <row r="903">
      <c r="A903" s="218">
        <f t="shared" si="2"/>
        <v>900</v>
      </c>
      <c r="B903" s="218" t="s">
        <v>202</v>
      </c>
      <c r="C903" s="236" t="str">
        <f t="shared" si="1"/>
        <v>KB/1223/2026</v>
      </c>
      <c r="D903" s="218" t="b">
        <v>1</v>
      </c>
      <c r="E903" s="218" t="b">
        <v>0</v>
      </c>
      <c r="F903" s="234">
        <v>46155.0</v>
      </c>
      <c r="G903" s="173"/>
      <c r="H903" s="157" t="s">
        <v>5886</v>
      </c>
      <c r="I903" s="157" t="s">
        <v>6341</v>
      </c>
      <c r="J903" s="157">
        <v>2026.0</v>
      </c>
    </row>
    <row r="904">
      <c r="A904" s="218">
        <f t="shared" si="2"/>
        <v>901</v>
      </c>
      <c r="B904" s="218" t="s">
        <v>202</v>
      </c>
      <c r="C904" s="236" t="str">
        <f t="shared" si="1"/>
        <v>KB/1224/2026</v>
      </c>
      <c r="D904" s="218" t="b">
        <v>1</v>
      </c>
      <c r="E904" s="218" t="b">
        <v>0</v>
      </c>
      <c r="F904" s="234">
        <v>46155.0</v>
      </c>
      <c r="G904" s="173"/>
      <c r="H904" s="157" t="s">
        <v>5886</v>
      </c>
      <c r="I904" s="157" t="s">
        <v>6342</v>
      </c>
      <c r="J904" s="157">
        <v>2026.0</v>
      </c>
    </row>
    <row r="905">
      <c r="A905" s="218">
        <f t="shared" si="2"/>
        <v>902</v>
      </c>
      <c r="B905" s="218" t="s">
        <v>202</v>
      </c>
      <c r="C905" s="236" t="str">
        <f t="shared" si="1"/>
        <v>KB/1225/2026</v>
      </c>
      <c r="D905" s="218" t="b">
        <v>1</v>
      </c>
      <c r="E905" s="218" t="b">
        <v>0</v>
      </c>
      <c r="F905" s="234">
        <v>46155.0</v>
      </c>
      <c r="G905" s="173"/>
      <c r="H905" s="157" t="s">
        <v>5886</v>
      </c>
      <c r="I905" s="157" t="s">
        <v>6343</v>
      </c>
      <c r="J905" s="157">
        <v>2026.0</v>
      </c>
    </row>
    <row r="906">
      <c r="A906" s="218">
        <f t="shared" si="2"/>
        <v>903</v>
      </c>
      <c r="B906" s="218" t="s">
        <v>202</v>
      </c>
      <c r="C906" s="236" t="str">
        <f t="shared" si="1"/>
        <v>KB/1226/2026</v>
      </c>
      <c r="D906" s="218" t="b">
        <v>1</v>
      </c>
      <c r="E906" s="218" t="b">
        <v>0</v>
      </c>
      <c r="F906" s="234">
        <v>46155.0</v>
      </c>
      <c r="G906" s="173"/>
      <c r="H906" s="157" t="s">
        <v>5886</v>
      </c>
      <c r="I906" s="157" t="s">
        <v>6344</v>
      </c>
      <c r="J906" s="157">
        <v>2026.0</v>
      </c>
    </row>
    <row r="907">
      <c r="A907" s="218">
        <f t="shared" si="2"/>
        <v>904</v>
      </c>
      <c r="B907" s="218" t="s">
        <v>202</v>
      </c>
      <c r="C907" s="236" t="str">
        <f t="shared" si="1"/>
        <v>KB/1227/2026</v>
      </c>
      <c r="D907" s="218" t="b">
        <v>1</v>
      </c>
      <c r="E907" s="218" t="b">
        <v>0</v>
      </c>
      <c r="F907" s="234">
        <v>46155.0</v>
      </c>
      <c r="G907" s="173"/>
      <c r="H907" s="157" t="s">
        <v>5886</v>
      </c>
      <c r="I907" s="157" t="s">
        <v>6345</v>
      </c>
      <c r="J907" s="157">
        <v>2026.0</v>
      </c>
    </row>
    <row r="908">
      <c r="A908" s="218">
        <f t="shared" si="2"/>
        <v>905</v>
      </c>
      <c r="B908" s="218" t="s">
        <v>202</v>
      </c>
      <c r="C908" s="236" t="str">
        <f t="shared" si="1"/>
        <v>KB/1228/2026</v>
      </c>
      <c r="D908" s="218" t="b">
        <v>1</v>
      </c>
      <c r="E908" s="218" t="b">
        <v>0</v>
      </c>
      <c r="F908" s="234">
        <v>46155.0</v>
      </c>
      <c r="G908" s="173"/>
      <c r="H908" s="157" t="s">
        <v>5886</v>
      </c>
      <c r="I908" s="157" t="s">
        <v>6346</v>
      </c>
      <c r="J908" s="157">
        <v>2026.0</v>
      </c>
    </row>
    <row r="909">
      <c r="A909" s="218">
        <f t="shared" si="2"/>
        <v>906</v>
      </c>
      <c r="B909" s="218" t="s">
        <v>202</v>
      </c>
      <c r="C909" s="236" t="str">
        <f t="shared" si="1"/>
        <v>KB/1229/2026</v>
      </c>
      <c r="D909" s="218" t="b">
        <v>1</v>
      </c>
      <c r="E909" s="218" t="b">
        <v>0</v>
      </c>
      <c r="F909" s="234">
        <v>46155.0</v>
      </c>
      <c r="G909" s="173"/>
      <c r="H909" s="157" t="s">
        <v>5886</v>
      </c>
      <c r="I909" s="157" t="s">
        <v>6347</v>
      </c>
      <c r="J909" s="157">
        <v>2026.0</v>
      </c>
    </row>
    <row r="910">
      <c r="A910" s="218">
        <f t="shared" si="2"/>
        <v>907</v>
      </c>
      <c r="B910" s="218" t="s">
        <v>202</v>
      </c>
      <c r="C910" s="236" t="str">
        <f t="shared" si="1"/>
        <v>KB/1230/2026</v>
      </c>
      <c r="D910" s="218" t="b">
        <v>1</v>
      </c>
      <c r="E910" s="218" t="b">
        <v>0</v>
      </c>
      <c r="F910" s="234">
        <v>46155.0</v>
      </c>
      <c r="G910" s="173"/>
      <c r="H910" s="157" t="s">
        <v>5886</v>
      </c>
      <c r="I910" s="157" t="s">
        <v>6348</v>
      </c>
      <c r="J910" s="157">
        <v>2026.0</v>
      </c>
    </row>
    <row r="911">
      <c r="A911" s="218">
        <f t="shared" si="2"/>
        <v>908</v>
      </c>
      <c r="B911" s="218" t="s">
        <v>202</v>
      </c>
      <c r="C911" s="236" t="str">
        <f t="shared" si="1"/>
        <v>KB/1231/2026</v>
      </c>
      <c r="D911" s="218" t="b">
        <v>1</v>
      </c>
      <c r="E911" s="218" t="b">
        <v>0</v>
      </c>
      <c r="F911" s="234">
        <v>46155.0</v>
      </c>
      <c r="G911" s="173"/>
      <c r="H911" s="157" t="s">
        <v>5886</v>
      </c>
      <c r="I911" s="157" t="s">
        <v>6349</v>
      </c>
      <c r="J911" s="157">
        <v>2026.0</v>
      </c>
    </row>
    <row r="912">
      <c r="A912" s="218">
        <f t="shared" si="2"/>
        <v>909</v>
      </c>
      <c r="B912" s="218" t="s">
        <v>202</v>
      </c>
      <c r="C912" s="236" t="str">
        <f t="shared" si="1"/>
        <v>KB/1232/2026</v>
      </c>
      <c r="D912" s="218" t="b">
        <v>1</v>
      </c>
      <c r="E912" s="218" t="b">
        <v>0</v>
      </c>
      <c r="F912" s="234">
        <v>46155.0</v>
      </c>
      <c r="G912" s="173"/>
      <c r="H912" s="157" t="s">
        <v>5886</v>
      </c>
      <c r="I912" s="157" t="s">
        <v>6350</v>
      </c>
      <c r="J912" s="157">
        <v>2026.0</v>
      </c>
    </row>
    <row r="913">
      <c r="A913" s="218">
        <f t="shared" si="2"/>
        <v>910</v>
      </c>
      <c r="B913" s="218" t="s">
        <v>202</v>
      </c>
      <c r="C913" s="236" t="str">
        <f t="shared" si="1"/>
        <v>KB/1233/2026</v>
      </c>
      <c r="D913" s="218" t="b">
        <v>1</v>
      </c>
      <c r="E913" s="218" t="b">
        <v>0</v>
      </c>
      <c r="F913" s="234">
        <v>46155.0</v>
      </c>
      <c r="G913" s="173"/>
      <c r="H913" s="157" t="s">
        <v>5886</v>
      </c>
      <c r="I913" s="157" t="s">
        <v>6351</v>
      </c>
      <c r="J913" s="157">
        <v>2026.0</v>
      </c>
    </row>
    <row r="914">
      <c r="A914" s="218">
        <f t="shared" si="2"/>
        <v>911</v>
      </c>
      <c r="B914" s="218" t="s">
        <v>202</v>
      </c>
      <c r="C914" s="236" t="str">
        <f t="shared" si="1"/>
        <v>KB/1234/2026</v>
      </c>
      <c r="D914" s="218" t="b">
        <v>1</v>
      </c>
      <c r="E914" s="218" t="b">
        <v>0</v>
      </c>
      <c r="F914" s="234">
        <v>46155.0</v>
      </c>
      <c r="G914" s="173"/>
      <c r="H914" s="157" t="s">
        <v>5886</v>
      </c>
      <c r="I914" s="157" t="s">
        <v>6352</v>
      </c>
      <c r="J914" s="157">
        <v>2026.0</v>
      </c>
    </row>
    <row r="915">
      <c r="A915" s="218">
        <f t="shared" si="2"/>
        <v>912</v>
      </c>
      <c r="B915" s="218" t="s">
        <v>202</v>
      </c>
      <c r="C915" s="236" t="str">
        <f t="shared" si="1"/>
        <v>KB/1235/2026</v>
      </c>
      <c r="D915" s="218" t="b">
        <v>1</v>
      </c>
      <c r="E915" s="218" t="b">
        <v>0</v>
      </c>
      <c r="F915" s="234">
        <v>46155.0</v>
      </c>
      <c r="G915" s="173"/>
      <c r="H915" s="157" t="s">
        <v>5886</v>
      </c>
      <c r="I915" s="157" t="s">
        <v>6353</v>
      </c>
      <c r="J915" s="157">
        <v>2026.0</v>
      </c>
    </row>
    <row r="916">
      <c r="A916" s="218">
        <f t="shared" si="2"/>
        <v>913</v>
      </c>
      <c r="B916" s="218" t="s">
        <v>202</v>
      </c>
      <c r="C916" s="236" t="str">
        <f t="shared" si="1"/>
        <v>KB/1236/2026</v>
      </c>
      <c r="D916" s="218" t="b">
        <v>1</v>
      </c>
      <c r="E916" s="218" t="b">
        <v>0</v>
      </c>
      <c r="F916" s="234">
        <v>46155.0</v>
      </c>
      <c r="G916" s="173"/>
      <c r="H916" s="157" t="s">
        <v>5886</v>
      </c>
      <c r="I916" s="157" t="s">
        <v>6354</v>
      </c>
      <c r="J916" s="157">
        <v>2026.0</v>
      </c>
    </row>
    <row r="917">
      <c r="A917" s="218">
        <f t="shared" si="2"/>
        <v>914</v>
      </c>
      <c r="B917" s="218" t="s">
        <v>202</v>
      </c>
      <c r="C917" s="236" t="str">
        <f t="shared" si="1"/>
        <v>KB/1237/2026</v>
      </c>
      <c r="D917" s="218" t="b">
        <v>1</v>
      </c>
      <c r="E917" s="218" t="b">
        <v>0</v>
      </c>
      <c r="F917" s="234">
        <v>46155.0</v>
      </c>
      <c r="G917" s="173"/>
      <c r="H917" s="157" t="s">
        <v>5886</v>
      </c>
      <c r="I917" s="157" t="s">
        <v>6356</v>
      </c>
      <c r="J917" s="157">
        <v>2026.0</v>
      </c>
    </row>
    <row r="918">
      <c r="A918" s="218">
        <f t="shared" si="2"/>
        <v>915</v>
      </c>
      <c r="B918" s="218" t="s">
        <v>202</v>
      </c>
      <c r="C918" s="236" t="str">
        <f t="shared" si="1"/>
        <v>KB/1238/2026</v>
      </c>
      <c r="D918" s="218" t="b">
        <v>1</v>
      </c>
      <c r="E918" s="218" t="b">
        <v>0</v>
      </c>
      <c r="F918" s="234">
        <v>46155.0</v>
      </c>
      <c r="G918" s="173"/>
      <c r="H918" s="157" t="s">
        <v>5886</v>
      </c>
      <c r="I918" s="157" t="s">
        <v>6357</v>
      </c>
      <c r="J918" s="157">
        <v>2026.0</v>
      </c>
    </row>
    <row r="919">
      <c r="A919" s="218">
        <f t="shared" si="2"/>
        <v>916</v>
      </c>
      <c r="B919" s="218" t="s">
        <v>202</v>
      </c>
      <c r="C919" s="236" t="str">
        <f t="shared" si="1"/>
        <v>KB/1239/2026</v>
      </c>
      <c r="D919" s="218" t="b">
        <v>1</v>
      </c>
      <c r="E919" s="218" t="b">
        <v>0</v>
      </c>
      <c r="F919" s="234">
        <v>46155.0</v>
      </c>
      <c r="G919" s="173"/>
      <c r="H919" s="157" t="s">
        <v>5886</v>
      </c>
      <c r="I919" s="157" t="s">
        <v>6358</v>
      </c>
      <c r="J919" s="157">
        <v>2026.0</v>
      </c>
    </row>
    <row r="920">
      <c r="A920" s="218">
        <f t="shared" si="2"/>
        <v>917</v>
      </c>
      <c r="B920" s="218" t="s">
        <v>202</v>
      </c>
      <c r="C920" s="236" t="str">
        <f t="shared" si="1"/>
        <v>KB/1240/2026</v>
      </c>
      <c r="D920" s="218" t="b">
        <v>1</v>
      </c>
      <c r="E920" s="218" t="b">
        <v>0</v>
      </c>
      <c r="F920" s="234">
        <v>46155.0</v>
      </c>
      <c r="G920" s="173"/>
      <c r="H920" s="157" t="s">
        <v>5886</v>
      </c>
      <c r="I920" s="157" t="s">
        <v>6359</v>
      </c>
      <c r="J920" s="157">
        <v>2026.0</v>
      </c>
    </row>
    <row r="921">
      <c r="A921" s="218">
        <f t="shared" si="2"/>
        <v>918</v>
      </c>
      <c r="B921" s="218" t="s">
        <v>202</v>
      </c>
      <c r="C921" s="236" t="str">
        <f t="shared" si="1"/>
        <v>KB/1241/2026</v>
      </c>
      <c r="D921" s="218" t="b">
        <v>1</v>
      </c>
      <c r="E921" s="218" t="b">
        <v>0</v>
      </c>
      <c r="F921" s="234">
        <v>46155.0</v>
      </c>
      <c r="G921" s="173"/>
      <c r="H921" s="157" t="s">
        <v>5886</v>
      </c>
      <c r="I921" s="157" t="s">
        <v>6360</v>
      </c>
      <c r="J921" s="157">
        <v>2026.0</v>
      </c>
    </row>
    <row r="922">
      <c r="A922" s="218">
        <f t="shared" si="2"/>
        <v>919</v>
      </c>
      <c r="B922" s="218" t="s">
        <v>202</v>
      </c>
      <c r="C922" s="236" t="str">
        <f t="shared" si="1"/>
        <v>KB/1242/2026</v>
      </c>
      <c r="D922" s="218" t="b">
        <v>1</v>
      </c>
      <c r="E922" s="219" t="b">
        <v>0</v>
      </c>
      <c r="F922" s="234">
        <v>46155.0</v>
      </c>
      <c r="G922" s="173"/>
      <c r="H922" s="157" t="s">
        <v>5886</v>
      </c>
      <c r="I922" s="157" t="s">
        <v>6361</v>
      </c>
      <c r="J922" s="157">
        <v>2026.0</v>
      </c>
    </row>
    <row r="923">
      <c r="A923" s="218">
        <f t="shared" si="2"/>
        <v>920</v>
      </c>
      <c r="B923" s="218" t="s">
        <v>202</v>
      </c>
      <c r="C923" s="236" t="str">
        <f t="shared" si="1"/>
        <v>KB/1243/2026</v>
      </c>
      <c r="D923" s="218" t="b">
        <v>1</v>
      </c>
      <c r="E923" s="219" t="b">
        <v>0</v>
      </c>
      <c r="F923" s="234">
        <v>46198.0</v>
      </c>
      <c r="G923" s="173"/>
      <c r="H923" s="157" t="s">
        <v>5886</v>
      </c>
      <c r="I923" s="157" t="s">
        <v>6362</v>
      </c>
      <c r="J923" s="157">
        <v>2026.0</v>
      </c>
    </row>
    <row r="924">
      <c r="A924" s="218">
        <f t="shared" si="2"/>
        <v>921</v>
      </c>
      <c r="B924" s="218" t="s">
        <v>202</v>
      </c>
      <c r="C924" s="236" t="str">
        <f t="shared" si="1"/>
        <v>KB/1244/2026</v>
      </c>
      <c r="D924" s="218" t="b">
        <v>1</v>
      </c>
      <c r="E924" s="219" t="b">
        <v>0</v>
      </c>
      <c r="F924" s="234">
        <v>46198.0</v>
      </c>
      <c r="G924" s="173"/>
      <c r="H924" s="157" t="s">
        <v>5886</v>
      </c>
      <c r="I924" s="157" t="s">
        <v>6363</v>
      </c>
      <c r="J924" s="157">
        <v>2026.0</v>
      </c>
    </row>
    <row r="925">
      <c r="A925" s="218">
        <f t="shared" si="2"/>
        <v>922</v>
      </c>
      <c r="B925" s="218" t="s">
        <v>202</v>
      </c>
      <c r="C925" s="236" t="str">
        <f t="shared" si="1"/>
        <v>KB/1245/2026</v>
      </c>
      <c r="D925" s="218" t="b">
        <v>1</v>
      </c>
      <c r="E925" s="219" t="b">
        <v>0</v>
      </c>
      <c r="F925" s="234">
        <v>46198.0</v>
      </c>
      <c r="G925" s="173"/>
      <c r="H925" s="157" t="s">
        <v>5886</v>
      </c>
      <c r="I925" s="157" t="s">
        <v>6364</v>
      </c>
      <c r="J925" s="157">
        <v>2026.0</v>
      </c>
    </row>
    <row r="926">
      <c r="A926" s="218">
        <f t="shared" si="2"/>
        <v>923</v>
      </c>
      <c r="B926" s="218" t="s">
        <v>202</v>
      </c>
      <c r="C926" s="236" t="str">
        <f t="shared" si="1"/>
        <v>KB/1246/2026</v>
      </c>
      <c r="D926" s="218" t="b">
        <v>1</v>
      </c>
      <c r="E926" s="219" t="b">
        <v>0</v>
      </c>
      <c r="F926" s="234">
        <v>46198.0</v>
      </c>
      <c r="G926" s="173"/>
      <c r="H926" s="157" t="s">
        <v>5886</v>
      </c>
      <c r="I926" s="157" t="s">
        <v>6365</v>
      </c>
      <c r="J926" s="157">
        <v>2026.0</v>
      </c>
    </row>
    <row r="927">
      <c r="A927" s="218">
        <f t="shared" si="2"/>
        <v>924</v>
      </c>
      <c r="B927" s="218" t="s">
        <v>202</v>
      </c>
      <c r="C927" s="236" t="str">
        <f t="shared" si="1"/>
        <v>KB/1247/2026</v>
      </c>
      <c r="D927" s="218" t="b">
        <v>1</v>
      </c>
      <c r="E927" s="219" t="b">
        <v>0</v>
      </c>
      <c r="F927" s="234">
        <v>46198.0</v>
      </c>
      <c r="G927" s="173"/>
      <c r="H927" s="157" t="s">
        <v>5886</v>
      </c>
      <c r="I927" s="157" t="s">
        <v>6366</v>
      </c>
      <c r="J927" s="157">
        <v>2026.0</v>
      </c>
    </row>
    <row r="928">
      <c r="A928" s="218">
        <f t="shared" si="2"/>
        <v>925</v>
      </c>
      <c r="B928" s="218" t="s">
        <v>202</v>
      </c>
      <c r="C928" s="236" t="str">
        <f t="shared" si="1"/>
        <v>KB/1248/2026</v>
      </c>
      <c r="D928" s="218" t="b">
        <v>1</v>
      </c>
      <c r="E928" s="219" t="b">
        <v>0</v>
      </c>
      <c r="F928" s="234">
        <v>46198.0</v>
      </c>
      <c r="G928" s="173"/>
      <c r="H928" s="157" t="s">
        <v>5886</v>
      </c>
      <c r="I928" s="157" t="s">
        <v>6367</v>
      </c>
      <c r="J928" s="157">
        <v>2026.0</v>
      </c>
    </row>
    <row r="929">
      <c r="A929" s="218">
        <f t="shared" si="2"/>
        <v>926</v>
      </c>
      <c r="B929" s="218" t="s">
        <v>202</v>
      </c>
      <c r="C929" s="236" t="str">
        <f t="shared" si="1"/>
        <v>KB/1249/2026</v>
      </c>
      <c r="D929" s="218" t="b">
        <v>1</v>
      </c>
      <c r="E929" s="219" t="b">
        <v>0</v>
      </c>
      <c r="F929" s="234">
        <v>46198.0</v>
      </c>
      <c r="G929" s="173"/>
      <c r="H929" s="157" t="s">
        <v>5886</v>
      </c>
      <c r="I929" s="157" t="s">
        <v>6368</v>
      </c>
      <c r="J929" s="157">
        <v>2026.0</v>
      </c>
    </row>
    <row r="930">
      <c r="A930" s="218">
        <f t="shared" si="2"/>
        <v>927</v>
      </c>
      <c r="B930" s="218" t="s">
        <v>202</v>
      </c>
      <c r="C930" s="236" t="str">
        <f t="shared" si="1"/>
        <v>KB/1250/2026</v>
      </c>
      <c r="D930" s="218" t="b">
        <v>1</v>
      </c>
      <c r="E930" s="219" t="b">
        <v>0</v>
      </c>
      <c r="F930" s="234">
        <v>46198.0</v>
      </c>
      <c r="G930" s="173"/>
      <c r="H930" s="157" t="s">
        <v>5886</v>
      </c>
      <c r="I930" s="157" t="s">
        <v>6369</v>
      </c>
      <c r="J930" s="157">
        <v>2026.0</v>
      </c>
    </row>
    <row r="931">
      <c r="A931" s="218">
        <f t="shared" si="2"/>
        <v>928</v>
      </c>
      <c r="B931" s="218" t="s">
        <v>202</v>
      </c>
      <c r="C931" s="236" t="str">
        <f t="shared" si="1"/>
        <v>KB/1251/2026</v>
      </c>
      <c r="D931" s="218" t="b">
        <v>1</v>
      </c>
      <c r="E931" s="219" t="b">
        <v>0</v>
      </c>
      <c r="F931" s="234">
        <v>46198.0</v>
      </c>
      <c r="G931" s="173"/>
      <c r="H931" s="157" t="s">
        <v>5886</v>
      </c>
      <c r="I931" s="157" t="s">
        <v>6370</v>
      </c>
      <c r="J931" s="157">
        <v>2026.0</v>
      </c>
    </row>
    <row r="932">
      <c r="A932" s="218">
        <f t="shared" si="2"/>
        <v>929</v>
      </c>
      <c r="B932" s="218" t="s">
        <v>202</v>
      </c>
      <c r="C932" s="236" t="str">
        <f t="shared" si="1"/>
        <v>KB/1252/2026</v>
      </c>
      <c r="D932" s="218" t="b">
        <v>1</v>
      </c>
      <c r="E932" s="219" t="b">
        <v>0</v>
      </c>
      <c r="F932" s="234">
        <v>46198.0</v>
      </c>
      <c r="G932" s="173"/>
      <c r="H932" s="157" t="s">
        <v>5886</v>
      </c>
      <c r="I932" s="157" t="s">
        <v>6371</v>
      </c>
      <c r="J932" s="157">
        <v>2026.0</v>
      </c>
    </row>
    <row r="933">
      <c r="A933" s="218">
        <f t="shared" si="2"/>
        <v>930</v>
      </c>
      <c r="B933" s="218" t="s">
        <v>202</v>
      </c>
      <c r="C933" s="236" t="str">
        <f t="shared" si="1"/>
        <v>KB/1253/2026</v>
      </c>
      <c r="D933" s="218" t="b">
        <v>1</v>
      </c>
      <c r="E933" s="219" t="b">
        <v>0</v>
      </c>
      <c r="F933" s="234">
        <v>46198.0</v>
      </c>
      <c r="G933" s="173"/>
      <c r="H933" s="157" t="s">
        <v>5886</v>
      </c>
      <c r="I933" s="157" t="s">
        <v>6372</v>
      </c>
      <c r="J933" s="157">
        <v>2026.0</v>
      </c>
    </row>
    <row r="934">
      <c r="A934" s="218">
        <f t="shared" si="2"/>
        <v>931</v>
      </c>
      <c r="B934" s="218" t="s">
        <v>202</v>
      </c>
      <c r="C934" s="236" t="str">
        <f t="shared" si="1"/>
        <v>KB/1254/2026</v>
      </c>
      <c r="D934" s="218" t="b">
        <v>1</v>
      </c>
      <c r="E934" s="219" t="b">
        <v>0</v>
      </c>
      <c r="F934" s="234">
        <v>46198.0</v>
      </c>
      <c r="G934" s="173"/>
      <c r="H934" s="157" t="s">
        <v>5886</v>
      </c>
      <c r="I934" s="157" t="s">
        <v>6373</v>
      </c>
      <c r="J934" s="157">
        <v>2026.0</v>
      </c>
    </row>
    <row r="935">
      <c r="A935" s="218">
        <f t="shared" si="2"/>
        <v>932</v>
      </c>
      <c r="B935" s="218" t="s">
        <v>202</v>
      </c>
      <c r="C935" s="236" t="str">
        <f t="shared" si="1"/>
        <v>KB/1255/2026</v>
      </c>
      <c r="D935" s="218" t="b">
        <v>1</v>
      </c>
      <c r="E935" s="219" t="b">
        <v>0</v>
      </c>
      <c r="F935" s="234">
        <v>46198.0</v>
      </c>
      <c r="G935" s="173"/>
      <c r="H935" s="157" t="s">
        <v>5886</v>
      </c>
      <c r="I935" s="157" t="s">
        <v>6374</v>
      </c>
      <c r="J935" s="157">
        <v>2026.0</v>
      </c>
    </row>
    <row r="936">
      <c r="A936" s="218">
        <f t="shared" si="2"/>
        <v>933</v>
      </c>
      <c r="B936" s="218" t="s">
        <v>202</v>
      </c>
      <c r="C936" s="236" t="str">
        <f t="shared" si="1"/>
        <v>KB/1256/2026</v>
      </c>
      <c r="D936" s="218" t="b">
        <v>1</v>
      </c>
      <c r="E936" s="219" t="b">
        <v>0</v>
      </c>
      <c r="F936" s="234">
        <v>46198.0</v>
      </c>
      <c r="G936" s="173"/>
      <c r="H936" s="157" t="s">
        <v>5886</v>
      </c>
      <c r="I936" s="157" t="s">
        <v>6375</v>
      </c>
      <c r="J936" s="157">
        <v>2026.0</v>
      </c>
    </row>
    <row r="937">
      <c r="A937" s="218">
        <f t="shared" si="2"/>
        <v>934</v>
      </c>
      <c r="B937" s="218" t="s">
        <v>202</v>
      </c>
      <c r="C937" s="236" t="str">
        <f t="shared" si="1"/>
        <v>KB/1257/2026</v>
      </c>
      <c r="D937" s="218" t="b">
        <v>1</v>
      </c>
      <c r="E937" s="219" t="b">
        <v>0</v>
      </c>
      <c r="F937" s="234">
        <v>46198.0</v>
      </c>
      <c r="G937" s="173"/>
      <c r="H937" s="157" t="s">
        <v>5886</v>
      </c>
      <c r="I937" s="157" t="s">
        <v>6376</v>
      </c>
      <c r="J937" s="157">
        <v>2026.0</v>
      </c>
    </row>
    <row r="938">
      <c r="A938" s="218">
        <f t="shared" si="2"/>
        <v>935</v>
      </c>
      <c r="B938" s="218" t="s">
        <v>202</v>
      </c>
      <c r="C938" s="236" t="str">
        <f t="shared" si="1"/>
        <v>KB/1258/2026</v>
      </c>
      <c r="D938" s="218" t="b">
        <v>1</v>
      </c>
      <c r="E938" s="219" t="b">
        <v>0</v>
      </c>
      <c r="F938" s="234">
        <v>46198.0</v>
      </c>
      <c r="G938" s="173"/>
      <c r="H938" s="157" t="s">
        <v>5886</v>
      </c>
      <c r="I938" s="157" t="s">
        <v>6377</v>
      </c>
      <c r="J938" s="157">
        <v>2026.0</v>
      </c>
    </row>
    <row r="939">
      <c r="A939" s="218">
        <f t="shared" si="2"/>
        <v>936</v>
      </c>
      <c r="B939" s="218" t="s">
        <v>202</v>
      </c>
      <c r="C939" s="236" t="str">
        <f t="shared" si="1"/>
        <v>KB/1259/2026</v>
      </c>
      <c r="D939" s="218" t="b">
        <v>1</v>
      </c>
      <c r="E939" s="219" t="b">
        <v>0</v>
      </c>
      <c r="F939" s="234">
        <v>46198.0</v>
      </c>
      <c r="G939" s="173"/>
      <c r="H939" s="157" t="s">
        <v>5886</v>
      </c>
      <c r="I939" s="157" t="s">
        <v>6378</v>
      </c>
      <c r="J939" s="157">
        <v>2026.0</v>
      </c>
    </row>
    <row r="940">
      <c r="A940" s="218">
        <f t="shared" si="2"/>
        <v>937</v>
      </c>
      <c r="B940" s="218" t="s">
        <v>202</v>
      </c>
      <c r="C940" s="236" t="str">
        <f t="shared" si="1"/>
        <v>KB/1260/2026</v>
      </c>
      <c r="D940" s="218" t="b">
        <v>1</v>
      </c>
      <c r="E940" s="219" t="b">
        <v>0</v>
      </c>
      <c r="F940" s="234">
        <v>46198.0</v>
      </c>
      <c r="G940" s="173"/>
      <c r="H940" s="157" t="s">
        <v>5886</v>
      </c>
      <c r="I940" s="157" t="s">
        <v>6379</v>
      </c>
      <c r="J940" s="157">
        <v>2026.0</v>
      </c>
    </row>
    <row r="941">
      <c r="A941" s="218">
        <f t="shared" si="2"/>
        <v>938</v>
      </c>
      <c r="B941" s="218" t="s">
        <v>202</v>
      </c>
      <c r="C941" s="236" t="str">
        <f t="shared" si="1"/>
        <v>KB/1261/2026</v>
      </c>
      <c r="D941" s="218" t="b">
        <v>1</v>
      </c>
      <c r="E941" s="219" t="b">
        <v>0</v>
      </c>
      <c r="F941" s="234">
        <v>46198.0</v>
      </c>
      <c r="G941" s="173"/>
      <c r="H941" s="157" t="s">
        <v>5886</v>
      </c>
      <c r="I941" s="157" t="s">
        <v>6380</v>
      </c>
      <c r="J941" s="157">
        <v>2026.0</v>
      </c>
    </row>
    <row r="942">
      <c r="A942" s="218">
        <f t="shared" si="2"/>
        <v>939</v>
      </c>
      <c r="B942" s="218" t="s">
        <v>202</v>
      </c>
      <c r="C942" s="236" t="str">
        <f t="shared" si="1"/>
        <v>KB/1262/2026</v>
      </c>
      <c r="D942" s="218" t="b">
        <v>1</v>
      </c>
      <c r="E942" s="219" t="b">
        <v>0</v>
      </c>
      <c r="F942" s="234">
        <v>46198.0</v>
      </c>
      <c r="G942" s="173"/>
      <c r="H942" s="157" t="s">
        <v>5886</v>
      </c>
      <c r="I942" s="157" t="s">
        <v>6381</v>
      </c>
      <c r="J942" s="157">
        <v>2026.0</v>
      </c>
    </row>
    <row r="943">
      <c r="A943" s="218">
        <f t="shared" si="2"/>
        <v>940</v>
      </c>
      <c r="B943" s="218" t="s">
        <v>202</v>
      </c>
      <c r="C943" s="236" t="str">
        <f t="shared" si="1"/>
        <v>KB/1263/2026</v>
      </c>
      <c r="D943" s="218" t="b">
        <v>1</v>
      </c>
      <c r="E943" s="219" t="b">
        <v>0</v>
      </c>
      <c r="F943" s="234">
        <v>46198.0</v>
      </c>
      <c r="G943" s="173"/>
      <c r="H943" s="157" t="s">
        <v>5886</v>
      </c>
      <c r="I943" s="157" t="s">
        <v>6382</v>
      </c>
      <c r="J943" s="157">
        <v>2026.0</v>
      </c>
    </row>
    <row r="944">
      <c r="A944" s="218">
        <f t="shared" si="2"/>
        <v>941</v>
      </c>
      <c r="B944" s="218" t="s">
        <v>202</v>
      </c>
      <c r="C944" s="236" t="str">
        <f t="shared" si="1"/>
        <v>KB/1264/2026</v>
      </c>
      <c r="D944" s="218" t="b">
        <v>1</v>
      </c>
      <c r="E944" s="219" t="b">
        <v>0</v>
      </c>
      <c r="F944" s="234">
        <v>46198.0</v>
      </c>
      <c r="G944" s="173"/>
      <c r="H944" s="157" t="s">
        <v>5886</v>
      </c>
      <c r="I944" s="157" t="s">
        <v>6384</v>
      </c>
      <c r="J944" s="157">
        <v>2026.0</v>
      </c>
    </row>
    <row r="945">
      <c r="A945" s="218">
        <f t="shared" si="2"/>
        <v>942</v>
      </c>
      <c r="B945" s="218" t="s">
        <v>202</v>
      </c>
      <c r="C945" s="236" t="str">
        <f t="shared" si="1"/>
        <v>KB/1265/2026</v>
      </c>
      <c r="D945" s="218" t="b">
        <v>1</v>
      </c>
      <c r="E945" s="219" t="b">
        <v>0</v>
      </c>
      <c r="F945" s="234">
        <v>46198.0</v>
      </c>
      <c r="G945" s="173"/>
      <c r="H945" s="157" t="s">
        <v>5886</v>
      </c>
      <c r="I945" s="157" t="s">
        <v>6385</v>
      </c>
      <c r="J945" s="157">
        <v>2026.0</v>
      </c>
    </row>
    <row r="946">
      <c r="A946" s="218">
        <f t="shared" si="2"/>
        <v>943</v>
      </c>
      <c r="B946" s="218" t="s">
        <v>202</v>
      </c>
      <c r="C946" s="236" t="str">
        <f t="shared" si="1"/>
        <v>KB/1266/2026</v>
      </c>
      <c r="D946" s="218" t="b">
        <v>1</v>
      </c>
      <c r="E946" s="219" t="b">
        <v>0</v>
      </c>
      <c r="F946" s="234">
        <v>46198.0</v>
      </c>
      <c r="G946" s="173"/>
      <c r="H946" s="157" t="s">
        <v>5886</v>
      </c>
      <c r="I946" s="157" t="s">
        <v>6386</v>
      </c>
      <c r="J946" s="157">
        <v>2026.0</v>
      </c>
    </row>
    <row r="947">
      <c r="A947" s="218">
        <f t="shared" si="2"/>
        <v>944</v>
      </c>
      <c r="B947" s="218" t="s">
        <v>202</v>
      </c>
      <c r="C947" s="236" t="str">
        <f t="shared" si="1"/>
        <v>KB/1267/2026</v>
      </c>
      <c r="D947" s="218" t="b">
        <v>1</v>
      </c>
      <c r="E947" s="219" t="b">
        <v>0</v>
      </c>
      <c r="F947" s="234">
        <v>46198.0</v>
      </c>
      <c r="G947" s="173"/>
      <c r="H947" s="157" t="s">
        <v>5886</v>
      </c>
      <c r="I947" s="157" t="s">
        <v>6387</v>
      </c>
      <c r="J947" s="157">
        <v>2026.0</v>
      </c>
    </row>
    <row r="948">
      <c r="A948" s="218">
        <f t="shared" si="2"/>
        <v>945</v>
      </c>
      <c r="B948" s="218" t="s">
        <v>202</v>
      </c>
      <c r="C948" s="236" t="str">
        <f t="shared" si="1"/>
        <v>KB/1268/2026</v>
      </c>
      <c r="D948" s="218" t="b">
        <v>1</v>
      </c>
      <c r="E948" s="219" t="b">
        <v>0</v>
      </c>
      <c r="F948" s="234">
        <v>46202.0</v>
      </c>
      <c r="G948" s="173"/>
      <c r="H948" s="157" t="s">
        <v>5886</v>
      </c>
      <c r="I948" s="157" t="s">
        <v>6388</v>
      </c>
      <c r="J948" s="157">
        <v>2026.0</v>
      </c>
    </row>
    <row r="949">
      <c r="A949" s="218">
        <f t="shared" si="2"/>
        <v>946</v>
      </c>
      <c r="B949" s="218" t="s">
        <v>202</v>
      </c>
      <c r="C949" s="236" t="str">
        <f t="shared" si="1"/>
        <v>KB/1269/2026</v>
      </c>
      <c r="D949" s="218" t="b">
        <v>1</v>
      </c>
      <c r="E949" s="219" t="b">
        <v>0</v>
      </c>
      <c r="F949" s="234">
        <v>46202.0</v>
      </c>
      <c r="G949" s="173"/>
      <c r="H949" s="157" t="s">
        <v>5886</v>
      </c>
      <c r="I949" s="157" t="s">
        <v>6389</v>
      </c>
      <c r="J949" s="157">
        <v>2026.0</v>
      </c>
    </row>
    <row r="950">
      <c r="A950" s="218">
        <f t="shared" si="2"/>
        <v>947</v>
      </c>
      <c r="B950" s="218" t="s">
        <v>202</v>
      </c>
      <c r="C950" s="236" t="str">
        <f t="shared" si="1"/>
        <v>KB/1270/2026</v>
      </c>
      <c r="D950" s="218" t="b">
        <v>1</v>
      </c>
      <c r="E950" s="219" t="b">
        <v>0</v>
      </c>
      <c r="F950" s="234">
        <v>46202.0</v>
      </c>
      <c r="G950" s="173"/>
      <c r="H950" s="157" t="s">
        <v>5886</v>
      </c>
      <c r="I950" s="157" t="s">
        <v>6390</v>
      </c>
      <c r="J950" s="157">
        <v>2026.0</v>
      </c>
    </row>
    <row r="951">
      <c r="A951" s="218">
        <f t="shared" si="2"/>
        <v>948</v>
      </c>
      <c r="B951" s="218" t="s">
        <v>202</v>
      </c>
      <c r="C951" s="236" t="str">
        <f t="shared" si="1"/>
        <v>KB/1271/2026</v>
      </c>
      <c r="D951" s="218" t="b">
        <v>1</v>
      </c>
      <c r="E951" s="219" t="b">
        <v>0</v>
      </c>
      <c r="F951" s="234">
        <v>46202.0</v>
      </c>
      <c r="G951" s="173"/>
      <c r="H951" s="157" t="s">
        <v>5886</v>
      </c>
      <c r="I951" s="157" t="s">
        <v>6391</v>
      </c>
      <c r="J951" s="157">
        <v>2026.0</v>
      </c>
    </row>
    <row r="952">
      <c r="A952" s="218">
        <f t="shared" si="2"/>
        <v>949</v>
      </c>
      <c r="B952" s="218" t="s">
        <v>202</v>
      </c>
      <c r="C952" s="236" t="str">
        <f t="shared" si="1"/>
        <v>KB/1272/2026</v>
      </c>
      <c r="D952" s="218" t="b">
        <v>1</v>
      </c>
      <c r="E952" s="219" t="b">
        <v>0</v>
      </c>
      <c r="F952" s="234">
        <v>46202.0</v>
      </c>
      <c r="G952" s="173"/>
      <c r="H952" s="157" t="s">
        <v>5886</v>
      </c>
      <c r="I952" s="157" t="s">
        <v>6392</v>
      </c>
      <c r="J952" s="157">
        <v>2026.0</v>
      </c>
    </row>
    <row r="953">
      <c r="A953" s="218">
        <f t="shared" si="2"/>
        <v>950</v>
      </c>
      <c r="B953" s="218" t="s">
        <v>202</v>
      </c>
      <c r="C953" s="236" t="str">
        <f t="shared" si="1"/>
        <v>KB/1273/2026</v>
      </c>
      <c r="D953" s="218" t="b">
        <v>1</v>
      </c>
      <c r="E953" s="219" t="b">
        <v>0</v>
      </c>
      <c r="F953" s="234">
        <v>46202.0</v>
      </c>
      <c r="G953" s="173"/>
      <c r="H953" s="157" t="s">
        <v>5886</v>
      </c>
      <c r="I953" s="157" t="s">
        <v>6393</v>
      </c>
      <c r="J953" s="157">
        <v>2026.0</v>
      </c>
    </row>
    <row r="954">
      <c r="A954" s="218">
        <f t="shared" si="2"/>
        <v>951</v>
      </c>
      <c r="B954" s="218" t="s">
        <v>202</v>
      </c>
      <c r="C954" s="236" t="str">
        <f t="shared" si="1"/>
        <v>KB/1274/2026</v>
      </c>
      <c r="D954" s="218" t="b">
        <v>1</v>
      </c>
      <c r="E954" s="219" t="b">
        <v>0</v>
      </c>
      <c r="F954" s="234">
        <v>46202.0</v>
      </c>
      <c r="G954" s="173"/>
      <c r="H954" s="157" t="s">
        <v>5886</v>
      </c>
      <c r="I954" s="157" t="s">
        <v>6394</v>
      </c>
      <c r="J954" s="157">
        <v>2026.0</v>
      </c>
    </row>
    <row r="955">
      <c r="A955" s="218">
        <f t="shared" si="2"/>
        <v>952</v>
      </c>
      <c r="B955" s="218" t="s">
        <v>202</v>
      </c>
      <c r="C955" s="236" t="str">
        <f t="shared" si="1"/>
        <v>KB/1275/2026</v>
      </c>
      <c r="D955" s="218" t="b">
        <v>1</v>
      </c>
      <c r="E955" s="219" t="b">
        <v>0</v>
      </c>
      <c r="F955" s="234">
        <v>46202.0</v>
      </c>
      <c r="G955" s="173"/>
      <c r="H955" s="157" t="s">
        <v>5886</v>
      </c>
      <c r="I955" s="157" t="s">
        <v>6395</v>
      </c>
      <c r="J955" s="157">
        <v>2026.0</v>
      </c>
    </row>
    <row r="956">
      <c r="A956" s="218">
        <f t="shared" si="2"/>
        <v>953</v>
      </c>
      <c r="B956" s="218" t="s">
        <v>202</v>
      </c>
      <c r="C956" s="236" t="str">
        <f t="shared" si="1"/>
        <v>KB/1276/2026</v>
      </c>
      <c r="D956" s="218" t="b">
        <v>1</v>
      </c>
      <c r="E956" s="219" t="b">
        <v>0</v>
      </c>
      <c r="F956" s="234">
        <v>46202.0</v>
      </c>
      <c r="G956" s="173"/>
      <c r="H956" s="157" t="s">
        <v>5886</v>
      </c>
      <c r="I956" s="157" t="s">
        <v>6396</v>
      </c>
      <c r="J956" s="157">
        <v>2026.0</v>
      </c>
    </row>
    <row r="957">
      <c r="A957" s="218">
        <f t="shared" si="2"/>
        <v>954</v>
      </c>
      <c r="B957" s="218" t="s">
        <v>202</v>
      </c>
      <c r="C957" s="236" t="str">
        <f t="shared" si="1"/>
        <v>KB/1277/2026</v>
      </c>
      <c r="D957" s="218" t="b">
        <v>1</v>
      </c>
      <c r="E957" s="219" t="b">
        <v>0</v>
      </c>
      <c r="F957" s="234">
        <v>46202.0</v>
      </c>
      <c r="G957" s="173"/>
      <c r="H957" s="157" t="s">
        <v>5886</v>
      </c>
      <c r="I957" s="157" t="s">
        <v>6397</v>
      </c>
      <c r="J957" s="157">
        <v>2026.0</v>
      </c>
    </row>
    <row r="958">
      <c r="A958" s="218">
        <f t="shared" si="2"/>
        <v>955</v>
      </c>
      <c r="B958" s="218" t="s">
        <v>202</v>
      </c>
      <c r="C958" s="236" t="str">
        <f t="shared" si="1"/>
        <v>KB/1278/2026</v>
      </c>
      <c r="D958" s="218" t="b">
        <v>1</v>
      </c>
      <c r="E958" s="219" t="b">
        <v>0</v>
      </c>
      <c r="F958" s="234">
        <v>46202.0</v>
      </c>
      <c r="G958" s="173"/>
      <c r="H958" s="157" t="s">
        <v>5886</v>
      </c>
      <c r="I958" s="157" t="s">
        <v>6398</v>
      </c>
      <c r="J958" s="157">
        <v>2026.0</v>
      </c>
    </row>
    <row r="959">
      <c r="A959" s="218">
        <f t="shared" si="2"/>
        <v>956</v>
      </c>
      <c r="B959" s="218" t="s">
        <v>202</v>
      </c>
      <c r="C959" s="236" t="str">
        <f t="shared" si="1"/>
        <v>KB/1279/2026</v>
      </c>
      <c r="D959" s="218" t="b">
        <v>1</v>
      </c>
      <c r="E959" s="219" t="b">
        <v>0</v>
      </c>
      <c r="F959" s="234">
        <v>46202.0</v>
      </c>
      <c r="G959" s="173"/>
      <c r="H959" s="157" t="s">
        <v>5886</v>
      </c>
      <c r="I959" s="157" t="s">
        <v>6399</v>
      </c>
      <c r="J959" s="157">
        <v>2026.0</v>
      </c>
    </row>
    <row r="960">
      <c r="A960" s="218">
        <f t="shared" si="2"/>
        <v>957</v>
      </c>
      <c r="B960" s="218" t="s">
        <v>202</v>
      </c>
      <c r="C960" s="236" t="str">
        <f t="shared" si="1"/>
        <v>KB/1280/2026</v>
      </c>
      <c r="D960" s="218" t="b">
        <v>1</v>
      </c>
      <c r="E960" s="219" t="b">
        <v>0</v>
      </c>
      <c r="F960" s="234">
        <v>46202.0</v>
      </c>
      <c r="G960" s="173"/>
      <c r="H960" s="157" t="s">
        <v>5886</v>
      </c>
      <c r="I960" s="157" t="s">
        <v>6400</v>
      </c>
      <c r="J960" s="157">
        <v>2026.0</v>
      </c>
    </row>
    <row r="961">
      <c r="A961" s="218">
        <f t="shared" si="2"/>
        <v>958</v>
      </c>
      <c r="B961" s="218" t="s">
        <v>202</v>
      </c>
      <c r="C961" s="236" t="str">
        <f t="shared" si="1"/>
        <v>KB/1281/2026</v>
      </c>
      <c r="D961" s="218" t="b">
        <v>1</v>
      </c>
      <c r="E961" s="219" t="b">
        <v>0</v>
      </c>
      <c r="F961" s="234">
        <v>46202.0</v>
      </c>
      <c r="G961" s="173"/>
      <c r="H961" s="157" t="s">
        <v>5886</v>
      </c>
      <c r="I961" s="157" t="s">
        <v>6401</v>
      </c>
      <c r="J961" s="157">
        <v>2026.0</v>
      </c>
    </row>
    <row r="962">
      <c r="A962" s="218">
        <f t="shared" si="2"/>
        <v>959</v>
      </c>
      <c r="B962" s="218" t="s">
        <v>202</v>
      </c>
      <c r="C962" s="236" t="str">
        <f t="shared" si="1"/>
        <v>KB/1282/2026</v>
      </c>
      <c r="D962" s="218" t="b">
        <v>1</v>
      </c>
      <c r="E962" s="219" t="b">
        <v>0</v>
      </c>
      <c r="F962" s="234">
        <v>46202.0</v>
      </c>
      <c r="G962" s="173"/>
      <c r="H962" s="157" t="s">
        <v>5886</v>
      </c>
      <c r="I962" s="157" t="s">
        <v>6402</v>
      </c>
      <c r="J962" s="157">
        <v>2026.0</v>
      </c>
    </row>
    <row r="963">
      <c r="A963" s="218">
        <f t="shared" si="2"/>
        <v>960</v>
      </c>
      <c r="B963" s="218" t="s">
        <v>202</v>
      </c>
      <c r="C963" s="236" t="str">
        <f t="shared" si="1"/>
        <v>KB/1283/2026</v>
      </c>
      <c r="D963" s="218" t="b">
        <v>1</v>
      </c>
      <c r="E963" s="219" t="b">
        <v>0</v>
      </c>
      <c r="F963" s="234">
        <v>46202.0</v>
      </c>
      <c r="G963" s="173"/>
      <c r="H963" s="157" t="s">
        <v>5886</v>
      </c>
      <c r="I963" s="157" t="s">
        <v>6403</v>
      </c>
      <c r="J963" s="157">
        <v>2026.0</v>
      </c>
    </row>
    <row r="964">
      <c r="A964" s="218">
        <f t="shared" si="2"/>
        <v>961</v>
      </c>
      <c r="B964" s="218" t="s">
        <v>202</v>
      </c>
      <c r="C964" s="236" t="str">
        <f t="shared" si="1"/>
        <v>KB/1284/2026</v>
      </c>
      <c r="D964" s="218" t="b">
        <v>1</v>
      </c>
      <c r="E964" s="219" t="b">
        <v>0</v>
      </c>
      <c r="F964" s="234">
        <v>46202.0</v>
      </c>
      <c r="G964" s="173"/>
      <c r="H964" s="157" t="s">
        <v>5886</v>
      </c>
      <c r="I964" s="157" t="s">
        <v>6404</v>
      </c>
      <c r="J964" s="157">
        <v>2026.0</v>
      </c>
    </row>
    <row r="965">
      <c r="A965" s="218">
        <f t="shared" si="2"/>
        <v>962</v>
      </c>
      <c r="B965" s="218" t="s">
        <v>202</v>
      </c>
      <c r="C965" s="236" t="str">
        <f t="shared" si="1"/>
        <v>KB/1285/2026</v>
      </c>
      <c r="D965" s="218" t="b">
        <v>1</v>
      </c>
      <c r="E965" s="219" t="b">
        <v>0</v>
      </c>
      <c r="F965" s="234">
        <v>46202.0</v>
      </c>
      <c r="G965" s="173"/>
      <c r="H965" s="157" t="s">
        <v>5886</v>
      </c>
      <c r="I965" s="157" t="s">
        <v>6405</v>
      </c>
      <c r="J965" s="157">
        <v>2026.0</v>
      </c>
    </row>
    <row r="966">
      <c r="A966" s="218">
        <f t="shared" si="2"/>
        <v>963</v>
      </c>
      <c r="B966" s="218" t="s">
        <v>202</v>
      </c>
      <c r="C966" s="236" t="str">
        <f t="shared" si="1"/>
        <v>KB/1286/2026</v>
      </c>
      <c r="D966" s="218" t="b">
        <v>1</v>
      </c>
      <c r="E966" s="219" t="b">
        <v>0</v>
      </c>
      <c r="F966" s="234">
        <v>46202.0</v>
      </c>
      <c r="G966" s="173"/>
      <c r="H966" s="157" t="s">
        <v>5886</v>
      </c>
      <c r="I966" s="157" t="s">
        <v>6406</v>
      </c>
      <c r="J966" s="157">
        <v>2026.0</v>
      </c>
    </row>
    <row r="967">
      <c r="A967" s="218">
        <f t="shared" si="2"/>
        <v>964</v>
      </c>
      <c r="B967" s="218" t="s">
        <v>202</v>
      </c>
      <c r="C967" s="236" t="str">
        <f t="shared" si="1"/>
        <v>KB/1287/2026</v>
      </c>
      <c r="D967" s="218" t="b">
        <v>1</v>
      </c>
      <c r="E967" s="219" t="b">
        <v>0</v>
      </c>
      <c r="F967" s="234">
        <v>46202.0</v>
      </c>
      <c r="G967" s="173"/>
      <c r="H967" s="157" t="s">
        <v>5886</v>
      </c>
      <c r="I967" s="157" t="s">
        <v>6407</v>
      </c>
      <c r="J967" s="157">
        <v>2026.0</v>
      </c>
    </row>
    <row r="968">
      <c r="A968" s="218">
        <f t="shared" si="2"/>
        <v>965</v>
      </c>
      <c r="B968" s="218" t="s">
        <v>202</v>
      </c>
      <c r="C968" s="236" t="str">
        <f t="shared" si="1"/>
        <v>KB/1288/2026</v>
      </c>
      <c r="D968" s="218" t="b">
        <v>1</v>
      </c>
      <c r="E968" s="219" t="b">
        <v>0</v>
      </c>
      <c r="F968" s="234">
        <v>46202.0</v>
      </c>
      <c r="G968" s="173"/>
      <c r="H968" s="157" t="s">
        <v>5886</v>
      </c>
      <c r="I968" s="157" t="s">
        <v>6408</v>
      </c>
      <c r="J968" s="157">
        <v>2026.0</v>
      </c>
    </row>
    <row r="969">
      <c r="A969" s="218">
        <f t="shared" si="2"/>
        <v>966</v>
      </c>
      <c r="B969" s="218" t="s">
        <v>202</v>
      </c>
      <c r="C969" s="236" t="str">
        <f t="shared" si="1"/>
        <v>KB/1289/2026</v>
      </c>
      <c r="D969" s="218" t="b">
        <v>1</v>
      </c>
      <c r="E969" s="219" t="b">
        <v>0</v>
      </c>
      <c r="F969" s="234">
        <v>46202.0</v>
      </c>
      <c r="G969" s="173"/>
      <c r="H969" s="157" t="s">
        <v>5886</v>
      </c>
      <c r="I969" s="157" t="s">
        <v>6409</v>
      </c>
      <c r="J969" s="157">
        <v>2026.0</v>
      </c>
    </row>
    <row r="970">
      <c r="A970" s="218">
        <f t="shared" si="2"/>
        <v>967</v>
      </c>
      <c r="B970" s="218" t="s">
        <v>202</v>
      </c>
      <c r="C970" s="236" t="str">
        <f t="shared" si="1"/>
        <v>KB/1290/2026</v>
      </c>
      <c r="D970" s="218" t="b">
        <v>1</v>
      </c>
      <c r="E970" s="219" t="b">
        <v>0</v>
      </c>
      <c r="F970" s="234">
        <v>46202.0</v>
      </c>
      <c r="G970" s="173"/>
      <c r="H970" s="157" t="s">
        <v>5886</v>
      </c>
      <c r="I970" s="157" t="s">
        <v>6410</v>
      </c>
      <c r="J970" s="157">
        <v>2026.0</v>
      </c>
    </row>
    <row r="971">
      <c r="A971" s="218">
        <f t="shared" si="2"/>
        <v>968</v>
      </c>
      <c r="B971" s="218" t="s">
        <v>202</v>
      </c>
      <c r="C971" s="236" t="str">
        <f t="shared" si="1"/>
        <v>KB/1291/2026</v>
      </c>
      <c r="D971" s="218" t="b">
        <v>1</v>
      </c>
      <c r="E971" s="219" t="b">
        <v>0</v>
      </c>
      <c r="F971" s="234">
        <v>46202.0</v>
      </c>
      <c r="G971" s="173"/>
      <c r="H971" s="157" t="s">
        <v>5886</v>
      </c>
      <c r="I971" s="157" t="s">
        <v>6411</v>
      </c>
      <c r="J971" s="157">
        <v>2026.0</v>
      </c>
    </row>
    <row r="972">
      <c r="A972" s="218">
        <f t="shared" si="2"/>
        <v>969</v>
      </c>
      <c r="B972" s="218" t="s">
        <v>202</v>
      </c>
      <c r="C972" s="236" t="str">
        <f t="shared" si="1"/>
        <v>KB/1292/2026</v>
      </c>
      <c r="D972" s="218" t="b">
        <v>1</v>
      </c>
      <c r="E972" s="219" t="b">
        <v>0</v>
      </c>
      <c r="F972" s="234">
        <v>46202.0</v>
      </c>
      <c r="G972" s="173"/>
      <c r="H972" s="157" t="s">
        <v>5886</v>
      </c>
      <c r="I972" s="157" t="s">
        <v>6412</v>
      </c>
      <c r="J972" s="157">
        <v>2026.0</v>
      </c>
    </row>
    <row r="973">
      <c r="A973" s="218">
        <f t="shared" si="2"/>
        <v>970</v>
      </c>
      <c r="B973" s="218" t="s">
        <v>202</v>
      </c>
      <c r="C973" s="236" t="str">
        <f t="shared" si="1"/>
        <v>KB/1293/2026</v>
      </c>
      <c r="D973" s="218" t="b">
        <v>1</v>
      </c>
      <c r="E973" s="219" t="b">
        <v>0</v>
      </c>
      <c r="F973" s="234">
        <v>46220.0</v>
      </c>
      <c r="G973" s="173"/>
      <c r="H973" s="157" t="s">
        <v>5886</v>
      </c>
      <c r="I973" s="226" t="s">
        <v>6413</v>
      </c>
      <c r="J973" s="157">
        <v>2026.0</v>
      </c>
    </row>
    <row r="974">
      <c r="A974" s="218">
        <f t="shared" si="2"/>
        <v>971</v>
      </c>
      <c r="B974" s="218" t="s">
        <v>202</v>
      </c>
      <c r="C974" s="236" t="str">
        <f t="shared" si="1"/>
        <v>KB/1294/2026</v>
      </c>
      <c r="D974" s="218" t="b">
        <v>1</v>
      </c>
      <c r="E974" s="219" t="b">
        <v>0</v>
      </c>
      <c r="F974" s="234">
        <v>46220.0</v>
      </c>
      <c r="G974" s="173"/>
      <c r="H974" s="157" t="s">
        <v>5886</v>
      </c>
      <c r="I974" s="226" t="s">
        <v>6414</v>
      </c>
      <c r="J974" s="157">
        <v>2026.0</v>
      </c>
    </row>
    <row r="975">
      <c r="A975" s="218">
        <f t="shared" si="2"/>
        <v>972</v>
      </c>
      <c r="B975" s="218" t="s">
        <v>202</v>
      </c>
      <c r="C975" s="236" t="str">
        <f t="shared" si="1"/>
        <v>KB/1295/2026</v>
      </c>
      <c r="D975" s="218" t="b">
        <v>1</v>
      </c>
      <c r="E975" s="219" t="b">
        <v>0</v>
      </c>
      <c r="F975" s="234">
        <v>46220.0</v>
      </c>
      <c r="G975" s="173"/>
      <c r="H975" s="157" t="s">
        <v>5886</v>
      </c>
      <c r="I975" s="226" t="s">
        <v>6415</v>
      </c>
      <c r="J975" s="157">
        <v>2026.0</v>
      </c>
    </row>
    <row r="976">
      <c r="A976" s="218">
        <f t="shared" si="2"/>
        <v>973</v>
      </c>
      <c r="B976" s="218" t="s">
        <v>202</v>
      </c>
      <c r="C976" s="236" t="str">
        <f t="shared" si="1"/>
        <v>KB/1296/2026</v>
      </c>
      <c r="D976" s="218" t="b">
        <v>1</v>
      </c>
      <c r="E976" s="219" t="b">
        <v>0</v>
      </c>
      <c r="F976" s="234">
        <v>46220.0</v>
      </c>
      <c r="G976" s="173"/>
      <c r="H976" s="157" t="s">
        <v>5886</v>
      </c>
      <c r="I976" s="226" t="s">
        <v>6416</v>
      </c>
      <c r="J976" s="157">
        <v>2026.0</v>
      </c>
    </row>
    <row r="977">
      <c r="A977" s="218">
        <f t="shared" si="2"/>
        <v>974</v>
      </c>
      <c r="B977" s="218" t="s">
        <v>202</v>
      </c>
      <c r="C977" s="236" t="str">
        <f t="shared" si="1"/>
        <v>KB/1297/2026</v>
      </c>
      <c r="D977" s="218" t="b">
        <v>1</v>
      </c>
      <c r="E977" s="219" t="b">
        <v>0</v>
      </c>
      <c r="F977" s="234">
        <v>46220.0</v>
      </c>
      <c r="G977" s="173"/>
      <c r="H977" s="157" t="s">
        <v>5886</v>
      </c>
      <c r="I977" s="226" t="s">
        <v>6417</v>
      </c>
      <c r="J977" s="157">
        <v>2026.0</v>
      </c>
    </row>
    <row r="978">
      <c r="A978" s="218">
        <f t="shared" si="2"/>
        <v>975</v>
      </c>
      <c r="B978" s="218" t="s">
        <v>202</v>
      </c>
      <c r="C978" s="236" t="str">
        <f t="shared" si="1"/>
        <v>KB/1298/2026</v>
      </c>
      <c r="D978" s="218" t="b">
        <v>1</v>
      </c>
      <c r="E978" s="219" t="b">
        <v>0</v>
      </c>
      <c r="F978" s="234">
        <v>46220.0</v>
      </c>
      <c r="G978" s="173"/>
      <c r="H978" s="157" t="s">
        <v>5886</v>
      </c>
      <c r="I978" s="226" t="s">
        <v>6418</v>
      </c>
      <c r="J978" s="157">
        <v>2026.0</v>
      </c>
    </row>
    <row r="979">
      <c r="A979" s="218">
        <f t="shared" si="2"/>
        <v>976</v>
      </c>
      <c r="B979" s="218" t="s">
        <v>202</v>
      </c>
      <c r="C979" s="236" t="str">
        <f t="shared" si="1"/>
        <v>KB/1299/2026</v>
      </c>
      <c r="D979" s="218" t="b">
        <v>1</v>
      </c>
      <c r="E979" s="219" t="b">
        <v>0</v>
      </c>
      <c r="F979" s="234">
        <v>46220.0</v>
      </c>
      <c r="G979" s="173"/>
      <c r="H979" s="157" t="s">
        <v>5886</v>
      </c>
      <c r="I979" s="226" t="s">
        <v>6419</v>
      </c>
      <c r="J979" s="157">
        <v>2026.0</v>
      </c>
    </row>
    <row r="980">
      <c r="A980" s="218">
        <f t="shared" si="2"/>
        <v>977</v>
      </c>
      <c r="B980" s="218" t="s">
        <v>202</v>
      </c>
      <c r="C980" s="236" t="str">
        <f t="shared" si="1"/>
        <v>KB/1300/2026</v>
      </c>
      <c r="D980" s="218" t="b">
        <v>1</v>
      </c>
      <c r="E980" s="219" t="b">
        <v>0</v>
      </c>
      <c r="F980" s="234">
        <v>46220.0</v>
      </c>
      <c r="G980" s="173"/>
      <c r="H980" s="157" t="s">
        <v>5886</v>
      </c>
      <c r="I980" s="226" t="s">
        <v>6420</v>
      </c>
      <c r="J980" s="157">
        <v>2026.0</v>
      </c>
    </row>
    <row r="981">
      <c r="A981" s="218">
        <f t="shared" si="2"/>
        <v>978</v>
      </c>
      <c r="B981" s="218" t="s">
        <v>202</v>
      </c>
      <c r="C981" s="236" t="str">
        <f t="shared" si="1"/>
        <v>KB/1301/2026</v>
      </c>
      <c r="D981" s="218" t="b">
        <v>1</v>
      </c>
      <c r="E981" s="219" t="b">
        <v>0</v>
      </c>
      <c r="F981" s="234">
        <v>46220.0</v>
      </c>
      <c r="G981" s="173"/>
      <c r="H981" s="157" t="s">
        <v>5886</v>
      </c>
      <c r="I981" s="226" t="s">
        <v>6421</v>
      </c>
      <c r="J981" s="157">
        <v>2026.0</v>
      </c>
    </row>
    <row r="982">
      <c r="A982" s="218">
        <f t="shared" si="2"/>
        <v>979</v>
      </c>
      <c r="B982" s="218" t="s">
        <v>202</v>
      </c>
      <c r="C982" s="236" t="str">
        <f t="shared" si="1"/>
        <v>KB/1302/2026</v>
      </c>
      <c r="D982" s="218" t="b">
        <v>1</v>
      </c>
      <c r="E982" s="219" t="b">
        <v>0</v>
      </c>
      <c r="F982" s="234">
        <v>46220.0</v>
      </c>
      <c r="G982" s="173"/>
      <c r="H982" s="157" t="s">
        <v>5886</v>
      </c>
      <c r="I982" s="226" t="s">
        <v>6422</v>
      </c>
      <c r="J982" s="157">
        <v>2026.0</v>
      </c>
    </row>
    <row r="983">
      <c r="A983" s="218">
        <f t="shared" si="2"/>
        <v>980</v>
      </c>
      <c r="B983" s="218" t="s">
        <v>202</v>
      </c>
      <c r="C983" s="236" t="str">
        <f t="shared" si="1"/>
        <v>KB/1303/2026</v>
      </c>
      <c r="D983" s="218" t="b">
        <v>1</v>
      </c>
      <c r="E983" s="219" t="b">
        <v>0</v>
      </c>
      <c r="F983" s="234">
        <v>46220.0</v>
      </c>
      <c r="G983" s="173"/>
      <c r="H983" s="157" t="s">
        <v>5886</v>
      </c>
      <c r="I983" s="226" t="s">
        <v>6423</v>
      </c>
      <c r="J983" s="157">
        <v>2026.0</v>
      </c>
    </row>
    <row r="984">
      <c r="A984" s="218">
        <f t="shared" si="2"/>
        <v>981</v>
      </c>
      <c r="B984" s="218" t="s">
        <v>202</v>
      </c>
      <c r="C984" s="236" t="str">
        <f t="shared" si="1"/>
        <v>KB/1304/2026</v>
      </c>
      <c r="D984" s="218" t="b">
        <v>1</v>
      </c>
      <c r="E984" s="219" t="b">
        <v>0</v>
      </c>
      <c r="F984" s="234">
        <v>46220.0</v>
      </c>
      <c r="G984" s="173"/>
      <c r="H984" s="157" t="s">
        <v>5886</v>
      </c>
      <c r="I984" s="226" t="s">
        <v>6424</v>
      </c>
      <c r="J984" s="157">
        <v>2026.0</v>
      </c>
    </row>
    <row r="985">
      <c r="A985" s="218">
        <f t="shared" si="2"/>
        <v>982</v>
      </c>
      <c r="B985" s="218" t="s">
        <v>202</v>
      </c>
      <c r="C985" s="236" t="str">
        <f t="shared" si="1"/>
        <v>KB/1305/2026</v>
      </c>
      <c r="D985" s="218" t="b">
        <v>1</v>
      </c>
      <c r="E985" s="219" t="b">
        <v>0</v>
      </c>
      <c r="F985" s="234">
        <v>46220.0</v>
      </c>
      <c r="G985" s="173"/>
      <c r="H985" s="157" t="s">
        <v>5886</v>
      </c>
      <c r="I985" s="226" t="s">
        <v>6425</v>
      </c>
      <c r="J985" s="157">
        <v>2026.0</v>
      </c>
    </row>
    <row r="986">
      <c r="A986" s="218">
        <f t="shared" si="2"/>
        <v>983</v>
      </c>
      <c r="B986" s="218" t="s">
        <v>202</v>
      </c>
      <c r="C986" s="236" t="str">
        <f t="shared" si="1"/>
        <v>KB/1306/2026</v>
      </c>
      <c r="D986" s="218" t="b">
        <v>1</v>
      </c>
      <c r="E986" s="219" t="b">
        <v>0</v>
      </c>
      <c r="F986" s="234">
        <v>46220.0</v>
      </c>
      <c r="G986" s="173"/>
      <c r="H986" s="157" t="s">
        <v>5886</v>
      </c>
      <c r="I986" s="226" t="s">
        <v>6426</v>
      </c>
      <c r="J986" s="157">
        <v>2026.0</v>
      </c>
    </row>
    <row r="987">
      <c r="A987" s="218">
        <f t="shared" si="2"/>
        <v>984</v>
      </c>
      <c r="B987" s="218" t="s">
        <v>202</v>
      </c>
      <c r="C987" s="236" t="str">
        <f t="shared" si="1"/>
        <v>KB/1307/2026</v>
      </c>
      <c r="D987" s="218" t="b">
        <v>1</v>
      </c>
      <c r="E987" s="219" t="b">
        <v>0</v>
      </c>
      <c r="F987" s="234">
        <v>46220.0</v>
      </c>
      <c r="G987" s="173"/>
      <c r="H987" s="157" t="s">
        <v>5886</v>
      </c>
      <c r="I987" s="226" t="s">
        <v>6427</v>
      </c>
      <c r="J987" s="157">
        <v>2026.0</v>
      </c>
    </row>
    <row r="988">
      <c r="A988" s="218">
        <f t="shared" si="2"/>
        <v>985</v>
      </c>
      <c r="B988" s="218" t="s">
        <v>202</v>
      </c>
      <c r="C988" s="236" t="str">
        <f t="shared" si="1"/>
        <v>KB/1308/2026</v>
      </c>
      <c r="D988" s="218" t="b">
        <v>1</v>
      </c>
      <c r="E988" s="219" t="b">
        <v>0</v>
      </c>
      <c r="F988" s="234">
        <v>46220.0</v>
      </c>
      <c r="G988" s="173"/>
      <c r="H988" s="157" t="s">
        <v>5886</v>
      </c>
      <c r="I988" s="226" t="s">
        <v>6428</v>
      </c>
      <c r="J988" s="157">
        <v>2026.0</v>
      </c>
    </row>
    <row r="989">
      <c r="A989" s="218">
        <f t="shared" si="2"/>
        <v>986</v>
      </c>
      <c r="B989" s="218" t="s">
        <v>202</v>
      </c>
      <c r="C989" s="236" t="str">
        <f t="shared" si="1"/>
        <v>KB/1309/2026</v>
      </c>
      <c r="D989" s="218" t="b">
        <v>1</v>
      </c>
      <c r="E989" s="219" t="b">
        <v>0</v>
      </c>
      <c r="F989" s="234">
        <v>46220.0</v>
      </c>
      <c r="G989" s="173"/>
      <c r="H989" s="157" t="s">
        <v>5886</v>
      </c>
      <c r="I989" s="226" t="s">
        <v>6429</v>
      </c>
      <c r="J989" s="157">
        <v>2026.0</v>
      </c>
    </row>
    <row r="990">
      <c r="A990" s="218">
        <f t="shared" si="2"/>
        <v>987</v>
      </c>
      <c r="B990" s="218" t="s">
        <v>202</v>
      </c>
      <c r="C990" s="236" t="str">
        <f t="shared" si="1"/>
        <v>KB/1310/2026</v>
      </c>
      <c r="D990" s="218" t="b">
        <v>1</v>
      </c>
      <c r="E990" s="219" t="b">
        <v>0</v>
      </c>
      <c r="F990" s="234">
        <v>46220.0</v>
      </c>
      <c r="G990" s="173"/>
      <c r="H990" s="157" t="s">
        <v>5886</v>
      </c>
      <c r="I990" s="226" t="s">
        <v>6430</v>
      </c>
      <c r="J990" s="157">
        <v>2026.0</v>
      </c>
    </row>
    <row r="991">
      <c r="A991" s="218">
        <f t="shared" si="2"/>
        <v>988</v>
      </c>
      <c r="B991" s="218" t="s">
        <v>202</v>
      </c>
      <c r="C991" s="236" t="str">
        <f t="shared" si="1"/>
        <v>KB/1311/2026</v>
      </c>
      <c r="D991" s="218" t="b">
        <v>1</v>
      </c>
      <c r="E991" s="219" t="b">
        <v>0</v>
      </c>
      <c r="F991" s="234">
        <v>46220.0</v>
      </c>
      <c r="G991" s="173"/>
      <c r="H991" s="157" t="s">
        <v>5886</v>
      </c>
      <c r="I991" s="226" t="s">
        <v>6431</v>
      </c>
      <c r="J991" s="157">
        <v>2026.0</v>
      </c>
    </row>
    <row r="992">
      <c r="A992" s="218">
        <f t="shared" si="2"/>
        <v>989</v>
      </c>
      <c r="B992" s="218" t="s">
        <v>202</v>
      </c>
      <c r="C992" s="236" t="str">
        <f t="shared" si="1"/>
        <v>KB/1312/2026</v>
      </c>
      <c r="D992" s="218" t="b">
        <v>1</v>
      </c>
      <c r="E992" s="219" t="b">
        <v>0</v>
      </c>
      <c r="F992" s="234">
        <v>46220.0</v>
      </c>
      <c r="G992" s="173"/>
      <c r="H992" s="157" t="s">
        <v>5886</v>
      </c>
      <c r="I992" s="226" t="s">
        <v>6432</v>
      </c>
      <c r="J992" s="157">
        <v>2026.0</v>
      </c>
    </row>
    <row r="993">
      <c r="A993" s="218">
        <f t="shared" si="2"/>
        <v>990</v>
      </c>
      <c r="B993" s="218" t="s">
        <v>202</v>
      </c>
      <c r="C993" s="236" t="str">
        <f t="shared" si="1"/>
        <v>KB/1313/2026</v>
      </c>
      <c r="D993" s="218" t="b">
        <v>1</v>
      </c>
      <c r="E993" s="219" t="b">
        <v>0</v>
      </c>
      <c r="F993" s="234">
        <v>46220.0</v>
      </c>
      <c r="G993" s="173"/>
      <c r="H993" s="157" t="s">
        <v>5886</v>
      </c>
      <c r="I993" s="226" t="s">
        <v>6433</v>
      </c>
      <c r="J993" s="157">
        <v>2026.0</v>
      </c>
    </row>
    <row r="994">
      <c r="A994" s="218">
        <f t="shared" si="2"/>
        <v>991</v>
      </c>
      <c r="B994" s="218" t="s">
        <v>202</v>
      </c>
      <c r="C994" s="236" t="str">
        <f t="shared" si="1"/>
        <v>KB/1314/2026</v>
      </c>
      <c r="D994" s="218" t="b">
        <v>1</v>
      </c>
      <c r="E994" s="219" t="b">
        <v>0</v>
      </c>
      <c r="F994" s="234">
        <v>46220.0</v>
      </c>
      <c r="G994" s="173"/>
      <c r="H994" s="157" t="s">
        <v>5886</v>
      </c>
      <c r="I994" s="226" t="s">
        <v>6434</v>
      </c>
      <c r="J994" s="157">
        <v>2026.0</v>
      </c>
    </row>
    <row r="995">
      <c r="A995" s="218">
        <f t="shared" si="2"/>
        <v>992</v>
      </c>
      <c r="B995" s="218" t="s">
        <v>202</v>
      </c>
      <c r="C995" s="236" t="str">
        <f t="shared" si="1"/>
        <v>KB/1315/2026</v>
      </c>
      <c r="D995" s="218" t="b">
        <v>1</v>
      </c>
      <c r="E995" s="219" t="b">
        <v>0</v>
      </c>
      <c r="F995" s="234">
        <v>46220.0</v>
      </c>
      <c r="G995" s="173"/>
      <c r="H995" s="157" t="s">
        <v>5886</v>
      </c>
      <c r="I995" s="226" t="s">
        <v>6435</v>
      </c>
      <c r="J995" s="157">
        <v>2026.0</v>
      </c>
    </row>
    <row r="996">
      <c r="A996" s="218">
        <f t="shared" si="2"/>
        <v>993</v>
      </c>
      <c r="B996" s="218" t="s">
        <v>202</v>
      </c>
      <c r="C996" s="236" t="str">
        <f t="shared" si="1"/>
        <v>KB/1316/2026</v>
      </c>
      <c r="D996" s="218" t="b">
        <v>1</v>
      </c>
      <c r="E996" s="219" t="b">
        <v>0</v>
      </c>
      <c r="F996" s="234">
        <v>46220.0</v>
      </c>
      <c r="G996" s="173"/>
      <c r="H996" s="157" t="s">
        <v>5886</v>
      </c>
      <c r="I996" s="226" t="s">
        <v>6436</v>
      </c>
      <c r="J996" s="157">
        <v>2026.0</v>
      </c>
    </row>
    <row r="997">
      <c r="A997" s="218">
        <f t="shared" si="2"/>
        <v>994</v>
      </c>
      <c r="B997" s="218" t="s">
        <v>202</v>
      </c>
      <c r="C997" s="236" t="str">
        <f t="shared" si="1"/>
        <v>KB/1317/2026</v>
      </c>
      <c r="D997" s="218" t="b">
        <v>1</v>
      </c>
      <c r="E997" s="219" t="b">
        <v>0</v>
      </c>
      <c r="F997" s="234">
        <v>46220.0</v>
      </c>
      <c r="G997" s="173"/>
      <c r="H997" s="157" t="s">
        <v>5886</v>
      </c>
      <c r="I997" s="226" t="s">
        <v>6437</v>
      </c>
      <c r="J997" s="157">
        <v>2026.0</v>
      </c>
    </row>
    <row r="998">
      <c r="A998" s="218">
        <f t="shared" si="2"/>
        <v>995</v>
      </c>
      <c r="B998" s="218" t="s">
        <v>202</v>
      </c>
      <c r="C998" s="236" t="str">
        <f t="shared" si="1"/>
        <v>KB/1318/2026</v>
      </c>
      <c r="D998" s="218" t="b">
        <v>1</v>
      </c>
      <c r="E998" s="219" t="b">
        <v>0</v>
      </c>
      <c r="F998" s="234">
        <v>46220.0</v>
      </c>
      <c r="G998" s="173"/>
      <c r="H998" s="157" t="s">
        <v>5886</v>
      </c>
      <c r="I998" s="226" t="s">
        <v>6438</v>
      </c>
      <c r="J998" s="157">
        <v>2026.0</v>
      </c>
    </row>
    <row r="999">
      <c r="A999" s="218">
        <f t="shared" si="2"/>
        <v>996</v>
      </c>
      <c r="B999" s="218" t="s">
        <v>202</v>
      </c>
      <c r="C999" s="236" t="str">
        <f t="shared" si="1"/>
        <v>KB/1319/2026</v>
      </c>
      <c r="D999" s="218" t="b">
        <v>1</v>
      </c>
      <c r="E999" s="219" t="b">
        <v>0</v>
      </c>
      <c r="F999" s="234">
        <v>46220.0</v>
      </c>
      <c r="G999" s="173"/>
      <c r="H999" s="157" t="s">
        <v>5886</v>
      </c>
      <c r="I999" s="226" t="s">
        <v>6439</v>
      </c>
      <c r="J999" s="157">
        <v>2026.0</v>
      </c>
    </row>
    <row r="1000">
      <c r="A1000" s="218">
        <f t="shared" si="2"/>
        <v>997</v>
      </c>
      <c r="B1000" s="218" t="s">
        <v>202</v>
      </c>
      <c r="C1000" s="236" t="str">
        <f t="shared" si="1"/>
        <v>KB/1320/2026</v>
      </c>
      <c r="D1000" s="218" t="b">
        <v>1</v>
      </c>
      <c r="E1000" s="219" t="b">
        <v>0</v>
      </c>
      <c r="F1000" s="234">
        <v>46220.0</v>
      </c>
      <c r="G1000" s="173"/>
      <c r="H1000" s="157" t="s">
        <v>5886</v>
      </c>
      <c r="I1000" s="226" t="s">
        <v>6440</v>
      </c>
      <c r="J1000" s="157">
        <v>2026.0</v>
      </c>
    </row>
    <row r="1001">
      <c r="A1001" s="218">
        <f t="shared" si="2"/>
        <v>998</v>
      </c>
      <c r="B1001" s="218" t="s">
        <v>202</v>
      </c>
      <c r="C1001" s="236" t="str">
        <f t="shared" si="1"/>
        <v>KB/1321/2026</v>
      </c>
      <c r="D1001" s="218" t="b">
        <v>1</v>
      </c>
      <c r="E1001" s="219" t="b">
        <v>0</v>
      </c>
      <c r="F1001" s="234">
        <v>46220.0</v>
      </c>
      <c r="G1001" s="173"/>
      <c r="H1001" s="157" t="s">
        <v>5886</v>
      </c>
      <c r="I1001" s="226" t="s">
        <v>6441</v>
      </c>
      <c r="J1001" s="157">
        <v>2026.0</v>
      </c>
    </row>
    <row r="1002">
      <c r="A1002" s="218">
        <f t="shared" si="2"/>
        <v>999</v>
      </c>
      <c r="B1002" s="218" t="s">
        <v>202</v>
      </c>
      <c r="C1002" s="236" t="str">
        <f t="shared" si="1"/>
        <v>KB/1322/2026</v>
      </c>
      <c r="D1002" s="218" t="b">
        <v>1</v>
      </c>
      <c r="E1002" s="219" t="b">
        <v>0</v>
      </c>
      <c r="F1002" s="234">
        <v>46220.0</v>
      </c>
      <c r="G1002" s="173"/>
      <c r="H1002" s="157" t="s">
        <v>5886</v>
      </c>
      <c r="I1002" s="226" t="s">
        <v>6442</v>
      </c>
      <c r="J1002" s="157">
        <v>2026.0</v>
      </c>
    </row>
    <row r="1003">
      <c r="A1003" s="218">
        <f t="shared" si="2"/>
        <v>1000</v>
      </c>
      <c r="B1003" s="218" t="s">
        <v>202</v>
      </c>
      <c r="C1003" s="236" t="str">
        <f t="shared" si="1"/>
        <v>KB/1323/2026</v>
      </c>
      <c r="D1003" s="218" t="b">
        <v>1</v>
      </c>
      <c r="E1003" s="219" t="b">
        <v>0</v>
      </c>
      <c r="F1003" s="234">
        <v>46220.0</v>
      </c>
      <c r="G1003" s="173"/>
      <c r="H1003" s="157" t="s">
        <v>5886</v>
      </c>
      <c r="I1003" s="226" t="s">
        <v>6443</v>
      </c>
      <c r="J1003" s="157">
        <v>2026.0</v>
      </c>
    </row>
    <row r="1004">
      <c r="A1004" s="218">
        <f t="shared" si="2"/>
        <v>1001</v>
      </c>
      <c r="B1004" s="218" t="s">
        <v>202</v>
      </c>
      <c r="C1004" s="236" t="str">
        <f t="shared" si="1"/>
        <v>KB/1324/2026</v>
      </c>
      <c r="D1004" s="218" t="b">
        <v>1</v>
      </c>
      <c r="E1004" s="219" t="b">
        <v>0</v>
      </c>
      <c r="F1004" s="234">
        <v>46220.0</v>
      </c>
      <c r="G1004" s="173"/>
      <c r="H1004" s="157" t="s">
        <v>5886</v>
      </c>
      <c r="I1004" s="226" t="s">
        <v>6444</v>
      </c>
      <c r="J1004" s="157">
        <v>2026.0</v>
      </c>
    </row>
    <row r="1005">
      <c r="A1005" s="218">
        <f t="shared" si="2"/>
        <v>1002</v>
      </c>
      <c r="B1005" s="218" t="s">
        <v>202</v>
      </c>
      <c r="C1005" s="236" t="str">
        <f t="shared" si="1"/>
        <v>KB/1325/2026</v>
      </c>
      <c r="D1005" s="218" t="b">
        <v>1</v>
      </c>
      <c r="E1005" s="219" t="b">
        <v>0</v>
      </c>
      <c r="F1005" s="234">
        <v>46220.0</v>
      </c>
      <c r="G1005" s="173"/>
      <c r="H1005" s="157" t="s">
        <v>5886</v>
      </c>
      <c r="I1005" s="226" t="s">
        <v>6445</v>
      </c>
      <c r="J1005" s="157">
        <v>2026.0</v>
      </c>
    </row>
    <row r="1006">
      <c r="A1006" s="218">
        <f t="shared" si="2"/>
        <v>1003</v>
      </c>
      <c r="B1006" s="218" t="s">
        <v>202</v>
      </c>
      <c r="C1006" s="236" t="str">
        <f t="shared" si="1"/>
        <v>KB/1326/2026</v>
      </c>
      <c r="D1006" s="218" t="b">
        <v>1</v>
      </c>
      <c r="E1006" s="219" t="b">
        <v>0</v>
      </c>
      <c r="F1006" s="234">
        <v>46220.0</v>
      </c>
      <c r="G1006" s="173"/>
      <c r="H1006" s="157" t="s">
        <v>5886</v>
      </c>
      <c r="I1006" s="226" t="s">
        <v>6446</v>
      </c>
      <c r="J1006" s="157">
        <v>2026.0</v>
      </c>
    </row>
    <row r="1007">
      <c r="A1007" s="218">
        <f t="shared" si="2"/>
        <v>1004</v>
      </c>
      <c r="B1007" s="218" t="s">
        <v>202</v>
      </c>
      <c r="C1007" s="236" t="str">
        <f t="shared" si="1"/>
        <v>KB/1327/2026</v>
      </c>
      <c r="D1007" s="218" t="b">
        <v>1</v>
      </c>
      <c r="E1007" s="219" t="b">
        <v>0</v>
      </c>
      <c r="F1007" s="234">
        <v>46220.0</v>
      </c>
      <c r="G1007" s="173"/>
      <c r="H1007" s="157" t="s">
        <v>5886</v>
      </c>
      <c r="I1007" s="226" t="s">
        <v>6447</v>
      </c>
      <c r="J1007" s="157">
        <v>2026.0</v>
      </c>
    </row>
    <row r="1008">
      <c r="A1008" s="218">
        <f t="shared" si="2"/>
        <v>1005</v>
      </c>
      <c r="B1008" s="218" t="s">
        <v>202</v>
      </c>
      <c r="C1008" s="236" t="str">
        <f t="shared" si="1"/>
        <v>KB/1328/2026</v>
      </c>
      <c r="D1008" s="218" t="b">
        <v>1</v>
      </c>
      <c r="E1008" s="219" t="b">
        <v>0</v>
      </c>
      <c r="F1008" s="234">
        <v>46220.0</v>
      </c>
      <c r="G1008" s="173"/>
      <c r="H1008" s="157" t="s">
        <v>5886</v>
      </c>
      <c r="I1008" s="226" t="s">
        <v>6448</v>
      </c>
      <c r="J1008" s="157">
        <v>2026.0</v>
      </c>
    </row>
    <row r="1009">
      <c r="A1009" s="218">
        <f t="shared" si="2"/>
        <v>1006</v>
      </c>
      <c r="B1009" s="218" t="s">
        <v>202</v>
      </c>
      <c r="C1009" s="236" t="str">
        <f t="shared" si="1"/>
        <v>KB/1329/2026</v>
      </c>
      <c r="D1009" s="218" t="b">
        <v>1</v>
      </c>
      <c r="E1009" s="219" t="b">
        <v>0</v>
      </c>
      <c r="F1009" s="234">
        <v>46220.0</v>
      </c>
      <c r="G1009" s="173"/>
      <c r="H1009" s="157" t="s">
        <v>5886</v>
      </c>
      <c r="I1009" s="226" t="s">
        <v>6449</v>
      </c>
      <c r="J1009" s="157">
        <v>2026.0</v>
      </c>
    </row>
    <row r="1010">
      <c r="A1010" s="218">
        <f t="shared" si="2"/>
        <v>1007</v>
      </c>
      <c r="B1010" s="218" t="s">
        <v>202</v>
      </c>
      <c r="C1010" s="236" t="str">
        <f t="shared" si="1"/>
        <v>KB/1330/2026</v>
      </c>
      <c r="D1010" s="218" t="b">
        <v>1</v>
      </c>
      <c r="E1010" s="219" t="b">
        <v>0</v>
      </c>
      <c r="F1010" s="234">
        <v>46220.0</v>
      </c>
      <c r="G1010" s="173"/>
      <c r="H1010" s="157" t="s">
        <v>5886</v>
      </c>
      <c r="I1010" s="226" t="s">
        <v>6450</v>
      </c>
      <c r="J1010" s="157">
        <v>2026.0</v>
      </c>
    </row>
    <row r="1011">
      <c r="A1011" s="218">
        <f t="shared" si="2"/>
        <v>1008</v>
      </c>
      <c r="B1011" s="218" t="s">
        <v>202</v>
      </c>
      <c r="C1011" s="236" t="str">
        <f t="shared" si="1"/>
        <v>KB/1331/2026</v>
      </c>
      <c r="D1011" s="218" t="b">
        <v>1</v>
      </c>
      <c r="E1011" s="219" t="b">
        <v>0</v>
      </c>
      <c r="F1011" s="234">
        <v>46220.0</v>
      </c>
      <c r="G1011" s="173"/>
      <c r="H1011" s="157" t="s">
        <v>5886</v>
      </c>
      <c r="I1011" s="226" t="s">
        <v>6451</v>
      </c>
      <c r="J1011" s="157">
        <v>2026.0</v>
      </c>
    </row>
    <row r="1012">
      <c r="A1012" s="218">
        <f t="shared" si="2"/>
        <v>1009</v>
      </c>
      <c r="B1012" s="218" t="s">
        <v>202</v>
      </c>
      <c r="C1012" s="236" t="str">
        <f t="shared" si="1"/>
        <v>KB/1332/2026</v>
      </c>
      <c r="D1012" s="218" t="b">
        <v>1</v>
      </c>
      <c r="E1012" s="219" t="b">
        <v>0</v>
      </c>
      <c r="F1012" s="234">
        <v>46220.0</v>
      </c>
      <c r="G1012" s="173"/>
      <c r="H1012" s="157" t="s">
        <v>5886</v>
      </c>
      <c r="I1012" s="226" t="s">
        <v>6452</v>
      </c>
      <c r="J1012" s="157">
        <v>2026.0</v>
      </c>
    </row>
    <row r="1013">
      <c r="A1013" s="218">
        <f t="shared" si="2"/>
        <v>1010</v>
      </c>
      <c r="B1013" s="218" t="s">
        <v>202</v>
      </c>
      <c r="C1013" s="236" t="str">
        <f t="shared" si="1"/>
        <v>KB/1333/2026</v>
      </c>
      <c r="D1013" s="218" t="b">
        <v>1</v>
      </c>
      <c r="E1013" s="219" t="b">
        <v>0</v>
      </c>
      <c r="F1013" s="234">
        <v>46220.0</v>
      </c>
      <c r="G1013" s="173"/>
      <c r="H1013" s="157" t="s">
        <v>5886</v>
      </c>
      <c r="I1013" s="226" t="s">
        <v>6453</v>
      </c>
      <c r="J1013" s="157">
        <v>2026.0</v>
      </c>
    </row>
    <row r="1014">
      <c r="A1014" s="218">
        <f t="shared" si="2"/>
        <v>1011</v>
      </c>
      <c r="B1014" s="218" t="s">
        <v>202</v>
      </c>
      <c r="C1014" s="236" t="str">
        <f t="shared" si="1"/>
        <v>KB/1334/2026</v>
      </c>
      <c r="D1014" s="218" t="b">
        <v>1</v>
      </c>
      <c r="E1014" s="219" t="b">
        <v>0</v>
      </c>
      <c r="F1014" s="234">
        <v>46220.0</v>
      </c>
      <c r="G1014" s="173"/>
      <c r="H1014" s="157" t="s">
        <v>5886</v>
      </c>
      <c r="I1014" s="226" t="s">
        <v>6454</v>
      </c>
      <c r="J1014" s="157">
        <v>2026.0</v>
      </c>
    </row>
    <row r="1015">
      <c r="A1015" s="218">
        <f t="shared" si="2"/>
        <v>1012</v>
      </c>
      <c r="B1015" s="218" t="s">
        <v>202</v>
      </c>
      <c r="C1015" s="236" t="str">
        <f t="shared" si="1"/>
        <v>KB/1335/2026</v>
      </c>
      <c r="D1015" s="218" t="b">
        <v>1</v>
      </c>
      <c r="E1015" s="219" t="b">
        <v>0</v>
      </c>
      <c r="F1015" s="234">
        <v>46220.0</v>
      </c>
      <c r="G1015" s="173"/>
      <c r="H1015" s="157" t="s">
        <v>5886</v>
      </c>
      <c r="I1015" s="226" t="s">
        <v>6455</v>
      </c>
      <c r="J1015" s="157">
        <v>2026.0</v>
      </c>
    </row>
    <row r="1016">
      <c r="A1016" s="218">
        <f t="shared" si="2"/>
        <v>1013</v>
      </c>
      <c r="B1016" s="218" t="s">
        <v>202</v>
      </c>
      <c r="C1016" s="236" t="str">
        <f t="shared" si="1"/>
        <v>KB/1336/2026</v>
      </c>
      <c r="D1016" s="218" t="b">
        <v>1</v>
      </c>
      <c r="E1016" s="219" t="b">
        <v>0</v>
      </c>
      <c r="F1016" s="234">
        <v>46220.0</v>
      </c>
      <c r="G1016" s="173"/>
      <c r="H1016" s="157" t="s">
        <v>5886</v>
      </c>
      <c r="I1016" s="226" t="s">
        <v>6456</v>
      </c>
      <c r="J1016" s="157">
        <v>2026.0</v>
      </c>
    </row>
    <row r="1017">
      <c r="A1017" s="218">
        <f t="shared" si="2"/>
        <v>1014</v>
      </c>
      <c r="B1017" s="218" t="s">
        <v>202</v>
      </c>
      <c r="C1017" s="236" t="str">
        <f t="shared" si="1"/>
        <v>KB/1337/2026</v>
      </c>
      <c r="D1017" s="218" t="b">
        <v>1</v>
      </c>
      <c r="E1017" s="219" t="b">
        <v>0</v>
      </c>
      <c r="F1017" s="234">
        <v>46220.0</v>
      </c>
      <c r="G1017" s="173"/>
      <c r="H1017" s="157" t="s">
        <v>5886</v>
      </c>
      <c r="I1017" s="226" t="s">
        <v>6457</v>
      </c>
      <c r="J1017" s="157">
        <v>2026.0</v>
      </c>
    </row>
    <row r="1018">
      <c r="A1018" s="218">
        <f t="shared" si="2"/>
        <v>1015</v>
      </c>
      <c r="B1018" s="218" t="s">
        <v>202</v>
      </c>
      <c r="C1018" s="236" t="str">
        <f t="shared" si="1"/>
        <v>KB/1338/2026</v>
      </c>
      <c r="D1018" s="218" t="b">
        <v>1</v>
      </c>
      <c r="E1018" s="219" t="b">
        <v>0</v>
      </c>
      <c r="F1018" s="234">
        <v>46220.0</v>
      </c>
      <c r="G1018" s="173"/>
      <c r="H1018" s="157" t="s">
        <v>5886</v>
      </c>
      <c r="I1018" s="226" t="s">
        <v>6458</v>
      </c>
      <c r="J1018" s="157">
        <v>2026.0</v>
      </c>
    </row>
    <row r="1019">
      <c r="A1019" s="218">
        <f t="shared" si="2"/>
        <v>1016</v>
      </c>
      <c r="B1019" s="218" t="s">
        <v>202</v>
      </c>
      <c r="C1019" s="236" t="str">
        <f t="shared" si="1"/>
        <v>KB/1339/2026</v>
      </c>
      <c r="D1019" s="218" t="b">
        <v>1</v>
      </c>
      <c r="E1019" s="219" t="b">
        <v>0</v>
      </c>
      <c r="F1019" s="234">
        <v>46220.0</v>
      </c>
      <c r="G1019" s="173"/>
      <c r="H1019" s="157" t="s">
        <v>5886</v>
      </c>
      <c r="I1019" s="226" t="s">
        <v>6459</v>
      </c>
      <c r="J1019" s="157">
        <v>2026.0</v>
      </c>
    </row>
    <row r="1020">
      <c r="A1020" s="218">
        <f t="shared" si="2"/>
        <v>1017</v>
      </c>
      <c r="B1020" s="218" t="s">
        <v>202</v>
      </c>
      <c r="C1020" s="236" t="str">
        <f t="shared" si="1"/>
        <v>KB/1340/2026</v>
      </c>
      <c r="D1020" s="218" t="b">
        <v>1</v>
      </c>
      <c r="E1020" s="219" t="b">
        <v>0</v>
      </c>
      <c r="F1020" s="234">
        <v>46220.0</v>
      </c>
      <c r="G1020" s="173"/>
      <c r="H1020" s="157" t="s">
        <v>5886</v>
      </c>
      <c r="I1020" s="226" t="s">
        <v>6460</v>
      </c>
      <c r="J1020" s="157">
        <v>2026.0</v>
      </c>
    </row>
    <row r="1021">
      <c r="A1021" s="218">
        <f t="shared" si="2"/>
        <v>1018</v>
      </c>
      <c r="B1021" s="218" t="s">
        <v>202</v>
      </c>
      <c r="C1021" s="236" t="str">
        <f t="shared" si="1"/>
        <v>KB/1341/2026</v>
      </c>
      <c r="D1021" s="218" t="b">
        <v>1</v>
      </c>
      <c r="E1021" s="219" t="b">
        <v>0</v>
      </c>
      <c r="F1021" s="234">
        <v>46220.0</v>
      </c>
      <c r="G1021" s="173"/>
      <c r="H1021" s="157" t="s">
        <v>5886</v>
      </c>
      <c r="I1021" s="226" t="s">
        <v>6461</v>
      </c>
      <c r="J1021" s="157">
        <v>2026.0</v>
      </c>
    </row>
    <row r="1022">
      <c r="A1022" s="218">
        <f t="shared" si="2"/>
        <v>1019</v>
      </c>
      <c r="B1022" s="218" t="s">
        <v>202</v>
      </c>
      <c r="C1022" s="236" t="str">
        <f t="shared" si="1"/>
        <v>KB/1342/2026</v>
      </c>
      <c r="D1022" s="218" t="b">
        <v>1</v>
      </c>
      <c r="E1022" s="219" t="b">
        <v>0</v>
      </c>
      <c r="F1022" s="234">
        <v>46220.0</v>
      </c>
      <c r="G1022" s="173"/>
      <c r="H1022" s="157" t="s">
        <v>5886</v>
      </c>
      <c r="I1022" s="226" t="s">
        <v>6462</v>
      </c>
      <c r="J1022" s="157">
        <v>2026.0</v>
      </c>
    </row>
    <row r="1023">
      <c r="A1023" s="218">
        <f t="shared" si="2"/>
        <v>1020</v>
      </c>
      <c r="B1023" s="218" t="s">
        <v>202</v>
      </c>
      <c r="C1023" s="236" t="str">
        <f t="shared" si="1"/>
        <v>//</v>
      </c>
      <c r="D1023" s="218" t="b">
        <v>0</v>
      </c>
      <c r="E1023" s="218" t="b">
        <v>1</v>
      </c>
      <c r="F1023" s="234"/>
      <c r="G1023" s="173"/>
      <c r="H1023" s="173"/>
      <c r="I1023" s="157"/>
      <c r="J1023" s="173"/>
    </row>
    <row r="1024">
      <c r="A1024" s="216"/>
      <c r="B1024" s="216"/>
      <c r="C1024" s="216"/>
      <c r="D1024" s="216"/>
      <c r="E1024" s="216"/>
      <c r="F1024" s="216"/>
      <c r="G1024" s="173"/>
      <c r="H1024" s="173"/>
      <c r="I1024" s="157"/>
      <c r="J1024" s="173"/>
    </row>
    <row r="1025">
      <c r="A1025" s="216"/>
      <c r="B1025" s="216"/>
      <c r="C1025" s="216"/>
      <c r="D1025" s="216"/>
      <c r="E1025" s="216"/>
      <c r="F1025" s="216"/>
      <c r="G1025" s="173"/>
      <c r="H1025" s="173"/>
      <c r="I1025" s="157"/>
      <c r="J1025" s="173"/>
    </row>
    <row r="1026">
      <c r="A1026" s="216"/>
      <c r="B1026" s="216"/>
      <c r="C1026" s="216"/>
      <c r="D1026" s="216"/>
      <c r="E1026" s="216"/>
      <c r="F1026" s="216"/>
      <c r="G1026" s="173"/>
      <c r="H1026" s="173"/>
      <c r="I1026" s="157"/>
      <c r="J1026" s="173"/>
    </row>
    <row r="1027">
      <c r="A1027" s="216"/>
      <c r="B1027" s="216"/>
      <c r="C1027" s="216"/>
      <c r="D1027" s="216"/>
      <c r="E1027" s="216"/>
      <c r="F1027" s="216"/>
      <c r="G1027" s="173"/>
      <c r="H1027" s="173"/>
      <c r="I1027" s="157"/>
      <c r="J1027" s="173"/>
    </row>
    <row r="1028">
      <c r="A1028" s="216"/>
      <c r="B1028" s="216"/>
      <c r="C1028" s="216"/>
      <c r="D1028" s="216"/>
      <c r="E1028" s="216"/>
      <c r="F1028" s="216"/>
      <c r="G1028" s="173"/>
      <c r="H1028" s="173"/>
      <c r="I1028" s="173"/>
      <c r="J1028" s="173"/>
    </row>
    <row r="1029">
      <c r="A1029" s="216"/>
      <c r="B1029" s="216"/>
      <c r="C1029" s="216"/>
      <c r="D1029" s="216"/>
      <c r="E1029" s="216"/>
      <c r="F1029" s="216"/>
      <c r="G1029" s="173"/>
      <c r="H1029" s="173"/>
      <c r="I1029" s="173"/>
      <c r="J1029" s="173"/>
    </row>
    <row r="1030">
      <c r="A1030" s="216"/>
      <c r="B1030" s="216"/>
      <c r="C1030" s="216"/>
      <c r="D1030" s="216"/>
      <c r="E1030" s="216"/>
      <c r="F1030" s="216"/>
      <c r="G1030" s="173"/>
      <c r="H1030" s="173"/>
      <c r="I1030" s="173"/>
      <c r="J1030" s="173"/>
    </row>
    <row r="1031">
      <c r="A1031" s="216"/>
      <c r="B1031" s="216"/>
      <c r="C1031" s="216"/>
      <c r="D1031" s="216"/>
      <c r="E1031" s="216"/>
      <c r="F1031" s="216"/>
      <c r="G1031" s="173"/>
      <c r="H1031" s="173"/>
      <c r="I1031" s="173"/>
      <c r="J1031" s="173"/>
    </row>
    <row r="1032">
      <c r="A1032" s="216"/>
      <c r="B1032" s="216"/>
      <c r="C1032" s="216"/>
      <c r="D1032" s="216"/>
      <c r="E1032" s="216"/>
      <c r="F1032" s="216"/>
      <c r="G1032" s="173"/>
      <c r="H1032" s="173"/>
      <c r="I1032" s="173"/>
      <c r="J1032" s="173"/>
    </row>
    <row r="1033">
      <c r="A1033" s="216"/>
      <c r="B1033" s="216"/>
      <c r="C1033" s="216"/>
      <c r="D1033" s="216"/>
      <c r="E1033" s="216"/>
      <c r="F1033" s="216"/>
      <c r="G1033" s="173"/>
      <c r="H1033" s="173"/>
      <c r="I1033" s="173"/>
      <c r="J1033" s="173"/>
    </row>
    <row r="1034">
      <c r="A1034" s="216"/>
      <c r="B1034" s="216"/>
      <c r="C1034" s="216"/>
      <c r="D1034" s="216"/>
      <c r="E1034" s="216"/>
      <c r="F1034" s="216"/>
      <c r="G1034" s="173"/>
      <c r="H1034" s="173"/>
      <c r="I1034" s="173"/>
      <c r="J1034" s="173"/>
    </row>
    <row r="1035">
      <c r="A1035" s="216"/>
      <c r="B1035" s="216"/>
      <c r="C1035" s="216"/>
      <c r="D1035" s="216"/>
      <c r="E1035" s="216"/>
      <c r="F1035" s="216"/>
      <c r="G1035" s="173"/>
      <c r="H1035" s="173"/>
      <c r="I1035" s="173"/>
      <c r="J1035" s="173"/>
    </row>
    <row r="1036">
      <c r="A1036" s="216"/>
      <c r="B1036" s="216"/>
      <c r="C1036" s="216"/>
      <c r="D1036" s="216"/>
      <c r="E1036" s="216"/>
      <c r="F1036" s="216"/>
      <c r="G1036" s="173"/>
      <c r="H1036" s="173"/>
      <c r="I1036" s="173"/>
      <c r="J1036" s="173"/>
    </row>
    <row r="1037">
      <c r="A1037" s="216"/>
      <c r="B1037" s="216"/>
      <c r="C1037" s="216"/>
      <c r="D1037" s="216"/>
      <c r="E1037" s="216"/>
      <c r="F1037" s="216"/>
      <c r="G1037" s="173"/>
      <c r="H1037" s="173"/>
      <c r="I1037" s="173"/>
      <c r="J1037" s="173"/>
    </row>
    <row r="1038">
      <c r="A1038" s="216"/>
      <c r="B1038" s="216"/>
      <c r="C1038" s="216"/>
      <c r="D1038" s="216"/>
      <c r="E1038" s="216"/>
      <c r="F1038" s="216"/>
      <c r="G1038" s="173"/>
      <c r="H1038" s="173"/>
      <c r="I1038" s="173"/>
      <c r="J1038" s="173"/>
    </row>
    <row r="1039">
      <c r="A1039" s="216"/>
      <c r="B1039" s="216"/>
      <c r="C1039" s="216"/>
      <c r="D1039" s="216"/>
      <c r="E1039" s="216"/>
      <c r="F1039" s="216"/>
      <c r="G1039" s="173"/>
      <c r="H1039" s="173"/>
      <c r="I1039" s="173"/>
      <c r="J1039" s="173"/>
    </row>
    <row r="1040">
      <c r="A1040" s="216"/>
      <c r="B1040" s="216"/>
      <c r="C1040" s="216"/>
      <c r="D1040" s="216"/>
      <c r="E1040" s="216"/>
      <c r="F1040" s="216"/>
      <c r="G1040" s="173"/>
      <c r="H1040" s="173"/>
      <c r="I1040" s="173"/>
      <c r="J1040" s="173"/>
    </row>
    <row r="1041">
      <c r="A1041" s="216"/>
      <c r="B1041" s="216"/>
      <c r="C1041" s="216"/>
      <c r="D1041" s="216"/>
      <c r="E1041" s="216"/>
      <c r="F1041" s="216"/>
      <c r="G1041" s="173"/>
      <c r="H1041" s="173"/>
      <c r="I1041" s="173"/>
      <c r="J1041" s="173"/>
    </row>
    <row r="1042">
      <c r="A1042" s="216"/>
      <c r="B1042" s="216"/>
      <c r="C1042" s="216"/>
      <c r="D1042" s="216"/>
      <c r="E1042" s="216"/>
      <c r="F1042" s="216"/>
      <c r="G1042" s="173"/>
      <c r="H1042" s="173"/>
      <c r="I1042" s="173"/>
      <c r="J1042" s="173"/>
    </row>
    <row r="1043">
      <c r="A1043" s="216"/>
      <c r="B1043" s="216"/>
      <c r="C1043" s="216"/>
      <c r="D1043" s="216"/>
      <c r="E1043" s="216"/>
      <c r="F1043" s="216"/>
      <c r="G1043" s="173"/>
      <c r="H1043" s="173"/>
      <c r="I1043" s="173"/>
      <c r="J1043" s="173"/>
    </row>
    <row r="1044">
      <c r="A1044" s="216"/>
      <c r="B1044" s="216"/>
      <c r="C1044" s="216"/>
      <c r="D1044" s="216"/>
      <c r="E1044" s="216"/>
      <c r="F1044" s="216"/>
      <c r="G1044" s="173"/>
      <c r="H1044" s="173"/>
      <c r="I1044" s="173"/>
      <c r="J1044" s="173"/>
    </row>
    <row r="1045">
      <c r="A1045" s="216"/>
      <c r="B1045" s="216"/>
      <c r="C1045" s="216"/>
      <c r="D1045" s="216"/>
      <c r="E1045" s="216"/>
      <c r="F1045" s="216"/>
      <c r="G1045" s="173"/>
      <c r="H1045" s="173"/>
      <c r="I1045" s="173"/>
      <c r="J1045" s="173"/>
    </row>
    <row r="1046">
      <c r="A1046" s="216"/>
      <c r="B1046" s="216"/>
      <c r="C1046" s="216"/>
      <c r="D1046" s="216"/>
      <c r="E1046" s="216"/>
      <c r="F1046" s="216"/>
      <c r="G1046" s="173"/>
      <c r="H1046" s="173"/>
      <c r="I1046" s="173"/>
      <c r="J1046" s="173"/>
    </row>
    <row r="1047">
      <c r="A1047" s="216"/>
      <c r="B1047" s="216"/>
      <c r="C1047" s="216"/>
      <c r="D1047" s="216"/>
      <c r="E1047" s="216"/>
      <c r="F1047" s="216"/>
      <c r="G1047" s="173"/>
      <c r="H1047" s="173"/>
      <c r="I1047" s="173"/>
      <c r="J1047" s="173"/>
    </row>
    <row r="1048">
      <c r="A1048" s="216"/>
      <c r="B1048" s="216"/>
      <c r="C1048" s="216"/>
      <c r="D1048" s="216"/>
      <c r="E1048" s="216"/>
      <c r="F1048" s="216"/>
      <c r="G1048" s="173"/>
      <c r="H1048" s="173"/>
      <c r="I1048" s="173"/>
      <c r="J1048" s="173"/>
    </row>
    <row r="1049">
      <c r="A1049" s="216"/>
      <c r="B1049" s="216"/>
      <c r="C1049" s="216"/>
      <c r="D1049" s="216"/>
      <c r="E1049" s="216"/>
      <c r="F1049" s="216"/>
      <c r="G1049" s="173"/>
      <c r="H1049" s="173"/>
      <c r="I1049" s="173"/>
      <c r="J1049" s="173"/>
    </row>
    <row r="1050">
      <c r="A1050" s="216"/>
      <c r="B1050" s="216"/>
      <c r="C1050" s="216"/>
      <c r="D1050" s="216"/>
      <c r="E1050" s="216"/>
      <c r="F1050" s="216"/>
      <c r="G1050" s="173"/>
      <c r="H1050" s="173"/>
      <c r="I1050" s="173"/>
      <c r="J1050" s="173"/>
    </row>
    <row r="1051">
      <c r="A1051" s="216"/>
      <c r="B1051" s="216"/>
      <c r="C1051" s="216"/>
      <c r="D1051" s="216"/>
      <c r="E1051" s="216"/>
      <c r="F1051" s="216"/>
      <c r="G1051" s="173"/>
      <c r="H1051" s="173"/>
      <c r="I1051" s="173"/>
      <c r="J1051" s="173"/>
    </row>
    <row r="1052">
      <c r="A1052" s="216"/>
      <c r="B1052" s="216"/>
      <c r="C1052" s="216"/>
      <c r="D1052" s="216"/>
      <c r="E1052" s="216"/>
      <c r="F1052" s="216"/>
      <c r="G1052" s="173"/>
      <c r="H1052" s="173"/>
      <c r="I1052" s="173"/>
      <c r="J1052" s="173"/>
    </row>
    <row r="1053">
      <c r="A1053" s="216"/>
      <c r="B1053" s="216"/>
      <c r="C1053" s="216"/>
      <c r="D1053" s="216"/>
      <c r="E1053" s="216"/>
      <c r="F1053" s="216"/>
      <c r="G1053" s="173"/>
      <c r="H1053" s="173"/>
      <c r="I1053" s="173"/>
      <c r="J1053" s="173"/>
    </row>
    <row r="1054">
      <c r="A1054" s="216"/>
      <c r="B1054" s="216"/>
      <c r="C1054" s="216"/>
      <c r="D1054" s="216"/>
      <c r="E1054" s="216"/>
      <c r="F1054" s="216"/>
      <c r="G1054" s="173"/>
      <c r="H1054" s="173"/>
      <c r="I1054" s="173"/>
      <c r="J1054" s="173"/>
    </row>
    <row r="1055">
      <c r="A1055" s="216"/>
      <c r="B1055" s="216"/>
      <c r="C1055" s="216"/>
      <c r="D1055" s="216"/>
      <c r="E1055" s="216"/>
      <c r="F1055" s="216"/>
      <c r="G1055" s="173"/>
      <c r="H1055" s="173"/>
      <c r="I1055" s="173"/>
      <c r="J1055" s="173"/>
    </row>
    <row r="1056">
      <c r="A1056" s="216"/>
      <c r="B1056" s="216"/>
      <c r="C1056" s="216"/>
      <c r="D1056" s="216"/>
      <c r="E1056" s="216"/>
      <c r="F1056" s="216"/>
      <c r="G1056" s="173"/>
      <c r="H1056" s="173"/>
      <c r="I1056" s="173"/>
      <c r="J1056" s="173"/>
    </row>
    <row r="1057">
      <c r="A1057" s="216"/>
      <c r="B1057" s="216"/>
      <c r="C1057" s="216"/>
      <c r="D1057" s="216"/>
      <c r="E1057" s="216"/>
      <c r="F1057" s="216"/>
      <c r="G1057" s="173"/>
      <c r="H1057" s="173"/>
      <c r="I1057" s="173"/>
      <c r="J1057" s="173"/>
    </row>
    <row r="1058">
      <c r="A1058" s="216"/>
      <c r="B1058" s="216"/>
      <c r="C1058" s="216"/>
      <c r="D1058" s="216"/>
      <c r="E1058" s="216"/>
      <c r="F1058" s="216"/>
      <c r="G1058" s="173"/>
      <c r="H1058" s="173"/>
      <c r="I1058" s="173"/>
      <c r="J1058" s="173"/>
    </row>
    <row r="1059">
      <c r="A1059" s="216"/>
      <c r="B1059" s="216"/>
      <c r="C1059" s="216"/>
      <c r="D1059" s="216"/>
      <c r="E1059" s="216"/>
      <c r="F1059" s="216"/>
      <c r="G1059" s="173"/>
      <c r="H1059" s="173"/>
      <c r="I1059" s="173"/>
      <c r="J1059" s="173"/>
    </row>
    <row r="1060">
      <c r="A1060" s="216"/>
      <c r="B1060" s="216"/>
      <c r="C1060" s="216"/>
      <c r="D1060" s="216"/>
      <c r="E1060" s="216"/>
      <c r="F1060" s="216"/>
      <c r="G1060" s="173"/>
      <c r="H1060" s="173"/>
      <c r="I1060" s="173"/>
      <c r="J1060" s="173"/>
    </row>
    <row r="1061">
      <c r="A1061" s="216"/>
      <c r="B1061" s="216"/>
      <c r="C1061" s="216"/>
      <c r="D1061" s="216"/>
      <c r="E1061" s="216"/>
      <c r="F1061" s="216"/>
      <c r="G1061" s="173"/>
      <c r="H1061" s="173"/>
      <c r="I1061" s="173"/>
      <c r="J1061" s="173"/>
    </row>
    <row r="1062">
      <c r="A1062" s="216"/>
      <c r="B1062" s="216"/>
      <c r="C1062" s="216"/>
      <c r="D1062" s="216"/>
      <c r="E1062" s="216"/>
      <c r="F1062" s="216"/>
      <c r="G1062" s="173"/>
      <c r="H1062" s="173"/>
      <c r="I1062" s="173"/>
      <c r="J1062" s="173"/>
    </row>
    <row r="1063">
      <c r="A1063" s="216"/>
      <c r="B1063" s="216"/>
      <c r="C1063" s="216"/>
      <c r="D1063" s="216"/>
      <c r="E1063" s="216"/>
      <c r="F1063" s="216"/>
      <c r="G1063" s="173"/>
      <c r="H1063" s="173"/>
      <c r="I1063" s="173"/>
      <c r="J1063" s="173"/>
    </row>
    <row r="1064">
      <c r="A1064" s="216"/>
      <c r="B1064" s="216"/>
      <c r="C1064" s="216"/>
      <c r="D1064" s="216"/>
      <c r="E1064" s="216"/>
      <c r="F1064" s="216"/>
      <c r="G1064" s="173"/>
      <c r="H1064" s="173"/>
      <c r="I1064" s="173"/>
      <c r="J1064" s="173"/>
    </row>
    <row r="1065">
      <c r="A1065" s="216"/>
      <c r="B1065" s="216"/>
      <c r="C1065" s="216"/>
      <c r="D1065" s="216"/>
      <c r="E1065" s="216"/>
      <c r="F1065" s="216"/>
      <c r="G1065" s="173"/>
      <c r="H1065" s="173"/>
      <c r="I1065" s="173"/>
      <c r="J1065" s="173"/>
    </row>
    <row r="1066">
      <c r="A1066" s="216"/>
      <c r="B1066" s="216"/>
      <c r="C1066" s="216"/>
      <c r="D1066" s="216"/>
      <c r="E1066" s="216"/>
      <c r="F1066" s="216"/>
      <c r="G1066" s="173"/>
      <c r="H1066" s="173"/>
      <c r="I1066" s="173"/>
      <c r="J1066" s="173"/>
    </row>
    <row r="1067">
      <c r="A1067" s="216"/>
      <c r="B1067" s="216"/>
      <c r="C1067" s="216"/>
      <c r="D1067" s="216"/>
      <c r="E1067" s="216"/>
      <c r="F1067" s="216"/>
      <c r="G1067" s="173"/>
      <c r="H1067" s="173"/>
      <c r="I1067" s="173"/>
      <c r="J1067" s="173"/>
    </row>
    <row r="1068">
      <c r="A1068" s="216"/>
      <c r="B1068" s="216"/>
      <c r="C1068" s="216"/>
      <c r="D1068" s="216"/>
      <c r="E1068" s="216"/>
      <c r="F1068" s="216"/>
      <c r="G1068" s="173"/>
      <c r="H1068" s="173"/>
      <c r="I1068" s="173"/>
      <c r="J1068" s="173"/>
    </row>
    <row r="1069">
      <c r="A1069" s="216"/>
      <c r="B1069" s="216"/>
      <c r="C1069" s="216"/>
      <c r="D1069" s="216"/>
      <c r="E1069" s="216"/>
      <c r="F1069" s="216"/>
      <c r="G1069" s="173"/>
      <c r="H1069" s="173"/>
      <c r="I1069" s="173"/>
      <c r="J1069" s="173"/>
    </row>
    <row r="1070">
      <c r="A1070" s="216"/>
      <c r="B1070" s="216"/>
      <c r="C1070" s="216"/>
      <c r="D1070" s="216"/>
      <c r="E1070" s="216"/>
      <c r="F1070" s="216"/>
      <c r="G1070" s="173"/>
      <c r="H1070" s="173"/>
      <c r="I1070" s="173"/>
      <c r="J1070" s="173"/>
    </row>
    <row r="1071">
      <c r="A1071" s="216"/>
      <c r="B1071" s="216"/>
      <c r="C1071" s="216"/>
      <c r="D1071" s="216"/>
      <c r="E1071" s="216"/>
      <c r="F1071" s="216"/>
      <c r="G1071" s="173"/>
      <c r="H1071" s="173"/>
      <c r="I1071" s="173"/>
      <c r="J1071" s="173"/>
    </row>
    <row r="1072">
      <c r="A1072" s="216"/>
      <c r="B1072" s="216"/>
      <c r="C1072" s="216"/>
      <c r="D1072" s="216"/>
      <c r="E1072" s="216"/>
      <c r="F1072" s="216"/>
      <c r="G1072" s="173"/>
      <c r="H1072" s="173"/>
      <c r="I1072" s="173"/>
      <c r="J1072" s="173"/>
    </row>
    <row r="1073">
      <c r="A1073" s="216"/>
      <c r="B1073" s="216"/>
      <c r="C1073" s="216"/>
      <c r="D1073" s="216"/>
      <c r="E1073" s="216"/>
      <c r="F1073" s="216"/>
      <c r="G1073" s="173"/>
      <c r="H1073" s="173"/>
      <c r="I1073" s="173"/>
      <c r="J1073" s="173"/>
    </row>
    <row r="1074">
      <c r="A1074" s="216"/>
      <c r="B1074" s="216"/>
      <c r="C1074" s="216"/>
      <c r="D1074" s="216"/>
      <c r="E1074" s="216"/>
      <c r="F1074" s="216"/>
      <c r="G1074" s="173"/>
      <c r="H1074" s="173"/>
      <c r="I1074" s="173"/>
      <c r="J1074" s="173"/>
    </row>
    <row r="1075">
      <c r="A1075" s="216"/>
      <c r="B1075" s="216"/>
      <c r="C1075" s="216"/>
      <c r="D1075" s="216"/>
      <c r="E1075" s="216"/>
      <c r="F1075" s="216"/>
      <c r="G1075" s="173"/>
      <c r="H1075" s="173"/>
      <c r="I1075" s="173"/>
      <c r="J1075" s="173"/>
    </row>
    <row r="1076">
      <c r="A1076" s="216"/>
      <c r="B1076" s="216"/>
      <c r="C1076" s="216"/>
      <c r="D1076" s="216"/>
      <c r="E1076" s="216"/>
      <c r="F1076" s="216"/>
      <c r="G1076" s="173"/>
      <c r="H1076" s="173"/>
      <c r="I1076" s="173"/>
      <c r="J1076" s="173"/>
    </row>
    <row r="1077">
      <c r="A1077" s="216"/>
      <c r="B1077" s="216"/>
      <c r="C1077" s="216"/>
      <c r="D1077" s="216"/>
      <c r="E1077" s="216"/>
      <c r="F1077" s="216"/>
      <c r="G1077" s="173"/>
      <c r="H1077" s="173"/>
      <c r="I1077" s="173"/>
      <c r="J1077" s="173"/>
    </row>
    <row r="1078">
      <c r="A1078" s="216"/>
      <c r="B1078" s="216"/>
      <c r="C1078" s="216"/>
      <c r="D1078" s="216"/>
      <c r="E1078" s="216"/>
      <c r="F1078" s="216"/>
      <c r="G1078" s="173"/>
      <c r="H1078" s="173"/>
      <c r="I1078" s="173"/>
      <c r="J1078" s="173"/>
    </row>
    <row r="1079">
      <c r="A1079" s="216"/>
      <c r="B1079" s="216"/>
      <c r="C1079" s="216"/>
      <c r="D1079" s="216"/>
      <c r="E1079" s="216"/>
      <c r="F1079" s="216"/>
      <c r="G1079" s="173"/>
      <c r="H1079" s="173"/>
      <c r="I1079" s="173"/>
      <c r="J1079" s="173"/>
    </row>
    <row r="1080">
      <c r="A1080" s="216"/>
      <c r="B1080" s="216"/>
      <c r="C1080" s="216"/>
      <c r="D1080" s="216"/>
      <c r="E1080" s="216"/>
      <c r="F1080" s="216"/>
      <c r="G1080" s="173"/>
      <c r="H1080" s="173"/>
      <c r="I1080" s="173"/>
      <c r="J1080" s="173"/>
    </row>
    <row r="1081">
      <c r="A1081" s="216"/>
      <c r="B1081" s="216"/>
      <c r="C1081" s="216"/>
      <c r="D1081" s="216"/>
      <c r="E1081" s="216"/>
      <c r="F1081" s="216"/>
      <c r="G1081" s="173"/>
      <c r="H1081" s="173"/>
      <c r="I1081" s="173"/>
      <c r="J1081" s="173"/>
    </row>
    <row r="1082">
      <c r="A1082" s="216"/>
      <c r="B1082" s="216"/>
      <c r="C1082" s="216"/>
      <c r="D1082" s="216"/>
      <c r="E1082" s="216"/>
      <c r="F1082" s="216"/>
      <c r="G1082" s="173"/>
      <c r="H1082" s="173"/>
      <c r="I1082" s="173"/>
      <c r="J1082" s="173"/>
    </row>
    <row r="1083">
      <c r="A1083" s="216"/>
      <c r="B1083" s="216"/>
      <c r="C1083" s="216"/>
      <c r="D1083" s="216"/>
      <c r="E1083" s="216"/>
      <c r="F1083" s="216"/>
      <c r="G1083" s="173"/>
      <c r="H1083" s="173"/>
      <c r="I1083" s="173"/>
      <c r="J1083" s="173"/>
    </row>
    <row r="1084">
      <c r="A1084" s="216"/>
      <c r="B1084" s="216"/>
      <c r="C1084" s="216"/>
      <c r="D1084" s="216"/>
      <c r="E1084" s="216"/>
      <c r="F1084" s="216"/>
      <c r="G1084" s="173"/>
      <c r="H1084" s="173"/>
      <c r="I1084" s="173"/>
      <c r="J1084" s="173"/>
    </row>
    <row r="1085">
      <c r="A1085" s="216"/>
      <c r="B1085" s="216"/>
      <c r="C1085" s="216"/>
      <c r="D1085" s="216"/>
      <c r="E1085" s="216"/>
      <c r="F1085" s="216"/>
      <c r="G1085" s="173"/>
      <c r="H1085" s="173"/>
      <c r="I1085" s="173"/>
      <c r="J1085" s="173"/>
    </row>
    <row r="1086">
      <c r="A1086" s="216"/>
      <c r="B1086" s="216"/>
      <c r="C1086" s="216"/>
      <c r="D1086" s="216"/>
      <c r="E1086" s="216"/>
      <c r="F1086" s="216"/>
      <c r="G1086" s="173"/>
      <c r="H1086" s="173"/>
      <c r="I1086" s="173"/>
      <c r="J1086" s="173"/>
    </row>
    <row r="1087">
      <c r="A1087" s="216"/>
      <c r="B1087" s="216"/>
      <c r="C1087" s="216"/>
      <c r="D1087" s="216"/>
      <c r="E1087" s="216"/>
      <c r="F1087" s="216"/>
      <c r="G1087" s="173"/>
      <c r="H1087" s="173"/>
      <c r="I1087" s="173"/>
      <c r="J1087" s="173"/>
    </row>
    <row r="1088">
      <c r="A1088" s="216"/>
      <c r="B1088" s="216"/>
      <c r="C1088" s="216"/>
      <c r="D1088" s="216"/>
      <c r="E1088" s="216"/>
      <c r="F1088" s="216"/>
      <c r="G1088" s="173"/>
      <c r="H1088" s="173"/>
      <c r="I1088" s="173"/>
      <c r="J1088" s="173"/>
    </row>
    <row r="1089">
      <c r="A1089" s="216"/>
      <c r="B1089" s="216"/>
      <c r="C1089" s="216"/>
      <c r="D1089" s="216"/>
      <c r="E1089" s="216"/>
      <c r="F1089" s="216"/>
      <c r="G1089" s="173"/>
      <c r="H1089" s="173"/>
      <c r="I1089" s="173"/>
      <c r="J1089" s="173"/>
    </row>
    <row r="1090">
      <c r="A1090" s="216"/>
      <c r="B1090" s="216"/>
      <c r="C1090" s="216"/>
      <c r="D1090" s="216"/>
      <c r="E1090" s="216"/>
      <c r="F1090" s="216"/>
      <c r="G1090" s="173"/>
      <c r="H1090" s="173"/>
      <c r="I1090" s="173"/>
      <c r="J1090" s="173"/>
    </row>
    <row r="1091">
      <c r="A1091" s="216"/>
      <c r="B1091" s="216"/>
      <c r="C1091" s="216"/>
      <c r="D1091" s="216"/>
      <c r="E1091" s="216"/>
      <c r="F1091" s="216"/>
      <c r="G1091" s="173"/>
      <c r="H1091" s="173"/>
      <c r="I1091" s="173"/>
      <c r="J1091" s="173"/>
    </row>
    <row r="1092">
      <c r="A1092" s="216"/>
      <c r="B1092" s="216"/>
      <c r="C1092" s="216"/>
      <c r="D1092" s="216"/>
      <c r="E1092" s="216"/>
      <c r="F1092" s="216"/>
      <c r="G1092" s="173"/>
      <c r="H1092" s="173"/>
      <c r="I1092" s="173"/>
      <c r="J1092" s="173"/>
    </row>
    <row r="1093">
      <c r="A1093" s="216"/>
      <c r="B1093" s="216"/>
      <c r="C1093" s="216"/>
      <c r="D1093" s="216"/>
      <c r="E1093" s="216"/>
      <c r="F1093" s="216"/>
      <c r="G1093" s="173"/>
      <c r="H1093" s="173"/>
      <c r="I1093" s="173"/>
      <c r="J1093" s="173"/>
    </row>
    <row r="1094">
      <c r="A1094" s="216"/>
      <c r="B1094" s="216"/>
      <c r="C1094" s="216"/>
      <c r="D1094" s="216"/>
      <c r="E1094" s="216"/>
      <c r="F1094" s="216"/>
      <c r="G1094" s="173"/>
      <c r="H1094" s="173"/>
      <c r="I1094" s="173"/>
      <c r="J1094" s="173"/>
    </row>
    <row r="1095">
      <c r="A1095" s="216"/>
      <c r="B1095" s="216"/>
      <c r="C1095" s="216"/>
      <c r="D1095" s="216"/>
      <c r="E1095" s="216"/>
      <c r="F1095" s="216"/>
      <c r="G1095" s="173"/>
      <c r="H1095" s="173"/>
      <c r="I1095" s="173"/>
      <c r="J1095" s="173"/>
    </row>
    <row r="1096">
      <c r="A1096" s="216"/>
      <c r="B1096" s="216"/>
      <c r="C1096" s="216"/>
      <c r="D1096" s="216"/>
      <c r="E1096" s="216"/>
      <c r="F1096" s="216"/>
      <c r="G1096" s="173"/>
      <c r="H1096" s="173"/>
      <c r="I1096" s="173"/>
      <c r="J1096" s="173"/>
    </row>
    <row r="1097">
      <c r="A1097" s="216"/>
      <c r="B1097" s="216"/>
      <c r="C1097" s="216"/>
      <c r="D1097" s="216"/>
      <c r="E1097" s="216"/>
      <c r="F1097" s="216"/>
      <c r="G1097" s="173"/>
      <c r="H1097" s="173"/>
      <c r="I1097" s="173"/>
      <c r="J1097" s="173"/>
    </row>
    <row r="1098">
      <c r="A1098" s="216"/>
      <c r="B1098" s="216"/>
      <c r="C1098" s="216"/>
      <c r="D1098" s="216"/>
      <c r="E1098" s="216"/>
      <c r="F1098" s="216"/>
      <c r="G1098" s="173"/>
      <c r="H1098" s="173"/>
      <c r="I1098" s="173"/>
      <c r="J1098" s="173"/>
    </row>
    <row r="1099">
      <c r="A1099" s="216"/>
      <c r="B1099" s="216"/>
      <c r="C1099" s="216"/>
      <c r="D1099" s="216"/>
      <c r="E1099" s="216"/>
      <c r="F1099" s="216"/>
      <c r="G1099" s="173"/>
      <c r="H1099" s="173"/>
      <c r="I1099" s="173"/>
      <c r="J1099" s="173"/>
    </row>
    <row r="1100">
      <c r="A1100" s="216"/>
      <c r="B1100" s="216"/>
      <c r="C1100" s="216"/>
      <c r="D1100" s="216"/>
      <c r="E1100" s="216"/>
      <c r="F1100" s="216"/>
      <c r="G1100" s="173"/>
      <c r="H1100" s="173"/>
      <c r="I1100" s="173"/>
      <c r="J1100" s="173"/>
    </row>
    <row r="1101">
      <c r="A1101" s="216"/>
      <c r="B1101" s="216"/>
      <c r="C1101" s="216"/>
      <c r="D1101" s="216"/>
      <c r="E1101" s="216"/>
      <c r="F1101" s="216"/>
      <c r="G1101" s="173"/>
      <c r="H1101" s="173"/>
      <c r="I1101" s="173"/>
      <c r="J1101" s="173"/>
    </row>
    <row r="1102">
      <c r="A1102" s="216"/>
      <c r="B1102" s="216"/>
      <c r="C1102" s="216"/>
      <c r="D1102" s="216"/>
      <c r="E1102" s="216"/>
      <c r="F1102" s="216"/>
      <c r="G1102" s="173"/>
      <c r="H1102" s="173"/>
      <c r="I1102" s="173"/>
      <c r="J1102" s="173"/>
    </row>
    <row r="1103">
      <c r="A1103" s="216"/>
      <c r="B1103" s="216"/>
      <c r="C1103" s="216"/>
      <c r="D1103" s="216"/>
      <c r="E1103" s="216"/>
      <c r="F1103" s="216"/>
      <c r="G1103" s="173"/>
      <c r="H1103" s="173"/>
      <c r="I1103" s="173"/>
      <c r="J1103" s="173"/>
    </row>
    <row r="1104">
      <c r="A1104" s="216"/>
      <c r="B1104" s="216"/>
      <c r="C1104" s="216"/>
      <c r="D1104" s="216"/>
      <c r="E1104" s="216"/>
      <c r="F1104" s="216"/>
      <c r="G1104" s="173"/>
      <c r="H1104" s="173"/>
      <c r="I1104" s="173"/>
      <c r="J1104" s="173"/>
    </row>
    <row r="1105">
      <c r="A1105" s="216"/>
      <c r="B1105" s="216"/>
      <c r="C1105" s="216"/>
      <c r="D1105" s="216"/>
      <c r="E1105" s="216"/>
      <c r="F1105" s="216"/>
      <c r="G1105" s="173"/>
      <c r="H1105" s="173"/>
      <c r="I1105" s="173"/>
      <c r="J1105" s="173"/>
    </row>
    <row r="1106">
      <c r="A1106" s="216"/>
      <c r="B1106" s="216"/>
      <c r="C1106" s="216"/>
      <c r="D1106" s="216"/>
      <c r="E1106" s="216"/>
      <c r="F1106" s="216"/>
      <c r="G1106" s="173"/>
      <c r="H1106" s="173"/>
      <c r="I1106" s="173"/>
      <c r="J1106" s="173"/>
    </row>
    <row r="1107">
      <c r="A1107" s="216"/>
      <c r="B1107" s="216"/>
      <c r="C1107" s="216"/>
      <c r="D1107" s="216"/>
      <c r="E1107" s="216"/>
      <c r="F1107" s="216"/>
      <c r="G1107" s="173"/>
      <c r="H1107" s="173"/>
      <c r="I1107" s="173"/>
      <c r="J1107" s="173"/>
    </row>
    <row r="1108">
      <c r="A1108" s="216"/>
      <c r="B1108" s="216"/>
      <c r="C1108" s="216"/>
      <c r="D1108" s="216"/>
      <c r="E1108" s="216"/>
      <c r="F1108" s="216"/>
      <c r="G1108" s="173"/>
      <c r="H1108" s="173"/>
      <c r="I1108" s="173"/>
      <c r="J1108" s="173"/>
    </row>
    <row r="1109">
      <c r="A1109" s="216"/>
      <c r="B1109" s="216"/>
      <c r="C1109" s="216"/>
      <c r="D1109" s="216"/>
      <c r="E1109" s="216"/>
      <c r="F1109" s="216"/>
      <c r="G1109" s="173"/>
      <c r="H1109" s="173"/>
      <c r="I1109" s="173"/>
      <c r="J1109" s="173"/>
    </row>
    <row r="1110">
      <c r="A1110" s="216"/>
      <c r="B1110" s="216"/>
      <c r="C1110" s="216"/>
      <c r="D1110" s="216"/>
      <c r="E1110" s="216"/>
      <c r="F1110" s="216"/>
      <c r="G1110" s="173"/>
      <c r="H1110" s="173"/>
      <c r="I1110" s="173"/>
      <c r="J1110" s="173"/>
    </row>
    <row r="1111">
      <c r="A1111" s="216"/>
      <c r="B1111" s="216"/>
      <c r="C1111" s="216"/>
      <c r="D1111" s="216"/>
      <c r="E1111" s="216"/>
      <c r="F1111" s="216"/>
      <c r="G1111" s="173"/>
      <c r="H1111" s="173"/>
      <c r="I1111" s="173"/>
      <c r="J1111" s="173"/>
    </row>
    <row r="1112">
      <c r="A1112" s="216"/>
      <c r="B1112" s="216"/>
      <c r="C1112" s="216"/>
      <c r="D1112" s="216"/>
      <c r="E1112" s="216"/>
      <c r="F1112" s="216"/>
      <c r="G1112" s="173"/>
      <c r="H1112" s="173"/>
      <c r="I1112" s="173"/>
      <c r="J1112" s="173"/>
    </row>
    <row r="1113">
      <c r="A1113" s="216"/>
      <c r="B1113" s="216"/>
      <c r="C1113" s="216"/>
      <c r="D1113" s="216"/>
      <c r="E1113" s="216"/>
      <c r="F1113" s="216"/>
      <c r="G1113" s="173"/>
      <c r="H1113" s="173"/>
      <c r="I1113" s="173"/>
      <c r="J1113" s="173"/>
    </row>
    <row r="1114">
      <c r="A1114" s="216"/>
      <c r="B1114" s="216"/>
      <c r="C1114" s="216"/>
      <c r="D1114" s="216"/>
      <c r="E1114" s="216"/>
      <c r="F1114" s="216"/>
      <c r="G1114" s="173"/>
      <c r="H1114" s="173"/>
      <c r="I1114" s="173"/>
      <c r="J1114" s="173"/>
    </row>
    <row r="1115">
      <c r="A1115" s="216"/>
      <c r="B1115" s="216"/>
      <c r="C1115" s="216"/>
      <c r="D1115" s="216"/>
      <c r="E1115" s="216"/>
      <c r="F1115" s="216"/>
      <c r="G1115" s="173"/>
      <c r="H1115" s="173"/>
      <c r="I1115" s="173"/>
      <c r="J1115" s="173"/>
    </row>
    <row r="1116">
      <c r="A1116" s="216"/>
      <c r="B1116" s="216"/>
      <c r="C1116" s="216"/>
      <c r="D1116" s="216"/>
      <c r="E1116" s="216"/>
      <c r="F1116" s="216"/>
      <c r="G1116" s="173"/>
      <c r="H1116" s="173"/>
      <c r="I1116" s="173"/>
      <c r="J1116" s="173"/>
    </row>
    <row r="1117">
      <c r="A1117" s="216"/>
      <c r="B1117" s="216"/>
      <c r="C1117" s="216"/>
      <c r="D1117" s="216"/>
      <c r="E1117" s="216"/>
      <c r="F1117" s="216"/>
      <c r="G1117" s="173"/>
      <c r="H1117" s="173"/>
      <c r="I1117" s="173"/>
      <c r="J1117" s="173"/>
    </row>
    <row r="1118">
      <c r="A1118" s="216"/>
      <c r="B1118" s="216"/>
      <c r="C1118" s="216"/>
      <c r="D1118" s="216"/>
      <c r="E1118" s="216"/>
      <c r="F1118" s="216"/>
      <c r="G1118" s="173"/>
      <c r="H1118" s="173"/>
      <c r="I1118" s="173"/>
      <c r="J1118" s="173"/>
    </row>
    <row r="1119">
      <c r="A1119" s="216"/>
      <c r="B1119" s="216"/>
      <c r="C1119" s="216"/>
      <c r="D1119" s="216"/>
      <c r="E1119" s="216"/>
      <c r="F1119" s="216"/>
      <c r="G1119" s="173"/>
      <c r="H1119" s="173"/>
      <c r="I1119" s="173"/>
      <c r="J1119" s="173"/>
    </row>
    <row r="1120">
      <c r="A1120" s="216"/>
      <c r="B1120" s="216"/>
      <c r="C1120" s="216"/>
      <c r="D1120" s="216"/>
      <c r="E1120" s="216"/>
      <c r="F1120" s="216"/>
      <c r="G1120" s="173"/>
      <c r="H1120" s="173"/>
      <c r="I1120" s="173"/>
      <c r="J1120" s="173"/>
    </row>
    <row r="1121">
      <c r="A1121" s="216"/>
      <c r="B1121" s="216"/>
      <c r="C1121" s="216"/>
      <c r="D1121" s="216"/>
      <c r="E1121" s="216"/>
      <c r="F1121" s="216"/>
      <c r="G1121" s="173"/>
      <c r="H1121" s="173"/>
      <c r="I1121" s="173"/>
      <c r="J1121" s="173"/>
    </row>
    <row r="1122">
      <c r="A1122" s="216"/>
      <c r="B1122" s="216"/>
      <c r="C1122" s="216"/>
      <c r="D1122" s="216"/>
      <c r="E1122" s="216"/>
      <c r="F1122" s="216"/>
      <c r="G1122" s="173"/>
      <c r="H1122" s="173"/>
      <c r="I1122" s="173"/>
      <c r="J1122" s="173"/>
    </row>
    <row r="1123">
      <c r="A1123" s="216"/>
      <c r="B1123" s="216"/>
      <c r="C1123" s="216"/>
      <c r="D1123" s="216"/>
      <c r="E1123" s="216"/>
      <c r="F1123" s="216"/>
      <c r="G1123" s="173"/>
      <c r="H1123" s="173"/>
      <c r="I1123" s="173"/>
      <c r="J1123" s="173"/>
    </row>
    <row r="1124">
      <c r="A1124" s="216"/>
      <c r="B1124" s="216"/>
      <c r="C1124" s="216"/>
      <c r="D1124" s="216"/>
      <c r="E1124" s="216"/>
      <c r="F1124" s="216"/>
      <c r="G1124" s="173"/>
      <c r="H1124" s="173"/>
      <c r="I1124" s="173"/>
      <c r="J1124" s="173"/>
    </row>
    <row r="1125">
      <c r="A1125" s="216"/>
      <c r="B1125" s="216"/>
      <c r="C1125" s="216"/>
      <c r="D1125" s="216"/>
      <c r="E1125" s="216"/>
      <c r="F1125" s="216"/>
      <c r="G1125" s="173"/>
      <c r="H1125" s="173"/>
      <c r="I1125" s="173"/>
      <c r="J1125" s="173"/>
    </row>
    <row r="1126">
      <c r="A1126" s="216"/>
      <c r="B1126" s="216"/>
      <c r="C1126" s="216"/>
      <c r="D1126" s="216"/>
      <c r="E1126" s="216"/>
      <c r="F1126" s="216"/>
      <c r="G1126" s="173"/>
      <c r="H1126" s="173"/>
      <c r="I1126" s="173"/>
      <c r="J1126" s="173"/>
    </row>
    <row r="1127">
      <c r="A1127" s="216"/>
      <c r="B1127" s="216"/>
      <c r="C1127" s="216"/>
      <c r="D1127" s="216"/>
      <c r="E1127" s="216"/>
      <c r="F1127" s="216"/>
      <c r="G1127" s="173"/>
      <c r="H1127" s="173"/>
      <c r="I1127" s="173"/>
      <c r="J1127" s="173"/>
    </row>
    <row r="1128">
      <c r="A1128" s="216"/>
      <c r="B1128" s="216"/>
      <c r="C1128" s="216"/>
      <c r="D1128" s="216"/>
      <c r="E1128" s="216"/>
      <c r="F1128" s="216"/>
      <c r="G1128" s="173"/>
      <c r="H1128" s="173"/>
      <c r="I1128" s="173"/>
      <c r="J1128" s="173"/>
    </row>
    <row r="1129">
      <c r="A1129" s="216"/>
      <c r="B1129" s="216"/>
      <c r="C1129" s="216"/>
      <c r="D1129" s="216"/>
      <c r="E1129" s="216"/>
      <c r="F1129" s="216"/>
      <c r="G1129" s="173"/>
      <c r="H1129" s="173"/>
      <c r="I1129" s="173"/>
      <c r="J1129" s="173"/>
    </row>
    <row r="1130">
      <c r="A1130" s="216"/>
      <c r="B1130" s="216"/>
      <c r="C1130" s="216"/>
      <c r="D1130" s="216"/>
      <c r="E1130" s="216"/>
      <c r="F1130" s="216"/>
      <c r="G1130" s="173"/>
      <c r="H1130" s="173"/>
      <c r="I1130" s="173"/>
      <c r="J1130" s="173"/>
    </row>
    <row r="1131">
      <c r="A1131" s="216"/>
      <c r="B1131" s="216"/>
      <c r="C1131" s="216"/>
      <c r="D1131" s="216"/>
      <c r="E1131" s="216"/>
      <c r="F1131" s="216"/>
      <c r="G1131" s="173"/>
      <c r="H1131" s="173"/>
      <c r="I1131" s="173"/>
      <c r="J1131" s="173"/>
    </row>
    <row r="1132">
      <c r="A1132" s="216"/>
      <c r="B1132" s="216"/>
      <c r="C1132" s="216"/>
      <c r="D1132" s="216"/>
      <c r="E1132" s="216"/>
      <c r="F1132" s="216"/>
      <c r="G1132" s="173"/>
      <c r="H1132" s="173"/>
      <c r="I1132" s="173"/>
      <c r="J1132" s="173"/>
    </row>
    <row r="1133">
      <c r="A1133" s="216"/>
      <c r="B1133" s="216"/>
      <c r="C1133" s="216"/>
      <c r="D1133" s="216"/>
      <c r="E1133" s="216"/>
      <c r="F1133" s="216"/>
      <c r="G1133" s="173"/>
      <c r="H1133" s="173"/>
      <c r="I1133" s="173"/>
      <c r="J1133" s="173"/>
    </row>
    <row r="1134">
      <c r="A1134" s="216"/>
      <c r="B1134" s="216"/>
      <c r="C1134" s="216"/>
      <c r="D1134" s="216"/>
      <c r="E1134" s="216"/>
      <c r="F1134" s="216"/>
      <c r="G1134" s="173"/>
      <c r="H1134" s="173"/>
      <c r="I1134" s="173"/>
      <c r="J1134" s="173"/>
    </row>
    <row r="1135">
      <c r="A1135" s="216"/>
      <c r="B1135" s="216"/>
      <c r="C1135" s="216"/>
      <c r="D1135" s="216"/>
      <c r="E1135" s="216"/>
      <c r="F1135" s="216"/>
      <c r="G1135" s="173"/>
      <c r="H1135" s="173"/>
      <c r="I1135" s="173"/>
      <c r="J1135" s="173"/>
    </row>
    <row r="1136">
      <c r="A1136" s="216"/>
      <c r="B1136" s="216"/>
      <c r="C1136" s="216"/>
      <c r="D1136" s="216"/>
      <c r="E1136" s="216"/>
      <c r="F1136" s="216"/>
      <c r="G1136" s="173"/>
      <c r="H1136" s="173"/>
      <c r="I1136" s="173"/>
      <c r="J1136" s="173"/>
    </row>
    <row r="1137">
      <c r="A1137" s="216"/>
      <c r="B1137" s="216"/>
      <c r="C1137" s="216"/>
      <c r="D1137" s="216"/>
      <c r="E1137" s="216"/>
      <c r="F1137" s="216"/>
      <c r="G1137" s="173"/>
      <c r="H1137" s="173"/>
      <c r="I1137" s="173"/>
      <c r="J1137" s="173"/>
    </row>
    <row r="1138">
      <c r="A1138" s="216"/>
      <c r="B1138" s="216"/>
      <c r="C1138" s="216"/>
      <c r="D1138" s="216"/>
      <c r="E1138" s="216"/>
      <c r="F1138" s="216"/>
      <c r="G1138" s="173"/>
      <c r="H1138" s="173"/>
      <c r="I1138" s="173"/>
      <c r="J1138" s="173"/>
    </row>
    <row r="1139">
      <c r="A1139" s="216"/>
      <c r="B1139" s="216"/>
      <c r="C1139" s="216"/>
      <c r="D1139" s="216"/>
      <c r="E1139" s="216"/>
      <c r="F1139" s="216"/>
      <c r="G1139" s="173"/>
      <c r="H1139" s="173"/>
      <c r="I1139" s="173"/>
      <c r="J1139" s="173"/>
    </row>
    <row r="1140">
      <c r="A1140" s="216"/>
      <c r="B1140" s="216"/>
      <c r="C1140" s="216"/>
      <c r="D1140" s="216"/>
      <c r="E1140" s="216"/>
      <c r="F1140" s="216"/>
      <c r="G1140" s="173"/>
      <c r="H1140" s="173"/>
      <c r="I1140" s="173"/>
      <c r="J1140" s="173"/>
    </row>
    <row r="1141">
      <c r="A1141" s="216"/>
      <c r="B1141" s="216"/>
      <c r="C1141" s="216"/>
      <c r="D1141" s="216"/>
      <c r="E1141" s="216"/>
      <c r="F1141" s="216"/>
      <c r="G1141" s="173"/>
      <c r="H1141" s="173"/>
      <c r="I1141" s="173"/>
      <c r="J1141" s="173"/>
    </row>
    <row r="1142">
      <c r="A1142" s="216"/>
      <c r="B1142" s="216"/>
      <c r="C1142" s="216"/>
      <c r="D1142" s="216"/>
      <c r="E1142" s="216"/>
      <c r="F1142" s="216"/>
      <c r="G1142" s="173"/>
      <c r="H1142" s="173"/>
      <c r="I1142" s="173"/>
      <c r="J1142" s="173"/>
    </row>
    <row r="1143">
      <c r="A1143" s="216"/>
      <c r="B1143" s="216"/>
      <c r="C1143" s="216"/>
      <c r="D1143" s="216"/>
      <c r="E1143" s="216"/>
      <c r="F1143" s="216"/>
      <c r="G1143" s="173"/>
      <c r="H1143" s="173"/>
      <c r="I1143" s="173"/>
      <c r="J1143" s="173"/>
    </row>
    <row r="1144">
      <c r="A1144" s="216"/>
      <c r="B1144" s="216"/>
      <c r="C1144" s="216"/>
      <c r="D1144" s="216"/>
      <c r="E1144" s="216"/>
      <c r="F1144" s="216"/>
      <c r="G1144" s="173"/>
      <c r="H1144" s="173"/>
      <c r="I1144" s="173"/>
      <c r="J1144" s="173"/>
    </row>
    <row r="1145">
      <c r="A1145" s="216"/>
      <c r="B1145" s="216"/>
      <c r="C1145" s="216"/>
      <c r="D1145" s="216"/>
      <c r="E1145" s="216"/>
      <c r="F1145" s="216"/>
      <c r="G1145" s="173"/>
      <c r="H1145" s="173"/>
      <c r="I1145" s="173"/>
      <c r="J1145" s="173"/>
    </row>
    <row r="1146">
      <c r="A1146" s="216"/>
      <c r="B1146" s="216"/>
      <c r="C1146" s="216"/>
      <c r="D1146" s="216"/>
      <c r="E1146" s="216"/>
      <c r="F1146" s="216"/>
      <c r="G1146" s="173"/>
      <c r="H1146" s="173"/>
      <c r="I1146" s="173"/>
      <c r="J1146" s="173"/>
    </row>
    <row r="1147">
      <c r="A1147" s="216"/>
      <c r="B1147" s="216"/>
      <c r="C1147" s="216"/>
      <c r="D1147" s="216"/>
      <c r="E1147" s="216"/>
      <c r="F1147" s="216"/>
      <c r="G1147" s="173"/>
      <c r="H1147" s="173"/>
      <c r="I1147" s="173"/>
      <c r="J1147" s="173"/>
    </row>
    <row r="1148">
      <c r="A1148" s="216"/>
      <c r="B1148" s="216"/>
      <c r="C1148" s="216"/>
      <c r="D1148" s="216"/>
      <c r="E1148" s="216"/>
      <c r="F1148" s="216"/>
      <c r="G1148" s="173"/>
      <c r="H1148" s="173"/>
      <c r="I1148" s="173"/>
      <c r="J1148" s="173"/>
    </row>
    <row r="1149">
      <c r="A1149" s="216"/>
      <c r="B1149" s="216"/>
      <c r="C1149" s="216"/>
      <c r="D1149" s="216"/>
      <c r="E1149" s="216"/>
      <c r="F1149" s="216"/>
      <c r="G1149" s="173"/>
      <c r="H1149" s="173"/>
      <c r="I1149" s="173"/>
      <c r="J1149" s="173"/>
    </row>
    <row r="1150">
      <c r="A1150" s="216"/>
      <c r="B1150" s="216"/>
      <c r="C1150" s="216"/>
      <c r="D1150" s="216"/>
      <c r="E1150" s="216"/>
      <c r="F1150" s="216"/>
      <c r="G1150" s="173"/>
      <c r="H1150" s="173"/>
      <c r="I1150" s="173"/>
      <c r="J1150" s="173"/>
    </row>
    <row r="1151">
      <c r="A1151" s="216"/>
      <c r="B1151" s="216"/>
      <c r="C1151" s="216"/>
      <c r="D1151" s="216"/>
      <c r="E1151" s="216"/>
      <c r="F1151" s="216"/>
      <c r="G1151" s="173"/>
      <c r="H1151" s="173"/>
      <c r="I1151" s="173"/>
      <c r="J1151" s="173"/>
    </row>
    <row r="1152">
      <c r="A1152" s="216"/>
      <c r="B1152" s="216"/>
      <c r="C1152" s="216"/>
      <c r="D1152" s="216"/>
      <c r="E1152" s="216"/>
      <c r="F1152" s="216"/>
      <c r="G1152" s="173"/>
      <c r="H1152" s="173"/>
      <c r="I1152" s="173"/>
      <c r="J1152" s="173"/>
    </row>
    <row r="1153">
      <c r="A1153" s="216"/>
      <c r="B1153" s="216"/>
      <c r="C1153" s="216"/>
      <c r="D1153" s="216"/>
      <c r="E1153" s="216"/>
      <c r="F1153" s="216"/>
      <c r="G1153" s="173"/>
      <c r="H1153" s="173"/>
      <c r="I1153" s="173"/>
      <c r="J1153" s="173"/>
    </row>
    <row r="1154">
      <c r="A1154" s="216"/>
      <c r="B1154" s="216"/>
      <c r="C1154" s="216"/>
      <c r="D1154" s="216"/>
      <c r="E1154" s="216"/>
      <c r="F1154" s="216"/>
      <c r="G1154" s="173"/>
      <c r="H1154" s="173"/>
      <c r="I1154" s="173"/>
      <c r="J1154" s="173"/>
    </row>
    <row r="1155">
      <c r="A1155" s="216"/>
      <c r="B1155" s="216"/>
      <c r="C1155" s="216"/>
      <c r="D1155" s="216"/>
      <c r="E1155" s="216"/>
      <c r="F1155" s="216"/>
      <c r="G1155" s="173"/>
      <c r="H1155" s="173"/>
      <c r="I1155" s="173"/>
      <c r="J1155" s="173"/>
    </row>
    <row r="1156">
      <c r="A1156" s="216"/>
      <c r="B1156" s="216"/>
      <c r="C1156" s="216"/>
      <c r="D1156" s="216"/>
      <c r="E1156" s="216"/>
      <c r="F1156" s="216"/>
      <c r="G1156" s="173"/>
      <c r="H1156" s="173"/>
      <c r="I1156" s="173"/>
      <c r="J1156" s="173"/>
    </row>
    <row r="1157">
      <c r="A1157" s="216"/>
      <c r="B1157" s="216"/>
      <c r="C1157" s="216"/>
      <c r="D1157" s="216"/>
      <c r="E1157" s="216"/>
      <c r="F1157" s="216"/>
      <c r="G1157" s="173"/>
      <c r="H1157" s="173"/>
      <c r="I1157" s="173"/>
      <c r="J1157" s="173"/>
    </row>
    <row r="1158">
      <c r="A1158" s="216"/>
      <c r="B1158" s="216"/>
      <c r="C1158" s="216"/>
      <c r="D1158" s="216"/>
      <c r="E1158" s="216"/>
      <c r="F1158" s="216"/>
      <c r="G1158" s="173"/>
      <c r="H1158" s="173"/>
      <c r="I1158" s="173"/>
      <c r="J1158" s="173"/>
    </row>
    <row r="1159">
      <c r="A1159" s="216"/>
      <c r="B1159" s="216"/>
      <c r="C1159" s="216"/>
      <c r="D1159" s="216"/>
      <c r="E1159" s="216"/>
      <c r="F1159" s="216"/>
      <c r="G1159" s="173"/>
      <c r="H1159" s="173"/>
      <c r="I1159" s="173"/>
      <c r="J1159" s="173"/>
    </row>
    <row r="1160">
      <c r="A1160" s="216"/>
      <c r="B1160" s="216"/>
      <c r="C1160" s="216"/>
      <c r="D1160" s="216"/>
      <c r="E1160" s="216"/>
      <c r="F1160" s="216"/>
      <c r="G1160" s="173"/>
      <c r="H1160" s="173"/>
      <c r="I1160" s="173"/>
      <c r="J1160" s="173"/>
    </row>
    <row r="1161">
      <c r="A1161" s="216"/>
      <c r="B1161" s="216"/>
      <c r="C1161" s="216"/>
      <c r="D1161" s="216"/>
      <c r="E1161" s="216"/>
      <c r="F1161" s="216"/>
      <c r="G1161" s="173"/>
      <c r="H1161" s="173"/>
      <c r="I1161" s="173"/>
      <c r="J1161" s="173"/>
    </row>
    <row r="1162">
      <c r="A1162" s="216"/>
      <c r="B1162" s="216"/>
      <c r="C1162" s="216"/>
      <c r="D1162" s="216"/>
      <c r="E1162" s="216"/>
      <c r="F1162" s="216"/>
      <c r="G1162" s="173"/>
      <c r="H1162" s="173"/>
      <c r="I1162" s="173"/>
      <c r="J1162" s="173"/>
    </row>
    <row r="1163">
      <c r="A1163" s="216"/>
      <c r="B1163" s="216"/>
      <c r="C1163" s="216"/>
      <c r="D1163" s="216"/>
      <c r="E1163" s="216"/>
      <c r="F1163" s="216"/>
      <c r="G1163" s="173"/>
      <c r="H1163" s="173"/>
      <c r="I1163" s="173"/>
      <c r="J1163" s="173"/>
    </row>
    <row r="1164">
      <c r="A1164" s="216"/>
      <c r="B1164" s="216"/>
      <c r="C1164" s="216"/>
      <c r="D1164" s="216"/>
      <c r="E1164" s="216"/>
      <c r="F1164" s="216"/>
      <c r="G1164" s="173"/>
      <c r="H1164" s="173"/>
      <c r="I1164" s="173"/>
      <c r="J1164" s="173"/>
    </row>
    <row r="1165">
      <c r="A1165" s="216"/>
      <c r="B1165" s="216"/>
      <c r="C1165" s="216"/>
      <c r="D1165" s="216"/>
      <c r="E1165" s="216"/>
      <c r="F1165" s="216"/>
      <c r="G1165" s="173"/>
      <c r="H1165" s="173"/>
      <c r="I1165" s="173"/>
      <c r="J1165" s="173"/>
    </row>
    <row r="1166">
      <c r="A1166" s="216"/>
      <c r="B1166" s="216"/>
      <c r="C1166" s="216"/>
      <c r="D1166" s="216"/>
      <c r="E1166" s="216"/>
      <c r="F1166" s="216"/>
      <c r="G1166" s="173"/>
      <c r="H1166" s="173"/>
      <c r="I1166" s="173"/>
      <c r="J1166" s="173"/>
    </row>
    <row r="1167">
      <c r="A1167" s="216"/>
      <c r="B1167" s="216"/>
      <c r="C1167" s="216"/>
      <c r="D1167" s="216"/>
      <c r="E1167" s="216"/>
      <c r="F1167" s="216"/>
      <c r="G1167" s="173"/>
      <c r="H1167" s="173"/>
      <c r="I1167" s="173"/>
      <c r="J1167" s="173"/>
    </row>
    <row r="1168">
      <c r="A1168" s="216"/>
      <c r="B1168" s="216"/>
      <c r="C1168" s="216"/>
      <c r="D1168" s="216"/>
      <c r="E1168" s="216"/>
      <c r="F1168" s="216"/>
      <c r="G1168" s="173"/>
      <c r="H1168" s="173"/>
      <c r="I1168" s="173"/>
      <c r="J1168" s="173"/>
    </row>
    <row r="1169">
      <c r="A1169" s="216"/>
      <c r="B1169" s="216"/>
      <c r="C1169" s="216"/>
      <c r="D1169" s="216"/>
      <c r="E1169" s="216"/>
      <c r="F1169" s="216"/>
      <c r="G1169" s="173"/>
      <c r="H1169" s="173"/>
      <c r="I1169" s="173"/>
      <c r="J1169" s="173"/>
    </row>
    <row r="1170">
      <c r="A1170" s="216"/>
      <c r="B1170" s="216"/>
      <c r="C1170" s="216"/>
      <c r="D1170" s="216"/>
      <c r="E1170" s="216"/>
      <c r="F1170" s="216"/>
      <c r="G1170" s="173"/>
      <c r="H1170" s="173"/>
      <c r="I1170" s="173"/>
      <c r="J1170" s="173"/>
    </row>
    <row r="1171">
      <c r="A1171" s="216"/>
      <c r="B1171" s="216"/>
      <c r="C1171" s="216"/>
      <c r="D1171" s="216"/>
      <c r="E1171" s="216"/>
      <c r="F1171" s="216"/>
      <c r="G1171" s="173"/>
      <c r="H1171" s="173"/>
      <c r="I1171" s="173"/>
      <c r="J1171" s="173"/>
    </row>
    <row r="1172">
      <c r="A1172" s="216"/>
      <c r="B1172" s="216"/>
      <c r="C1172" s="216"/>
      <c r="D1172" s="216"/>
      <c r="E1172" s="216"/>
      <c r="F1172" s="216"/>
      <c r="G1172" s="173"/>
      <c r="H1172" s="173"/>
      <c r="I1172" s="173"/>
      <c r="J1172" s="173"/>
    </row>
    <row r="1173">
      <c r="A1173" s="216"/>
      <c r="B1173" s="216"/>
      <c r="C1173" s="216"/>
      <c r="D1173" s="216"/>
      <c r="E1173" s="216"/>
      <c r="F1173" s="216"/>
      <c r="G1173" s="173"/>
      <c r="H1173" s="173"/>
      <c r="I1173" s="173"/>
      <c r="J1173" s="173"/>
    </row>
    <row r="1174">
      <c r="A1174" s="216"/>
      <c r="B1174" s="216"/>
      <c r="C1174" s="216"/>
      <c r="D1174" s="216"/>
      <c r="E1174" s="216"/>
      <c r="F1174" s="216"/>
      <c r="G1174" s="173"/>
      <c r="H1174" s="173"/>
      <c r="I1174" s="173"/>
      <c r="J1174" s="173"/>
    </row>
    <row r="1175">
      <c r="A1175" s="216"/>
      <c r="B1175" s="216"/>
      <c r="C1175" s="216"/>
      <c r="D1175" s="216"/>
      <c r="E1175" s="216"/>
      <c r="F1175" s="216"/>
      <c r="G1175" s="173"/>
      <c r="H1175" s="173"/>
      <c r="I1175" s="173"/>
      <c r="J1175" s="173"/>
    </row>
    <row r="1176">
      <c r="A1176" s="216"/>
      <c r="B1176" s="216"/>
      <c r="C1176" s="216"/>
      <c r="D1176" s="216"/>
      <c r="E1176" s="216"/>
      <c r="F1176" s="216"/>
      <c r="G1176" s="173"/>
      <c r="H1176" s="173"/>
      <c r="I1176" s="173"/>
      <c r="J1176" s="173"/>
    </row>
    <row r="1177">
      <c r="A1177" s="216"/>
      <c r="B1177" s="216"/>
      <c r="C1177" s="216"/>
      <c r="D1177" s="216"/>
      <c r="E1177" s="216"/>
      <c r="F1177" s="216"/>
      <c r="G1177" s="173"/>
      <c r="H1177" s="173"/>
      <c r="I1177" s="173"/>
      <c r="J1177" s="173"/>
    </row>
    <row r="1178">
      <c r="A1178" s="216"/>
      <c r="B1178" s="216"/>
      <c r="C1178" s="216"/>
      <c r="D1178" s="216"/>
      <c r="E1178" s="216"/>
      <c r="F1178" s="216"/>
      <c r="G1178" s="173"/>
      <c r="H1178" s="173"/>
      <c r="I1178" s="173"/>
      <c r="J1178" s="173"/>
    </row>
    <row r="1179">
      <c r="A1179" s="216"/>
      <c r="B1179" s="216"/>
      <c r="C1179" s="216"/>
      <c r="D1179" s="216"/>
      <c r="E1179" s="216"/>
      <c r="F1179" s="216"/>
      <c r="G1179" s="173"/>
      <c r="H1179" s="173"/>
      <c r="I1179" s="173"/>
      <c r="J1179" s="173"/>
    </row>
    <row r="1180">
      <c r="A1180" s="216"/>
      <c r="B1180" s="216"/>
      <c r="C1180" s="216"/>
      <c r="D1180" s="216"/>
      <c r="E1180" s="216"/>
      <c r="F1180" s="216"/>
      <c r="G1180" s="173"/>
      <c r="H1180" s="173"/>
      <c r="I1180" s="173"/>
      <c r="J1180" s="173"/>
    </row>
    <row r="1181">
      <c r="A1181" s="216"/>
      <c r="B1181" s="216"/>
      <c r="C1181" s="216"/>
      <c r="D1181" s="216"/>
      <c r="E1181" s="216"/>
      <c r="F1181" s="216"/>
      <c r="G1181" s="173"/>
      <c r="H1181" s="173"/>
      <c r="I1181" s="173"/>
      <c r="J1181" s="173"/>
    </row>
    <row r="1182">
      <c r="A1182" s="216"/>
      <c r="B1182" s="216"/>
      <c r="C1182" s="216"/>
      <c r="D1182" s="216"/>
      <c r="E1182" s="216"/>
      <c r="F1182" s="216"/>
      <c r="G1182" s="173"/>
      <c r="H1182" s="173"/>
      <c r="I1182" s="173"/>
      <c r="J1182" s="173"/>
    </row>
    <row r="1183">
      <c r="A1183" s="216"/>
      <c r="B1183" s="216"/>
      <c r="C1183" s="216"/>
      <c r="D1183" s="216"/>
      <c r="E1183" s="216"/>
      <c r="F1183" s="216"/>
      <c r="G1183" s="173"/>
      <c r="H1183" s="173"/>
      <c r="I1183" s="173"/>
      <c r="J1183" s="173"/>
    </row>
    <row r="1184">
      <c r="A1184" s="216"/>
      <c r="B1184" s="216"/>
      <c r="C1184" s="216"/>
      <c r="D1184" s="216"/>
      <c r="E1184" s="216"/>
      <c r="F1184" s="216"/>
      <c r="G1184" s="173"/>
      <c r="H1184" s="173"/>
      <c r="I1184" s="173"/>
      <c r="J1184" s="173"/>
    </row>
    <row r="1185">
      <c r="A1185" s="216"/>
      <c r="B1185" s="216"/>
      <c r="C1185" s="216"/>
      <c r="D1185" s="216"/>
      <c r="E1185" s="216"/>
      <c r="F1185" s="216"/>
      <c r="G1185" s="173"/>
      <c r="H1185" s="173"/>
      <c r="I1185" s="173"/>
      <c r="J1185" s="173"/>
    </row>
    <row r="1186">
      <c r="A1186" s="216"/>
      <c r="B1186" s="216"/>
      <c r="C1186" s="216"/>
      <c r="D1186" s="216"/>
      <c r="E1186" s="216"/>
      <c r="F1186" s="216"/>
      <c r="G1186" s="173"/>
      <c r="H1186" s="173"/>
      <c r="I1186" s="173"/>
      <c r="J1186" s="173"/>
    </row>
    <row r="1187">
      <c r="A1187" s="216"/>
      <c r="B1187" s="216"/>
      <c r="C1187" s="216"/>
      <c r="D1187" s="216"/>
      <c r="E1187" s="216"/>
      <c r="F1187" s="216"/>
      <c r="G1187" s="173"/>
      <c r="H1187" s="173"/>
      <c r="I1187" s="173"/>
      <c r="J1187" s="173"/>
    </row>
    <row r="1188">
      <c r="A1188" s="216"/>
      <c r="B1188" s="216"/>
      <c r="C1188" s="216"/>
      <c r="D1188" s="216"/>
      <c r="E1188" s="216"/>
      <c r="F1188" s="216"/>
      <c r="G1188" s="173"/>
      <c r="H1188" s="173"/>
      <c r="I1188" s="173"/>
      <c r="J1188" s="173"/>
    </row>
    <row r="1189">
      <c r="A1189" s="216"/>
      <c r="B1189" s="216"/>
      <c r="C1189" s="216"/>
      <c r="D1189" s="216"/>
      <c r="E1189" s="216"/>
      <c r="F1189" s="216"/>
      <c r="G1189" s="173"/>
      <c r="H1189" s="173"/>
      <c r="I1189" s="173"/>
      <c r="J1189" s="173"/>
    </row>
    <row r="1190">
      <c r="A1190" s="216"/>
      <c r="B1190" s="216"/>
      <c r="C1190" s="216"/>
      <c r="D1190" s="216"/>
      <c r="E1190" s="216"/>
      <c r="F1190" s="216"/>
      <c r="G1190" s="173"/>
      <c r="H1190" s="173"/>
      <c r="I1190" s="173"/>
      <c r="J1190" s="173"/>
    </row>
    <row r="1191">
      <c r="A1191" s="216"/>
      <c r="B1191" s="216"/>
      <c r="C1191" s="216"/>
      <c r="D1191" s="216"/>
      <c r="E1191" s="216"/>
      <c r="F1191" s="216"/>
      <c r="G1191" s="173"/>
      <c r="H1191" s="173"/>
      <c r="I1191" s="173"/>
      <c r="J1191" s="173"/>
    </row>
    <row r="1192">
      <c r="A1192" s="216"/>
      <c r="B1192" s="216"/>
      <c r="C1192" s="216"/>
      <c r="D1192" s="216"/>
      <c r="E1192" s="216"/>
      <c r="F1192" s="216"/>
      <c r="G1192" s="173"/>
      <c r="H1192" s="173"/>
      <c r="I1192" s="173"/>
      <c r="J1192" s="173"/>
    </row>
    <row r="1193">
      <c r="A1193" s="216"/>
      <c r="B1193" s="216"/>
      <c r="C1193" s="216"/>
      <c r="D1193" s="216"/>
      <c r="E1193" s="216"/>
      <c r="F1193" s="216"/>
      <c r="G1193" s="173"/>
      <c r="H1193" s="173"/>
      <c r="I1193" s="173"/>
      <c r="J1193" s="173"/>
    </row>
    <row r="1194">
      <c r="A1194" s="216"/>
      <c r="B1194" s="216"/>
      <c r="C1194" s="216"/>
      <c r="D1194" s="216"/>
      <c r="E1194" s="216"/>
      <c r="F1194" s="216"/>
      <c r="G1194" s="173"/>
      <c r="H1194" s="173"/>
      <c r="I1194" s="173"/>
      <c r="J1194" s="173"/>
    </row>
    <row r="1195">
      <c r="A1195" s="216"/>
      <c r="B1195" s="216"/>
      <c r="C1195" s="216"/>
      <c r="D1195" s="216"/>
      <c r="E1195" s="216"/>
      <c r="F1195" s="216"/>
      <c r="G1195" s="173"/>
      <c r="H1195" s="173"/>
      <c r="I1195" s="173"/>
      <c r="J1195" s="173"/>
    </row>
    <row r="1196">
      <c r="A1196" s="216"/>
      <c r="B1196" s="216"/>
      <c r="C1196" s="216"/>
      <c r="D1196" s="216"/>
      <c r="E1196" s="216"/>
      <c r="F1196" s="216"/>
      <c r="G1196" s="173"/>
      <c r="H1196" s="173"/>
      <c r="I1196" s="173"/>
      <c r="J1196" s="173"/>
    </row>
    <row r="1197">
      <c r="A1197" s="216"/>
      <c r="B1197" s="216"/>
      <c r="C1197" s="216"/>
      <c r="D1197" s="216"/>
      <c r="E1197" s="216"/>
      <c r="F1197" s="216"/>
      <c r="G1197" s="173"/>
      <c r="H1197" s="173"/>
      <c r="I1197" s="173"/>
      <c r="J1197" s="173"/>
    </row>
    <row r="1198">
      <c r="A1198" s="216"/>
      <c r="B1198" s="216"/>
      <c r="C1198" s="216"/>
      <c r="D1198" s="216"/>
      <c r="E1198" s="216"/>
      <c r="F1198" s="216"/>
      <c r="G1198" s="173"/>
      <c r="H1198" s="173"/>
      <c r="I1198" s="173"/>
      <c r="J1198" s="173"/>
    </row>
    <row r="1199">
      <c r="A1199" s="216"/>
      <c r="B1199" s="216"/>
      <c r="C1199" s="216"/>
      <c r="D1199" s="216"/>
      <c r="E1199" s="216"/>
      <c r="F1199" s="216"/>
      <c r="G1199" s="173"/>
      <c r="H1199" s="173"/>
      <c r="I1199" s="173"/>
      <c r="J1199" s="173"/>
    </row>
    <row r="1200">
      <c r="A1200" s="216"/>
      <c r="B1200" s="216"/>
      <c r="C1200" s="216"/>
      <c r="D1200" s="216"/>
      <c r="E1200" s="216"/>
      <c r="F1200" s="216"/>
      <c r="G1200" s="173"/>
      <c r="H1200" s="173"/>
      <c r="I1200" s="173"/>
      <c r="J1200" s="173"/>
    </row>
  </sheetData>
  <autoFilter ref="$A$3:$F$880"/>
  <mergeCells count="1">
    <mergeCell ref="B1:J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6.38"/>
    <col customWidth="1" min="3" max="3" width="26.0"/>
    <col customWidth="1" min="4" max="6" width="16.5"/>
    <col customWidth="1" min="7" max="7" width="17.63"/>
  </cols>
  <sheetData>
    <row r="1">
      <c r="A1" s="217" t="s">
        <v>6</v>
      </c>
      <c r="B1" s="217" t="s">
        <v>3571</v>
      </c>
      <c r="C1" s="217" t="s">
        <v>3572</v>
      </c>
      <c r="D1" s="217" t="s">
        <v>5857</v>
      </c>
      <c r="E1" s="217" t="s">
        <v>222</v>
      </c>
      <c r="F1" s="217" t="s">
        <v>5858</v>
      </c>
      <c r="G1" s="217" t="s">
        <v>26</v>
      </c>
    </row>
    <row r="2">
      <c r="A2" s="218">
        <v>1.0</v>
      </c>
      <c r="B2" s="218" t="s">
        <v>202</v>
      </c>
      <c r="C2" s="218">
        <v>11.0</v>
      </c>
      <c r="D2" s="218" t="b">
        <v>1</v>
      </c>
      <c r="E2" s="219" t="b">
        <v>0</v>
      </c>
      <c r="F2" s="219" t="b">
        <v>0</v>
      </c>
      <c r="G2" s="219"/>
    </row>
    <row r="3">
      <c r="A3" s="218">
        <f t="shared" ref="A3:A1080" si="1">A2+1</f>
        <v>2</v>
      </c>
      <c r="B3" s="218" t="s">
        <v>202</v>
      </c>
      <c r="C3" s="218">
        <v>14.0</v>
      </c>
      <c r="D3" s="218" t="b">
        <v>1</v>
      </c>
      <c r="E3" s="219" t="b">
        <v>0</v>
      </c>
      <c r="F3" s="219" t="b">
        <v>0</v>
      </c>
      <c r="G3" s="219"/>
    </row>
    <row r="4">
      <c r="A4" s="218">
        <f t="shared" si="1"/>
        <v>3</v>
      </c>
      <c r="B4" s="218" t="s">
        <v>202</v>
      </c>
      <c r="C4" s="218">
        <v>40.0</v>
      </c>
      <c r="D4" s="218" t="b">
        <v>1</v>
      </c>
      <c r="E4" s="219" t="b">
        <v>0</v>
      </c>
      <c r="F4" s="219" t="b">
        <v>0</v>
      </c>
      <c r="G4" s="219"/>
    </row>
    <row r="5">
      <c r="A5" s="218">
        <f t="shared" si="1"/>
        <v>4</v>
      </c>
      <c r="B5" s="218" t="s">
        <v>202</v>
      </c>
      <c r="C5" s="218">
        <v>45.0</v>
      </c>
      <c r="D5" s="218" t="b">
        <v>1</v>
      </c>
      <c r="E5" s="219" t="b">
        <v>0</v>
      </c>
      <c r="F5" s="219" t="b">
        <v>0</v>
      </c>
      <c r="G5" s="219"/>
    </row>
    <row r="6">
      <c r="A6" s="218">
        <f t="shared" si="1"/>
        <v>5</v>
      </c>
      <c r="B6" s="218" t="s">
        <v>202</v>
      </c>
      <c r="C6" s="218">
        <v>47.0</v>
      </c>
      <c r="D6" s="218" t="b">
        <v>1</v>
      </c>
      <c r="E6" s="219" t="b">
        <v>0</v>
      </c>
      <c r="F6" s="219" t="b">
        <v>0</v>
      </c>
      <c r="G6" s="219"/>
    </row>
    <row r="7">
      <c r="A7" s="218">
        <f t="shared" si="1"/>
        <v>6</v>
      </c>
      <c r="B7" s="218" t="s">
        <v>202</v>
      </c>
      <c r="C7" s="218">
        <v>52.0</v>
      </c>
      <c r="D7" s="218" t="b">
        <v>1</v>
      </c>
      <c r="E7" s="219" t="b">
        <v>0</v>
      </c>
      <c r="F7" s="219" t="b">
        <v>0</v>
      </c>
      <c r="G7" s="219"/>
    </row>
    <row r="8">
      <c r="A8" s="218">
        <f t="shared" si="1"/>
        <v>7</v>
      </c>
      <c r="B8" s="218" t="s">
        <v>202</v>
      </c>
      <c r="C8" s="218">
        <v>53.0</v>
      </c>
      <c r="D8" s="218" t="b">
        <v>1</v>
      </c>
      <c r="E8" s="219" t="b">
        <v>0</v>
      </c>
      <c r="F8" s="219" t="b">
        <v>0</v>
      </c>
      <c r="G8" s="219"/>
    </row>
    <row r="9">
      <c r="A9" s="218">
        <f t="shared" si="1"/>
        <v>8</v>
      </c>
      <c r="B9" s="218" t="s">
        <v>202</v>
      </c>
      <c r="C9" s="218">
        <v>65.0</v>
      </c>
      <c r="D9" s="218" t="b">
        <v>1</v>
      </c>
      <c r="E9" s="219" t="b">
        <v>0</v>
      </c>
      <c r="F9" s="219" t="b">
        <v>0</v>
      </c>
      <c r="G9" s="219"/>
    </row>
    <row r="10">
      <c r="A10" s="218">
        <f t="shared" si="1"/>
        <v>9</v>
      </c>
      <c r="B10" s="218" t="s">
        <v>202</v>
      </c>
      <c r="C10" s="218">
        <v>95.0</v>
      </c>
      <c r="D10" s="218" t="b">
        <v>1</v>
      </c>
      <c r="E10" s="219" t="b">
        <v>0</v>
      </c>
      <c r="F10" s="219" t="b">
        <v>0</v>
      </c>
      <c r="G10" s="219"/>
    </row>
    <row r="11">
      <c r="A11" s="218">
        <f t="shared" si="1"/>
        <v>10</v>
      </c>
      <c r="B11" s="218" t="s">
        <v>202</v>
      </c>
      <c r="C11" s="218">
        <v>108.0</v>
      </c>
      <c r="D11" s="218" t="b">
        <v>1</v>
      </c>
      <c r="E11" s="219" t="b">
        <v>0</v>
      </c>
      <c r="F11" s="219" t="b">
        <v>0</v>
      </c>
      <c r="G11" s="219"/>
    </row>
    <row r="12">
      <c r="A12" s="218">
        <f t="shared" si="1"/>
        <v>11</v>
      </c>
      <c r="B12" s="218" t="s">
        <v>202</v>
      </c>
      <c r="C12" s="218">
        <v>116.0</v>
      </c>
      <c r="D12" s="218" t="b">
        <v>1</v>
      </c>
      <c r="E12" s="219" t="b">
        <v>0</v>
      </c>
      <c r="F12" s="219" t="b">
        <v>0</v>
      </c>
      <c r="G12" s="219"/>
    </row>
    <row r="13">
      <c r="A13" s="218">
        <f t="shared" si="1"/>
        <v>12</v>
      </c>
      <c r="B13" s="218" t="s">
        <v>202</v>
      </c>
      <c r="C13" s="218">
        <v>119.0</v>
      </c>
      <c r="D13" s="218" t="b">
        <v>1</v>
      </c>
      <c r="E13" s="219" t="b">
        <v>0</v>
      </c>
      <c r="F13" s="219" t="b">
        <v>0</v>
      </c>
      <c r="G13" s="219"/>
    </row>
    <row r="14">
      <c r="A14" s="218">
        <f t="shared" si="1"/>
        <v>13</v>
      </c>
      <c r="B14" s="218" t="s">
        <v>202</v>
      </c>
      <c r="C14" s="218">
        <v>122.0</v>
      </c>
      <c r="D14" s="218" t="b">
        <v>1</v>
      </c>
      <c r="E14" s="219" t="b">
        <v>0</v>
      </c>
      <c r="F14" s="219" t="b">
        <v>0</v>
      </c>
      <c r="G14" s="219"/>
    </row>
    <row r="15">
      <c r="A15" s="218">
        <f t="shared" si="1"/>
        <v>14</v>
      </c>
      <c r="B15" s="218" t="s">
        <v>202</v>
      </c>
      <c r="C15" s="218">
        <v>125.0</v>
      </c>
      <c r="D15" s="218" t="b">
        <v>1</v>
      </c>
      <c r="E15" s="219" t="b">
        <v>0</v>
      </c>
      <c r="F15" s="219" t="b">
        <v>0</v>
      </c>
      <c r="G15" s="219"/>
    </row>
    <row r="16">
      <c r="A16" s="218">
        <f t="shared" si="1"/>
        <v>15</v>
      </c>
      <c r="B16" s="218" t="s">
        <v>202</v>
      </c>
      <c r="C16" s="218">
        <v>131.0</v>
      </c>
      <c r="D16" s="218" t="b">
        <v>1</v>
      </c>
      <c r="E16" s="219" t="b">
        <v>0</v>
      </c>
      <c r="F16" s="219" t="b">
        <v>0</v>
      </c>
      <c r="G16" s="219"/>
    </row>
    <row r="17">
      <c r="A17" s="218">
        <f t="shared" si="1"/>
        <v>16</v>
      </c>
      <c r="B17" s="218" t="s">
        <v>202</v>
      </c>
      <c r="C17" s="218">
        <v>145.0</v>
      </c>
      <c r="D17" s="218" t="b">
        <v>1</v>
      </c>
      <c r="E17" s="219" t="b">
        <v>0</v>
      </c>
      <c r="F17" s="219" t="b">
        <v>0</v>
      </c>
      <c r="G17" s="219"/>
    </row>
    <row r="18">
      <c r="A18" s="218">
        <f t="shared" si="1"/>
        <v>17</v>
      </c>
      <c r="B18" s="218" t="s">
        <v>202</v>
      </c>
      <c r="C18" s="218">
        <v>176.0</v>
      </c>
      <c r="D18" s="218" t="b">
        <v>1</v>
      </c>
      <c r="E18" s="219" t="b">
        <v>0</v>
      </c>
      <c r="F18" s="219" t="b">
        <v>0</v>
      </c>
      <c r="G18" s="219"/>
    </row>
    <row r="19">
      <c r="A19" s="218">
        <f t="shared" si="1"/>
        <v>18</v>
      </c>
      <c r="B19" s="218" t="s">
        <v>202</v>
      </c>
      <c r="C19" s="218">
        <v>233.0</v>
      </c>
      <c r="D19" s="218" t="b">
        <v>1</v>
      </c>
      <c r="E19" s="219" t="b">
        <v>0</v>
      </c>
      <c r="F19" s="219" t="b">
        <v>0</v>
      </c>
      <c r="G19" s="219"/>
    </row>
    <row r="20">
      <c r="A20" s="218">
        <f t="shared" si="1"/>
        <v>19</v>
      </c>
      <c r="B20" s="218" t="s">
        <v>202</v>
      </c>
      <c r="C20" s="218">
        <v>258.0</v>
      </c>
      <c r="D20" s="218" t="b">
        <v>1</v>
      </c>
      <c r="E20" s="219" t="b">
        <v>0</v>
      </c>
      <c r="F20" s="219" t="b">
        <v>0</v>
      </c>
      <c r="G20" s="219"/>
    </row>
    <row r="21">
      <c r="A21" s="218">
        <f t="shared" si="1"/>
        <v>20</v>
      </c>
      <c r="B21" s="218" t="s">
        <v>202</v>
      </c>
      <c r="C21" s="218">
        <v>277.0</v>
      </c>
      <c r="D21" s="218" t="b">
        <v>1</v>
      </c>
      <c r="E21" s="219" t="b">
        <v>0</v>
      </c>
      <c r="F21" s="219" t="b">
        <v>0</v>
      </c>
      <c r="G21" s="219"/>
    </row>
    <row r="22">
      <c r="A22" s="218">
        <f t="shared" si="1"/>
        <v>21</v>
      </c>
      <c r="B22" s="218" t="s">
        <v>202</v>
      </c>
      <c r="C22" s="218">
        <v>293.0</v>
      </c>
      <c r="D22" s="218" t="b">
        <v>1</v>
      </c>
      <c r="E22" s="219" t="b">
        <v>0</v>
      </c>
      <c r="F22" s="219" t="b">
        <v>0</v>
      </c>
      <c r="G22" s="219"/>
    </row>
    <row r="23">
      <c r="A23" s="218">
        <f t="shared" si="1"/>
        <v>22</v>
      </c>
      <c r="B23" s="218" t="s">
        <v>202</v>
      </c>
      <c r="C23" s="218">
        <v>328.0</v>
      </c>
      <c r="D23" s="218" t="b">
        <v>1</v>
      </c>
      <c r="E23" s="219" t="b">
        <v>0</v>
      </c>
      <c r="F23" s="219" t="b">
        <v>0</v>
      </c>
      <c r="G23" s="219"/>
    </row>
    <row r="24">
      <c r="A24" s="218">
        <f t="shared" si="1"/>
        <v>23</v>
      </c>
      <c r="B24" s="218" t="s">
        <v>202</v>
      </c>
      <c r="C24" s="218">
        <v>388.0</v>
      </c>
      <c r="D24" s="218" t="b">
        <v>1</v>
      </c>
      <c r="E24" s="219" t="b">
        <v>0</v>
      </c>
      <c r="F24" s="219" t="b">
        <v>0</v>
      </c>
      <c r="G24" s="219"/>
    </row>
    <row r="25">
      <c r="A25" s="218">
        <f t="shared" si="1"/>
        <v>24</v>
      </c>
      <c r="B25" s="218" t="s">
        <v>202</v>
      </c>
      <c r="C25" s="218">
        <v>427.0</v>
      </c>
      <c r="D25" s="218" t="b">
        <v>1</v>
      </c>
      <c r="E25" s="219" t="b">
        <v>0</v>
      </c>
      <c r="F25" s="219" t="b">
        <v>0</v>
      </c>
      <c r="G25" s="219"/>
    </row>
    <row r="26">
      <c r="A26" s="218">
        <f t="shared" si="1"/>
        <v>25</v>
      </c>
      <c r="B26" s="218" t="s">
        <v>202</v>
      </c>
      <c r="C26" s="218">
        <v>433.0</v>
      </c>
      <c r="D26" s="218" t="b">
        <v>1</v>
      </c>
      <c r="E26" s="219" t="b">
        <v>0</v>
      </c>
      <c r="F26" s="219" t="b">
        <v>0</v>
      </c>
      <c r="G26" s="219"/>
    </row>
    <row r="27">
      <c r="A27" s="218">
        <f t="shared" si="1"/>
        <v>26</v>
      </c>
      <c r="B27" s="218" t="s">
        <v>202</v>
      </c>
      <c r="C27" s="218">
        <v>438.0</v>
      </c>
      <c r="D27" s="218" t="b">
        <v>1</v>
      </c>
      <c r="E27" s="219" t="b">
        <v>0</v>
      </c>
      <c r="F27" s="219" t="b">
        <v>0</v>
      </c>
      <c r="G27" s="219"/>
    </row>
    <row r="28">
      <c r="A28" s="218">
        <f t="shared" si="1"/>
        <v>27</v>
      </c>
      <c r="B28" s="218" t="s">
        <v>202</v>
      </c>
      <c r="C28" s="218">
        <v>480.0</v>
      </c>
      <c r="D28" s="218" t="b">
        <v>1</v>
      </c>
      <c r="E28" s="219" t="b">
        <v>0</v>
      </c>
      <c r="F28" s="219" t="b">
        <v>0</v>
      </c>
      <c r="G28" s="219"/>
    </row>
    <row r="29">
      <c r="A29" s="218">
        <f t="shared" si="1"/>
        <v>28</v>
      </c>
      <c r="B29" s="218" t="s">
        <v>202</v>
      </c>
      <c r="C29" s="218">
        <v>483.0</v>
      </c>
      <c r="D29" s="218" t="b">
        <v>1</v>
      </c>
      <c r="E29" s="219" t="b">
        <v>0</v>
      </c>
      <c r="F29" s="219" t="b">
        <v>0</v>
      </c>
      <c r="G29" s="219"/>
    </row>
    <row r="30">
      <c r="A30" s="218">
        <f t="shared" si="1"/>
        <v>29</v>
      </c>
      <c r="B30" s="218" t="s">
        <v>202</v>
      </c>
      <c r="C30" s="218">
        <v>485.0</v>
      </c>
      <c r="D30" s="218" t="b">
        <v>1</v>
      </c>
      <c r="E30" s="219" t="b">
        <v>0</v>
      </c>
      <c r="F30" s="219" t="b">
        <v>0</v>
      </c>
      <c r="G30" s="219"/>
    </row>
    <row r="31">
      <c r="A31" s="218">
        <f t="shared" si="1"/>
        <v>30</v>
      </c>
      <c r="B31" s="218" t="s">
        <v>202</v>
      </c>
      <c r="C31" s="218">
        <v>491.0</v>
      </c>
      <c r="D31" s="218" t="b">
        <v>1</v>
      </c>
      <c r="E31" s="219" t="b">
        <v>0</v>
      </c>
      <c r="F31" s="219" t="b">
        <v>0</v>
      </c>
      <c r="G31" s="219"/>
    </row>
    <row r="32">
      <c r="A32" s="218">
        <f t="shared" si="1"/>
        <v>31</v>
      </c>
      <c r="B32" s="218" t="s">
        <v>202</v>
      </c>
      <c r="C32" s="218">
        <v>493.0</v>
      </c>
      <c r="D32" s="218" t="b">
        <v>1</v>
      </c>
      <c r="E32" s="219" t="b">
        <v>0</v>
      </c>
      <c r="F32" s="219" t="b">
        <v>0</v>
      </c>
      <c r="G32" s="219"/>
    </row>
    <row r="33">
      <c r="A33" s="218">
        <f t="shared" si="1"/>
        <v>32</v>
      </c>
      <c r="B33" s="218" t="s">
        <v>202</v>
      </c>
      <c r="C33" s="218">
        <v>506.0</v>
      </c>
      <c r="D33" s="218" t="b">
        <v>1</v>
      </c>
      <c r="E33" s="219" t="b">
        <v>0</v>
      </c>
      <c r="F33" s="219" t="b">
        <v>0</v>
      </c>
      <c r="G33" s="219"/>
    </row>
    <row r="34">
      <c r="A34" s="218">
        <f t="shared" si="1"/>
        <v>33</v>
      </c>
      <c r="B34" s="218" t="s">
        <v>202</v>
      </c>
      <c r="C34" s="218">
        <v>512.0</v>
      </c>
      <c r="D34" s="218" t="b">
        <v>1</v>
      </c>
      <c r="E34" s="219" t="b">
        <v>0</v>
      </c>
      <c r="F34" s="219" t="b">
        <v>0</v>
      </c>
      <c r="G34" s="219"/>
    </row>
    <row r="35">
      <c r="A35" s="218">
        <f t="shared" si="1"/>
        <v>34</v>
      </c>
      <c r="B35" s="218" t="s">
        <v>202</v>
      </c>
      <c r="C35" s="218">
        <v>518.0</v>
      </c>
      <c r="D35" s="218" t="b">
        <v>1</v>
      </c>
      <c r="E35" s="219" t="b">
        <v>0</v>
      </c>
      <c r="F35" s="219" t="b">
        <v>0</v>
      </c>
      <c r="G35" s="219"/>
    </row>
    <row r="36">
      <c r="A36" s="218">
        <f t="shared" si="1"/>
        <v>35</v>
      </c>
      <c r="B36" s="218" t="s">
        <v>202</v>
      </c>
      <c r="C36" s="218">
        <v>530.0</v>
      </c>
      <c r="D36" s="218" t="b">
        <v>1</v>
      </c>
      <c r="E36" s="219" t="b">
        <v>0</v>
      </c>
      <c r="F36" s="219" t="b">
        <v>0</v>
      </c>
      <c r="G36" s="219"/>
    </row>
    <row r="37">
      <c r="A37" s="218">
        <f t="shared" si="1"/>
        <v>36</v>
      </c>
      <c r="B37" s="218" t="s">
        <v>202</v>
      </c>
      <c r="C37" s="218">
        <v>532.0</v>
      </c>
      <c r="D37" s="218" t="b">
        <v>1</v>
      </c>
      <c r="E37" s="219" t="b">
        <v>0</v>
      </c>
      <c r="F37" s="219" t="b">
        <v>0</v>
      </c>
      <c r="G37" s="219"/>
    </row>
    <row r="38">
      <c r="A38" s="218">
        <f t="shared" si="1"/>
        <v>37</v>
      </c>
      <c r="B38" s="218" t="s">
        <v>202</v>
      </c>
      <c r="C38" s="218">
        <v>553.0</v>
      </c>
      <c r="D38" s="218" t="b">
        <v>1</v>
      </c>
      <c r="E38" s="219" t="b">
        <v>0</v>
      </c>
      <c r="F38" s="219" t="b">
        <v>0</v>
      </c>
      <c r="G38" s="219"/>
    </row>
    <row r="39">
      <c r="A39" s="218">
        <f t="shared" si="1"/>
        <v>38</v>
      </c>
      <c r="B39" s="218" t="s">
        <v>202</v>
      </c>
      <c r="C39" s="218">
        <v>556.0</v>
      </c>
      <c r="D39" s="218" t="b">
        <v>1</v>
      </c>
      <c r="E39" s="219" t="b">
        <v>0</v>
      </c>
      <c r="F39" s="219" t="b">
        <v>0</v>
      </c>
      <c r="G39" s="219"/>
    </row>
    <row r="40">
      <c r="A40" s="218">
        <f t="shared" si="1"/>
        <v>39</v>
      </c>
      <c r="B40" s="218" t="s">
        <v>202</v>
      </c>
      <c r="C40" s="218">
        <v>570.0</v>
      </c>
      <c r="D40" s="218" t="b">
        <v>1</v>
      </c>
      <c r="E40" s="219" t="b">
        <v>0</v>
      </c>
      <c r="F40" s="219" t="b">
        <v>0</v>
      </c>
      <c r="G40" s="219"/>
    </row>
    <row r="41">
      <c r="A41" s="218">
        <f t="shared" si="1"/>
        <v>40</v>
      </c>
      <c r="B41" s="218" t="s">
        <v>202</v>
      </c>
      <c r="C41" s="218">
        <v>572.0</v>
      </c>
      <c r="D41" s="218" t="b">
        <v>1</v>
      </c>
      <c r="E41" s="219" t="b">
        <v>0</v>
      </c>
      <c r="F41" s="219" t="b">
        <v>0</v>
      </c>
      <c r="G41" s="219"/>
    </row>
    <row r="42">
      <c r="A42" s="218">
        <f t="shared" si="1"/>
        <v>41</v>
      </c>
      <c r="B42" s="218" t="s">
        <v>202</v>
      </c>
      <c r="C42" s="218">
        <v>588.0</v>
      </c>
      <c r="D42" s="218" t="b">
        <v>1</v>
      </c>
      <c r="E42" s="219" t="b">
        <v>0</v>
      </c>
      <c r="F42" s="219" t="b">
        <v>0</v>
      </c>
      <c r="G42" s="219"/>
    </row>
    <row r="43">
      <c r="A43" s="218">
        <f t="shared" si="1"/>
        <v>42</v>
      </c>
      <c r="B43" s="218" t="s">
        <v>202</v>
      </c>
      <c r="C43" s="218">
        <v>599.0</v>
      </c>
      <c r="D43" s="218" t="b">
        <v>1</v>
      </c>
      <c r="E43" s="219" t="b">
        <v>0</v>
      </c>
      <c r="F43" s="219" t="b">
        <v>0</v>
      </c>
      <c r="G43" s="219"/>
    </row>
    <row r="44">
      <c r="A44" s="218">
        <f t="shared" si="1"/>
        <v>43</v>
      </c>
      <c r="B44" s="218" t="s">
        <v>202</v>
      </c>
      <c r="C44" s="218" t="s">
        <v>2732</v>
      </c>
      <c r="D44" s="218" t="b">
        <v>1</v>
      </c>
      <c r="E44" s="219" t="b">
        <v>0</v>
      </c>
      <c r="F44" s="219" t="b">
        <v>0</v>
      </c>
      <c r="G44" s="219"/>
    </row>
    <row r="45">
      <c r="A45" s="218">
        <f t="shared" si="1"/>
        <v>44</v>
      </c>
      <c r="B45" s="218" t="s">
        <v>202</v>
      </c>
      <c r="C45" s="218" t="s">
        <v>5521</v>
      </c>
      <c r="D45" s="218" t="b">
        <v>1</v>
      </c>
      <c r="E45" s="219" t="b">
        <v>0</v>
      </c>
      <c r="F45" s="219" t="b">
        <v>0</v>
      </c>
      <c r="G45" s="219"/>
    </row>
    <row r="46">
      <c r="A46" s="218">
        <f t="shared" si="1"/>
        <v>45</v>
      </c>
      <c r="B46" s="218" t="s">
        <v>202</v>
      </c>
      <c r="C46" s="218" t="s">
        <v>579</v>
      </c>
      <c r="D46" s="218" t="b">
        <v>1</v>
      </c>
      <c r="E46" s="219" t="b">
        <v>0</v>
      </c>
      <c r="F46" s="219" t="b">
        <v>0</v>
      </c>
      <c r="G46" s="219"/>
    </row>
    <row r="47">
      <c r="A47" s="218">
        <f t="shared" si="1"/>
        <v>46</v>
      </c>
      <c r="B47" s="218" t="s">
        <v>202</v>
      </c>
      <c r="C47" s="218" t="s">
        <v>367</v>
      </c>
      <c r="D47" s="218" t="b">
        <v>1</v>
      </c>
      <c r="E47" s="219" t="b">
        <v>0</v>
      </c>
      <c r="F47" s="219" t="b">
        <v>0</v>
      </c>
      <c r="G47" s="219"/>
    </row>
    <row r="48">
      <c r="A48" s="218">
        <f t="shared" si="1"/>
        <v>47</v>
      </c>
      <c r="B48" s="218" t="s">
        <v>202</v>
      </c>
      <c r="C48" s="218" t="s">
        <v>5359</v>
      </c>
      <c r="D48" s="218" t="b">
        <v>1</v>
      </c>
      <c r="E48" s="219" t="b">
        <v>0</v>
      </c>
      <c r="F48" s="219" t="b">
        <v>0</v>
      </c>
      <c r="G48" s="219"/>
    </row>
    <row r="49">
      <c r="A49" s="218">
        <f t="shared" si="1"/>
        <v>48</v>
      </c>
      <c r="B49" s="218" t="s">
        <v>202</v>
      </c>
      <c r="C49" s="218" t="s">
        <v>2949</v>
      </c>
      <c r="D49" s="218" t="b">
        <v>1</v>
      </c>
      <c r="E49" s="219" t="b">
        <v>0</v>
      </c>
      <c r="F49" s="219" t="b">
        <v>0</v>
      </c>
      <c r="G49" s="219"/>
    </row>
    <row r="50">
      <c r="A50" s="218">
        <f t="shared" si="1"/>
        <v>49</v>
      </c>
      <c r="B50" s="218" t="s">
        <v>202</v>
      </c>
      <c r="C50" s="218" t="s">
        <v>1841</v>
      </c>
      <c r="D50" s="218" t="b">
        <v>1</v>
      </c>
      <c r="E50" s="219" t="b">
        <v>0</v>
      </c>
      <c r="F50" s="219" t="b">
        <v>0</v>
      </c>
      <c r="G50" s="219"/>
    </row>
    <row r="51">
      <c r="A51" s="218">
        <f t="shared" si="1"/>
        <v>50</v>
      </c>
      <c r="B51" s="218" t="s">
        <v>202</v>
      </c>
      <c r="C51" s="218" t="s">
        <v>743</v>
      </c>
      <c r="D51" s="218" t="b">
        <v>1</v>
      </c>
      <c r="E51" s="219" t="b">
        <v>0</v>
      </c>
      <c r="F51" s="219" t="b">
        <v>0</v>
      </c>
      <c r="G51" s="219"/>
    </row>
    <row r="52">
      <c r="A52" s="218">
        <f t="shared" si="1"/>
        <v>51</v>
      </c>
      <c r="B52" s="218" t="s">
        <v>202</v>
      </c>
      <c r="C52" s="218" t="s">
        <v>754</v>
      </c>
      <c r="D52" s="218" t="b">
        <v>1</v>
      </c>
      <c r="E52" s="219" t="b">
        <v>0</v>
      </c>
      <c r="F52" s="219" t="b">
        <v>0</v>
      </c>
      <c r="G52" s="219"/>
    </row>
    <row r="53">
      <c r="A53" s="218">
        <f t="shared" si="1"/>
        <v>52</v>
      </c>
      <c r="B53" s="218" t="s">
        <v>202</v>
      </c>
      <c r="C53" s="218" t="s">
        <v>749</v>
      </c>
      <c r="D53" s="218" t="b">
        <v>1</v>
      </c>
      <c r="E53" s="219" t="b">
        <v>0</v>
      </c>
      <c r="F53" s="219" t="b">
        <v>0</v>
      </c>
      <c r="G53" s="219"/>
    </row>
    <row r="54">
      <c r="A54" s="218">
        <f t="shared" si="1"/>
        <v>53</v>
      </c>
      <c r="B54" s="218" t="s">
        <v>202</v>
      </c>
      <c r="C54" s="218" t="s">
        <v>739</v>
      </c>
      <c r="D54" s="218" t="b">
        <v>1</v>
      </c>
      <c r="E54" s="219" t="b">
        <v>0</v>
      </c>
      <c r="F54" s="219" t="b">
        <v>0</v>
      </c>
      <c r="G54" s="219"/>
    </row>
    <row r="55">
      <c r="A55" s="218">
        <f t="shared" si="1"/>
        <v>54</v>
      </c>
      <c r="B55" s="218" t="s">
        <v>202</v>
      </c>
      <c r="C55" s="218" t="s">
        <v>734</v>
      </c>
      <c r="D55" s="218" t="b">
        <v>1</v>
      </c>
      <c r="E55" s="219" t="b">
        <v>0</v>
      </c>
      <c r="F55" s="219" t="b">
        <v>0</v>
      </c>
      <c r="G55" s="219"/>
    </row>
    <row r="56">
      <c r="A56" s="218">
        <f t="shared" si="1"/>
        <v>55</v>
      </c>
      <c r="B56" s="218" t="s">
        <v>202</v>
      </c>
      <c r="C56" s="218" t="s">
        <v>3296</v>
      </c>
      <c r="D56" s="218" t="b">
        <v>1</v>
      </c>
      <c r="E56" s="219" t="b">
        <v>0</v>
      </c>
      <c r="F56" s="219" t="b">
        <v>0</v>
      </c>
      <c r="G56" s="219"/>
    </row>
    <row r="57">
      <c r="A57" s="218">
        <f t="shared" si="1"/>
        <v>56</v>
      </c>
      <c r="B57" s="218" t="s">
        <v>202</v>
      </c>
      <c r="C57" s="218" t="s">
        <v>1423</v>
      </c>
      <c r="D57" s="218" t="b">
        <v>1</v>
      </c>
      <c r="E57" s="219" t="b">
        <v>0</v>
      </c>
      <c r="F57" s="219" t="b">
        <v>0</v>
      </c>
      <c r="G57" s="219"/>
    </row>
    <row r="58">
      <c r="A58" s="218">
        <f t="shared" si="1"/>
        <v>57</v>
      </c>
      <c r="B58" s="218" t="s">
        <v>202</v>
      </c>
      <c r="C58" s="218" t="s">
        <v>1970</v>
      </c>
      <c r="D58" s="218" t="b">
        <v>1</v>
      </c>
      <c r="E58" s="219" t="b">
        <v>0</v>
      </c>
      <c r="F58" s="219" t="b">
        <v>0</v>
      </c>
      <c r="G58" s="219"/>
    </row>
    <row r="59">
      <c r="A59" s="218">
        <f t="shared" si="1"/>
        <v>58</v>
      </c>
      <c r="B59" s="218" t="s">
        <v>202</v>
      </c>
      <c r="C59" s="218" t="s">
        <v>1374</v>
      </c>
      <c r="D59" s="218" t="b">
        <v>1</v>
      </c>
      <c r="E59" s="219" t="b">
        <v>0</v>
      </c>
      <c r="F59" s="219" t="b">
        <v>0</v>
      </c>
      <c r="G59" s="219"/>
    </row>
    <row r="60">
      <c r="A60" s="218">
        <f t="shared" si="1"/>
        <v>59</v>
      </c>
      <c r="B60" s="218" t="s">
        <v>202</v>
      </c>
      <c r="C60" s="218" t="s">
        <v>1642</v>
      </c>
      <c r="D60" s="218" t="b">
        <v>1</v>
      </c>
      <c r="E60" s="219" t="b">
        <v>0</v>
      </c>
      <c r="F60" s="219" t="b">
        <v>0</v>
      </c>
      <c r="G60" s="219"/>
    </row>
    <row r="61">
      <c r="A61" s="218">
        <f t="shared" si="1"/>
        <v>60</v>
      </c>
      <c r="B61" s="218" t="s">
        <v>202</v>
      </c>
      <c r="C61" s="218" t="s">
        <v>777</v>
      </c>
      <c r="D61" s="218" t="b">
        <v>1</v>
      </c>
      <c r="E61" s="219" t="b">
        <v>0</v>
      </c>
      <c r="F61" s="219" t="b">
        <v>0</v>
      </c>
      <c r="G61" s="219"/>
    </row>
    <row r="62">
      <c r="A62" s="218">
        <f t="shared" si="1"/>
        <v>61</v>
      </c>
      <c r="B62" s="218" t="s">
        <v>202</v>
      </c>
      <c r="C62" s="218" t="s">
        <v>777</v>
      </c>
      <c r="D62" s="218" t="b">
        <v>1</v>
      </c>
      <c r="E62" s="219" t="b">
        <v>0</v>
      </c>
      <c r="F62" s="219" t="b">
        <v>0</v>
      </c>
      <c r="G62" s="219"/>
    </row>
    <row r="63">
      <c r="A63" s="218">
        <f t="shared" si="1"/>
        <v>62</v>
      </c>
      <c r="B63" s="218" t="s">
        <v>202</v>
      </c>
      <c r="C63" s="218" t="s">
        <v>990</v>
      </c>
      <c r="D63" s="218" t="b">
        <v>1</v>
      </c>
      <c r="E63" s="219" t="b">
        <v>0</v>
      </c>
      <c r="F63" s="219" t="b">
        <v>0</v>
      </c>
      <c r="G63" s="219"/>
    </row>
    <row r="64">
      <c r="A64" s="218">
        <f t="shared" si="1"/>
        <v>63</v>
      </c>
      <c r="B64" s="218" t="s">
        <v>202</v>
      </c>
      <c r="C64" s="218" t="s">
        <v>887</v>
      </c>
      <c r="D64" s="218" t="b">
        <v>1</v>
      </c>
      <c r="E64" s="219" t="b">
        <v>0</v>
      </c>
      <c r="F64" s="219" t="b">
        <v>0</v>
      </c>
      <c r="G64" s="219"/>
    </row>
    <row r="65">
      <c r="A65" s="218">
        <f t="shared" si="1"/>
        <v>64</v>
      </c>
      <c r="B65" s="218" t="s">
        <v>202</v>
      </c>
      <c r="C65" s="218" t="s">
        <v>821</v>
      </c>
      <c r="D65" s="218" t="b">
        <v>1</v>
      </c>
      <c r="E65" s="219" t="b">
        <v>0</v>
      </c>
      <c r="F65" s="219" t="b">
        <v>0</v>
      </c>
      <c r="G65" s="219"/>
    </row>
    <row r="66">
      <c r="A66" s="218">
        <f t="shared" si="1"/>
        <v>65</v>
      </c>
      <c r="B66" s="218" t="s">
        <v>202</v>
      </c>
      <c r="C66" s="218" t="s">
        <v>2221</v>
      </c>
      <c r="D66" s="218" t="b">
        <v>1</v>
      </c>
      <c r="E66" s="219" t="b">
        <v>0</v>
      </c>
      <c r="F66" s="219" t="b">
        <v>0</v>
      </c>
      <c r="G66" s="219"/>
    </row>
    <row r="67">
      <c r="A67" s="218">
        <f t="shared" si="1"/>
        <v>66</v>
      </c>
      <c r="B67" s="218" t="s">
        <v>202</v>
      </c>
      <c r="C67" s="218" t="s">
        <v>985</v>
      </c>
      <c r="D67" s="218" t="b">
        <v>1</v>
      </c>
      <c r="E67" s="219" t="b">
        <v>0</v>
      </c>
      <c r="F67" s="219" t="b">
        <v>0</v>
      </c>
      <c r="G67" s="219"/>
    </row>
    <row r="68">
      <c r="A68" s="218">
        <f t="shared" si="1"/>
        <v>67</v>
      </c>
      <c r="B68" s="218" t="s">
        <v>202</v>
      </c>
      <c r="C68" s="218" t="s">
        <v>864</v>
      </c>
      <c r="D68" s="218" t="b">
        <v>1</v>
      </c>
      <c r="E68" s="219" t="b">
        <v>0</v>
      </c>
      <c r="F68" s="219" t="b">
        <v>0</v>
      </c>
      <c r="G68" s="219"/>
    </row>
    <row r="69">
      <c r="A69" s="218">
        <f t="shared" si="1"/>
        <v>68</v>
      </c>
      <c r="B69" s="218" t="s">
        <v>202</v>
      </c>
      <c r="C69" s="218" t="s">
        <v>850</v>
      </c>
      <c r="D69" s="218" t="b">
        <v>1</v>
      </c>
      <c r="E69" s="219" t="b">
        <v>0</v>
      </c>
      <c r="F69" s="219" t="b">
        <v>0</v>
      </c>
      <c r="G69" s="219"/>
    </row>
    <row r="70">
      <c r="A70" s="218">
        <f t="shared" si="1"/>
        <v>69</v>
      </c>
      <c r="B70" s="218" t="s">
        <v>202</v>
      </c>
      <c r="C70" s="218" t="s">
        <v>845</v>
      </c>
      <c r="D70" s="218" t="b">
        <v>1</v>
      </c>
      <c r="E70" s="219" t="b">
        <v>0</v>
      </c>
      <c r="F70" s="219" t="b">
        <v>0</v>
      </c>
      <c r="G70" s="219"/>
    </row>
    <row r="71">
      <c r="A71" s="218">
        <f t="shared" si="1"/>
        <v>70</v>
      </c>
      <c r="B71" s="218" t="s">
        <v>202</v>
      </c>
      <c r="C71" s="218" t="s">
        <v>1151</v>
      </c>
      <c r="D71" s="218" t="b">
        <v>1</v>
      </c>
      <c r="E71" s="219" t="b">
        <v>0</v>
      </c>
      <c r="F71" s="219" t="b">
        <v>0</v>
      </c>
      <c r="G71" s="219"/>
    </row>
    <row r="72">
      <c r="A72" s="218">
        <f t="shared" si="1"/>
        <v>71</v>
      </c>
      <c r="B72" s="218" t="s">
        <v>202</v>
      </c>
      <c r="C72" s="218" t="s">
        <v>912</v>
      </c>
      <c r="D72" s="218" t="b">
        <v>1</v>
      </c>
      <c r="E72" s="219" t="b">
        <v>0</v>
      </c>
      <c r="F72" s="219" t="b">
        <v>0</v>
      </c>
      <c r="G72" s="219"/>
    </row>
    <row r="73">
      <c r="A73" s="218">
        <f t="shared" si="1"/>
        <v>72</v>
      </c>
      <c r="B73" s="218" t="s">
        <v>202</v>
      </c>
      <c r="C73" s="218" t="s">
        <v>951</v>
      </c>
      <c r="D73" s="218" t="b">
        <v>1</v>
      </c>
      <c r="E73" s="219" t="b">
        <v>0</v>
      </c>
      <c r="F73" s="219" t="b">
        <v>0</v>
      </c>
      <c r="G73" s="219"/>
    </row>
    <row r="74">
      <c r="A74" s="218">
        <f t="shared" si="1"/>
        <v>73</v>
      </c>
      <c r="B74" s="218" t="s">
        <v>202</v>
      </c>
      <c r="C74" s="218" t="s">
        <v>892</v>
      </c>
      <c r="D74" s="218" t="b">
        <v>1</v>
      </c>
      <c r="E74" s="219" t="b">
        <v>0</v>
      </c>
      <c r="F74" s="219" t="b">
        <v>0</v>
      </c>
      <c r="G74" s="219"/>
    </row>
    <row r="75">
      <c r="A75" s="218">
        <f t="shared" si="1"/>
        <v>74</v>
      </c>
      <c r="B75" s="218" t="s">
        <v>202</v>
      </c>
      <c r="C75" s="218" t="s">
        <v>941</v>
      </c>
      <c r="D75" s="218" t="b">
        <v>1</v>
      </c>
      <c r="E75" s="219" t="b">
        <v>0</v>
      </c>
      <c r="F75" s="219" t="b">
        <v>0</v>
      </c>
      <c r="G75" s="219"/>
    </row>
    <row r="76">
      <c r="A76" s="218">
        <f t="shared" si="1"/>
        <v>75</v>
      </c>
      <c r="B76" s="218" t="s">
        <v>202</v>
      </c>
      <c r="C76" s="218" t="s">
        <v>946</v>
      </c>
      <c r="D76" s="218" t="b">
        <v>1</v>
      </c>
      <c r="E76" s="219" t="b">
        <v>0</v>
      </c>
      <c r="F76" s="219" t="b">
        <v>0</v>
      </c>
      <c r="G76" s="219"/>
    </row>
    <row r="77">
      <c r="A77" s="218">
        <f t="shared" si="1"/>
        <v>76</v>
      </c>
      <c r="B77" s="218" t="s">
        <v>202</v>
      </c>
      <c r="C77" s="218" t="s">
        <v>931</v>
      </c>
      <c r="D77" s="218" t="b">
        <v>1</v>
      </c>
      <c r="E77" s="219" t="b">
        <v>0</v>
      </c>
      <c r="F77" s="219" t="b">
        <v>0</v>
      </c>
      <c r="G77" s="219"/>
    </row>
    <row r="78">
      <c r="A78" s="218">
        <f t="shared" si="1"/>
        <v>77</v>
      </c>
      <c r="B78" s="218" t="s">
        <v>202</v>
      </c>
      <c r="C78" s="218" t="s">
        <v>5068</v>
      </c>
      <c r="D78" s="218" t="b">
        <v>1</v>
      </c>
      <c r="E78" s="219" t="b">
        <v>0</v>
      </c>
      <c r="F78" s="219" t="b">
        <v>0</v>
      </c>
      <c r="G78" s="219"/>
    </row>
    <row r="79">
      <c r="A79" s="218">
        <f t="shared" si="1"/>
        <v>78</v>
      </c>
      <c r="B79" s="218" t="s">
        <v>202</v>
      </c>
      <c r="C79" s="218" t="s">
        <v>2256</v>
      </c>
      <c r="D79" s="218" t="b">
        <v>1</v>
      </c>
      <c r="E79" s="219" t="b">
        <v>0</v>
      </c>
      <c r="F79" s="219" t="b">
        <v>0</v>
      </c>
      <c r="G79" s="219"/>
    </row>
    <row r="80">
      <c r="A80" s="218">
        <f t="shared" si="1"/>
        <v>79</v>
      </c>
      <c r="B80" s="218" t="s">
        <v>202</v>
      </c>
      <c r="C80" s="218" t="s">
        <v>1009</v>
      </c>
      <c r="D80" s="218" t="b">
        <v>1</v>
      </c>
      <c r="E80" s="219" t="b">
        <v>0</v>
      </c>
      <c r="F80" s="219" t="b">
        <v>0</v>
      </c>
      <c r="G80" s="219"/>
    </row>
    <row r="81">
      <c r="A81" s="218">
        <f t="shared" si="1"/>
        <v>80</v>
      </c>
      <c r="B81" s="218" t="s">
        <v>202</v>
      </c>
      <c r="C81" s="218" t="s">
        <v>980</v>
      </c>
      <c r="D81" s="218" t="b">
        <v>1</v>
      </c>
      <c r="E81" s="219" t="b">
        <v>0</v>
      </c>
      <c r="F81" s="219" t="b">
        <v>0</v>
      </c>
      <c r="G81" s="219"/>
    </row>
    <row r="82">
      <c r="A82" s="218">
        <f t="shared" si="1"/>
        <v>81</v>
      </c>
      <c r="B82" s="218" t="s">
        <v>202</v>
      </c>
      <c r="C82" s="218" t="s">
        <v>975</v>
      </c>
      <c r="D82" s="218" t="b">
        <v>1</v>
      </c>
      <c r="E82" s="219" t="b">
        <v>0</v>
      </c>
      <c r="F82" s="219" t="b">
        <v>0</v>
      </c>
      <c r="G82" s="219"/>
    </row>
    <row r="83">
      <c r="A83" s="218">
        <f t="shared" si="1"/>
        <v>82</v>
      </c>
      <c r="B83" s="218" t="s">
        <v>202</v>
      </c>
      <c r="C83" s="218" t="s">
        <v>1029</v>
      </c>
      <c r="D83" s="218" t="b">
        <v>1</v>
      </c>
      <c r="E83" s="219" t="b">
        <v>0</v>
      </c>
      <c r="F83" s="219" t="b">
        <v>0</v>
      </c>
      <c r="G83" s="219"/>
    </row>
    <row r="84">
      <c r="A84" s="218">
        <f t="shared" si="1"/>
        <v>83</v>
      </c>
      <c r="B84" s="218" t="s">
        <v>202</v>
      </c>
      <c r="C84" s="218" t="s">
        <v>1309</v>
      </c>
      <c r="D84" s="218" t="b">
        <v>1</v>
      </c>
      <c r="E84" s="219" t="b">
        <v>0</v>
      </c>
      <c r="F84" s="219" t="b">
        <v>0</v>
      </c>
      <c r="G84" s="219"/>
    </row>
    <row r="85">
      <c r="A85" s="218">
        <f t="shared" si="1"/>
        <v>84</v>
      </c>
      <c r="B85" s="218" t="s">
        <v>202</v>
      </c>
      <c r="C85" s="218" t="s">
        <v>1831</v>
      </c>
      <c r="D85" s="218" t="b">
        <v>1</v>
      </c>
      <c r="E85" s="219" t="b">
        <v>0</v>
      </c>
      <c r="F85" s="219" t="b">
        <v>0</v>
      </c>
      <c r="G85" s="219"/>
    </row>
    <row r="86">
      <c r="A86" s="218">
        <f t="shared" si="1"/>
        <v>85</v>
      </c>
      <c r="B86" s="218" t="s">
        <v>202</v>
      </c>
      <c r="C86" s="218" t="s">
        <v>1831</v>
      </c>
      <c r="D86" s="218" t="b">
        <v>1</v>
      </c>
      <c r="E86" s="219" t="b">
        <v>0</v>
      </c>
      <c r="F86" s="219" t="b">
        <v>0</v>
      </c>
      <c r="G86" s="219"/>
    </row>
    <row r="87">
      <c r="A87" s="218">
        <f t="shared" si="1"/>
        <v>86</v>
      </c>
      <c r="B87" s="218" t="s">
        <v>202</v>
      </c>
      <c r="C87" s="218" t="s">
        <v>4773</v>
      </c>
      <c r="D87" s="218" t="b">
        <v>1</v>
      </c>
      <c r="E87" s="219" t="b">
        <v>0</v>
      </c>
      <c r="F87" s="219" t="b">
        <v>0</v>
      </c>
      <c r="G87" s="219"/>
    </row>
    <row r="88">
      <c r="A88" s="218">
        <f t="shared" si="1"/>
        <v>87</v>
      </c>
      <c r="B88" s="218" t="s">
        <v>202</v>
      </c>
      <c r="C88" s="218" t="s">
        <v>1305</v>
      </c>
      <c r="D88" s="218" t="b">
        <v>1</v>
      </c>
      <c r="E88" s="219" t="b">
        <v>0</v>
      </c>
      <c r="F88" s="219" t="b">
        <v>0</v>
      </c>
      <c r="G88" s="219"/>
    </row>
    <row r="89">
      <c r="A89" s="218">
        <f t="shared" si="1"/>
        <v>88</v>
      </c>
      <c r="B89" s="218" t="s">
        <v>202</v>
      </c>
      <c r="C89" s="218" t="s">
        <v>3052</v>
      </c>
      <c r="D89" s="218" t="b">
        <v>1</v>
      </c>
      <c r="E89" s="219" t="b">
        <v>0</v>
      </c>
      <c r="F89" s="219" t="b">
        <v>0</v>
      </c>
      <c r="G89" s="219"/>
    </row>
    <row r="90">
      <c r="A90" s="218">
        <f t="shared" si="1"/>
        <v>89</v>
      </c>
      <c r="B90" s="218" t="s">
        <v>202</v>
      </c>
      <c r="C90" s="218" t="s">
        <v>1664</v>
      </c>
      <c r="D90" s="218" t="b">
        <v>1</v>
      </c>
      <c r="E90" s="219" t="b">
        <v>0</v>
      </c>
      <c r="F90" s="219" t="b">
        <v>0</v>
      </c>
      <c r="G90" s="219"/>
    </row>
    <row r="91">
      <c r="A91" s="218">
        <f t="shared" si="1"/>
        <v>90</v>
      </c>
      <c r="B91" s="218" t="s">
        <v>202</v>
      </c>
      <c r="C91" s="218" t="s">
        <v>2582</v>
      </c>
      <c r="D91" s="218" t="b">
        <v>1</v>
      </c>
      <c r="E91" s="219" t="b">
        <v>0</v>
      </c>
      <c r="F91" s="219" t="b">
        <v>0</v>
      </c>
      <c r="G91" s="219"/>
    </row>
    <row r="92">
      <c r="A92" s="218">
        <f t="shared" si="1"/>
        <v>91</v>
      </c>
      <c r="B92" s="218" t="s">
        <v>202</v>
      </c>
      <c r="C92" s="218" t="s">
        <v>4180</v>
      </c>
      <c r="D92" s="218" t="b">
        <v>1</v>
      </c>
      <c r="E92" s="219" t="b">
        <v>0</v>
      </c>
      <c r="F92" s="219" t="b">
        <v>0</v>
      </c>
      <c r="G92" s="219"/>
    </row>
    <row r="93">
      <c r="A93" s="218">
        <f t="shared" si="1"/>
        <v>92</v>
      </c>
      <c r="B93" s="218" t="s">
        <v>202</v>
      </c>
      <c r="C93" s="218" t="s">
        <v>2523</v>
      </c>
      <c r="D93" s="218" t="b">
        <v>1</v>
      </c>
      <c r="E93" s="219" t="b">
        <v>0</v>
      </c>
      <c r="F93" s="219" t="b">
        <v>0</v>
      </c>
      <c r="G93" s="219"/>
    </row>
    <row r="94">
      <c r="A94" s="218">
        <f t="shared" si="1"/>
        <v>93</v>
      </c>
      <c r="B94" s="218" t="s">
        <v>202</v>
      </c>
      <c r="C94" s="218" t="s">
        <v>1165</v>
      </c>
      <c r="D94" s="218" t="b">
        <v>1</v>
      </c>
      <c r="E94" s="219" t="b">
        <v>0</v>
      </c>
      <c r="F94" s="219" t="b">
        <v>0</v>
      </c>
      <c r="G94" s="219"/>
    </row>
    <row r="95">
      <c r="A95" s="218">
        <f t="shared" si="1"/>
        <v>94</v>
      </c>
      <c r="B95" s="218" t="s">
        <v>202</v>
      </c>
      <c r="C95" s="218" t="s">
        <v>1914</v>
      </c>
      <c r="D95" s="218" t="b">
        <v>1</v>
      </c>
      <c r="E95" s="219" t="b">
        <v>0</v>
      </c>
      <c r="F95" s="219" t="b">
        <v>0</v>
      </c>
      <c r="G95" s="219"/>
    </row>
    <row r="96">
      <c r="A96" s="218">
        <f t="shared" si="1"/>
        <v>95</v>
      </c>
      <c r="B96" s="218" t="s">
        <v>202</v>
      </c>
      <c r="C96" s="218" t="s">
        <v>1914</v>
      </c>
      <c r="D96" s="218" t="b">
        <v>1</v>
      </c>
      <c r="E96" s="219" t="b">
        <v>0</v>
      </c>
      <c r="F96" s="219" t="b">
        <v>0</v>
      </c>
      <c r="G96" s="219"/>
    </row>
    <row r="97">
      <c r="A97" s="218">
        <f t="shared" si="1"/>
        <v>96</v>
      </c>
      <c r="B97" s="218" t="s">
        <v>202</v>
      </c>
      <c r="C97" s="218" t="s">
        <v>535</v>
      </c>
      <c r="D97" s="218" t="b">
        <v>1</v>
      </c>
      <c r="E97" s="219" t="b">
        <v>0</v>
      </c>
      <c r="F97" s="219" t="b">
        <v>0</v>
      </c>
      <c r="G97" s="219"/>
    </row>
    <row r="98">
      <c r="A98" s="218">
        <f t="shared" si="1"/>
        <v>97</v>
      </c>
      <c r="B98" s="218" t="s">
        <v>202</v>
      </c>
      <c r="C98" s="218" t="s">
        <v>2782</v>
      </c>
      <c r="D98" s="218" t="b">
        <v>1</v>
      </c>
      <c r="E98" s="219" t="b">
        <v>0</v>
      </c>
      <c r="F98" s="219" t="b">
        <v>0</v>
      </c>
      <c r="G98" s="219"/>
    </row>
    <row r="99">
      <c r="A99" s="218">
        <f t="shared" si="1"/>
        <v>98</v>
      </c>
      <c r="B99" s="218" t="s">
        <v>202</v>
      </c>
      <c r="C99" s="218" t="s">
        <v>2207</v>
      </c>
      <c r="D99" s="218" t="b">
        <v>1</v>
      </c>
      <c r="E99" s="219" t="b">
        <v>0</v>
      </c>
      <c r="F99" s="219" t="b">
        <v>0</v>
      </c>
      <c r="G99" s="219"/>
    </row>
    <row r="100">
      <c r="A100" s="218">
        <f t="shared" si="1"/>
        <v>99</v>
      </c>
      <c r="B100" s="218" t="s">
        <v>202</v>
      </c>
      <c r="C100" s="218" t="s">
        <v>3633</v>
      </c>
      <c r="D100" s="218" t="b">
        <v>1</v>
      </c>
      <c r="E100" s="219" t="b">
        <v>0</v>
      </c>
      <c r="F100" s="219" t="b">
        <v>0</v>
      </c>
      <c r="G100" s="219"/>
    </row>
    <row r="101">
      <c r="A101" s="218">
        <f t="shared" si="1"/>
        <v>100</v>
      </c>
      <c r="B101" s="218" t="s">
        <v>202</v>
      </c>
      <c r="C101" s="218" t="s">
        <v>3633</v>
      </c>
      <c r="D101" s="218" t="b">
        <v>1</v>
      </c>
      <c r="E101" s="219" t="b">
        <v>0</v>
      </c>
      <c r="F101" s="219" t="b">
        <v>0</v>
      </c>
      <c r="G101" s="219"/>
    </row>
    <row r="102">
      <c r="A102" s="218">
        <f t="shared" si="1"/>
        <v>101</v>
      </c>
      <c r="B102" s="218" t="s">
        <v>202</v>
      </c>
      <c r="C102" s="218" t="s">
        <v>5498</v>
      </c>
      <c r="D102" s="218" t="b">
        <v>1</v>
      </c>
      <c r="E102" s="219" t="b">
        <v>0</v>
      </c>
      <c r="F102" s="219" t="b">
        <v>0</v>
      </c>
      <c r="G102" s="219"/>
    </row>
    <row r="103">
      <c r="A103" s="218">
        <f t="shared" si="1"/>
        <v>102</v>
      </c>
      <c r="B103" s="218" t="s">
        <v>202</v>
      </c>
      <c r="C103" s="218" t="s">
        <v>3273</v>
      </c>
      <c r="D103" s="218" t="b">
        <v>1</v>
      </c>
      <c r="E103" s="219" t="b">
        <v>0</v>
      </c>
      <c r="F103" s="219" t="b">
        <v>0</v>
      </c>
      <c r="G103" s="219"/>
    </row>
    <row r="104">
      <c r="A104" s="218">
        <f t="shared" si="1"/>
        <v>103</v>
      </c>
      <c r="B104" s="218" t="s">
        <v>202</v>
      </c>
      <c r="C104" s="218" t="s">
        <v>412</v>
      </c>
      <c r="D104" s="218" t="b">
        <v>1</v>
      </c>
      <c r="E104" s="219" t="b">
        <v>0</v>
      </c>
      <c r="F104" s="219" t="b">
        <v>0</v>
      </c>
      <c r="G104" s="219"/>
    </row>
    <row r="105">
      <c r="A105" s="218">
        <f t="shared" si="1"/>
        <v>104</v>
      </c>
      <c r="B105" s="218" t="s">
        <v>202</v>
      </c>
      <c r="C105" s="218" t="s">
        <v>3259</v>
      </c>
      <c r="D105" s="218" t="b">
        <v>1</v>
      </c>
      <c r="E105" s="219" t="b">
        <v>0</v>
      </c>
      <c r="F105" s="219" t="b">
        <v>0</v>
      </c>
      <c r="G105" s="219"/>
    </row>
    <row r="106">
      <c r="A106" s="218">
        <f t="shared" si="1"/>
        <v>105</v>
      </c>
      <c r="B106" s="218" t="s">
        <v>202</v>
      </c>
      <c r="C106" s="218" t="s">
        <v>4949</v>
      </c>
      <c r="D106" s="218" t="b">
        <v>1</v>
      </c>
      <c r="E106" s="219" t="b">
        <v>0</v>
      </c>
      <c r="F106" s="219" t="b">
        <v>0</v>
      </c>
      <c r="G106" s="219"/>
    </row>
    <row r="107">
      <c r="A107" s="218">
        <f t="shared" si="1"/>
        <v>106</v>
      </c>
      <c r="B107" s="218" t="s">
        <v>202</v>
      </c>
      <c r="C107" s="218" t="s">
        <v>792</v>
      </c>
      <c r="D107" s="218" t="b">
        <v>1</v>
      </c>
      <c r="E107" s="219" t="b">
        <v>0</v>
      </c>
      <c r="F107" s="219" t="b">
        <v>0</v>
      </c>
      <c r="G107" s="219"/>
    </row>
    <row r="108">
      <c r="A108" s="218">
        <f t="shared" si="1"/>
        <v>107</v>
      </c>
      <c r="B108" s="218" t="s">
        <v>202</v>
      </c>
      <c r="C108" s="218" t="s">
        <v>763</v>
      </c>
      <c r="D108" s="218" t="b">
        <v>1</v>
      </c>
      <c r="E108" s="219" t="b">
        <v>0</v>
      </c>
      <c r="F108" s="219" t="b">
        <v>0</v>
      </c>
      <c r="G108" s="219"/>
    </row>
    <row r="109">
      <c r="A109" s="218">
        <f t="shared" si="1"/>
        <v>108</v>
      </c>
      <c r="B109" s="218" t="s">
        <v>202</v>
      </c>
      <c r="C109" s="218" t="s">
        <v>758</v>
      </c>
      <c r="D109" s="218" t="b">
        <v>1</v>
      </c>
      <c r="E109" s="219" t="b">
        <v>0</v>
      </c>
      <c r="F109" s="219" t="b">
        <v>0</v>
      </c>
      <c r="G109" s="219"/>
    </row>
    <row r="110">
      <c r="A110" s="218">
        <f t="shared" si="1"/>
        <v>109</v>
      </c>
      <c r="B110" s="218" t="s">
        <v>202</v>
      </c>
      <c r="C110" s="218" t="s">
        <v>2318</v>
      </c>
      <c r="D110" s="218" t="b">
        <v>1</v>
      </c>
      <c r="E110" s="219" t="b">
        <v>0</v>
      </c>
      <c r="F110" s="219" t="b">
        <v>0</v>
      </c>
      <c r="G110" s="219"/>
    </row>
    <row r="111">
      <c r="A111" s="218">
        <f t="shared" si="1"/>
        <v>110</v>
      </c>
      <c r="B111" s="218" t="s">
        <v>202</v>
      </c>
      <c r="C111" s="218" t="s">
        <v>4122</v>
      </c>
      <c r="D111" s="218" t="b">
        <v>1</v>
      </c>
      <c r="E111" s="219" t="b">
        <v>0</v>
      </c>
      <c r="F111" s="219" t="b">
        <v>0</v>
      </c>
      <c r="G111" s="219"/>
    </row>
    <row r="112">
      <c r="A112" s="218">
        <f t="shared" si="1"/>
        <v>111</v>
      </c>
      <c r="B112" s="218" t="s">
        <v>202</v>
      </c>
      <c r="C112" s="218" t="s">
        <v>5134</v>
      </c>
      <c r="D112" s="218" t="b">
        <v>1</v>
      </c>
      <c r="E112" s="219" t="b">
        <v>0</v>
      </c>
      <c r="F112" s="219" t="b">
        <v>0</v>
      </c>
      <c r="G112" s="219"/>
    </row>
    <row r="113">
      <c r="A113" s="218">
        <f t="shared" si="1"/>
        <v>112</v>
      </c>
      <c r="B113" s="218" t="s">
        <v>202</v>
      </c>
      <c r="C113" s="218" t="s">
        <v>1188</v>
      </c>
      <c r="D113" s="218" t="b">
        <v>1</v>
      </c>
      <c r="E113" s="219" t="b">
        <v>0</v>
      </c>
      <c r="F113" s="219" t="b">
        <v>0</v>
      </c>
      <c r="G113" s="219"/>
    </row>
    <row r="114">
      <c r="A114" s="218">
        <f t="shared" si="1"/>
        <v>113</v>
      </c>
      <c r="B114" s="218" t="s">
        <v>202</v>
      </c>
      <c r="C114" s="218" t="s">
        <v>4738</v>
      </c>
      <c r="D114" s="218" t="b">
        <v>1</v>
      </c>
      <c r="E114" s="219" t="b">
        <v>0</v>
      </c>
      <c r="F114" s="219" t="b">
        <v>0</v>
      </c>
      <c r="G114" s="219"/>
    </row>
    <row r="115">
      <c r="A115" s="218">
        <f t="shared" si="1"/>
        <v>114</v>
      </c>
      <c r="B115" s="218" t="s">
        <v>202</v>
      </c>
      <c r="C115" s="218" t="s">
        <v>2024</v>
      </c>
      <c r="D115" s="218" t="b">
        <v>1</v>
      </c>
      <c r="E115" s="219" t="b">
        <v>0</v>
      </c>
      <c r="F115" s="219" t="b">
        <v>0</v>
      </c>
      <c r="G115" s="219"/>
    </row>
    <row r="116">
      <c r="A116" s="218">
        <f t="shared" si="1"/>
        <v>115</v>
      </c>
      <c r="B116" s="218" t="s">
        <v>202</v>
      </c>
      <c r="C116" s="218" t="s">
        <v>719</v>
      </c>
      <c r="D116" s="218" t="b">
        <v>1</v>
      </c>
      <c r="E116" s="219" t="b">
        <v>0</v>
      </c>
      <c r="F116" s="219" t="b">
        <v>0</v>
      </c>
      <c r="G116" s="219"/>
    </row>
    <row r="117">
      <c r="A117" s="218">
        <f t="shared" si="1"/>
        <v>116</v>
      </c>
      <c r="B117" s="218" t="s">
        <v>202</v>
      </c>
      <c r="C117" s="218" t="s">
        <v>917</v>
      </c>
      <c r="D117" s="218" t="b">
        <v>1</v>
      </c>
      <c r="E117" s="219" t="b">
        <v>0</v>
      </c>
      <c r="F117" s="219" t="b">
        <v>0</v>
      </c>
      <c r="G117" s="219"/>
    </row>
    <row r="118">
      <c r="A118" s="218">
        <f t="shared" si="1"/>
        <v>117</v>
      </c>
      <c r="B118" s="218" t="s">
        <v>202</v>
      </c>
      <c r="C118" s="218" t="s">
        <v>2144</v>
      </c>
      <c r="D118" s="218" t="b">
        <v>1</v>
      </c>
      <c r="E118" s="219" t="b">
        <v>0</v>
      </c>
      <c r="F118" s="219" t="b">
        <v>0</v>
      </c>
      <c r="G118" s="219"/>
    </row>
    <row r="119">
      <c r="A119" s="218">
        <f t="shared" si="1"/>
        <v>118</v>
      </c>
      <c r="B119" s="218" t="s">
        <v>202</v>
      </c>
      <c r="C119" s="218" t="s">
        <v>2154</v>
      </c>
      <c r="D119" s="218" t="b">
        <v>1</v>
      </c>
      <c r="E119" s="219" t="b">
        <v>0</v>
      </c>
      <c r="F119" s="219" t="b">
        <v>0</v>
      </c>
      <c r="G119" s="219"/>
    </row>
    <row r="120">
      <c r="A120" s="218">
        <f t="shared" si="1"/>
        <v>119</v>
      </c>
      <c r="B120" s="218" t="s">
        <v>202</v>
      </c>
      <c r="C120" s="218" t="s">
        <v>4881</v>
      </c>
      <c r="D120" s="218" t="b">
        <v>1</v>
      </c>
      <c r="E120" s="219" t="b">
        <v>0</v>
      </c>
      <c r="F120" s="219" t="b">
        <v>0</v>
      </c>
      <c r="G120" s="219"/>
    </row>
    <row r="121">
      <c r="A121" s="218">
        <f t="shared" si="1"/>
        <v>120</v>
      </c>
      <c r="B121" s="218" t="s">
        <v>202</v>
      </c>
      <c r="C121" s="218" t="s">
        <v>2741</v>
      </c>
      <c r="D121" s="218" t="b">
        <v>1</v>
      </c>
      <c r="E121" s="219" t="b">
        <v>0</v>
      </c>
      <c r="F121" s="219" t="b">
        <v>0</v>
      </c>
      <c r="G121" s="219"/>
    </row>
    <row r="122">
      <c r="A122" s="218">
        <f t="shared" si="1"/>
        <v>121</v>
      </c>
      <c r="B122" s="218" t="s">
        <v>202</v>
      </c>
      <c r="C122" s="218" t="s">
        <v>5191</v>
      </c>
      <c r="D122" s="218" t="b">
        <v>1</v>
      </c>
      <c r="E122" s="219" t="b">
        <v>0</v>
      </c>
      <c r="F122" s="219" t="b">
        <v>0</v>
      </c>
      <c r="G122" s="219"/>
    </row>
    <row r="123">
      <c r="A123" s="218">
        <f t="shared" si="1"/>
        <v>122</v>
      </c>
      <c r="B123" s="218" t="s">
        <v>202</v>
      </c>
      <c r="C123" s="218" t="s">
        <v>437</v>
      </c>
      <c r="D123" s="218" t="b">
        <v>1</v>
      </c>
      <c r="E123" s="219" t="b">
        <v>0</v>
      </c>
      <c r="F123" s="219" t="b">
        <v>0</v>
      </c>
      <c r="G123" s="219"/>
    </row>
    <row r="124">
      <c r="A124" s="218">
        <f t="shared" si="1"/>
        <v>123</v>
      </c>
      <c r="B124" s="218" t="s">
        <v>202</v>
      </c>
      <c r="C124" s="218" t="s">
        <v>2305</v>
      </c>
      <c r="D124" s="218" t="b">
        <v>1</v>
      </c>
      <c r="E124" s="219" t="b">
        <v>0</v>
      </c>
      <c r="F124" s="219" t="b">
        <v>0</v>
      </c>
      <c r="G124" s="219"/>
    </row>
    <row r="125">
      <c r="A125" s="218">
        <f t="shared" si="1"/>
        <v>124</v>
      </c>
      <c r="B125" s="218" t="s">
        <v>202</v>
      </c>
      <c r="C125" s="218" t="s">
        <v>1226</v>
      </c>
      <c r="D125" s="218" t="b">
        <v>1</v>
      </c>
      <c r="E125" s="219" t="b">
        <v>0</v>
      </c>
      <c r="F125" s="219" t="b">
        <v>0</v>
      </c>
      <c r="G125" s="219"/>
    </row>
    <row r="126">
      <c r="A126" s="218">
        <f t="shared" si="1"/>
        <v>125</v>
      </c>
      <c r="B126" s="218" t="s">
        <v>202</v>
      </c>
      <c r="C126" s="218" t="s">
        <v>4619</v>
      </c>
      <c r="D126" s="218" t="b">
        <v>1</v>
      </c>
      <c r="E126" s="219" t="b">
        <v>0</v>
      </c>
      <c r="F126" s="219" t="b">
        <v>0</v>
      </c>
      <c r="G126" s="219"/>
    </row>
    <row r="127">
      <c r="A127" s="218">
        <f t="shared" si="1"/>
        <v>126</v>
      </c>
      <c r="B127" s="218" t="s">
        <v>202</v>
      </c>
      <c r="C127" s="218" t="s">
        <v>4059</v>
      </c>
      <c r="D127" s="218" t="b">
        <v>1</v>
      </c>
      <c r="E127" s="219" t="b">
        <v>0</v>
      </c>
      <c r="F127" s="219" t="b">
        <v>0</v>
      </c>
      <c r="G127" s="219"/>
    </row>
    <row r="128">
      <c r="A128" s="218">
        <f t="shared" si="1"/>
        <v>127</v>
      </c>
      <c r="B128" s="218" t="s">
        <v>202</v>
      </c>
      <c r="C128" s="218" t="s">
        <v>5213</v>
      </c>
      <c r="D128" s="218" t="b">
        <v>1</v>
      </c>
      <c r="E128" s="219" t="b">
        <v>0</v>
      </c>
      <c r="F128" s="219" t="b">
        <v>0</v>
      </c>
      <c r="G128" s="219"/>
    </row>
    <row r="129">
      <c r="A129" s="218">
        <f t="shared" si="1"/>
        <v>128</v>
      </c>
      <c r="B129" s="218" t="s">
        <v>202</v>
      </c>
      <c r="C129" s="218" t="s">
        <v>1042</v>
      </c>
      <c r="D129" s="218" t="b">
        <v>1</v>
      </c>
      <c r="E129" s="219" t="b">
        <v>0</v>
      </c>
      <c r="F129" s="219" t="b">
        <v>0</v>
      </c>
      <c r="G129" s="219"/>
    </row>
    <row r="130">
      <c r="A130" s="218">
        <f t="shared" si="1"/>
        <v>129</v>
      </c>
      <c r="B130" s="218" t="s">
        <v>202</v>
      </c>
      <c r="C130" s="218" t="s">
        <v>5218</v>
      </c>
      <c r="D130" s="218" t="b">
        <v>1</v>
      </c>
      <c r="E130" s="219" t="b">
        <v>0</v>
      </c>
      <c r="F130" s="219" t="b">
        <v>0</v>
      </c>
      <c r="G130" s="219"/>
    </row>
    <row r="131">
      <c r="A131" s="218">
        <f t="shared" si="1"/>
        <v>130</v>
      </c>
      <c r="B131" s="218" t="s">
        <v>202</v>
      </c>
      <c r="C131" s="218" t="s">
        <v>2347</v>
      </c>
      <c r="D131" s="218" t="b">
        <v>1</v>
      </c>
      <c r="E131" s="219" t="b">
        <v>0</v>
      </c>
      <c r="F131" s="219" t="b">
        <v>0</v>
      </c>
      <c r="G131" s="219"/>
    </row>
    <row r="132">
      <c r="A132" s="218">
        <f t="shared" si="1"/>
        <v>131</v>
      </c>
      <c r="B132" s="218" t="s">
        <v>202</v>
      </c>
      <c r="C132" s="218" t="s">
        <v>1611</v>
      </c>
      <c r="D132" s="218" t="b">
        <v>1</v>
      </c>
      <c r="E132" s="219" t="b">
        <v>0</v>
      </c>
      <c r="F132" s="219" t="b">
        <v>0</v>
      </c>
      <c r="G132" s="219"/>
    </row>
    <row r="133">
      <c r="A133" s="218">
        <f t="shared" si="1"/>
        <v>132</v>
      </c>
      <c r="B133" s="218" t="s">
        <v>202</v>
      </c>
      <c r="C133" s="218" t="s">
        <v>3473</v>
      </c>
      <c r="D133" s="218" t="b">
        <v>1</v>
      </c>
      <c r="E133" s="219" t="b">
        <v>0</v>
      </c>
      <c r="F133" s="219" t="b">
        <v>0</v>
      </c>
      <c r="G133" s="219"/>
    </row>
    <row r="134">
      <c r="A134" s="218">
        <f t="shared" si="1"/>
        <v>133</v>
      </c>
      <c r="B134" s="218" t="s">
        <v>202</v>
      </c>
      <c r="C134" s="218" t="s">
        <v>1817</v>
      </c>
      <c r="D134" s="218" t="b">
        <v>1</v>
      </c>
      <c r="E134" s="219" t="b">
        <v>0</v>
      </c>
      <c r="F134" s="219" t="b">
        <v>0</v>
      </c>
      <c r="G134" s="219"/>
    </row>
    <row r="135">
      <c r="A135" s="218">
        <f t="shared" si="1"/>
        <v>134</v>
      </c>
      <c r="B135" s="218" t="s">
        <v>202</v>
      </c>
      <c r="C135" s="218" t="s">
        <v>2843</v>
      </c>
      <c r="D135" s="218" t="b">
        <v>1</v>
      </c>
      <c r="E135" s="219" t="b">
        <v>0</v>
      </c>
      <c r="F135" s="219" t="b">
        <v>0</v>
      </c>
      <c r="G135" s="219"/>
    </row>
    <row r="136">
      <c r="A136" s="218">
        <f t="shared" si="1"/>
        <v>135</v>
      </c>
      <c r="B136" s="218" t="s">
        <v>202</v>
      </c>
      <c r="C136" s="218" t="s">
        <v>622</v>
      </c>
      <c r="D136" s="218" t="b">
        <v>1</v>
      </c>
      <c r="E136" s="219" t="b">
        <v>0</v>
      </c>
      <c r="F136" s="219" t="b">
        <v>0</v>
      </c>
      <c r="G136" s="219"/>
    </row>
    <row r="137">
      <c r="A137" s="218">
        <f t="shared" si="1"/>
        <v>136</v>
      </c>
      <c r="B137" s="218" t="s">
        <v>202</v>
      </c>
      <c r="C137" s="218" t="s">
        <v>3835</v>
      </c>
      <c r="D137" s="218" t="b">
        <v>1</v>
      </c>
      <c r="E137" s="219" t="b">
        <v>0</v>
      </c>
      <c r="F137" s="219" t="b">
        <v>0</v>
      </c>
      <c r="G137" s="219"/>
    </row>
    <row r="138">
      <c r="A138" s="218">
        <f t="shared" si="1"/>
        <v>137</v>
      </c>
      <c r="B138" s="218" t="s">
        <v>202</v>
      </c>
      <c r="C138" s="218" t="s">
        <v>1275</v>
      </c>
      <c r="D138" s="218" t="b">
        <v>1</v>
      </c>
      <c r="E138" s="219" t="b">
        <v>0</v>
      </c>
      <c r="F138" s="219" t="b">
        <v>0</v>
      </c>
      <c r="G138" s="219"/>
    </row>
    <row r="139">
      <c r="A139" s="218">
        <f t="shared" si="1"/>
        <v>138</v>
      </c>
      <c r="B139" s="218" t="s">
        <v>202</v>
      </c>
      <c r="C139" s="218" t="s">
        <v>476</v>
      </c>
      <c r="D139" s="218" t="b">
        <v>1</v>
      </c>
      <c r="E139" s="219" t="b">
        <v>0</v>
      </c>
      <c r="F139" s="219" t="b">
        <v>0</v>
      </c>
      <c r="G139" s="219"/>
    </row>
    <row r="140">
      <c r="A140" s="218">
        <f t="shared" si="1"/>
        <v>139</v>
      </c>
      <c r="B140" s="218" t="s">
        <v>202</v>
      </c>
      <c r="C140" s="218" t="s">
        <v>1545</v>
      </c>
      <c r="D140" s="218" t="b">
        <v>1</v>
      </c>
      <c r="E140" s="219" t="b">
        <v>0</v>
      </c>
      <c r="F140" s="219" t="b">
        <v>0</v>
      </c>
      <c r="G140" s="219"/>
    </row>
    <row r="141">
      <c r="A141" s="218">
        <f t="shared" si="1"/>
        <v>140</v>
      </c>
      <c r="B141" s="218" t="s">
        <v>202</v>
      </c>
      <c r="C141" s="218" t="s">
        <v>4746</v>
      </c>
      <c r="D141" s="218" t="b">
        <v>1</v>
      </c>
      <c r="E141" s="219" t="b">
        <v>0</v>
      </c>
      <c r="F141" s="219" t="b">
        <v>0</v>
      </c>
      <c r="G141" s="219"/>
    </row>
    <row r="142">
      <c r="A142" s="218">
        <f t="shared" si="1"/>
        <v>141</v>
      </c>
      <c r="B142" s="218" t="s">
        <v>202</v>
      </c>
      <c r="C142" s="218" t="s">
        <v>1647</v>
      </c>
      <c r="D142" s="218" t="b">
        <v>1</v>
      </c>
      <c r="E142" s="219" t="b">
        <v>0</v>
      </c>
      <c r="F142" s="219" t="b">
        <v>0</v>
      </c>
      <c r="G142" s="219"/>
    </row>
    <row r="143">
      <c r="A143" s="218">
        <f t="shared" si="1"/>
        <v>142</v>
      </c>
      <c r="B143" s="218" t="s">
        <v>202</v>
      </c>
      <c r="C143" s="218" t="s">
        <v>2863</v>
      </c>
      <c r="D143" s="218" t="b">
        <v>1</v>
      </c>
      <c r="E143" s="219" t="b">
        <v>0</v>
      </c>
      <c r="F143" s="219" t="b">
        <v>0</v>
      </c>
      <c r="G143" s="219"/>
    </row>
    <row r="144">
      <c r="A144" s="218">
        <f t="shared" si="1"/>
        <v>143</v>
      </c>
      <c r="B144" s="218" t="s">
        <v>202</v>
      </c>
      <c r="C144" s="218" t="s">
        <v>1607</v>
      </c>
      <c r="D144" s="218" t="b">
        <v>1</v>
      </c>
      <c r="E144" s="219" t="b">
        <v>0</v>
      </c>
      <c r="F144" s="219" t="b">
        <v>0</v>
      </c>
      <c r="G144" s="219"/>
    </row>
    <row r="145">
      <c r="A145" s="218">
        <f t="shared" si="1"/>
        <v>144</v>
      </c>
      <c r="B145" s="218" t="s">
        <v>202</v>
      </c>
      <c r="C145" s="218" t="s">
        <v>1603</v>
      </c>
      <c r="D145" s="218" t="b">
        <v>1</v>
      </c>
      <c r="E145" s="219" t="b">
        <v>0</v>
      </c>
      <c r="F145" s="219" t="b">
        <v>0</v>
      </c>
      <c r="G145" s="219"/>
    </row>
    <row r="146">
      <c r="A146" s="218">
        <f t="shared" si="1"/>
        <v>145</v>
      </c>
      <c r="B146" s="218" t="s">
        <v>202</v>
      </c>
      <c r="C146" s="218" t="s">
        <v>1598</v>
      </c>
      <c r="D146" s="218" t="b">
        <v>1</v>
      </c>
      <c r="E146" s="219" t="b">
        <v>0</v>
      </c>
      <c r="F146" s="219" t="b">
        <v>0</v>
      </c>
      <c r="G146" s="219"/>
    </row>
    <row r="147">
      <c r="A147" s="218">
        <f t="shared" si="1"/>
        <v>146</v>
      </c>
      <c r="B147" s="218" t="s">
        <v>202</v>
      </c>
      <c r="C147" s="218" t="s">
        <v>2858</v>
      </c>
      <c r="D147" s="218" t="b">
        <v>1</v>
      </c>
      <c r="E147" s="219" t="b">
        <v>0</v>
      </c>
      <c r="F147" s="219" t="b">
        <v>0</v>
      </c>
      <c r="G147" s="219"/>
    </row>
    <row r="148">
      <c r="A148" s="218">
        <f t="shared" si="1"/>
        <v>147</v>
      </c>
      <c r="B148" s="218" t="s">
        <v>202</v>
      </c>
      <c r="C148" s="218" t="s">
        <v>1846</v>
      </c>
      <c r="D148" s="218" t="b">
        <v>1</v>
      </c>
      <c r="E148" s="219" t="b">
        <v>0</v>
      </c>
      <c r="F148" s="219" t="b">
        <v>0</v>
      </c>
      <c r="G148" s="219"/>
    </row>
    <row r="149">
      <c r="A149" s="218">
        <f t="shared" si="1"/>
        <v>148</v>
      </c>
      <c r="B149" s="218" t="s">
        <v>202</v>
      </c>
      <c r="C149" s="218" t="s">
        <v>1672</v>
      </c>
      <c r="D149" s="218" t="b">
        <v>1</v>
      </c>
      <c r="E149" s="219" t="b">
        <v>0</v>
      </c>
      <c r="F149" s="219" t="b">
        <v>0</v>
      </c>
      <c r="G149" s="219"/>
    </row>
    <row r="150">
      <c r="A150" s="218">
        <f t="shared" si="1"/>
        <v>149</v>
      </c>
      <c r="B150" s="218" t="s">
        <v>202</v>
      </c>
      <c r="C150" s="218" t="s">
        <v>1333</v>
      </c>
      <c r="D150" s="218" t="b">
        <v>1</v>
      </c>
      <c r="E150" s="219" t="b">
        <v>0</v>
      </c>
      <c r="F150" s="219" t="b">
        <v>0</v>
      </c>
      <c r="G150" s="219"/>
    </row>
    <row r="151">
      <c r="A151" s="218">
        <f t="shared" si="1"/>
        <v>150</v>
      </c>
      <c r="B151" s="218" t="s">
        <v>202</v>
      </c>
      <c r="C151" s="218" t="s">
        <v>1595</v>
      </c>
      <c r="D151" s="218" t="b">
        <v>1</v>
      </c>
      <c r="E151" s="219" t="b">
        <v>0</v>
      </c>
      <c r="F151" s="219" t="b">
        <v>0</v>
      </c>
      <c r="G151" s="219"/>
    </row>
    <row r="152">
      <c r="A152" s="218">
        <f t="shared" si="1"/>
        <v>151</v>
      </c>
      <c r="B152" s="218" t="s">
        <v>202</v>
      </c>
      <c r="C152" s="218" t="s">
        <v>1659</v>
      </c>
      <c r="D152" s="218" t="b">
        <v>1</v>
      </c>
      <c r="E152" s="219" t="b">
        <v>0</v>
      </c>
      <c r="F152" s="219" t="b">
        <v>0</v>
      </c>
      <c r="G152" s="219"/>
    </row>
    <row r="153">
      <c r="A153" s="218">
        <f t="shared" si="1"/>
        <v>152</v>
      </c>
      <c r="B153" s="218" t="s">
        <v>202</v>
      </c>
      <c r="C153" s="218" t="s">
        <v>3544</v>
      </c>
      <c r="D153" s="218" t="b">
        <v>1</v>
      </c>
      <c r="E153" s="219" t="b">
        <v>0</v>
      </c>
      <c r="F153" s="219" t="b">
        <v>0</v>
      </c>
      <c r="G153" s="219"/>
    </row>
    <row r="154">
      <c r="A154" s="218">
        <f t="shared" si="1"/>
        <v>153</v>
      </c>
      <c r="B154" s="218" t="s">
        <v>202</v>
      </c>
      <c r="C154" s="218" t="s">
        <v>1630</v>
      </c>
      <c r="D154" s="218" t="b">
        <v>1</v>
      </c>
      <c r="E154" s="219" t="b">
        <v>0</v>
      </c>
      <c r="F154" s="219" t="b">
        <v>0</v>
      </c>
      <c r="G154" s="219"/>
    </row>
    <row r="155">
      <c r="A155" s="218">
        <f t="shared" si="1"/>
        <v>154</v>
      </c>
      <c r="B155" s="218" t="s">
        <v>202</v>
      </c>
      <c r="C155" s="218" t="s">
        <v>3183</v>
      </c>
      <c r="D155" s="218" t="b">
        <v>1</v>
      </c>
      <c r="E155" s="219" t="b">
        <v>0</v>
      </c>
      <c r="F155" s="219" t="b">
        <v>0</v>
      </c>
      <c r="G155" s="219"/>
    </row>
    <row r="156">
      <c r="A156" s="218">
        <f t="shared" si="1"/>
        <v>155</v>
      </c>
      <c r="B156" s="218" t="s">
        <v>202</v>
      </c>
      <c r="C156" s="218" t="s">
        <v>1655</v>
      </c>
      <c r="D156" s="218" t="b">
        <v>1</v>
      </c>
      <c r="E156" s="219" t="b">
        <v>0</v>
      </c>
      <c r="F156" s="219" t="b">
        <v>0</v>
      </c>
      <c r="G156" s="219"/>
    </row>
    <row r="157">
      <c r="A157" s="218">
        <f t="shared" si="1"/>
        <v>156</v>
      </c>
      <c r="B157" s="218" t="s">
        <v>202</v>
      </c>
      <c r="C157" s="218" t="s">
        <v>4509</v>
      </c>
      <c r="D157" s="218" t="b">
        <v>1</v>
      </c>
      <c r="E157" s="219" t="b">
        <v>0</v>
      </c>
      <c r="F157" s="219" t="b">
        <v>0</v>
      </c>
      <c r="G157" s="219"/>
    </row>
    <row r="158">
      <c r="A158" s="218">
        <f t="shared" si="1"/>
        <v>157</v>
      </c>
      <c r="B158" s="218" t="s">
        <v>202</v>
      </c>
      <c r="C158" s="218" t="s">
        <v>550</v>
      </c>
      <c r="D158" s="218" t="b">
        <v>1</v>
      </c>
      <c r="E158" s="219" t="b">
        <v>0</v>
      </c>
      <c r="F158" s="219" t="b">
        <v>0</v>
      </c>
      <c r="G158" s="219"/>
    </row>
    <row r="159">
      <c r="A159" s="218">
        <f t="shared" si="1"/>
        <v>158</v>
      </c>
      <c r="B159" s="218" t="s">
        <v>202</v>
      </c>
      <c r="C159" s="218" t="s">
        <v>1763</v>
      </c>
      <c r="D159" s="218" t="b">
        <v>1</v>
      </c>
      <c r="E159" s="219" t="b">
        <v>0</v>
      </c>
      <c r="F159" s="219" t="b">
        <v>0</v>
      </c>
      <c r="G159" s="219"/>
    </row>
    <row r="160">
      <c r="A160" s="218">
        <f t="shared" si="1"/>
        <v>159</v>
      </c>
      <c r="B160" s="218" t="s">
        <v>202</v>
      </c>
      <c r="C160" s="218" t="s">
        <v>1763</v>
      </c>
      <c r="D160" s="218" t="b">
        <v>1</v>
      </c>
      <c r="E160" s="219" t="b">
        <v>0</v>
      </c>
      <c r="F160" s="219" t="b">
        <v>0</v>
      </c>
      <c r="G160" s="219"/>
    </row>
    <row r="161">
      <c r="A161" s="218">
        <f t="shared" si="1"/>
        <v>160</v>
      </c>
      <c r="B161" s="218" t="s">
        <v>202</v>
      </c>
      <c r="C161" s="218" t="s">
        <v>1313</v>
      </c>
      <c r="D161" s="218" t="b">
        <v>1</v>
      </c>
      <c r="E161" s="219" t="b">
        <v>0</v>
      </c>
      <c r="F161" s="219" t="b">
        <v>0</v>
      </c>
      <c r="G161" s="219"/>
    </row>
    <row r="162">
      <c r="A162" s="218">
        <f t="shared" si="1"/>
        <v>161</v>
      </c>
      <c r="B162" s="218" t="s">
        <v>202</v>
      </c>
      <c r="C162" s="218" t="s">
        <v>2645</v>
      </c>
      <c r="D162" s="218" t="b">
        <v>1</v>
      </c>
      <c r="E162" s="219" t="b">
        <v>0</v>
      </c>
      <c r="F162" s="219" t="b">
        <v>0</v>
      </c>
      <c r="G162" s="219"/>
    </row>
    <row r="163">
      <c r="A163" s="218">
        <f t="shared" si="1"/>
        <v>162</v>
      </c>
      <c r="B163" s="218" t="s">
        <v>202</v>
      </c>
      <c r="C163" s="218" t="s">
        <v>2959</v>
      </c>
      <c r="D163" s="218" t="b">
        <v>1</v>
      </c>
      <c r="E163" s="219" t="b">
        <v>0</v>
      </c>
      <c r="F163" s="219" t="b">
        <v>0</v>
      </c>
      <c r="G163" s="219"/>
    </row>
    <row r="164">
      <c r="A164" s="218">
        <f t="shared" si="1"/>
        <v>163</v>
      </c>
      <c r="B164" s="218" t="s">
        <v>202</v>
      </c>
      <c r="C164" s="218" t="s">
        <v>6158</v>
      </c>
      <c r="D164" s="218" t="b">
        <v>1</v>
      </c>
      <c r="E164" s="219" t="b">
        <v>0</v>
      </c>
      <c r="F164" s="219" t="b">
        <v>0</v>
      </c>
      <c r="G164" s="219"/>
    </row>
    <row r="165">
      <c r="A165" s="218">
        <f t="shared" si="1"/>
        <v>164</v>
      </c>
      <c r="B165" s="218" t="s">
        <v>202</v>
      </c>
      <c r="C165" s="218" t="s">
        <v>1355</v>
      </c>
      <c r="D165" s="218" t="b">
        <v>1</v>
      </c>
      <c r="E165" s="219" t="b">
        <v>0</v>
      </c>
      <c r="F165" s="219" t="b">
        <v>0</v>
      </c>
      <c r="G165" s="219"/>
    </row>
    <row r="166">
      <c r="A166" s="218">
        <f t="shared" si="1"/>
        <v>165</v>
      </c>
      <c r="B166" s="218" t="s">
        <v>202</v>
      </c>
      <c r="C166" s="218" t="s">
        <v>1197</v>
      </c>
      <c r="D166" s="218" t="b">
        <v>1</v>
      </c>
      <c r="E166" s="219" t="b">
        <v>0</v>
      </c>
      <c r="F166" s="219" t="b">
        <v>0</v>
      </c>
      <c r="G166" s="219"/>
    </row>
    <row r="167">
      <c r="A167" s="218">
        <f t="shared" si="1"/>
        <v>166</v>
      </c>
      <c r="B167" s="218" t="s">
        <v>202</v>
      </c>
      <c r="C167" s="218" t="s">
        <v>1197</v>
      </c>
      <c r="D167" s="218" t="b">
        <v>1</v>
      </c>
      <c r="E167" s="219" t="b">
        <v>0</v>
      </c>
      <c r="F167" s="219" t="b">
        <v>0</v>
      </c>
      <c r="G167" s="219"/>
    </row>
    <row r="168">
      <c r="A168" s="218">
        <f t="shared" si="1"/>
        <v>167</v>
      </c>
      <c r="B168" s="218" t="s">
        <v>202</v>
      </c>
      <c r="C168" s="218" t="s">
        <v>377</v>
      </c>
      <c r="D168" s="218" t="b">
        <v>1</v>
      </c>
      <c r="E168" s="219" t="b">
        <v>0</v>
      </c>
      <c r="F168" s="219" t="b">
        <v>0</v>
      </c>
      <c r="G168" s="219"/>
    </row>
    <row r="169">
      <c r="A169" s="218">
        <f t="shared" si="1"/>
        <v>168</v>
      </c>
      <c r="B169" s="218" t="s">
        <v>202</v>
      </c>
      <c r="C169" s="218" t="s">
        <v>1768</v>
      </c>
      <c r="D169" s="218" t="b">
        <v>1</v>
      </c>
      <c r="E169" s="219" t="b">
        <v>0</v>
      </c>
      <c r="F169" s="219" t="b">
        <v>0</v>
      </c>
      <c r="G169" s="219"/>
    </row>
    <row r="170">
      <c r="A170" s="218">
        <f t="shared" si="1"/>
        <v>169</v>
      </c>
      <c r="B170" s="218" t="s">
        <v>202</v>
      </c>
      <c r="C170" s="218" t="s">
        <v>1759</v>
      </c>
      <c r="D170" s="218" t="b">
        <v>1</v>
      </c>
      <c r="E170" s="219" t="b">
        <v>0</v>
      </c>
      <c r="F170" s="219" t="b">
        <v>0</v>
      </c>
      <c r="G170" s="219"/>
    </row>
    <row r="171">
      <c r="A171" s="218">
        <f t="shared" si="1"/>
        <v>170</v>
      </c>
      <c r="B171" s="218" t="s">
        <v>202</v>
      </c>
      <c r="C171" s="218" t="s">
        <v>1754</v>
      </c>
      <c r="D171" s="218" t="b">
        <v>1</v>
      </c>
      <c r="E171" s="219" t="b">
        <v>0</v>
      </c>
      <c r="F171" s="219" t="b">
        <v>0</v>
      </c>
      <c r="G171" s="219"/>
    </row>
    <row r="172">
      <c r="A172" s="218">
        <f t="shared" si="1"/>
        <v>171</v>
      </c>
      <c r="B172" s="218" t="s">
        <v>202</v>
      </c>
      <c r="C172" s="218" t="s">
        <v>3233</v>
      </c>
      <c r="D172" s="218" t="b">
        <v>1</v>
      </c>
      <c r="E172" s="219" t="b">
        <v>0</v>
      </c>
      <c r="F172" s="219" t="b">
        <v>0</v>
      </c>
      <c r="G172" s="219"/>
    </row>
    <row r="173">
      <c r="A173" s="218">
        <f t="shared" si="1"/>
        <v>172</v>
      </c>
      <c r="B173" s="218" t="s">
        <v>202</v>
      </c>
      <c r="C173" s="218" t="s">
        <v>1211</v>
      </c>
      <c r="D173" s="218" t="b">
        <v>1</v>
      </c>
      <c r="E173" s="219" t="b">
        <v>0</v>
      </c>
      <c r="F173" s="219" t="b">
        <v>0</v>
      </c>
      <c r="G173" s="219"/>
    </row>
    <row r="174">
      <c r="A174" s="218">
        <f t="shared" si="1"/>
        <v>173</v>
      </c>
      <c r="B174" s="218" t="s">
        <v>202</v>
      </c>
      <c r="C174" s="218" t="s">
        <v>4075</v>
      </c>
      <c r="D174" s="218" t="b">
        <v>1</v>
      </c>
      <c r="E174" s="219" t="b">
        <v>0</v>
      </c>
      <c r="F174" s="219" t="b">
        <v>0</v>
      </c>
      <c r="G174" s="219"/>
    </row>
    <row r="175">
      <c r="A175" s="218">
        <f t="shared" si="1"/>
        <v>174</v>
      </c>
      <c r="B175" s="218" t="s">
        <v>202</v>
      </c>
      <c r="C175" s="218" t="s">
        <v>2000</v>
      </c>
      <c r="D175" s="218" t="b">
        <v>1</v>
      </c>
      <c r="E175" s="219" t="b">
        <v>0</v>
      </c>
      <c r="F175" s="219" t="b">
        <v>0</v>
      </c>
      <c r="G175" s="219"/>
    </row>
    <row r="176">
      <c r="A176" s="218">
        <f t="shared" si="1"/>
        <v>175</v>
      </c>
      <c r="B176" s="218" t="s">
        <v>202</v>
      </c>
      <c r="C176" s="218" t="s">
        <v>2777</v>
      </c>
      <c r="D176" s="218" t="b">
        <v>1</v>
      </c>
      <c r="E176" s="219" t="b">
        <v>0</v>
      </c>
      <c r="F176" s="219" t="b">
        <v>0</v>
      </c>
      <c r="G176" s="219"/>
    </row>
    <row r="177">
      <c r="A177" s="218">
        <f t="shared" si="1"/>
        <v>176</v>
      </c>
      <c r="B177" s="218" t="s">
        <v>202</v>
      </c>
      <c r="C177" s="218" t="s">
        <v>2777</v>
      </c>
      <c r="D177" s="218" t="b">
        <v>1</v>
      </c>
      <c r="E177" s="219" t="b">
        <v>0</v>
      </c>
      <c r="F177" s="219" t="b">
        <v>0</v>
      </c>
      <c r="G177" s="219"/>
    </row>
    <row r="178">
      <c r="A178" s="218">
        <f t="shared" si="1"/>
        <v>177</v>
      </c>
      <c r="B178" s="218" t="s">
        <v>202</v>
      </c>
      <c r="C178" s="218" t="s">
        <v>2216</v>
      </c>
      <c r="D178" s="218" t="b">
        <v>1</v>
      </c>
      <c r="E178" s="219" t="b">
        <v>0</v>
      </c>
      <c r="F178" s="219" t="b">
        <v>0</v>
      </c>
      <c r="G178" s="219"/>
    </row>
    <row r="179">
      <c r="A179" s="218">
        <f t="shared" si="1"/>
        <v>178</v>
      </c>
      <c r="B179" s="218" t="s">
        <v>202</v>
      </c>
      <c r="C179" s="218" t="s">
        <v>1879</v>
      </c>
      <c r="D179" s="218" t="b">
        <v>1</v>
      </c>
      <c r="E179" s="219" t="b">
        <v>0</v>
      </c>
      <c r="F179" s="219" t="b">
        <v>0</v>
      </c>
      <c r="G179" s="219"/>
    </row>
    <row r="180">
      <c r="A180" s="218">
        <f t="shared" si="1"/>
        <v>179</v>
      </c>
      <c r="B180" s="218" t="s">
        <v>202</v>
      </c>
      <c r="C180" s="218" t="s">
        <v>530</v>
      </c>
      <c r="D180" s="218" t="b">
        <v>1</v>
      </c>
      <c r="E180" s="219" t="b">
        <v>0</v>
      </c>
      <c r="F180" s="219" t="b">
        <v>0</v>
      </c>
      <c r="G180" s="219"/>
    </row>
    <row r="181">
      <c r="A181" s="218">
        <f t="shared" si="1"/>
        <v>180</v>
      </c>
      <c r="B181" s="218" t="s">
        <v>202</v>
      </c>
      <c r="C181" s="218" t="s">
        <v>3000</v>
      </c>
      <c r="D181" s="218" t="b">
        <v>1</v>
      </c>
      <c r="E181" s="219" t="b">
        <v>0</v>
      </c>
      <c r="F181" s="219" t="b">
        <v>0</v>
      </c>
      <c r="G181" s="219"/>
    </row>
    <row r="182">
      <c r="A182" s="218">
        <f t="shared" si="1"/>
        <v>181</v>
      </c>
      <c r="B182" s="218" t="s">
        <v>202</v>
      </c>
      <c r="C182" s="218" t="s">
        <v>3624</v>
      </c>
      <c r="D182" s="218" t="b">
        <v>1</v>
      </c>
      <c r="E182" s="219" t="b">
        <v>0</v>
      </c>
      <c r="F182" s="219" t="b">
        <v>0</v>
      </c>
      <c r="G182" s="219"/>
    </row>
    <row r="183">
      <c r="A183" s="218">
        <f t="shared" si="1"/>
        <v>182</v>
      </c>
      <c r="B183" s="218" t="s">
        <v>202</v>
      </c>
      <c r="C183" s="218" t="s">
        <v>1452</v>
      </c>
      <c r="D183" s="218" t="b">
        <v>1</v>
      </c>
      <c r="E183" s="219" t="b">
        <v>0</v>
      </c>
      <c r="F183" s="219" t="b">
        <v>0</v>
      </c>
      <c r="G183" s="219"/>
    </row>
    <row r="184">
      <c r="A184" s="218">
        <f t="shared" si="1"/>
        <v>183</v>
      </c>
      <c r="B184" s="218" t="s">
        <v>202</v>
      </c>
      <c r="C184" s="218" t="s">
        <v>3425</v>
      </c>
      <c r="D184" s="218" t="b">
        <v>1</v>
      </c>
      <c r="E184" s="219" t="b">
        <v>0</v>
      </c>
      <c r="F184" s="219" t="b">
        <v>0</v>
      </c>
      <c r="G184" s="219"/>
    </row>
    <row r="185">
      <c r="A185" s="218">
        <f t="shared" si="1"/>
        <v>184</v>
      </c>
      <c r="B185" s="218" t="s">
        <v>202</v>
      </c>
      <c r="C185" s="218" t="s">
        <v>3963</v>
      </c>
      <c r="D185" s="218" t="b">
        <v>1</v>
      </c>
      <c r="E185" s="219" t="b">
        <v>0</v>
      </c>
      <c r="F185" s="219" t="b">
        <v>0</v>
      </c>
      <c r="G185" s="219"/>
    </row>
    <row r="186">
      <c r="A186" s="218">
        <f t="shared" si="1"/>
        <v>185</v>
      </c>
      <c r="B186" s="218" t="s">
        <v>202</v>
      </c>
      <c r="C186" s="218" t="s">
        <v>5169</v>
      </c>
      <c r="D186" s="218" t="b">
        <v>1</v>
      </c>
      <c r="E186" s="219" t="b">
        <v>0</v>
      </c>
      <c r="F186" s="219" t="b">
        <v>0</v>
      </c>
      <c r="G186" s="219"/>
    </row>
    <row r="187">
      <c r="A187" s="218">
        <f t="shared" si="1"/>
        <v>186</v>
      </c>
      <c r="B187" s="218" t="s">
        <v>202</v>
      </c>
      <c r="C187" s="218" t="s">
        <v>5169</v>
      </c>
      <c r="D187" s="218" t="b">
        <v>1</v>
      </c>
      <c r="E187" s="219" t="b">
        <v>0</v>
      </c>
      <c r="F187" s="219" t="b">
        <v>0</v>
      </c>
      <c r="G187" s="219"/>
    </row>
    <row r="188">
      <c r="A188" s="218">
        <f t="shared" si="1"/>
        <v>187</v>
      </c>
      <c r="B188" s="218" t="s">
        <v>202</v>
      </c>
      <c r="C188" s="218" t="s">
        <v>1991</v>
      </c>
      <c r="D188" s="218" t="b">
        <v>1</v>
      </c>
      <c r="E188" s="219" t="b">
        <v>0</v>
      </c>
      <c r="F188" s="219" t="b">
        <v>0</v>
      </c>
      <c r="G188" s="219"/>
    </row>
    <row r="189">
      <c r="A189" s="218">
        <f t="shared" si="1"/>
        <v>188</v>
      </c>
      <c r="B189" s="218" t="s">
        <v>202</v>
      </c>
      <c r="C189" s="218" t="s">
        <v>4044</v>
      </c>
      <c r="D189" s="218" t="b">
        <v>1</v>
      </c>
      <c r="E189" s="219" t="b">
        <v>0</v>
      </c>
      <c r="F189" s="219" t="b">
        <v>0</v>
      </c>
      <c r="G189" s="219"/>
    </row>
    <row r="190">
      <c r="A190" s="218">
        <f t="shared" si="1"/>
        <v>189</v>
      </c>
      <c r="B190" s="218" t="s">
        <v>202</v>
      </c>
      <c r="C190" s="218" t="s">
        <v>2408</v>
      </c>
      <c r="D190" s="218" t="b">
        <v>1</v>
      </c>
      <c r="E190" s="219" t="b">
        <v>0</v>
      </c>
      <c r="F190" s="219" t="b">
        <v>0</v>
      </c>
      <c r="G190" s="219"/>
    </row>
    <row r="191">
      <c r="A191" s="218">
        <f t="shared" si="1"/>
        <v>190</v>
      </c>
      <c r="B191" s="218" t="s">
        <v>202</v>
      </c>
      <c r="C191" s="218" t="s">
        <v>3086</v>
      </c>
      <c r="D191" s="218" t="b">
        <v>1</v>
      </c>
      <c r="E191" s="219" t="b">
        <v>0</v>
      </c>
      <c r="F191" s="219" t="b">
        <v>0</v>
      </c>
      <c r="G191" s="219"/>
    </row>
    <row r="192">
      <c r="A192" s="218">
        <f t="shared" si="1"/>
        <v>191</v>
      </c>
      <c r="B192" s="218" t="s">
        <v>202</v>
      </c>
      <c r="C192" s="218" t="s">
        <v>3403</v>
      </c>
      <c r="D192" s="218" t="b">
        <v>1</v>
      </c>
      <c r="E192" s="219" t="b">
        <v>0</v>
      </c>
      <c r="F192" s="219" t="b">
        <v>0</v>
      </c>
      <c r="G192" s="219"/>
    </row>
    <row r="193">
      <c r="A193" s="218">
        <f t="shared" si="1"/>
        <v>192</v>
      </c>
      <c r="B193" s="218" t="s">
        <v>202</v>
      </c>
      <c r="C193" s="218" t="s">
        <v>4291</v>
      </c>
      <c r="D193" s="218" t="b">
        <v>1</v>
      </c>
      <c r="E193" s="219" t="b">
        <v>0</v>
      </c>
      <c r="F193" s="219" t="b">
        <v>0</v>
      </c>
      <c r="G193" s="219"/>
    </row>
    <row r="194">
      <c r="A194" s="218">
        <f t="shared" si="1"/>
        <v>193</v>
      </c>
      <c r="B194" s="218" t="s">
        <v>202</v>
      </c>
      <c r="C194" s="218" t="s">
        <v>1221</v>
      </c>
      <c r="D194" s="218" t="b">
        <v>1</v>
      </c>
      <c r="E194" s="219" t="b">
        <v>0</v>
      </c>
      <c r="F194" s="219" t="b">
        <v>0</v>
      </c>
      <c r="G194" s="219"/>
    </row>
    <row r="195">
      <c r="A195" s="218">
        <f t="shared" si="1"/>
        <v>194</v>
      </c>
      <c r="B195" s="218" t="s">
        <v>202</v>
      </c>
      <c r="C195" s="218" t="s">
        <v>3453</v>
      </c>
      <c r="D195" s="218" t="b">
        <v>1</v>
      </c>
      <c r="E195" s="219" t="b">
        <v>0</v>
      </c>
      <c r="F195" s="219" t="b">
        <v>0</v>
      </c>
      <c r="G195" s="219"/>
    </row>
    <row r="196">
      <c r="A196" s="218">
        <f t="shared" si="1"/>
        <v>195</v>
      </c>
      <c r="B196" s="218" t="s">
        <v>202</v>
      </c>
      <c r="C196" s="218" t="s">
        <v>1799</v>
      </c>
      <c r="D196" s="218" t="b">
        <v>1</v>
      </c>
      <c r="E196" s="219" t="b">
        <v>0</v>
      </c>
      <c r="F196" s="219" t="b">
        <v>0</v>
      </c>
      <c r="G196" s="219"/>
    </row>
    <row r="197">
      <c r="A197" s="218">
        <f t="shared" si="1"/>
        <v>196</v>
      </c>
      <c r="B197" s="218" t="s">
        <v>202</v>
      </c>
      <c r="C197" s="218" t="s">
        <v>1799</v>
      </c>
      <c r="D197" s="218" t="b">
        <v>1</v>
      </c>
      <c r="E197" s="219" t="b">
        <v>0</v>
      </c>
      <c r="F197" s="219" t="b">
        <v>0</v>
      </c>
      <c r="G197" s="219"/>
    </row>
    <row r="198">
      <c r="A198" s="218">
        <f t="shared" si="1"/>
        <v>197</v>
      </c>
      <c r="B198" s="218" t="s">
        <v>202</v>
      </c>
      <c r="C198" s="218" t="s">
        <v>1799</v>
      </c>
      <c r="D198" s="218" t="b">
        <v>1</v>
      </c>
      <c r="E198" s="219" t="b">
        <v>0</v>
      </c>
      <c r="F198" s="219" t="b">
        <v>0</v>
      </c>
      <c r="G198" s="219"/>
    </row>
    <row r="199">
      <c r="A199" s="218">
        <f t="shared" si="1"/>
        <v>198</v>
      </c>
      <c r="B199" s="218" t="s">
        <v>202</v>
      </c>
      <c r="C199" s="218" t="s">
        <v>481</v>
      </c>
      <c r="D199" s="218" t="b">
        <v>1</v>
      </c>
      <c r="E199" s="219" t="b">
        <v>0</v>
      </c>
      <c r="F199" s="219" t="b">
        <v>0</v>
      </c>
      <c r="G199" s="219"/>
    </row>
    <row r="200">
      <c r="A200" s="218">
        <f t="shared" si="1"/>
        <v>199</v>
      </c>
      <c r="B200" s="218" t="s">
        <v>202</v>
      </c>
      <c r="C200" s="218" t="s">
        <v>3254</v>
      </c>
      <c r="D200" s="218" t="b">
        <v>1</v>
      </c>
      <c r="E200" s="219" t="b">
        <v>0</v>
      </c>
      <c r="F200" s="219" t="b">
        <v>0</v>
      </c>
      <c r="G200" s="219"/>
    </row>
    <row r="201">
      <c r="A201" s="218">
        <f t="shared" si="1"/>
        <v>200</v>
      </c>
      <c r="B201" s="218" t="s">
        <v>202</v>
      </c>
      <c r="C201" s="218" t="s">
        <v>1457</v>
      </c>
      <c r="D201" s="218" t="b">
        <v>1</v>
      </c>
      <c r="E201" s="219" t="b">
        <v>0</v>
      </c>
      <c r="F201" s="219" t="b">
        <v>0</v>
      </c>
      <c r="G201" s="219"/>
    </row>
    <row r="202">
      <c r="A202" s="218">
        <f t="shared" si="1"/>
        <v>201</v>
      </c>
      <c r="B202" s="218" t="s">
        <v>202</v>
      </c>
      <c r="C202" s="218" t="s">
        <v>2911</v>
      </c>
      <c r="D202" s="218" t="b">
        <v>1</v>
      </c>
      <c r="E202" s="219" t="b">
        <v>0</v>
      </c>
      <c r="F202" s="219" t="b">
        <v>0</v>
      </c>
      <c r="G202" s="219"/>
    </row>
    <row r="203">
      <c r="A203" s="218">
        <f t="shared" si="1"/>
        <v>202</v>
      </c>
      <c r="B203" s="218" t="s">
        <v>202</v>
      </c>
      <c r="C203" s="218" t="s">
        <v>3354</v>
      </c>
      <c r="D203" s="218" t="b">
        <v>1</v>
      </c>
      <c r="E203" s="219" t="b">
        <v>0</v>
      </c>
      <c r="F203" s="219" t="b">
        <v>0</v>
      </c>
      <c r="G203" s="219"/>
    </row>
    <row r="204">
      <c r="A204" s="218">
        <f t="shared" si="1"/>
        <v>203</v>
      </c>
      <c r="B204" s="218" t="s">
        <v>202</v>
      </c>
      <c r="C204" s="218" t="s">
        <v>3316</v>
      </c>
      <c r="D204" s="218" t="b">
        <v>1</v>
      </c>
      <c r="E204" s="219" t="b">
        <v>0</v>
      </c>
      <c r="F204" s="219" t="b">
        <v>0</v>
      </c>
      <c r="G204" s="219"/>
    </row>
    <row r="205">
      <c r="A205" s="218">
        <f t="shared" si="1"/>
        <v>204</v>
      </c>
      <c r="B205" s="218" t="s">
        <v>202</v>
      </c>
      <c r="C205" s="218" t="s">
        <v>5157</v>
      </c>
      <c r="D205" s="218" t="b">
        <v>1</v>
      </c>
      <c r="E205" s="219" t="b">
        <v>0</v>
      </c>
      <c r="F205" s="219" t="b">
        <v>0</v>
      </c>
      <c r="G205" s="219"/>
    </row>
    <row r="206">
      <c r="A206" s="218">
        <f t="shared" si="1"/>
        <v>205</v>
      </c>
      <c r="B206" s="218" t="s">
        <v>202</v>
      </c>
      <c r="C206" s="218" t="s">
        <v>2236</v>
      </c>
      <c r="D206" s="218" t="b">
        <v>1</v>
      </c>
      <c r="E206" s="219" t="b">
        <v>0</v>
      </c>
      <c r="F206" s="219" t="b">
        <v>0</v>
      </c>
      <c r="G206" s="219"/>
    </row>
    <row r="207">
      <c r="A207" s="218">
        <f t="shared" si="1"/>
        <v>206</v>
      </c>
      <c r="B207" s="218" t="s">
        <v>202</v>
      </c>
      <c r="C207" s="218" t="s">
        <v>1727</v>
      </c>
      <c r="D207" s="218" t="b">
        <v>1</v>
      </c>
      <c r="E207" s="219" t="b">
        <v>0</v>
      </c>
      <c r="F207" s="219" t="b">
        <v>0</v>
      </c>
      <c r="G207" s="219"/>
    </row>
    <row r="208">
      <c r="A208" s="218">
        <f t="shared" si="1"/>
        <v>207</v>
      </c>
      <c r="B208" s="218" t="s">
        <v>202</v>
      </c>
      <c r="C208" s="218" t="s">
        <v>1727</v>
      </c>
      <c r="D208" s="218" t="b">
        <v>1</v>
      </c>
      <c r="E208" s="219" t="b">
        <v>0</v>
      </c>
      <c r="F208" s="219" t="b">
        <v>0</v>
      </c>
      <c r="G208" s="219"/>
    </row>
    <row r="209">
      <c r="A209" s="218">
        <f t="shared" si="1"/>
        <v>208</v>
      </c>
      <c r="B209" s="218" t="s">
        <v>202</v>
      </c>
      <c r="C209" s="218" t="s">
        <v>3311</v>
      </c>
      <c r="D209" s="218" t="b">
        <v>1</v>
      </c>
      <c r="E209" s="219" t="b">
        <v>0</v>
      </c>
      <c r="F209" s="219" t="b">
        <v>0</v>
      </c>
      <c r="G209" s="219"/>
    </row>
    <row r="210">
      <c r="A210" s="218">
        <f t="shared" si="1"/>
        <v>209</v>
      </c>
      <c r="B210" s="218" t="s">
        <v>202</v>
      </c>
      <c r="C210" s="218" t="s">
        <v>3344</v>
      </c>
      <c r="D210" s="218" t="b">
        <v>1</v>
      </c>
      <c r="E210" s="219" t="b">
        <v>0</v>
      </c>
      <c r="F210" s="219" t="b">
        <v>0</v>
      </c>
      <c r="G210" s="219"/>
    </row>
    <row r="211">
      <c r="A211" s="218">
        <f t="shared" si="1"/>
        <v>210</v>
      </c>
      <c r="B211" s="218" t="s">
        <v>202</v>
      </c>
      <c r="C211" s="218" t="s">
        <v>3186</v>
      </c>
      <c r="D211" s="218" t="b">
        <v>1</v>
      </c>
      <c r="E211" s="219" t="b">
        <v>0</v>
      </c>
      <c r="F211" s="219" t="b">
        <v>0</v>
      </c>
      <c r="G211" s="219"/>
    </row>
    <row r="212">
      <c r="A212" s="218">
        <f t="shared" si="1"/>
        <v>211</v>
      </c>
      <c r="B212" s="218" t="s">
        <v>202</v>
      </c>
      <c r="C212" s="218" t="s">
        <v>1428</v>
      </c>
      <c r="D212" s="218" t="b">
        <v>1</v>
      </c>
      <c r="E212" s="219" t="b">
        <v>0</v>
      </c>
      <c r="F212" s="219" t="b">
        <v>0</v>
      </c>
      <c r="G212" s="219"/>
    </row>
    <row r="213">
      <c r="A213" s="218">
        <f t="shared" si="1"/>
        <v>212</v>
      </c>
      <c r="B213" s="218" t="s">
        <v>202</v>
      </c>
      <c r="C213" s="218" t="s">
        <v>656</v>
      </c>
      <c r="D213" s="218" t="b">
        <v>1</v>
      </c>
      <c r="E213" s="219" t="b">
        <v>0</v>
      </c>
      <c r="F213" s="219" t="b">
        <v>0</v>
      </c>
      <c r="G213" s="219"/>
    </row>
    <row r="214">
      <c r="A214" s="218">
        <f t="shared" si="1"/>
        <v>213</v>
      </c>
      <c r="B214" s="218" t="s">
        <v>202</v>
      </c>
      <c r="C214" s="218" t="s">
        <v>3957</v>
      </c>
      <c r="D214" s="218" t="b">
        <v>1</v>
      </c>
      <c r="E214" s="219" t="b">
        <v>0</v>
      </c>
      <c r="F214" s="219" t="b">
        <v>0</v>
      </c>
      <c r="G214" s="219"/>
    </row>
    <row r="215">
      <c r="A215" s="218">
        <f t="shared" si="1"/>
        <v>214</v>
      </c>
      <c r="B215" s="218" t="s">
        <v>202</v>
      </c>
      <c r="C215" s="218" t="s">
        <v>3264</v>
      </c>
      <c r="D215" s="218" t="b">
        <v>1</v>
      </c>
      <c r="E215" s="219" t="b">
        <v>0</v>
      </c>
      <c r="F215" s="219" t="b">
        <v>0</v>
      </c>
      <c r="G215" s="219"/>
    </row>
    <row r="216">
      <c r="A216" s="218">
        <f t="shared" si="1"/>
        <v>215</v>
      </c>
      <c r="B216" s="218" t="s">
        <v>202</v>
      </c>
      <c r="C216" s="218" t="s">
        <v>1183</v>
      </c>
      <c r="D216" s="218" t="b">
        <v>1</v>
      </c>
      <c r="E216" s="219" t="b">
        <v>0</v>
      </c>
      <c r="F216" s="219" t="b">
        <v>0</v>
      </c>
      <c r="G216" s="219"/>
    </row>
    <row r="217">
      <c r="A217" s="218">
        <f t="shared" si="1"/>
        <v>216</v>
      </c>
      <c r="B217" s="218" t="s">
        <v>202</v>
      </c>
      <c r="C217" s="218" t="s">
        <v>3195</v>
      </c>
      <c r="D217" s="218" t="b">
        <v>1</v>
      </c>
      <c r="E217" s="219" t="b">
        <v>0</v>
      </c>
      <c r="F217" s="219" t="b">
        <v>0</v>
      </c>
      <c r="G217" s="219"/>
    </row>
    <row r="218">
      <c r="A218" s="218">
        <f t="shared" si="1"/>
        <v>217</v>
      </c>
      <c r="B218" s="218" t="s">
        <v>202</v>
      </c>
      <c r="C218" s="218" t="s">
        <v>3147</v>
      </c>
      <c r="D218" s="218" t="b">
        <v>1</v>
      </c>
      <c r="E218" s="219" t="b">
        <v>0</v>
      </c>
      <c r="F218" s="219" t="b">
        <v>0</v>
      </c>
      <c r="G218" s="219"/>
    </row>
    <row r="219">
      <c r="A219" s="218">
        <f t="shared" si="1"/>
        <v>218</v>
      </c>
      <c r="B219" s="218" t="s">
        <v>202</v>
      </c>
      <c r="C219" s="218" t="s">
        <v>382</v>
      </c>
      <c r="D219" s="218" t="b">
        <v>1</v>
      </c>
      <c r="E219" s="219" t="b">
        <v>0</v>
      </c>
      <c r="F219" s="219" t="b">
        <v>0</v>
      </c>
      <c r="G219" s="219"/>
    </row>
    <row r="220">
      <c r="A220" s="218">
        <f t="shared" si="1"/>
        <v>219</v>
      </c>
      <c r="B220" s="218" t="s">
        <v>202</v>
      </c>
      <c r="C220" s="218" t="s">
        <v>387</v>
      </c>
      <c r="D220" s="218" t="b">
        <v>1</v>
      </c>
      <c r="E220" s="219" t="b">
        <v>0</v>
      </c>
      <c r="F220" s="219" t="b">
        <v>0</v>
      </c>
      <c r="G220" s="219"/>
    </row>
    <row r="221">
      <c r="A221" s="218">
        <f t="shared" si="1"/>
        <v>220</v>
      </c>
      <c r="B221" s="218" t="s">
        <v>202</v>
      </c>
      <c r="C221" s="218" t="s">
        <v>3200</v>
      </c>
      <c r="D221" s="218" t="b">
        <v>1</v>
      </c>
      <c r="E221" s="219" t="b">
        <v>0</v>
      </c>
      <c r="F221" s="219" t="b">
        <v>0</v>
      </c>
      <c r="G221" s="219"/>
    </row>
    <row r="222">
      <c r="A222" s="218">
        <f t="shared" si="1"/>
        <v>221</v>
      </c>
      <c r="B222" s="218" t="s">
        <v>202</v>
      </c>
      <c r="C222" s="218" t="s">
        <v>397</v>
      </c>
      <c r="D222" s="218" t="b">
        <v>1</v>
      </c>
      <c r="E222" s="219" t="b">
        <v>0</v>
      </c>
      <c r="F222" s="219" t="b">
        <v>0</v>
      </c>
      <c r="G222" s="219"/>
    </row>
    <row r="223">
      <c r="A223" s="218">
        <f t="shared" si="1"/>
        <v>222</v>
      </c>
      <c r="B223" s="218" t="s">
        <v>202</v>
      </c>
      <c r="C223" s="218" t="s">
        <v>3212</v>
      </c>
      <c r="D223" s="218" t="b">
        <v>1</v>
      </c>
      <c r="E223" s="219" t="b">
        <v>0</v>
      </c>
      <c r="F223" s="219" t="b">
        <v>0</v>
      </c>
      <c r="G223" s="219"/>
    </row>
    <row r="224">
      <c r="A224" s="218">
        <f t="shared" si="1"/>
        <v>223</v>
      </c>
      <c r="B224" s="218" t="s">
        <v>202</v>
      </c>
      <c r="C224" s="218" t="s">
        <v>402</v>
      </c>
      <c r="D224" s="218" t="b">
        <v>1</v>
      </c>
      <c r="E224" s="219" t="b">
        <v>0</v>
      </c>
      <c r="F224" s="219" t="b">
        <v>0</v>
      </c>
      <c r="G224" s="219"/>
    </row>
    <row r="225">
      <c r="A225" s="218">
        <f t="shared" si="1"/>
        <v>224</v>
      </c>
      <c r="B225" s="218" t="s">
        <v>202</v>
      </c>
      <c r="C225" s="218" t="s">
        <v>3133</v>
      </c>
      <c r="D225" s="218" t="b">
        <v>1</v>
      </c>
      <c r="E225" s="219" t="b">
        <v>0</v>
      </c>
      <c r="F225" s="219" t="b">
        <v>0</v>
      </c>
      <c r="G225" s="219"/>
    </row>
    <row r="226">
      <c r="A226" s="218">
        <f t="shared" si="1"/>
        <v>225</v>
      </c>
      <c r="B226" s="218" t="s">
        <v>202</v>
      </c>
      <c r="C226" s="218" t="s">
        <v>407</v>
      </c>
      <c r="D226" s="218" t="b">
        <v>1</v>
      </c>
      <c r="E226" s="219" t="b">
        <v>0</v>
      </c>
      <c r="F226" s="219" t="b">
        <v>0</v>
      </c>
      <c r="G226" s="219"/>
    </row>
    <row r="227">
      <c r="A227" s="218">
        <f t="shared" si="1"/>
        <v>226</v>
      </c>
      <c r="B227" s="218" t="s">
        <v>202</v>
      </c>
      <c r="C227" s="218" t="s">
        <v>3883</v>
      </c>
      <c r="D227" s="218" t="b">
        <v>1</v>
      </c>
      <c r="E227" s="219" t="b">
        <v>0</v>
      </c>
      <c r="F227" s="219" t="b">
        <v>0</v>
      </c>
      <c r="G227" s="219"/>
    </row>
    <row r="228">
      <c r="A228" s="218">
        <f t="shared" si="1"/>
        <v>227</v>
      </c>
      <c r="B228" s="218" t="s">
        <v>202</v>
      </c>
      <c r="C228" s="218" t="s">
        <v>417</v>
      </c>
      <c r="D228" s="218" t="b">
        <v>1</v>
      </c>
      <c r="E228" s="219" t="b">
        <v>0</v>
      </c>
      <c r="F228" s="219" t="b">
        <v>0</v>
      </c>
      <c r="G228" s="219"/>
    </row>
    <row r="229">
      <c r="A229" s="218">
        <f t="shared" si="1"/>
        <v>228</v>
      </c>
      <c r="B229" s="218" t="s">
        <v>202</v>
      </c>
      <c r="C229" s="218" t="s">
        <v>3893</v>
      </c>
      <c r="D229" s="218" t="b">
        <v>1</v>
      </c>
      <c r="E229" s="219" t="b">
        <v>0</v>
      </c>
      <c r="F229" s="219" t="b">
        <v>0</v>
      </c>
      <c r="G229" s="219"/>
    </row>
    <row r="230">
      <c r="A230" s="218">
        <f t="shared" si="1"/>
        <v>229</v>
      </c>
      <c r="B230" s="218" t="s">
        <v>202</v>
      </c>
      <c r="C230" s="218" t="s">
        <v>422</v>
      </c>
      <c r="D230" s="218" t="b">
        <v>1</v>
      </c>
      <c r="E230" s="219" t="b">
        <v>0</v>
      </c>
      <c r="F230" s="219" t="b">
        <v>0</v>
      </c>
      <c r="G230" s="219"/>
    </row>
    <row r="231">
      <c r="A231" s="218">
        <f t="shared" si="1"/>
        <v>230</v>
      </c>
      <c r="B231" s="218" t="s">
        <v>202</v>
      </c>
      <c r="C231" s="218" t="s">
        <v>3888</v>
      </c>
      <c r="D231" s="218" t="b">
        <v>1</v>
      </c>
      <c r="E231" s="219" t="b">
        <v>0</v>
      </c>
      <c r="F231" s="219" t="b">
        <v>0</v>
      </c>
      <c r="G231" s="219"/>
    </row>
    <row r="232">
      <c r="A232" s="218">
        <f t="shared" si="1"/>
        <v>231</v>
      </c>
      <c r="B232" s="218" t="s">
        <v>202</v>
      </c>
      <c r="C232" s="218" t="s">
        <v>427</v>
      </c>
      <c r="D232" s="218" t="b">
        <v>1</v>
      </c>
      <c r="E232" s="219" t="b">
        <v>0</v>
      </c>
      <c r="F232" s="219" t="b">
        <v>0</v>
      </c>
      <c r="G232" s="219"/>
    </row>
    <row r="233">
      <c r="A233" s="218">
        <f t="shared" si="1"/>
        <v>232</v>
      </c>
      <c r="B233" s="218" t="s">
        <v>202</v>
      </c>
      <c r="C233" s="218" t="s">
        <v>432</v>
      </c>
      <c r="D233" s="218" t="b">
        <v>1</v>
      </c>
      <c r="E233" s="219" t="b">
        <v>0</v>
      </c>
      <c r="F233" s="219" t="b">
        <v>0</v>
      </c>
      <c r="G233" s="219"/>
    </row>
    <row r="234">
      <c r="A234" s="218">
        <f t="shared" si="1"/>
        <v>233</v>
      </c>
      <c r="B234" s="218" t="s">
        <v>202</v>
      </c>
      <c r="C234" s="218" t="s">
        <v>2087</v>
      </c>
      <c r="D234" s="218" t="b">
        <v>1</v>
      </c>
      <c r="E234" s="219" t="b">
        <v>0</v>
      </c>
      <c r="F234" s="219" t="b">
        <v>0</v>
      </c>
      <c r="G234" s="219"/>
    </row>
    <row r="235">
      <c r="A235" s="218">
        <f t="shared" si="1"/>
        <v>234</v>
      </c>
      <c r="B235" s="218" t="s">
        <v>202</v>
      </c>
      <c r="C235" s="218" t="s">
        <v>442</v>
      </c>
      <c r="D235" s="218" t="b">
        <v>1</v>
      </c>
      <c r="E235" s="219" t="b">
        <v>0</v>
      </c>
      <c r="F235" s="219" t="b">
        <v>0</v>
      </c>
      <c r="G235" s="219"/>
    </row>
    <row r="236">
      <c r="A236" s="218">
        <f t="shared" si="1"/>
        <v>235</v>
      </c>
      <c r="B236" s="218" t="s">
        <v>202</v>
      </c>
      <c r="C236" s="218" t="s">
        <v>442</v>
      </c>
      <c r="D236" s="218" t="b">
        <v>1</v>
      </c>
      <c r="E236" s="219" t="b">
        <v>0</v>
      </c>
      <c r="F236" s="219" t="b">
        <v>0</v>
      </c>
      <c r="G236" s="219"/>
    </row>
    <row r="237">
      <c r="A237" s="218">
        <f t="shared" si="1"/>
        <v>236</v>
      </c>
      <c r="B237" s="218" t="s">
        <v>202</v>
      </c>
      <c r="C237" s="218" t="s">
        <v>447</v>
      </c>
      <c r="D237" s="218" t="b">
        <v>1</v>
      </c>
      <c r="E237" s="219" t="b">
        <v>0</v>
      </c>
      <c r="F237" s="219" t="b">
        <v>0</v>
      </c>
      <c r="G237" s="219"/>
    </row>
    <row r="238">
      <c r="A238" s="218">
        <f t="shared" si="1"/>
        <v>237</v>
      </c>
      <c r="B238" s="218" t="s">
        <v>202</v>
      </c>
      <c r="C238" s="218" t="s">
        <v>452</v>
      </c>
      <c r="D238" s="218" t="b">
        <v>1</v>
      </c>
      <c r="E238" s="219" t="b">
        <v>0</v>
      </c>
      <c r="F238" s="219" t="b">
        <v>0</v>
      </c>
      <c r="G238" s="219"/>
    </row>
    <row r="239">
      <c r="A239" s="218">
        <f t="shared" si="1"/>
        <v>238</v>
      </c>
      <c r="B239" s="218" t="s">
        <v>202</v>
      </c>
      <c r="C239" s="218" t="s">
        <v>2456</v>
      </c>
      <c r="D239" s="218" t="b">
        <v>1</v>
      </c>
      <c r="E239" s="219" t="b">
        <v>0</v>
      </c>
      <c r="F239" s="219" t="b">
        <v>0</v>
      </c>
      <c r="G239" s="219"/>
    </row>
    <row r="240">
      <c r="A240" s="218">
        <f t="shared" si="1"/>
        <v>239</v>
      </c>
      <c r="B240" s="218" t="s">
        <v>202</v>
      </c>
      <c r="C240" s="218" t="s">
        <v>456</v>
      </c>
      <c r="D240" s="218" t="b">
        <v>1</v>
      </c>
      <c r="E240" s="219" t="b">
        <v>0</v>
      </c>
      <c r="F240" s="219" t="b">
        <v>0</v>
      </c>
      <c r="G240" s="219"/>
    </row>
    <row r="241">
      <c r="A241" s="218">
        <f t="shared" si="1"/>
        <v>240</v>
      </c>
      <c r="B241" s="218" t="s">
        <v>202</v>
      </c>
      <c r="C241" s="218" t="s">
        <v>461</v>
      </c>
      <c r="D241" s="218" t="b">
        <v>1</v>
      </c>
      <c r="E241" s="219" t="b">
        <v>0</v>
      </c>
      <c r="F241" s="219" t="b">
        <v>0</v>
      </c>
      <c r="G241" s="219"/>
    </row>
    <row r="242">
      <c r="A242" s="218">
        <f t="shared" si="1"/>
        <v>241</v>
      </c>
      <c r="B242" s="218" t="s">
        <v>202</v>
      </c>
      <c r="C242" s="218" t="s">
        <v>466</v>
      </c>
      <c r="D242" s="218" t="b">
        <v>1</v>
      </c>
      <c r="E242" s="219" t="b">
        <v>0</v>
      </c>
      <c r="F242" s="219" t="b">
        <v>0</v>
      </c>
      <c r="G242" s="219"/>
    </row>
    <row r="243">
      <c r="A243" s="218">
        <f t="shared" si="1"/>
        <v>242</v>
      </c>
      <c r="B243" s="218" t="s">
        <v>202</v>
      </c>
      <c r="C243" s="218" t="s">
        <v>2011</v>
      </c>
      <c r="D243" s="218" t="b">
        <v>1</v>
      </c>
      <c r="E243" s="219" t="b">
        <v>0</v>
      </c>
      <c r="F243" s="219" t="b">
        <v>0</v>
      </c>
      <c r="G243" s="219"/>
    </row>
    <row r="244">
      <c r="A244" s="218">
        <f t="shared" si="1"/>
        <v>243</v>
      </c>
      <c r="B244" s="218" t="s">
        <v>202</v>
      </c>
      <c r="C244" s="218" t="s">
        <v>486</v>
      </c>
      <c r="D244" s="218" t="b">
        <v>1</v>
      </c>
      <c r="E244" s="219" t="b">
        <v>0</v>
      </c>
      <c r="F244" s="219" t="b">
        <v>0</v>
      </c>
      <c r="G244" s="219"/>
    </row>
    <row r="245">
      <c r="A245" s="218">
        <f t="shared" si="1"/>
        <v>244</v>
      </c>
      <c r="B245" s="218" t="s">
        <v>202</v>
      </c>
      <c r="C245" s="218" t="s">
        <v>2973</v>
      </c>
      <c r="D245" s="218" t="b">
        <v>1</v>
      </c>
      <c r="E245" s="219" t="b">
        <v>0</v>
      </c>
      <c r="F245" s="219" t="b">
        <v>0</v>
      </c>
      <c r="G245" s="219"/>
    </row>
    <row r="246">
      <c r="A246" s="218">
        <f t="shared" si="1"/>
        <v>245</v>
      </c>
      <c r="B246" s="218" t="s">
        <v>202</v>
      </c>
      <c r="C246" s="218" t="s">
        <v>492</v>
      </c>
      <c r="D246" s="218" t="b">
        <v>1</v>
      </c>
      <c r="E246" s="219" t="b">
        <v>0</v>
      </c>
      <c r="F246" s="219" t="b">
        <v>0</v>
      </c>
      <c r="G246" s="219"/>
    </row>
    <row r="247">
      <c r="A247" s="218">
        <f t="shared" si="1"/>
        <v>246</v>
      </c>
      <c r="B247" s="218" t="s">
        <v>202</v>
      </c>
      <c r="C247" s="218" t="s">
        <v>2056</v>
      </c>
      <c r="D247" s="218" t="b">
        <v>1</v>
      </c>
      <c r="E247" s="219" t="b">
        <v>0</v>
      </c>
      <c r="F247" s="219" t="b">
        <v>0</v>
      </c>
      <c r="G247" s="219"/>
    </row>
    <row r="248">
      <c r="A248" s="218">
        <f t="shared" si="1"/>
        <v>247</v>
      </c>
      <c r="B248" s="218" t="s">
        <v>202</v>
      </c>
      <c r="C248" s="218" t="s">
        <v>497</v>
      </c>
      <c r="D248" s="218" t="b">
        <v>1</v>
      </c>
      <c r="E248" s="219" t="b">
        <v>0</v>
      </c>
      <c r="F248" s="219" t="b">
        <v>0</v>
      </c>
      <c r="G248" s="219"/>
    </row>
    <row r="249">
      <c r="A249" s="218">
        <f t="shared" si="1"/>
        <v>248</v>
      </c>
      <c r="B249" s="218" t="s">
        <v>202</v>
      </c>
      <c r="C249" s="218" t="s">
        <v>3090</v>
      </c>
      <c r="D249" s="218" t="b">
        <v>1</v>
      </c>
      <c r="E249" s="219" t="b">
        <v>0</v>
      </c>
      <c r="F249" s="219" t="b">
        <v>0</v>
      </c>
      <c r="G249" s="219"/>
    </row>
    <row r="250">
      <c r="A250" s="218">
        <f t="shared" si="1"/>
        <v>249</v>
      </c>
      <c r="B250" s="218" t="s">
        <v>202</v>
      </c>
      <c r="C250" s="218" t="s">
        <v>506</v>
      </c>
      <c r="D250" s="218" t="b">
        <v>1</v>
      </c>
      <c r="E250" s="219" t="b">
        <v>0</v>
      </c>
      <c r="F250" s="219" t="b">
        <v>0</v>
      </c>
      <c r="G250" s="219"/>
    </row>
    <row r="251">
      <c r="A251" s="218">
        <f t="shared" si="1"/>
        <v>250</v>
      </c>
      <c r="B251" s="218" t="s">
        <v>202</v>
      </c>
      <c r="C251" s="218" t="s">
        <v>510</v>
      </c>
      <c r="D251" s="218" t="b">
        <v>1</v>
      </c>
      <c r="E251" s="219" t="b">
        <v>0</v>
      </c>
      <c r="F251" s="219" t="b">
        <v>0</v>
      </c>
      <c r="G251" s="219"/>
    </row>
    <row r="252">
      <c r="A252" s="218">
        <f t="shared" si="1"/>
        <v>251</v>
      </c>
      <c r="B252" s="218" t="s">
        <v>202</v>
      </c>
      <c r="C252" s="218" t="s">
        <v>510</v>
      </c>
      <c r="D252" s="218" t="b">
        <v>1</v>
      </c>
      <c r="E252" s="219" t="b">
        <v>0</v>
      </c>
      <c r="F252" s="219" t="b">
        <v>0</v>
      </c>
      <c r="G252" s="219"/>
    </row>
    <row r="253">
      <c r="A253" s="218">
        <f t="shared" si="1"/>
        <v>252</v>
      </c>
      <c r="B253" s="218" t="s">
        <v>202</v>
      </c>
      <c r="C253" s="218" t="s">
        <v>3496</v>
      </c>
      <c r="D253" s="218" t="b">
        <v>1</v>
      </c>
      <c r="E253" s="219" t="b">
        <v>0</v>
      </c>
      <c r="F253" s="219" t="b">
        <v>0</v>
      </c>
      <c r="G253" s="219"/>
    </row>
    <row r="254">
      <c r="A254" s="218">
        <f t="shared" si="1"/>
        <v>253</v>
      </c>
      <c r="B254" s="218" t="s">
        <v>202</v>
      </c>
      <c r="C254" s="218" t="s">
        <v>515</v>
      </c>
      <c r="D254" s="218" t="b">
        <v>1</v>
      </c>
      <c r="E254" s="219" t="b">
        <v>0</v>
      </c>
      <c r="F254" s="219" t="b">
        <v>0</v>
      </c>
      <c r="G254" s="219"/>
    </row>
    <row r="255">
      <c r="A255" s="218">
        <f t="shared" si="1"/>
        <v>254</v>
      </c>
      <c r="B255" s="218" t="s">
        <v>202</v>
      </c>
      <c r="C255" s="218" t="s">
        <v>1207</v>
      </c>
      <c r="D255" s="218" t="b">
        <v>1</v>
      </c>
      <c r="E255" s="219" t="b">
        <v>0</v>
      </c>
      <c r="F255" s="219" t="b">
        <v>0</v>
      </c>
      <c r="G255" s="219"/>
    </row>
    <row r="256">
      <c r="A256" s="218">
        <f t="shared" si="1"/>
        <v>255</v>
      </c>
      <c r="B256" s="218" t="s">
        <v>202</v>
      </c>
      <c r="C256" s="218" t="s">
        <v>525</v>
      </c>
      <c r="D256" s="218" t="b">
        <v>1</v>
      </c>
      <c r="E256" s="219" t="b">
        <v>0</v>
      </c>
      <c r="F256" s="219" t="b">
        <v>0</v>
      </c>
      <c r="G256" s="219"/>
    </row>
    <row r="257">
      <c r="A257" s="218">
        <f t="shared" si="1"/>
        <v>256</v>
      </c>
      <c r="B257" s="218" t="s">
        <v>202</v>
      </c>
      <c r="C257" s="218" t="s">
        <v>1850</v>
      </c>
      <c r="D257" s="218" t="b">
        <v>1</v>
      </c>
      <c r="E257" s="219" t="b">
        <v>0</v>
      </c>
      <c r="F257" s="219" t="b">
        <v>0</v>
      </c>
      <c r="G257" s="219"/>
    </row>
    <row r="258">
      <c r="A258" s="218">
        <f t="shared" si="1"/>
        <v>257</v>
      </c>
      <c r="B258" s="218" t="s">
        <v>202</v>
      </c>
      <c r="C258" s="218" t="s">
        <v>502</v>
      </c>
      <c r="D258" s="218" t="b">
        <v>1</v>
      </c>
      <c r="E258" s="219" t="b">
        <v>0</v>
      </c>
      <c r="F258" s="219" t="b">
        <v>0</v>
      </c>
      <c r="G258" s="219"/>
    </row>
    <row r="259">
      <c r="A259" s="218">
        <f t="shared" si="1"/>
        <v>258</v>
      </c>
      <c r="B259" s="218" t="s">
        <v>202</v>
      </c>
      <c r="C259" s="218" t="s">
        <v>372</v>
      </c>
      <c r="D259" s="218" t="b">
        <v>1</v>
      </c>
      <c r="E259" s="219" t="b">
        <v>0</v>
      </c>
      <c r="F259" s="219" t="b">
        <v>0</v>
      </c>
      <c r="G259" s="219"/>
    </row>
    <row r="260">
      <c r="A260" s="218">
        <f t="shared" si="1"/>
        <v>259</v>
      </c>
      <c r="B260" s="218" t="s">
        <v>202</v>
      </c>
      <c r="C260" s="218" t="s">
        <v>2251</v>
      </c>
      <c r="D260" s="218" t="b">
        <v>1</v>
      </c>
      <c r="E260" s="219" t="b">
        <v>0</v>
      </c>
      <c r="F260" s="219" t="b">
        <v>0</v>
      </c>
      <c r="G260" s="219"/>
    </row>
    <row r="261">
      <c r="A261" s="218">
        <f t="shared" si="1"/>
        <v>260</v>
      </c>
      <c r="B261" s="218" t="s">
        <v>202</v>
      </c>
      <c r="C261" s="218" t="s">
        <v>1946</v>
      </c>
      <c r="D261" s="218" t="b">
        <v>1</v>
      </c>
      <c r="E261" s="219" t="b">
        <v>0</v>
      </c>
      <c r="F261" s="219" t="b">
        <v>0</v>
      </c>
      <c r="G261" s="219"/>
    </row>
    <row r="262">
      <c r="A262" s="218">
        <f t="shared" si="1"/>
        <v>261</v>
      </c>
      <c r="B262" s="218" t="s">
        <v>202</v>
      </c>
      <c r="C262" s="218" t="s">
        <v>3204</v>
      </c>
      <c r="D262" s="218" t="b">
        <v>1</v>
      </c>
      <c r="E262" s="219" t="b">
        <v>0</v>
      </c>
      <c r="F262" s="219" t="b">
        <v>0</v>
      </c>
      <c r="G262" s="219"/>
    </row>
    <row r="263">
      <c r="A263" s="218">
        <f t="shared" si="1"/>
        <v>262</v>
      </c>
      <c r="B263" s="218" t="s">
        <v>202</v>
      </c>
      <c r="C263" s="218" t="s">
        <v>2047</v>
      </c>
      <c r="D263" s="218" t="b">
        <v>1</v>
      </c>
      <c r="E263" s="219" t="b">
        <v>0</v>
      </c>
      <c r="F263" s="219" t="b">
        <v>0</v>
      </c>
      <c r="G263" s="219"/>
    </row>
    <row r="264">
      <c r="A264" s="218">
        <f t="shared" si="1"/>
        <v>263</v>
      </c>
      <c r="B264" s="218" t="s">
        <v>202</v>
      </c>
      <c r="C264" s="218" t="s">
        <v>2038</v>
      </c>
      <c r="D264" s="218" t="b">
        <v>1</v>
      </c>
      <c r="E264" s="219" t="b">
        <v>0</v>
      </c>
      <c r="F264" s="219" t="b">
        <v>0</v>
      </c>
      <c r="G264" s="219"/>
    </row>
    <row r="265">
      <c r="A265" s="218">
        <f t="shared" si="1"/>
        <v>264</v>
      </c>
      <c r="B265" s="218" t="s">
        <v>202</v>
      </c>
      <c r="C265" s="218" t="s">
        <v>1714</v>
      </c>
      <c r="D265" s="218" t="b">
        <v>1</v>
      </c>
      <c r="E265" s="219" t="b">
        <v>0</v>
      </c>
      <c r="F265" s="219" t="b">
        <v>0</v>
      </c>
      <c r="G265" s="219"/>
    </row>
    <row r="266">
      <c r="A266" s="218">
        <f t="shared" si="1"/>
        <v>265</v>
      </c>
      <c r="B266" s="218" t="s">
        <v>202</v>
      </c>
      <c r="C266" s="218" t="s">
        <v>2034</v>
      </c>
      <c r="D266" s="218" t="b">
        <v>1</v>
      </c>
      <c r="E266" s="219" t="b">
        <v>0</v>
      </c>
      <c r="F266" s="219" t="b">
        <v>0</v>
      </c>
      <c r="G266" s="219"/>
    </row>
    <row r="267">
      <c r="A267" s="218">
        <f t="shared" si="1"/>
        <v>266</v>
      </c>
      <c r="B267" s="218" t="s">
        <v>202</v>
      </c>
      <c r="C267" s="218" t="s">
        <v>2051</v>
      </c>
      <c r="D267" s="218" t="b">
        <v>1</v>
      </c>
      <c r="E267" s="219" t="b">
        <v>0</v>
      </c>
      <c r="F267" s="219" t="b">
        <v>0</v>
      </c>
      <c r="G267" s="219"/>
    </row>
    <row r="268">
      <c r="A268" s="218">
        <f t="shared" si="1"/>
        <v>267</v>
      </c>
      <c r="B268" s="218" t="s">
        <v>202</v>
      </c>
      <c r="C268" s="218" t="s">
        <v>1965</v>
      </c>
      <c r="D268" s="218" t="b">
        <v>1</v>
      </c>
      <c r="E268" s="219" t="b">
        <v>0</v>
      </c>
      <c r="F268" s="219" t="b">
        <v>0</v>
      </c>
      <c r="G268" s="219"/>
    </row>
    <row r="269">
      <c r="A269" s="218">
        <f t="shared" si="1"/>
        <v>268</v>
      </c>
      <c r="B269" s="218" t="s">
        <v>202</v>
      </c>
      <c r="C269" s="218" t="s">
        <v>1980</v>
      </c>
      <c r="D269" s="218" t="b">
        <v>1</v>
      </c>
      <c r="E269" s="219" t="b">
        <v>0</v>
      </c>
      <c r="F269" s="219" t="b">
        <v>0</v>
      </c>
      <c r="G269" s="219"/>
    </row>
    <row r="270">
      <c r="A270" s="218">
        <f t="shared" si="1"/>
        <v>269</v>
      </c>
      <c r="B270" s="218" t="s">
        <v>202</v>
      </c>
      <c r="C270" s="218" t="s">
        <v>1986</v>
      </c>
      <c r="D270" s="218" t="b">
        <v>1</v>
      </c>
      <c r="E270" s="219" t="b">
        <v>0</v>
      </c>
      <c r="F270" s="219" t="b">
        <v>0</v>
      </c>
      <c r="G270" s="219"/>
    </row>
    <row r="271">
      <c r="A271" s="218">
        <f t="shared" si="1"/>
        <v>270</v>
      </c>
      <c r="B271" s="218" t="s">
        <v>202</v>
      </c>
      <c r="C271" s="218" t="s">
        <v>1865</v>
      </c>
      <c r="D271" s="218" t="b">
        <v>1</v>
      </c>
      <c r="E271" s="219" t="b">
        <v>0</v>
      </c>
      <c r="F271" s="219" t="b">
        <v>0</v>
      </c>
      <c r="G271" s="219"/>
    </row>
    <row r="272">
      <c r="A272" s="218">
        <f t="shared" si="1"/>
        <v>271</v>
      </c>
      <c r="B272" s="218" t="s">
        <v>202</v>
      </c>
      <c r="C272" s="218" t="s">
        <v>3578</v>
      </c>
      <c r="D272" s="218" t="b">
        <v>1</v>
      </c>
      <c r="E272" s="219" t="b">
        <v>0</v>
      </c>
      <c r="F272" s="219" t="b">
        <v>0</v>
      </c>
      <c r="G272" s="219"/>
    </row>
    <row r="273">
      <c r="A273" s="218">
        <f t="shared" si="1"/>
        <v>272</v>
      </c>
      <c r="B273" s="218" t="s">
        <v>202</v>
      </c>
      <c r="C273" s="218" t="s">
        <v>1826</v>
      </c>
      <c r="D273" s="218" t="b">
        <v>1</v>
      </c>
      <c r="E273" s="219" t="b">
        <v>0</v>
      </c>
      <c r="F273" s="219" t="b">
        <v>0</v>
      </c>
      <c r="G273" s="219"/>
    </row>
    <row r="274">
      <c r="A274" s="218">
        <f t="shared" si="1"/>
        <v>273</v>
      </c>
      <c r="B274" s="218" t="s">
        <v>202</v>
      </c>
      <c r="C274" s="218" t="s">
        <v>1995</v>
      </c>
      <c r="D274" s="218" t="b">
        <v>1</v>
      </c>
      <c r="E274" s="219" t="b">
        <v>0</v>
      </c>
      <c r="F274" s="219" t="b">
        <v>0</v>
      </c>
      <c r="G274" s="219"/>
    </row>
    <row r="275">
      <c r="A275" s="218">
        <f t="shared" si="1"/>
        <v>274</v>
      </c>
      <c r="B275" s="218" t="s">
        <v>202</v>
      </c>
      <c r="C275" s="218" t="s">
        <v>2004</v>
      </c>
      <c r="D275" s="218" t="b">
        <v>1</v>
      </c>
      <c r="E275" s="219" t="b">
        <v>0</v>
      </c>
      <c r="F275" s="219" t="b">
        <v>0</v>
      </c>
      <c r="G275" s="219"/>
    </row>
    <row r="276">
      <c r="A276" s="218">
        <f t="shared" si="1"/>
        <v>275</v>
      </c>
      <c r="B276" s="218" t="s">
        <v>202</v>
      </c>
      <c r="C276" s="218" t="s">
        <v>2004</v>
      </c>
      <c r="D276" s="218" t="b">
        <v>1</v>
      </c>
      <c r="E276" s="219" t="b">
        <v>0</v>
      </c>
      <c r="F276" s="219" t="b">
        <v>0</v>
      </c>
      <c r="G276" s="219"/>
    </row>
    <row r="277">
      <c r="A277" s="218">
        <f t="shared" si="1"/>
        <v>276</v>
      </c>
      <c r="B277" s="218" t="s">
        <v>202</v>
      </c>
      <c r="C277" s="218" t="s">
        <v>3269</v>
      </c>
      <c r="D277" s="218" t="b">
        <v>1</v>
      </c>
      <c r="E277" s="219" t="b">
        <v>0</v>
      </c>
      <c r="F277" s="219" t="b">
        <v>0</v>
      </c>
      <c r="G277" s="219"/>
    </row>
    <row r="278">
      <c r="A278" s="218">
        <f t="shared" si="1"/>
        <v>277</v>
      </c>
      <c r="B278" s="218" t="s">
        <v>202</v>
      </c>
      <c r="C278" s="218" t="s">
        <v>1900</v>
      </c>
      <c r="D278" s="218" t="b">
        <v>1</v>
      </c>
      <c r="E278" s="219" t="b">
        <v>0</v>
      </c>
      <c r="F278" s="219" t="b">
        <v>0</v>
      </c>
      <c r="G278" s="219"/>
    </row>
    <row r="279">
      <c r="A279" s="218">
        <f t="shared" si="1"/>
        <v>278</v>
      </c>
      <c r="B279" s="218" t="s">
        <v>202</v>
      </c>
      <c r="C279" s="218" t="s">
        <v>1057</v>
      </c>
      <c r="D279" s="218" t="b">
        <v>1</v>
      </c>
      <c r="E279" s="219" t="b">
        <v>0</v>
      </c>
      <c r="F279" s="219" t="b">
        <v>0</v>
      </c>
      <c r="G279" s="219"/>
    </row>
    <row r="280">
      <c r="A280" s="218">
        <f t="shared" si="1"/>
        <v>279</v>
      </c>
      <c r="B280" s="218" t="s">
        <v>202</v>
      </c>
      <c r="C280" s="218" t="s">
        <v>1951</v>
      </c>
      <c r="D280" s="218" t="b">
        <v>1</v>
      </c>
      <c r="E280" s="219" t="b">
        <v>0</v>
      </c>
      <c r="F280" s="219" t="b">
        <v>0</v>
      </c>
      <c r="G280" s="219"/>
    </row>
    <row r="281">
      <c r="A281" s="218">
        <f t="shared" si="1"/>
        <v>280</v>
      </c>
      <c r="B281" s="218" t="s">
        <v>202</v>
      </c>
      <c r="C281" s="218" t="s">
        <v>2829</v>
      </c>
      <c r="D281" s="218" t="b">
        <v>1</v>
      </c>
      <c r="E281" s="219" t="b">
        <v>0</v>
      </c>
      <c r="F281" s="219" t="b">
        <v>0</v>
      </c>
      <c r="G281" s="219"/>
    </row>
    <row r="282">
      <c r="A282" s="218">
        <f t="shared" si="1"/>
        <v>281</v>
      </c>
      <c r="B282" s="218" t="s">
        <v>202</v>
      </c>
      <c r="C282" s="218" t="s">
        <v>1932</v>
      </c>
      <c r="D282" s="218" t="b">
        <v>1</v>
      </c>
      <c r="E282" s="219" t="b">
        <v>0</v>
      </c>
      <c r="F282" s="219" t="b">
        <v>0</v>
      </c>
      <c r="G282" s="219"/>
    </row>
    <row r="283">
      <c r="A283" s="218">
        <f t="shared" si="1"/>
        <v>282</v>
      </c>
      <c r="B283" s="218" t="s">
        <v>202</v>
      </c>
      <c r="C283" s="218" t="s">
        <v>1896</v>
      </c>
      <c r="D283" s="218" t="b">
        <v>1</v>
      </c>
      <c r="E283" s="219" t="b">
        <v>0</v>
      </c>
      <c r="F283" s="219" t="b">
        <v>0</v>
      </c>
      <c r="G283" s="219"/>
    </row>
    <row r="284">
      <c r="A284" s="218">
        <f t="shared" si="1"/>
        <v>283</v>
      </c>
      <c r="B284" s="218" t="s">
        <v>202</v>
      </c>
      <c r="C284" s="218" t="s">
        <v>2833</v>
      </c>
      <c r="D284" s="218" t="b">
        <v>1</v>
      </c>
      <c r="E284" s="219" t="b">
        <v>0</v>
      </c>
      <c r="F284" s="219" t="b">
        <v>0</v>
      </c>
      <c r="G284" s="219"/>
    </row>
    <row r="285">
      <c r="A285" s="218">
        <f t="shared" si="1"/>
        <v>284</v>
      </c>
      <c r="B285" s="218" t="s">
        <v>202</v>
      </c>
      <c r="C285" s="218" t="s">
        <v>1855</v>
      </c>
      <c r="D285" s="218" t="b">
        <v>1</v>
      </c>
      <c r="E285" s="219" t="b">
        <v>0</v>
      </c>
      <c r="F285" s="219" t="b">
        <v>0</v>
      </c>
      <c r="G285" s="219"/>
    </row>
    <row r="286">
      <c r="A286" s="218">
        <f t="shared" si="1"/>
        <v>285</v>
      </c>
      <c r="B286" s="218" t="s">
        <v>202</v>
      </c>
      <c r="C286" s="218" t="s">
        <v>1860</v>
      </c>
      <c r="D286" s="218" t="b">
        <v>1</v>
      </c>
      <c r="E286" s="219" t="b">
        <v>0</v>
      </c>
      <c r="F286" s="219" t="b">
        <v>0</v>
      </c>
      <c r="G286" s="219"/>
    </row>
    <row r="287">
      <c r="A287" s="218">
        <f t="shared" si="1"/>
        <v>286</v>
      </c>
      <c r="B287" s="218" t="s">
        <v>202</v>
      </c>
      <c r="C287" s="218" t="s">
        <v>1882</v>
      </c>
      <c r="D287" s="218" t="b">
        <v>1</v>
      </c>
      <c r="E287" s="219" t="b">
        <v>0</v>
      </c>
      <c r="F287" s="219" t="b">
        <v>0</v>
      </c>
      <c r="G287" s="219"/>
    </row>
    <row r="288">
      <c r="A288" s="218">
        <f t="shared" si="1"/>
        <v>287</v>
      </c>
      <c r="B288" s="218" t="s">
        <v>202</v>
      </c>
      <c r="C288" s="218" t="s">
        <v>1887</v>
      </c>
      <c r="D288" s="218" t="b">
        <v>1</v>
      </c>
      <c r="E288" s="219" t="b">
        <v>0</v>
      </c>
      <c r="F288" s="219" t="b">
        <v>0</v>
      </c>
      <c r="G288" s="219"/>
    </row>
    <row r="289">
      <c r="A289" s="218">
        <f t="shared" si="1"/>
        <v>288</v>
      </c>
      <c r="B289" s="218" t="s">
        <v>202</v>
      </c>
      <c r="C289" s="218" t="s">
        <v>1904</v>
      </c>
      <c r="D289" s="218" t="b">
        <v>1</v>
      </c>
      <c r="E289" s="219" t="b">
        <v>0</v>
      </c>
      <c r="F289" s="219" t="b">
        <v>0</v>
      </c>
      <c r="G289" s="219"/>
    </row>
    <row r="290">
      <c r="A290" s="218">
        <f t="shared" si="1"/>
        <v>289</v>
      </c>
      <c r="B290" s="218" t="s">
        <v>202</v>
      </c>
      <c r="C290" s="218" t="s">
        <v>1927</v>
      </c>
      <c r="D290" s="218" t="b">
        <v>1</v>
      </c>
      <c r="E290" s="219" t="b">
        <v>0</v>
      </c>
      <c r="F290" s="219" t="b">
        <v>0</v>
      </c>
      <c r="G290" s="219"/>
    </row>
    <row r="291">
      <c r="A291" s="218">
        <f t="shared" si="1"/>
        <v>290</v>
      </c>
      <c r="B291" s="218" t="s">
        <v>202</v>
      </c>
      <c r="C291" s="218" t="s">
        <v>1804</v>
      </c>
      <c r="D291" s="218" t="b">
        <v>1</v>
      </c>
      <c r="E291" s="219" t="b">
        <v>0</v>
      </c>
      <c r="F291" s="219" t="b">
        <v>0</v>
      </c>
      <c r="G291" s="219"/>
    </row>
    <row r="292">
      <c r="A292" s="218">
        <f t="shared" si="1"/>
        <v>291</v>
      </c>
      <c r="B292" s="218" t="s">
        <v>202</v>
      </c>
      <c r="C292" s="218" t="s">
        <v>1794</v>
      </c>
      <c r="D292" s="218" t="b">
        <v>1</v>
      </c>
      <c r="E292" s="219" t="b">
        <v>0</v>
      </c>
      <c r="F292" s="219" t="b">
        <v>0</v>
      </c>
      <c r="G292" s="219"/>
    </row>
    <row r="293">
      <c r="A293" s="218">
        <f t="shared" si="1"/>
        <v>292</v>
      </c>
      <c r="B293" s="218" t="s">
        <v>202</v>
      </c>
      <c r="C293" s="218" t="s">
        <v>2061</v>
      </c>
      <c r="D293" s="218" t="b">
        <v>1</v>
      </c>
      <c r="E293" s="219" t="b">
        <v>0</v>
      </c>
      <c r="F293" s="219" t="b">
        <v>0</v>
      </c>
      <c r="G293" s="219"/>
    </row>
    <row r="294">
      <c r="A294" s="218">
        <f t="shared" si="1"/>
        <v>293</v>
      </c>
      <c r="B294" s="218" t="s">
        <v>202</v>
      </c>
      <c r="C294" s="218" t="s">
        <v>1809</v>
      </c>
      <c r="D294" s="218" t="b">
        <v>1</v>
      </c>
      <c r="E294" s="219" t="b">
        <v>0</v>
      </c>
      <c r="F294" s="219" t="b">
        <v>0</v>
      </c>
      <c r="G294" s="219"/>
    </row>
    <row r="295">
      <c r="A295" s="218">
        <f t="shared" si="1"/>
        <v>294</v>
      </c>
      <c r="B295" s="218" t="s">
        <v>202</v>
      </c>
      <c r="C295" s="218" t="s">
        <v>1919</v>
      </c>
      <c r="D295" s="218" t="b">
        <v>1</v>
      </c>
      <c r="E295" s="219" t="b">
        <v>0</v>
      </c>
      <c r="F295" s="219" t="b">
        <v>0</v>
      </c>
      <c r="G295" s="219"/>
    </row>
    <row r="296">
      <c r="A296" s="218">
        <f t="shared" si="1"/>
        <v>295</v>
      </c>
      <c r="B296" s="218" t="s">
        <v>202</v>
      </c>
      <c r="C296" s="218" t="s">
        <v>2042</v>
      </c>
      <c r="D296" s="218" t="b">
        <v>1</v>
      </c>
      <c r="E296" s="219" t="b">
        <v>0</v>
      </c>
      <c r="F296" s="219" t="b">
        <v>0</v>
      </c>
      <c r="G296" s="219"/>
    </row>
    <row r="297">
      <c r="A297" s="218">
        <f t="shared" si="1"/>
        <v>296</v>
      </c>
      <c r="B297" s="218" t="s">
        <v>202</v>
      </c>
      <c r="C297" s="218" t="s">
        <v>2819</v>
      </c>
      <c r="D297" s="218" t="b">
        <v>1</v>
      </c>
      <c r="E297" s="219" t="b">
        <v>0</v>
      </c>
      <c r="F297" s="219" t="b">
        <v>0</v>
      </c>
      <c r="G297" s="219"/>
    </row>
    <row r="298">
      <c r="A298" s="218">
        <f t="shared" si="1"/>
        <v>297</v>
      </c>
      <c r="B298" s="218" t="s">
        <v>202</v>
      </c>
      <c r="C298" s="218" t="s">
        <v>3678</v>
      </c>
      <c r="D298" s="218" t="b">
        <v>1</v>
      </c>
      <c r="E298" s="219" t="b">
        <v>0</v>
      </c>
      <c r="F298" s="219" t="b">
        <v>0</v>
      </c>
      <c r="G298" s="219"/>
    </row>
    <row r="299">
      <c r="A299" s="218">
        <f t="shared" si="1"/>
        <v>298</v>
      </c>
      <c r="B299" s="218" t="s">
        <v>202</v>
      </c>
      <c r="C299" s="218" t="s">
        <v>2824</v>
      </c>
      <c r="D299" s="218" t="b">
        <v>1</v>
      </c>
      <c r="E299" s="219" t="b">
        <v>0</v>
      </c>
      <c r="F299" s="219" t="b">
        <v>0</v>
      </c>
      <c r="G299" s="219"/>
    </row>
    <row r="300">
      <c r="A300" s="218">
        <f t="shared" si="1"/>
        <v>299</v>
      </c>
      <c r="B300" s="218" t="s">
        <v>202</v>
      </c>
      <c r="C300" s="218" t="s">
        <v>2838</v>
      </c>
      <c r="D300" s="218" t="b">
        <v>1</v>
      </c>
      <c r="E300" s="219" t="b">
        <v>0</v>
      </c>
      <c r="F300" s="219" t="b">
        <v>0</v>
      </c>
      <c r="G300" s="219"/>
    </row>
    <row r="301">
      <c r="A301" s="218">
        <f t="shared" si="1"/>
        <v>300</v>
      </c>
      <c r="B301" s="218" t="s">
        <v>202</v>
      </c>
      <c r="C301" s="218" t="s">
        <v>2848</v>
      </c>
      <c r="D301" s="218" t="b">
        <v>1</v>
      </c>
      <c r="E301" s="219" t="b">
        <v>0</v>
      </c>
      <c r="F301" s="219" t="b">
        <v>0</v>
      </c>
      <c r="G301" s="219"/>
    </row>
    <row r="302">
      <c r="A302" s="218">
        <f t="shared" si="1"/>
        <v>301</v>
      </c>
      <c r="B302" s="218" t="s">
        <v>202</v>
      </c>
      <c r="C302" s="218" t="s">
        <v>2853</v>
      </c>
      <c r="D302" s="218" t="b">
        <v>1</v>
      </c>
      <c r="E302" s="219" t="b">
        <v>0</v>
      </c>
      <c r="F302" s="219" t="b">
        <v>0</v>
      </c>
      <c r="G302" s="219"/>
    </row>
    <row r="303">
      <c r="A303" s="218">
        <f t="shared" si="1"/>
        <v>302</v>
      </c>
      <c r="B303" s="218" t="s">
        <v>202</v>
      </c>
      <c r="C303" s="218" t="s">
        <v>3062</v>
      </c>
      <c r="D303" s="218" t="b">
        <v>1</v>
      </c>
      <c r="E303" s="219" t="b">
        <v>0</v>
      </c>
      <c r="F303" s="219" t="b">
        <v>0</v>
      </c>
      <c r="G303" s="219"/>
    </row>
    <row r="304">
      <c r="A304" s="218">
        <f t="shared" si="1"/>
        <v>303</v>
      </c>
      <c r="B304" s="218" t="s">
        <v>202</v>
      </c>
      <c r="C304" s="218" t="s">
        <v>2872</v>
      </c>
      <c r="D304" s="218" t="b">
        <v>1</v>
      </c>
      <c r="E304" s="219" t="b">
        <v>0</v>
      </c>
      <c r="F304" s="219" t="b">
        <v>0</v>
      </c>
      <c r="G304" s="219"/>
    </row>
    <row r="305">
      <c r="A305" s="218">
        <f t="shared" si="1"/>
        <v>304</v>
      </c>
      <c r="B305" s="218" t="s">
        <v>202</v>
      </c>
      <c r="C305" s="218" t="s">
        <v>2867</v>
      </c>
      <c r="D305" s="218" t="b">
        <v>1</v>
      </c>
      <c r="E305" s="219" t="b">
        <v>0</v>
      </c>
      <c r="F305" s="219" t="b">
        <v>0</v>
      </c>
      <c r="G305" s="219"/>
    </row>
    <row r="306">
      <c r="A306" s="218">
        <f t="shared" si="1"/>
        <v>305</v>
      </c>
      <c r="B306" s="218" t="s">
        <v>202</v>
      </c>
      <c r="C306" s="218" t="s">
        <v>2883</v>
      </c>
      <c r="D306" s="218" t="b">
        <v>1</v>
      </c>
      <c r="E306" s="219" t="b">
        <v>0</v>
      </c>
      <c r="F306" s="219" t="b">
        <v>0</v>
      </c>
      <c r="G306" s="219"/>
    </row>
    <row r="307">
      <c r="A307" s="218">
        <f t="shared" si="1"/>
        <v>306</v>
      </c>
      <c r="B307" s="218" t="s">
        <v>202</v>
      </c>
      <c r="C307" s="218" t="s">
        <v>2875</v>
      </c>
      <c r="D307" s="218" t="b">
        <v>1</v>
      </c>
      <c r="E307" s="219" t="b">
        <v>0</v>
      </c>
      <c r="F307" s="219" t="b">
        <v>0</v>
      </c>
      <c r="G307" s="219"/>
    </row>
    <row r="308">
      <c r="A308" s="218">
        <f t="shared" si="1"/>
        <v>307</v>
      </c>
      <c r="B308" s="218" t="s">
        <v>202</v>
      </c>
      <c r="C308" s="218" t="s">
        <v>2888</v>
      </c>
      <c r="D308" s="218" t="b">
        <v>1</v>
      </c>
      <c r="E308" s="219" t="b">
        <v>0</v>
      </c>
      <c r="F308" s="219" t="b">
        <v>0</v>
      </c>
      <c r="G308" s="219"/>
    </row>
    <row r="309">
      <c r="A309" s="218">
        <f t="shared" si="1"/>
        <v>308</v>
      </c>
      <c r="B309" s="218" t="s">
        <v>202</v>
      </c>
      <c r="C309" s="218" t="s">
        <v>704</v>
      </c>
      <c r="D309" s="218" t="b">
        <v>1</v>
      </c>
      <c r="E309" s="219" t="b">
        <v>0</v>
      </c>
      <c r="F309" s="219" t="b">
        <v>0</v>
      </c>
      <c r="G309" s="219"/>
    </row>
    <row r="310">
      <c r="A310" s="218">
        <f t="shared" si="1"/>
        <v>309</v>
      </c>
      <c r="B310" s="218" t="s">
        <v>202</v>
      </c>
      <c r="C310" s="218" t="s">
        <v>2893</v>
      </c>
      <c r="D310" s="218" t="b">
        <v>1</v>
      </c>
      <c r="E310" s="219" t="b">
        <v>0</v>
      </c>
      <c r="F310" s="219" t="b">
        <v>0</v>
      </c>
      <c r="G310" s="219"/>
    </row>
    <row r="311">
      <c r="A311" s="218">
        <f t="shared" si="1"/>
        <v>310</v>
      </c>
      <c r="B311" s="218" t="s">
        <v>202</v>
      </c>
      <c r="C311" s="218" t="s">
        <v>2944</v>
      </c>
      <c r="D311" s="218" t="b">
        <v>1</v>
      </c>
      <c r="E311" s="219" t="b">
        <v>0</v>
      </c>
      <c r="F311" s="219" t="b">
        <v>0</v>
      </c>
      <c r="G311" s="219"/>
    </row>
    <row r="312">
      <c r="A312" s="218">
        <f t="shared" si="1"/>
        <v>311</v>
      </c>
      <c r="B312" s="218" t="s">
        <v>202</v>
      </c>
      <c r="C312" s="218" t="s">
        <v>2897</v>
      </c>
      <c r="D312" s="218" t="b">
        <v>1</v>
      </c>
      <c r="E312" s="219" t="b">
        <v>0</v>
      </c>
      <c r="F312" s="219" t="b">
        <v>0</v>
      </c>
      <c r="G312" s="219"/>
    </row>
    <row r="313">
      <c r="A313" s="218">
        <f t="shared" si="1"/>
        <v>312</v>
      </c>
      <c r="B313" s="218" t="s">
        <v>202</v>
      </c>
      <c r="C313" s="218" t="s">
        <v>471</v>
      </c>
      <c r="D313" s="218" t="b">
        <v>1</v>
      </c>
      <c r="E313" s="219" t="b">
        <v>0</v>
      </c>
      <c r="F313" s="219" t="b">
        <v>0</v>
      </c>
      <c r="G313" s="219"/>
    </row>
    <row r="314">
      <c r="A314" s="218">
        <f t="shared" si="1"/>
        <v>313</v>
      </c>
      <c r="B314" s="218" t="s">
        <v>202</v>
      </c>
      <c r="C314" s="218" t="s">
        <v>2902</v>
      </c>
      <c r="D314" s="218" t="b">
        <v>1</v>
      </c>
      <c r="E314" s="219" t="b">
        <v>0</v>
      </c>
      <c r="F314" s="219" t="b">
        <v>0</v>
      </c>
      <c r="G314" s="219"/>
    </row>
    <row r="315">
      <c r="A315" s="218">
        <f t="shared" si="1"/>
        <v>314</v>
      </c>
      <c r="B315" s="218" t="s">
        <v>202</v>
      </c>
      <c r="C315" s="218" t="s">
        <v>2916</v>
      </c>
      <c r="D315" s="218" t="b">
        <v>1</v>
      </c>
      <c r="E315" s="219" t="b">
        <v>0</v>
      </c>
      <c r="F315" s="219" t="b">
        <v>0</v>
      </c>
      <c r="G315" s="219"/>
    </row>
    <row r="316">
      <c r="A316" s="218">
        <f t="shared" si="1"/>
        <v>315</v>
      </c>
      <c r="B316" s="218" t="s">
        <v>202</v>
      </c>
      <c r="C316" s="218" t="s">
        <v>3599</v>
      </c>
      <c r="D316" s="218" t="b">
        <v>1</v>
      </c>
      <c r="E316" s="219" t="b">
        <v>0</v>
      </c>
      <c r="F316" s="219" t="b">
        <v>0</v>
      </c>
      <c r="G316" s="219"/>
    </row>
    <row r="317">
      <c r="A317" s="218">
        <f t="shared" si="1"/>
        <v>316</v>
      </c>
      <c r="B317" s="218" t="s">
        <v>202</v>
      </c>
      <c r="C317" s="218" t="s">
        <v>2921</v>
      </c>
      <c r="D317" s="218" t="b">
        <v>1</v>
      </c>
      <c r="E317" s="219" t="b">
        <v>0</v>
      </c>
      <c r="F317" s="219" t="b">
        <v>0</v>
      </c>
      <c r="G317" s="219"/>
    </row>
    <row r="318">
      <c r="A318" s="218">
        <f t="shared" si="1"/>
        <v>317</v>
      </c>
      <c r="B318" s="218" t="s">
        <v>202</v>
      </c>
      <c r="C318" s="218" t="s">
        <v>2926</v>
      </c>
      <c r="D318" s="218" t="b">
        <v>1</v>
      </c>
      <c r="E318" s="219" t="b">
        <v>0</v>
      </c>
      <c r="F318" s="219" t="b">
        <v>0</v>
      </c>
      <c r="G318" s="219"/>
    </row>
    <row r="319">
      <c r="A319" s="218">
        <f t="shared" si="1"/>
        <v>318</v>
      </c>
      <c r="B319" s="218" t="s">
        <v>202</v>
      </c>
      <c r="C319" s="218" t="s">
        <v>1342</v>
      </c>
      <c r="D319" s="218" t="b">
        <v>1</v>
      </c>
      <c r="E319" s="219" t="b">
        <v>0</v>
      </c>
      <c r="F319" s="219" t="b">
        <v>0</v>
      </c>
      <c r="G319" s="219"/>
    </row>
    <row r="320">
      <c r="A320" s="218">
        <f t="shared" si="1"/>
        <v>319</v>
      </c>
      <c r="B320" s="218" t="s">
        <v>202</v>
      </c>
      <c r="C320" s="218" t="s">
        <v>2931</v>
      </c>
      <c r="D320" s="218" t="b">
        <v>1</v>
      </c>
      <c r="E320" s="219" t="b">
        <v>0</v>
      </c>
      <c r="F320" s="219" t="b">
        <v>0</v>
      </c>
      <c r="G320" s="219"/>
    </row>
    <row r="321">
      <c r="A321" s="218">
        <f t="shared" si="1"/>
        <v>320</v>
      </c>
      <c r="B321" s="218" t="s">
        <v>202</v>
      </c>
      <c r="C321" s="218" t="s">
        <v>2935</v>
      </c>
      <c r="D321" s="218" t="b">
        <v>1</v>
      </c>
      <c r="E321" s="219" t="b">
        <v>0</v>
      </c>
      <c r="F321" s="219" t="b">
        <v>0</v>
      </c>
      <c r="G321" s="219"/>
    </row>
    <row r="322">
      <c r="A322" s="218">
        <f t="shared" si="1"/>
        <v>321</v>
      </c>
      <c r="B322" s="218" t="s">
        <v>202</v>
      </c>
      <c r="C322" s="218" t="s">
        <v>3057</v>
      </c>
      <c r="D322" s="218" t="b">
        <v>1</v>
      </c>
      <c r="E322" s="219" t="b">
        <v>0</v>
      </c>
      <c r="F322" s="219" t="b">
        <v>0</v>
      </c>
      <c r="G322" s="219"/>
    </row>
    <row r="323">
      <c r="A323" s="218">
        <f t="shared" si="1"/>
        <v>322</v>
      </c>
      <c r="B323" s="218" t="s">
        <v>202</v>
      </c>
      <c r="C323" s="218" t="s">
        <v>2954</v>
      </c>
      <c r="D323" s="218" t="b">
        <v>1</v>
      </c>
      <c r="E323" s="219" t="b">
        <v>0</v>
      </c>
      <c r="F323" s="219" t="b">
        <v>0</v>
      </c>
      <c r="G323" s="219"/>
    </row>
    <row r="324">
      <c r="A324" s="218">
        <f t="shared" si="1"/>
        <v>323</v>
      </c>
      <c r="B324" s="218" t="s">
        <v>202</v>
      </c>
      <c r="C324" s="218" t="s">
        <v>2978</v>
      </c>
      <c r="D324" s="218" t="b">
        <v>1</v>
      </c>
      <c r="E324" s="219" t="b">
        <v>0</v>
      </c>
      <c r="F324" s="219" t="b">
        <v>0</v>
      </c>
      <c r="G324" s="219"/>
    </row>
    <row r="325">
      <c r="A325" s="218">
        <f t="shared" si="1"/>
        <v>324</v>
      </c>
      <c r="B325" s="218" t="s">
        <v>202</v>
      </c>
      <c r="C325" s="218" t="s">
        <v>5109</v>
      </c>
      <c r="D325" s="218" t="b">
        <v>1</v>
      </c>
      <c r="E325" s="219" t="b">
        <v>0</v>
      </c>
      <c r="F325" s="219" t="b">
        <v>0</v>
      </c>
      <c r="G325" s="219"/>
    </row>
    <row r="326">
      <c r="A326" s="218">
        <f t="shared" si="1"/>
        <v>325</v>
      </c>
      <c r="B326" s="218" t="s">
        <v>202</v>
      </c>
      <c r="C326" s="218" t="s">
        <v>2968</v>
      </c>
      <c r="D326" s="218" t="b">
        <v>1</v>
      </c>
      <c r="E326" s="219" t="b">
        <v>0</v>
      </c>
      <c r="F326" s="219" t="b">
        <v>0</v>
      </c>
      <c r="G326" s="219"/>
    </row>
    <row r="327">
      <c r="A327" s="218">
        <f t="shared" si="1"/>
        <v>326</v>
      </c>
      <c r="B327" s="218" t="s">
        <v>202</v>
      </c>
      <c r="C327" s="218" t="s">
        <v>1960</v>
      </c>
      <c r="D327" s="218" t="b">
        <v>1</v>
      </c>
      <c r="E327" s="219" t="b">
        <v>0</v>
      </c>
      <c r="F327" s="219" t="b">
        <v>0</v>
      </c>
      <c r="G327" s="219"/>
    </row>
    <row r="328">
      <c r="A328" s="218">
        <f t="shared" si="1"/>
        <v>327</v>
      </c>
      <c r="B328" s="218" t="s">
        <v>202</v>
      </c>
      <c r="C328" s="218" t="s">
        <v>1960</v>
      </c>
      <c r="D328" s="218" t="b">
        <v>1</v>
      </c>
      <c r="E328" s="219" t="b">
        <v>0</v>
      </c>
      <c r="F328" s="219" t="b">
        <v>0</v>
      </c>
      <c r="G328" s="219"/>
    </row>
    <row r="329">
      <c r="A329" s="218">
        <f t="shared" si="1"/>
        <v>328</v>
      </c>
      <c r="B329" s="218" t="s">
        <v>202</v>
      </c>
      <c r="C329" s="218" t="s">
        <v>3042</v>
      </c>
      <c r="D329" s="218" t="b">
        <v>1</v>
      </c>
      <c r="E329" s="219" t="b">
        <v>0</v>
      </c>
      <c r="F329" s="219" t="b">
        <v>0</v>
      </c>
      <c r="G329" s="219"/>
    </row>
    <row r="330">
      <c r="A330" s="218">
        <f t="shared" si="1"/>
        <v>329</v>
      </c>
      <c r="B330" s="218" t="s">
        <v>202</v>
      </c>
      <c r="C330" s="218" t="s">
        <v>4808</v>
      </c>
      <c r="D330" s="218" t="b">
        <v>1</v>
      </c>
      <c r="E330" s="219" t="b">
        <v>0</v>
      </c>
      <c r="F330" s="219" t="b">
        <v>0</v>
      </c>
      <c r="G330" s="219"/>
    </row>
    <row r="331">
      <c r="A331" s="218">
        <f t="shared" si="1"/>
        <v>330</v>
      </c>
      <c r="B331" s="218" t="s">
        <v>202</v>
      </c>
      <c r="C331" s="218" t="s">
        <v>3037</v>
      </c>
      <c r="D331" s="218" t="b">
        <v>1</v>
      </c>
      <c r="E331" s="219" t="b">
        <v>0</v>
      </c>
      <c r="F331" s="219" t="b">
        <v>0</v>
      </c>
      <c r="G331" s="219"/>
    </row>
    <row r="332">
      <c r="A332" s="218">
        <f t="shared" si="1"/>
        <v>331</v>
      </c>
      <c r="B332" s="218" t="s">
        <v>202</v>
      </c>
      <c r="C332" s="218" t="s">
        <v>5476</v>
      </c>
      <c r="D332" s="218" t="b">
        <v>1</v>
      </c>
      <c r="E332" s="219" t="b">
        <v>0</v>
      </c>
      <c r="F332" s="219" t="b">
        <v>0</v>
      </c>
      <c r="G332" s="219"/>
    </row>
    <row r="333">
      <c r="A333" s="218">
        <f t="shared" si="1"/>
        <v>332</v>
      </c>
      <c r="B333" s="218" t="s">
        <v>202</v>
      </c>
      <c r="C333" s="218" t="s">
        <v>2995</v>
      </c>
      <c r="D333" s="218" t="b">
        <v>1</v>
      </c>
      <c r="E333" s="219" t="b">
        <v>0</v>
      </c>
      <c r="F333" s="219" t="b">
        <v>0</v>
      </c>
      <c r="G333" s="219"/>
    </row>
    <row r="334">
      <c r="A334" s="218">
        <f t="shared" si="1"/>
        <v>333</v>
      </c>
      <c r="B334" s="218" t="s">
        <v>202</v>
      </c>
      <c r="C334" s="218" t="s">
        <v>540</v>
      </c>
      <c r="D334" s="218" t="b">
        <v>1</v>
      </c>
      <c r="E334" s="219" t="b">
        <v>0</v>
      </c>
      <c r="F334" s="219" t="b">
        <v>0</v>
      </c>
      <c r="G334" s="219"/>
    </row>
    <row r="335">
      <c r="A335" s="218">
        <f t="shared" si="1"/>
        <v>334</v>
      </c>
      <c r="B335" s="218" t="s">
        <v>202</v>
      </c>
      <c r="C335" s="218" t="s">
        <v>545</v>
      </c>
      <c r="D335" s="218" t="b">
        <v>1</v>
      </c>
      <c r="E335" s="219" t="b">
        <v>0</v>
      </c>
      <c r="F335" s="219" t="b">
        <v>0</v>
      </c>
      <c r="G335" s="219"/>
    </row>
    <row r="336">
      <c r="A336" s="218">
        <f t="shared" si="1"/>
        <v>335</v>
      </c>
      <c r="B336" s="218" t="s">
        <v>202</v>
      </c>
      <c r="C336" s="218" t="s">
        <v>2310</v>
      </c>
      <c r="D336" s="218" t="b">
        <v>1</v>
      </c>
      <c r="E336" s="219" t="b">
        <v>0</v>
      </c>
      <c r="F336" s="219" t="b">
        <v>0</v>
      </c>
      <c r="G336" s="219"/>
    </row>
    <row r="337">
      <c r="A337" s="218">
        <f t="shared" si="1"/>
        <v>336</v>
      </c>
      <c r="B337" s="218" t="s">
        <v>202</v>
      </c>
      <c r="C337" s="218" t="s">
        <v>555</v>
      </c>
      <c r="D337" s="218" t="b">
        <v>1</v>
      </c>
      <c r="E337" s="219" t="b">
        <v>0</v>
      </c>
      <c r="F337" s="219" t="b">
        <v>0</v>
      </c>
      <c r="G337" s="219"/>
    </row>
    <row r="338">
      <c r="A338" s="218">
        <f t="shared" si="1"/>
        <v>337</v>
      </c>
      <c r="B338" s="218" t="s">
        <v>202</v>
      </c>
      <c r="C338" s="218" t="s">
        <v>564</v>
      </c>
      <c r="D338" s="218" t="b">
        <v>1</v>
      </c>
      <c r="E338" s="219" t="b">
        <v>0</v>
      </c>
      <c r="F338" s="219" t="b">
        <v>0</v>
      </c>
      <c r="G338" s="219"/>
    </row>
    <row r="339">
      <c r="A339" s="218">
        <f t="shared" si="1"/>
        <v>338</v>
      </c>
      <c r="B339" s="218" t="s">
        <v>202</v>
      </c>
      <c r="C339" s="218" t="s">
        <v>617</v>
      </c>
      <c r="D339" s="218" t="b">
        <v>1</v>
      </c>
      <c r="E339" s="219" t="b">
        <v>0</v>
      </c>
      <c r="F339" s="219" t="b">
        <v>0</v>
      </c>
      <c r="G339" s="219"/>
    </row>
    <row r="340">
      <c r="A340" s="218">
        <f t="shared" si="1"/>
        <v>339</v>
      </c>
      <c r="B340" s="218" t="s">
        <v>202</v>
      </c>
      <c r="C340" s="218" t="s">
        <v>612</v>
      </c>
      <c r="D340" s="218" t="b">
        <v>1</v>
      </c>
      <c r="E340" s="219" t="b">
        <v>0</v>
      </c>
      <c r="F340" s="219" t="b">
        <v>0</v>
      </c>
      <c r="G340" s="219"/>
    </row>
    <row r="341">
      <c r="A341" s="218">
        <f t="shared" si="1"/>
        <v>340</v>
      </c>
      <c r="B341" s="218" t="s">
        <v>202</v>
      </c>
      <c r="C341" s="218" t="s">
        <v>608</v>
      </c>
      <c r="D341" s="218" t="b">
        <v>1</v>
      </c>
      <c r="E341" s="219" t="b">
        <v>0</v>
      </c>
      <c r="F341" s="219" t="b">
        <v>0</v>
      </c>
      <c r="G341" s="219"/>
    </row>
    <row r="342">
      <c r="A342" s="218">
        <f t="shared" si="1"/>
        <v>341</v>
      </c>
      <c r="B342" s="218" t="s">
        <v>202</v>
      </c>
      <c r="C342" s="218" t="s">
        <v>4296</v>
      </c>
      <c r="D342" s="218" t="b">
        <v>1</v>
      </c>
      <c r="E342" s="219" t="b">
        <v>0</v>
      </c>
      <c r="F342" s="219" t="b">
        <v>0</v>
      </c>
      <c r="G342" s="219"/>
    </row>
    <row r="343">
      <c r="A343" s="218">
        <f t="shared" si="1"/>
        <v>342</v>
      </c>
      <c r="B343" s="218" t="s">
        <v>202</v>
      </c>
      <c r="C343" s="218" t="s">
        <v>598</v>
      </c>
      <c r="D343" s="218" t="b">
        <v>1</v>
      </c>
      <c r="E343" s="219" t="b">
        <v>0</v>
      </c>
      <c r="F343" s="219" t="b">
        <v>0</v>
      </c>
      <c r="G343" s="219"/>
    </row>
    <row r="344">
      <c r="A344" s="218">
        <f t="shared" si="1"/>
        <v>343</v>
      </c>
      <c r="B344" s="218" t="s">
        <v>202</v>
      </c>
      <c r="C344" s="218" t="s">
        <v>1955</v>
      </c>
      <c r="D344" s="218" t="b">
        <v>1</v>
      </c>
      <c r="E344" s="219" t="b">
        <v>0</v>
      </c>
      <c r="F344" s="219" t="b">
        <v>0</v>
      </c>
      <c r="G344" s="219"/>
    </row>
    <row r="345">
      <c r="A345" s="218">
        <f t="shared" si="1"/>
        <v>344</v>
      </c>
      <c r="B345" s="218" t="s">
        <v>202</v>
      </c>
      <c r="C345" s="218" t="s">
        <v>603</v>
      </c>
      <c r="D345" s="218" t="b">
        <v>1</v>
      </c>
      <c r="E345" s="219" t="b">
        <v>0</v>
      </c>
      <c r="F345" s="219" t="b">
        <v>0</v>
      </c>
      <c r="G345" s="219"/>
    </row>
    <row r="346">
      <c r="A346" s="218">
        <f t="shared" si="1"/>
        <v>345</v>
      </c>
      <c r="B346" s="218" t="s">
        <v>202</v>
      </c>
      <c r="C346" s="218" t="s">
        <v>2509</v>
      </c>
      <c r="D346" s="218" t="b">
        <v>1</v>
      </c>
      <c r="E346" s="219" t="b">
        <v>0</v>
      </c>
      <c r="F346" s="219" t="b">
        <v>0</v>
      </c>
      <c r="G346" s="219"/>
    </row>
    <row r="347">
      <c r="A347" s="218">
        <f t="shared" si="1"/>
        <v>346</v>
      </c>
      <c r="B347" s="218" t="s">
        <v>202</v>
      </c>
      <c r="C347" s="218" t="s">
        <v>593</v>
      </c>
      <c r="D347" s="218" t="b">
        <v>1</v>
      </c>
      <c r="E347" s="219" t="b">
        <v>0</v>
      </c>
      <c r="F347" s="219" t="b">
        <v>0</v>
      </c>
      <c r="G347" s="219"/>
    </row>
    <row r="348">
      <c r="A348" s="218">
        <f t="shared" si="1"/>
        <v>347</v>
      </c>
      <c r="B348" s="218" t="s">
        <v>202</v>
      </c>
      <c r="C348" s="218" t="s">
        <v>3438</v>
      </c>
      <c r="D348" s="218" t="b">
        <v>1</v>
      </c>
      <c r="E348" s="219" t="b">
        <v>0</v>
      </c>
      <c r="F348" s="219" t="b">
        <v>0</v>
      </c>
      <c r="G348" s="219"/>
    </row>
    <row r="349">
      <c r="A349" s="218">
        <f t="shared" si="1"/>
        <v>348</v>
      </c>
      <c r="B349" s="218" t="s">
        <v>202</v>
      </c>
      <c r="C349" s="218" t="s">
        <v>589</v>
      </c>
      <c r="D349" s="218" t="b">
        <v>1</v>
      </c>
      <c r="E349" s="219" t="b">
        <v>0</v>
      </c>
      <c r="F349" s="219" t="b">
        <v>0</v>
      </c>
      <c r="G349" s="219"/>
    </row>
    <row r="350">
      <c r="A350" s="218">
        <f t="shared" si="1"/>
        <v>349</v>
      </c>
      <c r="B350" s="218" t="s">
        <v>202</v>
      </c>
      <c r="C350" s="218" t="s">
        <v>2261</v>
      </c>
      <c r="D350" s="218" t="b">
        <v>1</v>
      </c>
      <c r="E350" s="219" t="b">
        <v>0</v>
      </c>
      <c r="F350" s="219" t="b">
        <v>0</v>
      </c>
      <c r="G350" s="219"/>
    </row>
    <row r="351">
      <c r="A351" s="218">
        <f t="shared" si="1"/>
        <v>350</v>
      </c>
      <c r="B351" s="218" t="s">
        <v>202</v>
      </c>
      <c r="C351" s="218" t="s">
        <v>729</v>
      </c>
      <c r="D351" s="218" t="b">
        <v>1</v>
      </c>
      <c r="E351" s="219" t="b">
        <v>0</v>
      </c>
      <c r="F351" s="219" t="b">
        <v>0</v>
      </c>
      <c r="G351" s="219"/>
    </row>
    <row r="352">
      <c r="A352" s="218">
        <f t="shared" si="1"/>
        <v>351</v>
      </c>
      <c r="B352" s="218" t="s">
        <v>202</v>
      </c>
      <c r="C352" s="218" t="s">
        <v>3539</v>
      </c>
      <c r="D352" s="218" t="b">
        <v>1</v>
      </c>
      <c r="E352" s="219" t="b">
        <v>0</v>
      </c>
      <c r="F352" s="219" t="b">
        <v>0</v>
      </c>
      <c r="G352" s="219"/>
    </row>
    <row r="353">
      <c r="A353" s="218">
        <f t="shared" si="1"/>
        <v>352</v>
      </c>
      <c r="B353" s="218" t="s">
        <v>202</v>
      </c>
      <c r="C353" s="218" t="s">
        <v>724</v>
      </c>
      <c r="D353" s="218" t="b">
        <v>1</v>
      </c>
      <c r="E353" s="219" t="b">
        <v>0</v>
      </c>
      <c r="F353" s="219" t="b">
        <v>0</v>
      </c>
      <c r="G353" s="219"/>
    </row>
    <row r="354">
      <c r="A354" s="218">
        <f t="shared" si="1"/>
        <v>353</v>
      </c>
      <c r="B354" s="218" t="s">
        <v>202</v>
      </c>
      <c r="C354" s="218" t="s">
        <v>797</v>
      </c>
      <c r="D354" s="218" t="b">
        <v>1</v>
      </c>
      <c r="E354" s="219" t="b">
        <v>0</v>
      </c>
      <c r="F354" s="219" t="b">
        <v>0</v>
      </c>
      <c r="G354" s="219"/>
    </row>
    <row r="355">
      <c r="A355" s="218">
        <f t="shared" si="1"/>
        <v>354</v>
      </c>
      <c r="B355" s="218" t="s">
        <v>202</v>
      </c>
      <c r="C355" s="218" t="s">
        <v>1146</v>
      </c>
      <c r="D355" s="218" t="b">
        <v>1</v>
      </c>
      <c r="E355" s="219" t="b">
        <v>0</v>
      </c>
      <c r="F355" s="219" t="b">
        <v>0</v>
      </c>
      <c r="G355" s="219"/>
    </row>
    <row r="356">
      <c r="A356" s="218">
        <f t="shared" si="1"/>
        <v>355</v>
      </c>
      <c r="B356" s="218" t="s">
        <v>202</v>
      </c>
      <c r="C356" s="218" t="s">
        <v>787</v>
      </c>
      <c r="D356" s="218" t="b">
        <v>1</v>
      </c>
      <c r="E356" s="219" t="b">
        <v>0</v>
      </c>
      <c r="F356" s="219" t="b">
        <v>0</v>
      </c>
      <c r="G356" s="219"/>
    </row>
    <row r="357">
      <c r="A357" s="218">
        <f t="shared" si="1"/>
        <v>356</v>
      </c>
      <c r="B357" s="218" t="s">
        <v>202</v>
      </c>
      <c r="C357" s="218" t="s">
        <v>5409</v>
      </c>
      <c r="D357" s="218" t="b">
        <v>1</v>
      </c>
      <c r="E357" s="219" t="b">
        <v>0</v>
      </c>
      <c r="F357" s="219" t="b">
        <v>0</v>
      </c>
      <c r="G357" s="219"/>
    </row>
    <row r="358">
      <c r="A358" s="218">
        <f t="shared" si="1"/>
        <v>357</v>
      </c>
      <c r="B358" s="218" t="s">
        <v>202</v>
      </c>
      <c r="C358" s="218" t="s">
        <v>782</v>
      </c>
      <c r="D358" s="218" t="b">
        <v>1</v>
      </c>
      <c r="E358" s="219" t="b">
        <v>0</v>
      </c>
      <c r="F358" s="219" t="b">
        <v>0</v>
      </c>
      <c r="G358" s="219"/>
    </row>
    <row r="359">
      <c r="A359" s="218">
        <f t="shared" si="1"/>
        <v>358</v>
      </c>
      <c r="B359" s="218" t="s">
        <v>202</v>
      </c>
      <c r="C359" s="218" t="s">
        <v>392</v>
      </c>
      <c r="D359" s="218" t="b">
        <v>1</v>
      </c>
      <c r="E359" s="219" t="b">
        <v>0</v>
      </c>
      <c r="F359" s="219" t="b">
        <v>0</v>
      </c>
      <c r="G359" s="219"/>
    </row>
    <row r="360">
      <c r="A360" s="218">
        <f t="shared" si="1"/>
        <v>359</v>
      </c>
      <c r="B360" s="218" t="s">
        <v>202</v>
      </c>
      <c r="C360" s="218" t="s">
        <v>772</v>
      </c>
      <c r="D360" s="218" t="b">
        <v>1</v>
      </c>
      <c r="E360" s="219" t="b">
        <v>0</v>
      </c>
      <c r="F360" s="219" t="b">
        <v>0</v>
      </c>
      <c r="G360" s="219"/>
    </row>
    <row r="361">
      <c r="A361" s="218">
        <f t="shared" si="1"/>
        <v>360</v>
      </c>
      <c r="B361" s="218" t="s">
        <v>202</v>
      </c>
      <c r="C361" s="218" t="s">
        <v>679</v>
      </c>
      <c r="D361" s="218" t="b">
        <v>1</v>
      </c>
      <c r="E361" s="219" t="b">
        <v>0</v>
      </c>
      <c r="F361" s="219" t="b">
        <v>0</v>
      </c>
      <c r="G361" s="219"/>
    </row>
    <row r="362">
      <c r="A362" s="218">
        <f t="shared" si="1"/>
        <v>361</v>
      </c>
      <c r="B362" s="218" t="s">
        <v>202</v>
      </c>
      <c r="C362" s="218" t="s">
        <v>2375</v>
      </c>
      <c r="D362" s="218" t="b">
        <v>1</v>
      </c>
      <c r="E362" s="219" t="b">
        <v>0</v>
      </c>
      <c r="F362" s="219" t="b">
        <v>0</v>
      </c>
      <c r="G362" s="219"/>
    </row>
    <row r="363">
      <c r="A363" s="218">
        <f t="shared" si="1"/>
        <v>362</v>
      </c>
      <c r="B363" s="218" t="s">
        <v>202</v>
      </c>
      <c r="C363" s="218" t="s">
        <v>651</v>
      </c>
      <c r="D363" s="218" t="b">
        <v>1</v>
      </c>
      <c r="E363" s="219" t="b">
        <v>0</v>
      </c>
      <c r="F363" s="219" t="b">
        <v>0</v>
      </c>
      <c r="G363" s="219"/>
    </row>
    <row r="364">
      <c r="A364" s="218">
        <f t="shared" si="1"/>
        <v>363</v>
      </c>
      <c r="B364" s="218" t="s">
        <v>202</v>
      </c>
      <c r="C364" s="218" t="s">
        <v>5242</v>
      </c>
      <c r="D364" s="218" t="b">
        <v>1</v>
      </c>
      <c r="E364" s="219" t="b">
        <v>0</v>
      </c>
      <c r="F364" s="219" t="b">
        <v>0</v>
      </c>
      <c r="G364" s="219"/>
    </row>
    <row r="365">
      <c r="A365" s="218">
        <f t="shared" si="1"/>
        <v>364</v>
      </c>
      <c r="B365" s="218" t="s">
        <v>202</v>
      </c>
      <c r="C365" s="218" t="s">
        <v>684</v>
      </c>
      <c r="D365" s="218" t="b">
        <v>1</v>
      </c>
      <c r="E365" s="219" t="b">
        <v>0</v>
      </c>
      <c r="F365" s="219" t="b">
        <v>0</v>
      </c>
      <c r="G365" s="219"/>
    </row>
    <row r="366">
      <c r="A366" s="218">
        <f t="shared" si="1"/>
        <v>365</v>
      </c>
      <c r="B366" s="218" t="s">
        <v>202</v>
      </c>
      <c r="C366" s="218" t="s">
        <v>4728</v>
      </c>
      <c r="D366" s="218" t="b">
        <v>1</v>
      </c>
      <c r="E366" s="219" t="b">
        <v>0</v>
      </c>
      <c r="F366" s="219" t="b">
        <v>0</v>
      </c>
      <c r="G366" s="219"/>
    </row>
    <row r="367">
      <c r="A367" s="218">
        <f t="shared" si="1"/>
        <v>366</v>
      </c>
      <c r="B367" s="218" t="s">
        <v>202</v>
      </c>
      <c r="C367" s="218" t="s">
        <v>694</v>
      </c>
      <c r="D367" s="218" t="b">
        <v>1</v>
      </c>
      <c r="E367" s="219" t="b">
        <v>0</v>
      </c>
      <c r="F367" s="219" t="b">
        <v>0</v>
      </c>
      <c r="G367" s="219"/>
    </row>
    <row r="368">
      <c r="A368" s="218">
        <f t="shared" si="1"/>
        <v>367</v>
      </c>
      <c r="B368" s="218" t="s">
        <v>202</v>
      </c>
      <c r="C368" s="218" t="s">
        <v>5514</v>
      </c>
      <c r="D368" s="218" t="b">
        <v>1</v>
      </c>
      <c r="E368" s="219" t="b">
        <v>0</v>
      </c>
      <c r="F368" s="219" t="b">
        <v>0</v>
      </c>
      <c r="G368" s="219"/>
    </row>
    <row r="369">
      <c r="A369" s="218">
        <f t="shared" si="1"/>
        <v>368</v>
      </c>
      <c r="B369" s="218" t="s">
        <v>202</v>
      </c>
      <c r="C369" s="218" t="s">
        <v>646</v>
      </c>
      <c r="D369" s="218" t="b">
        <v>1</v>
      </c>
      <c r="E369" s="219" t="b">
        <v>0</v>
      </c>
      <c r="F369" s="219" t="b">
        <v>0</v>
      </c>
      <c r="G369" s="219"/>
    </row>
    <row r="370">
      <c r="A370" s="218">
        <f t="shared" si="1"/>
        <v>369</v>
      </c>
      <c r="B370" s="218" t="s">
        <v>202</v>
      </c>
      <c r="C370" s="218" t="s">
        <v>4416</v>
      </c>
      <c r="D370" s="218" t="b">
        <v>1</v>
      </c>
      <c r="E370" s="219" t="b">
        <v>0</v>
      </c>
      <c r="F370" s="219" t="b">
        <v>0</v>
      </c>
      <c r="G370" s="219"/>
    </row>
    <row r="371">
      <c r="A371" s="218">
        <f t="shared" si="1"/>
        <v>370</v>
      </c>
      <c r="B371" s="218" t="s">
        <v>202</v>
      </c>
      <c r="C371" s="218" t="s">
        <v>714</v>
      </c>
      <c r="D371" s="218" t="b">
        <v>1</v>
      </c>
      <c r="E371" s="219" t="b">
        <v>0</v>
      </c>
      <c r="F371" s="219" t="b">
        <v>0</v>
      </c>
      <c r="G371" s="219"/>
    </row>
    <row r="372">
      <c r="A372" s="218">
        <f t="shared" si="1"/>
        <v>371</v>
      </c>
      <c r="B372" s="218" t="s">
        <v>202</v>
      </c>
      <c r="C372" s="218" t="s">
        <v>699</v>
      </c>
      <c r="D372" s="218" t="b">
        <v>1</v>
      </c>
      <c r="E372" s="219" t="b">
        <v>0</v>
      </c>
      <c r="F372" s="219" t="b">
        <v>0</v>
      </c>
      <c r="G372" s="219"/>
    </row>
    <row r="373">
      <c r="A373" s="218">
        <f t="shared" si="1"/>
        <v>372</v>
      </c>
      <c r="B373" s="218" t="s">
        <v>202</v>
      </c>
      <c r="C373" s="218" t="s">
        <v>709</v>
      </c>
      <c r="D373" s="218" t="b">
        <v>1</v>
      </c>
      <c r="E373" s="219" t="b">
        <v>0</v>
      </c>
      <c r="F373" s="219" t="b">
        <v>0</v>
      </c>
      <c r="G373" s="219"/>
    </row>
    <row r="374">
      <c r="A374" s="218">
        <f t="shared" si="1"/>
        <v>373</v>
      </c>
      <c r="B374" s="218" t="s">
        <v>202</v>
      </c>
      <c r="C374" s="218" t="s">
        <v>689</v>
      </c>
      <c r="D374" s="218" t="b">
        <v>1</v>
      </c>
      <c r="E374" s="219" t="b">
        <v>0</v>
      </c>
      <c r="F374" s="219" t="b">
        <v>0</v>
      </c>
      <c r="G374" s="219"/>
    </row>
    <row r="375">
      <c r="A375" s="218">
        <f t="shared" si="1"/>
        <v>374</v>
      </c>
      <c r="B375" s="218" t="s">
        <v>202</v>
      </c>
      <c r="C375" s="218" t="s">
        <v>3795</v>
      </c>
      <c r="D375" s="218" t="b">
        <v>1</v>
      </c>
      <c r="E375" s="219" t="b">
        <v>0</v>
      </c>
      <c r="F375" s="219" t="b">
        <v>0</v>
      </c>
      <c r="G375" s="219"/>
    </row>
    <row r="376">
      <c r="A376" s="218">
        <f t="shared" si="1"/>
        <v>375</v>
      </c>
      <c r="B376" s="218" t="s">
        <v>202</v>
      </c>
      <c r="C376" s="218" t="s">
        <v>1442</v>
      </c>
      <c r="D376" s="218" t="b">
        <v>1</v>
      </c>
      <c r="E376" s="219" t="b">
        <v>0</v>
      </c>
      <c r="F376" s="219" t="b">
        <v>0</v>
      </c>
      <c r="G376" s="219"/>
    </row>
    <row r="377">
      <c r="A377" s="218">
        <f t="shared" si="1"/>
        <v>376</v>
      </c>
      <c r="B377" s="218" t="s">
        <v>202</v>
      </c>
      <c r="C377" s="218" t="s">
        <v>1462</v>
      </c>
      <c r="D377" s="218" t="b">
        <v>1</v>
      </c>
      <c r="E377" s="219" t="b">
        <v>0</v>
      </c>
      <c r="F377" s="219" t="b">
        <v>0</v>
      </c>
      <c r="G377" s="219"/>
    </row>
    <row r="378">
      <c r="A378" s="218">
        <f t="shared" si="1"/>
        <v>377</v>
      </c>
      <c r="B378" s="218" t="s">
        <v>202</v>
      </c>
      <c r="C378" s="218" t="s">
        <v>5235</v>
      </c>
      <c r="D378" s="218" t="b">
        <v>1</v>
      </c>
      <c r="E378" s="219" t="b">
        <v>0</v>
      </c>
      <c r="F378" s="219" t="b">
        <v>0</v>
      </c>
      <c r="G378" s="219"/>
    </row>
    <row r="379">
      <c r="A379" s="218">
        <f t="shared" si="1"/>
        <v>378</v>
      </c>
      <c r="B379" s="218" t="s">
        <v>202</v>
      </c>
      <c r="C379" s="218" t="s">
        <v>1467</v>
      </c>
      <c r="D379" s="218" t="b">
        <v>1</v>
      </c>
      <c r="E379" s="219" t="b">
        <v>0</v>
      </c>
      <c r="F379" s="219" t="b">
        <v>0</v>
      </c>
      <c r="G379" s="219"/>
    </row>
    <row r="380">
      <c r="A380" s="218">
        <f t="shared" si="1"/>
        <v>379</v>
      </c>
      <c r="B380" s="218" t="s">
        <v>202</v>
      </c>
      <c r="C380" s="218" t="s">
        <v>1467</v>
      </c>
      <c r="D380" s="218" t="b">
        <v>1</v>
      </c>
      <c r="E380" s="219" t="b">
        <v>0</v>
      </c>
      <c r="F380" s="219" t="b">
        <v>0</v>
      </c>
      <c r="G380" s="219"/>
    </row>
    <row r="381">
      <c r="A381" s="218">
        <f t="shared" si="1"/>
        <v>380</v>
      </c>
      <c r="B381" s="218" t="s">
        <v>202</v>
      </c>
      <c r="C381" s="218" t="s">
        <v>1477</v>
      </c>
      <c r="D381" s="218" t="b">
        <v>1</v>
      </c>
      <c r="E381" s="219" t="b">
        <v>0</v>
      </c>
      <c r="F381" s="219" t="b">
        <v>0</v>
      </c>
      <c r="G381" s="219"/>
    </row>
    <row r="382">
      <c r="A382" s="218">
        <f t="shared" si="1"/>
        <v>381</v>
      </c>
      <c r="B382" s="218" t="s">
        <v>202</v>
      </c>
      <c r="C382" s="218" t="s">
        <v>1677</v>
      </c>
      <c r="D382" s="218" t="b">
        <v>1</v>
      </c>
      <c r="E382" s="219" t="b">
        <v>0</v>
      </c>
      <c r="F382" s="219" t="b">
        <v>0</v>
      </c>
      <c r="G382" s="219"/>
    </row>
    <row r="383">
      <c r="A383" s="218">
        <f t="shared" si="1"/>
        <v>382</v>
      </c>
      <c r="B383" s="218" t="s">
        <v>202</v>
      </c>
      <c r="C383" s="218" t="s">
        <v>1127</v>
      </c>
      <c r="D383" s="218" t="b">
        <v>1</v>
      </c>
      <c r="E383" s="219" t="b">
        <v>0</v>
      </c>
      <c r="F383" s="219" t="b">
        <v>0</v>
      </c>
      <c r="G383" s="219"/>
    </row>
    <row r="384">
      <c r="A384" s="218">
        <f t="shared" si="1"/>
        <v>383</v>
      </c>
      <c r="B384" s="218" t="s">
        <v>202</v>
      </c>
      <c r="C384" s="218" t="s">
        <v>1472</v>
      </c>
      <c r="D384" s="218" t="b">
        <v>1</v>
      </c>
      <c r="E384" s="219" t="b">
        <v>0</v>
      </c>
      <c r="F384" s="219" t="b">
        <v>0</v>
      </c>
      <c r="G384" s="219"/>
    </row>
    <row r="385">
      <c r="A385" s="218">
        <f t="shared" si="1"/>
        <v>384</v>
      </c>
      <c r="B385" s="218" t="s">
        <v>202</v>
      </c>
      <c r="C385" s="218" t="s">
        <v>5336</v>
      </c>
      <c r="D385" s="218" t="b">
        <v>1</v>
      </c>
      <c r="E385" s="219" t="b">
        <v>0</v>
      </c>
      <c r="F385" s="219" t="b">
        <v>0</v>
      </c>
      <c r="G385" s="219"/>
    </row>
    <row r="386">
      <c r="A386" s="218">
        <f t="shared" si="1"/>
        <v>385</v>
      </c>
      <c r="B386" s="218" t="s">
        <v>202</v>
      </c>
      <c r="C386" s="218" t="s">
        <v>1485</v>
      </c>
      <c r="D386" s="218" t="b">
        <v>1</v>
      </c>
      <c r="E386" s="219" t="b">
        <v>0</v>
      </c>
      <c r="F386" s="219" t="b">
        <v>0</v>
      </c>
      <c r="G386" s="219"/>
    </row>
    <row r="387">
      <c r="A387" s="218">
        <f t="shared" si="1"/>
        <v>386</v>
      </c>
      <c r="B387" s="218" t="s">
        <v>202</v>
      </c>
      <c r="C387" s="218" t="s">
        <v>1490</v>
      </c>
      <c r="D387" s="218" t="b">
        <v>1</v>
      </c>
      <c r="E387" s="219" t="b">
        <v>0</v>
      </c>
      <c r="F387" s="219" t="b">
        <v>0</v>
      </c>
      <c r="G387" s="219"/>
    </row>
    <row r="388">
      <c r="A388" s="218">
        <f t="shared" si="1"/>
        <v>387</v>
      </c>
      <c r="B388" s="218" t="s">
        <v>202</v>
      </c>
      <c r="C388" s="218" t="s">
        <v>1515</v>
      </c>
      <c r="D388" s="218" t="b">
        <v>1</v>
      </c>
      <c r="E388" s="219" t="b">
        <v>0</v>
      </c>
      <c r="F388" s="219" t="b">
        <v>0</v>
      </c>
      <c r="G388" s="219"/>
    </row>
    <row r="389">
      <c r="A389" s="218">
        <f t="shared" si="1"/>
        <v>388</v>
      </c>
      <c r="B389" s="218" t="s">
        <v>202</v>
      </c>
      <c r="C389" s="218" t="s">
        <v>1510</v>
      </c>
      <c r="D389" s="218" t="b">
        <v>1</v>
      </c>
      <c r="E389" s="219" t="b">
        <v>0</v>
      </c>
      <c r="F389" s="219" t="b">
        <v>0</v>
      </c>
      <c r="G389" s="219"/>
    </row>
    <row r="390">
      <c r="A390" s="218">
        <f t="shared" si="1"/>
        <v>389</v>
      </c>
      <c r="B390" s="218" t="s">
        <v>202</v>
      </c>
      <c r="C390" s="218" t="s">
        <v>2751</v>
      </c>
      <c r="D390" s="218" t="b">
        <v>1</v>
      </c>
      <c r="E390" s="219" t="b">
        <v>0</v>
      </c>
      <c r="F390" s="219" t="b">
        <v>0</v>
      </c>
      <c r="G390" s="219"/>
    </row>
    <row r="391">
      <c r="A391" s="218">
        <f t="shared" si="1"/>
        <v>390</v>
      </c>
      <c r="B391" s="218" t="s">
        <v>202</v>
      </c>
      <c r="C391" s="218" t="s">
        <v>1495</v>
      </c>
      <c r="D391" s="218" t="b">
        <v>1</v>
      </c>
      <c r="E391" s="219" t="b">
        <v>0</v>
      </c>
      <c r="F391" s="219" t="b">
        <v>0</v>
      </c>
      <c r="G391" s="219"/>
    </row>
    <row r="392">
      <c r="A392" s="218">
        <f t="shared" si="1"/>
        <v>391</v>
      </c>
      <c r="B392" s="218" t="s">
        <v>202</v>
      </c>
      <c r="C392" s="218" t="s">
        <v>1500</v>
      </c>
      <c r="D392" s="218" t="b">
        <v>1</v>
      </c>
      <c r="E392" s="219" t="b">
        <v>0</v>
      </c>
      <c r="F392" s="219" t="b">
        <v>0</v>
      </c>
      <c r="G392" s="219"/>
    </row>
    <row r="393">
      <c r="A393" s="218">
        <f t="shared" si="1"/>
        <v>392</v>
      </c>
      <c r="B393" s="218" t="s">
        <v>202</v>
      </c>
      <c r="C393" s="218" t="s">
        <v>3506</v>
      </c>
      <c r="D393" s="218" t="b">
        <v>1</v>
      </c>
      <c r="E393" s="219" t="b">
        <v>0</v>
      </c>
      <c r="F393" s="219" t="b">
        <v>0</v>
      </c>
      <c r="G393" s="219"/>
    </row>
    <row r="394">
      <c r="A394" s="218">
        <f t="shared" si="1"/>
        <v>393</v>
      </c>
      <c r="B394" s="218" t="s">
        <v>202</v>
      </c>
      <c r="C394" s="218" t="s">
        <v>1505</v>
      </c>
      <c r="D394" s="218" t="b">
        <v>1</v>
      </c>
      <c r="E394" s="219" t="b">
        <v>0</v>
      </c>
      <c r="F394" s="219" t="b">
        <v>0</v>
      </c>
      <c r="G394" s="219"/>
    </row>
    <row r="395">
      <c r="A395" s="218">
        <f t="shared" si="1"/>
        <v>394</v>
      </c>
      <c r="B395" s="218" t="s">
        <v>202</v>
      </c>
      <c r="C395" s="218" t="s">
        <v>2712</v>
      </c>
      <c r="D395" s="218" t="b">
        <v>1</v>
      </c>
      <c r="E395" s="219" t="b">
        <v>0</v>
      </c>
      <c r="F395" s="219" t="b">
        <v>0</v>
      </c>
      <c r="G395" s="219"/>
    </row>
    <row r="396">
      <c r="A396" s="218">
        <f t="shared" si="1"/>
        <v>395</v>
      </c>
      <c r="B396" s="218" t="s">
        <v>202</v>
      </c>
      <c r="C396" s="218" t="s">
        <v>1520</v>
      </c>
      <c r="D396" s="218" t="b">
        <v>1</v>
      </c>
      <c r="E396" s="219" t="b">
        <v>0</v>
      </c>
      <c r="F396" s="219" t="b">
        <v>0</v>
      </c>
      <c r="G396" s="219"/>
    </row>
    <row r="397">
      <c r="A397" s="218">
        <f t="shared" si="1"/>
        <v>396</v>
      </c>
      <c r="B397" s="218" t="s">
        <v>202</v>
      </c>
      <c r="C397" s="218" t="s">
        <v>520</v>
      </c>
      <c r="D397" s="218" t="b">
        <v>1</v>
      </c>
      <c r="E397" s="219" t="b">
        <v>0</v>
      </c>
      <c r="F397" s="219" t="b">
        <v>0</v>
      </c>
      <c r="G397" s="219"/>
    </row>
    <row r="398">
      <c r="A398" s="218">
        <f t="shared" si="1"/>
        <v>397</v>
      </c>
      <c r="B398" s="218" t="s">
        <v>202</v>
      </c>
      <c r="C398" s="218" t="s">
        <v>1525</v>
      </c>
      <c r="D398" s="218" t="b">
        <v>1</v>
      </c>
      <c r="E398" s="219" t="b">
        <v>0</v>
      </c>
      <c r="F398" s="219" t="b">
        <v>0</v>
      </c>
      <c r="G398" s="219"/>
    </row>
    <row r="399">
      <c r="A399" s="218">
        <f t="shared" si="1"/>
        <v>398</v>
      </c>
      <c r="B399" s="218" t="s">
        <v>202</v>
      </c>
      <c r="C399" s="218" t="s">
        <v>1530</v>
      </c>
      <c r="D399" s="218" t="b">
        <v>1</v>
      </c>
      <c r="E399" s="219" t="b">
        <v>0</v>
      </c>
      <c r="F399" s="219" t="b">
        <v>0</v>
      </c>
      <c r="G399" s="219"/>
    </row>
    <row r="400">
      <c r="A400" s="218">
        <f t="shared" si="1"/>
        <v>399</v>
      </c>
      <c r="B400" s="218" t="s">
        <v>202</v>
      </c>
      <c r="C400" s="218" t="s">
        <v>1535</v>
      </c>
      <c r="D400" s="218" t="b">
        <v>1</v>
      </c>
      <c r="E400" s="219" t="b">
        <v>0</v>
      </c>
      <c r="F400" s="219" t="b">
        <v>0</v>
      </c>
      <c r="G400" s="219"/>
    </row>
    <row r="401">
      <c r="A401" s="218">
        <f t="shared" si="1"/>
        <v>400</v>
      </c>
      <c r="B401" s="218" t="s">
        <v>202</v>
      </c>
      <c r="C401" s="218" t="s">
        <v>1550</v>
      </c>
      <c r="D401" s="218" t="b">
        <v>1</v>
      </c>
      <c r="E401" s="219" t="b">
        <v>0</v>
      </c>
      <c r="F401" s="219" t="b">
        <v>0</v>
      </c>
      <c r="G401" s="219"/>
    </row>
    <row r="402">
      <c r="A402" s="218">
        <f t="shared" si="1"/>
        <v>401</v>
      </c>
      <c r="B402" s="218" t="s">
        <v>202</v>
      </c>
      <c r="C402" s="218" t="s">
        <v>1555</v>
      </c>
      <c r="D402" s="218" t="b">
        <v>1</v>
      </c>
      <c r="E402" s="219" t="b">
        <v>0</v>
      </c>
      <c r="F402" s="219" t="b">
        <v>0</v>
      </c>
      <c r="G402" s="219"/>
    </row>
    <row r="403">
      <c r="A403" s="218">
        <f t="shared" si="1"/>
        <v>402</v>
      </c>
      <c r="B403" s="218" t="s">
        <v>202</v>
      </c>
      <c r="C403" s="218" t="s">
        <v>1559</v>
      </c>
      <c r="D403" s="218" t="b">
        <v>1</v>
      </c>
      <c r="E403" s="219" t="b">
        <v>0</v>
      </c>
      <c r="F403" s="219" t="b">
        <v>0</v>
      </c>
      <c r="G403" s="219"/>
    </row>
    <row r="404">
      <c r="A404" s="218">
        <f t="shared" si="1"/>
        <v>403</v>
      </c>
      <c r="B404" s="218" t="s">
        <v>202</v>
      </c>
      <c r="C404" s="218" t="s">
        <v>1564</v>
      </c>
      <c r="D404" s="218" t="b">
        <v>1</v>
      </c>
      <c r="E404" s="219" t="b">
        <v>0</v>
      </c>
      <c r="F404" s="219" t="b">
        <v>0</v>
      </c>
      <c r="G404" s="219"/>
    </row>
    <row r="405">
      <c r="A405" s="218">
        <f t="shared" si="1"/>
        <v>404</v>
      </c>
      <c r="B405" s="218" t="s">
        <v>202</v>
      </c>
      <c r="C405" s="218" t="s">
        <v>1568</v>
      </c>
      <c r="D405" s="218" t="b">
        <v>1</v>
      </c>
      <c r="E405" s="219" t="b">
        <v>0</v>
      </c>
      <c r="F405" s="219" t="b">
        <v>0</v>
      </c>
      <c r="G405" s="219"/>
    </row>
    <row r="406">
      <c r="A406" s="218">
        <f t="shared" si="1"/>
        <v>405</v>
      </c>
      <c r="B406" s="218" t="s">
        <v>202</v>
      </c>
      <c r="C406" s="218" t="s">
        <v>1572</v>
      </c>
      <c r="D406" s="218" t="b">
        <v>1</v>
      </c>
      <c r="E406" s="219" t="b">
        <v>0</v>
      </c>
      <c r="F406" s="219" t="b">
        <v>0</v>
      </c>
      <c r="G406" s="219"/>
    </row>
    <row r="407">
      <c r="A407" s="218">
        <f t="shared" si="1"/>
        <v>406</v>
      </c>
      <c r="B407" s="218" t="s">
        <v>202</v>
      </c>
      <c r="C407" s="218" t="s">
        <v>1582</v>
      </c>
      <c r="D407" s="218" t="b">
        <v>1</v>
      </c>
      <c r="E407" s="219" t="b">
        <v>0</v>
      </c>
      <c r="F407" s="219" t="b">
        <v>0</v>
      </c>
      <c r="G407" s="219"/>
    </row>
    <row r="408">
      <c r="A408" s="218">
        <f t="shared" si="1"/>
        <v>407</v>
      </c>
      <c r="B408" s="218" t="s">
        <v>202</v>
      </c>
      <c r="C408" s="218" t="s">
        <v>1577</v>
      </c>
      <c r="D408" s="218" t="b">
        <v>1</v>
      </c>
      <c r="E408" s="219" t="b">
        <v>0</v>
      </c>
      <c r="F408" s="219" t="b">
        <v>0</v>
      </c>
      <c r="G408" s="219"/>
    </row>
    <row r="409">
      <c r="A409" s="218">
        <f t="shared" si="1"/>
        <v>408</v>
      </c>
      <c r="B409" s="218" t="s">
        <v>202</v>
      </c>
      <c r="C409" s="218" t="s">
        <v>2982</v>
      </c>
      <c r="D409" s="218" t="b">
        <v>1</v>
      </c>
      <c r="E409" s="219" t="b">
        <v>0</v>
      </c>
      <c r="F409" s="219" t="b">
        <v>0</v>
      </c>
      <c r="G409" s="219"/>
    </row>
    <row r="410">
      <c r="A410" s="218">
        <f t="shared" si="1"/>
        <v>409</v>
      </c>
      <c r="B410" s="218" t="s">
        <v>202</v>
      </c>
      <c r="C410" s="218" t="s">
        <v>3047</v>
      </c>
      <c r="D410" s="218" t="b">
        <v>1</v>
      </c>
      <c r="E410" s="219" t="b">
        <v>0</v>
      </c>
      <c r="F410" s="219" t="b">
        <v>0</v>
      </c>
      <c r="G410" s="219"/>
    </row>
    <row r="411">
      <c r="A411" s="218">
        <f t="shared" si="1"/>
        <v>410</v>
      </c>
      <c r="B411" s="218" t="s">
        <v>202</v>
      </c>
      <c r="C411" s="218" t="s">
        <v>3032</v>
      </c>
      <c r="D411" s="218" t="b">
        <v>1</v>
      </c>
      <c r="E411" s="219" t="b">
        <v>0</v>
      </c>
      <c r="F411" s="219" t="b">
        <v>0</v>
      </c>
      <c r="G411" s="219"/>
    </row>
    <row r="412">
      <c r="A412" s="218">
        <f t="shared" si="1"/>
        <v>411</v>
      </c>
      <c r="B412" s="218" t="s">
        <v>202</v>
      </c>
      <c r="C412" s="218" t="s">
        <v>3027</v>
      </c>
      <c r="D412" s="218" t="b">
        <v>1</v>
      </c>
      <c r="E412" s="219" t="b">
        <v>0</v>
      </c>
      <c r="F412" s="219" t="b">
        <v>0</v>
      </c>
      <c r="G412" s="219"/>
    </row>
    <row r="413">
      <c r="A413" s="218">
        <f t="shared" si="1"/>
        <v>412</v>
      </c>
      <c r="B413" s="218" t="s">
        <v>202</v>
      </c>
      <c r="C413" s="218" t="s">
        <v>3526</v>
      </c>
      <c r="D413" s="218" t="b">
        <v>1</v>
      </c>
      <c r="E413" s="219" t="b">
        <v>0</v>
      </c>
      <c r="F413" s="219" t="b">
        <v>0</v>
      </c>
      <c r="G413" s="219"/>
    </row>
    <row r="414">
      <c r="A414" s="218">
        <f t="shared" si="1"/>
        <v>413</v>
      </c>
      <c r="B414" s="218" t="s">
        <v>202</v>
      </c>
      <c r="C414" s="218" t="s">
        <v>3004</v>
      </c>
      <c r="D414" s="218" t="b">
        <v>1</v>
      </c>
      <c r="E414" s="219" t="b">
        <v>0</v>
      </c>
      <c r="F414" s="219" t="b">
        <v>0</v>
      </c>
      <c r="G414" s="219"/>
    </row>
    <row r="415">
      <c r="A415" s="218">
        <f t="shared" si="1"/>
        <v>414</v>
      </c>
      <c r="B415" s="218" t="s">
        <v>202</v>
      </c>
      <c r="C415" s="218" t="s">
        <v>3009</v>
      </c>
      <c r="D415" s="218" t="b">
        <v>1</v>
      </c>
      <c r="E415" s="219" t="b">
        <v>0</v>
      </c>
      <c r="F415" s="219" t="b">
        <v>0</v>
      </c>
      <c r="G415" s="219"/>
    </row>
    <row r="416">
      <c r="A416" s="218">
        <f t="shared" si="1"/>
        <v>415</v>
      </c>
      <c r="B416" s="218" t="s">
        <v>202</v>
      </c>
      <c r="C416" s="218" t="s">
        <v>2717</v>
      </c>
      <c r="D416" s="218" t="b">
        <v>1</v>
      </c>
      <c r="E416" s="219" t="b">
        <v>0</v>
      </c>
      <c r="F416" s="219" t="b">
        <v>0</v>
      </c>
      <c r="G416" s="219"/>
    </row>
    <row r="417">
      <c r="A417" s="218">
        <f t="shared" si="1"/>
        <v>416</v>
      </c>
      <c r="B417" s="218" t="s">
        <v>202</v>
      </c>
      <c r="C417" s="218" t="s">
        <v>3022</v>
      </c>
      <c r="D417" s="218" t="b">
        <v>1</v>
      </c>
      <c r="E417" s="219" t="b">
        <v>0</v>
      </c>
      <c r="F417" s="219" t="b">
        <v>0</v>
      </c>
      <c r="G417" s="219"/>
    </row>
    <row r="418">
      <c r="A418" s="218">
        <f t="shared" si="1"/>
        <v>417</v>
      </c>
      <c r="B418" s="218" t="s">
        <v>202</v>
      </c>
      <c r="C418" s="218" t="s">
        <v>2664</v>
      </c>
      <c r="D418" s="218" t="b">
        <v>1</v>
      </c>
      <c r="E418" s="219" t="b">
        <v>0</v>
      </c>
      <c r="F418" s="219" t="b">
        <v>0</v>
      </c>
      <c r="G418" s="219"/>
    </row>
    <row r="419">
      <c r="A419" s="218">
        <f t="shared" si="1"/>
        <v>418</v>
      </c>
      <c r="B419" s="218" t="s">
        <v>202</v>
      </c>
      <c r="C419" s="218" t="s">
        <v>2664</v>
      </c>
      <c r="D419" s="218" t="b">
        <v>1</v>
      </c>
      <c r="E419" s="219" t="b">
        <v>0</v>
      </c>
      <c r="F419" s="219" t="b">
        <v>0</v>
      </c>
      <c r="G419" s="219"/>
    </row>
    <row r="420">
      <c r="A420" s="218">
        <f t="shared" si="1"/>
        <v>419</v>
      </c>
      <c r="B420" s="218" t="s">
        <v>202</v>
      </c>
      <c r="C420" s="218" t="s">
        <v>3094</v>
      </c>
      <c r="D420" s="218" t="b">
        <v>1</v>
      </c>
      <c r="E420" s="219" t="b">
        <v>0</v>
      </c>
      <c r="F420" s="219" t="b">
        <v>0</v>
      </c>
      <c r="G420" s="219"/>
    </row>
    <row r="421">
      <c r="A421" s="218">
        <f t="shared" si="1"/>
        <v>420</v>
      </c>
      <c r="B421" s="218" t="s">
        <v>202</v>
      </c>
      <c r="C421" s="218" t="s">
        <v>3097</v>
      </c>
      <c r="D421" s="218" t="b">
        <v>1</v>
      </c>
      <c r="E421" s="219" t="b">
        <v>0</v>
      </c>
      <c r="F421" s="219" t="b">
        <v>0</v>
      </c>
      <c r="G421" s="219"/>
    </row>
    <row r="422">
      <c r="A422" s="218">
        <f t="shared" si="1"/>
        <v>421</v>
      </c>
      <c r="B422" s="218" t="s">
        <v>202</v>
      </c>
      <c r="C422" s="218" t="s">
        <v>3102</v>
      </c>
      <c r="D422" s="218" t="b">
        <v>1</v>
      </c>
      <c r="E422" s="219" t="b">
        <v>0</v>
      </c>
      <c r="F422" s="219" t="b">
        <v>0</v>
      </c>
      <c r="G422" s="219"/>
    </row>
    <row r="423">
      <c r="A423" s="218">
        <f t="shared" si="1"/>
        <v>422</v>
      </c>
      <c r="B423" s="218" t="s">
        <v>202</v>
      </c>
      <c r="C423" s="218" t="s">
        <v>3106</v>
      </c>
      <c r="D423" s="218" t="b">
        <v>1</v>
      </c>
      <c r="E423" s="219" t="b">
        <v>0</v>
      </c>
      <c r="F423" s="219" t="b">
        <v>0</v>
      </c>
      <c r="G423" s="219"/>
    </row>
    <row r="424">
      <c r="A424" s="218">
        <f t="shared" si="1"/>
        <v>423</v>
      </c>
      <c r="B424" s="218" t="s">
        <v>202</v>
      </c>
      <c r="C424" s="218" t="s">
        <v>3081</v>
      </c>
      <c r="D424" s="218" t="b">
        <v>1</v>
      </c>
      <c r="E424" s="219" t="b">
        <v>0</v>
      </c>
      <c r="F424" s="219" t="b">
        <v>0</v>
      </c>
      <c r="G424" s="219"/>
    </row>
    <row r="425">
      <c r="A425" s="218">
        <f t="shared" si="1"/>
        <v>424</v>
      </c>
      <c r="B425" s="218" t="s">
        <v>202</v>
      </c>
      <c r="C425" s="218" t="s">
        <v>3076</v>
      </c>
      <c r="D425" s="218" t="b">
        <v>1</v>
      </c>
      <c r="E425" s="219" t="b">
        <v>0</v>
      </c>
      <c r="F425" s="219" t="b">
        <v>0</v>
      </c>
      <c r="G425" s="219"/>
    </row>
    <row r="426">
      <c r="A426" s="218">
        <f t="shared" si="1"/>
        <v>425</v>
      </c>
      <c r="B426" s="218" t="s">
        <v>202</v>
      </c>
      <c r="C426" s="218" t="s">
        <v>3110</v>
      </c>
      <c r="D426" s="218" t="b">
        <v>1</v>
      </c>
      <c r="E426" s="219" t="b">
        <v>0</v>
      </c>
      <c r="F426" s="219" t="b">
        <v>0</v>
      </c>
      <c r="G426" s="219"/>
    </row>
    <row r="427">
      <c r="A427" s="218">
        <f t="shared" si="1"/>
        <v>426</v>
      </c>
      <c r="B427" s="218" t="s">
        <v>202</v>
      </c>
      <c r="C427" s="218" t="s">
        <v>3115</v>
      </c>
      <c r="D427" s="218" t="b">
        <v>1</v>
      </c>
      <c r="E427" s="219" t="b">
        <v>0</v>
      </c>
      <c r="F427" s="219" t="b">
        <v>0</v>
      </c>
      <c r="G427" s="219"/>
    </row>
    <row r="428">
      <c r="A428" s="218">
        <f t="shared" si="1"/>
        <v>427</v>
      </c>
      <c r="B428" s="218" t="s">
        <v>202</v>
      </c>
      <c r="C428" s="218" t="s">
        <v>3071</v>
      </c>
      <c r="D428" s="218" t="b">
        <v>1</v>
      </c>
      <c r="E428" s="219" t="b">
        <v>0</v>
      </c>
      <c r="F428" s="219" t="b">
        <v>0</v>
      </c>
      <c r="G428" s="219"/>
    </row>
    <row r="429">
      <c r="A429" s="218">
        <f t="shared" si="1"/>
        <v>428</v>
      </c>
      <c r="B429" s="218" t="s">
        <v>202</v>
      </c>
      <c r="C429" s="218" t="s">
        <v>3120</v>
      </c>
      <c r="D429" s="218" t="b">
        <v>1</v>
      </c>
      <c r="E429" s="219" t="b">
        <v>0</v>
      </c>
      <c r="F429" s="219" t="b">
        <v>0</v>
      </c>
      <c r="G429" s="219"/>
    </row>
    <row r="430">
      <c r="A430" s="218">
        <f t="shared" si="1"/>
        <v>429</v>
      </c>
      <c r="B430" s="218" t="s">
        <v>202</v>
      </c>
      <c r="C430" s="218" t="s">
        <v>3124</v>
      </c>
      <c r="D430" s="218" t="b">
        <v>1</v>
      </c>
      <c r="E430" s="219" t="b">
        <v>0</v>
      </c>
      <c r="F430" s="219" t="b">
        <v>0</v>
      </c>
      <c r="G430" s="219"/>
    </row>
    <row r="431">
      <c r="A431" s="218">
        <f t="shared" si="1"/>
        <v>430</v>
      </c>
      <c r="B431" s="218" t="s">
        <v>202</v>
      </c>
      <c r="C431" s="218" t="s">
        <v>3166</v>
      </c>
      <c r="D431" s="218" t="b">
        <v>1</v>
      </c>
      <c r="E431" s="219" t="b">
        <v>0</v>
      </c>
      <c r="F431" s="219" t="b">
        <v>0</v>
      </c>
      <c r="G431" s="219"/>
    </row>
    <row r="432">
      <c r="A432" s="218">
        <f t="shared" si="1"/>
        <v>431</v>
      </c>
      <c r="B432" s="218" t="s">
        <v>202</v>
      </c>
      <c r="C432" s="218" t="s">
        <v>3161</v>
      </c>
      <c r="D432" s="218" t="b">
        <v>1</v>
      </c>
      <c r="E432" s="219" t="b">
        <v>0</v>
      </c>
      <c r="F432" s="219" t="b">
        <v>0</v>
      </c>
      <c r="G432" s="219"/>
    </row>
    <row r="433">
      <c r="A433" s="218">
        <f t="shared" si="1"/>
        <v>432</v>
      </c>
      <c r="B433" s="218" t="s">
        <v>202</v>
      </c>
      <c r="C433" s="218" t="s">
        <v>3157</v>
      </c>
      <c r="D433" s="218" t="b">
        <v>1</v>
      </c>
      <c r="E433" s="219" t="b">
        <v>0</v>
      </c>
      <c r="F433" s="219" t="b">
        <v>0</v>
      </c>
      <c r="G433" s="219"/>
    </row>
    <row r="434">
      <c r="A434" s="218">
        <f t="shared" si="1"/>
        <v>433</v>
      </c>
      <c r="B434" s="218" t="s">
        <v>202</v>
      </c>
      <c r="C434" s="218" t="s">
        <v>3152</v>
      </c>
      <c r="D434" s="218" t="b">
        <v>1</v>
      </c>
      <c r="E434" s="219" t="b">
        <v>0</v>
      </c>
      <c r="F434" s="219" t="b">
        <v>0</v>
      </c>
      <c r="G434" s="219"/>
    </row>
    <row r="435">
      <c r="A435" s="218">
        <f t="shared" si="1"/>
        <v>434</v>
      </c>
      <c r="B435" s="218" t="s">
        <v>202</v>
      </c>
      <c r="C435" s="218" t="s">
        <v>3138</v>
      </c>
      <c r="D435" s="218" t="b">
        <v>1</v>
      </c>
      <c r="E435" s="219" t="b">
        <v>0</v>
      </c>
      <c r="F435" s="219" t="b">
        <v>0</v>
      </c>
      <c r="G435" s="219"/>
    </row>
    <row r="436">
      <c r="A436" s="218">
        <f t="shared" si="1"/>
        <v>435</v>
      </c>
      <c r="B436" s="218" t="s">
        <v>202</v>
      </c>
      <c r="C436" s="218" t="s">
        <v>3178</v>
      </c>
      <c r="D436" s="218" t="b">
        <v>1</v>
      </c>
      <c r="E436" s="219" t="b">
        <v>0</v>
      </c>
      <c r="F436" s="219" t="b">
        <v>0</v>
      </c>
      <c r="G436" s="219"/>
    </row>
    <row r="437">
      <c r="A437" s="218">
        <f t="shared" si="1"/>
        <v>436</v>
      </c>
      <c r="B437" s="218" t="s">
        <v>202</v>
      </c>
      <c r="C437" s="218" t="s">
        <v>348</v>
      </c>
      <c r="D437" s="218" t="b">
        <v>1</v>
      </c>
      <c r="E437" s="219" t="b">
        <v>0</v>
      </c>
      <c r="F437" s="219" t="b">
        <v>0</v>
      </c>
      <c r="G437" s="219"/>
    </row>
    <row r="438">
      <c r="A438" s="218">
        <f t="shared" si="1"/>
        <v>437</v>
      </c>
      <c r="B438" s="218" t="s">
        <v>202</v>
      </c>
      <c r="C438" s="218" t="s">
        <v>6159</v>
      </c>
      <c r="D438" s="218" t="b">
        <v>1</v>
      </c>
      <c r="E438" s="219" t="b">
        <v>0</v>
      </c>
      <c r="F438" s="219" t="b">
        <v>0</v>
      </c>
      <c r="G438" s="219"/>
    </row>
    <row r="439">
      <c r="A439" s="218">
        <f t="shared" si="1"/>
        <v>438</v>
      </c>
      <c r="B439" s="218" t="s">
        <v>202</v>
      </c>
      <c r="C439" s="218" t="s">
        <v>6160</v>
      </c>
      <c r="D439" s="218" t="b">
        <v>1</v>
      </c>
      <c r="E439" s="219" t="b">
        <v>0</v>
      </c>
      <c r="F439" s="219" t="b">
        <v>0</v>
      </c>
      <c r="G439" s="219"/>
    </row>
    <row r="440">
      <c r="A440" s="218">
        <f t="shared" si="1"/>
        <v>439</v>
      </c>
      <c r="B440" s="218" t="s">
        <v>202</v>
      </c>
      <c r="C440" s="218" t="s">
        <v>319</v>
      </c>
      <c r="D440" s="218" t="b">
        <v>1</v>
      </c>
      <c r="E440" s="219" t="b">
        <v>0</v>
      </c>
      <c r="F440" s="219" t="b">
        <v>0</v>
      </c>
      <c r="G440" s="219"/>
    </row>
    <row r="441">
      <c r="A441" s="218">
        <f t="shared" si="1"/>
        <v>440</v>
      </c>
      <c r="B441" s="218" t="s">
        <v>202</v>
      </c>
      <c r="C441" s="218" t="s">
        <v>311</v>
      </c>
      <c r="D441" s="218" t="b">
        <v>1</v>
      </c>
      <c r="E441" s="219" t="b">
        <v>0</v>
      </c>
      <c r="F441" s="219" t="b">
        <v>0</v>
      </c>
      <c r="G441" s="219"/>
    </row>
    <row r="442">
      <c r="A442" s="218">
        <f t="shared" si="1"/>
        <v>441</v>
      </c>
      <c r="B442" s="218" t="s">
        <v>202</v>
      </c>
      <c r="C442" s="218" t="s">
        <v>333</v>
      </c>
      <c r="D442" s="218" t="b">
        <v>1</v>
      </c>
      <c r="E442" s="219" t="b">
        <v>0</v>
      </c>
      <c r="F442" s="219" t="b">
        <v>0</v>
      </c>
      <c r="G442" s="219"/>
    </row>
    <row r="443">
      <c r="A443" s="218">
        <f t="shared" si="1"/>
        <v>442</v>
      </c>
      <c r="B443" s="218" t="s">
        <v>202</v>
      </c>
      <c r="C443" s="218" t="s">
        <v>306</v>
      </c>
      <c r="D443" s="218" t="b">
        <v>1</v>
      </c>
      <c r="E443" s="219" t="b">
        <v>0</v>
      </c>
      <c r="F443" s="219" t="b">
        <v>0</v>
      </c>
      <c r="G443" s="219"/>
    </row>
    <row r="444">
      <c r="A444" s="218">
        <f t="shared" si="1"/>
        <v>443</v>
      </c>
      <c r="B444" s="218" t="s">
        <v>202</v>
      </c>
      <c r="C444" s="218" t="s">
        <v>352</v>
      </c>
      <c r="D444" s="218" t="b">
        <v>1</v>
      </c>
      <c r="E444" s="219" t="b">
        <v>0</v>
      </c>
      <c r="F444" s="219" t="b">
        <v>0</v>
      </c>
      <c r="G444" s="219"/>
    </row>
    <row r="445">
      <c r="A445" s="218">
        <f t="shared" si="1"/>
        <v>444</v>
      </c>
      <c r="B445" s="218" t="s">
        <v>202</v>
      </c>
      <c r="C445" s="218" t="s">
        <v>344</v>
      </c>
      <c r="D445" s="218" t="b">
        <v>1</v>
      </c>
      <c r="E445" s="219" t="b">
        <v>0</v>
      </c>
      <c r="F445" s="219" t="b">
        <v>0</v>
      </c>
      <c r="G445" s="219"/>
    </row>
    <row r="446">
      <c r="A446" s="218">
        <f t="shared" si="1"/>
        <v>445</v>
      </c>
      <c r="B446" s="218" t="s">
        <v>202</v>
      </c>
      <c r="C446" s="218" t="s">
        <v>357</v>
      </c>
      <c r="D446" s="218" t="b">
        <v>1</v>
      </c>
      <c r="E446" s="219" t="b">
        <v>0</v>
      </c>
      <c r="F446" s="219" t="b">
        <v>0</v>
      </c>
      <c r="G446" s="219"/>
    </row>
    <row r="447">
      <c r="A447" s="218">
        <f t="shared" si="1"/>
        <v>446</v>
      </c>
      <c r="B447" s="218" t="s">
        <v>202</v>
      </c>
      <c r="C447" s="218" t="s">
        <v>360</v>
      </c>
      <c r="D447" s="218" t="b">
        <v>1</v>
      </c>
      <c r="E447" s="219" t="b">
        <v>0</v>
      </c>
      <c r="F447" s="219" t="b">
        <v>0</v>
      </c>
      <c r="G447" s="219"/>
    </row>
    <row r="448">
      <c r="A448" s="218">
        <f t="shared" si="1"/>
        <v>447</v>
      </c>
      <c r="B448" s="218" t="s">
        <v>202</v>
      </c>
      <c r="C448" s="218" t="s">
        <v>3238</v>
      </c>
      <c r="D448" s="218" t="b">
        <v>1</v>
      </c>
      <c r="E448" s="219" t="b">
        <v>0</v>
      </c>
      <c r="F448" s="219" t="b">
        <v>0</v>
      </c>
      <c r="G448" s="219"/>
    </row>
    <row r="449">
      <c r="A449" s="218">
        <f t="shared" si="1"/>
        <v>448</v>
      </c>
      <c r="B449" s="218" t="s">
        <v>202</v>
      </c>
      <c r="C449" s="218" t="s">
        <v>3229</v>
      </c>
      <c r="D449" s="218" t="b">
        <v>1</v>
      </c>
      <c r="E449" s="219" t="b">
        <v>0</v>
      </c>
      <c r="F449" s="219" t="b">
        <v>0</v>
      </c>
      <c r="G449" s="219"/>
    </row>
    <row r="450">
      <c r="A450" s="218">
        <f t="shared" si="1"/>
        <v>449</v>
      </c>
      <c r="B450" s="218" t="s">
        <v>202</v>
      </c>
      <c r="C450" s="218" t="s">
        <v>3224</v>
      </c>
      <c r="D450" s="218" t="b">
        <v>1</v>
      </c>
      <c r="E450" s="219" t="b">
        <v>0</v>
      </c>
      <c r="F450" s="219" t="b">
        <v>0</v>
      </c>
      <c r="G450" s="219"/>
    </row>
    <row r="451">
      <c r="A451" s="218">
        <f t="shared" si="1"/>
        <v>450</v>
      </c>
      <c r="B451" s="218" t="s">
        <v>202</v>
      </c>
      <c r="C451" s="218" t="s">
        <v>3208</v>
      </c>
      <c r="D451" s="218" t="b">
        <v>1</v>
      </c>
      <c r="E451" s="219" t="b">
        <v>0</v>
      </c>
      <c r="F451" s="219" t="b">
        <v>0</v>
      </c>
      <c r="G451" s="219"/>
    </row>
    <row r="452">
      <c r="A452" s="218">
        <f t="shared" si="1"/>
        <v>451</v>
      </c>
      <c r="B452" s="218" t="s">
        <v>202</v>
      </c>
      <c r="C452" s="218" t="s">
        <v>3249</v>
      </c>
      <c r="D452" s="218" t="b">
        <v>1</v>
      </c>
      <c r="E452" s="219" t="b">
        <v>0</v>
      </c>
      <c r="F452" s="219" t="b">
        <v>0</v>
      </c>
      <c r="G452" s="219"/>
    </row>
    <row r="453">
      <c r="A453" s="218">
        <f t="shared" si="1"/>
        <v>452</v>
      </c>
      <c r="B453" s="218" t="s">
        <v>202</v>
      </c>
      <c r="C453" s="218" t="s">
        <v>3329</v>
      </c>
      <c r="D453" s="218" t="b">
        <v>1</v>
      </c>
      <c r="E453" s="219" t="b">
        <v>0</v>
      </c>
      <c r="F453" s="219" t="b">
        <v>0</v>
      </c>
      <c r="G453" s="219"/>
    </row>
    <row r="454">
      <c r="A454" s="218">
        <f t="shared" si="1"/>
        <v>453</v>
      </c>
      <c r="B454" s="218" t="s">
        <v>202</v>
      </c>
      <c r="C454" s="218" t="s">
        <v>3325</v>
      </c>
      <c r="D454" s="218" t="b">
        <v>1</v>
      </c>
      <c r="E454" s="219" t="b">
        <v>0</v>
      </c>
      <c r="F454" s="219" t="b">
        <v>0</v>
      </c>
      <c r="G454" s="219"/>
    </row>
    <row r="455">
      <c r="A455" s="218">
        <f t="shared" si="1"/>
        <v>454</v>
      </c>
      <c r="B455" s="218" t="s">
        <v>202</v>
      </c>
      <c r="C455" s="218" t="s">
        <v>3321</v>
      </c>
      <c r="D455" s="218" t="b">
        <v>1</v>
      </c>
      <c r="E455" s="219" t="b">
        <v>0</v>
      </c>
      <c r="F455" s="219" t="b">
        <v>0</v>
      </c>
      <c r="G455" s="219"/>
    </row>
    <row r="456">
      <c r="A456" s="218">
        <f t="shared" si="1"/>
        <v>455</v>
      </c>
      <c r="B456" s="218" t="s">
        <v>202</v>
      </c>
      <c r="C456" s="218" t="s">
        <v>3306</v>
      </c>
      <c r="D456" s="218" t="b">
        <v>1</v>
      </c>
      <c r="E456" s="219" t="b">
        <v>0</v>
      </c>
      <c r="F456" s="219" t="b">
        <v>0</v>
      </c>
      <c r="G456" s="219"/>
    </row>
    <row r="457">
      <c r="A457" s="218">
        <f t="shared" si="1"/>
        <v>456</v>
      </c>
      <c r="B457" s="218" t="s">
        <v>202</v>
      </c>
      <c r="C457" s="218" t="s">
        <v>3301</v>
      </c>
      <c r="D457" s="218" t="b">
        <v>1</v>
      </c>
      <c r="E457" s="219" t="b">
        <v>0</v>
      </c>
      <c r="F457" s="219" t="b">
        <v>0</v>
      </c>
      <c r="G457" s="219"/>
    </row>
    <row r="458">
      <c r="A458" s="218">
        <f t="shared" si="1"/>
        <v>457</v>
      </c>
      <c r="B458" s="218" t="s">
        <v>202</v>
      </c>
      <c r="C458" s="218" t="s">
        <v>3292</v>
      </c>
      <c r="D458" s="218" t="b">
        <v>1</v>
      </c>
      <c r="E458" s="219" t="b">
        <v>0</v>
      </c>
      <c r="F458" s="219" t="b">
        <v>0</v>
      </c>
      <c r="G458" s="219"/>
    </row>
    <row r="459">
      <c r="A459" s="218">
        <f t="shared" si="1"/>
        <v>458</v>
      </c>
      <c r="B459" s="218" t="s">
        <v>202</v>
      </c>
      <c r="C459" s="218" t="s">
        <v>3287</v>
      </c>
      <c r="D459" s="218" t="b">
        <v>1</v>
      </c>
      <c r="E459" s="219" t="b">
        <v>0</v>
      </c>
      <c r="F459" s="219" t="b">
        <v>0</v>
      </c>
      <c r="G459" s="219"/>
    </row>
    <row r="460">
      <c r="A460" s="218">
        <f t="shared" si="1"/>
        <v>459</v>
      </c>
      <c r="B460" s="218" t="s">
        <v>202</v>
      </c>
      <c r="C460" s="218" t="s">
        <v>3283</v>
      </c>
      <c r="D460" s="218" t="b">
        <v>1</v>
      </c>
      <c r="E460" s="219" t="b">
        <v>0</v>
      </c>
      <c r="F460" s="219" t="b">
        <v>0</v>
      </c>
      <c r="G460" s="219"/>
    </row>
    <row r="461">
      <c r="A461" s="218">
        <f t="shared" si="1"/>
        <v>460</v>
      </c>
      <c r="B461" s="218" t="s">
        <v>202</v>
      </c>
      <c r="C461" s="218" t="s">
        <v>3278</v>
      </c>
      <c r="D461" s="218" t="b">
        <v>1</v>
      </c>
      <c r="E461" s="219" t="b">
        <v>0</v>
      </c>
      <c r="F461" s="219" t="b">
        <v>0</v>
      </c>
      <c r="G461" s="219"/>
    </row>
    <row r="462">
      <c r="A462" s="218">
        <f t="shared" si="1"/>
        <v>461</v>
      </c>
      <c r="B462" s="218" t="s">
        <v>202</v>
      </c>
      <c r="C462" s="218" t="s">
        <v>1411</v>
      </c>
      <c r="D462" s="218" t="b">
        <v>1</v>
      </c>
      <c r="E462" s="219" t="b">
        <v>0</v>
      </c>
      <c r="F462" s="219" t="b">
        <v>0</v>
      </c>
      <c r="G462" s="219"/>
    </row>
    <row r="463">
      <c r="A463" s="218">
        <f t="shared" si="1"/>
        <v>462</v>
      </c>
      <c r="B463" s="218" t="s">
        <v>202</v>
      </c>
      <c r="C463" s="218" t="s">
        <v>3169</v>
      </c>
      <c r="D463" s="218" t="b">
        <v>1</v>
      </c>
      <c r="E463" s="219" t="b">
        <v>0</v>
      </c>
      <c r="F463" s="219" t="b">
        <v>0</v>
      </c>
      <c r="G463" s="219"/>
    </row>
    <row r="464">
      <c r="A464" s="218">
        <f t="shared" si="1"/>
        <v>463</v>
      </c>
      <c r="B464" s="218" t="s">
        <v>202</v>
      </c>
      <c r="C464" s="218" t="s">
        <v>3339</v>
      </c>
      <c r="D464" s="218" t="b">
        <v>1</v>
      </c>
      <c r="E464" s="219" t="b">
        <v>0</v>
      </c>
      <c r="F464" s="219" t="b">
        <v>0</v>
      </c>
      <c r="G464" s="219"/>
    </row>
    <row r="465">
      <c r="A465" s="218">
        <f t="shared" si="1"/>
        <v>464</v>
      </c>
      <c r="B465" s="218" t="s">
        <v>202</v>
      </c>
      <c r="C465" s="218" t="s">
        <v>3349</v>
      </c>
      <c r="D465" s="218" t="b">
        <v>1</v>
      </c>
      <c r="E465" s="219" t="b">
        <v>0</v>
      </c>
      <c r="F465" s="219" t="b">
        <v>0</v>
      </c>
      <c r="G465" s="219"/>
    </row>
    <row r="466">
      <c r="A466" s="218">
        <f t="shared" si="1"/>
        <v>465</v>
      </c>
      <c r="B466" s="218" t="s">
        <v>202</v>
      </c>
      <c r="C466" s="218" t="s">
        <v>3358</v>
      </c>
      <c r="D466" s="218" t="b">
        <v>1</v>
      </c>
      <c r="E466" s="219" t="b">
        <v>0</v>
      </c>
      <c r="F466" s="219" t="b">
        <v>0</v>
      </c>
      <c r="G466" s="219"/>
    </row>
    <row r="467">
      <c r="A467" s="218">
        <f t="shared" si="1"/>
        <v>466</v>
      </c>
      <c r="B467" s="218" t="s">
        <v>202</v>
      </c>
      <c r="C467" s="218" t="s">
        <v>3362</v>
      </c>
      <c r="D467" s="218" t="b">
        <v>1</v>
      </c>
      <c r="E467" s="219" t="b">
        <v>0</v>
      </c>
      <c r="F467" s="219" t="b">
        <v>0</v>
      </c>
      <c r="G467" s="219"/>
    </row>
    <row r="468">
      <c r="A468" s="218">
        <f t="shared" si="1"/>
        <v>467</v>
      </c>
      <c r="B468" s="218" t="s">
        <v>202</v>
      </c>
      <c r="C468" s="218" t="s">
        <v>3365</v>
      </c>
      <c r="D468" s="218" t="b">
        <v>1</v>
      </c>
      <c r="E468" s="219" t="b">
        <v>0</v>
      </c>
      <c r="F468" s="219" t="b">
        <v>0</v>
      </c>
      <c r="G468" s="219"/>
    </row>
    <row r="469">
      <c r="A469" s="218">
        <f t="shared" si="1"/>
        <v>468</v>
      </c>
      <c r="B469" s="218" t="s">
        <v>202</v>
      </c>
      <c r="C469" s="218" t="s">
        <v>661</v>
      </c>
      <c r="D469" s="218" t="b">
        <v>1</v>
      </c>
      <c r="E469" s="219" t="b">
        <v>0</v>
      </c>
      <c r="F469" s="219" t="b">
        <v>0</v>
      </c>
      <c r="G469" s="219"/>
    </row>
    <row r="470">
      <c r="A470" s="218">
        <f t="shared" si="1"/>
        <v>469</v>
      </c>
      <c r="B470" s="218" t="s">
        <v>202</v>
      </c>
      <c r="C470" s="218" t="s">
        <v>666</v>
      </c>
      <c r="D470" s="218" t="b">
        <v>1</v>
      </c>
      <c r="E470" s="219" t="b">
        <v>0</v>
      </c>
      <c r="F470" s="219" t="b">
        <v>0</v>
      </c>
      <c r="G470" s="219"/>
    </row>
    <row r="471">
      <c r="A471" s="218">
        <f t="shared" si="1"/>
        <v>470</v>
      </c>
      <c r="B471" s="218" t="s">
        <v>202</v>
      </c>
      <c r="C471" s="218" t="s">
        <v>671</v>
      </c>
      <c r="D471" s="218" t="b">
        <v>1</v>
      </c>
      <c r="E471" s="219" t="b">
        <v>0</v>
      </c>
      <c r="F471" s="219" t="b">
        <v>0</v>
      </c>
      <c r="G471" s="219"/>
    </row>
    <row r="472">
      <c r="A472" s="218">
        <f t="shared" si="1"/>
        <v>471</v>
      </c>
      <c r="B472" s="218" t="s">
        <v>202</v>
      </c>
      <c r="C472" s="218" t="s">
        <v>675</v>
      </c>
      <c r="D472" s="218" t="b">
        <v>1</v>
      </c>
      <c r="E472" s="219" t="b">
        <v>0</v>
      </c>
      <c r="F472" s="219" t="b">
        <v>0</v>
      </c>
      <c r="G472" s="219"/>
    </row>
    <row r="473">
      <c r="A473" s="218">
        <f t="shared" si="1"/>
        <v>472</v>
      </c>
      <c r="B473" s="218" t="s">
        <v>202</v>
      </c>
      <c r="C473" s="218" t="s">
        <v>836</v>
      </c>
      <c r="D473" s="218" t="b">
        <v>1</v>
      </c>
      <c r="E473" s="219" t="b">
        <v>0</v>
      </c>
      <c r="F473" s="219" t="b">
        <v>0</v>
      </c>
      <c r="G473" s="219"/>
    </row>
    <row r="474">
      <c r="A474" s="218">
        <f t="shared" si="1"/>
        <v>473</v>
      </c>
      <c r="B474" s="218" t="s">
        <v>202</v>
      </c>
      <c r="C474" s="218" t="s">
        <v>831</v>
      </c>
      <c r="D474" s="218" t="b">
        <v>1</v>
      </c>
      <c r="E474" s="219" t="b">
        <v>0</v>
      </c>
      <c r="F474" s="219" t="b">
        <v>0</v>
      </c>
      <c r="G474" s="219"/>
    </row>
    <row r="475">
      <c r="A475" s="218">
        <f t="shared" si="1"/>
        <v>474</v>
      </c>
      <c r="B475" s="218" t="s">
        <v>202</v>
      </c>
      <c r="C475" s="218" t="s">
        <v>826</v>
      </c>
      <c r="D475" s="218" t="b">
        <v>1</v>
      </c>
      <c r="E475" s="219" t="b">
        <v>0</v>
      </c>
      <c r="F475" s="219" t="b">
        <v>0</v>
      </c>
      <c r="G475" s="219"/>
    </row>
    <row r="476">
      <c r="A476" s="218">
        <f t="shared" si="1"/>
        <v>475</v>
      </c>
      <c r="B476" s="218" t="s">
        <v>202</v>
      </c>
      <c r="C476" s="218" t="s">
        <v>816</v>
      </c>
      <c r="D476" s="218" t="b">
        <v>1</v>
      </c>
      <c r="E476" s="219" t="b">
        <v>0</v>
      </c>
      <c r="F476" s="219" t="b">
        <v>0</v>
      </c>
      <c r="G476" s="219"/>
    </row>
    <row r="477">
      <c r="A477" s="218">
        <f t="shared" si="1"/>
        <v>476</v>
      </c>
      <c r="B477" s="218" t="s">
        <v>202</v>
      </c>
      <c r="C477" s="218" t="s">
        <v>811</v>
      </c>
      <c r="D477" s="218" t="b">
        <v>1</v>
      </c>
      <c r="E477" s="219" t="b">
        <v>0</v>
      </c>
      <c r="F477" s="219" t="b">
        <v>0</v>
      </c>
      <c r="G477" s="219"/>
    </row>
    <row r="478">
      <c r="A478" s="218">
        <f t="shared" si="1"/>
        <v>477</v>
      </c>
      <c r="B478" s="218" t="s">
        <v>202</v>
      </c>
      <c r="C478" s="218" t="s">
        <v>806</v>
      </c>
      <c r="D478" s="218" t="b">
        <v>1</v>
      </c>
      <c r="E478" s="219" t="b">
        <v>0</v>
      </c>
      <c r="F478" s="219" t="b">
        <v>0</v>
      </c>
      <c r="G478" s="219"/>
    </row>
    <row r="479">
      <c r="A479" s="218">
        <f t="shared" si="1"/>
        <v>478</v>
      </c>
      <c r="B479" s="218" t="s">
        <v>202</v>
      </c>
      <c r="C479" s="218" t="s">
        <v>878</v>
      </c>
      <c r="D479" s="218" t="b">
        <v>1</v>
      </c>
      <c r="E479" s="219" t="b">
        <v>0</v>
      </c>
      <c r="F479" s="219" t="b">
        <v>0</v>
      </c>
      <c r="G479" s="219"/>
    </row>
    <row r="480">
      <c r="A480" s="218">
        <f t="shared" si="1"/>
        <v>479</v>
      </c>
      <c r="B480" s="218" t="s">
        <v>202</v>
      </c>
      <c r="C480" s="218" t="s">
        <v>873</v>
      </c>
      <c r="D480" s="218" t="b">
        <v>1</v>
      </c>
      <c r="E480" s="219" t="b">
        <v>0</v>
      </c>
      <c r="F480" s="219" t="b">
        <v>0</v>
      </c>
      <c r="G480" s="219"/>
    </row>
    <row r="481">
      <c r="A481" s="218">
        <f t="shared" si="1"/>
        <v>480</v>
      </c>
      <c r="B481" s="218" t="s">
        <v>202</v>
      </c>
      <c r="C481" s="218" t="s">
        <v>868</v>
      </c>
      <c r="D481" s="218" t="b">
        <v>1</v>
      </c>
      <c r="E481" s="219" t="b">
        <v>0</v>
      </c>
      <c r="F481" s="219" t="b">
        <v>0</v>
      </c>
      <c r="G481" s="219"/>
    </row>
    <row r="482">
      <c r="A482" s="218">
        <f t="shared" si="1"/>
        <v>481</v>
      </c>
      <c r="B482" s="218" t="s">
        <v>202</v>
      </c>
      <c r="C482" s="218" t="s">
        <v>841</v>
      </c>
      <c r="D482" s="218" t="b">
        <v>1</v>
      </c>
      <c r="E482" s="219" t="b">
        <v>0</v>
      </c>
      <c r="F482" s="219" t="b">
        <v>0</v>
      </c>
      <c r="G482" s="219"/>
    </row>
    <row r="483">
      <c r="A483" s="218">
        <f t="shared" si="1"/>
        <v>482</v>
      </c>
      <c r="B483" s="218" t="s">
        <v>202</v>
      </c>
      <c r="C483" s="218" t="s">
        <v>1019</v>
      </c>
      <c r="D483" s="218" t="b">
        <v>1</v>
      </c>
      <c r="E483" s="219" t="b">
        <v>0</v>
      </c>
      <c r="F483" s="219" t="b">
        <v>0</v>
      </c>
      <c r="G483" s="219"/>
    </row>
    <row r="484">
      <c r="A484" s="218">
        <f t="shared" si="1"/>
        <v>483</v>
      </c>
      <c r="B484" s="218" t="s">
        <v>202</v>
      </c>
      <c r="C484" s="218" t="s">
        <v>956</v>
      </c>
      <c r="D484" s="218" t="b">
        <v>1</v>
      </c>
      <c r="E484" s="219" t="b">
        <v>0</v>
      </c>
      <c r="F484" s="219" t="b">
        <v>0</v>
      </c>
      <c r="G484" s="219"/>
    </row>
    <row r="485">
      <c r="A485" s="218">
        <f t="shared" si="1"/>
        <v>484</v>
      </c>
      <c r="B485" s="218" t="s">
        <v>202</v>
      </c>
      <c r="C485" s="218" t="s">
        <v>926</v>
      </c>
      <c r="D485" s="218" t="b">
        <v>1</v>
      </c>
      <c r="E485" s="219" t="b">
        <v>0</v>
      </c>
      <c r="F485" s="219" t="b">
        <v>0</v>
      </c>
      <c r="G485" s="219"/>
    </row>
    <row r="486">
      <c r="A486" s="218">
        <f t="shared" si="1"/>
        <v>485</v>
      </c>
      <c r="B486" s="218" t="s">
        <v>202</v>
      </c>
      <c r="C486" s="218" t="s">
        <v>936</v>
      </c>
      <c r="D486" s="218" t="b">
        <v>1</v>
      </c>
      <c r="E486" s="219" t="b">
        <v>0</v>
      </c>
      <c r="F486" s="219" t="b">
        <v>0</v>
      </c>
      <c r="G486" s="219"/>
    </row>
    <row r="487">
      <c r="A487" s="218">
        <f t="shared" si="1"/>
        <v>486</v>
      </c>
      <c r="B487" s="218" t="s">
        <v>202</v>
      </c>
      <c r="C487" s="218" t="s">
        <v>907</v>
      </c>
      <c r="D487" s="218" t="b">
        <v>1</v>
      </c>
      <c r="E487" s="219" t="b">
        <v>0</v>
      </c>
      <c r="F487" s="219" t="b">
        <v>0</v>
      </c>
      <c r="G487" s="219"/>
    </row>
    <row r="488">
      <c r="A488" s="218">
        <f t="shared" si="1"/>
        <v>487</v>
      </c>
      <c r="B488" s="218" t="s">
        <v>202</v>
      </c>
      <c r="C488" s="218" t="s">
        <v>902</v>
      </c>
      <c r="D488" s="218" t="b">
        <v>1</v>
      </c>
      <c r="E488" s="219" t="b">
        <v>0</v>
      </c>
      <c r="F488" s="219" t="b">
        <v>0</v>
      </c>
      <c r="G488" s="219"/>
    </row>
    <row r="489">
      <c r="A489" s="218">
        <f t="shared" si="1"/>
        <v>488</v>
      </c>
      <c r="B489" s="218" t="s">
        <v>202</v>
      </c>
      <c r="C489" s="218" t="s">
        <v>921</v>
      </c>
      <c r="D489" s="218" t="b">
        <v>1</v>
      </c>
      <c r="E489" s="219" t="b">
        <v>0</v>
      </c>
      <c r="F489" s="219" t="b">
        <v>0</v>
      </c>
      <c r="G489" s="219"/>
    </row>
    <row r="490">
      <c r="A490" s="218">
        <f t="shared" si="1"/>
        <v>489</v>
      </c>
      <c r="B490" s="218" t="s">
        <v>202</v>
      </c>
      <c r="C490" s="218" t="s">
        <v>855</v>
      </c>
      <c r="D490" s="218" t="b">
        <v>1</v>
      </c>
      <c r="E490" s="219" t="b">
        <v>0</v>
      </c>
      <c r="F490" s="219" t="b">
        <v>0</v>
      </c>
      <c r="G490" s="219"/>
    </row>
    <row r="491">
      <c r="A491" s="218">
        <f t="shared" si="1"/>
        <v>490</v>
      </c>
      <c r="B491" s="218" t="s">
        <v>202</v>
      </c>
      <c r="C491" s="218" t="s">
        <v>569</v>
      </c>
      <c r="D491" s="218" t="b">
        <v>1</v>
      </c>
      <c r="E491" s="219" t="b">
        <v>0</v>
      </c>
      <c r="F491" s="219" t="b">
        <v>0</v>
      </c>
      <c r="G491" s="219"/>
    </row>
    <row r="492">
      <c r="A492" s="218">
        <f t="shared" si="1"/>
        <v>491</v>
      </c>
      <c r="B492" s="218" t="s">
        <v>202</v>
      </c>
      <c r="C492" s="218" t="s">
        <v>574</v>
      </c>
      <c r="D492" s="218" t="b">
        <v>1</v>
      </c>
      <c r="E492" s="219" t="b">
        <v>0</v>
      </c>
      <c r="F492" s="219" t="b">
        <v>0</v>
      </c>
      <c r="G492" s="219"/>
    </row>
    <row r="493">
      <c r="A493" s="218">
        <f t="shared" si="1"/>
        <v>492</v>
      </c>
      <c r="B493" s="218" t="s">
        <v>202</v>
      </c>
      <c r="C493" s="218" t="s">
        <v>584</v>
      </c>
      <c r="D493" s="218" t="b">
        <v>1</v>
      </c>
      <c r="E493" s="219" t="b">
        <v>0</v>
      </c>
      <c r="F493" s="219" t="b">
        <v>0</v>
      </c>
      <c r="G493" s="219"/>
    </row>
    <row r="494">
      <c r="A494" s="218">
        <f t="shared" si="1"/>
        <v>493</v>
      </c>
      <c r="B494" s="218" t="s">
        <v>202</v>
      </c>
      <c r="C494" s="218" t="s">
        <v>626</v>
      </c>
      <c r="D494" s="218" t="b">
        <v>1</v>
      </c>
      <c r="E494" s="219" t="b">
        <v>0</v>
      </c>
      <c r="F494" s="219" t="b">
        <v>0</v>
      </c>
      <c r="G494" s="219"/>
    </row>
    <row r="495">
      <c r="A495" s="218">
        <f t="shared" si="1"/>
        <v>494</v>
      </c>
      <c r="B495" s="218" t="s">
        <v>202</v>
      </c>
      <c r="C495" s="218" t="s">
        <v>626</v>
      </c>
      <c r="D495" s="218" t="b">
        <v>1</v>
      </c>
      <c r="E495" s="219" t="b">
        <v>0</v>
      </c>
      <c r="F495" s="219" t="b">
        <v>0</v>
      </c>
      <c r="G495" s="219"/>
    </row>
    <row r="496">
      <c r="A496" s="218">
        <f t="shared" si="1"/>
        <v>495</v>
      </c>
      <c r="B496" s="218" t="s">
        <v>202</v>
      </c>
      <c r="C496" s="218" t="s">
        <v>2552</v>
      </c>
      <c r="D496" s="218" t="b">
        <v>1</v>
      </c>
      <c r="E496" s="219" t="b">
        <v>0</v>
      </c>
      <c r="F496" s="219" t="b">
        <v>0</v>
      </c>
      <c r="G496" s="219"/>
    </row>
    <row r="497">
      <c r="A497" s="218">
        <f t="shared" si="1"/>
        <v>496</v>
      </c>
      <c r="B497" s="218" t="s">
        <v>202</v>
      </c>
      <c r="C497" s="218" t="s">
        <v>2673</v>
      </c>
      <c r="D497" s="218" t="b">
        <v>1</v>
      </c>
      <c r="E497" s="219" t="b">
        <v>0</v>
      </c>
      <c r="F497" s="219" t="b">
        <v>0</v>
      </c>
      <c r="G497" s="219"/>
    </row>
    <row r="498">
      <c r="A498" s="218">
        <f t="shared" si="1"/>
        <v>497</v>
      </c>
      <c r="B498" s="218" t="s">
        <v>202</v>
      </c>
      <c r="C498" s="218" t="s">
        <v>2659</v>
      </c>
      <c r="D498" s="218" t="b">
        <v>1</v>
      </c>
      <c r="E498" s="219" t="b">
        <v>0</v>
      </c>
      <c r="F498" s="219" t="b">
        <v>0</v>
      </c>
      <c r="G498" s="219"/>
    </row>
    <row r="499">
      <c r="A499" s="218">
        <f t="shared" si="1"/>
        <v>498</v>
      </c>
      <c r="B499" s="218" t="s">
        <v>202</v>
      </c>
      <c r="C499" s="218" t="s">
        <v>2693</v>
      </c>
      <c r="D499" s="218" t="b">
        <v>1</v>
      </c>
      <c r="E499" s="219" t="b">
        <v>0</v>
      </c>
      <c r="F499" s="219" t="b">
        <v>0</v>
      </c>
      <c r="G499" s="219"/>
    </row>
    <row r="500">
      <c r="A500" s="218">
        <f t="shared" si="1"/>
        <v>499</v>
      </c>
      <c r="B500" s="218" t="s">
        <v>202</v>
      </c>
      <c r="C500" s="218" t="s">
        <v>2688</v>
      </c>
      <c r="D500" s="218" t="b">
        <v>1</v>
      </c>
      <c r="E500" s="219" t="b">
        <v>0</v>
      </c>
      <c r="F500" s="219" t="b">
        <v>0</v>
      </c>
      <c r="G500" s="219"/>
    </row>
    <row r="501">
      <c r="A501" s="218">
        <f t="shared" si="1"/>
        <v>500</v>
      </c>
      <c r="B501" s="218" t="s">
        <v>202</v>
      </c>
      <c r="C501" s="218" t="s">
        <v>2755</v>
      </c>
      <c r="D501" s="218" t="b">
        <v>1</v>
      </c>
      <c r="E501" s="219" t="b">
        <v>0</v>
      </c>
      <c r="F501" s="219" t="b">
        <v>0</v>
      </c>
      <c r="G501" s="219"/>
    </row>
    <row r="502">
      <c r="A502" s="218">
        <f t="shared" si="1"/>
        <v>501</v>
      </c>
      <c r="B502" s="218" t="s">
        <v>202</v>
      </c>
      <c r="C502" s="218" t="s">
        <v>2683</v>
      </c>
      <c r="D502" s="218" t="b">
        <v>1</v>
      </c>
      <c r="E502" s="219" t="b">
        <v>0</v>
      </c>
      <c r="F502" s="219" t="b">
        <v>0</v>
      </c>
      <c r="G502" s="219"/>
    </row>
    <row r="503">
      <c r="A503" s="218">
        <f t="shared" si="1"/>
        <v>502</v>
      </c>
      <c r="B503" s="218" t="s">
        <v>202</v>
      </c>
      <c r="C503" s="218" t="s">
        <v>2669</v>
      </c>
      <c r="D503" s="218" t="b">
        <v>1</v>
      </c>
      <c r="E503" s="219" t="b">
        <v>0</v>
      </c>
      <c r="F503" s="219" t="b">
        <v>0</v>
      </c>
      <c r="G503" s="219"/>
    </row>
    <row r="504">
      <c r="A504" s="218">
        <f t="shared" si="1"/>
        <v>503</v>
      </c>
      <c r="B504" s="218" t="s">
        <v>202</v>
      </c>
      <c r="C504" s="218" t="s">
        <v>2759</v>
      </c>
      <c r="D504" s="218" t="b">
        <v>1</v>
      </c>
      <c r="E504" s="219" t="b">
        <v>0</v>
      </c>
      <c r="F504" s="219" t="b">
        <v>0</v>
      </c>
      <c r="G504" s="219"/>
    </row>
    <row r="505">
      <c r="A505" s="218">
        <f t="shared" si="1"/>
        <v>504</v>
      </c>
      <c r="B505" s="218" t="s">
        <v>202</v>
      </c>
      <c r="C505" s="218" t="s">
        <v>2707</v>
      </c>
      <c r="D505" s="218" t="b">
        <v>1</v>
      </c>
      <c r="E505" s="219" t="b">
        <v>0</v>
      </c>
      <c r="F505" s="219" t="b">
        <v>0</v>
      </c>
      <c r="G505" s="219"/>
    </row>
    <row r="506">
      <c r="A506" s="218">
        <f t="shared" si="1"/>
        <v>505</v>
      </c>
      <c r="B506" s="218" t="s">
        <v>202</v>
      </c>
      <c r="C506" s="218" t="s">
        <v>2519</v>
      </c>
      <c r="D506" s="218" t="b">
        <v>1</v>
      </c>
      <c r="E506" s="219" t="b">
        <v>0</v>
      </c>
      <c r="F506" s="219" t="b">
        <v>0</v>
      </c>
      <c r="G506" s="219"/>
    </row>
    <row r="507">
      <c r="A507" s="218">
        <f t="shared" si="1"/>
        <v>506</v>
      </c>
      <c r="B507" s="218" t="s">
        <v>202</v>
      </c>
      <c r="C507" s="218" t="s">
        <v>2519</v>
      </c>
      <c r="D507" s="218" t="b">
        <v>1</v>
      </c>
      <c r="E507" s="219" t="b">
        <v>0</v>
      </c>
      <c r="F507" s="219" t="b">
        <v>0</v>
      </c>
      <c r="G507" s="219"/>
    </row>
    <row r="508">
      <c r="A508" s="218">
        <f t="shared" si="1"/>
        <v>507</v>
      </c>
      <c r="B508" s="218" t="s">
        <v>202</v>
      </c>
      <c r="C508" s="218" t="s">
        <v>2746</v>
      </c>
      <c r="D508" s="218" t="b">
        <v>1</v>
      </c>
      <c r="E508" s="219" t="b">
        <v>0</v>
      </c>
      <c r="F508" s="219" t="b">
        <v>0</v>
      </c>
      <c r="G508" s="219"/>
    </row>
    <row r="509">
      <c r="A509" s="218">
        <f t="shared" si="1"/>
        <v>508</v>
      </c>
      <c r="B509" s="218" t="s">
        <v>202</v>
      </c>
      <c r="C509" s="218" t="s">
        <v>2727</v>
      </c>
      <c r="D509" s="218" t="b">
        <v>1</v>
      </c>
      <c r="E509" s="219" t="b">
        <v>0</v>
      </c>
      <c r="F509" s="219" t="b">
        <v>0</v>
      </c>
      <c r="G509" s="219"/>
    </row>
    <row r="510">
      <c r="A510" s="218">
        <f t="shared" si="1"/>
        <v>509</v>
      </c>
      <c r="B510" s="218" t="s">
        <v>202</v>
      </c>
      <c r="C510" s="218" t="s">
        <v>2542</v>
      </c>
      <c r="D510" s="218" t="b">
        <v>1</v>
      </c>
      <c r="E510" s="219" t="b">
        <v>0</v>
      </c>
      <c r="F510" s="219" t="b">
        <v>0</v>
      </c>
      <c r="G510" s="219"/>
    </row>
    <row r="511">
      <c r="A511" s="218">
        <f t="shared" si="1"/>
        <v>510</v>
      </c>
      <c r="B511" s="218" t="s">
        <v>202</v>
      </c>
      <c r="C511" s="218" t="s">
        <v>2437</v>
      </c>
      <c r="D511" s="218" t="b">
        <v>1</v>
      </c>
      <c r="E511" s="219" t="b">
        <v>0</v>
      </c>
      <c r="F511" s="219" t="b">
        <v>0</v>
      </c>
      <c r="G511" s="219"/>
    </row>
    <row r="512">
      <c r="A512" s="218">
        <f t="shared" si="1"/>
        <v>511</v>
      </c>
      <c r="B512" s="218" t="s">
        <v>202</v>
      </c>
      <c r="C512" s="218" t="s">
        <v>2466</v>
      </c>
      <c r="D512" s="218" t="b">
        <v>1</v>
      </c>
      <c r="E512" s="219" t="b">
        <v>0</v>
      </c>
      <c r="F512" s="219" t="b">
        <v>0</v>
      </c>
      <c r="G512" s="219"/>
    </row>
    <row r="513">
      <c r="A513" s="218">
        <f t="shared" si="1"/>
        <v>512</v>
      </c>
      <c r="B513" s="218" t="s">
        <v>202</v>
      </c>
      <c r="C513" s="218" t="s">
        <v>2495</v>
      </c>
      <c r="D513" s="218" t="b">
        <v>1</v>
      </c>
      <c r="E513" s="219" t="b">
        <v>0</v>
      </c>
      <c r="F513" s="219" t="b">
        <v>0</v>
      </c>
      <c r="G513" s="219"/>
    </row>
    <row r="514">
      <c r="A514" s="218">
        <f t="shared" si="1"/>
        <v>513</v>
      </c>
      <c r="B514" s="218" t="s">
        <v>202</v>
      </c>
      <c r="C514" s="218" t="s">
        <v>2461</v>
      </c>
      <c r="D514" s="218" t="b">
        <v>1</v>
      </c>
      <c r="E514" s="219" t="b">
        <v>0</v>
      </c>
      <c r="F514" s="219" t="b">
        <v>0</v>
      </c>
      <c r="G514" s="219"/>
    </row>
    <row r="515">
      <c r="A515" s="218">
        <f t="shared" si="1"/>
        <v>514</v>
      </c>
      <c r="B515" s="218" t="s">
        <v>202</v>
      </c>
      <c r="C515" s="218" t="s">
        <v>2471</v>
      </c>
      <c r="D515" s="218" t="b">
        <v>1</v>
      </c>
      <c r="E515" s="219" t="b">
        <v>0</v>
      </c>
      <c r="F515" s="219" t="b">
        <v>0</v>
      </c>
      <c r="G515" s="219"/>
    </row>
    <row r="516">
      <c r="A516" s="218">
        <f t="shared" si="1"/>
        <v>515</v>
      </c>
      <c r="B516" s="218" t="s">
        <v>202</v>
      </c>
      <c r="C516" s="218" t="s">
        <v>2485</v>
      </c>
      <c r="D516" s="218" t="b">
        <v>1</v>
      </c>
      <c r="E516" s="219" t="b">
        <v>0</v>
      </c>
      <c r="F516" s="219" t="b">
        <v>0</v>
      </c>
      <c r="G516" s="219"/>
    </row>
    <row r="517">
      <c r="A517" s="218">
        <f t="shared" si="1"/>
        <v>516</v>
      </c>
      <c r="B517" s="218" t="s">
        <v>202</v>
      </c>
      <c r="C517" s="218" t="s">
        <v>2442</v>
      </c>
      <c r="D517" s="218" t="b">
        <v>1</v>
      </c>
      <c r="E517" s="219" t="b">
        <v>0</v>
      </c>
      <c r="F517" s="219" t="b">
        <v>0</v>
      </c>
      <c r="G517" s="219"/>
    </row>
    <row r="518">
      <c r="A518" s="218">
        <f t="shared" si="1"/>
        <v>517</v>
      </c>
      <c r="B518" s="218" t="s">
        <v>202</v>
      </c>
      <c r="C518" s="218" t="s">
        <v>2451</v>
      </c>
      <c r="D518" s="218" t="b">
        <v>1</v>
      </c>
      <c r="E518" s="219" t="b">
        <v>0</v>
      </c>
      <c r="F518" s="219" t="b">
        <v>0</v>
      </c>
      <c r="G518" s="219"/>
    </row>
    <row r="519">
      <c r="A519" s="218">
        <f t="shared" si="1"/>
        <v>518</v>
      </c>
      <c r="B519" s="218" t="s">
        <v>202</v>
      </c>
      <c r="C519" s="218" t="s">
        <v>2499</v>
      </c>
      <c r="D519" s="218" t="b">
        <v>1</v>
      </c>
      <c r="E519" s="219" t="b">
        <v>0</v>
      </c>
      <c r="F519" s="219" t="b">
        <v>0</v>
      </c>
      <c r="G519" s="219"/>
    </row>
    <row r="520">
      <c r="A520" s="218">
        <f t="shared" si="1"/>
        <v>519</v>
      </c>
      <c r="B520" s="218" t="s">
        <v>202</v>
      </c>
      <c r="C520" s="218" t="s">
        <v>2702</v>
      </c>
      <c r="D520" s="218" t="b">
        <v>1</v>
      </c>
      <c r="E520" s="219" t="b">
        <v>0</v>
      </c>
      <c r="F520" s="219" t="b">
        <v>0</v>
      </c>
      <c r="G520" s="219"/>
    </row>
    <row r="521">
      <c r="A521" s="218">
        <f t="shared" si="1"/>
        <v>520</v>
      </c>
      <c r="B521" s="218" t="s">
        <v>202</v>
      </c>
      <c r="C521" s="218" t="s">
        <v>2697</v>
      </c>
      <c r="D521" s="218" t="b">
        <v>1</v>
      </c>
      <c r="E521" s="219" t="b">
        <v>0</v>
      </c>
      <c r="F521" s="219" t="b">
        <v>0</v>
      </c>
      <c r="G521" s="219"/>
    </row>
    <row r="522">
      <c r="A522" s="218">
        <f t="shared" si="1"/>
        <v>521</v>
      </c>
      <c r="B522" s="218" t="s">
        <v>202</v>
      </c>
      <c r="C522" s="218" t="s">
        <v>2613</v>
      </c>
      <c r="D522" s="218" t="b">
        <v>1</v>
      </c>
      <c r="E522" s="219" t="b">
        <v>0</v>
      </c>
      <c r="F522" s="219" t="b">
        <v>0</v>
      </c>
      <c r="G522" s="219"/>
    </row>
    <row r="523">
      <c r="A523" s="218">
        <f t="shared" si="1"/>
        <v>522</v>
      </c>
      <c r="B523" s="218" t="s">
        <v>202</v>
      </c>
      <c r="C523" s="218" t="s">
        <v>2616</v>
      </c>
      <c r="D523" s="218" t="b">
        <v>1</v>
      </c>
      <c r="E523" s="219" t="b">
        <v>0</v>
      </c>
      <c r="F523" s="219" t="b">
        <v>0</v>
      </c>
      <c r="G523" s="219"/>
    </row>
    <row r="524">
      <c r="A524" s="218">
        <f t="shared" si="1"/>
        <v>523</v>
      </c>
      <c r="B524" s="218" t="s">
        <v>202</v>
      </c>
      <c r="C524" s="218" t="s">
        <v>2571</v>
      </c>
      <c r="D524" s="218" t="b">
        <v>1</v>
      </c>
      <c r="E524" s="219" t="b">
        <v>0</v>
      </c>
      <c r="F524" s="219" t="b">
        <v>0</v>
      </c>
      <c r="G524" s="219"/>
    </row>
    <row r="525">
      <c r="A525" s="218">
        <f t="shared" si="1"/>
        <v>524</v>
      </c>
      <c r="B525" s="218" t="s">
        <v>202</v>
      </c>
      <c r="C525" s="218" t="s">
        <v>2602</v>
      </c>
      <c r="D525" s="218" t="b">
        <v>1</v>
      </c>
      <c r="E525" s="219" t="b">
        <v>0</v>
      </c>
      <c r="F525" s="219" t="b">
        <v>0</v>
      </c>
      <c r="G525" s="219"/>
    </row>
    <row r="526">
      <c r="A526" s="218">
        <f t="shared" si="1"/>
        <v>525</v>
      </c>
      <c r="B526" s="218" t="s">
        <v>202</v>
      </c>
      <c r="C526" s="218" t="s">
        <v>2627</v>
      </c>
      <c r="D526" s="218" t="b">
        <v>1</v>
      </c>
      <c r="E526" s="219" t="b">
        <v>0</v>
      </c>
      <c r="F526" s="219" t="b">
        <v>0</v>
      </c>
      <c r="G526" s="219"/>
    </row>
    <row r="527">
      <c r="A527" s="218">
        <f t="shared" si="1"/>
        <v>526</v>
      </c>
      <c r="B527" s="218" t="s">
        <v>202</v>
      </c>
      <c r="C527" s="218" t="s">
        <v>2557</v>
      </c>
      <c r="D527" s="218" t="b">
        <v>1</v>
      </c>
      <c r="E527" s="219" t="b">
        <v>0</v>
      </c>
      <c r="F527" s="219" t="b">
        <v>0</v>
      </c>
      <c r="G527" s="219"/>
    </row>
    <row r="528">
      <c r="A528" s="218">
        <f t="shared" si="1"/>
        <v>527</v>
      </c>
      <c r="B528" s="218" t="s">
        <v>202</v>
      </c>
      <c r="C528" s="218" t="s">
        <v>2606</v>
      </c>
      <c r="D528" s="218" t="b">
        <v>1</v>
      </c>
      <c r="E528" s="219" t="b">
        <v>0</v>
      </c>
      <c r="F528" s="219" t="b">
        <v>0</v>
      </c>
      <c r="G528" s="219"/>
    </row>
    <row r="529">
      <c r="A529" s="218">
        <f t="shared" si="1"/>
        <v>528</v>
      </c>
      <c r="B529" s="218" t="s">
        <v>202</v>
      </c>
      <c r="C529" s="218" t="s">
        <v>2636</v>
      </c>
      <c r="D529" s="218" t="b">
        <v>1</v>
      </c>
      <c r="E529" s="219" t="b">
        <v>0</v>
      </c>
      <c r="F529" s="219" t="b">
        <v>0</v>
      </c>
      <c r="G529" s="219"/>
    </row>
    <row r="530">
      <c r="A530" s="218">
        <f t="shared" si="1"/>
        <v>529</v>
      </c>
      <c r="B530" s="218" t="s">
        <v>202</v>
      </c>
      <c r="C530" s="218" t="s">
        <v>2566</v>
      </c>
      <c r="D530" s="218" t="b">
        <v>1</v>
      </c>
      <c r="E530" s="219" t="b">
        <v>0</v>
      </c>
      <c r="F530" s="219" t="b">
        <v>0</v>
      </c>
      <c r="G530" s="219"/>
    </row>
    <row r="531">
      <c r="A531" s="218">
        <f t="shared" si="1"/>
        <v>530</v>
      </c>
      <c r="B531" s="218" t="s">
        <v>202</v>
      </c>
      <c r="C531" s="218" t="s">
        <v>2609</v>
      </c>
      <c r="D531" s="218" t="b">
        <v>1</v>
      </c>
      <c r="E531" s="219" t="b">
        <v>0</v>
      </c>
      <c r="F531" s="219" t="b">
        <v>0</v>
      </c>
      <c r="G531" s="219"/>
    </row>
    <row r="532">
      <c r="A532" s="218">
        <f t="shared" si="1"/>
        <v>531</v>
      </c>
      <c r="B532" s="218" t="s">
        <v>202</v>
      </c>
      <c r="C532" s="218" t="s">
        <v>1633</v>
      </c>
      <c r="D532" s="218" t="b">
        <v>1</v>
      </c>
      <c r="E532" s="219" t="b">
        <v>0</v>
      </c>
      <c r="F532" s="219" t="b">
        <v>0</v>
      </c>
      <c r="G532" s="219"/>
    </row>
    <row r="533">
      <c r="A533" s="218">
        <f t="shared" si="1"/>
        <v>532</v>
      </c>
      <c r="B533" s="218" t="s">
        <v>202</v>
      </c>
      <c r="C533" s="218" t="s">
        <v>1637</v>
      </c>
      <c r="D533" s="218" t="b">
        <v>1</v>
      </c>
      <c r="E533" s="219" t="b">
        <v>0</v>
      </c>
      <c r="F533" s="219" t="b">
        <v>0</v>
      </c>
      <c r="G533" s="219"/>
    </row>
    <row r="534">
      <c r="A534" s="218">
        <f t="shared" si="1"/>
        <v>533</v>
      </c>
      <c r="B534" s="218" t="s">
        <v>202</v>
      </c>
      <c r="C534" s="218" t="s">
        <v>1695</v>
      </c>
      <c r="D534" s="218" t="b">
        <v>1</v>
      </c>
      <c r="E534" s="219" t="b">
        <v>0</v>
      </c>
      <c r="F534" s="219" t="b">
        <v>0</v>
      </c>
      <c r="G534" s="219"/>
    </row>
    <row r="535">
      <c r="A535" s="218">
        <f t="shared" si="1"/>
        <v>534</v>
      </c>
      <c r="B535" s="218" t="s">
        <v>202</v>
      </c>
      <c r="C535" s="218" t="s">
        <v>971</v>
      </c>
      <c r="D535" s="218" t="b">
        <v>1</v>
      </c>
      <c r="E535" s="219" t="b">
        <v>0</v>
      </c>
      <c r="F535" s="219" t="b">
        <v>0</v>
      </c>
      <c r="G535" s="219"/>
    </row>
    <row r="536">
      <c r="A536" s="218">
        <f t="shared" si="1"/>
        <v>535</v>
      </c>
      <c r="B536" s="218" t="s">
        <v>202</v>
      </c>
      <c r="C536" s="218" t="s">
        <v>1682</v>
      </c>
      <c r="D536" s="218" t="b">
        <v>1</v>
      </c>
      <c r="E536" s="219" t="b">
        <v>0</v>
      </c>
      <c r="F536" s="219" t="b">
        <v>0</v>
      </c>
      <c r="G536" s="219"/>
    </row>
    <row r="537">
      <c r="A537" s="218">
        <f t="shared" si="1"/>
        <v>536</v>
      </c>
      <c r="B537" s="218" t="s">
        <v>202</v>
      </c>
      <c r="C537" s="218" t="s">
        <v>1621</v>
      </c>
      <c r="D537" s="218" t="b">
        <v>1</v>
      </c>
      <c r="E537" s="219" t="b">
        <v>0</v>
      </c>
      <c r="F537" s="219" t="b">
        <v>0</v>
      </c>
      <c r="G537" s="219"/>
    </row>
    <row r="538">
      <c r="A538" s="218">
        <f t="shared" si="1"/>
        <v>537</v>
      </c>
      <c r="B538" s="218" t="s">
        <v>202</v>
      </c>
      <c r="C538" s="218" t="s">
        <v>1626</v>
      </c>
      <c r="D538" s="218" t="b">
        <v>1</v>
      </c>
      <c r="E538" s="219" t="b">
        <v>0</v>
      </c>
      <c r="F538" s="219" t="b">
        <v>0</v>
      </c>
      <c r="G538" s="219"/>
    </row>
    <row r="539">
      <c r="A539" s="218">
        <f t="shared" si="1"/>
        <v>538</v>
      </c>
      <c r="B539" s="218" t="s">
        <v>202</v>
      </c>
      <c r="C539" s="218" t="s">
        <v>1709</v>
      </c>
      <c r="D539" s="218" t="b">
        <v>1</v>
      </c>
      <c r="E539" s="219" t="b">
        <v>0</v>
      </c>
      <c r="F539" s="219" t="b">
        <v>0</v>
      </c>
      <c r="G539" s="219"/>
    </row>
    <row r="540">
      <c r="A540" s="218">
        <f t="shared" si="1"/>
        <v>539</v>
      </c>
      <c r="B540" s="218" t="s">
        <v>202</v>
      </c>
      <c r="C540" s="218" t="s">
        <v>1704</v>
      </c>
      <c r="D540" s="218" t="b">
        <v>1</v>
      </c>
      <c r="E540" s="219" t="b">
        <v>0</v>
      </c>
      <c r="F540" s="219" t="b">
        <v>0</v>
      </c>
      <c r="G540" s="219"/>
    </row>
    <row r="541">
      <c r="A541" s="218">
        <f t="shared" si="1"/>
        <v>540</v>
      </c>
      <c r="B541" s="218" t="s">
        <v>202</v>
      </c>
      <c r="C541" s="218" t="s">
        <v>1038</v>
      </c>
      <c r="D541" s="218" t="b">
        <v>1</v>
      </c>
      <c r="E541" s="219" t="b">
        <v>0</v>
      </c>
      <c r="F541" s="219" t="b">
        <v>0</v>
      </c>
      <c r="G541" s="219"/>
    </row>
    <row r="542">
      <c r="A542" s="218">
        <f t="shared" si="1"/>
        <v>541</v>
      </c>
      <c r="B542" s="218" t="s">
        <v>202</v>
      </c>
      <c r="C542" s="218" t="s">
        <v>1000</v>
      </c>
      <c r="D542" s="218" t="b">
        <v>1</v>
      </c>
      <c r="E542" s="219" t="b">
        <v>0</v>
      </c>
      <c r="F542" s="219" t="b">
        <v>0</v>
      </c>
      <c r="G542" s="219"/>
    </row>
    <row r="543">
      <c r="A543" s="218">
        <f t="shared" si="1"/>
        <v>542</v>
      </c>
      <c r="B543" s="218" t="s">
        <v>202</v>
      </c>
      <c r="C543" s="218" t="s">
        <v>1616</v>
      </c>
      <c r="D543" s="218" t="b">
        <v>1</v>
      </c>
      <c r="E543" s="219" t="b">
        <v>0</v>
      </c>
      <c r="F543" s="219" t="b">
        <v>0</v>
      </c>
      <c r="G543" s="219"/>
    </row>
    <row r="544">
      <c r="A544" s="218">
        <f t="shared" si="1"/>
        <v>543</v>
      </c>
      <c r="B544" s="218" t="s">
        <v>202</v>
      </c>
      <c r="C544" s="218" t="s">
        <v>1590</v>
      </c>
      <c r="D544" s="218" t="b">
        <v>1</v>
      </c>
      <c r="E544" s="219" t="b">
        <v>0</v>
      </c>
      <c r="F544" s="219" t="b">
        <v>0</v>
      </c>
      <c r="G544" s="219"/>
    </row>
    <row r="545">
      <c r="A545" s="218">
        <f t="shared" si="1"/>
        <v>544</v>
      </c>
      <c r="B545" s="218" t="s">
        <v>202</v>
      </c>
      <c r="C545" s="218" t="s">
        <v>1739</v>
      </c>
      <c r="D545" s="218" t="b">
        <v>1</v>
      </c>
      <c r="E545" s="219" t="b">
        <v>0</v>
      </c>
      <c r="F545" s="219" t="b">
        <v>0</v>
      </c>
      <c r="G545" s="219"/>
    </row>
    <row r="546">
      <c r="A546" s="218">
        <f t="shared" si="1"/>
        <v>545</v>
      </c>
      <c r="B546" s="218" t="s">
        <v>202</v>
      </c>
      <c r="C546" s="218" t="s">
        <v>1749</v>
      </c>
      <c r="D546" s="218" t="b">
        <v>1</v>
      </c>
      <c r="E546" s="219" t="b">
        <v>0</v>
      </c>
      <c r="F546" s="219" t="b">
        <v>0</v>
      </c>
      <c r="G546" s="219"/>
    </row>
    <row r="547">
      <c r="A547" s="218">
        <f t="shared" si="1"/>
        <v>546</v>
      </c>
      <c r="B547" s="218" t="s">
        <v>202</v>
      </c>
      <c r="C547" s="218" t="s">
        <v>995</v>
      </c>
      <c r="D547" s="218" t="b">
        <v>1</v>
      </c>
      <c r="E547" s="219" t="b">
        <v>0</v>
      </c>
      <c r="F547" s="219" t="b">
        <v>0</v>
      </c>
      <c r="G547" s="219"/>
    </row>
    <row r="548">
      <c r="A548" s="218">
        <f t="shared" si="1"/>
        <v>547</v>
      </c>
      <c r="B548" s="218" t="s">
        <v>202</v>
      </c>
      <c r="C548" s="218" t="s">
        <v>1024</v>
      </c>
      <c r="D548" s="218" t="b">
        <v>1</v>
      </c>
      <c r="E548" s="219" t="b">
        <v>0</v>
      </c>
      <c r="F548" s="219" t="b">
        <v>0</v>
      </c>
      <c r="G548" s="219"/>
    </row>
    <row r="549">
      <c r="A549" s="218">
        <f t="shared" si="1"/>
        <v>548</v>
      </c>
      <c r="B549" s="218" t="s">
        <v>202</v>
      </c>
      <c r="C549" s="218" t="s">
        <v>1700</v>
      </c>
      <c r="D549" s="218" t="b">
        <v>1</v>
      </c>
      <c r="E549" s="219" t="b">
        <v>0</v>
      </c>
      <c r="F549" s="219" t="b">
        <v>0</v>
      </c>
      <c r="G549" s="219"/>
    </row>
    <row r="550">
      <c r="A550" s="218">
        <f t="shared" si="1"/>
        <v>549</v>
      </c>
      <c r="B550" s="218" t="s">
        <v>202</v>
      </c>
      <c r="C550" s="218" t="s">
        <v>1734</v>
      </c>
      <c r="D550" s="218" t="b">
        <v>1</v>
      </c>
      <c r="E550" s="219" t="b">
        <v>0</v>
      </c>
      <c r="F550" s="219" t="b">
        <v>0</v>
      </c>
      <c r="G550" s="219"/>
    </row>
    <row r="551">
      <c r="A551" s="218">
        <f t="shared" si="1"/>
        <v>550</v>
      </c>
      <c r="B551" s="218" t="s">
        <v>202</v>
      </c>
      <c r="C551" s="218" t="s">
        <v>1585</v>
      </c>
      <c r="D551" s="218" t="b">
        <v>1</v>
      </c>
      <c r="E551" s="219" t="b">
        <v>0</v>
      </c>
      <c r="F551" s="219" t="b">
        <v>0</v>
      </c>
      <c r="G551" s="219"/>
    </row>
    <row r="552">
      <c r="A552" s="218">
        <f t="shared" si="1"/>
        <v>551</v>
      </c>
      <c r="B552" s="218" t="s">
        <v>202</v>
      </c>
      <c r="C552" s="218" t="s">
        <v>1668</v>
      </c>
      <c r="D552" s="218" t="b">
        <v>1</v>
      </c>
      <c r="E552" s="219" t="b">
        <v>0</v>
      </c>
      <c r="F552" s="219" t="b">
        <v>0</v>
      </c>
      <c r="G552" s="219"/>
    </row>
    <row r="553">
      <c r="A553" s="218">
        <f t="shared" si="1"/>
        <v>552</v>
      </c>
      <c r="B553" s="218" t="s">
        <v>202</v>
      </c>
      <c r="C553" s="218" t="s">
        <v>2075</v>
      </c>
      <c r="D553" s="218" t="b">
        <v>1</v>
      </c>
      <c r="E553" s="219" t="b">
        <v>0</v>
      </c>
      <c r="F553" s="219" t="b">
        <v>0</v>
      </c>
      <c r="G553" s="219"/>
    </row>
    <row r="554">
      <c r="A554" s="218">
        <f t="shared" si="1"/>
        <v>553</v>
      </c>
      <c r="B554" s="218" t="s">
        <v>202</v>
      </c>
      <c r="C554" s="218" t="s">
        <v>2587</v>
      </c>
      <c r="D554" s="218" t="b">
        <v>1</v>
      </c>
      <c r="E554" s="219" t="b">
        <v>0</v>
      </c>
      <c r="F554" s="219" t="b">
        <v>0</v>
      </c>
      <c r="G554" s="219"/>
    </row>
    <row r="555">
      <c r="A555" s="218">
        <f t="shared" si="1"/>
        <v>554</v>
      </c>
      <c r="B555" s="218" t="s">
        <v>202</v>
      </c>
      <c r="C555" s="218" t="s">
        <v>2575</v>
      </c>
      <c r="D555" s="218" t="b">
        <v>1</v>
      </c>
      <c r="E555" s="219" t="b">
        <v>0</v>
      </c>
      <c r="F555" s="219" t="b">
        <v>0</v>
      </c>
      <c r="G555" s="219"/>
    </row>
    <row r="556">
      <c r="A556" s="218">
        <f t="shared" si="1"/>
        <v>555</v>
      </c>
      <c r="B556" s="218" t="s">
        <v>202</v>
      </c>
      <c r="C556" s="218" t="s">
        <v>1838</v>
      </c>
      <c r="D556" s="218" t="b">
        <v>1</v>
      </c>
      <c r="E556" s="219" t="b">
        <v>0</v>
      </c>
      <c r="F556" s="219" t="b">
        <v>0</v>
      </c>
      <c r="G556" s="219"/>
    </row>
    <row r="557">
      <c r="A557" s="218">
        <f t="shared" si="1"/>
        <v>556</v>
      </c>
      <c r="B557" s="218" t="s">
        <v>202</v>
      </c>
      <c r="C557" s="218" t="s">
        <v>2722</v>
      </c>
      <c r="D557" s="218" t="b">
        <v>1</v>
      </c>
      <c r="E557" s="219" t="b">
        <v>0</v>
      </c>
      <c r="F557" s="219" t="b">
        <v>0</v>
      </c>
      <c r="G557" s="219"/>
    </row>
    <row r="558">
      <c r="A558" s="218">
        <f t="shared" si="1"/>
        <v>557</v>
      </c>
      <c r="B558" s="218" t="s">
        <v>202</v>
      </c>
      <c r="C558" s="218" t="s">
        <v>2578</v>
      </c>
      <c r="D558" s="218" t="b">
        <v>1</v>
      </c>
      <c r="E558" s="219" t="b">
        <v>0</v>
      </c>
      <c r="F558" s="219" t="b">
        <v>0</v>
      </c>
      <c r="G558" s="219"/>
    </row>
    <row r="559">
      <c r="A559" s="218">
        <f t="shared" si="1"/>
        <v>558</v>
      </c>
      <c r="B559" s="218" t="s">
        <v>202</v>
      </c>
      <c r="C559" s="218" t="s">
        <v>2592</v>
      </c>
      <c r="D559" s="218" t="b">
        <v>1</v>
      </c>
      <c r="E559" s="219" t="b">
        <v>0</v>
      </c>
      <c r="F559" s="219" t="b">
        <v>0</v>
      </c>
      <c r="G559" s="219"/>
    </row>
    <row r="560">
      <c r="A560" s="218">
        <f t="shared" si="1"/>
        <v>559</v>
      </c>
      <c r="B560" s="218" t="s">
        <v>202</v>
      </c>
      <c r="C560" s="218" t="s">
        <v>1975</v>
      </c>
      <c r="D560" s="218" t="b">
        <v>1</v>
      </c>
      <c r="E560" s="219" t="b">
        <v>0</v>
      </c>
      <c r="F560" s="219" t="b">
        <v>0</v>
      </c>
      <c r="G560" s="219"/>
    </row>
    <row r="561">
      <c r="A561" s="218">
        <f t="shared" si="1"/>
        <v>560</v>
      </c>
      <c r="B561" s="218" t="s">
        <v>202</v>
      </c>
      <c r="C561" s="218" t="s">
        <v>2066</v>
      </c>
      <c r="D561" s="218" t="b">
        <v>1</v>
      </c>
      <c r="E561" s="219" t="b">
        <v>0</v>
      </c>
      <c r="F561" s="219" t="b">
        <v>0</v>
      </c>
      <c r="G561" s="219"/>
    </row>
    <row r="562">
      <c r="A562" s="218">
        <f t="shared" si="1"/>
        <v>561</v>
      </c>
      <c r="B562" s="218" t="s">
        <v>202</v>
      </c>
      <c r="C562" s="218" t="s">
        <v>1782</v>
      </c>
      <c r="D562" s="218" t="b">
        <v>1</v>
      </c>
      <c r="E562" s="219" t="b">
        <v>0</v>
      </c>
      <c r="F562" s="219" t="b">
        <v>0</v>
      </c>
      <c r="G562" s="219"/>
    </row>
    <row r="563">
      <c r="A563" s="218">
        <f t="shared" si="1"/>
        <v>562</v>
      </c>
      <c r="B563" s="218" t="s">
        <v>202</v>
      </c>
      <c r="C563" s="218" t="s">
        <v>2158</v>
      </c>
      <c r="D563" s="218" t="b">
        <v>1</v>
      </c>
      <c r="E563" s="219" t="b">
        <v>0</v>
      </c>
      <c r="F563" s="219" t="b">
        <v>0</v>
      </c>
      <c r="G563" s="219"/>
    </row>
    <row r="564">
      <c r="A564" s="218">
        <f t="shared" si="1"/>
        <v>563</v>
      </c>
      <c r="B564" s="218" t="s">
        <v>202</v>
      </c>
      <c r="C564" s="218" t="s">
        <v>2632</v>
      </c>
      <c r="D564" s="218" t="b">
        <v>1</v>
      </c>
      <c r="E564" s="219" t="b">
        <v>0</v>
      </c>
      <c r="F564" s="219" t="b">
        <v>0</v>
      </c>
      <c r="G564" s="219"/>
    </row>
    <row r="565">
      <c r="A565" s="218">
        <f t="shared" si="1"/>
        <v>564</v>
      </c>
      <c r="B565" s="218" t="s">
        <v>202</v>
      </c>
      <c r="C565" s="218" t="s">
        <v>1874</v>
      </c>
      <c r="D565" s="218" t="b">
        <v>1</v>
      </c>
      <c r="E565" s="219" t="b">
        <v>0</v>
      </c>
      <c r="F565" s="219" t="b">
        <v>0</v>
      </c>
      <c r="G565" s="219"/>
    </row>
    <row r="566">
      <c r="A566" s="218">
        <f t="shared" si="1"/>
        <v>565</v>
      </c>
      <c r="B566" s="218" t="s">
        <v>202</v>
      </c>
      <c r="C566" s="218" t="s">
        <v>2096</v>
      </c>
      <c r="D566" s="218" t="b">
        <v>1</v>
      </c>
      <c r="E566" s="219" t="b">
        <v>0</v>
      </c>
      <c r="F566" s="219" t="b">
        <v>0</v>
      </c>
      <c r="G566" s="219"/>
    </row>
    <row r="567">
      <c r="A567" s="218">
        <f t="shared" si="1"/>
        <v>566</v>
      </c>
      <c r="B567" s="218" t="s">
        <v>202</v>
      </c>
      <c r="C567" s="218" t="s">
        <v>4011</v>
      </c>
      <c r="D567" s="218" t="b">
        <v>1</v>
      </c>
      <c r="E567" s="219" t="b">
        <v>0</v>
      </c>
      <c r="F567" s="219" t="b">
        <v>0</v>
      </c>
      <c r="G567" s="219"/>
    </row>
    <row r="568">
      <c r="A568" s="218">
        <f t="shared" si="1"/>
        <v>567</v>
      </c>
      <c r="B568" s="218" t="s">
        <v>202</v>
      </c>
      <c r="C568" s="218" t="s">
        <v>2619</v>
      </c>
      <c r="D568" s="218" t="b">
        <v>1</v>
      </c>
      <c r="E568" s="219" t="b">
        <v>0</v>
      </c>
      <c r="F568" s="219" t="b">
        <v>0</v>
      </c>
      <c r="G568" s="219"/>
    </row>
    <row r="569">
      <c r="A569" s="218">
        <f t="shared" si="1"/>
        <v>568</v>
      </c>
      <c r="B569" s="218" t="s">
        <v>202</v>
      </c>
      <c r="C569" s="218" t="s">
        <v>5083</v>
      </c>
      <c r="D569" s="218" t="b">
        <v>1</v>
      </c>
      <c r="E569" s="219" t="b">
        <v>0</v>
      </c>
      <c r="F569" s="219" t="b">
        <v>0</v>
      </c>
      <c r="G569" s="219"/>
    </row>
    <row r="570">
      <c r="A570" s="218">
        <f t="shared" si="1"/>
        <v>569</v>
      </c>
      <c r="B570" s="218" t="s">
        <v>202</v>
      </c>
      <c r="C570" s="218" t="s">
        <v>2547</v>
      </c>
      <c r="D570" s="218" t="b">
        <v>1</v>
      </c>
      <c r="E570" s="219" t="b">
        <v>0</v>
      </c>
      <c r="F570" s="219" t="b">
        <v>0</v>
      </c>
      <c r="G570" s="219"/>
    </row>
    <row r="571">
      <c r="A571" s="218">
        <f t="shared" si="1"/>
        <v>570</v>
      </c>
      <c r="B571" s="218" t="s">
        <v>202</v>
      </c>
      <c r="C571" s="218" t="s">
        <v>1447</v>
      </c>
      <c r="D571" s="218" t="b">
        <v>1</v>
      </c>
      <c r="E571" s="219" t="b">
        <v>0</v>
      </c>
      <c r="F571" s="219" t="b">
        <v>0</v>
      </c>
      <c r="G571" s="219"/>
    </row>
    <row r="572">
      <c r="A572" s="218">
        <f t="shared" si="1"/>
        <v>571</v>
      </c>
      <c r="B572" s="218" t="s">
        <v>202</v>
      </c>
      <c r="C572" s="218" t="s">
        <v>2623</v>
      </c>
      <c r="D572" s="218" t="b">
        <v>1</v>
      </c>
      <c r="E572" s="219" t="b">
        <v>0</v>
      </c>
      <c r="F572" s="219" t="b">
        <v>0</v>
      </c>
      <c r="G572" s="219"/>
    </row>
    <row r="573">
      <c r="A573" s="218">
        <f t="shared" si="1"/>
        <v>572</v>
      </c>
      <c r="B573" s="218" t="s">
        <v>202</v>
      </c>
      <c r="C573" s="218" t="s">
        <v>3998</v>
      </c>
      <c r="D573" s="218" t="b">
        <v>1</v>
      </c>
      <c r="E573" s="219" t="b">
        <v>0</v>
      </c>
      <c r="F573" s="219" t="b">
        <v>0</v>
      </c>
      <c r="G573" s="219"/>
    </row>
    <row r="574">
      <c r="A574" s="218">
        <f t="shared" si="1"/>
        <v>573</v>
      </c>
      <c r="B574" s="218" t="s">
        <v>202</v>
      </c>
      <c r="C574" s="218" t="s">
        <v>2513</v>
      </c>
      <c r="D574" s="218" t="b">
        <v>1</v>
      </c>
      <c r="E574" s="219" t="b">
        <v>0</v>
      </c>
      <c r="F574" s="219" t="b">
        <v>0</v>
      </c>
      <c r="G574" s="219"/>
    </row>
    <row r="575">
      <c r="A575" s="218">
        <f t="shared" si="1"/>
        <v>574</v>
      </c>
      <c r="B575" s="218" t="s">
        <v>202</v>
      </c>
      <c r="C575" s="218" t="s">
        <v>3993</v>
      </c>
      <c r="D575" s="218" t="b">
        <v>1</v>
      </c>
      <c r="E575" s="219" t="b">
        <v>0</v>
      </c>
      <c r="F575" s="219" t="b">
        <v>0</v>
      </c>
      <c r="G575" s="219"/>
    </row>
    <row r="576">
      <c r="A576" s="218">
        <f t="shared" si="1"/>
        <v>575</v>
      </c>
      <c r="B576" s="218" t="s">
        <v>202</v>
      </c>
      <c r="C576" s="218" t="s">
        <v>2504</v>
      </c>
      <c r="D576" s="218" t="b">
        <v>1</v>
      </c>
      <c r="E576" s="219" t="b">
        <v>0</v>
      </c>
      <c r="F576" s="219" t="b">
        <v>0</v>
      </c>
      <c r="G576" s="219"/>
    </row>
    <row r="577">
      <c r="A577" s="218">
        <f t="shared" si="1"/>
        <v>576</v>
      </c>
      <c r="B577" s="218" t="s">
        <v>202</v>
      </c>
      <c r="C577" s="218" t="s">
        <v>3987</v>
      </c>
      <c r="D577" s="218" t="b">
        <v>1</v>
      </c>
      <c r="E577" s="219" t="b">
        <v>0</v>
      </c>
      <c r="F577" s="219" t="b">
        <v>0</v>
      </c>
      <c r="G577" s="219"/>
    </row>
    <row r="578">
      <c r="A578" s="218">
        <f t="shared" si="1"/>
        <v>577</v>
      </c>
      <c r="B578" s="218" t="s">
        <v>202</v>
      </c>
      <c r="C578" s="218" t="s">
        <v>2101</v>
      </c>
      <c r="D578" s="218" t="b">
        <v>1</v>
      </c>
      <c r="E578" s="219" t="b">
        <v>0</v>
      </c>
      <c r="F578" s="219" t="b">
        <v>0</v>
      </c>
      <c r="G578" s="219"/>
    </row>
    <row r="579">
      <c r="A579" s="218">
        <f t="shared" si="1"/>
        <v>578</v>
      </c>
      <c r="B579" s="218" t="s">
        <v>202</v>
      </c>
      <c r="C579" s="218" t="s">
        <v>2423</v>
      </c>
      <c r="D579" s="218" t="b">
        <v>1</v>
      </c>
      <c r="E579" s="219" t="b">
        <v>0</v>
      </c>
      <c r="F579" s="219" t="b">
        <v>0</v>
      </c>
      <c r="G579" s="219"/>
    </row>
    <row r="580">
      <c r="A580" s="218">
        <f t="shared" si="1"/>
        <v>579</v>
      </c>
      <c r="B580" s="218" t="s">
        <v>202</v>
      </c>
      <c r="C580" s="218" t="s">
        <v>4940</v>
      </c>
      <c r="D580" s="218" t="b">
        <v>1</v>
      </c>
      <c r="E580" s="219" t="b">
        <v>0</v>
      </c>
      <c r="F580" s="219" t="b">
        <v>0</v>
      </c>
      <c r="G580" s="219"/>
    </row>
    <row r="581">
      <c r="A581" s="218">
        <f t="shared" si="1"/>
        <v>580</v>
      </c>
      <c r="B581" s="218" t="s">
        <v>202</v>
      </c>
      <c r="C581" s="218" t="s">
        <v>2418</v>
      </c>
      <c r="D581" s="218" t="b">
        <v>1</v>
      </c>
      <c r="E581" s="219" t="b">
        <v>0</v>
      </c>
      <c r="F581" s="219" t="b">
        <v>0</v>
      </c>
      <c r="G581" s="219"/>
    </row>
    <row r="582">
      <c r="A582" s="218">
        <f t="shared" si="1"/>
        <v>581</v>
      </c>
      <c r="B582" s="218" t="s">
        <v>202</v>
      </c>
      <c r="C582" s="218" t="s">
        <v>1415</v>
      </c>
      <c r="D582" s="218" t="b">
        <v>1</v>
      </c>
      <c r="E582" s="219" t="b">
        <v>0</v>
      </c>
      <c r="F582" s="219" t="b">
        <v>0</v>
      </c>
      <c r="G582" s="219"/>
    </row>
    <row r="583">
      <c r="A583" s="218">
        <f t="shared" si="1"/>
        <v>582</v>
      </c>
      <c r="B583" s="218" t="s">
        <v>202</v>
      </c>
      <c r="C583" s="218" t="s">
        <v>1433</v>
      </c>
      <c r="D583" s="218" t="b">
        <v>1</v>
      </c>
      <c r="E583" s="219" t="b">
        <v>0</v>
      </c>
      <c r="F583" s="219" t="b">
        <v>0</v>
      </c>
      <c r="G583" s="219"/>
    </row>
    <row r="584">
      <c r="A584" s="218">
        <f t="shared" si="1"/>
        <v>583</v>
      </c>
      <c r="B584" s="218" t="s">
        <v>202</v>
      </c>
      <c r="C584" s="218" t="s">
        <v>3411</v>
      </c>
      <c r="D584" s="218" t="b">
        <v>1</v>
      </c>
      <c r="E584" s="219" t="b">
        <v>0</v>
      </c>
      <c r="F584" s="219" t="b">
        <v>0</v>
      </c>
      <c r="G584" s="219"/>
    </row>
    <row r="585">
      <c r="A585" s="218">
        <f t="shared" si="1"/>
        <v>584</v>
      </c>
      <c r="B585" s="218" t="s">
        <v>202</v>
      </c>
      <c r="C585" s="218" t="s">
        <v>2403</v>
      </c>
      <c r="D585" s="218" t="b">
        <v>1</v>
      </c>
      <c r="E585" s="219" t="b">
        <v>0</v>
      </c>
      <c r="F585" s="219" t="b">
        <v>0</v>
      </c>
      <c r="G585" s="219"/>
    </row>
    <row r="586">
      <c r="A586" s="218">
        <f t="shared" si="1"/>
        <v>585</v>
      </c>
      <c r="B586" s="218" t="s">
        <v>202</v>
      </c>
      <c r="C586" s="218" t="s">
        <v>2393</v>
      </c>
      <c r="D586" s="218" t="b">
        <v>1</v>
      </c>
      <c r="E586" s="219" t="b">
        <v>0</v>
      </c>
      <c r="F586" s="219" t="b">
        <v>0</v>
      </c>
      <c r="G586" s="219"/>
    </row>
    <row r="587">
      <c r="A587" s="218">
        <f t="shared" si="1"/>
        <v>586</v>
      </c>
      <c r="B587" s="218" t="s">
        <v>202</v>
      </c>
      <c r="C587" s="218" t="s">
        <v>2322</v>
      </c>
      <c r="D587" s="218" t="b">
        <v>1</v>
      </c>
      <c r="E587" s="219" t="b">
        <v>0</v>
      </c>
      <c r="F587" s="219" t="b">
        <v>0</v>
      </c>
      <c r="G587" s="219"/>
    </row>
    <row r="588">
      <c r="A588" s="218">
        <f t="shared" si="1"/>
        <v>587</v>
      </c>
      <c r="B588" s="218" t="s">
        <v>202</v>
      </c>
      <c r="C588" s="218" t="s">
        <v>3864</v>
      </c>
      <c r="D588" s="218" t="b">
        <v>1</v>
      </c>
      <c r="E588" s="219" t="b">
        <v>0</v>
      </c>
      <c r="F588" s="219" t="b">
        <v>0</v>
      </c>
      <c r="G588" s="219"/>
    </row>
    <row r="589">
      <c r="A589" s="218">
        <f t="shared" si="1"/>
        <v>588</v>
      </c>
      <c r="B589" s="218" t="s">
        <v>202</v>
      </c>
      <c r="C589" s="218" t="s">
        <v>2327</v>
      </c>
      <c r="D589" s="218" t="b">
        <v>1</v>
      </c>
      <c r="E589" s="219" t="b">
        <v>0</v>
      </c>
      <c r="F589" s="219" t="b">
        <v>0</v>
      </c>
      <c r="G589" s="219"/>
    </row>
    <row r="590">
      <c r="A590" s="218">
        <f t="shared" si="1"/>
        <v>589</v>
      </c>
      <c r="B590" s="218" t="s">
        <v>202</v>
      </c>
      <c r="C590" s="218" t="s">
        <v>2332</v>
      </c>
      <c r="D590" s="218" t="b">
        <v>1</v>
      </c>
      <c r="E590" s="219" t="b">
        <v>0</v>
      </c>
      <c r="F590" s="219" t="b">
        <v>0</v>
      </c>
      <c r="G590" s="219"/>
    </row>
    <row r="591">
      <c r="A591" s="218">
        <f t="shared" si="1"/>
        <v>590</v>
      </c>
      <c r="B591" s="218" t="s">
        <v>202</v>
      </c>
      <c r="C591" s="218" t="s">
        <v>3852</v>
      </c>
      <c r="D591" s="218" t="b">
        <v>1</v>
      </c>
      <c r="E591" s="219" t="b">
        <v>0</v>
      </c>
      <c r="F591" s="219" t="b">
        <v>0</v>
      </c>
      <c r="G591" s="219"/>
    </row>
    <row r="592">
      <c r="A592" s="218">
        <f t="shared" si="1"/>
        <v>591</v>
      </c>
      <c r="B592" s="218" t="s">
        <v>202</v>
      </c>
      <c r="C592" s="218" t="s">
        <v>2337</v>
      </c>
      <c r="D592" s="218" t="b">
        <v>1</v>
      </c>
      <c r="E592" s="219" t="b">
        <v>0</v>
      </c>
      <c r="F592" s="219" t="b">
        <v>0</v>
      </c>
      <c r="G592" s="219"/>
    </row>
    <row r="593">
      <c r="A593" s="218">
        <f t="shared" si="1"/>
        <v>592</v>
      </c>
      <c r="B593" s="218" t="s">
        <v>202</v>
      </c>
      <c r="C593" s="218" t="s">
        <v>2342</v>
      </c>
      <c r="D593" s="218" t="b">
        <v>1</v>
      </c>
      <c r="E593" s="219" t="b">
        <v>0</v>
      </c>
      <c r="F593" s="219" t="b">
        <v>0</v>
      </c>
      <c r="G593" s="219"/>
    </row>
    <row r="594">
      <c r="A594" s="218">
        <f t="shared" si="1"/>
        <v>593</v>
      </c>
      <c r="B594" s="218" t="s">
        <v>202</v>
      </c>
      <c r="C594" s="218" t="s">
        <v>3839</v>
      </c>
      <c r="D594" s="218" t="b">
        <v>1</v>
      </c>
      <c r="E594" s="219" t="b">
        <v>0</v>
      </c>
      <c r="F594" s="219" t="b">
        <v>0</v>
      </c>
      <c r="G594" s="219"/>
    </row>
    <row r="595">
      <c r="A595" s="218">
        <f t="shared" si="1"/>
        <v>594</v>
      </c>
      <c r="B595" s="218" t="s">
        <v>202</v>
      </c>
      <c r="C595" s="218" t="s">
        <v>2490</v>
      </c>
      <c r="D595" s="218" t="b">
        <v>1</v>
      </c>
      <c r="E595" s="219" t="b">
        <v>0</v>
      </c>
      <c r="F595" s="219" t="b">
        <v>0</v>
      </c>
      <c r="G595" s="219"/>
    </row>
    <row r="596">
      <c r="A596" s="218">
        <f t="shared" si="1"/>
        <v>595</v>
      </c>
      <c r="B596" s="218" t="s">
        <v>202</v>
      </c>
      <c r="C596" s="218" t="s">
        <v>3908</v>
      </c>
      <c r="D596" s="218" t="b">
        <v>1</v>
      </c>
      <c r="E596" s="219" t="b">
        <v>0</v>
      </c>
      <c r="F596" s="219" t="b">
        <v>0</v>
      </c>
      <c r="G596" s="219"/>
    </row>
    <row r="597">
      <c r="A597" s="218">
        <f t="shared" si="1"/>
        <v>596</v>
      </c>
      <c r="B597" s="218" t="s">
        <v>202</v>
      </c>
      <c r="C597" s="218" t="s">
        <v>2389</v>
      </c>
      <c r="D597" s="218" t="b">
        <v>1</v>
      </c>
      <c r="E597" s="219" t="b">
        <v>0</v>
      </c>
      <c r="F597" s="219" t="b">
        <v>0</v>
      </c>
      <c r="G597" s="219"/>
    </row>
    <row r="598">
      <c r="A598" s="218">
        <f t="shared" si="1"/>
        <v>597</v>
      </c>
      <c r="B598" s="218" t="s">
        <v>202</v>
      </c>
      <c r="C598" s="218" t="s">
        <v>2300</v>
      </c>
      <c r="D598" s="218" t="b">
        <v>1</v>
      </c>
      <c r="E598" s="219" t="b">
        <v>0</v>
      </c>
      <c r="F598" s="219" t="b">
        <v>0</v>
      </c>
      <c r="G598" s="219"/>
    </row>
    <row r="599">
      <c r="A599" s="218">
        <f t="shared" si="1"/>
        <v>598</v>
      </c>
      <c r="B599" s="218" t="s">
        <v>202</v>
      </c>
      <c r="C599" s="218" t="s">
        <v>2352</v>
      </c>
      <c r="D599" s="218" t="b">
        <v>1</v>
      </c>
      <c r="E599" s="219" t="b">
        <v>0</v>
      </c>
      <c r="F599" s="219" t="b">
        <v>0</v>
      </c>
      <c r="G599" s="219"/>
    </row>
    <row r="600">
      <c r="A600" s="218">
        <f t="shared" si="1"/>
        <v>599</v>
      </c>
      <c r="B600" s="218" t="s">
        <v>202</v>
      </c>
      <c r="C600" s="218" t="s">
        <v>4569</v>
      </c>
      <c r="D600" s="218" t="b">
        <v>1</v>
      </c>
      <c r="E600" s="219" t="b">
        <v>0</v>
      </c>
      <c r="F600" s="219" t="b">
        <v>0</v>
      </c>
      <c r="G600" s="219"/>
    </row>
    <row r="601">
      <c r="A601" s="218">
        <f t="shared" si="1"/>
        <v>600</v>
      </c>
      <c r="B601" s="218" t="s">
        <v>202</v>
      </c>
      <c r="C601" s="218" t="s">
        <v>4704</v>
      </c>
      <c r="D601" s="218" t="b">
        <v>1</v>
      </c>
      <c r="E601" s="219" t="b">
        <v>0</v>
      </c>
      <c r="F601" s="219" t="b">
        <v>0</v>
      </c>
      <c r="G601" s="219"/>
    </row>
    <row r="602">
      <c r="A602" s="218">
        <f t="shared" si="1"/>
        <v>601</v>
      </c>
      <c r="B602" s="218" t="s">
        <v>202</v>
      </c>
      <c r="C602" s="218" t="s">
        <v>2271</v>
      </c>
      <c r="D602" s="218" t="b">
        <v>1</v>
      </c>
      <c r="E602" s="219" t="b">
        <v>0</v>
      </c>
      <c r="F602" s="219" t="b">
        <v>0</v>
      </c>
      <c r="G602" s="219"/>
    </row>
    <row r="603">
      <c r="A603" s="218">
        <f t="shared" si="1"/>
        <v>602</v>
      </c>
      <c r="B603" s="218" t="s">
        <v>202</v>
      </c>
      <c r="C603" s="218" t="s">
        <v>3934</v>
      </c>
      <c r="D603" s="218" t="b">
        <v>1</v>
      </c>
      <c r="E603" s="219" t="b">
        <v>0</v>
      </c>
      <c r="F603" s="219" t="b">
        <v>0</v>
      </c>
      <c r="G603" s="219"/>
    </row>
    <row r="604">
      <c r="A604" s="218">
        <f t="shared" si="1"/>
        <v>603</v>
      </c>
      <c r="B604" s="218" t="s">
        <v>202</v>
      </c>
      <c r="C604" s="218" t="s">
        <v>2266</v>
      </c>
      <c r="D604" s="218" t="b">
        <v>1</v>
      </c>
      <c r="E604" s="219" t="b">
        <v>0</v>
      </c>
      <c r="F604" s="219" t="b">
        <v>0</v>
      </c>
      <c r="G604" s="219"/>
    </row>
    <row r="605">
      <c r="A605" s="218">
        <f t="shared" si="1"/>
        <v>604</v>
      </c>
      <c r="B605" s="218" t="s">
        <v>202</v>
      </c>
      <c r="C605" s="218" t="s">
        <v>3820</v>
      </c>
      <c r="D605" s="218" t="b">
        <v>1</v>
      </c>
      <c r="E605" s="219" t="b">
        <v>0</v>
      </c>
      <c r="F605" s="219" t="b">
        <v>0</v>
      </c>
      <c r="G605" s="219"/>
    </row>
    <row r="606">
      <c r="A606" s="218">
        <f t="shared" si="1"/>
        <v>605</v>
      </c>
      <c r="B606" s="218" t="s">
        <v>202</v>
      </c>
      <c r="C606" s="218" t="s">
        <v>2295</v>
      </c>
      <c r="D606" s="218" t="b">
        <v>1</v>
      </c>
      <c r="E606" s="219" t="b">
        <v>0</v>
      </c>
      <c r="F606" s="219" t="b">
        <v>0</v>
      </c>
      <c r="G606" s="219"/>
    </row>
    <row r="607">
      <c r="A607" s="218">
        <f t="shared" si="1"/>
        <v>606</v>
      </c>
      <c r="B607" s="218" t="s">
        <v>202</v>
      </c>
      <c r="C607" s="218" t="s">
        <v>3848</v>
      </c>
      <c r="D607" s="218" t="b">
        <v>1</v>
      </c>
      <c r="E607" s="219" t="b">
        <v>0</v>
      </c>
      <c r="F607" s="219" t="b">
        <v>0</v>
      </c>
      <c r="G607" s="219"/>
    </row>
    <row r="608">
      <c r="A608" s="218">
        <f t="shared" si="1"/>
        <v>607</v>
      </c>
      <c r="B608" s="218" t="s">
        <v>202</v>
      </c>
      <c r="C608" s="218" t="s">
        <v>2314</v>
      </c>
      <c r="D608" s="218" t="b">
        <v>1</v>
      </c>
      <c r="E608" s="219" t="b">
        <v>0</v>
      </c>
      <c r="F608" s="219" t="b">
        <v>0</v>
      </c>
      <c r="G608" s="219"/>
    </row>
    <row r="609">
      <c r="A609" s="218">
        <f t="shared" si="1"/>
        <v>608</v>
      </c>
      <c r="B609" s="218" t="s">
        <v>202</v>
      </c>
      <c r="C609" s="218" t="s">
        <v>2428</v>
      </c>
      <c r="D609" s="218" t="b">
        <v>1</v>
      </c>
      <c r="E609" s="219" t="b">
        <v>0</v>
      </c>
      <c r="F609" s="219" t="b">
        <v>0</v>
      </c>
      <c r="G609" s="219"/>
    </row>
    <row r="610">
      <c r="A610" s="218">
        <f t="shared" si="1"/>
        <v>609</v>
      </c>
      <c r="B610" s="218" t="s">
        <v>202</v>
      </c>
      <c r="C610" s="218" t="s">
        <v>4307</v>
      </c>
      <c r="D610" s="218" t="b">
        <v>1</v>
      </c>
      <c r="E610" s="219" t="b">
        <v>0</v>
      </c>
      <c r="F610" s="219" t="b">
        <v>0</v>
      </c>
      <c r="G610" s="219"/>
    </row>
    <row r="611">
      <c r="A611" s="218">
        <f t="shared" si="1"/>
        <v>610</v>
      </c>
      <c r="B611" s="218" t="s">
        <v>202</v>
      </c>
      <c r="C611" s="218" t="s">
        <v>2379</v>
      </c>
      <c r="D611" s="218" t="b">
        <v>1</v>
      </c>
      <c r="E611" s="219" t="b">
        <v>0</v>
      </c>
      <c r="F611" s="219" t="b">
        <v>0</v>
      </c>
      <c r="G611" s="219"/>
    </row>
    <row r="612">
      <c r="A612" s="218">
        <f t="shared" si="1"/>
        <v>611</v>
      </c>
      <c r="B612" s="218" t="s">
        <v>202</v>
      </c>
      <c r="C612" s="218" t="s">
        <v>2384</v>
      </c>
      <c r="D612" s="218" t="b">
        <v>1</v>
      </c>
      <c r="E612" s="219" t="b">
        <v>0</v>
      </c>
      <c r="F612" s="219" t="b">
        <v>0</v>
      </c>
      <c r="G612" s="219"/>
    </row>
    <row r="613">
      <c r="A613" s="218">
        <f t="shared" si="1"/>
        <v>612</v>
      </c>
      <c r="B613" s="218" t="s">
        <v>202</v>
      </c>
      <c r="C613" s="218" t="s">
        <v>1772</v>
      </c>
      <c r="D613" s="218" t="b">
        <v>1</v>
      </c>
      <c r="E613" s="219" t="b">
        <v>0</v>
      </c>
      <c r="F613" s="219" t="b">
        <v>0</v>
      </c>
      <c r="G613" s="219"/>
    </row>
    <row r="614">
      <c r="A614" s="218">
        <f t="shared" si="1"/>
        <v>613</v>
      </c>
      <c r="B614" s="218" t="s">
        <v>202</v>
      </c>
      <c r="C614" s="218" t="s">
        <v>2370</v>
      </c>
      <c r="D614" s="218" t="b">
        <v>1</v>
      </c>
      <c r="E614" s="219" t="b">
        <v>0</v>
      </c>
      <c r="F614" s="219" t="b">
        <v>0</v>
      </c>
      <c r="G614" s="219"/>
    </row>
    <row r="615">
      <c r="A615" s="218">
        <f t="shared" si="1"/>
        <v>614</v>
      </c>
      <c r="B615" s="218" t="s">
        <v>202</v>
      </c>
      <c r="C615" s="218" t="s">
        <v>3809</v>
      </c>
      <c r="D615" s="218" t="b">
        <v>1</v>
      </c>
      <c r="E615" s="219" t="b">
        <v>0</v>
      </c>
      <c r="F615" s="219" t="b">
        <v>0</v>
      </c>
      <c r="G615" s="219"/>
    </row>
    <row r="616">
      <c r="A616" s="218">
        <f t="shared" si="1"/>
        <v>615</v>
      </c>
      <c r="B616" s="218" t="s">
        <v>202</v>
      </c>
      <c r="C616" s="218" t="s">
        <v>2365</v>
      </c>
      <c r="D616" s="218" t="b">
        <v>1</v>
      </c>
      <c r="E616" s="219" t="b">
        <v>0</v>
      </c>
      <c r="F616" s="219" t="b">
        <v>0</v>
      </c>
      <c r="G616" s="219"/>
    </row>
    <row r="617">
      <c r="A617" s="218">
        <f t="shared" si="1"/>
        <v>616</v>
      </c>
      <c r="B617" s="218" t="s">
        <v>202</v>
      </c>
      <c r="C617" s="218" t="s">
        <v>1744</v>
      </c>
      <c r="D617" s="218" t="b">
        <v>1</v>
      </c>
      <c r="E617" s="219" t="b">
        <v>0</v>
      </c>
      <c r="F617" s="219" t="b">
        <v>0</v>
      </c>
      <c r="G617" s="219"/>
    </row>
    <row r="618">
      <c r="A618" s="218">
        <f t="shared" si="1"/>
        <v>617</v>
      </c>
      <c r="B618" s="218" t="s">
        <v>202</v>
      </c>
      <c r="C618" s="218" t="s">
        <v>2640</v>
      </c>
      <c r="D618" s="218" t="b">
        <v>1</v>
      </c>
      <c r="E618" s="219" t="b">
        <v>0</v>
      </c>
      <c r="F618" s="219" t="b">
        <v>0</v>
      </c>
      <c r="G618" s="219"/>
    </row>
    <row r="619">
      <c r="A619" s="218">
        <f t="shared" si="1"/>
        <v>618</v>
      </c>
      <c r="B619" s="218" t="s">
        <v>202</v>
      </c>
      <c r="C619" s="218" t="s">
        <v>2361</v>
      </c>
      <c r="D619" s="218" t="b">
        <v>1</v>
      </c>
      <c r="E619" s="219" t="b">
        <v>0</v>
      </c>
      <c r="F619" s="219" t="b">
        <v>0</v>
      </c>
      <c r="G619" s="219"/>
    </row>
    <row r="620">
      <c r="A620" s="218">
        <f t="shared" si="1"/>
        <v>619</v>
      </c>
      <c r="B620" s="218" t="s">
        <v>202</v>
      </c>
      <c r="C620" s="218" t="s">
        <v>3825</v>
      </c>
      <c r="D620" s="218" t="b">
        <v>1</v>
      </c>
      <c r="E620" s="219" t="b">
        <v>0</v>
      </c>
      <c r="F620" s="219" t="b">
        <v>0</v>
      </c>
      <c r="G620" s="219"/>
    </row>
    <row r="621">
      <c r="A621" s="218">
        <f t="shared" si="1"/>
        <v>620</v>
      </c>
      <c r="B621" s="218" t="s">
        <v>202</v>
      </c>
      <c r="C621" s="218" t="s">
        <v>2281</v>
      </c>
      <c r="D621" s="218" t="b">
        <v>1</v>
      </c>
      <c r="E621" s="219" t="b">
        <v>0</v>
      </c>
      <c r="F621" s="219" t="b">
        <v>0</v>
      </c>
      <c r="G621" s="219"/>
    </row>
    <row r="622">
      <c r="A622" s="218">
        <f t="shared" si="1"/>
        <v>621</v>
      </c>
      <c r="B622" s="218" t="s">
        <v>202</v>
      </c>
      <c r="C622" s="218" t="s">
        <v>2276</v>
      </c>
      <c r="D622" s="218" t="b">
        <v>1</v>
      </c>
      <c r="E622" s="219" t="b">
        <v>0</v>
      </c>
      <c r="F622" s="219" t="b">
        <v>0</v>
      </c>
      <c r="G622" s="219"/>
    </row>
    <row r="623">
      <c r="A623" s="218">
        <f t="shared" si="1"/>
        <v>622</v>
      </c>
      <c r="B623" s="218" t="s">
        <v>202</v>
      </c>
      <c r="C623" s="218" t="s">
        <v>2516</v>
      </c>
      <c r="D623" s="218" t="b">
        <v>1</v>
      </c>
      <c r="E623" s="219" t="b">
        <v>0</v>
      </c>
      <c r="F623" s="219" t="b">
        <v>0</v>
      </c>
      <c r="G623" s="219"/>
    </row>
    <row r="624">
      <c r="A624" s="218">
        <f t="shared" si="1"/>
        <v>623</v>
      </c>
      <c r="B624" s="218" t="s">
        <v>202</v>
      </c>
      <c r="C624" s="218" t="s">
        <v>1786</v>
      </c>
      <c r="D624" s="218" t="b">
        <v>1</v>
      </c>
      <c r="E624" s="219" t="b">
        <v>0</v>
      </c>
      <c r="F624" s="219" t="b">
        <v>0</v>
      </c>
      <c r="G624" s="219"/>
    </row>
    <row r="625">
      <c r="A625" s="218">
        <f t="shared" si="1"/>
        <v>624</v>
      </c>
      <c r="B625" s="218" t="s">
        <v>202</v>
      </c>
      <c r="C625" s="218" t="s">
        <v>1777</v>
      </c>
      <c r="D625" s="218" t="b">
        <v>1</v>
      </c>
      <c r="E625" s="219" t="b">
        <v>0</v>
      </c>
      <c r="F625" s="219" t="b">
        <v>0</v>
      </c>
      <c r="G625" s="219"/>
    </row>
    <row r="626">
      <c r="A626" s="218">
        <f t="shared" si="1"/>
        <v>625</v>
      </c>
      <c r="B626" s="218" t="s">
        <v>202</v>
      </c>
      <c r="C626" s="218" t="s">
        <v>3547</v>
      </c>
      <c r="D626" s="218" t="b">
        <v>1</v>
      </c>
      <c r="E626" s="219" t="b">
        <v>0</v>
      </c>
      <c r="F626" s="219" t="b">
        <v>0</v>
      </c>
      <c r="G626" s="219"/>
    </row>
    <row r="627">
      <c r="A627" s="218">
        <f t="shared" si="1"/>
        <v>626</v>
      </c>
      <c r="B627" s="218" t="s">
        <v>202</v>
      </c>
      <c r="C627" s="218" t="s">
        <v>3487</v>
      </c>
      <c r="D627" s="218" t="b">
        <v>1</v>
      </c>
      <c r="E627" s="219" t="b">
        <v>0</v>
      </c>
      <c r="F627" s="219" t="b">
        <v>0</v>
      </c>
      <c r="G627" s="219"/>
    </row>
    <row r="628">
      <c r="A628" s="218">
        <f t="shared" si="1"/>
        <v>627</v>
      </c>
      <c r="B628" s="218" t="s">
        <v>202</v>
      </c>
      <c r="C628" s="218" t="s">
        <v>1438</v>
      </c>
      <c r="D628" s="218" t="b">
        <v>1</v>
      </c>
      <c r="E628" s="219" t="b">
        <v>0</v>
      </c>
      <c r="F628" s="219" t="b">
        <v>0</v>
      </c>
      <c r="G628" s="219"/>
    </row>
    <row r="629">
      <c r="A629" s="218">
        <f t="shared" si="1"/>
        <v>628</v>
      </c>
      <c r="B629" s="218" t="s">
        <v>202</v>
      </c>
      <c r="C629" s="218" t="s">
        <v>5425</v>
      </c>
      <c r="D629" s="218" t="b">
        <v>1</v>
      </c>
      <c r="E629" s="219" t="b">
        <v>0</v>
      </c>
      <c r="F629" s="219" t="b">
        <v>0</v>
      </c>
      <c r="G629" s="219"/>
    </row>
    <row r="630">
      <c r="A630" s="218">
        <f t="shared" si="1"/>
        <v>629</v>
      </c>
      <c r="B630" s="218" t="s">
        <v>202</v>
      </c>
      <c r="C630" s="218" t="s">
        <v>1108</v>
      </c>
      <c r="D630" s="218" t="b">
        <v>1</v>
      </c>
      <c r="E630" s="219" t="b">
        <v>0</v>
      </c>
      <c r="F630" s="219" t="b">
        <v>0</v>
      </c>
      <c r="G630" s="219"/>
    </row>
    <row r="631">
      <c r="A631" s="218">
        <f t="shared" si="1"/>
        <v>630</v>
      </c>
      <c r="B631" s="218" t="s">
        <v>202</v>
      </c>
      <c r="C631" s="218" t="s">
        <v>5346</v>
      </c>
      <c r="D631" s="218" t="b">
        <v>1</v>
      </c>
      <c r="E631" s="219" t="b">
        <v>0</v>
      </c>
      <c r="F631" s="219" t="b">
        <v>0</v>
      </c>
      <c r="G631" s="219"/>
    </row>
    <row r="632">
      <c r="A632" s="218">
        <f t="shared" si="1"/>
        <v>631</v>
      </c>
      <c r="B632" s="218" t="s">
        <v>202</v>
      </c>
      <c r="C632" s="218" t="s">
        <v>4858</v>
      </c>
      <c r="D632" s="218" t="b">
        <v>1</v>
      </c>
      <c r="E632" s="219" t="b">
        <v>0</v>
      </c>
      <c r="F632" s="219" t="b">
        <v>0</v>
      </c>
      <c r="G632" s="219"/>
    </row>
    <row r="633">
      <c r="A633" s="218">
        <f t="shared" si="1"/>
        <v>632</v>
      </c>
      <c r="B633" s="218" t="s">
        <v>202</v>
      </c>
      <c r="C633" s="218" t="s">
        <v>5305</v>
      </c>
      <c r="D633" s="218" t="b">
        <v>1</v>
      </c>
      <c r="E633" s="219" t="b">
        <v>0</v>
      </c>
      <c r="F633" s="219" t="b">
        <v>0</v>
      </c>
      <c r="G633" s="219"/>
    </row>
    <row r="634">
      <c r="A634" s="218">
        <f t="shared" si="1"/>
        <v>633</v>
      </c>
      <c r="B634" s="218" t="s">
        <v>202</v>
      </c>
      <c r="C634" s="218" t="s">
        <v>4266</v>
      </c>
      <c r="D634" s="218" t="b">
        <v>1</v>
      </c>
      <c r="E634" s="219" t="b">
        <v>0</v>
      </c>
      <c r="F634" s="219" t="b">
        <v>0</v>
      </c>
      <c r="G634" s="219"/>
    </row>
    <row r="635">
      <c r="A635" s="218">
        <f t="shared" si="1"/>
        <v>634</v>
      </c>
      <c r="B635" s="218" t="s">
        <v>202</v>
      </c>
      <c r="C635" s="218" t="s">
        <v>5268</v>
      </c>
      <c r="D635" s="218" t="b">
        <v>1</v>
      </c>
      <c r="E635" s="219" t="b">
        <v>0</v>
      </c>
      <c r="F635" s="219" t="b">
        <v>0</v>
      </c>
      <c r="G635" s="219"/>
    </row>
    <row r="636">
      <c r="A636" s="218">
        <f t="shared" si="1"/>
        <v>635</v>
      </c>
      <c r="B636" s="218" t="s">
        <v>202</v>
      </c>
      <c r="C636" s="218" t="s">
        <v>2113</v>
      </c>
      <c r="D636" s="218" t="b">
        <v>1</v>
      </c>
      <c r="E636" s="219" t="b">
        <v>0</v>
      </c>
      <c r="F636" s="219" t="b">
        <v>0</v>
      </c>
      <c r="G636" s="219"/>
    </row>
    <row r="637">
      <c r="A637" s="218">
        <f t="shared" si="1"/>
        <v>636</v>
      </c>
      <c r="B637" s="218" t="s">
        <v>202</v>
      </c>
      <c r="C637" s="218" t="s">
        <v>5227</v>
      </c>
      <c r="D637" s="218" t="b">
        <v>1</v>
      </c>
      <c r="E637" s="219" t="b">
        <v>0</v>
      </c>
      <c r="F637" s="219" t="b">
        <v>0</v>
      </c>
      <c r="G637" s="219"/>
    </row>
    <row r="638">
      <c r="A638" s="218">
        <f t="shared" si="1"/>
        <v>637</v>
      </c>
      <c r="B638" s="218" t="s">
        <v>202</v>
      </c>
      <c r="C638" s="218" t="s">
        <v>3173</v>
      </c>
      <c r="D638" s="218" t="b">
        <v>1</v>
      </c>
      <c r="E638" s="219" t="b">
        <v>0</v>
      </c>
      <c r="F638" s="219" t="b">
        <v>0</v>
      </c>
      <c r="G638" s="219"/>
    </row>
    <row r="639">
      <c r="A639" s="218">
        <f t="shared" si="1"/>
        <v>638</v>
      </c>
      <c r="B639" s="218" t="s">
        <v>202</v>
      </c>
      <c r="C639" s="218" t="s">
        <v>5376</v>
      </c>
      <c r="D639" s="218" t="b">
        <v>1</v>
      </c>
      <c r="E639" s="219" t="b">
        <v>0</v>
      </c>
      <c r="F639" s="219" t="b">
        <v>0</v>
      </c>
      <c r="G639" s="219"/>
    </row>
    <row r="640">
      <c r="A640" s="218">
        <f t="shared" si="1"/>
        <v>639</v>
      </c>
      <c r="B640" s="218" t="s">
        <v>202</v>
      </c>
      <c r="C640" s="218" t="s">
        <v>631</v>
      </c>
      <c r="D640" s="218" t="b">
        <v>1</v>
      </c>
      <c r="E640" s="219" t="b">
        <v>0</v>
      </c>
      <c r="F640" s="219" t="b">
        <v>0</v>
      </c>
      <c r="G640" s="219"/>
    </row>
    <row r="641">
      <c r="A641" s="218">
        <f t="shared" si="1"/>
        <v>640</v>
      </c>
      <c r="B641" s="218" t="s">
        <v>202</v>
      </c>
      <c r="C641" s="218" t="s">
        <v>5325</v>
      </c>
      <c r="D641" s="218" t="b">
        <v>1</v>
      </c>
      <c r="E641" s="219" t="b">
        <v>0</v>
      </c>
      <c r="F641" s="219" t="b">
        <v>0</v>
      </c>
      <c r="G641" s="219"/>
    </row>
    <row r="642">
      <c r="A642" s="218">
        <f t="shared" si="1"/>
        <v>641</v>
      </c>
      <c r="B642" s="218" t="s">
        <v>202</v>
      </c>
      <c r="C642" s="218" t="s">
        <v>2906</v>
      </c>
      <c r="D642" s="218" t="b">
        <v>1</v>
      </c>
      <c r="E642" s="219" t="b">
        <v>0</v>
      </c>
      <c r="F642" s="219" t="b">
        <v>0</v>
      </c>
      <c r="G642" s="219"/>
    </row>
    <row r="643">
      <c r="A643" s="218">
        <f t="shared" si="1"/>
        <v>642</v>
      </c>
      <c r="B643" s="218" t="s">
        <v>202</v>
      </c>
      <c r="C643" s="218" t="s">
        <v>5330</v>
      </c>
      <c r="D643" s="218" t="b">
        <v>1</v>
      </c>
      <c r="E643" s="219" t="b">
        <v>0</v>
      </c>
      <c r="F643" s="219" t="b">
        <v>0</v>
      </c>
      <c r="G643" s="219"/>
    </row>
    <row r="644">
      <c r="A644" s="218">
        <f t="shared" si="1"/>
        <v>643</v>
      </c>
      <c r="B644" s="218" t="s">
        <v>202</v>
      </c>
      <c r="C644" s="218" t="s">
        <v>5033</v>
      </c>
      <c r="D644" s="218" t="b">
        <v>1</v>
      </c>
      <c r="E644" s="219" t="b">
        <v>0</v>
      </c>
      <c r="F644" s="219" t="b">
        <v>0</v>
      </c>
      <c r="G644" s="219"/>
    </row>
    <row r="645">
      <c r="A645" s="218">
        <f t="shared" si="1"/>
        <v>644</v>
      </c>
      <c r="B645" s="218" t="s">
        <v>202</v>
      </c>
      <c r="C645" s="218" t="s">
        <v>5341</v>
      </c>
      <c r="D645" s="218" t="b">
        <v>1</v>
      </c>
      <c r="E645" s="219" t="b">
        <v>0</v>
      </c>
      <c r="F645" s="219" t="b">
        <v>0</v>
      </c>
      <c r="G645" s="219"/>
    </row>
    <row r="646">
      <c r="A646" s="218">
        <f t="shared" si="1"/>
        <v>645</v>
      </c>
      <c r="B646" s="218" t="s">
        <v>202</v>
      </c>
      <c r="C646" s="218" t="s">
        <v>5256</v>
      </c>
      <c r="D646" s="218" t="b">
        <v>1</v>
      </c>
      <c r="E646" s="219" t="b">
        <v>0</v>
      </c>
      <c r="F646" s="219" t="b">
        <v>0</v>
      </c>
      <c r="G646" s="219"/>
    </row>
    <row r="647">
      <c r="A647" s="218">
        <f t="shared" si="1"/>
        <v>646</v>
      </c>
      <c r="B647" s="218" t="s">
        <v>202</v>
      </c>
      <c r="C647" s="218" t="s">
        <v>5130</v>
      </c>
      <c r="D647" s="218" t="b">
        <v>1</v>
      </c>
      <c r="E647" s="219" t="b">
        <v>0</v>
      </c>
      <c r="F647" s="219" t="b">
        <v>0</v>
      </c>
      <c r="G647" s="219"/>
    </row>
    <row r="648">
      <c r="A648" s="218">
        <f t="shared" si="1"/>
        <v>647</v>
      </c>
      <c r="B648" s="218" t="s">
        <v>202</v>
      </c>
      <c r="C648" s="218" t="s">
        <v>5293</v>
      </c>
      <c r="D648" s="218" t="b">
        <v>1</v>
      </c>
      <c r="E648" s="219" t="b">
        <v>0</v>
      </c>
      <c r="F648" s="219" t="b">
        <v>0</v>
      </c>
      <c r="G648" s="219"/>
    </row>
    <row r="649">
      <c r="A649" s="218">
        <f t="shared" si="1"/>
        <v>648</v>
      </c>
      <c r="B649" s="218" t="s">
        <v>202</v>
      </c>
      <c r="C649" s="218" t="s">
        <v>5283</v>
      </c>
      <c r="D649" s="218" t="b">
        <v>1</v>
      </c>
      <c r="E649" s="219" t="b">
        <v>0</v>
      </c>
      <c r="F649" s="219" t="b">
        <v>0</v>
      </c>
      <c r="G649" s="219"/>
    </row>
    <row r="650">
      <c r="A650" s="218">
        <f t="shared" si="1"/>
        <v>649</v>
      </c>
      <c r="B650" s="218" t="s">
        <v>202</v>
      </c>
      <c r="C650" s="218" t="s">
        <v>2940</v>
      </c>
      <c r="D650" s="218" t="b">
        <v>1</v>
      </c>
      <c r="E650" s="219" t="b">
        <v>0</v>
      </c>
      <c r="F650" s="219" t="b">
        <v>0</v>
      </c>
      <c r="G650" s="219"/>
    </row>
    <row r="651">
      <c r="A651" s="218">
        <f t="shared" si="1"/>
        <v>650</v>
      </c>
      <c r="B651" s="218" t="s">
        <v>202</v>
      </c>
      <c r="C651" s="218" t="s">
        <v>2533</v>
      </c>
      <c r="D651" s="218" t="b">
        <v>1</v>
      </c>
      <c r="E651" s="219" t="b">
        <v>0</v>
      </c>
      <c r="F651" s="219" t="b">
        <v>0</v>
      </c>
      <c r="G651" s="219"/>
    </row>
    <row r="652">
      <c r="A652" s="218">
        <f t="shared" si="1"/>
        <v>651</v>
      </c>
      <c r="B652" s="218" t="s">
        <v>202</v>
      </c>
      <c r="C652" s="218" t="s">
        <v>6164</v>
      </c>
      <c r="D652" s="218" t="b">
        <v>1</v>
      </c>
      <c r="E652" s="219" t="b">
        <v>0</v>
      </c>
      <c r="F652" s="219" t="b">
        <v>0</v>
      </c>
      <c r="G652" s="219"/>
    </row>
    <row r="653">
      <c r="A653" s="218">
        <f t="shared" si="1"/>
        <v>652</v>
      </c>
      <c r="B653" s="218" t="s">
        <v>202</v>
      </c>
      <c r="C653" s="218" t="s">
        <v>2538</v>
      </c>
      <c r="D653" s="218" t="b">
        <v>1</v>
      </c>
      <c r="E653" s="219" t="b">
        <v>0</v>
      </c>
      <c r="F653" s="219" t="b">
        <v>0</v>
      </c>
      <c r="G653" s="219"/>
    </row>
    <row r="654">
      <c r="A654" s="218">
        <f t="shared" si="1"/>
        <v>653</v>
      </c>
      <c r="B654" s="218" t="s">
        <v>202</v>
      </c>
      <c r="C654" s="218" t="s">
        <v>2168</v>
      </c>
      <c r="D654" s="218" t="b">
        <v>1</v>
      </c>
      <c r="E654" s="219" t="b">
        <v>0</v>
      </c>
      <c r="F654" s="219" t="b">
        <v>0</v>
      </c>
      <c r="G654" s="219"/>
    </row>
    <row r="655">
      <c r="A655" s="218">
        <f t="shared" si="1"/>
        <v>654</v>
      </c>
      <c r="B655" s="218" t="s">
        <v>202</v>
      </c>
      <c r="C655" s="218" t="s">
        <v>2433</v>
      </c>
      <c r="D655" s="218" t="b">
        <v>1</v>
      </c>
      <c r="E655" s="219" t="b">
        <v>0</v>
      </c>
      <c r="F655" s="219" t="b">
        <v>0</v>
      </c>
      <c r="G655" s="219"/>
    </row>
    <row r="656">
      <c r="A656" s="218">
        <f t="shared" si="1"/>
        <v>655</v>
      </c>
      <c r="B656" s="218" t="s">
        <v>202</v>
      </c>
      <c r="C656" s="218" t="s">
        <v>2173</v>
      </c>
      <c r="D656" s="218" t="b">
        <v>1</v>
      </c>
      <c r="E656" s="219" t="b">
        <v>0</v>
      </c>
      <c r="F656" s="219" t="b">
        <v>0</v>
      </c>
      <c r="G656" s="219"/>
    </row>
    <row r="657">
      <c r="A657" s="218">
        <f t="shared" si="1"/>
        <v>656</v>
      </c>
      <c r="B657" s="218" t="s">
        <v>202</v>
      </c>
      <c r="C657" s="218" t="s">
        <v>2178</v>
      </c>
      <c r="D657" s="218" t="b">
        <v>1</v>
      </c>
      <c r="E657" s="219" t="b">
        <v>0</v>
      </c>
      <c r="F657" s="219" t="b">
        <v>0</v>
      </c>
      <c r="G657" s="219"/>
    </row>
    <row r="658">
      <c r="A658" s="218">
        <f t="shared" si="1"/>
        <v>657</v>
      </c>
      <c r="B658" s="218" t="s">
        <v>202</v>
      </c>
      <c r="C658" s="218" t="s">
        <v>2183</v>
      </c>
      <c r="D658" s="218" t="b">
        <v>1</v>
      </c>
      <c r="E658" s="219" t="b">
        <v>0</v>
      </c>
      <c r="F658" s="219" t="b">
        <v>0</v>
      </c>
      <c r="G658" s="219"/>
    </row>
    <row r="659">
      <c r="A659" s="218">
        <f t="shared" si="1"/>
        <v>658</v>
      </c>
      <c r="B659" s="218" t="s">
        <v>202</v>
      </c>
      <c r="C659" s="218" t="s">
        <v>2188</v>
      </c>
      <c r="D659" s="218" t="b">
        <v>1</v>
      </c>
      <c r="E659" s="219" t="b">
        <v>0</v>
      </c>
      <c r="F659" s="219" t="b">
        <v>0</v>
      </c>
      <c r="G659" s="219"/>
    </row>
    <row r="660">
      <c r="A660" s="218">
        <f t="shared" si="1"/>
        <v>659</v>
      </c>
      <c r="B660" s="218" t="s">
        <v>202</v>
      </c>
      <c r="C660" s="218" t="s">
        <v>1014</v>
      </c>
      <c r="D660" s="218" t="b">
        <v>1</v>
      </c>
      <c r="E660" s="219" t="b">
        <v>0</v>
      </c>
      <c r="F660" s="219" t="b">
        <v>0</v>
      </c>
      <c r="G660" s="219"/>
    </row>
    <row r="661">
      <c r="A661" s="218">
        <f t="shared" si="1"/>
        <v>660</v>
      </c>
      <c r="B661" s="218" t="s">
        <v>202</v>
      </c>
      <c r="C661" s="218" t="s">
        <v>1014</v>
      </c>
      <c r="D661" s="218" t="b">
        <v>1</v>
      </c>
      <c r="E661" s="219" t="b">
        <v>0</v>
      </c>
      <c r="F661" s="219" t="b">
        <v>0</v>
      </c>
      <c r="G661" s="219"/>
    </row>
    <row r="662">
      <c r="A662" s="218">
        <f t="shared" si="1"/>
        <v>661</v>
      </c>
      <c r="B662" s="218" t="s">
        <v>202</v>
      </c>
      <c r="C662" s="218" t="s">
        <v>4973</v>
      </c>
      <c r="D662" s="218" t="b">
        <v>1</v>
      </c>
      <c r="E662" s="219" t="b">
        <v>0</v>
      </c>
      <c r="F662" s="219" t="b">
        <v>0</v>
      </c>
      <c r="G662" s="219"/>
    </row>
    <row r="663">
      <c r="A663" s="218">
        <f t="shared" si="1"/>
        <v>662</v>
      </c>
      <c r="B663" s="218" t="s">
        <v>202</v>
      </c>
      <c r="C663" s="218" t="s">
        <v>2139</v>
      </c>
      <c r="D663" s="218" t="b">
        <v>1</v>
      </c>
      <c r="E663" s="219" t="b">
        <v>0</v>
      </c>
      <c r="F663" s="219" t="b">
        <v>0</v>
      </c>
      <c r="G663" s="219"/>
    </row>
    <row r="664">
      <c r="A664" s="218">
        <f t="shared" si="1"/>
        <v>663</v>
      </c>
      <c r="B664" s="218" t="s">
        <v>202</v>
      </c>
      <c r="C664" s="218" t="s">
        <v>2163</v>
      </c>
      <c r="D664" s="218" t="b">
        <v>1</v>
      </c>
      <c r="E664" s="219" t="b">
        <v>0</v>
      </c>
      <c r="F664" s="219" t="b">
        <v>0</v>
      </c>
      <c r="G664" s="219"/>
    </row>
    <row r="665">
      <c r="A665" s="218">
        <f t="shared" si="1"/>
        <v>664</v>
      </c>
      <c r="B665" s="218" t="s">
        <v>202</v>
      </c>
      <c r="C665" s="218" t="s">
        <v>2413</v>
      </c>
      <c r="D665" s="218" t="b">
        <v>1</v>
      </c>
      <c r="E665" s="219" t="b">
        <v>0</v>
      </c>
      <c r="F665" s="219" t="b">
        <v>0</v>
      </c>
      <c r="G665" s="219"/>
    </row>
    <row r="666">
      <c r="A666" s="218">
        <f t="shared" si="1"/>
        <v>665</v>
      </c>
      <c r="B666" s="218" t="s">
        <v>202</v>
      </c>
      <c r="C666" s="218" t="s">
        <v>2078</v>
      </c>
      <c r="D666" s="218" t="b">
        <v>1</v>
      </c>
      <c r="E666" s="219" t="b">
        <v>0</v>
      </c>
      <c r="F666" s="219" t="b">
        <v>0</v>
      </c>
      <c r="G666" s="219"/>
    </row>
    <row r="667">
      <c r="A667" s="218">
        <f t="shared" si="1"/>
        <v>666</v>
      </c>
      <c r="B667" s="218" t="s">
        <v>202</v>
      </c>
      <c r="C667" s="218" t="s">
        <v>2092</v>
      </c>
      <c r="D667" s="218" t="b">
        <v>1</v>
      </c>
      <c r="E667" s="219" t="b">
        <v>0</v>
      </c>
      <c r="F667" s="219" t="b">
        <v>0</v>
      </c>
      <c r="G667" s="219"/>
    </row>
    <row r="668">
      <c r="A668" s="218">
        <f t="shared" si="1"/>
        <v>667</v>
      </c>
      <c r="B668" s="218" t="s">
        <v>202</v>
      </c>
      <c r="C668" s="218" t="s">
        <v>2105</v>
      </c>
      <c r="D668" s="218" t="b">
        <v>1</v>
      </c>
      <c r="E668" s="219" t="b">
        <v>0</v>
      </c>
      <c r="F668" s="219" t="b">
        <v>0</v>
      </c>
      <c r="G668" s="219"/>
    </row>
    <row r="669">
      <c r="A669" s="218">
        <f t="shared" si="1"/>
        <v>668</v>
      </c>
      <c r="B669" s="218" t="s">
        <v>202</v>
      </c>
      <c r="C669" s="218" t="s">
        <v>2117</v>
      </c>
      <c r="D669" s="218" t="b">
        <v>1</v>
      </c>
      <c r="E669" s="219" t="b">
        <v>0</v>
      </c>
      <c r="F669" s="219" t="b">
        <v>0</v>
      </c>
      <c r="G669" s="219"/>
    </row>
    <row r="670">
      <c r="A670" s="218">
        <f t="shared" si="1"/>
        <v>669</v>
      </c>
      <c r="B670" s="218" t="s">
        <v>202</v>
      </c>
      <c r="C670" s="218" t="s">
        <v>3067</v>
      </c>
      <c r="D670" s="218" t="b">
        <v>1</v>
      </c>
      <c r="E670" s="219" t="b">
        <v>0</v>
      </c>
      <c r="F670" s="219" t="b">
        <v>0</v>
      </c>
      <c r="G670" s="219"/>
    </row>
    <row r="671">
      <c r="A671" s="218">
        <f t="shared" si="1"/>
        <v>670</v>
      </c>
      <c r="B671" s="218" t="s">
        <v>202</v>
      </c>
      <c r="C671" s="218" t="s">
        <v>2121</v>
      </c>
      <c r="D671" s="218" t="b">
        <v>1</v>
      </c>
      <c r="E671" s="219" t="b">
        <v>0</v>
      </c>
      <c r="F671" s="219" t="b">
        <v>0</v>
      </c>
      <c r="G671" s="219"/>
    </row>
    <row r="672">
      <c r="A672" s="218">
        <f t="shared" si="1"/>
        <v>671</v>
      </c>
      <c r="B672" s="218" t="s">
        <v>202</v>
      </c>
      <c r="C672" s="218" t="s">
        <v>2130</v>
      </c>
      <c r="D672" s="218" t="b">
        <v>1</v>
      </c>
      <c r="E672" s="219" t="b">
        <v>0</v>
      </c>
      <c r="F672" s="219" t="b">
        <v>0</v>
      </c>
      <c r="G672" s="219"/>
    </row>
    <row r="673">
      <c r="A673" s="218">
        <f t="shared" si="1"/>
        <v>672</v>
      </c>
      <c r="B673" s="218" t="s">
        <v>202</v>
      </c>
      <c r="C673" s="218" t="s">
        <v>2193</v>
      </c>
      <c r="D673" s="218" t="b">
        <v>1</v>
      </c>
      <c r="E673" s="219" t="b">
        <v>0</v>
      </c>
      <c r="F673" s="219" t="b">
        <v>0</v>
      </c>
      <c r="G673" s="219"/>
    </row>
    <row r="674">
      <c r="A674" s="218">
        <f t="shared" si="1"/>
        <v>673</v>
      </c>
      <c r="B674" s="218" t="s">
        <v>202</v>
      </c>
      <c r="C674" s="218" t="s">
        <v>3017</v>
      </c>
      <c r="D674" s="218" t="b">
        <v>1</v>
      </c>
      <c r="E674" s="219" t="b">
        <v>0</v>
      </c>
      <c r="F674" s="219" t="b">
        <v>0</v>
      </c>
      <c r="G674" s="219"/>
    </row>
    <row r="675">
      <c r="A675" s="218">
        <f t="shared" si="1"/>
        <v>674</v>
      </c>
      <c r="B675" s="218" t="s">
        <v>202</v>
      </c>
      <c r="C675" s="218" t="s">
        <v>2202</v>
      </c>
      <c r="D675" s="218" t="b">
        <v>1</v>
      </c>
      <c r="E675" s="219" t="b">
        <v>0</v>
      </c>
      <c r="F675" s="219" t="b">
        <v>0</v>
      </c>
      <c r="G675" s="219"/>
    </row>
    <row r="676">
      <c r="A676" s="218">
        <f t="shared" si="1"/>
        <v>675</v>
      </c>
      <c r="B676" s="218" t="s">
        <v>202</v>
      </c>
      <c r="C676" s="218" t="s">
        <v>2212</v>
      </c>
      <c r="D676" s="218" t="b">
        <v>1</v>
      </c>
      <c r="E676" s="219" t="b">
        <v>0</v>
      </c>
      <c r="F676" s="219" t="b">
        <v>0</v>
      </c>
      <c r="G676" s="219"/>
    </row>
    <row r="677">
      <c r="A677" s="218">
        <f t="shared" si="1"/>
        <v>676</v>
      </c>
      <c r="B677" s="218" t="s">
        <v>202</v>
      </c>
      <c r="C677" s="218" t="s">
        <v>2231</v>
      </c>
      <c r="D677" s="218" t="b">
        <v>1</v>
      </c>
      <c r="E677" s="219" t="b">
        <v>0</v>
      </c>
      <c r="F677" s="219" t="b">
        <v>0</v>
      </c>
      <c r="G677" s="219"/>
    </row>
    <row r="678">
      <c r="A678" s="218">
        <f t="shared" si="1"/>
        <v>677</v>
      </c>
      <c r="B678" s="218" t="s">
        <v>202</v>
      </c>
      <c r="C678" s="218" t="s">
        <v>3701</v>
      </c>
      <c r="D678" s="218" t="b">
        <v>1</v>
      </c>
      <c r="E678" s="219" t="b">
        <v>0</v>
      </c>
      <c r="F678" s="219" t="b">
        <v>0</v>
      </c>
      <c r="G678" s="219"/>
    </row>
    <row r="679">
      <c r="A679" s="218">
        <f t="shared" si="1"/>
        <v>678</v>
      </c>
      <c r="B679" s="218" t="s">
        <v>202</v>
      </c>
      <c r="C679" s="218" t="s">
        <v>2241</v>
      </c>
      <c r="D679" s="218" t="b">
        <v>1</v>
      </c>
      <c r="E679" s="219" t="b">
        <v>0</v>
      </c>
      <c r="F679" s="219" t="b">
        <v>0</v>
      </c>
      <c r="G679" s="219"/>
    </row>
    <row r="680">
      <c r="A680" s="218">
        <f t="shared" si="1"/>
        <v>679</v>
      </c>
      <c r="B680" s="218" t="s">
        <v>202</v>
      </c>
      <c r="C680" s="218" t="s">
        <v>5413</v>
      </c>
      <c r="D680" s="218" t="b">
        <v>1</v>
      </c>
      <c r="E680" s="219" t="b">
        <v>0</v>
      </c>
      <c r="F680" s="219" t="b">
        <v>0</v>
      </c>
      <c r="G680" s="219"/>
    </row>
    <row r="681">
      <c r="A681" s="218">
        <f t="shared" si="1"/>
        <v>680</v>
      </c>
      <c r="B681" s="218" t="s">
        <v>202</v>
      </c>
      <c r="C681" s="218" t="s">
        <v>2246</v>
      </c>
      <c r="D681" s="218" t="b">
        <v>1</v>
      </c>
      <c r="E681" s="219" t="b">
        <v>0</v>
      </c>
      <c r="F681" s="219" t="b">
        <v>0</v>
      </c>
      <c r="G681" s="219"/>
    </row>
    <row r="682">
      <c r="A682" s="218">
        <f t="shared" si="1"/>
        <v>681</v>
      </c>
      <c r="B682" s="218" t="s">
        <v>202</v>
      </c>
      <c r="C682" s="218" t="s">
        <v>2198</v>
      </c>
      <c r="D682" s="218" t="b">
        <v>1</v>
      </c>
      <c r="E682" s="219" t="b">
        <v>0</v>
      </c>
      <c r="F682" s="219" t="b">
        <v>0</v>
      </c>
      <c r="G682" s="219"/>
    </row>
    <row r="683">
      <c r="A683" s="218">
        <f t="shared" si="1"/>
        <v>682</v>
      </c>
      <c r="B683" s="218" t="s">
        <v>202</v>
      </c>
      <c r="C683" s="218" t="s">
        <v>1005</v>
      </c>
      <c r="D683" s="218" t="b">
        <v>1</v>
      </c>
      <c r="E683" s="219" t="b">
        <v>0</v>
      </c>
      <c r="F683" s="219" t="b">
        <v>0</v>
      </c>
      <c r="G683" s="219"/>
    </row>
    <row r="684">
      <c r="A684" s="218">
        <f t="shared" si="1"/>
        <v>683</v>
      </c>
      <c r="B684" s="218" t="s">
        <v>202</v>
      </c>
      <c r="C684" s="218" t="s">
        <v>1005</v>
      </c>
      <c r="D684" s="218" t="b">
        <v>1</v>
      </c>
      <c r="E684" s="219" t="b">
        <v>0</v>
      </c>
      <c r="F684" s="219" t="b">
        <v>0</v>
      </c>
      <c r="G684" s="219"/>
    </row>
    <row r="685">
      <c r="A685" s="218">
        <f t="shared" si="1"/>
        <v>684</v>
      </c>
      <c r="B685" s="218" t="s">
        <v>202</v>
      </c>
      <c r="C685" s="218" t="s">
        <v>3782</v>
      </c>
      <c r="D685" s="218" t="b">
        <v>1</v>
      </c>
      <c r="E685" s="219" t="b">
        <v>0</v>
      </c>
      <c r="F685" s="219" t="b">
        <v>0</v>
      </c>
      <c r="G685" s="219"/>
    </row>
    <row r="686">
      <c r="A686" s="218">
        <f t="shared" si="1"/>
        <v>685</v>
      </c>
      <c r="B686" s="218" t="s">
        <v>202</v>
      </c>
      <c r="C686" s="218" t="s">
        <v>1113</v>
      </c>
      <c r="D686" s="218" t="b">
        <v>1</v>
      </c>
      <c r="E686" s="219" t="b">
        <v>0</v>
      </c>
      <c r="F686" s="219" t="b">
        <v>0</v>
      </c>
      <c r="G686" s="219"/>
    </row>
    <row r="687">
      <c r="A687" s="218">
        <f t="shared" si="1"/>
        <v>686</v>
      </c>
      <c r="B687" s="218" t="s">
        <v>202</v>
      </c>
      <c r="C687" s="218" t="s">
        <v>966</v>
      </c>
      <c r="D687" s="218" t="b">
        <v>1</v>
      </c>
      <c r="E687" s="219" t="b">
        <v>0</v>
      </c>
      <c r="F687" s="219" t="b">
        <v>0</v>
      </c>
      <c r="G687" s="219"/>
    </row>
    <row r="688">
      <c r="A688" s="218">
        <f t="shared" si="1"/>
        <v>687</v>
      </c>
      <c r="B688" s="218" t="s">
        <v>202</v>
      </c>
      <c r="C688" s="218" t="s">
        <v>2801</v>
      </c>
      <c r="D688" s="218" t="b">
        <v>1</v>
      </c>
      <c r="E688" s="219" t="b">
        <v>0</v>
      </c>
      <c r="F688" s="219" t="b">
        <v>0</v>
      </c>
      <c r="G688" s="219"/>
    </row>
    <row r="689">
      <c r="A689" s="218">
        <f t="shared" si="1"/>
        <v>688</v>
      </c>
      <c r="B689" s="218" t="s">
        <v>202</v>
      </c>
      <c r="C689" s="218" t="s">
        <v>1067</v>
      </c>
      <c r="D689" s="218" t="b">
        <v>1</v>
      </c>
      <c r="E689" s="219" t="b">
        <v>0</v>
      </c>
      <c r="F689" s="219" t="b">
        <v>0</v>
      </c>
      <c r="G689" s="219"/>
    </row>
    <row r="690">
      <c r="A690" s="218">
        <f t="shared" si="1"/>
        <v>689</v>
      </c>
      <c r="B690" s="218" t="s">
        <v>202</v>
      </c>
      <c r="C690" s="218" t="s">
        <v>1076</v>
      </c>
      <c r="D690" s="218" t="b">
        <v>1</v>
      </c>
      <c r="E690" s="219" t="b">
        <v>0</v>
      </c>
      <c r="F690" s="219" t="b">
        <v>0</v>
      </c>
      <c r="G690" s="219"/>
    </row>
    <row r="691">
      <c r="A691" s="218">
        <f t="shared" si="1"/>
        <v>690</v>
      </c>
      <c r="B691" s="218" t="s">
        <v>202</v>
      </c>
      <c r="C691" s="218" t="s">
        <v>1076</v>
      </c>
      <c r="D691" s="218" t="b">
        <v>1</v>
      </c>
      <c r="E691" s="219" t="b">
        <v>0</v>
      </c>
      <c r="F691" s="219" t="b">
        <v>0</v>
      </c>
      <c r="G691" s="219"/>
    </row>
    <row r="692">
      <c r="A692" s="218">
        <f t="shared" si="1"/>
        <v>691</v>
      </c>
      <c r="B692" s="218" t="s">
        <v>202</v>
      </c>
      <c r="C692" s="218" t="s">
        <v>2678</v>
      </c>
      <c r="D692" s="218" t="b">
        <v>1</v>
      </c>
      <c r="E692" s="219" t="b">
        <v>0</v>
      </c>
      <c r="F692" s="219" t="b">
        <v>0</v>
      </c>
      <c r="G692" s="219"/>
    </row>
    <row r="693">
      <c r="A693" s="218">
        <f t="shared" si="1"/>
        <v>692</v>
      </c>
      <c r="B693" s="218" t="s">
        <v>202</v>
      </c>
      <c r="C693" s="218" t="s">
        <v>1084</v>
      </c>
      <c r="D693" s="218" t="b">
        <v>1</v>
      </c>
      <c r="E693" s="219" t="b">
        <v>0</v>
      </c>
      <c r="F693" s="219" t="b">
        <v>0</v>
      </c>
      <c r="G693" s="219"/>
    </row>
    <row r="694">
      <c r="A694" s="218">
        <f t="shared" si="1"/>
        <v>693</v>
      </c>
      <c r="B694" s="218" t="s">
        <v>202</v>
      </c>
      <c r="C694" s="218" t="s">
        <v>1084</v>
      </c>
      <c r="D694" s="218" t="b">
        <v>1</v>
      </c>
      <c r="E694" s="219" t="b">
        <v>0</v>
      </c>
      <c r="F694" s="219" t="b">
        <v>0</v>
      </c>
      <c r="G694" s="219"/>
    </row>
    <row r="695">
      <c r="A695" s="218">
        <f t="shared" si="1"/>
        <v>694</v>
      </c>
      <c r="B695" s="218" t="s">
        <v>202</v>
      </c>
      <c r="C695" s="218" t="s">
        <v>1202</v>
      </c>
      <c r="D695" s="218" t="b">
        <v>1</v>
      </c>
      <c r="E695" s="219" t="b">
        <v>0</v>
      </c>
      <c r="F695" s="219" t="b">
        <v>0</v>
      </c>
      <c r="G695" s="219"/>
    </row>
    <row r="696">
      <c r="A696" s="218">
        <f t="shared" si="1"/>
        <v>695</v>
      </c>
      <c r="B696" s="218" t="s">
        <v>202</v>
      </c>
      <c r="C696" s="218" t="s">
        <v>4968</v>
      </c>
      <c r="D696" s="218" t="b">
        <v>1</v>
      </c>
      <c r="E696" s="219" t="b">
        <v>0</v>
      </c>
      <c r="F696" s="219" t="b">
        <v>0</v>
      </c>
      <c r="G696" s="219"/>
    </row>
    <row r="697">
      <c r="A697" s="218">
        <f t="shared" si="1"/>
        <v>696</v>
      </c>
      <c r="B697" s="218" t="s">
        <v>202</v>
      </c>
      <c r="C697" s="218" t="s">
        <v>5299</v>
      </c>
      <c r="D697" s="218" t="b">
        <v>1</v>
      </c>
      <c r="E697" s="219" t="b">
        <v>0</v>
      </c>
      <c r="F697" s="219" t="b">
        <v>0</v>
      </c>
      <c r="G697" s="219"/>
    </row>
    <row r="698">
      <c r="A698" s="218">
        <f t="shared" si="1"/>
        <v>697</v>
      </c>
      <c r="B698" s="218" t="s">
        <v>202</v>
      </c>
      <c r="C698" s="218" t="s">
        <v>4219</v>
      </c>
      <c r="D698" s="218" t="b">
        <v>1</v>
      </c>
      <c r="E698" s="219" t="b">
        <v>0</v>
      </c>
      <c r="F698" s="219" t="b">
        <v>0</v>
      </c>
      <c r="G698" s="219"/>
    </row>
    <row r="699">
      <c r="A699" s="218">
        <f t="shared" si="1"/>
        <v>698</v>
      </c>
      <c r="B699" s="218" t="s">
        <v>202</v>
      </c>
      <c r="C699" s="218" t="s">
        <v>3747</v>
      </c>
      <c r="D699" s="218" t="b">
        <v>1</v>
      </c>
      <c r="E699" s="219" t="b">
        <v>0</v>
      </c>
      <c r="F699" s="219" t="b">
        <v>0</v>
      </c>
      <c r="G699" s="219"/>
    </row>
    <row r="700">
      <c r="A700" s="218">
        <f t="shared" si="1"/>
        <v>699</v>
      </c>
      <c r="B700" s="218" t="s">
        <v>202</v>
      </c>
      <c r="C700" s="218" t="s">
        <v>2083</v>
      </c>
      <c r="D700" s="218" t="b">
        <v>1</v>
      </c>
      <c r="E700" s="219" t="b">
        <v>0</v>
      </c>
      <c r="F700" s="219" t="b">
        <v>0</v>
      </c>
      <c r="G700" s="219"/>
    </row>
    <row r="701">
      <c r="A701" s="218">
        <f t="shared" si="1"/>
        <v>700</v>
      </c>
      <c r="B701" s="218" t="s">
        <v>202</v>
      </c>
      <c r="C701" s="218" t="s">
        <v>2083</v>
      </c>
      <c r="D701" s="218" t="b">
        <v>1</v>
      </c>
      <c r="E701" s="219" t="b">
        <v>0</v>
      </c>
      <c r="F701" s="219" t="b">
        <v>0</v>
      </c>
      <c r="G701" s="219"/>
    </row>
    <row r="702">
      <c r="A702" s="218">
        <f t="shared" si="1"/>
        <v>701</v>
      </c>
      <c r="B702" s="218" t="s">
        <v>202</v>
      </c>
      <c r="C702" s="218" t="s">
        <v>3914</v>
      </c>
      <c r="D702" s="218" t="b">
        <v>1</v>
      </c>
      <c r="E702" s="219" t="b">
        <v>0</v>
      </c>
      <c r="F702" s="219" t="b">
        <v>0</v>
      </c>
      <c r="G702" s="219"/>
    </row>
    <row r="703">
      <c r="A703" s="218">
        <f t="shared" si="1"/>
        <v>702</v>
      </c>
      <c r="B703" s="218" t="s">
        <v>202</v>
      </c>
      <c r="C703" s="218" t="s">
        <v>3919</v>
      </c>
      <c r="D703" s="218" t="b">
        <v>1</v>
      </c>
      <c r="E703" s="219" t="b">
        <v>0</v>
      </c>
      <c r="F703" s="219" t="b">
        <v>0</v>
      </c>
      <c r="G703" s="219"/>
    </row>
    <row r="704">
      <c r="A704" s="218">
        <f t="shared" si="1"/>
        <v>703</v>
      </c>
      <c r="B704" s="218" t="s">
        <v>202</v>
      </c>
      <c r="C704" s="218" t="s">
        <v>4802</v>
      </c>
      <c r="D704" s="218" t="b">
        <v>1</v>
      </c>
      <c r="E704" s="219" t="b">
        <v>0</v>
      </c>
      <c r="F704" s="219" t="b">
        <v>0</v>
      </c>
      <c r="G704" s="219"/>
    </row>
    <row r="705">
      <c r="A705" s="218">
        <f t="shared" si="1"/>
        <v>704</v>
      </c>
      <c r="B705" s="218" t="s">
        <v>202</v>
      </c>
      <c r="C705" s="218" t="s">
        <v>4377</v>
      </c>
      <c r="D705" s="218" t="b">
        <v>1</v>
      </c>
      <c r="E705" s="219" t="b">
        <v>0</v>
      </c>
      <c r="F705" s="219" t="b">
        <v>0</v>
      </c>
      <c r="G705" s="219"/>
    </row>
    <row r="706">
      <c r="A706" s="218">
        <f t="shared" si="1"/>
        <v>705</v>
      </c>
      <c r="B706" s="218" t="s">
        <v>202</v>
      </c>
      <c r="C706" s="218" t="s">
        <v>3786</v>
      </c>
      <c r="D706" s="218" t="b">
        <v>1</v>
      </c>
      <c r="E706" s="219" t="b">
        <v>0</v>
      </c>
      <c r="F706" s="219" t="b">
        <v>0</v>
      </c>
      <c r="G706" s="219"/>
    </row>
    <row r="707">
      <c r="A707" s="218">
        <f t="shared" si="1"/>
        <v>706</v>
      </c>
      <c r="B707" s="218" t="s">
        <v>202</v>
      </c>
      <c r="C707" s="218" t="s">
        <v>3737</v>
      </c>
      <c r="D707" s="218" t="b">
        <v>1</v>
      </c>
      <c r="E707" s="219" t="b">
        <v>0</v>
      </c>
      <c r="F707" s="219" t="b">
        <v>0</v>
      </c>
      <c r="G707" s="219"/>
    </row>
    <row r="708">
      <c r="A708" s="218">
        <f t="shared" si="1"/>
        <v>707</v>
      </c>
      <c r="B708" s="218" t="s">
        <v>202</v>
      </c>
      <c r="C708" s="218" t="s">
        <v>2134</v>
      </c>
      <c r="D708" s="218" t="b">
        <v>1</v>
      </c>
      <c r="E708" s="219" t="b">
        <v>0</v>
      </c>
      <c r="F708" s="219" t="b">
        <v>0</v>
      </c>
      <c r="G708" s="219"/>
    </row>
    <row r="709">
      <c r="A709" s="218">
        <f t="shared" si="1"/>
        <v>708</v>
      </c>
      <c r="B709" s="218" t="s">
        <v>202</v>
      </c>
      <c r="C709" s="218" t="s">
        <v>2286</v>
      </c>
      <c r="D709" s="218" t="b">
        <v>1</v>
      </c>
      <c r="E709" s="219" t="b">
        <v>0</v>
      </c>
      <c r="F709" s="219" t="b">
        <v>0</v>
      </c>
      <c r="G709" s="219"/>
    </row>
    <row r="710">
      <c r="A710" s="218">
        <f t="shared" si="1"/>
        <v>709</v>
      </c>
      <c r="B710" s="218" t="s">
        <v>202</v>
      </c>
      <c r="C710" s="218" t="s">
        <v>5288</v>
      </c>
      <c r="D710" s="218" t="b">
        <v>1</v>
      </c>
      <c r="E710" s="219" t="b">
        <v>0</v>
      </c>
      <c r="F710" s="219" t="b">
        <v>0</v>
      </c>
      <c r="G710" s="219"/>
    </row>
    <row r="711">
      <c r="A711" s="218">
        <f t="shared" si="1"/>
        <v>710</v>
      </c>
      <c r="B711" s="218" t="s">
        <v>202</v>
      </c>
      <c r="C711" s="218" t="s">
        <v>5380</v>
      </c>
      <c r="D711" s="218" t="b">
        <v>1</v>
      </c>
      <c r="E711" s="219" t="b">
        <v>0</v>
      </c>
      <c r="F711" s="219" t="b">
        <v>0</v>
      </c>
      <c r="G711" s="219"/>
    </row>
    <row r="712">
      <c r="A712" s="218">
        <f t="shared" si="1"/>
        <v>711</v>
      </c>
      <c r="B712" s="218" t="s">
        <v>202</v>
      </c>
      <c r="C712" s="218" t="s">
        <v>4652</v>
      </c>
      <c r="D712" s="218" t="b">
        <v>1</v>
      </c>
      <c r="E712" s="219" t="b">
        <v>0</v>
      </c>
      <c r="F712" s="219" t="b">
        <v>0</v>
      </c>
      <c r="G712" s="219"/>
    </row>
    <row r="713">
      <c r="A713" s="218">
        <f t="shared" si="1"/>
        <v>712</v>
      </c>
      <c r="B713" s="218" t="s">
        <v>202</v>
      </c>
      <c r="C713" s="218" t="s">
        <v>4877</v>
      </c>
      <c r="D713" s="218" t="b">
        <v>1</v>
      </c>
      <c r="E713" s="219" t="b">
        <v>0</v>
      </c>
      <c r="F713" s="219" t="b">
        <v>0</v>
      </c>
      <c r="G713" s="219"/>
    </row>
    <row r="714">
      <c r="A714" s="218">
        <f t="shared" si="1"/>
        <v>713</v>
      </c>
      <c r="B714" s="218" t="s">
        <v>202</v>
      </c>
      <c r="C714" s="218" t="s">
        <v>1686</v>
      </c>
      <c r="D714" s="218" t="b">
        <v>1</v>
      </c>
      <c r="E714" s="219" t="b">
        <v>0</v>
      </c>
      <c r="F714" s="219" t="b">
        <v>0</v>
      </c>
      <c r="G714" s="219"/>
    </row>
    <row r="715">
      <c r="A715" s="218">
        <f t="shared" si="1"/>
        <v>714</v>
      </c>
      <c r="B715" s="218" t="s">
        <v>202</v>
      </c>
      <c r="C715" s="218" t="s">
        <v>1686</v>
      </c>
      <c r="D715" s="218" t="b">
        <v>1</v>
      </c>
      <c r="E715" s="219" t="b">
        <v>0</v>
      </c>
      <c r="F715" s="219" t="b">
        <v>0</v>
      </c>
      <c r="G715" s="219"/>
    </row>
    <row r="716">
      <c r="A716" s="218">
        <f t="shared" si="1"/>
        <v>715</v>
      </c>
      <c r="B716" s="218" t="s">
        <v>202</v>
      </c>
      <c r="C716" s="218" t="s">
        <v>1047</v>
      </c>
      <c r="D716" s="218" t="b">
        <v>1</v>
      </c>
      <c r="E716" s="219" t="b">
        <v>0</v>
      </c>
      <c r="F716" s="219" t="b">
        <v>0</v>
      </c>
      <c r="G716" s="219"/>
    </row>
    <row r="717">
      <c r="A717" s="218">
        <f t="shared" si="1"/>
        <v>716</v>
      </c>
      <c r="B717" s="218" t="s">
        <v>202</v>
      </c>
      <c r="C717" s="218" t="s">
        <v>3707</v>
      </c>
      <c r="D717" s="218" t="b">
        <v>1</v>
      </c>
      <c r="E717" s="219" t="b">
        <v>0</v>
      </c>
      <c r="F717" s="219" t="b">
        <v>0</v>
      </c>
      <c r="G717" s="219"/>
    </row>
    <row r="718">
      <c r="A718" s="218">
        <f t="shared" si="1"/>
        <v>717</v>
      </c>
      <c r="B718" s="218" t="s">
        <v>202</v>
      </c>
      <c r="C718" s="218" t="s">
        <v>1052</v>
      </c>
      <c r="D718" s="218" t="b">
        <v>1</v>
      </c>
      <c r="E718" s="219" t="b">
        <v>0</v>
      </c>
      <c r="F718" s="219" t="b">
        <v>0</v>
      </c>
      <c r="G718" s="219"/>
    </row>
    <row r="719">
      <c r="A719" s="218">
        <f t="shared" si="1"/>
        <v>718</v>
      </c>
      <c r="B719" s="218" t="s">
        <v>202</v>
      </c>
      <c r="C719" s="218" t="s">
        <v>1080</v>
      </c>
      <c r="D719" s="218" t="b">
        <v>1</v>
      </c>
      <c r="E719" s="219" t="b">
        <v>0</v>
      </c>
      <c r="F719" s="219" t="b">
        <v>0</v>
      </c>
      <c r="G719" s="219"/>
    </row>
    <row r="720">
      <c r="A720" s="218">
        <f t="shared" si="1"/>
        <v>719</v>
      </c>
      <c r="B720" s="218" t="s">
        <v>202</v>
      </c>
      <c r="C720" s="218" t="s">
        <v>1240</v>
      </c>
      <c r="D720" s="218" t="b">
        <v>1</v>
      </c>
      <c r="E720" s="219" t="b">
        <v>0</v>
      </c>
      <c r="F720" s="219" t="b">
        <v>0</v>
      </c>
      <c r="G720" s="219"/>
    </row>
    <row r="721">
      <c r="A721" s="218">
        <f t="shared" si="1"/>
        <v>720</v>
      </c>
      <c r="B721" s="218" t="s">
        <v>202</v>
      </c>
      <c r="C721" s="218" t="s">
        <v>1245</v>
      </c>
      <c r="D721" s="218" t="b">
        <v>1</v>
      </c>
      <c r="E721" s="219" t="b">
        <v>0</v>
      </c>
      <c r="F721" s="219" t="b">
        <v>0</v>
      </c>
      <c r="G721" s="219"/>
    </row>
    <row r="722">
      <c r="A722" s="218">
        <f t="shared" si="1"/>
        <v>721</v>
      </c>
      <c r="B722" s="218" t="s">
        <v>202</v>
      </c>
      <c r="C722" s="218" t="s">
        <v>1255</v>
      </c>
      <c r="D722" s="218" t="b">
        <v>1</v>
      </c>
      <c r="E722" s="219" t="b">
        <v>0</v>
      </c>
      <c r="F722" s="219" t="b">
        <v>0</v>
      </c>
      <c r="G722" s="219"/>
    </row>
    <row r="723">
      <c r="A723" s="218">
        <f t="shared" si="1"/>
        <v>722</v>
      </c>
      <c r="B723" s="218" t="s">
        <v>202</v>
      </c>
      <c r="C723" s="218" t="s">
        <v>4497</v>
      </c>
      <c r="D723" s="218" t="b">
        <v>1</v>
      </c>
      <c r="E723" s="219" t="b">
        <v>0</v>
      </c>
      <c r="F723" s="219" t="b">
        <v>0</v>
      </c>
      <c r="G723" s="219"/>
    </row>
    <row r="724">
      <c r="A724" s="218">
        <f t="shared" si="1"/>
        <v>723</v>
      </c>
      <c r="B724" s="218" t="s">
        <v>202</v>
      </c>
      <c r="C724" s="218" t="s">
        <v>1260</v>
      </c>
      <c r="D724" s="218" t="b">
        <v>1</v>
      </c>
      <c r="E724" s="219" t="b">
        <v>0</v>
      </c>
      <c r="F724" s="219" t="b">
        <v>0</v>
      </c>
      <c r="G724" s="219"/>
    </row>
    <row r="725">
      <c r="A725" s="218">
        <f t="shared" si="1"/>
        <v>724</v>
      </c>
      <c r="B725" s="218" t="s">
        <v>202</v>
      </c>
      <c r="C725" s="218" t="s">
        <v>1285</v>
      </c>
      <c r="D725" s="218" t="b">
        <v>1</v>
      </c>
      <c r="E725" s="219" t="b">
        <v>0</v>
      </c>
      <c r="F725" s="219" t="b">
        <v>0</v>
      </c>
      <c r="G725" s="219"/>
    </row>
    <row r="726">
      <c r="A726" s="218">
        <f t="shared" si="1"/>
        <v>725</v>
      </c>
      <c r="B726" s="218" t="s">
        <v>202</v>
      </c>
      <c r="C726" s="218" t="s">
        <v>641</v>
      </c>
      <c r="D726" s="218" t="b">
        <v>1</v>
      </c>
      <c r="E726" s="219" t="b">
        <v>0</v>
      </c>
      <c r="F726" s="219" t="b">
        <v>0</v>
      </c>
      <c r="G726" s="219"/>
    </row>
    <row r="727">
      <c r="A727" s="218">
        <f t="shared" si="1"/>
        <v>726</v>
      </c>
      <c r="B727" s="218" t="s">
        <v>202</v>
      </c>
      <c r="C727" s="218" t="s">
        <v>1265</v>
      </c>
      <c r="D727" s="218" t="b">
        <v>1</v>
      </c>
      <c r="E727" s="219" t="b">
        <v>0</v>
      </c>
      <c r="F727" s="219" t="b">
        <v>0</v>
      </c>
      <c r="G727" s="219"/>
    </row>
    <row r="728">
      <c r="A728" s="218">
        <f t="shared" si="1"/>
        <v>727</v>
      </c>
      <c r="B728" s="218" t="s">
        <v>202</v>
      </c>
      <c r="C728" s="218" t="s">
        <v>4545</v>
      </c>
      <c r="D728" s="218" t="b">
        <v>1</v>
      </c>
      <c r="E728" s="219" t="b">
        <v>0</v>
      </c>
      <c r="F728" s="219" t="b">
        <v>0</v>
      </c>
      <c r="G728" s="219"/>
    </row>
    <row r="729">
      <c r="A729" s="218">
        <f t="shared" si="1"/>
        <v>728</v>
      </c>
      <c r="B729" s="218" t="s">
        <v>202</v>
      </c>
      <c r="C729" s="218" t="s">
        <v>1280</v>
      </c>
      <c r="D729" s="218" t="b">
        <v>1</v>
      </c>
      <c r="E729" s="219" t="b">
        <v>0</v>
      </c>
      <c r="F729" s="219" t="b">
        <v>0</v>
      </c>
      <c r="G729" s="219"/>
    </row>
    <row r="730">
      <c r="A730" s="218">
        <f t="shared" si="1"/>
        <v>729</v>
      </c>
      <c r="B730" s="218" t="s">
        <v>202</v>
      </c>
      <c r="C730" s="218" t="s">
        <v>5262</v>
      </c>
      <c r="D730" s="218" t="b">
        <v>1</v>
      </c>
      <c r="E730" s="219" t="b">
        <v>0</v>
      </c>
      <c r="F730" s="219" t="b">
        <v>0</v>
      </c>
      <c r="G730" s="219"/>
    </row>
    <row r="731">
      <c r="A731" s="218">
        <f t="shared" si="1"/>
        <v>730</v>
      </c>
      <c r="B731" s="218" t="s">
        <v>202</v>
      </c>
      <c r="C731" s="218" t="s">
        <v>1290</v>
      </c>
      <c r="D731" s="218" t="b">
        <v>1</v>
      </c>
      <c r="E731" s="219" t="b">
        <v>0</v>
      </c>
      <c r="F731" s="219" t="b">
        <v>0</v>
      </c>
      <c r="G731" s="219"/>
    </row>
    <row r="732">
      <c r="A732" s="218">
        <f t="shared" si="1"/>
        <v>731</v>
      </c>
      <c r="B732" s="218" t="s">
        <v>202</v>
      </c>
      <c r="C732" s="218" t="s">
        <v>3878</v>
      </c>
      <c r="D732" s="218" t="b">
        <v>1</v>
      </c>
      <c r="E732" s="219" t="b">
        <v>0</v>
      </c>
      <c r="F732" s="219" t="b">
        <v>0</v>
      </c>
      <c r="G732" s="219"/>
    </row>
    <row r="733">
      <c r="A733" s="218">
        <f t="shared" si="1"/>
        <v>732</v>
      </c>
      <c r="B733" s="218" t="s">
        <v>202</v>
      </c>
      <c r="C733" s="218" t="s">
        <v>1318</v>
      </c>
      <c r="D733" s="218" t="b">
        <v>1</v>
      </c>
      <c r="E733" s="219" t="b">
        <v>0</v>
      </c>
      <c r="F733" s="219" t="b">
        <v>0</v>
      </c>
      <c r="G733" s="219"/>
    </row>
    <row r="734">
      <c r="A734" s="218">
        <f t="shared" si="1"/>
        <v>733</v>
      </c>
      <c r="B734" s="218" t="s">
        <v>202</v>
      </c>
      <c r="C734" s="218" t="s">
        <v>1323</v>
      </c>
      <c r="D734" s="218" t="b">
        <v>1</v>
      </c>
      <c r="E734" s="219" t="b">
        <v>0</v>
      </c>
      <c r="F734" s="219" t="b">
        <v>0</v>
      </c>
      <c r="G734" s="219"/>
    </row>
    <row r="735">
      <c r="A735" s="218">
        <f t="shared" si="1"/>
        <v>734</v>
      </c>
      <c r="B735" s="218" t="s">
        <v>202</v>
      </c>
      <c r="C735" s="218" t="s">
        <v>4257</v>
      </c>
      <c r="D735" s="218" t="b">
        <v>1</v>
      </c>
      <c r="E735" s="219" t="b">
        <v>0</v>
      </c>
      <c r="F735" s="219" t="b">
        <v>0</v>
      </c>
      <c r="G735" s="219"/>
    </row>
    <row r="736">
      <c r="A736" s="218">
        <f t="shared" si="1"/>
        <v>735</v>
      </c>
      <c r="B736" s="218" t="s">
        <v>202</v>
      </c>
      <c r="C736" s="218" t="s">
        <v>1328</v>
      </c>
      <c r="D736" s="218" t="b">
        <v>1</v>
      </c>
      <c r="E736" s="219" t="b">
        <v>0</v>
      </c>
      <c r="F736" s="219" t="b">
        <v>0</v>
      </c>
      <c r="G736" s="219"/>
    </row>
    <row r="737">
      <c r="A737" s="218">
        <f t="shared" si="1"/>
        <v>736</v>
      </c>
      <c r="B737" s="218" t="s">
        <v>202</v>
      </c>
      <c r="C737" s="218" t="s">
        <v>1338</v>
      </c>
      <c r="D737" s="218" t="b">
        <v>1</v>
      </c>
      <c r="E737" s="219" t="b">
        <v>0</v>
      </c>
      <c r="F737" s="219" t="b">
        <v>0</v>
      </c>
      <c r="G737" s="219"/>
    </row>
    <row r="738">
      <c r="A738" s="218">
        <f t="shared" si="1"/>
        <v>737</v>
      </c>
      <c r="B738" s="218" t="s">
        <v>202</v>
      </c>
      <c r="C738" s="218" t="s">
        <v>3723</v>
      </c>
      <c r="D738" s="218" t="b">
        <v>1</v>
      </c>
      <c r="E738" s="219" t="b">
        <v>0</v>
      </c>
      <c r="F738" s="219" t="b">
        <v>0</v>
      </c>
      <c r="G738" s="219"/>
    </row>
    <row r="739">
      <c r="A739" s="218">
        <f t="shared" si="1"/>
        <v>738</v>
      </c>
      <c r="B739" s="218" t="s">
        <v>202</v>
      </c>
      <c r="C739" s="218" t="s">
        <v>1345</v>
      </c>
      <c r="D739" s="218" t="b">
        <v>1</v>
      </c>
      <c r="E739" s="219" t="b">
        <v>0</v>
      </c>
      <c r="F739" s="219" t="b">
        <v>0</v>
      </c>
      <c r="G739" s="219"/>
    </row>
    <row r="740">
      <c r="A740" s="218">
        <f t="shared" si="1"/>
        <v>739</v>
      </c>
      <c r="B740" s="218" t="s">
        <v>202</v>
      </c>
      <c r="C740" s="218" t="s">
        <v>1350</v>
      </c>
      <c r="D740" s="218" t="b">
        <v>1</v>
      </c>
      <c r="E740" s="219" t="b">
        <v>0</v>
      </c>
      <c r="F740" s="219" t="b">
        <v>0</v>
      </c>
      <c r="G740" s="219"/>
    </row>
    <row r="741">
      <c r="A741" s="218">
        <f t="shared" si="1"/>
        <v>740</v>
      </c>
      <c r="B741" s="218" t="s">
        <v>202</v>
      </c>
      <c r="C741" s="218" t="s">
        <v>4592</v>
      </c>
      <c r="D741" s="218" t="b">
        <v>1</v>
      </c>
      <c r="E741" s="219" t="b">
        <v>0</v>
      </c>
      <c r="F741" s="219" t="b">
        <v>0</v>
      </c>
      <c r="G741" s="219"/>
    </row>
    <row r="742">
      <c r="A742" s="218">
        <f t="shared" si="1"/>
        <v>741</v>
      </c>
      <c r="B742" s="218" t="s">
        <v>202</v>
      </c>
      <c r="C742" s="218" t="s">
        <v>1360</v>
      </c>
      <c r="D742" s="218" t="b">
        <v>1</v>
      </c>
      <c r="E742" s="219" t="b">
        <v>0</v>
      </c>
      <c r="F742" s="219" t="b">
        <v>0</v>
      </c>
      <c r="G742" s="219"/>
    </row>
    <row r="743">
      <c r="A743" s="218">
        <f t="shared" si="1"/>
        <v>742</v>
      </c>
      <c r="B743" s="218" t="s">
        <v>202</v>
      </c>
      <c r="C743" s="218" t="s">
        <v>1365</v>
      </c>
      <c r="D743" s="218" t="b">
        <v>1</v>
      </c>
      <c r="E743" s="219" t="b">
        <v>0</v>
      </c>
      <c r="F743" s="219" t="b">
        <v>0</v>
      </c>
      <c r="G743" s="219"/>
    </row>
    <row r="744">
      <c r="A744" s="218">
        <f t="shared" si="1"/>
        <v>743</v>
      </c>
      <c r="B744" s="218" t="s">
        <v>202</v>
      </c>
      <c r="C744" s="218" t="s">
        <v>5018</v>
      </c>
      <c r="D744" s="218" t="b">
        <v>1</v>
      </c>
      <c r="E744" s="219" t="b">
        <v>0</v>
      </c>
      <c r="F744" s="219" t="b">
        <v>0</v>
      </c>
      <c r="G744" s="219"/>
    </row>
    <row r="745">
      <c r="A745" s="218">
        <f t="shared" si="1"/>
        <v>744</v>
      </c>
      <c r="B745" s="218" t="s">
        <v>202</v>
      </c>
      <c r="C745" s="218" t="s">
        <v>1383</v>
      </c>
      <c r="D745" s="218" t="b">
        <v>1</v>
      </c>
      <c r="E745" s="219" t="b">
        <v>0</v>
      </c>
      <c r="F745" s="219" t="b">
        <v>0</v>
      </c>
      <c r="G745" s="219"/>
    </row>
    <row r="746">
      <c r="A746" s="218">
        <f t="shared" si="1"/>
        <v>745</v>
      </c>
      <c r="B746" s="218" t="s">
        <v>202</v>
      </c>
      <c r="C746" s="218" t="s">
        <v>1398</v>
      </c>
      <c r="D746" s="218" t="b">
        <v>1</v>
      </c>
      <c r="E746" s="219" t="b">
        <v>0</v>
      </c>
      <c r="F746" s="219" t="b">
        <v>0</v>
      </c>
      <c r="G746" s="219"/>
    </row>
    <row r="747">
      <c r="A747" s="218">
        <f t="shared" si="1"/>
        <v>746</v>
      </c>
      <c r="B747" s="218" t="s">
        <v>202</v>
      </c>
      <c r="C747" s="218" t="s">
        <v>1402</v>
      </c>
      <c r="D747" s="218" t="b">
        <v>1</v>
      </c>
      <c r="E747" s="219" t="b">
        <v>0</v>
      </c>
      <c r="F747" s="219" t="b">
        <v>0</v>
      </c>
      <c r="G747" s="219"/>
    </row>
    <row r="748">
      <c r="A748" s="218">
        <f t="shared" si="1"/>
        <v>747</v>
      </c>
      <c r="B748" s="218" t="s">
        <v>202</v>
      </c>
      <c r="C748" s="218" t="s">
        <v>1407</v>
      </c>
      <c r="D748" s="218" t="b">
        <v>1</v>
      </c>
      <c r="E748" s="219" t="b">
        <v>0</v>
      </c>
      <c r="F748" s="219" t="b">
        <v>0</v>
      </c>
      <c r="G748" s="219"/>
    </row>
    <row r="749">
      <c r="A749" s="218">
        <f t="shared" si="1"/>
        <v>748</v>
      </c>
      <c r="B749" s="218" t="s">
        <v>202</v>
      </c>
      <c r="C749" s="218" t="s">
        <v>5431</v>
      </c>
      <c r="D749" s="218" t="b">
        <v>1</v>
      </c>
      <c r="E749" s="219" t="b">
        <v>0</v>
      </c>
      <c r="F749" s="219" t="b">
        <v>0</v>
      </c>
      <c r="G749" s="219"/>
    </row>
    <row r="750">
      <c r="A750" s="218">
        <f t="shared" si="1"/>
        <v>749</v>
      </c>
      <c r="B750" s="218" t="s">
        <v>202</v>
      </c>
      <c r="C750" s="218" t="s">
        <v>5247</v>
      </c>
      <c r="D750" s="218" t="b">
        <v>1</v>
      </c>
      <c r="E750" s="219" t="b">
        <v>0</v>
      </c>
      <c r="F750" s="219" t="b">
        <v>0</v>
      </c>
      <c r="G750" s="219"/>
    </row>
    <row r="751">
      <c r="A751" s="218">
        <f t="shared" si="1"/>
        <v>750</v>
      </c>
      <c r="B751" s="218" t="s">
        <v>202</v>
      </c>
      <c r="C751" s="218" t="s">
        <v>4169</v>
      </c>
      <c r="D751" s="218" t="b">
        <v>1</v>
      </c>
      <c r="E751" s="219" t="b">
        <v>0</v>
      </c>
      <c r="F751" s="219" t="b">
        <v>0</v>
      </c>
      <c r="G751" s="219"/>
    </row>
    <row r="752">
      <c r="A752" s="218">
        <f t="shared" si="1"/>
        <v>751</v>
      </c>
      <c r="B752" s="218" t="s">
        <v>202</v>
      </c>
      <c r="C752" s="218" t="s">
        <v>4174</v>
      </c>
      <c r="D752" s="218" t="b">
        <v>1</v>
      </c>
      <c r="E752" s="219" t="b">
        <v>0</v>
      </c>
      <c r="F752" s="219" t="b">
        <v>0</v>
      </c>
      <c r="G752" s="219"/>
    </row>
    <row r="753">
      <c r="A753" s="218">
        <f t="shared" si="1"/>
        <v>752</v>
      </c>
      <c r="B753" s="218" t="s">
        <v>202</v>
      </c>
      <c r="C753" s="218" t="s">
        <v>636</v>
      </c>
      <c r="D753" s="218" t="b">
        <v>1</v>
      </c>
      <c r="E753" s="219" t="b">
        <v>0</v>
      </c>
      <c r="F753" s="219" t="b">
        <v>0</v>
      </c>
      <c r="G753" s="219"/>
    </row>
    <row r="754">
      <c r="A754" s="218">
        <f t="shared" si="1"/>
        <v>753</v>
      </c>
      <c r="B754" s="218" t="s">
        <v>202</v>
      </c>
      <c r="C754" s="218" t="s">
        <v>5508</v>
      </c>
      <c r="D754" s="218" t="b">
        <v>1</v>
      </c>
      <c r="E754" s="219" t="b">
        <v>0</v>
      </c>
      <c r="F754" s="219" t="b">
        <v>0</v>
      </c>
      <c r="G754" s="219"/>
    </row>
    <row r="755">
      <c r="A755" s="218">
        <f t="shared" si="1"/>
        <v>754</v>
      </c>
      <c r="B755" s="218" t="s">
        <v>202</v>
      </c>
      <c r="C755" s="218" t="s">
        <v>2597</v>
      </c>
      <c r="D755" s="218" t="b">
        <v>1</v>
      </c>
      <c r="E755" s="219" t="b">
        <v>0</v>
      </c>
      <c r="F755" s="219" t="b">
        <v>0</v>
      </c>
      <c r="G755" s="219"/>
    </row>
    <row r="756">
      <c r="A756" s="218">
        <f t="shared" si="1"/>
        <v>755</v>
      </c>
      <c r="B756" s="218" t="s">
        <v>202</v>
      </c>
      <c r="C756" s="218" t="s">
        <v>5471</v>
      </c>
      <c r="D756" s="218" t="b">
        <v>1</v>
      </c>
      <c r="E756" s="219" t="b">
        <v>0</v>
      </c>
      <c r="F756" s="219" t="b">
        <v>0</v>
      </c>
      <c r="G756" s="219"/>
    </row>
    <row r="757">
      <c r="A757" s="218">
        <f t="shared" si="1"/>
        <v>756</v>
      </c>
      <c r="B757" s="218" t="s">
        <v>202</v>
      </c>
      <c r="C757" s="218" t="s">
        <v>5482</v>
      </c>
      <c r="D757" s="218" t="b">
        <v>1</v>
      </c>
      <c r="E757" s="219" t="b">
        <v>0</v>
      </c>
      <c r="F757" s="219" t="b">
        <v>0</v>
      </c>
      <c r="G757" s="219"/>
    </row>
    <row r="758">
      <c r="A758" s="218">
        <f t="shared" si="1"/>
        <v>757</v>
      </c>
      <c r="B758" s="218" t="s">
        <v>202</v>
      </c>
      <c r="C758" s="218" t="s">
        <v>5486</v>
      </c>
      <c r="D758" s="218" t="b">
        <v>1</v>
      </c>
      <c r="E758" s="219" t="b">
        <v>0</v>
      </c>
      <c r="F758" s="219" t="b">
        <v>0</v>
      </c>
      <c r="G758" s="219"/>
    </row>
    <row r="759">
      <c r="A759" s="218">
        <f t="shared" si="1"/>
        <v>758</v>
      </c>
      <c r="B759" s="218" t="s">
        <v>202</v>
      </c>
      <c r="C759" s="218" t="s">
        <v>5395</v>
      </c>
      <c r="D759" s="218" t="b">
        <v>1</v>
      </c>
      <c r="E759" s="219" t="b">
        <v>0</v>
      </c>
      <c r="F759" s="219" t="b">
        <v>0</v>
      </c>
      <c r="G759" s="219"/>
    </row>
    <row r="760">
      <c r="A760" s="218">
        <f t="shared" si="1"/>
        <v>759</v>
      </c>
      <c r="B760" s="218" t="s">
        <v>202</v>
      </c>
      <c r="C760" s="218" t="s">
        <v>5405</v>
      </c>
      <c r="D760" s="218" t="b">
        <v>1</v>
      </c>
      <c r="E760" s="219" t="b">
        <v>0</v>
      </c>
      <c r="F760" s="219" t="b">
        <v>0</v>
      </c>
      <c r="G760" s="219"/>
    </row>
    <row r="761">
      <c r="A761" s="218">
        <f t="shared" si="1"/>
        <v>760</v>
      </c>
      <c r="B761" s="218" t="s">
        <v>202</v>
      </c>
      <c r="C761" s="218" t="s">
        <v>5355</v>
      </c>
      <c r="D761" s="218" t="b">
        <v>1</v>
      </c>
      <c r="E761" s="219" t="b">
        <v>0</v>
      </c>
      <c r="F761" s="219" t="b">
        <v>0</v>
      </c>
      <c r="G761" s="219"/>
    </row>
    <row r="762">
      <c r="A762" s="218">
        <f t="shared" si="1"/>
        <v>761</v>
      </c>
      <c r="B762" s="218" t="s">
        <v>202</v>
      </c>
      <c r="C762" s="218" t="s">
        <v>5443</v>
      </c>
      <c r="D762" s="218" t="b">
        <v>1</v>
      </c>
      <c r="E762" s="219" t="b">
        <v>0</v>
      </c>
      <c r="F762" s="219" t="b">
        <v>0</v>
      </c>
      <c r="G762" s="219"/>
    </row>
    <row r="763">
      <c r="A763" s="218">
        <f t="shared" si="1"/>
        <v>762</v>
      </c>
      <c r="B763" s="218" t="s">
        <v>202</v>
      </c>
      <c r="C763" s="218" t="s">
        <v>5454</v>
      </c>
      <c r="D763" s="218" t="b">
        <v>1</v>
      </c>
      <c r="E763" s="219" t="b">
        <v>0</v>
      </c>
      <c r="F763" s="219" t="b">
        <v>0</v>
      </c>
      <c r="G763" s="219"/>
    </row>
    <row r="764">
      <c r="A764" s="218">
        <f t="shared" si="1"/>
        <v>763</v>
      </c>
      <c r="B764" s="218" t="s">
        <v>202</v>
      </c>
      <c r="C764" s="218" t="s">
        <v>5460</v>
      </c>
      <c r="D764" s="218" t="b">
        <v>1</v>
      </c>
      <c r="E764" s="219" t="b">
        <v>0</v>
      </c>
      <c r="F764" s="219" t="b">
        <v>0</v>
      </c>
      <c r="G764" s="219"/>
    </row>
    <row r="765">
      <c r="A765" s="218">
        <f t="shared" si="1"/>
        <v>764</v>
      </c>
      <c r="B765" s="218" t="s">
        <v>202</v>
      </c>
      <c r="C765" s="218" t="s">
        <v>5466</v>
      </c>
      <c r="D765" s="218" t="b">
        <v>1</v>
      </c>
      <c r="E765" s="219" t="b">
        <v>0</v>
      </c>
      <c r="F765" s="219" t="b">
        <v>0</v>
      </c>
      <c r="G765" s="219"/>
    </row>
    <row r="766">
      <c r="A766" s="218">
        <f t="shared" si="1"/>
        <v>765</v>
      </c>
      <c r="B766" s="218" t="s">
        <v>202</v>
      </c>
      <c r="C766" s="218" t="s">
        <v>5492</v>
      </c>
      <c r="D766" s="218" t="b">
        <v>1</v>
      </c>
      <c r="E766" s="219" t="b">
        <v>0</v>
      </c>
      <c r="F766" s="219" t="b">
        <v>0</v>
      </c>
      <c r="G766" s="219"/>
    </row>
    <row r="767">
      <c r="A767" s="218">
        <f t="shared" si="1"/>
        <v>766</v>
      </c>
      <c r="B767" s="218" t="s">
        <v>202</v>
      </c>
      <c r="C767" s="218" t="s">
        <v>4191</v>
      </c>
      <c r="D767" s="218" t="b">
        <v>1</v>
      </c>
      <c r="E767" s="219" t="b">
        <v>0</v>
      </c>
      <c r="F767" s="219" t="b">
        <v>0</v>
      </c>
      <c r="G767" s="219"/>
    </row>
    <row r="768">
      <c r="A768" s="218">
        <f t="shared" si="1"/>
        <v>767</v>
      </c>
      <c r="B768" s="218" t="s">
        <v>202</v>
      </c>
      <c r="C768" s="218" t="s">
        <v>4203</v>
      </c>
      <c r="D768" s="218" t="b">
        <v>1</v>
      </c>
      <c r="E768" s="219" t="b">
        <v>0</v>
      </c>
      <c r="F768" s="219" t="b">
        <v>0</v>
      </c>
      <c r="G768" s="219"/>
    </row>
    <row r="769">
      <c r="A769" s="218">
        <f t="shared" si="1"/>
        <v>768</v>
      </c>
      <c r="B769" s="218" t="s">
        <v>202</v>
      </c>
      <c r="C769" s="218" t="s">
        <v>4197</v>
      </c>
      <c r="D769" s="218" t="b">
        <v>1</v>
      </c>
      <c r="E769" s="219" t="b">
        <v>0</v>
      </c>
      <c r="F769" s="219" t="b">
        <v>0</v>
      </c>
      <c r="G769" s="219"/>
    </row>
    <row r="770">
      <c r="A770" s="218">
        <f t="shared" si="1"/>
        <v>769</v>
      </c>
      <c r="B770" s="218" t="s">
        <v>202</v>
      </c>
      <c r="C770" s="218" t="s">
        <v>5448</v>
      </c>
      <c r="D770" s="218" t="b">
        <v>1</v>
      </c>
      <c r="E770" s="219" t="b">
        <v>0</v>
      </c>
      <c r="F770" s="219" t="b">
        <v>0</v>
      </c>
      <c r="G770" s="219"/>
    </row>
    <row r="771">
      <c r="A771" s="218">
        <f t="shared" si="1"/>
        <v>770</v>
      </c>
      <c r="B771" s="218" t="s">
        <v>202</v>
      </c>
      <c r="C771" s="218" t="s">
        <v>5419</v>
      </c>
      <c r="D771" s="218" t="b">
        <v>1</v>
      </c>
      <c r="E771" s="219" t="b">
        <v>0</v>
      </c>
      <c r="F771" s="219" t="b">
        <v>0</v>
      </c>
      <c r="G771" s="219"/>
    </row>
    <row r="772">
      <c r="A772" s="218">
        <f t="shared" si="1"/>
        <v>771</v>
      </c>
      <c r="B772" s="218" t="s">
        <v>202</v>
      </c>
      <c r="C772" s="218" t="s">
        <v>1651</v>
      </c>
      <c r="D772" s="218" t="b">
        <v>1</v>
      </c>
      <c r="E772" s="219" t="b">
        <v>0</v>
      </c>
      <c r="F772" s="219" t="b">
        <v>0</v>
      </c>
      <c r="G772" s="219"/>
    </row>
    <row r="773">
      <c r="A773" s="218">
        <f t="shared" si="1"/>
        <v>772</v>
      </c>
      <c r="B773" s="218" t="s">
        <v>202</v>
      </c>
      <c r="C773" s="218" t="s">
        <v>882</v>
      </c>
      <c r="D773" s="218" t="b">
        <v>1</v>
      </c>
      <c r="E773" s="219" t="b">
        <v>0</v>
      </c>
      <c r="F773" s="219" t="b">
        <v>0</v>
      </c>
      <c r="G773" s="219"/>
    </row>
    <row r="774">
      <c r="A774" s="218">
        <f t="shared" si="1"/>
        <v>773</v>
      </c>
      <c r="B774" s="218" t="s">
        <v>202</v>
      </c>
      <c r="C774" s="218" t="s">
        <v>897</v>
      </c>
      <c r="D774" s="218" t="b">
        <v>1</v>
      </c>
      <c r="E774" s="219" t="b">
        <v>0</v>
      </c>
      <c r="F774" s="219" t="b">
        <v>0</v>
      </c>
      <c r="G774" s="219"/>
    </row>
    <row r="775">
      <c r="A775" s="218">
        <f t="shared" si="1"/>
        <v>774</v>
      </c>
      <c r="B775" s="218" t="s">
        <v>202</v>
      </c>
      <c r="C775" s="218" t="s">
        <v>1089</v>
      </c>
      <c r="D775" s="218" t="b">
        <v>1</v>
      </c>
      <c r="E775" s="219" t="b">
        <v>0</v>
      </c>
      <c r="F775" s="219" t="b">
        <v>0</v>
      </c>
      <c r="G775" s="219"/>
    </row>
    <row r="776">
      <c r="A776" s="218">
        <f t="shared" si="1"/>
        <v>775</v>
      </c>
      <c r="B776" s="218" t="s">
        <v>202</v>
      </c>
      <c r="C776" s="218" t="s">
        <v>1099</v>
      </c>
      <c r="D776" s="218" t="b">
        <v>1</v>
      </c>
      <c r="E776" s="219" t="b">
        <v>0</v>
      </c>
      <c r="F776" s="219" t="b">
        <v>0</v>
      </c>
      <c r="G776" s="219"/>
    </row>
    <row r="777">
      <c r="A777" s="218">
        <f t="shared" si="1"/>
        <v>776</v>
      </c>
      <c r="B777" s="218" t="s">
        <v>202</v>
      </c>
      <c r="C777" s="218" t="s">
        <v>1118</v>
      </c>
      <c r="D777" s="218" t="b">
        <v>1</v>
      </c>
      <c r="E777" s="219" t="b">
        <v>0</v>
      </c>
      <c r="F777" s="219" t="b">
        <v>0</v>
      </c>
      <c r="G777" s="219"/>
    </row>
    <row r="778">
      <c r="A778" s="218">
        <f t="shared" si="1"/>
        <v>777</v>
      </c>
      <c r="B778" s="218" t="s">
        <v>202</v>
      </c>
      <c r="C778" s="218" t="s">
        <v>1132</v>
      </c>
      <c r="D778" s="218" t="b">
        <v>1</v>
      </c>
      <c r="E778" s="219" t="b">
        <v>0</v>
      </c>
      <c r="F778" s="219" t="b">
        <v>0</v>
      </c>
      <c r="G778" s="219"/>
    </row>
    <row r="779">
      <c r="A779" s="218">
        <f t="shared" si="1"/>
        <v>778</v>
      </c>
      <c r="B779" s="218" t="s">
        <v>202</v>
      </c>
      <c r="C779" s="218" t="s">
        <v>1141</v>
      </c>
      <c r="D779" s="218" t="b">
        <v>1</v>
      </c>
      <c r="E779" s="219" t="b">
        <v>0</v>
      </c>
      <c r="F779" s="219" t="b">
        <v>0</v>
      </c>
      <c r="G779" s="219"/>
    </row>
    <row r="780">
      <c r="A780" s="218">
        <f t="shared" si="1"/>
        <v>779</v>
      </c>
      <c r="B780" s="218" t="s">
        <v>202</v>
      </c>
      <c r="C780" s="218" t="s">
        <v>1216</v>
      </c>
      <c r="D780" s="218" t="b">
        <v>1</v>
      </c>
      <c r="E780" s="219" t="b">
        <v>0</v>
      </c>
      <c r="F780" s="219" t="b">
        <v>0</v>
      </c>
      <c r="G780" s="219"/>
    </row>
    <row r="781">
      <c r="A781" s="218">
        <f t="shared" si="1"/>
        <v>780</v>
      </c>
      <c r="B781" s="218" t="s">
        <v>202</v>
      </c>
      <c r="C781" s="218" t="s">
        <v>1231</v>
      </c>
      <c r="D781" s="218" t="b">
        <v>1</v>
      </c>
      <c r="E781" s="219" t="b">
        <v>0</v>
      </c>
      <c r="F781" s="219" t="b">
        <v>0</v>
      </c>
      <c r="G781" s="219"/>
    </row>
    <row r="782">
      <c r="A782" s="218">
        <f t="shared" si="1"/>
        <v>781</v>
      </c>
      <c r="B782" s="218" t="s">
        <v>202</v>
      </c>
      <c r="C782" s="218" t="s">
        <v>1236</v>
      </c>
      <c r="D782" s="218" t="b">
        <v>1</v>
      </c>
      <c r="E782" s="219" t="b">
        <v>0</v>
      </c>
      <c r="F782" s="219" t="b">
        <v>0</v>
      </c>
      <c r="G782" s="219"/>
    </row>
    <row r="783">
      <c r="A783" s="218">
        <f t="shared" si="1"/>
        <v>782</v>
      </c>
      <c r="B783" s="218" t="s">
        <v>202</v>
      </c>
      <c r="C783" s="218" t="s">
        <v>4186</v>
      </c>
      <c r="D783" s="218" t="b">
        <v>1</v>
      </c>
      <c r="E783" s="219" t="b">
        <v>0</v>
      </c>
      <c r="F783" s="219" t="b">
        <v>0</v>
      </c>
      <c r="G783" s="219"/>
    </row>
    <row r="784">
      <c r="A784" s="218">
        <f t="shared" si="1"/>
        <v>783</v>
      </c>
      <c r="B784" s="218" t="s">
        <v>202</v>
      </c>
      <c r="C784" s="218" t="s">
        <v>2806</v>
      </c>
      <c r="D784" s="218" t="b">
        <v>1</v>
      </c>
      <c r="E784" s="219" t="b">
        <v>0</v>
      </c>
      <c r="F784" s="219" t="b">
        <v>0</v>
      </c>
      <c r="G784" s="219"/>
    </row>
    <row r="785">
      <c r="A785" s="218">
        <f t="shared" si="1"/>
        <v>784</v>
      </c>
      <c r="B785" s="218" t="s">
        <v>202</v>
      </c>
      <c r="C785" s="218" t="s">
        <v>3658</v>
      </c>
      <c r="D785" s="218" t="b">
        <v>1</v>
      </c>
      <c r="E785" s="219" t="b">
        <v>0</v>
      </c>
      <c r="F785" s="219" t="b">
        <v>0</v>
      </c>
      <c r="G785" s="219"/>
    </row>
    <row r="786">
      <c r="A786" s="218">
        <f t="shared" si="1"/>
        <v>785</v>
      </c>
      <c r="B786" s="218" t="s">
        <v>202</v>
      </c>
      <c r="C786" s="218" t="s">
        <v>2811</v>
      </c>
      <c r="D786" s="218" t="b">
        <v>1</v>
      </c>
      <c r="E786" s="219" t="b">
        <v>0</v>
      </c>
      <c r="F786" s="219" t="b">
        <v>0</v>
      </c>
      <c r="G786" s="219"/>
    </row>
    <row r="787">
      <c r="A787" s="218">
        <f t="shared" si="1"/>
        <v>786</v>
      </c>
      <c r="B787" s="218" t="s">
        <v>202</v>
      </c>
      <c r="C787" s="218" t="s">
        <v>4240</v>
      </c>
      <c r="D787" s="218" t="b">
        <v>1</v>
      </c>
      <c r="E787" s="219" t="b">
        <v>0</v>
      </c>
      <c r="F787" s="219" t="b">
        <v>0</v>
      </c>
      <c r="G787" s="219"/>
    </row>
    <row r="788">
      <c r="A788" s="218">
        <f t="shared" si="1"/>
        <v>787</v>
      </c>
      <c r="B788" s="218" t="s">
        <v>202</v>
      </c>
      <c r="C788" s="218" t="s">
        <v>2797</v>
      </c>
      <c r="D788" s="218" t="b">
        <v>1</v>
      </c>
      <c r="E788" s="219" t="b">
        <v>0</v>
      </c>
      <c r="F788" s="219" t="b">
        <v>0</v>
      </c>
      <c r="G788" s="219"/>
    </row>
    <row r="789">
      <c r="A789" s="218">
        <f t="shared" si="1"/>
        <v>788</v>
      </c>
      <c r="B789" s="218" t="s">
        <v>202</v>
      </c>
      <c r="C789" s="218" t="s">
        <v>4234</v>
      </c>
      <c r="D789" s="218" t="b">
        <v>1</v>
      </c>
      <c r="E789" s="219" t="b">
        <v>0</v>
      </c>
      <c r="F789" s="219" t="b">
        <v>0</v>
      </c>
      <c r="G789" s="219"/>
    </row>
    <row r="790">
      <c r="A790" s="218">
        <f t="shared" si="1"/>
        <v>789</v>
      </c>
      <c r="B790" s="218" t="s">
        <v>202</v>
      </c>
      <c r="C790" s="218" t="s">
        <v>2787</v>
      </c>
      <c r="D790" s="218" t="b">
        <v>1</v>
      </c>
      <c r="E790" s="219" t="b">
        <v>0</v>
      </c>
      <c r="F790" s="219" t="b">
        <v>0</v>
      </c>
      <c r="G790" s="219"/>
    </row>
    <row r="791">
      <c r="A791" s="218">
        <f t="shared" si="1"/>
        <v>790</v>
      </c>
      <c r="B791" s="218" t="s">
        <v>202</v>
      </c>
      <c r="C791" s="218" t="s">
        <v>2792</v>
      </c>
      <c r="D791" s="218" t="b">
        <v>1</v>
      </c>
      <c r="E791" s="219" t="b">
        <v>0</v>
      </c>
      <c r="F791" s="219" t="b">
        <v>0</v>
      </c>
      <c r="G791" s="219"/>
    </row>
    <row r="792">
      <c r="A792" s="218">
        <f t="shared" si="1"/>
        <v>791</v>
      </c>
      <c r="B792" s="218" t="s">
        <v>202</v>
      </c>
      <c r="C792" s="218" t="s">
        <v>2792</v>
      </c>
      <c r="D792" s="218" t="b">
        <v>1</v>
      </c>
      <c r="E792" s="219" t="b">
        <v>0</v>
      </c>
      <c r="F792" s="219" t="b">
        <v>0</v>
      </c>
      <c r="G792" s="219"/>
    </row>
    <row r="793">
      <c r="A793" s="218">
        <f t="shared" si="1"/>
        <v>792</v>
      </c>
      <c r="B793" s="218" t="s">
        <v>202</v>
      </c>
      <c r="C793" s="218" t="s">
        <v>2772</v>
      </c>
      <c r="D793" s="218" t="b">
        <v>1</v>
      </c>
      <c r="E793" s="219" t="b">
        <v>0</v>
      </c>
      <c r="F793" s="219" t="b">
        <v>0</v>
      </c>
      <c r="G793" s="219"/>
    </row>
    <row r="794">
      <c r="A794" s="218">
        <f t="shared" si="1"/>
        <v>793</v>
      </c>
      <c r="B794" s="218" t="s">
        <v>202</v>
      </c>
      <c r="C794" s="218" t="s">
        <v>4439</v>
      </c>
      <c r="D794" s="218" t="b">
        <v>1</v>
      </c>
      <c r="E794" s="219" t="b">
        <v>0</v>
      </c>
      <c r="F794" s="219" t="b">
        <v>0</v>
      </c>
      <c r="G794" s="219"/>
    </row>
    <row r="795">
      <c r="A795" s="218">
        <f t="shared" si="1"/>
        <v>794</v>
      </c>
      <c r="B795" s="218" t="s">
        <v>202</v>
      </c>
      <c r="C795" s="218" t="s">
        <v>2763</v>
      </c>
      <c r="D795" s="218" t="b">
        <v>1</v>
      </c>
      <c r="E795" s="219" t="b">
        <v>0</v>
      </c>
      <c r="F795" s="219" t="b">
        <v>0</v>
      </c>
      <c r="G795" s="219"/>
    </row>
    <row r="796">
      <c r="A796" s="218">
        <f t="shared" si="1"/>
        <v>795</v>
      </c>
      <c r="B796" s="218" t="s">
        <v>202</v>
      </c>
      <c r="C796" s="218" t="s">
        <v>5174</v>
      </c>
      <c r="D796" s="218" t="b">
        <v>1</v>
      </c>
      <c r="E796" s="219" t="b">
        <v>0</v>
      </c>
      <c r="F796" s="219" t="b">
        <v>0</v>
      </c>
      <c r="G796" s="219"/>
    </row>
    <row r="797">
      <c r="A797" s="218">
        <f t="shared" si="1"/>
        <v>796</v>
      </c>
      <c r="B797" s="218" t="s">
        <v>202</v>
      </c>
      <c r="C797" s="218" t="s">
        <v>5202</v>
      </c>
      <c r="D797" s="218" t="b">
        <v>1</v>
      </c>
      <c r="E797" s="219" t="b">
        <v>0</v>
      </c>
      <c r="F797" s="219" t="b">
        <v>0</v>
      </c>
      <c r="G797" s="219"/>
    </row>
    <row r="798">
      <c r="A798" s="218">
        <f t="shared" si="1"/>
        <v>797</v>
      </c>
      <c r="B798" s="218" t="s">
        <v>202</v>
      </c>
      <c r="C798" s="218" t="s">
        <v>3792</v>
      </c>
      <c r="D798" s="218" t="b">
        <v>1</v>
      </c>
      <c r="E798" s="219" t="b">
        <v>0</v>
      </c>
      <c r="F798" s="219" t="b">
        <v>0</v>
      </c>
      <c r="G798" s="219"/>
    </row>
    <row r="799">
      <c r="A799" s="218">
        <f t="shared" si="1"/>
        <v>798</v>
      </c>
      <c r="B799" s="218" t="s">
        <v>202</v>
      </c>
      <c r="C799" s="218" t="s">
        <v>4964</v>
      </c>
      <c r="D799" s="218" t="b">
        <v>1</v>
      </c>
      <c r="E799" s="219" t="b">
        <v>0</v>
      </c>
      <c r="F799" s="219" t="b">
        <v>0</v>
      </c>
      <c r="G799" s="219"/>
    </row>
    <row r="800">
      <c r="A800" s="218">
        <f t="shared" si="1"/>
        <v>799</v>
      </c>
      <c r="B800" s="218" t="s">
        <v>202</v>
      </c>
      <c r="C800" s="218" t="s">
        <v>4958</v>
      </c>
      <c r="D800" s="218" t="b">
        <v>1</v>
      </c>
      <c r="E800" s="219" t="b">
        <v>0</v>
      </c>
      <c r="F800" s="219" t="b">
        <v>0</v>
      </c>
      <c r="G800" s="219"/>
    </row>
    <row r="801">
      <c r="A801" s="218">
        <f t="shared" si="1"/>
        <v>800</v>
      </c>
      <c r="B801" s="218" t="s">
        <v>202</v>
      </c>
      <c r="C801" s="218" t="s">
        <v>4322</v>
      </c>
      <c r="D801" s="218" t="b">
        <v>1</v>
      </c>
      <c r="E801" s="219" t="b">
        <v>0</v>
      </c>
      <c r="F801" s="219" t="b">
        <v>0</v>
      </c>
      <c r="G801" s="219"/>
    </row>
    <row r="802">
      <c r="A802" s="218">
        <f t="shared" si="1"/>
        <v>801</v>
      </c>
      <c r="B802" s="218" t="s">
        <v>202</v>
      </c>
      <c r="C802" s="218" t="s">
        <v>4983</v>
      </c>
      <c r="D802" s="218" t="b">
        <v>1</v>
      </c>
      <c r="E802" s="219" t="b">
        <v>0</v>
      </c>
      <c r="F802" s="219" t="b">
        <v>0</v>
      </c>
      <c r="G802" s="219"/>
    </row>
    <row r="803">
      <c r="A803" s="218">
        <f t="shared" si="1"/>
        <v>802</v>
      </c>
      <c r="B803" s="218" t="s">
        <v>202</v>
      </c>
      <c r="C803" s="218" t="s">
        <v>4994</v>
      </c>
      <c r="D803" s="218" t="b">
        <v>1</v>
      </c>
      <c r="E803" s="219" t="b">
        <v>0</v>
      </c>
      <c r="F803" s="219" t="b">
        <v>0</v>
      </c>
      <c r="G803" s="219"/>
    </row>
    <row r="804">
      <c r="A804" s="218">
        <f t="shared" si="1"/>
        <v>803</v>
      </c>
      <c r="B804" s="218" t="s">
        <v>202</v>
      </c>
      <c r="C804" s="218" t="s">
        <v>5077</v>
      </c>
      <c r="D804" s="218" t="b">
        <v>1</v>
      </c>
      <c r="E804" s="219" t="b">
        <v>0</v>
      </c>
      <c r="F804" s="219" t="b">
        <v>0</v>
      </c>
      <c r="G804" s="219"/>
    </row>
    <row r="805">
      <c r="A805" s="218">
        <f t="shared" si="1"/>
        <v>804</v>
      </c>
      <c r="B805" s="218" t="s">
        <v>202</v>
      </c>
      <c r="C805" s="218" t="s">
        <v>5023</v>
      </c>
      <c r="D805" s="218" t="b">
        <v>1</v>
      </c>
      <c r="E805" s="219" t="b">
        <v>0</v>
      </c>
      <c r="F805" s="219" t="b">
        <v>0</v>
      </c>
      <c r="G805" s="219"/>
    </row>
    <row r="806">
      <c r="A806" s="218">
        <f t="shared" si="1"/>
        <v>805</v>
      </c>
      <c r="B806" s="218" t="s">
        <v>202</v>
      </c>
      <c r="C806" s="218" t="s">
        <v>1388</v>
      </c>
      <c r="D806" s="218" t="b">
        <v>1</v>
      </c>
      <c r="E806" s="219" t="b">
        <v>0</v>
      </c>
      <c r="F806" s="219" t="b">
        <v>0</v>
      </c>
      <c r="G806" s="219"/>
    </row>
    <row r="807">
      <c r="A807" s="218">
        <f t="shared" si="1"/>
        <v>806</v>
      </c>
      <c r="B807" s="218" t="s">
        <v>202</v>
      </c>
      <c r="C807" s="218" t="s">
        <v>5145</v>
      </c>
      <c r="D807" s="218" t="b">
        <v>1</v>
      </c>
      <c r="E807" s="219" t="b">
        <v>0</v>
      </c>
      <c r="F807" s="219" t="b">
        <v>0</v>
      </c>
      <c r="G807" s="219"/>
    </row>
    <row r="808">
      <c r="A808" s="218">
        <f t="shared" si="1"/>
        <v>807</v>
      </c>
      <c r="B808" s="218" t="s">
        <v>202</v>
      </c>
      <c r="C808" s="218" t="s">
        <v>3814</v>
      </c>
      <c r="D808" s="218" t="b">
        <v>1</v>
      </c>
      <c r="E808" s="219" t="b">
        <v>0</v>
      </c>
      <c r="F808" s="219" t="b">
        <v>0</v>
      </c>
      <c r="G808" s="219"/>
    </row>
    <row r="809">
      <c r="A809" s="218">
        <f t="shared" si="1"/>
        <v>808</v>
      </c>
      <c r="B809" s="218" t="s">
        <v>202</v>
      </c>
      <c r="C809" s="218" t="s">
        <v>5151</v>
      </c>
      <c r="D809" s="218" t="b">
        <v>1</v>
      </c>
      <c r="E809" s="219" t="b">
        <v>0</v>
      </c>
      <c r="F809" s="219" t="b">
        <v>0</v>
      </c>
      <c r="G809" s="219"/>
    </row>
    <row r="810">
      <c r="A810" s="218">
        <f t="shared" si="1"/>
        <v>809</v>
      </c>
      <c r="B810" s="218" t="s">
        <v>202</v>
      </c>
      <c r="C810" s="218" t="s">
        <v>5161</v>
      </c>
      <c r="D810" s="218" t="b">
        <v>1</v>
      </c>
      <c r="E810" s="219" t="b">
        <v>0</v>
      </c>
      <c r="F810" s="219" t="b">
        <v>0</v>
      </c>
      <c r="G810" s="219"/>
    </row>
    <row r="811">
      <c r="A811" s="218">
        <f t="shared" si="1"/>
        <v>810</v>
      </c>
      <c r="B811" s="218" t="s">
        <v>202</v>
      </c>
      <c r="C811" s="218" t="s">
        <v>4383</v>
      </c>
      <c r="D811" s="218" t="b">
        <v>1</v>
      </c>
      <c r="E811" s="219" t="b">
        <v>0</v>
      </c>
      <c r="F811" s="219" t="b">
        <v>0</v>
      </c>
      <c r="G811" s="219"/>
    </row>
    <row r="812">
      <c r="A812" s="218">
        <f t="shared" si="1"/>
        <v>811</v>
      </c>
      <c r="B812" s="218" t="s">
        <v>202</v>
      </c>
      <c r="C812" s="218" t="s">
        <v>4405</v>
      </c>
      <c r="D812" s="218" t="b">
        <v>1</v>
      </c>
      <c r="E812" s="219" t="b">
        <v>0</v>
      </c>
      <c r="F812" s="219" t="b">
        <v>0</v>
      </c>
      <c r="G812" s="219"/>
    </row>
    <row r="813">
      <c r="A813" s="218">
        <f t="shared" si="1"/>
        <v>812</v>
      </c>
      <c r="B813" s="218" t="s">
        <v>202</v>
      </c>
      <c r="C813" s="218" t="s">
        <v>5124</v>
      </c>
      <c r="D813" s="218" t="b">
        <v>1</v>
      </c>
      <c r="E813" s="219" t="b">
        <v>0</v>
      </c>
      <c r="F813" s="219" t="b">
        <v>0</v>
      </c>
      <c r="G813" s="219"/>
    </row>
    <row r="814">
      <c r="A814" s="218">
        <f t="shared" si="1"/>
        <v>813</v>
      </c>
      <c r="B814" s="218" t="s">
        <v>202</v>
      </c>
      <c r="C814" s="218" t="s">
        <v>5439</v>
      </c>
      <c r="D814" s="218" t="b">
        <v>1</v>
      </c>
      <c r="E814" s="219" t="b">
        <v>0</v>
      </c>
      <c r="F814" s="219" t="b">
        <v>0</v>
      </c>
      <c r="G814" s="219"/>
    </row>
    <row r="815">
      <c r="A815" s="218">
        <f t="shared" si="1"/>
        <v>814</v>
      </c>
      <c r="B815" s="218" t="s">
        <v>202</v>
      </c>
      <c r="C815" s="218" t="s">
        <v>5119</v>
      </c>
      <c r="D815" s="218" t="b">
        <v>1</v>
      </c>
      <c r="E815" s="219" t="b">
        <v>0</v>
      </c>
      <c r="F815" s="219" t="b">
        <v>0</v>
      </c>
      <c r="G815" s="219"/>
    </row>
    <row r="816">
      <c r="A816" s="218">
        <f t="shared" si="1"/>
        <v>815</v>
      </c>
      <c r="B816" s="218" t="s">
        <v>202</v>
      </c>
      <c r="C816" s="218" t="s">
        <v>4366</v>
      </c>
      <c r="D816" s="218" t="b">
        <v>1</v>
      </c>
      <c r="E816" s="219" t="b">
        <v>0</v>
      </c>
      <c r="F816" s="219" t="b">
        <v>0</v>
      </c>
      <c r="G816" s="219"/>
    </row>
    <row r="817">
      <c r="A817" s="218">
        <f t="shared" si="1"/>
        <v>816</v>
      </c>
      <c r="B817" s="218" t="s">
        <v>202</v>
      </c>
      <c r="C817" s="218" t="s">
        <v>5186</v>
      </c>
      <c r="D817" s="218" t="b">
        <v>1</v>
      </c>
      <c r="E817" s="219" t="b">
        <v>0</v>
      </c>
      <c r="F817" s="219" t="b">
        <v>0</v>
      </c>
      <c r="G817" s="219"/>
    </row>
    <row r="818">
      <c r="A818" s="218">
        <f t="shared" si="1"/>
        <v>817</v>
      </c>
      <c r="B818" s="218" t="s">
        <v>202</v>
      </c>
      <c r="C818" s="218" t="s">
        <v>4465</v>
      </c>
      <c r="D818" s="218" t="b">
        <v>1</v>
      </c>
      <c r="E818" s="219" t="b">
        <v>0</v>
      </c>
      <c r="F818" s="219" t="b">
        <v>0</v>
      </c>
      <c r="G818" s="219"/>
    </row>
    <row r="819">
      <c r="A819" s="218">
        <f t="shared" si="1"/>
        <v>818</v>
      </c>
      <c r="B819" s="218" t="s">
        <v>202</v>
      </c>
      <c r="C819" s="218" t="s">
        <v>4978</v>
      </c>
      <c r="D819" s="218" t="b">
        <v>1</v>
      </c>
      <c r="E819" s="219" t="b">
        <v>0</v>
      </c>
      <c r="F819" s="219" t="b">
        <v>0</v>
      </c>
      <c r="G819" s="219"/>
    </row>
    <row r="820">
      <c r="A820" s="218">
        <f t="shared" si="1"/>
        <v>819</v>
      </c>
      <c r="B820" s="218" t="s">
        <v>202</v>
      </c>
      <c r="C820" s="218" t="s">
        <v>4988</v>
      </c>
      <c r="D820" s="218" t="b">
        <v>1</v>
      </c>
      <c r="E820" s="219" t="b">
        <v>0</v>
      </c>
      <c r="F820" s="219" t="b">
        <v>0</v>
      </c>
      <c r="G820" s="219"/>
    </row>
    <row r="821">
      <c r="A821" s="218">
        <f t="shared" si="1"/>
        <v>820</v>
      </c>
      <c r="B821" s="218" t="s">
        <v>202</v>
      </c>
      <c r="C821" s="218" t="s">
        <v>5013</v>
      </c>
      <c r="D821" s="218" t="b">
        <v>1</v>
      </c>
      <c r="E821" s="219" t="b">
        <v>0</v>
      </c>
      <c r="F821" s="219" t="b">
        <v>0</v>
      </c>
      <c r="G821" s="219"/>
    </row>
    <row r="822">
      <c r="A822" s="218">
        <f t="shared" si="1"/>
        <v>821</v>
      </c>
      <c r="B822" s="218" t="s">
        <v>202</v>
      </c>
      <c r="C822" s="218" t="s">
        <v>5028</v>
      </c>
      <c r="D822" s="218" t="b">
        <v>1</v>
      </c>
      <c r="E822" s="219" t="b">
        <v>0</v>
      </c>
      <c r="F822" s="219" t="b">
        <v>0</v>
      </c>
      <c r="G822" s="219"/>
    </row>
    <row r="823">
      <c r="A823" s="218">
        <f t="shared" si="1"/>
        <v>822</v>
      </c>
      <c r="B823" s="218" t="s">
        <v>202</v>
      </c>
      <c r="C823" s="218" t="s">
        <v>4743</v>
      </c>
      <c r="D823" s="218" t="b">
        <v>1</v>
      </c>
      <c r="E823" s="219" t="b">
        <v>0</v>
      </c>
      <c r="F823" s="219" t="b">
        <v>0</v>
      </c>
      <c r="G823" s="219"/>
    </row>
    <row r="824">
      <c r="A824" s="218">
        <f t="shared" si="1"/>
        <v>823</v>
      </c>
      <c r="B824" s="218" t="s">
        <v>202</v>
      </c>
      <c r="C824" s="218" t="s">
        <v>5045</v>
      </c>
      <c r="D824" s="218" t="b">
        <v>1</v>
      </c>
      <c r="E824" s="219" t="b">
        <v>0</v>
      </c>
      <c r="F824" s="219" t="b">
        <v>0</v>
      </c>
      <c r="G824" s="219"/>
    </row>
    <row r="825">
      <c r="A825" s="218">
        <f t="shared" si="1"/>
        <v>824</v>
      </c>
      <c r="B825" s="218" t="s">
        <v>202</v>
      </c>
      <c r="C825" s="218" t="s">
        <v>5045</v>
      </c>
      <c r="D825" s="218" t="b">
        <v>1</v>
      </c>
      <c r="E825" s="219" t="b">
        <v>0</v>
      </c>
      <c r="F825" s="219" t="b">
        <v>0</v>
      </c>
      <c r="G825" s="219"/>
    </row>
    <row r="826">
      <c r="A826" s="218">
        <f t="shared" si="1"/>
        <v>825</v>
      </c>
      <c r="B826" s="218" t="s">
        <v>202</v>
      </c>
      <c r="C826" s="218" t="s">
        <v>5052</v>
      </c>
      <c r="D826" s="218" t="b">
        <v>1</v>
      </c>
      <c r="E826" s="219" t="b">
        <v>0</v>
      </c>
      <c r="F826" s="219" t="b">
        <v>0</v>
      </c>
      <c r="G826" s="219"/>
    </row>
    <row r="827">
      <c r="A827" s="218">
        <f t="shared" si="1"/>
        <v>826</v>
      </c>
      <c r="B827" s="218" t="s">
        <v>202</v>
      </c>
      <c r="C827" s="218" t="s">
        <v>1071</v>
      </c>
      <c r="D827" s="218" t="b">
        <v>1</v>
      </c>
      <c r="E827" s="219" t="b">
        <v>0</v>
      </c>
      <c r="F827" s="219" t="b">
        <v>0</v>
      </c>
      <c r="G827" s="219"/>
    </row>
    <row r="828">
      <c r="A828" s="218">
        <f t="shared" si="1"/>
        <v>827</v>
      </c>
      <c r="B828" s="218" t="s">
        <v>202</v>
      </c>
      <c r="C828" s="218" t="s">
        <v>5099</v>
      </c>
      <c r="D828" s="218" t="b">
        <v>1</v>
      </c>
      <c r="E828" s="219" t="b">
        <v>0</v>
      </c>
      <c r="F828" s="219" t="b">
        <v>0</v>
      </c>
      <c r="G828" s="219"/>
    </row>
    <row r="829">
      <c r="A829" s="218">
        <f t="shared" si="1"/>
        <v>828</v>
      </c>
      <c r="B829" s="218" t="s">
        <v>202</v>
      </c>
      <c r="C829" s="218" t="s">
        <v>2476</v>
      </c>
      <c r="D829" s="218" t="b">
        <v>1</v>
      </c>
      <c r="E829" s="219" t="b">
        <v>0</v>
      </c>
      <c r="F829" s="219" t="b">
        <v>0</v>
      </c>
      <c r="G829" s="219"/>
    </row>
    <row r="830">
      <c r="A830" s="218">
        <f t="shared" si="1"/>
        <v>829</v>
      </c>
      <c r="B830" s="218" t="s">
        <v>202</v>
      </c>
      <c r="C830" s="218" t="s">
        <v>5115</v>
      </c>
      <c r="D830" s="218" t="b">
        <v>1</v>
      </c>
      <c r="E830" s="219" t="b">
        <v>0</v>
      </c>
      <c r="F830" s="219" t="b">
        <v>0</v>
      </c>
      <c r="G830" s="219"/>
    </row>
    <row r="831">
      <c r="A831" s="218">
        <f t="shared" si="1"/>
        <v>830</v>
      </c>
      <c r="B831" s="218" t="s">
        <v>202</v>
      </c>
      <c r="C831" s="218" t="s">
        <v>4665</v>
      </c>
      <c r="D831" s="218" t="b">
        <v>1</v>
      </c>
      <c r="E831" s="219" t="b">
        <v>0</v>
      </c>
      <c r="F831" s="219" t="b">
        <v>0</v>
      </c>
      <c r="G831" s="219"/>
    </row>
    <row r="832">
      <c r="A832" s="218">
        <f t="shared" si="1"/>
        <v>831</v>
      </c>
      <c r="B832" s="218" t="s">
        <v>202</v>
      </c>
      <c r="C832" s="218" t="s">
        <v>5180</v>
      </c>
      <c r="D832" s="218" t="b">
        <v>1</v>
      </c>
      <c r="E832" s="219" t="b">
        <v>0</v>
      </c>
      <c r="F832" s="219" t="b">
        <v>0</v>
      </c>
      <c r="G832" s="219"/>
    </row>
    <row r="833">
      <c r="A833" s="218">
        <f t="shared" si="1"/>
        <v>832</v>
      </c>
      <c r="B833" s="218" t="s">
        <v>202</v>
      </c>
      <c r="C833" s="218" t="s">
        <v>1300</v>
      </c>
      <c r="D833" s="218" t="b">
        <v>1</v>
      </c>
      <c r="E833" s="219" t="b">
        <v>0</v>
      </c>
      <c r="F833" s="219" t="b">
        <v>0</v>
      </c>
      <c r="G833" s="219"/>
    </row>
    <row r="834">
      <c r="A834" s="218">
        <f t="shared" si="1"/>
        <v>833</v>
      </c>
      <c r="B834" s="218" t="s">
        <v>202</v>
      </c>
      <c r="C834" s="218" t="s">
        <v>5073</v>
      </c>
      <c r="D834" s="218" t="b">
        <v>1</v>
      </c>
      <c r="E834" s="219" t="b">
        <v>0</v>
      </c>
      <c r="F834" s="219" t="b">
        <v>0</v>
      </c>
      <c r="G834" s="219"/>
    </row>
    <row r="835">
      <c r="A835" s="218">
        <f t="shared" si="1"/>
        <v>834</v>
      </c>
      <c r="B835" s="218" t="s">
        <v>202</v>
      </c>
      <c r="C835" s="218" t="s">
        <v>5526</v>
      </c>
      <c r="D835" s="218" t="b">
        <v>1</v>
      </c>
      <c r="E835" s="219" t="b">
        <v>0</v>
      </c>
      <c r="F835" s="219" t="b">
        <v>0</v>
      </c>
      <c r="G835" s="219"/>
    </row>
    <row r="836">
      <c r="A836" s="218">
        <f t="shared" si="1"/>
        <v>835</v>
      </c>
      <c r="B836" s="218" t="s">
        <v>202</v>
      </c>
      <c r="C836" s="218" t="s">
        <v>5041</v>
      </c>
      <c r="D836" s="218" t="b">
        <v>1</v>
      </c>
      <c r="E836" s="219" t="b">
        <v>0</v>
      </c>
      <c r="F836" s="219" t="b">
        <v>0</v>
      </c>
      <c r="G836" s="219"/>
    </row>
    <row r="837">
      <c r="A837" s="218">
        <f t="shared" si="1"/>
        <v>836</v>
      </c>
      <c r="B837" s="218" t="s">
        <v>202</v>
      </c>
      <c r="C837" s="218" t="s">
        <v>4350</v>
      </c>
      <c r="D837" s="218" t="b">
        <v>1</v>
      </c>
      <c r="E837" s="219" t="b">
        <v>0</v>
      </c>
      <c r="F837" s="219" t="b">
        <v>0</v>
      </c>
      <c r="G837" s="219"/>
    </row>
    <row r="838">
      <c r="A838" s="218">
        <f t="shared" si="1"/>
        <v>837</v>
      </c>
      <c r="B838" s="218" t="s">
        <v>202</v>
      </c>
      <c r="C838" s="218" t="s">
        <v>5088</v>
      </c>
      <c r="D838" s="218" t="b">
        <v>1</v>
      </c>
      <c r="E838" s="219" t="b">
        <v>0</v>
      </c>
      <c r="F838" s="219" t="b">
        <v>0</v>
      </c>
      <c r="G838" s="219"/>
    </row>
    <row r="839">
      <c r="A839" s="218">
        <f t="shared" si="1"/>
        <v>838</v>
      </c>
      <c r="B839" s="218" t="s">
        <v>202</v>
      </c>
      <c r="C839" s="218" t="s">
        <v>4928</v>
      </c>
      <c r="D839" s="218" t="b">
        <v>1</v>
      </c>
      <c r="E839" s="219" t="b">
        <v>0</v>
      </c>
      <c r="F839" s="219" t="b">
        <v>0</v>
      </c>
      <c r="G839" s="219"/>
    </row>
    <row r="840">
      <c r="A840" s="218">
        <f t="shared" si="1"/>
        <v>839</v>
      </c>
      <c r="B840" s="218" t="s">
        <v>202</v>
      </c>
      <c r="C840" s="218" t="s">
        <v>5138</v>
      </c>
      <c r="D840" s="218" t="b">
        <v>1</v>
      </c>
      <c r="E840" s="219" t="b">
        <v>0</v>
      </c>
      <c r="F840" s="219" t="b">
        <v>0</v>
      </c>
      <c r="G840" s="219"/>
    </row>
    <row r="841">
      <c r="A841" s="218">
        <f t="shared" si="1"/>
        <v>840</v>
      </c>
      <c r="B841" s="218" t="s">
        <v>202</v>
      </c>
      <c r="C841" s="218" t="s">
        <v>5008</v>
      </c>
      <c r="D841" s="218" t="b">
        <v>1</v>
      </c>
      <c r="E841" s="219" t="b">
        <v>0</v>
      </c>
      <c r="F841" s="219" t="b">
        <v>0</v>
      </c>
      <c r="G841" s="219"/>
    </row>
    <row r="842">
      <c r="A842" s="218">
        <f t="shared" si="1"/>
        <v>841</v>
      </c>
      <c r="B842" s="218" t="s">
        <v>202</v>
      </c>
      <c r="C842" s="218" t="s">
        <v>5063</v>
      </c>
      <c r="D842" s="218" t="b">
        <v>1</v>
      </c>
      <c r="E842" s="219" t="b">
        <v>0</v>
      </c>
      <c r="F842" s="219" t="b">
        <v>0</v>
      </c>
      <c r="G842" s="219"/>
    </row>
    <row r="843">
      <c r="A843" s="218">
        <f t="shared" si="1"/>
        <v>842</v>
      </c>
      <c r="B843" s="218" t="s">
        <v>202</v>
      </c>
      <c r="C843" s="218" t="s">
        <v>2768</v>
      </c>
      <c r="D843" s="218" t="b">
        <v>1</v>
      </c>
      <c r="E843" s="219" t="b">
        <v>0</v>
      </c>
      <c r="F843" s="219" t="b">
        <v>0</v>
      </c>
      <c r="G843" s="219"/>
    </row>
    <row r="844">
      <c r="A844" s="218">
        <f t="shared" si="1"/>
        <v>843</v>
      </c>
      <c r="B844" s="218" t="s">
        <v>202</v>
      </c>
      <c r="C844" s="218" t="s">
        <v>3594</v>
      </c>
      <c r="D844" s="218" t="b">
        <v>1</v>
      </c>
      <c r="E844" s="219" t="b">
        <v>0</v>
      </c>
      <c r="F844" s="219" t="b">
        <v>0</v>
      </c>
      <c r="G844" s="219"/>
    </row>
    <row r="845">
      <c r="A845" s="218">
        <f t="shared" si="1"/>
        <v>844</v>
      </c>
      <c r="B845" s="218" t="s">
        <v>202</v>
      </c>
      <c r="C845" s="218" t="s">
        <v>3718</v>
      </c>
      <c r="D845" s="218" t="b">
        <v>1</v>
      </c>
      <c r="E845" s="219" t="b">
        <v>0</v>
      </c>
      <c r="F845" s="219" t="b">
        <v>0</v>
      </c>
      <c r="G845" s="219"/>
    </row>
    <row r="846">
      <c r="A846" s="218">
        <f t="shared" si="1"/>
        <v>845</v>
      </c>
      <c r="B846" s="218" t="s">
        <v>202</v>
      </c>
      <c r="C846" s="218" t="s">
        <v>3727</v>
      </c>
      <c r="D846" s="218" t="b">
        <v>1</v>
      </c>
      <c r="E846" s="219" t="b">
        <v>0</v>
      </c>
      <c r="F846" s="219" t="b">
        <v>0</v>
      </c>
      <c r="G846" s="219"/>
    </row>
    <row r="847">
      <c r="A847" s="218">
        <f t="shared" si="1"/>
        <v>846</v>
      </c>
      <c r="B847" s="218" t="s">
        <v>202</v>
      </c>
      <c r="C847" s="218" t="s">
        <v>3589</v>
      </c>
      <c r="D847" s="218" t="b">
        <v>1</v>
      </c>
      <c r="E847" s="219" t="b">
        <v>0</v>
      </c>
      <c r="F847" s="219" t="b">
        <v>0</v>
      </c>
      <c r="G847" s="219"/>
    </row>
    <row r="848">
      <c r="A848" s="218">
        <f t="shared" si="1"/>
        <v>847</v>
      </c>
      <c r="B848" s="218" t="s">
        <v>202</v>
      </c>
      <c r="C848" s="218" t="s">
        <v>4208</v>
      </c>
      <c r="D848" s="218" t="b">
        <v>1</v>
      </c>
      <c r="E848" s="219" t="b">
        <v>0</v>
      </c>
      <c r="F848" s="219" t="b">
        <v>0</v>
      </c>
      <c r="G848" s="219"/>
    </row>
    <row r="849">
      <c r="A849" s="218">
        <f t="shared" si="1"/>
        <v>848</v>
      </c>
      <c r="B849" s="218" t="s">
        <v>202</v>
      </c>
      <c r="C849" s="218" t="s">
        <v>3672</v>
      </c>
      <c r="D849" s="218" t="b">
        <v>1</v>
      </c>
      <c r="E849" s="219" t="b">
        <v>0</v>
      </c>
      <c r="F849" s="219" t="b">
        <v>0</v>
      </c>
      <c r="G849" s="219"/>
    </row>
    <row r="850">
      <c r="A850" s="218">
        <f t="shared" si="1"/>
        <v>849</v>
      </c>
      <c r="B850" s="218" t="s">
        <v>202</v>
      </c>
      <c r="C850" s="218" t="s">
        <v>3420</v>
      </c>
      <c r="D850" s="218" t="b">
        <v>1</v>
      </c>
      <c r="E850" s="219" t="b">
        <v>0</v>
      </c>
      <c r="F850" s="219" t="b">
        <v>0</v>
      </c>
      <c r="G850" s="219"/>
    </row>
    <row r="851">
      <c r="A851" s="218">
        <f t="shared" si="1"/>
        <v>850</v>
      </c>
      <c r="B851" s="218" t="s">
        <v>202</v>
      </c>
      <c r="C851" s="218" t="s">
        <v>3536</v>
      </c>
      <c r="D851" s="218" t="b">
        <v>1</v>
      </c>
      <c r="E851" s="219" t="b">
        <v>0</v>
      </c>
      <c r="F851" s="219" t="b">
        <v>0</v>
      </c>
      <c r="G851" s="219"/>
    </row>
    <row r="852">
      <c r="A852" s="218">
        <f t="shared" si="1"/>
        <v>851</v>
      </c>
      <c r="B852" s="218" t="s">
        <v>202</v>
      </c>
      <c r="C852" s="218" t="s">
        <v>3731</v>
      </c>
      <c r="D852" s="218" t="b">
        <v>1</v>
      </c>
      <c r="E852" s="219" t="b">
        <v>0</v>
      </c>
      <c r="F852" s="219" t="b">
        <v>0</v>
      </c>
      <c r="G852" s="219"/>
    </row>
    <row r="853">
      <c r="A853" s="218">
        <f t="shared" si="1"/>
        <v>852</v>
      </c>
      <c r="B853" s="218" t="s">
        <v>202</v>
      </c>
      <c r="C853" s="218" t="s">
        <v>3557</v>
      </c>
      <c r="D853" s="218" t="b">
        <v>1</v>
      </c>
      <c r="E853" s="219" t="b">
        <v>0</v>
      </c>
      <c r="F853" s="219" t="b">
        <v>0</v>
      </c>
      <c r="G853" s="219"/>
    </row>
    <row r="854">
      <c r="A854" s="218">
        <f t="shared" si="1"/>
        <v>853</v>
      </c>
      <c r="B854" s="218" t="s">
        <v>202</v>
      </c>
      <c r="C854" s="218" t="s">
        <v>5103</v>
      </c>
      <c r="D854" s="218" t="b">
        <v>1</v>
      </c>
      <c r="E854" s="219" t="b">
        <v>0</v>
      </c>
      <c r="F854" s="219" t="b">
        <v>0</v>
      </c>
      <c r="G854" s="219"/>
    </row>
    <row r="855">
      <c r="A855" s="218">
        <f t="shared" si="1"/>
        <v>854</v>
      </c>
      <c r="B855" s="218" t="s">
        <v>202</v>
      </c>
      <c r="C855" s="218" t="s">
        <v>3380</v>
      </c>
      <c r="D855" s="218" t="b">
        <v>1</v>
      </c>
      <c r="E855" s="219" t="b">
        <v>0</v>
      </c>
      <c r="F855" s="219" t="b">
        <v>0</v>
      </c>
      <c r="G855" s="219"/>
    </row>
    <row r="856">
      <c r="A856" s="218">
        <f t="shared" si="1"/>
        <v>855</v>
      </c>
      <c r="B856" s="218" t="s">
        <v>202</v>
      </c>
      <c r="C856" s="218" t="s">
        <v>4541</v>
      </c>
      <c r="D856" s="218" t="b">
        <v>1</v>
      </c>
      <c r="E856" s="219" t="b">
        <v>0</v>
      </c>
      <c r="F856" s="219" t="b">
        <v>0</v>
      </c>
      <c r="G856" s="219"/>
    </row>
    <row r="857">
      <c r="A857" s="218">
        <f t="shared" si="1"/>
        <v>856</v>
      </c>
      <c r="B857" s="218" t="s">
        <v>202</v>
      </c>
      <c r="C857" s="218" t="s">
        <v>3682</v>
      </c>
      <c r="D857" s="218" t="b">
        <v>1</v>
      </c>
      <c r="E857" s="219" t="b">
        <v>0</v>
      </c>
      <c r="F857" s="219" t="b">
        <v>0</v>
      </c>
      <c r="G857" s="219"/>
    </row>
    <row r="858">
      <c r="A858" s="218">
        <f t="shared" si="1"/>
        <v>857</v>
      </c>
      <c r="B858" s="218" t="s">
        <v>202</v>
      </c>
      <c r="C858" s="218" t="s">
        <v>3687</v>
      </c>
      <c r="D858" s="218" t="b">
        <v>1</v>
      </c>
      <c r="E858" s="219" t="b">
        <v>0</v>
      </c>
      <c r="F858" s="219" t="b">
        <v>0</v>
      </c>
      <c r="G858" s="219"/>
    </row>
    <row r="859">
      <c r="A859" s="218">
        <f t="shared" si="1"/>
        <v>858</v>
      </c>
      <c r="B859" s="218" t="s">
        <v>202</v>
      </c>
      <c r="C859" s="218" t="s">
        <v>3608</v>
      </c>
      <c r="D859" s="218" t="b">
        <v>1</v>
      </c>
      <c r="E859" s="219" t="b">
        <v>0</v>
      </c>
      <c r="F859" s="219" t="b">
        <v>0</v>
      </c>
      <c r="G859" s="219"/>
    </row>
    <row r="860">
      <c r="A860" s="218">
        <f t="shared" si="1"/>
        <v>859</v>
      </c>
      <c r="B860" s="218" t="s">
        <v>202</v>
      </c>
      <c r="C860" s="218" t="s">
        <v>3643</v>
      </c>
      <c r="D860" s="218" t="b">
        <v>1</v>
      </c>
      <c r="E860" s="219" t="b">
        <v>0</v>
      </c>
      <c r="F860" s="219" t="b">
        <v>0</v>
      </c>
      <c r="G860" s="219"/>
    </row>
    <row r="861">
      <c r="A861" s="218">
        <f t="shared" si="1"/>
        <v>860</v>
      </c>
      <c r="B861" s="218" t="s">
        <v>202</v>
      </c>
      <c r="C861" s="218" t="s">
        <v>3648</v>
      </c>
      <c r="D861" s="218" t="b">
        <v>1</v>
      </c>
      <c r="E861" s="219" t="b">
        <v>0</v>
      </c>
      <c r="F861" s="219" t="b">
        <v>0</v>
      </c>
      <c r="G861" s="219"/>
    </row>
    <row r="862">
      <c r="A862" s="218">
        <f t="shared" si="1"/>
        <v>861</v>
      </c>
      <c r="B862" s="218" t="s">
        <v>202</v>
      </c>
      <c r="C862" s="218" t="s">
        <v>3653</v>
      </c>
      <c r="D862" s="218" t="b">
        <v>1</v>
      </c>
      <c r="E862" s="219" t="b">
        <v>0</v>
      </c>
      <c r="F862" s="219" t="b">
        <v>0</v>
      </c>
      <c r="G862" s="219"/>
    </row>
    <row r="863">
      <c r="A863" s="218">
        <f t="shared" si="1"/>
        <v>862</v>
      </c>
      <c r="B863" s="218" t="s">
        <v>202</v>
      </c>
      <c r="C863" s="218" t="s">
        <v>4759</v>
      </c>
      <c r="D863" s="218" t="b">
        <v>1</v>
      </c>
      <c r="E863" s="219" t="b">
        <v>0</v>
      </c>
      <c r="F863" s="219" t="b">
        <v>0</v>
      </c>
      <c r="G863" s="219"/>
    </row>
    <row r="864">
      <c r="A864" s="218">
        <f t="shared" si="1"/>
        <v>863</v>
      </c>
      <c r="B864" s="218" t="s">
        <v>202</v>
      </c>
      <c r="C864" s="218" t="s">
        <v>3742</v>
      </c>
      <c r="D864" s="218" t="b">
        <v>1</v>
      </c>
      <c r="E864" s="219" t="b">
        <v>0</v>
      </c>
      <c r="F864" s="219" t="b">
        <v>0</v>
      </c>
      <c r="G864" s="219"/>
    </row>
    <row r="865">
      <c r="A865" s="218">
        <f t="shared" si="1"/>
        <v>864</v>
      </c>
      <c r="B865" s="218" t="s">
        <v>202</v>
      </c>
      <c r="C865" s="218" t="s">
        <v>3433</v>
      </c>
      <c r="D865" s="218" t="b">
        <v>1</v>
      </c>
      <c r="E865" s="219" t="b">
        <v>0</v>
      </c>
      <c r="F865" s="219" t="b">
        <v>0</v>
      </c>
      <c r="G865" s="219"/>
    </row>
    <row r="866">
      <c r="A866" s="218">
        <f t="shared" si="1"/>
        <v>865</v>
      </c>
      <c r="B866" s="218" t="s">
        <v>202</v>
      </c>
      <c r="C866" s="218" t="s">
        <v>2654</v>
      </c>
      <c r="D866" s="218" t="b">
        <v>1</v>
      </c>
      <c r="E866" s="219" t="b">
        <v>0</v>
      </c>
      <c r="F866" s="219" t="b">
        <v>0</v>
      </c>
      <c r="G866" s="219"/>
    </row>
    <row r="867">
      <c r="A867" s="218">
        <f t="shared" si="1"/>
        <v>866</v>
      </c>
      <c r="B867" s="218" t="s">
        <v>202</v>
      </c>
      <c r="C867" s="218" t="s">
        <v>3399</v>
      </c>
      <c r="D867" s="218" t="b">
        <v>1</v>
      </c>
      <c r="E867" s="219" t="b">
        <v>0</v>
      </c>
      <c r="F867" s="219" t="b">
        <v>0</v>
      </c>
      <c r="G867" s="219"/>
    </row>
    <row r="868">
      <c r="A868" s="218">
        <f t="shared" si="1"/>
        <v>867</v>
      </c>
      <c r="B868" s="218" t="s">
        <v>202</v>
      </c>
      <c r="C868" s="218" t="s">
        <v>4577</v>
      </c>
      <c r="D868" s="218" t="b">
        <v>1</v>
      </c>
      <c r="E868" s="219" t="b">
        <v>0</v>
      </c>
      <c r="F868" s="219" t="b">
        <v>0</v>
      </c>
      <c r="G868" s="219"/>
    </row>
    <row r="869">
      <c r="A869" s="218">
        <f t="shared" si="1"/>
        <v>868</v>
      </c>
      <c r="B869" s="218" t="s">
        <v>202</v>
      </c>
      <c r="C869" s="218" t="s">
        <v>3390</v>
      </c>
      <c r="D869" s="218" t="b">
        <v>1</v>
      </c>
      <c r="E869" s="219" t="b">
        <v>0</v>
      </c>
      <c r="F869" s="219" t="b">
        <v>0</v>
      </c>
      <c r="G869" s="219"/>
    </row>
    <row r="870">
      <c r="A870" s="218">
        <f t="shared" si="1"/>
        <v>869</v>
      </c>
      <c r="B870" s="218" t="s">
        <v>202</v>
      </c>
      <c r="C870" s="218" t="s">
        <v>3375</v>
      </c>
      <c r="D870" s="218" t="b">
        <v>1</v>
      </c>
      <c r="E870" s="219" t="b">
        <v>0</v>
      </c>
      <c r="F870" s="219" t="b">
        <v>0</v>
      </c>
      <c r="G870" s="219"/>
    </row>
    <row r="871">
      <c r="A871" s="218">
        <f t="shared" si="1"/>
        <v>870</v>
      </c>
      <c r="B871" s="218" t="s">
        <v>202</v>
      </c>
      <c r="C871" s="218" t="s">
        <v>3395</v>
      </c>
      <c r="D871" s="218" t="b">
        <v>1</v>
      </c>
      <c r="E871" s="219" t="b">
        <v>0</v>
      </c>
      <c r="F871" s="219" t="b">
        <v>0</v>
      </c>
      <c r="G871" s="219"/>
    </row>
    <row r="872">
      <c r="A872" s="218">
        <f t="shared" si="1"/>
        <v>871</v>
      </c>
      <c r="B872" s="218" t="s">
        <v>202</v>
      </c>
      <c r="C872" s="218" t="s">
        <v>3395</v>
      </c>
      <c r="D872" s="218" t="b">
        <v>1</v>
      </c>
      <c r="E872" s="219" t="b">
        <v>0</v>
      </c>
      <c r="F872" s="219" t="b">
        <v>0</v>
      </c>
      <c r="G872" s="219"/>
    </row>
    <row r="873">
      <c r="A873" s="218">
        <f t="shared" si="1"/>
        <v>872</v>
      </c>
      <c r="B873" s="218" t="s">
        <v>202</v>
      </c>
      <c r="C873" s="218" t="s">
        <v>3407</v>
      </c>
      <c r="D873" s="218" t="b">
        <v>1</v>
      </c>
      <c r="E873" s="219" t="b">
        <v>0</v>
      </c>
      <c r="F873" s="219" t="b">
        <v>0</v>
      </c>
      <c r="G873" s="219"/>
    </row>
    <row r="874">
      <c r="A874" s="218">
        <f t="shared" si="1"/>
        <v>873</v>
      </c>
      <c r="B874" s="218" t="s">
        <v>202</v>
      </c>
      <c r="C874" s="218" t="s">
        <v>4902</v>
      </c>
      <c r="D874" s="218" t="b">
        <v>1</v>
      </c>
      <c r="E874" s="219" t="b">
        <v>0</v>
      </c>
      <c r="F874" s="219" t="b">
        <v>0</v>
      </c>
      <c r="G874" s="219"/>
    </row>
    <row r="875">
      <c r="A875" s="218">
        <f t="shared" si="1"/>
        <v>874</v>
      </c>
      <c r="B875" s="218" t="s">
        <v>202</v>
      </c>
      <c r="C875" s="218" t="s">
        <v>3385</v>
      </c>
      <c r="D875" s="218" t="b">
        <v>1</v>
      </c>
      <c r="E875" s="219" t="b">
        <v>0</v>
      </c>
      <c r="F875" s="219" t="b">
        <v>0</v>
      </c>
      <c r="G875" s="219"/>
    </row>
    <row r="876">
      <c r="A876" s="218">
        <f t="shared" si="1"/>
        <v>875</v>
      </c>
      <c r="B876" s="218" t="s">
        <v>202</v>
      </c>
      <c r="C876" s="218" t="s">
        <v>3448</v>
      </c>
      <c r="D876" s="218" t="b">
        <v>1</v>
      </c>
      <c r="E876" s="219" t="b">
        <v>0</v>
      </c>
      <c r="F876" s="219" t="b">
        <v>0</v>
      </c>
      <c r="G876" s="219"/>
    </row>
    <row r="877">
      <c r="A877" s="218">
        <f t="shared" si="1"/>
        <v>876</v>
      </c>
      <c r="B877" s="218" t="s">
        <v>202</v>
      </c>
      <c r="C877" s="218" t="s">
        <v>3458</v>
      </c>
      <c r="D877" s="218" t="b">
        <v>1</v>
      </c>
      <c r="E877" s="219" t="b">
        <v>0</v>
      </c>
      <c r="F877" s="219" t="b">
        <v>0</v>
      </c>
      <c r="G877" s="219"/>
    </row>
    <row r="878">
      <c r="A878" s="218">
        <f t="shared" si="1"/>
        <v>877</v>
      </c>
      <c r="B878" s="218" t="s">
        <v>202</v>
      </c>
      <c r="C878" s="218" t="s">
        <v>3468</v>
      </c>
      <c r="D878" s="218" t="b">
        <v>1</v>
      </c>
      <c r="E878" s="219" t="b">
        <v>0</v>
      </c>
      <c r="F878" s="219" t="b">
        <v>0</v>
      </c>
      <c r="G878" s="219"/>
    </row>
    <row r="879">
      <c r="A879" s="218">
        <f t="shared" si="1"/>
        <v>878</v>
      </c>
      <c r="B879" s="218" t="s">
        <v>202</v>
      </c>
      <c r="C879" s="218" t="s">
        <v>5274</v>
      </c>
      <c r="D879" s="218" t="b">
        <v>1</v>
      </c>
      <c r="E879" s="219" t="b">
        <v>0</v>
      </c>
      <c r="F879" s="219" t="b">
        <v>0</v>
      </c>
      <c r="G879" s="219"/>
    </row>
    <row r="880">
      <c r="A880" s="218">
        <f t="shared" si="1"/>
        <v>879</v>
      </c>
      <c r="B880" s="218" t="s">
        <v>202</v>
      </c>
      <c r="C880" s="218" t="s">
        <v>3629</v>
      </c>
      <c r="D880" s="218" t="b">
        <v>1</v>
      </c>
      <c r="E880" s="219" t="b">
        <v>0</v>
      </c>
      <c r="F880" s="219" t="b">
        <v>0</v>
      </c>
      <c r="G880" s="219"/>
    </row>
    <row r="881">
      <c r="A881" s="218">
        <f t="shared" si="1"/>
        <v>880</v>
      </c>
      <c r="B881" s="218" t="s">
        <v>202</v>
      </c>
      <c r="C881" s="218" t="s">
        <v>3639</v>
      </c>
      <c r="D881" s="218" t="b">
        <v>1</v>
      </c>
      <c r="E881" s="219" t="b">
        <v>0</v>
      </c>
      <c r="F881" s="219" t="b">
        <v>0</v>
      </c>
      <c r="G881" s="219"/>
    </row>
    <row r="882">
      <c r="A882" s="218">
        <f t="shared" si="1"/>
        <v>881</v>
      </c>
      <c r="B882" s="218" t="s">
        <v>202</v>
      </c>
      <c r="C882" s="218" t="s">
        <v>4602</v>
      </c>
      <c r="D882" s="218" t="b">
        <v>1</v>
      </c>
      <c r="E882" s="219" t="b">
        <v>0</v>
      </c>
      <c r="F882" s="219" t="b">
        <v>0</v>
      </c>
      <c r="G882" s="219"/>
    </row>
    <row r="883">
      <c r="A883" s="218">
        <f t="shared" si="1"/>
        <v>882</v>
      </c>
      <c r="B883" s="218" t="s">
        <v>202</v>
      </c>
      <c r="C883" s="218" t="s">
        <v>3668</v>
      </c>
      <c r="D883" s="218" t="b">
        <v>1</v>
      </c>
      <c r="E883" s="219" t="b">
        <v>0</v>
      </c>
      <c r="F883" s="219" t="b">
        <v>0</v>
      </c>
      <c r="G883" s="219"/>
    </row>
    <row r="884">
      <c r="A884" s="218">
        <f t="shared" si="1"/>
        <v>883</v>
      </c>
      <c r="B884" s="218" t="s">
        <v>202</v>
      </c>
      <c r="C884" s="218" t="s">
        <v>3463</v>
      </c>
      <c r="D884" s="218" t="b">
        <v>1</v>
      </c>
      <c r="E884" s="219" t="b">
        <v>0</v>
      </c>
      <c r="F884" s="219" t="b">
        <v>0</v>
      </c>
      <c r="G884" s="219"/>
    </row>
    <row r="885">
      <c r="A885" s="218">
        <f t="shared" si="1"/>
        <v>884</v>
      </c>
      <c r="B885" s="218" t="s">
        <v>202</v>
      </c>
      <c r="C885" s="218" t="s">
        <v>3443</v>
      </c>
      <c r="D885" s="218" t="b">
        <v>1</v>
      </c>
      <c r="E885" s="219" t="b">
        <v>0</v>
      </c>
      <c r="F885" s="219" t="b">
        <v>0</v>
      </c>
      <c r="G885" s="219"/>
    </row>
    <row r="886">
      <c r="A886" s="218">
        <f t="shared" si="1"/>
        <v>885</v>
      </c>
      <c r="B886" s="218" t="s">
        <v>202</v>
      </c>
      <c r="C886" s="218" t="s">
        <v>3697</v>
      </c>
      <c r="D886" s="218" t="b">
        <v>1</v>
      </c>
      <c r="E886" s="219" t="b">
        <v>0</v>
      </c>
      <c r="F886" s="219" t="b">
        <v>0</v>
      </c>
      <c r="G886" s="219"/>
    </row>
    <row r="887">
      <c r="A887" s="218">
        <f t="shared" si="1"/>
        <v>886</v>
      </c>
      <c r="B887" s="218" t="s">
        <v>202</v>
      </c>
      <c r="C887" s="218" t="s">
        <v>4796</v>
      </c>
      <c r="D887" s="218" t="b">
        <v>1</v>
      </c>
      <c r="E887" s="219" t="b">
        <v>0</v>
      </c>
      <c r="F887" s="219" t="b">
        <v>0</v>
      </c>
      <c r="G887" s="219"/>
    </row>
    <row r="888">
      <c r="A888" s="218">
        <f t="shared" si="1"/>
        <v>887</v>
      </c>
      <c r="B888" s="218" t="s">
        <v>202</v>
      </c>
      <c r="C888" s="218" t="s">
        <v>3712</v>
      </c>
      <c r="D888" s="218" t="b">
        <v>1</v>
      </c>
      <c r="E888" s="219" t="b">
        <v>0</v>
      </c>
      <c r="F888" s="219" t="b">
        <v>0</v>
      </c>
      <c r="G888" s="219"/>
    </row>
    <row r="889">
      <c r="A889" s="218">
        <f t="shared" si="1"/>
        <v>888</v>
      </c>
      <c r="B889" s="218" t="s">
        <v>202</v>
      </c>
      <c r="C889" s="218" t="s">
        <v>2226</v>
      </c>
      <c r="D889" s="218" t="b">
        <v>1</v>
      </c>
      <c r="E889" s="219" t="b">
        <v>0</v>
      </c>
      <c r="F889" s="219" t="b">
        <v>0</v>
      </c>
      <c r="G889" s="219"/>
    </row>
    <row r="890">
      <c r="A890" s="218">
        <f t="shared" si="1"/>
        <v>889</v>
      </c>
      <c r="B890" s="218" t="s">
        <v>202</v>
      </c>
      <c r="C890" s="218" t="s">
        <v>3429</v>
      </c>
      <c r="D890" s="218" t="b">
        <v>1</v>
      </c>
      <c r="E890" s="219" t="b">
        <v>0</v>
      </c>
      <c r="F890" s="219" t="b">
        <v>0</v>
      </c>
      <c r="G890" s="219"/>
    </row>
    <row r="891">
      <c r="A891" s="218">
        <f t="shared" si="1"/>
        <v>890</v>
      </c>
      <c r="B891" s="218" t="s">
        <v>202</v>
      </c>
      <c r="C891" s="218" t="s">
        <v>3482</v>
      </c>
      <c r="D891" s="218" t="b">
        <v>1</v>
      </c>
      <c r="E891" s="219" t="b">
        <v>0</v>
      </c>
      <c r="F891" s="219" t="b">
        <v>0</v>
      </c>
      <c r="G891" s="219"/>
    </row>
    <row r="892">
      <c r="A892" s="218">
        <f t="shared" si="1"/>
        <v>891</v>
      </c>
      <c r="B892" s="218" t="s">
        <v>202</v>
      </c>
      <c r="C892" s="218" t="s">
        <v>4588</v>
      </c>
      <c r="D892" s="218" t="b">
        <v>1</v>
      </c>
      <c r="E892" s="219" t="b">
        <v>0</v>
      </c>
      <c r="F892" s="219" t="b">
        <v>0</v>
      </c>
      <c r="G892" s="219"/>
    </row>
    <row r="893">
      <c r="A893" s="218">
        <f t="shared" si="1"/>
        <v>892</v>
      </c>
      <c r="B893" s="218" t="s">
        <v>202</v>
      </c>
      <c r="C893" s="218" t="s">
        <v>3552</v>
      </c>
      <c r="D893" s="218" t="b">
        <v>1</v>
      </c>
      <c r="E893" s="219" t="b">
        <v>0</v>
      </c>
      <c r="F893" s="219" t="b">
        <v>0</v>
      </c>
      <c r="G893" s="219"/>
    </row>
    <row r="894">
      <c r="A894" s="218">
        <f t="shared" si="1"/>
        <v>893</v>
      </c>
      <c r="B894" s="218" t="s">
        <v>202</v>
      </c>
      <c r="C894" s="218" t="s">
        <v>4433</v>
      </c>
      <c r="D894" s="218" t="b">
        <v>1</v>
      </c>
      <c r="E894" s="219" t="b">
        <v>0</v>
      </c>
      <c r="F894" s="219" t="b">
        <v>0</v>
      </c>
      <c r="G894" s="219"/>
    </row>
    <row r="895">
      <c r="A895" s="218">
        <f t="shared" si="1"/>
        <v>894</v>
      </c>
      <c r="B895" s="218" t="s">
        <v>202</v>
      </c>
      <c r="C895" s="218" t="s">
        <v>3415</v>
      </c>
      <c r="D895" s="218" t="b">
        <v>1</v>
      </c>
      <c r="E895" s="219" t="b">
        <v>0</v>
      </c>
      <c r="F895" s="219" t="b">
        <v>0</v>
      </c>
      <c r="G895" s="219"/>
    </row>
    <row r="896">
      <c r="A896" s="218">
        <f t="shared" si="1"/>
        <v>895</v>
      </c>
      <c r="B896" s="218" t="s">
        <v>202</v>
      </c>
      <c r="C896" s="218" t="s">
        <v>2356</v>
      </c>
      <c r="D896" s="218" t="b">
        <v>1</v>
      </c>
      <c r="E896" s="219" t="b">
        <v>0</v>
      </c>
      <c r="F896" s="219" t="b">
        <v>0</v>
      </c>
      <c r="G896" s="219"/>
    </row>
    <row r="897">
      <c r="A897" s="218">
        <f t="shared" si="1"/>
        <v>896</v>
      </c>
      <c r="B897" s="218" t="s">
        <v>202</v>
      </c>
      <c r="C897" s="218" t="s">
        <v>5231</v>
      </c>
      <c r="D897" s="218" t="b">
        <v>1</v>
      </c>
      <c r="E897" s="219" t="b">
        <v>0</v>
      </c>
      <c r="F897" s="219" t="b">
        <v>0</v>
      </c>
      <c r="G897" s="219"/>
    </row>
    <row r="898">
      <c r="A898" s="218">
        <f t="shared" si="1"/>
        <v>897</v>
      </c>
      <c r="B898" s="218" t="s">
        <v>202</v>
      </c>
      <c r="C898" s="218" t="s">
        <v>3566</v>
      </c>
      <c r="D898" s="218" t="b">
        <v>1</v>
      </c>
      <c r="E898" s="219" t="b">
        <v>0</v>
      </c>
      <c r="F898" s="219" t="b">
        <v>0</v>
      </c>
      <c r="G898" s="219"/>
    </row>
    <row r="899">
      <c r="A899" s="218">
        <f t="shared" si="1"/>
        <v>898</v>
      </c>
      <c r="B899" s="218" t="s">
        <v>202</v>
      </c>
      <c r="C899" s="218" t="s">
        <v>3561</v>
      </c>
      <c r="D899" s="218" t="b">
        <v>1</v>
      </c>
      <c r="E899" s="219" t="b">
        <v>0</v>
      </c>
      <c r="F899" s="219" t="b">
        <v>0</v>
      </c>
      <c r="G899" s="219"/>
    </row>
    <row r="900">
      <c r="A900" s="218">
        <f t="shared" si="1"/>
        <v>899</v>
      </c>
      <c r="B900" s="218" t="s">
        <v>202</v>
      </c>
      <c r="C900" s="218" t="s">
        <v>3477</v>
      </c>
      <c r="D900" s="218" t="b">
        <v>1</v>
      </c>
      <c r="E900" s="219" t="b">
        <v>0</v>
      </c>
      <c r="F900" s="219" t="b">
        <v>0</v>
      </c>
      <c r="G900" s="219"/>
    </row>
    <row r="901">
      <c r="A901" s="218">
        <f t="shared" si="1"/>
        <v>900</v>
      </c>
      <c r="B901" s="218" t="s">
        <v>202</v>
      </c>
      <c r="C901" s="218" t="s">
        <v>4627</v>
      </c>
      <c r="D901" s="218" t="b">
        <v>1</v>
      </c>
      <c r="E901" s="219" t="b">
        <v>0</v>
      </c>
      <c r="F901" s="219" t="b">
        <v>0</v>
      </c>
      <c r="G901" s="219"/>
    </row>
    <row r="902">
      <c r="A902" s="218">
        <f t="shared" si="1"/>
        <v>901</v>
      </c>
      <c r="B902" s="218" t="s">
        <v>202</v>
      </c>
      <c r="C902" s="218" t="s">
        <v>3693</v>
      </c>
      <c r="D902" s="218" t="b">
        <v>1</v>
      </c>
      <c r="E902" s="219" t="b">
        <v>0</v>
      </c>
      <c r="F902" s="219" t="b">
        <v>0</v>
      </c>
      <c r="G902" s="219"/>
    </row>
    <row r="903">
      <c r="A903" s="218">
        <f t="shared" si="1"/>
        <v>902</v>
      </c>
      <c r="B903" s="218" t="s">
        <v>202</v>
      </c>
      <c r="C903" s="218" t="s">
        <v>3662</v>
      </c>
      <c r="D903" s="218" t="b">
        <v>1</v>
      </c>
      <c r="E903" s="219" t="b">
        <v>0</v>
      </c>
      <c r="F903" s="219" t="b">
        <v>0</v>
      </c>
      <c r="G903" s="219"/>
    </row>
    <row r="904">
      <c r="A904" s="218">
        <f t="shared" si="1"/>
        <v>903</v>
      </c>
      <c r="B904" s="218" t="s">
        <v>202</v>
      </c>
      <c r="C904" s="218" t="s">
        <v>3501</v>
      </c>
      <c r="D904" s="218" t="b">
        <v>1</v>
      </c>
      <c r="E904" s="219" t="b">
        <v>0</v>
      </c>
      <c r="F904" s="219" t="b">
        <v>0</v>
      </c>
      <c r="G904" s="219"/>
    </row>
    <row r="905">
      <c r="A905" s="218">
        <f t="shared" si="1"/>
        <v>904</v>
      </c>
      <c r="B905" s="218" t="s">
        <v>202</v>
      </c>
      <c r="C905" s="218" t="s">
        <v>3570</v>
      </c>
      <c r="D905" s="218" t="b">
        <v>1</v>
      </c>
      <c r="E905" s="219" t="b">
        <v>0</v>
      </c>
      <c r="F905" s="219" t="b">
        <v>0</v>
      </c>
      <c r="G905" s="219"/>
    </row>
    <row r="906">
      <c r="A906" s="218">
        <f t="shared" si="1"/>
        <v>905</v>
      </c>
      <c r="B906" s="218" t="s">
        <v>202</v>
      </c>
      <c r="C906" s="218" t="s">
        <v>3604</v>
      </c>
      <c r="D906" s="218" t="b">
        <v>1</v>
      </c>
      <c r="E906" s="219" t="b">
        <v>0</v>
      </c>
      <c r="F906" s="219" t="b">
        <v>0</v>
      </c>
      <c r="G906" s="219"/>
    </row>
    <row r="907">
      <c r="A907" s="218">
        <f t="shared" si="1"/>
        <v>906</v>
      </c>
      <c r="B907" s="218" t="s">
        <v>202</v>
      </c>
      <c r="C907" s="218" t="s">
        <v>4616</v>
      </c>
      <c r="D907" s="218" t="b">
        <v>1</v>
      </c>
      <c r="E907" s="219" t="b">
        <v>0</v>
      </c>
      <c r="F907" s="219" t="b">
        <v>0</v>
      </c>
      <c r="G907" s="219"/>
    </row>
    <row r="908">
      <c r="A908" s="218">
        <f t="shared" si="1"/>
        <v>907</v>
      </c>
      <c r="B908" s="218" t="s">
        <v>202</v>
      </c>
      <c r="C908" s="218" t="s">
        <v>3613</v>
      </c>
      <c r="D908" s="218" t="b">
        <v>1</v>
      </c>
      <c r="E908" s="219" t="b">
        <v>0</v>
      </c>
      <c r="F908" s="219" t="b">
        <v>0</v>
      </c>
      <c r="G908" s="219"/>
    </row>
    <row r="909">
      <c r="A909" s="218">
        <f t="shared" si="1"/>
        <v>908</v>
      </c>
      <c r="B909" s="218" t="s">
        <v>202</v>
      </c>
      <c r="C909" s="218" t="s">
        <v>4582</v>
      </c>
      <c r="D909" s="218" t="b">
        <v>1</v>
      </c>
      <c r="E909" s="219" t="b">
        <v>0</v>
      </c>
      <c r="F909" s="219" t="b">
        <v>0</v>
      </c>
      <c r="G909" s="219"/>
    </row>
    <row r="910">
      <c r="A910" s="218">
        <f t="shared" si="1"/>
        <v>909</v>
      </c>
      <c r="B910" s="218" t="s">
        <v>202</v>
      </c>
      <c r="C910" s="218" t="s">
        <v>3531</v>
      </c>
      <c r="D910" s="218" t="b">
        <v>1</v>
      </c>
      <c r="E910" s="219" t="b">
        <v>0</v>
      </c>
      <c r="F910" s="219" t="b">
        <v>0</v>
      </c>
      <c r="G910" s="219"/>
    </row>
    <row r="911">
      <c r="A911" s="218">
        <f t="shared" si="1"/>
        <v>910</v>
      </c>
      <c r="B911" s="218" t="s">
        <v>202</v>
      </c>
      <c r="C911" s="218" t="s">
        <v>3511</v>
      </c>
      <c r="D911" s="218" t="b">
        <v>1</v>
      </c>
      <c r="E911" s="219" t="b">
        <v>0</v>
      </c>
      <c r="F911" s="219" t="b">
        <v>0</v>
      </c>
      <c r="G911" s="219"/>
    </row>
    <row r="912">
      <c r="A912" s="218">
        <f t="shared" si="1"/>
        <v>911</v>
      </c>
      <c r="B912" s="218" t="s">
        <v>202</v>
      </c>
      <c r="C912" s="218" t="s">
        <v>1942</v>
      </c>
      <c r="D912" s="218" t="b">
        <v>1</v>
      </c>
      <c r="E912" s="219" t="b">
        <v>0</v>
      </c>
      <c r="F912" s="219" t="b">
        <v>0</v>
      </c>
      <c r="G912" s="219"/>
    </row>
    <row r="913">
      <c r="A913" s="218">
        <f t="shared" si="1"/>
        <v>912</v>
      </c>
      <c r="B913" s="218" t="s">
        <v>202</v>
      </c>
      <c r="C913" s="218" t="s">
        <v>3516</v>
      </c>
      <c r="D913" s="218" t="b">
        <v>1</v>
      </c>
      <c r="E913" s="219" t="b">
        <v>0</v>
      </c>
      <c r="F913" s="219" t="b">
        <v>0</v>
      </c>
      <c r="G913" s="219"/>
    </row>
    <row r="914">
      <c r="A914" s="218">
        <f t="shared" si="1"/>
        <v>913</v>
      </c>
      <c r="B914" s="218" t="s">
        <v>202</v>
      </c>
      <c r="C914" s="218" t="s">
        <v>4712</v>
      </c>
      <c r="D914" s="218" t="b">
        <v>1</v>
      </c>
      <c r="E914" s="219" t="b">
        <v>0</v>
      </c>
      <c r="F914" s="219" t="b">
        <v>0</v>
      </c>
      <c r="G914" s="219"/>
    </row>
    <row r="915">
      <c r="A915" s="218">
        <f t="shared" si="1"/>
        <v>914</v>
      </c>
      <c r="B915" s="218" t="s">
        <v>202</v>
      </c>
      <c r="C915" s="218" t="s">
        <v>3521</v>
      </c>
      <c r="D915" s="218" t="b">
        <v>1</v>
      </c>
      <c r="E915" s="219" t="b">
        <v>0</v>
      </c>
      <c r="F915" s="219" t="b">
        <v>0</v>
      </c>
      <c r="G915" s="219"/>
    </row>
    <row r="916">
      <c r="A916" s="218">
        <f t="shared" si="1"/>
        <v>915</v>
      </c>
      <c r="B916" s="218" t="s">
        <v>202</v>
      </c>
      <c r="C916" s="218" t="s">
        <v>4606</v>
      </c>
      <c r="D916" s="218" t="b">
        <v>1</v>
      </c>
      <c r="E916" s="219" t="b">
        <v>0</v>
      </c>
      <c r="F916" s="219" t="b">
        <v>0</v>
      </c>
      <c r="G916" s="219"/>
    </row>
    <row r="917">
      <c r="A917" s="218">
        <f t="shared" si="1"/>
        <v>916</v>
      </c>
      <c r="B917" s="218" t="s">
        <v>202</v>
      </c>
      <c r="C917" s="218" t="s">
        <v>4117</v>
      </c>
      <c r="D917" s="218" t="b">
        <v>1</v>
      </c>
      <c r="E917" s="219" t="b">
        <v>0</v>
      </c>
      <c r="F917" s="219" t="b">
        <v>0</v>
      </c>
      <c r="G917" s="219"/>
    </row>
    <row r="918">
      <c r="A918" s="218">
        <f t="shared" si="1"/>
        <v>917</v>
      </c>
      <c r="B918" s="218" t="s">
        <v>202</v>
      </c>
      <c r="C918" s="218" t="s">
        <v>4897</v>
      </c>
      <c r="D918" s="218" t="b">
        <v>1</v>
      </c>
      <c r="E918" s="219" t="b">
        <v>0</v>
      </c>
      <c r="F918" s="219" t="b">
        <v>0</v>
      </c>
      <c r="G918" s="219"/>
    </row>
    <row r="919">
      <c r="A919" s="218">
        <f t="shared" si="1"/>
        <v>918</v>
      </c>
      <c r="B919" s="218" t="s">
        <v>202</v>
      </c>
      <c r="C919" s="218" t="s">
        <v>2398</v>
      </c>
      <c r="D919" s="218" t="b">
        <v>1</v>
      </c>
      <c r="E919" s="219" t="b">
        <v>0</v>
      </c>
      <c r="F919" s="219" t="b">
        <v>0</v>
      </c>
      <c r="G919" s="219"/>
    </row>
    <row r="920">
      <c r="A920" s="218">
        <f t="shared" si="1"/>
        <v>919</v>
      </c>
      <c r="B920" s="218" t="s">
        <v>202</v>
      </c>
      <c r="C920" s="218" t="s">
        <v>4136</v>
      </c>
      <c r="D920" s="218" t="b">
        <v>1</v>
      </c>
      <c r="E920" s="219" t="b">
        <v>0</v>
      </c>
      <c r="F920" s="219" t="b">
        <v>0</v>
      </c>
      <c r="G920" s="219"/>
    </row>
    <row r="921">
      <c r="A921" s="218">
        <f t="shared" si="1"/>
        <v>920</v>
      </c>
      <c r="B921" s="218" t="s">
        <v>202</v>
      </c>
      <c r="C921" s="218" t="s">
        <v>4107</v>
      </c>
      <c r="D921" s="218" t="b">
        <v>1</v>
      </c>
      <c r="E921" s="219" t="b">
        <v>0</v>
      </c>
      <c r="F921" s="219" t="b">
        <v>0</v>
      </c>
      <c r="G921" s="219"/>
    </row>
    <row r="922">
      <c r="A922" s="218">
        <f t="shared" si="1"/>
        <v>921</v>
      </c>
      <c r="B922" s="218" t="s">
        <v>202</v>
      </c>
      <c r="C922" s="218" t="s">
        <v>4107</v>
      </c>
      <c r="D922" s="218" t="b">
        <v>1</v>
      </c>
      <c r="E922" s="219" t="b">
        <v>0</v>
      </c>
      <c r="F922" s="219" t="b">
        <v>0</v>
      </c>
      <c r="G922" s="219"/>
    </row>
    <row r="923">
      <c r="A923" s="218">
        <f t="shared" si="1"/>
        <v>922</v>
      </c>
      <c r="B923" s="218" t="s">
        <v>202</v>
      </c>
      <c r="C923" s="218" t="s">
        <v>4864</v>
      </c>
      <c r="D923" s="218" t="b">
        <v>1</v>
      </c>
      <c r="E923" s="219" t="b">
        <v>0</v>
      </c>
      <c r="F923" s="219" t="b">
        <v>0</v>
      </c>
      <c r="G923" s="219"/>
    </row>
    <row r="924">
      <c r="A924" s="218">
        <f t="shared" si="1"/>
        <v>923</v>
      </c>
      <c r="B924" s="218" t="s">
        <v>202</v>
      </c>
      <c r="C924" s="218" t="s">
        <v>5317</v>
      </c>
      <c r="D924" s="218" t="b">
        <v>1</v>
      </c>
      <c r="E924" s="219" t="b">
        <v>0</v>
      </c>
      <c r="F924" s="219" t="b">
        <v>0</v>
      </c>
      <c r="G924" s="219"/>
    </row>
    <row r="925">
      <c r="A925" s="218">
        <f t="shared" si="1"/>
        <v>924</v>
      </c>
      <c r="B925" s="218" t="s">
        <v>202</v>
      </c>
      <c r="C925" s="218" t="s">
        <v>4065</v>
      </c>
      <c r="D925" s="218" t="b">
        <v>1</v>
      </c>
      <c r="E925" s="219" t="b">
        <v>0</v>
      </c>
      <c r="F925" s="219" t="b">
        <v>0</v>
      </c>
      <c r="G925" s="219"/>
    </row>
    <row r="926">
      <c r="A926" s="218">
        <f t="shared" si="1"/>
        <v>925</v>
      </c>
      <c r="B926" s="218" t="s">
        <v>202</v>
      </c>
      <c r="C926" s="218" t="s">
        <v>3873</v>
      </c>
      <c r="D926" s="218" t="b">
        <v>1</v>
      </c>
      <c r="E926" s="219" t="b">
        <v>0</v>
      </c>
      <c r="F926" s="219" t="b">
        <v>0</v>
      </c>
      <c r="G926" s="219"/>
    </row>
    <row r="927">
      <c r="A927" s="218">
        <f t="shared" si="1"/>
        <v>926</v>
      </c>
      <c r="B927" s="218" t="s">
        <v>202</v>
      </c>
      <c r="C927" s="218" t="s">
        <v>4140</v>
      </c>
      <c r="D927" s="218" t="b">
        <v>1</v>
      </c>
      <c r="E927" s="219" t="b">
        <v>0</v>
      </c>
      <c r="F927" s="219" t="b">
        <v>0</v>
      </c>
      <c r="G927" s="219"/>
    </row>
    <row r="928">
      <c r="A928" s="218">
        <f t="shared" si="1"/>
        <v>927</v>
      </c>
      <c r="B928" s="218" t="s">
        <v>202</v>
      </c>
      <c r="C928" s="218" t="s">
        <v>4699</v>
      </c>
      <c r="D928" s="218" t="b">
        <v>1</v>
      </c>
      <c r="E928" s="219" t="b">
        <v>0</v>
      </c>
      <c r="F928" s="219" t="b">
        <v>0</v>
      </c>
      <c r="G928" s="219"/>
    </row>
    <row r="929">
      <c r="A929" s="218">
        <f t="shared" si="1"/>
        <v>928</v>
      </c>
      <c r="B929" s="218" t="s">
        <v>202</v>
      </c>
      <c r="C929" s="218" t="s">
        <v>3982</v>
      </c>
      <c r="D929" s="218" t="b">
        <v>1</v>
      </c>
      <c r="E929" s="219" t="b">
        <v>0</v>
      </c>
      <c r="F929" s="219" t="b">
        <v>0</v>
      </c>
      <c r="G929" s="219"/>
    </row>
    <row r="930">
      <c r="A930" s="218">
        <f t="shared" si="1"/>
        <v>929</v>
      </c>
      <c r="B930" s="218" t="s">
        <v>202</v>
      </c>
      <c r="C930" s="218" t="s">
        <v>3370</v>
      </c>
      <c r="D930" s="218" t="b">
        <v>1</v>
      </c>
      <c r="E930" s="219" t="b">
        <v>0</v>
      </c>
      <c r="F930" s="219" t="b">
        <v>0</v>
      </c>
      <c r="G930" s="219"/>
    </row>
    <row r="931">
      <c r="A931" s="218">
        <f t="shared" si="1"/>
        <v>930</v>
      </c>
      <c r="B931" s="218" t="s">
        <v>202</v>
      </c>
      <c r="C931" s="218" t="s">
        <v>4003</v>
      </c>
      <c r="D931" s="218" t="b">
        <v>1</v>
      </c>
      <c r="E931" s="219" t="b">
        <v>0</v>
      </c>
      <c r="F931" s="219" t="b">
        <v>0</v>
      </c>
      <c r="G931" s="219"/>
    </row>
    <row r="932">
      <c r="A932" s="218">
        <f t="shared" si="1"/>
        <v>931</v>
      </c>
      <c r="B932" s="218" t="s">
        <v>202</v>
      </c>
      <c r="C932" s="218" t="s">
        <v>6313</v>
      </c>
      <c r="D932" s="218" t="b">
        <v>1</v>
      </c>
      <c r="E932" s="219" t="b">
        <v>0</v>
      </c>
      <c r="F932" s="219" t="b">
        <v>0</v>
      </c>
      <c r="G932" s="219"/>
    </row>
    <row r="933">
      <c r="A933" s="218">
        <f t="shared" si="1"/>
        <v>932</v>
      </c>
      <c r="B933" s="218" t="s">
        <v>202</v>
      </c>
      <c r="C933" s="218" t="s">
        <v>4008</v>
      </c>
      <c r="D933" s="218" t="b">
        <v>1</v>
      </c>
      <c r="E933" s="219" t="b">
        <v>0</v>
      </c>
      <c r="F933" s="219" t="b">
        <v>0</v>
      </c>
      <c r="G933" s="219"/>
    </row>
    <row r="934">
      <c r="A934" s="218">
        <f t="shared" si="1"/>
        <v>933</v>
      </c>
      <c r="B934" s="218" t="s">
        <v>202</v>
      </c>
      <c r="C934" s="218" t="s">
        <v>2447</v>
      </c>
      <c r="D934" s="218" t="b">
        <v>1</v>
      </c>
      <c r="E934" s="219" t="b">
        <v>0</v>
      </c>
      <c r="F934" s="219" t="b">
        <v>0</v>
      </c>
      <c r="G934" s="219"/>
    </row>
    <row r="935">
      <c r="A935" s="218">
        <f t="shared" si="1"/>
        <v>934</v>
      </c>
      <c r="B935" s="218" t="s">
        <v>202</v>
      </c>
      <c r="C935" s="218" t="s">
        <v>4033</v>
      </c>
      <c r="D935" s="218" t="b">
        <v>1</v>
      </c>
      <c r="E935" s="219" t="b">
        <v>0</v>
      </c>
      <c r="F935" s="219" t="b">
        <v>0</v>
      </c>
      <c r="G935" s="219"/>
    </row>
    <row r="936">
      <c r="A936" s="218">
        <f t="shared" si="1"/>
        <v>935</v>
      </c>
      <c r="B936" s="218" t="s">
        <v>202</v>
      </c>
      <c r="C936" s="218" t="s">
        <v>1160</v>
      </c>
      <c r="D936" s="218" t="b">
        <v>1</v>
      </c>
      <c r="E936" s="219" t="b">
        <v>0</v>
      </c>
      <c r="F936" s="219" t="b">
        <v>0</v>
      </c>
      <c r="G936" s="219"/>
    </row>
    <row r="937">
      <c r="A937" s="218">
        <f t="shared" si="1"/>
        <v>936</v>
      </c>
      <c r="B937" s="218" t="s">
        <v>202</v>
      </c>
      <c r="C937" s="218" t="s">
        <v>1250</v>
      </c>
      <c r="D937" s="218" t="b">
        <v>1</v>
      </c>
      <c r="E937" s="219" t="b">
        <v>0</v>
      </c>
      <c r="F937" s="219" t="b">
        <v>0</v>
      </c>
      <c r="G937" s="219"/>
    </row>
    <row r="938">
      <c r="A938" s="218">
        <f t="shared" si="1"/>
        <v>937</v>
      </c>
      <c r="B938" s="218" t="s">
        <v>202</v>
      </c>
      <c r="C938" s="218" t="s">
        <v>4017</v>
      </c>
      <c r="D938" s="218" t="b">
        <v>1</v>
      </c>
      <c r="E938" s="219" t="b">
        <v>0</v>
      </c>
      <c r="F938" s="219" t="b">
        <v>0</v>
      </c>
      <c r="G938" s="219"/>
    </row>
    <row r="939">
      <c r="A939" s="218">
        <f t="shared" si="1"/>
        <v>938</v>
      </c>
      <c r="B939" s="218" t="s">
        <v>202</v>
      </c>
      <c r="C939" s="218" t="s">
        <v>4688</v>
      </c>
      <c r="D939" s="218" t="b">
        <v>1</v>
      </c>
      <c r="E939" s="219" t="b">
        <v>0</v>
      </c>
      <c r="F939" s="219" t="b">
        <v>0</v>
      </c>
      <c r="G939" s="219"/>
    </row>
    <row r="940">
      <c r="A940" s="218">
        <f t="shared" si="1"/>
        <v>939</v>
      </c>
      <c r="B940" s="218" t="s">
        <v>202</v>
      </c>
      <c r="C940" s="218" t="s">
        <v>3859</v>
      </c>
      <c r="D940" s="218" t="b">
        <v>1</v>
      </c>
      <c r="E940" s="219" t="b">
        <v>0</v>
      </c>
      <c r="F940" s="219" t="b">
        <v>0</v>
      </c>
      <c r="G940" s="219"/>
    </row>
    <row r="941">
      <c r="A941" s="218">
        <f t="shared" si="1"/>
        <v>940</v>
      </c>
      <c r="B941" s="218" t="s">
        <v>202</v>
      </c>
      <c r="C941" s="218" t="s">
        <v>5311</v>
      </c>
      <c r="D941" s="218" t="b">
        <v>1</v>
      </c>
      <c r="E941" s="219" t="b">
        <v>0</v>
      </c>
      <c r="F941" s="219" t="b">
        <v>0</v>
      </c>
      <c r="G941" s="219"/>
    </row>
    <row r="942">
      <c r="A942" s="218">
        <f t="shared" si="1"/>
        <v>941</v>
      </c>
      <c r="B942" s="218" t="s">
        <v>202</v>
      </c>
      <c r="C942" s="218" t="s">
        <v>4023</v>
      </c>
      <c r="D942" s="218" t="b">
        <v>1</v>
      </c>
      <c r="E942" s="219" t="b">
        <v>0</v>
      </c>
      <c r="F942" s="219" t="b">
        <v>0</v>
      </c>
      <c r="G942" s="219"/>
    </row>
    <row r="943">
      <c r="A943" s="218">
        <f t="shared" si="1"/>
        <v>942</v>
      </c>
      <c r="B943" s="218" t="s">
        <v>202</v>
      </c>
      <c r="C943" s="218" t="s">
        <v>4872</v>
      </c>
      <c r="D943" s="218" t="b">
        <v>1</v>
      </c>
      <c r="E943" s="219" t="b">
        <v>0</v>
      </c>
      <c r="F943" s="219" t="b">
        <v>0</v>
      </c>
      <c r="G943" s="219"/>
    </row>
    <row r="944">
      <c r="A944" s="218">
        <f t="shared" si="1"/>
        <v>943</v>
      </c>
      <c r="B944" s="218" t="s">
        <v>202</v>
      </c>
      <c r="C944" s="218" t="s">
        <v>2126</v>
      </c>
      <c r="D944" s="218" t="b">
        <v>1</v>
      </c>
      <c r="E944" s="219" t="b">
        <v>0</v>
      </c>
      <c r="F944" s="219" t="b">
        <v>0</v>
      </c>
      <c r="G944" s="219"/>
    </row>
    <row r="945">
      <c r="A945" s="218">
        <f t="shared" si="1"/>
        <v>944</v>
      </c>
      <c r="B945" s="218" t="s">
        <v>202</v>
      </c>
      <c r="C945" s="218" t="s">
        <v>4934</v>
      </c>
      <c r="D945" s="218" t="b">
        <v>1</v>
      </c>
      <c r="E945" s="219" t="b">
        <v>0</v>
      </c>
      <c r="F945" s="219" t="b">
        <v>0</v>
      </c>
      <c r="G945" s="219"/>
    </row>
    <row r="946">
      <c r="A946" s="218">
        <f t="shared" si="1"/>
        <v>945</v>
      </c>
      <c r="B946" s="218" t="s">
        <v>202</v>
      </c>
      <c r="C946" s="218" t="s">
        <v>3619</v>
      </c>
      <c r="D946" s="218" t="b">
        <v>1</v>
      </c>
      <c r="E946" s="219" t="b">
        <v>0</v>
      </c>
      <c r="F946" s="219" t="b">
        <v>0</v>
      </c>
      <c r="G946" s="219"/>
    </row>
    <row r="947">
      <c r="A947" s="218">
        <f t="shared" si="1"/>
        <v>946</v>
      </c>
      <c r="B947" s="218" t="s">
        <v>202</v>
      </c>
      <c r="C947" s="218" t="s">
        <v>4953</v>
      </c>
      <c r="D947" s="218" t="b">
        <v>1</v>
      </c>
      <c r="E947" s="219" t="b">
        <v>0</v>
      </c>
      <c r="F947" s="219" t="b">
        <v>0</v>
      </c>
      <c r="G947" s="219"/>
    </row>
    <row r="948">
      <c r="A948" s="218">
        <f t="shared" si="1"/>
        <v>947</v>
      </c>
      <c r="B948" s="218" t="s">
        <v>202</v>
      </c>
      <c r="C948" s="218" t="s">
        <v>4890</v>
      </c>
      <c r="D948" s="218" t="b">
        <v>1</v>
      </c>
      <c r="E948" s="219" t="b">
        <v>0</v>
      </c>
      <c r="F948" s="219" t="b">
        <v>0</v>
      </c>
      <c r="G948" s="219"/>
    </row>
    <row r="949">
      <c r="A949" s="218">
        <f t="shared" si="1"/>
        <v>948</v>
      </c>
      <c r="B949" s="218" t="s">
        <v>202</v>
      </c>
      <c r="C949" s="218" t="s">
        <v>3799</v>
      </c>
      <c r="D949" s="218" t="b">
        <v>1</v>
      </c>
      <c r="E949" s="219" t="b">
        <v>0</v>
      </c>
      <c r="F949" s="219" t="b">
        <v>0</v>
      </c>
      <c r="G949" s="219"/>
    </row>
    <row r="950">
      <c r="A950" s="218">
        <f t="shared" si="1"/>
        <v>949</v>
      </c>
      <c r="B950" s="218" t="s">
        <v>202</v>
      </c>
      <c r="C950" s="218" t="s">
        <v>3756</v>
      </c>
      <c r="D950" s="218" t="b">
        <v>1</v>
      </c>
      <c r="E950" s="219" t="b">
        <v>0</v>
      </c>
      <c r="F950" s="219" t="b">
        <v>0</v>
      </c>
      <c r="G950" s="219"/>
    </row>
    <row r="951">
      <c r="A951" s="218">
        <f t="shared" si="1"/>
        <v>950</v>
      </c>
      <c r="B951" s="218" t="s">
        <v>202</v>
      </c>
      <c r="C951" s="218" t="s">
        <v>3190</v>
      </c>
      <c r="D951" s="218" t="b">
        <v>1</v>
      </c>
      <c r="E951" s="219" t="b">
        <v>0</v>
      </c>
      <c r="F951" s="219" t="b">
        <v>0</v>
      </c>
      <c r="G951" s="219"/>
    </row>
    <row r="952">
      <c r="A952" s="218">
        <f t="shared" si="1"/>
        <v>951</v>
      </c>
      <c r="B952" s="218" t="s">
        <v>202</v>
      </c>
      <c r="C952" s="218" t="s">
        <v>3762</v>
      </c>
      <c r="D952" s="218" t="b">
        <v>1</v>
      </c>
      <c r="E952" s="219" t="b">
        <v>0</v>
      </c>
      <c r="F952" s="219" t="b">
        <v>0</v>
      </c>
      <c r="G952" s="219"/>
    </row>
    <row r="953">
      <c r="A953" s="218">
        <f t="shared" si="1"/>
        <v>952</v>
      </c>
      <c r="B953" s="218" t="s">
        <v>202</v>
      </c>
      <c r="C953" s="218" t="s">
        <v>3771</v>
      </c>
      <c r="D953" s="218" t="b">
        <v>1</v>
      </c>
      <c r="E953" s="219" t="b">
        <v>0</v>
      </c>
      <c r="F953" s="219" t="b">
        <v>0</v>
      </c>
      <c r="G953" s="219"/>
    </row>
    <row r="954">
      <c r="A954" s="218">
        <f t="shared" si="1"/>
        <v>953</v>
      </c>
      <c r="B954" s="218" t="s">
        <v>202</v>
      </c>
      <c r="C954" s="218" t="s">
        <v>3804</v>
      </c>
      <c r="D954" s="218" t="b">
        <v>1</v>
      </c>
      <c r="E954" s="219" t="b">
        <v>0</v>
      </c>
      <c r="F954" s="219" t="b">
        <v>0</v>
      </c>
      <c r="G954" s="219"/>
    </row>
    <row r="955">
      <c r="A955" s="218">
        <f t="shared" si="1"/>
        <v>954</v>
      </c>
      <c r="B955" s="218" t="s">
        <v>202</v>
      </c>
      <c r="C955" s="218" t="s">
        <v>4027</v>
      </c>
      <c r="D955" s="218" t="b">
        <v>1</v>
      </c>
      <c r="E955" s="219" t="b">
        <v>0</v>
      </c>
      <c r="F955" s="219" t="b">
        <v>0</v>
      </c>
      <c r="G955" s="219"/>
    </row>
    <row r="956">
      <c r="A956" s="218">
        <f t="shared" si="1"/>
        <v>955</v>
      </c>
      <c r="B956" s="218" t="s">
        <v>202</v>
      </c>
      <c r="C956" s="218" t="s">
        <v>4069</v>
      </c>
      <c r="D956" s="218" t="b">
        <v>1</v>
      </c>
      <c r="E956" s="219" t="b">
        <v>0</v>
      </c>
      <c r="F956" s="219" t="b">
        <v>0</v>
      </c>
      <c r="G956" s="219"/>
    </row>
    <row r="957">
      <c r="A957" s="218">
        <f t="shared" si="1"/>
        <v>956</v>
      </c>
      <c r="B957" s="218" t="s">
        <v>202</v>
      </c>
      <c r="C957" s="218" t="s">
        <v>4049</v>
      </c>
      <c r="D957" s="218" t="b">
        <v>1</v>
      </c>
      <c r="E957" s="219" t="b">
        <v>0</v>
      </c>
      <c r="F957" s="219" t="b">
        <v>0</v>
      </c>
      <c r="G957" s="219"/>
    </row>
    <row r="958">
      <c r="A958" s="218">
        <f t="shared" si="1"/>
        <v>957</v>
      </c>
      <c r="B958" s="218" t="s">
        <v>202</v>
      </c>
      <c r="C958" s="218" t="s">
        <v>4038</v>
      </c>
      <c r="D958" s="218" t="b">
        <v>1</v>
      </c>
      <c r="E958" s="219" t="b">
        <v>0</v>
      </c>
      <c r="F958" s="219" t="b">
        <v>0</v>
      </c>
      <c r="G958" s="219"/>
    </row>
    <row r="959">
      <c r="A959" s="218">
        <f t="shared" si="1"/>
        <v>958</v>
      </c>
      <c r="B959" s="218" t="s">
        <v>202</v>
      </c>
      <c r="C959" s="218" t="s">
        <v>4112</v>
      </c>
      <c r="D959" s="218" t="b">
        <v>1</v>
      </c>
      <c r="E959" s="219" t="b">
        <v>0</v>
      </c>
      <c r="F959" s="219" t="b">
        <v>0</v>
      </c>
      <c r="G959" s="219"/>
    </row>
    <row r="960">
      <c r="A960" s="218">
        <f t="shared" si="1"/>
        <v>959</v>
      </c>
      <c r="B960" s="218" t="s">
        <v>202</v>
      </c>
      <c r="C960" s="218" t="s">
        <v>4393</v>
      </c>
      <c r="D960" s="218" t="b">
        <v>1</v>
      </c>
      <c r="E960" s="219" t="b">
        <v>0</v>
      </c>
      <c r="F960" s="219" t="b">
        <v>0</v>
      </c>
      <c r="G960" s="219"/>
    </row>
    <row r="961">
      <c r="A961" s="218">
        <f t="shared" si="1"/>
        <v>960</v>
      </c>
      <c r="B961" s="218" t="s">
        <v>202</v>
      </c>
      <c r="C961" s="218" t="s">
        <v>4908</v>
      </c>
      <c r="D961" s="218" t="b">
        <v>1</v>
      </c>
      <c r="E961" s="219" t="b">
        <v>0</v>
      </c>
      <c r="F961" s="219" t="b">
        <v>0</v>
      </c>
      <c r="G961" s="219"/>
    </row>
    <row r="962">
      <c r="A962" s="218">
        <f t="shared" si="1"/>
        <v>961</v>
      </c>
      <c r="B962" s="218" t="s">
        <v>202</v>
      </c>
      <c r="C962" s="218" t="s">
        <v>3977</v>
      </c>
      <c r="D962" s="218" t="b">
        <v>1</v>
      </c>
      <c r="E962" s="219" t="b">
        <v>0</v>
      </c>
      <c r="F962" s="219" t="b">
        <v>0</v>
      </c>
      <c r="G962" s="219"/>
    </row>
    <row r="963">
      <c r="A963" s="218">
        <f t="shared" si="1"/>
        <v>962</v>
      </c>
      <c r="B963" s="218" t="s">
        <v>202</v>
      </c>
      <c r="C963" s="218" t="s">
        <v>3952</v>
      </c>
      <c r="D963" s="218" t="b">
        <v>1</v>
      </c>
      <c r="E963" s="219" t="b">
        <v>0</v>
      </c>
      <c r="F963" s="219" t="b">
        <v>0</v>
      </c>
      <c r="G963" s="219"/>
    </row>
    <row r="964">
      <c r="A964" s="218">
        <f t="shared" si="1"/>
        <v>963</v>
      </c>
      <c r="B964" s="218" t="s">
        <v>202</v>
      </c>
      <c r="C964" s="218" t="s">
        <v>2528</v>
      </c>
      <c r="D964" s="218" t="b">
        <v>1</v>
      </c>
      <c r="E964" s="219" t="b">
        <v>0</v>
      </c>
      <c r="F964" s="219" t="b">
        <v>0</v>
      </c>
      <c r="G964" s="219"/>
    </row>
    <row r="965">
      <c r="A965" s="218">
        <f t="shared" si="1"/>
        <v>964</v>
      </c>
      <c r="B965" s="218" t="s">
        <v>202</v>
      </c>
      <c r="C965" s="218" t="s">
        <v>4914</v>
      </c>
      <c r="D965" s="218" t="b">
        <v>1</v>
      </c>
      <c r="E965" s="219" t="b">
        <v>0</v>
      </c>
      <c r="F965" s="219" t="b">
        <v>0</v>
      </c>
      <c r="G965" s="219"/>
    </row>
    <row r="966">
      <c r="A966" s="218">
        <f t="shared" si="1"/>
        <v>965</v>
      </c>
      <c r="B966" s="218" t="s">
        <v>202</v>
      </c>
      <c r="C966" s="218" t="s">
        <v>4911</v>
      </c>
      <c r="D966" s="218" t="b">
        <v>1</v>
      </c>
      <c r="E966" s="219" t="b">
        <v>0</v>
      </c>
      <c r="F966" s="219" t="b">
        <v>0</v>
      </c>
      <c r="G966" s="219"/>
    </row>
    <row r="967">
      <c r="A967" s="218">
        <f t="shared" si="1"/>
        <v>966</v>
      </c>
      <c r="B967" s="218" t="s">
        <v>202</v>
      </c>
      <c r="C967" s="218" t="s">
        <v>5391</v>
      </c>
      <c r="D967" s="218" t="b">
        <v>1</v>
      </c>
      <c r="E967" s="219" t="b">
        <v>0</v>
      </c>
      <c r="F967" s="219" t="b">
        <v>0</v>
      </c>
      <c r="G967" s="219"/>
    </row>
    <row r="968">
      <c r="A968" s="218">
        <f t="shared" si="1"/>
        <v>967</v>
      </c>
      <c r="B968" s="218" t="s">
        <v>202</v>
      </c>
      <c r="C968" s="218" t="s">
        <v>4127</v>
      </c>
      <c r="D968" s="218" t="b">
        <v>1</v>
      </c>
      <c r="E968" s="219" t="b">
        <v>0</v>
      </c>
      <c r="F968" s="219" t="b">
        <v>0</v>
      </c>
      <c r="G968" s="219"/>
    </row>
    <row r="969">
      <c r="A969" s="218">
        <f t="shared" si="1"/>
        <v>968</v>
      </c>
      <c r="B969" s="218" t="s">
        <v>202</v>
      </c>
      <c r="C969" s="218" t="s">
        <v>4130</v>
      </c>
      <c r="D969" s="218" t="b">
        <v>1</v>
      </c>
      <c r="E969" s="219" t="b">
        <v>0</v>
      </c>
      <c r="F969" s="219" t="b">
        <v>0</v>
      </c>
      <c r="G969" s="219"/>
    </row>
    <row r="970">
      <c r="A970" s="218">
        <f t="shared" si="1"/>
        <v>969</v>
      </c>
      <c r="B970" s="218" t="s">
        <v>202</v>
      </c>
      <c r="C970" s="218" t="s">
        <v>4732</v>
      </c>
      <c r="D970" s="218" t="b">
        <v>1</v>
      </c>
      <c r="E970" s="219" t="b">
        <v>0</v>
      </c>
      <c r="F970" s="219" t="b">
        <v>0</v>
      </c>
      <c r="G970" s="219"/>
    </row>
    <row r="971">
      <c r="A971" s="218">
        <f t="shared" si="1"/>
        <v>970</v>
      </c>
      <c r="B971" s="218" t="s">
        <v>202</v>
      </c>
      <c r="C971" s="218" t="s">
        <v>3776</v>
      </c>
      <c r="D971" s="218" t="b">
        <v>1</v>
      </c>
      <c r="E971" s="219" t="b">
        <v>0</v>
      </c>
      <c r="F971" s="219" t="b">
        <v>0</v>
      </c>
      <c r="G971" s="219"/>
    </row>
    <row r="972">
      <c r="A972" s="218">
        <f t="shared" si="1"/>
        <v>971</v>
      </c>
      <c r="B972" s="218" t="s">
        <v>202</v>
      </c>
      <c r="C972" s="218" t="s">
        <v>5400</v>
      </c>
      <c r="D972" s="218" t="b">
        <v>1</v>
      </c>
      <c r="E972" s="219" t="b">
        <v>0</v>
      </c>
      <c r="F972" s="219" t="b">
        <v>0</v>
      </c>
      <c r="G972" s="219"/>
    </row>
    <row r="973">
      <c r="A973" s="218">
        <f t="shared" si="1"/>
        <v>972</v>
      </c>
      <c r="B973" s="218" t="s">
        <v>202</v>
      </c>
      <c r="C973" s="218" t="s">
        <v>3831</v>
      </c>
      <c r="D973" s="218" t="b">
        <v>1</v>
      </c>
      <c r="E973" s="219" t="b">
        <v>0</v>
      </c>
      <c r="F973" s="219" t="b">
        <v>0</v>
      </c>
      <c r="G973" s="219"/>
    </row>
    <row r="974">
      <c r="A974" s="218">
        <f t="shared" si="1"/>
        <v>973</v>
      </c>
      <c r="B974" s="218" t="s">
        <v>202</v>
      </c>
      <c r="C974" s="218" t="s">
        <v>4723</v>
      </c>
      <c r="D974" s="218" t="b">
        <v>1</v>
      </c>
      <c r="E974" s="219" t="b">
        <v>0</v>
      </c>
      <c r="F974" s="219" t="b">
        <v>0</v>
      </c>
      <c r="G974" s="219"/>
    </row>
    <row r="975">
      <c r="A975" s="218">
        <f t="shared" si="1"/>
        <v>974</v>
      </c>
      <c r="B975" s="218" t="s">
        <v>202</v>
      </c>
      <c r="C975" s="218" t="s">
        <v>3844</v>
      </c>
      <c r="D975" s="218" t="b">
        <v>1</v>
      </c>
      <c r="E975" s="219" t="b">
        <v>0</v>
      </c>
      <c r="F975" s="219" t="b">
        <v>0</v>
      </c>
      <c r="G975" s="219"/>
    </row>
    <row r="976">
      <c r="A976" s="218">
        <f t="shared" si="1"/>
        <v>975</v>
      </c>
      <c r="B976" s="218" t="s">
        <v>202</v>
      </c>
      <c r="C976" s="218" t="s">
        <v>3903</v>
      </c>
      <c r="D976" s="218" t="b">
        <v>1</v>
      </c>
      <c r="E976" s="219" t="b">
        <v>0</v>
      </c>
      <c r="F976" s="219" t="b">
        <v>0</v>
      </c>
      <c r="G976" s="219"/>
    </row>
    <row r="977">
      <c r="A977" s="218">
        <f t="shared" si="1"/>
        <v>976</v>
      </c>
      <c r="B977" s="218" t="s">
        <v>202</v>
      </c>
      <c r="C977" s="218" t="s">
        <v>3928</v>
      </c>
      <c r="D977" s="218" t="b">
        <v>1</v>
      </c>
      <c r="E977" s="219" t="b">
        <v>0</v>
      </c>
      <c r="F977" s="219" t="b">
        <v>0</v>
      </c>
      <c r="G977" s="219"/>
    </row>
    <row r="978">
      <c r="A978" s="218">
        <f t="shared" si="1"/>
        <v>977</v>
      </c>
      <c r="B978" s="218" t="s">
        <v>202</v>
      </c>
      <c r="C978" s="218" t="s">
        <v>4101</v>
      </c>
      <c r="D978" s="218" t="b">
        <v>1</v>
      </c>
      <c r="E978" s="219" t="b">
        <v>0</v>
      </c>
      <c r="F978" s="219" t="b">
        <v>0</v>
      </c>
      <c r="G978" s="219"/>
    </row>
    <row r="979">
      <c r="A979" s="218">
        <f t="shared" si="1"/>
        <v>978</v>
      </c>
      <c r="B979" s="218" t="s">
        <v>202</v>
      </c>
      <c r="C979" s="218" t="s">
        <v>3947</v>
      </c>
      <c r="D979" s="218" t="b">
        <v>1</v>
      </c>
      <c r="E979" s="219" t="b">
        <v>0</v>
      </c>
      <c r="F979" s="219" t="b">
        <v>0</v>
      </c>
      <c r="G979" s="219"/>
    </row>
    <row r="980">
      <c r="A980" s="218">
        <f t="shared" si="1"/>
        <v>979</v>
      </c>
      <c r="B980" s="218" t="s">
        <v>202</v>
      </c>
      <c r="C980" s="218" t="s">
        <v>2070</v>
      </c>
      <c r="D980" s="218" t="b">
        <v>1</v>
      </c>
      <c r="E980" s="219" t="b">
        <v>0</v>
      </c>
      <c r="F980" s="219" t="b">
        <v>0</v>
      </c>
      <c r="G980" s="219"/>
    </row>
    <row r="981">
      <c r="A981" s="218">
        <f t="shared" si="1"/>
        <v>980</v>
      </c>
      <c r="B981" s="218" t="s">
        <v>202</v>
      </c>
      <c r="C981" s="218" t="s">
        <v>3967</v>
      </c>
      <c r="D981" s="218" t="b">
        <v>1</v>
      </c>
      <c r="E981" s="219" t="b">
        <v>0</v>
      </c>
      <c r="F981" s="219" t="b">
        <v>0</v>
      </c>
      <c r="G981" s="219"/>
    </row>
    <row r="982">
      <c r="A982" s="218">
        <f t="shared" si="1"/>
        <v>981</v>
      </c>
      <c r="B982" s="218" t="s">
        <v>202</v>
      </c>
      <c r="C982" s="218" t="s">
        <v>6355</v>
      </c>
      <c r="D982" s="218" t="b">
        <v>1</v>
      </c>
      <c r="E982" s="219" t="b">
        <v>0</v>
      </c>
      <c r="F982" s="219" t="b">
        <v>0</v>
      </c>
      <c r="G982" s="219"/>
    </row>
    <row r="983">
      <c r="A983" s="218">
        <f t="shared" si="1"/>
        <v>982</v>
      </c>
      <c r="B983" s="218" t="s">
        <v>202</v>
      </c>
      <c r="C983" s="218" t="s">
        <v>3972</v>
      </c>
      <c r="D983" s="218" t="b">
        <v>1</v>
      </c>
      <c r="E983" s="219" t="b">
        <v>0</v>
      </c>
      <c r="F983" s="219" t="b">
        <v>0</v>
      </c>
      <c r="G983" s="219"/>
    </row>
    <row r="984">
      <c r="A984" s="218">
        <f t="shared" si="1"/>
        <v>983</v>
      </c>
      <c r="B984" s="218" t="s">
        <v>202</v>
      </c>
      <c r="C984" s="218" t="s">
        <v>5502</v>
      </c>
      <c r="D984" s="218" t="b">
        <v>1</v>
      </c>
      <c r="E984" s="219" t="b">
        <v>0</v>
      </c>
      <c r="F984" s="219" t="b">
        <v>0</v>
      </c>
      <c r="G984" s="219"/>
    </row>
    <row r="985">
      <c r="A985" s="218">
        <f t="shared" si="1"/>
        <v>984</v>
      </c>
      <c r="B985" s="218" t="s">
        <v>202</v>
      </c>
      <c r="C985" s="218" t="s">
        <v>4096</v>
      </c>
      <c r="D985" s="218" t="b">
        <v>1</v>
      </c>
      <c r="E985" s="219" t="b">
        <v>0</v>
      </c>
      <c r="F985" s="219" t="b">
        <v>0</v>
      </c>
      <c r="G985" s="219"/>
    </row>
    <row r="986">
      <c r="A986" s="218">
        <f t="shared" si="1"/>
        <v>985</v>
      </c>
      <c r="B986" s="218" t="s">
        <v>202</v>
      </c>
      <c r="C986" s="218" t="s">
        <v>1378</v>
      </c>
      <c r="D986" s="218" t="b">
        <v>1</v>
      </c>
      <c r="E986" s="219" t="b">
        <v>0</v>
      </c>
      <c r="F986" s="219" t="b">
        <v>0</v>
      </c>
      <c r="G986" s="219"/>
    </row>
    <row r="987">
      <c r="A987" s="218">
        <f t="shared" si="1"/>
        <v>986</v>
      </c>
      <c r="B987" s="218" t="s">
        <v>202</v>
      </c>
      <c r="C987" s="218" t="s">
        <v>4054</v>
      </c>
      <c r="D987" s="218" t="b">
        <v>1</v>
      </c>
      <c r="E987" s="219" t="b">
        <v>0</v>
      </c>
      <c r="F987" s="219" t="b">
        <v>0</v>
      </c>
      <c r="G987" s="219"/>
    </row>
    <row r="988">
      <c r="A988" s="218">
        <f t="shared" si="1"/>
        <v>987</v>
      </c>
      <c r="B988" s="218" t="s">
        <v>202</v>
      </c>
      <c r="C988" s="218" t="s">
        <v>4092</v>
      </c>
      <c r="D988" s="218" t="b">
        <v>1</v>
      </c>
      <c r="E988" s="219" t="b">
        <v>0</v>
      </c>
      <c r="F988" s="219" t="b">
        <v>0</v>
      </c>
      <c r="G988" s="219"/>
    </row>
    <row r="989">
      <c r="A989" s="218">
        <f t="shared" si="1"/>
        <v>988</v>
      </c>
      <c r="B989" s="218" t="s">
        <v>202</v>
      </c>
      <c r="C989" s="218" t="s">
        <v>4656</v>
      </c>
      <c r="D989" s="218" t="b">
        <v>1</v>
      </c>
      <c r="E989" s="219" t="b">
        <v>0</v>
      </c>
      <c r="F989" s="219" t="b">
        <v>0</v>
      </c>
      <c r="G989" s="219"/>
    </row>
    <row r="990">
      <c r="A990" s="218">
        <f t="shared" si="1"/>
        <v>989</v>
      </c>
      <c r="B990" s="218" t="s">
        <v>202</v>
      </c>
      <c r="C990" s="218" t="s">
        <v>3752</v>
      </c>
      <c r="D990" s="218" t="b">
        <v>1</v>
      </c>
      <c r="E990" s="219" t="b">
        <v>0</v>
      </c>
      <c r="F990" s="219" t="b">
        <v>0</v>
      </c>
      <c r="G990" s="219"/>
    </row>
    <row r="991">
      <c r="A991" s="218">
        <f t="shared" si="1"/>
        <v>990</v>
      </c>
      <c r="B991" s="218" t="s">
        <v>202</v>
      </c>
      <c r="C991" s="218" t="s">
        <v>4503</v>
      </c>
      <c r="D991" s="218" t="b">
        <v>1</v>
      </c>
      <c r="E991" s="219" t="b">
        <v>0</v>
      </c>
      <c r="F991" s="219" t="b">
        <v>0</v>
      </c>
      <c r="G991" s="219"/>
    </row>
    <row r="992">
      <c r="A992" s="218">
        <f t="shared" si="1"/>
        <v>991</v>
      </c>
      <c r="B992" s="218" t="s">
        <v>202</v>
      </c>
      <c r="C992" s="218" t="s">
        <v>4341</v>
      </c>
      <c r="D992" s="218" t="b">
        <v>1</v>
      </c>
      <c r="E992" s="219" t="b">
        <v>0</v>
      </c>
      <c r="F992" s="219" t="b">
        <v>0</v>
      </c>
      <c r="G992" s="219"/>
    </row>
    <row r="993">
      <c r="A993" s="218">
        <f t="shared" si="1"/>
        <v>992</v>
      </c>
      <c r="B993" s="218" t="s">
        <v>202</v>
      </c>
      <c r="C993" s="218" t="s">
        <v>4824</v>
      </c>
      <c r="D993" s="218" t="b">
        <v>1</v>
      </c>
      <c r="E993" s="219" t="b">
        <v>0</v>
      </c>
      <c r="F993" s="219" t="b">
        <v>0</v>
      </c>
      <c r="G993" s="219"/>
    </row>
    <row r="994">
      <c r="A994" s="218">
        <f t="shared" si="1"/>
        <v>993</v>
      </c>
      <c r="B994" s="218" t="s">
        <v>202</v>
      </c>
      <c r="C994" s="218" t="s">
        <v>4573</v>
      </c>
      <c r="D994" s="218" t="b">
        <v>1</v>
      </c>
      <c r="E994" s="219" t="b">
        <v>0</v>
      </c>
      <c r="F994" s="219" t="b">
        <v>0</v>
      </c>
      <c r="G994" s="219"/>
    </row>
    <row r="995">
      <c r="A995" s="218">
        <f t="shared" si="1"/>
        <v>994</v>
      </c>
      <c r="B995" s="218" t="s">
        <v>202</v>
      </c>
      <c r="C995" s="218" t="s">
        <v>4596</v>
      </c>
      <c r="D995" s="218" t="b">
        <v>1</v>
      </c>
      <c r="E995" s="219" t="b">
        <v>0</v>
      </c>
      <c r="F995" s="219" t="b">
        <v>0</v>
      </c>
      <c r="G995" s="219"/>
    </row>
    <row r="996">
      <c r="A996" s="218">
        <f t="shared" si="1"/>
        <v>995</v>
      </c>
      <c r="B996" s="218" t="s">
        <v>202</v>
      </c>
      <c r="C996" s="218" t="s">
        <v>4550</v>
      </c>
      <c r="D996" s="218" t="b">
        <v>1</v>
      </c>
      <c r="E996" s="219" t="b">
        <v>0</v>
      </c>
      <c r="F996" s="219" t="b">
        <v>0</v>
      </c>
      <c r="G996" s="219"/>
    </row>
    <row r="997">
      <c r="A997" s="218">
        <f t="shared" si="1"/>
        <v>996</v>
      </c>
      <c r="B997" s="218" t="s">
        <v>202</v>
      </c>
      <c r="C997" s="218" t="s">
        <v>4550</v>
      </c>
      <c r="D997" s="218" t="b">
        <v>1</v>
      </c>
      <c r="E997" s="219" t="b">
        <v>0</v>
      </c>
      <c r="F997" s="219" t="b">
        <v>0</v>
      </c>
      <c r="G997" s="219"/>
    </row>
    <row r="998">
      <c r="A998" s="218">
        <f t="shared" si="1"/>
        <v>997</v>
      </c>
      <c r="B998" s="218" t="s">
        <v>202</v>
      </c>
      <c r="C998" s="218" t="s">
        <v>4839</v>
      </c>
      <c r="D998" s="218" t="b">
        <v>1</v>
      </c>
      <c r="E998" s="219" t="b">
        <v>0</v>
      </c>
      <c r="F998" s="219" t="b">
        <v>0</v>
      </c>
      <c r="G998" s="219"/>
    </row>
    <row r="999">
      <c r="A999" s="218">
        <f t="shared" si="1"/>
        <v>998</v>
      </c>
      <c r="B999" s="218" t="s">
        <v>202</v>
      </c>
      <c r="C999" s="218" t="s">
        <v>4537</v>
      </c>
      <c r="D999" s="218" t="b">
        <v>1</v>
      </c>
      <c r="E999" s="219" t="b">
        <v>0</v>
      </c>
      <c r="F999" s="219" t="b">
        <v>0</v>
      </c>
      <c r="G999" s="219"/>
    </row>
    <row r="1000">
      <c r="A1000" s="218">
        <f t="shared" si="1"/>
        <v>999</v>
      </c>
      <c r="B1000" s="218" t="s">
        <v>202</v>
      </c>
      <c r="C1000" s="218" t="s">
        <v>3897</v>
      </c>
      <c r="D1000" s="218" t="b">
        <v>1</v>
      </c>
      <c r="E1000" s="219" t="b">
        <v>0</v>
      </c>
      <c r="F1000" s="219" t="b">
        <v>0</v>
      </c>
      <c r="G1000" s="219"/>
    </row>
    <row r="1001">
      <c r="A1001" s="218">
        <f t="shared" si="1"/>
        <v>1000</v>
      </c>
      <c r="B1001" s="218" t="s">
        <v>202</v>
      </c>
      <c r="C1001" s="218" t="s">
        <v>4520</v>
      </c>
      <c r="D1001" s="218" t="b">
        <v>1</v>
      </c>
      <c r="E1001" s="219" t="b">
        <v>0</v>
      </c>
      <c r="F1001" s="219" t="b">
        <v>0</v>
      </c>
      <c r="G1001" s="219"/>
    </row>
    <row r="1002">
      <c r="A1002" s="218">
        <f t="shared" si="1"/>
        <v>1001</v>
      </c>
      <c r="B1002" s="218" t="s">
        <v>202</v>
      </c>
      <c r="C1002" s="218" t="s">
        <v>4894</v>
      </c>
      <c r="D1002" s="218" t="b">
        <v>1</v>
      </c>
      <c r="E1002" s="219" t="b">
        <v>0</v>
      </c>
      <c r="F1002" s="219" t="b">
        <v>0</v>
      </c>
      <c r="G1002" s="219"/>
    </row>
    <row r="1003">
      <c r="A1003" s="218">
        <f t="shared" si="1"/>
        <v>1002</v>
      </c>
      <c r="B1003" s="218" t="s">
        <v>202</v>
      </c>
      <c r="C1003" s="218" t="s">
        <v>4780</v>
      </c>
      <c r="D1003" s="218" t="b">
        <v>1</v>
      </c>
      <c r="E1003" s="219" t="b">
        <v>0</v>
      </c>
      <c r="F1003" s="219" t="b">
        <v>0</v>
      </c>
      <c r="G1003" s="219"/>
    </row>
    <row r="1004">
      <c r="A1004" s="218">
        <f t="shared" si="1"/>
        <v>1003</v>
      </c>
      <c r="B1004" s="218" t="s">
        <v>202</v>
      </c>
      <c r="C1004" s="218" t="s">
        <v>4535</v>
      </c>
      <c r="D1004" s="218" t="b">
        <v>1</v>
      </c>
      <c r="E1004" s="219" t="b">
        <v>0</v>
      </c>
      <c r="F1004" s="219" t="b">
        <v>0</v>
      </c>
      <c r="G1004" s="219"/>
    </row>
    <row r="1005">
      <c r="A1005" s="218">
        <f t="shared" si="1"/>
        <v>1004</v>
      </c>
      <c r="B1005" s="218" t="s">
        <v>202</v>
      </c>
      <c r="C1005" s="218" t="s">
        <v>4325</v>
      </c>
      <c r="D1005" s="218" t="b">
        <v>1</v>
      </c>
      <c r="E1005" s="219" t="b">
        <v>0</v>
      </c>
      <c r="F1005" s="219" t="b">
        <v>0</v>
      </c>
      <c r="G1005" s="219"/>
    </row>
    <row r="1006">
      <c r="A1006" s="218">
        <f t="shared" si="1"/>
        <v>1005</v>
      </c>
      <c r="B1006" s="218" t="s">
        <v>202</v>
      </c>
      <c r="C1006" s="218" t="s">
        <v>4786</v>
      </c>
      <c r="D1006" s="218" t="b">
        <v>1</v>
      </c>
      <c r="E1006" s="219" t="b">
        <v>0</v>
      </c>
      <c r="F1006" s="219" t="b">
        <v>0</v>
      </c>
      <c r="G1006" s="219"/>
    </row>
    <row r="1007">
      <c r="A1007" s="218">
        <f t="shared" si="1"/>
        <v>1006</v>
      </c>
      <c r="B1007" s="218" t="s">
        <v>202</v>
      </c>
      <c r="C1007" s="218" t="s">
        <v>5371</v>
      </c>
      <c r="D1007" s="218" t="b">
        <v>1</v>
      </c>
      <c r="E1007" s="219" t="b">
        <v>0</v>
      </c>
      <c r="F1007" s="219" t="b">
        <v>0</v>
      </c>
      <c r="G1007" s="219"/>
    </row>
    <row r="1008">
      <c r="A1008" s="218">
        <f t="shared" si="1"/>
        <v>1007</v>
      </c>
      <c r="B1008" s="218" t="s">
        <v>202</v>
      </c>
      <c r="C1008" s="218" t="s">
        <v>767</v>
      </c>
      <c r="D1008" s="218" t="b">
        <v>1</v>
      </c>
      <c r="E1008" s="219" t="b">
        <v>0</v>
      </c>
      <c r="F1008" s="219" t="b">
        <v>0</v>
      </c>
      <c r="G1008" s="219"/>
    </row>
    <row r="1009">
      <c r="A1009" s="218">
        <f t="shared" si="1"/>
        <v>1008</v>
      </c>
      <c r="B1009" s="218" t="s">
        <v>202</v>
      </c>
      <c r="C1009" s="218" t="s">
        <v>4481</v>
      </c>
      <c r="D1009" s="218" t="b">
        <v>1</v>
      </c>
      <c r="E1009" s="219" t="b">
        <v>0</v>
      </c>
      <c r="F1009" s="219" t="b">
        <v>0</v>
      </c>
      <c r="G1009" s="219"/>
    </row>
    <row r="1010">
      <c r="A1010" s="218">
        <f t="shared" si="1"/>
        <v>1009</v>
      </c>
      <c r="B1010" s="218" t="s">
        <v>202</v>
      </c>
      <c r="C1010" s="218" t="s">
        <v>4844</v>
      </c>
      <c r="D1010" s="218" t="b">
        <v>1</v>
      </c>
      <c r="E1010" s="219" t="b">
        <v>0</v>
      </c>
      <c r="F1010" s="219" t="b">
        <v>0</v>
      </c>
      <c r="G1010" s="219"/>
    </row>
    <row r="1011">
      <c r="A1011" s="218">
        <f t="shared" si="1"/>
        <v>1010</v>
      </c>
      <c r="B1011" s="218" t="s">
        <v>202</v>
      </c>
      <c r="C1011" s="218" t="s">
        <v>4470</v>
      </c>
      <c r="D1011" s="218" t="b">
        <v>1</v>
      </c>
      <c r="E1011" s="219" t="b">
        <v>0</v>
      </c>
      <c r="F1011" s="219" t="b">
        <v>0</v>
      </c>
      <c r="G1011" s="219"/>
    </row>
    <row r="1012">
      <c r="A1012" s="218">
        <f t="shared" si="1"/>
        <v>1011</v>
      </c>
      <c r="B1012" s="218" t="s">
        <v>202</v>
      </c>
      <c r="C1012" s="218" t="s">
        <v>4886</v>
      </c>
      <c r="D1012" s="218" t="b">
        <v>1</v>
      </c>
      <c r="E1012" s="219" t="b">
        <v>0</v>
      </c>
      <c r="F1012" s="219" t="b">
        <v>0</v>
      </c>
      <c r="G1012" s="219"/>
    </row>
    <row r="1013">
      <c r="A1013" s="218">
        <f t="shared" si="1"/>
        <v>1012</v>
      </c>
      <c r="B1013" s="218" t="s">
        <v>202</v>
      </c>
      <c r="C1013" s="218" t="s">
        <v>4486</v>
      </c>
      <c r="D1013" s="218" t="b">
        <v>1</v>
      </c>
      <c r="E1013" s="219" t="b">
        <v>0</v>
      </c>
      <c r="F1013" s="219" t="b">
        <v>0</v>
      </c>
      <c r="G1013" s="219"/>
    </row>
    <row r="1014">
      <c r="A1014" s="218">
        <f t="shared" si="1"/>
        <v>1013</v>
      </c>
      <c r="B1014" s="218" t="s">
        <v>202</v>
      </c>
      <c r="C1014" s="218" t="s">
        <v>4514</v>
      </c>
      <c r="D1014" s="218" t="b">
        <v>1</v>
      </c>
      <c r="E1014" s="219" t="b">
        <v>0</v>
      </c>
      <c r="F1014" s="219" t="b">
        <v>0</v>
      </c>
      <c r="G1014" s="219"/>
    </row>
    <row r="1015">
      <c r="A1015" s="218">
        <f t="shared" si="1"/>
        <v>1014</v>
      </c>
      <c r="B1015" s="218" t="s">
        <v>202</v>
      </c>
      <c r="C1015" s="218" t="s">
        <v>4492</v>
      </c>
      <c r="D1015" s="218" t="b">
        <v>1</v>
      </c>
      <c r="E1015" s="219" t="b">
        <v>0</v>
      </c>
      <c r="F1015" s="219" t="b">
        <v>0</v>
      </c>
      <c r="G1015" s="219"/>
    </row>
    <row r="1016">
      <c r="A1016" s="218">
        <f t="shared" si="1"/>
        <v>1015</v>
      </c>
      <c r="B1016" s="218" t="s">
        <v>202</v>
      </c>
      <c r="C1016" s="218" t="s">
        <v>4316</v>
      </c>
      <c r="D1016" s="218" t="b">
        <v>1</v>
      </c>
      <c r="E1016" s="219" t="b">
        <v>0</v>
      </c>
      <c r="F1016" s="219" t="b">
        <v>0</v>
      </c>
      <c r="G1016" s="219"/>
    </row>
    <row r="1017">
      <c r="A1017" s="218">
        <f t="shared" si="1"/>
        <v>1016</v>
      </c>
      <c r="B1017" s="218" t="s">
        <v>202</v>
      </c>
      <c r="C1017" s="218" t="s">
        <v>4834</v>
      </c>
      <c r="D1017" s="218" t="b">
        <v>1</v>
      </c>
      <c r="E1017" s="219" t="b">
        <v>0</v>
      </c>
      <c r="F1017" s="219" t="b">
        <v>0</v>
      </c>
      <c r="G1017" s="219"/>
    </row>
    <row r="1018">
      <c r="A1018" s="218">
        <f t="shared" si="1"/>
        <v>1017</v>
      </c>
      <c r="B1018" s="218" t="s">
        <v>202</v>
      </c>
      <c r="C1018" s="218" t="s">
        <v>4599</v>
      </c>
      <c r="D1018" s="218" t="b">
        <v>1</v>
      </c>
      <c r="E1018" s="219" t="b">
        <v>0</v>
      </c>
      <c r="F1018" s="219" t="b">
        <v>0</v>
      </c>
      <c r="G1018" s="219"/>
    </row>
    <row r="1019">
      <c r="A1019" s="218">
        <f t="shared" si="1"/>
        <v>1018</v>
      </c>
      <c r="B1019" s="218" t="s">
        <v>202</v>
      </c>
      <c r="C1019" s="218" t="s">
        <v>1062</v>
      </c>
      <c r="D1019" s="218" t="b">
        <v>1</v>
      </c>
      <c r="E1019" s="219" t="b">
        <v>0</v>
      </c>
      <c r="F1019" s="219" t="b">
        <v>0</v>
      </c>
      <c r="G1019" s="219"/>
    </row>
    <row r="1020">
      <c r="A1020" s="218">
        <f t="shared" si="1"/>
        <v>1019</v>
      </c>
      <c r="B1020" s="218" t="s">
        <v>202</v>
      </c>
      <c r="C1020" s="218" t="s">
        <v>4812</v>
      </c>
      <c r="D1020" s="218" t="b">
        <v>1</v>
      </c>
      <c r="E1020" s="219" t="b">
        <v>0</v>
      </c>
      <c r="F1020" s="219" t="b">
        <v>0</v>
      </c>
      <c r="G1020" s="219"/>
    </row>
    <row r="1021">
      <c r="A1021" s="218">
        <f t="shared" si="1"/>
        <v>1020</v>
      </c>
      <c r="B1021" s="218" t="s">
        <v>202</v>
      </c>
      <c r="C1021" s="218" t="s">
        <v>4679</v>
      </c>
      <c r="D1021" s="218" t="b">
        <v>1</v>
      </c>
      <c r="E1021" s="219" t="b">
        <v>0</v>
      </c>
      <c r="F1021" s="219" t="b">
        <v>0</v>
      </c>
      <c r="G1021" s="219"/>
    </row>
    <row r="1022">
      <c r="A1022" s="218">
        <f t="shared" si="1"/>
        <v>1021</v>
      </c>
      <c r="B1022" s="218" t="s">
        <v>202</v>
      </c>
      <c r="C1022" s="218" t="s">
        <v>4525</v>
      </c>
      <c r="D1022" s="218" t="b">
        <v>1</v>
      </c>
      <c r="E1022" s="219" t="b">
        <v>0</v>
      </c>
      <c r="F1022" s="219" t="b">
        <v>0</v>
      </c>
      <c r="G1022" s="219"/>
    </row>
    <row r="1023">
      <c r="A1023" s="218">
        <f t="shared" si="1"/>
        <v>1022</v>
      </c>
      <c r="B1023" s="218" t="s">
        <v>202</v>
      </c>
      <c r="C1023" s="218" t="s">
        <v>4565</v>
      </c>
      <c r="D1023" s="218" t="b">
        <v>1</v>
      </c>
      <c r="E1023" s="219" t="b">
        <v>0</v>
      </c>
      <c r="F1023" s="219" t="b">
        <v>0</v>
      </c>
      <c r="G1023" s="219"/>
    </row>
    <row r="1024">
      <c r="A1024" s="218">
        <f t="shared" si="1"/>
        <v>1023</v>
      </c>
      <c r="B1024" s="218" t="s">
        <v>202</v>
      </c>
      <c r="C1024" s="218" t="s">
        <v>4585</v>
      </c>
      <c r="D1024" s="218" t="b">
        <v>1</v>
      </c>
      <c r="E1024" s="219" t="b">
        <v>0</v>
      </c>
      <c r="F1024" s="219" t="b">
        <v>0</v>
      </c>
      <c r="G1024" s="219"/>
    </row>
    <row r="1025">
      <c r="A1025" s="218">
        <f t="shared" si="1"/>
        <v>1024</v>
      </c>
      <c r="B1025" s="218" t="s">
        <v>202</v>
      </c>
      <c r="C1025" s="218" t="s">
        <v>4558</v>
      </c>
      <c r="D1025" s="218" t="b">
        <v>1</v>
      </c>
      <c r="E1025" s="219" t="b">
        <v>0</v>
      </c>
      <c r="F1025" s="219" t="b">
        <v>0</v>
      </c>
      <c r="G1025" s="219"/>
    </row>
    <row r="1026">
      <c r="A1026" s="218">
        <f t="shared" si="1"/>
        <v>1025</v>
      </c>
      <c r="B1026" s="218" t="s">
        <v>202</v>
      </c>
      <c r="C1026" s="218" t="s">
        <v>4661</v>
      </c>
      <c r="D1026" s="218" t="b">
        <v>1</v>
      </c>
      <c r="E1026" s="219" t="b">
        <v>0</v>
      </c>
      <c r="F1026" s="219" t="b">
        <v>0</v>
      </c>
      <c r="G1026" s="219"/>
    </row>
    <row r="1027">
      <c r="A1027" s="218">
        <f t="shared" si="1"/>
        <v>1026</v>
      </c>
      <c r="B1027" s="218" t="s">
        <v>202</v>
      </c>
      <c r="C1027" s="218" t="s">
        <v>4476</v>
      </c>
      <c r="D1027" s="218" t="b">
        <v>1</v>
      </c>
      <c r="E1027" s="219" t="b">
        <v>0</v>
      </c>
      <c r="F1027" s="219" t="b">
        <v>0</v>
      </c>
      <c r="G1027" s="219"/>
    </row>
    <row r="1028">
      <c r="A1028" s="218">
        <f t="shared" si="1"/>
        <v>1027</v>
      </c>
      <c r="B1028" s="218" t="s">
        <v>202</v>
      </c>
      <c r="C1028" s="218" t="s">
        <v>5093</v>
      </c>
      <c r="D1028" s="218" t="b">
        <v>1</v>
      </c>
      <c r="E1028" s="219" t="b">
        <v>0</v>
      </c>
      <c r="F1028" s="219" t="b">
        <v>0</v>
      </c>
      <c r="G1028" s="219"/>
    </row>
    <row r="1029">
      <c r="A1029" s="218">
        <f t="shared" si="1"/>
        <v>1028</v>
      </c>
      <c r="B1029" s="218" t="s">
        <v>202</v>
      </c>
      <c r="C1029" s="218" t="s">
        <v>4828</v>
      </c>
      <c r="D1029" s="218" t="b">
        <v>1</v>
      </c>
      <c r="E1029" s="219" t="b">
        <v>0</v>
      </c>
      <c r="F1029" s="219" t="b">
        <v>0</v>
      </c>
      <c r="G1029" s="219"/>
    </row>
    <row r="1030">
      <c r="A1030" s="218">
        <f t="shared" si="1"/>
        <v>1029</v>
      </c>
      <c r="B1030" s="218" t="s">
        <v>202</v>
      </c>
      <c r="C1030" s="218" t="s">
        <v>4152</v>
      </c>
      <c r="D1030" s="218" t="b">
        <v>1</v>
      </c>
      <c r="E1030" s="219" t="b">
        <v>0</v>
      </c>
      <c r="F1030" s="219" t="b">
        <v>0</v>
      </c>
      <c r="G1030" s="219"/>
    </row>
    <row r="1031">
      <c r="A1031" s="218">
        <f t="shared" si="1"/>
        <v>1030</v>
      </c>
      <c r="B1031" s="218" t="s">
        <v>202</v>
      </c>
      <c r="C1031" s="218" t="s">
        <v>4623</v>
      </c>
      <c r="D1031" s="218" t="b">
        <v>1</v>
      </c>
      <c r="E1031" s="219" t="b">
        <v>0</v>
      </c>
      <c r="F1031" s="219" t="b">
        <v>0</v>
      </c>
      <c r="G1031" s="219"/>
    </row>
    <row r="1032">
      <c r="A1032" s="218">
        <f t="shared" si="1"/>
        <v>1031</v>
      </c>
      <c r="B1032" s="218" t="s">
        <v>202</v>
      </c>
      <c r="C1032" s="218" t="s">
        <v>4919</v>
      </c>
      <c r="D1032" s="218" t="b">
        <v>1</v>
      </c>
      <c r="E1032" s="219" t="b">
        <v>0</v>
      </c>
      <c r="F1032" s="219" t="b">
        <v>0</v>
      </c>
      <c r="G1032" s="219"/>
    </row>
    <row r="1033">
      <c r="A1033" s="218">
        <f t="shared" si="1"/>
        <v>1032</v>
      </c>
      <c r="B1033" s="218" t="s">
        <v>202</v>
      </c>
      <c r="C1033" s="218" t="s">
        <v>4642</v>
      </c>
      <c r="D1033" s="218" t="b">
        <v>1</v>
      </c>
      <c r="E1033" s="219" t="b">
        <v>0</v>
      </c>
      <c r="F1033" s="219" t="b">
        <v>0</v>
      </c>
      <c r="G1033" s="219"/>
    </row>
    <row r="1034">
      <c r="A1034" s="218">
        <f t="shared" si="1"/>
        <v>1033</v>
      </c>
      <c r="B1034" s="218" t="s">
        <v>202</v>
      </c>
      <c r="C1034" s="218" t="s">
        <v>4631</v>
      </c>
      <c r="D1034" s="218" t="b">
        <v>1</v>
      </c>
      <c r="E1034" s="219" t="b">
        <v>0</v>
      </c>
      <c r="F1034" s="219" t="b">
        <v>0</v>
      </c>
      <c r="G1034" s="219"/>
    </row>
    <row r="1035">
      <c r="A1035" s="218">
        <f t="shared" si="1"/>
        <v>1034</v>
      </c>
      <c r="B1035" s="218" t="s">
        <v>202</v>
      </c>
      <c r="C1035" s="218" t="s">
        <v>4769</v>
      </c>
      <c r="D1035" s="218" t="b">
        <v>1</v>
      </c>
      <c r="E1035" s="219" t="b">
        <v>0</v>
      </c>
      <c r="F1035" s="219" t="b">
        <v>0</v>
      </c>
      <c r="G1035" s="219"/>
    </row>
    <row r="1036">
      <c r="A1036" s="218">
        <f t="shared" si="1"/>
        <v>1035</v>
      </c>
      <c r="B1036" s="218" t="s">
        <v>202</v>
      </c>
      <c r="C1036" s="218" t="s">
        <v>4999</v>
      </c>
      <c r="D1036" s="218" t="b">
        <v>1</v>
      </c>
      <c r="E1036" s="219" t="b">
        <v>0</v>
      </c>
      <c r="F1036" s="219" t="b">
        <v>0</v>
      </c>
      <c r="G1036" s="219"/>
    </row>
    <row r="1037">
      <c r="A1037" s="218">
        <f t="shared" si="1"/>
        <v>1036</v>
      </c>
      <c r="B1037" s="218" t="s">
        <v>202</v>
      </c>
      <c r="C1037" s="218" t="s">
        <v>4792</v>
      </c>
      <c r="D1037" s="218" t="b">
        <v>1</v>
      </c>
      <c r="E1037" s="219" t="b">
        <v>0</v>
      </c>
      <c r="F1037" s="219" t="b">
        <v>0</v>
      </c>
      <c r="G1037" s="219"/>
    </row>
    <row r="1038">
      <c r="A1038" s="218">
        <f t="shared" si="1"/>
        <v>1037</v>
      </c>
      <c r="B1038" s="218" t="s">
        <v>202</v>
      </c>
      <c r="C1038" s="218" t="s">
        <v>1270</v>
      </c>
      <c r="D1038" s="218" t="b">
        <v>1</v>
      </c>
      <c r="E1038" s="219" t="b">
        <v>0</v>
      </c>
      <c r="F1038" s="219" t="b">
        <v>0</v>
      </c>
      <c r="G1038" s="219"/>
    </row>
    <row r="1039">
      <c r="A1039" s="218">
        <f t="shared" si="1"/>
        <v>1038</v>
      </c>
      <c r="B1039" s="218" t="s">
        <v>202</v>
      </c>
      <c r="C1039" s="218" t="s">
        <v>4818</v>
      </c>
      <c r="D1039" s="218" t="b">
        <v>1</v>
      </c>
      <c r="E1039" s="219" t="b">
        <v>0</v>
      </c>
      <c r="F1039" s="219" t="b">
        <v>0</v>
      </c>
      <c r="G1039" s="219"/>
    </row>
    <row r="1040">
      <c r="A1040" s="218">
        <f t="shared" si="1"/>
        <v>1039</v>
      </c>
      <c r="B1040" s="218" t="s">
        <v>202</v>
      </c>
      <c r="C1040" s="218" t="s">
        <v>4684</v>
      </c>
      <c r="D1040" s="218" t="b">
        <v>1</v>
      </c>
      <c r="E1040" s="219" t="b">
        <v>0</v>
      </c>
      <c r="F1040" s="219" t="b">
        <v>0</v>
      </c>
      <c r="G1040" s="219"/>
    </row>
    <row r="1041">
      <c r="A1041" s="218">
        <f t="shared" si="1"/>
        <v>1040</v>
      </c>
      <c r="B1041" s="218" t="s">
        <v>202</v>
      </c>
      <c r="C1041" s="218" t="s">
        <v>4709</v>
      </c>
      <c r="D1041" s="218" t="b">
        <v>1</v>
      </c>
      <c r="E1041" s="219" t="b">
        <v>0</v>
      </c>
      <c r="F1041" s="219" t="b">
        <v>0</v>
      </c>
      <c r="G1041" s="219"/>
    </row>
    <row r="1042">
      <c r="A1042" s="218">
        <f t="shared" si="1"/>
        <v>1041</v>
      </c>
      <c r="B1042" s="218" t="s">
        <v>202</v>
      </c>
      <c r="C1042" s="218" t="s">
        <v>4693</v>
      </c>
      <c r="D1042" s="218" t="b">
        <v>1</v>
      </c>
      <c r="E1042" s="219" t="b">
        <v>0</v>
      </c>
      <c r="F1042" s="219" t="b">
        <v>0</v>
      </c>
      <c r="G1042" s="219"/>
    </row>
    <row r="1043">
      <c r="A1043" s="218">
        <f t="shared" si="1"/>
        <v>1042</v>
      </c>
      <c r="B1043" s="218" t="s">
        <v>202</v>
      </c>
      <c r="C1043" s="218" t="s">
        <v>4670</v>
      </c>
      <c r="D1043" s="218" t="b">
        <v>1</v>
      </c>
      <c r="E1043" s="219" t="b">
        <v>0</v>
      </c>
      <c r="F1043" s="219" t="b">
        <v>0</v>
      </c>
      <c r="G1043" s="219"/>
    </row>
    <row r="1044">
      <c r="A1044" s="218">
        <f t="shared" si="1"/>
        <v>1043</v>
      </c>
      <c r="B1044" s="218" t="s">
        <v>202</v>
      </c>
      <c r="C1044" s="218" t="s">
        <v>4611</v>
      </c>
      <c r="D1044" s="218" t="b">
        <v>1</v>
      </c>
      <c r="E1044" s="219" t="b">
        <v>0</v>
      </c>
      <c r="F1044" s="219" t="b">
        <v>0</v>
      </c>
      <c r="G1044" s="219"/>
    </row>
    <row r="1045">
      <c r="A1045" s="218">
        <f t="shared" si="1"/>
        <v>1044</v>
      </c>
      <c r="B1045" s="218" t="s">
        <v>202</v>
      </c>
      <c r="C1045" s="218" t="s">
        <v>4855</v>
      </c>
      <c r="D1045" s="218" t="b">
        <v>1</v>
      </c>
      <c r="E1045" s="219" t="b">
        <v>0</v>
      </c>
      <c r="F1045" s="219" t="b">
        <v>0</v>
      </c>
      <c r="G1045" s="219"/>
    </row>
    <row r="1046">
      <c r="A1046" s="218">
        <f t="shared" si="1"/>
        <v>1045</v>
      </c>
      <c r="B1046" s="218" t="s">
        <v>202</v>
      </c>
      <c r="C1046" s="218" t="s">
        <v>4764</v>
      </c>
      <c r="D1046" s="218" t="b">
        <v>1</v>
      </c>
      <c r="E1046" s="219" t="b">
        <v>0</v>
      </c>
      <c r="F1046" s="219" t="b">
        <v>0</v>
      </c>
      <c r="G1046" s="219"/>
    </row>
    <row r="1047">
      <c r="A1047" s="218">
        <f t="shared" si="1"/>
        <v>1046</v>
      </c>
      <c r="B1047" s="218" t="s">
        <v>202</v>
      </c>
      <c r="C1047" s="218" t="s">
        <v>4751</v>
      </c>
      <c r="D1047" s="218" t="b">
        <v>1</v>
      </c>
      <c r="E1047" s="219" t="b">
        <v>0</v>
      </c>
      <c r="F1047" s="219" t="b">
        <v>0</v>
      </c>
      <c r="G1047" s="219"/>
    </row>
    <row r="1048">
      <c r="A1048" s="218">
        <f t="shared" si="1"/>
        <v>1047</v>
      </c>
      <c r="B1048" s="218" t="s">
        <v>202</v>
      </c>
      <c r="C1048" s="218" t="s">
        <v>4673</v>
      </c>
      <c r="D1048" s="218" t="b">
        <v>1</v>
      </c>
      <c r="E1048" s="219" t="b">
        <v>0</v>
      </c>
      <c r="F1048" s="219" t="b">
        <v>0</v>
      </c>
      <c r="G1048" s="219"/>
    </row>
    <row r="1049">
      <c r="A1049" s="218">
        <f t="shared" si="1"/>
        <v>1048</v>
      </c>
      <c r="B1049" s="218" t="s">
        <v>202</v>
      </c>
      <c r="C1049" s="218" t="s">
        <v>4847</v>
      </c>
      <c r="D1049" s="218" t="b">
        <v>1</v>
      </c>
      <c r="E1049" s="219" t="b">
        <v>0</v>
      </c>
      <c r="F1049" s="219" t="b">
        <v>0</v>
      </c>
      <c r="G1049" s="219"/>
    </row>
    <row r="1050">
      <c r="A1050" s="218">
        <f t="shared" si="1"/>
        <v>1049</v>
      </c>
      <c r="B1050" s="218" t="s">
        <v>202</v>
      </c>
      <c r="C1050" s="218" t="s">
        <v>4399</v>
      </c>
      <c r="D1050" s="218" t="b">
        <v>1</v>
      </c>
      <c r="E1050" s="219" t="b">
        <v>0</v>
      </c>
      <c r="F1050" s="219" t="b">
        <v>0</v>
      </c>
      <c r="G1050" s="219"/>
    </row>
    <row r="1051">
      <c r="A1051" s="218">
        <f t="shared" si="1"/>
        <v>1050</v>
      </c>
      <c r="B1051" s="218" t="s">
        <v>202</v>
      </c>
      <c r="C1051" s="218" t="s">
        <v>4311</v>
      </c>
      <c r="D1051" s="218" t="b">
        <v>1</v>
      </c>
      <c r="E1051" s="219" t="b">
        <v>0</v>
      </c>
      <c r="F1051" s="219" t="b">
        <v>0</v>
      </c>
      <c r="G1051" s="219"/>
    </row>
    <row r="1052">
      <c r="A1052" s="218">
        <f t="shared" si="1"/>
        <v>1051</v>
      </c>
      <c r="B1052" s="218" t="s">
        <v>202</v>
      </c>
      <c r="C1052" s="218" t="s">
        <v>4262</v>
      </c>
      <c r="D1052" s="218" t="b">
        <v>1</v>
      </c>
      <c r="E1052" s="219" t="b">
        <v>0</v>
      </c>
      <c r="F1052" s="219" t="b">
        <v>0</v>
      </c>
      <c r="G1052" s="219"/>
    </row>
    <row r="1053">
      <c r="A1053" s="218">
        <f t="shared" si="1"/>
        <v>1052</v>
      </c>
      <c r="B1053" s="218" t="s">
        <v>202</v>
      </c>
      <c r="C1053" s="218" t="s">
        <v>560</v>
      </c>
      <c r="D1053" s="218" t="b">
        <v>1</v>
      </c>
      <c r="E1053" s="219" t="b">
        <v>0</v>
      </c>
      <c r="F1053" s="219" t="b">
        <v>0</v>
      </c>
      <c r="G1053" s="219"/>
    </row>
    <row r="1054">
      <c r="A1054" s="218">
        <f t="shared" si="1"/>
        <v>1053</v>
      </c>
      <c r="B1054" s="218" t="s">
        <v>202</v>
      </c>
      <c r="C1054" s="218" t="s">
        <v>1123</v>
      </c>
      <c r="D1054" s="218" t="b">
        <v>1</v>
      </c>
      <c r="E1054" s="219" t="b">
        <v>0</v>
      </c>
      <c r="F1054" s="219" t="b">
        <v>0</v>
      </c>
      <c r="G1054" s="219"/>
    </row>
    <row r="1055">
      <c r="A1055" s="218">
        <f t="shared" si="1"/>
        <v>1054</v>
      </c>
      <c r="B1055" s="218" t="s">
        <v>202</v>
      </c>
      <c r="C1055" s="218" t="s">
        <v>4148</v>
      </c>
      <c r="D1055" s="218" t="b">
        <v>1</v>
      </c>
      <c r="E1055" s="219" t="b">
        <v>0</v>
      </c>
      <c r="F1055" s="219" t="b">
        <v>0</v>
      </c>
      <c r="G1055" s="219"/>
    </row>
    <row r="1056">
      <c r="A1056" s="218">
        <f t="shared" si="1"/>
        <v>1055</v>
      </c>
      <c r="B1056" s="218" t="s">
        <v>202</v>
      </c>
      <c r="C1056" s="218" t="s">
        <v>4371</v>
      </c>
      <c r="D1056" s="218" t="b">
        <v>1</v>
      </c>
      <c r="E1056" s="219" t="b">
        <v>0</v>
      </c>
      <c r="F1056" s="219" t="b">
        <v>0</v>
      </c>
      <c r="G1056" s="219"/>
    </row>
    <row r="1057">
      <c r="A1057" s="218">
        <f t="shared" si="1"/>
        <v>1056</v>
      </c>
      <c r="B1057" s="218" t="s">
        <v>202</v>
      </c>
      <c r="C1057" s="218" t="s">
        <v>4271</v>
      </c>
      <c r="D1057" s="218" t="b">
        <v>1</v>
      </c>
      <c r="E1057" s="219" t="b">
        <v>0</v>
      </c>
      <c r="F1057" s="219" t="b">
        <v>0</v>
      </c>
      <c r="G1057" s="219"/>
    </row>
    <row r="1058">
      <c r="A1058" s="218">
        <f t="shared" si="1"/>
        <v>1057</v>
      </c>
      <c r="B1058" s="218" t="s">
        <v>202</v>
      </c>
      <c r="C1058" s="218" t="s">
        <v>4356</v>
      </c>
      <c r="D1058" s="218" t="b">
        <v>1</v>
      </c>
      <c r="E1058" s="219" t="b">
        <v>0</v>
      </c>
      <c r="F1058" s="219" t="b">
        <v>0</v>
      </c>
      <c r="G1058" s="219"/>
    </row>
    <row r="1059">
      <c r="A1059" s="218">
        <f t="shared" si="1"/>
        <v>1058</v>
      </c>
      <c r="B1059" s="218" t="s">
        <v>202</v>
      </c>
      <c r="C1059" s="218" t="s">
        <v>2109</v>
      </c>
      <c r="D1059" s="218" t="b">
        <v>1</v>
      </c>
      <c r="E1059" s="219" t="b">
        <v>0</v>
      </c>
      <c r="F1059" s="219" t="b">
        <v>0</v>
      </c>
      <c r="G1059" s="219"/>
    </row>
    <row r="1060">
      <c r="A1060" s="218">
        <f t="shared" si="1"/>
        <v>1059</v>
      </c>
      <c r="B1060" s="218" t="s">
        <v>202</v>
      </c>
      <c r="C1060" s="218" t="s">
        <v>2480</v>
      </c>
      <c r="D1060" s="218" t="b">
        <v>1</v>
      </c>
      <c r="E1060" s="219" t="b">
        <v>0</v>
      </c>
      <c r="F1060" s="219" t="b">
        <v>0</v>
      </c>
      <c r="G1060" s="219"/>
    </row>
    <row r="1061">
      <c r="A1061" s="218">
        <f t="shared" si="1"/>
        <v>1060</v>
      </c>
      <c r="B1061" s="218" t="s">
        <v>202</v>
      </c>
      <c r="C1061" s="218" t="s">
        <v>4281</v>
      </c>
      <c r="D1061" s="218" t="b">
        <v>1</v>
      </c>
      <c r="E1061" s="219" t="b">
        <v>0</v>
      </c>
      <c r="F1061" s="219" t="b">
        <v>0</v>
      </c>
      <c r="G1061" s="219"/>
    </row>
    <row r="1062">
      <c r="A1062" s="218">
        <f t="shared" si="1"/>
        <v>1061</v>
      </c>
      <c r="B1062" s="218" t="s">
        <v>202</v>
      </c>
      <c r="C1062" s="218" t="s">
        <v>2149</v>
      </c>
      <c r="D1062" s="218" t="b">
        <v>1</v>
      </c>
      <c r="E1062" s="219" t="b">
        <v>0</v>
      </c>
      <c r="F1062" s="219" t="b">
        <v>0</v>
      </c>
      <c r="G1062" s="219"/>
    </row>
    <row r="1063">
      <c r="A1063" s="218">
        <f t="shared" si="1"/>
        <v>1062</v>
      </c>
      <c r="B1063" s="218" t="s">
        <v>202</v>
      </c>
      <c r="C1063" s="218" t="s">
        <v>4422</v>
      </c>
      <c r="D1063" s="218" t="b">
        <v>1</v>
      </c>
      <c r="E1063" s="219" t="b">
        <v>0</v>
      </c>
      <c r="F1063" s="219" t="b">
        <v>0</v>
      </c>
      <c r="G1063" s="219"/>
    </row>
    <row r="1064">
      <c r="A1064" s="218">
        <f t="shared" si="1"/>
        <v>1063</v>
      </c>
      <c r="B1064" s="218" t="s">
        <v>202</v>
      </c>
      <c r="C1064" s="218" t="s">
        <v>4331</v>
      </c>
      <c r="D1064" s="218" t="b">
        <v>1</v>
      </c>
      <c r="E1064" s="219" t="b">
        <v>0</v>
      </c>
      <c r="F1064" s="219" t="b">
        <v>0</v>
      </c>
      <c r="G1064" s="219"/>
    </row>
    <row r="1065">
      <c r="A1065" s="218">
        <f t="shared" si="1"/>
        <v>1064</v>
      </c>
      <c r="B1065" s="218" t="s">
        <v>202</v>
      </c>
      <c r="C1065" s="218" t="s">
        <v>4225</v>
      </c>
      <c r="D1065" s="218" t="b">
        <v>1</v>
      </c>
      <c r="E1065" s="219" t="b">
        <v>0</v>
      </c>
      <c r="F1065" s="219" t="b">
        <v>0</v>
      </c>
      <c r="G1065" s="219"/>
    </row>
    <row r="1066">
      <c r="A1066" s="218">
        <f t="shared" si="1"/>
        <v>1065</v>
      </c>
      <c r="B1066" s="218" t="s">
        <v>202</v>
      </c>
      <c r="C1066" s="218" t="s">
        <v>4246</v>
      </c>
      <c r="D1066" s="218" t="b">
        <v>1</v>
      </c>
      <c r="E1066" s="219" t="b">
        <v>0</v>
      </c>
      <c r="F1066" s="219" t="b">
        <v>0</v>
      </c>
      <c r="G1066" s="219"/>
    </row>
    <row r="1067">
      <c r="A1067" s="218">
        <f t="shared" si="1"/>
        <v>1066</v>
      </c>
      <c r="B1067" s="218" t="s">
        <v>202</v>
      </c>
      <c r="C1067" s="218" t="s">
        <v>4336</v>
      </c>
      <c r="D1067" s="218" t="b">
        <v>1</v>
      </c>
      <c r="E1067" s="219" t="b">
        <v>0</v>
      </c>
      <c r="F1067" s="219" t="b">
        <v>0</v>
      </c>
      <c r="G1067" s="219"/>
    </row>
    <row r="1068">
      <c r="A1068" s="218">
        <f t="shared" si="1"/>
        <v>1067</v>
      </c>
      <c r="B1068" s="218" t="s">
        <v>202</v>
      </c>
      <c r="C1068" s="218" t="s">
        <v>4389</v>
      </c>
      <c r="D1068" s="218" t="b">
        <v>1</v>
      </c>
      <c r="E1068" s="219" t="b">
        <v>0</v>
      </c>
      <c r="F1068" s="219" t="b">
        <v>0</v>
      </c>
      <c r="G1068" s="219"/>
    </row>
    <row r="1069">
      <c r="A1069" s="218">
        <f t="shared" si="1"/>
        <v>1068</v>
      </c>
      <c r="B1069" s="218" t="s">
        <v>202</v>
      </c>
      <c r="C1069" s="218" t="s">
        <v>4158</v>
      </c>
      <c r="D1069" s="218" t="b">
        <v>1</v>
      </c>
      <c r="E1069" s="219" t="b">
        <v>0</v>
      </c>
      <c r="F1069" s="219" t="b">
        <v>0</v>
      </c>
      <c r="G1069" s="219"/>
    </row>
    <row r="1070">
      <c r="A1070" s="218">
        <f t="shared" si="1"/>
        <v>1069</v>
      </c>
      <c r="B1070" s="218" t="s">
        <v>202</v>
      </c>
      <c r="C1070" s="218" t="s">
        <v>4427</v>
      </c>
      <c r="D1070" s="218" t="b">
        <v>1</v>
      </c>
      <c r="E1070" s="219" t="b">
        <v>0</v>
      </c>
      <c r="F1070" s="219" t="b">
        <v>0</v>
      </c>
      <c r="G1070" s="219"/>
    </row>
    <row r="1071">
      <c r="A1071" s="218">
        <f t="shared" si="1"/>
        <v>1070</v>
      </c>
      <c r="B1071" s="218" t="s">
        <v>202</v>
      </c>
      <c r="C1071" s="218" t="s">
        <v>4214</v>
      </c>
      <c r="D1071" s="218" t="b">
        <v>1</v>
      </c>
      <c r="E1071" s="219" t="b">
        <v>0</v>
      </c>
      <c r="F1071" s="219" t="b">
        <v>0</v>
      </c>
      <c r="G1071" s="219"/>
    </row>
    <row r="1072">
      <c r="A1072" s="218">
        <f t="shared" si="1"/>
        <v>1071</v>
      </c>
      <c r="B1072" s="218" t="s">
        <v>202</v>
      </c>
      <c r="C1072" s="218" t="s">
        <v>4230</v>
      </c>
      <c r="D1072" s="218" t="b">
        <v>1</v>
      </c>
      <c r="E1072" s="219" t="b">
        <v>0</v>
      </c>
      <c r="F1072" s="219" t="b">
        <v>0</v>
      </c>
      <c r="G1072" s="219"/>
    </row>
    <row r="1073">
      <c r="A1073" s="218">
        <f t="shared" si="1"/>
        <v>1072</v>
      </c>
      <c r="B1073" s="218" t="s">
        <v>202</v>
      </c>
      <c r="C1073" s="218" t="s">
        <v>4445</v>
      </c>
      <c r="D1073" s="218" t="b">
        <v>1</v>
      </c>
      <c r="E1073" s="219" t="b">
        <v>0</v>
      </c>
      <c r="F1073" s="219" t="b">
        <v>0</v>
      </c>
      <c r="G1073" s="219"/>
    </row>
    <row r="1074">
      <c r="A1074" s="218">
        <f t="shared" si="1"/>
        <v>1073</v>
      </c>
      <c r="B1074" s="218" t="s">
        <v>202</v>
      </c>
      <c r="C1074" s="218" t="s">
        <v>4461</v>
      </c>
      <c r="D1074" s="218" t="b">
        <v>1</v>
      </c>
      <c r="E1074" s="219" t="b">
        <v>0</v>
      </c>
      <c r="F1074" s="219" t="b">
        <v>0</v>
      </c>
      <c r="G1074" s="219"/>
    </row>
    <row r="1075">
      <c r="A1075" s="218">
        <f t="shared" si="1"/>
        <v>1074</v>
      </c>
      <c r="B1075" s="218" t="s">
        <v>202</v>
      </c>
      <c r="C1075" s="218" t="s">
        <v>4302</v>
      </c>
      <c r="D1075" s="218" t="b">
        <v>1</v>
      </c>
      <c r="E1075" s="219" t="b">
        <v>0</v>
      </c>
      <c r="F1075" s="219" t="b">
        <v>0</v>
      </c>
      <c r="G1075" s="219"/>
    </row>
    <row r="1076">
      <c r="A1076" s="218">
        <f t="shared" si="1"/>
        <v>1075</v>
      </c>
      <c r="B1076" s="218" t="s">
        <v>202</v>
      </c>
      <c r="C1076" s="218" t="s">
        <v>4346</v>
      </c>
      <c r="D1076" s="218" t="b">
        <v>1</v>
      </c>
      <c r="E1076" s="219" t="b">
        <v>0</v>
      </c>
      <c r="F1076" s="219" t="b">
        <v>0</v>
      </c>
      <c r="G1076" s="219"/>
    </row>
    <row r="1077">
      <c r="A1077" s="218">
        <f t="shared" si="1"/>
        <v>1076</v>
      </c>
      <c r="B1077" s="218" t="s">
        <v>202</v>
      </c>
      <c r="C1077" s="218" t="s">
        <v>4361</v>
      </c>
      <c r="D1077" s="218" t="b">
        <v>1</v>
      </c>
      <c r="E1077" s="219" t="b">
        <v>0</v>
      </c>
      <c r="F1077" s="219" t="b">
        <v>0</v>
      </c>
      <c r="G1077" s="219"/>
    </row>
    <row r="1078">
      <c r="A1078" s="218">
        <f t="shared" si="1"/>
        <v>1077</v>
      </c>
      <c r="B1078" s="218" t="s">
        <v>202</v>
      </c>
      <c r="C1078" s="218" t="s">
        <v>4410</v>
      </c>
      <c r="D1078" s="218" t="b">
        <v>1</v>
      </c>
      <c r="E1078" s="219" t="b">
        <v>0</v>
      </c>
      <c r="F1078" s="219" t="b">
        <v>0</v>
      </c>
      <c r="G1078" s="219"/>
    </row>
    <row r="1079">
      <c r="A1079" s="218">
        <f t="shared" si="1"/>
        <v>1078</v>
      </c>
      <c r="B1079" s="218" t="s">
        <v>202</v>
      </c>
      <c r="C1079" s="218" t="s">
        <v>4449</v>
      </c>
      <c r="D1079" s="218" t="b">
        <v>1</v>
      </c>
      <c r="E1079" s="219" t="b">
        <v>0</v>
      </c>
      <c r="F1079" s="219" t="b">
        <v>0</v>
      </c>
      <c r="G1079" s="219"/>
    </row>
    <row r="1080">
      <c r="A1080" s="218">
        <f t="shared" si="1"/>
        <v>1079</v>
      </c>
      <c r="B1080" s="218" t="s">
        <v>202</v>
      </c>
      <c r="C1080" s="218" t="s">
        <v>1393</v>
      </c>
      <c r="D1080" s="218" t="b">
        <v>1</v>
      </c>
      <c r="E1080" s="219" t="b">
        <v>0</v>
      </c>
      <c r="F1080" s="219" t="b">
        <v>0</v>
      </c>
      <c r="G1080" s="219"/>
    </row>
    <row r="1081">
      <c r="A1081" s="157"/>
      <c r="B1081" s="216"/>
      <c r="C1081" s="157"/>
      <c r="D1081" s="157"/>
      <c r="E1081" s="157"/>
      <c r="F1081" s="157"/>
      <c r="G1081" s="216"/>
    </row>
    <row r="1082">
      <c r="A1082" s="157"/>
      <c r="B1082" s="216"/>
      <c r="C1082" s="157"/>
      <c r="D1082" s="216"/>
      <c r="E1082" s="216"/>
      <c r="F1082" s="216"/>
      <c r="G1082" s="216"/>
    </row>
    <row r="1083">
      <c r="A1083" s="157"/>
      <c r="B1083" s="216"/>
      <c r="C1083" s="157"/>
      <c r="D1083" s="216"/>
      <c r="E1083" s="216"/>
      <c r="F1083" s="216"/>
      <c r="G1083" s="216"/>
    </row>
    <row r="1084">
      <c r="A1084" s="157"/>
      <c r="B1084" s="216"/>
      <c r="C1084" s="157"/>
      <c r="D1084" s="216"/>
      <c r="E1084" s="216"/>
      <c r="F1084" s="216"/>
      <c r="G1084" s="216"/>
    </row>
    <row r="1085">
      <c r="A1085" s="157"/>
      <c r="B1085" s="216"/>
      <c r="C1085" s="157"/>
      <c r="D1085" s="216"/>
      <c r="E1085" s="216"/>
      <c r="F1085" s="216"/>
      <c r="G1085" s="216"/>
    </row>
    <row r="1086">
      <c r="A1086" s="157"/>
      <c r="B1086" s="216"/>
      <c r="C1086" s="157"/>
      <c r="D1086" s="216"/>
      <c r="E1086" s="216"/>
      <c r="F1086" s="216"/>
      <c r="G1086" s="216"/>
    </row>
    <row r="1087">
      <c r="A1087" s="157"/>
      <c r="B1087" s="216"/>
      <c r="C1087" s="157"/>
      <c r="D1087" s="216"/>
      <c r="E1087" s="216"/>
      <c r="F1087" s="216"/>
      <c r="G1087" s="216"/>
    </row>
    <row r="1088">
      <c r="A1088" s="157"/>
      <c r="B1088" s="216"/>
      <c r="C1088" s="157"/>
      <c r="D1088" s="216"/>
      <c r="E1088" s="216"/>
      <c r="F1088" s="216"/>
      <c r="G1088" s="216"/>
    </row>
    <row r="1089">
      <c r="A1089" s="157"/>
      <c r="B1089" s="216"/>
      <c r="C1089" s="157"/>
      <c r="D1089" s="216"/>
      <c r="E1089" s="216"/>
      <c r="F1089" s="216"/>
      <c r="G1089" s="216"/>
    </row>
    <row r="1090">
      <c r="A1090" s="157"/>
      <c r="B1090" s="216"/>
      <c r="C1090" s="157"/>
      <c r="D1090" s="216"/>
      <c r="E1090" s="216"/>
      <c r="F1090" s="216"/>
      <c r="G1090" s="216"/>
    </row>
    <row r="1091">
      <c r="A1091" s="157"/>
      <c r="B1091" s="216"/>
      <c r="C1091" s="157"/>
      <c r="D1091" s="216"/>
      <c r="E1091" s="216"/>
      <c r="F1091" s="216"/>
      <c r="G1091" s="216"/>
    </row>
    <row r="1092">
      <c r="A1092" s="157"/>
      <c r="B1092" s="216"/>
      <c r="C1092" s="157"/>
      <c r="D1092" s="216"/>
      <c r="E1092" s="216"/>
      <c r="F1092" s="216"/>
      <c r="G1092" s="216"/>
    </row>
    <row r="1093">
      <c r="A1093" s="157"/>
      <c r="B1093" s="216"/>
      <c r="C1093" s="157"/>
      <c r="D1093" s="216"/>
      <c r="E1093" s="216"/>
      <c r="F1093" s="216"/>
      <c r="G1093" s="216"/>
    </row>
    <row r="1094">
      <c r="A1094" s="157"/>
      <c r="B1094" s="216"/>
      <c r="C1094" s="157"/>
      <c r="D1094" s="216"/>
      <c r="E1094" s="216"/>
      <c r="F1094" s="216"/>
      <c r="G1094" s="216"/>
    </row>
    <row r="1095">
      <c r="A1095" s="157"/>
      <c r="B1095" s="216"/>
      <c r="C1095" s="157"/>
      <c r="D1095" s="216"/>
      <c r="E1095" s="216"/>
      <c r="F1095" s="216"/>
      <c r="G1095" s="216"/>
    </row>
    <row r="1096">
      <c r="A1096" s="157"/>
      <c r="B1096" s="216"/>
      <c r="C1096" s="157"/>
      <c r="D1096" s="216"/>
      <c r="E1096" s="216"/>
      <c r="F1096" s="216"/>
      <c r="G1096" s="216"/>
    </row>
    <row r="1097">
      <c r="A1097" s="157"/>
      <c r="B1097" s="216"/>
      <c r="C1097" s="157"/>
      <c r="D1097" s="216"/>
      <c r="E1097" s="216"/>
      <c r="F1097" s="216"/>
      <c r="G1097" s="216"/>
    </row>
    <row r="1098">
      <c r="A1098" s="157"/>
      <c r="B1098" s="216"/>
      <c r="C1098" s="157"/>
      <c r="D1098" s="216"/>
      <c r="E1098" s="216"/>
      <c r="F1098" s="216"/>
      <c r="G1098" s="216"/>
    </row>
    <row r="1099">
      <c r="A1099" s="157"/>
      <c r="B1099" s="216"/>
      <c r="C1099" s="157"/>
      <c r="D1099" s="216"/>
      <c r="E1099" s="216"/>
      <c r="F1099" s="216"/>
      <c r="G1099" s="216"/>
    </row>
    <row r="1100">
      <c r="A1100" s="157"/>
      <c r="B1100" s="216"/>
      <c r="C1100" s="157"/>
      <c r="D1100" s="216"/>
      <c r="E1100" s="216"/>
      <c r="F1100" s="216"/>
      <c r="G1100" s="216"/>
    </row>
    <row r="1101">
      <c r="A1101" s="157"/>
      <c r="B1101" s="216"/>
      <c r="C1101" s="157"/>
      <c r="D1101" s="216"/>
      <c r="E1101" s="216"/>
      <c r="F1101" s="216"/>
      <c r="G1101" s="216"/>
    </row>
    <row r="1102">
      <c r="A1102" s="157"/>
      <c r="B1102" s="216"/>
      <c r="C1102" s="157"/>
      <c r="D1102" s="216"/>
      <c r="E1102" s="216"/>
      <c r="F1102" s="216"/>
      <c r="G1102" s="216"/>
    </row>
    <row r="1103">
      <c r="A1103" s="157"/>
      <c r="B1103" s="216"/>
      <c r="C1103" s="157"/>
      <c r="D1103" s="216"/>
      <c r="E1103" s="216"/>
      <c r="F1103" s="216"/>
      <c r="G1103" s="216"/>
    </row>
    <row r="1104">
      <c r="A1104" s="157"/>
      <c r="B1104" s="216"/>
      <c r="C1104" s="157"/>
      <c r="D1104" s="216"/>
      <c r="E1104" s="216"/>
      <c r="F1104" s="216"/>
      <c r="G1104" s="216"/>
    </row>
    <row r="1105">
      <c r="A1105" s="157"/>
      <c r="B1105" s="216"/>
      <c r="C1105" s="157"/>
      <c r="D1105" s="216"/>
      <c r="E1105" s="216"/>
      <c r="F1105" s="216"/>
      <c r="G1105" s="216"/>
    </row>
    <row r="1106">
      <c r="A1106" s="157"/>
      <c r="B1106" s="216"/>
      <c r="C1106" s="157"/>
      <c r="D1106" s="216"/>
      <c r="E1106" s="216"/>
      <c r="F1106" s="216"/>
      <c r="G1106" s="216"/>
    </row>
    <row r="1107">
      <c r="A1107" s="157"/>
      <c r="B1107" s="216"/>
      <c r="C1107" s="157"/>
      <c r="D1107" s="216"/>
      <c r="E1107" s="216"/>
      <c r="F1107" s="216"/>
      <c r="G1107" s="216"/>
    </row>
    <row r="1108">
      <c r="A1108" s="157"/>
      <c r="B1108" s="216"/>
      <c r="C1108" s="157"/>
      <c r="D1108" s="216"/>
      <c r="E1108" s="216"/>
      <c r="F1108" s="216"/>
      <c r="G1108" s="216"/>
    </row>
    <row r="1109">
      <c r="A1109" s="157"/>
      <c r="B1109" s="216"/>
      <c r="C1109" s="157"/>
      <c r="D1109" s="216"/>
      <c r="E1109" s="216"/>
      <c r="F1109" s="216"/>
      <c r="G1109" s="216"/>
    </row>
    <row r="1110">
      <c r="A1110" s="157"/>
      <c r="B1110" s="216"/>
      <c r="C1110" s="157"/>
      <c r="D1110" s="216"/>
      <c r="E1110" s="216"/>
      <c r="F1110" s="216"/>
      <c r="G1110" s="216"/>
    </row>
    <row r="1111">
      <c r="A1111" s="157"/>
      <c r="B1111" s="216"/>
      <c r="C1111" s="157"/>
      <c r="D1111" s="216"/>
      <c r="E1111" s="216"/>
      <c r="F1111" s="216"/>
      <c r="G1111" s="216"/>
    </row>
    <row r="1112">
      <c r="A1112" s="157"/>
      <c r="B1112" s="216"/>
      <c r="C1112" s="157"/>
      <c r="D1112" s="216"/>
      <c r="E1112" s="216"/>
      <c r="F1112" s="216"/>
      <c r="G1112" s="216"/>
    </row>
    <row r="1113">
      <c r="A1113" s="157"/>
      <c r="B1113" s="216"/>
      <c r="C1113" s="157"/>
      <c r="D1113" s="216"/>
      <c r="E1113" s="216"/>
      <c r="F1113" s="216"/>
      <c r="G1113" s="216"/>
    </row>
    <row r="1114">
      <c r="A1114" s="157"/>
      <c r="B1114" s="216"/>
      <c r="C1114" s="157"/>
      <c r="D1114" s="216"/>
      <c r="E1114" s="216"/>
      <c r="F1114" s="216"/>
      <c r="G1114" s="216"/>
    </row>
    <row r="1115">
      <c r="A1115" s="157"/>
      <c r="B1115" s="216"/>
      <c r="C1115" s="157"/>
      <c r="D1115" s="216"/>
      <c r="E1115" s="216"/>
      <c r="F1115" s="216"/>
      <c r="G1115" s="216"/>
    </row>
    <row r="1116">
      <c r="A1116" s="157"/>
      <c r="B1116" s="216"/>
      <c r="C1116" s="157"/>
      <c r="D1116" s="216"/>
      <c r="E1116" s="216"/>
      <c r="F1116" s="216"/>
      <c r="G1116" s="216"/>
    </row>
    <row r="1117">
      <c r="A1117" s="157"/>
      <c r="B1117" s="216"/>
      <c r="C1117" s="157"/>
      <c r="D1117" s="216"/>
      <c r="E1117" s="216"/>
      <c r="F1117" s="216"/>
      <c r="G1117" s="216"/>
    </row>
    <row r="1118">
      <c r="A1118" s="157"/>
      <c r="B1118" s="216"/>
      <c r="C1118" s="157"/>
      <c r="D1118" s="216"/>
      <c r="E1118" s="216"/>
      <c r="F1118" s="216"/>
      <c r="G1118" s="216"/>
    </row>
    <row r="1119">
      <c r="A1119" s="157"/>
      <c r="B1119" s="216"/>
      <c r="C1119" s="157"/>
      <c r="D1119" s="216"/>
      <c r="E1119" s="216"/>
      <c r="F1119" s="216"/>
      <c r="G1119" s="216"/>
    </row>
    <row r="1120">
      <c r="A1120" s="157"/>
      <c r="B1120" s="216"/>
      <c r="C1120" s="157"/>
      <c r="D1120" s="216"/>
      <c r="E1120" s="216"/>
      <c r="F1120" s="216"/>
      <c r="G1120" s="216"/>
    </row>
    <row r="1121">
      <c r="A1121" s="157"/>
      <c r="B1121" s="216"/>
      <c r="C1121" s="157"/>
      <c r="D1121" s="216"/>
      <c r="E1121" s="216"/>
      <c r="F1121" s="216"/>
      <c r="G1121" s="216"/>
    </row>
    <row r="1122">
      <c r="A1122" s="157"/>
      <c r="B1122" s="216"/>
      <c r="C1122" s="157"/>
      <c r="D1122" s="216"/>
      <c r="E1122" s="216"/>
      <c r="F1122" s="216"/>
      <c r="G1122" s="216"/>
    </row>
    <row r="1123">
      <c r="A1123" s="157"/>
      <c r="B1123" s="216"/>
      <c r="C1123" s="157"/>
      <c r="D1123" s="216"/>
      <c r="E1123" s="216"/>
      <c r="F1123" s="216"/>
      <c r="G1123" s="216"/>
    </row>
    <row r="1124">
      <c r="A1124" s="157"/>
      <c r="B1124" s="216"/>
      <c r="C1124" s="157"/>
      <c r="D1124" s="216"/>
      <c r="E1124" s="216"/>
      <c r="F1124" s="216"/>
      <c r="G1124" s="216"/>
    </row>
    <row r="1125">
      <c r="A1125" s="157"/>
      <c r="B1125" s="216"/>
      <c r="C1125" s="157"/>
      <c r="D1125" s="216"/>
      <c r="E1125" s="216"/>
      <c r="F1125" s="216"/>
      <c r="G1125" s="216"/>
    </row>
    <row r="1126">
      <c r="A1126" s="157"/>
      <c r="B1126" s="216"/>
      <c r="C1126" s="157"/>
      <c r="D1126" s="216"/>
      <c r="E1126" s="216"/>
      <c r="F1126" s="216"/>
      <c r="G1126" s="216"/>
    </row>
    <row r="1127">
      <c r="A1127" s="157"/>
      <c r="B1127" s="216"/>
      <c r="C1127" s="157"/>
      <c r="D1127" s="216"/>
      <c r="E1127" s="216"/>
      <c r="F1127" s="216"/>
      <c r="G1127" s="216"/>
    </row>
    <row r="1128">
      <c r="A1128" s="157"/>
      <c r="B1128" s="216"/>
      <c r="C1128" s="157"/>
      <c r="D1128" s="216"/>
      <c r="E1128" s="216"/>
      <c r="F1128" s="216"/>
      <c r="G1128" s="216"/>
    </row>
    <row r="1129">
      <c r="A1129" s="157"/>
      <c r="B1129" s="216"/>
      <c r="C1129" s="157"/>
      <c r="D1129" s="216"/>
      <c r="E1129" s="216"/>
      <c r="F1129" s="216"/>
      <c r="G1129" s="216"/>
    </row>
    <row r="1130">
      <c r="A1130" s="157"/>
      <c r="B1130" s="216"/>
      <c r="C1130" s="157"/>
      <c r="D1130" s="216"/>
      <c r="E1130" s="216"/>
      <c r="F1130" s="216"/>
      <c r="G1130" s="216"/>
    </row>
    <row r="1131">
      <c r="A1131" s="157"/>
      <c r="B1131" s="216"/>
      <c r="C1131" s="157"/>
      <c r="D1131" s="216"/>
      <c r="E1131" s="216"/>
      <c r="F1131" s="216"/>
      <c r="G1131" s="216"/>
    </row>
    <row r="1132">
      <c r="A1132" s="157"/>
      <c r="B1132" s="216"/>
      <c r="C1132" s="157"/>
      <c r="D1132" s="216"/>
      <c r="E1132" s="216"/>
      <c r="F1132" s="216"/>
      <c r="G1132" s="216"/>
    </row>
    <row r="1133">
      <c r="A1133" s="157"/>
      <c r="B1133" s="216"/>
      <c r="C1133" s="157"/>
      <c r="D1133" s="216"/>
      <c r="E1133" s="216"/>
      <c r="F1133" s="216"/>
      <c r="G1133" s="216"/>
    </row>
    <row r="1134">
      <c r="A1134" s="157"/>
      <c r="B1134" s="216"/>
      <c r="C1134" s="157"/>
      <c r="D1134" s="216"/>
      <c r="E1134" s="216"/>
      <c r="F1134" s="216"/>
      <c r="G1134" s="216"/>
    </row>
    <row r="1135">
      <c r="A1135" s="157"/>
      <c r="B1135" s="216"/>
      <c r="C1135" s="157"/>
      <c r="D1135" s="216"/>
      <c r="E1135" s="216"/>
      <c r="F1135" s="216"/>
      <c r="G1135" s="216"/>
    </row>
    <row r="1136">
      <c r="A1136" s="157"/>
      <c r="B1136" s="216"/>
      <c r="C1136" s="157"/>
      <c r="D1136" s="216"/>
      <c r="E1136" s="216"/>
      <c r="F1136" s="216"/>
      <c r="G1136" s="216"/>
    </row>
    <row r="1137">
      <c r="A1137" s="157"/>
      <c r="B1137" s="216"/>
      <c r="C1137" s="157"/>
      <c r="D1137" s="216"/>
      <c r="E1137" s="216"/>
      <c r="F1137" s="216"/>
      <c r="G1137" s="216"/>
    </row>
    <row r="1138">
      <c r="A1138" s="157"/>
      <c r="B1138" s="216"/>
      <c r="C1138" s="157"/>
      <c r="D1138" s="216"/>
      <c r="E1138" s="216"/>
      <c r="F1138" s="216"/>
      <c r="G1138" s="216"/>
    </row>
    <row r="1139">
      <c r="A1139" s="157"/>
      <c r="B1139" s="216"/>
      <c r="C1139" s="157"/>
      <c r="D1139" s="216"/>
      <c r="E1139" s="216"/>
      <c r="F1139" s="216"/>
      <c r="G1139" s="216"/>
    </row>
    <row r="1140">
      <c r="A1140" s="157"/>
      <c r="B1140" s="216"/>
      <c r="C1140" s="157"/>
      <c r="D1140" s="216"/>
      <c r="E1140" s="216"/>
      <c r="F1140" s="216"/>
      <c r="G1140" s="216"/>
    </row>
    <row r="1141">
      <c r="A1141" s="157"/>
      <c r="B1141" s="216"/>
      <c r="C1141" s="157"/>
      <c r="D1141" s="216"/>
      <c r="E1141" s="216"/>
      <c r="F1141" s="216"/>
      <c r="G1141" s="216"/>
    </row>
    <row r="1142">
      <c r="A1142" s="157"/>
      <c r="B1142" s="216"/>
      <c r="C1142" s="157"/>
      <c r="D1142" s="216"/>
      <c r="E1142" s="216"/>
      <c r="F1142" s="216"/>
      <c r="G1142" s="216"/>
    </row>
    <row r="1143">
      <c r="A1143" s="157"/>
      <c r="B1143" s="216"/>
      <c r="C1143" s="157"/>
      <c r="D1143" s="216"/>
      <c r="E1143" s="216"/>
      <c r="F1143" s="216"/>
      <c r="G1143" s="216"/>
    </row>
    <row r="1144">
      <c r="A1144" s="157"/>
      <c r="B1144" s="216"/>
      <c r="C1144" s="157"/>
      <c r="D1144" s="216"/>
      <c r="E1144" s="216"/>
      <c r="F1144" s="216"/>
      <c r="G1144" s="216"/>
    </row>
    <row r="1145">
      <c r="A1145" s="157"/>
      <c r="B1145" s="216"/>
      <c r="C1145" s="157"/>
      <c r="D1145" s="216"/>
      <c r="E1145" s="216"/>
      <c r="F1145" s="216"/>
      <c r="G1145" s="216"/>
    </row>
    <row r="1146">
      <c r="A1146" s="157"/>
      <c r="B1146" s="216"/>
      <c r="C1146" s="157"/>
      <c r="D1146" s="216"/>
      <c r="E1146" s="216"/>
      <c r="F1146" s="216"/>
      <c r="G1146" s="216"/>
    </row>
    <row r="1147">
      <c r="A1147" s="157"/>
      <c r="B1147" s="216"/>
      <c r="C1147" s="157"/>
      <c r="D1147" s="216"/>
      <c r="E1147" s="216"/>
      <c r="F1147" s="216"/>
      <c r="G1147" s="216"/>
    </row>
    <row r="1148">
      <c r="A1148" s="157"/>
      <c r="B1148" s="216"/>
      <c r="C1148" s="157"/>
      <c r="D1148" s="216"/>
      <c r="E1148" s="216"/>
      <c r="F1148" s="216"/>
      <c r="G1148" s="216"/>
    </row>
    <row r="1149">
      <c r="A1149" s="157"/>
      <c r="B1149" s="216"/>
      <c r="C1149" s="157"/>
      <c r="D1149" s="216"/>
      <c r="E1149" s="216"/>
      <c r="F1149" s="216"/>
      <c r="G1149" s="216"/>
    </row>
    <row r="1150">
      <c r="A1150" s="157"/>
      <c r="B1150" s="216"/>
      <c r="C1150" s="157"/>
      <c r="D1150" s="216"/>
      <c r="E1150" s="216"/>
      <c r="F1150" s="216"/>
      <c r="G1150" s="216"/>
    </row>
    <row r="1151">
      <c r="A1151" s="157"/>
      <c r="B1151" s="216"/>
      <c r="C1151" s="157"/>
      <c r="D1151" s="216"/>
      <c r="E1151" s="216"/>
      <c r="F1151" s="216"/>
      <c r="G1151" s="216"/>
    </row>
    <row r="1152">
      <c r="A1152" s="157"/>
      <c r="B1152" s="216"/>
      <c r="C1152" s="157"/>
      <c r="D1152" s="216"/>
      <c r="E1152" s="216"/>
      <c r="F1152" s="216"/>
      <c r="G1152" s="216"/>
    </row>
    <row r="1153">
      <c r="A1153" s="157"/>
      <c r="B1153" s="216"/>
      <c r="C1153" s="157"/>
      <c r="D1153" s="216"/>
      <c r="E1153" s="216"/>
      <c r="F1153" s="216"/>
      <c r="G1153" s="216"/>
    </row>
    <row r="1154">
      <c r="A1154" s="157"/>
      <c r="B1154" s="216"/>
      <c r="C1154" s="157"/>
      <c r="D1154" s="216"/>
      <c r="E1154" s="216"/>
      <c r="F1154" s="216"/>
      <c r="G1154" s="216"/>
    </row>
    <row r="1155">
      <c r="A1155" s="157"/>
      <c r="B1155" s="216"/>
      <c r="C1155" s="157"/>
      <c r="D1155" s="216"/>
      <c r="E1155" s="216"/>
      <c r="F1155" s="216"/>
      <c r="G1155" s="216"/>
    </row>
    <row r="1156">
      <c r="A1156" s="157"/>
      <c r="B1156" s="216"/>
      <c r="C1156" s="157"/>
      <c r="D1156" s="216"/>
      <c r="E1156" s="216"/>
      <c r="F1156" s="216"/>
      <c r="G1156" s="216"/>
    </row>
    <row r="1157">
      <c r="A1157" s="157"/>
      <c r="B1157" s="216"/>
      <c r="C1157" s="157"/>
      <c r="D1157" s="216"/>
      <c r="E1157" s="216"/>
      <c r="F1157" s="216"/>
      <c r="G1157" s="216"/>
    </row>
    <row r="1158">
      <c r="A1158" s="157"/>
      <c r="B1158" s="216"/>
      <c r="C1158" s="157"/>
      <c r="D1158" s="216"/>
      <c r="E1158" s="216"/>
      <c r="F1158" s="216"/>
      <c r="G1158" s="216"/>
    </row>
    <row r="1159">
      <c r="A1159" s="157"/>
      <c r="B1159" s="216"/>
      <c r="C1159" s="157"/>
      <c r="D1159" s="216"/>
      <c r="E1159" s="216"/>
      <c r="F1159" s="216"/>
      <c r="G1159" s="216"/>
    </row>
    <row r="1160">
      <c r="A1160" s="157"/>
      <c r="B1160" s="216"/>
      <c r="C1160" s="157"/>
      <c r="D1160" s="216"/>
      <c r="E1160" s="216"/>
      <c r="F1160" s="216"/>
      <c r="G1160" s="216"/>
    </row>
    <row r="1161">
      <c r="A1161" s="157"/>
      <c r="B1161" s="216"/>
      <c r="C1161" s="157"/>
      <c r="D1161" s="216"/>
      <c r="E1161" s="216"/>
      <c r="F1161" s="216"/>
      <c r="G1161" s="216"/>
    </row>
    <row r="1162">
      <c r="A1162" s="157"/>
      <c r="B1162" s="216"/>
      <c r="C1162" s="157"/>
      <c r="D1162" s="216"/>
      <c r="E1162" s="216"/>
      <c r="F1162" s="216"/>
      <c r="G1162" s="216"/>
    </row>
    <row r="1163">
      <c r="A1163" s="157"/>
      <c r="B1163" s="216"/>
      <c r="C1163" s="157"/>
      <c r="D1163" s="216"/>
      <c r="E1163" s="216"/>
      <c r="F1163" s="216"/>
      <c r="G1163" s="216"/>
    </row>
    <row r="1164">
      <c r="A1164" s="157"/>
      <c r="B1164" s="216"/>
      <c r="C1164" s="157"/>
      <c r="D1164" s="216"/>
      <c r="E1164" s="216"/>
      <c r="F1164" s="216"/>
      <c r="G1164" s="216"/>
    </row>
    <row r="1165">
      <c r="A1165" s="157"/>
      <c r="B1165" s="216"/>
      <c r="C1165" s="157"/>
      <c r="D1165" s="216"/>
      <c r="E1165" s="216"/>
      <c r="F1165" s="216"/>
      <c r="G1165" s="216"/>
    </row>
    <row r="1166">
      <c r="A1166" s="157"/>
      <c r="B1166" s="216"/>
      <c r="C1166" s="157"/>
      <c r="D1166" s="216"/>
      <c r="E1166" s="216"/>
      <c r="F1166" s="216"/>
      <c r="G1166" s="216"/>
    </row>
    <row r="1167">
      <c r="A1167" s="157"/>
      <c r="B1167" s="216"/>
      <c r="C1167" s="157"/>
      <c r="D1167" s="216"/>
      <c r="E1167" s="216"/>
      <c r="F1167" s="216"/>
      <c r="G1167" s="216"/>
    </row>
    <row r="1168">
      <c r="A1168" s="157"/>
      <c r="B1168" s="216"/>
      <c r="C1168" s="157"/>
      <c r="D1168" s="216"/>
      <c r="E1168" s="216"/>
      <c r="F1168" s="216"/>
      <c r="G1168" s="216"/>
    </row>
    <row r="1169">
      <c r="A1169" s="157"/>
      <c r="B1169" s="216"/>
      <c r="C1169" s="157"/>
      <c r="D1169" s="216"/>
      <c r="E1169" s="216"/>
      <c r="F1169" s="216"/>
      <c r="G1169" s="216"/>
    </row>
    <row r="1170">
      <c r="A1170" s="157"/>
      <c r="B1170" s="216"/>
      <c r="C1170" s="157"/>
      <c r="D1170" s="216"/>
      <c r="E1170" s="216"/>
      <c r="F1170" s="216"/>
      <c r="G1170" s="216"/>
    </row>
    <row r="1171">
      <c r="A1171" s="157"/>
      <c r="B1171" s="216"/>
      <c r="C1171" s="157"/>
      <c r="D1171" s="216"/>
      <c r="E1171" s="216"/>
      <c r="F1171" s="216"/>
      <c r="G1171" s="216"/>
    </row>
    <row r="1172">
      <c r="A1172" s="157"/>
      <c r="B1172" s="216"/>
      <c r="C1172" s="157"/>
      <c r="D1172" s="216"/>
      <c r="E1172" s="216"/>
      <c r="F1172" s="216"/>
      <c r="G1172" s="216"/>
    </row>
    <row r="1173">
      <c r="A1173" s="157"/>
      <c r="B1173" s="216"/>
      <c r="C1173" s="157"/>
      <c r="D1173" s="216"/>
      <c r="E1173" s="216"/>
      <c r="F1173" s="216"/>
      <c r="G1173" s="216"/>
    </row>
    <row r="1174">
      <c r="A1174" s="157"/>
      <c r="B1174" s="216"/>
      <c r="C1174" s="157"/>
      <c r="D1174" s="216"/>
      <c r="E1174" s="216"/>
      <c r="F1174" s="216"/>
      <c r="G1174" s="216"/>
    </row>
    <row r="1175">
      <c r="A1175" s="157"/>
      <c r="B1175" s="216"/>
      <c r="C1175" s="157"/>
      <c r="D1175" s="216"/>
      <c r="E1175" s="216"/>
      <c r="F1175" s="216"/>
      <c r="G1175" s="216"/>
    </row>
    <row r="1176">
      <c r="A1176" s="157"/>
      <c r="B1176" s="216"/>
      <c r="C1176" s="157"/>
      <c r="D1176" s="216"/>
      <c r="E1176" s="216"/>
      <c r="F1176" s="216"/>
      <c r="G1176" s="216"/>
    </row>
    <row r="1177">
      <c r="A1177" s="157"/>
      <c r="B1177" s="216"/>
      <c r="C1177" s="157"/>
      <c r="D1177" s="216"/>
      <c r="E1177" s="216"/>
      <c r="F1177" s="216"/>
      <c r="G1177" s="216"/>
    </row>
    <row r="1178">
      <c r="A1178" s="157"/>
      <c r="B1178" s="216"/>
      <c r="C1178" s="157"/>
      <c r="D1178" s="216"/>
      <c r="E1178" s="216"/>
      <c r="F1178" s="216"/>
      <c r="G1178" s="216"/>
    </row>
    <row r="1179">
      <c r="A1179" s="157"/>
      <c r="B1179" s="216"/>
      <c r="C1179" s="157"/>
      <c r="D1179" s="216"/>
      <c r="E1179" s="216"/>
      <c r="F1179" s="216"/>
      <c r="G1179" s="216"/>
    </row>
    <row r="1180">
      <c r="A1180" s="157"/>
      <c r="B1180" s="216"/>
      <c r="C1180" s="157"/>
      <c r="D1180" s="216"/>
      <c r="E1180" s="216"/>
      <c r="F1180" s="216"/>
      <c r="G1180" s="216"/>
    </row>
    <row r="1181">
      <c r="A1181" s="157"/>
      <c r="B1181" s="216"/>
      <c r="C1181" s="157"/>
      <c r="D1181" s="216"/>
      <c r="E1181" s="216"/>
      <c r="F1181" s="216"/>
      <c r="G1181" s="216"/>
    </row>
    <row r="1182">
      <c r="A1182" s="157"/>
      <c r="B1182" s="216"/>
      <c r="C1182" s="157"/>
      <c r="D1182" s="216"/>
      <c r="E1182" s="216"/>
      <c r="F1182" s="216"/>
      <c r="G1182" s="216"/>
    </row>
    <row r="1183">
      <c r="A1183" s="157"/>
      <c r="B1183" s="216"/>
      <c r="C1183" s="157"/>
      <c r="D1183" s="216"/>
      <c r="E1183" s="216"/>
      <c r="F1183" s="216"/>
      <c r="G1183" s="216"/>
    </row>
    <row r="1184">
      <c r="A1184" s="157"/>
      <c r="B1184" s="216"/>
      <c r="C1184" s="157"/>
      <c r="D1184" s="216"/>
      <c r="E1184" s="216"/>
      <c r="F1184" s="216"/>
      <c r="G1184" s="216"/>
    </row>
    <row r="1185">
      <c r="A1185" s="157"/>
      <c r="B1185" s="216"/>
      <c r="C1185" s="157"/>
      <c r="D1185" s="216"/>
      <c r="E1185" s="216"/>
      <c r="F1185" s="216"/>
      <c r="G1185" s="216"/>
    </row>
    <row r="1186">
      <c r="A1186" s="157"/>
      <c r="B1186" s="216"/>
      <c r="C1186" s="157"/>
      <c r="D1186" s="216"/>
      <c r="E1186" s="216"/>
      <c r="F1186" s="216"/>
      <c r="G1186" s="216"/>
    </row>
    <row r="1187">
      <c r="A1187" s="157"/>
      <c r="B1187" s="216"/>
      <c r="C1187" s="157"/>
      <c r="D1187" s="216"/>
      <c r="E1187" s="216"/>
      <c r="F1187" s="216"/>
      <c r="G1187" s="216"/>
    </row>
    <row r="1188">
      <c r="A1188" s="157"/>
      <c r="B1188" s="216"/>
      <c r="C1188" s="157"/>
      <c r="D1188" s="216"/>
      <c r="E1188" s="216"/>
      <c r="F1188" s="216"/>
      <c r="G1188" s="216"/>
    </row>
    <row r="1189">
      <c r="A1189" s="157"/>
      <c r="B1189" s="216"/>
      <c r="C1189" s="157"/>
      <c r="D1189" s="216"/>
      <c r="E1189" s="216"/>
      <c r="F1189" s="216"/>
      <c r="G1189" s="216"/>
    </row>
    <row r="1190">
      <c r="A1190" s="157"/>
      <c r="B1190" s="216"/>
      <c r="C1190" s="157"/>
      <c r="D1190" s="216"/>
      <c r="E1190" s="216"/>
      <c r="F1190" s="216"/>
      <c r="G1190" s="216"/>
    </row>
    <row r="1191">
      <c r="A1191" s="157"/>
      <c r="B1191" s="216"/>
      <c r="C1191" s="157"/>
      <c r="D1191" s="216"/>
      <c r="E1191" s="216"/>
      <c r="F1191" s="216"/>
      <c r="G1191" s="216"/>
    </row>
    <row r="1192">
      <c r="A1192" s="157"/>
      <c r="B1192" s="216"/>
      <c r="C1192" s="157"/>
      <c r="D1192" s="216"/>
      <c r="E1192" s="216"/>
      <c r="F1192" s="216"/>
      <c r="G1192" s="216"/>
    </row>
    <row r="1193">
      <c r="A1193" s="157"/>
      <c r="B1193" s="216"/>
      <c r="C1193" s="157"/>
      <c r="D1193" s="216"/>
      <c r="E1193" s="216"/>
      <c r="F1193" s="216"/>
      <c r="G1193" s="216"/>
    </row>
    <row r="1194">
      <c r="A1194" s="157"/>
      <c r="B1194" s="216"/>
      <c r="C1194" s="157"/>
      <c r="D1194" s="216"/>
      <c r="E1194" s="216"/>
      <c r="F1194" s="216"/>
      <c r="G1194" s="216"/>
    </row>
    <row r="1195">
      <c r="A1195" s="157"/>
      <c r="B1195" s="216"/>
      <c r="C1195" s="157"/>
      <c r="D1195" s="216"/>
      <c r="E1195" s="216"/>
      <c r="F1195" s="216"/>
      <c r="G1195" s="216"/>
    </row>
    <row r="1196">
      <c r="A1196" s="157"/>
      <c r="B1196" s="216"/>
      <c r="C1196" s="157"/>
      <c r="D1196" s="216"/>
      <c r="E1196" s="216"/>
      <c r="F1196" s="216"/>
      <c r="G1196" s="216"/>
    </row>
    <row r="1197">
      <c r="A1197" s="157"/>
      <c r="B1197" s="216"/>
      <c r="C1197" s="157"/>
      <c r="D1197" s="216"/>
      <c r="E1197" s="216"/>
      <c r="F1197" s="216"/>
      <c r="G1197" s="216"/>
    </row>
    <row r="1198">
      <c r="A1198" s="157"/>
      <c r="B1198" s="216"/>
      <c r="C1198" s="157"/>
      <c r="D1198" s="216"/>
      <c r="E1198" s="216"/>
      <c r="F1198" s="216"/>
      <c r="G1198" s="216"/>
    </row>
    <row r="1199">
      <c r="A1199" s="157"/>
      <c r="B1199" s="216"/>
      <c r="C1199" s="157"/>
      <c r="D1199" s="216"/>
      <c r="E1199" s="216"/>
      <c r="F1199" s="216"/>
      <c r="G1199" s="216"/>
    </row>
    <row r="1200">
      <c r="A1200" s="157"/>
      <c r="B1200" s="216"/>
      <c r="C1200" s="157"/>
      <c r="D1200" s="216"/>
      <c r="E1200" s="216"/>
      <c r="F1200" s="216"/>
      <c r="G1200" s="216"/>
    </row>
    <row r="1201">
      <c r="A1201" s="157"/>
      <c r="B1201" s="216"/>
      <c r="C1201" s="157"/>
      <c r="D1201" s="216"/>
      <c r="E1201" s="216"/>
      <c r="F1201" s="216"/>
      <c r="G1201" s="216"/>
    </row>
    <row r="1202">
      <c r="A1202" s="157"/>
      <c r="B1202" s="216"/>
      <c r="C1202" s="157"/>
      <c r="D1202" s="216"/>
      <c r="E1202" s="216"/>
      <c r="F1202" s="216"/>
      <c r="G1202" s="216"/>
    </row>
    <row r="1203">
      <c r="A1203" s="157"/>
      <c r="B1203" s="216"/>
      <c r="C1203" s="157"/>
      <c r="D1203" s="216"/>
      <c r="E1203" s="216"/>
      <c r="F1203" s="216"/>
      <c r="G1203" s="216"/>
    </row>
    <row r="1204">
      <c r="A1204" s="157"/>
      <c r="B1204" s="216"/>
      <c r="C1204" s="157"/>
      <c r="D1204" s="216"/>
      <c r="E1204" s="216"/>
      <c r="F1204" s="216"/>
      <c r="G1204" s="216"/>
    </row>
    <row r="1205">
      <c r="A1205" s="157"/>
      <c r="B1205" s="216"/>
      <c r="C1205" s="157"/>
      <c r="D1205" s="216"/>
      <c r="E1205" s="216"/>
      <c r="F1205" s="216"/>
      <c r="G1205" s="216"/>
    </row>
    <row r="1206">
      <c r="A1206" s="157"/>
      <c r="B1206" s="216"/>
      <c r="C1206" s="157"/>
      <c r="D1206" s="216"/>
      <c r="E1206" s="216"/>
      <c r="F1206" s="216"/>
      <c r="G1206" s="216"/>
    </row>
    <row r="1207">
      <c r="A1207" s="157"/>
      <c r="B1207" s="216"/>
      <c r="C1207" s="157"/>
      <c r="D1207" s="216"/>
      <c r="E1207" s="216"/>
      <c r="F1207" s="216"/>
      <c r="G1207" s="216"/>
    </row>
    <row r="1208">
      <c r="A1208" s="157"/>
      <c r="B1208" s="216"/>
      <c r="C1208" s="157"/>
      <c r="D1208" s="216"/>
      <c r="E1208" s="216"/>
      <c r="F1208" s="216"/>
      <c r="G1208" s="216"/>
    </row>
    <row r="1209">
      <c r="A1209" s="157"/>
      <c r="B1209" s="216"/>
      <c r="C1209" s="157"/>
      <c r="D1209" s="216"/>
      <c r="E1209" s="216"/>
      <c r="F1209" s="216"/>
      <c r="G1209" s="216"/>
    </row>
    <row r="1210">
      <c r="A1210" s="157"/>
      <c r="B1210" s="216"/>
      <c r="C1210" s="157"/>
      <c r="D1210" s="216"/>
      <c r="E1210" s="216"/>
      <c r="F1210" s="216"/>
      <c r="G1210" s="216"/>
    </row>
    <row r="1211">
      <c r="A1211" s="157"/>
      <c r="B1211" s="216"/>
      <c r="C1211" s="157"/>
      <c r="D1211" s="216"/>
      <c r="E1211" s="216"/>
      <c r="F1211" s="216"/>
      <c r="G1211" s="216"/>
    </row>
    <row r="1212">
      <c r="A1212" s="157"/>
      <c r="B1212" s="216"/>
      <c r="C1212" s="157"/>
      <c r="D1212" s="216"/>
      <c r="E1212" s="216"/>
      <c r="F1212" s="216"/>
      <c r="G1212" s="216"/>
    </row>
    <row r="1213">
      <c r="A1213" s="157"/>
      <c r="B1213" s="216"/>
      <c r="C1213" s="157"/>
      <c r="D1213" s="216"/>
      <c r="E1213" s="216"/>
      <c r="F1213" s="216"/>
      <c r="G1213" s="216"/>
    </row>
    <row r="1214">
      <c r="A1214" s="157"/>
      <c r="B1214" s="216"/>
      <c r="C1214" s="157"/>
      <c r="D1214" s="216"/>
      <c r="E1214" s="216"/>
      <c r="F1214" s="216"/>
      <c r="G1214" s="216"/>
    </row>
    <row r="1215">
      <c r="A1215" s="157"/>
      <c r="B1215" s="216"/>
      <c r="C1215" s="157"/>
      <c r="D1215" s="216"/>
      <c r="E1215" s="216"/>
      <c r="F1215" s="216"/>
      <c r="G1215" s="216"/>
    </row>
    <row r="1216">
      <c r="A1216" s="157"/>
      <c r="B1216" s="216"/>
      <c r="C1216" s="157"/>
      <c r="D1216" s="216"/>
      <c r="E1216" s="216"/>
      <c r="F1216" s="216"/>
      <c r="G1216" s="216"/>
    </row>
    <row r="1217">
      <c r="A1217" s="157"/>
      <c r="B1217" s="216"/>
      <c r="C1217" s="157"/>
      <c r="D1217" s="216"/>
      <c r="E1217" s="216"/>
      <c r="F1217" s="216"/>
      <c r="G1217" s="216"/>
    </row>
    <row r="1218">
      <c r="A1218" s="157"/>
      <c r="B1218" s="216"/>
      <c r="C1218" s="157"/>
      <c r="D1218" s="216"/>
      <c r="E1218" s="216"/>
      <c r="F1218" s="216"/>
      <c r="G1218" s="216"/>
    </row>
    <row r="1219">
      <c r="A1219" s="157"/>
      <c r="B1219" s="216"/>
      <c r="C1219" s="157"/>
      <c r="D1219" s="216"/>
      <c r="E1219" s="216"/>
      <c r="F1219" s="216"/>
      <c r="G1219" s="216"/>
    </row>
    <row r="1220">
      <c r="A1220" s="157"/>
      <c r="B1220" s="216"/>
      <c r="C1220" s="157"/>
      <c r="D1220" s="216"/>
      <c r="E1220" s="216"/>
      <c r="F1220" s="216"/>
      <c r="G1220" s="216"/>
    </row>
    <row r="1221">
      <c r="A1221" s="157"/>
      <c r="B1221" s="216"/>
      <c r="C1221" s="157"/>
      <c r="D1221" s="216"/>
      <c r="E1221" s="216"/>
      <c r="F1221" s="216"/>
      <c r="G1221" s="216"/>
    </row>
    <row r="1222">
      <c r="A1222" s="157"/>
      <c r="B1222" s="216"/>
      <c r="C1222" s="157"/>
      <c r="D1222" s="216"/>
      <c r="E1222" s="216"/>
      <c r="F1222" s="216"/>
      <c r="G1222" s="216"/>
    </row>
    <row r="1223">
      <c r="A1223" s="157"/>
      <c r="B1223" s="216"/>
      <c r="C1223" s="157"/>
      <c r="D1223" s="216"/>
      <c r="E1223" s="216"/>
      <c r="F1223" s="216"/>
      <c r="G1223" s="216"/>
    </row>
    <row r="1224">
      <c r="A1224" s="157"/>
      <c r="B1224" s="216"/>
      <c r="C1224" s="157"/>
      <c r="D1224" s="216"/>
      <c r="E1224" s="216"/>
      <c r="F1224" s="216"/>
      <c r="G1224" s="216"/>
    </row>
    <row r="1225">
      <c r="A1225" s="157"/>
      <c r="B1225" s="216"/>
      <c r="C1225" s="157"/>
      <c r="D1225" s="216"/>
      <c r="E1225" s="216"/>
      <c r="F1225" s="216"/>
      <c r="G1225" s="216"/>
    </row>
    <row r="1226">
      <c r="A1226" s="157"/>
      <c r="B1226" s="216"/>
      <c r="C1226" s="157"/>
      <c r="D1226" s="216"/>
      <c r="E1226" s="216"/>
      <c r="F1226" s="216"/>
      <c r="G1226" s="216"/>
    </row>
    <row r="1227">
      <c r="A1227" s="157"/>
      <c r="B1227" s="216"/>
      <c r="C1227" s="157"/>
      <c r="D1227" s="216"/>
      <c r="E1227" s="216"/>
      <c r="F1227" s="216"/>
      <c r="G1227" s="216"/>
    </row>
    <row r="1228">
      <c r="A1228" s="157"/>
      <c r="B1228" s="216"/>
      <c r="C1228" s="157"/>
      <c r="D1228" s="216"/>
      <c r="E1228" s="216"/>
      <c r="F1228" s="216"/>
      <c r="G1228" s="216"/>
    </row>
    <row r="1229">
      <c r="A1229" s="157"/>
      <c r="B1229" s="216"/>
      <c r="C1229" s="157"/>
      <c r="D1229" s="216"/>
      <c r="E1229" s="216"/>
      <c r="F1229" s="216"/>
      <c r="G1229" s="216"/>
    </row>
    <row r="1230">
      <c r="A1230" s="157"/>
      <c r="B1230" s="216"/>
      <c r="C1230" s="157"/>
      <c r="D1230" s="216"/>
      <c r="E1230" s="216"/>
      <c r="F1230" s="216"/>
      <c r="G1230" s="216"/>
    </row>
    <row r="1231">
      <c r="A1231" s="157"/>
      <c r="B1231" s="216"/>
      <c r="C1231" s="157"/>
      <c r="D1231" s="216"/>
      <c r="E1231" s="216"/>
      <c r="F1231" s="216"/>
      <c r="G1231" s="216"/>
    </row>
    <row r="1232">
      <c r="A1232" s="157"/>
      <c r="B1232" s="216"/>
      <c r="C1232" s="157"/>
      <c r="D1232" s="216"/>
      <c r="E1232" s="216"/>
      <c r="F1232" s="216"/>
      <c r="G1232" s="216"/>
    </row>
    <row r="1233">
      <c r="A1233" s="157"/>
      <c r="B1233" s="216"/>
      <c r="C1233" s="157"/>
      <c r="D1233" s="216"/>
      <c r="E1233" s="216"/>
      <c r="F1233" s="216"/>
      <c r="G1233" s="216"/>
    </row>
    <row r="1234">
      <c r="A1234" s="157"/>
      <c r="B1234" s="216"/>
      <c r="C1234" s="157"/>
      <c r="D1234" s="216"/>
      <c r="E1234" s="216"/>
      <c r="F1234" s="216"/>
      <c r="G1234" s="216"/>
    </row>
    <row r="1235">
      <c r="A1235" s="157"/>
      <c r="B1235" s="216"/>
      <c r="C1235" s="157"/>
      <c r="D1235" s="216"/>
      <c r="E1235" s="216"/>
      <c r="F1235" s="216"/>
      <c r="G1235" s="216"/>
    </row>
    <row r="1236">
      <c r="A1236" s="157"/>
      <c r="B1236" s="216"/>
      <c r="C1236" s="157"/>
      <c r="D1236" s="216"/>
      <c r="E1236" s="216"/>
      <c r="F1236" s="216"/>
      <c r="G1236" s="216"/>
    </row>
    <row r="1237">
      <c r="A1237" s="157"/>
      <c r="B1237" s="216"/>
      <c r="C1237" s="157"/>
      <c r="D1237" s="216"/>
      <c r="E1237" s="216"/>
      <c r="F1237" s="216"/>
      <c r="G1237" s="216"/>
    </row>
    <row r="1238">
      <c r="A1238" s="157"/>
      <c r="B1238" s="216"/>
      <c r="C1238" s="157"/>
      <c r="D1238" s="216"/>
      <c r="E1238" s="216"/>
      <c r="F1238" s="216"/>
      <c r="G1238" s="216"/>
    </row>
    <row r="1239">
      <c r="A1239" s="157"/>
      <c r="B1239" s="216"/>
      <c r="C1239" s="157"/>
      <c r="D1239" s="216"/>
      <c r="E1239" s="216"/>
      <c r="F1239" s="216"/>
      <c r="G1239" s="216"/>
    </row>
    <row r="1240">
      <c r="A1240" s="157"/>
      <c r="B1240" s="216"/>
      <c r="C1240" s="157"/>
      <c r="D1240" s="216"/>
      <c r="E1240" s="216"/>
      <c r="F1240" s="216"/>
      <c r="G1240" s="216"/>
    </row>
    <row r="1241">
      <c r="A1241" s="157"/>
      <c r="B1241" s="216"/>
      <c r="C1241" s="157"/>
      <c r="D1241" s="216"/>
      <c r="E1241" s="216"/>
      <c r="F1241" s="216"/>
      <c r="G1241" s="216"/>
    </row>
    <row r="1242">
      <c r="A1242" s="157"/>
      <c r="B1242" s="216"/>
      <c r="C1242" s="157"/>
      <c r="D1242" s="216"/>
      <c r="E1242" s="216"/>
      <c r="F1242" s="216"/>
      <c r="G1242" s="216"/>
    </row>
    <row r="1243">
      <c r="A1243" s="157"/>
      <c r="B1243" s="216"/>
      <c r="C1243" s="157"/>
      <c r="D1243" s="216"/>
      <c r="E1243" s="216"/>
      <c r="F1243" s="216"/>
      <c r="G1243" s="216"/>
    </row>
    <row r="1244">
      <c r="A1244" s="157"/>
      <c r="B1244" s="216"/>
      <c r="C1244" s="157"/>
      <c r="D1244" s="216"/>
      <c r="E1244" s="216"/>
      <c r="F1244" s="216"/>
      <c r="G1244" s="216"/>
    </row>
    <row r="1245">
      <c r="A1245" s="157"/>
      <c r="B1245" s="216"/>
      <c r="C1245" s="157"/>
      <c r="D1245" s="216"/>
      <c r="E1245" s="216"/>
      <c r="F1245" s="216"/>
      <c r="G1245" s="216"/>
    </row>
    <row r="1246">
      <c r="A1246" s="157"/>
      <c r="B1246" s="216"/>
      <c r="C1246" s="157"/>
      <c r="D1246" s="216"/>
      <c r="E1246" s="216"/>
      <c r="F1246" s="216"/>
      <c r="G1246" s="216"/>
    </row>
    <row r="1247">
      <c r="A1247" s="157"/>
      <c r="B1247" s="216"/>
      <c r="C1247" s="157"/>
      <c r="D1247" s="216"/>
      <c r="E1247" s="216"/>
      <c r="F1247" s="216"/>
      <c r="G1247" s="216"/>
    </row>
    <row r="1248">
      <c r="A1248" s="157"/>
      <c r="B1248" s="216"/>
      <c r="C1248" s="157"/>
      <c r="D1248" s="216"/>
      <c r="E1248" s="216"/>
      <c r="F1248" s="216"/>
      <c r="G1248" s="216"/>
    </row>
    <row r="1249">
      <c r="A1249" s="157"/>
      <c r="B1249" s="216"/>
      <c r="C1249" s="157"/>
      <c r="D1249" s="216"/>
      <c r="E1249" s="216"/>
      <c r="F1249" s="216"/>
      <c r="G1249" s="216"/>
    </row>
    <row r="1250">
      <c r="A1250" s="157"/>
      <c r="B1250" s="216"/>
      <c r="C1250" s="157"/>
      <c r="D1250" s="216"/>
      <c r="E1250" s="216"/>
      <c r="F1250" s="216"/>
      <c r="G1250" s="216"/>
    </row>
    <row r="1251">
      <c r="A1251" s="157"/>
      <c r="B1251" s="216"/>
      <c r="C1251" s="157"/>
      <c r="D1251" s="216"/>
      <c r="E1251" s="216"/>
      <c r="F1251" s="216"/>
      <c r="G1251" s="216"/>
    </row>
    <row r="1252">
      <c r="A1252" s="157"/>
      <c r="B1252" s="216"/>
      <c r="C1252" s="157"/>
      <c r="D1252" s="216"/>
      <c r="E1252" s="216"/>
      <c r="F1252" s="216"/>
      <c r="G1252" s="216"/>
    </row>
    <row r="1253">
      <c r="A1253" s="157"/>
      <c r="B1253" s="216"/>
      <c r="C1253" s="157"/>
      <c r="D1253" s="216"/>
      <c r="E1253" s="216"/>
      <c r="F1253" s="216"/>
      <c r="G1253" s="216"/>
    </row>
    <row r="1254">
      <c r="A1254" s="157"/>
      <c r="B1254" s="216"/>
      <c r="C1254" s="157"/>
      <c r="D1254" s="216"/>
      <c r="E1254" s="216"/>
      <c r="F1254" s="216"/>
      <c r="G1254" s="216"/>
    </row>
    <row r="1255">
      <c r="A1255" s="157"/>
      <c r="B1255" s="216"/>
      <c r="C1255" s="157"/>
      <c r="D1255" s="216"/>
      <c r="E1255" s="216"/>
      <c r="F1255" s="216"/>
      <c r="G1255" s="216"/>
    </row>
    <row r="1256">
      <c r="A1256" s="157"/>
      <c r="B1256" s="216"/>
      <c r="C1256" s="157"/>
      <c r="D1256" s="216"/>
      <c r="E1256" s="216"/>
      <c r="F1256" s="216"/>
      <c r="G1256" s="216"/>
    </row>
    <row r="1257">
      <c r="A1257" s="157"/>
      <c r="B1257" s="216"/>
      <c r="C1257" s="157"/>
      <c r="D1257" s="216"/>
      <c r="E1257" s="216"/>
      <c r="F1257" s="216"/>
      <c r="G1257" s="216"/>
    </row>
    <row r="1258">
      <c r="A1258" s="157"/>
      <c r="B1258" s="216"/>
      <c r="C1258" s="157"/>
      <c r="D1258" s="216"/>
      <c r="E1258" s="216"/>
      <c r="F1258" s="216"/>
      <c r="G1258" s="216"/>
    </row>
    <row r="1259">
      <c r="A1259" s="157"/>
      <c r="B1259" s="216"/>
      <c r="C1259" s="157"/>
      <c r="D1259" s="216"/>
      <c r="E1259" s="216"/>
      <c r="F1259" s="216"/>
      <c r="G1259" s="216"/>
    </row>
    <row r="1260">
      <c r="A1260" s="157"/>
      <c r="B1260" s="216"/>
      <c r="C1260" s="157"/>
      <c r="D1260" s="216"/>
      <c r="E1260" s="216"/>
      <c r="F1260" s="216"/>
      <c r="G1260" s="216"/>
    </row>
    <row r="1261">
      <c r="A1261" s="157"/>
      <c r="B1261" s="216"/>
      <c r="C1261" s="157"/>
      <c r="D1261" s="216"/>
      <c r="E1261" s="216"/>
      <c r="F1261" s="216"/>
      <c r="G1261" s="216"/>
    </row>
    <row r="1262">
      <c r="A1262" s="157"/>
      <c r="B1262" s="216"/>
      <c r="C1262" s="157"/>
      <c r="D1262" s="216"/>
      <c r="E1262" s="216"/>
      <c r="F1262" s="216"/>
      <c r="G1262" s="216"/>
    </row>
    <row r="1263">
      <c r="A1263" s="157"/>
      <c r="B1263" s="216"/>
      <c r="C1263" s="157"/>
      <c r="D1263" s="216"/>
      <c r="E1263" s="216"/>
      <c r="F1263" s="216"/>
      <c r="G1263" s="216"/>
    </row>
    <row r="1264">
      <c r="A1264" s="157"/>
      <c r="B1264" s="216"/>
      <c r="C1264" s="157"/>
      <c r="D1264" s="216"/>
      <c r="E1264" s="216"/>
      <c r="F1264" s="216"/>
      <c r="G1264" s="216"/>
    </row>
    <row r="1265">
      <c r="A1265" s="157"/>
      <c r="B1265" s="216"/>
      <c r="C1265" s="157"/>
      <c r="D1265" s="216"/>
      <c r="E1265" s="216"/>
      <c r="F1265" s="216"/>
      <c r="G1265" s="216"/>
    </row>
    <row r="1266">
      <c r="A1266" s="157"/>
      <c r="B1266" s="216"/>
      <c r="C1266" s="157"/>
      <c r="D1266" s="216"/>
      <c r="E1266" s="216"/>
      <c r="F1266" s="216"/>
      <c r="G1266" s="216"/>
    </row>
    <row r="1267">
      <c r="A1267" s="157"/>
      <c r="B1267" s="216"/>
      <c r="C1267" s="157"/>
      <c r="D1267" s="216"/>
      <c r="E1267" s="216"/>
      <c r="F1267" s="216"/>
      <c r="G1267" s="216"/>
    </row>
    <row r="1268">
      <c r="A1268" s="157"/>
      <c r="B1268" s="216"/>
      <c r="C1268" s="157"/>
      <c r="D1268" s="216"/>
      <c r="E1268" s="216"/>
      <c r="F1268" s="216"/>
      <c r="G1268" s="216"/>
    </row>
    <row r="1269">
      <c r="A1269" s="157"/>
      <c r="B1269" s="216"/>
      <c r="C1269" s="157"/>
      <c r="D1269" s="216"/>
      <c r="E1269" s="216"/>
      <c r="F1269" s="216"/>
      <c r="G1269" s="216"/>
    </row>
    <row r="1270">
      <c r="A1270" s="157"/>
      <c r="B1270" s="216"/>
      <c r="C1270" s="157"/>
      <c r="D1270" s="216"/>
      <c r="E1270" s="216"/>
      <c r="F1270" s="216"/>
      <c r="G1270" s="216"/>
    </row>
    <row r="1271">
      <c r="A1271" s="157"/>
      <c r="B1271" s="216"/>
      <c r="C1271" s="157"/>
      <c r="D1271" s="216"/>
      <c r="E1271" s="216"/>
      <c r="F1271" s="216"/>
      <c r="G1271" s="216"/>
    </row>
    <row r="1272">
      <c r="A1272" s="157"/>
      <c r="B1272" s="216"/>
      <c r="C1272" s="157"/>
      <c r="D1272" s="216"/>
      <c r="E1272" s="216"/>
      <c r="F1272" s="216"/>
      <c r="G1272" s="216"/>
    </row>
    <row r="1273">
      <c r="A1273" s="157"/>
      <c r="B1273" s="216"/>
      <c r="C1273" s="157"/>
      <c r="D1273" s="216"/>
      <c r="E1273" s="216"/>
      <c r="F1273" s="216"/>
      <c r="G1273" s="216"/>
    </row>
    <row r="1274">
      <c r="A1274" s="157"/>
      <c r="B1274" s="216"/>
      <c r="C1274" s="157"/>
      <c r="D1274" s="216"/>
      <c r="E1274" s="216"/>
      <c r="F1274" s="216"/>
      <c r="G1274" s="216"/>
    </row>
    <row r="1275">
      <c r="A1275" s="157"/>
      <c r="B1275" s="216"/>
      <c r="C1275" s="157"/>
      <c r="D1275" s="216"/>
      <c r="E1275" s="216"/>
      <c r="F1275" s="216"/>
      <c r="G1275" s="216"/>
    </row>
    <row r="1276">
      <c r="A1276" s="157"/>
      <c r="B1276" s="216"/>
      <c r="C1276" s="157"/>
      <c r="D1276" s="216"/>
      <c r="E1276" s="216"/>
      <c r="F1276" s="216"/>
      <c r="G1276" s="216"/>
    </row>
    <row r="1277">
      <c r="A1277" s="157"/>
      <c r="B1277" s="216"/>
      <c r="C1277" s="157"/>
      <c r="D1277" s="216"/>
      <c r="E1277" s="216"/>
      <c r="F1277" s="216"/>
      <c r="G1277" s="216"/>
    </row>
    <row r="1278">
      <c r="A1278" s="157"/>
      <c r="B1278" s="216"/>
      <c r="C1278" s="157"/>
      <c r="D1278" s="216"/>
      <c r="E1278" s="216"/>
      <c r="F1278" s="216"/>
      <c r="G1278" s="216"/>
    </row>
    <row r="1279">
      <c r="A1279" s="157"/>
      <c r="B1279" s="216"/>
      <c r="C1279" s="157"/>
      <c r="D1279" s="216"/>
      <c r="E1279" s="216"/>
      <c r="F1279" s="216"/>
      <c r="G1279" s="216"/>
    </row>
    <row r="1280">
      <c r="A1280" s="157"/>
      <c r="B1280" s="216"/>
      <c r="C1280" s="157"/>
      <c r="D1280" s="216"/>
      <c r="E1280" s="216"/>
      <c r="F1280" s="216"/>
      <c r="G1280" s="216"/>
    </row>
    <row r="1281">
      <c r="A1281" s="157"/>
      <c r="B1281" s="216"/>
      <c r="C1281" s="157"/>
      <c r="D1281" s="216"/>
      <c r="E1281" s="216"/>
      <c r="F1281" s="216"/>
      <c r="G1281" s="216"/>
    </row>
    <row r="1282">
      <c r="A1282" s="157"/>
      <c r="B1282" s="216"/>
      <c r="C1282" s="157"/>
      <c r="D1282" s="216"/>
      <c r="E1282" s="216"/>
      <c r="F1282" s="216"/>
      <c r="G1282" s="216"/>
    </row>
    <row r="1283">
      <c r="A1283" s="157"/>
      <c r="B1283" s="216"/>
      <c r="C1283" s="157"/>
      <c r="D1283" s="216"/>
      <c r="E1283" s="216"/>
      <c r="F1283" s="216"/>
      <c r="G1283" s="216"/>
    </row>
    <row r="1284">
      <c r="A1284" s="157"/>
      <c r="B1284" s="216"/>
      <c r="C1284" s="157"/>
      <c r="D1284" s="216"/>
      <c r="E1284" s="216"/>
      <c r="F1284" s="216"/>
      <c r="G1284" s="216"/>
    </row>
    <row r="1285">
      <c r="A1285" s="157"/>
      <c r="B1285" s="216"/>
      <c r="C1285" s="157"/>
      <c r="D1285" s="216"/>
      <c r="E1285" s="216"/>
      <c r="F1285" s="216"/>
      <c r="G1285" s="216"/>
    </row>
    <row r="1286">
      <c r="A1286" s="157"/>
      <c r="B1286" s="216"/>
      <c r="C1286" s="157"/>
      <c r="D1286" s="216"/>
      <c r="E1286" s="216"/>
      <c r="F1286" s="216"/>
      <c r="G1286" s="216"/>
    </row>
    <row r="1287">
      <c r="A1287" s="157"/>
      <c r="B1287" s="216"/>
      <c r="C1287" s="157"/>
      <c r="D1287" s="216"/>
      <c r="E1287" s="216"/>
      <c r="F1287" s="216"/>
      <c r="G1287" s="216"/>
    </row>
    <row r="1288">
      <c r="A1288" s="157"/>
      <c r="B1288" s="216"/>
      <c r="C1288" s="157"/>
      <c r="D1288" s="216"/>
      <c r="E1288" s="216"/>
      <c r="F1288" s="216"/>
      <c r="G1288" s="216"/>
    </row>
    <row r="1289">
      <c r="A1289" s="157"/>
      <c r="B1289" s="216"/>
      <c r="C1289" s="157"/>
      <c r="D1289" s="216"/>
      <c r="E1289" s="216"/>
      <c r="F1289" s="216"/>
      <c r="G1289" s="216"/>
    </row>
    <row r="1290">
      <c r="A1290" s="157"/>
      <c r="B1290" s="216"/>
      <c r="C1290" s="157"/>
      <c r="D1290" s="216"/>
      <c r="E1290" s="216"/>
      <c r="F1290" s="216"/>
      <c r="G1290" s="216"/>
    </row>
    <row r="1291">
      <c r="A1291" s="157"/>
      <c r="B1291" s="216"/>
      <c r="C1291" s="157"/>
      <c r="D1291" s="216"/>
      <c r="E1291" s="216"/>
      <c r="F1291" s="216"/>
      <c r="G1291" s="216"/>
    </row>
    <row r="1292">
      <c r="A1292" s="157"/>
      <c r="B1292" s="216"/>
      <c r="C1292" s="157"/>
      <c r="D1292" s="216"/>
      <c r="E1292" s="216"/>
      <c r="F1292" s="216"/>
      <c r="G1292" s="216"/>
    </row>
    <row r="1293">
      <c r="A1293" s="157"/>
      <c r="B1293" s="216"/>
      <c r="C1293" s="157"/>
      <c r="D1293" s="216"/>
      <c r="E1293" s="216"/>
      <c r="F1293" s="216"/>
      <c r="G1293" s="216"/>
    </row>
    <row r="1294">
      <c r="A1294" s="157"/>
      <c r="B1294" s="216"/>
      <c r="C1294" s="157"/>
      <c r="D1294" s="216"/>
      <c r="E1294" s="216"/>
      <c r="F1294" s="216"/>
      <c r="G1294" s="216"/>
    </row>
    <row r="1295">
      <c r="A1295" s="157"/>
      <c r="B1295" s="216"/>
      <c r="C1295" s="157"/>
      <c r="D1295" s="216"/>
      <c r="E1295" s="216"/>
      <c r="F1295" s="216"/>
      <c r="G1295" s="216"/>
    </row>
    <row r="1296">
      <c r="A1296" s="157"/>
      <c r="B1296" s="216"/>
      <c r="C1296" s="157"/>
      <c r="D1296" s="216"/>
      <c r="E1296" s="216"/>
      <c r="F1296" s="216"/>
      <c r="G1296" s="216"/>
    </row>
    <row r="1297">
      <c r="A1297" s="157"/>
      <c r="B1297" s="216"/>
      <c r="C1297" s="157"/>
      <c r="D1297" s="216"/>
      <c r="E1297" s="216"/>
      <c r="F1297" s="216"/>
      <c r="G1297" s="216"/>
    </row>
    <row r="1298">
      <c r="A1298" s="157"/>
      <c r="B1298" s="216"/>
      <c r="C1298" s="157"/>
      <c r="D1298" s="216"/>
      <c r="E1298" s="216"/>
      <c r="F1298" s="216"/>
      <c r="G1298" s="216"/>
    </row>
    <row r="1299">
      <c r="A1299" s="157"/>
      <c r="B1299" s="216"/>
      <c r="C1299" s="157"/>
      <c r="D1299" s="216"/>
      <c r="E1299" s="216"/>
      <c r="F1299" s="216"/>
      <c r="G1299" s="216"/>
    </row>
    <row r="1300">
      <c r="A1300" s="157"/>
      <c r="B1300" s="216"/>
      <c r="C1300" s="157"/>
      <c r="D1300" s="216"/>
      <c r="E1300" s="216"/>
      <c r="F1300" s="216"/>
      <c r="G1300" s="216"/>
    </row>
    <row r="1301">
      <c r="A1301" s="157"/>
      <c r="B1301" s="216"/>
      <c r="C1301" s="157"/>
      <c r="D1301" s="216"/>
      <c r="E1301" s="216"/>
      <c r="F1301" s="216"/>
      <c r="G1301" s="216"/>
    </row>
    <row r="1302">
      <c r="A1302" s="157"/>
      <c r="B1302" s="216"/>
      <c r="C1302" s="157"/>
      <c r="D1302" s="216"/>
      <c r="E1302" s="216"/>
      <c r="F1302" s="216"/>
      <c r="G1302" s="216"/>
    </row>
    <row r="1303">
      <c r="A1303" s="157"/>
      <c r="B1303" s="216"/>
      <c r="C1303" s="157"/>
      <c r="D1303" s="216"/>
      <c r="E1303" s="216"/>
      <c r="F1303" s="216"/>
      <c r="G1303" s="216"/>
    </row>
    <row r="1304">
      <c r="A1304" s="157"/>
      <c r="B1304" s="216"/>
      <c r="C1304" s="157"/>
      <c r="D1304" s="216"/>
      <c r="E1304" s="216"/>
      <c r="F1304" s="216"/>
      <c r="G1304" s="216"/>
    </row>
    <row r="1305">
      <c r="A1305" s="157"/>
      <c r="B1305" s="216"/>
      <c r="C1305" s="157"/>
      <c r="D1305" s="216"/>
      <c r="E1305" s="216"/>
      <c r="F1305" s="216"/>
      <c r="G1305" s="216"/>
    </row>
    <row r="1306">
      <c r="A1306" s="157"/>
      <c r="B1306" s="216"/>
      <c r="C1306" s="157"/>
      <c r="D1306" s="216"/>
      <c r="E1306" s="216"/>
      <c r="F1306" s="216"/>
      <c r="G1306" s="216"/>
    </row>
    <row r="1307">
      <c r="A1307" s="157"/>
      <c r="B1307" s="216"/>
      <c r="C1307" s="157"/>
      <c r="D1307" s="216"/>
      <c r="E1307" s="216"/>
      <c r="F1307" s="216"/>
      <c r="G1307" s="216"/>
    </row>
    <row r="1308">
      <c r="A1308" s="157"/>
      <c r="B1308" s="216"/>
      <c r="C1308" s="157"/>
      <c r="D1308" s="216"/>
      <c r="E1308" s="216"/>
      <c r="F1308" s="216"/>
      <c r="G1308" s="216"/>
    </row>
    <row r="1309">
      <c r="A1309" s="157"/>
      <c r="B1309" s="216"/>
      <c r="C1309" s="157"/>
      <c r="D1309" s="216"/>
      <c r="E1309" s="216"/>
      <c r="F1309" s="216"/>
      <c r="G1309" s="216"/>
    </row>
    <row r="1310">
      <c r="A1310" s="157"/>
      <c r="B1310" s="216"/>
      <c r="C1310" s="157"/>
      <c r="D1310" s="216"/>
      <c r="E1310" s="216"/>
      <c r="F1310" s="216"/>
      <c r="G1310" s="216"/>
    </row>
    <row r="1311">
      <c r="A1311" s="157"/>
      <c r="B1311" s="216"/>
      <c r="C1311" s="157"/>
      <c r="D1311" s="216"/>
      <c r="E1311" s="216"/>
      <c r="F1311" s="216"/>
      <c r="G1311" s="216"/>
    </row>
    <row r="1312">
      <c r="A1312" s="157"/>
      <c r="B1312" s="216"/>
      <c r="C1312" s="157"/>
      <c r="D1312" s="216"/>
      <c r="E1312" s="216"/>
      <c r="F1312" s="216"/>
      <c r="G1312" s="216"/>
    </row>
    <row r="1313">
      <c r="A1313" s="157"/>
      <c r="B1313" s="216"/>
      <c r="C1313" s="157"/>
      <c r="D1313" s="216"/>
      <c r="E1313" s="216"/>
      <c r="F1313" s="216"/>
      <c r="G1313" s="216"/>
    </row>
    <row r="1314">
      <c r="A1314" s="157"/>
      <c r="B1314" s="216"/>
      <c r="C1314" s="157"/>
      <c r="D1314" s="216"/>
      <c r="E1314" s="216"/>
      <c r="F1314" s="216"/>
      <c r="G1314" s="216"/>
    </row>
    <row r="1315">
      <c r="A1315" s="157"/>
      <c r="B1315" s="216"/>
      <c r="C1315" s="157"/>
      <c r="D1315" s="216"/>
      <c r="E1315" s="216"/>
      <c r="F1315" s="216"/>
      <c r="G1315" s="216"/>
    </row>
    <row r="1316">
      <c r="A1316" s="157"/>
      <c r="B1316" s="216"/>
      <c r="C1316" s="157"/>
      <c r="D1316" s="216"/>
      <c r="E1316" s="216"/>
      <c r="F1316" s="216"/>
      <c r="G1316" s="216"/>
    </row>
    <row r="1317">
      <c r="A1317" s="157"/>
      <c r="B1317" s="216"/>
      <c r="C1317" s="157"/>
      <c r="D1317" s="216"/>
      <c r="E1317" s="216"/>
      <c r="F1317" s="216"/>
      <c r="G1317" s="216"/>
    </row>
    <row r="1318">
      <c r="A1318" s="157"/>
      <c r="B1318" s="216"/>
      <c r="C1318" s="157"/>
      <c r="D1318" s="216"/>
      <c r="E1318" s="216"/>
      <c r="F1318" s="216"/>
      <c r="G1318" s="216"/>
    </row>
    <row r="1319">
      <c r="A1319" s="157"/>
      <c r="B1319" s="216"/>
      <c r="C1319" s="157"/>
      <c r="D1319" s="216"/>
      <c r="E1319" s="216"/>
      <c r="F1319" s="216"/>
      <c r="G1319" s="216"/>
    </row>
    <row r="1320">
      <c r="A1320" s="157"/>
      <c r="B1320" s="216"/>
      <c r="C1320" s="157"/>
      <c r="D1320" s="216"/>
      <c r="E1320" s="216"/>
      <c r="F1320" s="216"/>
      <c r="G1320" s="216"/>
    </row>
    <row r="1321">
      <c r="A1321" s="157"/>
      <c r="B1321" s="216"/>
      <c r="C1321" s="157"/>
      <c r="D1321" s="216"/>
      <c r="E1321" s="216"/>
      <c r="F1321" s="216"/>
      <c r="G1321" s="216"/>
    </row>
    <row r="1322">
      <c r="A1322" s="157"/>
      <c r="B1322" s="216"/>
      <c r="C1322" s="157"/>
      <c r="D1322" s="216"/>
      <c r="E1322" s="216"/>
      <c r="F1322" s="216"/>
      <c r="G1322" s="216"/>
    </row>
    <row r="1323">
      <c r="A1323" s="157"/>
      <c r="B1323" s="216"/>
      <c r="C1323" s="157"/>
      <c r="D1323" s="216"/>
      <c r="E1323" s="216"/>
      <c r="F1323" s="216"/>
      <c r="G1323" s="216"/>
    </row>
    <row r="1324">
      <c r="A1324" s="157"/>
      <c r="B1324" s="216"/>
      <c r="C1324" s="157"/>
      <c r="D1324" s="216"/>
      <c r="E1324" s="216"/>
      <c r="F1324" s="216"/>
      <c r="G1324" s="216"/>
    </row>
    <row r="1325">
      <c r="A1325" s="157"/>
      <c r="B1325" s="216"/>
      <c r="C1325" s="157"/>
      <c r="D1325" s="216"/>
      <c r="E1325" s="216"/>
      <c r="F1325" s="216"/>
      <c r="G1325" s="216"/>
    </row>
    <row r="1326">
      <c r="A1326" s="157"/>
      <c r="B1326" s="216"/>
      <c r="C1326" s="157"/>
      <c r="D1326" s="216"/>
      <c r="E1326" s="216"/>
      <c r="F1326" s="216"/>
      <c r="G1326" s="216"/>
    </row>
    <row r="1327">
      <c r="A1327" s="157"/>
      <c r="B1327" s="216"/>
      <c r="C1327" s="157"/>
      <c r="D1327" s="216"/>
      <c r="E1327" s="216"/>
      <c r="F1327" s="216"/>
      <c r="G1327" s="216"/>
    </row>
    <row r="1328">
      <c r="A1328" s="157"/>
      <c r="B1328" s="216"/>
      <c r="C1328" s="157"/>
      <c r="D1328" s="216"/>
      <c r="E1328" s="216"/>
      <c r="F1328" s="216"/>
      <c r="G1328" s="216"/>
    </row>
    <row r="1329">
      <c r="A1329" s="157"/>
      <c r="B1329" s="216"/>
      <c r="C1329" s="157"/>
      <c r="D1329" s="216"/>
      <c r="E1329" s="216"/>
      <c r="F1329" s="216"/>
      <c r="G1329" s="216"/>
    </row>
    <row r="1330">
      <c r="A1330" s="157"/>
      <c r="B1330" s="216"/>
      <c r="C1330" s="157"/>
      <c r="D1330" s="216"/>
      <c r="E1330" s="216"/>
      <c r="F1330" s="216"/>
      <c r="G1330" s="216"/>
    </row>
    <row r="1331">
      <c r="A1331" s="157"/>
      <c r="B1331" s="216"/>
      <c r="C1331" s="157"/>
      <c r="D1331" s="216"/>
      <c r="E1331" s="216"/>
      <c r="F1331" s="216"/>
      <c r="G1331" s="216"/>
    </row>
    <row r="1332">
      <c r="A1332" s="157"/>
      <c r="B1332" s="216"/>
      <c r="C1332" s="157"/>
      <c r="D1332" s="216"/>
      <c r="E1332" s="216"/>
      <c r="F1332" s="216"/>
      <c r="G1332" s="216"/>
    </row>
    <row r="1333">
      <c r="A1333" s="157"/>
      <c r="B1333" s="216"/>
      <c r="C1333" s="157"/>
      <c r="D1333" s="216"/>
      <c r="E1333" s="216"/>
      <c r="F1333" s="216"/>
      <c r="G1333" s="216"/>
    </row>
    <row r="1334">
      <c r="A1334" s="157"/>
      <c r="B1334" s="216"/>
      <c r="C1334" s="157"/>
      <c r="D1334" s="216"/>
      <c r="E1334" s="216"/>
      <c r="F1334" s="216"/>
      <c r="G1334" s="216"/>
    </row>
    <row r="1335">
      <c r="A1335" s="157"/>
      <c r="B1335" s="216"/>
      <c r="C1335" s="157"/>
      <c r="D1335" s="216"/>
      <c r="E1335" s="216"/>
      <c r="F1335" s="216"/>
      <c r="G1335" s="216"/>
    </row>
    <row r="1336">
      <c r="A1336" s="157"/>
      <c r="B1336" s="216"/>
      <c r="C1336" s="157"/>
      <c r="D1336" s="216"/>
      <c r="E1336" s="216"/>
      <c r="F1336" s="216"/>
      <c r="G1336" s="216"/>
    </row>
    <row r="1337">
      <c r="A1337" s="157"/>
      <c r="B1337" s="216"/>
      <c r="C1337" s="157"/>
      <c r="D1337" s="216"/>
      <c r="E1337" s="216"/>
      <c r="F1337" s="216"/>
      <c r="G1337" s="216"/>
    </row>
    <row r="1338">
      <c r="A1338" s="157"/>
      <c r="B1338" s="216"/>
      <c r="C1338" s="157"/>
      <c r="D1338" s="216"/>
      <c r="E1338" s="216"/>
      <c r="F1338" s="216"/>
      <c r="G1338" s="216"/>
    </row>
    <row r="1339">
      <c r="A1339" s="157"/>
      <c r="B1339" s="216"/>
      <c r="C1339" s="157"/>
      <c r="D1339" s="216"/>
      <c r="E1339" s="216"/>
      <c r="F1339" s="216"/>
      <c r="G1339" s="216"/>
    </row>
    <row r="1340">
      <c r="A1340" s="157"/>
      <c r="B1340" s="216"/>
      <c r="C1340" s="157"/>
      <c r="D1340" s="216"/>
      <c r="E1340" s="216"/>
      <c r="F1340" s="216"/>
      <c r="G1340" s="216"/>
    </row>
    <row r="1341">
      <c r="A1341" s="157"/>
      <c r="B1341" s="216"/>
      <c r="C1341" s="157"/>
      <c r="D1341" s="216"/>
      <c r="E1341" s="216"/>
      <c r="F1341" s="216"/>
      <c r="G1341" s="216"/>
    </row>
    <row r="1342">
      <c r="A1342" s="157"/>
      <c r="B1342" s="216"/>
      <c r="C1342" s="157"/>
      <c r="D1342" s="216"/>
      <c r="E1342" s="216"/>
      <c r="F1342" s="216"/>
      <c r="G1342" s="216"/>
    </row>
    <row r="1343">
      <c r="A1343" s="157"/>
      <c r="B1343" s="216"/>
      <c r="C1343" s="157"/>
      <c r="D1343" s="216"/>
      <c r="E1343" s="216"/>
      <c r="F1343" s="216"/>
      <c r="G1343" s="216"/>
    </row>
    <row r="1344">
      <c r="A1344" s="157"/>
      <c r="B1344" s="216"/>
      <c r="C1344" s="157"/>
      <c r="D1344" s="216"/>
      <c r="E1344" s="216"/>
      <c r="F1344" s="216"/>
      <c r="G1344" s="216"/>
    </row>
    <row r="1345">
      <c r="A1345" s="157"/>
      <c r="B1345" s="216"/>
      <c r="C1345" s="157"/>
      <c r="D1345" s="216"/>
      <c r="E1345" s="216"/>
      <c r="F1345" s="216"/>
      <c r="G1345" s="216"/>
    </row>
    <row r="1346">
      <c r="A1346" s="157"/>
      <c r="B1346" s="216"/>
      <c r="C1346" s="157"/>
      <c r="D1346" s="216"/>
      <c r="E1346" s="216"/>
      <c r="F1346" s="216"/>
      <c r="G1346" s="216"/>
    </row>
    <row r="1347">
      <c r="A1347" s="157"/>
      <c r="B1347" s="216"/>
      <c r="C1347" s="157"/>
      <c r="D1347" s="216"/>
      <c r="E1347" s="216"/>
      <c r="F1347" s="216"/>
      <c r="G1347" s="216"/>
    </row>
    <row r="1348">
      <c r="A1348" s="157"/>
      <c r="B1348" s="216"/>
      <c r="C1348" s="157"/>
      <c r="D1348" s="216"/>
      <c r="E1348" s="216"/>
      <c r="F1348" s="216"/>
      <c r="G1348" s="216"/>
    </row>
    <row r="1349">
      <c r="A1349" s="157"/>
      <c r="B1349" s="216"/>
      <c r="C1349" s="157"/>
      <c r="D1349" s="216"/>
      <c r="E1349" s="216"/>
      <c r="F1349" s="216"/>
      <c r="G1349" s="216"/>
    </row>
    <row r="1350">
      <c r="A1350" s="157"/>
      <c r="B1350" s="216"/>
      <c r="C1350" s="157"/>
      <c r="D1350" s="216"/>
      <c r="E1350" s="216"/>
      <c r="F1350" s="216"/>
      <c r="G1350" s="216"/>
    </row>
    <row r="1351">
      <c r="A1351" s="157"/>
      <c r="B1351" s="216"/>
      <c r="C1351" s="157"/>
      <c r="D1351" s="216"/>
      <c r="E1351" s="216"/>
      <c r="F1351" s="216"/>
      <c r="G1351" s="216"/>
    </row>
    <row r="1352">
      <c r="A1352" s="157"/>
      <c r="B1352" s="216"/>
      <c r="C1352" s="157"/>
      <c r="D1352" s="216"/>
      <c r="E1352" s="216"/>
      <c r="F1352" s="216"/>
      <c r="G1352" s="216"/>
    </row>
    <row r="1353">
      <c r="A1353" s="157"/>
      <c r="B1353" s="216"/>
      <c r="C1353" s="157"/>
      <c r="D1353" s="216"/>
      <c r="E1353" s="216"/>
      <c r="F1353" s="216"/>
      <c r="G1353" s="216"/>
    </row>
    <row r="1354">
      <c r="A1354" s="157"/>
      <c r="B1354" s="216"/>
      <c r="C1354" s="157"/>
      <c r="D1354" s="216"/>
      <c r="E1354" s="216"/>
      <c r="F1354" s="216"/>
      <c r="G1354" s="216"/>
    </row>
    <row r="1355">
      <c r="A1355" s="157"/>
      <c r="B1355" s="216"/>
      <c r="C1355" s="157"/>
      <c r="D1355" s="216"/>
      <c r="E1355" s="216"/>
      <c r="F1355" s="216"/>
      <c r="G1355" s="216"/>
    </row>
    <row r="1356">
      <c r="A1356" s="157"/>
      <c r="B1356" s="216"/>
      <c r="C1356" s="157"/>
      <c r="D1356" s="216"/>
      <c r="E1356" s="216"/>
      <c r="F1356" s="216"/>
      <c r="G1356" s="216"/>
    </row>
    <row r="1357">
      <c r="A1357" s="157"/>
      <c r="B1357" s="216"/>
      <c r="C1357" s="157"/>
      <c r="D1357" s="216"/>
      <c r="E1357" s="216"/>
      <c r="F1357" s="216"/>
      <c r="G1357" s="216"/>
    </row>
    <row r="1358">
      <c r="A1358" s="157"/>
      <c r="B1358" s="216"/>
      <c r="C1358" s="157"/>
      <c r="D1358" s="216"/>
      <c r="E1358" s="216"/>
      <c r="F1358" s="216"/>
      <c r="G1358" s="216"/>
    </row>
    <row r="1359">
      <c r="A1359" s="157"/>
      <c r="B1359" s="216"/>
      <c r="C1359" s="157"/>
      <c r="D1359" s="216"/>
      <c r="E1359" s="216"/>
      <c r="F1359" s="216"/>
      <c r="G1359" s="216"/>
    </row>
    <row r="1360">
      <c r="A1360" s="157"/>
      <c r="B1360" s="216"/>
      <c r="C1360" s="157"/>
      <c r="D1360" s="216"/>
      <c r="E1360" s="216"/>
      <c r="F1360" s="216"/>
      <c r="G1360" s="216"/>
    </row>
    <row r="1361">
      <c r="A1361" s="157"/>
      <c r="B1361" s="216"/>
      <c r="C1361" s="157"/>
      <c r="D1361" s="216"/>
      <c r="E1361" s="216"/>
      <c r="F1361" s="216"/>
      <c r="G1361" s="216"/>
    </row>
    <row r="1362">
      <c r="A1362" s="157"/>
      <c r="B1362" s="216"/>
      <c r="C1362" s="157"/>
      <c r="D1362" s="216"/>
      <c r="E1362" s="216"/>
      <c r="F1362" s="216"/>
      <c r="G1362" s="216"/>
    </row>
    <row r="1363">
      <c r="A1363" s="157"/>
      <c r="B1363" s="216"/>
      <c r="C1363" s="157"/>
      <c r="D1363" s="216"/>
      <c r="E1363" s="216"/>
      <c r="F1363" s="216"/>
      <c r="G1363" s="216"/>
    </row>
    <row r="1364">
      <c r="A1364" s="157"/>
      <c r="B1364" s="216"/>
      <c r="C1364" s="157"/>
      <c r="D1364" s="216"/>
      <c r="E1364" s="216"/>
      <c r="F1364" s="216"/>
      <c r="G1364" s="216"/>
    </row>
    <row r="1365">
      <c r="A1365" s="157"/>
      <c r="B1365" s="216"/>
      <c r="C1365" s="157"/>
      <c r="D1365" s="216"/>
      <c r="E1365" s="216"/>
      <c r="F1365" s="216"/>
      <c r="G1365" s="216"/>
    </row>
    <row r="1366">
      <c r="A1366" s="157"/>
      <c r="B1366" s="216"/>
      <c r="C1366" s="157"/>
      <c r="D1366" s="216"/>
      <c r="E1366" s="216"/>
      <c r="F1366" s="216"/>
      <c r="G1366" s="216"/>
    </row>
    <row r="1367">
      <c r="A1367" s="157"/>
      <c r="B1367" s="216"/>
      <c r="C1367" s="157"/>
      <c r="D1367" s="216"/>
      <c r="E1367" s="216"/>
      <c r="F1367" s="216"/>
      <c r="G1367" s="216"/>
    </row>
    <row r="1368">
      <c r="A1368" s="157"/>
      <c r="B1368" s="216"/>
      <c r="C1368" s="157"/>
      <c r="D1368" s="216"/>
      <c r="E1368" s="216"/>
      <c r="F1368" s="216"/>
      <c r="G1368" s="216"/>
    </row>
    <row r="1369">
      <c r="A1369" s="157"/>
      <c r="B1369" s="216"/>
      <c r="C1369" s="157"/>
      <c r="D1369" s="216"/>
      <c r="E1369" s="216"/>
      <c r="F1369" s="216"/>
      <c r="G1369" s="216"/>
    </row>
    <row r="1370">
      <c r="A1370" s="157"/>
      <c r="B1370" s="216"/>
      <c r="C1370" s="157"/>
      <c r="D1370" s="216"/>
      <c r="E1370" s="216"/>
      <c r="F1370" s="216"/>
      <c r="G1370" s="216"/>
    </row>
    <row r="1371">
      <c r="A1371" s="157"/>
      <c r="B1371" s="216"/>
      <c r="C1371" s="157"/>
      <c r="D1371" s="216"/>
      <c r="E1371" s="216"/>
      <c r="F1371" s="216"/>
      <c r="G1371" s="216"/>
    </row>
    <row r="1372">
      <c r="A1372" s="157"/>
      <c r="B1372" s="216"/>
      <c r="C1372" s="157"/>
      <c r="D1372" s="216"/>
      <c r="E1372" s="216"/>
      <c r="F1372" s="216"/>
      <c r="G1372" s="216"/>
    </row>
    <row r="1373">
      <c r="A1373" s="157"/>
      <c r="B1373" s="216"/>
      <c r="C1373" s="157"/>
      <c r="D1373" s="216"/>
      <c r="E1373" s="216"/>
      <c r="F1373" s="216"/>
      <c r="G1373" s="216"/>
    </row>
    <row r="1374">
      <c r="A1374" s="157"/>
      <c r="B1374" s="216"/>
      <c r="C1374" s="157"/>
      <c r="D1374" s="216"/>
      <c r="E1374" s="216"/>
      <c r="F1374" s="216"/>
      <c r="G1374" s="216"/>
    </row>
    <row r="1375">
      <c r="A1375" s="157"/>
      <c r="B1375" s="216"/>
      <c r="C1375" s="157"/>
      <c r="D1375" s="216"/>
      <c r="E1375" s="216"/>
      <c r="F1375" s="216"/>
      <c r="G1375" s="216"/>
    </row>
    <row r="1376">
      <c r="A1376" s="157"/>
      <c r="B1376" s="216"/>
      <c r="C1376" s="157"/>
      <c r="D1376" s="216"/>
      <c r="E1376" s="216"/>
      <c r="F1376" s="216"/>
      <c r="G1376" s="216"/>
    </row>
    <row r="1377">
      <c r="A1377" s="157"/>
      <c r="B1377" s="216"/>
      <c r="C1377" s="157"/>
      <c r="D1377" s="216"/>
      <c r="E1377" s="216"/>
      <c r="F1377" s="216"/>
      <c r="G1377" s="216"/>
    </row>
    <row r="1378">
      <c r="A1378" s="157"/>
      <c r="B1378" s="216"/>
      <c r="C1378" s="157"/>
      <c r="D1378" s="216"/>
      <c r="E1378" s="216"/>
      <c r="F1378" s="216"/>
      <c r="G1378" s="216"/>
    </row>
    <row r="1379">
      <c r="A1379" s="157"/>
      <c r="B1379" s="216"/>
      <c r="C1379" s="157"/>
      <c r="D1379" s="216"/>
      <c r="E1379" s="216"/>
      <c r="F1379" s="216"/>
      <c r="G1379" s="216"/>
    </row>
    <row r="1380">
      <c r="A1380" s="157"/>
      <c r="B1380" s="216"/>
      <c r="C1380" s="157"/>
      <c r="D1380" s="216"/>
      <c r="E1380" s="216"/>
      <c r="F1380" s="216"/>
      <c r="G1380" s="216"/>
    </row>
    <row r="1381">
      <c r="A1381" s="157"/>
      <c r="B1381" s="216"/>
      <c r="C1381" s="157"/>
      <c r="D1381" s="216"/>
      <c r="E1381" s="216"/>
      <c r="F1381" s="216"/>
      <c r="G1381" s="216"/>
    </row>
    <row r="1382">
      <c r="A1382" s="157"/>
      <c r="B1382" s="216"/>
      <c r="C1382" s="157"/>
      <c r="D1382" s="216"/>
      <c r="E1382" s="216"/>
      <c r="F1382" s="216"/>
      <c r="G1382" s="216"/>
    </row>
    <row r="1383">
      <c r="A1383" s="157"/>
      <c r="B1383" s="216"/>
      <c r="C1383" s="157"/>
      <c r="D1383" s="216"/>
      <c r="E1383" s="216"/>
      <c r="F1383" s="216"/>
      <c r="G1383" s="216"/>
    </row>
    <row r="1384">
      <c r="A1384" s="157"/>
      <c r="B1384" s="216"/>
      <c r="C1384" s="157"/>
      <c r="D1384" s="216"/>
      <c r="E1384" s="216"/>
      <c r="F1384" s="216"/>
      <c r="G1384" s="216"/>
    </row>
    <row r="1385">
      <c r="A1385" s="157"/>
      <c r="B1385" s="216"/>
      <c r="C1385" s="157"/>
      <c r="D1385" s="216"/>
      <c r="E1385" s="216"/>
      <c r="F1385" s="216"/>
      <c r="G1385" s="216"/>
    </row>
    <row r="1386">
      <c r="A1386" s="157"/>
      <c r="B1386" s="216"/>
      <c r="C1386" s="157"/>
      <c r="D1386" s="216"/>
      <c r="E1386" s="216"/>
      <c r="F1386" s="216"/>
      <c r="G1386" s="216"/>
    </row>
    <row r="1387">
      <c r="A1387" s="157"/>
      <c r="B1387" s="216"/>
      <c r="C1387" s="157"/>
      <c r="D1387" s="216"/>
      <c r="E1387" s="216"/>
      <c r="F1387" s="216"/>
      <c r="G1387" s="216"/>
    </row>
    <row r="1388">
      <c r="A1388" s="157"/>
      <c r="B1388" s="216"/>
      <c r="C1388" s="157"/>
      <c r="D1388" s="216"/>
      <c r="E1388" s="216"/>
      <c r="F1388" s="216"/>
      <c r="G1388" s="216"/>
    </row>
    <row r="1389">
      <c r="A1389" s="157"/>
      <c r="B1389" s="216"/>
      <c r="C1389" s="157"/>
      <c r="D1389" s="216"/>
      <c r="E1389" s="216"/>
      <c r="F1389" s="216"/>
      <c r="G1389" s="216"/>
    </row>
    <row r="1390">
      <c r="A1390" s="157"/>
      <c r="B1390" s="216"/>
      <c r="C1390" s="157"/>
      <c r="D1390" s="216"/>
      <c r="E1390" s="216"/>
      <c r="F1390" s="216"/>
      <c r="G1390" s="216"/>
    </row>
    <row r="1391">
      <c r="A1391" s="157"/>
      <c r="B1391" s="216"/>
      <c r="C1391" s="157"/>
      <c r="D1391" s="216"/>
      <c r="E1391" s="216"/>
      <c r="F1391" s="216"/>
      <c r="G1391" s="216"/>
    </row>
    <row r="1392">
      <c r="A1392" s="157"/>
      <c r="B1392" s="216"/>
      <c r="C1392" s="157"/>
      <c r="D1392" s="216"/>
      <c r="E1392" s="216"/>
      <c r="F1392" s="216"/>
      <c r="G1392" s="216"/>
    </row>
    <row r="1393">
      <c r="A1393" s="157"/>
      <c r="B1393" s="216"/>
      <c r="C1393" s="157"/>
      <c r="D1393" s="216"/>
      <c r="E1393" s="216"/>
      <c r="F1393" s="216"/>
      <c r="G1393" s="216"/>
    </row>
    <row r="1394">
      <c r="A1394" s="157"/>
      <c r="B1394" s="216"/>
      <c r="C1394" s="157"/>
      <c r="D1394" s="216"/>
      <c r="E1394" s="216"/>
      <c r="F1394" s="216"/>
      <c r="G1394" s="216"/>
    </row>
    <row r="1395">
      <c r="A1395" s="157"/>
      <c r="B1395" s="216"/>
      <c r="C1395" s="157"/>
      <c r="D1395" s="216"/>
      <c r="E1395" s="216"/>
      <c r="F1395" s="216"/>
      <c r="G1395" s="216"/>
    </row>
    <row r="1396">
      <c r="A1396" s="157"/>
      <c r="B1396" s="216"/>
      <c r="C1396" s="157"/>
      <c r="D1396" s="216"/>
      <c r="E1396" s="216"/>
      <c r="F1396" s="216"/>
      <c r="G1396" s="216"/>
    </row>
    <row r="1397">
      <c r="A1397" s="157"/>
      <c r="B1397" s="216"/>
      <c r="C1397" s="157"/>
      <c r="D1397" s="216"/>
      <c r="E1397" s="216"/>
      <c r="F1397" s="216"/>
      <c r="G1397" s="216"/>
    </row>
    <row r="1398">
      <c r="A1398" s="157"/>
      <c r="B1398" s="216"/>
      <c r="C1398" s="157"/>
      <c r="D1398" s="216"/>
      <c r="E1398" s="216"/>
      <c r="F1398" s="216"/>
      <c r="G1398" s="216"/>
    </row>
    <row r="1399">
      <c r="A1399" s="157"/>
      <c r="B1399" s="216"/>
      <c r="C1399" s="157"/>
      <c r="D1399" s="216"/>
      <c r="E1399" s="216"/>
      <c r="F1399" s="216"/>
      <c r="G1399" s="216"/>
    </row>
    <row r="1400">
      <c r="A1400" s="157"/>
      <c r="B1400" s="216"/>
      <c r="C1400" s="157"/>
      <c r="D1400" s="216"/>
      <c r="E1400" s="216"/>
      <c r="F1400" s="216"/>
      <c r="G1400" s="216"/>
    </row>
    <row r="1401">
      <c r="A1401" s="157"/>
      <c r="B1401" s="216"/>
      <c r="C1401" s="157"/>
      <c r="D1401" s="216"/>
      <c r="E1401" s="216"/>
      <c r="F1401" s="216"/>
      <c r="G1401" s="216"/>
    </row>
    <row r="1402">
      <c r="A1402" s="157"/>
      <c r="B1402" s="216"/>
      <c r="C1402" s="157"/>
      <c r="D1402" s="216"/>
      <c r="E1402" s="216"/>
      <c r="F1402" s="216"/>
      <c r="G1402" s="216"/>
    </row>
    <row r="1403">
      <c r="A1403" s="157"/>
      <c r="B1403" s="216"/>
      <c r="C1403" s="157"/>
      <c r="D1403" s="216"/>
      <c r="E1403" s="216"/>
      <c r="F1403" s="216"/>
      <c r="G1403" s="216"/>
    </row>
    <row r="1404">
      <c r="A1404" s="157"/>
      <c r="B1404" s="216"/>
      <c r="C1404" s="157"/>
      <c r="D1404" s="216"/>
      <c r="E1404" s="216"/>
      <c r="F1404" s="216"/>
      <c r="G1404" s="216"/>
    </row>
    <row r="1405">
      <c r="A1405" s="157"/>
      <c r="B1405" s="216"/>
      <c r="C1405" s="157"/>
      <c r="D1405" s="216"/>
      <c r="E1405" s="216"/>
      <c r="F1405" s="216"/>
      <c r="G1405" s="216"/>
    </row>
    <row r="1406">
      <c r="A1406" s="157"/>
      <c r="B1406" s="216"/>
      <c r="C1406" s="157"/>
      <c r="D1406" s="216"/>
      <c r="E1406" s="216"/>
      <c r="F1406" s="216"/>
      <c r="G1406" s="216"/>
    </row>
    <row r="1407">
      <c r="A1407" s="157"/>
      <c r="B1407" s="216"/>
      <c r="C1407" s="157"/>
      <c r="D1407" s="216"/>
      <c r="E1407" s="216"/>
      <c r="F1407" s="216"/>
      <c r="G1407" s="216"/>
    </row>
    <row r="1408">
      <c r="A1408" s="157"/>
      <c r="B1408" s="216"/>
      <c r="C1408" s="157"/>
      <c r="D1408" s="216"/>
      <c r="E1408" s="216"/>
      <c r="F1408" s="216"/>
      <c r="G1408" s="216"/>
    </row>
    <row r="1409">
      <c r="A1409" s="157"/>
      <c r="B1409" s="216"/>
      <c r="C1409" s="157"/>
      <c r="D1409" s="216"/>
      <c r="E1409" s="216"/>
      <c r="F1409" s="216"/>
      <c r="G1409" s="216"/>
    </row>
    <row r="1410">
      <c r="A1410" s="157"/>
      <c r="B1410" s="216"/>
      <c r="C1410" s="157"/>
      <c r="D1410" s="216"/>
      <c r="E1410" s="216"/>
      <c r="F1410" s="216"/>
      <c r="G1410" s="216"/>
    </row>
    <row r="1411">
      <c r="A1411" s="157"/>
      <c r="B1411" s="216"/>
      <c r="C1411" s="157"/>
      <c r="D1411" s="216"/>
      <c r="E1411" s="216"/>
      <c r="F1411" s="216"/>
      <c r="G1411" s="216"/>
    </row>
    <row r="1412">
      <c r="A1412" s="157"/>
      <c r="B1412" s="216"/>
      <c r="C1412" s="157"/>
      <c r="D1412" s="216"/>
      <c r="E1412" s="216"/>
      <c r="F1412" s="216"/>
      <c r="G1412" s="216"/>
    </row>
    <row r="1413">
      <c r="A1413" s="157"/>
      <c r="B1413" s="216"/>
      <c r="C1413" s="157"/>
      <c r="D1413" s="216"/>
      <c r="E1413" s="216"/>
      <c r="F1413" s="216"/>
      <c r="G1413" s="216"/>
    </row>
    <row r="1414">
      <c r="A1414" s="157"/>
      <c r="B1414" s="216"/>
      <c r="C1414" s="157"/>
      <c r="D1414" s="216"/>
      <c r="E1414" s="216"/>
      <c r="F1414" s="216"/>
      <c r="G1414" s="216"/>
    </row>
    <row r="1415">
      <c r="A1415" s="157"/>
      <c r="B1415" s="216"/>
      <c r="C1415" s="157"/>
      <c r="D1415" s="216"/>
      <c r="E1415" s="216"/>
      <c r="F1415" s="216"/>
      <c r="G1415" s="216"/>
    </row>
    <row r="1416">
      <c r="A1416" s="157"/>
      <c r="B1416" s="216"/>
      <c r="C1416" s="157"/>
      <c r="D1416" s="216"/>
      <c r="E1416" s="216"/>
      <c r="F1416" s="216"/>
      <c r="G1416" s="216"/>
    </row>
    <row r="1417">
      <c r="A1417" s="157"/>
      <c r="B1417" s="216"/>
      <c r="C1417" s="157"/>
      <c r="D1417" s="216"/>
      <c r="E1417" s="216"/>
      <c r="F1417" s="216"/>
      <c r="G1417" s="216"/>
    </row>
    <row r="1418">
      <c r="A1418" s="157"/>
      <c r="B1418" s="216"/>
      <c r="C1418" s="157"/>
      <c r="D1418" s="216"/>
      <c r="E1418" s="216"/>
      <c r="F1418" s="216"/>
      <c r="G1418" s="216"/>
    </row>
    <row r="1419">
      <c r="A1419" s="157"/>
      <c r="B1419" s="216"/>
      <c r="C1419" s="157"/>
      <c r="D1419" s="216"/>
      <c r="E1419" s="216"/>
      <c r="F1419" s="216"/>
      <c r="G1419" s="216"/>
    </row>
    <row r="1420">
      <c r="A1420" s="157"/>
      <c r="B1420" s="216"/>
      <c r="C1420" s="157"/>
      <c r="D1420" s="216"/>
      <c r="E1420" s="216"/>
      <c r="F1420" s="216"/>
      <c r="G1420" s="216"/>
    </row>
    <row r="1421">
      <c r="A1421" s="157"/>
      <c r="B1421" s="216"/>
      <c r="C1421" s="157"/>
      <c r="D1421" s="216"/>
      <c r="E1421" s="216"/>
      <c r="F1421" s="216"/>
      <c r="G1421" s="216"/>
    </row>
    <row r="1422">
      <c r="A1422" s="157"/>
      <c r="B1422" s="216"/>
      <c r="C1422" s="157"/>
      <c r="D1422" s="216"/>
      <c r="E1422" s="216"/>
      <c r="F1422" s="216"/>
      <c r="G1422" s="216"/>
    </row>
    <row r="1423">
      <c r="A1423" s="157"/>
      <c r="B1423" s="216"/>
      <c r="C1423" s="157"/>
      <c r="D1423" s="216"/>
      <c r="E1423" s="216"/>
      <c r="F1423" s="216"/>
      <c r="G1423" s="216"/>
    </row>
    <row r="1424">
      <c r="A1424" s="157"/>
      <c r="B1424" s="216"/>
      <c r="C1424" s="157"/>
      <c r="D1424" s="216"/>
      <c r="E1424" s="216"/>
      <c r="F1424" s="216"/>
      <c r="G1424" s="216"/>
    </row>
    <row r="1425">
      <c r="A1425" s="157"/>
      <c r="B1425" s="216"/>
      <c r="C1425" s="157"/>
      <c r="D1425" s="216"/>
      <c r="E1425" s="216"/>
      <c r="F1425" s="216"/>
      <c r="G1425" s="216"/>
    </row>
    <row r="1426">
      <c r="A1426" s="157"/>
      <c r="B1426" s="216"/>
      <c r="C1426" s="157"/>
      <c r="D1426" s="216"/>
      <c r="E1426" s="216"/>
      <c r="F1426" s="216"/>
      <c r="G1426" s="216"/>
    </row>
    <row r="1427">
      <c r="A1427" s="157"/>
      <c r="B1427" s="216"/>
      <c r="C1427" s="157"/>
      <c r="D1427" s="216"/>
      <c r="E1427" s="216"/>
      <c r="F1427" s="216"/>
      <c r="G1427" s="216"/>
    </row>
    <row r="1428">
      <c r="A1428" s="157"/>
      <c r="B1428" s="216"/>
      <c r="C1428" s="157"/>
      <c r="D1428" s="216"/>
      <c r="E1428" s="216"/>
      <c r="F1428" s="216"/>
      <c r="G1428" s="216"/>
    </row>
    <row r="1429">
      <c r="A1429" s="157"/>
      <c r="B1429" s="216"/>
      <c r="C1429" s="157"/>
      <c r="D1429" s="216"/>
      <c r="E1429" s="216"/>
      <c r="F1429" s="216"/>
      <c r="G1429" s="216"/>
    </row>
    <row r="1430">
      <c r="A1430" s="157"/>
      <c r="B1430" s="216"/>
      <c r="C1430" s="157"/>
      <c r="D1430" s="216"/>
      <c r="E1430" s="216"/>
      <c r="F1430" s="216"/>
      <c r="G1430" s="216"/>
    </row>
    <row r="1431">
      <c r="A1431" s="157"/>
      <c r="B1431" s="216"/>
      <c r="C1431" s="157"/>
      <c r="D1431" s="216"/>
      <c r="E1431" s="216"/>
      <c r="F1431" s="216"/>
      <c r="G1431" s="216"/>
    </row>
    <row r="1432">
      <c r="A1432" s="157"/>
      <c r="B1432" s="216"/>
      <c r="C1432" s="157"/>
      <c r="D1432" s="216"/>
      <c r="E1432" s="216"/>
      <c r="F1432" s="216"/>
      <c r="G1432" s="216"/>
    </row>
    <row r="1433">
      <c r="A1433" s="157"/>
      <c r="B1433" s="216"/>
      <c r="C1433" s="157"/>
      <c r="D1433" s="216"/>
      <c r="E1433" s="216"/>
      <c r="F1433" s="216"/>
      <c r="G1433" s="216"/>
    </row>
    <row r="1434">
      <c r="A1434" s="157"/>
      <c r="B1434" s="216"/>
      <c r="C1434" s="157"/>
      <c r="D1434" s="216"/>
      <c r="E1434" s="216"/>
      <c r="F1434" s="216"/>
      <c r="G1434" s="216"/>
    </row>
    <row r="1435">
      <c r="A1435" s="157"/>
      <c r="B1435" s="216"/>
      <c r="C1435" s="157"/>
      <c r="D1435" s="216"/>
      <c r="E1435" s="216"/>
      <c r="F1435" s="216"/>
      <c r="G1435" s="216"/>
    </row>
    <row r="1436">
      <c r="A1436" s="157"/>
      <c r="B1436" s="216"/>
      <c r="C1436" s="157"/>
      <c r="D1436" s="216"/>
      <c r="E1436" s="216"/>
      <c r="F1436" s="216"/>
      <c r="G1436" s="216"/>
    </row>
    <row r="1437">
      <c r="A1437" s="157"/>
      <c r="B1437" s="216"/>
      <c r="C1437" s="157"/>
      <c r="D1437" s="216"/>
      <c r="E1437" s="216"/>
      <c r="F1437" s="216"/>
      <c r="G1437" s="216"/>
    </row>
    <row r="1438">
      <c r="A1438" s="157"/>
      <c r="B1438" s="216"/>
      <c r="C1438" s="157"/>
      <c r="D1438" s="216"/>
      <c r="E1438" s="216"/>
      <c r="F1438" s="216"/>
      <c r="G1438" s="216"/>
    </row>
    <row r="1439">
      <c r="A1439" s="157"/>
      <c r="B1439" s="216"/>
      <c r="C1439" s="157"/>
      <c r="D1439" s="216"/>
      <c r="E1439" s="216"/>
      <c r="F1439" s="216"/>
      <c r="G1439" s="216"/>
    </row>
    <row r="1440">
      <c r="A1440" s="157"/>
      <c r="B1440" s="216"/>
      <c r="C1440" s="157"/>
      <c r="D1440" s="216"/>
      <c r="E1440" s="216"/>
      <c r="F1440" s="216"/>
      <c r="G1440" s="216"/>
    </row>
    <row r="1441">
      <c r="A1441" s="157"/>
      <c r="B1441" s="216"/>
      <c r="C1441" s="157"/>
      <c r="D1441" s="216"/>
      <c r="E1441" s="216"/>
      <c r="F1441" s="216"/>
      <c r="G1441" s="216"/>
    </row>
    <row r="1442">
      <c r="A1442" s="157"/>
      <c r="B1442" s="216"/>
      <c r="C1442" s="157"/>
      <c r="D1442" s="216"/>
      <c r="E1442" s="216"/>
      <c r="F1442" s="216"/>
      <c r="G1442" s="216"/>
    </row>
    <row r="1443">
      <c r="A1443" s="157"/>
      <c r="B1443" s="216"/>
      <c r="C1443" s="157"/>
      <c r="D1443" s="216"/>
      <c r="E1443" s="216"/>
      <c r="F1443" s="216"/>
      <c r="G1443" s="216"/>
    </row>
    <row r="1444">
      <c r="A1444" s="157"/>
      <c r="B1444" s="216"/>
      <c r="C1444" s="157"/>
      <c r="D1444" s="216"/>
      <c r="E1444" s="216"/>
      <c r="F1444" s="216"/>
      <c r="G1444" s="216"/>
    </row>
    <row r="1445">
      <c r="A1445" s="157"/>
      <c r="B1445" s="216"/>
      <c r="C1445" s="157"/>
      <c r="D1445" s="216"/>
      <c r="E1445" s="216"/>
      <c r="F1445" s="216"/>
      <c r="G1445" s="216"/>
    </row>
    <row r="1446">
      <c r="A1446" s="157"/>
      <c r="B1446" s="216"/>
      <c r="C1446" s="157"/>
      <c r="D1446" s="216"/>
      <c r="E1446" s="216"/>
      <c r="F1446" s="216"/>
      <c r="G1446" s="216"/>
    </row>
    <row r="1447">
      <c r="A1447" s="157"/>
      <c r="B1447" s="216"/>
      <c r="C1447" s="157"/>
      <c r="D1447" s="216"/>
      <c r="E1447" s="216"/>
      <c r="F1447" s="216"/>
      <c r="G1447" s="216"/>
    </row>
    <row r="1448">
      <c r="A1448" s="157"/>
      <c r="B1448" s="216"/>
      <c r="C1448" s="157"/>
      <c r="D1448" s="216"/>
      <c r="E1448" s="216"/>
      <c r="F1448" s="216"/>
      <c r="G1448" s="216"/>
    </row>
    <row r="1449">
      <c r="A1449" s="157"/>
      <c r="B1449" s="216"/>
      <c r="C1449" s="157"/>
      <c r="D1449" s="216"/>
      <c r="E1449" s="216"/>
      <c r="F1449" s="216"/>
      <c r="G1449" s="216"/>
    </row>
    <row r="1450">
      <c r="A1450" s="157"/>
      <c r="B1450" s="216"/>
      <c r="C1450" s="157"/>
      <c r="D1450" s="216"/>
      <c r="E1450" s="216"/>
      <c r="F1450" s="216"/>
      <c r="G1450" s="216"/>
    </row>
    <row r="1451">
      <c r="A1451" s="157"/>
      <c r="B1451" s="216"/>
      <c r="C1451" s="157"/>
      <c r="D1451" s="216"/>
      <c r="E1451" s="216"/>
      <c r="F1451" s="216"/>
      <c r="G1451" s="216"/>
    </row>
    <row r="1452">
      <c r="A1452" s="157"/>
      <c r="B1452" s="216"/>
      <c r="C1452" s="157"/>
      <c r="D1452" s="216"/>
      <c r="E1452" s="216"/>
      <c r="F1452" s="216"/>
      <c r="G1452" s="216"/>
    </row>
    <row r="1453">
      <c r="A1453" s="157"/>
      <c r="B1453" s="216"/>
      <c r="C1453" s="157"/>
      <c r="D1453" s="216"/>
      <c r="E1453" s="216"/>
      <c r="F1453" s="216"/>
      <c r="G1453" s="216"/>
    </row>
    <row r="1454">
      <c r="A1454" s="157"/>
      <c r="B1454" s="216"/>
      <c r="C1454" s="157"/>
      <c r="D1454" s="216"/>
      <c r="E1454" s="216"/>
      <c r="F1454" s="216"/>
      <c r="G1454" s="216"/>
    </row>
    <row r="1455">
      <c r="A1455" s="157"/>
      <c r="B1455" s="216"/>
      <c r="C1455" s="157"/>
      <c r="D1455" s="216"/>
      <c r="E1455" s="216"/>
      <c r="F1455" s="216"/>
      <c r="G1455" s="216"/>
    </row>
    <row r="1456">
      <c r="A1456" s="157"/>
      <c r="B1456" s="216"/>
      <c r="C1456" s="157"/>
      <c r="D1456" s="216"/>
      <c r="E1456" s="216"/>
      <c r="F1456" s="216"/>
      <c r="G1456" s="216"/>
    </row>
    <row r="1457">
      <c r="A1457" s="157"/>
      <c r="B1457" s="216"/>
      <c r="C1457" s="157"/>
      <c r="D1457" s="216"/>
      <c r="E1457" s="216"/>
      <c r="F1457" s="216"/>
      <c r="G1457" s="216"/>
    </row>
    <row r="1458">
      <c r="A1458" s="157"/>
      <c r="B1458" s="216"/>
      <c r="C1458" s="157"/>
      <c r="D1458" s="216"/>
      <c r="E1458" s="216"/>
      <c r="F1458" s="216"/>
      <c r="G1458" s="216"/>
    </row>
    <row r="1459">
      <c r="A1459" s="157"/>
      <c r="B1459" s="216"/>
      <c r="C1459" s="157"/>
      <c r="D1459" s="216"/>
      <c r="E1459" s="216"/>
      <c r="F1459" s="216"/>
      <c r="G1459" s="216"/>
    </row>
    <row r="1460">
      <c r="A1460" s="157"/>
      <c r="B1460" s="216"/>
      <c r="C1460" s="157"/>
      <c r="D1460" s="216"/>
      <c r="E1460" s="216"/>
      <c r="F1460" s="216"/>
      <c r="G1460" s="216"/>
    </row>
    <row r="1461">
      <c r="A1461" s="157"/>
      <c r="B1461" s="216"/>
      <c r="C1461" s="157"/>
      <c r="D1461" s="216"/>
      <c r="E1461" s="216"/>
      <c r="F1461" s="216"/>
      <c r="G1461" s="216"/>
    </row>
    <row r="1462">
      <c r="A1462" s="157"/>
      <c r="B1462" s="216"/>
      <c r="C1462" s="157"/>
      <c r="D1462" s="216"/>
      <c r="E1462" s="216"/>
      <c r="F1462" s="216"/>
      <c r="G1462" s="216"/>
    </row>
    <row r="1463">
      <c r="A1463" s="157"/>
      <c r="B1463" s="216"/>
      <c r="C1463" s="157"/>
      <c r="D1463" s="216"/>
      <c r="E1463" s="216"/>
      <c r="F1463" s="216"/>
      <c r="G1463" s="216"/>
    </row>
    <row r="1464">
      <c r="A1464" s="157"/>
      <c r="B1464" s="216"/>
      <c r="C1464" s="157"/>
      <c r="D1464" s="216"/>
      <c r="E1464" s="216"/>
      <c r="F1464" s="216"/>
      <c r="G1464" s="216"/>
    </row>
    <row r="1465">
      <c r="A1465" s="157"/>
      <c r="B1465" s="216"/>
      <c r="C1465" s="157"/>
      <c r="D1465" s="216"/>
      <c r="E1465" s="216"/>
      <c r="F1465" s="216"/>
      <c r="G1465" s="216"/>
    </row>
    <row r="1466">
      <c r="A1466" s="157"/>
      <c r="B1466" s="216"/>
      <c r="C1466" s="157"/>
      <c r="D1466" s="216"/>
      <c r="E1466" s="216"/>
      <c r="F1466" s="216"/>
      <c r="G1466" s="216"/>
    </row>
    <row r="1467">
      <c r="A1467" s="157"/>
      <c r="B1467" s="216"/>
      <c r="C1467" s="157"/>
      <c r="D1467" s="216"/>
      <c r="E1467" s="216"/>
      <c r="F1467" s="216"/>
      <c r="G1467" s="216"/>
    </row>
    <row r="1468">
      <c r="A1468" s="157"/>
      <c r="B1468" s="216"/>
      <c r="C1468" s="157"/>
      <c r="D1468" s="216"/>
      <c r="E1468" s="216"/>
      <c r="F1468" s="216"/>
      <c r="G1468" s="216"/>
    </row>
    <row r="1469">
      <c r="A1469" s="157"/>
      <c r="B1469" s="216"/>
      <c r="C1469" s="157"/>
      <c r="D1469" s="216"/>
      <c r="E1469" s="216"/>
      <c r="F1469" s="216"/>
      <c r="G1469" s="216"/>
    </row>
    <row r="1470">
      <c r="A1470" s="157"/>
      <c r="B1470" s="216"/>
      <c r="C1470" s="157"/>
      <c r="D1470" s="216"/>
      <c r="E1470" s="216"/>
      <c r="F1470" s="216"/>
      <c r="G1470" s="216"/>
    </row>
    <row r="1471">
      <c r="A1471" s="157"/>
      <c r="B1471" s="216"/>
      <c r="C1471" s="157"/>
      <c r="D1471" s="216"/>
      <c r="E1471" s="216"/>
      <c r="F1471" s="216"/>
      <c r="G1471" s="216"/>
    </row>
    <row r="1472">
      <c r="A1472" s="157"/>
      <c r="B1472" s="216"/>
      <c r="C1472" s="157"/>
      <c r="D1472" s="216"/>
      <c r="E1472" s="216"/>
      <c r="F1472" s="216"/>
      <c r="G1472" s="216"/>
    </row>
    <row r="1473">
      <c r="A1473" s="157"/>
      <c r="B1473" s="216"/>
      <c r="C1473" s="157"/>
      <c r="D1473" s="216"/>
      <c r="E1473" s="216"/>
      <c r="F1473" s="216"/>
      <c r="G1473" s="216"/>
    </row>
    <row r="1474">
      <c r="A1474" s="157"/>
      <c r="B1474" s="216"/>
      <c r="C1474" s="157"/>
      <c r="D1474" s="216"/>
      <c r="E1474" s="216"/>
      <c r="F1474" s="216"/>
      <c r="G1474" s="216"/>
    </row>
    <row r="1475">
      <c r="A1475" s="157"/>
      <c r="B1475" s="216"/>
      <c r="C1475" s="157"/>
      <c r="D1475" s="216"/>
      <c r="E1475" s="216"/>
      <c r="F1475" s="216"/>
      <c r="G1475" s="216"/>
    </row>
    <row r="1476">
      <c r="A1476" s="157"/>
      <c r="B1476" s="216"/>
      <c r="C1476" s="157"/>
      <c r="D1476" s="216"/>
      <c r="E1476" s="216"/>
      <c r="F1476" s="216"/>
      <c r="G1476" s="216"/>
    </row>
    <row r="1477">
      <c r="A1477" s="157"/>
      <c r="B1477" s="216"/>
      <c r="C1477" s="157"/>
      <c r="D1477" s="216"/>
      <c r="E1477" s="216"/>
      <c r="F1477" s="216"/>
      <c r="G1477" s="216"/>
    </row>
    <row r="1478">
      <c r="A1478" s="157"/>
      <c r="B1478" s="216"/>
      <c r="C1478" s="157"/>
      <c r="D1478" s="216"/>
      <c r="E1478" s="216"/>
      <c r="F1478" s="216"/>
      <c r="G1478" s="216"/>
    </row>
    <row r="1479">
      <c r="A1479" s="157"/>
      <c r="B1479" s="216"/>
      <c r="C1479" s="157"/>
      <c r="D1479" s="216"/>
      <c r="E1479" s="216"/>
      <c r="F1479" s="216"/>
      <c r="G1479" s="216"/>
    </row>
    <row r="1480">
      <c r="A1480" s="157"/>
      <c r="B1480" s="216"/>
      <c r="C1480" s="157"/>
      <c r="D1480" s="216"/>
      <c r="E1480" s="216"/>
      <c r="F1480" s="216"/>
      <c r="G1480" s="216"/>
    </row>
    <row r="1481">
      <c r="A1481" s="157"/>
      <c r="B1481" s="216"/>
      <c r="C1481" s="157"/>
      <c r="D1481" s="216"/>
      <c r="E1481" s="216"/>
      <c r="F1481" s="216"/>
      <c r="G1481" s="216"/>
    </row>
    <row r="1482">
      <c r="A1482" s="157"/>
      <c r="B1482" s="216"/>
      <c r="C1482" s="157"/>
      <c r="D1482" s="216"/>
      <c r="E1482" s="216"/>
      <c r="F1482" s="216"/>
      <c r="G1482" s="216"/>
    </row>
    <row r="1483">
      <c r="A1483" s="157"/>
      <c r="B1483" s="216"/>
      <c r="C1483" s="157"/>
      <c r="D1483" s="216"/>
      <c r="E1483" s="216"/>
      <c r="F1483" s="216"/>
      <c r="G1483" s="216"/>
    </row>
    <row r="1484">
      <c r="A1484" s="157"/>
      <c r="B1484" s="216"/>
      <c r="C1484" s="157"/>
      <c r="D1484" s="216"/>
      <c r="E1484" s="216"/>
      <c r="F1484" s="216"/>
      <c r="G1484" s="216"/>
    </row>
    <row r="1485">
      <c r="A1485" s="157"/>
      <c r="B1485" s="216"/>
      <c r="C1485" s="157"/>
      <c r="D1485" s="216"/>
      <c r="E1485" s="216"/>
      <c r="F1485" s="216"/>
      <c r="G1485" s="216"/>
    </row>
    <row r="1486">
      <c r="A1486" s="157"/>
      <c r="B1486" s="216"/>
      <c r="C1486" s="157"/>
      <c r="D1486" s="216"/>
      <c r="E1486" s="216"/>
      <c r="F1486" s="216"/>
      <c r="G1486" s="216"/>
    </row>
    <row r="1487">
      <c r="A1487" s="157"/>
      <c r="B1487" s="216"/>
      <c r="C1487" s="157"/>
      <c r="D1487" s="216"/>
      <c r="E1487" s="216"/>
      <c r="F1487" s="216"/>
      <c r="G1487" s="216"/>
    </row>
    <row r="1488">
      <c r="A1488" s="157"/>
      <c r="B1488" s="216"/>
      <c r="C1488" s="157"/>
      <c r="D1488" s="216"/>
      <c r="E1488" s="216"/>
      <c r="F1488" s="216"/>
      <c r="G1488" s="216"/>
    </row>
    <row r="1489">
      <c r="A1489" s="157"/>
      <c r="B1489" s="216"/>
      <c r="C1489" s="157"/>
      <c r="D1489" s="216"/>
      <c r="E1489" s="216"/>
      <c r="F1489" s="216"/>
      <c r="G1489" s="216"/>
    </row>
    <row r="1490">
      <c r="A1490" s="157"/>
      <c r="B1490" s="216"/>
      <c r="C1490" s="157"/>
      <c r="D1490" s="216"/>
      <c r="E1490" s="216"/>
      <c r="F1490" s="216"/>
      <c r="G1490" s="216"/>
    </row>
    <row r="1491">
      <c r="A1491" s="157"/>
      <c r="B1491" s="216"/>
      <c r="C1491" s="157"/>
      <c r="D1491" s="216"/>
      <c r="E1491" s="216"/>
      <c r="F1491" s="216"/>
      <c r="G1491" s="216"/>
    </row>
    <row r="1492">
      <c r="A1492" s="157"/>
      <c r="B1492" s="216"/>
      <c r="C1492" s="157"/>
      <c r="D1492" s="216"/>
      <c r="E1492" s="216"/>
      <c r="F1492" s="216"/>
      <c r="G1492" s="216"/>
    </row>
    <row r="1493">
      <c r="A1493" s="157"/>
      <c r="B1493" s="216"/>
      <c r="C1493" s="157"/>
      <c r="D1493" s="216"/>
      <c r="E1493" s="216"/>
      <c r="F1493" s="216"/>
      <c r="G1493" s="216"/>
    </row>
    <row r="1494">
      <c r="A1494" s="157"/>
      <c r="B1494" s="216"/>
      <c r="C1494" s="157"/>
      <c r="D1494" s="216"/>
      <c r="E1494" s="216"/>
      <c r="F1494" s="216"/>
      <c r="G1494" s="216"/>
    </row>
    <row r="1495">
      <c r="A1495" s="157"/>
      <c r="B1495" s="216"/>
      <c r="C1495" s="157"/>
      <c r="D1495" s="216"/>
      <c r="E1495" s="216"/>
      <c r="F1495" s="216"/>
      <c r="G1495" s="216"/>
    </row>
    <row r="1496">
      <c r="A1496" s="157"/>
      <c r="B1496" s="216"/>
      <c r="C1496" s="157"/>
      <c r="D1496" s="216"/>
      <c r="E1496" s="216"/>
      <c r="F1496" s="216"/>
      <c r="G1496" s="216"/>
    </row>
    <row r="1497">
      <c r="A1497" s="157"/>
      <c r="B1497" s="216"/>
      <c r="C1497" s="157"/>
      <c r="D1497" s="216"/>
      <c r="E1497" s="216"/>
      <c r="F1497" s="216"/>
      <c r="G1497" s="216"/>
    </row>
    <row r="1498">
      <c r="A1498" s="157"/>
      <c r="B1498" s="216"/>
      <c r="C1498" s="157"/>
      <c r="D1498" s="216"/>
      <c r="E1498" s="216"/>
      <c r="F1498" s="216"/>
      <c r="G1498" s="216"/>
    </row>
    <row r="1499">
      <c r="A1499" s="157"/>
      <c r="B1499" s="216"/>
      <c r="C1499" s="157"/>
      <c r="D1499" s="216"/>
      <c r="E1499" s="216"/>
      <c r="F1499" s="216"/>
      <c r="G1499" s="216"/>
    </row>
    <row r="1500">
      <c r="A1500" s="157"/>
      <c r="B1500" s="216"/>
      <c r="C1500" s="157"/>
      <c r="D1500" s="216"/>
      <c r="E1500" s="216"/>
      <c r="F1500" s="216"/>
      <c r="G1500" s="216"/>
    </row>
    <row r="1501">
      <c r="A1501" s="157"/>
      <c r="B1501" s="216"/>
      <c r="C1501" s="157"/>
      <c r="D1501" s="216"/>
      <c r="E1501" s="216"/>
      <c r="F1501" s="216"/>
      <c r="G1501" s="216"/>
    </row>
    <row r="1502">
      <c r="A1502" s="157"/>
      <c r="B1502" s="216"/>
      <c r="C1502" s="157"/>
      <c r="D1502" s="216"/>
      <c r="E1502" s="216"/>
      <c r="F1502" s="216"/>
      <c r="G1502" s="216"/>
    </row>
    <row r="1503">
      <c r="A1503" s="157"/>
      <c r="B1503" s="216"/>
      <c r="C1503" s="157"/>
      <c r="D1503" s="216"/>
      <c r="E1503" s="216"/>
      <c r="F1503" s="216"/>
      <c r="G1503" s="216"/>
    </row>
    <row r="1504">
      <c r="A1504" s="157"/>
      <c r="B1504" s="216"/>
      <c r="C1504" s="157"/>
      <c r="D1504" s="216"/>
      <c r="E1504" s="216"/>
      <c r="F1504" s="216"/>
      <c r="G1504" s="216"/>
    </row>
    <row r="1505">
      <c r="A1505" s="157"/>
      <c r="B1505" s="216"/>
      <c r="C1505" s="157"/>
      <c r="D1505" s="216"/>
      <c r="E1505" s="216"/>
      <c r="F1505" s="216"/>
      <c r="G1505" s="216"/>
    </row>
    <row r="1506">
      <c r="A1506" s="157"/>
      <c r="B1506" s="216"/>
      <c r="C1506" s="157"/>
      <c r="D1506" s="216"/>
      <c r="E1506" s="216"/>
      <c r="F1506" s="216"/>
      <c r="G1506" s="216"/>
    </row>
    <row r="1507">
      <c r="A1507" s="157"/>
      <c r="B1507" s="216"/>
      <c r="C1507" s="157"/>
      <c r="D1507" s="216"/>
      <c r="E1507" s="216"/>
      <c r="F1507" s="216"/>
      <c r="G1507" s="216"/>
    </row>
    <row r="1508">
      <c r="A1508" s="157"/>
      <c r="B1508" s="216"/>
      <c r="C1508" s="157"/>
      <c r="D1508" s="216"/>
      <c r="E1508" s="216"/>
      <c r="F1508" s="216"/>
      <c r="G1508" s="216"/>
    </row>
    <row r="1509">
      <c r="A1509" s="157"/>
      <c r="B1509" s="216"/>
      <c r="C1509" s="157"/>
      <c r="D1509" s="216"/>
      <c r="E1509" s="216"/>
      <c r="F1509" s="216"/>
      <c r="G1509" s="216"/>
    </row>
    <row r="1510">
      <c r="A1510" s="157"/>
      <c r="B1510" s="216"/>
      <c r="C1510" s="157"/>
      <c r="D1510" s="216"/>
      <c r="E1510" s="216"/>
      <c r="F1510" s="216"/>
      <c r="G1510" s="216"/>
    </row>
    <row r="1511">
      <c r="A1511" s="157"/>
      <c r="B1511" s="216"/>
      <c r="C1511" s="157"/>
      <c r="D1511" s="216"/>
      <c r="E1511" s="216"/>
      <c r="F1511" s="216"/>
      <c r="G1511" s="216"/>
    </row>
    <row r="1512">
      <c r="A1512" s="157"/>
      <c r="B1512" s="216"/>
      <c r="C1512" s="157"/>
      <c r="D1512" s="216"/>
      <c r="E1512" s="216"/>
      <c r="F1512" s="216"/>
      <c r="G1512" s="216"/>
    </row>
    <row r="1513">
      <c r="A1513" s="157"/>
      <c r="B1513" s="216"/>
      <c r="C1513" s="157"/>
      <c r="D1513" s="216"/>
      <c r="E1513" s="216"/>
      <c r="F1513" s="216"/>
      <c r="G1513" s="216"/>
    </row>
    <row r="1514">
      <c r="A1514" s="157"/>
      <c r="B1514" s="216"/>
      <c r="C1514" s="157"/>
      <c r="D1514" s="216"/>
      <c r="E1514" s="216"/>
      <c r="F1514" s="216"/>
      <c r="G1514" s="216"/>
    </row>
    <row r="1515">
      <c r="A1515" s="157"/>
      <c r="B1515" s="216"/>
      <c r="C1515" s="157"/>
      <c r="D1515" s="216"/>
      <c r="E1515" s="216"/>
      <c r="F1515" s="216"/>
      <c r="G1515" s="216"/>
    </row>
    <row r="1516">
      <c r="A1516" s="157"/>
      <c r="B1516" s="216"/>
      <c r="C1516" s="157"/>
      <c r="D1516" s="216"/>
      <c r="E1516" s="216"/>
      <c r="F1516" s="216"/>
      <c r="G1516" s="216"/>
    </row>
    <row r="1517">
      <c r="A1517" s="157"/>
      <c r="B1517" s="216"/>
      <c r="C1517" s="157"/>
      <c r="D1517" s="216"/>
      <c r="E1517" s="216"/>
      <c r="F1517" s="216"/>
      <c r="G1517" s="216"/>
    </row>
    <row r="1518">
      <c r="A1518" s="157"/>
      <c r="B1518" s="216"/>
      <c r="C1518" s="157"/>
      <c r="D1518" s="216"/>
      <c r="E1518" s="216"/>
      <c r="F1518" s="216"/>
      <c r="G1518" s="216"/>
    </row>
    <row r="1519">
      <c r="A1519" s="157"/>
      <c r="B1519" s="216"/>
      <c r="C1519" s="157"/>
      <c r="D1519" s="216"/>
      <c r="E1519" s="216"/>
      <c r="F1519" s="216"/>
      <c r="G1519" s="216"/>
    </row>
    <row r="1520">
      <c r="A1520" s="157"/>
      <c r="B1520" s="216"/>
      <c r="C1520" s="157"/>
      <c r="D1520" s="216"/>
      <c r="E1520" s="216"/>
      <c r="F1520" s="216"/>
      <c r="G1520" s="216"/>
    </row>
    <row r="1521">
      <c r="A1521" s="157"/>
      <c r="B1521" s="216"/>
      <c r="C1521" s="157"/>
      <c r="D1521" s="216"/>
      <c r="E1521" s="216"/>
      <c r="F1521" s="216"/>
      <c r="G1521" s="216"/>
    </row>
    <row r="1522">
      <c r="A1522" s="157"/>
      <c r="B1522" s="216"/>
      <c r="C1522" s="157"/>
      <c r="D1522" s="216"/>
      <c r="E1522" s="216"/>
      <c r="F1522" s="216"/>
      <c r="G1522" s="216"/>
    </row>
    <row r="1523">
      <c r="A1523" s="157"/>
      <c r="B1523" s="216"/>
      <c r="C1523" s="157"/>
      <c r="D1523" s="216"/>
      <c r="E1523" s="216"/>
      <c r="F1523" s="216"/>
      <c r="G1523" s="216"/>
    </row>
    <row r="1524">
      <c r="A1524" s="157"/>
      <c r="B1524" s="216"/>
      <c r="C1524" s="157"/>
      <c r="D1524" s="216"/>
      <c r="E1524" s="216"/>
      <c r="F1524" s="216"/>
      <c r="G1524" s="216"/>
    </row>
    <row r="1525">
      <c r="A1525" s="157"/>
      <c r="B1525" s="216"/>
      <c r="C1525" s="157"/>
      <c r="D1525" s="216"/>
      <c r="E1525" s="216"/>
      <c r="F1525" s="216"/>
      <c r="G1525" s="216"/>
    </row>
    <row r="1526">
      <c r="A1526" s="157"/>
      <c r="B1526" s="216"/>
      <c r="C1526" s="157"/>
      <c r="D1526" s="216"/>
      <c r="E1526" s="216"/>
      <c r="F1526" s="216"/>
      <c r="G1526" s="216"/>
    </row>
    <row r="1527">
      <c r="A1527" s="157"/>
      <c r="B1527" s="216"/>
      <c r="C1527" s="157"/>
      <c r="D1527" s="216"/>
      <c r="E1527" s="216"/>
      <c r="F1527" s="216"/>
      <c r="G1527" s="216"/>
    </row>
    <row r="1528">
      <c r="A1528" s="157"/>
      <c r="B1528" s="216"/>
      <c r="C1528" s="157"/>
      <c r="D1528" s="216"/>
      <c r="E1528" s="216"/>
      <c r="F1528" s="216"/>
      <c r="G1528" s="216"/>
    </row>
    <row r="1529">
      <c r="A1529" s="157"/>
      <c r="B1529" s="216"/>
      <c r="C1529" s="157"/>
      <c r="D1529" s="216"/>
      <c r="E1529" s="216"/>
      <c r="F1529" s="216"/>
      <c r="G1529" s="216"/>
    </row>
    <row r="1530">
      <c r="A1530" s="157"/>
      <c r="B1530" s="216"/>
      <c r="C1530" s="157"/>
      <c r="D1530" s="216"/>
      <c r="E1530" s="216"/>
      <c r="F1530" s="216"/>
      <c r="G1530" s="216"/>
    </row>
    <row r="1531">
      <c r="A1531" s="157"/>
      <c r="B1531" s="216"/>
      <c r="C1531" s="157"/>
      <c r="D1531" s="216"/>
      <c r="E1531" s="216"/>
      <c r="F1531" s="216"/>
      <c r="G1531" s="216"/>
    </row>
    <row r="1532">
      <c r="A1532" s="157"/>
      <c r="B1532" s="216"/>
      <c r="C1532" s="157"/>
      <c r="D1532" s="216"/>
      <c r="E1532" s="216"/>
      <c r="F1532" s="216"/>
      <c r="G1532" s="216"/>
    </row>
    <row r="1533">
      <c r="A1533" s="157"/>
      <c r="B1533" s="216"/>
      <c r="C1533" s="157"/>
      <c r="D1533" s="216"/>
      <c r="E1533" s="216"/>
      <c r="F1533" s="216"/>
      <c r="G1533" s="216"/>
    </row>
    <row r="1534">
      <c r="A1534" s="157"/>
      <c r="B1534" s="216"/>
      <c r="C1534" s="157"/>
      <c r="D1534" s="216"/>
      <c r="E1534" s="216"/>
      <c r="F1534" s="216"/>
      <c r="G1534" s="216"/>
    </row>
    <row r="1535">
      <c r="A1535" s="157"/>
      <c r="B1535" s="216"/>
      <c r="C1535" s="157"/>
      <c r="D1535" s="216"/>
      <c r="E1535" s="216"/>
      <c r="F1535" s="216"/>
      <c r="G1535" s="216"/>
    </row>
    <row r="1536">
      <c r="A1536" s="157"/>
      <c r="B1536" s="216"/>
      <c r="C1536" s="157"/>
      <c r="D1536" s="216"/>
      <c r="E1536" s="216"/>
      <c r="F1536" s="216"/>
      <c r="G1536" s="216"/>
    </row>
    <row r="1537">
      <c r="A1537" s="157"/>
      <c r="B1537" s="216"/>
      <c r="C1537" s="157"/>
      <c r="D1537" s="216"/>
      <c r="E1537" s="216"/>
      <c r="F1537" s="216"/>
      <c r="G1537" s="216"/>
    </row>
    <row r="1538">
      <c r="A1538" s="157"/>
      <c r="B1538" s="216"/>
      <c r="C1538" s="157"/>
      <c r="D1538" s="216"/>
      <c r="E1538" s="216"/>
      <c r="F1538" s="216"/>
      <c r="G1538" s="216"/>
    </row>
    <row r="1539">
      <c r="A1539" s="157"/>
      <c r="B1539" s="216"/>
      <c r="C1539" s="157"/>
      <c r="D1539" s="216"/>
      <c r="E1539" s="216"/>
      <c r="F1539" s="216"/>
      <c r="G1539" s="216"/>
    </row>
    <row r="1540">
      <c r="A1540" s="157"/>
      <c r="B1540" s="216"/>
      <c r="C1540" s="157"/>
      <c r="D1540" s="216"/>
      <c r="E1540" s="216"/>
      <c r="F1540" s="216"/>
      <c r="G1540" s="216"/>
    </row>
    <row r="1541">
      <c r="A1541" s="157"/>
      <c r="B1541" s="216"/>
      <c r="C1541" s="157"/>
      <c r="D1541" s="216"/>
      <c r="E1541" s="216"/>
      <c r="F1541" s="216"/>
      <c r="G1541" s="216"/>
    </row>
    <row r="1542">
      <c r="A1542" s="157"/>
      <c r="B1542" s="216"/>
      <c r="C1542" s="157"/>
      <c r="D1542" s="216"/>
      <c r="E1542" s="216"/>
      <c r="F1542" s="216"/>
      <c r="G1542" s="216"/>
    </row>
    <row r="1543">
      <c r="A1543" s="157"/>
      <c r="B1543" s="216"/>
      <c r="C1543" s="157"/>
      <c r="D1543" s="216"/>
      <c r="E1543" s="216"/>
      <c r="F1543" s="216"/>
      <c r="G1543" s="216"/>
    </row>
    <row r="1544">
      <c r="A1544" s="157"/>
      <c r="B1544" s="216"/>
      <c r="C1544" s="157"/>
      <c r="D1544" s="216"/>
      <c r="E1544" s="216"/>
      <c r="F1544" s="216"/>
      <c r="G1544" s="216"/>
    </row>
    <row r="1545">
      <c r="A1545" s="157"/>
      <c r="B1545" s="216"/>
      <c r="C1545" s="157"/>
      <c r="D1545" s="216"/>
      <c r="E1545" s="216"/>
      <c r="F1545" s="216"/>
      <c r="G1545" s="216"/>
    </row>
    <row r="1546">
      <c r="A1546" s="157"/>
      <c r="B1546" s="216"/>
      <c r="C1546" s="157"/>
      <c r="D1546" s="216"/>
      <c r="E1546" s="216"/>
      <c r="F1546" s="216"/>
      <c r="G1546" s="216"/>
    </row>
    <row r="1547">
      <c r="A1547" s="157"/>
      <c r="B1547" s="216"/>
      <c r="C1547" s="157"/>
      <c r="D1547" s="216"/>
      <c r="E1547" s="216"/>
      <c r="F1547" s="216"/>
      <c r="G1547" s="216"/>
    </row>
    <row r="1548">
      <c r="A1548" s="157"/>
      <c r="B1548" s="216"/>
      <c r="C1548" s="157"/>
      <c r="D1548" s="216"/>
      <c r="E1548" s="216"/>
      <c r="F1548" s="216"/>
      <c r="G1548" s="216"/>
    </row>
    <row r="1549">
      <c r="A1549" s="157"/>
      <c r="B1549" s="216"/>
      <c r="C1549" s="157"/>
      <c r="D1549" s="216"/>
      <c r="E1549" s="216"/>
      <c r="F1549" s="216"/>
      <c r="G1549" s="216"/>
    </row>
    <row r="1550">
      <c r="A1550" s="157"/>
      <c r="B1550" s="216"/>
      <c r="C1550" s="157"/>
      <c r="D1550" s="216"/>
      <c r="E1550" s="216"/>
      <c r="F1550" s="216"/>
      <c r="G1550" s="216"/>
    </row>
    <row r="1551">
      <c r="A1551" s="157"/>
      <c r="B1551" s="216"/>
      <c r="C1551" s="157"/>
      <c r="D1551" s="216"/>
      <c r="E1551" s="216"/>
      <c r="F1551" s="216"/>
      <c r="G1551" s="216"/>
    </row>
    <row r="1552">
      <c r="A1552" s="157"/>
      <c r="B1552" s="216"/>
      <c r="C1552" s="157"/>
      <c r="D1552" s="216"/>
      <c r="E1552" s="216"/>
      <c r="F1552" s="216"/>
      <c r="G1552" s="216"/>
    </row>
    <row r="1553">
      <c r="A1553" s="157"/>
      <c r="B1553" s="216"/>
      <c r="C1553" s="157"/>
      <c r="D1553" s="216"/>
      <c r="E1553" s="216"/>
      <c r="F1553" s="216"/>
      <c r="G1553" s="216"/>
    </row>
    <row r="1554">
      <c r="A1554" s="157"/>
      <c r="B1554" s="216"/>
      <c r="C1554" s="157"/>
      <c r="D1554" s="216"/>
      <c r="E1554" s="216"/>
      <c r="F1554" s="216"/>
      <c r="G1554" s="216"/>
    </row>
    <row r="1555">
      <c r="A1555" s="157"/>
      <c r="B1555" s="216"/>
      <c r="C1555" s="157"/>
      <c r="D1555" s="216"/>
      <c r="E1555" s="216"/>
      <c r="F1555" s="216"/>
      <c r="G1555" s="216"/>
    </row>
    <row r="1556">
      <c r="A1556" s="157"/>
      <c r="B1556" s="216"/>
      <c r="C1556" s="157"/>
      <c r="D1556" s="216"/>
      <c r="E1556" s="216"/>
      <c r="F1556" s="216"/>
      <c r="G1556" s="216"/>
    </row>
    <row r="1557">
      <c r="A1557" s="157"/>
      <c r="B1557" s="216"/>
      <c r="C1557" s="157"/>
      <c r="D1557" s="216"/>
      <c r="E1557" s="216"/>
      <c r="F1557" s="216"/>
      <c r="G1557" s="216"/>
    </row>
    <row r="1558">
      <c r="A1558" s="157"/>
      <c r="B1558" s="216"/>
      <c r="C1558" s="157"/>
      <c r="D1558" s="216"/>
      <c r="E1558" s="216"/>
      <c r="F1558" s="216"/>
      <c r="G1558" s="216"/>
    </row>
    <row r="1559">
      <c r="A1559" s="157"/>
      <c r="B1559" s="216"/>
      <c r="C1559" s="157"/>
      <c r="D1559" s="216"/>
      <c r="E1559" s="216"/>
      <c r="F1559" s="216"/>
      <c r="G1559" s="216"/>
    </row>
    <row r="1560">
      <c r="A1560" s="157"/>
      <c r="B1560" s="216"/>
      <c r="C1560" s="157"/>
      <c r="D1560" s="216"/>
      <c r="E1560" s="216"/>
      <c r="F1560" s="216"/>
      <c r="G1560" s="216"/>
    </row>
    <row r="1561">
      <c r="A1561" s="157"/>
      <c r="B1561" s="216"/>
      <c r="C1561" s="157"/>
      <c r="D1561" s="216"/>
      <c r="E1561" s="216"/>
      <c r="F1561" s="216"/>
      <c r="G1561" s="216"/>
    </row>
    <row r="1562">
      <c r="A1562" s="157"/>
      <c r="B1562" s="216"/>
      <c r="C1562" s="157"/>
      <c r="D1562" s="216"/>
      <c r="E1562" s="216"/>
      <c r="F1562" s="216"/>
      <c r="G1562" s="216"/>
    </row>
    <row r="1563">
      <c r="A1563" s="157"/>
      <c r="B1563" s="216"/>
      <c r="C1563" s="157"/>
      <c r="D1563" s="216"/>
      <c r="E1563" s="216"/>
      <c r="F1563" s="216"/>
      <c r="G1563" s="216"/>
    </row>
    <row r="1564">
      <c r="A1564" s="157"/>
      <c r="B1564" s="216"/>
      <c r="C1564" s="157"/>
      <c r="D1564" s="216"/>
      <c r="E1564" s="216"/>
      <c r="F1564" s="216"/>
      <c r="G1564" s="216"/>
    </row>
    <row r="1565">
      <c r="A1565" s="157"/>
      <c r="B1565" s="216"/>
      <c r="C1565" s="157"/>
      <c r="D1565" s="216"/>
      <c r="E1565" s="216"/>
      <c r="F1565" s="216"/>
      <c r="G1565" s="216"/>
    </row>
    <row r="1566">
      <c r="A1566" s="157"/>
      <c r="B1566" s="216"/>
      <c r="C1566" s="157"/>
      <c r="D1566" s="216"/>
      <c r="E1566" s="216"/>
      <c r="F1566" s="216"/>
      <c r="G1566" s="216"/>
    </row>
    <row r="1567">
      <c r="A1567" s="157"/>
      <c r="B1567" s="216"/>
      <c r="C1567" s="157"/>
      <c r="D1567" s="216"/>
      <c r="E1567" s="216"/>
      <c r="F1567" s="216"/>
      <c r="G1567" s="216"/>
    </row>
    <row r="1568">
      <c r="A1568" s="157"/>
      <c r="B1568" s="216"/>
      <c r="C1568" s="157"/>
      <c r="D1568" s="216"/>
      <c r="E1568" s="216"/>
      <c r="F1568" s="216"/>
      <c r="G1568" s="216"/>
    </row>
    <row r="1569">
      <c r="A1569" s="157"/>
      <c r="B1569" s="216"/>
      <c r="C1569" s="157"/>
      <c r="D1569" s="216"/>
      <c r="E1569" s="216"/>
      <c r="F1569" s="216"/>
      <c r="G1569" s="216"/>
    </row>
    <row r="1570">
      <c r="A1570" s="157"/>
      <c r="B1570" s="216"/>
      <c r="C1570" s="157"/>
      <c r="D1570" s="216"/>
      <c r="E1570" s="216"/>
      <c r="F1570" s="216"/>
      <c r="G1570" s="216"/>
    </row>
    <row r="1571">
      <c r="A1571" s="157"/>
      <c r="B1571" s="216"/>
      <c r="C1571" s="157"/>
      <c r="D1571" s="216"/>
      <c r="E1571" s="216"/>
      <c r="F1571" s="216"/>
      <c r="G1571" s="216"/>
    </row>
    <row r="1572">
      <c r="A1572" s="157"/>
      <c r="B1572" s="216"/>
      <c r="C1572" s="157"/>
      <c r="D1572" s="216"/>
      <c r="E1572" s="216"/>
      <c r="F1572" s="216"/>
      <c r="G1572" s="216"/>
    </row>
    <row r="1573">
      <c r="A1573" s="157"/>
      <c r="B1573" s="216"/>
      <c r="C1573" s="157"/>
      <c r="D1573" s="216"/>
      <c r="E1573" s="216"/>
      <c r="F1573" s="216"/>
      <c r="G1573" s="216"/>
    </row>
    <row r="1574">
      <c r="A1574" s="157"/>
      <c r="B1574" s="216"/>
      <c r="C1574" s="157"/>
      <c r="D1574" s="216"/>
      <c r="E1574" s="216"/>
      <c r="F1574" s="216"/>
      <c r="G1574" s="216"/>
    </row>
    <row r="1575">
      <c r="A1575" s="157"/>
      <c r="B1575" s="216"/>
      <c r="C1575" s="157"/>
      <c r="D1575" s="216"/>
      <c r="E1575" s="216"/>
      <c r="F1575" s="216"/>
      <c r="G1575" s="216"/>
    </row>
    <row r="1576">
      <c r="A1576" s="157"/>
      <c r="B1576" s="216"/>
      <c r="C1576" s="157"/>
      <c r="D1576" s="216"/>
      <c r="E1576" s="216"/>
      <c r="F1576" s="216"/>
      <c r="G1576" s="216"/>
    </row>
    <row r="1577">
      <c r="A1577" s="157"/>
      <c r="B1577" s="216"/>
      <c r="C1577" s="157"/>
      <c r="D1577" s="216"/>
      <c r="E1577" s="216"/>
      <c r="F1577" s="216"/>
      <c r="G1577" s="216"/>
    </row>
    <row r="1578">
      <c r="A1578" s="157"/>
      <c r="B1578" s="216"/>
      <c r="C1578" s="157"/>
      <c r="D1578" s="216"/>
      <c r="E1578" s="216"/>
      <c r="F1578" s="216"/>
      <c r="G1578" s="216"/>
    </row>
    <row r="1579">
      <c r="A1579" s="157"/>
      <c r="B1579" s="216"/>
      <c r="C1579" s="157"/>
      <c r="D1579" s="216"/>
      <c r="E1579" s="216"/>
      <c r="F1579" s="216"/>
      <c r="G1579" s="216"/>
    </row>
    <row r="1580">
      <c r="A1580" s="157"/>
      <c r="B1580" s="216"/>
      <c r="C1580" s="157"/>
      <c r="D1580" s="216"/>
      <c r="E1580" s="216"/>
      <c r="F1580" s="216"/>
      <c r="G1580" s="216"/>
    </row>
    <row r="1581">
      <c r="A1581" s="157"/>
      <c r="B1581" s="216"/>
      <c r="C1581" s="157"/>
      <c r="D1581" s="216"/>
      <c r="E1581" s="216"/>
      <c r="F1581" s="216"/>
      <c r="G1581" s="216"/>
    </row>
    <row r="1582">
      <c r="A1582" s="157"/>
      <c r="B1582" s="216"/>
      <c r="C1582" s="157"/>
      <c r="D1582" s="216"/>
      <c r="E1582" s="216"/>
      <c r="F1582" s="216"/>
      <c r="G1582" s="216"/>
    </row>
    <row r="1583">
      <c r="A1583" s="157"/>
      <c r="B1583" s="216"/>
      <c r="C1583" s="157"/>
      <c r="D1583" s="216"/>
      <c r="E1583" s="216"/>
      <c r="F1583" s="216"/>
      <c r="G1583" s="216"/>
    </row>
    <row r="1584">
      <c r="A1584" s="157"/>
      <c r="B1584" s="216"/>
      <c r="C1584" s="157"/>
      <c r="D1584" s="216"/>
      <c r="E1584" s="216"/>
      <c r="F1584" s="216"/>
      <c r="G1584" s="216"/>
    </row>
    <row r="1585">
      <c r="A1585" s="157"/>
      <c r="B1585" s="216"/>
      <c r="C1585" s="157"/>
      <c r="D1585" s="216"/>
      <c r="E1585" s="216"/>
      <c r="F1585" s="216"/>
      <c r="G1585" s="216"/>
    </row>
    <row r="1586">
      <c r="A1586" s="157"/>
      <c r="B1586" s="216"/>
      <c r="C1586" s="157"/>
      <c r="D1586" s="216"/>
      <c r="E1586" s="216"/>
      <c r="F1586" s="216"/>
      <c r="G1586" s="216"/>
    </row>
    <row r="1587">
      <c r="A1587" s="157"/>
      <c r="B1587" s="216"/>
      <c r="C1587" s="157"/>
      <c r="D1587" s="216"/>
      <c r="E1587" s="216"/>
      <c r="F1587" s="216"/>
      <c r="G1587" s="216"/>
    </row>
    <row r="1588">
      <c r="A1588" s="157"/>
      <c r="B1588" s="216"/>
      <c r="C1588" s="157"/>
      <c r="D1588" s="216"/>
      <c r="E1588" s="216"/>
      <c r="F1588" s="216"/>
      <c r="G1588" s="216"/>
    </row>
    <row r="1589">
      <c r="A1589" s="157"/>
      <c r="B1589" s="216"/>
      <c r="C1589" s="157"/>
      <c r="D1589" s="216"/>
      <c r="E1589" s="216"/>
      <c r="F1589" s="216"/>
      <c r="G1589" s="216"/>
    </row>
    <row r="1590">
      <c r="A1590" s="157"/>
      <c r="B1590" s="216"/>
      <c r="C1590" s="157"/>
      <c r="D1590" s="216"/>
      <c r="E1590" s="216"/>
      <c r="F1590" s="216"/>
      <c r="G1590" s="216"/>
    </row>
    <row r="1591">
      <c r="A1591" s="157"/>
      <c r="B1591" s="216"/>
      <c r="C1591" s="157"/>
      <c r="D1591" s="216"/>
      <c r="E1591" s="216"/>
      <c r="F1591" s="216"/>
      <c r="G1591" s="216"/>
    </row>
    <row r="1592">
      <c r="A1592" s="157"/>
      <c r="B1592" s="216"/>
      <c r="C1592" s="157"/>
      <c r="D1592" s="216"/>
      <c r="E1592" s="216"/>
      <c r="F1592" s="216"/>
      <c r="G1592" s="216"/>
    </row>
    <row r="1593">
      <c r="A1593" s="157"/>
      <c r="B1593" s="216"/>
      <c r="C1593" s="157"/>
      <c r="D1593" s="216"/>
      <c r="E1593" s="216"/>
      <c r="F1593" s="216"/>
      <c r="G1593" s="216"/>
    </row>
    <row r="1594">
      <c r="A1594" s="157"/>
      <c r="B1594" s="216"/>
      <c r="C1594" s="157"/>
      <c r="D1594" s="216"/>
      <c r="E1594" s="216"/>
      <c r="F1594" s="216"/>
      <c r="G1594" s="216"/>
    </row>
    <row r="1595">
      <c r="A1595" s="157"/>
      <c r="B1595" s="216"/>
      <c r="C1595" s="157"/>
      <c r="D1595" s="216"/>
      <c r="E1595" s="216"/>
      <c r="F1595" s="216"/>
      <c r="G1595" s="216"/>
    </row>
    <row r="1596">
      <c r="A1596" s="157"/>
      <c r="B1596" s="216"/>
      <c r="C1596" s="157"/>
      <c r="D1596" s="216"/>
      <c r="E1596" s="216"/>
      <c r="F1596" s="216"/>
      <c r="G1596" s="216"/>
    </row>
    <row r="1597">
      <c r="A1597" s="157"/>
      <c r="B1597" s="216"/>
      <c r="C1597" s="157"/>
      <c r="D1597" s="216"/>
      <c r="E1597" s="216"/>
      <c r="F1597" s="216"/>
      <c r="G1597" s="216"/>
    </row>
    <row r="1598">
      <c r="A1598" s="157"/>
      <c r="B1598" s="216"/>
      <c r="C1598" s="157"/>
      <c r="D1598" s="216"/>
      <c r="E1598" s="216"/>
      <c r="F1598" s="216"/>
      <c r="G1598" s="216"/>
    </row>
    <row r="1599">
      <c r="A1599" s="157"/>
      <c r="B1599" s="216"/>
      <c r="C1599" s="157"/>
      <c r="D1599" s="216"/>
      <c r="E1599" s="216"/>
      <c r="F1599" s="216"/>
      <c r="G1599" s="216"/>
    </row>
    <row r="1600">
      <c r="A1600" s="157"/>
      <c r="B1600" s="216"/>
      <c r="C1600" s="157"/>
      <c r="D1600" s="216"/>
      <c r="E1600" s="216"/>
      <c r="F1600" s="216"/>
      <c r="G1600" s="216"/>
    </row>
    <row r="1601">
      <c r="A1601" s="157"/>
      <c r="B1601" s="216"/>
      <c r="C1601" s="157"/>
      <c r="D1601" s="216"/>
      <c r="E1601" s="216"/>
      <c r="F1601" s="216"/>
      <c r="G1601" s="216"/>
    </row>
    <row r="1602">
      <c r="A1602" s="157"/>
      <c r="B1602" s="216"/>
      <c r="C1602" s="157"/>
      <c r="D1602" s="216"/>
      <c r="E1602" s="216"/>
      <c r="F1602" s="216"/>
      <c r="G1602" s="216"/>
    </row>
    <row r="1603">
      <c r="A1603" s="157"/>
      <c r="B1603" s="216"/>
      <c r="C1603" s="157"/>
      <c r="D1603" s="216"/>
      <c r="E1603" s="216"/>
      <c r="F1603" s="216"/>
      <c r="G1603" s="216"/>
    </row>
    <row r="1604">
      <c r="A1604" s="157"/>
      <c r="B1604" s="216"/>
      <c r="C1604" s="157"/>
      <c r="D1604" s="216"/>
      <c r="E1604" s="216"/>
      <c r="F1604" s="216"/>
      <c r="G1604" s="216"/>
    </row>
    <row r="1605">
      <c r="A1605" s="157"/>
      <c r="B1605" s="216"/>
      <c r="C1605" s="157"/>
      <c r="D1605" s="216"/>
      <c r="E1605" s="216"/>
      <c r="F1605" s="216"/>
      <c r="G1605" s="216"/>
    </row>
    <row r="1606">
      <c r="A1606" s="157"/>
      <c r="B1606" s="216"/>
      <c r="C1606" s="157"/>
      <c r="D1606" s="216"/>
      <c r="E1606" s="216"/>
      <c r="F1606" s="216"/>
      <c r="G1606" s="216"/>
    </row>
    <row r="1607">
      <c r="A1607" s="157"/>
      <c r="B1607" s="216"/>
      <c r="C1607" s="157"/>
      <c r="D1607" s="216"/>
      <c r="E1607" s="216"/>
      <c r="F1607" s="216"/>
      <c r="G1607" s="216"/>
    </row>
    <row r="1608">
      <c r="A1608" s="157"/>
      <c r="B1608" s="216"/>
      <c r="C1608" s="157"/>
      <c r="D1608" s="216"/>
      <c r="E1608" s="216"/>
      <c r="F1608" s="216"/>
      <c r="G1608" s="216"/>
    </row>
    <row r="1609">
      <c r="A1609" s="157"/>
      <c r="B1609" s="216"/>
      <c r="C1609" s="157"/>
      <c r="D1609" s="216"/>
      <c r="E1609" s="216"/>
      <c r="F1609" s="216"/>
      <c r="G1609" s="216"/>
    </row>
    <row r="1610">
      <c r="A1610" s="157"/>
      <c r="B1610" s="216"/>
      <c r="C1610" s="157"/>
      <c r="D1610" s="216"/>
      <c r="E1610" s="216"/>
      <c r="F1610" s="216"/>
      <c r="G1610" s="216"/>
    </row>
    <row r="1611">
      <c r="A1611" s="157"/>
      <c r="B1611" s="216"/>
      <c r="C1611" s="157"/>
      <c r="D1611" s="216"/>
      <c r="E1611" s="216"/>
      <c r="F1611" s="216"/>
      <c r="G1611" s="216"/>
    </row>
    <row r="1612">
      <c r="A1612" s="157"/>
      <c r="B1612" s="216"/>
      <c r="C1612" s="157"/>
      <c r="D1612" s="216"/>
      <c r="E1612" s="216"/>
      <c r="F1612" s="216"/>
      <c r="G1612" s="216"/>
    </row>
    <row r="1613">
      <c r="A1613" s="157"/>
      <c r="B1613" s="216"/>
      <c r="C1613" s="157"/>
      <c r="D1613" s="216"/>
      <c r="E1613" s="216"/>
      <c r="F1613" s="216"/>
      <c r="G1613" s="216"/>
    </row>
    <row r="1614">
      <c r="A1614" s="157"/>
      <c r="B1614" s="216"/>
      <c r="C1614" s="157"/>
      <c r="D1614" s="216"/>
      <c r="E1614" s="216"/>
      <c r="F1614" s="216"/>
      <c r="G1614" s="216"/>
    </row>
    <row r="1615">
      <c r="A1615" s="157"/>
      <c r="B1615" s="216"/>
      <c r="C1615" s="157"/>
      <c r="D1615" s="216"/>
      <c r="E1615" s="216"/>
      <c r="F1615" s="216"/>
      <c r="G1615" s="216"/>
    </row>
    <row r="1616">
      <c r="A1616" s="157"/>
      <c r="B1616" s="216"/>
      <c r="C1616" s="157"/>
      <c r="D1616" s="216"/>
      <c r="E1616" s="216"/>
      <c r="F1616" s="216"/>
      <c r="G1616" s="216"/>
    </row>
    <row r="1617">
      <c r="A1617" s="157"/>
      <c r="B1617" s="216"/>
      <c r="C1617" s="157"/>
      <c r="D1617" s="216"/>
      <c r="E1617" s="216"/>
      <c r="F1617" s="216"/>
      <c r="G1617" s="216"/>
    </row>
    <row r="1618">
      <c r="A1618" s="157"/>
      <c r="B1618" s="216"/>
      <c r="C1618" s="157"/>
      <c r="D1618" s="216"/>
      <c r="E1618" s="216"/>
      <c r="F1618" s="216"/>
      <c r="G1618" s="216"/>
    </row>
    <row r="1619">
      <c r="A1619" s="157"/>
      <c r="B1619" s="216"/>
      <c r="C1619" s="157"/>
      <c r="D1619" s="216"/>
      <c r="E1619" s="216"/>
      <c r="F1619" s="216"/>
      <c r="G1619" s="216"/>
    </row>
    <row r="1620">
      <c r="A1620" s="157"/>
      <c r="B1620" s="216"/>
      <c r="C1620" s="157"/>
      <c r="D1620" s="216"/>
      <c r="E1620" s="216"/>
      <c r="F1620" s="216"/>
      <c r="G1620" s="216"/>
    </row>
    <row r="1621">
      <c r="A1621" s="157"/>
      <c r="B1621" s="216"/>
      <c r="C1621" s="157"/>
      <c r="D1621" s="216"/>
      <c r="E1621" s="216"/>
      <c r="F1621" s="216"/>
      <c r="G1621" s="216"/>
    </row>
    <row r="1622">
      <c r="A1622" s="157"/>
      <c r="B1622" s="216"/>
      <c r="C1622" s="157"/>
      <c r="D1622" s="216"/>
      <c r="E1622" s="216"/>
      <c r="F1622" s="216"/>
      <c r="G1622" s="216"/>
    </row>
    <row r="1623">
      <c r="A1623" s="157"/>
      <c r="B1623" s="216"/>
      <c r="C1623" s="157"/>
      <c r="D1623" s="216"/>
      <c r="E1623" s="216"/>
      <c r="F1623" s="216"/>
      <c r="G1623" s="216"/>
    </row>
    <row r="1624">
      <c r="A1624" s="157"/>
      <c r="B1624" s="216"/>
      <c r="C1624" s="157"/>
      <c r="D1624" s="216"/>
      <c r="E1624" s="216"/>
      <c r="F1624" s="216"/>
      <c r="G1624" s="216"/>
    </row>
    <row r="1625">
      <c r="A1625" s="157"/>
      <c r="B1625" s="216"/>
      <c r="C1625" s="157"/>
      <c r="D1625" s="216"/>
      <c r="E1625" s="216"/>
      <c r="F1625" s="216"/>
      <c r="G1625" s="216"/>
    </row>
    <row r="1626">
      <c r="A1626" s="157"/>
      <c r="B1626" s="216"/>
      <c r="C1626" s="157"/>
      <c r="D1626" s="216"/>
      <c r="E1626" s="216"/>
      <c r="F1626" s="216"/>
      <c r="G1626" s="216"/>
    </row>
    <row r="1627">
      <c r="A1627" s="157"/>
      <c r="B1627" s="216"/>
      <c r="C1627" s="157"/>
      <c r="D1627" s="216"/>
      <c r="E1627" s="216"/>
      <c r="F1627" s="216"/>
      <c r="G1627" s="216"/>
    </row>
    <row r="1628">
      <c r="A1628" s="157"/>
      <c r="B1628" s="216"/>
      <c r="C1628" s="157"/>
      <c r="D1628" s="216"/>
      <c r="E1628" s="216"/>
      <c r="F1628" s="216"/>
      <c r="G1628" s="216"/>
    </row>
    <row r="1629">
      <c r="A1629" s="157"/>
      <c r="B1629" s="216"/>
      <c r="C1629" s="157"/>
      <c r="D1629" s="216"/>
      <c r="E1629" s="216"/>
      <c r="F1629" s="216"/>
      <c r="G1629" s="216"/>
    </row>
    <row r="1630">
      <c r="A1630" s="157"/>
      <c r="B1630" s="216"/>
      <c r="C1630" s="157"/>
      <c r="D1630" s="216"/>
      <c r="E1630" s="216"/>
      <c r="F1630" s="216"/>
      <c r="G1630" s="216"/>
    </row>
    <row r="1631">
      <c r="A1631" s="157"/>
      <c r="B1631" s="216"/>
      <c r="C1631" s="157"/>
      <c r="D1631" s="216"/>
      <c r="E1631" s="216"/>
      <c r="F1631" s="216"/>
      <c r="G1631" s="216"/>
    </row>
    <row r="1632">
      <c r="A1632" s="157"/>
      <c r="B1632" s="216"/>
      <c r="C1632" s="157"/>
      <c r="D1632" s="216"/>
      <c r="E1632" s="216"/>
      <c r="F1632" s="216"/>
      <c r="G1632" s="216"/>
    </row>
    <row r="1633">
      <c r="A1633" s="157"/>
      <c r="B1633" s="216"/>
      <c r="C1633" s="157"/>
      <c r="D1633" s="216"/>
      <c r="E1633" s="216"/>
      <c r="F1633" s="216"/>
      <c r="G1633" s="216"/>
    </row>
    <row r="1634">
      <c r="A1634" s="157"/>
      <c r="B1634" s="216"/>
      <c r="C1634" s="157"/>
      <c r="D1634" s="216"/>
      <c r="E1634" s="216"/>
      <c r="F1634" s="216"/>
      <c r="G1634" s="216"/>
    </row>
    <row r="1635">
      <c r="A1635" s="157"/>
      <c r="B1635" s="216"/>
      <c r="C1635" s="157"/>
      <c r="D1635" s="216"/>
      <c r="E1635" s="216"/>
      <c r="F1635" s="216"/>
      <c r="G1635" s="216"/>
    </row>
    <row r="1636">
      <c r="A1636" s="157"/>
      <c r="B1636" s="216"/>
      <c r="C1636" s="157"/>
      <c r="D1636" s="216"/>
      <c r="E1636" s="216"/>
      <c r="F1636" s="216"/>
      <c r="G1636" s="216"/>
    </row>
    <row r="1637">
      <c r="A1637" s="157"/>
      <c r="B1637" s="216"/>
      <c r="C1637" s="157"/>
      <c r="D1637" s="216"/>
      <c r="E1637" s="216"/>
      <c r="F1637" s="216"/>
      <c r="G1637" s="216"/>
    </row>
    <row r="1638">
      <c r="A1638" s="157"/>
      <c r="B1638" s="216"/>
      <c r="C1638" s="157"/>
      <c r="D1638" s="216"/>
      <c r="E1638" s="216"/>
      <c r="F1638" s="216"/>
      <c r="G1638" s="216"/>
    </row>
    <row r="1639">
      <c r="A1639" s="157"/>
      <c r="B1639" s="216"/>
      <c r="C1639" s="157"/>
      <c r="D1639" s="216"/>
      <c r="E1639" s="216"/>
      <c r="F1639" s="216"/>
      <c r="G1639" s="216"/>
    </row>
    <row r="1640">
      <c r="A1640" s="157"/>
      <c r="B1640" s="216"/>
      <c r="C1640" s="157"/>
      <c r="D1640" s="216"/>
      <c r="E1640" s="216"/>
      <c r="F1640" s="216"/>
      <c r="G1640" s="216"/>
    </row>
    <row r="1641">
      <c r="A1641" s="157"/>
      <c r="B1641" s="216"/>
      <c r="C1641" s="157"/>
      <c r="D1641" s="216"/>
      <c r="E1641" s="216"/>
      <c r="F1641" s="216"/>
      <c r="G1641" s="216"/>
    </row>
    <row r="1642">
      <c r="A1642" s="157"/>
      <c r="B1642" s="216"/>
      <c r="C1642" s="157"/>
      <c r="D1642" s="216"/>
      <c r="E1642" s="216"/>
      <c r="F1642" s="216"/>
      <c r="G1642" s="216"/>
    </row>
    <row r="1643">
      <c r="A1643" s="157"/>
      <c r="B1643" s="216"/>
      <c r="C1643" s="157"/>
      <c r="D1643" s="216"/>
      <c r="E1643" s="216"/>
      <c r="F1643" s="216"/>
      <c r="G1643" s="216"/>
    </row>
    <row r="1644">
      <c r="A1644" s="157"/>
      <c r="B1644" s="216"/>
      <c r="C1644" s="157"/>
      <c r="D1644" s="216"/>
      <c r="E1644" s="216"/>
      <c r="F1644" s="216"/>
      <c r="G1644" s="216"/>
    </row>
    <row r="1645">
      <c r="A1645" s="157"/>
      <c r="B1645" s="216"/>
      <c r="C1645" s="157"/>
      <c r="D1645" s="216"/>
      <c r="E1645" s="216"/>
      <c r="F1645" s="216"/>
      <c r="G1645" s="216"/>
    </row>
    <row r="1646">
      <c r="A1646" s="157"/>
      <c r="B1646" s="216"/>
      <c r="C1646" s="157"/>
      <c r="D1646" s="216"/>
      <c r="E1646" s="216"/>
      <c r="F1646" s="216"/>
      <c r="G1646" s="216"/>
    </row>
    <row r="1647">
      <c r="A1647" s="157"/>
      <c r="B1647" s="216"/>
      <c r="C1647" s="157"/>
      <c r="D1647" s="216"/>
      <c r="E1647" s="216"/>
      <c r="F1647" s="216"/>
      <c r="G1647" s="216"/>
    </row>
    <row r="1648">
      <c r="A1648" s="157"/>
      <c r="B1648" s="216"/>
      <c r="C1648" s="157"/>
      <c r="D1648" s="216"/>
      <c r="E1648" s="216"/>
      <c r="F1648" s="216"/>
      <c r="G1648" s="216"/>
    </row>
    <row r="1649">
      <c r="A1649" s="157"/>
      <c r="B1649" s="216"/>
      <c r="C1649" s="157"/>
      <c r="D1649" s="216"/>
      <c r="E1649" s="216"/>
      <c r="F1649" s="216"/>
      <c r="G1649" s="216"/>
    </row>
    <row r="1650">
      <c r="A1650" s="157"/>
      <c r="B1650" s="216"/>
      <c r="C1650" s="157"/>
      <c r="D1650" s="216"/>
      <c r="E1650" s="216"/>
      <c r="F1650" s="216"/>
      <c r="G1650" s="216"/>
    </row>
    <row r="1651">
      <c r="A1651" s="157"/>
      <c r="B1651" s="216"/>
      <c r="C1651" s="157"/>
      <c r="D1651" s="216"/>
      <c r="E1651" s="216"/>
      <c r="F1651" s="216"/>
      <c r="G1651" s="216"/>
    </row>
    <row r="1652">
      <c r="A1652" s="157"/>
      <c r="B1652" s="216"/>
      <c r="C1652" s="157"/>
      <c r="D1652" s="216"/>
      <c r="E1652" s="216"/>
      <c r="F1652" s="216"/>
      <c r="G1652" s="216"/>
    </row>
    <row r="1653">
      <c r="A1653" s="157"/>
      <c r="B1653" s="216"/>
      <c r="C1653" s="157"/>
      <c r="D1653" s="216"/>
      <c r="E1653" s="216"/>
      <c r="F1653" s="216"/>
      <c r="G1653" s="216"/>
    </row>
    <row r="1654">
      <c r="A1654" s="157"/>
      <c r="B1654" s="216"/>
      <c r="C1654" s="157"/>
      <c r="D1654" s="216"/>
      <c r="E1654" s="216"/>
      <c r="F1654" s="216"/>
      <c r="G1654" s="216"/>
    </row>
    <row r="1655">
      <c r="A1655" s="157"/>
      <c r="B1655" s="216"/>
      <c r="C1655" s="157"/>
      <c r="D1655" s="216"/>
      <c r="E1655" s="216"/>
      <c r="F1655" s="216"/>
      <c r="G1655" s="216"/>
    </row>
    <row r="1656">
      <c r="A1656" s="157"/>
      <c r="B1656" s="216"/>
      <c r="C1656" s="157"/>
      <c r="D1656" s="216"/>
      <c r="E1656" s="216"/>
      <c r="F1656" s="216"/>
      <c r="G1656" s="216"/>
    </row>
    <row r="1657">
      <c r="A1657" s="157"/>
      <c r="B1657" s="216"/>
      <c r="C1657" s="157"/>
      <c r="D1657" s="216"/>
      <c r="E1657" s="216"/>
      <c r="F1657" s="216"/>
      <c r="G1657" s="216"/>
    </row>
    <row r="1658">
      <c r="A1658" s="157"/>
      <c r="B1658" s="216"/>
      <c r="C1658" s="157"/>
      <c r="D1658" s="216"/>
      <c r="E1658" s="216"/>
      <c r="F1658" s="216"/>
      <c r="G1658" s="216"/>
    </row>
    <row r="1659">
      <c r="A1659" s="157"/>
      <c r="B1659" s="216"/>
      <c r="C1659" s="157"/>
      <c r="D1659" s="216"/>
      <c r="E1659" s="216"/>
      <c r="F1659" s="216"/>
      <c r="G1659" s="216"/>
    </row>
    <row r="1660">
      <c r="A1660" s="157"/>
      <c r="B1660" s="216"/>
      <c r="C1660" s="157"/>
      <c r="D1660" s="216"/>
      <c r="E1660" s="216"/>
      <c r="F1660" s="216"/>
      <c r="G1660" s="216"/>
    </row>
    <row r="1661">
      <c r="A1661" s="157"/>
      <c r="B1661" s="216"/>
      <c r="C1661" s="157"/>
      <c r="D1661" s="216"/>
      <c r="E1661" s="216"/>
      <c r="F1661" s="216"/>
      <c r="G1661" s="216"/>
    </row>
    <row r="1662">
      <c r="A1662" s="157"/>
      <c r="B1662" s="216"/>
      <c r="C1662" s="157"/>
      <c r="D1662" s="216"/>
      <c r="E1662" s="216"/>
      <c r="F1662" s="216"/>
      <c r="G1662" s="216"/>
    </row>
    <row r="1663">
      <c r="A1663" s="157"/>
      <c r="B1663" s="216"/>
      <c r="C1663" s="157"/>
      <c r="D1663" s="216"/>
      <c r="E1663" s="216"/>
      <c r="F1663" s="216"/>
      <c r="G1663" s="216"/>
    </row>
    <row r="1664">
      <c r="A1664" s="157"/>
      <c r="B1664" s="216"/>
      <c r="C1664" s="157"/>
      <c r="D1664" s="216"/>
      <c r="E1664" s="216"/>
      <c r="F1664" s="216"/>
      <c r="G1664" s="216"/>
    </row>
    <row r="1665">
      <c r="A1665" s="157"/>
      <c r="B1665" s="216"/>
      <c r="C1665" s="157"/>
      <c r="D1665" s="216"/>
      <c r="E1665" s="216"/>
      <c r="F1665" s="216"/>
      <c r="G1665" s="216"/>
    </row>
    <row r="1666">
      <c r="A1666" s="157"/>
      <c r="B1666" s="216"/>
      <c r="C1666" s="157"/>
      <c r="D1666" s="216"/>
      <c r="E1666" s="216"/>
      <c r="F1666" s="216"/>
      <c r="G1666" s="216"/>
    </row>
    <row r="1667">
      <c r="A1667" s="157"/>
      <c r="B1667" s="216"/>
      <c r="C1667" s="157"/>
      <c r="D1667" s="216"/>
      <c r="E1667" s="216"/>
      <c r="F1667" s="216"/>
      <c r="G1667" s="216"/>
    </row>
    <row r="1668">
      <c r="A1668" s="157"/>
      <c r="B1668" s="216"/>
      <c r="C1668" s="157"/>
      <c r="D1668" s="216"/>
      <c r="E1668" s="216"/>
      <c r="F1668" s="216"/>
      <c r="G1668" s="216"/>
    </row>
    <row r="1669">
      <c r="A1669" s="157"/>
      <c r="B1669" s="216"/>
      <c r="C1669" s="157"/>
      <c r="D1669" s="216"/>
      <c r="E1669" s="216"/>
      <c r="F1669" s="216"/>
      <c r="G1669" s="216"/>
    </row>
    <row r="1670">
      <c r="A1670" s="157"/>
      <c r="B1670" s="216"/>
      <c r="C1670" s="157"/>
      <c r="D1670" s="216"/>
      <c r="E1670" s="216"/>
      <c r="F1670" s="216"/>
      <c r="G1670" s="216"/>
    </row>
    <row r="1671">
      <c r="A1671" s="157"/>
      <c r="B1671" s="216"/>
      <c r="C1671" s="157"/>
      <c r="D1671" s="216"/>
      <c r="E1671" s="216"/>
      <c r="F1671" s="216"/>
      <c r="G1671" s="216"/>
    </row>
    <row r="1672">
      <c r="A1672" s="157"/>
      <c r="B1672" s="216"/>
      <c r="C1672" s="157"/>
      <c r="D1672" s="216"/>
      <c r="E1672" s="216"/>
      <c r="F1672" s="216"/>
      <c r="G1672" s="216"/>
    </row>
    <row r="1673">
      <c r="A1673" s="157"/>
      <c r="B1673" s="216"/>
      <c r="C1673" s="157"/>
      <c r="D1673" s="216"/>
      <c r="E1673" s="216"/>
      <c r="F1673" s="216"/>
      <c r="G1673" s="216"/>
    </row>
    <row r="1674">
      <c r="A1674" s="157"/>
      <c r="B1674" s="216"/>
      <c r="C1674" s="157"/>
      <c r="D1674" s="216"/>
      <c r="E1674" s="216"/>
      <c r="F1674" s="216"/>
      <c r="G1674" s="216"/>
    </row>
    <row r="1675">
      <c r="A1675" s="157"/>
      <c r="B1675" s="216"/>
      <c r="C1675" s="157"/>
      <c r="D1675" s="216"/>
      <c r="E1675" s="216"/>
      <c r="F1675" s="216"/>
      <c r="G1675" s="216"/>
    </row>
    <row r="1676">
      <c r="A1676" s="157"/>
      <c r="B1676" s="216"/>
      <c r="C1676" s="157"/>
      <c r="D1676" s="216"/>
      <c r="E1676" s="216"/>
      <c r="F1676" s="216"/>
      <c r="G1676" s="216"/>
    </row>
    <row r="1677">
      <c r="A1677" s="157"/>
      <c r="B1677" s="216"/>
      <c r="C1677" s="157"/>
      <c r="D1677" s="216"/>
      <c r="E1677" s="216"/>
      <c r="F1677" s="216"/>
      <c r="G1677" s="216"/>
    </row>
    <row r="1678">
      <c r="A1678" s="157"/>
      <c r="B1678" s="216"/>
      <c r="C1678" s="157"/>
      <c r="D1678" s="216"/>
      <c r="E1678" s="216"/>
      <c r="F1678" s="216"/>
      <c r="G1678" s="216"/>
    </row>
    <row r="1679">
      <c r="A1679" s="157"/>
      <c r="B1679" s="216"/>
      <c r="C1679" s="157"/>
      <c r="D1679" s="216"/>
      <c r="E1679" s="216"/>
      <c r="F1679" s="216"/>
      <c r="G1679" s="216"/>
    </row>
    <row r="1680">
      <c r="A1680" s="157"/>
      <c r="B1680" s="216"/>
      <c r="C1680" s="157"/>
      <c r="D1680" s="216"/>
      <c r="E1680" s="216"/>
      <c r="F1680" s="216"/>
      <c r="G1680" s="216"/>
    </row>
    <row r="1681">
      <c r="A1681" s="157"/>
      <c r="B1681" s="216"/>
      <c r="C1681" s="157"/>
      <c r="D1681" s="216"/>
      <c r="E1681" s="216"/>
      <c r="F1681" s="216"/>
      <c r="G1681" s="216"/>
    </row>
    <row r="1682">
      <c r="A1682" s="157"/>
      <c r="B1682" s="216"/>
      <c r="C1682" s="157"/>
      <c r="D1682" s="216"/>
      <c r="E1682" s="216"/>
      <c r="F1682" s="216"/>
      <c r="G1682" s="216"/>
    </row>
    <row r="1683">
      <c r="A1683" s="157"/>
      <c r="B1683" s="216"/>
      <c r="C1683" s="157"/>
      <c r="D1683" s="216"/>
      <c r="E1683" s="216"/>
      <c r="F1683" s="216"/>
      <c r="G1683" s="216"/>
    </row>
    <row r="1684">
      <c r="A1684" s="157"/>
      <c r="B1684" s="216"/>
      <c r="C1684" s="157"/>
      <c r="D1684" s="216"/>
      <c r="E1684" s="216"/>
      <c r="F1684" s="216"/>
      <c r="G1684" s="216"/>
    </row>
    <row r="1685">
      <c r="A1685" s="157"/>
      <c r="B1685" s="216"/>
      <c r="C1685" s="157"/>
      <c r="D1685" s="216"/>
      <c r="E1685" s="216"/>
      <c r="F1685" s="216"/>
      <c r="G1685" s="216"/>
    </row>
    <row r="1686">
      <c r="A1686" s="157"/>
      <c r="B1686" s="216"/>
      <c r="C1686" s="157"/>
      <c r="D1686" s="216"/>
      <c r="E1686" s="216"/>
      <c r="F1686" s="216"/>
      <c r="G1686" s="216"/>
    </row>
    <row r="1687">
      <c r="A1687" s="157"/>
      <c r="B1687" s="216"/>
      <c r="C1687" s="157"/>
      <c r="D1687" s="216"/>
      <c r="E1687" s="216"/>
      <c r="F1687" s="216"/>
      <c r="G1687" s="216"/>
    </row>
    <row r="1688">
      <c r="A1688" s="157"/>
      <c r="B1688" s="216"/>
      <c r="C1688" s="157"/>
      <c r="D1688" s="216"/>
      <c r="E1688" s="216"/>
      <c r="F1688" s="216"/>
      <c r="G1688" s="216"/>
    </row>
    <row r="1689">
      <c r="A1689" s="157"/>
      <c r="B1689" s="216"/>
      <c r="C1689" s="157"/>
      <c r="D1689" s="216"/>
      <c r="E1689" s="216"/>
      <c r="F1689" s="216"/>
      <c r="G1689" s="216"/>
    </row>
    <row r="1690">
      <c r="A1690" s="157"/>
      <c r="B1690" s="216"/>
      <c r="C1690" s="157"/>
      <c r="D1690" s="216"/>
      <c r="E1690" s="216"/>
      <c r="F1690" s="216"/>
      <c r="G1690" s="216"/>
    </row>
    <row r="1691">
      <c r="A1691" s="157"/>
      <c r="B1691" s="216"/>
      <c r="C1691" s="157"/>
      <c r="D1691" s="216"/>
      <c r="E1691" s="216"/>
      <c r="F1691" s="216"/>
      <c r="G1691" s="216"/>
    </row>
    <row r="1692">
      <c r="A1692" s="157"/>
      <c r="B1692" s="216"/>
      <c r="C1692" s="157"/>
      <c r="D1692" s="216"/>
      <c r="E1692" s="216"/>
      <c r="F1692" s="216"/>
      <c r="G1692" s="216"/>
    </row>
    <row r="1693">
      <c r="A1693" s="157"/>
      <c r="B1693" s="216"/>
      <c r="C1693" s="157"/>
      <c r="D1693" s="216"/>
      <c r="E1693" s="216"/>
      <c r="F1693" s="216"/>
      <c r="G1693" s="216"/>
    </row>
    <row r="1694">
      <c r="A1694" s="157"/>
      <c r="B1694" s="216"/>
      <c r="C1694" s="157"/>
      <c r="D1694" s="216"/>
      <c r="E1694" s="216"/>
      <c r="F1694" s="216"/>
      <c r="G1694" s="216"/>
    </row>
    <row r="1695">
      <c r="A1695" s="157"/>
      <c r="B1695" s="216"/>
      <c r="C1695" s="157"/>
      <c r="D1695" s="216"/>
      <c r="E1695" s="216"/>
      <c r="F1695" s="216"/>
      <c r="G1695" s="216"/>
    </row>
    <row r="1696">
      <c r="A1696" s="157"/>
      <c r="B1696" s="216"/>
      <c r="C1696" s="157"/>
      <c r="D1696" s="216"/>
      <c r="E1696" s="216"/>
      <c r="F1696" s="216"/>
      <c r="G1696" s="216"/>
    </row>
    <row r="1697">
      <c r="A1697" s="157"/>
      <c r="B1697" s="216"/>
      <c r="C1697" s="157"/>
      <c r="D1697" s="216"/>
      <c r="E1697" s="216"/>
      <c r="F1697" s="216"/>
      <c r="G1697" s="216"/>
    </row>
    <row r="1698">
      <c r="A1698" s="157"/>
      <c r="B1698" s="216"/>
      <c r="C1698" s="157"/>
      <c r="D1698" s="216"/>
      <c r="E1698" s="216"/>
      <c r="F1698" s="216"/>
      <c r="G1698" s="216"/>
    </row>
    <row r="1699">
      <c r="A1699" s="157"/>
      <c r="B1699" s="216"/>
      <c r="C1699" s="157"/>
      <c r="D1699" s="216"/>
      <c r="E1699" s="216"/>
      <c r="F1699" s="216"/>
      <c r="G1699" s="216"/>
    </row>
    <row r="1700">
      <c r="A1700" s="157"/>
      <c r="B1700" s="216"/>
      <c r="C1700" s="157"/>
      <c r="D1700" s="216"/>
      <c r="E1700" s="216"/>
      <c r="F1700" s="216"/>
      <c r="G1700" s="216"/>
    </row>
    <row r="1701">
      <c r="A1701" s="157"/>
      <c r="B1701" s="216"/>
      <c r="C1701" s="157"/>
      <c r="D1701" s="216"/>
      <c r="E1701" s="216"/>
      <c r="F1701" s="216"/>
      <c r="G1701" s="216"/>
    </row>
    <row r="1702">
      <c r="A1702" s="157"/>
      <c r="B1702" s="216"/>
      <c r="C1702" s="157"/>
      <c r="D1702" s="216"/>
      <c r="E1702" s="216"/>
      <c r="F1702" s="216"/>
      <c r="G1702" s="216"/>
    </row>
    <row r="1703">
      <c r="A1703" s="157"/>
      <c r="B1703" s="216"/>
      <c r="C1703" s="157"/>
      <c r="D1703" s="216"/>
      <c r="E1703" s="216"/>
      <c r="F1703" s="216"/>
      <c r="G1703" s="216"/>
    </row>
    <row r="1704">
      <c r="A1704" s="157"/>
      <c r="B1704" s="216"/>
      <c r="C1704" s="157"/>
      <c r="D1704" s="216"/>
      <c r="E1704" s="216"/>
      <c r="F1704" s="216"/>
      <c r="G1704" s="216"/>
    </row>
    <row r="1705">
      <c r="A1705" s="157"/>
      <c r="B1705" s="216"/>
      <c r="C1705" s="157"/>
      <c r="D1705" s="216"/>
      <c r="E1705" s="216"/>
      <c r="F1705" s="216"/>
      <c r="G1705" s="216"/>
    </row>
    <row r="1706">
      <c r="A1706" s="157"/>
      <c r="B1706" s="216"/>
      <c r="C1706" s="157"/>
      <c r="D1706" s="216"/>
      <c r="E1706" s="216"/>
      <c r="F1706" s="216"/>
      <c r="G1706" s="216"/>
    </row>
    <row r="1707">
      <c r="A1707" s="157"/>
      <c r="B1707" s="216"/>
      <c r="C1707" s="157"/>
      <c r="D1707" s="216"/>
      <c r="E1707" s="216"/>
      <c r="F1707" s="216"/>
      <c r="G1707" s="216"/>
    </row>
    <row r="1708">
      <c r="A1708" s="157"/>
      <c r="B1708" s="216"/>
      <c r="C1708" s="157"/>
      <c r="D1708" s="216"/>
      <c r="E1708" s="216"/>
      <c r="F1708" s="216"/>
      <c r="G1708" s="216"/>
    </row>
    <row r="1709">
      <c r="A1709" s="157"/>
      <c r="B1709" s="216"/>
      <c r="C1709" s="157"/>
      <c r="D1709" s="216"/>
      <c r="E1709" s="216"/>
      <c r="F1709" s="216"/>
      <c r="G1709" s="216"/>
    </row>
    <row r="1710">
      <c r="A1710" s="157"/>
      <c r="B1710" s="216"/>
      <c r="C1710" s="157"/>
      <c r="D1710" s="216"/>
      <c r="E1710" s="216"/>
      <c r="F1710" s="216"/>
      <c r="G1710" s="216"/>
    </row>
    <row r="1711">
      <c r="A1711" s="157"/>
      <c r="B1711" s="216"/>
      <c r="C1711" s="157"/>
      <c r="D1711" s="216"/>
      <c r="E1711" s="216"/>
      <c r="F1711" s="216"/>
      <c r="G1711" s="216"/>
    </row>
    <row r="1712">
      <c r="A1712" s="157"/>
      <c r="B1712" s="216"/>
      <c r="C1712" s="157"/>
      <c r="D1712" s="216"/>
      <c r="E1712" s="216"/>
      <c r="F1712" s="216"/>
      <c r="G1712" s="216"/>
    </row>
    <row r="1713">
      <c r="A1713" s="157"/>
      <c r="B1713" s="216"/>
      <c r="C1713" s="157"/>
      <c r="D1713" s="216"/>
      <c r="E1713" s="216"/>
      <c r="F1713" s="216"/>
      <c r="G1713" s="216"/>
    </row>
    <row r="1714">
      <c r="A1714" s="157"/>
      <c r="B1714" s="216"/>
      <c r="C1714" s="157"/>
      <c r="D1714" s="216"/>
      <c r="E1714" s="216"/>
      <c r="F1714" s="216"/>
      <c r="G1714" s="216"/>
    </row>
    <row r="1715">
      <c r="A1715" s="157"/>
      <c r="B1715" s="216"/>
      <c r="C1715" s="157"/>
      <c r="D1715" s="216"/>
      <c r="E1715" s="216"/>
      <c r="F1715" s="216"/>
      <c r="G1715" s="216"/>
    </row>
    <row r="1716">
      <c r="A1716" s="157"/>
      <c r="B1716" s="216"/>
      <c r="C1716" s="157"/>
      <c r="D1716" s="216"/>
      <c r="E1716" s="216"/>
      <c r="F1716" s="216"/>
      <c r="G1716" s="216"/>
    </row>
    <row r="1717">
      <c r="A1717" s="157"/>
      <c r="B1717" s="216"/>
      <c r="C1717" s="157"/>
      <c r="D1717" s="216"/>
      <c r="E1717" s="216"/>
      <c r="F1717" s="216"/>
      <c r="G1717" s="216"/>
    </row>
    <row r="1718">
      <c r="A1718" s="157"/>
      <c r="B1718" s="216"/>
      <c r="C1718" s="157"/>
      <c r="D1718" s="216"/>
      <c r="E1718" s="216"/>
      <c r="F1718" s="216"/>
      <c r="G1718" s="216"/>
    </row>
    <row r="1719">
      <c r="A1719" s="157"/>
      <c r="B1719" s="216"/>
      <c r="C1719" s="157"/>
      <c r="D1719" s="216"/>
      <c r="E1719" s="216"/>
      <c r="F1719" s="216"/>
      <c r="G1719" s="216"/>
    </row>
    <row r="1720">
      <c r="A1720" s="157"/>
      <c r="B1720" s="216"/>
      <c r="C1720" s="157"/>
      <c r="D1720" s="216"/>
      <c r="E1720" s="216"/>
      <c r="F1720" s="216"/>
      <c r="G1720" s="216"/>
    </row>
    <row r="1721">
      <c r="A1721" s="157"/>
      <c r="B1721" s="216"/>
      <c r="C1721" s="157"/>
      <c r="D1721" s="216"/>
      <c r="E1721" s="216"/>
      <c r="F1721" s="216"/>
      <c r="G1721" s="216"/>
    </row>
    <row r="1722">
      <c r="A1722" s="157"/>
      <c r="B1722" s="216"/>
      <c r="C1722" s="157"/>
      <c r="D1722" s="216"/>
      <c r="E1722" s="216"/>
      <c r="F1722" s="216"/>
      <c r="G1722" s="216"/>
    </row>
    <row r="1723">
      <c r="A1723" s="157"/>
      <c r="B1723" s="216"/>
      <c r="C1723" s="157"/>
      <c r="D1723" s="216"/>
      <c r="E1723" s="216"/>
      <c r="F1723" s="216"/>
      <c r="G1723" s="216"/>
    </row>
    <row r="1724">
      <c r="A1724" s="157"/>
      <c r="B1724" s="216"/>
      <c r="C1724" s="157"/>
      <c r="D1724" s="216"/>
      <c r="E1724" s="216"/>
      <c r="F1724" s="216"/>
      <c r="G1724" s="216"/>
    </row>
    <row r="1725">
      <c r="A1725" s="157"/>
      <c r="B1725" s="216"/>
      <c r="C1725" s="157"/>
      <c r="D1725" s="216"/>
      <c r="E1725" s="216"/>
      <c r="F1725" s="216"/>
      <c r="G1725" s="216"/>
    </row>
    <row r="1726">
      <c r="A1726" s="157"/>
      <c r="B1726" s="216"/>
      <c r="C1726" s="157"/>
      <c r="D1726" s="216"/>
      <c r="E1726" s="216"/>
      <c r="F1726" s="216"/>
      <c r="G1726" s="216"/>
    </row>
    <row r="1727">
      <c r="A1727" s="157"/>
      <c r="B1727" s="216"/>
      <c r="C1727" s="157"/>
      <c r="D1727" s="216"/>
      <c r="E1727" s="216"/>
      <c r="F1727" s="216"/>
      <c r="G1727" s="216"/>
    </row>
    <row r="1728">
      <c r="A1728" s="157"/>
      <c r="B1728" s="216"/>
      <c r="C1728" s="157"/>
      <c r="D1728" s="216"/>
      <c r="E1728" s="216"/>
      <c r="F1728" s="216"/>
      <c r="G1728" s="216"/>
    </row>
    <row r="1729">
      <c r="A1729" s="157"/>
      <c r="B1729" s="216"/>
      <c r="C1729" s="157"/>
      <c r="D1729" s="216"/>
      <c r="E1729" s="216"/>
      <c r="F1729" s="216"/>
      <c r="G1729" s="216"/>
    </row>
    <row r="1730">
      <c r="A1730" s="157"/>
      <c r="B1730" s="216"/>
      <c r="C1730" s="157"/>
      <c r="D1730" s="216"/>
      <c r="E1730" s="216"/>
      <c r="F1730" s="216"/>
      <c r="G1730" s="216"/>
    </row>
    <row r="1731">
      <c r="A1731" s="157"/>
      <c r="B1731" s="216"/>
      <c r="C1731" s="157"/>
      <c r="D1731" s="216"/>
      <c r="E1731" s="216"/>
      <c r="F1731" s="216"/>
      <c r="G1731" s="216"/>
    </row>
    <row r="1732">
      <c r="A1732" s="157"/>
      <c r="B1732" s="216"/>
      <c r="C1732" s="157"/>
      <c r="D1732" s="216"/>
      <c r="E1732" s="216"/>
      <c r="F1732" s="216"/>
      <c r="G1732" s="216"/>
    </row>
    <row r="1733">
      <c r="A1733" s="157"/>
      <c r="B1733" s="216"/>
      <c r="C1733" s="157"/>
      <c r="D1733" s="216"/>
      <c r="E1733" s="216"/>
      <c r="F1733" s="216"/>
      <c r="G1733" s="216"/>
    </row>
    <row r="1734">
      <c r="A1734" s="157"/>
      <c r="B1734" s="216"/>
      <c r="C1734" s="157"/>
      <c r="D1734" s="216"/>
      <c r="E1734" s="216"/>
      <c r="F1734" s="216"/>
      <c r="G1734" s="216"/>
    </row>
    <row r="1735">
      <c r="A1735" s="157"/>
      <c r="B1735" s="216"/>
      <c r="C1735" s="157"/>
      <c r="D1735" s="216"/>
      <c r="E1735" s="216"/>
      <c r="F1735" s="216"/>
      <c r="G1735" s="216"/>
    </row>
    <row r="1736">
      <c r="A1736" s="157"/>
      <c r="B1736" s="216"/>
      <c r="C1736" s="157"/>
      <c r="D1736" s="216"/>
      <c r="E1736" s="216"/>
      <c r="F1736" s="216"/>
      <c r="G1736" s="216"/>
    </row>
    <row r="1737">
      <c r="A1737" s="157"/>
      <c r="B1737" s="216"/>
      <c r="C1737" s="157"/>
      <c r="D1737" s="216"/>
      <c r="E1737" s="216"/>
      <c r="F1737" s="216"/>
      <c r="G1737" s="216"/>
    </row>
    <row r="1738">
      <c r="A1738" s="157"/>
      <c r="B1738" s="216"/>
      <c r="C1738" s="157"/>
      <c r="D1738" s="216"/>
      <c r="E1738" s="216"/>
      <c r="F1738" s="216"/>
      <c r="G1738" s="216"/>
    </row>
    <row r="1739">
      <c r="A1739" s="157"/>
      <c r="B1739" s="216"/>
      <c r="C1739" s="157"/>
      <c r="D1739" s="216"/>
      <c r="E1739" s="216"/>
      <c r="F1739" s="216"/>
      <c r="G1739" s="216"/>
    </row>
    <row r="1740">
      <c r="A1740" s="157"/>
      <c r="B1740" s="216"/>
      <c r="C1740" s="157"/>
      <c r="D1740" s="216"/>
      <c r="E1740" s="216"/>
      <c r="F1740" s="216"/>
      <c r="G1740" s="216"/>
    </row>
    <row r="1741">
      <c r="A1741" s="157"/>
      <c r="B1741" s="216"/>
      <c r="C1741" s="157"/>
      <c r="D1741" s="216"/>
      <c r="E1741" s="216"/>
      <c r="F1741" s="216"/>
      <c r="G1741" s="216"/>
    </row>
    <row r="1742">
      <c r="A1742" s="157"/>
      <c r="B1742" s="216"/>
      <c r="C1742" s="157"/>
      <c r="D1742" s="216"/>
      <c r="E1742" s="216"/>
      <c r="F1742" s="216"/>
      <c r="G1742" s="216"/>
    </row>
    <row r="1743">
      <c r="A1743" s="157"/>
      <c r="B1743" s="216"/>
      <c r="C1743" s="157"/>
      <c r="D1743" s="216"/>
      <c r="E1743" s="216"/>
      <c r="F1743" s="216"/>
      <c r="G1743" s="216"/>
    </row>
    <row r="1744">
      <c r="A1744" s="157"/>
      <c r="B1744" s="216"/>
      <c r="C1744" s="157"/>
      <c r="D1744" s="216"/>
      <c r="E1744" s="216"/>
      <c r="F1744" s="216"/>
      <c r="G1744" s="216"/>
    </row>
    <row r="1745">
      <c r="A1745" s="157"/>
      <c r="B1745" s="216"/>
      <c r="C1745" s="157"/>
      <c r="D1745" s="216"/>
      <c r="E1745" s="216"/>
      <c r="F1745" s="216"/>
      <c r="G1745" s="216"/>
    </row>
    <row r="1746">
      <c r="A1746" s="157"/>
      <c r="B1746" s="216"/>
      <c r="C1746" s="157"/>
      <c r="D1746" s="216"/>
      <c r="E1746" s="216"/>
      <c r="F1746" s="216"/>
      <c r="G1746" s="216"/>
    </row>
    <row r="1747">
      <c r="A1747" s="157"/>
      <c r="B1747" s="216"/>
      <c r="C1747" s="157"/>
      <c r="D1747" s="216"/>
      <c r="E1747" s="216"/>
      <c r="F1747" s="216"/>
      <c r="G1747" s="216"/>
    </row>
    <row r="1748">
      <c r="A1748" s="157"/>
      <c r="B1748" s="216"/>
      <c r="C1748" s="157"/>
      <c r="D1748" s="216"/>
      <c r="E1748" s="216"/>
      <c r="F1748" s="216"/>
      <c r="G1748" s="216"/>
    </row>
    <row r="1749">
      <c r="A1749" s="157"/>
      <c r="B1749" s="216"/>
      <c r="C1749" s="157"/>
      <c r="D1749" s="216"/>
      <c r="E1749" s="216"/>
      <c r="F1749" s="216"/>
      <c r="G1749" s="216"/>
    </row>
    <row r="1750">
      <c r="A1750" s="157"/>
      <c r="B1750" s="216"/>
      <c r="C1750" s="157"/>
      <c r="D1750" s="216"/>
      <c r="E1750" s="216"/>
      <c r="F1750" s="216"/>
      <c r="G1750" s="216"/>
    </row>
    <row r="1751">
      <c r="A1751" s="157"/>
      <c r="B1751" s="216"/>
      <c r="C1751" s="157"/>
      <c r="D1751" s="216"/>
      <c r="E1751" s="216"/>
      <c r="F1751" s="216"/>
      <c r="G1751" s="216"/>
    </row>
    <row r="1752">
      <c r="A1752" s="157"/>
      <c r="B1752" s="216"/>
      <c r="C1752" s="157"/>
      <c r="D1752" s="216"/>
      <c r="E1752" s="216"/>
      <c r="F1752" s="216"/>
      <c r="G1752" s="216"/>
    </row>
    <row r="1753">
      <c r="A1753" s="157"/>
      <c r="B1753" s="216"/>
      <c r="C1753" s="157"/>
      <c r="D1753" s="216"/>
      <c r="E1753" s="216"/>
      <c r="F1753" s="216"/>
      <c r="G1753" s="216"/>
    </row>
    <row r="1754">
      <c r="A1754" s="157"/>
      <c r="B1754" s="216"/>
      <c r="C1754" s="157"/>
      <c r="D1754" s="216"/>
      <c r="E1754" s="216"/>
      <c r="F1754" s="216"/>
      <c r="G1754" s="216"/>
    </row>
    <row r="1755">
      <c r="A1755" s="157"/>
      <c r="B1755" s="216"/>
      <c r="C1755" s="157"/>
      <c r="D1755" s="216"/>
      <c r="E1755" s="216"/>
      <c r="F1755" s="216"/>
      <c r="G1755" s="216"/>
    </row>
    <row r="1756">
      <c r="A1756" s="157"/>
      <c r="B1756" s="216"/>
      <c r="C1756" s="157"/>
      <c r="D1756" s="216"/>
      <c r="E1756" s="216"/>
      <c r="F1756" s="216"/>
      <c r="G1756" s="216"/>
    </row>
    <row r="1757">
      <c r="A1757" s="157"/>
      <c r="B1757" s="216"/>
      <c r="C1757" s="157"/>
      <c r="D1757" s="216"/>
      <c r="E1757" s="216"/>
      <c r="F1757" s="216"/>
      <c r="G1757" s="216"/>
    </row>
    <row r="1758">
      <c r="A1758" s="157"/>
      <c r="B1758" s="216"/>
      <c r="C1758" s="157"/>
      <c r="D1758" s="216"/>
      <c r="E1758" s="216"/>
      <c r="F1758" s="216"/>
      <c r="G1758" s="216"/>
    </row>
    <row r="1759">
      <c r="A1759" s="157"/>
      <c r="B1759" s="216"/>
      <c r="C1759" s="157"/>
      <c r="D1759" s="216"/>
      <c r="E1759" s="216"/>
      <c r="F1759" s="216"/>
      <c r="G1759" s="216"/>
    </row>
    <row r="1760">
      <c r="A1760" s="157"/>
      <c r="B1760" s="216"/>
      <c r="C1760" s="157"/>
      <c r="D1760" s="216"/>
      <c r="E1760" s="216"/>
      <c r="F1760" s="216"/>
      <c r="G1760" s="216"/>
    </row>
    <row r="1761">
      <c r="A1761" s="157"/>
      <c r="B1761" s="216"/>
      <c r="C1761" s="157"/>
      <c r="D1761" s="216"/>
      <c r="E1761" s="216"/>
      <c r="F1761" s="216"/>
      <c r="G1761" s="216"/>
    </row>
    <row r="1762">
      <c r="A1762" s="157"/>
      <c r="B1762" s="216"/>
      <c r="C1762" s="157"/>
      <c r="D1762" s="216"/>
      <c r="E1762" s="216"/>
      <c r="F1762" s="216"/>
      <c r="G1762" s="216"/>
    </row>
    <row r="1763">
      <c r="A1763" s="157"/>
      <c r="B1763" s="216"/>
      <c r="C1763" s="157"/>
      <c r="D1763" s="216"/>
      <c r="E1763" s="216"/>
      <c r="F1763" s="216"/>
      <c r="G1763" s="216"/>
    </row>
    <row r="1764">
      <c r="A1764" s="157"/>
      <c r="B1764" s="216"/>
      <c r="C1764" s="157"/>
      <c r="D1764" s="216"/>
      <c r="E1764" s="216"/>
      <c r="F1764" s="216"/>
      <c r="G1764" s="216"/>
    </row>
    <row r="1765">
      <c r="A1765" s="157"/>
      <c r="B1765" s="216"/>
      <c r="C1765" s="157"/>
      <c r="D1765" s="216"/>
      <c r="E1765" s="216"/>
      <c r="F1765" s="216"/>
      <c r="G1765" s="216"/>
    </row>
    <row r="1766">
      <c r="A1766" s="157"/>
      <c r="B1766" s="216"/>
      <c r="C1766" s="157"/>
      <c r="D1766" s="216"/>
      <c r="E1766" s="216"/>
      <c r="F1766" s="216"/>
      <c r="G1766" s="216"/>
    </row>
    <row r="1767">
      <c r="A1767" s="157"/>
      <c r="B1767" s="216"/>
      <c r="C1767" s="157"/>
      <c r="D1767" s="216"/>
      <c r="E1767" s="216"/>
      <c r="F1767" s="216"/>
      <c r="G1767" s="216"/>
    </row>
    <row r="1768">
      <c r="A1768" s="157"/>
      <c r="B1768" s="216"/>
      <c r="C1768" s="157"/>
      <c r="D1768" s="216"/>
      <c r="E1768" s="216"/>
      <c r="F1768" s="216"/>
      <c r="G1768" s="216"/>
    </row>
    <row r="1769">
      <c r="A1769" s="157"/>
      <c r="B1769" s="216"/>
      <c r="C1769" s="157"/>
      <c r="D1769" s="216"/>
      <c r="E1769" s="216"/>
      <c r="F1769" s="216"/>
      <c r="G1769" s="216"/>
    </row>
    <row r="1770">
      <c r="A1770" s="157"/>
      <c r="B1770" s="216"/>
      <c r="C1770" s="157"/>
      <c r="D1770" s="216"/>
      <c r="E1770" s="216"/>
      <c r="F1770" s="216"/>
      <c r="G1770" s="216"/>
    </row>
    <row r="1771">
      <c r="A1771" s="157"/>
      <c r="B1771" s="216"/>
      <c r="C1771" s="157"/>
      <c r="D1771" s="216"/>
      <c r="E1771" s="216"/>
      <c r="F1771" s="216"/>
      <c r="G1771" s="216"/>
    </row>
    <row r="1772">
      <c r="A1772" s="157"/>
      <c r="B1772" s="216"/>
      <c r="C1772" s="157"/>
      <c r="D1772" s="216"/>
      <c r="E1772" s="216"/>
      <c r="F1772" s="216"/>
      <c r="G1772" s="216"/>
    </row>
    <row r="1773">
      <c r="A1773" s="157"/>
      <c r="B1773" s="216"/>
      <c r="C1773" s="157"/>
      <c r="D1773" s="216"/>
      <c r="E1773" s="216"/>
      <c r="F1773" s="216"/>
      <c r="G1773" s="216"/>
    </row>
    <row r="1774">
      <c r="A1774" s="157"/>
      <c r="B1774" s="216"/>
      <c r="C1774" s="157"/>
      <c r="D1774" s="216"/>
      <c r="E1774" s="216"/>
      <c r="F1774" s="216"/>
      <c r="G1774" s="216"/>
    </row>
    <row r="1775">
      <c r="A1775" s="157"/>
      <c r="B1775" s="216"/>
      <c r="C1775" s="157"/>
      <c r="D1775" s="216"/>
      <c r="E1775" s="216"/>
      <c r="F1775" s="216"/>
      <c r="G1775" s="216"/>
    </row>
    <row r="1776">
      <c r="A1776" s="157"/>
      <c r="B1776" s="216"/>
      <c r="C1776" s="157"/>
      <c r="D1776" s="216"/>
      <c r="E1776" s="216"/>
      <c r="F1776" s="216"/>
      <c r="G1776" s="216"/>
    </row>
    <row r="1777">
      <c r="A1777" s="157"/>
      <c r="B1777" s="216"/>
      <c r="C1777" s="157"/>
      <c r="D1777" s="216"/>
      <c r="E1777" s="216"/>
      <c r="F1777" s="216"/>
      <c r="G1777" s="216"/>
    </row>
    <row r="1778">
      <c r="A1778" s="157"/>
      <c r="B1778" s="216"/>
      <c r="C1778" s="157"/>
      <c r="D1778" s="216"/>
      <c r="E1778" s="216"/>
      <c r="F1778" s="216"/>
      <c r="G1778" s="216"/>
    </row>
    <row r="1779">
      <c r="A1779" s="157"/>
      <c r="B1779" s="216"/>
      <c r="C1779" s="157"/>
      <c r="D1779" s="216"/>
      <c r="E1779" s="216"/>
      <c r="F1779" s="216"/>
      <c r="G1779" s="216"/>
    </row>
    <row r="1780">
      <c r="A1780" s="157"/>
      <c r="B1780" s="216"/>
      <c r="C1780" s="157"/>
      <c r="D1780" s="216"/>
      <c r="E1780" s="216"/>
      <c r="F1780" s="216"/>
      <c r="G1780" s="216"/>
    </row>
    <row r="1781">
      <c r="A1781" s="157"/>
      <c r="B1781" s="216"/>
      <c r="C1781" s="157"/>
      <c r="D1781" s="216"/>
      <c r="E1781" s="216"/>
      <c r="F1781" s="216"/>
      <c r="G1781" s="216"/>
    </row>
    <row r="1782">
      <c r="A1782" s="157"/>
      <c r="B1782" s="216"/>
      <c r="C1782" s="157"/>
      <c r="D1782" s="216"/>
      <c r="E1782" s="216"/>
      <c r="F1782" s="216"/>
      <c r="G1782" s="216"/>
    </row>
    <row r="1783">
      <c r="A1783" s="157"/>
      <c r="B1783" s="216"/>
      <c r="C1783" s="157"/>
      <c r="D1783" s="216"/>
      <c r="E1783" s="216"/>
      <c r="F1783" s="216"/>
      <c r="G1783" s="216"/>
    </row>
    <row r="1784">
      <c r="A1784" s="157"/>
      <c r="B1784" s="216"/>
      <c r="C1784" s="157"/>
      <c r="D1784" s="216"/>
      <c r="E1784" s="216"/>
      <c r="F1784" s="216"/>
      <c r="G1784" s="216"/>
    </row>
    <row r="1785">
      <c r="A1785" s="157"/>
      <c r="B1785" s="216"/>
      <c r="C1785" s="157"/>
      <c r="D1785" s="216"/>
      <c r="E1785" s="216"/>
      <c r="F1785" s="216"/>
      <c r="G1785" s="216"/>
    </row>
    <row r="1786">
      <c r="A1786" s="157"/>
      <c r="B1786" s="216"/>
      <c r="C1786" s="157"/>
      <c r="D1786" s="216"/>
      <c r="E1786" s="216"/>
      <c r="F1786" s="216"/>
      <c r="G1786" s="216"/>
    </row>
    <row r="1787">
      <c r="A1787" s="157"/>
      <c r="B1787" s="216"/>
      <c r="C1787" s="157"/>
      <c r="D1787" s="216"/>
      <c r="E1787" s="216"/>
      <c r="F1787" s="216"/>
      <c r="G1787" s="216"/>
    </row>
    <row r="1788">
      <c r="A1788" s="157"/>
      <c r="B1788" s="216"/>
      <c r="C1788" s="157"/>
      <c r="D1788" s="216"/>
      <c r="E1788" s="216"/>
      <c r="F1788" s="216"/>
      <c r="G1788" s="216"/>
    </row>
    <row r="1789">
      <c r="A1789" s="157"/>
      <c r="B1789" s="216"/>
      <c r="C1789" s="157"/>
      <c r="D1789" s="216"/>
      <c r="E1789" s="216"/>
      <c r="F1789" s="216"/>
      <c r="G1789" s="216"/>
    </row>
    <row r="1790">
      <c r="A1790" s="157"/>
      <c r="B1790" s="216"/>
      <c r="C1790" s="157"/>
      <c r="D1790" s="216"/>
      <c r="E1790" s="216"/>
      <c r="F1790" s="216"/>
      <c r="G1790" s="216"/>
    </row>
    <row r="1791">
      <c r="A1791" s="157"/>
      <c r="B1791" s="216"/>
      <c r="C1791" s="157"/>
      <c r="D1791" s="216"/>
      <c r="E1791" s="216"/>
      <c r="F1791" s="216"/>
      <c r="G1791" s="216"/>
    </row>
    <row r="1792">
      <c r="A1792" s="157"/>
      <c r="B1792" s="216"/>
      <c r="C1792" s="157"/>
      <c r="D1792" s="216"/>
      <c r="E1792" s="216"/>
      <c r="F1792" s="216"/>
      <c r="G1792" s="216"/>
    </row>
    <row r="1793">
      <c r="A1793" s="157"/>
      <c r="B1793" s="216"/>
      <c r="C1793" s="157"/>
      <c r="D1793" s="216"/>
      <c r="E1793" s="216"/>
      <c r="F1793" s="216"/>
      <c r="G1793" s="216"/>
    </row>
    <row r="1794">
      <c r="A1794" s="157"/>
      <c r="B1794" s="216"/>
      <c r="C1794" s="157"/>
      <c r="D1794" s="216"/>
      <c r="E1794" s="216"/>
      <c r="F1794" s="216"/>
      <c r="G1794" s="216"/>
    </row>
    <row r="1795">
      <c r="A1795" s="157"/>
      <c r="B1795" s="216"/>
      <c r="C1795" s="157"/>
      <c r="D1795" s="216"/>
      <c r="E1795" s="216"/>
      <c r="F1795" s="216"/>
      <c r="G1795" s="216"/>
    </row>
    <row r="1796">
      <c r="A1796" s="157"/>
      <c r="B1796" s="216"/>
      <c r="C1796" s="157"/>
      <c r="D1796" s="216"/>
      <c r="E1796" s="216"/>
      <c r="F1796" s="216"/>
      <c r="G1796" s="216"/>
    </row>
    <row r="1797">
      <c r="A1797" s="157"/>
      <c r="B1797" s="216"/>
      <c r="C1797" s="157"/>
      <c r="D1797" s="216"/>
      <c r="E1797" s="216"/>
      <c r="F1797" s="216"/>
      <c r="G1797" s="216"/>
    </row>
    <row r="1798">
      <c r="A1798" s="157"/>
      <c r="B1798" s="216"/>
      <c r="C1798" s="157"/>
      <c r="D1798" s="216"/>
      <c r="E1798" s="216"/>
      <c r="F1798" s="216"/>
      <c r="G1798" s="216"/>
    </row>
    <row r="1799">
      <c r="A1799" s="157"/>
      <c r="B1799" s="216"/>
      <c r="C1799" s="157"/>
      <c r="D1799" s="216"/>
      <c r="E1799" s="216"/>
      <c r="F1799" s="216"/>
      <c r="G1799" s="216"/>
    </row>
    <row r="1800">
      <c r="A1800" s="157"/>
      <c r="B1800" s="216"/>
      <c r="C1800" s="157"/>
      <c r="D1800" s="216"/>
      <c r="E1800" s="216"/>
      <c r="F1800" s="216"/>
      <c r="G1800" s="216"/>
    </row>
    <row r="1801">
      <c r="A1801" s="157"/>
      <c r="B1801" s="216"/>
      <c r="C1801" s="157"/>
      <c r="D1801" s="216"/>
      <c r="E1801" s="216"/>
      <c r="F1801" s="216"/>
      <c r="G1801" s="216"/>
    </row>
    <row r="1802">
      <c r="A1802" s="157"/>
      <c r="B1802" s="216"/>
      <c r="C1802" s="157"/>
      <c r="D1802" s="216"/>
      <c r="E1802" s="216"/>
      <c r="F1802" s="216"/>
      <c r="G1802" s="216"/>
    </row>
    <row r="1803">
      <c r="A1803" s="157"/>
      <c r="B1803" s="216"/>
      <c r="C1803" s="157"/>
      <c r="D1803" s="216"/>
      <c r="E1803" s="216"/>
      <c r="F1803" s="216"/>
      <c r="G1803" s="216"/>
    </row>
    <row r="1804">
      <c r="A1804" s="157"/>
      <c r="B1804" s="216"/>
      <c r="C1804" s="157"/>
      <c r="D1804" s="216"/>
      <c r="E1804" s="216"/>
      <c r="F1804" s="216"/>
      <c r="G1804" s="216"/>
    </row>
    <row r="1805">
      <c r="A1805" s="157"/>
      <c r="B1805" s="216"/>
      <c r="C1805" s="157"/>
      <c r="D1805" s="216"/>
      <c r="E1805" s="216"/>
      <c r="F1805" s="216"/>
      <c r="G1805" s="216"/>
    </row>
    <row r="1806">
      <c r="A1806" s="157"/>
      <c r="B1806" s="216"/>
      <c r="C1806" s="157"/>
      <c r="D1806" s="216"/>
      <c r="E1806" s="216"/>
      <c r="F1806" s="216"/>
      <c r="G1806" s="216"/>
    </row>
    <row r="1807">
      <c r="A1807" s="157"/>
      <c r="B1807" s="216"/>
      <c r="C1807" s="157"/>
      <c r="D1807" s="216"/>
      <c r="E1807" s="216"/>
      <c r="F1807" s="216"/>
      <c r="G1807" s="216"/>
    </row>
    <row r="1808">
      <c r="A1808" s="157"/>
      <c r="B1808" s="216"/>
      <c r="C1808" s="157"/>
      <c r="D1808" s="216"/>
      <c r="E1808" s="216"/>
      <c r="F1808" s="216"/>
      <c r="G1808" s="216"/>
    </row>
    <row r="1809">
      <c r="A1809" s="157"/>
      <c r="B1809" s="216"/>
      <c r="C1809" s="157"/>
      <c r="D1809" s="216"/>
      <c r="E1809" s="216"/>
      <c r="F1809" s="216"/>
      <c r="G1809" s="216"/>
    </row>
    <row r="1810">
      <c r="A1810" s="157"/>
      <c r="B1810" s="216"/>
      <c r="C1810" s="157"/>
      <c r="D1810" s="216"/>
      <c r="E1810" s="216"/>
      <c r="F1810" s="216"/>
      <c r="G1810" s="216"/>
    </row>
    <row r="1811">
      <c r="A1811" s="157"/>
      <c r="B1811" s="216"/>
      <c r="C1811" s="157"/>
      <c r="D1811" s="216"/>
      <c r="E1811" s="216"/>
      <c r="F1811" s="216"/>
      <c r="G1811" s="216"/>
    </row>
    <row r="1812">
      <c r="A1812" s="157"/>
      <c r="B1812" s="216"/>
      <c r="C1812" s="157"/>
      <c r="D1812" s="216"/>
      <c r="E1812" s="216"/>
      <c r="F1812" s="216"/>
      <c r="G1812" s="216"/>
    </row>
    <row r="1813">
      <c r="A1813" s="157"/>
      <c r="B1813" s="216"/>
      <c r="C1813" s="157"/>
      <c r="D1813" s="216"/>
      <c r="E1813" s="216"/>
      <c r="F1813" s="216"/>
      <c r="G1813" s="216"/>
    </row>
    <row r="1814">
      <c r="A1814" s="157"/>
      <c r="B1814" s="216"/>
      <c r="C1814" s="157"/>
      <c r="D1814" s="216"/>
      <c r="E1814" s="216"/>
      <c r="F1814" s="216"/>
      <c r="G1814" s="216"/>
    </row>
    <row r="1815">
      <c r="A1815" s="157"/>
      <c r="B1815" s="216"/>
      <c r="C1815" s="157"/>
      <c r="D1815" s="216"/>
      <c r="E1815" s="216"/>
      <c r="F1815" s="216"/>
      <c r="G1815" s="216"/>
    </row>
    <row r="1816">
      <c r="A1816" s="157"/>
      <c r="B1816" s="216"/>
      <c r="C1816" s="157"/>
      <c r="D1816" s="216"/>
      <c r="E1816" s="216"/>
      <c r="F1816" s="216"/>
      <c r="G1816" s="216"/>
    </row>
    <row r="1817">
      <c r="A1817" s="157"/>
      <c r="B1817" s="216"/>
      <c r="C1817" s="157"/>
      <c r="D1817" s="216"/>
      <c r="E1817" s="216"/>
      <c r="F1817" s="216"/>
      <c r="G1817" s="216"/>
    </row>
    <row r="1818">
      <c r="A1818" s="157"/>
      <c r="B1818" s="216"/>
      <c r="C1818" s="157"/>
      <c r="D1818" s="216"/>
      <c r="E1818" s="216"/>
      <c r="F1818" s="216"/>
      <c r="G1818" s="216"/>
    </row>
    <row r="1819">
      <c r="A1819" s="157"/>
      <c r="B1819" s="216"/>
      <c r="C1819" s="157"/>
      <c r="D1819" s="216"/>
      <c r="E1819" s="216"/>
      <c r="F1819" s="216"/>
      <c r="G1819" s="216"/>
    </row>
    <row r="1820">
      <c r="A1820" s="157"/>
      <c r="B1820" s="216"/>
      <c r="C1820" s="157"/>
      <c r="D1820" s="216"/>
      <c r="E1820" s="216"/>
      <c r="F1820" s="216"/>
      <c r="G1820" s="216"/>
    </row>
    <row r="1821">
      <c r="A1821" s="157"/>
      <c r="B1821" s="216"/>
      <c r="C1821" s="157"/>
      <c r="D1821" s="216"/>
      <c r="E1821" s="216"/>
      <c r="F1821" s="216"/>
      <c r="G1821" s="216"/>
    </row>
    <row r="1822">
      <c r="A1822" s="157"/>
      <c r="B1822" s="216"/>
      <c r="C1822" s="157"/>
      <c r="D1822" s="216"/>
      <c r="E1822" s="216"/>
      <c r="F1822" s="216"/>
      <c r="G1822" s="216"/>
    </row>
    <row r="1823">
      <c r="A1823" s="157"/>
      <c r="B1823" s="216"/>
      <c r="C1823" s="157"/>
      <c r="D1823" s="216"/>
      <c r="E1823" s="216"/>
      <c r="F1823" s="216"/>
      <c r="G1823" s="216"/>
    </row>
    <row r="1824">
      <c r="A1824" s="157"/>
      <c r="B1824" s="216"/>
      <c r="C1824" s="157"/>
      <c r="D1824" s="216"/>
      <c r="E1824" s="216"/>
      <c r="F1824" s="216"/>
      <c r="G1824" s="216"/>
    </row>
    <row r="1825">
      <c r="A1825" s="157"/>
      <c r="B1825" s="216"/>
      <c r="C1825" s="157"/>
      <c r="D1825" s="216"/>
      <c r="E1825" s="216"/>
      <c r="F1825" s="216"/>
      <c r="G1825" s="216"/>
    </row>
    <row r="1826">
      <c r="A1826" s="157"/>
      <c r="B1826" s="216"/>
      <c r="C1826" s="157"/>
      <c r="D1826" s="216"/>
      <c r="E1826" s="216"/>
      <c r="F1826" s="216"/>
      <c r="G1826" s="216"/>
    </row>
    <row r="1827">
      <c r="A1827" s="157"/>
      <c r="B1827" s="216"/>
      <c r="C1827" s="157"/>
      <c r="D1827" s="216"/>
      <c r="E1827" s="216"/>
      <c r="F1827" s="216"/>
      <c r="G1827" s="216"/>
    </row>
    <row r="1828">
      <c r="A1828" s="157"/>
      <c r="B1828" s="216"/>
      <c r="C1828" s="157"/>
      <c r="D1828" s="216"/>
      <c r="E1828" s="216"/>
      <c r="F1828" s="216"/>
      <c r="G1828" s="216"/>
    </row>
    <row r="1829">
      <c r="A1829" s="157"/>
      <c r="B1829" s="216"/>
      <c r="C1829" s="157"/>
      <c r="D1829" s="216"/>
      <c r="E1829" s="216"/>
      <c r="F1829" s="216"/>
      <c r="G1829" s="216"/>
    </row>
    <row r="1830">
      <c r="A1830" s="157"/>
      <c r="B1830" s="216"/>
      <c r="C1830" s="157"/>
      <c r="D1830" s="216"/>
      <c r="E1830" s="216"/>
      <c r="F1830" s="216"/>
      <c r="G1830" s="216"/>
    </row>
    <row r="1831">
      <c r="A1831" s="157"/>
      <c r="B1831" s="216"/>
      <c r="C1831" s="157"/>
      <c r="D1831" s="216"/>
      <c r="E1831" s="216"/>
      <c r="F1831" s="216"/>
      <c r="G1831" s="216"/>
    </row>
    <row r="1832">
      <c r="A1832" s="157"/>
      <c r="B1832" s="216"/>
      <c r="C1832" s="157"/>
      <c r="D1832" s="216"/>
      <c r="E1832" s="216"/>
      <c r="F1832" s="216"/>
      <c r="G1832" s="216"/>
    </row>
    <row r="1833">
      <c r="A1833" s="157"/>
      <c r="B1833" s="216"/>
      <c r="C1833" s="157"/>
      <c r="D1833" s="216"/>
      <c r="E1833" s="216"/>
      <c r="F1833" s="216"/>
      <c r="G1833" s="216"/>
    </row>
    <row r="1834">
      <c r="A1834" s="157"/>
      <c r="B1834" s="216"/>
      <c r="C1834" s="157"/>
      <c r="D1834" s="216"/>
      <c r="E1834" s="216"/>
      <c r="F1834" s="216"/>
      <c r="G1834" s="216"/>
    </row>
    <row r="1835">
      <c r="A1835" s="157"/>
      <c r="B1835" s="216"/>
      <c r="C1835" s="157"/>
      <c r="D1835" s="216"/>
      <c r="E1835" s="216"/>
      <c r="F1835" s="216"/>
      <c r="G1835" s="216"/>
    </row>
    <row r="1836">
      <c r="A1836" s="157"/>
      <c r="B1836" s="216"/>
      <c r="C1836" s="157"/>
      <c r="D1836" s="216"/>
      <c r="E1836" s="216"/>
      <c r="F1836" s="216"/>
      <c r="G1836" s="216"/>
    </row>
    <row r="1837">
      <c r="A1837" s="157"/>
      <c r="B1837" s="216"/>
      <c r="C1837" s="157"/>
      <c r="D1837" s="216"/>
      <c r="E1837" s="216"/>
      <c r="F1837" s="216"/>
      <c r="G1837" s="216"/>
    </row>
    <row r="1838">
      <c r="A1838" s="157"/>
      <c r="B1838" s="216"/>
      <c r="C1838" s="157"/>
      <c r="D1838" s="216"/>
      <c r="E1838" s="216"/>
      <c r="F1838" s="216"/>
      <c r="G1838" s="216"/>
    </row>
    <row r="1839">
      <c r="A1839" s="157"/>
      <c r="B1839" s="216"/>
      <c r="C1839" s="157"/>
      <c r="D1839" s="216"/>
      <c r="E1839" s="216"/>
      <c r="F1839" s="216"/>
      <c r="G1839" s="216"/>
    </row>
    <row r="1840">
      <c r="A1840" s="157"/>
      <c r="B1840" s="216"/>
      <c r="C1840" s="157"/>
      <c r="D1840" s="216"/>
      <c r="E1840" s="216"/>
      <c r="F1840" s="216"/>
      <c r="G1840" s="216"/>
    </row>
    <row r="1841">
      <c r="A1841" s="157"/>
      <c r="B1841" s="216"/>
      <c r="C1841" s="157"/>
      <c r="D1841" s="216"/>
      <c r="E1841" s="216"/>
      <c r="F1841" s="216"/>
      <c r="G1841" s="216"/>
    </row>
    <row r="1842">
      <c r="A1842" s="157"/>
      <c r="B1842" s="216"/>
      <c r="C1842" s="157"/>
      <c r="D1842" s="216"/>
      <c r="E1842" s="216"/>
      <c r="F1842" s="216"/>
      <c r="G1842" s="216"/>
    </row>
    <row r="1843">
      <c r="A1843" s="157"/>
      <c r="B1843" s="216"/>
      <c r="C1843" s="157"/>
      <c r="D1843" s="216"/>
      <c r="E1843" s="216"/>
      <c r="F1843" s="216"/>
      <c r="G1843" s="216"/>
    </row>
    <row r="1844">
      <c r="A1844" s="157"/>
      <c r="B1844" s="216"/>
      <c r="C1844" s="157"/>
      <c r="D1844" s="216"/>
      <c r="E1844" s="216"/>
      <c r="F1844" s="216"/>
      <c r="G1844" s="216"/>
    </row>
    <row r="1845">
      <c r="A1845" s="157"/>
      <c r="B1845" s="216"/>
      <c r="C1845" s="157"/>
      <c r="D1845" s="216"/>
      <c r="E1845" s="216"/>
      <c r="F1845" s="216"/>
      <c r="G1845" s="216"/>
    </row>
    <row r="1846">
      <c r="A1846" s="157"/>
      <c r="B1846" s="216"/>
      <c r="C1846" s="157"/>
      <c r="D1846" s="216"/>
      <c r="E1846" s="216"/>
      <c r="F1846" s="216"/>
      <c r="G1846" s="216"/>
    </row>
    <row r="1847">
      <c r="A1847" s="157"/>
      <c r="B1847" s="216"/>
      <c r="C1847" s="157"/>
      <c r="D1847" s="216"/>
      <c r="E1847" s="216"/>
      <c r="F1847" s="216"/>
      <c r="G1847" s="216"/>
    </row>
    <row r="1848">
      <c r="A1848" s="157"/>
      <c r="B1848" s="216"/>
      <c r="C1848" s="157"/>
      <c r="D1848" s="216"/>
      <c r="E1848" s="216"/>
      <c r="F1848" s="216"/>
      <c r="G1848" s="216"/>
    </row>
    <row r="1849">
      <c r="A1849" s="157"/>
      <c r="B1849" s="216"/>
      <c r="C1849" s="157"/>
      <c r="D1849" s="216"/>
      <c r="E1849" s="216"/>
      <c r="F1849" s="216"/>
      <c r="G1849" s="216"/>
    </row>
    <row r="1850">
      <c r="A1850" s="157"/>
      <c r="B1850" s="216"/>
      <c r="C1850" s="157"/>
      <c r="D1850" s="216"/>
      <c r="E1850" s="216"/>
      <c r="F1850" s="216"/>
      <c r="G1850" s="216"/>
    </row>
    <row r="1851">
      <c r="A1851" s="157"/>
      <c r="B1851" s="216"/>
      <c r="C1851" s="157"/>
      <c r="D1851" s="216"/>
      <c r="E1851" s="216"/>
      <c r="F1851" s="216"/>
      <c r="G1851" s="216"/>
    </row>
    <row r="1852">
      <c r="A1852" s="157"/>
      <c r="B1852" s="216"/>
      <c r="C1852" s="157"/>
      <c r="D1852" s="216"/>
      <c r="E1852" s="216"/>
      <c r="F1852" s="216"/>
      <c r="G1852" s="216"/>
    </row>
    <row r="1853">
      <c r="A1853" s="157"/>
      <c r="B1853" s="216"/>
      <c r="C1853" s="157"/>
      <c r="D1853" s="216"/>
      <c r="E1853" s="216"/>
      <c r="F1853" s="216"/>
      <c r="G1853" s="216"/>
    </row>
    <row r="1854">
      <c r="A1854" s="157"/>
      <c r="B1854" s="216"/>
      <c r="C1854" s="157"/>
      <c r="D1854" s="216"/>
      <c r="E1854" s="216"/>
      <c r="F1854" s="216"/>
      <c r="G1854" s="216"/>
    </row>
    <row r="1855">
      <c r="A1855" s="157"/>
      <c r="B1855" s="216"/>
      <c r="C1855" s="157"/>
      <c r="D1855" s="216"/>
      <c r="E1855" s="216"/>
      <c r="F1855" s="216"/>
      <c r="G1855" s="216"/>
    </row>
    <row r="1856">
      <c r="A1856" s="157"/>
      <c r="B1856" s="216"/>
      <c r="C1856" s="157"/>
      <c r="D1856" s="216"/>
      <c r="E1856" s="216"/>
      <c r="F1856" s="216"/>
      <c r="G1856" s="216"/>
    </row>
    <row r="1857">
      <c r="A1857" s="157"/>
      <c r="B1857" s="216"/>
      <c r="C1857" s="157"/>
      <c r="D1857" s="216"/>
      <c r="E1857" s="216"/>
      <c r="F1857" s="216"/>
      <c r="G1857" s="216"/>
    </row>
    <row r="1858">
      <c r="A1858" s="157"/>
      <c r="B1858" s="216"/>
      <c r="C1858" s="157"/>
      <c r="D1858" s="216"/>
      <c r="E1858" s="216"/>
      <c r="F1858" s="216"/>
      <c r="G1858" s="216"/>
    </row>
    <row r="1859">
      <c r="A1859" s="157"/>
      <c r="B1859" s="216"/>
      <c r="C1859" s="157"/>
      <c r="D1859" s="216"/>
      <c r="E1859" s="216"/>
      <c r="F1859" s="216"/>
      <c r="G1859" s="216"/>
    </row>
    <row r="1860">
      <c r="A1860" s="157"/>
      <c r="B1860" s="216"/>
      <c r="C1860" s="157"/>
      <c r="D1860" s="216"/>
      <c r="E1860" s="216"/>
      <c r="F1860" s="216"/>
      <c r="G1860" s="216"/>
    </row>
    <row r="1861">
      <c r="A1861" s="157"/>
      <c r="B1861" s="216"/>
      <c r="C1861" s="157"/>
      <c r="D1861" s="216"/>
      <c r="E1861" s="216"/>
      <c r="F1861" s="216"/>
      <c r="G1861" s="216"/>
    </row>
    <row r="1862">
      <c r="A1862" s="157"/>
      <c r="B1862" s="216"/>
      <c r="C1862" s="157"/>
      <c r="D1862" s="216"/>
      <c r="E1862" s="216"/>
      <c r="F1862" s="216"/>
      <c r="G1862" s="216"/>
    </row>
    <row r="1863">
      <c r="A1863" s="157"/>
      <c r="B1863" s="216"/>
      <c r="C1863" s="157"/>
      <c r="D1863" s="216"/>
      <c r="E1863" s="216"/>
      <c r="F1863" s="216"/>
      <c r="G1863" s="216"/>
    </row>
    <row r="1864">
      <c r="A1864" s="157"/>
      <c r="B1864" s="216"/>
      <c r="C1864" s="157"/>
      <c r="D1864" s="216"/>
      <c r="E1864" s="216"/>
      <c r="F1864" s="216"/>
      <c r="G1864" s="216"/>
    </row>
    <row r="1865">
      <c r="A1865" s="157"/>
      <c r="B1865" s="216"/>
      <c r="C1865" s="157"/>
      <c r="D1865" s="216"/>
      <c r="E1865" s="216"/>
      <c r="F1865" s="216"/>
      <c r="G1865" s="216"/>
    </row>
    <row r="1866">
      <c r="A1866" s="157"/>
      <c r="B1866" s="216"/>
      <c r="C1866" s="157"/>
      <c r="D1866" s="216"/>
      <c r="E1866" s="216"/>
      <c r="F1866" s="216"/>
      <c r="G1866" s="216"/>
    </row>
    <row r="1867">
      <c r="A1867" s="157"/>
      <c r="B1867" s="216"/>
      <c r="C1867" s="157"/>
      <c r="D1867" s="216"/>
      <c r="E1867" s="216"/>
      <c r="F1867" s="216"/>
      <c r="G1867" s="216"/>
    </row>
    <row r="1868">
      <c r="A1868" s="157"/>
      <c r="B1868" s="216"/>
      <c r="C1868" s="157"/>
      <c r="D1868" s="216"/>
      <c r="E1868" s="216"/>
      <c r="F1868" s="216"/>
      <c r="G1868" s="216"/>
    </row>
    <row r="1869">
      <c r="A1869" s="157"/>
      <c r="B1869" s="216"/>
      <c r="C1869" s="157"/>
      <c r="D1869" s="216"/>
      <c r="E1869" s="216"/>
      <c r="F1869" s="216"/>
      <c r="G1869" s="216"/>
    </row>
    <row r="1870">
      <c r="A1870" s="157"/>
      <c r="B1870" s="216"/>
      <c r="C1870" s="157"/>
      <c r="D1870" s="216"/>
      <c r="E1870" s="216"/>
      <c r="F1870" s="216"/>
      <c r="G1870" s="216"/>
    </row>
    <row r="1871">
      <c r="A1871" s="157"/>
      <c r="B1871" s="216"/>
      <c r="C1871" s="157"/>
      <c r="D1871" s="216"/>
      <c r="E1871" s="216"/>
      <c r="F1871" s="216"/>
      <c r="G1871" s="216"/>
    </row>
    <row r="1872">
      <c r="A1872" s="157"/>
      <c r="B1872" s="216"/>
      <c r="C1872" s="157"/>
      <c r="D1872" s="216"/>
      <c r="E1872" s="216"/>
      <c r="F1872" s="216"/>
      <c r="G1872" s="216"/>
    </row>
    <row r="1873">
      <c r="A1873" s="157"/>
      <c r="B1873" s="216"/>
      <c r="C1873" s="157"/>
      <c r="D1873" s="216"/>
      <c r="E1873" s="216"/>
      <c r="F1873" s="216"/>
      <c r="G1873" s="216"/>
    </row>
    <row r="1874">
      <c r="A1874" s="157"/>
      <c r="B1874" s="216"/>
      <c r="C1874" s="157"/>
      <c r="D1874" s="216"/>
      <c r="E1874" s="216"/>
      <c r="F1874" s="216"/>
      <c r="G1874" s="216"/>
    </row>
    <row r="1875">
      <c r="A1875" s="157"/>
      <c r="B1875" s="216"/>
      <c r="C1875" s="157"/>
      <c r="D1875" s="216"/>
      <c r="E1875" s="216"/>
      <c r="F1875" s="216"/>
      <c r="G1875" s="216"/>
    </row>
    <row r="1876">
      <c r="A1876" s="157"/>
      <c r="B1876" s="216"/>
      <c r="C1876" s="157"/>
      <c r="D1876" s="216"/>
      <c r="E1876" s="216"/>
      <c r="F1876" s="216"/>
      <c r="G1876" s="216"/>
    </row>
    <row r="1877">
      <c r="A1877" s="157"/>
      <c r="B1877" s="216"/>
      <c r="C1877" s="157"/>
      <c r="D1877" s="216"/>
      <c r="E1877" s="216"/>
      <c r="F1877" s="216"/>
      <c r="G1877" s="216"/>
    </row>
    <row r="1878">
      <c r="A1878" s="157"/>
      <c r="B1878" s="216"/>
      <c r="C1878" s="157"/>
      <c r="D1878" s="216"/>
      <c r="E1878" s="216"/>
      <c r="F1878" s="216"/>
      <c r="G1878" s="216"/>
    </row>
    <row r="1879">
      <c r="A1879" s="157"/>
      <c r="B1879" s="216"/>
      <c r="C1879" s="157"/>
      <c r="D1879" s="216"/>
      <c r="E1879" s="216"/>
      <c r="F1879" s="216"/>
      <c r="G1879" s="216"/>
    </row>
    <row r="1880">
      <c r="A1880" s="157"/>
      <c r="B1880" s="216"/>
      <c r="C1880" s="157"/>
      <c r="D1880" s="216"/>
      <c r="E1880" s="216"/>
      <c r="F1880" s="216"/>
      <c r="G1880" s="216"/>
    </row>
    <row r="1881">
      <c r="A1881" s="157"/>
      <c r="B1881" s="216"/>
      <c r="C1881" s="157"/>
      <c r="D1881" s="216"/>
      <c r="E1881" s="216"/>
      <c r="F1881" s="216"/>
      <c r="G1881" s="216"/>
    </row>
    <row r="1882">
      <c r="A1882" s="157"/>
      <c r="B1882" s="216"/>
      <c r="C1882" s="157"/>
      <c r="D1882" s="216"/>
      <c r="E1882" s="216"/>
      <c r="F1882" s="216"/>
      <c r="G1882" s="216"/>
    </row>
    <row r="1883">
      <c r="A1883" s="157"/>
      <c r="B1883" s="216"/>
      <c r="C1883" s="157"/>
      <c r="D1883" s="216"/>
      <c r="E1883" s="216"/>
      <c r="F1883" s="216"/>
      <c r="G1883" s="216"/>
    </row>
    <row r="1884">
      <c r="A1884" s="157"/>
      <c r="B1884" s="216"/>
      <c r="C1884" s="157"/>
      <c r="D1884" s="216"/>
      <c r="E1884" s="216"/>
      <c r="F1884" s="216"/>
      <c r="G1884" s="216"/>
    </row>
    <row r="1885">
      <c r="A1885" s="157"/>
      <c r="B1885" s="216"/>
      <c r="C1885" s="157"/>
      <c r="D1885" s="216"/>
      <c r="E1885" s="216"/>
      <c r="F1885" s="216"/>
      <c r="G1885" s="216"/>
    </row>
    <row r="1886">
      <c r="A1886" s="157"/>
      <c r="B1886" s="216"/>
      <c r="C1886" s="157"/>
      <c r="D1886" s="216"/>
      <c r="E1886" s="216"/>
      <c r="F1886" s="216"/>
      <c r="G1886" s="216"/>
    </row>
    <row r="1887">
      <c r="A1887" s="157"/>
      <c r="B1887" s="216"/>
      <c r="C1887" s="157"/>
      <c r="D1887" s="216"/>
      <c r="E1887" s="216"/>
      <c r="F1887" s="216"/>
      <c r="G1887" s="216"/>
    </row>
    <row r="1888">
      <c r="A1888" s="157"/>
      <c r="B1888" s="216"/>
      <c r="C1888" s="157"/>
      <c r="D1888" s="216"/>
      <c r="E1888" s="216"/>
      <c r="F1888" s="216"/>
      <c r="G1888" s="216"/>
    </row>
    <row r="1889">
      <c r="A1889" s="157"/>
      <c r="B1889" s="216"/>
      <c r="C1889" s="157"/>
      <c r="D1889" s="216"/>
      <c r="E1889" s="216"/>
      <c r="F1889" s="216"/>
      <c r="G1889" s="216"/>
    </row>
    <row r="1890">
      <c r="A1890" s="157"/>
      <c r="B1890" s="216"/>
      <c r="C1890" s="157"/>
      <c r="D1890" s="216"/>
      <c r="E1890" s="216"/>
      <c r="F1890" s="216"/>
      <c r="G1890" s="216"/>
    </row>
    <row r="1891">
      <c r="A1891" s="157"/>
      <c r="B1891" s="216"/>
      <c r="C1891" s="157"/>
      <c r="D1891" s="216"/>
      <c r="E1891" s="216"/>
      <c r="F1891" s="216"/>
      <c r="G1891" s="216"/>
    </row>
    <row r="1892">
      <c r="A1892" s="157"/>
      <c r="B1892" s="216"/>
      <c r="C1892" s="157"/>
      <c r="D1892" s="216"/>
      <c r="E1892" s="216"/>
      <c r="F1892" s="216"/>
      <c r="G1892" s="216"/>
    </row>
    <row r="1893">
      <c r="A1893" s="157"/>
      <c r="B1893" s="216"/>
      <c r="C1893" s="157"/>
      <c r="D1893" s="216"/>
      <c r="E1893" s="216"/>
      <c r="F1893" s="216"/>
      <c r="G1893" s="216"/>
    </row>
    <row r="1894">
      <c r="A1894" s="157"/>
      <c r="B1894" s="216"/>
      <c r="C1894" s="157"/>
      <c r="D1894" s="216"/>
      <c r="E1894" s="216"/>
      <c r="F1894" s="216"/>
      <c r="G1894" s="216"/>
    </row>
    <row r="1895">
      <c r="A1895" s="157"/>
      <c r="B1895" s="216"/>
      <c r="C1895" s="157"/>
      <c r="D1895" s="216"/>
      <c r="E1895" s="216"/>
      <c r="F1895" s="216"/>
      <c r="G1895" s="216"/>
    </row>
    <row r="1896">
      <c r="A1896" s="157"/>
      <c r="B1896" s="216"/>
      <c r="C1896" s="157"/>
      <c r="D1896" s="216"/>
      <c r="E1896" s="216"/>
      <c r="F1896" s="216"/>
      <c r="G1896" s="216"/>
    </row>
    <row r="1897">
      <c r="A1897" s="157"/>
      <c r="B1897" s="216"/>
      <c r="C1897" s="157"/>
      <c r="D1897" s="216"/>
      <c r="E1897" s="216"/>
      <c r="F1897" s="216"/>
      <c r="G1897" s="216"/>
    </row>
    <row r="1898">
      <c r="A1898" s="157"/>
      <c r="B1898" s="216"/>
      <c r="C1898" s="157"/>
      <c r="D1898" s="216"/>
      <c r="E1898" s="216"/>
      <c r="F1898" s="216"/>
      <c r="G1898" s="216"/>
    </row>
    <row r="1899">
      <c r="A1899" s="157"/>
      <c r="B1899" s="216"/>
      <c r="C1899" s="157"/>
      <c r="D1899" s="216"/>
      <c r="E1899" s="216"/>
      <c r="F1899" s="216"/>
      <c r="G1899" s="216"/>
    </row>
    <row r="1900">
      <c r="A1900" s="157"/>
      <c r="B1900" s="216"/>
      <c r="C1900" s="157"/>
      <c r="D1900" s="216"/>
      <c r="E1900" s="216"/>
      <c r="F1900" s="216"/>
      <c r="G1900" s="216"/>
    </row>
    <row r="1901">
      <c r="A1901" s="157"/>
      <c r="B1901" s="216"/>
      <c r="C1901" s="157"/>
      <c r="D1901" s="216"/>
      <c r="E1901" s="216"/>
      <c r="F1901" s="216"/>
      <c r="G1901" s="216"/>
    </row>
    <row r="1902">
      <c r="A1902" s="157"/>
      <c r="B1902" s="216"/>
      <c r="C1902" s="157"/>
      <c r="D1902" s="216"/>
      <c r="E1902" s="216"/>
      <c r="F1902" s="216"/>
      <c r="G1902" s="216"/>
    </row>
    <row r="1903">
      <c r="A1903" s="157"/>
      <c r="B1903" s="216"/>
      <c r="C1903" s="157"/>
      <c r="D1903" s="216"/>
      <c r="E1903" s="216"/>
      <c r="F1903" s="216"/>
      <c r="G1903" s="216"/>
    </row>
    <row r="1904">
      <c r="A1904" s="157"/>
      <c r="B1904" s="216"/>
      <c r="C1904" s="157"/>
      <c r="D1904" s="216"/>
      <c r="E1904" s="216"/>
      <c r="F1904" s="216"/>
      <c r="G1904" s="216"/>
    </row>
    <row r="1905">
      <c r="A1905" s="157"/>
      <c r="B1905" s="216"/>
      <c r="C1905" s="157"/>
      <c r="D1905" s="216"/>
      <c r="E1905" s="216"/>
      <c r="F1905" s="216"/>
      <c r="G1905" s="216"/>
    </row>
    <row r="1906">
      <c r="A1906" s="157"/>
      <c r="B1906" s="216"/>
      <c r="C1906" s="157"/>
      <c r="D1906" s="216"/>
      <c r="E1906" s="216"/>
      <c r="F1906" s="216"/>
      <c r="G1906" s="216"/>
    </row>
    <row r="1907">
      <c r="A1907" s="157"/>
      <c r="B1907" s="216"/>
      <c r="C1907" s="157"/>
      <c r="D1907" s="216"/>
      <c r="E1907" s="216"/>
      <c r="F1907" s="216"/>
      <c r="G1907" s="216"/>
    </row>
    <row r="1908">
      <c r="A1908" s="157"/>
      <c r="B1908" s="216"/>
      <c r="C1908" s="157"/>
      <c r="D1908" s="216"/>
      <c r="E1908" s="216"/>
      <c r="F1908" s="216"/>
      <c r="G1908" s="216"/>
    </row>
    <row r="1909">
      <c r="A1909" s="157"/>
      <c r="B1909" s="216"/>
      <c r="C1909" s="157"/>
      <c r="D1909" s="216"/>
      <c r="E1909" s="216"/>
      <c r="F1909" s="216"/>
      <c r="G1909" s="216"/>
    </row>
    <row r="1910">
      <c r="A1910" s="157"/>
      <c r="B1910" s="216"/>
      <c r="C1910" s="157"/>
      <c r="D1910" s="216"/>
      <c r="E1910" s="216"/>
      <c r="F1910" s="216"/>
      <c r="G1910" s="216"/>
    </row>
    <row r="1911">
      <c r="A1911" s="157"/>
      <c r="B1911" s="216"/>
      <c r="C1911" s="157"/>
      <c r="D1911" s="216"/>
      <c r="E1911" s="216"/>
      <c r="F1911" s="216"/>
      <c r="G1911" s="216"/>
    </row>
    <row r="1912">
      <c r="A1912" s="157"/>
      <c r="B1912" s="216"/>
      <c r="C1912" s="157"/>
      <c r="D1912" s="216"/>
      <c r="E1912" s="216"/>
      <c r="F1912" s="216"/>
      <c r="G1912" s="216"/>
    </row>
    <row r="1913">
      <c r="A1913" s="157"/>
      <c r="B1913" s="216"/>
      <c r="C1913" s="157"/>
      <c r="D1913" s="216"/>
      <c r="E1913" s="216"/>
      <c r="F1913" s="216"/>
      <c r="G1913" s="216"/>
    </row>
    <row r="1914">
      <c r="A1914" s="157"/>
      <c r="B1914" s="216"/>
      <c r="C1914" s="157"/>
      <c r="D1914" s="216"/>
      <c r="E1914" s="216"/>
      <c r="F1914" s="216"/>
      <c r="G1914" s="216"/>
    </row>
    <row r="1915">
      <c r="A1915" s="157"/>
      <c r="B1915" s="216"/>
      <c r="C1915" s="157"/>
      <c r="D1915" s="216"/>
      <c r="E1915" s="216"/>
      <c r="F1915" s="216"/>
      <c r="G1915" s="216"/>
    </row>
    <row r="1916">
      <c r="A1916" s="157"/>
      <c r="B1916" s="216"/>
      <c r="C1916" s="157"/>
      <c r="D1916" s="216"/>
      <c r="E1916" s="216"/>
      <c r="F1916" s="216"/>
      <c r="G1916" s="216"/>
    </row>
    <row r="1917">
      <c r="A1917" s="157"/>
      <c r="B1917" s="216"/>
      <c r="C1917" s="157"/>
      <c r="D1917" s="216"/>
      <c r="E1917" s="216"/>
      <c r="F1917" s="216"/>
      <c r="G1917" s="216"/>
    </row>
    <row r="1918">
      <c r="A1918" s="157"/>
      <c r="B1918" s="216"/>
      <c r="C1918" s="157"/>
      <c r="D1918" s="216"/>
      <c r="E1918" s="216"/>
      <c r="F1918" s="216"/>
      <c r="G1918" s="216"/>
    </row>
    <row r="1919">
      <c r="A1919" s="157"/>
      <c r="B1919" s="216"/>
      <c r="C1919" s="157"/>
      <c r="D1919" s="216"/>
      <c r="E1919" s="216"/>
      <c r="F1919" s="216"/>
      <c r="G1919" s="216"/>
    </row>
    <row r="1920">
      <c r="A1920" s="157"/>
      <c r="B1920" s="216"/>
      <c r="C1920" s="157"/>
      <c r="D1920" s="216"/>
      <c r="E1920" s="216"/>
      <c r="F1920" s="216"/>
      <c r="G1920" s="216"/>
    </row>
    <row r="1921">
      <c r="A1921" s="157"/>
      <c r="B1921" s="216"/>
      <c r="C1921" s="157"/>
      <c r="D1921" s="216"/>
      <c r="E1921" s="216"/>
      <c r="F1921" s="216"/>
      <c r="G1921" s="216"/>
    </row>
    <row r="1922">
      <c r="A1922" s="157"/>
      <c r="B1922" s="216"/>
      <c r="C1922" s="157"/>
      <c r="D1922" s="216"/>
      <c r="E1922" s="216"/>
      <c r="F1922" s="216"/>
      <c r="G1922" s="216"/>
    </row>
    <row r="1923">
      <c r="A1923" s="157"/>
      <c r="B1923" s="216"/>
      <c r="C1923" s="157"/>
      <c r="D1923" s="216"/>
      <c r="E1923" s="216"/>
      <c r="F1923" s="216"/>
      <c r="G1923" s="216"/>
    </row>
    <row r="1924">
      <c r="A1924" s="157"/>
      <c r="B1924" s="216"/>
      <c r="C1924" s="157"/>
      <c r="D1924" s="216"/>
      <c r="E1924" s="216"/>
      <c r="F1924" s="216"/>
      <c r="G1924" s="216"/>
    </row>
    <row r="1925">
      <c r="A1925" s="157"/>
      <c r="B1925" s="216"/>
      <c r="C1925" s="157"/>
      <c r="D1925" s="216"/>
      <c r="E1925" s="216"/>
      <c r="F1925" s="216"/>
      <c r="G1925" s="216"/>
    </row>
    <row r="1926">
      <c r="A1926" s="157"/>
      <c r="B1926" s="216"/>
      <c r="C1926" s="157"/>
      <c r="D1926" s="216"/>
      <c r="E1926" s="216"/>
      <c r="F1926" s="216"/>
      <c r="G1926" s="216"/>
    </row>
    <row r="1927">
      <c r="A1927" s="157"/>
      <c r="B1927" s="216"/>
      <c r="C1927" s="157"/>
      <c r="D1927" s="216"/>
      <c r="E1927" s="216"/>
      <c r="F1927" s="216"/>
      <c r="G1927" s="216"/>
    </row>
    <row r="1928">
      <c r="A1928" s="157"/>
      <c r="B1928" s="216"/>
      <c r="C1928" s="157"/>
      <c r="D1928" s="216"/>
      <c r="E1928" s="216"/>
      <c r="F1928" s="216"/>
      <c r="G1928" s="216"/>
    </row>
    <row r="1929">
      <c r="A1929" s="157"/>
      <c r="B1929" s="216"/>
      <c r="C1929" s="157"/>
      <c r="D1929" s="216"/>
      <c r="E1929" s="216"/>
      <c r="F1929" s="216"/>
      <c r="G1929" s="216"/>
    </row>
    <row r="1930">
      <c r="A1930" s="157"/>
      <c r="B1930" s="216"/>
      <c r="C1930" s="157"/>
      <c r="D1930" s="216"/>
      <c r="E1930" s="216"/>
      <c r="F1930" s="216"/>
      <c r="G1930" s="216"/>
    </row>
    <row r="1931">
      <c r="A1931" s="157"/>
      <c r="B1931" s="216"/>
      <c r="C1931" s="157"/>
      <c r="D1931" s="216"/>
      <c r="E1931" s="216"/>
      <c r="F1931" s="216"/>
      <c r="G1931" s="216"/>
    </row>
    <row r="1932">
      <c r="A1932" s="157"/>
      <c r="B1932" s="216"/>
      <c r="C1932" s="157"/>
      <c r="D1932" s="216"/>
      <c r="E1932" s="216"/>
      <c r="F1932" s="216"/>
      <c r="G1932" s="216"/>
    </row>
    <row r="1933">
      <c r="A1933" s="157"/>
      <c r="B1933" s="216"/>
      <c r="C1933" s="157"/>
      <c r="D1933" s="216"/>
      <c r="E1933" s="216"/>
      <c r="F1933" s="216"/>
      <c r="G1933" s="216"/>
    </row>
    <row r="1934">
      <c r="A1934" s="157"/>
      <c r="B1934" s="216"/>
      <c r="C1934" s="157"/>
      <c r="D1934" s="216"/>
      <c r="E1934" s="216"/>
      <c r="F1934" s="216"/>
      <c r="G1934" s="216"/>
    </row>
    <row r="1935">
      <c r="A1935" s="157"/>
      <c r="B1935" s="216"/>
      <c r="C1935" s="157"/>
      <c r="D1935" s="216"/>
      <c r="E1935" s="216"/>
      <c r="F1935" s="216"/>
      <c r="G1935" s="216"/>
    </row>
    <row r="1936">
      <c r="A1936" s="157"/>
      <c r="B1936" s="216"/>
      <c r="C1936" s="157"/>
      <c r="D1936" s="216"/>
      <c r="E1936" s="216"/>
      <c r="F1936" s="216"/>
      <c r="G1936" s="216"/>
    </row>
    <row r="1937">
      <c r="A1937" s="157"/>
      <c r="B1937" s="216"/>
      <c r="C1937" s="157"/>
      <c r="D1937" s="216"/>
      <c r="E1937" s="216"/>
      <c r="F1937" s="216"/>
      <c r="G1937" s="216"/>
    </row>
    <row r="1938">
      <c r="A1938" s="157"/>
      <c r="B1938" s="216"/>
      <c r="C1938" s="157"/>
      <c r="D1938" s="216"/>
      <c r="E1938" s="216"/>
      <c r="F1938" s="216"/>
      <c r="G1938" s="216"/>
    </row>
    <row r="1939">
      <c r="A1939" s="157"/>
      <c r="B1939" s="216"/>
      <c r="C1939" s="157"/>
      <c r="D1939" s="216"/>
      <c r="E1939" s="216"/>
      <c r="F1939" s="216"/>
      <c r="G1939" s="216"/>
    </row>
    <row r="1940">
      <c r="A1940" s="157"/>
      <c r="B1940" s="216"/>
      <c r="C1940" s="157"/>
      <c r="D1940" s="216"/>
      <c r="E1940" s="216"/>
      <c r="F1940" s="216"/>
      <c r="G1940" s="216"/>
    </row>
    <row r="1941">
      <c r="A1941" s="157"/>
      <c r="B1941" s="216"/>
      <c r="C1941" s="157"/>
      <c r="D1941" s="216"/>
      <c r="E1941" s="216"/>
      <c r="F1941" s="216"/>
      <c r="G1941" s="216"/>
    </row>
    <row r="1942">
      <c r="A1942" s="157"/>
      <c r="B1942" s="216"/>
      <c r="C1942" s="157"/>
      <c r="D1942" s="216"/>
      <c r="E1942" s="216"/>
      <c r="F1942" s="216"/>
      <c r="G1942" s="216"/>
    </row>
    <row r="1943">
      <c r="A1943" s="157"/>
      <c r="B1943" s="216"/>
      <c r="C1943" s="157"/>
      <c r="D1943" s="216"/>
      <c r="E1943" s="216"/>
      <c r="F1943" s="216"/>
      <c r="G1943" s="216"/>
    </row>
    <row r="1944">
      <c r="A1944" s="157"/>
      <c r="B1944" s="216"/>
      <c r="C1944" s="157"/>
      <c r="D1944" s="216"/>
      <c r="E1944" s="216"/>
      <c r="F1944" s="216"/>
      <c r="G1944" s="216"/>
    </row>
    <row r="1945">
      <c r="A1945" s="157"/>
      <c r="B1945" s="216"/>
      <c r="C1945" s="157"/>
      <c r="D1945" s="216"/>
      <c r="E1945" s="216"/>
      <c r="F1945" s="216"/>
      <c r="G1945" s="216"/>
    </row>
    <row r="1946">
      <c r="A1946" s="157"/>
      <c r="B1946" s="216"/>
      <c r="C1946" s="157"/>
      <c r="D1946" s="216"/>
      <c r="E1946" s="216"/>
      <c r="F1946" s="216"/>
      <c r="G1946" s="216"/>
    </row>
    <row r="1947">
      <c r="A1947" s="157"/>
      <c r="B1947" s="216"/>
      <c r="C1947" s="157"/>
      <c r="D1947" s="216"/>
      <c r="E1947" s="216"/>
      <c r="F1947" s="216"/>
      <c r="G1947" s="216"/>
    </row>
    <row r="1948">
      <c r="A1948" s="157"/>
      <c r="B1948" s="216"/>
      <c r="C1948" s="157"/>
      <c r="D1948" s="216"/>
      <c r="E1948" s="216"/>
      <c r="F1948" s="216"/>
      <c r="G1948" s="216"/>
    </row>
    <row r="1949">
      <c r="A1949" s="157"/>
      <c r="B1949" s="216"/>
      <c r="C1949" s="157"/>
      <c r="D1949" s="216"/>
      <c r="E1949" s="216"/>
      <c r="F1949" s="216"/>
      <c r="G1949" s="216"/>
    </row>
    <row r="1950">
      <c r="A1950" s="157"/>
      <c r="B1950" s="216"/>
      <c r="C1950" s="157"/>
      <c r="D1950" s="216"/>
      <c r="E1950" s="216"/>
      <c r="F1950" s="216"/>
      <c r="G1950" s="216"/>
    </row>
    <row r="1951">
      <c r="A1951" s="157"/>
      <c r="B1951" s="216"/>
      <c r="C1951" s="157"/>
      <c r="D1951" s="216"/>
      <c r="E1951" s="216"/>
      <c r="F1951" s="216"/>
      <c r="G1951" s="216"/>
    </row>
    <row r="1952">
      <c r="A1952" s="157"/>
      <c r="B1952" s="216"/>
      <c r="C1952" s="157"/>
      <c r="D1952" s="216"/>
      <c r="E1952" s="216"/>
      <c r="F1952" s="216"/>
      <c r="G1952" s="216"/>
    </row>
    <row r="1953">
      <c r="A1953" s="157"/>
      <c r="B1953" s="216"/>
      <c r="C1953" s="157"/>
      <c r="D1953" s="216"/>
      <c r="E1953" s="216"/>
      <c r="F1953" s="216"/>
      <c r="G1953" s="216"/>
    </row>
    <row r="1954">
      <c r="A1954" s="157"/>
      <c r="B1954" s="216"/>
      <c r="C1954" s="157"/>
      <c r="D1954" s="216"/>
      <c r="E1954" s="216"/>
      <c r="F1954" s="216"/>
      <c r="G1954" s="216"/>
    </row>
    <row r="1955">
      <c r="A1955" s="157"/>
      <c r="B1955" s="216"/>
      <c r="C1955" s="157"/>
      <c r="D1955" s="216"/>
      <c r="E1955" s="216"/>
      <c r="F1955" s="216"/>
      <c r="G1955" s="216"/>
    </row>
    <row r="1956">
      <c r="A1956" s="157"/>
      <c r="B1956" s="216"/>
      <c r="C1956" s="157"/>
      <c r="D1956" s="216"/>
      <c r="E1956" s="216"/>
      <c r="F1956" s="216"/>
      <c r="G1956" s="216"/>
    </row>
    <row r="1957">
      <c r="A1957" s="157"/>
      <c r="B1957" s="216"/>
      <c r="C1957" s="157"/>
      <c r="D1957" s="216"/>
      <c r="E1957" s="216"/>
      <c r="F1957" s="216"/>
      <c r="G1957" s="216"/>
    </row>
    <row r="1958">
      <c r="A1958" s="157"/>
      <c r="B1958" s="216"/>
      <c r="C1958" s="157"/>
      <c r="D1958" s="216"/>
      <c r="E1958" s="216"/>
      <c r="F1958" s="216"/>
      <c r="G1958" s="216"/>
    </row>
    <row r="1959">
      <c r="A1959" s="157"/>
      <c r="B1959" s="216"/>
      <c r="C1959" s="157"/>
      <c r="D1959" s="216"/>
      <c r="E1959" s="216"/>
      <c r="F1959" s="216"/>
      <c r="G1959" s="216"/>
    </row>
    <row r="1960">
      <c r="A1960" s="157"/>
      <c r="B1960" s="216"/>
      <c r="C1960" s="157"/>
      <c r="D1960" s="216"/>
      <c r="E1960" s="216"/>
      <c r="F1960" s="216"/>
      <c r="G1960" s="216"/>
    </row>
    <row r="1961">
      <c r="A1961" s="157"/>
      <c r="B1961" s="216"/>
      <c r="C1961" s="157"/>
      <c r="D1961" s="216"/>
      <c r="E1961" s="216"/>
      <c r="F1961" s="216"/>
      <c r="G1961" s="216"/>
    </row>
    <row r="1962">
      <c r="A1962" s="157"/>
      <c r="B1962" s="216"/>
      <c r="C1962" s="157"/>
      <c r="D1962" s="216"/>
      <c r="E1962" s="216"/>
      <c r="F1962" s="216"/>
      <c r="G1962" s="216"/>
    </row>
    <row r="1963">
      <c r="A1963" s="157"/>
      <c r="B1963" s="216"/>
      <c r="C1963" s="157"/>
      <c r="D1963" s="216"/>
      <c r="E1963" s="216"/>
      <c r="F1963" s="216"/>
      <c r="G1963" s="216"/>
    </row>
    <row r="1964">
      <c r="A1964" s="157"/>
      <c r="B1964" s="216"/>
      <c r="C1964" s="157"/>
      <c r="D1964" s="216"/>
      <c r="E1964" s="216"/>
      <c r="F1964" s="216"/>
      <c r="G1964" s="216"/>
    </row>
    <row r="1965">
      <c r="A1965" s="157"/>
      <c r="B1965" s="216"/>
      <c r="C1965" s="157"/>
      <c r="D1965" s="216"/>
      <c r="E1965" s="216"/>
      <c r="F1965" s="216"/>
      <c r="G1965" s="216"/>
    </row>
    <row r="1966">
      <c r="A1966" s="157"/>
      <c r="B1966" s="216"/>
      <c r="C1966" s="157"/>
      <c r="D1966" s="216"/>
      <c r="E1966" s="216"/>
      <c r="F1966" s="216"/>
      <c r="G1966" s="216"/>
    </row>
    <row r="1967">
      <c r="A1967" s="157"/>
      <c r="B1967" s="216"/>
      <c r="C1967" s="157"/>
      <c r="D1967" s="216"/>
      <c r="E1967" s="216"/>
      <c r="F1967" s="216"/>
      <c r="G1967" s="216"/>
    </row>
    <row r="1968">
      <c r="A1968" s="157"/>
      <c r="B1968" s="216"/>
      <c r="C1968" s="157"/>
      <c r="D1968" s="216"/>
      <c r="E1968" s="216"/>
      <c r="F1968" s="216"/>
      <c r="G1968" s="216"/>
    </row>
    <row r="1969">
      <c r="A1969" s="157"/>
      <c r="B1969" s="216"/>
      <c r="C1969" s="157"/>
      <c r="D1969" s="216"/>
      <c r="E1969" s="216"/>
      <c r="F1969" s="216"/>
      <c r="G1969" s="216"/>
    </row>
    <row r="1970">
      <c r="A1970" s="157"/>
      <c r="B1970" s="216"/>
      <c r="C1970" s="157"/>
      <c r="D1970" s="216"/>
      <c r="E1970" s="216"/>
      <c r="F1970" s="216"/>
      <c r="G1970" s="216"/>
    </row>
    <row r="1971">
      <c r="A1971" s="157"/>
      <c r="B1971" s="216"/>
      <c r="C1971" s="157"/>
      <c r="D1971" s="216"/>
      <c r="E1971" s="216"/>
      <c r="F1971" s="216"/>
      <c r="G1971" s="216"/>
    </row>
    <row r="1972">
      <c r="A1972" s="157"/>
      <c r="B1972" s="216"/>
      <c r="C1972" s="157"/>
      <c r="D1972" s="216"/>
      <c r="E1972" s="216"/>
      <c r="F1972" s="216"/>
      <c r="G1972" s="216"/>
    </row>
    <row r="1973">
      <c r="A1973" s="157"/>
      <c r="B1973" s="216"/>
      <c r="C1973" s="157"/>
      <c r="D1973" s="216"/>
      <c r="E1973" s="216"/>
      <c r="F1973" s="216"/>
      <c r="G1973" s="216"/>
    </row>
    <row r="1974">
      <c r="A1974" s="157"/>
      <c r="B1974" s="216"/>
      <c r="C1974" s="157"/>
      <c r="D1974" s="216"/>
      <c r="E1974" s="216"/>
      <c r="F1974" s="216"/>
      <c r="G1974" s="216"/>
    </row>
    <row r="1975">
      <c r="A1975" s="157"/>
      <c r="B1975" s="216"/>
      <c r="C1975" s="157"/>
      <c r="D1975" s="216"/>
      <c r="E1975" s="216"/>
      <c r="F1975" s="216"/>
      <c r="G1975" s="216"/>
    </row>
    <row r="1976">
      <c r="A1976" s="157"/>
      <c r="B1976" s="216"/>
      <c r="C1976" s="157"/>
      <c r="D1976" s="216"/>
      <c r="E1976" s="216"/>
      <c r="F1976" s="216"/>
      <c r="G1976" s="216"/>
    </row>
    <row r="1977">
      <c r="A1977" s="157"/>
      <c r="B1977" s="216"/>
      <c r="C1977" s="157"/>
      <c r="D1977" s="216"/>
      <c r="E1977" s="216"/>
      <c r="F1977" s="216"/>
      <c r="G1977" s="216"/>
    </row>
    <row r="1978">
      <c r="A1978" s="157"/>
      <c r="B1978" s="216"/>
      <c r="C1978" s="157"/>
      <c r="D1978" s="216"/>
      <c r="E1978" s="216"/>
      <c r="F1978" s="216"/>
      <c r="G1978" s="216"/>
    </row>
    <row r="1979">
      <c r="A1979" s="157"/>
      <c r="B1979" s="216"/>
      <c r="C1979" s="157"/>
      <c r="D1979" s="216"/>
      <c r="E1979" s="216"/>
      <c r="F1979" s="216"/>
      <c r="G1979" s="216"/>
    </row>
    <row r="1980">
      <c r="A1980" s="157"/>
      <c r="B1980" s="216"/>
      <c r="C1980" s="157"/>
      <c r="D1980" s="216"/>
      <c r="E1980" s="216"/>
      <c r="F1980" s="216"/>
      <c r="G1980" s="216"/>
    </row>
    <row r="1981">
      <c r="A1981" s="157"/>
      <c r="B1981" s="216"/>
      <c r="C1981" s="157"/>
      <c r="D1981" s="216"/>
      <c r="E1981" s="216"/>
      <c r="F1981" s="216"/>
      <c r="G1981" s="216"/>
    </row>
    <row r="1982">
      <c r="A1982" s="157"/>
      <c r="B1982" s="216"/>
      <c r="C1982" s="157"/>
      <c r="D1982" s="216"/>
      <c r="E1982" s="216"/>
      <c r="F1982" s="216"/>
      <c r="G1982" s="216"/>
    </row>
    <row r="1983">
      <c r="A1983" s="157"/>
      <c r="B1983" s="216"/>
      <c r="C1983" s="157"/>
      <c r="D1983" s="216"/>
      <c r="E1983" s="216"/>
      <c r="F1983" s="216"/>
      <c r="G1983" s="216"/>
    </row>
    <row r="1984">
      <c r="A1984" s="157"/>
      <c r="B1984" s="216"/>
      <c r="C1984" s="157"/>
      <c r="D1984" s="216"/>
      <c r="E1984" s="216"/>
      <c r="F1984" s="216"/>
      <c r="G1984" s="216"/>
    </row>
    <row r="1985">
      <c r="A1985" s="157"/>
      <c r="B1985" s="216"/>
      <c r="C1985" s="157"/>
      <c r="D1985" s="216"/>
      <c r="E1985" s="216"/>
      <c r="F1985" s="216"/>
      <c r="G1985" s="216"/>
    </row>
    <row r="1986">
      <c r="A1986" s="157"/>
      <c r="B1986" s="216"/>
      <c r="C1986" s="157"/>
      <c r="D1986" s="216"/>
      <c r="E1986" s="216"/>
      <c r="F1986" s="216"/>
      <c r="G1986" s="216"/>
    </row>
    <row r="1987">
      <c r="A1987" s="157"/>
      <c r="B1987" s="216"/>
      <c r="C1987" s="157"/>
      <c r="D1987" s="216"/>
      <c r="E1987" s="216"/>
      <c r="F1987" s="216"/>
      <c r="G1987" s="216"/>
    </row>
    <row r="1988">
      <c r="A1988" s="157"/>
      <c r="B1988" s="216"/>
      <c r="C1988" s="157"/>
      <c r="D1988" s="216"/>
      <c r="E1988" s="216"/>
      <c r="F1988" s="216"/>
      <c r="G1988" s="216"/>
    </row>
    <row r="1989">
      <c r="A1989" s="157"/>
      <c r="B1989" s="216"/>
      <c r="C1989" s="157"/>
      <c r="D1989" s="216"/>
      <c r="E1989" s="216"/>
      <c r="F1989" s="216"/>
      <c r="G1989" s="216"/>
    </row>
    <row r="1990">
      <c r="A1990" s="157"/>
      <c r="B1990" s="216"/>
      <c r="C1990" s="157"/>
      <c r="D1990" s="216"/>
      <c r="E1990" s="216"/>
      <c r="F1990" s="216"/>
      <c r="G1990" s="216"/>
    </row>
    <row r="1991">
      <c r="A1991" s="157"/>
      <c r="B1991" s="216"/>
      <c r="C1991" s="157"/>
      <c r="D1991" s="216"/>
      <c r="E1991" s="216"/>
      <c r="F1991" s="216"/>
      <c r="G1991" s="216"/>
    </row>
    <row r="1992">
      <c r="A1992" s="157"/>
      <c r="B1992" s="216"/>
      <c r="C1992" s="157"/>
      <c r="D1992" s="216"/>
      <c r="E1992" s="216"/>
      <c r="F1992" s="216"/>
      <c r="G1992" s="216"/>
    </row>
    <row r="1993">
      <c r="A1993" s="157"/>
      <c r="B1993" s="216"/>
      <c r="C1993" s="157"/>
      <c r="D1993" s="216"/>
      <c r="E1993" s="216"/>
      <c r="F1993" s="216"/>
      <c r="G1993" s="216"/>
    </row>
    <row r="1994">
      <c r="A1994" s="157"/>
      <c r="B1994" s="216"/>
      <c r="C1994" s="157"/>
      <c r="D1994" s="216"/>
      <c r="E1994" s="216"/>
      <c r="F1994" s="216"/>
      <c r="G1994" s="216"/>
    </row>
    <row r="1995">
      <c r="A1995" s="157"/>
      <c r="B1995" s="216"/>
      <c r="C1995" s="157"/>
      <c r="D1995" s="216"/>
      <c r="E1995" s="216"/>
      <c r="F1995" s="216"/>
      <c r="G1995" s="216"/>
    </row>
    <row r="1996">
      <c r="A1996" s="157"/>
      <c r="B1996" s="216"/>
      <c r="C1996" s="157"/>
      <c r="D1996" s="216"/>
      <c r="E1996" s="216"/>
      <c r="F1996" s="216"/>
      <c r="G1996" s="216"/>
    </row>
    <row r="1997">
      <c r="A1997" s="157"/>
      <c r="B1997" s="216"/>
      <c r="C1997" s="157"/>
      <c r="D1997" s="216"/>
      <c r="E1997" s="216"/>
      <c r="F1997" s="216"/>
      <c r="G1997" s="216"/>
    </row>
    <row r="1998">
      <c r="A1998" s="157"/>
      <c r="B1998" s="216"/>
      <c r="C1998" s="157"/>
      <c r="D1998" s="216"/>
      <c r="E1998" s="216"/>
      <c r="F1998" s="216"/>
      <c r="G1998" s="216"/>
    </row>
    <row r="1999">
      <c r="A1999" s="157"/>
      <c r="B1999" s="216"/>
      <c r="C1999" s="157"/>
      <c r="D1999" s="216"/>
      <c r="E1999" s="216"/>
      <c r="F1999" s="216"/>
      <c r="G1999" s="216"/>
    </row>
    <row r="2000">
      <c r="A2000" s="157"/>
      <c r="B2000" s="216"/>
      <c r="C2000" s="157"/>
      <c r="D2000" s="216"/>
      <c r="E2000" s="216"/>
      <c r="F2000" s="216"/>
      <c r="G2000" s="216"/>
    </row>
    <row r="2001">
      <c r="A2001" s="157"/>
      <c r="B2001" s="216"/>
      <c r="C2001" s="157"/>
      <c r="D2001" s="216"/>
      <c r="E2001" s="216"/>
      <c r="F2001" s="216"/>
      <c r="G2001" s="216"/>
    </row>
    <row r="2002">
      <c r="A2002" s="157"/>
      <c r="B2002" s="216"/>
      <c r="C2002" s="157"/>
      <c r="D2002" s="216"/>
      <c r="E2002" s="216"/>
      <c r="F2002" s="216"/>
      <c r="G2002" s="216"/>
    </row>
    <row r="2003">
      <c r="A2003" s="157"/>
      <c r="B2003" s="216"/>
      <c r="C2003" s="157"/>
      <c r="D2003" s="216"/>
      <c r="E2003" s="216"/>
      <c r="F2003" s="216"/>
      <c r="G2003" s="216"/>
    </row>
    <row r="2004">
      <c r="A2004" s="157"/>
      <c r="B2004" s="216"/>
      <c r="C2004" s="157"/>
      <c r="D2004" s="216"/>
      <c r="E2004" s="216"/>
      <c r="F2004" s="216"/>
      <c r="G2004" s="216"/>
    </row>
    <row r="2005">
      <c r="A2005" s="157"/>
      <c r="B2005" s="216"/>
      <c r="C2005" s="157"/>
      <c r="D2005" s="216"/>
      <c r="E2005" s="216"/>
      <c r="F2005" s="216"/>
      <c r="G2005" s="216"/>
    </row>
    <row r="2006">
      <c r="A2006" s="157"/>
      <c r="B2006" s="216"/>
      <c r="C2006" s="157"/>
      <c r="D2006" s="216"/>
      <c r="E2006" s="216"/>
      <c r="F2006" s="216"/>
      <c r="G2006" s="216"/>
    </row>
    <row r="2007">
      <c r="A2007" s="157"/>
      <c r="B2007" s="216"/>
      <c r="C2007" s="157"/>
      <c r="D2007" s="216"/>
      <c r="E2007" s="216"/>
      <c r="F2007" s="216"/>
      <c r="G2007" s="216"/>
    </row>
    <row r="2008">
      <c r="A2008" s="157"/>
      <c r="B2008" s="216"/>
      <c r="C2008" s="157"/>
      <c r="D2008" s="216"/>
      <c r="E2008" s="216"/>
      <c r="F2008" s="216"/>
      <c r="G2008" s="216"/>
    </row>
    <row r="2009">
      <c r="A2009" s="157"/>
      <c r="B2009" s="216"/>
      <c r="C2009" s="157"/>
      <c r="D2009" s="216"/>
      <c r="E2009" s="216"/>
      <c r="F2009" s="216"/>
      <c r="G2009" s="216"/>
    </row>
    <row r="2010">
      <c r="A2010" s="157"/>
      <c r="B2010" s="216"/>
      <c r="C2010" s="157"/>
      <c r="D2010" s="216"/>
      <c r="E2010" s="216"/>
      <c r="F2010" s="216"/>
      <c r="G2010" s="216"/>
    </row>
    <row r="2011">
      <c r="A2011" s="157"/>
      <c r="B2011" s="216"/>
      <c r="C2011" s="157"/>
      <c r="D2011" s="216"/>
      <c r="E2011" s="216"/>
      <c r="F2011" s="216"/>
      <c r="G2011" s="216"/>
    </row>
    <row r="2012">
      <c r="A2012" s="157"/>
      <c r="B2012" s="216"/>
      <c r="C2012" s="157"/>
      <c r="D2012" s="216"/>
      <c r="E2012" s="216"/>
      <c r="F2012" s="216"/>
      <c r="G2012" s="216"/>
    </row>
    <row r="2013">
      <c r="A2013" s="157"/>
      <c r="B2013" s="216"/>
      <c r="C2013" s="157"/>
      <c r="D2013" s="216"/>
      <c r="E2013" s="216"/>
      <c r="F2013" s="216"/>
      <c r="G2013" s="216"/>
    </row>
    <row r="2014">
      <c r="A2014" s="157"/>
      <c r="B2014" s="216"/>
      <c r="C2014" s="157"/>
      <c r="D2014" s="216"/>
      <c r="E2014" s="216"/>
      <c r="F2014" s="216"/>
      <c r="G2014" s="216"/>
    </row>
    <row r="2015">
      <c r="A2015" s="157"/>
      <c r="B2015" s="216"/>
      <c r="C2015" s="157"/>
      <c r="D2015" s="216"/>
      <c r="E2015" s="216"/>
      <c r="F2015" s="216"/>
      <c r="G2015" s="216"/>
    </row>
    <row r="2016">
      <c r="A2016" s="157"/>
      <c r="B2016" s="216"/>
      <c r="C2016" s="157"/>
      <c r="D2016" s="216"/>
      <c r="E2016" s="216"/>
      <c r="F2016" s="216"/>
      <c r="G2016" s="216"/>
    </row>
    <row r="2017">
      <c r="A2017" s="157"/>
      <c r="B2017" s="216"/>
      <c r="C2017" s="157"/>
      <c r="D2017" s="216"/>
      <c r="E2017" s="216"/>
      <c r="F2017" s="216"/>
      <c r="G2017" s="216"/>
    </row>
    <row r="2018">
      <c r="A2018" s="157"/>
      <c r="B2018" s="216"/>
      <c r="C2018" s="157"/>
      <c r="D2018" s="216"/>
      <c r="E2018" s="216"/>
      <c r="F2018" s="216"/>
      <c r="G2018" s="216"/>
    </row>
    <row r="2019">
      <c r="A2019" s="157"/>
      <c r="B2019" s="216"/>
      <c r="C2019" s="157"/>
      <c r="D2019" s="216"/>
      <c r="E2019" s="216"/>
      <c r="F2019" s="216"/>
      <c r="G2019" s="216"/>
    </row>
    <row r="2020">
      <c r="A2020" s="157"/>
      <c r="B2020" s="216"/>
      <c r="C2020" s="157"/>
      <c r="D2020" s="216"/>
      <c r="E2020" s="216"/>
      <c r="F2020" s="216"/>
      <c r="G2020" s="216"/>
    </row>
    <row r="2021">
      <c r="A2021" s="157"/>
      <c r="B2021" s="216"/>
      <c r="C2021" s="157"/>
      <c r="D2021" s="216"/>
      <c r="E2021" s="216"/>
      <c r="F2021" s="216"/>
      <c r="G2021" s="216"/>
    </row>
    <row r="2022">
      <c r="A2022" s="157"/>
      <c r="B2022" s="216"/>
      <c r="C2022" s="157"/>
      <c r="D2022" s="216"/>
      <c r="E2022" s="216"/>
      <c r="F2022" s="216"/>
      <c r="G2022" s="216"/>
    </row>
    <row r="2023">
      <c r="A2023" s="157"/>
      <c r="B2023" s="216"/>
      <c r="C2023" s="157"/>
      <c r="D2023" s="216"/>
      <c r="E2023" s="216"/>
      <c r="F2023" s="216"/>
      <c r="G2023" s="216"/>
    </row>
    <row r="2024">
      <c r="A2024" s="157"/>
      <c r="B2024" s="216"/>
      <c r="C2024" s="157"/>
      <c r="D2024" s="216"/>
      <c r="E2024" s="216"/>
      <c r="F2024" s="216"/>
      <c r="G2024" s="216"/>
    </row>
    <row r="2025">
      <c r="A2025" s="157"/>
      <c r="B2025" s="216"/>
      <c r="C2025" s="157"/>
      <c r="D2025" s="216"/>
      <c r="E2025" s="216"/>
      <c r="F2025" s="216"/>
      <c r="G2025" s="216"/>
    </row>
    <row r="2026">
      <c r="A2026" s="157"/>
      <c r="B2026" s="216"/>
      <c r="C2026" s="157"/>
      <c r="D2026" s="216"/>
      <c r="E2026" s="216"/>
      <c r="F2026" s="216"/>
      <c r="G2026" s="216"/>
    </row>
    <row r="2027">
      <c r="A2027" s="157"/>
      <c r="B2027" s="216"/>
      <c r="C2027" s="157"/>
      <c r="D2027" s="216"/>
      <c r="E2027" s="216"/>
      <c r="F2027" s="216"/>
      <c r="G2027" s="216"/>
    </row>
    <row r="2028">
      <c r="A2028" s="157"/>
      <c r="B2028" s="216"/>
      <c r="C2028" s="157"/>
      <c r="D2028" s="216"/>
      <c r="E2028" s="216"/>
      <c r="F2028" s="216"/>
      <c r="G2028" s="216"/>
    </row>
    <row r="2029">
      <c r="A2029" s="157"/>
      <c r="B2029" s="216"/>
      <c r="C2029" s="157"/>
      <c r="D2029" s="216"/>
      <c r="E2029" s="216"/>
      <c r="F2029" s="216"/>
      <c r="G2029" s="216"/>
    </row>
    <row r="2030">
      <c r="A2030" s="157"/>
      <c r="B2030" s="216"/>
      <c r="C2030" s="157"/>
      <c r="D2030" s="216"/>
      <c r="E2030" s="216"/>
      <c r="F2030" s="216"/>
      <c r="G2030" s="216"/>
    </row>
    <row r="2031">
      <c r="A2031" s="157"/>
      <c r="B2031" s="216"/>
      <c r="C2031" s="157"/>
      <c r="D2031" s="216"/>
      <c r="E2031" s="216"/>
      <c r="F2031" s="216"/>
      <c r="G2031" s="216"/>
    </row>
    <row r="2032">
      <c r="A2032" s="157"/>
      <c r="B2032" s="216"/>
      <c r="C2032" s="157"/>
      <c r="D2032" s="216"/>
      <c r="E2032" s="216"/>
      <c r="F2032" s="216"/>
      <c r="G2032" s="216"/>
    </row>
    <row r="2033">
      <c r="A2033" s="157"/>
      <c r="B2033" s="216"/>
      <c r="C2033" s="157"/>
      <c r="D2033" s="216"/>
      <c r="E2033" s="216"/>
      <c r="F2033" s="216"/>
      <c r="G2033" s="216"/>
    </row>
    <row r="2034">
      <c r="A2034" s="157"/>
      <c r="B2034" s="216"/>
      <c r="C2034" s="157"/>
      <c r="D2034" s="216"/>
      <c r="E2034" s="216"/>
      <c r="F2034" s="216"/>
      <c r="G2034" s="216"/>
    </row>
    <row r="2035">
      <c r="A2035" s="157"/>
      <c r="B2035" s="216"/>
      <c r="C2035" s="157"/>
      <c r="D2035" s="216"/>
      <c r="E2035" s="216"/>
      <c r="F2035" s="216"/>
      <c r="G2035" s="216"/>
    </row>
    <row r="2036">
      <c r="A2036" s="157"/>
      <c r="B2036" s="216"/>
      <c r="C2036" s="157"/>
      <c r="D2036" s="216"/>
      <c r="E2036" s="216"/>
      <c r="F2036" s="216"/>
      <c r="G2036" s="216"/>
    </row>
    <row r="2037">
      <c r="A2037" s="157"/>
      <c r="B2037" s="216"/>
      <c r="C2037" s="157"/>
      <c r="D2037" s="216"/>
      <c r="E2037" s="216"/>
      <c r="F2037" s="216"/>
      <c r="G2037" s="216"/>
    </row>
    <row r="2038">
      <c r="A2038" s="157"/>
      <c r="B2038" s="216"/>
      <c r="C2038" s="157"/>
      <c r="D2038" s="216"/>
      <c r="E2038" s="216"/>
      <c r="F2038" s="216"/>
      <c r="G2038" s="216"/>
    </row>
    <row r="2039">
      <c r="A2039" s="157"/>
      <c r="B2039" s="216"/>
      <c r="C2039" s="157"/>
      <c r="D2039" s="216"/>
      <c r="E2039" s="216"/>
      <c r="F2039" s="216"/>
      <c r="G2039" s="216"/>
    </row>
    <row r="2040">
      <c r="A2040" s="157"/>
      <c r="B2040" s="216"/>
      <c r="C2040" s="157"/>
      <c r="D2040" s="216"/>
      <c r="E2040" s="216"/>
      <c r="F2040" s="216"/>
      <c r="G2040" s="216"/>
    </row>
    <row r="2041">
      <c r="A2041" s="157"/>
      <c r="B2041" s="216"/>
      <c r="C2041" s="157"/>
      <c r="D2041" s="216"/>
      <c r="E2041" s="216"/>
      <c r="F2041" s="216"/>
      <c r="G2041" s="216"/>
    </row>
    <row r="2042">
      <c r="A2042" s="157"/>
      <c r="B2042" s="216"/>
      <c r="C2042" s="157"/>
      <c r="D2042" s="216"/>
      <c r="E2042" s="216"/>
      <c r="F2042" s="216"/>
      <c r="G2042" s="216"/>
    </row>
    <row r="2043">
      <c r="A2043" s="157"/>
      <c r="B2043" s="216"/>
      <c r="C2043" s="157"/>
      <c r="D2043" s="216"/>
      <c r="E2043" s="216"/>
      <c r="F2043" s="216"/>
      <c r="G2043" s="216"/>
    </row>
    <row r="2044">
      <c r="A2044" s="157"/>
      <c r="B2044" s="216"/>
      <c r="C2044" s="157"/>
      <c r="D2044" s="216"/>
      <c r="E2044" s="216"/>
      <c r="F2044" s="216"/>
      <c r="G2044" s="216"/>
    </row>
    <row r="2045">
      <c r="A2045" s="157"/>
      <c r="B2045" s="216"/>
      <c r="C2045" s="157"/>
      <c r="D2045" s="216"/>
      <c r="E2045" s="216"/>
      <c r="F2045" s="216"/>
      <c r="G2045" s="216"/>
    </row>
    <row r="2046">
      <c r="A2046" s="157"/>
      <c r="B2046" s="216"/>
      <c r="C2046" s="157"/>
      <c r="D2046" s="216"/>
      <c r="E2046" s="216"/>
      <c r="F2046" s="216"/>
      <c r="G2046" s="216"/>
    </row>
    <row r="2047">
      <c r="A2047" s="157"/>
      <c r="B2047" s="216"/>
      <c r="C2047" s="157"/>
      <c r="D2047" s="216"/>
      <c r="E2047" s="216"/>
      <c r="F2047" s="216"/>
      <c r="G2047" s="216"/>
    </row>
    <row r="2048">
      <c r="A2048" s="157"/>
      <c r="B2048" s="216"/>
      <c r="C2048" s="157"/>
      <c r="D2048" s="216"/>
      <c r="E2048" s="216"/>
      <c r="F2048" s="216"/>
      <c r="G2048" s="216"/>
    </row>
    <row r="2049">
      <c r="A2049" s="157"/>
      <c r="B2049" s="216"/>
      <c r="C2049" s="157"/>
      <c r="D2049" s="216"/>
      <c r="E2049" s="216"/>
      <c r="F2049" s="216"/>
      <c r="G2049" s="216"/>
    </row>
    <row r="2050">
      <c r="A2050" s="157"/>
      <c r="B2050" s="216"/>
      <c r="C2050" s="157"/>
      <c r="D2050" s="216"/>
      <c r="E2050" s="216"/>
      <c r="F2050" s="216"/>
      <c r="G2050" s="216"/>
    </row>
    <row r="2051">
      <c r="A2051" s="157"/>
      <c r="B2051" s="216"/>
      <c r="C2051" s="157"/>
      <c r="D2051" s="216"/>
      <c r="E2051" s="216"/>
      <c r="F2051" s="216"/>
      <c r="G2051" s="216"/>
    </row>
    <row r="2052">
      <c r="A2052" s="157"/>
      <c r="B2052" s="216"/>
      <c r="C2052" s="157"/>
      <c r="D2052" s="216"/>
      <c r="E2052" s="216"/>
      <c r="F2052" s="216"/>
      <c r="G2052" s="216"/>
    </row>
    <row r="2053">
      <c r="A2053" s="157"/>
      <c r="B2053" s="216"/>
      <c r="C2053" s="157"/>
      <c r="D2053" s="216"/>
      <c r="E2053" s="216"/>
      <c r="F2053" s="216"/>
      <c r="G2053" s="216"/>
    </row>
    <row r="2054">
      <c r="A2054" s="157"/>
      <c r="B2054" s="216"/>
      <c r="C2054" s="157"/>
      <c r="D2054" s="216"/>
      <c r="E2054" s="216"/>
      <c r="F2054" s="216"/>
      <c r="G2054" s="216"/>
    </row>
    <row r="2055">
      <c r="A2055" s="157"/>
      <c r="B2055" s="216"/>
      <c r="C2055" s="157"/>
      <c r="D2055" s="216"/>
      <c r="E2055" s="216"/>
      <c r="F2055" s="216"/>
      <c r="G2055" s="216"/>
    </row>
    <row r="2056">
      <c r="A2056" s="157"/>
      <c r="B2056" s="216"/>
      <c r="C2056" s="157"/>
      <c r="D2056" s="216"/>
      <c r="E2056" s="216"/>
      <c r="F2056" s="216"/>
      <c r="G2056" s="216"/>
    </row>
    <row r="2057">
      <c r="A2057" s="157"/>
      <c r="B2057" s="216"/>
      <c r="C2057" s="157"/>
      <c r="D2057" s="216"/>
      <c r="E2057" s="216"/>
      <c r="F2057" s="216"/>
      <c r="G2057" s="216"/>
    </row>
    <row r="2058">
      <c r="A2058" s="157"/>
      <c r="B2058" s="216"/>
      <c r="C2058" s="157"/>
      <c r="D2058" s="216"/>
      <c r="E2058" s="216"/>
      <c r="F2058" s="216"/>
      <c r="G2058" s="216"/>
    </row>
    <row r="2059">
      <c r="A2059" s="157"/>
      <c r="B2059" s="216"/>
      <c r="C2059" s="157"/>
      <c r="D2059" s="216"/>
      <c r="E2059" s="216"/>
      <c r="F2059" s="216"/>
      <c r="G2059" s="216"/>
    </row>
    <row r="2060">
      <c r="A2060" s="157"/>
      <c r="B2060" s="216"/>
      <c r="C2060" s="157"/>
      <c r="D2060" s="216"/>
      <c r="E2060" s="216"/>
      <c r="F2060" s="216"/>
      <c r="G2060" s="216"/>
    </row>
    <row r="2061">
      <c r="A2061" s="157"/>
      <c r="B2061" s="216"/>
      <c r="C2061" s="157"/>
      <c r="D2061" s="216"/>
      <c r="E2061" s="216"/>
      <c r="F2061" s="216"/>
      <c r="G2061" s="216"/>
    </row>
    <row r="2062">
      <c r="A2062" s="157"/>
      <c r="B2062" s="216"/>
      <c r="C2062" s="157"/>
      <c r="D2062" s="216"/>
      <c r="E2062" s="216"/>
      <c r="F2062" s="216"/>
      <c r="G2062" s="216"/>
    </row>
    <row r="2063">
      <c r="A2063" s="157"/>
      <c r="B2063" s="216"/>
      <c r="C2063" s="157"/>
      <c r="D2063" s="216"/>
      <c r="E2063" s="216"/>
      <c r="F2063" s="216"/>
      <c r="G2063" s="216"/>
    </row>
    <row r="2064">
      <c r="A2064" s="157"/>
      <c r="B2064" s="216"/>
      <c r="C2064" s="157"/>
      <c r="D2064" s="216"/>
      <c r="E2064" s="216"/>
      <c r="F2064" s="216"/>
      <c r="G2064" s="216"/>
    </row>
    <row r="2065">
      <c r="A2065" s="157"/>
      <c r="B2065" s="216"/>
      <c r="C2065" s="157"/>
      <c r="D2065" s="216"/>
      <c r="E2065" s="216"/>
      <c r="F2065" s="216"/>
      <c r="G2065" s="216"/>
    </row>
    <row r="2066">
      <c r="A2066" s="157"/>
      <c r="B2066" s="216"/>
      <c r="C2066" s="157"/>
      <c r="D2066" s="216"/>
      <c r="E2066" s="216"/>
      <c r="F2066" s="216"/>
      <c r="G2066" s="216"/>
    </row>
    <row r="2067">
      <c r="A2067" s="157"/>
      <c r="B2067" s="216"/>
      <c r="C2067" s="157"/>
      <c r="D2067" s="216"/>
      <c r="E2067" s="216"/>
      <c r="F2067" s="216"/>
      <c r="G2067" s="216"/>
    </row>
    <row r="2068">
      <c r="A2068" s="157"/>
      <c r="B2068" s="216"/>
      <c r="C2068" s="157"/>
      <c r="D2068" s="216"/>
      <c r="E2068" s="216"/>
      <c r="F2068" s="216"/>
      <c r="G2068" s="216"/>
    </row>
    <row r="2069">
      <c r="A2069" s="157"/>
      <c r="B2069" s="216"/>
      <c r="C2069" s="157"/>
      <c r="D2069" s="216"/>
      <c r="E2069" s="216"/>
      <c r="F2069" s="216"/>
      <c r="G2069" s="216"/>
    </row>
    <row r="2070">
      <c r="A2070" s="157"/>
      <c r="B2070" s="216"/>
      <c r="C2070" s="157"/>
      <c r="D2070" s="216"/>
      <c r="E2070" s="216"/>
      <c r="F2070" s="216"/>
      <c r="G2070" s="216"/>
    </row>
    <row r="2071">
      <c r="A2071" s="157"/>
      <c r="B2071" s="216"/>
      <c r="C2071" s="157"/>
      <c r="D2071" s="216"/>
      <c r="E2071" s="216"/>
      <c r="F2071" s="216"/>
      <c r="G2071" s="216"/>
    </row>
    <row r="2072">
      <c r="A2072" s="157"/>
      <c r="B2072" s="216"/>
      <c r="C2072" s="157"/>
      <c r="D2072" s="216"/>
      <c r="E2072" s="216"/>
      <c r="F2072" s="216"/>
      <c r="G2072" s="216"/>
    </row>
    <row r="2073">
      <c r="A2073" s="157"/>
      <c r="B2073" s="216"/>
      <c r="C2073" s="157"/>
      <c r="D2073" s="216"/>
      <c r="E2073" s="216"/>
      <c r="F2073" s="216"/>
      <c r="G2073" s="216"/>
    </row>
    <row r="2074">
      <c r="A2074" s="157"/>
      <c r="B2074" s="216"/>
      <c r="C2074" s="157"/>
      <c r="D2074" s="216"/>
      <c r="E2074" s="216"/>
      <c r="F2074" s="216"/>
      <c r="G2074" s="216"/>
    </row>
    <row r="2075">
      <c r="A2075" s="157"/>
      <c r="B2075" s="216"/>
      <c r="C2075" s="157"/>
      <c r="D2075" s="216"/>
      <c r="E2075" s="216"/>
      <c r="F2075" s="216"/>
      <c r="G2075" s="216"/>
    </row>
    <row r="2076">
      <c r="A2076" s="157"/>
      <c r="B2076" s="216"/>
      <c r="C2076" s="157"/>
      <c r="D2076" s="216"/>
      <c r="E2076" s="216"/>
      <c r="F2076" s="216"/>
      <c r="G2076" s="216"/>
    </row>
    <row r="2077">
      <c r="A2077" s="157"/>
      <c r="B2077" s="216"/>
      <c r="C2077" s="157"/>
      <c r="D2077" s="216"/>
      <c r="E2077" s="216"/>
      <c r="F2077" s="216"/>
      <c r="G2077" s="216"/>
    </row>
    <row r="2078">
      <c r="A2078" s="157"/>
      <c r="B2078" s="216"/>
      <c r="C2078" s="157"/>
      <c r="D2078" s="216"/>
      <c r="E2078" s="216"/>
      <c r="F2078" s="216"/>
      <c r="G2078" s="216"/>
    </row>
    <row r="2079">
      <c r="A2079" s="157"/>
      <c r="B2079" s="216"/>
      <c r="C2079" s="157"/>
      <c r="D2079" s="216"/>
      <c r="E2079" s="216"/>
      <c r="F2079" s="216"/>
      <c r="G2079" s="216"/>
    </row>
    <row r="2080">
      <c r="A2080" s="157"/>
      <c r="B2080" s="216"/>
      <c r="C2080" s="157"/>
      <c r="D2080" s="216"/>
      <c r="E2080" s="216"/>
      <c r="F2080" s="216"/>
      <c r="G2080" s="21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5.38"/>
    <col customWidth="1" min="3" max="3" width="18.63"/>
    <col customWidth="1" min="4" max="4" width="22.75"/>
    <col customWidth="1" min="5" max="5" width="28.38"/>
    <col customWidth="1" min="6" max="6" width="19.63"/>
    <col customWidth="1" min="7" max="7" width="5.63"/>
    <col customWidth="1" min="11" max="11" width="36.13"/>
  </cols>
  <sheetData>
    <row r="1">
      <c r="A1" s="157"/>
      <c r="B1" s="157" t="s">
        <v>6155</v>
      </c>
      <c r="K1" s="173"/>
    </row>
    <row r="2">
      <c r="A2" s="216"/>
      <c r="B2" s="216"/>
      <c r="C2" s="216"/>
      <c r="D2" s="216"/>
      <c r="E2" s="216"/>
      <c r="F2" s="216"/>
      <c r="G2" s="173"/>
      <c r="H2" s="173"/>
      <c r="I2" s="173"/>
      <c r="J2" s="173"/>
      <c r="K2" s="173"/>
    </row>
    <row r="3">
      <c r="A3" s="217" t="s">
        <v>6</v>
      </c>
      <c r="B3" s="217" t="s">
        <v>3571</v>
      </c>
      <c r="C3" s="217" t="s">
        <v>3572</v>
      </c>
      <c r="D3" s="217" t="s">
        <v>3573</v>
      </c>
      <c r="E3" s="217" t="s">
        <v>3575</v>
      </c>
      <c r="F3" s="217" t="s">
        <v>26</v>
      </c>
      <c r="G3" s="173"/>
      <c r="H3" s="157" t="s">
        <v>3580</v>
      </c>
      <c r="I3" s="157" t="s">
        <v>3581</v>
      </c>
      <c r="J3" s="157" t="s">
        <v>14</v>
      </c>
      <c r="K3" s="173"/>
    </row>
    <row r="4">
      <c r="A4" s="218">
        <v>1.0</v>
      </c>
      <c r="B4" s="218" t="s">
        <v>71</v>
      </c>
      <c r="C4" s="219" t="str">
        <f t="shared" ref="C4:C630" si="1">H4&amp;"/"&amp;I4&amp;"/"&amp;J4</f>
        <v>PC/1064/2025</v>
      </c>
      <c r="D4" s="218" t="b">
        <v>1</v>
      </c>
      <c r="E4" s="218" t="b">
        <v>0</v>
      </c>
      <c r="F4" s="219"/>
      <c r="G4" s="173"/>
      <c r="H4" s="157" t="s">
        <v>6156</v>
      </c>
      <c r="I4" s="157">
        <v>1064.0</v>
      </c>
      <c r="J4" s="157">
        <v>2025.0</v>
      </c>
      <c r="K4" s="162" t="s">
        <v>6157</v>
      </c>
    </row>
    <row r="5">
      <c r="A5" s="218">
        <f t="shared" ref="A5:A630" si="2">A4+1</f>
        <v>2</v>
      </c>
      <c r="B5" s="218" t="s">
        <v>71</v>
      </c>
      <c r="C5" s="219" t="str">
        <f t="shared" si="1"/>
        <v>PC/1065/2025</v>
      </c>
      <c r="D5" s="218" t="b">
        <v>1</v>
      </c>
      <c r="E5" s="219" t="b">
        <v>0</v>
      </c>
      <c r="F5" s="219"/>
      <c r="G5" s="173"/>
      <c r="H5" s="157" t="s">
        <v>6156</v>
      </c>
      <c r="I5" s="157">
        <f t="shared" ref="I5:I629" si="3">I4+1</f>
        <v>1065</v>
      </c>
      <c r="J5" s="157">
        <v>2025.0</v>
      </c>
      <c r="K5" s="162" t="s">
        <v>6157</v>
      </c>
    </row>
    <row r="6">
      <c r="A6" s="218">
        <f t="shared" si="2"/>
        <v>3</v>
      </c>
      <c r="B6" s="218" t="s">
        <v>71</v>
      </c>
      <c r="C6" s="219" t="str">
        <f t="shared" si="1"/>
        <v>PC/1066/2025</v>
      </c>
      <c r="D6" s="218" t="b">
        <v>1</v>
      </c>
      <c r="E6" s="219" t="b">
        <v>0</v>
      </c>
      <c r="F6" s="219"/>
      <c r="G6" s="173"/>
      <c r="H6" s="157" t="s">
        <v>6156</v>
      </c>
      <c r="I6" s="157">
        <f t="shared" si="3"/>
        <v>1066</v>
      </c>
      <c r="J6" s="157">
        <v>2025.0</v>
      </c>
      <c r="K6" s="162" t="s">
        <v>6157</v>
      </c>
    </row>
    <row r="7">
      <c r="A7" s="218">
        <f t="shared" si="2"/>
        <v>4</v>
      </c>
      <c r="B7" s="218" t="s">
        <v>71</v>
      </c>
      <c r="C7" s="219" t="str">
        <f t="shared" si="1"/>
        <v>PC/1067/2025</v>
      </c>
      <c r="D7" s="218" t="b">
        <v>1</v>
      </c>
      <c r="E7" s="219" t="b">
        <v>0</v>
      </c>
      <c r="F7" s="219"/>
      <c r="G7" s="173"/>
      <c r="H7" s="157" t="s">
        <v>6156</v>
      </c>
      <c r="I7" s="157">
        <f t="shared" si="3"/>
        <v>1067</v>
      </c>
      <c r="J7" s="157">
        <v>2025.0</v>
      </c>
      <c r="K7" s="162" t="s">
        <v>6157</v>
      </c>
    </row>
    <row r="8">
      <c r="A8" s="218">
        <f t="shared" si="2"/>
        <v>5</v>
      </c>
      <c r="B8" s="218" t="s">
        <v>71</v>
      </c>
      <c r="C8" s="219" t="str">
        <f t="shared" si="1"/>
        <v>PC/1068/2025</v>
      </c>
      <c r="D8" s="218" t="b">
        <v>1</v>
      </c>
      <c r="E8" s="219" t="b">
        <v>0</v>
      </c>
      <c r="F8" s="219"/>
      <c r="G8" s="173"/>
      <c r="H8" s="157" t="s">
        <v>6156</v>
      </c>
      <c r="I8" s="157">
        <f t="shared" si="3"/>
        <v>1068</v>
      </c>
      <c r="J8" s="157">
        <v>2025.0</v>
      </c>
      <c r="K8" s="162" t="s">
        <v>6157</v>
      </c>
    </row>
    <row r="9">
      <c r="A9" s="218">
        <f t="shared" si="2"/>
        <v>6</v>
      </c>
      <c r="B9" s="218" t="s">
        <v>71</v>
      </c>
      <c r="C9" s="219" t="str">
        <f t="shared" si="1"/>
        <v>PC/1069/2025</v>
      </c>
      <c r="D9" s="218" t="b">
        <v>1</v>
      </c>
      <c r="E9" s="219" t="b">
        <v>0</v>
      </c>
      <c r="F9" s="219"/>
      <c r="G9" s="173"/>
      <c r="H9" s="157" t="s">
        <v>6156</v>
      </c>
      <c r="I9" s="157">
        <f t="shared" si="3"/>
        <v>1069</v>
      </c>
      <c r="J9" s="157">
        <v>2025.0</v>
      </c>
      <c r="K9" s="162" t="s">
        <v>6157</v>
      </c>
    </row>
    <row r="10">
      <c r="A10" s="218">
        <f t="shared" si="2"/>
        <v>7</v>
      </c>
      <c r="B10" s="218" t="s">
        <v>71</v>
      </c>
      <c r="C10" s="219" t="str">
        <f t="shared" si="1"/>
        <v>PC/1070/2025</v>
      </c>
      <c r="D10" s="218" t="b">
        <v>1</v>
      </c>
      <c r="E10" s="219" t="b">
        <v>0</v>
      </c>
      <c r="F10" s="219"/>
      <c r="G10" s="173"/>
      <c r="H10" s="157" t="s">
        <v>6156</v>
      </c>
      <c r="I10" s="157">
        <f t="shared" si="3"/>
        <v>1070</v>
      </c>
      <c r="J10" s="157">
        <v>2025.0</v>
      </c>
      <c r="K10" s="162" t="s">
        <v>6157</v>
      </c>
    </row>
    <row r="11">
      <c r="A11" s="218">
        <f t="shared" si="2"/>
        <v>8</v>
      </c>
      <c r="B11" s="218" t="s">
        <v>71</v>
      </c>
      <c r="C11" s="219" t="str">
        <f t="shared" si="1"/>
        <v>PC/1071/2025</v>
      </c>
      <c r="D11" s="218" t="b">
        <v>1</v>
      </c>
      <c r="E11" s="219" t="b">
        <v>0</v>
      </c>
      <c r="F11" s="219"/>
      <c r="G11" s="173"/>
      <c r="H11" s="157" t="s">
        <v>6156</v>
      </c>
      <c r="I11" s="157">
        <f t="shared" si="3"/>
        <v>1071</v>
      </c>
      <c r="J11" s="157">
        <v>2025.0</v>
      </c>
      <c r="K11" s="162" t="s">
        <v>6157</v>
      </c>
    </row>
    <row r="12">
      <c r="A12" s="218">
        <f t="shared" si="2"/>
        <v>9</v>
      </c>
      <c r="B12" s="218" t="s">
        <v>71</v>
      </c>
      <c r="C12" s="219" t="str">
        <f t="shared" si="1"/>
        <v>PC/1072/2025</v>
      </c>
      <c r="D12" s="218" t="b">
        <v>1</v>
      </c>
      <c r="E12" s="219" t="b">
        <v>0</v>
      </c>
      <c r="F12" s="219"/>
      <c r="G12" s="173"/>
      <c r="H12" s="157" t="s">
        <v>6156</v>
      </c>
      <c r="I12" s="157">
        <f t="shared" si="3"/>
        <v>1072</v>
      </c>
      <c r="J12" s="157">
        <v>2025.0</v>
      </c>
      <c r="K12" s="162" t="s">
        <v>6157</v>
      </c>
    </row>
    <row r="13">
      <c r="A13" s="218">
        <f t="shared" si="2"/>
        <v>10</v>
      </c>
      <c r="B13" s="218" t="s">
        <v>71</v>
      </c>
      <c r="C13" s="219" t="str">
        <f t="shared" si="1"/>
        <v>PC/1073/2025</v>
      </c>
      <c r="D13" s="218" t="b">
        <v>1</v>
      </c>
      <c r="E13" s="219" t="b">
        <v>0</v>
      </c>
      <c r="F13" s="219"/>
      <c r="G13" s="173"/>
      <c r="H13" s="157" t="s">
        <v>6156</v>
      </c>
      <c r="I13" s="157">
        <f t="shared" si="3"/>
        <v>1073</v>
      </c>
      <c r="J13" s="157">
        <v>2025.0</v>
      </c>
      <c r="K13" s="162" t="s">
        <v>6157</v>
      </c>
    </row>
    <row r="14">
      <c r="A14" s="218">
        <f t="shared" si="2"/>
        <v>11</v>
      </c>
      <c r="B14" s="218" t="s">
        <v>71</v>
      </c>
      <c r="C14" s="219" t="str">
        <f t="shared" si="1"/>
        <v>PC/1074/2025</v>
      </c>
      <c r="D14" s="218" t="b">
        <v>1</v>
      </c>
      <c r="E14" s="219" t="b">
        <v>0</v>
      </c>
      <c r="F14" s="219"/>
      <c r="G14" s="173"/>
      <c r="H14" s="157" t="s">
        <v>6156</v>
      </c>
      <c r="I14" s="157">
        <f t="shared" si="3"/>
        <v>1074</v>
      </c>
      <c r="J14" s="157">
        <v>2025.0</v>
      </c>
      <c r="K14" s="162" t="s">
        <v>6157</v>
      </c>
    </row>
    <row r="15">
      <c r="A15" s="218">
        <f t="shared" si="2"/>
        <v>12</v>
      </c>
      <c r="B15" s="218" t="s">
        <v>71</v>
      </c>
      <c r="C15" s="219" t="str">
        <f t="shared" si="1"/>
        <v>PC/1075/2025</v>
      </c>
      <c r="D15" s="218" t="b">
        <v>1</v>
      </c>
      <c r="E15" s="219" t="b">
        <v>0</v>
      </c>
      <c r="F15" s="219"/>
      <c r="G15" s="173"/>
      <c r="H15" s="157" t="s">
        <v>6156</v>
      </c>
      <c r="I15" s="157">
        <f t="shared" si="3"/>
        <v>1075</v>
      </c>
      <c r="J15" s="157">
        <v>2025.0</v>
      </c>
      <c r="K15" s="162" t="s">
        <v>6157</v>
      </c>
    </row>
    <row r="16">
      <c r="A16" s="218">
        <f t="shared" si="2"/>
        <v>13</v>
      </c>
      <c r="B16" s="218" t="s">
        <v>71</v>
      </c>
      <c r="C16" s="219" t="str">
        <f t="shared" si="1"/>
        <v>PC/1076/2025</v>
      </c>
      <c r="D16" s="218" t="b">
        <v>1</v>
      </c>
      <c r="E16" s="219" t="b">
        <v>0</v>
      </c>
      <c r="F16" s="219"/>
      <c r="G16" s="173"/>
      <c r="H16" s="157" t="s">
        <v>6156</v>
      </c>
      <c r="I16" s="157">
        <f t="shared" si="3"/>
        <v>1076</v>
      </c>
      <c r="J16" s="157">
        <v>2025.0</v>
      </c>
      <c r="K16" s="162" t="s">
        <v>6157</v>
      </c>
    </row>
    <row r="17">
      <c r="A17" s="218">
        <f t="shared" si="2"/>
        <v>14</v>
      </c>
      <c r="B17" s="218" t="s">
        <v>71</v>
      </c>
      <c r="C17" s="219" t="str">
        <f t="shared" si="1"/>
        <v>PC/1077/2025</v>
      </c>
      <c r="D17" s="218" t="b">
        <v>1</v>
      </c>
      <c r="E17" s="219" t="b">
        <v>0</v>
      </c>
      <c r="F17" s="219"/>
      <c r="G17" s="173"/>
      <c r="H17" s="157" t="s">
        <v>6156</v>
      </c>
      <c r="I17" s="157">
        <f t="shared" si="3"/>
        <v>1077</v>
      </c>
      <c r="J17" s="157">
        <v>2025.0</v>
      </c>
      <c r="K17" s="162" t="s">
        <v>6157</v>
      </c>
    </row>
    <row r="18">
      <c r="A18" s="218">
        <f t="shared" si="2"/>
        <v>15</v>
      </c>
      <c r="B18" s="218" t="s">
        <v>71</v>
      </c>
      <c r="C18" s="219" t="str">
        <f t="shared" si="1"/>
        <v>PC/1078/2025</v>
      </c>
      <c r="D18" s="218" t="b">
        <v>1</v>
      </c>
      <c r="E18" s="219" t="b">
        <v>0</v>
      </c>
      <c r="F18" s="219"/>
      <c r="G18" s="173"/>
      <c r="H18" s="157" t="s">
        <v>6156</v>
      </c>
      <c r="I18" s="157">
        <f t="shared" si="3"/>
        <v>1078</v>
      </c>
      <c r="J18" s="157">
        <v>2025.0</v>
      </c>
      <c r="K18" s="162" t="s">
        <v>6157</v>
      </c>
    </row>
    <row r="19">
      <c r="A19" s="218">
        <f t="shared" si="2"/>
        <v>16</v>
      </c>
      <c r="B19" s="218" t="s">
        <v>71</v>
      </c>
      <c r="C19" s="219" t="str">
        <f t="shared" si="1"/>
        <v>PC/1079/2025</v>
      </c>
      <c r="D19" s="218" t="b">
        <v>1</v>
      </c>
      <c r="E19" s="219" t="b">
        <v>0</v>
      </c>
      <c r="F19" s="219"/>
      <c r="G19" s="173"/>
      <c r="H19" s="157" t="s">
        <v>6156</v>
      </c>
      <c r="I19" s="157">
        <f t="shared" si="3"/>
        <v>1079</v>
      </c>
      <c r="J19" s="157">
        <v>2025.0</v>
      </c>
      <c r="K19" s="162" t="s">
        <v>6157</v>
      </c>
    </row>
    <row r="20">
      <c r="A20" s="218">
        <f t="shared" si="2"/>
        <v>17</v>
      </c>
      <c r="B20" s="218" t="s">
        <v>71</v>
      </c>
      <c r="C20" s="219" t="str">
        <f t="shared" si="1"/>
        <v>PC/1080/2025</v>
      </c>
      <c r="D20" s="218" t="b">
        <v>1</v>
      </c>
      <c r="E20" s="219" t="b">
        <v>0</v>
      </c>
      <c r="F20" s="219"/>
      <c r="G20" s="173"/>
      <c r="H20" s="157" t="s">
        <v>6156</v>
      </c>
      <c r="I20" s="157">
        <f t="shared" si="3"/>
        <v>1080</v>
      </c>
      <c r="J20" s="157">
        <v>2025.0</v>
      </c>
      <c r="K20" s="162" t="s">
        <v>6157</v>
      </c>
    </row>
    <row r="21">
      <c r="A21" s="218">
        <f t="shared" si="2"/>
        <v>18</v>
      </c>
      <c r="B21" s="218" t="s">
        <v>71</v>
      </c>
      <c r="C21" s="219" t="str">
        <f t="shared" si="1"/>
        <v>PC/1081/2025</v>
      </c>
      <c r="D21" s="218" t="b">
        <v>1</v>
      </c>
      <c r="E21" s="219" t="b">
        <v>0</v>
      </c>
      <c r="F21" s="219"/>
      <c r="G21" s="173"/>
      <c r="H21" s="157" t="s">
        <v>6156</v>
      </c>
      <c r="I21" s="157">
        <f t="shared" si="3"/>
        <v>1081</v>
      </c>
      <c r="J21" s="157">
        <v>2025.0</v>
      </c>
      <c r="K21" s="162" t="s">
        <v>6157</v>
      </c>
    </row>
    <row r="22">
      <c r="A22" s="218">
        <f t="shared" si="2"/>
        <v>19</v>
      </c>
      <c r="B22" s="218" t="s">
        <v>71</v>
      </c>
      <c r="C22" s="219" t="str">
        <f t="shared" si="1"/>
        <v>PC/1082/2025</v>
      </c>
      <c r="D22" s="218" t="b">
        <v>1</v>
      </c>
      <c r="E22" s="219" t="b">
        <v>0</v>
      </c>
      <c r="F22" s="219"/>
      <c r="G22" s="173"/>
      <c r="H22" s="157" t="s">
        <v>6156</v>
      </c>
      <c r="I22" s="157">
        <f t="shared" si="3"/>
        <v>1082</v>
      </c>
      <c r="J22" s="157">
        <v>2025.0</v>
      </c>
      <c r="K22" s="162" t="s">
        <v>6157</v>
      </c>
    </row>
    <row r="23">
      <c r="A23" s="218">
        <f t="shared" si="2"/>
        <v>20</v>
      </c>
      <c r="B23" s="218" t="s">
        <v>71</v>
      </c>
      <c r="C23" s="219" t="str">
        <f t="shared" si="1"/>
        <v>PC/1083/2025</v>
      </c>
      <c r="D23" s="218" t="b">
        <v>1</v>
      </c>
      <c r="E23" s="219" t="b">
        <v>0</v>
      </c>
      <c r="F23" s="219"/>
      <c r="G23" s="173"/>
      <c r="H23" s="157" t="s">
        <v>6156</v>
      </c>
      <c r="I23" s="157">
        <f t="shared" si="3"/>
        <v>1083</v>
      </c>
      <c r="J23" s="157">
        <v>2025.0</v>
      </c>
      <c r="K23" s="162" t="s">
        <v>6157</v>
      </c>
    </row>
    <row r="24">
      <c r="A24" s="218">
        <f t="shared" si="2"/>
        <v>21</v>
      </c>
      <c r="B24" s="218" t="s">
        <v>71</v>
      </c>
      <c r="C24" s="219" t="str">
        <f t="shared" si="1"/>
        <v>PC/1084/2025</v>
      </c>
      <c r="D24" s="218" t="b">
        <v>1</v>
      </c>
      <c r="E24" s="219" t="b">
        <v>0</v>
      </c>
      <c r="F24" s="219"/>
      <c r="G24" s="173"/>
      <c r="H24" s="157" t="s">
        <v>6156</v>
      </c>
      <c r="I24" s="157">
        <f t="shared" si="3"/>
        <v>1084</v>
      </c>
      <c r="J24" s="157">
        <v>2025.0</v>
      </c>
      <c r="K24" s="162" t="s">
        <v>6157</v>
      </c>
    </row>
    <row r="25">
      <c r="A25" s="218">
        <f t="shared" si="2"/>
        <v>22</v>
      </c>
      <c r="B25" s="218" t="s">
        <v>71</v>
      </c>
      <c r="C25" s="219" t="str">
        <f t="shared" si="1"/>
        <v>PC/1085/2025</v>
      </c>
      <c r="D25" s="218" t="b">
        <v>1</v>
      </c>
      <c r="E25" s="219" t="b">
        <v>0</v>
      </c>
      <c r="F25" s="219"/>
      <c r="G25" s="173"/>
      <c r="H25" s="157" t="s">
        <v>6156</v>
      </c>
      <c r="I25" s="157">
        <f t="shared" si="3"/>
        <v>1085</v>
      </c>
      <c r="J25" s="157">
        <v>2025.0</v>
      </c>
      <c r="K25" s="162" t="s">
        <v>6157</v>
      </c>
    </row>
    <row r="26">
      <c r="A26" s="218">
        <f t="shared" si="2"/>
        <v>23</v>
      </c>
      <c r="B26" s="218" t="s">
        <v>71</v>
      </c>
      <c r="C26" s="219" t="str">
        <f t="shared" si="1"/>
        <v>PC/1086/2025</v>
      </c>
      <c r="D26" s="218" t="b">
        <v>1</v>
      </c>
      <c r="E26" s="219" t="b">
        <v>0</v>
      </c>
      <c r="F26" s="219"/>
      <c r="G26" s="173"/>
      <c r="H26" s="157" t="s">
        <v>6156</v>
      </c>
      <c r="I26" s="157">
        <f t="shared" si="3"/>
        <v>1086</v>
      </c>
      <c r="J26" s="157">
        <v>2025.0</v>
      </c>
      <c r="K26" s="162" t="s">
        <v>6157</v>
      </c>
    </row>
    <row r="27">
      <c r="A27" s="218">
        <f t="shared" si="2"/>
        <v>24</v>
      </c>
      <c r="B27" s="218" t="s">
        <v>71</v>
      </c>
      <c r="C27" s="219" t="str">
        <f t="shared" si="1"/>
        <v>PC/1087/2025</v>
      </c>
      <c r="D27" s="218" t="b">
        <v>1</v>
      </c>
      <c r="E27" s="219" t="b">
        <v>0</v>
      </c>
      <c r="F27" s="219"/>
      <c r="G27" s="173"/>
      <c r="H27" s="157" t="s">
        <v>6156</v>
      </c>
      <c r="I27" s="157">
        <f t="shared" si="3"/>
        <v>1087</v>
      </c>
      <c r="J27" s="157">
        <v>2025.0</v>
      </c>
      <c r="K27" s="162" t="s">
        <v>6157</v>
      </c>
    </row>
    <row r="28">
      <c r="A28" s="218">
        <f t="shared" si="2"/>
        <v>25</v>
      </c>
      <c r="B28" s="218" t="s">
        <v>71</v>
      </c>
      <c r="C28" s="219" t="str">
        <f t="shared" si="1"/>
        <v>PC/1088/2025</v>
      </c>
      <c r="D28" s="218" t="b">
        <v>1</v>
      </c>
      <c r="E28" s="219" t="b">
        <v>0</v>
      </c>
      <c r="F28" s="219"/>
      <c r="G28" s="173"/>
      <c r="H28" s="157" t="s">
        <v>6156</v>
      </c>
      <c r="I28" s="157">
        <f t="shared" si="3"/>
        <v>1088</v>
      </c>
      <c r="J28" s="157">
        <v>2025.0</v>
      </c>
      <c r="K28" s="162" t="s">
        <v>6157</v>
      </c>
    </row>
    <row r="29">
      <c r="A29" s="218">
        <f t="shared" si="2"/>
        <v>26</v>
      </c>
      <c r="B29" s="218" t="s">
        <v>71</v>
      </c>
      <c r="C29" s="219" t="str">
        <f t="shared" si="1"/>
        <v>PC/1089/2025</v>
      </c>
      <c r="D29" s="218" t="b">
        <v>1</v>
      </c>
      <c r="E29" s="219" t="b">
        <v>0</v>
      </c>
      <c r="F29" s="219"/>
      <c r="G29" s="173"/>
      <c r="H29" s="157" t="s">
        <v>6156</v>
      </c>
      <c r="I29" s="157">
        <f t="shared" si="3"/>
        <v>1089</v>
      </c>
      <c r="J29" s="157">
        <v>2025.0</v>
      </c>
      <c r="K29" s="162" t="s">
        <v>6157</v>
      </c>
    </row>
    <row r="30">
      <c r="A30" s="218">
        <f t="shared" si="2"/>
        <v>27</v>
      </c>
      <c r="B30" s="218" t="s">
        <v>71</v>
      </c>
      <c r="C30" s="219" t="str">
        <f t="shared" si="1"/>
        <v>PC/1090/2025</v>
      </c>
      <c r="D30" s="218" t="b">
        <v>1</v>
      </c>
      <c r="E30" s="219" t="b">
        <v>0</v>
      </c>
      <c r="F30" s="219"/>
      <c r="G30" s="173"/>
      <c r="H30" s="157" t="s">
        <v>6156</v>
      </c>
      <c r="I30" s="157">
        <f t="shared" si="3"/>
        <v>1090</v>
      </c>
      <c r="J30" s="157">
        <v>2025.0</v>
      </c>
      <c r="K30" s="162" t="s">
        <v>6157</v>
      </c>
    </row>
    <row r="31">
      <c r="A31" s="218">
        <f t="shared" si="2"/>
        <v>28</v>
      </c>
      <c r="B31" s="218" t="s">
        <v>71</v>
      </c>
      <c r="C31" s="219" t="str">
        <f t="shared" si="1"/>
        <v>PC/1091/2025</v>
      </c>
      <c r="D31" s="218" t="b">
        <v>1</v>
      </c>
      <c r="E31" s="219" t="b">
        <v>0</v>
      </c>
      <c r="F31" s="219"/>
      <c r="G31" s="173"/>
      <c r="H31" s="157" t="s">
        <v>6156</v>
      </c>
      <c r="I31" s="157">
        <f t="shared" si="3"/>
        <v>1091</v>
      </c>
      <c r="J31" s="157">
        <v>2025.0</v>
      </c>
      <c r="K31" s="162" t="s">
        <v>6157</v>
      </c>
    </row>
    <row r="32">
      <c r="A32" s="218">
        <f t="shared" si="2"/>
        <v>29</v>
      </c>
      <c r="B32" s="218" t="s">
        <v>71</v>
      </c>
      <c r="C32" s="219" t="str">
        <f t="shared" si="1"/>
        <v>PC/1092/2025</v>
      </c>
      <c r="D32" s="218" t="b">
        <v>1</v>
      </c>
      <c r="E32" s="219" t="b">
        <v>0</v>
      </c>
      <c r="F32" s="219"/>
      <c r="G32" s="173"/>
      <c r="H32" s="157" t="s">
        <v>6156</v>
      </c>
      <c r="I32" s="157">
        <f t="shared" si="3"/>
        <v>1092</v>
      </c>
      <c r="J32" s="157">
        <v>2025.0</v>
      </c>
      <c r="K32" s="162" t="s">
        <v>6157</v>
      </c>
    </row>
    <row r="33">
      <c r="A33" s="218">
        <f t="shared" si="2"/>
        <v>30</v>
      </c>
      <c r="B33" s="218" t="s">
        <v>71</v>
      </c>
      <c r="C33" s="219" t="str">
        <f t="shared" si="1"/>
        <v>PC/1093/2025</v>
      </c>
      <c r="D33" s="218" t="b">
        <v>1</v>
      </c>
      <c r="E33" s="219" t="b">
        <v>0</v>
      </c>
      <c r="F33" s="219"/>
      <c r="G33" s="173"/>
      <c r="H33" s="157" t="s">
        <v>6156</v>
      </c>
      <c r="I33" s="157">
        <f t="shared" si="3"/>
        <v>1093</v>
      </c>
      <c r="J33" s="157">
        <v>2025.0</v>
      </c>
      <c r="K33" s="162" t="s">
        <v>6157</v>
      </c>
    </row>
    <row r="34">
      <c r="A34" s="218">
        <f t="shared" si="2"/>
        <v>31</v>
      </c>
      <c r="B34" s="218" t="s">
        <v>71</v>
      </c>
      <c r="C34" s="219" t="str">
        <f t="shared" si="1"/>
        <v>PC/1094/2025</v>
      </c>
      <c r="D34" s="218" t="b">
        <v>1</v>
      </c>
      <c r="E34" s="219" t="b">
        <v>0</v>
      </c>
      <c r="F34" s="219"/>
      <c r="G34" s="173"/>
      <c r="H34" s="157" t="s">
        <v>6156</v>
      </c>
      <c r="I34" s="157">
        <f t="shared" si="3"/>
        <v>1094</v>
      </c>
      <c r="J34" s="157">
        <v>2025.0</v>
      </c>
      <c r="K34" s="162" t="s">
        <v>6157</v>
      </c>
    </row>
    <row r="35">
      <c r="A35" s="218">
        <f t="shared" si="2"/>
        <v>32</v>
      </c>
      <c r="B35" s="218" t="s">
        <v>71</v>
      </c>
      <c r="C35" s="219" t="str">
        <f t="shared" si="1"/>
        <v>PC/1095/2025</v>
      </c>
      <c r="D35" s="218" t="b">
        <v>1</v>
      </c>
      <c r="E35" s="219" t="b">
        <v>0</v>
      </c>
      <c r="F35" s="219"/>
      <c r="G35" s="173"/>
      <c r="H35" s="157" t="s">
        <v>6156</v>
      </c>
      <c r="I35" s="157">
        <f t="shared" si="3"/>
        <v>1095</v>
      </c>
      <c r="J35" s="157">
        <v>2025.0</v>
      </c>
      <c r="K35" s="162" t="s">
        <v>6157</v>
      </c>
    </row>
    <row r="36">
      <c r="A36" s="218">
        <f t="shared" si="2"/>
        <v>33</v>
      </c>
      <c r="B36" s="218" t="s">
        <v>71</v>
      </c>
      <c r="C36" s="219" t="str">
        <f t="shared" si="1"/>
        <v>PC/1096/2025</v>
      </c>
      <c r="D36" s="218" t="b">
        <v>1</v>
      </c>
      <c r="E36" s="219" t="b">
        <v>0</v>
      </c>
      <c r="F36" s="219"/>
      <c r="G36" s="173"/>
      <c r="H36" s="157" t="s">
        <v>6156</v>
      </c>
      <c r="I36" s="157">
        <f t="shared" si="3"/>
        <v>1096</v>
      </c>
      <c r="J36" s="157">
        <v>2025.0</v>
      </c>
      <c r="K36" s="162" t="s">
        <v>6157</v>
      </c>
    </row>
    <row r="37">
      <c r="A37" s="218">
        <f t="shared" si="2"/>
        <v>34</v>
      </c>
      <c r="B37" s="218" t="s">
        <v>71</v>
      </c>
      <c r="C37" s="219" t="str">
        <f t="shared" si="1"/>
        <v>PC/1097/2025</v>
      </c>
      <c r="D37" s="218" t="b">
        <v>1</v>
      </c>
      <c r="E37" s="219" t="b">
        <v>0</v>
      </c>
      <c r="F37" s="219"/>
      <c r="G37" s="173"/>
      <c r="H37" s="157" t="s">
        <v>6156</v>
      </c>
      <c r="I37" s="157">
        <f t="shared" si="3"/>
        <v>1097</v>
      </c>
      <c r="J37" s="157">
        <v>2025.0</v>
      </c>
      <c r="K37" s="162" t="s">
        <v>6157</v>
      </c>
    </row>
    <row r="38">
      <c r="A38" s="218">
        <f t="shared" si="2"/>
        <v>35</v>
      </c>
      <c r="B38" s="218" t="s">
        <v>71</v>
      </c>
      <c r="C38" s="219" t="str">
        <f t="shared" si="1"/>
        <v>PC/1098/2025</v>
      </c>
      <c r="D38" s="218" t="b">
        <v>1</v>
      </c>
      <c r="E38" s="219" t="b">
        <v>0</v>
      </c>
      <c r="F38" s="219"/>
      <c r="G38" s="173"/>
      <c r="H38" s="157" t="s">
        <v>6156</v>
      </c>
      <c r="I38" s="157">
        <f t="shared" si="3"/>
        <v>1098</v>
      </c>
      <c r="J38" s="157">
        <v>2025.0</v>
      </c>
      <c r="K38" s="162" t="s">
        <v>6157</v>
      </c>
    </row>
    <row r="39">
      <c r="A39" s="218">
        <f t="shared" si="2"/>
        <v>36</v>
      </c>
      <c r="B39" s="218" t="s">
        <v>71</v>
      </c>
      <c r="C39" s="219" t="str">
        <f t="shared" si="1"/>
        <v>PC/1099/2025</v>
      </c>
      <c r="D39" s="218" t="b">
        <v>1</v>
      </c>
      <c r="E39" s="219" t="b">
        <v>0</v>
      </c>
      <c r="F39" s="219"/>
      <c r="G39" s="173"/>
      <c r="H39" s="157" t="s">
        <v>6156</v>
      </c>
      <c r="I39" s="157">
        <f t="shared" si="3"/>
        <v>1099</v>
      </c>
      <c r="J39" s="157">
        <v>2025.0</v>
      </c>
      <c r="K39" s="162" t="s">
        <v>6157</v>
      </c>
    </row>
    <row r="40">
      <c r="A40" s="218">
        <f t="shared" si="2"/>
        <v>37</v>
      </c>
      <c r="B40" s="218" t="s">
        <v>71</v>
      </c>
      <c r="C40" s="219" t="str">
        <f t="shared" si="1"/>
        <v>PC/1100/2025</v>
      </c>
      <c r="D40" s="218" t="b">
        <v>1</v>
      </c>
      <c r="E40" s="219" t="b">
        <v>0</v>
      </c>
      <c r="F40" s="219"/>
      <c r="G40" s="173"/>
      <c r="H40" s="157" t="s">
        <v>6156</v>
      </c>
      <c r="I40" s="157">
        <f t="shared" si="3"/>
        <v>1100</v>
      </c>
      <c r="J40" s="157">
        <v>2025.0</v>
      </c>
      <c r="K40" s="162" t="s">
        <v>6157</v>
      </c>
    </row>
    <row r="41">
      <c r="A41" s="218">
        <f t="shared" si="2"/>
        <v>38</v>
      </c>
      <c r="B41" s="218" t="s">
        <v>71</v>
      </c>
      <c r="C41" s="219" t="str">
        <f t="shared" si="1"/>
        <v>PC/1101/2025</v>
      </c>
      <c r="D41" s="218" t="b">
        <v>1</v>
      </c>
      <c r="E41" s="219" t="b">
        <v>0</v>
      </c>
      <c r="F41" s="219"/>
      <c r="G41" s="173"/>
      <c r="H41" s="157" t="s">
        <v>6156</v>
      </c>
      <c r="I41" s="157">
        <f t="shared" si="3"/>
        <v>1101</v>
      </c>
      <c r="J41" s="157">
        <v>2025.0</v>
      </c>
      <c r="K41" s="162" t="s">
        <v>6157</v>
      </c>
    </row>
    <row r="42">
      <c r="A42" s="218">
        <f t="shared" si="2"/>
        <v>39</v>
      </c>
      <c r="B42" s="218" t="s">
        <v>71</v>
      </c>
      <c r="C42" s="219" t="str">
        <f t="shared" si="1"/>
        <v>PC/1102/2025</v>
      </c>
      <c r="D42" s="218" t="b">
        <v>1</v>
      </c>
      <c r="E42" s="219" t="b">
        <v>0</v>
      </c>
      <c r="F42" s="219"/>
      <c r="G42" s="173"/>
      <c r="H42" s="157" t="s">
        <v>6156</v>
      </c>
      <c r="I42" s="157">
        <f t="shared" si="3"/>
        <v>1102</v>
      </c>
      <c r="J42" s="157">
        <v>2025.0</v>
      </c>
      <c r="K42" s="162" t="s">
        <v>6157</v>
      </c>
    </row>
    <row r="43">
      <c r="A43" s="218">
        <f t="shared" si="2"/>
        <v>40</v>
      </c>
      <c r="B43" s="218" t="s">
        <v>71</v>
      </c>
      <c r="C43" s="219" t="str">
        <f t="shared" si="1"/>
        <v>PC/1103/2025</v>
      </c>
      <c r="D43" s="218" t="b">
        <v>1</v>
      </c>
      <c r="E43" s="219" t="b">
        <v>0</v>
      </c>
      <c r="F43" s="219"/>
      <c r="G43" s="173"/>
      <c r="H43" s="157" t="s">
        <v>6156</v>
      </c>
      <c r="I43" s="157">
        <f t="shared" si="3"/>
        <v>1103</v>
      </c>
      <c r="J43" s="157">
        <v>2025.0</v>
      </c>
      <c r="K43" s="162" t="s">
        <v>6157</v>
      </c>
    </row>
    <row r="44">
      <c r="A44" s="218">
        <f t="shared" si="2"/>
        <v>41</v>
      </c>
      <c r="B44" s="218" t="s">
        <v>71</v>
      </c>
      <c r="C44" s="219" t="str">
        <f t="shared" si="1"/>
        <v>PC/1104/2025</v>
      </c>
      <c r="D44" s="218" t="b">
        <v>1</v>
      </c>
      <c r="E44" s="219" t="b">
        <v>0</v>
      </c>
      <c r="F44" s="219"/>
      <c r="G44" s="173"/>
      <c r="H44" s="157" t="s">
        <v>6156</v>
      </c>
      <c r="I44" s="157">
        <f t="shared" si="3"/>
        <v>1104</v>
      </c>
      <c r="J44" s="157">
        <v>2025.0</v>
      </c>
      <c r="K44" s="173"/>
    </row>
    <row r="45">
      <c r="A45" s="218">
        <f t="shared" si="2"/>
        <v>42</v>
      </c>
      <c r="B45" s="218" t="s">
        <v>71</v>
      </c>
      <c r="C45" s="219" t="str">
        <f t="shared" si="1"/>
        <v>PC/1105/2025</v>
      </c>
      <c r="D45" s="218" t="b">
        <v>1</v>
      </c>
      <c r="E45" s="219" t="b">
        <v>0</v>
      </c>
      <c r="F45" s="219"/>
      <c r="G45" s="173"/>
      <c r="H45" s="157" t="s">
        <v>6156</v>
      </c>
      <c r="I45" s="157">
        <f t="shared" si="3"/>
        <v>1105</v>
      </c>
      <c r="J45" s="157">
        <v>2025.0</v>
      </c>
      <c r="K45" s="173"/>
    </row>
    <row r="46">
      <c r="A46" s="218">
        <f t="shared" si="2"/>
        <v>43</v>
      </c>
      <c r="B46" s="218" t="s">
        <v>71</v>
      </c>
      <c r="C46" s="219" t="str">
        <f t="shared" si="1"/>
        <v>PC/1106/2025</v>
      </c>
      <c r="D46" s="218" t="b">
        <v>1</v>
      </c>
      <c r="E46" s="219" t="b">
        <v>0</v>
      </c>
      <c r="F46" s="219"/>
      <c r="G46" s="173"/>
      <c r="H46" s="157" t="s">
        <v>6156</v>
      </c>
      <c r="I46" s="157">
        <f t="shared" si="3"/>
        <v>1106</v>
      </c>
      <c r="J46" s="157">
        <v>2025.0</v>
      </c>
      <c r="K46" s="173"/>
    </row>
    <row r="47">
      <c r="A47" s="218">
        <f t="shared" si="2"/>
        <v>44</v>
      </c>
      <c r="B47" s="218" t="s">
        <v>71</v>
      </c>
      <c r="C47" s="219" t="str">
        <f t="shared" si="1"/>
        <v>PC/1107/2025</v>
      </c>
      <c r="D47" s="218" t="b">
        <v>1</v>
      </c>
      <c r="E47" s="219" t="b">
        <v>0</v>
      </c>
      <c r="F47" s="219"/>
      <c r="G47" s="173"/>
      <c r="H47" s="157" t="s">
        <v>6156</v>
      </c>
      <c r="I47" s="157">
        <f t="shared" si="3"/>
        <v>1107</v>
      </c>
      <c r="J47" s="157">
        <v>2025.0</v>
      </c>
      <c r="K47" s="173"/>
    </row>
    <row r="48">
      <c r="A48" s="218">
        <f t="shared" si="2"/>
        <v>45</v>
      </c>
      <c r="B48" s="218" t="s">
        <v>71</v>
      </c>
      <c r="C48" s="219" t="str">
        <f t="shared" si="1"/>
        <v>PC/1108/2025</v>
      </c>
      <c r="D48" s="218" t="b">
        <v>1</v>
      </c>
      <c r="E48" s="219" t="b">
        <v>0</v>
      </c>
      <c r="F48" s="219"/>
      <c r="G48" s="173"/>
      <c r="H48" s="157" t="s">
        <v>6156</v>
      </c>
      <c r="I48" s="157">
        <f t="shared" si="3"/>
        <v>1108</v>
      </c>
      <c r="J48" s="157">
        <v>2025.0</v>
      </c>
      <c r="K48" s="173"/>
    </row>
    <row r="49">
      <c r="A49" s="218">
        <f t="shared" si="2"/>
        <v>46</v>
      </c>
      <c r="B49" s="218" t="s">
        <v>71</v>
      </c>
      <c r="C49" s="219" t="str">
        <f t="shared" si="1"/>
        <v>PC/1109/2025</v>
      </c>
      <c r="D49" s="218" t="b">
        <v>1</v>
      </c>
      <c r="E49" s="219" t="b">
        <v>0</v>
      </c>
      <c r="F49" s="219"/>
      <c r="G49" s="173"/>
      <c r="H49" s="157" t="s">
        <v>6156</v>
      </c>
      <c r="I49" s="157">
        <f t="shared" si="3"/>
        <v>1109</v>
      </c>
      <c r="J49" s="157">
        <v>2025.0</v>
      </c>
      <c r="K49" s="173"/>
    </row>
    <row r="50">
      <c r="A50" s="218">
        <f t="shared" si="2"/>
        <v>47</v>
      </c>
      <c r="B50" s="218" t="s">
        <v>71</v>
      </c>
      <c r="C50" s="219" t="str">
        <f t="shared" si="1"/>
        <v>PC/1110/2025</v>
      </c>
      <c r="D50" s="218" t="b">
        <v>1</v>
      </c>
      <c r="E50" s="219" t="b">
        <v>0</v>
      </c>
      <c r="F50" s="219"/>
      <c r="G50" s="173"/>
      <c r="H50" s="157" t="s">
        <v>6156</v>
      </c>
      <c r="I50" s="157">
        <f t="shared" si="3"/>
        <v>1110</v>
      </c>
      <c r="J50" s="157">
        <v>2025.0</v>
      </c>
      <c r="K50" s="173"/>
    </row>
    <row r="51">
      <c r="A51" s="218">
        <f t="shared" si="2"/>
        <v>48</v>
      </c>
      <c r="B51" s="218" t="s">
        <v>71</v>
      </c>
      <c r="C51" s="219" t="str">
        <f t="shared" si="1"/>
        <v>PC/1111/2025</v>
      </c>
      <c r="D51" s="218" t="b">
        <v>1</v>
      </c>
      <c r="E51" s="219" t="b">
        <v>0</v>
      </c>
      <c r="F51" s="219"/>
      <c r="G51" s="173"/>
      <c r="H51" s="157" t="s">
        <v>6156</v>
      </c>
      <c r="I51" s="157">
        <f t="shared" si="3"/>
        <v>1111</v>
      </c>
      <c r="J51" s="157">
        <v>2025.0</v>
      </c>
      <c r="K51" s="173"/>
    </row>
    <row r="52">
      <c r="A52" s="218">
        <f t="shared" si="2"/>
        <v>49</v>
      </c>
      <c r="B52" s="218" t="s">
        <v>71</v>
      </c>
      <c r="C52" s="219" t="str">
        <f t="shared" si="1"/>
        <v>PC/1112/2025</v>
      </c>
      <c r="D52" s="218" t="b">
        <v>1</v>
      </c>
      <c r="E52" s="219" t="b">
        <v>0</v>
      </c>
      <c r="F52" s="219"/>
      <c r="G52" s="173"/>
      <c r="H52" s="157" t="s">
        <v>6156</v>
      </c>
      <c r="I52" s="157">
        <f t="shared" si="3"/>
        <v>1112</v>
      </c>
      <c r="J52" s="157">
        <v>2025.0</v>
      </c>
      <c r="K52" s="173"/>
    </row>
    <row r="53">
      <c r="A53" s="218">
        <f t="shared" si="2"/>
        <v>50</v>
      </c>
      <c r="B53" s="218" t="s">
        <v>71</v>
      </c>
      <c r="C53" s="219" t="str">
        <f t="shared" si="1"/>
        <v>PC/1113/2025</v>
      </c>
      <c r="D53" s="218" t="b">
        <v>1</v>
      </c>
      <c r="E53" s="219" t="b">
        <v>0</v>
      </c>
      <c r="F53" s="219"/>
      <c r="G53" s="173"/>
      <c r="H53" s="157" t="s">
        <v>6156</v>
      </c>
      <c r="I53" s="157">
        <f t="shared" si="3"/>
        <v>1113</v>
      </c>
      <c r="J53" s="157">
        <v>2025.0</v>
      </c>
      <c r="K53" s="173"/>
    </row>
    <row r="54">
      <c r="A54" s="218">
        <f t="shared" si="2"/>
        <v>51</v>
      </c>
      <c r="B54" s="218" t="s">
        <v>71</v>
      </c>
      <c r="C54" s="219" t="str">
        <f t="shared" si="1"/>
        <v>PC/1114/2025</v>
      </c>
      <c r="D54" s="218" t="b">
        <v>1</v>
      </c>
      <c r="E54" s="219" t="b">
        <v>0</v>
      </c>
      <c r="F54" s="219"/>
      <c r="G54" s="173"/>
      <c r="H54" s="157" t="s">
        <v>6156</v>
      </c>
      <c r="I54" s="157">
        <f t="shared" si="3"/>
        <v>1114</v>
      </c>
      <c r="J54" s="157">
        <v>2025.0</v>
      </c>
      <c r="K54" s="173"/>
    </row>
    <row r="55">
      <c r="A55" s="218">
        <f t="shared" si="2"/>
        <v>52</v>
      </c>
      <c r="B55" s="218" t="s">
        <v>71</v>
      </c>
      <c r="C55" s="219" t="str">
        <f t="shared" si="1"/>
        <v>PC/1115/2025</v>
      </c>
      <c r="D55" s="218" t="b">
        <v>1</v>
      </c>
      <c r="E55" s="219" t="b">
        <v>0</v>
      </c>
      <c r="F55" s="219"/>
      <c r="G55" s="173"/>
      <c r="H55" s="157" t="s">
        <v>6156</v>
      </c>
      <c r="I55" s="157">
        <f t="shared" si="3"/>
        <v>1115</v>
      </c>
      <c r="J55" s="157">
        <v>2025.0</v>
      </c>
      <c r="K55" s="173"/>
    </row>
    <row r="56">
      <c r="A56" s="218">
        <f t="shared" si="2"/>
        <v>53</v>
      </c>
      <c r="B56" s="218" t="s">
        <v>71</v>
      </c>
      <c r="C56" s="219" t="str">
        <f t="shared" si="1"/>
        <v>PC/1116/2025</v>
      </c>
      <c r="D56" s="218" t="b">
        <v>1</v>
      </c>
      <c r="E56" s="219" t="b">
        <v>0</v>
      </c>
      <c r="F56" s="219"/>
      <c r="G56" s="173"/>
      <c r="H56" s="157" t="s">
        <v>6156</v>
      </c>
      <c r="I56" s="157">
        <f t="shared" si="3"/>
        <v>1116</v>
      </c>
      <c r="J56" s="157">
        <v>2025.0</v>
      </c>
      <c r="K56" s="173"/>
    </row>
    <row r="57">
      <c r="A57" s="218">
        <f t="shared" si="2"/>
        <v>54</v>
      </c>
      <c r="B57" s="218" t="s">
        <v>71</v>
      </c>
      <c r="C57" s="219" t="str">
        <f t="shared" si="1"/>
        <v>PC/1117/2025</v>
      </c>
      <c r="D57" s="218" t="b">
        <v>1</v>
      </c>
      <c r="E57" s="219" t="b">
        <v>0</v>
      </c>
      <c r="F57" s="219"/>
      <c r="G57" s="173"/>
      <c r="H57" s="157" t="s">
        <v>6156</v>
      </c>
      <c r="I57" s="157">
        <f t="shared" si="3"/>
        <v>1117</v>
      </c>
      <c r="J57" s="157">
        <v>2025.0</v>
      </c>
      <c r="K57" s="173"/>
    </row>
    <row r="58">
      <c r="A58" s="218">
        <f t="shared" si="2"/>
        <v>55</v>
      </c>
      <c r="B58" s="218" t="s">
        <v>71</v>
      </c>
      <c r="C58" s="219" t="str">
        <f t="shared" si="1"/>
        <v>PC/1118/2025</v>
      </c>
      <c r="D58" s="218" t="b">
        <v>1</v>
      </c>
      <c r="E58" s="219" t="b">
        <v>0</v>
      </c>
      <c r="F58" s="219"/>
      <c r="G58" s="173"/>
      <c r="H58" s="157" t="s">
        <v>6156</v>
      </c>
      <c r="I58" s="157">
        <f t="shared" si="3"/>
        <v>1118</v>
      </c>
      <c r="J58" s="157">
        <v>2025.0</v>
      </c>
      <c r="K58" s="173"/>
    </row>
    <row r="59">
      <c r="A59" s="218">
        <f t="shared" si="2"/>
        <v>56</v>
      </c>
      <c r="B59" s="218" t="s">
        <v>71</v>
      </c>
      <c r="C59" s="219" t="str">
        <f t="shared" si="1"/>
        <v>PC/1119/2025</v>
      </c>
      <c r="D59" s="218" t="b">
        <v>1</v>
      </c>
      <c r="E59" s="219" t="b">
        <v>0</v>
      </c>
      <c r="F59" s="219"/>
      <c r="G59" s="173"/>
      <c r="H59" s="157" t="s">
        <v>6156</v>
      </c>
      <c r="I59" s="157">
        <f t="shared" si="3"/>
        <v>1119</v>
      </c>
      <c r="J59" s="157">
        <v>2025.0</v>
      </c>
      <c r="K59" s="173"/>
    </row>
    <row r="60">
      <c r="A60" s="218">
        <f t="shared" si="2"/>
        <v>57</v>
      </c>
      <c r="B60" s="218" t="s">
        <v>71</v>
      </c>
      <c r="C60" s="219" t="str">
        <f t="shared" si="1"/>
        <v>PC/1120/2025</v>
      </c>
      <c r="D60" s="218" t="b">
        <v>1</v>
      </c>
      <c r="E60" s="219" t="b">
        <v>0</v>
      </c>
      <c r="F60" s="219"/>
      <c r="G60" s="173"/>
      <c r="H60" s="157" t="s">
        <v>6156</v>
      </c>
      <c r="I60" s="157">
        <f t="shared" si="3"/>
        <v>1120</v>
      </c>
      <c r="J60" s="157">
        <v>2025.0</v>
      </c>
      <c r="K60" s="173"/>
    </row>
    <row r="61">
      <c r="A61" s="218">
        <f t="shared" si="2"/>
        <v>58</v>
      </c>
      <c r="B61" s="218" t="s">
        <v>71</v>
      </c>
      <c r="C61" s="219" t="str">
        <f t="shared" si="1"/>
        <v>PC/1121/2025</v>
      </c>
      <c r="D61" s="218" t="b">
        <v>1</v>
      </c>
      <c r="E61" s="219" t="b">
        <v>0</v>
      </c>
      <c r="F61" s="219"/>
      <c r="G61" s="173"/>
      <c r="H61" s="157" t="s">
        <v>6156</v>
      </c>
      <c r="I61" s="157">
        <f t="shared" si="3"/>
        <v>1121</v>
      </c>
      <c r="J61" s="157">
        <v>2025.0</v>
      </c>
      <c r="K61" s="173"/>
    </row>
    <row r="62">
      <c r="A62" s="218">
        <f t="shared" si="2"/>
        <v>59</v>
      </c>
      <c r="B62" s="218" t="s">
        <v>71</v>
      </c>
      <c r="C62" s="219" t="str">
        <f t="shared" si="1"/>
        <v>PC/1122/2025</v>
      </c>
      <c r="D62" s="218" t="b">
        <v>1</v>
      </c>
      <c r="E62" s="219" t="b">
        <v>0</v>
      </c>
      <c r="F62" s="219"/>
      <c r="G62" s="173"/>
      <c r="H62" s="157" t="s">
        <v>6156</v>
      </c>
      <c r="I62" s="157">
        <f t="shared" si="3"/>
        <v>1122</v>
      </c>
      <c r="J62" s="157">
        <v>2025.0</v>
      </c>
      <c r="K62" s="173"/>
    </row>
    <row r="63">
      <c r="A63" s="218">
        <f t="shared" si="2"/>
        <v>60</v>
      </c>
      <c r="B63" s="218" t="s">
        <v>71</v>
      </c>
      <c r="C63" s="219" t="str">
        <f t="shared" si="1"/>
        <v>PC/1123/2025</v>
      </c>
      <c r="D63" s="218" t="b">
        <v>1</v>
      </c>
      <c r="E63" s="219" t="b">
        <v>0</v>
      </c>
      <c r="F63" s="219"/>
      <c r="G63" s="173"/>
      <c r="H63" s="157" t="s">
        <v>6156</v>
      </c>
      <c r="I63" s="157">
        <f t="shared" si="3"/>
        <v>1123</v>
      </c>
      <c r="J63" s="157">
        <v>2025.0</v>
      </c>
      <c r="K63" s="173"/>
    </row>
    <row r="64">
      <c r="A64" s="218">
        <f t="shared" si="2"/>
        <v>61</v>
      </c>
      <c r="B64" s="218" t="s">
        <v>71</v>
      </c>
      <c r="C64" s="219" t="str">
        <f t="shared" si="1"/>
        <v>PC/1124/2025</v>
      </c>
      <c r="D64" s="218" t="b">
        <v>1</v>
      </c>
      <c r="E64" s="219" t="b">
        <v>0</v>
      </c>
      <c r="F64" s="219"/>
      <c r="G64" s="173"/>
      <c r="H64" s="157" t="s">
        <v>6156</v>
      </c>
      <c r="I64" s="157">
        <f t="shared" si="3"/>
        <v>1124</v>
      </c>
      <c r="J64" s="157">
        <v>2025.0</v>
      </c>
      <c r="K64" s="173"/>
    </row>
    <row r="65">
      <c r="A65" s="218">
        <f t="shared" si="2"/>
        <v>62</v>
      </c>
      <c r="B65" s="218" t="s">
        <v>71</v>
      </c>
      <c r="C65" s="219" t="str">
        <f t="shared" si="1"/>
        <v>PC/1125/2025</v>
      </c>
      <c r="D65" s="218" t="b">
        <v>1</v>
      </c>
      <c r="E65" s="219" t="b">
        <v>0</v>
      </c>
      <c r="F65" s="219"/>
      <c r="G65" s="173"/>
      <c r="H65" s="157" t="s">
        <v>6156</v>
      </c>
      <c r="I65" s="157">
        <f t="shared" si="3"/>
        <v>1125</v>
      </c>
      <c r="J65" s="157">
        <v>2025.0</v>
      </c>
      <c r="K65" s="173"/>
    </row>
    <row r="66">
      <c r="A66" s="218">
        <f t="shared" si="2"/>
        <v>63</v>
      </c>
      <c r="B66" s="218" t="s">
        <v>71</v>
      </c>
      <c r="C66" s="219" t="str">
        <f t="shared" si="1"/>
        <v>PC/1126/2025</v>
      </c>
      <c r="D66" s="218" t="b">
        <v>1</v>
      </c>
      <c r="E66" s="219" t="b">
        <v>0</v>
      </c>
      <c r="F66" s="219"/>
      <c r="G66" s="173"/>
      <c r="H66" s="157" t="s">
        <v>6156</v>
      </c>
      <c r="I66" s="157">
        <f t="shared" si="3"/>
        <v>1126</v>
      </c>
      <c r="J66" s="157">
        <v>2025.0</v>
      </c>
      <c r="K66" s="173"/>
    </row>
    <row r="67">
      <c r="A67" s="218">
        <f t="shared" si="2"/>
        <v>64</v>
      </c>
      <c r="B67" s="218" t="s">
        <v>71</v>
      </c>
      <c r="C67" s="219" t="str">
        <f t="shared" si="1"/>
        <v>PC/1127/2025</v>
      </c>
      <c r="D67" s="218" t="b">
        <v>1</v>
      </c>
      <c r="E67" s="219" t="b">
        <v>0</v>
      </c>
      <c r="F67" s="219"/>
      <c r="G67" s="173"/>
      <c r="H67" s="157" t="s">
        <v>6156</v>
      </c>
      <c r="I67" s="157">
        <f t="shared" si="3"/>
        <v>1127</v>
      </c>
      <c r="J67" s="157">
        <v>2025.0</v>
      </c>
      <c r="K67" s="173"/>
    </row>
    <row r="68">
      <c r="A68" s="218">
        <f t="shared" si="2"/>
        <v>65</v>
      </c>
      <c r="B68" s="218" t="s">
        <v>71</v>
      </c>
      <c r="C68" s="219" t="str">
        <f t="shared" si="1"/>
        <v>PC/1128/2025</v>
      </c>
      <c r="D68" s="218" t="b">
        <v>1</v>
      </c>
      <c r="E68" s="219" t="b">
        <v>0</v>
      </c>
      <c r="F68" s="219"/>
      <c r="G68" s="173"/>
      <c r="H68" s="157" t="s">
        <v>6156</v>
      </c>
      <c r="I68" s="157">
        <f t="shared" si="3"/>
        <v>1128</v>
      </c>
      <c r="J68" s="157">
        <v>2025.0</v>
      </c>
      <c r="K68" s="173"/>
    </row>
    <row r="69">
      <c r="A69" s="218">
        <f t="shared" si="2"/>
        <v>66</v>
      </c>
      <c r="B69" s="218" t="s">
        <v>71</v>
      </c>
      <c r="C69" s="219" t="str">
        <f t="shared" si="1"/>
        <v>PC/1129/2025</v>
      </c>
      <c r="D69" s="218" t="b">
        <v>1</v>
      </c>
      <c r="E69" s="219" t="b">
        <v>0</v>
      </c>
      <c r="F69" s="219"/>
      <c r="G69" s="173"/>
      <c r="H69" s="157" t="s">
        <v>6156</v>
      </c>
      <c r="I69" s="157">
        <f t="shared" si="3"/>
        <v>1129</v>
      </c>
      <c r="J69" s="157">
        <v>2025.0</v>
      </c>
      <c r="K69" s="173"/>
    </row>
    <row r="70">
      <c r="A70" s="218">
        <f t="shared" si="2"/>
        <v>67</v>
      </c>
      <c r="B70" s="218" t="s">
        <v>71</v>
      </c>
      <c r="C70" s="219" t="str">
        <f t="shared" si="1"/>
        <v>PC/1130/2025</v>
      </c>
      <c r="D70" s="218" t="b">
        <v>1</v>
      </c>
      <c r="E70" s="219" t="b">
        <v>0</v>
      </c>
      <c r="F70" s="219"/>
      <c r="G70" s="173"/>
      <c r="H70" s="157" t="s">
        <v>6156</v>
      </c>
      <c r="I70" s="157">
        <f t="shared" si="3"/>
        <v>1130</v>
      </c>
      <c r="J70" s="157">
        <v>2025.0</v>
      </c>
      <c r="K70" s="173"/>
    </row>
    <row r="71">
      <c r="A71" s="218">
        <f t="shared" si="2"/>
        <v>68</v>
      </c>
      <c r="B71" s="218" t="s">
        <v>71</v>
      </c>
      <c r="C71" s="219" t="str">
        <f t="shared" si="1"/>
        <v>PC/1131/2025</v>
      </c>
      <c r="D71" s="218" t="b">
        <v>1</v>
      </c>
      <c r="E71" s="219" t="b">
        <v>0</v>
      </c>
      <c r="F71" s="219"/>
      <c r="G71" s="173"/>
      <c r="H71" s="157" t="s">
        <v>6156</v>
      </c>
      <c r="I71" s="157">
        <f t="shared" si="3"/>
        <v>1131</v>
      </c>
      <c r="J71" s="157">
        <v>2025.0</v>
      </c>
      <c r="K71" s="173"/>
    </row>
    <row r="72">
      <c r="A72" s="218">
        <f t="shared" si="2"/>
        <v>69</v>
      </c>
      <c r="B72" s="218" t="s">
        <v>71</v>
      </c>
      <c r="C72" s="219" t="str">
        <f t="shared" si="1"/>
        <v>PC/1132/2025</v>
      </c>
      <c r="D72" s="218" t="b">
        <v>1</v>
      </c>
      <c r="E72" s="219" t="b">
        <v>0</v>
      </c>
      <c r="F72" s="219"/>
      <c r="G72" s="173"/>
      <c r="H72" s="157" t="s">
        <v>6156</v>
      </c>
      <c r="I72" s="157">
        <f t="shared" si="3"/>
        <v>1132</v>
      </c>
      <c r="J72" s="157">
        <v>2025.0</v>
      </c>
      <c r="K72" s="173"/>
    </row>
    <row r="73">
      <c r="A73" s="218">
        <f t="shared" si="2"/>
        <v>70</v>
      </c>
      <c r="B73" s="218" t="s">
        <v>71</v>
      </c>
      <c r="C73" s="219" t="str">
        <f t="shared" si="1"/>
        <v>PC/1133/2025</v>
      </c>
      <c r="D73" s="218" t="b">
        <v>1</v>
      </c>
      <c r="E73" s="219" t="b">
        <v>0</v>
      </c>
      <c r="F73" s="219"/>
      <c r="G73" s="173"/>
      <c r="H73" s="157" t="s">
        <v>6156</v>
      </c>
      <c r="I73" s="157">
        <f t="shared" si="3"/>
        <v>1133</v>
      </c>
      <c r="J73" s="157">
        <v>2025.0</v>
      </c>
      <c r="K73" s="173"/>
    </row>
    <row r="74">
      <c r="A74" s="218">
        <f t="shared" si="2"/>
        <v>71</v>
      </c>
      <c r="B74" s="218" t="s">
        <v>71</v>
      </c>
      <c r="C74" s="219" t="str">
        <f t="shared" si="1"/>
        <v>PC/1134/2025</v>
      </c>
      <c r="D74" s="218" t="b">
        <v>1</v>
      </c>
      <c r="E74" s="219" t="b">
        <v>0</v>
      </c>
      <c r="F74" s="219"/>
      <c r="G74" s="173"/>
      <c r="H74" s="157" t="s">
        <v>6156</v>
      </c>
      <c r="I74" s="157">
        <f t="shared" si="3"/>
        <v>1134</v>
      </c>
      <c r="J74" s="157">
        <v>2025.0</v>
      </c>
      <c r="K74" s="173"/>
    </row>
    <row r="75">
      <c r="A75" s="218">
        <f t="shared" si="2"/>
        <v>72</v>
      </c>
      <c r="B75" s="218" t="s">
        <v>71</v>
      </c>
      <c r="C75" s="219" t="str">
        <f t="shared" si="1"/>
        <v>PC/1135/2025</v>
      </c>
      <c r="D75" s="218" t="b">
        <v>1</v>
      </c>
      <c r="E75" s="219" t="b">
        <v>0</v>
      </c>
      <c r="F75" s="219"/>
      <c r="G75" s="173"/>
      <c r="H75" s="157" t="s">
        <v>6156</v>
      </c>
      <c r="I75" s="157">
        <f t="shared" si="3"/>
        <v>1135</v>
      </c>
      <c r="J75" s="157">
        <v>2025.0</v>
      </c>
      <c r="K75" s="173"/>
    </row>
    <row r="76">
      <c r="A76" s="218">
        <f t="shared" si="2"/>
        <v>73</v>
      </c>
      <c r="B76" s="218" t="s">
        <v>71</v>
      </c>
      <c r="C76" s="219" t="str">
        <f t="shared" si="1"/>
        <v>PC/1136/2025</v>
      </c>
      <c r="D76" s="218" t="b">
        <v>1</v>
      </c>
      <c r="E76" s="219" t="b">
        <v>0</v>
      </c>
      <c r="F76" s="219"/>
      <c r="G76" s="173"/>
      <c r="H76" s="157" t="s">
        <v>6156</v>
      </c>
      <c r="I76" s="157">
        <f t="shared" si="3"/>
        <v>1136</v>
      </c>
      <c r="J76" s="157">
        <v>2025.0</v>
      </c>
      <c r="K76" s="173"/>
    </row>
    <row r="77">
      <c r="A77" s="218">
        <f t="shared" si="2"/>
        <v>74</v>
      </c>
      <c r="B77" s="218" t="s">
        <v>71</v>
      </c>
      <c r="C77" s="219" t="str">
        <f t="shared" si="1"/>
        <v>PC/1137/2025</v>
      </c>
      <c r="D77" s="218" t="b">
        <v>1</v>
      </c>
      <c r="E77" s="219" t="b">
        <v>0</v>
      </c>
      <c r="F77" s="219"/>
      <c r="G77" s="173"/>
      <c r="H77" s="157" t="s">
        <v>6156</v>
      </c>
      <c r="I77" s="157">
        <f t="shared" si="3"/>
        <v>1137</v>
      </c>
      <c r="J77" s="157">
        <v>2025.0</v>
      </c>
      <c r="K77" s="173"/>
    </row>
    <row r="78">
      <c r="A78" s="218">
        <f t="shared" si="2"/>
        <v>75</v>
      </c>
      <c r="B78" s="218" t="s">
        <v>71</v>
      </c>
      <c r="C78" s="219" t="str">
        <f t="shared" si="1"/>
        <v>PC/1138/2025</v>
      </c>
      <c r="D78" s="218" t="b">
        <v>1</v>
      </c>
      <c r="E78" s="219" t="b">
        <v>0</v>
      </c>
      <c r="F78" s="219"/>
      <c r="G78" s="173"/>
      <c r="H78" s="157" t="s">
        <v>6156</v>
      </c>
      <c r="I78" s="157">
        <f t="shared" si="3"/>
        <v>1138</v>
      </c>
      <c r="J78" s="157">
        <v>2025.0</v>
      </c>
      <c r="K78" s="173"/>
    </row>
    <row r="79">
      <c r="A79" s="218">
        <f t="shared" si="2"/>
        <v>76</v>
      </c>
      <c r="B79" s="218" t="s">
        <v>71</v>
      </c>
      <c r="C79" s="219" t="str">
        <f t="shared" si="1"/>
        <v>PC/1139/2025</v>
      </c>
      <c r="D79" s="218" t="b">
        <v>1</v>
      </c>
      <c r="E79" s="219" t="b">
        <v>0</v>
      </c>
      <c r="F79" s="219"/>
      <c r="G79" s="173"/>
      <c r="H79" s="157" t="s">
        <v>6156</v>
      </c>
      <c r="I79" s="157">
        <f t="shared" si="3"/>
        <v>1139</v>
      </c>
      <c r="J79" s="157">
        <v>2025.0</v>
      </c>
      <c r="K79" s="173"/>
    </row>
    <row r="80">
      <c r="A80" s="218">
        <f t="shared" si="2"/>
        <v>77</v>
      </c>
      <c r="B80" s="218" t="s">
        <v>71</v>
      </c>
      <c r="C80" s="219" t="str">
        <f t="shared" si="1"/>
        <v>PC/1140/2025</v>
      </c>
      <c r="D80" s="218" t="b">
        <v>1</v>
      </c>
      <c r="E80" s="219" t="b">
        <v>0</v>
      </c>
      <c r="F80" s="219"/>
      <c r="G80" s="173"/>
      <c r="H80" s="157" t="s">
        <v>6156</v>
      </c>
      <c r="I80" s="157">
        <f t="shared" si="3"/>
        <v>1140</v>
      </c>
      <c r="J80" s="157">
        <v>2025.0</v>
      </c>
      <c r="K80" s="173"/>
    </row>
    <row r="81">
      <c r="A81" s="218">
        <f t="shared" si="2"/>
        <v>78</v>
      </c>
      <c r="B81" s="218" t="s">
        <v>71</v>
      </c>
      <c r="C81" s="219" t="str">
        <f t="shared" si="1"/>
        <v>PC/1141/2025</v>
      </c>
      <c r="D81" s="218" t="b">
        <v>1</v>
      </c>
      <c r="E81" s="219" t="b">
        <v>0</v>
      </c>
      <c r="F81" s="219"/>
      <c r="G81" s="173"/>
      <c r="H81" s="157" t="s">
        <v>6156</v>
      </c>
      <c r="I81" s="157">
        <f t="shared" si="3"/>
        <v>1141</v>
      </c>
      <c r="J81" s="157">
        <v>2025.0</v>
      </c>
      <c r="K81" s="173"/>
    </row>
    <row r="82">
      <c r="A82" s="218">
        <f t="shared" si="2"/>
        <v>79</v>
      </c>
      <c r="B82" s="218" t="s">
        <v>71</v>
      </c>
      <c r="C82" s="219" t="str">
        <f t="shared" si="1"/>
        <v>PC/1142/2025</v>
      </c>
      <c r="D82" s="218" t="b">
        <v>1</v>
      </c>
      <c r="E82" s="219" t="b">
        <v>0</v>
      </c>
      <c r="F82" s="219"/>
      <c r="G82" s="173"/>
      <c r="H82" s="157" t="s">
        <v>6156</v>
      </c>
      <c r="I82" s="157">
        <f t="shared" si="3"/>
        <v>1142</v>
      </c>
      <c r="J82" s="157">
        <v>2025.0</v>
      </c>
      <c r="K82" s="173"/>
    </row>
    <row r="83">
      <c r="A83" s="218">
        <f t="shared" si="2"/>
        <v>80</v>
      </c>
      <c r="B83" s="218" t="s">
        <v>71</v>
      </c>
      <c r="C83" s="219" t="str">
        <f t="shared" si="1"/>
        <v>PC/1143/2025</v>
      </c>
      <c r="D83" s="218" t="b">
        <v>1</v>
      </c>
      <c r="E83" s="219" t="b">
        <v>0</v>
      </c>
      <c r="F83" s="219"/>
      <c r="G83" s="173"/>
      <c r="H83" s="157" t="s">
        <v>6156</v>
      </c>
      <c r="I83" s="157">
        <f t="shared" si="3"/>
        <v>1143</v>
      </c>
      <c r="J83" s="157">
        <v>2025.0</v>
      </c>
      <c r="K83" s="173"/>
    </row>
    <row r="84">
      <c r="A84" s="218">
        <f t="shared" si="2"/>
        <v>81</v>
      </c>
      <c r="B84" s="218" t="s">
        <v>71</v>
      </c>
      <c r="C84" s="219" t="str">
        <f t="shared" si="1"/>
        <v>PC/1144/2025</v>
      </c>
      <c r="D84" s="218" t="b">
        <v>1</v>
      </c>
      <c r="E84" s="219" t="b">
        <v>0</v>
      </c>
      <c r="F84" s="219"/>
      <c r="G84" s="173"/>
      <c r="H84" s="157" t="s">
        <v>6156</v>
      </c>
      <c r="I84" s="157">
        <f t="shared" si="3"/>
        <v>1144</v>
      </c>
      <c r="J84" s="157">
        <v>2025.0</v>
      </c>
      <c r="K84" s="173"/>
    </row>
    <row r="85">
      <c r="A85" s="218">
        <f t="shared" si="2"/>
        <v>82</v>
      </c>
      <c r="B85" s="218" t="s">
        <v>71</v>
      </c>
      <c r="C85" s="219" t="str">
        <f t="shared" si="1"/>
        <v>PC/1145/2025</v>
      </c>
      <c r="D85" s="218" t="b">
        <v>1</v>
      </c>
      <c r="E85" s="219" t="b">
        <v>0</v>
      </c>
      <c r="F85" s="219"/>
      <c r="G85" s="173"/>
      <c r="H85" s="157" t="s">
        <v>6156</v>
      </c>
      <c r="I85" s="157">
        <f t="shared" si="3"/>
        <v>1145</v>
      </c>
      <c r="J85" s="157">
        <v>2025.0</v>
      </c>
      <c r="K85" s="173"/>
    </row>
    <row r="86">
      <c r="A86" s="218">
        <f t="shared" si="2"/>
        <v>83</v>
      </c>
      <c r="B86" s="218" t="s">
        <v>71</v>
      </c>
      <c r="C86" s="219" t="str">
        <f t="shared" si="1"/>
        <v>PC/1146/2025</v>
      </c>
      <c r="D86" s="218" t="b">
        <v>1</v>
      </c>
      <c r="E86" s="219" t="b">
        <v>0</v>
      </c>
      <c r="F86" s="219"/>
      <c r="G86" s="173"/>
      <c r="H86" s="157" t="s">
        <v>6156</v>
      </c>
      <c r="I86" s="157">
        <f t="shared" si="3"/>
        <v>1146</v>
      </c>
      <c r="J86" s="157">
        <v>2025.0</v>
      </c>
      <c r="K86" s="173"/>
    </row>
    <row r="87">
      <c r="A87" s="218">
        <f t="shared" si="2"/>
        <v>84</v>
      </c>
      <c r="B87" s="218" t="s">
        <v>71</v>
      </c>
      <c r="C87" s="219" t="str">
        <f t="shared" si="1"/>
        <v>PC/1147/2025</v>
      </c>
      <c r="D87" s="218" t="b">
        <v>1</v>
      </c>
      <c r="E87" s="219" t="b">
        <v>0</v>
      </c>
      <c r="F87" s="219"/>
      <c r="G87" s="173"/>
      <c r="H87" s="157" t="s">
        <v>6156</v>
      </c>
      <c r="I87" s="157">
        <f t="shared" si="3"/>
        <v>1147</v>
      </c>
      <c r="J87" s="157">
        <v>2025.0</v>
      </c>
      <c r="K87" s="173"/>
    </row>
    <row r="88">
      <c r="A88" s="218">
        <f t="shared" si="2"/>
        <v>85</v>
      </c>
      <c r="B88" s="218" t="s">
        <v>71</v>
      </c>
      <c r="C88" s="219" t="str">
        <f t="shared" si="1"/>
        <v>PC/1148/2025</v>
      </c>
      <c r="D88" s="218" t="b">
        <v>1</v>
      </c>
      <c r="E88" s="219" t="b">
        <v>0</v>
      </c>
      <c r="F88" s="219"/>
      <c r="G88" s="173"/>
      <c r="H88" s="157" t="s">
        <v>6156</v>
      </c>
      <c r="I88" s="157">
        <f t="shared" si="3"/>
        <v>1148</v>
      </c>
      <c r="J88" s="157">
        <v>2025.0</v>
      </c>
      <c r="K88" s="173"/>
    </row>
    <row r="89">
      <c r="A89" s="218">
        <f t="shared" si="2"/>
        <v>86</v>
      </c>
      <c r="B89" s="218" t="s">
        <v>71</v>
      </c>
      <c r="C89" s="219" t="str">
        <f t="shared" si="1"/>
        <v>PC/1149/2025</v>
      </c>
      <c r="D89" s="218" t="b">
        <v>1</v>
      </c>
      <c r="E89" s="219" t="b">
        <v>0</v>
      </c>
      <c r="F89" s="219"/>
      <c r="G89" s="173"/>
      <c r="H89" s="157" t="s">
        <v>6156</v>
      </c>
      <c r="I89" s="157">
        <f t="shared" si="3"/>
        <v>1149</v>
      </c>
      <c r="J89" s="157">
        <v>2025.0</v>
      </c>
      <c r="K89" s="173"/>
    </row>
    <row r="90">
      <c r="A90" s="218">
        <f t="shared" si="2"/>
        <v>87</v>
      </c>
      <c r="B90" s="218" t="s">
        <v>71</v>
      </c>
      <c r="C90" s="219" t="str">
        <f t="shared" si="1"/>
        <v>PC/1150/2025</v>
      </c>
      <c r="D90" s="218" t="b">
        <v>1</v>
      </c>
      <c r="E90" s="219" t="b">
        <v>0</v>
      </c>
      <c r="F90" s="219"/>
      <c r="G90" s="173"/>
      <c r="H90" s="157" t="s">
        <v>6156</v>
      </c>
      <c r="I90" s="157">
        <f t="shared" si="3"/>
        <v>1150</v>
      </c>
      <c r="J90" s="157">
        <v>2025.0</v>
      </c>
      <c r="K90" s="173"/>
    </row>
    <row r="91">
      <c r="A91" s="218">
        <f t="shared" si="2"/>
        <v>88</v>
      </c>
      <c r="B91" s="218" t="s">
        <v>71</v>
      </c>
      <c r="C91" s="219" t="str">
        <f t="shared" si="1"/>
        <v>PC/1151/2025</v>
      </c>
      <c r="D91" s="218" t="b">
        <v>1</v>
      </c>
      <c r="E91" s="219" t="b">
        <v>0</v>
      </c>
      <c r="F91" s="219"/>
      <c r="G91" s="173"/>
      <c r="H91" s="157" t="s">
        <v>6156</v>
      </c>
      <c r="I91" s="157">
        <f t="shared" si="3"/>
        <v>1151</v>
      </c>
      <c r="J91" s="157">
        <v>2025.0</v>
      </c>
      <c r="K91" s="173"/>
    </row>
    <row r="92">
      <c r="A92" s="218">
        <f t="shared" si="2"/>
        <v>89</v>
      </c>
      <c r="B92" s="218" t="s">
        <v>71</v>
      </c>
      <c r="C92" s="219" t="str">
        <f t="shared" si="1"/>
        <v>PC/1152/2025</v>
      </c>
      <c r="D92" s="218" t="b">
        <v>1</v>
      </c>
      <c r="E92" s="219" t="b">
        <v>0</v>
      </c>
      <c r="F92" s="219"/>
      <c r="G92" s="173"/>
      <c r="H92" s="157" t="s">
        <v>6156</v>
      </c>
      <c r="I92" s="157">
        <f t="shared" si="3"/>
        <v>1152</v>
      </c>
      <c r="J92" s="157">
        <v>2025.0</v>
      </c>
      <c r="K92" s="173"/>
    </row>
    <row r="93">
      <c r="A93" s="218">
        <f t="shared" si="2"/>
        <v>90</v>
      </c>
      <c r="B93" s="218" t="s">
        <v>71</v>
      </c>
      <c r="C93" s="219" t="str">
        <f t="shared" si="1"/>
        <v>PC/1153/2025</v>
      </c>
      <c r="D93" s="218" t="b">
        <v>1</v>
      </c>
      <c r="E93" s="219" t="b">
        <v>0</v>
      </c>
      <c r="F93" s="219"/>
      <c r="G93" s="173"/>
      <c r="H93" s="157" t="s">
        <v>6156</v>
      </c>
      <c r="I93" s="157">
        <f t="shared" si="3"/>
        <v>1153</v>
      </c>
      <c r="J93" s="157">
        <v>2025.0</v>
      </c>
      <c r="K93" s="173"/>
    </row>
    <row r="94">
      <c r="A94" s="218">
        <f t="shared" si="2"/>
        <v>91</v>
      </c>
      <c r="B94" s="218" t="s">
        <v>71</v>
      </c>
      <c r="C94" s="219" t="str">
        <f t="shared" si="1"/>
        <v>PC/1154/2025</v>
      </c>
      <c r="D94" s="218" t="b">
        <v>1</v>
      </c>
      <c r="E94" s="219" t="b">
        <v>0</v>
      </c>
      <c r="F94" s="219"/>
      <c r="G94" s="173"/>
      <c r="H94" s="157" t="s">
        <v>6156</v>
      </c>
      <c r="I94" s="157">
        <f t="shared" si="3"/>
        <v>1154</v>
      </c>
      <c r="J94" s="157">
        <v>2025.0</v>
      </c>
      <c r="K94" s="173"/>
    </row>
    <row r="95">
      <c r="A95" s="218">
        <f t="shared" si="2"/>
        <v>92</v>
      </c>
      <c r="B95" s="218" t="s">
        <v>71</v>
      </c>
      <c r="C95" s="219" t="str">
        <f t="shared" si="1"/>
        <v>PC/1155/2025</v>
      </c>
      <c r="D95" s="218" t="b">
        <v>1</v>
      </c>
      <c r="E95" s="219" t="b">
        <v>0</v>
      </c>
      <c r="F95" s="219"/>
      <c r="G95" s="173"/>
      <c r="H95" s="157" t="s">
        <v>6156</v>
      </c>
      <c r="I95" s="157">
        <f t="shared" si="3"/>
        <v>1155</v>
      </c>
      <c r="J95" s="157">
        <v>2025.0</v>
      </c>
      <c r="K95" s="173"/>
    </row>
    <row r="96">
      <c r="A96" s="218">
        <f t="shared" si="2"/>
        <v>93</v>
      </c>
      <c r="B96" s="218" t="s">
        <v>71</v>
      </c>
      <c r="C96" s="219" t="str">
        <f t="shared" si="1"/>
        <v>PC/1156/2025</v>
      </c>
      <c r="D96" s="218" t="b">
        <v>1</v>
      </c>
      <c r="E96" s="219" t="b">
        <v>0</v>
      </c>
      <c r="F96" s="219"/>
      <c r="G96" s="173"/>
      <c r="H96" s="157" t="s">
        <v>6156</v>
      </c>
      <c r="I96" s="157">
        <f t="shared" si="3"/>
        <v>1156</v>
      </c>
      <c r="J96" s="157">
        <v>2025.0</v>
      </c>
      <c r="K96" s="173"/>
    </row>
    <row r="97">
      <c r="A97" s="218">
        <f t="shared" si="2"/>
        <v>94</v>
      </c>
      <c r="B97" s="218" t="s">
        <v>71</v>
      </c>
      <c r="C97" s="219" t="str">
        <f t="shared" si="1"/>
        <v>PC/1157/2025</v>
      </c>
      <c r="D97" s="218" t="b">
        <v>1</v>
      </c>
      <c r="E97" s="219" t="b">
        <v>0</v>
      </c>
      <c r="F97" s="219"/>
      <c r="G97" s="173"/>
      <c r="H97" s="157" t="s">
        <v>6156</v>
      </c>
      <c r="I97" s="157">
        <f t="shared" si="3"/>
        <v>1157</v>
      </c>
      <c r="J97" s="157">
        <v>2025.0</v>
      </c>
      <c r="K97" s="173"/>
    </row>
    <row r="98">
      <c r="A98" s="218">
        <f t="shared" si="2"/>
        <v>95</v>
      </c>
      <c r="B98" s="218" t="s">
        <v>71</v>
      </c>
      <c r="C98" s="219" t="str">
        <f t="shared" si="1"/>
        <v>PC/1158/2025</v>
      </c>
      <c r="D98" s="218" t="b">
        <v>1</v>
      </c>
      <c r="E98" s="219" t="b">
        <v>0</v>
      </c>
      <c r="F98" s="219"/>
      <c r="G98" s="173"/>
      <c r="H98" s="157" t="s">
        <v>6156</v>
      </c>
      <c r="I98" s="157">
        <f t="shared" si="3"/>
        <v>1158</v>
      </c>
      <c r="J98" s="157">
        <v>2025.0</v>
      </c>
      <c r="K98" s="173"/>
    </row>
    <row r="99">
      <c r="A99" s="218">
        <f t="shared" si="2"/>
        <v>96</v>
      </c>
      <c r="B99" s="218" t="s">
        <v>71</v>
      </c>
      <c r="C99" s="219" t="str">
        <f t="shared" si="1"/>
        <v>PC/1159/2025</v>
      </c>
      <c r="D99" s="218" t="b">
        <v>1</v>
      </c>
      <c r="E99" s="219" t="b">
        <v>0</v>
      </c>
      <c r="F99" s="219"/>
      <c r="G99" s="173"/>
      <c r="H99" s="157" t="s">
        <v>6156</v>
      </c>
      <c r="I99" s="157">
        <f t="shared" si="3"/>
        <v>1159</v>
      </c>
      <c r="J99" s="157">
        <v>2025.0</v>
      </c>
      <c r="K99" s="173"/>
    </row>
    <row r="100">
      <c r="A100" s="218">
        <f t="shared" si="2"/>
        <v>97</v>
      </c>
      <c r="B100" s="218" t="s">
        <v>71</v>
      </c>
      <c r="C100" s="219" t="str">
        <f t="shared" si="1"/>
        <v>PC/1160/2025</v>
      </c>
      <c r="D100" s="218" t="b">
        <v>1</v>
      </c>
      <c r="E100" s="219" t="b">
        <v>0</v>
      </c>
      <c r="F100" s="219"/>
      <c r="G100" s="173"/>
      <c r="H100" s="157" t="s">
        <v>6156</v>
      </c>
      <c r="I100" s="157">
        <f t="shared" si="3"/>
        <v>1160</v>
      </c>
      <c r="J100" s="157">
        <v>2025.0</v>
      </c>
      <c r="K100" s="173"/>
    </row>
    <row r="101">
      <c r="A101" s="218">
        <f t="shared" si="2"/>
        <v>98</v>
      </c>
      <c r="B101" s="218" t="s">
        <v>71</v>
      </c>
      <c r="C101" s="219" t="str">
        <f t="shared" si="1"/>
        <v>PC/1161/2025</v>
      </c>
      <c r="D101" s="218" t="b">
        <v>1</v>
      </c>
      <c r="E101" s="219" t="b">
        <v>0</v>
      </c>
      <c r="F101" s="219"/>
      <c r="G101" s="173"/>
      <c r="H101" s="157" t="s">
        <v>6156</v>
      </c>
      <c r="I101" s="157">
        <f t="shared" si="3"/>
        <v>1161</v>
      </c>
      <c r="J101" s="157">
        <v>2025.0</v>
      </c>
      <c r="K101" s="173"/>
    </row>
    <row r="102">
      <c r="A102" s="218">
        <f t="shared" si="2"/>
        <v>99</v>
      </c>
      <c r="B102" s="218" t="s">
        <v>71</v>
      </c>
      <c r="C102" s="219" t="str">
        <f t="shared" si="1"/>
        <v>PC/1162/2025</v>
      </c>
      <c r="D102" s="218" t="b">
        <v>1</v>
      </c>
      <c r="E102" s="219" t="b">
        <v>0</v>
      </c>
      <c r="F102" s="219"/>
      <c r="G102" s="173"/>
      <c r="H102" s="157" t="s">
        <v>6156</v>
      </c>
      <c r="I102" s="157">
        <f t="shared" si="3"/>
        <v>1162</v>
      </c>
      <c r="J102" s="157">
        <v>2025.0</v>
      </c>
      <c r="K102" s="173"/>
    </row>
    <row r="103">
      <c r="A103" s="218">
        <f t="shared" si="2"/>
        <v>100</v>
      </c>
      <c r="B103" s="218" t="s">
        <v>71</v>
      </c>
      <c r="C103" s="219" t="str">
        <f t="shared" si="1"/>
        <v>PC/1163/2025</v>
      </c>
      <c r="D103" s="218" t="b">
        <v>1</v>
      </c>
      <c r="E103" s="219" t="b">
        <v>0</v>
      </c>
      <c r="F103" s="219"/>
      <c r="G103" s="173"/>
      <c r="H103" s="157" t="s">
        <v>6156</v>
      </c>
      <c r="I103" s="157">
        <f t="shared" si="3"/>
        <v>1163</v>
      </c>
      <c r="J103" s="157">
        <v>2025.0</v>
      </c>
      <c r="K103" s="173"/>
    </row>
    <row r="104">
      <c r="A104" s="218">
        <f t="shared" si="2"/>
        <v>101</v>
      </c>
      <c r="B104" s="218" t="s">
        <v>71</v>
      </c>
      <c r="C104" s="219" t="str">
        <f t="shared" si="1"/>
        <v>PC/1164/2025</v>
      </c>
      <c r="D104" s="218" t="b">
        <v>1</v>
      </c>
      <c r="E104" s="219" t="b">
        <v>0</v>
      </c>
      <c r="F104" s="219"/>
      <c r="G104" s="173"/>
      <c r="H104" s="157" t="s">
        <v>6156</v>
      </c>
      <c r="I104" s="157">
        <f t="shared" si="3"/>
        <v>1164</v>
      </c>
      <c r="J104" s="157">
        <v>2025.0</v>
      </c>
      <c r="K104" s="173"/>
    </row>
    <row r="105">
      <c r="A105" s="218">
        <f t="shared" si="2"/>
        <v>102</v>
      </c>
      <c r="B105" s="218" t="s">
        <v>71</v>
      </c>
      <c r="C105" s="219" t="str">
        <f t="shared" si="1"/>
        <v>PC/1165/2025</v>
      </c>
      <c r="D105" s="218" t="b">
        <v>1</v>
      </c>
      <c r="E105" s="219" t="b">
        <v>0</v>
      </c>
      <c r="F105" s="219"/>
      <c r="G105" s="173"/>
      <c r="H105" s="157" t="s">
        <v>6156</v>
      </c>
      <c r="I105" s="157">
        <f t="shared" si="3"/>
        <v>1165</v>
      </c>
      <c r="J105" s="157">
        <v>2025.0</v>
      </c>
      <c r="K105" s="173"/>
    </row>
    <row r="106">
      <c r="A106" s="218">
        <f t="shared" si="2"/>
        <v>103</v>
      </c>
      <c r="B106" s="218" t="s">
        <v>71</v>
      </c>
      <c r="C106" s="219" t="str">
        <f t="shared" si="1"/>
        <v>PC/1166/2025</v>
      </c>
      <c r="D106" s="218" t="b">
        <v>1</v>
      </c>
      <c r="E106" s="219" t="b">
        <v>0</v>
      </c>
      <c r="F106" s="219"/>
      <c r="G106" s="173"/>
      <c r="H106" s="157" t="s">
        <v>6156</v>
      </c>
      <c r="I106" s="157">
        <f t="shared" si="3"/>
        <v>1166</v>
      </c>
      <c r="J106" s="157">
        <v>2025.0</v>
      </c>
      <c r="K106" s="173"/>
    </row>
    <row r="107">
      <c r="A107" s="218">
        <f t="shared" si="2"/>
        <v>104</v>
      </c>
      <c r="B107" s="218" t="s">
        <v>71</v>
      </c>
      <c r="C107" s="219" t="str">
        <f t="shared" si="1"/>
        <v>PC/1167/2025</v>
      </c>
      <c r="D107" s="218" t="b">
        <v>1</v>
      </c>
      <c r="E107" s="219" t="b">
        <v>0</v>
      </c>
      <c r="F107" s="219"/>
      <c r="G107" s="173"/>
      <c r="H107" s="157" t="s">
        <v>6156</v>
      </c>
      <c r="I107" s="157">
        <f t="shared" si="3"/>
        <v>1167</v>
      </c>
      <c r="J107" s="157">
        <v>2025.0</v>
      </c>
      <c r="K107" s="173"/>
    </row>
    <row r="108">
      <c r="A108" s="218">
        <f t="shared" si="2"/>
        <v>105</v>
      </c>
      <c r="B108" s="218" t="s">
        <v>71</v>
      </c>
      <c r="C108" s="219" t="str">
        <f t="shared" si="1"/>
        <v>PC/1168/2025</v>
      </c>
      <c r="D108" s="218" t="b">
        <v>1</v>
      </c>
      <c r="E108" s="219" t="b">
        <v>0</v>
      </c>
      <c r="F108" s="219"/>
      <c r="G108" s="173"/>
      <c r="H108" s="157" t="s">
        <v>6156</v>
      </c>
      <c r="I108" s="157">
        <f t="shared" si="3"/>
        <v>1168</v>
      </c>
      <c r="J108" s="157">
        <v>2025.0</v>
      </c>
      <c r="K108" s="173"/>
    </row>
    <row r="109">
      <c r="A109" s="218">
        <f t="shared" si="2"/>
        <v>106</v>
      </c>
      <c r="B109" s="218" t="s">
        <v>71</v>
      </c>
      <c r="C109" s="219" t="str">
        <f t="shared" si="1"/>
        <v>PC/1169/2025</v>
      </c>
      <c r="D109" s="218" t="b">
        <v>1</v>
      </c>
      <c r="E109" s="219" t="b">
        <v>0</v>
      </c>
      <c r="F109" s="219"/>
      <c r="G109" s="173"/>
      <c r="H109" s="157" t="s">
        <v>6156</v>
      </c>
      <c r="I109" s="157">
        <f t="shared" si="3"/>
        <v>1169</v>
      </c>
      <c r="J109" s="157">
        <v>2025.0</v>
      </c>
      <c r="K109" s="173"/>
    </row>
    <row r="110">
      <c r="A110" s="218">
        <f t="shared" si="2"/>
        <v>107</v>
      </c>
      <c r="B110" s="218" t="s">
        <v>71</v>
      </c>
      <c r="C110" s="219" t="str">
        <f t="shared" si="1"/>
        <v>PC/1170/2025</v>
      </c>
      <c r="D110" s="218" t="b">
        <v>1</v>
      </c>
      <c r="E110" s="219" t="b">
        <v>0</v>
      </c>
      <c r="F110" s="219"/>
      <c r="G110" s="173"/>
      <c r="H110" s="157" t="s">
        <v>6156</v>
      </c>
      <c r="I110" s="157">
        <f t="shared" si="3"/>
        <v>1170</v>
      </c>
      <c r="J110" s="157">
        <v>2025.0</v>
      </c>
      <c r="K110" s="173"/>
    </row>
    <row r="111">
      <c r="A111" s="218">
        <f t="shared" si="2"/>
        <v>108</v>
      </c>
      <c r="B111" s="218" t="s">
        <v>71</v>
      </c>
      <c r="C111" s="219" t="str">
        <f t="shared" si="1"/>
        <v>PC/1171/2025</v>
      </c>
      <c r="D111" s="218" t="b">
        <v>1</v>
      </c>
      <c r="E111" s="219" t="b">
        <v>0</v>
      </c>
      <c r="F111" s="219"/>
      <c r="G111" s="173"/>
      <c r="H111" s="157" t="s">
        <v>6156</v>
      </c>
      <c r="I111" s="157">
        <f t="shared" si="3"/>
        <v>1171</v>
      </c>
      <c r="J111" s="157">
        <v>2025.0</v>
      </c>
      <c r="K111" s="173"/>
    </row>
    <row r="112">
      <c r="A112" s="218">
        <f t="shared" si="2"/>
        <v>109</v>
      </c>
      <c r="B112" s="218" t="s">
        <v>71</v>
      </c>
      <c r="C112" s="219" t="str">
        <f t="shared" si="1"/>
        <v>PC/1172/2025</v>
      </c>
      <c r="D112" s="218" t="b">
        <v>1</v>
      </c>
      <c r="E112" s="219" t="b">
        <v>0</v>
      </c>
      <c r="F112" s="219"/>
      <c r="G112" s="173"/>
      <c r="H112" s="157" t="s">
        <v>6156</v>
      </c>
      <c r="I112" s="157">
        <f t="shared" si="3"/>
        <v>1172</v>
      </c>
      <c r="J112" s="157">
        <v>2025.0</v>
      </c>
      <c r="K112" s="173"/>
    </row>
    <row r="113">
      <c r="A113" s="218">
        <f t="shared" si="2"/>
        <v>110</v>
      </c>
      <c r="B113" s="218" t="s">
        <v>71</v>
      </c>
      <c r="C113" s="219" t="str">
        <f t="shared" si="1"/>
        <v>PC/1173/2025</v>
      </c>
      <c r="D113" s="218" t="b">
        <v>1</v>
      </c>
      <c r="E113" s="219" t="b">
        <v>0</v>
      </c>
      <c r="F113" s="219"/>
      <c r="G113" s="173"/>
      <c r="H113" s="157" t="s">
        <v>6156</v>
      </c>
      <c r="I113" s="157">
        <f t="shared" si="3"/>
        <v>1173</v>
      </c>
      <c r="J113" s="157">
        <v>2025.0</v>
      </c>
      <c r="K113" s="173"/>
    </row>
    <row r="114">
      <c r="A114" s="218">
        <f t="shared" si="2"/>
        <v>111</v>
      </c>
      <c r="B114" s="218" t="s">
        <v>71</v>
      </c>
      <c r="C114" s="219" t="str">
        <f t="shared" si="1"/>
        <v>PC/1174/2025</v>
      </c>
      <c r="D114" s="218" t="b">
        <v>1</v>
      </c>
      <c r="E114" s="219" t="b">
        <v>0</v>
      </c>
      <c r="F114" s="219"/>
      <c r="G114" s="173"/>
      <c r="H114" s="157" t="s">
        <v>6156</v>
      </c>
      <c r="I114" s="157">
        <f t="shared" si="3"/>
        <v>1174</v>
      </c>
      <c r="J114" s="157">
        <v>2025.0</v>
      </c>
      <c r="K114" s="173"/>
    </row>
    <row r="115">
      <c r="A115" s="218">
        <f t="shared" si="2"/>
        <v>112</v>
      </c>
      <c r="B115" s="218" t="s">
        <v>71</v>
      </c>
      <c r="C115" s="219" t="str">
        <f t="shared" si="1"/>
        <v>PC/1175/2025</v>
      </c>
      <c r="D115" s="218" t="b">
        <v>1</v>
      </c>
      <c r="E115" s="219" t="b">
        <v>0</v>
      </c>
      <c r="F115" s="219"/>
      <c r="G115" s="173"/>
      <c r="H115" s="157" t="s">
        <v>6156</v>
      </c>
      <c r="I115" s="157">
        <f t="shared" si="3"/>
        <v>1175</v>
      </c>
      <c r="J115" s="157">
        <v>2025.0</v>
      </c>
      <c r="K115" s="173"/>
    </row>
    <row r="116">
      <c r="A116" s="218">
        <f t="shared" si="2"/>
        <v>113</v>
      </c>
      <c r="B116" s="218" t="s">
        <v>71</v>
      </c>
      <c r="C116" s="219" t="str">
        <f t="shared" si="1"/>
        <v>PC/1176/2025</v>
      </c>
      <c r="D116" s="218" t="b">
        <v>1</v>
      </c>
      <c r="E116" s="219" t="b">
        <v>0</v>
      </c>
      <c r="F116" s="219"/>
      <c r="G116" s="173"/>
      <c r="H116" s="157" t="s">
        <v>6156</v>
      </c>
      <c r="I116" s="157">
        <f t="shared" si="3"/>
        <v>1176</v>
      </c>
      <c r="J116" s="157">
        <v>2025.0</v>
      </c>
      <c r="K116" s="173"/>
    </row>
    <row r="117">
      <c r="A117" s="218">
        <f t="shared" si="2"/>
        <v>114</v>
      </c>
      <c r="B117" s="218" t="s">
        <v>71</v>
      </c>
      <c r="C117" s="219" t="str">
        <f t="shared" si="1"/>
        <v>PC/1177/2025</v>
      </c>
      <c r="D117" s="218" t="b">
        <v>1</v>
      </c>
      <c r="E117" s="219" t="b">
        <v>0</v>
      </c>
      <c r="F117" s="219"/>
      <c r="G117" s="173"/>
      <c r="H117" s="157" t="s">
        <v>6156</v>
      </c>
      <c r="I117" s="157">
        <f t="shared" si="3"/>
        <v>1177</v>
      </c>
      <c r="J117" s="157">
        <v>2025.0</v>
      </c>
      <c r="K117" s="173"/>
    </row>
    <row r="118">
      <c r="A118" s="218">
        <f t="shared" si="2"/>
        <v>115</v>
      </c>
      <c r="B118" s="218" t="s">
        <v>71</v>
      </c>
      <c r="C118" s="219" t="str">
        <f t="shared" si="1"/>
        <v>PC/1178/2025</v>
      </c>
      <c r="D118" s="218" t="b">
        <v>1</v>
      </c>
      <c r="E118" s="219" t="b">
        <v>0</v>
      </c>
      <c r="F118" s="219"/>
      <c r="G118" s="173"/>
      <c r="H118" s="157" t="s">
        <v>6156</v>
      </c>
      <c r="I118" s="157">
        <f t="shared" si="3"/>
        <v>1178</v>
      </c>
      <c r="J118" s="157">
        <v>2025.0</v>
      </c>
      <c r="K118" s="173"/>
    </row>
    <row r="119">
      <c r="A119" s="218">
        <f t="shared" si="2"/>
        <v>116</v>
      </c>
      <c r="B119" s="218" t="s">
        <v>71</v>
      </c>
      <c r="C119" s="219" t="str">
        <f t="shared" si="1"/>
        <v>PC/1179/2025</v>
      </c>
      <c r="D119" s="218" t="b">
        <v>1</v>
      </c>
      <c r="E119" s="219" t="b">
        <v>0</v>
      </c>
      <c r="F119" s="219"/>
      <c r="G119" s="173"/>
      <c r="H119" s="157" t="s">
        <v>6156</v>
      </c>
      <c r="I119" s="157">
        <f t="shared" si="3"/>
        <v>1179</v>
      </c>
      <c r="J119" s="157">
        <v>2025.0</v>
      </c>
      <c r="K119" s="173"/>
    </row>
    <row r="120">
      <c r="A120" s="218">
        <f t="shared" si="2"/>
        <v>117</v>
      </c>
      <c r="B120" s="218" t="s">
        <v>71</v>
      </c>
      <c r="C120" s="219" t="str">
        <f t="shared" si="1"/>
        <v>PC/1180/2025</v>
      </c>
      <c r="D120" s="218" t="b">
        <v>1</v>
      </c>
      <c r="E120" s="219" t="b">
        <v>0</v>
      </c>
      <c r="F120" s="219"/>
      <c r="G120" s="173"/>
      <c r="H120" s="157" t="s">
        <v>6156</v>
      </c>
      <c r="I120" s="157">
        <f t="shared" si="3"/>
        <v>1180</v>
      </c>
      <c r="J120" s="157">
        <v>2025.0</v>
      </c>
      <c r="K120" s="173"/>
    </row>
    <row r="121">
      <c r="A121" s="218">
        <f t="shared" si="2"/>
        <v>118</v>
      </c>
      <c r="B121" s="218" t="s">
        <v>71</v>
      </c>
      <c r="C121" s="219" t="str">
        <f t="shared" si="1"/>
        <v>PC/1181/2025</v>
      </c>
      <c r="D121" s="218" t="b">
        <v>1</v>
      </c>
      <c r="E121" s="219" t="b">
        <v>0</v>
      </c>
      <c r="F121" s="219"/>
      <c r="G121" s="173"/>
      <c r="H121" s="157" t="s">
        <v>6156</v>
      </c>
      <c r="I121" s="157">
        <f t="shared" si="3"/>
        <v>1181</v>
      </c>
      <c r="J121" s="157">
        <v>2025.0</v>
      </c>
      <c r="K121" s="173"/>
    </row>
    <row r="122">
      <c r="A122" s="218">
        <f t="shared" si="2"/>
        <v>119</v>
      </c>
      <c r="B122" s="218" t="s">
        <v>71</v>
      </c>
      <c r="C122" s="219" t="str">
        <f t="shared" si="1"/>
        <v>PC/1182/2025</v>
      </c>
      <c r="D122" s="218" t="b">
        <v>1</v>
      </c>
      <c r="E122" s="219" t="b">
        <v>0</v>
      </c>
      <c r="F122" s="219"/>
      <c r="G122" s="173"/>
      <c r="H122" s="157" t="s">
        <v>6156</v>
      </c>
      <c r="I122" s="157">
        <f t="shared" si="3"/>
        <v>1182</v>
      </c>
      <c r="J122" s="157">
        <v>2025.0</v>
      </c>
      <c r="K122" s="173"/>
    </row>
    <row r="123">
      <c r="A123" s="218">
        <f t="shared" si="2"/>
        <v>120</v>
      </c>
      <c r="B123" s="218" t="s">
        <v>71</v>
      </c>
      <c r="C123" s="219" t="str">
        <f t="shared" si="1"/>
        <v>PC/1183/2025</v>
      </c>
      <c r="D123" s="218" t="b">
        <v>1</v>
      </c>
      <c r="E123" s="219" t="b">
        <v>0</v>
      </c>
      <c r="F123" s="219"/>
      <c r="G123" s="173"/>
      <c r="H123" s="157" t="s">
        <v>6156</v>
      </c>
      <c r="I123" s="157">
        <f t="shared" si="3"/>
        <v>1183</v>
      </c>
      <c r="J123" s="157">
        <v>2025.0</v>
      </c>
      <c r="K123" s="173"/>
    </row>
    <row r="124">
      <c r="A124" s="218">
        <f t="shared" si="2"/>
        <v>121</v>
      </c>
      <c r="B124" s="218" t="s">
        <v>71</v>
      </c>
      <c r="C124" s="219" t="str">
        <f t="shared" si="1"/>
        <v>PC/1184/2025</v>
      </c>
      <c r="D124" s="218" t="b">
        <v>1</v>
      </c>
      <c r="E124" s="219" t="b">
        <v>0</v>
      </c>
      <c r="F124" s="219"/>
      <c r="G124" s="173"/>
      <c r="H124" s="157" t="s">
        <v>6156</v>
      </c>
      <c r="I124" s="157">
        <f t="shared" si="3"/>
        <v>1184</v>
      </c>
      <c r="J124" s="157">
        <v>2025.0</v>
      </c>
      <c r="K124" s="173"/>
    </row>
    <row r="125">
      <c r="A125" s="218">
        <f t="shared" si="2"/>
        <v>122</v>
      </c>
      <c r="B125" s="218" t="s">
        <v>71</v>
      </c>
      <c r="C125" s="219" t="str">
        <f t="shared" si="1"/>
        <v>PC/1185/2025</v>
      </c>
      <c r="D125" s="218" t="b">
        <v>1</v>
      </c>
      <c r="E125" s="219" t="b">
        <v>0</v>
      </c>
      <c r="F125" s="219"/>
      <c r="G125" s="173"/>
      <c r="H125" s="157" t="s">
        <v>6156</v>
      </c>
      <c r="I125" s="157">
        <f t="shared" si="3"/>
        <v>1185</v>
      </c>
      <c r="J125" s="157">
        <v>2025.0</v>
      </c>
      <c r="K125" s="173"/>
    </row>
    <row r="126">
      <c r="A126" s="218">
        <f t="shared" si="2"/>
        <v>123</v>
      </c>
      <c r="B126" s="218" t="s">
        <v>71</v>
      </c>
      <c r="C126" s="219" t="str">
        <f t="shared" si="1"/>
        <v>PC/1186/2025</v>
      </c>
      <c r="D126" s="218" t="b">
        <v>1</v>
      </c>
      <c r="E126" s="219" t="b">
        <v>0</v>
      </c>
      <c r="F126" s="219"/>
      <c r="G126" s="173"/>
      <c r="H126" s="157" t="s">
        <v>6156</v>
      </c>
      <c r="I126" s="157">
        <f t="shared" si="3"/>
        <v>1186</v>
      </c>
      <c r="J126" s="157">
        <v>2025.0</v>
      </c>
      <c r="K126" s="173"/>
    </row>
    <row r="127">
      <c r="A127" s="218">
        <f t="shared" si="2"/>
        <v>124</v>
      </c>
      <c r="B127" s="218" t="s">
        <v>71</v>
      </c>
      <c r="C127" s="219" t="str">
        <f t="shared" si="1"/>
        <v>PC/1187/2025</v>
      </c>
      <c r="D127" s="218" t="b">
        <v>1</v>
      </c>
      <c r="E127" s="219" t="b">
        <v>0</v>
      </c>
      <c r="F127" s="219"/>
      <c r="G127" s="173"/>
      <c r="H127" s="157" t="s">
        <v>6156</v>
      </c>
      <c r="I127" s="157">
        <f t="shared" si="3"/>
        <v>1187</v>
      </c>
      <c r="J127" s="157">
        <v>2025.0</v>
      </c>
      <c r="K127" s="173"/>
    </row>
    <row r="128">
      <c r="A128" s="218">
        <f t="shared" si="2"/>
        <v>125</v>
      </c>
      <c r="B128" s="218" t="s">
        <v>71</v>
      </c>
      <c r="C128" s="219" t="str">
        <f t="shared" si="1"/>
        <v>PC/1188/2025</v>
      </c>
      <c r="D128" s="218" t="b">
        <v>1</v>
      </c>
      <c r="E128" s="219" t="b">
        <v>0</v>
      </c>
      <c r="F128" s="219"/>
      <c r="G128" s="173"/>
      <c r="H128" s="157" t="s">
        <v>6156</v>
      </c>
      <c r="I128" s="157">
        <f t="shared" si="3"/>
        <v>1188</v>
      </c>
      <c r="J128" s="157">
        <v>2025.0</v>
      </c>
      <c r="K128" s="173"/>
    </row>
    <row r="129">
      <c r="A129" s="218">
        <f t="shared" si="2"/>
        <v>126</v>
      </c>
      <c r="B129" s="218" t="s">
        <v>71</v>
      </c>
      <c r="C129" s="219" t="str">
        <f t="shared" si="1"/>
        <v>PC/1189/2025</v>
      </c>
      <c r="D129" s="218" t="b">
        <v>1</v>
      </c>
      <c r="E129" s="219" t="b">
        <v>0</v>
      </c>
      <c r="F129" s="219"/>
      <c r="G129" s="173"/>
      <c r="H129" s="157" t="s">
        <v>6156</v>
      </c>
      <c r="I129" s="157">
        <f t="shared" si="3"/>
        <v>1189</v>
      </c>
      <c r="J129" s="157">
        <v>2025.0</v>
      </c>
      <c r="K129" s="173"/>
    </row>
    <row r="130">
      <c r="A130" s="218">
        <f t="shared" si="2"/>
        <v>127</v>
      </c>
      <c r="B130" s="218" t="s">
        <v>71</v>
      </c>
      <c r="C130" s="219" t="str">
        <f t="shared" si="1"/>
        <v>PC/1190/2025</v>
      </c>
      <c r="D130" s="218" t="b">
        <v>1</v>
      </c>
      <c r="E130" s="219" t="b">
        <v>0</v>
      </c>
      <c r="F130" s="219"/>
      <c r="G130" s="173"/>
      <c r="H130" s="157" t="s">
        <v>6156</v>
      </c>
      <c r="I130" s="157">
        <f t="shared" si="3"/>
        <v>1190</v>
      </c>
      <c r="J130" s="157">
        <v>2025.0</v>
      </c>
      <c r="K130" s="173"/>
    </row>
    <row r="131">
      <c r="A131" s="218">
        <f t="shared" si="2"/>
        <v>128</v>
      </c>
      <c r="B131" s="218" t="s">
        <v>71</v>
      </c>
      <c r="C131" s="219" t="str">
        <f t="shared" si="1"/>
        <v>PC/1191/2025</v>
      </c>
      <c r="D131" s="218" t="b">
        <v>1</v>
      </c>
      <c r="E131" s="219" t="b">
        <v>0</v>
      </c>
      <c r="F131" s="219"/>
      <c r="G131" s="173"/>
      <c r="H131" s="157" t="s">
        <v>6156</v>
      </c>
      <c r="I131" s="157">
        <f t="shared" si="3"/>
        <v>1191</v>
      </c>
      <c r="J131" s="157">
        <v>2025.0</v>
      </c>
      <c r="K131" s="173"/>
    </row>
    <row r="132">
      <c r="A132" s="218">
        <f t="shared" si="2"/>
        <v>129</v>
      </c>
      <c r="B132" s="218" t="s">
        <v>71</v>
      </c>
      <c r="C132" s="219" t="str">
        <f t="shared" si="1"/>
        <v>PC/1192/2025</v>
      </c>
      <c r="D132" s="218" t="b">
        <v>1</v>
      </c>
      <c r="E132" s="219" t="b">
        <v>0</v>
      </c>
      <c r="F132" s="219"/>
      <c r="G132" s="173"/>
      <c r="H132" s="157" t="s">
        <v>6156</v>
      </c>
      <c r="I132" s="157">
        <f t="shared" si="3"/>
        <v>1192</v>
      </c>
      <c r="J132" s="157">
        <v>2025.0</v>
      </c>
      <c r="K132" s="173"/>
    </row>
    <row r="133">
      <c r="A133" s="218">
        <f t="shared" si="2"/>
        <v>130</v>
      </c>
      <c r="B133" s="218" t="s">
        <v>71</v>
      </c>
      <c r="C133" s="219" t="str">
        <f t="shared" si="1"/>
        <v>PC/1193/2025</v>
      </c>
      <c r="D133" s="218" t="b">
        <v>1</v>
      </c>
      <c r="E133" s="219" t="b">
        <v>0</v>
      </c>
      <c r="F133" s="219"/>
      <c r="G133" s="173"/>
      <c r="H133" s="157" t="s">
        <v>6156</v>
      </c>
      <c r="I133" s="157">
        <f t="shared" si="3"/>
        <v>1193</v>
      </c>
      <c r="J133" s="157">
        <v>2025.0</v>
      </c>
      <c r="K133" s="173"/>
    </row>
    <row r="134">
      <c r="A134" s="218">
        <f t="shared" si="2"/>
        <v>131</v>
      </c>
      <c r="B134" s="218" t="s">
        <v>71</v>
      </c>
      <c r="C134" s="219" t="str">
        <f t="shared" si="1"/>
        <v>PC/1194/2025</v>
      </c>
      <c r="D134" s="218" t="b">
        <v>1</v>
      </c>
      <c r="E134" s="219" t="b">
        <v>0</v>
      </c>
      <c r="F134" s="219"/>
      <c r="G134" s="173"/>
      <c r="H134" s="157" t="s">
        <v>6156</v>
      </c>
      <c r="I134" s="157">
        <f t="shared" si="3"/>
        <v>1194</v>
      </c>
      <c r="J134" s="157">
        <v>2025.0</v>
      </c>
      <c r="K134" s="173"/>
    </row>
    <row r="135">
      <c r="A135" s="218">
        <f t="shared" si="2"/>
        <v>132</v>
      </c>
      <c r="B135" s="218" t="s">
        <v>71</v>
      </c>
      <c r="C135" s="219" t="str">
        <f t="shared" si="1"/>
        <v>PC/1195/2025</v>
      </c>
      <c r="D135" s="218" t="b">
        <v>1</v>
      </c>
      <c r="E135" s="219" t="b">
        <v>0</v>
      </c>
      <c r="F135" s="219"/>
      <c r="G135" s="173"/>
      <c r="H135" s="157" t="s">
        <v>6156</v>
      </c>
      <c r="I135" s="157">
        <f t="shared" si="3"/>
        <v>1195</v>
      </c>
      <c r="J135" s="157">
        <v>2025.0</v>
      </c>
      <c r="K135" s="173"/>
    </row>
    <row r="136">
      <c r="A136" s="218">
        <f t="shared" si="2"/>
        <v>133</v>
      </c>
      <c r="B136" s="218" t="s">
        <v>71</v>
      </c>
      <c r="C136" s="219" t="str">
        <f t="shared" si="1"/>
        <v>PC/1196/2025</v>
      </c>
      <c r="D136" s="218" t="b">
        <v>1</v>
      </c>
      <c r="E136" s="219" t="b">
        <v>0</v>
      </c>
      <c r="F136" s="219"/>
      <c r="G136" s="173"/>
      <c r="H136" s="157" t="s">
        <v>6156</v>
      </c>
      <c r="I136" s="157">
        <f t="shared" si="3"/>
        <v>1196</v>
      </c>
      <c r="J136" s="157">
        <v>2025.0</v>
      </c>
      <c r="K136" s="173"/>
    </row>
    <row r="137">
      <c r="A137" s="218">
        <f t="shared" si="2"/>
        <v>134</v>
      </c>
      <c r="B137" s="218" t="s">
        <v>71</v>
      </c>
      <c r="C137" s="219" t="str">
        <f t="shared" si="1"/>
        <v>PC/1197/2025</v>
      </c>
      <c r="D137" s="218" t="b">
        <v>1</v>
      </c>
      <c r="E137" s="219" t="b">
        <v>0</v>
      </c>
      <c r="F137" s="219"/>
      <c r="G137" s="173"/>
      <c r="H137" s="157" t="s">
        <v>6156</v>
      </c>
      <c r="I137" s="157">
        <f t="shared" si="3"/>
        <v>1197</v>
      </c>
      <c r="J137" s="157">
        <v>2025.0</v>
      </c>
      <c r="K137" s="173"/>
    </row>
    <row r="138">
      <c r="A138" s="218">
        <f t="shared" si="2"/>
        <v>135</v>
      </c>
      <c r="B138" s="218" t="s">
        <v>71</v>
      </c>
      <c r="C138" s="219" t="str">
        <f t="shared" si="1"/>
        <v>PC/1198/2025</v>
      </c>
      <c r="D138" s="218" t="b">
        <v>1</v>
      </c>
      <c r="E138" s="219" t="b">
        <v>0</v>
      </c>
      <c r="F138" s="219"/>
      <c r="G138" s="173"/>
      <c r="H138" s="157" t="s">
        <v>6156</v>
      </c>
      <c r="I138" s="157">
        <f t="shared" si="3"/>
        <v>1198</v>
      </c>
      <c r="J138" s="157">
        <v>2025.0</v>
      </c>
      <c r="K138" s="173"/>
    </row>
    <row r="139">
      <c r="A139" s="218">
        <f t="shared" si="2"/>
        <v>136</v>
      </c>
      <c r="B139" s="218" t="s">
        <v>71</v>
      </c>
      <c r="C139" s="219" t="str">
        <f t="shared" si="1"/>
        <v>PC/1199/2025</v>
      </c>
      <c r="D139" s="218" t="b">
        <v>1</v>
      </c>
      <c r="E139" s="219" t="b">
        <v>0</v>
      </c>
      <c r="F139" s="219"/>
      <c r="G139" s="173"/>
      <c r="H139" s="157" t="s">
        <v>6156</v>
      </c>
      <c r="I139" s="157">
        <f t="shared" si="3"/>
        <v>1199</v>
      </c>
      <c r="J139" s="157">
        <v>2025.0</v>
      </c>
      <c r="K139" s="173"/>
    </row>
    <row r="140">
      <c r="A140" s="218">
        <f t="shared" si="2"/>
        <v>137</v>
      </c>
      <c r="B140" s="218" t="s">
        <v>71</v>
      </c>
      <c r="C140" s="219" t="str">
        <f t="shared" si="1"/>
        <v>PC/1200/2025</v>
      </c>
      <c r="D140" s="218" t="b">
        <v>1</v>
      </c>
      <c r="E140" s="219" t="b">
        <v>0</v>
      </c>
      <c r="F140" s="219"/>
      <c r="G140" s="173"/>
      <c r="H140" s="157" t="s">
        <v>6156</v>
      </c>
      <c r="I140" s="157">
        <f t="shared" si="3"/>
        <v>1200</v>
      </c>
      <c r="J140" s="157">
        <v>2025.0</v>
      </c>
      <c r="K140" s="173"/>
    </row>
    <row r="141">
      <c r="A141" s="218">
        <f t="shared" si="2"/>
        <v>138</v>
      </c>
      <c r="B141" s="218" t="s">
        <v>71</v>
      </c>
      <c r="C141" s="219" t="str">
        <f t="shared" si="1"/>
        <v>PC/1201/2025</v>
      </c>
      <c r="D141" s="218" t="b">
        <v>1</v>
      </c>
      <c r="E141" s="219" t="b">
        <v>0</v>
      </c>
      <c r="F141" s="219"/>
      <c r="G141" s="173"/>
      <c r="H141" s="157" t="s">
        <v>6156</v>
      </c>
      <c r="I141" s="157">
        <f t="shared" si="3"/>
        <v>1201</v>
      </c>
      <c r="J141" s="157">
        <v>2025.0</v>
      </c>
      <c r="K141" s="173"/>
    </row>
    <row r="142">
      <c r="A142" s="218">
        <f t="shared" si="2"/>
        <v>139</v>
      </c>
      <c r="B142" s="218" t="s">
        <v>71</v>
      </c>
      <c r="C142" s="219" t="str">
        <f t="shared" si="1"/>
        <v>PC/1202/2025</v>
      </c>
      <c r="D142" s="218" t="b">
        <v>1</v>
      </c>
      <c r="E142" s="219" t="b">
        <v>0</v>
      </c>
      <c r="F142" s="219"/>
      <c r="G142" s="173"/>
      <c r="H142" s="157" t="s">
        <v>6156</v>
      </c>
      <c r="I142" s="157">
        <f t="shared" si="3"/>
        <v>1202</v>
      </c>
      <c r="J142" s="157">
        <v>2025.0</v>
      </c>
      <c r="K142" s="173"/>
    </row>
    <row r="143">
      <c r="A143" s="218">
        <f t="shared" si="2"/>
        <v>140</v>
      </c>
      <c r="B143" s="218" t="s">
        <v>71</v>
      </c>
      <c r="C143" s="219" t="str">
        <f t="shared" si="1"/>
        <v>PC/1203/2025</v>
      </c>
      <c r="D143" s="218" t="b">
        <v>1</v>
      </c>
      <c r="E143" s="219" t="b">
        <v>0</v>
      </c>
      <c r="F143" s="219"/>
      <c r="G143" s="173"/>
      <c r="H143" s="157" t="s">
        <v>6156</v>
      </c>
      <c r="I143" s="157">
        <f t="shared" si="3"/>
        <v>1203</v>
      </c>
      <c r="J143" s="157">
        <v>2025.0</v>
      </c>
      <c r="K143" s="173"/>
    </row>
    <row r="144">
      <c r="A144" s="218">
        <f t="shared" si="2"/>
        <v>141</v>
      </c>
      <c r="B144" s="218" t="s">
        <v>71</v>
      </c>
      <c r="C144" s="219" t="str">
        <f t="shared" si="1"/>
        <v>PC/1204/2025</v>
      </c>
      <c r="D144" s="218" t="b">
        <v>1</v>
      </c>
      <c r="E144" s="219" t="b">
        <v>0</v>
      </c>
      <c r="F144" s="219"/>
      <c r="G144" s="173"/>
      <c r="H144" s="157" t="s">
        <v>6156</v>
      </c>
      <c r="I144" s="157">
        <f t="shared" si="3"/>
        <v>1204</v>
      </c>
      <c r="J144" s="157">
        <v>2025.0</v>
      </c>
      <c r="K144" s="173"/>
    </row>
    <row r="145">
      <c r="A145" s="218">
        <f t="shared" si="2"/>
        <v>142</v>
      </c>
      <c r="B145" s="218" t="s">
        <v>71</v>
      </c>
      <c r="C145" s="219" t="str">
        <f t="shared" si="1"/>
        <v>PC/1205/2025</v>
      </c>
      <c r="D145" s="218" t="b">
        <v>1</v>
      </c>
      <c r="E145" s="219" t="b">
        <v>0</v>
      </c>
      <c r="F145" s="219"/>
      <c r="G145" s="173"/>
      <c r="H145" s="157" t="s">
        <v>6156</v>
      </c>
      <c r="I145" s="157">
        <f t="shared" si="3"/>
        <v>1205</v>
      </c>
      <c r="J145" s="157">
        <v>2025.0</v>
      </c>
      <c r="K145" s="173"/>
    </row>
    <row r="146">
      <c r="A146" s="218">
        <f t="shared" si="2"/>
        <v>143</v>
      </c>
      <c r="B146" s="218" t="s">
        <v>71</v>
      </c>
      <c r="C146" s="219" t="str">
        <f t="shared" si="1"/>
        <v>PC/1206/2025</v>
      </c>
      <c r="D146" s="218" t="b">
        <v>1</v>
      </c>
      <c r="E146" s="219" t="b">
        <v>0</v>
      </c>
      <c r="F146" s="219"/>
      <c r="G146" s="173"/>
      <c r="H146" s="157" t="s">
        <v>6156</v>
      </c>
      <c r="I146" s="157">
        <f t="shared" si="3"/>
        <v>1206</v>
      </c>
      <c r="J146" s="157">
        <v>2025.0</v>
      </c>
      <c r="K146" s="173"/>
    </row>
    <row r="147">
      <c r="A147" s="218">
        <f t="shared" si="2"/>
        <v>144</v>
      </c>
      <c r="B147" s="218" t="s">
        <v>71</v>
      </c>
      <c r="C147" s="219" t="str">
        <f t="shared" si="1"/>
        <v>PC/1207/2025</v>
      </c>
      <c r="D147" s="218" t="b">
        <v>1</v>
      </c>
      <c r="E147" s="219" t="b">
        <v>0</v>
      </c>
      <c r="F147" s="219"/>
      <c r="G147" s="173"/>
      <c r="H147" s="157" t="s">
        <v>6156</v>
      </c>
      <c r="I147" s="157">
        <f t="shared" si="3"/>
        <v>1207</v>
      </c>
      <c r="J147" s="157">
        <v>2025.0</v>
      </c>
      <c r="K147" s="173"/>
    </row>
    <row r="148">
      <c r="A148" s="218">
        <f t="shared" si="2"/>
        <v>145</v>
      </c>
      <c r="B148" s="218" t="s">
        <v>71</v>
      </c>
      <c r="C148" s="219" t="str">
        <f t="shared" si="1"/>
        <v>PC/1208/2025</v>
      </c>
      <c r="D148" s="218" t="b">
        <v>1</v>
      </c>
      <c r="E148" s="219" t="b">
        <v>0</v>
      </c>
      <c r="F148" s="219"/>
      <c r="G148" s="173"/>
      <c r="H148" s="157" t="s">
        <v>6156</v>
      </c>
      <c r="I148" s="157">
        <f t="shared" si="3"/>
        <v>1208</v>
      </c>
      <c r="J148" s="157">
        <v>2025.0</v>
      </c>
      <c r="K148" s="173"/>
    </row>
    <row r="149">
      <c r="A149" s="218">
        <f t="shared" si="2"/>
        <v>146</v>
      </c>
      <c r="B149" s="218" t="s">
        <v>71</v>
      </c>
      <c r="C149" s="219" t="str">
        <f t="shared" si="1"/>
        <v>PC/1209/2025</v>
      </c>
      <c r="D149" s="218" t="b">
        <v>1</v>
      </c>
      <c r="E149" s="219" t="b">
        <v>0</v>
      </c>
      <c r="F149" s="219"/>
      <c r="G149" s="173"/>
      <c r="H149" s="157" t="s">
        <v>6156</v>
      </c>
      <c r="I149" s="157">
        <f t="shared" si="3"/>
        <v>1209</v>
      </c>
      <c r="J149" s="157">
        <v>2025.0</v>
      </c>
      <c r="K149" s="173"/>
    </row>
    <row r="150">
      <c r="A150" s="218">
        <f t="shared" si="2"/>
        <v>147</v>
      </c>
      <c r="B150" s="218" t="s">
        <v>71</v>
      </c>
      <c r="C150" s="219" t="str">
        <f t="shared" si="1"/>
        <v>PC/1210/2025</v>
      </c>
      <c r="D150" s="218" t="b">
        <v>1</v>
      </c>
      <c r="E150" s="219" t="b">
        <v>0</v>
      </c>
      <c r="F150" s="219"/>
      <c r="G150" s="173"/>
      <c r="H150" s="157" t="s">
        <v>6156</v>
      </c>
      <c r="I150" s="157">
        <f t="shared" si="3"/>
        <v>1210</v>
      </c>
      <c r="J150" s="157">
        <v>2025.0</v>
      </c>
      <c r="K150" s="173"/>
    </row>
    <row r="151">
      <c r="A151" s="218">
        <f t="shared" si="2"/>
        <v>148</v>
      </c>
      <c r="B151" s="218" t="s">
        <v>71</v>
      </c>
      <c r="C151" s="219" t="str">
        <f t="shared" si="1"/>
        <v>PC/1211/2025</v>
      </c>
      <c r="D151" s="218" t="b">
        <v>1</v>
      </c>
      <c r="E151" s="219" t="b">
        <v>0</v>
      </c>
      <c r="F151" s="219"/>
      <c r="G151" s="173"/>
      <c r="H151" s="157" t="s">
        <v>6156</v>
      </c>
      <c r="I151" s="157">
        <f t="shared" si="3"/>
        <v>1211</v>
      </c>
      <c r="J151" s="157">
        <v>2025.0</v>
      </c>
      <c r="K151" s="173"/>
    </row>
    <row r="152">
      <c r="A152" s="218">
        <f t="shared" si="2"/>
        <v>149</v>
      </c>
      <c r="B152" s="218" t="s">
        <v>71</v>
      </c>
      <c r="C152" s="219" t="str">
        <f t="shared" si="1"/>
        <v>PC/1212/2025</v>
      </c>
      <c r="D152" s="218" t="b">
        <v>1</v>
      </c>
      <c r="E152" s="219" t="b">
        <v>0</v>
      </c>
      <c r="F152" s="219"/>
      <c r="G152" s="173"/>
      <c r="H152" s="157" t="s">
        <v>6156</v>
      </c>
      <c r="I152" s="157">
        <f t="shared" si="3"/>
        <v>1212</v>
      </c>
      <c r="J152" s="157">
        <v>2025.0</v>
      </c>
      <c r="K152" s="173"/>
    </row>
    <row r="153">
      <c r="A153" s="218">
        <f t="shared" si="2"/>
        <v>150</v>
      </c>
      <c r="B153" s="218" t="s">
        <v>71</v>
      </c>
      <c r="C153" s="219" t="str">
        <f t="shared" si="1"/>
        <v>PC/1213/2025</v>
      </c>
      <c r="D153" s="218" t="b">
        <v>1</v>
      </c>
      <c r="E153" s="219" t="b">
        <v>0</v>
      </c>
      <c r="F153" s="219"/>
      <c r="G153" s="173"/>
      <c r="H153" s="157" t="s">
        <v>6156</v>
      </c>
      <c r="I153" s="157">
        <f t="shared" si="3"/>
        <v>1213</v>
      </c>
      <c r="J153" s="157">
        <v>2025.0</v>
      </c>
      <c r="K153" s="173"/>
    </row>
    <row r="154">
      <c r="A154" s="218">
        <f t="shared" si="2"/>
        <v>151</v>
      </c>
      <c r="B154" s="218" t="s">
        <v>71</v>
      </c>
      <c r="C154" s="219" t="str">
        <f t="shared" si="1"/>
        <v>PC/1214/2025</v>
      </c>
      <c r="D154" s="218" t="b">
        <v>1</v>
      </c>
      <c r="E154" s="219" t="b">
        <v>0</v>
      </c>
      <c r="F154" s="219"/>
      <c r="G154" s="173"/>
      <c r="H154" s="157" t="s">
        <v>6156</v>
      </c>
      <c r="I154" s="157">
        <f t="shared" si="3"/>
        <v>1214</v>
      </c>
      <c r="J154" s="157">
        <v>2025.0</v>
      </c>
      <c r="K154" s="173"/>
    </row>
    <row r="155">
      <c r="A155" s="218">
        <f t="shared" si="2"/>
        <v>152</v>
      </c>
      <c r="B155" s="218" t="s">
        <v>71</v>
      </c>
      <c r="C155" s="219" t="str">
        <f t="shared" si="1"/>
        <v>PC/1215/2025</v>
      </c>
      <c r="D155" s="218" t="b">
        <v>1</v>
      </c>
      <c r="E155" s="219" t="b">
        <v>0</v>
      </c>
      <c r="F155" s="219"/>
      <c r="G155" s="173"/>
      <c r="H155" s="157" t="s">
        <v>6156</v>
      </c>
      <c r="I155" s="157">
        <f t="shared" si="3"/>
        <v>1215</v>
      </c>
      <c r="J155" s="157">
        <v>2025.0</v>
      </c>
      <c r="K155" s="173"/>
    </row>
    <row r="156">
      <c r="A156" s="218">
        <f t="shared" si="2"/>
        <v>153</v>
      </c>
      <c r="B156" s="218" t="s">
        <v>71</v>
      </c>
      <c r="C156" s="219" t="str">
        <f t="shared" si="1"/>
        <v>PC/1216/2025</v>
      </c>
      <c r="D156" s="218" t="b">
        <v>1</v>
      </c>
      <c r="E156" s="219" t="b">
        <v>0</v>
      </c>
      <c r="F156" s="219"/>
      <c r="G156" s="173"/>
      <c r="H156" s="157" t="s">
        <v>6156</v>
      </c>
      <c r="I156" s="157">
        <f t="shared" si="3"/>
        <v>1216</v>
      </c>
      <c r="J156" s="157">
        <v>2025.0</v>
      </c>
      <c r="K156" s="173"/>
    </row>
    <row r="157">
      <c r="A157" s="218">
        <f t="shared" si="2"/>
        <v>154</v>
      </c>
      <c r="B157" s="218" t="s">
        <v>71</v>
      </c>
      <c r="C157" s="219" t="str">
        <f t="shared" si="1"/>
        <v>PC/1217/2025</v>
      </c>
      <c r="D157" s="218" t="b">
        <v>1</v>
      </c>
      <c r="E157" s="219" t="b">
        <v>0</v>
      </c>
      <c r="F157" s="219"/>
      <c r="G157" s="173"/>
      <c r="H157" s="157" t="s">
        <v>6156</v>
      </c>
      <c r="I157" s="157">
        <f t="shared" si="3"/>
        <v>1217</v>
      </c>
      <c r="J157" s="157">
        <v>2025.0</v>
      </c>
      <c r="K157" s="173"/>
    </row>
    <row r="158">
      <c r="A158" s="218">
        <f t="shared" si="2"/>
        <v>155</v>
      </c>
      <c r="B158" s="218" t="s">
        <v>71</v>
      </c>
      <c r="C158" s="219" t="str">
        <f t="shared" si="1"/>
        <v>PC/1218/2025</v>
      </c>
      <c r="D158" s="218" t="b">
        <v>1</v>
      </c>
      <c r="E158" s="219" t="b">
        <v>0</v>
      </c>
      <c r="F158" s="219"/>
      <c r="G158" s="173"/>
      <c r="H158" s="157" t="s">
        <v>6156</v>
      </c>
      <c r="I158" s="157">
        <f t="shared" si="3"/>
        <v>1218</v>
      </c>
      <c r="J158" s="157">
        <v>2025.0</v>
      </c>
      <c r="K158" s="173"/>
    </row>
    <row r="159">
      <c r="A159" s="218">
        <f t="shared" si="2"/>
        <v>156</v>
      </c>
      <c r="B159" s="218" t="s">
        <v>71</v>
      </c>
      <c r="C159" s="219" t="str">
        <f t="shared" si="1"/>
        <v>PC/1219/2025</v>
      </c>
      <c r="D159" s="218" t="b">
        <v>1</v>
      </c>
      <c r="E159" s="219" t="b">
        <v>0</v>
      </c>
      <c r="F159" s="219"/>
      <c r="G159" s="173"/>
      <c r="H159" s="157" t="s">
        <v>6156</v>
      </c>
      <c r="I159" s="157">
        <f t="shared" si="3"/>
        <v>1219</v>
      </c>
      <c r="J159" s="157">
        <v>2025.0</v>
      </c>
      <c r="K159" s="173"/>
    </row>
    <row r="160">
      <c r="A160" s="218">
        <f t="shared" si="2"/>
        <v>157</v>
      </c>
      <c r="B160" s="218" t="s">
        <v>71</v>
      </c>
      <c r="C160" s="219" t="str">
        <f t="shared" si="1"/>
        <v>PC/1220/2025</v>
      </c>
      <c r="D160" s="218" t="b">
        <v>1</v>
      </c>
      <c r="E160" s="219" t="b">
        <v>0</v>
      </c>
      <c r="F160" s="219"/>
      <c r="G160" s="173"/>
      <c r="H160" s="157" t="s">
        <v>6156</v>
      </c>
      <c r="I160" s="157">
        <f t="shared" si="3"/>
        <v>1220</v>
      </c>
      <c r="J160" s="157">
        <v>2025.0</v>
      </c>
      <c r="K160" s="173"/>
    </row>
    <row r="161">
      <c r="A161" s="218">
        <f t="shared" si="2"/>
        <v>158</v>
      </c>
      <c r="B161" s="218" t="s">
        <v>71</v>
      </c>
      <c r="C161" s="219" t="str">
        <f t="shared" si="1"/>
        <v>PC/1221/2025</v>
      </c>
      <c r="D161" s="218" t="b">
        <v>1</v>
      </c>
      <c r="E161" s="219" t="b">
        <v>0</v>
      </c>
      <c r="F161" s="219"/>
      <c r="G161" s="173"/>
      <c r="H161" s="157" t="s">
        <v>6156</v>
      </c>
      <c r="I161" s="157">
        <f t="shared" si="3"/>
        <v>1221</v>
      </c>
      <c r="J161" s="157">
        <v>2025.0</v>
      </c>
      <c r="K161" s="173"/>
    </row>
    <row r="162">
      <c r="A162" s="218">
        <f t="shared" si="2"/>
        <v>159</v>
      </c>
      <c r="B162" s="218" t="s">
        <v>71</v>
      </c>
      <c r="C162" s="219" t="str">
        <f t="shared" si="1"/>
        <v>PC/1222/2025</v>
      </c>
      <c r="D162" s="218" t="b">
        <v>1</v>
      </c>
      <c r="E162" s="219" t="b">
        <v>0</v>
      </c>
      <c r="F162" s="219"/>
      <c r="G162" s="173"/>
      <c r="H162" s="157" t="s">
        <v>6156</v>
      </c>
      <c r="I162" s="157">
        <f t="shared" si="3"/>
        <v>1222</v>
      </c>
      <c r="J162" s="157">
        <v>2025.0</v>
      </c>
      <c r="K162" s="173"/>
    </row>
    <row r="163">
      <c r="A163" s="218">
        <f t="shared" si="2"/>
        <v>160</v>
      </c>
      <c r="B163" s="218" t="s">
        <v>71</v>
      </c>
      <c r="C163" s="219" t="str">
        <f t="shared" si="1"/>
        <v>PC/1223/2025</v>
      </c>
      <c r="D163" s="218" t="b">
        <v>1</v>
      </c>
      <c r="E163" s="219" t="b">
        <v>0</v>
      </c>
      <c r="F163" s="219"/>
      <c r="G163" s="173"/>
      <c r="H163" s="157" t="s">
        <v>6156</v>
      </c>
      <c r="I163" s="157">
        <f t="shared" si="3"/>
        <v>1223</v>
      </c>
      <c r="J163" s="157">
        <v>2025.0</v>
      </c>
      <c r="K163" s="173"/>
    </row>
    <row r="164">
      <c r="A164" s="218">
        <f t="shared" si="2"/>
        <v>161</v>
      </c>
      <c r="B164" s="218" t="s">
        <v>71</v>
      </c>
      <c r="C164" s="219" t="str">
        <f t="shared" si="1"/>
        <v>PC/1224/2025</v>
      </c>
      <c r="D164" s="218" t="b">
        <v>1</v>
      </c>
      <c r="E164" s="219" t="b">
        <v>0</v>
      </c>
      <c r="F164" s="219"/>
      <c r="G164" s="173"/>
      <c r="H164" s="157" t="s">
        <v>6156</v>
      </c>
      <c r="I164" s="157">
        <f t="shared" si="3"/>
        <v>1224</v>
      </c>
      <c r="J164" s="157">
        <v>2025.0</v>
      </c>
      <c r="K164" s="173"/>
    </row>
    <row r="165">
      <c r="A165" s="218">
        <f t="shared" si="2"/>
        <v>162</v>
      </c>
      <c r="B165" s="218" t="s">
        <v>71</v>
      </c>
      <c r="C165" s="219" t="str">
        <f t="shared" si="1"/>
        <v>PC/1225/2025</v>
      </c>
      <c r="D165" s="218" t="b">
        <v>1</v>
      </c>
      <c r="E165" s="219" t="b">
        <v>0</v>
      </c>
      <c r="F165" s="219"/>
      <c r="G165" s="173"/>
      <c r="H165" s="157" t="s">
        <v>6156</v>
      </c>
      <c r="I165" s="157">
        <f t="shared" si="3"/>
        <v>1225</v>
      </c>
      <c r="J165" s="157">
        <v>2025.0</v>
      </c>
      <c r="K165" s="173"/>
    </row>
    <row r="166">
      <c r="A166" s="218">
        <f t="shared" si="2"/>
        <v>163</v>
      </c>
      <c r="B166" s="218" t="s">
        <v>71</v>
      </c>
      <c r="C166" s="219" t="str">
        <f t="shared" si="1"/>
        <v>PC/1226/2025</v>
      </c>
      <c r="D166" s="218" t="b">
        <v>1</v>
      </c>
      <c r="E166" s="219" t="b">
        <v>0</v>
      </c>
      <c r="F166" s="219"/>
      <c r="G166" s="173"/>
      <c r="H166" s="157" t="s">
        <v>6156</v>
      </c>
      <c r="I166" s="157">
        <f t="shared" si="3"/>
        <v>1226</v>
      </c>
      <c r="J166" s="157">
        <v>2025.0</v>
      </c>
      <c r="K166" s="173"/>
    </row>
    <row r="167">
      <c r="A167" s="218">
        <f t="shared" si="2"/>
        <v>164</v>
      </c>
      <c r="B167" s="218" t="s">
        <v>71</v>
      </c>
      <c r="C167" s="219" t="str">
        <f t="shared" si="1"/>
        <v>PC/1227/2025</v>
      </c>
      <c r="D167" s="218" t="b">
        <v>1</v>
      </c>
      <c r="E167" s="219" t="b">
        <v>0</v>
      </c>
      <c r="F167" s="219"/>
      <c r="G167" s="173"/>
      <c r="H167" s="157" t="s">
        <v>6156</v>
      </c>
      <c r="I167" s="157">
        <f t="shared" si="3"/>
        <v>1227</v>
      </c>
      <c r="J167" s="157">
        <v>2025.0</v>
      </c>
      <c r="K167" s="173"/>
    </row>
    <row r="168">
      <c r="A168" s="218">
        <f t="shared" si="2"/>
        <v>165</v>
      </c>
      <c r="B168" s="218" t="s">
        <v>71</v>
      </c>
      <c r="C168" s="219" t="str">
        <f t="shared" si="1"/>
        <v>PC/1228/2025</v>
      </c>
      <c r="D168" s="218" t="b">
        <v>1</v>
      </c>
      <c r="E168" s="219" t="b">
        <v>0</v>
      </c>
      <c r="F168" s="219"/>
      <c r="G168" s="173"/>
      <c r="H168" s="157" t="s">
        <v>6156</v>
      </c>
      <c r="I168" s="157">
        <f t="shared" si="3"/>
        <v>1228</v>
      </c>
      <c r="J168" s="157">
        <v>2025.0</v>
      </c>
      <c r="K168" s="173"/>
    </row>
    <row r="169">
      <c r="A169" s="218">
        <f t="shared" si="2"/>
        <v>166</v>
      </c>
      <c r="B169" s="218" t="s">
        <v>71</v>
      </c>
      <c r="C169" s="219" t="str">
        <f t="shared" si="1"/>
        <v>PC/1229/2025</v>
      </c>
      <c r="D169" s="218" t="b">
        <v>1</v>
      </c>
      <c r="E169" s="219" t="b">
        <v>0</v>
      </c>
      <c r="F169" s="219"/>
      <c r="G169" s="173"/>
      <c r="H169" s="157" t="s">
        <v>6156</v>
      </c>
      <c r="I169" s="157">
        <f t="shared" si="3"/>
        <v>1229</v>
      </c>
      <c r="J169" s="157">
        <v>2025.0</v>
      </c>
      <c r="K169" s="173"/>
    </row>
    <row r="170">
      <c r="A170" s="218">
        <f t="shared" si="2"/>
        <v>167</v>
      </c>
      <c r="B170" s="218" t="s">
        <v>71</v>
      </c>
      <c r="C170" s="219" t="str">
        <f t="shared" si="1"/>
        <v>PC/1230/2025</v>
      </c>
      <c r="D170" s="218" t="b">
        <v>1</v>
      </c>
      <c r="E170" s="219" t="b">
        <v>0</v>
      </c>
      <c r="F170" s="219"/>
      <c r="G170" s="173"/>
      <c r="H170" s="157" t="s">
        <v>6156</v>
      </c>
      <c r="I170" s="157">
        <f t="shared" si="3"/>
        <v>1230</v>
      </c>
      <c r="J170" s="157">
        <v>2025.0</v>
      </c>
      <c r="K170" s="173"/>
    </row>
    <row r="171">
      <c r="A171" s="218">
        <f t="shared" si="2"/>
        <v>168</v>
      </c>
      <c r="B171" s="218" t="s">
        <v>71</v>
      </c>
      <c r="C171" s="219" t="str">
        <f t="shared" si="1"/>
        <v>PC/1231/2025</v>
      </c>
      <c r="D171" s="218" t="b">
        <v>1</v>
      </c>
      <c r="E171" s="219" t="b">
        <v>0</v>
      </c>
      <c r="F171" s="219"/>
      <c r="G171" s="173"/>
      <c r="H171" s="157" t="s">
        <v>6156</v>
      </c>
      <c r="I171" s="157">
        <f t="shared" si="3"/>
        <v>1231</v>
      </c>
      <c r="J171" s="157">
        <v>2025.0</v>
      </c>
      <c r="K171" s="173"/>
    </row>
    <row r="172">
      <c r="A172" s="218">
        <f t="shared" si="2"/>
        <v>169</v>
      </c>
      <c r="B172" s="218" t="s">
        <v>71</v>
      </c>
      <c r="C172" s="219" t="str">
        <f t="shared" si="1"/>
        <v>PC/1232/2025</v>
      </c>
      <c r="D172" s="218" t="b">
        <v>1</v>
      </c>
      <c r="E172" s="219" t="b">
        <v>0</v>
      </c>
      <c r="F172" s="219"/>
      <c r="G172" s="173"/>
      <c r="H172" s="157" t="s">
        <v>6156</v>
      </c>
      <c r="I172" s="157">
        <f t="shared" si="3"/>
        <v>1232</v>
      </c>
      <c r="J172" s="157">
        <v>2025.0</v>
      </c>
      <c r="K172" s="173"/>
    </row>
    <row r="173">
      <c r="A173" s="218">
        <f t="shared" si="2"/>
        <v>170</v>
      </c>
      <c r="B173" s="218" t="s">
        <v>71</v>
      </c>
      <c r="C173" s="219" t="str">
        <f t="shared" si="1"/>
        <v>PC/1233/2025</v>
      </c>
      <c r="D173" s="218" t="b">
        <v>1</v>
      </c>
      <c r="E173" s="219" t="b">
        <v>0</v>
      </c>
      <c r="F173" s="219"/>
      <c r="G173" s="173"/>
      <c r="H173" s="157" t="s">
        <v>6156</v>
      </c>
      <c r="I173" s="157">
        <f t="shared" si="3"/>
        <v>1233</v>
      </c>
      <c r="J173" s="157">
        <v>2025.0</v>
      </c>
      <c r="K173" s="173"/>
    </row>
    <row r="174">
      <c r="A174" s="218">
        <f t="shared" si="2"/>
        <v>171</v>
      </c>
      <c r="B174" s="218" t="s">
        <v>71</v>
      </c>
      <c r="C174" s="219" t="str">
        <f t="shared" si="1"/>
        <v>PC/1234/2025</v>
      </c>
      <c r="D174" s="218" t="b">
        <v>1</v>
      </c>
      <c r="E174" s="219" t="b">
        <v>0</v>
      </c>
      <c r="F174" s="219"/>
      <c r="G174" s="173"/>
      <c r="H174" s="157" t="s">
        <v>6156</v>
      </c>
      <c r="I174" s="157">
        <f t="shared" si="3"/>
        <v>1234</v>
      </c>
      <c r="J174" s="157">
        <v>2025.0</v>
      </c>
      <c r="K174" s="173"/>
    </row>
    <row r="175">
      <c r="A175" s="218">
        <f t="shared" si="2"/>
        <v>172</v>
      </c>
      <c r="B175" s="218" t="s">
        <v>71</v>
      </c>
      <c r="C175" s="219" t="str">
        <f t="shared" si="1"/>
        <v>PC/1235/2025</v>
      </c>
      <c r="D175" s="218" t="b">
        <v>1</v>
      </c>
      <c r="E175" s="219" t="b">
        <v>0</v>
      </c>
      <c r="F175" s="219"/>
      <c r="G175" s="173"/>
      <c r="H175" s="157" t="s">
        <v>6156</v>
      </c>
      <c r="I175" s="157">
        <f t="shared" si="3"/>
        <v>1235</v>
      </c>
      <c r="J175" s="157">
        <v>2025.0</v>
      </c>
      <c r="K175" s="173"/>
    </row>
    <row r="176">
      <c r="A176" s="218">
        <f t="shared" si="2"/>
        <v>173</v>
      </c>
      <c r="B176" s="218" t="s">
        <v>71</v>
      </c>
      <c r="C176" s="219" t="str">
        <f t="shared" si="1"/>
        <v>PC/1236/2025</v>
      </c>
      <c r="D176" s="218" t="b">
        <v>1</v>
      </c>
      <c r="E176" s="219" t="b">
        <v>0</v>
      </c>
      <c r="F176" s="219"/>
      <c r="G176" s="173"/>
      <c r="H176" s="157" t="s">
        <v>6156</v>
      </c>
      <c r="I176" s="157">
        <f t="shared" si="3"/>
        <v>1236</v>
      </c>
      <c r="J176" s="157">
        <v>2025.0</v>
      </c>
      <c r="K176" s="173"/>
    </row>
    <row r="177">
      <c r="A177" s="218">
        <f t="shared" si="2"/>
        <v>174</v>
      </c>
      <c r="B177" s="218" t="s">
        <v>71</v>
      </c>
      <c r="C177" s="219" t="str">
        <f t="shared" si="1"/>
        <v>PC/1237/2025</v>
      </c>
      <c r="D177" s="218" t="b">
        <v>1</v>
      </c>
      <c r="E177" s="219" t="b">
        <v>0</v>
      </c>
      <c r="F177" s="219"/>
      <c r="G177" s="173"/>
      <c r="H177" s="157" t="s">
        <v>6156</v>
      </c>
      <c r="I177" s="157">
        <f t="shared" si="3"/>
        <v>1237</v>
      </c>
      <c r="J177" s="157">
        <v>2025.0</v>
      </c>
      <c r="K177" s="173"/>
    </row>
    <row r="178">
      <c r="A178" s="218">
        <f t="shared" si="2"/>
        <v>175</v>
      </c>
      <c r="B178" s="218" t="s">
        <v>71</v>
      </c>
      <c r="C178" s="219" t="str">
        <f t="shared" si="1"/>
        <v>PC/1238/2025</v>
      </c>
      <c r="D178" s="218" t="b">
        <v>1</v>
      </c>
      <c r="E178" s="219" t="b">
        <v>0</v>
      </c>
      <c r="F178" s="219"/>
      <c r="G178" s="173"/>
      <c r="H178" s="157" t="s">
        <v>6156</v>
      </c>
      <c r="I178" s="157">
        <f t="shared" si="3"/>
        <v>1238</v>
      </c>
      <c r="J178" s="157">
        <v>2025.0</v>
      </c>
      <c r="K178" s="173"/>
    </row>
    <row r="179">
      <c r="A179" s="218">
        <f t="shared" si="2"/>
        <v>176</v>
      </c>
      <c r="B179" s="218" t="s">
        <v>71</v>
      </c>
      <c r="C179" s="219" t="str">
        <f t="shared" si="1"/>
        <v>PC/1239/2025</v>
      </c>
      <c r="D179" s="218" t="b">
        <v>1</v>
      </c>
      <c r="E179" s="219" t="b">
        <v>0</v>
      </c>
      <c r="F179" s="219"/>
      <c r="G179" s="173"/>
      <c r="H179" s="157" t="s">
        <v>6156</v>
      </c>
      <c r="I179" s="157">
        <f t="shared" si="3"/>
        <v>1239</v>
      </c>
      <c r="J179" s="157">
        <v>2025.0</v>
      </c>
      <c r="K179" s="173"/>
    </row>
    <row r="180">
      <c r="A180" s="218">
        <f t="shared" si="2"/>
        <v>177</v>
      </c>
      <c r="B180" s="218" t="s">
        <v>71</v>
      </c>
      <c r="C180" s="219" t="str">
        <f t="shared" si="1"/>
        <v>PC/1240/2025</v>
      </c>
      <c r="D180" s="218" t="b">
        <v>1</v>
      </c>
      <c r="E180" s="219" t="b">
        <v>0</v>
      </c>
      <c r="F180" s="219"/>
      <c r="G180" s="173"/>
      <c r="H180" s="157" t="s">
        <v>6156</v>
      </c>
      <c r="I180" s="157">
        <f t="shared" si="3"/>
        <v>1240</v>
      </c>
      <c r="J180" s="157">
        <v>2025.0</v>
      </c>
      <c r="K180" s="173"/>
    </row>
    <row r="181">
      <c r="A181" s="218">
        <f t="shared" si="2"/>
        <v>178</v>
      </c>
      <c r="B181" s="218" t="s">
        <v>71</v>
      </c>
      <c r="C181" s="219" t="str">
        <f t="shared" si="1"/>
        <v>PC/1241/2025</v>
      </c>
      <c r="D181" s="218" t="b">
        <v>1</v>
      </c>
      <c r="E181" s="219" t="b">
        <v>0</v>
      </c>
      <c r="F181" s="219"/>
      <c r="G181" s="173"/>
      <c r="H181" s="157" t="s">
        <v>6156</v>
      </c>
      <c r="I181" s="157">
        <f t="shared" si="3"/>
        <v>1241</v>
      </c>
      <c r="J181" s="157">
        <v>2025.0</v>
      </c>
      <c r="K181" s="173"/>
    </row>
    <row r="182">
      <c r="A182" s="218">
        <f t="shared" si="2"/>
        <v>179</v>
      </c>
      <c r="B182" s="218" t="s">
        <v>71</v>
      </c>
      <c r="C182" s="219" t="str">
        <f t="shared" si="1"/>
        <v>PC/1242/2025</v>
      </c>
      <c r="D182" s="218" t="b">
        <v>1</v>
      </c>
      <c r="E182" s="219" t="b">
        <v>0</v>
      </c>
      <c r="F182" s="219"/>
      <c r="G182" s="173"/>
      <c r="H182" s="157" t="s">
        <v>6156</v>
      </c>
      <c r="I182" s="157">
        <f t="shared" si="3"/>
        <v>1242</v>
      </c>
      <c r="J182" s="157">
        <v>2025.0</v>
      </c>
      <c r="K182" s="173"/>
    </row>
    <row r="183">
      <c r="A183" s="218">
        <f t="shared" si="2"/>
        <v>180</v>
      </c>
      <c r="B183" s="218" t="s">
        <v>71</v>
      </c>
      <c r="C183" s="219" t="str">
        <f t="shared" si="1"/>
        <v>PC/1243/2025</v>
      </c>
      <c r="D183" s="218" t="b">
        <v>1</v>
      </c>
      <c r="E183" s="219" t="b">
        <v>0</v>
      </c>
      <c r="F183" s="219"/>
      <c r="G183" s="173"/>
      <c r="H183" s="157" t="s">
        <v>6156</v>
      </c>
      <c r="I183" s="157">
        <f t="shared" si="3"/>
        <v>1243</v>
      </c>
      <c r="J183" s="157">
        <v>2025.0</v>
      </c>
      <c r="K183" s="173"/>
    </row>
    <row r="184">
      <c r="A184" s="218">
        <f t="shared" si="2"/>
        <v>181</v>
      </c>
      <c r="B184" s="218" t="s">
        <v>71</v>
      </c>
      <c r="C184" s="219" t="str">
        <f t="shared" si="1"/>
        <v>PC/1244/2025</v>
      </c>
      <c r="D184" s="218" t="b">
        <v>1</v>
      </c>
      <c r="E184" s="219" t="b">
        <v>0</v>
      </c>
      <c r="F184" s="219"/>
      <c r="G184" s="173"/>
      <c r="H184" s="157" t="s">
        <v>6156</v>
      </c>
      <c r="I184" s="157">
        <f t="shared" si="3"/>
        <v>1244</v>
      </c>
      <c r="J184" s="157">
        <v>2025.0</v>
      </c>
      <c r="K184" s="173"/>
    </row>
    <row r="185">
      <c r="A185" s="218">
        <f t="shared" si="2"/>
        <v>182</v>
      </c>
      <c r="B185" s="218" t="s">
        <v>71</v>
      </c>
      <c r="C185" s="219" t="str">
        <f t="shared" si="1"/>
        <v>PC/1245/2025</v>
      </c>
      <c r="D185" s="218" t="b">
        <v>1</v>
      </c>
      <c r="E185" s="219" t="b">
        <v>0</v>
      </c>
      <c r="F185" s="219"/>
      <c r="G185" s="173"/>
      <c r="H185" s="157" t="s">
        <v>6156</v>
      </c>
      <c r="I185" s="157">
        <f t="shared" si="3"/>
        <v>1245</v>
      </c>
      <c r="J185" s="157">
        <v>2025.0</v>
      </c>
      <c r="K185" s="173"/>
    </row>
    <row r="186">
      <c r="A186" s="218">
        <f t="shared" si="2"/>
        <v>183</v>
      </c>
      <c r="B186" s="218" t="s">
        <v>71</v>
      </c>
      <c r="C186" s="219" t="str">
        <f t="shared" si="1"/>
        <v>PC/1246/2025</v>
      </c>
      <c r="D186" s="218" t="b">
        <v>1</v>
      </c>
      <c r="E186" s="219" t="b">
        <v>0</v>
      </c>
      <c r="F186" s="219"/>
      <c r="G186" s="173"/>
      <c r="H186" s="157" t="s">
        <v>6156</v>
      </c>
      <c r="I186" s="157">
        <f t="shared" si="3"/>
        <v>1246</v>
      </c>
      <c r="J186" s="157">
        <v>2025.0</v>
      </c>
      <c r="K186" s="173"/>
    </row>
    <row r="187">
      <c r="A187" s="218">
        <f t="shared" si="2"/>
        <v>184</v>
      </c>
      <c r="B187" s="218" t="s">
        <v>71</v>
      </c>
      <c r="C187" s="219" t="str">
        <f t="shared" si="1"/>
        <v>PC/1247/2025</v>
      </c>
      <c r="D187" s="218" t="b">
        <v>1</v>
      </c>
      <c r="E187" s="219" t="b">
        <v>0</v>
      </c>
      <c r="F187" s="219"/>
      <c r="G187" s="173"/>
      <c r="H187" s="157" t="s">
        <v>6156</v>
      </c>
      <c r="I187" s="157">
        <f t="shared" si="3"/>
        <v>1247</v>
      </c>
      <c r="J187" s="157">
        <v>2025.0</v>
      </c>
      <c r="K187" s="173"/>
    </row>
    <row r="188">
      <c r="A188" s="218">
        <f t="shared" si="2"/>
        <v>185</v>
      </c>
      <c r="B188" s="218" t="s">
        <v>71</v>
      </c>
      <c r="C188" s="219" t="str">
        <f t="shared" si="1"/>
        <v>PC/1248/2025</v>
      </c>
      <c r="D188" s="218" t="b">
        <v>1</v>
      </c>
      <c r="E188" s="219" t="b">
        <v>0</v>
      </c>
      <c r="F188" s="219"/>
      <c r="G188" s="173"/>
      <c r="H188" s="157" t="s">
        <v>6156</v>
      </c>
      <c r="I188" s="157">
        <f t="shared" si="3"/>
        <v>1248</v>
      </c>
      <c r="J188" s="157">
        <v>2025.0</v>
      </c>
      <c r="K188" s="173"/>
    </row>
    <row r="189">
      <c r="A189" s="218">
        <f t="shared" si="2"/>
        <v>186</v>
      </c>
      <c r="B189" s="218" t="s">
        <v>71</v>
      </c>
      <c r="C189" s="219" t="str">
        <f t="shared" si="1"/>
        <v>PC/1249/2025</v>
      </c>
      <c r="D189" s="218" t="b">
        <v>1</v>
      </c>
      <c r="E189" s="219" t="b">
        <v>0</v>
      </c>
      <c r="F189" s="219"/>
      <c r="G189" s="173"/>
      <c r="H189" s="157" t="s">
        <v>6156</v>
      </c>
      <c r="I189" s="157">
        <f t="shared" si="3"/>
        <v>1249</v>
      </c>
      <c r="J189" s="157">
        <v>2025.0</v>
      </c>
      <c r="K189" s="173"/>
    </row>
    <row r="190">
      <c r="A190" s="218">
        <f t="shared" si="2"/>
        <v>187</v>
      </c>
      <c r="B190" s="218" t="s">
        <v>71</v>
      </c>
      <c r="C190" s="219" t="str">
        <f t="shared" si="1"/>
        <v>PC/1250/2025</v>
      </c>
      <c r="D190" s="218" t="b">
        <v>1</v>
      </c>
      <c r="E190" s="219" t="b">
        <v>0</v>
      </c>
      <c r="F190" s="219"/>
      <c r="G190" s="173"/>
      <c r="H190" s="157" t="s">
        <v>6156</v>
      </c>
      <c r="I190" s="157">
        <f t="shared" si="3"/>
        <v>1250</v>
      </c>
      <c r="J190" s="157">
        <v>2025.0</v>
      </c>
      <c r="K190" s="173"/>
    </row>
    <row r="191">
      <c r="A191" s="218">
        <f t="shared" si="2"/>
        <v>188</v>
      </c>
      <c r="B191" s="218" t="s">
        <v>71</v>
      </c>
      <c r="C191" s="219" t="str">
        <f t="shared" si="1"/>
        <v>PC/1251/2025</v>
      </c>
      <c r="D191" s="218" t="b">
        <v>1</v>
      </c>
      <c r="E191" s="219" t="b">
        <v>0</v>
      </c>
      <c r="F191" s="219"/>
      <c r="G191" s="173"/>
      <c r="H191" s="157" t="s">
        <v>6156</v>
      </c>
      <c r="I191" s="157">
        <f t="shared" si="3"/>
        <v>1251</v>
      </c>
      <c r="J191" s="157">
        <v>2025.0</v>
      </c>
      <c r="K191" s="173"/>
    </row>
    <row r="192">
      <c r="A192" s="218">
        <f t="shared" si="2"/>
        <v>189</v>
      </c>
      <c r="B192" s="218" t="s">
        <v>71</v>
      </c>
      <c r="C192" s="219" t="str">
        <f t="shared" si="1"/>
        <v>PC/1252/2025</v>
      </c>
      <c r="D192" s="218" t="b">
        <v>1</v>
      </c>
      <c r="E192" s="219" t="b">
        <v>0</v>
      </c>
      <c r="F192" s="219"/>
      <c r="G192" s="173"/>
      <c r="H192" s="157" t="s">
        <v>6156</v>
      </c>
      <c r="I192" s="157">
        <f t="shared" si="3"/>
        <v>1252</v>
      </c>
      <c r="J192" s="157">
        <v>2025.0</v>
      </c>
      <c r="K192" s="173"/>
    </row>
    <row r="193">
      <c r="A193" s="218">
        <f t="shared" si="2"/>
        <v>190</v>
      </c>
      <c r="B193" s="218" t="s">
        <v>71</v>
      </c>
      <c r="C193" s="219" t="str">
        <f t="shared" si="1"/>
        <v>PC/1253/2025</v>
      </c>
      <c r="D193" s="218" t="b">
        <v>1</v>
      </c>
      <c r="E193" s="219" t="b">
        <v>0</v>
      </c>
      <c r="F193" s="219"/>
      <c r="G193" s="173"/>
      <c r="H193" s="157" t="s">
        <v>6156</v>
      </c>
      <c r="I193" s="157">
        <f t="shared" si="3"/>
        <v>1253</v>
      </c>
      <c r="J193" s="157">
        <v>2025.0</v>
      </c>
      <c r="K193" s="173"/>
    </row>
    <row r="194">
      <c r="A194" s="218">
        <f t="shared" si="2"/>
        <v>191</v>
      </c>
      <c r="B194" s="218" t="s">
        <v>71</v>
      </c>
      <c r="C194" s="219" t="str">
        <f t="shared" si="1"/>
        <v>PC/1254/2025</v>
      </c>
      <c r="D194" s="218" t="b">
        <v>1</v>
      </c>
      <c r="E194" s="219" t="b">
        <v>0</v>
      </c>
      <c r="F194" s="219"/>
      <c r="G194" s="173"/>
      <c r="H194" s="157" t="s">
        <v>6156</v>
      </c>
      <c r="I194" s="157">
        <f t="shared" si="3"/>
        <v>1254</v>
      </c>
      <c r="J194" s="157">
        <v>2025.0</v>
      </c>
      <c r="K194" s="173"/>
    </row>
    <row r="195">
      <c r="A195" s="218">
        <f t="shared" si="2"/>
        <v>192</v>
      </c>
      <c r="B195" s="218" t="s">
        <v>71</v>
      </c>
      <c r="C195" s="219" t="str">
        <f t="shared" si="1"/>
        <v>PC/1255/2025</v>
      </c>
      <c r="D195" s="218" t="b">
        <v>1</v>
      </c>
      <c r="E195" s="219" t="b">
        <v>0</v>
      </c>
      <c r="F195" s="219"/>
      <c r="G195" s="173"/>
      <c r="H195" s="157" t="s">
        <v>6156</v>
      </c>
      <c r="I195" s="157">
        <f t="shared" si="3"/>
        <v>1255</v>
      </c>
      <c r="J195" s="157">
        <v>2025.0</v>
      </c>
      <c r="K195" s="173"/>
    </row>
    <row r="196">
      <c r="A196" s="218">
        <f t="shared" si="2"/>
        <v>193</v>
      </c>
      <c r="B196" s="218" t="s">
        <v>71</v>
      </c>
      <c r="C196" s="219" t="str">
        <f t="shared" si="1"/>
        <v>PC/1256/2025</v>
      </c>
      <c r="D196" s="218" t="b">
        <v>1</v>
      </c>
      <c r="E196" s="219" t="b">
        <v>0</v>
      </c>
      <c r="F196" s="219"/>
      <c r="G196" s="173"/>
      <c r="H196" s="157" t="s">
        <v>6156</v>
      </c>
      <c r="I196" s="157">
        <f t="shared" si="3"/>
        <v>1256</v>
      </c>
      <c r="J196" s="157">
        <v>2025.0</v>
      </c>
      <c r="K196" s="173"/>
    </row>
    <row r="197">
      <c r="A197" s="218">
        <f t="shared" si="2"/>
        <v>194</v>
      </c>
      <c r="B197" s="218" t="s">
        <v>71</v>
      </c>
      <c r="C197" s="219" t="str">
        <f t="shared" si="1"/>
        <v>PC/1257/2025</v>
      </c>
      <c r="D197" s="218" t="b">
        <v>1</v>
      </c>
      <c r="E197" s="219" t="b">
        <v>0</v>
      </c>
      <c r="F197" s="219"/>
      <c r="G197" s="173"/>
      <c r="H197" s="157" t="s">
        <v>6156</v>
      </c>
      <c r="I197" s="157">
        <f t="shared" si="3"/>
        <v>1257</v>
      </c>
      <c r="J197" s="157">
        <v>2025.0</v>
      </c>
      <c r="K197" s="173"/>
    </row>
    <row r="198">
      <c r="A198" s="218">
        <f t="shared" si="2"/>
        <v>195</v>
      </c>
      <c r="B198" s="218" t="s">
        <v>71</v>
      </c>
      <c r="C198" s="219" t="str">
        <f t="shared" si="1"/>
        <v>PC/1258/2025</v>
      </c>
      <c r="D198" s="218" t="b">
        <v>1</v>
      </c>
      <c r="E198" s="219" t="b">
        <v>0</v>
      </c>
      <c r="F198" s="219"/>
      <c r="G198" s="173"/>
      <c r="H198" s="157" t="s">
        <v>6156</v>
      </c>
      <c r="I198" s="157">
        <f t="shared" si="3"/>
        <v>1258</v>
      </c>
      <c r="J198" s="157">
        <v>2025.0</v>
      </c>
      <c r="K198" s="173"/>
    </row>
    <row r="199">
      <c r="A199" s="218">
        <f t="shared" si="2"/>
        <v>196</v>
      </c>
      <c r="B199" s="218" t="s">
        <v>71</v>
      </c>
      <c r="C199" s="219" t="str">
        <f t="shared" si="1"/>
        <v>PC/1259/2025</v>
      </c>
      <c r="D199" s="218" t="b">
        <v>1</v>
      </c>
      <c r="E199" s="219" t="b">
        <v>0</v>
      </c>
      <c r="F199" s="219"/>
      <c r="G199" s="173"/>
      <c r="H199" s="157" t="s">
        <v>6156</v>
      </c>
      <c r="I199" s="157">
        <f t="shared" si="3"/>
        <v>1259</v>
      </c>
      <c r="J199" s="157">
        <v>2025.0</v>
      </c>
      <c r="K199" s="173"/>
    </row>
    <row r="200">
      <c r="A200" s="218">
        <f t="shared" si="2"/>
        <v>197</v>
      </c>
      <c r="B200" s="218" t="s">
        <v>71</v>
      </c>
      <c r="C200" s="219" t="str">
        <f t="shared" si="1"/>
        <v>PC/1260/2025</v>
      </c>
      <c r="D200" s="218" t="b">
        <v>1</v>
      </c>
      <c r="E200" s="219" t="b">
        <v>0</v>
      </c>
      <c r="F200" s="219"/>
      <c r="G200" s="173"/>
      <c r="H200" s="157" t="s">
        <v>6156</v>
      </c>
      <c r="I200" s="157">
        <f t="shared" si="3"/>
        <v>1260</v>
      </c>
      <c r="J200" s="157">
        <v>2025.0</v>
      </c>
      <c r="K200" s="173"/>
    </row>
    <row r="201">
      <c r="A201" s="218">
        <f t="shared" si="2"/>
        <v>198</v>
      </c>
      <c r="B201" s="218" t="s">
        <v>71</v>
      </c>
      <c r="C201" s="219" t="str">
        <f t="shared" si="1"/>
        <v>PC/1261/2025</v>
      </c>
      <c r="D201" s="218" t="b">
        <v>1</v>
      </c>
      <c r="E201" s="219" t="b">
        <v>0</v>
      </c>
      <c r="F201" s="219"/>
      <c r="G201" s="173"/>
      <c r="H201" s="157" t="s">
        <v>6156</v>
      </c>
      <c r="I201" s="157">
        <f t="shared" si="3"/>
        <v>1261</v>
      </c>
      <c r="J201" s="157">
        <v>2025.0</v>
      </c>
      <c r="K201" s="173"/>
    </row>
    <row r="202">
      <c r="A202" s="218">
        <f t="shared" si="2"/>
        <v>199</v>
      </c>
      <c r="B202" s="218" t="s">
        <v>71</v>
      </c>
      <c r="C202" s="219" t="str">
        <f t="shared" si="1"/>
        <v>PC/1262/2025</v>
      </c>
      <c r="D202" s="218" t="b">
        <v>1</v>
      </c>
      <c r="E202" s="219" t="b">
        <v>0</v>
      </c>
      <c r="F202" s="219"/>
      <c r="G202" s="173"/>
      <c r="H202" s="157" t="s">
        <v>6156</v>
      </c>
      <c r="I202" s="157">
        <f t="shared" si="3"/>
        <v>1262</v>
      </c>
      <c r="J202" s="157">
        <v>2025.0</v>
      </c>
      <c r="K202" s="173"/>
    </row>
    <row r="203">
      <c r="A203" s="218">
        <f t="shared" si="2"/>
        <v>200</v>
      </c>
      <c r="B203" s="218" t="s">
        <v>71</v>
      </c>
      <c r="C203" s="219" t="str">
        <f t="shared" si="1"/>
        <v>PC/1263/2025</v>
      </c>
      <c r="D203" s="218" t="b">
        <v>1</v>
      </c>
      <c r="E203" s="219" t="b">
        <v>0</v>
      </c>
      <c r="F203" s="219"/>
      <c r="G203" s="173"/>
      <c r="H203" s="157" t="s">
        <v>6156</v>
      </c>
      <c r="I203" s="157">
        <f t="shared" si="3"/>
        <v>1263</v>
      </c>
      <c r="J203" s="157">
        <v>2025.0</v>
      </c>
      <c r="K203" s="173"/>
    </row>
    <row r="204">
      <c r="A204" s="218">
        <f t="shared" si="2"/>
        <v>201</v>
      </c>
      <c r="B204" s="222" t="s">
        <v>71</v>
      </c>
      <c r="C204" s="224" t="str">
        <f t="shared" si="1"/>
        <v>PC/1264/2025</v>
      </c>
      <c r="D204" s="222" t="b">
        <v>1</v>
      </c>
      <c r="E204" s="224" t="b">
        <v>0</v>
      </c>
      <c r="F204" s="224"/>
      <c r="G204" s="225"/>
      <c r="H204" s="226" t="s">
        <v>6156</v>
      </c>
      <c r="I204" s="226">
        <f t="shared" si="3"/>
        <v>1264</v>
      </c>
      <c r="J204" s="226">
        <v>2025.0</v>
      </c>
      <c r="K204" s="227" t="s">
        <v>4861</v>
      </c>
    </row>
    <row r="205">
      <c r="A205" s="218">
        <f t="shared" si="2"/>
        <v>202</v>
      </c>
      <c r="B205" s="218" t="s">
        <v>71</v>
      </c>
      <c r="C205" s="219" t="str">
        <f t="shared" si="1"/>
        <v>PC/1265/2025</v>
      </c>
      <c r="D205" s="218" t="b">
        <v>1</v>
      </c>
      <c r="E205" s="219" t="b">
        <v>0</v>
      </c>
      <c r="F205" s="219"/>
      <c r="G205" s="173"/>
      <c r="H205" s="157" t="s">
        <v>6156</v>
      </c>
      <c r="I205" s="157">
        <f t="shared" si="3"/>
        <v>1265</v>
      </c>
      <c r="J205" s="157">
        <v>2025.0</v>
      </c>
      <c r="K205" s="173"/>
    </row>
    <row r="206">
      <c r="A206" s="218">
        <f t="shared" si="2"/>
        <v>203</v>
      </c>
      <c r="B206" s="218" t="s">
        <v>71</v>
      </c>
      <c r="C206" s="219" t="str">
        <f t="shared" si="1"/>
        <v>PC/1266/2025</v>
      </c>
      <c r="D206" s="218" t="b">
        <v>1</v>
      </c>
      <c r="E206" s="219" t="b">
        <v>0</v>
      </c>
      <c r="F206" s="219"/>
      <c r="G206" s="173"/>
      <c r="H206" s="157" t="s">
        <v>6156</v>
      </c>
      <c r="I206" s="157">
        <f t="shared" si="3"/>
        <v>1266</v>
      </c>
      <c r="J206" s="157">
        <v>2025.0</v>
      </c>
      <c r="K206" s="173"/>
    </row>
    <row r="207">
      <c r="A207" s="218">
        <f t="shared" si="2"/>
        <v>204</v>
      </c>
      <c r="B207" s="218" t="s">
        <v>71</v>
      </c>
      <c r="C207" s="219" t="str">
        <f t="shared" si="1"/>
        <v>PC/1267/2025</v>
      </c>
      <c r="D207" s="218" t="b">
        <v>1</v>
      </c>
      <c r="E207" s="219" t="b">
        <v>0</v>
      </c>
      <c r="F207" s="219"/>
      <c r="G207" s="173"/>
      <c r="H207" s="157" t="s">
        <v>6156</v>
      </c>
      <c r="I207" s="157">
        <f t="shared" si="3"/>
        <v>1267</v>
      </c>
      <c r="J207" s="157">
        <v>2025.0</v>
      </c>
      <c r="K207" s="173"/>
    </row>
    <row r="208">
      <c r="A208" s="218">
        <f t="shared" si="2"/>
        <v>205</v>
      </c>
      <c r="B208" s="218" t="s">
        <v>71</v>
      </c>
      <c r="C208" s="219" t="str">
        <f t="shared" si="1"/>
        <v>PC/1268/2025</v>
      </c>
      <c r="D208" s="218" t="b">
        <v>1</v>
      </c>
      <c r="E208" s="219" t="b">
        <v>0</v>
      </c>
      <c r="F208" s="219"/>
      <c r="G208" s="173"/>
      <c r="H208" s="157" t="s">
        <v>6156</v>
      </c>
      <c r="I208" s="157">
        <f t="shared" si="3"/>
        <v>1268</v>
      </c>
      <c r="J208" s="157">
        <v>2025.0</v>
      </c>
      <c r="K208" s="173"/>
    </row>
    <row r="209">
      <c r="A209" s="218">
        <f t="shared" si="2"/>
        <v>206</v>
      </c>
      <c r="B209" s="218" t="s">
        <v>71</v>
      </c>
      <c r="C209" s="219" t="str">
        <f t="shared" si="1"/>
        <v>PC/1269/2025</v>
      </c>
      <c r="D209" s="218" t="b">
        <v>1</v>
      </c>
      <c r="E209" s="219" t="b">
        <v>0</v>
      </c>
      <c r="F209" s="219"/>
      <c r="G209" s="173"/>
      <c r="H209" s="157" t="s">
        <v>6156</v>
      </c>
      <c r="I209" s="157">
        <f t="shared" si="3"/>
        <v>1269</v>
      </c>
      <c r="J209" s="157">
        <v>2025.0</v>
      </c>
      <c r="K209" s="173"/>
    </row>
    <row r="210">
      <c r="A210" s="218">
        <f t="shared" si="2"/>
        <v>207</v>
      </c>
      <c r="B210" s="218" t="s">
        <v>71</v>
      </c>
      <c r="C210" s="219" t="str">
        <f t="shared" si="1"/>
        <v>PC/1270/2025</v>
      </c>
      <c r="D210" s="218" t="b">
        <v>1</v>
      </c>
      <c r="E210" s="219" t="b">
        <v>0</v>
      </c>
      <c r="F210" s="219"/>
      <c r="G210" s="173"/>
      <c r="H210" s="157" t="s">
        <v>6156</v>
      </c>
      <c r="I210" s="157">
        <f t="shared" si="3"/>
        <v>1270</v>
      </c>
      <c r="J210" s="157">
        <v>2025.0</v>
      </c>
      <c r="K210" s="173"/>
    </row>
    <row r="211">
      <c r="A211" s="218">
        <f t="shared" si="2"/>
        <v>208</v>
      </c>
      <c r="B211" s="218" t="s">
        <v>71</v>
      </c>
      <c r="C211" s="219" t="str">
        <f t="shared" si="1"/>
        <v>PC/1271/2025</v>
      </c>
      <c r="D211" s="218" t="b">
        <v>1</v>
      </c>
      <c r="E211" s="219" t="b">
        <v>0</v>
      </c>
      <c r="F211" s="219"/>
      <c r="G211" s="173"/>
      <c r="H211" s="157" t="s">
        <v>6156</v>
      </c>
      <c r="I211" s="157">
        <f t="shared" si="3"/>
        <v>1271</v>
      </c>
      <c r="J211" s="157">
        <v>2025.0</v>
      </c>
      <c r="K211" s="173"/>
    </row>
    <row r="212">
      <c r="A212" s="218">
        <f t="shared" si="2"/>
        <v>209</v>
      </c>
      <c r="B212" s="218" t="s">
        <v>71</v>
      </c>
      <c r="C212" s="219" t="str">
        <f t="shared" si="1"/>
        <v>PC/1272/2025</v>
      </c>
      <c r="D212" s="218" t="b">
        <v>1</v>
      </c>
      <c r="E212" s="219" t="b">
        <v>0</v>
      </c>
      <c r="F212" s="219"/>
      <c r="G212" s="173"/>
      <c r="H212" s="157" t="s">
        <v>6156</v>
      </c>
      <c r="I212" s="157">
        <f t="shared" si="3"/>
        <v>1272</v>
      </c>
      <c r="J212" s="157">
        <v>2025.0</v>
      </c>
      <c r="K212" s="173"/>
    </row>
    <row r="213">
      <c r="A213" s="218">
        <f t="shared" si="2"/>
        <v>210</v>
      </c>
      <c r="B213" s="218" t="s">
        <v>71</v>
      </c>
      <c r="C213" s="219" t="str">
        <f t="shared" si="1"/>
        <v>PC/1273/2025</v>
      </c>
      <c r="D213" s="218" t="b">
        <v>1</v>
      </c>
      <c r="E213" s="219" t="b">
        <v>0</v>
      </c>
      <c r="F213" s="219"/>
      <c r="G213" s="173"/>
      <c r="H213" s="157" t="s">
        <v>6156</v>
      </c>
      <c r="I213" s="157">
        <f t="shared" si="3"/>
        <v>1273</v>
      </c>
      <c r="J213" s="157">
        <v>2025.0</v>
      </c>
      <c r="K213" s="173"/>
    </row>
    <row r="214">
      <c r="A214" s="218">
        <f t="shared" si="2"/>
        <v>211</v>
      </c>
      <c r="B214" s="218" t="s">
        <v>71</v>
      </c>
      <c r="C214" s="219" t="str">
        <f t="shared" si="1"/>
        <v>PC/1274/2025</v>
      </c>
      <c r="D214" s="218" t="b">
        <v>1</v>
      </c>
      <c r="E214" s="218" t="b">
        <v>0</v>
      </c>
      <c r="F214" s="242">
        <v>45867.0</v>
      </c>
      <c r="G214" s="173"/>
      <c r="H214" s="157" t="s">
        <v>6156</v>
      </c>
      <c r="I214" s="157">
        <f t="shared" si="3"/>
        <v>1274</v>
      </c>
      <c r="J214" s="157">
        <v>2025.0</v>
      </c>
      <c r="K214" s="173"/>
    </row>
    <row r="215">
      <c r="A215" s="218">
        <f t="shared" si="2"/>
        <v>212</v>
      </c>
      <c r="B215" s="218" t="s">
        <v>71</v>
      </c>
      <c r="C215" s="219" t="str">
        <f t="shared" si="1"/>
        <v>PC/1275/2025</v>
      </c>
      <c r="D215" s="218" t="b">
        <v>1</v>
      </c>
      <c r="E215" s="218" t="b">
        <v>0</v>
      </c>
      <c r="F215" s="242">
        <v>45867.0</v>
      </c>
      <c r="G215" s="173"/>
      <c r="H215" s="157" t="s">
        <v>6156</v>
      </c>
      <c r="I215" s="157">
        <f t="shared" si="3"/>
        <v>1275</v>
      </c>
      <c r="J215" s="157">
        <v>2025.0</v>
      </c>
      <c r="K215" s="173"/>
    </row>
    <row r="216">
      <c r="A216" s="218">
        <f t="shared" si="2"/>
        <v>213</v>
      </c>
      <c r="B216" s="218" t="s">
        <v>71</v>
      </c>
      <c r="C216" s="219" t="str">
        <f t="shared" si="1"/>
        <v>PC/1276/2025</v>
      </c>
      <c r="D216" s="218" t="b">
        <v>1</v>
      </c>
      <c r="E216" s="218" t="b">
        <v>0</v>
      </c>
      <c r="F216" s="219"/>
      <c r="G216" s="173"/>
      <c r="H216" s="157" t="s">
        <v>6156</v>
      </c>
      <c r="I216" s="157">
        <f t="shared" si="3"/>
        <v>1276</v>
      </c>
      <c r="J216" s="157">
        <v>2025.0</v>
      </c>
      <c r="K216" s="173"/>
    </row>
    <row r="217">
      <c r="A217" s="218">
        <f t="shared" si="2"/>
        <v>214</v>
      </c>
      <c r="B217" s="218" t="s">
        <v>71</v>
      </c>
      <c r="C217" s="219" t="str">
        <f t="shared" si="1"/>
        <v>PC/1277/2025</v>
      </c>
      <c r="D217" s="218" t="b">
        <v>1</v>
      </c>
      <c r="E217" s="218" t="b">
        <v>0</v>
      </c>
      <c r="F217" s="242">
        <v>45867.0</v>
      </c>
      <c r="G217" s="173"/>
      <c r="H217" s="157" t="s">
        <v>6156</v>
      </c>
      <c r="I217" s="157">
        <f t="shared" si="3"/>
        <v>1277</v>
      </c>
      <c r="J217" s="157">
        <v>2025.0</v>
      </c>
      <c r="K217" s="173"/>
    </row>
    <row r="218">
      <c r="A218" s="218">
        <f t="shared" si="2"/>
        <v>215</v>
      </c>
      <c r="B218" s="218" t="s">
        <v>71</v>
      </c>
      <c r="C218" s="219" t="str">
        <f t="shared" si="1"/>
        <v>PC/1278/2025</v>
      </c>
      <c r="D218" s="218" t="b">
        <v>1</v>
      </c>
      <c r="E218" s="218" t="b">
        <v>0</v>
      </c>
      <c r="F218" s="242">
        <v>45867.0</v>
      </c>
      <c r="G218" s="173"/>
      <c r="H218" s="157" t="s">
        <v>6156</v>
      </c>
      <c r="I218" s="157">
        <f t="shared" si="3"/>
        <v>1278</v>
      </c>
      <c r="J218" s="157">
        <v>2025.0</v>
      </c>
      <c r="K218" s="173"/>
    </row>
    <row r="219">
      <c r="A219" s="218">
        <f t="shared" si="2"/>
        <v>216</v>
      </c>
      <c r="B219" s="218" t="s">
        <v>71</v>
      </c>
      <c r="C219" s="219" t="str">
        <f t="shared" si="1"/>
        <v>PC/1279/2025</v>
      </c>
      <c r="D219" s="218" t="b">
        <v>1</v>
      </c>
      <c r="E219" s="218" t="b">
        <v>0</v>
      </c>
      <c r="F219" s="242">
        <v>45867.0</v>
      </c>
      <c r="G219" s="173"/>
      <c r="H219" s="157" t="s">
        <v>6156</v>
      </c>
      <c r="I219" s="157">
        <f t="shared" si="3"/>
        <v>1279</v>
      </c>
      <c r="J219" s="157">
        <v>2025.0</v>
      </c>
      <c r="K219" s="173"/>
    </row>
    <row r="220">
      <c r="A220" s="218">
        <f t="shared" si="2"/>
        <v>217</v>
      </c>
      <c r="B220" s="218" t="s">
        <v>71</v>
      </c>
      <c r="C220" s="219" t="str">
        <f t="shared" si="1"/>
        <v>PC/1280/2025</v>
      </c>
      <c r="D220" s="218" t="b">
        <v>1</v>
      </c>
      <c r="E220" s="218" t="b">
        <v>0</v>
      </c>
      <c r="F220" s="242">
        <v>45867.0</v>
      </c>
      <c r="G220" s="173"/>
      <c r="H220" s="157" t="s">
        <v>6156</v>
      </c>
      <c r="I220" s="157">
        <f t="shared" si="3"/>
        <v>1280</v>
      </c>
      <c r="J220" s="157">
        <v>2025.0</v>
      </c>
      <c r="K220" s="173"/>
    </row>
    <row r="221">
      <c r="A221" s="218">
        <f t="shared" si="2"/>
        <v>218</v>
      </c>
      <c r="B221" s="218" t="s">
        <v>71</v>
      </c>
      <c r="C221" s="219" t="str">
        <f t="shared" si="1"/>
        <v>PC/1281/2025</v>
      </c>
      <c r="D221" s="218" t="b">
        <v>1</v>
      </c>
      <c r="E221" s="218" t="b">
        <v>0</v>
      </c>
      <c r="F221" s="242">
        <v>45867.0</v>
      </c>
      <c r="G221" s="173"/>
      <c r="H221" s="157" t="s">
        <v>6156</v>
      </c>
      <c r="I221" s="157">
        <f t="shared" si="3"/>
        <v>1281</v>
      </c>
      <c r="J221" s="157">
        <v>2025.0</v>
      </c>
      <c r="K221" s="173"/>
    </row>
    <row r="222">
      <c r="A222" s="218">
        <f t="shared" si="2"/>
        <v>219</v>
      </c>
      <c r="B222" s="218" t="s">
        <v>71</v>
      </c>
      <c r="C222" s="219" t="str">
        <f t="shared" si="1"/>
        <v>PC/1282/2025</v>
      </c>
      <c r="D222" s="218" t="b">
        <v>1</v>
      </c>
      <c r="E222" s="218" t="b">
        <v>0</v>
      </c>
      <c r="F222" s="242">
        <v>45867.0</v>
      </c>
      <c r="G222" s="173"/>
      <c r="H222" s="157" t="s">
        <v>6156</v>
      </c>
      <c r="I222" s="157">
        <f t="shared" si="3"/>
        <v>1282</v>
      </c>
      <c r="J222" s="157">
        <v>2025.0</v>
      </c>
      <c r="K222" s="173"/>
    </row>
    <row r="223">
      <c r="A223" s="218">
        <f t="shared" si="2"/>
        <v>220</v>
      </c>
      <c r="B223" s="218" t="s">
        <v>71</v>
      </c>
      <c r="C223" s="219" t="str">
        <f t="shared" si="1"/>
        <v>PC/1283/2025</v>
      </c>
      <c r="D223" s="218" t="b">
        <v>1</v>
      </c>
      <c r="E223" s="218" t="b">
        <v>0</v>
      </c>
      <c r="F223" s="242">
        <v>45867.0</v>
      </c>
      <c r="G223" s="173"/>
      <c r="H223" s="157" t="s">
        <v>6156</v>
      </c>
      <c r="I223" s="157">
        <f t="shared" si="3"/>
        <v>1283</v>
      </c>
      <c r="J223" s="157">
        <v>2025.0</v>
      </c>
      <c r="K223" s="173"/>
    </row>
    <row r="224">
      <c r="A224" s="218">
        <f t="shared" si="2"/>
        <v>221</v>
      </c>
      <c r="B224" s="218" t="s">
        <v>71</v>
      </c>
      <c r="C224" s="219" t="str">
        <f t="shared" si="1"/>
        <v>PC/1284/2025</v>
      </c>
      <c r="D224" s="218" t="b">
        <v>1</v>
      </c>
      <c r="E224" s="218" t="b">
        <v>0</v>
      </c>
      <c r="F224" s="242">
        <v>45867.0</v>
      </c>
      <c r="G224" s="173"/>
      <c r="H224" s="157" t="s">
        <v>6156</v>
      </c>
      <c r="I224" s="157">
        <f t="shared" si="3"/>
        <v>1284</v>
      </c>
      <c r="J224" s="157">
        <v>2025.0</v>
      </c>
      <c r="K224" s="173"/>
    </row>
    <row r="225">
      <c r="A225" s="218">
        <f t="shared" si="2"/>
        <v>222</v>
      </c>
      <c r="B225" s="218" t="s">
        <v>71</v>
      </c>
      <c r="C225" s="219" t="str">
        <f t="shared" si="1"/>
        <v>PC/1285/2025</v>
      </c>
      <c r="D225" s="218" t="b">
        <v>1</v>
      </c>
      <c r="E225" s="218" t="b">
        <v>0</v>
      </c>
      <c r="F225" s="242">
        <v>45867.0</v>
      </c>
      <c r="G225" s="173"/>
      <c r="H225" s="157" t="s">
        <v>6156</v>
      </c>
      <c r="I225" s="157">
        <f t="shared" si="3"/>
        <v>1285</v>
      </c>
      <c r="J225" s="157">
        <v>2025.0</v>
      </c>
      <c r="K225" s="173"/>
    </row>
    <row r="226">
      <c r="A226" s="218">
        <f t="shared" si="2"/>
        <v>223</v>
      </c>
      <c r="B226" s="218" t="s">
        <v>71</v>
      </c>
      <c r="C226" s="219" t="str">
        <f t="shared" si="1"/>
        <v>PC/1286/2025</v>
      </c>
      <c r="D226" s="218" t="b">
        <v>1</v>
      </c>
      <c r="E226" s="218" t="b">
        <v>0</v>
      </c>
      <c r="F226" s="242">
        <v>45867.0</v>
      </c>
      <c r="G226" s="173"/>
      <c r="H226" s="157" t="s">
        <v>6156</v>
      </c>
      <c r="I226" s="157">
        <f t="shared" si="3"/>
        <v>1286</v>
      </c>
      <c r="J226" s="157">
        <v>2025.0</v>
      </c>
      <c r="K226" s="173"/>
    </row>
    <row r="227">
      <c r="A227" s="218">
        <f t="shared" si="2"/>
        <v>224</v>
      </c>
      <c r="B227" s="218" t="s">
        <v>71</v>
      </c>
      <c r="C227" s="219" t="str">
        <f t="shared" si="1"/>
        <v>PC/1287/2025</v>
      </c>
      <c r="D227" s="218" t="b">
        <v>1</v>
      </c>
      <c r="E227" s="218" t="b">
        <v>0</v>
      </c>
      <c r="F227" s="242">
        <v>45867.0</v>
      </c>
      <c r="G227" s="173"/>
      <c r="H227" s="157" t="s">
        <v>6156</v>
      </c>
      <c r="I227" s="157">
        <f t="shared" si="3"/>
        <v>1287</v>
      </c>
      <c r="J227" s="157">
        <v>2025.0</v>
      </c>
      <c r="K227" s="173"/>
    </row>
    <row r="228">
      <c r="A228" s="218">
        <f t="shared" si="2"/>
        <v>225</v>
      </c>
      <c r="B228" s="222" t="s">
        <v>71</v>
      </c>
      <c r="C228" s="224" t="str">
        <f t="shared" si="1"/>
        <v>PC/1288/2025</v>
      </c>
      <c r="D228" s="222" t="b">
        <v>1</v>
      </c>
      <c r="E228" s="224" t="b">
        <v>0</v>
      </c>
      <c r="F228" s="238">
        <v>45867.0</v>
      </c>
      <c r="G228" s="225"/>
      <c r="H228" s="226" t="s">
        <v>6156</v>
      </c>
      <c r="I228" s="226">
        <f t="shared" si="3"/>
        <v>1288</v>
      </c>
      <c r="J228" s="226">
        <v>2025.0</v>
      </c>
      <c r="K228" s="225"/>
    </row>
    <row r="229">
      <c r="A229" s="218">
        <f t="shared" si="2"/>
        <v>226</v>
      </c>
      <c r="B229" s="243" t="s">
        <v>71</v>
      </c>
      <c r="C229" s="236" t="str">
        <f t="shared" si="1"/>
        <v>PC/1289/2025</v>
      </c>
      <c r="D229" s="218" t="b">
        <v>1</v>
      </c>
      <c r="E229" s="236" t="b">
        <v>0</v>
      </c>
      <c r="F229" s="236"/>
      <c r="G229" s="173"/>
      <c r="H229" s="244" t="s">
        <v>6156</v>
      </c>
      <c r="I229" s="244">
        <f t="shared" si="3"/>
        <v>1289</v>
      </c>
      <c r="J229" s="244">
        <v>2025.0</v>
      </c>
      <c r="K229" s="173"/>
    </row>
    <row r="230">
      <c r="A230" s="218">
        <f t="shared" si="2"/>
        <v>227</v>
      </c>
      <c r="B230" s="243" t="s">
        <v>71</v>
      </c>
      <c r="C230" s="236" t="str">
        <f t="shared" si="1"/>
        <v>PC/1290/2025</v>
      </c>
      <c r="D230" s="218" t="b">
        <v>1</v>
      </c>
      <c r="E230" s="236" t="b">
        <v>0</v>
      </c>
      <c r="F230" s="236"/>
      <c r="G230" s="173"/>
      <c r="H230" s="244" t="s">
        <v>6156</v>
      </c>
      <c r="I230" s="244">
        <f t="shared" si="3"/>
        <v>1290</v>
      </c>
      <c r="J230" s="244">
        <v>2025.0</v>
      </c>
      <c r="K230" s="173"/>
    </row>
    <row r="231">
      <c r="A231" s="218">
        <f t="shared" si="2"/>
        <v>228</v>
      </c>
      <c r="B231" s="243" t="s">
        <v>71</v>
      </c>
      <c r="C231" s="236" t="str">
        <f t="shared" si="1"/>
        <v>PC/1291/2025</v>
      </c>
      <c r="D231" s="218" t="b">
        <v>1</v>
      </c>
      <c r="E231" s="236" t="b">
        <v>0</v>
      </c>
      <c r="F231" s="236"/>
      <c r="G231" s="173"/>
      <c r="H231" s="244" t="s">
        <v>6156</v>
      </c>
      <c r="I231" s="244">
        <f t="shared" si="3"/>
        <v>1291</v>
      </c>
      <c r="J231" s="244">
        <v>2025.0</v>
      </c>
      <c r="K231" s="173"/>
    </row>
    <row r="232">
      <c r="A232" s="218">
        <f t="shared" si="2"/>
        <v>229</v>
      </c>
      <c r="B232" s="243" t="s">
        <v>71</v>
      </c>
      <c r="C232" s="236" t="str">
        <f t="shared" si="1"/>
        <v>PC/1292/2025</v>
      </c>
      <c r="D232" s="218" t="b">
        <v>1</v>
      </c>
      <c r="E232" s="236" t="b">
        <v>0</v>
      </c>
      <c r="F232" s="236"/>
      <c r="G232" s="173"/>
      <c r="H232" s="244" t="s">
        <v>6156</v>
      </c>
      <c r="I232" s="244">
        <f t="shared" si="3"/>
        <v>1292</v>
      </c>
      <c r="J232" s="244">
        <v>2025.0</v>
      </c>
      <c r="K232" s="173"/>
    </row>
    <row r="233">
      <c r="A233" s="218">
        <f t="shared" si="2"/>
        <v>230</v>
      </c>
      <c r="B233" s="243" t="s">
        <v>71</v>
      </c>
      <c r="C233" s="236" t="str">
        <f t="shared" si="1"/>
        <v>PC/1293/2025</v>
      </c>
      <c r="D233" s="218" t="b">
        <v>1</v>
      </c>
      <c r="E233" s="236" t="b">
        <v>0</v>
      </c>
      <c r="F233" s="236"/>
      <c r="G233" s="173"/>
      <c r="H233" s="244" t="s">
        <v>6156</v>
      </c>
      <c r="I233" s="244">
        <f t="shared" si="3"/>
        <v>1293</v>
      </c>
      <c r="J233" s="244">
        <v>2025.0</v>
      </c>
      <c r="K233" s="173"/>
    </row>
    <row r="234">
      <c r="A234" s="218">
        <f t="shared" si="2"/>
        <v>231</v>
      </c>
      <c r="B234" s="243" t="s">
        <v>71</v>
      </c>
      <c r="C234" s="236" t="str">
        <f t="shared" si="1"/>
        <v>PC/1294/2025</v>
      </c>
      <c r="D234" s="218" t="b">
        <v>1</v>
      </c>
      <c r="E234" s="236" t="b">
        <v>0</v>
      </c>
      <c r="F234" s="236"/>
      <c r="G234" s="173"/>
      <c r="H234" s="244" t="s">
        <v>6156</v>
      </c>
      <c r="I234" s="244">
        <f t="shared" si="3"/>
        <v>1294</v>
      </c>
      <c r="J234" s="244">
        <v>2025.0</v>
      </c>
      <c r="K234" s="173"/>
    </row>
    <row r="235">
      <c r="A235" s="218">
        <f t="shared" si="2"/>
        <v>232</v>
      </c>
      <c r="B235" s="243" t="s">
        <v>71</v>
      </c>
      <c r="C235" s="236" t="str">
        <f t="shared" si="1"/>
        <v>PC/1295/2025</v>
      </c>
      <c r="D235" s="218" t="b">
        <v>1</v>
      </c>
      <c r="E235" s="236" t="b">
        <v>0</v>
      </c>
      <c r="F235" s="236"/>
      <c r="G235" s="173"/>
      <c r="H235" s="244" t="s">
        <v>6156</v>
      </c>
      <c r="I235" s="244">
        <f t="shared" si="3"/>
        <v>1295</v>
      </c>
      <c r="J235" s="244">
        <v>2025.0</v>
      </c>
      <c r="K235" s="173"/>
    </row>
    <row r="236">
      <c r="A236" s="218">
        <f t="shared" si="2"/>
        <v>233</v>
      </c>
      <c r="B236" s="243" t="s">
        <v>71</v>
      </c>
      <c r="C236" s="236" t="str">
        <f t="shared" si="1"/>
        <v>PC/1296/2025</v>
      </c>
      <c r="D236" s="218" t="b">
        <v>1</v>
      </c>
      <c r="E236" s="236" t="b">
        <v>0</v>
      </c>
      <c r="F236" s="236"/>
      <c r="G236" s="173"/>
      <c r="H236" s="244" t="s">
        <v>6156</v>
      </c>
      <c r="I236" s="244">
        <f t="shared" si="3"/>
        <v>1296</v>
      </c>
      <c r="J236" s="244">
        <v>2025.0</v>
      </c>
      <c r="K236" s="173"/>
    </row>
    <row r="237">
      <c r="A237" s="218">
        <f t="shared" si="2"/>
        <v>234</v>
      </c>
      <c r="B237" s="243" t="s">
        <v>71</v>
      </c>
      <c r="C237" s="236" t="str">
        <f t="shared" si="1"/>
        <v>PC/1297/2025</v>
      </c>
      <c r="D237" s="218" t="b">
        <v>1</v>
      </c>
      <c r="E237" s="236" t="b">
        <v>0</v>
      </c>
      <c r="F237" s="236"/>
      <c r="G237" s="173"/>
      <c r="H237" s="244" t="s">
        <v>6156</v>
      </c>
      <c r="I237" s="244">
        <f t="shared" si="3"/>
        <v>1297</v>
      </c>
      <c r="J237" s="244">
        <v>2025.0</v>
      </c>
      <c r="K237" s="173"/>
    </row>
    <row r="238">
      <c r="A238" s="218">
        <f t="shared" si="2"/>
        <v>235</v>
      </c>
      <c r="B238" s="243" t="s">
        <v>71</v>
      </c>
      <c r="C238" s="236" t="str">
        <f t="shared" si="1"/>
        <v>PC/1298/2025</v>
      </c>
      <c r="D238" s="218" t="b">
        <v>1</v>
      </c>
      <c r="E238" s="236" t="b">
        <v>0</v>
      </c>
      <c r="F238" s="236"/>
      <c r="G238" s="173"/>
      <c r="H238" s="244" t="s">
        <v>6156</v>
      </c>
      <c r="I238" s="244">
        <f t="shared" si="3"/>
        <v>1298</v>
      </c>
      <c r="J238" s="244">
        <v>2025.0</v>
      </c>
      <c r="K238" s="173"/>
    </row>
    <row r="239">
      <c r="A239" s="218">
        <f t="shared" si="2"/>
        <v>236</v>
      </c>
      <c r="B239" s="243" t="s">
        <v>71</v>
      </c>
      <c r="C239" s="236" t="str">
        <f t="shared" si="1"/>
        <v>PC/1299/2025</v>
      </c>
      <c r="D239" s="218" t="b">
        <v>1</v>
      </c>
      <c r="E239" s="236" t="b">
        <v>0</v>
      </c>
      <c r="F239" s="236"/>
      <c r="G239" s="173"/>
      <c r="H239" s="244" t="s">
        <v>6156</v>
      </c>
      <c r="I239" s="244">
        <f t="shared" si="3"/>
        <v>1299</v>
      </c>
      <c r="J239" s="244">
        <v>2025.0</v>
      </c>
      <c r="K239" s="173"/>
    </row>
    <row r="240">
      <c r="A240" s="218">
        <f t="shared" si="2"/>
        <v>237</v>
      </c>
      <c r="B240" s="243" t="s">
        <v>71</v>
      </c>
      <c r="C240" s="236" t="str">
        <f t="shared" si="1"/>
        <v>PC/1300/2025</v>
      </c>
      <c r="D240" s="218" t="b">
        <v>1</v>
      </c>
      <c r="E240" s="236" t="b">
        <v>0</v>
      </c>
      <c r="F240" s="236"/>
      <c r="G240" s="173"/>
      <c r="H240" s="244" t="s">
        <v>6156</v>
      </c>
      <c r="I240" s="244">
        <f t="shared" si="3"/>
        <v>1300</v>
      </c>
      <c r="J240" s="244">
        <v>2025.0</v>
      </c>
      <c r="K240" s="173"/>
    </row>
    <row r="241">
      <c r="A241" s="218">
        <f t="shared" si="2"/>
        <v>238</v>
      </c>
      <c r="B241" s="243" t="s">
        <v>71</v>
      </c>
      <c r="C241" s="236" t="str">
        <f t="shared" si="1"/>
        <v>PC/1301/2025</v>
      </c>
      <c r="D241" s="218" t="b">
        <v>1</v>
      </c>
      <c r="E241" s="236" t="b">
        <v>0</v>
      </c>
      <c r="F241" s="236"/>
      <c r="G241" s="173"/>
      <c r="H241" s="244" t="s">
        <v>6156</v>
      </c>
      <c r="I241" s="244">
        <f t="shared" si="3"/>
        <v>1301</v>
      </c>
      <c r="J241" s="244">
        <v>2025.0</v>
      </c>
      <c r="K241" s="173"/>
    </row>
    <row r="242">
      <c r="A242" s="218">
        <f t="shared" si="2"/>
        <v>239</v>
      </c>
      <c r="B242" s="243" t="s">
        <v>71</v>
      </c>
      <c r="C242" s="236" t="str">
        <f t="shared" si="1"/>
        <v>PC/1302/2025</v>
      </c>
      <c r="D242" s="218" t="b">
        <v>1</v>
      </c>
      <c r="E242" s="236" t="b">
        <v>0</v>
      </c>
      <c r="F242" s="236"/>
      <c r="G242" s="173"/>
      <c r="H242" s="244" t="s">
        <v>6156</v>
      </c>
      <c r="I242" s="244">
        <f t="shared" si="3"/>
        <v>1302</v>
      </c>
      <c r="J242" s="244">
        <v>2025.0</v>
      </c>
      <c r="K242" s="173"/>
    </row>
    <row r="243">
      <c r="A243" s="218">
        <f t="shared" si="2"/>
        <v>240</v>
      </c>
      <c r="B243" s="243" t="s">
        <v>71</v>
      </c>
      <c r="C243" s="236" t="str">
        <f t="shared" si="1"/>
        <v>PC/1303/2025</v>
      </c>
      <c r="D243" s="218" t="b">
        <v>1</v>
      </c>
      <c r="E243" s="236" t="b">
        <v>0</v>
      </c>
      <c r="F243" s="236"/>
      <c r="G243" s="173"/>
      <c r="H243" s="244" t="s">
        <v>6156</v>
      </c>
      <c r="I243" s="244">
        <f t="shared" si="3"/>
        <v>1303</v>
      </c>
      <c r="J243" s="244">
        <v>2025.0</v>
      </c>
      <c r="K243" s="173"/>
    </row>
    <row r="244">
      <c r="A244" s="218">
        <f t="shared" si="2"/>
        <v>241</v>
      </c>
      <c r="B244" s="243" t="s">
        <v>71</v>
      </c>
      <c r="C244" s="236" t="str">
        <f t="shared" si="1"/>
        <v>PC/1304/2025</v>
      </c>
      <c r="D244" s="218" t="b">
        <v>1</v>
      </c>
      <c r="E244" s="236" t="b">
        <v>0</v>
      </c>
      <c r="F244" s="236"/>
      <c r="G244" s="173"/>
      <c r="H244" s="244" t="s">
        <v>6156</v>
      </c>
      <c r="I244" s="244">
        <f t="shared" si="3"/>
        <v>1304</v>
      </c>
      <c r="J244" s="244">
        <v>2025.0</v>
      </c>
      <c r="K244" s="173"/>
    </row>
    <row r="245">
      <c r="A245" s="218">
        <f t="shared" si="2"/>
        <v>242</v>
      </c>
      <c r="B245" s="243" t="s">
        <v>71</v>
      </c>
      <c r="C245" s="236" t="str">
        <f t="shared" si="1"/>
        <v>PC/1305/2025</v>
      </c>
      <c r="D245" s="218" t="b">
        <v>1</v>
      </c>
      <c r="E245" s="236" t="b">
        <v>0</v>
      </c>
      <c r="F245" s="236"/>
      <c r="G245" s="173"/>
      <c r="H245" s="244" t="s">
        <v>6156</v>
      </c>
      <c r="I245" s="244">
        <f t="shared" si="3"/>
        <v>1305</v>
      </c>
      <c r="J245" s="244">
        <v>2025.0</v>
      </c>
      <c r="K245" s="173"/>
    </row>
    <row r="246">
      <c r="A246" s="218">
        <f t="shared" si="2"/>
        <v>243</v>
      </c>
      <c r="B246" s="243" t="s">
        <v>71</v>
      </c>
      <c r="C246" s="236" t="str">
        <f t="shared" si="1"/>
        <v>PC/1306/2025</v>
      </c>
      <c r="D246" s="218" t="b">
        <v>1</v>
      </c>
      <c r="E246" s="236" t="b">
        <v>0</v>
      </c>
      <c r="F246" s="236"/>
      <c r="G246" s="173"/>
      <c r="H246" s="244" t="s">
        <v>6156</v>
      </c>
      <c r="I246" s="244">
        <f t="shared" si="3"/>
        <v>1306</v>
      </c>
      <c r="J246" s="244">
        <v>2025.0</v>
      </c>
      <c r="K246" s="173"/>
    </row>
    <row r="247">
      <c r="A247" s="218">
        <f t="shared" si="2"/>
        <v>244</v>
      </c>
      <c r="B247" s="243" t="s">
        <v>71</v>
      </c>
      <c r="C247" s="236" t="str">
        <f t="shared" si="1"/>
        <v>PC/1307/2025</v>
      </c>
      <c r="D247" s="218" t="b">
        <v>1</v>
      </c>
      <c r="E247" s="236" t="b">
        <v>0</v>
      </c>
      <c r="F247" s="236"/>
      <c r="G247" s="173"/>
      <c r="H247" s="244" t="s">
        <v>6156</v>
      </c>
      <c r="I247" s="244">
        <f t="shared" si="3"/>
        <v>1307</v>
      </c>
      <c r="J247" s="244">
        <v>2025.0</v>
      </c>
      <c r="K247" s="173"/>
    </row>
    <row r="248">
      <c r="A248" s="218">
        <f t="shared" si="2"/>
        <v>245</v>
      </c>
      <c r="B248" s="243" t="s">
        <v>71</v>
      </c>
      <c r="C248" s="236" t="str">
        <f t="shared" si="1"/>
        <v>PC/1308/2025</v>
      </c>
      <c r="D248" s="218" t="b">
        <v>1</v>
      </c>
      <c r="E248" s="236" t="b">
        <v>0</v>
      </c>
      <c r="F248" s="236"/>
      <c r="G248" s="173"/>
      <c r="H248" s="244" t="s">
        <v>6156</v>
      </c>
      <c r="I248" s="244">
        <f t="shared" si="3"/>
        <v>1308</v>
      </c>
      <c r="J248" s="244">
        <v>2025.0</v>
      </c>
      <c r="K248" s="173"/>
    </row>
    <row r="249">
      <c r="A249" s="218">
        <f t="shared" si="2"/>
        <v>246</v>
      </c>
      <c r="B249" s="243" t="s">
        <v>71</v>
      </c>
      <c r="C249" s="236" t="str">
        <f t="shared" si="1"/>
        <v>PC/1309/2025</v>
      </c>
      <c r="D249" s="218" t="b">
        <v>1</v>
      </c>
      <c r="E249" s="236" t="b">
        <v>0</v>
      </c>
      <c r="F249" s="236"/>
      <c r="G249" s="173"/>
      <c r="H249" s="244" t="s">
        <v>6156</v>
      </c>
      <c r="I249" s="244">
        <f t="shared" si="3"/>
        <v>1309</v>
      </c>
      <c r="J249" s="244">
        <v>2025.0</v>
      </c>
      <c r="K249" s="173"/>
    </row>
    <row r="250">
      <c r="A250" s="218">
        <f t="shared" si="2"/>
        <v>247</v>
      </c>
      <c r="B250" s="243" t="s">
        <v>71</v>
      </c>
      <c r="C250" s="236" t="str">
        <f t="shared" si="1"/>
        <v>PC/1310/2025</v>
      </c>
      <c r="D250" s="218" t="b">
        <v>1</v>
      </c>
      <c r="E250" s="236" t="b">
        <v>0</v>
      </c>
      <c r="F250" s="236"/>
      <c r="G250" s="173"/>
      <c r="H250" s="244" t="s">
        <v>6156</v>
      </c>
      <c r="I250" s="244">
        <f t="shared" si="3"/>
        <v>1310</v>
      </c>
      <c r="J250" s="244">
        <v>2025.0</v>
      </c>
      <c r="K250" s="173"/>
    </row>
    <row r="251">
      <c r="A251" s="218">
        <f t="shared" si="2"/>
        <v>248</v>
      </c>
      <c r="B251" s="243" t="s">
        <v>71</v>
      </c>
      <c r="C251" s="236" t="str">
        <f t="shared" si="1"/>
        <v>PC/1311/2025</v>
      </c>
      <c r="D251" s="218" t="b">
        <v>1</v>
      </c>
      <c r="E251" s="236" t="b">
        <v>0</v>
      </c>
      <c r="F251" s="236"/>
      <c r="G251" s="173"/>
      <c r="H251" s="244" t="s">
        <v>6156</v>
      </c>
      <c r="I251" s="244">
        <f t="shared" si="3"/>
        <v>1311</v>
      </c>
      <c r="J251" s="244">
        <v>2025.0</v>
      </c>
      <c r="K251" s="173"/>
    </row>
    <row r="252">
      <c r="A252" s="218">
        <f t="shared" si="2"/>
        <v>249</v>
      </c>
      <c r="B252" s="243" t="s">
        <v>71</v>
      </c>
      <c r="C252" s="236" t="str">
        <f t="shared" si="1"/>
        <v>PC/1312/2025</v>
      </c>
      <c r="D252" s="218" t="b">
        <v>1</v>
      </c>
      <c r="E252" s="236" t="b">
        <v>0</v>
      </c>
      <c r="F252" s="236"/>
      <c r="G252" s="173"/>
      <c r="H252" s="244" t="s">
        <v>6156</v>
      </c>
      <c r="I252" s="244">
        <f t="shared" si="3"/>
        <v>1312</v>
      </c>
      <c r="J252" s="244">
        <v>2025.0</v>
      </c>
      <c r="K252" s="173"/>
    </row>
    <row r="253">
      <c r="A253" s="218">
        <f t="shared" si="2"/>
        <v>250</v>
      </c>
      <c r="B253" s="243" t="s">
        <v>71</v>
      </c>
      <c r="C253" s="236" t="str">
        <f t="shared" si="1"/>
        <v>PC/1313/2025</v>
      </c>
      <c r="D253" s="218" t="b">
        <v>1</v>
      </c>
      <c r="E253" s="236" t="b">
        <v>0</v>
      </c>
      <c r="F253" s="236"/>
      <c r="G253" s="173"/>
      <c r="H253" s="244" t="s">
        <v>6156</v>
      </c>
      <c r="I253" s="244">
        <f t="shared" si="3"/>
        <v>1313</v>
      </c>
      <c r="J253" s="244">
        <v>2025.0</v>
      </c>
      <c r="K253" s="173"/>
    </row>
    <row r="254">
      <c r="A254" s="218">
        <f t="shared" si="2"/>
        <v>251</v>
      </c>
      <c r="B254" s="243" t="s">
        <v>71</v>
      </c>
      <c r="C254" s="236" t="str">
        <f t="shared" si="1"/>
        <v>PC/1314/2025</v>
      </c>
      <c r="D254" s="218" t="b">
        <v>1</v>
      </c>
      <c r="E254" s="236" t="b">
        <v>0</v>
      </c>
      <c r="F254" s="236"/>
      <c r="G254" s="173"/>
      <c r="H254" s="244" t="s">
        <v>6156</v>
      </c>
      <c r="I254" s="244">
        <f t="shared" si="3"/>
        <v>1314</v>
      </c>
      <c r="J254" s="244">
        <v>2025.0</v>
      </c>
      <c r="K254" s="173"/>
    </row>
    <row r="255">
      <c r="A255" s="218">
        <f t="shared" si="2"/>
        <v>252</v>
      </c>
      <c r="B255" s="243" t="s">
        <v>71</v>
      </c>
      <c r="C255" s="236" t="str">
        <f t="shared" si="1"/>
        <v>PC/1315/2025</v>
      </c>
      <c r="D255" s="218" t="b">
        <v>1</v>
      </c>
      <c r="E255" s="236" t="b">
        <v>0</v>
      </c>
      <c r="F255" s="236"/>
      <c r="G255" s="173"/>
      <c r="H255" s="244" t="s">
        <v>6156</v>
      </c>
      <c r="I255" s="244">
        <f t="shared" si="3"/>
        <v>1315</v>
      </c>
      <c r="J255" s="244">
        <v>2025.0</v>
      </c>
      <c r="K255" s="173"/>
    </row>
    <row r="256">
      <c r="A256" s="218">
        <f t="shared" si="2"/>
        <v>253</v>
      </c>
      <c r="B256" s="243" t="s">
        <v>71</v>
      </c>
      <c r="C256" s="236" t="str">
        <f t="shared" si="1"/>
        <v>PC/1316/2025</v>
      </c>
      <c r="D256" s="218" t="b">
        <v>1</v>
      </c>
      <c r="E256" s="236" t="b">
        <v>0</v>
      </c>
      <c r="F256" s="236"/>
      <c r="G256" s="173"/>
      <c r="H256" s="244" t="s">
        <v>6156</v>
      </c>
      <c r="I256" s="244">
        <f t="shared" si="3"/>
        <v>1316</v>
      </c>
      <c r="J256" s="244">
        <v>2025.0</v>
      </c>
      <c r="K256" s="173"/>
    </row>
    <row r="257">
      <c r="A257" s="218">
        <f t="shared" si="2"/>
        <v>254</v>
      </c>
      <c r="B257" s="243" t="s">
        <v>71</v>
      </c>
      <c r="C257" s="236" t="str">
        <f t="shared" si="1"/>
        <v>PC/1317/2025</v>
      </c>
      <c r="D257" s="218" t="b">
        <v>1</v>
      </c>
      <c r="E257" s="236" t="b">
        <v>0</v>
      </c>
      <c r="F257" s="236"/>
      <c r="G257" s="173"/>
      <c r="H257" s="244" t="s">
        <v>6156</v>
      </c>
      <c r="I257" s="244">
        <f t="shared" si="3"/>
        <v>1317</v>
      </c>
      <c r="J257" s="244">
        <v>2025.0</v>
      </c>
      <c r="K257" s="173"/>
    </row>
    <row r="258">
      <c r="A258" s="218">
        <f t="shared" si="2"/>
        <v>255</v>
      </c>
      <c r="B258" s="243" t="s">
        <v>71</v>
      </c>
      <c r="C258" s="236" t="str">
        <f t="shared" si="1"/>
        <v>PC/1318/2025</v>
      </c>
      <c r="D258" s="218" t="b">
        <v>1</v>
      </c>
      <c r="E258" s="236" t="b">
        <v>0</v>
      </c>
      <c r="F258" s="236"/>
      <c r="G258" s="173"/>
      <c r="H258" s="244" t="s">
        <v>6156</v>
      </c>
      <c r="I258" s="244">
        <f t="shared" si="3"/>
        <v>1318</v>
      </c>
      <c r="J258" s="244">
        <v>2025.0</v>
      </c>
      <c r="K258" s="173"/>
    </row>
    <row r="259">
      <c r="A259" s="218">
        <f t="shared" si="2"/>
        <v>256</v>
      </c>
      <c r="B259" s="243" t="s">
        <v>71</v>
      </c>
      <c r="C259" s="236" t="str">
        <f t="shared" si="1"/>
        <v>PC/1319/2025</v>
      </c>
      <c r="D259" s="218" t="b">
        <v>1</v>
      </c>
      <c r="E259" s="236" t="b">
        <v>0</v>
      </c>
      <c r="F259" s="236"/>
      <c r="G259" s="173"/>
      <c r="H259" s="244" t="s">
        <v>6156</v>
      </c>
      <c r="I259" s="244">
        <f t="shared" si="3"/>
        <v>1319</v>
      </c>
      <c r="J259" s="244">
        <v>2025.0</v>
      </c>
      <c r="K259" s="173"/>
    </row>
    <row r="260">
      <c r="A260" s="218">
        <f t="shared" si="2"/>
        <v>257</v>
      </c>
      <c r="B260" s="243" t="s">
        <v>71</v>
      </c>
      <c r="C260" s="236" t="str">
        <f t="shared" si="1"/>
        <v>PC/1320/2025</v>
      </c>
      <c r="D260" s="218" t="b">
        <v>1</v>
      </c>
      <c r="E260" s="236" t="b">
        <v>0</v>
      </c>
      <c r="F260" s="236"/>
      <c r="G260" s="173"/>
      <c r="H260" s="244" t="s">
        <v>6156</v>
      </c>
      <c r="I260" s="244">
        <f t="shared" si="3"/>
        <v>1320</v>
      </c>
      <c r="J260" s="244">
        <v>2025.0</v>
      </c>
      <c r="K260" s="173"/>
    </row>
    <row r="261">
      <c r="A261" s="218">
        <f t="shared" si="2"/>
        <v>258</v>
      </c>
      <c r="B261" s="243" t="s">
        <v>71</v>
      </c>
      <c r="C261" s="236" t="str">
        <f t="shared" si="1"/>
        <v>PC/1321/2025</v>
      </c>
      <c r="D261" s="218" t="b">
        <v>1</v>
      </c>
      <c r="E261" s="236" t="b">
        <v>0</v>
      </c>
      <c r="F261" s="236"/>
      <c r="G261" s="173"/>
      <c r="H261" s="244" t="s">
        <v>6156</v>
      </c>
      <c r="I261" s="244">
        <f t="shared" si="3"/>
        <v>1321</v>
      </c>
      <c r="J261" s="244">
        <v>2025.0</v>
      </c>
      <c r="K261" s="173"/>
    </row>
    <row r="262">
      <c r="A262" s="218">
        <f t="shared" si="2"/>
        <v>259</v>
      </c>
      <c r="B262" s="243" t="s">
        <v>71</v>
      </c>
      <c r="C262" s="236" t="str">
        <f t="shared" si="1"/>
        <v>PC/1322/2025</v>
      </c>
      <c r="D262" s="218" t="b">
        <v>1</v>
      </c>
      <c r="E262" s="236" t="b">
        <v>0</v>
      </c>
      <c r="F262" s="236"/>
      <c r="G262" s="173"/>
      <c r="H262" s="244" t="s">
        <v>6156</v>
      </c>
      <c r="I262" s="244">
        <f t="shared" si="3"/>
        <v>1322</v>
      </c>
      <c r="J262" s="244">
        <v>2025.0</v>
      </c>
      <c r="K262" s="173"/>
    </row>
    <row r="263">
      <c r="A263" s="218">
        <f t="shared" si="2"/>
        <v>260</v>
      </c>
      <c r="B263" s="243" t="s">
        <v>71</v>
      </c>
      <c r="C263" s="236" t="str">
        <f t="shared" si="1"/>
        <v>PC/1323/2025</v>
      </c>
      <c r="D263" s="218" t="b">
        <v>1</v>
      </c>
      <c r="E263" s="236" t="b">
        <v>0</v>
      </c>
      <c r="F263" s="236"/>
      <c r="G263" s="173"/>
      <c r="H263" s="244" t="s">
        <v>6156</v>
      </c>
      <c r="I263" s="244">
        <f t="shared" si="3"/>
        <v>1323</v>
      </c>
      <c r="J263" s="244">
        <v>2025.0</v>
      </c>
      <c r="K263" s="173"/>
    </row>
    <row r="264">
      <c r="A264" s="218">
        <f t="shared" si="2"/>
        <v>261</v>
      </c>
      <c r="B264" s="243" t="s">
        <v>71</v>
      </c>
      <c r="C264" s="236" t="str">
        <f t="shared" si="1"/>
        <v>PC/1324/2025</v>
      </c>
      <c r="D264" s="218" t="b">
        <v>1</v>
      </c>
      <c r="E264" s="236" t="b">
        <v>0</v>
      </c>
      <c r="F264" s="236"/>
      <c r="G264" s="173"/>
      <c r="H264" s="244" t="s">
        <v>6156</v>
      </c>
      <c r="I264" s="244">
        <f t="shared" si="3"/>
        <v>1324</v>
      </c>
      <c r="J264" s="244">
        <v>2025.0</v>
      </c>
      <c r="K264" s="173"/>
    </row>
    <row r="265">
      <c r="A265" s="218">
        <f t="shared" si="2"/>
        <v>262</v>
      </c>
      <c r="B265" s="243" t="s">
        <v>71</v>
      </c>
      <c r="C265" s="236" t="str">
        <f t="shared" si="1"/>
        <v>PC/1325/2025</v>
      </c>
      <c r="D265" s="218" t="b">
        <v>1</v>
      </c>
      <c r="E265" s="236" t="b">
        <v>0</v>
      </c>
      <c r="F265" s="236"/>
      <c r="G265" s="173"/>
      <c r="H265" s="244" t="s">
        <v>6156</v>
      </c>
      <c r="I265" s="244">
        <f t="shared" si="3"/>
        <v>1325</v>
      </c>
      <c r="J265" s="244">
        <v>2025.0</v>
      </c>
      <c r="K265" s="173"/>
    </row>
    <row r="266">
      <c r="A266" s="218">
        <f t="shared" si="2"/>
        <v>263</v>
      </c>
      <c r="B266" s="243" t="s">
        <v>71</v>
      </c>
      <c r="C266" s="236" t="str">
        <f t="shared" si="1"/>
        <v>PC/1326/2025</v>
      </c>
      <c r="D266" s="218" t="b">
        <v>1</v>
      </c>
      <c r="E266" s="236" t="b">
        <v>0</v>
      </c>
      <c r="F266" s="236"/>
      <c r="G266" s="173"/>
      <c r="H266" s="244" t="s">
        <v>6156</v>
      </c>
      <c r="I266" s="244">
        <f t="shared" si="3"/>
        <v>1326</v>
      </c>
      <c r="J266" s="244">
        <v>2025.0</v>
      </c>
      <c r="K266" s="173"/>
    </row>
    <row r="267">
      <c r="A267" s="218">
        <f t="shared" si="2"/>
        <v>264</v>
      </c>
      <c r="B267" s="243" t="s">
        <v>71</v>
      </c>
      <c r="C267" s="236" t="str">
        <f t="shared" si="1"/>
        <v>PC/1327/2025</v>
      </c>
      <c r="D267" s="218" t="b">
        <v>1</v>
      </c>
      <c r="E267" s="236" t="b">
        <v>0</v>
      </c>
      <c r="F267" s="236"/>
      <c r="G267" s="173"/>
      <c r="H267" s="244" t="s">
        <v>6156</v>
      </c>
      <c r="I267" s="244">
        <f t="shared" si="3"/>
        <v>1327</v>
      </c>
      <c r="J267" s="244">
        <v>2025.0</v>
      </c>
      <c r="K267" s="173"/>
    </row>
    <row r="268">
      <c r="A268" s="218">
        <f t="shared" si="2"/>
        <v>265</v>
      </c>
      <c r="B268" s="243" t="s">
        <v>71</v>
      </c>
      <c r="C268" s="236" t="str">
        <f t="shared" si="1"/>
        <v>PC/1328/2025</v>
      </c>
      <c r="D268" s="218" t="b">
        <v>1</v>
      </c>
      <c r="E268" s="236" t="b">
        <v>0</v>
      </c>
      <c r="F268" s="236"/>
      <c r="G268" s="173"/>
      <c r="H268" s="244" t="s">
        <v>6156</v>
      </c>
      <c r="I268" s="244">
        <f t="shared" si="3"/>
        <v>1328</v>
      </c>
      <c r="J268" s="244">
        <v>2025.0</v>
      </c>
      <c r="K268" s="173"/>
    </row>
    <row r="269">
      <c r="A269" s="218">
        <f t="shared" si="2"/>
        <v>266</v>
      </c>
      <c r="B269" s="243" t="s">
        <v>71</v>
      </c>
      <c r="C269" s="236" t="str">
        <f t="shared" si="1"/>
        <v>PC/1329/2025</v>
      </c>
      <c r="D269" s="218" t="b">
        <v>1</v>
      </c>
      <c r="E269" s="236" t="b">
        <v>0</v>
      </c>
      <c r="F269" s="236"/>
      <c r="G269" s="173"/>
      <c r="H269" s="244" t="s">
        <v>6156</v>
      </c>
      <c r="I269" s="244">
        <f t="shared" si="3"/>
        <v>1329</v>
      </c>
      <c r="J269" s="244">
        <v>2025.0</v>
      </c>
      <c r="K269" s="173"/>
    </row>
    <row r="270">
      <c r="A270" s="218">
        <f t="shared" si="2"/>
        <v>267</v>
      </c>
      <c r="B270" s="243" t="s">
        <v>71</v>
      </c>
      <c r="C270" s="236" t="str">
        <f t="shared" si="1"/>
        <v>PC/1330/2025</v>
      </c>
      <c r="D270" s="218" t="b">
        <v>1</v>
      </c>
      <c r="E270" s="236" t="b">
        <v>0</v>
      </c>
      <c r="F270" s="236"/>
      <c r="G270" s="173"/>
      <c r="H270" s="244" t="s">
        <v>6156</v>
      </c>
      <c r="I270" s="244">
        <f t="shared" si="3"/>
        <v>1330</v>
      </c>
      <c r="J270" s="244">
        <v>2025.0</v>
      </c>
      <c r="K270" s="173"/>
    </row>
    <row r="271">
      <c r="A271" s="218">
        <f t="shared" si="2"/>
        <v>268</v>
      </c>
      <c r="B271" s="243" t="s">
        <v>71</v>
      </c>
      <c r="C271" s="236" t="str">
        <f t="shared" si="1"/>
        <v>PC/1331/2025</v>
      </c>
      <c r="D271" s="218" t="b">
        <v>1</v>
      </c>
      <c r="E271" s="236" t="b">
        <v>0</v>
      </c>
      <c r="F271" s="236"/>
      <c r="G271" s="173"/>
      <c r="H271" s="244" t="s">
        <v>6156</v>
      </c>
      <c r="I271" s="244">
        <f t="shared" si="3"/>
        <v>1331</v>
      </c>
      <c r="J271" s="244">
        <v>2025.0</v>
      </c>
      <c r="K271" s="173"/>
    </row>
    <row r="272">
      <c r="A272" s="218">
        <f t="shared" si="2"/>
        <v>269</v>
      </c>
      <c r="B272" s="243" t="s">
        <v>71</v>
      </c>
      <c r="C272" s="236" t="str">
        <f t="shared" si="1"/>
        <v>PC/1332/2025</v>
      </c>
      <c r="D272" s="218" t="b">
        <v>1</v>
      </c>
      <c r="E272" s="236" t="b">
        <v>0</v>
      </c>
      <c r="F272" s="236"/>
      <c r="G272" s="173"/>
      <c r="H272" s="244" t="s">
        <v>6156</v>
      </c>
      <c r="I272" s="244">
        <f t="shared" si="3"/>
        <v>1332</v>
      </c>
      <c r="J272" s="244">
        <v>2025.0</v>
      </c>
      <c r="K272" s="173"/>
    </row>
    <row r="273">
      <c r="A273" s="218">
        <f t="shared" si="2"/>
        <v>270</v>
      </c>
      <c r="B273" s="243" t="s">
        <v>71</v>
      </c>
      <c r="C273" s="236" t="str">
        <f t="shared" si="1"/>
        <v>PC/1333/2025</v>
      </c>
      <c r="D273" s="218" t="b">
        <v>1</v>
      </c>
      <c r="E273" s="236" t="b">
        <v>0</v>
      </c>
      <c r="F273" s="236"/>
      <c r="G273" s="173"/>
      <c r="H273" s="244" t="s">
        <v>6156</v>
      </c>
      <c r="I273" s="244">
        <f t="shared" si="3"/>
        <v>1333</v>
      </c>
      <c r="J273" s="244">
        <v>2025.0</v>
      </c>
      <c r="K273" s="173"/>
    </row>
    <row r="274">
      <c r="A274" s="218">
        <f t="shared" si="2"/>
        <v>271</v>
      </c>
      <c r="B274" s="243" t="s">
        <v>71</v>
      </c>
      <c r="C274" s="236" t="str">
        <f t="shared" si="1"/>
        <v>PC/1334/2025</v>
      </c>
      <c r="D274" s="218" t="b">
        <v>1</v>
      </c>
      <c r="E274" s="218" t="b">
        <v>0</v>
      </c>
      <c r="F274" s="242">
        <v>45867.0</v>
      </c>
      <c r="G274" s="173"/>
      <c r="H274" s="244" t="s">
        <v>6156</v>
      </c>
      <c r="I274" s="244">
        <f t="shared" si="3"/>
        <v>1334</v>
      </c>
      <c r="J274" s="244">
        <v>2025.0</v>
      </c>
      <c r="K274" s="173"/>
    </row>
    <row r="275">
      <c r="A275" s="218">
        <f t="shared" si="2"/>
        <v>272</v>
      </c>
      <c r="B275" s="243" t="s">
        <v>71</v>
      </c>
      <c r="C275" s="236" t="str">
        <f t="shared" si="1"/>
        <v>PC/1335/2025</v>
      </c>
      <c r="D275" s="218" t="b">
        <v>1</v>
      </c>
      <c r="E275" s="218" t="b">
        <v>0</v>
      </c>
      <c r="F275" s="242">
        <v>45867.0</v>
      </c>
      <c r="G275" s="173"/>
      <c r="H275" s="244" t="s">
        <v>6156</v>
      </c>
      <c r="I275" s="244">
        <f t="shared" si="3"/>
        <v>1335</v>
      </c>
      <c r="J275" s="244">
        <v>2025.0</v>
      </c>
      <c r="K275" s="173"/>
    </row>
    <row r="276">
      <c r="A276" s="218">
        <f t="shared" si="2"/>
        <v>273</v>
      </c>
      <c r="B276" s="243" t="s">
        <v>71</v>
      </c>
      <c r="C276" s="236" t="str">
        <f t="shared" si="1"/>
        <v>PC/1336/2025</v>
      </c>
      <c r="D276" s="218" t="b">
        <v>1</v>
      </c>
      <c r="E276" s="218" t="b">
        <v>0</v>
      </c>
      <c r="F276" s="242">
        <v>45867.0</v>
      </c>
      <c r="G276" s="173"/>
      <c r="H276" s="244" t="s">
        <v>6156</v>
      </c>
      <c r="I276" s="244">
        <f t="shared" si="3"/>
        <v>1336</v>
      </c>
      <c r="J276" s="244">
        <v>2025.0</v>
      </c>
      <c r="K276" s="173"/>
    </row>
    <row r="277">
      <c r="A277" s="218">
        <f t="shared" si="2"/>
        <v>274</v>
      </c>
      <c r="B277" s="243" t="s">
        <v>71</v>
      </c>
      <c r="C277" s="236" t="str">
        <f t="shared" si="1"/>
        <v>PC/1337/2025</v>
      </c>
      <c r="D277" s="218" t="b">
        <v>1</v>
      </c>
      <c r="E277" s="218" t="b">
        <v>0</v>
      </c>
      <c r="F277" s="242">
        <v>45867.0</v>
      </c>
      <c r="G277" s="173"/>
      <c r="H277" s="244" t="s">
        <v>6156</v>
      </c>
      <c r="I277" s="244">
        <f t="shared" si="3"/>
        <v>1337</v>
      </c>
      <c r="J277" s="244">
        <v>2025.0</v>
      </c>
      <c r="K277" s="173"/>
    </row>
    <row r="278">
      <c r="A278" s="218">
        <f t="shared" si="2"/>
        <v>275</v>
      </c>
      <c r="B278" s="243" t="s">
        <v>71</v>
      </c>
      <c r="C278" s="236" t="str">
        <f t="shared" si="1"/>
        <v>PC/1338/2025</v>
      </c>
      <c r="D278" s="218" t="b">
        <v>1</v>
      </c>
      <c r="E278" s="218" t="b">
        <v>0</v>
      </c>
      <c r="F278" s="242">
        <v>45867.0</v>
      </c>
      <c r="G278" s="173"/>
      <c r="H278" s="244" t="s">
        <v>6156</v>
      </c>
      <c r="I278" s="244">
        <f t="shared" si="3"/>
        <v>1338</v>
      </c>
      <c r="J278" s="244">
        <v>2025.0</v>
      </c>
      <c r="K278" s="173"/>
    </row>
    <row r="279">
      <c r="A279" s="218">
        <f t="shared" si="2"/>
        <v>276</v>
      </c>
      <c r="B279" s="243" t="s">
        <v>71</v>
      </c>
      <c r="C279" s="236" t="str">
        <f t="shared" si="1"/>
        <v>PC/1339/2025</v>
      </c>
      <c r="D279" s="218" t="b">
        <v>1</v>
      </c>
      <c r="E279" s="218" t="b">
        <v>0</v>
      </c>
      <c r="F279" s="242">
        <v>45867.0</v>
      </c>
      <c r="G279" s="173"/>
      <c r="H279" s="244" t="s">
        <v>6156</v>
      </c>
      <c r="I279" s="244">
        <f t="shared" si="3"/>
        <v>1339</v>
      </c>
      <c r="J279" s="244">
        <v>2025.0</v>
      </c>
      <c r="K279" s="173"/>
    </row>
    <row r="280">
      <c r="A280" s="218">
        <f t="shared" si="2"/>
        <v>277</v>
      </c>
      <c r="B280" s="243" t="s">
        <v>71</v>
      </c>
      <c r="C280" s="236" t="str">
        <f t="shared" si="1"/>
        <v>PC/1340/2025</v>
      </c>
      <c r="D280" s="218" t="b">
        <v>1</v>
      </c>
      <c r="E280" s="218" t="b">
        <v>0</v>
      </c>
      <c r="F280" s="242">
        <v>45867.0</v>
      </c>
      <c r="G280" s="173"/>
      <c r="H280" s="244" t="s">
        <v>6156</v>
      </c>
      <c r="I280" s="244">
        <f t="shared" si="3"/>
        <v>1340</v>
      </c>
      <c r="J280" s="244">
        <v>2025.0</v>
      </c>
      <c r="K280" s="173"/>
    </row>
    <row r="281">
      <c r="A281" s="218">
        <f t="shared" si="2"/>
        <v>278</v>
      </c>
      <c r="B281" s="243" t="s">
        <v>71</v>
      </c>
      <c r="C281" s="236" t="str">
        <f t="shared" si="1"/>
        <v>PC/1341/2025</v>
      </c>
      <c r="D281" s="218" t="b">
        <v>1</v>
      </c>
      <c r="E281" s="218" t="b">
        <v>0</v>
      </c>
      <c r="F281" s="242">
        <v>45867.0</v>
      </c>
      <c r="G281" s="173"/>
      <c r="H281" s="244" t="s">
        <v>6156</v>
      </c>
      <c r="I281" s="244">
        <f t="shared" si="3"/>
        <v>1341</v>
      </c>
      <c r="J281" s="244">
        <v>2025.0</v>
      </c>
      <c r="K281" s="173"/>
    </row>
    <row r="282">
      <c r="A282" s="218">
        <f t="shared" si="2"/>
        <v>279</v>
      </c>
      <c r="B282" s="243" t="s">
        <v>71</v>
      </c>
      <c r="C282" s="236" t="str">
        <f t="shared" si="1"/>
        <v>PC/1342/2025</v>
      </c>
      <c r="D282" s="218" t="b">
        <v>1</v>
      </c>
      <c r="E282" s="218" t="b">
        <v>0</v>
      </c>
      <c r="F282" s="242">
        <v>45867.0</v>
      </c>
      <c r="G282" s="173"/>
      <c r="H282" s="244" t="s">
        <v>6156</v>
      </c>
      <c r="I282" s="244">
        <f t="shared" si="3"/>
        <v>1342</v>
      </c>
      <c r="J282" s="244">
        <v>2025.0</v>
      </c>
      <c r="K282" s="173"/>
    </row>
    <row r="283">
      <c r="A283" s="218">
        <f t="shared" si="2"/>
        <v>280</v>
      </c>
      <c r="B283" s="243" t="s">
        <v>71</v>
      </c>
      <c r="C283" s="236" t="str">
        <f t="shared" si="1"/>
        <v>PC/1343/2025</v>
      </c>
      <c r="D283" s="218" t="b">
        <v>1</v>
      </c>
      <c r="E283" s="218" t="b">
        <v>0</v>
      </c>
      <c r="F283" s="242">
        <v>45867.0</v>
      </c>
      <c r="G283" s="173"/>
      <c r="H283" s="244" t="s">
        <v>6156</v>
      </c>
      <c r="I283" s="244">
        <f t="shared" si="3"/>
        <v>1343</v>
      </c>
      <c r="J283" s="244">
        <v>2025.0</v>
      </c>
      <c r="K283" s="173"/>
    </row>
    <row r="284">
      <c r="A284" s="218">
        <f t="shared" si="2"/>
        <v>281</v>
      </c>
      <c r="B284" s="243" t="s">
        <v>71</v>
      </c>
      <c r="C284" s="236" t="str">
        <f t="shared" si="1"/>
        <v>PC/1344/2025</v>
      </c>
      <c r="D284" s="218" t="b">
        <v>1</v>
      </c>
      <c r="E284" s="218" t="b">
        <v>0</v>
      </c>
      <c r="F284" s="242">
        <v>45867.0</v>
      </c>
      <c r="G284" s="173"/>
      <c r="H284" s="244" t="s">
        <v>6156</v>
      </c>
      <c r="I284" s="244">
        <f t="shared" si="3"/>
        <v>1344</v>
      </c>
      <c r="J284" s="244">
        <v>2025.0</v>
      </c>
      <c r="K284" s="173"/>
    </row>
    <row r="285">
      <c r="A285" s="218">
        <f t="shared" si="2"/>
        <v>282</v>
      </c>
      <c r="B285" s="243" t="s">
        <v>71</v>
      </c>
      <c r="C285" s="236" t="str">
        <f t="shared" si="1"/>
        <v>PC/1345/2025</v>
      </c>
      <c r="D285" s="243" t="b">
        <v>1</v>
      </c>
      <c r="E285" s="236" t="b">
        <v>0</v>
      </c>
      <c r="F285" s="242">
        <v>45869.0</v>
      </c>
      <c r="G285" s="173"/>
      <c r="H285" s="244" t="s">
        <v>6156</v>
      </c>
      <c r="I285" s="244">
        <f t="shared" si="3"/>
        <v>1345</v>
      </c>
      <c r="J285" s="244">
        <v>2025.0</v>
      </c>
      <c r="K285" s="173"/>
    </row>
    <row r="286">
      <c r="A286" s="218">
        <f t="shared" si="2"/>
        <v>283</v>
      </c>
      <c r="B286" s="243" t="s">
        <v>71</v>
      </c>
      <c r="C286" s="236" t="str">
        <f t="shared" si="1"/>
        <v>PC/1346/2025</v>
      </c>
      <c r="D286" s="243" t="b">
        <v>1</v>
      </c>
      <c r="E286" s="236" t="b">
        <v>0</v>
      </c>
      <c r="F286" s="242">
        <v>45869.0</v>
      </c>
      <c r="G286" s="173"/>
      <c r="H286" s="244" t="s">
        <v>6156</v>
      </c>
      <c r="I286" s="244">
        <f t="shared" si="3"/>
        <v>1346</v>
      </c>
      <c r="J286" s="244">
        <v>2025.0</v>
      </c>
      <c r="K286" s="173"/>
    </row>
    <row r="287">
      <c r="A287" s="218">
        <f t="shared" si="2"/>
        <v>284</v>
      </c>
      <c r="B287" s="243" t="s">
        <v>71</v>
      </c>
      <c r="C287" s="236" t="str">
        <f t="shared" si="1"/>
        <v>PC/1347/2025</v>
      </c>
      <c r="D287" s="243" t="b">
        <v>1</v>
      </c>
      <c r="E287" s="236" t="b">
        <v>0</v>
      </c>
      <c r="F287" s="242">
        <v>45869.0</v>
      </c>
      <c r="G287" s="173"/>
      <c r="H287" s="244" t="s">
        <v>6156</v>
      </c>
      <c r="I287" s="244">
        <f t="shared" si="3"/>
        <v>1347</v>
      </c>
      <c r="J287" s="244">
        <v>2025.0</v>
      </c>
      <c r="K287" s="173"/>
    </row>
    <row r="288">
      <c r="A288" s="218">
        <f t="shared" si="2"/>
        <v>285</v>
      </c>
      <c r="B288" s="243" t="s">
        <v>71</v>
      </c>
      <c r="C288" s="236" t="str">
        <f t="shared" si="1"/>
        <v>PC/1348/2025</v>
      </c>
      <c r="D288" s="243" t="b">
        <v>1</v>
      </c>
      <c r="E288" s="236" t="b">
        <v>0</v>
      </c>
      <c r="F288" s="242">
        <v>45869.0</v>
      </c>
      <c r="G288" s="173"/>
      <c r="H288" s="244" t="s">
        <v>6156</v>
      </c>
      <c r="I288" s="244">
        <f t="shared" si="3"/>
        <v>1348</v>
      </c>
      <c r="J288" s="244">
        <v>2025.0</v>
      </c>
      <c r="K288" s="173"/>
    </row>
    <row r="289">
      <c r="A289" s="218">
        <f t="shared" si="2"/>
        <v>286</v>
      </c>
      <c r="B289" s="243" t="s">
        <v>71</v>
      </c>
      <c r="C289" s="236" t="str">
        <f t="shared" si="1"/>
        <v>PC/1349/2025</v>
      </c>
      <c r="D289" s="243" t="b">
        <v>1</v>
      </c>
      <c r="E289" s="236" t="b">
        <v>0</v>
      </c>
      <c r="F289" s="242">
        <v>45869.0</v>
      </c>
      <c r="G289" s="173"/>
      <c r="H289" s="244" t="s">
        <v>6156</v>
      </c>
      <c r="I289" s="244">
        <f t="shared" si="3"/>
        <v>1349</v>
      </c>
      <c r="J289" s="244">
        <v>2025.0</v>
      </c>
      <c r="K289" s="173"/>
    </row>
    <row r="290">
      <c r="A290" s="218">
        <f t="shared" si="2"/>
        <v>287</v>
      </c>
      <c r="B290" s="243" t="s">
        <v>71</v>
      </c>
      <c r="C290" s="236" t="str">
        <f t="shared" si="1"/>
        <v>PC/1350/2025</v>
      </c>
      <c r="D290" s="243" t="b">
        <v>1</v>
      </c>
      <c r="E290" s="236" t="b">
        <v>0</v>
      </c>
      <c r="F290" s="242">
        <v>45869.0</v>
      </c>
      <c r="G290" s="173"/>
      <c r="H290" s="244" t="s">
        <v>6156</v>
      </c>
      <c r="I290" s="244">
        <f t="shared" si="3"/>
        <v>1350</v>
      </c>
      <c r="J290" s="244">
        <v>2025.0</v>
      </c>
      <c r="K290" s="173"/>
    </row>
    <row r="291">
      <c r="A291" s="218">
        <f t="shared" si="2"/>
        <v>288</v>
      </c>
      <c r="B291" s="243" t="s">
        <v>71</v>
      </c>
      <c r="C291" s="236" t="str">
        <f t="shared" si="1"/>
        <v>PC/1351/2025</v>
      </c>
      <c r="D291" s="243" t="b">
        <v>1</v>
      </c>
      <c r="E291" s="236" t="b">
        <v>0</v>
      </c>
      <c r="F291" s="242">
        <v>45869.0</v>
      </c>
      <c r="G291" s="173"/>
      <c r="H291" s="244" t="s">
        <v>6156</v>
      </c>
      <c r="I291" s="244">
        <f t="shared" si="3"/>
        <v>1351</v>
      </c>
      <c r="J291" s="244">
        <v>2025.0</v>
      </c>
      <c r="K291" s="173"/>
    </row>
    <row r="292">
      <c r="A292" s="218">
        <f t="shared" si="2"/>
        <v>289</v>
      </c>
      <c r="B292" s="243" t="s">
        <v>71</v>
      </c>
      <c r="C292" s="236" t="str">
        <f t="shared" si="1"/>
        <v>PC/1352/2025</v>
      </c>
      <c r="D292" s="243" t="b">
        <v>1</v>
      </c>
      <c r="E292" s="236" t="b">
        <v>0</v>
      </c>
      <c r="F292" s="242">
        <v>45869.0</v>
      </c>
      <c r="G292" s="173"/>
      <c r="H292" s="244" t="s">
        <v>6156</v>
      </c>
      <c r="I292" s="244">
        <f t="shared" si="3"/>
        <v>1352</v>
      </c>
      <c r="J292" s="244">
        <v>2025.0</v>
      </c>
      <c r="K292" s="173"/>
    </row>
    <row r="293">
      <c r="A293" s="218">
        <f t="shared" si="2"/>
        <v>290</v>
      </c>
      <c r="B293" s="243" t="s">
        <v>71</v>
      </c>
      <c r="C293" s="236" t="str">
        <f t="shared" si="1"/>
        <v>PC/1353/2025</v>
      </c>
      <c r="D293" s="243" t="b">
        <v>1</v>
      </c>
      <c r="E293" s="236" t="b">
        <v>0</v>
      </c>
      <c r="F293" s="242">
        <v>45869.0</v>
      </c>
      <c r="G293" s="173"/>
      <c r="H293" s="244" t="s">
        <v>6156</v>
      </c>
      <c r="I293" s="244">
        <f t="shared" si="3"/>
        <v>1353</v>
      </c>
      <c r="J293" s="244">
        <v>2025.0</v>
      </c>
      <c r="K293" s="173"/>
    </row>
    <row r="294">
      <c r="A294" s="218">
        <f t="shared" si="2"/>
        <v>291</v>
      </c>
      <c r="B294" s="243" t="s">
        <v>71</v>
      </c>
      <c r="C294" s="236" t="str">
        <f t="shared" si="1"/>
        <v>PC/1354/2025</v>
      </c>
      <c r="D294" s="243" t="b">
        <v>1</v>
      </c>
      <c r="E294" s="236" t="b">
        <v>0</v>
      </c>
      <c r="F294" s="242">
        <v>45869.0</v>
      </c>
      <c r="G294" s="173"/>
      <c r="H294" s="244" t="s">
        <v>6156</v>
      </c>
      <c r="I294" s="244">
        <f t="shared" si="3"/>
        <v>1354</v>
      </c>
      <c r="J294" s="244">
        <v>2025.0</v>
      </c>
      <c r="K294" s="173"/>
    </row>
    <row r="295">
      <c r="A295" s="218">
        <f t="shared" si="2"/>
        <v>292</v>
      </c>
      <c r="B295" s="243" t="s">
        <v>71</v>
      </c>
      <c r="C295" s="236" t="str">
        <f t="shared" si="1"/>
        <v>PC/1355/2025</v>
      </c>
      <c r="D295" s="243" t="b">
        <v>1</v>
      </c>
      <c r="E295" s="236" t="b">
        <v>0</v>
      </c>
      <c r="F295" s="242">
        <v>45869.0</v>
      </c>
      <c r="G295" s="173"/>
      <c r="H295" s="244" t="s">
        <v>6156</v>
      </c>
      <c r="I295" s="244">
        <f t="shared" si="3"/>
        <v>1355</v>
      </c>
      <c r="J295" s="244">
        <v>2025.0</v>
      </c>
      <c r="K295" s="173"/>
    </row>
    <row r="296">
      <c r="A296" s="218">
        <f t="shared" si="2"/>
        <v>293</v>
      </c>
      <c r="B296" s="243" t="s">
        <v>71</v>
      </c>
      <c r="C296" s="236" t="str">
        <f t="shared" si="1"/>
        <v>PC/1356/2025</v>
      </c>
      <c r="D296" s="243" t="b">
        <v>1</v>
      </c>
      <c r="E296" s="236" t="b">
        <v>0</v>
      </c>
      <c r="F296" s="242">
        <v>45869.0</v>
      </c>
      <c r="G296" s="173"/>
      <c r="H296" s="244" t="s">
        <v>6156</v>
      </c>
      <c r="I296" s="244">
        <f t="shared" si="3"/>
        <v>1356</v>
      </c>
      <c r="J296" s="244">
        <v>2025.0</v>
      </c>
      <c r="K296" s="173"/>
    </row>
    <row r="297">
      <c r="A297" s="218">
        <f t="shared" si="2"/>
        <v>294</v>
      </c>
      <c r="B297" s="243" t="s">
        <v>71</v>
      </c>
      <c r="C297" s="236" t="str">
        <f t="shared" si="1"/>
        <v>PC/1357/2025</v>
      </c>
      <c r="D297" s="243" t="b">
        <v>1</v>
      </c>
      <c r="E297" s="236" t="b">
        <v>0</v>
      </c>
      <c r="F297" s="242">
        <v>45869.0</v>
      </c>
      <c r="G297" s="173"/>
      <c r="H297" s="244" t="s">
        <v>6156</v>
      </c>
      <c r="I297" s="244">
        <f t="shared" si="3"/>
        <v>1357</v>
      </c>
      <c r="J297" s="244">
        <v>2025.0</v>
      </c>
      <c r="K297" s="173"/>
    </row>
    <row r="298">
      <c r="A298" s="218">
        <f t="shared" si="2"/>
        <v>295</v>
      </c>
      <c r="B298" s="243" t="s">
        <v>71</v>
      </c>
      <c r="C298" s="236" t="str">
        <f t="shared" si="1"/>
        <v>PC/1358/2025</v>
      </c>
      <c r="D298" s="243" t="b">
        <v>1</v>
      </c>
      <c r="E298" s="236" t="b">
        <v>0</v>
      </c>
      <c r="F298" s="242">
        <v>45869.0</v>
      </c>
      <c r="G298" s="173"/>
      <c r="H298" s="244" t="s">
        <v>6156</v>
      </c>
      <c r="I298" s="244">
        <f t="shared" si="3"/>
        <v>1358</v>
      </c>
      <c r="J298" s="244">
        <v>2025.0</v>
      </c>
      <c r="K298" s="173"/>
    </row>
    <row r="299">
      <c r="A299" s="218">
        <f t="shared" si="2"/>
        <v>296</v>
      </c>
      <c r="B299" s="243" t="s">
        <v>71</v>
      </c>
      <c r="C299" s="236" t="str">
        <f t="shared" si="1"/>
        <v>PC/1359/2025</v>
      </c>
      <c r="D299" s="243" t="b">
        <v>1</v>
      </c>
      <c r="E299" s="236" t="b">
        <v>0</v>
      </c>
      <c r="F299" s="242">
        <v>45869.0</v>
      </c>
      <c r="G299" s="173"/>
      <c r="H299" s="244" t="s">
        <v>6156</v>
      </c>
      <c r="I299" s="244">
        <f t="shared" si="3"/>
        <v>1359</v>
      </c>
      <c r="J299" s="244">
        <v>2025.0</v>
      </c>
      <c r="K299" s="173"/>
    </row>
    <row r="300">
      <c r="A300" s="218">
        <f t="shared" si="2"/>
        <v>297</v>
      </c>
      <c r="B300" s="243" t="s">
        <v>71</v>
      </c>
      <c r="C300" s="236" t="str">
        <f t="shared" si="1"/>
        <v>PC/1360/2025</v>
      </c>
      <c r="D300" s="243" t="b">
        <v>1</v>
      </c>
      <c r="E300" s="236" t="b">
        <v>0</v>
      </c>
      <c r="F300" s="242">
        <v>45869.0</v>
      </c>
      <c r="G300" s="173"/>
      <c r="H300" s="244" t="s">
        <v>6156</v>
      </c>
      <c r="I300" s="244">
        <f t="shared" si="3"/>
        <v>1360</v>
      </c>
      <c r="J300" s="244">
        <v>2025.0</v>
      </c>
      <c r="K300" s="173"/>
    </row>
    <row r="301">
      <c r="A301" s="218">
        <f t="shared" si="2"/>
        <v>298</v>
      </c>
      <c r="B301" s="243" t="s">
        <v>71</v>
      </c>
      <c r="C301" s="236" t="str">
        <f t="shared" si="1"/>
        <v>PC/1361/2025</v>
      </c>
      <c r="D301" s="243" t="b">
        <v>1</v>
      </c>
      <c r="E301" s="236" t="b">
        <v>0</v>
      </c>
      <c r="F301" s="242">
        <v>45869.0</v>
      </c>
      <c r="G301" s="173"/>
      <c r="H301" s="244" t="s">
        <v>6156</v>
      </c>
      <c r="I301" s="244">
        <f t="shared" si="3"/>
        <v>1361</v>
      </c>
      <c r="J301" s="244">
        <v>2025.0</v>
      </c>
      <c r="K301" s="173"/>
    </row>
    <row r="302">
      <c r="A302" s="218">
        <f t="shared" si="2"/>
        <v>299</v>
      </c>
      <c r="B302" s="243" t="s">
        <v>71</v>
      </c>
      <c r="C302" s="236" t="str">
        <f t="shared" si="1"/>
        <v>PC/1362/2025</v>
      </c>
      <c r="D302" s="243" t="b">
        <v>1</v>
      </c>
      <c r="E302" s="236" t="b">
        <v>0</v>
      </c>
      <c r="F302" s="242">
        <v>45869.0</v>
      </c>
      <c r="G302" s="173"/>
      <c r="H302" s="244" t="s">
        <v>6156</v>
      </c>
      <c r="I302" s="244">
        <f t="shared" si="3"/>
        <v>1362</v>
      </c>
      <c r="J302" s="244">
        <v>2025.0</v>
      </c>
      <c r="K302" s="173"/>
    </row>
    <row r="303">
      <c r="A303" s="218">
        <f t="shared" si="2"/>
        <v>300</v>
      </c>
      <c r="B303" s="243" t="s">
        <v>71</v>
      </c>
      <c r="C303" s="236" t="str">
        <f t="shared" si="1"/>
        <v>PC/1363/2025</v>
      </c>
      <c r="D303" s="243" t="b">
        <v>1</v>
      </c>
      <c r="E303" s="236" t="b">
        <v>0</v>
      </c>
      <c r="F303" s="242">
        <v>45869.0</v>
      </c>
      <c r="G303" s="173"/>
      <c r="H303" s="244" t="s">
        <v>6156</v>
      </c>
      <c r="I303" s="244">
        <f t="shared" si="3"/>
        <v>1363</v>
      </c>
      <c r="J303" s="244">
        <v>2025.0</v>
      </c>
      <c r="K303" s="173"/>
    </row>
    <row r="304">
      <c r="A304" s="218">
        <f t="shared" si="2"/>
        <v>301</v>
      </c>
      <c r="B304" s="243" t="s">
        <v>71</v>
      </c>
      <c r="C304" s="236" t="str">
        <f t="shared" si="1"/>
        <v>PC/1364/2025</v>
      </c>
      <c r="D304" s="243" t="b">
        <v>1</v>
      </c>
      <c r="E304" s="236" t="b">
        <v>0</v>
      </c>
      <c r="F304" s="242">
        <v>45869.0</v>
      </c>
      <c r="G304" s="173"/>
      <c r="H304" s="244" t="s">
        <v>6156</v>
      </c>
      <c r="I304" s="244">
        <f t="shared" si="3"/>
        <v>1364</v>
      </c>
      <c r="J304" s="244">
        <v>2025.0</v>
      </c>
      <c r="K304" s="173"/>
    </row>
    <row r="305">
      <c r="A305" s="218">
        <f t="shared" si="2"/>
        <v>302</v>
      </c>
      <c r="B305" s="243" t="s">
        <v>71</v>
      </c>
      <c r="C305" s="236" t="str">
        <f t="shared" si="1"/>
        <v>PC/1365/2025</v>
      </c>
      <c r="D305" s="243" t="b">
        <v>1</v>
      </c>
      <c r="E305" s="236" t="b">
        <v>0</v>
      </c>
      <c r="F305" s="242">
        <v>45869.0</v>
      </c>
      <c r="G305" s="173"/>
      <c r="H305" s="244" t="s">
        <v>6156</v>
      </c>
      <c r="I305" s="244">
        <f t="shared" si="3"/>
        <v>1365</v>
      </c>
      <c r="J305" s="244">
        <v>2025.0</v>
      </c>
      <c r="K305" s="173"/>
    </row>
    <row r="306">
      <c r="A306" s="218">
        <f t="shared" si="2"/>
        <v>303</v>
      </c>
      <c r="B306" s="243" t="s">
        <v>71</v>
      </c>
      <c r="C306" s="236" t="str">
        <f t="shared" si="1"/>
        <v>PC/1366/2025</v>
      </c>
      <c r="D306" s="243" t="b">
        <v>1</v>
      </c>
      <c r="E306" s="236" t="b">
        <v>0</v>
      </c>
      <c r="F306" s="242">
        <v>45869.0</v>
      </c>
      <c r="G306" s="173"/>
      <c r="H306" s="244" t="s">
        <v>6156</v>
      </c>
      <c r="I306" s="244">
        <f t="shared" si="3"/>
        <v>1366</v>
      </c>
      <c r="J306" s="244">
        <v>2025.0</v>
      </c>
      <c r="K306" s="173"/>
    </row>
    <row r="307">
      <c r="A307" s="218">
        <f t="shared" si="2"/>
        <v>304</v>
      </c>
      <c r="B307" s="243" t="s">
        <v>71</v>
      </c>
      <c r="C307" s="236" t="str">
        <f t="shared" si="1"/>
        <v>PC/1367/2025</v>
      </c>
      <c r="D307" s="243" t="b">
        <v>1</v>
      </c>
      <c r="E307" s="236" t="b">
        <v>0</v>
      </c>
      <c r="F307" s="242">
        <v>45869.0</v>
      </c>
      <c r="G307" s="173"/>
      <c r="H307" s="244" t="s">
        <v>6156</v>
      </c>
      <c r="I307" s="244">
        <f t="shared" si="3"/>
        <v>1367</v>
      </c>
      <c r="J307" s="244">
        <v>2025.0</v>
      </c>
      <c r="K307" s="173"/>
    </row>
    <row r="308">
      <c r="A308" s="218">
        <f t="shared" si="2"/>
        <v>305</v>
      </c>
      <c r="B308" s="243" t="s">
        <v>71</v>
      </c>
      <c r="C308" s="236" t="str">
        <f t="shared" si="1"/>
        <v>PC/1368/2025</v>
      </c>
      <c r="D308" s="243" t="b">
        <v>1</v>
      </c>
      <c r="E308" s="236" t="b">
        <v>0</v>
      </c>
      <c r="F308" s="242">
        <v>45869.0</v>
      </c>
      <c r="G308" s="173"/>
      <c r="H308" s="244" t="s">
        <v>6156</v>
      </c>
      <c r="I308" s="244">
        <f t="shared" si="3"/>
        <v>1368</v>
      </c>
      <c r="J308" s="244">
        <v>2025.0</v>
      </c>
      <c r="K308" s="173"/>
    </row>
    <row r="309">
      <c r="A309" s="218">
        <f t="shared" si="2"/>
        <v>306</v>
      </c>
      <c r="B309" s="243" t="s">
        <v>71</v>
      </c>
      <c r="C309" s="236" t="str">
        <f t="shared" si="1"/>
        <v>PC/1369/2025</v>
      </c>
      <c r="D309" s="218" t="b">
        <v>1</v>
      </c>
      <c r="E309" s="236" t="b">
        <v>0</v>
      </c>
      <c r="F309" s="243"/>
      <c r="G309" s="173"/>
      <c r="H309" s="244" t="s">
        <v>6156</v>
      </c>
      <c r="I309" s="244">
        <f t="shared" si="3"/>
        <v>1369</v>
      </c>
      <c r="J309" s="244">
        <v>2025.0</v>
      </c>
      <c r="K309" s="173"/>
    </row>
    <row r="310">
      <c r="A310" s="218">
        <f t="shared" si="2"/>
        <v>307</v>
      </c>
      <c r="B310" s="243" t="s">
        <v>71</v>
      </c>
      <c r="C310" s="236" t="str">
        <f t="shared" si="1"/>
        <v>PC/1370/2025</v>
      </c>
      <c r="D310" s="218" t="b">
        <v>1</v>
      </c>
      <c r="E310" s="236" t="b">
        <v>0</v>
      </c>
      <c r="F310" s="236"/>
      <c r="G310" s="173"/>
      <c r="H310" s="244" t="s">
        <v>6156</v>
      </c>
      <c r="I310" s="244">
        <f t="shared" si="3"/>
        <v>1370</v>
      </c>
      <c r="J310" s="244">
        <v>2025.0</v>
      </c>
      <c r="K310" s="173"/>
    </row>
    <row r="311">
      <c r="A311" s="218">
        <f t="shared" si="2"/>
        <v>308</v>
      </c>
      <c r="B311" s="243" t="s">
        <v>71</v>
      </c>
      <c r="C311" s="236" t="str">
        <f t="shared" si="1"/>
        <v>PC/1371/2025</v>
      </c>
      <c r="D311" s="218" t="b">
        <v>1</v>
      </c>
      <c r="E311" s="236" t="b">
        <v>0</v>
      </c>
      <c r="F311" s="236"/>
      <c r="G311" s="173"/>
      <c r="H311" s="244" t="s">
        <v>6156</v>
      </c>
      <c r="I311" s="244">
        <f t="shared" si="3"/>
        <v>1371</v>
      </c>
      <c r="J311" s="244">
        <v>2025.0</v>
      </c>
      <c r="K311" s="173"/>
    </row>
    <row r="312">
      <c r="A312" s="218">
        <f t="shared" si="2"/>
        <v>309</v>
      </c>
      <c r="B312" s="243" t="s">
        <v>71</v>
      </c>
      <c r="C312" s="236" t="str">
        <f t="shared" si="1"/>
        <v>PC/1372/2025</v>
      </c>
      <c r="D312" s="218" t="b">
        <v>1</v>
      </c>
      <c r="E312" s="236" t="b">
        <v>0</v>
      </c>
      <c r="F312" s="236"/>
      <c r="G312" s="173"/>
      <c r="H312" s="244" t="s">
        <v>6156</v>
      </c>
      <c r="I312" s="244">
        <f t="shared" si="3"/>
        <v>1372</v>
      </c>
      <c r="J312" s="244">
        <v>2025.0</v>
      </c>
      <c r="K312" s="173"/>
    </row>
    <row r="313">
      <c r="A313" s="218">
        <f t="shared" si="2"/>
        <v>310</v>
      </c>
      <c r="B313" s="243" t="s">
        <v>71</v>
      </c>
      <c r="C313" s="236" t="str">
        <f t="shared" si="1"/>
        <v>PC/1373/2025</v>
      </c>
      <c r="D313" s="218" t="b">
        <v>1</v>
      </c>
      <c r="E313" s="236" t="b">
        <v>0</v>
      </c>
      <c r="F313" s="236"/>
      <c r="G313" s="173"/>
      <c r="H313" s="244" t="s">
        <v>6156</v>
      </c>
      <c r="I313" s="244">
        <f t="shared" si="3"/>
        <v>1373</v>
      </c>
      <c r="J313" s="244">
        <v>2025.0</v>
      </c>
      <c r="K313" s="173"/>
    </row>
    <row r="314">
      <c r="A314" s="218">
        <f t="shared" si="2"/>
        <v>311</v>
      </c>
      <c r="B314" s="243" t="s">
        <v>71</v>
      </c>
      <c r="C314" s="236" t="str">
        <f t="shared" si="1"/>
        <v>PC/1374/2025</v>
      </c>
      <c r="D314" s="218" t="b">
        <v>1</v>
      </c>
      <c r="E314" s="236" t="b">
        <v>0</v>
      </c>
      <c r="F314" s="236"/>
      <c r="G314" s="173"/>
      <c r="H314" s="244" t="s">
        <v>6156</v>
      </c>
      <c r="I314" s="244">
        <f t="shared" si="3"/>
        <v>1374</v>
      </c>
      <c r="J314" s="244">
        <v>2025.0</v>
      </c>
      <c r="K314" s="173"/>
    </row>
    <row r="315">
      <c r="A315" s="218">
        <f t="shared" si="2"/>
        <v>312</v>
      </c>
      <c r="B315" s="243" t="s">
        <v>71</v>
      </c>
      <c r="C315" s="236" t="str">
        <f t="shared" si="1"/>
        <v>PC/1375/2025</v>
      </c>
      <c r="D315" s="218" t="b">
        <v>1</v>
      </c>
      <c r="E315" s="236" t="b">
        <v>0</v>
      </c>
      <c r="F315" s="236"/>
      <c r="G315" s="173"/>
      <c r="H315" s="244" t="s">
        <v>6156</v>
      </c>
      <c r="I315" s="244">
        <f t="shared" si="3"/>
        <v>1375</v>
      </c>
      <c r="J315" s="244">
        <v>2025.0</v>
      </c>
      <c r="K315" s="173"/>
    </row>
    <row r="316">
      <c r="A316" s="218">
        <f t="shared" si="2"/>
        <v>313</v>
      </c>
      <c r="B316" s="243" t="s">
        <v>71</v>
      </c>
      <c r="C316" s="236" t="str">
        <f t="shared" si="1"/>
        <v>PC/1376/2025</v>
      </c>
      <c r="D316" s="218" t="b">
        <v>1</v>
      </c>
      <c r="E316" s="236" t="b">
        <v>0</v>
      </c>
      <c r="F316" s="236"/>
      <c r="G316" s="173"/>
      <c r="H316" s="244" t="s">
        <v>6156</v>
      </c>
      <c r="I316" s="244">
        <f t="shared" si="3"/>
        <v>1376</v>
      </c>
      <c r="J316" s="244">
        <v>2025.0</v>
      </c>
      <c r="K316" s="173"/>
    </row>
    <row r="317">
      <c r="A317" s="218">
        <f t="shared" si="2"/>
        <v>314</v>
      </c>
      <c r="B317" s="243" t="s">
        <v>71</v>
      </c>
      <c r="C317" s="236" t="str">
        <f t="shared" si="1"/>
        <v>PC/1377/2025</v>
      </c>
      <c r="D317" s="218" t="b">
        <v>1</v>
      </c>
      <c r="E317" s="236" t="b">
        <v>0</v>
      </c>
      <c r="F317" s="236"/>
      <c r="G317" s="173"/>
      <c r="H317" s="244" t="s">
        <v>6156</v>
      </c>
      <c r="I317" s="244">
        <f t="shared" si="3"/>
        <v>1377</v>
      </c>
      <c r="J317" s="244">
        <v>2025.0</v>
      </c>
      <c r="K317" s="173"/>
    </row>
    <row r="318">
      <c r="A318" s="218">
        <f t="shared" si="2"/>
        <v>315</v>
      </c>
      <c r="B318" s="243" t="s">
        <v>71</v>
      </c>
      <c r="C318" s="236" t="str">
        <f t="shared" si="1"/>
        <v>PC/1378/2025</v>
      </c>
      <c r="D318" s="218" t="b">
        <v>1</v>
      </c>
      <c r="E318" s="236" t="b">
        <v>0</v>
      </c>
      <c r="F318" s="236"/>
      <c r="G318" s="173"/>
      <c r="H318" s="244" t="s">
        <v>6156</v>
      </c>
      <c r="I318" s="244">
        <f t="shared" si="3"/>
        <v>1378</v>
      </c>
      <c r="J318" s="244">
        <v>2025.0</v>
      </c>
      <c r="K318" s="173"/>
    </row>
    <row r="319">
      <c r="A319" s="218">
        <f t="shared" si="2"/>
        <v>316</v>
      </c>
      <c r="B319" s="243" t="s">
        <v>71</v>
      </c>
      <c r="C319" s="236" t="str">
        <f t="shared" si="1"/>
        <v>PC/1379/2025</v>
      </c>
      <c r="D319" s="218" t="b">
        <v>1</v>
      </c>
      <c r="E319" s="236" t="b">
        <v>0</v>
      </c>
      <c r="F319" s="236"/>
      <c r="G319" s="173"/>
      <c r="H319" s="244" t="s">
        <v>6156</v>
      </c>
      <c r="I319" s="244">
        <f t="shared" si="3"/>
        <v>1379</v>
      </c>
      <c r="J319" s="244">
        <v>2025.0</v>
      </c>
      <c r="K319" s="173"/>
    </row>
    <row r="320">
      <c r="A320" s="218">
        <f t="shared" si="2"/>
        <v>317</v>
      </c>
      <c r="B320" s="243" t="s">
        <v>71</v>
      </c>
      <c r="C320" s="236" t="str">
        <f t="shared" si="1"/>
        <v>PC/1380/2025</v>
      </c>
      <c r="D320" s="218" t="b">
        <v>1</v>
      </c>
      <c r="E320" s="236" t="b">
        <v>0</v>
      </c>
      <c r="F320" s="236"/>
      <c r="G320" s="173"/>
      <c r="H320" s="244" t="s">
        <v>6156</v>
      </c>
      <c r="I320" s="244">
        <f t="shared" si="3"/>
        <v>1380</v>
      </c>
      <c r="J320" s="244">
        <v>2025.0</v>
      </c>
      <c r="K320" s="173"/>
    </row>
    <row r="321">
      <c r="A321" s="218">
        <f t="shared" si="2"/>
        <v>318</v>
      </c>
      <c r="B321" s="243" t="s">
        <v>71</v>
      </c>
      <c r="C321" s="236" t="str">
        <f t="shared" si="1"/>
        <v>PC/1381/2025</v>
      </c>
      <c r="D321" s="218" t="b">
        <v>1</v>
      </c>
      <c r="E321" s="236" t="b">
        <v>0</v>
      </c>
      <c r="F321" s="236"/>
      <c r="G321" s="173"/>
      <c r="H321" s="244" t="s">
        <v>6156</v>
      </c>
      <c r="I321" s="244">
        <f t="shared" si="3"/>
        <v>1381</v>
      </c>
      <c r="J321" s="244">
        <v>2025.0</v>
      </c>
      <c r="K321" s="173"/>
    </row>
    <row r="322">
      <c r="A322" s="218">
        <f t="shared" si="2"/>
        <v>319</v>
      </c>
      <c r="B322" s="243" t="s">
        <v>71</v>
      </c>
      <c r="C322" s="236" t="str">
        <f t="shared" si="1"/>
        <v>PC/1382/2025</v>
      </c>
      <c r="D322" s="243" t="b">
        <v>1</v>
      </c>
      <c r="E322" s="236" t="b">
        <v>0</v>
      </c>
      <c r="F322" s="242">
        <v>45869.0</v>
      </c>
      <c r="G322" s="173"/>
      <c r="H322" s="244" t="s">
        <v>6156</v>
      </c>
      <c r="I322" s="244">
        <f t="shared" si="3"/>
        <v>1382</v>
      </c>
      <c r="J322" s="244">
        <v>2025.0</v>
      </c>
      <c r="K322" s="173"/>
    </row>
    <row r="323">
      <c r="A323" s="218">
        <f t="shared" si="2"/>
        <v>320</v>
      </c>
      <c r="B323" s="243" t="s">
        <v>71</v>
      </c>
      <c r="C323" s="236" t="str">
        <f t="shared" si="1"/>
        <v>PC/1383/2025</v>
      </c>
      <c r="D323" s="236" t="b">
        <v>0</v>
      </c>
      <c r="E323" s="243" t="b">
        <v>1</v>
      </c>
      <c r="F323" s="236"/>
      <c r="G323" s="173"/>
      <c r="H323" s="244" t="s">
        <v>6156</v>
      </c>
      <c r="I323" s="244">
        <f t="shared" si="3"/>
        <v>1383</v>
      </c>
      <c r="J323" s="244">
        <v>2025.0</v>
      </c>
      <c r="K323" s="173"/>
    </row>
    <row r="324">
      <c r="A324" s="218">
        <f t="shared" si="2"/>
        <v>321</v>
      </c>
      <c r="B324" s="243" t="s">
        <v>71</v>
      </c>
      <c r="C324" s="236" t="str">
        <f t="shared" si="1"/>
        <v>PC/1384/2025</v>
      </c>
      <c r="D324" s="236" t="b">
        <v>0</v>
      </c>
      <c r="E324" s="243" t="b">
        <v>1</v>
      </c>
      <c r="F324" s="236"/>
      <c r="G324" s="173"/>
      <c r="H324" s="244" t="s">
        <v>6156</v>
      </c>
      <c r="I324" s="244">
        <f t="shared" si="3"/>
        <v>1384</v>
      </c>
      <c r="J324" s="244">
        <v>2025.0</v>
      </c>
      <c r="K324" s="173"/>
    </row>
    <row r="325">
      <c r="A325" s="218">
        <f t="shared" si="2"/>
        <v>322</v>
      </c>
      <c r="B325" s="243" t="s">
        <v>71</v>
      </c>
      <c r="C325" s="236" t="str">
        <f t="shared" si="1"/>
        <v>PC/1385/2025</v>
      </c>
      <c r="D325" s="236" t="b">
        <v>0</v>
      </c>
      <c r="E325" s="243" t="b">
        <v>1</v>
      </c>
      <c r="F325" s="236"/>
      <c r="G325" s="173"/>
      <c r="H325" s="244" t="s">
        <v>6156</v>
      </c>
      <c r="I325" s="244">
        <f t="shared" si="3"/>
        <v>1385</v>
      </c>
      <c r="J325" s="244">
        <v>2025.0</v>
      </c>
      <c r="K325" s="173"/>
    </row>
    <row r="326">
      <c r="A326" s="218">
        <f t="shared" si="2"/>
        <v>323</v>
      </c>
      <c r="B326" s="243" t="s">
        <v>71</v>
      </c>
      <c r="C326" s="236" t="str">
        <f t="shared" si="1"/>
        <v>PC/1386/2025</v>
      </c>
      <c r="D326" s="236" t="b">
        <v>0</v>
      </c>
      <c r="E326" s="243" t="b">
        <v>1</v>
      </c>
      <c r="F326" s="236"/>
      <c r="G326" s="173"/>
      <c r="H326" s="244" t="s">
        <v>6156</v>
      </c>
      <c r="I326" s="244">
        <f t="shared" si="3"/>
        <v>1386</v>
      </c>
      <c r="J326" s="244">
        <v>2025.0</v>
      </c>
      <c r="K326" s="173"/>
    </row>
    <row r="327">
      <c r="A327" s="218">
        <f t="shared" si="2"/>
        <v>324</v>
      </c>
      <c r="B327" s="243" t="s">
        <v>71</v>
      </c>
      <c r="C327" s="236" t="str">
        <f t="shared" si="1"/>
        <v>PC/1387/2025</v>
      </c>
      <c r="D327" s="236" t="b">
        <v>0</v>
      </c>
      <c r="E327" s="243" t="b">
        <v>1</v>
      </c>
      <c r="F327" s="236"/>
      <c r="G327" s="173"/>
      <c r="H327" s="244" t="s">
        <v>6156</v>
      </c>
      <c r="I327" s="244">
        <f t="shared" si="3"/>
        <v>1387</v>
      </c>
      <c r="J327" s="244">
        <v>2025.0</v>
      </c>
      <c r="K327" s="173"/>
    </row>
    <row r="328">
      <c r="A328" s="218">
        <f t="shared" si="2"/>
        <v>325</v>
      </c>
      <c r="B328" s="243" t="s">
        <v>71</v>
      </c>
      <c r="C328" s="236" t="str">
        <f t="shared" si="1"/>
        <v>PC/1388/2025</v>
      </c>
      <c r="D328" s="236" t="b">
        <v>0</v>
      </c>
      <c r="E328" s="243" t="b">
        <v>1</v>
      </c>
      <c r="F328" s="236"/>
      <c r="G328" s="173"/>
      <c r="H328" s="244" t="s">
        <v>6156</v>
      </c>
      <c r="I328" s="244">
        <f t="shared" si="3"/>
        <v>1388</v>
      </c>
      <c r="J328" s="244">
        <v>2025.0</v>
      </c>
      <c r="K328" s="173"/>
    </row>
    <row r="329">
      <c r="A329" s="218">
        <f t="shared" si="2"/>
        <v>326</v>
      </c>
      <c r="B329" s="243" t="s">
        <v>71</v>
      </c>
      <c r="C329" s="236" t="str">
        <f t="shared" si="1"/>
        <v>PC/1389/2025</v>
      </c>
      <c r="D329" s="236" t="b">
        <v>0</v>
      </c>
      <c r="E329" s="243" t="b">
        <v>1</v>
      </c>
      <c r="F329" s="236"/>
      <c r="G329" s="173"/>
      <c r="H329" s="244" t="s">
        <v>6156</v>
      </c>
      <c r="I329" s="244">
        <f t="shared" si="3"/>
        <v>1389</v>
      </c>
      <c r="J329" s="244">
        <v>2025.0</v>
      </c>
      <c r="K329" s="173"/>
    </row>
    <row r="330">
      <c r="A330" s="218">
        <f t="shared" si="2"/>
        <v>327</v>
      </c>
      <c r="B330" s="243" t="s">
        <v>71</v>
      </c>
      <c r="C330" s="236" t="str">
        <f t="shared" si="1"/>
        <v>PC/1390/2025</v>
      </c>
      <c r="D330" s="236" t="b">
        <v>0</v>
      </c>
      <c r="E330" s="243" t="b">
        <v>1</v>
      </c>
      <c r="F330" s="236"/>
      <c r="G330" s="173"/>
      <c r="H330" s="244" t="s">
        <v>6156</v>
      </c>
      <c r="I330" s="244">
        <f t="shared" si="3"/>
        <v>1390</v>
      </c>
      <c r="J330" s="244">
        <v>2025.0</v>
      </c>
      <c r="K330" s="173"/>
    </row>
    <row r="331">
      <c r="A331" s="218">
        <f t="shared" si="2"/>
        <v>328</v>
      </c>
      <c r="B331" s="243" t="s">
        <v>71</v>
      </c>
      <c r="C331" s="236" t="str">
        <f t="shared" si="1"/>
        <v>PC/1391/2025</v>
      </c>
      <c r="D331" s="236" t="b">
        <v>0</v>
      </c>
      <c r="E331" s="243" t="b">
        <v>1</v>
      </c>
      <c r="F331" s="236"/>
      <c r="G331" s="173"/>
      <c r="H331" s="244" t="s">
        <v>6156</v>
      </c>
      <c r="I331" s="244">
        <f t="shared" si="3"/>
        <v>1391</v>
      </c>
      <c r="J331" s="244">
        <v>2025.0</v>
      </c>
      <c r="K331" s="173"/>
    </row>
    <row r="332">
      <c r="A332" s="218">
        <f t="shared" si="2"/>
        <v>329</v>
      </c>
      <c r="B332" s="243" t="s">
        <v>71</v>
      </c>
      <c r="C332" s="236" t="str">
        <f t="shared" si="1"/>
        <v>PC/1392/2025</v>
      </c>
      <c r="D332" s="236" t="b">
        <v>0</v>
      </c>
      <c r="E332" s="243" t="b">
        <v>1</v>
      </c>
      <c r="F332" s="236"/>
      <c r="G332" s="173"/>
      <c r="H332" s="244" t="s">
        <v>6156</v>
      </c>
      <c r="I332" s="244">
        <f t="shared" si="3"/>
        <v>1392</v>
      </c>
      <c r="J332" s="244">
        <v>2025.0</v>
      </c>
      <c r="K332" s="173"/>
    </row>
    <row r="333">
      <c r="A333" s="218">
        <f t="shared" si="2"/>
        <v>330</v>
      </c>
      <c r="B333" s="243" t="s">
        <v>71</v>
      </c>
      <c r="C333" s="236" t="str">
        <f t="shared" si="1"/>
        <v>PC/1393/2025</v>
      </c>
      <c r="D333" s="236" t="b">
        <v>0</v>
      </c>
      <c r="E333" s="243" t="b">
        <v>1</v>
      </c>
      <c r="F333" s="236"/>
      <c r="G333" s="173"/>
      <c r="H333" s="244" t="s">
        <v>6156</v>
      </c>
      <c r="I333" s="244">
        <f t="shared" si="3"/>
        <v>1393</v>
      </c>
      <c r="J333" s="244">
        <v>2025.0</v>
      </c>
      <c r="K333" s="173"/>
    </row>
    <row r="334">
      <c r="A334" s="218">
        <f t="shared" si="2"/>
        <v>331</v>
      </c>
      <c r="B334" s="243" t="s">
        <v>71</v>
      </c>
      <c r="C334" s="236" t="str">
        <f t="shared" si="1"/>
        <v>PC/1394/2025</v>
      </c>
      <c r="D334" s="236" t="b">
        <v>0</v>
      </c>
      <c r="E334" s="243" t="b">
        <v>1</v>
      </c>
      <c r="F334" s="236"/>
      <c r="G334" s="173"/>
      <c r="H334" s="244" t="s">
        <v>6156</v>
      </c>
      <c r="I334" s="244">
        <f t="shared" si="3"/>
        <v>1394</v>
      </c>
      <c r="J334" s="244">
        <v>2025.0</v>
      </c>
      <c r="K334" s="173"/>
    </row>
    <row r="335">
      <c r="A335" s="218">
        <f t="shared" si="2"/>
        <v>332</v>
      </c>
      <c r="B335" s="243" t="s">
        <v>71</v>
      </c>
      <c r="C335" s="236" t="str">
        <f t="shared" si="1"/>
        <v>PC/1395/2025</v>
      </c>
      <c r="D335" s="236" t="b">
        <v>0</v>
      </c>
      <c r="E335" s="243" t="b">
        <v>1</v>
      </c>
      <c r="F335" s="236"/>
      <c r="G335" s="173"/>
      <c r="H335" s="244" t="s">
        <v>6156</v>
      </c>
      <c r="I335" s="244">
        <f t="shared" si="3"/>
        <v>1395</v>
      </c>
      <c r="J335" s="244">
        <v>2025.0</v>
      </c>
      <c r="K335" s="173"/>
    </row>
    <row r="336">
      <c r="A336" s="218">
        <f t="shared" si="2"/>
        <v>333</v>
      </c>
      <c r="B336" s="243" t="s">
        <v>71</v>
      </c>
      <c r="C336" s="236" t="str">
        <f t="shared" si="1"/>
        <v>PC/1396/2025</v>
      </c>
      <c r="D336" s="236" t="b">
        <v>0</v>
      </c>
      <c r="E336" s="243" t="b">
        <v>1</v>
      </c>
      <c r="F336" s="236"/>
      <c r="G336" s="173"/>
      <c r="H336" s="244" t="s">
        <v>6156</v>
      </c>
      <c r="I336" s="244">
        <f t="shared" si="3"/>
        <v>1396</v>
      </c>
      <c r="J336" s="244">
        <v>2025.0</v>
      </c>
      <c r="K336" s="173"/>
    </row>
    <row r="337">
      <c r="A337" s="218">
        <f t="shared" si="2"/>
        <v>334</v>
      </c>
      <c r="B337" s="243" t="s">
        <v>71</v>
      </c>
      <c r="C337" s="236" t="str">
        <f t="shared" si="1"/>
        <v>PC/1397/2025</v>
      </c>
      <c r="D337" s="236" t="b">
        <v>0</v>
      </c>
      <c r="E337" s="243" t="b">
        <v>1</v>
      </c>
      <c r="F337" s="236"/>
      <c r="G337" s="173"/>
      <c r="H337" s="244" t="s">
        <v>6156</v>
      </c>
      <c r="I337" s="244">
        <f t="shared" si="3"/>
        <v>1397</v>
      </c>
      <c r="J337" s="244">
        <v>2025.0</v>
      </c>
      <c r="K337" s="173"/>
    </row>
    <row r="338">
      <c r="A338" s="218">
        <f t="shared" si="2"/>
        <v>335</v>
      </c>
      <c r="B338" s="243" t="s">
        <v>71</v>
      </c>
      <c r="C338" s="236" t="str">
        <f t="shared" si="1"/>
        <v>PC/1398/2025</v>
      </c>
      <c r="D338" s="236" t="b">
        <v>0</v>
      </c>
      <c r="E338" s="243" t="b">
        <v>1</v>
      </c>
      <c r="F338" s="236"/>
      <c r="G338" s="173"/>
      <c r="H338" s="244" t="s">
        <v>6156</v>
      </c>
      <c r="I338" s="244">
        <f t="shared" si="3"/>
        <v>1398</v>
      </c>
      <c r="J338" s="244">
        <v>2025.0</v>
      </c>
      <c r="K338" s="173"/>
    </row>
    <row r="339">
      <c r="A339" s="218">
        <f t="shared" si="2"/>
        <v>336</v>
      </c>
      <c r="B339" s="243" t="s">
        <v>71</v>
      </c>
      <c r="C339" s="236" t="str">
        <f t="shared" si="1"/>
        <v>PC/1399/2025</v>
      </c>
      <c r="D339" s="236" t="b">
        <v>0</v>
      </c>
      <c r="E339" s="243" t="b">
        <v>1</v>
      </c>
      <c r="F339" s="236"/>
      <c r="G339" s="173"/>
      <c r="H339" s="244" t="s">
        <v>6156</v>
      </c>
      <c r="I339" s="244">
        <f t="shared" si="3"/>
        <v>1399</v>
      </c>
      <c r="J339" s="244">
        <v>2025.0</v>
      </c>
      <c r="K339" s="173"/>
    </row>
    <row r="340">
      <c r="A340" s="218">
        <f t="shared" si="2"/>
        <v>337</v>
      </c>
      <c r="B340" s="243" t="s">
        <v>71</v>
      </c>
      <c r="C340" s="236" t="str">
        <f t="shared" si="1"/>
        <v>PC/1400/2025</v>
      </c>
      <c r="D340" s="243" t="b">
        <v>1</v>
      </c>
      <c r="E340" s="236" t="b">
        <v>0</v>
      </c>
      <c r="F340" s="234">
        <v>45999.0</v>
      </c>
      <c r="G340" s="173"/>
      <c r="H340" s="244" t="s">
        <v>6156</v>
      </c>
      <c r="I340" s="244">
        <f t="shared" si="3"/>
        <v>1400</v>
      </c>
      <c r="J340" s="244">
        <v>2025.0</v>
      </c>
      <c r="K340" s="173"/>
    </row>
    <row r="341">
      <c r="A341" s="218">
        <f t="shared" si="2"/>
        <v>338</v>
      </c>
      <c r="B341" s="243" t="s">
        <v>71</v>
      </c>
      <c r="C341" s="236" t="str">
        <f t="shared" si="1"/>
        <v>PC/1401/2025</v>
      </c>
      <c r="D341" s="243" t="b">
        <v>1</v>
      </c>
      <c r="E341" s="236" t="b">
        <v>0</v>
      </c>
      <c r="F341" s="234">
        <v>45999.0</v>
      </c>
      <c r="G341" s="173"/>
      <c r="H341" s="244" t="s">
        <v>6156</v>
      </c>
      <c r="I341" s="244">
        <f t="shared" si="3"/>
        <v>1401</v>
      </c>
      <c r="J341" s="244">
        <v>2025.0</v>
      </c>
      <c r="K341" s="173"/>
    </row>
    <row r="342">
      <c r="A342" s="218">
        <f t="shared" si="2"/>
        <v>339</v>
      </c>
      <c r="B342" s="243" t="s">
        <v>71</v>
      </c>
      <c r="C342" s="236" t="str">
        <f t="shared" si="1"/>
        <v>PC/1402/2025</v>
      </c>
      <c r="D342" s="243" t="b">
        <v>1</v>
      </c>
      <c r="E342" s="236" t="b">
        <v>0</v>
      </c>
      <c r="F342" s="234">
        <v>45999.0</v>
      </c>
      <c r="G342" s="173"/>
      <c r="H342" s="244" t="s">
        <v>6156</v>
      </c>
      <c r="I342" s="244">
        <f t="shared" si="3"/>
        <v>1402</v>
      </c>
      <c r="J342" s="244">
        <v>2025.0</v>
      </c>
      <c r="K342" s="173"/>
    </row>
    <row r="343">
      <c r="A343" s="218">
        <f t="shared" si="2"/>
        <v>340</v>
      </c>
      <c r="B343" s="243" t="s">
        <v>71</v>
      </c>
      <c r="C343" s="236" t="str">
        <f t="shared" si="1"/>
        <v>PC/1403/2025</v>
      </c>
      <c r="D343" s="243" t="b">
        <v>1</v>
      </c>
      <c r="E343" s="236" t="b">
        <v>0</v>
      </c>
      <c r="F343" s="234">
        <v>45999.0</v>
      </c>
      <c r="G343" s="173"/>
      <c r="H343" s="244" t="s">
        <v>6156</v>
      </c>
      <c r="I343" s="244">
        <f t="shared" si="3"/>
        <v>1403</v>
      </c>
      <c r="J343" s="244">
        <v>2025.0</v>
      </c>
      <c r="K343" s="173"/>
    </row>
    <row r="344">
      <c r="A344" s="218">
        <f t="shared" si="2"/>
        <v>341</v>
      </c>
      <c r="B344" s="243" t="s">
        <v>71</v>
      </c>
      <c r="C344" s="236" t="str">
        <f t="shared" si="1"/>
        <v>PC/1404/2025</v>
      </c>
      <c r="D344" s="243" t="b">
        <v>1</v>
      </c>
      <c r="E344" s="236" t="b">
        <v>0</v>
      </c>
      <c r="F344" s="234">
        <v>45999.0</v>
      </c>
      <c r="G344" s="173"/>
      <c r="H344" s="244" t="s">
        <v>6156</v>
      </c>
      <c r="I344" s="244">
        <f t="shared" si="3"/>
        <v>1404</v>
      </c>
      <c r="J344" s="244">
        <v>2025.0</v>
      </c>
      <c r="K344" s="173"/>
    </row>
    <row r="345">
      <c r="A345" s="218">
        <f t="shared" si="2"/>
        <v>342</v>
      </c>
      <c r="B345" s="243" t="s">
        <v>71</v>
      </c>
      <c r="C345" s="236" t="str">
        <f t="shared" si="1"/>
        <v>PC/1405/2025</v>
      </c>
      <c r="D345" s="243" t="b">
        <v>1</v>
      </c>
      <c r="E345" s="236" t="b">
        <v>0</v>
      </c>
      <c r="F345" s="234">
        <v>45999.0</v>
      </c>
      <c r="G345" s="173"/>
      <c r="H345" s="244" t="s">
        <v>6156</v>
      </c>
      <c r="I345" s="244">
        <f t="shared" si="3"/>
        <v>1405</v>
      </c>
      <c r="J345" s="244">
        <v>2025.0</v>
      </c>
      <c r="K345" s="173"/>
    </row>
    <row r="346">
      <c r="A346" s="218">
        <f t="shared" si="2"/>
        <v>343</v>
      </c>
      <c r="B346" s="243" t="s">
        <v>71</v>
      </c>
      <c r="C346" s="236" t="str">
        <f t="shared" si="1"/>
        <v>PC/1406/2025</v>
      </c>
      <c r="D346" s="243" t="b">
        <v>1</v>
      </c>
      <c r="E346" s="236" t="b">
        <v>0</v>
      </c>
      <c r="F346" s="234">
        <v>45999.0</v>
      </c>
      <c r="G346" s="173"/>
      <c r="H346" s="244" t="s">
        <v>6156</v>
      </c>
      <c r="I346" s="244">
        <f t="shared" si="3"/>
        <v>1406</v>
      </c>
      <c r="J346" s="244">
        <v>2025.0</v>
      </c>
      <c r="K346" s="173"/>
    </row>
    <row r="347">
      <c r="A347" s="218">
        <f t="shared" si="2"/>
        <v>344</v>
      </c>
      <c r="B347" s="243" t="s">
        <v>71</v>
      </c>
      <c r="C347" s="236" t="str">
        <f t="shared" si="1"/>
        <v>PC/1407/2025</v>
      </c>
      <c r="D347" s="243" t="b">
        <v>1</v>
      </c>
      <c r="E347" s="236" t="b">
        <v>0</v>
      </c>
      <c r="F347" s="234">
        <v>45999.0</v>
      </c>
      <c r="G347" s="173"/>
      <c r="H347" s="244" t="s">
        <v>6156</v>
      </c>
      <c r="I347" s="244">
        <f t="shared" si="3"/>
        <v>1407</v>
      </c>
      <c r="J347" s="244">
        <v>2025.0</v>
      </c>
      <c r="K347" s="173"/>
    </row>
    <row r="348">
      <c r="A348" s="218">
        <f t="shared" si="2"/>
        <v>345</v>
      </c>
      <c r="B348" s="243" t="s">
        <v>71</v>
      </c>
      <c r="C348" s="236" t="str">
        <f t="shared" si="1"/>
        <v>PC/1408/2025</v>
      </c>
      <c r="D348" s="243" t="b">
        <v>1</v>
      </c>
      <c r="E348" s="236" t="b">
        <v>0</v>
      </c>
      <c r="F348" s="234">
        <v>45999.0</v>
      </c>
      <c r="G348" s="173"/>
      <c r="H348" s="244" t="s">
        <v>6156</v>
      </c>
      <c r="I348" s="244">
        <f t="shared" si="3"/>
        <v>1408</v>
      </c>
      <c r="J348" s="244">
        <v>2025.0</v>
      </c>
      <c r="K348" s="173"/>
    </row>
    <row r="349">
      <c r="A349" s="218">
        <f t="shared" si="2"/>
        <v>346</v>
      </c>
      <c r="B349" s="243" t="s">
        <v>71</v>
      </c>
      <c r="C349" s="236" t="str">
        <f t="shared" si="1"/>
        <v>PC/1409/2025</v>
      </c>
      <c r="D349" s="218" t="b">
        <v>1</v>
      </c>
      <c r="E349" s="236" t="b">
        <v>0</v>
      </c>
      <c r="F349" s="236"/>
      <c r="G349" s="173"/>
      <c r="H349" s="244" t="s">
        <v>6156</v>
      </c>
      <c r="I349" s="244">
        <f t="shared" si="3"/>
        <v>1409</v>
      </c>
      <c r="J349" s="244">
        <v>2025.0</v>
      </c>
      <c r="K349" s="173"/>
    </row>
    <row r="350">
      <c r="A350" s="218">
        <f t="shared" si="2"/>
        <v>347</v>
      </c>
      <c r="B350" s="243" t="s">
        <v>71</v>
      </c>
      <c r="C350" s="236" t="str">
        <f t="shared" si="1"/>
        <v>PC/1410/2025</v>
      </c>
      <c r="D350" s="218" t="b">
        <v>1</v>
      </c>
      <c r="E350" s="236" t="b">
        <v>0</v>
      </c>
      <c r="F350" s="236"/>
      <c r="G350" s="173"/>
      <c r="H350" s="244" t="s">
        <v>6156</v>
      </c>
      <c r="I350" s="244">
        <f t="shared" si="3"/>
        <v>1410</v>
      </c>
      <c r="J350" s="244">
        <v>2025.0</v>
      </c>
      <c r="K350" s="173"/>
    </row>
    <row r="351">
      <c r="A351" s="218">
        <f t="shared" si="2"/>
        <v>348</v>
      </c>
      <c r="B351" s="243" t="s">
        <v>71</v>
      </c>
      <c r="C351" s="236" t="str">
        <f t="shared" si="1"/>
        <v>PC/1411/2025</v>
      </c>
      <c r="D351" s="218" t="b">
        <v>1</v>
      </c>
      <c r="E351" s="236" t="b">
        <v>0</v>
      </c>
      <c r="F351" s="236"/>
      <c r="G351" s="173"/>
      <c r="H351" s="244" t="s">
        <v>6156</v>
      </c>
      <c r="I351" s="244">
        <f t="shared" si="3"/>
        <v>1411</v>
      </c>
      <c r="J351" s="244">
        <v>2025.0</v>
      </c>
      <c r="K351" s="173"/>
    </row>
    <row r="352">
      <c r="A352" s="218">
        <f t="shared" si="2"/>
        <v>349</v>
      </c>
      <c r="B352" s="243" t="s">
        <v>71</v>
      </c>
      <c r="C352" s="236" t="str">
        <f t="shared" si="1"/>
        <v>PC/1412/2025</v>
      </c>
      <c r="D352" s="218" t="b">
        <v>1</v>
      </c>
      <c r="E352" s="236" t="b">
        <v>0</v>
      </c>
      <c r="F352" s="236"/>
      <c r="G352" s="173"/>
      <c r="H352" s="244" t="s">
        <v>6156</v>
      </c>
      <c r="I352" s="244">
        <f t="shared" si="3"/>
        <v>1412</v>
      </c>
      <c r="J352" s="244">
        <v>2025.0</v>
      </c>
      <c r="K352" s="173"/>
    </row>
    <row r="353">
      <c r="A353" s="218">
        <f t="shared" si="2"/>
        <v>350</v>
      </c>
      <c r="B353" s="243" t="s">
        <v>71</v>
      </c>
      <c r="C353" s="236" t="str">
        <f t="shared" si="1"/>
        <v>PC/1413/2025</v>
      </c>
      <c r="D353" s="218" t="b">
        <v>1</v>
      </c>
      <c r="E353" s="236" t="b">
        <v>0</v>
      </c>
      <c r="F353" s="236"/>
      <c r="G353" s="173"/>
      <c r="H353" s="244" t="s">
        <v>6156</v>
      </c>
      <c r="I353" s="244">
        <f t="shared" si="3"/>
        <v>1413</v>
      </c>
      <c r="J353" s="244">
        <v>2025.0</v>
      </c>
      <c r="K353" s="173"/>
    </row>
    <row r="354">
      <c r="A354" s="218">
        <f t="shared" si="2"/>
        <v>351</v>
      </c>
      <c r="B354" s="243" t="s">
        <v>71</v>
      </c>
      <c r="C354" s="236" t="str">
        <f t="shared" si="1"/>
        <v>PC/1414/2025</v>
      </c>
      <c r="D354" s="218" t="b">
        <v>1</v>
      </c>
      <c r="E354" s="236" t="b">
        <v>0</v>
      </c>
      <c r="F354" s="236"/>
      <c r="G354" s="173"/>
      <c r="H354" s="244" t="s">
        <v>6156</v>
      </c>
      <c r="I354" s="244">
        <f t="shared" si="3"/>
        <v>1414</v>
      </c>
      <c r="J354" s="244">
        <v>2025.0</v>
      </c>
      <c r="K354" s="173"/>
    </row>
    <row r="355">
      <c r="A355" s="218">
        <f t="shared" si="2"/>
        <v>352</v>
      </c>
      <c r="B355" s="243" t="s">
        <v>71</v>
      </c>
      <c r="C355" s="236" t="str">
        <f t="shared" si="1"/>
        <v>PC/1415/2025</v>
      </c>
      <c r="D355" s="218" t="b">
        <v>1</v>
      </c>
      <c r="E355" s="236" t="b">
        <v>0</v>
      </c>
      <c r="F355" s="236"/>
      <c r="G355" s="173"/>
      <c r="H355" s="244" t="s">
        <v>6156</v>
      </c>
      <c r="I355" s="244">
        <f t="shared" si="3"/>
        <v>1415</v>
      </c>
      <c r="J355" s="244">
        <v>2025.0</v>
      </c>
      <c r="K355" s="173"/>
    </row>
    <row r="356">
      <c r="A356" s="218">
        <f t="shared" si="2"/>
        <v>353</v>
      </c>
      <c r="B356" s="243" t="s">
        <v>71</v>
      </c>
      <c r="C356" s="236" t="str">
        <f t="shared" si="1"/>
        <v>PC/1416/2025</v>
      </c>
      <c r="D356" s="218" t="b">
        <v>1</v>
      </c>
      <c r="E356" s="236" t="b">
        <v>0</v>
      </c>
      <c r="F356" s="236"/>
      <c r="G356" s="173"/>
      <c r="H356" s="244" t="s">
        <v>6156</v>
      </c>
      <c r="I356" s="244">
        <f t="shared" si="3"/>
        <v>1416</v>
      </c>
      <c r="J356" s="244">
        <v>2025.0</v>
      </c>
      <c r="K356" s="173"/>
    </row>
    <row r="357">
      <c r="A357" s="218">
        <f t="shared" si="2"/>
        <v>354</v>
      </c>
      <c r="B357" s="243" t="s">
        <v>71</v>
      </c>
      <c r="C357" s="236" t="str">
        <f t="shared" si="1"/>
        <v>PC/1417/2025</v>
      </c>
      <c r="D357" s="218" t="b">
        <v>1</v>
      </c>
      <c r="E357" s="236" t="b">
        <v>0</v>
      </c>
      <c r="F357" s="236"/>
      <c r="G357" s="173"/>
      <c r="H357" s="244" t="s">
        <v>6156</v>
      </c>
      <c r="I357" s="244">
        <f t="shared" si="3"/>
        <v>1417</v>
      </c>
      <c r="J357" s="244">
        <v>2025.0</v>
      </c>
      <c r="K357" s="173"/>
    </row>
    <row r="358">
      <c r="A358" s="218">
        <f t="shared" si="2"/>
        <v>355</v>
      </c>
      <c r="B358" s="243" t="s">
        <v>71</v>
      </c>
      <c r="C358" s="236" t="str">
        <f t="shared" si="1"/>
        <v>PC/1418/2025</v>
      </c>
      <c r="D358" s="218" t="b">
        <v>1</v>
      </c>
      <c r="E358" s="236" t="b">
        <v>0</v>
      </c>
      <c r="F358" s="236"/>
      <c r="G358" s="173"/>
      <c r="H358" s="244" t="s">
        <v>6156</v>
      </c>
      <c r="I358" s="244">
        <f t="shared" si="3"/>
        <v>1418</v>
      </c>
      <c r="J358" s="244">
        <v>2025.0</v>
      </c>
      <c r="K358" s="173"/>
    </row>
    <row r="359">
      <c r="A359" s="218">
        <f t="shared" si="2"/>
        <v>356</v>
      </c>
      <c r="B359" s="243" t="s">
        <v>71</v>
      </c>
      <c r="C359" s="236" t="str">
        <f t="shared" si="1"/>
        <v>PC/1419/2025</v>
      </c>
      <c r="D359" s="218" t="b">
        <v>1</v>
      </c>
      <c r="E359" s="236" t="b">
        <v>0</v>
      </c>
      <c r="F359" s="236"/>
      <c r="G359" s="173"/>
      <c r="H359" s="244" t="s">
        <v>6156</v>
      </c>
      <c r="I359" s="244">
        <f t="shared" si="3"/>
        <v>1419</v>
      </c>
      <c r="J359" s="244">
        <v>2025.0</v>
      </c>
      <c r="K359" s="173"/>
    </row>
    <row r="360">
      <c r="A360" s="218">
        <f t="shared" si="2"/>
        <v>357</v>
      </c>
      <c r="B360" s="243" t="s">
        <v>71</v>
      </c>
      <c r="C360" s="236" t="str">
        <f t="shared" si="1"/>
        <v>PC/1420/2025</v>
      </c>
      <c r="D360" s="218" t="b">
        <v>1</v>
      </c>
      <c r="E360" s="236" t="b">
        <v>0</v>
      </c>
      <c r="F360" s="236"/>
      <c r="G360" s="173"/>
      <c r="H360" s="244" t="s">
        <v>6156</v>
      </c>
      <c r="I360" s="244">
        <f t="shared" si="3"/>
        <v>1420</v>
      </c>
      <c r="J360" s="244">
        <v>2025.0</v>
      </c>
      <c r="K360" s="173"/>
    </row>
    <row r="361">
      <c r="A361" s="218">
        <f t="shared" si="2"/>
        <v>358</v>
      </c>
      <c r="B361" s="243" t="s">
        <v>71</v>
      </c>
      <c r="C361" s="236" t="str">
        <f t="shared" si="1"/>
        <v>PC/1421/2025</v>
      </c>
      <c r="D361" s="218" t="b">
        <v>1</v>
      </c>
      <c r="E361" s="236" t="b">
        <v>0</v>
      </c>
      <c r="F361" s="236"/>
      <c r="G361" s="173"/>
      <c r="H361" s="244" t="s">
        <v>6156</v>
      </c>
      <c r="I361" s="244">
        <f t="shared" si="3"/>
        <v>1421</v>
      </c>
      <c r="J361" s="244">
        <v>2025.0</v>
      </c>
      <c r="K361" s="173"/>
    </row>
    <row r="362">
      <c r="A362" s="218">
        <f t="shared" si="2"/>
        <v>359</v>
      </c>
      <c r="B362" s="243" t="s">
        <v>71</v>
      </c>
      <c r="C362" s="236" t="str">
        <f t="shared" si="1"/>
        <v>PC/1422/2025</v>
      </c>
      <c r="D362" s="218" t="b">
        <v>1</v>
      </c>
      <c r="E362" s="236" t="b">
        <v>0</v>
      </c>
      <c r="F362" s="236"/>
      <c r="G362" s="173"/>
      <c r="H362" s="244" t="s">
        <v>6156</v>
      </c>
      <c r="I362" s="244">
        <f t="shared" si="3"/>
        <v>1422</v>
      </c>
      <c r="J362" s="244">
        <v>2025.0</v>
      </c>
      <c r="K362" s="173"/>
    </row>
    <row r="363">
      <c r="A363" s="218">
        <f t="shared" si="2"/>
        <v>360</v>
      </c>
      <c r="B363" s="243" t="s">
        <v>71</v>
      </c>
      <c r="C363" s="236" t="str">
        <f t="shared" si="1"/>
        <v>PC/1423/2025</v>
      </c>
      <c r="D363" s="218" t="b">
        <v>1</v>
      </c>
      <c r="E363" s="236" t="b">
        <v>0</v>
      </c>
      <c r="F363" s="236"/>
      <c r="G363" s="173"/>
      <c r="H363" s="244" t="s">
        <v>6156</v>
      </c>
      <c r="I363" s="244">
        <f t="shared" si="3"/>
        <v>1423</v>
      </c>
      <c r="J363" s="244">
        <v>2025.0</v>
      </c>
      <c r="K363" s="173"/>
    </row>
    <row r="364">
      <c r="A364" s="218">
        <f t="shared" si="2"/>
        <v>361</v>
      </c>
      <c r="B364" s="243" t="s">
        <v>71</v>
      </c>
      <c r="C364" s="236" t="str">
        <f t="shared" si="1"/>
        <v>PC/1424/2025</v>
      </c>
      <c r="D364" s="218" t="b">
        <v>1</v>
      </c>
      <c r="E364" s="236" t="b">
        <v>0</v>
      </c>
      <c r="F364" s="236"/>
      <c r="G364" s="173"/>
      <c r="H364" s="244" t="s">
        <v>6156</v>
      </c>
      <c r="I364" s="244">
        <f t="shared" si="3"/>
        <v>1424</v>
      </c>
      <c r="J364" s="244">
        <v>2025.0</v>
      </c>
      <c r="K364" s="173"/>
    </row>
    <row r="365">
      <c r="A365" s="218">
        <f t="shared" si="2"/>
        <v>362</v>
      </c>
      <c r="B365" s="243" t="s">
        <v>71</v>
      </c>
      <c r="C365" s="236" t="str">
        <f t="shared" si="1"/>
        <v>PC/1425/2025</v>
      </c>
      <c r="D365" s="218" t="b">
        <v>1</v>
      </c>
      <c r="E365" s="236" t="b">
        <v>0</v>
      </c>
      <c r="F365" s="236"/>
      <c r="G365" s="173"/>
      <c r="H365" s="244" t="s">
        <v>6156</v>
      </c>
      <c r="I365" s="244">
        <f t="shared" si="3"/>
        <v>1425</v>
      </c>
      <c r="J365" s="244">
        <v>2025.0</v>
      </c>
      <c r="K365" s="173"/>
    </row>
    <row r="366">
      <c r="A366" s="218">
        <f t="shared" si="2"/>
        <v>363</v>
      </c>
      <c r="B366" s="243" t="s">
        <v>71</v>
      </c>
      <c r="C366" s="236" t="str">
        <f t="shared" si="1"/>
        <v>PC/1426/2025</v>
      </c>
      <c r="D366" s="218" t="b">
        <v>1</v>
      </c>
      <c r="E366" s="236" t="b">
        <v>0</v>
      </c>
      <c r="F366" s="236"/>
      <c r="G366" s="173"/>
      <c r="H366" s="244" t="s">
        <v>6156</v>
      </c>
      <c r="I366" s="244">
        <f t="shared" si="3"/>
        <v>1426</v>
      </c>
      <c r="J366" s="244">
        <v>2025.0</v>
      </c>
      <c r="K366" s="173"/>
    </row>
    <row r="367">
      <c r="A367" s="218">
        <f t="shared" si="2"/>
        <v>364</v>
      </c>
      <c r="B367" s="243" t="s">
        <v>71</v>
      </c>
      <c r="C367" s="236" t="str">
        <f t="shared" si="1"/>
        <v>PC/1427/2025</v>
      </c>
      <c r="D367" s="218" t="b">
        <v>1</v>
      </c>
      <c r="E367" s="236" t="b">
        <v>0</v>
      </c>
      <c r="F367" s="236"/>
      <c r="G367" s="173"/>
      <c r="H367" s="244" t="s">
        <v>6156</v>
      </c>
      <c r="I367" s="244">
        <f t="shared" si="3"/>
        <v>1427</v>
      </c>
      <c r="J367" s="244">
        <v>2025.0</v>
      </c>
      <c r="K367" s="173"/>
    </row>
    <row r="368">
      <c r="A368" s="218">
        <f t="shared" si="2"/>
        <v>365</v>
      </c>
      <c r="B368" s="243" t="s">
        <v>71</v>
      </c>
      <c r="C368" s="236" t="str">
        <f t="shared" si="1"/>
        <v>PC/1428/2025</v>
      </c>
      <c r="D368" s="218" t="b">
        <v>1</v>
      </c>
      <c r="E368" s="236" t="b">
        <v>0</v>
      </c>
      <c r="F368" s="236"/>
      <c r="G368" s="173"/>
      <c r="H368" s="244" t="s">
        <v>6156</v>
      </c>
      <c r="I368" s="244">
        <f t="shared" si="3"/>
        <v>1428</v>
      </c>
      <c r="J368" s="244">
        <v>2025.0</v>
      </c>
      <c r="K368" s="173"/>
    </row>
    <row r="369">
      <c r="A369" s="218">
        <f t="shared" si="2"/>
        <v>366</v>
      </c>
      <c r="B369" s="243" t="s">
        <v>71</v>
      </c>
      <c r="C369" s="236" t="str">
        <f t="shared" si="1"/>
        <v>PC/1429/2025</v>
      </c>
      <c r="D369" s="218" t="b">
        <v>1</v>
      </c>
      <c r="E369" s="236" t="b">
        <v>0</v>
      </c>
      <c r="F369" s="236"/>
      <c r="G369" s="173"/>
      <c r="H369" s="244" t="s">
        <v>6156</v>
      </c>
      <c r="I369" s="244">
        <f t="shared" si="3"/>
        <v>1429</v>
      </c>
      <c r="J369" s="244">
        <v>2025.0</v>
      </c>
      <c r="K369" s="173"/>
    </row>
    <row r="370">
      <c r="A370" s="218">
        <f t="shared" si="2"/>
        <v>367</v>
      </c>
      <c r="B370" s="243" t="s">
        <v>71</v>
      </c>
      <c r="C370" s="236" t="str">
        <f t="shared" si="1"/>
        <v>PC/1430/2025</v>
      </c>
      <c r="D370" s="218" t="b">
        <v>1</v>
      </c>
      <c r="E370" s="236" t="b">
        <v>0</v>
      </c>
      <c r="F370" s="236"/>
      <c r="G370" s="173"/>
      <c r="H370" s="244" t="s">
        <v>6156</v>
      </c>
      <c r="I370" s="244">
        <f t="shared" si="3"/>
        <v>1430</v>
      </c>
      <c r="J370" s="244">
        <v>2025.0</v>
      </c>
      <c r="K370" s="173"/>
    </row>
    <row r="371">
      <c r="A371" s="218">
        <f t="shared" si="2"/>
        <v>368</v>
      </c>
      <c r="B371" s="243" t="s">
        <v>71</v>
      </c>
      <c r="C371" s="236" t="str">
        <f t="shared" si="1"/>
        <v>PC/1431/2025</v>
      </c>
      <c r="D371" s="218" t="b">
        <v>1</v>
      </c>
      <c r="E371" s="236" t="b">
        <v>0</v>
      </c>
      <c r="F371" s="236"/>
      <c r="G371" s="173"/>
      <c r="H371" s="244" t="s">
        <v>6156</v>
      </c>
      <c r="I371" s="244">
        <f t="shared" si="3"/>
        <v>1431</v>
      </c>
      <c r="J371" s="244">
        <v>2025.0</v>
      </c>
      <c r="K371" s="173"/>
    </row>
    <row r="372">
      <c r="A372" s="218">
        <f t="shared" si="2"/>
        <v>369</v>
      </c>
      <c r="B372" s="243" t="s">
        <v>71</v>
      </c>
      <c r="C372" s="236" t="str">
        <f t="shared" si="1"/>
        <v>PC/1432/2025</v>
      </c>
      <c r="D372" s="218" t="b">
        <v>1</v>
      </c>
      <c r="E372" s="236" t="b">
        <v>0</v>
      </c>
      <c r="F372" s="236"/>
      <c r="G372" s="173"/>
      <c r="H372" s="244" t="s">
        <v>6156</v>
      </c>
      <c r="I372" s="244">
        <f t="shared" si="3"/>
        <v>1432</v>
      </c>
      <c r="J372" s="244">
        <v>2025.0</v>
      </c>
      <c r="K372" s="173"/>
    </row>
    <row r="373">
      <c r="A373" s="218">
        <f t="shared" si="2"/>
        <v>370</v>
      </c>
      <c r="B373" s="243" t="s">
        <v>71</v>
      </c>
      <c r="C373" s="236" t="str">
        <f t="shared" si="1"/>
        <v>PC/1433/2025</v>
      </c>
      <c r="D373" s="218" t="b">
        <v>1</v>
      </c>
      <c r="E373" s="236" t="b">
        <v>0</v>
      </c>
      <c r="F373" s="236"/>
      <c r="G373" s="173"/>
      <c r="H373" s="244" t="s">
        <v>6156</v>
      </c>
      <c r="I373" s="244">
        <f t="shared" si="3"/>
        <v>1433</v>
      </c>
      <c r="J373" s="244">
        <v>2025.0</v>
      </c>
      <c r="K373" s="173"/>
    </row>
    <row r="374">
      <c r="A374" s="218">
        <f t="shared" si="2"/>
        <v>371</v>
      </c>
      <c r="B374" s="243" t="s">
        <v>71</v>
      </c>
      <c r="C374" s="236" t="str">
        <f t="shared" si="1"/>
        <v>PC/1434/2025</v>
      </c>
      <c r="D374" s="218" t="b">
        <v>1</v>
      </c>
      <c r="E374" s="236" t="b">
        <v>0</v>
      </c>
      <c r="F374" s="236"/>
      <c r="G374" s="173"/>
      <c r="H374" s="244" t="s">
        <v>6156</v>
      </c>
      <c r="I374" s="244">
        <f t="shared" si="3"/>
        <v>1434</v>
      </c>
      <c r="J374" s="244">
        <v>2025.0</v>
      </c>
      <c r="K374" s="173"/>
    </row>
    <row r="375">
      <c r="A375" s="218">
        <f t="shared" si="2"/>
        <v>372</v>
      </c>
      <c r="B375" s="243" t="s">
        <v>71</v>
      </c>
      <c r="C375" s="236" t="str">
        <f t="shared" si="1"/>
        <v>PC/1435/2025</v>
      </c>
      <c r="D375" s="218" t="b">
        <v>1</v>
      </c>
      <c r="E375" s="236" t="b">
        <v>0</v>
      </c>
      <c r="F375" s="236"/>
      <c r="G375" s="173"/>
      <c r="H375" s="244" t="s">
        <v>6156</v>
      </c>
      <c r="I375" s="244">
        <f t="shared" si="3"/>
        <v>1435</v>
      </c>
      <c r="J375" s="244">
        <v>2025.0</v>
      </c>
      <c r="K375" s="173"/>
    </row>
    <row r="376">
      <c r="A376" s="218">
        <f t="shared" si="2"/>
        <v>373</v>
      </c>
      <c r="B376" s="243" t="s">
        <v>71</v>
      </c>
      <c r="C376" s="236" t="str">
        <f t="shared" si="1"/>
        <v>PC/1436/2025</v>
      </c>
      <c r="D376" s="218" t="b">
        <v>1</v>
      </c>
      <c r="E376" s="236" t="b">
        <v>0</v>
      </c>
      <c r="F376" s="236"/>
      <c r="G376" s="173"/>
      <c r="H376" s="244" t="s">
        <v>6156</v>
      </c>
      <c r="I376" s="244">
        <f t="shared" si="3"/>
        <v>1436</v>
      </c>
      <c r="J376" s="244">
        <v>2025.0</v>
      </c>
      <c r="K376" s="173"/>
    </row>
    <row r="377">
      <c r="A377" s="218">
        <f t="shared" si="2"/>
        <v>374</v>
      </c>
      <c r="B377" s="243" t="s">
        <v>71</v>
      </c>
      <c r="C377" s="236" t="str">
        <f t="shared" si="1"/>
        <v>PC/1437/2025</v>
      </c>
      <c r="D377" s="218" t="b">
        <v>1</v>
      </c>
      <c r="E377" s="236" t="b">
        <v>0</v>
      </c>
      <c r="F377" s="236"/>
      <c r="G377" s="173"/>
      <c r="H377" s="244" t="s">
        <v>6156</v>
      </c>
      <c r="I377" s="244">
        <f t="shared" si="3"/>
        <v>1437</v>
      </c>
      <c r="J377" s="244">
        <v>2025.0</v>
      </c>
      <c r="K377" s="173"/>
    </row>
    <row r="378">
      <c r="A378" s="218">
        <f t="shared" si="2"/>
        <v>375</v>
      </c>
      <c r="B378" s="243" t="s">
        <v>71</v>
      </c>
      <c r="C378" s="236" t="str">
        <f t="shared" si="1"/>
        <v>PC/1438/2025</v>
      </c>
      <c r="D378" s="218" t="b">
        <v>1</v>
      </c>
      <c r="E378" s="236" t="b">
        <v>0</v>
      </c>
      <c r="F378" s="236"/>
      <c r="G378" s="173"/>
      <c r="H378" s="244" t="s">
        <v>6156</v>
      </c>
      <c r="I378" s="244">
        <f t="shared" si="3"/>
        <v>1438</v>
      </c>
      <c r="J378" s="244">
        <v>2025.0</v>
      </c>
      <c r="K378" s="173"/>
    </row>
    <row r="379">
      <c r="A379" s="218">
        <f t="shared" si="2"/>
        <v>376</v>
      </c>
      <c r="B379" s="243" t="s">
        <v>71</v>
      </c>
      <c r="C379" s="236" t="str">
        <f t="shared" si="1"/>
        <v>PC/1439/2025</v>
      </c>
      <c r="D379" s="218" t="b">
        <v>1</v>
      </c>
      <c r="E379" s="236" t="b">
        <v>0</v>
      </c>
      <c r="F379" s="236"/>
      <c r="G379" s="173"/>
      <c r="H379" s="244" t="s">
        <v>6156</v>
      </c>
      <c r="I379" s="244">
        <f t="shared" si="3"/>
        <v>1439</v>
      </c>
      <c r="J379" s="244">
        <v>2025.0</v>
      </c>
      <c r="K379" s="173"/>
    </row>
    <row r="380">
      <c r="A380" s="218">
        <f t="shared" si="2"/>
        <v>377</v>
      </c>
      <c r="B380" s="243" t="s">
        <v>71</v>
      </c>
      <c r="C380" s="236" t="str">
        <f t="shared" si="1"/>
        <v>PC/1440/2025</v>
      </c>
      <c r="D380" s="218" t="b">
        <v>1</v>
      </c>
      <c r="E380" s="236" t="b">
        <v>0</v>
      </c>
      <c r="F380" s="236"/>
      <c r="G380" s="173"/>
      <c r="H380" s="244" t="s">
        <v>6156</v>
      </c>
      <c r="I380" s="244">
        <f t="shared" si="3"/>
        <v>1440</v>
      </c>
      <c r="J380" s="244">
        <v>2025.0</v>
      </c>
      <c r="K380" s="173"/>
    </row>
    <row r="381">
      <c r="A381" s="218">
        <f t="shared" si="2"/>
        <v>378</v>
      </c>
      <c r="B381" s="243" t="s">
        <v>71</v>
      </c>
      <c r="C381" s="236" t="str">
        <f t="shared" si="1"/>
        <v>PC/1441/2025</v>
      </c>
      <c r="D381" s="218" t="b">
        <v>1</v>
      </c>
      <c r="E381" s="236" t="b">
        <v>0</v>
      </c>
      <c r="F381" s="236"/>
      <c r="G381" s="173"/>
      <c r="H381" s="244" t="s">
        <v>6156</v>
      </c>
      <c r="I381" s="244">
        <f t="shared" si="3"/>
        <v>1441</v>
      </c>
      <c r="J381" s="244">
        <v>2025.0</v>
      </c>
      <c r="K381" s="173"/>
    </row>
    <row r="382">
      <c r="A382" s="218">
        <f t="shared" si="2"/>
        <v>379</v>
      </c>
      <c r="B382" s="243" t="s">
        <v>71</v>
      </c>
      <c r="C382" s="236" t="str">
        <f t="shared" si="1"/>
        <v>PC/1442/2025</v>
      </c>
      <c r="D382" s="218" t="b">
        <v>1</v>
      </c>
      <c r="E382" s="236" t="b">
        <v>0</v>
      </c>
      <c r="F382" s="236"/>
      <c r="G382" s="173"/>
      <c r="H382" s="244" t="s">
        <v>6156</v>
      </c>
      <c r="I382" s="244">
        <f t="shared" si="3"/>
        <v>1442</v>
      </c>
      <c r="J382" s="244">
        <v>2025.0</v>
      </c>
      <c r="K382" s="173"/>
    </row>
    <row r="383">
      <c r="A383" s="218">
        <f t="shared" si="2"/>
        <v>380</v>
      </c>
      <c r="B383" s="243" t="s">
        <v>71</v>
      </c>
      <c r="C383" s="236" t="str">
        <f t="shared" si="1"/>
        <v>PC/1443/2025</v>
      </c>
      <c r="D383" s="218" t="b">
        <v>1</v>
      </c>
      <c r="E383" s="236" t="b">
        <v>0</v>
      </c>
      <c r="F383" s="236"/>
      <c r="G383" s="173"/>
      <c r="H383" s="244" t="s">
        <v>6156</v>
      </c>
      <c r="I383" s="244">
        <f t="shared" si="3"/>
        <v>1443</v>
      </c>
      <c r="J383" s="244">
        <v>2025.0</v>
      </c>
      <c r="K383" s="173"/>
    </row>
    <row r="384">
      <c r="A384" s="218">
        <f t="shared" si="2"/>
        <v>381</v>
      </c>
      <c r="B384" s="243" t="s">
        <v>71</v>
      </c>
      <c r="C384" s="236" t="str">
        <f t="shared" si="1"/>
        <v>PC/1444/2025</v>
      </c>
      <c r="D384" s="218" t="b">
        <v>1</v>
      </c>
      <c r="E384" s="236" t="b">
        <v>0</v>
      </c>
      <c r="F384" s="236"/>
      <c r="G384" s="173"/>
      <c r="H384" s="244" t="s">
        <v>6156</v>
      </c>
      <c r="I384" s="244">
        <f t="shared" si="3"/>
        <v>1444</v>
      </c>
      <c r="J384" s="244">
        <v>2025.0</v>
      </c>
      <c r="K384" s="173"/>
    </row>
    <row r="385">
      <c r="A385" s="218">
        <f t="shared" si="2"/>
        <v>382</v>
      </c>
      <c r="B385" s="243" t="s">
        <v>71</v>
      </c>
      <c r="C385" s="236" t="str">
        <f t="shared" si="1"/>
        <v>PC/1445/2025</v>
      </c>
      <c r="D385" s="218" t="b">
        <v>1</v>
      </c>
      <c r="E385" s="236" t="b">
        <v>0</v>
      </c>
      <c r="F385" s="236"/>
      <c r="G385" s="173"/>
      <c r="H385" s="244" t="s">
        <v>6156</v>
      </c>
      <c r="I385" s="244">
        <f t="shared" si="3"/>
        <v>1445</v>
      </c>
      <c r="J385" s="244">
        <v>2025.0</v>
      </c>
      <c r="K385" s="173"/>
    </row>
    <row r="386">
      <c r="A386" s="218">
        <f t="shared" si="2"/>
        <v>383</v>
      </c>
      <c r="B386" s="243" t="s">
        <v>71</v>
      </c>
      <c r="C386" s="236" t="str">
        <f t="shared" si="1"/>
        <v>PC/1446/2025</v>
      </c>
      <c r="D386" s="218" t="b">
        <v>1</v>
      </c>
      <c r="E386" s="236" t="b">
        <v>0</v>
      </c>
      <c r="F386" s="236"/>
      <c r="G386" s="173"/>
      <c r="H386" s="244" t="s">
        <v>6156</v>
      </c>
      <c r="I386" s="244">
        <f t="shared" si="3"/>
        <v>1446</v>
      </c>
      <c r="J386" s="244">
        <v>2025.0</v>
      </c>
      <c r="K386" s="173"/>
    </row>
    <row r="387">
      <c r="A387" s="218">
        <f t="shared" si="2"/>
        <v>384</v>
      </c>
      <c r="B387" s="243" t="s">
        <v>71</v>
      </c>
      <c r="C387" s="236" t="str">
        <f t="shared" si="1"/>
        <v>PC/1447/2025</v>
      </c>
      <c r="D387" s="218" t="b">
        <v>1</v>
      </c>
      <c r="E387" s="236" t="b">
        <v>0</v>
      </c>
      <c r="F387" s="236"/>
      <c r="G387" s="173"/>
      <c r="H387" s="244" t="s">
        <v>6156</v>
      </c>
      <c r="I387" s="244">
        <f t="shared" si="3"/>
        <v>1447</v>
      </c>
      <c r="J387" s="244">
        <v>2025.0</v>
      </c>
      <c r="K387" s="173"/>
    </row>
    <row r="388">
      <c r="A388" s="218">
        <f t="shared" si="2"/>
        <v>385</v>
      </c>
      <c r="B388" s="243" t="s">
        <v>71</v>
      </c>
      <c r="C388" s="236" t="str">
        <f t="shared" si="1"/>
        <v>PC/1448/2025</v>
      </c>
      <c r="D388" s="218" t="b">
        <v>1</v>
      </c>
      <c r="E388" s="236" t="b">
        <v>0</v>
      </c>
      <c r="F388" s="236"/>
      <c r="G388" s="173"/>
      <c r="H388" s="244" t="s">
        <v>6156</v>
      </c>
      <c r="I388" s="244">
        <f t="shared" si="3"/>
        <v>1448</v>
      </c>
      <c r="J388" s="244">
        <v>2025.0</v>
      </c>
      <c r="K388" s="173"/>
    </row>
    <row r="389">
      <c r="A389" s="218">
        <f t="shared" si="2"/>
        <v>386</v>
      </c>
      <c r="B389" s="243" t="s">
        <v>71</v>
      </c>
      <c r="C389" s="236" t="str">
        <f t="shared" si="1"/>
        <v>PC/1449/2025</v>
      </c>
      <c r="D389" s="218" t="b">
        <v>1</v>
      </c>
      <c r="E389" s="236" t="b">
        <v>0</v>
      </c>
      <c r="F389" s="236"/>
      <c r="G389" s="173"/>
      <c r="H389" s="244" t="s">
        <v>6156</v>
      </c>
      <c r="I389" s="244">
        <f t="shared" si="3"/>
        <v>1449</v>
      </c>
      <c r="J389" s="244">
        <v>2025.0</v>
      </c>
      <c r="K389" s="173"/>
    </row>
    <row r="390">
      <c r="A390" s="218">
        <f t="shared" si="2"/>
        <v>387</v>
      </c>
      <c r="B390" s="243" t="s">
        <v>71</v>
      </c>
      <c r="C390" s="236" t="str">
        <f t="shared" si="1"/>
        <v>PC/1450/2025</v>
      </c>
      <c r="D390" s="243" t="b">
        <v>1</v>
      </c>
      <c r="E390" s="236" t="b">
        <v>0</v>
      </c>
      <c r="F390" s="234">
        <v>45999.0</v>
      </c>
      <c r="G390" s="173"/>
      <c r="H390" s="244" t="s">
        <v>6156</v>
      </c>
      <c r="I390" s="244">
        <f t="shared" si="3"/>
        <v>1450</v>
      </c>
      <c r="J390" s="244">
        <v>2025.0</v>
      </c>
      <c r="K390" s="173"/>
    </row>
    <row r="391">
      <c r="A391" s="218">
        <f t="shared" si="2"/>
        <v>388</v>
      </c>
      <c r="B391" s="243" t="s">
        <v>71</v>
      </c>
      <c r="C391" s="236" t="str">
        <f t="shared" si="1"/>
        <v>PC/1451/2025</v>
      </c>
      <c r="D391" s="243" t="b">
        <v>1</v>
      </c>
      <c r="E391" s="236" t="b">
        <v>0</v>
      </c>
      <c r="F391" s="234">
        <v>45999.0</v>
      </c>
      <c r="G391" s="173"/>
      <c r="H391" s="244" t="s">
        <v>6156</v>
      </c>
      <c r="I391" s="244">
        <f t="shared" si="3"/>
        <v>1451</v>
      </c>
      <c r="J391" s="244">
        <v>2025.0</v>
      </c>
      <c r="K391" s="173"/>
    </row>
    <row r="392">
      <c r="A392" s="218">
        <f t="shared" si="2"/>
        <v>389</v>
      </c>
      <c r="B392" s="243" t="s">
        <v>71</v>
      </c>
      <c r="C392" s="236" t="str">
        <f t="shared" si="1"/>
        <v>PC/1452/2025</v>
      </c>
      <c r="D392" s="243" t="b">
        <v>1</v>
      </c>
      <c r="E392" s="236" t="b">
        <v>0</v>
      </c>
      <c r="F392" s="234">
        <v>45999.0</v>
      </c>
      <c r="G392" s="173"/>
      <c r="H392" s="244" t="s">
        <v>6156</v>
      </c>
      <c r="I392" s="244">
        <f t="shared" si="3"/>
        <v>1452</v>
      </c>
      <c r="J392" s="244">
        <v>2025.0</v>
      </c>
      <c r="K392" s="173"/>
    </row>
    <row r="393">
      <c r="A393" s="218">
        <f t="shared" si="2"/>
        <v>390</v>
      </c>
      <c r="B393" s="243" t="s">
        <v>71</v>
      </c>
      <c r="C393" s="236" t="str">
        <f t="shared" si="1"/>
        <v>PC/1453/2025</v>
      </c>
      <c r="D393" s="243" t="b">
        <v>1</v>
      </c>
      <c r="E393" s="236" t="b">
        <v>0</v>
      </c>
      <c r="F393" s="234">
        <v>45999.0</v>
      </c>
      <c r="G393" s="173"/>
      <c r="H393" s="244" t="s">
        <v>6156</v>
      </c>
      <c r="I393" s="244">
        <f t="shared" si="3"/>
        <v>1453</v>
      </c>
      <c r="J393" s="244">
        <v>2025.0</v>
      </c>
      <c r="K393" s="173"/>
    </row>
    <row r="394">
      <c r="A394" s="218">
        <f t="shared" si="2"/>
        <v>391</v>
      </c>
      <c r="B394" s="243" t="s">
        <v>71</v>
      </c>
      <c r="C394" s="236" t="str">
        <f t="shared" si="1"/>
        <v>PC/1454/2025</v>
      </c>
      <c r="D394" s="243" t="b">
        <v>1</v>
      </c>
      <c r="E394" s="236" t="b">
        <v>0</v>
      </c>
      <c r="F394" s="234">
        <v>45999.0</v>
      </c>
      <c r="G394" s="173"/>
      <c r="H394" s="244" t="s">
        <v>6156</v>
      </c>
      <c r="I394" s="244">
        <f t="shared" si="3"/>
        <v>1454</v>
      </c>
      <c r="J394" s="244">
        <v>2025.0</v>
      </c>
      <c r="K394" s="173"/>
    </row>
    <row r="395">
      <c r="A395" s="218">
        <f t="shared" si="2"/>
        <v>392</v>
      </c>
      <c r="B395" s="243" t="s">
        <v>71</v>
      </c>
      <c r="C395" s="236" t="str">
        <f t="shared" si="1"/>
        <v>PC/1455/2025</v>
      </c>
      <c r="D395" s="243" t="b">
        <v>1</v>
      </c>
      <c r="E395" s="236" t="b">
        <v>0</v>
      </c>
      <c r="F395" s="234">
        <v>45999.0</v>
      </c>
      <c r="G395" s="173"/>
      <c r="H395" s="244" t="s">
        <v>6156</v>
      </c>
      <c r="I395" s="244">
        <f t="shared" si="3"/>
        <v>1455</v>
      </c>
      <c r="J395" s="244">
        <v>2025.0</v>
      </c>
      <c r="K395" s="173"/>
    </row>
    <row r="396">
      <c r="A396" s="218">
        <f t="shared" si="2"/>
        <v>393</v>
      </c>
      <c r="B396" s="243" t="s">
        <v>71</v>
      </c>
      <c r="C396" s="236" t="str">
        <f t="shared" si="1"/>
        <v>PC/1456/2025</v>
      </c>
      <c r="D396" s="243" t="b">
        <v>1</v>
      </c>
      <c r="E396" s="236" t="b">
        <v>0</v>
      </c>
      <c r="F396" s="234">
        <v>45999.0</v>
      </c>
      <c r="G396" s="173"/>
      <c r="H396" s="244" t="s">
        <v>6156</v>
      </c>
      <c r="I396" s="244">
        <f t="shared" si="3"/>
        <v>1456</v>
      </c>
      <c r="J396" s="244">
        <v>2025.0</v>
      </c>
      <c r="K396" s="173"/>
    </row>
    <row r="397">
      <c r="A397" s="218">
        <f t="shared" si="2"/>
        <v>394</v>
      </c>
      <c r="B397" s="243" t="s">
        <v>71</v>
      </c>
      <c r="C397" s="236" t="str">
        <f t="shared" si="1"/>
        <v>PC/1457/2025</v>
      </c>
      <c r="D397" s="243" t="b">
        <v>1</v>
      </c>
      <c r="E397" s="236" t="b">
        <v>0</v>
      </c>
      <c r="F397" s="234">
        <v>45999.0</v>
      </c>
      <c r="G397" s="173"/>
      <c r="H397" s="244" t="s">
        <v>6156</v>
      </c>
      <c r="I397" s="244">
        <f t="shared" si="3"/>
        <v>1457</v>
      </c>
      <c r="J397" s="244">
        <v>2025.0</v>
      </c>
      <c r="K397" s="173"/>
    </row>
    <row r="398">
      <c r="A398" s="218">
        <f t="shared" si="2"/>
        <v>395</v>
      </c>
      <c r="B398" s="243" t="s">
        <v>71</v>
      </c>
      <c r="C398" s="236" t="str">
        <f t="shared" si="1"/>
        <v>PC/1458/2025</v>
      </c>
      <c r="D398" s="243" t="b">
        <v>1</v>
      </c>
      <c r="E398" s="236" t="b">
        <v>0</v>
      </c>
      <c r="F398" s="234">
        <v>45999.0</v>
      </c>
      <c r="G398" s="173"/>
      <c r="H398" s="244" t="s">
        <v>6156</v>
      </c>
      <c r="I398" s="244">
        <f t="shared" si="3"/>
        <v>1458</v>
      </c>
      <c r="J398" s="244">
        <v>2025.0</v>
      </c>
      <c r="K398" s="173"/>
    </row>
    <row r="399">
      <c r="A399" s="218">
        <f t="shared" si="2"/>
        <v>396</v>
      </c>
      <c r="B399" s="243" t="s">
        <v>71</v>
      </c>
      <c r="C399" s="236" t="str">
        <f t="shared" si="1"/>
        <v>PC/1459/2025</v>
      </c>
      <c r="D399" s="243" t="b">
        <v>1</v>
      </c>
      <c r="E399" s="236" t="b">
        <v>0</v>
      </c>
      <c r="F399" s="234">
        <v>45999.0</v>
      </c>
      <c r="G399" s="173"/>
      <c r="H399" s="244" t="s">
        <v>6156</v>
      </c>
      <c r="I399" s="244">
        <f t="shared" si="3"/>
        <v>1459</v>
      </c>
      <c r="J399" s="244">
        <v>2025.0</v>
      </c>
      <c r="K399" s="173"/>
    </row>
    <row r="400">
      <c r="A400" s="218">
        <f t="shared" si="2"/>
        <v>397</v>
      </c>
      <c r="B400" s="243" t="s">
        <v>71</v>
      </c>
      <c r="C400" s="236" t="str">
        <f t="shared" si="1"/>
        <v>PC/1460/2025</v>
      </c>
      <c r="D400" s="243" t="b">
        <v>1</v>
      </c>
      <c r="E400" s="236" t="b">
        <v>0</v>
      </c>
      <c r="F400" s="234">
        <v>45999.0</v>
      </c>
      <c r="G400" s="173"/>
      <c r="H400" s="244" t="s">
        <v>6156</v>
      </c>
      <c r="I400" s="244">
        <f t="shared" si="3"/>
        <v>1460</v>
      </c>
      <c r="J400" s="244">
        <v>2025.0</v>
      </c>
      <c r="K400" s="173"/>
    </row>
    <row r="401">
      <c r="A401" s="218">
        <f t="shared" si="2"/>
        <v>398</v>
      </c>
      <c r="B401" s="243" t="s">
        <v>71</v>
      </c>
      <c r="C401" s="236" t="str">
        <f t="shared" si="1"/>
        <v>PC/1461/2025</v>
      </c>
      <c r="D401" s="243" t="b">
        <v>1</v>
      </c>
      <c r="E401" s="236" t="b">
        <v>0</v>
      </c>
      <c r="F401" s="234">
        <v>45999.0</v>
      </c>
      <c r="G401" s="173"/>
      <c r="H401" s="244" t="s">
        <v>6156</v>
      </c>
      <c r="I401" s="244">
        <f t="shared" si="3"/>
        <v>1461</v>
      </c>
      <c r="J401" s="244">
        <v>2025.0</v>
      </c>
      <c r="K401" s="173"/>
    </row>
    <row r="402">
      <c r="A402" s="218">
        <f t="shared" si="2"/>
        <v>399</v>
      </c>
      <c r="B402" s="243" t="s">
        <v>71</v>
      </c>
      <c r="C402" s="236" t="str">
        <f t="shared" si="1"/>
        <v>PC/1462/2025</v>
      </c>
      <c r="D402" s="243" t="b">
        <v>1</v>
      </c>
      <c r="E402" s="236" t="b">
        <v>0</v>
      </c>
      <c r="F402" s="236"/>
      <c r="G402" s="173"/>
      <c r="H402" s="244" t="s">
        <v>6156</v>
      </c>
      <c r="I402" s="244">
        <f t="shared" si="3"/>
        <v>1462</v>
      </c>
      <c r="J402" s="244">
        <v>2025.0</v>
      </c>
      <c r="K402" s="173"/>
    </row>
    <row r="403">
      <c r="A403" s="218">
        <f t="shared" si="2"/>
        <v>400</v>
      </c>
      <c r="B403" s="243" t="s">
        <v>71</v>
      </c>
      <c r="C403" s="236" t="str">
        <f t="shared" si="1"/>
        <v>PC/1463/2025</v>
      </c>
      <c r="D403" s="243" t="b">
        <v>1</v>
      </c>
      <c r="E403" s="236" t="b">
        <v>0</v>
      </c>
      <c r="F403" s="234">
        <v>45999.0</v>
      </c>
      <c r="G403" s="173"/>
      <c r="H403" s="244" t="s">
        <v>6156</v>
      </c>
      <c r="I403" s="244">
        <f t="shared" si="3"/>
        <v>1463</v>
      </c>
      <c r="J403" s="244">
        <v>2025.0</v>
      </c>
      <c r="K403" s="173"/>
    </row>
    <row r="404">
      <c r="A404" s="218">
        <f t="shared" si="2"/>
        <v>401</v>
      </c>
      <c r="B404" s="243" t="s">
        <v>71</v>
      </c>
      <c r="C404" s="236" t="str">
        <f t="shared" si="1"/>
        <v>PC/1464/2025</v>
      </c>
      <c r="D404" s="243" t="b">
        <v>1</v>
      </c>
      <c r="E404" s="236" t="b">
        <v>0</v>
      </c>
      <c r="F404" s="236"/>
      <c r="G404" s="173"/>
      <c r="H404" s="244" t="s">
        <v>6156</v>
      </c>
      <c r="I404" s="244">
        <f t="shared" si="3"/>
        <v>1464</v>
      </c>
      <c r="J404" s="244">
        <v>2025.0</v>
      </c>
      <c r="K404" s="173"/>
    </row>
    <row r="405">
      <c r="A405" s="218">
        <f t="shared" si="2"/>
        <v>402</v>
      </c>
      <c r="B405" s="243" t="s">
        <v>71</v>
      </c>
      <c r="C405" s="236" t="str">
        <f t="shared" si="1"/>
        <v>PC/1465/2025</v>
      </c>
      <c r="D405" s="243" t="b">
        <v>1</v>
      </c>
      <c r="E405" s="236" t="b">
        <v>0</v>
      </c>
      <c r="F405" s="234">
        <v>45999.0</v>
      </c>
      <c r="G405" s="173"/>
      <c r="H405" s="244" t="s">
        <v>6156</v>
      </c>
      <c r="I405" s="244">
        <f t="shared" si="3"/>
        <v>1465</v>
      </c>
      <c r="J405" s="244">
        <v>2025.0</v>
      </c>
      <c r="K405" s="173"/>
    </row>
    <row r="406">
      <c r="A406" s="218">
        <f t="shared" si="2"/>
        <v>403</v>
      </c>
      <c r="B406" s="243" t="s">
        <v>71</v>
      </c>
      <c r="C406" s="236" t="str">
        <f t="shared" si="1"/>
        <v>PC/1466/2025</v>
      </c>
      <c r="D406" s="243" t="b">
        <v>1</v>
      </c>
      <c r="E406" s="236" t="b">
        <v>0</v>
      </c>
      <c r="F406" s="236"/>
      <c r="G406" s="173"/>
      <c r="H406" s="244" t="s">
        <v>6156</v>
      </c>
      <c r="I406" s="244">
        <f t="shared" si="3"/>
        <v>1466</v>
      </c>
      <c r="J406" s="244">
        <v>2025.0</v>
      </c>
      <c r="K406" s="173"/>
    </row>
    <row r="407">
      <c r="A407" s="218">
        <f t="shared" si="2"/>
        <v>404</v>
      </c>
      <c r="B407" s="243" t="s">
        <v>71</v>
      </c>
      <c r="C407" s="236" t="str">
        <f t="shared" si="1"/>
        <v>PC/1467/2025</v>
      </c>
      <c r="D407" s="218" t="b">
        <v>1</v>
      </c>
      <c r="E407" s="236" t="b">
        <v>0</v>
      </c>
      <c r="F407" s="236"/>
      <c r="G407" s="173"/>
      <c r="H407" s="244" t="s">
        <v>6156</v>
      </c>
      <c r="I407" s="244">
        <f t="shared" si="3"/>
        <v>1467</v>
      </c>
      <c r="J407" s="244">
        <v>2025.0</v>
      </c>
      <c r="K407" s="173"/>
    </row>
    <row r="408">
      <c r="A408" s="218">
        <f t="shared" si="2"/>
        <v>405</v>
      </c>
      <c r="B408" s="243" t="s">
        <v>71</v>
      </c>
      <c r="C408" s="236" t="str">
        <f t="shared" si="1"/>
        <v>PC/1468/2025</v>
      </c>
      <c r="D408" s="218" t="b">
        <v>1</v>
      </c>
      <c r="E408" s="236" t="b">
        <v>0</v>
      </c>
      <c r="F408" s="236"/>
      <c r="G408" s="173"/>
      <c r="H408" s="244" t="s">
        <v>6156</v>
      </c>
      <c r="I408" s="244">
        <f t="shared" si="3"/>
        <v>1468</v>
      </c>
      <c r="J408" s="244">
        <v>2025.0</v>
      </c>
      <c r="K408" s="173"/>
    </row>
    <row r="409">
      <c r="A409" s="218">
        <f t="shared" si="2"/>
        <v>406</v>
      </c>
      <c r="B409" s="243" t="s">
        <v>71</v>
      </c>
      <c r="C409" s="236" t="str">
        <f t="shared" si="1"/>
        <v>PC/1469/2025</v>
      </c>
      <c r="D409" s="218" t="b">
        <v>1</v>
      </c>
      <c r="E409" s="236" t="b">
        <v>0</v>
      </c>
      <c r="F409" s="236"/>
      <c r="G409" s="173"/>
      <c r="H409" s="244" t="s">
        <v>6156</v>
      </c>
      <c r="I409" s="244">
        <f t="shared" si="3"/>
        <v>1469</v>
      </c>
      <c r="J409" s="244">
        <v>2025.0</v>
      </c>
      <c r="K409" s="173"/>
    </row>
    <row r="410">
      <c r="A410" s="218">
        <f t="shared" si="2"/>
        <v>407</v>
      </c>
      <c r="B410" s="243" t="s">
        <v>71</v>
      </c>
      <c r="C410" s="236" t="str">
        <f t="shared" si="1"/>
        <v>PC/1470/2025</v>
      </c>
      <c r="D410" s="218" t="b">
        <v>1</v>
      </c>
      <c r="E410" s="236" t="b">
        <v>0</v>
      </c>
      <c r="F410" s="236"/>
      <c r="G410" s="173"/>
      <c r="H410" s="244" t="s">
        <v>6156</v>
      </c>
      <c r="I410" s="244">
        <f t="shared" si="3"/>
        <v>1470</v>
      </c>
      <c r="J410" s="244">
        <v>2025.0</v>
      </c>
      <c r="K410" s="173"/>
    </row>
    <row r="411">
      <c r="A411" s="218">
        <f t="shared" si="2"/>
        <v>408</v>
      </c>
      <c r="B411" s="243" t="s">
        <v>71</v>
      </c>
      <c r="C411" s="236" t="str">
        <f t="shared" si="1"/>
        <v>PC/1471/2025</v>
      </c>
      <c r="D411" s="218" t="b">
        <v>1</v>
      </c>
      <c r="E411" s="236" t="b">
        <v>0</v>
      </c>
      <c r="F411" s="236"/>
      <c r="G411" s="173"/>
      <c r="H411" s="244" t="s">
        <v>6156</v>
      </c>
      <c r="I411" s="244">
        <f t="shared" si="3"/>
        <v>1471</v>
      </c>
      <c r="J411" s="244">
        <v>2025.0</v>
      </c>
      <c r="K411" s="173"/>
    </row>
    <row r="412">
      <c r="A412" s="218">
        <f t="shared" si="2"/>
        <v>409</v>
      </c>
      <c r="B412" s="243" t="s">
        <v>71</v>
      </c>
      <c r="C412" s="236" t="str">
        <f t="shared" si="1"/>
        <v>PC/1472/2025</v>
      </c>
      <c r="D412" s="218" t="b">
        <v>1</v>
      </c>
      <c r="E412" s="236" t="b">
        <v>0</v>
      </c>
      <c r="F412" s="236"/>
      <c r="G412" s="173"/>
      <c r="H412" s="244" t="s">
        <v>6156</v>
      </c>
      <c r="I412" s="244">
        <f t="shared" si="3"/>
        <v>1472</v>
      </c>
      <c r="J412" s="244">
        <v>2025.0</v>
      </c>
      <c r="K412" s="173"/>
    </row>
    <row r="413">
      <c r="A413" s="218">
        <f t="shared" si="2"/>
        <v>410</v>
      </c>
      <c r="B413" s="243" t="s">
        <v>71</v>
      </c>
      <c r="C413" s="236" t="str">
        <f t="shared" si="1"/>
        <v>PC/1473/2025</v>
      </c>
      <c r="D413" s="218" t="b">
        <v>1</v>
      </c>
      <c r="E413" s="236" t="b">
        <v>0</v>
      </c>
      <c r="F413" s="236"/>
      <c r="G413" s="173"/>
      <c r="H413" s="244" t="s">
        <v>6156</v>
      </c>
      <c r="I413" s="244">
        <f t="shared" si="3"/>
        <v>1473</v>
      </c>
      <c r="J413" s="244">
        <v>2025.0</v>
      </c>
      <c r="K413" s="173"/>
    </row>
    <row r="414">
      <c r="A414" s="218">
        <f t="shared" si="2"/>
        <v>411</v>
      </c>
      <c r="B414" s="243" t="s">
        <v>71</v>
      </c>
      <c r="C414" s="236" t="str">
        <f t="shared" si="1"/>
        <v>PC/1474/2025</v>
      </c>
      <c r="D414" s="243" t="b">
        <v>1</v>
      </c>
      <c r="E414" s="236" t="b">
        <v>0</v>
      </c>
      <c r="F414" s="234">
        <v>45999.0</v>
      </c>
      <c r="G414" s="173"/>
      <c r="H414" s="244" t="s">
        <v>6156</v>
      </c>
      <c r="I414" s="244">
        <f t="shared" si="3"/>
        <v>1474</v>
      </c>
      <c r="J414" s="244">
        <v>2025.0</v>
      </c>
      <c r="K414" s="173"/>
    </row>
    <row r="415">
      <c r="A415" s="218">
        <f t="shared" si="2"/>
        <v>412</v>
      </c>
      <c r="B415" s="243" t="s">
        <v>71</v>
      </c>
      <c r="C415" s="236" t="str">
        <f t="shared" si="1"/>
        <v>PC/1475/2025</v>
      </c>
      <c r="D415" s="243" t="b">
        <v>1</v>
      </c>
      <c r="E415" s="236" t="b">
        <v>0</v>
      </c>
      <c r="F415" s="234">
        <v>45999.0</v>
      </c>
      <c r="G415" s="173"/>
      <c r="H415" s="244" t="s">
        <v>6156</v>
      </c>
      <c r="I415" s="244">
        <f t="shared" si="3"/>
        <v>1475</v>
      </c>
      <c r="J415" s="244">
        <v>2025.0</v>
      </c>
      <c r="K415" s="173"/>
    </row>
    <row r="416">
      <c r="A416" s="218">
        <f t="shared" si="2"/>
        <v>413</v>
      </c>
      <c r="B416" s="243" t="s">
        <v>71</v>
      </c>
      <c r="C416" s="236" t="str">
        <f t="shared" si="1"/>
        <v>PC/1476/2025</v>
      </c>
      <c r="D416" s="243" t="b">
        <v>1</v>
      </c>
      <c r="E416" s="236" t="b">
        <v>0</v>
      </c>
      <c r="F416" s="236"/>
      <c r="G416" s="173"/>
      <c r="H416" s="244" t="s">
        <v>6156</v>
      </c>
      <c r="I416" s="244">
        <f t="shared" si="3"/>
        <v>1476</v>
      </c>
      <c r="J416" s="244">
        <v>2025.0</v>
      </c>
      <c r="K416" s="173"/>
    </row>
    <row r="417">
      <c r="A417" s="218">
        <f t="shared" si="2"/>
        <v>414</v>
      </c>
      <c r="B417" s="243" t="s">
        <v>71</v>
      </c>
      <c r="C417" s="236" t="str">
        <f t="shared" si="1"/>
        <v>PC/1477/2025</v>
      </c>
      <c r="D417" s="243" t="b">
        <v>1</v>
      </c>
      <c r="E417" s="236" t="b">
        <v>0</v>
      </c>
      <c r="F417" s="236"/>
      <c r="G417" s="173"/>
      <c r="H417" s="244" t="s">
        <v>6156</v>
      </c>
      <c r="I417" s="244">
        <f t="shared" si="3"/>
        <v>1477</v>
      </c>
      <c r="J417" s="244">
        <v>2025.0</v>
      </c>
      <c r="K417" s="173"/>
    </row>
    <row r="418">
      <c r="A418" s="218">
        <f t="shared" si="2"/>
        <v>415</v>
      </c>
      <c r="B418" s="243" t="s">
        <v>71</v>
      </c>
      <c r="C418" s="236" t="str">
        <f t="shared" si="1"/>
        <v>PC/1478/2025</v>
      </c>
      <c r="D418" s="243" t="b">
        <v>1</v>
      </c>
      <c r="E418" s="236" t="b">
        <v>0</v>
      </c>
      <c r="F418" s="234">
        <v>45999.0</v>
      </c>
      <c r="G418" s="173"/>
      <c r="H418" s="244" t="s">
        <v>6156</v>
      </c>
      <c r="I418" s="244">
        <f t="shared" si="3"/>
        <v>1478</v>
      </c>
      <c r="J418" s="244">
        <v>2025.0</v>
      </c>
      <c r="K418" s="173"/>
    </row>
    <row r="419">
      <c r="A419" s="218">
        <f t="shared" si="2"/>
        <v>416</v>
      </c>
      <c r="B419" s="243" t="s">
        <v>71</v>
      </c>
      <c r="C419" s="236" t="str">
        <f t="shared" si="1"/>
        <v>PC/1479/2025</v>
      </c>
      <c r="D419" s="243" t="b">
        <v>1</v>
      </c>
      <c r="E419" s="236" t="b">
        <v>0</v>
      </c>
      <c r="F419" s="234">
        <v>45999.0</v>
      </c>
      <c r="G419" s="173"/>
      <c r="H419" s="244" t="s">
        <v>6156</v>
      </c>
      <c r="I419" s="244">
        <f t="shared" si="3"/>
        <v>1479</v>
      </c>
      <c r="J419" s="244">
        <v>2025.0</v>
      </c>
      <c r="K419" s="173"/>
    </row>
    <row r="420">
      <c r="A420" s="218">
        <f t="shared" si="2"/>
        <v>417</v>
      </c>
      <c r="B420" s="243" t="s">
        <v>71</v>
      </c>
      <c r="C420" s="236" t="str">
        <f t="shared" si="1"/>
        <v>PC/1480/2025</v>
      </c>
      <c r="D420" s="243" t="b">
        <v>1</v>
      </c>
      <c r="E420" s="236" t="b">
        <v>0</v>
      </c>
      <c r="F420" s="234">
        <v>45999.0</v>
      </c>
      <c r="G420" s="173"/>
      <c r="H420" s="244" t="s">
        <v>6156</v>
      </c>
      <c r="I420" s="244">
        <f t="shared" si="3"/>
        <v>1480</v>
      </c>
      <c r="J420" s="244">
        <v>2025.0</v>
      </c>
      <c r="K420" s="173"/>
    </row>
    <row r="421">
      <c r="A421" s="218">
        <f t="shared" si="2"/>
        <v>418</v>
      </c>
      <c r="B421" s="243" t="s">
        <v>71</v>
      </c>
      <c r="C421" s="236" t="str">
        <f t="shared" si="1"/>
        <v>PC/1481/2025</v>
      </c>
      <c r="D421" s="243" t="b">
        <v>1</v>
      </c>
      <c r="E421" s="236" t="b">
        <v>0</v>
      </c>
      <c r="F421" s="234">
        <v>45999.0</v>
      </c>
      <c r="G421" s="173"/>
      <c r="H421" s="244" t="s">
        <v>6156</v>
      </c>
      <c r="I421" s="244">
        <f t="shared" si="3"/>
        <v>1481</v>
      </c>
      <c r="J421" s="244">
        <v>2025.0</v>
      </c>
      <c r="K421" s="173"/>
    </row>
    <row r="422">
      <c r="A422" s="218">
        <f t="shared" si="2"/>
        <v>419</v>
      </c>
      <c r="B422" s="243" t="s">
        <v>71</v>
      </c>
      <c r="C422" s="236" t="str">
        <f t="shared" si="1"/>
        <v>PC/1482/2025</v>
      </c>
      <c r="D422" s="243" t="b">
        <v>1</v>
      </c>
      <c r="E422" s="236" t="b">
        <v>0</v>
      </c>
      <c r="F422" s="234">
        <v>45999.0</v>
      </c>
      <c r="G422" s="173"/>
      <c r="H422" s="244" t="s">
        <v>6156</v>
      </c>
      <c r="I422" s="244">
        <f t="shared" si="3"/>
        <v>1482</v>
      </c>
      <c r="J422" s="244">
        <v>2025.0</v>
      </c>
      <c r="K422" s="173"/>
    </row>
    <row r="423">
      <c r="A423" s="218">
        <f t="shared" si="2"/>
        <v>420</v>
      </c>
      <c r="B423" s="243" t="s">
        <v>71</v>
      </c>
      <c r="C423" s="236" t="str">
        <f t="shared" si="1"/>
        <v>PC/1483/2025</v>
      </c>
      <c r="D423" s="243" t="b">
        <v>1</v>
      </c>
      <c r="E423" s="236" t="b">
        <v>0</v>
      </c>
      <c r="F423" s="234">
        <v>45999.0</v>
      </c>
      <c r="G423" s="173"/>
      <c r="H423" s="244" t="s">
        <v>6156</v>
      </c>
      <c r="I423" s="244">
        <f t="shared" si="3"/>
        <v>1483</v>
      </c>
      <c r="J423" s="244">
        <v>2025.0</v>
      </c>
      <c r="K423" s="173"/>
    </row>
    <row r="424">
      <c r="A424" s="218">
        <f t="shared" si="2"/>
        <v>421</v>
      </c>
      <c r="B424" s="243" t="s">
        <v>71</v>
      </c>
      <c r="C424" s="236" t="str">
        <f t="shared" si="1"/>
        <v>PC/1484/2025</v>
      </c>
      <c r="D424" s="243" t="b">
        <v>1</v>
      </c>
      <c r="E424" s="236" t="b">
        <v>0</v>
      </c>
      <c r="F424" s="236"/>
      <c r="G424" s="173"/>
      <c r="H424" s="244" t="s">
        <v>6156</v>
      </c>
      <c r="I424" s="244">
        <f t="shared" si="3"/>
        <v>1484</v>
      </c>
      <c r="J424" s="244">
        <v>2025.0</v>
      </c>
      <c r="K424" s="173"/>
    </row>
    <row r="425">
      <c r="A425" s="218">
        <f t="shared" si="2"/>
        <v>422</v>
      </c>
      <c r="B425" s="243" t="s">
        <v>71</v>
      </c>
      <c r="C425" s="236" t="str">
        <f t="shared" si="1"/>
        <v>PC/1485/2025</v>
      </c>
      <c r="D425" s="243" t="b">
        <v>1</v>
      </c>
      <c r="E425" s="236" t="b">
        <v>0</v>
      </c>
      <c r="F425" s="234">
        <v>45999.0</v>
      </c>
      <c r="G425" s="173"/>
      <c r="H425" s="244" t="s">
        <v>6156</v>
      </c>
      <c r="I425" s="244">
        <f t="shared" si="3"/>
        <v>1485</v>
      </c>
      <c r="J425" s="244">
        <v>2025.0</v>
      </c>
      <c r="K425" s="173"/>
    </row>
    <row r="426">
      <c r="A426" s="218">
        <f t="shared" si="2"/>
        <v>423</v>
      </c>
      <c r="B426" s="243" t="s">
        <v>71</v>
      </c>
      <c r="C426" s="236" t="str">
        <f t="shared" si="1"/>
        <v>PC/1486/2025</v>
      </c>
      <c r="D426" s="243" t="b">
        <v>1</v>
      </c>
      <c r="E426" s="236" t="b">
        <v>0</v>
      </c>
      <c r="F426" s="234">
        <v>45999.0</v>
      </c>
      <c r="G426" s="173"/>
      <c r="H426" s="244" t="s">
        <v>6156</v>
      </c>
      <c r="I426" s="244">
        <f t="shared" si="3"/>
        <v>1486</v>
      </c>
      <c r="J426" s="244">
        <v>2025.0</v>
      </c>
      <c r="K426" s="173"/>
    </row>
    <row r="427">
      <c r="A427" s="218">
        <f t="shared" si="2"/>
        <v>424</v>
      </c>
      <c r="B427" s="243" t="s">
        <v>71</v>
      </c>
      <c r="C427" s="236" t="str">
        <f t="shared" si="1"/>
        <v>PC/1487/2025</v>
      </c>
      <c r="D427" s="218" t="b">
        <v>1</v>
      </c>
      <c r="E427" s="236" t="b">
        <v>0</v>
      </c>
      <c r="F427" s="236"/>
      <c r="G427" s="173"/>
      <c r="H427" s="244" t="s">
        <v>6156</v>
      </c>
      <c r="I427" s="244">
        <f t="shared" si="3"/>
        <v>1487</v>
      </c>
      <c r="J427" s="244">
        <v>2025.0</v>
      </c>
      <c r="K427" s="173"/>
    </row>
    <row r="428">
      <c r="A428" s="218">
        <f t="shared" si="2"/>
        <v>425</v>
      </c>
      <c r="B428" s="243" t="s">
        <v>71</v>
      </c>
      <c r="C428" s="236" t="str">
        <f t="shared" si="1"/>
        <v>PC/1488/2025</v>
      </c>
      <c r="D428" s="218" t="b">
        <v>1</v>
      </c>
      <c r="E428" s="236" t="b">
        <v>0</v>
      </c>
      <c r="F428" s="236"/>
      <c r="G428" s="173"/>
      <c r="H428" s="244" t="s">
        <v>6156</v>
      </c>
      <c r="I428" s="244">
        <f t="shared" si="3"/>
        <v>1488</v>
      </c>
      <c r="J428" s="244">
        <v>2025.0</v>
      </c>
      <c r="K428" s="173"/>
    </row>
    <row r="429">
      <c r="A429" s="218">
        <f t="shared" si="2"/>
        <v>426</v>
      </c>
      <c r="B429" s="243" t="s">
        <v>71</v>
      </c>
      <c r="C429" s="236" t="str">
        <f t="shared" si="1"/>
        <v>PC/1489/2025</v>
      </c>
      <c r="D429" s="218" t="b">
        <v>1</v>
      </c>
      <c r="E429" s="236" t="b">
        <v>0</v>
      </c>
      <c r="F429" s="236"/>
      <c r="G429" s="173"/>
      <c r="H429" s="244" t="s">
        <v>6156</v>
      </c>
      <c r="I429" s="244">
        <f t="shared" si="3"/>
        <v>1489</v>
      </c>
      <c r="J429" s="244">
        <v>2025.0</v>
      </c>
      <c r="K429" s="173"/>
    </row>
    <row r="430">
      <c r="A430" s="218">
        <f t="shared" si="2"/>
        <v>427</v>
      </c>
      <c r="B430" s="243" t="s">
        <v>71</v>
      </c>
      <c r="C430" s="236" t="str">
        <f t="shared" si="1"/>
        <v>PC/1490/2025</v>
      </c>
      <c r="D430" s="243" t="b">
        <v>1</v>
      </c>
      <c r="E430" s="236" t="b">
        <v>0</v>
      </c>
      <c r="F430" s="234">
        <v>45999.0</v>
      </c>
      <c r="G430" s="173"/>
      <c r="H430" s="244" t="s">
        <v>6156</v>
      </c>
      <c r="I430" s="244">
        <f t="shared" si="3"/>
        <v>1490</v>
      </c>
      <c r="J430" s="244">
        <v>2025.0</v>
      </c>
      <c r="K430" s="173"/>
    </row>
    <row r="431">
      <c r="A431" s="218">
        <f t="shared" si="2"/>
        <v>428</v>
      </c>
      <c r="B431" s="243" t="s">
        <v>71</v>
      </c>
      <c r="C431" s="236" t="str">
        <f t="shared" si="1"/>
        <v>PC/1491/2025</v>
      </c>
      <c r="D431" s="218" t="b">
        <v>1</v>
      </c>
      <c r="E431" s="236" t="b">
        <v>0</v>
      </c>
      <c r="F431" s="236"/>
      <c r="G431" s="173"/>
      <c r="H431" s="244" t="s">
        <v>6156</v>
      </c>
      <c r="I431" s="244">
        <f t="shared" si="3"/>
        <v>1491</v>
      </c>
      <c r="J431" s="244">
        <v>2025.0</v>
      </c>
      <c r="K431" s="173"/>
    </row>
    <row r="432">
      <c r="A432" s="218">
        <f t="shared" si="2"/>
        <v>429</v>
      </c>
      <c r="B432" s="243" t="s">
        <v>71</v>
      </c>
      <c r="C432" s="236" t="str">
        <f t="shared" si="1"/>
        <v>PC/1492/2025</v>
      </c>
      <c r="D432" s="218" t="b">
        <v>1</v>
      </c>
      <c r="E432" s="236" t="b">
        <v>0</v>
      </c>
      <c r="F432" s="236"/>
      <c r="G432" s="173"/>
      <c r="H432" s="244" t="s">
        <v>6156</v>
      </c>
      <c r="I432" s="244">
        <f t="shared" si="3"/>
        <v>1492</v>
      </c>
      <c r="J432" s="244">
        <v>2025.0</v>
      </c>
      <c r="K432" s="173"/>
    </row>
    <row r="433">
      <c r="A433" s="218">
        <f t="shared" si="2"/>
        <v>430</v>
      </c>
      <c r="B433" s="243" t="s">
        <v>71</v>
      </c>
      <c r="C433" s="236" t="str">
        <f t="shared" si="1"/>
        <v>PC/1493/2025</v>
      </c>
      <c r="D433" s="243" t="b">
        <v>1</v>
      </c>
      <c r="E433" s="236" t="b">
        <v>0</v>
      </c>
      <c r="F433" s="234">
        <v>45999.0</v>
      </c>
      <c r="G433" s="173"/>
      <c r="H433" s="244" t="s">
        <v>6156</v>
      </c>
      <c r="I433" s="244">
        <f t="shared" si="3"/>
        <v>1493</v>
      </c>
      <c r="J433" s="244">
        <v>2025.0</v>
      </c>
      <c r="K433" s="173"/>
    </row>
    <row r="434">
      <c r="A434" s="218">
        <f t="shared" si="2"/>
        <v>431</v>
      </c>
      <c r="B434" s="243" t="s">
        <v>71</v>
      </c>
      <c r="C434" s="236" t="str">
        <f t="shared" si="1"/>
        <v>PC/1494/2025</v>
      </c>
      <c r="D434" s="243" t="b">
        <v>1</v>
      </c>
      <c r="E434" s="236" t="b">
        <v>0</v>
      </c>
      <c r="F434" s="234">
        <v>45999.0</v>
      </c>
      <c r="G434" s="173"/>
      <c r="H434" s="244" t="s">
        <v>6156</v>
      </c>
      <c r="I434" s="244">
        <f t="shared" si="3"/>
        <v>1494</v>
      </c>
      <c r="J434" s="244">
        <v>2025.0</v>
      </c>
      <c r="K434" s="173"/>
    </row>
    <row r="435">
      <c r="A435" s="218">
        <f t="shared" si="2"/>
        <v>432</v>
      </c>
      <c r="B435" s="243" t="s">
        <v>71</v>
      </c>
      <c r="C435" s="236" t="str">
        <f t="shared" si="1"/>
        <v>PC/1495/2025</v>
      </c>
      <c r="D435" s="243" t="b">
        <v>1</v>
      </c>
      <c r="E435" s="236" t="b">
        <v>0</v>
      </c>
      <c r="F435" s="234">
        <v>45999.0</v>
      </c>
      <c r="G435" s="173"/>
      <c r="H435" s="244" t="s">
        <v>6156</v>
      </c>
      <c r="I435" s="244">
        <f t="shared" si="3"/>
        <v>1495</v>
      </c>
      <c r="J435" s="244">
        <v>2025.0</v>
      </c>
      <c r="K435" s="173"/>
    </row>
    <row r="436">
      <c r="A436" s="218">
        <f t="shared" si="2"/>
        <v>433</v>
      </c>
      <c r="B436" s="243" t="s">
        <v>71</v>
      </c>
      <c r="C436" s="236" t="str">
        <f t="shared" si="1"/>
        <v>PC/1496/2025</v>
      </c>
      <c r="D436" s="243" t="b">
        <v>1</v>
      </c>
      <c r="E436" s="236" t="b">
        <v>0</v>
      </c>
      <c r="F436" s="234">
        <v>45999.0</v>
      </c>
      <c r="G436" s="173"/>
      <c r="H436" s="244" t="s">
        <v>6156</v>
      </c>
      <c r="I436" s="244">
        <f t="shared" si="3"/>
        <v>1496</v>
      </c>
      <c r="J436" s="244">
        <v>2025.0</v>
      </c>
      <c r="K436" s="173"/>
    </row>
    <row r="437">
      <c r="A437" s="218">
        <f t="shared" si="2"/>
        <v>434</v>
      </c>
      <c r="B437" s="243" t="s">
        <v>71</v>
      </c>
      <c r="C437" s="236" t="str">
        <f t="shared" si="1"/>
        <v>PC/1497/2025</v>
      </c>
      <c r="D437" s="243" t="b">
        <v>1</v>
      </c>
      <c r="E437" s="236" t="b">
        <v>0</v>
      </c>
      <c r="F437" s="234">
        <v>45999.0</v>
      </c>
      <c r="G437" s="173"/>
      <c r="H437" s="244" t="s">
        <v>6156</v>
      </c>
      <c r="I437" s="244">
        <f t="shared" si="3"/>
        <v>1497</v>
      </c>
      <c r="J437" s="244">
        <v>2025.0</v>
      </c>
      <c r="K437" s="173"/>
    </row>
    <row r="438">
      <c r="A438" s="218">
        <f t="shared" si="2"/>
        <v>435</v>
      </c>
      <c r="B438" s="243" t="s">
        <v>71</v>
      </c>
      <c r="C438" s="236" t="str">
        <f t="shared" si="1"/>
        <v>PC/1498/2025</v>
      </c>
      <c r="D438" s="243" t="b">
        <v>1</v>
      </c>
      <c r="E438" s="236" t="b">
        <v>0</v>
      </c>
      <c r="F438" s="234">
        <v>45999.0</v>
      </c>
      <c r="G438" s="173"/>
      <c r="H438" s="244" t="s">
        <v>6156</v>
      </c>
      <c r="I438" s="244">
        <f t="shared" si="3"/>
        <v>1498</v>
      </c>
      <c r="J438" s="244">
        <v>2025.0</v>
      </c>
      <c r="K438" s="173"/>
    </row>
    <row r="439">
      <c r="A439" s="218">
        <f t="shared" si="2"/>
        <v>436</v>
      </c>
      <c r="B439" s="243" t="s">
        <v>71</v>
      </c>
      <c r="C439" s="236" t="str">
        <f t="shared" si="1"/>
        <v>PC/1499/2025</v>
      </c>
      <c r="D439" s="243" t="b">
        <v>1</v>
      </c>
      <c r="E439" s="236" t="b">
        <v>0</v>
      </c>
      <c r="F439" s="234">
        <v>45999.0</v>
      </c>
      <c r="G439" s="173"/>
      <c r="H439" s="244" t="s">
        <v>6156</v>
      </c>
      <c r="I439" s="244">
        <f t="shared" si="3"/>
        <v>1499</v>
      </c>
      <c r="J439" s="244">
        <v>2025.0</v>
      </c>
      <c r="K439" s="173"/>
    </row>
    <row r="440">
      <c r="A440" s="218">
        <f t="shared" si="2"/>
        <v>437</v>
      </c>
      <c r="B440" s="243" t="s">
        <v>71</v>
      </c>
      <c r="C440" s="236" t="str">
        <f t="shared" si="1"/>
        <v>PC/1500/2025</v>
      </c>
      <c r="D440" s="243" t="b">
        <v>1</v>
      </c>
      <c r="E440" s="236" t="b">
        <v>0</v>
      </c>
      <c r="F440" s="234">
        <v>45999.0</v>
      </c>
      <c r="G440" s="173"/>
      <c r="H440" s="244" t="s">
        <v>6156</v>
      </c>
      <c r="I440" s="244">
        <f t="shared" si="3"/>
        <v>1500</v>
      </c>
      <c r="J440" s="244">
        <v>2025.0</v>
      </c>
      <c r="K440" s="173"/>
    </row>
    <row r="441">
      <c r="A441" s="218">
        <f t="shared" si="2"/>
        <v>438</v>
      </c>
      <c r="B441" s="243" t="s">
        <v>71</v>
      </c>
      <c r="C441" s="236" t="str">
        <f t="shared" si="1"/>
        <v>PC/1501/2025</v>
      </c>
      <c r="D441" s="243" t="b">
        <v>1</v>
      </c>
      <c r="E441" s="236" t="b">
        <v>0</v>
      </c>
      <c r="F441" s="234">
        <v>45999.0</v>
      </c>
      <c r="G441" s="173"/>
      <c r="H441" s="244" t="s">
        <v>6156</v>
      </c>
      <c r="I441" s="244">
        <f t="shared" si="3"/>
        <v>1501</v>
      </c>
      <c r="J441" s="244">
        <v>2025.0</v>
      </c>
      <c r="K441" s="173"/>
    </row>
    <row r="442">
      <c r="A442" s="218">
        <f t="shared" si="2"/>
        <v>439</v>
      </c>
      <c r="B442" s="243" t="s">
        <v>71</v>
      </c>
      <c r="C442" s="236" t="str">
        <f t="shared" si="1"/>
        <v>PC/1502/2025</v>
      </c>
      <c r="D442" s="243" t="b">
        <v>1</v>
      </c>
      <c r="E442" s="236" t="b">
        <v>0</v>
      </c>
      <c r="F442" s="234">
        <v>45999.0</v>
      </c>
      <c r="G442" s="173"/>
      <c r="H442" s="244" t="s">
        <v>6156</v>
      </c>
      <c r="I442" s="244">
        <f t="shared" si="3"/>
        <v>1502</v>
      </c>
      <c r="J442" s="244">
        <v>2025.0</v>
      </c>
      <c r="K442" s="173"/>
    </row>
    <row r="443">
      <c r="A443" s="218">
        <f t="shared" si="2"/>
        <v>440</v>
      </c>
      <c r="B443" s="243" t="s">
        <v>71</v>
      </c>
      <c r="C443" s="236" t="str">
        <f t="shared" si="1"/>
        <v>PC/1503/2025</v>
      </c>
      <c r="D443" s="218" t="b">
        <v>1</v>
      </c>
      <c r="E443" s="236" t="b">
        <v>0</v>
      </c>
      <c r="F443" s="236"/>
      <c r="G443" s="173"/>
      <c r="H443" s="244" t="s">
        <v>6156</v>
      </c>
      <c r="I443" s="244">
        <f t="shared" si="3"/>
        <v>1503</v>
      </c>
      <c r="J443" s="244">
        <v>2025.0</v>
      </c>
      <c r="K443" s="173"/>
    </row>
    <row r="444">
      <c r="A444" s="218">
        <f t="shared" si="2"/>
        <v>441</v>
      </c>
      <c r="B444" s="243" t="s">
        <v>71</v>
      </c>
      <c r="C444" s="236" t="str">
        <f t="shared" si="1"/>
        <v>PC/1504/2025</v>
      </c>
      <c r="D444" s="218" t="b">
        <v>1</v>
      </c>
      <c r="E444" s="236" t="b">
        <v>0</v>
      </c>
      <c r="F444" s="236"/>
      <c r="G444" s="173"/>
      <c r="H444" s="244" t="s">
        <v>6156</v>
      </c>
      <c r="I444" s="244">
        <f t="shared" si="3"/>
        <v>1504</v>
      </c>
      <c r="J444" s="244">
        <v>2025.0</v>
      </c>
      <c r="K444" s="173"/>
    </row>
    <row r="445">
      <c r="A445" s="218">
        <f t="shared" si="2"/>
        <v>442</v>
      </c>
      <c r="B445" s="243" t="s">
        <v>71</v>
      </c>
      <c r="C445" s="236" t="str">
        <f t="shared" si="1"/>
        <v>PC/1505/2025</v>
      </c>
      <c r="D445" s="218" t="b">
        <v>1</v>
      </c>
      <c r="E445" s="236" t="b">
        <v>0</v>
      </c>
      <c r="F445" s="236"/>
      <c r="G445" s="173"/>
      <c r="H445" s="244" t="s">
        <v>6156</v>
      </c>
      <c r="I445" s="244">
        <f t="shared" si="3"/>
        <v>1505</v>
      </c>
      <c r="J445" s="244">
        <v>2025.0</v>
      </c>
      <c r="K445" s="173"/>
    </row>
    <row r="446">
      <c r="A446" s="218">
        <f t="shared" si="2"/>
        <v>443</v>
      </c>
      <c r="B446" s="243" t="s">
        <v>71</v>
      </c>
      <c r="C446" s="236" t="str">
        <f t="shared" si="1"/>
        <v>PC/1506/2025</v>
      </c>
      <c r="D446" s="243" t="b">
        <v>1</v>
      </c>
      <c r="E446" s="236" t="b">
        <v>0</v>
      </c>
      <c r="F446" s="234">
        <v>45999.0</v>
      </c>
      <c r="G446" s="173"/>
      <c r="H446" s="244" t="s">
        <v>6156</v>
      </c>
      <c r="I446" s="244">
        <f t="shared" si="3"/>
        <v>1506</v>
      </c>
      <c r="J446" s="244">
        <v>2025.0</v>
      </c>
      <c r="K446" s="173"/>
    </row>
    <row r="447">
      <c r="A447" s="218">
        <f t="shared" si="2"/>
        <v>444</v>
      </c>
      <c r="B447" s="243" t="s">
        <v>71</v>
      </c>
      <c r="C447" s="236" t="str">
        <f t="shared" si="1"/>
        <v>PC/1507/2025</v>
      </c>
      <c r="D447" s="243" t="b">
        <v>1</v>
      </c>
      <c r="E447" s="236" t="b">
        <v>0</v>
      </c>
      <c r="F447" s="234">
        <v>45999.0</v>
      </c>
      <c r="G447" s="173"/>
      <c r="H447" s="244" t="s">
        <v>6156</v>
      </c>
      <c r="I447" s="244">
        <f t="shared" si="3"/>
        <v>1507</v>
      </c>
      <c r="J447" s="244">
        <v>2025.0</v>
      </c>
      <c r="K447" s="173"/>
    </row>
    <row r="448">
      <c r="A448" s="218">
        <f t="shared" si="2"/>
        <v>445</v>
      </c>
      <c r="B448" s="243" t="s">
        <v>71</v>
      </c>
      <c r="C448" s="236" t="str">
        <f t="shared" si="1"/>
        <v>PC/1508/2025</v>
      </c>
      <c r="D448" s="243" t="b">
        <v>1</v>
      </c>
      <c r="E448" s="236" t="b">
        <v>0</v>
      </c>
      <c r="F448" s="236"/>
      <c r="G448" s="173"/>
      <c r="H448" s="244" t="s">
        <v>6156</v>
      </c>
      <c r="I448" s="244">
        <f t="shared" si="3"/>
        <v>1508</v>
      </c>
      <c r="J448" s="244">
        <v>2025.0</v>
      </c>
      <c r="K448" s="173"/>
    </row>
    <row r="449">
      <c r="A449" s="218">
        <f t="shared" si="2"/>
        <v>446</v>
      </c>
      <c r="B449" s="243" t="s">
        <v>71</v>
      </c>
      <c r="C449" s="236" t="str">
        <f t="shared" si="1"/>
        <v>PC/1509/2025</v>
      </c>
      <c r="D449" s="243" t="b">
        <v>1</v>
      </c>
      <c r="E449" s="236" t="b">
        <v>0</v>
      </c>
      <c r="F449" s="234">
        <v>45999.0</v>
      </c>
      <c r="G449" s="173"/>
      <c r="H449" s="244" t="s">
        <v>6156</v>
      </c>
      <c r="I449" s="244">
        <f t="shared" si="3"/>
        <v>1509</v>
      </c>
      <c r="J449" s="244">
        <v>2025.0</v>
      </c>
      <c r="K449" s="173"/>
    </row>
    <row r="450">
      <c r="A450" s="218">
        <f t="shared" si="2"/>
        <v>447</v>
      </c>
      <c r="B450" s="243" t="s">
        <v>71</v>
      </c>
      <c r="C450" s="236" t="str">
        <f t="shared" si="1"/>
        <v>PC/1510/2025</v>
      </c>
      <c r="D450" s="243" t="b">
        <v>1</v>
      </c>
      <c r="E450" s="236" t="b">
        <v>0</v>
      </c>
      <c r="F450" s="234">
        <v>45999.0</v>
      </c>
      <c r="G450" s="173"/>
      <c r="H450" s="244" t="s">
        <v>6156</v>
      </c>
      <c r="I450" s="244">
        <f t="shared" si="3"/>
        <v>1510</v>
      </c>
      <c r="J450" s="244">
        <v>2025.0</v>
      </c>
      <c r="K450" s="173"/>
    </row>
    <row r="451">
      <c r="A451" s="218">
        <f t="shared" si="2"/>
        <v>448</v>
      </c>
      <c r="B451" s="243" t="s">
        <v>71</v>
      </c>
      <c r="C451" s="236" t="str">
        <f t="shared" si="1"/>
        <v>PC/1511/2025</v>
      </c>
      <c r="D451" s="243" t="b">
        <v>1</v>
      </c>
      <c r="E451" s="236" t="b">
        <v>0</v>
      </c>
      <c r="F451" s="234">
        <v>45999.0</v>
      </c>
      <c r="G451" s="173"/>
      <c r="H451" s="244" t="s">
        <v>6156</v>
      </c>
      <c r="I451" s="244">
        <f t="shared" si="3"/>
        <v>1511</v>
      </c>
      <c r="J451" s="244">
        <v>2025.0</v>
      </c>
      <c r="K451" s="173"/>
    </row>
    <row r="452">
      <c r="A452" s="218">
        <f t="shared" si="2"/>
        <v>449</v>
      </c>
      <c r="B452" s="243" t="s">
        <v>71</v>
      </c>
      <c r="C452" s="236" t="str">
        <f t="shared" si="1"/>
        <v>PC/1512/2025</v>
      </c>
      <c r="D452" s="243" t="b">
        <v>1</v>
      </c>
      <c r="E452" s="236" t="b">
        <v>0</v>
      </c>
      <c r="F452" s="234">
        <v>45999.0</v>
      </c>
      <c r="G452" s="173"/>
      <c r="H452" s="244" t="s">
        <v>6156</v>
      </c>
      <c r="I452" s="244">
        <f t="shared" si="3"/>
        <v>1512</v>
      </c>
      <c r="J452" s="244">
        <v>2025.0</v>
      </c>
      <c r="K452" s="173"/>
    </row>
    <row r="453">
      <c r="A453" s="218">
        <f t="shared" si="2"/>
        <v>450</v>
      </c>
      <c r="B453" s="243" t="s">
        <v>71</v>
      </c>
      <c r="C453" s="245" t="str">
        <f t="shared" si="1"/>
        <v>PC/1513/2026</v>
      </c>
      <c r="D453" s="246" t="b">
        <v>1</v>
      </c>
      <c r="E453" s="246" t="b">
        <v>0</v>
      </c>
      <c r="F453" s="247">
        <v>46079.0</v>
      </c>
      <c r="G453" s="248"/>
      <c r="H453" s="249" t="s">
        <v>6156</v>
      </c>
      <c r="I453" s="249">
        <f t="shared" si="3"/>
        <v>1513</v>
      </c>
      <c r="J453" s="249">
        <v>2026.0</v>
      </c>
      <c r="K453" s="173"/>
    </row>
    <row r="454">
      <c r="A454" s="218">
        <f t="shared" si="2"/>
        <v>451</v>
      </c>
      <c r="B454" s="243" t="s">
        <v>71</v>
      </c>
      <c r="C454" s="236" t="str">
        <f t="shared" si="1"/>
        <v>PC/1514/2026</v>
      </c>
      <c r="D454" s="243" t="b">
        <v>1</v>
      </c>
      <c r="E454" s="236" t="b">
        <v>0</v>
      </c>
      <c r="F454" s="234">
        <v>46079.0</v>
      </c>
      <c r="G454" s="173"/>
      <c r="H454" s="244" t="s">
        <v>6156</v>
      </c>
      <c r="I454" s="244">
        <f t="shared" si="3"/>
        <v>1514</v>
      </c>
      <c r="J454" s="244">
        <v>2026.0</v>
      </c>
      <c r="K454" s="173"/>
    </row>
    <row r="455">
      <c r="A455" s="218">
        <f t="shared" si="2"/>
        <v>452</v>
      </c>
      <c r="B455" s="243" t="s">
        <v>71</v>
      </c>
      <c r="C455" s="236" t="str">
        <f t="shared" si="1"/>
        <v>PC/1515/2026</v>
      </c>
      <c r="D455" s="243" t="b">
        <v>1</v>
      </c>
      <c r="E455" s="236" t="b">
        <v>0</v>
      </c>
      <c r="F455" s="234">
        <v>46079.0</v>
      </c>
      <c r="G455" s="173"/>
      <c r="H455" s="244" t="s">
        <v>6156</v>
      </c>
      <c r="I455" s="244">
        <f t="shared" si="3"/>
        <v>1515</v>
      </c>
      <c r="J455" s="244">
        <v>2026.0</v>
      </c>
      <c r="K455" s="173"/>
    </row>
    <row r="456">
      <c r="A456" s="218">
        <f t="shared" si="2"/>
        <v>453</v>
      </c>
      <c r="B456" s="243" t="s">
        <v>71</v>
      </c>
      <c r="C456" s="236" t="str">
        <f t="shared" si="1"/>
        <v>PC/1516/2026</v>
      </c>
      <c r="D456" s="243" t="b">
        <v>1</v>
      </c>
      <c r="E456" s="236" t="b">
        <v>0</v>
      </c>
      <c r="F456" s="234">
        <v>46079.0</v>
      </c>
      <c r="G456" s="173"/>
      <c r="H456" s="244" t="s">
        <v>6156</v>
      </c>
      <c r="I456" s="244">
        <f t="shared" si="3"/>
        <v>1516</v>
      </c>
      <c r="J456" s="244">
        <v>2026.0</v>
      </c>
      <c r="K456" s="173"/>
    </row>
    <row r="457">
      <c r="A457" s="218">
        <f t="shared" si="2"/>
        <v>454</v>
      </c>
      <c r="B457" s="243" t="s">
        <v>71</v>
      </c>
      <c r="C457" s="236" t="str">
        <f t="shared" si="1"/>
        <v>PC/1517/2026</v>
      </c>
      <c r="D457" s="243" t="b">
        <v>1</v>
      </c>
      <c r="E457" s="236" t="b">
        <v>0</v>
      </c>
      <c r="F457" s="234">
        <v>46079.0</v>
      </c>
      <c r="G457" s="173"/>
      <c r="H457" s="244" t="s">
        <v>6156</v>
      </c>
      <c r="I457" s="244">
        <f t="shared" si="3"/>
        <v>1517</v>
      </c>
      <c r="J457" s="244">
        <v>2026.0</v>
      </c>
      <c r="K457" s="173"/>
    </row>
    <row r="458">
      <c r="A458" s="218">
        <f t="shared" si="2"/>
        <v>455</v>
      </c>
      <c r="B458" s="243" t="s">
        <v>71</v>
      </c>
      <c r="C458" s="236" t="str">
        <f t="shared" si="1"/>
        <v>PC/1518/2026</v>
      </c>
      <c r="D458" s="243" t="b">
        <v>1</v>
      </c>
      <c r="E458" s="236" t="b">
        <v>0</v>
      </c>
      <c r="F458" s="234">
        <v>46079.0</v>
      </c>
      <c r="G458" s="173"/>
      <c r="H458" s="244" t="s">
        <v>6156</v>
      </c>
      <c r="I458" s="244">
        <f t="shared" si="3"/>
        <v>1518</v>
      </c>
      <c r="J458" s="244">
        <v>2026.0</v>
      </c>
      <c r="K458" s="173"/>
    </row>
    <row r="459">
      <c r="A459" s="218">
        <f t="shared" si="2"/>
        <v>456</v>
      </c>
      <c r="B459" s="243" t="s">
        <v>71</v>
      </c>
      <c r="C459" s="236" t="str">
        <f t="shared" si="1"/>
        <v>PC/1519/2026</v>
      </c>
      <c r="D459" s="243" t="b">
        <v>1</v>
      </c>
      <c r="E459" s="236" t="b">
        <v>0</v>
      </c>
      <c r="F459" s="234">
        <v>46079.0</v>
      </c>
      <c r="G459" s="173"/>
      <c r="H459" s="244" t="s">
        <v>6156</v>
      </c>
      <c r="I459" s="244">
        <f t="shared" si="3"/>
        <v>1519</v>
      </c>
      <c r="J459" s="244">
        <v>2026.0</v>
      </c>
      <c r="K459" s="173"/>
    </row>
    <row r="460">
      <c r="A460" s="218">
        <f t="shared" si="2"/>
        <v>457</v>
      </c>
      <c r="B460" s="243" t="s">
        <v>71</v>
      </c>
      <c r="C460" s="236" t="str">
        <f t="shared" si="1"/>
        <v>PC/1520/2026</v>
      </c>
      <c r="D460" s="243" t="b">
        <v>1</v>
      </c>
      <c r="E460" s="236" t="b">
        <v>0</v>
      </c>
      <c r="F460" s="234">
        <v>46079.0</v>
      </c>
      <c r="G460" s="173"/>
      <c r="H460" s="244" t="s">
        <v>6156</v>
      </c>
      <c r="I460" s="244">
        <f t="shared" si="3"/>
        <v>1520</v>
      </c>
      <c r="J460" s="244">
        <v>2026.0</v>
      </c>
      <c r="K460" s="173"/>
    </row>
    <row r="461">
      <c r="A461" s="218">
        <f t="shared" si="2"/>
        <v>458</v>
      </c>
      <c r="B461" s="243" t="s">
        <v>71</v>
      </c>
      <c r="C461" s="236" t="str">
        <f t="shared" si="1"/>
        <v>PC/1521/2026</v>
      </c>
      <c r="D461" s="243" t="b">
        <v>1</v>
      </c>
      <c r="E461" s="236" t="b">
        <v>0</v>
      </c>
      <c r="F461" s="234">
        <v>46079.0</v>
      </c>
      <c r="G461" s="173"/>
      <c r="H461" s="244" t="s">
        <v>6156</v>
      </c>
      <c r="I461" s="244">
        <f t="shared" si="3"/>
        <v>1521</v>
      </c>
      <c r="J461" s="244">
        <v>2026.0</v>
      </c>
      <c r="K461" s="173"/>
    </row>
    <row r="462">
      <c r="A462" s="218">
        <f t="shared" si="2"/>
        <v>459</v>
      </c>
      <c r="B462" s="243" t="s">
        <v>71</v>
      </c>
      <c r="C462" s="236" t="str">
        <f t="shared" si="1"/>
        <v>PC/1522/2026</v>
      </c>
      <c r="D462" s="243" t="b">
        <v>1</v>
      </c>
      <c r="E462" s="236" t="b">
        <v>0</v>
      </c>
      <c r="F462" s="234">
        <v>46079.0</v>
      </c>
      <c r="G462" s="173"/>
      <c r="H462" s="244" t="s">
        <v>6156</v>
      </c>
      <c r="I462" s="244">
        <f t="shared" si="3"/>
        <v>1522</v>
      </c>
      <c r="J462" s="244">
        <v>2026.0</v>
      </c>
      <c r="K462" s="173"/>
    </row>
    <row r="463">
      <c r="A463" s="218">
        <f t="shared" si="2"/>
        <v>460</v>
      </c>
      <c r="B463" s="243" t="s">
        <v>71</v>
      </c>
      <c r="C463" s="236" t="str">
        <f t="shared" si="1"/>
        <v>PC/1523/2026</v>
      </c>
      <c r="D463" s="243" t="b">
        <v>1</v>
      </c>
      <c r="E463" s="236" t="b">
        <v>0</v>
      </c>
      <c r="F463" s="234">
        <v>46079.0</v>
      </c>
      <c r="G463" s="173"/>
      <c r="H463" s="244" t="s">
        <v>6156</v>
      </c>
      <c r="I463" s="244">
        <f t="shared" si="3"/>
        <v>1523</v>
      </c>
      <c r="J463" s="244">
        <v>2026.0</v>
      </c>
      <c r="K463" s="173"/>
    </row>
    <row r="464">
      <c r="A464" s="218">
        <f t="shared" si="2"/>
        <v>461</v>
      </c>
      <c r="B464" s="243" t="s">
        <v>71</v>
      </c>
      <c r="C464" s="236" t="str">
        <f t="shared" si="1"/>
        <v>PC/1524/2026</v>
      </c>
      <c r="D464" s="243" t="b">
        <v>1</v>
      </c>
      <c r="E464" s="236" t="b">
        <v>0</v>
      </c>
      <c r="F464" s="234">
        <v>46079.0</v>
      </c>
      <c r="G464" s="173"/>
      <c r="H464" s="244" t="s">
        <v>6156</v>
      </c>
      <c r="I464" s="244">
        <f t="shared" si="3"/>
        <v>1524</v>
      </c>
      <c r="J464" s="244">
        <v>2026.0</v>
      </c>
      <c r="K464" s="173"/>
    </row>
    <row r="465">
      <c r="A465" s="218">
        <f t="shared" si="2"/>
        <v>462</v>
      </c>
      <c r="B465" s="243" t="s">
        <v>71</v>
      </c>
      <c r="C465" s="236" t="str">
        <f t="shared" si="1"/>
        <v>PC/1525/2026</v>
      </c>
      <c r="D465" s="243" t="b">
        <v>1</v>
      </c>
      <c r="E465" s="236" t="b">
        <v>0</v>
      </c>
      <c r="F465" s="234">
        <v>46079.0</v>
      </c>
      <c r="G465" s="173"/>
      <c r="H465" s="244" t="s">
        <v>6156</v>
      </c>
      <c r="I465" s="244">
        <f t="shared" si="3"/>
        <v>1525</v>
      </c>
      <c r="J465" s="244">
        <v>2026.0</v>
      </c>
      <c r="K465" s="173"/>
    </row>
    <row r="466">
      <c r="A466" s="218">
        <f t="shared" si="2"/>
        <v>463</v>
      </c>
      <c r="B466" s="243" t="s">
        <v>71</v>
      </c>
      <c r="C466" s="236" t="str">
        <f t="shared" si="1"/>
        <v>PC/1526/2026</v>
      </c>
      <c r="D466" s="243" t="b">
        <v>1</v>
      </c>
      <c r="E466" s="236" t="b">
        <v>0</v>
      </c>
      <c r="F466" s="234">
        <v>46079.0</v>
      </c>
      <c r="G466" s="173"/>
      <c r="H466" s="244" t="s">
        <v>6156</v>
      </c>
      <c r="I466" s="244">
        <f t="shared" si="3"/>
        <v>1526</v>
      </c>
      <c r="J466" s="244">
        <v>2026.0</v>
      </c>
      <c r="K466" s="173"/>
    </row>
    <row r="467">
      <c r="A467" s="218">
        <f t="shared" si="2"/>
        <v>464</v>
      </c>
      <c r="B467" s="243" t="s">
        <v>71</v>
      </c>
      <c r="C467" s="236" t="str">
        <f t="shared" si="1"/>
        <v>PC/1527/2026</v>
      </c>
      <c r="D467" s="243" t="b">
        <v>1</v>
      </c>
      <c r="E467" s="236" t="b">
        <v>0</v>
      </c>
      <c r="F467" s="234">
        <v>46079.0</v>
      </c>
      <c r="G467" s="173"/>
      <c r="H467" s="244" t="s">
        <v>6156</v>
      </c>
      <c r="I467" s="244">
        <f t="shared" si="3"/>
        <v>1527</v>
      </c>
      <c r="J467" s="244">
        <v>2026.0</v>
      </c>
      <c r="K467" s="173"/>
    </row>
    <row r="468">
      <c r="A468" s="218">
        <f t="shared" si="2"/>
        <v>465</v>
      </c>
      <c r="B468" s="243" t="s">
        <v>71</v>
      </c>
      <c r="C468" s="236" t="str">
        <f t="shared" si="1"/>
        <v>PC/1528/2026</v>
      </c>
      <c r="D468" s="243" t="b">
        <v>1</v>
      </c>
      <c r="E468" s="236" t="b">
        <v>0</v>
      </c>
      <c r="F468" s="234">
        <v>46079.0</v>
      </c>
      <c r="G468" s="173"/>
      <c r="H468" s="244" t="s">
        <v>6156</v>
      </c>
      <c r="I468" s="244">
        <f t="shared" si="3"/>
        <v>1528</v>
      </c>
      <c r="J468" s="244">
        <v>2026.0</v>
      </c>
      <c r="K468" s="173"/>
    </row>
    <row r="469">
      <c r="A469" s="218">
        <f t="shared" si="2"/>
        <v>466</v>
      </c>
      <c r="B469" s="243" t="s">
        <v>71</v>
      </c>
      <c r="C469" s="236" t="str">
        <f t="shared" si="1"/>
        <v>PC/1529/2026</v>
      </c>
      <c r="D469" s="243" t="b">
        <v>1</v>
      </c>
      <c r="E469" s="236" t="b">
        <v>0</v>
      </c>
      <c r="F469" s="234">
        <v>46079.0</v>
      </c>
      <c r="G469" s="173"/>
      <c r="H469" s="244" t="s">
        <v>6156</v>
      </c>
      <c r="I469" s="244">
        <f t="shared" si="3"/>
        <v>1529</v>
      </c>
      <c r="J469" s="244">
        <v>2026.0</v>
      </c>
      <c r="K469" s="173"/>
    </row>
    <row r="470">
      <c r="A470" s="218">
        <f t="shared" si="2"/>
        <v>467</v>
      </c>
      <c r="B470" s="243" t="s">
        <v>71</v>
      </c>
      <c r="C470" s="236" t="str">
        <f t="shared" si="1"/>
        <v>PC/1530/2026</v>
      </c>
      <c r="D470" s="243" t="b">
        <v>1</v>
      </c>
      <c r="E470" s="236" t="b">
        <v>0</v>
      </c>
      <c r="F470" s="234">
        <v>46079.0</v>
      </c>
      <c r="G470" s="173"/>
      <c r="H470" s="244" t="s">
        <v>6156</v>
      </c>
      <c r="I470" s="244">
        <f t="shared" si="3"/>
        <v>1530</v>
      </c>
      <c r="J470" s="244">
        <v>2026.0</v>
      </c>
      <c r="K470" s="173"/>
    </row>
    <row r="471">
      <c r="A471" s="218">
        <f t="shared" si="2"/>
        <v>468</v>
      </c>
      <c r="B471" s="243" t="s">
        <v>71</v>
      </c>
      <c r="C471" s="236" t="str">
        <f t="shared" si="1"/>
        <v>PC/1531/2026</v>
      </c>
      <c r="D471" s="243" t="b">
        <v>1</v>
      </c>
      <c r="E471" s="236" t="b">
        <v>0</v>
      </c>
      <c r="F471" s="234">
        <v>46079.0</v>
      </c>
      <c r="G471" s="173"/>
      <c r="H471" s="244" t="s">
        <v>6156</v>
      </c>
      <c r="I471" s="244">
        <f t="shared" si="3"/>
        <v>1531</v>
      </c>
      <c r="J471" s="244">
        <v>2026.0</v>
      </c>
      <c r="K471" s="173"/>
    </row>
    <row r="472">
      <c r="A472" s="218">
        <f t="shared" si="2"/>
        <v>469</v>
      </c>
      <c r="B472" s="243" t="s">
        <v>71</v>
      </c>
      <c r="C472" s="236" t="str">
        <f t="shared" si="1"/>
        <v>PC/1532/2026</v>
      </c>
      <c r="D472" s="243" t="b">
        <v>1</v>
      </c>
      <c r="E472" s="236" t="b">
        <v>0</v>
      </c>
      <c r="F472" s="234">
        <v>46079.0</v>
      </c>
      <c r="G472" s="173"/>
      <c r="H472" s="244" t="s">
        <v>6156</v>
      </c>
      <c r="I472" s="244">
        <f t="shared" si="3"/>
        <v>1532</v>
      </c>
      <c r="J472" s="244">
        <v>2026.0</v>
      </c>
      <c r="K472" s="173"/>
    </row>
    <row r="473">
      <c r="A473" s="218">
        <f t="shared" si="2"/>
        <v>470</v>
      </c>
      <c r="B473" s="243" t="s">
        <v>71</v>
      </c>
      <c r="C473" s="236" t="str">
        <f t="shared" si="1"/>
        <v>PC/1533/2026</v>
      </c>
      <c r="D473" s="243" t="b">
        <v>1</v>
      </c>
      <c r="E473" s="236" t="b">
        <v>0</v>
      </c>
      <c r="F473" s="234">
        <v>46079.0</v>
      </c>
      <c r="G473" s="173"/>
      <c r="H473" s="244" t="s">
        <v>6156</v>
      </c>
      <c r="I473" s="244">
        <f t="shared" si="3"/>
        <v>1533</v>
      </c>
      <c r="J473" s="244">
        <v>2026.0</v>
      </c>
      <c r="K473" s="173"/>
    </row>
    <row r="474">
      <c r="A474" s="218">
        <f t="shared" si="2"/>
        <v>471</v>
      </c>
      <c r="B474" s="243" t="s">
        <v>71</v>
      </c>
      <c r="C474" s="236" t="str">
        <f t="shared" si="1"/>
        <v>PC/1534/2026</v>
      </c>
      <c r="D474" s="243" t="b">
        <v>1</v>
      </c>
      <c r="E474" s="236" t="b">
        <v>0</v>
      </c>
      <c r="F474" s="234">
        <v>46079.0</v>
      </c>
      <c r="G474" s="173"/>
      <c r="H474" s="244" t="s">
        <v>6156</v>
      </c>
      <c r="I474" s="244">
        <f t="shared" si="3"/>
        <v>1534</v>
      </c>
      <c r="J474" s="244">
        <v>2026.0</v>
      </c>
      <c r="K474" s="173"/>
    </row>
    <row r="475">
      <c r="A475" s="218">
        <f t="shared" si="2"/>
        <v>472</v>
      </c>
      <c r="B475" s="243" t="s">
        <v>71</v>
      </c>
      <c r="C475" s="236" t="str">
        <f t="shared" si="1"/>
        <v>PC/1535/2026</v>
      </c>
      <c r="D475" s="243" t="b">
        <v>1</v>
      </c>
      <c r="E475" s="236" t="b">
        <v>0</v>
      </c>
      <c r="F475" s="234">
        <v>46079.0</v>
      </c>
      <c r="G475" s="173"/>
      <c r="H475" s="244" t="s">
        <v>6156</v>
      </c>
      <c r="I475" s="244">
        <f t="shared" si="3"/>
        <v>1535</v>
      </c>
      <c r="J475" s="244">
        <v>2026.0</v>
      </c>
      <c r="K475" s="173"/>
    </row>
    <row r="476">
      <c r="A476" s="218">
        <f t="shared" si="2"/>
        <v>473</v>
      </c>
      <c r="B476" s="243" t="s">
        <v>71</v>
      </c>
      <c r="C476" s="236" t="str">
        <f t="shared" si="1"/>
        <v>PC/1536/2026</v>
      </c>
      <c r="D476" s="243" t="b">
        <v>1</v>
      </c>
      <c r="E476" s="236" t="b">
        <v>0</v>
      </c>
      <c r="F476" s="234">
        <v>46079.0</v>
      </c>
      <c r="G476" s="173"/>
      <c r="H476" s="244" t="s">
        <v>6156</v>
      </c>
      <c r="I476" s="244">
        <f t="shared" si="3"/>
        <v>1536</v>
      </c>
      <c r="J476" s="244">
        <v>2026.0</v>
      </c>
      <c r="K476" s="173"/>
    </row>
    <row r="477">
      <c r="A477" s="218">
        <f t="shared" si="2"/>
        <v>474</v>
      </c>
      <c r="B477" s="243" t="s">
        <v>71</v>
      </c>
      <c r="C477" s="236" t="str">
        <f t="shared" si="1"/>
        <v>PC/1537/2026</v>
      </c>
      <c r="D477" s="243" t="b">
        <v>1</v>
      </c>
      <c r="E477" s="236" t="b">
        <v>0</v>
      </c>
      <c r="F477" s="234">
        <v>46079.0</v>
      </c>
      <c r="G477" s="173"/>
      <c r="H477" s="244" t="s">
        <v>6156</v>
      </c>
      <c r="I477" s="244">
        <f t="shared" si="3"/>
        <v>1537</v>
      </c>
      <c r="J477" s="244">
        <v>2026.0</v>
      </c>
      <c r="K477" s="173"/>
    </row>
    <row r="478">
      <c r="A478" s="218">
        <f t="shared" si="2"/>
        <v>475</v>
      </c>
      <c r="B478" s="243" t="s">
        <v>71</v>
      </c>
      <c r="C478" s="236" t="str">
        <f t="shared" si="1"/>
        <v>PC/1538/2026</v>
      </c>
      <c r="D478" s="243" t="b">
        <v>1</v>
      </c>
      <c r="E478" s="236" t="b">
        <v>0</v>
      </c>
      <c r="F478" s="234">
        <v>46079.0</v>
      </c>
      <c r="G478" s="173"/>
      <c r="H478" s="244" t="s">
        <v>6156</v>
      </c>
      <c r="I478" s="244">
        <f t="shared" si="3"/>
        <v>1538</v>
      </c>
      <c r="J478" s="244">
        <v>2026.0</v>
      </c>
      <c r="K478" s="173"/>
    </row>
    <row r="479">
      <c r="A479" s="218">
        <f t="shared" si="2"/>
        <v>476</v>
      </c>
      <c r="B479" s="243" t="s">
        <v>71</v>
      </c>
      <c r="C479" s="236" t="str">
        <f t="shared" si="1"/>
        <v>PC/1539/2026</v>
      </c>
      <c r="D479" s="243" t="b">
        <v>1</v>
      </c>
      <c r="E479" s="236" t="b">
        <v>0</v>
      </c>
      <c r="F479" s="234">
        <v>46079.0</v>
      </c>
      <c r="G479" s="173"/>
      <c r="H479" s="244" t="s">
        <v>6156</v>
      </c>
      <c r="I479" s="244">
        <f t="shared" si="3"/>
        <v>1539</v>
      </c>
      <c r="J479" s="244">
        <v>2026.0</v>
      </c>
      <c r="K479" s="173"/>
    </row>
    <row r="480">
      <c r="A480" s="218">
        <f t="shared" si="2"/>
        <v>477</v>
      </c>
      <c r="B480" s="243" t="s">
        <v>71</v>
      </c>
      <c r="C480" s="236" t="str">
        <f t="shared" si="1"/>
        <v>PC/1540/2026</v>
      </c>
      <c r="D480" s="243" t="b">
        <v>1</v>
      </c>
      <c r="E480" s="236" t="b">
        <v>0</v>
      </c>
      <c r="F480" s="234">
        <v>46079.0</v>
      </c>
      <c r="G480" s="173"/>
      <c r="H480" s="244" t="s">
        <v>6156</v>
      </c>
      <c r="I480" s="244">
        <f t="shared" si="3"/>
        <v>1540</v>
      </c>
      <c r="J480" s="244">
        <v>2026.0</v>
      </c>
      <c r="K480" s="173"/>
    </row>
    <row r="481">
      <c r="A481" s="218">
        <f t="shared" si="2"/>
        <v>478</v>
      </c>
      <c r="B481" s="243" t="s">
        <v>71</v>
      </c>
      <c r="C481" s="236" t="str">
        <f t="shared" si="1"/>
        <v>PC/1541/2026</v>
      </c>
      <c r="D481" s="243" t="b">
        <v>1</v>
      </c>
      <c r="E481" s="236" t="b">
        <v>0</v>
      </c>
      <c r="F481" s="234">
        <v>46079.0</v>
      </c>
      <c r="G481" s="173"/>
      <c r="H481" s="244" t="s">
        <v>6156</v>
      </c>
      <c r="I481" s="244">
        <f t="shared" si="3"/>
        <v>1541</v>
      </c>
      <c r="J481" s="244">
        <v>2026.0</v>
      </c>
      <c r="K481" s="173"/>
    </row>
    <row r="482">
      <c r="A482" s="218">
        <f t="shared" si="2"/>
        <v>479</v>
      </c>
      <c r="B482" s="243" t="s">
        <v>71</v>
      </c>
      <c r="C482" s="236" t="str">
        <f t="shared" si="1"/>
        <v>PC/1542/2026</v>
      </c>
      <c r="D482" s="243" t="b">
        <v>1</v>
      </c>
      <c r="E482" s="236" t="b">
        <v>0</v>
      </c>
      <c r="F482" s="234">
        <v>46079.0</v>
      </c>
      <c r="G482" s="173"/>
      <c r="H482" s="244" t="s">
        <v>6156</v>
      </c>
      <c r="I482" s="244">
        <f t="shared" si="3"/>
        <v>1542</v>
      </c>
      <c r="J482" s="244">
        <v>2026.0</v>
      </c>
      <c r="K482" s="173"/>
    </row>
    <row r="483">
      <c r="A483" s="218">
        <f t="shared" si="2"/>
        <v>480</v>
      </c>
      <c r="B483" s="243" t="s">
        <v>71</v>
      </c>
      <c r="C483" s="236" t="str">
        <f t="shared" si="1"/>
        <v>PC/1543/2026</v>
      </c>
      <c r="D483" s="243" t="b">
        <v>1</v>
      </c>
      <c r="E483" s="236" t="b">
        <v>0</v>
      </c>
      <c r="F483" s="234">
        <v>46079.0</v>
      </c>
      <c r="G483" s="173"/>
      <c r="H483" s="244" t="s">
        <v>6156</v>
      </c>
      <c r="I483" s="244">
        <f t="shared" si="3"/>
        <v>1543</v>
      </c>
      <c r="J483" s="244">
        <v>2026.0</v>
      </c>
      <c r="K483" s="173"/>
    </row>
    <row r="484">
      <c r="A484" s="218">
        <f t="shared" si="2"/>
        <v>481</v>
      </c>
      <c r="B484" s="243" t="s">
        <v>71</v>
      </c>
      <c r="C484" s="236" t="str">
        <f t="shared" si="1"/>
        <v>PC/1544/2026</v>
      </c>
      <c r="D484" s="243" t="b">
        <v>1</v>
      </c>
      <c r="E484" s="236" t="b">
        <v>0</v>
      </c>
      <c r="F484" s="234">
        <v>46079.0</v>
      </c>
      <c r="G484" s="173"/>
      <c r="H484" s="244" t="s">
        <v>6156</v>
      </c>
      <c r="I484" s="244">
        <f t="shared" si="3"/>
        <v>1544</v>
      </c>
      <c r="J484" s="244">
        <v>2026.0</v>
      </c>
      <c r="K484" s="173"/>
    </row>
    <row r="485">
      <c r="A485" s="218">
        <f t="shared" si="2"/>
        <v>482</v>
      </c>
      <c r="B485" s="243" t="s">
        <v>71</v>
      </c>
      <c r="C485" s="236" t="str">
        <f t="shared" si="1"/>
        <v>PC/1545/2026</v>
      </c>
      <c r="D485" s="243" t="b">
        <v>1</v>
      </c>
      <c r="E485" s="236" t="b">
        <v>0</v>
      </c>
      <c r="F485" s="234">
        <v>46079.0</v>
      </c>
      <c r="G485" s="173"/>
      <c r="H485" s="244" t="s">
        <v>6156</v>
      </c>
      <c r="I485" s="244">
        <f t="shared" si="3"/>
        <v>1545</v>
      </c>
      <c r="J485" s="244">
        <v>2026.0</v>
      </c>
      <c r="K485" s="173"/>
    </row>
    <row r="486">
      <c r="A486" s="218">
        <f t="shared" si="2"/>
        <v>483</v>
      </c>
      <c r="B486" s="243" t="s">
        <v>71</v>
      </c>
      <c r="C486" s="236" t="str">
        <f t="shared" si="1"/>
        <v>PC/1546/2026</v>
      </c>
      <c r="D486" s="243" t="b">
        <v>1</v>
      </c>
      <c r="E486" s="236" t="b">
        <v>0</v>
      </c>
      <c r="F486" s="234">
        <v>46079.0</v>
      </c>
      <c r="G486" s="173"/>
      <c r="H486" s="244" t="s">
        <v>6156</v>
      </c>
      <c r="I486" s="244">
        <f t="shared" si="3"/>
        <v>1546</v>
      </c>
      <c r="J486" s="244">
        <v>2026.0</v>
      </c>
      <c r="K486" s="173"/>
    </row>
    <row r="487">
      <c r="A487" s="218">
        <f t="shared" si="2"/>
        <v>484</v>
      </c>
      <c r="B487" s="243" t="s">
        <v>71</v>
      </c>
      <c r="C487" s="236" t="str">
        <f t="shared" si="1"/>
        <v>PC/1547/2026</v>
      </c>
      <c r="D487" s="243" t="b">
        <v>1</v>
      </c>
      <c r="E487" s="236" t="b">
        <v>0</v>
      </c>
      <c r="F487" s="234">
        <v>46079.0</v>
      </c>
      <c r="G487" s="173"/>
      <c r="H487" s="244" t="s">
        <v>6156</v>
      </c>
      <c r="I487" s="244">
        <f t="shared" si="3"/>
        <v>1547</v>
      </c>
      <c r="J487" s="244">
        <v>2026.0</v>
      </c>
      <c r="K487" s="173"/>
    </row>
    <row r="488">
      <c r="A488" s="218">
        <f t="shared" si="2"/>
        <v>485</v>
      </c>
      <c r="B488" s="243" t="s">
        <v>71</v>
      </c>
      <c r="C488" s="236" t="str">
        <f t="shared" si="1"/>
        <v>PC/1548/2026</v>
      </c>
      <c r="D488" s="243" t="b">
        <v>1</v>
      </c>
      <c r="E488" s="236" t="b">
        <v>0</v>
      </c>
      <c r="F488" s="234">
        <v>46079.0</v>
      </c>
      <c r="G488" s="173"/>
      <c r="H488" s="244" t="s">
        <v>6156</v>
      </c>
      <c r="I488" s="244">
        <f t="shared" si="3"/>
        <v>1548</v>
      </c>
      <c r="J488" s="244">
        <v>2026.0</v>
      </c>
      <c r="K488" s="173"/>
    </row>
    <row r="489">
      <c r="A489" s="218">
        <f t="shared" si="2"/>
        <v>486</v>
      </c>
      <c r="B489" s="243" t="s">
        <v>71</v>
      </c>
      <c r="C489" s="236" t="str">
        <f t="shared" si="1"/>
        <v>PC/1549/2026</v>
      </c>
      <c r="D489" s="243" t="b">
        <v>1</v>
      </c>
      <c r="E489" s="236" t="b">
        <v>0</v>
      </c>
      <c r="F489" s="234">
        <v>46079.0</v>
      </c>
      <c r="G489" s="173"/>
      <c r="H489" s="244" t="s">
        <v>6156</v>
      </c>
      <c r="I489" s="244">
        <f t="shared" si="3"/>
        <v>1549</v>
      </c>
      <c r="J489" s="244">
        <v>2026.0</v>
      </c>
      <c r="K489" s="173"/>
    </row>
    <row r="490">
      <c r="A490" s="218">
        <f t="shared" si="2"/>
        <v>487</v>
      </c>
      <c r="B490" s="243" t="s">
        <v>71</v>
      </c>
      <c r="C490" s="236" t="str">
        <f t="shared" si="1"/>
        <v>PC/1550/2026</v>
      </c>
      <c r="D490" s="243" t="b">
        <v>1</v>
      </c>
      <c r="E490" s="236" t="b">
        <v>0</v>
      </c>
      <c r="F490" s="234">
        <v>46079.0</v>
      </c>
      <c r="G490" s="173"/>
      <c r="H490" s="244" t="s">
        <v>6156</v>
      </c>
      <c r="I490" s="244">
        <f t="shared" si="3"/>
        <v>1550</v>
      </c>
      <c r="J490" s="244">
        <v>2026.0</v>
      </c>
      <c r="K490" s="173"/>
    </row>
    <row r="491">
      <c r="A491" s="218">
        <f t="shared" si="2"/>
        <v>488</v>
      </c>
      <c r="B491" s="243" t="s">
        <v>71</v>
      </c>
      <c r="C491" s="236" t="str">
        <f t="shared" si="1"/>
        <v>PC/1551/2026</v>
      </c>
      <c r="D491" s="243" t="b">
        <v>1</v>
      </c>
      <c r="E491" s="236" t="b">
        <v>0</v>
      </c>
      <c r="F491" s="234">
        <v>46079.0</v>
      </c>
      <c r="G491" s="173"/>
      <c r="H491" s="244" t="s">
        <v>6156</v>
      </c>
      <c r="I491" s="244">
        <f t="shared" si="3"/>
        <v>1551</v>
      </c>
      <c r="J491" s="244">
        <v>2026.0</v>
      </c>
      <c r="K491" s="173"/>
    </row>
    <row r="492">
      <c r="A492" s="218">
        <f t="shared" si="2"/>
        <v>489</v>
      </c>
      <c r="B492" s="243" t="s">
        <v>71</v>
      </c>
      <c r="C492" s="236" t="str">
        <f t="shared" si="1"/>
        <v>PC/1552/2026</v>
      </c>
      <c r="D492" s="243" t="b">
        <v>1</v>
      </c>
      <c r="E492" s="236" t="b">
        <v>0</v>
      </c>
      <c r="F492" s="234">
        <v>46079.0</v>
      </c>
      <c r="G492" s="173"/>
      <c r="H492" s="244" t="s">
        <v>6156</v>
      </c>
      <c r="I492" s="244">
        <f t="shared" si="3"/>
        <v>1552</v>
      </c>
      <c r="J492" s="244">
        <v>2026.0</v>
      </c>
      <c r="K492" s="173"/>
    </row>
    <row r="493">
      <c r="A493" s="218">
        <f t="shared" si="2"/>
        <v>490</v>
      </c>
      <c r="B493" s="243" t="s">
        <v>71</v>
      </c>
      <c r="C493" s="236" t="str">
        <f t="shared" si="1"/>
        <v>PC/1553/2026</v>
      </c>
      <c r="D493" s="243" t="b">
        <v>1</v>
      </c>
      <c r="E493" s="236" t="b">
        <v>0</v>
      </c>
      <c r="F493" s="234">
        <v>46079.0</v>
      </c>
      <c r="G493" s="173"/>
      <c r="H493" s="244" t="s">
        <v>6156</v>
      </c>
      <c r="I493" s="244">
        <f t="shared" si="3"/>
        <v>1553</v>
      </c>
      <c r="J493" s="244">
        <v>2026.0</v>
      </c>
      <c r="K493" s="173"/>
    </row>
    <row r="494">
      <c r="A494" s="218">
        <f t="shared" si="2"/>
        <v>491</v>
      </c>
      <c r="B494" s="243" t="s">
        <v>71</v>
      </c>
      <c r="C494" s="236" t="str">
        <f t="shared" si="1"/>
        <v>PC/1554/2026</v>
      </c>
      <c r="D494" s="243" t="b">
        <v>1</v>
      </c>
      <c r="E494" s="236" t="b">
        <v>0</v>
      </c>
      <c r="F494" s="234">
        <v>46079.0</v>
      </c>
      <c r="G494" s="173"/>
      <c r="H494" s="244" t="s">
        <v>6156</v>
      </c>
      <c r="I494" s="244">
        <f t="shared" si="3"/>
        <v>1554</v>
      </c>
      <c r="J494" s="244">
        <v>2026.0</v>
      </c>
      <c r="K494" s="173"/>
    </row>
    <row r="495">
      <c r="A495" s="218">
        <f t="shared" si="2"/>
        <v>492</v>
      </c>
      <c r="B495" s="243" t="s">
        <v>71</v>
      </c>
      <c r="C495" s="236" t="str">
        <f t="shared" si="1"/>
        <v>PC/1555/2026</v>
      </c>
      <c r="D495" s="243" t="b">
        <v>1</v>
      </c>
      <c r="E495" s="236" t="b">
        <v>0</v>
      </c>
      <c r="F495" s="234">
        <v>46079.0</v>
      </c>
      <c r="G495" s="173"/>
      <c r="H495" s="244" t="s">
        <v>6156</v>
      </c>
      <c r="I495" s="244">
        <f t="shared" si="3"/>
        <v>1555</v>
      </c>
      <c r="J495" s="244">
        <v>2026.0</v>
      </c>
      <c r="K495" s="173"/>
    </row>
    <row r="496">
      <c r="A496" s="218">
        <f t="shared" si="2"/>
        <v>493</v>
      </c>
      <c r="B496" s="243" t="s">
        <v>71</v>
      </c>
      <c r="C496" s="236" t="str">
        <f t="shared" si="1"/>
        <v>PC/1556/2026</v>
      </c>
      <c r="D496" s="243" t="b">
        <v>1</v>
      </c>
      <c r="E496" s="236" t="b">
        <v>0</v>
      </c>
      <c r="F496" s="234">
        <v>46079.0</v>
      </c>
      <c r="G496" s="173"/>
      <c r="H496" s="244" t="s">
        <v>6156</v>
      </c>
      <c r="I496" s="244">
        <f t="shared" si="3"/>
        <v>1556</v>
      </c>
      <c r="J496" s="244">
        <v>2026.0</v>
      </c>
      <c r="K496" s="173"/>
    </row>
    <row r="497">
      <c r="A497" s="218">
        <f t="shared" si="2"/>
        <v>494</v>
      </c>
      <c r="B497" s="243" t="s">
        <v>71</v>
      </c>
      <c r="C497" s="236" t="str">
        <f t="shared" si="1"/>
        <v>PC/1557/2026</v>
      </c>
      <c r="D497" s="243" t="b">
        <v>1</v>
      </c>
      <c r="E497" s="236" t="b">
        <v>0</v>
      </c>
      <c r="F497" s="234">
        <v>46079.0</v>
      </c>
      <c r="G497" s="173"/>
      <c r="H497" s="244" t="s">
        <v>6156</v>
      </c>
      <c r="I497" s="244">
        <f t="shared" si="3"/>
        <v>1557</v>
      </c>
      <c r="J497" s="244">
        <v>2026.0</v>
      </c>
      <c r="K497" s="173"/>
    </row>
    <row r="498">
      <c r="A498" s="218">
        <f t="shared" si="2"/>
        <v>495</v>
      </c>
      <c r="B498" s="243" t="s">
        <v>71</v>
      </c>
      <c r="C498" s="236" t="str">
        <f t="shared" si="1"/>
        <v>PC/1558/2026</v>
      </c>
      <c r="D498" s="243" t="b">
        <v>1</v>
      </c>
      <c r="E498" s="236" t="b">
        <v>0</v>
      </c>
      <c r="F498" s="234">
        <v>46079.0</v>
      </c>
      <c r="G498" s="173"/>
      <c r="H498" s="244" t="s">
        <v>6156</v>
      </c>
      <c r="I498" s="244">
        <f t="shared" si="3"/>
        <v>1558</v>
      </c>
      <c r="J498" s="244">
        <v>2026.0</v>
      </c>
      <c r="K498" s="173"/>
    </row>
    <row r="499">
      <c r="A499" s="218">
        <f t="shared" si="2"/>
        <v>496</v>
      </c>
      <c r="B499" s="243" t="s">
        <v>71</v>
      </c>
      <c r="C499" s="236" t="str">
        <f t="shared" si="1"/>
        <v>PC/1559/2026</v>
      </c>
      <c r="D499" s="243" t="b">
        <v>1</v>
      </c>
      <c r="E499" s="236" t="b">
        <v>0</v>
      </c>
      <c r="F499" s="234">
        <v>46079.0</v>
      </c>
      <c r="G499" s="173"/>
      <c r="H499" s="244" t="s">
        <v>6156</v>
      </c>
      <c r="I499" s="244">
        <f t="shared" si="3"/>
        <v>1559</v>
      </c>
      <c r="J499" s="244">
        <v>2026.0</v>
      </c>
      <c r="K499" s="173"/>
    </row>
    <row r="500">
      <c r="A500" s="218">
        <f t="shared" si="2"/>
        <v>497</v>
      </c>
      <c r="B500" s="243" t="s">
        <v>71</v>
      </c>
      <c r="C500" s="236" t="str">
        <f t="shared" si="1"/>
        <v>PC/1560/2026</v>
      </c>
      <c r="D500" s="243" t="b">
        <v>1</v>
      </c>
      <c r="E500" s="236" t="b">
        <v>0</v>
      </c>
      <c r="F500" s="234">
        <v>46079.0</v>
      </c>
      <c r="G500" s="173"/>
      <c r="H500" s="244" t="s">
        <v>6156</v>
      </c>
      <c r="I500" s="244">
        <f t="shared" si="3"/>
        <v>1560</v>
      </c>
      <c r="J500" s="244">
        <v>2026.0</v>
      </c>
      <c r="K500" s="173"/>
    </row>
    <row r="501">
      <c r="A501" s="218">
        <f t="shared" si="2"/>
        <v>498</v>
      </c>
      <c r="B501" s="243" t="s">
        <v>71</v>
      </c>
      <c r="C501" s="236" t="str">
        <f t="shared" si="1"/>
        <v>PC/1561/2026</v>
      </c>
      <c r="D501" s="243" t="b">
        <v>1</v>
      </c>
      <c r="E501" s="236" t="b">
        <v>0</v>
      </c>
      <c r="F501" s="234">
        <v>46079.0</v>
      </c>
      <c r="G501" s="173"/>
      <c r="H501" s="244" t="s">
        <v>6156</v>
      </c>
      <c r="I501" s="244">
        <f t="shared" si="3"/>
        <v>1561</v>
      </c>
      <c r="J501" s="244">
        <v>2026.0</v>
      </c>
      <c r="K501" s="173"/>
    </row>
    <row r="502">
      <c r="A502" s="218">
        <f t="shared" si="2"/>
        <v>499</v>
      </c>
      <c r="B502" s="243" t="s">
        <v>71</v>
      </c>
      <c r="C502" s="236" t="str">
        <f t="shared" si="1"/>
        <v>PC/1562/2026</v>
      </c>
      <c r="D502" s="243" t="b">
        <v>1</v>
      </c>
      <c r="E502" s="236" t="b">
        <v>0</v>
      </c>
      <c r="F502" s="234">
        <v>46079.0</v>
      </c>
      <c r="G502" s="173"/>
      <c r="H502" s="244" t="s">
        <v>6156</v>
      </c>
      <c r="I502" s="244">
        <f t="shared" si="3"/>
        <v>1562</v>
      </c>
      <c r="J502" s="244">
        <v>2026.0</v>
      </c>
      <c r="K502" s="173"/>
    </row>
    <row r="503">
      <c r="A503" s="218">
        <f t="shared" si="2"/>
        <v>500</v>
      </c>
      <c r="B503" s="243" t="s">
        <v>71</v>
      </c>
      <c r="C503" s="236" t="str">
        <f t="shared" si="1"/>
        <v>PC/1563/2026</v>
      </c>
      <c r="D503" s="243" t="b">
        <v>1</v>
      </c>
      <c r="E503" s="243" t="b">
        <v>0</v>
      </c>
      <c r="F503" s="234">
        <v>46079.0</v>
      </c>
      <c r="G503" s="173"/>
      <c r="H503" s="215" t="s">
        <v>6156</v>
      </c>
      <c r="I503" s="244">
        <f t="shared" si="3"/>
        <v>1563</v>
      </c>
      <c r="J503" s="215">
        <v>2026.0</v>
      </c>
      <c r="K503" s="173"/>
    </row>
    <row r="504">
      <c r="A504" s="218">
        <f t="shared" si="2"/>
        <v>501</v>
      </c>
      <c r="B504" s="243" t="s">
        <v>71</v>
      </c>
      <c r="C504" s="236" t="str">
        <f t="shared" si="1"/>
        <v>PC/1564/2026</v>
      </c>
      <c r="D504" s="243" t="b">
        <v>1</v>
      </c>
      <c r="E504" s="243" t="b">
        <v>0</v>
      </c>
      <c r="F504" s="234">
        <v>46155.0</v>
      </c>
      <c r="G504" s="173"/>
      <c r="H504" s="215" t="s">
        <v>6156</v>
      </c>
      <c r="I504" s="157">
        <f t="shared" si="3"/>
        <v>1564</v>
      </c>
      <c r="J504" s="215">
        <v>2026.0</v>
      </c>
      <c r="K504" s="173"/>
    </row>
    <row r="505">
      <c r="A505" s="218">
        <f t="shared" si="2"/>
        <v>502</v>
      </c>
      <c r="B505" s="243" t="s">
        <v>71</v>
      </c>
      <c r="C505" s="236" t="str">
        <f t="shared" si="1"/>
        <v>PC/1565/2026</v>
      </c>
      <c r="D505" s="243" t="b">
        <v>1</v>
      </c>
      <c r="E505" s="243" t="b">
        <v>0</v>
      </c>
      <c r="F505" s="234">
        <v>46155.0</v>
      </c>
      <c r="G505" s="173"/>
      <c r="H505" s="215" t="s">
        <v>6156</v>
      </c>
      <c r="I505" s="157">
        <f t="shared" si="3"/>
        <v>1565</v>
      </c>
      <c r="J505" s="215">
        <v>2026.0</v>
      </c>
      <c r="K505" s="173"/>
    </row>
    <row r="506">
      <c r="A506" s="218">
        <f t="shared" si="2"/>
        <v>503</v>
      </c>
      <c r="B506" s="243" t="s">
        <v>71</v>
      </c>
      <c r="C506" s="236" t="str">
        <f t="shared" si="1"/>
        <v>PC/1566/2026</v>
      </c>
      <c r="D506" s="243" t="b">
        <v>1</v>
      </c>
      <c r="E506" s="243" t="b">
        <v>0</v>
      </c>
      <c r="F506" s="234">
        <v>46155.0</v>
      </c>
      <c r="G506" s="173"/>
      <c r="H506" s="215" t="s">
        <v>6156</v>
      </c>
      <c r="I506" s="157">
        <f t="shared" si="3"/>
        <v>1566</v>
      </c>
      <c r="J506" s="215">
        <v>2026.0</v>
      </c>
      <c r="K506" s="173"/>
    </row>
    <row r="507">
      <c r="A507" s="218">
        <f t="shared" si="2"/>
        <v>504</v>
      </c>
      <c r="B507" s="243" t="s">
        <v>71</v>
      </c>
      <c r="C507" s="236" t="str">
        <f t="shared" si="1"/>
        <v>PC/1567/2026</v>
      </c>
      <c r="D507" s="243" t="b">
        <v>1</v>
      </c>
      <c r="E507" s="243" t="b">
        <v>0</v>
      </c>
      <c r="F507" s="234">
        <v>46155.0</v>
      </c>
      <c r="G507" s="173"/>
      <c r="H507" s="215" t="s">
        <v>6156</v>
      </c>
      <c r="I507" s="157">
        <f t="shared" si="3"/>
        <v>1567</v>
      </c>
      <c r="J507" s="215">
        <v>2026.0</v>
      </c>
      <c r="K507" s="173"/>
    </row>
    <row r="508">
      <c r="A508" s="218">
        <f t="shared" si="2"/>
        <v>505</v>
      </c>
      <c r="B508" s="243" t="s">
        <v>71</v>
      </c>
      <c r="C508" s="236" t="str">
        <f t="shared" si="1"/>
        <v>PC/1568/2026</v>
      </c>
      <c r="D508" s="243" t="b">
        <v>1</v>
      </c>
      <c r="E508" s="243" t="b">
        <v>0</v>
      </c>
      <c r="F508" s="234">
        <v>46155.0</v>
      </c>
      <c r="G508" s="173"/>
      <c r="H508" s="215" t="s">
        <v>6156</v>
      </c>
      <c r="I508" s="157">
        <f t="shared" si="3"/>
        <v>1568</v>
      </c>
      <c r="J508" s="215">
        <v>2026.0</v>
      </c>
      <c r="K508" s="173"/>
    </row>
    <row r="509">
      <c r="A509" s="218">
        <f t="shared" si="2"/>
        <v>506</v>
      </c>
      <c r="B509" s="243" t="s">
        <v>71</v>
      </c>
      <c r="C509" s="236" t="str">
        <f t="shared" si="1"/>
        <v>PC/1569/2026</v>
      </c>
      <c r="D509" s="243" t="b">
        <v>1</v>
      </c>
      <c r="E509" s="243" t="b">
        <v>0</v>
      </c>
      <c r="F509" s="234">
        <v>46155.0</v>
      </c>
      <c r="G509" s="173"/>
      <c r="H509" s="215" t="s">
        <v>6156</v>
      </c>
      <c r="I509" s="157">
        <f t="shared" si="3"/>
        <v>1569</v>
      </c>
      <c r="J509" s="215">
        <v>2026.0</v>
      </c>
      <c r="K509" s="173"/>
    </row>
    <row r="510">
      <c r="A510" s="218">
        <f t="shared" si="2"/>
        <v>507</v>
      </c>
      <c r="B510" s="243" t="s">
        <v>71</v>
      </c>
      <c r="C510" s="236" t="str">
        <f t="shared" si="1"/>
        <v>PC/1570/2026</v>
      </c>
      <c r="D510" s="243" t="b">
        <v>1</v>
      </c>
      <c r="E510" s="243" t="b">
        <v>0</v>
      </c>
      <c r="F510" s="234">
        <v>46155.0</v>
      </c>
      <c r="G510" s="173"/>
      <c r="H510" s="215" t="s">
        <v>6156</v>
      </c>
      <c r="I510" s="157">
        <f t="shared" si="3"/>
        <v>1570</v>
      </c>
      <c r="J510" s="215">
        <v>2026.0</v>
      </c>
      <c r="K510" s="173"/>
    </row>
    <row r="511">
      <c r="A511" s="218">
        <f t="shared" si="2"/>
        <v>508</v>
      </c>
      <c r="B511" s="243" t="s">
        <v>71</v>
      </c>
      <c r="C511" s="236" t="str">
        <f t="shared" si="1"/>
        <v>PC/1571/2026</v>
      </c>
      <c r="D511" s="243" t="b">
        <v>1</v>
      </c>
      <c r="E511" s="243" t="b">
        <v>0</v>
      </c>
      <c r="F511" s="234">
        <v>46155.0</v>
      </c>
      <c r="G511" s="173"/>
      <c r="H511" s="215" t="s">
        <v>6156</v>
      </c>
      <c r="I511" s="157">
        <f t="shared" si="3"/>
        <v>1571</v>
      </c>
      <c r="J511" s="215">
        <v>2026.0</v>
      </c>
      <c r="K511" s="173"/>
    </row>
    <row r="512">
      <c r="A512" s="218">
        <f t="shared" si="2"/>
        <v>509</v>
      </c>
      <c r="B512" s="243" t="s">
        <v>71</v>
      </c>
      <c r="C512" s="236" t="str">
        <f t="shared" si="1"/>
        <v>PC/1572/2026</v>
      </c>
      <c r="D512" s="243" t="b">
        <v>1</v>
      </c>
      <c r="E512" s="243" t="b">
        <v>0</v>
      </c>
      <c r="F512" s="234">
        <v>46155.0</v>
      </c>
      <c r="G512" s="173"/>
      <c r="H512" s="215" t="s">
        <v>6156</v>
      </c>
      <c r="I512" s="157">
        <f t="shared" si="3"/>
        <v>1572</v>
      </c>
      <c r="J512" s="215">
        <v>2026.0</v>
      </c>
      <c r="K512" s="173"/>
    </row>
    <row r="513">
      <c r="A513" s="218">
        <f t="shared" si="2"/>
        <v>510</v>
      </c>
      <c r="B513" s="243" t="s">
        <v>71</v>
      </c>
      <c r="C513" s="236" t="str">
        <f t="shared" si="1"/>
        <v>PC/1573/2026</v>
      </c>
      <c r="D513" s="243" t="b">
        <v>1</v>
      </c>
      <c r="E513" s="243" t="b">
        <v>0</v>
      </c>
      <c r="F513" s="234">
        <v>46155.0</v>
      </c>
      <c r="G513" s="173"/>
      <c r="H513" s="215" t="s">
        <v>6156</v>
      </c>
      <c r="I513" s="157">
        <f t="shared" si="3"/>
        <v>1573</v>
      </c>
      <c r="J513" s="215">
        <v>2026.0</v>
      </c>
      <c r="K513" s="173"/>
    </row>
    <row r="514">
      <c r="A514" s="218">
        <f t="shared" si="2"/>
        <v>511</v>
      </c>
      <c r="B514" s="243" t="s">
        <v>71</v>
      </c>
      <c r="C514" s="236" t="str">
        <f t="shared" si="1"/>
        <v>PC/1574/2026</v>
      </c>
      <c r="D514" s="243" t="b">
        <v>1</v>
      </c>
      <c r="E514" s="243" t="b">
        <v>0</v>
      </c>
      <c r="F514" s="234">
        <v>46155.0</v>
      </c>
      <c r="G514" s="173"/>
      <c r="H514" s="215" t="s">
        <v>6156</v>
      </c>
      <c r="I514" s="157">
        <f t="shared" si="3"/>
        <v>1574</v>
      </c>
      <c r="J514" s="215">
        <v>2026.0</v>
      </c>
      <c r="K514" s="173"/>
    </row>
    <row r="515">
      <c r="A515" s="218">
        <f t="shared" si="2"/>
        <v>512</v>
      </c>
      <c r="B515" s="243" t="s">
        <v>71</v>
      </c>
      <c r="C515" s="236" t="str">
        <f t="shared" si="1"/>
        <v>PC/1575/2026</v>
      </c>
      <c r="D515" s="243" t="b">
        <v>1</v>
      </c>
      <c r="E515" s="243" t="b">
        <v>0</v>
      </c>
      <c r="F515" s="234">
        <v>46155.0</v>
      </c>
      <c r="G515" s="173"/>
      <c r="H515" s="215" t="s">
        <v>6156</v>
      </c>
      <c r="I515" s="157">
        <f t="shared" si="3"/>
        <v>1575</v>
      </c>
      <c r="J515" s="215">
        <v>2026.0</v>
      </c>
      <c r="K515" s="173"/>
    </row>
    <row r="516">
      <c r="A516" s="218">
        <f t="shared" si="2"/>
        <v>513</v>
      </c>
      <c r="B516" s="243" t="s">
        <v>71</v>
      </c>
      <c r="C516" s="236" t="str">
        <f t="shared" si="1"/>
        <v>PC/1576/2026</v>
      </c>
      <c r="D516" s="243" t="b">
        <v>1</v>
      </c>
      <c r="E516" s="243" t="b">
        <v>0</v>
      </c>
      <c r="F516" s="234">
        <v>46155.0</v>
      </c>
      <c r="G516" s="173"/>
      <c r="H516" s="215" t="s">
        <v>6156</v>
      </c>
      <c r="I516" s="157">
        <f t="shared" si="3"/>
        <v>1576</v>
      </c>
      <c r="J516" s="215">
        <v>2026.0</v>
      </c>
      <c r="K516" s="173"/>
    </row>
    <row r="517">
      <c r="A517" s="218">
        <f t="shared" si="2"/>
        <v>514</v>
      </c>
      <c r="B517" s="243" t="s">
        <v>71</v>
      </c>
      <c r="C517" s="236" t="str">
        <f t="shared" si="1"/>
        <v>PC/1577/2026</v>
      </c>
      <c r="D517" s="243" t="b">
        <v>1</v>
      </c>
      <c r="E517" s="243" t="b">
        <v>0</v>
      </c>
      <c r="F517" s="234">
        <v>46155.0</v>
      </c>
      <c r="G517" s="173"/>
      <c r="H517" s="215" t="s">
        <v>6156</v>
      </c>
      <c r="I517" s="157">
        <f t="shared" si="3"/>
        <v>1577</v>
      </c>
      <c r="J517" s="215">
        <v>2026.0</v>
      </c>
      <c r="K517" s="173"/>
    </row>
    <row r="518">
      <c r="A518" s="218">
        <f t="shared" si="2"/>
        <v>515</v>
      </c>
      <c r="B518" s="243" t="s">
        <v>71</v>
      </c>
      <c r="C518" s="236" t="str">
        <f t="shared" si="1"/>
        <v>PC/1578/2026</v>
      </c>
      <c r="D518" s="243" t="b">
        <v>1</v>
      </c>
      <c r="E518" s="243" t="b">
        <v>0</v>
      </c>
      <c r="F518" s="234">
        <v>46155.0</v>
      </c>
      <c r="G518" s="173"/>
      <c r="H518" s="215" t="s">
        <v>6156</v>
      </c>
      <c r="I518" s="157">
        <f t="shared" si="3"/>
        <v>1578</v>
      </c>
      <c r="J518" s="215">
        <v>2026.0</v>
      </c>
      <c r="K518" s="173"/>
    </row>
    <row r="519">
      <c r="A519" s="218">
        <f t="shared" si="2"/>
        <v>516</v>
      </c>
      <c r="B519" s="243" t="s">
        <v>71</v>
      </c>
      <c r="C519" s="236" t="str">
        <f t="shared" si="1"/>
        <v>PC/1579/2026</v>
      </c>
      <c r="D519" s="243" t="b">
        <v>1</v>
      </c>
      <c r="E519" s="243" t="b">
        <v>0</v>
      </c>
      <c r="F519" s="234">
        <v>46155.0</v>
      </c>
      <c r="G519" s="173"/>
      <c r="H519" s="215" t="s">
        <v>6156</v>
      </c>
      <c r="I519" s="157">
        <f t="shared" si="3"/>
        <v>1579</v>
      </c>
      <c r="J519" s="215">
        <v>2026.0</v>
      </c>
      <c r="K519" s="173"/>
    </row>
    <row r="520">
      <c r="A520" s="218">
        <f t="shared" si="2"/>
        <v>517</v>
      </c>
      <c r="B520" s="243" t="s">
        <v>71</v>
      </c>
      <c r="C520" s="236" t="str">
        <f t="shared" si="1"/>
        <v>PC/1580/2026</v>
      </c>
      <c r="D520" s="243" t="b">
        <v>1</v>
      </c>
      <c r="E520" s="243" t="b">
        <v>0</v>
      </c>
      <c r="F520" s="234">
        <v>46155.0</v>
      </c>
      <c r="G520" s="173"/>
      <c r="H520" s="215" t="s">
        <v>6156</v>
      </c>
      <c r="I520" s="157">
        <f t="shared" si="3"/>
        <v>1580</v>
      </c>
      <c r="J520" s="215">
        <v>2026.0</v>
      </c>
      <c r="K520" s="173"/>
    </row>
    <row r="521">
      <c r="A521" s="218">
        <f t="shared" si="2"/>
        <v>518</v>
      </c>
      <c r="B521" s="243" t="s">
        <v>71</v>
      </c>
      <c r="C521" s="236" t="str">
        <f t="shared" si="1"/>
        <v>PC/1581/2026</v>
      </c>
      <c r="D521" s="243" t="b">
        <v>1</v>
      </c>
      <c r="E521" s="243" t="b">
        <v>0</v>
      </c>
      <c r="F521" s="234">
        <v>46155.0</v>
      </c>
      <c r="G521" s="173"/>
      <c r="H521" s="215" t="s">
        <v>6156</v>
      </c>
      <c r="I521" s="157">
        <f t="shared" si="3"/>
        <v>1581</v>
      </c>
      <c r="J521" s="215">
        <v>2026.0</v>
      </c>
      <c r="K521" s="173"/>
    </row>
    <row r="522">
      <c r="A522" s="218">
        <f t="shared" si="2"/>
        <v>519</v>
      </c>
      <c r="B522" s="243" t="s">
        <v>71</v>
      </c>
      <c r="C522" s="236" t="str">
        <f t="shared" si="1"/>
        <v>PC/1582/2026</v>
      </c>
      <c r="D522" s="243" t="b">
        <v>1</v>
      </c>
      <c r="E522" s="243" t="b">
        <v>0</v>
      </c>
      <c r="F522" s="234">
        <v>46155.0</v>
      </c>
      <c r="G522" s="173"/>
      <c r="H522" s="215" t="s">
        <v>6156</v>
      </c>
      <c r="I522" s="157">
        <f t="shared" si="3"/>
        <v>1582</v>
      </c>
      <c r="J522" s="215">
        <v>2026.0</v>
      </c>
      <c r="K522" s="173"/>
    </row>
    <row r="523">
      <c r="A523" s="218">
        <f t="shared" si="2"/>
        <v>520</v>
      </c>
      <c r="B523" s="243" t="s">
        <v>71</v>
      </c>
      <c r="C523" s="236" t="str">
        <f t="shared" si="1"/>
        <v>PC/1583/2026</v>
      </c>
      <c r="D523" s="243" t="b">
        <v>1</v>
      </c>
      <c r="E523" s="243" t="b">
        <v>0</v>
      </c>
      <c r="F523" s="234">
        <v>46155.0</v>
      </c>
      <c r="G523" s="173"/>
      <c r="H523" s="215" t="s">
        <v>6156</v>
      </c>
      <c r="I523" s="157">
        <f t="shared" si="3"/>
        <v>1583</v>
      </c>
      <c r="J523" s="215">
        <v>2026.0</v>
      </c>
      <c r="K523" s="173"/>
    </row>
    <row r="524">
      <c r="A524" s="218">
        <f t="shared" si="2"/>
        <v>521</v>
      </c>
      <c r="B524" s="243" t="s">
        <v>71</v>
      </c>
      <c r="C524" s="236" t="str">
        <f t="shared" si="1"/>
        <v>PC/1584/2026</v>
      </c>
      <c r="D524" s="243" t="b">
        <v>1</v>
      </c>
      <c r="E524" s="243" t="b">
        <v>0</v>
      </c>
      <c r="F524" s="234">
        <v>46155.0</v>
      </c>
      <c r="G524" s="173"/>
      <c r="H524" s="215" t="s">
        <v>6156</v>
      </c>
      <c r="I524" s="157">
        <f t="shared" si="3"/>
        <v>1584</v>
      </c>
      <c r="J524" s="215">
        <v>2026.0</v>
      </c>
      <c r="K524" s="173"/>
    </row>
    <row r="525">
      <c r="A525" s="218">
        <f t="shared" si="2"/>
        <v>522</v>
      </c>
      <c r="B525" s="243" t="s">
        <v>71</v>
      </c>
      <c r="C525" s="236" t="str">
        <f t="shared" si="1"/>
        <v>PC/1585/2026</v>
      </c>
      <c r="D525" s="243" t="b">
        <v>1</v>
      </c>
      <c r="E525" s="243" t="b">
        <v>0</v>
      </c>
      <c r="F525" s="234">
        <v>46155.0</v>
      </c>
      <c r="G525" s="173"/>
      <c r="H525" s="215" t="s">
        <v>6156</v>
      </c>
      <c r="I525" s="157">
        <f t="shared" si="3"/>
        <v>1585</v>
      </c>
      <c r="J525" s="215">
        <v>2026.0</v>
      </c>
      <c r="K525" s="173"/>
    </row>
    <row r="526">
      <c r="A526" s="218">
        <f t="shared" si="2"/>
        <v>523</v>
      </c>
      <c r="B526" s="243" t="s">
        <v>71</v>
      </c>
      <c r="C526" s="236" t="str">
        <f t="shared" si="1"/>
        <v>PC/1586/2026</v>
      </c>
      <c r="D526" s="243" t="b">
        <v>1</v>
      </c>
      <c r="E526" s="243" t="b">
        <v>0</v>
      </c>
      <c r="F526" s="234">
        <v>46155.0</v>
      </c>
      <c r="G526" s="173"/>
      <c r="H526" s="215" t="s">
        <v>6156</v>
      </c>
      <c r="I526" s="157">
        <f t="shared" si="3"/>
        <v>1586</v>
      </c>
      <c r="J526" s="215">
        <v>2026.0</v>
      </c>
      <c r="K526" s="173"/>
    </row>
    <row r="527">
      <c r="A527" s="218">
        <f t="shared" si="2"/>
        <v>524</v>
      </c>
      <c r="B527" s="243" t="s">
        <v>71</v>
      </c>
      <c r="C527" s="236" t="str">
        <f t="shared" si="1"/>
        <v>PC/1587/2026</v>
      </c>
      <c r="D527" s="243" t="b">
        <v>1</v>
      </c>
      <c r="E527" s="243" t="b">
        <v>0</v>
      </c>
      <c r="F527" s="234">
        <v>46155.0</v>
      </c>
      <c r="G527" s="173"/>
      <c r="H527" s="215" t="s">
        <v>6156</v>
      </c>
      <c r="I527" s="157">
        <f t="shared" si="3"/>
        <v>1587</v>
      </c>
      <c r="J527" s="215">
        <v>2026.0</v>
      </c>
      <c r="K527" s="173"/>
    </row>
    <row r="528">
      <c r="A528" s="218">
        <f t="shared" si="2"/>
        <v>525</v>
      </c>
      <c r="B528" s="243" t="s">
        <v>71</v>
      </c>
      <c r="C528" s="236" t="str">
        <f t="shared" si="1"/>
        <v>PC/1588/2026</v>
      </c>
      <c r="D528" s="243" t="b">
        <v>1</v>
      </c>
      <c r="E528" s="243" t="b">
        <v>0</v>
      </c>
      <c r="F528" s="234">
        <v>46155.0</v>
      </c>
      <c r="G528" s="173"/>
      <c r="H528" s="215" t="s">
        <v>6156</v>
      </c>
      <c r="I528" s="157">
        <f t="shared" si="3"/>
        <v>1588</v>
      </c>
      <c r="J528" s="215">
        <v>2026.0</v>
      </c>
      <c r="K528" s="173"/>
    </row>
    <row r="529">
      <c r="A529" s="218">
        <f t="shared" si="2"/>
        <v>526</v>
      </c>
      <c r="B529" s="243" t="s">
        <v>71</v>
      </c>
      <c r="C529" s="236" t="str">
        <f t="shared" si="1"/>
        <v>PC/1589/2026</v>
      </c>
      <c r="D529" s="243" t="b">
        <v>1</v>
      </c>
      <c r="E529" s="243" t="b">
        <v>0</v>
      </c>
      <c r="F529" s="234">
        <v>46155.0</v>
      </c>
      <c r="G529" s="173"/>
      <c r="H529" s="215" t="s">
        <v>6156</v>
      </c>
      <c r="I529" s="157">
        <f t="shared" si="3"/>
        <v>1589</v>
      </c>
      <c r="J529" s="215">
        <v>2026.0</v>
      </c>
      <c r="K529" s="173"/>
    </row>
    <row r="530">
      <c r="A530" s="218">
        <f t="shared" si="2"/>
        <v>527</v>
      </c>
      <c r="B530" s="243" t="s">
        <v>71</v>
      </c>
      <c r="C530" s="236" t="str">
        <f t="shared" si="1"/>
        <v>PC/1590/2026</v>
      </c>
      <c r="D530" s="243" t="b">
        <v>1</v>
      </c>
      <c r="E530" s="243" t="b">
        <v>0</v>
      </c>
      <c r="F530" s="234">
        <v>46155.0</v>
      </c>
      <c r="G530" s="173"/>
      <c r="H530" s="215" t="s">
        <v>6156</v>
      </c>
      <c r="I530" s="157">
        <f t="shared" si="3"/>
        <v>1590</v>
      </c>
      <c r="J530" s="215">
        <v>2026.0</v>
      </c>
      <c r="K530" s="173"/>
    </row>
    <row r="531">
      <c r="A531" s="218">
        <f t="shared" si="2"/>
        <v>528</v>
      </c>
      <c r="B531" s="243" t="s">
        <v>71</v>
      </c>
      <c r="C531" s="236" t="str">
        <f t="shared" si="1"/>
        <v>PC/1591/2026</v>
      </c>
      <c r="D531" s="243" t="b">
        <v>1</v>
      </c>
      <c r="E531" s="243" t="b">
        <v>0</v>
      </c>
      <c r="F531" s="234">
        <v>46155.0</v>
      </c>
      <c r="G531" s="173"/>
      <c r="H531" s="215" t="s">
        <v>6156</v>
      </c>
      <c r="I531" s="157">
        <f t="shared" si="3"/>
        <v>1591</v>
      </c>
      <c r="J531" s="215">
        <v>2026.0</v>
      </c>
      <c r="K531" s="173"/>
    </row>
    <row r="532">
      <c r="A532" s="218">
        <f t="shared" si="2"/>
        <v>529</v>
      </c>
      <c r="B532" s="243" t="s">
        <v>71</v>
      </c>
      <c r="C532" s="236" t="str">
        <f t="shared" si="1"/>
        <v>PC/1592/2026</v>
      </c>
      <c r="D532" s="243" t="b">
        <v>1</v>
      </c>
      <c r="E532" s="243" t="b">
        <v>0</v>
      </c>
      <c r="F532" s="234">
        <v>46155.0</v>
      </c>
      <c r="G532" s="173"/>
      <c r="H532" s="215" t="s">
        <v>6156</v>
      </c>
      <c r="I532" s="157">
        <f t="shared" si="3"/>
        <v>1592</v>
      </c>
      <c r="J532" s="215">
        <v>2026.0</v>
      </c>
      <c r="K532" s="173"/>
    </row>
    <row r="533">
      <c r="A533" s="218">
        <f t="shared" si="2"/>
        <v>530</v>
      </c>
      <c r="B533" s="243" t="s">
        <v>71</v>
      </c>
      <c r="C533" s="236" t="str">
        <f t="shared" si="1"/>
        <v>PC/1593/2026</v>
      </c>
      <c r="D533" s="243" t="b">
        <v>1</v>
      </c>
      <c r="E533" s="243" t="b">
        <v>0</v>
      </c>
      <c r="F533" s="234">
        <v>46155.0</v>
      </c>
      <c r="G533" s="173"/>
      <c r="H533" s="215" t="s">
        <v>6156</v>
      </c>
      <c r="I533" s="157">
        <f t="shared" si="3"/>
        <v>1593</v>
      </c>
      <c r="J533" s="215">
        <v>2026.0</v>
      </c>
      <c r="K533" s="173"/>
    </row>
    <row r="534">
      <c r="A534" s="218">
        <f t="shared" si="2"/>
        <v>531</v>
      </c>
      <c r="B534" s="243" t="s">
        <v>71</v>
      </c>
      <c r="C534" s="236" t="str">
        <f t="shared" si="1"/>
        <v>PC/1594/2026</v>
      </c>
      <c r="D534" s="243" t="b">
        <v>1</v>
      </c>
      <c r="E534" s="243" t="b">
        <v>0</v>
      </c>
      <c r="F534" s="234">
        <v>46155.0</v>
      </c>
      <c r="G534" s="173"/>
      <c r="H534" s="215" t="s">
        <v>6156</v>
      </c>
      <c r="I534" s="157">
        <f t="shared" si="3"/>
        <v>1594</v>
      </c>
      <c r="J534" s="215">
        <v>2026.0</v>
      </c>
      <c r="K534" s="173"/>
    </row>
    <row r="535">
      <c r="A535" s="218">
        <f t="shared" si="2"/>
        <v>532</v>
      </c>
      <c r="B535" s="243" t="s">
        <v>71</v>
      </c>
      <c r="C535" s="236" t="str">
        <f t="shared" si="1"/>
        <v>PC/1595/2026</v>
      </c>
      <c r="D535" s="243" t="b">
        <v>1</v>
      </c>
      <c r="E535" s="243" t="b">
        <v>0</v>
      </c>
      <c r="F535" s="234">
        <v>46155.0</v>
      </c>
      <c r="G535" s="173"/>
      <c r="H535" s="215" t="s">
        <v>6156</v>
      </c>
      <c r="I535" s="157">
        <f t="shared" si="3"/>
        <v>1595</v>
      </c>
      <c r="J535" s="215">
        <v>2026.0</v>
      </c>
      <c r="K535" s="173"/>
    </row>
    <row r="536">
      <c r="A536" s="218">
        <f t="shared" si="2"/>
        <v>533</v>
      </c>
      <c r="B536" s="243" t="s">
        <v>71</v>
      </c>
      <c r="C536" s="236" t="str">
        <f t="shared" si="1"/>
        <v>PC/1596/2026</v>
      </c>
      <c r="D536" s="243" t="b">
        <v>1</v>
      </c>
      <c r="E536" s="243" t="b">
        <v>0</v>
      </c>
      <c r="F536" s="234">
        <v>46155.0</v>
      </c>
      <c r="G536" s="173"/>
      <c r="H536" s="215" t="s">
        <v>6156</v>
      </c>
      <c r="I536" s="157">
        <f t="shared" si="3"/>
        <v>1596</v>
      </c>
      <c r="J536" s="215">
        <v>2026.0</v>
      </c>
      <c r="K536" s="173"/>
    </row>
    <row r="537">
      <c r="A537" s="218">
        <f t="shared" si="2"/>
        <v>534</v>
      </c>
      <c r="B537" s="243" t="s">
        <v>71</v>
      </c>
      <c r="C537" s="236" t="str">
        <f t="shared" si="1"/>
        <v>PC/1597/2026</v>
      </c>
      <c r="D537" s="243" t="b">
        <v>1</v>
      </c>
      <c r="E537" s="243" t="b">
        <v>0</v>
      </c>
      <c r="F537" s="234">
        <v>46155.0</v>
      </c>
      <c r="G537" s="173"/>
      <c r="H537" s="215" t="s">
        <v>6156</v>
      </c>
      <c r="I537" s="157">
        <f t="shared" si="3"/>
        <v>1597</v>
      </c>
      <c r="J537" s="215">
        <v>2026.0</v>
      </c>
      <c r="K537" s="173"/>
    </row>
    <row r="538">
      <c r="A538" s="218">
        <f t="shared" si="2"/>
        <v>535</v>
      </c>
      <c r="B538" s="243" t="s">
        <v>71</v>
      </c>
      <c r="C538" s="236" t="str">
        <f t="shared" si="1"/>
        <v>PC/1598/2026</v>
      </c>
      <c r="D538" s="243" t="b">
        <v>1</v>
      </c>
      <c r="E538" s="243" t="b">
        <v>0</v>
      </c>
      <c r="F538" s="234">
        <v>46155.0</v>
      </c>
      <c r="G538" s="173"/>
      <c r="H538" s="215" t="s">
        <v>6156</v>
      </c>
      <c r="I538" s="157">
        <f t="shared" si="3"/>
        <v>1598</v>
      </c>
      <c r="J538" s="215">
        <v>2026.0</v>
      </c>
      <c r="K538" s="173"/>
    </row>
    <row r="539">
      <c r="A539" s="218">
        <f t="shared" si="2"/>
        <v>536</v>
      </c>
      <c r="B539" s="243" t="s">
        <v>71</v>
      </c>
      <c r="C539" s="236" t="str">
        <f t="shared" si="1"/>
        <v>PC/1599/2026</v>
      </c>
      <c r="D539" s="243" t="b">
        <v>1</v>
      </c>
      <c r="E539" s="243" t="b">
        <v>0</v>
      </c>
      <c r="F539" s="234">
        <v>46155.0</v>
      </c>
      <c r="G539" s="173"/>
      <c r="H539" s="215" t="s">
        <v>6156</v>
      </c>
      <c r="I539" s="157">
        <f t="shared" si="3"/>
        <v>1599</v>
      </c>
      <c r="J539" s="215">
        <v>2026.0</v>
      </c>
      <c r="K539" s="173"/>
    </row>
    <row r="540">
      <c r="A540" s="218">
        <f t="shared" si="2"/>
        <v>537</v>
      </c>
      <c r="B540" s="243" t="s">
        <v>71</v>
      </c>
      <c r="C540" s="236" t="str">
        <f t="shared" si="1"/>
        <v>PC/1600/2026</v>
      </c>
      <c r="D540" s="243" t="b">
        <v>1</v>
      </c>
      <c r="E540" s="243" t="b">
        <v>0</v>
      </c>
      <c r="F540" s="234">
        <v>46155.0</v>
      </c>
      <c r="G540" s="173"/>
      <c r="H540" s="215" t="s">
        <v>6156</v>
      </c>
      <c r="I540" s="157">
        <f t="shared" si="3"/>
        <v>1600</v>
      </c>
      <c r="J540" s="215">
        <v>2026.0</v>
      </c>
      <c r="K540" s="173"/>
    </row>
    <row r="541">
      <c r="A541" s="218">
        <f t="shared" si="2"/>
        <v>538</v>
      </c>
      <c r="B541" s="243" t="s">
        <v>71</v>
      </c>
      <c r="C541" s="236" t="str">
        <f t="shared" si="1"/>
        <v>PC/1601/2026</v>
      </c>
      <c r="D541" s="243" t="b">
        <v>1</v>
      </c>
      <c r="E541" s="243" t="b">
        <v>0</v>
      </c>
      <c r="F541" s="234">
        <v>46155.0</v>
      </c>
      <c r="G541" s="173"/>
      <c r="H541" s="215" t="s">
        <v>6156</v>
      </c>
      <c r="I541" s="157">
        <f t="shared" si="3"/>
        <v>1601</v>
      </c>
      <c r="J541" s="215">
        <v>2026.0</v>
      </c>
      <c r="K541" s="173"/>
    </row>
    <row r="542">
      <c r="A542" s="218">
        <f t="shared" si="2"/>
        <v>539</v>
      </c>
      <c r="B542" s="243" t="s">
        <v>71</v>
      </c>
      <c r="C542" s="236" t="str">
        <f t="shared" si="1"/>
        <v>PC/1602/2026</v>
      </c>
      <c r="D542" s="243" t="b">
        <v>1</v>
      </c>
      <c r="E542" s="243" t="b">
        <v>0</v>
      </c>
      <c r="F542" s="234">
        <v>46155.0</v>
      </c>
      <c r="G542" s="173"/>
      <c r="H542" s="215" t="s">
        <v>6156</v>
      </c>
      <c r="I542" s="157">
        <f t="shared" si="3"/>
        <v>1602</v>
      </c>
      <c r="J542" s="215">
        <v>2026.0</v>
      </c>
      <c r="K542" s="173"/>
    </row>
    <row r="543">
      <c r="A543" s="218">
        <f t="shared" si="2"/>
        <v>540</v>
      </c>
      <c r="B543" s="243" t="s">
        <v>71</v>
      </c>
      <c r="C543" s="236" t="str">
        <f t="shared" si="1"/>
        <v>PC/1603/2026</v>
      </c>
      <c r="D543" s="243" t="b">
        <v>1</v>
      </c>
      <c r="E543" s="243" t="b">
        <v>0</v>
      </c>
      <c r="F543" s="234">
        <v>46155.0</v>
      </c>
      <c r="G543" s="173"/>
      <c r="H543" s="215" t="s">
        <v>6156</v>
      </c>
      <c r="I543" s="157">
        <f t="shared" si="3"/>
        <v>1603</v>
      </c>
      <c r="J543" s="215">
        <v>2026.0</v>
      </c>
      <c r="K543" s="173"/>
    </row>
    <row r="544">
      <c r="A544" s="218">
        <f t="shared" si="2"/>
        <v>541</v>
      </c>
      <c r="B544" s="243" t="s">
        <v>71</v>
      </c>
      <c r="C544" s="236" t="str">
        <f t="shared" si="1"/>
        <v>PC/1604/2026</v>
      </c>
      <c r="D544" s="243" t="b">
        <v>1</v>
      </c>
      <c r="E544" s="243" t="b">
        <v>0</v>
      </c>
      <c r="F544" s="234">
        <v>46155.0</v>
      </c>
      <c r="G544" s="173"/>
      <c r="H544" s="215" t="s">
        <v>6156</v>
      </c>
      <c r="I544" s="157">
        <f t="shared" si="3"/>
        <v>1604</v>
      </c>
      <c r="J544" s="215">
        <v>2026.0</v>
      </c>
      <c r="K544" s="173"/>
    </row>
    <row r="545">
      <c r="A545" s="218">
        <f t="shared" si="2"/>
        <v>542</v>
      </c>
      <c r="B545" s="243" t="s">
        <v>71</v>
      </c>
      <c r="C545" s="236" t="str">
        <f t="shared" si="1"/>
        <v>PC/1605/2026</v>
      </c>
      <c r="D545" s="243" t="b">
        <v>1</v>
      </c>
      <c r="E545" s="243" t="b">
        <v>0</v>
      </c>
      <c r="F545" s="234">
        <v>46155.0</v>
      </c>
      <c r="G545" s="173"/>
      <c r="H545" s="215" t="s">
        <v>6156</v>
      </c>
      <c r="I545" s="157">
        <f t="shared" si="3"/>
        <v>1605</v>
      </c>
      <c r="J545" s="215">
        <v>2026.0</v>
      </c>
      <c r="K545" s="173"/>
    </row>
    <row r="546">
      <c r="A546" s="218">
        <f t="shared" si="2"/>
        <v>543</v>
      </c>
      <c r="B546" s="243" t="s">
        <v>71</v>
      </c>
      <c r="C546" s="236" t="str">
        <f t="shared" si="1"/>
        <v>PC/1606/2026</v>
      </c>
      <c r="D546" s="243" t="b">
        <v>1</v>
      </c>
      <c r="E546" s="243" t="b">
        <v>0</v>
      </c>
      <c r="F546" s="234">
        <v>46155.0</v>
      </c>
      <c r="G546" s="173"/>
      <c r="H546" s="215" t="s">
        <v>6156</v>
      </c>
      <c r="I546" s="157">
        <f t="shared" si="3"/>
        <v>1606</v>
      </c>
      <c r="J546" s="215">
        <v>2026.0</v>
      </c>
      <c r="K546" s="173"/>
    </row>
    <row r="547">
      <c r="A547" s="218">
        <f t="shared" si="2"/>
        <v>544</v>
      </c>
      <c r="B547" s="243" t="s">
        <v>71</v>
      </c>
      <c r="C547" s="236" t="str">
        <f t="shared" si="1"/>
        <v>PC/1607/2026</v>
      </c>
      <c r="D547" s="243" t="b">
        <v>1</v>
      </c>
      <c r="E547" s="243" t="b">
        <v>0</v>
      </c>
      <c r="F547" s="234">
        <v>46155.0</v>
      </c>
      <c r="G547" s="173"/>
      <c r="H547" s="215" t="s">
        <v>6156</v>
      </c>
      <c r="I547" s="157">
        <f t="shared" si="3"/>
        <v>1607</v>
      </c>
      <c r="J547" s="215">
        <v>2026.0</v>
      </c>
      <c r="K547" s="173"/>
    </row>
    <row r="548">
      <c r="A548" s="218">
        <f t="shared" si="2"/>
        <v>545</v>
      </c>
      <c r="B548" s="243" t="s">
        <v>71</v>
      </c>
      <c r="C548" s="236" t="str">
        <f t="shared" si="1"/>
        <v>PC/1608/2026</v>
      </c>
      <c r="D548" s="243" t="b">
        <v>1</v>
      </c>
      <c r="E548" s="243" t="b">
        <v>0</v>
      </c>
      <c r="F548" s="234">
        <v>46155.0</v>
      </c>
      <c r="G548" s="173"/>
      <c r="H548" s="215" t="s">
        <v>6156</v>
      </c>
      <c r="I548" s="157">
        <f t="shared" si="3"/>
        <v>1608</v>
      </c>
      <c r="J548" s="215">
        <v>2026.0</v>
      </c>
      <c r="K548" s="173"/>
    </row>
    <row r="549">
      <c r="A549" s="218">
        <f t="shared" si="2"/>
        <v>546</v>
      </c>
      <c r="B549" s="243" t="s">
        <v>71</v>
      </c>
      <c r="C549" s="236" t="str">
        <f t="shared" si="1"/>
        <v>PC/1609/2026</v>
      </c>
      <c r="D549" s="243" t="b">
        <v>1</v>
      </c>
      <c r="E549" s="243" t="b">
        <v>0</v>
      </c>
      <c r="F549" s="234">
        <v>46155.0</v>
      </c>
      <c r="G549" s="173"/>
      <c r="H549" s="215" t="s">
        <v>6156</v>
      </c>
      <c r="I549" s="157">
        <f t="shared" si="3"/>
        <v>1609</v>
      </c>
      <c r="J549" s="215">
        <v>2026.0</v>
      </c>
      <c r="K549" s="173"/>
    </row>
    <row r="550">
      <c r="A550" s="218">
        <f t="shared" si="2"/>
        <v>547</v>
      </c>
      <c r="B550" s="243" t="s">
        <v>71</v>
      </c>
      <c r="C550" s="236" t="str">
        <f t="shared" si="1"/>
        <v>PC/1610/2026</v>
      </c>
      <c r="D550" s="243" t="b">
        <v>1</v>
      </c>
      <c r="E550" s="243" t="b">
        <v>0</v>
      </c>
      <c r="F550" s="234">
        <v>46155.0</v>
      </c>
      <c r="G550" s="173"/>
      <c r="H550" s="215" t="s">
        <v>6156</v>
      </c>
      <c r="I550" s="157">
        <f t="shared" si="3"/>
        <v>1610</v>
      </c>
      <c r="J550" s="215">
        <v>2026.0</v>
      </c>
      <c r="K550" s="173"/>
    </row>
    <row r="551">
      <c r="A551" s="218">
        <f t="shared" si="2"/>
        <v>548</v>
      </c>
      <c r="B551" s="243" t="s">
        <v>71</v>
      </c>
      <c r="C551" s="236" t="str">
        <f t="shared" si="1"/>
        <v>PC/1611/2026</v>
      </c>
      <c r="D551" s="243" t="b">
        <v>1</v>
      </c>
      <c r="E551" s="243" t="b">
        <v>0</v>
      </c>
      <c r="F551" s="234">
        <v>46155.0</v>
      </c>
      <c r="G551" s="173"/>
      <c r="H551" s="215" t="s">
        <v>6156</v>
      </c>
      <c r="I551" s="157">
        <f t="shared" si="3"/>
        <v>1611</v>
      </c>
      <c r="J551" s="215">
        <v>2026.0</v>
      </c>
      <c r="K551" s="173"/>
    </row>
    <row r="552">
      <c r="A552" s="218">
        <f t="shared" si="2"/>
        <v>549</v>
      </c>
      <c r="B552" s="243" t="s">
        <v>71</v>
      </c>
      <c r="C552" s="236" t="str">
        <f t="shared" si="1"/>
        <v>PC/1612/2026</v>
      </c>
      <c r="D552" s="243" t="b">
        <v>1</v>
      </c>
      <c r="E552" s="243" t="b">
        <v>0</v>
      </c>
      <c r="F552" s="234">
        <v>46155.0</v>
      </c>
      <c r="G552" s="173"/>
      <c r="H552" s="215" t="s">
        <v>6156</v>
      </c>
      <c r="I552" s="157">
        <f t="shared" si="3"/>
        <v>1612</v>
      </c>
      <c r="J552" s="215">
        <v>2026.0</v>
      </c>
      <c r="K552" s="173"/>
    </row>
    <row r="553">
      <c r="A553" s="218">
        <f t="shared" si="2"/>
        <v>550</v>
      </c>
      <c r="B553" s="243" t="s">
        <v>71</v>
      </c>
      <c r="C553" s="236" t="str">
        <f t="shared" si="1"/>
        <v>PC/1613/2026</v>
      </c>
      <c r="D553" s="243" t="b">
        <v>1</v>
      </c>
      <c r="E553" s="243" t="b">
        <v>0</v>
      </c>
      <c r="F553" s="234">
        <v>46155.0</v>
      </c>
      <c r="G553" s="173"/>
      <c r="H553" s="215" t="s">
        <v>6156</v>
      </c>
      <c r="I553" s="157">
        <f t="shared" si="3"/>
        <v>1613</v>
      </c>
      <c r="J553" s="215">
        <v>2026.0</v>
      </c>
      <c r="K553" s="173"/>
    </row>
    <row r="554">
      <c r="A554" s="218">
        <f t="shared" si="2"/>
        <v>551</v>
      </c>
      <c r="B554" s="243" t="s">
        <v>71</v>
      </c>
      <c r="C554" s="236" t="str">
        <f t="shared" si="1"/>
        <v>PC/1614/2026</v>
      </c>
      <c r="D554" s="243" t="b">
        <v>1</v>
      </c>
      <c r="E554" s="243" t="b">
        <v>0</v>
      </c>
      <c r="F554" s="234">
        <v>46198.0</v>
      </c>
      <c r="G554" s="173"/>
      <c r="H554" s="215" t="s">
        <v>6156</v>
      </c>
      <c r="I554" s="157">
        <f t="shared" si="3"/>
        <v>1614</v>
      </c>
      <c r="J554" s="215">
        <v>2026.0</v>
      </c>
      <c r="K554" s="173"/>
    </row>
    <row r="555">
      <c r="A555" s="218">
        <f t="shared" si="2"/>
        <v>552</v>
      </c>
      <c r="B555" s="243" t="s">
        <v>71</v>
      </c>
      <c r="C555" s="236" t="str">
        <f t="shared" si="1"/>
        <v>PC/1615/2026</v>
      </c>
      <c r="D555" s="243" t="b">
        <v>1</v>
      </c>
      <c r="E555" s="243" t="b">
        <v>0</v>
      </c>
      <c r="F555" s="234">
        <v>46198.0</v>
      </c>
      <c r="G555" s="173"/>
      <c r="H555" s="215" t="s">
        <v>6156</v>
      </c>
      <c r="I555" s="157">
        <f t="shared" si="3"/>
        <v>1615</v>
      </c>
      <c r="J555" s="215">
        <v>2026.0</v>
      </c>
      <c r="K555" s="173"/>
    </row>
    <row r="556">
      <c r="A556" s="218">
        <f t="shared" si="2"/>
        <v>553</v>
      </c>
      <c r="B556" s="243" t="s">
        <v>71</v>
      </c>
      <c r="C556" s="236" t="str">
        <f t="shared" si="1"/>
        <v>PC/1616/2026</v>
      </c>
      <c r="D556" s="243" t="b">
        <v>1</v>
      </c>
      <c r="E556" s="243" t="b">
        <v>0</v>
      </c>
      <c r="F556" s="234">
        <v>46198.0</v>
      </c>
      <c r="G556" s="173"/>
      <c r="H556" s="215" t="s">
        <v>6156</v>
      </c>
      <c r="I556" s="157">
        <f t="shared" si="3"/>
        <v>1616</v>
      </c>
      <c r="J556" s="215">
        <v>2026.0</v>
      </c>
      <c r="K556" s="173"/>
    </row>
    <row r="557">
      <c r="A557" s="218">
        <f t="shared" si="2"/>
        <v>554</v>
      </c>
      <c r="B557" s="243" t="s">
        <v>71</v>
      </c>
      <c r="C557" s="236" t="str">
        <f t="shared" si="1"/>
        <v>PC/1617/2026</v>
      </c>
      <c r="D557" s="243" t="b">
        <v>1</v>
      </c>
      <c r="E557" s="243" t="b">
        <v>0</v>
      </c>
      <c r="F557" s="234">
        <v>46198.0</v>
      </c>
      <c r="G557" s="173"/>
      <c r="H557" s="215" t="s">
        <v>6156</v>
      </c>
      <c r="I557" s="157">
        <f t="shared" si="3"/>
        <v>1617</v>
      </c>
      <c r="J557" s="215">
        <v>2026.0</v>
      </c>
      <c r="K557" s="173"/>
    </row>
    <row r="558">
      <c r="A558" s="218">
        <f t="shared" si="2"/>
        <v>555</v>
      </c>
      <c r="B558" s="243" t="s">
        <v>71</v>
      </c>
      <c r="C558" s="236" t="str">
        <f t="shared" si="1"/>
        <v>PC/1618/2026</v>
      </c>
      <c r="D558" s="243" t="b">
        <v>1</v>
      </c>
      <c r="E558" s="243" t="b">
        <v>0</v>
      </c>
      <c r="F558" s="234">
        <v>46198.0</v>
      </c>
      <c r="G558" s="173"/>
      <c r="H558" s="215" t="s">
        <v>6156</v>
      </c>
      <c r="I558" s="157">
        <f t="shared" si="3"/>
        <v>1618</v>
      </c>
      <c r="J558" s="215">
        <v>2026.0</v>
      </c>
      <c r="K558" s="173"/>
    </row>
    <row r="559">
      <c r="A559" s="218">
        <f t="shared" si="2"/>
        <v>556</v>
      </c>
      <c r="B559" s="243" t="s">
        <v>71</v>
      </c>
      <c r="C559" s="236" t="str">
        <f t="shared" si="1"/>
        <v>PC/1619/2026</v>
      </c>
      <c r="D559" s="243" t="b">
        <v>1</v>
      </c>
      <c r="E559" s="243" t="b">
        <v>0</v>
      </c>
      <c r="F559" s="234">
        <v>46198.0</v>
      </c>
      <c r="G559" s="173"/>
      <c r="H559" s="215" t="s">
        <v>6156</v>
      </c>
      <c r="I559" s="157">
        <f t="shared" si="3"/>
        <v>1619</v>
      </c>
      <c r="J559" s="215">
        <v>2026.0</v>
      </c>
      <c r="K559" s="173"/>
    </row>
    <row r="560">
      <c r="A560" s="218">
        <f t="shared" si="2"/>
        <v>557</v>
      </c>
      <c r="B560" s="243" t="s">
        <v>71</v>
      </c>
      <c r="C560" s="236" t="str">
        <f t="shared" si="1"/>
        <v>PC/1620/2026</v>
      </c>
      <c r="D560" s="243" t="b">
        <v>1</v>
      </c>
      <c r="E560" s="243" t="b">
        <v>0</v>
      </c>
      <c r="F560" s="234">
        <v>46198.0</v>
      </c>
      <c r="G560" s="173"/>
      <c r="H560" s="215" t="s">
        <v>6156</v>
      </c>
      <c r="I560" s="157">
        <f t="shared" si="3"/>
        <v>1620</v>
      </c>
      <c r="J560" s="215">
        <v>2026.0</v>
      </c>
      <c r="K560" s="173"/>
    </row>
    <row r="561">
      <c r="A561" s="218">
        <f t="shared" si="2"/>
        <v>558</v>
      </c>
      <c r="B561" s="243" t="s">
        <v>71</v>
      </c>
      <c r="C561" s="236" t="str">
        <f t="shared" si="1"/>
        <v>PC/1621/2026</v>
      </c>
      <c r="D561" s="243" t="b">
        <v>1</v>
      </c>
      <c r="E561" s="243" t="b">
        <v>0</v>
      </c>
      <c r="F561" s="234">
        <v>46198.0</v>
      </c>
      <c r="G561" s="173"/>
      <c r="H561" s="215" t="s">
        <v>6156</v>
      </c>
      <c r="I561" s="157">
        <f t="shared" si="3"/>
        <v>1621</v>
      </c>
      <c r="J561" s="215">
        <v>2026.0</v>
      </c>
      <c r="K561" s="173"/>
    </row>
    <row r="562">
      <c r="A562" s="218">
        <f t="shared" si="2"/>
        <v>559</v>
      </c>
      <c r="B562" s="243" t="s">
        <v>71</v>
      </c>
      <c r="C562" s="236" t="str">
        <f t="shared" si="1"/>
        <v>PC/1622/2026</v>
      </c>
      <c r="D562" s="243" t="b">
        <v>1</v>
      </c>
      <c r="E562" s="243" t="b">
        <v>0</v>
      </c>
      <c r="F562" s="234">
        <v>46198.0</v>
      </c>
      <c r="G562" s="173"/>
      <c r="H562" s="215" t="s">
        <v>6156</v>
      </c>
      <c r="I562" s="157">
        <f t="shared" si="3"/>
        <v>1622</v>
      </c>
      <c r="J562" s="215">
        <v>2026.0</v>
      </c>
      <c r="K562" s="173"/>
    </row>
    <row r="563">
      <c r="A563" s="218">
        <f t="shared" si="2"/>
        <v>560</v>
      </c>
      <c r="B563" s="243" t="s">
        <v>71</v>
      </c>
      <c r="C563" s="236" t="str">
        <f t="shared" si="1"/>
        <v>PC/1623/2026</v>
      </c>
      <c r="D563" s="243" t="b">
        <v>1</v>
      </c>
      <c r="E563" s="243" t="b">
        <v>0</v>
      </c>
      <c r="F563" s="234">
        <v>46198.0</v>
      </c>
      <c r="G563" s="173"/>
      <c r="H563" s="215" t="s">
        <v>6156</v>
      </c>
      <c r="I563" s="157">
        <f t="shared" si="3"/>
        <v>1623</v>
      </c>
      <c r="J563" s="215">
        <v>2026.0</v>
      </c>
      <c r="K563" s="173"/>
    </row>
    <row r="564">
      <c r="A564" s="218">
        <f t="shared" si="2"/>
        <v>561</v>
      </c>
      <c r="B564" s="243" t="s">
        <v>71</v>
      </c>
      <c r="C564" s="236" t="str">
        <f t="shared" si="1"/>
        <v>PC/1624/2026</v>
      </c>
      <c r="D564" s="243" t="b">
        <v>1</v>
      </c>
      <c r="E564" s="243" t="b">
        <v>0</v>
      </c>
      <c r="F564" s="234">
        <v>46198.0</v>
      </c>
      <c r="G564" s="173"/>
      <c r="H564" s="215" t="s">
        <v>6156</v>
      </c>
      <c r="I564" s="157">
        <f t="shared" si="3"/>
        <v>1624</v>
      </c>
      <c r="J564" s="215">
        <v>2026.0</v>
      </c>
      <c r="K564" s="173"/>
    </row>
    <row r="565">
      <c r="A565" s="218">
        <f t="shared" si="2"/>
        <v>562</v>
      </c>
      <c r="B565" s="243" t="s">
        <v>71</v>
      </c>
      <c r="C565" s="236" t="str">
        <f t="shared" si="1"/>
        <v>PC/1625/2026</v>
      </c>
      <c r="D565" s="243" t="b">
        <v>1</v>
      </c>
      <c r="E565" s="243" t="b">
        <v>0</v>
      </c>
      <c r="F565" s="234">
        <v>46198.0</v>
      </c>
      <c r="G565" s="173"/>
      <c r="H565" s="215" t="s">
        <v>6156</v>
      </c>
      <c r="I565" s="157">
        <f t="shared" si="3"/>
        <v>1625</v>
      </c>
      <c r="J565" s="215">
        <v>2026.0</v>
      </c>
      <c r="K565" s="173"/>
    </row>
    <row r="566">
      <c r="A566" s="218">
        <f t="shared" si="2"/>
        <v>563</v>
      </c>
      <c r="B566" s="243" t="s">
        <v>71</v>
      </c>
      <c r="C566" s="236" t="str">
        <f t="shared" si="1"/>
        <v>PC/1626/2026</v>
      </c>
      <c r="D566" s="243" t="b">
        <v>1</v>
      </c>
      <c r="E566" s="243" t="b">
        <v>0</v>
      </c>
      <c r="F566" s="234">
        <v>46198.0</v>
      </c>
      <c r="G566" s="173"/>
      <c r="H566" s="215" t="s">
        <v>6156</v>
      </c>
      <c r="I566" s="157">
        <f t="shared" si="3"/>
        <v>1626</v>
      </c>
      <c r="J566" s="215">
        <v>2026.0</v>
      </c>
      <c r="K566" s="173"/>
    </row>
    <row r="567">
      <c r="A567" s="218">
        <f t="shared" si="2"/>
        <v>564</v>
      </c>
      <c r="B567" s="243" t="s">
        <v>71</v>
      </c>
      <c r="C567" s="236" t="str">
        <f t="shared" si="1"/>
        <v>PC/1627/2026</v>
      </c>
      <c r="D567" s="243" t="b">
        <v>1</v>
      </c>
      <c r="E567" s="243" t="b">
        <v>0</v>
      </c>
      <c r="F567" s="234">
        <v>46198.0</v>
      </c>
      <c r="G567" s="173"/>
      <c r="H567" s="215" t="s">
        <v>6156</v>
      </c>
      <c r="I567" s="157">
        <f t="shared" si="3"/>
        <v>1627</v>
      </c>
      <c r="J567" s="215">
        <v>2026.0</v>
      </c>
      <c r="K567" s="173"/>
    </row>
    <row r="568">
      <c r="A568" s="218">
        <f t="shared" si="2"/>
        <v>565</v>
      </c>
      <c r="B568" s="243" t="s">
        <v>71</v>
      </c>
      <c r="C568" s="236" t="str">
        <f t="shared" si="1"/>
        <v>PC/1628/2026</v>
      </c>
      <c r="D568" s="243" t="b">
        <v>1</v>
      </c>
      <c r="E568" s="243" t="b">
        <v>0</v>
      </c>
      <c r="F568" s="234">
        <v>46198.0</v>
      </c>
      <c r="G568" s="173"/>
      <c r="H568" s="215" t="s">
        <v>6156</v>
      </c>
      <c r="I568" s="157">
        <f t="shared" si="3"/>
        <v>1628</v>
      </c>
      <c r="J568" s="215">
        <v>2026.0</v>
      </c>
      <c r="K568" s="173"/>
    </row>
    <row r="569">
      <c r="A569" s="218">
        <f t="shared" si="2"/>
        <v>566</v>
      </c>
      <c r="B569" s="243" t="s">
        <v>71</v>
      </c>
      <c r="C569" s="236" t="str">
        <f t="shared" si="1"/>
        <v>PC/1629/2026</v>
      </c>
      <c r="D569" s="243" t="b">
        <v>1</v>
      </c>
      <c r="E569" s="243" t="b">
        <v>0</v>
      </c>
      <c r="F569" s="234">
        <v>46198.0</v>
      </c>
      <c r="G569" s="173"/>
      <c r="H569" s="215" t="s">
        <v>6156</v>
      </c>
      <c r="I569" s="157">
        <f t="shared" si="3"/>
        <v>1629</v>
      </c>
      <c r="J569" s="215">
        <v>2026.0</v>
      </c>
      <c r="K569" s="173"/>
    </row>
    <row r="570">
      <c r="A570" s="218">
        <f t="shared" si="2"/>
        <v>567</v>
      </c>
      <c r="B570" s="243" t="s">
        <v>71</v>
      </c>
      <c r="C570" s="236" t="str">
        <f t="shared" si="1"/>
        <v>PC/1630/2026</v>
      </c>
      <c r="D570" s="243" t="b">
        <v>1</v>
      </c>
      <c r="E570" s="243" t="b">
        <v>0</v>
      </c>
      <c r="F570" s="234">
        <v>46198.0</v>
      </c>
      <c r="G570" s="173"/>
      <c r="H570" s="215" t="s">
        <v>6156</v>
      </c>
      <c r="I570" s="157">
        <f t="shared" si="3"/>
        <v>1630</v>
      </c>
      <c r="J570" s="215">
        <v>2026.0</v>
      </c>
      <c r="K570" s="173"/>
    </row>
    <row r="571">
      <c r="A571" s="218">
        <f t="shared" si="2"/>
        <v>568</v>
      </c>
      <c r="B571" s="243" t="s">
        <v>71</v>
      </c>
      <c r="C571" s="236" t="str">
        <f t="shared" si="1"/>
        <v>PC/1631/2026</v>
      </c>
      <c r="D571" s="243" t="b">
        <v>1</v>
      </c>
      <c r="E571" s="243" t="b">
        <v>0</v>
      </c>
      <c r="F571" s="234">
        <v>46198.0</v>
      </c>
      <c r="G571" s="173"/>
      <c r="H571" s="215" t="s">
        <v>6156</v>
      </c>
      <c r="I571" s="157">
        <f t="shared" si="3"/>
        <v>1631</v>
      </c>
      <c r="J571" s="215">
        <v>2026.0</v>
      </c>
      <c r="K571" s="173"/>
    </row>
    <row r="572">
      <c r="A572" s="218">
        <f t="shared" si="2"/>
        <v>569</v>
      </c>
      <c r="B572" s="243" t="s">
        <v>71</v>
      </c>
      <c r="C572" s="236" t="str">
        <f t="shared" si="1"/>
        <v>PC/1632/2026</v>
      </c>
      <c r="D572" s="243" t="b">
        <v>1</v>
      </c>
      <c r="E572" s="243" t="b">
        <v>0</v>
      </c>
      <c r="F572" s="234">
        <v>46198.0</v>
      </c>
      <c r="G572" s="173"/>
      <c r="H572" s="215" t="s">
        <v>6156</v>
      </c>
      <c r="I572" s="157">
        <f t="shared" si="3"/>
        <v>1632</v>
      </c>
      <c r="J572" s="215">
        <v>2026.0</v>
      </c>
      <c r="K572" s="173"/>
    </row>
    <row r="573">
      <c r="A573" s="218">
        <f t="shared" si="2"/>
        <v>570</v>
      </c>
      <c r="B573" s="243" t="s">
        <v>71</v>
      </c>
      <c r="C573" s="236" t="str">
        <f t="shared" si="1"/>
        <v>PC/1633/2026</v>
      </c>
      <c r="D573" s="243" t="b">
        <v>1</v>
      </c>
      <c r="E573" s="243" t="b">
        <v>0</v>
      </c>
      <c r="F573" s="234">
        <v>46198.0</v>
      </c>
      <c r="G573" s="173"/>
      <c r="H573" s="215" t="s">
        <v>6156</v>
      </c>
      <c r="I573" s="157">
        <f t="shared" si="3"/>
        <v>1633</v>
      </c>
      <c r="J573" s="215">
        <v>2026.0</v>
      </c>
      <c r="K573" s="173"/>
    </row>
    <row r="574">
      <c r="A574" s="218">
        <f t="shared" si="2"/>
        <v>571</v>
      </c>
      <c r="B574" s="243" t="s">
        <v>71</v>
      </c>
      <c r="C574" s="236" t="str">
        <f t="shared" si="1"/>
        <v>PC/1634/2026</v>
      </c>
      <c r="D574" s="243" t="b">
        <v>1</v>
      </c>
      <c r="E574" s="243" t="b">
        <v>0</v>
      </c>
      <c r="F574" s="234">
        <v>46198.0</v>
      </c>
      <c r="G574" s="173"/>
      <c r="H574" s="215" t="s">
        <v>6156</v>
      </c>
      <c r="I574" s="157">
        <f t="shared" si="3"/>
        <v>1634</v>
      </c>
      <c r="J574" s="215">
        <v>2026.0</v>
      </c>
      <c r="K574" s="173"/>
    </row>
    <row r="575">
      <c r="A575" s="218">
        <f t="shared" si="2"/>
        <v>572</v>
      </c>
      <c r="B575" s="243" t="s">
        <v>71</v>
      </c>
      <c r="C575" s="236" t="str">
        <f t="shared" si="1"/>
        <v>PC/1635/2026</v>
      </c>
      <c r="D575" s="243" t="b">
        <v>1</v>
      </c>
      <c r="E575" s="243" t="b">
        <v>0</v>
      </c>
      <c r="F575" s="234">
        <v>46198.0</v>
      </c>
      <c r="G575" s="173"/>
      <c r="H575" s="215" t="s">
        <v>6156</v>
      </c>
      <c r="I575" s="157">
        <f t="shared" si="3"/>
        <v>1635</v>
      </c>
      <c r="J575" s="215">
        <v>2026.0</v>
      </c>
      <c r="K575" s="173"/>
    </row>
    <row r="576">
      <c r="A576" s="218">
        <f t="shared" si="2"/>
        <v>573</v>
      </c>
      <c r="B576" s="243" t="s">
        <v>71</v>
      </c>
      <c r="C576" s="236" t="str">
        <f t="shared" si="1"/>
        <v>PC/1636/2026</v>
      </c>
      <c r="D576" s="243" t="b">
        <v>1</v>
      </c>
      <c r="E576" s="243" t="b">
        <v>0</v>
      </c>
      <c r="F576" s="234">
        <v>46198.0</v>
      </c>
      <c r="G576" s="173"/>
      <c r="H576" s="215" t="s">
        <v>6156</v>
      </c>
      <c r="I576" s="157">
        <f t="shared" si="3"/>
        <v>1636</v>
      </c>
      <c r="J576" s="215">
        <v>2026.0</v>
      </c>
      <c r="K576" s="173"/>
    </row>
    <row r="577">
      <c r="A577" s="218">
        <f t="shared" si="2"/>
        <v>574</v>
      </c>
      <c r="B577" s="243" t="s">
        <v>71</v>
      </c>
      <c r="C577" s="236" t="str">
        <f t="shared" si="1"/>
        <v>PC/1637/2026</v>
      </c>
      <c r="D577" s="243" t="b">
        <v>1</v>
      </c>
      <c r="E577" s="243" t="b">
        <v>0</v>
      </c>
      <c r="F577" s="234">
        <v>46198.0</v>
      </c>
      <c r="G577" s="173"/>
      <c r="H577" s="215" t="s">
        <v>6156</v>
      </c>
      <c r="I577" s="157">
        <f t="shared" si="3"/>
        <v>1637</v>
      </c>
      <c r="J577" s="215">
        <v>2026.0</v>
      </c>
      <c r="K577" s="173"/>
    </row>
    <row r="578">
      <c r="A578" s="218">
        <f t="shared" si="2"/>
        <v>575</v>
      </c>
      <c r="B578" s="243" t="s">
        <v>71</v>
      </c>
      <c r="C578" s="236" t="str">
        <f t="shared" si="1"/>
        <v>PC/1638/2026</v>
      </c>
      <c r="D578" s="243" t="b">
        <v>1</v>
      </c>
      <c r="E578" s="243" t="b">
        <v>0</v>
      </c>
      <c r="F578" s="234">
        <v>46198.0</v>
      </c>
      <c r="G578" s="173"/>
      <c r="H578" s="215" t="s">
        <v>6156</v>
      </c>
      <c r="I578" s="157">
        <f t="shared" si="3"/>
        <v>1638</v>
      </c>
      <c r="J578" s="215">
        <v>2026.0</v>
      </c>
      <c r="K578" s="173"/>
    </row>
    <row r="579">
      <c r="A579" s="250">
        <f t="shared" si="2"/>
        <v>576</v>
      </c>
      <c r="B579" s="250" t="s">
        <v>71</v>
      </c>
      <c r="C579" s="251" t="str">
        <f t="shared" si="1"/>
        <v>PC/1639/2025</v>
      </c>
      <c r="D579" s="250" t="b">
        <v>1</v>
      </c>
      <c r="E579" s="250" t="b">
        <v>0</v>
      </c>
      <c r="F579" s="252">
        <v>46204.0</v>
      </c>
      <c r="G579" s="253"/>
      <c r="H579" s="254" t="s">
        <v>6156</v>
      </c>
      <c r="I579" s="255">
        <f t="shared" si="3"/>
        <v>1639</v>
      </c>
      <c r="J579" s="256">
        <v>2025.0</v>
      </c>
      <c r="K579" s="257" t="s">
        <v>6315</v>
      </c>
    </row>
    <row r="580">
      <c r="A580" s="218">
        <f t="shared" si="2"/>
        <v>577</v>
      </c>
      <c r="B580" s="218" t="s">
        <v>71</v>
      </c>
      <c r="C580" s="219" t="str">
        <f t="shared" si="1"/>
        <v>PC/1640/2026</v>
      </c>
      <c r="D580" s="218" t="b">
        <v>1</v>
      </c>
      <c r="E580" s="218" t="b">
        <v>0</v>
      </c>
      <c r="F580" s="218" t="s">
        <v>6317</v>
      </c>
      <c r="G580" s="173"/>
      <c r="H580" s="215" t="s">
        <v>6156</v>
      </c>
      <c r="I580" s="226">
        <f t="shared" si="3"/>
        <v>1640</v>
      </c>
      <c r="J580" s="215">
        <v>2026.0</v>
      </c>
      <c r="K580" s="173"/>
    </row>
    <row r="581">
      <c r="A581" s="218">
        <f t="shared" si="2"/>
        <v>578</v>
      </c>
      <c r="B581" s="218" t="s">
        <v>71</v>
      </c>
      <c r="C581" s="219" t="str">
        <f t="shared" si="1"/>
        <v>PC/1641/2026</v>
      </c>
      <c r="D581" s="218" t="b">
        <v>1</v>
      </c>
      <c r="E581" s="218" t="b">
        <v>0</v>
      </c>
      <c r="F581" s="218" t="s">
        <v>6317</v>
      </c>
      <c r="G581" s="173"/>
      <c r="H581" s="215" t="s">
        <v>6156</v>
      </c>
      <c r="I581" s="226">
        <f t="shared" si="3"/>
        <v>1641</v>
      </c>
      <c r="J581" s="215">
        <v>2026.0</v>
      </c>
      <c r="K581" s="173"/>
    </row>
    <row r="582">
      <c r="A582" s="218">
        <f t="shared" si="2"/>
        <v>579</v>
      </c>
      <c r="B582" s="218" t="s">
        <v>71</v>
      </c>
      <c r="C582" s="219" t="str">
        <f t="shared" si="1"/>
        <v>PC/1642/2026</v>
      </c>
      <c r="D582" s="218" t="b">
        <v>1</v>
      </c>
      <c r="E582" s="218" t="b">
        <v>0</v>
      </c>
      <c r="F582" s="218" t="s">
        <v>6317</v>
      </c>
      <c r="G582" s="173"/>
      <c r="H582" s="215" t="s">
        <v>6156</v>
      </c>
      <c r="I582" s="226">
        <f t="shared" si="3"/>
        <v>1642</v>
      </c>
      <c r="J582" s="215">
        <v>2026.0</v>
      </c>
      <c r="K582" s="173"/>
    </row>
    <row r="583">
      <c r="A583" s="218">
        <f t="shared" si="2"/>
        <v>580</v>
      </c>
      <c r="B583" s="218" t="s">
        <v>71</v>
      </c>
      <c r="C583" s="219" t="str">
        <f t="shared" si="1"/>
        <v>PC/1643/2026</v>
      </c>
      <c r="D583" s="218" t="b">
        <v>1</v>
      </c>
      <c r="E583" s="218" t="b">
        <v>0</v>
      </c>
      <c r="F583" s="218" t="s">
        <v>6317</v>
      </c>
      <c r="G583" s="173"/>
      <c r="H583" s="215" t="s">
        <v>6156</v>
      </c>
      <c r="I583" s="226">
        <f t="shared" si="3"/>
        <v>1643</v>
      </c>
      <c r="J583" s="215">
        <v>2026.0</v>
      </c>
      <c r="K583" s="173"/>
    </row>
    <row r="584">
      <c r="A584" s="218">
        <f t="shared" si="2"/>
        <v>581</v>
      </c>
      <c r="B584" s="218" t="s">
        <v>71</v>
      </c>
      <c r="C584" s="219" t="str">
        <f t="shared" si="1"/>
        <v>PC/1644/2026</v>
      </c>
      <c r="D584" s="218" t="b">
        <v>1</v>
      </c>
      <c r="E584" s="218" t="b">
        <v>0</v>
      </c>
      <c r="F584" s="218" t="s">
        <v>6317</v>
      </c>
      <c r="G584" s="173"/>
      <c r="H584" s="215" t="s">
        <v>6156</v>
      </c>
      <c r="I584" s="226">
        <f t="shared" si="3"/>
        <v>1644</v>
      </c>
      <c r="J584" s="215">
        <v>2026.0</v>
      </c>
      <c r="K584" s="173"/>
    </row>
    <row r="585">
      <c r="A585" s="218">
        <f t="shared" si="2"/>
        <v>582</v>
      </c>
      <c r="B585" s="218" t="s">
        <v>71</v>
      </c>
      <c r="C585" s="219" t="str">
        <f t="shared" si="1"/>
        <v>PC/1645/2026</v>
      </c>
      <c r="D585" s="218" t="b">
        <v>1</v>
      </c>
      <c r="E585" s="218" t="b">
        <v>0</v>
      </c>
      <c r="F585" s="218" t="s">
        <v>6317</v>
      </c>
      <c r="G585" s="173"/>
      <c r="H585" s="215" t="s">
        <v>6156</v>
      </c>
      <c r="I585" s="226">
        <f t="shared" si="3"/>
        <v>1645</v>
      </c>
      <c r="J585" s="215">
        <v>2026.0</v>
      </c>
      <c r="K585" s="173"/>
    </row>
    <row r="586">
      <c r="A586" s="218">
        <f t="shared" si="2"/>
        <v>583</v>
      </c>
      <c r="B586" s="218" t="s">
        <v>71</v>
      </c>
      <c r="C586" s="219" t="str">
        <f t="shared" si="1"/>
        <v>PC/1646/2026</v>
      </c>
      <c r="D586" s="218" t="b">
        <v>1</v>
      </c>
      <c r="E586" s="218" t="b">
        <v>0</v>
      </c>
      <c r="F586" s="218" t="s">
        <v>6317</v>
      </c>
      <c r="G586" s="173"/>
      <c r="H586" s="215" t="s">
        <v>6156</v>
      </c>
      <c r="I586" s="226">
        <f t="shared" si="3"/>
        <v>1646</v>
      </c>
      <c r="J586" s="215">
        <v>2026.0</v>
      </c>
      <c r="K586" s="173"/>
    </row>
    <row r="587">
      <c r="A587" s="218">
        <f t="shared" si="2"/>
        <v>584</v>
      </c>
      <c r="B587" s="218" t="s">
        <v>71</v>
      </c>
      <c r="C587" s="219" t="str">
        <f t="shared" si="1"/>
        <v>PC/1647/2026</v>
      </c>
      <c r="D587" s="218" t="b">
        <v>1</v>
      </c>
      <c r="E587" s="218" t="b">
        <v>0</v>
      </c>
      <c r="F587" s="218" t="s">
        <v>6317</v>
      </c>
      <c r="G587" s="173"/>
      <c r="H587" s="215" t="s">
        <v>6156</v>
      </c>
      <c r="I587" s="226">
        <f t="shared" si="3"/>
        <v>1647</v>
      </c>
      <c r="J587" s="215">
        <v>2026.0</v>
      </c>
      <c r="K587" s="173"/>
    </row>
    <row r="588">
      <c r="A588" s="218">
        <f t="shared" si="2"/>
        <v>585</v>
      </c>
      <c r="B588" s="218" t="s">
        <v>71</v>
      </c>
      <c r="C588" s="219" t="str">
        <f t="shared" si="1"/>
        <v>PC/1648/2026</v>
      </c>
      <c r="D588" s="218" t="b">
        <v>1</v>
      </c>
      <c r="E588" s="218" t="b">
        <v>0</v>
      </c>
      <c r="F588" s="218" t="s">
        <v>6317</v>
      </c>
      <c r="G588" s="173"/>
      <c r="H588" s="215" t="s">
        <v>6156</v>
      </c>
      <c r="I588" s="226">
        <f t="shared" si="3"/>
        <v>1648</v>
      </c>
      <c r="J588" s="215">
        <v>2026.0</v>
      </c>
      <c r="K588" s="173"/>
    </row>
    <row r="589">
      <c r="A589" s="218">
        <f t="shared" si="2"/>
        <v>586</v>
      </c>
      <c r="B589" s="218" t="s">
        <v>71</v>
      </c>
      <c r="C589" s="219" t="str">
        <f t="shared" si="1"/>
        <v>PC/1649/2026</v>
      </c>
      <c r="D589" s="218" t="b">
        <v>1</v>
      </c>
      <c r="E589" s="218" t="b">
        <v>0</v>
      </c>
      <c r="F589" s="218" t="s">
        <v>6317</v>
      </c>
      <c r="G589" s="173"/>
      <c r="H589" s="215" t="s">
        <v>6156</v>
      </c>
      <c r="I589" s="226">
        <f t="shared" si="3"/>
        <v>1649</v>
      </c>
      <c r="J589" s="215">
        <v>2026.0</v>
      </c>
      <c r="K589" s="173"/>
    </row>
    <row r="590">
      <c r="A590" s="218">
        <f t="shared" si="2"/>
        <v>587</v>
      </c>
      <c r="B590" s="218" t="s">
        <v>71</v>
      </c>
      <c r="C590" s="219" t="str">
        <f t="shared" si="1"/>
        <v>PC/1650/2026</v>
      </c>
      <c r="D590" s="218" t="b">
        <v>1</v>
      </c>
      <c r="E590" s="218" t="b">
        <v>0</v>
      </c>
      <c r="F590" s="218" t="s">
        <v>6317</v>
      </c>
      <c r="G590" s="173"/>
      <c r="H590" s="215" t="s">
        <v>6156</v>
      </c>
      <c r="I590" s="226">
        <f t="shared" si="3"/>
        <v>1650</v>
      </c>
      <c r="J590" s="215">
        <v>2026.0</v>
      </c>
      <c r="K590" s="173"/>
    </row>
    <row r="591">
      <c r="A591" s="218">
        <f t="shared" si="2"/>
        <v>588</v>
      </c>
      <c r="B591" s="218" t="s">
        <v>71</v>
      </c>
      <c r="C591" s="219" t="str">
        <f t="shared" si="1"/>
        <v>PC/1651/2026</v>
      </c>
      <c r="D591" s="218" t="b">
        <v>1</v>
      </c>
      <c r="E591" s="218" t="b">
        <v>0</v>
      </c>
      <c r="F591" s="218" t="s">
        <v>6317</v>
      </c>
      <c r="G591" s="173"/>
      <c r="H591" s="215" t="s">
        <v>6156</v>
      </c>
      <c r="I591" s="226">
        <f t="shared" si="3"/>
        <v>1651</v>
      </c>
      <c r="J591" s="215">
        <v>2026.0</v>
      </c>
      <c r="K591" s="173"/>
    </row>
    <row r="592">
      <c r="A592" s="218">
        <f t="shared" si="2"/>
        <v>589</v>
      </c>
      <c r="B592" s="218" t="s">
        <v>71</v>
      </c>
      <c r="C592" s="219" t="str">
        <f t="shared" si="1"/>
        <v>PC/1652/2026</v>
      </c>
      <c r="D592" s="218" t="b">
        <v>1</v>
      </c>
      <c r="E592" s="218" t="b">
        <v>0</v>
      </c>
      <c r="F592" s="218" t="s">
        <v>6317</v>
      </c>
      <c r="G592" s="173"/>
      <c r="H592" s="215" t="s">
        <v>6156</v>
      </c>
      <c r="I592" s="226">
        <f t="shared" si="3"/>
        <v>1652</v>
      </c>
      <c r="J592" s="215">
        <v>2026.0</v>
      </c>
      <c r="K592" s="173"/>
    </row>
    <row r="593">
      <c r="A593" s="218">
        <f t="shared" si="2"/>
        <v>590</v>
      </c>
      <c r="B593" s="218" t="s">
        <v>71</v>
      </c>
      <c r="C593" s="219" t="str">
        <f t="shared" si="1"/>
        <v>PC/1653/2026</v>
      </c>
      <c r="D593" s="218" t="b">
        <v>1</v>
      </c>
      <c r="E593" s="218" t="b">
        <v>0</v>
      </c>
      <c r="F593" s="218" t="s">
        <v>6317</v>
      </c>
      <c r="G593" s="173"/>
      <c r="H593" s="215" t="s">
        <v>6156</v>
      </c>
      <c r="I593" s="226">
        <f t="shared" si="3"/>
        <v>1653</v>
      </c>
      <c r="J593" s="215">
        <v>2026.0</v>
      </c>
      <c r="K593" s="173"/>
    </row>
    <row r="594">
      <c r="A594" s="218">
        <f t="shared" si="2"/>
        <v>591</v>
      </c>
      <c r="B594" s="218" t="s">
        <v>71</v>
      </c>
      <c r="C594" s="219" t="str">
        <f t="shared" si="1"/>
        <v>PC/1654/2026</v>
      </c>
      <c r="D594" s="218" t="b">
        <v>1</v>
      </c>
      <c r="E594" s="218" t="b">
        <v>0</v>
      </c>
      <c r="F594" s="218" t="s">
        <v>6317</v>
      </c>
      <c r="G594" s="173"/>
      <c r="H594" s="215" t="s">
        <v>6156</v>
      </c>
      <c r="I594" s="226">
        <f t="shared" si="3"/>
        <v>1654</v>
      </c>
      <c r="J594" s="215">
        <v>2026.0</v>
      </c>
      <c r="K594" s="173"/>
    </row>
    <row r="595">
      <c r="A595" s="218">
        <f t="shared" si="2"/>
        <v>592</v>
      </c>
      <c r="B595" s="218" t="s">
        <v>71</v>
      </c>
      <c r="C595" s="219" t="str">
        <f t="shared" si="1"/>
        <v>PC/1655/2026</v>
      </c>
      <c r="D595" s="218" t="b">
        <v>1</v>
      </c>
      <c r="E595" s="218" t="b">
        <v>0</v>
      </c>
      <c r="F595" s="218" t="s">
        <v>6317</v>
      </c>
      <c r="G595" s="173"/>
      <c r="H595" s="215" t="s">
        <v>6156</v>
      </c>
      <c r="I595" s="226">
        <f t="shared" si="3"/>
        <v>1655</v>
      </c>
      <c r="J595" s="215">
        <v>2026.0</v>
      </c>
      <c r="K595" s="173"/>
    </row>
    <row r="596">
      <c r="A596" s="218">
        <f t="shared" si="2"/>
        <v>593</v>
      </c>
      <c r="B596" s="218" t="s">
        <v>71</v>
      </c>
      <c r="C596" s="219" t="str">
        <f t="shared" si="1"/>
        <v>PC/1656/2026</v>
      </c>
      <c r="D596" s="218" t="b">
        <v>1</v>
      </c>
      <c r="E596" s="218" t="b">
        <v>0</v>
      </c>
      <c r="F596" s="218" t="s">
        <v>6317</v>
      </c>
      <c r="G596" s="173"/>
      <c r="H596" s="215" t="s">
        <v>6156</v>
      </c>
      <c r="I596" s="226">
        <f t="shared" si="3"/>
        <v>1656</v>
      </c>
      <c r="J596" s="215">
        <v>2026.0</v>
      </c>
      <c r="K596" s="173"/>
    </row>
    <row r="597">
      <c r="A597" s="218">
        <f t="shared" si="2"/>
        <v>594</v>
      </c>
      <c r="B597" s="218" t="s">
        <v>71</v>
      </c>
      <c r="C597" s="219" t="str">
        <f t="shared" si="1"/>
        <v>PC/1657/2026</v>
      </c>
      <c r="D597" s="218" t="b">
        <v>1</v>
      </c>
      <c r="E597" s="218" t="b">
        <v>0</v>
      </c>
      <c r="F597" s="218" t="s">
        <v>6317</v>
      </c>
      <c r="G597" s="173"/>
      <c r="H597" s="215" t="s">
        <v>6156</v>
      </c>
      <c r="I597" s="226">
        <f t="shared" si="3"/>
        <v>1657</v>
      </c>
      <c r="J597" s="215">
        <v>2026.0</v>
      </c>
      <c r="K597" s="173"/>
    </row>
    <row r="598">
      <c r="A598" s="218">
        <f t="shared" si="2"/>
        <v>595</v>
      </c>
      <c r="B598" s="218" t="s">
        <v>71</v>
      </c>
      <c r="C598" s="219" t="str">
        <f t="shared" si="1"/>
        <v>PC/1658/2026</v>
      </c>
      <c r="D598" s="218" t="b">
        <v>1</v>
      </c>
      <c r="E598" s="218" t="b">
        <v>0</v>
      </c>
      <c r="F598" s="218" t="s">
        <v>6317</v>
      </c>
      <c r="G598" s="173"/>
      <c r="H598" s="215" t="s">
        <v>6156</v>
      </c>
      <c r="I598" s="226">
        <f t="shared" si="3"/>
        <v>1658</v>
      </c>
      <c r="J598" s="215">
        <v>2026.0</v>
      </c>
      <c r="K598" s="173"/>
    </row>
    <row r="599">
      <c r="A599" s="218">
        <f t="shared" si="2"/>
        <v>596</v>
      </c>
      <c r="B599" s="218" t="s">
        <v>71</v>
      </c>
      <c r="C599" s="219" t="str">
        <f t="shared" si="1"/>
        <v>PC/1659/2026</v>
      </c>
      <c r="D599" s="218" t="b">
        <v>1</v>
      </c>
      <c r="E599" s="218" t="b">
        <v>0</v>
      </c>
      <c r="F599" s="218" t="s">
        <v>6317</v>
      </c>
      <c r="G599" s="173"/>
      <c r="H599" s="215" t="s">
        <v>6156</v>
      </c>
      <c r="I599" s="226">
        <f t="shared" si="3"/>
        <v>1659</v>
      </c>
      <c r="J599" s="215">
        <v>2026.0</v>
      </c>
      <c r="K599" s="173"/>
    </row>
    <row r="600">
      <c r="A600" s="218">
        <f t="shared" si="2"/>
        <v>597</v>
      </c>
      <c r="B600" s="218" t="s">
        <v>71</v>
      </c>
      <c r="C600" s="219" t="str">
        <f t="shared" si="1"/>
        <v>PC/1660/2026</v>
      </c>
      <c r="D600" s="218" t="b">
        <v>1</v>
      </c>
      <c r="E600" s="218" t="b">
        <v>0</v>
      </c>
      <c r="F600" s="218" t="s">
        <v>6317</v>
      </c>
      <c r="G600" s="173"/>
      <c r="H600" s="215" t="s">
        <v>6156</v>
      </c>
      <c r="I600" s="226">
        <f t="shared" si="3"/>
        <v>1660</v>
      </c>
      <c r="J600" s="215">
        <v>2026.0</v>
      </c>
      <c r="K600" s="173"/>
    </row>
    <row r="601">
      <c r="A601" s="218">
        <f t="shared" si="2"/>
        <v>598</v>
      </c>
      <c r="B601" s="218" t="s">
        <v>71</v>
      </c>
      <c r="C601" s="219" t="str">
        <f t="shared" si="1"/>
        <v>PC/1661/2026</v>
      </c>
      <c r="D601" s="218" t="b">
        <v>1</v>
      </c>
      <c r="E601" s="218" t="b">
        <v>0</v>
      </c>
      <c r="F601" s="218" t="s">
        <v>6317</v>
      </c>
      <c r="G601" s="173"/>
      <c r="H601" s="215" t="s">
        <v>6156</v>
      </c>
      <c r="I601" s="226">
        <f t="shared" si="3"/>
        <v>1661</v>
      </c>
      <c r="J601" s="215">
        <v>2026.0</v>
      </c>
      <c r="K601" s="173"/>
    </row>
    <row r="602">
      <c r="A602" s="218">
        <f t="shared" si="2"/>
        <v>599</v>
      </c>
      <c r="B602" s="218" t="s">
        <v>71</v>
      </c>
      <c r="C602" s="219" t="str">
        <f t="shared" si="1"/>
        <v>PC/1662/2026</v>
      </c>
      <c r="D602" s="218" t="b">
        <v>1</v>
      </c>
      <c r="E602" s="218" t="b">
        <v>0</v>
      </c>
      <c r="F602" s="218" t="s">
        <v>6317</v>
      </c>
      <c r="G602" s="173"/>
      <c r="H602" s="215" t="s">
        <v>6156</v>
      </c>
      <c r="I602" s="226">
        <f t="shared" si="3"/>
        <v>1662</v>
      </c>
      <c r="J602" s="215">
        <v>2026.0</v>
      </c>
      <c r="K602" s="173"/>
    </row>
    <row r="603">
      <c r="A603" s="218">
        <f t="shared" si="2"/>
        <v>600</v>
      </c>
      <c r="B603" s="218" t="s">
        <v>71</v>
      </c>
      <c r="C603" s="219" t="str">
        <f t="shared" si="1"/>
        <v>PC/1663/2026</v>
      </c>
      <c r="D603" s="218" t="b">
        <v>1</v>
      </c>
      <c r="E603" s="218" t="b">
        <v>0</v>
      </c>
      <c r="F603" s="218" t="s">
        <v>6317</v>
      </c>
      <c r="G603" s="173"/>
      <c r="H603" s="215" t="s">
        <v>6156</v>
      </c>
      <c r="I603" s="226">
        <f t="shared" si="3"/>
        <v>1663</v>
      </c>
      <c r="J603" s="215">
        <v>2026.0</v>
      </c>
      <c r="K603" s="173"/>
    </row>
    <row r="604">
      <c r="A604" s="218">
        <f t="shared" si="2"/>
        <v>601</v>
      </c>
      <c r="B604" s="218" t="s">
        <v>71</v>
      </c>
      <c r="C604" s="219" t="str">
        <f t="shared" si="1"/>
        <v>PC/1664/2026</v>
      </c>
      <c r="D604" s="218" t="b">
        <v>1</v>
      </c>
      <c r="E604" s="218" t="b">
        <v>0</v>
      </c>
      <c r="F604" s="218" t="s">
        <v>6317</v>
      </c>
      <c r="G604" s="173"/>
      <c r="H604" s="215" t="s">
        <v>6156</v>
      </c>
      <c r="I604" s="226">
        <f t="shared" si="3"/>
        <v>1664</v>
      </c>
      <c r="J604" s="215">
        <v>2026.0</v>
      </c>
      <c r="K604" s="173"/>
    </row>
    <row r="605">
      <c r="A605" s="218">
        <f t="shared" si="2"/>
        <v>602</v>
      </c>
      <c r="B605" s="218" t="s">
        <v>71</v>
      </c>
      <c r="C605" s="219" t="str">
        <f t="shared" si="1"/>
        <v>PC/1665/2026</v>
      </c>
      <c r="D605" s="218" t="b">
        <v>1</v>
      </c>
      <c r="E605" s="218" t="b">
        <v>0</v>
      </c>
      <c r="F605" s="218" t="s">
        <v>6317</v>
      </c>
      <c r="G605" s="173"/>
      <c r="H605" s="215" t="s">
        <v>6156</v>
      </c>
      <c r="I605" s="226">
        <f t="shared" si="3"/>
        <v>1665</v>
      </c>
      <c r="J605" s="215">
        <v>2026.0</v>
      </c>
      <c r="K605" s="173"/>
    </row>
    <row r="606">
      <c r="A606" s="218">
        <f t="shared" si="2"/>
        <v>603</v>
      </c>
      <c r="B606" s="218" t="s">
        <v>71</v>
      </c>
      <c r="C606" s="219" t="str">
        <f t="shared" si="1"/>
        <v>PC/1666/2026</v>
      </c>
      <c r="D606" s="218" t="b">
        <v>1</v>
      </c>
      <c r="E606" s="218" t="b">
        <v>0</v>
      </c>
      <c r="F606" s="218" t="s">
        <v>6317</v>
      </c>
      <c r="G606" s="173"/>
      <c r="H606" s="215" t="s">
        <v>6156</v>
      </c>
      <c r="I606" s="226">
        <f t="shared" si="3"/>
        <v>1666</v>
      </c>
      <c r="J606" s="215">
        <v>2026.0</v>
      </c>
      <c r="K606" s="173"/>
    </row>
    <row r="607">
      <c r="A607" s="218">
        <f t="shared" si="2"/>
        <v>604</v>
      </c>
      <c r="B607" s="218" t="s">
        <v>71</v>
      </c>
      <c r="C607" s="219" t="str">
        <f t="shared" si="1"/>
        <v>PC/1667/2026</v>
      </c>
      <c r="D607" s="218" t="b">
        <v>1</v>
      </c>
      <c r="E607" s="218" t="b">
        <v>0</v>
      </c>
      <c r="F607" s="218" t="s">
        <v>6317</v>
      </c>
      <c r="G607" s="173"/>
      <c r="H607" s="215" t="s">
        <v>6156</v>
      </c>
      <c r="I607" s="226">
        <f t="shared" si="3"/>
        <v>1667</v>
      </c>
      <c r="J607" s="215">
        <v>2026.0</v>
      </c>
      <c r="K607" s="173"/>
    </row>
    <row r="608">
      <c r="A608" s="218">
        <f t="shared" si="2"/>
        <v>605</v>
      </c>
      <c r="B608" s="218" t="s">
        <v>71</v>
      </c>
      <c r="C608" s="219" t="str">
        <f t="shared" si="1"/>
        <v>PC/1668/2026</v>
      </c>
      <c r="D608" s="218" t="b">
        <v>1</v>
      </c>
      <c r="E608" s="218" t="b">
        <v>0</v>
      </c>
      <c r="F608" s="218" t="s">
        <v>6317</v>
      </c>
      <c r="G608" s="173"/>
      <c r="H608" s="215" t="s">
        <v>6156</v>
      </c>
      <c r="I608" s="226">
        <f t="shared" si="3"/>
        <v>1668</v>
      </c>
      <c r="J608" s="215">
        <v>2026.0</v>
      </c>
      <c r="K608" s="173"/>
    </row>
    <row r="609">
      <c r="A609" s="218">
        <f t="shared" si="2"/>
        <v>606</v>
      </c>
      <c r="B609" s="218" t="s">
        <v>71</v>
      </c>
      <c r="C609" s="219" t="str">
        <f t="shared" si="1"/>
        <v>PC/1669/2026</v>
      </c>
      <c r="D609" s="218" t="b">
        <v>1</v>
      </c>
      <c r="E609" s="218" t="b">
        <v>0</v>
      </c>
      <c r="F609" s="218" t="s">
        <v>6317</v>
      </c>
      <c r="G609" s="173"/>
      <c r="H609" s="215" t="s">
        <v>6156</v>
      </c>
      <c r="I609" s="226">
        <f t="shared" si="3"/>
        <v>1669</v>
      </c>
      <c r="J609" s="215">
        <v>2026.0</v>
      </c>
      <c r="K609" s="173"/>
    </row>
    <row r="610">
      <c r="A610" s="218">
        <f t="shared" si="2"/>
        <v>607</v>
      </c>
      <c r="B610" s="218" t="s">
        <v>71</v>
      </c>
      <c r="C610" s="219" t="str">
        <f t="shared" si="1"/>
        <v>PC/1670/2026</v>
      </c>
      <c r="D610" s="218" t="b">
        <v>1</v>
      </c>
      <c r="E610" s="218" t="b">
        <v>0</v>
      </c>
      <c r="F610" s="218" t="s">
        <v>6317</v>
      </c>
      <c r="G610" s="173"/>
      <c r="H610" s="215" t="s">
        <v>6156</v>
      </c>
      <c r="I610" s="226">
        <f t="shared" si="3"/>
        <v>1670</v>
      </c>
      <c r="J610" s="215">
        <v>2026.0</v>
      </c>
      <c r="K610" s="173"/>
    </row>
    <row r="611">
      <c r="A611" s="218">
        <f t="shared" si="2"/>
        <v>608</v>
      </c>
      <c r="B611" s="218" t="s">
        <v>71</v>
      </c>
      <c r="C611" s="219" t="str">
        <f t="shared" si="1"/>
        <v>PC/1671/2026</v>
      </c>
      <c r="D611" s="218" t="b">
        <v>1</v>
      </c>
      <c r="E611" s="218" t="b">
        <v>0</v>
      </c>
      <c r="F611" s="218" t="s">
        <v>6317</v>
      </c>
      <c r="G611" s="173"/>
      <c r="H611" s="215" t="s">
        <v>6156</v>
      </c>
      <c r="I611" s="226">
        <f t="shared" si="3"/>
        <v>1671</v>
      </c>
      <c r="J611" s="215">
        <v>2026.0</v>
      </c>
      <c r="K611" s="173"/>
    </row>
    <row r="612">
      <c r="A612" s="218">
        <f t="shared" si="2"/>
        <v>609</v>
      </c>
      <c r="B612" s="218" t="s">
        <v>71</v>
      </c>
      <c r="C612" s="219" t="str">
        <f t="shared" si="1"/>
        <v>PC/1672/2026</v>
      </c>
      <c r="D612" s="218" t="b">
        <v>1</v>
      </c>
      <c r="E612" s="218" t="b">
        <v>0</v>
      </c>
      <c r="F612" s="218" t="s">
        <v>6317</v>
      </c>
      <c r="G612" s="173"/>
      <c r="H612" s="215" t="s">
        <v>6156</v>
      </c>
      <c r="I612" s="226">
        <f t="shared" si="3"/>
        <v>1672</v>
      </c>
      <c r="J612" s="215">
        <v>2026.0</v>
      </c>
      <c r="K612" s="173"/>
    </row>
    <row r="613">
      <c r="A613" s="218">
        <f t="shared" si="2"/>
        <v>610</v>
      </c>
      <c r="B613" s="218" t="s">
        <v>71</v>
      </c>
      <c r="C613" s="219" t="str">
        <f t="shared" si="1"/>
        <v>PC/1673/2026</v>
      </c>
      <c r="D613" s="218" t="b">
        <v>1</v>
      </c>
      <c r="E613" s="218" t="b">
        <v>0</v>
      </c>
      <c r="F613" s="218" t="s">
        <v>6317</v>
      </c>
      <c r="G613" s="173"/>
      <c r="H613" s="215" t="s">
        <v>6156</v>
      </c>
      <c r="I613" s="226">
        <f t="shared" si="3"/>
        <v>1673</v>
      </c>
      <c r="J613" s="215">
        <v>2026.0</v>
      </c>
      <c r="K613" s="173"/>
    </row>
    <row r="614">
      <c r="A614" s="218">
        <f t="shared" si="2"/>
        <v>611</v>
      </c>
      <c r="B614" s="218" t="s">
        <v>71</v>
      </c>
      <c r="C614" s="219" t="str">
        <f t="shared" si="1"/>
        <v>PC/1674/2026</v>
      </c>
      <c r="D614" s="218" t="b">
        <v>1</v>
      </c>
      <c r="E614" s="218" t="b">
        <v>0</v>
      </c>
      <c r="F614" s="218" t="s">
        <v>6317</v>
      </c>
      <c r="G614" s="173"/>
      <c r="H614" s="215" t="s">
        <v>6156</v>
      </c>
      <c r="I614" s="226">
        <f t="shared" si="3"/>
        <v>1674</v>
      </c>
      <c r="J614" s="215">
        <v>2026.0</v>
      </c>
      <c r="K614" s="173"/>
    </row>
    <row r="615">
      <c r="A615" s="218">
        <f t="shared" si="2"/>
        <v>612</v>
      </c>
      <c r="B615" s="218" t="s">
        <v>71</v>
      </c>
      <c r="C615" s="219" t="str">
        <f t="shared" si="1"/>
        <v>PC/1675/2026</v>
      </c>
      <c r="D615" s="218" t="b">
        <v>1</v>
      </c>
      <c r="E615" s="218" t="b">
        <v>0</v>
      </c>
      <c r="F615" s="218" t="s">
        <v>6317</v>
      </c>
      <c r="G615" s="173"/>
      <c r="H615" s="215" t="s">
        <v>6156</v>
      </c>
      <c r="I615" s="226">
        <f t="shared" si="3"/>
        <v>1675</v>
      </c>
      <c r="J615" s="215">
        <v>2026.0</v>
      </c>
      <c r="K615" s="173"/>
    </row>
    <row r="616">
      <c r="A616" s="218">
        <f t="shared" si="2"/>
        <v>613</v>
      </c>
      <c r="B616" s="218" t="s">
        <v>71</v>
      </c>
      <c r="C616" s="219" t="str">
        <f t="shared" si="1"/>
        <v>PC/1676/2026</v>
      </c>
      <c r="D616" s="218" t="b">
        <v>1</v>
      </c>
      <c r="E616" s="218" t="b">
        <v>0</v>
      </c>
      <c r="F616" s="218" t="s">
        <v>6317</v>
      </c>
      <c r="G616" s="173"/>
      <c r="H616" s="215" t="s">
        <v>6156</v>
      </c>
      <c r="I616" s="226">
        <f t="shared" si="3"/>
        <v>1676</v>
      </c>
      <c r="J616" s="215">
        <v>2026.0</v>
      </c>
      <c r="K616" s="173"/>
    </row>
    <row r="617">
      <c r="A617" s="218">
        <f t="shared" si="2"/>
        <v>614</v>
      </c>
      <c r="B617" s="218" t="s">
        <v>71</v>
      </c>
      <c r="C617" s="219" t="str">
        <f t="shared" si="1"/>
        <v>PC/1677/2026</v>
      </c>
      <c r="D617" s="218" t="b">
        <v>1</v>
      </c>
      <c r="E617" s="218" t="b">
        <v>0</v>
      </c>
      <c r="F617" s="218" t="s">
        <v>6317</v>
      </c>
      <c r="G617" s="173"/>
      <c r="H617" s="215" t="s">
        <v>6156</v>
      </c>
      <c r="I617" s="226">
        <f t="shared" si="3"/>
        <v>1677</v>
      </c>
      <c r="J617" s="215">
        <v>2026.0</v>
      </c>
      <c r="K617" s="173"/>
    </row>
    <row r="618">
      <c r="A618" s="218">
        <f t="shared" si="2"/>
        <v>615</v>
      </c>
      <c r="B618" s="218" t="s">
        <v>71</v>
      </c>
      <c r="C618" s="219" t="str">
        <f t="shared" si="1"/>
        <v>PC/1678/2026</v>
      </c>
      <c r="D618" s="218" t="b">
        <v>1</v>
      </c>
      <c r="E618" s="218" t="b">
        <v>0</v>
      </c>
      <c r="F618" s="218" t="s">
        <v>6317</v>
      </c>
      <c r="G618" s="173"/>
      <c r="H618" s="215" t="s">
        <v>6156</v>
      </c>
      <c r="I618" s="226">
        <f t="shared" si="3"/>
        <v>1678</v>
      </c>
      <c r="J618" s="215">
        <v>2026.0</v>
      </c>
      <c r="K618" s="173"/>
    </row>
    <row r="619">
      <c r="A619" s="218">
        <f t="shared" si="2"/>
        <v>616</v>
      </c>
      <c r="B619" s="218" t="s">
        <v>71</v>
      </c>
      <c r="C619" s="219" t="str">
        <f t="shared" si="1"/>
        <v>PC/1679/2026</v>
      </c>
      <c r="D619" s="218" t="b">
        <v>1</v>
      </c>
      <c r="E619" s="218" t="b">
        <v>0</v>
      </c>
      <c r="F619" s="218" t="s">
        <v>6317</v>
      </c>
      <c r="G619" s="173"/>
      <c r="H619" s="215" t="s">
        <v>6156</v>
      </c>
      <c r="I619" s="226">
        <f t="shared" si="3"/>
        <v>1679</v>
      </c>
      <c r="J619" s="215">
        <v>2026.0</v>
      </c>
      <c r="K619" s="173"/>
    </row>
    <row r="620">
      <c r="A620" s="218">
        <f t="shared" si="2"/>
        <v>617</v>
      </c>
      <c r="B620" s="218" t="s">
        <v>71</v>
      </c>
      <c r="C620" s="219" t="str">
        <f t="shared" si="1"/>
        <v>PC/1680/2026</v>
      </c>
      <c r="D620" s="218" t="b">
        <v>1</v>
      </c>
      <c r="E620" s="218" t="b">
        <v>0</v>
      </c>
      <c r="F620" s="218" t="s">
        <v>6317</v>
      </c>
      <c r="G620" s="173"/>
      <c r="H620" s="215" t="s">
        <v>6156</v>
      </c>
      <c r="I620" s="226">
        <f t="shared" si="3"/>
        <v>1680</v>
      </c>
      <c r="J620" s="215">
        <v>2026.0</v>
      </c>
      <c r="K620" s="173"/>
    </row>
    <row r="621">
      <c r="A621" s="218">
        <f t="shared" si="2"/>
        <v>618</v>
      </c>
      <c r="B621" s="218" t="s">
        <v>71</v>
      </c>
      <c r="C621" s="219" t="str">
        <f t="shared" si="1"/>
        <v>PC/1681/2026</v>
      </c>
      <c r="D621" s="218" t="b">
        <v>1</v>
      </c>
      <c r="E621" s="218" t="b">
        <v>0</v>
      </c>
      <c r="F621" s="218" t="s">
        <v>6317</v>
      </c>
      <c r="G621" s="173"/>
      <c r="H621" s="215" t="s">
        <v>6156</v>
      </c>
      <c r="I621" s="226">
        <f t="shared" si="3"/>
        <v>1681</v>
      </c>
      <c r="J621" s="215">
        <v>2026.0</v>
      </c>
      <c r="K621" s="173"/>
    </row>
    <row r="622">
      <c r="A622" s="218">
        <f t="shared" si="2"/>
        <v>619</v>
      </c>
      <c r="B622" s="218" t="s">
        <v>71</v>
      </c>
      <c r="C622" s="219" t="str">
        <f t="shared" si="1"/>
        <v>PC/1682/2026</v>
      </c>
      <c r="D622" s="218" t="b">
        <v>1</v>
      </c>
      <c r="E622" s="218" t="b">
        <v>0</v>
      </c>
      <c r="F622" s="218" t="s">
        <v>6317</v>
      </c>
      <c r="G622" s="173"/>
      <c r="H622" s="215" t="s">
        <v>6156</v>
      </c>
      <c r="I622" s="226">
        <f t="shared" si="3"/>
        <v>1682</v>
      </c>
      <c r="J622" s="215">
        <v>2026.0</v>
      </c>
      <c r="K622" s="173"/>
    </row>
    <row r="623">
      <c r="A623" s="218">
        <f t="shared" si="2"/>
        <v>620</v>
      </c>
      <c r="B623" s="218" t="s">
        <v>71</v>
      </c>
      <c r="C623" s="219" t="str">
        <f t="shared" si="1"/>
        <v>PC/1683/2026</v>
      </c>
      <c r="D623" s="218" t="b">
        <v>1</v>
      </c>
      <c r="E623" s="218" t="b">
        <v>0</v>
      </c>
      <c r="F623" s="218" t="s">
        <v>6317</v>
      </c>
      <c r="G623" s="173"/>
      <c r="H623" s="215" t="s">
        <v>6156</v>
      </c>
      <c r="I623" s="226">
        <f t="shared" si="3"/>
        <v>1683</v>
      </c>
      <c r="J623" s="215">
        <v>2026.0</v>
      </c>
      <c r="K623" s="173"/>
    </row>
    <row r="624">
      <c r="A624" s="218">
        <f t="shared" si="2"/>
        <v>621</v>
      </c>
      <c r="B624" s="218" t="s">
        <v>71</v>
      </c>
      <c r="C624" s="219" t="str">
        <f t="shared" si="1"/>
        <v>PC/1684/2026</v>
      </c>
      <c r="D624" s="218" t="b">
        <v>1</v>
      </c>
      <c r="E624" s="218" t="b">
        <v>0</v>
      </c>
      <c r="F624" s="218" t="s">
        <v>6317</v>
      </c>
      <c r="G624" s="173"/>
      <c r="H624" s="215" t="s">
        <v>6156</v>
      </c>
      <c r="I624" s="226">
        <f t="shared" si="3"/>
        <v>1684</v>
      </c>
      <c r="J624" s="215">
        <v>2026.0</v>
      </c>
      <c r="K624" s="173"/>
    </row>
    <row r="625">
      <c r="A625" s="218">
        <f t="shared" si="2"/>
        <v>622</v>
      </c>
      <c r="B625" s="218" t="s">
        <v>71</v>
      </c>
      <c r="C625" s="219" t="str">
        <f t="shared" si="1"/>
        <v>PC/1685/2026</v>
      </c>
      <c r="D625" s="218" t="b">
        <v>1</v>
      </c>
      <c r="E625" s="218" t="b">
        <v>0</v>
      </c>
      <c r="F625" s="218" t="s">
        <v>6317</v>
      </c>
      <c r="G625" s="173"/>
      <c r="H625" s="215" t="s">
        <v>6156</v>
      </c>
      <c r="I625" s="226">
        <f t="shared" si="3"/>
        <v>1685</v>
      </c>
      <c r="J625" s="215">
        <v>2026.0</v>
      </c>
      <c r="K625" s="173"/>
    </row>
    <row r="626">
      <c r="A626" s="218">
        <f t="shared" si="2"/>
        <v>623</v>
      </c>
      <c r="B626" s="218" t="s">
        <v>71</v>
      </c>
      <c r="C626" s="219" t="str">
        <f t="shared" si="1"/>
        <v>PC/1686/2026</v>
      </c>
      <c r="D626" s="218" t="b">
        <v>1</v>
      </c>
      <c r="E626" s="218" t="b">
        <v>0</v>
      </c>
      <c r="F626" s="218" t="s">
        <v>6317</v>
      </c>
      <c r="G626" s="173"/>
      <c r="H626" s="215" t="s">
        <v>6156</v>
      </c>
      <c r="I626" s="226">
        <f t="shared" si="3"/>
        <v>1686</v>
      </c>
      <c r="J626" s="215">
        <v>2026.0</v>
      </c>
      <c r="K626" s="173"/>
    </row>
    <row r="627">
      <c r="A627" s="218">
        <f t="shared" si="2"/>
        <v>624</v>
      </c>
      <c r="B627" s="218" t="s">
        <v>71</v>
      </c>
      <c r="C627" s="219" t="str">
        <f t="shared" si="1"/>
        <v>PC/1687/2026</v>
      </c>
      <c r="D627" s="218" t="b">
        <v>1</v>
      </c>
      <c r="E627" s="218" t="b">
        <v>0</v>
      </c>
      <c r="F627" s="218" t="s">
        <v>6317</v>
      </c>
      <c r="G627" s="173"/>
      <c r="H627" s="215" t="s">
        <v>6156</v>
      </c>
      <c r="I627" s="226">
        <f t="shared" si="3"/>
        <v>1687</v>
      </c>
      <c r="J627" s="215">
        <v>2026.0</v>
      </c>
      <c r="K627" s="173"/>
    </row>
    <row r="628">
      <c r="A628" s="218">
        <f t="shared" si="2"/>
        <v>625</v>
      </c>
      <c r="B628" s="218" t="s">
        <v>71</v>
      </c>
      <c r="C628" s="219" t="str">
        <f t="shared" si="1"/>
        <v>PC/1688/2026</v>
      </c>
      <c r="D628" s="218" t="b">
        <v>1</v>
      </c>
      <c r="E628" s="218" t="b">
        <v>0</v>
      </c>
      <c r="F628" s="218" t="s">
        <v>6317</v>
      </c>
      <c r="G628" s="173"/>
      <c r="H628" s="215" t="s">
        <v>6156</v>
      </c>
      <c r="I628" s="226">
        <f t="shared" si="3"/>
        <v>1688</v>
      </c>
      <c r="J628" s="215">
        <v>2026.0</v>
      </c>
      <c r="K628" s="173"/>
    </row>
    <row r="629">
      <c r="A629" s="218">
        <f t="shared" si="2"/>
        <v>626</v>
      </c>
      <c r="B629" s="218" t="s">
        <v>71</v>
      </c>
      <c r="C629" s="219" t="str">
        <f t="shared" si="1"/>
        <v>PC/1689/2026</v>
      </c>
      <c r="D629" s="218" t="b">
        <v>1</v>
      </c>
      <c r="E629" s="218" t="b">
        <v>0</v>
      </c>
      <c r="F629" s="218" t="s">
        <v>6317</v>
      </c>
      <c r="G629" s="173"/>
      <c r="H629" s="215" t="s">
        <v>6156</v>
      </c>
      <c r="I629" s="226">
        <f t="shared" si="3"/>
        <v>1689</v>
      </c>
      <c r="J629" s="215">
        <v>2026.0</v>
      </c>
      <c r="K629" s="173"/>
    </row>
    <row r="630">
      <c r="A630" s="218">
        <f t="shared" si="2"/>
        <v>627</v>
      </c>
      <c r="B630" s="218" t="s">
        <v>71</v>
      </c>
      <c r="C630" s="219" t="str">
        <f t="shared" si="1"/>
        <v>//</v>
      </c>
      <c r="D630" s="218" t="b">
        <v>0</v>
      </c>
      <c r="E630" s="218" t="b">
        <v>1</v>
      </c>
      <c r="F630" s="234"/>
      <c r="G630" s="173"/>
      <c r="H630" s="173"/>
      <c r="I630" s="157"/>
      <c r="J630" s="173"/>
      <c r="K630" s="173"/>
    </row>
    <row r="631">
      <c r="A631" s="216"/>
      <c r="B631" s="216"/>
      <c r="C631" s="216"/>
      <c r="D631" s="216"/>
      <c r="E631" s="216"/>
      <c r="F631" s="216"/>
      <c r="G631" s="173"/>
      <c r="H631" s="173"/>
      <c r="I631" s="157"/>
      <c r="J631" s="173"/>
      <c r="K631" s="173"/>
    </row>
    <row r="632">
      <c r="A632" s="216"/>
      <c r="B632" s="216"/>
      <c r="C632" s="216"/>
      <c r="D632" s="216"/>
      <c r="E632" s="216"/>
      <c r="F632" s="216"/>
      <c r="G632" s="173"/>
      <c r="H632" s="173"/>
      <c r="I632" s="157"/>
      <c r="J632" s="173"/>
      <c r="K632" s="173"/>
    </row>
    <row r="633">
      <c r="A633" s="216"/>
      <c r="B633" s="216"/>
      <c r="C633" s="216"/>
      <c r="D633" s="216"/>
      <c r="E633" s="216"/>
      <c r="F633" s="216"/>
      <c r="G633" s="173"/>
      <c r="H633" s="173"/>
      <c r="I633" s="157"/>
      <c r="J633" s="173"/>
      <c r="K633" s="173"/>
    </row>
    <row r="634">
      <c r="A634" s="216"/>
      <c r="B634" s="216"/>
      <c r="C634" s="216"/>
      <c r="D634" s="216"/>
      <c r="E634" s="216"/>
      <c r="F634" s="216"/>
      <c r="G634" s="173"/>
      <c r="H634" s="173"/>
      <c r="I634" s="157"/>
      <c r="J634" s="173"/>
      <c r="K634" s="173"/>
    </row>
    <row r="635">
      <c r="A635" s="216"/>
      <c r="B635" s="216"/>
      <c r="C635" s="216"/>
      <c r="D635" s="216"/>
      <c r="E635" s="216"/>
      <c r="F635" s="216"/>
      <c r="G635" s="173"/>
      <c r="H635" s="173"/>
      <c r="I635" s="157"/>
      <c r="J635" s="173"/>
      <c r="K635" s="173"/>
    </row>
    <row r="636">
      <c r="A636" s="216"/>
      <c r="B636" s="216"/>
      <c r="C636" s="216"/>
      <c r="D636" s="216"/>
      <c r="E636" s="216"/>
      <c r="F636" s="216"/>
      <c r="G636" s="173"/>
      <c r="H636" s="173"/>
      <c r="I636" s="157"/>
      <c r="J636" s="173"/>
      <c r="K636" s="173"/>
    </row>
    <row r="637">
      <c r="A637" s="216"/>
      <c r="B637" s="216"/>
      <c r="C637" s="216"/>
      <c r="D637" s="216"/>
      <c r="E637" s="216"/>
      <c r="F637" s="216"/>
      <c r="G637" s="173"/>
      <c r="H637" s="173"/>
      <c r="I637" s="157"/>
      <c r="J637" s="173"/>
      <c r="K637" s="173"/>
    </row>
    <row r="638">
      <c r="A638" s="216"/>
      <c r="B638" s="216"/>
      <c r="C638" s="216"/>
      <c r="D638" s="216"/>
      <c r="E638" s="216"/>
      <c r="F638" s="216"/>
      <c r="G638" s="173"/>
      <c r="H638" s="173"/>
      <c r="I638" s="157"/>
      <c r="J638" s="173"/>
      <c r="K638" s="173"/>
    </row>
    <row r="639">
      <c r="A639" s="216"/>
      <c r="B639" s="216"/>
      <c r="C639" s="216"/>
      <c r="D639" s="216"/>
      <c r="E639" s="216"/>
      <c r="F639" s="216"/>
      <c r="G639" s="173"/>
      <c r="H639" s="173"/>
      <c r="I639" s="157"/>
      <c r="J639" s="173"/>
      <c r="K639" s="173"/>
    </row>
    <row r="640">
      <c r="A640" s="216"/>
      <c r="B640" s="216"/>
      <c r="C640" s="216"/>
      <c r="D640" s="216"/>
      <c r="E640" s="216"/>
      <c r="F640" s="216"/>
      <c r="G640" s="173"/>
      <c r="H640" s="173"/>
      <c r="I640" s="173"/>
      <c r="J640" s="173"/>
      <c r="K640" s="173"/>
    </row>
    <row r="641">
      <c r="A641" s="216"/>
      <c r="B641" s="216"/>
      <c r="C641" s="216"/>
      <c r="D641" s="216"/>
      <c r="E641" s="216"/>
      <c r="F641" s="216"/>
      <c r="G641" s="173"/>
      <c r="H641" s="173"/>
      <c r="I641" s="173"/>
      <c r="J641" s="173"/>
      <c r="K641" s="173"/>
    </row>
    <row r="642">
      <c r="A642" s="216"/>
      <c r="B642" s="216"/>
      <c r="C642" s="216"/>
      <c r="D642" s="216"/>
      <c r="E642" s="216"/>
      <c r="F642" s="216"/>
      <c r="G642" s="173"/>
      <c r="H642" s="173"/>
      <c r="I642" s="173"/>
      <c r="J642" s="173"/>
      <c r="K642" s="173"/>
    </row>
    <row r="643">
      <c r="A643" s="216"/>
      <c r="B643" s="216"/>
      <c r="C643" s="216"/>
      <c r="D643" s="216"/>
      <c r="E643" s="216"/>
      <c r="F643" s="216"/>
      <c r="G643" s="173"/>
      <c r="H643" s="173"/>
      <c r="I643" s="173"/>
      <c r="J643" s="173"/>
      <c r="K643" s="173"/>
    </row>
    <row r="644">
      <c r="A644" s="216"/>
      <c r="B644" s="216"/>
      <c r="C644" s="216"/>
      <c r="D644" s="216"/>
      <c r="E644" s="216"/>
      <c r="F644" s="216"/>
      <c r="G644" s="173"/>
      <c r="H644" s="173"/>
      <c r="I644" s="173"/>
      <c r="J644" s="173"/>
      <c r="K644" s="173"/>
    </row>
    <row r="645">
      <c r="A645" s="216"/>
      <c r="B645" s="216"/>
      <c r="C645" s="216"/>
      <c r="D645" s="216"/>
      <c r="E645" s="216"/>
      <c r="F645" s="216"/>
      <c r="G645" s="173"/>
      <c r="H645" s="173"/>
      <c r="I645" s="173"/>
      <c r="J645" s="173"/>
      <c r="K645" s="173"/>
    </row>
    <row r="646">
      <c r="A646" s="216"/>
      <c r="B646" s="216"/>
      <c r="C646" s="216"/>
      <c r="D646" s="216"/>
      <c r="E646" s="216"/>
      <c r="F646" s="216"/>
      <c r="G646" s="173"/>
      <c r="H646" s="173"/>
      <c r="I646" s="173"/>
      <c r="J646" s="173"/>
      <c r="K646" s="173"/>
    </row>
    <row r="647">
      <c r="A647" s="216"/>
      <c r="B647" s="216"/>
      <c r="C647" s="216"/>
      <c r="D647" s="216"/>
      <c r="E647" s="216"/>
      <c r="F647" s="216"/>
      <c r="G647" s="173"/>
      <c r="H647" s="173"/>
      <c r="I647" s="173"/>
      <c r="J647" s="173"/>
      <c r="K647" s="173"/>
    </row>
    <row r="648">
      <c r="A648" s="216"/>
      <c r="B648" s="216"/>
      <c r="C648" s="216"/>
      <c r="D648" s="216"/>
      <c r="E648" s="216"/>
      <c r="F648" s="216"/>
      <c r="G648" s="173"/>
      <c r="H648" s="173"/>
      <c r="I648" s="173"/>
      <c r="J648" s="173"/>
      <c r="K648" s="173"/>
    </row>
    <row r="649">
      <c r="A649" s="216"/>
      <c r="B649" s="216"/>
      <c r="C649" s="216"/>
      <c r="D649" s="216"/>
      <c r="E649" s="216"/>
      <c r="F649" s="216"/>
      <c r="G649" s="173"/>
      <c r="H649" s="173"/>
      <c r="I649" s="173"/>
      <c r="J649" s="173"/>
      <c r="K649" s="173"/>
    </row>
    <row r="650">
      <c r="A650" s="216"/>
      <c r="B650" s="216"/>
      <c r="C650" s="216"/>
      <c r="D650" s="216"/>
      <c r="E650" s="216"/>
      <c r="F650" s="216"/>
      <c r="G650" s="173"/>
      <c r="H650" s="173"/>
      <c r="I650" s="173"/>
      <c r="J650" s="173"/>
      <c r="K650" s="173"/>
    </row>
    <row r="651">
      <c r="A651" s="216"/>
      <c r="B651" s="216"/>
      <c r="C651" s="216"/>
      <c r="D651" s="216"/>
      <c r="E651" s="216"/>
      <c r="F651" s="216"/>
      <c r="G651" s="173"/>
      <c r="H651" s="173"/>
      <c r="I651" s="173"/>
      <c r="J651" s="173"/>
      <c r="K651" s="173"/>
    </row>
    <row r="652">
      <c r="A652" s="216"/>
      <c r="B652" s="216"/>
      <c r="C652" s="216"/>
      <c r="D652" s="216"/>
      <c r="E652" s="216"/>
      <c r="F652" s="216"/>
      <c r="G652" s="173"/>
      <c r="H652" s="173"/>
      <c r="I652" s="173"/>
      <c r="J652" s="173"/>
      <c r="K652" s="173"/>
    </row>
    <row r="653">
      <c r="A653" s="216"/>
      <c r="B653" s="216"/>
      <c r="C653" s="216"/>
      <c r="D653" s="216"/>
      <c r="E653" s="216"/>
      <c r="F653" s="216"/>
      <c r="G653" s="173"/>
      <c r="H653" s="173"/>
      <c r="I653" s="173"/>
      <c r="J653" s="173"/>
      <c r="K653" s="173"/>
    </row>
    <row r="654">
      <c r="A654" s="216"/>
      <c r="B654" s="216"/>
      <c r="C654" s="216"/>
      <c r="D654" s="216"/>
      <c r="E654" s="216"/>
      <c r="F654" s="216"/>
      <c r="G654" s="173"/>
      <c r="H654" s="173"/>
      <c r="I654" s="173"/>
      <c r="J654" s="173"/>
      <c r="K654" s="173"/>
    </row>
    <row r="655">
      <c r="A655" s="216"/>
      <c r="B655" s="216"/>
      <c r="C655" s="216"/>
      <c r="D655" s="216"/>
      <c r="E655" s="216"/>
      <c r="F655" s="216"/>
      <c r="G655" s="173"/>
      <c r="H655" s="173"/>
      <c r="I655" s="173"/>
      <c r="J655" s="173"/>
      <c r="K655" s="173"/>
    </row>
    <row r="656">
      <c r="A656" s="216"/>
      <c r="B656" s="216"/>
      <c r="C656" s="216"/>
      <c r="D656" s="216"/>
      <c r="E656" s="216"/>
      <c r="F656" s="216"/>
      <c r="G656" s="173"/>
      <c r="H656" s="173"/>
      <c r="I656" s="173"/>
      <c r="J656" s="173"/>
      <c r="K656" s="173"/>
    </row>
    <row r="657">
      <c r="A657" s="216"/>
      <c r="B657" s="216"/>
      <c r="C657" s="216"/>
      <c r="D657" s="216"/>
      <c r="E657" s="216"/>
      <c r="F657" s="216"/>
      <c r="G657" s="173"/>
      <c r="H657" s="173"/>
      <c r="I657" s="173"/>
      <c r="J657" s="173"/>
      <c r="K657" s="173"/>
    </row>
    <row r="658">
      <c r="A658" s="216"/>
      <c r="B658" s="216"/>
      <c r="C658" s="216"/>
      <c r="D658" s="216"/>
      <c r="E658" s="216"/>
      <c r="F658" s="216"/>
      <c r="G658" s="173"/>
      <c r="H658" s="173"/>
      <c r="I658" s="173"/>
      <c r="J658" s="173"/>
      <c r="K658" s="173"/>
    </row>
    <row r="659">
      <c r="A659" s="216"/>
      <c r="B659" s="216"/>
      <c r="C659" s="216"/>
      <c r="D659" s="216"/>
      <c r="E659" s="216"/>
      <c r="F659" s="216"/>
      <c r="G659" s="173"/>
      <c r="H659" s="173"/>
      <c r="I659" s="173"/>
      <c r="J659" s="173"/>
      <c r="K659" s="173"/>
    </row>
    <row r="660">
      <c r="A660" s="216"/>
      <c r="B660" s="216"/>
      <c r="C660" s="216"/>
      <c r="D660" s="216"/>
      <c r="E660" s="216"/>
      <c r="F660" s="216"/>
      <c r="G660" s="173"/>
      <c r="H660" s="173"/>
      <c r="I660" s="173"/>
      <c r="J660" s="173"/>
      <c r="K660" s="173"/>
    </row>
    <row r="661">
      <c r="A661" s="216"/>
      <c r="B661" s="216"/>
      <c r="C661" s="216"/>
      <c r="D661" s="216"/>
      <c r="E661" s="216"/>
      <c r="F661" s="216"/>
      <c r="G661" s="173"/>
      <c r="H661" s="173"/>
      <c r="I661" s="173"/>
      <c r="J661" s="173"/>
      <c r="K661" s="173"/>
    </row>
    <row r="662">
      <c r="A662" s="216"/>
      <c r="B662" s="216"/>
      <c r="C662" s="216"/>
      <c r="D662" s="216"/>
      <c r="E662" s="216"/>
      <c r="F662" s="216"/>
      <c r="G662" s="173"/>
      <c r="H662" s="173"/>
      <c r="I662" s="173"/>
      <c r="J662" s="173"/>
      <c r="K662" s="173"/>
    </row>
    <row r="663">
      <c r="A663" s="216"/>
      <c r="B663" s="216"/>
      <c r="C663" s="216"/>
      <c r="D663" s="216"/>
      <c r="E663" s="216"/>
      <c r="F663" s="216"/>
      <c r="G663" s="173"/>
      <c r="H663" s="173"/>
      <c r="I663" s="173"/>
      <c r="J663" s="173"/>
      <c r="K663" s="173"/>
    </row>
    <row r="664">
      <c r="A664" s="216"/>
      <c r="B664" s="216"/>
      <c r="C664" s="216"/>
      <c r="D664" s="216"/>
      <c r="E664" s="216"/>
      <c r="F664" s="216"/>
      <c r="G664" s="173"/>
      <c r="H664" s="173"/>
      <c r="I664" s="173"/>
      <c r="J664" s="173"/>
      <c r="K664" s="173"/>
    </row>
    <row r="665">
      <c r="A665" s="216"/>
      <c r="B665" s="216"/>
      <c r="C665" s="216"/>
      <c r="D665" s="216"/>
      <c r="E665" s="216"/>
      <c r="F665" s="216"/>
      <c r="G665" s="173"/>
      <c r="H665" s="173"/>
      <c r="I665" s="173"/>
      <c r="J665" s="173"/>
      <c r="K665" s="173"/>
    </row>
    <row r="666">
      <c r="A666" s="216"/>
      <c r="B666" s="216"/>
      <c r="C666" s="216"/>
      <c r="D666" s="216"/>
      <c r="E666" s="216"/>
      <c r="F666" s="216"/>
      <c r="G666" s="173"/>
      <c r="H666" s="173"/>
      <c r="I666" s="173"/>
      <c r="J666" s="173"/>
      <c r="K666" s="173"/>
    </row>
    <row r="667">
      <c r="A667" s="216"/>
      <c r="B667" s="216"/>
      <c r="C667" s="216"/>
      <c r="D667" s="216"/>
      <c r="E667" s="216"/>
      <c r="F667" s="216"/>
      <c r="G667" s="173"/>
      <c r="H667" s="173"/>
      <c r="I667" s="173"/>
      <c r="J667" s="173"/>
      <c r="K667" s="173"/>
    </row>
    <row r="668">
      <c r="A668" s="216"/>
      <c r="B668" s="216"/>
      <c r="C668" s="216"/>
      <c r="D668" s="216"/>
      <c r="E668" s="216"/>
      <c r="F668" s="216"/>
      <c r="G668" s="173"/>
      <c r="H668" s="173"/>
      <c r="I668" s="173"/>
      <c r="J668" s="173"/>
      <c r="K668" s="173"/>
    </row>
    <row r="669">
      <c r="A669" s="216"/>
      <c r="B669" s="216"/>
      <c r="C669" s="216"/>
      <c r="D669" s="216"/>
      <c r="E669" s="216"/>
      <c r="F669" s="216"/>
      <c r="G669" s="173"/>
      <c r="H669" s="173"/>
      <c r="I669" s="173"/>
      <c r="J669" s="173"/>
      <c r="K669" s="173"/>
    </row>
    <row r="670">
      <c r="A670" s="216"/>
      <c r="B670" s="216"/>
      <c r="C670" s="216"/>
      <c r="D670" s="216"/>
      <c r="E670" s="216"/>
      <c r="F670" s="216"/>
      <c r="G670" s="173"/>
      <c r="H670" s="173"/>
      <c r="I670" s="173"/>
      <c r="J670" s="173"/>
      <c r="K670" s="173"/>
    </row>
    <row r="671">
      <c r="A671" s="216"/>
      <c r="B671" s="216"/>
      <c r="C671" s="216"/>
      <c r="D671" s="216"/>
      <c r="E671" s="216"/>
      <c r="F671" s="216"/>
      <c r="G671" s="173"/>
      <c r="H671" s="173"/>
      <c r="I671" s="173"/>
      <c r="J671" s="173"/>
      <c r="K671" s="173"/>
    </row>
    <row r="672">
      <c r="A672" s="216"/>
      <c r="B672" s="216"/>
      <c r="C672" s="216"/>
      <c r="D672" s="216"/>
      <c r="E672" s="216"/>
      <c r="F672" s="216"/>
      <c r="G672" s="173"/>
      <c r="H672" s="173"/>
      <c r="I672" s="173"/>
      <c r="J672" s="173"/>
      <c r="K672" s="173"/>
    </row>
    <row r="673">
      <c r="A673" s="216"/>
      <c r="B673" s="216"/>
      <c r="C673" s="216"/>
      <c r="D673" s="216"/>
      <c r="E673" s="216"/>
      <c r="F673" s="216"/>
      <c r="G673" s="173"/>
      <c r="H673" s="173"/>
      <c r="I673" s="173"/>
      <c r="J673" s="173"/>
      <c r="K673" s="173"/>
    </row>
    <row r="674">
      <c r="A674" s="216"/>
      <c r="B674" s="216"/>
      <c r="C674" s="216"/>
      <c r="D674" s="216"/>
      <c r="E674" s="216"/>
      <c r="F674" s="216"/>
      <c r="G674" s="173"/>
      <c r="H674" s="173"/>
      <c r="I674" s="173"/>
      <c r="J674" s="173"/>
      <c r="K674" s="173"/>
    </row>
    <row r="675">
      <c r="A675" s="216"/>
      <c r="B675" s="216"/>
      <c r="C675" s="216"/>
      <c r="D675" s="216"/>
      <c r="E675" s="216"/>
      <c r="F675" s="216"/>
      <c r="G675" s="173"/>
      <c r="H675" s="173"/>
      <c r="I675" s="173"/>
      <c r="J675" s="173"/>
      <c r="K675" s="173"/>
    </row>
    <row r="676">
      <c r="A676" s="216"/>
      <c r="B676" s="216"/>
      <c r="C676" s="216"/>
      <c r="D676" s="216"/>
      <c r="E676" s="216"/>
      <c r="F676" s="216"/>
      <c r="G676" s="173"/>
      <c r="H676" s="173"/>
      <c r="I676" s="173"/>
      <c r="J676" s="173"/>
      <c r="K676" s="173"/>
    </row>
    <row r="677">
      <c r="A677" s="216"/>
      <c r="B677" s="216"/>
      <c r="C677" s="216"/>
      <c r="D677" s="216"/>
      <c r="E677" s="216"/>
      <c r="F677" s="216"/>
      <c r="G677" s="173"/>
      <c r="H677" s="173"/>
      <c r="I677" s="173"/>
      <c r="J677" s="173"/>
      <c r="K677" s="173"/>
    </row>
    <row r="678">
      <c r="A678" s="216"/>
      <c r="B678" s="216"/>
      <c r="C678" s="216"/>
      <c r="D678" s="216"/>
      <c r="E678" s="216"/>
      <c r="F678" s="216"/>
      <c r="G678" s="173"/>
      <c r="H678" s="173"/>
      <c r="I678" s="173"/>
      <c r="J678" s="173"/>
      <c r="K678" s="173"/>
    </row>
    <row r="679">
      <c r="A679" s="216"/>
      <c r="B679" s="216"/>
      <c r="C679" s="216"/>
      <c r="D679" s="216"/>
      <c r="E679" s="216"/>
      <c r="F679" s="216"/>
      <c r="G679" s="173"/>
      <c r="H679" s="173"/>
      <c r="I679" s="173"/>
      <c r="J679" s="173"/>
      <c r="K679" s="173"/>
    </row>
    <row r="680">
      <c r="A680" s="216"/>
      <c r="B680" s="216"/>
      <c r="C680" s="216"/>
      <c r="D680" s="216"/>
      <c r="E680" s="216"/>
      <c r="F680" s="216"/>
      <c r="G680" s="173"/>
      <c r="H680" s="173"/>
      <c r="I680" s="173"/>
      <c r="J680" s="173"/>
      <c r="K680" s="173"/>
    </row>
    <row r="681">
      <c r="A681" s="216"/>
      <c r="B681" s="216"/>
      <c r="C681" s="216"/>
      <c r="D681" s="216"/>
      <c r="E681" s="216"/>
      <c r="F681" s="216"/>
      <c r="G681" s="173"/>
      <c r="H681" s="173"/>
      <c r="I681" s="173"/>
      <c r="J681" s="173"/>
      <c r="K681" s="173"/>
    </row>
    <row r="682">
      <c r="A682" s="216"/>
      <c r="B682" s="216"/>
      <c r="C682" s="216"/>
      <c r="D682" s="216"/>
      <c r="E682" s="216"/>
      <c r="F682" s="216"/>
      <c r="G682" s="173"/>
      <c r="H682" s="173"/>
      <c r="I682" s="173"/>
      <c r="J682" s="173"/>
      <c r="K682" s="173"/>
    </row>
    <row r="683">
      <c r="A683" s="216"/>
      <c r="B683" s="216"/>
      <c r="C683" s="216"/>
      <c r="D683" s="216"/>
      <c r="E683" s="216"/>
      <c r="F683" s="216"/>
      <c r="G683" s="173"/>
      <c r="H683" s="173"/>
      <c r="I683" s="173"/>
      <c r="J683" s="173"/>
      <c r="K683" s="173"/>
    </row>
    <row r="684">
      <c r="A684" s="216"/>
      <c r="B684" s="216"/>
      <c r="C684" s="216"/>
      <c r="D684" s="216"/>
      <c r="E684" s="216"/>
      <c r="F684" s="216"/>
      <c r="G684" s="173"/>
      <c r="H684" s="173"/>
      <c r="I684" s="173"/>
      <c r="J684" s="173"/>
      <c r="K684" s="173"/>
    </row>
    <row r="685">
      <c r="A685" s="216"/>
      <c r="B685" s="216"/>
      <c r="C685" s="216"/>
      <c r="D685" s="216"/>
      <c r="E685" s="216"/>
      <c r="F685" s="216"/>
      <c r="G685" s="173"/>
      <c r="H685" s="173"/>
      <c r="I685" s="173"/>
      <c r="J685" s="173"/>
      <c r="K685" s="173"/>
    </row>
    <row r="686">
      <c r="A686" s="216"/>
      <c r="B686" s="216"/>
      <c r="C686" s="216"/>
      <c r="D686" s="216"/>
      <c r="E686" s="216"/>
      <c r="F686" s="216"/>
      <c r="G686" s="173"/>
      <c r="H686" s="173"/>
      <c r="I686" s="173"/>
      <c r="J686" s="173"/>
      <c r="K686" s="173"/>
    </row>
    <row r="687">
      <c r="A687" s="216"/>
      <c r="B687" s="216"/>
      <c r="C687" s="216"/>
      <c r="D687" s="216"/>
      <c r="E687" s="216"/>
      <c r="F687" s="216"/>
      <c r="G687" s="173"/>
      <c r="H687" s="173"/>
      <c r="I687" s="173"/>
      <c r="J687" s="173"/>
      <c r="K687" s="173"/>
    </row>
    <row r="688">
      <c r="A688" s="216"/>
      <c r="B688" s="216"/>
      <c r="C688" s="216"/>
      <c r="D688" s="216"/>
      <c r="E688" s="216"/>
      <c r="F688" s="216"/>
      <c r="G688" s="173"/>
      <c r="H688" s="173"/>
      <c r="I688" s="173"/>
      <c r="J688" s="173"/>
      <c r="K688" s="173"/>
    </row>
    <row r="689">
      <c r="A689" s="216"/>
      <c r="B689" s="216"/>
      <c r="C689" s="216"/>
      <c r="D689" s="216"/>
      <c r="E689" s="216"/>
      <c r="F689" s="216"/>
      <c r="G689" s="173"/>
      <c r="H689" s="173"/>
      <c r="I689" s="173"/>
      <c r="J689" s="173"/>
      <c r="K689" s="173"/>
    </row>
    <row r="690">
      <c r="A690" s="216"/>
      <c r="B690" s="216"/>
      <c r="C690" s="216"/>
      <c r="D690" s="216"/>
      <c r="E690" s="216"/>
      <c r="F690" s="216"/>
      <c r="G690" s="173"/>
      <c r="H690" s="173"/>
      <c r="I690" s="173"/>
      <c r="J690" s="173"/>
      <c r="K690" s="173"/>
    </row>
    <row r="691">
      <c r="A691" s="216"/>
      <c r="B691" s="216"/>
      <c r="C691" s="216"/>
      <c r="D691" s="216"/>
      <c r="E691" s="216"/>
      <c r="F691" s="216"/>
      <c r="G691" s="173"/>
      <c r="H691" s="173"/>
      <c r="I691" s="173"/>
      <c r="J691" s="173"/>
      <c r="K691" s="173"/>
    </row>
    <row r="692">
      <c r="A692" s="216"/>
      <c r="B692" s="216"/>
      <c r="C692" s="216"/>
      <c r="D692" s="216"/>
      <c r="E692" s="216"/>
      <c r="F692" s="216"/>
      <c r="G692" s="173"/>
      <c r="H692" s="173"/>
      <c r="I692" s="173"/>
      <c r="J692" s="173"/>
      <c r="K692" s="173"/>
    </row>
    <row r="693">
      <c r="A693" s="216"/>
      <c r="B693" s="216"/>
      <c r="C693" s="216"/>
      <c r="D693" s="216"/>
      <c r="E693" s="216"/>
      <c r="F693" s="216"/>
      <c r="G693" s="173"/>
      <c r="H693" s="173"/>
      <c r="I693" s="173"/>
      <c r="J693" s="173"/>
      <c r="K693" s="173"/>
    </row>
    <row r="694">
      <c r="A694" s="216"/>
      <c r="B694" s="216"/>
      <c r="C694" s="216"/>
      <c r="D694" s="216"/>
      <c r="E694" s="216"/>
      <c r="F694" s="216"/>
      <c r="G694" s="173"/>
      <c r="H694" s="173"/>
      <c r="I694" s="173"/>
      <c r="J694" s="173"/>
      <c r="K694" s="173"/>
    </row>
    <row r="695">
      <c r="A695" s="216"/>
      <c r="B695" s="216"/>
      <c r="C695" s="216"/>
      <c r="D695" s="216"/>
      <c r="E695" s="216"/>
      <c r="F695" s="216"/>
      <c r="G695" s="173"/>
      <c r="H695" s="173"/>
      <c r="I695" s="173"/>
      <c r="J695" s="173"/>
      <c r="K695" s="173"/>
    </row>
    <row r="696">
      <c r="A696" s="216"/>
      <c r="B696" s="216"/>
      <c r="C696" s="216"/>
      <c r="D696" s="216"/>
      <c r="E696" s="216"/>
      <c r="F696" s="216"/>
      <c r="G696" s="173"/>
      <c r="H696" s="173"/>
      <c r="I696" s="173"/>
      <c r="J696" s="173"/>
      <c r="K696" s="173"/>
    </row>
    <row r="697">
      <c r="A697" s="216"/>
      <c r="B697" s="216"/>
      <c r="C697" s="216"/>
      <c r="D697" s="216"/>
      <c r="E697" s="216"/>
      <c r="F697" s="216"/>
      <c r="G697" s="173"/>
      <c r="H697" s="173"/>
      <c r="I697" s="173"/>
      <c r="J697" s="173"/>
      <c r="K697" s="173"/>
    </row>
    <row r="698">
      <c r="A698" s="216"/>
      <c r="B698" s="216"/>
      <c r="C698" s="216"/>
      <c r="D698" s="216"/>
      <c r="E698" s="216"/>
      <c r="F698" s="216"/>
      <c r="G698" s="173"/>
      <c r="H698" s="173"/>
      <c r="I698" s="173"/>
      <c r="J698" s="173"/>
      <c r="K698" s="173"/>
    </row>
    <row r="699">
      <c r="A699" s="216"/>
      <c r="B699" s="216"/>
      <c r="C699" s="216"/>
      <c r="D699" s="216"/>
      <c r="E699" s="216"/>
      <c r="F699" s="216"/>
      <c r="G699" s="173"/>
      <c r="H699" s="173"/>
      <c r="I699" s="173"/>
      <c r="J699" s="173"/>
      <c r="K699" s="173"/>
    </row>
    <row r="700">
      <c r="A700" s="216"/>
      <c r="B700" s="216"/>
      <c r="C700" s="216"/>
      <c r="D700" s="216"/>
      <c r="E700" s="216"/>
      <c r="F700" s="216"/>
      <c r="G700" s="173"/>
      <c r="H700" s="173"/>
      <c r="I700" s="173"/>
      <c r="J700" s="173"/>
      <c r="K700" s="173"/>
    </row>
    <row r="701">
      <c r="A701" s="216"/>
      <c r="B701" s="216"/>
      <c r="C701" s="216"/>
      <c r="D701" s="216"/>
      <c r="E701" s="216"/>
      <c r="F701" s="216"/>
      <c r="G701" s="173"/>
      <c r="H701" s="173"/>
      <c r="I701" s="173"/>
      <c r="J701" s="173"/>
      <c r="K701" s="173"/>
    </row>
    <row r="702">
      <c r="A702" s="216"/>
      <c r="B702" s="216"/>
      <c r="C702" s="216"/>
      <c r="D702" s="216"/>
      <c r="E702" s="216"/>
      <c r="F702" s="216"/>
      <c r="G702" s="173"/>
      <c r="H702" s="173"/>
      <c r="I702" s="173"/>
      <c r="J702" s="173"/>
      <c r="K702" s="173"/>
    </row>
    <row r="703">
      <c r="A703" s="216"/>
      <c r="B703" s="216"/>
      <c r="C703" s="216"/>
      <c r="D703" s="216"/>
      <c r="E703" s="216"/>
      <c r="F703" s="216"/>
      <c r="G703" s="173"/>
      <c r="H703" s="173"/>
      <c r="I703" s="173"/>
      <c r="J703" s="173"/>
      <c r="K703" s="173"/>
    </row>
    <row r="704">
      <c r="A704" s="216"/>
      <c r="B704" s="216"/>
      <c r="C704" s="216"/>
      <c r="D704" s="216"/>
      <c r="E704" s="216"/>
      <c r="F704" s="216"/>
      <c r="G704" s="173"/>
      <c r="H704" s="173"/>
      <c r="I704" s="173"/>
      <c r="J704" s="173"/>
      <c r="K704" s="173"/>
    </row>
    <row r="705">
      <c r="A705" s="216"/>
      <c r="B705" s="216"/>
      <c r="C705" s="216"/>
      <c r="D705" s="216"/>
      <c r="E705" s="216"/>
      <c r="F705" s="216"/>
      <c r="G705" s="173"/>
      <c r="H705" s="173"/>
      <c r="I705" s="173"/>
      <c r="J705" s="173"/>
      <c r="K705" s="173"/>
    </row>
    <row r="706">
      <c r="A706" s="216"/>
      <c r="B706" s="216"/>
      <c r="C706" s="216"/>
      <c r="D706" s="216"/>
      <c r="E706" s="216"/>
      <c r="F706" s="216"/>
      <c r="G706" s="173"/>
      <c r="H706" s="173"/>
      <c r="I706" s="173"/>
      <c r="J706" s="173"/>
      <c r="K706" s="173"/>
    </row>
    <row r="707">
      <c r="A707" s="216"/>
      <c r="B707" s="216"/>
      <c r="C707" s="216"/>
      <c r="D707" s="216"/>
      <c r="E707" s="216"/>
      <c r="F707" s="216"/>
      <c r="G707" s="173"/>
      <c r="H707" s="173"/>
      <c r="I707" s="173"/>
      <c r="J707" s="173"/>
      <c r="K707" s="173"/>
    </row>
    <row r="708">
      <c r="A708" s="216"/>
      <c r="B708" s="216"/>
      <c r="C708" s="216"/>
      <c r="D708" s="216"/>
      <c r="E708" s="216"/>
      <c r="F708" s="216"/>
      <c r="G708" s="173"/>
      <c r="H708" s="173"/>
      <c r="I708" s="173"/>
      <c r="J708" s="173"/>
      <c r="K708" s="173"/>
    </row>
    <row r="709">
      <c r="A709" s="216"/>
      <c r="B709" s="216"/>
      <c r="C709" s="216"/>
      <c r="D709" s="216"/>
      <c r="E709" s="216"/>
      <c r="F709" s="216"/>
      <c r="G709" s="173"/>
      <c r="H709" s="173"/>
      <c r="I709" s="173"/>
      <c r="J709" s="173"/>
      <c r="K709" s="173"/>
    </row>
    <row r="710">
      <c r="A710" s="216"/>
      <c r="B710" s="216"/>
      <c r="C710" s="216"/>
      <c r="D710" s="216"/>
      <c r="E710" s="216"/>
      <c r="F710" s="216"/>
      <c r="G710" s="173"/>
      <c r="H710" s="173"/>
      <c r="I710" s="173"/>
      <c r="J710" s="173"/>
      <c r="K710" s="173"/>
    </row>
    <row r="711">
      <c r="A711" s="216"/>
      <c r="B711" s="216"/>
      <c r="C711" s="216"/>
      <c r="D711" s="216"/>
      <c r="E711" s="216"/>
      <c r="F711" s="216"/>
      <c r="G711" s="173"/>
      <c r="H711" s="173"/>
      <c r="I711" s="173"/>
      <c r="J711" s="173"/>
      <c r="K711" s="173"/>
    </row>
    <row r="712">
      <c r="A712" s="216"/>
      <c r="B712" s="216"/>
      <c r="C712" s="216"/>
      <c r="D712" s="216"/>
      <c r="E712" s="216"/>
      <c r="F712" s="216"/>
      <c r="G712" s="173"/>
      <c r="H712" s="173"/>
      <c r="I712" s="173"/>
      <c r="J712" s="173"/>
      <c r="K712" s="173"/>
    </row>
    <row r="713">
      <c r="A713" s="216"/>
      <c r="B713" s="216"/>
      <c r="C713" s="216"/>
      <c r="D713" s="216"/>
      <c r="E713" s="216"/>
      <c r="F713" s="216"/>
      <c r="G713" s="173"/>
      <c r="H713" s="173"/>
      <c r="I713" s="173"/>
      <c r="J713" s="173"/>
      <c r="K713" s="173"/>
    </row>
    <row r="714">
      <c r="A714" s="216"/>
      <c r="B714" s="216"/>
      <c r="C714" s="216"/>
      <c r="D714" s="216"/>
      <c r="E714" s="216"/>
      <c r="F714" s="216"/>
      <c r="G714" s="173"/>
      <c r="H714" s="173"/>
      <c r="I714" s="173"/>
      <c r="J714" s="173"/>
      <c r="K714" s="173"/>
    </row>
    <row r="715">
      <c r="A715" s="216"/>
      <c r="B715" s="216"/>
      <c r="C715" s="216"/>
      <c r="D715" s="216"/>
      <c r="E715" s="216"/>
      <c r="F715" s="216"/>
      <c r="G715" s="173"/>
      <c r="H715" s="173"/>
      <c r="I715" s="173"/>
      <c r="J715" s="173"/>
      <c r="K715" s="173"/>
    </row>
    <row r="716">
      <c r="A716" s="216"/>
      <c r="B716" s="216"/>
      <c r="C716" s="216"/>
      <c r="D716" s="216"/>
      <c r="E716" s="216"/>
      <c r="F716" s="216"/>
      <c r="G716" s="173"/>
      <c r="H716" s="173"/>
      <c r="I716" s="173"/>
      <c r="J716" s="173"/>
      <c r="K716" s="173"/>
    </row>
    <row r="717">
      <c r="A717" s="216"/>
      <c r="B717" s="216"/>
      <c r="C717" s="216"/>
      <c r="D717" s="216"/>
      <c r="E717" s="216"/>
      <c r="F717" s="216"/>
      <c r="G717" s="173"/>
      <c r="H717" s="173"/>
      <c r="I717" s="173"/>
      <c r="J717" s="173"/>
      <c r="K717" s="173"/>
    </row>
    <row r="718">
      <c r="A718" s="216"/>
      <c r="B718" s="216"/>
      <c r="C718" s="216"/>
      <c r="D718" s="216"/>
      <c r="E718" s="216"/>
      <c r="F718" s="216"/>
      <c r="G718" s="173"/>
      <c r="H718" s="173"/>
      <c r="I718" s="173"/>
      <c r="J718" s="173"/>
      <c r="K718" s="173"/>
    </row>
    <row r="719">
      <c r="A719" s="216"/>
      <c r="B719" s="216"/>
      <c r="C719" s="216"/>
      <c r="D719" s="216"/>
      <c r="E719" s="216"/>
      <c r="F719" s="216"/>
      <c r="G719" s="173"/>
      <c r="H719" s="173"/>
      <c r="I719" s="173"/>
      <c r="J719" s="173"/>
      <c r="K719" s="173"/>
    </row>
    <row r="720">
      <c r="A720" s="216"/>
      <c r="B720" s="216"/>
      <c r="C720" s="216"/>
      <c r="D720" s="216"/>
      <c r="E720" s="216"/>
      <c r="F720" s="216"/>
      <c r="G720" s="173"/>
      <c r="H720" s="173"/>
      <c r="I720" s="173"/>
      <c r="J720" s="173"/>
      <c r="K720" s="173"/>
    </row>
    <row r="721">
      <c r="A721" s="216"/>
      <c r="B721" s="216"/>
      <c r="C721" s="216"/>
      <c r="D721" s="216"/>
      <c r="E721" s="216"/>
      <c r="F721" s="216"/>
      <c r="G721" s="173"/>
      <c r="H721" s="173"/>
      <c r="I721" s="173"/>
      <c r="J721" s="173"/>
      <c r="K721" s="173"/>
    </row>
    <row r="722">
      <c r="A722" s="216"/>
      <c r="B722" s="216"/>
      <c r="C722" s="216"/>
      <c r="D722" s="216"/>
      <c r="E722" s="216"/>
      <c r="F722" s="216"/>
      <c r="G722" s="173"/>
      <c r="H722" s="173"/>
      <c r="I722" s="173"/>
      <c r="J722" s="173"/>
      <c r="K722" s="173"/>
    </row>
    <row r="723">
      <c r="A723" s="216"/>
      <c r="B723" s="216"/>
      <c r="C723" s="216"/>
      <c r="D723" s="216"/>
      <c r="E723" s="216"/>
      <c r="F723" s="216"/>
      <c r="G723" s="173"/>
      <c r="H723" s="173"/>
      <c r="I723" s="173"/>
      <c r="J723" s="173"/>
      <c r="K723" s="173"/>
    </row>
    <row r="724">
      <c r="A724" s="216"/>
      <c r="B724" s="216"/>
      <c r="C724" s="216"/>
      <c r="D724" s="216"/>
      <c r="E724" s="216"/>
      <c r="F724" s="216"/>
      <c r="G724" s="173"/>
      <c r="H724" s="173"/>
      <c r="I724" s="173"/>
      <c r="J724" s="173"/>
      <c r="K724" s="173"/>
    </row>
    <row r="725">
      <c r="A725" s="216"/>
      <c r="B725" s="216"/>
      <c r="C725" s="216"/>
      <c r="D725" s="216"/>
      <c r="E725" s="216"/>
      <c r="F725" s="216"/>
      <c r="G725" s="173"/>
      <c r="H725" s="173"/>
      <c r="I725" s="173"/>
      <c r="J725" s="173"/>
      <c r="K725" s="173"/>
    </row>
    <row r="726">
      <c r="A726" s="216"/>
      <c r="B726" s="216"/>
      <c r="C726" s="216"/>
      <c r="D726" s="216"/>
      <c r="E726" s="216"/>
      <c r="F726" s="216"/>
      <c r="G726" s="173"/>
      <c r="H726" s="173"/>
      <c r="I726" s="173"/>
      <c r="J726" s="173"/>
      <c r="K726" s="173"/>
    </row>
    <row r="727">
      <c r="A727" s="216"/>
      <c r="B727" s="216"/>
      <c r="C727" s="216"/>
      <c r="D727" s="216"/>
      <c r="E727" s="216"/>
      <c r="F727" s="216"/>
      <c r="G727" s="173"/>
      <c r="H727" s="173"/>
      <c r="I727" s="173"/>
      <c r="J727" s="173"/>
      <c r="K727" s="173"/>
    </row>
    <row r="728">
      <c r="A728" s="216"/>
      <c r="B728" s="216"/>
      <c r="C728" s="216"/>
      <c r="D728" s="216"/>
      <c r="E728" s="216"/>
      <c r="F728" s="216"/>
      <c r="G728" s="173"/>
      <c r="H728" s="173"/>
      <c r="I728" s="173"/>
      <c r="J728" s="173"/>
      <c r="K728" s="173"/>
    </row>
    <row r="729">
      <c r="A729" s="216"/>
      <c r="B729" s="216"/>
      <c r="C729" s="216"/>
      <c r="D729" s="216"/>
      <c r="E729" s="216"/>
      <c r="F729" s="216"/>
      <c r="G729" s="173"/>
      <c r="H729" s="173"/>
      <c r="I729" s="173"/>
      <c r="J729" s="173"/>
      <c r="K729" s="173"/>
    </row>
    <row r="730">
      <c r="A730" s="216"/>
      <c r="B730" s="216"/>
      <c r="C730" s="216"/>
      <c r="D730" s="216"/>
      <c r="E730" s="216"/>
      <c r="F730" s="216"/>
      <c r="G730" s="173"/>
      <c r="H730" s="173"/>
      <c r="I730" s="173"/>
      <c r="J730" s="173"/>
      <c r="K730" s="173"/>
    </row>
    <row r="731">
      <c r="A731" s="216"/>
      <c r="B731" s="216"/>
      <c r="C731" s="216"/>
      <c r="D731" s="216"/>
      <c r="E731" s="216"/>
      <c r="F731" s="216"/>
      <c r="G731" s="173"/>
      <c r="H731" s="173"/>
      <c r="I731" s="173"/>
      <c r="J731" s="173"/>
      <c r="K731" s="173"/>
    </row>
    <row r="732">
      <c r="A732" s="216"/>
      <c r="B732" s="216"/>
      <c r="C732" s="216"/>
      <c r="D732" s="216"/>
      <c r="E732" s="216"/>
      <c r="F732" s="216"/>
      <c r="G732" s="173"/>
      <c r="H732" s="173"/>
      <c r="I732" s="173"/>
      <c r="J732" s="173"/>
      <c r="K732" s="173"/>
    </row>
    <row r="733">
      <c r="A733" s="216"/>
      <c r="B733" s="216"/>
      <c r="C733" s="216"/>
      <c r="D733" s="216"/>
      <c r="E733" s="216"/>
      <c r="F733" s="216"/>
      <c r="G733" s="173"/>
      <c r="H733" s="173"/>
      <c r="I733" s="173"/>
      <c r="J733" s="173"/>
      <c r="K733" s="173"/>
    </row>
    <row r="734">
      <c r="A734" s="216"/>
      <c r="B734" s="216"/>
      <c r="C734" s="216"/>
      <c r="D734" s="216"/>
      <c r="E734" s="216"/>
      <c r="F734" s="216"/>
      <c r="G734" s="173"/>
      <c r="H734" s="173"/>
      <c r="I734" s="173"/>
      <c r="J734" s="173"/>
      <c r="K734" s="173"/>
    </row>
    <row r="735">
      <c r="A735" s="216"/>
      <c r="B735" s="216"/>
      <c r="C735" s="216"/>
      <c r="D735" s="216"/>
      <c r="E735" s="216"/>
      <c r="F735" s="216"/>
      <c r="G735" s="173"/>
      <c r="H735" s="173"/>
      <c r="I735" s="173"/>
      <c r="J735" s="173"/>
      <c r="K735" s="173"/>
    </row>
    <row r="736">
      <c r="A736" s="216"/>
      <c r="B736" s="216"/>
      <c r="C736" s="216"/>
      <c r="D736" s="216"/>
      <c r="E736" s="216"/>
      <c r="F736" s="216"/>
      <c r="G736" s="173"/>
      <c r="H736" s="173"/>
      <c r="I736" s="173"/>
      <c r="J736" s="173"/>
      <c r="K736" s="173"/>
    </row>
    <row r="737">
      <c r="A737" s="216"/>
      <c r="B737" s="216"/>
      <c r="C737" s="216"/>
      <c r="D737" s="216"/>
      <c r="E737" s="216"/>
      <c r="F737" s="216"/>
      <c r="G737" s="173"/>
      <c r="H737" s="173"/>
      <c r="I737" s="173"/>
      <c r="J737" s="173"/>
      <c r="K737" s="173"/>
    </row>
    <row r="738">
      <c r="A738" s="216"/>
      <c r="B738" s="216"/>
      <c r="C738" s="216"/>
      <c r="D738" s="216"/>
      <c r="E738" s="216"/>
      <c r="F738" s="216"/>
      <c r="G738" s="173"/>
      <c r="H738" s="173"/>
      <c r="I738" s="173"/>
      <c r="J738" s="173"/>
      <c r="K738" s="173"/>
    </row>
    <row r="739">
      <c r="A739" s="216"/>
      <c r="B739" s="216"/>
      <c r="C739" s="216"/>
      <c r="D739" s="216"/>
      <c r="E739" s="216"/>
      <c r="F739" s="216"/>
      <c r="G739" s="173"/>
      <c r="H739" s="173"/>
      <c r="I739" s="173"/>
      <c r="J739" s="173"/>
      <c r="K739" s="173"/>
    </row>
    <row r="740">
      <c r="A740" s="216"/>
      <c r="B740" s="216"/>
      <c r="C740" s="216"/>
      <c r="D740" s="216"/>
      <c r="E740" s="216"/>
      <c r="F740" s="216"/>
      <c r="G740" s="173"/>
      <c r="H740" s="173"/>
      <c r="I740" s="173"/>
      <c r="J740" s="173"/>
      <c r="K740" s="173"/>
    </row>
    <row r="741">
      <c r="A741" s="216"/>
      <c r="B741" s="216"/>
      <c r="C741" s="216"/>
      <c r="D741" s="216"/>
      <c r="E741" s="216"/>
      <c r="F741" s="216"/>
      <c r="G741" s="173"/>
      <c r="H741" s="173"/>
      <c r="I741" s="173"/>
      <c r="J741" s="173"/>
      <c r="K741" s="173"/>
    </row>
    <row r="742">
      <c r="A742" s="216"/>
      <c r="B742" s="216"/>
      <c r="C742" s="216"/>
      <c r="D742" s="216"/>
      <c r="E742" s="216"/>
      <c r="F742" s="216"/>
      <c r="G742" s="173"/>
      <c r="H742" s="173"/>
      <c r="I742" s="173"/>
      <c r="J742" s="173"/>
      <c r="K742" s="173"/>
    </row>
    <row r="743">
      <c r="A743" s="216"/>
      <c r="B743" s="216"/>
      <c r="C743" s="216"/>
      <c r="D743" s="216"/>
      <c r="E743" s="216"/>
      <c r="F743" s="216"/>
      <c r="G743" s="173"/>
      <c r="H743" s="173"/>
      <c r="I743" s="173"/>
      <c r="J743" s="173"/>
      <c r="K743" s="173"/>
    </row>
    <row r="744">
      <c r="A744" s="216"/>
      <c r="B744" s="216"/>
      <c r="C744" s="216"/>
      <c r="D744" s="216"/>
      <c r="E744" s="216"/>
      <c r="F744" s="216"/>
      <c r="G744" s="173"/>
      <c r="H744" s="173"/>
      <c r="I744" s="173"/>
      <c r="J744" s="173"/>
      <c r="K744" s="173"/>
    </row>
    <row r="745">
      <c r="A745" s="216"/>
      <c r="B745" s="216"/>
      <c r="C745" s="216"/>
      <c r="D745" s="216"/>
      <c r="E745" s="216"/>
      <c r="F745" s="216"/>
      <c r="G745" s="173"/>
      <c r="H745" s="173"/>
      <c r="I745" s="173"/>
      <c r="J745" s="173"/>
      <c r="K745" s="173"/>
    </row>
    <row r="746">
      <c r="A746" s="216"/>
      <c r="B746" s="216"/>
      <c r="C746" s="216"/>
      <c r="D746" s="216"/>
      <c r="E746" s="216"/>
      <c r="F746" s="216"/>
      <c r="G746" s="173"/>
      <c r="H746" s="173"/>
      <c r="I746" s="173"/>
      <c r="J746" s="173"/>
      <c r="K746" s="173"/>
    </row>
    <row r="747">
      <c r="A747" s="216"/>
      <c r="B747" s="216"/>
      <c r="C747" s="216"/>
      <c r="D747" s="216"/>
      <c r="E747" s="216"/>
      <c r="F747" s="216"/>
      <c r="G747" s="173"/>
      <c r="H747" s="173"/>
      <c r="I747" s="173"/>
      <c r="J747" s="173"/>
      <c r="K747" s="173"/>
    </row>
    <row r="748">
      <c r="A748" s="216"/>
      <c r="B748" s="216"/>
      <c r="C748" s="216"/>
      <c r="D748" s="216"/>
      <c r="E748" s="216"/>
      <c r="F748" s="216"/>
      <c r="G748" s="173"/>
      <c r="H748" s="173"/>
      <c r="I748" s="173"/>
      <c r="J748" s="173"/>
      <c r="K748" s="173"/>
    </row>
    <row r="749">
      <c r="A749" s="216"/>
      <c r="B749" s="216"/>
      <c r="C749" s="216"/>
      <c r="D749" s="216"/>
      <c r="E749" s="216"/>
      <c r="F749" s="216"/>
      <c r="G749" s="173"/>
      <c r="H749" s="173"/>
      <c r="I749" s="173"/>
      <c r="J749" s="173"/>
      <c r="K749" s="173"/>
    </row>
    <row r="750">
      <c r="A750" s="216"/>
      <c r="B750" s="216"/>
      <c r="C750" s="216"/>
      <c r="D750" s="216"/>
      <c r="E750" s="216"/>
      <c r="F750" s="216"/>
      <c r="G750" s="173"/>
      <c r="H750" s="173"/>
      <c r="I750" s="173"/>
      <c r="J750" s="173"/>
      <c r="K750" s="173"/>
    </row>
    <row r="751">
      <c r="A751" s="216"/>
      <c r="B751" s="216"/>
      <c r="C751" s="216"/>
      <c r="D751" s="216"/>
      <c r="E751" s="216"/>
      <c r="F751" s="216"/>
      <c r="G751" s="173"/>
      <c r="H751" s="173"/>
      <c r="I751" s="173"/>
      <c r="J751" s="173"/>
      <c r="K751" s="173"/>
    </row>
    <row r="752">
      <c r="A752" s="216"/>
      <c r="B752" s="216"/>
      <c r="C752" s="216"/>
      <c r="D752" s="216"/>
      <c r="E752" s="216"/>
      <c r="F752" s="216"/>
      <c r="G752" s="173"/>
      <c r="H752" s="173"/>
      <c r="I752" s="173"/>
      <c r="J752" s="173"/>
      <c r="K752" s="173"/>
    </row>
    <row r="753">
      <c r="A753" s="216"/>
      <c r="B753" s="216"/>
      <c r="C753" s="216"/>
      <c r="D753" s="216"/>
      <c r="E753" s="216"/>
      <c r="F753" s="216"/>
      <c r="G753" s="173"/>
      <c r="H753" s="173"/>
      <c r="I753" s="173"/>
      <c r="J753" s="173"/>
      <c r="K753" s="173"/>
    </row>
    <row r="754">
      <c r="A754" s="216"/>
      <c r="B754" s="216"/>
      <c r="C754" s="216"/>
      <c r="D754" s="216"/>
      <c r="E754" s="216"/>
      <c r="F754" s="216"/>
      <c r="G754" s="173"/>
      <c r="H754" s="173"/>
      <c r="I754" s="173"/>
      <c r="J754" s="173"/>
      <c r="K754" s="173"/>
    </row>
    <row r="755">
      <c r="A755" s="216"/>
      <c r="B755" s="216"/>
      <c r="C755" s="216"/>
      <c r="D755" s="216"/>
      <c r="E755" s="216"/>
      <c r="F755" s="216"/>
      <c r="G755" s="173"/>
      <c r="H755" s="173"/>
      <c r="I755" s="173"/>
      <c r="J755" s="173"/>
      <c r="K755" s="173"/>
    </row>
    <row r="756">
      <c r="A756" s="216"/>
      <c r="B756" s="216"/>
      <c r="C756" s="216"/>
      <c r="D756" s="216"/>
      <c r="E756" s="216"/>
      <c r="F756" s="216"/>
      <c r="G756" s="173"/>
      <c r="H756" s="173"/>
      <c r="I756" s="173"/>
      <c r="J756" s="173"/>
      <c r="K756" s="173"/>
    </row>
    <row r="757">
      <c r="A757" s="216"/>
      <c r="B757" s="216"/>
      <c r="C757" s="216"/>
      <c r="D757" s="216"/>
      <c r="E757" s="216"/>
      <c r="F757" s="216"/>
      <c r="G757" s="173"/>
      <c r="H757" s="173"/>
      <c r="I757" s="173"/>
      <c r="J757" s="173"/>
      <c r="K757" s="173"/>
    </row>
    <row r="758">
      <c r="A758" s="216"/>
      <c r="B758" s="216"/>
      <c r="C758" s="216"/>
      <c r="D758" s="216"/>
      <c r="E758" s="216"/>
      <c r="F758" s="216"/>
      <c r="G758" s="173"/>
      <c r="H758" s="173"/>
      <c r="I758" s="173"/>
      <c r="J758" s="173"/>
      <c r="K758" s="173"/>
    </row>
    <row r="759">
      <c r="A759" s="216"/>
      <c r="B759" s="216"/>
      <c r="C759" s="216"/>
      <c r="D759" s="216"/>
      <c r="E759" s="216"/>
      <c r="F759" s="216"/>
      <c r="G759" s="173"/>
      <c r="H759" s="173"/>
      <c r="I759" s="173"/>
      <c r="J759" s="173"/>
      <c r="K759" s="173"/>
    </row>
    <row r="760">
      <c r="A760" s="216"/>
      <c r="B760" s="216"/>
      <c r="C760" s="216"/>
      <c r="D760" s="216"/>
      <c r="E760" s="216"/>
      <c r="F760" s="216"/>
      <c r="G760" s="173"/>
      <c r="H760" s="173"/>
      <c r="I760" s="173"/>
      <c r="J760" s="173"/>
      <c r="K760" s="173"/>
    </row>
    <row r="761">
      <c r="A761" s="216"/>
      <c r="B761" s="216"/>
      <c r="C761" s="216"/>
      <c r="D761" s="216"/>
      <c r="E761" s="216"/>
      <c r="F761" s="216"/>
      <c r="G761" s="173"/>
      <c r="H761" s="173"/>
      <c r="I761" s="173"/>
      <c r="J761" s="173"/>
      <c r="K761" s="173"/>
    </row>
    <row r="762">
      <c r="A762" s="216"/>
      <c r="B762" s="216"/>
      <c r="C762" s="216"/>
      <c r="D762" s="216"/>
      <c r="E762" s="216"/>
      <c r="F762" s="216"/>
      <c r="G762" s="173"/>
      <c r="H762" s="173"/>
      <c r="I762" s="173"/>
      <c r="J762" s="173"/>
      <c r="K762" s="173"/>
    </row>
    <row r="763">
      <c r="A763" s="216"/>
      <c r="B763" s="216"/>
      <c r="C763" s="216"/>
      <c r="D763" s="216"/>
      <c r="E763" s="216"/>
      <c r="F763" s="216"/>
      <c r="G763" s="173"/>
      <c r="H763" s="173"/>
      <c r="I763" s="173"/>
      <c r="J763" s="173"/>
      <c r="K763" s="173"/>
    </row>
    <row r="764">
      <c r="A764" s="216"/>
      <c r="B764" s="216"/>
      <c r="C764" s="216"/>
      <c r="D764" s="216"/>
      <c r="E764" s="216"/>
      <c r="F764" s="216"/>
      <c r="G764" s="173"/>
      <c r="H764" s="173"/>
      <c r="I764" s="173"/>
      <c r="J764" s="173"/>
      <c r="K764" s="173"/>
    </row>
    <row r="765">
      <c r="A765" s="216"/>
      <c r="B765" s="216"/>
      <c r="C765" s="216"/>
      <c r="D765" s="216"/>
      <c r="E765" s="216"/>
      <c r="F765" s="216"/>
      <c r="G765" s="173"/>
      <c r="H765" s="173"/>
      <c r="I765" s="173"/>
      <c r="J765" s="173"/>
      <c r="K765" s="173"/>
    </row>
    <row r="766">
      <c r="A766" s="216"/>
      <c r="B766" s="216"/>
      <c r="C766" s="216"/>
      <c r="D766" s="216"/>
      <c r="E766" s="216"/>
      <c r="F766" s="216"/>
      <c r="G766" s="173"/>
      <c r="H766" s="173"/>
      <c r="I766" s="173"/>
      <c r="J766" s="173"/>
      <c r="K766" s="173"/>
    </row>
    <row r="767">
      <c r="A767" s="216"/>
      <c r="B767" s="216"/>
      <c r="C767" s="216"/>
      <c r="D767" s="216"/>
      <c r="E767" s="216"/>
      <c r="F767" s="216"/>
      <c r="G767" s="173"/>
      <c r="H767" s="173"/>
      <c r="I767" s="173"/>
      <c r="J767" s="173"/>
      <c r="K767" s="173"/>
    </row>
    <row r="768">
      <c r="A768" s="216"/>
      <c r="B768" s="216"/>
      <c r="C768" s="216"/>
      <c r="D768" s="216"/>
      <c r="E768" s="216"/>
      <c r="F768" s="216"/>
      <c r="G768" s="173"/>
      <c r="H768" s="173"/>
      <c r="I768" s="173"/>
      <c r="J768" s="173"/>
      <c r="K768" s="173"/>
    </row>
    <row r="769">
      <c r="A769" s="216"/>
      <c r="B769" s="216"/>
      <c r="C769" s="216"/>
      <c r="D769" s="216"/>
      <c r="E769" s="216"/>
      <c r="F769" s="216"/>
      <c r="G769" s="173"/>
      <c r="H769" s="173"/>
      <c r="I769" s="173"/>
      <c r="J769" s="173"/>
      <c r="K769" s="173"/>
    </row>
    <row r="770">
      <c r="A770" s="216"/>
      <c r="B770" s="216"/>
      <c r="C770" s="216"/>
      <c r="D770" s="216"/>
      <c r="E770" s="216"/>
      <c r="F770" s="216"/>
      <c r="G770" s="173"/>
      <c r="H770" s="173"/>
      <c r="I770" s="173"/>
      <c r="J770" s="173"/>
      <c r="K770" s="173"/>
    </row>
    <row r="771">
      <c r="A771" s="216"/>
      <c r="B771" s="216"/>
      <c r="C771" s="216"/>
      <c r="D771" s="216"/>
      <c r="E771" s="216"/>
      <c r="F771" s="216"/>
      <c r="G771" s="173"/>
      <c r="H771" s="173"/>
      <c r="I771" s="173"/>
      <c r="J771" s="173"/>
      <c r="K771" s="173"/>
    </row>
    <row r="772">
      <c r="A772" s="216"/>
      <c r="B772" s="216"/>
      <c r="C772" s="216"/>
      <c r="D772" s="216"/>
      <c r="E772" s="216"/>
      <c r="F772" s="216"/>
      <c r="G772" s="173"/>
      <c r="H772" s="173"/>
      <c r="I772" s="173"/>
      <c r="J772" s="173"/>
      <c r="K772" s="173"/>
    </row>
    <row r="773">
      <c r="A773" s="216"/>
      <c r="B773" s="216"/>
      <c r="C773" s="216"/>
      <c r="D773" s="216"/>
      <c r="E773" s="216"/>
      <c r="F773" s="216"/>
      <c r="G773" s="173"/>
      <c r="H773" s="173"/>
      <c r="I773" s="173"/>
      <c r="J773" s="173"/>
      <c r="K773" s="173"/>
    </row>
    <row r="774">
      <c r="A774" s="216"/>
      <c r="B774" s="216"/>
      <c r="C774" s="216"/>
      <c r="D774" s="216"/>
      <c r="E774" s="216"/>
      <c r="F774" s="216"/>
      <c r="G774" s="173"/>
      <c r="H774" s="173"/>
      <c r="I774" s="173"/>
      <c r="J774" s="173"/>
      <c r="K774" s="173"/>
    </row>
    <row r="775">
      <c r="A775" s="216"/>
      <c r="B775" s="216"/>
      <c r="C775" s="216"/>
      <c r="D775" s="216"/>
      <c r="E775" s="216"/>
      <c r="F775" s="216"/>
      <c r="G775" s="173"/>
      <c r="H775" s="173"/>
      <c r="I775" s="173"/>
      <c r="J775" s="173"/>
      <c r="K775" s="173"/>
    </row>
    <row r="776">
      <c r="A776" s="216"/>
      <c r="B776" s="216"/>
      <c r="C776" s="216"/>
      <c r="D776" s="216"/>
      <c r="E776" s="216"/>
      <c r="F776" s="216"/>
      <c r="G776" s="173"/>
      <c r="H776" s="173"/>
      <c r="I776" s="173"/>
      <c r="J776" s="173"/>
      <c r="K776" s="173"/>
    </row>
    <row r="777">
      <c r="A777" s="216"/>
      <c r="B777" s="216"/>
      <c r="C777" s="216"/>
      <c r="D777" s="216"/>
      <c r="E777" s="216"/>
      <c r="F777" s="216"/>
      <c r="G777" s="173"/>
      <c r="H777" s="173"/>
      <c r="I777" s="173"/>
      <c r="J777" s="173"/>
      <c r="K777" s="173"/>
    </row>
    <row r="778">
      <c r="A778" s="216"/>
      <c r="B778" s="216"/>
      <c r="C778" s="216"/>
      <c r="D778" s="216"/>
      <c r="E778" s="216"/>
      <c r="F778" s="216"/>
      <c r="G778" s="173"/>
      <c r="H778" s="173"/>
      <c r="I778" s="173"/>
      <c r="J778" s="173"/>
      <c r="K778" s="173"/>
    </row>
    <row r="779">
      <c r="A779" s="216"/>
      <c r="B779" s="216"/>
      <c r="C779" s="216"/>
      <c r="D779" s="216"/>
      <c r="E779" s="216"/>
      <c r="F779" s="216"/>
      <c r="G779" s="173"/>
      <c r="H779" s="173"/>
      <c r="I779" s="173"/>
      <c r="J779" s="173"/>
      <c r="K779" s="173"/>
    </row>
    <row r="780">
      <c r="A780" s="216"/>
      <c r="B780" s="216"/>
      <c r="C780" s="216"/>
      <c r="D780" s="216"/>
      <c r="E780" s="216"/>
      <c r="F780" s="216"/>
      <c r="G780" s="173"/>
      <c r="H780" s="173"/>
      <c r="I780" s="173"/>
      <c r="J780" s="173"/>
      <c r="K780" s="173"/>
    </row>
    <row r="781">
      <c r="A781" s="216"/>
      <c r="B781" s="216"/>
      <c r="C781" s="216"/>
      <c r="D781" s="216"/>
      <c r="E781" s="216"/>
      <c r="F781" s="216"/>
      <c r="G781" s="173"/>
      <c r="H781" s="173"/>
      <c r="I781" s="173"/>
      <c r="J781" s="173"/>
      <c r="K781" s="173"/>
    </row>
    <row r="782">
      <c r="A782" s="216"/>
      <c r="B782" s="216"/>
      <c r="C782" s="216"/>
      <c r="D782" s="216"/>
      <c r="E782" s="216"/>
      <c r="F782" s="216"/>
      <c r="G782" s="173"/>
      <c r="H782" s="173"/>
      <c r="I782" s="173"/>
      <c r="J782" s="173"/>
      <c r="K782" s="173"/>
    </row>
    <row r="783">
      <c r="A783" s="216"/>
      <c r="B783" s="216"/>
      <c r="C783" s="216"/>
      <c r="D783" s="216"/>
      <c r="E783" s="216"/>
      <c r="F783" s="216"/>
      <c r="G783" s="173"/>
      <c r="H783" s="173"/>
      <c r="I783" s="173"/>
      <c r="J783" s="173"/>
      <c r="K783" s="173"/>
    </row>
    <row r="784">
      <c r="A784" s="216"/>
      <c r="B784" s="216"/>
      <c r="C784" s="216"/>
      <c r="D784" s="216"/>
      <c r="E784" s="216"/>
      <c r="F784" s="216"/>
      <c r="G784" s="173"/>
      <c r="H784" s="173"/>
      <c r="I784" s="173"/>
      <c r="J784" s="173"/>
      <c r="K784" s="173"/>
    </row>
    <row r="785">
      <c r="A785" s="216"/>
      <c r="B785" s="216"/>
      <c r="C785" s="216"/>
      <c r="D785" s="216"/>
      <c r="E785" s="216"/>
      <c r="F785" s="216"/>
      <c r="G785" s="173"/>
      <c r="H785" s="173"/>
      <c r="I785" s="173"/>
      <c r="J785" s="173"/>
      <c r="K785" s="173"/>
    </row>
    <row r="786">
      <c r="A786" s="216"/>
      <c r="B786" s="216"/>
      <c r="C786" s="216"/>
      <c r="D786" s="216"/>
      <c r="E786" s="216"/>
      <c r="F786" s="216"/>
      <c r="G786" s="173"/>
      <c r="H786" s="173"/>
      <c r="I786" s="173"/>
      <c r="J786" s="173"/>
      <c r="K786" s="173"/>
    </row>
    <row r="787">
      <c r="A787" s="216"/>
      <c r="B787" s="216"/>
      <c r="C787" s="216"/>
      <c r="D787" s="216"/>
      <c r="E787" s="216"/>
      <c r="F787" s="216"/>
      <c r="G787" s="173"/>
      <c r="H787" s="173"/>
      <c r="I787" s="173"/>
      <c r="J787" s="173"/>
      <c r="K787" s="173"/>
    </row>
    <row r="788">
      <c r="A788" s="216"/>
      <c r="B788" s="216"/>
      <c r="C788" s="216"/>
      <c r="D788" s="216"/>
      <c r="E788" s="216"/>
      <c r="F788" s="216"/>
      <c r="G788" s="173"/>
      <c r="H788" s="173"/>
      <c r="I788" s="173"/>
      <c r="J788" s="173"/>
      <c r="K788" s="173"/>
    </row>
    <row r="789">
      <c r="A789" s="216"/>
      <c r="B789" s="216"/>
      <c r="C789" s="216"/>
      <c r="D789" s="216"/>
      <c r="E789" s="216"/>
      <c r="F789" s="216"/>
      <c r="G789" s="173"/>
      <c r="H789" s="173"/>
      <c r="I789" s="173"/>
      <c r="J789" s="173"/>
      <c r="K789" s="173"/>
    </row>
    <row r="790">
      <c r="A790" s="216"/>
      <c r="B790" s="216"/>
      <c r="C790" s="216"/>
      <c r="D790" s="216"/>
      <c r="E790" s="216"/>
      <c r="F790" s="216"/>
      <c r="G790" s="173"/>
      <c r="H790" s="173"/>
      <c r="I790" s="173"/>
      <c r="J790" s="173"/>
      <c r="K790" s="173"/>
    </row>
    <row r="791">
      <c r="A791" s="216"/>
      <c r="B791" s="216"/>
      <c r="C791" s="216"/>
      <c r="D791" s="216"/>
      <c r="E791" s="216"/>
      <c r="F791" s="216"/>
      <c r="G791" s="173"/>
      <c r="H791" s="173"/>
      <c r="I791" s="173"/>
      <c r="J791" s="173"/>
      <c r="K791" s="173"/>
    </row>
    <row r="792">
      <c r="A792" s="216"/>
      <c r="B792" s="216"/>
      <c r="C792" s="216"/>
      <c r="D792" s="216"/>
      <c r="E792" s="216"/>
      <c r="F792" s="216"/>
      <c r="G792" s="173"/>
      <c r="H792" s="173"/>
      <c r="I792" s="173"/>
      <c r="J792" s="173"/>
      <c r="K792" s="173"/>
    </row>
    <row r="793">
      <c r="A793" s="216"/>
      <c r="B793" s="216"/>
      <c r="C793" s="216"/>
      <c r="D793" s="216"/>
      <c r="E793" s="216"/>
      <c r="F793" s="216"/>
      <c r="G793" s="173"/>
      <c r="H793" s="173"/>
      <c r="I793" s="173"/>
      <c r="J793" s="173"/>
      <c r="K793" s="173"/>
    </row>
    <row r="794">
      <c r="A794" s="216"/>
      <c r="B794" s="216"/>
      <c r="C794" s="216"/>
      <c r="D794" s="216"/>
      <c r="E794" s="216"/>
      <c r="F794" s="216"/>
      <c r="G794" s="173"/>
      <c r="H794" s="173"/>
      <c r="I794" s="173"/>
      <c r="J794" s="173"/>
      <c r="K794" s="173"/>
    </row>
    <row r="795">
      <c r="A795" s="216"/>
      <c r="B795" s="216"/>
      <c r="C795" s="216"/>
      <c r="D795" s="216"/>
      <c r="E795" s="216"/>
      <c r="F795" s="216"/>
      <c r="G795" s="173"/>
      <c r="H795" s="173"/>
      <c r="I795" s="173"/>
      <c r="J795" s="173"/>
      <c r="K795" s="173"/>
    </row>
    <row r="796">
      <c r="A796" s="216"/>
      <c r="B796" s="216"/>
      <c r="C796" s="216"/>
      <c r="D796" s="216"/>
      <c r="E796" s="216"/>
      <c r="F796" s="216"/>
      <c r="G796" s="173"/>
      <c r="H796" s="173"/>
      <c r="I796" s="173"/>
      <c r="J796" s="173"/>
      <c r="K796" s="173"/>
    </row>
    <row r="797">
      <c r="A797" s="216"/>
      <c r="B797" s="216"/>
      <c r="C797" s="216"/>
      <c r="D797" s="216"/>
      <c r="E797" s="216"/>
      <c r="F797" s="216"/>
      <c r="G797" s="173"/>
      <c r="H797" s="173"/>
      <c r="I797" s="173"/>
      <c r="J797" s="173"/>
      <c r="K797" s="173"/>
    </row>
    <row r="798">
      <c r="A798" s="216"/>
      <c r="B798" s="216"/>
      <c r="C798" s="216"/>
      <c r="D798" s="216"/>
      <c r="E798" s="216"/>
      <c r="F798" s="216"/>
      <c r="G798" s="173"/>
      <c r="H798" s="173"/>
      <c r="I798" s="173"/>
      <c r="J798" s="173"/>
      <c r="K798" s="173"/>
    </row>
    <row r="799">
      <c r="A799" s="216"/>
      <c r="B799" s="216"/>
      <c r="C799" s="216"/>
      <c r="D799" s="216"/>
      <c r="E799" s="216"/>
      <c r="F799" s="216"/>
      <c r="G799" s="173"/>
      <c r="H799" s="173"/>
      <c r="I799" s="173"/>
      <c r="J799" s="173"/>
      <c r="K799" s="173"/>
    </row>
    <row r="800">
      <c r="A800" s="216"/>
      <c r="B800" s="216"/>
      <c r="C800" s="216"/>
      <c r="D800" s="216"/>
      <c r="E800" s="216"/>
      <c r="F800" s="216"/>
      <c r="G800" s="173"/>
      <c r="H800" s="173"/>
      <c r="I800" s="173"/>
      <c r="J800" s="173"/>
      <c r="K800" s="173"/>
    </row>
    <row r="801">
      <c r="A801" s="216"/>
      <c r="B801" s="216"/>
      <c r="C801" s="216"/>
      <c r="D801" s="216"/>
      <c r="E801" s="216"/>
      <c r="F801" s="216"/>
      <c r="G801" s="173"/>
      <c r="H801" s="173"/>
      <c r="I801" s="173"/>
      <c r="J801" s="173"/>
      <c r="K801" s="173"/>
    </row>
    <row r="802">
      <c r="A802" s="216"/>
      <c r="B802" s="216"/>
      <c r="C802" s="216"/>
      <c r="D802" s="216"/>
      <c r="E802" s="216"/>
      <c r="F802" s="216"/>
      <c r="G802" s="173"/>
      <c r="H802" s="173"/>
      <c r="I802" s="173"/>
      <c r="J802" s="173"/>
      <c r="K802" s="173"/>
    </row>
    <row r="803">
      <c r="A803" s="216"/>
      <c r="B803" s="216"/>
      <c r="C803" s="216"/>
      <c r="D803" s="216"/>
      <c r="E803" s="216"/>
      <c r="F803" s="216"/>
      <c r="G803" s="173"/>
      <c r="H803" s="173"/>
      <c r="I803" s="173"/>
      <c r="J803" s="173"/>
      <c r="K803" s="173"/>
    </row>
    <row r="804">
      <c r="A804" s="216"/>
      <c r="B804" s="216"/>
      <c r="C804" s="216"/>
      <c r="D804" s="216"/>
      <c r="E804" s="216"/>
      <c r="F804" s="216"/>
      <c r="G804" s="173"/>
      <c r="H804" s="173"/>
      <c r="I804" s="173"/>
      <c r="J804" s="173"/>
      <c r="K804" s="173"/>
    </row>
    <row r="805">
      <c r="A805" s="216"/>
      <c r="B805" s="216"/>
      <c r="C805" s="216"/>
      <c r="D805" s="216"/>
      <c r="E805" s="216"/>
      <c r="F805" s="216"/>
      <c r="G805" s="173"/>
      <c r="H805" s="173"/>
      <c r="I805" s="173"/>
      <c r="J805" s="173"/>
      <c r="K805" s="173"/>
    </row>
    <row r="806">
      <c r="A806" s="216"/>
      <c r="B806" s="216"/>
      <c r="C806" s="216"/>
      <c r="D806" s="216"/>
      <c r="E806" s="216"/>
      <c r="F806" s="216"/>
      <c r="G806" s="173"/>
      <c r="H806" s="173"/>
      <c r="I806" s="173"/>
      <c r="J806" s="173"/>
      <c r="K806" s="173"/>
    </row>
    <row r="807">
      <c r="A807" s="216"/>
      <c r="B807" s="216"/>
      <c r="C807" s="216"/>
      <c r="D807" s="216"/>
      <c r="E807" s="216"/>
      <c r="F807" s="216"/>
      <c r="G807" s="173"/>
      <c r="H807" s="173"/>
      <c r="I807" s="173"/>
      <c r="J807" s="173"/>
      <c r="K807" s="173"/>
    </row>
    <row r="808">
      <c r="A808" s="216"/>
      <c r="B808" s="216"/>
      <c r="C808" s="216"/>
      <c r="D808" s="216"/>
      <c r="E808" s="216"/>
      <c r="F808" s="216"/>
      <c r="G808" s="173"/>
      <c r="H808" s="173"/>
      <c r="I808" s="173"/>
      <c r="J808" s="173"/>
      <c r="K808" s="173"/>
    </row>
    <row r="809">
      <c r="A809" s="216"/>
      <c r="B809" s="216"/>
      <c r="C809" s="216"/>
      <c r="D809" s="216"/>
      <c r="E809" s="216"/>
      <c r="F809" s="216"/>
      <c r="G809" s="173"/>
      <c r="H809" s="173"/>
      <c r="I809" s="173"/>
      <c r="J809" s="173"/>
      <c r="K809" s="173"/>
    </row>
    <row r="810">
      <c r="A810" s="216"/>
      <c r="B810" s="216"/>
      <c r="C810" s="216"/>
      <c r="D810" s="216"/>
      <c r="E810" s="216"/>
      <c r="F810" s="216"/>
      <c r="G810" s="173"/>
      <c r="H810" s="173"/>
      <c r="I810" s="173"/>
      <c r="J810" s="173"/>
      <c r="K810" s="173"/>
    </row>
    <row r="811">
      <c r="A811" s="216"/>
      <c r="B811" s="216"/>
      <c r="C811" s="216"/>
      <c r="D811" s="216"/>
      <c r="E811" s="216"/>
      <c r="F811" s="216"/>
      <c r="G811" s="173"/>
      <c r="H811" s="173"/>
      <c r="I811" s="173"/>
      <c r="J811" s="173"/>
      <c r="K811" s="173"/>
    </row>
    <row r="812">
      <c r="A812" s="216"/>
      <c r="B812" s="216"/>
      <c r="C812" s="216"/>
      <c r="D812" s="216"/>
      <c r="E812" s="216"/>
      <c r="F812" s="216"/>
      <c r="G812" s="173"/>
      <c r="H812" s="173"/>
      <c r="I812" s="173"/>
      <c r="J812" s="173"/>
      <c r="K812" s="173"/>
    </row>
    <row r="813">
      <c r="A813" s="216"/>
      <c r="B813" s="216"/>
      <c r="C813" s="216"/>
      <c r="D813" s="216"/>
      <c r="E813" s="216"/>
      <c r="F813" s="216"/>
      <c r="G813" s="173"/>
      <c r="H813" s="173"/>
      <c r="I813" s="173"/>
      <c r="J813" s="173"/>
      <c r="K813" s="173"/>
    </row>
    <row r="814">
      <c r="A814" s="216"/>
      <c r="B814" s="216"/>
      <c r="C814" s="216"/>
      <c r="D814" s="216"/>
      <c r="E814" s="216"/>
      <c r="F814" s="216"/>
      <c r="G814" s="173"/>
      <c r="H814" s="173"/>
      <c r="I814" s="173"/>
      <c r="J814" s="173"/>
      <c r="K814" s="173"/>
    </row>
    <row r="815">
      <c r="A815" s="216"/>
      <c r="B815" s="216"/>
      <c r="C815" s="216"/>
      <c r="D815" s="216"/>
      <c r="E815" s="216"/>
      <c r="F815" s="216"/>
      <c r="G815" s="173"/>
      <c r="H815" s="173"/>
      <c r="I815" s="173"/>
      <c r="J815" s="173"/>
      <c r="K815" s="173"/>
    </row>
    <row r="816">
      <c r="A816" s="216"/>
      <c r="B816" s="216"/>
      <c r="C816" s="216"/>
      <c r="D816" s="216"/>
      <c r="E816" s="216"/>
      <c r="F816" s="216"/>
      <c r="G816" s="173"/>
      <c r="H816" s="173"/>
      <c r="I816" s="173"/>
      <c r="J816" s="173"/>
      <c r="K816" s="173"/>
    </row>
    <row r="817">
      <c r="A817" s="216"/>
      <c r="B817" s="216"/>
      <c r="C817" s="216"/>
      <c r="D817" s="216"/>
      <c r="E817" s="216"/>
      <c r="F817" s="216"/>
      <c r="G817" s="173"/>
      <c r="H817" s="173"/>
      <c r="I817" s="173"/>
      <c r="J817" s="173"/>
      <c r="K817" s="173"/>
    </row>
    <row r="818">
      <c r="A818" s="216"/>
      <c r="B818" s="216"/>
      <c r="C818" s="216"/>
      <c r="D818" s="216"/>
      <c r="E818" s="216"/>
      <c r="F818" s="216"/>
      <c r="G818" s="173"/>
      <c r="H818" s="173"/>
      <c r="I818" s="173"/>
      <c r="J818" s="173"/>
      <c r="K818" s="173"/>
    </row>
    <row r="819">
      <c r="A819" s="216"/>
      <c r="B819" s="216"/>
      <c r="C819" s="216"/>
      <c r="D819" s="216"/>
      <c r="E819" s="216"/>
      <c r="F819" s="216"/>
      <c r="G819" s="173"/>
      <c r="H819" s="173"/>
      <c r="I819" s="173"/>
      <c r="J819" s="173"/>
      <c r="K819" s="173"/>
    </row>
    <row r="820">
      <c r="A820" s="216"/>
      <c r="B820" s="216"/>
      <c r="C820" s="216"/>
      <c r="D820" s="216"/>
      <c r="E820" s="216"/>
      <c r="F820" s="216"/>
      <c r="G820" s="173"/>
      <c r="H820" s="173"/>
      <c r="I820" s="173"/>
      <c r="J820" s="173"/>
      <c r="K820" s="173"/>
    </row>
    <row r="821">
      <c r="A821" s="216"/>
      <c r="B821" s="216"/>
      <c r="C821" s="216"/>
      <c r="D821" s="216"/>
      <c r="E821" s="216"/>
      <c r="F821" s="216"/>
      <c r="G821" s="173"/>
      <c r="H821" s="173"/>
      <c r="I821" s="173"/>
      <c r="J821" s="173"/>
      <c r="K821" s="173"/>
    </row>
    <row r="822">
      <c r="A822" s="216"/>
      <c r="B822" s="216"/>
      <c r="C822" s="216"/>
      <c r="D822" s="216"/>
      <c r="E822" s="216"/>
      <c r="F822" s="216"/>
      <c r="G822" s="173"/>
      <c r="H822" s="173"/>
      <c r="I822" s="173"/>
      <c r="J822" s="173"/>
      <c r="K822" s="173"/>
    </row>
    <row r="823">
      <c r="A823" s="216"/>
      <c r="B823" s="216"/>
      <c r="C823" s="216"/>
      <c r="D823" s="216"/>
      <c r="E823" s="216"/>
      <c r="F823" s="216"/>
      <c r="G823" s="173"/>
      <c r="H823" s="173"/>
      <c r="I823" s="173"/>
      <c r="J823" s="173"/>
      <c r="K823" s="173"/>
    </row>
    <row r="824">
      <c r="A824" s="216"/>
      <c r="B824" s="216"/>
      <c r="C824" s="216"/>
      <c r="D824" s="216"/>
      <c r="E824" s="216"/>
      <c r="F824" s="216"/>
      <c r="G824" s="173"/>
      <c r="H824" s="173"/>
      <c r="I824" s="173"/>
      <c r="J824" s="173"/>
      <c r="K824" s="173"/>
    </row>
    <row r="825">
      <c r="A825" s="216"/>
      <c r="B825" s="216"/>
      <c r="C825" s="216"/>
      <c r="D825" s="216"/>
      <c r="E825" s="216"/>
      <c r="F825" s="216"/>
      <c r="G825" s="173"/>
      <c r="H825" s="173"/>
      <c r="I825" s="173"/>
      <c r="J825" s="173"/>
      <c r="K825" s="173"/>
    </row>
    <row r="826">
      <c r="A826" s="216"/>
      <c r="B826" s="216"/>
      <c r="C826" s="216"/>
      <c r="D826" s="216"/>
      <c r="E826" s="216"/>
      <c r="F826" s="216"/>
      <c r="G826" s="173"/>
      <c r="H826" s="173"/>
      <c r="I826" s="173"/>
      <c r="J826" s="173"/>
      <c r="K826" s="173"/>
    </row>
    <row r="827">
      <c r="A827" s="216"/>
      <c r="B827" s="216"/>
      <c r="C827" s="216"/>
      <c r="D827" s="216"/>
      <c r="E827" s="216"/>
      <c r="F827" s="216"/>
      <c r="G827" s="173"/>
      <c r="H827" s="173"/>
      <c r="I827" s="173"/>
      <c r="J827" s="173"/>
      <c r="K827" s="173"/>
    </row>
    <row r="828">
      <c r="A828" s="216"/>
      <c r="B828" s="216"/>
      <c r="C828" s="216"/>
      <c r="D828" s="216"/>
      <c r="E828" s="216"/>
      <c r="F828" s="216"/>
      <c r="G828" s="173"/>
      <c r="H828" s="173"/>
      <c r="I828" s="173"/>
      <c r="J828" s="173"/>
      <c r="K828" s="173"/>
    </row>
    <row r="829">
      <c r="A829" s="216"/>
      <c r="B829" s="216"/>
      <c r="C829" s="216"/>
      <c r="D829" s="216"/>
      <c r="E829" s="216"/>
      <c r="F829" s="216"/>
      <c r="G829" s="173"/>
      <c r="H829" s="173"/>
      <c r="I829" s="173"/>
      <c r="J829" s="173"/>
      <c r="K829" s="173"/>
    </row>
    <row r="830">
      <c r="A830" s="216"/>
      <c r="B830" s="216"/>
      <c r="C830" s="216"/>
      <c r="D830" s="216"/>
      <c r="E830" s="216"/>
      <c r="F830" s="216"/>
      <c r="G830" s="173"/>
      <c r="H830" s="173"/>
      <c r="I830" s="173"/>
      <c r="J830" s="173"/>
      <c r="K830" s="173"/>
    </row>
    <row r="831">
      <c r="A831" s="216"/>
      <c r="B831" s="216"/>
      <c r="C831" s="216"/>
      <c r="D831" s="216"/>
      <c r="E831" s="216"/>
      <c r="F831" s="216"/>
      <c r="G831" s="173"/>
      <c r="H831" s="173"/>
      <c r="I831" s="173"/>
      <c r="J831" s="173"/>
      <c r="K831" s="173"/>
    </row>
    <row r="832">
      <c r="A832" s="216"/>
      <c r="B832" s="216"/>
      <c r="C832" s="216"/>
      <c r="D832" s="216"/>
      <c r="E832" s="216"/>
      <c r="F832" s="216"/>
      <c r="G832" s="173"/>
      <c r="H832" s="173"/>
      <c r="I832" s="173"/>
      <c r="J832" s="173"/>
      <c r="K832" s="173"/>
    </row>
    <row r="833">
      <c r="A833" s="216"/>
      <c r="B833" s="216"/>
      <c r="C833" s="216"/>
      <c r="D833" s="216"/>
      <c r="E833" s="216"/>
      <c r="F833" s="216"/>
      <c r="G833" s="173"/>
      <c r="H833" s="173"/>
      <c r="I833" s="173"/>
      <c r="J833" s="173"/>
      <c r="K833" s="173"/>
    </row>
    <row r="834">
      <c r="A834" s="216"/>
      <c r="B834" s="216"/>
      <c r="C834" s="216"/>
      <c r="D834" s="216"/>
      <c r="E834" s="216"/>
      <c r="F834" s="216"/>
      <c r="G834" s="173"/>
      <c r="H834" s="173"/>
      <c r="I834" s="173"/>
      <c r="J834" s="173"/>
      <c r="K834" s="173"/>
    </row>
    <row r="835">
      <c r="A835" s="216"/>
      <c r="B835" s="216"/>
      <c r="C835" s="216"/>
      <c r="D835" s="216"/>
      <c r="E835" s="216"/>
      <c r="F835" s="216"/>
      <c r="G835" s="173"/>
      <c r="H835" s="173"/>
      <c r="I835" s="173"/>
      <c r="J835" s="173"/>
      <c r="K835" s="173"/>
    </row>
    <row r="836">
      <c r="A836" s="216"/>
      <c r="B836" s="216"/>
      <c r="C836" s="216"/>
      <c r="D836" s="216"/>
      <c r="E836" s="216"/>
      <c r="F836" s="216"/>
      <c r="G836" s="173"/>
      <c r="H836" s="173"/>
      <c r="I836" s="173"/>
      <c r="J836" s="173"/>
      <c r="K836" s="173"/>
    </row>
    <row r="837">
      <c r="A837" s="216"/>
      <c r="B837" s="216"/>
      <c r="C837" s="216"/>
      <c r="D837" s="216"/>
      <c r="E837" s="216"/>
      <c r="F837" s="216"/>
      <c r="G837" s="173"/>
      <c r="H837" s="173"/>
      <c r="I837" s="173"/>
      <c r="J837" s="173"/>
      <c r="K837" s="173"/>
    </row>
    <row r="838">
      <c r="A838" s="216"/>
      <c r="B838" s="216"/>
      <c r="C838" s="216"/>
      <c r="D838" s="216"/>
      <c r="E838" s="216"/>
      <c r="F838" s="216"/>
      <c r="G838" s="173"/>
      <c r="H838" s="173"/>
      <c r="I838" s="173"/>
      <c r="J838" s="173"/>
      <c r="K838" s="173"/>
    </row>
    <row r="839">
      <c r="A839" s="216"/>
      <c r="B839" s="216"/>
      <c r="C839" s="216"/>
      <c r="D839" s="216"/>
      <c r="E839" s="216"/>
      <c r="F839" s="216"/>
      <c r="G839" s="173"/>
      <c r="H839" s="173"/>
      <c r="I839" s="173"/>
      <c r="J839" s="173"/>
      <c r="K839" s="173"/>
    </row>
    <row r="840">
      <c r="A840" s="216"/>
      <c r="B840" s="216"/>
      <c r="C840" s="216"/>
      <c r="D840" s="216"/>
      <c r="E840" s="216"/>
      <c r="F840" s="216"/>
      <c r="G840" s="173"/>
      <c r="H840" s="173"/>
      <c r="I840" s="173"/>
      <c r="J840" s="173"/>
      <c r="K840" s="173"/>
    </row>
    <row r="841">
      <c r="A841" s="216"/>
      <c r="B841" s="216"/>
      <c r="C841" s="216"/>
      <c r="D841" s="216"/>
      <c r="E841" s="216"/>
      <c r="F841" s="216"/>
      <c r="G841" s="173"/>
      <c r="H841" s="173"/>
      <c r="I841" s="173"/>
      <c r="J841" s="173"/>
      <c r="K841" s="173"/>
    </row>
    <row r="842">
      <c r="A842" s="216"/>
      <c r="B842" s="216"/>
      <c r="C842" s="216"/>
      <c r="D842" s="216"/>
      <c r="E842" s="216"/>
      <c r="F842" s="216"/>
      <c r="G842" s="173"/>
      <c r="H842" s="173"/>
      <c r="I842" s="173"/>
      <c r="J842" s="173"/>
      <c r="K842" s="173"/>
    </row>
    <row r="843">
      <c r="A843" s="216"/>
      <c r="B843" s="216"/>
      <c r="C843" s="216"/>
      <c r="D843" s="216"/>
      <c r="E843" s="216"/>
      <c r="F843" s="216"/>
      <c r="G843" s="173"/>
      <c r="H843" s="173"/>
      <c r="I843" s="173"/>
      <c r="J843" s="173"/>
      <c r="K843" s="173"/>
    </row>
    <row r="844">
      <c r="A844" s="216"/>
      <c r="B844" s="216"/>
      <c r="C844" s="216"/>
      <c r="D844" s="216"/>
      <c r="E844" s="216"/>
      <c r="F844" s="216"/>
      <c r="G844" s="173"/>
      <c r="H844" s="173"/>
      <c r="I844" s="173"/>
      <c r="J844" s="173"/>
      <c r="K844" s="173"/>
    </row>
    <row r="845">
      <c r="A845" s="216"/>
      <c r="B845" s="216"/>
      <c r="C845" s="216"/>
      <c r="D845" s="216"/>
      <c r="E845" s="216"/>
      <c r="F845" s="216"/>
      <c r="G845" s="173"/>
      <c r="H845" s="173"/>
      <c r="I845" s="173"/>
      <c r="J845" s="173"/>
      <c r="K845" s="173"/>
    </row>
    <row r="846">
      <c r="A846" s="216"/>
      <c r="B846" s="216"/>
      <c r="C846" s="216"/>
      <c r="D846" s="216"/>
      <c r="E846" s="216"/>
      <c r="F846" s="216"/>
      <c r="G846" s="173"/>
      <c r="H846" s="173"/>
      <c r="I846" s="173"/>
      <c r="J846" s="173"/>
      <c r="K846" s="173"/>
    </row>
    <row r="847">
      <c r="A847" s="216"/>
      <c r="B847" s="216"/>
      <c r="C847" s="216"/>
      <c r="D847" s="216"/>
      <c r="E847" s="216"/>
      <c r="F847" s="216"/>
      <c r="G847" s="173"/>
      <c r="H847" s="173"/>
      <c r="I847" s="173"/>
      <c r="J847" s="173"/>
      <c r="K847" s="173"/>
    </row>
    <row r="848">
      <c r="A848" s="216"/>
      <c r="B848" s="216"/>
      <c r="C848" s="216"/>
      <c r="D848" s="216"/>
      <c r="E848" s="216"/>
      <c r="F848" s="216"/>
      <c r="G848" s="173"/>
      <c r="H848" s="173"/>
      <c r="I848" s="173"/>
      <c r="J848" s="173"/>
      <c r="K848" s="173"/>
    </row>
    <row r="849">
      <c r="A849" s="216"/>
      <c r="B849" s="216"/>
      <c r="C849" s="216"/>
      <c r="D849" s="216"/>
      <c r="E849" s="216"/>
      <c r="F849" s="216"/>
      <c r="G849" s="173"/>
      <c r="H849" s="173"/>
      <c r="I849" s="173"/>
      <c r="J849" s="173"/>
      <c r="K849" s="173"/>
    </row>
    <row r="850">
      <c r="A850" s="216"/>
      <c r="B850" s="216"/>
      <c r="C850" s="216"/>
      <c r="D850" s="216"/>
      <c r="E850" s="216"/>
      <c r="F850" s="216"/>
      <c r="G850" s="173"/>
      <c r="H850" s="173"/>
      <c r="I850" s="173"/>
      <c r="J850" s="173"/>
      <c r="K850" s="173"/>
    </row>
    <row r="851">
      <c r="A851" s="216"/>
      <c r="B851" s="216"/>
      <c r="C851" s="216"/>
      <c r="D851" s="216"/>
      <c r="E851" s="216"/>
      <c r="F851" s="216"/>
      <c r="G851" s="173"/>
      <c r="H851" s="173"/>
      <c r="I851" s="173"/>
      <c r="J851" s="173"/>
      <c r="K851" s="173"/>
    </row>
    <row r="852">
      <c r="A852" s="216"/>
      <c r="B852" s="216"/>
      <c r="C852" s="216"/>
      <c r="D852" s="216"/>
      <c r="E852" s="216"/>
      <c r="F852" s="216"/>
      <c r="G852" s="173"/>
      <c r="H852" s="173"/>
      <c r="I852" s="173"/>
      <c r="J852" s="173"/>
      <c r="K852" s="173"/>
    </row>
    <row r="853">
      <c r="A853" s="216"/>
      <c r="B853" s="216"/>
      <c r="C853" s="216"/>
      <c r="D853" s="216"/>
      <c r="E853" s="216"/>
      <c r="F853" s="216"/>
      <c r="G853" s="173"/>
      <c r="H853" s="173"/>
      <c r="I853" s="173"/>
      <c r="J853" s="173"/>
      <c r="K853" s="173"/>
    </row>
    <row r="854">
      <c r="A854" s="216"/>
      <c r="B854" s="216"/>
      <c r="C854" s="216"/>
      <c r="D854" s="216"/>
      <c r="E854" s="216"/>
      <c r="F854" s="216"/>
      <c r="G854" s="173"/>
      <c r="H854" s="173"/>
      <c r="I854" s="173"/>
      <c r="J854" s="173"/>
      <c r="K854" s="173"/>
    </row>
    <row r="855">
      <c r="A855" s="216"/>
      <c r="B855" s="216"/>
      <c r="C855" s="216"/>
      <c r="D855" s="216"/>
      <c r="E855" s="216"/>
      <c r="F855" s="216"/>
      <c r="G855" s="173"/>
      <c r="H855" s="173"/>
      <c r="I855" s="173"/>
      <c r="J855" s="173"/>
      <c r="K855" s="173"/>
    </row>
    <row r="856">
      <c r="A856" s="216"/>
      <c r="B856" s="216"/>
      <c r="C856" s="216"/>
      <c r="D856" s="216"/>
      <c r="E856" s="216"/>
      <c r="F856" s="216"/>
      <c r="G856" s="173"/>
      <c r="H856" s="173"/>
      <c r="I856" s="173"/>
      <c r="J856" s="173"/>
      <c r="K856" s="173"/>
    </row>
    <row r="857">
      <c r="A857" s="216"/>
      <c r="B857" s="216"/>
      <c r="C857" s="216"/>
      <c r="D857" s="216"/>
      <c r="E857" s="216"/>
      <c r="F857" s="216"/>
      <c r="G857" s="173"/>
      <c r="H857" s="173"/>
      <c r="I857" s="173"/>
      <c r="J857" s="173"/>
      <c r="K857" s="173"/>
    </row>
    <row r="858">
      <c r="A858" s="216"/>
      <c r="B858" s="216"/>
      <c r="C858" s="216"/>
      <c r="D858" s="216"/>
      <c r="E858" s="216"/>
      <c r="F858" s="216"/>
      <c r="G858" s="173"/>
      <c r="H858" s="173"/>
      <c r="I858" s="173"/>
      <c r="J858" s="173"/>
      <c r="K858" s="173"/>
    </row>
    <row r="859">
      <c r="A859" s="216"/>
      <c r="B859" s="216"/>
      <c r="C859" s="216"/>
      <c r="D859" s="216"/>
      <c r="E859" s="216"/>
      <c r="F859" s="216"/>
      <c r="G859" s="173"/>
      <c r="H859" s="173"/>
      <c r="I859" s="173"/>
      <c r="J859" s="173"/>
      <c r="K859" s="173"/>
    </row>
    <row r="860">
      <c r="A860" s="216"/>
      <c r="B860" s="216"/>
      <c r="C860" s="216"/>
      <c r="D860" s="216"/>
      <c r="E860" s="216"/>
      <c r="F860" s="216"/>
      <c r="G860" s="173"/>
      <c r="H860" s="173"/>
      <c r="I860" s="173"/>
      <c r="J860" s="173"/>
      <c r="K860" s="173"/>
    </row>
    <row r="861">
      <c r="A861" s="216"/>
      <c r="B861" s="216"/>
      <c r="C861" s="216"/>
      <c r="D861" s="216"/>
      <c r="E861" s="216"/>
      <c r="F861" s="216"/>
      <c r="G861" s="173"/>
      <c r="H861" s="173"/>
      <c r="I861" s="173"/>
      <c r="J861" s="173"/>
      <c r="K861" s="173"/>
    </row>
    <row r="862">
      <c r="A862" s="216"/>
      <c r="B862" s="216"/>
      <c r="C862" s="216"/>
      <c r="D862" s="216"/>
      <c r="E862" s="216"/>
      <c r="F862" s="216"/>
      <c r="G862" s="173"/>
      <c r="H862" s="173"/>
      <c r="I862" s="173"/>
      <c r="J862" s="173"/>
      <c r="K862" s="173"/>
    </row>
    <row r="863">
      <c r="A863" s="216"/>
      <c r="B863" s="216"/>
      <c r="C863" s="216"/>
      <c r="D863" s="216"/>
      <c r="E863" s="216"/>
      <c r="F863" s="216"/>
      <c r="G863" s="173"/>
      <c r="H863" s="173"/>
      <c r="I863" s="173"/>
      <c r="J863" s="173"/>
      <c r="K863" s="173"/>
    </row>
    <row r="864">
      <c r="A864" s="216"/>
      <c r="B864" s="216"/>
      <c r="C864" s="216"/>
      <c r="D864" s="216"/>
      <c r="E864" s="216"/>
      <c r="F864" s="216"/>
      <c r="G864" s="173"/>
      <c r="H864" s="173"/>
      <c r="I864" s="173"/>
      <c r="J864" s="173"/>
      <c r="K864" s="173"/>
    </row>
    <row r="865">
      <c r="A865" s="216"/>
      <c r="B865" s="216"/>
      <c r="C865" s="216"/>
      <c r="D865" s="216"/>
      <c r="E865" s="216"/>
      <c r="F865" s="216"/>
      <c r="G865" s="173"/>
      <c r="H865" s="173"/>
      <c r="I865" s="173"/>
      <c r="J865" s="173"/>
      <c r="K865" s="173"/>
    </row>
    <row r="866">
      <c r="A866" s="216"/>
      <c r="B866" s="216"/>
      <c r="C866" s="216"/>
      <c r="D866" s="216"/>
      <c r="E866" s="216"/>
      <c r="F866" s="216"/>
      <c r="G866" s="173"/>
      <c r="H866" s="173"/>
      <c r="I866" s="173"/>
      <c r="J866" s="173"/>
      <c r="K866" s="173"/>
    </row>
    <row r="867">
      <c r="A867" s="216"/>
      <c r="B867" s="216"/>
      <c r="C867" s="216"/>
      <c r="D867" s="216"/>
      <c r="E867" s="216"/>
      <c r="F867" s="216"/>
      <c r="G867" s="173"/>
      <c r="H867" s="173"/>
      <c r="I867" s="173"/>
      <c r="J867" s="173"/>
      <c r="K867" s="173"/>
    </row>
    <row r="868">
      <c r="A868" s="216"/>
      <c r="B868" s="216"/>
      <c r="C868" s="216"/>
      <c r="D868" s="216"/>
      <c r="E868" s="216"/>
      <c r="F868" s="216"/>
      <c r="G868" s="173"/>
      <c r="H868" s="173"/>
      <c r="I868" s="173"/>
      <c r="J868" s="173"/>
      <c r="K868" s="173"/>
    </row>
    <row r="869">
      <c r="A869" s="216"/>
      <c r="B869" s="216"/>
      <c r="C869" s="216"/>
      <c r="D869" s="216"/>
      <c r="E869" s="216"/>
      <c r="F869" s="216"/>
      <c r="G869" s="173"/>
      <c r="H869" s="173"/>
      <c r="I869" s="173"/>
      <c r="J869" s="173"/>
      <c r="K869" s="173"/>
    </row>
    <row r="870">
      <c r="A870" s="216"/>
      <c r="B870" s="216"/>
      <c r="C870" s="216"/>
      <c r="D870" s="216"/>
      <c r="E870" s="216"/>
      <c r="F870" s="216"/>
      <c r="G870" s="173"/>
      <c r="H870" s="173"/>
      <c r="I870" s="173"/>
      <c r="J870" s="173"/>
      <c r="K870" s="173"/>
    </row>
    <row r="871">
      <c r="A871" s="216"/>
      <c r="B871" s="216"/>
      <c r="C871" s="216"/>
      <c r="D871" s="216"/>
      <c r="E871" s="216"/>
      <c r="F871" s="216"/>
      <c r="G871" s="173"/>
      <c r="H871" s="173"/>
      <c r="I871" s="173"/>
      <c r="J871" s="173"/>
      <c r="K871" s="173"/>
    </row>
    <row r="872">
      <c r="A872" s="216"/>
      <c r="B872" s="216"/>
      <c r="C872" s="216"/>
      <c r="D872" s="216"/>
      <c r="E872" s="216"/>
      <c r="F872" s="216"/>
      <c r="G872" s="173"/>
      <c r="H872" s="173"/>
      <c r="I872" s="173"/>
      <c r="J872" s="173"/>
      <c r="K872" s="173"/>
    </row>
    <row r="873">
      <c r="A873" s="216"/>
      <c r="B873" s="216"/>
      <c r="C873" s="216"/>
      <c r="D873" s="216"/>
      <c r="E873" s="216"/>
      <c r="F873" s="216"/>
      <c r="G873" s="173"/>
      <c r="H873" s="173"/>
      <c r="I873" s="173"/>
      <c r="J873" s="173"/>
      <c r="K873" s="173"/>
    </row>
    <row r="874">
      <c r="A874" s="216"/>
      <c r="B874" s="216"/>
      <c r="C874" s="216"/>
      <c r="D874" s="216"/>
      <c r="E874" s="216"/>
      <c r="F874" s="216"/>
      <c r="G874" s="173"/>
      <c r="H874" s="173"/>
      <c r="I874" s="173"/>
      <c r="J874" s="173"/>
      <c r="K874" s="173"/>
    </row>
    <row r="875">
      <c r="A875" s="216"/>
      <c r="B875" s="216"/>
      <c r="C875" s="216"/>
      <c r="D875" s="216"/>
      <c r="E875" s="216"/>
      <c r="F875" s="216"/>
      <c r="G875" s="173"/>
      <c r="H875" s="173"/>
      <c r="I875" s="173"/>
      <c r="J875" s="173"/>
      <c r="K875" s="173"/>
    </row>
    <row r="876">
      <c r="A876" s="216"/>
      <c r="B876" s="216"/>
      <c r="C876" s="216"/>
      <c r="D876" s="216"/>
      <c r="E876" s="216"/>
      <c r="F876" s="216"/>
      <c r="G876" s="173"/>
      <c r="H876" s="173"/>
      <c r="I876" s="173"/>
      <c r="J876" s="173"/>
      <c r="K876" s="173"/>
    </row>
    <row r="877">
      <c r="A877" s="216"/>
      <c r="B877" s="216"/>
      <c r="C877" s="216"/>
      <c r="D877" s="216"/>
      <c r="E877" s="216"/>
      <c r="F877" s="216"/>
      <c r="G877" s="173"/>
      <c r="H877" s="173"/>
      <c r="I877" s="173"/>
      <c r="J877" s="173"/>
      <c r="K877" s="173"/>
    </row>
    <row r="878">
      <c r="A878" s="216"/>
      <c r="B878" s="216"/>
      <c r="C878" s="216"/>
      <c r="D878" s="216"/>
      <c r="E878" s="216"/>
      <c r="F878" s="216"/>
      <c r="G878" s="173"/>
      <c r="H878" s="173"/>
      <c r="I878" s="173"/>
      <c r="J878" s="173"/>
      <c r="K878" s="173"/>
    </row>
    <row r="879">
      <c r="A879" s="216"/>
      <c r="B879" s="216"/>
      <c r="C879" s="216"/>
      <c r="D879" s="216"/>
      <c r="E879" s="216"/>
      <c r="F879" s="216"/>
      <c r="G879" s="173"/>
      <c r="H879" s="173"/>
      <c r="I879" s="173"/>
      <c r="J879" s="173"/>
      <c r="K879" s="173"/>
    </row>
    <row r="880">
      <c r="A880" s="216"/>
      <c r="B880" s="216"/>
      <c r="C880" s="216"/>
      <c r="D880" s="216"/>
      <c r="E880" s="216"/>
      <c r="F880" s="216"/>
      <c r="G880" s="173"/>
      <c r="H880" s="173"/>
      <c r="I880" s="173"/>
      <c r="J880" s="173"/>
      <c r="K880" s="173"/>
    </row>
    <row r="881">
      <c r="A881" s="216"/>
      <c r="B881" s="216"/>
      <c r="C881" s="216"/>
      <c r="D881" s="216"/>
      <c r="E881" s="216"/>
      <c r="F881" s="216"/>
      <c r="G881" s="173"/>
      <c r="H881" s="173"/>
      <c r="I881" s="173"/>
      <c r="J881" s="173"/>
      <c r="K881" s="173"/>
    </row>
    <row r="882">
      <c r="A882" s="216"/>
      <c r="B882" s="216"/>
      <c r="C882" s="216"/>
      <c r="D882" s="216"/>
      <c r="E882" s="216"/>
      <c r="F882" s="216"/>
      <c r="G882" s="173"/>
      <c r="H882" s="173"/>
      <c r="I882" s="173"/>
      <c r="J882" s="173"/>
      <c r="K882" s="173"/>
    </row>
    <row r="883">
      <c r="A883" s="216"/>
      <c r="B883" s="216"/>
      <c r="C883" s="216"/>
      <c r="D883" s="216"/>
      <c r="E883" s="216"/>
      <c r="F883" s="216"/>
      <c r="G883" s="173"/>
      <c r="H883" s="173"/>
      <c r="I883" s="173"/>
      <c r="J883" s="173"/>
      <c r="K883" s="173"/>
    </row>
    <row r="884">
      <c r="A884" s="216"/>
      <c r="B884" s="216"/>
      <c r="C884" s="216"/>
      <c r="D884" s="216"/>
      <c r="E884" s="216"/>
      <c r="F884" s="216"/>
      <c r="G884" s="173"/>
      <c r="H884" s="173"/>
      <c r="I884" s="173"/>
      <c r="J884" s="173"/>
      <c r="K884" s="173"/>
    </row>
    <row r="885">
      <c r="A885" s="216"/>
      <c r="B885" s="216"/>
      <c r="C885" s="216"/>
      <c r="D885" s="216"/>
      <c r="E885" s="216"/>
      <c r="F885" s="216"/>
      <c r="G885" s="173"/>
      <c r="H885" s="173"/>
      <c r="I885" s="173"/>
      <c r="J885" s="173"/>
      <c r="K885" s="173"/>
    </row>
    <row r="886">
      <c r="A886" s="216"/>
      <c r="B886" s="216"/>
      <c r="C886" s="216"/>
      <c r="D886" s="216"/>
      <c r="E886" s="216"/>
      <c r="F886" s="216"/>
      <c r="G886" s="173"/>
      <c r="H886" s="173"/>
      <c r="I886" s="173"/>
      <c r="J886" s="173"/>
      <c r="K886" s="173"/>
    </row>
    <row r="887">
      <c r="A887" s="216"/>
      <c r="B887" s="216"/>
      <c r="C887" s="216"/>
      <c r="D887" s="216"/>
      <c r="E887" s="216"/>
      <c r="F887" s="216"/>
      <c r="G887" s="173"/>
      <c r="H887" s="173"/>
      <c r="I887" s="173"/>
      <c r="J887" s="173"/>
      <c r="K887" s="173"/>
    </row>
    <row r="888">
      <c r="A888" s="216"/>
      <c r="B888" s="216"/>
      <c r="C888" s="216"/>
      <c r="D888" s="216"/>
      <c r="E888" s="216"/>
      <c r="F888" s="216"/>
      <c r="G888" s="173"/>
      <c r="H888" s="173"/>
      <c r="I888" s="173"/>
      <c r="J888" s="173"/>
      <c r="K888" s="173"/>
    </row>
    <row r="889">
      <c r="A889" s="216"/>
      <c r="B889" s="216"/>
      <c r="C889" s="216"/>
      <c r="D889" s="216"/>
      <c r="E889" s="216"/>
      <c r="F889" s="216"/>
      <c r="G889" s="173"/>
      <c r="H889" s="173"/>
      <c r="I889" s="173"/>
      <c r="J889" s="173"/>
      <c r="K889" s="173"/>
    </row>
    <row r="890">
      <c r="A890" s="216"/>
      <c r="B890" s="216"/>
      <c r="C890" s="216"/>
      <c r="D890" s="216"/>
      <c r="E890" s="216"/>
      <c r="F890" s="216"/>
      <c r="G890" s="173"/>
      <c r="H890" s="173"/>
      <c r="I890" s="173"/>
      <c r="J890" s="173"/>
      <c r="K890" s="173"/>
    </row>
    <row r="891">
      <c r="A891" s="216"/>
      <c r="B891" s="216"/>
      <c r="C891" s="216"/>
      <c r="D891" s="216"/>
      <c r="E891" s="216"/>
      <c r="F891" s="216"/>
      <c r="G891" s="173"/>
      <c r="H891" s="173"/>
      <c r="I891" s="173"/>
      <c r="J891" s="173"/>
      <c r="K891" s="173"/>
    </row>
    <row r="892">
      <c r="A892" s="216"/>
      <c r="B892" s="216"/>
      <c r="C892" s="216"/>
      <c r="D892" s="216"/>
      <c r="E892" s="216"/>
      <c r="F892" s="216"/>
      <c r="G892" s="173"/>
      <c r="H892" s="173"/>
      <c r="I892" s="173"/>
      <c r="J892" s="173"/>
      <c r="K892" s="173"/>
    </row>
    <row r="893">
      <c r="A893" s="216"/>
      <c r="B893" s="216"/>
      <c r="C893" s="216"/>
      <c r="D893" s="216"/>
      <c r="E893" s="216"/>
      <c r="F893" s="216"/>
      <c r="G893" s="173"/>
      <c r="H893" s="173"/>
      <c r="I893" s="173"/>
      <c r="J893" s="173"/>
      <c r="K893" s="173"/>
    </row>
    <row r="894">
      <c r="A894" s="216"/>
      <c r="B894" s="216"/>
      <c r="C894" s="216"/>
      <c r="D894" s="216"/>
      <c r="E894" s="216"/>
      <c r="F894" s="216"/>
      <c r="G894" s="173"/>
      <c r="H894" s="173"/>
      <c r="I894" s="173"/>
      <c r="J894" s="173"/>
      <c r="K894" s="173"/>
    </row>
    <row r="895">
      <c r="A895" s="216"/>
      <c r="B895" s="216"/>
      <c r="C895" s="216"/>
      <c r="D895" s="216"/>
      <c r="E895" s="216"/>
      <c r="F895" s="216"/>
      <c r="G895" s="173"/>
      <c r="H895" s="173"/>
      <c r="I895" s="173"/>
      <c r="J895" s="173"/>
      <c r="K895" s="173"/>
    </row>
    <row r="896">
      <c r="A896" s="216"/>
      <c r="B896" s="216"/>
      <c r="C896" s="216"/>
      <c r="D896" s="216"/>
      <c r="E896" s="216"/>
      <c r="F896" s="216"/>
      <c r="G896" s="173"/>
      <c r="H896" s="173"/>
      <c r="I896" s="173"/>
      <c r="J896" s="173"/>
      <c r="K896" s="173"/>
    </row>
    <row r="897">
      <c r="A897" s="216"/>
      <c r="B897" s="216"/>
      <c r="C897" s="216"/>
      <c r="D897" s="216"/>
      <c r="E897" s="216"/>
      <c r="F897" s="216"/>
      <c r="G897" s="173"/>
      <c r="H897" s="173"/>
      <c r="I897" s="173"/>
      <c r="J897" s="173"/>
      <c r="K897" s="173"/>
    </row>
    <row r="898">
      <c r="A898" s="216"/>
      <c r="B898" s="216"/>
      <c r="C898" s="216"/>
      <c r="D898" s="216"/>
      <c r="E898" s="216"/>
      <c r="F898" s="216"/>
      <c r="G898" s="173"/>
      <c r="H898" s="173"/>
      <c r="I898" s="173"/>
      <c r="J898" s="173"/>
      <c r="K898" s="173"/>
    </row>
    <row r="899">
      <c r="A899" s="216"/>
      <c r="B899" s="216"/>
      <c r="C899" s="216"/>
      <c r="D899" s="216"/>
      <c r="E899" s="216"/>
      <c r="F899" s="216"/>
      <c r="G899" s="173"/>
      <c r="H899" s="173"/>
      <c r="I899" s="173"/>
      <c r="J899" s="173"/>
      <c r="K899" s="173"/>
    </row>
    <row r="900">
      <c r="A900" s="216"/>
      <c r="B900" s="216"/>
      <c r="C900" s="216"/>
      <c r="D900" s="216"/>
      <c r="E900" s="216"/>
      <c r="F900" s="216"/>
      <c r="G900" s="173"/>
      <c r="H900" s="173"/>
      <c r="I900" s="173"/>
      <c r="J900" s="173"/>
      <c r="K900" s="173"/>
    </row>
    <row r="901">
      <c r="A901" s="216"/>
      <c r="B901" s="216"/>
      <c r="C901" s="216"/>
      <c r="D901" s="216"/>
      <c r="E901" s="216"/>
      <c r="F901" s="216"/>
      <c r="G901" s="173"/>
      <c r="H901" s="173"/>
      <c r="I901" s="173"/>
      <c r="J901" s="173"/>
      <c r="K901" s="173"/>
    </row>
    <row r="902">
      <c r="A902" s="216"/>
      <c r="B902" s="216"/>
      <c r="C902" s="216"/>
      <c r="D902" s="216"/>
      <c r="E902" s="216"/>
      <c r="F902" s="216"/>
      <c r="G902" s="173"/>
      <c r="H902" s="173"/>
      <c r="I902" s="173"/>
      <c r="J902" s="173"/>
      <c r="K902" s="173"/>
    </row>
    <row r="903">
      <c r="A903" s="216"/>
      <c r="B903" s="216"/>
      <c r="C903" s="216"/>
      <c r="D903" s="216"/>
      <c r="E903" s="216"/>
      <c r="F903" s="216"/>
      <c r="G903" s="173"/>
      <c r="H903" s="173"/>
      <c r="I903" s="173"/>
      <c r="J903" s="173"/>
      <c r="K903" s="173"/>
    </row>
    <row r="904">
      <c r="A904" s="216"/>
      <c r="B904" s="216"/>
      <c r="C904" s="216"/>
      <c r="D904" s="216"/>
      <c r="E904" s="216"/>
      <c r="F904" s="216"/>
      <c r="G904" s="173"/>
      <c r="H904" s="173"/>
      <c r="I904" s="173"/>
      <c r="J904" s="173"/>
      <c r="K904" s="173"/>
    </row>
    <row r="905">
      <c r="A905" s="216"/>
      <c r="B905" s="216"/>
      <c r="C905" s="216"/>
      <c r="D905" s="216"/>
      <c r="E905" s="216"/>
      <c r="F905" s="216"/>
      <c r="G905" s="173"/>
      <c r="H905" s="173"/>
      <c r="I905" s="173"/>
      <c r="J905" s="173"/>
      <c r="K905" s="173"/>
    </row>
    <row r="906">
      <c r="A906" s="216"/>
      <c r="B906" s="216"/>
      <c r="C906" s="216"/>
      <c r="D906" s="216"/>
      <c r="E906" s="216"/>
      <c r="F906" s="216"/>
      <c r="G906" s="173"/>
      <c r="H906" s="173"/>
      <c r="I906" s="173"/>
      <c r="J906" s="173"/>
      <c r="K906" s="173"/>
    </row>
    <row r="907">
      <c r="A907" s="216"/>
      <c r="B907" s="216"/>
      <c r="C907" s="216"/>
      <c r="D907" s="216"/>
      <c r="E907" s="216"/>
      <c r="F907" s="216"/>
      <c r="G907" s="173"/>
      <c r="H907" s="173"/>
      <c r="I907" s="173"/>
      <c r="J907" s="173"/>
      <c r="K907" s="173"/>
    </row>
    <row r="908">
      <c r="A908" s="216"/>
      <c r="B908" s="216"/>
      <c r="C908" s="216"/>
      <c r="D908" s="216"/>
      <c r="E908" s="216"/>
      <c r="F908" s="216"/>
      <c r="G908" s="173"/>
      <c r="H908" s="173"/>
      <c r="I908" s="173"/>
      <c r="J908" s="173"/>
      <c r="K908" s="173"/>
    </row>
    <row r="909">
      <c r="A909" s="216"/>
      <c r="B909" s="216"/>
      <c r="C909" s="216"/>
      <c r="D909" s="216"/>
      <c r="E909" s="216"/>
      <c r="F909" s="216"/>
      <c r="G909" s="173"/>
      <c r="H909" s="173"/>
      <c r="I909" s="173"/>
      <c r="J909" s="173"/>
      <c r="K909" s="173"/>
    </row>
    <row r="910">
      <c r="A910" s="216"/>
      <c r="B910" s="216"/>
      <c r="C910" s="216"/>
      <c r="D910" s="216"/>
      <c r="E910" s="216"/>
      <c r="F910" s="216"/>
      <c r="G910" s="173"/>
      <c r="H910" s="173"/>
      <c r="I910" s="173"/>
      <c r="J910" s="173"/>
      <c r="K910" s="173"/>
    </row>
    <row r="911">
      <c r="A911" s="216"/>
      <c r="B911" s="216"/>
      <c r="C911" s="216"/>
      <c r="D911" s="216"/>
      <c r="E911" s="216"/>
      <c r="F911" s="216"/>
      <c r="G911" s="173"/>
      <c r="H911" s="173"/>
      <c r="I911" s="173"/>
      <c r="J911" s="173"/>
      <c r="K911" s="173"/>
    </row>
    <row r="912">
      <c r="A912" s="216"/>
      <c r="B912" s="216"/>
      <c r="C912" s="216"/>
      <c r="D912" s="216"/>
      <c r="E912" s="216"/>
      <c r="F912" s="216"/>
      <c r="G912" s="173"/>
      <c r="H912" s="173"/>
      <c r="I912" s="173"/>
      <c r="J912" s="173"/>
      <c r="K912" s="173"/>
    </row>
    <row r="913">
      <c r="A913" s="216"/>
      <c r="B913" s="216"/>
      <c r="C913" s="216"/>
      <c r="D913" s="216"/>
      <c r="E913" s="216"/>
      <c r="F913" s="216"/>
      <c r="G913" s="173"/>
      <c r="H913" s="173"/>
      <c r="I913" s="173"/>
      <c r="J913" s="173"/>
      <c r="K913" s="173"/>
    </row>
    <row r="914">
      <c r="A914" s="216"/>
      <c r="B914" s="216"/>
      <c r="C914" s="216"/>
      <c r="D914" s="216"/>
      <c r="E914" s="216"/>
      <c r="F914" s="216"/>
      <c r="G914" s="173"/>
      <c r="H914" s="173"/>
      <c r="I914" s="173"/>
      <c r="J914" s="173"/>
      <c r="K914" s="173"/>
    </row>
    <row r="915">
      <c r="A915" s="216"/>
      <c r="B915" s="216"/>
      <c r="C915" s="216"/>
      <c r="D915" s="216"/>
      <c r="E915" s="216"/>
      <c r="F915" s="216"/>
      <c r="G915" s="173"/>
      <c r="H915" s="173"/>
      <c r="I915" s="173"/>
      <c r="J915" s="173"/>
      <c r="K915" s="173"/>
    </row>
    <row r="916">
      <c r="A916" s="216"/>
      <c r="B916" s="216"/>
      <c r="C916" s="216"/>
      <c r="D916" s="216"/>
      <c r="E916" s="216"/>
      <c r="F916" s="216"/>
      <c r="G916" s="173"/>
      <c r="H916" s="173"/>
      <c r="I916" s="173"/>
      <c r="J916" s="173"/>
      <c r="K916" s="173"/>
    </row>
    <row r="917">
      <c r="A917" s="216"/>
      <c r="B917" s="216"/>
      <c r="C917" s="216"/>
      <c r="D917" s="216"/>
      <c r="E917" s="216"/>
      <c r="F917" s="216"/>
      <c r="G917" s="173"/>
      <c r="H917" s="173"/>
      <c r="I917" s="173"/>
      <c r="J917" s="173"/>
      <c r="K917" s="173"/>
    </row>
    <row r="918">
      <c r="A918" s="216"/>
      <c r="B918" s="216"/>
      <c r="C918" s="216"/>
      <c r="D918" s="216"/>
      <c r="E918" s="216"/>
      <c r="F918" s="216"/>
      <c r="G918" s="173"/>
      <c r="H918" s="173"/>
      <c r="I918" s="173"/>
      <c r="J918" s="173"/>
      <c r="K918" s="173"/>
    </row>
    <row r="919">
      <c r="A919" s="216"/>
      <c r="B919" s="216"/>
      <c r="C919" s="216"/>
      <c r="D919" s="216"/>
      <c r="E919" s="216"/>
      <c r="F919" s="216"/>
      <c r="G919" s="173"/>
      <c r="H919" s="173"/>
      <c r="I919" s="173"/>
      <c r="J919" s="173"/>
      <c r="K919" s="173"/>
    </row>
    <row r="920">
      <c r="A920" s="216"/>
      <c r="B920" s="216"/>
      <c r="C920" s="216"/>
      <c r="D920" s="216"/>
      <c r="E920" s="216"/>
      <c r="F920" s="216"/>
      <c r="G920" s="173"/>
      <c r="H920" s="173"/>
      <c r="I920" s="173"/>
      <c r="J920" s="173"/>
      <c r="K920" s="173"/>
    </row>
    <row r="921">
      <c r="A921" s="216"/>
      <c r="B921" s="216"/>
      <c r="C921" s="216"/>
      <c r="D921" s="216"/>
      <c r="E921" s="216"/>
      <c r="F921" s="216"/>
      <c r="G921" s="173"/>
      <c r="H921" s="173"/>
      <c r="I921" s="173"/>
      <c r="J921" s="173"/>
      <c r="K921" s="173"/>
    </row>
    <row r="922">
      <c r="A922" s="216"/>
      <c r="B922" s="216"/>
      <c r="C922" s="216"/>
      <c r="D922" s="216"/>
      <c r="E922" s="216"/>
      <c r="F922" s="216"/>
      <c r="G922" s="173"/>
      <c r="H922" s="173"/>
      <c r="I922" s="173"/>
      <c r="J922" s="173"/>
      <c r="K922" s="173"/>
    </row>
    <row r="923">
      <c r="A923" s="216"/>
      <c r="B923" s="216"/>
      <c r="C923" s="216"/>
      <c r="D923" s="216"/>
      <c r="E923" s="216"/>
      <c r="F923" s="216"/>
      <c r="G923" s="173"/>
      <c r="H923" s="173"/>
      <c r="I923" s="173"/>
      <c r="J923" s="173"/>
      <c r="K923" s="173"/>
    </row>
    <row r="924">
      <c r="A924" s="216"/>
      <c r="B924" s="216"/>
      <c r="C924" s="216"/>
      <c r="D924" s="216"/>
      <c r="E924" s="216"/>
      <c r="F924" s="216"/>
      <c r="G924" s="173"/>
      <c r="H924" s="173"/>
      <c r="I924" s="173"/>
      <c r="J924" s="173"/>
      <c r="K924" s="173"/>
    </row>
    <row r="925">
      <c r="A925" s="216"/>
      <c r="B925" s="216"/>
      <c r="C925" s="216"/>
      <c r="D925" s="216"/>
      <c r="E925" s="216"/>
      <c r="F925" s="216"/>
      <c r="G925" s="173"/>
      <c r="H925" s="173"/>
      <c r="I925" s="173"/>
      <c r="J925" s="173"/>
      <c r="K925" s="173"/>
    </row>
    <row r="926">
      <c r="A926" s="216"/>
      <c r="B926" s="216"/>
      <c r="C926" s="216"/>
      <c r="D926" s="216"/>
      <c r="E926" s="216"/>
      <c r="F926" s="216"/>
      <c r="G926" s="173"/>
      <c r="H926" s="173"/>
      <c r="I926" s="173"/>
      <c r="J926" s="173"/>
      <c r="K926" s="173"/>
    </row>
    <row r="927">
      <c r="A927" s="216"/>
      <c r="B927" s="216"/>
      <c r="C927" s="216"/>
      <c r="D927" s="216"/>
      <c r="E927" s="216"/>
      <c r="F927" s="216"/>
      <c r="G927" s="173"/>
      <c r="H927" s="173"/>
      <c r="I927" s="173"/>
      <c r="J927" s="173"/>
      <c r="K927" s="173"/>
    </row>
    <row r="928">
      <c r="A928" s="216"/>
      <c r="B928" s="216"/>
      <c r="C928" s="216"/>
      <c r="D928" s="216"/>
      <c r="E928" s="216"/>
      <c r="F928" s="216"/>
      <c r="G928" s="173"/>
      <c r="H928" s="173"/>
      <c r="I928" s="173"/>
      <c r="J928" s="173"/>
      <c r="K928" s="173"/>
    </row>
    <row r="929">
      <c r="A929" s="216"/>
      <c r="B929" s="216"/>
      <c r="C929" s="216"/>
      <c r="D929" s="216"/>
      <c r="E929" s="216"/>
      <c r="F929" s="216"/>
      <c r="G929" s="173"/>
      <c r="H929" s="173"/>
      <c r="I929" s="173"/>
      <c r="J929" s="173"/>
      <c r="K929" s="173"/>
    </row>
    <row r="930">
      <c r="A930" s="216"/>
      <c r="B930" s="216"/>
      <c r="C930" s="216"/>
      <c r="D930" s="216"/>
      <c r="E930" s="216"/>
      <c r="F930" s="216"/>
      <c r="G930" s="173"/>
      <c r="H930" s="173"/>
      <c r="I930" s="173"/>
      <c r="J930" s="173"/>
      <c r="K930" s="173"/>
    </row>
    <row r="931">
      <c r="A931" s="216"/>
      <c r="B931" s="216"/>
      <c r="C931" s="216"/>
      <c r="D931" s="216"/>
      <c r="E931" s="216"/>
      <c r="F931" s="216"/>
      <c r="G931" s="173"/>
      <c r="H931" s="173"/>
      <c r="I931" s="173"/>
      <c r="J931" s="173"/>
      <c r="K931" s="173"/>
    </row>
    <row r="932">
      <c r="A932" s="216"/>
      <c r="B932" s="216"/>
      <c r="C932" s="216"/>
      <c r="D932" s="216"/>
      <c r="E932" s="216"/>
      <c r="F932" s="216"/>
      <c r="G932" s="173"/>
      <c r="H932" s="173"/>
      <c r="I932" s="173"/>
      <c r="J932" s="173"/>
      <c r="K932" s="173"/>
    </row>
    <row r="933">
      <c r="A933" s="216"/>
      <c r="B933" s="216"/>
      <c r="C933" s="216"/>
      <c r="D933" s="216"/>
      <c r="E933" s="216"/>
      <c r="F933" s="216"/>
      <c r="G933" s="173"/>
      <c r="H933" s="173"/>
      <c r="I933" s="173"/>
      <c r="J933" s="173"/>
      <c r="K933" s="173"/>
    </row>
    <row r="934">
      <c r="A934" s="216"/>
      <c r="B934" s="216"/>
      <c r="C934" s="216"/>
      <c r="D934" s="216"/>
      <c r="E934" s="216"/>
      <c r="F934" s="216"/>
      <c r="G934" s="173"/>
      <c r="H934" s="173"/>
      <c r="I934" s="173"/>
      <c r="J934" s="173"/>
      <c r="K934" s="173"/>
    </row>
    <row r="935">
      <c r="A935" s="216"/>
      <c r="B935" s="216"/>
      <c r="C935" s="216"/>
      <c r="D935" s="216"/>
      <c r="E935" s="216"/>
      <c r="F935" s="216"/>
      <c r="G935" s="173"/>
      <c r="H935" s="173"/>
      <c r="I935" s="173"/>
      <c r="J935" s="173"/>
      <c r="K935" s="173"/>
    </row>
    <row r="936">
      <c r="A936" s="216"/>
      <c r="B936" s="216"/>
      <c r="C936" s="216"/>
      <c r="D936" s="216"/>
      <c r="E936" s="216"/>
      <c r="F936" s="216"/>
      <c r="G936" s="173"/>
      <c r="H936" s="173"/>
      <c r="I936" s="173"/>
      <c r="J936" s="173"/>
      <c r="K936" s="173"/>
    </row>
    <row r="937">
      <c r="A937" s="216"/>
      <c r="B937" s="216"/>
      <c r="C937" s="216"/>
      <c r="D937" s="216"/>
      <c r="E937" s="216"/>
      <c r="F937" s="216"/>
      <c r="G937" s="173"/>
      <c r="H937" s="173"/>
      <c r="I937" s="173"/>
      <c r="J937" s="173"/>
      <c r="K937" s="173"/>
    </row>
    <row r="938">
      <c r="A938" s="216"/>
      <c r="B938" s="216"/>
      <c r="C938" s="216"/>
      <c r="D938" s="216"/>
      <c r="E938" s="216"/>
      <c r="F938" s="216"/>
      <c r="G938" s="173"/>
      <c r="H938" s="173"/>
      <c r="I938" s="173"/>
      <c r="J938" s="173"/>
      <c r="K938" s="173"/>
    </row>
    <row r="939">
      <c r="A939" s="216"/>
      <c r="B939" s="216"/>
      <c r="C939" s="216"/>
      <c r="D939" s="216"/>
      <c r="E939" s="216"/>
      <c r="F939" s="216"/>
      <c r="G939" s="173"/>
      <c r="H939" s="173"/>
      <c r="I939" s="173"/>
      <c r="J939" s="173"/>
      <c r="K939" s="173"/>
    </row>
    <row r="940">
      <c r="A940" s="216"/>
      <c r="B940" s="216"/>
      <c r="C940" s="216"/>
      <c r="D940" s="216"/>
      <c r="E940" s="216"/>
      <c r="F940" s="216"/>
      <c r="G940" s="173"/>
      <c r="H940" s="173"/>
      <c r="I940" s="173"/>
      <c r="J940" s="173"/>
      <c r="K940" s="173"/>
    </row>
    <row r="941">
      <c r="A941" s="216"/>
      <c r="B941" s="216"/>
      <c r="C941" s="216"/>
      <c r="D941" s="216"/>
      <c r="E941" s="216"/>
      <c r="F941" s="216"/>
      <c r="G941" s="173"/>
      <c r="H941" s="173"/>
      <c r="I941" s="173"/>
      <c r="J941" s="173"/>
      <c r="K941" s="173"/>
    </row>
    <row r="942">
      <c r="A942" s="216"/>
      <c r="B942" s="216"/>
      <c r="C942" s="216"/>
      <c r="D942" s="216"/>
      <c r="E942" s="216"/>
      <c r="F942" s="216"/>
      <c r="G942" s="173"/>
      <c r="H942" s="173"/>
      <c r="I942" s="173"/>
      <c r="J942" s="173"/>
      <c r="K942" s="173"/>
    </row>
    <row r="943">
      <c r="A943" s="216"/>
      <c r="B943" s="216"/>
      <c r="C943" s="216"/>
      <c r="D943" s="216"/>
      <c r="E943" s="216"/>
      <c r="F943" s="216"/>
      <c r="G943" s="173"/>
      <c r="H943" s="173"/>
      <c r="I943" s="173"/>
      <c r="J943" s="173"/>
      <c r="K943" s="173"/>
    </row>
    <row r="944">
      <c r="A944" s="216"/>
      <c r="B944" s="216"/>
      <c r="C944" s="216"/>
      <c r="D944" s="216"/>
      <c r="E944" s="216"/>
      <c r="F944" s="216"/>
      <c r="G944" s="173"/>
      <c r="H944" s="173"/>
      <c r="I944" s="173"/>
      <c r="J944" s="173"/>
      <c r="K944" s="173"/>
    </row>
    <row r="945">
      <c r="A945" s="216"/>
      <c r="B945" s="216"/>
      <c r="C945" s="216"/>
      <c r="D945" s="216"/>
      <c r="E945" s="216"/>
      <c r="F945" s="216"/>
      <c r="G945" s="173"/>
      <c r="H945" s="173"/>
      <c r="I945" s="173"/>
      <c r="J945" s="173"/>
      <c r="K945" s="173"/>
    </row>
    <row r="946">
      <c r="A946" s="216"/>
      <c r="B946" s="216"/>
      <c r="C946" s="216"/>
      <c r="D946" s="216"/>
      <c r="E946" s="216"/>
      <c r="F946" s="216"/>
      <c r="G946" s="173"/>
      <c r="H946" s="173"/>
      <c r="I946" s="173"/>
      <c r="J946" s="173"/>
      <c r="K946" s="173"/>
    </row>
    <row r="947">
      <c r="A947" s="216"/>
      <c r="B947" s="216"/>
      <c r="C947" s="216"/>
      <c r="D947" s="216"/>
      <c r="E947" s="216"/>
      <c r="F947" s="216"/>
      <c r="G947" s="173"/>
      <c r="H947" s="173"/>
      <c r="I947" s="173"/>
      <c r="J947" s="173"/>
      <c r="K947" s="173"/>
    </row>
    <row r="948">
      <c r="A948" s="216"/>
      <c r="B948" s="216"/>
      <c r="C948" s="216"/>
      <c r="D948" s="216"/>
      <c r="E948" s="216"/>
      <c r="F948" s="216"/>
      <c r="G948" s="173"/>
      <c r="H948" s="173"/>
      <c r="I948" s="173"/>
      <c r="J948" s="173"/>
      <c r="K948" s="173"/>
    </row>
    <row r="949">
      <c r="A949" s="216"/>
      <c r="B949" s="216"/>
      <c r="C949" s="216"/>
      <c r="D949" s="216"/>
      <c r="E949" s="216"/>
      <c r="F949" s="216"/>
      <c r="G949" s="173"/>
      <c r="H949" s="173"/>
      <c r="I949" s="173"/>
      <c r="J949" s="173"/>
      <c r="K949" s="173"/>
    </row>
    <row r="950">
      <c r="A950" s="216"/>
      <c r="B950" s="216"/>
      <c r="C950" s="216"/>
      <c r="D950" s="216"/>
      <c r="E950" s="216"/>
      <c r="F950" s="216"/>
      <c r="G950" s="173"/>
      <c r="H950" s="173"/>
      <c r="I950" s="173"/>
      <c r="J950" s="173"/>
      <c r="K950" s="173"/>
    </row>
    <row r="951">
      <c r="A951" s="216"/>
      <c r="B951" s="216"/>
      <c r="C951" s="216"/>
      <c r="D951" s="216"/>
      <c r="E951" s="216"/>
      <c r="F951" s="216"/>
      <c r="G951" s="173"/>
      <c r="H951" s="173"/>
      <c r="I951" s="173"/>
      <c r="J951" s="173"/>
      <c r="K951" s="173"/>
    </row>
    <row r="952">
      <c r="A952" s="216"/>
      <c r="B952" s="216"/>
      <c r="C952" s="216"/>
      <c r="D952" s="216"/>
      <c r="E952" s="216"/>
      <c r="F952" s="216"/>
      <c r="G952" s="173"/>
      <c r="H952" s="173"/>
      <c r="I952" s="173"/>
      <c r="J952" s="173"/>
      <c r="K952" s="173"/>
    </row>
    <row r="953">
      <c r="A953" s="216"/>
      <c r="B953" s="216"/>
      <c r="C953" s="216"/>
      <c r="D953" s="216"/>
      <c r="E953" s="216"/>
      <c r="F953" s="216"/>
      <c r="G953" s="173"/>
      <c r="H953" s="173"/>
      <c r="I953" s="173"/>
      <c r="J953" s="173"/>
      <c r="K953" s="173"/>
    </row>
    <row r="954">
      <c r="A954" s="216"/>
      <c r="B954" s="216"/>
      <c r="C954" s="216"/>
      <c r="D954" s="216"/>
      <c r="E954" s="216"/>
      <c r="F954" s="216"/>
      <c r="G954" s="173"/>
      <c r="H954" s="173"/>
      <c r="I954" s="173"/>
      <c r="J954" s="173"/>
      <c r="K954" s="173"/>
    </row>
    <row r="955">
      <c r="A955" s="216"/>
      <c r="B955" s="216"/>
      <c r="C955" s="216"/>
      <c r="D955" s="216"/>
      <c r="E955" s="216"/>
      <c r="F955" s="216"/>
      <c r="G955" s="173"/>
      <c r="H955" s="173"/>
      <c r="I955" s="173"/>
      <c r="J955" s="173"/>
      <c r="K955" s="173"/>
    </row>
    <row r="956">
      <c r="A956" s="216"/>
      <c r="B956" s="216"/>
      <c r="C956" s="216"/>
      <c r="D956" s="216"/>
      <c r="E956" s="216"/>
      <c r="F956" s="216"/>
      <c r="G956" s="173"/>
      <c r="H956" s="173"/>
      <c r="I956" s="173"/>
      <c r="J956" s="173"/>
      <c r="K956" s="173"/>
    </row>
    <row r="957">
      <c r="A957" s="216"/>
      <c r="B957" s="216"/>
      <c r="C957" s="216"/>
      <c r="D957" s="216"/>
      <c r="E957" s="216"/>
      <c r="F957" s="216"/>
      <c r="G957" s="173"/>
      <c r="H957" s="173"/>
      <c r="I957" s="173"/>
      <c r="J957" s="173"/>
      <c r="K957" s="173"/>
    </row>
    <row r="958">
      <c r="A958" s="216"/>
      <c r="B958" s="216"/>
      <c r="C958" s="216"/>
      <c r="D958" s="216"/>
      <c r="E958" s="216"/>
      <c r="F958" s="216"/>
      <c r="G958" s="173"/>
      <c r="H958" s="173"/>
      <c r="I958" s="173"/>
      <c r="J958" s="173"/>
      <c r="K958" s="173"/>
    </row>
    <row r="959">
      <c r="A959" s="216"/>
      <c r="B959" s="216"/>
      <c r="C959" s="216"/>
      <c r="D959" s="216"/>
      <c r="E959" s="216"/>
      <c r="F959" s="216"/>
      <c r="G959" s="173"/>
      <c r="H959" s="173"/>
      <c r="I959" s="173"/>
      <c r="J959" s="173"/>
      <c r="K959" s="173"/>
    </row>
    <row r="960">
      <c r="A960" s="216"/>
      <c r="B960" s="216"/>
      <c r="C960" s="216"/>
      <c r="D960" s="216"/>
      <c r="E960" s="216"/>
      <c r="F960" s="216"/>
      <c r="G960" s="173"/>
      <c r="H960" s="173"/>
      <c r="I960" s="173"/>
      <c r="J960" s="173"/>
      <c r="K960" s="173"/>
    </row>
    <row r="961">
      <c r="A961" s="216"/>
      <c r="B961" s="216"/>
      <c r="C961" s="216"/>
      <c r="D961" s="216"/>
      <c r="E961" s="216"/>
      <c r="F961" s="216"/>
      <c r="G961" s="173"/>
      <c r="H961" s="173"/>
      <c r="I961" s="173"/>
      <c r="J961" s="173"/>
      <c r="K961" s="173"/>
    </row>
    <row r="962">
      <c r="A962" s="216"/>
      <c r="B962" s="216"/>
      <c r="C962" s="216"/>
      <c r="D962" s="216"/>
      <c r="E962" s="216"/>
      <c r="F962" s="216"/>
      <c r="G962" s="173"/>
      <c r="H962" s="173"/>
      <c r="I962" s="173"/>
      <c r="J962" s="173"/>
      <c r="K962" s="173"/>
    </row>
    <row r="963">
      <c r="A963" s="216"/>
      <c r="B963" s="216"/>
      <c r="C963" s="216"/>
      <c r="D963" s="216"/>
      <c r="E963" s="216"/>
      <c r="F963" s="216"/>
      <c r="G963" s="173"/>
      <c r="H963" s="173"/>
      <c r="I963" s="173"/>
      <c r="J963" s="173"/>
      <c r="K963" s="173"/>
    </row>
    <row r="964">
      <c r="A964" s="216"/>
      <c r="B964" s="216"/>
      <c r="C964" s="216"/>
      <c r="D964" s="216"/>
      <c r="E964" s="216"/>
      <c r="F964" s="216"/>
      <c r="G964" s="173"/>
      <c r="H964" s="173"/>
      <c r="I964" s="173"/>
      <c r="J964" s="173"/>
      <c r="K964" s="173"/>
    </row>
    <row r="965">
      <c r="A965" s="216"/>
      <c r="B965" s="216"/>
      <c r="C965" s="216"/>
      <c r="D965" s="216"/>
      <c r="E965" s="216"/>
      <c r="F965" s="216"/>
      <c r="G965" s="173"/>
      <c r="H965" s="173"/>
      <c r="I965" s="173"/>
      <c r="J965" s="173"/>
      <c r="K965" s="173"/>
    </row>
    <row r="966">
      <c r="A966" s="216"/>
      <c r="B966" s="216"/>
      <c r="C966" s="216"/>
      <c r="D966" s="216"/>
      <c r="E966" s="216"/>
      <c r="F966" s="216"/>
      <c r="G966" s="173"/>
      <c r="H966" s="173"/>
      <c r="I966" s="173"/>
      <c r="J966" s="173"/>
      <c r="K966" s="173"/>
    </row>
    <row r="967">
      <c r="A967" s="216"/>
      <c r="B967" s="216"/>
      <c r="C967" s="216"/>
      <c r="D967" s="216"/>
      <c r="E967" s="216"/>
      <c r="F967" s="216"/>
      <c r="G967" s="173"/>
      <c r="H967" s="173"/>
      <c r="I967" s="173"/>
      <c r="J967" s="173"/>
      <c r="K967" s="173"/>
    </row>
    <row r="968">
      <c r="A968" s="216"/>
      <c r="B968" s="216"/>
      <c r="C968" s="216"/>
      <c r="D968" s="216"/>
      <c r="E968" s="216"/>
      <c r="F968" s="216"/>
      <c r="G968" s="173"/>
      <c r="H968" s="173"/>
      <c r="I968" s="173"/>
      <c r="J968" s="173"/>
      <c r="K968" s="173"/>
    </row>
    <row r="969">
      <c r="A969" s="216"/>
      <c r="B969" s="216"/>
      <c r="C969" s="216"/>
      <c r="D969" s="216"/>
      <c r="E969" s="216"/>
      <c r="F969" s="216"/>
      <c r="G969" s="173"/>
      <c r="H969" s="173"/>
      <c r="I969" s="173"/>
      <c r="J969" s="173"/>
      <c r="K969" s="173"/>
    </row>
    <row r="970">
      <c r="A970" s="216"/>
      <c r="B970" s="216"/>
      <c r="C970" s="216"/>
      <c r="D970" s="216"/>
      <c r="E970" s="216"/>
      <c r="F970" s="216"/>
      <c r="G970" s="173"/>
      <c r="H970" s="173"/>
      <c r="I970" s="173"/>
      <c r="J970" s="173"/>
      <c r="K970" s="173"/>
    </row>
    <row r="971">
      <c r="A971" s="216"/>
      <c r="B971" s="216"/>
      <c r="C971" s="216"/>
      <c r="D971" s="216"/>
      <c r="E971" s="216"/>
      <c r="F971" s="216"/>
      <c r="G971" s="173"/>
      <c r="H971" s="173"/>
      <c r="I971" s="173"/>
      <c r="J971" s="173"/>
      <c r="K971" s="173"/>
    </row>
    <row r="972">
      <c r="A972" s="216"/>
      <c r="B972" s="216"/>
      <c r="C972" s="216"/>
      <c r="D972" s="216"/>
      <c r="E972" s="216"/>
      <c r="F972" s="216"/>
      <c r="G972" s="173"/>
      <c r="H972" s="173"/>
      <c r="I972" s="173"/>
      <c r="J972" s="173"/>
      <c r="K972" s="173"/>
    </row>
    <row r="973">
      <c r="A973" s="216"/>
      <c r="B973" s="216"/>
      <c r="C973" s="216"/>
      <c r="D973" s="216"/>
      <c r="E973" s="216"/>
      <c r="F973" s="216"/>
      <c r="G973" s="173"/>
      <c r="H973" s="173"/>
      <c r="I973" s="173"/>
      <c r="J973" s="173"/>
      <c r="K973" s="173"/>
    </row>
    <row r="974">
      <c r="A974" s="216"/>
      <c r="B974" s="216"/>
      <c r="C974" s="216"/>
      <c r="D974" s="216"/>
      <c r="E974" s="216"/>
      <c r="F974" s="216"/>
      <c r="G974" s="173"/>
      <c r="H974" s="173"/>
      <c r="I974" s="173"/>
      <c r="J974" s="173"/>
      <c r="K974" s="173"/>
    </row>
    <row r="975">
      <c r="A975" s="216"/>
      <c r="B975" s="216"/>
      <c r="C975" s="216"/>
      <c r="D975" s="216"/>
      <c r="E975" s="216"/>
      <c r="F975" s="216"/>
      <c r="G975" s="173"/>
      <c r="H975" s="173"/>
      <c r="I975" s="173"/>
      <c r="J975" s="173"/>
      <c r="K975" s="173"/>
    </row>
    <row r="976">
      <c r="A976" s="216"/>
      <c r="B976" s="216"/>
      <c r="C976" s="216"/>
      <c r="D976" s="216"/>
      <c r="E976" s="216"/>
      <c r="F976" s="216"/>
      <c r="G976" s="173"/>
      <c r="H976" s="173"/>
      <c r="I976" s="173"/>
      <c r="J976" s="173"/>
      <c r="K976" s="173"/>
    </row>
    <row r="977">
      <c r="A977" s="216"/>
      <c r="B977" s="216"/>
      <c r="C977" s="216"/>
      <c r="D977" s="216"/>
      <c r="E977" s="216"/>
      <c r="F977" s="216"/>
      <c r="G977" s="173"/>
      <c r="H977" s="173"/>
      <c r="I977" s="173"/>
      <c r="J977" s="173"/>
      <c r="K977" s="173"/>
    </row>
    <row r="978">
      <c r="A978" s="216"/>
      <c r="B978" s="216"/>
      <c r="C978" s="216"/>
      <c r="D978" s="216"/>
      <c r="E978" s="216"/>
      <c r="F978" s="216"/>
      <c r="G978" s="173"/>
      <c r="H978" s="173"/>
      <c r="I978" s="173"/>
      <c r="J978" s="173"/>
      <c r="K978" s="173"/>
    </row>
    <row r="979">
      <c r="A979" s="216"/>
      <c r="B979" s="216"/>
      <c r="C979" s="216"/>
      <c r="D979" s="216"/>
      <c r="E979" s="216"/>
      <c r="F979" s="216"/>
      <c r="G979" s="173"/>
      <c r="H979" s="173"/>
      <c r="I979" s="173"/>
      <c r="J979" s="173"/>
      <c r="K979" s="173"/>
    </row>
    <row r="980">
      <c r="A980" s="216"/>
      <c r="B980" s="216"/>
      <c r="C980" s="216"/>
      <c r="D980" s="216"/>
      <c r="E980" s="216"/>
      <c r="F980" s="216"/>
      <c r="G980" s="173"/>
      <c r="H980" s="173"/>
      <c r="I980" s="173"/>
      <c r="J980" s="173"/>
      <c r="K980" s="173"/>
    </row>
    <row r="981">
      <c r="A981" s="216"/>
      <c r="B981" s="216"/>
      <c r="C981" s="216"/>
      <c r="D981" s="216"/>
      <c r="E981" s="216"/>
      <c r="F981" s="216"/>
      <c r="G981" s="173"/>
      <c r="H981" s="173"/>
      <c r="I981" s="173"/>
      <c r="J981" s="173"/>
      <c r="K981" s="173"/>
    </row>
    <row r="982">
      <c r="A982" s="216"/>
      <c r="B982" s="216"/>
      <c r="C982" s="216"/>
      <c r="D982" s="216"/>
      <c r="E982" s="216"/>
      <c r="F982" s="216"/>
      <c r="G982" s="173"/>
      <c r="H982" s="173"/>
      <c r="I982" s="173"/>
      <c r="J982" s="173"/>
      <c r="K982" s="173"/>
    </row>
    <row r="983">
      <c r="A983" s="216"/>
      <c r="B983" s="216"/>
      <c r="C983" s="216"/>
      <c r="D983" s="216"/>
      <c r="E983" s="216"/>
      <c r="F983" s="216"/>
      <c r="G983" s="173"/>
      <c r="H983" s="173"/>
      <c r="I983" s="173"/>
      <c r="J983" s="173"/>
      <c r="K983" s="173"/>
    </row>
    <row r="984">
      <c r="A984" s="216"/>
      <c r="B984" s="216"/>
      <c r="C984" s="216"/>
      <c r="D984" s="216"/>
      <c r="E984" s="216"/>
      <c r="F984" s="216"/>
      <c r="G984" s="173"/>
      <c r="H984" s="173"/>
      <c r="I984" s="173"/>
      <c r="J984" s="173"/>
      <c r="K984" s="173"/>
    </row>
    <row r="985">
      <c r="A985" s="216"/>
      <c r="B985" s="216"/>
      <c r="C985" s="216"/>
      <c r="D985" s="216"/>
      <c r="E985" s="216"/>
      <c r="F985" s="216"/>
      <c r="G985" s="173"/>
      <c r="H985" s="173"/>
      <c r="I985" s="173"/>
      <c r="J985" s="173"/>
      <c r="K985" s="173"/>
    </row>
    <row r="986">
      <c r="A986" s="216"/>
      <c r="B986" s="216"/>
      <c r="C986" s="216"/>
      <c r="D986" s="216"/>
      <c r="E986" s="216"/>
      <c r="F986" s="216"/>
      <c r="G986" s="173"/>
      <c r="H986" s="173"/>
      <c r="I986" s="173"/>
      <c r="J986" s="173"/>
      <c r="K986" s="173"/>
    </row>
    <row r="987">
      <c r="A987" s="216"/>
      <c r="B987" s="216"/>
      <c r="C987" s="216"/>
      <c r="D987" s="216"/>
      <c r="E987" s="216"/>
      <c r="F987" s="216"/>
      <c r="G987" s="173"/>
      <c r="H987" s="173"/>
      <c r="I987" s="173"/>
      <c r="J987" s="173"/>
      <c r="K987" s="173"/>
    </row>
    <row r="988">
      <c r="A988" s="216"/>
      <c r="B988" s="216"/>
      <c r="C988" s="216"/>
      <c r="D988" s="216"/>
      <c r="E988" s="216"/>
      <c r="F988" s="216"/>
      <c r="G988" s="173"/>
      <c r="H988" s="173"/>
      <c r="I988" s="173"/>
      <c r="J988" s="173"/>
      <c r="K988" s="173"/>
    </row>
    <row r="989">
      <c r="A989" s="216"/>
      <c r="B989" s="216"/>
      <c r="C989" s="216"/>
      <c r="D989" s="216"/>
      <c r="E989" s="216"/>
      <c r="F989" s="216"/>
      <c r="G989" s="173"/>
      <c r="H989" s="173"/>
      <c r="I989" s="173"/>
      <c r="J989" s="173"/>
      <c r="K989" s="173"/>
    </row>
    <row r="990">
      <c r="A990" s="216"/>
      <c r="B990" s="216"/>
      <c r="C990" s="216"/>
      <c r="D990" s="216"/>
      <c r="E990" s="216"/>
      <c r="F990" s="216"/>
      <c r="G990" s="173"/>
      <c r="H990" s="173"/>
      <c r="I990" s="173"/>
      <c r="J990" s="173"/>
      <c r="K990" s="173"/>
    </row>
    <row r="991">
      <c r="A991" s="216"/>
      <c r="B991" s="216"/>
      <c r="C991" s="216"/>
      <c r="D991" s="216"/>
      <c r="E991" s="216"/>
      <c r="F991" s="216"/>
      <c r="G991" s="173"/>
      <c r="H991" s="173"/>
      <c r="I991" s="173"/>
      <c r="J991" s="173"/>
      <c r="K991" s="173"/>
    </row>
  </sheetData>
  <autoFilter ref="$A$3:$F$533"/>
  <mergeCells count="1">
    <mergeCell ref="B1:J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6.38"/>
    <col customWidth="1" min="3" max="3" width="20.63"/>
    <col customWidth="1" min="4" max="6" width="16.5"/>
    <col customWidth="1" min="7" max="7" width="17.63"/>
  </cols>
  <sheetData>
    <row r="1">
      <c r="A1" s="217" t="s">
        <v>6</v>
      </c>
      <c r="B1" s="217" t="s">
        <v>3571</v>
      </c>
      <c r="C1" s="217" t="s">
        <v>3572</v>
      </c>
      <c r="D1" s="217" t="s">
        <v>5857</v>
      </c>
      <c r="E1" s="217" t="s">
        <v>222</v>
      </c>
      <c r="F1" s="217" t="s">
        <v>5858</v>
      </c>
      <c r="G1" s="217" t="s">
        <v>26</v>
      </c>
    </row>
    <row r="2">
      <c r="A2" s="218">
        <v>1.0</v>
      </c>
      <c r="B2" s="218" t="s">
        <v>71</v>
      </c>
      <c r="C2" s="218">
        <v>6.0</v>
      </c>
      <c r="D2" s="218" t="b">
        <v>1</v>
      </c>
      <c r="E2" s="219" t="b">
        <v>0</v>
      </c>
      <c r="F2" s="219" t="b">
        <v>0</v>
      </c>
      <c r="G2" s="219"/>
    </row>
    <row r="3">
      <c r="A3" s="218">
        <f t="shared" ref="A3:A1089" si="1">A2+1</f>
        <v>2</v>
      </c>
      <c r="B3" s="218" t="s">
        <v>71</v>
      </c>
      <c r="C3" s="218">
        <v>8.0</v>
      </c>
      <c r="D3" s="218" t="b">
        <v>1</v>
      </c>
      <c r="E3" s="219" t="b">
        <v>0</v>
      </c>
      <c r="F3" s="219" t="b">
        <v>0</v>
      </c>
      <c r="G3" s="219"/>
    </row>
    <row r="4">
      <c r="A4" s="218">
        <f t="shared" si="1"/>
        <v>3</v>
      </c>
      <c r="B4" s="218" t="s">
        <v>71</v>
      </c>
      <c r="C4" s="218">
        <v>9.0</v>
      </c>
      <c r="D4" s="218" t="b">
        <v>1</v>
      </c>
      <c r="E4" s="219" t="b">
        <v>0</v>
      </c>
      <c r="F4" s="219" t="b">
        <v>0</v>
      </c>
      <c r="G4" s="219"/>
    </row>
    <row r="5">
      <c r="A5" s="218">
        <f t="shared" si="1"/>
        <v>4</v>
      </c>
      <c r="B5" s="218" t="s">
        <v>71</v>
      </c>
      <c r="C5" s="218">
        <v>14.0</v>
      </c>
      <c r="D5" s="218" t="b">
        <v>1</v>
      </c>
      <c r="E5" s="219" t="b">
        <v>0</v>
      </c>
      <c r="F5" s="219" t="b">
        <v>0</v>
      </c>
      <c r="G5" s="219"/>
    </row>
    <row r="6">
      <c r="A6" s="218">
        <f t="shared" si="1"/>
        <v>5</v>
      </c>
      <c r="B6" s="218" t="s">
        <v>71</v>
      </c>
      <c r="C6" s="218">
        <v>18.0</v>
      </c>
      <c r="D6" s="218" t="b">
        <v>1</v>
      </c>
      <c r="E6" s="219" t="b">
        <v>0</v>
      </c>
      <c r="F6" s="219" t="b">
        <v>0</v>
      </c>
      <c r="G6" s="219"/>
    </row>
    <row r="7">
      <c r="A7" s="218">
        <f t="shared" si="1"/>
        <v>6</v>
      </c>
      <c r="B7" s="218" t="s">
        <v>71</v>
      </c>
      <c r="C7" s="218">
        <v>20.0</v>
      </c>
      <c r="D7" s="218" t="b">
        <v>1</v>
      </c>
      <c r="E7" s="219" t="b">
        <v>0</v>
      </c>
      <c r="F7" s="219" t="b">
        <v>0</v>
      </c>
      <c r="G7" s="219"/>
    </row>
    <row r="8">
      <c r="A8" s="218">
        <f t="shared" si="1"/>
        <v>7</v>
      </c>
      <c r="B8" s="218" t="s">
        <v>71</v>
      </c>
      <c r="C8" s="218">
        <v>23.0</v>
      </c>
      <c r="D8" s="218" t="b">
        <v>1</v>
      </c>
      <c r="E8" s="219" t="b">
        <v>0</v>
      </c>
      <c r="F8" s="219" t="b">
        <v>0</v>
      </c>
      <c r="G8" s="219"/>
    </row>
    <row r="9">
      <c r="A9" s="218">
        <f t="shared" si="1"/>
        <v>8</v>
      </c>
      <c r="B9" s="218" t="s">
        <v>71</v>
      </c>
      <c r="C9" s="218">
        <v>25.0</v>
      </c>
      <c r="D9" s="218" t="b">
        <v>1</v>
      </c>
      <c r="E9" s="219" t="b">
        <v>0</v>
      </c>
      <c r="F9" s="219" t="b">
        <v>0</v>
      </c>
      <c r="G9" s="219"/>
    </row>
    <row r="10">
      <c r="A10" s="218">
        <f t="shared" si="1"/>
        <v>9</v>
      </c>
      <c r="B10" s="218" t="s">
        <v>71</v>
      </c>
      <c r="C10" s="218">
        <v>30.0</v>
      </c>
      <c r="D10" s="218" t="b">
        <v>1</v>
      </c>
      <c r="E10" s="219" t="b">
        <v>0</v>
      </c>
      <c r="F10" s="219" t="b">
        <v>0</v>
      </c>
      <c r="G10" s="219"/>
    </row>
    <row r="11">
      <c r="A11" s="218">
        <f t="shared" si="1"/>
        <v>10</v>
      </c>
      <c r="B11" s="218" t="s">
        <v>71</v>
      </c>
      <c r="C11" s="218">
        <v>40.0</v>
      </c>
      <c r="D11" s="218" t="b">
        <v>1</v>
      </c>
      <c r="E11" s="219" t="b">
        <v>0</v>
      </c>
      <c r="F11" s="219" t="b">
        <v>0</v>
      </c>
      <c r="G11" s="219"/>
    </row>
    <row r="12">
      <c r="A12" s="218">
        <f t="shared" si="1"/>
        <v>11</v>
      </c>
      <c r="B12" s="218" t="s">
        <v>71</v>
      </c>
      <c r="C12" s="218">
        <v>41.0</v>
      </c>
      <c r="D12" s="218" t="b">
        <v>1</v>
      </c>
      <c r="E12" s="219" t="b">
        <v>0</v>
      </c>
      <c r="F12" s="219" t="b">
        <v>0</v>
      </c>
      <c r="G12" s="219"/>
    </row>
    <row r="13">
      <c r="A13" s="218">
        <f t="shared" si="1"/>
        <v>12</v>
      </c>
      <c r="B13" s="218" t="s">
        <v>71</v>
      </c>
      <c r="C13" s="218">
        <v>43.0</v>
      </c>
      <c r="D13" s="218" t="b">
        <v>1</v>
      </c>
      <c r="E13" s="219" t="b">
        <v>0</v>
      </c>
      <c r="F13" s="219" t="b">
        <v>0</v>
      </c>
      <c r="G13" s="219"/>
    </row>
    <row r="14">
      <c r="A14" s="218">
        <f t="shared" si="1"/>
        <v>13</v>
      </c>
      <c r="B14" s="218" t="s">
        <v>71</v>
      </c>
      <c r="C14" s="218">
        <v>47.0</v>
      </c>
      <c r="D14" s="218" t="b">
        <v>1</v>
      </c>
      <c r="E14" s="219" t="b">
        <v>0</v>
      </c>
      <c r="F14" s="219" t="b">
        <v>0</v>
      </c>
      <c r="G14" s="219"/>
    </row>
    <row r="15">
      <c r="A15" s="218">
        <f t="shared" si="1"/>
        <v>14</v>
      </c>
      <c r="B15" s="218" t="s">
        <v>71</v>
      </c>
      <c r="C15" s="218">
        <v>54.0</v>
      </c>
      <c r="D15" s="218" t="b">
        <v>1</v>
      </c>
      <c r="E15" s="219" t="b">
        <v>0</v>
      </c>
      <c r="F15" s="219" t="b">
        <v>0</v>
      </c>
      <c r="G15" s="219"/>
    </row>
    <row r="16">
      <c r="A16" s="218">
        <f t="shared" si="1"/>
        <v>15</v>
      </c>
      <c r="B16" s="218" t="s">
        <v>71</v>
      </c>
      <c r="C16" s="218">
        <v>56.0</v>
      </c>
      <c r="D16" s="218" t="b">
        <v>1</v>
      </c>
      <c r="E16" s="219" t="b">
        <v>0</v>
      </c>
      <c r="F16" s="219" t="b">
        <v>0</v>
      </c>
      <c r="G16" s="219"/>
    </row>
    <row r="17">
      <c r="A17" s="218">
        <f t="shared" si="1"/>
        <v>16</v>
      </c>
      <c r="B17" s="218" t="s">
        <v>71</v>
      </c>
      <c r="C17" s="218">
        <v>68.0</v>
      </c>
      <c r="D17" s="218" t="b">
        <v>1</v>
      </c>
      <c r="E17" s="219" t="b">
        <v>0</v>
      </c>
      <c r="F17" s="219" t="b">
        <v>0</v>
      </c>
      <c r="G17" s="219"/>
    </row>
    <row r="18">
      <c r="A18" s="218">
        <f t="shared" si="1"/>
        <v>17</v>
      </c>
      <c r="B18" s="218" t="s">
        <v>71</v>
      </c>
      <c r="C18" s="218">
        <v>70.0</v>
      </c>
      <c r="D18" s="218" t="b">
        <v>1</v>
      </c>
      <c r="E18" s="219" t="b">
        <v>0</v>
      </c>
      <c r="F18" s="219" t="b">
        <v>0</v>
      </c>
      <c r="G18" s="219"/>
    </row>
    <row r="19">
      <c r="A19" s="218">
        <f t="shared" si="1"/>
        <v>18</v>
      </c>
      <c r="B19" s="218" t="s">
        <v>71</v>
      </c>
      <c r="C19" s="218">
        <v>78.0</v>
      </c>
      <c r="D19" s="218" t="b">
        <v>1</v>
      </c>
      <c r="E19" s="219" t="b">
        <v>0</v>
      </c>
      <c r="F19" s="219" t="b">
        <v>0</v>
      </c>
      <c r="G19" s="219"/>
    </row>
    <row r="20">
      <c r="A20" s="218">
        <f t="shared" si="1"/>
        <v>19</v>
      </c>
      <c r="B20" s="218" t="s">
        <v>71</v>
      </c>
      <c r="C20" s="218">
        <v>79.0</v>
      </c>
      <c r="D20" s="218" t="b">
        <v>1</v>
      </c>
      <c r="E20" s="219" t="b">
        <v>0</v>
      </c>
      <c r="F20" s="219" t="b">
        <v>0</v>
      </c>
      <c r="G20" s="219"/>
    </row>
    <row r="21">
      <c r="A21" s="218">
        <f t="shared" si="1"/>
        <v>20</v>
      </c>
      <c r="B21" s="218" t="s">
        <v>71</v>
      </c>
      <c r="C21" s="218">
        <v>84.0</v>
      </c>
      <c r="D21" s="218" t="b">
        <v>1</v>
      </c>
      <c r="E21" s="219" t="b">
        <v>0</v>
      </c>
      <c r="F21" s="219" t="b">
        <v>0</v>
      </c>
      <c r="G21" s="219"/>
    </row>
    <row r="22">
      <c r="A22" s="218">
        <f t="shared" si="1"/>
        <v>21</v>
      </c>
      <c r="B22" s="218" t="s">
        <v>71</v>
      </c>
      <c r="C22" s="218">
        <v>86.0</v>
      </c>
      <c r="D22" s="218" t="b">
        <v>1</v>
      </c>
      <c r="E22" s="219" t="b">
        <v>0</v>
      </c>
      <c r="F22" s="219" t="b">
        <v>0</v>
      </c>
      <c r="G22" s="219"/>
    </row>
    <row r="23">
      <c r="A23" s="218">
        <f t="shared" si="1"/>
        <v>22</v>
      </c>
      <c r="B23" s="218" t="s">
        <v>71</v>
      </c>
      <c r="C23" s="218">
        <v>91.0</v>
      </c>
      <c r="D23" s="218" t="b">
        <v>1</v>
      </c>
      <c r="E23" s="219" t="b">
        <v>0</v>
      </c>
      <c r="F23" s="219" t="b">
        <v>0</v>
      </c>
      <c r="G23" s="219"/>
    </row>
    <row r="24">
      <c r="A24" s="218">
        <f t="shared" si="1"/>
        <v>23</v>
      </c>
      <c r="B24" s="218" t="s">
        <v>71</v>
      </c>
      <c r="C24" s="218">
        <v>94.0</v>
      </c>
      <c r="D24" s="218" t="b">
        <v>1</v>
      </c>
      <c r="E24" s="219" t="b">
        <v>0</v>
      </c>
      <c r="F24" s="219" t="b">
        <v>0</v>
      </c>
      <c r="G24" s="219"/>
    </row>
    <row r="25">
      <c r="A25" s="218">
        <f t="shared" si="1"/>
        <v>24</v>
      </c>
      <c r="B25" s="218" t="s">
        <v>71</v>
      </c>
      <c r="C25" s="218">
        <v>96.0</v>
      </c>
      <c r="D25" s="218" t="b">
        <v>1</v>
      </c>
      <c r="E25" s="219" t="b">
        <v>0</v>
      </c>
      <c r="F25" s="219" t="b">
        <v>0</v>
      </c>
      <c r="G25" s="219"/>
    </row>
    <row r="26">
      <c r="A26" s="218">
        <f t="shared" si="1"/>
        <v>25</v>
      </c>
      <c r="B26" s="218" t="s">
        <v>71</v>
      </c>
      <c r="C26" s="218">
        <v>102.0</v>
      </c>
      <c r="D26" s="218" t="b">
        <v>1</v>
      </c>
      <c r="E26" s="219" t="b">
        <v>0</v>
      </c>
      <c r="F26" s="219" t="b">
        <v>0</v>
      </c>
      <c r="G26" s="219"/>
    </row>
    <row r="27">
      <c r="A27" s="218">
        <f t="shared" si="1"/>
        <v>26</v>
      </c>
      <c r="B27" s="218" t="s">
        <v>71</v>
      </c>
      <c r="C27" s="218">
        <v>106.0</v>
      </c>
      <c r="D27" s="218" t="b">
        <v>1</v>
      </c>
      <c r="E27" s="219" t="b">
        <v>0</v>
      </c>
      <c r="F27" s="219" t="b">
        <v>0</v>
      </c>
      <c r="G27" s="219"/>
    </row>
    <row r="28">
      <c r="A28" s="218">
        <f t="shared" si="1"/>
        <v>27</v>
      </c>
      <c r="B28" s="218" t="s">
        <v>71</v>
      </c>
      <c r="C28" s="218">
        <v>109.0</v>
      </c>
      <c r="D28" s="218" t="b">
        <v>1</v>
      </c>
      <c r="E28" s="219" t="b">
        <v>0</v>
      </c>
      <c r="F28" s="219" t="b">
        <v>0</v>
      </c>
      <c r="G28" s="219"/>
    </row>
    <row r="29">
      <c r="A29" s="218">
        <f t="shared" si="1"/>
        <v>28</v>
      </c>
      <c r="B29" s="218" t="s">
        <v>71</v>
      </c>
      <c r="C29" s="218">
        <v>110.0</v>
      </c>
      <c r="D29" s="218" t="b">
        <v>1</v>
      </c>
      <c r="E29" s="219" t="b">
        <v>0</v>
      </c>
      <c r="F29" s="219" t="b">
        <v>0</v>
      </c>
      <c r="G29" s="219"/>
    </row>
    <row r="30">
      <c r="A30" s="218">
        <f t="shared" si="1"/>
        <v>29</v>
      </c>
      <c r="B30" s="218" t="s">
        <v>71</v>
      </c>
      <c r="C30" s="218">
        <v>111.0</v>
      </c>
      <c r="D30" s="218" t="b">
        <v>1</v>
      </c>
      <c r="E30" s="219" t="b">
        <v>0</v>
      </c>
      <c r="F30" s="219" t="b">
        <v>0</v>
      </c>
      <c r="G30" s="219"/>
    </row>
    <row r="31">
      <c r="A31" s="218">
        <f t="shared" si="1"/>
        <v>30</v>
      </c>
      <c r="B31" s="218" t="s">
        <v>71</v>
      </c>
      <c r="C31" s="218">
        <v>114.0</v>
      </c>
      <c r="D31" s="218" t="b">
        <v>1</v>
      </c>
      <c r="E31" s="219" t="b">
        <v>0</v>
      </c>
      <c r="F31" s="219" t="b">
        <v>0</v>
      </c>
      <c r="G31" s="219"/>
    </row>
    <row r="32">
      <c r="A32" s="218">
        <f t="shared" si="1"/>
        <v>31</v>
      </c>
      <c r="B32" s="218" t="s">
        <v>71</v>
      </c>
      <c r="C32" s="218">
        <v>115.0</v>
      </c>
      <c r="D32" s="218" t="b">
        <v>1</v>
      </c>
      <c r="E32" s="219" t="b">
        <v>0</v>
      </c>
      <c r="F32" s="219" t="b">
        <v>0</v>
      </c>
      <c r="G32" s="219"/>
    </row>
    <row r="33">
      <c r="A33" s="218">
        <f t="shared" si="1"/>
        <v>32</v>
      </c>
      <c r="B33" s="218" t="s">
        <v>71</v>
      </c>
      <c r="C33" s="218">
        <v>118.0</v>
      </c>
      <c r="D33" s="218" t="b">
        <v>1</v>
      </c>
      <c r="E33" s="219" t="b">
        <v>0</v>
      </c>
      <c r="F33" s="219" t="b">
        <v>0</v>
      </c>
      <c r="G33" s="219"/>
    </row>
    <row r="34">
      <c r="A34" s="218">
        <f t="shared" si="1"/>
        <v>33</v>
      </c>
      <c r="B34" s="218" t="s">
        <v>71</v>
      </c>
      <c r="C34" s="218">
        <v>123.0</v>
      </c>
      <c r="D34" s="218" t="b">
        <v>1</v>
      </c>
      <c r="E34" s="219" t="b">
        <v>0</v>
      </c>
      <c r="F34" s="219" t="b">
        <v>0</v>
      </c>
      <c r="G34" s="219"/>
    </row>
    <row r="35">
      <c r="A35" s="218">
        <f t="shared" si="1"/>
        <v>34</v>
      </c>
      <c r="B35" s="218" t="s">
        <v>71</v>
      </c>
      <c r="C35" s="218">
        <v>132.0</v>
      </c>
      <c r="D35" s="218" t="b">
        <v>1</v>
      </c>
      <c r="E35" s="219" t="b">
        <v>0</v>
      </c>
      <c r="F35" s="219" t="b">
        <v>0</v>
      </c>
      <c r="G35" s="219"/>
    </row>
    <row r="36">
      <c r="A36" s="218">
        <f t="shared" si="1"/>
        <v>35</v>
      </c>
      <c r="B36" s="218" t="s">
        <v>71</v>
      </c>
      <c r="C36" s="218">
        <v>133.0</v>
      </c>
      <c r="D36" s="218" t="b">
        <v>1</v>
      </c>
      <c r="E36" s="219" t="b">
        <v>0</v>
      </c>
      <c r="F36" s="219" t="b">
        <v>0</v>
      </c>
      <c r="G36" s="219"/>
    </row>
    <row r="37">
      <c r="A37" s="218">
        <f t="shared" si="1"/>
        <v>36</v>
      </c>
      <c r="B37" s="218" t="s">
        <v>71</v>
      </c>
      <c r="C37" s="218">
        <v>135.0</v>
      </c>
      <c r="D37" s="218" t="b">
        <v>1</v>
      </c>
      <c r="E37" s="219" t="b">
        <v>0</v>
      </c>
      <c r="F37" s="219" t="b">
        <v>0</v>
      </c>
      <c r="G37" s="219"/>
    </row>
    <row r="38">
      <c r="A38" s="218">
        <f t="shared" si="1"/>
        <v>37</v>
      </c>
      <c r="B38" s="218" t="s">
        <v>71</v>
      </c>
      <c r="C38" s="218">
        <v>137.0</v>
      </c>
      <c r="D38" s="218" t="b">
        <v>1</v>
      </c>
      <c r="E38" s="219" t="b">
        <v>0</v>
      </c>
      <c r="F38" s="219" t="b">
        <v>0</v>
      </c>
      <c r="G38" s="219"/>
    </row>
    <row r="39">
      <c r="A39" s="218">
        <f t="shared" si="1"/>
        <v>38</v>
      </c>
      <c r="B39" s="218" t="s">
        <v>71</v>
      </c>
      <c r="C39" s="218">
        <v>141.0</v>
      </c>
      <c r="D39" s="218" t="b">
        <v>1</v>
      </c>
      <c r="E39" s="219" t="b">
        <v>0</v>
      </c>
      <c r="F39" s="219" t="b">
        <v>0</v>
      </c>
      <c r="G39" s="219"/>
    </row>
    <row r="40">
      <c r="A40" s="218">
        <f t="shared" si="1"/>
        <v>39</v>
      </c>
      <c r="B40" s="218" t="s">
        <v>71</v>
      </c>
      <c r="C40" s="218">
        <v>146.0</v>
      </c>
      <c r="D40" s="218" t="b">
        <v>1</v>
      </c>
      <c r="E40" s="219" t="b">
        <v>0</v>
      </c>
      <c r="F40" s="219" t="b">
        <v>0</v>
      </c>
      <c r="G40" s="219"/>
    </row>
    <row r="41">
      <c r="A41" s="218">
        <f t="shared" si="1"/>
        <v>40</v>
      </c>
      <c r="B41" s="218" t="s">
        <v>71</v>
      </c>
      <c r="C41" s="218">
        <v>148.0</v>
      </c>
      <c r="D41" s="218" t="b">
        <v>1</v>
      </c>
      <c r="E41" s="219" t="b">
        <v>0</v>
      </c>
      <c r="F41" s="219" t="b">
        <v>0</v>
      </c>
      <c r="G41" s="219"/>
    </row>
    <row r="42">
      <c r="A42" s="218">
        <f t="shared" si="1"/>
        <v>41</v>
      </c>
      <c r="B42" s="218" t="s">
        <v>71</v>
      </c>
      <c r="C42" s="218">
        <v>152.0</v>
      </c>
      <c r="D42" s="218" t="b">
        <v>1</v>
      </c>
      <c r="E42" s="219" t="b">
        <v>0</v>
      </c>
      <c r="F42" s="219" t="b">
        <v>0</v>
      </c>
      <c r="G42" s="219"/>
    </row>
    <row r="43">
      <c r="A43" s="218">
        <f t="shared" si="1"/>
        <v>42</v>
      </c>
      <c r="B43" s="218" t="s">
        <v>71</v>
      </c>
      <c r="C43" s="218">
        <v>169.0</v>
      </c>
      <c r="D43" s="218" t="b">
        <v>1</v>
      </c>
      <c r="E43" s="219" t="b">
        <v>0</v>
      </c>
      <c r="F43" s="219" t="b">
        <v>0</v>
      </c>
      <c r="G43" s="219"/>
    </row>
    <row r="44">
      <c r="A44" s="218">
        <f t="shared" si="1"/>
        <v>43</v>
      </c>
      <c r="B44" s="218" t="s">
        <v>71</v>
      </c>
      <c r="C44" s="218">
        <v>171.0</v>
      </c>
      <c r="D44" s="218" t="b">
        <v>1</v>
      </c>
      <c r="E44" s="219" t="b">
        <v>0</v>
      </c>
      <c r="F44" s="219" t="b">
        <v>0</v>
      </c>
      <c r="G44" s="219"/>
    </row>
    <row r="45">
      <c r="A45" s="218">
        <f t="shared" si="1"/>
        <v>44</v>
      </c>
      <c r="B45" s="218" t="s">
        <v>71</v>
      </c>
      <c r="C45" s="218">
        <v>177.0</v>
      </c>
      <c r="D45" s="218" t="b">
        <v>1</v>
      </c>
      <c r="E45" s="219" t="b">
        <v>0</v>
      </c>
      <c r="F45" s="219" t="b">
        <v>0</v>
      </c>
      <c r="G45" s="219"/>
    </row>
    <row r="46">
      <c r="A46" s="218">
        <f t="shared" si="1"/>
        <v>45</v>
      </c>
      <c r="B46" s="218" t="s">
        <v>71</v>
      </c>
      <c r="C46" s="218">
        <v>179.0</v>
      </c>
      <c r="D46" s="218" t="b">
        <v>1</v>
      </c>
      <c r="E46" s="219" t="b">
        <v>0</v>
      </c>
      <c r="F46" s="219" t="b">
        <v>0</v>
      </c>
      <c r="G46" s="219"/>
    </row>
    <row r="47">
      <c r="A47" s="218">
        <f t="shared" si="1"/>
        <v>46</v>
      </c>
      <c r="B47" s="218" t="s">
        <v>71</v>
      </c>
      <c r="C47" s="218">
        <v>183.0</v>
      </c>
      <c r="D47" s="218" t="b">
        <v>1</v>
      </c>
      <c r="E47" s="219" t="b">
        <v>0</v>
      </c>
      <c r="F47" s="219" t="b">
        <v>0</v>
      </c>
      <c r="G47" s="219"/>
    </row>
    <row r="48">
      <c r="A48" s="218">
        <f t="shared" si="1"/>
        <v>47</v>
      </c>
      <c r="B48" s="218" t="s">
        <v>71</v>
      </c>
      <c r="C48" s="218">
        <v>184.0</v>
      </c>
      <c r="D48" s="218" t="b">
        <v>1</v>
      </c>
      <c r="E48" s="219" t="b">
        <v>0</v>
      </c>
      <c r="F48" s="219" t="b">
        <v>0</v>
      </c>
      <c r="G48" s="219"/>
    </row>
    <row r="49">
      <c r="A49" s="218">
        <f t="shared" si="1"/>
        <v>48</v>
      </c>
      <c r="B49" s="218" t="s">
        <v>71</v>
      </c>
      <c r="C49" s="218">
        <v>190.0</v>
      </c>
      <c r="D49" s="218" t="b">
        <v>1</v>
      </c>
      <c r="E49" s="219" t="b">
        <v>0</v>
      </c>
      <c r="F49" s="219" t="b">
        <v>0</v>
      </c>
      <c r="G49" s="219"/>
    </row>
    <row r="50">
      <c r="A50" s="218">
        <f t="shared" si="1"/>
        <v>49</v>
      </c>
      <c r="B50" s="218" t="s">
        <v>71</v>
      </c>
      <c r="C50" s="218">
        <v>192.0</v>
      </c>
      <c r="D50" s="218" t="b">
        <v>1</v>
      </c>
      <c r="E50" s="219" t="b">
        <v>0</v>
      </c>
      <c r="F50" s="219" t="b">
        <v>0</v>
      </c>
      <c r="G50" s="219"/>
    </row>
    <row r="51">
      <c r="A51" s="218">
        <f t="shared" si="1"/>
        <v>50</v>
      </c>
      <c r="B51" s="218" t="s">
        <v>71</v>
      </c>
      <c r="C51" s="218">
        <v>193.0</v>
      </c>
      <c r="D51" s="218" t="b">
        <v>1</v>
      </c>
      <c r="E51" s="219" t="b">
        <v>0</v>
      </c>
      <c r="F51" s="219" t="b">
        <v>0</v>
      </c>
      <c r="G51" s="219"/>
    </row>
    <row r="52">
      <c r="A52" s="218">
        <f t="shared" si="1"/>
        <v>51</v>
      </c>
      <c r="B52" s="218" t="s">
        <v>71</v>
      </c>
      <c r="C52" s="218">
        <v>195.0</v>
      </c>
      <c r="D52" s="218" t="b">
        <v>1</v>
      </c>
      <c r="E52" s="219" t="b">
        <v>0</v>
      </c>
      <c r="F52" s="219" t="b">
        <v>0</v>
      </c>
      <c r="G52" s="219"/>
    </row>
    <row r="53">
      <c r="A53" s="218">
        <f t="shared" si="1"/>
        <v>52</v>
      </c>
      <c r="B53" s="218" t="s">
        <v>71</v>
      </c>
      <c r="C53" s="218">
        <v>198.0</v>
      </c>
      <c r="D53" s="218" t="b">
        <v>1</v>
      </c>
      <c r="E53" s="219" t="b">
        <v>0</v>
      </c>
      <c r="F53" s="219" t="b">
        <v>0</v>
      </c>
      <c r="G53" s="219"/>
    </row>
    <row r="54">
      <c r="A54" s="218">
        <f t="shared" si="1"/>
        <v>53</v>
      </c>
      <c r="B54" s="218" t="s">
        <v>71</v>
      </c>
      <c r="C54" s="218">
        <v>201.0</v>
      </c>
      <c r="D54" s="218" t="b">
        <v>1</v>
      </c>
      <c r="E54" s="219" t="b">
        <v>0</v>
      </c>
      <c r="F54" s="219" t="b">
        <v>0</v>
      </c>
      <c r="G54" s="219"/>
    </row>
    <row r="55">
      <c r="A55" s="218">
        <f t="shared" si="1"/>
        <v>54</v>
      </c>
      <c r="B55" s="218" t="s">
        <v>71</v>
      </c>
      <c r="C55" s="218">
        <v>211.0</v>
      </c>
      <c r="D55" s="218" t="b">
        <v>1</v>
      </c>
      <c r="E55" s="219" t="b">
        <v>0</v>
      </c>
      <c r="F55" s="219" t="b">
        <v>0</v>
      </c>
      <c r="G55" s="219"/>
    </row>
    <row r="56">
      <c r="A56" s="218">
        <f t="shared" si="1"/>
        <v>55</v>
      </c>
      <c r="B56" s="218" t="s">
        <v>71</v>
      </c>
      <c r="C56" s="218">
        <v>216.0</v>
      </c>
      <c r="D56" s="218" t="b">
        <v>1</v>
      </c>
      <c r="E56" s="219" t="b">
        <v>0</v>
      </c>
      <c r="F56" s="219" t="b">
        <v>0</v>
      </c>
      <c r="G56" s="219"/>
    </row>
    <row r="57">
      <c r="A57" s="218">
        <f t="shared" si="1"/>
        <v>56</v>
      </c>
      <c r="B57" s="218" t="s">
        <v>71</v>
      </c>
      <c r="C57" s="218">
        <v>219.0</v>
      </c>
      <c r="D57" s="218" t="b">
        <v>1</v>
      </c>
      <c r="E57" s="219" t="b">
        <v>0</v>
      </c>
      <c r="F57" s="219" t="b">
        <v>0</v>
      </c>
      <c r="G57" s="219"/>
    </row>
    <row r="58">
      <c r="A58" s="218">
        <f t="shared" si="1"/>
        <v>57</v>
      </c>
      <c r="B58" s="218" t="s">
        <v>71</v>
      </c>
      <c r="C58" s="218">
        <v>221.0</v>
      </c>
      <c r="D58" s="218" t="b">
        <v>1</v>
      </c>
      <c r="E58" s="219" t="b">
        <v>0</v>
      </c>
      <c r="F58" s="219" t="b">
        <v>0</v>
      </c>
      <c r="G58" s="219"/>
    </row>
    <row r="59">
      <c r="A59" s="218">
        <f t="shared" si="1"/>
        <v>58</v>
      </c>
      <c r="B59" s="218" t="s">
        <v>71</v>
      </c>
      <c r="C59" s="218">
        <v>223.0</v>
      </c>
      <c r="D59" s="218" t="b">
        <v>1</v>
      </c>
      <c r="E59" s="219" t="b">
        <v>0</v>
      </c>
      <c r="F59" s="219" t="b">
        <v>0</v>
      </c>
      <c r="G59" s="219"/>
    </row>
    <row r="60">
      <c r="A60" s="218">
        <f t="shared" si="1"/>
        <v>59</v>
      </c>
      <c r="B60" s="218" t="s">
        <v>71</v>
      </c>
      <c r="C60" s="218">
        <v>225.0</v>
      </c>
      <c r="D60" s="218" t="b">
        <v>1</v>
      </c>
      <c r="E60" s="219" t="b">
        <v>0</v>
      </c>
      <c r="F60" s="219" t="b">
        <v>0</v>
      </c>
      <c r="G60" s="219"/>
    </row>
    <row r="61">
      <c r="A61" s="218">
        <f t="shared" si="1"/>
        <v>60</v>
      </c>
      <c r="B61" s="218" t="s">
        <v>71</v>
      </c>
      <c r="C61" s="218">
        <v>226.0</v>
      </c>
      <c r="D61" s="218" t="b">
        <v>1</v>
      </c>
      <c r="E61" s="219" t="b">
        <v>0</v>
      </c>
      <c r="F61" s="219" t="b">
        <v>0</v>
      </c>
      <c r="G61" s="219"/>
    </row>
    <row r="62">
      <c r="A62" s="218">
        <f t="shared" si="1"/>
        <v>61</v>
      </c>
      <c r="B62" s="218" t="s">
        <v>71</v>
      </c>
      <c r="C62" s="218">
        <v>229.0</v>
      </c>
      <c r="D62" s="218" t="b">
        <v>1</v>
      </c>
      <c r="E62" s="219" t="b">
        <v>0</v>
      </c>
      <c r="F62" s="219" t="b">
        <v>0</v>
      </c>
      <c r="G62" s="219"/>
    </row>
    <row r="63">
      <c r="A63" s="218">
        <f t="shared" si="1"/>
        <v>62</v>
      </c>
      <c r="B63" s="218" t="s">
        <v>71</v>
      </c>
      <c r="C63" s="218">
        <v>230.0</v>
      </c>
      <c r="D63" s="218" t="b">
        <v>1</v>
      </c>
      <c r="E63" s="219" t="b">
        <v>0</v>
      </c>
      <c r="F63" s="219" t="b">
        <v>0</v>
      </c>
      <c r="G63" s="219"/>
    </row>
    <row r="64">
      <c r="A64" s="218">
        <f t="shared" si="1"/>
        <v>63</v>
      </c>
      <c r="B64" s="218" t="s">
        <v>71</v>
      </c>
      <c r="C64" s="218">
        <v>233.0</v>
      </c>
      <c r="D64" s="218" t="b">
        <v>1</v>
      </c>
      <c r="E64" s="219" t="b">
        <v>0</v>
      </c>
      <c r="F64" s="219" t="b">
        <v>0</v>
      </c>
      <c r="G64" s="219"/>
    </row>
    <row r="65">
      <c r="A65" s="218">
        <f t="shared" si="1"/>
        <v>64</v>
      </c>
      <c r="B65" s="218" t="s">
        <v>71</v>
      </c>
      <c r="C65" s="218">
        <v>234.0</v>
      </c>
      <c r="D65" s="218" t="b">
        <v>1</v>
      </c>
      <c r="E65" s="219" t="b">
        <v>0</v>
      </c>
      <c r="F65" s="219" t="b">
        <v>0</v>
      </c>
      <c r="G65" s="219"/>
    </row>
    <row r="66">
      <c r="A66" s="218">
        <f t="shared" si="1"/>
        <v>65</v>
      </c>
      <c r="B66" s="218" t="s">
        <v>71</v>
      </c>
      <c r="C66" s="218">
        <v>237.0</v>
      </c>
      <c r="D66" s="218" t="b">
        <v>1</v>
      </c>
      <c r="E66" s="219" t="b">
        <v>0</v>
      </c>
      <c r="F66" s="219" t="b">
        <v>0</v>
      </c>
      <c r="G66" s="219"/>
    </row>
    <row r="67">
      <c r="A67" s="218">
        <f t="shared" si="1"/>
        <v>66</v>
      </c>
      <c r="B67" s="218" t="s">
        <v>71</v>
      </c>
      <c r="C67" s="218">
        <v>241.0</v>
      </c>
      <c r="D67" s="218" t="b">
        <v>1</v>
      </c>
      <c r="E67" s="219" t="b">
        <v>0</v>
      </c>
      <c r="F67" s="219" t="b">
        <v>0</v>
      </c>
      <c r="G67" s="219"/>
    </row>
    <row r="68">
      <c r="A68" s="218">
        <f t="shared" si="1"/>
        <v>67</v>
      </c>
      <c r="B68" s="218" t="s">
        <v>71</v>
      </c>
      <c r="C68" s="218">
        <v>242.0</v>
      </c>
      <c r="D68" s="218" t="b">
        <v>1</v>
      </c>
      <c r="E68" s="219" t="b">
        <v>0</v>
      </c>
      <c r="F68" s="219" t="b">
        <v>0</v>
      </c>
      <c r="G68" s="219"/>
    </row>
    <row r="69">
      <c r="A69" s="218">
        <f t="shared" si="1"/>
        <v>68</v>
      </c>
      <c r="B69" s="218" t="s">
        <v>71</v>
      </c>
      <c r="C69" s="218">
        <v>247.0</v>
      </c>
      <c r="D69" s="218" t="b">
        <v>1</v>
      </c>
      <c r="E69" s="219" t="b">
        <v>0</v>
      </c>
      <c r="F69" s="219" t="b">
        <v>0</v>
      </c>
      <c r="G69" s="219"/>
    </row>
    <row r="70">
      <c r="A70" s="218">
        <f t="shared" si="1"/>
        <v>69</v>
      </c>
      <c r="B70" s="218" t="s">
        <v>71</v>
      </c>
      <c r="C70" s="218">
        <v>251.0</v>
      </c>
      <c r="D70" s="218" t="b">
        <v>1</v>
      </c>
      <c r="E70" s="219" t="b">
        <v>0</v>
      </c>
      <c r="F70" s="219" t="b">
        <v>0</v>
      </c>
      <c r="G70" s="219"/>
    </row>
    <row r="71">
      <c r="A71" s="218">
        <f t="shared" si="1"/>
        <v>70</v>
      </c>
      <c r="B71" s="218" t="s">
        <v>71</v>
      </c>
      <c r="C71" s="218">
        <v>254.0</v>
      </c>
      <c r="D71" s="218" t="b">
        <v>1</v>
      </c>
      <c r="E71" s="219" t="b">
        <v>0</v>
      </c>
      <c r="F71" s="219" t="b">
        <v>0</v>
      </c>
      <c r="G71" s="219"/>
    </row>
    <row r="72">
      <c r="A72" s="218">
        <f t="shared" si="1"/>
        <v>71</v>
      </c>
      <c r="B72" s="218" t="s">
        <v>71</v>
      </c>
      <c r="C72" s="218">
        <v>256.0</v>
      </c>
      <c r="D72" s="218" t="b">
        <v>1</v>
      </c>
      <c r="E72" s="219" t="b">
        <v>0</v>
      </c>
      <c r="F72" s="219" t="b">
        <v>0</v>
      </c>
      <c r="G72" s="219"/>
    </row>
    <row r="73">
      <c r="A73" s="218">
        <f t="shared" si="1"/>
        <v>72</v>
      </c>
      <c r="B73" s="218" t="s">
        <v>71</v>
      </c>
      <c r="C73" s="218">
        <v>259.0</v>
      </c>
      <c r="D73" s="218" t="b">
        <v>1</v>
      </c>
      <c r="E73" s="219" t="b">
        <v>0</v>
      </c>
      <c r="F73" s="219" t="b">
        <v>0</v>
      </c>
      <c r="G73" s="219"/>
    </row>
    <row r="74">
      <c r="A74" s="218">
        <f t="shared" si="1"/>
        <v>73</v>
      </c>
      <c r="B74" s="218" t="s">
        <v>71</v>
      </c>
      <c r="C74" s="218">
        <v>260.0</v>
      </c>
      <c r="D74" s="218" t="b">
        <v>1</v>
      </c>
      <c r="E74" s="219" t="b">
        <v>0</v>
      </c>
      <c r="F74" s="219" t="b">
        <v>0</v>
      </c>
      <c r="G74" s="219"/>
    </row>
    <row r="75">
      <c r="A75" s="218">
        <f t="shared" si="1"/>
        <v>74</v>
      </c>
      <c r="B75" s="218" t="s">
        <v>71</v>
      </c>
      <c r="C75" s="218">
        <v>266.0</v>
      </c>
      <c r="D75" s="218" t="b">
        <v>1</v>
      </c>
      <c r="E75" s="219" t="b">
        <v>0</v>
      </c>
      <c r="F75" s="219" t="b">
        <v>0</v>
      </c>
      <c r="G75" s="219"/>
    </row>
    <row r="76">
      <c r="A76" s="218">
        <f t="shared" si="1"/>
        <v>75</v>
      </c>
      <c r="B76" s="218" t="s">
        <v>71</v>
      </c>
      <c r="C76" s="218">
        <v>267.0</v>
      </c>
      <c r="D76" s="218" t="b">
        <v>1</v>
      </c>
      <c r="E76" s="219" t="b">
        <v>0</v>
      </c>
      <c r="F76" s="219" t="b">
        <v>0</v>
      </c>
      <c r="G76" s="219"/>
    </row>
    <row r="77">
      <c r="A77" s="218">
        <f t="shared" si="1"/>
        <v>76</v>
      </c>
      <c r="B77" s="218" t="s">
        <v>71</v>
      </c>
      <c r="C77" s="218">
        <v>272.0</v>
      </c>
      <c r="D77" s="218" t="b">
        <v>1</v>
      </c>
      <c r="E77" s="219" t="b">
        <v>0</v>
      </c>
      <c r="F77" s="219" t="b">
        <v>0</v>
      </c>
      <c r="G77" s="219"/>
    </row>
    <row r="78">
      <c r="A78" s="218">
        <f t="shared" si="1"/>
        <v>77</v>
      </c>
      <c r="B78" s="218" t="s">
        <v>71</v>
      </c>
      <c r="C78" s="218">
        <v>275.0</v>
      </c>
      <c r="D78" s="218" t="b">
        <v>1</v>
      </c>
      <c r="E78" s="219" t="b">
        <v>0</v>
      </c>
      <c r="F78" s="219" t="b">
        <v>0</v>
      </c>
      <c r="G78" s="219"/>
    </row>
    <row r="79">
      <c r="A79" s="218">
        <f t="shared" si="1"/>
        <v>78</v>
      </c>
      <c r="B79" s="218" t="s">
        <v>71</v>
      </c>
      <c r="C79" s="218">
        <v>277.0</v>
      </c>
      <c r="D79" s="218" t="b">
        <v>1</v>
      </c>
      <c r="E79" s="219" t="b">
        <v>0</v>
      </c>
      <c r="F79" s="219" t="b">
        <v>0</v>
      </c>
      <c r="G79" s="219"/>
    </row>
    <row r="80">
      <c r="A80" s="218">
        <f t="shared" si="1"/>
        <v>79</v>
      </c>
      <c r="B80" s="218" t="s">
        <v>71</v>
      </c>
      <c r="C80" s="218">
        <v>281.0</v>
      </c>
      <c r="D80" s="218" t="b">
        <v>1</v>
      </c>
      <c r="E80" s="219" t="b">
        <v>0</v>
      </c>
      <c r="F80" s="219" t="b">
        <v>0</v>
      </c>
      <c r="G80" s="219"/>
    </row>
    <row r="81">
      <c r="A81" s="218">
        <f t="shared" si="1"/>
        <v>80</v>
      </c>
      <c r="B81" s="218" t="s">
        <v>71</v>
      </c>
      <c r="C81" s="218">
        <v>285.0</v>
      </c>
      <c r="D81" s="218" t="b">
        <v>1</v>
      </c>
      <c r="E81" s="219" t="b">
        <v>0</v>
      </c>
      <c r="F81" s="219" t="b">
        <v>0</v>
      </c>
      <c r="G81" s="219"/>
    </row>
    <row r="82">
      <c r="A82" s="218">
        <f t="shared" si="1"/>
        <v>81</v>
      </c>
      <c r="B82" s="218" t="s">
        <v>71</v>
      </c>
      <c r="C82" s="218">
        <v>288.0</v>
      </c>
      <c r="D82" s="218" t="b">
        <v>1</v>
      </c>
      <c r="E82" s="219" t="b">
        <v>0</v>
      </c>
      <c r="F82" s="219" t="b">
        <v>0</v>
      </c>
      <c r="G82" s="219"/>
    </row>
    <row r="83">
      <c r="A83" s="218">
        <f t="shared" si="1"/>
        <v>82</v>
      </c>
      <c r="B83" s="218" t="s">
        <v>71</v>
      </c>
      <c r="C83" s="218">
        <v>289.0</v>
      </c>
      <c r="D83" s="218" t="b">
        <v>1</v>
      </c>
      <c r="E83" s="219" t="b">
        <v>0</v>
      </c>
      <c r="F83" s="219" t="b">
        <v>0</v>
      </c>
      <c r="G83" s="219"/>
    </row>
    <row r="84">
      <c r="A84" s="218">
        <f t="shared" si="1"/>
        <v>83</v>
      </c>
      <c r="B84" s="218" t="s">
        <v>71</v>
      </c>
      <c r="C84" s="218">
        <v>290.0</v>
      </c>
      <c r="D84" s="218" t="b">
        <v>1</v>
      </c>
      <c r="E84" s="219" t="b">
        <v>0</v>
      </c>
      <c r="F84" s="219" t="b">
        <v>0</v>
      </c>
      <c r="G84" s="219"/>
    </row>
    <row r="85">
      <c r="A85" s="218">
        <f t="shared" si="1"/>
        <v>84</v>
      </c>
      <c r="B85" s="218" t="s">
        <v>71</v>
      </c>
      <c r="C85" s="218">
        <v>291.0</v>
      </c>
      <c r="D85" s="218" t="b">
        <v>1</v>
      </c>
      <c r="E85" s="219" t="b">
        <v>0</v>
      </c>
      <c r="F85" s="219" t="b">
        <v>0</v>
      </c>
      <c r="G85" s="219"/>
    </row>
    <row r="86">
      <c r="A86" s="218">
        <f t="shared" si="1"/>
        <v>85</v>
      </c>
      <c r="B86" s="218" t="s">
        <v>71</v>
      </c>
      <c r="C86" s="218">
        <v>294.0</v>
      </c>
      <c r="D86" s="218" t="b">
        <v>1</v>
      </c>
      <c r="E86" s="219" t="b">
        <v>0</v>
      </c>
      <c r="F86" s="219" t="b">
        <v>0</v>
      </c>
      <c r="G86" s="219"/>
    </row>
    <row r="87">
      <c r="A87" s="218">
        <f t="shared" si="1"/>
        <v>86</v>
      </c>
      <c r="B87" s="218" t="s">
        <v>71</v>
      </c>
      <c r="C87" s="218">
        <v>295.0</v>
      </c>
      <c r="D87" s="218" t="b">
        <v>1</v>
      </c>
      <c r="E87" s="219" t="b">
        <v>0</v>
      </c>
      <c r="F87" s="219" t="b">
        <v>0</v>
      </c>
      <c r="G87" s="219"/>
    </row>
    <row r="88">
      <c r="A88" s="218">
        <f t="shared" si="1"/>
        <v>87</v>
      </c>
      <c r="B88" s="218" t="s">
        <v>71</v>
      </c>
      <c r="C88" s="218">
        <v>296.0</v>
      </c>
      <c r="D88" s="218" t="b">
        <v>1</v>
      </c>
      <c r="E88" s="219" t="b">
        <v>0</v>
      </c>
      <c r="F88" s="219" t="b">
        <v>0</v>
      </c>
      <c r="G88" s="219"/>
    </row>
    <row r="89">
      <c r="A89" s="218">
        <f t="shared" si="1"/>
        <v>88</v>
      </c>
      <c r="B89" s="218" t="s">
        <v>71</v>
      </c>
      <c r="C89" s="218">
        <v>297.0</v>
      </c>
      <c r="D89" s="218" t="b">
        <v>1</v>
      </c>
      <c r="E89" s="219" t="b">
        <v>0</v>
      </c>
      <c r="F89" s="219" t="b">
        <v>0</v>
      </c>
      <c r="G89" s="219"/>
    </row>
    <row r="90">
      <c r="A90" s="218">
        <f t="shared" si="1"/>
        <v>89</v>
      </c>
      <c r="B90" s="218" t="s">
        <v>71</v>
      </c>
      <c r="C90" s="218">
        <v>298.0</v>
      </c>
      <c r="D90" s="218" t="b">
        <v>1</v>
      </c>
      <c r="E90" s="219" t="b">
        <v>0</v>
      </c>
      <c r="F90" s="219" t="b">
        <v>0</v>
      </c>
      <c r="G90" s="219"/>
    </row>
    <row r="91">
      <c r="A91" s="218">
        <f t="shared" si="1"/>
        <v>90</v>
      </c>
      <c r="B91" s="218" t="s">
        <v>71</v>
      </c>
      <c r="C91" s="218">
        <v>300.0</v>
      </c>
      <c r="D91" s="218" t="b">
        <v>1</v>
      </c>
      <c r="E91" s="219" t="b">
        <v>0</v>
      </c>
      <c r="F91" s="219" t="b">
        <v>0</v>
      </c>
      <c r="G91" s="219"/>
    </row>
    <row r="92">
      <c r="A92" s="218">
        <f t="shared" si="1"/>
        <v>91</v>
      </c>
      <c r="B92" s="218" t="s">
        <v>71</v>
      </c>
      <c r="C92" s="218">
        <v>302.0</v>
      </c>
      <c r="D92" s="218" t="b">
        <v>1</v>
      </c>
      <c r="E92" s="219" t="b">
        <v>0</v>
      </c>
      <c r="F92" s="219" t="b">
        <v>0</v>
      </c>
      <c r="G92" s="219"/>
    </row>
    <row r="93">
      <c r="A93" s="218">
        <f t="shared" si="1"/>
        <v>92</v>
      </c>
      <c r="B93" s="218" t="s">
        <v>71</v>
      </c>
      <c r="C93" s="218">
        <v>303.0</v>
      </c>
      <c r="D93" s="218" t="b">
        <v>1</v>
      </c>
      <c r="E93" s="219" t="b">
        <v>0</v>
      </c>
      <c r="F93" s="219" t="b">
        <v>0</v>
      </c>
      <c r="G93" s="219"/>
    </row>
    <row r="94">
      <c r="A94" s="218">
        <f t="shared" si="1"/>
        <v>93</v>
      </c>
      <c r="B94" s="218" t="s">
        <v>71</v>
      </c>
      <c r="C94" s="218">
        <v>305.0</v>
      </c>
      <c r="D94" s="218" t="b">
        <v>1</v>
      </c>
      <c r="E94" s="219" t="b">
        <v>0</v>
      </c>
      <c r="F94" s="219" t="b">
        <v>0</v>
      </c>
      <c r="G94" s="219"/>
    </row>
    <row r="95">
      <c r="A95" s="218">
        <f t="shared" si="1"/>
        <v>94</v>
      </c>
      <c r="B95" s="218" t="s">
        <v>71</v>
      </c>
      <c r="C95" s="218">
        <v>308.0</v>
      </c>
      <c r="D95" s="218" t="b">
        <v>1</v>
      </c>
      <c r="E95" s="219" t="b">
        <v>0</v>
      </c>
      <c r="F95" s="219" t="b">
        <v>0</v>
      </c>
      <c r="G95" s="219"/>
    </row>
    <row r="96">
      <c r="A96" s="218">
        <f t="shared" si="1"/>
        <v>95</v>
      </c>
      <c r="B96" s="218" t="s">
        <v>71</v>
      </c>
      <c r="C96" s="218">
        <v>309.0</v>
      </c>
      <c r="D96" s="218" t="b">
        <v>1</v>
      </c>
      <c r="E96" s="219" t="b">
        <v>0</v>
      </c>
      <c r="F96" s="219" t="b">
        <v>0</v>
      </c>
      <c r="G96" s="219"/>
    </row>
    <row r="97">
      <c r="A97" s="218">
        <f t="shared" si="1"/>
        <v>96</v>
      </c>
      <c r="B97" s="218" t="s">
        <v>71</v>
      </c>
      <c r="C97" s="218">
        <v>317.0</v>
      </c>
      <c r="D97" s="218" t="b">
        <v>1</v>
      </c>
      <c r="E97" s="219" t="b">
        <v>0</v>
      </c>
      <c r="F97" s="219" t="b">
        <v>0</v>
      </c>
      <c r="G97" s="219"/>
    </row>
    <row r="98">
      <c r="A98" s="218">
        <f t="shared" si="1"/>
        <v>97</v>
      </c>
      <c r="B98" s="218" t="s">
        <v>71</v>
      </c>
      <c r="C98" s="218">
        <v>318.0</v>
      </c>
      <c r="D98" s="218" t="b">
        <v>1</v>
      </c>
      <c r="E98" s="219" t="b">
        <v>0</v>
      </c>
      <c r="F98" s="219" t="b">
        <v>0</v>
      </c>
      <c r="G98" s="219"/>
    </row>
    <row r="99">
      <c r="A99" s="218">
        <f t="shared" si="1"/>
        <v>98</v>
      </c>
      <c r="B99" s="218" t="s">
        <v>71</v>
      </c>
      <c r="C99" s="218">
        <v>319.0</v>
      </c>
      <c r="D99" s="218" t="b">
        <v>1</v>
      </c>
      <c r="E99" s="219" t="b">
        <v>0</v>
      </c>
      <c r="F99" s="219" t="b">
        <v>0</v>
      </c>
      <c r="G99" s="219"/>
    </row>
    <row r="100">
      <c r="A100" s="218">
        <f t="shared" si="1"/>
        <v>99</v>
      </c>
      <c r="B100" s="218" t="s">
        <v>71</v>
      </c>
      <c r="C100" s="218">
        <v>321.0</v>
      </c>
      <c r="D100" s="218" t="b">
        <v>1</v>
      </c>
      <c r="E100" s="219" t="b">
        <v>0</v>
      </c>
      <c r="F100" s="219" t="b">
        <v>0</v>
      </c>
      <c r="G100" s="219"/>
    </row>
    <row r="101">
      <c r="A101" s="218">
        <f t="shared" si="1"/>
        <v>100</v>
      </c>
      <c r="B101" s="218" t="s">
        <v>71</v>
      </c>
      <c r="C101" s="218">
        <v>322.0</v>
      </c>
      <c r="D101" s="218" t="b">
        <v>1</v>
      </c>
      <c r="E101" s="219" t="b">
        <v>0</v>
      </c>
      <c r="F101" s="219" t="b">
        <v>0</v>
      </c>
      <c r="G101" s="219"/>
    </row>
    <row r="102">
      <c r="A102" s="218">
        <f t="shared" si="1"/>
        <v>101</v>
      </c>
      <c r="B102" s="218" t="s">
        <v>71</v>
      </c>
      <c r="C102" s="218">
        <v>331.0</v>
      </c>
      <c r="D102" s="218" t="b">
        <v>1</v>
      </c>
      <c r="E102" s="219" t="b">
        <v>0</v>
      </c>
      <c r="F102" s="219" t="b">
        <v>0</v>
      </c>
      <c r="G102" s="219"/>
    </row>
    <row r="103">
      <c r="A103" s="218">
        <f t="shared" si="1"/>
        <v>102</v>
      </c>
      <c r="B103" s="218" t="s">
        <v>71</v>
      </c>
      <c r="C103" s="218">
        <v>342.0</v>
      </c>
      <c r="D103" s="218" t="b">
        <v>1</v>
      </c>
      <c r="E103" s="219" t="b">
        <v>0</v>
      </c>
      <c r="F103" s="219" t="b">
        <v>0</v>
      </c>
      <c r="G103" s="219"/>
    </row>
    <row r="104">
      <c r="A104" s="218">
        <f t="shared" si="1"/>
        <v>103</v>
      </c>
      <c r="B104" s="218" t="s">
        <v>71</v>
      </c>
      <c r="C104" s="218">
        <v>345.0</v>
      </c>
      <c r="D104" s="218" t="b">
        <v>1</v>
      </c>
      <c r="E104" s="219" t="b">
        <v>0</v>
      </c>
      <c r="F104" s="219" t="b">
        <v>0</v>
      </c>
      <c r="G104" s="219"/>
    </row>
    <row r="105">
      <c r="A105" s="218">
        <f t="shared" si="1"/>
        <v>104</v>
      </c>
      <c r="B105" s="218" t="s">
        <v>71</v>
      </c>
      <c r="C105" s="218">
        <v>346.0</v>
      </c>
      <c r="D105" s="218" t="b">
        <v>1</v>
      </c>
      <c r="E105" s="219" t="b">
        <v>0</v>
      </c>
      <c r="F105" s="219" t="b">
        <v>0</v>
      </c>
      <c r="G105" s="219"/>
    </row>
    <row r="106">
      <c r="A106" s="218">
        <f t="shared" si="1"/>
        <v>105</v>
      </c>
      <c r="B106" s="218" t="s">
        <v>71</v>
      </c>
      <c r="C106" s="218">
        <v>350.0</v>
      </c>
      <c r="D106" s="218" t="b">
        <v>1</v>
      </c>
      <c r="E106" s="219" t="b">
        <v>0</v>
      </c>
      <c r="F106" s="219" t="b">
        <v>0</v>
      </c>
      <c r="G106" s="219"/>
    </row>
    <row r="107">
      <c r="A107" s="218">
        <f t="shared" si="1"/>
        <v>106</v>
      </c>
      <c r="B107" s="218" t="s">
        <v>71</v>
      </c>
      <c r="C107" s="218">
        <v>356.0</v>
      </c>
      <c r="D107" s="218" t="b">
        <v>1</v>
      </c>
      <c r="E107" s="219" t="b">
        <v>0</v>
      </c>
      <c r="F107" s="219" t="b">
        <v>0</v>
      </c>
      <c r="G107" s="219"/>
    </row>
    <row r="108">
      <c r="A108" s="218">
        <f t="shared" si="1"/>
        <v>107</v>
      </c>
      <c r="B108" s="218" t="s">
        <v>71</v>
      </c>
      <c r="C108" s="218">
        <v>358.0</v>
      </c>
      <c r="D108" s="218" t="b">
        <v>1</v>
      </c>
      <c r="E108" s="219" t="b">
        <v>0</v>
      </c>
      <c r="F108" s="219" t="b">
        <v>0</v>
      </c>
      <c r="G108" s="219"/>
    </row>
    <row r="109">
      <c r="A109" s="218">
        <f t="shared" si="1"/>
        <v>108</v>
      </c>
      <c r="B109" s="218" t="s">
        <v>71</v>
      </c>
      <c r="C109" s="218">
        <v>368.0</v>
      </c>
      <c r="D109" s="218" t="b">
        <v>1</v>
      </c>
      <c r="E109" s="219" t="b">
        <v>0</v>
      </c>
      <c r="F109" s="219" t="b">
        <v>0</v>
      </c>
      <c r="G109" s="219"/>
    </row>
    <row r="110">
      <c r="A110" s="218">
        <f t="shared" si="1"/>
        <v>109</v>
      </c>
      <c r="B110" s="218" t="s">
        <v>71</v>
      </c>
      <c r="C110" s="218">
        <v>371.0</v>
      </c>
      <c r="D110" s="218" t="b">
        <v>1</v>
      </c>
      <c r="E110" s="219" t="b">
        <v>0</v>
      </c>
      <c r="F110" s="219" t="b">
        <v>0</v>
      </c>
      <c r="G110" s="219"/>
    </row>
    <row r="111">
      <c r="A111" s="218">
        <f t="shared" si="1"/>
        <v>110</v>
      </c>
      <c r="B111" s="218" t="s">
        <v>71</v>
      </c>
      <c r="C111" s="218">
        <v>381.0</v>
      </c>
      <c r="D111" s="218" t="b">
        <v>1</v>
      </c>
      <c r="E111" s="219" t="b">
        <v>0</v>
      </c>
      <c r="F111" s="219" t="b">
        <v>0</v>
      </c>
      <c r="G111" s="219"/>
    </row>
    <row r="112">
      <c r="A112" s="218">
        <f t="shared" si="1"/>
        <v>111</v>
      </c>
      <c r="B112" s="218" t="s">
        <v>71</v>
      </c>
      <c r="C112" s="218">
        <v>385.0</v>
      </c>
      <c r="D112" s="218" t="b">
        <v>1</v>
      </c>
      <c r="E112" s="219" t="b">
        <v>0</v>
      </c>
      <c r="F112" s="219" t="b">
        <v>0</v>
      </c>
      <c r="G112" s="219"/>
    </row>
    <row r="113">
      <c r="A113" s="218">
        <f t="shared" si="1"/>
        <v>112</v>
      </c>
      <c r="B113" s="218" t="s">
        <v>71</v>
      </c>
      <c r="C113" s="218">
        <v>387.0</v>
      </c>
      <c r="D113" s="218" t="b">
        <v>1</v>
      </c>
      <c r="E113" s="219" t="b">
        <v>0</v>
      </c>
      <c r="F113" s="219" t="b">
        <v>0</v>
      </c>
      <c r="G113" s="219"/>
    </row>
    <row r="114">
      <c r="A114" s="218">
        <f t="shared" si="1"/>
        <v>113</v>
      </c>
      <c r="B114" s="218" t="s">
        <v>71</v>
      </c>
      <c r="C114" s="218">
        <v>391.0</v>
      </c>
      <c r="D114" s="218" t="b">
        <v>1</v>
      </c>
      <c r="E114" s="219" t="b">
        <v>0</v>
      </c>
      <c r="F114" s="219" t="b">
        <v>0</v>
      </c>
      <c r="G114" s="219"/>
    </row>
    <row r="115">
      <c r="A115" s="218">
        <f t="shared" si="1"/>
        <v>114</v>
      </c>
      <c r="B115" s="218" t="s">
        <v>71</v>
      </c>
      <c r="C115" s="218">
        <v>393.0</v>
      </c>
      <c r="D115" s="218" t="b">
        <v>1</v>
      </c>
      <c r="E115" s="219" t="b">
        <v>0</v>
      </c>
      <c r="F115" s="219" t="b">
        <v>0</v>
      </c>
      <c r="G115" s="219"/>
    </row>
    <row r="116">
      <c r="A116" s="218">
        <f t="shared" si="1"/>
        <v>115</v>
      </c>
      <c r="B116" s="218" t="s">
        <v>71</v>
      </c>
      <c r="C116" s="218">
        <v>396.0</v>
      </c>
      <c r="D116" s="218" t="b">
        <v>1</v>
      </c>
      <c r="E116" s="219" t="b">
        <v>0</v>
      </c>
      <c r="F116" s="219" t="b">
        <v>0</v>
      </c>
      <c r="G116" s="219"/>
    </row>
    <row r="117">
      <c r="A117" s="218">
        <f t="shared" si="1"/>
        <v>116</v>
      </c>
      <c r="B117" s="218" t="s">
        <v>71</v>
      </c>
      <c r="C117" s="218">
        <v>397.0</v>
      </c>
      <c r="D117" s="218" t="b">
        <v>1</v>
      </c>
      <c r="E117" s="219" t="b">
        <v>0</v>
      </c>
      <c r="F117" s="219" t="b">
        <v>0</v>
      </c>
      <c r="G117" s="219"/>
    </row>
    <row r="118">
      <c r="A118" s="218">
        <f t="shared" si="1"/>
        <v>117</v>
      </c>
      <c r="B118" s="218" t="s">
        <v>71</v>
      </c>
      <c r="C118" s="218">
        <v>415.0</v>
      </c>
      <c r="D118" s="218" t="b">
        <v>1</v>
      </c>
      <c r="E118" s="219" t="b">
        <v>0</v>
      </c>
      <c r="F118" s="219" t="b">
        <v>0</v>
      </c>
      <c r="G118" s="219"/>
    </row>
    <row r="119">
      <c r="A119" s="218">
        <f t="shared" si="1"/>
        <v>118</v>
      </c>
      <c r="B119" s="218" t="s">
        <v>71</v>
      </c>
      <c r="C119" s="218">
        <v>421.0</v>
      </c>
      <c r="D119" s="218" t="b">
        <v>1</v>
      </c>
      <c r="E119" s="219" t="b">
        <v>0</v>
      </c>
      <c r="F119" s="219" t="b">
        <v>0</v>
      </c>
      <c r="G119" s="219"/>
    </row>
    <row r="120">
      <c r="A120" s="218">
        <f t="shared" si="1"/>
        <v>119</v>
      </c>
      <c r="B120" s="218" t="s">
        <v>71</v>
      </c>
      <c r="C120" s="218">
        <v>427.0</v>
      </c>
      <c r="D120" s="218" t="b">
        <v>1</v>
      </c>
      <c r="E120" s="219" t="b">
        <v>0</v>
      </c>
      <c r="F120" s="219" t="b">
        <v>0</v>
      </c>
      <c r="G120" s="219"/>
    </row>
    <row r="121">
      <c r="A121" s="218">
        <f t="shared" si="1"/>
        <v>120</v>
      </c>
      <c r="B121" s="218" t="s">
        <v>71</v>
      </c>
      <c r="C121" s="218">
        <v>433.0</v>
      </c>
      <c r="D121" s="218" t="b">
        <v>1</v>
      </c>
      <c r="E121" s="219" t="b">
        <v>0</v>
      </c>
      <c r="F121" s="219" t="b">
        <v>0</v>
      </c>
      <c r="G121" s="219"/>
    </row>
    <row r="122">
      <c r="A122" s="218">
        <f t="shared" si="1"/>
        <v>121</v>
      </c>
      <c r="B122" s="218" t="s">
        <v>71</v>
      </c>
      <c r="C122" s="218">
        <v>435.0</v>
      </c>
      <c r="D122" s="218" t="b">
        <v>1</v>
      </c>
      <c r="E122" s="219" t="b">
        <v>0</v>
      </c>
      <c r="F122" s="219" t="b">
        <v>0</v>
      </c>
      <c r="G122" s="219"/>
    </row>
    <row r="123">
      <c r="A123" s="218">
        <f t="shared" si="1"/>
        <v>122</v>
      </c>
      <c r="B123" s="218" t="s">
        <v>71</v>
      </c>
      <c r="C123" s="218">
        <v>440.0</v>
      </c>
      <c r="D123" s="218" t="b">
        <v>1</v>
      </c>
      <c r="E123" s="219" t="b">
        <v>0</v>
      </c>
      <c r="F123" s="219" t="b">
        <v>0</v>
      </c>
      <c r="G123" s="219"/>
    </row>
    <row r="124">
      <c r="A124" s="218">
        <f t="shared" si="1"/>
        <v>123</v>
      </c>
      <c r="B124" s="218" t="s">
        <v>71</v>
      </c>
      <c r="C124" s="218">
        <v>442.0</v>
      </c>
      <c r="D124" s="218" t="b">
        <v>1</v>
      </c>
      <c r="E124" s="219" t="b">
        <v>0</v>
      </c>
      <c r="F124" s="219" t="b">
        <v>0</v>
      </c>
      <c r="G124" s="219"/>
    </row>
    <row r="125">
      <c r="A125" s="218">
        <f t="shared" si="1"/>
        <v>124</v>
      </c>
      <c r="B125" s="218" t="s">
        <v>71</v>
      </c>
      <c r="C125" s="218">
        <v>447.0</v>
      </c>
      <c r="D125" s="218" t="b">
        <v>1</v>
      </c>
      <c r="E125" s="219" t="b">
        <v>0</v>
      </c>
      <c r="F125" s="219" t="b">
        <v>0</v>
      </c>
      <c r="G125" s="219"/>
    </row>
    <row r="126">
      <c r="A126" s="218">
        <f t="shared" si="1"/>
        <v>125</v>
      </c>
      <c r="B126" s="218" t="s">
        <v>71</v>
      </c>
      <c r="C126" s="218">
        <v>449.0</v>
      </c>
      <c r="D126" s="218" t="b">
        <v>1</v>
      </c>
      <c r="E126" s="219" t="b">
        <v>0</v>
      </c>
      <c r="F126" s="219" t="b">
        <v>0</v>
      </c>
      <c r="G126" s="219"/>
    </row>
    <row r="127">
      <c r="A127" s="218">
        <f t="shared" si="1"/>
        <v>126</v>
      </c>
      <c r="B127" s="218" t="s">
        <v>71</v>
      </c>
      <c r="C127" s="218">
        <v>459.0</v>
      </c>
      <c r="D127" s="218" t="b">
        <v>1</v>
      </c>
      <c r="E127" s="219" t="b">
        <v>0</v>
      </c>
      <c r="F127" s="219" t="b">
        <v>0</v>
      </c>
      <c r="G127" s="219"/>
    </row>
    <row r="128">
      <c r="A128" s="218">
        <f t="shared" si="1"/>
        <v>127</v>
      </c>
      <c r="B128" s="218" t="s">
        <v>71</v>
      </c>
      <c r="C128" s="218">
        <v>461.0</v>
      </c>
      <c r="D128" s="218" t="b">
        <v>1</v>
      </c>
      <c r="E128" s="219" t="b">
        <v>0</v>
      </c>
      <c r="F128" s="219" t="b">
        <v>0</v>
      </c>
      <c r="G128" s="219"/>
    </row>
    <row r="129">
      <c r="A129" s="218">
        <f t="shared" si="1"/>
        <v>128</v>
      </c>
      <c r="B129" s="218" t="s">
        <v>71</v>
      </c>
      <c r="C129" s="218">
        <v>462.0</v>
      </c>
      <c r="D129" s="218" t="b">
        <v>1</v>
      </c>
      <c r="E129" s="219" t="b">
        <v>0</v>
      </c>
      <c r="F129" s="219" t="b">
        <v>0</v>
      </c>
      <c r="G129" s="219"/>
    </row>
    <row r="130">
      <c r="A130" s="218">
        <f t="shared" si="1"/>
        <v>129</v>
      </c>
      <c r="B130" s="218" t="s">
        <v>71</v>
      </c>
      <c r="C130" s="218">
        <v>467.0</v>
      </c>
      <c r="D130" s="218" t="b">
        <v>1</v>
      </c>
      <c r="E130" s="219" t="b">
        <v>0</v>
      </c>
      <c r="F130" s="219" t="b">
        <v>0</v>
      </c>
      <c r="G130" s="219"/>
    </row>
    <row r="131">
      <c r="A131" s="218">
        <f t="shared" si="1"/>
        <v>130</v>
      </c>
      <c r="B131" s="218" t="s">
        <v>71</v>
      </c>
      <c r="C131" s="218">
        <v>472.0</v>
      </c>
      <c r="D131" s="218" t="b">
        <v>1</v>
      </c>
      <c r="E131" s="219" t="b">
        <v>0</v>
      </c>
      <c r="F131" s="219" t="b">
        <v>0</v>
      </c>
      <c r="G131" s="219"/>
    </row>
    <row r="132">
      <c r="A132" s="218">
        <f t="shared" si="1"/>
        <v>131</v>
      </c>
      <c r="B132" s="218" t="s">
        <v>71</v>
      </c>
      <c r="C132" s="218">
        <v>481.0</v>
      </c>
      <c r="D132" s="218" t="b">
        <v>1</v>
      </c>
      <c r="E132" s="219" t="b">
        <v>0</v>
      </c>
      <c r="F132" s="219" t="b">
        <v>0</v>
      </c>
      <c r="G132" s="219"/>
    </row>
    <row r="133">
      <c r="A133" s="218">
        <f t="shared" si="1"/>
        <v>132</v>
      </c>
      <c r="B133" s="218" t="s">
        <v>71</v>
      </c>
      <c r="C133" s="218">
        <v>482.0</v>
      </c>
      <c r="D133" s="218" t="b">
        <v>1</v>
      </c>
      <c r="E133" s="219" t="b">
        <v>0</v>
      </c>
      <c r="F133" s="219" t="b">
        <v>0</v>
      </c>
      <c r="G133" s="219"/>
    </row>
    <row r="134">
      <c r="A134" s="218">
        <f t="shared" si="1"/>
        <v>133</v>
      </c>
      <c r="B134" s="218" t="s">
        <v>71</v>
      </c>
      <c r="C134" s="218">
        <v>487.0</v>
      </c>
      <c r="D134" s="218" t="b">
        <v>1</v>
      </c>
      <c r="E134" s="219" t="b">
        <v>0</v>
      </c>
      <c r="F134" s="219" t="b">
        <v>0</v>
      </c>
      <c r="G134" s="219"/>
    </row>
    <row r="135">
      <c r="A135" s="218">
        <f t="shared" si="1"/>
        <v>134</v>
      </c>
      <c r="B135" s="218" t="s">
        <v>71</v>
      </c>
      <c r="C135" s="218">
        <v>488.0</v>
      </c>
      <c r="D135" s="218" t="b">
        <v>1</v>
      </c>
      <c r="E135" s="219" t="b">
        <v>0</v>
      </c>
      <c r="F135" s="219" t="b">
        <v>0</v>
      </c>
      <c r="G135" s="219"/>
    </row>
    <row r="136">
      <c r="A136" s="218">
        <f t="shared" si="1"/>
        <v>135</v>
      </c>
      <c r="B136" s="218" t="s">
        <v>71</v>
      </c>
      <c r="C136" s="218">
        <v>491.0</v>
      </c>
      <c r="D136" s="218" t="b">
        <v>1</v>
      </c>
      <c r="E136" s="219" t="b">
        <v>0</v>
      </c>
      <c r="F136" s="219" t="b">
        <v>0</v>
      </c>
      <c r="G136" s="219"/>
    </row>
    <row r="137">
      <c r="A137" s="218">
        <f t="shared" si="1"/>
        <v>136</v>
      </c>
      <c r="B137" s="218" t="s">
        <v>71</v>
      </c>
      <c r="C137" s="218">
        <v>499.0</v>
      </c>
      <c r="D137" s="218" t="b">
        <v>1</v>
      </c>
      <c r="E137" s="219" t="b">
        <v>0</v>
      </c>
      <c r="F137" s="219" t="b">
        <v>0</v>
      </c>
      <c r="G137" s="219"/>
    </row>
    <row r="138">
      <c r="A138" s="218">
        <f t="shared" si="1"/>
        <v>137</v>
      </c>
      <c r="B138" s="218" t="s">
        <v>71</v>
      </c>
      <c r="C138" s="218">
        <v>503.0</v>
      </c>
      <c r="D138" s="218" t="b">
        <v>1</v>
      </c>
      <c r="E138" s="219" t="b">
        <v>0</v>
      </c>
      <c r="F138" s="219" t="b">
        <v>0</v>
      </c>
      <c r="G138" s="219"/>
    </row>
    <row r="139">
      <c r="A139" s="218">
        <f t="shared" si="1"/>
        <v>138</v>
      </c>
      <c r="B139" s="218" t="s">
        <v>71</v>
      </c>
      <c r="C139" s="218">
        <v>521.0</v>
      </c>
      <c r="D139" s="218" t="b">
        <v>1</v>
      </c>
      <c r="E139" s="219" t="b">
        <v>0</v>
      </c>
      <c r="F139" s="219" t="b">
        <v>0</v>
      </c>
      <c r="G139" s="219"/>
    </row>
    <row r="140">
      <c r="A140" s="218">
        <f t="shared" si="1"/>
        <v>139</v>
      </c>
      <c r="B140" s="218" t="s">
        <v>71</v>
      </c>
      <c r="C140" s="218">
        <v>530.0</v>
      </c>
      <c r="D140" s="218" t="b">
        <v>1</v>
      </c>
      <c r="E140" s="219" t="b">
        <v>0</v>
      </c>
      <c r="F140" s="219" t="b">
        <v>0</v>
      </c>
      <c r="G140" s="219"/>
    </row>
    <row r="141">
      <c r="A141" s="218">
        <f t="shared" si="1"/>
        <v>140</v>
      </c>
      <c r="B141" s="218" t="s">
        <v>71</v>
      </c>
      <c r="C141" s="218">
        <v>532.0</v>
      </c>
      <c r="D141" s="218" t="b">
        <v>1</v>
      </c>
      <c r="E141" s="219" t="b">
        <v>0</v>
      </c>
      <c r="F141" s="219" t="b">
        <v>0</v>
      </c>
      <c r="G141" s="219"/>
    </row>
    <row r="142">
      <c r="A142" s="218">
        <f t="shared" si="1"/>
        <v>141</v>
      </c>
      <c r="B142" s="218" t="s">
        <v>71</v>
      </c>
      <c r="C142" s="218">
        <v>535.0</v>
      </c>
      <c r="D142" s="218" t="b">
        <v>1</v>
      </c>
      <c r="E142" s="219" t="b">
        <v>0</v>
      </c>
      <c r="F142" s="219" t="b">
        <v>0</v>
      </c>
      <c r="G142" s="219"/>
    </row>
    <row r="143">
      <c r="A143" s="218">
        <f t="shared" si="1"/>
        <v>142</v>
      </c>
      <c r="B143" s="218" t="s">
        <v>71</v>
      </c>
      <c r="C143" s="218">
        <v>548.0</v>
      </c>
      <c r="D143" s="218" t="b">
        <v>1</v>
      </c>
      <c r="E143" s="219" t="b">
        <v>0</v>
      </c>
      <c r="F143" s="219" t="b">
        <v>0</v>
      </c>
      <c r="G143" s="219"/>
    </row>
    <row r="144">
      <c r="A144" s="218">
        <f t="shared" si="1"/>
        <v>143</v>
      </c>
      <c r="B144" s="218" t="s">
        <v>71</v>
      </c>
      <c r="C144" s="218">
        <v>551.0</v>
      </c>
      <c r="D144" s="218" t="b">
        <v>1</v>
      </c>
      <c r="E144" s="219" t="b">
        <v>0</v>
      </c>
      <c r="F144" s="219" t="b">
        <v>0</v>
      </c>
      <c r="G144" s="219"/>
    </row>
    <row r="145">
      <c r="A145" s="218">
        <f t="shared" si="1"/>
        <v>144</v>
      </c>
      <c r="B145" s="218" t="s">
        <v>71</v>
      </c>
      <c r="C145" s="218">
        <v>556.0</v>
      </c>
      <c r="D145" s="218" t="b">
        <v>1</v>
      </c>
      <c r="E145" s="219" t="b">
        <v>0</v>
      </c>
      <c r="F145" s="219" t="b">
        <v>0</v>
      </c>
      <c r="G145" s="219"/>
    </row>
    <row r="146">
      <c r="A146" s="218">
        <f t="shared" si="1"/>
        <v>145</v>
      </c>
      <c r="B146" s="218" t="s">
        <v>71</v>
      </c>
      <c r="C146" s="218">
        <v>557.0</v>
      </c>
      <c r="D146" s="218" t="b">
        <v>1</v>
      </c>
      <c r="E146" s="219" t="b">
        <v>0</v>
      </c>
      <c r="F146" s="219" t="b">
        <v>0</v>
      </c>
      <c r="G146" s="219"/>
    </row>
    <row r="147">
      <c r="A147" s="218">
        <f t="shared" si="1"/>
        <v>146</v>
      </c>
      <c r="B147" s="218" t="s">
        <v>71</v>
      </c>
      <c r="C147" s="218">
        <v>558.0</v>
      </c>
      <c r="D147" s="218" t="b">
        <v>1</v>
      </c>
      <c r="E147" s="219" t="b">
        <v>0</v>
      </c>
      <c r="F147" s="219" t="b">
        <v>0</v>
      </c>
      <c r="G147" s="219"/>
    </row>
    <row r="148">
      <c r="A148" s="218">
        <f t="shared" si="1"/>
        <v>147</v>
      </c>
      <c r="B148" s="218" t="s">
        <v>71</v>
      </c>
      <c r="C148" s="218">
        <v>564.0</v>
      </c>
      <c r="D148" s="218" t="b">
        <v>1</v>
      </c>
      <c r="E148" s="219" t="b">
        <v>0</v>
      </c>
      <c r="F148" s="219" t="b">
        <v>0</v>
      </c>
      <c r="G148" s="219"/>
    </row>
    <row r="149">
      <c r="A149" s="218">
        <f t="shared" si="1"/>
        <v>148</v>
      </c>
      <c r="B149" s="218" t="s">
        <v>71</v>
      </c>
      <c r="C149" s="218">
        <v>567.0</v>
      </c>
      <c r="D149" s="218" t="b">
        <v>1</v>
      </c>
      <c r="E149" s="219" t="b">
        <v>0</v>
      </c>
      <c r="F149" s="219" t="b">
        <v>0</v>
      </c>
      <c r="G149" s="219"/>
    </row>
    <row r="150">
      <c r="A150" s="218">
        <f t="shared" si="1"/>
        <v>149</v>
      </c>
      <c r="B150" s="218" t="s">
        <v>71</v>
      </c>
      <c r="C150" s="218">
        <v>569.0</v>
      </c>
      <c r="D150" s="218" t="b">
        <v>1</v>
      </c>
      <c r="E150" s="219" t="b">
        <v>0</v>
      </c>
      <c r="F150" s="219" t="b">
        <v>0</v>
      </c>
      <c r="G150" s="219"/>
    </row>
    <row r="151">
      <c r="A151" s="218">
        <f t="shared" si="1"/>
        <v>150</v>
      </c>
      <c r="B151" s="218" t="s">
        <v>71</v>
      </c>
      <c r="C151" s="218">
        <v>572.0</v>
      </c>
      <c r="D151" s="218" t="b">
        <v>1</v>
      </c>
      <c r="E151" s="219" t="b">
        <v>0</v>
      </c>
      <c r="F151" s="219" t="b">
        <v>0</v>
      </c>
      <c r="G151" s="219"/>
    </row>
    <row r="152">
      <c r="A152" s="218">
        <f t="shared" si="1"/>
        <v>151</v>
      </c>
      <c r="B152" s="218" t="s">
        <v>71</v>
      </c>
      <c r="C152" s="218">
        <v>575.0</v>
      </c>
      <c r="D152" s="218" t="b">
        <v>1</v>
      </c>
      <c r="E152" s="219" t="b">
        <v>0</v>
      </c>
      <c r="F152" s="219" t="b">
        <v>0</v>
      </c>
      <c r="G152" s="219"/>
    </row>
    <row r="153">
      <c r="A153" s="218">
        <f t="shared" si="1"/>
        <v>152</v>
      </c>
      <c r="B153" s="218" t="s">
        <v>71</v>
      </c>
      <c r="C153" s="218">
        <v>577.0</v>
      </c>
      <c r="D153" s="218" t="b">
        <v>1</v>
      </c>
      <c r="E153" s="219" t="b">
        <v>0</v>
      </c>
      <c r="F153" s="219" t="b">
        <v>0</v>
      </c>
      <c r="G153" s="219"/>
    </row>
    <row r="154">
      <c r="A154" s="218">
        <f t="shared" si="1"/>
        <v>153</v>
      </c>
      <c r="B154" s="218" t="s">
        <v>71</v>
      </c>
      <c r="C154" s="218">
        <v>578.0</v>
      </c>
      <c r="D154" s="218" t="b">
        <v>1</v>
      </c>
      <c r="E154" s="219" t="b">
        <v>0</v>
      </c>
      <c r="F154" s="219" t="b">
        <v>0</v>
      </c>
      <c r="G154" s="219"/>
    </row>
    <row r="155">
      <c r="A155" s="218">
        <f t="shared" si="1"/>
        <v>154</v>
      </c>
      <c r="B155" s="218" t="s">
        <v>71</v>
      </c>
      <c r="C155" s="218">
        <v>579.0</v>
      </c>
      <c r="D155" s="218" t="b">
        <v>1</v>
      </c>
      <c r="E155" s="219" t="b">
        <v>0</v>
      </c>
      <c r="F155" s="219" t="b">
        <v>0</v>
      </c>
      <c r="G155" s="219"/>
    </row>
    <row r="156">
      <c r="A156" s="218">
        <f t="shared" si="1"/>
        <v>155</v>
      </c>
      <c r="B156" s="218" t="s">
        <v>71</v>
      </c>
      <c r="C156" s="218">
        <v>580.0</v>
      </c>
      <c r="D156" s="218" t="b">
        <v>1</v>
      </c>
      <c r="E156" s="219" t="b">
        <v>0</v>
      </c>
      <c r="F156" s="219" t="b">
        <v>0</v>
      </c>
      <c r="G156" s="219"/>
    </row>
    <row r="157">
      <c r="A157" s="218">
        <f t="shared" si="1"/>
        <v>156</v>
      </c>
      <c r="B157" s="218" t="s">
        <v>71</v>
      </c>
      <c r="C157" s="218">
        <v>587.0</v>
      </c>
      <c r="D157" s="218" t="b">
        <v>1</v>
      </c>
      <c r="E157" s="219" t="b">
        <v>0</v>
      </c>
      <c r="F157" s="219" t="b">
        <v>0</v>
      </c>
      <c r="G157" s="219"/>
    </row>
    <row r="158">
      <c r="A158" s="218">
        <f t="shared" si="1"/>
        <v>157</v>
      </c>
      <c r="B158" s="218" t="s">
        <v>71</v>
      </c>
      <c r="C158" s="218">
        <v>588.0</v>
      </c>
      <c r="D158" s="218" t="b">
        <v>1</v>
      </c>
      <c r="E158" s="219" t="b">
        <v>0</v>
      </c>
      <c r="F158" s="219" t="b">
        <v>0</v>
      </c>
      <c r="G158" s="219"/>
    </row>
    <row r="159">
      <c r="A159" s="218">
        <f t="shared" si="1"/>
        <v>158</v>
      </c>
      <c r="B159" s="218" t="s">
        <v>71</v>
      </c>
      <c r="C159" s="218">
        <v>591.0</v>
      </c>
      <c r="D159" s="218" t="b">
        <v>1</v>
      </c>
      <c r="E159" s="219" t="b">
        <v>0</v>
      </c>
      <c r="F159" s="219" t="b">
        <v>0</v>
      </c>
      <c r="G159" s="219"/>
    </row>
    <row r="160">
      <c r="A160" s="218">
        <f t="shared" si="1"/>
        <v>159</v>
      </c>
      <c r="B160" s="218" t="s">
        <v>71</v>
      </c>
      <c r="C160" s="218">
        <v>592.0</v>
      </c>
      <c r="D160" s="218" t="b">
        <v>1</v>
      </c>
      <c r="E160" s="219" t="b">
        <v>0</v>
      </c>
      <c r="F160" s="219" t="b">
        <v>0</v>
      </c>
      <c r="G160" s="219"/>
    </row>
    <row r="161">
      <c r="A161" s="218">
        <f t="shared" si="1"/>
        <v>160</v>
      </c>
      <c r="B161" s="218" t="s">
        <v>71</v>
      </c>
      <c r="C161" s="218">
        <v>593.0</v>
      </c>
      <c r="D161" s="218" t="b">
        <v>1</v>
      </c>
      <c r="E161" s="219" t="b">
        <v>0</v>
      </c>
      <c r="F161" s="219" t="b">
        <v>0</v>
      </c>
      <c r="G161" s="219"/>
    </row>
    <row r="162">
      <c r="A162" s="218">
        <f t="shared" si="1"/>
        <v>161</v>
      </c>
      <c r="B162" s="218" t="s">
        <v>71</v>
      </c>
      <c r="C162" s="218">
        <v>594.0</v>
      </c>
      <c r="D162" s="218" t="b">
        <v>1</v>
      </c>
      <c r="E162" s="219" t="b">
        <v>0</v>
      </c>
      <c r="F162" s="219" t="b">
        <v>0</v>
      </c>
      <c r="G162" s="219"/>
    </row>
    <row r="163">
      <c r="A163" s="218">
        <f t="shared" si="1"/>
        <v>162</v>
      </c>
      <c r="B163" s="218" t="s">
        <v>71</v>
      </c>
      <c r="C163" s="218">
        <v>595.0</v>
      </c>
      <c r="D163" s="218" t="b">
        <v>1</v>
      </c>
      <c r="E163" s="219" t="b">
        <v>0</v>
      </c>
      <c r="F163" s="219" t="b">
        <v>0</v>
      </c>
      <c r="G163" s="219"/>
    </row>
    <row r="164">
      <c r="A164" s="218">
        <f t="shared" si="1"/>
        <v>163</v>
      </c>
      <c r="B164" s="218" t="s">
        <v>71</v>
      </c>
      <c r="C164" s="218">
        <v>601.0</v>
      </c>
      <c r="D164" s="218" t="b">
        <v>1</v>
      </c>
      <c r="E164" s="219" t="b">
        <v>0</v>
      </c>
      <c r="F164" s="219" t="b">
        <v>0</v>
      </c>
      <c r="G164" s="219"/>
    </row>
    <row r="165">
      <c r="A165" s="218">
        <f t="shared" si="1"/>
        <v>164</v>
      </c>
      <c r="B165" s="218" t="s">
        <v>71</v>
      </c>
      <c r="C165" s="218">
        <v>603.0</v>
      </c>
      <c r="D165" s="218" t="b">
        <v>1</v>
      </c>
      <c r="E165" s="219" t="b">
        <v>0</v>
      </c>
      <c r="F165" s="219" t="b">
        <v>0</v>
      </c>
      <c r="G165" s="219"/>
    </row>
    <row r="166">
      <c r="A166" s="218">
        <f t="shared" si="1"/>
        <v>165</v>
      </c>
      <c r="B166" s="218" t="s">
        <v>71</v>
      </c>
      <c r="C166" s="218">
        <v>604.0</v>
      </c>
      <c r="D166" s="218" t="b">
        <v>1</v>
      </c>
      <c r="E166" s="219" t="b">
        <v>0</v>
      </c>
      <c r="F166" s="219" t="b">
        <v>0</v>
      </c>
      <c r="G166" s="219"/>
    </row>
    <row r="167">
      <c r="A167" s="218">
        <f t="shared" si="1"/>
        <v>166</v>
      </c>
      <c r="B167" s="218" t="s">
        <v>71</v>
      </c>
      <c r="C167" s="218">
        <v>605.0</v>
      </c>
      <c r="D167" s="218" t="b">
        <v>1</v>
      </c>
      <c r="E167" s="219" t="b">
        <v>0</v>
      </c>
      <c r="F167" s="219" t="b">
        <v>0</v>
      </c>
      <c r="G167" s="219"/>
    </row>
    <row r="168">
      <c r="A168" s="218">
        <f t="shared" si="1"/>
        <v>167</v>
      </c>
      <c r="B168" s="218" t="s">
        <v>71</v>
      </c>
      <c r="C168" s="218">
        <v>608.0</v>
      </c>
      <c r="D168" s="218" t="b">
        <v>1</v>
      </c>
      <c r="E168" s="219" t="b">
        <v>0</v>
      </c>
      <c r="F168" s="219" t="b">
        <v>0</v>
      </c>
      <c r="G168" s="219"/>
    </row>
    <row r="169">
      <c r="A169" s="218">
        <f t="shared" si="1"/>
        <v>168</v>
      </c>
      <c r="B169" s="218" t="s">
        <v>71</v>
      </c>
      <c r="C169" s="218">
        <v>616.0</v>
      </c>
      <c r="D169" s="218" t="b">
        <v>1</v>
      </c>
      <c r="E169" s="219" t="b">
        <v>0</v>
      </c>
      <c r="F169" s="219" t="b">
        <v>0</v>
      </c>
      <c r="G169" s="219"/>
    </row>
    <row r="170">
      <c r="A170" s="218">
        <f t="shared" si="1"/>
        <v>169</v>
      </c>
      <c r="B170" s="218" t="s">
        <v>71</v>
      </c>
      <c r="C170" s="218">
        <v>617.0</v>
      </c>
      <c r="D170" s="218" t="b">
        <v>1</v>
      </c>
      <c r="E170" s="219" t="b">
        <v>0</v>
      </c>
      <c r="F170" s="219" t="b">
        <v>0</v>
      </c>
      <c r="G170" s="219"/>
    </row>
    <row r="171">
      <c r="A171" s="218">
        <f t="shared" si="1"/>
        <v>170</v>
      </c>
      <c r="B171" s="218" t="s">
        <v>71</v>
      </c>
      <c r="C171" s="218">
        <v>619.0</v>
      </c>
      <c r="D171" s="218" t="b">
        <v>1</v>
      </c>
      <c r="E171" s="219" t="b">
        <v>0</v>
      </c>
      <c r="F171" s="219" t="b">
        <v>0</v>
      </c>
      <c r="G171" s="219"/>
    </row>
    <row r="172">
      <c r="A172" s="218">
        <f t="shared" si="1"/>
        <v>171</v>
      </c>
      <c r="B172" s="218" t="s">
        <v>71</v>
      </c>
      <c r="C172" s="218" t="s">
        <v>2334</v>
      </c>
      <c r="D172" s="218" t="b">
        <v>1</v>
      </c>
      <c r="E172" s="219" t="b">
        <v>0</v>
      </c>
      <c r="F172" s="219" t="b">
        <v>0</v>
      </c>
      <c r="G172" s="219"/>
    </row>
    <row r="173">
      <c r="A173" s="218">
        <f t="shared" si="1"/>
        <v>172</v>
      </c>
      <c r="B173" s="218" t="s">
        <v>71</v>
      </c>
      <c r="C173" s="218" t="s">
        <v>2794</v>
      </c>
      <c r="D173" s="218" t="b">
        <v>1</v>
      </c>
      <c r="E173" s="219" t="b">
        <v>0</v>
      </c>
      <c r="F173" s="219" t="b">
        <v>0</v>
      </c>
      <c r="G173" s="219"/>
    </row>
    <row r="174">
      <c r="A174" s="218">
        <f t="shared" si="1"/>
        <v>173</v>
      </c>
      <c r="B174" s="218" t="s">
        <v>71</v>
      </c>
      <c r="C174" s="218" t="s">
        <v>358</v>
      </c>
      <c r="D174" s="218" t="b">
        <v>1</v>
      </c>
      <c r="E174" s="219" t="b">
        <v>0</v>
      </c>
      <c r="F174" s="219" t="b">
        <v>0</v>
      </c>
      <c r="G174" s="219"/>
    </row>
    <row r="175">
      <c r="A175" s="218">
        <f t="shared" si="1"/>
        <v>174</v>
      </c>
      <c r="B175" s="218" t="s">
        <v>71</v>
      </c>
      <c r="C175" s="218" t="s">
        <v>2808</v>
      </c>
      <c r="D175" s="218" t="b">
        <v>1</v>
      </c>
      <c r="E175" s="219" t="b">
        <v>0</v>
      </c>
      <c r="F175" s="219" t="b">
        <v>0</v>
      </c>
      <c r="G175" s="219"/>
    </row>
    <row r="176">
      <c r="A176" s="218">
        <f t="shared" si="1"/>
        <v>175</v>
      </c>
      <c r="B176" s="218" t="s">
        <v>71</v>
      </c>
      <c r="C176" s="218" t="s">
        <v>2765</v>
      </c>
      <c r="D176" s="218" t="b">
        <v>1</v>
      </c>
      <c r="E176" s="219" t="b">
        <v>0</v>
      </c>
      <c r="F176" s="219" t="b">
        <v>0</v>
      </c>
      <c r="G176" s="219"/>
    </row>
    <row r="177">
      <c r="A177" s="218">
        <f t="shared" si="1"/>
        <v>176</v>
      </c>
      <c r="B177" s="218" t="s">
        <v>71</v>
      </c>
      <c r="C177" s="218" t="s">
        <v>1134</v>
      </c>
      <c r="D177" s="218" t="b">
        <v>1</v>
      </c>
      <c r="E177" s="219" t="b">
        <v>0</v>
      </c>
      <c r="F177" s="219" t="b">
        <v>0</v>
      </c>
      <c r="G177" s="219"/>
    </row>
    <row r="178">
      <c r="A178" s="218">
        <f t="shared" si="1"/>
        <v>177</v>
      </c>
      <c r="B178" s="218" t="s">
        <v>71</v>
      </c>
      <c r="C178" s="218" t="s">
        <v>5524</v>
      </c>
      <c r="D178" s="218" t="b">
        <v>1</v>
      </c>
      <c r="E178" s="219" t="b">
        <v>0</v>
      </c>
      <c r="F178" s="219" t="b">
        <v>0</v>
      </c>
      <c r="G178" s="219"/>
    </row>
    <row r="179">
      <c r="A179" s="218">
        <f t="shared" si="1"/>
        <v>178</v>
      </c>
      <c r="B179" s="218" t="s">
        <v>71</v>
      </c>
      <c r="C179" s="218" t="s">
        <v>3811</v>
      </c>
      <c r="D179" s="218" t="b">
        <v>1</v>
      </c>
      <c r="E179" s="219" t="b">
        <v>0</v>
      </c>
      <c r="F179" s="219" t="b">
        <v>0</v>
      </c>
      <c r="G179" s="219"/>
    </row>
    <row r="180">
      <c r="A180" s="218">
        <f t="shared" si="1"/>
        <v>179</v>
      </c>
      <c r="B180" s="218" t="s">
        <v>71</v>
      </c>
      <c r="C180" s="218" t="s">
        <v>2850</v>
      </c>
      <c r="D180" s="218" t="b">
        <v>1</v>
      </c>
      <c r="E180" s="219" t="b">
        <v>0</v>
      </c>
      <c r="F180" s="219" t="b">
        <v>0</v>
      </c>
      <c r="G180" s="219"/>
    </row>
    <row r="181">
      <c r="A181" s="218">
        <f t="shared" si="1"/>
        <v>180</v>
      </c>
      <c r="B181" s="218" t="s">
        <v>71</v>
      </c>
      <c r="C181" s="218" t="s">
        <v>5204</v>
      </c>
      <c r="D181" s="218" t="b">
        <v>1</v>
      </c>
      <c r="E181" s="219" t="b">
        <v>0</v>
      </c>
      <c r="F181" s="219" t="b">
        <v>0</v>
      </c>
      <c r="G181" s="219"/>
    </row>
    <row r="182">
      <c r="A182" s="218">
        <f t="shared" si="1"/>
        <v>181</v>
      </c>
      <c r="B182" s="218" t="s">
        <v>71</v>
      </c>
      <c r="C182" s="218" t="s">
        <v>5224</v>
      </c>
      <c r="D182" s="218" t="b">
        <v>1</v>
      </c>
      <c r="E182" s="219" t="b">
        <v>0</v>
      </c>
      <c r="F182" s="219" t="b">
        <v>0</v>
      </c>
      <c r="G182" s="219"/>
    </row>
    <row r="183">
      <c r="A183" s="218">
        <f t="shared" si="1"/>
        <v>182</v>
      </c>
      <c r="B183" s="218" t="s">
        <v>71</v>
      </c>
      <c r="C183" s="218" t="s">
        <v>4253</v>
      </c>
      <c r="D183" s="218" t="b">
        <v>1</v>
      </c>
      <c r="E183" s="219" t="b">
        <v>0</v>
      </c>
      <c r="F183" s="219" t="b">
        <v>0</v>
      </c>
      <c r="G183" s="219"/>
    </row>
    <row r="184">
      <c r="A184" s="218">
        <f t="shared" si="1"/>
        <v>183</v>
      </c>
      <c r="B184" s="218" t="s">
        <v>71</v>
      </c>
      <c r="C184" s="218" t="s">
        <v>1788</v>
      </c>
      <c r="D184" s="218" t="b">
        <v>1</v>
      </c>
      <c r="E184" s="219" t="b">
        <v>0</v>
      </c>
      <c r="F184" s="219" t="b">
        <v>0</v>
      </c>
      <c r="G184" s="219"/>
    </row>
    <row r="185">
      <c r="A185" s="218">
        <f t="shared" si="1"/>
        <v>184</v>
      </c>
      <c r="B185" s="218" t="s">
        <v>71</v>
      </c>
      <c r="C185" s="218" t="s">
        <v>3568</v>
      </c>
      <c r="D185" s="218" t="b">
        <v>1</v>
      </c>
      <c r="E185" s="219" t="b">
        <v>0</v>
      </c>
      <c r="F185" s="219" t="b">
        <v>0</v>
      </c>
      <c r="G185" s="219"/>
    </row>
    <row r="186">
      <c r="A186" s="218">
        <f t="shared" si="1"/>
        <v>185</v>
      </c>
      <c r="B186" s="218" t="s">
        <v>71</v>
      </c>
      <c r="C186" s="218" t="s">
        <v>4188</v>
      </c>
      <c r="D186" s="218" t="b">
        <v>1</v>
      </c>
      <c r="E186" s="219" t="b">
        <v>0</v>
      </c>
      <c r="F186" s="219" t="b">
        <v>0</v>
      </c>
      <c r="G186" s="219"/>
    </row>
    <row r="187">
      <c r="A187" s="218">
        <f t="shared" si="1"/>
        <v>186</v>
      </c>
      <c r="B187" s="218" t="s">
        <v>71</v>
      </c>
      <c r="C187" s="218" t="s">
        <v>3665</v>
      </c>
      <c r="D187" s="218" t="b">
        <v>1</v>
      </c>
      <c r="E187" s="219" t="b">
        <v>0</v>
      </c>
      <c r="F187" s="219" t="b">
        <v>0</v>
      </c>
      <c r="G187" s="219"/>
    </row>
    <row r="188">
      <c r="A188" s="218">
        <f t="shared" si="1"/>
        <v>187</v>
      </c>
      <c r="B188" s="218" t="s">
        <v>71</v>
      </c>
      <c r="C188" s="218" t="s">
        <v>4005</v>
      </c>
      <c r="D188" s="218" t="b">
        <v>1</v>
      </c>
      <c r="E188" s="219" t="b">
        <v>0</v>
      </c>
      <c r="F188" s="219" t="b">
        <v>0</v>
      </c>
      <c r="G188" s="219"/>
    </row>
    <row r="189">
      <c r="A189" s="218">
        <f t="shared" si="1"/>
        <v>188</v>
      </c>
      <c r="B189" s="218" t="s">
        <v>71</v>
      </c>
      <c r="C189" s="218" t="s">
        <v>1741</v>
      </c>
      <c r="D189" s="218" t="b">
        <v>1</v>
      </c>
      <c r="E189" s="219" t="b">
        <v>0</v>
      </c>
      <c r="F189" s="219" t="b">
        <v>0</v>
      </c>
      <c r="G189" s="219"/>
    </row>
    <row r="190">
      <c r="A190" s="218">
        <f t="shared" si="1"/>
        <v>189</v>
      </c>
      <c r="B190" s="218" t="s">
        <v>71</v>
      </c>
      <c r="C190" s="218" t="s">
        <v>4098</v>
      </c>
      <c r="D190" s="218" t="b">
        <v>1</v>
      </c>
      <c r="E190" s="219" t="b">
        <v>0</v>
      </c>
      <c r="F190" s="219" t="b">
        <v>0</v>
      </c>
      <c r="G190" s="219"/>
    </row>
    <row r="191">
      <c r="A191" s="218">
        <f t="shared" si="1"/>
        <v>190</v>
      </c>
      <c r="B191" s="218" t="s">
        <v>71</v>
      </c>
      <c r="C191" s="218" t="s">
        <v>4057</v>
      </c>
      <c r="D191" s="218" t="b">
        <v>1</v>
      </c>
      <c r="E191" s="219" t="b">
        <v>0</v>
      </c>
      <c r="F191" s="219" t="b">
        <v>0</v>
      </c>
      <c r="G191" s="219"/>
    </row>
    <row r="192">
      <c r="A192" s="218">
        <f t="shared" si="1"/>
        <v>191</v>
      </c>
      <c r="B192" s="218" t="s">
        <v>71</v>
      </c>
      <c r="C192" s="218" t="s">
        <v>4805</v>
      </c>
      <c r="D192" s="218" t="b">
        <v>1</v>
      </c>
      <c r="E192" s="219" t="b">
        <v>0</v>
      </c>
      <c r="F192" s="219" t="b">
        <v>0</v>
      </c>
      <c r="G192" s="219"/>
    </row>
    <row r="193">
      <c r="A193" s="218">
        <f t="shared" si="1"/>
        <v>192</v>
      </c>
      <c r="B193" s="218" t="s">
        <v>71</v>
      </c>
      <c r="C193" s="218" t="s">
        <v>4495</v>
      </c>
      <c r="D193" s="218" t="b">
        <v>1</v>
      </c>
      <c r="E193" s="219" t="b">
        <v>0</v>
      </c>
      <c r="F193" s="219" t="b">
        <v>0</v>
      </c>
      <c r="G193" s="219"/>
    </row>
    <row r="194">
      <c r="A194" s="218">
        <f t="shared" si="1"/>
        <v>193</v>
      </c>
      <c r="B194" s="218" t="s">
        <v>71</v>
      </c>
      <c r="C194" s="218" t="s">
        <v>600</v>
      </c>
      <c r="D194" s="218" t="b">
        <v>1</v>
      </c>
      <c r="E194" s="219" t="b">
        <v>0</v>
      </c>
      <c r="F194" s="219" t="b">
        <v>0</v>
      </c>
      <c r="G194" s="219"/>
    </row>
    <row r="195">
      <c r="A195" s="218">
        <f t="shared" si="1"/>
        <v>194</v>
      </c>
      <c r="B195" s="218" t="s">
        <v>71</v>
      </c>
      <c r="C195" s="218" t="s">
        <v>1153</v>
      </c>
      <c r="D195" s="218" t="b">
        <v>1</v>
      </c>
      <c r="E195" s="219" t="b">
        <v>0</v>
      </c>
      <c r="F195" s="219" t="b">
        <v>0</v>
      </c>
      <c r="G195" s="219"/>
    </row>
    <row r="196">
      <c r="A196" s="218">
        <f t="shared" si="1"/>
        <v>195</v>
      </c>
      <c r="B196" s="218" t="s">
        <v>71</v>
      </c>
      <c r="C196" s="218" t="s">
        <v>557</v>
      </c>
      <c r="D196" s="218" t="b">
        <v>1</v>
      </c>
      <c r="E196" s="219" t="b">
        <v>0</v>
      </c>
      <c r="F196" s="219" t="b">
        <v>0</v>
      </c>
      <c r="G196" s="219"/>
    </row>
    <row r="197">
      <c r="A197" s="218">
        <f t="shared" si="1"/>
        <v>196</v>
      </c>
      <c r="B197" s="218" t="s">
        <v>71</v>
      </c>
      <c r="C197" s="218" t="s">
        <v>4557</v>
      </c>
      <c r="D197" s="218" t="b">
        <v>1</v>
      </c>
      <c r="E197" s="219" t="b">
        <v>0</v>
      </c>
      <c r="F197" s="219" t="b">
        <v>0</v>
      </c>
      <c r="G197" s="219"/>
    </row>
    <row r="198">
      <c r="A198" s="218">
        <f t="shared" si="1"/>
        <v>197</v>
      </c>
      <c r="B198" s="218" t="s">
        <v>71</v>
      </c>
      <c r="C198" s="218" t="s">
        <v>4726</v>
      </c>
      <c r="D198" s="218" t="b">
        <v>1</v>
      </c>
      <c r="E198" s="219" t="b">
        <v>0</v>
      </c>
      <c r="F198" s="219" t="b">
        <v>0</v>
      </c>
      <c r="G198" s="219"/>
    </row>
    <row r="199">
      <c r="A199" s="218">
        <f t="shared" si="1"/>
        <v>198</v>
      </c>
      <c r="B199" s="218" t="s">
        <v>71</v>
      </c>
      <c r="C199" s="218" t="s">
        <v>3622</v>
      </c>
      <c r="D199" s="218" t="b">
        <v>1</v>
      </c>
      <c r="E199" s="219" t="b">
        <v>0</v>
      </c>
      <c r="F199" s="219" t="b">
        <v>0</v>
      </c>
      <c r="G199" s="219"/>
    </row>
    <row r="200">
      <c r="A200" s="218">
        <f t="shared" si="1"/>
        <v>199</v>
      </c>
      <c r="B200" s="218" t="s">
        <v>71</v>
      </c>
      <c r="C200" s="218" t="s">
        <v>5276</v>
      </c>
      <c r="D200" s="218" t="b">
        <v>1</v>
      </c>
      <c r="E200" s="219" t="b">
        <v>0</v>
      </c>
      <c r="F200" s="219" t="b">
        <v>0</v>
      </c>
      <c r="G200" s="219"/>
    </row>
    <row r="201">
      <c r="A201" s="218">
        <f t="shared" si="1"/>
        <v>200</v>
      </c>
      <c r="B201" s="218" t="s">
        <v>71</v>
      </c>
      <c r="C201" s="218" t="s">
        <v>736</v>
      </c>
      <c r="D201" s="218" t="b">
        <v>1</v>
      </c>
      <c r="E201" s="219" t="b">
        <v>0</v>
      </c>
      <c r="F201" s="219" t="b">
        <v>0</v>
      </c>
      <c r="G201" s="219"/>
    </row>
    <row r="202">
      <c r="A202" s="218">
        <f t="shared" si="1"/>
        <v>201</v>
      </c>
      <c r="B202" s="218" t="s">
        <v>71</v>
      </c>
      <c r="C202" s="218" t="s">
        <v>3493</v>
      </c>
      <c r="D202" s="218" t="b">
        <v>1</v>
      </c>
      <c r="E202" s="219" t="b">
        <v>0</v>
      </c>
      <c r="F202" s="219" t="b">
        <v>0</v>
      </c>
      <c r="G202" s="219"/>
    </row>
    <row r="203">
      <c r="A203" s="218">
        <f t="shared" si="1"/>
        <v>202</v>
      </c>
      <c r="B203" s="218" t="s">
        <v>71</v>
      </c>
      <c r="C203" s="218" t="s">
        <v>3168</v>
      </c>
      <c r="D203" s="218" t="b">
        <v>1</v>
      </c>
      <c r="E203" s="219" t="b">
        <v>0</v>
      </c>
      <c r="F203" s="219" t="b">
        <v>0</v>
      </c>
      <c r="G203" s="219"/>
    </row>
    <row r="204">
      <c r="A204" s="218">
        <f t="shared" si="1"/>
        <v>203</v>
      </c>
      <c r="B204" s="218" t="s">
        <v>71</v>
      </c>
      <c r="C204" s="218" t="s">
        <v>731</v>
      </c>
      <c r="D204" s="218" t="b">
        <v>1</v>
      </c>
      <c r="E204" s="219" t="b">
        <v>0</v>
      </c>
      <c r="F204" s="219" t="b">
        <v>0</v>
      </c>
      <c r="G204" s="219"/>
    </row>
    <row r="205">
      <c r="A205" s="218">
        <f t="shared" si="1"/>
        <v>204</v>
      </c>
      <c r="B205" s="218" t="s">
        <v>71</v>
      </c>
      <c r="C205" s="218" t="s">
        <v>1162</v>
      </c>
      <c r="D205" s="218" t="b">
        <v>1</v>
      </c>
      <c r="E205" s="219" t="b">
        <v>0</v>
      </c>
      <c r="F205" s="219" t="b">
        <v>0</v>
      </c>
      <c r="G205" s="219"/>
    </row>
    <row r="206">
      <c r="A206" s="218">
        <f t="shared" si="1"/>
        <v>205</v>
      </c>
      <c r="B206" s="218" t="s">
        <v>71</v>
      </c>
      <c r="C206" s="218" t="s">
        <v>439</v>
      </c>
      <c r="D206" s="218" t="b">
        <v>1</v>
      </c>
      <c r="E206" s="219" t="b">
        <v>0</v>
      </c>
      <c r="F206" s="219" t="b">
        <v>0</v>
      </c>
      <c r="G206" s="219"/>
    </row>
    <row r="207">
      <c r="A207" s="218">
        <f t="shared" si="1"/>
        <v>206</v>
      </c>
      <c r="B207" s="218" t="s">
        <v>71</v>
      </c>
      <c r="C207" s="218" t="s">
        <v>746</v>
      </c>
      <c r="D207" s="218" t="b">
        <v>1</v>
      </c>
      <c r="E207" s="219" t="b">
        <v>0</v>
      </c>
      <c r="F207" s="219" t="b">
        <v>0</v>
      </c>
      <c r="G207" s="219"/>
    </row>
    <row r="208">
      <c r="A208" s="218">
        <f t="shared" si="1"/>
        <v>207</v>
      </c>
      <c r="B208" s="218" t="s">
        <v>71</v>
      </c>
      <c r="C208" s="218" t="s">
        <v>774</v>
      </c>
      <c r="D208" s="218" t="b">
        <v>1</v>
      </c>
      <c r="E208" s="219" t="b">
        <v>0</v>
      </c>
      <c r="F208" s="219" t="b">
        <v>0</v>
      </c>
      <c r="G208" s="219"/>
    </row>
    <row r="209">
      <c r="A209" s="218">
        <f t="shared" si="1"/>
        <v>208</v>
      </c>
      <c r="B209" s="218" t="s">
        <v>71</v>
      </c>
      <c r="C209" s="218" t="s">
        <v>3646</v>
      </c>
      <c r="D209" s="218" t="b">
        <v>1</v>
      </c>
      <c r="E209" s="219" t="b">
        <v>0</v>
      </c>
      <c r="F209" s="219" t="b">
        <v>0</v>
      </c>
      <c r="G209" s="219"/>
    </row>
    <row r="210">
      <c r="A210" s="218">
        <f t="shared" si="1"/>
        <v>209</v>
      </c>
      <c r="B210" s="218" t="s">
        <v>71</v>
      </c>
      <c r="C210" s="218" t="s">
        <v>4401</v>
      </c>
      <c r="D210" s="218" t="b">
        <v>1</v>
      </c>
      <c r="E210" s="219" t="b">
        <v>0</v>
      </c>
      <c r="F210" s="219" t="b">
        <v>0</v>
      </c>
      <c r="G210" s="219"/>
    </row>
    <row r="211">
      <c r="A211" s="218">
        <f t="shared" si="1"/>
        <v>210</v>
      </c>
      <c r="B211" s="218" t="s">
        <v>71</v>
      </c>
      <c r="C211" s="218" t="s">
        <v>1796</v>
      </c>
      <c r="D211" s="218" t="b">
        <v>1</v>
      </c>
      <c r="E211" s="219" t="b">
        <v>0</v>
      </c>
      <c r="F211" s="219" t="b">
        <v>0</v>
      </c>
      <c r="G211" s="219"/>
    </row>
    <row r="212">
      <c r="A212" s="218">
        <f t="shared" si="1"/>
        <v>211</v>
      </c>
      <c r="B212" s="218" t="s">
        <v>71</v>
      </c>
      <c r="C212" s="218" t="s">
        <v>884</v>
      </c>
      <c r="D212" s="218" t="b">
        <v>1</v>
      </c>
      <c r="E212" s="219" t="b">
        <v>0</v>
      </c>
      <c r="F212" s="219" t="b">
        <v>0</v>
      </c>
      <c r="G212" s="219"/>
    </row>
    <row r="213">
      <c r="A213" s="218">
        <f t="shared" si="1"/>
        <v>212</v>
      </c>
      <c r="B213" s="218" t="s">
        <v>71</v>
      </c>
      <c r="C213" s="218" t="s">
        <v>818</v>
      </c>
      <c r="D213" s="218" t="b">
        <v>1</v>
      </c>
      <c r="E213" s="219" t="b">
        <v>0</v>
      </c>
      <c r="F213" s="219" t="b">
        <v>0</v>
      </c>
      <c r="G213" s="219"/>
    </row>
    <row r="214">
      <c r="A214" s="218">
        <f t="shared" si="1"/>
        <v>213</v>
      </c>
      <c r="B214" s="218" t="s">
        <v>71</v>
      </c>
      <c r="C214" s="218" t="s">
        <v>813</v>
      </c>
      <c r="D214" s="218" t="b">
        <v>1</v>
      </c>
      <c r="E214" s="219" t="b">
        <v>0</v>
      </c>
      <c r="F214" s="219" t="b">
        <v>0</v>
      </c>
      <c r="G214" s="219"/>
    </row>
    <row r="215">
      <c r="A215" s="218">
        <f t="shared" si="1"/>
        <v>214</v>
      </c>
      <c r="B215" s="218" t="s">
        <v>71</v>
      </c>
      <c r="C215" s="218" t="s">
        <v>1267</v>
      </c>
      <c r="D215" s="218" t="b">
        <v>1</v>
      </c>
      <c r="E215" s="219" t="b">
        <v>0</v>
      </c>
      <c r="F215" s="219" t="b">
        <v>0</v>
      </c>
      <c r="G215" s="219"/>
    </row>
    <row r="216">
      <c r="A216" s="218">
        <f t="shared" si="1"/>
        <v>215</v>
      </c>
      <c r="B216" s="218" t="s">
        <v>71</v>
      </c>
      <c r="C216" s="218" t="s">
        <v>5407</v>
      </c>
      <c r="D216" s="218" t="b">
        <v>1</v>
      </c>
      <c r="E216" s="219" t="b">
        <v>0</v>
      </c>
      <c r="F216" s="219" t="b">
        <v>0</v>
      </c>
      <c r="G216" s="219"/>
    </row>
    <row r="217">
      <c r="A217" s="218">
        <f t="shared" si="1"/>
        <v>216</v>
      </c>
      <c r="B217" s="218" t="s">
        <v>71</v>
      </c>
      <c r="C217" s="218" t="s">
        <v>3881</v>
      </c>
      <c r="D217" s="218" t="b">
        <v>1</v>
      </c>
      <c r="E217" s="219" t="b">
        <v>0</v>
      </c>
      <c r="F217" s="219" t="b">
        <v>0</v>
      </c>
      <c r="G217" s="219"/>
    </row>
    <row r="218">
      <c r="A218" s="218">
        <f t="shared" si="1"/>
        <v>217</v>
      </c>
      <c r="B218" s="218" t="s">
        <v>71</v>
      </c>
      <c r="C218" s="218" t="s">
        <v>2826</v>
      </c>
      <c r="D218" s="218" t="b">
        <v>1</v>
      </c>
      <c r="E218" s="219" t="b">
        <v>0</v>
      </c>
      <c r="F218" s="219" t="b">
        <v>0</v>
      </c>
      <c r="G218" s="219"/>
    </row>
    <row r="219">
      <c r="A219" s="218">
        <f t="shared" si="1"/>
        <v>218</v>
      </c>
      <c r="B219" s="218" t="s">
        <v>71</v>
      </c>
      <c r="C219" s="218" t="s">
        <v>2594</v>
      </c>
      <c r="D219" s="218" t="b">
        <v>1</v>
      </c>
      <c r="E219" s="219" t="b">
        <v>0</v>
      </c>
      <c r="F219" s="219" t="b">
        <v>0</v>
      </c>
      <c r="G219" s="219"/>
    </row>
    <row r="220">
      <c r="A220" s="218">
        <f t="shared" si="1"/>
        <v>219</v>
      </c>
      <c r="B220" s="218" t="s">
        <v>71</v>
      </c>
      <c r="C220" s="218" t="s">
        <v>6383</v>
      </c>
      <c r="D220" s="218" t="b">
        <v>1</v>
      </c>
      <c r="E220" s="219" t="b">
        <v>0</v>
      </c>
      <c r="F220" s="219" t="b">
        <v>0</v>
      </c>
      <c r="G220" s="219"/>
    </row>
    <row r="221">
      <c r="A221" s="218">
        <f t="shared" si="1"/>
        <v>220</v>
      </c>
      <c r="B221" s="218" t="s">
        <v>71</v>
      </c>
      <c r="C221" s="218" t="s">
        <v>1421</v>
      </c>
      <c r="D221" s="218" t="b">
        <v>1</v>
      </c>
      <c r="E221" s="219" t="b">
        <v>0</v>
      </c>
      <c r="F221" s="219" t="b">
        <v>0</v>
      </c>
      <c r="G221" s="219"/>
    </row>
    <row r="222">
      <c r="A222" s="218">
        <f t="shared" si="1"/>
        <v>221</v>
      </c>
      <c r="B222" s="218" t="s">
        <v>71</v>
      </c>
      <c r="C222" s="218" t="s">
        <v>857</v>
      </c>
      <c r="D222" s="218" t="b">
        <v>1</v>
      </c>
      <c r="E222" s="219" t="b">
        <v>0</v>
      </c>
      <c r="F222" s="219" t="b">
        <v>0</v>
      </c>
      <c r="G222" s="219"/>
    </row>
    <row r="223">
      <c r="A223" s="218">
        <f t="shared" si="1"/>
        <v>222</v>
      </c>
      <c r="B223" s="218" t="s">
        <v>71</v>
      </c>
      <c r="C223" s="218" t="s">
        <v>3479</v>
      </c>
      <c r="D223" s="218" t="b">
        <v>1</v>
      </c>
      <c r="E223" s="219" t="b">
        <v>0</v>
      </c>
      <c r="F223" s="219" t="b">
        <v>0</v>
      </c>
      <c r="G223" s="219"/>
    </row>
    <row r="224">
      <c r="A224" s="218">
        <f t="shared" si="1"/>
        <v>223</v>
      </c>
      <c r="B224" s="218" t="s">
        <v>71</v>
      </c>
      <c r="C224" s="218" t="s">
        <v>847</v>
      </c>
      <c r="D224" s="218" t="b">
        <v>1</v>
      </c>
      <c r="E224" s="219" t="b">
        <v>0</v>
      </c>
      <c r="F224" s="219" t="b">
        <v>0</v>
      </c>
      <c r="G224" s="219"/>
    </row>
    <row r="225">
      <c r="A225" s="218">
        <f t="shared" si="1"/>
        <v>224</v>
      </c>
      <c r="B225" s="218" t="s">
        <v>71</v>
      </c>
      <c r="C225" s="218" t="s">
        <v>894</v>
      </c>
      <c r="D225" s="218" t="b">
        <v>1</v>
      </c>
      <c r="E225" s="219" t="b">
        <v>0</v>
      </c>
      <c r="F225" s="219" t="b">
        <v>0</v>
      </c>
      <c r="G225" s="219"/>
    </row>
    <row r="226">
      <c r="A226" s="218">
        <f t="shared" si="1"/>
        <v>225</v>
      </c>
      <c r="B226" s="218" t="s">
        <v>71</v>
      </c>
      <c r="C226" s="218" t="s">
        <v>880</v>
      </c>
      <c r="D226" s="218" t="b">
        <v>1</v>
      </c>
      <c r="E226" s="219" t="b">
        <v>0</v>
      </c>
      <c r="F226" s="219" t="b">
        <v>0</v>
      </c>
      <c r="G226" s="219"/>
    </row>
    <row r="227">
      <c r="A227" s="218">
        <f t="shared" si="1"/>
        <v>226</v>
      </c>
      <c r="B227" s="218" t="s">
        <v>71</v>
      </c>
      <c r="C227" s="218" t="s">
        <v>928</v>
      </c>
      <c r="D227" s="218" t="b">
        <v>1</v>
      </c>
      <c r="E227" s="219" t="b">
        <v>0</v>
      </c>
      <c r="F227" s="219" t="b">
        <v>0</v>
      </c>
      <c r="G227" s="219"/>
    </row>
    <row r="228">
      <c r="A228" s="218">
        <f t="shared" si="1"/>
        <v>227</v>
      </c>
      <c r="B228" s="218" t="s">
        <v>71</v>
      </c>
      <c r="C228" s="218" t="s">
        <v>948</v>
      </c>
      <c r="D228" s="218" t="b">
        <v>1</v>
      </c>
      <c r="E228" s="219" t="b">
        <v>0</v>
      </c>
      <c r="F228" s="219" t="b">
        <v>0</v>
      </c>
      <c r="G228" s="219"/>
    </row>
    <row r="229">
      <c r="A229" s="218">
        <f t="shared" si="1"/>
        <v>228</v>
      </c>
      <c r="B229" s="218" t="s">
        <v>71</v>
      </c>
      <c r="C229" s="218" t="s">
        <v>943</v>
      </c>
      <c r="D229" s="218" t="b">
        <v>1</v>
      </c>
      <c r="E229" s="219" t="b">
        <v>0</v>
      </c>
      <c r="F229" s="219" t="b">
        <v>0</v>
      </c>
      <c r="G229" s="219"/>
    </row>
    <row r="230">
      <c r="A230" s="218">
        <f t="shared" si="1"/>
        <v>229</v>
      </c>
      <c r="B230" s="218" t="s">
        <v>71</v>
      </c>
      <c r="C230" s="218" t="s">
        <v>938</v>
      </c>
      <c r="D230" s="218" t="b">
        <v>1</v>
      </c>
      <c r="E230" s="219" t="b">
        <v>0</v>
      </c>
      <c r="F230" s="219" t="b">
        <v>0</v>
      </c>
      <c r="G230" s="219"/>
    </row>
    <row r="231">
      <c r="A231" s="218">
        <f t="shared" si="1"/>
        <v>230</v>
      </c>
      <c r="B231" s="218" t="s">
        <v>71</v>
      </c>
      <c r="C231" s="218" t="s">
        <v>933</v>
      </c>
      <c r="D231" s="218" t="b">
        <v>1</v>
      </c>
      <c r="E231" s="219" t="b">
        <v>0</v>
      </c>
      <c r="F231" s="219" t="b">
        <v>0</v>
      </c>
      <c r="G231" s="219"/>
    </row>
    <row r="232">
      <c r="A232" s="218">
        <f t="shared" si="1"/>
        <v>231</v>
      </c>
      <c r="B232" s="218" t="s">
        <v>71</v>
      </c>
      <c r="C232" s="218" t="s">
        <v>3969</v>
      </c>
      <c r="D232" s="218" t="b">
        <v>1</v>
      </c>
      <c r="E232" s="219" t="b">
        <v>0</v>
      </c>
      <c r="F232" s="219" t="b">
        <v>0</v>
      </c>
      <c r="G232" s="219"/>
    </row>
    <row r="233">
      <c r="A233" s="218">
        <f t="shared" si="1"/>
        <v>232</v>
      </c>
      <c r="B233" s="218" t="s">
        <v>71</v>
      </c>
      <c r="C233" s="218" t="s">
        <v>992</v>
      </c>
      <c r="D233" s="218" t="b">
        <v>1</v>
      </c>
      <c r="E233" s="219" t="b">
        <v>0</v>
      </c>
      <c r="F233" s="219" t="b">
        <v>0</v>
      </c>
      <c r="G233" s="219"/>
    </row>
    <row r="234">
      <c r="A234" s="218">
        <f t="shared" si="1"/>
        <v>233</v>
      </c>
      <c r="B234" s="218" t="s">
        <v>71</v>
      </c>
      <c r="C234" s="218" t="s">
        <v>1021</v>
      </c>
      <c r="D234" s="218" t="b">
        <v>1</v>
      </c>
      <c r="E234" s="219" t="b">
        <v>0</v>
      </c>
      <c r="F234" s="219" t="b">
        <v>0</v>
      </c>
      <c r="G234" s="219"/>
    </row>
    <row r="235">
      <c r="A235" s="218">
        <f t="shared" si="1"/>
        <v>234</v>
      </c>
      <c r="B235" s="218" t="s">
        <v>71</v>
      </c>
      <c r="C235" s="218" t="s">
        <v>2180</v>
      </c>
      <c r="D235" s="218" t="b">
        <v>1</v>
      </c>
      <c r="E235" s="219" t="b">
        <v>0</v>
      </c>
      <c r="F235" s="219" t="b">
        <v>0</v>
      </c>
      <c r="G235" s="219"/>
    </row>
    <row r="236">
      <c r="A236" s="218">
        <f t="shared" si="1"/>
        <v>235</v>
      </c>
      <c r="B236" s="218" t="s">
        <v>71</v>
      </c>
      <c r="C236" s="218" t="s">
        <v>1011</v>
      </c>
      <c r="D236" s="218" t="b">
        <v>1</v>
      </c>
      <c r="E236" s="219" t="b">
        <v>0</v>
      </c>
      <c r="F236" s="219" t="b">
        <v>0</v>
      </c>
      <c r="G236" s="219"/>
    </row>
    <row r="237">
      <c r="A237" s="218">
        <f t="shared" si="1"/>
        <v>236</v>
      </c>
      <c r="B237" s="218" t="s">
        <v>71</v>
      </c>
      <c r="C237" s="218" t="s">
        <v>1774</v>
      </c>
      <c r="D237" s="218" t="b">
        <v>1</v>
      </c>
      <c r="E237" s="219" t="b">
        <v>0</v>
      </c>
      <c r="F237" s="219" t="b">
        <v>0</v>
      </c>
      <c r="G237" s="219"/>
    </row>
    <row r="238">
      <c r="A238" s="218">
        <f t="shared" si="1"/>
        <v>237</v>
      </c>
      <c r="B238" s="218" t="s">
        <v>71</v>
      </c>
      <c r="C238" s="218" t="s">
        <v>997</v>
      </c>
      <c r="D238" s="218" t="b">
        <v>1</v>
      </c>
      <c r="E238" s="219" t="b">
        <v>0</v>
      </c>
      <c r="F238" s="219" t="b">
        <v>0</v>
      </c>
      <c r="G238" s="219"/>
    </row>
    <row r="239">
      <c r="A239" s="218">
        <f t="shared" si="1"/>
        <v>238</v>
      </c>
      <c r="B239" s="218" t="s">
        <v>71</v>
      </c>
      <c r="C239" s="218" t="s">
        <v>2293</v>
      </c>
      <c r="D239" s="218" t="b">
        <v>1</v>
      </c>
      <c r="E239" s="219" t="b">
        <v>0</v>
      </c>
      <c r="F239" s="219" t="b">
        <v>0</v>
      </c>
      <c r="G239" s="219"/>
    </row>
    <row r="240">
      <c r="A240" s="218">
        <f t="shared" si="1"/>
        <v>239</v>
      </c>
      <c r="B240" s="218" t="s">
        <v>71</v>
      </c>
      <c r="C240" s="218" t="s">
        <v>3351</v>
      </c>
      <c r="D240" s="218" t="b">
        <v>1</v>
      </c>
      <c r="E240" s="219" t="b">
        <v>0</v>
      </c>
      <c r="F240" s="219" t="b">
        <v>0</v>
      </c>
      <c r="G240" s="219"/>
    </row>
    <row r="241">
      <c r="A241" s="218">
        <f t="shared" si="1"/>
        <v>240</v>
      </c>
      <c r="B241" s="218" t="s">
        <v>71</v>
      </c>
      <c r="C241" s="218" t="s">
        <v>3582</v>
      </c>
      <c r="D241" s="218" t="b">
        <v>1</v>
      </c>
      <c r="E241" s="219" t="b">
        <v>0</v>
      </c>
      <c r="F241" s="219" t="b">
        <v>0</v>
      </c>
      <c r="G241" s="219"/>
    </row>
    <row r="242">
      <c r="A242" s="218">
        <f t="shared" si="1"/>
        <v>241</v>
      </c>
      <c r="B242" s="218" t="s">
        <v>71</v>
      </c>
      <c r="C242" s="218" t="s">
        <v>3528</v>
      </c>
      <c r="D242" s="218" t="b">
        <v>1</v>
      </c>
      <c r="E242" s="219" t="b">
        <v>0</v>
      </c>
      <c r="F242" s="219" t="b">
        <v>0</v>
      </c>
      <c r="G242" s="219"/>
    </row>
    <row r="243">
      <c r="A243" s="218">
        <f t="shared" si="1"/>
        <v>242</v>
      </c>
      <c r="B243" s="218" t="s">
        <v>71</v>
      </c>
      <c r="C243" s="218" t="s">
        <v>3359</v>
      </c>
      <c r="D243" s="218" t="b">
        <v>1</v>
      </c>
      <c r="E243" s="219" t="b">
        <v>0</v>
      </c>
      <c r="F243" s="219" t="b">
        <v>0</v>
      </c>
      <c r="G243" s="219"/>
    </row>
    <row r="244">
      <c r="A244" s="218">
        <f t="shared" si="1"/>
        <v>243</v>
      </c>
      <c r="B244" s="218" t="s">
        <v>71</v>
      </c>
      <c r="C244" s="218" t="s">
        <v>1054</v>
      </c>
      <c r="D244" s="218" t="b">
        <v>1</v>
      </c>
      <c r="E244" s="219" t="b">
        <v>0</v>
      </c>
      <c r="F244" s="219" t="b">
        <v>0</v>
      </c>
      <c r="G244" s="219"/>
    </row>
    <row r="245">
      <c r="A245" s="218">
        <f t="shared" si="1"/>
        <v>244</v>
      </c>
      <c r="B245" s="218" t="s">
        <v>71</v>
      </c>
      <c r="C245" s="218" t="s">
        <v>1064</v>
      </c>
      <c r="D245" s="218" t="b">
        <v>1</v>
      </c>
      <c r="E245" s="219" t="b">
        <v>0</v>
      </c>
      <c r="F245" s="219" t="b">
        <v>0</v>
      </c>
      <c r="G245" s="219"/>
    </row>
    <row r="246">
      <c r="A246" s="218">
        <f t="shared" si="1"/>
        <v>245</v>
      </c>
      <c r="B246" s="218" t="s">
        <v>71</v>
      </c>
      <c r="C246" s="218" t="s">
        <v>5392</v>
      </c>
      <c r="D246" s="218" t="b">
        <v>1</v>
      </c>
      <c r="E246" s="219" t="b">
        <v>0</v>
      </c>
      <c r="F246" s="219" t="b">
        <v>0</v>
      </c>
      <c r="G246" s="219"/>
    </row>
    <row r="247">
      <c r="A247" s="218">
        <f t="shared" si="1"/>
        <v>246</v>
      </c>
      <c r="B247" s="218" t="s">
        <v>71</v>
      </c>
      <c r="C247" s="218" t="s">
        <v>779</v>
      </c>
      <c r="D247" s="218" t="b">
        <v>1</v>
      </c>
      <c r="E247" s="219" t="b">
        <v>0</v>
      </c>
      <c r="F247" s="219" t="b">
        <v>0</v>
      </c>
      <c r="G247" s="219"/>
    </row>
    <row r="248">
      <c r="A248" s="218">
        <f t="shared" si="1"/>
        <v>247</v>
      </c>
      <c r="B248" s="218" t="s">
        <v>71</v>
      </c>
      <c r="C248" s="218" t="s">
        <v>576</v>
      </c>
      <c r="D248" s="218" t="b">
        <v>1</v>
      </c>
      <c r="E248" s="219" t="b">
        <v>0</v>
      </c>
      <c r="F248" s="219" t="b">
        <v>0</v>
      </c>
      <c r="G248" s="219"/>
    </row>
    <row r="249">
      <c r="A249" s="218">
        <f t="shared" si="1"/>
        <v>248</v>
      </c>
      <c r="B249" s="218" t="s">
        <v>71</v>
      </c>
      <c r="C249" s="218" t="s">
        <v>4328</v>
      </c>
      <c r="D249" s="218" t="b">
        <v>1</v>
      </c>
      <c r="E249" s="219" t="b">
        <v>0</v>
      </c>
      <c r="F249" s="219" t="b">
        <v>0</v>
      </c>
      <c r="G249" s="219"/>
    </row>
    <row r="250">
      <c r="A250" s="218">
        <f t="shared" si="1"/>
        <v>249</v>
      </c>
      <c r="B250" s="218" t="s">
        <v>71</v>
      </c>
      <c r="C250" s="218" t="s">
        <v>1479</v>
      </c>
      <c r="D250" s="218" t="b">
        <v>1</v>
      </c>
      <c r="E250" s="219" t="b">
        <v>0</v>
      </c>
      <c r="F250" s="219" t="b">
        <v>0</v>
      </c>
      <c r="G250" s="219"/>
    </row>
    <row r="251">
      <c r="A251" s="218">
        <f t="shared" si="1"/>
        <v>250</v>
      </c>
      <c r="B251" s="218" t="s">
        <v>71</v>
      </c>
      <c r="C251" s="218" t="s">
        <v>4146</v>
      </c>
      <c r="D251" s="218" t="b">
        <v>1</v>
      </c>
      <c r="E251" s="219" t="b">
        <v>0</v>
      </c>
      <c r="F251" s="219" t="b">
        <v>0</v>
      </c>
      <c r="G251" s="219"/>
    </row>
    <row r="252">
      <c r="A252" s="218">
        <f t="shared" si="1"/>
        <v>251</v>
      </c>
      <c r="B252" s="218" t="s">
        <v>71</v>
      </c>
      <c r="C252" s="218" t="s">
        <v>2629</v>
      </c>
      <c r="D252" s="218" t="b">
        <v>1</v>
      </c>
      <c r="E252" s="219" t="b">
        <v>0</v>
      </c>
      <c r="F252" s="219" t="b">
        <v>0</v>
      </c>
      <c r="G252" s="219"/>
    </row>
    <row r="253">
      <c r="A253" s="218">
        <f t="shared" si="1"/>
        <v>252</v>
      </c>
      <c r="B253" s="218" t="s">
        <v>71</v>
      </c>
      <c r="C253" s="218" t="s">
        <v>3518</v>
      </c>
      <c r="D253" s="218" t="b">
        <v>1</v>
      </c>
      <c r="E253" s="219" t="b">
        <v>0</v>
      </c>
      <c r="F253" s="219" t="b">
        <v>0</v>
      </c>
      <c r="G253" s="219"/>
    </row>
    <row r="254">
      <c r="A254" s="218">
        <f t="shared" si="1"/>
        <v>253</v>
      </c>
      <c r="B254" s="218" t="s">
        <v>71</v>
      </c>
      <c r="C254" s="218" t="s">
        <v>3955</v>
      </c>
      <c r="D254" s="218" t="b">
        <v>1</v>
      </c>
      <c r="E254" s="219" t="b">
        <v>0</v>
      </c>
      <c r="F254" s="219" t="b">
        <v>0</v>
      </c>
      <c r="G254" s="219"/>
    </row>
    <row r="255">
      <c r="A255" s="218">
        <f t="shared" si="1"/>
        <v>254</v>
      </c>
      <c r="B255" s="218" t="s">
        <v>71</v>
      </c>
      <c r="C255" s="218" t="s">
        <v>1502</v>
      </c>
      <c r="D255" s="218" t="b">
        <v>1</v>
      </c>
      <c r="E255" s="219" t="b">
        <v>0</v>
      </c>
      <c r="F255" s="219" t="b">
        <v>0</v>
      </c>
      <c r="G255" s="219"/>
    </row>
    <row r="256">
      <c r="A256" s="218">
        <f t="shared" si="1"/>
        <v>255</v>
      </c>
      <c r="B256" s="218" t="s">
        <v>71</v>
      </c>
      <c r="C256" s="218" t="s">
        <v>489</v>
      </c>
      <c r="D256" s="218" t="b">
        <v>1</v>
      </c>
      <c r="E256" s="219" t="b">
        <v>0</v>
      </c>
      <c r="F256" s="219" t="b">
        <v>0</v>
      </c>
      <c r="G256" s="219"/>
    </row>
    <row r="257">
      <c r="A257" s="218">
        <f t="shared" si="1"/>
        <v>256</v>
      </c>
      <c r="B257" s="218" t="s">
        <v>71</v>
      </c>
      <c r="C257" s="218" t="s">
        <v>1779</v>
      </c>
      <c r="D257" s="218" t="b">
        <v>1</v>
      </c>
      <c r="E257" s="219" t="b">
        <v>0</v>
      </c>
      <c r="F257" s="219" t="b">
        <v>0</v>
      </c>
      <c r="G257" s="219"/>
    </row>
    <row r="258">
      <c r="A258" s="218">
        <f t="shared" si="1"/>
        <v>257</v>
      </c>
      <c r="B258" s="218" t="s">
        <v>71</v>
      </c>
      <c r="C258" s="218" t="s">
        <v>628</v>
      </c>
      <c r="D258" s="218" t="b">
        <v>1</v>
      </c>
      <c r="E258" s="219" t="b">
        <v>0</v>
      </c>
      <c r="F258" s="219" t="b">
        <v>0</v>
      </c>
      <c r="G258" s="219"/>
    </row>
    <row r="259">
      <c r="A259" s="218">
        <f t="shared" si="1"/>
        <v>258</v>
      </c>
      <c r="B259" s="218" t="s">
        <v>71</v>
      </c>
      <c r="C259" s="218" t="s">
        <v>1871</v>
      </c>
      <c r="D259" s="218" t="b">
        <v>1</v>
      </c>
      <c r="E259" s="219" t="b">
        <v>0</v>
      </c>
      <c r="F259" s="219" t="b">
        <v>0</v>
      </c>
      <c r="G259" s="219"/>
    </row>
    <row r="260">
      <c r="A260" s="218">
        <f t="shared" si="1"/>
        <v>259</v>
      </c>
      <c r="B260" s="218" t="s">
        <v>71</v>
      </c>
      <c r="C260" s="218" t="s">
        <v>1069</v>
      </c>
      <c r="D260" s="218" t="b">
        <v>1</v>
      </c>
      <c r="E260" s="219" t="b">
        <v>0</v>
      </c>
      <c r="F260" s="219" t="b">
        <v>0</v>
      </c>
      <c r="G260" s="219"/>
    </row>
    <row r="261">
      <c r="A261" s="218">
        <f t="shared" si="1"/>
        <v>260</v>
      </c>
      <c r="B261" s="218" t="s">
        <v>71</v>
      </c>
      <c r="C261" s="218" t="s">
        <v>1512</v>
      </c>
      <c r="D261" s="218" t="b">
        <v>1</v>
      </c>
      <c r="E261" s="219" t="b">
        <v>0</v>
      </c>
      <c r="F261" s="219" t="b">
        <v>0</v>
      </c>
      <c r="G261" s="219"/>
    </row>
    <row r="262">
      <c r="A262" s="218">
        <f t="shared" si="1"/>
        <v>261</v>
      </c>
      <c r="B262" s="218" t="s">
        <v>71</v>
      </c>
      <c r="C262" s="218" t="s">
        <v>4114</v>
      </c>
      <c r="D262" s="218" t="b">
        <v>1</v>
      </c>
      <c r="E262" s="219" t="b">
        <v>0</v>
      </c>
      <c r="F262" s="219" t="b">
        <v>0</v>
      </c>
      <c r="G262" s="219"/>
    </row>
    <row r="263">
      <c r="A263" s="218">
        <f t="shared" si="1"/>
        <v>262</v>
      </c>
      <c r="B263" s="218" t="s">
        <v>71</v>
      </c>
      <c r="C263" s="218" t="s">
        <v>4594</v>
      </c>
      <c r="D263" s="218" t="b">
        <v>1</v>
      </c>
      <c r="E263" s="219" t="b">
        <v>0</v>
      </c>
      <c r="F263" s="219" t="b">
        <v>0</v>
      </c>
      <c r="G263" s="219"/>
    </row>
    <row r="264">
      <c r="A264" s="218">
        <f t="shared" si="1"/>
        <v>263</v>
      </c>
      <c r="B264" s="218" t="s">
        <v>71</v>
      </c>
      <c r="C264" s="218" t="s">
        <v>2873</v>
      </c>
      <c r="D264" s="218" t="b">
        <v>1</v>
      </c>
      <c r="E264" s="219" t="b">
        <v>0</v>
      </c>
      <c r="F264" s="219" t="b">
        <v>0</v>
      </c>
      <c r="G264" s="219"/>
    </row>
    <row r="265">
      <c r="A265" s="218">
        <f t="shared" si="1"/>
        <v>264</v>
      </c>
      <c r="B265" s="218" t="s">
        <v>71</v>
      </c>
      <c r="C265" s="218" t="s">
        <v>2297</v>
      </c>
      <c r="D265" s="218" t="b">
        <v>1</v>
      </c>
      <c r="E265" s="219" t="b">
        <v>0</v>
      </c>
      <c r="F265" s="219" t="b">
        <v>0</v>
      </c>
      <c r="G265" s="219"/>
    </row>
    <row r="266">
      <c r="A266" s="218">
        <f t="shared" si="1"/>
        <v>265</v>
      </c>
      <c r="B266" s="218" t="s">
        <v>71</v>
      </c>
      <c r="C266" s="218" t="s">
        <v>3064</v>
      </c>
      <c r="D266" s="218" t="b">
        <v>1</v>
      </c>
      <c r="E266" s="219" t="b">
        <v>0</v>
      </c>
      <c r="F266" s="219" t="b">
        <v>0</v>
      </c>
      <c r="G266" s="219"/>
    </row>
    <row r="267">
      <c r="A267" s="218">
        <f t="shared" si="1"/>
        <v>266</v>
      </c>
      <c r="B267" s="218" t="s">
        <v>71</v>
      </c>
      <c r="C267" s="218" t="s">
        <v>2738</v>
      </c>
      <c r="D267" s="218" t="b">
        <v>1</v>
      </c>
      <c r="E267" s="219" t="b">
        <v>0</v>
      </c>
      <c r="F267" s="219" t="b">
        <v>0</v>
      </c>
      <c r="G267" s="219"/>
    </row>
    <row r="268">
      <c r="A268" s="218">
        <f t="shared" si="1"/>
        <v>267</v>
      </c>
      <c r="B268" s="218" t="s">
        <v>71</v>
      </c>
      <c r="C268" s="218" t="s">
        <v>752</v>
      </c>
      <c r="D268" s="218" t="b">
        <v>1</v>
      </c>
      <c r="E268" s="219" t="b">
        <v>0</v>
      </c>
      <c r="F268" s="219" t="b">
        <v>0</v>
      </c>
      <c r="G268" s="219"/>
    </row>
    <row r="269">
      <c r="A269" s="218">
        <f t="shared" si="1"/>
        <v>268</v>
      </c>
      <c r="B269" s="218" t="s">
        <v>71</v>
      </c>
      <c r="C269" s="218" t="s">
        <v>610</v>
      </c>
      <c r="D269" s="218" t="b">
        <v>1</v>
      </c>
      <c r="E269" s="219" t="b">
        <v>0</v>
      </c>
      <c r="F269" s="219" t="b">
        <v>0</v>
      </c>
      <c r="G269" s="219"/>
    </row>
    <row r="270">
      <c r="A270" s="218">
        <f t="shared" si="1"/>
        <v>269</v>
      </c>
      <c r="B270" s="218" t="s">
        <v>71</v>
      </c>
      <c r="C270" s="218" t="s">
        <v>1596</v>
      </c>
      <c r="D270" s="218" t="b">
        <v>1</v>
      </c>
      <c r="E270" s="219" t="b">
        <v>0</v>
      </c>
      <c r="F270" s="219" t="b">
        <v>0</v>
      </c>
      <c r="G270" s="219"/>
    </row>
    <row r="271">
      <c r="A271" s="218">
        <f t="shared" si="1"/>
        <v>270</v>
      </c>
      <c r="B271" s="218" t="s">
        <v>71</v>
      </c>
      <c r="C271" s="218" t="s">
        <v>478</v>
      </c>
      <c r="D271" s="218" t="b">
        <v>1</v>
      </c>
      <c r="E271" s="219" t="b">
        <v>0</v>
      </c>
      <c r="F271" s="219" t="b">
        <v>0</v>
      </c>
      <c r="G271" s="219"/>
    </row>
    <row r="272">
      <c r="A272" s="218">
        <f t="shared" si="1"/>
        <v>271</v>
      </c>
      <c r="B272" s="218" t="s">
        <v>71</v>
      </c>
      <c r="C272" s="218" t="s">
        <v>369</v>
      </c>
      <c r="D272" s="218" t="b">
        <v>1</v>
      </c>
      <c r="E272" s="219" t="b">
        <v>0</v>
      </c>
      <c r="F272" s="219" t="b">
        <v>0</v>
      </c>
      <c r="G272" s="219"/>
    </row>
    <row r="273">
      <c r="A273" s="218">
        <f t="shared" si="1"/>
        <v>272</v>
      </c>
      <c r="B273" s="218" t="s">
        <v>71</v>
      </c>
      <c r="C273" s="218" t="s">
        <v>1587</v>
      </c>
      <c r="D273" s="218" t="b">
        <v>1</v>
      </c>
      <c r="E273" s="219" t="b">
        <v>0</v>
      </c>
      <c r="F273" s="219" t="b">
        <v>0</v>
      </c>
      <c r="G273" s="219"/>
    </row>
    <row r="274">
      <c r="A274" s="218">
        <f t="shared" si="1"/>
        <v>273</v>
      </c>
      <c r="B274" s="218" t="s">
        <v>71</v>
      </c>
      <c r="C274" s="218" t="s">
        <v>4937</v>
      </c>
      <c r="D274" s="218" t="b">
        <v>1</v>
      </c>
      <c r="E274" s="219" t="b">
        <v>0</v>
      </c>
      <c r="F274" s="219" t="b">
        <v>0</v>
      </c>
      <c r="G274" s="219"/>
    </row>
    <row r="275">
      <c r="A275" s="218">
        <f t="shared" si="1"/>
        <v>274</v>
      </c>
      <c r="B275" s="218" t="s">
        <v>71</v>
      </c>
      <c r="C275" s="218" t="s">
        <v>2821</v>
      </c>
      <c r="D275" s="218" t="b">
        <v>1</v>
      </c>
      <c r="E275" s="219" t="b">
        <v>0</v>
      </c>
      <c r="F275" s="219" t="b">
        <v>0</v>
      </c>
      <c r="G275" s="219"/>
    </row>
    <row r="276">
      <c r="A276" s="218">
        <f t="shared" si="1"/>
        <v>275</v>
      </c>
      <c r="B276" s="218" t="s">
        <v>71</v>
      </c>
      <c r="C276" s="218" t="s">
        <v>494</v>
      </c>
      <c r="D276" s="218" t="b">
        <v>1</v>
      </c>
      <c r="E276" s="219" t="b">
        <v>0</v>
      </c>
      <c r="F276" s="219" t="b">
        <v>0</v>
      </c>
      <c r="G276" s="219"/>
    </row>
    <row r="277">
      <c r="A277" s="218">
        <f t="shared" si="1"/>
        <v>276</v>
      </c>
      <c r="B277" s="218" t="s">
        <v>71</v>
      </c>
      <c r="C277" s="218" t="s">
        <v>1724</v>
      </c>
      <c r="D277" s="218" t="b">
        <v>1</v>
      </c>
      <c r="E277" s="219" t="b">
        <v>0</v>
      </c>
      <c r="F277" s="219" t="b">
        <v>0</v>
      </c>
      <c r="G277" s="219"/>
    </row>
    <row r="278">
      <c r="A278" s="218">
        <f t="shared" si="1"/>
        <v>277</v>
      </c>
      <c r="B278" s="218" t="s">
        <v>71</v>
      </c>
      <c r="C278" s="218" t="s">
        <v>3019</v>
      </c>
      <c r="D278" s="218" t="b">
        <v>1</v>
      </c>
      <c r="E278" s="219" t="b">
        <v>0</v>
      </c>
      <c r="F278" s="219" t="b">
        <v>0</v>
      </c>
      <c r="G278" s="219"/>
    </row>
    <row r="279">
      <c r="A279" s="218">
        <f t="shared" si="1"/>
        <v>278</v>
      </c>
      <c r="B279" s="218" t="s">
        <v>71</v>
      </c>
      <c r="C279" s="218" t="s">
        <v>1257</v>
      </c>
      <c r="D279" s="218" t="b">
        <v>1</v>
      </c>
      <c r="E279" s="219" t="b">
        <v>0</v>
      </c>
      <c r="F279" s="219" t="b">
        <v>0</v>
      </c>
      <c r="G279" s="219"/>
    </row>
    <row r="280">
      <c r="A280" s="218">
        <f t="shared" si="1"/>
        <v>279</v>
      </c>
      <c r="B280" s="218" t="s">
        <v>71</v>
      </c>
      <c r="C280" s="218" t="s">
        <v>1120</v>
      </c>
      <c r="D280" s="218" t="b">
        <v>1</v>
      </c>
      <c r="E280" s="219" t="b">
        <v>0</v>
      </c>
      <c r="F280" s="219" t="b">
        <v>0</v>
      </c>
      <c r="G280" s="219"/>
    </row>
    <row r="281">
      <c r="A281" s="218">
        <f t="shared" si="1"/>
        <v>280</v>
      </c>
      <c r="B281" s="218" t="s">
        <v>71</v>
      </c>
      <c r="C281" s="218" t="s">
        <v>833</v>
      </c>
      <c r="D281" s="218" t="b">
        <v>1</v>
      </c>
      <c r="E281" s="219" t="b">
        <v>0</v>
      </c>
      <c r="F281" s="219" t="b">
        <v>0</v>
      </c>
      <c r="G281" s="219"/>
    </row>
    <row r="282">
      <c r="A282" s="218">
        <f t="shared" si="1"/>
        <v>281</v>
      </c>
      <c r="B282" s="218" t="s">
        <v>71</v>
      </c>
      <c r="C282" s="218" t="s">
        <v>3541</v>
      </c>
      <c r="D282" s="218" t="b">
        <v>1</v>
      </c>
      <c r="E282" s="219" t="b">
        <v>0</v>
      </c>
      <c r="F282" s="219" t="b">
        <v>0</v>
      </c>
      <c r="G282" s="219"/>
    </row>
    <row r="283">
      <c r="A283" s="218">
        <f t="shared" si="1"/>
        <v>282</v>
      </c>
      <c r="B283" s="218" t="s">
        <v>71</v>
      </c>
      <c r="C283" s="218" t="s">
        <v>5344</v>
      </c>
      <c r="D283" s="218" t="b">
        <v>1</v>
      </c>
      <c r="E283" s="219" t="b">
        <v>0</v>
      </c>
      <c r="F283" s="219" t="b">
        <v>0</v>
      </c>
      <c r="G283" s="219"/>
    </row>
    <row r="284">
      <c r="A284" s="218">
        <f t="shared" si="1"/>
        <v>283</v>
      </c>
      <c r="B284" s="218" t="s">
        <v>71</v>
      </c>
      <c r="C284" s="218" t="s">
        <v>3960</v>
      </c>
      <c r="D284" s="218" t="b">
        <v>1</v>
      </c>
      <c r="E284" s="219" t="b">
        <v>0</v>
      </c>
      <c r="F284" s="219" t="b">
        <v>0</v>
      </c>
      <c r="G284" s="219"/>
    </row>
    <row r="285">
      <c r="A285" s="218">
        <f t="shared" si="1"/>
        <v>284</v>
      </c>
      <c r="B285" s="218" t="s">
        <v>71</v>
      </c>
      <c r="C285" s="218" t="s">
        <v>563</v>
      </c>
      <c r="D285" s="218" t="b">
        <v>1</v>
      </c>
      <c r="E285" s="219" t="b">
        <v>0</v>
      </c>
      <c r="F285" s="219" t="b">
        <v>0</v>
      </c>
      <c r="G285" s="219"/>
    </row>
    <row r="286">
      <c r="A286" s="218">
        <f t="shared" si="1"/>
        <v>285</v>
      </c>
      <c r="B286" s="218" t="s">
        <v>71</v>
      </c>
      <c r="C286" s="218" t="s">
        <v>2656</v>
      </c>
      <c r="D286" s="218" t="b">
        <v>1</v>
      </c>
      <c r="E286" s="219" t="b">
        <v>0</v>
      </c>
      <c r="F286" s="219" t="b">
        <v>0</v>
      </c>
      <c r="G286" s="219"/>
    </row>
    <row r="287">
      <c r="A287" s="218">
        <f t="shared" si="1"/>
        <v>286</v>
      </c>
      <c r="B287" s="218" t="s">
        <v>71</v>
      </c>
      <c r="C287" s="218" t="s">
        <v>2448</v>
      </c>
      <c r="D287" s="218" t="b">
        <v>1</v>
      </c>
      <c r="E287" s="219" t="b">
        <v>0</v>
      </c>
      <c r="F287" s="219" t="b">
        <v>0</v>
      </c>
      <c r="G287" s="219"/>
    </row>
    <row r="288">
      <c r="A288" s="218">
        <f t="shared" si="1"/>
        <v>287</v>
      </c>
      <c r="B288" s="218" t="s">
        <v>71</v>
      </c>
      <c r="C288" s="218" t="s">
        <v>5005</v>
      </c>
      <c r="D288" s="218" t="b">
        <v>1</v>
      </c>
      <c r="E288" s="219" t="b">
        <v>0</v>
      </c>
      <c r="F288" s="219" t="b">
        <v>0</v>
      </c>
      <c r="G288" s="219"/>
    </row>
    <row r="289">
      <c r="A289" s="218">
        <f t="shared" si="1"/>
        <v>288</v>
      </c>
      <c r="B289" s="218" t="s">
        <v>71</v>
      </c>
      <c r="C289" s="218" t="s">
        <v>5387</v>
      </c>
      <c r="D289" s="218" t="b">
        <v>1</v>
      </c>
      <c r="E289" s="219" t="b">
        <v>0</v>
      </c>
      <c r="F289" s="219" t="b">
        <v>0</v>
      </c>
      <c r="G289" s="219"/>
    </row>
    <row r="290">
      <c r="A290" s="218">
        <f t="shared" si="1"/>
        <v>289</v>
      </c>
      <c r="B290" s="218" t="s">
        <v>71</v>
      </c>
      <c r="C290" s="218" t="s">
        <v>1711</v>
      </c>
      <c r="D290" s="218" t="b">
        <v>1</v>
      </c>
      <c r="E290" s="219" t="b">
        <v>0</v>
      </c>
      <c r="F290" s="219" t="b">
        <v>0</v>
      </c>
      <c r="G290" s="219"/>
    </row>
    <row r="291">
      <c r="A291" s="218">
        <f t="shared" si="1"/>
        <v>290</v>
      </c>
      <c r="B291" s="218" t="s">
        <v>71</v>
      </c>
      <c r="C291" s="218" t="s">
        <v>4447</v>
      </c>
      <c r="D291" s="218" t="b">
        <v>1</v>
      </c>
      <c r="E291" s="219" t="b">
        <v>0</v>
      </c>
      <c r="F291" s="219" t="b">
        <v>0</v>
      </c>
      <c r="G291" s="219"/>
    </row>
    <row r="292">
      <c r="A292" s="218">
        <f t="shared" si="1"/>
        <v>291</v>
      </c>
      <c r="B292" s="218" t="s">
        <v>71</v>
      </c>
      <c r="C292" s="218" t="s">
        <v>1761</v>
      </c>
      <c r="D292" s="218" t="b">
        <v>1</v>
      </c>
      <c r="E292" s="219" t="b">
        <v>0</v>
      </c>
      <c r="F292" s="219" t="b">
        <v>0</v>
      </c>
      <c r="G292" s="219"/>
    </row>
    <row r="293">
      <c r="A293" s="218">
        <f t="shared" si="1"/>
        <v>292</v>
      </c>
      <c r="B293" s="218" t="s">
        <v>71</v>
      </c>
      <c r="C293" s="218" t="s">
        <v>1751</v>
      </c>
      <c r="D293" s="218" t="b">
        <v>1</v>
      </c>
      <c r="E293" s="219" t="b">
        <v>0</v>
      </c>
      <c r="F293" s="219" t="b">
        <v>0</v>
      </c>
      <c r="G293" s="219"/>
    </row>
    <row r="294">
      <c r="A294" s="218">
        <f t="shared" si="1"/>
        <v>293</v>
      </c>
      <c r="B294" s="218" t="s">
        <v>71</v>
      </c>
      <c r="C294" s="218" t="s">
        <v>1209</v>
      </c>
      <c r="D294" s="218" t="b">
        <v>1</v>
      </c>
      <c r="E294" s="219" t="b">
        <v>0</v>
      </c>
      <c r="F294" s="219" t="b">
        <v>0</v>
      </c>
      <c r="G294" s="219"/>
    </row>
    <row r="295">
      <c r="A295" s="218">
        <f t="shared" si="1"/>
        <v>294</v>
      </c>
      <c r="B295" s="218" t="s">
        <v>71</v>
      </c>
      <c r="C295" s="218" t="s">
        <v>4041</v>
      </c>
      <c r="D295" s="218" t="b">
        <v>1</v>
      </c>
      <c r="E295" s="219" t="b">
        <v>0</v>
      </c>
      <c r="F295" s="219" t="b">
        <v>0</v>
      </c>
      <c r="G295" s="219"/>
    </row>
    <row r="296">
      <c r="A296" s="218">
        <f t="shared" si="1"/>
        <v>295</v>
      </c>
      <c r="B296" s="218" t="s">
        <v>71</v>
      </c>
      <c r="C296" s="218" t="s">
        <v>2685</v>
      </c>
      <c r="D296" s="218" t="b">
        <v>1</v>
      </c>
      <c r="E296" s="219" t="b">
        <v>0</v>
      </c>
      <c r="F296" s="219" t="b">
        <v>0</v>
      </c>
      <c r="G296" s="219"/>
    </row>
    <row r="297">
      <c r="A297" s="218">
        <f t="shared" si="1"/>
        <v>296</v>
      </c>
      <c r="B297" s="218" t="s">
        <v>71</v>
      </c>
      <c r="C297" s="218" t="s">
        <v>2812</v>
      </c>
      <c r="D297" s="218" t="b">
        <v>1</v>
      </c>
      <c r="E297" s="219" t="b">
        <v>0</v>
      </c>
      <c r="F297" s="219" t="b">
        <v>0</v>
      </c>
      <c r="G297" s="219"/>
    </row>
    <row r="298">
      <c r="A298" s="218">
        <f t="shared" si="1"/>
        <v>297</v>
      </c>
      <c r="B298" s="218" t="s">
        <v>71</v>
      </c>
      <c r="C298" s="218" t="s">
        <v>2339</v>
      </c>
      <c r="D298" s="218" t="b">
        <v>1</v>
      </c>
      <c r="E298" s="219" t="b">
        <v>0</v>
      </c>
      <c r="F298" s="219" t="b">
        <v>0</v>
      </c>
      <c r="G298" s="219"/>
    </row>
    <row r="299">
      <c r="A299" s="218">
        <f t="shared" si="1"/>
        <v>298</v>
      </c>
      <c r="B299" s="218" t="s">
        <v>71</v>
      </c>
      <c r="C299" s="218" t="s">
        <v>2089</v>
      </c>
      <c r="D299" s="218" t="b">
        <v>1</v>
      </c>
      <c r="E299" s="219" t="b">
        <v>0</v>
      </c>
      <c r="F299" s="219" t="b">
        <v>0</v>
      </c>
      <c r="G299" s="219"/>
    </row>
    <row r="300">
      <c r="A300" s="218">
        <f t="shared" si="1"/>
        <v>299</v>
      </c>
      <c r="B300" s="218" t="s">
        <v>71</v>
      </c>
      <c r="C300" s="218" t="s">
        <v>2415</v>
      </c>
      <c r="D300" s="218" t="b">
        <v>1</v>
      </c>
      <c r="E300" s="219" t="b">
        <v>0</v>
      </c>
      <c r="F300" s="219" t="b">
        <v>0</v>
      </c>
      <c r="G300" s="219"/>
    </row>
    <row r="301">
      <c r="A301" s="218">
        <f t="shared" si="1"/>
        <v>300</v>
      </c>
      <c r="B301" s="218" t="s">
        <v>71</v>
      </c>
      <c r="C301" s="218" t="s">
        <v>2022</v>
      </c>
      <c r="D301" s="218" t="b">
        <v>1</v>
      </c>
      <c r="E301" s="219" t="b">
        <v>0</v>
      </c>
      <c r="F301" s="219" t="b">
        <v>0</v>
      </c>
      <c r="G301" s="219"/>
    </row>
    <row r="302">
      <c r="A302" s="218">
        <f t="shared" si="1"/>
        <v>301</v>
      </c>
      <c r="B302" s="218" t="s">
        <v>71</v>
      </c>
      <c r="C302" s="218" t="s">
        <v>2988</v>
      </c>
      <c r="D302" s="218" t="b">
        <v>1</v>
      </c>
      <c r="E302" s="219" t="b">
        <v>0</v>
      </c>
      <c r="F302" s="219" t="b">
        <v>0</v>
      </c>
      <c r="G302" s="219"/>
    </row>
    <row r="303">
      <c r="A303" s="218">
        <f t="shared" si="1"/>
        <v>302</v>
      </c>
      <c r="B303" s="218" t="s">
        <v>71</v>
      </c>
      <c r="C303" s="218" t="s">
        <v>3235</v>
      </c>
      <c r="D303" s="218" t="b">
        <v>1</v>
      </c>
      <c r="E303" s="219" t="b">
        <v>0</v>
      </c>
      <c r="F303" s="219" t="b">
        <v>0</v>
      </c>
      <c r="G303" s="219"/>
    </row>
    <row r="304">
      <c r="A304" s="218">
        <f t="shared" si="1"/>
        <v>303</v>
      </c>
      <c r="B304" s="218" t="s">
        <v>71</v>
      </c>
      <c r="C304" s="218" t="s">
        <v>633</v>
      </c>
      <c r="D304" s="218" t="b">
        <v>1</v>
      </c>
      <c r="E304" s="219" t="b">
        <v>0</v>
      </c>
      <c r="F304" s="219" t="b">
        <v>0</v>
      </c>
      <c r="G304" s="219"/>
    </row>
    <row r="305">
      <c r="A305" s="218">
        <f t="shared" si="1"/>
        <v>304</v>
      </c>
      <c r="B305" s="218" t="s">
        <v>71</v>
      </c>
      <c r="C305" s="218" t="s">
        <v>1920</v>
      </c>
      <c r="D305" s="218" t="b">
        <v>1</v>
      </c>
      <c r="E305" s="219" t="b">
        <v>0</v>
      </c>
      <c r="F305" s="219" t="b">
        <v>0</v>
      </c>
      <c r="G305" s="219"/>
    </row>
    <row r="306">
      <c r="A306" s="218">
        <f t="shared" si="1"/>
        <v>305</v>
      </c>
      <c r="B306" s="218" t="s">
        <v>71</v>
      </c>
      <c r="C306" s="218" t="s">
        <v>3574</v>
      </c>
      <c r="D306" s="218" t="b">
        <v>1</v>
      </c>
      <c r="E306" s="219" t="b">
        <v>0</v>
      </c>
      <c r="F306" s="219" t="b">
        <v>0</v>
      </c>
      <c r="G306" s="219"/>
    </row>
    <row r="307">
      <c r="A307" s="218">
        <f t="shared" si="1"/>
        <v>306</v>
      </c>
      <c r="B307" s="218" t="s">
        <v>71</v>
      </c>
      <c r="C307" s="218" t="s">
        <v>3049</v>
      </c>
      <c r="D307" s="218" t="b">
        <v>1</v>
      </c>
      <c r="E307" s="219" t="b">
        <v>0</v>
      </c>
      <c r="F307" s="219" t="b">
        <v>0</v>
      </c>
      <c r="G307" s="219"/>
    </row>
    <row r="308">
      <c r="A308" s="218">
        <f t="shared" si="1"/>
        <v>307</v>
      </c>
      <c r="B308" s="218" t="s">
        <v>71</v>
      </c>
      <c r="C308" s="218" t="s">
        <v>5451</v>
      </c>
      <c r="D308" s="218" t="b">
        <v>1</v>
      </c>
      <c r="E308" s="219" t="b">
        <v>0</v>
      </c>
      <c r="F308" s="219" t="b">
        <v>0</v>
      </c>
      <c r="G308" s="219"/>
    </row>
    <row r="309">
      <c r="A309" s="218">
        <f t="shared" si="1"/>
        <v>308</v>
      </c>
      <c r="B309" s="218" t="s">
        <v>71</v>
      </c>
      <c r="C309" s="218" t="s">
        <v>4066</v>
      </c>
      <c r="D309" s="218" t="b">
        <v>1</v>
      </c>
      <c r="E309" s="219" t="b">
        <v>0</v>
      </c>
      <c r="F309" s="219" t="b">
        <v>0</v>
      </c>
      <c r="G309" s="219"/>
    </row>
    <row r="310">
      <c r="A310" s="218">
        <f t="shared" si="1"/>
        <v>309</v>
      </c>
      <c r="B310" s="218" t="s">
        <v>71</v>
      </c>
      <c r="C310" s="218" t="s">
        <v>4119</v>
      </c>
      <c r="D310" s="218" t="b">
        <v>1</v>
      </c>
      <c r="E310" s="219" t="b">
        <v>0</v>
      </c>
      <c r="F310" s="219" t="b">
        <v>0</v>
      </c>
      <c r="G310" s="219"/>
    </row>
    <row r="311">
      <c r="A311" s="218">
        <f t="shared" si="1"/>
        <v>310</v>
      </c>
      <c r="B311" s="218" t="s">
        <v>71</v>
      </c>
      <c r="C311" s="218" t="s">
        <v>4119</v>
      </c>
      <c r="D311" s="218" t="b">
        <v>1</v>
      </c>
      <c r="E311" s="219" t="b">
        <v>0</v>
      </c>
      <c r="F311" s="219" t="b">
        <v>0</v>
      </c>
      <c r="G311" s="219"/>
    </row>
    <row r="312">
      <c r="A312" s="218">
        <f t="shared" si="1"/>
        <v>311</v>
      </c>
      <c r="B312" s="218" t="s">
        <v>71</v>
      </c>
      <c r="C312" s="218" t="s">
        <v>5505</v>
      </c>
      <c r="D312" s="218" t="b">
        <v>1</v>
      </c>
      <c r="E312" s="219" t="b">
        <v>0</v>
      </c>
      <c r="F312" s="219" t="b">
        <v>0</v>
      </c>
      <c r="G312" s="219"/>
    </row>
    <row r="313">
      <c r="A313" s="218">
        <f t="shared" si="1"/>
        <v>312</v>
      </c>
      <c r="B313" s="218" t="s">
        <v>71</v>
      </c>
      <c r="C313" s="218" t="s">
        <v>2344</v>
      </c>
      <c r="D313" s="218" t="b">
        <v>1</v>
      </c>
      <c r="E313" s="219" t="b">
        <v>0</v>
      </c>
      <c r="F313" s="219" t="b">
        <v>0</v>
      </c>
      <c r="G313" s="219"/>
    </row>
    <row r="314">
      <c r="A314" s="218">
        <f t="shared" si="1"/>
        <v>313</v>
      </c>
      <c r="B314" s="218" t="s">
        <v>71</v>
      </c>
      <c r="C314" s="218" t="s">
        <v>2714</v>
      </c>
      <c r="D314" s="218" t="b">
        <v>1</v>
      </c>
      <c r="E314" s="219" t="b">
        <v>0</v>
      </c>
      <c r="F314" s="219" t="b">
        <v>0</v>
      </c>
      <c r="G314" s="219"/>
    </row>
    <row r="315">
      <c r="A315" s="218">
        <f t="shared" si="1"/>
        <v>314</v>
      </c>
      <c r="B315" s="218" t="s">
        <v>71</v>
      </c>
      <c r="C315" s="218" t="s">
        <v>2228</v>
      </c>
      <c r="D315" s="218" t="b">
        <v>1</v>
      </c>
      <c r="E315" s="219" t="b">
        <v>0</v>
      </c>
      <c r="F315" s="219" t="b">
        <v>0</v>
      </c>
      <c r="G315" s="219"/>
    </row>
    <row r="316">
      <c r="A316" s="218">
        <f t="shared" si="1"/>
        <v>315</v>
      </c>
      <c r="B316" s="218" t="s">
        <v>71</v>
      </c>
      <c r="C316" s="218" t="s">
        <v>2572</v>
      </c>
      <c r="D316" s="218" t="b">
        <v>1</v>
      </c>
      <c r="E316" s="219" t="b">
        <v>0</v>
      </c>
      <c r="F316" s="219" t="b">
        <v>0</v>
      </c>
      <c r="G316" s="219"/>
    </row>
    <row r="317">
      <c r="A317" s="218">
        <f t="shared" si="1"/>
        <v>316</v>
      </c>
      <c r="B317" s="218" t="s">
        <v>71</v>
      </c>
      <c r="C317" s="218" t="s">
        <v>2572</v>
      </c>
      <c r="D317" s="218" t="b">
        <v>1</v>
      </c>
      <c r="E317" s="219" t="b">
        <v>0</v>
      </c>
      <c r="F317" s="219" t="b">
        <v>0</v>
      </c>
      <c r="G317" s="219"/>
    </row>
    <row r="318">
      <c r="A318" s="218">
        <f t="shared" si="1"/>
        <v>317</v>
      </c>
      <c r="B318" s="218" t="s">
        <v>71</v>
      </c>
      <c r="C318" s="218" t="s">
        <v>2302</v>
      </c>
      <c r="D318" s="218" t="b">
        <v>1</v>
      </c>
      <c r="E318" s="219" t="b">
        <v>0</v>
      </c>
      <c r="F318" s="219" t="b">
        <v>0</v>
      </c>
      <c r="G318" s="219"/>
    </row>
    <row r="319">
      <c r="A319" s="218">
        <f t="shared" si="1"/>
        <v>318</v>
      </c>
      <c r="B319" s="218" t="s">
        <v>71</v>
      </c>
      <c r="C319" s="218" t="s">
        <v>3455</v>
      </c>
      <c r="D319" s="218" t="b">
        <v>1</v>
      </c>
      <c r="E319" s="219" t="b">
        <v>0</v>
      </c>
      <c r="F319" s="219" t="b">
        <v>0</v>
      </c>
      <c r="G319" s="219"/>
    </row>
    <row r="320">
      <c r="A320" s="218">
        <f t="shared" si="1"/>
        <v>319</v>
      </c>
      <c r="B320" s="218" t="s">
        <v>71</v>
      </c>
      <c r="C320" s="218" t="s">
        <v>2363</v>
      </c>
      <c r="D320" s="218" t="b">
        <v>1</v>
      </c>
      <c r="E320" s="219" t="b">
        <v>0</v>
      </c>
      <c r="F320" s="219" t="b">
        <v>0</v>
      </c>
      <c r="G320" s="219"/>
    </row>
    <row r="321">
      <c r="A321" s="218">
        <f t="shared" si="1"/>
        <v>320</v>
      </c>
      <c r="B321" s="218" t="s">
        <v>71</v>
      </c>
      <c r="C321" s="218" t="s">
        <v>3615</v>
      </c>
      <c r="D321" s="218" t="b">
        <v>1</v>
      </c>
      <c r="E321" s="219" t="b">
        <v>0</v>
      </c>
      <c r="F321" s="219" t="b">
        <v>0</v>
      </c>
      <c r="G321" s="219"/>
    </row>
    <row r="322">
      <c r="A322" s="218">
        <f t="shared" si="1"/>
        <v>321</v>
      </c>
      <c r="B322" s="218" t="s">
        <v>71</v>
      </c>
      <c r="C322" s="218" t="s">
        <v>968</v>
      </c>
      <c r="D322" s="218" t="b">
        <v>1</v>
      </c>
      <c r="E322" s="219" t="b">
        <v>0</v>
      </c>
      <c r="F322" s="219" t="b">
        <v>0</v>
      </c>
      <c r="G322" s="219"/>
    </row>
    <row r="323">
      <c r="A323" s="218">
        <f t="shared" si="1"/>
        <v>322</v>
      </c>
      <c r="B323" s="218" t="s">
        <v>71</v>
      </c>
      <c r="C323" s="218" t="s">
        <v>374</v>
      </c>
      <c r="D323" s="218" t="b">
        <v>1</v>
      </c>
      <c r="E323" s="219" t="b">
        <v>0</v>
      </c>
      <c r="F323" s="219" t="b">
        <v>0</v>
      </c>
      <c r="G323" s="219"/>
    </row>
    <row r="324">
      <c r="A324" s="218">
        <f t="shared" si="1"/>
        <v>323</v>
      </c>
      <c r="B324" s="218" t="s">
        <v>71</v>
      </c>
      <c r="C324" s="218" t="s">
        <v>6466</v>
      </c>
      <c r="D324" s="218" t="b">
        <v>1</v>
      </c>
      <c r="E324" s="219" t="b">
        <v>0</v>
      </c>
      <c r="F324" s="219" t="b">
        <v>0</v>
      </c>
      <c r="G324" s="219"/>
    </row>
    <row r="325">
      <c r="A325" s="218">
        <f t="shared" si="1"/>
        <v>324</v>
      </c>
      <c r="B325" s="218" t="s">
        <v>71</v>
      </c>
      <c r="C325" s="218" t="s">
        <v>3503</v>
      </c>
      <c r="D325" s="218" t="b">
        <v>1</v>
      </c>
      <c r="E325" s="219" t="b">
        <v>0</v>
      </c>
      <c r="F325" s="219" t="b">
        <v>0</v>
      </c>
      <c r="G325" s="219"/>
    </row>
    <row r="326">
      <c r="A326" s="218">
        <f t="shared" si="1"/>
        <v>325</v>
      </c>
      <c r="B326" s="218" t="s">
        <v>71</v>
      </c>
      <c r="C326" s="218" t="s">
        <v>1653</v>
      </c>
      <c r="D326" s="218" t="b">
        <v>1</v>
      </c>
      <c r="E326" s="219" t="b">
        <v>0</v>
      </c>
      <c r="F326" s="219" t="b">
        <v>0</v>
      </c>
      <c r="G326" s="219"/>
    </row>
    <row r="327">
      <c r="A327" s="218">
        <f t="shared" si="1"/>
        <v>326</v>
      </c>
      <c r="B327" s="218" t="s">
        <v>71</v>
      </c>
      <c r="C327" s="218" t="s">
        <v>2769</v>
      </c>
      <c r="D327" s="218" t="b">
        <v>1</v>
      </c>
      <c r="E327" s="219" t="b">
        <v>0</v>
      </c>
      <c r="F327" s="219" t="b">
        <v>0</v>
      </c>
      <c r="G327" s="219"/>
    </row>
    <row r="328">
      <c r="A328" s="218">
        <f t="shared" si="1"/>
        <v>327</v>
      </c>
      <c r="B328" s="218" t="s">
        <v>71</v>
      </c>
      <c r="C328" s="218" t="s">
        <v>5020</v>
      </c>
      <c r="D328" s="218" t="b">
        <v>1</v>
      </c>
      <c r="E328" s="219" t="b">
        <v>0</v>
      </c>
      <c r="F328" s="219" t="b">
        <v>0</v>
      </c>
      <c r="G328" s="219"/>
    </row>
    <row r="329">
      <c r="A329" s="218">
        <f t="shared" si="1"/>
        <v>328</v>
      </c>
      <c r="B329" s="218" t="s">
        <v>71</v>
      </c>
      <c r="C329" s="218" t="s">
        <v>701</v>
      </c>
      <c r="D329" s="218" t="b">
        <v>1</v>
      </c>
      <c r="E329" s="219" t="b">
        <v>0</v>
      </c>
      <c r="F329" s="219" t="b">
        <v>0</v>
      </c>
      <c r="G329" s="219"/>
    </row>
    <row r="330">
      <c r="A330" s="218">
        <f t="shared" si="1"/>
        <v>329</v>
      </c>
      <c r="B330" s="218" t="s">
        <v>71</v>
      </c>
      <c r="C330" s="218" t="s">
        <v>2903</v>
      </c>
      <c r="D330" s="218" t="b">
        <v>1</v>
      </c>
      <c r="E330" s="219" t="b">
        <v>0</v>
      </c>
      <c r="F330" s="219" t="b">
        <v>0</v>
      </c>
      <c r="G330" s="219"/>
    </row>
    <row r="331">
      <c r="A331" s="218">
        <f t="shared" si="1"/>
        <v>330</v>
      </c>
      <c r="B331" s="218" t="s">
        <v>71</v>
      </c>
      <c r="C331" s="218" t="s">
        <v>1352</v>
      </c>
      <c r="D331" s="218" t="b">
        <v>1</v>
      </c>
      <c r="E331" s="219" t="b">
        <v>0</v>
      </c>
      <c r="F331" s="219" t="b">
        <v>0</v>
      </c>
      <c r="G331" s="219"/>
    </row>
    <row r="332">
      <c r="A332" s="218">
        <f t="shared" si="1"/>
        <v>331</v>
      </c>
      <c r="B332" s="218" t="s">
        <v>71</v>
      </c>
      <c r="C332" s="218" t="s">
        <v>3231</v>
      </c>
      <c r="D332" s="218" t="b">
        <v>1</v>
      </c>
      <c r="E332" s="219" t="b">
        <v>0</v>
      </c>
      <c r="F332" s="219" t="b">
        <v>0</v>
      </c>
      <c r="G332" s="219"/>
    </row>
    <row r="333">
      <c r="A333" s="218">
        <f t="shared" si="1"/>
        <v>332</v>
      </c>
      <c r="B333" s="218" t="s">
        <v>71</v>
      </c>
      <c r="C333" s="218" t="s">
        <v>434</v>
      </c>
      <c r="D333" s="218" t="b">
        <v>1</v>
      </c>
      <c r="E333" s="219" t="b">
        <v>0</v>
      </c>
      <c r="F333" s="219" t="b">
        <v>0</v>
      </c>
      <c r="G333" s="219"/>
    </row>
    <row r="334">
      <c r="A334" s="218">
        <f t="shared" si="1"/>
        <v>333</v>
      </c>
      <c r="B334" s="218" t="s">
        <v>71</v>
      </c>
      <c r="C334" s="218" t="s">
        <v>3261</v>
      </c>
      <c r="D334" s="218" t="b">
        <v>1</v>
      </c>
      <c r="E334" s="219" t="b">
        <v>0</v>
      </c>
      <c r="F334" s="219" t="b">
        <v>0</v>
      </c>
      <c r="G334" s="219"/>
    </row>
    <row r="335">
      <c r="A335" s="218">
        <f t="shared" si="1"/>
        <v>334</v>
      </c>
      <c r="B335" s="218" t="s">
        <v>71</v>
      </c>
      <c r="C335" s="218" t="s">
        <v>2899</v>
      </c>
      <c r="D335" s="218" t="b">
        <v>1</v>
      </c>
      <c r="E335" s="219" t="b">
        <v>0</v>
      </c>
      <c r="F335" s="219" t="b">
        <v>0</v>
      </c>
      <c r="G335" s="219"/>
    </row>
    <row r="336">
      <c r="A336" s="218">
        <f t="shared" si="1"/>
        <v>335</v>
      </c>
      <c r="B336" s="218" t="s">
        <v>71</v>
      </c>
      <c r="C336" s="218" t="s">
        <v>566</v>
      </c>
      <c r="D336" s="218" t="b">
        <v>1</v>
      </c>
      <c r="E336" s="219" t="b">
        <v>0</v>
      </c>
      <c r="F336" s="219" t="b">
        <v>0</v>
      </c>
      <c r="G336" s="219"/>
    </row>
    <row r="337">
      <c r="A337" s="218">
        <f t="shared" si="1"/>
        <v>336</v>
      </c>
      <c r="B337" s="218" t="s">
        <v>71</v>
      </c>
      <c r="C337" s="218" t="s">
        <v>2311</v>
      </c>
      <c r="D337" s="218" t="b">
        <v>1</v>
      </c>
      <c r="E337" s="219" t="b">
        <v>0</v>
      </c>
      <c r="F337" s="219" t="b">
        <v>0</v>
      </c>
      <c r="G337" s="219"/>
    </row>
    <row r="338">
      <c r="A338" s="218">
        <f t="shared" si="1"/>
        <v>337</v>
      </c>
      <c r="B338" s="218" t="s">
        <v>71</v>
      </c>
      <c r="C338" s="218" t="s">
        <v>4618</v>
      </c>
      <c r="D338" s="218" t="b">
        <v>1</v>
      </c>
      <c r="E338" s="219" t="b">
        <v>0</v>
      </c>
      <c r="F338" s="219" t="b">
        <v>0</v>
      </c>
      <c r="G338" s="219"/>
    </row>
    <row r="339">
      <c r="A339" s="218">
        <f t="shared" si="1"/>
        <v>338</v>
      </c>
      <c r="B339" s="218" t="s">
        <v>71</v>
      </c>
      <c r="C339" s="218" t="s">
        <v>1223</v>
      </c>
      <c r="D339" s="218" t="b">
        <v>1</v>
      </c>
      <c r="E339" s="219" t="b">
        <v>0</v>
      </c>
      <c r="F339" s="219" t="b">
        <v>0</v>
      </c>
      <c r="G339" s="219"/>
    </row>
    <row r="340">
      <c r="A340" s="218">
        <f t="shared" si="1"/>
        <v>339</v>
      </c>
      <c r="B340" s="218" t="s">
        <v>71</v>
      </c>
      <c r="C340" s="218" t="s">
        <v>6467</v>
      </c>
      <c r="D340" s="218" t="b">
        <v>1</v>
      </c>
      <c r="E340" s="219" t="b">
        <v>0</v>
      </c>
      <c r="F340" s="219" t="b">
        <v>0</v>
      </c>
      <c r="G340" s="219"/>
    </row>
    <row r="341">
      <c r="A341" s="218">
        <f t="shared" si="1"/>
        <v>340</v>
      </c>
      <c r="B341" s="218" t="s">
        <v>71</v>
      </c>
      <c r="C341" s="218" t="s">
        <v>4543</v>
      </c>
      <c r="D341" s="218" t="b">
        <v>1</v>
      </c>
      <c r="E341" s="219" t="b">
        <v>0</v>
      </c>
      <c r="F341" s="219" t="b">
        <v>0</v>
      </c>
      <c r="G341" s="219"/>
    </row>
    <row r="342">
      <c r="A342" s="218">
        <f t="shared" si="1"/>
        <v>341</v>
      </c>
      <c r="B342" s="218" t="s">
        <v>71</v>
      </c>
      <c r="C342" s="218" t="s">
        <v>658</v>
      </c>
      <c r="D342" s="218" t="b">
        <v>1</v>
      </c>
      <c r="E342" s="219" t="b">
        <v>0</v>
      </c>
      <c r="F342" s="219" t="b">
        <v>0</v>
      </c>
      <c r="G342" s="219"/>
    </row>
    <row r="343">
      <c r="A343" s="218">
        <f t="shared" si="1"/>
        <v>342</v>
      </c>
      <c r="B343" s="218" t="s">
        <v>71</v>
      </c>
      <c r="C343" s="218" t="s">
        <v>2425</v>
      </c>
      <c r="D343" s="218" t="b">
        <v>1</v>
      </c>
      <c r="E343" s="219" t="b">
        <v>0</v>
      </c>
      <c r="F343" s="219" t="b">
        <v>0</v>
      </c>
      <c r="G343" s="219"/>
    </row>
    <row r="344">
      <c r="A344" s="218">
        <f t="shared" si="1"/>
        <v>343</v>
      </c>
      <c r="B344" s="218" t="s">
        <v>71</v>
      </c>
      <c r="C344" s="218" t="s">
        <v>3331</v>
      </c>
      <c r="D344" s="218" t="b">
        <v>1</v>
      </c>
      <c r="E344" s="219" t="b">
        <v>0</v>
      </c>
      <c r="F344" s="219" t="b">
        <v>0</v>
      </c>
      <c r="G344" s="219"/>
    </row>
    <row r="345">
      <c r="A345" s="218">
        <f t="shared" si="1"/>
        <v>344</v>
      </c>
      <c r="B345" s="218" t="s">
        <v>71</v>
      </c>
      <c r="C345" s="218" t="s">
        <v>571</v>
      </c>
      <c r="D345" s="218" t="b">
        <v>1</v>
      </c>
      <c r="E345" s="219" t="b">
        <v>0</v>
      </c>
      <c r="F345" s="219" t="b">
        <v>0</v>
      </c>
      <c r="G345" s="219"/>
    </row>
    <row r="346">
      <c r="A346" s="218">
        <f t="shared" si="1"/>
        <v>345</v>
      </c>
      <c r="B346" s="218" t="s">
        <v>71</v>
      </c>
      <c r="C346" s="218" t="s">
        <v>4072</v>
      </c>
      <c r="D346" s="218" t="b">
        <v>1</v>
      </c>
      <c r="E346" s="219" t="b">
        <v>0</v>
      </c>
      <c r="F346" s="219" t="b">
        <v>0</v>
      </c>
      <c r="G346" s="219"/>
    </row>
    <row r="347">
      <c r="A347" s="218">
        <f t="shared" si="1"/>
        <v>346</v>
      </c>
      <c r="B347" s="218" t="s">
        <v>71</v>
      </c>
      <c r="C347" s="218" t="s">
        <v>3149</v>
      </c>
      <c r="D347" s="218" t="b">
        <v>1</v>
      </c>
      <c r="E347" s="219" t="b">
        <v>0</v>
      </c>
      <c r="F347" s="219" t="b">
        <v>0</v>
      </c>
      <c r="G347" s="219"/>
    </row>
    <row r="348">
      <c r="A348" s="218">
        <f t="shared" si="1"/>
        <v>347</v>
      </c>
      <c r="B348" s="218" t="s">
        <v>71</v>
      </c>
      <c r="C348" s="218" t="s">
        <v>3861</v>
      </c>
      <c r="D348" s="218" t="b">
        <v>1</v>
      </c>
      <c r="E348" s="219" t="b">
        <v>0</v>
      </c>
      <c r="F348" s="219" t="b">
        <v>0</v>
      </c>
      <c r="G348" s="219"/>
    </row>
    <row r="349">
      <c r="A349" s="218">
        <f t="shared" si="1"/>
        <v>348</v>
      </c>
      <c r="B349" s="218" t="s">
        <v>71</v>
      </c>
      <c r="C349" s="218" t="s">
        <v>3450</v>
      </c>
      <c r="D349" s="218" t="b">
        <v>1</v>
      </c>
      <c r="E349" s="219" t="b">
        <v>0</v>
      </c>
      <c r="F349" s="219" t="b">
        <v>0</v>
      </c>
      <c r="G349" s="219"/>
    </row>
    <row r="350">
      <c r="A350" s="218">
        <f t="shared" si="1"/>
        <v>349</v>
      </c>
      <c r="B350" s="218" t="s">
        <v>71</v>
      </c>
      <c r="C350" s="218" t="s">
        <v>3192</v>
      </c>
      <c r="D350" s="218" t="b">
        <v>1</v>
      </c>
      <c r="E350" s="219" t="b">
        <v>0</v>
      </c>
      <c r="F350" s="219" t="b">
        <v>0</v>
      </c>
      <c r="G350" s="219"/>
    </row>
    <row r="351">
      <c r="A351" s="218">
        <f t="shared" si="1"/>
        <v>350</v>
      </c>
      <c r="B351" s="218" t="s">
        <v>71</v>
      </c>
      <c r="C351" s="218" t="s">
        <v>3336</v>
      </c>
      <c r="D351" s="218" t="b">
        <v>1</v>
      </c>
      <c r="E351" s="219" t="b">
        <v>0</v>
      </c>
      <c r="F351" s="219" t="b">
        <v>0</v>
      </c>
      <c r="G351" s="219"/>
    </row>
    <row r="352">
      <c r="A352" s="218">
        <f t="shared" si="1"/>
        <v>351</v>
      </c>
      <c r="B352" s="218" t="s">
        <v>71</v>
      </c>
      <c r="C352" s="218" t="s">
        <v>3144</v>
      </c>
      <c r="D352" s="218" t="b">
        <v>1</v>
      </c>
      <c r="E352" s="219" t="b">
        <v>0</v>
      </c>
      <c r="F352" s="219" t="b">
        <v>0</v>
      </c>
      <c r="G352" s="219"/>
    </row>
    <row r="353">
      <c r="A353" s="218">
        <f t="shared" si="1"/>
        <v>352</v>
      </c>
      <c r="B353" s="218" t="s">
        <v>71</v>
      </c>
      <c r="C353" s="218" t="s">
        <v>5043</v>
      </c>
      <c r="D353" s="218" t="b">
        <v>1</v>
      </c>
      <c r="E353" s="219" t="b">
        <v>0</v>
      </c>
      <c r="F353" s="219" t="b">
        <v>0</v>
      </c>
      <c r="G353" s="219"/>
    </row>
    <row r="354">
      <c r="A354" s="218">
        <f t="shared" si="1"/>
        <v>353</v>
      </c>
      <c r="B354" s="218" t="s">
        <v>71</v>
      </c>
      <c r="C354" s="218" t="s">
        <v>4128</v>
      </c>
      <c r="D354" s="218" t="b">
        <v>1</v>
      </c>
      <c r="E354" s="219" t="b">
        <v>0</v>
      </c>
      <c r="F354" s="219" t="b">
        <v>0</v>
      </c>
      <c r="G354" s="219"/>
    </row>
    <row r="355">
      <c r="A355" s="218">
        <f t="shared" si="1"/>
        <v>354</v>
      </c>
      <c r="B355" s="218" t="s">
        <v>71</v>
      </c>
      <c r="C355" s="218" t="s">
        <v>424</v>
      </c>
      <c r="D355" s="218" t="b">
        <v>1</v>
      </c>
      <c r="E355" s="219" t="b">
        <v>0</v>
      </c>
      <c r="F355" s="219" t="b">
        <v>0</v>
      </c>
      <c r="G355" s="219"/>
    </row>
    <row r="356">
      <c r="A356" s="218">
        <f t="shared" si="1"/>
        <v>355</v>
      </c>
      <c r="B356" s="218" t="s">
        <v>71</v>
      </c>
      <c r="C356" s="218" t="s">
        <v>3610</v>
      </c>
      <c r="D356" s="218" t="b">
        <v>1</v>
      </c>
      <c r="E356" s="219" t="b">
        <v>0</v>
      </c>
      <c r="F356" s="219" t="b">
        <v>0</v>
      </c>
      <c r="G356" s="219"/>
    </row>
    <row r="357">
      <c r="A357" s="218">
        <f t="shared" si="1"/>
        <v>356</v>
      </c>
      <c r="B357" s="218" t="s">
        <v>71</v>
      </c>
      <c r="C357" s="218" t="s">
        <v>1129</v>
      </c>
      <c r="D357" s="218" t="b">
        <v>1</v>
      </c>
      <c r="E357" s="219" t="b">
        <v>0</v>
      </c>
      <c r="F357" s="219" t="b">
        <v>0</v>
      </c>
      <c r="G357" s="219"/>
    </row>
    <row r="358">
      <c r="A358" s="218">
        <f t="shared" si="1"/>
        <v>357</v>
      </c>
      <c r="B358" s="218" t="s">
        <v>71</v>
      </c>
      <c r="C358" s="218" t="s">
        <v>586</v>
      </c>
      <c r="D358" s="218" t="b">
        <v>1</v>
      </c>
      <c r="E358" s="219" t="b">
        <v>0</v>
      </c>
      <c r="F358" s="219" t="b">
        <v>0</v>
      </c>
      <c r="G358" s="219"/>
    </row>
    <row r="359">
      <c r="A359" s="218">
        <f t="shared" si="1"/>
        <v>358</v>
      </c>
      <c r="B359" s="218" t="s">
        <v>71</v>
      </c>
      <c r="C359" s="218" t="s">
        <v>4540</v>
      </c>
      <c r="D359" s="218" t="b">
        <v>1</v>
      </c>
      <c r="E359" s="219" t="b">
        <v>0</v>
      </c>
      <c r="F359" s="219" t="b">
        <v>0</v>
      </c>
      <c r="G359" s="219"/>
    </row>
    <row r="360">
      <c r="A360" s="218">
        <f t="shared" si="1"/>
        <v>359</v>
      </c>
      <c r="B360" s="218" t="s">
        <v>71</v>
      </c>
      <c r="C360" s="218" t="s">
        <v>5249</v>
      </c>
      <c r="D360" s="218" t="b">
        <v>1</v>
      </c>
      <c r="E360" s="219" t="b">
        <v>0</v>
      </c>
      <c r="F360" s="219" t="b">
        <v>0</v>
      </c>
      <c r="G360" s="219"/>
    </row>
    <row r="361">
      <c r="A361" s="218">
        <f t="shared" si="1"/>
        <v>360</v>
      </c>
      <c r="B361" s="218" t="s">
        <v>71</v>
      </c>
      <c r="C361" s="218" t="s">
        <v>1059</v>
      </c>
      <c r="D361" s="218" t="b">
        <v>1</v>
      </c>
      <c r="E361" s="219" t="b">
        <v>0</v>
      </c>
      <c r="F361" s="219" t="b">
        <v>0</v>
      </c>
      <c r="G361" s="219"/>
    </row>
    <row r="362">
      <c r="A362" s="218">
        <f t="shared" si="1"/>
        <v>361</v>
      </c>
      <c r="B362" s="218" t="s">
        <v>71</v>
      </c>
      <c r="C362" s="218" t="s">
        <v>429</v>
      </c>
      <c r="D362" s="218" t="b">
        <v>1</v>
      </c>
      <c r="E362" s="219" t="b">
        <v>0</v>
      </c>
      <c r="F362" s="219" t="b">
        <v>0</v>
      </c>
      <c r="G362" s="219"/>
    </row>
    <row r="363">
      <c r="A363" s="218">
        <f t="shared" si="1"/>
        <v>362</v>
      </c>
      <c r="B363" s="218" t="s">
        <v>71</v>
      </c>
      <c r="C363" s="218" t="s">
        <v>522</v>
      </c>
      <c r="D363" s="218" t="b">
        <v>1</v>
      </c>
      <c r="E363" s="219" t="b">
        <v>0</v>
      </c>
      <c r="F363" s="219" t="b">
        <v>0</v>
      </c>
      <c r="G363" s="219"/>
    </row>
    <row r="364">
      <c r="A364" s="218">
        <f t="shared" si="1"/>
        <v>363</v>
      </c>
      <c r="B364" s="218" t="s">
        <v>71</v>
      </c>
      <c r="C364" s="218" t="s">
        <v>1026</v>
      </c>
      <c r="D364" s="218" t="b">
        <v>1</v>
      </c>
      <c r="E364" s="219" t="b">
        <v>0</v>
      </c>
      <c r="F364" s="219" t="b">
        <v>0</v>
      </c>
      <c r="G364" s="219"/>
    </row>
    <row r="365">
      <c r="A365" s="218">
        <f t="shared" si="1"/>
        <v>364</v>
      </c>
      <c r="B365" s="218" t="s">
        <v>71</v>
      </c>
      <c r="C365" s="218" t="s">
        <v>1702</v>
      </c>
      <c r="D365" s="218" t="b">
        <v>1</v>
      </c>
      <c r="E365" s="219" t="b">
        <v>0</v>
      </c>
      <c r="F365" s="219" t="b">
        <v>0</v>
      </c>
      <c r="G365" s="219"/>
    </row>
    <row r="366">
      <c r="A366" s="218">
        <f t="shared" si="1"/>
        <v>365</v>
      </c>
      <c r="B366" s="218" t="s">
        <v>71</v>
      </c>
      <c r="C366" s="218" t="s">
        <v>1835</v>
      </c>
      <c r="D366" s="218" t="b">
        <v>1</v>
      </c>
      <c r="E366" s="219" t="b">
        <v>0</v>
      </c>
      <c r="F366" s="219" t="b">
        <v>0</v>
      </c>
      <c r="G366" s="219"/>
    </row>
    <row r="367">
      <c r="A367" s="218">
        <f t="shared" si="1"/>
        <v>366</v>
      </c>
      <c r="B367" s="218" t="s">
        <v>71</v>
      </c>
      <c r="C367" s="218" t="s">
        <v>2273</v>
      </c>
      <c r="D367" s="218" t="b">
        <v>1</v>
      </c>
      <c r="E367" s="219" t="b">
        <v>0</v>
      </c>
      <c r="F367" s="219" t="b">
        <v>0</v>
      </c>
      <c r="G367" s="219"/>
    </row>
    <row r="368">
      <c r="A368" s="218">
        <f t="shared" si="1"/>
        <v>367</v>
      </c>
      <c r="B368" s="218" t="s">
        <v>71</v>
      </c>
      <c r="C368" s="218" t="s">
        <v>444</v>
      </c>
      <c r="D368" s="218" t="b">
        <v>1</v>
      </c>
      <c r="E368" s="219" t="b">
        <v>0</v>
      </c>
      <c r="F368" s="219" t="b">
        <v>0</v>
      </c>
      <c r="G368" s="219"/>
    </row>
    <row r="369">
      <c r="A369" s="218">
        <f t="shared" si="1"/>
        <v>368</v>
      </c>
      <c r="B369" s="218" t="s">
        <v>71</v>
      </c>
      <c r="C369" s="218" t="s">
        <v>5518</v>
      </c>
      <c r="D369" s="218" t="b">
        <v>1</v>
      </c>
      <c r="E369" s="219" t="b">
        <v>0</v>
      </c>
      <c r="F369" s="219" t="b">
        <v>0</v>
      </c>
      <c r="G369" s="219"/>
    </row>
    <row r="370">
      <c r="A370" s="218">
        <f t="shared" si="1"/>
        <v>369</v>
      </c>
      <c r="B370" s="218" t="s">
        <v>71</v>
      </c>
      <c r="C370" s="218" t="s">
        <v>2288</v>
      </c>
      <c r="D370" s="218" t="b">
        <v>1</v>
      </c>
      <c r="E370" s="219" t="b">
        <v>0</v>
      </c>
      <c r="F370" s="219" t="b">
        <v>0</v>
      </c>
      <c r="G370" s="219"/>
    </row>
    <row r="371">
      <c r="A371" s="218">
        <f t="shared" si="1"/>
        <v>370</v>
      </c>
      <c r="B371" s="218" t="s">
        <v>71</v>
      </c>
      <c r="C371" s="218" t="s">
        <v>1078</v>
      </c>
      <c r="D371" s="218" t="b">
        <v>1</v>
      </c>
      <c r="E371" s="219" t="b">
        <v>0</v>
      </c>
      <c r="F371" s="219" t="b">
        <v>0</v>
      </c>
      <c r="G371" s="219"/>
    </row>
    <row r="372">
      <c r="A372" s="218">
        <f t="shared" si="1"/>
        <v>371</v>
      </c>
      <c r="B372" s="218" t="s">
        <v>71</v>
      </c>
      <c r="C372" s="218" t="s">
        <v>473</v>
      </c>
      <c r="D372" s="218" t="b">
        <v>1</v>
      </c>
      <c r="E372" s="219" t="b">
        <v>0</v>
      </c>
      <c r="F372" s="219" t="b">
        <v>0</v>
      </c>
      <c r="G372" s="219"/>
    </row>
    <row r="373">
      <c r="A373" s="218">
        <f t="shared" si="1"/>
        <v>372</v>
      </c>
      <c r="B373" s="218" t="s">
        <v>71</v>
      </c>
      <c r="C373" s="218" t="s">
        <v>870</v>
      </c>
      <c r="D373" s="218" t="b">
        <v>1</v>
      </c>
      <c r="E373" s="219" t="b">
        <v>0</v>
      </c>
      <c r="F373" s="219" t="b">
        <v>0</v>
      </c>
      <c r="G373" s="219"/>
    </row>
    <row r="374">
      <c r="A374" s="218">
        <f t="shared" si="1"/>
        <v>373</v>
      </c>
      <c r="B374" s="218" t="s">
        <v>71</v>
      </c>
      <c r="C374" s="218" t="s">
        <v>3112</v>
      </c>
      <c r="D374" s="218" t="b">
        <v>1</v>
      </c>
      <c r="E374" s="219" t="b">
        <v>0</v>
      </c>
      <c r="F374" s="219" t="b">
        <v>0</v>
      </c>
      <c r="G374" s="219"/>
    </row>
    <row r="375">
      <c r="A375" s="218">
        <f t="shared" si="1"/>
        <v>374</v>
      </c>
      <c r="B375" s="218" t="s">
        <v>71</v>
      </c>
      <c r="C375" s="218" t="s">
        <v>3078</v>
      </c>
      <c r="D375" s="218" t="b">
        <v>1</v>
      </c>
      <c r="E375" s="219" t="b">
        <v>0</v>
      </c>
      <c r="F375" s="219" t="b">
        <v>0</v>
      </c>
      <c r="G375" s="219"/>
    </row>
    <row r="376">
      <c r="A376" s="218">
        <f t="shared" si="1"/>
        <v>375</v>
      </c>
      <c r="B376" s="218" t="s">
        <v>71</v>
      </c>
      <c r="C376" s="218" t="s">
        <v>499</v>
      </c>
      <c r="D376" s="218" t="b">
        <v>1</v>
      </c>
      <c r="E376" s="219" t="b">
        <v>0</v>
      </c>
      <c r="F376" s="219" t="b">
        <v>0</v>
      </c>
      <c r="G376" s="219"/>
    </row>
    <row r="377">
      <c r="A377" s="218">
        <f t="shared" si="1"/>
        <v>376</v>
      </c>
      <c r="B377" s="218" t="s">
        <v>71</v>
      </c>
      <c r="C377" s="218" t="s">
        <v>5106</v>
      </c>
      <c r="D377" s="218" t="b">
        <v>1</v>
      </c>
      <c r="E377" s="219" t="b">
        <v>0</v>
      </c>
      <c r="F377" s="219" t="b">
        <v>0</v>
      </c>
      <c r="G377" s="219"/>
    </row>
    <row r="378">
      <c r="A378" s="218">
        <f t="shared" si="1"/>
        <v>377</v>
      </c>
      <c r="B378" s="218" t="s">
        <v>71</v>
      </c>
      <c r="C378" s="218" t="s">
        <v>4463</v>
      </c>
      <c r="D378" s="218" t="b">
        <v>1</v>
      </c>
      <c r="E378" s="219" t="b">
        <v>0</v>
      </c>
      <c r="F378" s="219" t="b">
        <v>0</v>
      </c>
      <c r="G378" s="219"/>
    </row>
    <row r="379">
      <c r="A379" s="218">
        <f t="shared" si="1"/>
        <v>378</v>
      </c>
      <c r="B379" s="218" t="s">
        <v>71</v>
      </c>
      <c r="C379" s="218" t="s">
        <v>909</v>
      </c>
      <c r="D379" s="218" t="b">
        <v>1</v>
      </c>
      <c r="E379" s="219" t="b">
        <v>0</v>
      </c>
      <c r="F379" s="219" t="b">
        <v>0</v>
      </c>
      <c r="G379" s="219"/>
    </row>
    <row r="380">
      <c r="A380" s="218">
        <f t="shared" si="1"/>
        <v>379</v>
      </c>
      <c r="B380" s="218" t="s">
        <v>71</v>
      </c>
      <c r="C380" s="218" t="s">
        <v>808</v>
      </c>
      <c r="D380" s="218" t="b">
        <v>1</v>
      </c>
      <c r="E380" s="219" t="b">
        <v>0</v>
      </c>
      <c r="F380" s="219" t="b">
        <v>0</v>
      </c>
      <c r="G380" s="219"/>
    </row>
    <row r="381">
      <c r="A381" s="218">
        <f t="shared" si="1"/>
        <v>380</v>
      </c>
      <c r="B381" s="218" t="s">
        <v>71</v>
      </c>
      <c r="C381" s="218" t="s">
        <v>2278</v>
      </c>
      <c r="D381" s="218" t="b">
        <v>1</v>
      </c>
      <c r="E381" s="219" t="b">
        <v>0</v>
      </c>
      <c r="F381" s="219" t="b">
        <v>0</v>
      </c>
      <c r="G381" s="219"/>
    </row>
    <row r="382">
      <c r="A382" s="218">
        <f t="shared" si="1"/>
        <v>381</v>
      </c>
      <c r="B382" s="218" t="s">
        <v>71</v>
      </c>
      <c r="C382" s="218" t="s">
        <v>581</v>
      </c>
      <c r="D382" s="218" t="b">
        <v>1</v>
      </c>
      <c r="E382" s="219" t="b">
        <v>0</v>
      </c>
      <c r="F382" s="219" t="b">
        <v>0</v>
      </c>
      <c r="G382" s="219"/>
    </row>
    <row r="383">
      <c r="A383" s="218">
        <f t="shared" si="1"/>
        <v>382</v>
      </c>
      <c r="B383" s="218" t="s">
        <v>71</v>
      </c>
      <c r="C383" s="218" t="s">
        <v>3465</v>
      </c>
      <c r="D383" s="218" t="b">
        <v>1</v>
      </c>
      <c r="E383" s="219" t="b">
        <v>0</v>
      </c>
      <c r="F383" s="219" t="b">
        <v>0</v>
      </c>
      <c r="G383" s="219"/>
    </row>
    <row r="384">
      <c r="A384" s="218">
        <f t="shared" si="1"/>
        <v>383</v>
      </c>
      <c r="B384" s="218" t="s">
        <v>71</v>
      </c>
      <c r="C384" s="218" t="s">
        <v>394</v>
      </c>
      <c r="D384" s="218" t="b">
        <v>1</v>
      </c>
      <c r="E384" s="219" t="b">
        <v>0</v>
      </c>
      <c r="F384" s="219" t="b">
        <v>0</v>
      </c>
      <c r="G384" s="219"/>
    </row>
    <row r="385">
      <c r="A385" s="218">
        <f t="shared" si="1"/>
        <v>384</v>
      </c>
      <c r="B385" s="218" t="s">
        <v>71</v>
      </c>
      <c r="C385" s="218" t="s">
        <v>414</v>
      </c>
      <c r="D385" s="218" t="b">
        <v>1</v>
      </c>
      <c r="E385" s="219" t="b">
        <v>0</v>
      </c>
      <c r="F385" s="219" t="b">
        <v>0</v>
      </c>
      <c r="G385" s="219"/>
    </row>
    <row r="386">
      <c r="A386" s="218">
        <f t="shared" si="1"/>
        <v>385</v>
      </c>
      <c r="B386" s="218" t="s">
        <v>71</v>
      </c>
      <c r="C386" s="218" t="s">
        <v>3489</v>
      </c>
      <c r="D386" s="218" t="b">
        <v>1</v>
      </c>
      <c r="E386" s="219" t="b">
        <v>0</v>
      </c>
      <c r="F386" s="219" t="b">
        <v>0</v>
      </c>
      <c r="G386" s="219"/>
    </row>
    <row r="387">
      <c r="A387" s="218">
        <f t="shared" si="1"/>
        <v>386</v>
      </c>
      <c r="B387" s="218" t="s">
        <v>71</v>
      </c>
      <c r="C387" s="218" t="s">
        <v>3508</v>
      </c>
      <c r="D387" s="218" t="b">
        <v>1</v>
      </c>
      <c r="E387" s="219" t="b">
        <v>0</v>
      </c>
      <c r="F387" s="219" t="b">
        <v>0</v>
      </c>
      <c r="G387" s="219"/>
    </row>
    <row r="388">
      <c r="A388" s="218">
        <f t="shared" si="1"/>
        <v>387</v>
      </c>
      <c r="B388" s="218" t="s">
        <v>71</v>
      </c>
      <c r="C388" s="218" t="s">
        <v>1852</v>
      </c>
      <c r="D388" s="218" t="b">
        <v>1</v>
      </c>
      <c r="E388" s="219" t="b">
        <v>0</v>
      </c>
      <c r="F388" s="219" t="b">
        <v>0</v>
      </c>
      <c r="G388" s="219"/>
    </row>
    <row r="389">
      <c r="A389" s="218">
        <f t="shared" si="1"/>
        <v>388</v>
      </c>
      <c r="B389" s="218" t="s">
        <v>71</v>
      </c>
      <c r="C389" s="218" t="s">
        <v>726</v>
      </c>
      <c r="D389" s="218" t="b">
        <v>1</v>
      </c>
      <c r="E389" s="219" t="b">
        <v>0</v>
      </c>
      <c r="F389" s="219" t="b">
        <v>0</v>
      </c>
      <c r="G389" s="219"/>
    </row>
    <row r="390">
      <c r="A390" s="218">
        <f t="shared" si="1"/>
        <v>389</v>
      </c>
      <c r="B390" s="218" t="s">
        <v>71</v>
      </c>
      <c r="C390" s="218" t="s">
        <v>3298</v>
      </c>
      <c r="D390" s="218" t="b">
        <v>1</v>
      </c>
      <c r="E390" s="219" t="b">
        <v>0</v>
      </c>
      <c r="F390" s="219" t="b">
        <v>0</v>
      </c>
      <c r="G390" s="219"/>
    </row>
    <row r="391">
      <c r="A391" s="218">
        <f t="shared" si="1"/>
        <v>390</v>
      </c>
      <c r="B391" s="218" t="s">
        <v>71</v>
      </c>
      <c r="C391" s="218" t="s">
        <v>512</v>
      </c>
      <c r="D391" s="218" t="b">
        <v>1</v>
      </c>
      <c r="E391" s="219" t="b">
        <v>0</v>
      </c>
      <c r="F391" s="219" t="b">
        <v>0</v>
      </c>
      <c r="G391" s="219"/>
    </row>
    <row r="392">
      <c r="A392" s="218">
        <f t="shared" si="1"/>
        <v>391</v>
      </c>
      <c r="B392" s="218" t="s">
        <v>71</v>
      </c>
      <c r="C392" s="218" t="s">
        <v>458</v>
      </c>
      <c r="D392" s="218" t="b">
        <v>1</v>
      </c>
      <c r="E392" s="219" t="b">
        <v>0</v>
      </c>
      <c r="F392" s="219" t="b">
        <v>0</v>
      </c>
      <c r="G392" s="219"/>
    </row>
    <row r="393">
      <c r="A393" s="218">
        <f t="shared" si="1"/>
        <v>392</v>
      </c>
      <c r="B393" s="218" t="s">
        <v>71</v>
      </c>
      <c r="C393" s="218" t="s">
        <v>3117</v>
      </c>
      <c r="D393" s="218" t="b">
        <v>1</v>
      </c>
      <c r="E393" s="219" t="b">
        <v>0</v>
      </c>
      <c r="F393" s="219" t="b">
        <v>0</v>
      </c>
      <c r="G393" s="219"/>
    </row>
    <row r="394">
      <c r="A394" s="218">
        <f t="shared" si="1"/>
        <v>393</v>
      </c>
      <c r="B394" s="218" t="s">
        <v>71</v>
      </c>
      <c r="C394" s="218" t="s">
        <v>2975</v>
      </c>
      <c r="D394" s="218" t="b">
        <v>1</v>
      </c>
      <c r="E394" s="219" t="b">
        <v>0</v>
      </c>
      <c r="F394" s="219" t="b">
        <v>0</v>
      </c>
      <c r="G394" s="219"/>
    </row>
    <row r="395">
      <c r="A395" s="218">
        <f t="shared" si="1"/>
        <v>394</v>
      </c>
      <c r="B395" s="218" t="s">
        <v>71</v>
      </c>
      <c r="C395" s="218" t="s">
        <v>1716</v>
      </c>
      <c r="D395" s="218" t="b">
        <v>1</v>
      </c>
      <c r="E395" s="219" t="b">
        <v>0</v>
      </c>
      <c r="F395" s="219" t="b">
        <v>0</v>
      </c>
      <c r="G395" s="219"/>
    </row>
    <row r="396">
      <c r="A396" s="218">
        <f t="shared" si="1"/>
        <v>395</v>
      </c>
      <c r="B396" s="218" t="s">
        <v>71</v>
      </c>
      <c r="C396" s="218" t="s">
        <v>552</v>
      </c>
      <c r="D396" s="218" t="b">
        <v>1</v>
      </c>
      <c r="E396" s="219" t="b">
        <v>0</v>
      </c>
      <c r="F396" s="219" t="b">
        <v>0</v>
      </c>
      <c r="G396" s="219"/>
    </row>
    <row r="397">
      <c r="A397" s="218">
        <f t="shared" si="1"/>
        <v>396</v>
      </c>
      <c r="B397" s="218" t="s">
        <v>71</v>
      </c>
      <c r="C397" s="218" t="s">
        <v>3356</v>
      </c>
      <c r="D397" s="218" t="b">
        <v>1</v>
      </c>
      <c r="E397" s="219" t="b">
        <v>0</v>
      </c>
      <c r="F397" s="219" t="b">
        <v>0</v>
      </c>
      <c r="G397" s="219"/>
    </row>
    <row r="398">
      <c r="A398" s="218">
        <f t="shared" si="1"/>
        <v>397</v>
      </c>
      <c r="B398" s="218" t="s">
        <v>71</v>
      </c>
      <c r="C398" s="218" t="s">
        <v>1335</v>
      </c>
      <c r="D398" s="218" t="b">
        <v>1</v>
      </c>
      <c r="E398" s="219" t="b">
        <v>0</v>
      </c>
      <c r="F398" s="219" t="b">
        <v>0</v>
      </c>
      <c r="G398" s="219"/>
    </row>
    <row r="399">
      <c r="A399" s="218">
        <f t="shared" si="1"/>
        <v>398</v>
      </c>
      <c r="B399" s="218" t="s">
        <v>71</v>
      </c>
      <c r="C399" s="218" t="s">
        <v>2410</v>
      </c>
      <c r="D399" s="218" t="b">
        <v>1</v>
      </c>
      <c r="E399" s="219" t="b">
        <v>0</v>
      </c>
      <c r="F399" s="219" t="b">
        <v>0</v>
      </c>
      <c r="G399" s="219"/>
    </row>
    <row r="400">
      <c r="A400" s="218">
        <f t="shared" si="1"/>
        <v>399</v>
      </c>
      <c r="B400" s="218" t="s">
        <v>71</v>
      </c>
      <c r="C400" s="218" t="s">
        <v>3251</v>
      </c>
      <c r="D400" s="218" t="b">
        <v>1</v>
      </c>
      <c r="E400" s="219" t="b">
        <v>0</v>
      </c>
      <c r="F400" s="219" t="b">
        <v>0</v>
      </c>
      <c r="G400" s="219"/>
    </row>
    <row r="401">
      <c r="A401" s="218">
        <f t="shared" si="1"/>
        <v>400</v>
      </c>
      <c r="B401" s="218" t="s">
        <v>71</v>
      </c>
      <c r="C401" s="218" t="s">
        <v>5163</v>
      </c>
      <c r="D401" s="218" t="b">
        <v>1</v>
      </c>
      <c r="E401" s="219" t="b">
        <v>0</v>
      </c>
      <c r="F401" s="219" t="b">
        <v>0</v>
      </c>
      <c r="G401" s="219"/>
    </row>
    <row r="402">
      <c r="A402" s="218">
        <f t="shared" si="1"/>
        <v>401</v>
      </c>
      <c r="B402" s="218" t="s">
        <v>71</v>
      </c>
      <c r="C402" s="218" t="s">
        <v>5002</v>
      </c>
      <c r="D402" s="218" t="b">
        <v>1</v>
      </c>
      <c r="E402" s="219" t="b">
        <v>0</v>
      </c>
      <c r="F402" s="219" t="b">
        <v>0</v>
      </c>
      <c r="G402" s="219"/>
    </row>
    <row r="403">
      <c r="A403" s="218">
        <f t="shared" si="1"/>
        <v>402</v>
      </c>
      <c r="B403" s="218" t="s">
        <v>71</v>
      </c>
      <c r="C403" s="218" t="s">
        <v>828</v>
      </c>
      <c r="D403" s="218" t="b">
        <v>1</v>
      </c>
      <c r="E403" s="219" t="b">
        <v>0</v>
      </c>
      <c r="F403" s="219" t="b">
        <v>0</v>
      </c>
      <c r="G403" s="219"/>
    </row>
    <row r="404">
      <c r="A404" s="218">
        <f t="shared" si="1"/>
        <v>403</v>
      </c>
      <c r="B404" s="218" t="s">
        <v>71</v>
      </c>
      <c r="C404" s="218" t="s">
        <v>5338</v>
      </c>
      <c r="D404" s="218" t="b">
        <v>1</v>
      </c>
      <c r="E404" s="219" t="b">
        <v>0</v>
      </c>
      <c r="F404" s="219" t="b">
        <v>0</v>
      </c>
      <c r="G404" s="219"/>
    </row>
    <row r="405">
      <c r="A405" s="218">
        <f t="shared" si="1"/>
        <v>404</v>
      </c>
      <c r="B405" s="218" t="s">
        <v>71</v>
      </c>
      <c r="C405" s="218" t="s">
        <v>5421</v>
      </c>
      <c r="D405" s="218" t="b">
        <v>1</v>
      </c>
      <c r="E405" s="219" t="b">
        <v>0</v>
      </c>
      <c r="F405" s="219" t="b">
        <v>0</v>
      </c>
      <c r="G405" s="219"/>
    </row>
    <row r="406">
      <c r="A406" s="218">
        <f t="shared" si="1"/>
        <v>405</v>
      </c>
      <c r="B406" s="218" t="s">
        <v>71</v>
      </c>
      <c r="C406" s="218" t="s">
        <v>3596</v>
      </c>
      <c r="D406" s="218" t="b">
        <v>1</v>
      </c>
      <c r="E406" s="219" t="b">
        <v>0</v>
      </c>
      <c r="F406" s="219" t="b">
        <v>0</v>
      </c>
      <c r="G406" s="219"/>
    </row>
    <row r="407">
      <c r="A407" s="218">
        <f t="shared" si="1"/>
        <v>406</v>
      </c>
      <c r="B407" s="218" t="s">
        <v>71</v>
      </c>
      <c r="C407" s="218" t="s">
        <v>1101</v>
      </c>
      <c r="D407" s="218" t="b">
        <v>1</v>
      </c>
      <c r="E407" s="219" t="b">
        <v>0</v>
      </c>
      <c r="F407" s="219" t="b">
        <v>0</v>
      </c>
      <c r="G407" s="219"/>
    </row>
    <row r="408">
      <c r="A408" s="218">
        <f t="shared" si="1"/>
        <v>407</v>
      </c>
      <c r="B408" s="218" t="s">
        <v>71</v>
      </c>
      <c r="C408" s="218" t="s">
        <v>2680</v>
      </c>
      <c r="D408" s="218" t="b">
        <v>1</v>
      </c>
      <c r="E408" s="219" t="b">
        <v>0</v>
      </c>
      <c r="F408" s="219" t="b">
        <v>0</v>
      </c>
      <c r="G408" s="219"/>
    </row>
    <row r="409">
      <c r="A409" s="218">
        <f t="shared" si="1"/>
        <v>408</v>
      </c>
      <c r="B409" s="218" t="s">
        <v>71</v>
      </c>
      <c r="C409" s="218" t="s">
        <v>4165</v>
      </c>
      <c r="D409" s="218" t="b">
        <v>1</v>
      </c>
      <c r="E409" s="219" t="b">
        <v>0</v>
      </c>
      <c r="F409" s="219" t="b">
        <v>0</v>
      </c>
      <c r="G409" s="219"/>
    </row>
    <row r="410">
      <c r="A410" s="218">
        <f t="shared" si="1"/>
        <v>409</v>
      </c>
      <c r="B410" s="218" t="s">
        <v>71</v>
      </c>
      <c r="C410" s="218" t="s">
        <v>2218</v>
      </c>
      <c r="D410" s="218" t="b">
        <v>1</v>
      </c>
      <c r="E410" s="219" t="b">
        <v>0</v>
      </c>
      <c r="F410" s="219" t="b">
        <v>0</v>
      </c>
      <c r="G410" s="219"/>
    </row>
    <row r="411">
      <c r="A411" s="218">
        <f t="shared" si="1"/>
        <v>410</v>
      </c>
      <c r="B411" s="218" t="s">
        <v>71</v>
      </c>
      <c r="C411" s="218" t="s">
        <v>4278</v>
      </c>
      <c r="D411" s="218" t="b">
        <v>1</v>
      </c>
      <c r="E411" s="219" t="b">
        <v>0</v>
      </c>
      <c r="F411" s="219" t="b">
        <v>0</v>
      </c>
      <c r="G411" s="219"/>
    </row>
    <row r="412">
      <c r="A412" s="218">
        <f t="shared" si="1"/>
        <v>411</v>
      </c>
      <c r="B412" s="218" t="s">
        <v>71</v>
      </c>
      <c r="C412" s="218" t="s">
        <v>711</v>
      </c>
      <c r="D412" s="218" t="b">
        <v>1</v>
      </c>
      <c r="E412" s="219" t="b">
        <v>0</v>
      </c>
      <c r="F412" s="219" t="b">
        <v>0</v>
      </c>
      <c r="G412" s="219"/>
    </row>
    <row r="413">
      <c r="A413" s="218">
        <f t="shared" si="1"/>
        <v>412</v>
      </c>
      <c r="B413" s="218" t="s">
        <v>71</v>
      </c>
      <c r="C413" s="218" t="s">
        <v>2233</v>
      </c>
      <c r="D413" s="218" t="b">
        <v>1</v>
      </c>
      <c r="E413" s="219" t="b">
        <v>0</v>
      </c>
      <c r="F413" s="219" t="b">
        <v>0</v>
      </c>
      <c r="G413" s="219"/>
    </row>
    <row r="414">
      <c r="A414" s="218">
        <f t="shared" si="1"/>
        <v>413</v>
      </c>
      <c r="B414" s="218" t="s">
        <v>71</v>
      </c>
      <c r="C414" s="218" t="s">
        <v>5488</v>
      </c>
      <c r="D414" s="218" t="b">
        <v>1</v>
      </c>
      <c r="E414" s="219" t="b">
        <v>0</v>
      </c>
      <c r="F414" s="219" t="b">
        <v>0</v>
      </c>
      <c r="G414" s="219"/>
    </row>
    <row r="415">
      <c r="A415" s="218">
        <f t="shared" si="1"/>
        <v>414</v>
      </c>
      <c r="B415" s="218" t="s">
        <v>71</v>
      </c>
      <c r="C415" s="218" t="s">
        <v>2049</v>
      </c>
      <c r="D415" s="218" t="b">
        <v>1</v>
      </c>
      <c r="E415" s="219" t="b">
        <v>0</v>
      </c>
      <c r="F415" s="219" t="b">
        <v>0</v>
      </c>
      <c r="G415" s="219"/>
    </row>
    <row r="416">
      <c r="A416" s="218">
        <f t="shared" si="1"/>
        <v>415</v>
      </c>
      <c r="B416" s="218" t="s">
        <v>71</v>
      </c>
      <c r="C416" s="218" t="s">
        <v>3563</v>
      </c>
      <c r="D416" s="218" t="b">
        <v>1</v>
      </c>
      <c r="E416" s="219" t="b">
        <v>0</v>
      </c>
      <c r="F416" s="219" t="b">
        <v>0</v>
      </c>
      <c r="G416" s="219"/>
    </row>
    <row r="417">
      <c r="A417" s="218">
        <f t="shared" si="1"/>
        <v>416</v>
      </c>
      <c r="B417" s="218" t="s">
        <v>71</v>
      </c>
      <c r="C417" s="218" t="s">
        <v>4177</v>
      </c>
      <c r="D417" s="218" t="b">
        <v>1</v>
      </c>
      <c r="E417" s="219" t="b">
        <v>0</v>
      </c>
      <c r="F417" s="219" t="b">
        <v>0</v>
      </c>
      <c r="G417" s="219"/>
    </row>
    <row r="418">
      <c r="A418" s="218">
        <f t="shared" si="1"/>
        <v>417</v>
      </c>
      <c r="B418" s="218" t="s">
        <v>71</v>
      </c>
      <c r="C418" s="218" t="s">
        <v>4051</v>
      </c>
      <c r="D418" s="218" t="b">
        <v>1</v>
      </c>
      <c r="E418" s="219" t="b">
        <v>0</v>
      </c>
      <c r="F418" s="219" t="b">
        <v>0</v>
      </c>
      <c r="G418" s="219"/>
    </row>
    <row r="419">
      <c r="A419" s="218">
        <f t="shared" si="1"/>
        <v>418</v>
      </c>
      <c r="B419" s="218" t="s">
        <v>71</v>
      </c>
      <c r="C419" s="218" t="s">
        <v>3513</v>
      </c>
      <c r="D419" s="218" t="b">
        <v>1</v>
      </c>
      <c r="E419" s="219" t="b">
        <v>0</v>
      </c>
      <c r="F419" s="219" t="b">
        <v>0</v>
      </c>
      <c r="G419" s="219"/>
    </row>
    <row r="420">
      <c r="A420" s="218">
        <f t="shared" si="1"/>
        <v>419</v>
      </c>
      <c r="B420" s="218" t="s">
        <v>71</v>
      </c>
      <c r="C420" s="218" t="s">
        <v>2549</v>
      </c>
      <c r="D420" s="218" t="b">
        <v>1</v>
      </c>
      <c r="E420" s="219" t="b">
        <v>0</v>
      </c>
      <c r="F420" s="219" t="b">
        <v>0</v>
      </c>
      <c r="G420" s="219"/>
    </row>
    <row r="421">
      <c r="A421" s="218">
        <f t="shared" si="1"/>
        <v>420</v>
      </c>
      <c r="B421" s="218" t="s">
        <v>71</v>
      </c>
      <c r="C421" s="218" t="s">
        <v>860</v>
      </c>
      <c r="D421" s="218" t="b">
        <v>1</v>
      </c>
      <c r="E421" s="219" t="b">
        <v>0</v>
      </c>
      <c r="F421" s="219" t="b">
        <v>0</v>
      </c>
      <c r="G421" s="219"/>
    </row>
    <row r="422">
      <c r="A422" s="218">
        <f t="shared" si="1"/>
        <v>421</v>
      </c>
      <c r="B422" s="218" t="s">
        <v>71</v>
      </c>
      <c r="C422" s="218" t="s">
        <v>614</v>
      </c>
      <c r="D422" s="218" t="b">
        <v>1</v>
      </c>
      <c r="E422" s="219" t="b">
        <v>0</v>
      </c>
      <c r="F422" s="219" t="b">
        <v>0</v>
      </c>
      <c r="G422" s="219"/>
    </row>
    <row r="423">
      <c r="A423" s="218">
        <f t="shared" si="1"/>
        <v>422</v>
      </c>
      <c r="B423" s="218" t="s">
        <v>71</v>
      </c>
      <c r="C423" s="218" t="s">
        <v>2521</v>
      </c>
      <c r="D423" s="218" t="b">
        <v>1</v>
      </c>
      <c r="E423" s="219" t="b">
        <v>0</v>
      </c>
      <c r="F423" s="219" t="b">
        <v>0</v>
      </c>
      <c r="G423" s="219"/>
    </row>
    <row r="424">
      <c r="A424" s="218">
        <f t="shared" si="1"/>
        <v>423</v>
      </c>
      <c r="B424" s="218" t="s">
        <v>71</v>
      </c>
      <c r="C424" s="218" t="s">
        <v>756</v>
      </c>
      <c r="D424" s="218" t="b">
        <v>1</v>
      </c>
      <c r="E424" s="219" t="b">
        <v>0</v>
      </c>
      <c r="F424" s="219" t="b">
        <v>0</v>
      </c>
      <c r="G424" s="219"/>
    </row>
    <row r="425">
      <c r="A425" s="218">
        <f t="shared" si="1"/>
        <v>424</v>
      </c>
      <c r="B425" s="218" t="s">
        <v>71</v>
      </c>
      <c r="C425" s="218" t="s">
        <v>4046</v>
      </c>
      <c r="D425" s="218" t="b">
        <v>1</v>
      </c>
      <c r="E425" s="219" t="b">
        <v>0</v>
      </c>
      <c r="F425" s="219" t="b">
        <v>0</v>
      </c>
      <c r="G425" s="219"/>
    </row>
    <row r="426">
      <c r="A426" s="218">
        <f t="shared" si="1"/>
        <v>425</v>
      </c>
      <c r="B426" s="218" t="s">
        <v>71</v>
      </c>
      <c r="C426" s="218" t="s">
        <v>4605</v>
      </c>
      <c r="D426" s="218" t="b">
        <v>1</v>
      </c>
      <c r="E426" s="219" t="b">
        <v>0</v>
      </c>
      <c r="F426" s="219" t="b">
        <v>0</v>
      </c>
      <c r="G426" s="219"/>
    </row>
    <row r="427">
      <c r="A427" s="218">
        <f t="shared" si="1"/>
        <v>426</v>
      </c>
      <c r="B427" s="218" t="s">
        <v>71</v>
      </c>
      <c r="C427" s="218" t="s">
        <v>4413</v>
      </c>
      <c r="D427" s="218" t="b">
        <v>1</v>
      </c>
      <c r="E427" s="219" t="b">
        <v>0</v>
      </c>
      <c r="F427" s="219" t="b">
        <v>0</v>
      </c>
      <c r="G427" s="219"/>
    </row>
    <row r="428">
      <c r="A428" s="218">
        <f t="shared" si="1"/>
        <v>427</v>
      </c>
      <c r="B428" s="218" t="s">
        <v>71</v>
      </c>
      <c r="C428" s="218" t="s">
        <v>5463</v>
      </c>
      <c r="D428" s="218" t="b">
        <v>1</v>
      </c>
      <c r="E428" s="219" t="b">
        <v>0</v>
      </c>
      <c r="F428" s="219" t="b">
        <v>0</v>
      </c>
      <c r="G428" s="219"/>
    </row>
    <row r="429">
      <c r="A429" s="218">
        <f t="shared" si="1"/>
        <v>428</v>
      </c>
      <c r="B429" s="218" t="s">
        <v>71</v>
      </c>
      <c r="C429" s="218" t="s">
        <v>2141</v>
      </c>
      <c r="D429" s="218" t="b">
        <v>1</v>
      </c>
      <c r="E429" s="219" t="b">
        <v>0</v>
      </c>
      <c r="F429" s="219" t="b">
        <v>0</v>
      </c>
      <c r="G429" s="219"/>
    </row>
    <row r="430">
      <c r="A430" s="218">
        <f t="shared" si="1"/>
        <v>429</v>
      </c>
      <c r="B430" s="218" t="s">
        <v>71</v>
      </c>
      <c r="C430" s="218" t="s">
        <v>3099</v>
      </c>
      <c r="D430" s="218" t="b">
        <v>1</v>
      </c>
      <c r="E430" s="219" t="b">
        <v>0</v>
      </c>
      <c r="F430" s="219" t="b">
        <v>0</v>
      </c>
      <c r="G430" s="219"/>
    </row>
    <row r="431">
      <c r="A431" s="218">
        <f t="shared" si="1"/>
        <v>430</v>
      </c>
      <c r="B431" s="218" t="s">
        <v>71</v>
      </c>
      <c r="C431" s="218" t="s">
        <v>3221</v>
      </c>
      <c r="D431" s="218" t="b">
        <v>1</v>
      </c>
      <c r="E431" s="219" t="b">
        <v>0</v>
      </c>
      <c r="F431" s="219" t="b">
        <v>0</v>
      </c>
      <c r="G431" s="219"/>
    </row>
    <row r="432">
      <c r="A432" s="218">
        <f t="shared" si="1"/>
        <v>431</v>
      </c>
      <c r="B432" s="218" t="s">
        <v>71</v>
      </c>
      <c r="C432" s="218" t="s">
        <v>547</v>
      </c>
      <c r="D432" s="218" t="b">
        <v>1</v>
      </c>
      <c r="E432" s="219" t="b">
        <v>0</v>
      </c>
      <c r="F432" s="219" t="b">
        <v>0</v>
      </c>
      <c r="G432" s="219"/>
    </row>
    <row r="433">
      <c r="A433" s="218">
        <f t="shared" si="1"/>
        <v>432</v>
      </c>
      <c r="B433" s="218" t="s">
        <v>71</v>
      </c>
      <c r="C433" s="218" t="s">
        <v>2642</v>
      </c>
      <c r="D433" s="218" t="b">
        <v>1</v>
      </c>
      <c r="E433" s="219" t="b">
        <v>0</v>
      </c>
      <c r="F433" s="219" t="b">
        <v>0</v>
      </c>
      <c r="G433" s="219"/>
    </row>
    <row r="434">
      <c r="A434" s="218">
        <f t="shared" si="1"/>
        <v>433</v>
      </c>
      <c r="B434" s="218" t="s">
        <v>71</v>
      </c>
      <c r="C434" s="218" t="s">
        <v>2405</v>
      </c>
      <c r="D434" s="218" t="b">
        <v>1</v>
      </c>
      <c r="E434" s="219" t="b">
        <v>0</v>
      </c>
      <c r="F434" s="219" t="b">
        <v>0</v>
      </c>
      <c r="G434" s="219"/>
    </row>
    <row r="435">
      <c r="A435" s="218">
        <f t="shared" si="1"/>
        <v>434</v>
      </c>
      <c r="B435" s="218" t="s">
        <v>71</v>
      </c>
      <c r="C435" s="218" t="s">
        <v>5333</v>
      </c>
      <c r="D435" s="218" t="b">
        <v>1</v>
      </c>
      <c r="E435" s="219" t="b">
        <v>0</v>
      </c>
      <c r="F435" s="219" t="b">
        <v>0</v>
      </c>
      <c r="G435" s="219"/>
    </row>
    <row r="436">
      <c r="A436" s="218">
        <f t="shared" si="1"/>
        <v>435</v>
      </c>
      <c r="B436" s="218" t="s">
        <v>71</v>
      </c>
      <c r="C436" s="218" t="s">
        <v>1635</v>
      </c>
      <c r="D436" s="218" t="b">
        <v>1</v>
      </c>
      <c r="E436" s="219" t="b">
        <v>0</v>
      </c>
      <c r="F436" s="219" t="b">
        <v>0</v>
      </c>
      <c r="G436" s="219"/>
    </row>
    <row r="437">
      <c r="A437" s="218">
        <f t="shared" si="1"/>
        <v>436</v>
      </c>
      <c r="B437" s="218" t="s">
        <v>71</v>
      </c>
      <c r="C437" s="218" t="s">
        <v>1823</v>
      </c>
      <c r="D437" s="218" t="b">
        <v>1</v>
      </c>
      <c r="E437" s="219" t="b">
        <v>0</v>
      </c>
      <c r="F437" s="219" t="b">
        <v>0</v>
      </c>
      <c r="G437" s="219"/>
    </row>
    <row r="438">
      <c r="A438" s="218">
        <f t="shared" si="1"/>
        <v>437</v>
      </c>
      <c r="B438" s="218" t="s">
        <v>71</v>
      </c>
      <c r="C438" s="218" t="s">
        <v>1492</v>
      </c>
      <c r="D438" s="218" t="b">
        <v>1</v>
      </c>
      <c r="E438" s="219" t="b">
        <v>0</v>
      </c>
      <c r="F438" s="219" t="b">
        <v>0</v>
      </c>
      <c r="G438" s="219"/>
    </row>
    <row r="439">
      <c r="A439" s="218">
        <f t="shared" si="1"/>
        <v>438</v>
      </c>
      <c r="B439" s="218" t="s">
        <v>71</v>
      </c>
      <c r="C439" s="218" t="s">
        <v>1492</v>
      </c>
      <c r="D439" s="218" t="b">
        <v>1</v>
      </c>
      <c r="E439" s="219" t="b">
        <v>0</v>
      </c>
      <c r="F439" s="219" t="b">
        <v>0</v>
      </c>
      <c r="G439" s="219"/>
    </row>
    <row r="440">
      <c r="A440" s="218">
        <f t="shared" si="1"/>
        <v>439</v>
      </c>
      <c r="B440" s="218" t="s">
        <v>71</v>
      </c>
      <c r="C440" s="218" t="s">
        <v>1600</v>
      </c>
      <c r="D440" s="218" t="b">
        <v>1</v>
      </c>
      <c r="E440" s="219" t="b">
        <v>0</v>
      </c>
      <c r="F440" s="219" t="b">
        <v>0</v>
      </c>
      <c r="G440" s="219"/>
    </row>
    <row r="441">
      <c r="A441" s="218">
        <f t="shared" si="1"/>
        <v>440</v>
      </c>
      <c r="B441" s="218" t="s">
        <v>71</v>
      </c>
      <c r="C441" s="218" t="s">
        <v>1440</v>
      </c>
      <c r="D441" s="218" t="b">
        <v>1</v>
      </c>
      <c r="E441" s="219" t="b">
        <v>0</v>
      </c>
      <c r="F441" s="219" t="b">
        <v>0</v>
      </c>
      <c r="G441" s="219"/>
    </row>
    <row r="442">
      <c r="A442" s="218">
        <f t="shared" si="1"/>
        <v>441</v>
      </c>
      <c r="B442" s="218" t="s">
        <v>71</v>
      </c>
      <c r="C442" s="218" t="s">
        <v>3523</v>
      </c>
      <c r="D442" s="218" t="b">
        <v>1</v>
      </c>
      <c r="E442" s="219" t="b">
        <v>0</v>
      </c>
      <c r="F442" s="219" t="b">
        <v>0</v>
      </c>
      <c r="G442" s="219"/>
    </row>
    <row r="443">
      <c r="A443" s="218">
        <f t="shared" si="1"/>
        <v>442</v>
      </c>
      <c r="B443" s="218" t="s">
        <v>71</v>
      </c>
      <c r="C443" s="218" t="s">
        <v>3498</v>
      </c>
      <c r="D443" s="218" t="b">
        <v>1</v>
      </c>
      <c r="E443" s="219" t="b">
        <v>0</v>
      </c>
      <c r="F443" s="219" t="b">
        <v>0</v>
      </c>
      <c r="G443" s="219"/>
    </row>
    <row r="444">
      <c r="A444" s="218">
        <f t="shared" si="1"/>
        <v>443</v>
      </c>
      <c r="B444" s="218" t="s">
        <v>71</v>
      </c>
      <c r="C444" s="218" t="s">
        <v>3083</v>
      </c>
      <c r="D444" s="218" t="b">
        <v>1</v>
      </c>
      <c r="E444" s="219" t="b">
        <v>0</v>
      </c>
      <c r="F444" s="219" t="b">
        <v>0</v>
      </c>
      <c r="G444" s="219"/>
    </row>
    <row r="445">
      <c r="A445" s="218">
        <f t="shared" si="1"/>
        <v>444</v>
      </c>
      <c r="B445" s="218" t="s">
        <v>71</v>
      </c>
      <c r="C445" s="218" t="s">
        <v>1972</v>
      </c>
      <c r="D445" s="218" t="b">
        <v>1</v>
      </c>
      <c r="E445" s="219" t="b">
        <v>0</v>
      </c>
      <c r="F445" s="219" t="b">
        <v>0</v>
      </c>
      <c r="G445" s="219"/>
    </row>
    <row r="446">
      <c r="A446" s="218">
        <f t="shared" si="1"/>
        <v>445</v>
      </c>
      <c r="B446" s="218" t="s">
        <v>71</v>
      </c>
      <c r="C446" s="218" t="s">
        <v>6469</v>
      </c>
      <c r="D446" s="218" t="b">
        <v>1</v>
      </c>
      <c r="E446" s="219" t="b">
        <v>0</v>
      </c>
      <c r="F446" s="219" t="b">
        <v>0</v>
      </c>
      <c r="G446" s="219"/>
    </row>
    <row r="447">
      <c r="A447" s="218">
        <f t="shared" si="1"/>
        <v>446</v>
      </c>
      <c r="B447" s="218" t="s">
        <v>71</v>
      </c>
      <c r="C447" s="218" t="s">
        <v>2895</v>
      </c>
      <c r="D447" s="218" t="b">
        <v>1</v>
      </c>
      <c r="E447" s="219" t="b">
        <v>0</v>
      </c>
      <c r="F447" s="219" t="b">
        <v>0</v>
      </c>
      <c r="G447" s="219"/>
    </row>
    <row r="448">
      <c r="A448" s="218">
        <f t="shared" si="1"/>
        <v>447</v>
      </c>
      <c r="B448" s="218" t="s">
        <v>71</v>
      </c>
      <c r="C448" s="218" t="s">
        <v>3941</v>
      </c>
      <c r="D448" s="218" t="b">
        <v>1</v>
      </c>
      <c r="E448" s="219" t="b">
        <v>0</v>
      </c>
      <c r="F448" s="219" t="b">
        <v>0</v>
      </c>
      <c r="G448" s="219"/>
    </row>
    <row r="449">
      <c r="A449" s="218">
        <f t="shared" si="1"/>
        <v>448</v>
      </c>
      <c r="B449" s="218" t="s">
        <v>71</v>
      </c>
      <c r="C449" s="218" t="s">
        <v>1190</v>
      </c>
      <c r="D449" s="218" t="b">
        <v>1</v>
      </c>
      <c r="E449" s="219" t="b">
        <v>0</v>
      </c>
      <c r="F449" s="219" t="b">
        <v>0</v>
      </c>
      <c r="G449" s="219"/>
    </row>
    <row r="450">
      <c r="A450" s="218">
        <f t="shared" si="1"/>
        <v>449</v>
      </c>
      <c r="B450" s="218" t="s">
        <v>71</v>
      </c>
      <c r="C450" s="218" t="s">
        <v>454</v>
      </c>
      <c r="D450" s="218" t="b">
        <v>1</v>
      </c>
      <c r="E450" s="219" t="b">
        <v>0</v>
      </c>
      <c r="F450" s="219" t="b">
        <v>0</v>
      </c>
      <c r="G450" s="219"/>
    </row>
    <row r="451">
      <c r="A451" s="218">
        <f t="shared" si="1"/>
        <v>450</v>
      </c>
      <c r="B451" s="218" t="s">
        <v>71</v>
      </c>
      <c r="C451" s="218" t="s">
        <v>1252</v>
      </c>
      <c r="D451" s="218" t="b">
        <v>1</v>
      </c>
      <c r="E451" s="219" t="b">
        <v>0</v>
      </c>
      <c r="F451" s="219" t="b">
        <v>0</v>
      </c>
      <c r="G451" s="219"/>
    </row>
    <row r="452">
      <c r="A452" s="218">
        <f t="shared" si="1"/>
        <v>451</v>
      </c>
      <c r="B452" s="218" t="s">
        <v>71</v>
      </c>
      <c r="C452" s="218" t="s">
        <v>1692</v>
      </c>
      <c r="D452" s="218" t="b">
        <v>1</v>
      </c>
      <c r="E452" s="219" t="b">
        <v>0</v>
      </c>
      <c r="F452" s="219" t="b">
        <v>0</v>
      </c>
      <c r="G452" s="219"/>
    </row>
    <row r="453">
      <c r="A453" s="218">
        <f t="shared" si="1"/>
        <v>452</v>
      </c>
      <c r="B453" s="218" t="s">
        <v>71</v>
      </c>
      <c r="C453" s="218" t="s">
        <v>2784</v>
      </c>
      <c r="D453" s="218" t="b">
        <v>1</v>
      </c>
      <c r="E453" s="219" t="b">
        <v>0</v>
      </c>
      <c r="F453" s="219" t="b">
        <v>0</v>
      </c>
      <c r="G453" s="219"/>
    </row>
    <row r="454">
      <c r="A454" s="218">
        <f t="shared" si="1"/>
        <v>453</v>
      </c>
      <c r="B454" s="218" t="s">
        <v>71</v>
      </c>
      <c r="C454" s="218" t="s">
        <v>1618</v>
      </c>
      <c r="D454" s="218" t="b">
        <v>1</v>
      </c>
      <c r="E454" s="219" t="b">
        <v>0</v>
      </c>
      <c r="F454" s="219" t="b">
        <v>0</v>
      </c>
      <c r="G454" s="219"/>
    </row>
    <row r="455">
      <c r="A455" s="218">
        <f t="shared" si="1"/>
        <v>454</v>
      </c>
      <c r="B455" s="218" t="s">
        <v>71</v>
      </c>
      <c r="C455" s="218" t="s">
        <v>2928</v>
      </c>
      <c r="D455" s="218" t="b">
        <v>1</v>
      </c>
      <c r="E455" s="219" t="b">
        <v>0</v>
      </c>
      <c r="F455" s="219" t="b">
        <v>0</v>
      </c>
      <c r="G455" s="219"/>
    </row>
    <row r="456">
      <c r="A456" s="218">
        <f t="shared" si="1"/>
        <v>455</v>
      </c>
      <c r="B456" s="218" t="s">
        <v>71</v>
      </c>
      <c r="C456" s="218" t="s">
        <v>2085</v>
      </c>
      <c r="D456" s="218" t="b">
        <v>1</v>
      </c>
      <c r="E456" s="219" t="b">
        <v>0</v>
      </c>
      <c r="F456" s="219" t="b">
        <v>0</v>
      </c>
      <c r="G456" s="219"/>
    </row>
    <row r="457">
      <c r="A457" s="218">
        <f t="shared" si="1"/>
        <v>456</v>
      </c>
      <c r="B457" s="218" t="s">
        <v>71</v>
      </c>
      <c r="C457" s="218" t="s">
        <v>4869</v>
      </c>
      <c r="D457" s="218" t="b">
        <v>1</v>
      </c>
      <c r="E457" s="219" t="b">
        <v>0</v>
      </c>
      <c r="F457" s="219" t="b">
        <v>0</v>
      </c>
      <c r="G457" s="219"/>
    </row>
    <row r="458">
      <c r="A458" s="218">
        <f t="shared" si="1"/>
        <v>457</v>
      </c>
      <c r="B458" s="218" t="s">
        <v>71</v>
      </c>
      <c r="C458" s="218" t="s">
        <v>3435</v>
      </c>
      <c r="D458" s="218" t="b">
        <v>1</v>
      </c>
      <c r="E458" s="219" t="b">
        <v>0</v>
      </c>
      <c r="F458" s="219" t="b">
        <v>0</v>
      </c>
      <c r="G458" s="219"/>
    </row>
    <row r="459">
      <c r="A459" s="218">
        <f t="shared" si="1"/>
        <v>458</v>
      </c>
      <c r="B459" s="218" t="s">
        <v>71</v>
      </c>
      <c r="C459" s="218" t="s">
        <v>532</v>
      </c>
      <c r="D459" s="218" t="b">
        <v>1</v>
      </c>
      <c r="E459" s="219" t="b">
        <v>0</v>
      </c>
      <c r="F459" s="219" t="b">
        <v>0</v>
      </c>
      <c r="G459" s="219"/>
    </row>
    <row r="460">
      <c r="A460" s="218">
        <f t="shared" si="1"/>
        <v>459</v>
      </c>
      <c r="B460" s="218" t="s">
        <v>71</v>
      </c>
      <c r="C460" s="218" t="s">
        <v>532</v>
      </c>
      <c r="D460" s="218" t="b">
        <v>1</v>
      </c>
      <c r="E460" s="219" t="b">
        <v>0</v>
      </c>
      <c r="F460" s="219" t="b">
        <v>0</v>
      </c>
      <c r="G460" s="219"/>
    </row>
    <row r="461">
      <c r="A461" s="218">
        <f t="shared" si="1"/>
        <v>460</v>
      </c>
      <c r="B461" s="218" t="s">
        <v>71</v>
      </c>
      <c r="C461" s="218" t="s">
        <v>2923</v>
      </c>
      <c r="D461" s="218" t="b">
        <v>1</v>
      </c>
      <c r="E461" s="219" t="b">
        <v>0</v>
      </c>
      <c r="F461" s="219" t="b">
        <v>0</v>
      </c>
      <c r="G461" s="219"/>
    </row>
    <row r="462">
      <c r="A462" s="218">
        <f t="shared" si="1"/>
        <v>461</v>
      </c>
      <c r="B462" s="218" t="s">
        <v>71</v>
      </c>
      <c r="C462" s="218" t="s">
        <v>2525</v>
      </c>
      <c r="D462" s="218" t="b">
        <v>1</v>
      </c>
      <c r="E462" s="219" t="b">
        <v>0</v>
      </c>
      <c r="F462" s="219" t="b">
        <v>0</v>
      </c>
      <c r="G462" s="219"/>
    </row>
    <row r="463">
      <c r="A463" s="218">
        <f t="shared" si="1"/>
        <v>462</v>
      </c>
      <c r="B463" s="218" t="s">
        <v>71</v>
      </c>
      <c r="C463" s="218" t="s">
        <v>1657</v>
      </c>
      <c r="D463" s="218" t="b">
        <v>1</v>
      </c>
      <c r="E463" s="219" t="b">
        <v>0</v>
      </c>
      <c r="F463" s="219" t="b">
        <v>0</v>
      </c>
      <c r="G463" s="219"/>
    </row>
    <row r="464">
      <c r="A464" s="218">
        <f t="shared" si="1"/>
        <v>463</v>
      </c>
      <c r="B464" s="218" t="s">
        <v>71</v>
      </c>
      <c r="C464" s="218" t="s">
        <v>5188</v>
      </c>
      <c r="D464" s="218" t="b">
        <v>1</v>
      </c>
      <c r="E464" s="219" t="b">
        <v>0</v>
      </c>
      <c r="F464" s="219" t="b">
        <v>0</v>
      </c>
      <c r="G464" s="219"/>
    </row>
    <row r="465">
      <c r="A465" s="218">
        <f t="shared" si="1"/>
        <v>464</v>
      </c>
      <c r="B465" s="218" t="s">
        <v>71</v>
      </c>
      <c r="C465" s="218" t="s">
        <v>4601</v>
      </c>
      <c r="D465" s="218" t="b">
        <v>1</v>
      </c>
      <c r="E465" s="219" t="b">
        <v>0</v>
      </c>
      <c r="F465" s="219" t="b">
        <v>0</v>
      </c>
      <c r="G465" s="219"/>
    </row>
    <row r="466">
      <c r="A466" s="218">
        <f t="shared" si="1"/>
        <v>465</v>
      </c>
      <c r="B466" s="218" t="s">
        <v>71</v>
      </c>
      <c r="C466" s="218" t="s">
        <v>2652</v>
      </c>
      <c r="D466" s="218" t="b">
        <v>1</v>
      </c>
      <c r="E466" s="219" t="b">
        <v>0</v>
      </c>
      <c r="F466" s="219" t="b">
        <v>0</v>
      </c>
      <c r="G466" s="219"/>
    </row>
    <row r="467">
      <c r="A467" s="218">
        <f t="shared" si="1"/>
        <v>466</v>
      </c>
      <c r="B467" s="218" t="s">
        <v>71</v>
      </c>
      <c r="C467" s="218" t="s">
        <v>784</v>
      </c>
      <c r="D467" s="218" t="b">
        <v>1</v>
      </c>
      <c r="E467" s="219" t="b">
        <v>0</v>
      </c>
      <c r="F467" s="219" t="b">
        <v>0</v>
      </c>
      <c r="G467" s="219"/>
    </row>
    <row r="468">
      <c r="A468" s="218">
        <f t="shared" si="1"/>
        <v>467</v>
      </c>
      <c r="B468" s="218" t="s">
        <v>71</v>
      </c>
      <c r="C468" s="218" t="s">
        <v>5112</v>
      </c>
      <c r="D468" s="218" t="b">
        <v>1</v>
      </c>
      <c r="E468" s="219" t="b">
        <v>0</v>
      </c>
      <c r="F468" s="219" t="b">
        <v>0</v>
      </c>
      <c r="G468" s="219"/>
    </row>
    <row r="469">
      <c r="A469" s="218">
        <f t="shared" si="1"/>
        <v>468</v>
      </c>
      <c r="B469" s="218" t="s">
        <v>71</v>
      </c>
      <c r="C469" s="218" t="s">
        <v>2970</v>
      </c>
      <c r="D469" s="218" t="b">
        <v>1</v>
      </c>
      <c r="E469" s="219" t="b">
        <v>0</v>
      </c>
      <c r="F469" s="219" t="b">
        <v>0</v>
      </c>
      <c r="G469" s="219"/>
    </row>
    <row r="470">
      <c r="A470" s="218">
        <f t="shared" si="1"/>
        <v>469</v>
      </c>
      <c r="B470" s="218" t="s">
        <v>71</v>
      </c>
      <c r="C470" s="218" t="s">
        <v>2026</v>
      </c>
      <c r="D470" s="218" t="b">
        <v>1</v>
      </c>
      <c r="E470" s="219" t="b">
        <v>0</v>
      </c>
      <c r="F470" s="219" t="b">
        <v>0</v>
      </c>
      <c r="G470" s="219"/>
    </row>
    <row r="471">
      <c r="A471" s="218">
        <f t="shared" si="1"/>
        <v>470</v>
      </c>
      <c r="B471" s="218" t="s">
        <v>71</v>
      </c>
      <c r="C471" s="218" t="s">
        <v>1517</v>
      </c>
      <c r="D471" s="218" t="b">
        <v>1</v>
      </c>
      <c r="E471" s="219" t="b">
        <v>0</v>
      </c>
      <c r="F471" s="219" t="b">
        <v>0</v>
      </c>
      <c r="G471" s="219"/>
    </row>
    <row r="472">
      <c r="A472" s="218">
        <f t="shared" si="1"/>
        <v>471</v>
      </c>
      <c r="B472" s="218" t="s">
        <v>71</v>
      </c>
      <c r="C472" s="218" t="s">
        <v>3699</v>
      </c>
      <c r="D472" s="218" t="b">
        <v>1</v>
      </c>
      <c r="E472" s="219" t="b">
        <v>0</v>
      </c>
      <c r="F472" s="219" t="b">
        <v>0</v>
      </c>
      <c r="G472" s="219"/>
    </row>
    <row r="473">
      <c r="A473" s="218">
        <f t="shared" si="1"/>
        <v>472</v>
      </c>
      <c r="B473" s="218" t="s">
        <v>71</v>
      </c>
      <c r="C473" s="218" t="s">
        <v>1552</v>
      </c>
      <c r="D473" s="218" t="b">
        <v>1</v>
      </c>
      <c r="E473" s="219" t="b">
        <v>0</v>
      </c>
      <c r="F473" s="219" t="b">
        <v>0</v>
      </c>
      <c r="G473" s="219"/>
    </row>
    <row r="474">
      <c r="A474" s="218">
        <f t="shared" si="1"/>
        <v>473</v>
      </c>
      <c r="B474" s="218" t="s">
        <v>71</v>
      </c>
      <c r="C474" s="218" t="s">
        <v>537</v>
      </c>
      <c r="D474" s="218" t="b">
        <v>1</v>
      </c>
      <c r="E474" s="219" t="b">
        <v>0</v>
      </c>
      <c r="F474" s="219" t="b">
        <v>0</v>
      </c>
      <c r="G474" s="219"/>
    </row>
    <row r="475">
      <c r="A475" s="218">
        <f t="shared" si="1"/>
        <v>474</v>
      </c>
      <c r="B475" s="218" t="s">
        <v>71</v>
      </c>
      <c r="C475" s="218" t="s">
        <v>4629</v>
      </c>
      <c r="D475" s="218" t="b">
        <v>1</v>
      </c>
      <c r="E475" s="219" t="b">
        <v>0</v>
      </c>
      <c r="F475" s="219" t="b">
        <v>0</v>
      </c>
      <c r="G475" s="219"/>
    </row>
    <row r="476">
      <c r="A476" s="218">
        <f t="shared" si="1"/>
        <v>475</v>
      </c>
      <c r="B476" s="218" t="s">
        <v>71</v>
      </c>
      <c r="C476" s="218" t="s">
        <v>1639</v>
      </c>
      <c r="D476" s="218" t="b">
        <v>1</v>
      </c>
      <c r="E476" s="219" t="b">
        <v>0</v>
      </c>
      <c r="F476" s="219" t="b">
        <v>0</v>
      </c>
      <c r="G476" s="219"/>
    </row>
    <row r="477">
      <c r="A477" s="218">
        <f t="shared" si="1"/>
        <v>476</v>
      </c>
      <c r="B477" s="218" t="s">
        <v>71</v>
      </c>
      <c r="C477" s="218" t="s">
        <v>2559</v>
      </c>
      <c r="D477" s="218" t="b">
        <v>1</v>
      </c>
      <c r="E477" s="219" t="b">
        <v>0</v>
      </c>
      <c r="F477" s="219" t="b">
        <v>0</v>
      </c>
      <c r="G477" s="219"/>
    </row>
    <row r="478">
      <c r="A478" s="218">
        <f t="shared" si="1"/>
        <v>477</v>
      </c>
      <c r="B478" s="218" t="s">
        <v>71</v>
      </c>
      <c r="C478" s="218" t="s">
        <v>643</v>
      </c>
      <c r="D478" s="218" t="b">
        <v>1</v>
      </c>
      <c r="E478" s="219" t="b">
        <v>0</v>
      </c>
      <c r="F478" s="219" t="b">
        <v>0</v>
      </c>
      <c r="G478" s="219"/>
    </row>
    <row r="479">
      <c r="A479" s="218">
        <f t="shared" si="1"/>
        <v>478</v>
      </c>
      <c r="B479" s="218" t="s">
        <v>71</v>
      </c>
      <c r="C479" s="218" t="s">
        <v>4522</v>
      </c>
      <c r="D479" s="218" t="b">
        <v>1</v>
      </c>
      <c r="E479" s="219" t="b">
        <v>0</v>
      </c>
      <c r="F479" s="219" t="b">
        <v>0</v>
      </c>
      <c r="G479" s="219"/>
    </row>
    <row r="480">
      <c r="A480" s="218">
        <f t="shared" si="1"/>
        <v>479</v>
      </c>
      <c r="B480" s="218" t="s">
        <v>71</v>
      </c>
      <c r="C480" s="218" t="s">
        <v>1962</v>
      </c>
      <c r="D480" s="218" t="b">
        <v>1</v>
      </c>
      <c r="E480" s="219" t="b">
        <v>0</v>
      </c>
      <c r="F480" s="219" t="b">
        <v>0</v>
      </c>
      <c r="G480" s="219"/>
    </row>
    <row r="481">
      <c r="A481" s="218">
        <f t="shared" si="1"/>
        <v>480</v>
      </c>
      <c r="B481" s="218" t="s">
        <v>71</v>
      </c>
      <c r="C481" s="218" t="s">
        <v>1272</v>
      </c>
      <c r="D481" s="218" t="b">
        <v>1</v>
      </c>
      <c r="E481" s="219" t="b">
        <v>0</v>
      </c>
      <c r="F481" s="219" t="b">
        <v>0</v>
      </c>
      <c r="G481" s="219"/>
    </row>
    <row r="482">
      <c r="A482" s="218">
        <f t="shared" si="1"/>
        <v>481</v>
      </c>
      <c r="B482" s="218" t="s">
        <v>71</v>
      </c>
      <c r="C482" s="218" t="s">
        <v>1644</v>
      </c>
      <c r="D482" s="218" t="b">
        <v>1</v>
      </c>
      <c r="E482" s="219" t="b">
        <v>0</v>
      </c>
      <c r="F482" s="219" t="b">
        <v>0</v>
      </c>
      <c r="G482" s="219"/>
    </row>
    <row r="483">
      <c r="A483" s="218">
        <f t="shared" si="1"/>
        <v>482</v>
      </c>
      <c r="B483" s="218" t="s">
        <v>71</v>
      </c>
      <c r="C483" s="218" t="s">
        <v>1644</v>
      </c>
      <c r="D483" s="218" t="b">
        <v>1</v>
      </c>
      <c r="E483" s="219" t="b">
        <v>0</v>
      </c>
      <c r="F483" s="219" t="b">
        <v>0</v>
      </c>
      <c r="G483" s="219"/>
    </row>
    <row r="484">
      <c r="A484" s="218">
        <f t="shared" si="1"/>
        <v>483</v>
      </c>
      <c r="B484" s="218" t="s">
        <v>71</v>
      </c>
      <c r="C484" s="218" t="s">
        <v>2803</v>
      </c>
      <c r="D484" s="218" t="b">
        <v>1</v>
      </c>
      <c r="E484" s="219" t="b">
        <v>0</v>
      </c>
      <c r="F484" s="219" t="b">
        <v>0</v>
      </c>
      <c r="G484" s="219"/>
    </row>
    <row r="485">
      <c r="A485" s="218">
        <f t="shared" si="1"/>
        <v>484</v>
      </c>
      <c r="B485" s="218" t="s">
        <v>71</v>
      </c>
      <c r="C485" s="218" t="s">
        <v>5321</v>
      </c>
      <c r="D485" s="218" t="b">
        <v>1</v>
      </c>
      <c r="E485" s="219" t="b">
        <v>0</v>
      </c>
      <c r="F485" s="219" t="b">
        <v>0</v>
      </c>
      <c r="G485" s="219"/>
    </row>
    <row r="486">
      <c r="A486" s="218">
        <f t="shared" si="1"/>
        <v>485</v>
      </c>
      <c r="B486" s="218" t="s">
        <v>71</v>
      </c>
      <c r="C486" s="218" t="s">
        <v>3695</v>
      </c>
      <c r="D486" s="218" t="b">
        <v>1</v>
      </c>
      <c r="E486" s="219" t="b">
        <v>0</v>
      </c>
      <c r="F486" s="219" t="b">
        <v>0</v>
      </c>
      <c r="G486" s="219"/>
    </row>
    <row r="487">
      <c r="A487" s="218">
        <f t="shared" si="1"/>
        <v>486</v>
      </c>
      <c r="B487" s="218" t="s">
        <v>71</v>
      </c>
      <c r="C487" s="218" t="s">
        <v>4339</v>
      </c>
      <c r="D487" s="218" t="b">
        <v>1</v>
      </c>
      <c r="E487" s="219" t="b">
        <v>0</v>
      </c>
      <c r="F487" s="219" t="b">
        <v>0</v>
      </c>
      <c r="G487" s="219"/>
    </row>
    <row r="488">
      <c r="A488" s="218">
        <f t="shared" si="1"/>
        <v>487</v>
      </c>
      <c r="B488" s="218" t="s">
        <v>71</v>
      </c>
      <c r="C488" s="218" t="s">
        <v>2779</v>
      </c>
      <c r="D488" s="218" t="b">
        <v>1</v>
      </c>
      <c r="E488" s="219" t="b">
        <v>0</v>
      </c>
      <c r="F488" s="219" t="b">
        <v>0</v>
      </c>
      <c r="G488" s="219"/>
    </row>
    <row r="489">
      <c r="A489" s="218">
        <f t="shared" si="1"/>
        <v>488</v>
      </c>
      <c r="B489" s="218" t="s">
        <v>71</v>
      </c>
      <c r="C489" s="218" t="s">
        <v>2463</v>
      </c>
      <c r="D489" s="218" t="b">
        <v>1</v>
      </c>
      <c r="E489" s="219" t="b">
        <v>0</v>
      </c>
      <c r="F489" s="219" t="b">
        <v>0</v>
      </c>
      <c r="G489" s="219"/>
    </row>
    <row r="490">
      <c r="A490" s="218">
        <f t="shared" si="1"/>
        <v>489</v>
      </c>
      <c r="B490" s="218" t="s">
        <v>71</v>
      </c>
      <c r="C490" s="218" t="s">
        <v>2709</v>
      </c>
      <c r="D490" s="218" t="b">
        <v>1</v>
      </c>
      <c r="E490" s="219" t="b">
        <v>0</v>
      </c>
      <c r="F490" s="219" t="b">
        <v>0</v>
      </c>
      <c r="G490" s="219"/>
    </row>
    <row r="491">
      <c r="A491" s="218">
        <f t="shared" si="1"/>
        <v>490</v>
      </c>
      <c r="B491" s="218" t="s">
        <v>71</v>
      </c>
      <c r="C491" s="218" t="s">
        <v>364</v>
      </c>
      <c r="D491" s="218" t="b">
        <v>1</v>
      </c>
      <c r="E491" s="219" t="b">
        <v>0</v>
      </c>
      <c r="F491" s="219" t="b">
        <v>0</v>
      </c>
      <c r="G491" s="219"/>
    </row>
    <row r="492">
      <c r="A492" s="218">
        <f t="shared" si="1"/>
        <v>491</v>
      </c>
      <c r="B492" s="218" t="s">
        <v>71</v>
      </c>
      <c r="C492" s="218" t="s">
        <v>5010</v>
      </c>
      <c r="D492" s="218" t="b">
        <v>1</v>
      </c>
      <c r="E492" s="219" t="b">
        <v>0</v>
      </c>
      <c r="F492" s="219" t="b">
        <v>0</v>
      </c>
      <c r="G492" s="219"/>
    </row>
    <row r="493">
      <c r="A493" s="218">
        <f t="shared" si="1"/>
        <v>492</v>
      </c>
      <c r="B493" s="218" t="s">
        <v>71</v>
      </c>
      <c r="C493" s="218" t="s">
        <v>542</v>
      </c>
      <c r="D493" s="218" t="b">
        <v>1</v>
      </c>
      <c r="E493" s="219" t="b">
        <v>0</v>
      </c>
      <c r="F493" s="219" t="b">
        <v>0</v>
      </c>
      <c r="G493" s="219"/>
    </row>
    <row r="494">
      <c r="A494" s="218">
        <f t="shared" si="1"/>
        <v>493</v>
      </c>
      <c r="B494" s="218" t="s">
        <v>71</v>
      </c>
      <c r="C494" s="218" t="s">
        <v>5279</v>
      </c>
      <c r="D494" s="218" t="b">
        <v>1</v>
      </c>
      <c r="E494" s="219" t="b">
        <v>0</v>
      </c>
      <c r="F494" s="219" t="b">
        <v>0</v>
      </c>
      <c r="G494" s="219"/>
    </row>
    <row r="495">
      <c r="A495" s="218">
        <f t="shared" si="1"/>
        <v>494</v>
      </c>
      <c r="B495" s="218" t="s">
        <v>71</v>
      </c>
      <c r="C495" s="218" t="s">
        <v>2965</v>
      </c>
      <c r="D495" s="218" t="b">
        <v>1</v>
      </c>
      <c r="E495" s="219" t="b">
        <v>0</v>
      </c>
      <c r="F495" s="219" t="b">
        <v>0</v>
      </c>
      <c r="G495" s="219"/>
    </row>
    <row r="496">
      <c r="A496" s="218">
        <f t="shared" si="1"/>
        <v>495</v>
      </c>
      <c r="B496" s="218" t="s">
        <v>71</v>
      </c>
      <c r="C496" s="218" t="s">
        <v>1988</v>
      </c>
      <c r="D496" s="218" t="b">
        <v>1</v>
      </c>
      <c r="E496" s="219" t="b">
        <v>0</v>
      </c>
      <c r="F496" s="219" t="b">
        <v>0</v>
      </c>
      <c r="G496" s="219"/>
    </row>
    <row r="497">
      <c r="A497" s="218">
        <f t="shared" si="1"/>
        <v>496</v>
      </c>
      <c r="B497" s="218" t="s">
        <v>71</v>
      </c>
      <c r="C497" s="218" t="s">
        <v>1736</v>
      </c>
      <c r="D497" s="218" t="b">
        <v>1</v>
      </c>
      <c r="E497" s="219" t="b">
        <v>0</v>
      </c>
      <c r="F497" s="219" t="b">
        <v>0</v>
      </c>
      <c r="G497" s="219"/>
    </row>
    <row r="498">
      <c r="A498" s="218">
        <f t="shared" si="1"/>
        <v>497</v>
      </c>
      <c r="B498" s="218" t="s">
        <v>71</v>
      </c>
      <c r="C498" s="218" t="s">
        <v>2006</v>
      </c>
      <c r="D498" s="218" t="b">
        <v>1</v>
      </c>
      <c r="E498" s="219" t="b">
        <v>0</v>
      </c>
      <c r="F498" s="219" t="b">
        <v>0</v>
      </c>
      <c r="G498" s="219"/>
    </row>
    <row r="499">
      <c r="A499" s="218">
        <f t="shared" si="1"/>
        <v>498</v>
      </c>
      <c r="B499" s="218" t="s">
        <v>71</v>
      </c>
      <c r="C499" s="218" t="s">
        <v>2006</v>
      </c>
      <c r="D499" s="218" t="b">
        <v>1</v>
      </c>
      <c r="E499" s="219" t="b">
        <v>0</v>
      </c>
      <c r="F499" s="219" t="b">
        <v>0</v>
      </c>
      <c r="G499" s="219"/>
    </row>
    <row r="500">
      <c r="A500" s="218">
        <f t="shared" si="1"/>
        <v>499</v>
      </c>
      <c r="B500" s="218" t="s">
        <v>71</v>
      </c>
      <c r="C500" s="218" t="s">
        <v>1814</v>
      </c>
      <c r="D500" s="218" t="b">
        <v>1</v>
      </c>
      <c r="E500" s="219" t="b">
        <v>0</v>
      </c>
      <c r="F500" s="219" t="b">
        <v>0</v>
      </c>
      <c r="G500" s="219"/>
    </row>
    <row r="501">
      <c r="A501" s="218">
        <f t="shared" si="1"/>
        <v>500</v>
      </c>
      <c r="B501" s="218" t="s">
        <v>71</v>
      </c>
      <c r="C501" s="218" t="s">
        <v>591</v>
      </c>
      <c r="D501" s="218" t="b">
        <v>1</v>
      </c>
      <c r="E501" s="219" t="b">
        <v>0</v>
      </c>
      <c r="F501" s="219" t="b">
        <v>0</v>
      </c>
      <c r="G501" s="219"/>
    </row>
    <row r="502">
      <c r="A502" s="218">
        <f t="shared" si="1"/>
        <v>501</v>
      </c>
      <c r="B502" s="218" t="s">
        <v>71</v>
      </c>
      <c r="C502" s="218" t="s">
        <v>2845</v>
      </c>
      <c r="D502" s="218" t="b">
        <v>1</v>
      </c>
      <c r="E502" s="219" t="b">
        <v>0</v>
      </c>
      <c r="F502" s="219" t="b">
        <v>0</v>
      </c>
      <c r="G502" s="219"/>
    </row>
    <row r="503">
      <c r="A503" s="218">
        <f t="shared" si="1"/>
        <v>502</v>
      </c>
      <c r="B503" s="218" t="s">
        <v>71</v>
      </c>
      <c r="C503" s="218" t="s">
        <v>668</v>
      </c>
      <c r="D503" s="218" t="b">
        <v>1</v>
      </c>
      <c r="E503" s="219" t="b">
        <v>0</v>
      </c>
      <c r="F503" s="219" t="b">
        <v>0</v>
      </c>
      <c r="G503" s="219"/>
    </row>
    <row r="504">
      <c r="A504" s="218">
        <f t="shared" si="1"/>
        <v>503</v>
      </c>
      <c r="B504" s="218" t="s">
        <v>71</v>
      </c>
      <c r="C504" s="218" t="s">
        <v>1315</v>
      </c>
      <c r="D504" s="218" t="b">
        <v>1</v>
      </c>
      <c r="E504" s="219" t="b">
        <v>0</v>
      </c>
      <c r="F504" s="219" t="b">
        <v>0</v>
      </c>
      <c r="G504" s="219"/>
    </row>
    <row r="505">
      <c r="A505" s="218">
        <f t="shared" si="1"/>
        <v>504</v>
      </c>
      <c r="B505" s="218" t="s">
        <v>71</v>
      </c>
      <c r="C505" s="218" t="s">
        <v>3631</v>
      </c>
      <c r="D505" s="218" t="b">
        <v>1</v>
      </c>
      <c r="E505" s="219" t="b">
        <v>0</v>
      </c>
      <c r="F505" s="219" t="b">
        <v>0</v>
      </c>
      <c r="G505" s="219"/>
    </row>
    <row r="506">
      <c r="A506" s="218">
        <f t="shared" si="1"/>
        <v>505</v>
      </c>
      <c r="B506" s="218" t="s">
        <v>71</v>
      </c>
      <c r="C506" s="218" t="s">
        <v>399</v>
      </c>
      <c r="D506" s="218" t="b">
        <v>1</v>
      </c>
      <c r="E506" s="219" t="b">
        <v>0</v>
      </c>
      <c r="F506" s="219" t="b">
        <v>0</v>
      </c>
      <c r="G506" s="219"/>
    </row>
    <row r="507">
      <c r="A507" s="218">
        <f t="shared" si="1"/>
        <v>506</v>
      </c>
      <c r="B507" s="218" t="s">
        <v>71</v>
      </c>
      <c r="C507" s="218" t="s">
        <v>2035</v>
      </c>
      <c r="D507" s="218" t="b">
        <v>1</v>
      </c>
      <c r="E507" s="219" t="b">
        <v>0</v>
      </c>
      <c r="F507" s="219" t="b">
        <v>0</v>
      </c>
      <c r="G507" s="219"/>
    </row>
    <row r="508">
      <c r="A508" s="218">
        <f t="shared" si="1"/>
        <v>507</v>
      </c>
      <c r="B508" s="218" t="s">
        <v>71</v>
      </c>
      <c r="C508" s="218" t="s">
        <v>977</v>
      </c>
      <c r="D508" s="218" t="b">
        <v>1</v>
      </c>
      <c r="E508" s="219" t="b">
        <v>0</v>
      </c>
      <c r="F508" s="219" t="b">
        <v>0</v>
      </c>
      <c r="G508" s="219"/>
    </row>
    <row r="509">
      <c r="A509" s="218">
        <f t="shared" si="1"/>
        <v>508</v>
      </c>
      <c r="B509" s="218" t="s">
        <v>71</v>
      </c>
      <c r="C509" s="218" t="s">
        <v>648</v>
      </c>
      <c r="D509" s="218" t="b">
        <v>1</v>
      </c>
      <c r="E509" s="219" t="b">
        <v>0</v>
      </c>
      <c r="F509" s="219" t="b">
        <v>0</v>
      </c>
      <c r="G509" s="219"/>
    </row>
    <row r="510">
      <c r="A510" s="218">
        <f t="shared" si="1"/>
        <v>509</v>
      </c>
      <c r="B510" s="218" t="s">
        <v>71</v>
      </c>
      <c r="C510" s="218" t="s">
        <v>1395</v>
      </c>
      <c r="D510" s="218" t="b">
        <v>1</v>
      </c>
      <c r="E510" s="219" t="b">
        <v>0</v>
      </c>
      <c r="F510" s="219" t="b">
        <v>0</v>
      </c>
      <c r="G510" s="219"/>
    </row>
    <row r="511">
      <c r="A511" s="218">
        <f t="shared" si="1"/>
        <v>510</v>
      </c>
      <c r="B511" s="218" t="s">
        <v>71</v>
      </c>
      <c r="C511" s="218" t="s">
        <v>624</v>
      </c>
      <c r="D511" s="218" t="b">
        <v>1</v>
      </c>
      <c r="E511" s="219" t="b">
        <v>0</v>
      </c>
      <c r="F511" s="219" t="b">
        <v>0</v>
      </c>
      <c r="G511" s="219"/>
    </row>
    <row r="512">
      <c r="A512" s="218">
        <f t="shared" si="1"/>
        <v>511</v>
      </c>
      <c r="B512" s="218" t="s">
        <v>71</v>
      </c>
      <c r="C512" s="218" t="s">
        <v>3779</v>
      </c>
      <c r="D512" s="218" t="b">
        <v>1</v>
      </c>
      <c r="E512" s="219" t="b">
        <v>0</v>
      </c>
      <c r="F512" s="219" t="b">
        <v>0</v>
      </c>
      <c r="G512" s="219"/>
    </row>
    <row r="513">
      <c r="A513" s="218">
        <f t="shared" si="1"/>
        <v>512</v>
      </c>
      <c r="B513" s="218" t="s">
        <v>71</v>
      </c>
      <c r="C513" s="218" t="s">
        <v>4283</v>
      </c>
      <c r="D513" s="218" t="b">
        <v>1</v>
      </c>
      <c r="E513" s="219" t="b">
        <v>0</v>
      </c>
      <c r="F513" s="219" t="b">
        <v>0</v>
      </c>
      <c r="G513" s="219"/>
    </row>
    <row r="514">
      <c r="A514" s="218">
        <f t="shared" si="1"/>
        <v>513</v>
      </c>
      <c r="B514" s="218" t="s">
        <v>71</v>
      </c>
      <c r="C514" s="218" t="s">
        <v>2253</v>
      </c>
      <c r="D514" s="218" t="b">
        <v>1</v>
      </c>
      <c r="E514" s="219" t="b">
        <v>0</v>
      </c>
      <c r="F514" s="219" t="b">
        <v>0</v>
      </c>
      <c r="G514" s="219"/>
    </row>
    <row r="515">
      <c r="A515" s="218">
        <f t="shared" si="1"/>
        <v>514</v>
      </c>
      <c r="B515" s="218" t="s">
        <v>71</v>
      </c>
      <c r="C515" s="218" t="s">
        <v>4293</v>
      </c>
      <c r="D515" s="218" t="b">
        <v>1</v>
      </c>
      <c r="E515" s="219" t="b">
        <v>0</v>
      </c>
      <c r="F515" s="219" t="b">
        <v>0</v>
      </c>
      <c r="G515" s="219"/>
    </row>
    <row r="516">
      <c r="A516" s="218">
        <f t="shared" si="1"/>
        <v>515</v>
      </c>
      <c r="B516" s="218" t="s">
        <v>71</v>
      </c>
      <c r="C516" s="218" t="s">
        <v>4343</v>
      </c>
      <c r="D516" s="218" t="b">
        <v>1</v>
      </c>
      <c r="E516" s="219" t="b">
        <v>0</v>
      </c>
      <c r="F516" s="219" t="b">
        <v>0</v>
      </c>
      <c r="G516" s="219"/>
    </row>
    <row r="517">
      <c r="A517" s="218">
        <f t="shared" si="1"/>
        <v>516</v>
      </c>
      <c r="B517" s="218" t="s">
        <v>71</v>
      </c>
      <c r="C517" s="218" t="s">
        <v>2248</v>
      </c>
      <c r="D517" s="218" t="b">
        <v>1</v>
      </c>
      <c r="E517" s="219" t="b">
        <v>0</v>
      </c>
      <c r="F517" s="219" t="b">
        <v>0</v>
      </c>
      <c r="G517" s="219"/>
    </row>
    <row r="518">
      <c r="A518" s="218">
        <f t="shared" si="1"/>
        <v>517</v>
      </c>
      <c r="B518" s="218" t="s">
        <v>71</v>
      </c>
      <c r="C518" s="218" t="s">
        <v>1674</v>
      </c>
      <c r="D518" s="218" t="b">
        <v>1</v>
      </c>
      <c r="E518" s="219" t="b">
        <v>0</v>
      </c>
      <c r="F518" s="219" t="b">
        <v>0</v>
      </c>
      <c r="G518" s="219"/>
    </row>
    <row r="519">
      <c r="A519" s="218">
        <f t="shared" si="1"/>
        <v>518</v>
      </c>
      <c r="B519" s="218" t="s">
        <v>71</v>
      </c>
      <c r="C519" s="218" t="s">
        <v>1016</v>
      </c>
      <c r="D519" s="218" t="b">
        <v>1</v>
      </c>
      <c r="E519" s="219" t="b">
        <v>0</v>
      </c>
      <c r="F519" s="219" t="b">
        <v>0</v>
      </c>
      <c r="G519" s="219"/>
    </row>
    <row r="520">
      <c r="A520" s="218">
        <f t="shared" si="1"/>
        <v>519</v>
      </c>
      <c r="B520" s="218" t="s">
        <v>71</v>
      </c>
      <c r="C520" s="218" t="s">
        <v>2997</v>
      </c>
      <c r="D520" s="218" t="b">
        <v>1</v>
      </c>
      <c r="E520" s="219" t="b">
        <v>0</v>
      </c>
      <c r="F520" s="219" t="b">
        <v>0</v>
      </c>
      <c r="G520" s="219"/>
    </row>
    <row r="521">
      <c r="A521" s="218">
        <f t="shared" si="1"/>
        <v>520</v>
      </c>
      <c r="B521" s="218" t="s">
        <v>71</v>
      </c>
      <c r="C521" s="218" t="s">
        <v>3484</v>
      </c>
      <c r="D521" s="218" t="b">
        <v>1</v>
      </c>
      <c r="E521" s="219" t="b">
        <v>0</v>
      </c>
      <c r="F521" s="219" t="b">
        <v>0</v>
      </c>
      <c r="G521" s="219"/>
    </row>
    <row r="522">
      <c r="A522" s="218">
        <f t="shared" si="1"/>
        <v>521</v>
      </c>
      <c r="B522" s="218" t="s">
        <v>71</v>
      </c>
      <c r="C522" s="218" t="s">
        <v>5474</v>
      </c>
      <c r="D522" s="218" t="b">
        <v>1</v>
      </c>
      <c r="E522" s="219" t="b">
        <v>0</v>
      </c>
      <c r="F522" s="219" t="b">
        <v>0</v>
      </c>
      <c r="G522" s="219"/>
    </row>
    <row r="523">
      <c r="A523" s="218">
        <f t="shared" si="1"/>
        <v>522</v>
      </c>
      <c r="B523" s="218" t="s">
        <v>71</v>
      </c>
      <c r="C523" s="218" t="s">
        <v>706</v>
      </c>
      <c r="D523" s="218" t="b">
        <v>1</v>
      </c>
      <c r="E523" s="219" t="b">
        <v>0</v>
      </c>
      <c r="F523" s="219" t="b">
        <v>0</v>
      </c>
      <c r="G523" s="219"/>
    </row>
    <row r="524">
      <c r="A524" s="218">
        <f t="shared" si="1"/>
        <v>523</v>
      </c>
      <c r="B524" s="218" t="s">
        <v>71</v>
      </c>
      <c r="C524" s="218" t="s">
        <v>5427</v>
      </c>
      <c r="D524" s="218" t="b">
        <v>1</v>
      </c>
      <c r="E524" s="219" t="b">
        <v>0</v>
      </c>
      <c r="F524" s="219" t="b">
        <v>0</v>
      </c>
      <c r="G524" s="219"/>
    </row>
    <row r="525">
      <c r="A525" s="218">
        <f t="shared" si="1"/>
        <v>524</v>
      </c>
      <c r="B525" s="218" t="s">
        <v>71</v>
      </c>
      <c r="C525" s="218" t="s">
        <v>1262</v>
      </c>
      <c r="D525" s="218" t="b">
        <v>1</v>
      </c>
      <c r="E525" s="219" t="b">
        <v>0</v>
      </c>
      <c r="F525" s="219" t="b">
        <v>0</v>
      </c>
      <c r="G525" s="219"/>
    </row>
    <row r="526">
      <c r="A526" s="218">
        <f t="shared" si="1"/>
        <v>525</v>
      </c>
      <c r="B526" s="218" t="s">
        <v>71</v>
      </c>
      <c r="C526" s="218" t="s">
        <v>1425</v>
      </c>
      <c r="D526" s="218" t="b">
        <v>1</v>
      </c>
      <c r="E526" s="219" t="b">
        <v>0</v>
      </c>
      <c r="F526" s="219" t="b">
        <v>0</v>
      </c>
      <c r="G526" s="219"/>
    </row>
    <row r="527">
      <c r="A527" s="218">
        <f t="shared" si="1"/>
        <v>526</v>
      </c>
      <c r="B527" s="218" t="s">
        <v>71</v>
      </c>
      <c r="C527" s="218" t="s">
        <v>1867</v>
      </c>
      <c r="D527" s="218" t="b">
        <v>1</v>
      </c>
      <c r="E527" s="219" t="b">
        <v>0</v>
      </c>
      <c r="F527" s="219" t="b">
        <v>0</v>
      </c>
      <c r="G527" s="219"/>
    </row>
    <row r="528">
      <c r="A528" s="218">
        <f t="shared" si="1"/>
        <v>527</v>
      </c>
      <c r="B528" s="218" t="s">
        <v>71</v>
      </c>
      <c r="C528" s="218" t="s">
        <v>794</v>
      </c>
      <c r="D528" s="218" t="b">
        <v>1</v>
      </c>
      <c r="E528" s="219" t="b">
        <v>0</v>
      </c>
      <c r="F528" s="219" t="b">
        <v>0</v>
      </c>
      <c r="G528" s="219"/>
    </row>
    <row r="529">
      <c r="A529" s="218">
        <f t="shared" si="1"/>
        <v>528</v>
      </c>
      <c r="B529" s="218" t="s">
        <v>71</v>
      </c>
      <c r="C529" s="218" t="s">
        <v>1172</v>
      </c>
      <c r="D529" s="218" t="b">
        <v>1</v>
      </c>
      <c r="E529" s="219" t="b">
        <v>0</v>
      </c>
      <c r="F529" s="219" t="b">
        <v>0</v>
      </c>
      <c r="G529" s="219"/>
    </row>
    <row r="530">
      <c r="A530" s="218">
        <f t="shared" si="1"/>
        <v>529</v>
      </c>
      <c r="B530" s="218" t="s">
        <v>71</v>
      </c>
      <c r="C530" s="218" t="s">
        <v>2675</v>
      </c>
      <c r="D530" s="218" t="b">
        <v>1</v>
      </c>
      <c r="E530" s="219" t="b">
        <v>0</v>
      </c>
      <c r="F530" s="219" t="b">
        <v>0</v>
      </c>
      <c r="G530" s="219"/>
    </row>
    <row r="531">
      <c r="A531" s="218">
        <f t="shared" si="1"/>
        <v>530</v>
      </c>
      <c r="B531" s="218" t="s">
        <v>71</v>
      </c>
      <c r="C531" s="218" t="s">
        <v>2942</v>
      </c>
      <c r="D531" s="218" t="b">
        <v>1</v>
      </c>
      <c r="E531" s="219" t="b">
        <v>0</v>
      </c>
      <c r="F531" s="219" t="b">
        <v>0</v>
      </c>
      <c r="G531" s="219"/>
    </row>
    <row r="532">
      <c r="A532" s="218">
        <f t="shared" si="1"/>
        <v>531</v>
      </c>
      <c r="B532" s="218" t="s">
        <v>71</v>
      </c>
      <c r="C532" s="218" t="s">
        <v>5367</v>
      </c>
      <c r="D532" s="218" t="b">
        <v>1</v>
      </c>
      <c r="E532" s="219" t="b">
        <v>0</v>
      </c>
      <c r="F532" s="219" t="b">
        <v>0</v>
      </c>
      <c r="G532" s="219"/>
    </row>
    <row r="533">
      <c r="A533" s="218">
        <f t="shared" si="1"/>
        <v>532</v>
      </c>
      <c r="B533" s="218" t="s">
        <v>71</v>
      </c>
      <c r="C533" s="218" t="s">
        <v>404</v>
      </c>
      <c r="D533" s="218" t="b">
        <v>1</v>
      </c>
      <c r="E533" s="219" t="b">
        <v>0</v>
      </c>
      <c r="F533" s="219" t="b">
        <v>0</v>
      </c>
      <c r="G533" s="219"/>
    </row>
    <row r="534">
      <c r="A534" s="218">
        <f t="shared" si="1"/>
        <v>533</v>
      </c>
      <c r="B534" s="218" t="s">
        <v>71</v>
      </c>
      <c r="C534" s="218" t="s">
        <v>2453</v>
      </c>
      <c r="D534" s="218" t="b">
        <v>1</v>
      </c>
      <c r="E534" s="219" t="b">
        <v>0</v>
      </c>
      <c r="F534" s="219" t="b">
        <v>0</v>
      </c>
      <c r="G534" s="219"/>
    </row>
    <row r="535">
      <c r="A535" s="218">
        <f t="shared" si="1"/>
        <v>534</v>
      </c>
      <c r="B535" s="218" t="s">
        <v>71</v>
      </c>
      <c r="C535" s="218" t="s">
        <v>914</v>
      </c>
      <c r="D535" s="218" t="b">
        <v>1</v>
      </c>
      <c r="E535" s="219" t="b">
        <v>0</v>
      </c>
      <c r="F535" s="219" t="b">
        <v>0</v>
      </c>
      <c r="G535" s="219"/>
    </row>
    <row r="536">
      <c r="A536" s="218">
        <f t="shared" si="1"/>
        <v>535</v>
      </c>
      <c r="B536" s="218" t="s">
        <v>71</v>
      </c>
      <c r="C536" s="218" t="s">
        <v>4061</v>
      </c>
      <c r="D536" s="218" t="b">
        <v>1</v>
      </c>
      <c r="E536" s="219" t="b">
        <v>0</v>
      </c>
      <c r="F536" s="219" t="b">
        <v>0</v>
      </c>
      <c r="G536" s="219"/>
    </row>
    <row r="537">
      <c r="A537" s="218">
        <f t="shared" si="1"/>
        <v>536</v>
      </c>
      <c r="B537" s="218" t="s">
        <v>71</v>
      </c>
      <c r="C537" s="218" t="s">
        <v>3533</v>
      </c>
      <c r="D537" s="218" t="b">
        <v>1</v>
      </c>
      <c r="E537" s="219" t="b">
        <v>0</v>
      </c>
      <c r="F537" s="219" t="b">
        <v>0</v>
      </c>
      <c r="G537" s="219"/>
    </row>
    <row r="538">
      <c r="A538" s="218">
        <f t="shared" si="1"/>
        <v>537</v>
      </c>
      <c r="B538" s="218" t="s">
        <v>71</v>
      </c>
      <c r="C538" s="218" t="s">
        <v>409</v>
      </c>
      <c r="D538" s="218" t="b">
        <v>1</v>
      </c>
      <c r="E538" s="219" t="b">
        <v>0</v>
      </c>
      <c r="F538" s="219" t="b">
        <v>0</v>
      </c>
      <c r="G538" s="219"/>
    </row>
    <row r="539">
      <c r="A539" s="218">
        <f t="shared" si="1"/>
        <v>538</v>
      </c>
      <c r="B539" s="218" t="s">
        <v>71</v>
      </c>
      <c r="C539" s="218" t="s">
        <v>2040</v>
      </c>
      <c r="D539" s="218" t="b">
        <v>1</v>
      </c>
      <c r="E539" s="219" t="b">
        <v>0</v>
      </c>
      <c r="F539" s="219" t="b">
        <v>0</v>
      </c>
      <c r="G539" s="219"/>
    </row>
    <row r="540">
      <c r="A540" s="218">
        <f t="shared" si="1"/>
        <v>539</v>
      </c>
      <c r="B540" s="218" t="s">
        <v>71</v>
      </c>
      <c r="C540" s="218" t="s">
        <v>823</v>
      </c>
      <c r="D540" s="218" t="b">
        <v>1</v>
      </c>
      <c r="E540" s="219" t="b">
        <v>0</v>
      </c>
      <c r="F540" s="219" t="b">
        <v>0</v>
      </c>
      <c r="G540" s="219"/>
    </row>
    <row r="541">
      <c r="A541" s="218">
        <f t="shared" si="1"/>
        <v>540</v>
      </c>
      <c r="B541" s="218" t="s">
        <v>71</v>
      </c>
      <c r="C541" s="218" t="s">
        <v>1125</v>
      </c>
      <c r="D541" s="218" t="b">
        <v>1</v>
      </c>
      <c r="E541" s="219" t="b">
        <v>0</v>
      </c>
      <c r="F541" s="219" t="b">
        <v>0</v>
      </c>
      <c r="G541" s="219"/>
    </row>
    <row r="542">
      <c r="A542" s="218">
        <f t="shared" si="1"/>
        <v>541</v>
      </c>
      <c r="B542" s="218" t="s">
        <v>71</v>
      </c>
      <c r="C542" s="218" t="s">
        <v>5154</v>
      </c>
      <c r="D542" s="218" t="b">
        <v>1</v>
      </c>
      <c r="E542" s="219" t="b">
        <v>0</v>
      </c>
      <c r="F542" s="219" t="b">
        <v>0</v>
      </c>
      <c r="G542" s="219"/>
    </row>
    <row r="543">
      <c r="A543" s="218">
        <f t="shared" si="1"/>
        <v>542</v>
      </c>
      <c r="B543" s="218" t="s">
        <v>71</v>
      </c>
      <c r="C543" s="218" t="s">
        <v>2961</v>
      </c>
      <c r="D543" s="218" t="b">
        <v>1</v>
      </c>
      <c r="E543" s="219" t="b">
        <v>0</v>
      </c>
      <c r="F543" s="219" t="b">
        <v>0</v>
      </c>
      <c r="G543" s="219"/>
    </row>
    <row r="544">
      <c r="A544" s="218">
        <f t="shared" si="1"/>
        <v>543</v>
      </c>
      <c r="B544" s="218" t="s">
        <v>71</v>
      </c>
      <c r="C544" s="218" t="s">
        <v>4014</v>
      </c>
      <c r="D544" s="218" t="b">
        <v>1</v>
      </c>
      <c r="E544" s="219" t="b">
        <v>0</v>
      </c>
      <c r="F544" s="219" t="b">
        <v>0</v>
      </c>
      <c r="G544" s="219"/>
    </row>
    <row r="545">
      <c r="A545" s="218">
        <f t="shared" si="1"/>
        <v>544</v>
      </c>
      <c r="B545" s="218" t="s">
        <v>71</v>
      </c>
      <c r="C545" s="218" t="s">
        <v>4010</v>
      </c>
      <c r="D545" s="218" t="b">
        <v>1</v>
      </c>
      <c r="E545" s="219" t="b">
        <v>0</v>
      </c>
      <c r="F545" s="219" t="b">
        <v>0</v>
      </c>
      <c r="G545" s="219"/>
    </row>
    <row r="546">
      <c r="A546" s="218">
        <f t="shared" si="1"/>
        <v>545</v>
      </c>
      <c r="B546" s="218" t="s">
        <v>71</v>
      </c>
      <c r="C546" s="218" t="s">
        <v>2223</v>
      </c>
      <c r="D546" s="218" t="b">
        <v>1</v>
      </c>
      <c r="E546" s="219" t="b">
        <v>0</v>
      </c>
      <c r="F546" s="219" t="b">
        <v>0</v>
      </c>
      <c r="G546" s="219"/>
    </row>
    <row r="547">
      <c r="A547" s="218">
        <f t="shared" si="1"/>
        <v>546</v>
      </c>
      <c r="B547" s="218" t="s">
        <v>71</v>
      </c>
      <c r="C547" s="218" t="s">
        <v>3990</v>
      </c>
      <c r="D547" s="218" t="b">
        <v>1</v>
      </c>
      <c r="E547" s="219" t="b">
        <v>0</v>
      </c>
      <c r="F547" s="219" t="b">
        <v>0</v>
      </c>
      <c r="G547" s="219"/>
    </row>
    <row r="548">
      <c r="A548" s="218">
        <f t="shared" si="1"/>
        <v>547</v>
      </c>
      <c r="B548" s="218" t="s">
        <v>71</v>
      </c>
      <c r="C548" s="218" t="s">
        <v>3984</v>
      </c>
      <c r="D548" s="218" t="b">
        <v>1</v>
      </c>
      <c r="E548" s="219" t="b">
        <v>0</v>
      </c>
      <c r="F548" s="219" t="b">
        <v>0</v>
      </c>
      <c r="G548" s="219"/>
    </row>
    <row r="549">
      <c r="A549" s="218">
        <f t="shared" si="1"/>
        <v>548</v>
      </c>
      <c r="B549" s="218" t="s">
        <v>71</v>
      </c>
      <c r="C549" s="218" t="s">
        <v>5091</v>
      </c>
      <c r="D549" s="218" t="b">
        <v>1</v>
      </c>
      <c r="E549" s="219" t="b">
        <v>0</v>
      </c>
      <c r="F549" s="219" t="b">
        <v>0</v>
      </c>
      <c r="G549" s="219"/>
    </row>
    <row r="550">
      <c r="A550" s="218">
        <f t="shared" si="1"/>
        <v>549</v>
      </c>
      <c r="B550" s="218" t="s">
        <v>71</v>
      </c>
      <c r="C550" s="218" t="s">
        <v>3870</v>
      </c>
      <c r="D550" s="218" t="b">
        <v>1</v>
      </c>
      <c r="E550" s="219" t="b">
        <v>0</v>
      </c>
      <c r="F550" s="219" t="b">
        <v>0</v>
      </c>
      <c r="G550" s="219"/>
    </row>
    <row r="551">
      <c r="A551" s="218">
        <f t="shared" si="1"/>
        <v>550</v>
      </c>
      <c r="B551" s="218" t="s">
        <v>71</v>
      </c>
      <c r="C551" s="218" t="s">
        <v>3739</v>
      </c>
      <c r="D551" s="218" t="b">
        <v>1</v>
      </c>
      <c r="E551" s="219" t="b">
        <v>0</v>
      </c>
      <c r="F551" s="219" t="b">
        <v>0</v>
      </c>
      <c r="G551" s="219"/>
    </row>
    <row r="552">
      <c r="A552" s="218">
        <f t="shared" si="1"/>
        <v>551</v>
      </c>
      <c r="B552" s="218" t="s">
        <v>71</v>
      </c>
      <c r="C552" s="218" t="s">
        <v>3409</v>
      </c>
      <c r="D552" s="218" t="b">
        <v>1</v>
      </c>
      <c r="E552" s="219" t="b">
        <v>0</v>
      </c>
      <c r="F552" s="219" t="b">
        <v>0</v>
      </c>
      <c r="G552" s="219"/>
    </row>
    <row r="553">
      <c r="A553" s="218">
        <f t="shared" si="1"/>
        <v>552</v>
      </c>
      <c r="B553" s="218" t="s">
        <v>71</v>
      </c>
      <c r="C553" s="218" t="s">
        <v>4309</v>
      </c>
      <c r="D553" s="218" t="b">
        <v>1</v>
      </c>
      <c r="E553" s="219" t="b">
        <v>0</v>
      </c>
      <c r="F553" s="219" t="b">
        <v>0</v>
      </c>
      <c r="G553" s="219"/>
    </row>
    <row r="554">
      <c r="A554" s="218">
        <f t="shared" si="1"/>
        <v>553</v>
      </c>
      <c r="B554" s="218" t="s">
        <v>71</v>
      </c>
      <c r="C554" s="218" t="s">
        <v>2012</v>
      </c>
      <c r="D554" s="218" t="b">
        <v>1</v>
      </c>
      <c r="E554" s="219" t="b">
        <v>0</v>
      </c>
      <c r="F554" s="219" t="b">
        <v>0</v>
      </c>
      <c r="G554" s="219"/>
    </row>
    <row r="555">
      <c r="A555" s="218">
        <f t="shared" si="1"/>
        <v>554</v>
      </c>
      <c r="B555" s="218" t="s">
        <v>71</v>
      </c>
      <c r="C555" s="218" t="s">
        <v>419</v>
      </c>
      <c r="D555" s="218" t="b">
        <v>1</v>
      </c>
      <c r="E555" s="219" t="b">
        <v>0</v>
      </c>
      <c r="F555" s="219" t="b">
        <v>0</v>
      </c>
      <c r="G555" s="219"/>
    </row>
    <row r="556">
      <c r="A556" s="218">
        <f t="shared" si="1"/>
        <v>555</v>
      </c>
      <c r="B556" s="218" t="s">
        <v>71</v>
      </c>
      <c r="C556" s="218" t="s">
        <v>3850</v>
      </c>
      <c r="D556" s="218" t="b">
        <v>1</v>
      </c>
      <c r="E556" s="219" t="b">
        <v>0</v>
      </c>
      <c r="F556" s="219" t="b">
        <v>0</v>
      </c>
      <c r="G556" s="219"/>
    </row>
    <row r="557">
      <c r="A557" s="218">
        <f t="shared" si="1"/>
        <v>556</v>
      </c>
      <c r="B557" s="218" t="s">
        <v>71</v>
      </c>
      <c r="C557" s="218" t="s">
        <v>4613</v>
      </c>
      <c r="D557" s="218" t="b">
        <v>1</v>
      </c>
      <c r="E557" s="219" t="b">
        <v>0</v>
      </c>
      <c r="F557" s="219" t="b">
        <v>0</v>
      </c>
      <c r="G557" s="219"/>
    </row>
    <row r="558">
      <c r="A558" s="218">
        <f t="shared" si="1"/>
        <v>557</v>
      </c>
      <c r="B558" s="218" t="s">
        <v>71</v>
      </c>
      <c r="C558" s="218" t="s">
        <v>2119</v>
      </c>
      <c r="D558" s="218" t="b">
        <v>1</v>
      </c>
      <c r="E558" s="219" t="b">
        <v>0</v>
      </c>
      <c r="F558" s="219" t="b">
        <v>0</v>
      </c>
      <c r="G558" s="219"/>
    </row>
    <row r="559">
      <c r="A559" s="218">
        <f t="shared" si="1"/>
        <v>558</v>
      </c>
      <c r="B559" s="218" t="s">
        <v>71</v>
      </c>
      <c r="C559" s="218" t="s">
        <v>3837</v>
      </c>
      <c r="D559" s="218" t="b">
        <v>1</v>
      </c>
      <c r="E559" s="219" t="b">
        <v>0</v>
      </c>
      <c r="F559" s="219" t="b">
        <v>0</v>
      </c>
      <c r="G559" s="219"/>
    </row>
    <row r="560">
      <c r="A560" s="218">
        <f t="shared" si="1"/>
        <v>559</v>
      </c>
      <c r="B560" s="218" t="s">
        <v>71</v>
      </c>
      <c r="C560" s="218" t="s">
        <v>3905</v>
      </c>
      <c r="D560" s="218" t="b">
        <v>1</v>
      </c>
      <c r="E560" s="219" t="b">
        <v>0</v>
      </c>
      <c r="F560" s="219" t="b">
        <v>0</v>
      </c>
      <c r="G560" s="219"/>
    </row>
    <row r="561">
      <c r="A561" s="218">
        <f t="shared" si="1"/>
        <v>560</v>
      </c>
      <c r="B561" s="218" t="s">
        <v>71</v>
      </c>
      <c r="C561" s="218" t="s">
        <v>2146</v>
      </c>
      <c r="D561" s="218" t="b">
        <v>1</v>
      </c>
      <c r="E561" s="219" t="b">
        <v>0</v>
      </c>
      <c r="F561" s="219" t="b">
        <v>0</v>
      </c>
      <c r="G561" s="219"/>
    </row>
    <row r="562">
      <c r="A562" s="218">
        <f t="shared" si="1"/>
        <v>561</v>
      </c>
      <c r="B562" s="218" t="s">
        <v>71</v>
      </c>
      <c r="C562" s="218" t="s">
        <v>4584</v>
      </c>
      <c r="D562" s="218" t="b">
        <v>1</v>
      </c>
      <c r="E562" s="219" t="b">
        <v>0</v>
      </c>
      <c r="F562" s="219" t="b">
        <v>0</v>
      </c>
      <c r="G562" s="219"/>
    </row>
    <row r="563">
      <c r="A563" s="218">
        <f t="shared" si="1"/>
        <v>562</v>
      </c>
      <c r="B563" s="218" t="s">
        <v>71</v>
      </c>
      <c r="C563" s="218" t="s">
        <v>3931</v>
      </c>
      <c r="D563" s="218" t="b">
        <v>1</v>
      </c>
      <c r="E563" s="219" t="b">
        <v>0</v>
      </c>
      <c r="F563" s="219" t="b">
        <v>0</v>
      </c>
      <c r="G563" s="219"/>
    </row>
    <row r="564">
      <c r="A564" s="218">
        <f t="shared" si="1"/>
        <v>563</v>
      </c>
      <c r="B564" s="218" t="s">
        <v>71</v>
      </c>
      <c r="C564" s="218" t="s">
        <v>3817</v>
      </c>
      <c r="D564" s="218" t="b">
        <v>1</v>
      </c>
      <c r="E564" s="219" t="b">
        <v>0</v>
      </c>
      <c r="F564" s="219" t="b">
        <v>0</v>
      </c>
      <c r="G564" s="219"/>
    </row>
    <row r="565">
      <c r="A565" s="218">
        <f t="shared" si="1"/>
        <v>564</v>
      </c>
      <c r="B565" s="218" t="s">
        <v>71</v>
      </c>
      <c r="C565" s="218" t="s">
        <v>2816</v>
      </c>
      <c r="D565" s="218" t="b">
        <v>1</v>
      </c>
      <c r="E565" s="219" t="b">
        <v>0</v>
      </c>
      <c r="F565" s="219" t="b">
        <v>0</v>
      </c>
      <c r="G565" s="219"/>
    </row>
    <row r="566">
      <c r="A566" s="218">
        <f t="shared" si="1"/>
        <v>565</v>
      </c>
      <c r="B566" s="218" t="s">
        <v>71</v>
      </c>
      <c r="C566" s="218" t="s">
        <v>3154</v>
      </c>
      <c r="D566" s="218" t="b">
        <v>1</v>
      </c>
      <c r="E566" s="219" t="b">
        <v>0</v>
      </c>
      <c r="F566" s="219" t="b">
        <v>0</v>
      </c>
      <c r="G566" s="219"/>
    </row>
    <row r="567">
      <c r="A567" s="218">
        <f t="shared" si="1"/>
        <v>566</v>
      </c>
      <c r="B567" s="218" t="s">
        <v>71</v>
      </c>
      <c r="C567" s="218" t="s">
        <v>3841</v>
      </c>
      <c r="D567" s="218" t="b">
        <v>1</v>
      </c>
      <c r="E567" s="219" t="b">
        <v>0</v>
      </c>
      <c r="F567" s="219" t="b">
        <v>0</v>
      </c>
      <c r="G567" s="219"/>
    </row>
    <row r="568">
      <c r="A568" s="218">
        <f t="shared" si="1"/>
        <v>567</v>
      </c>
      <c r="B568" s="218" t="s">
        <v>71</v>
      </c>
      <c r="C568" s="218" t="s">
        <v>4333</v>
      </c>
      <c r="D568" s="218" t="b">
        <v>1</v>
      </c>
      <c r="E568" s="219" t="b">
        <v>0</v>
      </c>
      <c r="F568" s="219" t="b">
        <v>0</v>
      </c>
      <c r="G568" s="219"/>
    </row>
    <row r="569">
      <c r="A569" s="218">
        <f t="shared" si="1"/>
        <v>568</v>
      </c>
      <c r="B569" s="218" t="s">
        <v>71</v>
      </c>
      <c r="C569" s="218" t="s">
        <v>4532</v>
      </c>
      <c r="D569" s="218" t="b">
        <v>1</v>
      </c>
      <c r="E569" s="219" t="b">
        <v>0</v>
      </c>
      <c r="F569" s="219" t="b">
        <v>0</v>
      </c>
      <c r="G569" s="219"/>
    </row>
    <row r="570">
      <c r="A570" s="218">
        <f t="shared" si="1"/>
        <v>569</v>
      </c>
      <c r="B570" s="218" t="s">
        <v>71</v>
      </c>
      <c r="C570" s="218" t="s">
        <v>2080</v>
      </c>
      <c r="D570" s="218" t="b">
        <v>1</v>
      </c>
      <c r="E570" s="219" t="b">
        <v>0</v>
      </c>
      <c r="F570" s="219" t="b">
        <v>0</v>
      </c>
      <c r="G570" s="219"/>
    </row>
    <row r="571">
      <c r="A571" s="218">
        <f t="shared" si="1"/>
        <v>570</v>
      </c>
      <c r="B571" s="218" t="s">
        <v>71</v>
      </c>
      <c r="C571" s="218" t="s">
        <v>3806</v>
      </c>
      <c r="D571" s="218" t="b">
        <v>1</v>
      </c>
      <c r="E571" s="219" t="b">
        <v>0</v>
      </c>
      <c r="F571" s="219" t="b">
        <v>0</v>
      </c>
      <c r="G571" s="219"/>
    </row>
    <row r="572">
      <c r="A572" s="218">
        <f t="shared" si="1"/>
        <v>571</v>
      </c>
      <c r="B572" s="218" t="s">
        <v>71</v>
      </c>
      <c r="C572" s="218" t="s">
        <v>3832</v>
      </c>
      <c r="D572" s="218" t="b">
        <v>1</v>
      </c>
      <c r="E572" s="219" t="b">
        <v>0</v>
      </c>
      <c r="F572" s="219" t="b">
        <v>0</v>
      </c>
      <c r="G572" s="219"/>
    </row>
    <row r="573">
      <c r="A573" s="218">
        <f t="shared" si="1"/>
        <v>572</v>
      </c>
      <c r="B573" s="218" t="s">
        <v>71</v>
      </c>
      <c r="C573" s="218" t="s">
        <v>3936</v>
      </c>
      <c r="D573" s="218" t="b">
        <v>1</v>
      </c>
      <c r="E573" s="219" t="b">
        <v>0</v>
      </c>
      <c r="F573" s="219" t="b">
        <v>0</v>
      </c>
      <c r="G573" s="219"/>
    </row>
    <row r="574">
      <c r="A574" s="218">
        <f t="shared" si="1"/>
        <v>573</v>
      </c>
      <c r="B574" s="218" t="s">
        <v>71</v>
      </c>
      <c r="C574" s="218" t="s">
        <v>852</v>
      </c>
      <c r="D574" s="218" t="b">
        <v>1</v>
      </c>
      <c r="E574" s="219" t="b">
        <v>0</v>
      </c>
      <c r="F574" s="219" t="b">
        <v>0</v>
      </c>
      <c r="G574" s="219"/>
    </row>
    <row r="575">
      <c r="A575" s="218">
        <f t="shared" si="1"/>
        <v>574</v>
      </c>
      <c r="B575" s="218" t="s">
        <v>71</v>
      </c>
      <c r="C575" s="218" t="s">
        <v>3709</v>
      </c>
      <c r="D575" s="218" t="b">
        <v>1</v>
      </c>
      <c r="E575" s="219" t="b">
        <v>0</v>
      </c>
      <c r="F575" s="219" t="b">
        <v>0</v>
      </c>
      <c r="G575" s="219"/>
    </row>
    <row r="576">
      <c r="A576" s="218">
        <f t="shared" si="1"/>
        <v>575</v>
      </c>
      <c r="B576" s="218" t="s">
        <v>71</v>
      </c>
      <c r="C576" s="218" t="s">
        <v>3559</v>
      </c>
      <c r="D576" s="218" t="b">
        <v>1</v>
      </c>
      <c r="E576" s="219" t="b">
        <v>0</v>
      </c>
      <c r="F576" s="219" t="b">
        <v>0</v>
      </c>
      <c r="G576" s="219"/>
    </row>
    <row r="577">
      <c r="A577" s="218">
        <f t="shared" si="1"/>
        <v>576</v>
      </c>
      <c r="B577" s="218" t="s">
        <v>71</v>
      </c>
      <c r="C577" s="218" t="s">
        <v>5397</v>
      </c>
      <c r="D577" s="218" t="b">
        <v>1</v>
      </c>
      <c r="E577" s="219" t="b">
        <v>0</v>
      </c>
      <c r="F577" s="219" t="b">
        <v>0</v>
      </c>
      <c r="G577" s="219"/>
    </row>
    <row r="578">
      <c r="A578" s="218">
        <f t="shared" si="1"/>
        <v>577</v>
      </c>
      <c r="B578" s="218" t="s">
        <v>71</v>
      </c>
      <c r="C578" s="218" t="s">
        <v>4259</v>
      </c>
      <c r="D578" s="218" t="b">
        <v>1</v>
      </c>
      <c r="E578" s="219" t="b">
        <v>0</v>
      </c>
      <c r="F578" s="219" t="b">
        <v>0</v>
      </c>
      <c r="G578" s="219"/>
    </row>
    <row r="579">
      <c r="A579" s="218">
        <f t="shared" si="1"/>
        <v>578</v>
      </c>
      <c r="B579" s="218" t="s">
        <v>71</v>
      </c>
      <c r="C579" s="218" t="s">
        <v>4856</v>
      </c>
      <c r="D579" s="218" t="b">
        <v>1</v>
      </c>
      <c r="E579" s="219" t="b">
        <v>0</v>
      </c>
      <c r="F579" s="219" t="b">
        <v>0</v>
      </c>
      <c r="G579" s="219"/>
    </row>
    <row r="580">
      <c r="A580" s="218">
        <f t="shared" si="1"/>
        <v>579</v>
      </c>
      <c r="B580" s="218" t="s">
        <v>71</v>
      </c>
      <c r="C580" s="218" t="s">
        <v>4265</v>
      </c>
      <c r="D580" s="218" t="b">
        <v>1</v>
      </c>
      <c r="E580" s="219" t="b">
        <v>0</v>
      </c>
      <c r="F580" s="219" t="b">
        <v>0</v>
      </c>
      <c r="G580" s="219"/>
    </row>
    <row r="581">
      <c r="A581" s="218">
        <f t="shared" si="1"/>
        <v>580</v>
      </c>
      <c r="B581" s="218" t="s">
        <v>71</v>
      </c>
      <c r="C581" s="218" t="s">
        <v>2110</v>
      </c>
      <c r="D581" s="218" t="b">
        <v>1</v>
      </c>
      <c r="E581" s="219" t="b">
        <v>0</v>
      </c>
      <c r="F581" s="219" t="b">
        <v>0</v>
      </c>
      <c r="G581" s="219"/>
    </row>
    <row r="582">
      <c r="A582" s="218">
        <f t="shared" si="1"/>
        <v>581</v>
      </c>
      <c r="B582" s="218" t="s">
        <v>71</v>
      </c>
      <c r="C582" s="218" t="s">
        <v>5031</v>
      </c>
      <c r="D582" s="218" t="b">
        <v>1</v>
      </c>
      <c r="E582" s="219" t="b">
        <v>0</v>
      </c>
      <c r="F582" s="219" t="b">
        <v>0</v>
      </c>
      <c r="G582" s="219"/>
    </row>
    <row r="583">
      <c r="A583" s="218">
        <f t="shared" si="1"/>
        <v>582</v>
      </c>
      <c r="B583" s="218" t="s">
        <v>71</v>
      </c>
      <c r="C583" s="218" t="s">
        <v>5348</v>
      </c>
      <c r="D583" s="218" t="b">
        <v>1</v>
      </c>
      <c r="E583" s="219" t="b">
        <v>0</v>
      </c>
      <c r="F583" s="219" t="b">
        <v>0</v>
      </c>
      <c r="G583" s="219"/>
    </row>
    <row r="584">
      <c r="A584" s="218">
        <f t="shared" si="1"/>
        <v>583</v>
      </c>
      <c r="B584" s="218" t="s">
        <v>71</v>
      </c>
      <c r="C584" s="218" t="s">
        <v>1944</v>
      </c>
      <c r="D584" s="218" t="b">
        <v>1</v>
      </c>
      <c r="E584" s="219" t="b">
        <v>0</v>
      </c>
      <c r="F584" s="219" t="b">
        <v>0</v>
      </c>
      <c r="G584" s="219"/>
    </row>
    <row r="585">
      <c r="A585" s="218">
        <f t="shared" si="1"/>
        <v>584</v>
      </c>
      <c r="B585" s="218" t="s">
        <v>71</v>
      </c>
      <c r="C585" s="218" t="s">
        <v>3171</v>
      </c>
      <c r="D585" s="218" t="b">
        <v>1</v>
      </c>
      <c r="E585" s="219" t="b">
        <v>0</v>
      </c>
      <c r="F585" s="219" t="b">
        <v>0</v>
      </c>
      <c r="G585" s="219"/>
    </row>
    <row r="586">
      <c r="A586" s="218">
        <f t="shared" si="1"/>
        <v>585</v>
      </c>
      <c r="B586" s="218" t="s">
        <v>71</v>
      </c>
      <c r="C586" s="218" t="s">
        <v>5126</v>
      </c>
      <c r="D586" s="218" t="b">
        <v>1</v>
      </c>
      <c r="E586" s="219" t="b">
        <v>0</v>
      </c>
      <c r="F586" s="219" t="b">
        <v>0</v>
      </c>
      <c r="G586" s="219"/>
    </row>
    <row r="587">
      <c r="A587" s="218">
        <f t="shared" si="1"/>
        <v>586</v>
      </c>
      <c r="B587" s="218" t="s">
        <v>71</v>
      </c>
      <c r="C587" s="218" t="s">
        <v>1040</v>
      </c>
      <c r="D587" s="218" t="b">
        <v>1</v>
      </c>
      <c r="E587" s="219" t="b">
        <v>0</v>
      </c>
      <c r="F587" s="219" t="b">
        <v>0</v>
      </c>
      <c r="G587" s="219"/>
    </row>
    <row r="588">
      <c r="A588" s="218">
        <f t="shared" si="1"/>
        <v>587</v>
      </c>
      <c r="B588" s="218" t="s">
        <v>71</v>
      </c>
      <c r="C588" s="218" t="s">
        <v>2395</v>
      </c>
      <c r="D588" s="218" t="b">
        <v>1</v>
      </c>
      <c r="E588" s="219" t="b">
        <v>0</v>
      </c>
      <c r="F588" s="219" t="b">
        <v>0</v>
      </c>
      <c r="G588" s="219"/>
    </row>
    <row r="589">
      <c r="A589" s="218">
        <f t="shared" si="1"/>
        <v>588</v>
      </c>
      <c r="B589" s="218" t="s">
        <v>71</v>
      </c>
      <c r="C589" s="218" t="s">
        <v>6475</v>
      </c>
      <c r="D589" s="218" t="b">
        <v>1</v>
      </c>
      <c r="E589" s="219" t="b">
        <v>0</v>
      </c>
      <c r="F589" s="219" t="b">
        <v>0</v>
      </c>
      <c r="G589" s="219"/>
    </row>
    <row r="590">
      <c r="A590" s="218">
        <f t="shared" si="1"/>
        <v>589</v>
      </c>
      <c r="B590" s="218" t="s">
        <v>71</v>
      </c>
      <c r="C590" s="218" t="s">
        <v>1242</v>
      </c>
      <c r="D590" s="218" t="b">
        <v>1</v>
      </c>
      <c r="E590" s="219" t="b">
        <v>0</v>
      </c>
      <c r="F590" s="219" t="b">
        <v>0</v>
      </c>
      <c r="G590" s="219"/>
    </row>
    <row r="591">
      <c r="A591" s="218">
        <f t="shared" si="1"/>
        <v>590</v>
      </c>
      <c r="B591" s="218" t="s">
        <v>71</v>
      </c>
      <c r="C591" s="218" t="s">
        <v>3367</v>
      </c>
      <c r="D591" s="218" t="b">
        <v>1</v>
      </c>
      <c r="E591" s="219" t="b">
        <v>0</v>
      </c>
      <c r="F591" s="219" t="b">
        <v>0</v>
      </c>
      <c r="G591" s="219"/>
    </row>
    <row r="592">
      <c r="A592" s="218">
        <f t="shared" si="1"/>
        <v>591</v>
      </c>
      <c r="B592" s="218" t="s">
        <v>71</v>
      </c>
      <c r="C592" s="218" t="s">
        <v>3979</v>
      </c>
      <c r="D592" s="218" t="b">
        <v>1</v>
      </c>
      <c r="E592" s="219" t="b">
        <v>0</v>
      </c>
      <c r="F592" s="219" t="b">
        <v>0</v>
      </c>
      <c r="G592" s="219"/>
    </row>
    <row r="593">
      <c r="A593" s="218">
        <f t="shared" si="1"/>
        <v>592</v>
      </c>
      <c r="B593" s="218" t="s">
        <v>71</v>
      </c>
      <c r="C593" s="218" t="s">
        <v>4104</v>
      </c>
      <c r="D593" s="218" t="b">
        <v>1</v>
      </c>
      <c r="E593" s="219" t="b">
        <v>0</v>
      </c>
      <c r="F593" s="219" t="b">
        <v>0</v>
      </c>
      <c r="G593" s="219"/>
    </row>
    <row r="594">
      <c r="A594" s="218">
        <f t="shared" si="1"/>
        <v>593</v>
      </c>
      <c r="B594" s="218" t="s">
        <v>71</v>
      </c>
      <c r="C594" s="218" t="s">
        <v>3015</v>
      </c>
      <c r="D594" s="218" t="b">
        <v>1</v>
      </c>
      <c r="E594" s="219" t="b">
        <v>0</v>
      </c>
      <c r="F594" s="219" t="b">
        <v>0</v>
      </c>
      <c r="G594" s="219"/>
    </row>
    <row r="595">
      <c r="A595" s="218">
        <f t="shared" si="1"/>
        <v>594</v>
      </c>
      <c r="B595" s="218" t="s">
        <v>71</v>
      </c>
      <c r="C595" s="218" t="s">
        <v>468</v>
      </c>
      <c r="D595" s="218" t="b">
        <v>1</v>
      </c>
      <c r="E595" s="219" t="b">
        <v>0</v>
      </c>
      <c r="F595" s="219" t="b">
        <v>0</v>
      </c>
      <c r="G595" s="219"/>
    </row>
    <row r="596">
      <c r="A596" s="218">
        <f t="shared" si="1"/>
        <v>595</v>
      </c>
      <c r="B596" s="218" t="s">
        <v>71</v>
      </c>
      <c r="C596" s="218" t="s">
        <v>3759</v>
      </c>
      <c r="D596" s="218" t="b">
        <v>1</v>
      </c>
      <c r="E596" s="219" t="b">
        <v>0</v>
      </c>
      <c r="F596" s="219" t="b">
        <v>0</v>
      </c>
      <c r="G596" s="219"/>
    </row>
    <row r="597">
      <c r="A597" s="218">
        <f t="shared" si="1"/>
        <v>596</v>
      </c>
      <c r="B597" s="218" t="s">
        <v>71</v>
      </c>
      <c r="C597" s="218" t="s">
        <v>3163</v>
      </c>
      <c r="D597" s="218" t="b">
        <v>1</v>
      </c>
      <c r="E597" s="219" t="b">
        <v>0</v>
      </c>
      <c r="F597" s="219" t="b">
        <v>0</v>
      </c>
      <c r="G597" s="219"/>
    </row>
    <row r="598">
      <c r="A598" s="218">
        <f t="shared" si="1"/>
        <v>597</v>
      </c>
      <c r="B598" s="218" t="s">
        <v>71</v>
      </c>
      <c r="C598" s="218" t="s">
        <v>2430</v>
      </c>
      <c r="D598" s="218" t="b">
        <v>1</v>
      </c>
      <c r="E598" s="219" t="b">
        <v>0</v>
      </c>
      <c r="F598" s="219" t="b">
        <v>0</v>
      </c>
      <c r="G598" s="219"/>
    </row>
    <row r="599">
      <c r="A599" s="218">
        <f t="shared" si="1"/>
        <v>598</v>
      </c>
      <c r="B599" s="218" t="s">
        <v>71</v>
      </c>
      <c r="C599" s="218" t="s">
        <v>1238</v>
      </c>
      <c r="D599" s="218" t="b">
        <v>1</v>
      </c>
      <c r="E599" s="219" t="b">
        <v>0</v>
      </c>
      <c r="F599" s="219" t="b">
        <v>0</v>
      </c>
      <c r="G599" s="219"/>
    </row>
    <row r="600">
      <c r="A600" s="218">
        <f t="shared" si="1"/>
        <v>599</v>
      </c>
      <c r="B600" s="218" t="s">
        <v>71</v>
      </c>
      <c r="C600" s="218" t="s">
        <v>3095</v>
      </c>
      <c r="D600" s="218" t="b">
        <v>1</v>
      </c>
      <c r="E600" s="219" t="b">
        <v>0</v>
      </c>
      <c r="F600" s="219" t="b">
        <v>0</v>
      </c>
      <c r="G600" s="219"/>
    </row>
    <row r="601">
      <c r="A601" s="218">
        <f t="shared" si="1"/>
        <v>600</v>
      </c>
      <c r="B601" s="218" t="s">
        <v>71</v>
      </c>
      <c r="C601" s="218" t="s">
        <v>1939</v>
      </c>
      <c r="D601" s="218" t="b">
        <v>1</v>
      </c>
      <c r="E601" s="219" t="b">
        <v>0</v>
      </c>
      <c r="F601" s="219" t="b">
        <v>0</v>
      </c>
      <c r="G601" s="219"/>
    </row>
    <row r="602">
      <c r="A602" s="218">
        <f t="shared" si="1"/>
        <v>601</v>
      </c>
      <c r="B602" s="218" t="s">
        <v>71</v>
      </c>
      <c r="C602" s="218" t="s">
        <v>2530</v>
      </c>
      <c r="D602" s="218" t="b">
        <v>1</v>
      </c>
      <c r="E602" s="219" t="b">
        <v>0</v>
      </c>
      <c r="F602" s="219" t="b">
        <v>0</v>
      </c>
      <c r="G602" s="219"/>
    </row>
    <row r="603">
      <c r="A603" s="218">
        <f t="shared" si="1"/>
        <v>602</v>
      </c>
      <c r="B603" s="218" t="s">
        <v>71</v>
      </c>
      <c r="C603" s="218" t="s">
        <v>1115</v>
      </c>
      <c r="D603" s="218" t="b">
        <v>1</v>
      </c>
      <c r="E603" s="219" t="b">
        <v>0</v>
      </c>
      <c r="F603" s="219" t="b">
        <v>0</v>
      </c>
      <c r="G603" s="219"/>
    </row>
    <row r="604">
      <c r="A604" s="218">
        <f t="shared" si="1"/>
        <v>603</v>
      </c>
      <c r="B604" s="218" t="s">
        <v>71</v>
      </c>
      <c r="C604" s="218" t="s">
        <v>1096</v>
      </c>
      <c r="D604" s="218" t="b">
        <v>1</v>
      </c>
      <c r="E604" s="219" t="b">
        <v>0</v>
      </c>
      <c r="F604" s="219" t="b">
        <v>0</v>
      </c>
      <c r="G604" s="219"/>
    </row>
    <row r="605">
      <c r="A605" s="218">
        <f t="shared" si="1"/>
        <v>604</v>
      </c>
      <c r="B605" s="218" t="s">
        <v>71</v>
      </c>
      <c r="C605" s="218" t="s">
        <v>4563</v>
      </c>
      <c r="D605" s="218" t="b">
        <v>1</v>
      </c>
      <c r="E605" s="219" t="b">
        <v>0</v>
      </c>
      <c r="F605" s="219" t="b">
        <v>0</v>
      </c>
      <c r="G605" s="219"/>
    </row>
    <row r="606">
      <c r="A606" s="218">
        <f t="shared" si="1"/>
        <v>605</v>
      </c>
      <c r="B606" s="218" t="s">
        <v>71</v>
      </c>
      <c r="C606" s="218" t="s">
        <v>2200</v>
      </c>
      <c r="D606" s="218" t="b">
        <v>1</v>
      </c>
      <c r="E606" s="219" t="b">
        <v>0</v>
      </c>
      <c r="F606" s="219" t="b">
        <v>0</v>
      </c>
      <c r="G606" s="219"/>
    </row>
    <row r="607">
      <c r="A607" s="218">
        <f t="shared" si="1"/>
        <v>606</v>
      </c>
      <c r="B607" s="218" t="s">
        <v>71</v>
      </c>
      <c r="C607" s="218" t="s">
        <v>6477</v>
      </c>
      <c r="D607" s="218" t="b">
        <v>1</v>
      </c>
      <c r="E607" s="219" t="b">
        <v>0</v>
      </c>
      <c r="F607" s="219" t="b">
        <v>0</v>
      </c>
      <c r="G607" s="219"/>
    </row>
    <row r="608">
      <c r="A608" s="218">
        <f t="shared" si="1"/>
        <v>607</v>
      </c>
      <c r="B608" s="218" t="s">
        <v>71</v>
      </c>
      <c r="C608" s="218" t="s">
        <v>2136</v>
      </c>
      <c r="D608" s="218" t="b">
        <v>1</v>
      </c>
      <c r="E608" s="219" t="b">
        <v>0</v>
      </c>
      <c r="F608" s="219" t="b">
        <v>0</v>
      </c>
      <c r="G608" s="219"/>
    </row>
    <row r="609">
      <c r="A609" s="218">
        <f t="shared" si="1"/>
        <v>608</v>
      </c>
      <c r="B609" s="218" t="s">
        <v>71</v>
      </c>
      <c r="C609" s="218" t="s">
        <v>4975</v>
      </c>
      <c r="D609" s="218" t="b">
        <v>1</v>
      </c>
      <c r="E609" s="219" t="b">
        <v>0</v>
      </c>
      <c r="F609" s="219" t="b">
        <v>0</v>
      </c>
      <c r="G609" s="219"/>
    </row>
    <row r="610">
      <c r="A610" s="218">
        <f t="shared" si="1"/>
        <v>609</v>
      </c>
      <c r="B610" s="218" t="s">
        <v>71</v>
      </c>
      <c r="C610" s="218" t="s">
        <v>1049</v>
      </c>
      <c r="D610" s="218" t="b">
        <v>1</v>
      </c>
      <c r="E610" s="219" t="b">
        <v>0</v>
      </c>
      <c r="F610" s="219" t="b">
        <v>0</v>
      </c>
      <c r="G610" s="219"/>
    </row>
    <row r="611">
      <c r="A611" s="218">
        <f t="shared" si="1"/>
        <v>610</v>
      </c>
      <c r="B611" s="218" t="s">
        <v>71</v>
      </c>
      <c r="C611" s="218" t="s">
        <v>5416</v>
      </c>
      <c r="D611" s="218" t="b">
        <v>1</v>
      </c>
      <c r="E611" s="219" t="b">
        <v>0</v>
      </c>
      <c r="F611" s="219" t="b">
        <v>0</v>
      </c>
      <c r="G611" s="219"/>
    </row>
    <row r="612">
      <c r="A612" s="218">
        <f t="shared" si="1"/>
        <v>611</v>
      </c>
      <c r="B612" s="218" t="s">
        <v>71</v>
      </c>
      <c r="C612" s="218" t="s">
        <v>4248</v>
      </c>
      <c r="D612" s="218" t="b">
        <v>1</v>
      </c>
      <c r="E612" s="219" t="b">
        <v>0</v>
      </c>
      <c r="F612" s="219" t="b">
        <v>0</v>
      </c>
      <c r="G612" s="219"/>
    </row>
    <row r="613">
      <c r="A613" s="218">
        <f t="shared" si="1"/>
        <v>612</v>
      </c>
      <c r="B613" s="218" t="s">
        <v>71</v>
      </c>
      <c r="C613" s="218" t="s">
        <v>1044</v>
      </c>
      <c r="D613" s="218" t="b">
        <v>1</v>
      </c>
      <c r="E613" s="219" t="b">
        <v>0</v>
      </c>
      <c r="F613" s="219" t="b">
        <v>0</v>
      </c>
      <c r="G613" s="219"/>
    </row>
    <row r="614">
      <c r="A614" s="218">
        <f t="shared" si="1"/>
        <v>613</v>
      </c>
      <c r="B614" s="218" t="s">
        <v>71</v>
      </c>
      <c r="C614" s="218" t="s">
        <v>2094</v>
      </c>
      <c r="D614" s="218" t="b">
        <v>1</v>
      </c>
      <c r="E614" s="219" t="b">
        <v>0</v>
      </c>
      <c r="F614" s="219" t="b">
        <v>0</v>
      </c>
      <c r="G614" s="219"/>
    </row>
    <row r="615">
      <c r="A615" s="218">
        <f t="shared" si="1"/>
        <v>614</v>
      </c>
      <c r="B615" s="218" t="s">
        <v>71</v>
      </c>
      <c r="C615" s="218" t="s">
        <v>1435</v>
      </c>
      <c r="D615" s="218" t="b">
        <v>1</v>
      </c>
      <c r="E615" s="219" t="b">
        <v>0</v>
      </c>
      <c r="F615" s="219" t="b">
        <v>0</v>
      </c>
      <c r="G615" s="219"/>
    </row>
    <row r="616">
      <c r="A616" s="218">
        <f t="shared" si="1"/>
        <v>615</v>
      </c>
      <c r="B616" s="218" t="s">
        <v>71</v>
      </c>
      <c r="C616" s="218" t="s">
        <v>1404</v>
      </c>
      <c r="D616" s="218" t="b">
        <v>1</v>
      </c>
      <c r="E616" s="219" t="b">
        <v>0</v>
      </c>
      <c r="F616" s="219" t="b">
        <v>0</v>
      </c>
      <c r="G616" s="219"/>
    </row>
    <row r="617">
      <c r="A617" s="218">
        <f t="shared" si="1"/>
        <v>616</v>
      </c>
      <c r="B617" s="218" t="s">
        <v>71</v>
      </c>
      <c r="C617" s="218" t="s">
        <v>3392</v>
      </c>
      <c r="D617" s="218" t="b">
        <v>1</v>
      </c>
      <c r="E617" s="219" t="b">
        <v>0</v>
      </c>
      <c r="F617" s="219" t="b">
        <v>0</v>
      </c>
      <c r="G617" s="219"/>
    </row>
    <row r="618">
      <c r="A618" s="218">
        <f t="shared" si="1"/>
        <v>617</v>
      </c>
      <c r="B618" s="218" t="s">
        <v>71</v>
      </c>
      <c r="C618" s="218" t="s">
        <v>1194</v>
      </c>
      <c r="D618" s="218" t="b">
        <v>1</v>
      </c>
      <c r="E618" s="219" t="b">
        <v>0</v>
      </c>
      <c r="F618" s="219" t="b">
        <v>0</v>
      </c>
      <c r="G618" s="219"/>
    </row>
    <row r="619">
      <c r="A619" s="218">
        <f t="shared" si="1"/>
        <v>618</v>
      </c>
      <c r="B619" s="218" t="s">
        <v>71</v>
      </c>
      <c r="C619" s="218" t="s">
        <v>1449</v>
      </c>
      <c r="D619" s="218" t="b">
        <v>1</v>
      </c>
      <c r="E619" s="219" t="b">
        <v>0</v>
      </c>
      <c r="F619" s="219" t="b">
        <v>0</v>
      </c>
      <c r="G619" s="219"/>
    </row>
    <row r="620">
      <c r="A620" s="218">
        <f t="shared" si="1"/>
        <v>619</v>
      </c>
      <c r="B620" s="218" t="s">
        <v>71</v>
      </c>
      <c r="C620" s="218" t="s">
        <v>2831</v>
      </c>
      <c r="D620" s="218" t="b">
        <v>1</v>
      </c>
      <c r="E620" s="219" t="b">
        <v>0</v>
      </c>
      <c r="F620" s="219" t="b">
        <v>0</v>
      </c>
      <c r="G620" s="219"/>
    </row>
    <row r="621">
      <c r="A621" s="218">
        <f t="shared" si="1"/>
        <v>620</v>
      </c>
      <c r="B621" s="218" t="s">
        <v>71</v>
      </c>
      <c r="C621" s="218" t="s">
        <v>4571</v>
      </c>
      <c r="D621" s="218" t="b">
        <v>1</v>
      </c>
      <c r="E621" s="219" t="b">
        <v>0</v>
      </c>
      <c r="F621" s="219" t="b">
        <v>0</v>
      </c>
      <c r="G621" s="219"/>
    </row>
    <row r="622">
      <c r="A622" s="218">
        <f t="shared" si="1"/>
        <v>621</v>
      </c>
      <c r="B622" s="218" t="s">
        <v>71</v>
      </c>
      <c r="C622" s="218" t="s">
        <v>5290</v>
      </c>
      <c r="D622" s="218" t="b">
        <v>1</v>
      </c>
      <c r="E622" s="219" t="b">
        <v>0</v>
      </c>
      <c r="F622" s="219" t="b">
        <v>0</v>
      </c>
      <c r="G622" s="219"/>
    </row>
    <row r="623">
      <c r="A623" s="218">
        <f t="shared" si="1"/>
        <v>622</v>
      </c>
      <c r="B623" s="218" t="s">
        <v>71</v>
      </c>
      <c r="C623" s="218" t="s">
        <v>5178</v>
      </c>
      <c r="D623" s="218" t="b">
        <v>1</v>
      </c>
      <c r="E623" s="219" t="b">
        <v>0</v>
      </c>
      <c r="F623" s="219" t="b">
        <v>0</v>
      </c>
      <c r="G623" s="219"/>
    </row>
    <row r="624">
      <c r="A624" s="218">
        <f t="shared" si="1"/>
        <v>623</v>
      </c>
      <c r="B624" s="218" t="s">
        <v>71</v>
      </c>
      <c r="C624" s="218" t="s">
        <v>3689</v>
      </c>
      <c r="D624" s="218" t="b">
        <v>1</v>
      </c>
      <c r="E624" s="219" t="b">
        <v>0</v>
      </c>
      <c r="F624" s="219" t="b">
        <v>0</v>
      </c>
      <c r="G624" s="219"/>
    </row>
    <row r="625">
      <c r="A625" s="218">
        <f t="shared" si="1"/>
        <v>624</v>
      </c>
      <c r="B625" s="218" t="s">
        <v>71</v>
      </c>
      <c r="C625" s="218" t="s">
        <v>4287</v>
      </c>
      <c r="D625" s="218" t="b">
        <v>1</v>
      </c>
      <c r="E625" s="219" t="b">
        <v>0</v>
      </c>
      <c r="F625" s="219" t="b">
        <v>0</v>
      </c>
      <c r="G625" s="219"/>
    </row>
    <row r="626">
      <c r="A626" s="218">
        <f t="shared" si="1"/>
        <v>625</v>
      </c>
      <c r="B626" s="218" t="s">
        <v>71</v>
      </c>
      <c r="C626" s="218" t="s">
        <v>3744</v>
      </c>
      <c r="D626" s="218" t="b">
        <v>1</v>
      </c>
      <c r="E626" s="219" t="b">
        <v>0</v>
      </c>
      <c r="F626" s="219" t="b">
        <v>0</v>
      </c>
      <c r="G626" s="219"/>
    </row>
    <row r="627">
      <c r="A627" s="218">
        <f t="shared" si="1"/>
        <v>626</v>
      </c>
      <c r="B627" s="218" t="s">
        <v>71</v>
      </c>
      <c r="C627" s="218" t="s">
        <v>3765</v>
      </c>
      <c r="D627" s="218" t="b">
        <v>1</v>
      </c>
      <c r="E627" s="219" t="b">
        <v>0</v>
      </c>
      <c r="F627" s="219" t="b">
        <v>0</v>
      </c>
      <c r="G627" s="219"/>
    </row>
    <row r="628">
      <c r="A628" s="218">
        <f t="shared" si="1"/>
        <v>627</v>
      </c>
      <c r="B628" s="218" t="s">
        <v>71</v>
      </c>
      <c r="C628" s="218" t="s">
        <v>3765</v>
      </c>
      <c r="D628" s="218" t="b">
        <v>1</v>
      </c>
      <c r="E628" s="219" t="b">
        <v>0</v>
      </c>
      <c r="F628" s="219" t="b">
        <v>0</v>
      </c>
      <c r="G628" s="219"/>
    </row>
    <row r="629">
      <c r="A629" s="218">
        <f t="shared" si="1"/>
        <v>628</v>
      </c>
      <c r="B629" s="218" t="s">
        <v>71</v>
      </c>
      <c r="C629" s="218" t="s">
        <v>3916</v>
      </c>
      <c r="D629" s="218" t="b">
        <v>1</v>
      </c>
      <c r="E629" s="219" t="b">
        <v>0</v>
      </c>
      <c r="F629" s="219" t="b">
        <v>0</v>
      </c>
      <c r="G629" s="219"/>
    </row>
    <row r="630">
      <c r="A630" s="218">
        <f t="shared" si="1"/>
        <v>629</v>
      </c>
      <c r="B630" s="218" t="s">
        <v>71</v>
      </c>
      <c r="C630" s="218" t="s">
        <v>1839</v>
      </c>
      <c r="D630" s="218" t="b">
        <v>1</v>
      </c>
      <c r="E630" s="219" t="b">
        <v>0</v>
      </c>
      <c r="F630" s="219" t="b">
        <v>0</v>
      </c>
      <c r="G630" s="219"/>
    </row>
    <row r="631">
      <c r="A631" s="218">
        <f t="shared" si="1"/>
        <v>630</v>
      </c>
      <c r="B631" s="218" t="s">
        <v>71</v>
      </c>
      <c r="C631" s="218" t="s">
        <v>4347</v>
      </c>
      <c r="D631" s="218" t="b">
        <v>1</v>
      </c>
      <c r="E631" s="219" t="b">
        <v>0</v>
      </c>
      <c r="F631" s="219" t="b">
        <v>0</v>
      </c>
      <c r="G631" s="219"/>
    </row>
    <row r="632">
      <c r="A632" s="218">
        <f t="shared" si="1"/>
        <v>631</v>
      </c>
      <c r="B632" s="218" t="s">
        <v>71</v>
      </c>
      <c r="C632" s="218" t="s">
        <v>4478</v>
      </c>
      <c r="D632" s="218" t="b">
        <v>1</v>
      </c>
      <c r="E632" s="219" t="b">
        <v>0</v>
      </c>
      <c r="F632" s="219" t="b">
        <v>0</v>
      </c>
      <c r="G632" s="219"/>
    </row>
    <row r="633">
      <c r="A633" s="218">
        <f t="shared" si="1"/>
        <v>632</v>
      </c>
      <c r="B633" s="218" t="s">
        <v>71</v>
      </c>
      <c r="C633" s="218" t="s">
        <v>4729</v>
      </c>
      <c r="D633" s="218" t="b">
        <v>1</v>
      </c>
      <c r="E633" s="219" t="b">
        <v>0</v>
      </c>
      <c r="F633" s="219" t="b">
        <v>0</v>
      </c>
      <c r="G633" s="219"/>
    </row>
    <row r="634">
      <c r="A634" s="218">
        <f t="shared" si="1"/>
        <v>633</v>
      </c>
      <c r="B634" s="218" t="s">
        <v>71</v>
      </c>
      <c r="C634" s="218" t="s">
        <v>2175</v>
      </c>
      <c r="D634" s="218" t="b">
        <v>1</v>
      </c>
      <c r="E634" s="219" t="b">
        <v>0</v>
      </c>
      <c r="F634" s="219" t="b">
        <v>0</v>
      </c>
      <c r="G634" s="219"/>
    </row>
    <row r="635">
      <c r="A635" s="218">
        <f t="shared" si="1"/>
        <v>634</v>
      </c>
      <c r="B635" s="218" t="s">
        <v>71</v>
      </c>
      <c r="C635" s="218" t="s">
        <v>2175</v>
      </c>
      <c r="D635" s="218" t="b">
        <v>1</v>
      </c>
      <c r="E635" s="219" t="b">
        <v>0</v>
      </c>
      <c r="F635" s="219" t="b">
        <v>0</v>
      </c>
      <c r="G635" s="219"/>
    </row>
    <row r="636">
      <c r="A636" s="218">
        <f t="shared" si="1"/>
        <v>635</v>
      </c>
      <c r="B636" s="218" t="s">
        <v>71</v>
      </c>
      <c r="C636" s="218" t="s">
        <v>3784</v>
      </c>
      <c r="D636" s="218" t="b">
        <v>1</v>
      </c>
      <c r="E636" s="219" t="b">
        <v>0</v>
      </c>
      <c r="F636" s="219" t="b">
        <v>0</v>
      </c>
      <c r="G636" s="219"/>
    </row>
    <row r="637">
      <c r="A637" s="218">
        <f t="shared" si="1"/>
        <v>636</v>
      </c>
      <c r="B637" s="218" t="s">
        <v>71</v>
      </c>
      <c r="C637" s="218" t="s">
        <v>4608</v>
      </c>
      <c r="D637" s="218" t="b">
        <v>1</v>
      </c>
      <c r="E637" s="219" t="b">
        <v>0</v>
      </c>
      <c r="F637" s="219" t="b">
        <v>0</v>
      </c>
      <c r="G637" s="219"/>
    </row>
    <row r="638">
      <c r="A638" s="218">
        <f t="shared" si="1"/>
        <v>637</v>
      </c>
      <c r="B638" s="218" t="s">
        <v>71</v>
      </c>
      <c r="C638" s="218" t="s">
        <v>3733</v>
      </c>
      <c r="D638" s="218" t="b">
        <v>1</v>
      </c>
      <c r="E638" s="219" t="b">
        <v>0</v>
      </c>
      <c r="F638" s="219" t="b">
        <v>0</v>
      </c>
      <c r="G638" s="219"/>
    </row>
    <row r="639">
      <c r="A639" s="218">
        <f t="shared" si="1"/>
        <v>638</v>
      </c>
      <c r="B639" s="218" t="s">
        <v>71</v>
      </c>
      <c r="C639" s="218" t="s">
        <v>3729</v>
      </c>
      <c r="D639" s="218" t="b">
        <v>1</v>
      </c>
      <c r="E639" s="219" t="b">
        <v>0</v>
      </c>
      <c r="F639" s="219" t="b">
        <v>0</v>
      </c>
      <c r="G639" s="219"/>
    </row>
    <row r="640">
      <c r="A640" s="218">
        <f t="shared" si="1"/>
        <v>639</v>
      </c>
      <c r="B640" s="218" t="s">
        <v>71</v>
      </c>
      <c r="C640" s="218" t="s">
        <v>5296</v>
      </c>
      <c r="D640" s="218" t="b">
        <v>1</v>
      </c>
      <c r="E640" s="219" t="b">
        <v>0</v>
      </c>
      <c r="F640" s="219" t="b">
        <v>0</v>
      </c>
      <c r="G640" s="219"/>
    </row>
    <row r="641">
      <c r="A641" s="218">
        <f t="shared" si="1"/>
        <v>640</v>
      </c>
      <c r="B641" s="218" t="s">
        <v>71</v>
      </c>
      <c r="C641" s="218" t="s">
        <v>2729</v>
      </c>
      <c r="D641" s="218" t="b">
        <v>1</v>
      </c>
      <c r="E641" s="219" t="b">
        <v>0</v>
      </c>
      <c r="F641" s="219" t="b">
        <v>0</v>
      </c>
      <c r="G641" s="219"/>
    </row>
    <row r="642">
      <c r="A642" s="218">
        <f t="shared" si="1"/>
        <v>641</v>
      </c>
      <c r="B642" s="218" t="s">
        <v>71</v>
      </c>
      <c r="C642" s="218" t="s">
        <v>4900</v>
      </c>
      <c r="D642" s="218" t="b">
        <v>1</v>
      </c>
      <c r="E642" s="219" t="b">
        <v>0</v>
      </c>
      <c r="F642" s="219" t="b">
        <v>0</v>
      </c>
      <c r="G642" s="219"/>
    </row>
    <row r="643">
      <c r="A643" s="218">
        <f t="shared" si="1"/>
        <v>642</v>
      </c>
      <c r="B643" s="218" t="s">
        <v>71</v>
      </c>
      <c r="C643" s="218" t="s">
        <v>5080</v>
      </c>
      <c r="D643" s="218" t="b">
        <v>1</v>
      </c>
      <c r="E643" s="219" t="b">
        <v>0</v>
      </c>
      <c r="F643" s="219" t="b">
        <v>0</v>
      </c>
      <c r="G643" s="219"/>
    </row>
    <row r="644">
      <c r="A644" s="218">
        <f t="shared" si="1"/>
        <v>643</v>
      </c>
      <c r="B644" s="218" t="s">
        <v>71</v>
      </c>
      <c r="C644" s="218" t="s">
        <v>5253</v>
      </c>
      <c r="D644" s="218" t="b">
        <v>1</v>
      </c>
      <c r="E644" s="219" t="b">
        <v>0</v>
      </c>
      <c r="F644" s="219" t="b">
        <v>0</v>
      </c>
      <c r="G644" s="219"/>
    </row>
    <row r="645">
      <c r="A645" s="218">
        <f t="shared" si="1"/>
        <v>644</v>
      </c>
      <c r="B645" s="218" t="s">
        <v>71</v>
      </c>
      <c r="C645" s="218" t="s">
        <v>2946</v>
      </c>
      <c r="D645" s="218" t="b">
        <v>1</v>
      </c>
      <c r="E645" s="219" t="b">
        <v>0</v>
      </c>
      <c r="F645" s="219" t="b">
        <v>0</v>
      </c>
      <c r="G645" s="219"/>
    </row>
    <row r="646">
      <c r="A646" s="218">
        <f t="shared" si="1"/>
        <v>645</v>
      </c>
      <c r="B646" s="218" t="s">
        <v>71</v>
      </c>
      <c r="C646" s="218" t="s">
        <v>4137</v>
      </c>
      <c r="D646" s="218" t="b">
        <v>1</v>
      </c>
      <c r="E646" s="219" t="b">
        <v>0</v>
      </c>
      <c r="F646" s="219" t="b">
        <v>0</v>
      </c>
      <c r="G646" s="219"/>
    </row>
    <row r="647">
      <c r="A647" s="218">
        <f t="shared" si="1"/>
        <v>646</v>
      </c>
      <c r="B647" s="218" t="s">
        <v>71</v>
      </c>
      <c r="C647" s="218" t="s">
        <v>3975</v>
      </c>
      <c r="D647" s="218" t="b">
        <v>1</v>
      </c>
      <c r="E647" s="219" t="b">
        <v>0</v>
      </c>
      <c r="F647" s="219" t="b">
        <v>0</v>
      </c>
      <c r="G647" s="219"/>
    </row>
    <row r="648">
      <c r="A648" s="218">
        <f t="shared" si="1"/>
        <v>647</v>
      </c>
      <c r="B648" s="218" t="s">
        <v>71</v>
      </c>
      <c r="C648" s="218" t="s">
        <v>4950</v>
      </c>
      <c r="D648" s="218" t="b">
        <v>1</v>
      </c>
      <c r="E648" s="219" t="b">
        <v>0</v>
      </c>
      <c r="F648" s="219" t="b">
        <v>0</v>
      </c>
      <c r="G648" s="219"/>
    </row>
    <row r="649">
      <c r="A649" s="218">
        <f t="shared" si="1"/>
        <v>648</v>
      </c>
      <c r="B649" s="218" t="s">
        <v>71</v>
      </c>
      <c r="C649" s="218" t="s">
        <v>595</v>
      </c>
      <c r="D649" s="218" t="b">
        <v>1</v>
      </c>
      <c r="E649" s="219" t="b">
        <v>0</v>
      </c>
      <c r="F649" s="219" t="b">
        <v>0</v>
      </c>
      <c r="G649" s="219"/>
    </row>
    <row r="650">
      <c r="A650" s="218">
        <f t="shared" si="1"/>
        <v>649</v>
      </c>
      <c r="B650" s="218" t="s">
        <v>71</v>
      </c>
      <c r="C650" s="218" t="s">
        <v>4516</v>
      </c>
      <c r="D650" s="218" t="b">
        <v>1</v>
      </c>
      <c r="E650" s="219" t="b">
        <v>0</v>
      </c>
      <c r="F650" s="219" t="b">
        <v>0</v>
      </c>
      <c r="G650" s="219"/>
    </row>
    <row r="651">
      <c r="A651" s="218">
        <f t="shared" si="1"/>
        <v>650</v>
      </c>
      <c r="B651" s="218" t="s">
        <v>71</v>
      </c>
      <c r="C651" s="218" t="s">
        <v>3773</v>
      </c>
      <c r="D651" s="218" t="b">
        <v>1</v>
      </c>
      <c r="E651" s="219" t="b">
        <v>0</v>
      </c>
      <c r="F651" s="219" t="b">
        <v>0</v>
      </c>
      <c r="G651" s="219"/>
    </row>
    <row r="652">
      <c r="A652" s="218">
        <f t="shared" si="1"/>
        <v>651</v>
      </c>
      <c r="B652" s="218" t="s">
        <v>71</v>
      </c>
      <c r="C652" s="218" t="s">
        <v>2076</v>
      </c>
      <c r="D652" s="218" t="b">
        <v>1</v>
      </c>
      <c r="E652" s="219" t="b">
        <v>0</v>
      </c>
      <c r="F652" s="219" t="b">
        <v>0</v>
      </c>
      <c r="G652" s="219"/>
    </row>
    <row r="653">
      <c r="A653" s="218">
        <f t="shared" si="1"/>
        <v>652</v>
      </c>
      <c r="B653" s="218" t="s">
        <v>71</v>
      </c>
      <c r="C653" s="218" t="s">
        <v>3704</v>
      </c>
      <c r="D653" s="218" t="b">
        <v>1</v>
      </c>
      <c r="E653" s="219" t="b">
        <v>0</v>
      </c>
      <c r="F653" s="219" t="b">
        <v>0</v>
      </c>
      <c r="G653" s="219"/>
    </row>
    <row r="654">
      <c r="A654" s="218">
        <f t="shared" si="1"/>
        <v>653</v>
      </c>
      <c r="B654" s="218" t="s">
        <v>71</v>
      </c>
      <c r="C654" s="218" t="s">
        <v>2761</v>
      </c>
      <c r="D654" s="218" t="b">
        <v>1</v>
      </c>
      <c r="E654" s="219" t="b">
        <v>0</v>
      </c>
      <c r="F654" s="219" t="b">
        <v>0</v>
      </c>
      <c r="G654" s="219"/>
    </row>
    <row r="655">
      <c r="A655" s="218">
        <f t="shared" si="1"/>
        <v>654</v>
      </c>
      <c r="B655" s="218" t="s">
        <v>71</v>
      </c>
      <c r="C655" s="218" t="s">
        <v>5511</v>
      </c>
      <c r="D655" s="218" t="b">
        <v>1</v>
      </c>
      <c r="E655" s="219" t="b">
        <v>0</v>
      </c>
      <c r="F655" s="219" t="b">
        <v>0</v>
      </c>
      <c r="G655" s="219"/>
    </row>
    <row r="656">
      <c r="A656" s="218">
        <f t="shared" si="1"/>
        <v>655</v>
      </c>
      <c r="B656" s="218" t="s">
        <v>71</v>
      </c>
      <c r="C656" s="218" t="s">
        <v>2774</v>
      </c>
      <c r="D656" s="218" t="b">
        <v>1</v>
      </c>
      <c r="E656" s="219" t="b">
        <v>0</v>
      </c>
      <c r="F656" s="219" t="b">
        <v>0</v>
      </c>
      <c r="G656" s="219"/>
    </row>
    <row r="657">
      <c r="A657" s="218">
        <f t="shared" si="1"/>
        <v>656</v>
      </c>
      <c r="B657" s="218" t="s">
        <v>71</v>
      </c>
      <c r="C657" s="218" t="s">
        <v>3910</v>
      </c>
      <c r="D657" s="218" t="b">
        <v>1</v>
      </c>
      <c r="E657" s="219" t="b">
        <v>0</v>
      </c>
      <c r="F657" s="219" t="b">
        <v>0</v>
      </c>
      <c r="G657" s="219"/>
    </row>
    <row r="658">
      <c r="A658" s="218">
        <f t="shared" si="1"/>
        <v>657</v>
      </c>
      <c r="B658" s="218" t="s">
        <v>71</v>
      </c>
      <c r="C658" s="218" t="s">
        <v>3445</v>
      </c>
      <c r="D658" s="218" t="b">
        <v>1</v>
      </c>
      <c r="E658" s="219" t="b">
        <v>0</v>
      </c>
      <c r="F658" s="219" t="b">
        <v>0</v>
      </c>
      <c r="G658" s="219"/>
    </row>
    <row r="659">
      <c r="A659" s="218">
        <f t="shared" si="1"/>
        <v>658</v>
      </c>
      <c r="B659" s="218" t="s">
        <v>71</v>
      </c>
      <c r="C659" s="218" t="s">
        <v>4930</v>
      </c>
      <c r="D659" s="218" t="b">
        <v>1</v>
      </c>
      <c r="E659" s="219" t="b">
        <v>0</v>
      </c>
      <c r="F659" s="219" t="b">
        <v>0</v>
      </c>
      <c r="G659" s="219"/>
    </row>
    <row r="660">
      <c r="A660" s="218">
        <f t="shared" si="1"/>
        <v>659</v>
      </c>
      <c r="B660" s="218" t="s">
        <v>71</v>
      </c>
      <c r="C660" s="218" t="s">
        <v>4506</v>
      </c>
      <c r="D660" s="218" t="b">
        <v>1</v>
      </c>
      <c r="E660" s="219" t="b">
        <v>0</v>
      </c>
      <c r="F660" s="219" t="b">
        <v>0</v>
      </c>
      <c r="G660" s="219"/>
    </row>
    <row r="661">
      <c r="A661" s="218">
        <f t="shared" si="1"/>
        <v>660</v>
      </c>
      <c r="B661" s="218" t="s">
        <v>71</v>
      </c>
      <c r="C661" s="218" t="s">
        <v>5285</v>
      </c>
      <c r="D661" s="218" t="b">
        <v>1</v>
      </c>
      <c r="E661" s="219" t="b">
        <v>0</v>
      </c>
      <c r="F661" s="219" t="b">
        <v>0</v>
      </c>
      <c r="G661" s="219"/>
    </row>
    <row r="662">
      <c r="A662" s="218">
        <f t="shared" si="1"/>
        <v>661</v>
      </c>
      <c r="B662" s="218" t="s">
        <v>71</v>
      </c>
      <c r="C662" s="218" t="s">
        <v>4970</v>
      </c>
      <c r="D662" s="218" t="b">
        <v>1</v>
      </c>
      <c r="E662" s="219" t="b">
        <v>0</v>
      </c>
      <c r="F662" s="219" t="b">
        <v>0</v>
      </c>
      <c r="G662" s="219"/>
    </row>
    <row r="663">
      <c r="A663" s="218">
        <f t="shared" si="1"/>
        <v>662</v>
      </c>
      <c r="B663" s="218" t="s">
        <v>71</v>
      </c>
      <c r="C663" s="218" t="s">
        <v>4980</v>
      </c>
      <c r="D663" s="218" t="b">
        <v>1</v>
      </c>
      <c r="E663" s="219" t="b">
        <v>0</v>
      </c>
      <c r="F663" s="219" t="b">
        <v>0</v>
      </c>
      <c r="G663" s="219"/>
    </row>
    <row r="664">
      <c r="A664" s="218">
        <f t="shared" si="1"/>
        <v>663</v>
      </c>
      <c r="B664" s="218" t="s">
        <v>71</v>
      </c>
      <c r="C664" s="218" t="s">
        <v>4489</v>
      </c>
      <c r="D664" s="218" t="b">
        <v>1</v>
      </c>
      <c r="E664" s="219" t="b">
        <v>0</v>
      </c>
      <c r="F664" s="219" t="b">
        <v>0</v>
      </c>
      <c r="G664" s="219"/>
    </row>
    <row r="665">
      <c r="A665" s="218">
        <f t="shared" si="1"/>
        <v>664</v>
      </c>
      <c r="B665" s="218" t="s">
        <v>71</v>
      </c>
      <c r="C665" s="218" t="s">
        <v>4318</v>
      </c>
      <c r="D665" s="218" t="b">
        <v>1</v>
      </c>
      <c r="E665" s="219" t="b">
        <v>0</v>
      </c>
      <c r="F665" s="219" t="b">
        <v>0</v>
      </c>
      <c r="G665" s="219"/>
    </row>
    <row r="666">
      <c r="A666" s="218">
        <f t="shared" si="1"/>
        <v>665</v>
      </c>
      <c r="B666" s="218" t="s">
        <v>71</v>
      </c>
      <c r="C666" s="218" t="s">
        <v>4916</v>
      </c>
      <c r="D666" s="218" t="b">
        <v>1</v>
      </c>
      <c r="E666" s="219" t="b">
        <v>0</v>
      </c>
      <c r="F666" s="219" t="b">
        <v>0</v>
      </c>
      <c r="G666" s="219"/>
    </row>
    <row r="667">
      <c r="A667" s="218">
        <f t="shared" si="1"/>
        <v>666</v>
      </c>
      <c r="B667" s="218" t="s">
        <v>71</v>
      </c>
      <c r="C667" s="218" t="s">
        <v>4997</v>
      </c>
      <c r="D667" s="218" t="b">
        <v>1</v>
      </c>
      <c r="E667" s="219" t="b">
        <v>0</v>
      </c>
      <c r="F667" s="219" t="b">
        <v>0</v>
      </c>
      <c r="G667" s="219"/>
    </row>
    <row r="668">
      <c r="A668" s="218">
        <f t="shared" si="1"/>
        <v>667</v>
      </c>
      <c r="B668" s="218" t="s">
        <v>71</v>
      </c>
      <c r="C668" s="218" t="s">
        <v>4568</v>
      </c>
      <c r="D668" s="218" t="b">
        <v>1</v>
      </c>
      <c r="E668" s="219" t="b">
        <v>0</v>
      </c>
      <c r="F668" s="219" t="b">
        <v>0</v>
      </c>
      <c r="G668" s="219"/>
    </row>
    <row r="669">
      <c r="A669" s="218">
        <f t="shared" si="1"/>
        <v>668</v>
      </c>
      <c r="B669" s="218" t="s">
        <v>71</v>
      </c>
      <c r="C669" s="218" t="s">
        <v>4990</v>
      </c>
      <c r="D669" s="218" t="b">
        <v>1</v>
      </c>
      <c r="E669" s="219" t="b">
        <v>0</v>
      </c>
      <c r="F669" s="219" t="b">
        <v>0</v>
      </c>
      <c r="G669" s="219"/>
    </row>
    <row r="670">
      <c r="A670" s="218">
        <f t="shared" si="1"/>
        <v>669</v>
      </c>
      <c r="B670" s="218" t="s">
        <v>71</v>
      </c>
      <c r="C670" s="218" t="s">
        <v>4194</v>
      </c>
      <c r="D670" s="218" t="b">
        <v>1</v>
      </c>
      <c r="E670" s="219" t="b">
        <v>0</v>
      </c>
      <c r="F670" s="219" t="b">
        <v>0</v>
      </c>
      <c r="G670" s="219"/>
    </row>
    <row r="671">
      <c r="A671" s="218">
        <f t="shared" si="1"/>
        <v>670</v>
      </c>
      <c r="B671" s="218" t="s">
        <v>71</v>
      </c>
      <c r="C671" s="218" t="s">
        <v>1430</v>
      </c>
      <c r="D671" s="218" t="b">
        <v>1</v>
      </c>
      <c r="E671" s="219" t="b">
        <v>0</v>
      </c>
      <c r="F671" s="219" t="b">
        <v>0</v>
      </c>
      <c r="G671" s="219"/>
    </row>
    <row r="672">
      <c r="A672" s="218">
        <f t="shared" si="1"/>
        <v>671</v>
      </c>
      <c r="B672" s="218" t="s">
        <v>71</v>
      </c>
      <c r="C672" s="218" t="s">
        <v>2704</v>
      </c>
      <c r="D672" s="218" t="b">
        <v>1</v>
      </c>
      <c r="E672" s="219" t="b">
        <v>0</v>
      </c>
      <c r="F672" s="219" t="b">
        <v>0</v>
      </c>
      <c r="G672" s="219"/>
    </row>
    <row r="673">
      <c r="A673" s="218">
        <f t="shared" si="1"/>
        <v>672</v>
      </c>
      <c r="B673" s="218" t="s">
        <v>71</v>
      </c>
      <c r="C673" s="218" t="s">
        <v>1031</v>
      </c>
      <c r="D673" s="218" t="b">
        <v>1</v>
      </c>
      <c r="E673" s="219" t="b">
        <v>0</v>
      </c>
      <c r="F673" s="219" t="b">
        <v>0</v>
      </c>
      <c r="G673" s="219"/>
    </row>
    <row r="674">
      <c r="A674" s="218">
        <f t="shared" si="1"/>
        <v>673</v>
      </c>
      <c r="B674" s="218" t="s">
        <v>71</v>
      </c>
      <c r="C674" s="218" t="s">
        <v>5085</v>
      </c>
      <c r="D674" s="218" t="b">
        <v>1</v>
      </c>
      <c r="E674" s="219" t="b">
        <v>0</v>
      </c>
      <c r="F674" s="219" t="b">
        <v>0</v>
      </c>
      <c r="G674" s="219"/>
    </row>
    <row r="675">
      <c r="A675" s="218">
        <f t="shared" si="1"/>
        <v>674</v>
      </c>
      <c r="B675" s="218" t="s">
        <v>71</v>
      </c>
      <c r="C675" s="218" t="s">
        <v>5016</v>
      </c>
      <c r="D675" s="218" t="b">
        <v>1</v>
      </c>
      <c r="E675" s="219" t="b">
        <v>0</v>
      </c>
      <c r="F675" s="219" t="b">
        <v>0</v>
      </c>
      <c r="G675" s="219"/>
    </row>
    <row r="676">
      <c r="A676" s="218">
        <f t="shared" si="1"/>
        <v>675</v>
      </c>
      <c r="B676" s="218" t="s">
        <v>71</v>
      </c>
      <c r="C676" s="218" t="s">
        <v>2017</v>
      </c>
      <c r="D676" s="218" t="b">
        <v>1</v>
      </c>
      <c r="E676" s="219" t="b">
        <v>0</v>
      </c>
      <c r="F676" s="219" t="b">
        <v>0</v>
      </c>
      <c r="G676" s="219"/>
    </row>
    <row r="677">
      <c r="A677" s="218">
        <f t="shared" si="1"/>
        <v>676</v>
      </c>
      <c r="B677" s="218" t="s">
        <v>71</v>
      </c>
      <c r="C677" s="218" t="s">
        <v>1357</v>
      </c>
      <c r="D677" s="218" t="b">
        <v>1</v>
      </c>
      <c r="E677" s="219" t="b">
        <v>0</v>
      </c>
      <c r="F677" s="219" t="b">
        <v>0</v>
      </c>
      <c r="G677" s="219"/>
    </row>
    <row r="678">
      <c r="A678" s="218">
        <f t="shared" si="1"/>
        <v>677</v>
      </c>
      <c r="B678" s="218" t="s">
        <v>71</v>
      </c>
      <c r="C678" s="218" t="s">
        <v>5148</v>
      </c>
      <c r="D678" s="218" t="b">
        <v>1</v>
      </c>
      <c r="E678" s="219" t="b">
        <v>0</v>
      </c>
      <c r="F678" s="219" t="b">
        <v>0</v>
      </c>
      <c r="G678" s="219"/>
    </row>
    <row r="679">
      <c r="A679" s="218">
        <f t="shared" si="1"/>
        <v>678</v>
      </c>
      <c r="B679" s="218" t="s">
        <v>71</v>
      </c>
      <c r="C679" s="218" t="s">
        <v>3925</v>
      </c>
      <c r="D679" s="218" t="b">
        <v>1</v>
      </c>
      <c r="E679" s="219" t="b">
        <v>0</v>
      </c>
      <c r="F679" s="219" t="b">
        <v>0</v>
      </c>
      <c r="G679" s="219"/>
    </row>
    <row r="680">
      <c r="A680" s="218">
        <f t="shared" si="1"/>
        <v>679</v>
      </c>
      <c r="B680" s="218" t="s">
        <v>71</v>
      </c>
      <c r="C680" s="218" t="s">
        <v>2106</v>
      </c>
      <c r="D680" s="218" t="b">
        <v>1</v>
      </c>
      <c r="E680" s="219" t="b">
        <v>0</v>
      </c>
      <c r="F680" s="219" t="b">
        <v>0</v>
      </c>
      <c r="G680" s="219"/>
    </row>
    <row r="681">
      <c r="A681" s="218">
        <f t="shared" si="1"/>
        <v>680</v>
      </c>
      <c r="B681" s="218" t="s">
        <v>71</v>
      </c>
      <c r="C681" s="218" t="s">
        <v>5446</v>
      </c>
      <c r="D681" s="218" t="b">
        <v>1</v>
      </c>
      <c r="E681" s="219" t="b">
        <v>0</v>
      </c>
      <c r="F681" s="219" t="b">
        <v>0</v>
      </c>
      <c r="G681" s="219"/>
    </row>
    <row r="682">
      <c r="A682" s="218">
        <f t="shared" si="1"/>
        <v>681</v>
      </c>
      <c r="B682" s="218" t="s">
        <v>71</v>
      </c>
      <c r="C682" s="218" t="s">
        <v>3866</v>
      </c>
      <c r="D682" s="218" t="b">
        <v>1</v>
      </c>
      <c r="E682" s="219" t="b">
        <v>0</v>
      </c>
      <c r="F682" s="219" t="b">
        <v>0</v>
      </c>
      <c r="G682" s="219"/>
    </row>
    <row r="683">
      <c r="A683" s="218">
        <f t="shared" si="1"/>
        <v>682</v>
      </c>
      <c r="B683" s="218" t="s">
        <v>71</v>
      </c>
      <c r="C683" s="218" t="s">
        <v>4380</v>
      </c>
      <c r="D683" s="218" t="b">
        <v>1</v>
      </c>
      <c r="E683" s="219" t="b">
        <v>0</v>
      </c>
      <c r="F683" s="219" t="b">
        <v>0</v>
      </c>
      <c r="G683" s="219"/>
    </row>
    <row r="684">
      <c r="A684" s="218">
        <f t="shared" si="1"/>
        <v>683</v>
      </c>
      <c r="B684" s="218" t="s">
        <v>71</v>
      </c>
      <c r="C684" s="218" t="s">
        <v>963</v>
      </c>
      <c r="D684" s="218" t="b">
        <v>1</v>
      </c>
      <c r="E684" s="219" t="b">
        <v>0</v>
      </c>
      <c r="F684" s="219" t="b">
        <v>0</v>
      </c>
      <c r="G684" s="219"/>
    </row>
    <row r="685">
      <c r="A685" s="218">
        <f t="shared" si="1"/>
        <v>684</v>
      </c>
      <c r="B685" s="218" t="s">
        <v>71</v>
      </c>
      <c r="C685" s="218" t="s">
        <v>2752</v>
      </c>
      <c r="D685" s="218" t="b">
        <v>1</v>
      </c>
      <c r="E685" s="219" t="b">
        <v>0</v>
      </c>
      <c r="F685" s="219" t="b">
        <v>0</v>
      </c>
      <c r="G685" s="219"/>
    </row>
    <row r="686">
      <c r="A686" s="218">
        <f t="shared" si="1"/>
        <v>685</v>
      </c>
      <c r="B686" s="218" t="s">
        <v>71</v>
      </c>
      <c r="C686" s="218" t="s">
        <v>3122</v>
      </c>
      <c r="D686" s="218" t="b">
        <v>1</v>
      </c>
      <c r="E686" s="219" t="b">
        <v>0</v>
      </c>
      <c r="F686" s="219" t="b">
        <v>0</v>
      </c>
      <c r="G686" s="219"/>
    </row>
    <row r="687">
      <c r="A687" s="218">
        <f t="shared" si="1"/>
        <v>686</v>
      </c>
      <c r="B687" s="218" t="s">
        <v>71</v>
      </c>
      <c r="C687" s="218" t="s">
        <v>3769</v>
      </c>
      <c r="D687" s="218" t="b">
        <v>1</v>
      </c>
      <c r="E687" s="219" t="b">
        <v>0</v>
      </c>
      <c r="F687" s="219" t="b">
        <v>0</v>
      </c>
      <c r="G687" s="219"/>
    </row>
    <row r="688">
      <c r="A688" s="218">
        <f t="shared" si="1"/>
        <v>687</v>
      </c>
      <c r="B688" s="218" t="s">
        <v>71</v>
      </c>
      <c r="C688" s="218" t="s">
        <v>384</v>
      </c>
      <c r="D688" s="218" t="b">
        <v>1</v>
      </c>
      <c r="E688" s="219" t="b">
        <v>0</v>
      </c>
      <c r="F688" s="219" t="b">
        <v>0</v>
      </c>
      <c r="G688" s="219"/>
    </row>
    <row r="689">
      <c r="A689" s="218">
        <f t="shared" si="1"/>
        <v>688</v>
      </c>
      <c r="B689" s="218" t="s">
        <v>71</v>
      </c>
      <c r="C689" s="218" t="s">
        <v>4622</v>
      </c>
      <c r="D689" s="218" t="b">
        <v>1</v>
      </c>
      <c r="E689" s="219" t="b">
        <v>0</v>
      </c>
      <c r="F689" s="219" t="b">
        <v>0</v>
      </c>
      <c r="G689" s="219"/>
    </row>
    <row r="690">
      <c r="A690" s="218">
        <f t="shared" si="1"/>
        <v>689</v>
      </c>
      <c r="B690" s="218" t="s">
        <v>71</v>
      </c>
      <c r="C690" s="218" t="s">
        <v>838</v>
      </c>
      <c r="D690" s="218" t="b">
        <v>1</v>
      </c>
      <c r="E690" s="219" t="b">
        <v>0</v>
      </c>
      <c r="F690" s="219" t="b">
        <v>0</v>
      </c>
      <c r="G690" s="219"/>
    </row>
    <row r="691">
      <c r="A691" s="218">
        <f t="shared" si="1"/>
        <v>690</v>
      </c>
      <c r="B691" s="218" t="s">
        <v>71</v>
      </c>
      <c r="C691" s="218" t="s">
        <v>4160</v>
      </c>
      <c r="D691" s="218" t="b">
        <v>1</v>
      </c>
      <c r="E691" s="219" t="b">
        <v>0</v>
      </c>
      <c r="F691" s="219" t="b">
        <v>0</v>
      </c>
      <c r="G691" s="219"/>
    </row>
    <row r="692">
      <c r="A692" s="218">
        <f t="shared" si="1"/>
        <v>691</v>
      </c>
      <c r="B692" s="218" t="s">
        <v>71</v>
      </c>
      <c r="C692" s="218" t="s">
        <v>653</v>
      </c>
      <c r="D692" s="218" t="b">
        <v>1</v>
      </c>
      <c r="E692" s="219" t="b">
        <v>0</v>
      </c>
      <c r="F692" s="219" t="b">
        <v>0</v>
      </c>
      <c r="G692" s="219"/>
    </row>
    <row r="693">
      <c r="A693" s="218">
        <f t="shared" si="1"/>
        <v>692</v>
      </c>
      <c r="B693" s="218" t="s">
        <v>71</v>
      </c>
      <c r="C693" s="218" t="s">
        <v>5121</v>
      </c>
      <c r="D693" s="218" t="b">
        <v>1</v>
      </c>
      <c r="E693" s="219" t="b">
        <v>0</v>
      </c>
      <c r="F693" s="219" t="b">
        <v>0</v>
      </c>
      <c r="G693" s="219"/>
    </row>
    <row r="694">
      <c r="A694" s="218">
        <f t="shared" si="1"/>
        <v>693</v>
      </c>
      <c r="B694" s="218" t="s">
        <v>71</v>
      </c>
      <c r="C694" s="218" t="s">
        <v>638</v>
      </c>
      <c r="D694" s="218" t="b">
        <v>1</v>
      </c>
      <c r="E694" s="219" t="b">
        <v>0</v>
      </c>
      <c r="F694" s="219" t="b">
        <v>0</v>
      </c>
      <c r="G694" s="219"/>
    </row>
    <row r="695">
      <c r="A695" s="218">
        <f t="shared" si="1"/>
        <v>694</v>
      </c>
      <c r="B695" s="218" t="s">
        <v>71</v>
      </c>
      <c r="C695" s="218" t="s">
        <v>5035</v>
      </c>
      <c r="D695" s="218" t="b">
        <v>1</v>
      </c>
      <c r="E695" s="219" t="b">
        <v>0</v>
      </c>
      <c r="F695" s="219" t="b">
        <v>0</v>
      </c>
      <c r="G695" s="219"/>
    </row>
    <row r="696">
      <c r="A696" s="218">
        <f t="shared" si="1"/>
        <v>695</v>
      </c>
      <c r="B696" s="218" t="s">
        <v>71</v>
      </c>
      <c r="C696" s="218" t="s">
        <v>3322</v>
      </c>
      <c r="D696" s="218" t="b">
        <v>1</v>
      </c>
      <c r="E696" s="219" t="b">
        <v>0</v>
      </c>
      <c r="F696" s="219" t="b">
        <v>0</v>
      </c>
      <c r="G696" s="219"/>
    </row>
    <row r="697">
      <c r="A697" s="218">
        <f t="shared" si="1"/>
        <v>696</v>
      </c>
      <c r="B697" s="218" t="s">
        <v>71</v>
      </c>
      <c r="C697" s="218" t="s">
        <v>2098</v>
      </c>
      <c r="D697" s="218" t="b">
        <v>1</v>
      </c>
      <c r="E697" s="219" t="b">
        <v>0</v>
      </c>
      <c r="F697" s="219" t="b">
        <v>0</v>
      </c>
      <c r="G697" s="219"/>
    </row>
    <row r="698">
      <c r="A698" s="218">
        <f t="shared" si="1"/>
        <v>697</v>
      </c>
      <c r="B698" s="218" t="s">
        <v>71</v>
      </c>
      <c r="C698" s="218" t="s">
        <v>4893</v>
      </c>
      <c r="D698" s="218" t="b">
        <v>1</v>
      </c>
      <c r="E698" s="219" t="b">
        <v>0</v>
      </c>
      <c r="F698" s="219" t="b">
        <v>0</v>
      </c>
      <c r="G698" s="219"/>
    </row>
    <row r="699">
      <c r="A699" s="218">
        <f t="shared" si="1"/>
        <v>698</v>
      </c>
      <c r="B699" s="218" t="s">
        <v>71</v>
      </c>
      <c r="C699" s="218" t="s">
        <v>527</v>
      </c>
      <c r="D699" s="218" t="b">
        <v>1</v>
      </c>
      <c r="E699" s="219" t="b">
        <v>0</v>
      </c>
      <c r="F699" s="219" t="b">
        <v>0</v>
      </c>
      <c r="G699" s="219"/>
    </row>
    <row r="700">
      <c r="A700" s="218">
        <f t="shared" si="1"/>
        <v>699</v>
      </c>
      <c r="B700" s="218" t="s">
        <v>71</v>
      </c>
      <c r="C700" s="218" t="s">
        <v>4227</v>
      </c>
      <c r="D700" s="218" t="b">
        <v>1</v>
      </c>
      <c r="E700" s="219" t="b">
        <v>0</v>
      </c>
      <c r="F700" s="219" t="b">
        <v>0</v>
      </c>
      <c r="G700" s="219"/>
    </row>
    <row r="701">
      <c r="A701" s="218">
        <f t="shared" si="1"/>
        <v>700</v>
      </c>
      <c r="B701" s="218" t="s">
        <v>71</v>
      </c>
      <c r="C701" s="218" t="s">
        <v>5327</v>
      </c>
      <c r="D701" s="218" t="b">
        <v>1</v>
      </c>
      <c r="E701" s="219" t="b">
        <v>0</v>
      </c>
      <c r="F701" s="219" t="b">
        <v>0</v>
      </c>
      <c r="G701" s="219"/>
    </row>
    <row r="702">
      <c r="A702" s="218">
        <f t="shared" si="1"/>
        <v>701</v>
      </c>
      <c r="B702" s="218" t="s">
        <v>71</v>
      </c>
      <c r="C702" s="218" t="s">
        <v>2458</v>
      </c>
      <c r="D702" s="218" t="b">
        <v>1</v>
      </c>
      <c r="E702" s="219" t="b">
        <v>0</v>
      </c>
      <c r="F702" s="219" t="b">
        <v>0</v>
      </c>
      <c r="G702" s="219"/>
    </row>
    <row r="703">
      <c r="A703" s="218">
        <f t="shared" si="1"/>
        <v>702</v>
      </c>
      <c r="B703" s="218" t="s">
        <v>71</v>
      </c>
      <c r="C703" s="218" t="s">
        <v>389</v>
      </c>
      <c r="D703" s="218" t="b">
        <v>1</v>
      </c>
      <c r="E703" s="219" t="b">
        <v>0</v>
      </c>
      <c r="F703" s="219" t="b">
        <v>0</v>
      </c>
      <c r="G703" s="219"/>
    </row>
    <row r="704">
      <c r="A704" s="218">
        <f t="shared" si="1"/>
        <v>703</v>
      </c>
      <c r="B704" s="218" t="s">
        <v>71</v>
      </c>
      <c r="C704" s="218" t="s">
        <v>3460</v>
      </c>
      <c r="D704" s="218" t="b">
        <v>1</v>
      </c>
      <c r="E704" s="219" t="b">
        <v>0</v>
      </c>
      <c r="F704" s="219" t="b">
        <v>0</v>
      </c>
      <c r="G704" s="219"/>
    </row>
    <row r="705">
      <c r="A705" s="218">
        <f t="shared" si="1"/>
        <v>704</v>
      </c>
      <c r="B705" s="218" t="s">
        <v>71</v>
      </c>
      <c r="C705" s="218" t="s">
        <v>2661</v>
      </c>
      <c r="D705" s="218" t="b">
        <v>1</v>
      </c>
      <c r="E705" s="219" t="b">
        <v>0</v>
      </c>
      <c r="F705" s="219" t="b">
        <v>0</v>
      </c>
      <c r="G705" s="219"/>
    </row>
    <row r="706">
      <c r="A706" s="218">
        <f t="shared" si="1"/>
        <v>705</v>
      </c>
      <c r="B706" s="218" t="s">
        <v>71</v>
      </c>
      <c r="C706" s="218" t="s">
        <v>3397</v>
      </c>
      <c r="D706" s="218" t="b">
        <v>1</v>
      </c>
      <c r="E706" s="219" t="b">
        <v>0</v>
      </c>
      <c r="F706" s="219" t="b">
        <v>0</v>
      </c>
      <c r="G706" s="219"/>
    </row>
    <row r="707">
      <c r="A707" s="218">
        <f t="shared" si="1"/>
        <v>706</v>
      </c>
      <c r="B707" s="218" t="s">
        <v>71</v>
      </c>
      <c r="C707" s="218" t="s">
        <v>3271</v>
      </c>
      <c r="D707" s="218" t="b">
        <v>1</v>
      </c>
      <c r="E707" s="219" t="b">
        <v>0</v>
      </c>
      <c r="F707" s="219" t="b">
        <v>0</v>
      </c>
      <c r="G707" s="219"/>
    </row>
    <row r="708">
      <c r="A708" s="218">
        <f t="shared" si="1"/>
        <v>707</v>
      </c>
      <c r="B708" s="218" t="s">
        <v>71</v>
      </c>
      <c r="C708" s="218" t="s">
        <v>2719</v>
      </c>
      <c r="D708" s="218" t="b">
        <v>1</v>
      </c>
      <c r="E708" s="219" t="b">
        <v>0</v>
      </c>
      <c r="F708" s="219" t="b">
        <v>0</v>
      </c>
      <c r="G708" s="219"/>
    </row>
    <row r="709">
      <c r="A709" s="218">
        <f t="shared" si="1"/>
        <v>708</v>
      </c>
      <c r="B709" s="218" t="s">
        <v>71</v>
      </c>
      <c r="C709" s="218" t="s">
        <v>3965</v>
      </c>
      <c r="D709" s="218" t="b">
        <v>1</v>
      </c>
      <c r="E709" s="219" t="b">
        <v>0</v>
      </c>
      <c r="F709" s="219" t="b">
        <v>0</v>
      </c>
      <c r="G709" s="219"/>
    </row>
    <row r="710">
      <c r="A710" s="218">
        <f t="shared" si="1"/>
        <v>709</v>
      </c>
      <c r="B710" s="218" t="s">
        <v>71</v>
      </c>
      <c r="C710" s="218" t="s">
        <v>2757</v>
      </c>
      <c r="D710" s="218" t="b">
        <v>1</v>
      </c>
      <c r="E710" s="219" t="b">
        <v>0</v>
      </c>
      <c r="F710" s="219" t="b">
        <v>0</v>
      </c>
      <c r="G710" s="219"/>
    </row>
    <row r="711">
      <c r="A711" s="218">
        <f t="shared" si="1"/>
        <v>710</v>
      </c>
      <c r="B711" s="218" t="s">
        <v>71</v>
      </c>
      <c r="C711" s="218" t="s">
        <v>5302</v>
      </c>
      <c r="D711" s="218" t="b">
        <v>1</v>
      </c>
      <c r="E711" s="219" t="b">
        <v>0</v>
      </c>
      <c r="F711" s="219" t="b">
        <v>0</v>
      </c>
      <c r="G711" s="219"/>
    </row>
    <row r="712">
      <c r="A712" s="218">
        <f t="shared" si="1"/>
        <v>711</v>
      </c>
      <c r="B712" s="218" t="s">
        <v>71</v>
      </c>
      <c r="C712" s="218" t="s">
        <v>2354</v>
      </c>
      <c r="D712" s="218" t="b">
        <v>1</v>
      </c>
      <c r="E712" s="219" t="b">
        <v>0</v>
      </c>
      <c r="F712" s="219" t="b">
        <v>0</v>
      </c>
      <c r="G712" s="219"/>
    </row>
    <row r="713">
      <c r="A713" s="218">
        <f t="shared" si="1"/>
        <v>712</v>
      </c>
      <c r="B713" s="218" t="s">
        <v>71</v>
      </c>
      <c r="C713" s="218" t="s">
        <v>1204</v>
      </c>
      <c r="D713" s="218" t="b">
        <v>1</v>
      </c>
      <c r="E713" s="219" t="b">
        <v>0</v>
      </c>
      <c r="F713" s="219" t="b">
        <v>0</v>
      </c>
      <c r="G713" s="219"/>
    </row>
    <row r="714">
      <c r="A714" s="218">
        <f t="shared" si="1"/>
        <v>713</v>
      </c>
      <c r="B714" s="218" t="s">
        <v>71</v>
      </c>
      <c r="C714" s="218" t="s">
        <v>5216</v>
      </c>
      <c r="D714" s="218" t="b">
        <v>1</v>
      </c>
      <c r="E714" s="219" t="b">
        <v>0</v>
      </c>
      <c r="F714" s="219" t="b">
        <v>0</v>
      </c>
      <c r="G714" s="219"/>
    </row>
    <row r="715">
      <c r="A715" s="218">
        <f t="shared" si="1"/>
        <v>714</v>
      </c>
      <c r="B715" s="218" t="s">
        <v>71</v>
      </c>
      <c r="C715" s="218" t="s">
        <v>4960</v>
      </c>
      <c r="D715" s="218" t="b">
        <v>1</v>
      </c>
      <c r="E715" s="219" t="b">
        <v>0</v>
      </c>
      <c r="F715" s="219" t="b">
        <v>0</v>
      </c>
      <c r="G715" s="219"/>
    </row>
    <row r="716">
      <c r="A716" s="218">
        <f t="shared" si="1"/>
        <v>715</v>
      </c>
      <c r="B716" s="218" t="s">
        <v>71</v>
      </c>
      <c r="C716" s="218" t="s">
        <v>2563</v>
      </c>
      <c r="D716" s="218" t="b">
        <v>1</v>
      </c>
      <c r="E716" s="219" t="b">
        <v>0</v>
      </c>
      <c r="F716" s="219" t="b">
        <v>0</v>
      </c>
      <c r="G716" s="219"/>
    </row>
    <row r="717">
      <c r="A717" s="218">
        <f t="shared" si="1"/>
        <v>716</v>
      </c>
      <c r="B717" s="218" t="s">
        <v>71</v>
      </c>
      <c r="C717" s="218" t="s">
        <v>3635</v>
      </c>
      <c r="D717" s="218" t="b">
        <v>1</v>
      </c>
      <c r="E717" s="219" t="b">
        <v>0</v>
      </c>
      <c r="F717" s="219" t="b">
        <v>0</v>
      </c>
      <c r="G717" s="219"/>
    </row>
    <row r="718">
      <c r="A718" s="218">
        <f t="shared" si="1"/>
        <v>717</v>
      </c>
      <c r="B718" s="218" t="s">
        <v>71</v>
      </c>
      <c r="C718" s="218" t="s">
        <v>3855</v>
      </c>
      <c r="D718" s="218" t="b">
        <v>1</v>
      </c>
      <c r="E718" s="219" t="b">
        <v>0</v>
      </c>
      <c r="F718" s="219" t="b">
        <v>0</v>
      </c>
      <c r="G718" s="219"/>
    </row>
    <row r="719">
      <c r="A719" s="218">
        <f t="shared" si="1"/>
        <v>718</v>
      </c>
      <c r="B719" s="218" t="s">
        <v>71</v>
      </c>
      <c r="C719" s="218" t="s">
        <v>2400</v>
      </c>
      <c r="D719" s="218" t="b">
        <v>1</v>
      </c>
      <c r="E719" s="219" t="b">
        <v>0</v>
      </c>
      <c r="F719" s="219" t="b">
        <v>0</v>
      </c>
      <c r="G719" s="219"/>
    </row>
    <row r="720">
      <c r="A720" s="218">
        <f t="shared" si="1"/>
        <v>719</v>
      </c>
      <c r="B720" s="218" t="s">
        <v>71</v>
      </c>
      <c r="C720" s="218" t="s">
        <v>5232</v>
      </c>
      <c r="D720" s="218" t="b">
        <v>1</v>
      </c>
      <c r="E720" s="219" t="b">
        <v>0</v>
      </c>
      <c r="F720" s="219" t="b">
        <v>0</v>
      </c>
      <c r="G720" s="219"/>
    </row>
    <row r="721">
      <c r="A721" s="218">
        <f t="shared" si="1"/>
        <v>720</v>
      </c>
      <c r="B721" s="218" t="s">
        <v>71</v>
      </c>
      <c r="C721" s="218" t="s">
        <v>4883</v>
      </c>
      <c r="D721" s="218" t="b">
        <v>1</v>
      </c>
      <c r="E721" s="219" t="b">
        <v>0</v>
      </c>
      <c r="F721" s="219" t="b">
        <v>0</v>
      </c>
      <c r="G721" s="219"/>
    </row>
    <row r="722">
      <c r="A722" s="218">
        <f t="shared" si="1"/>
        <v>721</v>
      </c>
      <c r="B722" s="218" t="s">
        <v>71</v>
      </c>
      <c r="C722" s="218" t="s">
        <v>4888</v>
      </c>
      <c r="D722" s="218" t="b">
        <v>1</v>
      </c>
      <c r="E722" s="219" t="b">
        <v>0</v>
      </c>
      <c r="F722" s="219" t="b">
        <v>0</v>
      </c>
      <c r="G722" s="219"/>
    </row>
    <row r="723">
      <c r="A723" s="218">
        <f t="shared" si="1"/>
        <v>722</v>
      </c>
      <c r="B723" s="218" t="s">
        <v>71</v>
      </c>
      <c r="C723" s="218" t="s">
        <v>4314</v>
      </c>
      <c r="D723" s="218" t="b">
        <v>1</v>
      </c>
      <c r="E723" s="219" t="b">
        <v>0</v>
      </c>
      <c r="F723" s="219" t="b">
        <v>0</v>
      </c>
      <c r="G723" s="219"/>
    </row>
    <row r="724">
      <c r="A724" s="218">
        <f t="shared" si="1"/>
        <v>723</v>
      </c>
      <c r="B724" s="218" t="s">
        <v>71</v>
      </c>
      <c r="C724" s="218" t="s">
        <v>2263</v>
      </c>
      <c r="D724" s="218" t="b">
        <v>1</v>
      </c>
      <c r="E724" s="219" t="b">
        <v>0</v>
      </c>
      <c r="F724" s="219" t="b">
        <v>0</v>
      </c>
      <c r="G724" s="219"/>
    </row>
    <row r="725">
      <c r="A725" s="218">
        <f t="shared" si="1"/>
        <v>724</v>
      </c>
      <c r="B725" s="218" t="s">
        <v>71</v>
      </c>
      <c r="C725" s="218" t="s">
        <v>4155</v>
      </c>
      <c r="D725" s="218" t="b">
        <v>1</v>
      </c>
      <c r="E725" s="219" t="b">
        <v>0</v>
      </c>
      <c r="F725" s="219" t="b">
        <v>0</v>
      </c>
      <c r="G725" s="219"/>
    </row>
    <row r="726">
      <c r="A726" s="218">
        <f t="shared" si="1"/>
        <v>725</v>
      </c>
      <c r="B726" s="218" t="s">
        <v>71</v>
      </c>
      <c r="C726" s="218" t="s">
        <v>2865</v>
      </c>
      <c r="D726" s="218" t="b">
        <v>1</v>
      </c>
      <c r="E726" s="219" t="b">
        <v>0</v>
      </c>
      <c r="F726" s="219" t="b">
        <v>0</v>
      </c>
      <c r="G726" s="219"/>
    </row>
    <row r="727">
      <c r="A727" s="218">
        <f t="shared" si="1"/>
        <v>726</v>
      </c>
      <c r="B727" s="218" t="s">
        <v>71</v>
      </c>
      <c r="C727" s="218" t="s">
        <v>4274</v>
      </c>
      <c r="D727" s="218" t="b">
        <v>1</v>
      </c>
      <c r="E727" s="219" t="b">
        <v>0</v>
      </c>
      <c r="F727" s="219" t="b">
        <v>0</v>
      </c>
      <c r="G727" s="219"/>
    </row>
    <row r="728">
      <c r="A728" s="218">
        <f t="shared" si="1"/>
        <v>727</v>
      </c>
      <c r="B728" s="218" t="s">
        <v>71</v>
      </c>
      <c r="C728" s="218" t="s">
        <v>4500</v>
      </c>
      <c r="D728" s="218" t="b">
        <v>1</v>
      </c>
      <c r="E728" s="219" t="b">
        <v>0</v>
      </c>
      <c r="F728" s="219" t="b">
        <v>0</v>
      </c>
      <c r="G728" s="219"/>
    </row>
    <row r="729">
      <c r="A729" s="218">
        <f t="shared" si="1"/>
        <v>728</v>
      </c>
      <c r="B729" s="218" t="s">
        <v>71</v>
      </c>
      <c r="C729" s="218" t="s">
        <v>4955</v>
      </c>
      <c r="D729" s="218" t="b">
        <v>1</v>
      </c>
      <c r="E729" s="219" t="b">
        <v>0</v>
      </c>
      <c r="F729" s="219" t="b">
        <v>0</v>
      </c>
      <c r="G729" s="219"/>
    </row>
    <row r="730">
      <c r="A730" s="218">
        <f t="shared" si="1"/>
        <v>729</v>
      </c>
      <c r="B730" s="218" t="s">
        <v>71</v>
      </c>
      <c r="C730" s="218" t="s">
        <v>2724</v>
      </c>
      <c r="D730" s="218" t="b">
        <v>1</v>
      </c>
      <c r="E730" s="219" t="b">
        <v>0</v>
      </c>
      <c r="F730" s="219" t="b">
        <v>0</v>
      </c>
      <c r="G730" s="219"/>
    </row>
    <row r="731">
      <c r="A731" s="218">
        <f t="shared" si="1"/>
        <v>730</v>
      </c>
      <c r="B731" s="218" t="s">
        <v>71</v>
      </c>
      <c r="C731" s="218" t="s">
        <v>1631</v>
      </c>
      <c r="D731" s="218" t="b">
        <v>1</v>
      </c>
      <c r="E731" s="219" t="b">
        <v>0</v>
      </c>
      <c r="F731" s="219" t="b">
        <v>0</v>
      </c>
      <c r="G731" s="219"/>
    </row>
    <row r="732">
      <c r="A732" s="218">
        <f t="shared" si="1"/>
        <v>731</v>
      </c>
      <c r="B732" s="218" t="s">
        <v>71</v>
      </c>
      <c r="C732" s="218" t="s">
        <v>1143</v>
      </c>
      <c r="D732" s="218" t="b">
        <v>1</v>
      </c>
      <c r="E732" s="219" t="b">
        <v>0</v>
      </c>
      <c r="F732" s="219" t="b">
        <v>0</v>
      </c>
      <c r="G732" s="219"/>
    </row>
    <row r="733">
      <c r="A733" s="218">
        <f t="shared" si="1"/>
        <v>732</v>
      </c>
      <c r="B733" s="218" t="s">
        <v>71</v>
      </c>
      <c r="C733" s="218" t="s">
        <v>5265</v>
      </c>
      <c r="D733" s="218" t="b">
        <v>1</v>
      </c>
      <c r="E733" s="219" t="b">
        <v>0</v>
      </c>
      <c r="F733" s="219" t="b">
        <v>0</v>
      </c>
      <c r="G733" s="219"/>
    </row>
    <row r="734">
      <c r="A734" s="218">
        <f t="shared" si="1"/>
        <v>733</v>
      </c>
      <c r="B734" s="218" t="s">
        <v>71</v>
      </c>
      <c r="C734" s="218" t="s">
        <v>5198</v>
      </c>
      <c r="D734" s="218" t="b">
        <v>1</v>
      </c>
      <c r="E734" s="219" t="b">
        <v>0</v>
      </c>
      <c r="F734" s="219" t="b">
        <v>0</v>
      </c>
      <c r="G734" s="219"/>
    </row>
    <row r="735">
      <c r="A735" s="218">
        <f t="shared" si="1"/>
        <v>734</v>
      </c>
      <c r="B735" s="218" t="s">
        <v>71</v>
      </c>
      <c r="C735" s="218" t="s">
        <v>2956</v>
      </c>
      <c r="D735" s="218" t="b">
        <v>1</v>
      </c>
      <c r="E735" s="219" t="b">
        <v>0</v>
      </c>
      <c r="F735" s="219" t="b">
        <v>0</v>
      </c>
      <c r="G735" s="219"/>
    </row>
    <row r="736">
      <c r="A736" s="218">
        <f t="shared" si="1"/>
        <v>735</v>
      </c>
      <c r="B736" s="218" t="s">
        <v>71</v>
      </c>
      <c r="C736" s="218" t="s">
        <v>3011</v>
      </c>
      <c r="D736" s="218" t="b">
        <v>1</v>
      </c>
      <c r="E736" s="219" t="b">
        <v>0</v>
      </c>
      <c r="F736" s="219" t="b">
        <v>0</v>
      </c>
      <c r="G736" s="219"/>
    </row>
    <row r="737">
      <c r="A737" s="218">
        <f t="shared" si="1"/>
        <v>736</v>
      </c>
      <c r="B737" s="218" t="s">
        <v>71</v>
      </c>
      <c r="C737" s="218" t="s">
        <v>2589</v>
      </c>
      <c r="D737" s="218" t="b">
        <v>1</v>
      </c>
      <c r="E737" s="219" t="b">
        <v>0</v>
      </c>
      <c r="F737" s="219" t="b">
        <v>0</v>
      </c>
      <c r="G737" s="219"/>
    </row>
    <row r="738">
      <c r="A738" s="218">
        <f t="shared" si="1"/>
        <v>737</v>
      </c>
      <c r="B738" s="218" t="s">
        <v>71</v>
      </c>
      <c r="C738" s="218" t="s">
        <v>4590</v>
      </c>
      <c r="D738" s="218" t="b">
        <v>1</v>
      </c>
      <c r="E738" s="219" t="b">
        <v>0</v>
      </c>
      <c r="F738" s="219" t="b">
        <v>0</v>
      </c>
      <c r="G738" s="219"/>
    </row>
    <row r="739">
      <c r="A739" s="218">
        <f t="shared" si="1"/>
        <v>738</v>
      </c>
      <c r="B739" s="218" t="s">
        <v>71</v>
      </c>
      <c r="C739" s="218" t="s">
        <v>5060</v>
      </c>
      <c r="D739" s="218" t="b">
        <v>1</v>
      </c>
      <c r="E739" s="219" t="b">
        <v>0</v>
      </c>
      <c r="F739" s="219" t="b">
        <v>0</v>
      </c>
      <c r="G739" s="219"/>
    </row>
    <row r="740">
      <c r="A740" s="218">
        <f t="shared" si="1"/>
        <v>739</v>
      </c>
      <c r="B740" s="218" t="s">
        <v>71</v>
      </c>
      <c r="C740" s="218" t="s">
        <v>4035</v>
      </c>
      <c r="D740" s="218" t="b">
        <v>1</v>
      </c>
      <c r="E740" s="219" t="b">
        <v>0</v>
      </c>
      <c r="F740" s="219" t="b">
        <v>0</v>
      </c>
      <c r="G740" s="219"/>
    </row>
    <row r="741">
      <c r="A741" s="218">
        <f t="shared" si="1"/>
        <v>740</v>
      </c>
      <c r="B741" s="218" t="s">
        <v>71</v>
      </c>
      <c r="C741" s="218" t="s">
        <v>4849</v>
      </c>
      <c r="D741" s="218" t="b">
        <v>1</v>
      </c>
      <c r="E741" s="219" t="b">
        <v>0</v>
      </c>
      <c r="F741" s="219" t="b">
        <v>0</v>
      </c>
      <c r="G741" s="219"/>
    </row>
    <row r="742">
      <c r="A742" s="218">
        <f t="shared" si="1"/>
        <v>741</v>
      </c>
      <c r="B742" s="218" t="s">
        <v>71</v>
      </c>
      <c r="C742" s="218" t="s">
        <v>3140</v>
      </c>
      <c r="D742" s="218" t="b">
        <v>1</v>
      </c>
      <c r="E742" s="219" t="b">
        <v>0</v>
      </c>
      <c r="F742" s="219" t="b">
        <v>0</v>
      </c>
      <c r="G742" s="219"/>
    </row>
    <row r="743">
      <c r="A743" s="218">
        <f t="shared" si="1"/>
        <v>742</v>
      </c>
      <c r="B743" s="218" t="s">
        <v>71</v>
      </c>
      <c r="C743" s="218" t="s">
        <v>4232</v>
      </c>
      <c r="D743" s="218" t="b">
        <v>1</v>
      </c>
      <c r="E743" s="219" t="b">
        <v>0</v>
      </c>
      <c r="F743" s="219" t="b">
        <v>0</v>
      </c>
      <c r="G743" s="219"/>
    </row>
    <row r="744">
      <c r="A744" s="218">
        <f t="shared" si="1"/>
        <v>743</v>
      </c>
      <c r="B744" s="218" t="s">
        <v>71</v>
      </c>
      <c r="C744" s="218" t="s">
        <v>1105</v>
      </c>
      <c r="D744" s="218" t="b">
        <v>1</v>
      </c>
      <c r="E744" s="219" t="b">
        <v>0</v>
      </c>
      <c r="F744" s="219" t="b">
        <v>0</v>
      </c>
      <c r="G744" s="219"/>
    </row>
    <row r="745">
      <c r="A745" s="218">
        <f t="shared" si="1"/>
        <v>744</v>
      </c>
      <c r="B745" s="218" t="s">
        <v>71</v>
      </c>
      <c r="C745" s="218" t="s">
        <v>2268</v>
      </c>
      <c r="D745" s="218" t="b">
        <v>1</v>
      </c>
      <c r="E745" s="219" t="b">
        <v>0</v>
      </c>
      <c r="F745" s="219" t="b">
        <v>0</v>
      </c>
      <c r="G745" s="219"/>
    </row>
    <row r="746">
      <c r="A746" s="218">
        <f t="shared" si="1"/>
        <v>745</v>
      </c>
      <c r="B746" s="218" t="s">
        <v>71</v>
      </c>
      <c r="C746" s="218" t="s">
        <v>3656</v>
      </c>
      <c r="D746" s="218" t="b">
        <v>1</v>
      </c>
      <c r="E746" s="219" t="b">
        <v>0</v>
      </c>
      <c r="F746" s="219" t="b">
        <v>0</v>
      </c>
      <c r="G746" s="219"/>
    </row>
    <row r="747">
      <c r="A747" s="218">
        <f t="shared" si="1"/>
        <v>746</v>
      </c>
      <c r="B747" s="218" t="s">
        <v>71</v>
      </c>
      <c r="C747" s="218" t="s">
        <v>4299</v>
      </c>
      <c r="D747" s="218" t="b">
        <v>1</v>
      </c>
      <c r="E747" s="219" t="b">
        <v>0</v>
      </c>
      <c r="F747" s="219" t="b">
        <v>0</v>
      </c>
      <c r="G747" s="219"/>
    </row>
    <row r="748">
      <c r="A748" s="218">
        <f t="shared" si="1"/>
        <v>747</v>
      </c>
      <c r="B748" s="218" t="s">
        <v>71</v>
      </c>
      <c r="C748" s="218" t="s">
        <v>2487</v>
      </c>
      <c r="D748" s="218" t="b">
        <v>1</v>
      </c>
      <c r="E748" s="219" t="b">
        <v>0</v>
      </c>
      <c r="F748" s="219" t="b">
        <v>0</v>
      </c>
      <c r="G748" s="219"/>
    </row>
    <row r="749">
      <c r="A749" s="218">
        <f t="shared" si="1"/>
        <v>748</v>
      </c>
      <c r="B749" s="218" t="s">
        <v>71</v>
      </c>
      <c r="C749" s="218" t="s">
        <v>1287</v>
      </c>
      <c r="D749" s="218" t="b">
        <v>1</v>
      </c>
      <c r="E749" s="219" t="b">
        <v>0</v>
      </c>
      <c r="F749" s="219" t="b">
        <v>0</v>
      </c>
      <c r="G749" s="219"/>
    </row>
    <row r="750">
      <c r="A750" s="218">
        <f t="shared" si="1"/>
        <v>749</v>
      </c>
      <c r="B750" s="218" t="s">
        <v>71</v>
      </c>
      <c r="C750" s="218" t="s">
        <v>3188</v>
      </c>
      <c r="D750" s="218" t="b">
        <v>1</v>
      </c>
      <c r="E750" s="219" t="b">
        <v>0</v>
      </c>
      <c r="F750" s="219" t="b">
        <v>0</v>
      </c>
      <c r="G750" s="219"/>
    </row>
    <row r="751">
      <c r="A751" s="218">
        <f t="shared" si="1"/>
        <v>750</v>
      </c>
      <c r="B751" s="218" t="s">
        <v>71</v>
      </c>
      <c r="C751" s="218" t="s">
        <v>5313</v>
      </c>
      <c r="D751" s="218" t="b">
        <v>1</v>
      </c>
      <c r="E751" s="219" t="b">
        <v>0</v>
      </c>
      <c r="F751" s="219" t="b">
        <v>0</v>
      </c>
      <c r="G751" s="219"/>
    </row>
    <row r="752">
      <c r="A752" s="218">
        <f t="shared" si="1"/>
        <v>751</v>
      </c>
      <c r="B752" s="218" t="s">
        <v>71</v>
      </c>
      <c r="C752" s="218" t="s">
        <v>2478</v>
      </c>
      <c r="D752" s="218" t="b">
        <v>1</v>
      </c>
      <c r="E752" s="219" t="b">
        <v>0</v>
      </c>
      <c r="F752" s="219" t="b">
        <v>0</v>
      </c>
      <c r="G752" s="219"/>
    </row>
    <row r="753">
      <c r="A753" s="218">
        <f t="shared" si="1"/>
        <v>752</v>
      </c>
      <c r="B753" s="218" t="s">
        <v>71</v>
      </c>
      <c r="C753" s="218" t="s">
        <v>4030</v>
      </c>
      <c r="D753" s="218" t="b">
        <v>1</v>
      </c>
      <c r="E753" s="219" t="b">
        <v>0</v>
      </c>
      <c r="F753" s="219" t="b">
        <v>0</v>
      </c>
      <c r="G753" s="219"/>
    </row>
    <row r="754">
      <c r="A754" s="218">
        <f t="shared" si="1"/>
        <v>753</v>
      </c>
      <c r="B754" s="218" t="s">
        <v>71</v>
      </c>
      <c r="C754" s="218" t="s">
        <v>1110</v>
      </c>
      <c r="D754" s="218" t="b">
        <v>1</v>
      </c>
      <c r="E754" s="219" t="b">
        <v>0</v>
      </c>
      <c r="F754" s="219" t="b">
        <v>0</v>
      </c>
      <c r="G754" s="219"/>
    </row>
    <row r="755">
      <c r="A755" s="218">
        <f t="shared" si="1"/>
        <v>754</v>
      </c>
      <c r="B755" s="218" t="s">
        <v>71</v>
      </c>
      <c r="C755" s="218" t="s">
        <v>3346</v>
      </c>
      <c r="D755" s="218" t="b">
        <v>1</v>
      </c>
      <c r="E755" s="219" t="b">
        <v>0</v>
      </c>
      <c r="F755" s="219" t="b">
        <v>0</v>
      </c>
      <c r="G755" s="219"/>
    </row>
    <row r="756">
      <c r="A756" s="218">
        <f t="shared" si="1"/>
        <v>755</v>
      </c>
      <c r="B756" s="218" t="s">
        <v>71</v>
      </c>
      <c r="C756" s="218" t="s">
        <v>1180</v>
      </c>
      <c r="D756" s="218" t="b">
        <v>1</v>
      </c>
      <c r="E756" s="219" t="b">
        <v>0</v>
      </c>
      <c r="F756" s="219" t="b">
        <v>0</v>
      </c>
      <c r="G756" s="219"/>
    </row>
    <row r="757">
      <c r="A757" s="218">
        <f t="shared" si="1"/>
        <v>756</v>
      </c>
      <c r="B757" s="218" t="s">
        <v>71</v>
      </c>
      <c r="C757" s="218" t="s">
        <v>4419</v>
      </c>
      <c r="D757" s="218" t="b">
        <v>1</v>
      </c>
      <c r="E757" s="219" t="b">
        <v>0</v>
      </c>
      <c r="F757" s="219" t="b">
        <v>0</v>
      </c>
      <c r="G757" s="219"/>
    </row>
    <row r="758">
      <c r="A758" s="218">
        <f t="shared" si="1"/>
        <v>757</v>
      </c>
      <c r="B758" s="218" t="s">
        <v>71</v>
      </c>
      <c r="C758" s="218" t="s">
        <v>4364</v>
      </c>
      <c r="D758" s="218" t="b">
        <v>1</v>
      </c>
      <c r="E758" s="219" t="b">
        <v>0</v>
      </c>
      <c r="F758" s="219" t="b">
        <v>0</v>
      </c>
      <c r="G758" s="219"/>
    </row>
    <row r="759">
      <c r="A759" s="218">
        <f t="shared" si="1"/>
        <v>758</v>
      </c>
      <c r="B759" s="218" t="s">
        <v>71</v>
      </c>
      <c r="C759" s="218" t="s">
        <v>6481</v>
      </c>
      <c r="D759" s="218" t="b">
        <v>1</v>
      </c>
      <c r="E759" s="219" t="b">
        <v>0</v>
      </c>
      <c r="F759" s="219" t="b">
        <v>0</v>
      </c>
      <c r="G759" s="219"/>
    </row>
    <row r="760">
      <c r="A760" s="218">
        <f t="shared" si="1"/>
        <v>759</v>
      </c>
      <c r="B760" s="218" t="s">
        <v>71</v>
      </c>
      <c r="C760" s="218" t="s">
        <v>4374</v>
      </c>
      <c r="D760" s="218" t="b">
        <v>1</v>
      </c>
      <c r="E760" s="219" t="b">
        <v>0</v>
      </c>
      <c r="F760" s="219" t="b">
        <v>0</v>
      </c>
      <c r="G760" s="219"/>
    </row>
    <row r="761">
      <c r="A761" s="218">
        <f t="shared" si="1"/>
        <v>760</v>
      </c>
      <c r="B761" s="218" t="s">
        <v>71</v>
      </c>
      <c r="C761" s="218" t="s">
        <v>4386</v>
      </c>
      <c r="D761" s="218" t="b">
        <v>1</v>
      </c>
      <c r="E761" s="219" t="b">
        <v>0</v>
      </c>
      <c r="F761" s="219" t="b">
        <v>0</v>
      </c>
      <c r="G761" s="219"/>
    </row>
    <row r="762">
      <c r="A762" s="218">
        <f t="shared" si="1"/>
        <v>761</v>
      </c>
      <c r="B762" s="218" t="s">
        <v>71</v>
      </c>
      <c r="C762" s="218" t="s">
        <v>4391</v>
      </c>
      <c r="D762" s="218" t="b">
        <v>1</v>
      </c>
      <c r="E762" s="219" t="b">
        <v>0</v>
      </c>
      <c r="F762" s="219" t="b">
        <v>0</v>
      </c>
      <c r="G762" s="219"/>
    </row>
    <row r="763">
      <c r="A763" s="218">
        <f t="shared" si="1"/>
        <v>762</v>
      </c>
      <c r="B763" s="218" t="s">
        <v>71</v>
      </c>
      <c r="C763" s="218" t="s">
        <v>4396</v>
      </c>
      <c r="D763" s="218" t="b">
        <v>1</v>
      </c>
      <c r="E763" s="219" t="b">
        <v>0</v>
      </c>
      <c r="F763" s="219" t="b">
        <v>0</v>
      </c>
      <c r="G763" s="219"/>
    </row>
    <row r="764">
      <c r="A764" s="218">
        <f t="shared" si="1"/>
        <v>763</v>
      </c>
      <c r="B764" s="218" t="s">
        <v>71</v>
      </c>
      <c r="C764" s="218" t="s">
        <v>4425</v>
      </c>
      <c r="D764" s="218" t="b">
        <v>1</v>
      </c>
      <c r="E764" s="219" t="b">
        <v>0</v>
      </c>
      <c r="F764" s="219" t="b">
        <v>0</v>
      </c>
      <c r="G764" s="219"/>
    </row>
    <row r="765">
      <c r="A765" s="218">
        <f t="shared" si="1"/>
        <v>764</v>
      </c>
      <c r="B765" s="218" t="s">
        <v>71</v>
      </c>
      <c r="C765" s="218" t="s">
        <v>3714</v>
      </c>
      <c r="D765" s="218" t="b">
        <v>1</v>
      </c>
      <c r="E765" s="219" t="b">
        <v>0</v>
      </c>
      <c r="F765" s="219" t="b">
        <v>0</v>
      </c>
      <c r="G765" s="219"/>
    </row>
    <row r="766">
      <c r="A766" s="218">
        <f t="shared" si="1"/>
        <v>765</v>
      </c>
      <c r="B766" s="218" t="s">
        <v>71</v>
      </c>
      <c r="C766" s="218" t="s">
        <v>4305</v>
      </c>
      <c r="D766" s="218" t="b">
        <v>1</v>
      </c>
      <c r="E766" s="219" t="b">
        <v>0</v>
      </c>
      <c r="F766" s="219" t="b">
        <v>0</v>
      </c>
      <c r="G766" s="219"/>
    </row>
    <row r="767">
      <c r="A767" s="218">
        <f t="shared" si="1"/>
        <v>766</v>
      </c>
      <c r="B767" s="218" t="s">
        <v>71</v>
      </c>
      <c r="C767" s="218" t="s">
        <v>3788</v>
      </c>
      <c r="D767" s="218" t="b">
        <v>1</v>
      </c>
      <c r="E767" s="219" t="b">
        <v>0</v>
      </c>
      <c r="F767" s="219" t="b">
        <v>0</v>
      </c>
      <c r="G767" s="219"/>
    </row>
    <row r="768">
      <c r="A768" s="218">
        <f t="shared" si="1"/>
        <v>767</v>
      </c>
      <c r="B768" s="218" t="s">
        <v>71</v>
      </c>
      <c r="C768" s="218" t="s">
        <v>2473</v>
      </c>
      <c r="D768" s="218" t="b">
        <v>1</v>
      </c>
      <c r="E768" s="219" t="b">
        <v>0</v>
      </c>
      <c r="F768" s="219" t="b">
        <v>0</v>
      </c>
      <c r="G768" s="219"/>
    </row>
    <row r="769">
      <c r="A769" s="218">
        <f t="shared" si="1"/>
        <v>768</v>
      </c>
      <c r="B769" s="218" t="s">
        <v>71</v>
      </c>
      <c r="C769" s="218" t="s">
        <v>3405</v>
      </c>
      <c r="D769" s="218" t="b">
        <v>1</v>
      </c>
      <c r="E769" s="219" t="b">
        <v>0</v>
      </c>
      <c r="F769" s="219" t="b">
        <v>0</v>
      </c>
      <c r="G769" s="219"/>
    </row>
    <row r="770">
      <c r="A770" s="218">
        <f t="shared" si="1"/>
        <v>769</v>
      </c>
      <c r="B770" s="218" t="s">
        <v>71</v>
      </c>
      <c r="C770" s="218" t="s">
        <v>3401</v>
      </c>
      <c r="D770" s="218" t="b">
        <v>1</v>
      </c>
      <c r="E770" s="219" t="b">
        <v>0</v>
      </c>
      <c r="F770" s="219" t="b">
        <v>0</v>
      </c>
      <c r="G770" s="219"/>
    </row>
    <row r="771">
      <c r="A771" s="218">
        <f t="shared" si="1"/>
        <v>770</v>
      </c>
      <c r="B771" s="218" t="s">
        <v>71</v>
      </c>
      <c r="C771" s="218" t="s">
        <v>3750</v>
      </c>
      <c r="D771" s="218" t="b">
        <v>1</v>
      </c>
      <c r="E771" s="219" t="b">
        <v>0</v>
      </c>
      <c r="F771" s="219" t="b">
        <v>0</v>
      </c>
      <c r="G771" s="219"/>
    </row>
    <row r="772">
      <c r="A772" s="218">
        <f t="shared" si="1"/>
        <v>771</v>
      </c>
      <c r="B772" s="218" t="s">
        <v>71</v>
      </c>
      <c r="C772" s="218" t="s">
        <v>3754</v>
      </c>
      <c r="D772" s="218" t="b">
        <v>1</v>
      </c>
      <c r="E772" s="219" t="b">
        <v>0</v>
      </c>
      <c r="F772" s="219" t="b">
        <v>0</v>
      </c>
      <c r="G772" s="219"/>
    </row>
    <row r="773">
      <c r="A773" s="218">
        <f t="shared" si="1"/>
        <v>772</v>
      </c>
      <c r="B773" s="218" t="s">
        <v>71</v>
      </c>
      <c r="C773" s="218" t="s">
        <v>3822</v>
      </c>
      <c r="D773" s="218" t="b">
        <v>1</v>
      </c>
      <c r="E773" s="219" t="b">
        <v>0</v>
      </c>
      <c r="F773" s="219" t="b">
        <v>0</v>
      </c>
      <c r="G773" s="219"/>
    </row>
    <row r="774">
      <c r="A774" s="218">
        <f t="shared" si="1"/>
        <v>773</v>
      </c>
      <c r="B774" s="218" t="s">
        <v>71</v>
      </c>
      <c r="C774" s="218" t="s">
        <v>3801</v>
      </c>
      <c r="D774" s="218" t="b">
        <v>1</v>
      </c>
      <c r="E774" s="219" t="b">
        <v>0</v>
      </c>
      <c r="F774" s="219" t="b">
        <v>0</v>
      </c>
      <c r="G774" s="219"/>
    </row>
    <row r="775">
      <c r="A775" s="218">
        <f t="shared" si="1"/>
        <v>774</v>
      </c>
      <c r="B775" s="218" t="s">
        <v>71</v>
      </c>
      <c r="C775" s="218" t="s">
        <v>3846</v>
      </c>
      <c r="D775" s="218" t="b">
        <v>1</v>
      </c>
      <c r="E775" s="219" t="b">
        <v>0</v>
      </c>
      <c r="F775" s="219" t="b">
        <v>0</v>
      </c>
      <c r="G775" s="219"/>
    </row>
    <row r="776">
      <c r="A776" s="218">
        <f t="shared" si="1"/>
        <v>775</v>
      </c>
      <c r="B776" s="218" t="s">
        <v>71</v>
      </c>
      <c r="C776" s="218" t="s">
        <v>3377</v>
      </c>
      <c r="D776" s="218" t="b">
        <v>1</v>
      </c>
      <c r="E776" s="219" t="b">
        <v>0</v>
      </c>
      <c r="F776" s="219" t="b">
        <v>0</v>
      </c>
      <c r="G776" s="219"/>
    </row>
    <row r="777">
      <c r="A777" s="218">
        <f t="shared" si="1"/>
        <v>776</v>
      </c>
      <c r="B777" s="218" t="s">
        <v>71</v>
      </c>
      <c r="C777" s="218" t="s">
        <v>3382</v>
      </c>
      <c r="D777" s="218" t="b">
        <v>1</v>
      </c>
      <c r="E777" s="219" t="b">
        <v>0</v>
      </c>
      <c r="F777" s="219" t="b">
        <v>0</v>
      </c>
      <c r="G777" s="219"/>
    </row>
    <row r="778">
      <c r="A778" s="218">
        <f t="shared" si="1"/>
        <v>777</v>
      </c>
      <c r="B778" s="218" t="s">
        <v>71</v>
      </c>
      <c r="C778" s="218" t="s">
        <v>4925</v>
      </c>
      <c r="D778" s="218" t="b">
        <v>1</v>
      </c>
      <c r="E778" s="219" t="b">
        <v>0</v>
      </c>
      <c r="F778" s="219" t="b">
        <v>0</v>
      </c>
      <c r="G778" s="219"/>
    </row>
    <row r="779">
      <c r="A779" s="218">
        <f t="shared" si="1"/>
        <v>778</v>
      </c>
      <c r="B779" s="218" t="s">
        <v>71</v>
      </c>
      <c r="C779" s="218" t="s">
        <v>3387</v>
      </c>
      <c r="D779" s="218" t="b">
        <v>1</v>
      </c>
      <c r="E779" s="219" t="b">
        <v>0</v>
      </c>
      <c r="F779" s="219" t="b">
        <v>0</v>
      </c>
      <c r="G779" s="219"/>
    </row>
    <row r="780">
      <c r="A780" s="218">
        <f t="shared" si="1"/>
        <v>779</v>
      </c>
      <c r="B780" s="218" t="s">
        <v>71</v>
      </c>
      <c r="C780" s="218" t="s">
        <v>4001</v>
      </c>
      <c r="D780" s="218" t="b">
        <v>1</v>
      </c>
      <c r="E780" s="219" t="b">
        <v>0</v>
      </c>
      <c r="F780" s="219" t="b">
        <v>0</v>
      </c>
      <c r="G780" s="219"/>
    </row>
    <row r="781">
      <c r="A781" s="218">
        <f t="shared" si="1"/>
        <v>780</v>
      </c>
      <c r="B781" s="218" t="s">
        <v>71</v>
      </c>
      <c r="C781" s="218" t="s">
        <v>5412</v>
      </c>
      <c r="D781" s="218" t="b">
        <v>1</v>
      </c>
      <c r="E781" s="219" t="b">
        <v>0</v>
      </c>
      <c r="F781" s="219" t="b">
        <v>0</v>
      </c>
      <c r="G781" s="219"/>
    </row>
    <row r="782">
      <c r="A782" s="218">
        <f t="shared" si="1"/>
        <v>781</v>
      </c>
      <c r="B782" s="218" t="s">
        <v>71</v>
      </c>
      <c r="C782" s="218" t="s">
        <v>4019</v>
      </c>
      <c r="D782" s="218" t="b">
        <v>1</v>
      </c>
      <c r="E782" s="219" t="b">
        <v>0</v>
      </c>
      <c r="F782" s="219" t="b">
        <v>0</v>
      </c>
      <c r="G782" s="219"/>
    </row>
    <row r="783">
      <c r="A783" s="218">
        <f t="shared" si="1"/>
        <v>782</v>
      </c>
      <c r="B783" s="218" t="s">
        <v>71</v>
      </c>
      <c r="C783" s="218" t="s">
        <v>4150</v>
      </c>
      <c r="D783" s="218" t="b">
        <v>1</v>
      </c>
      <c r="E783" s="219" t="b">
        <v>0</v>
      </c>
      <c r="F783" s="219" t="b">
        <v>0</v>
      </c>
      <c r="G783" s="219"/>
    </row>
    <row r="784">
      <c r="A784" s="218">
        <f t="shared" si="1"/>
        <v>783</v>
      </c>
      <c r="B784" s="218" t="s">
        <v>71</v>
      </c>
      <c r="C784" s="218" t="s">
        <v>4171</v>
      </c>
      <c r="D784" s="218" t="b">
        <v>1</v>
      </c>
      <c r="E784" s="219" t="b">
        <v>0</v>
      </c>
      <c r="F784" s="219" t="b">
        <v>0</v>
      </c>
      <c r="G784" s="219"/>
    </row>
    <row r="785">
      <c r="A785" s="218">
        <f t="shared" si="1"/>
        <v>784</v>
      </c>
      <c r="B785" s="218" t="s">
        <v>71</v>
      </c>
      <c r="C785" s="218" t="s">
        <v>4199</v>
      </c>
      <c r="D785" s="218" t="b">
        <v>1</v>
      </c>
      <c r="E785" s="219" t="b">
        <v>0</v>
      </c>
      <c r="F785" s="219" t="b">
        <v>0</v>
      </c>
      <c r="G785" s="219"/>
    </row>
    <row r="786">
      <c r="A786" s="218">
        <f t="shared" si="1"/>
        <v>785</v>
      </c>
      <c r="B786" s="218" t="s">
        <v>71</v>
      </c>
      <c r="C786" s="218" t="s">
        <v>4210</v>
      </c>
      <c r="D786" s="218" t="b">
        <v>1</v>
      </c>
      <c r="E786" s="219" t="b">
        <v>0</v>
      </c>
      <c r="F786" s="219" t="b">
        <v>0</v>
      </c>
      <c r="G786" s="219"/>
    </row>
    <row r="787">
      <c r="A787" s="218">
        <f t="shared" si="1"/>
        <v>786</v>
      </c>
      <c r="B787" s="218" t="s">
        <v>71</v>
      </c>
      <c r="C787" s="218" t="s">
        <v>4216</v>
      </c>
      <c r="D787" s="218" t="b">
        <v>1</v>
      </c>
      <c r="E787" s="219" t="b">
        <v>0</v>
      </c>
      <c r="F787" s="219" t="b">
        <v>0</v>
      </c>
      <c r="G787" s="219"/>
    </row>
    <row r="788">
      <c r="A788" s="218">
        <f t="shared" si="1"/>
        <v>787</v>
      </c>
      <c r="B788" s="218" t="s">
        <v>71</v>
      </c>
      <c r="C788" s="218" t="s">
        <v>4222</v>
      </c>
      <c r="D788" s="218" t="b">
        <v>1</v>
      </c>
      <c r="E788" s="219" t="b">
        <v>0</v>
      </c>
      <c r="F788" s="219" t="b">
        <v>0</v>
      </c>
      <c r="G788" s="219"/>
    </row>
    <row r="789">
      <c r="A789" s="218">
        <f t="shared" si="1"/>
        <v>788</v>
      </c>
      <c r="B789" s="218" t="s">
        <v>71</v>
      </c>
      <c r="C789" s="218" t="s">
        <v>4268</v>
      </c>
      <c r="D789" s="218" t="b">
        <v>1</v>
      </c>
      <c r="E789" s="219" t="b">
        <v>0</v>
      </c>
      <c r="F789" s="219" t="b">
        <v>0</v>
      </c>
      <c r="G789" s="219"/>
    </row>
    <row r="790">
      <c r="A790" s="218">
        <f t="shared" si="1"/>
        <v>789</v>
      </c>
      <c r="B790" s="218" t="s">
        <v>71</v>
      </c>
      <c r="C790" s="218" t="s">
        <v>4243</v>
      </c>
      <c r="D790" s="218" t="b">
        <v>1</v>
      </c>
      <c r="E790" s="219" t="b">
        <v>0</v>
      </c>
      <c r="F790" s="219" t="b">
        <v>0</v>
      </c>
      <c r="G790" s="219"/>
    </row>
    <row r="791">
      <c r="A791" s="218">
        <f t="shared" si="1"/>
        <v>790</v>
      </c>
      <c r="B791" s="218" t="s">
        <v>71</v>
      </c>
      <c r="C791" s="218" t="s">
        <v>4368</v>
      </c>
      <c r="D791" s="218" t="b">
        <v>1</v>
      </c>
      <c r="E791" s="219" t="b">
        <v>0</v>
      </c>
      <c r="F791" s="219" t="b">
        <v>0</v>
      </c>
      <c r="G791" s="219"/>
    </row>
    <row r="792">
      <c r="A792" s="218">
        <f t="shared" si="1"/>
        <v>791</v>
      </c>
      <c r="B792" s="218" t="s">
        <v>71</v>
      </c>
      <c r="C792" s="218" t="s">
        <v>4407</v>
      </c>
      <c r="D792" s="218" t="b">
        <v>1</v>
      </c>
      <c r="E792" s="219" t="b">
        <v>0</v>
      </c>
      <c r="F792" s="219" t="b">
        <v>0</v>
      </c>
      <c r="G792" s="219"/>
    </row>
    <row r="793">
      <c r="A793" s="218">
        <f t="shared" si="1"/>
        <v>792</v>
      </c>
      <c r="B793" s="218" t="s">
        <v>71</v>
      </c>
      <c r="C793" s="218" t="s">
        <v>4435</v>
      </c>
      <c r="D793" s="218" t="b">
        <v>1</v>
      </c>
      <c r="E793" s="219" t="b">
        <v>0</v>
      </c>
      <c r="F793" s="219" t="b">
        <v>0</v>
      </c>
      <c r="G793" s="219"/>
    </row>
    <row r="794">
      <c r="A794" s="218">
        <f t="shared" si="1"/>
        <v>793</v>
      </c>
      <c r="B794" s="218" t="s">
        <v>71</v>
      </c>
      <c r="C794" s="218" t="s">
        <v>4441</v>
      </c>
      <c r="D794" s="218" t="b">
        <v>1</v>
      </c>
      <c r="E794" s="219" t="b">
        <v>0</v>
      </c>
      <c r="F794" s="219" t="b">
        <v>0</v>
      </c>
      <c r="G794" s="219"/>
    </row>
    <row r="795">
      <c r="A795" s="218">
        <f t="shared" si="1"/>
        <v>794</v>
      </c>
      <c r="B795" s="218" t="s">
        <v>71</v>
      </c>
      <c r="C795" s="218" t="s">
        <v>4511</v>
      </c>
      <c r="D795" s="218" t="b">
        <v>1</v>
      </c>
      <c r="E795" s="219" t="b">
        <v>0</v>
      </c>
      <c r="F795" s="219" t="b">
        <v>0</v>
      </c>
      <c r="G795" s="219"/>
    </row>
    <row r="796">
      <c r="A796" s="218">
        <f t="shared" si="1"/>
        <v>795</v>
      </c>
      <c r="B796" s="218" t="s">
        <v>71</v>
      </c>
      <c r="C796" s="218" t="s">
        <v>1292</v>
      </c>
      <c r="D796" s="218" t="b">
        <v>1</v>
      </c>
      <c r="E796" s="219" t="b">
        <v>0</v>
      </c>
      <c r="F796" s="219" t="b">
        <v>0</v>
      </c>
      <c r="G796" s="219"/>
    </row>
    <row r="797">
      <c r="A797" s="218">
        <f t="shared" si="1"/>
        <v>796</v>
      </c>
      <c r="B797" s="218" t="s">
        <v>71</v>
      </c>
      <c r="C797" s="218" t="s">
        <v>3641</v>
      </c>
      <c r="D797" s="218" t="b">
        <v>1</v>
      </c>
      <c r="E797" s="219" t="b">
        <v>0</v>
      </c>
      <c r="F797" s="219" t="b">
        <v>0</v>
      </c>
      <c r="G797" s="219"/>
    </row>
    <row r="798">
      <c r="A798" s="218">
        <f t="shared" si="1"/>
        <v>797</v>
      </c>
      <c r="B798" s="218" t="s">
        <v>71</v>
      </c>
      <c r="C798" s="218" t="s">
        <v>4458</v>
      </c>
      <c r="D798" s="218" t="b">
        <v>1</v>
      </c>
      <c r="E798" s="219" t="b">
        <v>0</v>
      </c>
      <c r="F798" s="219" t="b">
        <v>0</v>
      </c>
      <c r="G798" s="219"/>
    </row>
    <row r="799">
      <c r="A799" s="218">
        <f t="shared" si="1"/>
        <v>798</v>
      </c>
      <c r="B799" s="218" t="s">
        <v>71</v>
      </c>
      <c r="C799" s="218" t="s">
        <v>4467</v>
      </c>
      <c r="D799" s="218" t="b">
        <v>1</v>
      </c>
      <c r="E799" s="219" t="b">
        <v>0</v>
      </c>
      <c r="F799" s="219" t="b">
        <v>0</v>
      </c>
      <c r="G799" s="219"/>
    </row>
    <row r="800">
      <c r="A800" s="218">
        <f t="shared" si="1"/>
        <v>799</v>
      </c>
      <c r="B800" s="218" t="s">
        <v>71</v>
      </c>
      <c r="C800" s="218" t="s">
        <v>4548</v>
      </c>
      <c r="D800" s="218" t="b">
        <v>1</v>
      </c>
      <c r="E800" s="219" t="b">
        <v>0</v>
      </c>
      <c r="F800" s="219" t="b">
        <v>0</v>
      </c>
      <c r="G800" s="219"/>
    </row>
    <row r="801">
      <c r="A801" s="218">
        <f t="shared" si="1"/>
        <v>800</v>
      </c>
      <c r="B801" s="218" t="s">
        <v>71</v>
      </c>
      <c r="C801" s="218" t="s">
        <v>4560</v>
      </c>
      <c r="D801" s="218" t="b">
        <v>1</v>
      </c>
      <c r="E801" s="219" t="b">
        <v>0</v>
      </c>
      <c r="F801" s="219" t="b">
        <v>0</v>
      </c>
      <c r="G801" s="219"/>
    </row>
    <row r="802">
      <c r="A802" s="218">
        <f t="shared" si="1"/>
        <v>801</v>
      </c>
      <c r="B802" s="218" t="s">
        <v>71</v>
      </c>
      <c r="C802" s="218" t="s">
        <v>4576</v>
      </c>
      <c r="D802" s="218" t="b">
        <v>1</v>
      </c>
      <c r="E802" s="219" t="b">
        <v>0</v>
      </c>
      <c r="F802" s="219" t="b">
        <v>0</v>
      </c>
      <c r="G802" s="219"/>
    </row>
    <row r="803">
      <c r="A803" s="218">
        <f t="shared" si="1"/>
        <v>802</v>
      </c>
      <c r="B803" s="218" t="s">
        <v>71</v>
      </c>
      <c r="C803" s="218" t="s">
        <v>4579</v>
      </c>
      <c r="D803" s="218" t="b">
        <v>1</v>
      </c>
      <c r="E803" s="219" t="b">
        <v>0</v>
      </c>
      <c r="F803" s="219" t="b">
        <v>0</v>
      </c>
      <c r="G803" s="219"/>
    </row>
    <row r="804">
      <c r="A804" s="218">
        <f t="shared" si="1"/>
        <v>803</v>
      </c>
      <c r="B804" s="218" t="s">
        <v>71</v>
      </c>
      <c r="C804" s="218" t="s">
        <v>4586</v>
      </c>
      <c r="D804" s="218" t="b">
        <v>1</v>
      </c>
      <c r="E804" s="219" t="b">
        <v>0</v>
      </c>
      <c r="F804" s="219" t="b">
        <v>0</v>
      </c>
      <c r="G804" s="219"/>
    </row>
    <row r="805">
      <c r="A805" s="218">
        <f t="shared" si="1"/>
        <v>804</v>
      </c>
      <c r="B805" s="218" t="s">
        <v>71</v>
      </c>
      <c r="C805" s="218" t="s">
        <v>4597</v>
      </c>
      <c r="D805" s="218" t="b">
        <v>1</v>
      </c>
      <c r="E805" s="219" t="b">
        <v>0</v>
      </c>
      <c r="F805" s="219" t="b">
        <v>0</v>
      </c>
      <c r="G805" s="219"/>
    </row>
    <row r="806">
      <c r="A806" s="218">
        <f t="shared" si="1"/>
        <v>805</v>
      </c>
      <c r="B806" s="218" t="s">
        <v>71</v>
      </c>
      <c r="C806" s="218" t="s">
        <v>4634</v>
      </c>
      <c r="D806" s="218" t="b">
        <v>1</v>
      </c>
      <c r="E806" s="219" t="b">
        <v>0</v>
      </c>
      <c r="F806" s="219" t="b">
        <v>0</v>
      </c>
      <c r="G806" s="219"/>
    </row>
    <row r="807">
      <c r="A807" s="218">
        <f t="shared" si="1"/>
        <v>806</v>
      </c>
      <c r="B807" s="218" t="s">
        <v>71</v>
      </c>
      <c r="C807" s="218" t="s">
        <v>2283</v>
      </c>
      <c r="D807" s="218" t="b">
        <v>1</v>
      </c>
      <c r="E807" s="219" t="b">
        <v>0</v>
      </c>
      <c r="F807" s="219" t="b">
        <v>0</v>
      </c>
      <c r="G807" s="219"/>
    </row>
    <row r="808">
      <c r="A808" s="218">
        <f t="shared" si="1"/>
        <v>807</v>
      </c>
      <c r="B808" s="218" t="s">
        <v>71</v>
      </c>
      <c r="C808" s="218" t="s">
        <v>1459</v>
      </c>
      <c r="D808" s="218" t="b">
        <v>1</v>
      </c>
      <c r="E808" s="219" t="b">
        <v>0</v>
      </c>
      <c r="F808" s="219" t="b">
        <v>0</v>
      </c>
      <c r="G808" s="219"/>
    </row>
    <row r="809">
      <c r="A809" s="218">
        <f t="shared" si="1"/>
        <v>808</v>
      </c>
      <c r="B809" s="218" t="s">
        <v>71</v>
      </c>
      <c r="C809" s="218" t="s">
        <v>1459</v>
      </c>
      <c r="D809" s="218" t="b">
        <v>1</v>
      </c>
      <c r="E809" s="219" t="b">
        <v>0</v>
      </c>
      <c r="F809" s="219" t="b">
        <v>0</v>
      </c>
      <c r="G809" s="219"/>
    </row>
    <row r="810">
      <c r="A810" s="218">
        <f t="shared" si="1"/>
        <v>809</v>
      </c>
      <c r="B810" s="218" t="s">
        <v>71</v>
      </c>
      <c r="C810" s="218" t="s">
        <v>2123</v>
      </c>
      <c r="D810" s="218" t="b">
        <v>1</v>
      </c>
      <c r="E810" s="219" t="b">
        <v>0</v>
      </c>
      <c r="F810" s="219" t="b">
        <v>0</v>
      </c>
      <c r="G810" s="219"/>
    </row>
    <row r="811">
      <c r="A811" s="218">
        <f t="shared" si="1"/>
        <v>810</v>
      </c>
      <c r="B811" s="218" t="s">
        <v>71</v>
      </c>
      <c r="C811" s="218" t="s">
        <v>1464</v>
      </c>
      <c r="D811" s="218" t="b">
        <v>1</v>
      </c>
      <c r="E811" s="219" t="b">
        <v>0</v>
      </c>
      <c r="F811" s="219" t="b">
        <v>0</v>
      </c>
      <c r="G811" s="219"/>
    </row>
    <row r="812">
      <c r="A812" s="218">
        <f t="shared" si="1"/>
        <v>811</v>
      </c>
      <c r="B812" s="218" t="s">
        <v>71</v>
      </c>
      <c r="C812" s="218" t="s">
        <v>1464</v>
      </c>
      <c r="D812" s="218" t="b">
        <v>1</v>
      </c>
      <c r="E812" s="219" t="b">
        <v>0</v>
      </c>
      <c r="F812" s="219" t="b">
        <v>0</v>
      </c>
      <c r="G812" s="219"/>
    </row>
    <row r="813">
      <c r="A813" s="218">
        <f t="shared" si="1"/>
        <v>812</v>
      </c>
      <c r="B813" s="218" t="s">
        <v>71</v>
      </c>
      <c r="C813" s="218" t="s">
        <v>3327</v>
      </c>
      <c r="D813" s="218" t="b">
        <v>1</v>
      </c>
      <c r="E813" s="219" t="b">
        <v>0</v>
      </c>
      <c r="F813" s="219" t="b">
        <v>0</v>
      </c>
      <c r="G813" s="219"/>
    </row>
    <row r="814">
      <c r="A814" s="218">
        <f t="shared" si="1"/>
        <v>813</v>
      </c>
      <c r="B814" s="218" t="s">
        <v>71</v>
      </c>
      <c r="C814" s="218" t="s">
        <v>1556</v>
      </c>
      <c r="D814" s="218" t="b">
        <v>1</v>
      </c>
      <c r="E814" s="219" t="b">
        <v>0</v>
      </c>
      <c r="F814" s="219" t="b">
        <v>0</v>
      </c>
      <c r="G814" s="219"/>
    </row>
    <row r="815">
      <c r="A815" s="218">
        <f t="shared" si="1"/>
        <v>814</v>
      </c>
      <c r="B815" s="218" t="s">
        <v>71</v>
      </c>
      <c r="C815" s="218" t="s">
        <v>2468</v>
      </c>
      <c r="D815" s="218" t="b">
        <v>1</v>
      </c>
      <c r="E815" s="219" t="b">
        <v>0</v>
      </c>
      <c r="F815" s="219" t="b">
        <v>0</v>
      </c>
      <c r="G815" s="219"/>
    </row>
    <row r="816">
      <c r="A816" s="218">
        <f t="shared" si="1"/>
        <v>815</v>
      </c>
      <c r="B816" s="218" t="s">
        <v>71</v>
      </c>
      <c r="C816" s="218" t="s">
        <v>1487</v>
      </c>
      <c r="D816" s="218" t="b">
        <v>1</v>
      </c>
      <c r="E816" s="219" t="b">
        <v>0</v>
      </c>
      <c r="F816" s="219" t="b">
        <v>0</v>
      </c>
      <c r="G816" s="219"/>
    </row>
    <row r="817">
      <c r="A817" s="218">
        <f t="shared" si="1"/>
        <v>816</v>
      </c>
      <c r="B817" s="218" t="s">
        <v>71</v>
      </c>
      <c r="C817" s="218" t="s">
        <v>1347</v>
      </c>
      <c r="D817" s="218" t="b">
        <v>1</v>
      </c>
      <c r="E817" s="219" t="b">
        <v>0</v>
      </c>
      <c r="F817" s="219" t="b">
        <v>0</v>
      </c>
      <c r="G817" s="219"/>
    </row>
    <row r="818">
      <c r="A818" s="218">
        <f t="shared" si="1"/>
        <v>817</v>
      </c>
      <c r="B818" s="218" t="s">
        <v>71</v>
      </c>
      <c r="C818" s="218" t="s">
        <v>1507</v>
      </c>
      <c r="D818" s="218" t="b">
        <v>1</v>
      </c>
      <c r="E818" s="219" t="b">
        <v>0</v>
      </c>
      <c r="F818" s="219" t="b">
        <v>0</v>
      </c>
      <c r="G818" s="219"/>
    </row>
    <row r="819">
      <c r="A819" s="218">
        <f t="shared" si="1"/>
        <v>818</v>
      </c>
      <c r="B819" s="218" t="s">
        <v>71</v>
      </c>
      <c r="C819" s="218" t="s">
        <v>1532</v>
      </c>
      <c r="D819" s="218" t="b">
        <v>1</v>
      </c>
      <c r="E819" s="219" t="b">
        <v>0</v>
      </c>
      <c r="F819" s="219" t="b">
        <v>0</v>
      </c>
      <c r="G819" s="219"/>
    </row>
    <row r="820">
      <c r="A820" s="218">
        <f t="shared" si="1"/>
        <v>819</v>
      </c>
      <c r="B820" s="218" t="s">
        <v>71</v>
      </c>
      <c r="C820" s="218" t="s">
        <v>1537</v>
      </c>
      <c r="D820" s="218" t="b">
        <v>1</v>
      </c>
      <c r="E820" s="219" t="b">
        <v>0</v>
      </c>
      <c r="F820" s="219" t="b">
        <v>0</v>
      </c>
      <c r="G820" s="219"/>
    </row>
    <row r="821">
      <c r="A821" s="218">
        <f t="shared" si="1"/>
        <v>820</v>
      </c>
      <c r="B821" s="218" t="s">
        <v>71</v>
      </c>
      <c r="C821" s="218" t="s">
        <v>1547</v>
      </c>
      <c r="D821" s="218" t="b">
        <v>1</v>
      </c>
      <c r="E821" s="219" t="b">
        <v>0</v>
      </c>
      <c r="F821" s="219" t="b">
        <v>0</v>
      </c>
      <c r="G821" s="219"/>
    </row>
    <row r="822">
      <c r="A822" s="218">
        <f t="shared" si="1"/>
        <v>821</v>
      </c>
      <c r="B822" s="218" t="s">
        <v>71</v>
      </c>
      <c r="C822" s="218" t="s">
        <v>1706</v>
      </c>
      <c r="D822" s="218" t="b">
        <v>1</v>
      </c>
      <c r="E822" s="219" t="b">
        <v>0</v>
      </c>
      <c r="F822" s="219" t="b">
        <v>0</v>
      </c>
      <c r="G822" s="219"/>
    </row>
    <row r="823">
      <c r="A823" s="218">
        <f t="shared" si="1"/>
        <v>822</v>
      </c>
      <c r="B823" s="218" t="s">
        <v>71</v>
      </c>
      <c r="C823" s="218" t="s">
        <v>3875</v>
      </c>
      <c r="D823" s="218" t="b">
        <v>1</v>
      </c>
      <c r="E823" s="219" t="b">
        <v>0</v>
      </c>
      <c r="F823" s="219" t="b">
        <v>0</v>
      </c>
      <c r="G823" s="219"/>
    </row>
    <row r="824">
      <c r="A824" s="218">
        <f t="shared" si="1"/>
        <v>823</v>
      </c>
      <c r="B824" s="218" t="s">
        <v>71</v>
      </c>
      <c r="C824" s="218" t="s">
        <v>1697</v>
      </c>
      <c r="D824" s="218" t="b">
        <v>1</v>
      </c>
      <c r="E824" s="219" t="b">
        <v>0</v>
      </c>
      <c r="F824" s="219" t="b">
        <v>0</v>
      </c>
      <c r="G824" s="219"/>
    </row>
    <row r="825">
      <c r="A825" s="218">
        <f t="shared" si="1"/>
        <v>824</v>
      </c>
      <c r="B825" s="218" t="s">
        <v>71</v>
      </c>
      <c r="C825" s="218" t="s">
        <v>3280</v>
      </c>
      <c r="D825" s="218" t="b">
        <v>1</v>
      </c>
      <c r="E825" s="219" t="b">
        <v>0</v>
      </c>
      <c r="F825" s="219" t="b">
        <v>0</v>
      </c>
      <c r="G825" s="219"/>
    </row>
    <row r="826">
      <c r="A826" s="218">
        <f t="shared" si="1"/>
        <v>825</v>
      </c>
      <c r="B826" s="218" t="s">
        <v>71</v>
      </c>
      <c r="C826" s="218" t="s">
        <v>1073</v>
      </c>
      <c r="D826" s="218" t="b">
        <v>1</v>
      </c>
      <c r="E826" s="219" t="b">
        <v>0</v>
      </c>
      <c r="F826" s="219" t="b">
        <v>0</v>
      </c>
      <c r="G826" s="219"/>
    </row>
    <row r="827">
      <c r="A827" s="218">
        <f t="shared" si="1"/>
        <v>826</v>
      </c>
      <c r="B827" s="218" t="s">
        <v>71</v>
      </c>
      <c r="C827" s="218" t="s">
        <v>1609</v>
      </c>
      <c r="D827" s="218" t="b">
        <v>1</v>
      </c>
      <c r="E827" s="219" t="b">
        <v>0</v>
      </c>
      <c r="F827" s="219" t="b">
        <v>0</v>
      </c>
      <c r="G827" s="219"/>
    </row>
    <row r="828">
      <c r="A828" s="218">
        <f t="shared" si="1"/>
        <v>827</v>
      </c>
      <c r="B828" s="218" t="s">
        <v>71</v>
      </c>
      <c r="C828" s="218" t="s">
        <v>4430</v>
      </c>
      <c r="D828" s="218" t="b">
        <v>1</v>
      </c>
      <c r="E828" s="219" t="b">
        <v>0</v>
      </c>
      <c r="F828" s="219" t="b">
        <v>0</v>
      </c>
      <c r="G828" s="219"/>
    </row>
    <row r="829">
      <c r="A829" s="218">
        <f t="shared" si="1"/>
        <v>828</v>
      </c>
      <c r="B829" s="218" t="s">
        <v>71</v>
      </c>
      <c r="C829" s="218" t="s">
        <v>2497</v>
      </c>
      <c r="D829" s="218" t="b">
        <v>1</v>
      </c>
      <c r="E829" s="219" t="b">
        <v>0</v>
      </c>
      <c r="F829" s="219" t="b">
        <v>0</v>
      </c>
      <c r="G829" s="219"/>
    </row>
    <row r="830">
      <c r="A830" s="218">
        <f t="shared" si="1"/>
        <v>829</v>
      </c>
      <c r="B830" s="218" t="s">
        <v>71</v>
      </c>
      <c r="C830" s="218" t="s">
        <v>1592</v>
      </c>
      <c r="D830" s="218" t="b">
        <v>1</v>
      </c>
      <c r="E830" s="219" t="b">
        <v>0</v>
      </c>
      <c r="F830" s="219" t="b">
        <v>0</v>
      </c>
      <c r="G830" s="219"/>
    </row>
    <row r="831">
      <c r="A831" s="218">
        <f t="shared" si="1"/>
        <v>830</v>
      </c>
      <c r="B831" s="218" t="s">
        <v>71</v>
      </c>
      <c r="C831" s="218" t="s">
        <v>1583</v>
      </c>
      <c r="D831" s="218" t="b">
        <v>1</v>
      </c>
      <c r="E831" s="219" t="b">
        <v>0</v>
      </c>
      <c r="F831" s="219" t="b">
        <v>0</v>
      </c>
      <c r="G831" s="219"/>
    </row>
    <row r="832">
      <c r="A832" s="218">
        <f t="shared" si="1"/>
        <v>831</v>
      </c>
      <c r="B832" s="218" t="s">
        <v>71</v>
      </c>
      <c r="C832" s="218" t="s">
        <v>1570</v>
      </c>
      <c r="D832" s="218" t="b">
        <v>1</v>
      </c>
      <c r="E832" s="219" t="b">
        <v>0</v>
      </c>
      <c r="F832" s="219" t="b">
        <v>0</v>
      </c>
      <c r="G832" s="219"/>
    </row>
    <row r="833">
      <c r="A833" s="218">
        <f t="shared" si="1"/>
        <v>832</v>
      </c>
      <c r="B833" s="218" t="s">
        <v>71</v>
      </c>
      <c r="C833" s="218" t="s">
        <v>1793</v>
      </c>
      <c r="D833" s="218" t="b">
        <v>1</v>
      </c>
      <c r="E833" s="219" t="b">
        <v>0</v>
      </c>
      <c r="F833" s="219" t="b">
        <v>0</v>
      </c>
      <c r="G833" s="219"/>
    </row>
    <row r="834">
      <c r="A834" s="218">
        <f t="shared" si="1"/>
        <v>833</v>
      </c>
      <c r="B834" s="218" t="s">
        <v>71</v>
      </c>
      <c r="C834" s="218" t="s">
        <v>1801</v>
      </c>
      <c r="D834" s="218" t="b">
        <v>1</v>
      </c>
      <c r="E834" s="219" t="b">
        <v>0</v>
      </c>
      <c r="F834" s="219" t="b">
        <v>0</v>
      </c>
      <c r="G834" s="219"/>
    </row>
    <row r="835">
      <c r="A835" s="218">
        <f t="shared" si="1"/>
        <v>834</v>
      </c>
      <c r="B835" s="218" t="s">
        <v>71</v>
      </c>
      <c r="C835" s="218" t="s">
        <v>1806</v>
      </c>
      <c r="D835" s="218" t="b">
        <v>1</v>
      </c>
      <c r="E835" s="219" t="b">
        <v>0</v>
      </c>
      <c r="F835" s="219" t="b">
        <v>0</v>
      </c>
      <c r="G835" s="219"/>
    </row>
    <row r="836">
      <c r="A836" s="218">
        <f t="shared" si="1"/>
        <v>835</v>
      </c>
      <c r="B836" s="218" t="s">
        <v>71</v>
      </c>
      <c r="C836" s="218" t="s">
        <v>1981</v>
      </c>
      <c r="D836" s="218" t="b">
        <v>1</v>
      </c>
      <c r="E836" s="219" t="b">
        <v>0</v>
      </c>
      <c r="F836" s="219" t="b">
        <v>0</v>
      </c>
      <c r="G836" s="219"/>
    </row>
    <row r="837">
      <c r="A837" s="218">
        <f t="shared" si="1"/>
        <v>836</v>
      </c>
      <c r="B837" s="218" t="s">
        <v>71</v>
      </c>
      <c r="C837" s="218" t="s">
        <v>1731</v>
      </c>
      <c r="D837" s="218" t="b">
        <v>1</v>
      </c>
      <c r="E837" s="219" t="b">
        <v>0</v>
      </c>
      <c r="F837" s="219" t="b">
        <v>0</v>
      </c>
      <c r="G837" s="219"/>
    </row>
    <row r="838">
      <c r="A838" s="218">
        <f t="shared" si="1"/>
        <v>837</v>
      </c>
      <c r="B838" s="218" t="s">
        <v>71</v>
      </c>
      <c r="C838" s="218" t="s">
        <v>2506</v>
      </c>
      <c r="D838" s="218" t="b">
        <v>1</v>
      </c>
      <c r="E838" s="219" t="b">
        <v>0</v>
      </c>
      <c r="F838" s="219" t="b">
        <v>0</v>
      </c>
      <c r="G838" s="219"/>
    </row>
    <row r="839">
      <c r="A839" s="218">
        <f t="shared" si="1"/>
        <v>838</v>
      </c>
      <c r="B839" s="218" t="s">
        <v>71</v>
      </c>
      <c r="C839" s="218" t="s">
        <v>2053</v>
      </c>
      <c r="D839" s="218" t="b">
        <v>1</v>
      </c>
      <c r="E839" s="219" t="b">
        <v>0</v>
      </c>
      <c r="F839" s="219" t="b">
        <v>0</v>
      </c>
      <c r="G839" s="219"/>
    </row>
    <row r="840">
      <c r="A840" s="218">
        <f t="shared" si="1"/>
        <v>839</v>
      </c>
      <c r="B840" s="218" t="s">
        <v>71</v>
      </c>
      <c r="C840" s="218" t="s">
        <v>1167</v>
      </c>
      <c r="D840" s="218" t="b">
        <v>1</v>
      </c>
      <c r="E840" s="219" t="b">
        <v>0</v>
      </c>
      <c r="F840" s="219" t="b">
        <v>0</v>
      </c>
      <c r="G840" s="219"/>
    </row>
    <row r="841">
      <c r="A841" s="218">
        <f t="shared" si="1"/>
        <v>840</v>
      </c>
      <c r="B841" s="218" t="s">
        <v>71</v>
      </c>
      <c r="C841" s="218" t="s">
        <v>1819</v>
      </c>
      <c r="D841" s="218" t="b">
        <v>1</v>
      </c>
      <c r="E841" s="219" t="b">
        <v>0</v>
      </c>
      <c r="F841" s="219" t="b">
        <v>0</v>
      </c>
      <c r="G841" s="219"/>
    </row>
    <row r="842">
      <c r="A842" s="218">
        <f t="shared" si="1"/>
        <v>841</v>
      </c>
      <c r="B842" s="218" t="s">
        <v>71</v>
      </c>
      <c r="C842" s="218" t="s">
        <v>2535</v>
      </c>
      <c r="D842" s="218" t="b">
        <v>1</v>
      </c>
      <c r="E842" s="219" t="b">
        <v>0</v>
      </c>
      <c r="F842" s="219" t="b">
        <v>0</v>
      </c>
      <c r="G842" s="219"/>
    </row>
    <row r="843">
      <c r="A843" s="218">
        <f t="shared" si="1"/>
        <v>842</v>
      </c>
      <c r="B843" s="218" t="s">
        <v>71</v>
      </c>
      <c r="C843" s="218" t="s">
        <v>1929</v>
      </c>
      <c r="D843" s="218" t="b">
        <v>1</v>
      </c>
      <c r="E843" s="219" t="b">
        <v>0</v>
      </c>
      <c r="F843" s="219" t="b">
        <v>0</v>
      </c>
      <c r="G843" s="219"/>
    </row>
    <row r="844">
      <c r="A844" s="218">
        <f t="shared" si="1"/>
        <v>843</v>
      </c>
      <c r="B844" s="218" t="s">
        <v>71</v>
      </c>
      <c r="C844" s="218" t="s">
        <v>1527</v>
      </c>
      <c r="D844" s="218" t="b">
        <v>1</v>
      </c>
      <c r="E844" s="219" t="b">
        <v>0</v>
      </c>
      <c r="F844" s="219" t="b">
        <v>0</v>
      </c>
      <c r="G844" s="219"/>
    </row>
    <row r="845">
      <c r="A845" s="218">
        <f t="shared" si="1"/>
        <v>844</v>
      </c>
      <c r="B845" s="218" t="s">
        <v>71</v>
      </c>
      <c r="C845" s="218" t="s">
        <v>3294</v>
      </c>
      <c r="D845" s="218" t="b">
        <v>1</v>
      </c>
      <c r="E845" s="219" t="b">
        <v>0</v>
      </c>
      <c r="F845" s="219" t="b">
        <v>0</v>
      </c>
      <c r="G845" s="219"/>
    </row>
    <row r="846">
      <c r="A846" s="218">
        <f t="shared" si="1"/>
        <v>845</v>
      </c>
      <c r="B846" s="218" t="s">
        <v>71</v>
      </c>
      <c r="C846" s="218" t="s">
        <v>1522</v>
      </c>
      <c r="D846" s="218" t="b">
        <v>1</v>
      </c>
      <c r="E846" s="219" t="b">
        <v>0</v>
      </c>
      <c r="F846" s="219" t="b">
        <v>0</v>
      </c>
      <c r="G846" s="219"/>
    </row>
    <row r="847">
      <c r="A847" s="218">
        <f t="shared" si="1"/>
        <v>846</v>
      </c>
      <c r="B847" s="218" t="s">
        <v>71</v>
      </c>
      <c r="C847" s="218" t="s">
        <v>2386</v>
      </c>
      <c r="D847" s="218" t="b">
        <v>1</v>
      </c>
      <c r="E847" s="219" t="b">
        <v>0</v>
      </c>
      <c r="F847" s="219" t="b">
        <v>0</v>
      </c>
      <c r="G847" s="219"/>
    </row>
    <row r="848">
      <c r="A848" s="218">
        <f t="shared" si="1"/>
        <v>847</v>
      </c>
      <c r="B848" s="218" t="s">
        <v>71</v>
      </c>
      <c r="C848" s="218" t="s">
        <v>1482</v>
      </c>
      <c r="D848" s="218" t="b">
        <v>1</v>
      </c>
      <c r="E848" s="219" t="b">
        <v>0</v>
      </c>
      <c r="F848" s="219" t="b">
        <v>0</v>
      </c>
      <c r="G848" s="219"/>
    </row>
    <row r="849">
      <c r="A849" s="218">
        <f t="shared" si="1"/>
        <v>848</v>
      </c>
      <c r="B849" s="218" t="s">
        <v>71</v>
      </c>
      <c r="C849" s="218" t="s">
        <v>619</v>
      </c>
      <c r="D849" s="218" t="b">
        <v>1</v>
      </c>
      <c r="E849" s="219" t="b">
        <v>0</v>
      </c>
      <c r="F849" s="219" t="b">
        <v>0</v>
      </c>
      <c r="G849" s="219"/>
    </row>
    <row r="850">
      <c r="A850" s="218">
        <f t="shared" si="1"/>
        <v>849</v>
      </c>
      <c r="B850" s="218" t="s">
        <v>71</v>
      </c>
      <c r="C850" s="218" t="s">
        <v>605</v>
      </c>
      <c r="D850" s="218" t="b">
        <v>1</v>
      </c>
      <c r="E850" s="219" t="b">
        <v>0</v>
      </c>
      <c r="F850" s="219" t="b">
        <v>0</v>
      </c>
      <c r="G850" s="219"/>
    </row>
    <row r="851">
      <c r="A851" s="218">
        <f t="shared" si="1"/>
        <v>850</v>
      </c>
      <c r="B851" s="218" t="s">
        <v>71</v>
      </c>
      <c r="C851" s="218" t="s">
        <v>741</v>
      </c>
      <c r="D851" s="218" t="b">
        <v>1</v>
      </c>
      <c r="E851" s="219" t="b">
        <v>0</v>
      </c>
      <c r="F851" s="219" t="b">
        <v>0</v>
      </c>
      <c r="G851" s="219"/>
    </row>
    <row r="852">
      <c r="A852" s="218">
        <f t="shared" si="1"/>
        <v>851</v>
      </c>
      <c r="B852" s="218" t="s">
        <v>71</v>
      </c>
      <c r="C852" s="218" t="s">
        <v>721</v>
      </c>
      <c r="D852" s="218" t="b">
        <v>1</v>
      </c>
      <c r="E852" s="219" t="b">
        <v>0</v>
      </c>
      <c r="F852" s="219" t="b">
        <v>0</v>
      </c>
      <c r="G852" s="219"/>
    </row>
    <row r="853">
      <c r="A853" s="218">
        <f t="shared" si="1"/>
        <v>852</v>
      </c>
      <c r="B853" s="218" t="s">
        <v>71</v>
      </c>
      <c r="C853" s="218" t="s">
        <v>789</v>
      </c>
      <c r="D853" s="218" t="b">
        <v>1</v>
      </c>
      <c r="E853" s="219" t="b">
        <v>0</v>
      </c>
      <c r="F853" s="219" t="b">
        <v>0</v>
      </c>
      <c r="G853" s="219"/>
    </row>
    <row r="854">
      <c r="A854" s="218">
        <f t="shared" si="1"/>
        <v>853</v>
      </c>
      <c r="B854" s="218" t="s">
        <v>71</v>
      </c>
      <c r="C854" s="218" t="s">
        <v>769</v>
      </c>
      <c r="D854" s="218" t="b">
        <v>1</v>
      </c>
      <c r="E854" s="219" t="b">
        <v>0</v>
      </c>
      <c r="F854" s="219" t="b">
        <v>0</v>
      </c>
      <c r="G854" s="219"/>
    </row>
    <row r="855">
      <c r="A855" s="218">
        <f t="shared" si="1"/>
        <v>854</v>
      </c>
      <c r="B855" s="218" t="s">
        <v>71</v>
      </c>
      <c r="C855" s="218" t="s">
        <v>765</v>
      </c>
      <c r="D855" s="218" t="b">
        <v>1</v>
      </c>
      <c r="E855" s="219" t="b">
        <v>0</v>
      </c>
      <c r="F855" s="219" t="b">
        <v>0</v>
      </c>
      <c r="G855" s="219"/>
    </row>
    <row r="856">
      <c r="A856" s="218">
        <f t="shared" si="1"/>
        <v>855</v>
      </c>
      <c r="B856" s="218" t="s">
        <v>71</v>
      </c>
      <c r="C856" s="218" t="s">
        <v>677</v>
      </c>
      <c r="D856" s="218" t="b">
        <v>1</v>
      </c>
      <c r="E856" s="219" t="b">
        <v>0</v>
      </c>
      <c r="F856" s="219" t="b">
        <v>0</v>
      </c>
      <c r="G856" s="219"/>
    </row>
    <row r="857">
      <c r="A857" s="218">
        <f t="shared" si="1"/>
        <v>856</v>
      </c>
      <c r="B857" s="218" t="s">
        <v>71</v>
      </c>
      <c r="C857" s="218" t="s">
        <v>681</v>
      </c>
      <c r="D857" s="218" t="b">
        <v>1</v>
      </c>
      <c r="E857" s="219" t="b">
        <v>0</v>
      </c>
      <c r="F857" s="219" t="b">
        <v>0</v>
      </c>
      <c r="G857" s="219"/>
    </row>
    <row r="858">
      <c r="A858" s="218">
        <f t="shared" si="1"/>
        <v>857</v>
      </c>
      <c r="B858" s="218" t="s">
        <v>71</v>
      </c>
      <c r="C858" s="218" t="s">
        <v>686</v>
      </c>
      <c r="D858" s="218" t="b">
        <v>1</v>
      </c>
      <c r="E858" s="219" t="b">
        <v>0</v>
      </c>
      <c r="F858" s="219" t="b">
        <v>0</v>
      </c>
      <c r="G858" s="219"/>
    </row>
    <row r="859">
      <c r="A859" s="218">
        <f t="shared" si="1"/>
        <v>858</v>
      </c>
      <c r="B859" s="218" t="s">
        <v>71</v>
      </c>
      <c r="C859" s="218" t="s">
        <v>691</v>
      </c>
      <c r="D859" s="218" t="b">
        <v>1</v>
      </c>
      <c r="E859" s="219" t="b">
        <v>0</v>
      </c>
      <c r="F859" s="219" t="b">
        <v>0</v>
      </c>
      <c r="G859" s="219"/>
    </row>
    <row r="860">
      <c r="A860" s="218">
        <f t="shared" si="1"/>
        <v>859</v>
      </c>
      <c r="B860" s="218" t="s">
        <v>71</v>
      </c>
      <c r="C860" s="218" t="s">
        <v>716</v>
      </c>
      <c r="D860" s="218" t="b">
        <v>1</v>
      </c>
      <c r="E860" s="219" t="b">
        <v>0</v>
      </c>
      <c r="F860" s="219" t="b">
        <v>0</v>
      </c>
      <c r="G860" s="219"/>
    </row>
    <row r="861">
      <c r="A861" s="218">
        <f t="shared" si="1"/>
        <v>860</v>
      </c>
      <c r="B861" s="218" t="s">
        <v>71</v>
      </c>
      <c r="C861" s="218" t="s">
        <v>672</v>
      </c>
      <c r="D861" s="218" t="b">
        <v>1</v>
      </c>
      <c r="E861" s="219" t="b">
        <v>0</v>
      </c>
      <c r="F861" s="219" t="b">
        <v>0</v>
      </c>
      <c r="G861" s="219"/>
    </row>
    <row r="862">
      <c r="A862" s="218">
        <f t="shared" si="1"/>
        <v>861</v>
      </c>
      <c r="B862" s="218" t="s">
        <v>71</v>
      </c>
      <c r="C862" s="218" t="s">
        <v>803</v>
      </c>
      <c r="D862" s="218" t="b">
        <v>1</v>
      </c>
      <c r="E862" s="219" t="b">
        <v>0</v>
      </c>
      <c r="F862" s="219" t="b">
        <v>0</v>
      </c>
      <c r="G862" s="219"/>
    </row>
    <row r="863">
      <c r="A863" s="218">
        <f t="shared" si="1"/>
        <v>862</v>
      </c>
      <c r="B863" s="218" t="s">
        <v>71</v>
      </c>
      <c r="C863" s="218" t="s">
        <v>904</v>
      </c>
      <c r="D863" s="218" t="b">
        <v>1</v>
      </c>
      <c r="E863" s="219" t="b">
        <v>0</v>
      </c>
      <c r="F863" s="219" t="b">
        <v>0</v>
      </c>
      <c r="G863" s="219"/>
    </row>
    <row r="864">
      <c r="A864" s="218">
        <f t="shared" si="1"/>
        <v>863</v>
      </c>
      <c r="B864" s="218" t="s">
        <v>71</v>
      </c>
      <c r="C864" s="218" t="s">
        <v>875</v>
      </c>
      <c r="D864" s="218" t="b">
        <v>1</v>
      </c>
      <c r="E864" s="219" t="b">
        <v>0</v>
      </c>
      <c r="F864" s="219" t="b">
        <v>0</v>
      </c>
      <c r="G864" s="219"/>
    </row>
    <row r="865">
      <c r="A865" s="218">
        <f t="shared" si="1"/>
        <v>864</v>
      </c>
      <c r="B865" s="218" t="s">
        <v>71</v>
      </c>
      <c r="C865" s="218" t="s">
        <v>889</v>
      </c>
      <c r="D865" s="218" t="b">
        <v>1</v>
      </c>
      <c r="E865" s="219" t="b">
        <v>0</v>
      </c>
      <c r="F865" s="219" t="b">
        <v>0</v>
      </c>
      <c r="G865" s="219"/>
    </row>
    <row r="866">
      <c r="A866" s="218">
        <f t="shared" si="1"/>
        <v>865</v>
      </c>
      <c r="B866" s="218" t="s">
        <v>71</v>
      </c>
      <c r="C866" s="218" t="s">
        <v>843</v>
      </c>
      <c r="D866" s="218" t="b">
        <v>1</v>
      </c>
      <c r="E866" s="219" t="b">
        <v>0</v>
      </c>
      <c r="F866" s="219" t="b">
        <v>0</v>
      </c>
      <c r="G866" s="219"/>
    </row>
    <row r="867">
      <c r="A867" s="218">
        <f t="shared" si="1"/>
        <v>866</v>
      </c>
      <c r="B867" s="218" t="s">
        <v>71</v>
      </c>
      <c r="C867" s="218" t="s">
        <v>866</v>
      </c>
      <c r="D867" s="218" t="b">
        <v>1</v>
      </c>
      <c r="E867" s="219" t="b">
        <v>0</v>
      </c>
      <c r="F867" s="219" t="b">
        <v>0</v>
      </c>
      <c r="G867" s="219"/>
    </row>
    <row r="868">
      <c r="A868" s="218">
        <f t="shared" si="1"/>
        <v>867</v>
      </c>
      <c r="B868" s="218" t="s">
        <v>71</v>
      </c>
      <c r="C868" s="218" t="s">
        <v>919</v>
      </c>
      <c r="D868" s="218" t="b">
        <v>1</v>
      </c>
      <c r="E868" s="219" t="b">
        <v>0</v>
      </c>
      <c r="F868" s="219" t="b">
        <v>0</v>
      </c>
      <c r="G868" s="219"/>
    </row>
    <row r="869">
      <c r="A869" s="218">
        <f t="shared" si="1"/>
        <v>868</v>
      </c>
      <c r="B869" s="218" t="s">
        <v>71</v>
      </c>
      <c r="C869" s="218" t="s">
        <v>799</v>
      </c>
      <c r="D869" s="218" t="b">
        <v>1</v>
      </c>
      <c r="E869" s="219" t="b">
        <v>0</v>
      </c>
      <c r="F869" s="219" t="b">
        <v>0</v>
      </c>
      <c r="G869" s="219"/>
    </row>
    <row r="870">
      <c r="A870" s="218">
        <f t="shared" si="1"/>
        <v>869</v>
      </c>
      <c r="B870" s="218" t="s">
        <v>71</v>
      </c>
      <c r="C870" s="218" t="s">
        <v>663</v>
      </c>
      <c r="D870" s="218" t="b">
        <v>1</v>
      </c>
      <c r="E870" s="219" t="b">
        <v>0</v>
      </c>
      <c r="F870" s="219" t="b">
        <v>0</v>
      </c>
      <c r="G870" s="219"/>
    </row>
    <row r="871">
      <c r="A871" s="218">
        <f t="shared" si="1"/>
        <v>870</v>
      </c>
      <c r="B871" s="218" t="s">
        <v>71</v>
      </c>
      <c r="C871" s="218" t="s">
        <v>696</v>
      </c>
      <c r="D871" s="218" t="b">
        <v>1</v>
      </c>
      <c r="E871" s="219" t="b">
        <v>0</v>
      </c>
      <c r="F871" s="219" t="b">
        <v>0</v>
      </c>
      <c r="G871" s="219"/>
    </row>
    <row r="872">
      <c r="A872" s="218">
        <f t="shared" si="1"/>
        <v>871</v>
      </c>
      <c r="B872" s="218" t="s">
        <v>71</v>
      </c>
      <c r="C872" s="218" t="s">
        <v>2840</v>
      </c>
      <c r="D872" s="218" t="b">
        <v>1</v>
      </c>
      <c r="E872" s="219" t="b">
        <v>0</v>
      </c>
      <c r="F872" s="219" t="b">
        <v>0</v>
      </c>
      <c r="G872" s="219"/>
    </row>
    <row r="873">
      <c r="A873" s="218">
        <f t="shared" si="1"/>
        <v>872</v>
      </c>
      <c r="B873" s="218" t="s">
        <v>71</v>
      </c>
      <c r="C873" s="218" t="s">
        <v>2869</v>
      </c>
      <c r="D873" s="218" t="b">
        <v>1</v>
      </c>
      <c r="E873" s="219" t="b">
        <v>0</v>
      </c>
      <c r="F873" s="219" t="b">
        <v>0</v>
      </c>
      <c r="G873" s="219"/>
    </row>
    <row r="874">
      <c r="A874" s="218">
        <f t="shared" si="1"/>
        <v>873</v>
      </c>
      <c r="B874" s="218" t="s">
        <v>71</v>
      </c>
      <c r="C874" s="218" t="s">
        <v>2877</v>
      </c>
      <c r="D874" s="218" t="b">
        <v>1</v>
      </c>
      <c r="E874" s="219" t="b">
        <v>0</v>
      </c>
      <c r="F874" s="219" t="b">
        <v>0</v>
      </c>
      <c r="G874" s="219"/>
    </row>
    <row r="875">
      <c r="A875" s="218">
        <f t="shared" si="1"/>
        <v>874</v>
      </c>
      <c r="B875" s="218" t="s">
        <v>71</v>
      </c>
      <c r="C875" s="218" t="s">
        <v>2881</v>
      </c>
      <c r="D875" s="218" t="b">
        <v>1</v>
      </c>
      <c r="E875" s="219" t="b">
        <v>0</v>
      </c>
      <c r="F875" s="219" t="b">
        <v>0</v>
      </c>
      <c r="G875" s="219"/>
    </row>
    <row r="876">
      <c r="A876" s="218">
        <f t="shared" si="1"/>
        <v>875</v>
      </c>
      <c r="B876" s="218" t="s">
        <v>71</v>
      </c>
      <c r="C876" s="218" t="s">
        <v>2890</v>
      </c>
      <c r="D876" s="218" t="b">
        <v>1</v>
      </c>
      <c r="E876" s="219" t="b">
        <v>0</v>
      </c>
      <c r="F876" s="219" t="b">
        <v>0</v>
      </c>
      <c r="G876" s="219"/>
    </row>
    <row r="877">
      <c r="A877" s="218">
        <f t="shared" si="1"/>
        <v>876</v>
      </c>
      <c r="B877" s="218" t="s">
        <v>71</v>
      </c>
      <c r="C877" s="218" t="s">
        <v>2908</v>
      </c>
      <c r="D877" s="218" t="b">
        <v>1</v>
      </c>
      <c r="E877" s="219" t="b">
        <v>0</v>
      </c>
      <c r="F877" s="219" t="b">
        <v>0</v>
      </c>
      <c r="G877" s="219"/>
    </row>
    <row r="878">
      <c r="A878" s="218">
        <f t="shared" si="1"/>
        <v>877</v>
      </c>
      <c r="B878" s="218" t="s">
        <v>71</v>
      </c>
      <c r="C878" s="218" t="s">
        <v>2913</v>
      </c>
      <c r="D878" s="218" t="b">
        <v>1</v>
      </c>
      <c r="E878" s="219" t="b">
        <v>0</v>
      </c>
      <c r="F878" s="219" t="b">
        <v>0</v>
      </c>
      <c r="G878" s="219"/>
    </row>
    <row r="879">
      <c r="A879" s="218">
        <f t="shared" si="1"/>
        <v>878</v>
      </c>
      <c r="B879" s="218" t="s">
        <v>71</v>
      </c>
      <c r="C879" s="218" t="s">
        <v>2918</v>
      </c>
      <c r="D879" s="218" t="b">
        <v>1</v>
      </c>
      <c r="E879" s="219" t="b">
        <v>0</v>
      </c>
      <c r="F879" s="219" t="b">
        <v>0</v>
      </c>
      <c r="G879" s="219"/>
    </row>
    <row r="880">
      <c r="A880" s="218">
        <f t="shared" si="1"/>
        <v>879</v>
      </c>
      <c r="B880" s="218" t="s">
        <v>71</v>
      </c>
      <c r="C880" s="218" t="s">
        <v>2933</v>
      </c>
      <c r="D880" s="218" t="b">
        <v>1</v>
      </c>
      <c r="E880" s="219" t="b">
        <v>0</v>
      </c>
      <c r="F880" s="219" t="b">
        <v>0</v>
      </c>
      <c r="G880" s="219"/>
    </row>
    <row r="881">
      <c r="A881" s="218">
        <f t="shared" si="1"/>
        <v>880</v>
      </c>
      <c r="B881" s="218" t="s">
        <v>71</v>
      </c>
      <c r="C881" s="218" t="s">
        <v>2951</v>
      </c>
      <c r="D881" s="218" t="b">
        <v>1</v>
      </c>
      <c r="E881" s="219" t="b">
        <v>0</v>
      </c>
      <c r="F881" s="219" t="b">
        <v>0</v>
      </c>
      <c r="G881" s="219"/>
    </row>
    <row r="882">
      <c r="A882" s="218">
        <f t="shared" si="1"/>
        <v>881</v>
      </c>
      <c r="B882" s="218" t="s">
        <v>71</v>
      </c>
      <c r="C882" s="218" t="s">
        <v>3044</v>
      </c>
      <c r="D882" s="218" t="b">
        <v>1</v>
      </c>
      <c r="E882" s="219" t="b">
        <v>0</v>
      </c>
      <c r="F882" s="219" t="b">
        <v>0</v>
      </c>
      <c r="G882" s="219"/>
    </row>
    <row r="883">
      <c r="A883" s="218">
        <f t="shared" si="1"/>
        <v>882</v>
      </c>
      <c r="B883" s="218" t="s">
        <v>71</v>
      </c>
      <c r="C883" s="218" t="s">
        <v>3054</v>
      </c>
      <c r="D883" s="218" t="b">
        <v>1</v>
      </c>
      <c r="E883" s="219" t="b">
        <v>0</v>
      </c>
      <c r="F883" s="219" t="b">
        <v>0</v>
      </c>
      <c r="G883" s="219"/>
    </row>
    <row r="884">
      <c r="A884" s="218">
        <f t="shared" si="1"/>
        <v>883</v>
      </c>
      <c r="B884" s="218" t="s">
        <v>71</v>
      </c>
      <c r="C884" s="218" t="s">
        <v>2984</v>
      </c>
      <c r="D884" s="218" t="b">
        <v>1</v>
      </c>
      <c r="E884" s="219" t="b">
        <v>0</v>
      </c>
      <c r="F884" s="219" t="b">
        <v>0</v>
      </c>
      <c r="G884" s="219"/>
    </row>
    <row r="885">
      <c r="A885" s="218">
        <f t="shared" si="1"/>
        <v>884</v>
      </c>
      <c r="B885" s="218" t="s">
        <v>71</v>
      </c>
      <c r="C885" s="218" t="s">
        <v>3039</v>
      </c>
      <c r="D885" s="218" t="b">
        <v>1</v>
      </c>
      <c r="E885" s="219" t="b">
        <v>0</v>
      </c>
      <c r="F885" s="219" t="b">
        <v>0</v>
      </c>
      <c r="G885" s="219"/>
    </row>
    <row r="886">
      <c r="A886" s="218">
        <f t="shared" si="1"/>
        <v>885</v>
      </c>
      <c r="B886" s="218" t="s">
        <v>71</v>
      </c>
      <c r="C886" s="218" t="s">
        <v>3034</v>
      </c>
      <c r="D886" s="218" t="b">
        <v>1</v>
      </c>
      <c r="E886" s="219" t="b">
        <v>0</v>
      </c>
      <c r="F886" s="219" t="b">
        <v>0</v>
      </c>
      <c r="G886" s="219"/>
    </row>
    <row r="887">
      <c r="A887" s="218">
        <f t="shared" si="1"/>
        <v>886</v>
      </c>
      <c r="B887" s="218" t="s">
        <v>71</v>
      </c>
      <c r="C887" s="218" t="s">
        <v>2992</v>
      </c>
      <c r="D887" s="218" t="b">
        <v>1</v>
      </c>
      <c r="E887" s="219" t="b">
        <v>0</v>
      </c>
      <c r="F887" s="219" t="b">
        <v>0</v>
      </c>
      <c r="G887" s="219"/>
    </row>
    <row r="888">
      <c r="A888" s="218">
        <f t="shared" si="1"/>
        <v>887</v>
      </c>
      <c r="B888" s="218" t="s">
        <v>71</v>
      </c>
      <c r="C888" s="218" t="s">
        <v>3029</v>
      </c>
      <c r="D888" s="218" t="b">
        <v>1</v>
      </c>
      <c r="E888" s="219" t="b">
        <v>0</v>
      </c>
      <c r="F888" s="219" t="b">
        <v>0</v>
      </c>
      <c r="G888" s="219"/>
    </row>
    <row r="889">
      <c r="A889" s="218">
        <f t="shared" si="1"/>
        <v>888</v>
      </c>
      <c r="B889" s="218" t="s">
        <v>71</v>
      </c>
      <c r="C889" s="218" t="s">
        <v>3024</v>
      </c>
      <c r="D889" s="218" t="b">
        <v>1</v>
      </c>
      <c r="E889" s="219" t="b">
        <v>0</v>
      </c>
      <c r="F889" s="219" t="b">
        <v>0</v>
      </c>
      <c r="G889" s="219"/>
    </row>
    <row r="890">
      <c r="A890" s="218">
        <f t="shared" si="1"/>
        <v>889</v>
      </c>
      <c r="B890" s="218" t="s">
        <v>71</v>
      </c>
      <c r="C890" s="218" t="s">
        <v>3002</v>
      </c>
      <c r="D890" s="218" t="b">
        <v>1</v>
      </c>
      <c r="E890" s="219" t="b">
        <v>0</v>
      </c>
      <c r="F890" s="219" t="b">
        <v>0</v>
      </c>
      <c r="G890" s="219"/>
    </row>
    <row r="891">
      <c r="A891" s="218">
        <f t="shared" si="1"/>
        <v>890</v>
      </c>
      <c r="B891" s="218" t="s">
        <v>71</v>
      </c>
      <c r="C891" s="218" t="s">
        <v>3092</v>
      </c>
      <c r="D891" s="218" t="b">
        <v>1</v>
      </c>
      <c r="E891" s="219" t="b">
        <v>0</v>
      </c>
      <c r="F891" s="219" t="b">
        <v>0</v>
      </c>
      <c r="G891" s="219"/>
    </row>
    <row r="892">
      <c r="A892" s="218">
        <f t="shared" si="1"/>
        <v>891</v>
      </c>
      <c r="B892" s="218" t="s">
        <v>71</v>
      </c>
      <c r="C892" s="218" t="s">
        <v>3073</v>
      </c>
      <c r="D892" s="218" t="b">
        <v>1</v>
      </c>
      <c r="E892" s="219" t="b">
        <v>0</v>
      </c>
      <c r="F892" s="219" t="b">
        <v>0</v>
      </c>
      <c r="G892" s="219"/>
    </row>
    <row r="893">
      <c r="A893" s="218">
        <f t="shared" si="1"/>
        <v>892</v>
      </c>
      <c r="B893" s="218" t="s">
        <v>71</v>
      </c>
      <c r="C893" s="218" t="s">
        <v>3108</v>
      </c>
      <c r="D893" s="218" t="b">
        <v>1</v>
      </c>
      <c r="E893" s="219" t="b">
        <v>0</v>
      </c>
      <c r="F893" s="219" t="b">
        <v>0</v>
      </c>
      <c r="G893" s="219"/>
    </row>
    <row r="894">
      <c r="A894" s="218">
        <f t="shared" si="1"/>
        <v>893</v>
      </c>
      <c r="B894" s="218" t="s">
        <v>71</v>
      </c>
      <c r="C894" s="218" t="s">
        <v>3068</v>
      </c>
      <c r="D894" s="218" t="b">
        <v>1</v>
      </c>
      <c r="E894" s="219" t="b">
        <v>0</v>
      </c>
      <c r="F894" s="219" t="b">
        <v>0</v>
      </c>
      <c r="G894" s="219"/>
    </row>
    <row r="895">
      <c r="A895" s="218">
        <f t="shared" si="1"/>
        <v>894</v>
      </c>
      <c r="B895" s="218" t="s">
        <v>71</v>
      </c>
      <c r="C895" s="218" t="s">
        <v>3135</v>
      </c>
      <c r="D895" s="218" t="b">
        <v>1</v>
      </c>
      <c r="E895" s="219" t="b">
        <v>0</v>
      </c>
      <c r="F895" s="219" t="b">
        <v>0</v>
      </c>
      <c r="G895" s="219"/>
    </row>
    <row r="896">
      <c r="A896" s="218">
        <f t="shared" si="1"/>
        <v>895</v>
      </c>
      <c r="B896" s="218" t="s">
        <v>71</v>
      </c>
      <c r="C896" s="218" t="s">
        <v>3184</v>
      </c>
      <c r="D896" s="218" t="b">
        <v>1</v>
      </c>
      <c r="E896" s="219" t="b">
        <v>0</v>
      </c>
      <c r="F896" s="219" t="b">
        <v>0</v>
      </c>
      <c r="G896" s="219"/>
    </row>
    <row r="897">
      <c r="A897" s="218">
        <f t="shared" si="1"/>
        <v>896</v>
      </c>
      <c r="B897" s="218" t="s">
        <v>71</v>
      </c>
      <c r="C897" s="218" t="s">
        <v>379</v>
      </c>
      <c r="D897" s="218" t="b">
        <v>1</v>
      </c>
      <c r="E897" s="219" t="b">
        <v>0</v>
      </c>
      <c r="F897" s="219" t="b">
        <v>0</v>
      </c>
      <c r="G897" s="219"/>
    </row>
    <row r="898">
      <c r="A898" s="218">
        <f t="shared" si="1"/>
        <v>897</v>
      </c>
      <c r="B898" s="218" t="s">
        <v>71</v>
      </c>
      <c r="C898" s="218" t="s">
        <v>449</v>
      </c>
      <c r="D898" s="218" t="b">
        <v>1</v>
      </c>
      <c r="E898" s="219" t="b">
        <v>0</v>
      </c>
      <c r="F898" s="219" t="b">
        <v>0</v>
      </c>
      <c r="G898" s="219"/>
    </row>
    <row r="899">
      <c r="A899" s="218">
        <f t="shared" si="1"/>
        <v>898</v>
      </c>
      <c r="B899" s="218" t="s">
        <v>71</v>
      </c>
      <c r="C899" s="218" t="s">
        <v>463</v>
      </c>
      <c r="D899" s="218" t="b">
        <v>1</v>
      </c>
      <c r="E899" s="219" t="b">
        <v>0</v>
      </c>
      <c r="F899" s="219" t="b">
        <v>0</v>
      </c>
      <c r="G899" s="219"/>
    </row>
    <row r="900">
      <c r="A900" s="218">
        <f t="shared" si="1"/>
        <v>899</v>
      </c>
      <c r="B900" s="218" t="s">
        <v>71</v>
      </c>
      <c r="C900" s="218" t="s">
        <v>483</v>
      </c>
      <c r="D900" s="218" t="b">
        <v>1</v>
      </c>
      <c r="E900" s="219" t="b">
        <v>0</v>
      </c>
      <c r="F900" s="219" t="b">
        <v>0</v>
      </c>
      <c r="G900" s="219"/>
    </row>
    <row r="901">
      <c r="A901" s="218">
        <f t="shared" si="1"/>
        <v>900</v>
      </c>
      <c r="B901" s="218" t="s">
        <v>71</v>
      </c>
      <c r="C901" s="218" t="s">
        <v>504</v>
      </c>
      <c r="D901" s="218" t="b">
        <v>1</v>
      </c>
      <c r="E901" s="219" t="b">
        <v>0</v>
      </c>
      <c r="F901" s="219" t="b">
        <v>0</v>
      </c>
      <c r="G901" s="219"/>
    </row>
    <row r="902">
      <c r="A902" s="218">
        <f t="shared" si="1"/>
        <v>901</v>
      </c>
      <c r="B902" s="218" t="s">
        <v>71</v>
      </c>
      <c r="C902" s="218" t="s">
        <v>508</v>
      </c>
      <c r="D902" s="218" t="b">
        <v>1</v>
      </c>
      <c r="E902" s="219" t="b">
        <v>0</v>
      </c>
      <c r="F902" s="219" t="b">
        <v>0</v>
      </c>
      <c r="G902" s="219"/>
    </row>
    <row r="903">
      <c r="A903" s="218">
        <f t="shared" si="1"/>
        <v>902</v>
      </c>
      <c r="B903" s="218" t="s">
        <v>71</v>
      </c>
      <c r="C903" s="218" t="s">
        <v>517</v>
      </c>
      <c r="D903" s="218" t="b">
        <v>1</v>
      </c>
      <c r="E903" s="219" t="b">
        <v>0</v>
      </c>
      <c r="F903" s="219" t="b">
        <v>0</v>
      </c>
      <c r="G903" s="219"/>
    </row>
    <row r="904">
      <c r="A904" s="218">
        <f t="shared" si="1"/>
        <v>903</v>
      </c>
      <c r="B904" s="218" t="s">
        <v>71</v>
      </c>
      <c r="C904" s="218" t="s">
        <v>982</v>
      </c>
      <c r="D904" s="218" t="b">
        <v>1</v>
      </c>
      <c r="E904" s="219" t="b">
        <v>0</v>
      </c>
      <c r="F904" s="219" t="b">
        <v>0</v>
      </c>
      <c r="G904" s="219"/>
    </row>
    <row r="905">
      <c r="A905" s="218">
        <f t="shared" si="1"/>
        <v>904</v>
      </c>
      <c r="B905" s="218" t="s">
        <v>71</v>
      </c>
      <c r="C905" s="218" t="s">
        <v>973</v>
      </c>
      <c r="D905" s="218" t="b">
        <v>1</v>
      </c>
      <c r="E905" s="219" t="b">
        <v>0</v>
      </c>
      <c r="F905" s="219" t="b">
        <v>0</v>
      </c>
      <c r="G905" s="219"/>
    </row>
    <row r="906">
      <c r="A906" s="218">
        <f t="shared" si="1"/>
        <v>905</v>
      </c>
      <c r="B906" s="218" t="s">
        <v>71</v>
      </c>
      <c r="C906" s="218" t="s">
        <v>1036</v>
      </c>
      <c r="D906" s="218" t="b">
        <v>1</v>
      </c>
      <c r="E906" s="219" t="b">
        <v>0</v>
      </c>
      <c r="F906" s="219" t="b">
        <v>0</v>
      </c>
      <c r="G906" s="219"/>
    </row>
    <row r="907">
      <c r="A907" s="218">
        <f t="shared" si="1"/>
        <v>906</v>
      </c>
      <c r="B907" s="218" t="s">
        <v>71</v>
      </c>
      <c r="C907" s="218" t="s">
        <v>1228</v>
      </c>
      <c r="D907" s="218" t="b">
        <v>1</v>
      </c>
      <c r="E907" s="219" t="b">
        <v>0</v>
      </c>
      <c r="F907" s="219" t="b">
        <v>0</v>
      </c>
      <c r="G907" s="219"/>
    </row>
    <row r="908">
      <c r="A908" s="218">
        <f t="shared" si="1"/>
        <v>907</v>
      </c>
      <c r="B908" s="218" t="s">
        <v>71</v>
      </c>
      <c r="C908" s="218" t="s">
        <v>1185</v>
      </c>
      <c r="D908" s="218" t="b">
        <v>1</v>
      </c>
      <c r="E908" s="219" t="b">
        <v>0</v>
      </c>
      <c r="F908" s="219" t="b">
        <v>0</v>
      </c>
      <c r="G908" s="219"/>
    </row>
    <row r="909">
      <c r="A909" s="218">
        <f t="shared" si="1"/>
        <v>908</v>
      </c>
      <c r="B909" s="218" t="s">
        <v>71</v>
      </c>
      <c r="C909" s="218" t="s">
        <v>923</v>
      </c>
      <c r="D909" s="218" t="b">
        <v>1</v>
      </c>
      <c r="E909" s="219" t="b">
        <v>0</v>
      </c>
      <c r="F909" s="219" t="b">
        <v>0</v>
      </c>
      <c r="G909" s="219"/>
    </row>
    <row r="910">
      <c r="A910" s="218">
        <f t="shared" si="1"/>
        <v>909</v>
      </c>
      <c r="B910" s="218" t="s">
        <v>71</v>
      </c>
      <c r="C910" s="218" t="s">
        <v>1007</v>
      </c>
      <c r="D910" s="218" t="b">
        <v>1</v>
      </c>
      <c r="E910" s="219" t="b">
        <v>0</v>
      </c>
      <c r="F910" s="219" t="b">
        <v>0</v>
      </c>
      <c r="G910" s="219"/>
    </row>
    <row r="911">
      <c r="A911" s="218">
        <f t="shared" si="1"/>
        <v>910</v>
      </c>
      <c r="B911" s="218" t="s">
        <v>71</v>
      </c>
      <c r="C911" s="218" t="s">
        <v>987</v>
      </c>
      <c r="D911" s="218" t="b">
        <v>1</v>
      </c>
      <c r="E911" s="219" t="b">
        <v>0</v>
      </c>
      <c r="F911" s="219" t="b">
        <v>0</v>
      </c>
      <c r="G911" s="219"/>
    </row>
    <row r="912">
      <c r="A912" s="218">
        <f t="shared" si="1"/>
        <v>911</v>
      </c>
      <c r="B912" s="218" t="s">
        <v>71</v>
      </c>
      <c r="C912" s="218" t="s">
        <v>953</v>
      </c>
      <c r="D912" s="218" t="b">
        <v>1</v>
      </c>
      <c r="E912" s="219" t="b">
        <v>0</v>
      </c>
      <c r="F912" s="219" t="b">
        <v>0</v>
      </c>
      <c r="G912" s="219"/>
    </row>
    <row r="913">
      <c r="A913" s="218">
        <f t="shared" si="1"/>
        <v>912</v>
      </c>
      <c r="B913" s="218" t="s">
        <v>71</v>
      </c>
      <c r="C913" s="218" t="s">
        <v>1157</v>
      </c>
      <c r="D913" s="218" t="b">
        <v>1</v>
      </c>
      <c r="E913" s="219" t="b">
        <v>0</v>
      </c>
      <c r="F913" s="219" t="b">
        <v>0</v>
      </c>
      <c r="G913" s="219"/>
    </row>
    <row r="914">
      <c r="A914" s="218">
        <f t="shared" si="1"/>
        <v>913</v>
      </c>
      <c r="B914" s="218" t="s">
        <v>71</v>
      </c>
      <c r="C914" s="218" t="s">
        <v>1148</v>
      </c>
      <c r="D914" s="218" t="b">
        <v>1</v>
      </c>
      <c r="E914" s="219" t="b">
        <v>0</v>
      </c>
      <c r="F914" s="219" t="b">
        <v>0</v>
      </c>
      <c r="G914" s="219"/>
    </row>
    <row r="915">
      <c r="A915" s="218">
        <f t="shared" si="1"/>
        <v>914</v>
      </c>
      <c r="B915" s="218" t="s">
        <v>71</v>
      </c>
      <c r="C915" s="218" t="s">
        <v>1138</v>
      </c>
      <c r="D915" s="218" t="b">
        <v>1</v>
      </c>
      <c r="E915" s="219" t="b">
        <v>0</v>
      </c>
      <c r="F915" s="219" t="b">
        <v>0</v>
      </c>
      <c r="G915" s="219"/>
    </row>
    <row r="916">
      <c r="A916" s="218">
        <f t="shared" si="1"/>
        <v>915</v>
      </c>
      <c r="B916" s="218" t="s">
        <v>71</v>
      </c>
      <c r="C916" s="218" t="s">
        <v>1082</v>
      </c>
      <c r="D916" s="218" t="b">
        <v>1</v>
      </c>
      <c r="E916" s="219" t="b">
        <v>0</v>
      </c>
      <c r="F916" s="219" t="b">
        <v>0</v>
      </c>
      <c r="G916" s="219"/>
    </row>
    <row r="917">
      <c r="A917" s="218">
        <f t="shared" si="1"/>
        <v>916</v>
      </c>
      <c r="B917" s="218" t="s">
        <v>71</v>
      </c>
      <c r="C917" s="218" t="s">
        <v>1199</v>
      </c>
      <c r="D917" s="218" t="b">
        <v>1</v>
      </c>
      <c r="E917" s="219" t="b">
        <v>0</v>
      </c>
      <c r="F917" s="219" t="b">
        <v>0</v>
      </c>
      <c r="G917" s="219"/>
    </row>
    <row r="918">
      <c r="A918" s="218">
        <f t="shared" si="1"/>
        <v>917</v>
      </c>
      <c r="B918" s="218" t="s">
        <v>71</v>
      </c>
      <c r="C918" s="218" t="s">
        <v>1091</v>
      </c>
      <c r="D918" s="218" t="b">
        <v>1</v>
      </c>
      <c r="E918" s="219" t="b">
        <v>0</v>
      </c>
      <c r="F918" s="219" t="b">
        <v>0</v>
      </c>
      <c r="G918" s="219"/>
    </row>
    <row r="919">
      <c r="A919" s="218">
        <f t="shared" si="1"/>
        <v>918</v>
      </c>
      <c r="B919" s="218" t="s">
        <v>71</v>
      </c>
      <c r="C919" s="218" t="s">
        <v>1086</v>
      </c>
      <c r="D919" s="218" t="b">
        <v>1</v>
      </c>
      <c r="E919" s="219" t="b">
        <v>0</v>
      </c>
      <c r="F919" s="219" t="b">
        <v>0</v>
      </c>
      <c r="G919" s="219"/>
    </row>
    <row r="920">
      <c r="A920" s="218">
        <f t="shared" si="1"/>
        <v>919</v>
      </c>
      <c r="B920" s="218" t="s">
        <v>71</v>
      </c>
      <c r="C920" s="218" t="s">
        <v>1002</v>
      </c>
      <c r="D920" s="218" t="b">
        <v>1</v>
      </c>
      <c r="E920" s="219" t="b">
        <v>0</v>
      </c>
      <c r="F920" s="219" t="b">
        <v>0</v>
      </c>
      <c r="G920" s="219"/>
    </row>
    <row r="921">
      <c r="A921" s="218">
        <f t="shared" si="1"/>
        <v>920</v>
      </c>
      <c r="B921" s="218" t="s">
        <v>71</v>
      </c>
      <c r="C921" s="218" t="s">
        <v>2377</v>
      </c>
      <c r="D921" s="218" t="b">
        <v>1</v>
      </c>
      <c r="E921" s="219" t="b">
        <v>0</v>
      </c>
      <c r="F921" s="219" t="b">
        <v>0</v>
      </c>
      <c r="G921" s="219"/>
    </row>
    <row r="922">
      <c r="A922" s="218">
        <f t="shared" si="1"/>
        <v>921</v>
      </c>
      <c r="B922" s="218" t="s">
        <v>71</v>
      </c>
      <c r="C922" s="218" t="s">
        <v>2165</v>
      </c>
      <c r="D922" s="218" t="b">
        <v>1</v>
      </c>
      <c r="E922" s="219" t="b">
        <v>0</v>
      </c>
      <c r="F922" s="219" t="b">
        <v>0</v>
      </c>
      <c r="G922" s="219"/>
    </row>
    <row r="923">
      <c r="A923" s="218">
        <f t="shared" si="1"/>
        <v>922</v>
      </c>
      <c r="B923" s="218" t="s">
        <v>71</v>
      </c>
      <c r="C923" s="218" t="s">
        <v>2243</v>
      </c>
      <c r="D923" s="218" t="b">
        <v>1</v>
      </c>
      <c r="E923" s="219" t="b">
        <v>0</v>
      </c>
      <c r="F923" s="219" t="b">
        <v>0</v>
      </c>
      <c r="G923" s="219"/>
    </row>
    <row r="924">
      <c r="A924" s="218">
        <f t="shared" si="1"/>
        <v>923</v>
      </c>
      <c r="B924" s="218" t="s">
        <v>71</v>
      </c>
      <c r="C924" s="218" t="s">
        <v>2381</v>
      </c>
      <c r="D924" s="218" t="b">
        <v>1</v>
      </c>
      <c r="E924" s="219" t="b">
        <v>0</v>
      </c>
      <c r="F924" s="219" t="b">
        <v>0</v>
      </c>
      <c r="G924" s="219"/>
    </row>
    <row r="925">
      <c r="A925" s="218">
        <f t="shared" si="1"/>
        <v>924</v>
      </c>
      <c r="B925" s="218" t="s">
        <v>71</v>
      </c>
      <c r="C925" s="218" t="s">
        <v>2258</v>
      </c>
      <c r="D925" s="218" t="b">
        <v>1</v>
      </c>
      <c r="E925" s="219" t="b">
        <v>0</v>
      </c>
      <c r="F925" s="219" t="b">
        <v>0</v>
      </c>
      <c r="G925" s="219"/>
    </row>
    <row r="926">
      <c r="A926" s="218">
        <f t="shared" si="1"/>
        <v>925</v>
      </c>
      <c r="B926" s="218" t="s">
        <v>71</v>
      </c>
      <c r="C926" s="218" t="s">
        <v>2170</v>
      </c>
      <c r="D926" s="218" t="b">
        <v>1</v>
      </c>
      <c r="E926" s="219" t="b">
        <v>0</v>
      </c>
      <c r="F926" s="219" t="b">
        <v>0</v>
      </c>
      <c r="G926" s="219"/>
    </row>
    <row r="927">
      <c r="A927" s="218">
        <f t="shared" si="1"/>
        <v>926</v>
      </c>
      <c r="B927" s="218" t="s">
        <v>71</v>
      </c>
      <c r="C927" s="218" t="s">
        <v>2358</v>
      </c>
      <c r="D927" s="218" t="b">
        <v>1</v>
      </c>
      <c r="E927" s="219" t="b">
        <v>0</v>
      </c>
      <c r="F927" s="219" t="b">
        <v>0</v>
      </c>
      <c r="G927" s="219"/>
    </row>
    <row r="928">
      <c r="A928" s="218">
        <f t="shared" si="1"/>
        <v>927</v>
      </c>
      <c r="B928" s="218" t="s">
        <v>71</v>
      </c>
      <c r="C928" s="218" t="s">
        <v>1907</v>
      </c>
      <c r="D928" s="218" t="b">
        <v>1</v>
      </c>
      <c r="E928" s="219" t="b">
        <v>0</v>
      </c>
      <c r="F928" s="219" t="b">
        <v>0</v>
      </c>
      <c r="G928" s="219"/>
    </row>
    <row r="929">
      <c r="A929" s="218">
        <f t="shared" si="1"/>
        <v>928</v>
      </c>
      <c r="B929" s="218" t="s">
        <v>71</v>
      </c>
      <c r="C929" s="218" t="s">
        <v>2439</v>
      </c>
      <c r="D929" s="218" t="b">
        <v>1</v>
      </c>
      <c r="E929" s="219" t="b">
        <v>0</v>
      </c>
      <c r="F929" s="219" t="b">
        <v>0</v>
      </c>
      <c r="G929" s="219"/>
    </row>
    <row r="930">
      <c r="A930" s="218">
        <f t="shared" si="1"/>
        <v>929</v>
      </c>
      <c r="B930" s="218" t="s">
        <v>71</v>
      </c>
      <c r="C930" s="218" t="s">
        <v>2190</v>
      </c>
      <c r="D930" s="218" t="b">
        <v>1</v>
      </c>
      <c r="E930" s="219" t="b">
        <v>0</v>
      </c>
      <c r="F930" s="219" t="b">
        <v>0</v>
      </c>
      <c r="G930" s="219"/>
    </row>
    <row r="931">
      <c r="A931" s="218">
        <f t="shared" si="1"/>
        <v>930</v>
      </c>
      <c r="B931" s="218" t="s">
        <v>71</v>
      </c>
      <c r="C931" s="218" t="s">
        <v>2238</v>
      </c>
      <c r="D931" s="218" t="b">
        <v>1</v>
      </c>
      <c r="E931" s="219" t="b">
        <v>0</v>
      </c>
      <c r="F931" s="219" t="b">
        <v>0</v>
      </c>
      <c r="G931" s="219"/>
    </row>
    <row r="932">
      <c r="A932" s="218">
        <f t="shared" si="1"/>
        <v>931</v>
      </c>
      <c r="B932" s="218" t="s">
        <v>71</v>
      </c>
      <c r="C932" s="218" t="s">
        <v>2435</v>
      </c>
      <c r="D932" s="218" t="b">
        <v>1</v>
      </c>
      <c r="E932" s="219" t="b">
        <v>0</v>
      </c>
      <c r="F932" s="219" t="b">
        <v>0</v>
      </c>
      <c r="G932" s="219"/>
    </row>
    <row r="933">
      <c r="A933" s="218">
        <f t="shared" si="1"/>
        <v>932</v>
      </c>
      <c r="B933" s="218" t="s">
        <v>71</v>
      </c>
      <c r="C933" s="218" t="s">
        <v>2316</v>
      </c>
      <c r="D933" s="218" t="b">
        <v>1</v>
      </c>
      <c r="E933" s="219" t="b">
        <v>0</v>
      </c>
      <c r="F933" s="219" t="b">
        <v>0</v>
      </c>
      <c r="G933" s="219"/>
    </row>
    <row r="934">
      <c r="A934" s="218">
        <f t="shared" si="1"/>
        <v>933</v>
      </c>
      <c r="B934" s="218" t="s">
        <v>71</v>
      </c>
      <c r="C934" s="218" t="s">
        <v>1862</v>
      </c>
      <c r="D934" s="218" t="b">
        <v>1</v>
      </c>
      <c r="E934" s="219" t="b">
        <v>0</v>
      </c>
      <c r="F934" s="219" t="b">
        <v>0</v>
      </c>
      <c r="G934" s="219"/>
    </row>
    <row r="935">
      <c r="A935" s="218">
        <f t="shared" si="1"/>
        <v>934</v>
      </c>
      <c r="B935" s="218" t="s">
        <v>71</v>
      </c>
      <c r="C935" s="218" t="s">
        <v>2349</v>
      </c>
      <c r="D935" s="218" t="b">
        <v>1</v>
      </c>
      <c r="E935" s="219" t="b">
        <v>0</v>
      </c>
      <c r="F935" s="219" t="b">
        <v>0</v>
      </c>
      <c r="G935" s="219"/>
    </row>
    <row r="936">
      <c r="A936" s="218">
        <f t="shared" si="1"/>
        <v>935</v>
      </c>
      <c r="B936" s="218" t="s">
        <v>71</v>
      </c>
      <c r="C936" s="218" t="s">
        <v>2320</v>
      </c>
      <c r="D936" s="218" t="b">
        <v>1</v>
      </c>
      <c r="E936" s="219" t="b">
        <v>0</v>
      </c>
      <c r="F936" s="219" t="b">
        <v>0</v>
      </c>
      <c r="G936" s="219"/>
    </row>
    <row r="937">
      <c r="A937" s="218">
        <f t="shared" si="1"/>
        <v>936</v>
      </c>
      <c r="B937" s="218" t="s">
        <v>71</v>
      </c>
      <c r="C937" s="218" t="s">
        <v>1911</v>
      </c>
      <c r="D937" s="218" t="b">
        <v>1</v>
      </c>
      <c r="E937" s="219" t="b">
        <v>0</v>
      </c>
      <c r="F937" s="219" t="b">
        <v>0</v>
      </c>
      <c r="G937" s="219"/>
    </row>
    <row r="938">
      <c r="A938" s="218">
        <f t="shared" si="1"/>
        <v>937</v>
      </c>
      <c r="B938" s="218" t="s">
        <v>71</v>
      </c>
      <c r="C938" s="218" t="s">
        <v>2324</v>
      </c>
      <c r="D938" s="218" t="b">
        <v>1</v>
      </c>
      <c r="E938" s="219" t="b">
        <v>0</v>
      </c>
      <c r="F938" s="219" t="b">
        <v>0</v>
      </c>
      <c r="G938" s="219"/>
    </row>
    <row r="939">
      <c r="A939" s="218">
        <f t="shared" si="1"/>
        <v>938</v>
      </c>
      <c r="B939" s="218" t="s">
        <v>71</v>
      </c>
      <c r="C939" s="218" t="s">
        <v>2008</v>
      </c>
      <c r="D939" s="218" t="b">
        <v>1</v>
      </c>
      <c r="E939" s="219" t="b">
        <v>0</v>
      </c>
      <c r="F939" s="219" t="b">
        <v>0</v>
      </c>
      <c r="G939" s="219"/>
    </row>
    <row r="940">
      <c r="A940" s="218">
        <f t="shared" si="1"/>
        <v>939</v>
      </c>
      <c r="B940" s="218" t="s">
        <v>71</v>
      </c>
      <c r="C940" s="218" t="s">
        <v>2367</v>
      </c>
      <c r="D940" s="218" t="b">
        <v>1</v>
      </c>
      <c r="E940" s="219" t="b">
        <v>0</v>
      </c>
      <c r="F940" s="219" t="b">
        <v>0</v>
      </c>
      <c r="G940" s="219"/>
    </row>
    <row r="941">
      <c r="A941" s="218">
        <f t="shared" si="1"/>
        <v>940</v>
      </c>
      <c r="B941" s="218" t="s">
        <v>71</v>
      </c>
      <c r="C941" s="218" t="s">
        <v>2372</v>
      </c>
      <c r="D941" s="218" t="b">
        <v>1</v>
      </c>
      <c r="E941" s="219" t="b">
        <v>0</v>
      </c>
      <c r="F941" s="219" t="b">
        <v>0</v>
      </c>
      <c r="G941" s="219"/>
    </row>
    <row r="942">
      <c r="A942" s="218">
        <f t="shared" si="1"/>
        <v>941</v>
      </c>
      <c r="B942" s="218" t="s">
        <v>71</v>
      </c>
      <c r="C942" s="218" t="s">
        <v>1880</v>
      </c>
      <c r="D942" s="218" t="b">
        <v>1</v>
      </c>
      <c r="E942" s="219" t="b">
        <v>0</v>
      </c>
      <c r="F942" s="219" t="b">
        <v>0</v>
      </c>
      <c r="G942" s="219"/>
    </row>
    <row r="943">
      <c r="A943" s="218">
        <f t="shared" si="1"/>
        <v>942</v>
      </c>
      <c r="B943" s="218" t="s">
        <v>71</v>
      </c>
      <c r="C943" s="218" t="s">
        <v>2044</v>
      </c>
      <c r="D943" s="218" t="b">
        <v>1</v>
      </c>
      <c r="E943" s="219" t="b">
        <v>0</v>
      </c>
      <c r="F943" s="219" t="b">
        <v>0</v>
      </c>
      <c r="G943" s="219"/>
    </row>
    <row r="944">
      <c r="A944" s="218">
        <f t="shared" si="1"/>
        <v>943</v>
      </c>
      <c r="B944" s="218" t="s">
        <v>71</v>
      </c>
      <c r="C944" s="218" t="s">
        <v>1857</v>
      </c>
      <c r="D944" s="218" t="b">
        <v>1</v>
      </c>
      <c r="E944" s="219" t="b">
        <v>0</v>
      </c>
      <c r="F944" s="219" t="b">
        <v>0</v>
      </c>
      <c r="G944" s="219"/>
    </row>
    <row r="945">
      <c r="A945" s="218">
        <f t="shared" si="1"/>
        <v>944</v>
      </c>
      <c r="B945" s="218" t="s">
        <v>71</v>
      </c>
      <c r="C945" s="218" t="s">
        <v>1894</v>
      </c>
      <c r="D945" s="218" t="b">
        <v>1</v>
      </c>
      <c r="E945" s="219" t="b">
        <v>0</v>
      </c>
      <c r="F945" s="219" t="b">
        <v>0</v>
      </c>
      <c r="G945" s="219"/>
    </row>
    <row r="946">
      <c r="A946" s="218">
        <f t="shared" si="1"/>
        <v>945</v>
      </c>
      <c r="B946" s="218" t="s">
        <v>71</v>
      </c>
      <c r="C946" s="218" t="s">
        <v>2501</v>
      </c>
      <c r="D946" s="218" t="b">
        <v>1</v>
      </c>
      <c r="E946" s="219" t="b">
        <v>0</v>
      </c>
      <c r="F946" s="219" t="b">
        <v>0</v>
      </c>
      <c r="G946" s="219"/>
    </row>
    <row r="947">
      <c r="A947" s="218">
        <f t="shared" si="1"/>
        <v>946</v>
      </c>
      <c r="B947" s="218" t="s">
        <v>71</v>
      </c>
      <c r="C947" s="218" t="s">
        <v>2492</v>
      </c>
      <c r="D947" s="218" t="b">
        <v>1</v>
      </c>
      <c r="E947" s="219" t="b">
        <v>0</v>
      </c>
      <c r="F947" s="219" t="b">
        <v>0</v>
      </c>
      <c r="G947" s="219"/>
    </row>
    <row r="948">
      <c r="A948" s="218">
        <f t="shared" si="1"/>
        <v>947</v>
      </c>
      <c r="B948" s="218" t="s">
        <v>71</v>
      </c>
      <c r="C948" s="218" t="s">
        <v>2584</v>
      </c>
      <c r="D948" s="218" t="b">
        <v>1</v>
      </c>
      <c r="E948" s="219" t="b">
        <v>0</v>
      </c>
      <c r="F948" s="219" t="b">
        <v>0</v>
      </c>
      <c r="G948" s="219"/>
    </row>
    <row r="949">
      <c r="A949" s="218">
        <f t="shared" si="1"/>
        <v>948</v>
      </c>
      <c r="B949" s="218" t="s">
        <v>71</v>
      </c>
      <c r="C949" s="218" t="s">
        <v>2637</v>
      </c>
      <c r="D949" s="218" t="b">
        <v>1</v>
      </c>
      <c r="E949" s="219" t="b">
        <v>0</v>
      </c>
      <c r="F949" s="219" t="b">
        <v>0</v>
      </c>
      <c r="G949" s="219"/>
    </row>
    <row r="950">
      <c r="A950" s="218">
        <f t="shared" si="1"/>
        <v>949</v>
      </c>
      <c r="B950" s="218" t="s">
        <v>71</v>
      </c>
      <c r="C950" s="218" t="s">
        <v>2621</v>
      </c>
      <c r="D950" s="218" t="b">
        <v>1</v>
      </c>
      <c r="E950" s="219" t="b">
        <v>0</v>
      </c>
      <c r="F950" s="219" t="b">
        <v>0</v>
      </c>
      <c r="G950" s="219"/>
    </row>
    <row r="951">
      <c r="A951" s="218">
        <f t="shared" si="1"/>
        <v>950</v>
      </c>
      <c r="B951" s="218" t="s">
        <v>71</v>
      </c>
      <c r="C951" s="218" t="s">
        <v>2618</v>
      </c>
      <c r="D951" s="218" t="b">
        <v>1</v>
      </c>
      <c r="E951" s="219" t="b">
        <v>0</v>
      </c>
      <c r="F951" s="219" t="b">
        <v>0</v>
      </c>
      <c r="G951" s="219"/>
    </row>
    <row r="952">
      <c r="A952" s="218">
        <f t="shared" si="1"/>
        <v>951</v>
      </c>
      <c r="B952" s="218" t="s">
        <v>71</v>
      </c>
      <c r="C952" s="218" t="s">
        <v>2611</v>
      </c>
      <c r="D952" s="218" t="b">
        <v>1</v>
      </c>
      <c r="E952" s="219" t="b">
        <v>0</v>
      </c>
      <c r="F952" s="219" t="b">
        <v>0</v>
      </c>
      <c r="G952" s="219"/>
    </row>
    <row r="953">
      <c r="A953" s="218">
        <f t="shared" si="1"/>
        <v>952</v>
      </c>
      <c r="B953" s="218" t="s">
        <v>71</v>
      </c>
      <c r="C953" s="218" t="s">
        <v>2599</v>
      </c>
      <c r="D953" s="218" t="b">
        <v>1</v>
      </c>
      <c r="E953" s="219" t="b">
        <v>0</v>
      </c>
      <c r="F953" s="219" t="b">
        <v>0</v>
      </c>
      <c r="G953" s="219"/>
    </row>
    <row r="954">
      <c r="A954" s="218">
        <f t="shared" si="1"/>
        <v>953</v>
      </c>
      <c r="B954" s="218" t="s">
        <v>71</v>
      </c>
      <c r="C954" s="218" t="s">
        <v>2695</v>
      </c>
      <c r="D954" s="218" t="b">
        <v>1</v>
      </c>
      <c r="E954" s="219" t="b">
        <v>0</v>
      </c>
      <c r="F954" s="219" t="b">
        <v>0</v>
      </c>
      <c r="G954" s="219"/>
    </row>
    <row r="955">
      <c r="A955" s="218">
        <f t="shared" si="1"/>
        <v>954</v>
      </c>
      <c r="B955" s="218" t="s">
        <v>71</v>
      </c>
      <c r="C955" s="218" t="s">
        <v>2690</v>
      </c>
      <c r="D955" s="218" t="b">
        <v>1</v>
      </c>
      <c r="E955" s="219" t="b">
        <v>0</v>
      </c>
      <c r="F955" s="219" t="b">
        <v>0</v>
      </c>
      <c r="G955" s="219"/>
    </row>
    <row r="956">
      <c r="A956" s="218">
        <f t="shared" si="1"/>
        <v>955</v>
      </c>
      <c r="B956" s="218" t="s">
        <v>71</v>
      </c>
      <c r="C956" s="218" t="s">
        <v>2743</v>
      </c>
      <c r="D956" s="218" t="b">
        <v>1</v>
      </c>
      <c r="E956" s="219" t="b">
        <v>0</v>
      </c>
      <c r="F956" s="219" t="b">
        <v>0</v>
      </c>
      <c r="G956" s="219"/>
    </row>
    <row r="957">
      <c r="A957" s="218">
        <f t="shared" si="1"/>
        <v>956</v>
      </c>
      <c r="B957" s="218" t="s">
        <v>71</v>
      </c>
      <c r="C957" s="218" t="s">
        <v>2734</v>
      </c>
      <c r="D957" s="218" t="b">
        <v>1</v>
      </c>
      <c r="E957" s="219" t="b">
        <v>0</v>
      </c>
      <c r="F957" s="219" t="b">
        <v>0</v>
      </c>
      <c r="G957" s="219"/>
    </row>
    <row r="958">
      <c r="A958" s="218">
        <f t="shared" si="1"/>
        <v>957</v>
      </c>
      <c r="B958" s="218" t="s">
        <v>71</v>
      </c>
      <c r="C958" s="218" t="s">
        <v>2798</v>
      </c>
      <c r="D958" s="218" t="b">
        <v>1</v>
      </c>
      <c r="E958" s="219" t="b">
        <v>0</v>
      </c>
      <c r="F958" s="219" t="b">
        <v>0</v>
      </c>
      <c r="G958" s="219"/>
    </row>
    <row r="959">
      <c r="A959" s="218">
        <f t="shared" si="1"/>
        <v>958</v>
      </c>
      <c r="B959" s="218" t="s">
        <v>71</v>
      </c>
      <c r="C959" s="218" t="s">
        <v>2789</v>
      </c>
      <c r="D959" s="218" t="b">
        <v>1</v>
      </c>
      <c r="E959" s="219" t="b">
        <v>0</v>
      </c>
      <c r="F959" s="219" t="b">
        <v>0</v>
      </c>
      <c r="G959" s="219"/>
    </row>
    <row r="960">
      <c r="A960" s="218">
        <f t="shared" si="1"/>
        <v>959</v>
      </c>
      <c r="B960" s="218" t="s">
        <v>71</v>
      </c>
      <c r="C960" s="218" t="s">
        <v>3214</v>
      </c>
      <c r="D960" s="218" t="b">
        <v>1</v>
      </c>
      <c r="E960" s="219" t="b">
        <v>0</v>
      </c>
      <c r="F960" s="219" t="b">
        <v>0</v>
      </c>
      <c r="G960" s="219"/>
    </row>
    <row r="961">
      <c r="A961" s="218">
        <f t="shared" si="1"/>
        <v>960</v>
      </c>
      <c r="B961" s="218" t="s">
        <v>71</v>
      </c>
      <c r="C961" s="218" t="s">
        <v>3206</v>
      </c>
      <c r="D961" s="218" t="b">
        <v>1</v>
      </c>
      <c r="E961" s="219" t="b">
        <v>0</v>
      </c>
      <c r="F961" s="219" t="b">
        <v>0</v>
      </c>
      <c r="G961" s="219"/>
    </row>
    <row r="962">
      <c r="A962" s="218">
        <f t="shared" si="1"/>
        <v>961</v>
      </c>
      <c r="B962" s="218" t="s">
        <v>71</v>
      </c>
      <c r="C962" s="218" t="s">
        <v>3303</v>
      </c>
      <c r="D962" s="218" t="b">
        <v>1</v>
      </c>
      <c r="E962" s="219" t="b">
        <v>0</v>
      </c>
      <c r="F962" s="219" t="b">
        <v>0</v>
      </c>
      <c r="G962" s="219"/>
    </row>
    <row r="963">
      <c r="A963" s="218">
        <f t="shared" si="1"/>
        <v>962</v>
      </c>
      <c r="B963" s="218" t="s">
        <v>71</v>
      </c>
      <c r="C963" s="218" t="s">
        <v>3289</v>
      </c>
      <c r="D963" s="218" t="b">
        <v>1</v>
      </c>
      <c r="E963" s="219" t="b">
        <v>0</v>
      </c>
      <c r="F963" s="219" t="b">
        <v>0</v>
      </c>
      <c r="G963" s="219"/>
    </row>
    <row r="964">
      <c r="A964" s="218">
        <f t="shared" si="1"/>
        <v>963</v>
      </c>
      <c r="B964" s="218" t="s">
        <v>71</v>
      </c>
      <c r="C964" s="218" t="s">
        <v>3285</v>
      </c>
      <c r="D964" s="218" t="b">
        <v>1</v>
      </c>
      <c r="E964" s="219" t="b">
        <v>0</v>
      </c>
      <c r="F964" s="219" t="b">
        <v>0</v>
      </c>
      <c r="G964" s="219"/>
    </row>
    <row r="965">
      <c r="A965" s="218">
        <f t="shared" si="1"/>
        <v>964</v>
      </c>
      <c r="B965" s="218" t="s">
        <v>71</v>
      </c>
      <c r="C965" s="218" t="s">
        <v>2666</v>
      </c>
      <c r="D965" s="218" t="b">
        <v>1</v>
      </c>
      <c r="E965" s="219" t="b">
        <v>0</v>
      </c>
      <c r="F965" s="219" t="b">
        <v>0</v>
      </c>
      <c r="G965" s="219"/>
    </row>
    <row r="966">
      <c r="A966" s="218">
        <f t="shared" si="1"/>
        <v>965</v>
      </c>
      <c r="B966" s="218" t="s">
        <v>71</v>
      </c>
      <c r="C966" s="218" t="s">
        <v>2699</v>
      </c>
      <c r="D966" s="218" t="b">
        <v>1</v>
      </c>
      <c r="E966" s="219" t="b">
        <v>0</v>
      </c>
      <c r="F966" s="219" t="b">
        <v>0</v>
      </c>
      <c r="G966" s="219"/>
    </row>
    <row r="967">
      <c r="A967" s="218">
        <f t="shared" si="1"/>
        <v>966</v>
      </c>
      <c r="B967" s="218" t="s">
        <v>71</v>
      </c>
      <c r="C967" s="218" t="s">
        <v>2544</v>
      </c>
      <c r="D967" s="218" t="b">
        <v>1</v>
      </c>
      <c r="E967" s="219" t="b">
        <v>0</v>
      </c>
      <c r="F967" s="219" t="b">
        <v>0</v>
      </c>
      <c r="G967" s="219"/>
    </row>
    <row r="968">
      <c r="A968" s="218">
        <f t="shared" si="1"/>
        <v>967</v>
      </c>
      <c r="B968" s="218" t="s">
        <v>71</v>
      </c>
      <c r="C968" s="218" t="s">
        <v>2579</v>
      </c>
      <c r="D968" s="218" t="b">
        <v>1</v>
      </c>
      <c r="E968" s="219" t="b">
        <v>0</v>
      </c>
      <c r="F968" s="219" t="b">
        <v>0</v>
      </c>
      <c r="G968" s="219"/>
    </row>
    <row r="969">
      <c r="A969" s="218">
        <f t="shared" si="1"/>
        <v>968</v>
      </c>
      <c r="B969" s="218" t="s">
        <v>71</v>
      </c>
      <c r="C969" s="218" t="s">
        <v>346</v>
      </c>
      <c r="D969" s="218" t="b">
        <v>1</v>
      </c>
      <c r="E969" s="219" t="b">
        <v>0</v>
      </c>
      <c r="F969" s="219" t="b">
        <v>0</v>
      </c>
      <c r="G969" s="219"/>
    </row>
    <row r="970">
      <c r="A970" s="218">
        <f t="shared" si="1"/>
        <v>969</v>
      </c>
      <c r="B970" s="218" t="s">
        <v>71</v>
      </c>
      <c r="C970" s="218" t="s">
        <v>313</v>
      </c>
      <c r="D970" s="218" t="b">
        <v>1</v>
      </c>
      <c r="E970" s="219" t="b">
        <v>0</v>
      </c>
      <c r="F970" s="219" t="b">
        <v>0</v>
      </c>
      <c r="G970" s="219"/>
    </row>
    <row r="971">
      <c r="A971" s="218">
        <f t="shared" si="1"/>
        <v>970</v>
      </c>
      <c r="B971" s="218" t="s">
        <v>71</v>
      </c>
      <c r="C971" s="218" t="s">
        <v>6496</v>
      </c>
      <c r="D971" s="218" t="b">
        <v>1</v>
      </c>
      <c r="E971" s="219" t="b">
        <v>0</v>
      </c>
      <c r="F971" s="219" t="b">
        <v>0</v>
      </c>
      <c r="G971" s="219"/>
    </row>
    <row r="972">
      <c r="A972" s="218">
        <f t="shared" si="1"/>
        <v>971</v>
      </c>
      <c r="B972" s="218" t="s">
        <v>71</v>
      </c>
      <c r="C972" s="218" t="s">
        <v>6497</v>
      </c>
      <c r="D972" s="218" t="b">
        <v>1</v>
      </c>
      <c r="E972" s="219" t="b">
        <v>0</v>
      </c>
      <c r="F972" s="219" t="b">
        <v>0</v>
      </c>
      <c r="G972" s="219"/>
    </row>
    <row r="973">
      <c r="A973" s="218">
        <f t="shared" si="1"/>
        <v>972</v>
      </c>
      <c r="B973" s="218" t="s">
        <v>71</v>
      </c>
      <c r="C973" s="218" t="s">
        <v>317</v>
      </c>
      <c r="D973" s="218" t="b">
        <v>1</v>
      </c>
      <c r="E973" s="219" t="b">
        <v>0</v>
      </c>
      <c r="F973" s="219" t="b">
        <v>0</v>
      </c>
      <c r="G973" s="219"/>
    </row>
    <row r="974">
      <c r="A974" s="218">
        <f t="shared" si="1"/>
        <v>973</v>
      </c>
      <c r="B974" s="218" t="s">
        <v>71</v>
      </c>
      <c r="C974" s="218" t="s">
        <v>309</v>
      </c>
      <c r="D974" s="218" t="b">
        <v>1</v>
      </c>
      <c r="E974" s="219" t="b">
        <v>0</v>
      </c>
      <c r="F974" s="219" t="b">
        <v>0</v>
      </c>
      <c r="G974" s="219"/>
    </row>
    <row r="975">
      <c r="A975" s="218">
        <f t="shared" si="1"/>
        <v>974</v>
      </c>
      <c r="B975" s="218" t="s">
        <v>71</v>
      </c>
      <c r="C975" s="218" t="s">
        <v>331</v>
      </c>
      <c r="D975" s="218" t="b">
        <v>1</v>
      </c>
      <c r="E975" s="219" t="b">
        <v>0</v>
      </c>
      <c r="F975" s="219" t="b">
        <v>0</v>
      </c>
      <c r="G975" s="219"/>
    </row>
    <row r="976">
      <c r="A976" s="218">
        <f t="shared" si="1"/>
        <v>975</v>
      </c>
      <c r="B976" s="218" t="s">
        <v>71</v>
      </c>
      <c r="C976" s="218" t="s">
        <v>304</v>
      </c>
      <c r="D976" s="218" t="b">
        <v>1</v>
      </c>
      <c r="E976" s="219" t="b">
        <v>0</v>
      </c>
      <c r="F976" s="219" t="b">
        <v>0</v>
      </c>
      <c r="G976" s="219"/>
    </row>
    <row r="977">
      <c r="A977" s="218">
        <f t="shared" si="1"/>
        <v>976</v>
      </c>
      <c r="B977" s="218" t="s">
        <v>71</v>
      </c>
      <c r="C977" s="218" t="s">
        <v>350</v>
      </c>
      <c r="D977" s="218" t="b">
        <v>1</v>
      </c>
      <c r="E977" s="219" t="b">
        <v>0</v>
      </c>
      <c r="F977" s="219" t="b">
        <v>0</v>
      </c>
      <c r="G977" s="219"/>
    </row>
    <row r="978">
      <c r="A978" s="218">
        <f t="shared" si="1"/>
        <v>977</v>
      </c>
      <c r="B978" s="218" t="s">
        <v>71</v>
      </c>
      <c r="C978" s="218" t="s">
        <v>321</v>
      </c>
      <c r="D978" s="218" t="b">
        <v>1</v>
      </c>
      <c r="E978" s="219" t="b">
        <v>0</v>
      </c>
      <c r="F978" s="219" t="b">
        <v>0</v>
      </c>
      <c r="G978" s="219"/>
    </row>
    <row r="979">
      <c r="A979" s="218">
        <f t="shared" si="1"/>
        <v>978</v>
      </c>
      <c r="B979" s="218" t="s">
        <v>71</v>
      </c>
      <c r="C979" s="218" t="s">
        <v>342</v>
      </c>
      <c r="D979" s="218" t="b">
        <v>1</v>
      </c>
      <c r="E979" s="219" t="b">
        <v>0</v>
      </c>
      <c r="F979" s="219" t="b">
        <v>0</v>
      </c>
      <c r="G979" s="219"/>
    </row>
    <row r="980">
      <c r="A980" s="218">
        <f t="shared" si="1"/>
        <v>979</v>
      </c>
      <c r="B980" s="218" t="s">
        <v>71</v>
      </c>
      <c r="C980" s="218" t="s">
        <v>1409</v>
      </c>
      <c r="D980" s="218" t="b">
        <v>1</v>
      </c>
      <c r="E980" s="219" t="b">
        <v>0</v>
      </c>
      <c r="F980" s="219" t="b">
        <v>0</v>
      </c>
      <c r="G980" s="219"/>
    </row>
    <row r="981">
      <c r="A981" s="218">
        <f t="shared" si="1"/>
        <v>980</v>
      </c>
      <c r="B981" s="218" t="s">
        <v>71</v>
      </c>
      <c r="C981" s="218" t="s">
        <v>3275</v>
      </c>
      <c r="D981" s="218" t="b">
        <v>1</v>
      </c>
      <c r="E981" s="219" t="b">
        <v>0</v>
      </c>
      <c r="F981" s="219" t="b">
        <v>0</v>
      </c>
      <c r="G981" s="219"/>
    </row>
    <row r="982">
      <c r="A982" s="218">
        <f t="shared" si="1"/>
        <v>981</v>
      </c>
      <c r="B982" s="218" t="s">
        <v>71</v>
      </c>
      <c r="C982" s="218" t="s">
        <v>3341</v>
      </c>
      <c r="D982" s="218" t="b">
        <v>1</v>
      </c>
      <c r="E982" s="219" t="b">
        <v>0</v>
      </c>
      <c r="F982" s="219" t="b">
        <v>0</v>
      </c>
      <c r="G982" s="219"/>
    </row>
    <row r="983">
      <c r="A983" s="218">
        <f t="shared" si="1"/>
        <v>982</v>
      </c>
      <c r="B983" s="218" t="s">
        <v>71</v>
      </c>
      <c r="C983" s="218" t="s">
        <v>3363</v>
      </c>
      <c r="D983" s="218" t="b">
        <v>1</v>
      </c>
      <c r="E983" s="219" t="b">
        <v>0</v>
      </c>
      <c r="F983" s="219" t="b">
        <v>0</v>
      </c>
      <c r="G983" s="219"/>
    </row>
    <row r="984">
      <c r="A984" s="218">
        <f t="shared" si="1"/>
        <v>983</v>
      </c>
      <c r="B984" s="218" t="s">
        <v>71</v>
      </c>
      <c r="C984" s="218" t="s">
        <v>1282</v>
      </c>
      <c r="D984" s="218" t="b">
        <v>1</v>
      </c>
      <c r="E984" s="219" t="b">
        <v>0</v>
      </c>
      <c r="F984" s="219" t="b">
        <v>0</v>
      </c>
      <c r="G984" s="219"/>
    </row>
    <row r="985">
      <c r="A985" s="218">
        <f t="shared" si="1"/>
        <v>984</v>
      </c>
      <c r="B985" s="218" t="s">
        <v>71</v>
      </c>
      <c r="C985" s="218" t="s">
        <v>1307</v>
      </c>
      <c r="D985" s="218" t="b">
        <v>1</v>
      </c>
      <c r="E985" s="219" t="b">
        <v>0</v>
      </c>
      <c r="F985" s="219" t="b">
        <v>0</v>
      </c>
      <c r="G985" s="219"/>
    </row>
    <row r="986">
      <c r="A986" s="218">
        <f t="shared" si="1"/>
        <v>985</v>
      </c>
      <c r="B986" s="218" t="s">
        <v>71</v>
      </c>
      <c r="C986" s="218" t="s">
        <v>1320</v>
      </c>
      <c r="D986" s="218" t="b">
        <v>1</v>
      </c>
      <c r="E986" s="219" t="b">
        <v>0</v>
      </c>
      <c r="F986" s="219" t="b">
        <v>0</v>
      </c>
      <c r="G986" s="219"/>
    </row>
    <row r="987">
      <c r="A987" s="218">
        <f t="shared" si="1"/>
        <v>986</v>
      </c>
      <c r="B987" s="218" t="s">
        <v>71</v>
      </c>
      <c r="C987" s="218" t="s">
        <v>1325</v>
      </c>
      <c r="D987" s="218" t="b">
        <v>1</v>
      </c>
      <c r="E987" s="219" t="b">
        <v>0</v>
      </c>
      <c r="F987" s="219" t="b">
        <v>0</v>
      </c>
      <c r="G987" s="219"/>
    </row>
    <row r="988">
      <c r="A988" s="218">
        <f t="shared" si="1"/>
        <v>987</v>
      </c>
      <c r="B988" s="218" t="s">
        <v>71</v>
      </c>
      <c r="C988" s="218" t="s">
        <v>1330</v>
      </c>
      <c r="D988" s="218" t="b">
        <v>1</v>
      </c>
      <c r="E988" s="219" t="b">
        <v>0</v>
      </c>
      <c r="F988" s="219" t="b">
        <v>0</v>
      </c>
      <c r="G988" s="219"/>
    </row>
    <row r="989">
      <c r="A989" s="218">
        <f t="shared" si="1"/>
        <v>988</v>
      </c>
      <c r="B989" s="218" t="s">
        <v>71</v>
      </c>
      <c r="C989" s="218" t="s">
        <v>1344</v>
      </c>
      <c r="D989" s="218" t="b">
        <v>1</v>
      </c>
      <c r="E989" s="219" t="b">
        <v>0</v>
      </c>
      <c r="F989" s="219" t="b">
        <v>0</v>
      </c>
      <c r="G989" s="219"/>
    </row>
    <row r="990">
      <c r="A990" s="218">
        <f t="shared" si="1"/>
        <v>989</v>
      </c>
      <c r="B990" s="218" t="s">
        <v>71</v>
      </c>
      <c r="C990" s="218" t="s">
        <v>1362</v>
      </c>
      <c r="D990" s="218" t="b">
        <v>1</v>
      </c>
      <c r="E990" s="219" t="b">
        <v>0</v>
      </c>
      <c r="F990" s="219" t="b">
        <v>0</v>
      </c>
      <c r="G990" s="219"/>
    </row>
    <row r="991">
      <c r="A991" s="218">
        <f t="shared" si="1"/>
        <v>990</v>
      </c>
      <c r="B991" s="218" t="s">
        <v>71</v>
      </c>
      <c r="C991" s="218" t="s">
        <v>1375</v>
      </c>
      <c r="D991" s="218" t="b">
        <v>1</v>
      </c>
      <c r="E991" s="219" t="b">
        <v>0</v>
      </c>
      <c r="F991" s="219" t="b">
        <v>0</v>
      </c>
      <c r="G991" s="219"/>
    </row>
    <row r="992">
      <c r="A992" s="218">
        <f t="shared" si="1"/>
        <v>991</v>
      </c>
      <c r="B992" s="218" t="s">
        <v>71</v>
      </c>
      <c r="C992" s="218" t="s">
        <v>1380</v>
      </c>
      <c r="D992" s="218" t="b">
        <v>1</v>
      </c>
      <c r="E992" s="219" t="b">
        <v>0</v>
      </c>
      <c r="F992" s="219" t="b">
        <v>0</v>
      </c>
      <c r="G992" s="219"/>
    </row>
    <row r="993">
      <c r="A993" s="218">
        <f t="shared" si="1"/>
        <v>992</v>
      </c>
      <c r="B993" s="218" t="s">
        <v>71</v>
      </c>
      <c r="C993" s="218" t="s">
        <v>1385</v>
      </c>
      <c r="D993" s="218" t="b">
        <v>1</v>
      </c>
      <c r="E993" s="219" t="b">
        <v>0</v>
      </c>
      <c r="F993" s="219" t="b">
        <v>0</v>
      </c>
      <c r="G993" s="219"/>
    </row>
    <row r="994">
      <c r="A994" s="218">
        <f t="shared" si="1"/>
        <v>993</v>
      </c>
      <c r="B994" s="218" t="s">
        <v>71</v>
      </c>
      <c r="C994" s="218" t="s">
        <v>1390</v>
      </c>
      <c r="D994" s="218" t="b">
        <v>1</v>
      </c>
      <c r="E994" s="219" t="b">
        <v>0</v>
      </c>
      <c r="F994" s="219" t="b">
        <v>0</v>
      </c>
      <c r="G994" s="219"/>
    </row>
    <row r="995">
      <c r="A995" s="218">
        <f t="shared" si="1"/>
        <v>994</v>
      </c>
      <c r="B995" s="218" t="s">
        <v>71</v>
      </c>
      <c r="C995" s="218" t="s">
        <v>1400</v>
      </c>
      <c r="D995" s="218" t="b">
        <v>1</v>
      </c>
      <c r="E995" s="219" t="b">
        <v>0</v>
      </c>
      <c r="F995" s="219" t="b">
        <v>0</v>
      </c>
      <c r="G995" s="219"/>
    </row>
    <row r="996">
      <c r="A996" s="218">
        <f t="shared" si="1"/>
        <v>995</v>
      </c>
      <c r="B996" s="218" t="s">
        <v>71</v>
      </c>
      <c r="C996" s="218" t="s">
        <v>2482</v>
      </c>
      <c r="D996" s="218" t="b">
        <v>1</v>
      </c>
      <c r="E996" s="219" t="b">
        <v>0</v>
      </c>
      <c r="F996" s="219" t="b">
        <v>0</v>
      </c>
      <c r="G996" s="219"/>
    </row>
    <row r="997">
      <c r="A997" s="218">
        <f t="shared" si="1"/>
        <v>996</v>
      </c>
      <c r="B997" s="218" t="s">
        <v>71</v>
      </c>
      <c r="C997" s="218" t="s">
        <v>760</v>
      </c>
      <c r="D997" s="218" t="b">
        <v>1</v>
      </c>
      <c r="E997" s="219" t="b">
        <v>0</v>
      </c>
      <c r="F997" s="219" t="b">
        <v>0</v>
      </c>
      <c r="G997" s="219"/>
    </row>
    <row r="998">
      <c r="A998" s="218">
        <f t="shared" si="1"/>
        <v>997</v>
      </c>
      <c r="B998" s="218" t="s">
        <v>71</v>
      </c>
      <c r="C998" s="218" t="s">
        <v>5259</v>
      </c>
      <c r="D998" s="218" t="b">
        <v>1</v>
      </c>
      <c r="E998" s="219" t="b">
        <v>0</v>
      </c>
      <c r="F998" s="219" t="b">
        <v>0</v>
      </c>
      <c r="G998" s="219"/>
    </row>
    <row r="999">
      <c r="A999" s="218">
        <f t="shared" si="1"/>
        <v>998</v>
      </c>
      <c r="B999" s="218" t="s">
        <v>71</v>
      </c>
      <c r="C999" s="218" t="s">
        <v>6501</v>
      </c>
      <c r="D999" s="218" t="b">
        <v>1</v>
      </c>
      <c r="E999" s="219" t="b">
        <v>0</v>
      </c>
      <c r="F999" s="219" t="b">
        <v>0</v>
      </c>
      <c r="G999" s="219"/>
    </row>
    <row r="1000">
      <c r="A1000" s="218">
        <f t="shared" si="1"/>
        <v>999</v>
      </c>
      <c r="B1000" s="218" t="s">
        <v>71</v>
      </c>
      <c r="C1000" s="218" t="s">
        <v>4942</v>
      </c>
      <c r="D1000" s="218" t="b">
        <v>1</v>
      </c>
      <c r="E1000" s="219" t="b">
        <v>0</v>
      </c>
      <c r="F1000" s="219" t="b">
        <v>0</v>
      </c>
      <c r="G1000" s="219"/>
    </row>
    <row r="1001">
      <c r="A1001" s="218">
        <f t="shared" si="1"/>
        <v>1000</v>
      </c>
      <c r="B1001" s="218" t="s">
        <v>71</v>
      </c>
      <c r="C1001" s="218" t="s">
        <v>5469</v>
      </c>
      <c r="D1001" s="218" t="b">
        <v>1</v>
      </c>
      <c r="E1001" s="219" t="b">
        <v>0</v>
      </c>
      <c r="F1001" s="219" t="b">
        <v>0</v>
      </c>
      <c r="G1001" s="219"/>
    </row>
    <row r="1002">
      <c r="A1002" s="218">
        <f t="shared" si="1"/>
        <v>1001</v>
      </c>
      <c r="B1002" s="218" t="s">
        <v>71</v>
      </c>
      <c r="C1002" s="218" t="s">
        <v>5479</v>
      </c>
      <c r="D1002" s="218" t="b">
        <v>1</v>
      </c>
      <c r="E1002" s="219" t="b">
        <v>0</v>
      </c>
      <c r="F1002" s="219" t="b">
        <v>0</v>
      </c>
      <c r="G1002" s="219"/>
    </row>
    <row r="1003">
      <c r="A1003" s="218">
        <f t="shared" si="1"/>
        <v>1002</v>
      </c>
      <c r="B1003" s="218" t="s">
        <v>71</v>
      </c>
      <c r="C1003" s="218" t="s">
        <v>5494</v>
      </c>
      <c r="D1003" s="218" t="b">
        <v>1</v>
      </c>
      <c r="E1003" s="219" t="b">
        <v>0</v>
      </c>
      <c r="F1003" s="219" t="b">
        <v>0</v>
      </c>
      <c r="G1003" s="219"/>
    </row>
    <row r="1004">
      <c r="A1004" s="218">
        <f t="shared" si="1"/>
        <v>1003</v>
      </c>
      <c r="B1004" s="218" t="s">
        <v>71</v>
      </c>
      <c r="C1004" s="218" t="s">
        <v>5457</v>
      </c>
      <c r="D1004" s="218" t="b">
        <v>1</v>
      </c>
      <c r="E1004" s="219" t="b">
        <v>0</v>
      </c>
      <c r="F1004" s="219" t="b">
        <v>0</v>
      </c>
      <c r="G1004" s="219"/>
    </row>
    <row r="1005">
      <c r="A1005" s="218">
        <f t="shared" si="1"/>
        <v>1004</v>
      </c>
      <c r="B1005" s="218" t="s">
        <v>71</v>
      </c>
      <c r="C1005" s="218" t="s">
        <v>5356</v>
      </c>
      <c r="D1005" s="218" t="b">
        <v>1</v>
      </c>
      <c r="E1005" s="219" t="b">
        <v>0</v>
      </c>
      <c r="F1005" s="219" t="b">
        <v>0</v>
      </c>
      <c r="G1005" s="219"/>
    </row>
    <row r="1006">
      <c r="A1006" s="218">
        <f t="shared" si="1"/>
        <v>1005</v>
      </c>
      <c r="B1006" s="218" t="s">
        <v>71</v>
      </c>
      <c r="C1006" s="218" t="s">
        <v>5373</v>
      </c>
      <c r="D1006" s="218" t="b">
        <v>1</v>
      </c>
      <c r="E1006" s="219" t="b">
        <v>0</v>
      </c>
      <c r="F1006" s="219" t="b">
        <v>0</v>
      </c>
      <c r="G1006" s="219"/>
    </row>
    <row r="1007">
      <c r="A1007" s="218">
        <f t="shared" si="1"/>
        <v>1006</v>
      </c>
      <c r="B1007" s="218" t="s">
        <v>71</v>
      </c>
      <c r="C1007" s="218" t="s">
        <v>5307</v>
      </c>
      <c r="D1007" s="218" t="b">
        <v>1</v>
      </c>
      <c r="E1007" s="219" t="b">
        <v>0</v>
      </c>
      <c r="F1007" s="219" t="b">
        <v>0</v>
      </c>
      <c r="G1007" s="219"/>
    </row>
    <row r="1008">
      <c r="A1008" s="218">
        <f t="shared" si="1"/>
        <v>1007</v>
      </c>
      <c r="B1008" s="218" t="s">
        <v>71</v>
      </c>
      <c r="C1008" s="218" t="s">
        <v>5182</v>
      </c>
      <c r="D1008" s="218" t="b">
        <v>1</v>
      </c>
      <c r="E1008" s="219" t="b">
        <v>0</v>
      </c>
      <c r="F1008" s="219" t="b">
        <v>0</v>
      </c>
      <c r="G1008" s="219"/>
    </row>
    <row r="1009">
      <c r="A1009" s="218">
        <f t="shared" si="1"/>
        <v>1008</v>
      </c>
      <c r="B1009" s="218" t="s">
        <v>71</v>
      </c>
      <c r="C1009" s="218" t="s">
        <v>5219</v>
      </c>
      <c r="D1009" s="218" t="b">
        <v>1</v>
      </c>
      <c r="E1009" s="219" t="b">
        <v>0</v>
      </c>
      <c r="F1009" s="219" t="b">
        <v>0</v>
      </c>
      <c r="G1009" s="219"/>
    </row>
    <row r="1010">
      <c r="A1010" s="218">
        <f t="shared" si="1"/>
        <v>1009</v>
      </c>
      <c r="B1010" s="218" t="s">
        <v>71</v>
      </c>
      <c r="C1010" s="218" t="s">
        <v>5209</v>
      </c>
      <c r="D1010" s="218" t="b">
        <v>1</v>
      </c>
      <c r="E1010" s="219" t="b">
        <v>0</v>
      </c>
      <c r="F1010" s="219" t="b">
        <v>0</v>
      </c>
      <c r="G1010" s="219"/>
    </row>
    <row r="1011">
      <c r="A1011" s="218">
        <f t="shared" si="1"/>
        <v>1010</v>
      </c>
      <c r="B1011" s="218" t="s">
        <v>71</v>
      </c>
      <c r="C1011" s="218" t="s">
        <v>5095</v>
      </c>
      <c r="D1011" s="218" t="b">
        <v>1</v>
      </c>
      <c r="E1011" s="219" t="b">
        <v>0</v>
      </c>
      <c r="F1011" s="219" t="b">
        <v>0</v>
      </c>
      <c r="G1011" s="219"/>
    </row>
    <row r="1012">
      <c r="A1012" s="218">
        <f t="shared" si="1"/>
        <v>1011</v>
      </c>
      <c r="B1012" s="218" t="s">
        <v>71</v>
      </c>
      <c r="C1012" s="218" t="s">
        <v>5070</v>
      </c>
      <c r="D1012" s="218" t="b">
        <v>1</v>
      </c>
      <c r="E1012" s="219" t="b">
        <v>0</v>
      </c>
      <c r="F1012" s="219" t="b">
        <v>0</v>
      </c>
      <c r="G1012" s="219"/>
    </row>
    <row r="1013">
      <c r="A1013" s="218">
        <f t="shared" si="1"/>
        <v>1012</v>
      </c>
      <c r="B1013" s="218" t="s">
        <v>71</v>
      </c>
      <c r="C1013" s="218" t="s">
        <v>5065</v>
      </c>
      <c r="D1013" s="218" t="b">
        <v>1</v>
      </c>
      <c r="E1013" s="219" t="b">
        <v>0</v>
      </c>
      <c r="F1013" s="219" t="b">
        <v>0</v>
      </c>
      <c r="G1013" s="219"/>
    </row>
    <row r="1014">
      <c r="A1014" s="218">
        <f t="shared" si="1"/>
        <v>1013</v>
      </c>
      <c r="B1014" s="218" t="s">
        <v>71</v>
      </c>
      <c r="C1014" s="218" t="s">
        <v>2671</v>
      </c>
      <c r="D1014" s="218" t="b">
        <v>1</v>
      </c>
      <c r="E1014" s="219" t="b">
        <v>0</v>
      </c>
      <c r="F1014" s="219" t="b">
        <v>0</v>
      </c>
      <c r="G1014" s="219"/>
    </row>
    <row r="1015">
      <c r="A1015" s="218">
        <f t="shared" si="1"/>
        <v>1014</v>
      </c>
      <c r="B1015" s="218" t="s">
        <v>71</v>
      </c>
      <c r="C1015" s="218" t="s">
        <v>1746</v>
      </c>
      <c r="D1015" s="218" t="b">
        <v>1</v>
      </c>
      <c r="E1015" s="219" t="b">
        <v>0</v>
      </c>
      <c r="F1015" s="219" t="b">
        <v>0</v>
      </c>
      <c r="G1015" s="219"/>
    </row>
    <row r="1016">
      <c r="A1016" s="218">
        <f t="shared" si="1"/>
        <v>1015</v>
      </c>
      <c r="B1016" s="218" t="s">
        <v>71</v>
      </c>
      <c r="C1016" s="218" t="s">
        <v>1783</v>
      </c>
      <c r="D1016" s="218" t="b">
        <v>1</v>
      </c>
      <c r="E1016" s="219" t="b">
        <v>0</v>
      </c>
      <c r="F1016" s="219" t="b">
        <v>0</v>
      </c>
      <c r="G1016" s="219"/>
    </row>
    <row r="1017">
      <c r="A1017" s="218">
        <f t="shared" si="1"/>
        <v>1016</v>
      </c>
      <c r="B1017" s="218" t="s">
        <v>71</v>
      </c>
      <c r="C1017" s="218" t="s">
        <v>1728</v>
      </c>
      <c r="D1017" s="218" t="b">
        <v>1</v>
      </c>
      <c r="E1017" s="219" t="b">
        <v>0</v>
      </c>
      <c r="F1017" s="219" t="b">
        <v>0</v>
      </c>
      <c r="G1017" s="219"/>
    </row>
    <row r="1018">
      <c r="A1018" s="218">
        <f t="shared" si="1"/>
        <v>1017</v>
      </c>
      <c r="B1018" s="218" t="s">
        <v>71</v>
      </c>
      <c r="C1018" s="218" t="s">
        <v>1218</v>
      </c>
      <c r="D1018" s="218" t="b">
        <v>1</v>
      </c>
      <c r="E1018" s="219" t="b">
        <v>0</v>
      </c>
      <c r="F1018" s="219" t="b">
        <v>0</v>
      </c>
      <c r="G1018" s="219"/>
    </row>
    <row r="1019">
      <c r="A1019" s="218">
        <f t="shared" si="1"/>
        <v>1018</v>
      </c>
      <c r="B1019" s="218" t="s">
        <v>71</v>
      </c>
      <c r="C1019" s="218" t="s">
        <v>1233</v>
      </c>
      <c r="D1019" s="218" t="b">
        <v>1</v>
      </c>
      <c r="E1019" s="219" t="b">
        <v>0</v>
      </c>
      <c r="F1019" s="219" t="b">
        <v>0</v>
      </c>
      <c r="G1019" s="219"/>
    </row>
    <row r="1020">
      <c r="A1020" s="218">
        <f t="shared" si="1"/>
        <v>1019</v>
      </c>
      <c r="B1020" s="218" t="s">
        <v>71</v>
      </c>
      <c r="C1020" s="218" t="s">
        <v>1247</v>
      </c>
      <c r="D1020" s="218" t="b">
        <v>1</v>
      </c>
      <c r="E1020" s="219" t="b">
        <v>0</v>
      </c>
      <c r="F1020" s="219" t="b">
        <v>0</v>
      </c>
      <c r="G1020" s="219"/>
    </row>
    <row r="1021">
      <c r="A1021" s="218">
        <f t="shared" si="1"/>
        <v>1020</v>
      </c>
      <c r="B1021" s="218" t="s">
        <v>71</v>
      </c>
      <c r="C1021" s="218" t="s">
        <v>5025</v>
      </c>
      <c r="D1021" s="218" t="b">
        <v>1</v>
      </c>
      <c r="E1021" s="219" t="b">
        <v>0</v>
      </c>
      <c r="F1021" s="219" t="b">
        <v>0</v>
      </c>
      <c r="G1021" s="219"/>
    </row>
    <row r="1022">
      <c r="A1022" s="218">
        <f t="shared" si="1"/>
        <v>1021</v>
      </c>
      <c r="B1022" s="218" t="s">
        <v>71</v>
      </c>
      <c r="C1022" s="218" t="s">
        <v>5194</v>
      </c>
      <c r="D1022" s="218" t="b">
        <v>1</v>
      </c>
      <c r="E1022" s="219" t="b">
        <v>0</v>
      </c>
      <c r="F1022" s="219" t="b">
        <v>0</v>
      </c>
      <c r="G1022" s="219"/>
    </row>
    <row r="1023">
      <c r="A1023" s="218">
        <f t="shared" si="1"/>
        <v>1022</v>
      </c>
      <c r="B1023" s="218" t="s">
        <v>71</v>
      </c>
      <c r="C1023" s="218" t="s">
        <v>5050</v>
      </c>
      <c r="D1023" s="218" t="b">
        <v>1</v>
      </c>
      <c r="E1023" s="219" t="b">
        <v>0</v>
      </c>
      <c r="F1023" s="219" t="b">
        <v>0</v>
      </c>
      <c r="G1023" s="219"/>
    </row>
    <row r="1024">
      <c r="A1024" s="218">
        <f t="shared" si="1"/>
        <v>1023</v>
      </c>
      <c r="B1024" s="218" t="s">
        <v>71</v>
      </c>
      <c r="C1024" s="218" t="s">
        <v>5054</v>
      </c>
      <c r="D1024" s="218" t="b">
        <v>1</v>
      </c>
      <c r="E1024" s="219" t="b">
        <v>0</v>
      </c>
      <c r="F1024" s="219" t="b">
        <v>0</v>
      </c>
      <c r="G1024" s="219"/>
    </row>
    <row r="1025">
      <c r="A1025" s="218">
        <f t="shared" si="1"/>
        <v>1024</v>
      </c>
      <c r="B1025" s="218" t="s">
        <v>71</v>
      </c>
      <c r="C1025" s="218" t="s">
        <v>5132</v>
      </c>
      <c r="D1025" s="218" t="b">
        <v>1</v>
      </c>
      <c r="E1025" s="219" t="b">
        <v>0</v>
      </c>
      <c r="F1025" s="219" t="b">
        <v>0</v>
      </c>
      <c r="G1025" s="219"/>
    </row>
    <row r="1026">
      <c r="A1026" s="218">
        <f t="shared" si="1"/>
        <v>1025</v>
      </c>
      <c r="B1026" s="218" t="s">
        <v>71</v>
      </c>
      <c r="C1026" s="218" t="s">
        <v>5136</v>
      </c>
      <c r="D1026" s="218" t="b">
        <v>1</v>
      </c>
      <c r="E1026" s="219" t="b">
        <v>0</v>
      </c>
      <c r="F1026" s="219" t="b">
        <v>0</v>
      </c>
      <c r="G1026" s="219"/>
    </row>
    <row r="1027">
      <c r="A1027" s="218">
        <f t="shared" si="1"/>
        <v>1026</v>
      </c>
      <c r="B1027" s="218" t="s">
        <v>71</v>
      </c>
      <c r="C1027" s="218" t="s">
        <v>5142</v>
      </c>
      <c r="D1027" s="218" t="b">
        <v>1</v>
      </c>
      <c r="E1027" s="219" t="b">
        <v>0</v>
      </c>
      <c r="F1027" s="219" t="b">
        <v>0</v>
      </c>
      <c r="G1027" s="219"/>
    </row>
    <row r="1028">
      <c r="A1028" s="218">
        <f t="shared" si="1"/>
        <v>1027</v>
      </c>
      <c r="B1028" s="218" t="s">
        <v>71</v>
      </c>
      <c r="C1028" s="218" t="s">
        <v>5171</v>
      </c>
      <c r="D1028" s="218" t="b">
        <v>1</v>
      </c>
      <c r="E1028" s="219" t="b">
        <v>0</v>
      </c>
      <c r="F1028" s="219" t="b">
        <v>0</v>
      </c>
      <c r="G1028" s="219"/>
    </row>
    <row r="1029">
      <c r="A1029" s="218">
        <f t="shared" si="1"/>
        <v>1028</v>
      </c>
      <c r="B1029" s="218" t="s">
        <v>71</v>
      </c>
      <c r="C1029" s="218" t="s">
        <v>4358</v>
      </c>
      <c r="D1029" s="218" t="b">
        <v>1</v>
      </c>
      <c r="E1029" s="219" t="b">
        <v>0</v>
      </c>
      <c r="F1029" s="219" t="b">
        <v>0</v>
      </c>
      <c r="G1029" s="219"/>
    </row>
    <row r="1030">
      <c r="A1030" s="218">
        <f t="shared" si="1"/>
        <v>1029</v>
      </c>
      <c r="B1030" s="218" t="s">
        <v>71</v>
      </c>
      <c r="C1030" s="218" t="s">
        <v>4352</v>
      </c>
      <c r="D1030" s="218" t="b">
        <v>1</v>
      </c>
      <c r="E1030" s="219" t="b">
        <v>0</v>
      </c>
      <c r="F1030" s="219" t="b">
        <v>0</v>
      </c>
      <c r="G1030" s="219"/>
    </row>
    <row r="1031">
      <c r="A1031" s="218">
        <f t="shared" si="1"/>
        <v>1030</v>
      </c>
      <c r="B1031" s="218" t="s">
        <v>71</v>
      </c>
      <c r="C1031" s="218" t="s">
        <v>4788</v>
      </c>
      <c r="D1031" s="218" t="b">
        <v>1</v>
      </c>
      <c r="E1031" s="219" t="b">
        <v>0</v>
      </c>
      <c r="F1031" s="219" t="b">
        <v>0</v>
      </c>
      <c r="G1031" s="219"/>
    </row>
    <row r="1032">
      <c r="A1032" s="218">
        <f t="shared" si="1"/>
        <v>1031</v>
      </c>
      <c r="B1032" s="218" t="s">
        <v>71</v>
      </c>
      <c r="C1032" s="218" t="s">
        <v>4701</v>
      </c>
      <c r="D1032" s="218" t="b">
        <v>1</v>
      </c>
      <c r="E1032" s="219" t="b">
        <v>0</v>
      </c>
      <c r="F1032" s="219" t="b">
        <v>0</v>
      </c>
      <c r="G1032" s="219"/>
    </row>
    <row r="1033">
      <c r="A1033" s="218">
        <f t="shared" si="1"/>
        <v>1032</v>
      </c>
      <c r="B1033" s="218" t="s">
        <v>71</v>
      </c>
      <c r="C1033" s="218" t="s">
        <v>4846</v>
      </c>
      <c r="D1033" s="218" t="b">
        <v>1</v>
      </c>
      <c r="E1033" s="219" t="b">
        <v>0</v>
      </c>
      <c r="F1033" s="219" t="b">
        <v>0</v>
      </c>
      <c r="G1033" s="219"/>
    </row>
    <row r="1034">
      <c r="A1034" s="218">
        <f t="shared" si="1"/>
        <v>1033</v>
      </c>
      <c r="B1034" s="218" t="s">
        <v>71</v>
      </c>
      <c r="C1034" s="218" t="s">
        <v>4695</v>
      </c>
      <c r="D1034" s="218" t="b">
        <v>1</v>
      </c>
      <c r="E1034" s="219" t="b">
        <v>0</v>
      </c>
      <c r="F1034" s="219" t="b">
        <v>0</v>
      </c>
      <c r="G1034" s="219"/>
    </row>
    <row r="1035">
      <c r="A1035" s="218">
        <f t="shared" si="1"/>
        <v>1034</v>
      </c>
      <c r="B1035" s="218" t="s">
        <v>71</v>
      </c>
      <c r="C1035" s="218" t="s">
        <v>4753</v>
      </c>
      <c r="D1035" s="218" t="b">
        <v>1</v>
      </c>
      <c r="E1035" s="219" t="b">
        <v>0</v>
      </c>
      <c r="F1035" s="219" t="b">
        <v>0</v>
      </c>
      <c r="G1035" s="219"/>
    </row>
    <row r="1036">
      <c r="A1036" s="218">
        <f t="shared" si="1"/>
        <v>1035</v>
      </c>
      <c r="B1036" s="218" t="s">
        <v>71</v>
      </c>
      <c r="C1036" s="218" t="s">
        <v>4484</v>
      </c>
      <c r="D1036" s="218" t="b">
        <v>1</v>
      </c>
      <c r="E1036" s="219" t="b">
        <v>0</v>
      </c>
      <c r="F1036" s="219" t="b">
        <v>0</v>
      </c>
      <c r="G1036" s="219"/>
    </row>
    <row r="1037">
      <c r="A1037" s="218">
        <f t="shared" si="1"/>
        <v>1036</v>
      </c>
      <c r="B1037" s="218" t="s">
        <v>71</v>
      </c>
      <c r="C1037" s="218" t="s">
        <v>4681</v>
      </c>
      <c r="D1037" s="218" t="b">
        <v>1</v>
      </c>
      <c r="E1037" s="219" t="b">
        <v>0</v>
      </c>
      <c r="F1037" s="219" t="b">
        <v>0</v>
      </c>
      <c r="G1037" s="219"/>
    </row>
    <row r="1038">
      <c r="A1038" s="218">
        <f t="shared" si="1"/>
        <v>1037</v>
      </c>
      <c r="B1038" s="218" t="s">
        <v>71</v>
      </c>
      <c r="C1038" s="218" t="s">
        <v>4644</v>
      </c>
      <c r="D1038" s="218" t="b">
        <v>1</v>
      </c>
      <c r="E1038" s="219" t="b">
        <v>0</v>
      </c>
      <c r="F1038" s="219" t="b">
        <v>0</v>
      </c>
      <c r="G1038" s="219"/>
    </row>
    <row r="1039">
      <c r="A1039" s="218">
        <f t="shared" si="1"/>
        <v>1038</v>
      </c>
      <c r="B1039" s="218" t="s">
        <v>71</v>
      </c>
      <c r="C1039" s="218" t="s">
        <v>4644</v>
      </c>
      <c r="D1039" s="218" t="b">
        <v>1</v>
      </c>
      <c r="E1039" s="219" t="b">
        <v>0</v>
      </c>
      <c r="F1039" s="219" t="b">
        <v>0</v>
      </c>
      <c r="G1039" s="219"/>
    </row>
    <row r="1040">
      <c r="A1040" s="218">
        <f t="shared" si="1"/>
        <v>1039</v>
      </c>
      <c r="B1040" s="218" t="s">
        <v>71</v>
      </c>
      <c r="C1040" s="218" t="s">
        <v>4782</v>
      </c>
      <c r="D1040" s="218" t="b">
        <v>1</v>
      </c>
      <c r="E1040" s="219" t="b">
        <v>0</v>
      </c>
      <c r="F1040" s="219" t="b">
        <v>0</v>
      </c>
      <c r="G1040" s="219"/>
    </row>
    <row r="1041">
      <c r="A1041" s="218">
        <f t="shared" si="1"/>
        <v>1040</v>
      </c>
      <c r="B1041" s="218" t="s">
        <v>71</v>
      </c>
      <c r="C1041" s="218" t="s">
        <v>4640</v>
      </c>
      <c r="D1041" s="218" t="b">
        <v>1</v>
      </c>
      <c r="E1041" s="219" t="b">
        <v>0</v>
      </c>
      <c r="F1041" s="219" t="b">
        <v>0</v>
      </c>
      <c r="G1041" s="219"/>
    </row>
    <row r="1042">
      <c r="A1042" s="218">
        <f t="shared" si="1"/>
        <v>1041</v>
      </c>
      <c r="B1042" s="218" t="s">
        <v>71</v>
      </c>
      <c r="C1042" s="218" t="s">
        <v>4793</v>
      </c>
      <c r="D1042" s="218" t="b">
        <v>1</v>
      </c>
      <c r="E1042" s="219" t="b">
        <v>0</v>
      </c>
      <c r="F1042" s="219" t="b">
        <v>0</v>
      </c>
      <c r="G1042" s="219"/>
    </row>
    <row r="1043">
      <c r="A1043" s="218">
        <f t="shared" si="1"/>
        <v>1042</v>
      </c>
      <c r="B1043" s="218" t="s">
        <v>71</v>
      </c>
      <c r="C1043" s="218" t="s">
        <v>4654</v>
      </c>
      <c r="D1043" s="218" t="b">
        <v>1</v>
      </c>
      <c r="E1043" s="219" t="b">
        <v>0</v>
      </c>
      <c r="F1043" s="219" t="b">
        <v>0</v>
      </c>
      <c r="G1043" s="219"/>
    </row>
    <row r="1044">
      <c r="A1044" s="218">
        <f t="shared" si="1"/>
        <v>1043</v>
      </c>
      <c r="B1044" s="218" t="s">
        <v>71</v>
      </c>
      <c r="C1044" s="218" t="s">
        <v>4658</v>
      </c>
      <c r="D1044" s="218" t="b">
        <v>1</v>
      </c>
      <c r="E1044" s="219" t="b">
        <v>0</v>
      </c>
      <c r="F1044" s="219" t="b">
        <v>0</v>
      </c>
      <c r="G1044" s="219"/>
    </row>
    <row r="1045">
      <c r="A1045" s="218">
        <f t="shared" si="1"/>
        <v>1044</v>
      </c>
      <c r="B1045" s="218" t="s">
        <v>71</v>
      </c>
      <c r="C1045" s="218" t="s">
        <v>4648</v>
      </c>
      <c r="D1045" s="218" t="b">
        <v>1</v>
      </c>
      <c r="E1045" s="219" t="b">
        <v>0</v>
      </c>
      <c r="F1045" s="219" t="b">
        <v>0</v>
      </c>
      <c r="G1045" s="219"/>
    </row>
    <row r="1046">
      <c r="A1046" s="218">
        <f t="shared" si="1"/>
        <v>1045</v>
      </c>
      <c r="B1046" s="218" t="s">
        <v>71</v>
      </c>
      <c r="C1046" s="218" t="s">
        <v>4663</v>
      </c>
      <c r="D1046" s="218" t="b">
        <v>1</v>
      </c>
      <c r="E1046" s="219" t="b">
        <v>0</v>
      </c>
      <c r="F1046" s="219" t="b">
        <v>0</v>
      </c>
      <c r="G1046" s="219"/>
    </row>
    <row r="1047">
      <c r="A1047" s="218">
        <f t="shared" si="1"/>
        <v>1046</v>
      </c>
      <c r="B1047" s="218" t="s">
        <v>71</v>
      </c>
      <c r="C1047" s="218" t="s">
        <v>4667</v>
      </c>
      <c r="D1047" s="218" t="b">
        <v>1</v>
      </c>
      <c r="E1047" s="219" t="b">
        <v>0</v>
      </c>
      <c r="F1047" s="219" t="b">
        <v>0</v>
      </c>
      <c r="G1047" s="219"/>
    </row>
    <row r="1048">
      <c r="A1048" s="218">
        <f t="shared" si="1"/>
        <v>1047</v>
      </c>
      <c r="B1048" s="218" t="s">
        <v>71</v>
      </c>
      <c r="C1048" s="218" t="s">
        <v>4676</v>
      </c>
      <c r="D1048" s="218" t="b">
        <v>1</v>
      </c>
      <c r="E1048" s="219" t="b">
        <v>0</v>
      </c>
      <c r="F1048" s="219" t="b">
        <v>0</v>
      </c>
      <c r="G1048" s="219"/>
    </row>
    <row r="1049">
      <c r="A1049" s="218">
        <f t="shared" si="1"/>
        <v>1048</v>
      </c>
      <c r="B1049" s="218" t="s">
        <v>71</v>
      </c>
      <c r="C1049" s="218" t="s">
        <v>4672</v>
      </c>
      <c r="D1049" s="218" t="b">
        <v>1</v>
      </c>
      <c r="E1049" s="219" t="b">
        <v>0</v>
      </c>
      <c r="F1049" s="219" t="b">
        <v>0</v>
      </c>
      <c r="G1049" s="219"/>
    </row>
    <row r="1050">
      <c r="A1050" s="218">
        <f t="shared" si="1"/>
        <v>1049</v>
      </c>
      <c r="B1050" s="218" t="s">
        <v>71</v>
      </c>
      <c r="C1050" s="218" t="s">
        <v>4814</v>
      </c>
      <c r="D1050" s="218" t="b">
        <v>1</v>
      </c>
      <c r="E1050" s="219" t="b">
        <v>0</v>
      </c>
      <c r="F1050" s="219" t="b">
        <v>0</v>
      </c>
      <c r="G1050" s="219"/>
    </row>
    <row r="1051">
      <c r="A1051" s="218">
        <f t="shared" si="1"/>
        <v>1050</v>
      </c>
      <c r="B1051" s="218" t="s">
        <v>71</v>
      </c>
      <c r="C1051" s="218" t="s">
        <v>4820</v>
      </c>
      <c r="D1051" s="218" t="b">
        <v>1</v>
      </c>
      <c r="E1051" s="219" t="b">
        <v>0</v>
      </c>
      <c r="F1051" s="219" t="b">
        <v>0</v>
      </c>
      <c r="G1051" s="219"/>
    </row>
    <row r="1052">
      <c r="A1052" s="218">
        <f t="shared" si="1"/>
        <v>1051</v>
      </c>
      <c r="B1052" s="218" t="s">
        <v>71</v>
      </c>
      <c r="C1052" s="218" t="s">
        <v>4237</v>
      </c>
      <c r="D1052" s="218" t="b">
        <v>1</v>
      </c>
      <c r="E1052" s="219" t="b">
        <v>0</v>
      </c>
      <c r="F1052" s="219" t="b">
        <v>0</v>
      </c>
      <c r="G1052" s="219"/>
    </row>
    <row r="1053">
      <c r="A1053" s="218">
        <f t="shared" si="1"/>
        <v>1052</v>
      </c>
      <c r="B1053" s="218" t="s">
        <v>71</v>
      </c>
      <c r="C1053" s="218" t="s">
        <v>4810</v>
      </c>
      <c r="D1053" s="218" t="b">
        <v>1</v>
      </c>
      <c r="E1053" s="219" t="b">
        <v>0</v>
      </c>
      <c r="F1053" s="219" t="b">
        <v>0</v>
      </c>
      <c r="G1053" s="219"/>
    </row>
    <row r="1054">
      <c r="A1054" s="218">
        <f t="shared" si="1"/>
        <v>1053</v>
      </c>
      <c r="B1054" s="218" t="s">
        <v>71</v>
      </c>
      <c r="C1054" s="218" t="s">
        <v>4799</v>
      </c>
      <c r="D1054" s="218" t="b">
        <v>1</v>
      </c>
      <c r="E1054" s="219" t="b">
        <v>0</v>
      </c>
      <c r="F1054" s="219" t="b">
        <v>0</v>
      </c>
      <c r="G1054" s="219"/>
    </row>
    <row r="1055">
      <c r="A1055" s="218">
        <f t="shared" si="1"/>
        <v>1054</v>
      </c>
      <c r="B1055" s="218" t="s">
        <v>71</v>
      </c>
      <c r="C1055" s="218" t="s">
        <v>4182</v>
      </c>
      <c r="D1055" s="218" t="b">
        <v>1</v>
      </c>
      <c r="E1055" s="219" t="b">
        <v>0</v>
      </c>
      <c r="F1055" s="219" t="b">
        <v>0</v>
      </c>
      <c r="G1055" s="219"/>
    </row>
    <row r="1056">
      <c r="A1056" s="218">
        <f t="shared" si="1"/>
        <v>1055</v>
      </c>
      <c r="B1056" s="218" t="s">
        <v>71</v>
      </c>
      <c r="C1056" s="218" t="s">
        <v>4776</v>
      </c>
      <c r="D1056" s="218" t="b">
        <v>1</v>
      </c>
      <c r="E1056" s="219" t="b">
        <v>0</v>
      </c>
      <c r="F1056" s="219" t="b">
        <v>0</v>
      </c>
      <c r="G1056" s="219"/>
    </row>
    <row r="1057">
      <c r="A1057" s="218">
        <f t="shared" si="1"/>
        <v>1056</v>
      </c>
      <c r="B1057" s="218" t="s">
        <v>71</v>
      </c>
      <c r="C1057" s="218" t="s">
        <v>4830</v>
      </c>
      <c r="D1057" s="218" t="b">
        <v>1</v>
      </c>
      <c r="E1057" s="219" t="b">
        <v>0</v>
      </c>
      <c r="F1057" s="219" t="b">
        <v>0</v>
      </c>
      <c r="G1057" s="219"/>
    </row>
    <row r="1058">
      <c r="A1058" s="218">
        <f t="shared" si="1"/>
        <v>1057</v>
      </c>
      <c r="B1058" s="218" t="s">
        <v>71</v>
      </c>
      <c r="C1058" s="218" t="s">
        <v>4756</v>
      </c>
      <c r="D1058" s="218" t="b">
        <v>1</v>
      </c>
      <c r="E1058" s="219" t="b">
        <v>0</v>
      </c>
      <c r="F1058" s="219" t="b">
        <v>0</v>
      </c>
      <c r="G1058" s="219"/>
    </row>
    <row r="1059">
      <c r="A1059" s="218">
        <f t="shared" si="1"/>
        <v>1058</v>
      </c>
      <c r="B1059" s="218" t="s">
        <v>71</v>
      </c>
      <c r="C1059" s="218" t="s">
        <v>4836</v>
      </c>
      <c r="D1059" s="218" t="b">
        <v>1</v>
      </c>
      <c r="E1059" s="219" t="b">
        <v>0</v>
      </c>
      <c r="F1059" s="219" t="b">
        <v>0</v>
      </c>
      <c r="G1059" s="219"/>
    </row>
    <row r="1060">
      <c r="A1060" s="218">
        <f t="shared" si="1"/>
        <v>1059</v>
      </c>
      <c r="B1060" s="218" t="s">
        <v>71</v>
      </c>
      <c r="C1060" s="218" t="s">
        <v>4736</v>
      </c>
      <c r="D1060" s="218" t="b">
        <v>1</v>
      </c>
      <c r="E1060" s="219" t="b">
        <v>0</v>
      </c>
      <c r="F1060" s="219" t="b">
        <v>0</v>
      </c>
      <c r="G1060" s="219"/>
    </row>
    <row r="1061">
      <c r="A1061" s="218">
        <f t="shared" si="1"/>
        <v>1060</v>
      </c>
      <c r="B1061" s="218" t="s">
        <v>71</v>
      </c>
      <c r="C1061" s="218" t="s">
        <v>4717</v>
      </c>
      <c r="D1061" s="218" t="b">
        <v>1</v>
      </c>
      <c r="E1061" s="219" t="b">
        <v>0</v>
      </c>
      <c r="F1061" s="219" t="b">
        <v>0</v>
      </c>
      <c r="G1061" s="219"/>
    </row>
    <row r="1062">
      <c r="A1062" s="218">
        <f t="shared" si="1"/>
        <v>1061</v>
      </c>
      <c r="B1062" s="218" t="s">
        <v>71</v>
      </c>
      <c r="C1062" s="218" t="s">
        <v>4761</v>
      </c>
      <c r="D1062" s="218" t="b">
        <v>1</v>
      </c>
      <c r="E1062" s="219" t="b">
        <v>0</v>
      </c>
      <c r="F1062" s="219" t="b">
        <v>0</v>
      </c>
      <c r="G1062" s="219"/>
    </row>
    <row r="1063">
      <c r="A1063" s="218">
        <f t="shared" si="1"/>
        <v>1062</v>
      </c>
      <c r="B1063" s="218" t="s">
        <v>71</v>
      </c>
      <c r="C1063" s="218" t="s">
        <v>4739</v>
      </c>
      <c r="D1063" s="218" t="b">
        <v>1</v>
      </c>
      <c r="E1063" s="219" t="b">
        <v>0</v>
      </c>
      <c r="F1063" s="219" t="b">
        <v>0</v>
      </c>
      <c r="G1063" s="219"/>
    </row>
    <row r="1064">
      <c r="A1064" s="218">
        <f t="shared" si="1"/>
        <v>1063</v>
      </c>
      <c r="B1064" s="218" t="s">
        <v>71</v>
      </c>
      <c r="C1064" s="218" t="s">
        <v>4720</v>
      </c>
      <c r="D1064" s="218" t="b">
        <v>1</v>
      </c>
      <c r="E1064" s="219" t="b">
        <v>0</v>
      </c>
      <c r="F1064" s="219" t="b">
        <v>0</v>
      </c>
      <c r="G1064" s="219"/>
    </row>
    <row r="1065">
      <c r="A1065" s="218">
        <f t="shared" si="1"/>
        <v>1064</v>
      </c>
      <c r="B1065" s="218" t="s">
        <v>71</v>
      </c>
      <c r="C1065" s="218" t="s">
        <v>4841</v>
      </c>
      <c r="D1065" s="218" t="b">
        <v>1</v>
      </c>
      <c r="E1065" s="219" t="b">
        <v>0</v>
      </c>
      <c r="F1065" s="219" t="b">
        <v>0</v>
      </c>
      <c r="G1065" s="219"/>
    </row>
    <row r="1066">
      <c r="A1066" s="218">
        <f t="shared" si="1"/>
        <v>1065</v>
      </c>
      <c r="B1066" s="218" t="s">
        <v>71</v>
      </c>
      <c r="C1066" s="218" t="s">
        <v>4747</v>
      </c>
      <c r="D1066" s="218" t="b">
        <v>1</v>
      </c>
      <c r="E1066" s="219" t="b">
        <v>0</v>
      </c>
      <c r="F1066" s="219" t="b">
        <v>0</v>
      </c>
      <c r="G1066" s="219"/>
    </row>
    <row r="1067">
      <c r="A1067" s="218">
        <f t="shared" si="1"/>
        <v>1066</v>
      </c>
      <c r="B1067" s="218" t="s">
        <v>71</v>
      </c>
      <c r="C1067" s="218" t="s">
        <v>5238</v>
      </c>
      <c r="D1067" s="218" t="b">
        <v>1</v>
      </c>
      <c r="E1067" s="219" t="b">
        <v>0</v>
      </c>
      <c r="F1067" s="219" t="b">
        <v>0</v>
      </c>
      <c r="G1067" s="219"/>
    </row>
    <row r="1068">
      <c r="A1068" s="218">
        <f t="shared" si="1"/>
        <v>1067</v>
      </c>
      <c r="B1068" s="218" t="s">
        <v>71</v>
      </c>
      <c r="C1068" s="218" t="s">
        <v>4744</v>
      </c>
      <c r="D1068" s="218" t="b">
        <v>1</v>
      </c>
      <c r="E1068" s="219" t="b">
        <v>0</v>
      </c>
      <c r="F1068" s="218" t="b">
        <v>0</v>
      </c>
      <c r="G1068" s="219"/>
    </row>
    <row r="1069">
      <c r="A1069" s="218">
        <f t="shared" si="1"/>
        <v>1068</v>
      </c>
      <c r="B1069" s="218" t="s">
        <v>71</v>
      </c>
      <c r="C1069" s="218" t="s">
        <v>3890</v>
      </c>
      <c r="D1069" s="218" t="b">
        <v>1</v>
      </c>
      <c r="E1069" s="219" t="b">
        <v>0</v>
      </c>
      <c r="F1069" s="219" t="b">
        <v>0</v>
      </c>
      <c r="G1069" s="219"/>
    </row>
    <row r="1070">
      <c r="A1070" s="218">
        <f t="shared" si="1"/>
        <v>1069</v>
      </c>
      <c r="B1070" s="218" t="s">
        <v>71</v>
      </c>
      <c r="C1070" s="218" t="s">
        <v>3684</v>
      </c>
      <c r="D1070" s="218" t="b">
        <v>1</v>
      </c>
      <c r="E1070" s="219" t="b">
        <v>0</v>
      </c>
      <c r="F1070" s="219" t="b">
        <v>0</v>
      </c>
      <c r="G1070" s="219"/>
    </row>
    <row r="1071">
      <c r="A1071" s="218">
        <f t="shared" si="1"/>
        <v>1070</v>
      </c>
      <c r="B1071" s="218" t="s">
        <v>71</v>
      </c>
      <c r="C1071" s="218" t="s">
        <v>4852</v>
      </c>
      <c r="D1071" s="218" t="b">
        <v>1</v>
      </c>
      <c r="E1071" s="219" t="b">
        <v>0</v>
      </c>
      <c r="F1071" s="219" t="b">
        <v>0</v>
      </c>
      <c r="G1071" s="219"/>
    </row>
    <row r="1072">
      <c r="A1072" s="218">
        <f t="shared" si="1"/>
        <v>1071</v>
      </c>
      <c r="B1072" s="218" t="s">
        <v>71</v>
      </c>
      <c r="C1072" s="218" t="s">
        <v>3679</v>
      </c>
      <c r="D1072" s="218" t="b">
        <v>1</v>
      </c>
      <c r="E1072" s="219" t="b">
        <v>0</v>
      </c>
      <c r="F1072" s="219" t="b">
        <v>0</v>
      </c>
      <c r="G1072" s="219"/>
    </row>
    <row r="1073">
      <c r="A1073" s="218">
        <f t="shared" si="1"/>
        <v>1072</v>
      </c>
      <c r="B1073" s="218" t="s">
        <v>71</v>
      </c>
      <c r="C1073" s="218" t="s">
        <v>3896</v>
      </c>
      <c r="D1073" s="218" t="b">
        <v>1</v>
      </c>
      <c r="E1073" s="219" t="b">
        <v>0</v>
      </c>
      <c r="F1073" s="219" t="b">
        <v>0</v>
      </c>
      <c r="G1073" s="219"/>
    </row>
    <row r="1074">
      <c r="A1074" s="218">
        <f t="shared" si="1"/>
        <v>1073</v>
      </c>
      <c r="B1074" s="218" t="s">
        <v>71</v>
      </c>
      <c r="C1074" s="218" t="s">
        <v>3440</v>
      </c>
      <c r="D1074" s="218" t="b">
        <v>1</v>
      </c>
      <c r="E1074" s="219" t="b">
        <v>0</v>
      </c>
      <c r="F1074" s="219" t="b">
        <v>0</v>
      </c>
      <c r="G1074" s="219"/>
    </row>
    <row r="1075">
      <c r="A1075" s="218">
        <f t="shared" si="1"/>
        <v>1074</v>
      </c>
      <c r="B1075" s="218" t="s">
        <v>71</v>
      </c>
      <c r="C1075" s="218" t="s">
        <v>3413</v>
      </c>
      <c r="D1075" s="218" t="b">
        <v>1</v>
      </c>
      <c r="E1075" s="219" t="b">
        <v>0</v>
      </c>
      <c r="F1075" s="219" t="b">
        <v>0</v>
      </c>
      <c r="G1075" s="219"/>
    </row>
    <row r="1076">
      <c r="A1076" s="218">
        <f t="shared" si="1"/>
        <v>1075</v>
      </c>
      <c r="B1076" s="218" t="s">
        <v>71</v>
      </c>
      <c r="C1076" s="218" t="s">
        <v>3899</v>
      </c>
      <c r="D1076" s="218" t="b">
        <v>1</v>
      </c>
      <c r="E1076" s="219" t="b">
        <v>0</v>
      </c>
      <c r="F1076" s="219" t="b">
        <v>0</v>
      </c>
      <c r="G1076" s="219"/>
    </row>
    <row r="1077">
      <c r="A1077" s="218">
        <f t="shared" si="1"/>
        <v>1076</v>
      </c>
      <c r="B1077" s="218" t="s">
        <v>71</v>
      </c>
      <c r="C1077" s="218" t="s">
        <v>4093</v>
      </c>
      <c r="D1077" s="218" t="b">
        <v>1</v>
      </c>
      <c r="E1077" s="219" t="b">
        <v>0</v>
      </c>
      <c r="F1077" s="219" t="b">
        <v>0</v>
      </c>
      <c r="G1077" s="219"/>
    </row>
    <row r="1078">
      <c r="A1078" s="218">
        <f t="shared" si="1"/>
        <v>1077</v>
      </c>
      <c r="B1078" s="218" t="s">
        <v>71</v>
      </c>
      <c r="C1078" s="218" t="s">
        <v>4875</v>
      </c>
      <c r="D1078" s="218" t="b">
        <v>1</v>
      </c>
      <c r="E1078" s="219" t="b">
        <v>0</v>
      </c>
      <c r="F1078" s="219" t="b">
        <v>0</v>
      </c>
      <c r="G1078" s="219"/>
    </row>
    <row r="1079">
      <c r="A1079" s="218">
        <f t="shared" si="1"/>
        <v>1078</v>
      </c>
      <c r="B1079" s="218" t="s">
        <v>71</v>
      </c>
      <c r="C1079" s="218" t="s">
        <v>4921</v>
      </c>
      <c r="D1079" s="218" t="b">
        <v>1</v>
      </c>
      <c r="E1079" s="219" t="b">
        <v>0</v>
      </c>
      <c r="F1079" s="219" t="b">
        <v>0</v>
      </c>
      <c r="G1079" s="219"/>
    </row>
    <row r="1080">
      <c r="A1080" s="218">
        <f t="shared" si="1"/>
        <v>1079</v>
      </c>
      <c r="B1080" s="218" t="s">
        <v>71</v>
      </c>
      <c r="C1080" s="218" t="s">
        <v>3885</v>
      </c>
      <c r="D1080" s="218" t="b">
        <v>1</v>
      </c>
      <c r="E1080" s="219" t="b">
        <v>0</v>
      </c>
      <c r="F1080" s="219" t="b">
        <v>0</v>
      </c>
      <c r="G1080" s="219"/>
    </row>
    <row r="1081">
      <c r="A1081" s="218">
        <f t="shared" si="1"/>
        <v>1080</v>
      </c>
      <c r="B1081" s="218" t="s">
        <v>71</v>
      </c>
      <c r="C1081" s="218" t="s">
        <v>4865</v>
      </c>
      <c r="D1081" s="218" t="b">
        <v>1</v>
      </c>
      <c r="E1081" s="219" t="b">
        <v>0</v>
      </c>
      <c r="F1081" s="219" t="b">
        <v>0</v>
      </c>
      <c r="G1081" s="219"/>
    </row>
    <row r="1082">
      <c r="A1082" s="218">
        <f t="shared" si="1"/>
        <v>1081</v>
      </c>
      <c r="B1082" s="218" t="s">
        <v>71</v>
      </c>
      <c r="C1082" s="218" t="s">
        <v>3372</v>
      </c>
      <c r="D1082" s="218" t="b">
        <v>1</v>
      </c>
      <c r="E1082" s="219" t="b">
        <v>0</v>
      </c>
      <c r="F1082" s="219" t="b">
        <v>0</v>
      </c>
      <c r="G1082" s="219"/>
    </row>
    <row r="1083">
      <c r="A1083" s="218">
        <f t="shared" si="1"/>
        <v>1082</v>
      </c>
      <c r="B1083" s="218" t="s">
        <v>71</v>
      </c>
      <c r="C1083" s="218" t="s">
        <v>3591</v>
      </c>
      <c r="D1083" s="218" t="b">
        <v>1</v>
      </c>
      <c r="E1083" s="219" t="b">
        <v>0</v>
      </c>
      <c r="F1083" s="219" t="b">
        <v>0</v>
      </c>
      <c r="G1083" s="219"/>
    </row>
    <row r="1084">
      <c r="A1084" s="218">
        <f t="shared" si="1"/>
        <v>1083</v>
      </c>
      <c r="B1084" s="218" t="s">
        <v>71</v>
      </c>
      <c r="C1084" s="218" t="s">
        <v>4133</v>
      </c>
      <c r="D1084" s="218" t="b">
        <v>1</v>
      </c>
      <c r="E1084" s="219" t="b">
        <v>0</v>
      </c>
      <c r="F1084" s="219" t="b">
        <v>0</v>
      </c>
      <c r="G1084" s="219"/>
    </row>
    <row r="1085">
      <c r="A1085" s="218">
        <f t="shared" si="1"/>
        <v>1084</v>
      </c>
      <c r="B1085" s="218" t="s">
        <v>71</v>
      </c>
      <c r="C1085" s="218" t="s">
        <v>4904</v>
      </c>
      <c r="D1085" s="218" t="b">
        <v>1</v>
      </c>
      <c r="E1085" s="219" t="b">
        <v>0</v>
      </c>
      <c r="F1085" s="219" t="b">
        <v>0</v>
      </c>
      <c r="G1085" s="219"/>
    </row>
    <row r="1086">
      <c r="A1086" s="218">
        <f t="shared" si="1"/>
        <v>1085</v>
      </c>
      <c r="B1086" s="218" t="s">
        <v>71</v>
      </c>
      <c r="C1086" s="218" t="s">
        <v>3550</v>
      </c>
      <c r="D1086" s="218" t="b">
        <v>1</v>
      </c>
      <c r="E1086" s="219" t="b">
        <v>0</v>
      </c>
      <c r="F1086" s="219" t="b">
        <v>0</v>
      </c>
      <c r="G1086" s="219"/>
    </row>
    <row r="1087">
      <c r="A1087" s="218">
        <f t="shared" si="1"/>
        <v>1086</v>
      </c>
      <c r="B1087" s="218" t="s">
        <v>71</v>
      </c>
      <c r="C1087" s="218" t="s">
        <v>3554</v>
      </c>
      <c r="D1087" s="218" t="b">
        <v>1</v>
      </c>
      <c r="E1087" s="219" t="b">
        <v>0</v>
      </c>
      <c r="F1087" s="219" t="b">
        <v>0</v>
      </c>
      <c r="G1087" s="219"/>
    </row>
    <row r="1088">
      <c r="A1088" s="218">
        <f t="shared" si="1"/>
        <v>1087</v>
      </c>
      <c r="B1088" s="218" t="s">
        <v>71</v>
      </c>
      <c r="C1088" s="218" t="s">
        <v>3586</v>
      </c>
      <c r="D1088" s="218" t="b">
        <v>1</v>
      </c>
      <c r="E1088" s="219" t="b">
        <v>0</v>
      </c>
      <c r="F1088" s="219" t="b">
        <v>0</v>
      </c>
      <c r="G1088" s="219"/>
    </row>
    <row r="1089">
      <c r="A1089" s="218">
        <f t="shared" si="1"/>
        <v>1088</v>
      </c>
      <c r="B1089" s="218" t="s">
        <v>71</v>
      </c>
      <c r="C1089" s="218" t="s">
        <v>3422</v>
      </c>
      <c r="D1089" s="218" t="b">
        <v>1</v>
      </c>
      <c r="E1089" s="219" t="b">
        <v>0</v>
      </c>
      <c r="F1089" s="219" t="b">
        <v>0</v>
      </c>
      <c r="G1089" s="219"/>
    </row>
    <row r="1090">
      <c r="A1090" s="216"/>
      <c r="B1090" s="216"/>
      <c r="C1090" s="157"/>
      <c r="D1090" s="216"/>
      <c r="E1090" s="216"/>
      <c r="F1090" s="216"/>
      <c r="G1090" s="216"/>
    </row>
    <row r="1091">
      <c r="A1091" s="216"/>
      <c r="B1091" s="216"/>
      <c r="C1091" s="157"/>
      <c r="D1091" s="216"/>
      <c r="E1091" s="216"/>
      <c r="F1091" s="216"/>
      <c r="G1091" s="216"/>
    </row>
    <row r="1092">
      <c r="A1092" s="216"/>
      <c r="B1092" s="216"/>
      <c r="C1092" s="157"/>
      <c r="D1092" s="216"/>
      <c r="E1092" s="216"/>
      <c r="F1092" s="216"/>
      <c r="G1092" s="216"/>
    </row>
    <row r="1093">
      <c r="A1093" s="216"/>
      <c r="B1093" s="216"/>
      <c r="C1093" s="157"/>
      <c r="D1093" s="216"/>
      <c r="E1093" s="216"/>
      <c r="F1093" s="216"/>
      <c r="G1093" s="216"/>
    </row>
    <row r="1094">
      <c r="A1094" s="216"/>
      <c r="B1094" s="216"/>
      <c r="C1094" s="157"/>
      <c r="D1094" s="216"/>
      <c r="E1094" s="216"/>
      <c r="F1094" s="216"/>
      <c r="G1094" s="216"/>
    </row>
    <row r="1095">
      <c r="A1095" s="216"/>
      <c r="B1095" s="216"/>
      <c r="C1095" s="157"/>
      <c r="D1095" s="216"/>
      <c r="E1095" s="216"/>
      <c r="F1095" s="216"/>
      <c r="G1095" s="216"/>
    </row>
    <row r="1096">
      <c r="A1096" s="216"/>
      <c r="B1096" s="216"/>
      <c r="C1096" s="157"/>
      <c r="D1096" s="216"/>
      <c r="E1096" s="216"/>
      <c r="F1096" s="216"/>
      <c r="G1096" s="216"/>
    </row>
    <row r="1097">
      <c r="A1097" s="216"/>
      <c r="B1097" s="216"/>
      <c r="C1097" s="157"/>
      <c r="D1097" s="216"/>
      <c r="E1097" s="216"/>
      <c r="F1097" s="216"/>
      <c r="G1097" s="216"/>
    </row>
    <row r="1098">
      <c r="A1098" s="216"/>
      <c r="B1098" s="216"/>
      <c r="C1098" s="157"/>
      <c r="D1098" s="216"/>
      <c r="E1098" s="216"/>
      <c r="F1098" s="216"/>
      <c r="G1098" s="216"/>
    </row>
    <row r="1099">
      <c r="A1099" s="216"/>
      <c r="B1099" s="216"/>
      <c r="C1099" s="157"/>
      <c r="D1099" s="216"/>
      <c r="E1099" s="216"/>
      <c r="F1099" s="216"/>
      <c r="G1099" s="216"/>
    </row>
    <row r="1100">
      <c r="A1100" s="216"/>
      <c r="B1100" s="216"/>
      <c r="C1100" s="157"/>
      <c r="D1100" s="216"/>
      <c r="E1100" s="216"/>
      <c r="F1100" s="216"/>
      <c r="G1100" s="216"/>
    </row>
    <row r="1101">
      <c r="A1101" s="216"/>
      <c r="B1101" s="216"/>
      <c r="C1101" s="157"/>
      <c r="D1101" s="216"/>
      <c r="E1101" s="216"/>
      <c r="F1101" s="216"/>
      <c r="G1101" s="216"/>
    </row>
    <row r="1102">
      <c r="A1102" s="216"/>
      <c r="B1102" s="216"/>
      <c r="C1102" s="157"/>
      <c r="D1102" s="216"/>
      <c r="E1102" s="216"/>
      <c r="F1102" s="216"/>
      <c r="G1102" s="216"/>
    </row>
    <row r="1103">
      <c r="A1103" s="216"/>
      <c r="B1103" s="216"/>
      <c r="C1103" s="157"/>
      <c r="D1103" s="216"/>
      <c r="E1103" s="216"/>
      <c r="F1103" s="216"/>
      <c r="G1103" s="216"/>
    </row>
    <row r="1104">
      <c r="A1104" s="216"/>
      <c r="B1104" s="216"/>
      <c r="C1104" s="157"/>
      <c r="D1104" s="216"/>
      <c r="E1104" s="216"/>
      <c r="F1104" s="216"/>
      <c r="G1104" s="216"/>
    </row>
    <row r="1105">
      <c r="A1105" s="216"/>
      <c r="B1105" s="216"/>
      <c r="C1105" s="157"/>
      <c r="D1105" s="216"/>
      <c r="E1105" s="216"/>
      <c r="F1105" s="216"/>
      <c r="G1105" s="216"/>
    </row>
    <row r="1106">
      <c r="A1106" s="216"/>
      <c r="B1106" s="216"/>
      <c r="C1106" s="157"/>
      <c r="D1106" s="216"/>
      <c r="E1106" s="216"/>
      <c r="F1106" s="216"/>
      <c r="G1106" s="216"/>
    </row>
    <row r="1107">
      <c r="A1107" s="216"/>
      <c r="B1107" s="216"/>
      <c r="C1107" s="157"/>
      <c r="D1107" s="216"/>
      <c r="E1107" s="216"/>
      <c r="F1107" s="216"/>
      <c r="G1107" s="216"/>
    </row>
    <row r="1108">
      <c r="A1108" s="216"/>
      <c r="B1108" s="216"/>
      <c r="C1108" s="157"/>
      <c r="D1108" s="216"/>
      <c r="E1108" s="216"/>
      <c r="F1108" s="216"/>
      <c r="G1108" s="216"/>
    </row>
    <row r="1109">
      <c r="A1109" s="216"/>
      <c r="B1109" s="216"/>
      <c r="C1109" s="157"/>
      <c r="D1109" s="216"/>
      <c r="E1109" s="216"/>
      <c r="F1109" s="216"/>
      <c r="G1109" s="216"/>
    </row>
    <row r="1110">
      <c r="A1110" s="216"/>
      <c r="B1110" s="216"/>
      <c r="C1110" s="157"/>
      <c r="D1110" s="216"/>
      <c r="E1110" s="216"/>
      <c r="F1110" s="216"/>
      <c r="G1110" s="216"/>
    </row>
    <row r="1111">
      <c r="A1111" s="216"/>
      <c r="B1111" s="216"/>
      <c r="C1111" s="157"/>
      <c r="D1111" s="216"/>
      <c r="E1111" s="216"/>
      <c r="F1111" s="216"/>
      <c r="G1111" s="216"/>
    </row>
    <row r="1112">
      <c r="A1112" s="216"/>
      <c r="B1112" s="216"/>
      <c r="C1112" s="157"/>
      <c r="D1112" s="216"/>
      <c r="E1112" s="216"/>
      <c r="F1112" s="216"/>
      <c r="G1112" s="216"/>
    </row>
    <row r="1113">
      <c r="A1113" s="216"/>
      <c r="B1113" s="216"/>
      <c r="C1113" s="157"/>
      <c r="D1113" s="216"/>
      <c r="E1113" s="216"/>
      <c r="F1113" s="216"/>
      <c r="G1113" s="216"/>
    </row>
    <row r="1114">
      <c r="A1114" s="216"/>
      <c r="B1114" s="216"/>
      <c r="C1114" s="157"/>
      <c r="D1114" s="216"/>
      <c r="E1114" s="216"/>
      <c r="F1114" s="216"/>
      <c r="G1114" s="216"/>
    </row>
    <row r="1115">
      <c r="A1115" s="216"/>
      <c r="B1115" s="216"/>
      <c r="C1115" s="157"/>
      <c r="D1115" s="216"/>
      <c r="E1115" s="216"/>
      <c r="F1115" s="216"/>
      <c r="G1115" s="216"/>
    </row>
    <row r="1116">
      <c r="A1116" s="216"/>
      <c r="B1116" s="216"/>
      <c r="C1116" s="157"/>
      <c r="D1116" s="216"/>
      <c r="E1116" s="216"/>
      <c r="F1116" s="216"/>
      <c r="G1116" s="216"/>
    </row>
    <row r="1117">
      <c r="A1117" s="216"/>
      <c r="B1117" s="216"/>
      <c r="C1117" s="157"/>
      <c r="D1117" s="216"/>
      <c r="E1117" s="216"/>
      <c r="F1117" s="216"/>
      <c r="G1117" s="216"/>
    </row>
    <row r="1118">
      <c r="A1118" s="216"/>
      <c r="B1118" s="216"/>
      <c r="C1118" s="157"/>
      <c r="D1118" s="216"/>
      <c r="E1118" s="216"/>
      <c r="F1118" s="216"/>
      <c r="G1118" s="216"/>
    </row>
    <row r="1119">
      <c r="A1119" s="216"/>
      <c r="B1119" s="216"/>
      <c r="C1119" s="157"/>
      <c r="D1119" s="216"/>
      <c r="E1119" s="216"/>
      <c r="F1119" s="216"/>
      <c r="G1119" s="216"/>
    </row>
    <row r="1120">
      <c r="A1120" s="216"/>
      <c r="B1120" s="216"/>
      <c r="C1120" s="157"/>
      <c r="D1120" s="216"/>
      <c r="E1120" s="216"/>
      <c r="F1120" s="216"/>
      <c r="G1120" s="216"/>
    </row>
    <row r="1121">
      <c r="A1121" s="216"/>
      <c r="B1121" s="216"/>
      <c r="C1121" s="157"/>
      <c r="D1121" s="216"/>
      <c r="E1121" s="216"/>
      <c r="F1121" s="216"/>
      <c r="G1121" s="216"/>
    </row>
    <row r="1122">
      <c r="A1122" s="216"/>
      <c r="B1122" s="216"/>
      <c r="C1122" s="157"/>
      <c r="D1122" s="216"/>
      <c r="E1122" s="216"/>
      <c r="F1122" s="216"/>
      <c r="G1122" s="216"/>
    </row>
    <row r="1123">
      <c r="A1123" s="216"/>
      <c r="B1123" s="216"/>
      <c r="C1123" s="157"/>
      <c r="D1123" s="216"/>
      <c r="E1123" s="216"/>
      <c r="F1123" s="216"/>
      <c r="G1123" s="216"/>
    </row>
    <row r="1124">
      <c r="A1124" s="216"/>
      <c r="B1124" s="216"/>
      <c r="C1124" s="157"/>
      <c r="D1124" s="216"/>
      <c r="E1124" s="216"/>
      <c r="F1124" s="216"/>
      <c r="G1124" s="216"/>
    </row>
    <row r="1125">
      <c r="A1125" s="216"/>
      <c r="B1125" s="216"/>
      <c r="C1125" s="157"/>
      <c r="D1125" s="216"/>
      <c r="E1125" s="216"/>
      <c r="F1125" s="216"/>
      <c r="G1125" s="216"/>
    </row>
    <row r="1126">
      <c r="A1126" s="216"/>
      <c r="B1126" s="216"/>
      <c r="C1126" s="157"/>
      <c r="D1126" s="216"/>
      <c r="E1126" s="216"/>
      <c r="F1126" s="216"/>
      <c r="G1126" s="216"/>
    </row>
    <row r="1127">
      <c r="A1127" s="216"/>
      <c r="B1127" s="216"/>
      <c r="C1127" s="157"/>
      <c r="D1127" s="216"/>
      <c r="E1127" s="216"/>
      <c r="F1127" s="216"/>
      <c r="G1127" s="216"/>
    </row>
    <row r="1128">
      <c r="A1128" s="216"/>
      <c r="B1128" s="216"/>
      <c r="C1128" s="157"/>
      <c r="D1128" s="216"/>
      <c r="E1128" s="216"/>
      <c r="F1128" s="216"/>
      <c r="G1128" s="216"/>
    </row>
    <row r="1129">
      <c r="A1129" s="216"/>
      <c r="B1129" s="216"/>
      <c r="C1129" s="157"/>
      <c r="D1129" s="216"/>
      <c r="E1129" s="216"/>
      <c r="F1129" s="216"/>
      <c r="G1129" s="216"/>
    </row>
    <row r="1130">
      <c r="A1130" s="216"/>
      <c r="B1130" s="216"/>
      <c r="C1130" s="157"/>
      <c r="D1130" s="216"/>
      <c r="E1130" s="216"/>
      <c r="F1130" s="216"/>
      <c r="G1130" s="216"/>
    </row>
    <row r="1131">
      <c r="A1131" s="216"/>
      <c r="B1131" s="216"/>
      <c r="C1131" s="157"/>
      <c r="D1131" s="216"/>
      <c r="E1131" s="216"/>
      <c r="F1131" s="216"/>
      <c r="G1131" s="216"/>
    </row>
    <row r="1132">
      <c r="A1132" s="216"/>
      <c r="B1132" s="216"/>
      <c r="C1132" s="157"/>
      <c r="D1132" s="216"/>
      <c r="E1132" s="216"/>
      <c r="F1132" s="216"/>
      <c r="G1132" s="216"/>
    </row>
    <row r="1133">
      <c r="A1133" s="216"/>
      <c r="B1133" s="216"/>
      <c r="C1133" s="157"/>
      <c r="D1133" s="216"/>
      <c r="E1133" s="216"/>
      <c r="F1133" s="216"/>
      <c r="G1133" s="216"/>
    </row>
    <row r="1134">
      <c r="A1134" s="216"/>
      <c r="B1134" s="216"/>
      <c r="C1134" s="157"/>
      <c r="D1134" s="216"/>
      <c r="E1134" s="216"/>
      <c r="F1134" s="216"/>
      <c r="G1134" s="216"/>
    </row>
    <row r="1135">
      <c r="A1135" s="216"/>
      <c r="B1135" s="216"/>
      <c r="C1135" s="157"/>
      <c r="D1135" s="216"/>
      <c r="E1135" s="216"/>
      <c r="F1135" s="216"/>
      <c r="G1135" s="216"/>
    </row>
    <row r="1136">
      <c r="A1136" s="216"/>
      <c r="B1136" s="216"/>
      <c r="C1136" s="157"/>
      <c r="D1136" s="216"/>
      <c r="E1136" s="216"/>
      <c r="F1136" s="216"/>
      <c r="G1136" s="216"/>
    </row>
    <row r="1137">
      <c r="A1137" s="216"/>
      <c r="B1137" s="216"/>
      <c r="C1137" s="157"/>
      <c r="D1137" s="216"/>
      <c r="E1137" s="216"/>
      <c r="F1137" s="216"/>
      <c r="G1137" s="216"/>
    </row>
    <row r="1138">
      <c r="A1138" s="216"/>
      <c r="B1138" s="216"/>
      <c r="C1138" s="157"/>
      <c r="D1138" s="216"/>
      <c r="E1138" s="216"/>
      <c r="F1138" s="216"/>
      <c r="G1138" s="216"/>
    </row>
    <row r="1139">
      <c r="A1139" s="216"/>
      <c r="B1139" s="216"/>
      <c r="C1139" s="157"/>
      <c r="D1139" s="216"/>
      <c r="E1139" s="216"/>
      <c r="F1139" s="216"/>
      <c r="G1139" s="216"/>
    </row>
    <row r="1140">
      <c r="A1140" s="216"/>
      <c r="B1140" s="216"/>
      <c r="C1140" s="157"/>
      <c r="D1140" s="216"/>
      <c r="E1140" s="216"/>
      <c r="F1140" s="216"/>
      <c r="G1140" s="216"/>
    </row>
    <row r="1141">
      <c r="A1141" s="216"/>
      <c r="B1141" s="216"/>
      <c r="C1141" s="157"/>
      <c r="D1141" s="216"/>
      <c r="E1141" s="216"/>
      <c r="F1141" s="216"/>
      <c r="G1141" s="216"/>
    </row>
    <row r="1142">
      <c r="A1142" s="216"/>
      <c r="B1142" s="216"/>
      <c r="C1142" s="157"/>
      <c r="D1142" s="216"/>
      <c r="E1142" s="216"/>
      <c r="F1142" s="216"/>
      <c r="G1142" s="216"/>
    </row>
    <row r="1143">
      <c r="A1143" s="216"/>
      <c r="B1143" s="216"/>
      <c r="C1143" s="157"/>
      <c r="D1143" s="216"/>
      <c r="E1143" s="216"/>
      <c r="F1143" s="216"/>
      <c r="G1143" s="216"/>
    </row>
    <row r="1144">
      <c r="A1144" s="216"/>
      <c r="B1144" s="216"/>
      <c r="C1144" s="157"/>
      <c r="D1144" s="216"/>
      <c r="E1144" s="216"/>
      <c r="F1144" s="216"/>
      <c r="G1144" s="216"/>
    </row>
    <row r="1145">
      <c r="A1145" s="216"/>
      <c r="B1145" s="216"/>
      <c r="C1145" s="157"/>
      <c r="D1145" s="216"/>
      <c r="E1145" s="216"/>
      <c r="F1145" s="216"/>
      <c r="G1145" s="216"/>
    </row>
    <row r="1146">
      <c r="A1146" s="216"/>
      <c r="B1146" s="216"/>
      <c r="C1146" s="157"/>
      <c r="D1146" s="216"/>
      <c r="E1146" s="216"/>
      <c r="F1146" s="216"/>
      <c r="G1146" s="216"/>
    </row>
    <row r="1147">
      <c r="A1147" s="216"/>
      <c r="B1147" s="216"/>
      <c r="C1147" s="157"/>
      <c r="D1147" s="216"/>
      <c r="E1147" s="216"/>
      <c r="F1147" s="216"/>
      <c r="G1147" s="216"/>
    </row>
    <row r="1148">
      <c r="A1148" s="216"/>
      <c r="B1148" s="216"/>
      <c r="C1148" s="157"/>
      <c r="D1148" s="216"/>
      <c r="E1148" s="216"/>
      <c r="F1148" s="216"/>
      <c r="G1148" s="216"/>
    </row>
    <row r="1149">
      <c r="A1149" s="216"/>
      <c r="B1149" s="216"/>
      <c r="C1149" s="157"/>
      <c r="D1149" s="216"/>
      <c r="E1149" s="216"/>
      <c r="F1149" s="216"/>
      <c r="G1149" s="216"/>
    </row>
    <row r="1150">
      <c r="A1150" s="216"/>
      <c r="B1150" s="216"/>
      <c r="C1150" s="157"/>
      <c r="D1150" s="216"/>
      <c r="E1150" s="216"/>
      <c r="F1150" s="216"/>
      <c r="G1150" s="216"/>
    </row>
    <row r="1151">
      <c r="A1151" s="216"/>
      <c r="B1151" s="216"/>
      <c r="C1151" s="157"/>
      <c r="D1151" s="216"/>
      <c r="E1151" s="216"/>
      <c r="F1151" s="216"/>
      <c r="G1151" s="216"/>
    </row>
    <row r="1152">
      <c r="A1152" s="216"/>
      <c r="B1152" s="216"/>
      <c r="C1152" s="157"/>
      <c r="D1152" s="216"/>
      <c r="E1152" s="216"/>
      <c r="F1152" s="216"/>
      <c r="G1152" s="216"/>
    </row>
    <row r="1153">
      <c r="A1153" s="216"/>
      <c r="B1153" s="216"/>
      <c r="C1153" s="157"/>
      <c r="D1153" s="216"/>
      <c r="E1153" s="216"/>
      <c r="F1153" s="216"/>
      <c r="G1153" s="216"/>
    </row>
    <row r="1154">
      <c r="A1154" s="216"/>
      <c r="B1154" s="216"/>
      <c r="C1154" s="157"/>
      <c r="D1154" s="216"/>
      <c r="E1154" s="216"/>
      <c r="F1154" s="216"/>
      <c r="G1154" s="216"/>
    </row>
    <row r="1155">
      <c r="A1155" s="216"/>
      <c r="B1155" s="216"/>
      <c r="C1155" s="157"/>
      <c r="D1155" s="216"/>
      <c r="E1155" s="216"/>
      <c r="F1155" s="216"/>
      <c r="G1155" s="216"/>
    </row>
    <row r="1156">
      <c r="A1156" s="216"/>
      <c r="B1156" s="216"/>
      <c r="C1156" s="157"/>
      <c r="D1156" s="216"/>
      <c r="E1156" s="216"/>
      <c r="F1156" s="216"/>
      <c r="G1156" s="216"/>
    </row>
    <row r="1157">
      <c r="A1157" s="216"/>
      <c r="B1157" s="216"/>
      <c r="C1157" s="157"/>
      <c r="D1157" s="216"/>
      <c r="E1157" s="216"/>
      <c r="F1157" s="216"/>
      <c r="G1157" s="216"/>
    </row>
    <row r="1158">
      <c r="A1158" s="216"/>
      <c r="B1158" s="216"/>
      <c r="C1158" s="157"/>
      <c r="D1158" s="216"/>
      <c r="E1158" s="216"/>
      <c r="F1158" s="216"/>
      <c r="G1158" s="216"/>
    </row>
    <row r="1159">
      <c r="A1159" s="216"/>
      <c r="B1159" s="216"/>
      <c r="C1159" s="157"/>
      <c r="D1159" s="216"/>
      <c r="E1159" s="216"/>
      <c r="F1159" s="216"/>
      <c r="G1159" s="216"/>
    </row>
    <row r="1160">
      <c r="A1160" s="216"/>
      <c r="B1160" s="216"/>
      <c r="C1160" s="157"/>
      <c r="D1160" s="216"/>
      <c r="E1160" s="216"/>
      <c r="F1160" s="216"/>
      <c r="G1160" s="216"/>
    </row>
    <row r="1161">
      <c r="A1161" s="216"/>
      <c r="B1161" s="216"/>
      <c r="C1161" s="157"/>
      <c r="D1161" s="216"/>
      <c r="E1161" s="216"/>
      <c r="F1161" s="216"/>
      <c r="G1161" s="216"/>
    </row>
    <row r="1162">
      <c r="A1162" s="216"/>
      <c r="B1162" s="216"/>
      <c r="C1162" s="157"/>
      <c r="D1162" s="216"/>
      <c r="E1162" s="216"/>
      <c r="F1162" s="216"/>
      <c r="G1162" s="216"/>
    </row>
    <row r="1163">
      <c r="A1163" s="216"/>
      <c r="B1163" s="216"/>
      <c r="C1163" s="157"/>
      <c r="D1163" s="216"/>
      <c r="E1163" s="216"/>
      <c r="F1163" s="216"/>
      <c r="G1163" s="216"/>
    </row>
    <row r="1164">
      <c r="A1164" s="216"/>
      <c r="B1164" s="216"/>
      <c r="C1164" s="157"/>
      <c r="D1164" s="216"/>
      <c r="E1164" s="216"/>
      <c r="F1164" s="216"/>
      <c r="G1164" s="216"/>
    </row>
    <row r="1165">
      <c r="A1165" s="216"/>
      <c r="B1165" s="216"/>
      <c r="C1165" s="157"/>
      <c r="D1165" s="216"/>
      <c r="E1165" s="216"/>
      <c r="F1165" s="216"/>
      <c r="G1165" s="216"/>
    </row>
    <row r="1166">
      <c r="A1166" s="216"/>
      <c r="B1166" s="216"/>
      <c r="C1166" s="157"/>
      <c r="D1166" s="216"/>
      <c r="E1166" s="216"/>
      <c r="F1166" s="216"/>
      <c r="G1166" s="216"/>
    </row>
    <row r="1167">
      <c r="A1167" s="216"/>
      <c r="B1167" s="216"/>
      <c r="C1167" s="157"/>
      <c r="D1167" s="216"/>
      <c r="E1167" s="216"/>
      <c r="F1167" s="216"/>
      <c r="G1167" s="216"/>
    </row>
    <row r="1168">
      <c r="A1168" s="216"/>
      <c r="B1168" s="216"/>
      <c r="C1168" s="157"/>
      <c r="D1168" s="216"/>
      <c r="E1168" s="216"/>
      <c r="F1168" s="216"/>
      <c r="G1168" s="216"/>
    </row>
    <row r="1169">
      <c r="A1169" s="216"/>
      <c r="B1169" s="216"/>
      <c r="C1169" s="157"/>
      <c r="D1169" s="216"/>
      <c r="E1169" s="216"/>
      <c r="F1169" s="216"/>
      <c r="G1169" s="216"/>
    </row>
    <row r="1170">
      <c r="A1170" s="216"/>
      <c r="B1170" s="216"/>
      <c r="C1170" s="157"/>
      <c r="D1170" s="216"/>
      <c r="E1170" s="216"/>
      <c r="F1170" s="216"/>
      <c r="G1170" s="216"/>
    </row>
    <row r="1171">
      <c r="A1171" s="216"/>
      <c r="B1171" s="216"/>
      <c r="C1171" s="157"/>
      <c r="D1171" s="216"/>
      <c r="E1171" s="216"/>
      <c r="F1171" s="216"/>
      <c r="G1171" s="216"/>
    </row>
    <row r="1172">
      <c r="A1172" s="216"/>
      <c r="B1172" s="216"/>
      <c r="C1172" s="157"/>
      <c r="D1172" s="216"/>
      <c r="E1172" s="216"/>
      <c r="F1172" s="216"/>
      <c r="G1172" s="216"/>
    </row>
    <row r="1173">
      <c r="A1173" s="216"/>
      <c r="B1173" s="216"/>
      <c r="C1173" s="157"/>
      <c r="D1173" s="216"/>
      <c r="E1173" s="216"/>
      <c r="F1173" s="216"/>
      <c r="G1173" s="216"/>
    </row>
    <row r="1174">
      <c r="A1174" s="216"/>
      <c r="B1174" s="216"/>
      <c r="C1174" s="157"/>
      <c r="D1174" s="216"/>
      <c r="E1174" s="216"/>
      <c r="F1174" s="216"/>
      <c r="G1174" s="216"/>
    </row>
    <row r="1175">
      <c r="A1175" s="216"/>
      <c r="B1175" s="216"/>
      <c r="C1175" s="157"/>
      <c r="D1175" s="216"/>
      <c r="E1175" s="216"/>
      <c r="F1175" s="216"/>
      <c r="G1175" s="216"/>
    </row>
    <row r="1176">
      <c r="A1176" s="216"/>
      <c r="B1176" s="216"/>
      <c r="C1176" s="157"/>
      <c r="D1176" s="216"/>
      <c r="E1176" s="216"/>
      <c r="F1176" s="216"/>
      <c r="G1176" s="216"/>
    </row>
    <row r="1177">
      <c r="A1177" s="216"/>
      <c r="B1177" s="216"/>
      <c r="C1177" s="157"/>
      <c r="D1177" s="216"/>
      <c r="E1177" s="216"/>
      <c r="F1177" s="216"/>
      <c r="G1177" s="216"/>
    </row>
    <row r="1178">
      <c r="A1178" s="216"/>
      <c r="B1178" s="216"/>
      <c r="C1178" s="157"/>
      <c r="D1178" s="216"/>
      <c r="E1178" s="216"/>
      <c r="F1178" s="216"/>
      <c r="G1178" s="216"/>
    </row>
    <row r="1179">
      <c r="A1179" s="216"/>
      <c r="B1179" s="216"/>
      <c r="C1179" s="157"/>
      <c r="D1179" s="216"/>
      <c r="E1179" s="216"/>
      <c r="F1179" s="216"/>
      <c r="G1179" s="216"/>
    </row>
    <row r="1180">
      <c r="A1180" s="216"/>
      <c r="B1180" s="216"/>
      <c r="C1180" s="157"/>
      <c r="D1180" s="216"/>
      <c r="E1180" s="216"/>
      <c r="F1180" s="216"/>
      <c r="G1180" s="216"/>
    </row>
    <row r="1181">
      <c r="A1181" s="216"/>
      <c r="B1181" s="216"/>
      <c r="C1181" s="157"/>
      <c r="D1181" s="216"/>
      <c r="E1181" s="216"/>
      <c r="F1181" s="216"/>
      <c r="G1181" s="216"/>
    </row>
    <row r="1182">
      <c r="A1182" s="216"/>
      <c r="B1182" s="216"/>
      <c r="C1182" s="157"/>
      <c r="D1182" s="216"/>
      <c r="E1182" s="216"/>
      <c r="F1182" s="216"/>
      <c r="G1182" s="216"/>
    </row>
    <row r="1183">
      <c r="A1183" s="216"/>
      <c r="B1183" s="216"/>
      <c r="C1183" s="157"/>
      <c r="D1183" s="216"/>
      <c r="E1183" s="216"/>
      <c r="F1183" s="216"/>
      <c r="G1183" s="216"/>
    </row>
    <row r="1184">
      <c r="A1184" s="216"/>
      <c r="B1184" s="216"/>
      <c r="C1184" s="157"/>
      <c r="D1184" s="216"/>
      <c r="E1184" s="216"/>
      <c r="F1184" s="216"/>
      <c r="G1184" s="216"/>
    </row>
    <row r="1185">
      <c r="A1185" s="216"/>
      <c r="B1185" s="216"/>
      <c r="C1185" s="157"/>
      <c r="D1185" s="216"/>
      <c r="E1185" s="216"/>
      <c r="F1185" s="216"/>
      <c r="G1185" s="216"/>
    </row>
    <row r="1186">
      <c r="A1186" s="216"/>
      <c r="B1186" s="216"/>
      <c r="C1186" s="157"/>
      <c r="D1186" s="216"/>
      <c r="E1186" s="216"/>
      <c r="F1186" s="216"/>
      <c r="G1186" s="216"/>
    </row>
    <row r="1187">
      <c r="A1187" s="216"/>
      <c r="B1187" s="216"/>
      <c r="C1187" s="157"/>
      <c r="D1187" s="216"/>
      <c r="E1187" s="216"/>
      <c r="F1187" s="216"/>
      <c r="G1187" s="216"/>
    </row>
    <row r="1188">
      <c r="A1188" s="216"/>
      <c r="B1188" s="216"/>
      <c r="C1188" s="157"/>
      <c r="D1188" s="216"/>
      <c r="E1188" s="216"/>
      <c r="F1188" s="216"/>
      <c r="G1188" s="216"/>
    </row>
    <row r="1189">
      <c r="A1189" s="216"/>
      <c r="B1189" s="216"/>
      <c r="C1189" s="157"/>
      <c r="D1189" s="216"/>
      <c r="E1189" s="216"/>
      <c r="F1189" s="216"/>
      <c r="G1189" s="216"/>
    </row>
    <row r="1190">
      <c r="A1190" s="216"/>
      <c r="B1190" s="216"/>
      <c r="C1190" s="157"/>
      <c r="D1190" s="216"/>
      <c r="E1190" s="216"/>
      <c r="F1190" s="216"/>
      <c r="G1190" s="216"/>
    </row>
    <row r="1191">
      <c r="A1191" s="216"/>
      <c r="B1191" s="216"/>
      <c r="C1191" s="157"/>
      <c r="D1191" s="216"/>
      <c r="E1191" s="216"/>
      <c r="F1191" s="216"/>
      <c r="G1191" s="216"/>
    </row>
    <row r="1192">
      <c r="A1192" s="216"/>
      <c r="B1192" s="216"/>
      <c r="C1192" s="157"/>
      <c r="D1192" s="216"/>
      <c r="E1192" s="216"/>
      <c r="F1192" s="216"/>
      <c r="G1192" s="216"/>
    </row>
    <row r="1193">
      <c r="A1193" s="216"/>
      <c r="B1193" s="216"/>
      <c r="C1193" s="157"/>
      <c r="D1193" s="216"/>
      <c r="E1193" s="216"/>
      <c r="F1193" s="216"/>
      <c r="G1193" s="216"/>
    </row>
    <row r="1194">
      <c r="A1194" s="216"/>
      <c r="B1194" s="216"/>
      <c r="C1194" s="157"/>
      <c r="D1194" s="216"/>
      <c r="E1194" s="216"/>
      <c r="F1194" s="216"/>
      <c r="G1194" s="216"/>
    </row>
    <row r="1195">
      <c r="A1195" s="216"/>
      <c r="B1195" s="216"/>
      <c r="C1195" s="157"/>
      <c r="D1195" s="216"/>
      <c r="E1195" s="216"/>
      <c r="F1195" s="216"/>
      <c r="G1195" s="216"/>
    </row>
    <row r="1196">
      <c r="A1196" s="216"/>
      <c r="B1196" s="216"/>
      <c r="C1196" s="157"/>
      <c r="D1196" s="216"/>
      <c r="E1196" s="216"/>
      <c r="F1196" s="216"/>
      <c r="G1196" s="216"/>
    </row>
    <row r="1197">
      <c r="A1197" s="216"/>
      <c r="B1197" s="216"/>
      <c r="C1197" s="157"/>
      <c r="D1197" s="216"/>
      <c r="E1197" s="216"/>
      <c r="F1197" s="216"/>
      <c r="G1197" s="216"/>
    </row>
    <row r="1198">
      <c r="A1198" s="216"/>
      <c r="B1198" s="216"/>
      <c r="C1198" s="157"/>
      <c r="D1198" s="216"/>
      <c r="E1198" s="216"/>
      <c r="F1198" s="216"/>
      <c r="G1198" s="216"/>
    </row>
    <row r="1199">
      <c r="A1199" s="216"/>
      <c r="B1199" s="216"/>
      <c r="C1199" s="157"/>
      <c r="D1199" s="216"/>
      <c r="E1199" s="216"/>
      <c r="F1199" s="216"/>
      <c r="G1199" s="216"/>
    </row>
    <row r="1200">
      <c r="A1200" s="216"/>
      <c r="B1200" s="216"/>
      <c r="C1200" s="157"/>
      <c r="D1200" s="216"/>
      <c r="E1200" s="216"/>
      <c r="F1200" s="216"/>
      <c r="G1200" s="216"/>
    </row>
    <row r="1201">
      <c r="A1201" s="216"/>
      <c r="B1201" s="216"/>
      <c r="C1201" s="157"/>
      <c r="D1201" s="216"/>
      <c r="E1201" s="216"/>
      <c r="F1201" s="216"/>
      <c r="G1201" s="216"/>
    </row>
    <row r="1202">
      <c r="A1202" s="216"/>
      <c r="B1202" s="216"/>
      <c r="C1202" s="157"/>
      <c r="D1202" s="216"/>
      <c r="E1202" s="216"/>
      <c r="F1202" s="216"/>
      <c r="G1202" s="216"/>
    </row>
    <row r="1203">
      <c r="A1203" s="216"/>
      <c r="B1203" s="216"/>
      <c r="C1203" s="157"/>
      <c r="D1203" s="216"/>
      <c r="E1203" s="216"/>
      <c r="F1203" s="216"/>
      <c r="G1203" s="216"/>
    </row>
    <row r="1204">
      <c r="A1204" s="216"/>
      <c r="B1204" s="216"/>
      <c r="C1204" s="157"/>
      <c r="D1204" s="216"/>
      <c r="E1204" s="216"/>
      <c r="F1204" s="216"/>
      <c r="G1204" s="216"/>
    </row>
    <row r="1205">
      <c r="A1205" s="216"/>
      <c r="B1205" s="216"/>
      <c r="C1205" s="157"/>
      <c r="D1205" s="216"/>
      <c r="E1205" s="216"/>
      <c r="F1205" s="216"/>
      <c r="G1205" s="216"/>
    </row>
    <row r="1206">
      <c r="A1206" s="216"/>
      <c r="B1206" s="216"/>
      <c r="C1206" s="157"/>
      <c r="D1206" s="216"/>
      <c r="E1206" s="216"/>
      <c r="F1206" s="216"/>
      <c r="G1206" s="216"/>
    </row>
    <row r="1207">
      <c r="A1207" s="216"/>
      <c r="B1207" s="216"/>
      <c r="C1207" s="157"/>
      <c r="D1207" s="216"/>
      <c r="E1207" s="216"/>
      <c r="F1207" s="216"/>
      <c r="G1207" s="216"/>
    </row>
    <row r="1208">
      <c r="A1208" s="216"/>
      <c r="B1208" s="216"/>
      <c r="C1208" s="157"/>
      <c r="D1208" s="216"/>
      <c r="E1208" s="216"/>
      <c r="F1208" s="216"/>
      <c r="G1208" s="216"/>
    </row>
    <row r="1209">
      <c r="A1209" s="216"/>
      <c r="B1209" s="216"/>
      <c r="C1209" s="157"/>
      <c r="D1209" s="216"/>
      <c r="E1209" s="216"/>
      <c r="F1209" s="216"/>
      <c r="G1209" s="216"/>
    </row>
    <row r="1210">
      <c r="A1210" s="216"/>
      <c r="B1210" s="216"/>
      <c r="C1210" s="157"/>
      <c r="D1210" s="216"/>
      <c r="E1210" s="216"/>
      <c r="F1210" s="216"/>
      <c r="G1210" s="216"/>
    </row>
    <row r="1211">
      <c r="A1211" s="216"/>
      <c r="B1211" s="216"/>
      <c r="C1211" s="157"/>
      <c r="D1211" s="216"/>
      <c r="E1211" s="216"/>
      <c r="F1211" s="216"/>
      <c r="G1211" s="216"/>
    </row>
    <row r="1212">
      <c r="A1212" s="216"/>
      <c r="B1212" s="216"/>
      <c r="C1212" s="157"/>
      <c r="D1212" s="216"/>
      <c r="E1212" s="216"/>
      <c r="F1212" s="216"/>
      <c r="G1212" s="216"/>
    </row>
    <row r="1213">
      <c r="A1213" s="216"/>
      <c r="B1213" s="216"/>
      <c r="C1213" s="157"/>
      <c r="D1213" s="216"/>
      <c r="E1213" s="216"/>
      <c r="F1213" s="216"/>
      <c r="G1213" s="216"/>
    </row>
    <row r="1214">
      <c r="A1214" s="216"/>
      <c r="B1214" s="216"/>
      <c r="C1214" s="157"/>
      <c r="D1214" s="216"/>
      <c r="E1214" s="216"/>
      <c r="F1214" s="216"/>
      <c r="G1214" s="216"/>
    </row>
    <row r="1215">
      <c r="A1215" s="216"/>
      <c r="B1215" s="216"/>
      <c r="C1215" s="157"/>
      <c r="D1215" s="216"/>
      <c r="E1215" s="216"/>
      <c r="F1215" s="216"/>
      <c r="G1215" s="216"/>
    </row>
    <row r="1216">
      <c r="A1216" s="216"/>
      <c r="B1216" s="216"/>
      <c r="C1216" s="157"/>
      <c r="D1216" s="216"/>
      <c r="E1216" s="216"/>
      <c r="F1216" s="216"/>
      <c r="G1216" s="216"/>
    </row>
    <row r="1217">
      <c r="A1217" s="216"/>
      <c r="B1217" s="216"/>
      <c r="C1217" s="157"/>
      <c r="D1217" s="216"/>
      <c r="E1217" s="216"/>
      <c r="F1217" s="216"/>
      <c r="G1217" s="216"/>
    </row>
    <row r="1218">
      <c r="A1218" s="216"/>
      <c r="B1218" s="216"/>
      <c r="C1218" s="157"/>
      <c r="D1218" s="216"/>
      <c r="E1218" s="216"/>
      <c r="F1218" s="216"/>
      <c r="G1218" s="216"/>
    </row>
    <row r="1219">
      <c r="A1219" s="216"/>
      <c r="B1219" s="216"/>
      <c r="C1219" s="157"/>
      <c r="D1219" s="216"/>
      <c r="E1219" s="216"/>
      <c r="F1219" s="216"/>
      <c r="G1219" s="216"/>
    </row>
    <row r="1220">
      <c r="A1220" s="216"/>
      <c r="B1220" s="216"/>
      <c r="C1220" s="157"/>
      <c r="D1220" s="216"/>
      <c r="E1220" s="216"/>
      <c r="F1220" s="216"/>
      <c r="G1220" s="216"/>
    </row>
    <row r="1221">
      <c r="A1221" s="216"/>
      <c r="B1221" s="216"/>
      <c r="C1221" s="157"/>
      <c r="D1221" s="216"/>
      <c r="E1221" s="216"/>
      <c r="F1221" s="216"/>
      <c r="G1221" s="216"/>
    </row>
    <row r="1222">
      <c r="A1222" s="216"/>
      <c r="B1222" s="216"/>
      <c r="C1222" s="157"/>
      <c r="D1222" s="216"/>
      <c r="E1222" s="216"/>
      <c r="F1222" s="216"/>
      <c r="G1222" s="216"/>
    </row>
    <row r="1223">
      <c r="A1223" s="216"/>
      <c r="B1223" s="216"/>
      <c r="C1223" s="157"/>
      <c r="D1223" s="216"/>
      <c r="E1223" s="216"/>
      <c r="F1223" s="216"/>
      <c r="G1223" s="216"/>
    </row>
    <row r="1224">
      <c r="A1224" s="216"/>
      <c r="B1224" s="216"/>
      <c r="C1224" s="157"/>
      <c r="D1224" s="216"/>
      <c r="E1224" s="216"/>
      <c r="F1224" s="216"/>
      <c r="G1224" s="216"/>
    </row>
    <row r="1225">
      <c r="A1225" s="216"/>
      <c r="B1225" s="216"/>
      <c r="C1225" s="157"/>
      <c r="D1225" s="216"/>
      <c r="E1225" s="216"/>
      <c r="F1225" s="216"/>
      <c r="G1225" s="216"/>
    </row>
    <row r="1226">
      <c r="A1226" s="216"/>
      <c r="B1226" s="216"/>
      <c r="C1226" s="157"/>
      <c r="D1226" s="216"/>
      <c r="E1226" s="216"/>
      <c r="F1226" s="216"/>
      <c r="G1226" s="216"/>
    </row>
    <row r="1227">
      <c r="A1227" s="216"/>
      <c r="B1227" s="216"/>
      <c r="C1227" s="157"/>
      <c r="D1227" s="216"/>
      <c r="E1227" s="216"/>
      <c r="F1227" s="216"/>
      <c r="G1227" s="216"/>
    </row>
    <row r="1228">
      <c r="A1228" s="216"/>
      <c r="B1228" s="216"/>
      <c r="C1228" s="157"/>
      <c r="D1228" s="216"/>
      <c r="E1228" s="216"/>
      <c r="F1228" s="216"/>
      <c r="G1228" s="216"/>
    </row>
    <row r="1229">
      <c r="A1229" s="216"/>
      <c r="B1229" s="216"/>
      <c r="C1229" s="157"/>
      <c r="D1229" s="216"/>
      <c r="E1229" s="216"/>
      <c r="F1229" s="216"/>
      <c r="G1229" s="216"/>
    </row>
    <row r="1230">
      <c r="A1230" s="216"/>
      <c r="B1230" s="216"/>
      <c r="C1230" s="157"/>
      <c r="D1230" s="216"/>
      <c r="E1230" s="216"/>
      <c r="F1230" s="216"/>
      <c r="G1230" s="216"/>
    </row>
    <row r="1231">
      <c r="A1231" s="216"/>
      <c r="B1231" s="216"/>
      <c r="C1231" s="157"/>
      <c r="D1231" s="216"/>
      <c r="E1231" s="216"/>
      <c r="F1231" s="216"/>
      <c r="G1231" s="216"/>
    </row>
    <row r="1232">
      <c r="A1232" s="216"/>
      <c r="B1232" s="216"/>
      <c r="C1232" s="157"/>
      <c r="D1232" s="216"/>
      <c r="E1232" s="216"/>
      <c r="F1232" s="216"/>
      <c r="G1232" s="216"/>
    </row>
    <row r="1233">
      <c r="A1233" s="216"/>
      <c r="B1233" s="216"/>
      <c r="C1233" s="157"/>
      <c r="D1233" s="216"/>
      <c r="E1233" s="216"/>
      <c r="F1233" s="216"/>
      <c r="G1233" s="216"/>
    </row>
    <row r="1234">
      <c r="A1234" s="216"/>
      <c r="B1234" s="216"/>
      <c r="C1234" s="157"/>
      <c r="D1234" s="216"/>
      <c r="E1234" s="216"/>
      <c r="F1234" s="216"/>
      <c r="G1234" s="216"/>
    </row>
    <row r="1235">
      <c r="A1235" s="216"/>
      <c r="B1235" s="216"/>
      <c r="C1235" s="157"/>
      <c r="D1235" s="216"/>
      <c r="E1235" s="216"/>
      <c r="F1235" s="216"/>
      <c r="G1235" s="216"/>
    </row>
    <row r="1236">
      <c r="A1236" s="216"/>
      <c r="B1236" s="216"/>
      <c r="C1236" s="157"/>
      <c r="D1236" s="216"/>
      <c r="E1236" s="216"/>
      <c r="F1236" s="216"/>
      <c r="G1236" s="216"/>
    </row>
    <row r="1237">
      <c r="A1237" s="216"/>
      <c r="B1237" s="216"/>
      <c r="C1237" s="157"/>
      <c r="D1237" s="216"/>
      <c r="E1237" s="216"/>
      <c r="F1237" s="216"/>
      <c r="G1237" s="216"/>
    </row>
    <row r="1238">
      <c r="A1238" s="216"/>
      <c r="B1238" s="216"/>
      <c r="C1238" s="157"/>
      <c r="D1238" s="216"/>
      <c r="E1238" s="216"/>
      <c r="F1238" s="216"/>
      <c r="G1238" s="216"/>
    </row>
    <row r="1239">
      <c r="A1239" s="216"/>
      <c r="B1239" s="216"/>
      <c r="C1239" s="157"/>
      <c r="D1239" s="216"/>
      <c r="E1239" s="216"/>
      <c r="F1239" s="216"/>
      <c r="G1239" s="216"/>
    </row>
    <row r="1240">
      <c r="A1240" s="216"/>
      <c r="B1240" s="216"/>
      <c r="C1240" s="157"/>
      <c r="D1240" s="216"/>
      <c r="E1240" s="216"/>
      <c r="F1240" s="216"/>
      <c r="G1240" s="216"/>
    </row>
    <row r="1241">
      <c r="A1241" s="216"/>
      <c r="B1241" s="216"/>
      <c r="C1241" s="157"/>
      <c r="D1241" s="216"/>
      <c r="E1241" s="216"/>
      <c r="F1241" s="216"/>
      <c r="G1241" s="216"/>
    </row>
    <row r="1242">
      <c r="A1242" s="216"/>
      <c r="B1242" s="216"/>
      <c r="C1242" s="157"/>
      <c r="D1242" s="216"/>
      <c r="E1242" s="216"/>
      <c r="F1242" s="216"/>
      <c r="G1242" s="216"/>
    </row>
    <row r="1243">
      <c r="A1243" s="216"/>
      <c r="B1243" s="216"/>
      <c r="C1243" s="157"/>
      <c r="D1243" s="216"/>
      <c r="E1243" s="216"/>
      <c r="F1243" s="216"/>
      <c r="G1243" s="216"/>
    </row>
    <row r="1244">
      <c r="A1244" s="216"/>
      <c r="B1244" s="216"/>
      <c r="C1244" s="157"/>
      <c r="D1244" s="216"/>
      <c r="E1244" s="216"/>
      <c r="F1244" s="216"/>
      <c r="G1244" s="216"/>
    </row>
    <row r="1245">
      <c r="A1245" s="216"/>
      <c r="B1245" s="216"/>
      <c r="C1245" s="157"/>
      <c r="D1245" s="216"/>
      <c r="E1245" s="216"/>
      <c r="F1245" s="216"/>
      <c r="G1245" s="216"/>
    </row>
    <row r="1246">
      <c r="A1246" s="216"/>
      <c r="B1246" s="216"/>
      <c r="C1246" s="157"/>
      <c r="D1246" s="216"/>
      <c r="E1246" s="216"/>
      <c r="F1246" s="216"/>
      <c r="G1246" s="216"/>
    </row>
    <row r="1247">
      <c r="A1247" s="216"/>
      <c r="B1247" s="216"/>
      <c r="C1247" s="157"/>
      <c r="D1247" s="216"/>
      <c r="E1247" s="216"/>
      <c r="F1247" s="216"/>
      <c r="G1247" s="216"/>
    </row>
    <row r="1248">
      <c r="A1248" s="216"/>
      <c r="B1248" s="216"/>
      <c r="C1248" s="157"/>
      <c r="D1248" s="216"/>
      <c r="E1248" s="216"/>
      <c r="F1248" s="216"/>
      <c r="G1248" s="216"/>
    </row>
    <row r="1249">
      <c r="A1249" s="216"/>
      <c r="B1249" s="216"/>
      <c r="C1249" s="157"/>
      <c r="D1249" s="216"/>
      <c r="E1249" s="216"/>
      <c r="F1249" s="216"/>
      <c r="G1249" s="216"/>
    </row>
    <row r="1250">
      <c r="A1250" s="216"/>
      <c r="B1250" s="216"/>
      <c r="C1250" s="157"/>
      <c r="D1250" s="216"/>
      <c r="E1250" s="216"/>
      <c r="F1250" s="216"/>
      <c r="G1250" s="216"/>
    </row>
    <row r="1251">
      <c r="A1251" s="216"/>
      <c r="B1251" s="216"/>
      <c r="C1251" s="157"/>
      <c r="D1251" s="216"/>
      <c r="E1251" s="216"/>
      <c r="F1251" s="216"/>
      <c r="G1251" s="216"/>
    </row>
    <row r="1252">
      <c r="A1252" s="216"/>
      <c r="B1252" s="216"/>
      <c r="C1252" s="157"/>
      <c r="D1252" s="216"/>
      <c r="E1252" s="216"/>
      <c r="F1252" s="216"/>
      <c r="G1252" s="216"/>
    </row>
    <row r="1253">
      <c r="A1253" s="216"/>
      <c r="B1253" s="216"/>
      <c r="C1253" s="157"/>
      <c r="D1253" s="216"/>
      <c r="E1253" s="216"/>
      <c r="F1253" s="216"/>
      <c r="G1253" s="216"/>
    </row>
    <row r="1254">
      <c r="A1254" s="216"/>
      <c r="B1254" s="216"/>
      <c r="C1254" s="157"/>
      <c r="D1254" s="216"/>
      <c r="E1254" s="216"/>
      <c r="F1254" s="216"/>
      <c r="G1254" s="216"/>
    </row>
    <row r="1255">
      <c r="A1255" s="216"/>
      <c r="B1255" s="216"/>
      <c r="C1255" s="157"/>
      <c r="D1255" s="216"/>
      <c r="E1255" s="216"/>
      <c r="F1255" s="216"/>
      <c r="G1255" s="216"/>
    </row>
    <row r="1256">
      <c r="A1256" s="216"/>
      <c r="B1256" s="216"/>
      <c r="C1256" s="157"/>
      <c r="D1256" s="216"/>
      <c r="E1256" s="216"/>
      <c r="F1256" s="216"/>
      <c r="G1256" s="216"/>
    </row>
    <row r="1257">
      <c r="A1257" s="216"/>
      <c r="B1257" s="216"/>
      <c r="C1257" s="157"/>
      <c r="D1257" s="216"/>
      <c r="E1257" s="216"/>
      <c r="F1257" s="216"/>
      <c r="G1257" s="216"/>
    </row>
    <row r="1258">
      <c r="A1258" s="216"/>
      <c r="B1258" s="216"/>
      <c r="C1258" s="157"/>
      <c r="D1258" s="216"/>
      <c r="E1258" s="216"/>
      <c r="F1258" s="216"/>
      <c r="G1258" s="216"/>
    </row>
    <row r="1259">
      <c r="A1259" s="216"/>
      <c r="B1259" s="216"/>
      <c r="C1259" s="157"/>
      <c r="D1259" s="216"/>
      <c r="E1259" s="216"/>
      <c r="F1259" s="216"/>
      <c r="G1259" s="216"/>
    </row>
    <row r="1260">
      <c r="A1260" s="216"/>
      <c r="B1260" s="216"/>
      <c r="C1260" s="157"/>
      <c r="D1260" s="216"/>
      <c r="E1260" s="216"/>
      <c r="F1260" s="216"/>
      <c r="G1260" s="216"/>
    </row>
    <row r="1261">
      <c r="A1261" s="216"/>
      <c r="B1261" s="216"/>
      <c r="C1261" s="157"/>
      <c r="D1261" s="216"/>
      <c r="E1261" s="216"/>
      <c r="F1261" s="216"/>
      <c r="G1261" s="216"/>
    </row>
    <row r="1262">
      <c r="A1262" s="216"/>
      <c r="B1262" s="216"/>
      <c r="C1262" s="157"/>
      <c r="D1262" s="216"/>
      <c r="E1262" s="216"/>
      <c r="F1262" s="216"/>
      <c r="G1262" s="216"/>
    </row>
    <row r="1263">
      <c r="A1263" s="216"/>
      <c r="B1263" s="216"/>
      <c r="C1263" s="157"/>
      <c r="D1263" s="216"/>
      <c r="E1263" s="216"/>
      <c r="F1263" s="216"/>
      <c r="G1263" s="216"/>
    </row>
    <row r="1264">
      <c r="A1264" s="216"/>
      <c r="B1264" s="216"/>
      <c r="C1264" s="157"/>
      <c r="D1264" s="216"/>
      <c r="E1264" s="216"/>
      <c r="F1264" s="216"/>
      <c r="G1264" s="216"/>
    </row>
    <row r="1265">
      <c r="A1265" s="216"/>
      <c r="B1265" s="216"/>
      <c r="C1265" s="157"/>
      <c r="D1265" s="216"/>
      <c r="E1265" s="216"/>
      <c r="F1265" s="216"/>
      <c r="G1265" s="216"/>
    </row>
    <row r="1266">
      <c r="A1266" s="216"/>
      <c r="B1266" s="216"/>
      <c r="C1266" s="157"/>
      <c r="D1266" s="216"/>
      <c r="E1266" s="216"/>
      <c r="F1266" s="216"/>
      <c r="G1266" s="216"/>
    </row>
    <row r="1267">
      <c r="A1267" s="216"/>
      <c r="B1267" s="216"/>
      <c r="C1267" s="157"/>
      <c r="D1267" s="216"/>
      <c r="E1267" s="216"/>
      <c r="F1267" s="216"/>
      <c r="G1267" s="216"/>
    </row>
    <row r="1268">
      <c r="A1268" s="216"/>
      <c r="B1268" s="216"/>
      <c r="C1268" s="157"/>
      <c r="D1268" s="216"/>
      <c r="E1268" s="216"/>
      <c r="F1268" s="216"/>
      <c r="G1268" s="216"/>
    </row>
    <row r="1269">
      <c r="A1269" s="216"/>
      <c r="B1269" s="216"/>
      <c r="C1269" s="157"/>
      <c r="D1269" s="216"/>
      <c r="E1269" s="216"/>
      <c r="F1269" s="216"/>
      <c r="G1269" s="216"/>
    </row>
    <row r="1270">
      <c r="A1270" s="216"/>
      <c r="B1270" s="216"/>
      <c r="C1270" s="157"/>
      <c r="D1270" s="216"/>
      <c r="E1270" s="216"/>
      <c r="F1270" s="216"/>
      <c r="G1270" s="216"/>
    </row>
    <row r="1271">
      <c r="A1271" s="216"/>
      <c r="B1271" s="216"/>
      <c r="C1271" s="157"/>
      <c r="D1271" s="216"/>
      <c r="E1271" s="216"/>
      <c r="F1271" s="216"/>
      <c r="G1271" s="216"/>
    </row>
    <row r="1272">
      <c r="A1272" s="216"/>
      <c r="B1272" s="216"/>
      <c r="C1272" s="157"/>
      <c r="D1272" s="216"/>
      <c r="E1272" s="216"/>
      <c r="F1272" s="216"/>
      <c r="G1272" s="216"/>
    </row>
    <row r="1273">
      <c r="A1273" s="216"/>
      <c r="B1273" s="216"/>
      <c r="C1273" s="157"/>
      <c r="D1273" s="216"/>
      <c r="E1273" s="216"/>
      <c r="F1273" s="216"/>
      <c r="G1273" s="216"/>
    </row>
    <row r="1274">
      <c r="A1274" s="216"/>
      <c r="B1274" s="216"/>
      <c r="C1274" s="157"/>
      <c r="D1274" s="216"/>
      <c r="E1274" s="216"/>
      <c r="F1274" s="216"/>
      <c r="G1274" s="216"/>
    </row>
    <row r="1275">
      <c r="A1275" s="216"/>
      <c r="B1275" s="216"/>
      <c r="C1275" s="157"/>
      <c r="D1275" s="216"/>
      <c r="E1275" s="216"/>
      <c r="F1275" s="216"/>
      <c r="G1275" s="216"/>
    </row>
    <row r="1276">
      <c r="A1276" s="216"/>
      <c r="B1276" s="216"/>
      <c r="C1276" s="157"/>
      <c r="D1276" s="216"/>
      <c r="E1276" s="216"/>
      <c r="F1276" s="216"/>
      <c r="G1276" s="216"/>
    </row>
    <row r="1277">
      <c r="A1277" s="216"/>
      <c r="B1277" s="216"/>
      <c r="C1277" s="157"/>
      <c r="D1277" s="216"/>
      <c r="E1277" s="216"/>
      <c r="F1277" s="216"/>
      <c r="G1277" s="216"/>
    </row>
    <row r="1278">
      <c r="A1278" s="216"/>
      <c r="B1278" s="216"/>
      <c r="C1278" s="157"/>
      <c r="D1278" s="216"/>
      <c r="E1278" s="216"/>
      <c r="F1278" s="216"/>
      <c r="G1278" s="216"/>
    </row>
    <row r="1279">
      <c r="A1279" s="216"/>
      <c r="B1279" s="216"/>
      <c r="C1279" s="157"/>
      <c r="D1279" s="216"/>
      <c r="E1279" s="216"/>
      <c r="F1279" s="216"/>
      <c r="G1279" s="216"/>
    </row>
    <row r="1280">
      <c r="A1280" s="216"/>
      <c r="B1280" s="216"/>
      <c r="C1280" s="157"/>
      <c r="D1280" s="216"/>
      <c r="E1280" s="216"/>
      <c r="F1280" s="216"/>
      <c r="G1280" s="216"/>
    </row>
    <row r="1281">
      <c r="A1281" s="216"/>
      <c r="B1281" s="216"/>
      <c r="C1281" s="157"/>
      <c r="D1281" s="216"/>
      <c r="E1281" s="216"/>
      <c r="F1281" s="216"/>
      <c r="G1281" s="216"/>
    </row>
    <row r="1282">
      <c r="A1282" s="216"/>
      <c r="B1282" s="216"/>
      <c r="C1282" s="157"/>
      <c r="D1282" s="216"/>
      <c r="E1282" s="216"/>
      <c r="F1282" s="216"/>
      <c r="G1282" s="216"/>
    </row>
    <row r="1283">
      <c r="A1283" s="216"/>
      <c r="B1283" s="216"/>
      <c r="C1283" s="157"/>
      <c r="D1283" s="216"/>
      <c r="E1283" s="216"/>
      <c r="F1283" s="216"/>
      <c r="G1283" s="216"/>
    </row>
    <row r="1284">
      <c r="A1284" s="216"/>
      <c r="B1284" s="216"/>
      <c r="C1284" s="157"/>
      <c r="D1284" s="216"/>
      <c r="E1284" s="216"/>
      <c r="F1284" s="216"/>
      <c r="G1284" s="216"/>
    </row>
    <row r="1285">
      <c r="A1285" s="216"/>
      <c r="B1285" s="216"/>
      <c r="C1285" s="157"/>
      <c r="D1285" s="216"/>
      <c r="E1285" s="216"/>
      <c r="F1285" s="216"/>
      <c r="G1285" s="216"/>
    </row>
    <row r="1286">
      <c r="A1286" s="216"/>
      <c r="B1286" s="216"/>
      <c r="C1286" s="157"/>
      <c r="D1286" s="216"/>
      <c r="E1286" s="216"/>
      <c r="F1286" s="216"/>
      <c r="G1286" s="216"/>
    </row>
    <row r="1287">
      <c r="A1287" s="216"/>
      <c r="B1287" s="216"/>
      <c r="C1287" s="157"/>
      <c r="D1287" s="216"/>
      <c r="E1287" s="216"/>
      <c r="F1287" s="216"/>
      <c r="G1287" s="216"/>
    </row>
    <row r="1288">
      <c r="A1288" s="216"/>
      <c r="B1288" s="216"/>
      <c r="C1288" s="157"/>
      <c r="D1288" s="216"/>
      <c r="E1288" s="216"/>
      <c r="F1288" s="216"/>
      <c r="G1288" s="216"/>
    </row>
    <row r="1289">
      <c r="A1289" s="216"/>
      <c r="B1289" s="216"/>
      <c r="C1289" s="157"/>
      <c r="D1289" s="216"/>
      <c r="E1289" s="216"/>
      <c r="F1289" s="216"/>
      <c r="G1289" s="216"/>
    </row>
    <row r="1290">
      <c r="A1290" s="216"/>
      <c r="B1290" s="216"/>
      <c r="C1290" s="157"/>
      <c r="D1290" s="216"/>
      <c r="E1290" s="216"/>
      <c r="F1290" s="216"/>
      <c r="G1290" s="216"/>
    </row>
    <row r="1291">
      <c r="A1291" s="216"/>
      <c r="B1291" s="216"/>
      <c r="C1291" s="157"/>
      <c r="D1291" s="216"/>
      <c r="E1291" s="216"/>
      <c r="F1291" s="216"/>
      <c r="G1291" s="216"/>
    </row>
    <row r="1292">
      <c r="A1292" s="216"/>
      <c r="B1292" s="216"/>
      <c r="C1292" s="157"/>
      <c r="D1292" s="216"/>
      <c r="E1292" s="216"/>
      <c r="F1292" s="216"/>
      <c r="G1292" s="216"/>
    </row>
    <row r="1293">
      <c r="A1293" s="216"/>
      <c r="B1293" s="216"/>
      <c r="C1293" s="157"/>
      <c r="D1293" s="216"/>
      <c r="E1293" s="216"/>
      <c r="F1293" s="216"/>
      <c r="G1293" s="216"/>
    </row>
    <row r="1294">
      <c r="A1294" s="216"/>
      <c r="B1294" s="216"/>
      <c r="C1294" s="157"/>
      <c r="D1294" s="216"/>
      <c r="E1294" s="216"/>
      <c r="F1294" s="216"/>
      <c r="G1294" s="216"/>
    </row>
    <row r="1295">
      <c r="A1295" s="216"/>
      <c r="B1295" s="216"/>
      <c r="C1295" s="157"/>
      <c r="D1295" s="216"/>
      <c r="E1295" s="216"/>
      <c r="F1295" s="216"/>
      <c r="G1295" s="216"/>
    </row>
    <row r="1296">
      <c r="A1296" s="216"/>
      <c r="B1296" s="216"/>
      <c r="C1296" s="157"/>
      <c r="D1296" s="216"/>
      <c r="E1296" s="216"/>
      <c r="F1296" s="216"/>
      <c r="G1296" s="216"/>
    </row>
    <row r="1297">
      <c r="A1297" s="216"/>
      <c r="B1297" s="216"/>
      <c r="C1297" s="157"/>
      <c r="D1297" s="216"/>
      <c r="E1297" s="216"/>
      <c r="F1297" s="216"/>
      <c r="G1297" s="216"/>
    </row>
    <row r="1298">
      <c r="A1298" s="216"/>
      <c r="B1298" s="216"/>
      <c r="C1298" s="157"/>
      <c r="D1298" s="216"/>
      <c r="E1298" s="216"/>
      <c r="F1298" s="216"/>
      <c r="G1298" s="216"/>
    </row>
    <row r="1299">
      <c r="A1299" s="216"/>
      <c r="B1299" s="216"/>
      <c r="C1299" s="157"/>
      <c r="D1299" s="216"/>
      <c r="E1299" s="216"/>
      <c r="F1299" s="216"/>
      <c r="G1299" s="216"/>
    </row>
    <row r="1300">
      <c r="A1300" s="216"/>
      <c r="B1300" s="216"/>
      <c r="C1300" s="157"/>
      <c r="D1300" s="216"/>
      <c r="E1300" s="216"/>
      <c r="F1300" s="216"/>
      <c r="G1300" s="216"/>
    </row>
    <row r="1301">
      <c r="A1301" s="216"/>
      <c r="B1301" s="216"/>
      <c r="C1301" s="157"/>
      <c r="D1301" s="216"/>
      <c r="E1301" s="216"/>
      <c r="F1301" s="216"/>
      <c r="G1301" s="216"/>
    </row>
    <row r="1302">
      <c r="A1302" s="216"/>
      <c r="B1302" s="216"/>
      <c r="C1302" s="157"/>
      <c r="D1302" s="216"/>
      <c r="E1302" s="216"/>
      <c r="F1302" s="216"/>
      <c r="G1302" s="216"/>
    </row>
    <row r="1303">
      <c r="A1303" s="216"/>
      <c r="B1303" s="216"/>
      <c r="C1303" s="157"/>
      <c r="D1303" s="216"/>
      <c r="E1303" s="216"/>
      <c r="F1303" s="216"/>
      <c r="G1303" s="216"/>
    </row>
    <row r="1304">
      <c r="A1304" s="216"/>
      <c r="B1304" s="216"/>
      <c r="C1304" s="157"/>
      <c r="D1304" s="216"/>
      <c r="E1304" s="216"/>
      <c r="F1304" s="216"/>
      <c r="G1304" s="216"/>
    </row>
    <row r="1305">
      <c r="A1305" s="216"/>
      <c r="B1305" s="216"/>
      <c r="C1305" s="157"/>
      <c r="D1305" s="216"/>
      <c r="E1305" s="216"/>
      <c r="F1305" s="216"/>
      <c r="G1305" s="216"/>
    </row>
    <row r="1306">
      <c r="A1306" s="216"/>
      <c r="B1306" s="216"/>
      <c r="C1306" s="157"/>
      <c r="D1306" s="216"/>
      <c r="E1306" s="216"/>
      <c r="F1306" s="216"/>
      <c r="G1306" s="216"/>
    </row>
    <row r="1307">
      <c r="A1307" s="216"/>
      <c r="B1307" s="216"/>
      <c r="C1307" s="157"/>
      <c r="D1307" s="216"/>
      <c r="E1307" s="216"/>
      <c r="F1307" s="216"/>
      <c r="G1307" s="216"/>
    </row>
    <row r="1308">
      <c r="A1308" s="216"/>
      <c r="B1308" s="216"/>
      <c r="C1308" s="157"/>
      <c r="D1308" s="216"/>
      <c r="E1308" s="216"/>
      <c r="F1308" s="216"/>
      <c r="G1308" s="216"/>
    </row>
    <row r="1309">
      <c r="A1309" s="216"/>
      <c r="B1309" s="216"/>
      <c r="C1309" s="157"/>
      <c r="D1309" s="216"/>
      <c r="E1309" s="216"/>
      <c r="F1309" s="216"/>
      <c r="G1309" s="216"/>
    </row>
    <row r="1310">
      <c r="A1310" s="216"/>
      <c r="B1310" s="216"/>
      <c r="C1310" s="157"/>
      <c r="D1310" s="216"/>
      <c r="E1310" s="216"/>
      <c r="F1310" s="216"/>
      <c r="G1310" s="216"/>
    </row>
    <row r="1311">
      <c r="A1311" s="216"/>
      <c r="B1311" s="216"/>
      <c r="C1311" s="157"/>
      <c r="D1311" s="216"/>
      <c r="E1311" s="216"/>
      <c r="F1311" s="216"/>
      <c r="G1311" s="216"/>
    </row>
    <row r="1312">
      <c r="A1312" s="216"/>
      <c r="B1312" s="216"/>
      <c r="C1312" s="157"/>
      <c r="D1312" s="216"/>
      <c r="E1312" s="216"/>
      <c r="F1312" s="216"/>
      <c r="G1312" s="216"/>
    </row>
    <row r="1313">
      <c r="A1313" s="216"/>
      <c r="B1313" s="216"/>
      <c r="C1313" s="157"/>
      <c r="D1313" s="216"/>
      <c r="E1313" s="216"/>
      <c r="F1313" s="216"/>
      <c r="G1313" s="216"/>
    </row>
    <row r="1314">
      <c r="A1314" s="216"/>
      <c r="B1314" s="216"/>
      <c r="C1314" s="157"/>
      <c r="D1314" s="216"/>
      <c r="E1314" s="216"/>
      <c r="F1314" s="216"/>
      <c r="G1314" s="216"/>
    </row>
    <row r="1315">
      <c r="A1315" s="216"/>
      <c r="B1315" s="216"/>
      <c r="C1315" s="157"/>
      <c r="D1315" s="216"/>
      <c r="E1315" s="216"/>
      <c r="F1315" s="216"/>
      <c r="G1315" s="216"/>
    </row>
    <row r="1316">
      <c r="A1316" s="216"/>
      <c r="B1316" s="216"/>
      <c r="C1316" s="157"/>
      <c r="D1316" s="216"/>
      <c r="E1316" s="216"/>
      <c r="F1316" s="216"/>
      <c r="G1316" s="216"/>
    </row>
    <row r="1317">
      <c r="A1317" s="216"/>
      <c r="B1317" s="216"/>
      <c r="C1317" s="157"/>
      <c r="D1317" s="216"/>
      <c r="E1317" s="216"/>
      <c r="F1317" s="216"/>
      <c r="G1317" s="216"/>
    </row>
    <row r="1318">
      <c r="A1318" s="216"/>
      <c r="B1318" s="216"/>
      <c r="C1318" s="157"/>
      <c r="D1318" s="216"/>
      <c r="E1318" s="216"/>
      <c r="F1318" s="216"/>
      <c r="G1318" s="216"/>
    </row>
    <row r="1319">
      <c r="A1319" s="216"/>
      <c r="B1319" s="216"/>
      <c r="C1319" s="157"/>
      <c r="D1319" s="216"/>
      <c r="E1319" s="216"/>
      <c r="F1319" s="216"/>
      <c r="G1319" s="216"/>
    </row>
    <row r="1320">
      <c r="A1320" s="216"/>
      <c r="B1320" s="216"/>
      <c r="C1320" s="157"/>
      <c r="D1320" s="216"/>
      <c r="E1320" s="216"/>
      <c r="F1320" s="216"/>
      <c r="G1320" s="216"/>
    </row>
    <row r="1321">
      <c r="A1321" s="216"/>
      <c r="B1321" s="216"/>
      <c r="C1321" s="157"/>
      <c r="D1321" s="216"/>
      <c r="E1321" s="216"/>
      <c r="F1321" s="216"/>
      <c r="G1321" s="216"/>
    </row>
    <row r="1322">
      <c r="A1322" s="216"/>
      <c r="B1322" s="216"/>
      <c r="C1322" s="157"/>
      <c r="D1322" s="216"/>
      <c r="E1322" s="216"/>
      <c r="F1322" s="216"/>
      <c r="G1322" s="216"/>
    </row>
    <row r="1323">
      <c r="A1323" s="216"/>
      <c r="B1323" s="216"/>
      <c r="C1323" s="157"/>
      <c r="D1323" s="216"/>
      <c r="E1323" s="216"/>
      <c r="F1323" s="216"/>
      <c r="G1323" s="216"/>
    </row>
    <row r="1324">
      <c r="A1324" s="216"/>
      <c r="B1324" s="216"/>
      <c r="C1324" s="157"/>
      <c r="D1324" s="216"/>
      <c r="E1324" s="216"/>
      <c r="F1324" s="216"/>
      <c r="G1324" s="216"/>
    </row>
    <row r="1325">
      <c r="A1325" s="216"/>
      <c r="B1325" s="216"/>
      <c r="C1325" s="157"/>
      <c r="D1325" s="216"/>
      <c r="E1325" s="216"/>
      <c r="F1325" s="216"/>
      <c r="G1325" s="216"/>
    </row>
    <row r="1326">
      <c r="A1326" s="216"/>
      <c r="B1326" s="216"/>
      <c r="C1326" s="157"/>
      <c r="D1326" s="216"/>
      <c r="E1326" s="216"/>
      <c r="F1326" s="216"/>
      <c r="G1326" s="216"/>
    </row>
    <row r="1327">
      <c r="A1327" s="216"/>
      <c r="B1327" s="216"/>
      <c r="C1327" s="157"/>
      <c r="D1327" s="216"/>
      <c r="E1327" s="216"/>
      <c r="F1327" s="216"/>
      <c r="G1327" s="216"/>
    </row>
    <row r="1328">
      <c r="A1328" s="216"/>
      <c r="B1328" s="216"/>
      <c r="C1328" s="157"/>
      <c r="D1328" s="216"/>
      <c r="E1328" s="216"/>
      <c r="F1328" s="216"/>
      <c r="G1328" s="216"/>
    </row>
    <row r="1329">
      <c r="A1329" s="216"/>
      <c r="B1329" s="216"/>
      <c r="C1329" s="157"/>
      <c r="D1329" s="216"/>
      <c r="E1329" s="216"/>
      <c r="F1329" s="216"/>
      <c r="G1329" s="216"/>
    </row>
    <row r="1330">
      <c r="A1330" s="216"/>
      <c r="B1330" s="216"/>
      <c r="C1330" s="157"/>
      <c r="D1330" s="216"/>
      <c r="E1330" s="216"/>
      <c r="F1330" s="216"/>
      <c r="G1330" s="216"/>
    </row>
    <row r="1331">
      <c r="A1331" s="216"/>
      <c r="B1331" s="216"/>
      <c r="C1331" s="157"/>
      <c r="D1331" s="216"/>
      <c r="E1331" s="216"/>
      <c r="F1331" s="216"/>
      <c r="G1331" s="216"/>
    </row>
    <row r="1332">
      <c r="A1332" s="216"/>
      <c r="B1332" s="216"/>
      <c r="C1332" s="157"/>
      <c r="D1332" s="216"/>
      <c r="E1332" s="216"/>
      <c r="F1332" s="216"/>
      <c r="G1332" s="216"/>
    </row>
    <row r="1333">
      <c r="A1333" s="216"/>
      <c r="B1333" s="216"/>
      <c r="C1333" s="157"/>
      <c r="D1333" s="216"/>
      <c r="E1333" s="216"/>
      <c r="F1333" s="216"/>
      <c r="G1333" s="216"/>
    </row>
    <row r="1334">
      <c r="A1334" s="216"/>
      <c r="B1334" s="216"/>
      <c r="C1334" s="157"/>
      <c r="D1334" s="216"/>
      <c r="E1334" s="216"/>
      <c r="F1334" s="216"/>
      <c r="G1334" s="216"/>
    </row>
    <row r="1335">
      <c r="A1335" s="216"/>
      <c r="B1335" s="216"/>
      <c r="C1335" s="157"/>
      <c r="D1335" s="216"/>
      <c r="E1335" s="216"/>
      <c r="F1335" s="216"/>
      <c r="G1335" s="216"/>
    </row>
    <row r="1336">
      <c r="A1336" s="216"/>
      <c r="B1336" s="216"/>
      <c r="C1336" s="157"/>
      <c r="D1336" s="216"/>
      <c r="E1336" s="216"/>
      <c r="F1336" s="216"/>
      <c r="G1336" s="216"/>
    </row>
    <row r="1337">
      <c r="A1337" s="216"/>
      <c r="B1337" s="216"/>
      <c r="C1337" s="157"/>
      <c r="D1337" s="216"/>
      <c r="E1337" s="216"/>
      <c r="F1337" s="216"/>
      <c r="G1337" s="216"/>
    </row>
    <row r="1338">
      <c r="A1338" s="216"/>
      <c r="B1338" s="216"/>
      <c r="C1338" s="157"/>
      <c r="D1338" s="216"/>
      <c r="E1338" s="216"/>
      <c r="F1338" s="216"/>
      <c r="G1338" s="216"/>
    </row>
    <row r="1339">
      <c r="A1339" s="216"/>
      <c r="B1339" s="216"/>
      <c r="C1339" s="157"/>
      <c r="D1339" s="216"/>
      <c r="E1339" s="216"/>
      <c r="F1339" s="216"/>
      <c r="G1339" s="216"/>
    </row>
    <row r="1340">
      <c r="A1340" s="216"/>
      <c r="B1340" s="216"/>
      <c r="C1340" s="157"/>
      <c r="D1340" s="216"/>
      <c r="E1340" s="216"/>
      <c r="F1340" s="216"/>
      <c r="G1340" s="216"/>
    </row>
    <row r="1341">
      <c r="A1341" s="216"/>
      <c r="B1341" s="216"/>
      <c r="C1341" s="157"/>
      <c r="D1341" s="216"/>
      <c r="E1341" s="216"/>
      <c r="F1341" s="216"/>
      <c r="G1341" s="216"/>
    </row>
    <row r="1342">
      <c r="A1342" s="216"/>
      <c r="B1342" s="216"/>
      <c r="C1342" s="157"/>
      <c r="D1342" s="216"/>
      <c r="E1342" s="216"/>
      <c r="F1342" s="216"/>
      <c r="G1342" s="216"/>
    </row>
    <row r="1343">
      <c r="A1343" s="216"/>
      <c r="B1343" s="216"/>
      <c r="C1343" s="157"/>
      <c r="D1343" s="216"/>
      <c r="E1343" s="216"/>
      <c r="F1343" s="216"/>
      <c r="G1343" s="216"/>
    </row>
    <row r="1344">
      <c r="A1344" s="216"/>
      <c r="B1344" s="216"/>
      <c r="C1344" s="157"/>
      <c r="D1344" s="216"/>
      <c r="E1344" s="216"/>
      <c r="F1344" s="216"/>
      <c r="G1344" s="216"/>
    </row>
    <row r="1345">
      <c r="A1345" s="216"/>
      <c r="B1345" s="216"/>
      <c r="C1345" s="157"/>
      <c r="D1345" s="216"/>
      <c r="E1345" s="216"/>
      <c r="F1345" s="216"/>
      <c r="G1345" s="216"/>
    </row>
    <row r="1346">
      <c r="A1346" s="216"/>
      <c r="B1346" s="216"/>
      <c r="C1346" s="157"/>
      <c r="D1346" s="216"/>
      <c r="E1346" s="216"/>
      <c r="F1346" s="216"/>
      <c r="G1346" s="216"/>
    </row>
    <row r="1347">
      <c r="A1347" s="216"/>
      <c r="B1347" s="216"/>
      <c r="C1347" s="157"/>
      <c r="D1347" s="216"/>
      <c r="E1347" s="216"/>
      <c r="F1347" s="216"/>
      <c r="G1347" s="216"/>
    </row>
    <row r="1348">
      <c r="A1348" s="216"/>
      <c r="B1348" s="216"/>
      <c r="C1348" s="157"/>
      <c r="D1348" s="216"/>
      <c r="E1348" s="216"/>
      <c r="F1348" s="216"/>
      <c r="G1348" s="216"/>
    </row>
    <row r="1349">
      <c r="A1349" s="216"/>
      <c r="B1349" s="216"/>
      <c r="C1349" s="157"/>
      <c r="D1349" s="216"/>
      <c r="E1349" s="216"/>
      <c r="F1349" s="216"/>
      <c r="G1349" s="216"/>
    </row>
    <row r="1350">
      <c r="A1350" s="216"/>
      <c r="B1350" s="216"/>
      <c r="C1350" s="157"/>
      <c r="D1350" s="216"/>
      <c r="E1350" s="216"/>
      <c r="F1350" s="216"/>
      <c r="G1350" s="216"/>
    </row>
    <row r="1351">
      <c r="A1351" s="216"/>
      <c r="B1351" s="216"/>
      <c r="C1351" s="157"/>
      <c r="D1351" s="216"/>
      <c r="E1351" s="216"/>
      <c r="F1351" s="216"/>
      <c r="G1351" s="216"/>
    </row>
    <row r="1352">
      <c r="A1352" s="216"/>
      <c r="B1352" s="216"/>
      <c r="C1352" s="157"/>
      <c r="D1352" s="216"/>
      <c r="E1352" s="216"/>
      <c r="F1352" s="216"/>
      <c r="G1352" s="216"/>
    </row>
    <row r="1353">
      <c r="A1353" s="216"/>
      <c r="B1353" s="216"/>
      <c r="C1353" s="157"/>
      <c r="D1353" s="216"/>
      <c r="E1353" s="216"/>
      <c r="F1353" s="216"/>
      <c r="G1353" s="216"/>
    </row>
    <row r="1354">
      <c r="A1354" s="216"/>
      <c r="B1354" s="216"/>
      <c r="C1354" s="157"/>
      <c r="D1354" s="216"/>
      <c r="E1354" s="216"/>
      <c r="F1354" s="216"/>
      <c r="G1354" s="216"/>
    </row>
    <row r="1355">
      <c r="A1355" s="216"/>
      <c r="B1355" s="216"/>
      <c r="C1355" s="157"/>
      <c r="D1355" s="216"/>
      <c r="E1355" s="216"/>
      <c r="F1355" s="216"/>
      <c r="G1355" s="216"/>
    </row>
    <row r="1356">
      <c r="A1356" s="216"/>
      <c r="B1356" s="216"/>
      <c r="C1356" s="157"/>
      <c r="D1356" s="216"/>
      <c r="E1356" s="216"/>
      <c r="F1356" s="216"/>
      <c r="G1356" s="216"/>
    </row>
    <row r="1357">
      <c r="A1357" s="216"/>
      <c r="B1357" s="216"/>
      <c r="C1357" s="157"/>
      <c r="D1357" s="216"/>
      <c r="E1357" s="216"/>
      <c r="F1357" s="216"/>
      <c r="G1357" s="216"/>
    </row>
    <row r="1358">
      <c r="A1358" s="216"/>
      <c r="B1358" s="216"/>
      <c r="C1358" s="157"/>
      <c r="D1358" s="216"/>
      <c r="E1358" s="216"/>
      <c r="F1358" s="216"/>
      <c r="G1358" s="216"/>
    </row>
    <row r="1359">
      <c r="A1359" s="216"/>
      <c r="B1359" s="216"/>
      <c r="C1359" s="157"/>
      <c r="D1359" s="216"/>
      <c r="E1359" s="216"/>
      <c r="F1359" s="216"/>
      <c r="G1359" s="216"/>
    </row>
    <row r="1360">
      <c r="A1360" s="216"/>
      <c r="B1360" s="216"/>
      <c r="C1360" s="157"/>
      <c r="D1360" s="216"/>
      <c r="E1360" s="216"/>
      <c r="F1360" s="216"/>
      <c r="G1360" s="216"/>
    </row>
    <row r="1361">
      <c r="A1361" s="216"/>
      <c r="B1361" s="216"/>
      <c r="C1361" s="157"/>
      <c r="D1361" s="216"/>
      <c r="E1361" s="216"/>
      <c r="F1361" s="216"/>
      <c r="G1361" s="216"/>
    </row>
    <row r="1362">
      <c r="A1362" s="216"/>
      <c r="B1362" s="216"/>
      <c r="C1362" s="157"/>
      <c r="D1362" s="216"/>
      <c r="E1362" s="216"/>
      <c r="F1362" s="216"/>
      <c r="G1362" s="216"/>
    </row>
    <row r="1363">
      <c r="A1363" s="216"/>
      <c r="B1363" s="216"/>
      <c r="C1363" s="157"/>
      <c r="D1363" s="216"/>
      <c r="E1363" s="216"/>
      <c r="F1363" s="216"/>
      <c r="G1363" s="216"/>
    </row>
    <row r="1364">
      <c r="A1364" s="216"/>
      <c r="B1364" s="216"/>
      <c r="C1364" s="157"/>
      <c r="D1364" s="216"/>
      <c r="E1364" s="216"/>
      <c r="F1364" s="216"/>
      <c r="G1364" s="216"/>
    </row>
    <row r="1365">
      <c r="A1365" s="216"/>
      <c r="B1365" s="216"/>
      <c r="C1365" s="157"/>
      <c r="D1365" s="216"/>
      <c r="E1365" s="216"/>
      <c r="F1365" s="216"/>
      <c r="G1365" s="216"/>
    </row>
    <row r="1366">
      <c r="A1366" s="216"/>
      <c r="B1366" s="216"/>
      <c r="C1366" s="157"/>
      <c r="D1366" s="216"/>
      <c r="E1366" s="216"/>
      <c r="F1366" s="216"/>
      <c r="G1366" s="216"/>
    </row>
    <row r="1367">
      <c r="A1367" s="216"/>
      <c r="B1367" s="216"/>
      <c r="C1367" s="157"/>
      <c r="D1367" s="216"/>
      <c r="E1367" s="216"/>
      <c r="F1367" s="216"/>
      <c r="G1367" s="216"/>
    </row>
    <row r="1368">
      <c r="A1368" s="216"/>
      <c r="B1368" s="216"/>
      <c r="C1368" s="157"/>
      <c r="D1368" s="216"/>
      <c r="E1368" s="216"/>
      <c r="F1368" s="216"/>
      <c r="G1368" s="216"/>
    </row>
    <row r="1369">
      <c r="A1369" s="216"/>
      <c r="B1369" s="216"/>
      <c r="C1369" s="157"/>
      <c r="D1369" s="216"/>
      <c r="E1369" s="216"/>
      <c r="F1369" s="216"/>
      <c r="G1369" s="216"/>
    </row>
    <row r="1370">
      <c r="A1370" s="216"/>
      <c r="B1370" s="216"/>
      <c r="C1370" s="157"/>
      <c r="D1370" s="216"/>
      <c r="E1370" s="216"/>
      <c r="F1370" s="216"/>
      <c r="G1370" s="216"/>
    </row>
    <row r="1371">
      <c r="A1371" s="216"/>
      <c r="B1371" s="216"/>
      <c r="C1371" s="157"/>
      <c r="D1371" s="216"/>
      <c r="E1371" s="216"/>
      <c r="F1371" s="216"/>
      <c r="G1371" s="216"/>
    </row>
    <row r="1372">
      <c r="A1372" s="216"/>
      <c r="B1372" s="216"/>
      <c r="C1372" s="157"/>
      <c r="D1372" s="216"/>
      <c r="E1372" s="216"/>
      <c r="F1372" s="216"/>
      <c r="G1372" s="216"/>
    </row>
    <row r="1373">
      <c r="A1373" s="216"/>
      <c r="B1373" s="216"/>
      <c r="C1373" s="157"/>
      <c r="D1373" s="216"/>
      <c r="E1373" s="216"/>
      <c r="F1373" s="216"/>
      <c r="G1373" s="216"/>
    </row>
    <row r="1374">
      <c r="A1374" s="216"/>
      <c r="B1374" s="216"/>
      <c r="C1374" s="157"/>
      <c r="D1374" s="216"/>
      <c r="E1374" s="216"/>
      <c r="F1374" s="216"/>
      <c r="G1374" s="216"/>
    </row>
    <row r="1375">
      <c r="A1375" s="216"/>
      <c r="B1375" s="216"/>
      <c r="C1375" s="157"/>
      <c r="D1375" s="216"/>
      <c r="E1375" s="216"/>
      <c r="F1375" s="216"/>
      <c r="G1375" s="216"/>
    </row>
    <row r="1376">
      <c r="A1376" s="216"/>
      <c r="B1376" s="216"/>
      <c r="C1376" s="157"/>
      <c r="D1376" s="216"/>
      <c r="E1376" s="216"/>
      <c r="F1376" s="216"/>
      <c r="G1376" s="216"/>
    </row>
    <row r="1377">
      <c r="A1377" s="216"/>
      <c r="B1377" s="216"/>
      <c r="C1377" s="157"/>
      <c r="D1377" s="216"/>
      <c r="E1377" s="216"/>
      <c r="F1377" s="216"/>
      <c r="G1377" s="216"/>
    </row>
    <row r="1378">
      <c r="A1378" s="216"/>
      <c r="B1378" s="216"/>
      <c r="C1378" s="157"/>
      <c r="D1378" s="216"/>
      <c r="E1378" s="216"/>
      <c r="F1378" s="216"/>
      <c r="G1378" s="216"/>
    </row>
    <row r="1379">
      <c r="A1379" s="216"/>
      <c r="B1379" s="216"/>
      <c r="C1379" s="157"/>
      <c r="D1379" s="216"/>
      <c r="E1379" s="216"/>
      <c r="F1379" s="216"/>
      <c r="G1379" s="216"/>
    </row>
    <row r="1380">
      <c r="A1380" s="216"/>
      <c r="B1380" s="216"/>
      <c r="C1380" s="157"/>
      <c r="D1380" s="216"/>
      <c r="E1380" s="216"/>
      <c r="F1380" s="216"/>
      <c r="G1380" s="216"/>
    </row>
    <row r="1381">
      <c r="A1381" s="216"/>
      <c r="B1381" s="216"/>
      <c r="C1381" s="157"/>
      <c r="D1381" s="216"/>
      <c r="E1381" s="216"/>
      <c r="F1381" s="216"/>
      <c r="G1381" s="216"/>
    </row>
    <row r="1382">
      <c r="A1382" s="216"/>
      <c r="B1382" s="216"/>
      <c r="C1382" s="157"/>
      <c r="D1382" s="216"/>
      <c r="E1382" s="216"/>
      <c r="F1382" s="216"/>
      <c r="G1382" s="216"/>
    </row>
    <row r="1383">
      <c r="A1383" s="216"/>
      <c r="B1383" s="216"/>
      <c r="C1383" s="157"/>
      <c r="D1383" s="216"/>
      <c r="E1383" s="216"/>
      <c r="F1383" s="216"/>
      <c r="G1383" s="216"/>
    </row>
    <row r="1384">
      <c r="A1384" s="216"/>
      <c r="B1384" s="216"/>
      <c r="C1384" s="157"/>
      <c r="D1384" s="216"/>
      <c r="E1384" s="216"/>
      <c r="F1384" s="216"/>
      <c r="G1384" s="216"/>
    </row>
    <row r="1385">
      <c r="A1385" s="216"/>
      <c r="B1385" s="216"/>
      <c r="C1385" s="157"/>
      <c r="D1385" s="216"/>
      <c r="E1385" s="216"/>
      <c r="F1385" s="216"/>
      <c r="G1385" s="216"/>
    </row>
    <row r="1386">
      <c r="A1386" s="216"/>
      <c r="B1386" s="216"/>
      <c r="C1386" s="157"/>
      <c r="D1386" s="216"/>
      <c r="E1386" s="216"/>
      <c r="F1386" s="216"/>
      <c r="G1386" s="216"/>
    </row>
    <row r="1387">
      <c r="A1387" s="216"/>
      <c r="B1387" s="216"/>
      <c r="C1387" s="157"/>
      <c r="D1387" s="216"/>
      <c r="E1387" s="216"/>
      <c r="F1387" s="216"/>
      <c r="G1387" s="216"/>
    </row>
    <row r="1388">
      <c r="A1388" s="216"/>
      <c r="B1388" s="216"/>
      <c r="C1388" s="157"/>
      <c r="D1388" s="216"/>
      <c r="E1388" s="216"/>
      <c r="F1388" s="216"/>
      <c r="G1388" s="216"/>
    </row>
    <row r="1389">
      <c r="A1389" s="216"/>
      <c r="B1389" s="216"/>
      <c r="C1389" s="157"/>
      <c r="D1389" s="216"/>
      <c r="E1389" s="216"/>
      <c r="F1389" s="216"/>
      <c r="G1389" s="216"/>
    </row>
    <row r="1390">
      <c r="A1390" s="216"/>
      <c r="B1390" s="216"/>
      <c r="C1390" s="157"/>
      <c r="D1390" s="216"/>
      <c r="E1390" s="216"/>
      <c r="F1390" s="216"/>
      <c r="G1390" s="216"/>
    </row>
    <row r="1391">
      <c r="A1391" s="216"/>
      <c r="B1391" s="216"/>
      <c r="C1391" s="157"/>
      <c r="D1391" s="216"/>
      <c r="E1391" s="216"/>
      <c r="F1391" s="216"/>
      <c r="G1391" s="216"/>
    </row>
    <row r="1392">
      <c r="A1392" s="216"/>
      <c r="B1392" s="216"/>
      <c r="C1392" s="157"/>
      <c r="D1392" s="216"/>
      <c r="E1392" s="216"/>
      <c r="F1392" s="216"/>
      <c r="G1392" s="216"/>
    </row>
    <row r="1393">
      <c r="A1393" s="216"/>
      <c r="B1393" s="216"/>
      <c r="C1393" s="157"/>
      <c r="D1393" s="216"/>
      <c r="E1393" s="216"/>
      <c r="F1393" s="216"/>
      <c r="G1393" s="216"/>
    </row>
    <row r="1394">
      <c r="A1394" s="216"/>
      <c r="B1394" s="216"/>
      <c r="C1394" s="157"/>
      <c r="D1394" s="216"/>
      <c r="E1394" s="216"/>
      <c r="F1394" s="216"/>
      <c r="G1394" s="216"/>
    </row>
    <row r="1395">
      <c r="A1395" s="216"/>
      <c r="B1395" s="216"/>
      <c r="C1395" s="157"/>
      <c r="D1395" s="216"/>
      <c r="E1395" s="216"/>
      <c r="F1395" s="216"/>
      <c r="G1395" s="216"/>
    </row>
    <row r="1396">
      <c r="A1396" s="216"/>
      <c r="B1396" s="216"/>
      <c r="C1396" s="157"/>
      <c r="D1396" s="216"/>
      <c r="E1396" s="216"/>
      <c r="F1396" s="216"/>
      <c r="G1396" s="216"/>
    </row>
    <row r="1397">
      <c r="A1397" s="216"/>
      <c r="B1397" s="216"/>
      <c r="C1397" s="157"/>
      <c r="D1397" s="216"/>
      <c r="E1397" s="216"/>
      <c r="F1397" s="216"/>
      <c r="G1397" s="216"/>
    </row>
    <row r="1398">
      <c r="A1398" s="216"/>
      <c r="B1398" s="216"/>
      <c r="C1398" s="157"/>
      <c r="D1398" s="216"/>
      <c r="E1398" s="216"/>
      <c r="F1398" s="216"/>
      <c r="G1398" s="216"/>
    </row>
    <row r="1399">
      <c r="A1399" s="216"/>
      <c r="B1399" s="216"/>
      <c r="C1399" s="157"/>
      <c r="D1399" s="216"/>
      <c r="E1399" s="216"/>
      <c r="F1399" s="216"/>
      <c r="G1399" s="216"/>
    </row>
    <row r="1400">
      <c r="A1400" s="216"/>
      <c r="B1400" s="216"/>
      <c r="C1400" s="157"/>
      <c r="D1400" s="216"/>
      <c r="E1400" s="216"/>
      <c r="F1400" s="216"/>
      <c r="G1400" s="216"/>
    </row>
    <row r="1401">
      <c r="A1401" s="216"/>
      <c r="B1401" s="216"/>
      <c r="C1401" s="157"/>
      <c r="D1401" s="216"/>
      <c r="E1401" s="216"/>
      <c r="F1401" s="216"/>
      <c r="G1401" s="216"/>
    </row>
    <row r="1402">
      <c r="A1402" s="216"/>
      <c r="B1402" s="216"/>
      <c r="C1402" s="157"/>
      <c r="D1402" s="216"/>
      <c r="E1402" s="216"/>
      <c r="F1402" s="216"/>
      <c r="G1402" s="216"/>
    </row>
    <row r="1403">
      <c r="A1403" s="216"/>
      <c r="B1403" s="216"/>
      <c r="C1403" s="157"/>
      <c r="D1403" s="216"/>
      <c r="E1403" s="216"/>
      <c r="F1403" s="216"/>
      <c r="G1403" s="216"/>
    </row>
    <row r="1404">
      <c r="A1404" s="216"/>
      <c r="B1404" s="216"/>
      <c r="C1404" s="157"/>
      <c r="D1404" s="216"/>
      <c r="E1404" s="216"/>
      <c r="F1404" s="216"/>
      <c r="G1404" s="216"/>
    </row>
    <row r="1405">
      <c r="A1405" s="216"/>
      <c r="B1405" s="216"/>
      <c r="C1405" s="157"/>
      <c r="D1405" s="216"/>
      <c r="E1405" s="216"/>
      <c r="F1405" s="216"/>
      <c r="G1405" s="216"/>
    </row>
    <row r="1406">
      <c r="A1406" s="216"/>
      <c r="B1406" s="216"/>
      <c r="C1406" s="157"/>
      <c r="D1406" s="216"/>
      <c r="E1406" s="216"/>
      <c r="F1406" s="216"/>
      <c r="G1406" s="216"/>
    </row>
    <row r="1407">
      <c r="A1407" s="216"/>
      <c r="B1407" s="216"/>
      <c r="C1407" s="157"/>
      <c r="D1407" s="216"/>
      <c r="E1407" s="216"/>
      <c r="F1407" s="216"/>
      <c r="G1407" s="216"/>
    </row>
    <row r="1408">
      <c r="A1408" s="216"/>
      <c r="B1408" s="216"/>
      <c r="C1408" s="157"/>
      <c r="D1408" s="216"/>
      <c r="E1408" s="216"/>
      <c r="F1408" s="216"/>
      <c r="G1408" s="216"/>
    </row>
    <row r="1409">
      <c r="A1409" s="216"/>
      <c r="B1409" s="216"/>
      <c r="C1409" s="157"/>
      <c r="D1409" s="216"/>
      <c r="E1409" s="216"/>
      <c r="F1409" s="216"/>
      <c r="G1409" s="216"/>
    </row>
    <row r="1410">
      <c r="A1410" s="216"/>
      <c r="B1410" s="216"/>
      <c r="C1410" s="157"/>
      <c r="D1410" s="216"/>
      <c r="E1410" s="216"/>
      <c r="F1410" s="216"/>
      <c r="G1410" s="216"/>
    </row>
    <row r="1411">
      <c r="A1411" s="216"/>
      <c r="B1411" s="216"/>
      <c r="C1411" s="157"/>
      <c r="D1411" s="216"/>
      <c r="E1411" s="216"/>
      <c r="F1411" s="216"/>
      <c r="G1411" s="216"/>
    </row>
    <row r="1412">
      <c r="A1412" s="216"/>
      <c r="B1412" s="216"/>
      <c r="C1412" s="157"/>
      <c r="D1412" s="216"/>
      <c r="E1412" s="216"/>
      <c r="F1412" s="216"/>
      <c r="G1412" s="216"/>
    </row>
    <row r="1413">
      <c r="A1413" s="216"/>
      <c r="B1413" s="216"/>
      <c r="C1413" s="157"/>
      <c r="D1413" s="216"/>
      <c r="E1413" s="216"/>
      <c r="F1413" s="216"/>
      <c r="G1413" s="216"/>
    </row>
    <row r="1414">
      <c r="A1414" s="216"/>
      <c r="B1414" s="216"/>
      <c r="C1414" s="157"/>
      <c r="D1414" s="216"/>
      <c r="E1414" s="216"/>
      <c r="F1414" s="216"/>
      <c r="G1414" s="216"/>
    </row>
    <row r="1415">
      <c r="A1415" s="216"/>
      <c r="B1415" s="216"/>
      <c r="C1415" s="157"/>
      <c r="D1415" s="216"/>
      <c r="E1415" s="216"/>
      <c r="F1415" s="216"/>
      <c r="G1415" s="216"/>
    </row>
    <row r="1416">
      <c r="A1416" s="216"/>
      <c r="B1416" s="216"/>
      <c r="C1416" s="157"/>
      <c r="D1416" s="216"/>
      <c r="E1416" s="216"/>
      <c r="F1416" s="216"/>
      <c r="G1416" s="216"/>
    </row>
    <row r="1417">
      <c r="A1417" s="216"/>
      <c r="B1417" s="216"/>
      <c r="C1417" s="157"/>
      <c r="D1417" s="216"/>
      <c r="E1417" s="216"/>
      <c r="F1417" s="216"/>
      <c r="G1417" s="216"/>
    </row>
    <row r="1418">
      <c r="A1418" s="216"/>
      <c r="B1418" s="216"/>
      <c r="C1418" s="157"/>
      <c r="D1418" s="216"/>
      <c r="E1418" s="216"/>
      <c r="F1418" s="216"/>
      <c r="G1418" s="216"/>
    </row>
    <row r="1419">
      <c r="A1419" s="216"/>
      <c r="B1419" s="216"/>
      <c r="C1419" s="157"/>
      <c r="D1419" s="216"/>
      <c r="E1419" s="216"/>
      <c r="F1419" s="216"/>
      <c r="G1419" s="216"/>
    </row>
    <row r="1420">
      <c r="A1420" s="216"/>
      <c r="B1420" s="216"/>
      <c r="C1420" s="157"/>
      <c r="D1420" s="216"/>
      <c r="E1420" s="216"/>
      <c r="F1420" s="216"/>
      <c r="G1420" s="216"/>
    </row>
    <row r="1421">
      <c r="A1421" s="216"/>
      <c r="B1421" s="216"/>
      <c r="C1421" s="157"/>
      <c r="D1421" s="216"/>
      <c r="E1421" s="216"/>
      <c r="F1421" s="216"/>
      <c r="G1421" s="216"/>
    </row>
    <row r="1422">
      <c r="A1422" s="216"/>
      <c r="B1422" s="216"/>
      <c r="C1422" s="157"/>
      <c r="D1422" s="216"/>
      <c r="E1422" s="216"/>
      <c r="F1422" s="216"/>
      <c r="G1422" s="216"/>
    </row>
    <row r="1423">
      <c r="A1423" s="216"/>
      <c r="B1423" s="216"/>
      <c r="C1423" s="157"/>
      <c r="D1423" s="216"/>
      <c r="E1423" s="216"/>
      <c r="F1423" s="216"/>
      <c r="G1423" s="216"/>
    </row>
    <row r="1424">
      <c r="A1424" s="216"/>
      <c r="B1424" s="216"/>
      <c r="C1424" s="157"/>
      <c r="D1424" s="216"/>
      <c r="E1424" s="216"/>
      <c r="F1424" s="216"/>
      <c r="G1424" s="216"/>
    </row>
    <row r="1425">
      <c r="A1425" s="216"/>
      <c r="B1425" s="216"/>
      <c r="C1425" s="157"/>
      <c r="D1425" s="216"/>
      <c r="E1425" s="216"/>
      <c r="F1425" s="216"/>
      <c r="G1425" s="216"/>
    </row>
    <row r="1426">
      <c r="A1426" s="216"/>
      <c r="B1426" s="216"/>
      <c r="C1426" s="157"/>
      <c r="D1426" s="216"/>
      <c r="E1426" s="216"/>
      <c r="F1426" s="216"/>
      <c r="G1426" s="216"/>
    </row>
    <row r="1427">
      <c r="A1427" s="216"/>
      <c r="B1427" s="216"/>
      <c r="C1427" s="157"/>
      <c r="D1427" s="216"/>
      <c r="E1427" s="216"/>
      <c r="F1427" s="216"/>
      <c r="G1427" s="216"/>
    </row>
    <row r="1428">
      <c r="A1428" s="216"/>
      <c r="B1428" s="216"/>
      <c r="C1428" s="157"/>
      <c r="D1428" s="216"/>
      <c r="E1428" s="216"/>
      <c r="F1428" s="216"/>
      <c r="G1428" s="216"/>
    </row>
    <row r="1429">
      <c r="A1429" s="216"/>
      <c r="B1429" s="216"/>
      <c r="C1429" s="157"/>
      <c r="D1429" s="216"/>
      <c r="E1429" s="216"/>
      <c r="F1429" s="216"/>
      <c r="G1429" s="216"/>
    </row>
    <row r="1430">
      <c r="A1430" s="216"/>
      <c r="B1430" s="216"/>
      <c r="C1430" s="157"/>
      <c r="D1430" s="216"/>
      <c r="E1430" s="216"/>
      <c r="F1430" s="216"/>
      <c r="G1430" s="216"/>
    </row>
    <row r="1431">
      <c r="A1431" s="216"/>
      <c r="B1431" s="216"/>
      <c r="C1431" s="157"/>
      <c r="D1431" s="216"/>
      <c r="E1431" s="216"/>
      <c r="F1431" s="216"/>
      <c r="G1431" s="216"/>
    </row>
    <row r="1432">
      <c r="A1432" s="216"/>
      <c r="B1432" s="216"/>
      <c r="C1432" s="157"/>
      <c r="D1432" s="216"/>
      <c r="E1432" s="216"/>
      <c r="F1432" s="216"/>
      <c r="G1432" s="216"/>
    </row>
    <row r="1433">
      <c r="A1433" s="216"/>
      <c r="B1433" s="216"/>
      <c r="C1433" s="157"/>
      <c r="D1433" s="216"/>
      <c r="E1433" s="216"/>
      <c r="F1433" s="216"/>
      <c r="G1433" s="216"/>
    </row>
    <row r="1434">
      <c r="A1434" s="216"/>
      <c r="B1434" s="216"/>
      <c r="C1434" s="157"/>
      <c r="D1434" s="216"/>
      <c r="E1434" s="216"/>
      <c r="F1434" s="216"/>
      <c r="G1434" s="216"/>
    </row>
    <row r="1435">
      <c r="A1435" s="216"/>
      <c r="B1435" s="216"/>
      <c r="C1435" s="157"/>
      <c r="D1435" s="216"/>
      <c r="E1435" s="216"/>
      <c r="F1435" s="216"/>
      <c r="G1435" s="216"/>
    </row>
    <row r="1436">
      <c r="A1436" s="216"/>
      <c r="B1436" s="216"/>
      <c r="C1436" s="157"/>
      <c r="D1436" s="216"/>
      <c r="E1436" s="216"/>
      <c r="F1436" s="216"/>
      <c r="G1436" s="216"/>
    </row>
    <row r="1437">
      <c r="A1437" s="216"/>
      <c r="B1437" s="216"/>
      <c r="C1437" s="157"/>
      <c r="D1437" s="216"/>
      <c r="E1437" s="216"/>
      <c r="F1437" s="216"/>
      <c r="G1437" s="216"/>
    </row>
    <row r="1438">
      <c r="A1438" s="216"/>
      <c r="B1438" s="216"/>
      <c r="C1438" s="157"/>
      <c r="D1438" s="216"/>
      <c r="E1438" s="216"/>
      <c r="F1438" s="216"/>
      <c r="G1438" s="216"/>
    </row>
    <row r="1439">
      <c r="A1439" s="216"/>
      <c r="B1439" s="216"/>
      <c r="C1439" s="157"/>
      <c r="D1439" s="216"/>
      <c r="E1439" s="216"/>
      <c r="F1439" s="216"/>
      <c r="G1439" s="216"/>
    </row>
    <row r="1440">
      <c r="A1440" s="216"/>
      <c r="B1440" s="216"/>
      <c r="C1440" s="157"/>
      <c r="D1440" s="216"/>
      <c r="E1440" s="216"/>
      <c r="F1440" s="216"/>
      <c r="G1440" s="216"/>
    </row>
    <row r="1441">
      <c r="A1441" s="216"/>
      <c r="B1441" s="216"/>
      <c r="C1441" s="157"/>
      <c r="D1441" s="216"/>
      <c r="E1441" s="216"/>
      <c r="F1441" s="216"/>
      <c r="G1441" s="216"/>
    </row>
    <row r="1442">
      <c r="A1442" s="216"/>
      <c r="B1442" s="216"/>
      <c r="C1442" s="157"/>
      <c r="D1442" s="216"/>
      <c r="E1442" s="216"/>
      <c r="F1442" s="216"/>
      <c r="G1442" s="216"/>
    </row>
    <row r="1443">
      <c r="A1443" s="216"/>
      <c r="B1443" s="216"/>
      <c r="C1443" s="157"/>
      <c r="D1443" s="216"/>
      <c r="E1443" s="216"/>
      <c r="F1443" s="216"/>
      <c r="G1443" s="216"/>
    </row>
    <row r="1444">
      <c r="A1444" s="216"/>
      <c r="B1444" s="216"/>
      <c r="C1444" s="157"/>
      <c r="D1444" s="216"/>
      <c r="E1444" s="216"/>
      <c r="F1444" s="216"/>
      <c r="G1444" s="216"/>
    </row>
    <row r="1445">
      <c r="A1445" s="216"/>
      <c r="B1445" s="216"/>
      <c r="C1445" s="157"/>
      <c r="D1445" s="216"/>
      <c r="E1445" s="216"/>
      <c r="F1445" s="216"/>
      <c r="G1445" s="216"/>
    </row>
    <row r="1446">
      <c r="A1446" s="216"/>
      <c r="B1446" s="216"/>
      <c r="C1446" s="157"/>
      <c r="D1446" s="216"/>
      <c r="E1446" s="216"/>
      <c r="F1446" s="216"/>
      <c r="G1446" s="216"/>
    </row>
    <row r="1447">
      <c r="A1447" s="216"/>
      <c r="B1447" s="216"/>
      <c r="C1447" s="157"/>
      <c r="D1447" s="216"/>
      <c r="E1447" s="216"/>
      <c r="F1447" s="216"/>
      <c r="G1447" s="216"/>
    </row>
    <row r="1448">
      <c r="A1448" s="216"/>
      <c r="B1448" s="216"/>
      <c r="C1448" s="157"/>
      <c r="D1448" s="216"/>
      <c r="E1448" s="216"/>
      <c r="F1448" s="216"/>
      <c r="G1448" s="216"/>
    </row>
    <row r="1449">
      <c r="A1449" s="216"/>
      <c r="B1449" s="216"/>
      <c r="C1449" s="157"/>
      <c r="D1449" s="216"/>
      <c r="E1449" s="216"/>
      <c r="F1449" s="216"/>
      <c r="G1449" s="216"/>
    </row>
    <row r="1450">
      <c r="A1450" s="216"/>
      <c r="B1450" s="216"/>
      <c r="C1450" s="157"/>
      <c r="D1450" s="216"/>
      <c r="E1450" s="216"/>
      <c r="F1450" s="216"/>
      <c r="G1450" s="216"/>
    </row>
    <row r="1451">
      <c r="A1451" s="216"/>
      <c r="B1451" s="216"/>
      <c r="C1451" s="157"/>
      <c r="D1451" s="216"/>
      <c r="E1451" s="216"/>
      <c r="F1451" s="216"/>
      <c r="G1451" s="216"/>
    </row>
    <row r="1452">
      <c r="A1452" s="216"/>
      <c r="B1452" s="216"/>
      <c r="C1452" s="157"/>
      <c r="D1452" s="216"/>
      <c r="E1452" s="216"/>
      <c r="F1452" s="216"/>
      <c r="G1452" s="216"/>
    </row>
    <row r="1453">
      <c r="A1453" s="216"/>
      <c r="B1453" s="216"/>
      <c r="C1453" s="157"/>
      <c r="D1453" s="216"/>
      <c r="E1453" s="216"/>
      <c r="F1453" s="216"/>
      <c r="G1453" s="216"/>
    </row>
    <row r="1454">
      <c r="A1454" s="216"/>
      <c r="B1454" s="216"/>
      <c r="C1454" s="157"/>
      <c r="D1454" s="216"/>
      <c r="E1454" s="216"/>
      <c r="F1454" s="216"/>
      <c r="G1454" s="216"/>
    </row>
    <row r="1455">
      <c r="A1455" s="216"/>
      <c r="B1455" s="216"/>
      <c r="C1455" s="157"/>
      <c r="D1455" s="216"/>
      <c r="E1455" s="216"/>
      <c r="F1455" s="216"/>
      <c r="G1455" s="216"/>
    </row>
    <row r="1456">
      <c r="A1456" s="216"/>
      <c r="B1456" s="216"/>
      <c r="C1456" s="157"/>
      <c r="D1456" s="216"/>
      <c r="E1456" s="216"/>
      <c r="F1456" s="216"/>
      <c r="G1456" s="216"/>
    </row>
    <row r="1457">
      <c r="A1457" s="216"/>
      <c r="B1457" s="216"/>
      <c r="C1457" s="157"/>
      <c r="D1457" s="216"/>
      <c r="E1457" s="216"/>
      <c r="F1457" s="216"/>
      <c r="G1457" s="216"/>
    </row>
    <row r="1458">
      <c r="A1458" s="216"/>
      <c r="B1458" s="216"/>
      <c r="C1458" s="157"/>
      <c r="D1458" s="216"/>
      <c r="E1458" s="216"/>
      <c r="F1458" s="216"/>
      <c r="G1458" s="216"/>
    </row>
    <row r="1459">
      <c r="A1459" s="216"/>
      <c r="B1459" s="216"/>
      <c r="C1459" s="157"/>
      <c r="D1459" s="216"/>
      <c r="E1459" s="216"/>
      <c r="F1459" s="216"/>
      <c r="G1459" s="216"/>
    </row>
    <row r="1460">
      <c r="A1460" s="216"/>
      <c r="B1460" s="216"/>
      <c r="C1460" s="157"/>
      <c r="D1460" s="216"/>
      <c r="E1460" s="216"/>
      <c r="F1460" s="216"/>
      <c r="G1460" s="216"/>
    </row>
    <row r="1461">
      <c r="A1461" s="216"/>
      <c r="B1461" s="216"/>
      <c r="C1461" s="157"/>
      <c r="D1461" s="216"/>
      <c r="E1461" s="216"/>
      <c r="F1461" s="216"/>
      <c r="G1461" s="216"/>
    </row>
    <row r="1462">
      <c r="A1462" s="216"/>
      <c r="B1462" s="216"/>
      <c r="C1462" s="157"/>
      <c r="D1462" s="216"/>
      <c r="E1462" s="216"/>
      <c r="F1462" s="216"/>
      <c r="G1462" s="216"/>
    </row>
    <row r="1463">
      <c r="A1463" s="216"/>
      <c r="B1463" s="216"/>
      <c r="C1463" s="157"/>
      <c r="D1463" s="216"/>
      <c r="E1463" s="216"/>
      <c r="F1463" s="216"/>
      <c r="G1463" s="216"/>
    </row>
    <row r="1464">
      <c r="A1464" s="216"/>
      <c r="B1464" s="216"/>
      <c r="C1464" s="157"/>
      <c r="D1464" s="216"/>
      <c r="E1464" s="216"/>
      <c r="F1464" s="216"/>
      <c r="G1464" s="216"/>
    </row>
    <row r="1465">
      <c r="A1465" s="216"/>
      <c r="B1465" s="216"/>
      <c r="C1465" s="157"/>
      <c r="D1465" s="216"/>
      <c r="E1465" s="216"/>
      <c r="F1465" s="216"/>
      <c r="G1465" s="216"/>
    </row>
    <row r="1466">
      <c r="A1466" s="216"/>
      <c r="B1466" s="216"/>
      <c r="C1466" s="157"/>
      <c r="D1466" s="216"/>
      <c r="E1466" s="216"/>
      <c r="F1466" s="216"/>
      <c r="G1466" s="216"/>
    </row>
    <row r="1467">
      <c r="A1467" s="216"/>
      <c r="B1467" s="216"/>
      <c r="C1467" s="157"/>
      <c r="D1467" s="216"/>
      <c r="E1467" s="216"/>
      <c r="F1467" s="216"/>
      <c r="G1467" s="216"/>
    </row>
    <row r="1468">
      <c r="A1468" s="216"/>
      <c r="B1468" s="216"/>
      <c r="C1468" s="157"/>
      <c r="D1468" s="216"/>
      <c r="E1468" s="216"/>
      <c r="F1468" s="216"/>
      <c r="G1468" s="216"/>
    </row>
    <row r="1469">
      <c r="A1469" s="216"/>
      <c r="B1469" s="216"/>
      <c r="C1469" s="157"/>
      <c r="D1469" s="216"/>
      <c r="E1469" s="216"/>
      <c r="F1469" s="216"/>
      <c r="G1469" s="216"/>
    </row>
    <row r="1470">
      <c r="A1470" s="216"/>
      <c r="B1470" s="216"/>
      <c r="C1470" s="157"/>
      <c r="D1470" s="216"/>
      <c r="E1470" s="216"/>
      <c r="F1470" s="216"/>
      <c r="G1470" s="216"/>
    </row>
    <row r="1471">
      <c r="A1471" s="216"/>
      <c r="B1471" s="216"/>
      <c r="C1471" s="157"/>
      <c r="D1471" s="216"/>
      <c r="E1471" s="216"/>
      <c r="F1471" s="216"/>
      <c r="G1471" s="216"/>
    </row>
    <row r="1472">
      <c r="A1472" s="216"/>
      <c r="B1472" s="216"/>
      <c r="C1472" s="157"/>
      <c r="D1472" s="216"/>
      <c r="E1472" s="216"/>
      <c r="F1472" s="216"/>
      <c r="G1472" s="216"/>
    </row>
    <row r="1473">
      <c r="A1473" s="216"/>
      <c r="B1473" s="216"/>
      <c r="C1473" s="157"/>
      <c r="D1473" s="216"/>
      <c r="E1473" s="216"/>
      <c r="F1473" s="216"/>
      <c r="G1473" s="216"/>
    </row>
    <row r="1474">
      <c r="A1474" s="216"/>
      <c r="B1474" s="216"/>
      <c r="C1474" s="157"/>
      <c r="D1474" s="216"/>
      <c r="E1474" s="216"/>
      <c r="F1474" s="216"/>
      <c r="G1474" s="216"/>
    </row>
    <row r="1475">
      <c r="A1475" s="216"/>
      <c r="B1475" s="216"/>
      <c r="C1475" s="157"/>
      <c r="D1475" s="216"/>
      <c r="E1475" s="216"/>
      <c r="F1475" s="216"/>
      <c r="G1475" s="216"/>
    </row>
    <row r="1476">
      <c r="A1476" s="216"/>
      <c r="B1476" s="216"/>
      <c r="C1476" s="157"/>
      <c r="D1476" s="216"/>
      <c r="E1476" s="216"/>
      <c r="F1476" s="216"/>
      <c r="G1476" s="216"/>
    </row>
    <row r="1477">
      <c r="A1477" s="216"/>
      <c r="B1477" s="216"/>
      <c r="C1477" s="157"/>
      <c r="D1477" s="216"/>
      <c r="E1477" s="216"/>
      <c r="F1477" s="216"/>
      <c r="G1477" s="216"/>
    </row>
    <row r="1478">
      <c r="A1478" s="216"/>
      <c r="B1478" s="216"/>
      <c r="C1478" s="157"/>
      <c r="D1478" s="216"/>
      <c r="E1478" s="216"/>
      <c r="F1478" s="216"/>
      <c r="G1478" s="216"/>
    </row>
    <row r="1479">
      <c r="A1479" s="216"/>
      <c r="B1479" s="216"/>
      <c r="C1479" s="157"/>
      <c r="D1479" s="216"/>
      <c r="E1479" s="216"/>
      <c r="F1479" s="216"/>
      <c r="G1479" s="216"/>
    </row>
    <row r="1480">
      <c r="A1480" s="216"/>
      <c r="B1480" s="216"/>
      <c r="C1480" s="157"/>
      <c r="D1480" s="216"/>
      <c r="E1480" s="216"/>
      <c r="F1480" s="216"/>
      <c r="G1480" s="216"/>
    </row>
    <row r="1481">
      <c r="A1481" s="216"/>
      <c r="B1481" s="216"/>
      <c r="C1481" s="157"/>
      <c r="D1481" s="216"/>
      <c r="E1481" s="216"/>
      <c r="F1481" s="216"/>
      <c r="G1481" s="216"/>
    </row>
    <row r="1482">
      <c r="A1482" s="216"/>
      <c r="B1482" s="216"/>
      <c r="C1482" s="157"/>
      <c r="D1482" s="216"/>
      <c r="E1482" s="216"/>
      <c r="F1482" s="216"/>
      <c r="G1482" s="216"/>
    </row>
    <row r="1483">
      <c r="A1483" s="216"/>
      <c r="B1483" s="216"/>
      <c r="C1483" s="157"/>
      <c r="D1483" s="216"/>
      <c r="E1483" s="216"/>
      <c r="F1483" s="216"/>
      <c r="G1483" s="216"/>
    </row>
    <row r="1484">
      <c r="A1484" s="216"/>
      <c r="B1484" s="216"/>
      <c r="C1484" s="157"/>
      <c r="D1484" s="216"/>
      <c r="E1484" s="216"/>
      <c r="F1484" s="216"/>
      <c r="G1484" s="216"/>
    </row>
    <row r="1485">
      <c r="A1485" s="216"/>
      <c r="B1485" s="216"/>
      <c r="C1485" s="157"/>
      <c r="D1485" s="216"/>
      <c r="E1485" s="216"/>
      <c r="F1485" s="216"/>
      <c r="G1485" s="216"/>
    </row>
    <row r="1486">
      <c r="A1486" s="216"/>
      <c r="B1486" s="216"/>
      <c r="C1486" s="157"/>
      <c r="D1486" s="216"/>
      <c r="E1486" s="216"/>
      <c r="F1486" s="216"/>
      <c r="G1486" s="216"/>
    </row>
    <row r="1487">
      <c r="A1487" s="216"/>
      <c r="B1487" s="216"/>
      <c r="C1487" s="157"/>
      <c r="D1487" s="216"/>
      <c r="E1487" s="216"/>
      <c r="F1487" s="216"/>
      <c r="G1487" s="216"/>
    </row>
    <row r="1488">
      <c r="A1488" s="216"/>
      <c r="B1488" s="216"/>
      <c r="C1488" s="157"/>
      <c r="D1488" s="216"/>
      <c r="E1488" s="216"/>
      <c r="F1488" s="216"/>
      <c r="G1488" s="216"/>
    </row>
    <row r="1489">
      <c r="A1489" s="216"/>
      <c r="B1489" s="216"/>
      <c r="C1489" s="157"/>
      <c r="D1489" s="216"/>
      <c r="E1489" s="216"/>
      <c r="F1489" s="216"/>
      <c r="G1489" s="216"/>
    </row>
    <row r="1490">
      <c r="A1490" s="216"/>
      <c r="B1490" s="216"/>
      <c r="C1490" s="157"/>
      <c r="D1490" s="216"/>
      <c r="E1490" s="216"/>
      <c r="F1490" s="216"/>
      <c r="G1490" s="216"/>
    </row>
    <row r="1491">
      <c r="A1491" s="216"/>
      <c r="B1491" s="216"/>
      <c r="C1491" s="157"/>
      <c r="D1491" s="216"/>
      <c r="E1491" s="216"/>
      <c r="F1491" s="216"/>
      <c r="G1491" s="216"/>
    </row>
    <row r="1492">
      <c r="A1492" s="216"/>
      <c r="B1492" s="216"/>
      <c r="C1492" s="157"/>
      <c r="D1492" s="216"/>
      <c r="E1492" s="216"/>
      <c r="F1492" s="216"/>
      <c r="G1492" s="216"/>
    </row>
    <row r="1493">
      <c r="A1493" s="216"/>
      <c r="B1493" s="216"/>
      <c r="C1493" s="157"/>
      <c r="D1493" s="216"/>
      <c r="E1493" s="216"/>
      <c r="F1493" s="216"/>
      <c r="G1493" s="216"/>
    </row>
    <row r="1494">
      <c r="A1494" s="216"/>
      <c r="B1494" s="216"/>
      <c r="C1494" s="157"/>
      <c r="D1494" s="216"/>
      <c r="E1494" s="216"/>
      <c r="F1494" s="216"/>
      <c r="G1494" s="216"/>
    </row>
    <row r="1495">
      <c r="A1495" s="216"/>
      <c r="B1495" s="216"/>
      <c r="C1495" s="157"/>
      <c r="D1495" s="216"/>
      <c r="E1495" s="216"/>
      <c r="F1495" s="216"/>
      <c r="G1495" s="216"/>
    </row>
    <row r="1496">
      <c r="A1496" s="216"/>
      <c r="B1496" s="216"/>
      <c r="C1496" s="157"/>
      <c r="D1496" s="216"/>
      <c r="E1496" s="216"/>
      <c r="F1496" s="216"/>
      <c r="G1496" s="216"/>
    </row>
    <row r="1497">
      <c r="A1497" s="216"/>
      <c r="B1497" s="216"/>
      <c r="C1497" s="157"/>
      <c r="D1497" s="216"/>
      <c r="E1497" s="216"/>
      <c r="F1497" s="216"/>
      <c r="G1497" s="216"/>
    </row>
    <row r="1498">
      <c r="A1498" s="216"/>
      <c r="B1498" s="216"/>
      <c r="C1498" s="157"/>
      <c r="D1498" s="216"/>
      <c r="E1498" s="216"/>
      <c r="F1498" s="216"/>
      <c r="G1498" s="216"/>
    </row>
    <row r="1499">
      <c r="A1499" s="216"/>
      <c r="B1499" s="216"/>
      <c r="C1499" s="157"/>
      <c r="D1499" s="216"/>
      <c r="E1499" s="216"/>
      <c r="F1499" s="216"/>
      <c r="G1499" s="216"/>
    </row>
    <row r="1500">
      <c r="A1500" s="216"/>
      <c r="B1500" s="216"/>
      <c r="C1500" s="157"/>
      <c r="D1500" s="216"/>
      <c r="E1500" s="216"/>
      <c r="F1500" s="216"/>
      <c r="G1500" s="216"/>
    </row>
    <row r="1501">
      <c r="A1501" s="216"/>
      <c r="B1501" s="216"/>
      <c r="C1501" s="157"/>
      <c r="D1501" s="216"/>
      <c r="E1501" s="216"/>
      <c r="F1501" s="216"/>
      <c r="G1501" s="216"/>
    </row>
    <row r="1502">
      <c r="A1502" s="216"/>
      <c r="B1502" s="216"/>
      <c r="C1502" s="157"/>
      <c r="D1502" s="216"/>
      <c r="E1502" s="216"/>
      <c r="F1502" s="216"/>
      <c r="G1502" s="216"/>
    </row>
    <row r="1503">
      <c r="A1503" s="216"/>
      <c r="B1503" s="216"/>
      <c r="C1503" s="157"/>
      <c r="D1503" s="216"/>
      <c r="E1503" s="216"/>
      <c r="F1503" s="216"/>
      <c r="G1503" s="216"/>
    </row>
    <row r="1504">
      <c r="A1504" s="216"/>
      <c r="B1504" s="216"/>
      <c r="C1504" s="157"/>
      <c r="D1504" s="216"/>
      <c r="E1504" s="216"/>
      <c r="F1504" s="216"/>
      <c r="G1504" s="216"/>
    </row>
    <row r="1505">
      <c r="A1505" s="216"/>
      <c r="B1505" s="216"/>
      <c r="C1505" s="157"/>
      <c r="D1505" s="216"/>
      <c r="E1505" s="216"/>
      <c r="F1505" s="216"/>
      <c r="G1505" s="216"/>
    </row>
    <row r="1506">
      <c r="A1506" s="216"/>
      <c r="B1506" s="216"/>
      <c r="C1506" s="157"/>
      <c r="D1506" s="216"/>
      <c r="E1506" s="216"/>
      <c r="F1506" s="216"/>
      <c r="G1506" s="216"/>
    </row>
    <row r="1507">
      <c r="A1507" s="216"/>
      <c r="B1507" s="216"/>
      <c r="C1507" s="157"/>
      <c r="D1507" s="216"/>
      <c r="E1507" s="216"/>
      <c r="F1507" s="216"/>
      <c r="G1507" s="216"/>
    </row>
    <row r="1508">
      <c r="A1508" s="216"/>
      <c r="B1508" s="216"/>
      <c r="C1508" s="157"/>
      <c r="D1508" s="216"/>
      <c r="E1508" s="216"/>
      <c r="F1508" s="216"/>
      <c r="G1508" s="216"/>
    </row>
    <row r="1509">
      <c r="A1509" s="216"/>
      <c r="B1509" s="216"/>
      <c r="C1509" s="157"/>
      <c r="D1509" s="216"/>
      <c r="E1509" s="216"/>
      <c r="F1509" s="216"/>
      <c r="G1509" s="216"/>
    </row>
    <row r="1510">
      <c r="A1510" s="216"/>
      <c r="B1510" s="216"/>
      <c r="C1510" s="157"/>
      <c r="D1510" s="216"/>
      <c r="E1510" s="216"/>
      <c r="F1510" s="216"/>
      <c r="G1510" s="216"/>
    </row>
    <row r="1511">
      <c r="A1511" s="216"/>
      <c r="B1511" s="216"/>
      <c r="C1511" s="157"/>
      <c r="D1511" s="216"/>
      <c r="E1511" s="216"/>
      <c r="F1511" s="216"/>
      <c r="G1511" s="216"/>
    </row>
    <row r="1512">
      <c r="A1512" s="216"/>
      <c r="B1512" s="216"/>
      <c r="C1512" s="157"/>
      <c r="D1512" s="216"/>
      <c r="E1512" s="216"/>
      <c r="F1512" s="216"/>
      <c r="G1512" s="216"/>
    </row>
    <row r="1513">
      <c r="A1513" s="216"/>
      <c r="B1513" s="216"/>
      <c r="C1513" s="157"/>
      <c r="D1513" s="216"/>
      <c r="E1513" s="216"/>
      <c r="F1513" s="216"/>
      <c r="G1513" s="216"/>
    </row>
    <row r="1514">
      <c r="A1514" s="216"/>
      <c r="B1514" s="216"/>
      <c r="C1514" s="157"/>
      <c r="D1514" s="216"/>
      <c r="E1514" s="216"/>
      <c r="F1514" s="216"/>
      <c r="G1514" s="216"/>
    </row>
    <row r="1515">
      <c r="A1515" s="216"/>
      <c r="B1515" s="216"/>
      <c r="C1515" s="157"/>
      <c r="D1515" s="216"/>
      <c r="E1515" s="216"/>
      <c r="F1515" s="216"/>
      <c r="G1515" s="216"/>
    </row>
    <row r="1516">
      <c r="A1516" s="216"/>
      <c r="B1516" s="216"/>
      <c r="C1516" s="157"/>
      <c r="D1516" s="216"/>
      <c r="E1516" s="216"/>
      <c r="F1516" s="216"/>
      <c r="G1516" s="216"/>
    </row>
    <row r="1517">
      <c r="A1517" s="216"/>
      <c r="B1517" s="216"/>
      <c r="C1517" s="157"/>
      <c r="D1517" s="216"/>
      <c r="E1517" s="216"/>
      <c r="F1517" s="216"/>
      <c r="G1517" s="216"/>
    </row>
    <row r="1518">
      <c r="A1518" s="216"/>
      <c r="B1518" s="216"/>
      <c r="C1518" s="157"/>
      <c r="D1518" s="216"/>
      <c r="E1518" s="216"/>
      <c r="F1518" s="216"/>
      <c r="G1518" s="216"/>
    </row>
    <row r="1519">
      <c r="A1519" s="216"/>
      <c r="B1519" s="216"/>
      <c r="C1519" s="157"/>
      <c r="D1519" s="216"/>
      <c r="E1519" s="216"/>
      <c r="F1519" s="216"/>
      <c r="G1519" s="216"/>
    </row>
    <row r="1520">
      <c r="A1520" s="216"/>
      <c r="B1520" s="216"/>
      <c r="C1520" s="157"/>
      <c r="D1520" s="216"/>
      <c r="E1520" s="216"/>
      <c r="F1520" s="216"/>
      <c r="G1520" s="216"/>
    </row>
    <row r="1521">
      <c r="A1521" s="216"/>
      <c r="B1521" s="216"/>
      <c r="C1521" s="157"/>
      <c r="D1521" s="216"/>
      <c r="E1521" s="216"/>
      <c r="F1521" s="216"/>
      <c r="G1521" s="216"/>
    </row>
    <row r="1522">
      <c r="A1522" s="216"/>
      <c r="B1522" s="216"/>
      <c r="C1522" s="157"/>
      <c r="D1522" s="216"/>
      <c r="E1522" s="216"/>
      <c r="F1522" s="216"/>
      <c r="G1522" s="216"/>
    </row>
    <row r="1523">
      <c r="A1523" s="216"/>
      <c r="B1523" s="216"/>
      <c r="C1523" s="157"/>
      <c r="D1523" s="216"/>
      <c r="E1523" s="216"/>
      <c r="F1523" s="216"/>
      <c r="G1523" s="216"/>
    </row>
    <row r="1524">
      <c r="A1524" s="216"/>
      <c r="B1524" s="216"/>
      <c r="C1524" s="157"/>
      <c r="D1524" s="216"/>
      <c r="E1524" s="216"/>
      <c r="F1524" s="216"/>
      <c r="G1524" s="216"/>
    </row>
    <row r="1525">
      <c r="A1525" s="216"/>
      <c r="B1525" s="216"/>
      <c r="C1525" s="157"/>
      <c r="D1525" s="216"/>
      <c r="E1525" s="216"/>
      <c r="F1525" s="216"/>
      <c r="G1525" s="216"/>
    </row>
    <row r="1526">
      <c r="A1526" s="216"/>
      <c r="B1526" s="216"/>
      <c r="C1526" s="157"/>
      <c r="D1526" s="216"/>
      <c r="E1526" s="216"/>
      <c r="F1526" s="216"/>
      <c r="G1526" s="216"/>
    </row>
    <row r="1527">
      <c r="A1527" s="216"/>
      <c r="B1527" s="216"/>
      <c r="C1527" s="157"/>
      <c r="D1527" s="216"/>
      <c r="E1527" s="216"/>
      <c r="F1527" s="216"/>
      <c r="G1527" s="216"/>
    </row>
    <row r="1528">
      <c r="A1528" s="216"/>
      <c r="B1528" s="216"/>
      <c r="C1528" s="157"/>
      <c r="D1528" s="216"/>
      <c r="E1528" s="216"/>
      <c r="F1528" s="216"/>
      <c r="G1528" s="216"/>
    </row>
    <row r="1529">
      <c r="A1529" s="216"/>
      <c r="B1529" s="216"/>
      <c r="C1529" s="157"/>
      <c r="D1529" s="216"/>
      <c r="E1529" s="216"/>
      <c r="F1529" s="216"/>
      <c r="G1529" s="216"/>
    </row>
    <row r="1530">
      <c r="A1530" s="216"/>
      <c r="B1530" s="216"/>
      <c r="C1530" s="157"/>
      <c r="D1530" s="216"/>
      <c r="E1530" s="216"/>
      <c r="F1530" s="216"/>
      <c r="G1530" s="216"/>
    </row>
    <row r="1531">
      <c r="A1531" s="216"/>
      <c r="B1531" s="216"/>
      <c r="C1531" s="157"/>
      <c r="D1531" s="216"/>
      <c r="E1531" s="216"/>
      <c r="F1531" s="216"/>
      <c r="G1531" s="216"/>
    </row>
    <row r="1532">
      <c r="A1532" s="216"/>
      <c r="B1532" s="216"/>
      <c r="C1532" s="157"/>
      <c r="D1532" s="216"/>
      <c r="E1532" s="216"/>
      <c r="F1532" s="216"/>
      <c r="G1532" s="216"/>
    </row>
    <row r="1533">
      <c r="A1533" s="216"/>
      <c r="B1533" s="216"/>
      <c r="C1533" s="157"/>
      <c r="D1533" s="216"/>
      <c r="E1533" s="216"/>
      <c r="F1533" s="216"/>
      <c r="G1533" s="216"/>
    </row>
    <row r="1534">
      <c r="A1534" s="216"/>
      <c r="B1534" s="216"/>
      <c r="C1534" s="157"/>
      <c r="D1534" s="216"/>
      <c r="E1534" s="216"/>
      <c r="F1534" s="216"/>
      <c r="G1534" s="216"/>
    </row>
    <row r="1535">
      <c r="A1535" s="216"/>
      <c r="B1535" s="216"/>
      <c r="C1535" s="157"/>
      <c r="D1535" s="216"/>
      <c r="E1535" s="216"/>
      <c r="F1535" s="216"/>
      <c r="G1535" s="216"/>
    </row>
    <row r="1536">
      <c r="A1536" s="216"/>
      <c r="B1536" s="216"/>
      <c r="C1536" s="157"/>
      <c r="D1536" s="216"/>
      <c r="E1536" s="216"/>
      <c r="F1536" s="216"/>
      <c r="G1536" s="216"/>
    </row>
    <row r="1537">
      <c r="A1537" s="216"/>
      <c r="B1537" s="216"/>
      <c r="C1537" s="157"/>
      <c r="D1537" s="216"/>
      <c r="E1537" s="216"/>
      <c r="F1537" s="216"/>
      <c r="G1537" s="216"/>
    </row>
    <row r="1538">
      <c r="A1538" s="216"/>
      <c r="B1538" s="216"/>
      <c r="C1538" s="157"/>
      <c r="D1538" s="216"/>
      <c r="E1538" s="216"/>
      <c r="F1538" s="216"/>
      <c r="G1538" s="216"/>
    </row>
    <row r="1539">
      <c r="A1539" s="216"/>
      <c r="B1539" s="216"/>
      <c r="C1539" s="157"/>
      <c r="D1539" s="216"/>
      <c r="E1539" s="216"/>
      <c r="F1539" s="216"/>
      <c r="G1539" s="216"/>
    </row>
    <row r="1540">
      <c r="A1540" s="216"/>
      <c r="B1540" s="216"/>
      <c r="C1540" s="157"/>
      <c r="D1540" s="216"/>
      <c r="E1540" s="216"/>
      <c r="F1540" s="216"/>
      <c r="G1540" s="216"/>
    </row>
    <row r="1541">
      <c r="A1541" s="216"/>
      <c r="B1541" s="216"/>
      <c r="C1541" s="157"/>
      <c r="D1541" s="216"/>
      <c r="E1541" s="216"/>
      <c r="F1541" s="216"/>
      <c r="G1541" s="216"/>
    </row>
    <row r="1542">
      <c r="A1542" s="216"/>
      <c r="B1542" s="216"/>
      <c r="C1542" s="157"/>
      <c r="D1542" s="216"/>
      <c r="E1542" s="216"/>
      <c r="F1542" s="216"/>
      <c r="G1542" s="216"/>
    </row>
    <row r="1543">
      <c r="A1543" s="216"/>
      <c r="B1543" s="216"/>
      <c r="C1543" s="157"/>
      <c r="D1543" s="216"/>
      <c r="E1543" s="216"/>
      <c r="F1543" s="216"/>
      <c r="G1543" s="216"/>
    </row>
    <row r="1544">
      <c r="A1544" s="216"/>
      <c r="B1544" s="216"/>
      <c r="C1544" s="157"/>
      <c r="D1544" s="216"/>
      <c r="E1544" s="216"/>
      <c r="F1544" s="216"/>
      <c r="G1544" s="216"/>
    </row>
    <row r="1545">
      <c r="A1545" s="216"/>
      <c r="B1545" s="216"/>
      <c r="C1545" s="157"/>
      <c r="D1545" s="216"/>
      <c r="E1545" s="216"/>
      <c r="F1545" s="216"/>
      <c r="G1545" s="216"/>
    </row>
    <row r="1546">
      <c r="A1546" s="216"/>
      <c r="B1546" s="216"/>
      <c r="C1546" s="157"/>
      <c r="D1546" s="216"/>
      <c r="E1546" s="216"/>
      <c r="F1546" s="216"/>
      <c r="G1546" s="216"/>
    </row>
    <row r="1547">
      <c r="A1547" s="216"/>
      <c r="B1547" s="216"/>
      <c r="C1547" s="157"/>
      <c r="D1547" s="216"/>
      <c r="E1547" s="216"/>
      <c r="F1547" s="216"/>
      <c r="G1547" s="216"/>
    </row>
    <row r="1548">
      <c r="A1548" s="216"/>
      <c r="B1548" s="216"/>
      <c r="C1548" s="157"/>
      <c r="D1548" s="216"/>
      <c r="E1548" s="216"/>
      <c r="F1548" s="216"/>
      <c r="G1548" s="216"/>
    </row>
    <row r="1549">
      <c r="A1549" s="216"/>
      <c r="B1549" s="216"/>
      <c r="C1549" s="157"/>
      <c r="D1549" s="216"/>
      <c r="E1549" s="216"/>
      <c r="F1549" s="216"/>
      <c r="G1549" s="216"/>
    </row>
    <row r="1550">
      <c r="A1550" s="216"/>
      <c r="B1550" s="216"/>
      <c r="C1550" s="157"/>
      <c r="D1550" s="216"/>
      <c r="E1550" s="216"/>
      <c r="F1550" s="216"/>
      <c r="G1550" s="216"/>
    </row>
    <row r="1551">
      <c r="A1551" s="216"/>
      <c r="B1551" s="216"/>
      <c r="C1551" s="157"/>
      <c r="D1551" s="216"/>
      <c r="E1551" s="216"/>
      <c r="F1551" s="216"/>
      <c r="G1551" s="216"/>
    </row>
    <row r="1552">
      <c r="A1552" s="216"/>
      <c r="B1552" s="216"/>
      <c r="C1552" s="157"/>
      <c r="D1552" s="216"/>
      <c r="E1552" s="216"/>
      <c r="F1552" s="216"/>
      <c r="G1552" s="216"/>
    </row>
    <row r="1553">
      <c r="A1553" s="216"/>
      <c r="B1553" s="216"/>
      <c r="C1553" s="157"/>
      <c r="D1553" s="216"/>
      <c r="E1553" s="216"/>
      <c r="F1553" s="216"/>
      <c r="G1553" s="216"/>
    </row>
    <row r="1554">
      <c r="A1554" s="216"/>
      <c r="B1554" s="216"/>
      <c r="C1554" s="157"/>
      <c r="D1554" s="216"/>
      <c r="E1554" s="216"/>
      <c r="F1554" s="216"/>
      <c r="G1554" s="216"/>
    </row>
    <row r="1555">
      <c r="A1555" s="216"/>
      <c r="B1555" s="216"/>
      <c r="C1555" s="157"/>
      <c r="D1555" s="216"/>
      <c r="E1555" s="216"/>
      <c r="F1555" s="216"/>
      <c r="G1555" s="216"/>
    </row>
    <row r="1556">
      <c r="A1556" s="216"/>
      <c r="B1556" s="216"/>
      <c r="C1556" s="157"/>
      <c r="D1556" s="216"/>
      <c r="E1556" s="216"/>
      <c r="F1556" s="216"/>
      <c r="G1556" s="216"/>
    </row>
    <row r="1557">
      <c r="A1557" s="216"/>
      <c r="B1557" s="216"/>
      <c r="C1557" s="157"/>
      <c r="D1557" s="216"/>
      <c r="E1557" s="216"/>
      <c r="F1557" s="216"/>
      <c r="G1557" s="216"/>
    </row>
    <row r="1558">
      <c r="A1558" s="216"/>
      <c r="B1558" s="216"/>
      <c r="C1558" s="157"/>
      <c r="D1558" s="216"/>
      <c r="E1558" s="216"/>
      <c r="F1558" s="216"/>
      <c r="G1558" s="216"/>
    </row>
    <row r="1559">
      <c r="A1559" s="216"/>
      <c r="B1559" s="216"/>
      <c r="C1559" s="157"/>
      <c r="D1559" s="216"/>
      <c r="E1559" s="216"/>
      <c r="F1559" s="216"/>
      <c r="G1559" s="216"/>
    </row>
    <row r="1560">
      <c r="A1560" s="216"/>
      <c r="B1560" s="216"/>
      <c r="C1560" s="157"/>
      <c r="D1560" s="216"/>
      <c r="E1560" s="216"/>
      <c r="F1560" s="216"/>
      <c r="G1560" s="216"/>
    </row>
    <row r="1561">
      <c r="A1561" s="216"/>
      <c r="B1561" s="216"/>
      <c r="C1561" s="157"/>
      <c r="D1561" s="216"/>
      <c r="E1561" s="216"/>
      <c r="F1561" s="216"/>
      <c r="G1561" s="216"/>
    </row>
    <row r="1562">
      <c r="A1562" s="216"/>
      <c r="B1562" s="216"/>
      <c r="C1562" s="157"/>
      <c r="D1562" s="216"/>
      <c r="E1562" s="216"/>
      <c r="F1562" s="216"/>
      <c r="G1562" s="216"/>
    </row>
    <row r="1563">
      <c r="A1563" s="216"/>
      <c r="B1563" s="216"/>
      <c r="C1563" s="157"/>
      <c r="D1563" s="216"/>
      <c r="E1563" s="216"/>
      <c r="F1563" s="216"/>
      <c r="G1563" s="216"/>
    </row>
    <row r="1564">
      <c r="A1564" s="216"/>
      <c r="B1564" s="216"/>
      <c r="C1564" s="157"/>
      <c r="D1564" s="216"/>
      <c r="E1564" s="216"/>
      <c r="F1564" s="216"/>
      <c r="G1564" s="216"/>
    </row>
    <row r="1565">
      <c r="A1565" s="216"/>
      <c r="B1565" s="216"/>
      <c r="C1565" s="157"/>
      <c r="D1565" s="216"/>
      <c r="E1565" s="216"/>
      <c r="F1565" s="216"/>
      <c r="G1565" s="216"/>
    </row>
    <row r="1566">
      <c r="A1566" s="216"/>
      <c r="B1566" s="216"/>
      <c r="C1566" s="157"/>
      <c r="D1566" s="216"/>
      <c r="E1566" s="216"/>
      <c r="F1566" s="216"/>
      <c r="G1566" s="216"/>
    </row>
    <row r="1567">
      <c r="A1567" s="216"/>
      <c r="B1567" s="216"/>
      <c r="C1567" s="157"/>
      <c r="D1567" s="216"/>
      <c r="E1567" s="216"/>
      <c r="F1567" s="216"/>
      <c r="G1567" s="216"/>
    </row>
    <row r="1568">
      <c r="A1568" s="216"/>
      <c r="B1568" s="216"/>
      <c r="C1568" s="157"/>
      <c r="D1568" s="216"/>
      <c r="E1568" s="216"/>
      <c r="F1568" s="216"/>
      <c r="G1568" s="216"/>
    </row>
    <row r="1569">
      <c r="A1569" s="216"/>
      <c r="B1569" s="216"/>
      <c r="C1569" s="157"/>
      <c r="D1569" s="216"/>
      <c r="E1569" s="216"/>
      <c r="F1569" s="216"/>
      <c r="G1569" s="216"/>
    </row>
    <row r="1570">
      <c r="A1570" s="216"/>
      <c r="B1570" s="216"/>
      <c r="C1570" s="157"/>
      <c r="D1570" s="216"/>
      <c r="E1570" s="216"/>
      <c r="F1570" s="216"/>
      <c r="G1570" s="216"/>
    </row>
    <row r="1571">
      <c r="A1571" s="216"/>
      <c r="B1571" s="216"/>
      <c r="C1571" s="157"/>
      <c r="D1571" s="216"/>
      <c r="E1571" s="216"/>
      <c r="F1571" s="216"/>
      <c r="G1571" s="216"/>
    </row>
    <row r="1572">
      <c r="A1572" s="216"/>
      <c r="B1572" s="216"/>
      <c r="C1572" s="157"/>
      <c r="D1572" s="216"/>
      <c r="E1572" s="216"/>
      <c r="F1572" s="216"/>
      <c r="G1572" s="216"/>
    </row>
    <row r="1573">
      <c r="A1573" s="216"/>
      <c r="B1573" s="216"/>
      <c r="C1573" s="157"/>
      <c r="D1573" s="216"/>
      <c r="E1573" s="216"/>
      <c r="F1573" s="216"/>
      <c r="G1573" s="216"/>
    </row>
    <row r="1574">
      <c r="A1574" s="216"/>
      <c r="B1574" s="216"/>
      <c r="C1574" s="157"/>
      <c r="D1574" s="216"/>
      <c r="E1574" s="216"/>
      <c r="F1574" s="216"/>
      <c r="G1574" s="216"/>
    </row>
    <row r="1575">
      <c r="A1575" s="216"/>
      <c r="B1575" s="216"/>
      <c r="C1575" s="157"/>
      <c r="D1575" s="216"/>
      <c r="E1575" s="216"/>
      <c r="F1575" s="216"/>
      <c r="G1575" s="216"/>
    </row>
    <row r="1576">
      <c r="A1576" s="216"/>
      <c r="B1576" s="216"/>
      <c r="C1576" s="157"/>
      <c r="D1576" s="216"/>
      <c r="E1576" s="216"/>
      <c r="F1576" s="216"/>
      <c r="G1576" s="216"/>
    </row>
    <row r="1577">
      <c r="A1577" s="216"/>
      <c r="B1577" s="216"/>
      <c r="C1577" s="157"/>
      <c r="D1577" s="216"/>
      <c r="E1577" s="216"/>
      <c r="F1577" s="216"/>
      <c r="G1577" s="216"/>
    </row>
    <row r="1578">
      <c r="A1578" s="216"/>
      <c r="B1578" s="216"/>
      <c r="C1578" s="157"/>
      <c r="D1578" s="216"/>
      <c r="E1578" s="216"/>
      <c r="F1578" s="216"/>
      <c r="G1578" s="216"/>
    </row>
    <row r="1579">
      <c r="A1579" s="216"/>
      <c r="B1579" s="216"/>
      <c r="C1579" s="157"/>
      <c r="D1579" s="216"/>
      <c r="E1579" s="216"/>
      <c r="F1579" s="216"/>
      <c r="G1579" s="216"/>
    </row>
    <row r="1580">
      <c r="A1580" s="216"/>
      <c r="B1580" s="216"/>
      <c r="C1580" s="157"/>
      <c r="D1580" s="216"/>
      <c r="E1580" s="216"/>
      <c r="F1580" s="216"/>
      <c r="G1580" s="216"/>
    </row>
    <row r="1581">
      <c r="A1581" s="216"/>
      <c r="B1581" s="216"/>
      <c r="C1581" s="157"/>
      <c r="D1581" s="216"/>
      <c r="E1581" s="216"/>
      <c r="F1581" s="216"/>
      <c r="G1581" s="216"/>
    </row>
    <row r="1582">
      <c r="A1582" s="216"/>
      <c r="B1582" s="216"/>
      <c r="C1582" s="157"/>
      <c r="D1582" s="216"/>
      <c r="E1582" s="216"/>
      <c r="F1582" s="216"/>
      <c r="G1582" s="216"/>
    </row>
    <row r="1583">
      <c r="A1583" s="216"/>
      <c r="B1583" s="216"/>
      <c r="C1583" s="157"/>
      <c r="D1583" s="216"/>
      <c r="E1583" s="216"/>
      <c r="F1583" s="216"/>
      <c r="G1583" s="216"/>
    </row>
    <row r="1584">
      <c r="A1584" s="216"/>
      <c r="B1584" s="216"/>
      <c r="C1584" s="157"/>
      <c r="D1584" s="216"/>
      <c r="E1584" s="216"/>
      <c r="F1584" s="216"/>
      <c r="G1584" s="216"/>
    </row>
    <row r="1585">
      <c r="A1585" s="216"/>
      <c r="B1585" s="216"/>
      <c r="C1585" s="157"/>
      <c r="D1585" s="216"/>
      <c r="E1585" s="216"/>
      <c r="F1585" s="216"/>
      <c r="G1585" s="216"/>
    </row>
    <row r="1586">
      <c r="A1586" s="216"/>
      <c r="B1586" s="216"/>
      <c r="C1586" s="157"/>
      <c r="D1586" s="216"/>
      <c r="E1586" s="216"/>
      <c r="F1586" s="216"/>
      <c r="G1586" s="216"/>
    </row>
    <row r="1587">
      <c r="A1587" s="216"/>
      <c r="B1587" s="216"/>
      <c r="C1587" s="157"/>
      <c r="D1587" s="216"/>
      <c r="E1587" s="216"/>
      <c r="F1587" s="216"/>
      <c r="G1587" s="216"/>
    </row>
    <row r="1588">
      <c r="A1588" s="216"/>
      <c r="B1588" s="216"/>
      <c r="C1588" s="157"/>
      <c r="D1588" s="216"/>
      <c r="E1588" s="216"/>
      <c r="F1588" s="216"/>
      <c r="G1588" s="216"/>
    </row>
    <row r="1589">
      <c r="A1589" s="216"/>
      <c r="B1589" s="216"/>
      <c r="C1589" s="157"/>
      <c r="D1589" s="216"/>
      <c r="E1589" s="216"/>
      <c r="F1589" s="216"/>
      <c r="G1589" s="216"/>
    </row>
    <row r="1590">
      <c r="A1590" s="216"/>
      <c r="B1590" s="216"/>
      <c r="C1590" s="157"/>
      <c r="D1590" s="216"/>
      <c r="E1590" s="216"/>
      <c r="F1590" s="216"/>
      <c r="G1590" s="216"/>
    </row>
    <row r="1591">
      <c r="A1591" s="216"/>
      <c r="B1591" s="216"/>
      <c r="C1591" s="157"/>
      <c r="D1591" s="216"/>
      <c r="E1591" s="216"/>
      <c r="F1591" s="216"/>
      <c r="G1591" s="216"/>
    </row>
    <row r="1592">
      <c r="A1592" s="216"/>
      <c r="B1592" s="216"/>
      <c r="C1592" s="157"/>
      <c r="D1592" s="216"/>
      <c r="E1592" s="216"/>
      <c r="F1592" s="216"/>
      <c r="G1592" s="216"/>
    </row>
    <row r="1593">
      <c r="A1593" s="216"/>
      <c r="B1593" s="216"/>
      <c r="C1593" s="157"/>
      <c r="D1593" s="216"/>
      <c r="E1593" s="216"/>
      <c r="F1593" s="216"/>
      <c r="G1593" s="216"/>
    </row>
    <row r="1594">
      <c r="A1594" s="216"/>
      <c r="B1594" s="216"/>
      <c r="C1594" s="157"/>
      <c r="D1594" s="216"/>
      <c r="E1594" s="216"/>
      <c r="F1594" s="216"/>
      <c r="G1594" s="216"/>
    </row>
    <row r="1595">
      <c r="A1595" s="216"/>
      <c r="B1595" s="216"/>
      <c r="C1595" s="157"/>
      <c r="D1595" s="216"/>
      <c r="E1595" s="216"/>
      <c r="F1595" s="216"/>
      <c r="G1595" s="216"/>
    </row>
    <row r="1596">
      <c r="A1596" s="216"/>
      <c r="B1596" s="216"/>
      <c r="C1596" s="157"/>
      <c r="D1596" s="216"/>
      <c r="E1596" s="216"/>
      <c r="F1596" s="216"/>
      <c r="G1596" s="216"/>
    </row>
    <row r="1597">
      <c r="A1597" s="216"/>
      <c r="B1597" s="216"/>
      <c r="C1597" s="157"/>
      <c r="D1597" s="216"/>
      <c r="E1597" s="216"/>
      <c r="F1597" s="216"/>
      <c r="G1597" s="216"/>
    </row>
    <row r="1598">
      <c r="A1598" s="216"/>
      <c r="B1598" s="216"/>
      <c r="C1598" s="157"/>
      <c r="D1598" s="216"/>
      <c r="E1598" s="216"/>
      <c r="F1598" s="216"/>
      <c r="G1598" s="216"/>
    </row>
    <row r="1599">
      <c r="A1599" s="216"/>
      <c r="B1599" s="216"/>
      <c r="C1599" s="157"/>
      <c r="D1599" s="216"/>
      <c r="E1599" s="216"/>
      <c r="F1599" s="216"/>
      <c r="G1599" s="216"/>
    </row>
    <row r="1600">
      <c r="A1600" s="216"/>
      <c r="B1600" s="216"/>
      <c r="C1600" s="157"/>
      <c r="D1600" s="216"/>
      <c r="E1600" s="216"/>
      <c r="F1600" s="216"/>
      <c r="G1600" s="216"/>
    </row>
    <row r="1601">
      <c r="A1601" s="216"/>
      <c r="B1601" s="216"/>
      <c r="C1601" s="157"/>
      <c r="D1601" s="216"/>
      <c r="E1601" s="216"/>
      <c r="F1601" s="216"/>
      <c r="G1601" s="216"/>
    </row>
    <row r="1602">
      <c r="A1602" s="216"/>
      <c r="B1602" s="216"/>
      <c r="C1602" s="157"/>
      <c r="D1602" s="216"/>
      <c r="E1602" s="216"/>
      <c r="F1602" s="216"/>
      <c r="G1602" s="216"/>
    </row>
    <row r="1603">
      <c r="A1603" s="216"/>
      <c r="B1603" s="216"/>
      <c r="C1603" s="157"/>
      <c r="D1603" s="216"/>
      <c r="E1603" s="216"/>
      <c r="F1603" s="216"/>
      <c r="G1603" s="216"/>
    </row>
    <row r="1604">
      <c r="A1604" s="216"/>
      <c r="B1604" s="216"/>
      <c r="C1604" s="157"/>
      <c r="D1604" s="216"/>
      <c r="E1604" s="216"/>
      <c r="F1604" s="216"/>
      <c r="G1604" s="216"/>
    </row>
    <row r="1605">
      <c r="A1605" s="216"/>
      <c r="B1605" s="216"/>
      <c r="C1605" s="157"/>
      <c r="D1605" s="216"/>
      <c r="E1605" s="216"/>
      <c r="F1605" s="216"/>
      <c r="G1605" s="216"/>
    </row>
    <row r="1606">
      <c r="A1606" s="216"/>
      <c r="B1606" s="216"/>
      <c r="C1606" s="157"/>
      <c r="D1606" s="216"/>
      <c r="E1606" s="216"/>
      <c r="F1606" s="216"/>
      <c r="G1606" s="216"/>
    </row>
    <row r="1607">
      <c r="A1607" s="216"/>
      <c r="B1607" s="216"/>
      <c r="C1607" s="157"/>
      <c r="D1607" s="216"/>
      <c r="E1607" s="216"/>
      <c r="F1607" s="216"/>
      <c r="G1607" s="216"/>
    </row>
    <row r="1608">
      <c r="A1608" s="216"/>
      <c r="B1608" s="216"/>
      <c r="C1608" s="157"/>
      <c r="D1608" s="216"/>
      <c r="E1608" s="216"/>
      <c r="F1608" s="216"/>
      <c r="G1608" s="216"/>
    </row>
    <row r="1609">
      <c r="A1609" s="216"/>
      <c r="B1609" s="216"/>
      <c r="C1609" s="157"/>
      <c r="D1609" s="216"/>
      <c r="E1609" s="216"/>
      <c r="F1609" s="216"/>
      <c r="G1609" s="216"/>
    </row>
    <row r="1610">
      <c r="A1610" s="216"/>
      <c r="B1610" s="216"/>
      <c r="C1610" s="157"/>
      <c r="D1610" s="216"/>
      <c r="E1610" s="216"/>
      <c r="F1610" s="216"/>
      <c r="G1610" s="216"/>
    </row>
    <row r="1611">
      <c r="A1611" s="216"/>
      <c r="B1611" s="216"/>
      <c r="C1611" s="157"/>
      <c r="D1611" s="216"/>
      <c r="E1611" s="216"/>
      <c r="F1611" s="216"/>
      <c r="G1611" s="216"/>
    </row>
    <row r="1612">
      <c r="A1612" s="216"/>
      <c r="B1612" s="216"/>
      <c r="C1612" s="157"/>
      <c r="D1612" s="216"/>
      <c r="E1612" s="216"/>
      <c r="F1612" s="216"/>
      <c r="G1612" s="216"/>
    </row>
    <row r="1613">
      <c r="A1613" s="216"/>
      <c r="B1613" s="216"/>
      <c r="C1613" s="157"/>
      <c r="D1613" s="216"/>
      <c r="E1613" s="216"/>
      <c r="F1613" s="216"/>
      <c r="G1613" s="216"/>
    </row>
    <row r="1614">
      <c r="A1614" s="216"/>
      <c r="B1614" s="216"/>
      <c r="C1614" s="157"/>
      <c r="D1614" s="216"/>
      <c r="E1614" s="216"/>
      <c r="F1614" s="216"/>
      <c r="G1614" s="216"/>
    </row>
    <row r="1615">
      <c r="A1615" s="216"/>
      <c r="B1615" s="216"/>
      <c r="C1615" s="157"/>
      <c r="D1615" s="216"/>
      <c r="E1615" s="216"/>
      <c r="F1615" s="216"/>
      <c r="G1615" s="216"/>
    </row>
    <row r="1616">
      <c r="A1616" s="216"/>
      <c r="B1616" s="216"/>
      <c r="C1616" s="157"/>
      <c r="D1616" s="216"/>
      <c r="E1616" s="216"/>
      <c r="F1616" s="216"/>
      <c r="G1616" s="216"/>
    </row>
    <row r="1617">
      <c r="A1617" s="216"/>
      <c r="B1617" s="216"/>
      <c r="C1617" s="157"/>
      <c r="D1617" s="216"/>
      <c r="E1617" s="216"/>
      <c r="F1617" s="216"/>
      <c r="G1617" s="216"/>
    </row>
    <row r="1618">
      <c r="A1618" s="216"/>
      <c r="B1618" s="216"/>
      <c r="C1618" s="157"/>
      <c r="D1618" s="216"/>
      <c r="E1618" s="216"/>
      <c r="F1618" s="216"/>
      <c r="G1618" s="216"/>
    </row>
    <row r="1619">
      <c r="A1619" s="216"/>
      <c r="B1619" s="216"/>
      <c r="C1619" s="157"/>
      <c r="D1619" s="216"/>
      <c r="E1619" s="216"/>
      <c r="F1619" s="216"/>
      <c r="G1619" s="216"/>
    </row>
    <row r="1620">
      <c r="A1620" s="216"/>
      <c r="B1620" s="216"/>
      <c r="C1620" s="157"/>
      <c r="D1620" s="216"/>
      <c r="E1620" s="216"/>
      <c r="F1620" s="216"/>
      <c r="G1620" s="216"/>
    </row>
    <row r="1621">
      <c r="A1621" s="216"/>
      <c r="B1621" s="216"/>
      <c r="C1621" s="157"/>
      <c r="D1621" s="216"/>
      <c r="E1621" s="216"/>
      <c r="F1621" s="216"/>
      <c r="G1621" s="216"/>
    </row>
    <row r="1622">
      <c r="A1622" s="216"/>
      <c r="B1622" s="216"/>
      <c r="C1622" s="157"/>
      <c r="D1622" s="216"/>
      <c r="E1622" s="216"/>
      <c r="F1622" s="216"/>
      <c r="G1622" s="216"/>
    </row>
    <row r="1623">
      <c r="A1623" s="216"/>
      <c r="B1623" s="216"/>
      <c r="C1623" s="157"/>
      <c r="D1623" s="216"/>
      <c r="E1623" s="216"/>
      <c r="F1623" s="216"/>
      <c r="G1623" s="216"/>
    </row>
    <row r="1624">
      <c r="A1624" s="216"/>
      <c r="B1624" s="216"/>
      <c r="C1624" s="157"/>
      <c r="D1624" s="216"/>
      <c r="E1624" s="216"/>
      <c r="F1624" s="216"/>
      <c r="G1624" s="216"/>
    </row>
    <row r="1625">
      <c r="A1625" s="216"/>
      <c r="B1625" s="216"/>
      <c r="C1625" s="157"/>
      <c r="D1625" s="216"/>
      <c r="E1625" s="216"/>
      <c r="F1625" s="216"/>
      <c r="G1625" s="216"/>
    </row>
    <row r="1626">
      <c r="A1626" s="216"/>
      <c r="B1626" s="216"/>
      <c r="C1626" s="157"/>
      <c r="D1626" s="216"/>
      <c r="E1626" s="216"/>
      <c r="F1626" s="216"/>
      <c r="G1626" s="216"/>
    </row>
    <row r="1627">
      <c r="A1627" s="216"/>
      <c r="B1627" s="216"/>
      <c r="C1627" s="157"/>
      <c r="D1627" s="216"/>
      <c r="E1627" s="216"/>
      <c r="F1627" s="216"/>
      <c r="G1627" s="216"/>
    </row>
    <row r="1628">
      <c r="A1628" s="216"/>
      <c r="B1628" s="216"/>
      <c r="C1628" s="157"/>
      <c r="D1628" s="216"/>
      <c r="E1628" s="216"/>
      <c r="F1628" s="216"/>
      <c r="G1628" s="216"/>
    </row>
    <row r="1629">
      <c r="A1629" s="216"/>
      <c r="B1629" s="216"/>
      <c r="C1629" s="157"/>
      <c r="D1629" s="216"/>
      <c r="E1629" s="216"/>
      <c r="F1629" s="216"/>
      <c r="G1629" s="216"/>
    </row>
    <row r="1630">
      <c r="A1630" s="216"/>
      <c r="B1630" s="216"/>
      <c r="C1630" s="157"/>
      <c r="D1630" s="216"/>
      <c r="E1630" s="216"/>
      <c r="F1630" s="216"/>
      <c r="G1630" s="216"/>
    </row>
    <row r="1631">
      <c r="A1631" s="216"/>
      <c r="B1631" s="216"/>
      <c r="C1631" s="157"/>
      <c r="D1631" s="216"/>
      <c r="E1631" s="216"/>
      <c r="F1631" s="216"/>
      <c r="G1631" s="216"/>
    </row>
    <row r="1632">
      <c r="A1632" s="216"/>
      <c r="B1632" s="216"/>
      <c r="C1632" s="157"/>
      <c r="D1632" s="216"/>
      <c r="E1632" s="216"/>
      <c r="F1632" s="216"/>
      <c r="G1632" s="216"/>
    </row>
    <row r="1633">
      <c r="A1633" s="216"/>
      <c r="B1633" s="216"/>
      <c r="C1633" s="157"/>
      <c r="D1633" s="216"/>
      <c r="E1633" s="216"/>
      <c r="F1633" s="216"/>
      <c r="G1633" s="216"/>
    </row>
    <row r="1634">
      <c r="A1634" s="216"/>
      <c r="B1634" s="216"/>
      <c r="C1634" s="157"/>
      <c r="D1634" s="216"/>
      <c r="E1634" s="216"/>
      <c r="F1634" s="216"/>
      <c r="G1634" s="216"/>
    </row>
    <row r="1635">
      <c r="A1635" s="216"/>
      <c r="B1635" s="216"/>
      <c r="C1635" s="157"/>
      <c r="D1635" s="216"/>
      <c r="E1635" s="216"/>
      <c r="F1635" s="216"/>
      <c r="G1635" s="216"/>
    </row>
    <row r="1636">
      <c r="A1636" s="216"/>
      <c r="B1636" s="216"/>
      <c r="C1636" s="157"/>
      <c r="D1636" s="216"/>
      <c r="E1636" s="216"/>
      <c r="F1636" s="216"/>
      <c r="G1636" s="216"/>
    </row>
    <row r="1637">
      <c r="A1637" s="216"/>
      <c r="B1637" s="216"/>
      <c r="C1637" s="157"/>
      <c r="D1637" s="216"/>
      <c r="E1637" s="216"/>
      <c r="F1637" s="216"/>
      <c r="G1637" s="216"/>
    </row>
    <row r="1638">
      <c r="A1638" s="216"/>
      <c r="B1638" s="216"/>
      <c r="C1638" s="157"/>
      <c r="D1638" s="216"/>
      <c r="E1638" s="216"/>
      <c r="F1638" s="216"/>
      <c r="G1638" s="216"/>
    </row>
    <row r="1639">
      <c r="A1639" s="216"/>
      <c r="B1639" s="216"/>
      <c r="C1639" s="157"/>
      <c r="D1639" s="216"/>
      <c r="E1639" s="216"/>
      <c r="F1639" s="216"/>
      <c r="G1639" s="216"/>
    </row>
    <row r="1640">
      <c r="A1640" s="216"/>
      <c r="B1640" s="216"/>
      <c r="C1640" s="157"/>
      <c r="D1640" s="216"/>
      <c r="E1640" s="216"/>
      <c r="F1640" s="216"/>
      <c r="G1640" s="216"/>
    </row>
    <row r="1641">
      <c r="A1641" s="216"/>
      <c r="B1641" s="216"/>
      <c r="C1641" s="157"/>
      <c r="D1641" s="216"/>
      <c r="E1641" s="216"/>
      <c r="F1641" s="216"/>
      <c r="G1641" s="216"/>
    </row>
    <row r="1642">
      <c r="A1642" s="216"/>
      <c r="B1642" s="216"/>
      <c r="C1642" s="157"/>
      <c r="D1642" s="216"/>
      <c r="E1642" s="216"/>
      <c r="F1642" s="216"/>
      <c r="G1642" s="216"/>
    </row>
    <row r="1643">
      <c r="A1643" s="216"/>
      <c r="B1643" s="216"/>
      <c r="C1643" s="157"/>
      <c r="D1643" s="216"/>
      <c r="E1643" s="216"/>
      <c r="F1643" s="216"/>
      <c r="G1643" s="216"/>
    </row>
    <row r="1644">
      <c r="A1644" s="216"/>
      <c r="B1644" s="216"/>
      <c r="C1644" s="157"/>
      <c r="D1644" s="216"/>
      <c r="E1644" s="216"/>
      <c r="F1644" s="216"/>
      <c r="G1644" s="216"/>
    </row>
    <row r="1645">
      <c r="A1645" s="216"/>
      <c r="B1645" s="216"/>
      <c r="C1645" s="157"/>
      <c r="D1645" s="216"/>
      <c r="E1645" s="216"/>
      <c r="F1645" s="216"/>
      <c r="G1645" s="216"/>
    </row>
    <row r="1646">
      <c r="A1646" s="216"/>
      <c r="B1646" s="216"/>
      <c r="C1646" s="157"/>
      <c r="D1646" s="216"/>
      <c r="E1646" s="216"/>
      <c r="F1646" s="216"/>
      <c r="G1646" s="216"/>
    </row>
    <row r="1647">
      <c r="A1647" s="216"/>
      <c r="B1647" s="216"/>
      <c r="C1647" s="157"/>
      <c r="D1647" s="216"/>
      <c r="E1647" s="216"/>
      <c r="F1647" s="216"/>
      <c r="G1647" s="216"/>
    </row>
    <row r="1648">
      <c r="A1648" s="216"/>
      <c r="B1648" s="216"/>
      <c r="C1648" s="157"/>
      <c r="D1648" s="216"/>
      <c r="E1648" s="216"/>
      <c r="F1648" s="216"/>
      <c r="G1648" s="216"/>
    </row>
    <row r="1649">
      <c r="A1649" s="216"/>
      <c r="B1649" s="216"/>
      <c r="C1649" s="157"/>
      <c r="D1649" s="216"/>
      <c r="E1649" s="216"/>
      <c r="F1649" s="216"/>
      <c r="G1649" s="216"/>
    </row>
    <row r="1650">
      <c r="A1650" s="216"/>
      <c r="B1650" s="216"/>
      <c r="C1650" s="157"/>
      <c r="D1650" s="216"/>
      <c r="E1650" s="216"/>
      <c r="F1650" s="216"/>
      <c r="G1650" s="216"/>
    </row>
    <row r="1651">
      <c r="A1651" s="216"/>
      <c r="B1651" s="216"/>
      <c r="C1651" s="157"/>
      <c r="D1651" s="216"/>
      <c r="E1651" s="216"/>
      <c r="F1651" s="216"/>
      <c r="G1651" s="216"/>
    </row>
    <row r="1652">
      <c r="A1652" s="216"/>
      <c r="B1652" s="216"/>
      <c r="C1652" s="157"/>
      <c r="D1652" s="216"/>
      <c r="E1652" s="216"/>
      <c r="F1652" s="216"/>
      <c r="G1652" s="216"/>
    </row>
    <row r="1653">
      <c r="A1653" s="216"/>
      <c r="B1653" s="216"/>
      <c r="C1653" s="157"/>
      <c r="D1653" s="216"/>
      <c r="E1653" s="216"/>
      <c r="F1653" s="216"/>
      <c r="G1653" s="216"/>
    </row>
    <row r="1654">
      <c r="A1654" s="216"/>
      <c r="B1654" s="216"/>
      <c r="C1654" s="157"/>
      <c r="D1654" s="216"/>
      <c r="E1654" s="216"/>
      <c r="F1654" s="216"/>
      <c r="G1654" s="216"/>
    </row>
    <row r="1655">
      <c r="A1655" s="216"/>
      <c r="B1655" s="216"/>
      <c r="C1655" s="157"/>
      <c r="D1655" s="216"/>
      <c r="E1655" s="216"/>
      <c r="F1655" s="216"/>
      <c r="G1655" s="216"/>
    </row>
    <row r="1656">
      <c r="A1656" s="216"/>
      <c r="B1656" s="216"/>
      <c r="C1656" s="157"/>
      <c r="D1656" s="216"/>
      <c r="E1656" s="216"/>
      <c r="F1656" s="216"/>
      <c r="G1656" s="216"/>
    </row>
    <row r="1657">
      <c r="A1657" s="216"/>
      <c r="B1657" s="216"/>
      <c r="C1657" s="157"/>
      <c r="D1657" s="216"/>
      <c r="E1657" s="216"/>
      <c r="F1657" s="216"/>
      <c r="G1657" s="216"/>
    </row>
    <row r="1658">
      <c r="A1658" s="216"/>
      <c r="B1658" s="216"/>
      <c r="C1658" s="157"/>
      <c r="D1658" s="216"/>
      <c r="E1658" s="216"/>
      <c r="F1658" s="216"/>
      <c r="G1658" s="216"/>
    </row>
    <row r="1659">
      <c r="A1659" s="216"/>
      <c r="B1659" s="216"/>
      <c r="C1659" s="157"/>
      <c r="D1659" s="216"/>
      <c r="E1659" s="216"/>
      <c r="F1659" s="216"/>
      <c r="G1659" s="216"/>
    </row>
    <row r="1660">
      <c r="A1660" s="216"/>
      <c r="B1660" s="216"/>
      <c r="C1660" s="157"/>
      <c r="D1660" s="216"/>
      <c r="E1660" s="216"/>
      <c r="F1660" s="216"/>
      <c r="G1660" s="216"/>
    </row>
    <row r="1661">
      <c r="A1661" s="216"/>
      <c r="B1661" s="216"/>
      <c r="C1661" s="157"/>
      <c r="D1661" s="216"/>
      <c r="E1661" s="216"/>
      <c r="F1661" s="216"/>
      <c r="G1661" s="216"/>
    </row>
    <row r="1662">
      <c r="A1662" s="216"/>
      <c r="B1662" s="216"/>
      <c r="C1662" s="157"/>
      <c r="D1662" s="216"/>
      <c r="E1662" s="216"/>
      <c r="F1662" s="216"/>
      <c r="G1662" s="216"/>
    </row>
    <row r="1663">
      <c r="A1663" s="216"/>
      <c r="B1663" s="216"/>
      <c r="C1663" s="157"/>
      <c r="D1663" s="216"/>
      <c r="E1663" s="216"/>
      <c r="F1663" s="216"/>
      <c r="G1663" s="216"/>
    </row>
    <row r="1664">
      <c r="A1664" s="216"/>
      <c r="B1664" s="216"/>
      <c r="C1664" s="157"/>
      <c r="D1664" s="216"/>
      <c r="E1664" s="216"/>
      <c r="F1664" s="216"/>
      <c r="G1664" s="216"/>
    </row>
    <row r="1665">
      <c r="A1665" s="216"/>
      <c r="B1665" s="216"/>
      <c r="C1665" s="157"/>
      <c r="D1665" s="216"/>
      <c r="E1665" s="216"/>
      <c r="F1665" s="216"/>
      <c r="G1665" s="216"/>
    </row>
    <row r="1666">
      <c r="A1666" s="216"/>
      <c r="B1666" s="216"/>
      <c r="C1666" s="157"/>
      <c r="D1666" s="216"/>
      <c r="E1666" s="216"/>
      <c r="F1666" s="216"/>
      <c r="G1666" s="216"/>
    </row>
    <row r="1667">
      <c r="A1667" s="216"/>
      <c r="B1667" s="216"/>
      <c r="C1667" s="157"/>
      <c r="D1667" s="216"/>
      <c r="E1667" s="216"/>
      <c r="F1667" s="216"/>
      <c r="G1667" s="216"/>
    </row>
    <row r="1668">
      <c r="A1668" s="216"/>
      <c r="B1668" s="216"/>
      <c r="C1668" s="157"/>
      <c r="D1668" s="216"/>
      <c r="E1668" s="216"/>
      <c r="F1668" s="216"/>
      <c r="G1668" s="216"/>
    </row>
    <row r="1669">
      <c r="A1669" s="216"/>
      <c r="B1669" s="216"/>
      <c r="C1669" s="157"/>
      <c r="D1669" s="216"/>
      <c r="E1669" s="216"/>
      <c r="F1669" s="216"/>
      <c r="G1669" s="216"/>
    </row>
    <row r="1670">
      <c r="A1670" s="216"/>
      <c r="B1670" s="216"/>
      <c r="C1670" s="157"/>
      <c r="D1670" s="216"/>
      <c r="E1670" s="216"/>
      <c r="F1670" s="216"/>
      <c r="G1670" s="216"/>
    </row>
    <row r="1671">
      <c r="A1671" s="216"/>
      <c r="B1671" s="216"/>
      <c r="C1671" s="157"/>
      <c r="D1671" s="216"/>
      <c r="E1671" s="216"/>
      <c r="F1671" s="216"/>
      <c r="G1671" s="216"/>
    </row>
    <row r="1672">
      <c r="A1672" s="216"/>
      <c r="B1672" s="216"/>
      <c r="C1672" s="157"/>
      <c r="D1672" s="216"/>
      <c r="E1672" s="216"/>
      <c r="F1672" s="216"/>
      <c r="G1672" s="216"/>
    </row>
    <row r="1673">
      <c r="A1673" s="216"/>
      <c r="B1673" s="216"/>
      <c r="C1673" s="157"/>
      <c r="D1673" s="216"/>
      <c r="E1673" s="216"/>
      <c r="F1673" s="216"/>
      <c r="G1673" s="216"/>
    </row>
    <row r="1674">
      <c r="A1674" s="216"/>
      <c r="B1674" s="216"/>
      <c r="C1674" s="157"/>
      <c r="D1674" s="216"/>
      <c r="E1674" s="216"/>
      <c r="F1674" s="216"/>
      <c r="G1674" s="216"/>
    </row>
    <row r="1675">
      <c r="A1675" s="216"/>
      <c r="B1675" s="216"/>
      <c r="C1675" s="157"/>
      <c r="D1675" s="216"/>
      <c r="E1675" s="216"/>
      <c r="F1675" s="216"/>
      <c r="G1675" s="216"/>
    </row>
    <row r="1676">
      <c r="A1676" s="216"/>
      <c r="B1676" s="216"/>
      <c r="C1676" s="157"/>
      <c r="D1676" s="216"/>
      <c r="E1676" s="216"/>
      <c r="F1676" s="216"/>
      <c r="G1676" s="216"/>
    </row>
    <row r="1677">
      <c r="A1677" s="216"/>
      <c r="B1677" s="216"/>
      <c r="C1677" s="157"/>
      <c r="D1677" s="216"/>
      <c r="E1677" s="216"/>
      <c r="F1677" s="216"/>
      <c r="G1677" s="216"/>
    </row>
    <row r="1678">
      <c r="A1678" s="216"/>
      <c r="B1678" s="216"/>
      <c r="C1678" s="157"/>
      <c r="D1678" s="216"/>
      <c r="E1678" s="216"/>
      <c r="F1678" s="216"/>
      <c r="G1678" s="216"/>
    </row>
    <row r="1679">
      <c r="A1679" s="216"/>
      <c r="B1679" s="216"/>
      <c r="C1679" s="157"/>
      <c r="D1679" s="216"/>
      <c r="E1679" s="216"/>
      <c r="F1679" s="216"/>
      <c r="G1679" s="216"/>
    </row>
    <row r="1680">
      <c r="A1680" s="216"/>
      <c r="B1680" s="216"/>
      <c r="C1680" s="157"/>
      <c r="D1680" s="216"/>
      <c r="E1680" s="216"/>
      <c r="F1680" s="216"/>
      <c r="G1680" s="216"/>
    </row>
    <row r="1681">
      <c r="A1681" s="216"/>
      <c r="B1681" s="216"/>
      <c r="C1681" s="157"/>
      <c r="D1681" s="216"/>
      <c r="E1681" s="216"/>
      <c r="F1681" s="216"/>
      <c r="G1681" s="216"/>
    </row>
    <row r="1682">
      <c r="A1682" s="216"/>
      <c r="B1682" s="216"/>
      <c r="C1682" s="157"/>
      <c r="D1682" s="216"/>
      <c r="E1682" s="216"/>
      <c r="F1682" s="216"/>
      <c r="G1682" s="216"/>
    </row>
    <row r="1683">
      <c r="A1683" s="216"/>
      <c r="B1683" s="216"/>
      <c r="C1683" s="157"/>
      <c r="D1683" s="216"/>
      <c r="E1683" s="216"/>
      <c r="F1683" s="216"/>
      <c r="G1683" s="216"/>
    </row>
    <row r="1684">
      <c r="A1684" s="216"/>
      <c r="B1684" s="216"/>
      <c r="C1684" s="157"/>
      <c r="D1684" s="216"/>
      <c r="E1684" s="216"/>
      <c r="F1684" s="216"/>
      <c r="G1684" s="216"/>
    </row>
    <row r="1685">
      <c r="A1685" s="216"/>
      <c r="B1685" s="216"/>
      <c r="C1685" s="157"/>
      <c r="D1685" s="216"/>
      <c r="E1685" s="216"/>
      <c r="F1685" s="216"/>
      <c r="G1685" s="216"/>
    </row>
    <row r="1686">
      <c r="A1686" s="216"/>
      <c r="B1686" s="216"/>
      <c r="C1686" s="157"/>
      <c r="D1686" s="216"/>
      <c r="E1686" s="216"/>
      <c r="F1686" s="216"/>
      <c r="G1686" s="216"/>
    </row>
    <row r="1687">
      <c r="A1687" s="216"/>
      <c r="B1687" s="216"/>
      <c r="C1687" s="157"/>
      <c r="D1687" s="216"/>
      <c r="E1687" s="216"/>
      <c r="F1687" s="216"/>
      <c r="G1687" s="216"/>
    </row>
    <row r="1688">
      <c r="A1688" s="216"/>
      <c r="B1688" s="216"/>
      <c r="C1688" s="157"/>
      <c r="D1688" s="216"/>
      <c r="E1688" s="216"/>
      <c r="F1688" s="216"/>
      <c r="G1688" s="216"/>
    </row>
    <row r="1689">
      <c r="A1689" s="216"/>
      <c r="B1689" s="216"/>
      <c r="C1689" s="157"/>
      <c r="D1689" s="216"/>
      <c r="E1689" s="216"/>
      <c r="F1689" s="216"/>
      <c r="G1689" s="216"/>
    </row>
    <row r="1690">
      <c r="A1690" s="216"/>
      <c r="B1690" s="216"/>
      <c r="C1690" s="157"/>
      <c r="D1690" s="216"/>
      <c r="E1690" s="216"/>
      <c r="F1690" s="216"/>
      <c r="G1690" s="216"/>
    </row>
    <row r="1691">
      <c r="A1691" s="216"/>
      <c r="B1691" s="216"/>
      <c r="C1691" s="157"/>
      <c r="D1691" s="216"/>
      <c r="E1691" s="216"/>
      <c r="F1691" s="216"/>
      <c r="G1691" s="216"/>
    </row>
    <row r="1692">
      <c r="A1692" s="216"/>
      <c r="B1692" s="216"/>
      <c r="C1692" s="157"/>
      <c r="D1692" s="216"/>
      <c r="E1692" s="216"/>
      <c r="F1692" s="216"/>
      <c r="G1692" s="216"/>
    </row>
    <row r="1693">
      <c r="A1693" s="216"/>
      <c r="B1693" s="216"/>
      <c r="C1693" s="157"/>
      <c r="D1693" s="216"/>
      <c r="E1693" s="216"/>
      <c r="F1693" s="216"/>
      <c r="G1693" s="216"/>
    </row>
    <row r="1694">
      <c r="A1694" s="216"/>
      <c r="B1694" s="216"/>
      <c r="C1694" s="157"/>
      <c r="D1694" s="216"/>
      <c r="E1694" s="216"/>
      <c r="F1694" s="216"/>
      <c r="G1694" s="216"/>
    </row>
    <row r="1695">
      <c r="A1695" s="216"/>
      <c r="B1695" s="216"/>
      <c r="C1695" s="157"/>
      <c r="D1695" s="216"/>
      <c r="E1695" s="216"/>
      <c r="F1695" s="216"/>
      <c r="G1695" s="216"/>
    </row>
    <row r="1696">
      <c r="A1696" s="216"/>
      <c r="B1696" s="216"/>
      <c r="C1696" s="157"/>
      <c r="D1696" s="216"/>
      <c r="E1696" s="216"/>
      <c r="F1696" s="216"/>
      <c r="G1696" s="216"/>
    </row>
    <row r="1697">
      <c r="A1697" s="216"/>
      <c r="B1697" s="216"/>
      <c r="C1697" s="157"/>
      <c r="D1697" s="216"/>
      <c r="E1697" s="216"/>
      <c r="F1697" s="216"/>
      <c r="G1697" s="216"/>
    </row>
    <row r="1698">
      <c r="A1698" s="216"/>
      <c r="B1698" s="216"/>
      <c r="C1698" s="157"/>
      <c r="D1698" s="216"/>
      <c r="E1698" s="216"/>
      <c r="F1698" s="216"/>
      <c r="G1698" s="216"/>
    </row>
    <row r="1699">
      <c r="A1699" s="216"/>
      <c r="B1699" s="216"/>
      <c r="C1699" s="157"/>
      <c r="D1699" s="216"/>
      <c r="E1699" s="216"/>
      <c r="F1699" s="216"/>
      <c r="G1699" s="216"/>
    </row>
    <row r="1700">
      <c r="A1700" s="216"/>
      <c r="B1700" s="216"/>
      <c r="C1700" s="157"/>
      <c r="D1700" s="216"/>
      <c r="E1700" s="216"/>
      <c r="F1700" s="216"/>
      <c r="G1700" s="216"/>
    </row>
    <row r="1701">
      <c r="A1701" s="216"/>
      <c r="B1701" s="216"/>
      <c r="C1701" s="157"/>
      <c r="D1701" s="216"/>
      <c r="E1701" s="216"/>
      <c r="F1701" s="216"/>
      <c r="G1701" s="216"/>
    </row>
    <row r="1702">
      <c r="A1702" s="216"/>
      <c r="B1702" s="216"/>
      <c r="C1702" s="157"/>
      <c r="D1702" s="216"/>
      <c r="E1702" s="216"/>
      <c r="F1702" s="216"/>
      <c r="G1702" s="216"/>
    </row>
    <row r="1703">
      <c r="A1703" s="216"/>
      <c r="B1703" s="216"/>
      <c r="C1703" s="157"/>
      <c r="D1703" s="216"/>
      <c r="E1703" s="216"/>
      <c r="F1703" s="216"/>
      <c r="G1703" s="216"/>
    </row>
    <row r="1704">
      <c r="A1704" s="216"/>
      <c r="B1704" s="216"/>
      <c r="C1704" s="157"/>
      <c r="D1704" s="216"/>
      <c r="E1704" s="216"/>
      <c r="F1704" s="216"/>
      <c r="G1704" s="216"/>
    </row>
    <row r="1705">
      <c r="A1705" s="216"/>
      <c r="B1705" s="216"/>
      <c r="C1705" s="157"/>
      <c r="D1705" s="216"/>
      <c r="E1705" s="216"/>
      <c r="F1705" s="216"/>
      <c r="G1705" s="216"/>
    </row>
    <row r="1706">
      <c r="A1706" s="216"/>
      <c r="B1706" s="216"/>
      <c r="C1706" s="157"/>
      <c r="D1706" s="216"/>
      <c r="E1706" s="216"/>
      <c r="F1706" s="216"/>
      <c r="G1706" s="216"/>
    </row>
    <row r="1707">
      <c r="A1707" s="216"/>
      <c r="B1707" s="216"/>
      <c r="C1707" s="157"/>
      <c r="D1707" s="216"/>
      <c r="E1707" s="216"/>
      <c r="F1707" s="216"/>
      <c r="G1707" s="216"/>
    </row>
    <row r="1708">
      <c r="A1708" s="216"/>
      <c r="B1708" s="216"/>
      <c r="C1708" s="157"/>
      <c r="D1708" s="216"/>
      <c r="E1708" s="216"/>
      <c r="F1708" s="216"/>
      <c r="G1708" s="216"/>
    </row>
    <row r="1709">
      <c r="A1709" s="216"/>
      <c r="B1709" s="216"/>
      <c r="C1709" s="157"/>
      <c r="D1709" s="216"/>
      <c r="E1709" s="216"/>
      <c r="F1709" s="216"/>
      <c r="G1709" s="216"/>
    </row>
    <row r="1710">
      <c r="A1710" s="216"/>
      <c r="B1710" s="216"/>
      <c r="C1710" s="157"/>
      <c r="D1710" s="216"/>
      <c r="E1710" s="216"/>
      <c r="F1710" s="216"/>
      <c r="G1710" s="216"/>
    </row>
    <row r="1711">
      <c r="A1711" s="216"/>
      <c r="B1711" s="216"/>
      <c r="C1711" s="157"/>
      <c r="D1711" s="216"/>
      <c r="E1711" s="216"/>
      <c r="F1711" s="216"/>
      <c r="G1711" s="216"/>
    </row>
    <row r="1712">
      <c r="A1712" s="216"/>
      <c r="B1712" s="216"/>
      <c r="C1712" s="157"/>
      <c r="D1712" s="216"/>
      <c r="E1712" s="216"/>
      <c r="F1712" s="216"/>
      <c r="G1712" s="216"/>
    </row>
    <row r="1713">
      <c r="A1713" s="216"/>
      <c r="B1713" s="216"/>
      <c r="C1713" s="157"/>
      <c r="D1713" s="216"/>
      <c r="E1713" s="216"/>
      <c r="F1713" s="216"/>
      <c r="G1713" s="216"/>
    </row>
    <row r="1714">
      <c r="A1714" s="216"/>
      <c r="B1714" s="216"/>
      <c r="C1714" s="157"/>
      <c r="D1714" s="216"/>
      <c r="E1714" s="216"/>
      <c r="F1714" s="216"/>
      <c r="G1714" s="216"/>
    </row>
    <row r="1715">
      <c r="A1715" s="216"/>
      <c r="B1715" s="216"/>
      <c r="C1715" s="157"/>
      <c r="D1715" s="216"/>
      <c r="E1715" s="216"/>
      <c r="F1715" s="216"/>
      <c r="G1715" s="216"/>
    </row>
    <row r="1716">
      <c r="A1716" s="216"/>
      <c r="B1716" s="216"/>
      <c r="C1716" s="157"/>
      <c r="D1716" s="216"/>
      <c r="E1716" s="216"/>
      <c r="F1716" s="216"/>
      <c r="G1716" s="216"/>
    </row>
    <row r="1717">
      <c r="A1717" s="216"/>
      <c r="B1717" s="216"/>
      <c r="C1717" s="157"/>
      <c r="D1717" s="216"/>
      <c r="E1717" s="216"/>
      <c r="F1717" s="216"/>
      <c r="G1717" s="216"/>
    </row>
    <row r="1718">
      <c r="A1718" s="216"/>
      <c r="B1718" s="216"/>
      <c r="C1718" s="157"/>
      <c r="D1718" s="216"/>
      <c r="E1718" s="216"/>
      <c r="F1718" s="216"/>
      <c r="G1718" s="216"/>
    </row>
    <row r="1719">
      <c r="A1719" s="216"/>
      <c r="B1719" s="216"/>
      <c r="C1719" s="157"/>
      <c r="D1719" s="216"/>
      <c r="E1719" s="216"/>
      <c r="F1719" s="216"/>
      <c r="G1719" s="216"/>
    </row>
    <row r="1720">
      <c r="A1720" s="216"/>
      <c r="B1720" s="216"/>
      <c r="C1720" s="157"/>
      <c r="D1720" s="216"/>
      <c r="E1720" s="216"/>
      <c r="F1720" s="216"/>
      <c r="G1720" s="216"/>
    </row>
    <row r="1721">
      <c r="A1721" s="216"/>
      <c r="B1721" s="216"/>
      <c r="C1721" s="157"/>
      <c r="D1721" s="216"/>
      <c r="E1721" s="216"/>
      <c r="F1721" s="216"/>
      <c r="G1721" s="216"/>
    </row>
    <row r="1722">
      <c r="A1722" s="216"/>
      <c r="B1722" s="216"/>
      <c r="C1722" s="157"/>
      <c r="D1722" s="216"/>
      <c r="E1722" s="216"/>
      <c r="F1722" s="216"/>
      <c r="G1722" s="216"/>
    </row>
    <row r="1723">
      <c r="A1723" s="216"/>
      <c r="B1723" s="216"/>
      <c r="C1723" s="157"/>
      <c r="D1723" s="216"/>
      <c r="E1723" s="216"/>
      <c r="F1723" s="216"/>
      <c r="G1723" s="216"/>
    </row>
    <row r="1724">
      <c r="A1724" s="216"/>
      <c r="B1724" s="216"/>
      <c r="C1724" s="157"/>
      <c r="D1724" s="216"/>
      <c r="E1724" s="216"/>
      <c r="F1724" s="216"/>
      <c r="G1724" s="216"/>
    </row>
    <row r="1725">
      <c r="A1725" s="216"/>
      <c r="B1725" s="216"/>
      <c r="C1725" s="157"/>
      <c r="D1725" s="216"/>
      <c r="E1725" s="216"/>
      <c r="F1725" s="216"/>
      <c r="G1725" s="216"/>
    </row>
    <row r="1726">
      <c r="A1726" s="216"/>
      <c r="B1726" s="216"/>
      <c r="C1726" s="157"/>
      <c r="D1726" s="216"/>
      <c r="E1726" s="216"/>
      <c r="F1726" s="216"/>
      <c r="G1726" s="216"/>
    </row>
    <row r="1727">
      <c r="A1727" s="216"/>
      <c r="B1727" s="216"/>
      <c r="C1727" s="157"/>
      <c r="D1727" s="216"/>
      <c r="E1727" s="216"/>
      <c r="F1727" s="216"/>
      <c r="G1727" s="216"/>
    </row>
    <row r="1728">
      <c r="A1728" s="216"/>
      <c r="B1728" s="216"/>
      <c r="C1728" s="157"/>
      <c r="D1728" s="216"/>
      <c r="E1728" s="216"/>
      <c r="F1728" s="216"/>
      <c r="G1728" s="216"/>
    </row>
    <row r="1729">
      <c r="A1729" s="216"/>
      <c r="B1729" s="216"/>
      <c r="C1729" s="157"/>
      <c r="D1729" s="216"/>
      <c r="E1729" s="216"/>
      <c r="F1729" s="216"/>
      <c r="G1729" s="216"/>
    </row>
    <row r="1730">
      <c r="A1730" s="216"/>
      <c r="B1730" s="216"/>
      <c r="C1730" s="157"/>
      <c r="D1730" s="216"/>
      <c r="E1730" s="216"/>
      <c r="F1730" s="216"/>
      <c r="G1730" s="216"/>
    </row>
    <row r="1731">
      <c r="A1731" s="216"/>
      <c r="B1731" s="216"/>
      <c r="C1731" s="157"/>
      <c r="D1731" s="216"/>
      <c r="E1731" s="216"/>
      <c r="F1731" s="216"/>
      <c r="G1731" s="216"/>
    </row>
    <row r="1732">
      <c r="A1732" s="216"/>
      <c r="B1732" s="216"/>
      <c r="C1732" s="157"/>
      <c r="D1732" s="216"/>
      <c r="E1732" s="216"/>
      <c r="F1732" s="216"/>
      <c r="G1732" s="216"/>
    </row>
    <row r="1733">
      <c r="A1733" s="216"/>
      <c r="B1733" s="216"/>
      <c r="C1733" s="157"/>
      <c r="D1733" s="216"/>
      <c r="E1733" s="216"/>
      <c r="F1733" s="216"/>
      <c r="G1733" s="216"/>
    </row>
    <row r="1734">
      <c r="A1734" s="216"/>
      <c r="B1734" s="216"/>
      <c r="C1734" s="157"/>
      <c r="D1734" s="216"/>
      <c r="E1734" s="216"/>
      <c r="F1734" s="216"/>
      <c r="G1734" s="216"/>
    </row>
    <row r="1735">
      <c r="A1735" s="216"/>
      <c r="B1735" s="216"/>
      <c r="C1735" s="157"/>
      <c r="D1735" s="216"/>
      <c r="E1735" s="216"/>
      <c r="F1735" s="216"/>
      <c r="G1735" s="216"/>
    </row>
    <row r="1736">
      <c r="A1736" s="216"/>
      <c r="B1736" s="216"/>
      <c r="C1736" s="157"/>
      <c r="D1736" s="216"/>
      <c r="E1736" s="216"/>
      <c r="F1736" s="216"/>
      <c r="G1736" s="216"/>
    </row>
    <row r="1737">
      <c r="A1737" s="216"/>
      <c r="B1737" s="216"/>
      <c r="C1737" s="157"/>
      <c r="D1737" s="216"/>
      <c r="E1737" s="216"/>
      <c r="F1737" s="216"/>
      <c r="G1737" s="216"/>
    </row>
    <row r="1738">
      <c r="A1738" s="216"/>
      <c r="B1738" s="216"/>
      <c r="C1738" s="157"/>
      <c r="D1738" s="216"/>
      <c r="E1738" s="216"/>
      <c r="F1738" s="216"/>
      <c r="G1738" s="216"/>
    </row>
    <row r="1739">
      <c r="A1739" s="216"/>
      <c r="B1739" s="216"/>
      <c r="C1739" s="157"/>
      <c r="D1739" s="216"/>
      <c r="E1739" s="216"/>
      <c r="F1739" s="216"/>
      <c r="G1739" s="216"/>
    </row>
    <row r="1740">
      <c r="A1740" s="216"/>
      <c r="B1740" s="216"/>
      <c r="C1740" s="157"/>
      <c r="D1740" s="216"/>
      <c r="E1740" s="216"/>
      <c r="F1740" s="216"/>
      <c r="G1740" s="216"/>
    </row>
    <row r="1741">
      <c r="A1741" s="216"/>
      <c r="B1741" s="216"/>
      <c r="C1741" s="157"/>
      <c r="D1741" s="216"/>
      <c r="E1741" s="216"/>
      <c r="F1741" s="216"/>
      <c r="G1741" s="216"/>
    </row>
    <row r="1742">
      <c r="A1742" s="216"/>
      <c r="B1742" s="216"/>
      <c r="C1742" s="157"/>
      <c r="D1742" s="216"/>
      <c r="E1742" s="216"/>
      <c r="F1742" s="216"/>
      <c r="G1742" s="216"/>
    </row>
    <row r="1743">
      <c r="A1743" s="216"/>
      <c r="B1743" s="216"/>
      <c r="C1743" s="157"/>
      <c r="D1743" s="216"/>
      <c r="E1743" s="216"/>
      <c r="F1743" s="216"/>
      <c r="G1743" s="216"/>
    </row>
    <row r="1744">
      <c r="A1744" s="216"/>
      <c r="B1744" s="216"/>
      <c r="C1744" s="157"/>
      <c r="D1744" s="216"/>
      <c r="E1744" s="216"/>
      <c r="F1744" s="216"/>
      <c r="G1744" s="216"/>
    </row>
    <row r="1745">
      <c r="A1745" s="216"/>
      <c r="B1745" s="216"/>
      <c r="C1745" s="157"/>
      <c r="D1745" s="216"/>
      <c r="E1745" s="216"/>
      <c r="F1745" s="216"/>
      <c r="G1745" s="216"/>
    </row>
    <row r="1746">
      <c r="A1746" s="216"/>
      <c r="B1746" s="216"/>
      <c r="C1746" s="157"/>
      <c r="D1746" s="216"/>
      <c r="E1746" s="216"/>
      <c r="F1746" s="216"/>
      <c r="G1746" s="216"/>
    </row>
    <row r="1747">
      <c r="A1747" s="216"/>
      <c r="B1747" s="216"/>
      <c r="C1747" s="157"/>
      <c r="D1747" s="216"/>
      <c r="E1747" s="216"/>
      <c r="F1747" s="216"/>
      <c r="G1747" s="216"/>
    </row>
    <row r="1748">
      <c r="A1748" s="216"/>
      <c r="B1748" s="216"/>
      <c r="C1748" s="157"/>
      <c r="D1748" s="216"/>
      <c r="E1748" s="216"/>
      <c r="F1748" s="216"/>
      <c r="G1748" s="216"/>
    </row>
    <row r="1749">
      <c r="A1749" s="216"/>
      <c r="B1749" s="216"/>
      <c r="C1749" s="157"/>
      <c r="D1749" s="216"/>
      <c r="E1749" s="216"/>
      <c r="F1749" s="216"/>
      <c r="G1749" s="216"/>
    </row>
    <row r="1750">
      <c r="A1750" s="216"/>
      <c r="B1750" s="216"/>
      <c r="C1750" s="157"/>
      <c r="D1750" s="216"/>
      <c r="E1750" s="216"/>
      <c r="F1750" s="216"/>
      <c r="G1750" s="216"/>
    </row>
    <row r="1751">
      <c r="A1751" s="216"/>
      <c r="B1751" s="216"/>
      <c r="C1751" s="157"/>
      <c r="D1751" s="216"/>
      <c r="E1751" s="216"/>
      <c r="F1751" s="216"/>
      <c r="G1751" s="216"/>
    </row>
    <row r="1752">
      <c r="A1752" s="216"/>
      <c r="B1752" s="216"/>
      <c r="C1752" s="157"/>
      <c r="D1752" s="216"/>
      <c r="E1752" s="216"/>
      <c r="F1752" s="216"/>
      <c r="G1752" s="216"/>
    </row>
    <row r="1753">
      <c r="A1753" s="216"/>
      <c r="B1753" s="216"/>
      <c r="C1753" s="157"/>
      <c r="D1753" s="216"/>
      <c r="E1753" s="216"/>
      <c r="F1753" s="216"/>
      <c r="G1753" s="216"/>
    </row>
    <row r="1754">
      <c r="A1754" s="216"/>
      <c r="B1754" s="216"/>
      <c r="C1754" s="157"/>
      <c r="D1754" s="216"/>
      <c r="E1754" s="216"/>
      <c r="F1754" s="216"/>
      <c r="G1754" s="216"/>
    </row>
    <row r="1755">
      <c r="A1755" s="216"/>
      <c r="B1755" s="216"/>
      <c r="C1755" s="157"/>
      <c r="D1755" s="216"/>
      <c r="E1755" s="216"/>
      <c r="F1755" s="216"/>
      <c r="G1755" s="216"/>
    </row>
    <row r="1756">
      <c r="A1756" s="216"/>
      <c r="B1756" s="216"/>
      <c r="C1756" s="157"/>
      <c r="D1756" s="216"/>
      <c r="E1756" s="216"/>
      <c r="F1756" s="216"/>
      <c r="G1756" s="216"/>
    </row>
    <row r="1757">
      <c r="A1757" s="216"/>
      <c r="B1757" s="216"/>
      <c r="C1757" s="157"/>
      <c r="D1757" s="216"/>
      <c r="E1757" s="216"/>
      <c r="F1757" s="216"/>
      <c r="G1757" s="216"/>
    </row>
    <row r="1758">
      <c r="A1758" s="216"/>
      <c r="B1758" s="216"/>
      <c r="C1758" s="157"/>
      <c r="D1758" s="216"/>
      <c r="E1758" s="216"/>
      <c r="F1758" s="216"/>
      <c r="G1758" s="216"/>
    </row>
    <row r="1759">
      <c r="A1759" s="216"/>
      <c r="B1759" s="216"/>
      <c r="C1759" s="157"/>
      <c r="D1759" s="216"/>
      <c r="E1759" s="216"/>
      <c r="F1759" s="216"/>
      <c r="G1759" s="216"/>
    </row>
    <row r="1760">
      <c r="A1760" s="216"/>
      <c r="B1760" s="216"/>
      <c r="C1760" s="157"/>
      <c r="D1760" s="216"/>
      <c r="E1760" s="216"/>
      <c r="F1760" s="216"/>
      <c r="G1760" s="216"/>
    </row>
    <row r="1761">
      <c r="A1761" s="216"/>
      <c r="B1761" s="216"/>
      <c r="C1761" s="157"/>
      <c r="D1761" s="216"/>
      <c r="E1761" s="216"/>
      <c r="F1761" s="216"/>
      <c r="G1761" s="216"/>
    </row>
    <row r="1762">
      <c r="A1762" s="216"/>
      <c r="B1762" s="216"/>
      <c r="C1762" s="157"/>
      <c r="D1762" s="216"/>
      <c r="E1762" s="216"/>
      <c r="F1762" s="216"/>
      <c r="G1762" s="216"/>
    </row>
    <row r="1763">
      <c r="A1763" s="216"/>
      <c r="B1763" s="216"/>
      <c r="C1763" s="157"/>
      <c r="D1763" s="216"/>
      <c r="E1763" s="216"/>
      <c r="F1763" s="216"/>
      <c r="G1763" s="216"/>
    </row>
    <row r="1764">
      <c r="A1764" s="216"/>
      <c r="B1764" s="216"/>
      <c r="C1764" s="157"/>
      <c r="D1764" s="216"/>
      <c r="E1764" s="216"/>
      <c r="F1764" s="216"/>
      <c r="G1764" s="216"/>
    </row>
    <row r="1765">
      <c r="A1765" s="216"/>
      <c r="B1765" s="216"/>
      <c r="C1765" s="157"/>
      <c r="D1765" s="216"/>
      <c r="E1765" s="216"/>
      <c r="F1765" s="216"/>
      <c r="G1765" s="216"/>
    </row>
    <row r="1766">
      <c r="A1766" s="216"/>
      <c r="B1766" s="216"/>
      <c r="C1766" s="157"/>
      <c r="D1766" s="216"/>
      <c r="E1766" s="216"/>
      <c r="F1766" s="216"/>
      <c r="G1766" s="216"/>
    </row>
    <row r="1767">
      <c r="A1767" s="216"/>
      <c r="B1767" s="216"/>
      <c r="C1767" s="157"/>
      <c r="D1767" s="216"/>
      <c r="E1767" s="216"/>
      <c r="F1767" s="216"/>
      <c r="G1767" s="216"/>
    </row>
    <row r="1768">
      <c r="A1768" s="216"/>
      <c r="B1768" s="216"/>
      <c r="C1768" s="157"/>
      <c r="D1768" s="216"/>
      <c r="E1768" s="216"/>
      <c r="F1768" s="216"/>
      <c r="G1768" s="216"/>
    </row>
    <row r="1769">
      <c r="A1769" s="216"/>
      <c r="B1769" s="216"/>
      <c r="C1769" s="157"/>
      <c r="D1769" s="216"/>
      <c r="E1769" s="216"/>
      <c r="F1769" s="216"/>
      <c r="G1769" s="216"/>
    </row>
    <row r="1770">
      <c r="A1770" s="216"/>
      <c r="B1770" s="216"/>
      <c r="C1770" s="157"/>
      <c r="D1770" s="216"/>
      <c r="E1770" s="216"/>
      <c r="F1770" s="216"/>
      <c r="G1770" s="216"/>
    </row>
    <row r="1771">
      <c r="A1771" s="216"/>
      <c r="B1771" s="216"/>
      <c r="C1771" s="157"/>
      <c r="D1771" s="216"/>
      <c r="E1771" s="216"/>
      <c r="F1771" s="216"/>
      <c r="G1771" s="216"/>
    </row>
    <row r="1772">
      <c r="A1772" s="216"/>
      <c r="B1772" s="216"/>
      <c r="C1772" s="157"/>
      <c r="D1772" s="216"/>
      <c r="E1772" s="216"/>
      <c r="F1772" s="216"/>
      <c r="G1772" s="216"/>
    </row>
    <row r="1773">
      <c r="A1773" s="216"/>
      <c r="B1773" s="216"/>
      <c r="C1773" s="157"/>
      <c r="D1773" s="216"/>
      <c r="E1773" s="216"/>
      <c r="F1773" s="216"/>
      <c r="G1773" s="216"/>
    </row>
    <row r="1774">
      <c r="A1774" s="216"/>
      <c r="B1774" s="216"/>
      <c r="C1774" s="157"/>
      <c r="D1774" s="216"/>
      <c r="E1774" s="216"/>
      <c r="F1774" s="216"/>
      <c r="G1774" s="216"/>
    </row>
    <row r="1775">
      <c r="A1775" s="216"/>
      <c r="B1775" s="216"/>
      <c r="C1775" s="157"/>
      <c r="D1775" s="216"/>
      <c r="E1775" s="216"/>
      <c r="F1775" s="216"/>
      <c r="G1775" s="216"/>
    </row>
    <row r="1776">
      <c r="A1776" s="216"/>
      <c r="B1776" s="216"/>
      <c r="C1776" s="157"/>
      <c r="D1776" s="216"/>
      <c r="E1776" s="216"/>
      <c r="F1776" s="216"/>
      <c r="G1776" s="216"/>
    </row>
    <row r="1777">
      <c r="A1777" s="216"/>
      <c r="B1777" s="216"/>
      <c r="C1777" s="157"/>
      <c r="D1777" s="216"/>
      <c r="E1777" s="216"/>
      <c r="F1777" s="216"/>
      <c r="G1777" s="216"/>
    </row>
    <row r="1778">
      <c r="A1778" s="216"/>
      <c r="B1778" s="216"/>
      <c r="C1778" s="157"/>
      <c r="D1778" s="216"/>
      <c r="E1778" s="216"/>
      <c r="F1778" s="216"/>
      <c r="G1778" s="216"/>
    </row>
    <row r="1779">
      <c r="A1779" s="216"/>
      <c r="B1779" s="216"/>
      <c r="C1779" s="157"/>
      <c r="D1779" s="216"/>
      <c r="E1779" s="216"/>
      <c r="F1779" s="216"/>
      <c r="G1779" s="216"/>
    </row>
    <row r="1780">
      <c r="A1780" s="216"/>
      <c r="B1780" s="216"/>
      <c r="C1780" s="157"/>
      <c r="D1780" s="216"/>
      <c r="E1780" s="216"/>
      <c r="F1780" s="216"/>
      <c r="G1780" s="216"/>
    </row>
    <row r="1781">
      <c r="A1781" s="216"/>
      <c r="B1781" s="216"/>
      <c r="C1781" s="157"/>
      <c r="D1781" s="216"/>
      <c r="E1781" s="216"/>
      <c r="F1781" s="216"/>
      <c r="G1781" s="216"/>
    </row>
    <row r="1782">
      <c r="A1782" s="216"/>
      <c r="B1782" s="216"/>
      <c r="C1782" s="157"/>
      <c r="D1782" s="216"/>
      <c r="E1782" s="216"/>
      <c r="F1782" s="216"/>
      <c r="G1782" s="216"/>
    </row>
    <row r="1783">
      <c r="A1783" s="216"/>
      <c r="B1783" s="216"/>
      <c r="C1783" s="157"/>
      <c r="D1783" s="216"/>
      <c r="E1783" s="216"/>
      <c r="F1783" s="216"/>
      <c r="G1783" s="216"/>
    </row>
    <row r="1784">
      <c r="A1784" s="216"/>
      <c r="B1784" s="216"/>
      <c r="C1784" s="157"/>
      <c r="D1784" s="216"/>
      <c r="E1784" s="216"/>
      <c r="F1784" s="216"/>
      <c r="G1784" s="216"/>
    </row>
    <row r="1785">
      <c r="A1785" s="216"/>
      <c r="B1785" s="216"/>
      <c r="C1785" s="157"/>
      <c r="D1785" s="216"/>
      <c r="E1785" s="216"/>
      <c r="F1785" s="216"/>
      <c r="G1785" s="216"/>
    </row>
    <row r="1786">
      <c r="A1786" s="216"/>
      <c r="B1786" s="216"/>
      <c r="C1786" s="157"/>
      <c r="D1786" s="216"/>
      <c r="E1786" s="216"/>
      <c r="F1786" s="216"/>
      <c r="G1786" s="216"/>
    </row>
    <row r="1787">
      <c r="A1787" s="216"/>
      <c r="B1787" s="216"/>
      <c r="C1787" s="157"/>
      <c r="D1787" s="216"/>
      <c r="E1787" s="216"/>
      <c r="F1787" s="216"/>
      <c r="G1787" s="216"/>
    </row>
    <row r="1788">
      <c r="A1788" s="216"/>
      <c r="B1788" s="216"/>
      <c r="C1788" s="157"/>
      <c r="D1788" s="216"/>
      <c r="E1788" s="216"/>
      <c r="F1788" s="216"/>
      <c r="G1788" s="216"/>
    </row>
    <row r="1789">
      <c r="A1789" s="216"/>
      <c r="B1789" s="216"/>
      <c r="C1789" s="157"/>
      <c r="D1789" s="216"/>
      <c r="E1789" s="216"/>
      <c r="F1789" s="216"/>
      <c r="G1789" s="216"/>
    </row>
    <row r="1790">
      <c r="A1790" s="216"/>
      <c r="B1790" s="216"/>
      <c r="C1790" s="157"/>
      <c r="D1790" s="216"/>
      <c r="E1790" s="216"/>
      <c r="F1790" s="216"/>
      <c r="G1790" s="216"/>
    </row>
    <row r="1791">
      <c r="A1791" s="216"/>
      <c r="B1791" s="216"/>
      <c r="C1791" s="157"/>
      <c r="D1791" s="216"/>
      <c r="E1791" s="216"/>
      <c r="F1791" s="216"/>
      <c r="G1791" s="216"/>
    </row>
    <row r="1792">
      <c r="A1792" s="216"/>
      <c r="B1792" s="216"/>
      <c r="C1792" s="157"/>
      <c r="D1792" s="216"/>
      <c r="E1792" s="216"/>
      <c r="F1792" s="216"/>
      <c r="G1792" s="216"/>
    </row>
    <row r="1793">
      <c r="A1793" s="216"/>
      <c r="B1793" s="216"/>
      <c r="C1793" s="157"/>
      <c r="D1793" s="216"/>
      <c r="E1793" s="216"/>
      <c r="F1793" s="216"/>
      <c r="G1793" s="216"/>
    </row>
    <row r="1794">
      <c r="A1794" s="216"/>
      <c r="B1794" s="216"/>
      <c r="C1794" s="157"/>
      <c r="D1794" s="216"/>
      <c r="E1794" s="216"/>
      <c r="F1794" s="216"/>
      <c r="G1794" s="216"/>
    </row>
    <row r="1795">
      <c r="A1795" s="216"/>
      <c r="B1795" s="216"/>
      <c r="C1795" s="157"/>
      <c r="D1795" s="216"/>
      <c r="E1795" s="216"/>
      <c r="F1795" s="216"/>
      <c r="G1795" s="216"/>
    </row>
    <row r="1796">
      <c r="A1796" s="216"/>
      <c r="B1796" s="216"/>
      <c r="C1796" s="157"/>
      <c r="D1796" s="216"/>
      <c r="E1796" s="216"/>
      <c r="F1796" s="216"/>
      <c r="G1796" s="216"/>
    </row>
    <row r="1797">
      <c r="A1797" s="216"/>
      <c r="B1797" s="216"/>
      <c r="C1797" s="157"/>
      <c r="D1797" s="216"/>
      <c r="E1797" s="216"/>
      <c r="F1797" s="216"/>
      <c r="G1797" s="216"/>
    </row>
    <row r="1798">
      <c r="A1798" s="216"/>
      <c r="B1798" s="216"/>
      <c r="C1798" s="157"/>
      <c r="D1798" s="216"/>
      <c r="E1798" s="216"/>
      <c r="F1798" s="216"/>
      <c r="G1798" s="216"/>
    </row>
    <row r="1799">
      <c r="A1799" s="216"/>
      <c r="B1799" s="216"/>
      <c r="C1799" s="157"/>
      <c r="D1799" s="216"/>
      <c r="E1799" s="216"/>
      <c r="F1799" s="216"/>
      <c r="G1799" s="216"/>
    </row>
    <row r="1800">
      <c r="A1800" s="216"/>
      <c r="B1800" s="216"/>
      <c r="C1800" s="157"/>
      <c r="D1800" s="216"/>
      <c r="E1800" s="216"/>
      <c r="F1800" s="216"/>
      <c r="G1800" s="216"/>
    </row>
    <row r="1801">
      <c r="A1801" s="216"/>
      <c r="B1801" s="216"/>
      <c r="C1801" s="157"/>
      <c r="D1801" s="216"/>
      <c r="E1801" s="216"/>
      <c r="F1801" s="216"/>
      <c r="G1801" s="216"/>
    </row>
    <row r="1802">
      <c r="A1802" s="216"/>
      <c r="B1802" s="216"/>
      <c r="C1802" s="157"/>
      <c r="D1802" s="216"/>
      <c r="E1802" s="216"/>
      <c r="F1802" s="216"/>
      <c r="G1802" s="216"/>
    </row>
    <row r="1803">
      <c r="A1803" s="216"/>
      <c r="B1803" s="216"/>
      <c r="C1803" s="157"/>
      <c r="D1803" s="216"/>
      <c r="E1803" s="216"/>
      <c r="F1803" s="216"/>
      <c r="G1803" s="216"/>
    </row>
    <row r="1804">
      <c r="A1804" s="216"/>
      <c r="B1804" s="216"/>
      <c r="C1804" s="157"/>
      <c r="D1804" s="216"/>
      <c r="E1804" s="216"/>
      <c r="F1804" s="216"/>
      <c r="G1804" s="216"/>
    </row>
    <row r="1805">
      <c r="A1805" s="216"/>
      <c r="B1805" s="216"/>
      <c r="C1805" s="157"/>
      <c r="D1805" s="216"/>
      <c r="E1805" s="216"/>
      <c r="F1805" s="216"/>
      <c r="G1805" s="216"/>
    </row>
    <row r="1806">
      <c r="A1806" s="216"/>
      <c r="B1806" s="216"/>
      <c r="C1806" s="157"/>
      <c r="D1806" s="216"/>
      <c r="E1806" s="216"/>
      <c r="F1806" s="216"/>
      <c r="G1806" s="216"/>
    </row>
    <row r="1807">
      <c r="A1807" s="216"/>
      <c r="B1807" s="216"/>
      <c r="C1807" s="157"/>
      <c r="D1807" s="216"/>
      <c r="E1807" s="216"/>
      <c r="F1807" s="216"/>
      <c r="G1807" s="216"/>
    </row>
    <row r="1808">
      <c r="A1808" s="216"/>
      <c r="B1808" s="216"/>
      <c r="C1808" s="157"/>
      <c r="D1808" s="216"/>
      <c r="E1808" s="216"/>
      <c r="F1808" s="216"/>
      <c r="G1808" s="216"/>
    </row>
    <row r="1809">
      <c r="A1809" s="216"/>
      <c r="B1809" s="216"/>
      <c r="C1809" s="157"/>
      <c r="D1809" s="216"/>
      <c r="E1809" s="216"/>
      <c r="F1809" s="216"/>
      <c r="G1809" s="216"/>
    </row>
    <row r="1810">
      <c r="A1810" s="216"/>
      <c r="B1810" s="216"/>
      <c r="C1810" s="157"/>
      <c r="D1810" s="216"/>
      <c r="E1810" s="216"/>
      <c r="F1810" s="216"/>
      <c r="G1810" s="216"/>
    </row>
    <row r="1811">
      <c r="A1811" s="216"/>
      <c r="B1811" s="216"/>
      <c r="C1811" s="157"/>
      <c r="D1811" s="216"/>
      <c r="E1811" s="216"/>
      <c r="F1811" s="216"/>
      <c r="G1811" s="216"/>
    </row>
    <row r="1812">
      <c r="A1812" s="216"/>
      <c r="B1812" s="216"/>
      <c r="C1812" s="157"/>
      <c r="D1812" s="216"/>
      <c r="E1812" s="216"/>
      <c r="F1812" s="216"/>
      <c r="G1812" s="216"/>
    </row>
    <row r="1813">
      <c r="A1813" s="216"/>
      <c r="B1813" s="216"/>
      <c r="C1813" s="157"/>
      <c r="D1813" s="216"/>
      <c r="E1813" s="216"/>
      <c r="F1813" s="216"/>
      <c r="G1813" s="216"/>
    </row>
    <row r="1814">
      <c r="A1814" s="216"/>
      <c r="B1814" s="216"/>
      <c r="C1814" s="157"/>
      <c r="D1814" s="216"/>
      <c r="E1814" s="216"/>
      <c r="F1814" s="216"/>
      <c r="G1814" s="216"/>
    </row>
    <row r="1815">
      <c r="A1815" s="216"/>
      <c r="B1815" s="216"/>
      <c r="C1815" s="157"/>
      <c r="D1815" s="216"/>
      <c r="E1815" s="216"/>
      <c r="F1815" s="216"/>
      <c r="G1815" s="216"/>
    </row>
    <row r="1816">
      <c r="A1816" s="216"/>
      <c r="B1816" s="216"/>
      <c r="C1816" s="157"/>
      <c r="D1816" s="216"/>
      <c r="E1816" s="216"/>
      <c r="F1816" s="216"/>
      <c r="G1816" s="216"/>
    </row>
    <row r="1817">
      <c r="A1817" s="216"/>
      <c r="B1817" s="216"/>
      <c r="C1817" s="157"/>
      <c r="D1817" s="216"/>
      <c r="E1817" s="216"/>
      <c r="F1817" s="216"/>
      <c r="G1817" s="216"/>
    </row>
    <row r="1818">
      <c r="A1818" s="216"/>
      <c r="B1818" s="216"/>
      <c r="C1818" s="157"/>
      <c r="D1818" s="216"/>
      <c r="E1818" s="216"/>
      <c r="F1818" s="216"/>
      <c r="G1818" s="216"/>
    </row>
    <row r="1819">
      <c r="A1819" s="216"/>
      <c r="B1819" s="216"/>
      <c r="C1819" s="157"/>
      <c r="D1819" s="216"/>
      <c r="E1819" s="216"/>
      <c r="F1819" s="216"/>
      <c r="G1819" s="216"/>
    </row>
    <row r="1820">
      <c r="A1820" s="216"/>
      <c r="B1820" s="216"/>
      <c r="C1820" s="157"/>
      <c r="D1820" s="216"/>
      <c r="E1820" s="216"/>
      <c r="F1820" s="216"/>
      <c r="G1820" s="216"/>
    </row>
    <row r="1821">
      <c r="A1821" s="216"/>
      <c r="B1821" s="216"/>
      <c r="C1821" s="157"/>
      <c r="D1821" s="216"/>
      <c r="E1821" s="216"/>
      <c r="F1821" s="216"/>
      <c r="G1821" s="216"/>
    </row>
    <row r="1822">
      <c r="A1822" s="216"/>
      <c r="B1822" s="216"/>
      <c r="C1822" s="157"/>
      <c r="D1822" s="216"/>
      <c r="E1822" s="216"/>
      <c r="F1822" s="216"/>
      <c r="G1822" s="216"/>
    </row>
    <row r="1823">
      <c r="A1823" s="216"/>
      <c r="B1823" s="216"/>
      <c r="C1823" s="157"/>
      <c r="D1823" s="216"/>
      <c r="E1823" s="216"/>
      <c r="F1823" s="216"/>
      <c r="G1823" s="216"/>
    </row>
    <row r="1824">
      <c r="A1824" s="216"/>
      <c r="B1824" s="216"/>
      <c r="C1824" s="157"/>
      <c r="D1824" s="216"/>
      <c r="E1824" s="216"/>
      <c r="F1824" s="216"/>
      <c r="G1824" s="216"/>
    </row>
    <row r="1825">
      <c r="A1825" s="216"/>
      <c r="B1825" s="216"/>
      <c r="C1825" s="157"/>
      <c r="D1825" s="216"/>
      <c r="E1825" s="216"/>
      <c r="F1825" s="216"/>
      <c r="G1825" s="216"/>
    </row>
    <row r="1826">
      <c r="A1826" s="216"/>
      <c r="B1826" s="216"/>
      <c r="C1826" s="157"/>
      <c r="D1826" s="216"/>
      <c r="E1826" s="216"/>
      <c r="F1826" s="216"/>
      <c r="G1826" s="216"/>
    </row>
    <row r="1827">
      <c r="A1827" s="216"/>
      <c r="B1827" s="216"/>
      <c r="C1827" s="157"/>
      <c r="D1827" s="216"/>
      <c r="E1827" s="216"/>
      <c r="F1827" s="216"/>
      <c r="G1827" s="216"/>
    </row>
    <row r="1828">
      <c r="A1828" s="216"/>
      <c r="B1828" s="216"/>
      <c r="C1828" s="157"/>
      <c r="D1828" s="216"/>
      <c r="E1828" s="216"/>
      <c r="F1828" s="216"/>
      <c r="G1828" s="216"/>
    </row>
    <row r="1829">
      <c r="A1829" s="216"/>
      <c r="B1829" s="216"/>
      <c r="C1829" s="157"/>
      <c r="D1829" s="216"/>
      <c r="E1829" s="216"/>
      <c r="F1829" s="216"/>
      <c r="G1829" s="216"/>
    </row>
    <row r="1830">
      <c r="A1830" s="216"/>
      <c r="B1830" s="216"/>
      <c r="C1830" s="157"/>
      <c r="D1830" s="216"/>
      <c r="E1830" s="216"/>
      <c r="F1830" s="216"/>
      <c r="G1830" s="216"/>
    </row>
    <row r="1831">
      <c r="A1831" s="216"/>
      <c r="B1831" s="216"/>
      <c r="C1831" s="157"/>
      <c r="D1831" s="216"/>
      <c r="E1831" s="216"/>
      <c r="F1831" s="216"/>
      <c r="G1831" s="216"/>
    </row>
    <row r="1832">
      <c r="A1832" s="216"/>
      <c r="B1832" s="216"/>
      <c r="C1832" s="157"/>
      <c r="D1832" s="216"/>
      <c r="E1832" s="216"/>
      <c r="F1832" s="216"/>
      <c r="G1832" s="216"/>
    </row>
    <row r="1833">
      <c r="A1833" s="216"/>
      <c r="B1833" s="216"/>
      <c r="C1833" s="157"/>
      <c r="D1833" s="216"/>
      <c r="E1833" s="216"/>
      <c r="F1833" s="216"/>
      <c r="G1833" s="216"/>
    </row>
    <row r="1834">
      <c r="A1834" s="216"/>
      <c r="B1834" s="216"/>
      <c r="C1834" s="157"/>
      <c r="D1834" s="216"/>
      <c r="E1834" s="216"/>
      <c r="F1834" s="216"/>
      <c r="G1834" s="216"/>
    </row>
    <row r="1835">
      <c r="A1835" s="216"/>
      <c r="B1835" s="216"/>
      <c r="C1835" s="157"/>
      <c r="D1835" s="216"/>
      <c r="E1835" s="216"/>
      <c r="F1835" s="216"/>
      <c r="G1835" s="216"/>
    </row>
    <row r="1836">
      <c r="A1836" s="216"/>
      <c r="B1836" s="216"/>
      <c r="C1836" s="157"/>
      <c r="D1836" s="216"/>
      <c r="E1836" s="216"/>
      <c r="F1836" s="216"/>
      <c r="G1836" s="216"/>
    </row>
    <row r="1837">
      <c r="A1837" s="216"/>
      <c r="B1837" s="216"/>
      <c r="C1837" s="157"/>
      <c r="D1837" s="216"/>
      <c r="E1837" s="216"/>
      <c r="F1837" s="216"/>
      <c r="G1837" s="216"/>
    </row>
    <row r="1838">
      <c r="A1838" s="216"/>
      <c r="B1838" s="216"/>
      <c r="C1838" s="157"/>
      <c r="D1838" s="216"/>
      <c r="E1838" s="216"/>
      <c r="F1838" s="216"/>
      <c r="G1838" s="216"/>
    </row>
    <row r="1839">
      <c r="A1839" s="216"/>
      <c r="B1839" s="216"/>
      <c r="C1839" s="157"/>
      <c r="D1839" s="216"/>
      <c r="E1839" s="216"/>
      <c r="F1839" s="216"/>
      <c r="G1839" s="216"/>
    </row>
    <row r="1840">
      <c r="A1840" s="216"/>
      <c r="B1840" s="216"/>
      <c r="C1840" s="157"/>
      <c r="D1840" s="216"/>
      <c r="E1840" s="216"/>
      <c r="F1840" s="216"/>
      <c r="G1840" s="216"/>
    </row>
    <row r="1841">
      <c r="A1841" s="216"/>
      <c r="B1841" s="216"/>
      <c r="C1841" s="157"/>
      <c r="D1841" s="216"/>
      <c r="E1841" s="216"/>
      <c r="F1841" s="216"/>
      <c r="G1841" s="216"/>
    </row>
    <row r="1842">
      <c r="A1842" s="216"/>
      <c r="B1842" s="216"/>
      <c r="C1842" s="157"/>
      <c r="D1842" s="216"/>
      <c r="E1842" s="216"/>
      <c r="F1842" s="216"/>
      <c r="G1842" s="216"/>
    </row>
    <row r="1843">
      <c r="A1843" s="216"/>
      <c r="B1843" s="216"/>
      <c r="C1843" s="157"/>
      <c r="D1843" s="216"/>
      <c r="E1843" s="216"/>
      <c r="F1843" s="216"/>
      <c r="G1843" s="216"/>
    </row>
    <row r="1844">
      <c r="A1844" s="216"/>
      <c r="B1844" s="216"/>
      <c r="C1844" s="157"/>
      <c r="D1844" s="216"/>
      <c r="E1844" s="216"/>
      <c r="F1844" s="216"/>
      <c r="G1844" s="216"/>
    </row>
    <row r="1845">
      <c r="A1845" s="216"/>
      <c r="B1845" s="216"/>
      <c r="C1845" s="157"/>
      <c r="D1845" s="216"/>
      <c r="E1845" s="216"/>
      <c r="F1845" s="216"/>
      <c r="G1845" s="216"/>
    </row>
    <row r="1846">
      <c r="A1846" s="216"/>
      <c r="B1846" s="216"/>
      <c r="C1846" s="157"/>
      <c r="D1846" s="216"/>
      <c r="E1846" s="216"/>
      <c r="F1846" s="216"/>
      <c r="G1846" s="216"/>
    </row>
    <row r="1847">
      <c r="A1847" s="216"/>
      <c r="B1847" s="216"/>
      <c r="C1847" s="157"/>
      <c r="D1847" s="216"/>
      <c r="E1847" s="216"/>
      <c r="F1847" s="216"/>
      <c r="G1847" s="216"/>
    </row>
    <row r="1848">
      <c r="A1848" s="216"/>
      <c r="B1848" s="216"/>
      <c r="C1848" s="157"/>
      <c r="D1848" s="216"/>
      <c r="E1848" s="216"/>
      <c r="F1848" s="216"/>
      <c r="G1848" s="216"/>
    </row>
    <row r="1849">
      <c r="A1849" s="216"/>
      <c r="B1849" s="216"/>
      <c r="C1849" s="157"/>
      <c r="D1849" s="216"/>
      <c r="E1849" s="216"/>
      <c r="F1849" s="216"/>
      <c r="G1849" s="216"/>
    </row>
    <row r="1850">
      <c r="A1850" s="216"/>
      <c r="B1850" s="216"/>
      <c r="C1850" s="157"/>
      <c r="D1850" s="216"/>
      <c r="E1850" s="216"/>
      <c r="F1850" s="216"/>
      <c r="G1850" s="216"/>
    </row>
    <row r="1851">
      <c r="A1851" s="216"/>
      <c r="B1851" s="216"/>
      <c r="C1851" s="157"/>
      <c r="D1851" s="216"/>
      <c r="E1851" s="216"/>
      <c r="F1851" s="216"/>
      <c r="G1851" s="216"/>
    </row>
    <row r="1852">
      <c r="A1852" s="216"/>
      <c r="B1852" s="216"/>
      <c r="C1852" s="157"/>
      <c r="D1852" s="216"/>
      <c r="E1852" s="216"/>
      <c r="F1852" s="216"/>
      <c r="G1852" s="216"/>
    </row>
    <row r="1853">
      <c r="A1853" s="216"/>
      <c r="B1853" s="216"/>
      <c r="C1853" s="157"/>
      <c r="D1853" s="216"/>
      <c r="E1853" s="216"/>
      <c r="F1853" s="216"/>
      <c r="G1853" s="216"/>
    </row>
    <row r="1854">
      <c r="A1854" s="216"/>
      <c r="B1854" s="216"/>
      <c r="C1854" s="157"/>
      <c r="D1854" s="216"/>
      <c r="E1854" s="216"/>
      <c r="F1854" s="216"/>
      <c r="G1854" s="216"/>
    </row>
    <row r="1855">
      <c r="A1855" s="216"/>
      <c r="B1855" s="216"/>
      <c r="C1855" s="157"/>
      <c r="D1855" s="216"/>
      <c r="E1855" s="216"/>
      <c r="F1855" s="216"/>
      <c r="G1855" s="216"/>
    </row>
    <row r="1856">
      <c r="A1856" s="216"/>
      <c r="B1856" s="216"/>
      <c r="C1856" s="157"/>
      <c r="D1856" s="216"/>
      <c r="E1856" s="216"/>
      <c r="F1856" s="216"/>
      <c r="G1856" s="216"/>
    </row>
    <row r="1857">
      <c r="A1857" s="216"/>
      <c r="B1857" s="216"/>
      <c r="C1857" s="157"/>
      <c r="D1857" s="216"/>
      <c r="E1857" s="216"/>
      <c r="F1857" s="216"/>
      <c r="G1857" s="216"/>
    </row>
    <row r="1858">
      <c r="A1858" s="216"/>
      <c r="B1858" s="216"/>
      <c r="C1858" s="157"/>
      <c r="D1858" s="216"/>
      <c r="E1858" s="216"/>
      <c r="F1858" s="216"/>
      <c r="G1858" s="216"/>
    </row>
    <row r="1859">
      <c r="A1859" s="216"/>
      <c r="B1859" s="216"/>
      <c r="C1859" s="157"/>
      <c r="D1859" s="216"/>
      <c r="E1859" s="216"/>
      <c r="F1859" s="216"/>
      <c r="G1859" s="216"/>
    </row>
    <row r="1860">
      <c r="A1860" s="216"/>
      <c r="B1860" s="216"/>
      <c r="C1860" s="157"/>
      <c r="D1860" s="216"/>
      <c r="E1860" s="216"/>
      <c r="F1860" s="216"/>
      <c r="G1860" s="216"/>
    </row>
    <row r="1861">
      <c r="A1861" s="216"/>
      <c r="B1861" s="216"/>
      <c r="C1861" s="157"/>
      <c r="D1861" s="216"/>
      <c r="E1861" s="216"/>
      <c r="F1861" s="216"/>
      <c r="G1861" s="216"/>
    </row>
    <row r="1862">
      <c r="A1862" s="216"/>
      <c r="B1862" s="216"/>
      <c r="C1862" s="157"/>
      <c r="D1862" s="216"/>
      <c r="E1862" s="216"/>
      <c r="F1862" s="216"/>
      <c r="G1862" s="216"/>
    </row>
    <row r="1863">
      <c r="A1863" s="216"/>
      <c r="B1863" s="216"/>
      <c r="C1863" s="157"/>
      <c r="D1863" s="216"/>
      <c r="E1863" s="216"/>
      <c r="F1863" s="216"/>
      <c r="G1863" s="216"/>
    </row>
    <row r="1864">
      <c r="A1864" s="216"/>
      <c r="B1864" s="216"/>
      <c r="C1864" s="157"/>
      <c r="D1864" s="216"/>
      <c r="E1864" s="216"/>
      <c r="F1864" s="216"/>
      <c r="G1864" s="216"/>
    </row>
    <row r="1865">
      <c r="A1865" s="216"/>
      <c r="B1865" s="216"/>
      <c r="C1865" s="157"/>
      <c r="D1865" s="216"/>
      <c r="E1865" s="216"/>
      <c r="F1865" s="216"/>
      <c r="G1865" s="216"/>
    </row>
    <row r="1866">
      <c r="A1866" s="216"/>
      <c r="B1866" s="216"/>
      <c r="C1866" s="157"/>
      <c r="D1866" s="216"/>
      <c r="E1866" s="216"/>
      <c r="F1866" s="216"/>
      <c r="G1866" s="216"/>
    </row>
    <row r="1867">
      <c r="A1867" s="216"/>
      <c r="B1867" s="216"/>
      <c r="C1867" s="157"/>
      <c r="D1867" s="216"/>
      <c r="E1867" s="216"/>
      <c r="F1867" s="216"/>
      <c r="G1867" s="216"/>
    </row>
    <row r="1868">
      <c r="A1868" s="216"/>
      <c r="B1868" s="216"/>
      <c r="C1868" s="157"/>
      <c r="D1868" s="216"/>
      <c r="E1868" s="216"/>
      <c r="F1868" s="216"/>
      <c r="G1868" s="216"/>
    </row>
    <row r="1869">
      <c r="A1869" s="216"/>
      <c r="B1869" s="216"/>
      <c r="C1869" s="157"/>
      <c r="D1869" s="216"/>
      <c r="E1869" s="216"/>
      <c r="F1869" s="216"/>
      <c r="G1869" s="216"/>
    </row>
    <row r="1870">
      <c r="A1870" s="216"/>
      <c r="B1870" s="216"/>
      <c r="C1870" s="157"/>
      <c r="D1870" s="216"/>
      <c r="E1870" s="216"/>
      <c r="F1870" s="216"/>
      <c r="G1870" s="216"/>
    </row>
    <row r="1871">
      <c r="A1871" s="216"/>
      <c r="B1871" s="216"/>
      <c r="C1871" s="157"/>
      <c r="D1871" s="216"/>
      <c r="E1871" s="216"/>
      <c r="F1871" s="216"/>
      <c r="G1871" s="216"/>
    </row>
    <row r="1872">
      <c r="A1872" s="216"/>
      <c r="B1872" s="216"/>
      <c r="C1872" s="157"/>
      <c r="D1872" s="216"/>
      <c r="E1872" s="216"/>
      <c r="F1872" s="216"/>
      <c r="G1872" s="216"/>
    </row>
    <row r="1873">
      <c r="A1873" s="216"/>
      <c r="B1873" s="216"/>
      <c r="C1873" s="157"/>
      <c r="D1873" s="216"/>
      <c r="E1873" s="216"/>
      <c r="F1873" s="216"/>
      <c r="G1873" s="216"/>
    </row>
    <row r="1874">
      <c r="A1874" s="216"/>
      <c r="B1874" s="216"/>
      <c r="C1874" s="157"/>
      <c r="D1874" s="216"/>
      <c r="E1874" s="216"/>
      <c r="F1874" s="216"/>
      <c r="G1874" s="216"/>
    </row>
    <row r="1875">
      <c r="A1875" s="216"/>
      <c r="B1875" s="216"/>
      <c r="C1875" s="157"/>
      <c r="D1875" s="216"/>
      <c r="E1875" s="216"/>
      <c r="F1875" s="216"/>
      <c r="G1875" s="216"/>
    </row>
    <row r="1876">
      <c r="A1876" s="216"/>
      <c r="B1876" s="216"/>
      <c r="C1876" s="157"/>
      <c r="D1876" s="216"/>
      <c r="E1876" s="216"/>
      <c r="F1876" s="216"/>
      <c r="G1876" s="216"/>
    </row>
    <row r="1877">
      <c r="A1877" s="216"/>
      <c r="B1877" s="216"/>
      <c r="C1877" s="157"/>
      <c r="D1877" s="216"/>
      <c r="E1877" s="216"/>
      <c r="F1877" s="216"/>
      <c r="G1877" s="216"/>
    </row>
    <row r="1878">
      <c r="A1878" s="216"/>
      <c r="B1878" s="216"/>
      <c r="C1878" s="157"/>
      <c r="D1878" s="216"/>
      <c r="E1878" s="216"/>
      <c r="F1878" s="216"/>
      <c r="G1878" s="216"/>
    </row>
    <row r="1879">
      <c r="A1879" s="216"/>
      <c r="B1879" s="216"/>
      <c r="C1879" s="157"/>
      <c r="D1879" s="216"/>
      <c r="E1879" s="216"/>
      <c r="F1879" s="216"/>
      <c r="G1879" s="216"/>
    </row>
    <row r="1880">
      <c r="A1880" s="216"/>
      <c r="B1880" s="216"/>
      <c r="C1880" s="157"/>
      <c r="D1880" s="216"/>
      <c r="E1880" s="216"/>
      <c r="F1880" s="216"/>
      <c r="G1880" s="216"/>
    </row>
    <row r="1881">
      <c r="A1881" s="216"/>
      <c r="B1881" s="216"/>
      <c r="C1881" s="157"/>
      <c r="D1881" s="216"/>
      <c r="E1881" s="216"/>
      <c r="F1881" s="216"/>
      <c r="G1881" s="216"/>
    </row>
    <row r="1882">
      <c r="A1882" s="216"/>
      <c r="B1882" s="216"/>
      <c r="C1882" s="157"/>
      <c r="D1882" s="216"/>
      <c r="E1882" s="216"/>
      <c r="F1882" s="216"/>
      <c r="G1882" s="216"/>
    </row>
    <row r="1883">
      <c r="A1883" s="216"/>
      <c r="B1883" s="216"/>
      <c r="C1883" s="157"/>
      <c r="D1883" s="216"/>
      <c r="E1883" s="216"/>
      <c r="F1883" s="216"/>
      <c r="G1883" s="216"/>
    </row>
    <row r="1884">
      <c r="A1884" s="216"/>
      <c r="B1884" s="216"/>
      <c r="C1884" s="157"/>
      <c r="D1884" s="216"/>
      <c r="E1884" s="216"/>
      <c r="F1884" s="216"/>
      <c r="G1884" s="216"/>
    </row>
    <row r="1885">
      <c r="A1885" s="216"/>
      <c r="B1885" s="216"/>
      <c r="C1885" s="157"/>
      <c r="D1885" s="216"/>
      <c r="E1885" s="216"/>
      <c r="F1885" s="216"/>
      <c r="G1885" s="216"/>
    </row>
    <row r="1886">
      <c r="A1886" s="216"/>
      <c r="B1886" s="216"/>
      <c r="C1886" s="157"/>
      <c r="D1886" s="216"/>
      <c r="E1886" s="216"/>
      <c r="F1886" s="216"/>
      <c r="G1886" s="216"/>
    </row>
    <row r="1887">
      <c r="A1887" s="216"/>
      <c r="B1887" s="216"/>
      <c r="C1887" s="157"/>
      <c r="D1887" s="216"/>
      <c r="E1887" s="216"/>
      <c r="F1887" s="216"/>
      <c r="G1887" s="216"/>
    </row>
    <row r="1888">
      <c r="A1888" s="216"/>
      <c r="B1888" s="216"/>
      <c r="C1888" s="157"/>
      <c r="D1888" s="216"/>
      <c r="E1888" s="216"/>
      <c r="F1888" s="216"/>
      <c r="G1888" s="216"/>
    </row>
    <row r="1889">
      <c r="A1889" s="216"/>
      <c r="B1889" s="216"/>
      <c r="C1889" s="157"/>
      <c r="D1889" s="216"/>
      <c r="E1889" s="216"/>
      <c r="F1889" s="216"/>
      <c r="G1889" s="216"/>
    </row>
    <row r="1890">
      <c r="A1890" s="216"/>
      <c r="B1890" s="216"/>
      <c r="C1890" s="157"/>
      <c r="D1890" s="216"/>
      <c r="E1890" s="216"/>
      <c r="F1890" s="216"/>
      <c r="G1890" s="216"/>
    </row>
    <row r="1891">
      <c r="A1891" s="216"/>
      <c r="B1891" s="216"/>
      <c r="C1891" s="157"/>
      <c r="D1891" s="216"/>
      <c r="E1891" s="216"/>
      <c r="F1891" s="216"/>
      <c r="G1891" s="216"/>
    </row>
    <row r="1892">
      <c r="A1892" s="216"/>
      <c r="B1892" s="216"/>
      <c r="C1892" s="157"/>
      <c r="D1892" s="216"/>
      <c r="E1892" s="216"/>
      <c r="F1892" s="216"/>
      <c r="G1892" s="216"/>
    </row>
    <row r="1893">
      <c r="A1893" s="216"/>
      <c r="B1893" s="216"/>
      <c r="C1893" s="157"/>
      <c r="D1893" s="216"/>
      <c r="E1893" s="216"/>
      <c r="F1893" s="216"/>
      <c r="G1893" s="216"/>
    </row>
    <row r="1894">
      <c r="A1894" s="216"/>
      <c r="B1894" s="216"/>
      <c r="C1894" s="157"/>
      <c r="D1894" s="216"/>
      <c r="E1894" s="216"/>
      <c r="F1894" s="216"/>
      <c r="G1894" s="216"/>
    </row>
    <row r="1895">
      <c r="A1895" s="216"/>
      <c r="B1895" s="216"/>
      <c r="C1895" s="157"/>
      <c r="D1895" s="216"/>
      <c r="E1895" s="216"/>
      <c r="F1895" s="216"/>
      <c r="G1895" s="216"/>
    </row>
    <row r="1896">
      <c r="A1896" s="216"/>
      <c r="B1896" s="216"/>
      <c r="C1896" s="157"/>
      <c r="D1896" s="216"/>
      <c r="E1896" s="216"/>
      <c r="F1896" s="216"/>
      <c r="G1896" s="216"/>
    </row>
    <row r="1897">
      <c r="A1897" s="216"/>
      <c r="B1897" s="216"/>
      <c r="C1897" s="157"/>
      <c r="D1897" s="216"/>
      <c r="E1897" s="216"/>
      <c r="F1897" s="216"/>
      <c r="G1897" s="216"/>
    </row>
    <row r="1898">
      <c r="A1898" s="216"/>
      <c r="B1898" s="216"/>
      <c r="C1898" s="157"/>
      <c r="D1898" s="216"/>
      <c r="E1898" s="216"/>
      <c r="F1898" s="216"/>
      <c r="G1898" s="216"/>
    </row>
    <row r="1899">
      <c r="A1899" s="216"/>
      <c r="B1899" s="216"/>
      <c r="C1899" s="157"/>
      <c r="D1899" s="216"/>
      <c r="E1899" s="216"/>
      <c r="F1899" s="216"/>
      <c r="G1899" s="216"/>
    </row>
    <row r="1900">
      <c r="A1900" s="216"/>
      <c r="B1900" s="216"/>
      <c r="C1900" s="157"/>
      <c r="D1900" s="216"/>
      <c r="E1900" s="216"/>
      <c r="F1900" s="216"/>
      <c r="G1900" s="216"/>
    </row>
    <row r="1901">
      <c r="A1901" s="216"/>
      <c r="B1901" s="216"/>
      <c r="C1901" s="157"/>
      <c r="D1901" s="216"/>
      <c r="E1901" s="216"/>
      <c r="F1901" s="216"/>
      <c r="G1901" s="216"/>
    </row>
    <row r="1902">
      <c r="A1902" s="216"/>
      <c r="B1902" s="216"/>
      <c r="C1902" s="157"/>
      <c r="D1902" s="216"/>
      <c r="E1902" s="216"/>
      <c r="F1902" s="216"/>
      <c r="G1902" s="216"/>
    </row>
    <row r="1903">
      <c r="A1903" s="216"/>
      <c r="B1903" s="216"/>
      <c r="C1903" s="157"/>
      <c r="D1903" s="216"/>
      <c r="E1903" s="216"/>
      <c r="F1903" s="216"/>
      <c r="G1903" s="216"/>
    </row>
    <row r="1904">
      <c r="A1904" s="216"/>
      <c r="B1904" s="216"/>
      <c r="C1904" s="157"/>
      <c r="D1904" s="216"/>
      <c r="E1904" s="216"/>
      <c r="F1904" s="216"/>
      <c r="G1904" s="216"/>
    </row>
    <row r="1905">
      <c r="A1905" s="216"/>
      <c r="B1905" s="216"/>
      <c r="C1905" s="157"/>
      <c r="D1905" s="216"/>
      <c r="E1905" s="216"/>
      <c r="F1905" s="216"/>
      <c r="G1905" s="216"/>
    </row>
    <row r="1906">
      <c r="A1906" s="216"/>
      <c r="B1906" s="216"/>
      <c r="C1906" s="157"/>
      <c r="D1906" s="216"/>
      <c r="E1906" s="216"/>
      <c r="F1906" s="216"/>
      <c r="G1906" s="216"/>
    </row>
    <row r="1907">
      <c r="A1907" s="216"/>
      <c r="B1907" s="216"/>
      <c r="C1907" s="157"/>
      <c r="D1907" s="216"/>
      <c r="E1907" s="216"/>
      <c r="F1907" s="216"/>
      <c r="G1907" s="216"/>
    </row>
    <row r="1908">
      <c r="A1908" s="216"/>
      <c r="B1908" s="216"/>
      <c r="C1908" s="157"/>
      <c r="D1908" s="216"/>
      <c r="E1908" s="216"/>
      <c r="F1908" s="216"/>
      <c r="G1908" s="216"/>
    </row>
    <row r="1909">
      <c r="A1909" s="216"/>
      <c r="B1909" s="216"/>
      <c r="C1909" s="157"/>
      <c r="D1909" s="216"/>
      <c r="E1909" s="216"/>
      <c r="F1909" s="216"/>
      <c r="G1909" s="216"/>
    </row>
    <row r="1910">
      <c r="A1910" s="216"/>
      <c r="B1910" s="216"/>
      <c r="C1910" s="157"/>
      <c r="D1910" s="216"/>
      <c r="E1910" s="216"/>
      <c r="F1910" s="216"/>
      <c r="G1910" s="216"/>
    </row>
    <row r="1911">
      <c r="A1911" s="216"/>
      <c r="B1911" s="216"/>
      <c r="C1911" s="157"/>
      <c r="D1911" s="216"/>
      <c r="E1911" s="216"/>
      <c r="F1911" s="216"/>
      <c r="G1911" s="216"/>
    </row>
    <row r="1912">
      <c r="A1912" s="216"/>
      <c r="B1912" s="216"/>
      <c r="C1912" s="157"/>
      <c r="D1912" s="216"/>
      <c r="E1912" s="216"/>
      <c r="F1912" s="216"/>
      <c r="G1912" s="216"/>
    </row>
    <row r="1913">
      <c r="A1913" s="216"/>
      <c r="B1913" s="216"/>
      <c r="C1913" s="157"/>
      <c r="D1913" s="216"/>
      <c r="E1913" s="216"/>
      <c r="F1913" s="216"/>
      <c r="G1913" s="216"/>
    </row>
    <row r="1914">
      <c r="A1914" s="216"/>
      <c r="B1914" s="216"/>
      <c r="C1914" s="157"/>
      <c r="D1914" s="216"/>
      <c r="E1914" s="216"/>
      <c r="F1914" s="216"/>
      <c r="G1914" s="216"/>
    </row>
    <row r="1915">
      <c r="A1915" s="216"/>
      <c r="B1915" s="216"/>
      <c r="C1915" s="157"/>
      <c r="D1915" s="216"/>
      <c r="E1915" s="216"/>
      <c r="F1915" s="216"/>
      <c r="G1915" s="216"/>
    </row>
    <row r="1916">
      <c r="A1916" s="216"/>
      <c r="B1916" s="216"/>
      <c r="C1916" s="157"/>
      <c r="D1916" s="216"/>
      <c r="E1916" s="216"/>
      <c r="F1916" s="216"/>
      <c r="G1916" s="216"/>
    </row>
    <row r="1917">
      <c r="A1917" s="216"/>
      <c r="B1917" s="216"/>
      <c r="C1917" s="157"/>
      <c r="D1917" s="216"/>
      <c r="E1917" s="216"/>
      <c r="F1917" s="216"/>
      <c r="G1917" s="216"/>
    </row>
    <row r="1918">
      <c r="A1918" s="216"/>
      <c r="B1918" s="216"/>
      <c r="C1918" s="157"/>
      <c r="D1918" s="216"/>
      <c r="E1918" s="216"/>
      <c r="F1918" s="216"/>
      <c r="G1918" s="216"/>
    </row>
    <row r="1919">
      <c r="A1919" s="216"/>
      <c r="B1919" s="216"/>
      <c r="C1919" s="157"/>
      <c r="D1919" s="216"/>
      <c r="E1919" s="216"/>
      <c r="F1919" s="216"/>
      <c r="G1919" s="216"/>
    </row>
    <row r="1920">
      <c r="A1920" s="216"/>
      <c r="B1920" s="216"/>
      <c r="C1920" s="157"/>
      <c r="D1920" s="216"/>
      <c r="E1920" s="216"/>
      <c r="F1920" s="216"/>
      <c r="G1920" s="216"/>
    </row>
    <row r="1921">
      <c r="A1921" s="216"/>
      <c r="B1921" s="216"/>
      <c r="C1921" s="157"/>
      <c r="D1921" s="216"/>
      <c r="E1921" s="216"/>
      <c r="F1921" s="216"/>
      <c r="G1921" s="216"/>
    </row>
    <row r="1922">
      <c r="A1922" s="216"/>
      <c r="B1922" s="216"/>
      <c r="C1922" s="157"/>
      <c r="D1922" s="216"/>
      <c r="E1922" s="216"/>
      <c r="F1922" s="216"/>
      <c r="G1922" s="216"/>
    </row>
    <row r="1923">
      <c r="A1923" s="216"/>
      <c r="B1923" s="216"/>
      <c r="C1923" s="157"/>
      <c r="D1923" s="216"/>
      <c r="E1923" s="216"/>
      <c r="F1923" s="216"/>
      <c r="G1923" s="216"/>
    </row>
    <row r="1924">
      <c r="A1924" s="216"/>
      <c r="B1924" s="216"/>
      <c r="C1924" s="157"/>
      <c r="D1924" s="216"/>
      <c r="E1924" s="216"/>
      <c r="F1924" s="216"/>
      <c r="G1924" s="216"/>
    </row>
    <row r="1925">
      <c r="A1925" s="216"/>
      <c r="B1925" s="216"/>
      <c r="C1925" s="157"/>
      <c r="D1925" s="216"/>
      <c r="E1925" s="216"/>
      <c r="F1925" s="216"/>
      <c r="G1925" s="216"/>
    </row>
    <row r="1926">
      <c r="A1926" s="216"/>
      <c r="B1926" s="216"/>
      <c r="C1926" s="157"/>
      <c r="D1926" s="216"/>
      <c r="E1926" s="216"/>
      <c r="F1926" s="216"/>
      <c r="G1926" s="216"/>
    </row>
    <row r="1927">
      <c r="A1927" s="216"/>
      <c r="B1927" s="216"/>
      <c r="C1927" s="157"/>
      <c r="D1927" s="216"/>
      <c r="E1927" s="216"/>
      <c r="F1927" s="216"/>
      <c r="G1927" s="216"/>
    </row>
    <row r="1928">
      <c r="A1928" s="216"/>
      <c r="B1928" s="216"/>
      <c r="C1928" s="157"/>
      <c r="D1928" s="216"/>
      <c r="E1928" s="216"/>
      <c r="F1928" s="216"/>
      <c r="G1928" s="216"/>
    </row>
    <row r="1929">
      <c r="A1929" s="216"/>
      <c r="B1929" s="216"/>
      <c r="C1929" s="157"/>
      <c r="D1929" s="216"/>
      <c r="E1929" s="216"/>
      <c r="F1929" s="216"/>
      <c r="G1929" s="216"/>
    </row>
    <row r="1930">
      <c r="A1930" s="216"/>
      <c r="B1930" s="216"/>
      <c r="C1930" s="157"/>
      <c r="D1930" s="216"/>
      <c r="E1930" s="216"/>
      <c r="F1930" s="216"/>
      <c r="G1930" s="216"/>
    </row>
    <row r="1931">
      <c r="A1931" s="216"/>
      <c r="B1931" s="216"/>
      <c r="C1931" s="157"/>
      <c r="D1931" s="216"/>
      <c r="E1931" s="216"/>
      <c r="F1931" s="216"/>
      <c r="G1931" s="216"/>
    </row>
    <row r="1932">
      <c r="A1932" s="216"/>
      <c r="B1932" s="216"/>
      <c r="C1932" s="157"/>
      <c r="D1932" s="216"/>
      <c r="E1932" s="216"/>
      <c r="F1932" s="216"/>
      <c r="G1932" s="216"/>
    </row>
    <row r="1933">
      <c r="A1933" s="216"/>
      <c r="B1933" s="216"/>
      <c r="C1933" s="157"/>
      <c r="D1933" s="216"/>
      <c r="E1933" s="216"/>
      <c r="F1933" s="216"/>
      <c r="G1933" s="216"/>
    </row>
    <row r="1934">
      <c r="A1934" s="216"/>
      <c r="B1934" s="216"/>
      <c r="C1934" s="157"/>
      <c r="D1934" s="216"/>
      <c r="E1934" s="216"/>
      <c r="F1934" s="216"/>
      <c r="G1934" s="216"/>
    </row>
    <row r="1935">
      <c r="A1935" s="216"/>
      <c r="B1935" s="216"/>
      <c r="C1935" s="157"/>
      <c r="D1935" s="216"/>
      <c r="E1935" s="216"/>
      <c r="F1935" s="216"/>
      <c r="G1935" s="216"/>
    </row>
    <row r="1936">
      <c r="A1936" s="216"/>
      <c r="B1936" s="216"/>
      <c r="C1936" s="157"/>
      <c r="D1936" s="216"/>
      <c r="E1936" s="216"/>
      <c r="F1936" s="216"/>
      <c r="G1936" s="216"/>
    </row>
    <row r="1937">
      <c r="A1937" s="216"/>
      <c r="B1937" s="216"/>
      <c r="C1937" s="157"/>
      <c r="D1937" s="216"/>
      <c r="E1937" s="216"/>
      <c r="F1937" s="216"/>
      <c r="G1937" s="216"/>
    </row>
    <row r="1938">
      <c r="A1938" s="216"/>
      <c r="B1938" s="216"/>
      <c r="C1938" s="157"/>
      <c r="D1938" s="216"/>
      <c r="E1938" s="216"/>
      <c r="F1938" s="216"/>
      <c r="G1938" s="216"/>
    </row>
    <row r="1939">
      <c r="A1939" s="216"/>
      <c r="B1939" s="216"/>
      <c r="C1939" s="157"/>
      <c r="D1939" s="216"/>
      <c r="E1939" s="216"/>
      <c r="F1939" s="216"/>
      <c r="G1939" s="216"/>
    </row>
    <row r="1940">
      <c r="A1940" s="216"/>
      <c r="B1940" s="216"/>
      <c r="C1940" s="157"/>
      <c r="D1940" s="216"/>
      <c r="E1940" s="216"/>
      <c r="F1940" s="216"/>
      <c r="G1940" s="216"/>
    </row>
    <row r="1941">
      <c r="A1941" s="216"/>
      <c r="B1941" s="216"/>
      <c r="C1941" s="157"/>
      <c r="D1941" s="216"/>
      <c r="E1941" s="216"/>
      <c r="F1941" s="216"/>
      <c r="G1941" s="216"/>
    </row>
    <row r="1942">
      <c r="A1942" s="216"/>
      <c r="B1942" s="216"/>
      <c r="C1942" s="157"/>
      <c r="D1942" s="216"/>
      <c r="E1942" s="216"/>
      <c r="F1942" s="216"/>
      <c r="G1942" s="216"/>
    </row>
    <row r="1943">
      <c r="A1943" s="216"/>
      <c r="B1943" s="216"/>
      <c r="C1943" s="157"/>
      <c r="D1943" s="216"/>
      <c r="E1943" s="216"/>
      <c r="F1943" s="216"/>
      <c r="G1943" s="216"/>
    </row>
    <row r="1944">
      <c r="A1944" s="216"/>
      <c r="B1944" s="216"/>
      <c r="C1944" s="157"/>
      <c r="D1944" s="216"/>
      <c r="E1944" s="216"/>
      <c r="F1944" s="216"/>
      <c r="G1944" s="216"/>
    </row>
    <row r="1945">
      <c r="A1945" s="216"/>
      <c r="B1945" s="216"/>
      <c r="C1945" s="157"/>
      <c r="D1945" s="216"/>
      <c r="E1945" s="216"/>
      <c r="F1945" s="216"/>
      <c r="G1945" s="216"/>
    </row>
    <row r="1946">
      <c r="A1946" s="216"/>
      <c r="B1946" s="216"/>
      <c r="C1946" s="157"/>
      <c r="D1946" s="216"/>
      <c r="E1946" s="216"/>
      <c r="F1946" s="216"/>
      <c r="G1946" s="216"/>
    </row>
    <row r="1947">
      <c r="A1947" s="216"/>
      <c r="B1947" s="216"/>
      <c r="C1947" s="157"/>
      <c r="D1947" s="216"/>
      <c r="E1947" s="216"/>
      <c r="F1947" s="216"/>
      <c r="G1947" s="216"/>
    </row>
    <row r="1948">
      <c r="A1948" s="216"/>
      <c r="B1948" s="216"/>
      <c r="C1948" s="157"/>
      <c r="D1948" s="216"/>
      <c r="E1948" s="216"/>
      <c r="F1948" s="216"/>
      <c r="G1948" s="216"/>
    </row>
    <row r="1949">
      <c r="A1949" s="216"/>
      <c r="B1949" s="216"/>
      <c r="C1949" s="157"/>
      <c r="D1949" s="216"/>
      <c r="E1949" s="216"/>
      <c r="F1949" s="216"/>
      <c r="G1949" s="216"/>
    </row>
    <row r="1950">
      <c r="A1950" s="216"/>
      <c r="B1950" s="216"/>
      <c r="C1950" s="157"/>
      <c r="D1950" s="216"/>
      <c r="E1950" s="216"/>
      <c r="F1950" s="216"/>
      <c r="G1950" s="216"/>
    </row>
    <row r="1951">
      <c r="A1951" s="216"/>
      <c r="B1951" s="216"/>
      <c r="C1951" s="157"/>
      <c r="D1951" s="216"/>
      <c r="E1951" s="216"/>
      <c r="F1951" s="216"/>
      <c r="G1951" s="216"/>
    </row>
    <row r="1952">
      <c r="A1952" s="216"/>
      <c r="B1952" s="216"/>
      <c r="C1952" s="157"/>
      <c r="D1952" s="216"/>
      <c r="E1952" s="216"/>
      <c r="F1952" s="216"/>
      <c r="G1952" s="216"/>
    </row>
    <row r="1953">
      <c r="A1953" s="216"/>
      <c r="B1953" s="216"/>
      <c r="C1953" s="157"/>
      <c r="D1953" s="216"/>
      <c r="E1953" s="216"/>
      <c r="F1953" s="216"/>
      <c r="G1953" s="216"/>
    </row>
    <row r="1954">
      <c r="A1954" s="216"/>
      <c r="B1954" s="216"/>
      <c r="C1954" s="157"/>
      <c r="D1954" s="216"/>
      <c r="E1954" s="216"/>
      <c r="F1954" s="216"/>
      <c r="G1954" s="216"/>
    </row>
    <row r="1955">
      <c r="A1955" s="216"/>
      <c r="B1955" s="216"/>
      <c r="C1955" s="157"/>
      <c r="D1955" s="216"/>
      <c r="E1955" s="216"/>
      <c r="F1955" s="216"/>
      <c r="G1955" s="216"/>
    </row>
    <row r="1956">
      <c r="A1956" s="216"/>
      <c r="B1956" s="216"/>
      <c r="C1956" s="157"/>
      <c r="D1956" s="216"/>
      <c r="E1956" s="216"/>
      <c r="F1956" s="216"/>
      <c r="G1956" s="216"/>
    </row>
    <row r="1957">
      <c r="A1957" s="216"/>
      <c r="B1957" s="216"/>
      <c r="C1957" s="157"/>
      <c r="D1957" s="216"/>
      <c r="E1957" s="216"/>
      <c r="F1957" s="216"/>
      <c r="G1957" s="216"/>
    </row>
    <row r="1958">
      <c r="A1958" s="216"/>
      <c r="B1958" s="216"/>
      <c r="C1958" s="157"/>
      <c r="D1958" s="216"/>
      <c r="E1958" s="216"/>
      <c r="F1958" s="216"/>
      <c r="G1958" s="216"/>
    </row>
    <row r="1959">
      <c r="A1959" s="216"/>
      <c r="B1959" s="216"/>
      <c r="C1959" s="157"/>
      <c r="D1959" s="216"/>
      <c r="E1959" s="216"/>
      <c r="F1959" s="216"/>
      <c r="G1959" s="216"/>
    </row>
    <row r="1960">
      <c r="A1960" s="216"/>
      <c r="B1960" s="216"/>
      <c r="C1960" s="157"/>
      <c r="D1960" s="216"/>
      <c r="E1960" s="216"/>
      <c r="F1960" s="216"/>
      <c r="G1960" s="216"/>
    </row>
    <row r="1961">
      <c r="A1961" s="216"/>
      <c r="B1961" s="216"/>
      <c r="C1961" s="157"/>
      <c r="D1961" s="216"/>
      <c r="E1961" s="216"/>
      <c r="F1961" s="216"/>
      <c r="G1961" s="216"/>
    </row>
    <row r="1962">
      <c r="A1962" s="216"/>
      <c r="B1962" s="216"/>
      <c r="C1962" s="157"/>
      <c r="D1962" s="216"/>
      <c r="E1962" s="216"/>
      <c r="F1962" s="216"/>
      <c r="G1962" s="216"/>
    </row>
    <row r="1963">
      <c r="A1963" s="216"/>
      <c r="B1963" s="216"/>
      <c r="C1963" s="157"/>
      <c r="D1963" s="216"/>
      <c r="E1963" s="216"/>
      <c r="F1963" s="216"/>
      <c r="G1963" s="216"/>
    </row>
    <row r="1964">
      <c r="A1964" s="216"/>
      <c r="B1964" s="216"/>
      <c r="C1964" s="157"/>
      <c r="D1964" s="216"/>
      <c r="E1964" s="216"/>
      <c r="F1964" s="216"/>
      <c r="G1964" s="216"/>
    </row>
    <row r="1965">
      <c r="A1965" s="216"/>
      <c r="B1965" s="216"/>
      <c r="C1965" s="157"/>
      <c r="D1965" s="216"/>
      <c r="E1965" s="216"/>
      <c r="F1965" s="216"/>
      <c r="G1965" s="216"/>
    </row>
    <row r="1966">
      <c r="A1966" s="216"/>
      <c r="B1966" s="216"/>
      <c r="C1966" s="157"/>
      <c r="D1966" s="216"/>
      <c r="E1966" s="216"/>
      <c r="F1966" s="216"/>
      <c r="G1966" s="216"/>
    </row>
    <row r="1967">
      <c r="A1967" s="216"/>
      <c r="B1967" s="216"/>
      <c r="C1967" s="157"/>
      <c r="D1967" s="216"/>
      <c r="E1967" s="216"/>
      <c r="F1967" s="216"/>
      <c r="G1967" s="216"/>
    </row>
    <row r="1968">
      <c r="A1968" s="216"/>
      <c r="B1968" s="216"/>
      <c r="C1968" s="157"/>
      <c r="D1968" s="216"/>
      <c r="E1968" s="216"/>
      <c r="F1968" s="216"/>
      <c r="G1968" s="216"/>
    </row>
    <row r="1969">
      <c r="A1969" s="216"/>
      <c r="B1969" s="216"/>
      <c r="C1969" s="157"/>
      <c r="D1969" s="216"/>
      <c r="E1969" s="216"/>
      <c r="F1969" s="216"/>
      <c r="G1969" s="216"/>
    </row>
    <row r="1970">
      <c r="A1970" s="216"/>
      <c r="B1970" s="216"/>
      <c r="C1970" s="157"/>
      <c r="D1970" s="216"/>
      <c r="E1970" s="216"/>
      <c r="F1970" s="216"/>
      <c r="G1970" s="216"/>
    </row>
    <row r="1971">
      <c r="A1971" s="216"/>
      <c r="B1971" s="216"/>
      <c r="C1971" s="157"/>
      <c r="D1971" s="216"/>
      <c r="E1971" s="216"/>
      <c r="F1971" s="216"/>
      <c r="G1971" s="216"/>
    </row>
    <row r="1972">
      <c r="A1972" s="216"/>
      <c r="B1972" s="216"/>
      <c r="C1972" s="157"/>
      <c r="D1972" s="216"/>
      <c r="E1972" s="216"/>
      <c r="F1972" s="216"/>
      <c r="G1972" s="216"/>
    </row>
    <row r="1973">
      <c r="A1973" s="216"/>
      <c r="B1973" s="216"/>
      <c r="C1973" s="157"/>
      <c r="D1973" s="216"/>
      <c r="E1973" s="216"/>
      <c r="F1973" s="216"/>
      <c r="G1973" s="216"/>
    </row>
    <row r="1974">
      <c r="A1974" s="216"/>
      <c r="B1974" s="216"/>
      <c r="C1974" s="157"/>
      <c r="D1974" s="216"/>
      <c r="E1974" s="216"/>
      <c r="F1974" s="216"/>
      <c r="G1974" s="216"/>
    </row>
    <row r="1975">
      <c r="A1975" s="216"/>
      <c r="B1975" s="216"/>
      <c r="C1975" s="157"/>
      <c r="D1975" s="216"/>
      <c r="E1975" s="216"/>
      <c r="F1975" s="216"/>
      <c r="G1975" s="216"/>
    </row>
    <row r="1976">
      <c r="A1976" s="216"/>
      <c r="B1976" s="216"/>
      <c r="C1976" s="157"/>
      <c r="D1976" s="216"/>
      <c r="E1976" s="216"/>
      <c r="F1976" s="216"/>
      <c r="G1976" s="216"/>
    </row>
    <row r="1977">
      <c r="A1977" s="216"/>
      <c r="B1977" s="216"/>
      <c r="C1977" s="157"/>
      <c r="D1977" s="216"/>
      <c r="E1977" s="216"/>
      <c r="F1977" s="216"/>
      <c r="G1977" s="216"/>
    </row>
    <row r="1978">
      <c r="A1978" s="216"/>
      <c r="B1978" s="216"/>
      <c r="C1978" s="157"/>
      <c r="D1978" s="216"/>
      <c r="E1978" s="216"/>
      <c r="F1978" s="216"/>
      <c r="G1978" s="216"/>
    </row>
    <row r="1979">
      <c r="A1979" s="216"/>
      <c r="B1979" s="216"/>
      <c r="C1979" s="157"/>
      <c r="D1979" s="216"/>
      <c r="E1979" s="216"/>
      <c r="F1979" s="216"/>
      <c r="G1979" s="216"/>
    </row>
    <row r="1980">
      <c r="A1980" s="216"/>
      <c r="B1980" s="216"/>
      <c r="C1980" s="157"/>
      <c r="D1980" s="216"/>
      <c r="E1980" s="216"/>
      <c r="F1980" s="216"/>
      <c r="G1980" s="216"/>
    </row>
    <row r="1981">
      <c r="A1981" s="216"/>
      <c r="B1981" s="216"/>
      <c r="C1981" s="157"/>
      <c r="D1981" s="216"/>
      <c r="E1981" s="216"/>
      <c r="F1981" s="216"/>
      <c r="G1981" s="216"/>
    </row>
    <row r="1982">
      <c r="A1982" s="216"/>
      <c r="B1982" s="216"/>
      <c r="C1982" s="157"/>
      <c r="D1982" s="216"/>
      <c r="E1982" s="216"/>
      <c r="F1982" s="216"/>
      <c r="G1982" s="216"/>
    </row>
    <row r="1983">
      <c r="A1983" s="216"/>
      <c r="B1983" s="216"/>
      <c r="C1983" s="157"/>
      <c r="D1983" s="216"/>
      <c r="E1983" s="216"/>
      <c r="F1983" s="216"/>
      <c r="G1983" s="216"/>
    </row>
    <row r="1984">
      <c r="A1984" s="216"/>
      <c r="B1984" s="216"/>
      <c r="C1984" s="157"/>
      <c r="D1984" s="216"/>
      <c r="E1984" s="216"/>
      <c r="F1984" s="216"/>
      <c r="G1984" s="216"/>
    </row>
    <row r="1985">
      <c r="A1985" s="216"/>
      <c r="B1985" s="216"/>
      <c r="C1985" s="157"/>
      <c r="D1985" s="216"/>
      <c r="E1985" s="216"/>
      <c r="F1985" s="216"/>
      <c r="G1985" s="216"/>
    </row>
    <row r="1986">
      <c r="A1986" s="216"/>
      <c r="B1986" s="216"/>
      <c r="C1986" s="157"/>
      <c r="D1986" s="216"/>
      <c r="E1986" s="216"/>
      <c r="F1986" s="216"/>
      <c r="G1986" s="216"/>
    </row>
    <row r="1987">
      <c r="A1987" s="216"/>
      <c r="B1987" s="216"/>
      <c r="C1987" s="157"/>
      <c r="D1987" s="216"/>
      <c r="E1987" s="216"/>
      <c r="F1987" s="216"/>
      <c r="G1987" s="216"/>
    </row>
    <row r="1988">
      <c r="A1988" s="216"/>
      <c r="B1988" s="216"/>
      <c r="C1988" s="157"/>
      <c r="D1988" s="216"/>
      <c r="E1988" s="216"/>
      <c r="F1988" s="216"/>
      <c r="G1988" s="216"/>
    </row>
    <row r="1989">
      <c r="A1989" s="216"/>
      <c r="B1989" s="216"/>
      <c r="C1989" s="157"/>
      <c r="D1989" s="216"/>
      <c r="E1989" s="216"/>
      <c r="F1989" s="216"/>
      <c r="G1989" s="216"/>
    </row>
    <row r="1990">
      <c r="A1990" s="216"/>
      <c r="B1990" s="216"/>
      <c r="C1990" s="157"/>
      <c r="D1990" s="216"/>
      <c r="E1990" s="216"/>
      <c r="F1990" s="216"/>
      <c r="G1990" s="216"/>
    </row>
    <row r="1991">
      <c r="A1991" s="216"/>
      <c r="B1991" s="216"/>
      <c r="C1991" s="157"/>
      <c r="D1991" s="216"/>
      <c r="E1991" s="216"/>
      <c r="F1991" s="216"/>
      <c r="G1991" s="216"/>
    </row>
    <row r="1992">
      <c r="A1992" s="216"/>
      <c r="B1992" s="216"/>
      <c r="C1992" s="157"/>
      <c r="D1992" s="216"/>
      <c r="E1992" s="216"/>
      <c r="F1992" s="216"/>
      <c r="G1992" s="216"/>
    </row>
    <row r="1993">
      <c r="A1993" s="216"/>
      <c r="B1993" s="216"/>
      <c r="C1993" s="157"/>
      <c r="D1993" s="216"/>
      <c r="E1993" s="216"/>
      <c r="F1993" s="216"/>
      <c r="G1993" s="216"/>
    </row>
    <row r="1994">
      <c r="A1994" s="216"/>
      <c r="B1994" s="216"/>
      <c r="C1994" s="157"/>
      <c r="D1994" s="216"/>
      <c r="E1994" s="216"/>
      <c r="F1994" s="216"/>
      <c r="G1994" s="216"/>
    </row>
    <row r="1995">
      <c r="A1995" s="216"/>
      <c r="B1995" s="216"/>
      <c r="C1995" s="157"/>
      <c r="D1995" s="216"/>
      <c r="E1995" s="216"/>
      <c r="F1995" s="216"/>
      <c r="G1995" s="216"/>
    </row>
    <row r="1996">
      <c r="A1996" s="216"/>
      <c r="B1996" s="216"/>
      <c r="C1996" s="157"/>
      <c r="D1996" s="216"/>
      <c r="E1996" s="216"/>
      <c r="F1996" s="216"/>
      <c r="G1996" s="216"/>
    </row>
    <row r="1997">
      <c r="A1997" s="216"/>
      <c r="B1997" s="216"/>
      <c r="C1997" s="157"/>
      <c r="D1997" s="216"/>
      <c r="E1997" s="216"/>
      <c r="F1997" s="216"/>
      <c r="G1997" s="216"/>
    </row>
    <row r="1998">
      <c r="A1998" s="216"/>
      <c r="B1998" s="216"/>
      <c r="C1998" s="157"/>
      <c r="D1998" s="216"/>
      <c r="E1998" s="216"/>
      <c r="F1998" s="216"/>
      <c r="G1998" s="216"/>
    </row>
    <row r="1999">
      <c r="A1999" s="216"/>
      <c r="B1999" s="216"/>
      <c r="C1999" s="157"/>
      <c r="D1999" s="216"/>
      <c r="E1999" s="216"/>
      <c r="F1999" s="216"/>
      <c r="G1999" s="216"/>
    </row>
    <row r="2000">
      <c r="A2000" s="216"/>
      <c r="B2000" s="216"/>
      <c r="C2000" s="157"/>
      <c r="D2000" s="216"/>
      <c r="E2000" s="216"/>
      <c r="F2000" s="216"/>
      <c r="G2000" s="216"/>
    </row>
    <row r="2001">
      <c r="A2001" s="216"/>
      <c r="B2001" s="216"/>
      <c r="C2001" s="157"/>
      <c r="D2001" s="216"/>
      <c r="E2001" s="216"/>
      <c r="F2001" s="216"/>
      <c r="G2001" s="216"/>
    </row>
    <row r="2002">
      <c r="A2002" s="216"/>
      <c r="B2002" s="216"/>
      <c r="C2002" s="157"/>
      <c r="D2002" s="216"/>
      <c r="E2002" s="216"/>
      <c r="F2002" s="216"/>
      <c r="G2002" s="216"/>
    </row>
    <row r="2003">
      <c r="A2003" s="216"/>
      <c r="B2003" s="216"/>
      <c r="C2003" s="157"/>
      <c r="D2003" s="216"/>
      <c r="E2003" s="216"/>
      <c r="F2003" s="216"/>
      <c r="G2003" s="216"/>
    </row>
    <row r="2004">
      <c r="A2004" s="216"/>
      <c r="B2004" s="216"/>
      <c r="C2004" s="157"/>
      <c r="D2004" s="216"/>
      <c r="E2004" s="216"/>
      <c r="F2004" s="216"/>
      <c r="G2004" s="216"/>
    </row>
    <row r="2005">
      <c r="A2005" s="216"/>
      <c r="B2005" s="216"/>
      <c r="C2005" s="157"/>
      <c r="D2005" s="216"/>
      <c r="E2005" s="216"/>
      <c r="F2005" s="216"/>
      <c r="G2005" s="216"/>
    </row>
    <row r="2006">
      <c r="A2006" s="216"/>
      <c r="B2006" s="216"/>
      <c r="C2006" s="157"/>
      <c r="D2006" s="216"/>
      <c r="E2006" s="216"/>
      <c r="F2006" s="216"/>
      <c r="G2006" s="216"/>
    </row>
    <row r="2007">
      <c r="A2007" s="216"/>
      <c r="B2007" s="216"/>
      <c r="C2007" s="157"/>
      <c r="D2007" s="216"/>
      <c r="E2007" s="216"/>
      <c r="F2007" s="216"/>
      <c r="G2007" s="216"/>
    </row>
    <row r="2008">
      <c r="A2008" s="216"/>
      <c r="B2008" s="216"/>
      <c r="C2008" s="157"/>
      <c r="D2008" s="216"/>
      <c r="E2008" s="216"/>
      <c r="F2008" s="216"/>
      <c r="G2008" s="216"/>
    </row>
    <row r="2009">
      <c r="A2009" s="216"/>
      <c r="B2009" s="216"/>
      <c r="C2009" s="157"/>
      <c r="D2009" s="216"/>
      <c r="E2009" s="216"/>
      <c r="F2009" s="216"/>
      <c r="G2009" s="216"/>
    </row>
    <row r="2010">
      <c r="A2010" s="216"/>
      <c r="B2010" s="216"/>
      <c r="C2010" s="157"/>
      <c r="D2010" s="216"/>
      <c r="E2010" s="216"/>
      <c r="F2010" s="216"/>
      <c r="G2010" s="216"/>
    </row>
    <row r="2011">
      <c r="A2011" s="216"/>
      <c r="B2011" s="216"/>
      <c r="C2011" s="157"/>
      <c r="D2011" s="216"/>
      <c r="E2011" s="216"/>
      <c r="F2011" s="216"/>
      <c r="G2011" s="216"/>
    </row>
    <row r="2012">
      <c r="A2012" s="216"/>
      <c r="B2012" s="216"/>
      <c r="C2012" s="157"/>
      <c r="D2012" s="216"/>
      <c r="E2012" s="216"/>
      <c r="F2012" s="216"/>
      <c r="G2012" s="216"/>
    </row>
    <row r="2013">
      <c r="A2013" s="216"/>
      <c r="B2013" s="216"/>
      <c r="C2013" s="157"/>
      <c r="D2013" s="216"/>
      <c r="E2013" s="216"/>
      <c r="F2013" s="216"/>
      <c r="G2013" s="216"/>
    </row>
    <row r="2014">
      <c r="A2014" s="216"/>
      <c r="B2014" s="216"/>
      <c r="C2014" s="157"/>
      <c r="D2014" s="216"/>
      <c r="E2014" s="216"/>
      <c r="F2014" s="216"/>
      <c r="G2014" s="216"/>
    </row>
    <row r="2015">
      <c r="A2015" s="216"/>
      <c r="B2015" s="216"/>
      <c r="C2015" s="157"/>
      <c r="D2015" s="216"/>
      <c r="E2015" s="216"/>
      <c r="F2015" s="216"/>
      <c r="G2015" s="216"/>
    </row>
    <row r="2016">
      <c r="A2016" s="216"/>
      <c r="B2016" s="216"/>
      <c r="C2016" s="157"/>
      <c r="D2016" s="216"/>
      <c r="E2016" s="216"/>
      <c r="F2016" s="216"/>
      <c r="G2016" s="216"/>
    </row>
    <row r="2017">
      <c r="A2017" s="216"/>
      <c r="B2017" s="216"/>
      <c r="C2017" s="157"/>
      <c r="D2017" s="216"/>
      <c r="E2017" s="216"/>
      <c r="F2017" s="216"/>
      <c r="G2017" s="216"/>
    </row>
    <row r="2018">
      <c r="A2018" s="216"/>
      <c r="B2018" s="216"/>
      <c r="C2018" s="157"/>
      <c r="D2018" s="216"/>
      <c r="E2018" s="216"/>
      <c r="F2018" s="216"/>
      <c r="G2018" s="216"/>
    </row>
    <row r="2019">
      <c r="A2019" s="216"/>
      <c r="B2019" s="216"/>
      <c r="C2019" s="157"/>
      <c r="D2019" s="216"/>
      <c r="E2019" s="216"/>
      <c r="F2019" s="216"/>
      <c r="G2019" s="216"/>
    </row>
    <row r="2020">
      <c r="A2020" s="216"/>
      <c r="B2020" s="216"/>
      <c r="C2020" s="157"/>
      <c r="D2020" s="216"/>
      <c r="E2020" s="216"/>
      <c r="F2020" s="216"/>
      <c r="G2020" s="216"/>
    </row>
    <row r="2021">
      <c r="A2021" s="216"/>
      <c r="B2021" s="216"/>
      <c r="C2021" s="157"/>
      <c r="D2021" s="216"/>
      <c r="E2021" s="216"/>
      <c r="F2021" s="216"/>
      <c r="G2021" s="216"/>
    </row>
    <row r="2022">
      <c r="A2022" s="216"/>
      <c r="B2022" s="216"/>
      <c r="C2022" s="157"/>
      <c r="D2022" s="216"/>
      <c r="E2022" s="216"/>
      <c r="F2022" s="216"/>
      <c r="G2022" s="216"/>
    </row>
    <row r="2023">
      <c r="A2023" s="216"/>
      <c r="B2023" s="216"/>
      <c r="C2023" s="157"/>
      <c r="D2023" s="216"/>
      <c r="E2023" s="216"/>
      <c r="F2023" s="216"/>
      <c r="G2023" s="216"/>
    </row>
    <row r="2024">
      <c r="A2024" s="216"/>
      <c r="B2024" s="216"/>
      <c r="C2024" s="157"/>
      <c r="D2024" s="216"/>
      <c r="E2024" s="216"/>
      <c r="F2024" s="216"/>
      <c r="G2024" s="216"/>
    </row>
    <row r="2025">
      <c r="A2025" s="216"/>
      <c r="B2025" s="216"/>
      <c r="C2025" s="157"/>
      <c r="D2025" s="216"/>
      <c r="E2025" s="216"/>
      <c r="F2025" s="216"/>
      <c r="G2025" s="216"/>
    </row>
    <row r="2026">
      <c r="A2026" s="216"/>
      <c r="B2026" s="216"/>
      <c r="C2026" s="157"/>
      <c r="D2026" s="216"/>
      <c r="E2026" s="216"/>
      <c r="F2026" s="216"/>
      <c r="G2026" s="216"/>
    </row>
    <row r="2027">
      <c r="A2027" s="216"/>
      <c r="B2027" s="216"/>
      <c r="C2027" s="157"/>
      <c r="D2027" s="216"/>
      <c r="E2027" s="216"/>
      <c r="F2027" s="216"/>
      <c r="G2027" s="216"/>
    </row>
    <row r="2028">
      <c r="A2028" s="216"/>
      <c r="B2028" s="216"/>
      <c r="C2028" s="157"/>
      <c r="D2028" s="216"/>
      <c r="E2028" s="216"/>
      <c r="F2028" s="216"/>
      <c r="G2028" s="216"/>
    </row>
    <row r="2029">
      <c r="A2029" s="216"/>
      <c r="B2029" s="216"/>
      <c r="C2029" s="157"/>
      <c r="D2029" s="216"/>
      <c r="E2029" s="216"/>
      <c r="F2029" s="216"/>
      <c r="G2029" s="216"/>
    </row>
    <row r="2030">
      <c r="A2030" s="216"/>
      <c r="B2030" s="216"/>
      <c r="C2030" s="157"/>
      <c r="D2030" s="216"/>
      <c r="E2030" s="216"/>
      <c r="F2030" s="216"/>
      <c r="G2030" s="216"/>
    </row>
    <row r="2031">
      <c r="A2031" s="216"/>
      <c r="B2031" s="216"/>
      <c r="C2031" s="157"/>
      <c r="D2031" s="216"/>
      <c r="E2031" s="216"/>
      <c r="F2031" s="216"/>
      <c r="G2031" s="216"/>
    </row>
    <row r="2032">
      <c r="A2032" s="216"/>
      <c r="B2032" s="216"/>
      <c r="C2032" s="157"/>
      <c r="D2032" s="216"/>
      <c r="E2032" s="216"/>
      <c r="F2032" s="216"/>
      <c r="G2032" s="216"/>
    </row>
    <row r="2033">
      <c r="A2033" s="216"/>
      <c r="B2033" s="216"/>
      <c r="C2033" s="157"/>
      <c r="D2033" s="216"/>
      <c r="E2033" s="216"/>
      <c r="F2033" s="216"/>
      <c r="G2033" s="216"/>
    </row>
    <row r="2034">
      <c r="A2034" s="216"/>
      <c r="B2034" s="216"/>
      <c r="C2034" s="157"/>
      <c r="D2034" s="216"/>
      <c r="E2034" s="216"/>
      <c r="F2034" s="216"/>
      <c r="G2034" s="216"/>
    </row>
    <row r="2035">
      <c r="A2035" s="216"/>
      <c r="B2035" s="216"/>
      <c r="C2035" s="157"/>
      <c r="D2035" s="216"/>
      <c r="E2035" s="216"/>
      <c r="F2035" s="216"/>
      <c r="G2035" s="216"/>
    </row>
    <row r="2036">
      <c r="A2036" s="216"/>
      <c r="B2036" s="216"/>
      <c r="C2036" s="157"/>
      <c r="D2036" s="216"/>
      <c r="E2036" s="216"/>
      <c r="F2036" s="216"/>
      <c r="G2036" s="216"/>
    </row>
    <row r="2037">
      <c r="A2037" s="216"/>
      <c r="B2037" s="216"/>
      <c r="C2037" s="157"/>
      <c r="D2037" s="216"/>
      <c r="E2037" s="216"/>
      <c r="F2037" s="216"/>
      <c r="G2037" s="216"/>
    </row>
    <row r="2038">
      <c r="A2038" s="216"/>
      <c r="B2038" s="216"/>
      <c r="C2038" s="157"/>
      <c r="D2038" s="216"/>
      <c r="E2038" s="216"/>
      <c r="F2038" s="216"/>
      <c r="G2038" s="216"/>
    </row>
    <row r="2039">
      <c r="A2039" s="216"/>
      <c r="B2039" s="216"/>
      <c r="C2039" s="157"/>
      <c r="D2039" s="216"/>
      <c r="E2039" s="216"/>
      <c r="F2039" s="216"/>
      <c r="G2039" s="216"/>
    </row>
    <row r="2040">
      <c r="A2040" s="216"/>
      <c r="B2040" s="216"/>
      <c r="C2040" s="157"/>
      <c r="D2040" s="216"/>
      <c r="E2040" s="216"/>
      <c r="F2040" s="216"/>
      <c r="G2040" s="216"/>
    </row>
    <row r="2041">
      <c r="A2041" s="216"/>
      <c r="B2041" s="216"/>
      <c r="C2041" s="157"/>
      <c r="D2041" s="216"/>
      <c r="E2041" s="216"/>
      <c r="F2041" s="216"/>
      <c r="G2041" s="216"/>
    </row>
    <row r="2042">
      <c r="A2042" s="216"/>
      <c r="B2042" s="216"/>
      <c r="C2042" s="157"/>
      <c r="D2042" s="216"/>
      <c r="E2042" s="216"/>
      <c r="F2042" s="216"/>
      <c r="G2042" s="216"/>
    </row>
    <row r="2043">
      <c r="A2043" s="216"/>
      <c r="B2043" s="216"/>
      <c r="C2043" s="157"/>
      <c r="D2043" s="216"/>
      <c r="E2043" s="216"/>
      <c r="F2043" s="216"/>
      <c r="G2043" s="216"/>
    </row>
    <row r="2044">
      <c r="A2044" s="216"/>
      <c r="B2044" s="216"/>
      <c r="C2044" s="157"/>
      <c r="D2044" s="216"/>
      <c r="E2044" s="216"/>
      <c r="F2044" s="216"/>
      <c r="G2044" s="216"/>
    </row>
    <row r="2045">
      <c r="A2045" s="216"/>
      <c r="B2045" s="216"/>
      <c r="C2045" s="157"/>
      <c r="D2045" s="216"/>
      <c r="E2045" s="216"/>
      <c r="F2045" s="216"/>
      <c r="G2045" s="216"/>
    </row>
    <row r="2046">
      <c r="A2046" s="216"/>
      <c r="B2046" s="216"/>
      <c r="C2046" s="157"/>
      <c r="D2046" s="216"/>
      <c r="E2046" s="216"/>
      <c r="F2046" s="216"/>
      <c r="G2046" s="216"/>
    </row>
    <row r="2047">
      <c r="A2047" s="216"/>
      <c r="B2047" s="216"/>
      <c r="C2047" s="157"/>
      <c r="D2047" s="216"/>
      <c r="E2047" s="216"/>
      <c r="F2047" s="216"/>
      <c r="G2047" s="216"/>
    </row>
    <row r="2048">
      <c r="A2048" s="216"/>
      <c r="B2048" s="216"/>
      <c r="C2048" s="157"/>
      <c r="D2048" s="216"/>
      <c r="E2048" s="216"/>
      <c r="F2048" s="216"/>
      <c r="G2048" s="216"/>
    </row>
    <row r="2049">
      <c r="A2049" s="216"/>
      <c r="B2049" s="216"/>
      <c r="C2049" s="157"/>
      <c r="D2049" s="216"/>
      <c r="E2049" s="216"/>
      <c r="F2049" s="216"/>
      <c r="G2049" s="216"/>
    </row>
    <row r="2050">
      <c r="A2050" s="216"/>
      <c r="B2050" s="216"/>
      <c r="C2050" s="157"/>
      <c r="D2050" s="216"/>
      <c r="E2050" s="216"/>
      <c r="F2050" s="216"/>
      <c r="G2050" s="216"/>
    </row>
    <row r="2051">
      <c r="A2051" s="216"/>
      <c r="B2051" s="216"/>
      <c r="C2051" s="157"/>
      <c r="D2051" s="216"/>
      <c r="E2051" s="216"/>
      <c r="F2051" s="216"/>
      <c r="G2051" s="216"/>
    </row>
    <row r="2052">
      <c r="A2052" s="216"/>
      <c r="B2052" s="216"/>
      <c r="C2052" s="157"/>
      <c r="D2052" s="216"/>
      <c r="E2052" s="216"/>
      <c r="F2052" s="216"/>
      <c r="G2052" s="216"/>
    </row>
    <row r="2053">
      <c r="A2053" s="216"/>
      <c r="B2053" s="216"/>
      <c r="C2053" s="157"/>
      <c r="D2053" s="216"/>
      <c r="E2053" s="216"/>
      <c r="F2053" s="216"/>
      <c r="G2053" s="216"/>
    </row>
    <row r="2054">
      <c r="A2054" s="216"/>
      <c r="B2054" s="216"/>
      <c r="C2054" s="157"/>
      <c r="D2054" s="216"/>
      <c r="E2054" s="216"/>
      <c r="F2054" s="216"/>
      <c r="G2054" s="216"/>
    </row>
    <row r="2055">
      <c r="A2055" s="216"/>
      <c r="B2055" s="216"/>
      <c r="C2055" s="157"/>
      <c r="D2055" s="216"/>
      <c r="E2055" s="216"/>
      <c r="F2055" s="216"/>
      <c r="G2055" s="216"/>
    </row>
    <row r="2056">
      <c r="A2056" s="216"/>
      <c r="B2056" s="216"/>
      <c r="C2056" s="157"/>
      <c r="D2056" s="216"/>
      <c r="E2056" s="216"/>
      <c r="F2056" s="216"/>
      <c r="G2056" s="216"/>
    </row>
    <row r="2057">
      <c r="A2057" s="216"/>
      <c r="B2057" s="216"/>
      <c r="C2057" s="157"/>
      <c r="D2057" s="216"/>
      <c r="E2057" s="216"/>
      <c r="F2057" s="216"/>
      <c r="G2057" s="216"/>
    </row>
    <row r="2058">
      <c r="A2058" s="216"/>
      <c r="B2058" s="216"/>
      <c r="C2058" s="157"/>
      <c r="D2058" s="216"/>
      <c r="E2058" s="216"/>
      <c r="F2058" s="216"/>
      <c r="G2058" s="216"/>
    </row>
    <row r="2059">
      <c r="A2059" s="216"/>
      <c r="B2059" s="216"/>
      <c r="C2059" s="157"/>
      <c r="D2059" s="216"/>
      <c r="E2059" s="216"/>
      <c r="F2059" s="216"/>
      <c r="G2059" s="216"/>
    </row>
    <row r="2060">
      <c r="A2060" s="216"/>
      <c r="B2060" s="216"/>
      <c r="C2060" s="157"/>
      <c r="D2060" s="216"/>
      <c r="E2060" s="216"/>
      <c r="F2060" s="216"/>
      <c r="G2060" s="216"/>
    </row>
    <row r="2061">
      <c r="A2061" s="216"/>
      <c r="B2061" s="216"/>
      <c r="C2061" s="157"/>
      <c r="D2061" s="216"/>
      <c r="E2061" s="216"/>
      <c r="F2061" s="216"/>
      <c r="G2061" s="216"/>
    </row>
    <row r="2062">
      <c r="A2062" s="216"/>
      <c r="B2062" s="216"/>
      <c r="C2062" s="157"/>
      <c r="D2062" s="216"/>
      <c r="E2062" s="216"/>
      <c r="F2062" s="216"/>
      <c r="G2062" s="216"/>
    </row>
    <row r="2063">
      <c r="A2063" s="216"/>
      <c r="B2063" s="216"/>
      <c r="C2063" s="157"/>
      <c r="D2063" s="216"/>
      <c r="E2063" s="216"/>
      <c r="F2063" s="216"/>
      <c r="G2063" s="216"/>
    </row>
    <row r="2064">
      <c r="A2064" s="216"/>
      <c r="B2064" s="216"/>
      <c r="C2064" s="157"/>
      <c r="D2064" s="216"/>
      <c r="E2064" s="216"/>
      <c r="F2064" s="216"/>
      <c r="G2064" s="216"/>
    </row>
    <row r="2065">
      <c r="A2065" s="216"/>
      <c r="B2065" s="216"/>
      <c r="C2065" s="157"/>
      <c r="D2065" s="216"/>
      <c r="E2065" s="216"/>
      <c r="F2065" s="216"/>
      <c r="G2065" s="216"/>
    </row>
    <row r="2066">
      <c r="A2066" s="216"/>
      <c r="B2066" s="216"/>
      <c r="C2066" s="157"/>
      <c r="D2066" s="216"/>
      <c r="E2066" s="216"/>
      <c r="F2066" s="216"/>
      <c r="G2066" s="216"/>
    </row>
    <row r="2067">
      <c r="A2067" s="216"/>
      <c r="B2067" s="216"/>
      <c r="C2067" s="157"/>
      <c r="D2067" s="216"/>
      <c r="E2067" s="216"/>
      <c r="F2067" s="216"/>
      <c r="G2067" s="216"/>
    </row>
    <row r="2068">
      <c r="A2068" s="216"/>
      <c r="B2068" s="216"/>
      <c r="C2068" s="157"/>
      <c r="D2068" s="216"/>
      <c r="E2068" s="216"/>
      <c r="F2068" s="216"/>
      <c r="G2068" s="216"/>
    </row>
    <row r="2069">
      <c r="A2069" s="216"/>
      <c r="B2069" s="216"/>
      <c r="C2069" s="157"/>
      <c r="D2069" s="216"/>
      <c r="E2069" s="216"/>
      <c r="F2069" s="216"/>
      <c r="G2069" s="216"/>
    </row>
    <row r="2070">
      <c r="A2070" s="216"/>
      <c r="B2070" s="216"/>
      <c r="C2070" s="157"/>
      <c r="D2070" s="216"/>
      <c r="E2070" s="216"/>
      <c r="F2070" s="216"/>
      <c r="G2070" s="216"/>
    </row>
    <row r="2071">
      <c r="A2071" s="216"/>
      <c r="B2071" s="216"/>
      <c r="C2071" s="157"/>
      <c r="D2071" s="216"/>
      <c r="E2071" s="216"/>
      <c r="F2071" s="216"/>
      <c r="G2071" s="216"/>
    </row>
    <row r="2072">
      <c r="A2072" s="216"/>
      <c r="B2072" s="216"/>
      <c r="C2072" s="157"/>
      <c r="D2072" s="216"/>
      <c r="E2072" s="216"/>
      <c r="F2072" s="216"/>
      <c r="G2072" s="216"/>
    </row>
    <row r="2073">
      <c r="A2073" s="216"/>
      <c r="B2073" s="216"/>
      <c r="C2073" s="157"/>
      <c r="D2073" s="216"/>
      <c r="E2073" s="216"/>
      <c r="F2073" s="216"/>
      <c r="G2073" s="216"/>
    </row>
    <row r="2074">
      <c r="A2074" s="216"/>
      <c r="B2074" s="216"/>
      <c r="C2074" s="157"/>
      <c r="D2074" s="216"/>
      <c r="E2074" s="216"/>
      <c r="F2074" s="216"/>
      <c r="G2074" s="216"/>
    </row>
    <row r="2075">
      <c r="A2075" s="216"/>
      <c r="B2075" s="216"/>
      <c r="C2075" s="157"/>
      <c r="D2075" s="216"/>
      <c r="E2075" s="216"/>
      <c r="F2075" s="216"/>
      <c r="G2075" s="216"/>
    </row>
    <row r="2076">
      <c r="A2076" s="216"/>
      <c r="B2076" s="216"/>
      <c r="C2076" s="157"/>
      <c r="D2076" s="216"/>
      <c r="E2076" s="216"/>
      <c r="F2076" s="216"/>
      <c r="G2076" s="216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25"/>
    <col customWidth="1" min="2" max="2" width="16.25"/>
    <col customWidth="1" min="3" max="3" width="19.38"/>
    <col customWidth="1" min="4" max="4" width="23.5"/>
    <col customWidth="1" min="5" max="5" width="28.13"/>
    <col customWidth="1" min="6" max="6" width="19.63"/>
  </cols>
  <sheetData>
    <row r="1">
      <c r="A1" s="157"/>
      <c r="B1" s="157" t="s">
        <v>6463</v>
      </c>
    </row>
    <row r="2">
      <c r="A2" s="216"/>
      <c r="B2" s="216"/>
      <c r="C2" s="216"/>
      <c r="D2" s="216"/>
      <c r="E2" s="216"/>
      <c r="F2" s="216"/>
      <c r="G2" s="173"/>
      <c r="H2" s="173"/>
      <c r="I2" s="173"/>
      <c r="J2" s="173"/>
    </row>
    <row r="3">
      <c r="A3" s="217" t="s">
        <v>6</v>
      </c>
      <c r="B3" s="217" t="s">
        <v>3571</v>
      </c>
      <c r="C3" s="217" t="s">
        <v>3572</v>
      </c>
      <c r="D3" s="217" t="s">
        <v>3573</v>
      </c>
      <c r="E3" s="217" t="s">
        <v>3575</v>
      </c>
      <c r="F3" s="217" t="s">
        <v>26</v>
      </c>
      <c r="G3" s="173"/>
      <c r="H3" s="157" t="s">
        <v>3580</v>
      </c>
      <c r="I3" s="157" t="s">
        <v>3581</v>
      </c>
      <c r="J3" s="157" t="s">
        <v>14</v>
      </c>
      <c r="L3" s="26" t="s">
        <v>5857</v>
      </c>
    </row>
    <row r="4">
      <c r="A4" s="218">
        <v>1.0</v>
      </c>
      <c r="B4" s="218" t="s">
        <v>200</v>
      </c>
      <c r="C4" s="219" t="str">
        <f t="shared" ref="C4:C949" si="1">H4&amp;"/"&amp;I4&amp;"/"&amp;J4</f>
        <v>MS/1519/2025</v>
      </c>
      <c r="D4" s="218" t="b">
        <v>1</v>
      </c>
      <c r="E4" s="219" t="b">
        <v>0</v>
      </c>
      <c r="F4" s="219"/>
      <c r="G4" s="173"/>
      <c r="H4" s="157" t="s">
        <v>6464</v>
      </c>
      <c r="I4" s="157">
        <v>1519.0</v>
      </c>
      <c r="J4" s="157">
        <v>2025.0</v>
      </c>
      <c r="L4" s="26" t="s">
        <v>6465</v>
      </c>
    </row>
    <row r="5">
      <c r="A5" s="218">
        <f t="shared" ref="A5:A949" si="2">A4+1</f>
        <v>2</v>
      </c>
      <c r="B5" s="218" t="s">
        <v>200</v>
      </c>
      <c r="C5" s="219" t="str">
        <f t="shared" si="1"/>
        <v>MS/1520/2025</v>
      </c>
      <c r="D5" s="218" t="b">
        <v>1</v>
      </c>
      <c r="E5" s="219" t="b">
        <v>0</v>
      </c>
      <c r="F5" s="219"/>
      <c r="G5" s="173"/>
      <c r="H5" s="157" t="s">
        <v>6464</v>
      </c>
      <c r="I5" s="157">
        <f t="shared" ref="I5:I948" si="3">I4+1</f>
        <v>1520</v>
      </c>
      <c r="J5" s="157">
        <v>2025.0</v>
      </c>
      <c r="L5" s="26" t="s">
        <v>222</v>
      </c>
    </row>
    <row r="6">
      <c r="A6" s="218">
        <f t="shared" si="2"/>
        <v>3</v>
      </c>
      <c r="B6" s="218" t="s">
        <v>200</v>
      </c>
      <c r="C6" s="219" t="str">
        <f t="shared" si="1"/>
        <v>MS/1521/2025</v>
      </c>
      <c r="D6" s="218" t="b">
        <v>1</v>
      </c>
      <c r="E6" s="219" t="b">
        <v>0</v>
      </c>
      <c r="F6" s="219"/>
      <c r="G6" s="173"/>
      <c r="H6" s="157" t="s">
        <v>6464</v>
      </c>
      <c r="I6" s="157">
        <f t="shared" si="3"/>
        <v>1521</v>
      </c>
      <c r="J6" s="157">
        <v>2025.0</v>
      </c>
    </row>
    <row r="7">
      <c r="A7" s="218">
        <f t="shared" si="2"/>
        <v>4</v>
      </c>
      <c r="B7" s="218" t="s">
        <v>200</v>
      </c>
      <c r="C7" s="219" t="str">
        <f t="shared" si="1"/>
        <v>MS/1522/2025</v>
      </c>
      <c r="D7" s="218" t="b">
        <v>1</v>
      </c>
      <c r="E7" s="219" t="b">
        <v>0</v>
      </c>
      <c r="F7" s="219"/>
      <c r="G7" s="173"/>
      <c r="H7" s="157" t="s">
        <v>6464</v>
      </c>
      <c r="I7" s="157">
        <f t="shared" si="3"/>
        <v>1522</v>
      </c>
      <c r="J7" s="157">
        <v>2025.0</v>
      </c>
    </row>
    <row r="8">
      <c r="A8" s="218">
        <f t="shared" si="2"/>
        <v>5</v>
      </c>
      <c r="B8" s="218" t="s">
        <v>200</v>
      </c>
      <c r="C8" s="219" t="str">
        <f t="shared" si="1"/>
        <v>MS/1523/2025</v>
      </c>
      <c r="D8" s="218" t="b">
        <v>1</v>
      </c>
      <c r="E8" s="219" t="b">
        <v>0</v>
      </c>
      <c r="F8" s="219"/>
      <c r="G8" s="173"/>
      <c r="H8" s="157" t="s">
        <v>6464</v>
      </c>
      <c r="I8" s="157">
        <f t="shared" si="3"/>
        <v>1523</v>
      </c>
      <c r="J8" s="157">
        <v>2025.0</v>
      </c>
    </row>
    <row r="9">
      <c r="A9" s="218">
        <f t="shared" si="2"/>
        <v>6</v>
      </c>
      <c r="B9" s="218" t="s">
        <v>200</v>
      </c>
      <c r="C9" s="219" t="str">
        <f t="shared" si="1"/>
        <v>MS/1524/2025</v>
      </c>
      <c r="D9" s="218" t="b">
        <v>1</v>
      </c>
      <c r="E9" s="219" t="b">
        <v>0</v>
      </c>
      <c r="F9" s="219"/>
      <c r="G9" s="173"/>
      <c r="H9" s="157" t="s">
        <v>6464</v>
      </c>
      <c r="I9" s="157">
        <f t="shared" si="3"/>
        <v>1524</v>
      </c>
      <c r="J9" s="157">
        <v>2025.0</v>
      </c>
    </row>
    <row r="10">
      <c r="A10" s="218">
        <f t="shared" si="2"/>
        <v>7</v>
      </c>
      <c r="B10" s="218" t="s">
        <v>200</v>
      </c>
      <c r="C10" s="219" t="str">
        <f t="shared" si="1"/>
        <v>MS/1525/2025</v>
      </c>
      <c r="D10" s="218" t="b">
        <v>1</v>
      </c>
      <c r="E10" s="219" t="b">
        <v>0</v>
      </c>
      <c r="F10" s="219"/>
      <c r="G10" s="173"/>
      <c r="H10" s="157" t="s">
        <v>6464</v>
      </c>
      <c r="I10" s="157">
        <f t="shared" si="3"/>
        <v>1525</v>
      </c>
      <c r="J10" s="157">
        <v>2025.0</v>
      </c>
    </row>
    <row r="11">
      <c r="A11" s="218">
        <f t="shared" si="2"/>
        <v>8</v>
      </c>
      <c r="B11" s="218" t="s">
        <v>200</v>
      </c>
      <c r="C11" s="219" t="str">
        <f t="shared" si="1"/>
        <v>MS/1526/2025</v>
      </c>
      <c r="D11" s="218" t="b">
        <v>1</v>
      </c>
      <c r="E11" s="219" t="b">
        <v>0</v>
      </c>
      <c r="F11" s="219"/>
      <c r="G11" s="173"/>
      <c r="H11" s="157" t="s">
        <v>6464</v>
      </c>
      <c r="I11" s="157">
        <f t="shared" si="3"/>
        <v>1526</v>
      </c>
      <c r="J11" s="157">
        <v>2025.0</v>
      </c>
    </row>
    <row r="12">
      <c r="A12" s="218">
        <f t="shared" si="2"/>
        <v>9</v>
      </c>
      <c r="B12" s="218" t="s">
        <v>200</v>
      </c>
      <c r="C12" s="219" t="str">
        <f t="shared" si="1"/>
        <v>MS/1527/2025</v>
      </c>
      <c r="D12" s="218" t="b">
        <v>1</v>
      </c>
      <c r="E12" s="219" t="b">
        <v>0</v>
      </c>
      <c r="F12" s="219"/>
      <c r="G12" s="173"/>
      <c r="H12" s="157" t="s">
        <v>6464</v>
      </c>
      <c r="I12" s="157">
        <f t="shared" si="3"/>
        <v>1527</v>
      </c>
      <c r="J12" s="157">
        <v>2025.0</v>
      </c>
    </row>
    <row r="13">
      <c r="A13" s="218">
        <f t="shared" si="2"/>
        <v>10</v>
      </c>
      <c r="B13" s="218" t="s">
        <v>200</v>
      </c>
      <c r="C13" s="219" t="str">
        <f t="shared" si="1"/>
        <v>MS/1528/2025</v>
      </c>
      <c r="D13" s="218" t="b">
        <v>1</v>
      </c>
      <c r="E13" s="219" t="b">
        <v>0</v>
      </c>
      <c r="F13" s="219"/>
      <c r="G13" s="173"/>
      <c r="H13" s="157" t="s">
        <v>6464</v>
      </c>
      <c r="I13" s="157">
        <f t="shared" si="3"/>
        <v>1528</v>
      </c>
      <c r="J13" s="157">
        <v>2025.0</v>
      </c>
    </row>
    <row r="14">
      <c r="A14" s="218">
        <f t="shared" si="2"/>
        <v>11</v>
      </c>
      <c r="B14" s="218" t="s">
        <v>200</v>
      </c>
      <c r="C14" s="219" t="str">
        <f t="shared" si="1"/>
        <v>MS/1529/2025</v>
      </c>
      <c r="D14" s="218" t="b">
        <v>1</v>
      </c>
      <c r="E14" s="219" t="b">
        <v>0</v>
      </c>
      <c r="F14" s="219"/>
      <c r="G14" s="173"/>
      <c r="H14" s="157" t="s">
        <v>6464</v>
      </c>
      <c r="I14" s="157">
        <f t="shared" si="3"/>
        <v>1529</v>
      </c>
      <c r="J14" s="157">
        <v>2025.0</v>
      </c>
    </row>
    <row r="15">
      <c r="A15" s="218">
        <f t="shared" si="2"/>
        <v>12</v>
      </c>
      <c r="B15" s="218" t="s">
        <v>200</v>
      </c>
      <c r="C15" s="219" t="str">
        <f t="shared" si="1"/>
        <v>MS/1530/2025</v>
      </c>
      <c r="D15" s="218" t="b">
        <v>1</v>
      </c>
      <c r="E15" s="219" t="b">
        <v>0</v>
      </c>
      <c r="F15" s="219"/>
      <c r="G15" s="173"/>
      <c r="H15" s="157" t="s">
        <v>6464</v>
      </c>
      <c r="I15" s="157">
        <f t="shared" si="3"/>
        <v>1530</v>
      </c>
      <c r="J15" s="157">
        <v>2025.0</v>
      </c>
    </row>
    <row r="16">
      <c r="A16" s="218">
        <f t="shared" si="2"/>
        <v>13</v>
      </c>
      <c r="B16" s="218" t="s">
        <v>200</v>
      </c>
      <c r="C16" s="219" t="str">
        <f t="shared" si="1"/>
        <v>MS/1531/2025</v>
      </c>
      <c r="D16" s="218" t="b">
        <v>1</v>
      </c>
      <c r="E16" s="219" t="b">
        <v>0</v>
      </c>
      <c r="F16" s="219"/>
      <c r="G16" s="173"/>
      <c r="H16" s="157" t="s">
        <v>6464</v>
      </c>
      <c r="I16" s="157">
        <f t="shared" si="3"/>
        <v>1531</v>
      </c>
      <c r="J16" s="157">
        <v>2025.0</v>
      </c>
    </row>
    <row r="17">
      <c r="A17" s="218">
        <f t="shared" si="2"/>
        <v>14</v>
      </c>
      <c r="B17" s="218" t="s">
        <v>200</v>
      </c>
      <c r="C17" s="219" t="str">
        <f t="shared" si="1"/>
        <v>MS/1532/2025</v>
      </c>
      <c r="D17" s="218" t="b">
        <v>1</v>
      </c>
      <c r="E17" s="219" t="b">
        <v>0</v>
      </c>
      <c r="F17" s="219"/>
      <c r="G17" s="173"/>
      <c r="H17" s="157" t="s">
        <v>6464</v>
      </c>
      <c r="I17" s="157">
        <f t="shared" si="3"/>
        <v>1532</v>
      </c>
      <c r="J17" s="157">
        <v>2025.0</v>
      </c>
    </row>
    <row r="18">
      <c r="A18" s="218">
        <f t="shared" si="2"/>
        <v>15</v>
      </c>
      <c r="B18" s="218" t="s">
        <v>200</v>
      </c>
      <c r="C18" s="219" t="str">
        <f t="shared" si="1"/>
        <v>MS/1533/2025</v>
      </c>
      <c r="D18" s="218" t="b">
        <v>1</v>
      </c>
      <c r="E18" s="219" t="b">
        <v>0</v>
      </c>
      <c r="F18" s="219"/>
      <c r="G18" s="173"/>
      <c r="H18" s="157" t="s">
        <v>6464</v>
      </c>
      <c r="I18" s="157">
        <f t="shared" si="3"/>
        <v>1533</v>
      </c>
      <c r="J18" s="157">
        <v>2025.0</v>
      </c>
    </row>
    <row r="19">
      <c r="A19" s="218">
        <f t="shared" si="2"/>
        <v>16</v>
      </c>
      <c r="B19" s="218" t="s">
        <v>200</v>
      </c>
      <c r="C19" s="219" t="str">
        <f t="shared" si="1"/>
        <v>MS/1534/2025</v>
      </c>
      <c r="D19" s="218" t="b">
        <v>1</v>
      </c>
      <c r="E19" s="219" t="b">
        <v>0</v>
      </c>
      <c r="F19" s="219"/>
      <c r="G19" s="173"/>
      <c r="H19" s="157" t="s">
        <v>6464</v>
      </c>
      <c r="I19" s="157">
        <f t="shared" si="3"/>
        <v>1534</v>
      </c>
      <c r="J19" s="157">
        <v>2025.0</v>
      </c>
    </row>
    <row r="20">
      <c r="A20" s="218">
        <f t="shared" si="2"/>
        <v>17</v>
      </c>
      <c r="B20" s="218" t="s">
        <v>200</v>
      </c>
      <c r="C20" s="219" t="str">
        <f t="shared" si="1"/>
        <v>MS/1535/2025</v>
      </c>
      <c r="D20" s="218" t="b">
        <v>1</v>
      </c>
      <c r="E20" s="219" t="b">
        <v>0</v>
      </c>
      <c r="F20" s="219"/>
      <c r="G20" s="173"/>
      <c r="H20" s="157" t="s">
        <v>6464</v>
      </c>
      <c r="I20" s="157">
        <f t="shared" si="3"/>
        <v>1535</v>
      </c>
      <c r="J20" s="157">
        <v>2025.0</v>
      </c>
    </row>
    <row r="21">
      <c r="A21" s="218">
        <f t="shared" si="2"/>
        <v>18</v>
      </c>
      <c r="B21" s="218" t="s">
        <v>200</v>
      </c>
      <c r="C21" s="219" t="str">
        <f t="shared" si="1"/>
        <v>MS/1536/2025</v>
      </c>
      <c r="D21" s="218" t="b">
        <v>1</v>
      </c>
      <c r="E21" s="219" t="b">
        <v>0</v>
      </c>
      <c r="F21" s="219"/>
      <c r="G21" s="173"/>
      <c r="H21" s="157" t="s">
        <v>6464</v>
      </c>
      <c r="I21" s="157">
        <f t="shared" si="3"/>
        <v>1536</v>
      </c>
      <c r="J21" s="157">
        <v>2025.0</v>
      </c>
    </row>
    <row r="22">
      <c r="A22" s="218">
        <f t="shared" si="2"/>
        <v>19</v>
      </c>
      <c r="B22" s="218" t="s">
        <v>200</v>
      </c>
      <c r="C22" s="219" t="str">
        <f t="shared" si="1"/>
        <v>MS/1537/2025</v>
      </c>
      <c r="D22" s="218" t="b">
        <v>1</v>
      </c>
      <c r="E22" s="219" t="b">
        <v>0</v>
      </c>
      <c r="F22" s="219"/>
      <c r="G22" s="173"/>
      <c r="H22" s="157" t="s">
        <v>6464</v>
      </c>
      <c r="I22" s="157">
        <f t="shared" si="3"/>
        <v>1537</v>
      </c>
      <c r="J22" s="157">
        <v>2025.0</v>
      </c>
    </row>
    <row r="23">
      <c r="A23" s="218">
        <f t="shared" si="2"/>
        <v>20</v>
      </c>
      <c r="B23" s="218" t="s">
        <v>200</v>
      </c>
      <c r="C23" s="219" t="str">
        <f t="shared" si="1"/>
        <v>MS/1538/2025</v>
      </c>
      <c r="D23" s="218" t="b">
        <v>1</v>
      </c>
      <c r="E23" s="219" t="b">
        <v>0</v>
      </c>
      <c r="F23" s="219"/>
      <c r="G23" s="173"/>
      <c r="H23" s="157" t="s">
        <v>6464</v>
      </c>
      <c r="I23" s="157">
        <f t="shared" si="3"/>
        <v>1538</v>
      </c>
      <c r="J23" s="157">
        <v>2025.0</v>
      </c>
    </row>
    <row r="24">
      <c r="A24" s="218">
        <f t="shared" si="2"/>
        <v>21</v>
      </c>
      <c r="B24" s="218" t="s">
        <v>200</v>
      </c>
      <c r="C24" s="219" t="str">
        <f t="shared" si="1"/>
        <v>MS/1539/2025</v>
      </c>
      <c r="D24" s="218" t="b">
        <v>1</v>
      </c>
      <c r="E24" s="219" t="b">
        <v>0</v>
      </c>
      <c r="F24" s="219"/>
      <c r="G24" s="173"/>
      <c r="H24" s="157" t="s">
        <v>6464</v>
      </c>
      <c r="I24" s="157">
        <f t="shared" si="3"/>
        <v>1539</v>
      </c>
      <c r="J24" s="157">
        <v>2025.0</v>
      </c>
    </row>
    <row r="25">
      <c r="A25" s="218">
        <f t="shared" si="2"/>
        <v>22</v>
      </c>
      <c r="B25" s="218" t="s">
        <v>200</v>
      </c>
      <c r="C25" s="219" t="str">
        <f t="shared" si="1"/>
        <v>MS/1540/2025</v>
      </c>
      <c r="D25" s="218" t="b">
        <v>1</v>
      </c>
      <c r="E25" s="219" t="b">
        <v>0</v>
      </c>
      <c r="F25" s="219"/>
      <c r="G25" s="173"/>
      <c r="H25" s="157" t="s">
        <v>6464</v>
      </c>
      <c r="I25" s="157">
        <f t="shared" si="3"/>
        <v>1540</v>
      </c>
      <c r="J25" s="157">
        <v>2025.0</v>
      </c>
    </row>
    <row r="26">
      <c r="A26" s="218">
        <f t="shared" si="2"/>
        <v>23</v>
      </c>
      <c r="B26" s="218" t="s">
        <v>200</v>
      </c>
      <c r="C26" s="219" t="str">
        <f t="shared" si="1"/>
        <v>MS/1541/2025</v>
      </c>
      <c r="D26" s="218" t="b">
        <v>1</v>
      </c>
      <c r="E26" s="219" t="b">
        <v>0</v>
      </c>
      <c r="F26" s="219"/>
      <c r="G26" s="173"/>
      <c r="H26" s="157" t="s">
        <v>6464</v>
      </c>
      <c r="I26" s="157">
        <f t="shared" si="3"/>
        <v>1541</v>
      </c>
      <c r="J26" s="157">
        <v>2025.0</v>
      </c>
    </row>
    <row r="27">
      <c r="A27" s="218">
        <f t="shared" si="2"/>
        <v>24</v>
      </c>
      <c r="B27" s="218" t="s">
        <v>200</v>
      </c>
      <c r="C27" s="219" t="str">
        <f t="shared" si="1"/>
        <v>MS/1542/2025</v>
      </c>
      <c r="D27" s="218" t="b">
        <v>1</v>
      </c>
      <c r="E27" s="219" t="b">
        <v>0</v>
      </c>
      <c r="F27" s="219"/>
      <c r="G27" s="173"/>
      <c r="H27" s="157" t="s">
        <v>6464</v>
      </c>
      <c r="I27" s="157">
        <f t="shared" si="3"/>
        <v>1542</v>
      </c>
      <c r="J27" s="157">
        <v>2025.0</v>
      </c>
    </row>
    <row r="28">
      <c r="A28" s="218">
        <f t="shared" si="2"/>
        <v>25</v>
      </c>
      <c r="B28" s="218" t="s">
        <v>200</v>
      </c>
      <c r="C28" s="219" t="str">
        <f t="shared" si="1"/>
        <v>MS/1543/2025</v>
      </c>
      <c r="D28" s="218" t="b">
        <v>1</v>
      </c>
      <c r="E28" s="219" t="b">
        <v>0</v>
      </c>
      <c r="F28" s="219"/>
      <c r="G28" s="173"/>
      <c r="H28" s="157" t="s">
        <v>6464</v>
      </c>
      <c r="I28" s="157">
        <f t="shared" si="3"/>
        <v>1543</v>
      </c>
      <c r="J28" s="157">
        <v>2025.0</v>
      </c>
    </row>
    <row r="29">
      <c r="A29" s="218">
        <f t="shared" si="2"/>
        <v>26</v>
      </c>
      <c r="B29" s="218" t="s">
        <v>200</v>
      </c>
      <c r="C29" s="219" t="str">
        <f t="shared" si="1"/>
        <v>MS/1544/2025</v>
      </c>
      <c r="D29" s="218" t="b">
        <v>1</v>
      </c>
      <c r="E29" s="219" t="b">
        <v>0</v>
      </c>
      <c r="F29" s="219"/>
      <c r="G29" s="173"/>
      <c r="H29" s="157" t="s">
        <v>6464</v>
      </c>
      <c r="I29" s="157">
        <f t="shared" si="3"/>
        <v>1544</v>
      </c>
      <c r="J29" s="157">
        <v>2025.0</v>
      </c>
    </row>
    <row r="30">
      <c r="A30" s="218">
        <f t="shared" si="2"/>
        <v>27</v>
      </c>
      <c r="B30" s="218" t="s">
        <v>200</v>
      </c>
      <c r="C30" s="219" t="str">
        <f t="shared" si="1"/>
        <v>MS/1545/2025</v>
      </c>
      <c r="D30" s="218" t="b">
        <v>1</v>
      </c>
      <c r="E30" s="219" t="b">
        <v>0</v>
      </c>
      <c r="F30" s="219"/>
      <c r="G30" s="173"/>
      <c r="H30" s="157" t="s">
        <v>6464</v>
      </c>
      <c r="I30" s="157">
        <f t="shared" si="3"/>
        <v>1545</v>
      </c>
      <c r="J30" s="157">
        <v>2025.0</v>
      </c>
    </row>
    <row r="31">
      <c r="A31" s="218">
        <f t="shared" si="2"/>
        <v>28</v>
      </c>
      <c r="B31" s="218" t="s">
        <v>200</v>
      </c>
      <c r="C31" s="219" t="str">
        <f t="shared" si="1"/>
        <v>MS/1546/2025</v>
      </c>
      <c r="D31" s="218" t="b">
        <v>1</v>
      </c>
      <c r="E31" s="219" t="b">
        <v>0</v>
      </c>
      <c r="F31" s="219"/>
      <c r="G31" s="173"/>
      <c r="H31" s="157" t="s">
        <v>6464</v>
      </c>
      <c r="I31" s="157">
        <f t="shared" si="3"/>
        <v>1546</v>
      </c>
      <c r="J31" s="157">
        <v>2025.0</v>
      </c>
    </row>
    <row r="32">
      <c r="A32" s="218">
        <f t="shared" si="2"/>
        <v>29</v>
      </c>
      <c r="B32" s="218" t="s">
        <v>200</v>
      </c>
      <c r="C32" s="219" t="str">
        <f t="shared" si="1"/>
        <v>MS/1547/2025</v>
      </c>
      <c r="D32" s="218" t="b">
        <v>1</v>
      </c>
      <c r="E32" s="219" t="b">
        <v>0</v>
      </c>
      <c r="F32" s="219"/>
      <c r="G32" s="173"/>
      <c r="H32" s="157" t="s">
        <v>6464</v>
      </c>
      <c r="I32" s="157">
        <f t="shared" si="3"/>
        <v>1547</v>
      </c>
      <c r="J32" s="157">
        <v>2025.0</v>
      </c>
    </row>
    <row r="33">
      <c r="A33" s="218">
        <f t="shared" si="2"/>
        <v>30</v>
      </c>
      <c r="B33" s="218" t="s">
        <v>200</v>
      </c>
      <c r="C33" s="219" t="str">
        <f t="shared" si="1"/>
        <v>MS/1548/2025</v>
      </c>
      <c r="D33" s="218" t="b">
        <v>1</v>
      </c>
      <c r="E33" s="219" t="b">
        <v>0</v>
      </c>
      <c r="F33" s="219"/>
      <c r="G33" s="173"/>
      <c r="H33" s="157" t="s">
        <v>6464</v>
      </c>
      <c r="I33" s="157">
        <f t="shared" si="3"/>
        <v>1548</v>
      </c>
      <c r="J33" s="157">
        <v>2025.0</v>
      </c>
    </row>
    <row r="34">
      <c r="A34" s="218">
        <f t="shared" si="2"/>
        <v>31</v>
      </c>
      <c r="B34" s="218" t="s">
        <v>200</v>
      </c>
      <c r="C34" s="219" t="str">
        <f t="shared" si="1"/>
        <v>MS/1549/2025</v>
      </c>
      <c r="D34" s="218" t="b">
        <v>1</v>
      </c>
      <c r="E34" s="219" t="b">
        <v>0</v>
      </c>
      <c r="F34" s="219"/>
      <c r="G34" s="173"/>
      <c r="H34" s="157" t="s">
        <v>6464</v>
      </c>
      <c r="I34" s="157">
        <f t="shared" si="3"/>
        <v>1549</v>
      </c>
      <c r="J34" s="157">
        <v>2025.0</v>
      </c>
    </row>
    <row r="35">
      <c r="A35" s="218">
        <f t="shared" si="2"/>
        <v>32</v>
      </c>
      <c r="B35" s="218" t="s">
        <v>200</v>
      </c>
      <c r="C35" s="219" t="str">
        <f t="shared" si="1"/>
        <v>MS/1550/2025</v>
      </c>
      <c r="D35" s="218" t="b">
        <v>1</v>
      </c>
      <c r="E35" s="219" t="b">
        <v>0</v>
      </c>
      <c r="F35" s="219"/>
      <c r="G35" s="173"/>
      <c r="H35" s="157" t="s">
        <v>6464</v>
      </c>
      <c r="I35" s="157">
        <f t="shared" si="3"/>
        <v>1550</v>
      </c>
      <c r="J35" s="157">
        <v>2025.0</v>
      </c>
    </row>
    <row r="36">
      <c r="A36" s="218">
        <f t="shared" si="2"/>
        <v>33</v>
      </c>
      <c r="B36" s="218" t="s">
        <v>200</v>
      </c>
      <c r="C36" s="219" t="str">
        <f t="shared" si="1"/>
        <v>MS/1551/2025</v>
      </c>
      <c r="D36" s="218" t="b">
        <v>1</v>
      </c>
      <c r="E36" s="219" t="b">
        <v>0</v>
      </c>
      <c r="F36" s="219"/>
      <c r="G36" s="173"/>
      <c r="H36" s="157" t="s">
        <v>6464</v>
      </c>
      <c r="I36" s="157">
        <f t="shared" si="3"/>
        <v>1551</v>
      </c>
      <c r="J36" s="157">
        <v>2025.0</v>
      </c>
    </row>
    <row r="37">
      <c r="A37" s="218">
        <f t="shared" si="2"/>
        <v>34</v>
      </c>
      <c r="B37" s="218" t="s">
        <v>200</v>
      </c>
      <c r="C37" s="219" t="str">
        <f t="shared" si="1"/>
        <v>MS/1552/2025</v>
      </c>
      <c r="D37" s="218" t="b">
        <v>1</v>
      </c>
      <c r="E37" s="219" t="b">
        <v>0</v>
      </c>
      <c r="F37" s="219"/>
      <c r="G37" s="173"/>
      <c r="H37" s="157" t="s">
        <v>6464</v>
      </c>
      <c r="I37" s="157">
        <f t="shared" si="3"/>
        <v>1552</v>
      </c>
      <c r="J37" s="157">
        <v>2025.0</v>
      </c>
    </row>
    <row r="38">
      <c r="A38" s="218">
        <f t="shared" si="2"/>
        <v>35</v>
      </c>
      <c r="B38" s="218" t="s">
        <v>200</v>
      </c>
      <c r="C38" s="219" t="str">
        <f t="shared" si="1"/>
        <v>MS/1553/2025</v>
      </c>
      <c r="D38" s="218" t="b">
        <v>1</v>
      </c>
      <c r="E38" s="219" t="b">
        <v>0</v>
      </c>
      <c r="F38" s="219"/>
      <c r="G38" s="173"/>
      <c r="H38" s="157" t="s">
        <v>6464</v>
      </c>
      <c r="I38" s="157">
        <f t="shared" si="3"/>
        <v>1553</v>
      </c>
      <c r="J38" s="157">
        <v>2025.0</v>
      </c>
    </row>
    <row r="39">
      <c r="A39" s="218">
        <f t="shared" si="2"/>
        <v>36</v>
      </c>
      <c r="B39" s="218" t="s">
        <v>200</v>
      </c>
      <c r="C39" s="219" t="str">
        <f t="shared" si="1"/>
        <v>MS/1554/2025</v>
      </c>
      <c r="D39" s="218" t="b">
        <v>1</v>
      </c>
      <c r="E39" s="219" t="b">
        <v>0</v>
      </c>
      <c r="F39" s="219"/>
      <c r="G39" s="173"/>
      <c r="H39" s="157" t="s">
        <v>6464</v>
      </c>
      <c r="I39" s="157">
        <f t="shared" si="3"/>
        <v>1554</v>
      </c>
      <c r="J39" s="157">
        <v>2025.0</v>
      </c>
    </row>
    <row r="40">
      <c r="A40" s="218">
        <f t="shared" si="2"/>
        <v>37</v>
      </c>
      <c r="B40" s="218" t="s">
        <v>200</v>
      </c>
      <c r="C40" s="219" t="str">
        <f t="shared" si="1"/>
        <v>MS/1555/2025</v>
      </c>
      <c r="D40" s="218" t="b">
        <v>1</v>
      </c>
      <c r="E40" s="219" t="b">
        <v>0</v>
      </c>
      <c r="F40" s="219"/>
      <c r="G40" s="173"/>
      <c r="H40" s="157" t="s">
        <v>6464</v>
      </c>
      <c r="I40" s="157">
        <f t="shared" si="3"/>
        <v>1555</v>
      </c>
      <c r="J40" s="157">
        <v>2025.0</v>
      </c>
    </row>
    <row r="41">
      <c r="A41" s="218">
        <f t="shared" si="2"/>
        <v>38</v>
      </c>
      <c r="B41" s="218" t="s">
        <v>200</v>
      </c>
      <c r="C41" s="219" t="str">
        <f t="shared" si="1"/>
        <v>MS/1556/2025</v>
      </c>
      <c r="D41" s="218" t="b">
        <v>1</v>
      </c>
      <c r="E41" s="219" t="b">
        <v>0</v>
      </c>
      <c r="F41" s="219"/>
      <c r="G41" s="173"/>
      <c r="H41" s="157" t="s">
        <v>6464</v>
      </c>
      <c r="I41" s="157">
        <f t="shared" si="3"/>
        <v>1556</v>
      </c>
      <c r="J41" s="157">
        <v>2025.0</v>
      </c>
    </row>
    <row r="42">
      <c r="A42" s="218">
        <f t="shared" si="2"/>
        <v>39</v>
      </c>
      <c r="B42" s="218" t="s">
        <v>200</v>
      </c>
      <c r="C42" s="219" t="str">
        <f t="shared" si="1"/>
        <v>MS/1557/2025</v>
      </c>
      <c r="D42" s="218" t="b">
        <v>1</v>
      </c>
      <c r="E42" s="219" t="b">
        <v>0</v>
      </c>
      <c r="F42" s="219"/>
      <c r="G42" s="173"/>
      <c r="H42" s="157" t="s">
        <v>6464</v>
      </c>
      <c r="I42" s="157">
        <f t="shared" si="3"/>
        <v>1557</v>
      </c>
      <c r="J42" s="157">
        <v>2025.0</v>
      </c>
    </row>
    <row r="43">
      <c r="A43" s="218">
        <f t="shared" si="2"/>
        <v>40</v>
      </c>
      <c r="B43" s="218" t="s">
        <v>200</v>
      </c>
      <c r="C43" s="219" t="str">
        <f t="shared" si="1"/>
        <v>MS/1558/2025</v>
      </c>
      <c r="D43" s="218" t="b">
        <v>1</v>
      </c>
      <c r="E43" s="219" t="b">
        <v>0</v>
      </c>
      <c r="F43" s="219"/>
      <c r="G43" s="173"/>
      <c r="H43" s="157" t="s">
        <v>6464</v>
      </c>
      <c r="I43" s="157">
        <f t="shared" si="3"/>
        <v>1558</v>
      </c>
      <c r="J43" s="157">
        <v>2025.0</v>
      </c>
    </row>
    <row r="44">
      <c r="A44" s="218">
        <f t="shared" si="2"/>
        <v>41</v>
      </c>
      <c r="B44" s="218" t="s">
        <v>200</v>
      </c>
      <c r="C44" s="219" t="str">
        <f t="shared" si="1"/>
        <v>MS/1559/2025</v>
      </c>
      <c r="D44" s="218" t="b">
        <v>1</v>
      </c>
      <c r="E44" s="219" t="b">
        <v>0</v>
      </c>
      <c r="F44" s="219"/>
      <c r="G44" s="173"/>
      <c r="H44" s="157" t="s">
        <v>6464</v>
      </c>
      <c r="I44" s="157">
        <f t="shared" si="3"/>
        <v>1559</v>
      </c>
      <c r="J44" s="157">
        <v>2025.0</v>
      </c>
    </row>
    <row r="45">
      <c r="A45" s="218">
        <f t="shared" si="2"/>
        <v>42</v>
      </c>
      <c r="B45" s="218" t="s">
        <v>200</v>
      </c>
      <c r="C45" s="219" t="str">
        <f t="shared" si="1"/>
        <v>MS/1560/2025</v>
      </c>
      <c r="D45" s="218" t="b">
        <v>1</v>
      </c>
      <c r="E45" s="219" t="b">
        <v>0</v>
      </c>
      <c r="F45" s="219"/>
      <c r="G45" s="173"/>
      <c r="H45" s="157" t="s">
        <v>6464</v>
      </c>
      <c r="I45" s="157">
        <f t="shared" si="3"/>
        <v>1560</v>
      </c>
      <c r="J45" s="157">
        <v>2025.0</v>
      </c>
    </row>
    <row r="46">
      <c r="A46" s="218">
        <f t="shared" si="2"/>
        <v>43</v>
      </c>
      <c r="B46" s="218" t="s">
        <v>200</v>
      </c>
      <c r="C46" s="219" t="str">
        <f t="shared" si="1"/>
        <v>MS/1561/2025</v>
      </c>
      <c r="D46" s="218" t="b">
        <v>1</v>
      </c>
      <c r="E46" s="219" t="b">
        <v>0</v>
      </c>
      <c r="F46" s="219"/>
      <c r="G46" s="173"/>
      <c r="H46" s="157" t="s">
        <v>6464</v>
      </c>
      <c r="I46" s="157">
        <f t="shared" si="3"/>
        <v>1561</v>
      </c>
      <c r="J46" s="157">
        <v>2025.0</v>
      </c>
    </row>
    <row r="47">
      <c r="A47" s="218">
        <f t="shared" si="2"/>
        <v>44</v>
      </c>
      <c r="B47" s="218" t="s">
        <v>200</v>
      </c>
      <c r="C47" s="219" t="str">
        <f t="shared" si="1"/>
        <v>MS/1562/2025</v>
      </c>
      <c r="D47" s="218" t="b">
        <v>1</v>
      </c>
      <c r="E47" s="219" t="b">
        <v>0</v>
      </c>
      <c r="F47" s="219"/>
      <c r="G47" s="173"/>
      <c r="H47" s="157" t="s">
        <v>6464</v>
      </c>
      <c r="I47" s="157">
        <f t="shared" si="3"/>
        <v>1562</v>
      </c>
      <c r="J47" s="157">
        <v>2025.0</v>
      </c>
    </row>
    <row r="48">
      <c r="A48" s="218">
        <f t="shared" si="2"/>
        <v>45</v>
      </c>
      <c r="B48" s="218" t="s">
        <v>200</v>
      </c>
      <c r="C48" s="219" t="str">
        <f t="shared" si="1"/>
        <v>MS/1563/2025</v>
      </c>
      <c r="D48" s="218" t="b">
        <v>1</v>
      </c>
      <c r="E48" s="219" t="b">
        <v>0</v>
      </c>
      <c r="F48" s="219"/>
      <c r="G48" s="173"/>
      <c r="H48" s="157" t="s">
        <v>6464</v>
      </c>
      <c r="I48" s="157">
        <f t="shared" si="3"/>
        <v>1563</v>
      </c>
      <c r="J48" s="157">
        <v>2025.0</v>
      </c>
    </row>
    <row r="49">
      <c r="A49" s="218">
        <f t="shared" si="2"/>
        <v>46</v>
      </c>
      <c r="B49" s="218" t="s">
        <v>200</v>
      </c>
      <c r="C49" s="219" t="str">
        <f t="shared" si="1"/>
        <v>MS/1564/2025</v>
      </c>
      <c r="D49" s="218" t="b">
        <v>1</v>
      </c>
      <c r="E49" s="219" t="b">
        <v>0</v>
      </c>
      <c r="F49" s="219"/>
      <c r="G49" s="173"/>
      <c r="H49" s="157" t="s">
        <v>6464</v>
      </c>
      <c r="I49" s="157">
        <f t="shared" si="3"/>
        <v>1564</v>
      </c>
      <c r="J49" s="157">
        <v>2025.0</v>
      </c>
    </row>
    <row r="50">
      <c r="A50" s="218">
        <f t="shared" si="2"/>
        <v>47</v>
      </c>
      <c r="B50" s="218" t="s">
        <v>200</v>
      </c>
      <c r="C50" s="219" t="str">
        <f t="shared" si="1"/>
        <v>MS/1565/2025</v>
      </c>
      <c r="D50" s="218" t="b">
        <v>1</v>
      </c>
      <c r="E50" s="219" t="b">
        <v>0</v>
      </c>
      <c r="F50" s="219"/>
      <c r="G50" s="173"/>
      <c r="H50" s="157" t="s">
        <v>6464</v>
      </c>
      <c r="I50" s="157">
        <f t="shared" si="3"/>
        <v>1565</v>
      </c>
      <c r="J50" s="157">
        <v>2025.0</v>
      </c>
    </row>
    <row r="51">
      <c r="A51" s="218">
        <f t="shared" si="2"/>
        <v>48</v>
      </c>
      <c r="B51" s="218" t="s">
        <v>200</v>
      </c>
      <c r="C51" s="219" t="str">
        <f t="shared" si="1"/>
        <v>MS/1566/2025</v>
      </c>
      <c r="D51" s="218" t="b">
        <v>1</v>
      </c>
      <c r="E51" s="219" t="b">
        <v>0</v>
      </c>
      <c r="F51" s="219"/>
      <c r="G51" s="173"/>
      <c r="H51" s="157" t="s">
        <v>6464</v>
      </c>
      <c r="I51" s="157">
        <f t="shared" si="3"/>
        <v>1566</v>
      </c>
      <c r="J51" s="157">
        <v>2025.0</v>
      </c>
    </row>
    <row r="52">
      <c r="A52" s="218">
        <f t="shared" si="2"/>
        <v>49</v>
      </c>
      <c r="B52" s="218" t="s">
        <v>200</v>
      </c>
      <c r="C52" s="219" t="str">
        <f t="shared" si="1"/>
        <v>MS/1567/2025</v>
      </c>
      <c r="D52" s="218" t="b">
        <v>1</v>
      </c>
      <c r="E52" s="219" t="b">
        <v>0</v>
      </c>
      <c r="F52" s="219"/>
      <c r="G52" s="173"/>
      <c r="H52" s="157" t="s">
        <v>6464</v>
      </c>
      <c r="I52" s="157">
        <f t="shared" si="3"/>
        <v>1567</v>
      </c>
      <c r="J52" s="157">
        <v>2025.0</v>
      </c>
    </row>
    <row r="53">
      <c r="A53" s="218">
        <f t="shared" si="2"/>
        <v>50</v>
      </c>
      <c r="B53" s="218" t="s">
        <v>200</v>
      </c>
      <c r="C53" s="219" t="str">
        <f t="shared" si="1"/>
        <v>MS/1568/2025</v>
      </c>
      <c r="D53" s="218" t="b">
        <v>1</v>
      </c>
      <c r="E53" s="219" t="b">
        <v>0</v>
      </c>
      <c r="F53" s="219"/>
      <c r="G53" s="173"/>
      <c r="H53" s="157" t="s">
        <v>6464</v>
      </c>
      <c r="I53" s="157">
        <f t="shared" si="3"/>
        <v>1568</v>
      </c>
      <c r="J53" s="157">
        <v>2025.0</v>
      </c>
    </row>
    <row r="54">
      <c r="A54" s="218">
        <f t="shared" si="2"/>
        <v>51</v>
      </c>
      <c r="B54" s="218" t="s">
        <v>200</v>
      </c>
      <c r="C54" s="219" t="str">
        <f t="shared" si="1"/>
        <v>MS/1569/2025</v>
      </c>
      <c r="D54" s="218" t="b">
        <v>1</v>
      </c>
      <c r="E54" s="219" t="b">
        <v>0</v>
      </c>
      <c r="F54" s="219"/>
      <c r="G54" s="173"/>
      <c r="H54" s="157" t="s">
        <v>6464</v>
      </c>
      <c r="I54" s="157">
        <f t="shared" si="3"/>
        <v>1569</v>
      </c>
      <c r="J54" s="157">
        <v>2025.0</v>
      </c>
    </row>
    <row r="55">
      <c r="A55" s="218">
        <f t="shared" si="2"/>
        <v>52</v>
      </c>
      <c r="B55" s="218" t="s">
        <v>200</v>
      </c>
      <c r="C55" s="219" t="str">
        <f t="shared" si="1"/>
        <v>MS/1570/2025</v>
      </c>
      <c r="D55" s="218" t="b">
        <v>1</v>
      </c>
      <c r="E55" s="219" t="b">
        <v>0</v>
      </c>
      <c r="F55" s="219"/>
      <c r="G55" s="173"/>
      <c r="H55" s="157" t="s">
        <v>6464</v>
      </c>
      <c r="I55" s="157">
        <f t="shared" si="3"/>
        <v>1570</v>
      </c>
      <c r="J55" s="157">
        <v>2025.0</v>
      </c>
    </row>
    <row r="56">
      <c r="A56" s="218">
        <f t="shared" si="2"/>
        <v>53</v>
      </c>
      <c r="B56" s="218" t="s">
        <v>200</v>
      </c>
      <c r="C56" s="219" t="str">
        <f t="shared" si="1"/>
        <v>MS/1571/2025</v>
      </c>
      <c r="D56" s="218" t="b">
        <v>1</v>
      </c>
      <c r="E56" s="219" t="b">
        <v>0</v>
      </c>
      <c r="F56" s="219"/>
      <c r="G56" s="173"/>
      <c r="H56" s="157" t="s">
        <v>6464</v>
      </c>
      <c r="I56" s="157">
        <f t="shared" si="3"/>
        <v>1571</v>
      </c>
      <c r="J56" s="157">
        <v>2025.0</v>
      </c>
    </row>
    <row r="57">
      <c r="A57" s="218">
        <f t="shared" si="2"/>
        <v>54</v>
      </c>
      <c r="B57" s="218" t="s">
        <v>200</v>
      </c>
      <c r="C57" s="219" t="str">
        <f t="shared" si="1"/>
        <v>MS/1572/2025</v>
      </c>
      <c r="D57" s="218" t="b">
        <v>1</v>
      </c>
      <c r="E57" s="219" t="b">
        <v>0</v>
      </c>
      <c r="F57" s="219"/>
      <c r="G57" s="173"/>
      <c r="H57" s="157" t="s">
        <v>6464</v>
      </c>
      <c r="I57" s="157">
        <f t="shared" si="3"/>
        <v>1572</v>
      </c>
      <c r="J57" s="157">
        <v>2025.0</v>
      </c>
    </row>
    <row r="58">
      <c r="A58" s="218">
        <f t="shared" si="2"/>
        <v>55</v>
      </c>
      <c r="B58" s="218" t="s">
        <v>200</v>
      </c>
      <c r="C58" s="219" t="str">
        <f t="shared" si="1"/>
        <v>MS/1573/2025</v>
      </c>
      <c r="D58" s="218" t="b">
        <v>1</v>
      </c>
      <c r="E58" s="219" t="b">
        <v>0</v>
      </c>
      <c r="F58" s="219"/>
      <c r="G58" s="173"/>
      <c r="H58" s="157" t="s">
        <v>6464</v>
      </c>
      <c r="I58" s="157">
        <f t="shared" si="3"/>
        <v>1573</v>
      </c>
      <c r="J58" s="157">
        <v>2025.0</v>
      </c>
    </row>
    <row r="59">
      <c r="A59" s="218">
        <f t="shared" si="2"/>
        <v>56</v>
      </c>
      <c r="B59" s="218" t="s">
        <v>200</v>
      </c>
      <c r="C59" s="219" t="str">
        <f t="shared" si="1"/>
        <v>MS/1574/2025</v>
      </c>
      <c r="D59" s="218" t="b">
        <v>1</v>
      </c>
      <c r="E59" s="219" t="b">
        <v>0</v>
      </c>
      <c r="F59" s="219"/>
      <c r="G59" s="173"/>
      <c r="H59" s="157" t="s">
        <v>6464</v>
      </c>
      <c r="I59" s="157">
        <f t="shared" si="3"/>
        <v>1574</v>
      </c>
      <c r="J59" s="157">
        <v>2025.0</v>
      </c>
    </row>
    <row r="60">
      <c r="A60" s="218">
        <f t="shared" si="2"/>
        <v>57</v>
      </c>
      <c r="B60" s="218" t="s">
        <v>200</v>
      </c>
      <c r="C60" s="219" t="str">
        <f t="shared" si="1"/>
        <v>MS/1575/2025</v>
      </c>
      <c r="D60" s="218" t="b">
        <v>1</v>
      </c>
      <c r="E60" s="219" t="b">
        <v>0</v>
      </c>
      <c r="F60" s="219"/>
      <c r="G60" s="173"/>
      <c r="H60" s="157" t="s">
        <v>6464</v>
      </c>
      <c r="I60" s="157">
        <f t="shared" si="3"/>
        <v>1575</v>
      </c>
      <c r="J60" s="157">
        <v>2025.0</v>
      </c>
    </row>
    <row r="61">
      <c r="A61" s="218">
        <f t="shared" si="2"/>
        <v>58</v>
      </c>
      <c r="B61" s="218" t="s">
        <v>200</v>
      </c>
      <c r="C61" s="219" t="str">
        <f t="shared" si="1"/>
        <v>MS/1576/2025</v>
      </c>
      <c r="D61" s="218" t="b">
        <v>1</v>
      </c>
      <c r="E61" s="219" t="b">
        <v>0</v>
      </c>
      <c r="F61" s="219"/>
      <c r="G61" s="173"/>
      <c r="H61" s="157" t="s">
        <v>6464</v>
      </c>
      <c r="I61" s="157">
        <f t="shared" si="3"/>
        <v>1576</v>
      </c>
      <c r="J61" s="157">
        <v>2025.0</v>
      </c>
    </row>
    <row r="62">
      <c r="A62" s="218">
        <f t="shared" si="2"/>
        <v>59</v>
      </c>
      <c r="B62" s="218" t="s">
        <v>200</v>
      </c>
      <c r="C62" s="219" t="str">
        <f t="shared" si="1"/>
        <v>MS/1577/2025</v>
      </c>
      <c r="D62" s="218" t="b">
        <v>1</v>
      </c>
      <c r="E62" s="219" t="b">
        <v>0</v>
      </c>
      <c r="F62" s="219"/>
      <c r="G62" s="173"/>
      <c r="H62" s="157" t="s">
        <v>6464</v>
      </c>
      <c r="I62" s="157">
        <f t="shared" si="3"/>
        <v>1577</v>
      </c>
      <c r="J62" s="157">
        <v>2025.0</v>
      </c>
    </row>
    <row r="63">
      <c r="A63" s="218">
        <f t="shared" si="2"/>
        <v>60</v>
      </c>
      <c r="B63" s="218" t="s">
        <v>200</v>
      </c>
      <c r="C63" s="219" t="str">
        <f t="shared" si="1"/>
        <v>MS/1578/2025</v>
      </c>
      <c r="D63" s="218" t="b">
        <v>1</v>
      </c>
      <c r="E63" s="219" t="b">
        <v>0</v>
      </c>
      <c r="F63" s="219"/>
      <c r="G63" s="173"/>
      <c r="H63" s="157" t="s">
        <v>6464</v>
      </c>
      <c r="I63" s="157">
        <f t="shared" si="3"/>
        <v>1578</v>
      </c>
      <c r="J63" s="157">
        <v>2025.0</v>
      </c>
    </row>
    <row r="64">
      <c r="A64" s="218">
        <f t="shared" si="2"/>
        <v>61</v>
      </c>
      <c r="B64" s="218" t="s">
        <v>200</v>
      </c>
      <c r="C64" s="219" t="str">
        <f t="shared" si="1"/>
        <v>MS/1579/2025</v>
      </c>
      <c r="D64" s="218" t="b">
        <v>1</v>
      </c>
      <c r="E64" s="219" t="b">
        <v>0</v>
      </c>
      <c r="F64" s="219"/>
      <c r="G64" s="173"/>
      <c r="H64" s="157" t="s">
        <v>6464</v>
      </c>
      <c r="I64" s="157">
        <f t="shared" si="3"/>
        <v>1579</v>
      </c>
      <c r="J64" s="157">
        <v>2025.0</v>
      </c>
    </row>
    <row r="65">
      <c r="A65" s="218">
        <f t="shared" si="2"/>
        <v>62</v>
      </c>
      <c r="B65" s="218" t="s">
        <v>200</v>
      </c>
      <c r="C65" s="219" t="str">
        <f t="shared" si="1"/>
        <v>MS/1580/2025</v>
      </c>
      <c r="D65" s="218" t="b">
        <v>1</v>
      </c>
      <c r="E65" s="219" t="b">
        <v>0</v>
      </c>
      <c r="F65" s="219"/>
      <c r="G65" s="173"/>
      <c r="H65" s="157" t="s">
        <v>6464</v>
      </c>
      <c r="I65" s="157">
        <f t="shared" si="3"/>
        <v>1580</v>
      </c>
      <c r="J65" s="157">
        <v>2025.0</v>
      </c>
    </row>
    <row r="66">
      <c r="A66" s="218">
        <f t="shared" si="2"/>
        <v>63</v>
      </c>
      <c r="B66" s="218" t="s">
        <v>200</v>
      </c>
      <c r="C66" s="219" t="str">
        <f t="shared" si="1"/>
        <v>MS/1581/2025</v>
      </c>
      <c r="D66" s="218" t="b">
        <v>1</v>
      </c>
      <c r="E66" s="219" t="b">
        <v>0</v>
      </c>
      <c r="F66" s="219"/>
      <c r="G66" s="173"/>
      <c r="H66" s="157" t="s">
        <v>6464</v>
      </c>
      <c r="I66" s="157">
        <f t="shared" si="3"/>
        <v>1581</v>
      </c>
      <c r="J66" s="157">
        <v>2025.0</v>
      </c>
    </row>
    <row r="67">
      <c r="A67" s="218">
        <f t="shared" si="2"/>
        <v>64</v>
      </c>
      <c r="B67" s="218" t="s">
        <v>200</v>
      </c>
      <c r="C67" s="219" t="str">
        <f t="shared" si="1"/>
        <v>MS/1582/2025</v>
      </c>
      <c r="D67" s="218" t="b">
        <v>1</v>
      </c>
      <c r="E67" s="219" t="b">
        <v>0</v>
      </c>
      <c r="F67" s="219"/>
      <c r="G67" s="173"/>
      <c r="H67" s="157" t="s">
        <v>6464</v>
      </c>
      <c r="I67" s="157">
        <f t="shared" si="3"/>
        <v>1582</v>
      </c>
      <c r="J67" s="157">
        <v>2025.0</v>
      </c>
    </row>
    <row r="68">
      <c r="A68" s="218">
        <f t="shared" si="2"/>
        <v>65</v>
      </c>
      <c r="B68" s="218" t="s">
        <v>200</v>
      </c>
      <c r="C68" s="219" t="str">
        <f t="shared" si="1"/>
        <v>MS/1583/2025</v>
      </c>
      <c r="D68" s="218" t="b">
        <v>1</v>
      </c>
      <c r="E68" s="219" t="b">
        <v>0</v>
      </c>
      <c r="F68" s="219"/>
      <c r="G68" s="173"/>
      <c r="H68" s="157" t="s">
        <v>6464</v>
      </c>
      <c r="I68" s="157">
        <f t="shared" si="3"/>
        <v>1583</v>
      </c>
      <c r="J68" s="157">
        <v>2025.0</v>
      </c>
    </row>
    <row r="69">
      <c r="A69" s="218">
        <f t="shared" si="2"/>
        <v>66</v>
      </c>
      <c r="B69" s="218" t="s">
        <v>200</v>
      </c>
      <c r="C69" s="219" t="str">
        <f t="shared" si="1"/>
        <v>MS/1584/2025</v>
      </c>
      <c r="D69" s="218" t="b">
        <v>1</v>
      </c>
      <c r="E69" s="219" t="b">
        <v>0</v>
      </c>
      <c r="F69" s="219"/>
      <c r="G69" s="173"/>
      <c r="H69" s="157" t="s">
        <v>6464</v>
      </c>
      <c r="I69" s="157">
        <f t="shared" si="3"/>
        <v>1584</v>
      </c>
      <c r="J69" s="157">
        <v>2025.0</v>
      </c>
    </row>
    <row r="70">
      <c r="A70" s="218">
        <f t="shared" si="2"/>
        <v>67</v>
      </c>
      <c r="B70" s="218" t="s">
        <v>200</v>
      </c>
      <c r="C70" s="219" t="str">
        <f t="shared" si="1"/>
        <v>MS/1585/2025</v>
      </c>
      <c r="D70" s="218" t="b">
        <v>1</v>
      </c>
      <c r="E70" s="219" t="b">
        <v>0</v>
      </c>
      <c r="F70" s="219"/>
      <c r="G70" s="173"/>
      <c r="H70" s="157" t="s">
        <v>6464</v>
      </c>
      <c r="I70" s="157">
        <f t="shared" si="3"/>
        <v>1585</v>
      </c>
      <c r="J70" s="157">
        <v>2025.0</v>
      </c>
    </row>
    <row r="71">
      <c r="A71" s="218">
        <f t="shared" si="2"/>
        <v>68</v>
      </c>
      <c r="B71" s="218" t="s">
        <v>200</v>
      </c>
      <c r="C71" s="219" t="str">
        <f t="shared" si="1"/>
        <v>MS/1586/2025</v>
      </c>
      <c r="D71" s="218" t="b">
        <v>1</v>
      </c>
      <c r="E71" s="219" t="b">
        <v>0</v>
      </c>
      <c r="F71" s="219"/>
      <c r="G71" s="173"/>
      <c r="H71" s="157" t="s">
        <v>6464</v>
      </c>
      <c r="I71" s="157">
        <f t="shared" si="3"/>
        <v>1586</v>
      </c>
      <c r="J71" s="157">
        <v>2025.0</v>
      </c>
    </row>
    <row r="72">
      <c r="A72" s="218">
        <f t="shared" si="2"/>
        <v>69</v>
      </c>
      <c r="B72" s="218" t="s">
        <v>200</v>
      </c>
      <c r="C72" s="219" t="str">
        <f t="shared" si="1"/>
        <v>MS/1587/2025</v>
      </c>
      <c r="D72" s="218" t="b">
        <v>1</v>
      </c>
      <c r="E72" s="219" t="b">
        <v>0</v>
      </c>
      <c r="F72" s="219"/>
      <c r="G72" s="173"/>
      <c r="H72" s="157" t="s">
        <v>6464</v>
      </c>
      <c r="I72" s="157">
        <f t="shared" si="3"/>
        <v>1587</v>
      </c>
      <c r="J72" s="157">
        <v>2025.0</v>
      </c>
    </row>
    <row r="73">
      <c r="A73" s="218">
        <f t="shared" si="2"/>
        <v>70</v>
      </c>
      <c r="B73" s="218" t="s">
        <v>200</v>
      </c>
      <c r="C73" s="219" t="str">
        <f t="shared" si="1"/>
        <v>MS/1588/2025</v>
      </c>
      <c r="D73" s="218" t="b">
        <v>1</v>
      </c>
      <c r="E73" s="219" t="b">
        <v>0</v>
      </c>
      <c r="F73" s="219"/>
      <c r="G73" s="173"/>
      <c r="H73" s="157" t="s">
        <v>6464</v>
      </c>
      <c r="I73" s="157">
        <f t="shared" si="3"/>
        <v>1588</v>
      </c>
      <c r="J73" s="157">
        <v>2025.0</v>
      </c>
    </row>
    <row r="74">
      <c r="A74" s="218">
        <f t="shared" si="2"/>
        <v>71</v>
      </c>
      <c r="B74" s="218" t="s">
        <v>200</v>
      </c>
      <c r="C74" s="219" t="str">
        <f t="shared" si="1"/>
        <v>MS/1589/2025</v>
      </c>
      <c r="D74" s="218" t="b">
        <v>1</v>
      </c>
      <c r="E74" s="219" t="b">
        <v>0</v>
      </c>
      <c r="F74" s="219"/>
      <c r="G74" s="173"/>
      <c r="H74" s="157" t="s">
        <v>6464</v>
      </c>
      <c r="I74" s="157">
        <f t="shared" si="3"/>
        <v>1589</v>
      </c>
      <c r="J74" s="157">
        <v>2025.0</v>
      </c>
    </row>
    <row r="75">
      <c r="A75" s="218">
        <f t="shared" si="2"/>
        <v>72</v>
      </c>
      <c r="B75" s="218" t="s">
        <v>200</v>
      </c>
      <c r="C75" s="219" t="str">
        <f t="shared" si="1"/>
        <v>MS/1590/2025</v>
      </c>
      <c r="D75" s="218" t="b">
        <v>1</v>
      </c>
      <c r="E75" s="219" t="b">
        <v>0</v>
      </c>
      <c r="F75" s="219"/>
      <c r="G75" s="173"/>
      <c r="H75" s="157" t="s">
        <v>6464</v>
      </c>
      <c r="I75" s="157">
        <f t="shared" si="3"/>
        <v>1590</v>
      </c>
      <c r="J75" s="157">
        <v>2025.0</v>
      </c>
    </row>
    <row r="76">
      <c r="A76" s="218">
        <f t="shared" si="2"/>
        <v>73</v>
      </c>
      <c r="B76" s="218" t="s">
        <v>200</v>
      </c>
      <c r="C76" s="219" t="str">
        <f t="shared" si="1"/>
        <v>MS/1591/2025</v>
      </c>
      <c r="D76" s="218" t="b">
        <v>1</v>
      </c>
      <c r="E76" s="219" t="b">
        <v>0</v>
      </c>
      <c r="F76" s="219"/>
      <c r="G76" s="173"/>
      <c r="H76" s="157" t="s">
        <v>6464</v>
      </c>
      <c r="I76" s="157">
        <f t="shared" si="3"/>
        <v>1591</v>
      </c>
      <c r="J76" s="157">
        <v>2025.0</v>
      </c>
    </row>
    <row r="77">
      <c r="A77" s="218">
        <f t="shared" si="2"/>
        <v>74</v>
      </c>
      <c r="B77" s="218" t="s">
        <v>200</v>
      </c>
      <c r="C77" s="219" t="str">
        <f t="shared" si="1"/>
        <v>MS/1592/2025</v>
      </c>
      <c r="D77" s="218" t="b">
        <v>1</v>
      </c>
      <c r="E77" s="219" t="b">
        <v>0</v>
      </c>
      <c r="F77" s="219"/>
      <c r="G77" s="173"/>
      <c r="H77" s="157" t="s">
        <v>6464</v>
      </c>
      <c r="I77" s="157">
        <f t="shared" si="3"/>
        <v>1592</v>
      </c>
      <c r="J77" s="157">
        <v>2025.0</v>
      </c>
    </row>
    <row r="78">
      <c r="A78" s="218">
        <f t="shared" si="2"/>
        <v>75</v>
      </c>
      <c r="B78" s="218" t="s">
        <v>200</v>
      </c>
      <c r="C78" s="219" t="str">
        <f t="shared" si="1"/>
        <v>MS/1593/2025</v>
      </c>
      <c r="D78" s="218" t="b">
        <v>1</v>
      </c>
      <c r="E78" s="219" t="b">
        <v>0</v>
      </c>
      <c r="F78" s="219"/>
      <c r="G78" s="173"/>
      <c r="H78" s="157" t="s">
        <v>6464</v>
      </c>
      <c r="I78" s="157">
        <f t="shared" si="3"/>
        <v>1593</v>
      </c>
      <c r="J78" s="157">
        <v>2025.0</v>
      </c>
    </row>
    <row r="79">
      <c r="A79" s="218">
        <f t="shared" si="2"/>
        <v>76</v>
      </c>
      <c r="B79" s="218" t="s">
        <v>200</v>
      </c>
      <c r="C79" s="219" t="str">
        <f t="shared" si="1"/>
        <v>MS/1594/2025</v>
      </c>
      <c r="D79" s="218" t="b">
        <v>1</v>
      </c>
      <c r="E79" s="219" t="b">
        <v>0</v>
      </c>
      <c r="F79" s="219"/>
      <c r="G79" s="173"/>
      <c r="H79" s="157" t="s">
        <v>6464</v>
      </c>
      <c r="I79" s="157">
        <f t="shared" si="3"/>
        <v>1594</v>
      </c>
      <c r="J79" s="157">
        <v>2025.0</v>
      </c>
    </row>
    <row r="80">
      <c r="A80" s="218">
        <f t="shared" si="2"/>
        <v>77</v>
      </c>
      <c r="B80" s="218" t="s">
        <v>200</v>
      </c>
      <c r="C80" s="219" t="str">
        <f t="shared" si="1"/>
        <v>MS/1595/2025</v>
      </c>
      <c r="D80" s="218" t="b">
        <v>1</v>
      </c>
      <c r="E80" s="219" t="b">
        <v>0</v>
      </c>
      <c r="F80" s="219"/>
      <c r="G80" s="173"/>
      <c r="H80" s="157" t="s">
        <v>6464</v>
      </c>
      <c r="I80" s="157">
        <f t="shared" si="3"/>
        <v>1595</v>
      </c>
      <c r="J80" s="157">
        <v>2025.0</v>
      </c>
    </row>
    <row r="81">
      <c r="A81" s="218">
        <f t="shared" si="2"/>
        <v>78</v>
      </c>
      <c r="B81" s="218" t="s">
        <v>200</v>
      </c>
      <c r="C81" s="219" t="str">
        <f t="shared" si="1"/>
        <v>MS/1596/2025</v>
      </c>
      <c r="D81" s="218" t="b">
        <v>1</v>
      </c>
      <c r="E81" s="219" t="b">
        <v>0</v>
      </c>
      <c r="F81" s="219"/>
      <c r="G81" s="173"/>
      <c r="H81" s="157" t="s">
        <v>6464</v>
      </c>
      <c r="I81" s="157">
        <f t="shared" si="3"/>
        <v>1596</v>
      </c>
      <c r="J81" s="157">
        <v>2025.0</v>
      </c>
    </row>
    <row r="82">
      <c r="A82" s="218">
        <f t="shared" si="2"/>
        <v>79</v>
      </c>
      <c r="B82" s="218" t="s">
        <v>200</v>
      </c>
      <c r="C82" s="219" t="str">
        <f t="shared" si="1"/>
        <v>MS/1597/2025</v>
      </c>
      <c r="D82" s="218" t="b">
        <v>1</v>
      </c>
      <c r="E82" s="219" t="b">
        <v>0</v>
      </c>
      <c r="F82" s="219"/>
      <c r="G82" s="173"/>
      <c r="H82" s="157" t="s">
        <v>6464</v>
      </c>
      <c r="I82" s="157">
        <f t="shared" si="3"/>
        <v>1597</v>
      </c>
      <c r="J82" s="157">
        <v>2025.0</v>
      </c>
    </row>
    <row r="83">
      <c r="A83" s="218">
        <f t="shared" si="2"/>
        <v>80</v>
      </c>
      <c r="B83" s="218" t="s">
        <v>200</v>
      </c>
      <c r="C83" s="219" t="str">
        <f t="shared" si="1"/>
        <v>MS/1598/2025</v>
      </c>
      <c r="D83" s="218" t="b">
        <v>1</v>
      </c>
      <c r="E83" s="219" t="b">
        <v>0</v>
      </c>
      <c r="F83" s="219"/>
      <c r="G83" s="173"/>
      <c r="H83" s="157" t="s">
        <v>6464</v>
      </c>
      <c r="I83" s="157">
        <f t="shared" si="3"/>
        <v>1598</v>
      </c>
      <c r="J83" s="157">
        <v>2025.0</v>
      </c>
    </row>
    <row r="84">
      <c r="A84" s="218">
        <f t="shared" si="2"/>
        <v>81</v>
      </c>
      <c r="B84" s="218" t="s">
        <v>200</v>
      </c>
      <c r="C84" s="219" t="str">
        <f t="shared" si="1"/>
        <v>MS/1599/2025</v>
      </c>
      <c r="D84" s="218" t="b">
        <v>1</v>
      </c>
      <c r="E84" s="219" t="b">
        <v>0</v>
      </c>
      <c r="F84" s="219"/>
      <c r="G84" s="173"/>
      <c r="H84" s="157" t="s">
        <v>6464</v>
      </c>
      <c r="I84" s="157">
        <f t="shared" si="3"/>
        <v>1599</v>
      </c>
      <c r="J84" s="157">
        <v>2025.0</v>
      </c>
    </row>
    <row r="85">
      <c r="A85" s="218">
        <f t="shared" si="2"/>
        <v>82</v>
      </c>
      <c r="B85" s="218" t="s">
        <v>200</v>
      </c>
      <c r="C85" s="219" t="str">
        <f t="shared" si="1"/>
        <v>MS/1600/2025</v>
      </c>
      <c r="D85" s="218" t="b">
        <v>1</v>
      </c>
      <c r="E85" s="219" t="b">
        <v>0</v>
      </c>
      <c r="F85" s="219"/>
      <c r="G85" s="173"/>
      <c r="H85" s="157" t="s">
        <v>6464</v>
      </c>
      <c r="I85" s="157">
        <f t="shared" si="3"/>
        <v>1600</v>
      </c>
      <c r="J85" s="157">
        <v>2025.0</v>
      </c>
    </row>
    <row r="86">
      <c r="A86" s="218">
        <f t="shared" si="2"/>
        <v>83</v>
      </c>
      <c r="B86" s="218" t="s">
        <v>200</v>
      </c>
      <c r="C86" s="219" t="str">
        <f t="shared" si="1"/>
        <v>MS/1601/2025</v>
      </c>
      <c r="D86" s="218" t="b">
        <v>1</v>
      </c>
      <c r="E86" s="219" t="b">
        <v>0</v>
      </c>
      <c r="F86" s="219"/>
      <c r="G86" s="173"/>
      <c r="H86" s="157" t="s">
        <v>6464</v>
      </c>
      <c r="I86" s="157">
        <f t="shared" si="3"/>
        <v>1601</v>
      </c>
      <c r="J86" s="157">
        <v>2025.0</v>
      </c>
    </row>
    <row r="87">
      <c r="A87" s="218">
        <f t="shared" si="2"/>
        <v>84</v>
      </c>
      <c r="B87" s="218" t="s">
        <v>200</v>
      </c>
      <c r="C87" s="219" t="str">
        <f t="shared" si="1"/>
        <v>MS/1602/2025</v>
      </c>
      <c r="D87" s="218" t="b">
        <v>1</v>
      </c>
      <c r="E87" s="219" t="b">
        <v>0</v>
      </c>
      <c r="F87" s="219"/>
      <c r="G87" s="173"/>
      <c r="H87" s="157" t="s">
        <v>6464</v>
      </c>
      <c r="I87" s="157">
        <f t="shared" si="3"/>
        <v>1602</v>
      </c>
      <c r="J87" s="157">
        <v>2025.0</v>
      </c>
    </row>
    <row r="88">
      <c r="A88" s="218">
        <f t="shared" si="2"/>
        <v>85</v>
      </c>
      <c r="B88" s="218" t="s">
        <v>200</v>
      </c>
      <c r="C88" s="219" t="str">
        <f t="shared" si="1"/>
        <v>MS/1603/2025</v>
      </c>
      <c r="D88" s="218" t="b">
        <v>1</v>
      </c>
      <c r="E88" s="219" t="b">
        <v>0</v>
      </c>
      <c r="F88" s="219"/>
      <c r="G88" s="173"/>
      <c r="H88" s="157" t="s">
        <v>6464</v>
      </c>
      <c r="I88" s="157">
        <f t="shared" si="3"/>
        <v>1603</v>
      </c>
      <c r="J88" s="157">
        <v>2025.0</v>
      </c>
    </row>
    <row r="89">
      <c r="A89" s="218">
        <f t="shared" si="2"/>
        <v>86</v>
      </c>
      <c r="B89" s="218" t="s">
        <v>200</v>
      </c>
      <c r="C89" s="219" t="str">
        <f t="shared" si="1"/>
        <v>MS/1604/2025</v>
      </c>
      <c r="D89" s="218" t="b">
        <v>1</v>
      </c>
      <c r="E89" s="219" t="b">
        <v>0</v>
      </c>
      <c r="F89" s="219"/>
      <c r="G89" s="173"/>
      <c r="H89" s="157" t="s">
        <v>6464</v>
      </c>
      <c r="I89" s="157">
        <f t="shared" si="3"/>
        <v>1604</v>
      </c>
      <c r="J89" s="157">
        <v>2025.0</v>
      </c>
    </row>
    <row r="90">
      <c r="A90" s="218">
        <f t="shared" si="2"/>
        <v>87</v>
      </c>
      <c r="B90" s="218" t="s">
        <v>200</v>
      </c>
      <c r="C90" s="219" t="str">
        <f t="shared" si="1"/>
        <v>MS/1605/2025</v>
      </c>
      <c r="D90" s="218" t="b">
        <v>1</v>
      </c>
      <c r="E90" s="219" t="b">
        <v>0</v>
      </c>
      <c r="F90" s="219"/>
      <c r="G90" s="173"/>
      <c r="H90" s="157" t="s">
        <v>6464</v>
      </c>
      <c r="I90" s="157">
        <f t="shared" si="3"/>
        <v>1605</v>
      </c>
      <c r="J90" s="157">
        <v>2025.0</v>
      </c>
    </row>
    <row r="91">
      <c r="A91" s="218">
        <f t="shared" si="2"/>
        <v>88</v>
      </c>
      <c r="B91" s="218" t="s">
        <v>200</v>
      </c>
      <c r="C91" s="219" t="str">
        <f t="shared" si="1"/>
        <v>MS/1606/2025</v>
      </c>
      <c r="D91" s="218" t="b">
        <v>1</v>
      </c>
      <c r="E91" s="219" t="b">
        <v>0</v>
      </c>
      <c r="F91" s="219"/>
      <c r="G91" s="173"/>
      <c r="H91" s="157" t="s">
        <v>6464</v>
      </c>
      <c r="I91" s="157">
        <f t="shared" si="3"/>
        <v>1606</v>
      </c>
      <c r="J91" s="157">
        <v>2025.0</v>
      </c>
    </row>
    <row r="92">
      <c r="A92" s="218">
        <f t="shared" si="2"/>
        <v>89</v>
      </c>
      <c r="B92" s="218" t="s">
        <v>200</v>
      </c>
      <c r="C92" s="219" t="str">
        <f t="shared" si="1"/>
        <v>MS/1607/2025</v>
      </c>
      <c r="D92" s="218" t="b">
        <v>1</v>
      </c>
      <c r="E92" s="219" t="b">
        <v>0</v>
      </c>
      <c r="F92" s="219"/>
      <c r="G92" s="173"/>
      <c r="H92" s="157" t="s">
        <v>6464</v>
      </c>
      <c r="I92" s="157">
        <f t="shared" si="3"/>
        <v>1607</v>
      </c>
      <c r="J92" s="157">
        <v>2025.0</v>
      </c>
    </row>
    <row r="93">
      <c r="A93" s="218">
        <f t="shared" si="2"/>
        <v>90</v>
      </c>
      <c r="B93" s="218" t="s">
        <v>200</v>
      </c>
      <c r="C93" s="219" t="str">
        <f t="shared" si="1"/>
        <v>MS/1608/2025</v>
      </c>
      <c r="D93" s="218" t="b">
        <v>1</v>
      </c>
      <c r="E93" s="219" t="b">
        <v>0</v>
      </c>
      <c r="F93" s="219"/>
      <c r="G93" s="173"/>
      <c r="H93" s="157" t="s">
        <v>6464</v>
      </c>
      <c r="I93" s="157">
        <f t="shared" si="3"/>
        <v>1608</v>
      </c>
      <c r="J93" s="157">
        <v>2025.0</v>
      </c>
    </row>
    <row r="94">
      <c r="A94" s="218">
        <f t="shared" si="2"/>
        <v>91</v>
      </c>
      <c r="B94" s="218" t="s">
        <v>200</v>
      </c>
      <c r="C94" s="219" t="str">
        <f t="shared" si="1"/>
        <v>MS/1609/2025</v>
      </c>
      <c r="D94" s="218" t="b">
        <v>1</v>
      </c>
      <c r="E94" s="219" t="b">
        <v>0</v>
      </c>
      <c r="F94" s="219"/>
      <c r="G94" s="173"/>
      <c r="H94" s="157" t="s">
        <v>6464</v>
      </c>
      <c r="I94" s="157">
        <f t="shared" si="3"/>
        <v>1609</v>
      </c>
      <c r="J94" s="157">
        <v>2025.0</v>
      </c>
    </row>
    <row r="95">
      <c r="A95" s="218">
        <f t="shared" si="2"/>
        <v>92</v>
      </c>
      <c r="B95" s="218" t="s">
        <v>200</v>
      </c>
      <c r="C95" s="219" t="str">
        <f t="shared" si="1"/>
        <v>MS/1610/2025</v>
      </c>
      <c r="D95" s="218" t="b">
        <v>1</v>
      </c>
      <c r="E95" s="219" t="b">
        <v>0</v>
      </c>
      <c r="F95" s="219"/>
      <c r="G95" s="173"/>
      <c r="H95" s="157" t="s">
        <v>6464</v>
      </c>
      <c r="I95" s="157">
        <f t="shared" si="3"/>
        <v>1610</v>
      </c>
      <c r="J95" s="157">
        <v>2025.0</v>
      </c>
    </row>
    <row r="96">
      <c r="A96" s="218">
        <f t="shared" si="2"/>
        <v>93</v>
      </c>
      <c r="B96" s="218" t="s">
        <v>200</v>
      </c>
      <c r="C96" s="219" t="str">
        <f t="shared" si="1"/>
        <v>MS/1611/2025</v>
      </c>
      <c r="D96" s="218" t="b">
        <v>1</v>
      </c>
      <c r="E96" s="219" t="b">
        <v>0</v>
      </c>
      <c r="F96" s="219"/>
      <c r="G96" s="173"/>
      <c r="H96" s="157" t="s">
        <v>6464</v>
      </c>
      <c r="I96" s="157">
        <f t="shared" si="3"/>
        <v>1611</v>
      </c>
      <c r="J96" s="157">
        <v>2025.0</v>
      </c>
    </row>
    <row r="97">
      <c r="A97" s="218">
        <f t="shared" si="2"/>
        <v>94</v>
      </c>
      <c r="B97" s="218" t="s">
        <v>200</v>
      </c>
      <c r="C97" s="219" t="str">
        <f t="shared" si="1"/>
        <v>MS/1612/2025</v>
      </c>
      <c r="D97" s="218" t="b">
        <v>1</v>
      </c>
      <c r="E97" s="219" t="b">
        <v>0</v>
      </c>
      <c r="F97" s="219"/>
      <c r="G97" s="173"/>
      <c r="H97" s="157" t="s">
        <v>6464</v>
      </c>
      <c r="I97" s="157">
        <f t="shared" si="3"/>
        <v>1612</v>
      </c>
      <c r="J97" s="157">
        <v>2025.0</v>
      </c>
    </row>
    <row r="98">
      <c r="A98" s="218">
        <f t="shared" si="2"/>
        <v>95</v>
      </c>
      <c r="B98" s="218" t="s">
        <v>200</v>
      </c>
      <c r="C98" s="219" t="str">
        <f t="shared" si="1"/>
        <v>MS/1613/2025</v>
      </c>
      <c r="D98" s="218" t="b">
        <v>1</v>
      </c>
      <c r="E98" s="219" t="b">
        <v>0</v>
      </c>
      <c r="F98" s="219"/>
      <c r="G98" s="173"/>
      <c r="H98" s="157" t="s">
        <v>6464</v>
      </c>
      <c r="I98" s="157">
        <f t="shared" si="3"/>
        <v>1613</v>
      </c>
      <c r="J98" s="157">
        <v>2025.0</v>
      </c>
    </row>
    <row r="99">
      <c r="A99" s="218">
        <f t="shared" si="2"/>
        <v>96</v>
      </c>
      <c r="B99" s="218" t="s">
        <v>200</v>
      </c>
      <c r="C99" s="219" t="str">
        <f t="shared" si="1"/>
        <v>MS/1614/2025</v>
      </c>
      <c r="D99" s="218" t="b">
        <v>1</v>
      </c>
      <c r="E99" s="219" t="b">
        <v>0</v>
      </c>
      <c r="F99" s="219"/>
      <c r="G99" s="173"/>
      <c r="H99" s="157" t="s">
        <v>6464</v>
      </c>
      <c r="I99" s="157">
        <f t="shared" si="3"/>
        <v>1614</v>
      </c>
      <c r="J99" s="157">
        <v>2025.0</v>
      </c>
    </row>
    <row r="100">
      <c r="A100" s="218">
        <f t="shared" si="2"/>
        <v>97</v>
      </c>
      <c r="B100" s="218" t="s">
        <v>200</v>
      </c>
      <c r="C100" s="219" t="str">
        <f t="shared" si="1"/>
        <v>MS/1615/2025</v>
      </c>
      <c r="D100" s="218" t="b">
        <v>1</v>
      </c>
      <c r="E100" s="219" t="b">
        <v>0</v>
      </c>
      <c r="F100" s="219"/>
      <c r="G100" s="173"/>
      <c r="H100" s="157" t="s">
        <v>6464</v>
      </c>
      <c r="I100" s="157">
        <f t="shared" si="3"/>
        <v>1615</v>
      </c>
      <c r="J100" s="157">
        <v>2025.0</v>
      </c>
    </row>
    <row r="101">
      <c r="A101" s="218">
        <f t="shared" si="2"/>
        <v>98</v>
      </c>
      <c r="B101" s="218" t="s">
        <v>200</v>
      </c>
      <c r="C101" s="219" t="str">
        <f t="shared" si="1"/>
        <v>MS/1616/2025</v>
      </c>
      <c r="D101" s="218" t="b">
        <v>1</v>
      </c>
      <c r="E101" s="219" t="b">
        <v>0</v>
      </c>
      <c r="F101" s="219"/>
      <c r="G101" s="173"/>
      <c r="H101" s="157" t="s">
        <v>6464</v>
      </c>
      <c r="I101" s="157">
        <f t="shared" si="3"/>
        <v>1616</v>
      </c>
      <c r="J101" s="157">
        <v>2025.0</v>
      </c>
    </row>
    <row r="102">
      <c r="A102" s="218">
        <f t="shared" si="2"/>
        <v>99</v>
      </c>
      <c r="B102" s="218" t="s">
        <v>200</v>
      </c>
      <c r="C102" s="219" t="str">
        <f t="shared" si="1"/>
        <v>MS/1617/2025</v>
      </c>
      <c r="D102" s="218" t="b">
        <v>1</v>
      </c>
      <c r="E102" s="219" t="b">
        <v>0</v>
      </c>
      <c r="F102" s="219"/>
      <c r="G102" s="173"/>
      <c r="H102" s="157" t="s">
        <v>6464</v>
      </c>
      <c r="I102" s="157">
        <f t="shared" si="3"/>
        <v>1617</v>
      </c>
      <c r="J102" s="157">
        <v>2025.0</v>
      </c>
    </row>
    <row r="103">
      <c r="A103" s="218">
        <f t="shared" si="2"/>
        <v>100</v>
      </c>
      <c r="B103" s="218" t="s">
        <v>200</v>
      </c>
      <c r="C103" s="219" t="str">
        <f t="shared" si="1"/>
        <v>MS/1618/2025</v>
      </c>
      <c r="D103" s="218" t="b">
        <v>1</v>
      </c>
      <c r="E103" s="219" t="b">
        <v>0</v>
      </c>
      <c r="F103" s="219"/>
      <c r="G103" s="173"/>
      <c r="H103" s="157" t="s">
        <v>6464</v>
      </c>
      <c r="I103" s="157">
        <f t="shared" si="3"/>
        <v>1618</v>
      </c>
      <c r="J103" s="157">
        <v>2025.0</v>
      </c>
    </row>
    <row r="104">
      <c r="A104" s="218">
        <f t="shared" si="2"/>
        <v>101</v>
      </c>
      <c r="B104" s="218" t="s">
        <v>200</v>
      </c>
      <c r="C104" s="219" t="str">
        <f t="shared" si="1"/>
        <v>MS/1619/2025</v>
      </c>
      <c r="D104" s="218" t="b">
        <v>1</v>
      </c>
      <c r="E104" s="219" t="b">
        <v>0</v>
      </c>
      <c r="F104" s="219"/>
      <c r="G104" s="173"/>
      <c r="H104" s="157" t="s">
        <v>6464</v>
      </c>
      <c r="I104" s="157">
        <f t="shared" si="3"/>
        <v>1619</v>
      </c>
      <c r="J104" s="157">
        <v>2025.0</v>
      </c>
    </row>
    <row r="105">
      <c r="A105" s="218">
        <f t="shared" si="2"/>
        <v>102</v>
      </c>
      <c r="B105" s="218" t="s">
        <v>200</v>
      </c>
      <c r="C105" s="219" t="str">
        <f t="shared" si="1"/>
        <v>MS/1620/2025</v>
      </c>
      <c r="D105" s="218" t="b">
        <v>1</v>
      </c>
      <c r="E105" s="219" t="b">
        <v>0</v>
      </c>
      <c r="F105" s="219"/>
      <c r="G105" s="173"/>
      <c r="H105" s="157" t="s">
        <v>6464</v>
      </c>
      <c r="I105" s="157">
        <f t="shared" si="3"/>
        <v>1620</v>
      </c>
      <c r="J105" s="157">
        <v>2025.0</v>
      </c>
    </row>
    <row r="106">
      <c r="A106" s="218">
        <f t="shared" si="2"/>
        <v>103</v>
      </c>
      <c r="B106" s="218" t="s">
        <v>200</v>
      </c>
      <c r="C106" s="219" t="str">
        <f t="shared" si="1"/>
        <v>MS/1621/2025</v>
      </c>
      <c r="D106" s="218" t="b">
        <v>1</v>
      </c>
      <c r="E106" s="219" t="b">
        <v>0</v>
      </c>
      <c r="F106" s="219"/>
      <c r="G106" s="173"/>
      <c r="H106" s="157" t="s">
        <v>6464</v>
      </c>
      <c r="I106" s="157">
        <f t="shared" si="3"/>
        <v>1621</v>
      </c>
      <c r="J106" s="157">
        <v>2025.0</v>
      </c>
    </row>
    <row r="107">
      <c r="A107" s="218">
        <f t="shared" si="2"/>
        <v>104</v>
      </c>
      <c r="B107" s="218" t="s">
        <v>200</v>
      </c>
      <c r="C107" s="219" t="str">
        <f t="shared" si="1"/>
        <v>MS/1622/2025</v>
      </c>
      <c r="D107" s="218" t="b">
        <v>1</v>
      </c>
      <c r="E107" s="219" t="b">
        <v>0</v>
      </c>
      <c r="F107" s="219"/>
      <c r="G107" s="173"/>
      <c r="H107" s="157" t="s">
        <v>6464</v>
      </c>
      <c r="I107" s="157">
        <f t="shared" si="3"/>
        <v>1622</v>
      </c>
      <c r="J107" s="157">
        <v>2025.0</v>
      </c>
    </row>
    <row r="108">
      <c r="A108" s="218">
        <f t="shared" si="2"/>
        <v>105</v>
      </c>
      <c r="B108" s="218" t="s">
        <v>200</v>
      </c>
      <c r="C108" s="219" t="str">
        <f t="shared" si="1"/>
        <v>MS/1623/2025</v>
      </c>
      <c r="D108" s="218" t="b">
        <v>1</v>
      </c>
      <c r="E108" s="219" t="b">
        <v>0</v>
      </c>
      <c r="F108" s="219"/>
      <c r="G108" s="173"/>
      <c r="H108" s="157" t="s">
        <v>6464</v>
      </c>
      <c r="I108" s="157">
        <f t="shared" si="3"/>
        <v>1623</v>
      </c>
      <c r="J108" s="157">
        <v>2025.0</v>
      </c>
    </row>
    <row r="109">
      <c r="A109" s="218">
        <f t="shared" si="2"/>
        <v>106</v>
      </c>
      <c r="B109" s="218" t="s">
        <v>200</v>
      </c>
      <c r="C109" s="219" t="str">
        <f t="shared" si="1"/>
        <v>MS/1624/2025</v>
      </c>
      <c r="D109" s="218" t="b">
        <v>1</v>
      </c>
      <c r="E109" s="219" t="b">
        <v>0</v>
      </c>
      <c r="F109" s="219"/>
      <c r="G109" s="173"/>
      <c r="H109" s="157" t="s">
        <v>6464</v>
      </c>
      <c r="I109" s="157">
        <f t="shared" si="3"/>
        <v>1624</v>
      </c>
      <c r="J109" s="157">
        <v>2025.0</v>
      </c>
    </row>
    <row r="110">
      <c r="A110" s="218">
        <f t="shared" si="2"/>
        <v>107</v>
      </c>
      <c r="B110" s="218" t="s">
        <v>200</v>
      </c>
      <c r="C110" s="219" t="str">
        <f t="shared" si="1"/>
        <v>MS/1625/2025</v>
      </c>
      <c r="D110" s="218" t="b">
        <v>1</v>
      </c>
      <c r="E110" s="219" t="b">
        <v>0</v>
      </c>
      <c r="F110" s="219"/>
      <c r="G110" s="173"/>
      <c r="H110" s="157" t="s">
        <v>6464</v>
      </c>
      <c r="I110" s="157">
        <f t="shared" si="3"/>
        <v>1625</v>
      </c>
      <c r="J110" s="157">
        <v>2025.0</v>
      </c>
    </row>
    <row r="111">
      <c r="A111" s="218">
        <f t="shared" si="2"/>
        <v>108</v>
      </c>
      <c r="B111" s="218" t="s">
        <v>200</v>
      </c>
      <c r="C111" s="219" t="str">
        <f t="shared" si="1"/>
        <v>MS/1626/2025</v>
      </c>
      <c r="D111" s="218" t="b">
        <v>1</v>
      </c>
      <c r="E111" s="219" t="b">
        <v>0</v>
      </c>
      <c r="F111" s="219"/>
      <c r="G111" s="173"/>
      <c r="H111" s="157" t="s">
        <v>6464</v>
      </c>
      <c r="I111" s="157">
        <f t="shared" si="3"/>
        <v>1626</v>
      </c>
      <c r="J111" s="157">
        <v>2025.0</v>
      </c>
    </row>
    <row r="112">
      <c r="A112" s="218">
        <f t="shared" si="2"/>
        <v>109</v>
      </c>
      <c r="B112" s="218" t="s">
        <v>200</v>
      </c>
      <c r="C112" s="219" t="str">
        <f t="shared" si="1"/>
        <v>MS/1627/2025</v>
      </c>
      <c r="D112" s="218" t="b">
        <v>1</v>
      </c>
      <c r="E112" s="219" t="b">
        <v>0</v>
      </c>
      <c r="F112" s="219"/>
      <c r="G112" s="173"/>
      <c r="H112" s="157" t="s">
        <v>6464</v>
      </c>
      <c r="I112" s="157">
        <f t="shared" si="3"/>
        <v>1627</v>
      </c>
      <c r="J112" s="157">
        <v>2025.0</v>
      </c>
    </row>
    <row r="113">
      <c r="A113" s="218">
        <f t="shared" si="2"/>
        <v>110</v>
      </c>
      <c r="B113" s="218" t="s">
        <v>200</v>
      </c>
      <c r="C113" s="219" t="str">
        <f t="shared" si="1"/>
        <v>MS/1628/2025</v>
      </c>
      <c r="D113" s="218" t="b">
        <v>1</v>
      </c>
      <c r="E113" s="219" t="b">
        <v>0</v>
      </c>
      <c r="F113" s="219"/>
      <c r="G113" s="173"/>
      <c r="H113" s="157" t="s">
        <v>6464</v>
      </c>
      <c r="I113" s="157">
        <f t="shared" si="3"/>
        <v>1628</v>
      </c>
      <c r="J113" s="157">
        <v>2025.0</v>
      </c>
    </row>
    <row r="114">
      <c r="A114" s="218">
        <f t="shared" si="2"/>
        <v>111</v>
      </c>
      <c r="B114" s="218" t="s">
        <v>200</v>
      </c>
      <c r="C114" s="219" t="str">
        <f t="shared" si="1"/>
        <v>MS/1629/2025</v>
      </c>
      <c r="D114" s="218" t="b">
        <v>1</v>
      </c>
      <c r="E114" s="219" t="b">
        <v>0</v>
      </c>
      <c r="F114" s="219"/>
      <c r="G114" s="173"/>
      <c r="H114" s="157" t="s">
        <v>6464</v>
      </c>
      <c r="I114" s="157">
        <f t="shared" si="3"/>
        <v>1629</v>
      </c>
      <c r="J114" s="157">
        <v>2025.0</v>
      </c>
    </row>
    <row r="115">
      <c r="A115" s="218">
        <f t="shared" si="2"/>
        <v>112</v>
      </c>
      <c r="B115" s="218" t="s">
        <v>200</v>
      </c>
      <c r="C115" s="219" t="str">
        <f t="shared" si="1"/>
        <v>MS/1630/2025</v>
      </c>
      <c r="D115" s="218" t="b">
        <v>1</v>
      </c>
      <c r="E115" s="219" t="b">
        <v>0</v>
      </c>
      <c r="F115" s="219"/>
      <c r="G115" s="173"/>
      <c r="H115" s="157" t="s">
        <v>6464</v>
      </c>
      <c r="I115" s="157">
        <f t="shared" si="3"/>
        <v>1630</v>
      </c>
      <c r="J115" s="157">
        <v>2025.0</v>
      </c>
    </row>
    <row r="116">
      <c r="A116" s="218">
        <f t="shared" si="2"/>
        <v>113</v>
      </c>
      <c r="B116" s="218" t="s">
        <v>200</v>
      </c>
      <c r="C116" s="219" t="str">
        <f t="shared" si="1"/>
        <v>MS/1631/2025</v>
      </c>
      <c r="D116" s="218" t="b">
        <v>1</v>
      </c>
      <c r="E116" s="219" t="b">
        <v>0</v>
      </c>
      <c r="F116" s="219"/>
      <c r="G116" s="173"/>
      <c r="H116" s="157" t="s">
        <v>6464</v>
      </c>
      <c r="I116" s="157">
        <f t="shared" si="3"/>
        <v>1631</v>
      </c>
      <c r="J116" s="157">
        <v>2025.0</v>
      </c>
    </row>
    <row r="117">
      <c r="A117" s="218">
        <f t="shared" si="2"/>
        <v>114</v>
      </c>
      <c r="B117" s="218" t="s">
        <v>200</v>
      </c>
      <c r="C117" s="219" t="str">
        <f t="shared" si="1"/>
        <v>MS/1632/2025</v>
      </c>
      <c r="D117" s="218" t="b">
        <v>1</v>
      </c>
      <c r="E117" s="219" t="b">
        <v>0</v>
      </c>
      <c r="F117" s="219"/>
      <c r="G117" s="173"/>
      <c r="H117" s="157" t="s">
        <v>6464</v>
      </c>
      <c r="I117" s="157">
        <f t="shared" si="3"/>
        <v>1632</v>
      </c>
      <c r="J117" s="157">
        <v>2025.0</v>
      </c>
    </row>
    <row r="118">
      <c r="A118" s="218">
        <f t="shared" si="2"/>
        <v>115</v>
      </c>
      <c r="B118" s="218" t="s">
        <v>200</v>
      </c>
      <c r="C118" s="219" t="str">
        <f t="shared" si="1"/>
        <v>MS/1633/2025</v>
      </c>
      <c r="D118" s="218" t="b">
        <v>1</v>
      </c>
      <c r="E118" s="219" t="b">
        <v>0</v>
      </c>
      <c r="F118" s="219"/>
      <c r="G118" s="173"/>
      <c r="H118" s="157" t="s">
        <v>6464</v>
      </c>
      <c r="I118" s="157">
        <f t="shared" si="3"/>
        <v>1633</v>
      </c>
      <c r="J118" s="157">
        <v>2025.0</v>
      </c>
    </row>
    <row r="119">
      <c r="A119" s="218">
        <f t="shared" si="2"/>
        <v>116</v>
      </c>
      <c r="B119" s="218" t="s">
        <v>200</v>
      </c>
      <c r="C119" s="219" t="str">
        <f t="shared" si="1"/>
        <v>MS/1634/2025</v>
      </c>
      <c r="D119" s="218" t="b">
        <v>1</v>
      </c>
      <c r="E119" s="219" t="b">
        <v>0</v>
      </c>
      <c r="F119" s="219"/>
      <c r="G119" s="173"/>
      <c r="H119" s="157" t="s">
        <v>6464</v>
      </c>
      <c r="I119" s="157">
        <f t="shared" si="3"/>
        <v>1634</v>
      </c>
      <c r="J119" s="157">
        <v>2025.0</v>
      </c>
    </row>
    <row r="120">
      <c r="A120" s="218">
        <f t="shared" si="2"/>
        <v>117</v>
      </c>
      <c r="B120" s="218" t="s">
        <v>200</v>
      </c>
      <c r="C120" s="219" t="str">
        <f t="shared" si="1"/>
        <v>MS/1635/2025</v>
      </c>
      <c r="D120" s="218" t="b">
        <v>1</v>
      </c>
      <c r="E120" s="219" t="b">
        <v>0</v>
      </c>
      <c r="F120" s="219"/>
      <c r="G120" s="173"/>
      <c r="H120" s="157" t="s">
        <v>6464</v>
      </c>
      <c r="I120" s="157">
        <f t="shared" si="3"/>
        <v>1635</v>
      </c>
      <c r="J120" s="157">
        <v>2025.0</v>
      </c>
    </row>
    <row r="121">
      <c r="A121" s="218">
        <f t="shared" si="2"/>
        <v>118</v>
      </c>
      <c r="B121" s="218" t="s">
        <v>200</v>
      </c>
      <c r="C121" s="219" t="str">
        <f t="shared" si="1"/>
        <v>MS/1636/2025</v>
      </c>
      <c r="D121" s="218" t="b">
        <v>1</v>
      </c>
      <c r="E121" s="219" t="b">
        <v>0</v>
      </c>
      <c r="F121" s="219"/>
      <c r="G121" s="173"/>
      <c r="H121" s="157" t="s">
        <v>6464</v>
      </c>
      <c r="I121" s="157">
        <f t="shared" si="3"/>
        <v>1636</v>
      </c>
      <c r="J121" s="157">
        <v>2025.0</v>
      </c>
    </row>
    <row r="122">
      <c r="A122" s="218">
        <f t="shared" si="2"/>
        <v>119</v>
      </c>
      <c r="B122" s="218" t="s">
        <v>200</v>
      </c>
      <c r="C122" s="219" t="str">
        <f t="shared" si="1"/>
        <v>MS/1637/2025</v>
      </c>
      <c r="D122" s="218" t="b">
        <v>1</v>
      </c>
      <c r="E122" s="219" t="b">
        <v>0</v>
      </c>
      <c r="F122" s="219"/>
      <c r="G122" s="173"/>
      <c r="H122" s="157" t="s">
        <v>6464</v>
      </c>
      <c r="I122" s="157">
        <f t="shared" si="3"/>
        <v>1637</v>
      </c>
      <c r="J122" s="157">
        <v>2025.0</v>
      </c>
    </row>
    <row r="123">
      <c r="A123" s="218">
        <f t="shared" si="2"/>
        <v>120</v>
      </c>
      <c r="B123" s="218" t="s">
        <v>200</v>
      </c>
      <c r="C123" s="219" t="str">
        <f t="shared" si="1"/>
        <v>MS/1638/2025</v>
      </c>
      <c r="D123" s="218" t="b">
        <v>1</v>
      </c>
      <c r="E123" s="219" t="b">
        <v>0</v>
      </c>
      <c r="F123" s="219"/>
      <c r="G123" s="173"/>
      <c r="H123" s="157" t="s">
        <v>6464</v>
      </c>
      <c r="I123" s="157">
        <f t="shared" si="3"/>
        <v>1638</v>
      </c>
      <c r="J123" s="157">
        <v>2025.0</v>
      </c>
    </row>
    <row r="124">
      <c r="A124" s="218">
        <f t="shared" si="2"/>
        <v>121</v>
      </c>
      <c r="B124" s="218" t="s">
        <v>200</v>
      </c>
      <c r="C124" s="219" t="str">
        <f t="shared" si="1"/>
        <v>MS/1639/2025</v>
      </c>
      <c r="D124" s="218" t="b">
        <v>1</v>
      </c>
      <c r="E124" s="219" t="b">
        <v>0</v>
      </c>
      <c r="F124" s="219"/>
      <c r="G124" s="173"/>
      <c r="H124" s="157" t="s">
        <v>6464</v>
      </c>
      <c r="I124" s="157">
        <f t="shared" si="3"/>
        <v>1639</v>
      </c>
      <c r="J124" s="157">
        <v>2025.0</v>
      </c>
    </row>
    <row r="125">
      <c r="A125" s="218">
        <f t="shared" si="2"/>
        <v>122</v>
      </c>
      <c r="B125" s="218" t="s">
        <v>200</v>
      </c>
      <c r="C125" s="219" t="str">
        <f t="shared" si="1"/>
        <v>MS/1640/2025</v>
      </c>
      <c r="D125" s="218" t="b">
        <v>1</v>
      </c>
      <c r="E125" s="219" t="b">
        <v>0</v>
      </c>
      <c r="F125" s="219"/>
      <c r="G125" s="173"/>
      <c r="H125" s="157" t="s">
        <v>6464</v>
      </c>
      <c r="I125" s="157">
        <f t="shared" si="3"/>
        <v>1640</v>
      </c>
      <c r="J125" s="157">
        <v>2025.0</v>
      </c>
    </row>
    <row r="126">
      <c r="A126" s="218">
        <f t="shared" si="2"/>
        <v>123</v>
      </c>
      <c r="B126" s="218" t="s">
        <v>200</v>
      </c>
      <c r="C126" s="219" t="str">
        <f t="shared" si="1"/>
        <v>MS/1641/2025</v>
      </c>
      <c r="D126" s="218" t="b">
        <v>1</v>
      </c>
      <c r="E126" s="219" t="b">
        <v>0</v>
      </c>
      <c r="F126" s="219"/>
      <c r="G126" s="173"/>
      <c r="H126" s="157" t="s">
        <v>6464</v>
      </c>
      <c r="I126" s="157">
        <f t="shared" si="3"/>
        <v>1641</v>
      </c>
      <c r="J126" s="157">
        <v>2025.0</v>
      </c>
    </row>
    <row r="127">
      <c r="A127" s="218">
        <f t="shared" si="2"/>
        <v>124</v>
      </c>
      <c r="B127" s="218" t="s">
        <v>200</v>
      </c>
      <c r="C127" s="219" t="str">
        <f t="shared" si="1"/>
        <v>MS/1642/2025</v>
      </c>
      <c r="D127" s="218" t="b">
        <v>1</v>
      </c>
      <c r="E127" s="219" t="b">
        <v>0</v>
      </c>
      <c r="F127" s="219"/>
      <c r="G127" s="173"/>
      <c r="H127" s="157" t="s">
        <v>6464</v>
      </c>
      <c r="I127" s="157">
        <f t="shared" si="3"/>
        <v>1642</v>
      </c>
      <c r="J127" s="157">
        <v>2025.0</v>
      </c>
    </row>
    <row r="128">
      <c r="A128" s="218">
        <f t="shared" si="2"/>
        <v>125</v>
      </c>
      <c r="B128" s="218" t="s">
        <v>200</v>
      </c>
      <c r="C128" s="219" t="str">
        <f t="shared" si="1"/>
        <v>MS/1643/2025</v>
      </c>
      <c r="D128" s="218" t="b">
        <v>1</v>
      </c>
      <c r="E128" s="219" t="b">
        <v>0</v>
      </c>
      <c r="F128" s="219"/>
      <c r="G128" s="173"/>
      <c r="H128" s="157" t="s">
        <v>6464</v>
      </c>
      <c r="I128" s="157">
        <f t="shared" si="3"/>
        <v>1643</v>
      </c>
      <c r="J128" s="157">
        <v>2025.0</v>
      </c>
    </row>
    <row r="129">
      <c r="A129" s="218">
        <f t="shared" si="2"/>
        <v>126</v>
      </c>
      <c r="B129" s="218" t="s">
        <v>200</v>
      </c>
      <c r="C129" s="219" t="str">
        <f t="shared" si="1"/>
        <v>MS/1644/2025</v>
      </c>
      <c r="D129" s="218" t="b">
        <v>1</v>
      </c>
      <c r="E129" s="219" t="b">
        <v>0</v>
      </c>
      <c r="F129" s="219"/>
      <c r="G129" s="173"/>
      <c r="H129" s="157" t="s">
        <v>6464</v>
      </c>
      <c r="I129" s="157">
        <f t="shared" si="3"/>
        <v>1644</v>
      </c>
      <c r="J129" s="157">
        <v>2025.0</v>
      </c>
    </row>
    <row r="130">
      <c r="A130" s="218">
        <f t="shared" si="2"/>
        <v>127</v>
      </c>
      <c r="B130" s="218" t="s">
        <v>200</v>
      </c>
      <c r="C130" s="219" t="str">
        <f t="shared" si="1"/>
        <v>MS/1645/2025</v>
      </c>
      <c r="D130" s="218" t="b">
        <v>1</v>
      </c>
      <c r="E130" s="219" t="b">
        <v>0</v>
      </c>
      <c r="F130" s="219"/>
      <c r="G130" s="173"/>
      <c r="H130" s="157" t="s">
        <v>6464</v>
      </c>
      <c r="I130" s="157">
        <f t="shared" si="3"/>
        <v>1645</v>
      </c>
      <c r="J130" s="157">
        <v>2025.0</v>
      </c>
    </row>
    <row r="131">
      <c r="A131" s="218">
        <f t="shared" si="2"/>
        <v>128</v>
      </c>
      <c r="B131" s="218" t="s">
        <v>200</v>
      </c>
      <c r="C131" s="219" t="str">
        <f t="shared" si="1"/>
        <v>MS/1646/2025</v>
      </c>
      <c r="D131" s="218" t="b">
        <v>1</v>
      </c>
      <c r="E131" s="219" t="b">
        <v>0</v>
      </c>
      <c r="F131" s="219"/>
      <c r="G131" s="173"/>
      <c r="H131" s="157" t="s">
        <v>6464</v>
      </c>
      <c r="I131" s="157">
        <f t="shared" si="3"/>
        <v>1646</v>
      </c>
      <c r="J131" s="157">
        <v>2025.0</v>
      </c>
    </row>
    <row r="132">
      <c r="A132" s="218">
        <f t="shared" si="2"/>
        <v>129</v>
      </c>
      <c r="B132" s="218" t="s">
        <v>200</v>
      </c>
      <c r="C132" s="219" t="str">
        <f t="shared" si="1"/>
        <v>MS/1647/2025</v>
      </c>
      <c r="D132" s="218" t="b">
        <v>1</v>
      </c>
      <c r="E132" s="219" t="b">
        <v>0</v>
      </c>
      <c r="F132" s="219"/>
      <c r="G132" s="173"/>
      <c r="H132" s="157" t="s">
        <v>6464</v>
      </c>
      <c r="I132" s="157">
        <f t="shared" si="3"/>
        <v>1647</v>
      </c>
      <c r="J132" s="157">
        <v>2025.0</v>
      </c>
    </row>
    <row r="133">
      <c r="A133" s="218">
        <f t="shared" si="2"/>
        <v>130</v>
      </c>
      <c r="B133" s="218" t="s">
        <v>200</v>
      </c>
      <c r="C133" s="219" t="str">
        <f t="shared" si="1"/>
        <v>MS/1648/2025</v>
      </c>
      <c r="D133" s="218" t="b">
        <v>1</v>
      </c>
      <c r="E133" s="219" t="b">
        <v>0</v>
      </c>
      <c r="F133" s="219"/>
      <c r="G133" s="173"/>
      <c r="H133" s="157" t="s">
        <v>6464</v>
      </c>
      <c r="I133" s="157">
        <f t="shared" si="3"/>
        <v>1648</v>
      </c>
      <c r="J133" s="157">
        <v>2025.0</v>
      </c>
    </row>
    <row r="134">
      <c r="A134" s="218">
        <f t="shared" si="2"/>
        <v>131</v>
      </c>
      <c r="B134" s="218" t="s">
        <v>200</v>
      </c>
      <c r="C134" s="219" t="str">
        <f t="shared" si="1"/>
        <v>MS/1649/2025</v>
      </c>
      <c r="D134" s="218" t="b">
        <v>1</v>
      </c>
      <c r="E134" s="219" t="b">
        <v>0</v>
      </c>
      <c r="F134" s="219"/>
      <c r="G134" s="173"/>
      <c r="H134" s="157" t="s">
        <v>6464</v>
      </c>
      <c r="I134" s="157">
        <f t="shared" si="3"/>
        <v>1649</v>
      </c>
      <c r="J134" s="157">
        <v>2025.0</v>
      </c>
    </row>
    <row r="135">
      <c r="A135" s="218">
        <f t="shared" si="2"/>
        <v>132</v>
      </c>
      <c r="B135" s="218" t="s">
        <v>200</v>
      </c>
      <c r="C135" s="219" t="str">
        <f t="shared" si="1"/>
        <v>MS/1650/2025</v>
      </c>
      <c r="D135" s="218" t="b">
        <v>1</v>
      </c>
      <c r="E135" s="219" t="b">
        <v>0</v>
      </c>
      <c r="F135" s="219"/>
      <c r="G135" s="173"/>
      <c r="H135" s="157" t="s">
        <v>6464</v>
      </c>
      <c r="I135" s="157">
        <f t="shared" si="3"/>
        <v>1650</v>
      </c>
      <c r="J135" s="157">
        <v>2025.0</v>
      </c>
    </row>
    <row r="136">
      <c r="A136" s="218">
        <f t="shared" si="2"/>
        <v>133</v>
      </c>
      <c r="B136" s="218" t="s">
        <v>200</v>
      </c>
      <c r="C136" s="219" t="str">
        <f t="shared" si="1"/>
        <v>MS/1651/2025</v>
      </c>
      <c r="D136" s="218" t="b">
        <v>1</v>
      </c>
      <c r="E136" s="219" t="b">
        <v>0</v>
      </c>
      <c r="F136" s="219"/>
      <c r="G136" s="173"/>
      <c r="H136" s="157" t="s">
        <v>6464</v>
      </c>
      <c r="I136" s="157">
        <f t="shared" si="3"/>
        <v>1651</v>
      </c>
      <c r="J136" s="157">
        <v>2025.0</v>
      </c>
    </row>
    <row r="137">
      <c r="A137" s="218">
        <f t="shared" si="2"/>
        <v>134</v>
      </c>
      <c r="B137" s="218" t="s">
        <v>200</v>
      </c>
      <c r="C137" s="219" t="str">
        <f t="shared" si="1"/>
        <v>MS/1652/2025</v>
      </c>
      <c r="D137" s="218" t="b">
        <v>1</v>
      </c>
      <c r="E137" s="219" t="b">
        <v>0</v>
      </c>
      <c r="F137" s="219"/>
      <c r="G137" s="173"/>
      <c r="H137" s="157" t="s">
        <v>6464</v>
      </c>
      <c r="I137" s="157">
        <f t="shared" si="3"/>
        <v>1652</v>
      </c>
      <c r="J137" s="157">
        <v>2025.0</v>
      </c>
    </row>
    <row r="138">
      <c r="A138" s="218">
        <f t="shared" si="2"/>
        <v>135</v>
      </c>
      <c r="B138" s="218" t="s">
        <v>200</v>
      </c>
      <c r="C138" s="219" t="str">
        <f t="shared" si="1"/>
        <v>MS/1653/2025</v>
      </c>
      <c r="D138" s="218" t="b">
        <v>1</v>
      </c>
      <c r="E138" s="219" t="b">
        <v>0</v>
      </c>
      <c r="F138" s="219"/>
      <c r="G138" s="173"/>
      <c r="H138" s="157" t="s">
        <v>6464</v>
      </c>
      <c r="I138" s="157">
        <f t="shared" si="3"/>
        <v>1653</v>
      </c>
      <c r="J138" s="157">
        <v>2025.0</v>
      </c>
    </row>
    <row r="139">
      <c r="A139" s="218">
        <f t="shared" si="2"/>
        <v>136</v>
      </c>
      <c r="B139" s="218" t="s">
        <v>200</v>
      </c>
      <c r="C139" s="219" t="str">
        <f t="shared" si="1"/>
        <v>MS/1654/2025</v>
      </c>
      <c r="D139" s="218" t="b">
        <v>1</v>
      </c>
      <c r="E139" s="219" t="b">
        <v>0</v>
      </c>
      <c r="F139" s="219"/>
      <c r="G139" s="173"/>
      <c r="H139" s="157" t="s">
        <v>6464</v>
      </c>
      <c r="I139" s="157">
        <f t="shared" si="3"/>
        <v>1654</v>
      </c>
      <c r="J139" s="157">
        <v>2025.0</v>
      </c>
    </row>
    <row r="140">
      <c r="A140" s="218">
        <f t="shared" si="2"/>
        <v>137</v>
      </c>
      <c r="B140" s="218" t="s">
        <v>200</v>
      </c>
      <c r="C140" s="219" t="str">
        <f t="shared" si="1"/>
        <v>MS/1655/2025</v>
      </c>
      <c r="D140" s="218" t="b">
        <v>1</v>
      </c>
      <c r="E140" s="219" t="b">
        <v>0</v>
      </c>
      <c r="F140" s="219"/>
      <c r="G140" s="173"/>
      <c r="H140" s="157" t="s">
        <v>6464</v>
      </c>
      <c r="I140" s="157">
        <f t="shared" si="3"/>
        <v>1655</v>
      </c>
      <c r="J140" s="157">
        <v>2025.0</v>
      </c>
    </row>
    <row r="141">
      <c r="A141" s="218">
        <f t="shared" si="2"/>
        <v>138</v>
      </c>
      <c r="B141" s="218" t="s">
        <v>200</v>
      </c>
      <c r="C141" s="219" t="str">
        <f t="shared" si="1"/>
        <v>MS/1656/2025</v>
      </c>
      <c r="D141" s="218" t="b">
        <v>1</v>
      </c>
      <c r="E141" s="219" t="b">
        <v>0</v>
      </c>
      <c r="F141" s="219"/>
      <c r="G141" s="173"/>
      <c r="H141" s="157" t="s">
        <v>6464</v>
      </c>
      <c r="I141" s="157">
        <f t="shared" si="3"/>
        <v>1656</v>
      </c>
      <c r="J141" s="157">
        <v>2025.0</v>
      </c>
    </row>
    <row r="142">
      <c r="A142" s="218">
        <f t="shared" si="2"/>
        <v>139</v>
      </c>
      <c r="B142" s="218" t="s">
        <v>200</v>
      </c>
      <c r="C142" s="219" t="str">
        <f t="shared" si="1"/>
        <v>MS/1657/2025</v>
      </c>
      <c r="D142" s="218" t="b">
        <v>1</v>
      </c>
      <c r="E142" s="219" t="b">
        <v>0</v>
      </c>
      <c r="F142" s="219"/>
      <c r="G142" s="173"/>
      <c r="H142" s="157" t="s">
        <v>6464</v>
      </c>
      <c r="I142" s="157">
        <f t="shared" si="3"/>
        <v>1657</v>
      </c>
      <c r="J142" s="157">
        <v>2025.0</v>
      </c>
    </row>
    <row r="143">
      <c r="A143" s="218">
        <f t="shared" si="2"/>
        <v>140</v>
      </c>
      <c r="B143" s="218" t="s">
        <v>200</v>
      </c>
      <c r="C143" s="219" t="str">
        <f t="shared" si="1"/>
        <v>MS/1658/2025</v>
      </c>
      <c r="D143" s="218" t="b">
        <v>1</v>
      </c>
      <c r="E143" s="219" t="b">
        <v>0</v>
      </c>
      <c r="F143" s="219"/>
      <c r="G143" s="173"/>
      <c r="H143" s="157" t="s">
        <v>6464</v>
      </c>
      <c r="I143" s="157">
        <f t="shared" si="3"/>
        <v>1658</v>
      </c>
      <c r="J143" s="157">
        <v>2025.0</v>
      </c>
    </row>
    <row r="144">
      <c r="A144" s="218">
        <f t="shared" si="2"/>
        <v>141</v>
      </c>
      <c r="B144" s="218" t="s">
        <v>200</v>
      </c>
      <c r="C144" s="219" t="str">
        <f t="shared" si="1"/>
        <v>MS/1659/2025</v>
      </c>
      <c r="D144" s="218" t="b">
        <v>1</v>
      </c>
      <c r="E144" s="219" t="b">
        <v>0</v>
      </c>
      <c r="F144" s="219"/>
      <c r="G144" s="173"/>
      <c r="H144" s="157" t="s">
        <v>6464</v>
      </c>
      <c r="I144" s="157">
        <f t="shared" si="3"/>
        <v>1659</v>
      </c>
      <c r="J144" s="157">
        <v>2025.0</v>
      </c>
    </row>
    <row r="145">
      <c r="A145" s="218">
        <f t="shared" si="2"/>
        <v>142</v>
      </c>
      <c r="B145" s="218" t="s">
        <v>200</v>
      </c>
      <c r="C145" s="219" t="str">
        <f t="shared" si="1"/>
        <v>MS/1660/2025</v>
      </c>
      <c r="D145" s="218" t="b">
        <v>1</v>
      </c>
      <c r="E145" s="219" t="b">
        <v>0</v>
      </c>
      <c r="F145" s="219"/>
      <c r="G145" s="173"/>
      <c r="H145" s="157" t="s">
        <v>6464</v>
      </c>
      <c r="I145" s="157">
        <f t="shared" si="3"/>
        <v>1660</v>
      </c>
      <c r="J145" s="157">
        <v>2025.0</v>
      </c>
    </row>
    <row r="146">
      <c r="A146" s="218">
        <f t="shared" si="2"/>
        <v>143</v>
      </c>
      <c r="B146" s="218" t="s">
        <v>200</v>
      </c>
      <c r="C146" s="219" t="str">
        <f t="shared" si="1"/>
        <v>MS/1661/2025</v>
      </c>
      <c r="D146" s="218" t="b">
        <v>1</v>
      </c>
      <c r="E146" s="219" t="b">
        <v>0</v>
      </c>
      <c r="F146" s="219"/>
      <c r="G146" s="173"/>
      <c r="H146" s="157" t="s">
        <v>6464</v>
      </c>
      <c r="I146" s="157">
        <f t="shared" si="3"/>
        <v>1661</v>
      </c>
      <c r="J146" s="157">
        <v>2025.0</v>
      </c>
    </row>
    <row r="147">
      <c r="A147" s="218">
        <f t="shared" si="2"/>
        <v>144</v>
      </c>
      <c r="B147" s="218" t="s">
        <v>200</v>
      </c>
      <c r="C147" s="219" t="str">
        <f t="shared" si="1"/>
        <v>MS/1662/2025</v>
      </c>
      <c r="D147" s="218" t="b">
        <v>1</v>
      </c>
      <c r="E147" s="219" t="b">
        <v>0</v>
      </c>
      <c r="F147" s="219"/>
      <c r="G147" s="173"/>
      <c r="H147" s="157" t="s">
        <v>6464</v>
      </c>
      <c r="I147" s="157">
        <f t="shared" si="3"/>
        <v>1662</v>
      </c>
      <c r="J147" s="157">
        <v>2025.0</v>
      </c>
    </row>
    <row r="148">
      <c r="A148" s="218">
        <f t="shared" si="2"/>
        <v>145</v>
      </c>
      <c r="B148" s="218" t="s">
        <v>200</v>
      </c>
      <c r="C148" s="219" t="str">
        <f t="shared" si="1"/>
        <v>MS/1663/2025</v>
      </c>
      <c r="D148" s="218" t="b">
        <v>1</v>
      </c>
      <c r="E148" s="219" t="b">
        <v>0</v>
      </c>
      <c r="F148" s="219"/>
      <c r="G148" s="173"/>
      <c r="H148" s="157" t="s">
        <v>6464</v>
      </c>
      <c r="I148" s="157">
        <f t="shared" si="3"/>
        <v>1663</v>
      </c>
      <c r="J148" s="157">
        <v>2025.0</v>
      </c>
    </row>
    <row r="149">
      <c r="A149" s="218">
        <f t="shared" si="2"/>
        <v>146</v>
      </c>
      <c r="B149" s="218" t="s">
        <v>200</v>
      </c>
      <c r="C149" s="219" t="str">
        <f t="shared" si="1"/>
        <v>MS/1664/2025</v>
      </c>
      <c r="D149" s="218" t="b">
        <v>1</v>
      </c>
      <c r="E149" s="219" t="b">
        <v>0</v>
      </c>
      <c r="F149" s="219"/>
      <c r="G149" s="173"/>
      <c r="H149" s="157" t="s">
        <v>6464</v>
      </c>
      <c r="I149" s="157">
        <f t="shared" si="3"/>
        <v>1664</v>
      </c>
      <c r="J149" s="157">
        <v>2025.0</v>
      </c>
    </row>
    <row r="150">
      <c r="A150" s="218">
        <f t="shared" si="2"/>
        <v>147</v>
      </c>
      <c r="B150" s="218" t="s">
        <v>200</v>
      </c>
      <c r="C150" s="219" t="str">
        <f t="shared" si="1"/>
        <v>MS/1665/2025</v>
      </c>
      <c r="D150" s="218" t="b">
        <v>1</v>
      </c>
      <c r="E150" s="219" t="b">
        <v>0</v>
      </c>
      <c r="F150" s="219"/>
      <c r="G150" s="173"/>
      <c r="H150" s="157" t="s">
        <v>6464</v>
      </c>
      <c r="I150" s="157">
        <f t="shared" si="3"/>
        <v>1665</v>
      </c>
      <c r="J150" s="157">
        <v>2025.0</v>
      </c>
    </row>
    <row r="151">
      <c r="A151" s="218">
        <f t="shared" si="2"/>
        <v>148</v>
      </c>
      <c r="B151" s="218" t="s">
        <v>200</v>
      </c>
      <c r="C151" s="219" t="str">
        <f t="shared" si="1"/>
        <v>MS/1666/2025</v>
      </c>
      <c r="D151" s="218" t="b">
        <v>1</v>
      </c>
      <c r="E151" s="219" t="b">
        <v>0</v>
      </c>
      <c r="F151" s="219"/>
      <c r="G151" s="173"/>
      <c r="H151" s="157" t="s">
        <v>6464</v>
      </c>
      <c r="I151" s="157">
        <f t="shared" si="3"/>
        <v>1666</v>
      </c>
      <c r="J151" s="157">
        <v>2025.0</v>
      </c>
    </row>
    <row r="152">
      <c r="A152" s="218">
        <f t="shared" si="2"/>
        <v>149</v>
      </c>
      <c r="B152" s="218" t="s">
        <v>200</v>
      </c>
      <c r="C152" s="219" t="str">
        <f t="shared" si="1"/>
        <v>MS/1667/2025</v>
      </c>
      <c r="D152" s="218" t="b">
        <v>1</v>
      </c>
      <c r="E152" s="219" t="b">
        <v>0</v>
      </c>
      <c r="F152" s="219"/>
      <c r="G152" s="173"/>
      <c r="H152" s="157" t="s">
        <v>6464</v>
      </c>
      <c r="I152" s="157">
        <f t="shared" si="3"/>
        <v>1667</v>
      </c>
      <c r="J152" s="157">
        <v>2025.0</v>
      </c>
    </row>
    <row r="153">
      <c r="A153" s="218">
        <f t="shared" si="2"/>
        <v>150</v>
      </c>
      <c r="B153" s="218" t="s">
        <v>200</v>
      </c>
      <c r="C153" s="219" t="str">
        <f t="shared" si="1"/>
        <v>MS/1668/2025</v>
      </c>
      <c r="D153" s="218" t="b">
        <v>1</v>
      </c>
      <c r="E153" s="219" t="b">
        <v>0</v>
      </c>
      <c r="F153" s="219"/>
      <c r="G153" s="173"/>
      <c r="H153" s="157" t="s">
        <v>6464</v>
      </c>
      <c r="I153" s="157">
        <f t="shared" si="3"/>
        <v>1668</v>
      </c>
      <c r="J153" s="157">
        <v>2025.0</v>
      </c>
    </row>
    <row r="154">
      <c r="A154" s="218">
        <f t="shared" si="2"/>
        <v>151</v>
      </c>
      <c r="B154" s="218" t="s">
        <v>200</v>
      </c>
      <c r="C154" s="219" t="str">
        <f t="shared" si="1"/>
        <v>MS/1669/2025</v>
      </c>
      <c r="D154" s="218" t="b">
        <v>1</v>
      </c>
      <c r="E154" s="219" t="b">
        <v>0</v>
      </c>
      <c r="F154" s="219"/>
      <c r="G154" s="173"/>
      <c r="H154" s="157" t="s">
        <v>6464</v>
      </c>
      <c r="I154" s="157">
        <f t="shared" si="3"/>
        <v>1669</v>
      </c>
      <c r="J154" s="157">
        <v>2025.0</v>
      </c>
    </row>
    <row r="155">
      <c r="A155" s="218">
        <f t="shared" si="2"/>
        <v>152</v>
      </c>
      <c r="B155" s="218" t="s">
        <v>200</v>
      </c>
      <c r="C155" s="219" t="str">
        <f t="shared" si="1"/>
        <v>MS/1670/2025</v>
      </c>
      <c r="D155" s="218" t="b">
        <v>1</v>
      </c>
      <c r="E155" s="219" t="b">
        <v>0</v>
      </c>
      <c r="F155" s="219"/>
      <c r="G155" s="173"/>
      <c r="H155" s="157" t="s">
        <v>6464</v>
      </c>
      <c r="I155" s="157">
        <f t="shared" si="3"/>
        <v>1670</v>
      </c>
      <c r="J155" s="157">
        <v>2025.0</v>
      </c>
    </row>
    <row r="156">
      <c r="A156" s="218">
        <f t="shared" si="2"/>
        <v>153</v>
      </c>
      <c r="B156" s="218" t="s">
        <v>200</v>
      </c>
      <c r="C156" s="219" t="str">
        <f t="shared" si="1"/>
        <v>MS/1671/2025</v>
      </c>
      <c r="D156" s="218" t="b">
        <v>1</v>
      </c>
      <c r="E156" s="219" t="b">
        <v>0</v>
      </c>
      <c r="F156" s="219"/>
      <c r="G156" s="173"/>
      <c r="H156" s="157" t="s">
        <v>6464</v>
      </c>
      <c r="I156" s="157">
        <f t="shared" si="3"/>
        <v>1671</v>
      </c>
      <c r="J156" s="157">
        <v>2025.0</v>
      </c>
    </row>
    <row r="157">
      <c r="A157" s="218">
        <f t="shared" si="2"/>
        <v>154</v>
      </c>
      <c r="B157" s="218" t="s">
        <v>200</v>
      </c>
      <c r="C157" s="219" t="str">
        <f t="shared" si="1"/>
        <v>MS/1672/2025</v>
      </c>
      <c r="D157" s="218" t="b">
        <v>1</v>
      </c>
      <c r="E157" s="219" t="b">
        <v>0</v>
      </c>
      <c r="F157" s="219"/>
      <c r="G157" s="173"/>
      <c r="H157" s="157" t="s">
        <v>6464</v>
      </c>
      <c r="I157" s="157">
        <f t="shared" si="3"/>
        <v>1672</v>
      </c>
      <c r="J157" s="157">
        <v>2025.0</v>
      </c>
    </row>
    <row r="158">
      <c r="A158" s="218">
        <f t="shared" si="2"/>
        <v>155</v>
      </c>
      <c r="B158" s="218" t="s">
        <v>200</v>
      </c>
      <c r="C158" s="219" t="str">
        <f t="shared" si="1"/>
        <v>MS/1673/2025</v>
      </c>
      <c r="D158" s="218" t="b">
        <v>1</v>
      </c>
      <c r="E158" s="219" t="b">
        <v>0</v>
      </c>
      <c r="F158" s="219"/>
      <c r="G158" s="173"/>
      <c r="H158" s="157" t="s">
        <v>6464</v>
      </c>
      <c r="I158" s="157">
        <f t="shared" si="3"/>
        <v>1673</v>
      </c>
      <c r="J158" s="157">
        <v>2025.0</v>
      </c>
    </row>
    <row r="159">
      <c r="A159" s="218">
        <f t="shared" si="2"/>
        <v>156</v>
      </c>
      <c r="B159" s="218" t="s">
        <v>200</v>
      </c>
      <c r="C159" s="219" t="str">
        <f t="shared" si="1"/>
        <v>MS/1674/2025</v>
      </c>
      <c r="D159" s="218" t="b">
        <v>1</v>
      </c>
      <c r="E159" s="219" t="b">
        <v>0</v>
      </c>
      <c r="F159" s="219"/>
      <c r="G159" s="173"/>
      <c r="H159" s="157" t="s">
        <v>6464</v>
      </c>
      <c r="I159" s="157">
        <f t="shared" si="3"/>
        <v>1674</v>
      </c>
      <c r="J159" s="157">
        <v>2025.0</v>
      </c>
    </row>
    <row r="160">
      <c r="A160" s="218">
        <f t="shared" si="2"/>
        <v>157</v>
      </c>
      <c r="B160" s="218" t="s">
        <v>200</v>
      </c>
      <c r="C160" s="219" t="str">
        <f t="shared" si="1"/>
        <v>MS/1675/2025</v>
      </c>
      <c r="D160" s="218" t="b">
        <v>1</v>
      </c>
      <c r="E160" s="219" t="b">
        <v>0</v>
      </c>
      <c r="F160" s="219"/>
      <c r="G160" s="173"/>
      <c r="H160" s="157" t="s">
        <v>6464</v>
      </c>
      <c r="I160" s="157">
        <f t="shared" si="3"/>
        <v>1675</v>
      </c>
      <c r="J160" s="157">
        <v>2025.0</v>
      </c>
    </row>
    <row r="161">
      <c r="A161" s="218">
        <f t="shared" si="2"/>
        <v>158</v>
      </c>
      <c r="B161" s="218" t="s">
        <v>200</v>
      </c>
      <c r="C161" s="219" t="str">
        <f t="shared" si="1"/>
        <v>MS/1676/2025</v>
      </c>
      <c r="D161" s="218" t="b">
        <v>1</v>
      </c>
      <c r="E161" s="219" t="b">
        <v>0</v>
      </c>
      <c r="F161" s="219"/>
      <c r="G161" s="173"/>
      <c r="H161" s="157" t="s">
        <v>6464</v>
      </c>
      <c r="I161" s="157">
        <f t="shared" si="3"/>
        <v>1676</v>
      </c>
      <c r="J161" s="157">
        <v>2025.0</v>
      </c>
    </row>
    <row r="162">
      <c r="A162" s="218">
        <f t="shared" si="2"/>
        <v>159</v>
      </c>
      <c r="B162" s="218" t="s">
        <v>200</v>
      </c>
      <c r="C162" s="219" t="str">
        <f t="shared" si="1"/>
        <v>MS/1677/2025</v>
      </c>
      <c r="D162" s="218" t="b">
        <v>1</v>
      </c>
      <c r="E162" s="219" t="b">
        <v>0</v>
      </c>
      <c r="F162" s="219"/>
      <c r="G162" s="173"/>
      <c r="H162" s="157" t="s">
        <v>6464</v>
      </c>
      <c r="I162" s="157">
        <f t="shared" si="3"/>
        <v>1677</v>
      </c>
      <c r="J162" s="157">
        <v>2025.0</v>
      </c>
    </row>
    <row r="163">
      <c r="A163" s="218">
        <f t="shared" si="2"/>
        <v>160</v>
      </c>
      <c r="B163" s="218" t="s">
        <v>200</v>
      </c>
      <c r="C163" s="219" t="str">
        <f t="shared" si="1"/>
        <v>MS/1678/2025</v>
      </c>
      <c r="D163" s="218" t="b">
        <v>1</v>
      </c>
      <c r="E163" s="219" t="b">
        <v>0</v>
      </c>
      <c r="F163" s="219"/>
      <c r="G163" s="173"/>
      <c r="H163" s="157" t="s">
        <v>6464</v>
      </c>
      <c r="I163" s="157">
        <f t="shared" si="3"/>
        <v>1678</v>
      </c>
      <c r="J163" s="157">
        <v>2025.0</v>
      </c>
    </row>
    <row r="164">
      <c r="A164" s="218">
        <f t="shared" si="2"/>
        <v>161</v>
      </c>
      <c r="B164" s="218" t="s">
        <v>200</v>
      </c>
      <c r="C164" s="219" t="str">
        <f t="shared" si="1"/>
        <v>MS/1679/2025</v>
      </c>
      <c r="D164" s="218" t="b">
        <v>1</v>
      </c>
      <c r="E164" s="219" t="b">
        <v>0</v>
      </c>
      <c r="F164" s="219"/>
      <c r="G164" s="173"/>
      <c r="H164" s="157" t="s">
        <v>6464</v>
      </c>
      <c r="I164" s="157">
        <f t="shared" si="3"/>
        <v>1679</v>
      </c>
      <c r="J164" s="157">
        <v>2025.0</v>
      </c>
    </row>
    <row r="165">
      <c r="A165" s="218">
        <f t="shared" si="2"/>
        <v>162</v>
      </c>
      <c r="B165" s="218" t="s">
        <v>200</v>
      </c>
      <c r="C165" s="219" t="str">
        <f t="shared" si="1"/>
        <v>MS/1680/2025</v>
      </c>
      <c r="D165" s="218" t="b">
        <v>1</v>
      </c>
      <c r="E165" s="219" t="b">
        <v>0</v>
      </c>
      <c r="F165" s="219"/>
      <c r="G165" s="173"/>
      <c r="H165" s="157" t="s">
        <v>6464</v>
      </c>
      <c r="I165" s="157">
        <f t="shared" si="3"/>
        <v>1680</v>
      </c>
      <c r="J165" s="157">
        <v>2025.0</v>
      </c>
    </row>
    <row r="166">
      <c r="A166" s="218">
        <f t="shared" si="2"/>
        <v>163</v>
      </c>
      <c r="B166" s="218" t="s">
        <v>200</v>
      </c>
      <c r="C166" s="219" t="str">
        <f t="shared" si="1"/>
        <v>MS/1681/2025</v>
      </c>
      <c r="D166" s="218" t="b">
        <v>1</v>
      </c>
      <c r="E166" s="219" t="b">
        <v>0</v>
      </c>
      <c r="F166" s="219"/>
      <c r="G166" s="173"/>
      <c r="H166" s="157" t="s">
        <v>6464</v>
      </c>
      <c r="I166" s="157">
        <f t="shared" si="3"/>
        <v>1681</v>
      </c>
      <c r="J166" s="157">
        <v>2025.0</v>
      </c>
    </row>
    <row r="167">
      <c r="A167" s="218">
        <f t="shared" si="2"/>
        <v>164</v>
      </c>
      <c r="B167" s="218" t="s">
        <v>200</v>
      </c>
      <c r="C167" s="219" t="str">
        <f t="shared" si="1"/>
        <v>MS/1682/2025</v>
      </c>
      <c r="D167" s="218" t="b">
        <v>1</v>
      </c>
      <c r="E167" s="219" t="b">
        <v>0</v>
      </c>
      <c r="F167" s="219"/>
      <c r="G167" s="173"/>
      <c r="H167" s="157" t="s">
        <v>6464</v>
      </c>
      <c r="I167" s="157">
        <f t="shared" si="3"/>
        <v>1682</v>
      </c>
      <c r="J167" s="157">
        <v>2025.0</v>
      </c>
    </row>
    <row r="168">
      <c r="A168" s="218">
        <f t="shared" si="2"/>
        <v>165</v>
      </c>
      <c r="B168" s="218" t="s">
        <v>200</v>
      </c>
      <c r="C168" s="219" t="str">
        <f t="shared" si="1"/>
        <v>MS/1683/2025</v>
      </c>
      <c r="D168" s="218" t="b">
        <v>1</v>
      </c>
      <c r="E168" s="219" t="b">
        <v>0</v>
      </c>
      <c r="F168" s="219"/>
      <c r="G168" s="173"/>
      <c r="H168" s="157" t="s">
        <v>6464</v>
      </c>
      <c r="I168" s="157">
        <f t="shared" si="3"/>
        <v>1683</v>
      </c>
      <c r="J168" s="157">
        <v>2025.0</v>
      </c>
    </row>
    <row r="169">
      <c r="A169" s="218">
        <f t="shared" si="2"/>
        <v>166</v>
      </c>
      <c r="B169" s="218" t="s">
        <v>200</v>
      </c>
      <c r="C169" s="219" t="str">
        <f t="shared" si="1"/>
        <v>MS/1684/2025</v>
      </c>
      <c r="D169" s="218" t="b">
        <v>1</v>
      </c>
      <c r="E169" s="219" t="b">
        <v>0</v>
      </c>
      <c r="F169" s="219"/>
      <c r="G169" s="173"/>
      <c r="H169" s="157" t="s">
        <v>6464</v>
      </c>
      <c r="I169" s="157">
        <f t="shared" si="3"/>
        <v>1684</v>
      </c>
      <c r="J169" s="157">
        <v>2025.0</v>
      </c>
    </row>
    <row r="170">
      <c r="A170" s="218">
        <f t="shared" si="2"/>
        <v>167</v>
      </c>
      <c r="B170" s="218" t="s">
        <v>200</v>
      </c>
      <c r="C170" s="219" t="str">
        <f t="shared" si="1"/>
        <v>MS/1685/2025</v>
      </c>
      <c r="D170" s="218" t="b">
        <v>1</v>
      </c>
      <c r="E170" s="219" t="b">
        <v>0</v>
      </c>
      <c r="F170" s="219"/>
      <c r="G170" s="173"/>
      <c r="H170" s="157" t="s">
        <v>6464</v>
      </c>
      <c r="I170" s="157">
        <f t="shared" si="3"/>
        <v>1685</v>
      </c>
      <c r="J170" s="157">
        <v>2025.0</v>
      </c>
    </row>
    <row r="171">
      <c r="A171" s="218">
        <f t="shared" si="2"/>
        <v>168</v>
      </c>
      <c r="B171" s="218" t="s">
        <v>200</v>
      </c>
      <c r="C171" s="219" t="str">
        <f t="shared" si="1"/>
        <v>MS/1686/2025</v>
      </c>
      <c r="D171" s="218" t="b">
        <v>1</v>
      </c>
      <c r="E171" s="219" t="b">
        <v>0</v>
      </c>
      <c r="F171" s="219"/>
      <c r="G171" s="173"/>
      <c r="H171" s="157" t="s">
        <v>6464</v>
      </c>
      <c r="I171" s="157">
        <f t="shared" si="3"/>
        <v>1686</v>
      </c>
      <c r="J171" s="157">
        <v>2025.0</v>
      </c>
    </row>
    <row r="172">
      <c r="A172" s="218">
        <f t="shared" si="2"/>
        <v>169</v>
      </c>
      <c r="B172" s="218" t="s">
        <v>200</v>
      </c>
      <c r="C172" s="219" t="str">
        <f t="shared" si="1"/>
        <v>MS/1687/2025</v>
      </c>
      <c r="D172" s="218" t="b">
        <v>1</v>
      </c>
      <c r="E172" s="219" t="b">
        <v>0</v>
      </c>
      <c r="F172" s="219"/>
      <c r="G172" s="173"/>
      <c r="H172" s="157" t="s">
        <v>6464</v>
      </c>
      <c r="I172" s="157">
        <f t="shared" si="3"/>
        <v>1687</v>
      </c>
      <c r="J172" s="157">
        <v>2025.0</v>
      </c>
    </row>
    <row r="173">
      <c r="A173" s="218">
        <f t="shared" si="2"/>
        <v>170</v>
      </c>
      <c r="B173" s="218" t="s">
        <v>200</v>
      </c>
      <c r="C173" s="219" t="str">
        <f t="shared" si="1"/>
        <v>MS/1688/2025</v>
      </c>
      <c r="D173" s="218" t="b">
        <v>1</v>
      </c>
      <c r="E173" s="219" t="b">
        <v>0</v>
      </c>
      <c r="F173" s="219"/>
      <c r="G173" s="173"/>
      <c r="H173" s="157" t="s">
        <v>6464</v>
      </c>
      <c r="I173" s="157">
        <f t="shared" si="3"/>
        <v>1688</v>
      </c>
      <c r="J173" s="157">
        <v>2025.0</v>
      </c>
    </row>
    <row r="174">
      <c r="A174" s="218">
        <f t="shared" si="2"/>
        <v>171</v>
      </c>
      <c r="B174" s="218" t="s">
        <v>200</v>
      </c>
      <c r="C174" s="219" t="str">
        <f t="shared" si="1"/>
        <v>MS/1689/2025</v>
      </c>
      <c r="D174" s="218" t="b">
        <v>1</v>
      </c>
      <c r="E174" s="219" t="b">
        <v>0</v>
      </c>
      <c r="F174" s="219"/>
      <c r="G174" s="173"/>
      <c r="H174" s="157" t="s">
        <v>6464</v>
      </c>
      <c r="I174" s="157">
        <f t="shared" si="3"/>
        <v>1689</v>
      </c>
      <c r="J174" s="157">
        <v>2025.0</v>
      </c>
    </row>
    <row r="175">
      <c r="A175" s="218">
        <f t="shared" si="2"/>
        <v>172</v>
      </c>
      <c r="B175" s="218" t="s">
        <v>200</v>
      </c>
      <c r="C175" s="219" t="str">
        <f t="shared" si="1"/>
        <v>MS/1690/2025</v>
      </c>
      <c r="D175" s="218" t="b">
        <v>1</v>
      </c>
      <c r="E175" s="219" t="b">
        <v>0</v>
      </c>
      <c r="F175" s="219"/>
      <c r="G175" s="173"/>
      <c r="H175" s="157" t="s">
        <v>6464</v>
      </c>
      <c r="I175" s="157">
        <f t="shared" si="3"/>
        <v>1690</v>
      </c>
      <c r="J175" s="157">
        <v>2025.0</v>
      </c>
    </row>
    <row r="176">
      <c r="A176" s="218">
        <f t="shared" si="2"/>
        <v>173</v>
      </c>
      <c r="B176" s="218" t="s">
        <v>200</v>
      </c>
      <c r="C176" s="219" t="str">
        <f t="shared" si="1"/>
        <v>MS/1691/2025</v>
      </c>
      <c r="D176" s="218" t="b">
        <v>1</v>
      </c>
      <c r="E176" s="219" t="b">
        <v>0</v>
      </c>
      <c r="F176" s="219"/>
      <c r="G176" s="173"/>
      <c r="H176" s="157" t="s">
        <v>6464</v>
      </c>
      <c r="I176" s="157">
        <f t="shared" si="3"/>
        <v>1691</v>
      </c>
      <c r="J176" s="157">
        <v>2025.0</v>
      </c>
    </row>
    <row r="177">
      <c r="A177" s="218">
        <f t="shared" si="2"/>
        <v>174</v>
      </c>
      <c r="B177" s="218" t="s">
        <v>200</v>
      </c>
      <c r="C177" s="219" t="str">
        <f t="shared" si="1"/>
        <v>MS/1692/2025</v>
      </c>
      <c r="D177" s="218" t="b">
        <v>1</v>
      </c>
      <c r="E177" s="219" t="b">
        <v>0</v>
      </c>
      <c r="F177" s="219"/>
      <c r="G177" s="173"/>
      <c r="H177" s="157" t="s">
        <v>6464</v>
      </c>
      <c r="I177" s="157">
        <f t="shared" si="3"/>
        <v>1692</v>
      </c>
      <c r="J177" s="157">
        <v>2025.0</v>
      </c>
    </row>
    <row r="178">
      <c r="A178" s="218">
        <f t="shared" si="2"/>
        <v>175</v>
      </c>
      <c r="B178" s="218" t="s">
        <v>200</v>
      </c>
      <c r="C178" s="219" t="str">
        <f t="shared" si="1"/>
        <v>MS/1693/2025</v>
      </c>
      <c r="D178" s="218" t="b">
        <v>1</v>
      </c>
      <c r="E178" s="219" t="b">
        <v>0</v>
      </c>
      <c r="F178" s="219"/>
      <c r="G178" s="173"/>
      <c r="H178" s="157" t="s">
        <v>6464</v>
      </c>
      <c r="I178" s="157">
        <f t="shared" si="3"/>
        <v>1693</v>
      </c>
      <c r="J178" s="157">
        <v>2025.0</v>
      </c>
    </row>
    <row r="179">
      <c r="A179" s="218">
        <f t="shared" si="2"/>
        <v>176</v>
      </c>
      <c r="B179" s="218" t="s">
        <v>200</v>
      </c>
      <c r="C179" s="219" t="str">
        <f t="shared" si="1"/>
        <v>MS/1694/2025</v>
      </c>
      <c r="D179" s="218" t="b">
        <v>1</v>
      </c>
      <c r="E179" s="219" t="b">
        <v>0</v>
      </c>
      <c r="F179" s="219"/>
      <c r="G179" s="173"/>
      <c r="H179" s="157" t="s">
        <v>6464</v>
      </c>
      <c r="I179" s="157">
        <f t="shared" si="3"/>
        <v>1694</v>
      </c>
      <c r="J179" s="157">
        <v>2025.0</v>
      </c>
    </row>
    <row r="180">
      <c r="A180" s="218">
        <f t="shared" si="2"/>
        <v>177</v>
      </c>
      <c r="B180" s="218" t="s">
        <v>200</v>
      </c>
      <c r="C180" s="219" t="str">
        <f t="shared" si="1"/>
        <v>MS/1695/2025</v>
      </c>
      <c r="D180" s="218" t="b">
        <v>1</v>
      </c>
      <c r="E180" s="219" t="b">
        <v>0</v>
      </c>
      <c r="F180" s="219"/>
      <c r="G180" s="173"/>
      <c r="H180" s="157" t="s">
        <v>6464</v>
      </c>
      <c r="I180" s="157">
        <f t="shared" si="3"/>
        <v>1695</v>
      </c>
      <c r="J180" s="157">
        <v>2025.0</v>
      </c>
    </row>
    <row r="181">
      <c r="A181" s="218">
        <f t="shared" si="2"/>
        <v>178</v>
      </c>
      <c r="B181" s="218" t="s">
        <v>200</v>
      </c>
      <c r="C181" s="219" t="str">
        <f t="shared" si="1"/>
        <v>MS/1696/2025</v>
      </c>
      <c r="D181" s="218" t="b">
        <v>1</v>
      </c>
      <c r="E181" s="219" t="b">
        <v>0</v>
      </c>
      <c r="F181" s="219"/>
      <c r="G181" s="173"/>
      <c r="H181" s="157" t="s">
        <v>6464</v>
      </c>
      <c r="I181" s="157">
        <f t="shared" si="3"/>
        <v>1696</v>
      </c>
      <c r="J181" s="157">
        <v>2025.0</v>
      </c>
    </row>
    <row r="182">
      <c r="A182" s="218">
        <f t="shared" si="2"/>
        <v>179</v>
      </c>
      <c r="B182" s="218" t="s">
        <v>200</v>
      </c>
      <c r="C182" s="219" t="str">
        <f t="shared" si="1"/>
        <v>MS/1697/2025</v>
      </c>
      <c r="D182" s="218" t="b">
        <v>1</v>
      </c>
      <c r="E182" s="219" t="b">
        <v>0</v>
      </c>
      <c r="F182" s="219"/>
      <c r="G182" s="173"/>
      <c r="H182" s="157" t="s">
        <v>6464</v>
      </c>
      <c r="I182" s="157">
        <f t="shared" si="3"/>
        <v>1697</v>
      </c>
      <c r="J182" s="157">
        <v>2025.0</v>
      </c>
    </row>
    <row r="183">
      <c r="A183" s="218">
        <f t="shared" si="2"/>
        <v>180</v>
      </c>
      <c r="B183" s="218" t="s">
        <v>200</v>
      </c>
      <c r="C183" s="219" t="str">
        <f t="shared" si="1"/>
        <v>MS/1698/2025</v>
      </c>
      <c r="D183" s="218" t="b">
        <v>1</v>
      </c>
      <c r="E183" s="219" t="b">
        <v>0</v>
      </c>
      <c r="F183" s="219"/>
      <c r="G183" s="173"/>
      <c r="H183" s="157" t="s">
        <v>6464</v>
      </c>
      <c r="I183" s="157">
        <f t="shared" si="3"/>
        <v>1698</v>
      </c>
      <c r="J183" s="157">
        <v>2025.0</v>
      </c>
    </row>
    <row r="184">
      <c r="A184" s="218">
        <f t="shared" si="2"/>
        <v>181</v>
      </c>
      <c r="B184" s="218" t="s">
        <v>200</v>
      </c>
      <c r="C184" s="219" t="str">
        <f t="shared" si="1"/>
        <v>MS/1699/2025</v>
      </c>
      <c r="D184" s="218" t="b">
        <v>1</v>
      </c>
      <c r="E184" s="219" t="b">
        <v>0</v>
      </c>
      <c r="F184" s="219"/>
      <c r="G184" s="173"/>
      <c r="H184" s="157" t="s">
        <v>6464</v>
      </c>
      <c r="I184" s="157">
        <f t="shared" si="3"/>
        <v>1699</v>
      </c>
      <c r="J184" s="157">
        <v>2025.0</v>
      </c>
    </row>
    <row r="185">
      <c r="A185" s="218">
        <f t="shared" si="2"/>
        <v>182</v>
      </c>
      <c r="B185" s="218" t="s">
        <v>200</v>
      </c>
      <c r="C185" s="219" t="str">
        <f t="shared" si="1"/>
        <v>MS/1700/2025</v>
      </c>
      <c r="D185" s="218" t="b">
        <v>1</v>
      </c>
      <c r="E185" s="219" t="b">
        <v>0</v>
      </c>
      <c r="F185" s="219"/>
      <c r="G185" s="173"/>
      <c r="H185" s="157" t="s">
        <v>6464</v>
      </c>
      <c r="I185" s="157">
        <f t="shared" si="3"/>
        <v>1700</v>
      </c>
      <c r="J185" s="157">
        <v>2025.0</v>
      </c>
    </row>
    <row r="186">
      <c r="A186" s="218">
        <f t="shared" si="2"/>
        <v>183</v>
      </c>
      <c r="B186" s="218" t="s">
        <v>200</v>
      </c>
      <c r="C186" s="219" t="str">
        <f t="shared" si="1"/>
        <v>MS/1701/2025</v>
      </c>
      <c r="D186" s="218" t="b">
        <v>1</v>
      </c>
      <c r="E186" s="219" t="b">
        <v>0</v>
      </c>
      <c r="F186" s="219"/>
      <c r="G186" s="173"/>
      <c r="H186" s="157" t="s">
        <v>6464</v>
      </c>
      <c r="I186" s="157">
        <f t="shared" si="3"/>
        <v>1701</v>
      </c>
      <c r="J186" s="157">
        <v>2025.0</v>
      </c>
    </row>
    <row r="187">
      <c r="A187" s="218">
        <f t="shared" si="2"/>
        <v>184</v>
      </c>
      <c r="B187" s="218" t="s">
        <v>200</v>
      </c>
      <c r="C187" s="219" t="str">
        <f t="shared" si="1"/>
        <v>MS/1702/2025</v>
      </c>
      <c r="D187" s="218" t="b">
        <v>1</v>
      </c>
      <c r="E187" s="219" t="b">
        <v>0</v>
      </c>
      <c r="F187" s="219"/>
      <c r="G187" s="173"/>
      <c r="H187" s="157" t="s">
        <v>6464</v>
      </c>
      <c r="I187" s="157">
        <f t="shared" si="3"/>
        <v>1702</v>
      </c>
      <c r="J187" s="157">
        <v>2025.0</v>
      </c>
    </row>
    <row r="188">
      <c r="A188" s="218">
        <f t="shared" si="2"/>
        <v>185</v>
      </c>
      <c r="B188" s="218" t="s">
        <v>200</v>
      </c>
      <c r="C188" s="219" t="str">
        <f t="shared" si="1"/>
        <v>MS/1703/2025</v>
      </c>
      <c r="D188" s="218" t="b">
        <v>1</v>
      </c>
      <c r="E188" s="219" t="b">
        <v>0</v>
      </c>
      <c r="F188" s="219"/>
      <c r="G188" s="173"/>
      <c r="H188" s="157" t="s">
        <v>6464</v>
      </c>
      <c r="I188" s="157">
        <f t="shared" si="3"/>
        <v>1703</v>
      </c>
      <c r="J188" s="157">
        <v>2025.0</v>
      </c>
    </row>
    <row r="189">
      <c r="A189" s="218">
        <f t="shared" si="2"/>
        <v>186</v>
      </c>
      <c r="B189" s="218" t="s">
        <v>200</v>
      </c>
      <c r="C189" s="219" t="str">
        <f t="shared" si="1"/>
        <v>MS/1704/2025</v>
      </c>
      <c r="D189" s="218" t="b">
        <v>1</v>
      </c>
      <c r="E189" s="219" t="b">
        <v>0</v>
      </c>
      <c r="F189" s="219"/>
      <c r="G189" s="173"/>
      <c r="H189" s="157" t="s">
        <v>6464</v>
      </c>
      <c r="I189" s="157">
        <f t="shared" si="3"/>
        <v>1704</v>
      </c>
      <c r="J189" s="157">
        <v>2025.0</v>
      </c>
    </row>
    <row r="190">
      <c r="A190" s="218">
        <f t="shared" si="2"/>
        <v>187</v>
      </c>
      <c r="B190" s="218" t="s">
        <v>200</v>
      </c>
      <c r="C190" s="219" t="str">
        <f t="shared" si="1"/>
        <v>MS/1705/2025</v>
      </c>
      <c r="D190" s="218" t="b">
        <v>1</v>
      </c>
      <c r="E190" s="219" t="b">
        <v>0</v>
      </c>
      <c r="F190" s="219"/>
      <c r="G190" s="173"/>
      <c r="H190" s="157" t="s">
        <v>6464</v>
      </c>
      <c r="I190" s="157">
        <f t="shared" si="3"/>
        <v>1705</v>
      </c>
      <c r="J190" s="157">
        <v>2025.0</v>
      </c>
    </row>
    <row r="191">
      <c r="A191" s="218">
        <f t="shared" si="2"/>
        <v>188</v>
      </c>
      <c r="B191" s="218" t="s">
        <v>200</v>
      </c>
      <c r="C191" s="219" t="str">
        <f t="shared" si="1"/>
        <v>MS/1706/2025</v>
      </c>
      <c r="D191" s="218" t="b">
        <v>1</v>
      </c>
      <c r="E191" s="219" t="b">
        <v>0</v>
      </c>
      <c r="F191" s="219"/>
      <c r="G191" s="173"/>
      <c r="H191" s="157" t="s">
        <v>6464</v>
      </c>
      <c r="I191" s="157">
        <f t="shared" si="3"/>
        <v>1706</v>
      </c>
      <c r="J191" s="157">
        <v>2025.0</v>
      </c>
    </row>
    <row r="192">
      <c r="A192" s="218">
        <f t="shared" si="2"/>
        <v>189</v>
      </c>
      <c r="B192" s="218" t="s">
        <v>200</v>
      </c>
      <c r="C192" s="219" t="str">
        <f t="shared" si="1"/>
        <v>MS/1707/2025</v>
      </c>
      <c r="D192" s="218" t="b">
        <v>1</v>
      </c>
      <c r="E192" s="219" t="b">
        <v>0</v>
      </c>
      <c r="F192" s="219"/>
      <c r="G192" s="173"/>
      <c r="H192" s="157" t="s">
        <v>6464</v>
      </c>
      <c r="I192" s="157">
        <f t="shared" si="3"/>
        <v>1707</v>
      </c>
      <c r="J192" s="157">
        <v>2025.0</v>
      </c>
    </row>
    <row r="193">
      <c r="A193" s="218">
        <f t="shared" si="2"/>
        <v>190</v>
      </c>
      <c r="B193" s="218" t="s">
        <v>200</v>
      </c>
      <c r="C193" s="219" t="str">
        <f t="shared" si="1"/>
        <v>MS/1708/2025</v>
      </c>
      <c r="D193" s="218" t="b">
        <v>1</v>
      </c>
      <c r="E193" s="219" t="b">
        <v>0</v>
      </c>
      <c r="F193" s="219"/>
      <c r="G193" s="173"/>
      <c r="H193" s="157" t="s">
        <v>6464</v>
      </c>
      <c r="I193" s="157">
        <f t="shared" si="3"/>
        <v>1708</v>
      </c>
      <c r="J193" s="157">
        <v>2025.0</v>
      </c>
    </row>
    <row r="194">
      <c r="A194" s="218">
        <f t="shared" si="2"/>
        <v>191</v>
      </c>
      <c r="B194" s="218" t="s">
        <v>200</v>
      </c>
      <c r="C194" s="219" t="str">
        <f t="shared" si="1"/>
        <v>MS/1709/2025</v>
      </c>
      <c r="D194" s="218" t="b">
        <v>1</v>
      </c>
      <c r="E194" s="219" t="b">
        <v>0</v>
      </c>
      <c r="F194" s="219"/>
      <c r="G194" s="173"/>
      <c r="H194" s="157" t="s">
        <v>6464</v>
      </c>
      <c r="I194" s="157">
        <f t="shared" si="3"/>
        <v>1709</v>
      </c>
      <c r="J194" s="157">
        <v>2025.0</v>
      </c>
    </row>
    <row r="195">
      <c r="A195" s="218">
        <f t="shared" si="2"/>
        <v>192</v>
      </c>
      <c r="B195" s="218" t="s">
        <v>200</v>
      </c>
      <c r="C195" s="219" t="str">
        <f t="shared" si="1"/>
        <v>MS/1710/2025</v>
      </c>
      <c r="D195" s="218" t="b">
        <v>1</v>
      </c>
      <c r="E195" s="219" t="b">
        <v>0</v>
      </c>
      <c r="F195" s="219"/>
      <c r="G195" s="173"/>
      <c r="H195" s="157" t="s">
        <v>6464</v>
      </c>
      <c r="I195" s="157">
        <f t="shared" si="3"/>
        <v>1710</v>
      </c>
      <c r="J195" s="157">
        <v>2025.0</v>
      </c>
    </row>
    <row r="196">
      <c r="A196" s="218">
        <f t="shared" si="2"/>
        <v>193</v>
      </c>
      <c r="B196" s="218" t="s">
        <v>200</v>
      </c>
      <c r="C196" s="219" t="str">
        <f t="shared" si="1"/>
        <v>MS/1711/2025</v>
      </c>
      <c r="D196" s="218" t="b">
        <v>1</v>
      </c>
      <c r="E196" s="219" t="b">
        <v>0</v>
      </c>
      <c r="F196" s="219"/>
      <c r="G196" s="173"/>
      <c r="H196" s="157" t="s">
        <v>6464</v>
      </c>
      <c r="I196" s="157">
        <f t="shared" si="3"/>
        <v>1711</v>
      </c>
      <c r="J196" s="157">
        <v>2025.0</v>
      </c>
    </row>
    <row r="197">
      <c r="A197" s="218">
        <f t="shared" si="2"/>
        <v>194</v>
      </c>
      <c r="B197" s="218" t="s">
        <v>200</v>
      </c>
      <c r="C197" s="219" t="str">
        <f t="shared" si="1"/>
        <v>MS/1712/2025</v>
      </c>
      <c r="D197" s="218" t="b">
        <v>1</v>
      </c>
      <c r="E197" s="219" t="b">
        <v>0</v>
      </c>
      <c r="F197" s="219"/>
      <c r="G197" s="173"/>
      <c r="H197" s="157" t="s">
        <v>6464</v>
      </c>
      <c r="I197" s="157">
        <f t="shared" si="3"/>
        <v>1712</v>
      </c>
      <c r="J197" s="157">
        <v>2025.0</v>
      </c>
    </row>
    <row r="198">
      <c r="A198" s="218">
        <f t="shared" si="2"/>
        <v>195</v>
      </c>
      <c r="B198" s="218" t="s">
        <v>200</v>
      </c>
      <c r="C198" s="219" t="str">
        <f t="shared" si="1"/>
        <v>MS/1713/2025</v>
      </c>
      <c r="D198" s="218" t="b">
        <v>1</v>
      </c>
      <c r="E198" s="219" t="b">
        <v>0</v>
      </c>
      <c r="F198" s="219"/>
      <c r="G198" s="173"/>
      <c r="H198" s="157" t="s">
        <v>6464</v>
      </c>
      <c r="I198" s="157">
        <f t="shared" si="3"/>
        <v>1713</v>
      </c>
      <c r="J198" s="157">
        <v>2025.0</v>
      </c>
    </row>
    <row r="199">
      <c r="A199" s="218">
        <f t="shared" si="2"/>
        <v>196</v>
      </c>
      <c r="B199" s="218" t="s">
        <v>200</v>
      </c>
      <c r="C199" s="219" t="str">
        <f t="shared" si="1"/>
        <v>MS/1714/2025</v>
      </c>
      <c r="D199" s="218" t="b">
        <v>1</v>
      </c>
      <c r="E199" s="219" t="b">
        <v>0</v>
      </c>
      <c r="F199" s="219"/>
      <c r="G199" s="173"/>
      <c r="H199" s="157" t="s">
        <v>6464</v>
      </c>
      <c r="I199" s="157">
        <f t="shared" si="3"/>
        <v>1714</v>
      </c>
      <c r="J199" s="157">
        <v>2025.0</v>
      </c>
    </row>
    <row r="200">
      <c r="A200" s="218">
        <f t="shared" si="2"/>
        <v>197</v>
      </c>
      <c r="B200" s="218" t="s">
        <v>200</v>
      </c>
      <c r="C200" s="219" t="str">
        <f t="shared" si="1"/>
        <v>MS/1715/2025</v>
      </c>
      <c r="D200" s="218" t="b">
        <v>1</v>
      </c>
      <c r="E200" s="219" t="b">
        <v>0</v>
      </c>
      <c r="F200" s="219"/>
      <c r="G200" s="173"/>
      <c r="H200" s="157" t="s">
        <v>6464</v>
      </c>
      <c r="I200" s="157">
        <f t="shared" si="3"/>
        <v>1715</v>
      </c>
      <c r="J200" s="157">
        <v>2025.0</v>
      </c>
    </row>
    <row r="201">
      <c r="A201" s="218">
        <f t="shared" si="2"/>
        <v>198</v>
      </c>
      <c r="B201" s="218" t="s">
        <v>200</v>
      </c>
      <c r="C201" s="219" t="str">
        <f t="shared" si="1"/>
        <v>MS/1716/2025</v>
      </c>
      <c r="D201" s="218" t="b">
        <v>1</v>
      </c>
      <c r="E201" s="219" t="b">
        <v>0</v>
      </c>
      <c r="F201" s="219"/>
      <c r="G201" s="173"/>
      <c r="H201" s="157" t="s">
        <v>6464</v>
      </c>
      <c r="I201" s="157">
        <f t="shared" si="3"/>
        <v>1716</v>
      </c>
      <c r="J201" s="157">
        <v>2025.0</v>
      </c>
    </row>
    <row r="202">
      <c r="A202" s="218">
        <f t="shared" si="2"/>
        <v>199</v>
      </c>
      <c r="B202" s="218" t="s">
        <v>200</v>
      </c>
      <c r="C202" s="219" t="str">
        <f t="shared" si="1"/>
        <v>MS/1717/2025</v>
      </c>
      <c r="D202" s="218" t="b">
        <v>1</v>
      </c>
      <c r="E202" s="219" t="b">
        <v>0</v>
      </c>
      <c r="F202" s="219"/>
      <c r="G202" s="173"/>
      <c r="H202" s="157" t="s">
        <v>6464</v>
      </c>
      <c r="I202" s="157">
        <f t="shared" si="3"/>
        <v>1717</v>
      </c>
      <c r="J202" s="157">
        <v>2025.0</v>
      </c>
    </row>
    <row r="203">
      <c r="A203" s="218">
        <f t="shared" si="2"/>
        <v>200</v>
      </c>
      <c r="B203" s="218" t="s">
        <v>200</v>
      </c>
      <c r="C203" s="219" t="str">
        <f t="shared" si="1"/>
        <v>MS/1718/2025</v>
      </c>
      <c r="D203" s="218" t="b">
        <v>1</v>
      </c>
      <c r="E203" s="219" t="b">
        <v>0</v>
      </c>
      <c r="F203" s="219"/>
      <c r="G203" s="173"/>
      <c r="H203" s="157" t="s">
        <v>6464</v>
      </c>
      <c r="I203" s="157">
        <f t="shared" si="3"/>
        <v>1718</v>
      </c>
      <c r="J203" s="157">
        <v>2025.0</v>
      </c>
    </row>
    <row r="204">
      <c r="A204" s="218">
        <f t="shared" si="2"/>
        <v>201</v>
      </c>
      <c r="B204" s="218" t="s">
        <v>200</v>
      </c>
      <c r="C204" s="219" t="str">
        <f t="shared" si="1"/>
        <v>MS/1719/2025</v>
      </c>
      <c r="D204" s="218" t="b">
        <v>1</v>
      </c>
      <c r="E204" s="219" t="b">
        <v>0</v>
      </c>
      <c r="F204" s="219"/>
      <c r="G204" s="173"/>
      <c r="H204" s="157" t="s">
        <v>6464</v>
      </c>
      <c r="I204" s="157">
        <f t="shared" si="3"/>
        <v>1719</v>
      </c>
      <c r="J204" s="157">
        <v>2025.0</v>
      </c>
    </row>
    <row r="205">
      <c r="A205" s="218">
        <f t="shared" si="2"/>
        <v>202</v>
      </c>
      <c r="B205" s="218" t="s">
        <v>200</v>
      </c>
      <c r="C205" s="219" t="str">
        <f t="shared" si="1"/>
        <v>MS/1720/2025</v>
      </c>
      <c r="D205" s="218" t="b">
        <v>1</v>
      </c>
      <c r="E205" s="219" t="b">
        <v>0</v>
      </c>
      <c r="F205" s="219"/>
      <c r="G205" s="173"/>
      <c r="H205" s="157" t="s">
        <v>6464</v>
      </c>
      <c r="I205" s="157">
        <f t="shared" si="3"/>
        <v>1720</v>
      </c>
      <c r="J205" s="157">
        <v>2025.0</v>
      </c>
    </row>
    <row r="206">
      <c r="A206" s="218">
        <f t="shared" si="2"/>
        <v>203</v>
      </c>
      <c r="B206" s="218" t="s">
        <v>200</v>
      </c>
      <c r="C206" s="219" t="str">
        <f t="shared" si="1"/>
        <v>MS/1721/2025</v>
      </c>
      <c r="D206" s="218" t="b">
        <v>1</v>
      </c>
      <c r="E206" s="219" t="b">
        <v>0</v>
      </c>
      <c r="F206" s="219"/>
      <c r="G206" s="173"/>
      <c r="H206" s="157" t="s">
        <v>6464</v>
      </c>
      <c r="I206" s="157">
        <f t="shared" si="3"/>
        <v>1721</v>
      </c>
      <c r="J206" s="157">
        <v>2025.0</v>
      </c>
    </row>
    <row r="207">
      <c r="A207" s="218">
        <f t="shared" si="2"/>
        <v>204</v>
      </c>
      <c r="B207" s="218" t="s">
        <v>200</v>
      </c>
      <c r="C207" s="219" t="str">
        <f t="shared" si="1"/>
        <v>MS/1722/2025</v>
      </c>
      <c r="D207" s="218" t="b">
        <v>1</v>
      </c>
      <c r="E207" s="219" t="b">
        <v>0</v>
      </c>
      <c r="F207" s="219"/>
      <c r="G207" s="173"/>
      <c r="H207" s="157" t="s">
        <v>6464</v>
      </c>
      <c r="I207" s="157">
        <f t="shared" si="3"/>
        <v>1722</v>
      </c>
      <c r="J207" s="157">
        <v>2025.0</v>
      </c>
    </row>
    <row r="208">
      <c r="A208" s="218">
        <f t="shared" si="2"/>
        <v>205</v>
      </c>
      <c r="B208" s="218" t="s">
        <v>200</v>
      </c>
      <c r="C208" s="219" t="str">
        <f t="shared" si="1"/>
        <v>MS/1723/2025</v>
      </c>
      <c r="D208" s="218" t="b">
        <v>1</v>
      </c>
      <c r="E208" s="219" t="b">
        <v>0</v>
      </c>
      <c r="F208" s="219"/>
      <c r="G208" s="173"/>
      <c r="H208" s="157" t="s">
        <v>6464</v>
      </c>
      <c r="I208" s="157">
        <f t="shared" si="3"/>
        <v>1723</v>
      </c>
      <c r="J208" s="157">
        <v>2025.0</v>
      </c>
    </row>
    <row r="209">
      <c r="A209" s="218">
        <f t="shared" si="2"/>
        <v>206</v>
      </c>
      <c r="B209" s="218" t="s">
        <v>200</v>
      </c>
      <c r="C209" s="219" t="str">
        <f t="shared" si="1"/>
        <v>MS/1724/2025</v>
      </c>
      <c r="D209" s="218" t="b">
        <v>1</v>
      </c>
      <c r="E209" s="219" t="b">
        <v>0</v>
      </c>
      <c r="F209" s="219"/>
      <c r="G209" s="173"/>
      <c r="H209" s="157" t="s">
        <v>6464</v>
      </c>
      <c r="I209" s="157">
        <f t="shared" si="3"/>
        <v>1724</v>
      </c>
      <c r="J209" s="157">
        <v>2025.0</v>
      </c>
    </row>
    <row r="210">
      <c r="A210" s="218">
        <f t="shared" si="2"/>
        <v>207</v>
      </c>
      <c r="B210" s="218" t="s">
        <v>200</v>
      </c>
      <c r="C210" s="219" t="str">
        <f t="shared" si="1"/>
        <v>MS/1725/2025</v>
      </c>
      <c r="D210" s="218" t="b">
        <v>1</v>
      </c>
      <c r="E210" s="219" t="b">
        <v>0</v>
      </c>
      <c r="F210" s="219"/>
      <c r="G210" s="173"/>
      <c r="H210" s="157" t="s">
        <v>6464</v>
      </c>
      <c r="I210" s="157">
        <f t="shared" si="3"/>
        <v>1725</v>
      </c>
      <c r="J210" s="157">
        <v>2025.0</v>
      </c>
    </row>
    <row r="211">
      <c r="A211" s="218">
        <f t="shared" si="2"/>
        <v>208</v>
      </c>
      <c r="B211" s="218" t="s">
        <v>200</v>
      </c>
      <c r="C211" s="219" t="str">
        <f t="shared" si="1"/>
        <v>MS/1726/2025</v>
      </c>
      <c r="D211" s="218" t="b">
        <v>1</v>
      </c>
      <c r="E211" s="219" t="b">
        <v>0</v>
      </c>
      <c r="F211" s="219"/>
      <c r="G211" s="173"/>
      <c r="H211" s="157" t="s">
        <v>6464</v>
      </c>
      <c r="I211" s="157">
        <f t="shared" si="3"/>
        <v>1726</v>
      </c>
      <c r="J211" s="157">
        <v>2025.0</v>
      </c>
    </row>
    <row r="212">
      <c r="A212" s="218">
        <f t="shared" si="2"/>
        <v>209</v>
      </c>
      <c r="B212" s="218" t="s">
        <v>200</v>
      </c>
      <c r="C212" s="219" t="str">
        <f t="shared" si="1"/>
        <v>MS/1727/2025</v>
      </c>
      <c r="D212" s="218" t="b">
        <v>1</v>
      </c>
      <c r="E212" s="219" t="b">
        <v>0</v>
      </c>
      <c r="F212" s="219"/>
      <c r="G212" s="173"/>
      <c r="H212" s="157" t="s">
        <v>6464</v>
      </c>
      <c r="I212" s="157">
        <f t="shared" si="3"/>
        <v>1727</v>
      </c>
      <c r="J212" s="157">
        <v>2025.0</v>
      </c>
    </row>
    <row r="213">
      <c r="A213" s="218">
        <f t="shared" si="2"/>
        <v>210</v>
      </c>
      <c r="B213" s="218" t="s">
        <v>200</v>
      </c>
      <c r="C213" s="219" t="str">
        <f t="shared" si="1"/>
        <v>MS/1728/2025</v>
      </c>
      <c r="D213" s="218" t="b">
        <v>1</v>
      </c>
      <c r="E213" s="219" t="b">
        <v>0</v>
      </c>
      <c r="F213" s="219"/>
      <c r="G213" s="173"/>
      <c r="H213" s="157" t="s">
        <v>6464</v>
      </c>
      <c r="I213" s="157">
        <f t="shared" si="3"/>
        <v>1728</v>
      </c>
      <c r="J213" s="157">
        <v>2025.0</v>
      </c>
    </row>
    <row r="214">
      <c r="A214" s="218">
        <f t="shared" si="2"/>
        <v>211</v>
      </c>
      <c r="B214" s="218" t="s">
        <v>200</v>
      </c>
      <c r="C214" s="219" t="str">
        <f t="shared" si="1"/>
        <v>MS/1729/2025</v>
      </c>
      <c r="D214" s="218" t="b">
        <v>1</v>
      </c>
      <c r="E214" s="219" t="b">
        <v>0</v>
      </c>
      <c r="F214" s="219"/>
      <c r="G214" s="173"/>
      <c r="H214" s="157" t="s">
        <v>6464</v>
      </c>
      <c r="I214" s="157">
        <f t="shared" si="3"/>
        <v>1729</v>
      </c>
      <c r="J214" s="157">
        <v>2025.0</v>
      </c>
    </row>
    <row r="215">
      <c r="A215" s="218">
        <f t="shared" si="2"/>
        <v>212</v>
      </c>
      <c r="B215" s="218" t="s">
        <v>200</v>
      </c>
      <c r="C215" s="219" t="str">
        <f t="shared" si="1"/>
        <v>MS/1730/2025</v>
      </c>
      <c r="D215" s="218" t="b">
        <v>1</v>
      </c>
      <c r="E215" s="219" t="b">
        <v>0</v>
      </c>
      <c r="F215" s="219"/>
      <c r="G215" s="173"/>
      <c r="H215" s="157" t="s">
        <v>6464</v>
      </c>
      <c r="I215" s="157">
        <f t="shared" si="3"/>
        <v>1730</v>
      </c>
      <c r="J215" s="157">
        <v>2025.0</v>
      </c>
    </row>
    <row r="216">
      <c r="A216" s="218">
        <f t="shared" si="2"/>
        <v>213</v>
      </c>
      <c r="B216" s="218" t="s">
        <v>200</v>
      </c>
      <c r="C216" s="219" t="str">
        <f t="shared" si="1"/>
        <v>MS/1731/2025</v>
      </c>
      <c r="D216" s="218" t="b">
        <v>1</v>
      </c>
      <c r="E216" s="219" t="b">
        <v>0</v>
      </c>
      <c r="F216" s="219"/>
      <c r="G216" s="173"/>
      <c r="H216" s="157" t="s">
        <v>6464</v>
      </c>
      <c r="I216" s="157">
        <f t="shared" si="3"/>
        <v>1731</v>
      </c>
      <c r="J216" s="157">
        <v>2025.0</v>
      </c>
    </row>
    <row r="217">
      <c r="A217" s="218">
        <f t="shared" si="2"/>
        <v>214</v>
      </c>
      <c r="B217" s="218" t="s">
        <v>200</v>
      </c>
      <c r="C217" s="219" t="str">
        <f t="shared" si="1"/>
        <v>MS/1732/2025</v>
      </c>
      <c r="D217" s="218" t="b">
        <v>1</v>
      </c>
      <c r="E217" s="219" t="b">
        <v>0</v>
      </c>
      <c r="F217" s="219"/>
      <c r="G217" s="173"/>
      <c r="H217" s="157" t="s">
        <v>6464</v>
      </c>
      <c r="I217" s="157">
        <f t="shared" si="3"/>
        <v>1732</v>
      </c>
      <c r="J217" s="157">
        <v>2025.0</v>
      </c>
    </row>
    <row r="218">
      <c r="A218" s="218">
        <f t="shared" si="2"/>
        <v>215</v>
      </c>
      <c r="B218" s="218" t="s">
        <v>200</v>
      </c>
      <c r="C218" s="219" t="str">
        <f t="shared" si="1"/>
        <v>MS/1733/2025</v>
      </c>
      <c r="D218" s="218" t="b">
        <v>1</v>
      </c>
      <c r="E218" s="219" t="b">
        <v>0</v>
      </c>
      <c r="F218" s="219"/>
      <c r="G218" s="173"/>
      <c r="H218" s="157" t="s">
        <v>6464</v>
      </c>
      <c r="I218" s="157">
        <f t="shared" si="3"/>
        <v>1733</v>
      </c>
      <c r="J218" s="157">
        <v>2025.0</v>
      </c>
    </row>
    <row r="219">
      <c r="A219" s="218">
        <f t="shared" si="2"/>
        <v>216</v>
      </c>
      <c r="B219" s="218" t="s">
        <v>200</v>
      </c>
      <c r="C219" s="219" t="str">
        <f t="shared" si="1"/>
        <v>MS/1734/2025</v>
      </c>
      <c r="D219" s="218" t="b">
        <v>1</v>
      </c>
      <c r="E219" s="219" t="b">
        <v>0</v>
      </c>
      <c r="F219" s="219"/>
      <c r="G219" s="173"/>
      <c r="H219" s="157" t="s">
        <v>6464</v>
      </c>
      <c r="I219" s="157">
        <f t="shared" si="3"/>
        <v>1734</v>
      </c>
      <c r="J219" s="157">
        <v>2025.0</v>
      </c>
    </row>
    <row r="220">
      <c r="A220" s="218">
        <f t="shared" si="2"/>
        <v>217</v>
      </c>
      <c r="B220" s="218" t="s">
        <v>200</v>
      </c>
      <c r="C220" s="219" t="str">
        <f t="shared" si="1"/>
        <v>MS/1735/2025</v>
      </c>
      <c r="D220" s="218" t="b">
        <v>1</v>
      </c>
      <c r="E220" s="219" t="b">
        <v>0</v>
      </c>
      <c r="F220" s="219"/>
      <c r="G220" s="173"/>
      <c r="H220" s="157" t="s">
        <v>6464</v>
      </c>
      <c r="I220" s="157">
        <f t="shared" si="3"/>
        <v>1735</v>
      </c>
      <c r="J220" s="157">
        <v>2025.0</v>
      </c>
    </row>
    <row r="221">
      <c r="A221" s="218">
        <f t="shared" si="2"/>
        <v>218</v>
      </c>
      <c r="B221" s="218" t="s">
        <v>200</v>
      </c>
      <c r="C221" s="219" t="str">
        <f t="shared" si="1"/>
        <v>MS/1736/2025</v>
      </c>
      <c r="D221" s="218" t="b">
        <v>1</v>
      </c>
      <c r="E221" s="219" t="b">
        <v>0</v>
      </c>
      <c r="F221" s="219"/>
      <c r="G221" s="173"/>
      <c r="H221" s="157" t="s">
        <v>6464</v>
      </c>
      <c r="I221" s="157">
        <f t="shared" si="3"/>
        <v>1736</v>
      </c>
      <c r="J221" s="157">
        <v>2025.0</v>
      </c>
    </row>
    <row r="222">
      <c r="A222" s="218">
        <f t="shared" si="2"/>
        <v>219</v>
      </c>
      <c r="B222" s="218" t="s">
        <v>200</v>
      </c>
      <c r="C222" s="219" t="str">
        <f t="shared" si="1"/>
        <v>MS/1737/2025</v>
      </c>
      <c r="D222" s="218" t="b">
        <v>1</v>
      </c>
      <c r="E222" s="219" t="b">
        <v>0</v>
      </c>
      <c r="F222" s="219"/>
      <c r="G222" s="173"/>
      <c r="H222" s="157" t="s">
        <v>6464</v>
      </c>
      <c r="I222" s="157">
        <f t="shared" si="3"/>
        <v>1737</v>
      </c>
      <c r="J222" s="157">
        <v>2025.0</v>
      </c>
    </row>
    <row r="223">
      <c r="A223" s="218">
        <f t="shared" si="2"/>
        <v>220</v>
      </c>
      <c r="B223" s="218" t="s">
        <v>200</v>
      </c>
      <c r="C223" s="219" t="str">
        <f t="shared" si="1"/>
        <v>MS/1738/2025</v>
      </c>
      <c r="D223" s="218" t="b">
        <v>1</v>
      </c>
      <c r="E223" s="219" t="b">
        <v>0</v>
      </c>
      <c r="F223" s="219"/>
      <c r="G223" s="173"/>
      <c r="H223" s="157" t="s">
        <v>6464</v>
      </c>
      <c r="I223" s="157">
        <f t="shared" si="3"/>
        <v>1738</v>
      </c>
      <c r="J223" s="157">
        <v>2025.0</v>
      </c>
    </row>
    <row r="224">
      <c r="A224" s="218">
        <f t="shared" si="2"/>
        <v>221</v>
      </c>
      <c r="B224" s="218" t="s">
        <v>200</v>
      </c>
      <c r="C224" s="219" t="str">
        <f t="shared" si="1"/>
        <v>MS/1739/2025</v>
      </c>
      <c r="D224" s="218" t="b">
        <v>1</v>
      </c>
      <c r="E224" s="219" t="b">
        <v>0</v>
      </c>
      <c r="F224" s="219"/>
      <c r="G224" s="173"/>
      <c r="H224" s="157" t="s">
        <v>6464</v>
      </c>
      <c r="I224" s="157">
        <f t="shared" si="3"/>
        <v>1739</v>
      </c>
      <c r="J224" s="157">
        <v>2025.0</v>
      </c>
    </row>
    <row r="225">
      <c r="A225" s="218">
        <f t="shared" si="2"/>
        <v>222</v>
      </c>
      <c r="B225" s="218" t="s">
        <v>200</v>
      </c>
      <c r="C225" s="219" t="str">
        <f t="shared" si="1"/>
        <v>MS/1740/2025</v>
      </c>
      <c r="D225" s="218" t="b">
        <v>1</v>
      </c>
      <c r="E225" s="219" t="b">
        <v>0</v>
      </c>
      <c r="F225" s="219"/>
      <c r="G225" s="173"/>
      <c r="H225" s="157" t="s">
        <v>6464</v>
      </c>
      <c r="I225" s="157">
        <f t="shared" si="3"/>
        <v>1740</v>
      </c>
      <c r="J225" s="157">
        <v>2025.0</v>
      </c>
    </row>
    <row r="226">
      <c r="A226" s="218">
        <f t="shared" si="2"/>
        <v>223</v>
      </c>
      <c r="B226" s="218" t="s">
        <v>200</v>
      </c>
      <c r="C226" s="219" t="str">
        <f t="shared" si="1"/>
        <v>MS/1741/2025</v>
      </c>
      <c r="D226" s="218" t="b">
        <v>1</v>
      </c>
      <c r="E226" s="219" t="b">
        <v>0</v>
      </c>
      <c r="F226" s="219"/>
      <c r="G226" s="173"/>
      <c r="H226" s="157" t="s">
        <v>6464</v>
      </c>
      <c r="I226" s="157">
        <f t="shared" si="3"/>
        <v>1741</v>
      </c>
      <c r="J226" s="157">
        <v>2025.0</v>
      </c>
    </row>
    <row r="227">
      <c r="A227" s="218">
        <f t="shared" si="2"/>
        <v>224</v>
      </c>
      <c r="B227" s="218" t="s">
        <v>200</v>
      </c>
      <c r="C227" s="219" t="str">
        <f t="shared" si="1"/>
        <v>MS/1742/2025</v>
      </c>
      <c r="D227" s="218" t="b">
        <v>1</v>
      </c>
      <c r="E227" s="219" t="b">
        <v>0</v>
      </c>
      <c r="F227" s="219"/>
      <c r="G227" s="173"/>
      <c r="H227" s="157" t="s">
        <v>6464</v>
      </c>
      <c r="I227" s="157">
        <f t="shared" si="3"/>
        <v>1742</v>
      </c>
      <c r="J227" s="157">
        <v>2025.0</v>
      </c>
    </row>
    <row r="228">
      <c r="A228" s="218">
        <f t="shared" si="2"/>
        <v>225</v>
      </c>
      <c r="B228" s="218" t="s">
        <v>200</v>
      </c>
      <c r="C228" s="219" t="str">
        <f t="shared" si="1"/>
        <v>MS/1743/2025</v>
      </c>
      <c r="D228" s="218" t="b">
        <v>1</v>
      </c>
      <c r="E228" s="219" t="b">
        <v>0</v>
      </c>
      <c r="F228" s="219"/>
      <c r="G228" s="173"/>
      <c r="H228" s="157" t="s">
        <v>6464</v>
      </c>
      <c r="I228" s="157">
        <f t="shared" si="3"/>
        <v>1743</v>
      </c>
      <c r="J228" s="157">
        <v>2025.0</v>
      </c>
    </row>
    <row r="229">
      <c r="A229" s="218">
        <f t="shared" si="2"/>
        <v>226</v>
      </c>
      <c r="B229" s="222" t="s">
        <v>200</v>
      </c>
      <c r="C229" s="224" t="str">
        <f t="shared" si="1"/>
        <v>MS/1744/2025</v>
      </c>
      <c r="D229" s="222" t="b">
        <v>1</v>
      </c>
      <c r="E229" s="222" t="b">
        <v>0</v>
      </c>
      <c r="F229" s="224"/>
      <c r="G229" s="225"/>
      <c r="H229" s="226" t="s">
        <v>6464</v>
      </c>
      <c r="I229" s="226">
        <f t="shared" si="3"/>
        <v>1744</v>
      </c>
      <c r="J229" s="226">
        <v>2025.0</v>
      </c>
      <c r="K229" s="119"/>
    </row>
    <row r="230">
      <c r="A230" s="218">
        <f t="shared" si="2"/>
        <v>227</v>
      </c>
      <c r="B230" s="218" t="s">
        <v>200</v>
      </c>
      <c r="C230" s="219" t="str">
        <f t="shared" si="1"/>
        <v>MS/1745/2025</v>
      </c>
      <c r="D230" s="218" t="b">
        <v>1</v>
      </c>
      <c r="E230" s="218" t="b">
        <v>0</v>
      </c>
      <c r="F230" s="219"/>
      <c r="G230" s="173"/>
      <c r="H230" s="157" t="s">
        <v>6464</v>
      </c>
      <c r="I230" s="157">
        <f t="shared" si="3"/>
        <v>1745</v>
      </c>
      <c r="J230" s="157">
        <v>2025.0</v>
      </c>
    </row>
    <row r="231">
      <c r="A231" s="218">
        <f t="shared" si="2"/>
        <v>228</v>
      </c>
      <c r="B231" s="218" t="s">
        <v>200</v>
      </c>
      <c r="C231" s="219" t="str">
        <f t="shared" si="1"/>
        <v>MS/1746/2025</v>
      </c>
      <c r="D231" s="218" t="b">
        <v>1</v>
      </c>
      <c r="E231" s="218" t="b">
        <v>0</v>
      </c>
      <c r="F231" s="219"/>
      <c r="G231" s="173"/>
      <c r="H231" s="157" t="s">
        <v>6464</v>
      </c>
      <c r="I231" s="157">
        <f t="shared" si="3"/>
        <v>1746</v>
      </c>
      <c r="J231" s="157">
        <v>2025.0</v>
      </c>
    </row>
    <row r="232">
      <c r="A232" s="218">
        <f t="shared" si="2"/>
        <v>229</v>
      </c>
      <c r="B232" s="218" t="s">
        <v>200</v>
      </c>
      <c r="C232" s="219" t="str">
        <f t="shared" si="1"/>
        <v>MS/1747/2025</v>
      </c>
      <c r="D232" s="218" t="b">
        <v>1</v>
      </c>
      <c r="E232" s="218" t="b">
        <v>0</v>
      </c>
      <c r="F232" s="219"/>
      <c r="G232" s="173"/>
      <c r="H232" s="157" t="s">
        <v>6464</v>
      </c>
      <c r="I232" s="157">
        <f t="shared" si="3"/>
        <v>1747</v>
      </c>
      <c r="J232" s="157">
        <v>2025.0</v>
      </c>
    </row>
    <row r="233">
      <c r="A233" s="218">
        <f t="shared" si="2"/>
        <v>230</v>
      </c>
      <c r="B233" s="218" t="s">
        <v>200</v>
      </c>
      <c r="C233" s="219" t="str">
        <f t="shared" si="1"/>
        <v>MS/1748/2025</v>
      </c>
      <c r="D233" s="218" t="b">
        <v>1</v>
      </c>
      <c r="E233" s="218" t="b">
        <v>0</v>
      </c>
      <c r="F233" s="219"/>
      <c r="G233" s="173"/>
      <c r="H233" s="157" t="s">
        <v>6464</v>
      </c>
      <c r="I233" s="157">
        <f t="shared" si="3"/>
        <v>1748</v>
      </c>
      <c r="J233" s="157">
        <v>2025.0</v>
      </c>
    </row>
    <row r="234">
      <c r="A234" s="218">
        <f t="shared" si="2"/>
        <v>231</v>
      </c>
      <c r="B234" s="218" t="s">
        <v>200</v>
      </c>
      <c r="C234" s="219" t="str">
        <f t="shared" si="1"/>
        <v>MS/1749/2025</v>
      </c>
      <c r="D234" s="218" t="b">
        <v>1</v>
      </c>
      <c r="E234" s="218" t="b">
        <v>0</v>
      </c>
      <c r="F234" s="219"/>
      <c r="G234" s="173"/>
      <c r="H234" s="157" t="s">
        <v>6464</v>
      </c>
      <c r="I234" s="157">
        <f t="shared" si="3"/>
        <v>1749</v>
      </c>
      <c r="J234" s="157">
        <v>2025.0</v>
      </c>
    </row>
    <row r="235">
      <c r="A235" s="218">
        <f t="shared" si="2"/>
        <v>232</v>
      </c>
      <c r="B235" s="218" t="s">
        <v>200</v>
      </c>
      <c r="C235" s="219" t="str">
        <f t="shared" si="1"/>
        <v>MS/1750/2025</v>
      </c>
      <c r="D235" s="218" t="b">
        <v>1</v>
      </c>
      <c r="E235" s="218" t="b">
        <v>0</v>
      </c>
      <c r="F235" s="234">
        <v>45867.0</v>
      </c>
      <c r="G235" s="173"/>
      <c r="H235" s="157" t="s">
        <v>6464</v>
      </c>
      <c r="I235" s="157">
        <f t="shared" si="3"/>
        <v>1750</v>
      </c>
      <c r="J235" s="157">
        <v>2025.0</v>
      </c>
    </row>
    <row r="236">
      <c r="A236" s="218">
        <f t="shared" si="2"/>
        <v>233</v>
      </c>
      <c r="B236" s="218" t="s">
        <v>200</v>
      </c>
      <c r="C236" s="219" t="str">
        <f t="shared" si="1"/>
        <v>MS/1751/2025</v>
      </c>
      <c r="D236" s="218" t="b">
        <v>1</v>
      </c>
      <c r="E236" s="218" t="b">
        <v>0</v>
      </c>
      <c r="F236" s="234">
        <v>45867.0</v>
      </c>
      <c r="G236" s="173"/>
      <c r="H236" s="157" t="s">
        <v>6464</v>
      </c>
      <c r="I236" s="157">
        <f t="shared" si="3"/>
        <v>1751</v>
      </c>
      <c r="J236" s="157">
        <v>2025.0</v>
      </c>
    </row>
    <row r="237">
      <c r="A237" s="218">
        <f t="shared" si="2"/>
        <v>234</v>
      </c>
      <c r="B237" s="218" t="s">
        <v>200</v>
      </c>
      <c r="C237" s="219" t="str">
        <f t="shared" si="1"/>
        <v>MS/1752/2025</v>
      </c>
      <c r="D237" s="218" t="b">
        <v>1</v>
      </c>
      <c r="E237" s="219" t="b">
        <v>0</v>
      </c>
      <c r="F237" s="219"/>
      <c r="G237" s="173"/>
      <c r="H237" s="157" t="s">
        <v>6464</v>
      </c>
      <c r="I237" s="157">
        <f t="shared" si="3"/>
        <v>1752</v>
      </c>
      <c r="J237" s="157">
        <v>2025.0</v>
      </c>
    </row>
    <row r="238">
      <c r="A238" s="218">
        <f t="shared" si="2"/>
        <v>235</v>
      </c>
      <c r="B238" s="218" t="s">
        <v>200</v>
      </c>
      <c r="C238" s="219" t="str">
        <f t="shared" si="1"/>
        <v>MS/1753/2025</v>
      </c>
      <c r="D238" s="218" t="b">
        <v>1</v>
      </c>
      <c r="E238" s="219" t="b">
        <v>0</v>
      </c>
      <c r="F238" s="219"/>
      <c r="G238" s="173"/>
      <c r="H238" s="157" t="s">
        <v>6464</v>
      </c>
      <c r="I238" s="157">
        <f t="shared" si="3"/>
        <v>1753</v>
      </c>
      <c r="J238" s="157">
        <v>2025.0</v>
      </c>
    </row>
    <row r="239">
      <c r="A239" s="218">
        <f t="shared" si="2"/>
        <v>236</v>
      </c>
      <c r="B239" s="218" t="s">
        <v>200</v>
      </c>
      <c r="C239" s="219" t="str">
        <f t="shared" si="1"/>
        <v>MS/1754/2025</v>
      </c>
      <c r="D239" s="218" t="b">
        <v>1</v>
      </c>
      <c r="E239" s="219" t="b">
        <v>0</v>
      </c>
      <c r="F239" s="219"/>
      <c r="G239" s="173"/>
      <c r="H239" s="157" t="s">
        <v>6464</v>
      </c>
      <c r="I239" s="157">
        <f t="shared" si="3"/>
        <v>1754</v>
      </c>
      <c r="J239" s="157">
        <v>2025.0</v>
      </c>
    </row>
    <row r="240">
      <c r="A240" s="218">
        <f t="shared" si="2"/>
        <v>237</v>
      </c>
      <c r="B240" s="218" t="s">
        <v>200</v>
      </c>
      <c r="C240" s="219" t="str">
        <f t="shared" si="1"/>
        <v>MS/1755/2025</v>
      </c>
      <c r="D240" s="218" t="b">
        <v>1</v>
      </c>
      <c r="E240" s="218" t="b">
        <v>0</v>
      </c>
      <c r="F240" s="234">
        <v>45867.0</v>
      </c>
      <c r="G240" s="173"/>
      <c r="H240" s="157" t="s">
        <v>6464</v>
      </c>
      <c r="I240" s="157">
        <f t="shared" si="3"/>
        <v>1755</v>
      </c>
      <c r="J240" s="157">
        <v>2025.0</v>
      </c>
    </row>
    <row r="241">
      <c r="A241" s="218">
        <f t="shared" si="2"/>
        <v>238</v>
      </c>
      <c r="B241" s="218" t="s">
        <v>200</v>
      </c>
      <c r="C241" s="219" t="str">
        <f t="shared" si="1"/>
        <v>MS/1756/2025</v>
      </c>
      <c r="D241" s="218" t="b">
        <v>1</v>
      </c>
      <c r="E241" s="218" t="b">
        <v>0</v>
      </c>
      <c r="F241" s="234">
        <v>45867.0</v>
      </c>
      <c r="G241" s="173"/>
      <c r="H241" s="157" t="s">
        <v>6464</v>
      </c>
      <c r="I241" s="157">
        <f t="shared" si="3"/>
        <v>1756</v>
      </c>
      <c r="J241" s="157">
        <v>2025.0</v>
      </c>
    </row>
    <row r="242">
      <c r="A242" s="218">
        <f t="shared" si="2"/>
        <v>239</v>
      </c>
      <c r="B242" s="218" t="s">
        <v>200</v>
      </c>
      <c r="C242" s="219" t="str">
        <f t="shared" si="1"/>
        <v>MS/1757/2025</v>
      </c>
      <c r="D242" s="218" t="b">
        <v>1</v>
      </c>
      <c r="E242" s="218" t="b">
        <v>0</v>
      </c>
      <c r="F242" s="234">
        <v>45867.0</v>
      </c>
      <c r="G242" s="173"/>
      <c r="H242" s="157" t="s">
        <v>6464</v>
      </c>
      <c r="I242" s="157">
        <f t="shared" si="3"/>
        <v>1757</v>
      </c>
      <c r="J242" s="157">
        <v>2025.0</v>
      </c>
    </row>
    <row r="243">
      <c r="A243" s="218">
        <f t="shared" si="2"/>
        <v>240</v>
      </c>
      <c r="B243" s="218" t="s">
        <v>200</v>
      </c>
      <c r="C243" s="219" t="str">
        <f t="shared" si="1"/>
        <v>MS/1758/2025</v>
      </c>
      <c r="D243" s="218" t="b">
        <v>1</v>
      </c>
      <c r="E243" s="218" t="b">
        <v>0</v>
      </c>
      <c r="F243" s="234">
        <v>45867.0</v>
      </c>
      <c r="G243" s="173"/>
      <c r="H243" s="157" t="s">
        <v>6464</v>
      </c>
      <c r="I243" s="157">
        <f t="shared" si="3"/>
        <v>1758</v>
      </c>
      <c r="J243" s="157">
        <v>2025.0</v>
      </c>
    </row>
    <row r="244">
      <c r="A244" s="218">
        <f t="shared" si="2"/>
        <v>241</v>
      </c>
      <c r="B244" s="218" t="s">
        <v>200</v>
      </c>
      <c r="C244" s="219" t="str">
        <f t="shared" si="1"/>
        <v>MS/1759/2025</v>
      </c>
      <c r="D244" s="218" t="b">
        <v>1</v>
      </c>
      <c r="E244" s="218" t="b">
        <v>0</v>
      </c>
      <c r="F244" s="234">
        <v>45867.0</v>
      </c>
      <c r="G244" s="173"/>
      <c r="H244" s="157" t="s">
        <v>6464</v>
      </c>
      <c r="I244" s="157">
        <f t="shared" si="3"/>
        <v>1759</v>
      </c>
      <c r="J244" s="157">
        <v>2025.0</v>
      </c>
    </row>
    <row r="245">
      <c r="A245" s="218">
        <f t="shared" si="2"/>
        <v>242</v>
      </c>
      <c r="B245" s="218" t="s">
        <v>200</v>
      </c>
      <c r="C245" s="219" t="str">
        <f t="shared" si="1"/>
        <v>MS/1760/2025</v>
      </c>
      <c r="D245" s="218" t="b">
        <v>1</v>
      </c>
      <c r="E245" s="218" t="b">
        <v>0</v>
      </c>
      <c r="F245" s="234">
        <v>45867.0</v>
      </c>
      <c r="G245" s="173"/>
      <c r="H245" s="157" t="s">
        <v>6464</v>
      </c>
      <c r="I245" s="157">
        <f t="shared" si="3"/>
        <v>1760</v>
      </c>
      <c r="J245" s="157">
        <v>2025.0</v>
      </c>
    </row>
    <row r="246">
      <c r="A246" s="218">
        <f t="shared" si="2"/>
        <v>243</v>
      </c>
      <c r="B246" s="218" t="s">
        <v>200</v>
      </c>
      <c r="C246" s="219" t="str">
        <f t="shared" si="1"/>
        <v>MS/1761/2025</v>
      </c>
      <c r="D246" s="218" t="b">
        <v>1</v>
      </c>
      <c r="E246" s="218" t="b">
        <v>0</v>
      </c>
      <c r="F246" s="234">
        <v>45867.0</v>
      </c>
      <c r="G246" s="173"/>
      <c r="H246" s="157" t="s">
        <v>6464</v>
      </c>
      <c r="I246" s="157">
        <f t="shared" si="3"/>
        <v>1761</v>
      </c>
      <c r="J246" s="157">
        <v>2025.0</v>
      </c>
    </row>
    <row r="247">
      <c r="A247" s="218">
        <f t="shared" si="2"/>
        <v>244</v>
      </c>
      <c r="B247" s="218" t="s">
        <v>200</v>
      </c>
      <c r="C247" s="219" t="str">
        <f t="shared" si="1"/>
        <v>MS/1762/2025</v>
      </c>
      <c r="D247" s="218" t="b">
        <v>1</v>
      </c>
      <c r="E247" s="218" t="b">
        <v>0</v>
      </c>
      <c r="F247" s="234">
        <v>45867.0</v>
      </c>
      <c r="G247" s="173"/>
      <c r="H247" s="157" t="s">
        <v>6464</v>
      </c>
      <c r="I247" s="157">
        <f t="shared" si="3"/>
        <v>1762</v>
      </c>
      <c r="J247" s="157">
        <v>2025.0</v>
      </c>
    </row>
    <row r="248">
      <c r="A248" s="218">
        <f t="shared" si="2"/>
        <v>245</v>
      </c>
      <c r="B248" s="218" t="s">
        <v>200</v>
      </c>
      <c r="C248" s="219" t="str">
        <f t="shared" si="1"/>
        <v>MS/1763/2025</v>
      </c>
      <c r="D248" s="218" t="b">
        <v>1</v>
      </c>
      <c r="E248" s="218" t="b">
        <v>0</v>
      </c>
      <c r="F248" s="234">
        <v>45867.0</v>
      </c>
      <c r="G248" s="173"/>
      <c r="H248" s="157" t="s">
        <v>6464</v>
      </c>
      <c r="I248" s="157">
        <f t="shared" si="3"/>
        <v>1763</v>
      </c>
      <c r="J248" s="157">
        <v>2025.0</v>
      </c>
    </row>
    <row r="249">
      <c r="A249" s="218">
        <f t="shared" si="2"/>
        <v>246</v>
      </c>
      <c r="B249" s="218" t="s">
        <v>200</v>
      </c>
      <c r="C249" s="219" t="str">
        <f t="shared" si="1"/>
        <v>MS/1764/2025</v>
      </c>
      <c r="D249" s="218" t="b">
        <v>1</v>
      </c>
      <c r="E249" s="218" t="b">
        <v>0</v>
      </c>
      <c r="F249" s="234">
        <v>45867.0</v>
      </c>
      <c r="G249" s="173"/>
      <c r="H249" s="157" t="s">
        <v>6464</v>
      </c>
      <c r="I249" s="157">
        <f t="shared" si="3"/>
        <v>1764</v>
      </c>
      <c r="J249" s="157">
        <v>2025.0</v>
      </c>
    </row>
    <row r="250">
      <c r="A250" s="218">
        <f t="shared" si="2"/>
        <v>247</v>
      </c>
      <c r="B250" s="218" t="s">
        <v>200</v>
      </c>
      <c r="C250" s="219" t="str">
        <f t="shared" si="1"/>
        <v>MS/1765/2025</v>
      </c>
      <c r="D250" s="218" t="b">
        <v>1</v>
      </c>
      <c r="E250" s="218" t="b">
        <v>0</v>
      </c>
      <c r="F250" s="234">
        <v>45867.0</v>
      </c>
      <c r="G250" s="173"/>
      <c r="H250" s="157" t="s">
        <v>6464</v>
      </c>
      <c r="I250" s="157">
        <f t="shared" si="3"/>
        <v>1765</v>
      </c>
      <c r="J250" s="157">
        <v>2025.0</v>
      </c>
    </row>
    <row r="251">
      <c r="A251" s="218">
        <f t="shared" si="2"/>
        <v>248</v>
      </c>
      <c r="B251" s="218" t="s">
        <v>200</v>
      </c>
      <c r="C251" s="219" t="str">
        <f t="shared" si="1"/>
        <v>MS/1766/2025</v>
      </c>
      <c r="D251" s="218" t="b">
        <v>1</v>
      </c>
      <c r="E251" s="218" t="b">
        <v>0</v>
      </c>
      <c r="F251" s="234">
        <v>45867.0</v>
      </c>
      <c r="G251" s="173"/>
      <c r="H251" s="157" t="s">
        <v>6464</v>
      </c>
      <c r="I251" s="157">
        <f t="shared" si="3"/>
        <v>1766</v>
      </c>
      <c r="J251" s="157">
        <v>2025.0</v>
      </c>
    </row>
    <row r="252">
      <c r="A252" s="218">
        <f t="shared" si="2"/>
        <v>249</v>
      </c>
      <c r="B252" s="218" t="s">
        <v>200</v>
      </c>
      <c r="C252" s="219" t="str">
        <f t="shared" si="1"/>
        <v>MS/1767/2025</v>
      </c>
      <c r="D252" s="218" t="b">
        <v>1</v>
      </c>
      <c r="E252" s="218" t="b">
        <v>0</v>
      </c>
      <c r="F252" s="234">
        <v>45867.0</v>
      </c>
      <c r="G252" s="173"/>
      <c r="H252" s="157" t="s">
        <v>6464</v>
      </c>
      <c r="I252" s="157">
        <f t="shared" si="3"/>
        <v>1767</v>
      </c>
      <c r="J252" s="157">
        <v>2025.0</v>
      </c>
    </row>
    <row r="253">
      <c r="A253" s="218">
        <f t="shared" si="2"/>
        <v>250</v>
      </c>
      <c r="B253" s="222" t="s">
        <v>200</v>
      </c>
      <c r="C253" s="224" t="str">
        <f t="shared" si="1"/>
        <v>MS/1768/2025</v>
      </c>
      <c r="D253" s="222" t="b">
        <v>1</v>
      </c>
      <c r="E253" s="222" t="b">
        <v>0</v>
      </c>
      <c r="F253" s="238">
        <v>45867.0</v>
      </c>
      <c r="G253" s="225"/>
      <c r="H253" s="226" t="s">
        <v>6464</v>
      </c>
      <c r="I253" s="226">
        <f t="shared" si="3"/>
        <v>1768</v>
      </c>
      <c r="J253" s="226">
        <v>2025.0</v>
      </c>
      <c r="K253" s="119"/>
    </row>
    <row r="254">
      <c r="A254" s="218">
        <f t="shared" si="2"/>
        <v>251</v>
      </c>
      <c r="B254" s="218" t="s">
        <v>200</v>
      </c>
      <c r="C254" s="219" t="str">
        <f t="shared" si="1"/>
        <v>MS/1769/2025</v>
      </c>
      <c r="D254" s="218" t="b">
        <v>1</v>
      </c>
      <c r="E254" s="219" t="b">
        <v>0</v>
      </c>
      <c r="F254" s="219"/>
      <c r="G254" s="173"/>
      <c r="H254" s="157" t="s">
        <v>6464</v>
      </c>
      <c r="I254" s="157">
        <f t="shared" si="3"/>
        <v>1769</v>
      </c>
      <c r="J254" s="157">
        <v>2025.0</v>
      </c>
    </row>
    <row r="255">
      <c r="A255" s="218">
        <f t="shared" si="2"/>
        <v>252</v>
      </c>
      <c r="B255" s="218" t="s">
        <v>200</v>
      </c>
      <c r="C255" s="219" t="str">
        <f t="shared" si="1"/>
        <v>MS/1770/2025</v>
      </c>
      <c r="D255" s="218" t="b">
        <v>1</v>
      </c>
      <c r="E255" s="219" t="b">
        <v>0</v>
      </c>
      <c r="F255" s="219"/>
      <c r="G255" s="173"/>
      <c r="H255" s="157" t="s">
        <v>6464</v>
      </c>
      <c r="I255" s="157">
        <f t="shared" si="3"/>
        <v>1770</v>
      </c>
      <c r="J255" s="157">
        <v>2025.0</v>
      </c>
    </row>
    <row r="256">
      <c r="A256" s="218">
        <f t="shared" si="2"/>
        <v>253</v>
      </c>
      <c r="B256" s="218" t="s">
        <v>200</v>
      </c>
      <c r="C256" s="219" t="str">
        <f t="shared" si="1"/>
        <v>MS/1771/2025</v>
      </c>
      <c r="D256" s="218" t="b">
        <v>1</v>
      </c>
      <c r="E256" s="219" t="b">
        <v>0</v>
      </c>
      <c r="F256" s="219"/>
      <c r="G256" s="173"/>
      <c r="H256" s="157" t="s">
        <v>6464</v>
      </c>
      <c r="I256" s="157">
        <f t="shared" si="3"/>
        <v>1771</v>
      </c>
      <c r="J256" s="157">
        <v>2025.0</v>
      </c>
    </row>
    <row r="257">
      <c r="A257" s="218">
        <f t="shared" si="2"/>
        <v>254</v>
      </c>
      <c r="B257" s="218" t="s">
        <v>200</v>
      </c>
      <c r="C257" s="219" t="str">
        <f t="shared" si="1"/>
        <v>MS/1772/2025</v>
      </c>
      <c r="D257" s="218" t="b">
        <v>1</v>
      </c>
      <c r="E257" s="219" t="b">
        <v>0</v>
      </c>
      <c r="F257" s="219"/>
      <c r="G257" s="173"/>
      <c r="H257" s="157" t="s">
        <v>6464</v>
      </c>
      <c r="I257" s="157">
        <f t="shared" si="3"/>
        <v>1772</v>
      </c>
      <c r="J257" s="157">
        <v>2025.0</v>
      </c>
    </row>
    <row r="258">
      <c r="A258" s="218">
        <f t="shared" si="2"/>
        <v>255</v>
      </c>
      <c r="B258" s="218" t="s">
        <v>200</v>
      </c>
      <c r="C258" s="219" t="str">
        <f t="shared" si="1"/>
        <v>MS/1773/2025</v>
      </c>
      <c r="D258" s="218" t="b">
        <v>1</v>
      </c>
      <c r="E258" s="219" t="b">
        <v>0</v>
      </c>
      <c r="F258" s="219"/>
      <c r="G258" s="173"/>
      <c r="H258" s="157" t="s">
        <v>6464</v>
      </c>
      <c r="I258" s="157">
        <f t="shared" si="3"/>
        <v>1773</v>
      </c>
      <c r="J258" s="157">
        <v>2025.0</v>
      </c>
    </row>
    <row r="259">
      <c r="A259" s="218">
        <f t="shared" si="2"/>
        <v>256</v>
      </c>
      <c r="B259" s="218" t="s">
        <v>200</v>
      </c>
      <c r="C259" s="219" t="str">
        <f t="shared" si="1"/>
        <v>MS/1774/2025</v>
      </c>
      <c r="D259" s="218" t="b">
        <v>1</v>
      </c>
      <c r="E259" s="219" t="b">
        <v>0</v>
      </c>
      <c r="F259" s="219"/>
      <c r="G259" s="173"/>
      <c r="H259" s="157" t="s">
        <v>6464</v>
      </c>
      <c r="I259" s="157">
        <f t="shared" si="3"/>
        <v>1774</v>
      </c>
      <c r="J259" s="157">
        <v>2025.0</v>
      </c>
    </row>
    <row r="260">
      <c r="A260" s="218">
        <f t="shared" si="2"/>
        <v>257</v>
      </c>
      <c r="B260" s="218" t="s">
        <v>200</v>
      </c>
      <c r="C260" s="219" t="str">
        <f t="shared" si="1"/>
        <v>MS/1775/2025</v>
      </c>
      <c r="D260" s="218" t="b">
        <v>1</v>
      </c>
      <c r="E260" s="219" t="b">
        <v>0</v>
      </c>
      <c r="F260" s="219"/>
      <c r="G260" s="173"/>
      <c r="H260" s="157" t="s">
        <v>6464</v>
      </c>
      <c r="I260" s="157">
        <f t="shared" si="3"/>
        <v>1775</v>
      </c>
      <c r="J260" s="157">
        <v>2025.0</v>
      </c>
    </row>
    <row r="261">
      <c r="A261" s="218">
        <f t="shared" si="2"/>
        <v>258</v>
      </c>
      <c r="B261" s="218" t="s">
        <v>200</v>
      </c>
      <c r="C261" s="219" t="str">
        <f t="shared" si="1"/>
        <v>MS/1776/2025</v>
      </c>
      <c r="D261" s="218" t="b">
        <v>1</v>
      </c>
      <c r="E261" s="219" t="b">
        <v>0</v>
      </c>
      <c r="F261" s="219"/>
      <c r="G261" s="173"/>
      <c r="H261" s="157" t="s">
        <v>6464</v>
      </c>
      <c r="I261" s="157">
        <f t="shared" si="3"/>
        <v>1776</v>
      </c>
      <c r="J261" s="157">
        <v>2025.0</v>
      </c>
    </row>
    <row r="262">
      <c r="A262" s="218">
        <f t="shared" si="2"/>
        <v>259</v>
      </c>
      <c r="B262" s="218" t="s">
        <v>200</v>
      </c>
      <c r="C262" s="219" t="str">
        <f t="shared" si="1"/>
        <v>MS/1777/2025</v>
      </c>
      <c r="D262" s="218" t="b">
        <v>1</v>
      </c>
      <c r="E262" s="219" t="b">
        <v>0</v>
      </c>
      <c r="F262" s="219"/>
      <c r="G262" s="173"/>
      <c r="H262" s="157" t="s">
        <v>6464</v>
      </c>
      <c r="I262" s="157">
        <f t="shared" si="3"/>
        <v>1777</v>
      </c>
      <c r="J262" s="157">
        <v>2025.0</v>
      </c>
    </row>
    <row r="263">
      <c r="A263" s="218">
        <f t="shared" si="2"/>
        <v>260</v>
      </c>
      <c r="B263" s="218" t="s">
        <v>200</v>
      </c>
      <c r="C263" s="219" t="str">
        <f t="shared" si="1"/>
        <v>MS/1778/2025</v>
      </c>
      <c r="D263" s="218" t="b">
        <v>1</v>
      </c>
      <c r="E263" s="219" t="b">
        <v>0</v>
      </c>
      <c r="F263" s="219"/>
      <c r="G263" s="173"/>
      <c r="H263" s="157" t="s">
        <v>6464</v>
      </c>
      <c r="I263" s="157">
        <f t="shared" si="3"/>
        <v>1778</v>
      </c>
      <c r="J263" s="157">
        <v>2025.0</v>
      </c>
    </row>
    <row r="264">
      <c r="A264" s="218">
        <f t="shared" si="2"/>
        <v>261</v>
      </c>
      <c r="B264" s="218" t="s">
        <v>200</v>
      </c>
      <c r="C264" s="219" t="str">
        <f t="shared" si="1"/>
        <v>MS/1779/2025</v>
      </c>
      <c r="D264" s="218" t="b">
        <v>1</v>
      </c>
      <c r="E264" s="219" t="b">
        <v>0</v>
      </c>
      <c r="F264" s="219"/>
      <c r="G264" s="173"/>
      <c r="H264" s="157" t="s">
        <v>6464</v>
      </c>
      <c r="I264" s="157">
        <f t="shared" si="3"/>
        <v>1779</v>
      </c>
      <c r="J264" s="157">
        <v>2025.0</v>
      </c>
    </row>
    <row r="265">
      <c r="A265" s="218">
        <f t="shared" si="2"/>
        <v>262</v>
      </c>
      <c r="B265" s="218" t="s">
        <v>200</v>
      </c>
      <c r="C265" s="219" t="str">
        <f t="shared" si="1"/>
        <v>MS/1780/2025</v>
      </c>
      <c r="D265" s="218" t="b">
        <v>1</v>
      </c>
      <c r="E265" s="219" t="b">
        <v>0</v>
      </c>
      <c r="F265" s="219"/>
      <c r="G265" s="173"/>
      <c r="H265" s="157" t="s">
        <v>6464</v>
      </c>
      <c r="I265" s="157">
        <f t="shared" si="3"/>
        <v>1780</v>
      </c>
      <c r="J265" s="157">
        <v>2025.0</v>
      </c>
    </row>
    <row r="266">
      <c r="A266" s="218">
        <f t="shared" si="2"/>
        <v>263</v>
      </c>
      <c r="B266" s="218" t="s">
        <v>200</v>
      </c>
      <c r="C266" s="219" t="str">
        <f t="shared" si="1"/>
        <v>MS/1781/2025</v>
      </c>
      <c r="D266" s="218" t="b">
        <v>1</v>
      </c>
      <c r="E266" s="219" t="b">
        <v>0</v>
      </c>
      <c r="F266" s="219"/>
      <c r="G266" s="173"/>
      <c r="H266" s="157" t="s">
        <v>6464</v>
      </c>
      <c r="I266" s="157">
        <f t="shared" si="3"/>
        <v>1781</v>
      </c>
      <c r="J266" s="157">
        <v>2025.0</v>
      </c>
    </row>
    <row r="267">
      <c r="A267" s="218">
        <f t="shared" si="2"/>
        <v>264</v>
      </c>
      <c r="B267" s="218" t="s">
        <v>200</v>
      </c>
      <c r="C267" s="219" t="str">
        <f t="shared" si="1"/>
        <v>MS/1782/2025</v>
      </c>
      <c r="D267" s="218" t="b">
        <v>1</v>
      </c>
      <c r="E267" s="219" t="b">
        <v>0</v>
      </c>
      <c r="F267" s="219"/>
      <c r="G267" s="173"/>
      <c r="H267" s="157" t="s">
        <v>6464</v>
      </c>
      <c r="I267" s="157">
        <f t="shared" si="3"/>
        <v>1782</v>
      </c>
      <c r="J267" s="157">
        <v>2025.0</v>
      </c>
    </row>
    <row r="268">
      <c r="A268" s="218">
        <f t="shared" si="2"/>
        <v>265</v>
      </c>
      <c r="B268" s="218" t="s">
        <v>200</v>
      </c>
      <c r="C268" s="219" t="str">
        <f t="shared" si="1"/>
        <v>MS/1783/2025</v>
      </c>
      <c r="D268" s="218" t="b">
        <v>1</v>
      </c>
      <c r="E268" s="219" t="b">
        <v>0</v>
      </c>
      <c r="F268" s="219"/>
      <c r="G268" s="173"/>
      <c r="H268" s="157" t="s">
        <v>6464</v>
      </c>
      <c r="I268" s="157">
        <f t="shared" si="3"/>
        <v>1783</v>
      </c>
      <c r="J268" s="157">
        <v>2025.0</v>
      </c>
    </row>
    <row r="269">
      <c r="A269" s="218">
        <f t="shared" si="2"/>
        <v>266</v>
      </c>
      <c r="B269" s="218" t="s">
        <v>200</v>
      </c>
      <c r="C269" s="219" t="str">
        <f t="shared" si="1"/>
        <v>MS/1784/2025</v>
      </c>
      <c r="D269" s="218" t="b">
        <v>1</v>
      </c>
      <c r="E269" s="219" t="b">
        <v>0</v>
      </c>
      <c r="F269" s="219"/>
      <c r="G269" s="173"/>
      <c r="H269" s="157" t="s">
        <v>6464</v>
      </c>
      <c r="I269" s="157">
        <f t="shared" si="3"/>
        <v>1784</v>
      </c>
      <c r="J269" s="157">
        <v>2025.0</v>
      </c>
    </row>
    <row r="270">
      <c r="A270" s="218">
        <f t="shared" si="2"/>
        <v>267</v>
      </c>
      <c r="B270" s="218" t="s">
        <v>200</v>
      </c>
      <c r="C270" s="219" t="str">
        <f t="shared" si="1"/>
        <v>MS/1785/2025</v>
      </c>
      <c r="D270" s="218" t="b">
        <v>1</v>
      </c>
      <c r="E270" s="219" t="b">
        <v>0</v>
      </c>
      <c r="F270" s="219"/>
      <c r="G270" s="173"/>
      <c r="H270" s="157" t="s">
        <v>6464</v>
      </c>
      <c r="I270" s="157">
        <f t="shared" si="3"/>
        <v>1785</v>
      </c>
      <c r="J270" s="157">
        <v>2025.0</v>
      </c>
    </row>
    <row r="271">
      <c r="A271" s="218">
        <f t="shared" si="2"/>
        <v>268</v>
      </c>
      <c r="B271" s="218" t="s">
        <v>200</v>
      </c>
      <c r="C271" s="219" t="str">
        <f t="shared" si="1"/>
        <v>MS/1786/2025</v>
      </c>
      <c r="D271" s="218" t="b">
        <v>1</v>
      </c>
      <c r="E271" s="219" t="b">
        <v>0</v>
      </c>
      <c r="F271" s="219"/>
      <c r="G271" s="173"/>
      <c r="H271" s="157" t="s">
        <v>6464</v>
      </c>
      <c r="I271" s="157">
        <f t="shared" si="3"/>
        <v>1786</v>
      </c>
      <c r="J271" s="157">
        <v>2025.0</v>
      </c>
    </row>
    <row r="272">
      <c r="A272" s="218">
        <f t="shared" si="2"/>
        <v>269</v>
      </c>
      <c r="B272" s="218" t="s">
        <v>200</v>
      </c>
      <c r="C272" s="219" t="str">
        <f t="shared" si="1"/>
        <v>MS/1787/2025</v>
      </c>
      <c r="D272" s="218" t="b">
        <v>1</v>
      </c>
      <c r="E272" s="219" t="b">
        <v>0</v>
      </c>
      <c r="F272" s="219"/>
      <c r="G272" s="173"/>
      <c r="H272" s="157" t="s">
        <v>6464</v>
      </c>
      <c r="I272" s="157">
        <f t="shared" si="3"/>
        <v>1787</v>
      </c>
      <c r="J272" s="157">
        <v>2025.0</v>
      </c>
    </row>
    <row r="273">
      <c r="A273" s="218">
        <f t="shared" si="2"/>
        <v>270</v>
      </c>
      <c r="B273" s="218" t="s">
        <v>200</v>
      </c>
      <c r="C273" s="219" t="str">
        <f t="shared" si="1"/>
        <v>MS/1788/2025</v>
      </c>
      <c r="D273" s="218" t="b">
        <v>1</v>
      </c>
      <c r="E273" s="219" t="b">
        <v>0</v>
      </c>
      <c r="F273" s="219"/>
      <c r="G273" s="173"/>
      <c r="H273" s="157" t="s">
        <v>6464</v>
      </c>
      <c r="I273" s="157">
        <f t="shared" si="3"/>
        <v>1788</v>
      </c>
      <c r="J273" s="157">
        <v>2025.0</v>
      </c>
    </row>
    <row r="274">
      <c r="A274" s="218">
        <f t="shared" si="2"/>
        <v>271</v>
      </c>
      <c r="B274" s="218" t="s">
        <v>200</v>
      </c>
      <c r="C274" s="219" t="str">
        <f t="shared" si="1"/>
        <v>MS/1789/2025</v>
      </c>
      <c r="D274" s="218" t="b">
        <v>1</v>
      </c>
      <c r="E274" s="219" t="b">
        <v>0</v>
      </c>
      <c r="F274" s="219"/>
      <c r="G274" s="173"/>
      <c r="H274" s="157" t="s">
        <v>6464</v>
      </c>
      <c r="I274" s="157">
        <f t="shared" si="3"/>
        <v>1789</v>
      </c>
      <c r="J274" s="157">
        <v>2025.0</v>
      </c>
    </row>
    <row r="275">
      <c r="A275" s="218">
        <f t="shared" si="2"/>
        <v>272</v>
      </c>
      <c r="B275" s="218" t="s">
        <v>200</v>
      </c>
      <c r="C275" s="219" t="str">
        <f t="shared" si="1"/>
        <v>MS/1790/2025</v>
      </c>
      <c r="D275" s="218" t="b">
        <v>1</v>
      </c>
      <c r="E275" s="219" t="b">
        <v>0</v>
      </c>
      <c r="F275" s="219"/>
      <c r="G275" s="173"/>
      <c r="H275" s="157" t="s">
        <v>6464</v>
      </c>
      <c r="I275" s="157">
        <f t="shared" si="3"/>
        <v>1790</v>
      </c>
      <c r="J275" s="157">
        <v>2025.0</v>
      </c>
    </row>
    <row r="276">
      <c r="A276" s="218">
        <f t="shared" si="2"/>
        <v>273</v>
      </c>
      <c r="B276" s="218" t="s">
        <v>200</v>
      </c>
      <c r="C276" s="219" t="str">
        <f t="shared" si="1"/>
        <v>MS/1791/2025</v>
      </c>
      <c r="D276" s="218" t="b">
        <v>1</v>
      </c>
      <c r="E276" s="219" t="b">
        <v>0</v>
      </c>
      <c r="F276" s="219"/>
      <c r="G276" s="173"/>
      <c r="H276" s="157" t="s">
        <v>6464</v>
      </c>
      <c r="I276" s="157">
        <f t="shared" si="3"/>
        <v>1791</v>
      </c>
      <c r="J276" s="157">
        <v>2025.0</v>
      </c>
    </row>
    <row r="277">
      <c r="A277" s="218">
        <f t="shared" si="2"/>
        <v>274</v>
      </c>
      <c r="B277" s="218" t="s">
        <v>200</v>
      </c>
      <c r="C277" s="219" t="str">
        <f t="shared" si="1"/>
        <v>MS/1792/2025</v>
      </c>
      <c r="D277" s="218" t="b">
        <v>1</v>
      </c>
      <c r="E277" s="219" t="b">
        <v>0</v>
      </c>
      <c r="F277" s="219"/>
      <c r="G277" s="173"/>
      <c r="H277" s="157" t="s">
        <v>6464</v>
      </c>
      <c r="I277" s="157">
        <f t="shared" si="3"/>
        <v>1792</v>
      </c>
      <c r="J277" s="157">
        <v>2025.0</v>
      </c>
    </row>
    <row r="278">
      <c r="A278" s="218">
        <f t="shared" si="2"/>
        <v>275</v>
      </c>
      <c r="B278" s="218" t="s">
        <v>200</v>
      </c>
      <c r="C278" s="219" t="str">
        <f t="shared" si="1"/>
        <v>MS/1793/2025</v>
      </c>
      <c r="D278" s="218" t="b">
        <v>1</v>
      </c>
      <c r="E278" s="219" t="b">
        <v>0</v>
      </c>
      <c r="F278" s="219"/>
      <c r="G278" s="173"/>
      <c r="H278" s="157" t="s">
        <v>6464</v>
      </c>
      <c r="I278" s="157">
        <f t="shared" si="3"/>
        <v>1793</v>
      </c>
      <c r="J278" s="157">
        <v>2025.0</v>
      </c>
    </row>
    <row r="279">
      <c r="A279" s="218">
        <f t="shared" si="2"/>
        <v>276</v>
      </c>
      <c r="B279" s="218" t="s">
        <v>200</v>
      </c>
      <c r="C279" s="219" t="str">
        <f t="shared" si="1"/>
        <v>MS/1794/2025</v>
      </c>
      <c r="D279" s="218" t="b">
        <v>1</v>
      </c>
      <c r="E279" s="219" t="b">
        <v>0</v>
      </c>
      <c r="F279" s="219"/>
      <c r="G279" s="173"/>
      <c r="H279" s="157" t="s">
        <v>6464</v>
      </c>
      <c r="I279" s="157">
        <f t="shared" si="3"/>
        <v>1794</v>
      </c>
      <c r="J279" s="157">
        <v>2025.0</v>
      </c>
    </row>
    <row r="280">
      <c r="A280" s="218">
        <f t="shared" si="2"/>
        <v>277</v>
      </c>
      <c r="B280" s="218" t="s">
        <v>200</v>
      </c>
      <c r="C280" s="219" t="str">
        <f t="shared" si="1"/>
        <v>MS/1795/2025</v>
      </c>
      <c r="D280" s="218" t="b">
        <v>1</v>
      </c>
      <c r="E280" s="219" t="b">
        <v>0</v>
      </c>
      <c r="F280" s="219"/>
      <c r="G280" s="173"/>
      <c r="H280" s="157" t="s">
        <v>6464</v>
      </c>
      <c r="I280" s="157">
        <f t="shared" si="3"/>
        <v>1795</v>
      </c>
      <c r="J280" s="157">
        <v>2025.0</v>
      </c>
    </row>
    <row r="281">
      <c r="A281" s="218">
        <f t="shared" si="2"/>
        <v>278</v>
      </c>
      <c r="B281" s="218" t="s">
        <v>200</v>
      </c>
      <c r="C281" s="219" t="str">
        <f t="shared" si="1"/>
        <v>MS/1796/2025</v>
      </c>
      <c r="D281" s="218" t="b">
        <v>1</v>
      </c>
      <c r="E281" s="219" t="b">
        <v>0</v>
      </c>
      <c r="F281" s="219"/>
      <c r="G281" s="173"/>
      <c r="H281" s="157" t="s">
        <v>6464</v>
      </c>
      <c r="I281" s="157">
        <f t="shared" si="3"/>
        <v>1796</v>
      </c>
      <c r="J281" s="157">
        <v>2025.0</v>
      </c>
    </row>
    <row r="282">
      <c r="A282" s="218">
        <f t="shared" si="2"/>
        <v>279</v>
      </c>
      <c r="B282" s="218" t="s">
        <v>200</v>
      </c>
      <c r="C282" s="219" t="str">
        <f t="shared" si="1"/>
        <v>MS/1797/2025</v>
      </c>
      <c r="D282" s="218" t="b">
        <v>1</v>
      </c>
      <c r="E282" s="219" t="b">
        <v>0</v>
      </c>
      <c r="F282" s="219"/>
      <c r="G282" s="173"/>
      <c r="H282" s="157" t="s">
        <v>6464</v>
      </c>
      <c r="I282" s="157">
        <f t="shared" si="3"/>
        <v>1797</v>
      </c>
      <c r="J282" s="157">
        <v>2025.0</v>
      </c>
    </row>
    <row r="283">
      <c r="A283" s="218">
        <f t="shared" si="2"/>
        <v>280</v>
      </c>
      <c r="B283" s="218" t="s">
        <v>200</v>
      </c>
      <c r="C283" s="219" t="str">
        <f t="shared" si="1"/>
        <v>MS/1798/2025</v>
      </c>
      <c r="D283" s="218" t="b">
        <v>1</v>
      </c>
      <c r="E283" s="219" t="b">
        <v>0</v>
      </c>
      <c r="F283" s="219"/>
      <c r="G283" s="173"/>
      <c r="H283" s="157" t="s">
        <v>6464</v>
      </c>
      <c r="I283" s="157">
        <f t="shared" si="3"/>
        <v>1798</v>
      </c>
      <c r="J283" s="157">
        <v>2025.0</v>
      </c>
    </row>
    <row r="284">
      <c r="A284" s="218">
        <f t="shared" si="2"/>
        <v>281</v>
      </c>
      <c r="B284" s="218" t="s">
        <v>200</v>
      </c>
      <c r="C284" s="219" t="str">
        <f t="shared" si="1"/>
        <v>MS/1799/2025</v>
      </c>
      <c r="D284" s="218" t="b">
        <v>1</v>
      </c>
      <c r="E284" s="219" t="b">
        <v>0</v>
      </c>
      <c r="F284" s="219"/>
      <c r="G284" s="173"/>
      <c r="H284" s="157" t="s">
        <v>6464</v>
      </c>
      <c r="I284" s="157">
        <f t="shared" si="3"/>
        <v>1799</v>
      </c>
      <c r="J284" s="157">
        <v>2025.0</v>
      </c>
    </row>
    <row r="285">
      <c r="A285" s="218">
        <f t="shared" si="2"/>
        <v>282</v>
      </c>
      <c r="B285" s="218" t="s">
        <v>200</v>
      </c>
      <c r="C285" s="219" t="str">
        <f t="shared" si="1"/>
        <v>MS/1800/2025</v>
      </c>
      <c r="D285" s="218" t="b">
        <v>1</v>
      </c>
      <c r="E285" s="219" t="b">
        <v>0</v>
      </c>
      <c r="F285" s="219"/>
      <c r="G285" s="173"/>
      <c r="H285" s="157" t="s">
        <v>6464</v>
      </c>
      <c r="I285" s="157">
        <f t="shared" si="3"/>
        <v>1800</v>
      </c>
      <c r="J285" s="157">
        <v>2025.0</v>
      </c>
    </row>
    <row r="286">
      <c r="A286" s="218">
        <f t="shared" si="2"/>
        <v>283</v>
      </c>
      <c r="B286" s="218" t="s">
        <v>200</v>
      </c>
      <c r="C286" s="219" t="str">
        <f t="shared" si="1"/>
        <v>MS/1801/2025</v>
      </c>
      <c r="D286" s="218" t="b">
        <v>1</v>
      </c>
      <c r="E286" s="219" t="b">
        <v>0</v>
      </c>
      <c r="F286" s="219"/>
      <c r="G286" s="173"/>
      <c r="H286" s="157" t="s">
        <v>6464</v>
      </c>
      <c r="I286" s="157">
        <f t="shared" si="3"/>
        <v>1801</v>
      </c>
      <c r="J286" s="157">
        <v>2025.0</v>
      </c>
    </row>
    <row r="287">
      <c r="A287" s="218">
        <f t="shared" si="2"/>
        <v>284</v>
      </c>
      <c r="B287" s="218" t="s">
        <v>200</v>
      </c>
      <c r="C287" s="219" t="str">
        <f t="shared" si="1"/>
        <v>MS/1802/2025</v>
      </c>
      <c r="D287" s="218" t="b">
        <v>1</v>
      </c>
      <c r="E287" s="219" t="b">
        <v>0</v>
      </c>
      <c r="F287" s="219"/>
      <c r="G287" s="173"/>
      <c r="H287" s="157" t="s">
        <v>6464</v>
      </c>
      <c r="I287" s="157">
        <f t="shared" si="3"/>
        <v>1802</v>
      </c>
      <c r="J287" s="157">
        <v>2025.0</v>
      </c>
    </row>
    <row r="288">
      <c r="A288" s="218">
        <f t="shared" si="2"/>
        <v>285</v>
      </c>
      <c r="B288" s="218" t="s">
        <v>200</v>
      </c>
      <c r="C288" s="219" t="str">
        <f t="shared" si="1"/>
        <v>MS/1803/2025</v>
      </c>
      <c r="D288" s="218" t="b">
        <v>1</v>
      </c>
      <c r="E288" s="219" t="b">
        <v>0</v>
      </c>
      <c r="F288" s="219"/>
      <c r="G288" s="173"/>
      <c r="H288" s="157" t="s">
        <v>6464</v>
      </c>
      <c r="I288" s="157">
        <f t="shared" si="3"/>
        <v>1803</v>
      </c>
      <c r="J288" s="157">
        <v>2025.0</v>
      </c>
    </row>
    <row r="289">
      <c r="A289" s="218">
        <f t="shared" si="2"/>
        <v>286</v>
      </c>
      <c r="B289" s="218" t="s">
        <v>200</v>
      </c>
      <c r="C289" s="219" t="str">
        <f t="shared" si="1"/>
        <v>MS/1804/2025</v>
      </c>
      <c r="D289" s="218" t="b">
        <v>1</v>
      </c>
      <c r="E289" s="219" t="b">
        <v>0</v>
      </c>
      <c r="F289" s="219"/>
      <c r="G289" s="173"/>
      <c r="H289" s="157" t="s">
        <v>6464</v>
      </c>
      <c r="I289" s="157">
        <f t="shared" si="3"/>
        <v>1804</v>
      </c>
      <c r="J289" s="157">
        <v>2025.0</v>
      </c>
    </row>
    <row r="290">
      <c r="A290" s="218">
        <f t="shared" si="2"/>
        <v>287</v>
      </c>
      <c r="B290" s="218" t="s">
        <v>200</v>
      </c>
      <c r="C290" s="219" t="str">
        <f t="shared" si="1"/>
        <v>MS/1805/2025</v>
      </c>
      <c r="D290" s="218" t="b">
        <v>1</v>
      </c>
      <c r="E290" s="219" t="b">
        <v>0</v>
      </c>
      <c r="F290" s="219"/>
      <c r="G290" s="173"/>
      <c r="H290" s="157" t="s">
        <v>6464</v>
      </c>
      <c r="I290" s="157">
        <f t="shared" si="3"/>
        <v>1805</v>
      </c>
      <c r="J290" s="157">
        <v>2025.0</v>
      </c>
    </row>
    <row r="291">
      <c r="A291" s="218">
        <f t="shared" si="2"/>
        <v>288</v>
      </c>
      <c r="B291" s="218" t="s">
        <v>200</v>
      </c>
      <c r="C291" s="219" t="str">
        <f t="shared" si="1"/>
        <v>MS/1806/2025</v>
      </c>
      <c r="D291" s="218" t="b">
        <v>1</v>
      </c>
      <c r="E291" s="219" t="b">
        <v>0</v>
      </c>
      <c r="F291" s="219"/>
      <c r="G291" s="173"/>
      <c r="H291" s="157" t="s">
        <v>6464</v>
      </c>
      <c r="I291" s="157">
        <f t="shared" si="3"/>
        <v>1806</v>
      </c>
      <c r="J291" s="157">
        <v>2025.0</v>
      </c>
    </row>
    <row r="292">
      <c r="A292" s="218">
        <f t="shared" si="2"/>
        <v>289</v>
      </c>
      <c r="B292" s="218" t="s">
        <v>200</v>
      </c>
      <c r="C292" s="219" t="str">
        <f t="shared" si="1"/>
        <v>MS/1807/2025</v>
      </c>
      <c r="D292" s="218" t="b">
        <v>1</v>
      </c>
      <c r="E292" s="219" t="b">
        <v>0</v>
      </c>
      <c r="F292" s="219"/>
      <c r="G292" s="173"/>
      <c r="H292" s="157" t="s">
        <v>6464</v>
      </c>
      <c r="I292" s="157">
        <f t="shared" si="3"/>
        <v>1807</v>
      </c>
      <c r="J292" s="157">
        <v>2025.0</v>
      </c>
    </row>
    <row r="293">
      <c r="A293" s="218">
        <f t="shared" si="2"/>
        <v>290</v>
      </c>
      <c r="B293" s="218" t="s">
        <v>200</v>
      </c>
      <c r="C293" s="219" t="str">
        <f t="shared" si="1"/>
        <v>MS/1808/2025</v>
      </c>
      <c r="D293" s="218" t="b">
        <v>1</v>
      </c>
      <c r="E293" s="219" t="b">
        <v>0</v>
      </c>
      <c r="F293" s="219"/>
      <c r="G293" s="173"/>
      <c r="H293" s="157" t="s">
        <v>6464</v>
      </c>
      <c r="I293" s="157">
        <f t="shared" si="3"/>
        <v>1808</v>
      </c>
      <c r="J293" s="157">
        <v>2025.0</v>
      </c>
    </row>
    <row r="294">
      <c r="A294" s="218">
        <f t="shared" si="2"/>
        <v>291</v>
      </c>
      <c r="B294" s="218" t="s">
        <v>200</v>
      </c>
      <c r="C294" s="219" t="str">
        <f t="shared" si="1"/>
        <v>MS/1809/2025</v>
      </c>
      <c r="D294" s="218" t="b">
        <v>1</v>
      </c>
      <c r="E294" s="219" t="b">
        <v>0</v>
      </c>
      <c r="F294" s="219"/>
      <c r="G294" s="173"/>
      <c r="H294" s="157" t="s">
        <v>6464</v>
      </c>
      <c r="I294" s="157">
        <f t="shared" si="3"/>
        <v>1809</v>
      </c>
      <c r="J294" s="157">
        <v>2025.0</v>
      </c>
    </row>
    <row r="295">
      <c r="A295" s="218">
        <f t="shared" si="2"/>
        <v>292</v>
      </c>
      <c r="B295" s="218" t="s">
        <v>200</v>
      </c>
      <c r="C295" s="219" t="str">
        <f t="shared" si="1"/>
        <v>MS/1810/2025</v>
      </c>
      <c r="D295" s="218" t="b">
        <v>1</v>
      </c>
      <c r="E295" s="219" t="b">
        <v>0</v>
      </c>
      <c r="F295" s="219"/>
      <c r="G295" s="173"/>
      <c r="H295" s="157" t="s">
        <v>6464</v>
      </c>
      <c r="I295" s="157">
        <f t="shared" si="3"/>
        <v>1810</v>
      </c>
      <c r="J295" s="157">
        <v>2025.0</v>
      </c>
    </row>
    <row r="296">
      <c r="A296" s="218">
        <f t="shared" si="2"/>
        <v>293</v>
      </c>
      <c r="B296" s="218" t="s">
        <v>200</v>
      </c>
      <c r="C296" s="219" t="str">
        <f t="shared" si="1"/>
        <v>MS/1811/2025</v>
      </c>
      <c r="D296" s="218" t="b">
        <v>1</v>
      </c>
      <c r="E296" s="219" t="b">
        <v>0</v>
      </c>
      <c r="F296" s="219"/>
      <c r="G296" s="173"/>
      <c r="H296" s="157" t="s">
        <v>6464</v>
      </c>
      <c r="I296" s="157">
        <f t="shared" si="3"/>
        <v>1811</v>
      </c>
      <c r="J296" s="157">
        <v>2025.0</v>
      </c>
    </row>
    <row r="297">
      <c r="A297" s="218">
        <f t="shared" si="2"/>
        <v>294</v>
      </c>
      <c r="B297" s="218" t="s">
        <v>200</v>
      </c>
      <c r="C297" s="219" t="str">
        <f t="shared" si="1"/>
        <v>MS/1812/2025</v>
      </c>
      <c r="D297" s="218" t="b">
        <v>1</v>
      </c>
      <c r="E297" s="219" t="b">
        <v>0</v>
      </c>
      <c r="F297" s="219"/>
      <c r="G297" s="173"/>
      <c r="H297" s="157" t="s">
        <v>6464</v>
      </c>
      <c r="I297" s="157">
        <f t="shared" si="3"/>
        <v>1812</v>
      </c>
      <c r="J297" s="157">
        <v>2025.0</v>
      </c>
    </row>
    <row r="298">
      <c r="A298" s="218">
        <f t="shared" si="2"/>
        <v>295</v>
      </c>
      <c r="B298" s="218" t="s">
        <v>200</v>
      </c>
      <c r="C298" s="219" t="str">
        <f t="shared" si="1"/>
        <v>MS/1813/2025</v>
      </c>
      <c r="D298" s="218" t="b">
        <v>1</v>
      </c>
      <c r="E298" s="219" t="b">
        <v>0</v>
      </c>
      <c r="F298" s="219"/>
      <c r="G298" s="173"/>
      <c r="H298" s="157" t="s">
        <v>6464</v>
      </c>
      <c r="I298" s="157">
        <f t="shared" si="3"/>
        <v>1813</v>
      </c>
      <c r="J298" s="157">
        <v>2025.0</v>
      </c>
    </row>
    <row r="299">
      <c r="A299" s="218">
        <f t="shared" si="2"/>
        <v>296</v>
      </c>
      <c r="B299" s="218" t="s">
        <v>200</v>
      </c>
      <c r="C299" s="219" t="str">
        <f t="shared" si="1"/>
        <v>MS/1814/2025</v>
      </c>
      <c r="D299" s="218" t="b">
        <v>1</v>
      </c>
      <c r="E299" s="218" t="b">
        <v>0</v>
      </c>
      <c r="F299" s="219"/>
      <c r="G299" s="173"/>
      <c r="H299" s="157" t="s">
        <v>6464</v>
      </c>
      <c r="I299" s="157">
        <f t="shared" si="3"/>
        <v>1814</v>
      </c>
      <c r="J299" s="157">
        <v>2025.0</v>
      </c>
    </row>
    <row r="300">
      <c r="A300" s="218">
        <f t="shared" si="2"/>
        <v>297</v>
      </c>
      <c r="B300" s="218" t="s">
        <v>200</v>
      </c>
      <c r="C300" s="219" t="str">
        <f t="shared" si="1"/>
        <v>MS/1815/2025</v>
      </c>
      <c r="D300" s="218" t="b">
        <v>1</v>
      </c>
      <c r="E300" s="219" t="b">
        <v>0</v>
      </c>
      <c r="F300" s="219"/>
      <c r="G300" s="173"/>
      <c r="H300" s="157" t="s">
        <v>6464</v>
      </c>
      <c r="I300" s="157">
        <f t="shared" si="3"/>
        <v>1815</v>
      </c>
      <c r="J300" s="157">
        <v>2025.0</v>
      </c>
    </row>
    <row r="301">
      <c r="A301" s="218">
        <f t="shared" si="2"/>
        <v>298</v>
      </c>
      <c r="B301" s="218" t="s">
        <v>200</v>
      </c>
      <c r="C301" s="219" t="str">
        <f t="shared" si="1"/>
        <v>MS/1816/2025</v>
      </c>
      <c r="D301" s="218" t="b">
        <v>1</v>
      </c>
      <c r="E301" s="219" t="b">
        <v>0</v>
      </c>
      <c r="F301" s="219"/>
      <c r="G301" s="173"/>
      <c r="H301" s="157" t="s">
        <v>6464</v>
      </c>
      <c r="I301" s="157">
        <f t="shared" si="3"/>
        <v>1816</v>
      </c>
      <c r="J301" s="157">
        <v>2025.0</v>
      </c>
    </row>
    <row r="302">
      <c r="A302" s="218">
        <f t="shared" si="2"/>
        <v>299</v>
      </c>
      <c r="B302" s="218" t="s">
        <v>200</v>
      </c>
      <c r="C302" s="219" t="str">
        <f t="shared" si="1"/>
        <v>MS/1817/2025</v>
      </c>
      <c r="D302" s="218" t="b">
        <v>1</v>
      </c>
      <c r="E302" s="219" t="b">
        <v>0</v>
      </c>
      <c r="F302" s="219"/>
      <c r="G302" s="173"/>
      <c r="H302" s="157" t="s">
        <v>6464</v>
      </c>
      <c r="I302" s="157">
        <f t="shared" si="3"/>
        <v>1817</v>
      </c>
      <c r="J302" s="157">
        <v>2025.0</v>
      </c>
    </row>
    <row r="303">
      <c r="A303" s="218">
        <f t="shared" si="2"/>
        <v>300</v>
      </c>
      <c r="B303" s="218" t="s">
        <v>200</v>
      </c>
      <c r="C303" s="219" t="str">
        <f t="shared" si="1"/>
        <v>MS/1818/2025</v>
      </c>
      <c r="D303" s="218" t="b">
        <v>1</v>
      </c>
      <c r="E303" s="218" t="b">
        <v>0</v>
      </c>
      <c r="F303" s="234">
        <v>45867.0</v>
      </c>
      <c r="G303" s="173"/>
      <c r="H303" s="157" t="s">
        <v>6464</v>
      </c>
      <c r="I303" s="157">
        <f t="shared" si="3"/>
        <v>1818</v>
      </c>
      <c r="J303" s="157">
        <v>2025.0</v>
      </c>
    </row>
    <row r="304">
      <c r="A304" s="218">
        <f t="shared" si="2"/>
        <v>301</v>
      </c>
      <c r="B304" s="218" t="s">
        <v>200</v>
      </c>
      <c r="C304" s="219" t="str">
        <f t="shared" si="1"/>
        <v>MS/1819/2025</v>
      </c>
      <c r="D304" s="218" t="b">
        <v>1</v>
      </c>
      <c r="E304" s="218" t="b">
        <v>0</v>
      </c>
      <c r="F304" s="234">
        <v>45867.0</v>
      </c>
      <c r="G304" s="173"/>
      <c r="H304" s="157" t="s">
        <v>6464</v>
      </c>
      <c r="I304" s="157">
        <f t="shared" si="3"/>
        <v>1819</v>
      </c>
      <c r="J304" s="157">
        <v>2025.0</v>
      </c>
    </row>
    <row r="305">
      <c r="A305" s="218">
        <f t="shared" si="2"/>
        <v>302</v>
      </c>
      <c r="B305" s="218" t="s">
        <v>200</v>
      </c>
      <c r="C305" s="219" t="str">
        <f t="shared" si="1"/>
        <v>MS/1820/2025</v>
      </c>
      <c r="D305" s="218" t="b">
        <v>1</v>
      </c>
      <c r="E305" s="218" t="b">
        <v>0</v>
      </c>
      <c r="F305" s="234">
        <v>45867.0</v>
      </c>
      <c r="G305" s="173"/>
      <c r="H305" s="157" t="s">
        <v>6464</v>
      </c>
      <c r="I305" s="157">
        <f t="shared" si="3"/>
        <v>1820</v>
      </c>
      <c r="J305" s="157">
        <v>2025.0</v>
      </c>
    </row>
    <row r="306">
      <c r="A306" s="218">
        <f t="shared" si="2"/>
        <v>303</v>
      </c>
      <c r="B306" s="218" t="s">
        <v>200</v>
      </c>
      <c r="C306" s="219" t="str">
        <f t="shared" si="1"/>
        <v>MS/1821/2025</v>
      </c>
      <c r="D306" s="218" t="b">
        <v>1</v>
      </c>
      <c r="E306" s="218" t="b">
        <v>0</v>
      </c>
      <c r="F306" s="234">
        <v>45867.0</v>
      </c>
      <c r="G306" s="173"/>
      <c r="H306" s="157" t="s">
        <v>6464</v>
      </c>
      <c r="I306" s="157">
        <f t="shared" si="3"/>
        <v>1821</v>
      </c>
      <c r="J306" s="157">
        <v>2025.0</v>
      </c>
    </row>
    <row r="307">
      <c r="A307" s="218">
        <f t="shared" si="2"/>
        <v>304</v>
      </c>
      <c r="B307" s="218" t="s">
        <v>200</v>
      </c>
      <c r="C307" s="219" t="str">
        <f t="shared" si="1"/>
        <v>MS/1822/2025</v>
      </c>
      <c r="D307" s="218" t="b">
        <v>1</v>
      </c>
      <c r="E307" s="218" t="b">
        <v>0</v>
      </c>
      <c r="F307" s="234">
        <v>45867.0</v>
      </c>
      <c r="G307" s="173"/>
      <c r="H307" s="157" t="s">
        <v>6464</v>
      </c>
      <c r="I307" s="157">
        <f t="shared" si="3"/>
        <v>1822</v>
      </c>
      <c r="J307" s="157">
        <v>2025.0</v>
      </c>
    </row>
    <row r="308">
      <c r="A308" s="218">
        <f t="shared" si="2"/>
        <v>305</v>
      </c>
      <c r="B308" s="218" t="s">
        <v>200</v>
      </c>
      <c r="C308" s="219" t="str">
        <f t="shared" si="1"/>
        <v>MS/1823/2025</v>
      </c>
      <c r="D308" s="218" t="b">
        <v>1</v>
      </c>
      <c r="E308" s="218" t="b">
        <v>0</v>
      </c>
      <c r="F308" s="234">
        <v>45867.0</v>
      </c>
      <c r="G308" s="173"/>
      <c r="H308" s="157" t="s">
        <v>6464</v>
      </c>
      <c r="I308" s="157">
        <f t="shared" si="3"/>
        <v>1823</v>
      </c>
      <c r="J308" s="157">
        <v>2025.0</v>
      </c>
    </row>
    <row r="309">
      <c r="A309" s="218">
        <f t="shared" si="2"/>
        <v>306</v>
      </c>
      <c r="B309" s="218" t="s">
        <v>200</v>
      </c>
      <c r="C309" s="219" t="str">
        <f t="shared" si="1"/>
        <v>MS/1824/2025</v>
      </c>
      <c r="D309" s="218" t="b">
        <v>1</v>
      </c>
      <c r="E309" s="218" t="b">
        <v>0</v>
      </c>
      <c r="F309" s="234">
        <v>45867.0</v>
      </c>
      <c r="G309" s="173"/>
      <c r="H309" s="157" t="s">
        <v>6464</v>
      </c>
      <c r="I309" s="157">
        <f t="shared" si="3"/>
        <v>1824</v>
      </c>
      <c r="J309" s="157">
        <v>2025.0</v>
      </c>
    </row>
    <row r="310">
      <c r="A310" s="218">
        <f t="shared" si="2"/>
        <v>307</v>
      </c>
      <c r="B310" s="218" t="s">
        <v>200</v>
      </c>
      <c r="C310" s="219" t="str">
        <f t="shared" si="1"/>
        <v>MS/1825/2025</v>
      </c>
      <c r="D310" s="218" t="b">
        <v>1</v>
      </c>
      <c r="E310" s="218" t="b">
        <v>0</v>
      </c>
      <c r="F310" s="234">
        <v>45867.0</v>
      </c>
      <c r="G310" s="173"/>
      <c r="H310" s="157" t="s">
        <v>6464</v>
      </c>
      <c r="I310" s="157">
        <f t="shared" si="3"/>
        <v>1825</v>
      </c>
      <c r="J310" s="157">
        <v>2025.0</v>
      </c>
    </row>
    <row r="311">
      <c r="A311" s="218">
        <f t="shared" si="2"/>
        <v>308</v>
      </c>
      <c r="B311" s="218" t="s">
        <v>200</v>
      </c>
      <c r="C311" s="219" t="str">
        <f t="shared" si="1"/>
        <v>MS/1826/2025</v>
      </c>
      <c r="D311" s="218" t="b">
        <v>1</v>
      </c>
      <c r="E311" s="218" t="b">
        <v>0</v>
      </c>
      <c r="F311" s="234">
        <v>45867.0</v>
      </c>
      <c r="G311" s="173"/>
      <c r="H311" s="157" t="s">
        <v>6464</v>
      </c>
      <c r="I311" s="157">
        <f t="shared" si="3"/>
        <v>1826</v>
      </c>
      <c r="J311" s="157">
        <v>2025.0</v>
      </c>
    </row>
    <row r="312">
      <c r="A312" s="218">
        <f t="shared" si="2"/>
        <v>309</v>
      </c>
      <c r="B312" s="218" t="s">
        <v>200</v>
      </c>
      <c r="C312" s="219" t="str">
        <f t="shared" si="1"/>
        <v>MS/1827/2025</v>
      </c>
      <c r="D312" s="218" t="b">
        <v>1</v>
      </c>
      <c r="E312" s="219" t="b">
        <v>0</v>
      </c>
      <c r="F312" s="234">
        <v>45869.0</v>
      </c>
      <c r="G312" s="173"/>
      <c r="H312" s="157" t="s">
        <v>6464</v>
      </c>
      <c r="I312" s="157">
        <f t="shared" si="3"/>
        <v>1827</v>
      </c>
      <c r="J312" s="157">
        <v>2025.0</v>
      </c>
    </row>
    <row r="313">
      <c r="A313" s="218">
        <f t="shared" si="2"/>
        <v>310</v>
      </c>
      <c r="B313" s="218" t="s">
        <v>200</v>
      </c>
      <c r="C313" s="219" t="str">
        <f t="shared" si="1"/>
        <v>MS/1828/2025</v>
      </c>
      <c r="D313" s="218" t="b">
        <v>1</v>
      </c>
      <c r="E313" s="219" t="b">
        <v>0</v>
      </c>
      <c r="F313" s="234">
        <v>45869.0</v>
      </c>
      <c r="G313" s="173"/>
      <c r="H313" s="157" t="s">
        <v>6464</v>
      </c>
      <c r="I313" s="157">
        <f t="shared" si="3"/>
        <v>1828</v>
      </c>
      <c r="J313" s="157">
        <v>2025.0</v>
      </c>
    </row>
    <row r="314">
      <c r="A314" s="218">
        <f t="shared" si="2"/>
        <v>311</v>
      </c>
      <c r="B314" s="218" t="s">
        <v>200</v>
      </c>
      <c r="C314" s="219" t="str">
        <f t="shared" si="1"/>
        <v>MS/1829/2025</v>
      </c>
      <c r="D314" s="218" t="b">
        <v>1</v>
      </c>
      <c r="E314" s="219" t="b">
        <v>0</v>
      </c>
      <c r="F314" s="234">
        <v>45869.0</v>
      </c>
      <c r="G314" s="173"/>
      <c r="H314" s="157" t="s">
        <v>6464</v>
      </c>
      <c r="I314" s="157">
        <f t="shared" si="3"/>
        <v>1829</v>
      </c>
      <c r="J314" s="157">
        <v>2025.0</v>
      </c>
    </row>
    <row r="315">
      <c r="A315" s="218">
        <f t="shared" si="2"/>
        <v>312</v>
      </c>
      <c r="B315" s="218" t="s">
        <v>200</v>
      </c>
      <c r="C315" s="219" t="str">
        <f t="shared" si="1"/>
        <v>MS/1830/2025</v>
      </c>
      <c r="D315" s="218" t="b">
        <v>1</v>
      </c>
      <c r="E315" s="219" t="b">
        <v>0</v>
      </c>
      <c r="F315" s="234">
        <v>45869.0</v>
      </c>
      <c r="G315" s="173"/>
      <c r="H315" s="157" t="s">
        <v>6464</v>
      </c>
      <c r="I315" s="157">
        <f t="shared" si="3"/>
        <v>1830</v>
      </c>
      <c r="J315" s="157">
        <v>2025.0</v>
      </c>
    </row>
    <row r="316">
      <c r="A316" s="218">
        <f t="shared" si="2"/>
        <v>313</v>
      </c>
      <c r="B316" s="218" t="s">
        <v>200</v>
      </c>
      <c r="C316" s="219" t="str">
        <f t="shared" si="1"/>
        <v>MS/1831/2025</v>
      </c>
      <c r="D316" s="218" t="b">
        <v>1</v>
      </c>
      <c r="E316" s="219" t="b">
        <v>0</v>
      </c>
      <c r="F316" s="234">
        <v>45869.0</v>
      </c>
      <c r="G316" s="173"/>
      <c r="H316" s="157" t="s">
        <v>6464</v>
      </c>
      <c r="I316" s="157">
        <f t="shared" si="3"/>
        <v>1831</v>
      </c>
      <c r="J316" s="157">
        <v>2025.0</v>
      </c>
    </row>
    <row r="317">
      <c r="A317" s="218">
        <f t="shared" si="2"/>
        <v>314</v>
      </c>
      <c r="B317" s="218" t="s">
        <v>200</v>
      </c>
      <c r="C317" s="219" t="str">
        <f t="shared" si="1"/>
        <v>MS/1832/2025</v>
      </c>
      <c r="D317" s="218" t="b">
        <v>1</v>
      </c>
      <c r="E317" s="219" t="b">
        <v>0</v>
      </c>
      <c r="F317" s="234">
        <v>45869.0</v>
      </c>
      <c r="G317" s="173"/>
      <c r="H317" s="157" t="s">
        <v>6464</v>
      </c>
      <c r="I317" s="157">
        <f t="shared" si="3"/>
        <v>1832</v>
      </c>
      <c r="J317" s="157">
        <v>2025.0</v>
      </c>
    </row>
    <row r="318">
      <c r="A318" s="218">
        <f t="shared" si="2"/>
        <v>315</v>
      </c>
      <c r="B318" s="218" t="s">
        <v>200</v>
      </c>
      <c r="C318" s="219" t="str">
        <f t="shared" si="1"/>
        <v>MS/1833/2025</v>
      </c>
      <c r="D318" s="218" t="b">
        <v>1</v>
      </c>
      <c r="E318" s="219" t="b">
        <v>0</v>
      </c>
      <c r="F318" s="234">
        <v>45869.0</v>
      </c>
      <c r="G318" s="173"/>
      <c r="H318" s="157" t="s">
        <v>6464</v>
      </c>
      <c r="I318" s="157">
        <f t="shared" si="3"/>
        <v>1833</v>
      </c>
      <c r="J318" s="157">
        <v>2025.0</v>
      </c>
    </row>
    <row r="319">
      <c r="A319" s="218">
        <f t="shared" si="2"/>
        <v>316</v>
      </c>
      <c r="B319" s="218" t="s">
        <v>200</v>
      </c>
      <c r="C319" s="219" t="str">
        <f t="shared" si="1"/>
        <v>MS/1834/2025</v>
      </c>
      <c r="D319" s="218" t="b">
        <v>1</v>
      </c>
      <c r="E319" s="219" t="b">
        <v>0</v>
      </c>
      <c r="F319" s="219"/>
      <c r="G319" s="173"/>
      <c r="H319" s="157" t="s">
        <v>6464</v>
      </c>
      <c r="I319" s="157">
        <f t="shared" si="3"/>
        <v>1834</v>
      </c>
      <c r="J319" s="157">
        <v>2025.0</v>
      </c>
    </row>
    <row r="320">
      <c r="A320" s="218">
        <f t="shared" si="2"/>
        <v>317</v>
      </c>
      <c r="B320" s="218" t="s">
        <v>200</v>
      </c>
      <c r="C320" s="219" t="str">
        <f t="shared" si="1"/>
        <v>MS/1835/2025</v>
      </c>
      <c r="D320" s="218" t="b">
        <v>1</v>
      </c>
      <c r="E320" s="219" t="b">
        <v>0</v>
      </c>
      <c r="F320" s="219"/>
      <c r="G320" s="173"/>
      <c r="H320" s="157" t="s">
        <v>6464</v>
      </c>
      <c r="I320" s="157">
        <f t="shared" si="3"/>
        <v>1835</v>
      </c>
      <c r="J320" s="157">
        <v>2025.0</v>
      </c>
    </row>
    <row r="321">
      <c r="A321" s="218">
        <f t="shared" si="2"/>
        <v>318</v>
      </c>
      <c r="B321" s="218" t="s">
        <v>200</v>
      </c>
      <c r="C321" s="219" t="str">
        <f t="shared" si="1"/>
        <v>MS/1836/2025</v>
      </c>
      <c r="D321" s="218" t="b">
        <v>1</v>
      </c>
      <c r="E321" s="219" t="b">
        <v>0</v>
      </c>
      <c r="F321" s="219"/>
      <c r="G321" s="173"/>
      <c r="H321" s="157" t="s">
        <v>6464</v>
      </c>
      <c r="I321" s="157">
        <f t="shared" si="3"/>
        <v>1836</v>
      </c>
      <c r="J321" s="157">
        <v>2025.0</v>
      </c>
    </row>
    <row r="322">
      <c r="A322" s="218">
        <f t="shared" si="2"/>
        <v>319</v>
      </c>
      <c r="B322" s="218" t="s">
        <v>200</v>
      </c>
      <c r="C322" s="219" t="str">
        <f t="shared" si="1"/>
        <v>MS/1837/2025</v>
      </c>
      <c r="D322" s="218" t="b">
        <v>1</v>
      </c>
      <c r="E322" s="219" t="b">
        <v>0</v>
      </c>
      <c r="F322" s="219"/>
      <c r="G322" s="173"/>
      <c r="H322" s="157" t="s">
        <v>6464</v>
      </c>
      <c r="I322" s="157">
        <f t="shared" si="3"/>
        <v>1837</v>
      </c>
      <c r="J322" s="157">
        <v>2025.0</v>
      </c>
    </row>
    <row r="323">
      <c r="A323" s="218">
        <f t="shared" si="2"/>
        <v>320</v>
      </c>
      <c r="B323" s="218" t="s">
        <v>200</v>
      </c>
      <c r="C323" s="219" t="str">
        <f t="shared" si="1"/>
        <v>MS/1838/2025</v>
      </c>
      <c r="D323" s="218" t="b">
        <v>1</v>
      </c>
      <c r="E323" s="219" t="b">
        <v>0</v>
      </c>
      <c r="F323" s="219"/>
      <c r="G323" s="173"/>
      <c r="H323" s="157" t="s">
        <v>6464</v>
      </c>
      <c r="I323" s="157">
        <f t="shared" si="3"/>
        <v>1838</v>
      </c>
      <c r="J323" s="157">
        <v>2025.0</v>
      </c>
    </row>
    <row r="324">
      <c r="A324" s="218">
        <f t="shared" si="2"/>
        <v>321</v>
      </c>
      <c r="B324" s="218" t="s">
        <v>200</v>
      </c>
      <c r="C324" s="219" t="str">
        <f t="shared" si="1"/>
        <v>MS/1839/2025</v>
      </c>
      <c r="D324" s="218" t="b">
        <v>1</v>
      </c>
      <c r="E324" s="219" t="b">
        <v>0</v>
      </c>
      <c r="F324" s="219"/>
      <c r="G324" s="173"/>
      <c r="H324" s="157" t="s">
        <v>6464</v>
      </c>
      <c r="I324" s="157">
        <f t="shared" si="3"/>
        <v>1839</v>
      </c>
      <c r="J324" s="157">
        <v>2025.0</v>
      </c>
    </row>
    <row r="325">
      <c r="A325" s="218">
        <f t="shared" si="2"/>
        <v>322</v>
      </c>
      <c r="B325" s="218" t="s">
        <v>200</v>
      </c>
      <c r="C325" s="219" t="str">
        <f t="shared" si="1"/>
        <v>MS/1840/2025</v>
      </c>
      <c r="D325" s="218" t="b">
        <v>1</v>
      </c>
      <c r="E325" s="219" t="b">
        <v>0</v>
      </c>
      <c r="F325" s="219"/>
      <c r="G325" s="173"/>
      <c r="H325" s="157" t="s">
        <v>6464</v>
      </c>
      <c r="I325" s="157">
        <f t="shared" si="3"/>
        <v>1840</v>
      </c>
      <c r="J325" s="157">
        <v>2025.0</v>
      </c>
    </row>
    <row r="326">
      <c r="A326" s="218">
        <f t="shared" si="2"/>
        <v>323</v>
      </c>
      <c r="B326" s="218" t="s">
        <v>200</v>
      </c>
      <c r="C326" s="219" t="str">
        <f t="shared" si="1"/>
        <v>MS/1841/2025</v>
      </c>
      <c r="D326" s="218" t="b">
        <v>1</v>
      </c>
      <c r="E326" s="219" t="b">
        <v>0</v>
      </c>
      <c r="F326" s="219"/>
      <c r="G326" s="173"/>
      <c r="H326" s="157" t="s">
        <v>6464</v>
      </c>
      <c r="I326" s="157">
        <f t="shared" si="3"/>
        <v>1841</v>
      </c>
      <c r="J326" s="157">
        <v>2025.0</v>
      </c>
    </row>
    <row r="327">
      <c r="A327" s="218">
        <f t="shared" si="2"/>
        <v>324</v>
      </c>
      <c r="B327" s="218" t="s">
        <v>200</v>
      </c>
      <c r="C327" s="219" t="str">
        <f t="shared" si="1"/>
        <v>MS/1842/2025</v>
      </c>
      <c r="D327" s="218" t="b">
        <v>1</v>
      </c>
      <c r="E327" s="219" t="b">
        <v>0</v>
      </c>
      <c r="F327" s="219"/>
      <c r="G327" s="173"/>
      <c r="H327" s="157" t="s">
        <v>6464</v>
      </c>
      <c r="I327" s="157">
        <f t="shared" si="3"/>
        <v>1842</v>
      </c>
      <c r="J327" s="157">
        <v>2025.0</v>
      </c>
    </row>
    <row r="328">
      <c r="A328" s="218">
        <f t="shared" si="2"/>
        <v>325</v>
      </c>
      <c r="B328" s="218" t="s">
        <v>200</v>
      </c>
      <c r="C328" s="219" t="str">
        <f t="shared" si="1"/>
        <v>MS/1843/2025</v>
      </c>
      <c r="D328" s="218" t="b">
        <v>1</v>
      </c>
      <c r="E328" s="219" t="b">
        <v>0</v>
      </c>
      <c r="F328" s="219"/>
      <c r="G328" s="173"/>
      <c r="H328" s="157" t="s">
        <v>6464</v>
      </c>
      <c r="I328" s="157">
        <f t="shared" si="3"/>
        <v>1843</v>
      </c>
      <c r="J328" s="157">
        <v>2025.0</v>
      </c>
    </row>
    <row r="329">
      <c r="A329" s="218">
        <f t="shared" si="2"/>
        <v>326</v>
      </c>
      <c r="B329" s="218" t="s">
        <v>200</v>
      </c>
      <c r="C329" s="219" t="str">
        <f t="shared" si="1"/>
        <v>MS/1844/2025</v>
      </c>
      <c r="D329" s="218" t="b">
        <v>1</v>
      </c>
      <c r="E329" s="219" t="b">
        <v>0</v>
      </c>
      <c r="F329" s="219"/>
      <c r="G329" s="173"/>
      <c r="H329" s="157" t="s">
        <v>6464</v>
      </c>
      <c r="I329" s="157">
        <f t="shared" si="3"/>
        <v>1844</v>
      </c>
      <c r="J329" s="157">
        <v>2025.0</v>
      </c>
    </row>
    <row r="330">
      <c r="A330" s="218">
        <f t="shared" si="2"/>
        <v>327</v>
      </c>
      <c r="B330" s="218" t="s">
        <v>200</v>
      </c>
      <c r="C330" s="219" t="str">
        <f t="shared" si="1"/>
        <v>MS/1845/2025</v>
      </c>
      <c r="D330" s="218" t="b">
        <v>1</v>
      </c>
      <c r="E330" s="219" t="b">
        <v>0</v>
      </c>
      <c r="F330" s="219"/>
      <c r="G330" s="173"/>
      <c r="H330" s="157" t="s">
        <v>6464</v>
      </c>
      <c r="I330" s="157">
        <f t="shared" si="3"/>
        <v>1845</v>
      </c>
      <c r="J330" s="157">
        <v>2025.0</v>
      </c>
    </row>
    <row r="331">
      <c r="A331" s="218">
        <f t="shared" si="2"/>
        <v>328</v>
      </c>
      <c r="B331" s="218" t="s">
        <v>200</v>
      </c>
      <c r="C331" s="219" t="str">
        <f t="shared" si="1"/>
        <v>MS/1846/2025</v>
      </c>
      <c r="D331" s="218" t="b">
        <v>1</v>
      </c>
      <c r="E331" s="219" t="b">
        <v>0</v>
      </c>
      <c r="F331" s="219"/>
      <c r="G331" s="173"/>
      <c r="H331" s="157" t="s">
        <v>6464</v>
      </c>
      <c r="I331" s="157">
        <f t="shared" si="3"/>
        <v>1846</v>
      </c>
      <c r="J331" s="157">
        <v>2025.0</v>
      </c>
    </row>
    <row r="332">
      <c r="A332" s="218">
        <f t="shared" si="2"/>
        <v>329</v>
      </c>
      <c r="B332" s="218" t="s">
        <v>200</v>
      </c>
      <c r="C332" s="219" t="str">
        <f t="shared" si="1"/>
        <v>MS/1847/2025</v>
      </c>
      <c r="D332" s="218" t="b">
        <v>1</v>
      </c>
      <c r="E332" s="219" t="b">
        <v>0</v>
      </c>
      <c r="F332" s="219"/>
      <c r="G332" s="173"/>
      <c r="H332" s="157" t="s">
        <v>6464</v>
      </c>
      <c r="I332" s="157">
        <f t="shared" si="3"/>
        <v>1847</v>
      </c>
      <c r="J332" s="157">
        <v>2025.0</v>
      </c>
    </row>
    <row r="333">
      <c r="A333" s="218">
        <f t="shared" si="2"/>
        <v>330</v>
      </c>
      <c r="B333" s="218" t="s">
        <v>200</v>
      </c>
      <c r="C333" s="219" t="str">
        <f t="shared" si="1"/>
        <v>MS/1848/2025</v>
      </c>
      <c r="D333" s="218" t="b">
        <v>1</v>
      </c>
      <c r="E333" s="219" t="b">
        <v>0</v>
      </c>
      <c r="F333" s="219"/>
      <c r="G333" s="173"/>
      <c r="H333" s="157" t="s">
        <v>6464</v>
      </c>
      <c r="I333" s="157">
        <f t="shared" si="3"/>
        <v>1848</v>
      </c>
      <c r="J333" s="157">
        <v>2025.0</v>
      </c>
    </row>
    <row r="334">
      <c r="A334" s="218">
        <f t="shared" si="2"/>
        <v>331</v>
      </c>
      <c r="B334" s="218" t="s">
        <v>200</v>
      </c>
      <c r="C334" s="219" t="str">
        <f t="shared" si="1"/>
        <v>MS/1849/2025</v>
      </c>
      <c r="D334" s="218" t="b">
        <v>1</v>
      </c>
      <c r="E334" s="219" t="b">
        <v>0</v>
      </c>
      <c r="F334" s="219"/>
      <c r="G334" s="173"/>
      <c r="H334" s="157" t="s">
        <v>6464</v>
      </c>
      <c r="I334" s="157">
        <f t="shared" si="3"/>
        <v>1849</v>
      </c>
      <c r="J334" s="157">
        <v>2025.0</v>
      </c>
    </row>
    <row r="335">
      <c r="A335" s="218">
        <f t="shared" si="2"/>
        <v>332</v>
      </c>
      <c r="B335" s="218" t="s">
        <v>200</v>
      </c>
      <c r="C335" s="219" t="str">
        <f t="shared" si="1"/>
        <v>MS/1850/2025</v>
      </c>
      <c r="D335" s="218" t="b">
        <v>1</v>
      </c>
      <c r="E335" s="219" t="b">
        <v>0</v>
      </c>
      <c r="F335" s="219"/>
      <c r="G335" s="173"/>
      <c r="H335" s="157" t="s">
        <v>6464</v>
      </c>
      <c r="I335" s="157">
        <f t="shared" si="3"/>
        <v>1850</v>
      </c>
      <c r="J335" s="157">
        <v>2025.0</v>
      </c>
    </row>
    <row r="336">
      <c r="A336" s="218">
        <f t="shared" si="2"/>
        <v>333</v>
      </c>
      <c r="B336" s="218" t="s">
        <v>200</v>
      </c>
      <c r="C336" s="219" t="str">
        <f t="shared" si="1"/>
        <v>MS/1851/2025</v>
      </c>
      <c r="D336" s="218" t="b">
        <v>1</v>
      </c>
      <c r="E336" s="219" t="b">
        <v>0</v>
      </c>
      <c r="F336" s="219"/>
      <c r="G336" s="173"/>
      <c r="H336" s="157" t="s">
        <v>6464</v>
      </c>
      <c r="I336" s="157">
        <f t="shared" si="3"/>
        <v>1851</v>
      </c>
      <c r="J336" s="157">
        <v>2025.0</v>
      </c>
    </row>
    <row r="337">
      <c r="A337" s="218">
        <f t="shared" si="2"/>
        <v>334</v>
      </c>
      <c r="B337" s="218" t="s">
        <v>200</v>
      </c>
      <c r="C337" s="219" t="str">
        <f t="shared" si="1"/>
        <v>MS/1852/2025</v>
      </c>
      <c r="D337" s="218" t="b">
        <v>1</v>
      </c>
      <c r="E337" s="219" t="b">
        <v>0</v>
      </c>
      <c r="F337" s="219"/>
      <c r="G337" s="173"/>
      <c r="H337" s="157" t="s">
        <v>6464</v>
      </c>
      <c r="I337" s="157">
        <f t="shared" si="3"/>
        <v>1852</v>
      </c>
      <c r="J337" s="157">
        <v>2025.0</v>
      </c>
    </row>
    <row r="338">
      <c r="A338" s="218">
        <f t="shared" si="2"/>
        <v>335</v>
      </c>
      <c r="B338" s="218" t="s">
        <v>200</v>
      </c>
      <c r="C338" s="219" t="str">
        <f t="shared" si="1"/>
        <v>MS/1853/2025</v>
      </c>
      <c r="D338" s="218" t="b">
        <v>1</v>
      </c>
      <c r="E338" s="219" t="b">
        <v>0</v>
      </c>
      <c r="F338" s="219"/>
      <c r="G338" s="173"/>
      <c r="H338" s="157" t="s">
        <v>6464</v>
      </c>
      <c r="I338" s="157">
        <f t="shared" si="3"/>
        <v>1853</v>
      </c>
      <c r="J338" s="157">
        <v>2025.0</v>
      </c>
    </row>
    <row r="339">
      <c r="A339" s="218">
        <f t="shared" si="2"/>
        <v>336</v>
      </c>
      <c r="B339" s="218" t="s">
        <v>200</v>
      </c>
      <c r="C339" s="219" t="str">
        <f t="shared" si="1"/>
        <v>MS/1854/2025</v>
      </c>
      <c r="D339" s="218" t="b">
        <v>1</v>
      </c>
      <c r="E339" s="219" t="b">
        <v>0</v>
      </c>
      <c r="F339" s="219"/>
      <c r="G339" s="173"/>
      <c r="H339" s="157" t="s">
        <v>6464</v>
      </c>
      <c r="I339" s="157">
        <f t="shared" si="3"/>
        <v>1854</v>
      </c>
      <c r="J339" s="157">
        <v>2025.0</v>
      </c>
    </row>
    <row r="340">
      <c r="A340" s="218">
        <f t="shared" si="2"/>
        <v>337</v>
      </c>
      <c r="B340" s="218" t="s">
        <v>200</v>
      </c>
      <c r="C340" s="219" t="str">
        <f t="shared" si="1"/>
        <v>MS/1855/2025</v>
      </c>
      <c r="D340" s="218" t="b">
        <v>1</v>
      </c>
      <c r="E340" s="219" t="b">
        <v>0</v>
      </c>
      <c r="F340" s="219"/>
      <c r="G340" s="173"/>
      <c r="H340" s="157" t="s">
        <v>6464</v>
      </c>
      <c r="I340" s="157">
        <f t="shared" si="3"/>
        <v>1855</v>
      </c>
      <c r="J340" s="157">
        <v>2025.0</v>
      </c>
    </row>
    <row r="341">
      <c r="A341" s="218">
        <f t="shared" si="2"/>
        <v>338</v>
      </c>
      <c r="B341" s="218" t="s">
        <v>200</v>
      </c>
      <c r="C341" s="219" t="str">
        <f t="shared" si="1"/>
        <v>MS/1856/2025</v>
      </c>
      <c r="D341" s="218" t="b">
        <v>1</v>
      </c>
      <c r="E341" s="219" t="b">
        <v>0</v>
      </c>
      <c r="F341" s="219"/>
      <c r="G341" s="173"/>
      <c r="H341" s="157" t="s">
        <v>6464</v>
      </c>
      <c r="I341" s="157">
        <f t="shared" si="3"/>
        <v>1856</v>
      </c>
      <c r="J341" s="157">
        <v>2025.0</v>
      </c>
    </row>
    <row r="342">
      <c r="A342" s="218">
        <f t="shared" si="2"/>
        <v>339</v>
      </c>
      <c r="B342" s="218" t="s">
        <v>200</v>
      </c>
      <c r="C342" s="219" t="str">
        <f t="shared" si="1"/>
        <v>MS/1857/2025</v>
      </c>
      <c r="D342" s="218" t="b">
        <v>1</v>
      </c>
      <c r="E342" s="219" t="b">
        <v>0</v>
      </c>
      <c r="F342" s="219"/>
      <c r="G342" s="173"/>
      <c r="H342" s="157" t="s">
        <v>6464</v>
      </c>
      <c r="I342" s="157">
        <f t="shared" si="3"/>
        <v>1857</v>
      </c>
      <c r="J342" s="157">
        <v>2025.0</v>
      </c>
    </row>
    <row r="343">
      <c r="A343" s="218">
        <f t="shared" si="2"/>
        <v>340</v>
      </c>
      <c r="B343" s="218" t="s">
        <v>200</v>
      </c>
      <c r="C343" s="219" t="str">
        <f t="shared" si="1"/>
        <v>MS/1858/2025</v>
      </c>
      <c r="D343" s="218" t="b">
        <v>1</v>
      </c>
      <c r="E343" s="219" t="b">
        <v>0</v>
      </c>
      <c r="F343" s="219"/>
      <c r="G343" s="173"/>
      <c r="H343" s="157" t="s">
        <v>6464</v>
      </c>
      <c r="I343" s="157">
        <f t="shared" si="3"/>
        <v>1858</v>
      </c>
      <c r="J343" s="157">
        <v>2025.0</v>
      </c>
    </row>
    <row r="344">
      <c r="A344" s="218">
        <f t="shared" si="2"/>
        <v>341</v>
      </c>
      <c r="B344" s="218" t="s">
        <v>200</v>
      </c>
      <c r="C344" s="219" t="str">
        <f t="shared" si="1"/>
        <v>MS/1859/2025</v>
      </c>
      <c r="D344" s="218" t="b">
        <v>1</v>
      </c>
      <c r="E344" s="219" t="b">
        <v>0</v>
      </c>
      <c r="F344" s="219"/>
      <c r="G344" s="173"/>
      <c r="H344" s="157" t="s">
        <v>6464</v>
      </c>
      <c r="I344" s="157">
        <f t="shared" si="3"/>
        <v>1859</v>
      </c>
      <c r="J344" s="157">
        <v>2025.0</v>
      </c>
    </row>
    <row r="345">
      <c r="A345" s="218">
        <f t="shared" si="2"/>
        <v>342</v>
      </c>
      <c r="B345" s="218" t="s">
        <v>200</v>
      </c>
      <c r="C345" s="219" t="str">
        <f t="shared" si="1"/>
        <v>MS/1860/2025</v>
      </c>
      <c r="D345" s="218" t="b">
        <v>1</v>
      </c>
      <c r="E345" s="219" t="b">
        <v>0</v>
      </c>
      <c r="F345" s="219"/>
      <c r="G345" s="173"/>
      <c r="H345" s="157" t="s">
        <v>6464</v>
      </c>
      <c r="I345" s="157">
        <f t="shared" si="3"/>
        <v>1860</v>
      </c>
      <c r="J345" s="157">
        <v>2025.0</v>
      </c>
    </row>
    <row r="346">
      <c r="A346" s="218">
        <f t="shared" si="2"/>
        <v>343</v>
      </c>
      <c r="B346" s="218" t="s">
        <v>200</v>
      </c>
      <c r="C346" s="219" t="str">
        <f t="shared" si="1"/>
        <v>MS/1861/2025</v>
      </c>
      <c r="D346" s="218" t="b">
        <v>1</v>
      </c>
      <c r="E346" s="219" t="b">
        <v>0</v>
      </c>
      <c r="F346" s="219"/>
      <c r="G346" s="173"/>
      <c r="H346" s="157" t="s">
        <v>6464</v>
      </c>
      <c r="I346" s="157">
        <f t="shared" si="3"/>
        <v>1861</v>
      </c>
      <c r="J346" s="157">
        <v>2025.0</v>
      </c>
    </row>
    <row r="347">
      <c r="A347" s="218">
        <f t="shared" si="2"/>
        <v>344</v>
      </c>
      <c r="B347" s="218" t="s">
        <v>200</v>
      </c>
      <c r="C347" s="219" t="str">
        <f t="shared" si="1"/>
        <v>MS/1862/2025</v>
      </c>
      <c r="D347" s="218" t="b">
        <v>1</v>
      </c>
      <c r="E347" s="219" t="b">
        <v>0</v>
      </c>
      <c r="F347" s="219"/>
      <c r="G347" s="173"/>
      <c r="H347" s="157" t="s">
        <v>6464</v>
      </c>
      <c r="I347" s="157">
        <f t="shared" si="3"/>
        <v>1862</v>
      </c>
      <c r="J347" s="157">
        <v>2025.0</v>
      </c>
    </row>
    <row r="348">
      <c r="A348" s="218">
        <f t="shared" si="2"/>
        <v>345</v>
      </c>
      <c r="B348" s="218" t="s">
        <v>200</v>
      </c>
      <c r="C348" s="219" t="str">
        <f t="shared" si="1"/>
        <v>MS/1863/2025</v>
      </c>
      <c r="D348" s="218" t="b">
        <v>1</v>
      </c>
      <c r="E348" s="219" t="b">
        <v>0</v>
      </c>
      <c r="F348" s="219"/>
      <c r="G348" s="173"/>
      <c r="H348" s="157" t="s">
        <v>6464</v>
      </c>
      <c r="I348" s="157">
        <f t="shared" si="3"/>
        <v>1863</v>
      </c>
      <c r="J348" s="157">
        <v>2025.0</v>
      </c>
    </row>
    <row r="349">
      <c r="A349" s="218">
        <f t="shared" si="2"/>
        <v>346</v>
      </c>
      <c r="B349" s="218" t="s">
        <v>200</v>
      </c>
      <c r="C349" s="219" t="str">
        <f t="shared" si="1"/>
        <v>MS/1864/2025</v>
      </c>
      <c r="D349" s="218" t="b">
        <v>1</v>
      </c>
      <c r="E349" s="219" t="b">
        <v>0</v>
      </c>
      <c r="F349" s="219"/>
      <c r="G349" s="173"/>
      <c r="H349" s="157" t="s">
        <v>6464</v>
      </c>
      <c r="I349" s="157">
        <f t="shared" si="3"/>
        <v>1864</v>
      </c>
      <c r="J349" s="157">
        <v>2025.0</v>
      </c>
    </row>
    <row r="350">
      <c r="A350" s="218">
        <f t="shared" si="2"/>
        <v>347</v>
      </c>
      <c r="B350" s="218" t="s">
        <v>200</v>
      </c>
      <c r="C350" s="219" t="str">
        <f t="shared" si="1"/>
        <v>MS/1865/2025</v>
      </c>
      <c r="D350" s="218" t="b">
        <v>1</v>
      </c>
      <c r="E350" s="219" t="b">
        <v>0</v>
      </c>
      <c r="F350" s="219"/>
      <c r="G350" s="173"/>
      <c r="H350" s="157" t="s">
        <v>6464</v>
      </c>
      <c r="I350" s="157">
        <f t="shared" si="3"/>
        <v>1865</v>
      </c>
      <c r="J350" s="157">
        <v>2025.0</v>
      </c>
    </row>
    <row r="351">
      <c r="A351" s="218">
        <f t="shared" si="2"/>
        <v>348</v>
      </c>
      <c r="B351" s="218" t="s">
        <v>200</v>
      </c>
      <c r="C351" s="219" t="str">
        <f t="shared" si="1"/>
        <v>MS/1866/2025</v>
      </c>
      <c r="D351" s="218" t="b">
        <v>1</v>
      </c>
      <c r="E351" s="219" t="b">
        <v>0</v>
      </c>
      <c r="F351" s="219"/>
      <c r="G351" s="173"/>
      <c r="H351" s="157" t="s">
        <v>6464</v>
      </c>
      <c r="I351" s="157">
        <f t="shared" si="3"/>
        <v>1866</v>
      </c>
      <c r="J351" s="157">
        <v>2025.0</v>
      </c>
    </row>
    <row r="352">
      <c r="A352" s="218">
        <f t="shared" si="2"/>
        <v>349</v>
      </c>
      <c r="B352" s="218" t="s">
        <v>200</v>
      </c>
      <c r="C352" s="219" t="str">
        <f t="shared" si="1"/>
        <v>MS/1867/2025</v>
      </c>
      <c r="D352" s="218" t="b">
        <v>1</v>
      </c>
      <c r="E352" s="219" t="b">
        <v>0</v>
      </c>
      <c r="F352" s="219"/>
      <c r="G352" s="173"/>
      <c r="H352" s="157" t="s">
        <v>6464</v>
      </c>
      <c r="I352" s="157">
        <f t="shared" si="3"/>
        <v>1867</v>
      </c>
      <c r="J352" s="157">
        <v>2025.0</v>
      </c>
    </row>
    <row r="353">
      <c r="A353" s="218">
        <f t="shared" si="2"/>
        <v>350</v>
      </c>
      <c r="B353" s="218" t="s">
        <v>200</v>
      </c>
      <c r="C353" s="219" t="str">
        <f t="shared" si="1"/>
        <v>MS/1868/2025</v>
      </c>
      <c r="D353" s="218" t="b">
        <v>1</v>
      </c>
      <c r="E353" s="219" t="b">
        <v>0</v>
      </c>
      <c r="F353" s="219"/>
      <c r="G353" s="173"/>
      <c r="H353" s="157" t="s">
        <v>6464</v>
      </c>
      <c r="I353" s="157">
        <f t="shared" si="3"/>
        <v>1868</v>
      </c>
      <c r="J353" s="157">
        <v>2025.0</v>
      </c>
    </row>
    <row r="354">
      <c r="A354" s="218">
        <f t="shared" si="2"/>
        <v>351</v>
      </c>
      <c r="B354" s="218" t="s">
        <v>200</v>
      </c>
      <c r="C354" s="219" t="str">
        <f t="shared" si="1"/>
        <v>MS/1869/2025</v>
      </c>
      <c r="D354" s="218" t="b">
        <v>1</v>
      </c>
      <c r="E354" s="219" t="b">
        <v>0</v>
      </c>
      <c r="F354" s="219"/>
      <c r="G354" s="173"/>
      <c r="H354" s="157" t="s">
        <v>6464</v>
      </c>
      <c r="I354" s="157">
        <f t="shared" si="3"/>
        <v>1869</v>
      </c>
      <c r="J354" s="157">
        <v>2025.0</v>
      </c>
    </row>
    <row r="355">
      <c r="A355" s="218">
        <f t="shared" si="2"/>
        <v>352</v>
      </c>
      <c r="B355" s="218" t="s">
        <v>200</v>
      </c>
      <c r="C355" s="219" t="str">
        <f t="shared" si="1"/>
        <v>MS/1870/2025</v>
      </c>
      <c r="D355" s="218" t="b">
        <v>1</v>
      </c>
      <c r="E355" s="219" t="b">
        <v>0</v>
      </c>
      <c r="F355" s="219"/>
      <c r="G355" s="173"/>
      <c r="H355" s="157" t="s">
        <v>6464</v>
      </c>
      <c r="I355" s="157">
        <f t="shared" si="3"/>
        <v>1870</v>
      </c>
      <c r="J355" s="157">
        <v>2025.0</v>
      </c>
    </row>
    <row r="356">
      <c r="A356" s="218">
        <f t="shared" si="2"/>
        <v>353</v>
      </c>
      <c r="B356" s="218" t="s">
        <v>200</v>
      </c>
      <c r="C356" s="219" t="str">
        <f t="shared" si="1"/>
        <v>MS/1871/2025</v>
      </c>
      <c r="D356" s="218" t="b">
        <v>1</v>
      </c>
      <c r="E356" s="219" t="b">
        <v>0</v>
      </c>
      <c r="F356" s="219"/>
      <c r="G356" s="173"/>
      <c r="H356" s="157" t="s">
        <v>6464</v>
      </c>
      <c r="I356" s="157">
        <f t="shared" si="3"/>
        <v>1871</v>
      </c>
      <c r="J356" s="157">
        <v>2025.0</v>
      </c>
    </row>
    <row r="357">
      <c r="A357" s="218">
        <f t="shared" si="2"/>
        <v>354</v>
      </c>
      <c r="B357" s="218" t="s">
        <v>200</v>
      </c>
      <c r="C357" s="219" t="str">
        <f t="shared" si="1"/>
        <v>MS/1872/2025</v>
      </c>
      <c r="D357" s="218" t="b">
        <v>1</v>
      </c>
      <c r="E357" s="219" t="b">
        <v>0</v>
      </c>
      <c r="F357" s="219"/>
      <c r="G357" s="173"/>
      <c r="H357" s="157" t="s">
        <v>6464</v>
      </c>
      <c r="I357" s="157">
        <f t="shared" si="3"/>
        <v>1872</v>
      </c>
      <c r="J357" s="157">
        <v>2025.0</v>
      </c>
    </row>
    <row r="358">
      <c r="A358" s="218">
        <f t="shared" si="2"/>
        <v>355</v>
      </c>
      <c r="B358" s="218" t="s">
        <v>200</v>
      </c>
      <c r="C358" s="219" t="str">
        <f t="shared" si="1"/>
        <v>MS/1873/2025</v>
      </c>
      <c r="D358" s="218" t="b">
        <v>1</v>
      </c>
      <c r="E358" s="219" t="b">
        <v>0</v>
      </c>
      <c r="F358" s="219"/>
      <c r="G358" s="173"/>
      <c r="H358" s="157" t="s">
        <v>6464</v>
      </c>
      <c r="I358" s="157">
        <f t="shared" si="3"/>
        <v>1873</v>
      </c>
      <c r="J358" s="157">
        <v>2025.0</v>
      </c>
    </row>
    <row r="359">
      <c r="A359" s="218">
        <f t="shared" si="2"/>
        <v>356</v>
      </c>
      <c r="B359" s="218" t="s">
        <v>200</v>
      </c>
      <c r="C359" s="219" t="str">
        <f t="shared" si="1"/>
        <v>MS/1874/2025</v>
      </c>
      <c r="D359" s="218" t="b">
        <v>1</v>
      </c>
      <c r="E359" s="219" t="b">
        <v>0</v>
      </c>
      <c r="F359" s="219"/>
      <c r="G359" s="173"/>
      <c r="H359" s="157" t="s">
        <v>6464</v>
      </c>
      <c r="I359" s="157">
        <f t="shared" si="3"/>
        <v>1874</v>
      </c>
      <c r="J359" s="157">
        <v>2025.0</v>
      </c>
    </row>
    <row r="360">
      <c r="A360" s="218">
        <f t="shared" si="2"/>
        <v>357</v>
      </c>
      <c r="B360" s="218" t="s">
        <v>200</v>
      </c>
      <c r="C360" s="219" t="str">
        <f t="shared" si="1"/>
        <v>MS/1875/2025</v>
      </c>
      <c r="D360" s="218" t="b">
        <v>1</v>
      </c>
      <c r="E360" s="219" t="b">
        <v>0</v>
      </c>
      <c r="F360" s="219"/>
      <c r="G360" s="173"/>
      <c r="H360" s="157" t="s">
        <v>6464</v>
      </c>
      <c r="I360" s="157">
        <f t="shared" si="3"/>
        <v>1875</v>
      </c>
      <c r="J360" s="157">
        <v>2025.0</v>
      </c>
    </row>
    <row r="361">
      <c r="A361" s="218">
        <f t="shared" si="2"/>
        <v>358</v>
      </c>
      <c r="B361" s="218" t="s">
        <v>200</v>
      </c>
      <c r="C361" s="219" t="str">
        <f t="shared" si="1"/>
        <v>MS/1876/2025</v>
      </c>
      <c r="D361" s="218" t="b">
        <v>1</v>
      </c>
      <c r="E361" s="219" t="b">
        <v>0</v>
      </c>
      <c r="F361" s="219"/>
      <c r="G361" s="173"/>
      <c r="H361" s="157" t="s">
        <v>6464</v>
      </c>
      <c r="I361" s="157">
        <f t="shared" si="3"/>
        <v>1876</v>
      </c>
      <c r="J361" s="157">
        <v>2025.0</v>
      </c>
    </row>
    <row r="362">
      <c r="A362" s="218">
        <f t="shared" si="2"/>
        <v>359</v>
      </c>
      <c r="B362" s="218" t="s">
        <v>200</v>
      </c>
      <c r="C362" s="219" t="str">
        <f t="shared" si="1"/>
        <v>MS/1877/2025</v>
      </c>
      <c r="D362" s="218" t="b">
        <v>1</v>
      </c>
      <c r="E362" s="219" t="b">
        <v>0</v>
      </c>
      <c r="F362" s="219"/>
      <c r="G362" s="173"/>
      <c r="H362" s="157" t="s">
        <v>6464</v>
      </c>
      <c r="I362" s="157">
        <f t="shared" si="3"/>
        <v>1877</v>
      </c>
      <c r="J362" s="157">
        <v>2025.0</v>
      </c>
    </row>
    <row r="363">
      <c r="A363" s="218">
        <f t="shared" si="2"/>
        <v>360</v>
      </c>
      <c r="B363" s="218" t="s">
        <v>200</v>
      </c>
      <c r="C363" s="219" t="str">
        <f t="shared" si="1"/>
        <v>MS/1878/2025</v>
      </c>
      <c r="D363" s="218" t="b">
        <v>1</v>
      </c>
      <c r="E363" s="219" t="b">
        <v>0</v>
      </c>
      <c r="F363" s="219"/>
      <c r="G363" s="173"/>
      <c r="H363" s="157" t="s">
        <v>6464</v>
      </c>
      <c r="I363" s="157">
        <f t="shared" si="3"/>
        <v>1878</v>
      </c>
      <c r="J363" s="157">
        <v>2025.0</v>
      </c>
    </row>
    <row r="364">
      <c r="A364" s="218">
        <f t="shared" si="2"/>
        <v>361</v>
      </c>
      <c r="B364" s="218" t="s">
        <v>200</v>
      </c>
      <c r="C364" s="219" t="str">
        <f t="shared" si="1"/>
        <v>MS/1879/2025</v>
      </c>
      <c r="D364" s="218" t="b">
        <v>1</v>
      </c>
      <c r="E364" s="219" t="b">
        <v>0</v>
      </c>
      <c r="F364" s="219"/>
      <c r="G364" s="173"/>
      <c r="H364" s="157" t="s">
        <v>6464</v>
      </c>
      <c r="I364" s="157">
        <f t="shared" si="3"/>
        <v>1879</v>
      </c>
      <c r="J364" s="157">
        <v>2025.0</v>
      </c>
    </row>
    <row r="365">
      <c r="A365" s="218">
        <f t="shared" si="2"/>
        <v>362</v>
      </c>
      <c r="B365" s="218" t="s">
        <v>200</v>
      </c>
      <c r="C365" s="219" t="str">
        <f t="shared" si="1"/>
        <v>MS/1880/2025</v>
      </c>
      <c r="D365" s="218" t="b">
        <v>1</v>
      </c>
      <c r="E365" s="219" t="b">
        <v>0</v>
      </c>
      <c r="F365" s="219"/>
      <c r="G365" s="173"/>
      <c r="H365" s="157" t="s">
        <v>6464</v>
      </c>
      <c r="I365" s="157">
        <f t="shared" si="3"/>
        <v>1880</v>
      </c>
      <c r="J365" s="157">
        <v>2025.0</v>
      </c>
    </row>
    <row r="366">
      <c r="A366" s="218">
        <f t="shared" si="2"/>
        <v>363</v>
      </c>
      <c r="B366" s="218" t="s">
        <v>200</v>
      </c>
      <c r="C366" s="219" t="str">
        <f t="shared" si="1"/>
        <v>MS/1881/2025</v>
      </c>
      <c r="D366" s="218" t="b">
        <v>1</v>
      </c>
      <c r="E366" s="219" t="b">
        <v>0</v>
      </c>
      <c r="F366" s="219"/>
      <c r="G366" s="173"/>
      <c r="H366" s="157" t="s">
        <v>6464</v>
      </c>
      <c r="I366" s="157">
        <f t="shared" si="3"/>
        <v>1881</v>
      </c>
      <c r="J366" s="157">
        <v>2025.0</v>
      </c>
    </row>
    <row r="367">
      <c r="A367" s="218">
        <f t="shared" si="2"/>
        <v>364</v>
      </c>
      <c r="B367" s="218" t="s">
        <v>200</v>
      </c>
      <c r="C367" s="219" t="str">
        <f t="shared" si="1"/>
        <v>MS/1882/2025</v>
      </c>
      <c r="D367" s="218" t="b">
        <v>1</v>
      </c>
      <c r="E367" s="219" t="b">
        <v>0</v>
      </c>
      <c r="F367" s="219"/>
      <c r="G367" s="173"/>
      <c r="H367" s="157" t="s">
        <v>6464</v>
      </c>
      <c r="I367" s="157">
        <f t="shared" si="3"/>
        <v>1882</v>
      </c>
      <c r="J367" s="157">
        <v>2025.0</v>
      </c>
    </row>
    <row r="368">
      <c r="A368" s="218">
        <f t="shared" si="2"/>
        <v>365</v>
      </c>
      <c r="B368" s="218" t="s">
        <v>200</v>
      </c>
      <c r="C368" s="219" t="str">
        <f t="shared" si="1"/>
        <v>MS/1883/2025</v>
      </c>
      <c r="D368" s="218" t="b">
        <v>1</v>
      </c>
      <c r="E368" s="219" t="b">
        <v>0</v>
      </c>
      <c r="F368" s="219"/>
      <c r="G368" s="173"/>
      <c r="H368" s="157" t="s">
        <v>6464</v>
      </c>
      <c r="I368" s="157">
        <f t="shared" si="3"/>
        <v>1883</v>
      </c>
      <c r="J368" s="157">
        <v>2025.0</v>
      </c>
    </row>
    <row r="369">
      <c r="A369" s="218">
        <f t="shared" si="2"/>
        <v>366</v>
      </c>
      <c r="B369" s="218" t="s">
        <v>200</v>
      </c>
      <c r="C369" s="219" t="str">
        <f t="shared" si="1"/>
        <v>MS/1884/2025</v>
      </c>
      <c r="D369" s="218" t="b">
        <v>1</v>
      </c>
      <c r="E369" s="219" t="b">
        <v>0</v>
      </c>
      <c r="F369" s="219"/>
      <c r="G369" s="173"/>
      <c r="H369" s="157" t="s">
        <v>6464</v>
      </c>
      <c r="I369" s="157">
        <f t="shared" si="3"/>
        <v>1884</v>
      </c>
      <c r="J369" s="157">
        <v>2025.0</v>
      </c>
    </row>
    <row r="370">
      <c r="A370" s="218">
        <f t="shared" si="2"/>
        <v>367</v>
      </c>
      <c r="B370" s="218" t="s">
        <v>200</v>
      </c>
      <c r="C370" s="219" t="str">
        <f t="shared" si="1"/>
        <v>MS/1885/2025</v>
      </c>
      <c r="D370" s="218" t="b">
        <v>1</v>
      </c>
      <c r="E370" s="219" t="b">
        <v>0</v>
      </c>
      <c r="F370" s="219"/>
      <c r="G370" s="173"/>
      <c r="H370" s="157" t="s">
        <v>6464</v>
      </c>
      <c r="I370" s="157">
        <f t="shared" si="3"/>
        <v>1885</v>
      </c>
      <c r="J370" s="157">
        <v>2025.0</v>
      </c>
    </row>
    <row r="371">
      <c r="A371" s="218">
        <f t="shared" si="2"/>
        <v>368</v>
      </c>
      <c r="B371" s="218" t="s">
        <v>200</v>
      </c>
      <c r="C371" s="219" t="str">
        <f t="shared" si="1"/>
        <v>MS/1886/2025</v>
      </c>
      <c r="D371" s="218" t="b">
        <v>1</v>
      </c>
      <c r="E371" s="219" t="b">
        <v>0</v>
      </c>
      <c r="F371" s="219"/>
      <c r="G371" s="173"/>
      <c r="H371" s="157" t="s">
        <v>6464</v>
      </c>
      <c r="I371" s="157">
        <f t="shared" si="3"/>
        <v>1886</v>
      </c>
      <c r="J371" s="157">
        <v>2025.0</v>
      </c>
    </row>
    <row r="372">
      <c r="A372" s="218">
        <f t="shared" si="2"/>
        <v>369</v>
      </c>
      <c r="B372" s="218" t="s">
        <v>200</v>
      </c>
      <c r="C372" s="219" t="str">
        <f t="shared" si="1"/>
        <v>MS/1887/2025</v>
      </c>
      <c r="D372" s="218" t="b">
        <v>1</v>
      </c>
      <c r="E372" s="219" t="b">
        <v>0</v>
      </c>
      <c r="F372" s="219"/>
      <c r="G372" s="173"/>
      <c r="H372" s="157" t="s">
        <v>6464</v>
      </c>
      <c r="I372" s="157">
        <f t="shared" si="3"/>
        <v>1887</v>
      </c>
      <c r="J372" s="157">
        <v>2025.0</v>
      </c>
    </row>
    <row r="373">
      <c r="A373" s="218">
        <f t="shared" si="2"/>
        <v>370</v>
      </c>
      <c r="B373" s="218" t="s">
        <v>200</v>
      </c>
      <c r="C373" s="219" t="str">
        <f t="shared" si="1"/>
        <v>MS/1888/2025</v>
      </c>
      <c r="D373" s="218" t="b">
        <v>1</v>
      </c>
      <c r="E373" s="219" t="b">
        <v>0</v>
      </c>
      <c r="F373" s="219"/>
      <c r="G373" s="173"/>
      <c r="H373" s="157" t="s">
        <v>6464</v>
      </c>
      <c r="I373" s="157">
        <f t="shared" si="3"/>
        <v>1888</v>
      </c>
      <c r="J373" s="157">
        <v>2025.0</v>
      </c>
    </row>
    <row r="374">
      <c r="A374" s="218">
        <f t="shared" si="2"/>
        <v>371</v>
      </c>
      <c r="B374" s="218" t="s">
        <v>200</v>
      </c>
      <c r="C374" s="219" t="str">
        <f t="shared" si="1"/>
        <v>MS/1889/2025</v>
      </c>
      <c r="D374" s="218" t="b">
        <v>1</v>
      </c>
      <c r="E374" s="219" t="b">
        <v>0</v>
      </c>
      <c r="F374" s="219"/>
      <c r="G374" s="173"/>
      <c r="H374" s="157" t="s">
        <v>6464</v>
      </c>
      <c r="I374" s="157">
        <f t="shared" si="3"/>
        <v>1889</v>
      </c>
      <c r="J374" s="157">
        <v>2025.0</v>
      </c>
    </row>
    <row r="375">
      <c r="A375" s="218">
        <f t="shared" si="2"/>
        <v>372</v>
      </c>
      <c r="B375" s="218" t="s">
        <v>200</v>
      </c>
      <c r="C375" s="219" t="str">
        <f t="shared" si="1"/>
        <v>MS/1890/2025</v>
      </c>
      <c r="D375" s="218" t="b">
        <v>1</v>
      </c>
      <c r="E375" s="219" t="b">
        <v>0</v>
      </c>
      <c r="F375" s="219"/>
      <c r="G375" s="173"/>
      <c r="H375" s="157" t="s">
        <v>6464</v>
      </c>
      <c r="I375" s="157">
        <f t="shared" si="3"/>
        <v>1890</v>
      </c>
      <c r="J375" s="157">
        <v>2025.0</v>
      </c>
    </row>
    <row r="376">
      <c r="A376" s="218">
        <f t="shared" si="2"/>
        <v>373</v>
      </c>
      <c r="B376" s="218" t="s">
        <v>200</v>
      </c>
      <c r="C376" s="219" t="str">
        <f t="shared" si="1"/>
        <v>MS/1891/2025</v>
      </c>
      <c r="D376" s="218" t="b">
        <v>1</v>
      </c>
      <c r="E376" s="219" t="b">
        <v>0</v>
      </c>
      <c r="F376" s="219"/>
      <c r="G376" s="173"/>
      <c r="H376" s="157" t="s">
        <v>6464</v>
      </c>
      <c r="I376" s="157">
        <f t="shared" si="3"/>
        <v>1891</v>
      </c>
      <c r="J376" s="157">
        <v>2025.0</v>
      </c>
    </row>
    <row r="377">
      <c r="A377" s="218">
        <f t="shared" si="2"/>
        <v>374</v>
      </c>
      <c r="B377" s="218" t="s">
        <v>200</v>
      </c>
      <c r="C377" s="219" t="str">
        <f t="shared" si="1"/>
        <v>MS/1892/2025</v>
      </c>
      <c r="D377" s="218" t="b">
        <v>1</v>
      </c>
      <c r="E377" s="219" t="b">
        <v>0</v>
      </c>
      <c r="F377" s="219"/>
      <c r="G377" s="173"/>
      <c r="H377" s="157" t="s">
        <v>6464</v>
      </c>
      <c r="I377" s="157">
        <f t="shared" si="3"/>
        <v>1892</v>
      </c>
      <c r="J377" s="157">
        <v>2025.0</v>
      </c>
    </row>
    <row r="378">
      <c r="A378" s="218">
        <f t="shared" si="2"/>
        <v>375</v>
      </c>
      <c r="B378" s="218" t="s">
        <v>200</v>
      </c>
      <c r="C378" s="219" t="str">
        <f t="shared" si="1"/>
        <v>MS/1893/2025</v>
      </c>
      <c r="D378" s="218" t="b">
        <v>1</v>
      </c>
      <c r="E378" s="219" t="b">
        <v>0</v>
      </c>
      <c r="F378" s="219"/>
      <c r="G378" s="173"/>
      <c r="H378" s="157" t="s">
        <v>6464</v>
      </c>
      <c r="I378" s="157">
        <f t="shared" si="3"/>
        <v>1893</v>
      </c>
      <c r="J378" s="157">
        <v>2025.0</v>
      </c>
    </row>
    <row r="379">
      <c r="A379" s="218">
        <f t="shared" si="2"/>
        <v>376</v>
      </c>
      <c r="B379" s="218" t="s">
        <v>200</v>
      </c>
      <c r="C379" s="219" t="str">
        <f t="shared" si="1"/>
        <v>MS/1894/2025</v>
      </c>
      <c r="D379" s="218" t="b">
        <v>1</v>
      </c>
      <c r="E379" s="219" t="b">
        <v>0</v>
      </c>
      <c r="F379" s="219"/>
      <c r="G379" s="173"/>
      <c r="H379" s="157" t="s">
        <v>6464</v>
      </c>
      <c r="I379" s="157">
        <f t="shared" si="3"/>
        <v>1894</v>
      </c>
      <c r="J379" s="157">
        <v>2025.0</v>
      </c>
    </row>
    <row r="380">
      <c r="A380" s="218">
        <f t="shared" si="2"/>
        <v>377</v>
      </c>
      <c r="B380" s="218" t="s">
        <v>200</v>
      </c>
      <c r="C380" s="219" t="str">
        <f t="shared" si="1"/>
        <v>MS/1895/2025</v>
      </c>
      <c r="D380" s="218" t="b">
        <v>1</v>
      </c>
      <c r="E380" s="219" t="b">
        <v>0</v>
      </c>
      <c r="F380" s="219"/>
      <c r="G380" s="173"/>
      <c r="H380" s="157" t="s">
        <v>6464</v>
      </c>
      <c r="I380" s="157">
        <f t="shared" si="3"/>
        <v>1895</v>
      </c>
      <c r="J380" s="157">
        <v>2025.0</v>
      </c>
    </row>
    <row r="381">
      <c r="A381" s="218">
        <f t="shared" si="2"/>
        <v>378</v>
      </c>
      <c r="B381" s="218" t="s">
        <v>200</v>
      </c>
      <c r="C381" s="219" t="str">
        <f t="shared" si="1"/>
        <v>MS/1896/2025</v>
      </c>
      <c r="D381" s="218" t="b">
        <v>1</v>
      </c>
      <c r="E381" s="219" t="b">
        <v>0</v>
      </c>
      <c r="F381" s="219"/>
      <c r="G381" s="173"/>
      <c r="H381" s="157" t="s">
        <v>6464</v>
      </c>
      <c r="I381" s="157">
        <f t="shared" si="3"/>
        <v>1896</v>
      </c>
      <c r="J381" s="157">
        <v>2025.0</v>
      </c>
    </row>
    <row r="382">
      <c r="A382" s="218">
        <f t="shared" si="2"/>
        <v>379</v>
      </c>
      <c r="B382" s="218" t="s">
        <v>200</v>
      </c>
      <c r="C382" s="219" t="str">
        <f t="shared" si="1"/>
        <v>MS/1897/2025</v>
      </c>
      <c r="D382" s="218" t="b">
        <v>1</v>
      </c>
      <c r="E382" s="219" t="b">
        <v>0</v>
      </c>
      <c r="F382" s="219"/>
      <c r="G382" s="173"/>
      <c r="H382" s="157" t="s">
        <v>6464</v>
      </c>
      <c r="I382" s="157">
        <f t="shared" si="3"/>
        <v>1897</v>
      </c>
      <c r="J382" s="157">
        <v>2025.0</v>
      </c>
    </row>
    <row r="383">
      <c r="A383" s="218">
        <f t="shared" si="2"/>
        <v>380</v>
      </c>
      <c r="B383" s="218" t="s">
        <v>200</v>
      </c>
      <c r="C383" s="219" t="str">
        <f t="shared" si="1"/>
        <v>MS/1898/2025</v>
      </c>
      <c r="D383" s="218" t="b">
        <v>1</v>
      </c>
      <c r="E383" s="219" t="b">
        <v>0</v>
      </c>
      <c r="F383" s="219"/>
      <c r="G383" s="173"/>
      <c r="H383" s="157" t="s">
        <v>6464</v>
      </c>
      <c r="I383" s="157">
        <f t="shared" si="3"/>
        <v>1898</v>
      </c>
      <c r="J383" s="157">
        <v>2025.0</v>
      </c>
    </row>
    <row r="384">
      <c r="A384" s="218">
        <f t="shared" si="2"/>
        <v>381</v>
      </c>
      <c r="B384" s="218" t="s">
        <v>200</v>
      </c>
      <c r="C384" s="219" t="str">
        <f t="shared" si="1"/>
        <v>MS/1899/2025</v>
      </c>
      <c r="D384" s="218" t="b">
        <v>1</v>
      </c>
      <c r="E384" s="219" t="b">
        <v>0</v>
      </c>
      <c r="F384" s="219"/>
      <c r="G384" s="173"/>
      <c r="H384" s="157" t="s">
        <v>6464</v>
      </c>
      <c r="I384" s="157">
        <f t="shared" si="3"/>
        <v>1899</v>
      </c>
      <c r="J384" s="157">
        <v>2025.0</v>
      </c>
    </row>
    <row r="385">
      <c r="A385" s="218">
        <f t="shared" si="2"/>
        <v>382</v>
      </c>
      <c r="B385" s="218" t="s">
        <v>200</v>
      </c>
      <c r="C385" s="219" t="str">
        <f t="shared" si="1"/>
        <v>MS/1900/2025</v>
      </c>
      <c r="D385" s="218" t="b">
        <v>1</v>
      </c>
      <c r="E385" s="219" t="b">
        <v>0</v>
      </c>
      <c r="F385" s="219"/>
      <c r="G385" s="173"/>
      <c r="H385" s="157" t="s">
        <v>6464</v>
      </c>
      <c r="I385" s="157">
        <f t="shared" si="3"/>
        <v>1900</v>
      </c>
      <c r="J385" s="157">
        <v>2025.0</v>
      </c>
    </row>
    <row r="386">
      <c r="A386" s="218">
        <f t="shared" si="2"/>
        <v>383</v>
      </c>
      <c r="B386" s="218" t="s">
        <v>200</v>
      </c>
      <c r="C386" s="219" t="str">
        <f t="shared" si="1"/>
        <v>MS/1901/2025</v>
      </c>
      <c r="D386" s="218" t="b">
        <v>1</v>
      </c>
      <c r="E386" s="219" t="b">
        <v>0</v>
      </c>
      <c r="F386" s="219"/>
      <c r="G386" s="173"/>
      <c r="H386" s="157" t="s">
        <v>6464</v>
      </c>
      <c r="I386" s="157">
        <f t="shared" si="3"/>
        <v>1901</v>
      </c>
      <c r="J386" s="157">
        <v>2025.0</v>
      </c>
    </row>
    <row r="387">
      <c r="A387" s="218">
        <f t="shared" si="2"/>
        <v>384</v>
      </c>
      <c r="B387" s="218" t="s">
        <v>200</v>
      </c>
      <c r="C387" s="219" t="str">
        <f t="shared" si="1"/>
        <v>MS/1902/2025</v>
      </c>
      <c r="D387" s="218" t="b">
        <v>1</v>
      </c>
      <c r="E387" s="219" t="b">
        <v>0</v>
      </c>
      <c r="F387" s="219"/>
      <c r="G387" s="173"/>
      <c r="H387" s="157" t="s">
        <v>6464</v>
      </c>
      <c r="I387" s="157">
        <f t="shared" si="3"/>
        <v>1902</v>
      </c>
      <c r="J387" s="157">
        <v>2025.0</v>
      </c>
    </row>
    <row r="388">
      <c r="A388" s="218">
        <f t="shared" si="2"/>
        <v>385</v>
      </c>
      <c r="B388" s="218" t="s">
        <v>200</v>
      </c>
      <c r="C388" s="219" t="str">
        <f t="shared" si="1"/>
        <v>MS/1903/2025</v>
      </c>
      <c r="D388" s="218" t="b">
        <v>1</v>
      </c>
      <c r="E388" s="219" t="b">
        <v>0</v>
      </c>
      <c r="F388" s="219"/>
      <c r="G388" s="173"/>
      <c r="H388" s="157" t="s">
        <v>6464</v>
      </c>
      <c r="I388" s="157">
        <f t="shared" si="3"/>
        <v>1903</v>
      </c>
      <c r="J388" s="157">
        <v>2025.0</v>
      </c>
    </row>
    <row r="389">
      <c r="A389" s="218">
        <f t="shared" si="2"/>
        <v>386</v>
      </c>
      <c r="B389" s="218" t="s">
        <v>200</v>
      </c>
      <c r="C389" s="219" t="str">
        <f t="shared" si="1"/>
        <v>MS/1904/2025</v>
      </c>
      <c r="D389" s="218" t="b">
        <v>1</v>
      </c>
      <c r="E389" s="219" t="b">
        <v>0</v>
      </c>
      <c r="F389" s="219"/>
      <c r="G389" s="173"/>
      <c r="H389" s="157" t="s">
        <v>6464</v>
      </c>
      <c r="I389" s="157">
        <f t="shared" si="3"/>
        <v>1904</v>
      </c>
      <c r="J389" s="157">
        <v>2025.0</v>
      </c>
    </row>
    <row r="390">
      <c r="A390" s="218">
        <f t="shared" si="2"/>
        <v>387</v>
      </c>
      <c r="B390" s="218" t="s">
        <v>200</v>
      </c>
      <c r="C390" s="219" t="str">
        <f t="shared" si="1"/>
        <v>MS/1905/2025</v>
      </c>
      <c r="D390" s="218" t="b">
        <v>1</v>
      </c>
      <c r="E390" s="219" t="b">
        <v>0</v>
      </c>
      <c r="F390" s="219"/>
      <c r="G390" s="173"/>
      <c r="H390" s="157" t="s">
        <v>6464</v>
      </c>
      <c r="I390" s="157">
        <f t="shared" si="3"/>
        <v>1905</v>
      </c>
      <c r="J390" s="157">
        <v>2025.0</v>
      </c>
    </row>
    <row r="391">
      <c r="A391" s="218">
        <f t="shared" si="2"/>
        <v>388</v>
      </c>
      <c r="B391" s="218" t="s">
        <v>200</v>
      </c>
      <c r="C391" s="219" t="str">
        <f t="shared" si="1"/>
        <v>MS/1906/2025</v>
      </c>
      <c r="D391" s="218" t="b">
        <v>1</v>
      </c>
      <c r="E391" s="219" t="b">
        <v>0</v>
      </c>
      <c r="F391" s="219"/>
      <c r="G391" s="173"/>
      <c r="H391" s="157" t="s">
        <v>6464</v>
      </c>
      <c r="I391" s="157">
        <f t="shared" si="3"/>
        <v>1906</v>
      </c>
      <c r="J391" s="157">
        <v>2025.0</v>
      </c>
    </row>
    <row r="392">
      <c r="A392" s="218">
        <f t="shared" si="2"/>
        <v>389</v>
      </c>
      <c r="B392" s="218" t="s">
        <v>200</v>
      </c>
      <c r="C392" s="219" t="str">
        <f t="shared" si="1"/>
        <v>MS/1907/2025</v>
      </c>
      <c r="D392" s="218" t="b">
        <v>1</v>
      </c>
      <c r="E392" s="219" t="b">
        <v>0</v>
      </c>
      <c r="F392" s="219"/>
      <c r="G392" s="173"/>
      <c r="H392" s="157" t="s">
        <v>6464</v>
      </c>
      <c r="I392" s="157">
        <f t="shared" si="3"/>
        <v>1907</v>
      </c>
      <c r="J392" s="157">
        <v>2025.0</v>
      </c>
    </row>
    <row r="393">
      <c r="A393" s="218">
        <f t="shared" si="2"/>
        <v>390</v>
      </c>
      <c r="B393" s="218" t="s">
        <v>200</v>
      </c>
      <c r="C393" s="219" t="str">
        <f t="shared" si="1"/>
        <v>MS/1908/2025</v>
      </c>
      <c r="D393" s="218" t="b">
        <v>1</v>
      </c>
      <c r="E393" s="219" t="b">
        <v>0</v>
      </c>
      <c r="F393" s="219"/>
      <c r="G393" s="173"/>
      <c r="H393" s="157" t="s">
        <v>6464</v>
      </c>
      <c r="I393" s="157">
        <f t="shared" si="3"/>
        <v>1908</v>
      </c>
      <c r="J393" s="157">
        <v>2025.0</v>
      </c>
    </row>
    <row r="394">
      <c r="A394" s="218">
        <f t="shared" si="2"/>
        <v>391</v>
      </c>
      <c r="B394" s="218" t="s">
        <v>200</v>
      </c>
      <c r="C394" s="219" t="str">
        <f t="shared" si="1"/>
        <v>MS/1909/2025</v>
      </c>
      <c r="D394" s="218" t="b">
        <v>1</v>
      </c>
      <c r="E394" s="219" t="b">
        <v>0</v>
      </c>
      <c r="F394" s="219"/>
      <c r="G394" s="173"/>
      <c r="H394" s="157" t="s">
        <v>6464</v>
      </c>
      <c r="I394" s="157">
        <f t="shared" si="3"/>
        <v>1909</v>
      </c>
      <c r="J394" s="157">
        <v>2025.0</v>
      </c>
    </row>
    <row r="395">
      <c r="A395" s="218">
        <f t="shared" si="2"/>
        <v>392</v>
      </c>
      <c r="B395" s="218" t="s">
        <v>200</v>
      </c>
      <c r="C395" s="219" t="str">
        <f t="shared" si="1"/>
        <v>MS/1910/2025</v>
      </c>
      <c r="D395" s="218" t="b">
        <v>1</v>
      </c>
      <c r="E395" s="219" t="b">
        <v>0</v>
      </c>
      <c r="F395" s="219"/>
      <c r="G395" s="173"/>
      <c r="H395" s="157" t="s">
        <v>6464</v>
      </c>
      <c r="I395" s="157">
        <f t="shared" si="3"/>
        <v>1910</v>
      </c>
      <c r="J395" s="157">
        <v>2025.0</v>
      </c>
    </row>
    <row r="396">
      <c r="A396" s="218">
        <f t="shared" si="2"/>
        <v>393</v>
      </c>
      <c r="B396" s="218" t="s">
        <v>200</v>
      </c>
      <c r="C396" s="219" t="str">
        <f t="shared" si="1"/>
        <v>MS/1911/2025</v>
      </c>
      <c r="D396" s="218" t="b">
        <v>1</v>
      </c>
      <c r="E396" s="219" t="b">
        <v>0</v>
      </c>
      <c r="F396" s="219"/>
      <c r="G396" s="173"/>
      <c r="H396" s="157" t="s">
        <v>6464</v>
      </c>
      <c r="I396" s="157">
        <f t="shared" si="3"/>
        <v>1911</v>
      </c>
      <c r="J396" s="157">
        <v>2025.0</v>
      </c>
    </row>
    <row r="397">
      <c r="A397" s="218">
        <f t="shared" si="2"/>
        <v>394</v>
      </c>
      <c r="B397" s="218" t="s">
        <v>200</v>
      </c>
      <c r="C397" s="219" t="str">
        <f t="shared" si="1"/>
        <v>MS/1912/2025</v>
      </c>
      <c r="D397" s="218" t="b">
        <v>1</v>
      </c>
      <c r="E397" s="219" t="b">
        <v>0</v>
      </c>
      <c r="F397" s="219"/>
      <c r="G397" s="173"/>
      <c r="H397" s="157" t="s">
        <v>6464</v>
      </c>
      <c r="I397" s="157">
        <f t="shared" si="3"/>
        <v>1912</v>
      </c>
      <c r="J397" s="157">
        <v>2025.0</v>
      </c>
    </row>
    <row r="398">
      <c r="A398" s="218">
        <f t="shared" si="2"/>
        <v>395</v>
      </c>
      <c r="B398" s="218" t="s">
        <v>200</v>
      </c>
      <c r="C398" s="219" t="str">
        <f t="shared" si="1"/>
        <v>MS/1913/2025</v>
      </c>
      <c r="D398" s="218" t="b">
        <v>1</v>
      </c>
      <c r="E398" s="219" t="b">
        <v>0</v>
      </c>
      <c r="F398" s="219"/>
      <c r="G398" s="173"/>
      <c r="H398" s="157" t="s">
        <v>6464</v>
      </c>
      <c r="I398" s="157">
        <f t="shared" si="3"/>
        <v>1913</v>
      </c>
      <c r="J398" s="157">
        <v>2025.0</v>
      </c>
    </row>
    <row r="399">
      <c r="A399" s="218">
        <f t="shared" si="2"/>
        <v>396</v>
      </c>
      <c r="B399" s="218" t="s">
        <v>200</v>
      </c>
      <c r="C399" s="219" t="str">
        <f t="shared" si="1"/>
        <v>MS/1914/2025</v>
      </c>
      <c r="D399" s="218" t="b">
        <v>1</v>
      </c>
      <c r="E399" s="219" t="b">
        <v>0</v>
      </c>
      <c r="F399" s="219"/>
      <c r="G399" s="173"/>
      <c r="H399" s="157" t="s">
        <v>6464</v>
      </c>
      <c r="I399" s="157">
        <f t="shared" si="3"/>
        <v>1914</v>
      </c>
      <c r="J399" s="157">
        <v>2025.0</v>
      </c>
    </row>
    <row r="400">
      <c r="A400" s="218">
        <f t="shared" si="2"/>
        <v>397</v>
      </c>
      <c r="B400" s="218" t="s">
        <v>200</v>
      </c>
      <c r="C400" s="219" t="str">
        <f t="shared" si="1"/>
        <v>MS/1915/2025</v>
      </c>
      <c r="D400" s="218" t="b">
        <v>1</v>
      </c>
      <c r="E400" s="219" t="b">
        <v>0</v>
      </c>
      <c r="F400" s="219"/>
      <c r="G400" s="173"/>
      <c r="H400" s="157" t="s">
        <v>6464</v>
      </c>
      <c r="I400" s="157">
        <f t="shared" si="3"/>
        <v>1915</v>
      </c>
      <c r="J400" s="157">
        <v>2025.0</v>
      </c>
    </row>
    <row r="401">
      <c r="A401" s="218">
        <f t="shared" si="2"/>
        <v>398</v>
      </c>
      <c r="B401" s="218" t="s">
        <v>200</v>
      </c>
      <c r="C401" s="219" t="str">
        <f t="shared" si="1"/>
        <v>MS/1916/2025</v>
      </c>
      <c r="D401" s="218" t="b">
        <v>1</v>
      </c>
      <c r="E401" s="219" t="b">
        <v>0</v>
      </c>
      <c r="F401" s="219"/>
      <c r="G401" s="173"/>
      <c r="H401" s="157" t="s">
        <v>6464</v>
      </c>
      <c r="I401" s="157">
        <f t="shared" si="3"/>
        <v>1916</v>
      </c>
      <c r="J401" s="157">
        <v>2025.0</v>
      </c>
    </row>
    <row r="402">
      <c r="A402" s="218">
        <f t="shared" si="2"/>
        <v>399</v>
      </c>
      <c r="B402" s="218" t="s">
        <v>200</v>
      </c>
      <c r="C402" s="219" t="str">
        <f t="shared" si="1"/>
        <v>MS/1917/2025</v>
      </c>
      <c r="D402" s="218" t="b">
        <v>1</v>
      </c>
      <c r="E402" s="219" t="b">
        <v>0</v>
      </c>
      <c r="F402" s="219"/>
      <c r="G402" s="173"/>
      <c r="H402" s="157" t="s">
        <v>6464</v>
      </c>
      <c r="I402" s="157">
        <f t="shared" si="3"/>
        <v>1917</v>
      </c>
      <c r="J402" s="157">
        <v>2025.0</v>
      </c>
    </row>
    <row r="403">
      <c r="A403" s="218">
        <f t="shared" si="2"/>
        <v>400</v>
      </c>
      <c r="B403" s="218" t="s">
        <v>200</v>
      </c>
      <c r="C403" s="219" t="str">
        <f t="shared" si="1"/>
        <v>MS/1918/2025</v>
      </c>
      <c r="D403" s="218" t="b">
        <v>1</v>
      </c>
      <c r="E403" s="219" t="b">
        <v>0</v>
      </c>
      <c r="F403" s="219"/>
      <c r="G403" s="173"/>
      <c r="H403" s="157" t="s">
        <v>6464</v>
      </c>
      <c r="I403" s="157">
        <f t="shared" si="3"/>
        <v>1918</v>
      </c>
      <c r="J403" s="157">
        <v>2025.0</v>
      </c>
    </row>
    <row r="404">
      <c r="A404" s="218">
        <f t="shared" si="2"/>
        <v>401</v>
      </c>
      <c r="B404" s="218" t="s">
        <v>200</v>
      </c>
      <c r="C404" s="219" t="str">
        <f t="shared" si="1"/>
        <v>MS/1919/2025</v>
      </c>
      <c r="D404" s="218" t="b">
        <v>1</v>
      </c>
      <c r="E404" s="219" t="b">
        <v>0</v>
      </c>
      <c r="F404" s="234">
        <v>45869.0</v>
      </c>
      <c r="G404" s="173"/>
      <c r="H404" s="157" t="s">
        <v>6464</v>
      </c>
      <c r="I404" s="157">
        <f t="shared" si="3"/>
        <v>1919</v>
      </c>
      <c r="J404" s="157">
        <v>2025.0</v>
      </c>
    </row>
    <row r="405">
      <c r="A405" s="218">
        <f t="shared" si="2"/>
        <v>402</v>
      </c>
      <c r="B405" s="218" t="s">
        <v>200</v>
      </c>
      <c r="C405" s="219" t="str">
        <f t="shared" si="1"/>
        <v>MS/1920/2025</v>
      </c>
      <c r="D405" s="218" t="b">
        <v>1</v>
      </c>
      <c r="E405" s="219" t="b">
        <v>0</v>
      </c>
      <c r="F405" s="234">
        <v>45869.0</v>
      </c>
      <c r="G405" s="173"/>
      <c r="H405" s="157" t="s">
        <v>6464</v>
      </c>
      <c r="I405" s="157">
        <f t="shared" si="3"/>
        <v>1920</v>
      </c>
      <c r="J405" s="157">
        <v>2025.0</v>
      </c>
    </row>
    <row r="406">
      <c r="A406" s="218">
        <f t="shared" si="2"/>
        <v>403</v>
      </c>
      <c r="B406" s="218" t="s">
        <v>200</v>
      </c>
      <c r="C406" s="219" t="str">
        <f t="shared" si="1"/>
        <v>MS/1921/2025</v>
      </c>
      <c r="D406" s="218" t="b">
        <v>1</v>
      </c>
      <c r="E406" s="219" t="b">
        <v>0</v>
      </c>
      <c r="F406" s="219"/>
      <c r="G406" s="173"/>
      <c r="H406" s="157" t="s">
        <v>6464</v>
      </c>
      <c r="I406" s="157">
        <f t="shared" si="3"/>
        <v>1921</v>
      </c>
      <c r="J406" s="157">
        <v>2025.0</v>
      </c>
    </row>
    <row r="407">
      <c r="A407" s="218">
        <f t="shared" si="2"/>
        <v>404</v>
      </c>
      <c r="B407" s="218" t="s">
        <v>200</v>
      </c>
      <c r="C407" s="219" t="str">
        <f t="shared" si="1"/>
        <v>MS/1922/2025</v>
      </c>
      <c r="D407" s="218" t="b">
        <v>1</v>
      </c>
      <c r="E407" s="219" t="b">
        <v>0</v>
      </c>
      <c r="F407" s="219"/>
      <c r="G407" s="173"/>
      <c r="H407" s="157" t="s">
        <v>6464</v>
      </c>
      <c r="I407" s="157">
        <f t="shared" si="3"/>
        <v>1922</v>
      </c>
      <c r="J407" s="157">
        <v>2025.0</v>
      </c>
    </row>
    <row r="408">
      <c r="A408" s="218">
        <f t="shared" si="2"/>
        <v>405</v>
      </c>
      <c r="B408" s="218" t="s">
        <v>200</v>
      </c>
      <c r="C408" s="219" t="str">
        <f t="shared" si="1"/>
        <v>MS/1923/2025</v>
      </c>
      <c r="D408" s="218" t="b">
        <v>1</v>
      </c>
      <c r="E408" s="219" t="b">
        <v>0</v>
      </c>
      <c r="F408" s="219"/>
      <c r="G408" s="173"/>
      <c r="H408" s="157" t="s">
        <v>6464</v>
      </c>
      <c r="I408" s="157">
        <f t="shared" si="3"/>
        <v>1923</v>
      </c>
      <c r="J408" s="157">
        <v>2025.0</v>
      </c>
    </row>
    <row r="409">
      <c r="A409" s="218">
        <f t="shared" si="2"/>
        <v>406</v>
      </c>
      <c r="B409" s="218" t="s">
        <v>200</v>
      </c>
      <c r="C409" s="219" t="str">
        <f t="shared" si="1"/>
        <v>MS/1924/2025</v>
      </c>
      <c r="D409" s="218" t="b">
        <v>1</v>
      </c>
      <c r="E409" s="219" t="b">
        <v>0</v>
      </c>
      <c r="F409" s="219"/>
      <c r="G409" s="173"/>
      <c r="H409" s="157" t="s">
        <v>6464</v>
      </c>
      <c r="I409" s="157">
        <f t="shared" si="3"/>
        <v>1924</v>
      </c>
      <c r="J409" s="157">
        <v>2025.0</v>
      </c>
    </row>
    <row r="410">
      <c r="A410" s="218">
        <f t="shared" si="2"/>
        <v>407</v>
      </c>
      <c r="B410" s="218" t="s">
        <v>200</v>
      </c>
      <c r="C410" s="219" t="str">
        <f t="shared" si="1"/>
        <v>MS/1925/2025</v>
      </c>
      <c r="D410" s="218" t="b">
        <v>1</v>
      </c>
      <c r="E410" s="219" t="b">
        <v>0</v>
      </c>
      <c r="F410" s="219"/>
      <c r="G410" s="173"/>
      <c r="H410" s="157" t="s">
        <v>6464</v>
      </c>
      <c r="I410" s="157">
        <f t="shared" si="3"/>
        <v>1925</v>
      </c>
      <c r="J410" s="157">
        <v>2025.0</v>
      </c>
    </row>
    <row r="411">
      <c r="A411" s="218">
        <f t="shared" si="2"/>
        <v>408</v>
      </c>
      <c r="B411" s="218" t="s">
        <v>200</v>
      </c>
      <c r="C411" s="219" t="str">
        <f t="shared" si="1"/>
        <v>MS/1926/2025</v>
      </c>
      <c r="D411" s="218" t="b">
        <v>1</v>
      </c>
      <c r="E411" s="219" t="b">
        <v>0</v>
      </c>
      <c r="F411" s="219"/>
      <c r="G411" s="173"/>
      <c r="H411" s="157" t="s">
        <v>6464</v>
      </c>
      <c r="I411" s="157">
        <f t="shared" si="3"/>
        <v>1926</v>
      </c>
      <c r="J411" s="157">
        <v>2025.0</v>
      </c>
    </row>
    <row r="412">
      <c r="A412" s="218">
        <f t="shared" si="2"/>
        <v>409</v>
      </c>
      <c r="B412" s="218" t="s">
        <v>200</v>
      </c>
      <c r="C412" s="219" t="str">
        <f t="shared" si="1"/>
        <v>MS/1927/2025</v>
      </c>
      <c r="D412" s="218" t="b">
        <v>1</v>
      </c>
      <c r="E412" s="219" t="b">
        <v>0</v>
      </c>
      <c r="F412" s="219"/>
      <c r="G412" s="173"/>
      <c r="H412" s="157" t="s">
        <v>6464</v>
      </c>
      <c r="I412" s="157">
        <f t="shared" si="3"/>
        <v>1927</v>
      </c>
      <c r="J412" s="157">
        <v>2025.0</v>
      </c>
    </row>
    <row r="413">
      <c r="A413" s="218">
        <f t="shared" si="2"/>
        <v>410</v>
      </c>
      <c r="B413" s="218" t="s">
        <v>200</v>
      </c>
      <c r="C413" s="219" t="str">
        <f t="shared" si="1"/>
        <v>MS/1928/2025</v>
      </c>
      <c r="D413" s="218" t="b">
        <v>1</v>
      </c>
      <c r="E413" s="219" t="b">
        <v>0</v>
      </c>
      <c r="F413" s="219"/>
      <c r="G413" s="173"/>
      <c r="H413" s="157" t="s">
        <v>6464</v>
      </c>
      <c r="I413" s="157">
        <f t="shared" si="3"/>
        <v>1928</v>
      </c>
      <c r="J413" s="157">
        <v>2025.0</v>
      </c>
    </row>
    <row r="414">
      <c r="A414" s="218">
        <f t="shared" si="2"/>
        <v>411</v>
      </c>
      <c r="B414" s="218" t="s">
        <v>200</v>
      </c>
      <c r="C414" s="219" t="str">
        <f t="shared" si="1"/>
        <v>MS/1929/2025</v>
      </c>
      <c r="D414" s="218" t="b">
        <v>1</v>
      </c>
      <c r="E414" s="219" t="b">
        <v>0</v>
      </c>
      <c r="F414" s="219"/>
      <c r="G414" s="173"/>
      <c r="H414" s="157" t="s">
        <v>6464</v>
      </c>
      <c r="I414" s="157">
        <f t="shared" si="3"/>
        <v>1929</v>
      </c>
      <c r="J414" s="157">
        <v>2025.0</v>
      </c>
    </row>
    <row r="415">
      <c r="A415" s="218">
        <f t="shared" si="2"/>
        <v>412</v>
      </c>
      <c r="B415" s="218" t="s">
        <v>200</v>
      </c>
      <c r="C415" s="219" t="str">
        <f t="shared" si="1"/>
        <v>MS/1930/2025</v>
      </c>
      <c r="D415" s="218" t="b">
        <v>1</v>
      </c>
      <c r="E415" s="219" t="b">
        <v>0</v>
      </c>
      <c r="F415" s="219"/>
      <c r="G415" s="173"/>
      <c r="H415" s="157" t="s">
        <v>6464</v>
      </c>
      <c r="I415" s="157">
        <f t="shared" si="3"/>
        <v>1930</v>
      </c>
      <c r="J415" s="157">
        <v>2025.0</v>
      </c>
    </row>
    <row r="416">
      <c r="A416" s="218">
        <f t="shared" si="2"/>
        <v>413</v>
      </c>
      <c r="B416" s="218" t="s">
        <v>200</v>
      </c>
      <c r="C416" s="219" t="str">
        <f t="shared" si="1"/>
        <v>MS/1931/2025</v>
      </c>
      <c r="D416" s="218" t="b">
        <v>1</v>
      </c>
      <c r="E416" s="219" t="b">
        <v>0</v>
      </c>
      <c r="F416" s="219"/>
      <c r="G416" s="173"/>
      <c r="H416" s="157" t="s">
        <v>6464</v>
      </c>
      <c r="I416" s="157">
        <f t="shared" si="3"/>
        <v>1931</v>
      </c>
      <c r="J416" s="157">
        <v>2025.0</v>
      </c>
    </row>
    <row r="417">
      <c r="A417" s="218">
        <f t="shared" si="2"/>
        <v>414</v>
      </c>
      <c r="B417" s="218" t="s">
        <v>200</v>
      </c>
      <c r="C417" s="219" t="str">
        <f t="shared" si="1"/>
        <v>MS/1932/2025</v>
      </c>
      <c r="D417" s="218" t="b">
        <v>1</v>
      </c>
      <c r="E417" s="219" t="b">
        <v>0</v>
      </c>
      <c r="F417" s="219"/>
      <c r="G417" s="173"/>
      <c r="H417" s="157" t="s">
        <v>6464</v>
      </c>
      <c r="I417" s="157">
        <f t="shared" si="3"/>
        <v>1932</v>
      </c>
      <c r="J417" s="157">
        <v>2025.0</v>
      </c>
    </row>
    <row r="418">
      <c r="A418" s="218">
        <f t="shared" si="2"/>
        <v>415</v>
      </c>
      <c r="B418" s="218" t="s">
        <v>200</v>
      </c>
      <c r="C418" s="219" t="str">
        <f t="shared" si="1"/>
        <v>MS/1933/2025</v>
      </c>
      <c r="D418" s="218" t="b">
        <v>1</v>
      </c>
      <c r="E418" s="219" t="b">
        <v>0</v>
      </c>
      <c r="F418" s="219"/>
      <c r="G418" s="173"/>
      <c r="H418" s="157" t="s">
        <v>6464</v>
      </c>
      <c r="I418" s="157">
        <f t="shared" si="3"/>
        <v>1933</v>
      </c>
      <c r="J418" s="157">
        <v>2025.0</v>
      </c>
    </row>
    <row r="419">
      <c r="A419" s="218">
        <f t="shared" si="2"/>
        <v>416</v>
      </c>
      <c r="B419" s="218" t="s">
        <v>200</v>
      </c>
      <c r="C419" s="219" t="str">
        <f t="shared" si="1"/>
        <v>MS/1934/2025</v>
      </c>
      <c r="D419" s="218" t="b">
        <v>1</v>
      </c>
      <c r="E419" s="219" t="b">
        <v>0</v>
      </c>
      <c r="F419" s="219"/>
      <c r="G419" s="173"/>
      <c r="H419" s="157" t="s">
        <v>6464</v>
      </c>
      <c r="I419" s="157">
        <f t="shared" si="3"/>
        <v>1934</v>
      </c>
      <c r="J419" s="157">
        <v>2025.0</v>
      </c>
    </row>
    <row r="420">
      <c r="A420" s="218">
        <f t="shared" si="2"/>
        <v>417</v>
      </c>
      <c r="B420" s="218" t="s">
        <v>200</v>
      </c>
      <c r="C420" s="219" t="str">
        <f t="shared" si="1"/>
        <v>MS/1935/2025</v>
      </c>
      <c r="D420" s="218" t="b">
        <v>1</v>
      </c>
      <c r="E420" s="219" t="b">
        <v>0</v>
      </c>
      <c r="F420" s="219"/>
      <c r="G420" s="173"/>
      <c r="H420" s="157" t="s">
        <v>6464</v>
      </c>
      <c r="I420" s="157">
        <f t="shared" si="3"/>
        <v>1935</v>
      </c>
      <c r="J420" s="157">
        <v>2025.0</v>
      </c>
    </row>
    <row r="421">
      <c r="A421" s="218">
        <f t="shared" si="2"/>
        <v>418</v>
      </c>
      <c r="B421" s="218" t="s">
        <v>200</v>
      </c>
      <c r="C421" s="219" t="str">
        <f t="shared" si="1"/>
        <v>MS/1936/2025</v>
      </c>
      <c r="D421" s="218" t="b">
        <v>1</v>
      </c>
      <c r="E421" s="219" t="b">
        <v>0</v>
      </c>
      <c r="F421" s="219"/>
      <c r="G421" s="173"/>
      <c r="H421" s="157" t="s">
        <v>6464</v>
      </c>
      <c r="I421" s="157">
        <f t="shared" si="3"/>
        <v>1936</v>
      </c>
      <c r="J421" s="157">
        <v>2025.0</v>
      </c>
    </row>
    <row r="422">
      <c r="A422" s="218">
        <f t="shared" si="2"/>
        <v>419</v>
      </c>
      <c r="B422" s="218" t="s">
        <v>200</v>
      </c>
      <c r="C422" s="219" t="str">
        <f t="shared" si="1"/>
        <v>MS/1937/2025</v>
      </c>
      <c r="D422" s="218" t="b">
        <v>1</v>
      </c>
      <c r="E422" s="219" t="b">
        <v>0</v>
      </c>
      <c r="F422" s="219"/>
      <c r="G422" s="173"/>
      <c r="H422" s="157" t="s">
        <v>6464</v>
      </c>
      <c r="I422" s="157">
        <f t="shared" si="3"/>
        <v>1937</v>
      </c>
      <c r="J422" s="157">
        <v>2025.0</v>
      </c>
    </row>
    <row r="423">
      <c r="A423" s="218">
        <f t="shared" si="2"/>
        <v>420</v>
      </c>
      <c r="B423" s="218" t="s">
        <v>200</v>
      </c>
      <c r="C423" s="219" t="str">
        <f t="shared" si="1"/>
        <v>MS/1938/2025</v>
      </c>
      <c r="D423" s="218" t="b">
        <v>1</v>
      </c>
      <c r="E423" s="219" t="b">
        <v>0</v>
      </c>
      <c r="F423" s="219"/>
      <c r="G423" s="173"/>
      <c r="H423" s="157" t="s">
        <v>6464</v>
      </c>
      <c r="I423" s="157">
        <f t="shared" si="3"/>
        <v>1938</v>
      </c>
      <c r="J423" s="157">
        <v>2025.0</v>
      </c>
    </row>
    <row r="424">
      <c r="A424" s="218">
        <f t="shared" si="2"/>
        <v>421</v>
      </c>
      <c r="B424" s="218" t="s">
        <v>200</v>
      </c>
      <c r="C424" s="219" t="str">
        <f t="shared" si="1"/>
        <v>MS/1939/2025</v>
      </c>
      <c r="D424" s="218" t="b">
        <v>1</v>
      </c>
      <c r="E424" s="219" t="b">
        <v>0</v>
      </c>
      <c r="F424" s="219"/>
      <c r="G424" s="173"/>
      <c r="H424" s="157" t="s">
        <v>6464</v>
      </c>
      <c r="I424" s="157">
        <f t="shared" si="3"/>
        <v>1939</v>
      </c>
      <c r="J424" s="157">
        <v>2025.0</v>
      </c>
    </row>
    <row r="425">
      <c r="A425" s="218">
        <f t="shared" si="2"/>
        <v>422</v>
      </c>
      <c r="B425" s="218" t="s">
        <v>200</v>
      </c>
      <c r="C425" s="219" t="str">
        <f t="shared" si="1"/>
        <v>MS/1940/2025</v>
      </c>
      <c r="D425" s="218" t="b">
        <v>1</v>
      </c>
      <c r="E425" s="219" t="b">
        <v>0</v>
      </c>
      <c r="F425" s="219"/>
      <c r="G425" s="173"/>
      <c r="H425" s="157" t="s">
        <v>6464</v>
      </c>
      <c r="I425" s="157">
        <f t="shared" si="3"/>
        <v>1940</v>
      </c>
      <c r="J425" s="157">
        <v>2025.0</v>
      </c>
    </row>
    <row r="426">
      <c r="A426" s="218">
        <f t="shared" si="2"/>
        <v>423</v>
      </c>
      <c r="B426" s="218" t="s">
        <v>200</v>
      </c>
      <c r="C426" s="219" t="str">
        <f t="shared" si="1"/>
        <v>MS/1941/2025</v>
      </c>
      <c r="D426" s="218" t="b">
        <v>1</v>
      </c>
      <c r="E426" s="219" t="b">
        <v>0</v>
      </c>
      <c r="F426" s="219"/>
      <c r="G426" s="173"/>
      <c r="H426" s="157" t="s">
        <v>6464</v>
      </c>
      <c r="I426" s="157">
        <f t="shared" si="3"/>
        <v>1941</v>
      </c>
      <c r="J426" s="157">
        <v>2025.0</v>
      </c>
    </row>
    <row r="427">
      <c r="A427" s="218">
        <f t="shared" si="2"/>
        <v>424</v>
      </c>
      <c r="B427" s="218" t="s">
        <v>200</v>
      </c>
      <c r="C427" s="219" t="str">
        <f t="shared" si="1"/>
        <v>MS/1942/2025</v>
      </c>
      <c r="D427" s="218" t="b">
        <v>1</v>
      </c>
      <c r="E427" s="219" t="b">
        <v>0</v>
      </c>
      <c r="F427" s="219"/>
      <c r="G427" s="173"/>
      <c r="H427" s="157" t="s">
        <v>6464</v>
      </c>
      <c r="I427" s="157">
        <f t="shared" si="3"/>
        <v>1942</v>
      </c>
      <c r="J427" s="157">
        <v>2025.0</v>
      </c>
    </row>
    <row r="428">
      <c r="A428" s="218">
        <f t="shared" si="2"/>
        <v>425</v>
      </c>
      <c r="B428" s="218" t="s">
        <v>200</v>
      </c>
      <c r="C428" s="219" t="str">
        <f t="shared" si="1"/>
        <v>MS/1943/2025</v>
      </c>
      <c r="D428" s="218" t="b">
        <v>1</v>
      </c>
      <c r="E428" s="219" t="b">
        <v>0</v>
      </c>
      <c r="F428" s="219"/>
      <c r="G428" s="173"/>
      <c r="H428" s="157" t="s">
        <v>6464</v>
      </c>
      <c r="I428" s="157">
        <f t="shared" si="3"/>
        <v>1943</v>
      </c>
      <c r="J428" s="157">
        <v>2025.0</v>
      </c>
    </row>
    <row r="429">
      <c r="A429" s="218">
        <f t="shared" si="2"/>
        <v>426</v>
      </c>
      <c r="B429" s="218" t="s">
        <v>200</v>
      </c>
      <c r="C429" s="219" t="str">
        <f t="shared" si="1"/>
        <v>MS/1944/2025</v>
      </c>
      <c r="D429" s="218" t="b">
        <v>1</v>
      </c>
      <c r="E429" s="219" t="b">
        <v>0</v>
      </c>
      <c r="F429" s="219"/>
      <c r="G429" s="173"/>
      <c r="H429" s="157" t="s">
        <v>6464</v>
      </c>
      <c r="I429" s="157">
        <f t="shared" si="3"/>
        <v>1944</v>
      </c>
      <c r="J429" s="157">
        <v>2025.0</v>
      </c>
    </row>
    <row r="430">
      <c r="A430" s="218">
        <f t="shared" si="2"/>
        <v>427</v>
      </c>
      <c r="B430" s="218" t="s">
        <v>200</v>
      </c>
      <c r="C430" s="219" t="str">
        <f t="shared" si="1"/>
        <v>MS/1945/2025</v>
      </c>
      <c r="D430" s="218" t="b">
        <v>1</v>
      </c>
      <c r="E430" s="219" t="b">
        <v>0</v>
      </c>
      <c r="F430" s="219"/>
      <c r="G430" s="173"/>
      <c r="H430" s="157" t="s">
        <v>6464</v>
      </c>
      <c r="I430" s="157">
        <f t="shared" si="3"/>
        <v>1945</v>
      </c>
      <c r="J430" s="157">
        <v>2025.0</v>
      </c>
    </row>
    <row r="431">
      <c r="A431" s="218">
        <f t="shared" si="2"/>
        <v>428</v>
      </c>
      <c r="B431" s="218" t="s">
        <v>200</v>
      </c>
      <c r="C431" s="219" t="str">
        <f t="shared" si="1"/>
        <v>MS/1946/2025</v>
      </c>
      <c r="D431" s="218" t="b">
        <v>1</v>
      </c>
      <c r="E431" s="219" t="b">
        <v>0</v>
      </c>
      <c r="F431" s="219"/>
      <c r="G431" s="173"/>
      <c r="H431" s="157" t="s">
        <v>6464</v>
      </c>
      <c r="I431" s="157">
        <f t="shared" si="3"/>
        <v>1946</v>
      </c>
      <c r="J431" s="157">
        <v>2025.0</v>
      </c>
    </row>
    <row r="432">
      <c r="A432" s="218">
        <f t="shared" si="2"/>
        <v>429</v>
      </c>
      <c r="B432" s="218" t="s">
        <v>200</v>
      </c>
      <c r="C432" s="219" t="str">
        <f t="shared" si="1"/>
        <v>MS/1947/2025</v>
      </c>
      <c r="D432" s="218" t="b">
        <v>1</v>
      </c>
      <c r="E432" s="219" t="b">
        <v>0</v>
      </c>
      <c r="F432" s="219"/>
      <c r="G432" s="173"/>
      <c r="H432" s="157" t="s">
        <v>6464</v>
      </c>
      <c r="I432" s="157">
        <f t="shared" si="3"/>
        <v>1947</v>
      </c>
      <c r="J432" s="157">
        <v>2025.0</v>
      </c>
    </row>
    <row r="433">
      <c r="A433" s="218">
        <f t="shared" si="2"/>
        <v>430</v>
      </c>
      <c r="B433" s="218" t="s">
        <v>200</v>
      </c>
      <c r="C433" s="219" t="str">
        <f t="shared" si="1"/>
        <v>MS/1948/2025</v>
      </c>
      <c r="D433" s="218" t="b">
        <v>1</v>
      </c>
      <c r="E433" s="219" t="b">
        <v>0</v>
      </c>
      <c r="F433" s="219"/>
      <c r="G433" s="173"/>
      <c r="H433" s="157" t="s">
        <v>6464</v>
      </c>
      <c r="I433" s="157">
        <f t="shared" si="3"/>
        <v>1948</v>
      </c>
      <c r="J433" s="157">
        <v>2025.0</v>
      </c>
    </row>
    <row r="434">
      <c r="A434" s="218">
        <f t="shared" si="2"/>
        <v>431</v>
      </c>
      <c r="B434" s="218" t="s">
        <v>200</v>
      </c>
      <c r="C434" s="219" t="str">
        <f t="shared" si="1"/>
        <v>MS/1949/2025</v>
      </c>
      <c r="D434" s="218" t="b">
        <v>1</v>
      </c>
      <c r="E434" s="219" t="b">
        <v>0</v>
      </c>
      <c r="F434" s="219"/>
      <c r="G434" s="173"/>
      <c r="H434" s="157" t="s">
        <v>6464</v>
      </c>
      <c r="I434" s="157">
        <f t="shared" si="3"/>
        <v>1949</v>
      </c>
      <c r="J434" s="157">
        <v>2025.0</v>
      </c>
    </row>
    <row r="435">
      <c r="A435" s="218">
        <f t="shared" si="2"/>
        <v>432</v>
      </c>
      <c r="B435" s="218" t="s">
        <v>200</v>
      </c>
      <c r="C435" s="219" t="str">
        <f t="shared" si="1"/>
        <v>MS/1950/2025</v>
      </c>
      <c r="D435" s="218" t="b">
        <v>1</v>
      </c>
      <c r="E435" s="219" t="b">
        <v>0</v>
      </c>
      <c r="F435" s="219"/>
      <c r="G435" s="173"/>
      <c r="H435" s="157" t="s">
        <v>6464</v>
      </c>
      <c r="I435" s="157">
        <f t="shared" si="3"/>
        <v>1950</v>
      </c>
      <c r="J435" s="157">
        <v>2025.0</v>
      </c>
    </row>
    <row r="436">
      <c r="A436" s="218">
        <f t="shared" si="2"/>
        <v>433</v>
      </c>
      <c r="B436" s="218" t="s">
        <v>200</v>
      </c>
      <c r="C436" s="219" t="str">
        <f t="shared" si="1"/>
        <v>MS/1951/2025</v>
      </c>
      <c r="D436" s="218" t="b">
        <v>1</v>
      </c>
      <c r="E436" s="219" t="b">
        <v>0</v>
      </c>
      <c r="F436" s="219"/>
      <c r="G436" s="173"/>
      <c r="H436" s="157" t="s">
        <v>6464</v>
      </c>
      <c r="I436" s="157">
        <f t="shared" si="3"/>
        <v>1951</v>
      </c>
      <c r="J436" s="157">
        <v>2025.0</v>
      </c>
    </row>
    <row r="437">
      <c r="A437" s="218">
        <f t="shared" si="2"/>
        <v>434</v>
      </c>
      <c r="B437" s="218" t="s">
        <v>200</v>
      </c>
      <c r="C437" s="219" t="str">
        <f t="shared" si="1"/>
        <v>MS/1952/2025</v>
      </c>
      <c r="D437" s="218" t="b">
        <v>1</v>
      </c>
      <c r="E437" s="219" t="b">
        <v>0</v>
      </c>
      <c r="F437" s="219"/>
      <c r="G437" s="173"/>
      <c r="H437" s="157" t="s">
        <v>6464</v>
      </c>
      <c r="I437" s="157">
        <f t="shared" si="3"/>
        <v>1952</v>
      </c>
      <c r="J437" s="157">
        <v>2025.0</v>
      </c>
    </row>
    <row r="438">
      <c r="A438" s="218">
        <f t="shared" si="2"/>
        <v>435</v>
      </c>
      <c r="B438" s="218" t="s">
        <v>200</v>
      </c>
      <c r="C438" s="219" t="str">
        <f t="shared" si="1"/>
        <v>MS/1953/2025</v>
      </c>
      <c r="D438" s="218" t="b">
        <v>1</v>
      </c>
      <c r="E438" s="219" t="b">
        <v>0</v>
      </c>
      <c r="F438" s="219"/>
      <c r="G438" s="173"/>
      <c r="H438" s="157" t="s">
        <v>6464</v>
      </c>
      <c r="I438" s="157">
        <f t="shared" si="3"/>
        <v>1953</v>
      </c>
      <c r="J438" s="157">
        <v>2025.0</v>
      </c>
    </row>
    <row r="439">
      <c r="A439" s="218">
        <f t="shared" si="2"/>
        <v>436</v>
      </c>
      <c r="B439" s="218" t="s">
        <v>200</v>
      </c>
      <c r="C439" s="219" t="str">
        <f t="shared" si="1"/>
        <v>MS/1954/2025</v>
      </c>
      <c r="D439" s="218" t="b">
        <v>1</v>
      </c>
      <c r="E439" s="219" t="b">
        <v>0</v>
      </c>
      <c r="F439" s="219"/>
      <c r="G439" s="173"/>
      <c r="H439" s="157" t="s">
        <v>6464</v>
      </c>
      <c r="I439" s="157">
        <f t="shared" si="3"/>
        <v>1954</v>
      </c>
      <c r="J439" s="157">
        <v>2025.0</v>
      </c>
    </row>
    <row r="440">
      <c r="A440" s="218">
        <f t="shared" si="2"/>
        <v>437</v>
      </c>
      <c r="B440" s="218" t="s">
        <v>200</v>
      </c>
      <c r="C440" s="219" t="str">
        <f t="shared" si="1"/>
        <v>MS/1955/2025</v>
      </c>
      <c r="D440" s="218" t="b">
        <v>1</v>
      </c>
      <c r="E440" s="219" t="b">
        <v>0</v>
      </c>
      <c r="F440" s="219"/>
      <c r="G440" s="173"/>
      <c r="H440" s="157" t="s">
        <v>6464</v>
      </c>
      <c r="I440" s="157">
        <f t="shared" si="3"/>
        <v>1955</v>
      </c>
      <c r="J440" s="157">
        <v>2025.0</v>
      </c>
    </row>
    <row r="441">
      <c r="A441" s="218">
        <f t="shared" si="2"/>
        <v>438</v>
      </c>
      <c r="B441" s="218" t="s">
        <v>200</v>
      </c>
      <c r="C441" s="219" t="str">
        <f t="shared" si="1"/>
        <v>MS/1956/2025</v>
      </c>
      <c r="D441" s="218" t="b">
        <v>1</v>
      </c>
      <c r="E441" s="219" t="b">
        <v>0</v>
      </c>
      <c r="F441" s="234">
        <v>45869.0</v>
      </c>
      <c r="G441" s="173"/>
      <c r="H441" s="157" t="s">
        <v>6464</v>
      </c>
      <c r="I441" s="157">
        <f t="shared" si="3"/>
        <v>1956</v>
      </c>
      <c r="J441" s="157">
        <v>2025.0</v>
      </c>
    </row>
    <row r="442">
      <c r="A442" s="218">
        <f t="shared" si="2"/>
        <v>439</v>
      </c>
      <c r="B442" s="218" t="s">
        <v>200</v>
      </c>
      <c r="C442" s="219" t="str">
        <f t="shared" si="1"/>
        <v>MS/1957/2025</v>
      </c>
      <c r="D442" s="218" t="b">
        <v>1</v>
      </c>
      <c r="E442" s="219" t="b">
        <v>0</v>
      </c>
      <c r="F442" s="219"/>
      <c r="G442" s="173"/>
      <c r="H442" s="157" t="s">
        <v>6464</v>
      </c>
      <c r="I442" s="157">
        <f t="shared" si="3"/>
        <v>1957</v>
      </c>
      <c r="J442" s="157">
        <v>2025.0</v>
      </c>
    </row>
    <row r="443">
      <c r="A443" s="218">
        <f t="shared" si="2"/>
        <v>440</v>
      </c>
      <c r="B443" s="218" t="s">
        <v>200</v>
      </c>
      <c r="C443" s="219" t="str">
        <f t="shared" si="1"/>
        <v>MS/1958/2025</v>
      </c>
      <c r="D443" s="218" t="b">
        <v>1</v>
      </c>
      <c r="E443" s="219" t="b">
        <v>0</v>
      </c>
      <c r="F443" s="234">
        <v>45869.0</v>
      </c>
      <c r="G443" s="173"/>
      <c r="H443" s="157" t="s">
        <v>6464</v>
      </c>
      <c r="I443" s="157">
        <f t="shared" si="3"/>
        <v>1958</v>
      </c>
      <c r="J443" s="157">
        <v>2025.0</v>
      </c>
    </row>
    <row r="444">
      <c r="A444" s="218">
        <f t="shared" si="2"/>
        <v>441</v>
      </c>
      <c r="B444" s="218" t="s">
        <v>200</v>
      </c>
      <c r="C444" s="219" t="str">
        <f t="shared" si="1"/>
        <v>MS/1959/2025</v>
      </c>
      <c r="D444" s="218" t="b">
        <v>1</v>
      </c>
      <c r="E444" s="219" t="b">
        <v>0</v>
      </c>
      <c r="F444" s="219"/>
      <c r="G444" s="173"/>
      <c r="H444" s="157" t="s">
        <v>6464</v>
      </c>
      <c r="I444" s="157">
        <f t="shared" si="3"/>
        <v>1959</v>
      </c>
      <c r="J444" s="157">
        <v>2025.0</v>
      </c>
    </row>
    <row r="445">
      <c r="A445" s="218">
        <f t="shared" si="2"/>
        <v>442</v>
      </c>
      <c r="B445" s="218" t="s">
        <v>200</v>
      </c>
      <c r="C445" s="219" t="str">
        <f t="shared" si="1"/>
        <v>MS/1960/2025</v>
      </c>
      <c r="D445" s="218" t="b">
        <v>1</v>
      </c>
      <c r="E445" s="219" t="b">
        <v>0</v>
      </c>
      <c r="F445" s="219"/>
      <c r="G445" s="173"/>
      <c r="H445" s="157" t="s">
        <v>6464</v>
      </c>
      <c r="I445" s="157">
        <f t="shared" si="3"/>
        <v>1960</v>
      </c>
      <c r="J445" s="157">
        <v>2025.0</v>
      </c>
    </row>
    <row r="446">
      <c r="A446" s="218">
        <f t="shared" si="2"/>
        <v>443</v>
      </c>
      <c r="B446" s="218" t="s">
        <v>200</v>
      </c>
      <c r="C446" s="219" t="str">
        <f t="shared" si="1"/>
        <v>MS/1961/2025</v>
      </c>
      <c r="D446" s="218" t="b">
        <v>1</v>
      </c>
      <c r="E446" s="219" t="b">
        <v>0</v>
      </c>
      <c r="F446" s="219"/>
      <c r="G446" s="173"/>
      <c r="H446" s="157" t="s">
        <v>6464</v>
      </c>
      <c r="I446" s="157">
        <f t="shared" si="3"/>
        <v>1961</v>
      </c>
      <c r="J446" s="157">
        <v>2025.0</v>
      </c>
    </row>
    <row r="447">
      <c r="A447" s="218">
        <f t="shared" si="2"/>
        <v>444</v>
      </c>
      <c r="B447" s="218" t="s">
        <v>200</v>
      </c>
      <c r="C447" s="219" t="str">
        <f t="shared" si="1"/>
        <v>MS/1962/2025</v>
      </c>
      <c r="D447" s="218" t="b">
        <v>1</v>
      </c>
      <c r="E447" s="219" t="b">
        <v>0</v>
      </c>
      <c r="F447" s="219"/>
      <c r="G447" s="173"/>
      <c r="H447" s="157" t="s">
        <v>6464</v>
      </c>
      <c r="I447" s="157">
        <f t="shared" si="3"/>
        <v>1962</v>
      </c>
      <c r="J447" s="157">
        <v>2025.0</v>
      </c>
    </row>
    <row r="448">
      <c r="A448" s="218">
        <f t="shared" si="2"/>
        <v>445</v>
      </c>
      <c r="B448" s="218" t="s">
        <v>200</v>
      </c>
      <c r="C448" s="219" t="str">
        <f t="shared" si="1"/>
        <v>MS/1963/2025</v>
      </c>
      <c r="D448" s="218" t="b">
        <v>1</v>
      </c>
      <c r="E448" s="219" t="b">
        <v>0</v>
      </c>
      <c r="F448" s="219"/>
      <c r="G448" s="173"/>
      <c r="H448" s="157" t="s">
        <v>6464</v>
      </c>
      <c r="I448" s="157">
        <f t="shared" si="3"/>
        <v>1963</v>
      </c>
      <c r="J448" s="157">
        <v>2025.0</v>
      </c>
    </row>
    <row r="449">
      <c r="A449" s="218">
        <f t="shared" si="2"/>
        <v>446</v>
      </c>
      <c r="B449" s="218" t="s">
        <v>200</v>
      </c>
      <c r="C449" s="219" t="str">
        <f t="shared" si="1"/>
        <v>MS/1964/2025</v>
      </c>
      <c r="D449" s="218" t="b">
        <v>1</v>
      </c>
      <c r="E449" s="219" t="b">
        <v>0</v>
      </c>
      <c r="F449" s="234">
        <v>45869.0</v>
      </c>
      <c r="G449" s="173"/>
      <c r="H449" s="157" t="s">
        <v>6464</v>
      </c>
      <c r="I449" s="157">
        <f t="shared" si="3"/>
        <v>1964</v>
      </c>
      <c r="J449" s="157">
        <v>2025.0</v>
      </c>
    </row>
    <row r="450">
      <c r="A450" s="218">
        <f t="shared" si="2"/>
        <v>447</v>
      </c>
      <c r="B450" s="218" t="s">
        <v>200</v>
      </c>
      <c r="C450" s="219" t="str">
        <f t="shared" si="1"/>
        <v>MS/1965/2025</v>
      </c>
      <c r="D450" s="218" t="b">
        <v>1</v>
      </c>
      <c r="E450" s="219" t="b">
        <v>0</v>
      </c>
      <c r="F450" s="219"/>
      <c r="G450" s="173"/>
      <c r="H450" s="157" t="s">
        <v>6464</v>
      </c>
      <c r="I450" s="157">
        <f t="shared" si="3"/>
        <v>1965</v>
      </c>
      <c r="J450" s="157">
        <v>2025.0</v>
      </c>
    </row>
    <row r="451">
      <c r="A451" s="218">
        <f t="shared" si="2"/>
        <v>448</v>
      </c>
      <c r="B451" s="218" t="s">
        <v>200</v>
      </c>
      <c r="C451" s="219" t="str">
        <f t="shared" si="1"/>
        <v>MS/1966/2025</v>
      </c>
      <c r="D451" s="218" t="b">
        <v>1</v>
      </c>
      <c r="E451" s="219" t="b">
        <v>0</v>
      </c>
      <c r="F451" s="234">
        <v>45869.0</v>
      </c>
      <c r="G451" s="173"/>
      <c r="H451" s="157" t="s">
        <v>6464</v>
      </c>
      <c r="I451" s="157">
        <f t="shared" si="3"/>
        <v>1966</v>
      </c>
      <c r="J451" s="157">
        <v>2025.0</v>
      </c>
    </row>
    <row r="452">
      <c r="A452" s="218">
        <f t="shared" si="2"/>
        <v>449</v>
      </c>
      <c r="B452" s="218" t="s">
        <v>200</v>
      </c>
      <c r="C452" s="219" t="str">
        <f t="shared" si="1"/>
        <v>MS/1967/2025</v>
      </c>
      <c r="D452" s="218" t="b">
        <v>1</v>
      </c>
      <c r="E452" s="219" t="b">
        <v>0</v>
      </c>
      <c r="F452" s="234">
        <v>45869.0</v>
      </c>
      <c r="G452" s="173"/>
      <c r="H452" s="157" t="s">
        <v>6464</v>
      </c>
      <c r="I452" s="157">
        <f t="shared" si="3"/>
        <v>1967</v>
      </c>
      <c r="J452" s="157">
        <v>2025.0</v>
      </c>
    </row>
    <row r="453">
      <c r="A453" s="218">
        <f t="shared" si="2"/>
        <v>450</v>
      </c>
      <c r="B453" s="218" t="s">
        <v>200</v>
      </c>
      <c r="C453" s="219" t="str">
        <f t="shared" si="1"/>
        <v>MS/1968/2025</v>
      </c>
      <c r="D453" s="218" t="b">
        <v>1</v>
      </c>
      <c r="E453" s="219" t="b">
        <v>0</v>
      </c>
      <c r="F453" s="234">
        <v>45869.0</v>
      </c>
      <c r="G453" s="173"/>
      <c r="H453" s="157" t="s">
        <v>6464</v>
      </c>
      <c r="I453" s="157">
        <f t="shared" si="3"/>
        <v>1968</v>
      </c>
      <c r="J453" s="157">
        <v>2025.0</v>
      </c>
    </row>
    <row r="454">
      <c r="A454" s="218">
        <f t="shared" si="2"/>
        <v>451</v>
      </c>
      <c r="B454" s="218" t="s">
        <v>200</v>
      </c>
      <c r="C454" s="219" t="str">
        <f t="shared" si="1"/>
        <v>MS/1969/2025</v>
      </c>
      <c r="D454" s="218" t="b">
        <v>1</v>
      </c>
      <c r="E454" s="219" t="b">
        <v>0</v>
      </c>
      <c r="F454" s="234">
        <v>45869.0</v>
      </c>
      <c r="G454" s="173"/>
      <c r="H454" s="157" t="s">
        <v>6464</v>
      </c>
      <c r="I454" s="157">
        <f t="shared" si="3"/>
        <v>1969</v>
      </c>
      <c r="J454" s="157">
        <v>2025.0</v>
      </c>
    </row>
    <row r="455">
      <c r="A455" s="218">
        <f t="shared" si="2"/>
        <v>452</v>
      </c>
      <c r="B455" s="218" t="s">
        <v>200</v>
      </c>
      <c r="C455" s="219" t="str">
        <f t="shared" si="1"/>
        <v>MS/1970/2025</v>
      </c>
      <c r="D455" s="218" t="b">
        <v>1</v>
      </c>
      <c r="E455" s="219" t="b">
        <v>0</v>
      </c>
      <c r="F455" s="234">
        <v>45869.0</v>
      </c>
      <c r="G455" s="173"/>
      <c r="H455" s="157" t="s">
        <v>6464</v>
      </c>
      <c r="I455" s="157">
        <f t="shared" si="3"/>
        <v>1970</v>
      </c>
      <c r="J455" s="157">
        <v>2025.0</v>
      </c>
    </row>
    <row r="456">
      <c r="A456" s="218">
        <f t="shared" si="2"/>
        <v>453</v>
      </c>
      <c r="B456" s="218" t="s">
        <v>200</v>
      </c>
      <c r="C456" s="219" t="str">
        <f t="shared" si="1"/>
        <v>MS/1971/2025</v>
      </c>
      <c r="D456" s="218" t="b">
        <v>1</v>
      </c>
      <c r="E456" s="219" t="b">
        <v>0</v>
      </c>
      <c r="F456" s="234">
        <v>45869.0</v>
      </c>
      <c r="G456" s="173"/>
      <c r="H456" s="157" t="s">
        <v>6464</v>
      </c>
      <c r="I456" s="157">
        <f t="shared" si="3"/>
        <v>1971</v>
      </c>
      <c r="J456" s="157">
        <v>2025.0</v>
      </c>
    </row>
    <row r="457">
      <c r="A457" s="218">
        <f t="shared" si="2"/>
        <v>454</v>
      </c>
      <c r="B457" s="218" t="s">
        <v>200</v>
      </c>
      <c r="C457" s="219" t="str">
        <f t="shared" si="1"/>
        <v>MS/1972/2025</v>
      </c>
      <c r="D457" s="218" t="b">
        <v>1</v>
      </c>
      <c r="E457" s="219" t="b">
        <v>0</v>
      </c>
      <c r="F457" s="234">
        <v>45869.0</v>
      </c>
      <c r="G457" s="173"/>
      <c r="H457" s="157" t="s">
        <v>6464</v>
      </c>
      <c r="I457" s="157">
        <f t="shared" si="3"/>
        <v>1972</v>
      </c>
      <c r="J457" s="157">
        <v>2025.0</v>
      </c>
    </row>
    <row r="458">
      <c r="A458" s="218">
        <f t="shared" si="2"/>
        <v>455</v>
      </c>
      <c r="B458" s="218" t="s">
        <v>200</v>
      </c>
      <c r="C458" s="219" t="str">
        <f t="shared" si="1"/>
        <v>MS/1973/2025</v>
      </c>
      <c r="D458" s="218" t="b">
        <v>1</v>
      </c>
      <c r="E458" s="219" t="b">
        <v>0</v>
      </c>
      <c r="F458" s="234">
        <v>45869.0</v>
      </c>
      <c r="G458" s="173"/>
      <c r="H458" s="157" t="s">
        <v>6464</v>
      </c>
      <c r="I458" s="157">
        <f t="shared" si="3"/>
        <v>1973</v>
      </c>
      <c r="J458" s="157">
        <v>2025.0</v>
      </c>
    </row>
    <row r="459">
      <c r="A459" s="218">
        <f t="shared" si="2"/>
        <v>456</v>
      </c>
      <c r="B459" s="218" t="s">
        <v>200</v>
      </c>
      <c r="C459" s="219" t="str">
        <f t="shared" si="1"/>
        <v>MS/1974/2025</v>
      </c>
      <c r="D459" s="218" t="b">
        <v>1</v>
      </c>
      <c r="E459" s="219" t="b">
        <v>0</v>
      </c>
      <c r="F459" s="219"/>
      <c r="G459" s="173"/>
      <c r="H459" s="157" t="s">
        <v>6464</v>
      </c>
      <c r="I459" s="157">
        <f t="shared" si="3"/>
        <v>1974</v>
      </c>
      <c r="J459" s="157">
        <v>2025.0</v>
      </c>
    </row>
    <row r="460">
      <c r="A460" s="218">
        <f t="shared" si="2"/>
        <v>457</v>
      </c>
      <c r="B460" s="218" t="s">
        <v>200</v>
      </c>
      <c r="C460" s="219" t="str">
        <f t="shared" si="1"/>
        <v>MS/1975/2025</v>
      </c>
      <c r="D460" s="218" t="b">
        <v>1</v>
      </c>
      <c r="E460" s="219" t="b">
        <v>0</v>
      </c>
      <c r="F460" s="234">
        <v>45869.0</v>
      </c>
      <c r="G460" s="173"/>
      <c r="H460" s="157" t="s">
        <v>6464</v>
      </c>
      <c r="I460" s="157">
        <f t="shared" si="3"/>
        <v>1975</v>
      </c>
      <c r="J460" s="157">
        <v>2025.0</v>
      </c>
    </row>
    <row r="461">
      <c r="A461" s="218">
        <f t="shared" si="2"/>
        <v>458</v>
      </c>
      <c r="B461" s="218" t="s">
        <v>200</v>
      </c>
      <c r="C461" s="219" t="str">
        <f t="shared" si="1"/>
        <v>MS/1976/2025</v>
      </c>
      <c r="D461" s="218" t="b">
        <v>1</v>
      </c>
      <c r="E461" s="219" t="b">
        <v>0</v>
      </c>
      <c r="F461" s="219"/>
      <c r="G461" s="173"/>
      <c r="H461" s="157" t="s">
        <v>6464</v>
      </c>
      <c r="I461" s="157">
        <f t="shared" si="3"/>
        <v>1976</v>
      </c>
      <c r="J461" s="157">
        <v>2025.0</v>
      </c>
    </row>
    <row r="462">
      <c r="A462" s="218">
        <f t="shared" si="2"/>
        <v>459</v>
      </c>
      <c r="B462" s="218" t="s">
        <v>200</v>
      </c>
      <c r="C462" s="219" t="str">
        <f t="shared" si="1"/>
        <v>MS/1977/2025</v>
      </c>
      <c r="D462" s="218" t="b">
        <v>1</v>
      </c>
      <c r="E462" s="219" t="b">
        <v>0</v>
      </c>
      <c r="F462" s="219"/>
      <c r="G462" s="173"/>
      <c r="H462" s="157" t="s">
        <v>6464</v>
      </c>
      <c r="I462" s="157">
        <f t="shared" si="3"/>
        <v>1977</v>
      </c>
      <c r="J462" s="157">
        <v>2025.0</v>
      </c>
    </row>
    <row r="463">
      <c r="A463" s="218">
        <f t="shared" si="2"/>
        <v>460</v>
      </c>
      <c r="B463" s="218" t="s">
        <v>200</v>
      </c>
      <c r="C463" s="219" t="str">
        <f t="shared" si="1"/>
        <v>MS/1978/2025</v>
      </c>
      <c r="D463" s="218" t="b">
        <v>1</v>
      </c>
      <c r="E463" s="219" t="b">
        <v>0</v>
      </c>
      <c r="F463" s="234">
        <v>45869.0</v>
      </c>
      <c r="G463" s="173"/>
      <c r="H463" s="157" t="s">
        <v>6464</v>
      </c>
      <c r="I463" s="157">
        <f t="shared" si="3"/>
        <v>1978</v>
      </c>
      <c r="J463" s="157">
        <v>2025.0</v>
      </c>
    </row>
    <row r="464">
      <c r="A464" s="218">
        <f t="shared" si="2"/>
        <v>461</v>
      </c>
      <c r="B464" s="218" t="s">
        <v>200</v>
      </c>
      <c r="C464" s="219" t="str">
        <f t="shared" si="1"/>
        <v>MS/1979/2025</v>
      </c>
      <c r="D464" s="218" t="b">
        <v>1</v>
      </c>
      <c r="E464" s="219" t="b">
        <v>0</v>
      </c>
      <c r="F464" s="234">
        <v>45869.0</v>
      </c>
      <c r="G464" s="173"/>
      <c r="H464" s="157" t="s">
        <v>6464</v>
      </c>
      <c r="I464" s="157">
        <f t="shared" si="3"/>
        <v>1979</v>
      </c>
      <c r="J464" s="157">
        <v>2025.0</v>
      </c>
    </row>
    <row r="465">
      <c r="A465" s="218">
        <f t="shared" si="2"/>
        <v>462</v>
      </c>
      <c r="B465" s="218" t="s">
        <v>200</v>
      </c>
      <c r="C465" s="219" t="str">
        <f t="shared" si="1"/>
        <v>MS/1980/2025</v>
      </c>
      <c r="D465" s="218" t="b">
        <v>1</v>
      </c>
      <c r="E465" s="219" t="b">
        <v>0</v>
      </c>
      <c r="F465" s="234">
        <v>45869.0</v>
      </c>
      <c r="G465" s="173"/>
      <c r="H465" s="157" t="s">
        <v>6464</v>
      </c>
      <c r="I465" s="157">
        <f t="shared" si="3"/>
        <v>1980</v>
      </c>
      <c r="J465" s="157">
        <v>2025.0</v>
      </c>
    </row>
    <row r="466">
      <c r="A466" s="218">
        <f t="shared" si="2"/>
        <v>463</v>
      </c>
      <c r="B466" s="218" t="s">
        <v>200</v>
      </c>
      <c r="C466" s="219" t="str">
        <f t="shared" si="1"/>
        <v>MS/1981/2025</v>
      </c>
      <c r="D466" s="218" t="b">
        <v>1</v>
      </c>
      <c r="E466" s="219" t="b">
        <v>0</v>
      </c>
      <c r="F466" s="234">
        <v>45869.0</v>
      </c>
      <c r="G466" s="173"/>
      <c r="H466" s="157" t="s">
        <v>6464</v>
      </c>
      <c r="I466" s="157">
        <f t="shared" si="3"/>
        <v>1981</v>
      </c>
      <c r="J466" s="157">
        <v>2025.0</v>
      </c>
    </row>
    <row r="467">
      <c r="A467" s="218">
        <f t="shared" si="2"/>
        <v>464</v>
      </c>
      <c r="B467" s="218" t="s">
        <v>200</v>
      </c>
      <c r="C467" s="219" t="str">
        <f t="shared" si="1"/>
        <v>MS/1982/2025</v>
      </c>
      <c r="D467" s="218" t="b">
        <v>1</v>
      </c>
      <c r="E467" s="218" t="b">
        <v>0</v>
      </c>
      <c r="F467" s="219"/>
      <c r="G467" s="173"/>
      <c r="H467" s="157" t="s">
        <v>6464</v>
      </c>
      <c r="I467" s="157">
        <f t="shared" si="3"/>
        <v>1982</v>
      </c>
      <c r="J467" s="157">
        <v>2025.0</v>
      </c>
    </row>
    <row r="468">
      <c r="A468" s="218">
        <f t="shared" si="2"/>
        <v>465</v>
      </c>
      <c r="B468" s="218" t="s">
        <v>200</v>
      </c>
      <c r="C468" s="219" t="str">
        <f t="shared" si="1"/>
        <v>MS/1983/2025</v>
      </c>
      <c r="D468" s="218" t="b">
        <v>1</v>
      </c>
      <c r="E468" s="218" t="b">
        <v>0</v>
      </c>
      <c r="F468" s="219"/>
      <c r="G468" s="173"/>
      <c r="H468" s="157" t="s">
        <v>6464</v>
      </c>
      <c r="I468" s="157">
        <f t="shared" si="3"/>
        <v>1983</v>
      </c>
      <c r="J468" s="157">
        <v>2025.0</v>
      </c>
    </row>
    <row r="469">
      <c r="A469" s="218">
        <f t="shared" si="2"/>
        <v>466</v>
      </c>
      <c r="B469" s="218" t="s">
        <v>200</v>
      </c>
      <c r="C469" s="219" t="str">
        <f t="shared" si="1"/>
        <v>MS/1984/2025</v>
      </c>
      <c r="D469" s="218" t="b">
        <v>1</v>
      </c>
      <c r="E469" s="218" t="b">
        <v>0</v>
      </c>
      <c r="F469" s="219"/>
      <c r="G469" s="173"/>
      <c r="H469" s="157" t="s">
        <v>6464</v>
      </c>
      <c r="I469" s="157">
        <f t="shared" si="3"/>
        <v>1984</v>
      </c>
      <c r="J469" s="157">
        <v>2025.0</v>
      </c>
    </row>
    <row r="470">
      <c r="A470" s="218">
        <f t="shared" si="2"/>
        <v>467</v>
      </c>
      <c r="B470" s="218" t="s">
        <v>200</v>
      </c>
      <c r="C470" s="219" t="str">
        <f t="shared" si="1"/>
        <v>MS/1985/2025</v>
      </c>
      <c r="D470" s="218" t="b">
        <v>1</v>
      </c>
      <c r="E470" s="218" t="b">
        <v>0</v>
      </c>
      <c r="F470" s="219"/>
      <c r="G470" s="173"/>
      <c r="H470" s="157" t="s">
        <v>6464</v>
      </c>
      <c r="I470" s="157">
        <f t="shared" si="3"/>
        <v>1985</v>
      </c>
      <c r="J470" s="157">
        <v>2025.0</v>
      </c>
    </row>
    <row r="471">
      <c r="A471" s="218">
        <f t="shared" si="2"/>
        <v>468</v>
      </c>
      <c r="B471" s="218" t="s">
        <v>200</v>
      </c>
      <c r="C471" s="219" t="str">
        <f t="shared" si="1"/>
        <v>MS/1986/2025</v>
      </c>
      <c r="D471" s="218" t="b">
        <v>1</v>
      </c>
      <c r="E471" s="218" t="b">
        <v>0</v>
      </c>
      <c r="F471" s="219"/>
      <c r="G471" s="173"/>
      <c r="H471" s="157" t="s">
        <v>6464</v>
      </c>
      <c r="I471" s="157">
        <f t="shared" si="3"/>
        <v>1986</v>
      </c>
      <c r="J471" s="157">
        <v>2025.0</v>
      </c>
    </row>
    <row r="472">
      <c r="A472" s="218">
        <f t="shared" si="2"/>
        <v>469</v>
      </c>
      <c r="B472" s="218" t="s">
        <v>200</v>
      </c>
      <c r="C472" s="219" t="str">
        <f t="shared" si="1"/>
        <v>MS/1987/2025</v>
      </c>
      <c r="D472" s="218" t="b">
        <v>1</v>
      </c>
      <c r="E472" s="218" t="b">
        <v>0</v>
      </c>
      <c r="F472" s="219"/>
      <c r="G472" s="173"/>
      <c r="H472" s="157" t="s">
        <v>6464</v>
      </c>
      <c r="I472" s="157">
        <f t="shared" si="3"/>
        <v>1987</v>
      </c>
      <c r="J472" s="157">
        <v>2025.0</v>
      </c>
    </row>
    <row r="473">
      <c r="A473" s="218">
        <f t="shared" si="2"/>
        <v>470</v>
      </c>
      <c r="B473" s="218" t="s">
        <v>200</v>
      </c>
      <c r="C473" s="219" t="str">
        <f t="shared" si="1"/>
        <v>MS/1988/2025</v>
      </c>
      <c r="D473" s="218" t="b">
        <v>1</v>
      </c>
      <c r="E473" s="218" t="b">
        <v>0</v>
      </c>
      <c r="F473" s="219"/>
      <c r="G473" s="173"/>
      <c r="H473" s="157" t="s">
        <v>6464</v>
      </c>
      <c r="I473" s="157">
        <f t="shared" si="3"/>
        <v>1988</v>
      </c>
      <c r="J473" s="157">
        <v>2025.0</v>
      </c>
    </row>
    <row r="474">
      <c r="A474" s="218">
        <f t="shared" si="2"/>
        <v>471</v>
      </c>
      <c r="B474" s="218" t="s">
        <v>200</v>
      </c>
      <c r="C474" s="219" t="str">
        <f t="shared" si="1"/>
        <v>MS/1989/2025</v>
      </c>
      <c r="D474" s="218" t="b">
        <v>1</v>
      </c>
      <c r="E474" s="218" t="b">
        <v>0</v>
      </c>
      <c r="F474" s="219"/>
      <c r="G474" s="173"/>
      <c r="H474" s="157" t="s">
        <v>6464</v>
      </c>
      <c r="I474" s="157">
        <f t="shared" si="3"/>
        <v>1989</v>
      </c>
      <c r="J474" s="157">
        <v>2025.0</v>
      </c>
    </row>
    <row r="475">
      <c r="A475" s="218">
        <f t="shared" si="2"/>
        <v>472</v>
      </c>
      <c r="B475" s="218" t="s">
        <v>200</v>
      </c>
      <c r="C475" s="219" t="str">
        <f t="shared" si="1"/>
        <v>MS/1990/2025</v>
      </c>
      <c r="D475" s="218" t="b">
        <v>1</v>
      </c>
      <c r="E475" s="218" t="b">
        <v>0</v>
      </c>
      <c r="F475" s="219"/>
      <c r="G475" s="173"/>
      <c r="H475" s="157" t="s">
        <v>6464</v>
      </c>
      <c r="I475" s="157">
        <f t="shared" si="3"/>
        <v>1990</v>
      </c>
      <c r="J475" s="157">
        <v>2025.0</v>
      </c>
    </row>
    <row r="476">
      <c r="A476" s="218">
        <f t="shared" si="2"/>
        <v>473</v>
      </c>
      <c r="B476" s="218" t="s">
        <v>200</v>
      </c>
      <c r="C476" s="219" t="str">
        <f t="shared" si="1"/>
        <v>MS/1991/2025</v>
      </c>
      <c r="D476" s="218" t="b">
        <v>1</v>
      </c>
      <c r="E476" s="218" t="b">
        <v>0</v>
      </c>
      <c r="F476" s="219"/>
      <c r="G476" s="173"/>
      <c r="H476" s="157" t="s">
        <v>6464</v>
      </c>
      <c r="I476" s="157">
        <f t="shared" si="3"/>
        <v>1991</v>
      </c>
      <c r="J476" s="157">
        <v>2025.0</v>
      </c>
    </row>
    <row r="477">
      <c r="A477" s="218">
        <f t="shared" si="2"/>
        <v>474</v>
      </c>
      <c r="B477" s="218" t="s">
        <v>200</v>
      </c>
      <c r="C477" s="219" t="str">
        <f t="shared" si="1"/>
        <v>MS/1992/2025</v>
      </c>
      <c r="D477" s="218" t="b">
        <v>1</v>
      </c>
      <c r="E477" s="219" t="b">
        <v>0</v>
      </c>
      <c r="F477" s="219"/>
      <c r="G477" s="173"/>
      <c r="H477" s="157" t="s">
        <v>6464</v>
      </c>
      <c r="I477" s="157">
        <f t="shared" si="3"/>
        <v>1992</v>
      </c>
      <c r="J477" s="157">
        <v>2025.0</v>
      </c>
    </row>
    <row r="478">
      <c r="A478" s="218">
        <f t="shared" si="2"/>
        <v>475</v>
      </c>
      <c r="B478" s="218" t="s">
        <v>200</v>
      </c>
      <c r="C478" s="219" t="str">
        <f t="shared" si="1"/>
        <v>MS/1993/2025</v>
      </c>
      <c r="D478" s="218" t="b">
        <v>1</v>
      </c>
      <c r="E478" s="218" t="b">
        <v>0</v>
      </c>
      <c r="F478" s="219"/>
      <c r="G478" s="173"/>
      <c r="H478" s="157" t="s">
        <v>6464</v>
      </c>
      <c r="I478" s="157">
        <f t="shared" si="3"/>
        <v>1993</v>
      </c>
      <c r="J478" s="157">
        <v>2025.0</v>
      </c>
    </row>
    <row r="479">
      <c r="A479" s="218">
        <f t="shared" si="2"/>
        <v>476</v>
      </c>
      <c r="B479" s="218" t="s">
        <v>200</v>
      </c>
      <c r="C479" s="219" t="str">
        <f t="shared" si="1"/>
        <v>MS/1994/2025</v>
      </c>
      <c r="D479" s="218" t="b">
        <v>1</v>
      </c>
      <c r="E479" s="218" t="b">
        <v>0</v>
      </c>
      <c r="F479" s="219"/>
      <c r="G479" s="173"/>
      <c r="H479" s="157" t="s">
        <v>6464</v>
      </c>
      <c r="I479" s="157">
        <f t="shared" si="3"/>
        <v>1994</v>
      </c>
      <c r="J479" s="157">
        <v>2025.0</v>
      </c>
    </row>
    <row r="480">
      <c r="A480" s="218">
        <f t="shared" si="2"/>
        <v>477</v>
      </c>
      <c r="B480" s="218" t="s">
        <v>200</v>
      </c>
      <c r="C480" s="219" t="str">
        <f t="shared" si="1"/>
        <v>MS/1995/2025</v>
      </c>
      <c r="D480" s="218" t="b">
        <v>1</v>
      </c>
      <c r="E480" s="218" t="b">
        <v>0</v>
      </c>
      <c r="F480" s="219"/>
      <c r="G480" s="173"/>
      <c r="H480" s="157" t="s">
        <v>6464</v>
      </c>
      <c r="I480" s="157">
        <f t="shared" si="3"/>
        <v>1995</v>
      </c>
      <c r="J480" s="157">
        <v>2025.0</v>
      </c>
    </row>
    <row r="481">
      <c r="A481" s="218">
        <f t="shared" si="2"/>
        <v>478</v>
      </c>
      <c r="B481" s="218" t="s">
        <v>200</v>
      </c>
      <c r="C481" s="219" t="str">
        <f t="shared" si="1"/>
        <v>MS/1996/2025</v>
      </c>
      <c r="D481" s="218" t="b">
        <v>1</v>
      </c>
      <c r="E481" s="218" t="b">
        <v>0</v>
      </c>
      <c r="F481" s="219"/>
      <c r="G481" s="173"/>
      <c r="H481" s="157" t="s">
        <v>6464</v>
      </c>
      <c r="I481" s="157">
        <f t="shared" si="3"/>
        <v>1996</v>
      </c>
      <c r="J481" s="157">
        <v>2025.0</v>
      </c>
    </row>
    <row r="482">
      <c r="A482" s="218">
        <f t="shared" si="2"/>
        <v>479</v>
      </c>
      <c r="B482" s="218" t="s">
        <v>200</v>
      </c>
      <c r="C482" s="219" t="str">
        <f t="shared" si="1"/>
        <v>MS/1997/2025</v>
      </c>
      <c r="D482" s="218" t="b">
        <v>1</v>
      </c>
      <c r="E482" s="218" t="b">
        <v>0</v>
      </c>
      <c r="F482" s="219"/>
      <c r="G482" s="173"/>
      <c r="H482" s="157" t="s">
        <v>6464</v>
      </c>
      <c r="I482" s="157">
        <f t="shared" si="3"/>
        <v>1997</v>
      </c>
      <c r="J482" s="157">
        <v>2025.0</v>
      </c>
    </row>
    <row r="483">
      <c r="A483" s="218">
        <f t="shared" si="2"/>
        <v>480</v>
      </c>
      <c r="B483" s="218" t="s">
        <v>200</v>
      </c>
      <c r="C483" s="219" t="str">
        <f t="shared" si="1"/>
        <v>MS/1998/2025</v>
      </c>
      <c r="D483" s="218" t="b">
        <v>1</v>
      </c>
      <c r="E483" s="218" t="b">
        <v>0</v>
      </c>
      <c r="F483" s="219"/>
      <c r="G483" s="173"/>
      <c r="H483" s="157" t="s">
        <v>6464</v>
      </c>
      <c r="I483" s="157">
        <f t="shared" si="3"/>
        <v>1998</v>
      </c>
      <c r="J483" s="157">
        <v>2025.0</v>
      </c>
    </row>
    <row r="484">
      <c r="A484" s="218">
        <f t="shared" si="2"/>
        <v>481</v>
      </c>
      <c r="B484" s="218" t="s">
        <v>200</v>
      </c>
      <c r="C484" s="219" t="str">
        <f t="shared" si="1"/>
        <v>MS/1999/2025</v>
      </c>
      <c r="D484" s="218" t="b">
        <v>1</v>
      </c>
      <c r="E484" s="218" t="b">
        <v>0</v>
      </c>
      <c r="F484" s="219"/>
      <c r="G484" s="173"/>
      <c r="H484" s="157" t="s">
        <v>6464</v>
      </c>
      <c r="I484" s="157">
        <f t="shared" si="3"/>
        <v>1999</v>
      </c>
      <c r="J484" s="157">
        <v>2025.0</v>
      </c>
    </row>
    <row r="485">
      <c r="A485" s="218">
        <f t="shared" si="2"/>
        <v>482</v>
      </c>
      <c r="B485" s="218" t="s">
        <v>200</v>
      </c>
      <c r="C485" s="219" t="str">
        <f t="shared" si="1"/>
        <v>MS/2000/2025</v>
      </c>
      <c r="D485" s="218" t="b">
        <v>1</v>
      </c>
      <c r="E485" s="218" t="b">
        <v>0</v>
      </c>
      <c r="F485" s="219"/>
      <c r="G485" s="173"/>
      <c r="H485" s="157" t="s">
        <v>6464</v>
      </c>
      <c r="I485" s="157">
        <f t="shared" si="3"/>
        <v>2000</v>
      </c>
      <c r="J485" s="157">
        <v>2025.0</v>
      </c>
    </row>
    <row r="486">
      <c r="A486" s="218">
        <f t="shared" si="2"/>
        <v>483</v>
      </c>
      <c r="B486" s="218" t="s">
        <v>200</v>
      </c>
      <c r="C486" s="219" t="str">
        <f t="shared" si="1"/>
        <v>MS/2001/2025</v>
      </c>
      <c r="D486" s="218" t="b">
        <v>1</v>
      </c>
      <c r="E486" s="218" t="b">
        <v>0</v>
      </c>
      <c r="F486" s="219"/>
      <c r="G486" s="173"/>
      <c r="H486" s="157" t="s">
        <v>6464</v>
      </c>
      <c r="I486" s="157">
        <f t="shared" si="3"/>
        <v>2001</v>
      </c>
      <c r="J486" s="157">
        <v>2025.0</v>
      </c>
    </row>
    <row r="487">
      <c r="A487" s="218">
        <f t="shared" si="2"/>
        <v>484</v>
      </c>
      <c r="B487" s="218" t="s">
        <v>200</v>
      </c>
      <c r="C487" s="219" t="str">
        <f t="shared" si="1"/>
        <v>MS/2002/2025</v>
      </c>
      <c r="D487" s="218" t="b">
        <v>1</v>
      </c>
      <c r="E487" s="218" t="b">
        <v>0</v>
      </c>
      <c r="F487" s="219"/>
      <c r="G487" s="173"/>
      <c r="H487" s="157" t="s">
        <v>6464</v>
      </c>
      <c r="I487" s="157">
        <f t="shared" si="3"/>
        <v>2002</v>
      </c>
      <c r="J487" s="157">
        <v>2025.0</v>
      </c>
    </row>
    <row r="488">
      <c r="A488" s="218">
        <f t="shared" si="2"/>
        <v>485</v>
      </c>
      <c r="B488" s="218" t="s">
        <v>200</v>
      </c>
      <c r="C488" s="219" t="str">
        <f t="shared" si="1"/>
        <v>MS/2003/2025</v>
      </c>
      <c r="D488" s="218" t="b">
        <v>1</v>
      </c>
      <c r="E488" s="218" t="b">
        <v>0</v>
      </c>
      <c r="F488" s="219"/>
      <c r="G488" s="173"/>
      <c r="H488" s="157" t="s">
        <v>6464</v>
      </c>
      <c r="I488" s="157">
        <f t="shared" si="3"/>
        <v>2003</v>
      </c>
      <c r="J488" s="157">
        <v>2025.0</v>
      </c>
    </row>
    <row r="489">
      <c r="A489" s="218">
        <f t="shared" si="2"/>
        <v>486</v>
      </c>
      <c r="B489" s="218" t="s">
        <v>200</v>
      </c>
      <c r="C489" s="219" t="str">
        <f t="shared" si="1"/>
        <v>MS/2004/2025</v>
      </c>
      <c r="D489" s="218" t="b">
        <v>1</v>
      </c>
      <c r="E489" s="218" t="b">
        <v>0</v>
      </c>
      <c r="F489" s="219"/>
      <c r="G489" s="173"/>
      <c r="H489" s="157" t="s">
        <v>6464</v>
      </c>
      <c r="I489" s="157">
        <f t="shared" si="3"/>
        <v>2004</v>
      </c>
      <c r="J489" s="157">
        <v>2025.0</v>
      </c>
    </row>
    <row r="490">
      <c r="A490" s="218">
        <f t="shared" si="2"/>
        <v>487</v>
      </c>
      <c r="B490" s="218" t="s">
        <v>200</v>
      </c>
      <c r="C490" s="219" t="str">
        <f t="shared" si="1"/>
        <v>MS/2005/2025</v>
      </c>
      <c r="D490" s="218" t="b">
        <v>1</v>
      </c>
      <c r="E490" s="218" t="b">
        <v>0</v>
      </c>
      <c r="F490" s="219"/>
      <c r="G490" s="173"/>
      <c r="H490" s="157" t="s">
        <v>6464</v>
      </c>
      <c r="I490" s="157">
        <f t="shared" si="3"/>
        <v>2005</v>
      </c>
      <c r="J490" s="157">
        <v>2025.0</v>
      </c>
    </row>
    <row r="491">
      <c r="A491" s="218">
        <f t="shared" si="2"/>
        <v>488</v>
      </c>
      <c r="B491" s="218" t="s">
        <v>200</v>
      </c>
      <c r="C491" s="219" t="str">
        <f t="shared" si="1"/>
        <v>MS/2006/2025</v>
      </c>
      <c r="D491" s="218" t="b">
        <v>1</v>
      </c>
      <c r="E491" s="218" t="b">
        <v>0</v>
      </c>
      <c r="F491" s="219"/>
      <c r="G491" s="173"/>
      <c r="H491" s="157" t="s">
        <v>6464</v>
      </c>
      <c r="I491" s="157">
        <f t="shared" si="3"/>
        <v>2006</v>
      </c>
      <c r="J491" s="157">
        <v>2025.0</v>
      </c>
    </row>
    <row r="492">
      <c r="A492" s="218">
        <f t="shared" si="2"/>
        <v>489</v>
      </c>
      <c r="B492" s="218" t="s">
        <v>200</v>
      </c>
      <c r="C492" s="219" t="str">
        <f t="shared" si="1"/>
        <v>MS/2007/2025</v>
      </c>
      <c r="D492" s="218" t="b">
        <v>1</v>
      </c>
      <c r="E492" s="218" t="b">
        <v>0</v>
      </c>
      <c r="F492" s="219"/>
      <c r="G492" s="173"/>
      <c r="H492" s="157" t="s">
        <v>6464</v>
      </c>
      <c r="I492" s="157">
        <f t="shared" si="3"/>
        <v>2007</v>
      </c>
      <c r="J492" s="157">
        <v>2025.0</v>
      </c>
    </row>
    <row r="493">
      <c r="A493" s="218">
        <f t="shared" si="2"/>
        <v>490</v>
      </c>
      <c r="B493" s="218" t="s">
        <v>200</v>
      </c>
      <c r="C493" s="219" t="str">
        <f t="shared" si="1"/>
        <v>MS/2008/2025</v>
      </c>
      <c r="D493" s="218" t="b">
        <v>1</v>
      </c>
      <c r="E493" s="218" t="b">
        <v>0</v>
      </c>
      <c r="F493" s="219"/>
      <c r="G493" s="173"/>
      <c r="H493" s="157" t="s">
        <v>6464</v>
      </c>
      <c r="I493" s="157">
        <f t="shared" si="3"/>
        <v>2008</v>
      </c>
      <c r="J493" s="157">
        <v>2025.0</v>
      </c>
    </row>
    <row r="494">
      <c r="A494" s="218">
        <f t="shared" si="2"/>
        <v>491</v>
      </c>
      <c r="B494" s="218" t="s">
        <v>200</v>
      </c>
      <c r="C494" s="219" t="str">
        <f t="shared" si="1"/>
        <v>MS/2009/2025</v>
      </c>
      <c r="D494" s="218" t="b">
        <v>1</v>
      </c>
      <c r="E494" s="218" t="b">
        <v>0</v>
      </c>
      <c r="F494" s="219"/>
      <c r="G494" s="173"/>
      <c r="H494" s="157" t="s">
        <v>6464</v>
      </c>
      <c r="I494" s="157">
        <f t="shared" si="3"/>
        <v>2009</v>
      </c>
      <c r="J494" s="157">
        <v>2025.0</v>
      </c>
    </row>
    <row r="495">
      <c r="A495" s="218">
        <f t="shared" si="2"/>
        <v>492</v>
      </c>
      <c r="B495" s="218" t="s">
        <v>200</v>
      </c>
      <c r="C495" s="219" t="str">
        <f t="shared" si="1"/>
        <v>MS/2010/2025</v>
      </c>
      <c r="D495" s="218" t="b">
        <v>1</v>
      </c>
      <c r="E495" s="218" t="b">
        <v>0</v>
      </c>
      <c r="F495" s="219"/>
      <c r="G495" s="173"/>
      <c r="H495" s="157" t="s">
        <v>6464</v>
      </c>
      <c r="I495" s="157">
        <f t="shared" si="3"/>
        <v>2010</v>
      </c>
      <c r="J495" s="157">
        <v>2025.0</v>
      </c>
    </row>
    <row r="496">
      <c r="A496" s="218">
        <f t="shared" si="2"/>
        <v>493</v>
      </c>
      <c r="B496" s="218" t="s">
        <v>200</v>
      </c>
      <c r="C496" s="219" t="str">
        <f t="shared" si="1"/>
        <v>MS/2011/2025</v>
      </c>
      <c r="D496" s="218" t="b">
        <v>1</v>
      </c>
      <c r="E496" s="218" t="b">
        <v>0</v>
      </c>
      <c r="F496" s="219"/>
      <c r="G496" s="173"/>
      <c r="H496" s="157" t="s">
        <v>6464</v>
      </c>
      <c r="I496" s="157">
        <f t="shared" si="3"/>
        <v>2011</v>
      </c>
      <c r="J496" s="157">
        <v>2025.0</v>
      </c>
    </row>
    <row r="497">
      <c r="A497" s="218">
        <f t="shared" si="2"/>
        <v>494</v>
      </c>
      <c r="B497" s="218" t="s">
        <v>200</v>
      </c>
      <c r="C497" s="219" t="str">
        <f t="shared" si="1"/>
        <v>MS/2012/2025</v>
      </c>
      <c r="D497" s="218" t="b">
        <v>1</v>
      </c>
      <c r="E497" s="219" t="b">
        <v>0</v>
      </c>
      <c r="F497" s="219"/>
      <c r="G497" s="173"/>
      <c r="H497" s="157" t="s">
        <v>6464</v>
      </c>
      <c r="I497" s="157">
        <f t="shared" si="3"/>
        <v>2012</v>
      </c>
      <c r="J497" s="157">
        <v>2025.0</v>
      </c>
    </row>
    <row r="498">
      <c r="A498" s="218">
        <f t="shared" si="2"/>
        <v>495</v>
      </c>
      <c r="B498" s="218" t="s">
        <v>200</v>
      </c>
      <c r="C498" s="219" t="str">
        <f t="shared" si="1"/>
        <v>MS/2013/2025</v>
      </c>
      <c r="D498" s="218" t="b">
        <v>1</v>
      </c>
      <c r="E498" s="218" t="b">
        <v>0</v>
      </c>
      <c r="F498" s="219"/>
      <c r="G498" s="173"/>
      <c r="H498" s="157" t="s">
        <v>6464</v>
      </c>
      <c r="I498" s="157">
        <f t="shared" si="3"/>
        <v>2013</v>
      </c>
      <c r="J498" s="157">
        <v>2025.0</v>
      </c>
    </row>
    <row r="499">
      <c r="A499" s="218">
        <f t="shared" si="2"/>
        <v>496</v>
      </c>
      <c r="B499" s="218" t="s">
        <v>200</v>
      </c>
      <c r="C499" s="219" t="str">
        <f t="shared" si="1"/>
        <v>MS/2014/2025</v>
      </c>
      <c r="D499" s="218" t="b">
        <v>1</v>
      </c>
      <c r="E499" s="219" t="b">
        <v>0</v>
      </c>
      <c r="F499" s="219"/>
      <c r="G499" s="173"/>
      <c r="H499" s="157" t="s">
        <v>6464</v>
      </c>
      <c r="I499" s="157">
        <f t="shared" si="3"/>
        <v>2014</v>
      </c>
      <c r="J499" s="157">
        <v>2025.0</v>
      </c>
    </row>
    <row r="500">
      <c r="A500" s="218">
        <f t="shared" si="2"/>
        <v>497</v>
      </c>
      <c r="B500" s="218" t="s">
        <v>200</v>
      </c>
      <c r="C500" s="219" t="str">
        <f t="shared" si="1"/>
        <v>MS/2015/2025</v>
      </c>
      <c r="D500" s="218" t="b">
        <v>1</v>
      </c>
      <c r="E500" s="219" t="b">
        <v>0</v>
      </c>
      <c r="F500" s="219"/>
      <c r="G500" s="173"/>
      <c r="H500" s="157" t="s">
        <v>6464</v>
      </c>
      <c r="I500" s="157">
        <f t="shared" si="3"/>
        <v>2015</v>
      </c>
      <c r="J500" s="157">
        <v>2025.0</v>
      </c>
    </row>
    <row r="501">
      <c r="A501" s="218">
        <f t="shared" si="2"/>
        <v>498</v>
      </c>
      <c r="B501" s="218" t="s">
        <v>200</v>
      </c>
      <c r="C501" s="219" t="str">
        <f t="shared" si="1"/>
        <v>MS/2016/2025</v>
      </c>
      <c r="D501" s="218" t="b">
        <v>1</v>
      </c>
      <c r="E501" s="219" t="b">
        <v>0</v>
      </c>
      <c r="F501" s="219"/>
      <c r="G501" s="173"/>
      <c r="H501" s="157" t="s">
        <v>6464</v>
      </c>
      <c r="I501" s="157">
        <f t="shared" si="3"/>
        <v>2016</v>
      </c>
      <c r="J501" s="157">
        <v>2025.0</v>
      </c>
    </row>
    <row r="502">
      <c r="A502" s="218">
        <f t="shared" si="2"/>
        <v>499</v>
      </c>
      <c r="B502" s="218" t="s">
        <v>200</v>
      </c>
      <c r="C502" s="219" t="str">
        <f t="shared" si="1"/>
        <v>MS/2017/2025</v>
      </c>
      <c r="D502" s="218" t="b">
        <v>1</v>
      </c>
      <c r="E502" s="219" t="b">
        <v>0</v>
      </c>
      <c r="F502" s="219"/>
      <c r="G502" s="173"/>
      <c r="H502" s="157" t="s">
        <v>6464</v>
      </c>
      <c r="I502" s="157">
        <f t="shared" si="3"/>
        <v>2017</v>
      </c>
      <c r="J502" s="157">
        <v>2025.0</v>
      </c>
    </row>
    <row r="503">
      <c r="A503" s="218">
        <f t="shared" si="2"/>
        <v>500</v>
      </c>
      <c r="B503" s="218" t="s">
        <v>200</v>
      </c>
      <c r="C503" s="219" t="str">
        <f t="shared" si="1"/>
        <v>MS/2018/2025</v>
      </c>
      <c r="D503" s="218" t="b">
        <v>1</v>
      </c>
      <c r="E503" s="219" t="b">
        <v>0</v>
      </c>
      <c r="F503" s="219"/>
      <c r="G503" s="173"/>
      <c r="H503" s="157" t="s">
        <v>6464</v>
      </c>
      <c r="I503" s="157">
        <f t="shared" si="3"/>
        <v>2018</v>
      </c>
      <c r="J503" s="157">
        <v>2025.0</v>
      </c>
    </row>
    <row r="504">
      <c r="A504" s="218">
        <f t="shared" si="2"/>
        <v>501</v>
      </c>
      <c r="B504" s="218" t="s">
        <v>200</v>
      </c>
      <c r="C504" s="219" t="str">
        <f t="shared" si="1"/>
        <v>MS/2019/2025</v>
      </c>
      <c r="D504" s="218" t="b">
        <v>1</v>
      </c>
      <c r="E504" s="219" t="b">
        <v>0</v>
      </c>
      <c r="F504" s="219"/>
      <c r="G504" s="173"/>
      <c r="H504" s="157" t="s">
        <v>6464</v>
      </c>
      <c r="I504" s="157">
        <f t="shared" si="3"/>
        <v>2019</v>
      </c>
      <c r="J504" s="157">
        <v>2025.0</v>
      </c>
    </row>
    <row r="505">
      <c r="A505" s="218">
        <f t="shared" si="2"/>
        <v>502</v>
      </c>
      <c r="B505" s="218" t="s">
        <v>200</v>
      </c>
      <c r="C505" s="219" t="str">
        <f t="shared" si="1"/>
        <v>MS/2020/2025</v>
      </c>
      <c r="D505" s="218" t="b">
        <v>1</v>
      </c>
      <c r="E505" s="219" t="b">
        <v>0</v>
      </c>
      <c r="F505" s="219"/>
      <c r="G505" s="173"/>
      <c r="H505" s="157" t="s">
        <v>6464</v>
      </c>
      <c r="I505" s="157">
        <f t="shared" si="3"/>
        <v>2020</v>
      </c>
      <c r="J505" s="157">
        <v>2025.0</v>
      </c>
    </row>
    <row r="506">
      <c r="A506" s="218">
        <f t="shared" si="2"/>
        <v>503</v>
      </c>
      <c r="B506" s="218" t="s">
        <v>200</v>
      </c>
      <c r="C506" s="219" t="str">
        <f t="shared" si="1"/>
        <v>MS/2021/2025</v>
      </c>
      <c r="D506" s="218" t="b">
        <v>1</v>
      </c>
      <c r="E506" s="219" t="b">
        <v>0</v>
      </c>
      <c r="F506" s="219"/>
      <c r="G506" s="173"/>
      <c r="H506" s="157" t="s">
        <v>6464</v>
      </c>
      <c r="I506" s="157">
        <f t="shared" si="3"/>
        <v>2021</v>
      </c>
      <c r="J506" s="157">
        <v>2025.0</v>
      </c>
    </row>
    <row r="507">
      <c r="A507" s="218">
        <f t="shared" si="2"/>
        <v>504</v>
      </c>
      <c r="B507" s="218" t="s">
        <v>200</v>
      </c>
      <c r="C507" s="219" t="str">
        <f t="shared" si="1"/>
        <v>MS/2022/2025</v>
      </c>
      <c r="D507" s="218" t="b">
        <v>1</v>
      </c>
      <c r="E507" s="219" t="b">
        <v>0</v>
      </c>
      <c r="F507" s="219"/>
      <c r="G507" s="173"/>
      <c r="H507" s="157" t="s">
        <v>6464</v>
      </c>
      <c r="I507" s="157">
        <f t="shared" si="3"/>
        <v>2022</v>
      </c>
      <c r="J507" s="157">
        <v>2025.0</v>
      </c>
    </row>
    <row r="508">
      <c r="A508" s="218">
        <f t="shared" si="2"/>
        <v>505</v>
      </c>
      <c r="B508" s="218" t="s">
        <v>200</v>
      </c>
      <c r="C508" s="219" t="str">
        <f t="shared" si="1"/>
        <v>MS/2023/2025</v>
      </c>
      <c r="D508" s="218" t="b">
        <v>1</v>
      </c>
      <c r="E508" s="219" t="b">
        <v>0</v>
      </c>
      <c r="F508" s="219"/>
      <c r="G508" s="173"/>
      <c r="H508" s="157" t="s">
        <v>6464</v>
      </c>
      <c r="I508" s="157">
        <f t="shared" si="3"/>
        <v>2023</v>
      </c>
      <c r="J508" s="157">
        <v>2025.0</v>
      </c>
    </row>
    <row r="509">
      <c r="A509" s="218">
        <f t="shared" si="2"/>
        <v>506</v>
      </c>
      <c r="B509" s="218" t="s">
        <v>200</v>
      </c>
      <c r="C509" s="219" t="str">
        <f t="shared" si="1"/>
        <v>MS/2024/2025</v>
      </c>
      <c r="D509" s="218" t="b">
        <v>1</v>
      </c>
      <c r="E509" s="219" t="b">
        <v>0</v>
      </c>
      <c r="F509" s="219"/>
      <c r="G509" s="173"/>
      <c r="H509" s="157" t="s">
        <v>6464</v>
      </c>
      <c r="I509" s="157">
        <f t="shared" si="3"/>
        <v>2024</v>
      </c>
      <c r="J509" s="157">
        <v>2025.0</v>
      </c>
    </row>
    <row r="510">
      <c r="A510" s="218">
        <f t="shared" si="2"/>
        <v>507</v>
      </c>
      <c r="B510" s="218" t="s">
        <v>200</v>
      </c>
      <c r="C510" s="219" t="str">
        <f t="shared" si="1"/>
        <v>MS/2025/2025</v>
      </c>
      <c r="D510" s="218" t="b">
        <v>1</v>
      </c>
      <c r="E510" s="219" t="b">
        <v>0</v>
      </c>
      <c r="F510" s="219"/>
      <c r="G510" s="173"/>
      <c r="H510" s="157" t="s">
        <v>6464</v>
      </c>
      <c r="I510" s="157">
        <f t="shared" si="3"/>
        <v>2025</v>
      </c>
      <c r="J510" s="157">
        <v>2025.0</v>
      </c>
    </row>
    <row r="511">
      <c r="A511" s="218">
        <f t="shared" si="2"/>
        <v>508</v>
      </c>
      <c r="B511" s="218" t="s">
        <v>200</v>
      </c>
      <c r="C511" s="219" t="str">
        <f t="shared" si="1"/>
        <v>MS/2026/2025</v>
      </c>
      <c r="D511" s="218" t="b">
        <v>1</v>
      </c>
      <c r="E511" s="219" t="b">
        <v>0</v>
      </c>
      <c r="F511" s="219"/>
      <c r="G511" s="173"/>
      <c r="H511" s="157" t="s">
        <v>6464</v>
      </c>
      <c r="I511" s="157">
        <f t="shared" si="3"/>
        <v>2026</v>
      </c>
      <c r="J511" s="157">
        <v>2025.0</v>
      </c>
    </row>
    <row r="512">
      <c r="A512" s="218">
        <f t="shared" si="2"/>
        <v>509</v>
      </c>
      <c r="B512" s="218" t="s">
        <v>200</v>
      </c>
      <c r="C512" s="219" t="str">
        <f t="shared" si="1"/>
        <v>MS/2027/2025</v>
      </c>
      <c r="D512" s="218" t="b">
        <v>1</v>
      </c>
      <c r="E512" s="219" t="b">
        <v>0</v>
      </c>
      <c r="F512" s="219"/>
      <c r="G512" s="173"/>
      <c r="H512" s="157" t="s">
        <v>6464</v>
      </c>
      <c r="I512" s="157">
        <f t="shared" si="3"/>
        <v>2027</v>
      </c>
      <c r="J512" s="157">
        <v>2025.0</v>
      </c>
    </row>
    <row r="513">
      <c r="A513" s="218">
        <f t="shared" si="2"/>
        <v>510</v>
      </c>
      <c r="B513" s="218" t="s">
        <v>200</v>
      </c>
      <c r="C513" s="219" t="str">
        <f t="shared" si="1"/>
        <v>MS/2028/2025</v>
      </c>
      <c r="D513" s="218" t="b">
        <v>1</v>
      </c>
      <c r="E513" s="219" t="b">
        <v>0</v>
      </c>
      <c r="F513" s="219"/>
      <c r="G513" s="173"/>
      <c r="H513" s="157" t="s">
        <v>6464</v>
      </c>
      <c r="I513" s="157">
        <f t="shared" si="3"/>
        <v>2028</v>
      </c>
      <c r="J513" s="157">
        <v>2025.0</v>
      </c>
    </row>
    <row r="514">
      <c r="A514" s="218">
        <f t="shared" si="2"/>
        <v>511</v>
      </c>
      <c r="B514" s="218" t="s">
        <v>200</v>
      </c>
      <c r="C514" s="219" t="str">
        <f t="shared" si="1"/>
        <v>MS/2029/2025</v>
      </c>
      <c r="D514" s="218" t="b">
        <v>1</v>
      </c>
      <c r="E514" s="219" t="b">
        <v>0</v>
      </c>
      <c r="F514" s="219"/>
      <c r="G514" s="173"/>
      <c r="H514" s="157" t="s">
        <v>6464</v>
      </c>
      <c r="I514" s="157">
        <f t="shared" si="3"/>
        <v>2029</v>
      </c>
      <c r="J514" s="157">
        <v>2025.0</v>
      </c>
    </row>
    <row r="515">
      <c r="A515" s="218">
        <f t="shared" si="2"/>
        <v>512</v>
      </c>
      <c r="B515" s="218" t="s">
        <v>200</v>
      </c>
      <c r="C515" s="219" t="str">
        <f t="shared" si="1"/>
        <v>MS/2030/2025</v>
      </c>
      <c r="D515" s="218" t="b">
        <v>1</v>
      </c>
      <c r="E515" s="219" t="b">
        <v>0</v>
      </c>
      <c r="F515" s="219"/>
      <c r="G515" s="173"/>
      <c r="H515" s="157" t="s">
        <v>6464</v>
      </c>
      <c r="I515" s="157">
        <f t="shared" si="3"/>
        <v>2030</v>
      </c>
      <c r="J515" s="157">
        <v>2025.0</v>
      </c>
    </row>
    <row r="516">
      <c r="A516" s="218">
        <f t="shared" si="2"/>
        <v>513</v>
      </c>
      <c r="B516" s="218" t="s">
        <v>200</v>
      </c>
      <c r="C516" s="219" t="str">
        <f t="shared" si="1"/>
        <v>MS/2031/2025</v>
      </c>
      <c r="D516" s="218" t="b">
        <v>1</v>
      </c>
      <c r="E516" s="219" t="b">
        <v>0</v>
      </c>
      <c r="F516" s="219"/>
      <c r="G516" s="173"/>
      <c r="H516" s="157" t="s">
        <v>6464</v>
      </c>
      <c r="I516" s="157">
        <f t="shared" si="3"/>
        <v>2031</v>
      </c>
      <c r="J516" s="157">
        <v>2025.0</v>
      </c>
    </row>
    <row r="517">
      <c r="A517" s="218">
        <f t="shared" si="2"/>
        <v>514</v>
      </c>
      <c r="B517" s="218" t="s">
        <v>200</v>
      </c>
      <c r="C517" s="219" t="str">
        <f t="shared" si="1"/>
        <v>MS/2032/2025</v>
      </c>
      <c r="D517" s="218" t="b">
        <v>1</v>
      </c>
      <c r="E517" s="219" t="b">
        <v>0</v>
      </c>
      <c r="F517" s="219"/>
      <c r="G517" s="173"/>
      <c r="H517" s="157" t="s">
        <v>6464</v>
      </c>
      <c r="I517" s="157">
        <f t="shared" si="3"/>
        <v>2032</v>
      </c>
      <c r="J517" s="157">
        <v>2025.0</v>
      </c>
    </row>
    <row r="518">
      <c r="A518" s="218">
        <f t="shared" si="2"/>
        <v>515</v>
      </c>
      <c r="B518" s="218" t="s">
        <v>200</v>
      </c>
      <c r="C518" s="219" t="str">
        <f t="shared" si="1"/>
        <v>MS/2033/2025</v>
      </c>
      <c r="D518" s="218" t="b">
        <v>1</v>
      </c>
      <c r="E518" s="219" t="b">
        <v>0</v>
      </c>
      <c r="F518" s="219"/>
      <c r="G518" s="173"/>
      <c r="H518" s="157" t="s">
        <v>6464</v>
      </c>
      <c r="I518" s="157">
        <f t="shared" si="3"/>
        <v>2033</v>
      </c>
      <c r="J518" s="157">
        <v>2025.0</v>
      </c>
    </row>
    <row r="519">
      <c r="A519" s="218">
        <f t="shared" si="2"/>
        <v>516</v>
      </c>
      <c r="B519" s="218" t="s">
        <v>200</v>
      </c>
      <c r="C519" s="219" t="str">
        <f t="shared" si="1"/>
        <v>MS/2034/2025</v>
      </c>
      <c r="D519" s="218" t="b">
        <v>1</v>
      </c>
      <c r="E519" s="219" t="b">
        <v>0</v>
      </c>
      <c r="F519" s="219"/>
      <c r="G519" s="173"/>
      <c r="H519" s="157" t="s">
        <v>6464</v>
      </c>
      <c r="I519" s="157">
        <f t="shared" si="3"/>
        <v>2034</v>
      </c>
      <c r="J519" s="157">
        <v>2025.0</v>
      </c>
    </row>
    <row r="520">
      <c r="A520" s="218">
        <f t="shared" si="2"/>
        <v>517</v>
      </c>
      <c r="B520" s="218" t="s">
        <v>200</v>
      </c>
      <c r="C520" s="219" t="str">
        <f t="shared" si="1"/>
        <v>MS/2035/2025</v>
      </c>
      <c r="D520" s="218" t="b">
        <v>1</v>
      </c>
      <c r="E520" s="219" t="b">
        <v>0</v>
      </c>
      <c r="F520" s="219"/>
      <c r="G520" s="173"/>
      <c r="H520" s="157" t="s">
        <v>6464</v>
      </c>
      <c r="I520" s="157">
        <f t="shared" si="3"/>
        <v>2035</v>
      </c>
      <c r="J520" s="157">
        <v>2025.0</v>
      </c>
    </row>
    <row r="521">
      <c r="A521" s="218">
        <f t="shared" si="2"/>
        <v>518</v>
      </c>
      <c r="B521" s="218" t="s">
        <v>200</v>
      </c>
      <c r="C521" s="219" t="str">
        <f t="shared" si="1"/>
        <v>MS/2036/2025</v>
      </c>
      <c r="D521" s="218" t="b">
        <v>1</v>
      </c>
      <c r="E521" s="219" t="b">
        <v>0</v>
      </c>
      <c r="F521" s="219"/>
      <c r="G521" s="173"/>
      <c r="H521" s="157" t="s">
        <v>6464</v>
      </c>
      <c r="I521" s="157">
        <f t="shared" si="3"/>
        <v>2036</v>
      </c>
      <c r="J521" s="157">
        <v>2025.0</v>
      </c>
    </row>
    <row r="522">
      <c r="A522" s="218">
        <f t="shared" si="2"/>
        <v>519</v>
      </c>
      <c r="B522" s="218" t="s">
        <v>200</v>
      </c>
      <c r="C522" s="219" t="str">
        <f t="shared" si="1"/>
        <v>MS/2037/2025</v>
      </c>
      <c r="D522" s="218" t="b">
        <v>1</v>
      </c>
      <c r="E522" s="219" t="b">
        <v>0</v>
      </c>
      <c r="F522" s="219"/>
      <c r="G522" s="173"/>
      <c r="H522" s="157" t="s">
        <v>6464</v>
      </c>
      <c r="I522" s="157">
        <f t="shared" si="3"/>
        <v>2037</v>
      </c>
      <c r="J522" s="157">
        <v>2025.0</v>
      </c>
    </row>
    <row r="523">
      <c r="A523" s="218">
        <f t="shared" si="2"/>
        <v>520</v>
      </c>
      <c r="B523" s="218" t="s">
        <v>200</v>
      </c>
      <c r="C523" s="219" t="str">
        <f t="shared" si="1"/>
        <v>MS/2038/2025</v>
      </c>
      <c r="D523" s="218" t="b">
        <v>1</v>
      </c>
      <c r="E523" s="219" t="b">
        <v>0</v>
      </c>
      <c r="F523" s="219"/>
      <c r="G523" s="173"/>
      <c r="H523" s="157" t="s">
        <v>6464</v>
      </c>
      <c r="I523" s="157">
        <f t="shared" si="3"/>
        <v>2038</v>
      </c>
      <c r="J523" s="157">
        <v>2025.0</v>
      </c>
    </row>
    <row r="524">
      <c r="A524" s="218">
        <f t="shared" si="2"/>
        <v>521</v>
      </c>
      <c r="B524" s="218" t="s">
        <v>200</v>
      </c>
      <c r="C524" s="219" t="str">
        <f t="shared" si="1"/>
        <v>MS/2039/2025</v>
      </c>
      <c r="D524" s="218" t="b">
        <v>1</v>
      </c>
      <c r="E524" s="219" t="b">
        <v>0</v>
      </c>
      <c r="F524" s="219"/>
      <c r="G524" s="173"/>
      <c r="H524" s="157" t="s">
        <v>6464</v>
      </c>
      <c r="I524" s="157">
        <f t="shared" si="3"/>
        <v>2039</v>
      </c>
      <c r="J524" s="157">
        <v>2025.0</v>
      </c>
    </row>
    <row r="525">
      <c r="A525" s="218">
        <f t="shared" si="2"/>
        <v>522</v>
      </c>
      <c r="B525" s="218" t="s">
        <v>200</v>
      </c>
      <c r="C525" s="219" t="str">
        <f t="shared" si="1"/>
        <v>MS/2040/2025</v>
      </c>
      <c r="D525" s="218" t="b">
        <v>1</v>
      </c>
      <c r="E525" s="219" t="b">
        <v>0</v>
      </c>
      <c r="F525" s="219"/>
      <c r="G525" s="173"/>
      <c r="H525" s="157" t="s">
        <v>6464</v>
      </c>
      <c r="I525" s="157">
        <f t="shared" si="3"/>
        <v>2040</v>
      </c>
      <c r="J525" s="157">
        <v>2025.0</v>
      </c>
    </row>
    <row r="526">
      <c r="A526" s="218">
        <f t="shared" si="2"/>
        <v>523</v>
      </c>
      <c r="B526" s="218" t="s">
        <v>200</v>
      </c>
      <c r="C526" s="219" t="str">
        <f t="shared" si="1"/>
        <v>MS/2041/2025</v>
      </c>
      <c r="D526" s="218" t="b">
        <v>1</v>
      </c>
      <c r="E526" s="219" t="b">
        <v>0</v>
      </c>
      <c r="F526" s="219"/>
      <c r="G526" s="173"/>
      <c r="H526" s="157" t="s">
        <v>6464</v>
      </c>
      <c r="I526" s="157">
        <f t="shared" si="3"/>
        <v>2041</v>
      </c>
      <c r="J526" s="157">
        <v>2025.0</v>
      </c>
    </row>
    <row r="527">
      <c r="A527" s="218">
        <f t="shared" si="2"/>
        <v>524</v>
      </c>
      <c r="B527" s="218" t="s">
        <v>200</v>
      </c>
      <c r="C527" s="219" t="str">
        <f t="shared" si="1"/>
        <v>MS/2042/2025</v>
      </c>
      <c r="D527" s="218" t="b">
        <v>1</v>
      </c>
      <c r="E527" s="219" t="b">
        <v>0</v>
      </c>
      <c r="F527" s="219"/>
      <c r="G527" s="173"/>
      <c r="H527" s="157" t="s">
        <v>6464</v>
      </c>
      <c r="I527" s="157">
        <f t="shared" si="3"/>
        <v>2042</v>
      </c>
      <c r="J527" s="157">
        <v>2025.0</v>
      </c>
    </row>
    <row r="528">
      <c r="A528" s="218">
        <f t="shared" si="2"/>
        <v>525</v>
      </c>
      <c r="B528" s="218" t="s">
        <v>200</v>
      </c>
      <c r="C528" s="219" t="str">
        <f t="shared" si="1"/>
        <v>MS/2043/2025</v>
      </c>
      <c r="D528" s="218" t="b">
        <v>1</v>
      </c>
      <c r="E528" s="219" t="b">
        <v>0</v>
      </c>
      <c r="F528" s="219"/>
      <c r="G528" s="173"/>
      <c r="H528" s="157" t="s">
        <v>6464</v>
      </c>
      <c r="I528" s="157">
        <f t="shared" si="3"/>
        <v>2043</v>
      </c>
      <c r="J528" s="157">
        <v>2025.0</v>
      </c>
    </row>
    <row r="529">
      <c r="A529" s="218">
        <f t="shared" si="2"/>
        <v>526</v>
      </c>
      <c r="B529" s="218" t="s">
        <v>200</v>
      </c>
      <c r="C529" s="219" t="str">
        <f t="shared" si="1"/>
        <v>MS/2044/2025</v>
      </c>
      <c r="D529" s="218" t="b">
        <v>1</v>
      </c>
      <c r="E529" s="219" t="b">
        <v>0</v>
      </c>
      <c r="F529" s="219"/>
      <c r="G529" s="173"/>
      <c r="H529" s="157" t="s">
        <v>6464</v>
      </c>
      <c r="I529" s="157">
        <f t="shared" si="3"/>
        <v>2044</v>
      </c>
      <c r="J529" s="157">
        <v>2025.0</v>
      </c>
    </row>
    <row r="530">
      <c r="A530" s="218">
        <f t="shared" si="2"/>
        <v>527</v>
      </c>
      <c r="B530" s="218" t="s">
        <v>200</v>
      </c>
      <c r="C530" s="219" t="str">
        <f t="shared" si="1"/>
        <v>MS/2045/2025</v>
      </c>
      <c r="D530" s="218" t="b">
        <v>1</v>
      </c>
      <c r="E530" s="219" t="b">
        <v>0</v>
      </c>
      <c r="F530" s="219"/>
      <c r="G530" s="173"/>
      <c r="H530" s="157" t="s">
        <v>6464</v>
      </c>
      <c r="I530" s="157">
        <f t="shared" si="3"/>
        <v>2045</v>
      </c>
      <c r="J530" s="157">
        <v>2025.0</v>
      </c>
    </row>
    <row r="531">
      <c r="A531" s="218">
        <f t="shared" si="2"/>
        <v>528</v>
      </c>
      <c r="B531" s="218" t="s">
        <v>200</v>
      </c>
      <c r="C531" s="219" t="str">
        <f t="shared" si="1"/>
        <v>MS/2046/2025</v>
      </c>
      <c r="D531" s="218" t="b">
        <v>1</v>
      </c>
      <c r="E531" s="219" t="b">
        <v>0</v>
      </c>
      <c r="F531" s="219"/>
      <c r="G531" s="173"/>
      <c r="H531" s="157" t="s">
        <v>6464</v>
      </c>
      <c r="I531" s="157">
        <f t="shared" si="3"/>
        <v>2046</v>
      </c>
      <c r="J531" s="157">
        <v>2025.0</v>
      </c>
    </row>
    <row r="532">
      <c r="A532" s="218">
        <f t="shared" si="2"/>
        <v>529</v>
      </c>
      <c r="B532" s="218" t="s">
        <v>200</v>
      </c>
      <c r="C532" s="219" t="str">
        <f t="shared" si="1"/>
        <v>MS/2047/2025</v>
      </c>
      <c r="D532" s="218" t="b">
        <v>1</v>
      </c>
      <c r="E532" s="219" t="b">
        <v>0</v>
      </c>
      <c r="F532" s="219"/>
      <c r="G532" s="173"/>
      <c r="H532" s="157" t="s">
        <v>6464</v>
      </c>
      <c r="I532" s="157">
        <f t="shared" si="3"/>
        <v>2047</v>
      </c>
      <c r="J532" s="157">
        <v>2025.0</v>
      </c>
    </row>
    <row r="533">
      <c r="A533" s="218">
        <f t="shared" si="2"/>
        <v>530</v>
      </c>
      <c r="B533" s="218" t="s">
        <v>200</v>
      </c>
      <c r="C533" s="219" t="str">
        <f t="shared" si="1"/>
        <v>MS/2048/2025</v>
      </c>
      <c r="D533" s="218" t="b">
        <v>1</v>
      </c>
      <c r="E533" s="219" t="b">
        <v>0</v>
      </c>
      <c r="F533" s="219"/>
      <c r="G533" s="173"/>
      <c r="H533" s="157" t="s">
        <v>6464</v>
      </c>
      <c r="I533" s="157">
        <f t="shared" si="3"/>
        <v>2048</v>
      </c>
      <c r="J533" s="157">
        <v>2025.0</v>
      </c>
    </row>
    <row r="534">
      <c r="A534" s="218">
        <f t="shared" si="2"/>
        <v>531</v>
      </c>
      <c r="B534" s="218" t="s">
        <v>200</v>
      </c>
      <c r="C534" s="219" t="str">
        <f t="shared" si="1"/>
        <v>MS/2049/2025</v>
      </c>
      <c r="D534" s="218" t="b">
        <v>1</v>
      </c>
      <c r="E534" s="219" t="b">
        <v>0</v>
      </c>
      <c r="F534" s="219"/>
      <c r="G534" s="173"/>
      <c r="H534" s="157" t="s">
        <v>6464</v>
      </c>
      <c r="I534" s="157">
        <f t="shared" si="3"/>
        <v>2049</v>
      </c>
      <c r="J534" s="157">
        <v>2025.0</v>
      </c>
    </row>
    <row r="535">
      <c r="A535" s="218">
        <f t="shared" si="2"/>
        <v>532</v>
      </c>
      <c r="B535" s="218" t="s">
        <v>200</v>
      </c>
      <c r="C535" s="219" t="str">
        <f t="shared" si="1"/>
        <v>MS/2050/2025</v>
      </c>
      <c r="D535" s="218" t="b">
        <v>1</v>
      </c>
      <c r="E535" s="219" t="b">
        <v>0</v>
      </c>
      <c r="F535" s="219"/>
      <c r="G535" s="173"/>
      <c r="H535" s="157" t="s">
        <v>6464</v>
      </c>
      <c r="I535" s="157">
        <f t="shared" si="3"/>
        <v>2050</v>
      </c>
      <c r="J535" s="157">
        <v>2025.0</v>
      </c>
    </row>
    <row r="536">
      <c r="A536" s="218">
        <f t="shared" si="2"/>
        <v>533</v>
      </c>
      <c r="B536" s="218" t="s">
        <v>200</v>
      </c>
      <c r="C536" s="219" t="str">
        <f t="shared" si="1"/>
        <v>MS/2051/2025</v>
      </c>
      <c r="D536" s="218" t="b">
        <v>1</v>
      </c>
      <c r="E536" s="219" t="b">
        <v>0</v>
      </c>
      <c r="F536" s="219"/>
      <c r="G536" s="173"/>
      <c r="H536" s="157" t="s">
        <v>6464</v>
      </c>
      <c r="I536" s="157">
        <f t="shared" si="3"/>
        <v>2051</v>
      </c>
      <c r="J536" s="157">
        <v>2025.0</v>
      </c>
    </row>
    <row r="537">
      <c r="A537" s="218">
        <f t="shared" si="2"/>
        <v>534</v>
      </c>
      <c r="B537" s="218" t="s">
        <v>200</v>
      </c>
      <c r="C537" s="219" t="str">
        <f t="shared" si="1"/>
        <v>MS/2052/2025</v>
      </c>
      <c r="D537" s="218" t="b">
        <v>1</v>
      </c>
      <c r="E537" s="219" t="b">
        <v>0</v>
      </c>
      <c r="F537" s="219"/>
      <c r="G537" s="173"/>
      <c r="H537" s="157" t="s">
        <v>6464</v>
      </c>
      <c r="I537" s="157">
        <f t="shared" si="3"/>
        <v>2052</v>
      </c>
      <c r="J537" s="157">
        <v>2025.0</v>
      </c>
    </row>
    <row r="538">
      <c r="A538" s="218">
        <f t="shared" si="2"/>
        <v>535</v>
      </c>
      <c r="B538" s="218" t="s">
        <v>200</v>
      </c>
      <c r="C538" s="219" t="str">
        <f t="shared" si="1"/>
        <v>MS/2053/2025</v>
      </c>
      <c r="D538" s="218" t="b">
        <v>1</v>
      </c>
      <c r="E538" s="219" t="b">
        <v>0</v>
      </c>
      <c r="F538" s="219"/>
      <c r="G538" s="173"/>
      <c r="H538" s="157" t="s">
        <v>6464</v>
      </c>
      <c r="I538" s="157">
        <f t="shared" si="3"/>
        <v>2053</v>
      </c>
      <c r="J538" s="157">
        <v>2025.0</v>
      </c>
    </row>
    <row r="539">
      <c r="A539" s="218">
        <f t="shared" si="2"/>
        <v>536</v>
      </c>
      <c r="B539" s="218" t="s">
        <v>200</v>
      </c>
      <c r="C539" s="219" t="str">
        <f t="shared" si="1"/>
        <v>MS/2054/2025</v>
      </c>
      <c r="D539" s="218" t="b">
        <v>1</v>
      </c>
      <c r="E539" s="219" t="b">
        <v>0</v>
      </c>
      <c r="F539" s="219"/>
      <c r="G539" s="173"/>
      <c r="H539" s="157" t="s">
        <v>6464</v>
      </c>
      <c r="I539" s="157">
        <f t="shared" si="3"/>
        <v>2054</v>
      </c>
      <c r="J539" s="157">
        <v>2025.0</v>
      </c>
    </row>
    <row r="540">
      <c r="A540" s="218">
        <f t="shared" si="2"/>
        <v>537</v>
      </c>
      <c r="B540" s="218" t="s">
        <v>200</v>
      </c>
      <c r="C540" s="219" t="str">
        <f t="shared" si="1"/>
        <v>MS/2055/2025</v>
      </c>
      <c r="D540" s="218" t="b">
        <v>1</v>
      </c>
      <c r="E540" s="219" t="b">
        <v>0</v>
      </c>
      <c r="F540" s="219"/>
      <c r="G540" s="173"/>
      <c r="H540" s="157" t="s">
        <v>6464</v>
      </c>
      <c r="I540" s="157">
        <f t="shared" si="3"/>
        <v>2055</v>
      </c>
      <c r="J540" s="157">
        <v>2025.0</v>
      </c>
    </row>
    <row r="541">
      <c r="A541" s="218">
        <f t="shared" si="2"/>
        <v>538</v>
      </c>
      <c r="B541" s="218" t="s">
        <v>200</v>
      </c>
      <c r="C541" s="219" t="str">
        <f t="shared" si="1"/>
        <v>MS/2056/2025</v>
      </c>
      <c r="D541" s="218" t="b">
        <v>1</v>
      </c>
      <c r="E541" s="219" t="b">
        <v>0</v>
      </c>
      <c r="F541" s="219"/>
      <c r="G541" s="173"/>
      <c r="H541" s="157" t="s">
        <v>6464</v>
      </c>
      <c r="I541" s="157">
        <f t="shared" si="3"/>
        <v>2056</v>
      </c>
      <c r="J541" s="157">
        <v>2025.0</v>
      </c>
    </row>
    <row r="542">
      <c r="A542" s="218">
        <f t="shared" si="2"/>
        <v>539</v>
      </c>
      <c r="B542" s="218" t="s">
        <v>200</v>
      </c>
      <c r="C542" s="219" t="str">
        <f t="shared" si="1"/>
        <v>MS/2057/2025</v>
      </c>
      <c r="D542" s="218" t="b">
        <v>1</v>
      </c>
      <c r="E542" s="219" t="b">
        <v>0</v>
      </c>
      <c r="F542" s="219"/>
      <c r="G542" s="173"/>
      <c r="H542" s="157" t="s">
        <v>6464</v>
      </c>
      <c r="I542" s="157">
        <f t="shared" si="3"/>
        <v>2057</v>
      </c>
      <c r="J542" s="157">
        <v>2025.0</v>
      </c>
    </row>
    <row r="543">
      <c r="A543" s="218">
        <f t="shared" si="2"/>
        <v>540</v>
      </c>
      <c r="B543" s="218" t="s">
        <v>200</v>
      </c>
      <c r="C543" s="219" t="str">
        <f t="shared" si="1"/>
        <v>MS/2058/2025</v>
      </c>
      <c r="D543" s="218" t="b">
        <v>1</v>
      </c>
      <c r="E543" s="219" t="b">
        <v>0</v>
      </c>
      <c r="F543" s="219"/>
      <c r="G543" s="173"/>
      <c r="H543" s="157" t="s">
        <v>6464</v>
      </c>
      <c r="I543" s="157">
        <f t="shared" si="3"/>
        <v>2058</v>
      </c>
      <c r="J543" s="157">
        <v>2025.0</v>
      </c>
    </row>
    <row r="544">
      <c r="A544" s="218">
        <f t="shared" si="2"/>
        <v>541</v>
      </c>
      <c r="B544" s="218" t="s">
        <v>200</v>
      </c>
      <c r="C544" s="219" t="str">
        <f t="shared" si="1"/>
        <v>MS/2059/2025</v>
      </c>
      <c r="D544" s="218" t="b">
        <v>1</v>
      </c>
      <c r="E544" s="219" t="b">
        <v>0</v>
      </c>
      <c r="F544" s="219"/>
      <c r="G544" s="173"/>
      <c r="H544" s="157" t="s">
        <v>6464</v>
      </c>
      <c r="I544" s="157">
        <f t="shared" si="3"/>
        <v>2059</v>
      </c>
      <c r="J544" s="157">
        <v>2025.0</v>
      </c>
    </row>
    <row r="545">
      <c r="A545" s="218">
        <f t="shared" si="2"/>
        <v>542</v>
      </c>
      <c r="B545" s="218" t="s">
        <v>200</v>
      </c>
      <c r="C545" s="219" t="str">
        <f t="shared" si="1"/>
        <v>MS/2060/2025</v>
      </c>
      <c r="D545" s="218" t="b">
        <v>1</v>
      </c>
      <c r="E545" s="219" t="b">
        <v>0</v>
      </c>
      <c r="F545" s="219"/>
      <c r="G545" s="173"/>
      <c r="H545" s="157" t="s">
        <v>6464</v>
      </c>
      <c r="I545" s="157">
        <f t="shared" si="3"/>
        <v>2060</v>
      </c>
      <c r="J545" s="157">
        <v>2025.0</v>
      </c>
    </row>
    <row r="546">
      <c r="A546" s="218">
        <f t="shared" si="2"/>
        <v>543</v>
      </c>
      <c r="B546" s="218" t="s">
        <v>200</v>
      </c>
      <c r="C546" s="219" t="str">
        <f t="shared" si="1"/>
        <v>MS/2061/2025</v>
      </c>
      <c r="D546" s="218" t="b">
        <v>1</v>
      </c>
      <c r="E546" s="219" t="b">
        <v>0</v>
      </c>
      <c r="F546" s="219"/>
      <c r="G546" s="173"/>
      <c r="H546" s="157" t="s">
        <v>6464</v>
      </c>
      <c r="I546" s="157">
        <f t="shared" si="3"/>
        <v>2061</v>
      </c>
      <c r="J546" s="157">
        <v>2025.0</v>
      </c>
    </row>
    <row r="547">
      <c r="A547" s="218">
        <f t="shared" si="2"/>
        <v>544</v>
      </c>
      <c r="B547" s="218" t="s">
        <v>200</v>
      </c>
      <c r="C547" s="219" t="str">
        <f t="shared" si="1"/>
        <v>MS/2062/2025</v>
      </c>
      <c r="D547" s="218" t="b">
        <v>1</v>
      </c>
      <c r="E547" s="219" t="b">
        <v>0</v>
      </c>
      <c r="F547" s="219"/>
      <c r="G547" s="173"/>
      <c r="H547" s="157" t="s">
        <v>6464</v>
      </c>
      <c r="I547" s="157">
        <f t="shared" si="3"/>
        <v>2062</v>
      </c>
      <c r="J547" s="157">
        <v>2025.0</v>
      </c>
    </row>
    <row r="548">
      <c r="A548" s="218">
        <f t="shared" si="2"/>
        <v>545</v>
      </c>
      <c r="B548" s="218" t="s">
        <v>200</v>
      </c>
      <c r="C548" s="219" t="str">
        <f t="shared" si="1"/>
        <v>MS/2063/2025</v>
      </c>
      <c r="D548" s="218" t="b">
        <v>1</v>
      </c>
      <c r="E548" s="219" t="b">
        <v>0</v>
      </c>
      <c r="F548" s="219"/>
      <c r="G548" s="173"/>
      <c r="H548" s="157" t="s">
        <v>6464</v>
      </c>
      <c r="I548" s="157">
        <f t="shared" si="3"/>
        <v>2063</v>
      </c>
      <c r="J548" s="157">
        <v>2025.0</v>
      </c>
    </row>
    <row r="549">
      <c r="A549" s="218">
        <f t="shared" si="2"/>
        <v>546</v>
      </c>
      <c r="B549" s="218" t="s">
        <v>200</v>
      </c>
      <c r="C549" s="219" t="str">
        <f t="shared" si="1"/>
        <v>MS/2064/2025</v>
      </c>
      <c r="D549" s="218" t="b">
        <v>1</v>
      </c>
      <c r="E549" s="219" t="b">
        <v>0</v>
      </c>
      <c r="F549" s="219"/>
      <c r="G549" s="173"/>
      <c r="H549" s="157" t="s">
        <v>6464</v>
      </c>
      <c r="I549" s="157">
        <f t="shared" si="3"/>
        <v>2064</v>
      </c>
      <c r="J549" s="157">
        <v>2025.0</v>
      </c>
    </row>
    <row r="550">
      <c r="A550" s="218">
        <f t="shared" si="2"/>
        <v>547</v>
      </c>
      <c r="B550" s="218" t="s">
        <v>200</v>
      </c>
      <c r="C550" s="219" t="str">
        <f t="shared" si="1"/>
        <v>MS/2065/2025</v>
      </c>
      <c r="D550" s="218" t="b">
        <v>1</v>
      </c>
      <c r="E550" s="219" t="b">
        <v>0</v>
      </c>
      <c r="F550" s="219"/>
      <c r="G550" s="173"/>
      <c r="H550" s="157" t="s">
        <v>6464</v>
      </c>
      <c r="I550" s="157">
        <f t="shared" si="3"/>
        <v>2065</v>
      </c>
      <c r="J550" s="157">
        <v>2025.0</v>
      </c>
    </row>
    <row r="551">
      <c r="A551" s="218">
        <f t="shared" si="2"/>
        <v>548</v>
      </c>
      <c r="B551" s="218" t="s">
        <v>200</v>
      </c>
      <c r="C551" s="219" t="str">
        <f t="shared" si="1"/>
        <v>MS/2066/2025</v>
      </c>
      <c r="D551" s="218" t="b">
        <v>1</v>
      </c>
      <c r="E551" s="219" t="b">
        <v>0</v>
      </c>
      <c r="F551" s="219"/>
      <c r="G551" s="173"/>
      <c r="H551" s="157" t="s">
        <v>6464</v>
      </c>
      <c r="I551" s="157">
        <f t="shared" si="3"/>
        <v>2066</v>
      </c>
      <c r="J551" s="157">
        <v>2025.0</v>
      </c>
    </row>
    <row r="552">
      <c r="A552" s="218">
        <f t="shared" si="2"/>
        <v>549</v>
      </c>
      <c r="B552" s="218" t="s">
        <v>200</v>
      </c>
      <c r="C552" s="219" t="str">
        <f t="shared" si="1"/>
        <v>MS/2067/2025</v>
      </c>
      <c r="D552" s="218" t="b">
        <v>1</v>
      </c>
      <c r="E552" s="219" t="b">
        <v>0</v>
      </c>
      <c r="F552" s="219"/>
      <c r="G552" s="173"/>
      <c r="H552" s="157" t="s">
        <v>6464</v>
      </c>
      <c r="I552" s="157">
        <f t="shared" si="3"/>
        <v>2067</v>
      </c>
      <c r="J552" s="157">
        <v>2025.0</v>
      </c>
    </row>
    <row r="553">
      <c r="A553" s="218">
        <f t="shared" si="2"/>
        <v>550</v>
      </c>
      <c r="B553" s="218" t="s">
        <v>200</v>
      </c>
      <c r="C553" s="219" t="str">
        <f t="shared" si="1"/>
        <v>MS/2068/2025</v>
      </c>
      <c r="D553" s="218" t="b">
        <v>1</v>
      </c>
      <c r="E553" s="219" t="b">
        <v>0</v>
      </c>
      <c r="F553" s="219"/>
      <c r="G553" s="173"/>
      <c r="H553" s="157" t="s">
        <v>6464</v>
      </c>
      <c r="I553" s="157">
        <f t="shared" si="3"/>
        <v>2068</v>
      </c>
      <c r="J553" s="157">
        <v>2025.0</v>
      </c>
    </row>
    <row r="554">
      <c r="A554" s="218">
        <f t="shared" si="2"/>
        <v>551</v>
      </c>
      <c r="B554" s="218" t="s">
        <v>200</v>
      </c>
      <c r="C554" s="219" t="str">
        <f t="shared" si="1"/>
        <v>MS/2069/2025</v>
      </c>
      <c r="D554" s="218" t="b">
        <v>1</v>
      </c>
      <c r="E554" s="219" t="b">
        <v>0</v>
      </c>
      <c r="F554" s="219"/>
      <c r="G554" s="173"/>
      <c r="H554" s="157" t="s">
        <v>6464</v>
      </c>
      <c r="I554" s="157">
        <f t="shared" si="3"/>
        <v>2069</v>
      </c>
      <c r="J554" s="157">
        <v>2025.0</v>
      </c>
    </row>
    <row r="555">
      <c r="A555" s="218">
        <f t="shared" si="2"/>
        <v>552</v>
      </c>
      <c r="B555" s="218" t="s">
        <v>200</v>
      </c>
      <c r="C555" s="219" t="str">
        <f t="shared" si="1"/>
        <v>MS/2070/2025</v>
      </c>
      <c r="D555" s="218" t="b">
        <v>1</v>
      </c>
      <c r="E555" s="219" t="b">
        <v>0</v>
      </c>
      <c r="F555" s="219"/>
      <c r="G555" s="173"/>
      <c r="H555" s="157" t="s">
        <v>6464</v>
      </c>
      <c r="I555" s="157">
        <f t="shared" si="3"/>
        <v>2070</v>
      </c>
      <c r="J555" s="157">
        <v>2025.0</v>
      </c>
    </row>
    <row r="556">
      <c r="A556" s="218">
        <f t="shared" si="2"/>
        <v>553</v>
      </c>
      <c r="B556" s="218" t="s">
        <v>200</v>
      </c>
      <c r="C556" s="219" t="str">
        <f t="shared" si="1"/>
        <v>MS/2071/2025</v>
      </c>
      <c r="D556" s="218" t="b">
        <v>1</v>
      </c>
      <c r="E556" s="219" t="b">
        <v>0</v>
      </c>
      <c r="F556" s="219"/>
      <c r="G556" s="173"/>
      <c r="H556" s="157" t="s">
        <v>6464</v>
      </c>
      <c r="I556" s="157">
        <f t="shared" si="3"/>
        <v>2071</v>
      </c>
      <c r="J556" s="157">
        <v>2025.0</v>
      </c>
    </row>
    <row r="557">
      <c r="A557" s="218">
        <f t="shared" si="2"/>
        <v>554</v>
      </c>
      <c r="B557" s="218" t="s">
        <v>200</v>
      </c>
      <c r="C557" s="219" t="str">
        <f t="shared" si="1"/>
        <v>MS/2072/2025</v>
      </c>
      <c r="D557" s="218" t="b">
        <v>1</v>
      </c>
      <c r="E557" s="219" t="b">
        <v>0</v>
      </c>
      <c r="F557" s="219"/>
      <c r="G557" s="173"/>
      <c r="H557" s="157" t="s">
        <v>6464</v>
      </c>
      <c r="I557" s="157">
        <f t="shared" si="3"/>
        <v>2072</v>
      </c>
      <c r="J557" s="157">
        <v>2025.0</v>
      </c>
    </row>
    <row r="558">
      <c r="A558" s="218">
        <f t="shared" si="2"/>
        <v>555</v>
      </c>
      <c r="B558" s="218" t="s">
        <v>200</v>
      </c>
      <c r="C558" s="219" t="str">
        <f t="shared" si="1"/>
        <v>MS/2073/2025</v>
      </c>
      <c r="D558" s="218" t="b">
        <v>1</v>
      </c>
      <c r="E558" s="219" t="b">
        <v>0</v>
      </c>
      <c r="F558" s="219"/>
      <c r="G558" s="173"/>
      <c r="H558" s="157" t="s">
        <v>6464</v>
      </c>
      <c r="I558" s="157">
        <f t="shared" si="3"/>
        <v>2073</v>
      </c>
      <c r="J558" s="157">
        <v>2025.0</v>
      </c>
    </row>
    <row r="559">
      <c r="A559" s="218">
        <f t="shared" si="2"/>
        <v>556</v>
      </c>
      <c r="B559" s="218" t="s">
        <v>200</v>
      </c>
      <c r="C559" s="219" t="str">
        <f t="shared" si="1"/>
        <v>MS/2074/2025</v>
      </c>
      <c r="D559" s="218" t="b">
        <v>1</v>
      </c>
      <c r="E559" s="219" t="b">
        <v>0</v>
      </c>
      <c r="F559" s="219"/>
      <c r="G559" s="173"/>
      <c r="H559" s="157" t="s">
        <v>6464</v>
      </c>
      <c r="I559" s="157">
        <f t="shared" si="3"/>
        <v>2074</v>
      </c>
      <c r="J559" s="157">
        <v>2025.0</v>
      </c>
    </row>
    <row r="560">
      <c r="A560" s="218">
        <f t="shared" si="2"/>
        <v>557</v>
      </c>
      <c r="B560" s="218" t="s">
        <v>200</v>
      </c>
      <c r="C560" s="219" t="str">
        <f t="shared" si="1"/>
        <v>MS/2075/2025</v>
      </c>
      <c r="D560" s="218" t="b">
        <v>1</v>
      </c>
      <c r="E560" s="219" t="b">
        <v>0</v>
      </c>
      <c r="F560" s="219"/>
      <c r="G560" s="173"/>
      <c r="H560" s="157" t="s">
        <v>6464</v>
      </c>
      <c r="I560" s="157">
        <f t="shared" si="3"/>
        <v>2075</v>
      </c>
      <c r="J560" s="157">
        <v>2025.0</v>
      </c>
    </row>
    <row r="561">
      <c r="A561" s="218">
        <f t="shared" si="2"/>
        <v>558</v>
      </c>
      <c r="B561" s="218" t="s">
        <v>200</v>
      </c>
      <c r="C561" s="219" t="str">
        <f t="shared" si="1"/>
        <v>MS/2076/2025</v>
      </c>
      <c r="D561" s="218" t="b">
        <v>1</v>
      </c>
      <c r="E561" s="219" t="b">
        <v>0</v>
      </c>
      <c r="F561" s="219"/>
      <c r="G561" s="173"/>
      <c r="H561" s="157" t="s">
        <v>6464</v>
      </c>
      <c r="I561" s="157">
        <f t="shared" si="3"/>
        <v>2076</v>
      </c>
      <c r="J561" s="157">
        <v>2025.0</v>
      </c>
    </row>
    <row r="562">
      <c r="A562" s="218">
        <f t="shared" si="2"/>
        <v>559</v>
      </c>
      <c r="B562" s="218" t="s">
        <v>200</v>
      </c>
      <c r="C562" s="219" t="str">
        <f t="shared" si="1"/>
        <v>MS/2077/2025</v>
      </c>
      <c r="D562" s="218" t="b">
        <v>1</v>
      </c>
      <c r="E562" s="219" t="b">
        <v>0</v>
      </c>
      <c r="F562" s="219"/>
      <c r="G562" s="173"/>
      <c r="H562" s="157" t="s">
        <v>6464</v>
      </c>
      <c r="I562" s="157">
        <f t="shared" si="3"/>
        <v>2077</v>
      </c>
      <c r="J562" s="157">
        <v>2025.0</v>
      </c>
    </row>
    <row r="563">
      <c r="A563" s="218">
        <f t="shared" si="2"/>
        <v>560</v>
      </c>
      <c r="B563" s="218" t="s">
        <v>200</v>
      </c>
      <c r="C563" s="219" t="str">
        <f t="shared" si="1"/>
        <v>MS/2078/2025</v>
      </c>
      <c r="D563" s="218" t="b">
        <v>1</v>
      </c>
      <c r="E563" s="219" t="b">
        <v>0</v>
      </c>
      <c r="F563" s="219"/>
      <c r="G563" s="173"/>
      <c r="H563" s="157" t="s">
        <v>6464</v>
      </c>
      <c r="I563" s="157">
        <f t="shared" si="3"/>
        <v>2078</v>
      </c>
      <c r="J563" s="157">
        <v>2025.0</v>
      </c>
    </row>
    <row r="564">
      <c r="A564" s="218">
        <f t="shared" si="2"/>
        <v>561</v>
      </c>
      <c r="B564" s="218" t="s">
        <v>200</v>
      </c>
      <c r="C564" s="219" t="str">
        <f t="shared" si="1"/>
        <v>MS/2079/2025</v>
      </c>
      <c r="D564" s="218" t="b">
        <v>1</v>
      </c>
      <c r="E564" s="219" t="b">
        <v>0</v>
      </c>
      <c r="F564" s="219"/>
      <c r="G564" s="173"/>
      <c r="H564" s="157" t="s">
        <v>6464</v>
      </c>
      <c r="I564" s="157">
        <f t="shared" si="3"/>
        <v>2079</v>
      </c>
      <c r="J564" s="157">
        <v>2025.0</v>
      </c>
    </row>
    <row r="565">
      <c r="A565" s="218">
        <f t="shared" si="2"/>
        <v>562</v>
      </c>
      <c r="B565" s="218" t="s">
        <v>200</v>
      </c>
      <c r="C565" s="219" t="str">
        <f t="shared" si="1"/>
        <v>MS/2080/2025</v>
      </c>
      <c r="D565" s="218" t="b">
        <v>1</v>
      </c>
      <c r="E565" s="219" t="b">
        <v>0</v>
      </c>
      <c r="F565" s="219"/>
      <c r="G565" s="173"/>
      <c r="H565" s="157" t="s">
        <v>6464</v>
      </c>
      <c r="I565" s="157">
        <f t="shared" si="3"/>
        <v>2080</v>
      </c>
      <c r="J565" s="157">
        <v>2025.0</v>
      </c>
    </row>
    <row r="566">
      <c r="A566" s="218">
        <f t="shared" si="2"/>
        <v>563</v>
      </c>
      <c r="B566" s="218" t="s">
        <v>200</v>
      </c>
      <c r="C566" s="219" t="str">
        <f t="shared" si="1"/>
        <v>MS/2081/2025</v>
      </c>
      <c r="D566" s="218" t="b">
        <v>1</v>
      </c>
      <c r="E566" s="219" t="b">
        <v>0</v>
      </c>
      <c r="F566" s="219"/>
      <c r="G566" s="173"/>
      <c r="H566" s="157" t="s">
        <v>6464</v>
      </c>
      <c r="I566" s="157">
        <f t="shared" si="3"/>
        <v>2081</v>
      </c>
      <c r="J566" s="157">
        <v>2025.0</v>
      </c>
    </row>
    <row r="567">
      <c r="A567" s="218">
        <f t="shared" si="2"/>
        <v>564</v>
      </c>
      <c r="B567" s="218" t="s">
        <v>200</v>
      </c>
      <c r="C567" s="219" t="str">
        <f t="shared" si="1"/>
        <v>MS/2082/2025</v>
      </c>
      <c r="D567" s="218" t="b">
        <v>1</v>
      </c>
      <c r="E567" s="219" t="b">
        <v>0</v>
      </c>
      <c r="F567" s="219"/>
      <c r="G567" s="173"/>
      <c r="H567" s="157" t="s">
        <v>6464</v>
      </c>
      <c r="I567" s="157">
        <f t="shared" si="3"/>
        <v>2082</v>
      </c>
      <c r="J567" s="157">
        <v>2025.0</v>
      </c>
    </row>
    <row r="568">
      <c r="A568" s="218">
        <f t="shared" si="2"/>
        <v>565</v>
      </c>
      <c r="B568" s="218" t="s">
        <v>200</v>
      </c>
      <c r="C568" s="219" t="str">
        <f t="shared" si="1"/>
        <v>MS/2083/2025</v>
      </c>
      <c r="D568" s="218" t="b">
        <v>1</v>
      </c>
      <c r="E568" s="219" t="b">
        <v>0</v>
      </c>
      <c r="F568" s="219"/>
      <c r="G568" s="173"/>
      <c r="H568" s="157" t="s">
        <v>6464</v>
      </c>
      <c r="I568" s="157">
        <f t="shared" si="3"/>
        <v>2083</v>
      </c>
      <c r="J568" s="157">
        <v>2025.0</v>
      </c>
    </row>
    <row r="569">
      <c r="A569" s="218">
        <f t="shared" si="2"/>
        <v>566</v>
      </c>
      <c r="B569" s="218" t="s">
        <v>200</v>
      </c>
      <c r="C569" s="219" t="str">
        <f t="shared" si="1"/>
        <v>MS/2084/2025</v>
      </c>
      <c r="D569" s="218" t="b">
        <v>1</v>
      </c>
      <c r="E569" s="219" t="b">
        <v>0</v>
      </c>
      <c r="F569" s="219"/>
      <c r="G569" s="173"/>
      <c r="H569" s="157" t="s">
        <v>6464</v>
      </c>
      <c r="I569" s="157">
        <f t="shared" si="3"/>
        <v>2084</v>
      </c>
      <c r="J569" s="157">
        <v>2025.0</v>
      </c>
    </row>
    <row r="570">
      <c r="A570" s="218">
        <f t="shared" si="2"/>
        <v>567</v>
      </c>
      <c r="B570" s="218" t="s">
        <v>200</v>
      </c>
      <c r="C570" s="219" t="str">
        <f t="shared" si="1"/>
        <v>MS/2085/2025</v>
      </c>
      <c r="D570" s="218" t="b">
        <v>1</v>
      </c>
      <c r="E570" s="219" t="b">
        <v>0</v>
      </c>
      <c r="F570" s="219"/>
      <c r="G570" s="173"/>
      <c r="H570" s="157" t="s">
        <v>6464</v>
      </c>
      <c r="I570" s="157">
        <f t="shared" si="3"/>
        <v>2085</v>
      </c>
      <c r="J570" s="157">
        <v>2025.0</v>
      </c>
    </row>
    <row r="571">
      <c r="A571" s="218">
        <f t="shared" si="2"/>
        <v>568</v>
      </c>
      <c r="B571" s="218" t="s">
        <v>200</v>
      </c>
      <c r="C571" s="219" t="str">
        <f t="shared" si="1"/>
        <v>MS/2086/2025</v>
      </c>
      <c r="D571" s="218" t="b">
        <v>1</v>
      </c>
      <c r="E571" s="219" t="b">
        <v>0</v>
      </c>
      <c r="F571" s="219"/>
      <c r="G571" s="173"/>
      <c r="H571" s="157" t="s">
        <v>6464</v>
      </c>
      <c r="I571" s="157">
        <f t="shared" si="3"/>
        <v>2086</v>
      </c>
      <c r="J571" s="157">
        <v>2025.0</v>
      </c>
    </row>
    <row r="572">
      <c r="A572" s="218">
        <f t="shared" si="2"/>
        <v>569</v>
      </c>
      <c r="B572" s="218" t="s">
        <v>200</v>
      </c>
      <c r="C572" s="219" t="str">
        <f t="shared" si="1"/>
        <v>MS/2087/2025</v>
      </c>
      <c r="D572" s="218" t="b">
        <v>1</v>
      </c>
      <c r="E572" s="219" t="b">
        <v>0</v>
      </c>
      <c r="F572" s="219"/>
      <c r="G572" s="173"/>
      <c r="H572" s="157" t="s">
        <v>6464</v>
      </c>
      <c r="I572" s="157">
        <f t="shared" si="3"/>
        <v>2087</v>
      </c>
      <c r="J572" s="157">
        <v>2025.0</v>
      </c>
    </row>
    <row r="573">
      <c r="A573" s="218">
        <f t="shared" si="2"/>
        <v>570</v>
      </c>
      <c r="B573" s="218" t="s">
        <v>200</v>
      </c>
      <c r="C573" s="219" t="str">
        <f t="shared" si="1"/>
        <v>MS/2088/2025</v>
      </c>
      <c r="D573" s="218" t="b">
        <v>1</v>
      </c>
      <c r="E573" s="219" t="b">
        <v>0</v>
      </c>
      <c r="F573" s="219"/>
      <c r="G573" s="173"/>
      <c r="H573" s="157" t="s">
        <v>6464</v>
      </c>
      <c r="I573" s="157">
        <f t="shared" si="3"/>
        <v>2088</v>
      </c>
      <c r="J573" s="157">
        <v>2025.0</v>
      </c>
    </row>
    <row r="574">
      <c r="A574" s="218">
        <f t="shared" si="2"/>
        <v>571</v>
      </c>
      <c r="B574" s="218" t="s">
        <v>200</v>
      </c>
      <c r="C574" s="219" t="str">
        <f t="shared" si="1"/>
        <v>MS/2089/2025</v>
      </c>
      <c r="D574" s="218" t="b">
        <v>1</v>
      </c>
      <c r="E574" s="219" t="b">
        <v>0</v>
      </c>
      <c r="F574" s="219"/>
      <c r="G574" s="173"/>
      <c r="H574" s="157" t="s">
        <v>6464</v>
      </c>
      <c r="I574" s="157">
        <f t="shared" si="3"/>
        <v>2089</v>
      </c>
      <c r="J574" s="157">
        <v>2025.0</v>
      </c>
    </row>
    <row r="575">
      <c r="A575" s="218">
        <f t="shared" si="2"/>
        <v>572</v>
      </c>
      <c r="B575" s="218" t="s">
        <v>200</v>
      </c>
      <c r="C575" s="219" t="str">
        <f t="shared" si="1"/>
        <v>MS/2090/2025</v>
      </c>
      <c r="D575" s="218" t="b">
        <v>1</v>
      </c>
      <c r="E575" s="219" t="b">
        <v>0</v>
      </c>
      <c r="F575" s="219"/>
      <c r="G575" s="173"/>
      <c r="H575" s="157" t="s">
        <v>6464</v>
      </c>
      <c r="I575" s="157">
        <f t="shared" si="3"/>
        <v>2090</v>
      </c>
      <c r="J575" s="157">
        <v>2025.0</v>
      </c>
    </row>
    <row r="576">
      <c r="A576" s="218">
        <f t="shared" si="2"/>
        <v>573</v>
      </c>
      <c r="B576" s="218" t="s">
        <v>200</v>
      </c>
      <c r="C576" s="219" t="str">
        <f t="shared" si="1"/>
        <v>MS/2091/2025</v>
      </c>
      <c r="D576" s="218" t="b">
        <v>1</v>
      </c>
      <c r="E576" s="219" t="b">
        <v>0</v>
      </c>
      <c r="F576" s="219"/>
      <c r="G576" s="173"/>
      <c r="H576" s="157" t="s">
        <v>6464</v>
      </c>
      <c r="I576" s="157">
        <f t="shared" si="3"/>
        <v>2091</v>
      </c>
      <c r="J576" s="157">
        <v>2025.0</v>
      </c>
    </row>
    <row r="577">
      <c r="A577" s="218">
        <f t="shared" si="2"/>
        <v>574</v>
      </c>
      <c r="B577" s="218" t="s">
        <v>200</v>
      </c>
      <c r="C577" s="219" t="str">
        <f t="shared" si="1"/>
        <v>MS/2092/2025</v>
      </c>
      <c r="D577" s="218" t="b">
        <v>1</v>
      </c>
      <c r="E577" s="219" t="b">
        <v>0</v>
      </c>
      <c r="F577" s="219"/>
      <c r="G577" s="173"/>
      <c r="H577" s="157" t="s">
        <v>6464</v>
      </c>
      <c r="I577" s="157">
        <f t="shared" si="3"/>
        <v>2092</v>
      </c>
      <c r="J577" s="157">
        <v>2025.0</v>
      </c>
    </row>
    <row r="578">
      <c r="A578" s="218">
        <f t="shared" si="2"/>
        <v>575</v>
      </c>
      <c r="B578" s="218" t="s">
        <v>200</v>
      </c>
      <c r="C578" s="219" t="str">
        <f t="shared" si="1"/>
        <v>MS/2093/2025</v>
      </c>
      <c r="D578" s="218" t="b">
        <v>1</v>
      </c>
      <c r="E578" s="219" t="b">
        <v>0</v>
      </c>
      <c r="F578" s="219"/>
      <c r="G578" s="173"/>
      <c r="H578" s="157" t="s">
        <v>6464</v>
      </c>
      <c r="I578" s="157">
        <f t="shared" si="3"/>
        <v>2093</v>
      </c>
      <c r="J578" s="157">
        <v>2025.0</v>
      </c>
    </row>
    <row r="579">
      <c r="A579" s="218">
        <f t="shared" si="2"/>
        <v>576</v>
      </c>
      <c r="B579" s="218" t="s">
        <v>200</v>
      </c>
      <c r="C579" s="219" t="str">
        <f t="shared" si="1"/>
        <v>MS/2094/2025</v>
      </c>
      <c r="D579" s="218" t="b">
        <v>1</v>
      </c>
      <c r="E579" s="219" t="b">
        <v>0</v>
      </c>
      <c r="F579" s="219"/>
      <c r="G579" s="173"/>
      <c r="H579" s="157" t="s">
        <v>6464</v>
      </c>
      <c r="I579" s="157">
        <f t="shared" si="3"/>
        <v>2094</v>
      </c>
      <c r="J579" s="157">
        <v>2025.0</v>
      </c>
    </row>
    <row r="580">
      <c r="A580" s="218">
        <f t="shared" si="2"/>
        <v>577</v>
      </c>
      <c r="B580" s="218" t="s">
        <v>200</v>
      </c>
      <c r="C580" s="219" t="str">
        <f t="shared" si="1"/>
        <v>MS/2095/2025</v>
      </c>
      <c r="D580" s="218" t="b">
        <v>1</v>
      </c>
      <c r="E580" s="219" t="b">
        <v>0</v>
      </c>
      <c r="F580" s="219"/>
      <c r="G580" s="173"/>
      <c r="H580" s="157" t="s">
        <v>6464</v>
      </c>
      <c r="I580" s="157">
        <f t="shared" si="3"/>
        <v>2095</v>
      </c>
      <c r="J580" s="157">
        <v>2025.0</v>
      </c>
    </row>
    <row r="581">
      <c r="A581" s="218">
        <f t="shared" si="2"/>
        <v>578</v>
      </c>
      <c r="B581" s="218" t="s">
        <v>200</v>
      </c>
      <c r="C581" s="219" t="str">
        <f t="shared" si="1"/>
        <v>MS/2096/2025</v>
      </c>
      <c r="D581" s="218" t="b">
        <v>1</v>
      </c>
      <c r="E581" s="218" t="b">
        <v>0</v>
      </c>
      <c r="F581" s="219"/>
      <c r="G581" s="173"/>
      <c r="H581" s="157" t="s">
        <v>6464</v>
      </c>
      <c r="I581" s="157">
        <f t="shared" si="3"/>
        <v>2096</v>
      </c>
      <c r="J581" s="157">
        <v>2025.0</v>
      </c>
    </row>
    <row r="582">
      <c r="A582" s="218">
        <f t="shared" si="2"/>
        <v>579</v>
      </c>
      <c r="B582" s="218" t="s">
        <v>200</v>
      </c>
      <c r="C582" s="219" t="str">
        <f t="shared" si="1"/>
        <v>MS/2097/2025</v>
      </c>
      <c r="D582" s="218" t="b">
        <v>1</v>
      </c>
      <c r="E582" s="218" t="b">
        <v>0</v>
      </c>
      <c r="F582" s="219"/>
      <c r="G582" s="173"/>
      <c r="H582" s="157" t="s">
        <v>6464</v>
      </c>
      <c r="I582" s="157">
        <f t="shared" si="3"/>
        <v>2097</v>
      </c>
      <c r="J582" s="157">
        <v>2025.0</v>
      </c>
    </row>
    <row r="583">
      <c r="A583" s="218">
        <f t="shared" si="2"/>
        <v>580</v>
      </c>
      <c r="B583" s="218" t="s">
        <v>200</v>
      </c>
      <c r="C583" s="219" t="str">
        <f t="shared" si="1"/>
        <v>MS/2098/2025</v>
      </c>
      <c r="D583" s="218" t="b">
        <v>1</v>
      </c>
      <c r="E583" s="219" t="b">
        <v>0</v>
      </c>
      <c r="F583" s="219"/>
      <c r="G583" s="173"/>
      <c r="H583" s="157" t="s">
        <v>6464</v>
      </c>
      <c r="I583" s="157">
        <f t="shared" si="3"/>
        <v>2098</v>
      </c>
      <c r="J583" s="157">
        <v>2025.0</v>
      </c>
    </row>
    <row r="584">
      <c r="A584" s="218">
        <f t="shared" si="2"/>
        <v>581</v>
      </c>
      <c r="B584" s="218" t="s">
        <v>200</v>
      </c>
      <c r="C584" s="219" t="str">
        <f t="shared" si="1"/>
        <v>MS/2099/2025</v>
      </c>
      <c r="D584" s="218" t="b">
        <v>1</v>
      </c>
      <c r="E584" s="218" t="b">
        <v>0</v>
      </c>
      <c r="F584" s="219"/>
      <c r="G584" s="173"/>
      <c r="H584" s="157" t="s">
        <v>6464</v>
      </c>
      <c r="I584" s="157">
        <f t="shared" si="3"/>
        <v>2099</v>
      </c>
      <c r="J584" s="157">
        <v>2025.0</v>
      </c>
    </row>
    <row r="585">
      <c r="A585" s="218">
        <f t="shared" si="2"/>
        <v>582</v>
      </c>
      <c r="B585" s="218" t="s">
        <v>200</v>
      </c>
      <c r="C585" s="219" t="str">
        <f t="shared" si="1"/>
        <v>MS/2100/2025</v>
      </c>
      <c r="D585" s="219" t="b">
        <v>0</v>
      </c>
      <c r="E585" s="218" t="b">
        <v>1</v>
      </c>
      <c r="F585" s="219"/>
      <c r="G585" s="173"/>
      <c r="H585" s="157" t="s">
        <v>6464</v>
      </c>
      <c r="I585" s="157">
        <f t="shared" si="3"/>
        <v>2100</v>
      </c>
      <c r="J585" s="157">
        <v>2025.0</v>
      </c>
    </row>
    <row r="586">
      <c r="A586" s="218">
        <f t="shared" si="2"/>
        <v>583</v>
      </c>
      <c r="B586" s="218" t="s">
        <v>200</v>
      </c>
      <c r="C586" s="219" t="str">
        <f t="shared" si="1"/>
        <v>MS/2101/2025</v>
      </c>
      <c r="D586" s="218" t="b">
        <v>1</v>
      </c>
      <c r="E586" s="218" t="b">
        <v>0</v>
      </c>
      <c r="F586" s="219"/>
      <c r="G586" s="173"/>
      <c r="H586" s="157" t="s">
        <v>6464</v>
      </c>
      <c r="I586" s="157">
        <f t="shared" si="3"/>
        <v>2101</v>
      </c>
      <c r="J586" s="157">
        <v>2025.0</v>
      </c>
    </row>
    <row r="587">
      <c r="A587" s="218">
        <f t="shared" si="2"/>
        <v>584</v>
      </c>
      <c r="B587" s="218" t="s">
        <v>200</v>
      </c>
      <c r="C587" s="219" t="str">
        <f t="shared" si="1"/>
        <v>MS/2102/2025</v>
      </c>
      <c r="D587" s="218" t="b">
        <v>1</v>
      </c>
      <c r="E587" s="218" t="b">
        <v>0</v>
      </c>
      <c r="F587" s="219"/>
      <c r="G587" s="173"/>
      <c r="H587" s="157" t="s">
        <v>6464</v>
      </c>
      <c r="I587" s="157">
        <f t="shared" si="3"/>
        <v>2102</v>
      </c>
      <c r="J587" s="157">
        <v>2025.0</v>
      </c>
    </row>
    <row r="588">
      <c r="A588" s="218">
        <f t="shared" si="2"/>
        <v>585</v>
      </c>
      <c r="B588" s="218" t="s">
        <v>200</v>
      </c>
      <c r="C588" s="219" t="str">
        <f t="shared" si="1"/>
        <v>MS/2103/2025</v>
      </c>
      <c r="D588" s="219" t="b">
        <v>0</v>
      </c>
      <c r="E588" s="218" t="b">
        <v>1</v>
      </c>
      <c r="F588" s="219"/>
      <c r="G588" s="173"/>
      <c r="H588" s="157" t="s">
        <v>6464</v>
      </c>
      <c r="I588" s="157">
        <f t="shared" si="3"/>
        <v>2103</v>
      </c>
      <c r="J588" s="157">
        <v>2025.0</v>
      </c>
    </row>
    <row r="589">
      <c r="A589" s="218">
        <f t="shared" si="2"/>
        <v>586</v>
      </c>
      <c r="B589" s="218" t="s">
        <v>200</v>
      </c>
      <c r="C589" s="219" t="str">
        <f t="shared" si="1"/>
        <v>MS/2104/2025</v>
      </c>
      <c r="D589" s="218" t="b">
        <v>1</v>
      </c>
      <c r="E589" s="219" t="b">
        <v>0</v>
      </c>
      <c r="F589" s="219"/>
      <c r="G589" s="173"/>
      <c r="H589" s="157" t="s">
        <v>6464</v>
      </c>
      <c r="I589" s="157">
        <f t="shared" si="3"/>
        <v>2104</v>
      </c>
      <c r="J589" s="157">
        <v>2025.0</v>
      </c>
    </row>
    <row r="590">
      <c r="A590" s="218">
        <f t="shared" si="2"/>
        <v>587</v>
      </c>
      <c r="B590" s="218" t="s">
        <v>200</v>
      </c>
      <c r="C590" s="219" t="str">
        <f t="shared" si="1"/>
        <v>MS/2105/2025</v>
      </c>
      <c r="D590" s="218" t="b">
        <v>1</v>
      </c>
      <c r="E590" s="219" t="b">
        <v>0</v>
      </c>
      <c r="F590" s="219"/>
      <c r="G590" s="173"/>
      <c r="H590" s="157" t="s">
        <v>6464</v>
      </c>
      <c r="I590" s="157">
        <f t="shared" si="3"/>
        <v>2105</v>
      </c>
      <c r="J590" s="157">
        <v>2025.0</v>
      </c>
    </row>
    <row r="591">
      <c r="A591" s="218">
        <f t="shared" si="2"/>
        <v>588</v>
      </c>
      <c r="B591" s="218" t="s">
        <v>200</v>
      </c>
      <c r="C591" s="219" t="str">
        <f t="shared" si="1"/>
        <v>MS/2106/2025</v>
      </c>
      <c r="D591" s="218" t="b">
        <v>1</v>
      </c>
      <c r="E591" s="219" t="b">
        <v>0</v>
      </c>
      <c r="F591" s="219"/>
      <c r="G591" s="173"/>
      <c r="H591" s="157" t="s">
        <v>6464</v>
      </c>
      <c r="I591" s="157">
        <f t="shared" si="3"/>
        <v>2106</v>
      </c>
      <c r="J591" s="157">
        <v>2025.0</v>
      </c>
    </row>
    <row r="592">
      <c r="A592" s="218">
        <f t="shared" si="2"/>
        <v>589</v>
      </c>
      <c r="B592" s="218" t="s">
        <v>200</v>
      </c>
      <c r="C592" s="219" t="str">
        <f t="shared" si="1"/>
        <v>MS/2107/2025</v>
      </c>
      <c r="D592" s="218" t="b">
        <v>1</v>
      </c>
      <c r="E592" s="219" t="b">
        <v>0</v>
      </c>
      <c r="F592" s="219"/>
      <c r="G592" s="173"/>
      <c r="H592" s="157" t="s">
        <v>6464</v>
      </c>
      <c r="I592" s="157">
        <f t="shared" si="3"/>
        <v>2107</v>
      </c>
      <c r="J592" s="157">
        <v>2025.0</v>
      </c>
    </row>
    <row r="593">
      <c r="A593" s="218">
        <f t="shared" si="2"/>
        <v>590</v>
      </c>
      <c r="B593" s="218" t="s">
        <v>200</v>
      </c>
      <c r="C593" s="219" t="str">
        <f t="shared" si="1"/>
        <v>MS/2108/2025</v>
      </c>
      <c r="D593" s="218" t="b">
        <v>1</v>
      </c>
      <c r="E593" s="219" t="b">
        <v>0</v>
      </c>
      <c r="F593" s="219"/>
      <c r="G593" s="173"/>
      <c r="H593" s="157" t="s">
        <v>6464</v>
      </c>
      <c r="I593" s="157">
        <f t="shared" si="3"/>
        <v>2108</v>
      </c>
      <c r="J593" s="157">
        <v>2025.0</v>
      </c>
    </row>
    <row r="594">
      <c r="A594" s="218">
        <f t="shared" si="2"/>
        <v>591</v>
      </c>
      <c r="B594" s="218" t="s">
        <v>200</v>
      </c>
      <c r="C594" s="219" t="str">
        <f t="shared" si="1"/>
        <v>MS/2109/2025</v>
      </c>
      <c r="D594" s="218" t="b">
        <v>1</v>
      </c>
      <c r="E594" s="219" t="b">
        <v>0</v>
      </c>
      <c r="F594" s="219"/>
      <c r="G594" s="173"/>
      <c r="H594" s="157" t="s">
        <v>6464</v>
      </c>
      <c r="I594" s="157">
        <f t="shared" si="3"/>
        <v>2109</v>
      </c>
      <c r="J594" s="157">
        <v>2025.0</v>
      </c>
    </row>
    <row r="595">
      <c r="A595" s="218">
        <f t="shared" si="2"/>
        <v>592</v>
      </c>
      <c r="B595" s="218" t="s">
        <v>200</v>
      </c>
      <c r="C595" s="219" t="str">
        <f t="shared" si="1"/>
        <v>MS/2110/2025</v>
      </c>
      <c r="D595" s="218" t="b">
        <v>1</v>
      </c>
      <c r="E595" s="219" t="b">
        <v>0</v>
      </c>
      <c r="F595" s="219"/>
      <c r="G595" s="173"/>
      <c r="H595" s="157" t="s">
        <v>6464</v>
      </c>
      <c r="I595" s="157">
        <f t="shared" si="3"/>
        <v>2110</v>
      </c>
      <c r="J595" s="157">
        <v>2025.0</v>
      </c>
    </row>
    <row r="596">
      <c r="A596" s="218">
        <f t="shared" si="2"/>
        <v>593</v>
      </c>
      <c r="B596" s="218" t="s">
        <v>200</v>
      </c>
      <c r="C596" s="219" t="str">
        <f t="shared" si="1"/>
        <v>MS/2111/2025</v>
      </c>
      <c r="D596" s="218" t="b">
        <v>1</v>
      </c>
      <c r="E596" s="219" t="b">
        <v>0</v>
      </c>
      <c r="F596" s="219"/>
      <c r="G596" s="173"/>
      <c r="H596" s="157" t="s">
        <v>6464</v>
      </c>
      <c r="I596" s="157">
        <f t="shared" si="3"/>
        <v>2111</v>
      </c>
      <c r="J596" s="157">
        <v>2025.0</v>
      </c>
    </row>
    <row r="597">
      <c r="A597" s="218">
        <f t="shared" si="2"/>
        <v>594</v>
      </c>
      <c r="B597" s="218" t="s">
        <v>200</v>
      </c>
      <c r="C597" s="219" t="str">
        <f t="shared" si="1"/>
        <v>MS/2112/2025</v>
      </c>
      <c r="D597" s="218" t="b">
        <v>1</v>
      </c>
      <c r="E597" s="219" t="b">
        <v>0</v>
      </c>
      <c r="F597" s="219"/>
      <c r="G597" s="173"/>
      <c r="H597" s="157" t="s">
        <v>6464</v>
      </c>
      <c r="I597" s="157">
        <f t="shared" si="3"/>
        <v>2112</v>
      </c>
      <c r="J597" s="157">
        <v>2025.0</v>
      </c>
    </row>
    <row r="598">
      <c r="A598" s="218">
        <f t="shared" si="2"/>
        <v>595</v>
      </c>
      <c r="B598" s="218" t="s">
        <v>200</v>
      </c>
      <c r="C598" s="219" t="str">
        <f t="shared" si="1"/>
        <v>MS/2113/2025</v>
      </c>
      <c r="D598" s="218" t="b">
        <v>1</v>
      </c>
      <c r="E598" s="219" t="b">
        <v>0</v>
      </c>
      <c r="F598" s="219"/>
      <c r="G598" s="173"/>
      <c r="H598" s="157" t="s">
        <v>6464</v>
      </c>
      <c r="I598" s="157">
        <f t="shared" si="3"/>
        <v>2113</v>
      </c>
      <c r="J598" s="157">
        <v>2025.0</v>
      </c>
    </row>
    <row r="599">
      <c r="A599" s="218">
        <f t="shared" si="2"/>
        <v>596</v>
      </c>
      <c r="B599" s="218" t="s">
        <v>200</v>
      </c>
      <c r="C599" s="219" t="str">
        <f t="shared" si="1"/>
        <v>MS/2114/2025</v>
      </c>
      <c r="D599" s="218" t="b">
        <v>1</v>
      </c>
      <c r="E599" s="219" t="b">
        <v>0</v>
      </c>
      <c r="F599" s="219"/>
      <c r="G599" s="173"/>
      <c r="H599" s="157" t="s">
        <v>6464</v>
      </c>
      <c r="I599" s="157">
        <f t="shared" si="3"/>
        <v>2114</v>
      </c>
      <c r="J599" s="157">
        <v>2025.0</v>
      </c>
    </row>
    <row r="600">
      <c r="A600" s="218">
        <f t="shared" si="2"/>
        <v>597</v>
      </c>
      <c r="B600" s="218" t="s">
        <v>200</v>
      </c>
      <c r="C600" s="219" t="str">
        <f t="shared" si="1"/>
        <v>MS/2115/2025</v>
      </c>
      <c r="D600" s="218" t="b">
        <v>1</v>
      </c>
      <c r="E600" s="219" t="b">
        <v>0</v>
      </c>
      <c r="F600" s="219"/>
      <c r="G600" s="173"/>
      <c r="H600" s="157" t="s">
        <v>6464</v>
      </c>
      <c r="I600" s="157">
        <f t="shared" si="3"/>
        <v>2115</v>
      </c>
      <c r="J600" s="157">
        <v>2025.0</v>
      </c>
    </row>
    <row r="601">
      <c r="A601" s="218">
        <f t="shared" si="2"/>
        <v>598</v>
      </c>
      <c r="B601" s="218" t="s">
        <v>200</v>
      </c>
      <c r="C601" s="219" t="str">
        <f t="shared" si="1"/>
        <v>MS/2116/2025</v>
      </c>
      <c r="D601" s="218" t="b">
        <v>1</v>
      </c>
      <c r="E601" s="219" t="b">
        <v>0</v>
      </c>
      <c r="F601" s="219"/>
      <c r="G601" s="173"/>
      <c r="H601" s="157" t="s">
        <v>6464</v>
      </c>
      <c r="I601" s="157">
        <f t="shared" si="3"/>
        <v>2116</v>
      </c>
      <c r="J601" s="157">
        <v>2025.0</v>
      </c>
    </row>
    <row r="602">
      <c r="A602" s="218">
        <f t="shared" si="2"/>
        <v>599</v>
      </c>
      <c r="B602" s="218" t="s">
        <v>200</v>
      </c>
      <c r="C602" s="219" t="str">
        <f t="shared" si="1"/>
        <v>MS/2117/2025</v>
      </c>
      <c r="D602" s="218" t="b">
        <v>1</v>
      </c>
      <c r="E602" s="219" t="b">
        <v>0</v>
      </c>
      <c r="F602" s="219"/>
      <c r="G602" s="173"/>
      <c r="H602" s="157" t="s">
        <v>6464</v>
      </c>
      <c r="I602" s="157">
        <f t="shared" si="3"/>
        <v>2117</v>
      </c>
      <c r="J602" s="157">
        <v>2025.0</v>
      </c>
    </row>
    <row r="603">
      <c r="A603" s="218">
        <f t="shared" si="2"/>
        <v>600</v>
      </c>
      <c r="B603" s="218" t="s">
        <v>200</v>
      </c>
      <c r="C603" s="219" t="str">
        <f t="shared" si="1"/>
        <v>MS/2118/2025</v>
      </c>
      <c r="D603" s="218" t="b">
        <v>1</v>
      </c>
      <c r="E603" s="219" t="b">
        <v>0</v>
      </c>
      <c r="F603" s="219"/>
      <c r="G603" s="173"/>
      <c r="H603" s="157" t="s">
        <v>6464</v>
      </c>
      <c r="I603" s="157">
        <f t="shared" si="3"/>
        <v>2118</v>
      </c>
      <c r="J603" s="157">
        <v>2025.0</v>
      </c>
    </row>
    <row r="604">
      <c r="A604" s="218">
        <f t="shared" si="2"/>
        <v>601</v>
      </c>
      <c r="B604" s="218" t="s">
        <v>200</v>
      </c>
      <c r="C604" s="219" t="str">
        <f t="shared" si="1"/>
        <v>MS/2119/2025</v>
      </c>
      <c r="D604" s="218" t="b">
        <v>1</v>
      </c>
      <c r="E604" s="219" t="b">
        <v>0</v>
      </c>
      <c r="F604" s="219"/>
      <c r="G604" s="173"/>
      <c r="H604" s="157" t="s">
        <v>6464</v>
      </c>
      <c r="I604" s="157">
        <f t="shared" si="3"/>
        <v>2119</v>
      </c>
      <c r="J604" s="157">
        <v>2025.0</v>
      </c>
    </row>
    <row r="605">
      <c r="A605" s="218">
        <f t="shared" si="2"/>
        <v>602</v>
      </c>
      <c r="B605" s="218" t="s">
        <v>200</v>
      </c>
      <c r="C605" s="219" t="str">
        <f t="shared" si="1"/>
        <v>MS/2120/2025</v>
      </c>
      <c r="D605" s="218" t="b">
        <v>1</v>
      </c>
      <c r="E605" s="219" t="b">
        <v>0</v>
      </c>
      <c r="F605" s="219"/>
      <c r="G605" s="173"/>
      <c r="H605" s="157" t="s">
        <v>6464</v>
      </c>
      <c r="I605" s="157">
        <f t="shared" si="3"/>
        <v>2120</v>
      </c>
      <c r="J605" s="157">
        <v>2025.0</v>
      </c>
    </row>
    <row r="606">
      <c r="A606" s="218">
        <f t="shared" si="2"/>
        <v>603</v>
      </c>
      <c r="B606" s="218" t="s">
        <v>200</v>
      </c>
      <c r="C606" s="219" t="str">
        <f t="shared" si="1"/>
        <v>MS/2121/2025</v>
      </c>
      <c r="D606" s="218" t="b">
        <v>1</v>
      </c>
      <c r="E606" s="219" t="b">
        <v>0</v>
      </c>
      <c r="F606" s="219"/>
      <c r="G606" s="173"/>
      <c r="H606" s="157" t="s">
        <v>6464</v>
      </c>
      <c r="I606" s="157">
        <f t="shared" si="3"/>
        <v>2121</v>
      </c>
      <c r="J606" s="157">
        <v>2025.0</v>
      </c>
    </row>
    <row r="607">
      <c r="A607" s="218">
        <f t="shared" si="2"/>
        <v>604</v>
      </c>
      <c r="B607" s="218" t="s">
        <v>200</v>
      </c>
      <c r="C607" s="219" t="str">
        <f t="shared" si="1"/>
        <v>MS/2122/2025</v>
      </c>
      <c r="D607" s="218" t="b">
        <v>1</v>
      </c>
      <c r="E607" s="219" t="b">
        <v>0</v>
      </c>
      <c r="F607" s="219"/>
      <c r="G607" s="173"/>
      <c r="H607" s="157" t="s">
        <v>6464</v>
      </c>
      <c r="I607" s="157">
        <f t="shared" si="3"/>
        <v>2122</v>
      </c>
      <c r="J607" s="157">
        <v>2025.0</v>
      </c>
    </row>
    <row r="608">
      <c r="A608" s="218">
        <f t="shared" si="2"/>
        <v>605</v>
      </c>
      <c r="B608" s="218" t="s">
        <v>200</v>
      </c>
      <c r="C608" s="219" t="str">
        <f t="shared" si="1"/>
        <v>MS/2123/2025</v>
      </c>
      <c r="D608" s="218" t="b">
        <v>1</v>
      </c>
      <c r="E608" s="219" t="b">
        <v>0</v>
      </c>
      <c r="F608" s="219"/>
      <c r="G608" s="173"/>
      <c r="H608" s="157" t="s">
        <v>6464</v>
      </c>
      <c r="I608" s="157">
        <f t="shared" si="3"/>
        <v>2123</v>
      </c>
      <c r="J608" s="157">
        <v>2025.0</v>
      </c>
    </row>
    <row r="609">
      <c r="A609" s="218">
        <f t="shared" si="2"/>
        <v>606</v>
      </c>
      <c r="B609" s="218" t="s">
        <v>200</v>
      </c>
      <c r="C609" s="219" t="str">
        <f t="shared" si="1"/>
        <v>MS/2124/2025</v>
      </c>
      <c r="D609" s="218" t="b">
        <v>1</v>
      </c>
      <c r="E609" s="219" t="b">
        <v>0</v>
      </c>
      <c r="F609" s="219"/>
      <c r="G609" s="173"/>
      <c r="H609" s="157" t="s">
        <v>6464</v>
      </c>
      <c r="I609" s="157">
        <f t="shared" si="3"/>
        <v>2124</v>
      </c>
      <c r="J609" s="157">
        <v>2025.0</v>
      </c>
    </row>
    <row r="610">
      <c r="A610" s="218">
        <f t="shared" si="2"/>
        <v>607</v>
      </c>
      <c r="B610" s="218" t="s">
        <v>200</v>
      </c>
      <c r="C610" s="219" t="str">
        <f t="shared" si="1"/>
        <v>MS/2125/2025</v>
      </c>
      <c r="D610" s="218" t="b">
        <v>1</v>
      </c>
      <c r="E610" s="219" t="b">
        <v>0</v>
      </c>
      <c r="F610" s="219"/>
      <c r="G610" s="173"/>
      <c r="H610" s="157" t="s">
        <v>6464</v>
      </c>
      <c r="I610" s="157">
        <f t="shared" si="3"/>
        <v>2125</v>
      </c>
      <c r="J610" s="157">
        <v>2025.0</v>
      </c>
    </row>
    <row r="611">
      <c r="A611" s="218">
        <f t="shared" si="2"/>
        <v>608</v>
      </c>
      <c r="B611" s="218" t="s">
        <v>200</v>
      </c>
      <c r="C611" s="219" t="str">
        <f t="shared" si="1"/>
        <v>MS/2126/2025</v>
      </c>
      <c r="D611" s="218" t="b">
        <v>1</v>
      </c>
      <c r="E611" s="219" t="b">
        <v>0</v>
      </c>
      <c r="F611" s="219"/>
      <c r="G611" s="173"/>
      <c r="H611" s="157" t="s">
        <v>6464</v>
      </c>
      <c r="I611" s="157">
        <f t="shared" si="3"/>
        <v>2126</v>
      </c>
      <c r="J611" s="157">
        <v>2025.0</v>
      </c>
    </row>
    <row r="612">
      <c r="A612" s="218">
        <f t="shared" si="2"/>
        <v>609</v>
      </c>
      <c r="B612" s="218" t="s">
        <v>200</v>
      </c>
      <c r="C612" s="219" t="str">
        <f t="shared" si="1"/>
        <v>MS/2127/2025</v>
      </c>
      <c r="D612" s="218" t="b">
        <v>1</v>
      </c>
      <c r="E612" s="219" t="b">
        <v>0</v>
      </c>
      <c r="F612" s="219"/>
      <c r="G612" s="173"/>
      <c r="H612" s="157" t="s">
        <v>6464</v>
      </c>
      <c r="I612" s="157">
        <f t="shared" si="3"/>
        <v>2127</v>
      </c>
      <c r="J612" s="157">
        <v>2025.0</v>
      </c>
    </row>
    <row r="613">
      <c r="A613" s="218">
        <f t="shared" si="2"/>
        <v>610</v>
      </c>
      <c r="B613" s="218" t="s">
        <v>200</v>
      </c>
      <c r="C613" s="219" t="str">
        <f t="shared" si="1"/>
        <v>MS/2128/2025</v>
      </c>
      <c r="D613" s="218" t="b">
        <v>1</v>
      </c>
      <c r="E613" s="219" t="b">
        <v>0</v>
      </c>
      <c r="F613" s="219"/>
      <c r="G613" s="173"/>
      <c r="H613" s="157" t="s">
        <v>6464</v>
      </c>
      <c r="I613" s="157">
        <f t="shared" si="3"/>
        <v>2128</v>
      </c>
      <c r="J613" s="157">
        <v>2025.0</v>
      </c>
    </row>
    <row r="614">
      <c r="A614" s="218">
        <f t="shared" si="2"/>
        <v>611</v>
      </c>
      <c r="B614" s="218" t="s">
        <v>200</v>
      </c>
      <c r="C614" s="219" t="str">
        <f t="shared" si="1"/>
        <v>MS/2129/2025</v>
      </c>
      <c r="D614" s="218" t="b">
        <v>1</v>
      </c>
      <c r="E614" s="219" t="b">
        <v>0</v>
      </c>
      <c r="F614" s="219"/>
      <c r="G614" s="173"/>
      <c r="H614" s="157" t="s">
        <v>6464</v>
      </c>
      <c r="I614" s="157">
        <f t="shared" si="3"/>
        <v>2129</v>
      </c>
      <c r="J614" s="157">
        <v>2025.0</v>
      </c>
    </row>
    <row r="615">
      <c r="A615" s="218">
        <f t="shared" si="2"/>
        <v>612</v>
      </c>
      <c r="B615" s="218" t="s">
        <v>200</v>
      </c>
      <c r="C615" s="219" t="str">
        <f t="shared" si="1"/>
        <v>MS/2130/2025</v>
      </c>
      <c r="D615" s="218" t="b">
        <v>1</v>
      </c>
      <c r="E615" s="219" t="b">
        <v>0</v>
      </c>
      <c r="F615" s="219"/>
      <c r="G615" s="173"/>
      <c r="H615" s="157" t="s">
        <v>6464</v>
      </c>
      <c r="I615" s="157">
        <f t="shared" si="3"/>
        <v>2130</v>
      </c>
      <c r="J615" s="157">
        <v>2025.0</v>
      </c>
    </row>
    <row r="616">
      <c r="A616" s="218">
        <f t="shared" si="2"/>
        <v>613</v>
      </c>
      <c r="B616" s="218" t="s">
        <v>200</v>
      </c>
      <c r="C616" s="219" t="str">
        <f t="shared" si="1"/>
        <v>MS/2131/2025</v>
      </c>
      <c r="D616" s="218" t="b">
        <v>1</v>
      </c>
      <c r="E616" s="219" t="b">
        <v>0</v>
      </c>
      <c r="F616" s="219"/>
      <c r="G616" s="173"/>
      <c r="H616" s="157" t="s">
        <v>6464</v>
      </c>
      <c r="I616" s="157">
        <f t="shared" si="3"/>
        <v>2131</v>
      </c>
      <c r="J616" s="157">
        <v>2025.0</v>
      </c>
    </row>
    <row r="617">
      <c r="A617" s="218">
        <f t="shared" si="2"/>
        <v>614</v>
      </c>
      <c r="B617" s="218" t="s">
        <v>200</v>
      </c>
      <c r="C617" s="219" t="str">
        <f t="shared" si="1"/>
        <v>MS/2132/2025</v>
      </c>
      <c r="D617" s="218" t="b">
        <v>1</v>
      </c>
      <c r="E617" s="219" t="b">
        <v>0</v>
      </c>
      <c r="F617" s="219"/>
      <c r="G617" s="173"/>
      <c r="H617" s="157" t="s">
        <v>6464</v>
      </c>
      <c r="I617" s="157">
        <f t="shared" si="3"/>
        <v>2132</v>
      </c>
      <c r="J617" s="157">
        <v>2025.0</v>
      </c>
    </row>
    <row r="618">
      <c r="A618" s="218">
        <f t="shared" si="2"/>
        <v>615</v>
      </c>
      <c r="B618" s="218" t="s">
        <v>200</v>
      </c>
      <c r="C618" s="219" t="str">
        <f t="shared" si="1"/>
        <v>MS/2133/2025</v>
      </c>
      <c r="D618" s="218" t="b">
        <v>1</v>
      </c>
      <c r="E618" s="219" t="b">
        <v>0</v>
      </c>
      <c r="F618" s="219"/>
      <c r="G618" s="173"/>
      <c r="H618" s="157" t="s">
        <v>6464</v>
      </c>
      <c r="I618" s="157">
        <f t="shared" si="3"/>
        <v>2133</v>
      </c>
      <c r="J618" s="157">
        <v>2025.0</v>
      </c>
    </row>
    <row r="619">
      <c r="A619" s="218">
        <f t="shared" si="2"/>
        <v>616</v>
      </c>
      <c r="B619" s="218" t="s">
        <v>200</v>
      </c>
      <c r="C619" s="219" t="str">
        <f t="shared" si="1"/>
        <v>MS/2134/2025</v>
      </c>
      <c r="D619" s="218" t="b">
        <v>1</v>
      </c>
      <c r="E619" s="219" t="b">
        <v>0</v>
      </c>
      <c r="F619" s="219"/>
      <c r="G619" s="173"/>
      <c r="H619" s="157" t="s">
        <v>6464</v>
      </c>
      <c r="I619" s="157">
        <f t="shared" si="3"/>
        <v>2134</v>
      </c>
      <c r="J619" s="157">
        <v>2025.0</v>
      </c>
    </row>
    <row r="620">
      <c r="A620" s="218">
        <f t="shared" si="2"/>
        <v>617</v>
      </c>
      <c r="B620" s="218" t="s">
        <v>200</v>
      </c>
      <c r="C620" s="219" t="str">
        <f t="shared" si="1"/>
        <v>MS/2135/2025</v>
      </c>
      <c r="D620" s="218" t="b">
        <v>1</v>
      </c>
      <c r="E620" s="219" t="b">
        <v>0</v>
      </c>
      <c r="F620" s="219"/>
      <c r="G620" s="173"/>
      <c r="H620" s="157" t="s">
        <v>6464</v>
      </c>
      <c r="I620" s="157">
        <f t="shared" si="3"/>
        <v>2135</v>
      </c>
      <c r="J620" s="157">
        <v>2025.0</v>
      </c>
    </row>
    <row r="621">
      <c r="A621" s="218">
        <f t="shared" si="2"/>
        <v>618</v>
      </c>
      <c r="B621" s="218" t="s">
        <v>200</v>
      </c>
      <c r="C621" s="219" t="str">
        <f t="shared" si="1"/>
        <v>MS/2136/2025</v>
      </c>
      <c r="D621" s="218" t="b">
        <v>1</v>
      </c>
      <c r="E621" s="219" t="b">
        <v>0</v>
      </c>
      <c r="F621" s="219"/>
      <c r="G621" s="173"/>
      <c r="H621" s="157" t="s">
        <v>6464</v>
      </c>
      <c r="I621" s="157">
        <f t="shared" si="3"/>
        <v>2136</v>
      </c>
      <c r="J621" s="157">
        <v>2025.0</v>
      </c>
    </row>
    <row r="622">
      <c r="A622" s="218">
        <f t="shared" si="2"/>
        <v>619</v>
      </c>
      <c r="B622" s="218" t="s">
        <v>200</v>
      </c>
      <c r="C622" s="219" t="str">
        <f t="shared" si="1"/>
        <v>MS/2137/2025</v>
      </c>
      <c r="D622" s="218" t="b">
        <v>1</v>
      </c>
      <c r="E622" s="219" t="b">
        <v>0</v>
      </c>
      <c r="F622" s="219"/>
      <c r="G622" s="173"/>
      <c r="H622" s="157" t="s">
        <v>6464</v>
      </c>
      <c r="I622" s="157">
        <f t="shared" si="3"/>
        <v>2137</v>
      </c>
      <c r="J622" s="157">
        <v>2025.0</v>
      </c>
    </row>
    <row r="623">
      <c r="A623" s="218">
        <f t="shared" si="2"/>
        <v>620</v>
      </c>
      <c r="B623" s="218" t="s">
        <v>200</v>
      </c>
      <c r="C623" s="219" t="str">
        <f t="shared" si="1"/>
        <v>MS/2138/2025</v>
      </c>
      <c r="D623" s="218" t="b">
        <v>1</v>
      </c>
      <c r="E623" s="219" t="b">
        <v>0</v>
      </c>
      <c r="F623" s="219"/>
      <c r="G623" s="173"/>
      <c r="H623" s="157" t="s">
        <v>6464</v>
      </c>
      <c r="I623" s="157">
        <f t="shared" si="3"/>
        <v>2138</v>
      </c>
      <c r="J623" s="157">
        <v>2025.0</v>
      </c>
    </row>
    <row r="624">
      <c r="A624" s="218">
        <f t="shared" si="2"/>
        <v>621</v>
      </c>
      <c r="B624" s="218" t="s">
        <v>200</v>
      </c>
      <c r="C624" s="219" t="str">
        <f t="shared" si="1"/>
        <v>MS/2139/2025</v>
      </c>
      <c r="D624" s="218" t="b">
        <v>1</v>
      </c>
      <c r="E624" s="219" t="b">
        <v>0</v>
      </c>
      <c r="F624" s="219"/>
      <c r="G624" s="173"/>
      <c r="H624" s="157" t="s">
        <v>6464</v>
      </c>
      <c r="I624" s="157">
        <f t="shared" si="3"/>
        <v>2139</v>
      </c>
      <c r="J624" s="157">
        <v>2025.0</v>
      </c>
    </row>
    <row r="625">
      <c r="A625" s="218">
        <f t="shared" si="2"/>
        <v>622</v>
      </c>
      <c r="B625" s="218" t="s">
        <v>200</v>
      </c>
      <c r="C625" s="219" t="str">
        <f t="shared" si="1"/>
        <v>MS/2140/2025</v>
      </c>
      <c r="D625" s="218" t="b">
        <v>1</v>
      </c>
      <c r="E625" s="219" t="b">
        <v>0</v>
      </c>
      <c r="F625" s="219"/>
      <c r="G625" s="173"/>
      <c r="H625" s="157" t="s">
        <v>6464</v>
      </c>
      <c r="I625" s="157">
        <f t="shared" si="3"/>
        <v>2140</v>
      </c>
      <c r="J625" s="157">
        <v>2025.0</v>
      </c>
    </row>
    <row r="626">
      <c r="A626" s="218">
        <f t="shared" si="2"/>
        <v>623</v>
      </c>
      <c r="B626" s="218" t="s">
        <v>200</v>
      </c>
      <c r="C626" s="219" t="str">
        <f t="shared" si="1"/>
        <v>MS/2141/2025</v>
      </c>
      <c r="D626" s="218" t="b">
        <v>1</v>
      </c>
      <c r="E626" s="219" t="b">
        <v>0</v>
      </c>
      <c r="F626" s="219"/>
      <c r="G626" s="173"/>
      <c r="H626" s="157" t="s">
        <v>6464</v>
      </c>
      <c r="I626" s="157">
        <f t="shared" si="3"/>
        <v>2141</v>
      </c>
      <c r="J626" s="157">
        <v>2025.0</v>
      </c>
    </row>
    <row r="627">
      <c r="A627" s="218">
        <f t="shared" si="2"/>
        <v>624</v>
      </c>
      <c r="B627" s="218" t="s">
        <v>200</v>
      </c>
      <c r="C627" s="219" t="str">
        <f t="shared" si="1"/>
        <v>MS/2142/2025</v>
      </c>
      <c r="D627" s="218" t="b">
        <v>1</v>
      </c>
      <c r="E627" s="219" t="b">
        <v>0</v>
      </c>
      <c r="F627" s="219"/>
      <c r="G627" s="173"/>
      <c r="H627" s="157" t="s">
        <v>6464</v>
      </c>
      <c r="I627" s="157">
        <f t="shared" si="3"/>
        <v>2142</v>
      </c>
      <c r="J627" s="157">
        <v>2025.0</v>
      </c>
    </row>
    <row r="628">
      <c r="A628" s="218">
        <f t="shared" si="2"/>
        <v>625</v>
      </c>
      <c r="B628" s="218" t="s">
        <v>200</v>
      </c>
      <c r="C628" s="219" t="str">
        <f t="shared" si="1"/>
        <v>MS/2143/2025</v>
      </c>
      <c r="D628" s="218" t="b">
        <v>1</v>
      </c>
      <c r="E628" s="219" t="b">
        <v>0</v>
      </c>
      <c r="F628" s="219"/>
      <c r="G628" s="173"/>
      <c r="H628" s="157" t="s">
        <v>6464</v>
      </c>
      <c r="I628" s="157">
        <f t="shared" si="3"/>
        <v>2143</v>
      </c>
      <c r="J628" s="157">
        <v>2025.0</v>
      </c>
    </row>
    <row r="629">
      <c r="A629" s="218">
        <f t="shared" si="2"/>
        <v>626</v>
      </c>
      <c r="B629" s="218" t="s">
        <v>200</v>
      </c>
      <c r="C629" s="219" t="str">
        <f t="shared" si="1"/>
        <v>MS/2144/2025</v>
      </c>
      <c r="D629" s="218" t="b">
        <v>1</v>
      </c>
      <c r="E629" s="219" t="b">
        <v>0</v>
      </c>
      <c r="F629" s="219"/>
      <c r="G629" s="173"/>
      <c r="H629" s="157" t="s">
        <v>6464</v>
      </c>
      <c r="I629" s="157">
        <f t="shared" si="3"/>
        <v>2144</v>
      </c>
      <c r="J629" s="157">
        <v>2025.0</v>
      </c>
    </row>
    <row r="630">
      <c r="A630" s="218">
        <f t="shared" si="2"/>
        <v>627</v>
      </c>
      <c r="B630" s="218" t="s">
        <v>200</v>
      </c>
      <c r="C630" s="219" t="str">
        <f t="shared" si="1"/>
        <v>MS/2145/2025</v>
      </c>
      <c r="D630" s="218" t="b">
        <v>1</v>
      </c>
      <c r="E630" s="219" t="b">
        <v>0</v>
      </c>
      <c r="F630" s="219"/>
      <c r="G630" s="173"/>
      <c r="H630" s="157" t="s">
        <v>6464</v>
      </c>
      <c r="I630" s="157">
        <f t="shared" si="3"/>
        <v>2145</v>
      </c>
      <c r="J630" s="157">
        <v>2025.0</v>
      </c>
    </row>
    <row r="631">
      <c r="A631" s="218">
        <f t="shared" si="2"/>
        <v>628</v>
      </c>
      <c r="B631" s="218" t="s">
        <v>200</v>
      </c>
      <c r="C631" s="219" t="str">
        <f t="shared" si="1"/>
        <v>MS/2146/2025</v>
      </c>
      <c r="D631" s="218" t="b">
        <v>1</v>
      </c>
      <c r="E631" s="219" t="b">
        <v>0</v>
      </c>
      <c r="F631" s="219"/>
      <c r="G631" s="173"/>
      <c r="H631" s="157" t="s">
        <v>6464</v>
      </c>
      <c r="I631" s="157">
        <f t="shared" si="3"/>
        <v>2146</v>
      </c>
      <c r="J631" s="157">
        <v>2025.0</v>
      </c>
    </row>
    <row r="632">
      <c r="A632" s="218">
        <f t="shared" si="2"/>
        <v>629</v>
      </c>
      <c r="B632" s="218" t="s">
        <v>200</v>
      </c>
      <c r="C632" s="219" t="str">
        <f t="shared" si="1"/>
        <v>MS/2147/2025</v>
      </c>
      <c r="D632" s="218" t="b">
        <v>1</v>
      </c>
      <c r="E632" s="219" t="b">
        <v>0</v>
      </c>
      <c r="F632" s="219"/>
      <c r="G632" s="173"/>
      <c r="H632" s="157" t="s">
        <v>6464</v>
      </c>
      <c r="I632" s="157">
        <f t="shared" si="3"/>
        <v>2147</v>
      </c>
      <c r="J632" s="157">
        <v>2025.0</v>
      </c>
    </row>
    <row r="633">
      <c r="A633" s="218">
        <f t="shared" si="2"/>
        <v>630</v>
      </c>
      <c r="B633" s="218" t="s">
        <v>200</v>
      </c>
      <c r="C633" s="219" t="str">
        <f t="shared" si="1"/>
        <v>MS/2148/2025</v>
      </c>
      <c r="D633" s="218" t="b">
        <v>1</v>
      </c>
      <c r="E633" s="219" t="b">
        <v>0</v>
      </c>
      <c r="F633" s="219"/>
      <c r="G633" s="173"/>
      <c r="H633" s="157" t="s">
        <v>6464</v>
      </c>
      <c r="I633" s="157">
        <f t="shared" si="3"/>
        <v>2148</v>
      </c>
      <c r="J633" s="157">
        <v>2025.0</v>
      </c>
    </row>
    <row r="634">
      <c r="A634" s="218">
        <f t="shared" si="2"/>
        <v>631</v>
      </c>
      <c r="B634" s="218" t="s">
        <v>200</v>
      </c>
      <c r="C634" s="219" t="str">
        <f t="shared" si="1"/>
        <v>MS/2149/2025</v>
      </c>
      <c r="D634" s="218" t="b">
        <v>1</v>
      </c>
      <c r="E634" s="219" t="b">
        <v>0</v>
      </c>
      <c r="F634" s="219"/>
      <c r="G634" s="173"/>
      <c r="H634" s="157" t="s">
        <v>6464</v>
      </c>
      <c r="I634" s="157">
        <f t="shared" si="3"/>
        <v>2149</v>
      </c>
      <c r="J634" s="157">
        <v>2025.0</v>
      </c>
    </row>
    <row r="635">
      <c r="A635" s="218">
        <f t="shared" si="2"/>
        <v>632</v>
      </c>
      <c r="B635" s="218" t="s">
        <v>200</v>
      </c>
      <c r="C635" s="219" t="str">
        <f t="shared" si="1"/>
        <v>MS/2150/2025</v>
      </c>
      <c r="D635" s="218" t="b">
        <v>1</v>
      </c>
      <c r="E635" s="219" t="b">
        <v>0</v>
      </c>
      <c r="F635" s="219"/>
      <c r="G635" s="173"/>
      <c r="H635" s="157" t="s">
        <v>6464</v>
      </c>
      <c r="I635" s="157">
        <f t="shared" si="3"/>
        <v>2150</v>
      </c>
      <c r="J635" s="157">
        <v>2025.0</v>
      </c>
    </row>
    <row r="636">
      <c r="A636" s="218">
        <f t="shared" si="2"/>
        <v>633</v>
      </c>
      <c r="B636" s="218" t="s">
        <v>200</v>
      </c>
      <c r="C636" s="219" t="str">
        <f t="shared" si="1"/>
        <v>MS/2151/2025</v>
      </c>
      <c r="D636" s="218" t="b">
        <v>1</v>
      </c>
      <c r="E636" s="219" t="b">
        <v>0</v>
      </c>
      <c r="F636" s="219"/>
      <c r="G636" s="173"/>
      <c r="H636" s="157" t="s">
        <v>6464</v>
      </c>
      <c r="I636" s="157">
        <f t="shared" si="3"/>
        <v>2151</v>
      </c>
      <c r="J636" s="157">
        <v>2025.0</v>
      </c>
    </row>
    <row r="637">
      <c r="A637" s="218">
        <f t="shared" si="2"/>
        <v>634</v>
      </c>
      <c r="B637" s="218" t="s">
        <v>200</v>
      </c>
      <c r="C637" s="219" t="str">
        <f t="shared" si="1"/>
        <v>MS/2152/2025</v>
      </c>
      <c r="D637" s="218" t="b">
        <v>1</v>
      </c>
      <c r="E637" s="219" t="b">
        <v>0</v>
      </c>
      <c r="F637" s="219"/>
      <c r="G637" s="173"/>
      <c r="H637" s="157" t="s">
        <v>6464</v>
      </c>
      <c r="I637" s="157">
        <f t="shared" si="3"/>
        <v>2152</v>
      </c>
      <c r="J637" s="157">
        <v>2025.0</v>
      </c>
    </row>
    <row r="638">
      <c r="A638" s="218">
        <f t="shared" si="2"/>
        <v>635</v>
      </c>
      <c r="B638" s="218" t="s">
        <v>200</v>
      </c>
      <c r="C638" s="219" t="str">
        <f t="shared" si="1"/>
        <v>MS/2153/2025</v>
      </c>
      <c r="D638" s="218" t="b">
        <v>1</v>
      </c>
      <c r="E638" s="219" t="b">
        <v>0</v>
      </c>
      <c r="F638" s="219"/>
      <c r="G638" s="173"/>
      <c r="H638" s="157" t="s">
        <v>6464</v>
      </c>
      <c r="I638" s="157">
        <f t="shared" si="3"/>
        <v>2153</v>
      </c>
      <c r="J638" s="157">
        <v>2025.0</v>
      </c>
    </row>
    <row r="639">
      <c r="A639" s="218">
        <f t="shared" si="2"/>
        <v>636</v>
      </c>
      <c r="B639" s="218" t="s">
        <v>200</v>
      </c>
      <c r="C639" s="219" t="str">
        <f t="shared" si="1"/>
        <v>MS/2154/2025</v>
      </c>
      <c r="D639" s="218" t="b">
        <v>1</v>
      </c>
      <c r="E639" s="219" t="b">
        <v>0</v>
      </c>
      <c r="F639" s="219"/>
      <c r="G639" s="173"/>
      <c r="H639" s="157" t="s">
        <v>6464</v>
      </c>
      <c r="I639" s="157">
        <f t="shared" si="3"/>
        <v>2154</v>
      </c>
      <c r="J639" s="157">
        <v>2025.0</v>
      </c>
    </row>
    <row r="640">
      <c r="A640" s="218">
        <f t="shared" si="2"/>
        <v>637</v>
      </c>
      <c r="B640" s="218" t="s">
        <v>200</v>
      </c>
      <c r="C640" s="219" t="str">
        <f t="shared" si="1"/>
        <v>MS/2155/2025</v>
      </c>
      <c r="D640" s="218" t="b">
        <v>1</v>
      </c>
      <c r="E640" s="219" t="b">
        <v>0</v>
      </c>
      <c r="F640" s="219"/>
      <c r="G640" s="173"/>
      <c r="H640" s="157" t="s">
        <v>6464</v>
      </c>
      <c r="I640" s="157">
        <f t="shared" si="3"/>
        <v>2155</v>
      </c>
      <c r="J640" s="157">
        <v>2025.0</v>
      </c>
    </row>
    <row r="641">
      <c r="A641" s="218">
        <f t="shared" si="2"/>
        <v>638</v>
      </c>
      <c r="B641" s="218" t="s">
        <v>200</v>
      </c>
      <c r="C641" s="219" t="str">
        <f t="shared" si="1"/>
        <v>MS/2156/2025</v>
      </c>
      <c r="D641" s="218" t="b">
        <v>1</v>
      </c>
      <c r="E641" s="219" t="b">
        <v>0</v>
      </c>
      <c r="F641" s="219"/>
      <c r="G641" s="173"/>
      <c r="H641" s="157" t="s">
        <v>6464</v>
      </c>
      <c r="I641" s="157">
        <f t="shared" si="3"/>
        <v>2156</v>
      </c>
      <c r="J641" s="157">
        <v>2025.0</v>
      </c>
    </row>
    <row r="642">
      <c r="A642" s="218">
        <f t="shared" si="2"/>
        <v>639</v>
      </c>
      <c r="B642" s="218" t="s">
        <v>200</v>
      </c>
      <c r="C642" s="219" t="str">
        <f t="shared" si="1"/>
        <v>MS/2157/2025</v>
      </c>
      <c r="D642" s="218" t="b">
        <v>1</v>
      </c>
      <c r="E642" s="219" t="b">
        <v>0</v>
      </c>
      <c r="F642" s="219"/>
      <c r="G642" s="173"/>
      <c r="H642" s="157" t="s">
        <v>6464</v>
      </c>
      <c r="I642" s="157">
        <f t="shared" si="3"/>
        <v>2157</v>
      </c>
      <c r="J642" s="157">
        <v>2025.0</v>
      </c>
    </row>
    <row r="643">
      <c r="A643" s="218">
        <f t="shared" si="2"/>
        <v>640</v>
      </c>
      <c r="B643" s="218" t="s">
        <v>200</v>
      </c>
      <c r="C643" s="219" t="str">
        <f t="shared" si="1"/>
        <v>MS/2158/2025</v>
      </c>
      <c r="D643" s="218" t="b">
        <v>1</v>
      </c>
      <c r="E643" s="219" t="b">
        <v>0</v>
      </c>
      <c r="F643" s="219"/>
      <c r="G643" s="173"/>
      <c r="H643" s="157" t="s">
        <v>6464</v>
      </c>
      <c r="I643" s="157">
        <f t="shared" si="3"/>
        <v>2158</v>
      </c>
      <c r="J643" s="157">
        <v>2025.0</v>
      </c>
    </row>
    <row r="644">
      <c r="A644" s="218">
        <f t="shared" si="2"/>
        <v>641</v>
      </c>
      <c r="B644" s="218" t="s">
        <v>200</v>
      </c>
      <c r="C644" s="219" t="str">
        <f t="shared" si="1"/>
        <v>MS/2159/2025</v>
      </c>
      <c r="D644" s="218" t="b">
        <v>1</v>
      </c>
      <c r="E644" s="219" t="b">
        <v>0</v>
      </c>
      <c r="F644" s="219"/>
      <c r="G644" s="173"/>
      <c r="H644" s="157" t="s">
        <v>6464</v>
      </c>
      <c r="I644" s="157">
        <f t="shared" si="3"/>
        <v>2159</v>
      </c>
      <c r="J644" s="157">
        <v>2025.0</v>
      </c>
    </row>
    <row r="645">
      <c r="A645" s="218">
        <f t="shared" si="2"/>
        <v>642</v>
      </c>
      <c r="B645" s="218" t="s">
        <v>200</v>
      </c>
      <c r="C645" s="219" t="str">
        <f t="shared" si="1"/>
        <v>MS/2160/2025</v>
      </c>
      <c r="D645" s="218" t="b">
        <v>1</v>
      </c>
      <c r="E645" s="219" t="b">
        <v>0</v>
      </c>
      <c r="F645" s="219"/>
      <c r="G645" s="173"/>
      <c r="H645" s="157" t="s">
        <v>6464</v>
      </c>
      <c r="I645" s="157">
        <f t="shared" si="3"/>
        <v>2160</v>
      </c>
      <c r="J645" s="157">
        <v>2025.0</v>
      </c>
    </row>
    <row r="646">
      <c r="A646" s="218">
        <f t="shared" si="2"/>
        <v>643</v>
      </c>
      <c r="B646" s="218" t="s">
        <v>200</v>
      </c>
      <c r="C646" s="219" t="str">
        <f t="shared" si="1"/>
        <v>MS/2161/2025</v>
      </c>
      <c r="D646" s="218" t="b">
        <v>1</v>
      </c>
      <c r="E646" s="219" t="b">
        <v>0</v>
      </c>
      <c r="F646" s="219"/>
      <c r="G646" s="173"/>
      <c r="H646" s="157" t="s">
        <v>6464</v>
      </c>
      <c r="I646" s="157">
        <f t="shared" si="3"/>
        <v>2161</v>
      </c>
      <c r="J646" s="157">
        <v>2025.0</v>
      </c>
    </row>
    <row r="647">
      <c r="A647" s="218">
        <f t="shared" si="2"/>
        <v>644</v>
      </c>
      <c r="B647" s="218" t="s">
        <v>200</v>
      </c>
      <c r="C647" s="219" t="str">
        <f t="shared" si="1"/>
        <v>MS/2162/2025</v>
      </c>
      <c r="D647" s="218" t="b">
        <v>1</v>
      </c>
      <c r="E647" s="219" t="b">
        <v>0</v>
      </c>
      <c r="F647" s="219"/>
      <c r="G647" s="173"/>
      <c r="H647" s="157" t="s">
        <v>6464</v>
      </c>
      <c r="I647" s="157">
        <f t="shared" si="3"/>
        <v>2162</v>
      </c>
      <c r="J647" s="157">
        <v>2025.0</v>
      </c>
    </row>
    <row r="648">
      <c r="A648" s="218">
        <f t="shared" si="2"/>
        <v>645</v>
      </c>
      <c r="B648" s="218" t="s">
        <v>200</v>
      </c>
      <c r="C648" s="219" t="str">
        <f t="shared" si="1"/>
        <v>MS/2163/2025</v>
      </c>
      <c r="D648" s="218" t="b">
        <v>1</v>
      </c>
      <c r="E648" s="219" t="b">
        <v>0</v>
      </c>
      <c r="F648" s="219"/>
      <c r="G648" s="173"/>
      <c r="H648" s="157" t="s">
        <v>6464</v>
      </c>
      <c r="I648" s="157">
        <f t="shared" si="3"/>
        <v>2163</v>
      </c>
      <c r="J648" s="157">
        <v>2025.0</v>
      </c>
    </row>
    <row r="649">
      <c r="A649" s="218">
        <f t="shared" si="2"/>
        <v>646</v>
      </c>
      <c r="B649" s="218" t="s">
        <v>200</v>
      </c>
      <c r="C649" s="219" t="str">
        <f t="shared" si="1"/>
        <v>MS/2164/2025</v>
      </c>
      <c r="D649" s="218" t="b">
        <v>1</v>
      </c>
      <c r="E649" s="218" t="b">
        <v>0</v>
      </c>
      <c r="F649" s="234">
        <v>45999.0</v>
      </c>
      <c r="G649" s="173"/>
      <c r="H649" s="157" t="s">
        <v>6464</v>
      </c>
      <c r="I649" s="157">
        <f t="shared" si="3"/>
        <v>2164</v>
      </c>
      <c r="J649" s="157">
        <v>2025.0</v>
      </c>
    </row>
    <row r="650">
      <c r="A650" s="218">
        <f t="shared" si="2"/>
        <v>647</v>
      </c>
      <c r="B650" s="218" t="s">
        <v>200</v>
      </c>
      <c r="C650" s="219" t="str">
        <f t="shared" si="1"/>
        <v>MS/2165/2025</v>
      </c>
      <c r="D650" s="218" t="b">
        <v>1</v>
      </c>
      <c r="E650" s="218" t="b">
        <v>0</v>
      </c>
      <c r="F650" s="234">
        <v>45999.0</v>
      </c>
      <c r="G650" s="173"/>
      <c r="H650" s="157" t="s">
        <v>6464</v>
      </c>
      <c r="I650" s="157">
        <f t="shared" si="3"/>
        <v>2165</v>
      </c>
      <c r="J650" s="157">
        <v>2025.0</v>
      </c>
    </row>
    <row r="651">
      <c r="A651" s="218">
        <f t="shared" si="2"/>
        <v>648</v>
      </c>
      <c r="B651" s="218" t="s">
        <v>200</v>
      </c>
      <c r="C651" s="219" t="str">
        <f t="shared" si="1"/>
        <v>MS/2166/2025</v>
      </c>
      <c r="D651" s="218" t="b">
        <v>1</v>
      </c>
      <c r="E651" s="218" t="b">
        <v>0</v>
      </c>
      <c r="F651" s="234">
        <v>45999.0</v>
      </c>
      <c r="G651" s="173"/>
      <c r="H651" s="157" t="s">
        <v>6464</v>
      </c>
      <c r="I651" s="157">
        <f t="shared" si="3"/>
        <v>2166</v>
      </c>
      <c r="J651" s="157">
        <v>2025.0</v>
      </c>
    </row>
    <row r="652">
      <c r="A652" s="218">
        <f t="shared" si="2"/>
        <v>649</v>
      </c>
      <c r="B652" s="218" t="s">
        <v>200</v>
      </c>
      <c r="C652" s="219" t="str">
        <f t="shared" si="1"/>
        <v>MS/2167/2025</v>
      </c>
      <c r="D652" s="218" t="b">
        <v>1</v>
      </c>
      <c r="E652" s="218" t="b">
        <v>0</v>
      </c>
      <c r="F652" s="234">
        <v>45999.0</v>
      </c>
      <c r="G652" s="173"/>
      <c r="H652" s="157" t="s">
        <v>6464</v>
      </c>
      <c r="I652" s="157">
        <f t="shared" si="3"/>
        <v>2167</v>
      </c>
      <c r="J652" s="157">
        <v>2025.0</v>
      </c>
    </row>
    <row r="653">
      <c r="A653" s="218">
        <f t="shared" si="2"/>
        <v>650</v>
      </c>
      <c r="B653" s="218" t="s">
        <v>200</v>
      </c>
      <c r="C653" s="219" t="str">
        <f t="shared" si="1"/>
        <v>MS/2168/2025</v>
      </c>
      <c r="D653" s="218" t="b">
        <v>1</v>
      </c>
      <c r="E653" s="218" t="b">
        <v>0</v>
      </c>
      <c r="F653" s="234">
        <v>45999.0</v>
      </c>
      <c r="G653" s="173"/>
      <c r="H653" s="157" t="s">
        <v>6464</v>
      </c>
      <c r="I653" s="157">
        <f t="shared" si="3"/>
        <v>2168</v>
      </c>
      <c r="J653" s="157">
        <v>2025.0</v>
      </c>
    </row>
    <row r="654">
      <c r="A654" s="218">
        <f t="shared" si="2"/>
        <v>651</v>
      </c>
      <c r="B654" s="218" t="s">
        <v>200</v>
      </c>
      <c r="C654" s="219" t="str">
        <f t="shared" si="1"/>
        <v>MS/2169/2025</v>
      </c>
      <c r="D654" s="218" t="b">
        <v>1</v>
      </c>
      <c r="E654" s="218" t="b">
        <v>0</v>
      </c>
      <c r="F654" s="234">
        <v>45999.0</v>
      </c>
      <c r="G654" s="173"/>
      <c r="H654" s="157" t="s">
        <v>6464</v>
      </c>
      <c r="I654" s="157">
        <f t="shared" si="3"/>
        <v>2169</v>
      </c>
      <c r="J654" s="157">
        <v>2025.0</v>
      </c>
    </row>
    <row r="655">
      <c r="A655" s="218">
        <f t="shared" si="2"/>
        <v>652</v>
      </c>
      <c r="B655" s="218" t="s">
        <v>200</v>
      </c>
      <c r="C655" s="219" t="str">
        <f t="shared" si="1"/>
        <v>MS/2170/2025</v>
      </c>
      <c r="D655" s="218" t="b">
        <v>1</v>
      </c>
      <c r="E655" s="218" t="b">
        <v>0</v>
      </c>
      <c r="F655" s="234">
        <v>45999.0</v>
      </c>
      <c r="G655" s="173"/>
      <c r="H655" s="157" t="s">
        <v>6464</v>
      </c>
      <c r="I655" s="157">
        <f t="shared" si="3"/>
        <v>2170</v>
      </c>
      <c r="J655" s="157">
        <v>2025.0</v>
      </c>
    </row>
    <row r="656">
      <c r="A656" s="218">
        <f t="shared" si="2"/>
        <v>653</v>
      </c>
      <c r="B656" s="218" t="s">
        <v>200</v>
      </c>
      <c r="C656" s="219" t="str">
        <f t="shared" si="1"/>
        <v>MS/2171/2025</v>
      </c>
      <c r="D656" s="218" t="b">
        <v>1</v>
      </c>
      <c r="E656" s="218" t="b">
        <v>0</v>
      </c>
      <c r="F656" s="234">
        <v>45999.0</v>
      </c>
      <c r="G656" s="173"/>
      <c r="H656" s="157" t="s">
        <v>6464</v>
      </c>
      <c r="I656" s="157">
        <f t="shared" si="3"/>
        <v>2171</v>
      </c>
      <c r="J656" s="157">
        <v>2025.0</v>
      </c>
    </row>
    <row r="657">
      <c r="A657" s="218">
        <f t="shared" si="2"/>
        <v>654</v>
      </c>
      <c r="B657" s="218" t="s">
        <v>200</v>
      </c>
      <c r="C657" s="219" t="str">
        <f t="shared" si="1"/>
        <v>MS/2172/2025</v>
      </c>
      <c r="D657" s="218" t="b">
        <v>1</v>
      </c>
      <c r="E657" s="218" t="b">
        <v>0</v>
      </c>
      <c r="F657" s="234">
        <v>45999.0</v>
      </c>
      <c r="G657" s="173"/>
      <c r="H657" s="157" t="s">
        <v>6464</v>
      </c>
      <c r="I657" s="157">
        <f t="shared" si="3"/>
        <v>2172</v>
      </c>
      <c r="J657" s="157">
        <v>2025.0</v>
      </c>
    </row>
    <row r="658">
      <c r="A658" s="218">
        <f t="shared" si="2"/>
        <v>655</v>
      </c>
      <c r="B658" s="218" t="s">
        <v>200</v>
      </c>
      <c r="C658" s="219" t="str">
        <f t="shared" si="1"/>
        <v>MS/2173/2025</v>
      </c>
      <c r="D658" s="218" t="b">
        <v>1</v>
      </c>
      <c r="E658" s="218" t="b">
        <v>0</v>
      </c>
      <c r="F658" s="234">
        <v>45999.0</v>
      </c>
      <c r="G658" s="173"/>
      <c r="H658" s="157" t="s">
        <v>6464</v>
      </c>
      <c r="I658" s="157">
        <f t="shared" si="3"/>
        <v>2173</v>
      </c>
      <c r="J658" s="157">
        <v>2025.0</v>
      </c>
    </row>
    <row r="659">
      <c r="A659" s="218">
        <f t="shared" si="2"/>
        <v>656</v>
      </c>
      <c r="B659" s="218" t="s">
        <v>200</v>
      </c>
      <c r="C659" s="219" t="str">
        <f t="shared" si="1"/>
        <v>MS/2174/2025</v>
      </c>
      <c r="D659" s="218" t="b">
        <v>1</v>
      </c>
      <c r="E659" s="218" t="b">
        <v>0</v>
      </c>
      <c r="F659" s="234">
        <v>45999.0</v>
      </c>
      <c r="G659" s="173"/>
      <c r="H659" s="157" t="s">
        <v>6464</v>
      </c>
      <c r="I659" s="157">
        <f t="shared" si="3"/>
        <v>2174</v>
      </c>
      <c r="J659" s="157">
        <v>2025.0</v>
      </c>
    </row>
    <row r="660">
      <c r="A660" s="218">
        <f t="shared" si="2"/>
        <v>657</v>
      </c>
      <c r="B660" s="218" t="s">
        <v>200</v>
      </c>
      <c r="C660" s="219" t="str">
        <f t="shared" si="1"/>
        <v>MS/2175/2025</v>
      </c>
      <c r="D660" s="218" t="b">
        <v>1</v>
      </c>
      <c r="E660" s="218" t="b">
        <v>0</v>
      </c>
      <c r="F660" s="234">
        <v>45999.0</v>
      </c>
      <c r="G660" s="173"/>
      <c r="H660" s="157" t="s">
        <v>6464</v>
      </c>
      <c r="I660" s="157">
        <f t="shared" si="3"/>
        <v>2175</v>
      </c>
      <c r="J660" s="157">
        <v>2025.0</v>
      </c>
    </row>
    <row r="661">
      <c r="A661" s="218">
        <f t="shared" si="2"/>
        <v>658</v>
      </c>
      <c r="B661" s="218" t="s">
        <v>200</v>
      </c>
      <c r="C661" s="219" t="str">
        <f t="shared" si="1"/>
        <v>MS/2176/2025</v>
      </c>
      <c r="D661" s="218" t="b">
        <v>1</v>
      </c>
      <c r="E661" s="218" t="b">
        <v>0</v>
      </c>
      <c r="F661" s="234">
        <v>45999.0</v>
      </c>
      <c r="G661" s="173"/>
      <c r="H661" s="157" t="s">
        <v>6464</v>
      </c>
      <c r="I661" s="157">
        <f t="shared" si="3"/>
        <v>2176</v>
      </c>
      <c r="J661" s="157">
        <v>2025.0</v>
      </c>
    </row>
    <row r="662">
      <c r="A662" s="218">
        <f t="shared" si="2"/>
        <v>659</v>
      </c>
      <c r="B662" s="218" t="s">
        <v>200</v>
      </c>
      <c r="C662" s="219" t="str">
        <f t="shared" si="1"/>
        <v>MS/2177/2025</v>
      </c>
      <c r="D662" s="218" t="b">
        <v>1</v>
      </c>
      <c r="E662" s="218" t="b">
        <v>0</v>
      </c>
      <c r="F662" s="234">
        <v>45999.0</v>
      </c>
      <c r="G662" s="173"/>
      <c r="H662" s="157" t="s">
        <v>6464</v>
      </c>
      <c r="I662" s="157">
        <f t="shared" si="3"/>
        <v>2177</v>
      </c>
      <c r="J662" s="157">
        <v>2025.0</v>
      </c>
    </row>
    <row r="663">
      <c r="A663" s="218">
        <f t="shared" si="2"/>
        <v>660</v>
      </c>
      <c r="B663" s="218" t="s">
        <v>200</v>
      </c>
      <c r="C663" s="219" t="str">
        <f t="shared" si="1"/>
        <v>MS/2178/2025</v>
      </c>
      <c r="D663" s="218" t="b">
        <v>1</v>
      </c>
      <c r="E663" s="218" t="b">
        <v>0</v>
      </c>
      <c r="F663" s="234">
        <v>45999.0</v>
      </c>
      <c r="G663" s="173"/>
      <c r="H663" s="157" t="s">
        <v>6464</v>
      </c>
      <c r="I663" s="157">
        <f t="shared" si="3"/>
        <v>2178</v>
      </c>
      <c r="J663" s="157">
        <v>2025.0</v>
      </c>
    </row>
    <row r="664">
      <c r="A664" s="218">
        <f t="shared" si="2"/>
        <v>661</v>
      </c>
      <c r="B664" s="218" t="s">
        <v>200</v>
      </c>
      <c r="C664" s="219" t="str">
        <f t="shared" si="1"/>
        <v>MS/2179/2025</v>
      </c>
      <c r="D664" s="218" t="b">
        <v>1</v>
      </c>
      <c r="E664" s="218" t="b">
        <v>0</v>
      </c>
      <c r="F664" s="234">
        <v>45999.0</v>
      </c>
      <c r="G664" s="173"/>
      <c r="H664" s="157" t="s">
        <v>6464</v>
      </c>
      <c r="I664" s="157">
        <f t="shared" si="3"/>
        <v>2179</v>
      </c>
      <c r="J664" s="157">
        <v>2025.0</v>
      </c>
    </row>
    <row r="665">
      <c r="A665" s="218">
        <f t="shared" si="2"/>
        <v>662</v>
      </c>
      <c r="B665" s="218" t="s">
        <v>200</v>
      </c>
      <c r="C665" s="219" t="str">
        <f t="shared" si="1"/>
        <v>MS/2180/2025</v>
      </c>
      <c r="D665" s="218" t="b">
        <v>1</v>
      </c>
      <c r="E665" s="218" t="b">
        <v>0</v>
      </c>
      <c r="F665" s="234">
        <v>45999.0</v>
      </c>
      <c r="G665" s="173"/>
      <c r="H665" s="157" t="s">
        <v>6464</v>
      </c>
      <c r="I665" s="157">
        <f t="shared" si="3"/>
        <v>2180</v>
      </c>
      <c r="J665" s="157">
        <v>2025.0</v>
      </c>
    </row>
    <row r="666">
      <c r="A666" s="218">
        <f t="shared" si="2"/>
        <v>663</v>
      </c>
      <c r="B666" s="218" t="s">
        <v>200</v>
      </c>
      <c r="C666" s="219" t="str">
        <f t="shared" si="1"/>
        <v>MS/2181/2025</v>
      </c>
      <c r="D666" s="218" t="b">
        <v>1</v>
      </c>
      <c r="E666" s="218" t="b">
        <v>0</v>
      </c>
      <c r="F666" s="234">
        <v>45999.0</v>
      </c>
      <c r="G666" s="173"/>
      <c r="H666" s="157" t="s">
        <v>6464</v>
      </c>
      <c r="I666" s="157">
        <f t="shared" si="3"/>
        <v>2181</v>
      </c>
      <c r="J666" s="157">
        <v>2025.0</v>
      </c>
    </row>
    <row r="667">
      <c r="A667" s="218">
        <f t="shared" si="2"/>
        <v>664</v>
      </c>
      <c r="B667" s="218" t="s">
        <v>200</v>
      </c>
      <c r="C667" s="219" t="str">
        <f t="shared" si="1"/>
        <v>MS/2182/2025</v>
      </c>
      <c r="D667" s="218" t="b">
        <v>1</v>
      </c>
      <c r="E667" s="218" t="b">
        <v>0</v>
      </c>
      <c r="F667" s="234">
        <v>45999.0</v>
      </c>
      <c r="G667" s="173"/>
      <c r="H667" s="157" t="s">
        <v>6464</v>
      </c>
      <c r="I667" s="157">
        <f t="shared" si="3"/>
        <v>2182</v>
      </c>
      <c r="J667" s="157">
        <v>2025.0</v>
      </c>
    </row>
    <row r="668">
      <c r="A668" s="218">
        <f t="shared" si="2"/>
        <v>665</v>
      </c>
      <c r="B668" s="218" t="s">
        <v>200</v>
      </c>
      <c r="C668" s="219" t="str">
        <f t="shared" si="1"/>
        <v>MS/2183/2025</v>
      </c>
      <c r="D668" s="218" t="b">
        <v>1</v>
      </c>
      <c r="E668" s="218" t="b">
        <v>0</v>
      </c>
      <c r="F668" s="234">
        <v>45999.0</v>
      </c>
      <c r="G668" s="173"/>
      <c r="H668" s="157" t="s">
        <v>6464</v>
      </c>
      <c r="I668" s="157">
        <f t="shared" si="3"/>
        <v>2183</v>
      </c>
      <c r="J668" s="157">
        <v>2025.0</v>
      </c>
    </row>
    <row r="669">
      <c r="A669" s="218">
        <f t="shared" si="2"/>
        <v>666</v>
      </c>
      <c r="B669" s="218" t="s">
        <v>200</v>
      </c>
      <c r="C669" s="219" t="str">
        <f t="shared" si="1"/>
        <v>MS/2184/2025</v>
      </c>
      <c r="D669" s="218" t="b">
        <v>1</v>
      </c>
      <c r="E669" s="218" t="b">
        <v>0</v>
      </c>
      <c r="F669" s="234">
        <v>45999.0</v>
      </c>
      <c r="G669" s="173"/>
      <c r="H669" s="157" t="s">
        <v>6464</v>
      </c>
      <c r="I669" s="157">
        <f t="shared" si="3"/>
        <v>2184</v>
      </c>
      <c r="J669" s="157">
        <v>2025.0</v>
      </c>
    </row>
    <row r="670">
      <c r="A670" s="218">
        <f t="shared" si="2"/>
        <v>667</v>
      </c>
      <c r="B670" s="218" t="s">
        <v>200</v>
      </c>
      <c r="C670" s="219" t="str">
        <f t="shared" si="1"/>
        <v>MS/2185/2025</v>
      </c>
      <c r="D670" s="218" t="b">
        <v>1</v>
      </c>
      <c r="E670" s="218" t="b">
        <v>0</v>
      </c>
      <c r="F670" s="234">
        <v>45999.0</v>
      </c>
      <c r="G670" s="173"/>
      <c r="H670" s="157" t="s">
        <v>6464</v>
      </c>
      <c r="I670" s="157">
        <f t="shared" si="3"/>
        <v>2185</v>
      </c>
      <c r="J670" s="157">
        <v>2025.0</v>
      </c>
    </row>
    <row r="671">
      <c r="A671" s="218">
        <f t="shared" si="2"/>
        <v>668</v>
      </c>
      <c r="B671" s="218" t="s">
        <v>200</v>
      </c>
      <c r="C671" s="219" t="str">
        <f t="shared" si="1"/>
        <v>MS/2186/2025</v>
      </c>
      <c r="D671" s="218" t="b">
        <v>1</v>
      </c>
      <c r="E671" s="218" t="b">
        <v>0</v>
      </c>
      <c r="F671" s="234">
        <v>45999.0</v>
      </c>
      <c r="G671" s="173"/>
      <c r="H671" s="157" t="s">
        <v>6464</v>
      </c>
      <c r="I671" s="157">
        <f t="shared" si="3"/>
        <v>2186</v>
      </c>
      <c r="J671" s="157">
        <v>2025.0</v>
      </c>
    </row>
    <row r="672">
      <c r="A672" s="218">
        <f t="shared" si="2"/>
        <v>669</v>
      </c>
      <c r="B672" s="218" t="s">
        <v>200</v>
      </c>
      <c r="C672" s="219" t="str">
        <f t="shared" si="1"/>
        <v>MS/2187/2025</v>
      </c>
      <c r="D672" s="218" t="b">
        <v>1</v>
      </c>
      <c r="E672" s="218" t="b">
        <v>0</v>
      </c>
      <c r="F672" s="234">
        <v>45999.0</v>
      </c>
      <c r="G672" s="173"/>
      <c r="H672" s="157" t="s">
        <v>6464</v>
      </c>
      <c r="I672" s="157">
        <f t="shared" si="3"/>
        <v>2187</v>
      </c>
      <c r="J672" s="157">
        <v>2025.0</v>
      </c>
    </row>
    <row r="673">
      <c r="A673" s="218">
        <f t="shared" si="2"/>
        <v>670</v>
      </c>
      <c r="B673" s="218" t="s">
        <v>200</v>
      </c>
      <c r="C673" s="219" t="str">
        <f t="shared" si="1"/>
        <v>MS/2188/2025</v>
      </c>
      <c r="D673" s="218" t="b">
        <v>1</v>
      </c>
      <c r="E673" s="218" t="b">
        <v>0</v>
      </c>
      <c r="F673" s="234">
        <v>45999.0</v>
      </c>
      <c r="G673" s="173"/>
      <c r="H673" s="157" t="s">
        <v>6464</v>
      </c>
      <c r="I673" s="157">
        <f t="shared" si="3"/>
        <v>2188</v>
      </c>
      <c r="J673" s="157">
        <v>2025.0</v>
      </c>
    </row>
    <row r="674">
      <c r="A674" s="218">
        <f t="shared" si="2"/>
        <v>671</v>
      </c>
      <c r="B674" s="218" t="s">
        <v>200</v>
      </c>
      <c r="C674" s="219" t="str">
        <f t="shared" si="1"/>
        <v>MS/2189/2025</v>
      </c>
      <c r="D674" s="218" t="b">
        <v>1</v>
      </c>
      <c r="E674" s="218" t="b">
        <v>0</v>
      </c>
      <c r="F674" s="234">
        <v>45999.0</v>
      </c>
      <c r="G674" s="173"/>
      <c r="H674" s="157" t="s">
        <v>6464</v>
      </c>
      <c r="I674" s="157">
        <f t="shared" si="3"/>
        <v>2189</v>
      </c>
      <c r="J674" s="157">
        <v>2025.0</v>
      </c>
    </row>
    <row r="675">
      <c r="A675" s="218">
        <f t="shared" si="2"/>
        <v>672</v>
      </c>
      <c r="B675" s="218" t="s">
        <v>200</v>
      </c>
      <c r="C675" s="219" t="str">
        <f t="shared" si="1"/>
        <v>MS/2190/2025</v>
      </c>
      <c r="D675" s="218" t="b">
        <v>1</v>
      </c>
      <c r="E675" s="218" t="b">
        <v>0</v>
      </c>
      <c r="F675" s="234">
        <v>45999.0</v>
      </c>
      <c r="G675" s="173"/>
      <c r="H675" s="157" t="s">
        <v>6464</v>
      </c>
      <c r="I675" s="157">
        <f t="shared" si="3"/>
        <v>2190</v>
      </c>
      <c r="J675" s="157">
        <v>2025.0</v>
      </c>
    </row>
    <row r="676">
      <c r="A676" s="218">
        <f t="shared" si="2"/>
        <v>673</v>
      </c>
      <c r="B676" s="218" t="s">
        <v>200</v>
      </c>
      <c r="C676" s="219" t="str">
        <f t="shared" si="1"/>
        <v>MS/2191/2025</v>
      </c>
      <c r="D676" s="218" t="b">
        <v>1</v>
      </c>
      <c r="E676" s="218" t="b">
        <v>0</v>
      </c>
      <c r="F676" s="234">
        <v>45999.0</v>
      </c>
      <c r="G676" s="173"/>
      <c r="H676" s="157" t="s">
        <v>6464</v>
      </c>
      <c r="I676" s="157">
        <f t="shared" si="3"/>
        <v>2191</v>
      </c>
      <c r="J676" s="157">
        <v>2025.0</v>
      </c>
    </row>
    <row r="677">
      <c r="A677" s="218">
        <f t="shared" si="2"/>
        <v>674</v>
      </c>
      <c r="B677" s="218" t="s">
        <v>200</v>
      </c>
      <c r="C677" s="219" t="str">
        <f t="shared" si="1"/>
        <v>MS/2192/2025</v>
      </c>
      <c r="D677" s="218" t="b">
        <v>1</v>
      </c>
      <c r="E677" s="218" t="b">
        <v>0</v>
      </c>
      <c r="F677" s="234">
        <v>45999.0</v>
      </c>
      <c r="G677" s="173"/>
      <c r="H677" s="157" t="s">
        <v>6464</v>
      </c>
      <c r="I677" s="157">
        <f t="shared" si="3"/>
        <v>2192</v>
      </c>
      <c r="J677" s="157">
        <v>2025.0</v>
      </c>
    </row>
    <row r="678">
      <c r="A678" s="218">
        <f t="shared" si="2"/>
        <v>675</v>
      </c>
      <c r="B678" s="218" t="s">
        <v>200</v>
      </c>
      <c r="C678" s="219" t="str">
        <f t="shared" si="1"/>
        <v>MS/2193/2025</v>
      </c>
      <c r="D678" s="218" t="b">
        <v>1</v>
      </c>
      <c r="E678" s="218" t="b">
        <v>0</v>
      </c>
      <c r="F678" s="234">
        <v>45999.0</v>
      </c>
      <c r="G678" s="173"/>
      <c r="H678" s="157" t="s">
        <v>6464</v>
      </c>
      <c r="I678" s="157">
        <f t="shared" si="3"/>
        <v>2193</v>
      </c>
      <c r="J678" s="157">
        <v>2025.0</v>
      </c>
    </row>
    <row r="679">
      <c r="A679" s="218">
        <f t="shared" si="2"/>
        <v>676</v>
      </c>
      <c r="B679" s="218" t="s">
        <v>200</v>
      </c>
      <c r="C679" s="219" t="str">
        <f t="shared" si="1"/>
        <v>MS/2194/2025</v>
      </c>
      <c r="D679" s="218" t="b">
        <v>1</v>
      </c>
      <c r="E679" s="218" t="b">
        <v>0</v>
      </c>
      <c r="F679" s="234">
        <v>45999.0</v>
      </c>
      <c r="G679" s="173"/>
      <c r="H679" s="157" t="s">
        <v>6464</v>
      </c>
      <c r="I679" s="157">
        <f t="shared" si="3"/>
        <v>2194</v>
      </c>
      <c r="J679" s="157">
        <v>2025.0</v>
      </c>
    </row>
    <row r="680">
      <c r="A680" s="218">
        <f t="shared" si="2"/>
        <v>677</v>
      </c>
      <c r="B680" s="218" t="s">
        <v>200</v>
      </c>
      <c r="C680" s="219" t="str">
        <f t="shared" si="1"/>
        <v>MS/2195/2025</v>
      </c>
      <c r="D680" s="218" t="b">
        <v>1</v>
      </c>
      <c r="E680" s="218" t="b">
        <v>0</v>
      </c>
      <c r="F680" s="234">
        <v>45999.0</v>
      </c>
      <c r="G680" s="173"/>
      <c r="H680" s="157" t="s">
        <v>6464</v>
      </c>
      <c r="I680" s="157">
        <f t="shared" si="3"/>
        <v>2195</v>
      </c>
      <c r="J680" s="157">
        <v>2025.0</v>
      </c>
    </row>
    <row r="681">
      <c r="A681" s="218">
        <f t="shared" si="2"/>
        <v>678</v>
      </c>
      <c r="B681" s="218" t="s">
        <v>200</v>
      </c>
      <c r="C681" s="219" t="str">
        <f t="shared" si="1"/>
        <v>MS/2196/2025</v>
      </c>
      <c r="D681" s="218" t="b">
        <v>1</v>
      </c>
      <c r="E681" s="218" t="b">
        <v>0</v>
      </c>
      <c r="F681" s="234">
        <v>45999.0</v>
      </c>
      <c r="G681" s="173"/>
      <c r="H681" s="157" t="s">
        <v>6464</v>
      </c>
      <c r="I681" s="157">
        <f t="shared" si="3"/>
        <v>2196</v>
      </c>
      <c r="J681" s="157">
        <v>2025.0</v>
      </c>
    </row>
    <row r="682">
      <c r="A682" s="218">
        <f t="shared" si="2"/>
        <v>679</v>
      </c>
      <c r="B682" s="218" t="s">
        <v>200</v>
      </c>
      <c r="C682" s="219" t="str">
        <f t="shared" si="1"/>
        <v>MS/2197/2025</v>
      </c>
      <c r="D682" s="218" t="b">
        <v>1</v>
      </c>
      <c r="E682" s="218" t="b">
        <v>0</v>
      </c>
      <c r="F682" s="234">
        <v>45999.0</v>
      </c>
      <c r="G682" s="173"/>
      <c r="H682" s="157" t="s">
        <v>6464</v>
      </c>
      <c r="I682" s="157">
        <f t="shared" si="3"/>
        <v>2197</v>
      </c>
      <c r="J682" s="157">
        <v>2025.0</v>
      </c>
    </row>
    <row r="683">
      <c r="A683" s="218">
        <f t="shared" si="2"/>
        <v>680</v>
      </c>
      <c r="B683" s="218" t="s">
        <v>200</v>
      </c>
      <c r="C683" s="219" t="str">
        <f t="shared" si="1"/>
        <v>MS/2198/2025</v>
      </c>
      <c r="D683" s="218" t="b">
        <v>1</v>
      </c>
      <c r="E683" s="218" t="b">
        <v>0</v>
      </c>
      <c r="F683" s="234">
        <v>45999.0</v>
      </c>
      <c r="G683" s="173"/>
      <c r="H683" s="157" t="s">
        <v>6464</v>
      </c>
      <c r="I683" s="157">
        <f t="shared" si="3"/>
        <v>2198</v>
      </c>
      <c r="J683" s="157">
        <v>2025.0</v>
      </c>
    </row>
    <row r="684">
      <c r="A684" s="218">
        <f t="shared" si="2"/>
        <v>681</v>
      </c>
      <c r="B684" s="218" t="s">
        <v>200</v>
      </c>
      <c r="C684" s="219" t="str">
        <f t="shared" si="1"/>
        <v>MS/2199/2025</v>
      </c>
      <c r="D684" s="218" t="b">
        <v>1</v>
      </c>
      <c r="E684" s="218" t="b">
        <v>0</v>
      </c>
      <c r="F684" s="234">
        <v>45999.0</v>
      </c>
      <c r="G684" s="173"/>
      <c r="H684" s="157" t="s">
        <v>6464</v>
      </c>
      <c r="I684" s="157">
        <f t="shared" si="3"/>
        <v>2199</v>
      </c>
      <c r="J684" s="157">
        <v>2025.0</v>
      </c>
    </row>
    <row r="685">
      <c r="A685" s="218">
        <f t="shared" si="2"/>
        <v>682</v>
      </c>
      <c r="B685" s="218" t="s">
        <v>200</v>
      </c>
      <c r="C685" s="219" t="str">
        <f t="shared" si="1"/>
        <v>MS/2200/2025</v>
      </c>
      <c r="D685" s="218" t="b">
        <v>1</v>
      </c>
      <c r="E685" s="218" t="b">
        <v>0</v>
      </c>
      <c r="F685" s="234">
        <v>45999.0</v>
      </c>
      <c r="G685" s="173"/>
      <c r="H685" s="157" t="s">
        <v>6464</v>
      </c>
      <c r="I685" s="157">
        <f t="shared" si="3"/>
        <v>2200</v>
      </c>
      <c r="J685" s="157">
        <v>2025.0</v>
      </c>
    </row>
    <row r="686">
      <c r="A686" s="218">
        <f t="shared" si="2"/>
        <v>683</v>
      </c>
      <c r="B686" s="218" t="s">
        <v>200</v>
      </c>
      <c r="C686" s="219" t="str">
        <f t="shared" si="1"/>
        <v>MS/2201/2025</v>
      </c>
      <c r="D686" s="218" t="b">
        <v>1</v>
      </c>
      <c r="E686" s="218" t="b">
        <v>0</v>
      </c>
      <c r="F686" s="234">
        <v>45999.0</v>
      </c>
      <c r="G686" s="173"/>
      <c r="H686" s="157" t="s">
        <v>6464</v>
      </c>
      <c r="I686" s="157">
        <f t="shared" si="3"/>
        <v>2201</v>
      </c>
      <c r="J686" s="157">
        <v>2025.0</v>
      </c>
    </row>
    <row r="687">
      <c r="A687" s="218">
        <f t="shared" si="2"/>
        <v>684</v>
      </c>
      <c r="B687" s="218" t="s">
        <v>200</v>
      </c>
      <c r="C687" s="219" t="str">
        <f t="shared" si="1"/>
        <v>MS/2202/2025</v>
      </c>
      <c r="D687" s="218" t="b">
        <v>1</v>
      </c>
      <c r="E687" s="218" t="b">
        <v>0</v>
      </c>
      <c r="F687" s="234">
        <v>45999.0</v>
      </c>
      <c r="G687" s="173"/>
      <c r="H687" s="157" t="s">
        <v>6464</v>
      </c>
      <c r="I687" s="157">
        <f t="shared" si="3"/>
        <v>2202</v>
      </c>
      <c r="J687" s="157">
        <v>2025.0</v>
      </c>
    </row>
    <row r="688">
      <c r="A688" s="218">
        <f t="shared" si="2"/>
        <v>685</v>
      </c>
      <c r="B688" s="218" t="s">
        <v>200</v>
      </c>
      <c r="C688" s="219" t="str">
        <f t="shared" si="1"/>
        <v>MS/2203/2025</v>
      </c>
      <c r="D688" s="218" t="b">
        <v>1</v>
      </c>
      <c r="E688" s="218" t="b">
        <v>0</v>
      </c>
      <c r="F688" s="234">
        <v>45999.0</v>
      </c>
      <c r="G688" s="173"/>
      <c r="H688" s="157" t="s">
        <v>6464</v>
      </c>
      <c r="I688" s="157">
        <f t="shared" si="3"/>
        <v>2203</v>
      </c>
      <c r="J688" s="157">
        <v>2025.0</v>
      </c>
    </row>
    <row r="689">
      <c r="A689" s="218">
        <f t="shared" si="2"/>
        <v>686</v>
      </c>
      <c r="B689" s="218" t="s">
        <v>200</v>
      </c>
      <c r="C689" s="219" t="str">
        <f t="shared" si="1"/>
        <v>MS/2204/2025</v>
      </c>
      <c r="D689" s="218" t="b">
        <v>1</v>
      </c>
      <c r="E689" s="218" t="b">
        <v>0</v>
      </c>
      <c r="F689" s="234">
        <v>45999.0</v>
      </c>
      <c r="G689" s="173"/>
      <c r="H689" s="157" t="s">
        <v>6464</v>
      </c>
      <c r="I689" s="157">
        <f t="shared" si="3"/>
        <v>2204</v>
      </c>
      <c r="J689" s="157">
        <v>2025.0</v>
      </c>
    </row>
    <row r="690">
      <c r="A690" s="218">
        <f t="shared" si="2"/>
        <v>687</v>
      </c>
      <c r="B690" s="218" t="s">
        <v>200</v>
      </c>
      <c r="C690" s="219" t="str">
        <f t="shared" si="1"/>
        <v>MS/2205/2025</v>
      </c>
      <c r="D690" s="218" t="b">
        <v>1</v>
      </c>
      <c r="E690" s="218" t="b">
        <v>0</v>
      </c>
      <c r="F690" s="234">
        <v>45999.0</v>
      </c>
      <c r="G690" s="173"/>
      <c r="H690" s="157" t="s">
        <v>6464</v>
      </c>
      <c r="I690" s="157">
        <f t="shared" si="3"/>
        <v>2205</v>
      </c>
      <c r="J690" s="157">
        <v>2025.0</v>
      </c>
    </row>
    <row r="691">
      <c r="A691" s="218">
        <f t="shared" si="2"/>
        <v>688</v>
      </c>
      <c r="B691" s="218" t="s">
        <v>200</v>
      </c>
      <c r="C691" s="219" t="str">
        <f t="shared" si="1"/>
        <v>MS/2206/2025</v>
      </c>
      <c r="D691" s="218" t="b">
        <v>1</v>
      </c>
      <c r="E691" s="218" t="b">
        <v>0</v>
      </c>
      <c r="F691" s="234">
        <v>45999.0</v>
      </c>
      <c r="G691" s="173"/>
      <c r="H691" s="157" t="s">
        <v>6464</v>
      </c>
      <c r="I691" s="157">
        <f t="shared" si="3"/>
        <v>2206</v>
      </c>
      <c r="J691" s="157">
        <v>2025.0</v>
      </c>
    </row>
    <row r="692">
      <c r="A692" s="218">
        <f t="shared" si="2"/>
        <v>689</v>
      </c>
      <c r="B692" s="218" t="s">
        <v>200</v>
      </c>
      <c r="C692" s="219" t="str">
        <f t="shared" si="1"/>
        <v>MS/2207/2025</v>
      </c>
      <c r="D692" s="218" t="b">
        <v>1</v>
      </c>
      <c r="E692" s="218" t="b">
        <v>0</v>
      </c>
      <c r="F692" s="234">
        <v>45999.0</v>
      </c>
      <c r="G692" s="173"/>
      <c r="H692" s="157" t="s">
        <v>6464</v>
      </c>
      <c r="I692" s="157">
        <f t="shared" si="3"/>
        <v>2207</v>
      </c>
      <c r="J692" s="157">
        <v>2025.0</v>
      </c>
    </row>
    <row r="693">
      <c r="A693" s="218">
        <f t="shared" si="2"/>
        <v>690</v>
      </c>
      <c r="B693" s="218" t="s">
        <v>200</v>
      </c>
      <c r="C693" s="219" t="str">
        <f t="shared" si="1"/>
        <v>MS/2208/2025</v>
      </c>
      <c r="D693" s="218" t="b">
        <v>1</v>
      </c>
      <c r="E693" s="218" t="b">
        <v>0</v>
      </c>
      <c r="F693" s="234">
        <v>45999.0</v>
      </c>
      <c r="G693" s="173"/>
      <c r="H693" s="157" t="s">
        <v>6464</v>
      </c>
      <c r="I693" s="157">
        <f t="shared" si="3"/>
        <v>2208</v>
      </c>
      <c r="J693" s="157">
        <v>2025.0</v>
      </c>
    </row>
    <row r="694">
      <c r="A694" s="218">
        <f t="shared" si="2"/>
        <v>691</v>
      </c>
      <c r="B694" s="218" t="s">
        <v>200</v>
      </c>
      <c r="C694" s="219" t="str">
        <f t="shared" si="1"/>
        <v>MS/2209/2025</v>
      </c>
      <c r="D694" s="218" t="b">
        <v>1</v>
      </c>
      <c r="E694" s="218" t="b">
        <v>0</v>
      </c>
      <c r="F694" s="234">
        <v>45999.0</v>
      </c>
      <c r="G694" s="173"/>
      <c r="H694" s="157" t="s">
        <v>6464</v>
      </c>
      <c r="I694" s="157">
        <f t="shared" si="3"/>
        <v>2209</v>
      </c>
      <c r="J694" s="157">
        <v>2025.0</v>
      </c>
    </row>
    <row r="695">
      <c r="A695" s="218">
        <f t="shared" si="2"/>
        <v>692</v>
      </c>
      <c r="B695" s="218" t="s">
        <v>200</v>
      </c>
      <c r="C695" s="219" t="str">
        <f t="shared" si="1"/>
        <v>MS/2210/2025</v>
      </c>
      <c r="D695" s="218" t="b">
        <v>1</v>
      </c>
      <c r="E695" s="218" t="b">
        <v>0</v>
      </c>
      <c r="F695" s="234">
        <v>45999.0</v>
      </c>
      <c r="G695" s="173"/>
      <c r="H695" s="157" t="s">
        <v>6464</v>
      </c>
      <c r="I695" s="157">
        <f t="shared" si="3"/>
        <v>2210</v>
      </c>
      <c r="J695" s="157">
        <v>2025.0</v>
      </c>
    </row>
    <row r="696">
      <c r="A696" s="218">
        <f t="shared" si="2"/>
        <v>693</v>
      </c>
      <c r="B696" s="218" t="s">
        <v>200</v>
      </c>
      <c r="C696" s="219" t="str">
        <f t="shared" si="1"/>
        <v>MS/2211/2025</v>
      </c>
      <c r="D696" s="218" t="b">
        <v>1</v>
      </c>
      <c r="E696" s="218" t="b">
        <v>0</v>
      </c>
      <c r="F696" s="234">
        <v>45999.0</v>
      </c>
      <c r="G696" s="173"/>
      <c r="H696" s="157" t="s">
        <v>6464</v>
      </c>
      <c r="I696" s="157">
        <f t="shared" si="3"/>
        <v>2211</v>
      </c>
      <c r="J696" s="157">
        <v>2025.0</v>
      </c>
    </row>
    <row r="697">
      <c r="A697" s="218">
        <f t="shared" si="2"/>
        <v>694</v>
      </c>
      <c r="B697" s="218" t="s">
        <v>200</v>
      </c>
      <c r="C697" s="219" t="str">
        <f t="shared" si="1"/>
        <v>MS/2212/2025</v>
      </c>
      <c r="D697" s="218" t="b">
        <v>1</v>
      </c>
      <c r="E697" s="218" t="b">
        <v>0</v>
      </c>
      <c r="F697" s="234">
        <v>45999.0</v>
      </c>
      <c r="G697" s="173"/>
      <c r="H697" s="157" t="s">
        <v>6464</v>
      </c>
      <c r="I697" s="157">
        <f t="shared" si="3"/>
        <v>2212</v>
      </c>
      <c r="J697" s="157">
        <v>2025.0</v>
      </c>
    </row>
    <row r="698">
      <c r="A698" s="218">
        <f t="shared" si="2"/>
        <v>695</v>
      </c>
      <c r="B698" s="218" t="s">
        <v>200</v>
      </c>
      <c r="C698" s="219" t="str">
        <f t="shared" si="1"/>
        <v>MS/2213/2025</v>
      </c>
      <c r="D698" s="218" t="b">
        <v>1</v>
      </c>
      <c r="E698" s="218" t="b">
        <v>0</v>
      </c>
      <c r="F698" s="234">
        <v>45999.0</v>
      </c>
      <c r="G698" s="173"/>
      <c r="H698" s="157" t="s">
        <v>6464</v>
      </c>
      <c r="I698" s="157">
        <f t="shared" si="3"/>
        <v>2213</v>
      </c>
      <c r="J698" s="157">
        <v>2025.0</v>
      </c>
    </row>
    <row r="699">
      <c r="A699" s="218">
        <f t="shared" si="2"/>
        <v>696</v>
      </c>
      <c r="B699" s="218" t="s">
        <v>200</v>
      </c>
      <c r="C699" s="245" t="str">
        <f t="shared" si="1"/>
        <v>MS/2214/2026</v>
      </c>
      <c r="D699" s="246" t="b">
        <v>1</v>
      </c>
      <c r="E699" s="246" t="b">
        <v>0</v>
      </c>
      <c r="F699" s="247">
        <v>46079.0</v>
      </c>
      <c r="G699" s="248"/>
      <c r="H699" s="249" t="s">
        <v>6464</v>
      </c>
      <c r="I699" s="249">
        <f t="shared" si="3"/>
        <v>2214</v>
      </c>
      <c r="J699" s="249">
        <v>2026.0</v>
      </c>
    </row>
    <row r="700">
      <c r="A700" s="218">
        <f t="shared" si="2"/>
        <v>697</v>
      </c>
      <c r="B700" s="218" t="s">
        <v>200</v>
      </c>
      <c r="C700" s="219" t="str">
        <f t="shared" si="1"/>
        <v>MS/2215/2026</v>
      </c>
      <c r="D700" s="218" t="b">
        <v>1</v>
      </c>
      <c r="E700" s="218" t="b">
        <v>0</v>
      </c>
      <c r="F700" s="234">
        <v>46079.0</v>
      </c>
      <c r="G700" s="173"/>
      <c r="H700" s="157" t="s">
        <v>6464</v>
      </c>
      <c r="I700" s="157">
        <f t="shared" si="3"/>
        <v>2215</v>
      </c>
      <c r="J700" s="157">
        <v>2026.0</v>
      </c>
    </row>
    <row r="701">
      <c r="A701" s="218">
        <f t="shared" si="2"/>
        <v>698</v>
      </c>
      <c r="B701" s="218" t="s">
        <v>200</v>
      </c>
      <c r="C701" s="219" t="str">
        <f t="shared" si="1"/>
        <v>MS/2216/2026</v>
      </c>
      <c r="D701" s="218" t="b">
        <v>1</v>
      </c>
      <c r="E701" s="218" t="b">
        <v>0</v>
      </c>
      <c r="F701" s="234">
        <v>46079.0</v>
      </c>
      <c r="G701" s="173"/>
      <c r="H701" s="157" t="s">
        <v>6464</v>
      </c>
      <c r="I701" s="157">
        <f t="shared" si="3"/>
        <v>2216</v>
      </c>
      <c r="J701" s="157">
        <v>2026.0</v>
      </c>
    </row>
    <row r="702">
      <c r="A702" s="218">
        <f t="shared" si="2"/>
        <v>699</v>
      </c>
      <c r="B702" s="218" t="s">
        <v>200</v>
      </c>
      <c r="C702" s="219" t="str">
        <f t="shared" si="1"/>
        <v>MS/2217/2026</v>
      </c>
      <c r="D702" s="218" t="b">
        <v>1</v>
      </c>
      <c r="E702" s="218" t="b">
        <v>0</v>
      </c>
      <c r="F702" s="234">
        <v>46079.0</v>
      </c>
      <c r="G702" s="173"/>
      <c r="H702" s="157" t="s">
        <v>6464</v>
      </c>
      <c r="I702" s="157">
        <f t="shared" si="3"/>
        <v>2217</v>
      </c>
      <c r="J702" s="157">
        <v>2026.0</v>
      </c>
    </row>
    <row r="703">
      <c r="A703" s="218">
        <f t="shared" si="2"/>
        <v>700</v>
      </c>
      <c r="B703" s="218" t="s">
        <v>200</v>
      </c>
      <c r="C703" s="219" t="str">
        <f t="shared" si="1"/>
        <v>MS/2218/2026</v>
      </c>
      <c r="D703" s="218" t="b">
        <v>1</v>
      </c>
      <c r="E703" s="218" t="b">
        <v>0</v>
      </c>
      <c r="F703" s="234">
        <v>46079.0</v>
      </c>
      <c r="G703" s="173"/>
      <c r="H703" s="157" t="s">
        <v>6464</v>
      </c>
      <c r="I703" s="157">
        <f t="shared" si="3"/>
        <v>2218</v>
      </c>
      <c r="J703" s="157">
        <v>2026.0</v>
      </c>
    </row>
    <row r="704">
      <c r="A704" s="218">
        <f t="shared" si="2"/>
        <v>701</v>
      </c>
      <c r="B704" s="218" t="s">
        <v>200</v>
      </c>
      <c r="C704" s="219" t="str">
        <f t="shared" si="1"/>
        <v>MS/2219/2026</v>
      </c>
      <c r="D704" s="218" t="b">
        <v>1</v>
      </c>
      <c r="E704" s="218" t="b">
        <v>0</v>
      </c>
      <c r="F704" s="234">
        <v>46079.0</v>
      </c>
      <c r="G704" s="173"/>
      <c r="H704" s="157" t="s">
        <v>6464</v>
      </c>
      <c r="I704" s="157">
        <f t="shared" si="3"/>
        <v>2219</v>
      </c>
      <c r="J704" s="157">
        <v>2026.0</v>
      </c>
    </row>
    <row r="705">
      <c r="A705" s="218">
        <f t="shared" si="2"/>
        <v>702</v>
      </c>
      <c r="B705" s="218" t="s">
        <v>200</v>
      </c>
      <c r="C705" s="219" t="str">
        <f t="shared" si="1"/>
        <v>MS/2220/2026</v>
      </c>
      <c r="D705" s="218" t="b">
        <v>1</v>
      </c>
      <c r="E705" s="218" t="b">
        <v>0</v>
      </c>
      <c r="F705" s="234">
        <v>46079.0</v>
      </c>
      <c r="G705" s="173"/>
      <c r="H705" s="157" t="s">
        <v>6464</v>
      </c>
      <c r="I705" s="157">
        <f t="shared" si="3"/>
        <v>2220</v>
      </c>
      <c r="J705" s="157">
        <v>2026.0</v>
      </c>
    </row>
    <row r="706">
      <c r="A706" s="218">
        <f t="shared" si="2"/>
        <v>703</v>
      </c>
      <c r="B706" s="218" t="s">
        <v>200</v>
      </c>
      <c r="C706" s="219" t="str">
        <f t="shared" si="1"/>
        <v>MS/2221/2026</v>
      </c>
      <c r="D706" s="218" t="b">
        <v>1</v>
      </c>
      <c r="E706" s="218" t="b">
        <v>0</v>
      </c>
      <c r="F706" s="234">
        <v>46079.0</v>
      </c>
      <c r="G706" s="173"/>
      <c r="H706" s="157" t="s">
        <v>6464</v>
      </c>
      <c r="I706" s="157">
        <f t="shared" si="3"/>
        <v>2221</v>
      </c>
      <c r="J706" s="157">
        <v>2026.0</v>
      </c>
    </row>
    <row r="707">
      <c r="A707" s="218">
        <f t="shared" si="2"/>
        <v>704</v>
      </c>
      <c r="B707" s="218" t="s">
        <v>200</v>
      </c>
      <c r="C707" s="219" t="str">
        <f t="shared" si="1"/>
        <v>MS/2222/2026</v>
      </c>
      <c r="D707" s="218" t="b">
        <v>1</v>
      </c>
      <c r="E707" s="218" t="b">
        <v>0</v>
      </c>
      <c r="F707" s="234">
        <v>46079.0</v>
      </c>
      <c r="G707" s="173"/>
      <c r="H707" s="157" t="s">
        <v>6464</v>
      </c>
      <c r="I707" s="157">
        <f t="shared" si="3"/>
        <v>2222</v>
      </c>
      <c r="J707" s="157">
        <v>2026.0</v>
      </c>
    </row>
    <row r="708">
      <c r="A708" s="218">
        <f t="shared" si="2"/>
        <v>705</v>
      </c>
      <c r="B708" s="218" t="s">
        <v>200</v>
      </c>
      <c r="C708" s="219" t="str">
        <f t="shared" si="1"/>
        <v>MS/2223/2026</v>
      </c>
      <c r="D708" s="218" t="b">
        <v>1</v>
      </c>
      <c r="E708" s="218" t="b">
        <v>0</v>
      </c>
      <c r="F708" s="234">
        <v>46079.0</v>
      </c>
      <c r="G708" s="173"/>
      <c r="H708" s="157" t="s">
        <v>6464</v>
      </c>
      <c r="I708" s="157">
        <f t="shared" si="3"/>
        <v>2223</v>
      </c>
      <c r="J708" s="157">
        <v>2026.0</v>
      </c>
    </row>
    <row r="709">
      <c r="A709" s="218">
        <f t="shared" si="2"/>
        <v>706</v>
      </c>
      <c r="B709" s="218" t="s">
        <v>200</v>
      </c>
      <c r="C709" s="219" t="str">
        <f t="shared" si="1"/>
        <v>MS/2224/2026</v>
      </c>
      <c r="D709" s="218" t="b">
        <v>1</v>
      </c>
      <c r="E709" s="218" t="b">
        <v>0</v>
      </c>
      <c r="F709" s="234">
        <v>46079.0</v>
      </c>
      <c r="G709" s="173"/>
      <c r="H709" s="157" t="s">
        <v>6464</v>
      </c>
      <c r="I709" s="157">
        <f t="shared" si="3"/>
        <v>2224</v>
      </c>
      <c r="J709" s="157">
        <v>2026.0</v>
      </c>
    </row>
    <row r="710">
      <c r="A710" s="218">
        <f t="shared" si="2"/>
        <v>707</v>
      </c>
      <c r="B710" s="218" t="s">
        <v>200</v>
      </c>
      <c r="C710" s="219" t="str">
        <f t="shared" si="1"/>
        <v>MS/2225/2026</v>
      </c>
      <c r="D710" s="218" t="b">
        <v>1</v>
      </c>
      <c r="E710" s="218" t="b">
        <v>0</v>
      </c>
      <c r="F710" s="234">
        <v>46079.0</v>
      </c>
      <c r="G710" s="173"/>
      <c r="H710" s="157" t="s">
        <v>6464</v>
      </c>
      <c r="I710" s="157">
        <f t="shared" si="3"/>
        <v>2225</v>
      </c>
      <c r="J710" s="157">
        <v>2026.0</v>
      </c>
    </row>
    <row r="711">
      <c r="A711" s="218">
        <f t="shared" si="2"/>
        <v>708</v>
      </c>
      <c r="B711" s="218" t="s">
        <v>200</v>
      </c>
      <c r="C711" s="219" t="str">
        <f t="shared" si="1"/>
        <v>MS/2226/2026</v>
      </c>
      <c r="D711" s="218" t="b">
        <v>1</v>
      </c>
      <c r="E711" s="218" t="b">
        <v>0</v>
      </c>
      <c r="F711" s="234">
        <v>46079.0</v>
      </c>
      <c r="G711" s="173"/>
      <c r="H711" s="157" t="s">
        <v>6464</v>
      </c>
      <c r="I711" s="157">
        <f t="shared" si="3"/>
        <v>2226</v>
      </c>
      <c r="J711" s="157">
        <v>2026.0</v>
      </c>
    </row>
    <row r="712">
      <c r="A712" s="218">
        <f t="shared" si="2"/>
        <v>709</v>
      </c>
      <c r="B712" s="218" t="s">
        <v>200</v>
      </c>
      <c r="C712" s="219" t="str">
        <f t="shared" si="1"/>
        <v>MS/2227/2026</v>
      </c>
      <c r="D712" s="218" t="b">
        <v>1</v>
      </c>
      <c r="E712" s="218" t="b">
        <v>0</v>
      </c>
      <c r="F712" s="234">
        <v>46079.0</v>
      </c>
      <c r="G712" s="173"/>
      <c r="H712" s="157" t="s">
        <v>6464</v>
      </c>
      <c r="I712" s="157">
        <f t="shared" si="3"/>
        <v>2227</v>
      </c>
      <c r="J712" s="157">
        <v>2026.0</v>
      </c>
    </row>
    <row r="713">
      <c r="A713" s="218">
        <f t="shared" si="2"/>
        <v>710</v>
      </c>
      <c r="B713" s="218" t="s">
        <v>200</v>
      </c>
      <c r="C713" s="219" t="str">
        <f t="shared" si="1"/>
        <v>MS/2228/2026</v>
      </c>
      <c r="D713" s="218" t="b">
        <v>1</v>
      </c>
      <c r="E713" s="218" t="b">
        <v>0</v>
      </c>
      <c r="F713" s="234">
        <v>46079.0</v>
      </c>
      <c r="G713" s="173"/>
      <c r="H713" s="157" t="s">
        <v>6464</v>
      </c>
      <c r="I713" s="157">
        <f t="shared" si="3"/>
        <v>2228</v>
      </c>
      <c r="J713" s="157">
        <v>2026.0</v>
      </c>
    </row>
    <row r="714">
      <c r="A714" s="218">
        <f t="shared" si="2"/>
        <v>711</v>
      </c>
      <c r="B714" s="218" t="s">
        <v>200</v>
      </c>
      <c r="C714" s="219" t="str">
        <f t="shared" si="1"/>
        <v>MS/2229/2026</v>
      </c>
      <c r="D714" s="218" t="b">
        <v>1</v>
      </c>
      <c r="E714" s="218" t="b">
        <v>0</v>
      </c>
      <c r="F714" s="234">
        <v>46079.0</v>
      </c>
      <c r="G714" s="173"/>
      <c r="H714" s="157" t="s">
        <v>6464</v>
      </c>
      <c r="I714" s="157">
        <f t="shared" si="3"/>
        <v>2229</v>
      </c>
      <c r="J714" s="157">
        <v>2026.0</v>
      </c>
    </row>
    <row r="715">
      <c r="A715" s="218">
        <f t="shared" si="2"/>
        <v>712</v>
      </c>
      <c r="B715" s="218" t="s">
        <v>200</v>
      </c>
      <c r="C715" s="219" t="str">
        <f t="shared" si="1"/>
        <v>MS/2230/2026</v>
      </c>
      <c r="D715" s="218" t="b">
        <v>1</v>
      </c>
      <c r="E715" s="218" t="b">
        <v>0</v>
      </c>
      <c r="F715" s="234">
        <v>46079.0</v>
      </c>
      <c r="G715" s="173"/>
      <c r="H715" s="157" t="s">
        <v>6464</v>
      </c>
      <c r="I715" s="157">
        <f t="shared" si="3"/>
        <v>2230</v>
      </c>
      <c r="J715" s="157">
        <v>2026.0</v>
      </c>
    </row>
    <row r="716">
      <c r="A716" s="218">
        <f t="shared" si="2"/>
        <v>713</v>
      </c>
      <c r="B716" s="218" t="s">
        <v>200</v>
      </c>
      <c r="C716" s="219" t="str">
        <f t="shared" si="1"/>
        <v>MS/2231/2026</v>
      </c>
      <c r="D716" s="218" t="b">
        <v>1</v>
      </c>
      <c r="E716" s="218" t="b">
        <v>0</v>
      </c>
      <c r="F716" s="234">
        <v>46079.0</v>
      </c>
      <c r="G716" s="173"/>
      <c r="H716" s="157" t="s">
        <v>6464</v>
      </c>
      <c r="I716" s="157">
        <f t="shared" si="3"/>
        <v>2231</v>
      </c>
      <c r="J716" s="157">
        <v>2026.0</v>
      </c>
    </row>
    <row r="717">
      <c r="A717" s="218">
        <f t="shared" si="2"/>
        <v>714</v>
      </c>
      <c r="B717" s="218" t="s">
        <v>200</v>
      </c>
      <c r="C717" s="219" t="str">
        <f t="shared" si="1"/>
        <v>MS/2232/2026</v>
      </c>
      <c r="D717" s="218" t="b">
        <v>1</v>
      </c>
      <c r="E717" s="218" t="b">
        <v>0</v>
      </c>
      <c r="F717" s="234">
        <v>46079.0</v>
      </c>
      <c r="G717" s="173"/>
      <c r="H717" s="157" t="s">
        <v>6464</v>
      </c>
      <c r="I717" s="157">
        <f t="shared" si="3"/>
        <v>2232</v>
      </c>
      <c r="J717" s="157">
        <v>2026.0</v>
      </c>
    </row>
    <row r="718">
      <c r="A718" s="218">
        <f t="shared" si="2"/>
        <v>715</v>
      </c>
      <c r="B718" s="218" t="s">
        <v>200</v>
      </c>
      <c r="C718" s="219" t="str">
        <f t="shared" si="1"/>
        <v>MS/2233/2026</v>
      </c>
      <c r="D718" s="218" t="b">
        <v>1</v>
      </c>
      <c r="E718" s="218" t="b">
        <v>0</v>
      </c>
      <c r="F718" s="234">
        <v>46079.0</v>
      </c>
      <c r="G718" s="173"/>
      <c r="H718" s="157" t="s">
        <v>6464</v>
      </c>
      <c r="I718" s="157">
        <f t="shared" si="3"/>
        <v>2233</v>
      </c>
      <c r="J718" s="157">
        <v>2026.0</v>
      </c>
    </row>
    <row r="719">
      <c r="A719" s="218">
        <f t="shared" si="2"/>
        <v>716</v>
      </c>
      <c r="B719" s="218" t="s">
        <v>200</v>
      </c>
      <c r="C719" s="219" t="str">
        <f t="shared" si="1"/>
        <v>MS/2234/2026</v>
      </c>
      <c r="D719" s="218" t="b">
        <v>1</v>
      </c>
      <c r="E719" s="218" t="b">
        <v>0</v>
      </c>
      <c r="F719" s="234">
        <v>46079.0</v>
      </c>
      <c r="G719" s="173"/>
      <c r="H719" s="157" t="s">
        <v>6464</v>
      </c>
      <c r="I719" s="157">
        <f t="shared" si="3"/>
        <v>2234</v>
      </c>
      <c r="J719" s="157">
        <v>2026.0</v>
      </c>
    </row>
    <row r="720">
      <c r="A720" s="218">
        <f t="shared" si="2"/>
        <v>717</v>
      </c>
      <c r="B720" s="218" t="s">
        <v>200</v>
      </c>
      <c r="C720" s="219" t="str">
        <f t="shared" si="1"/>
        <v>MS/2235/2026</v>
      </c>
      <c r="D720" s="218" t="b">
        <v>1</v>
      </c>
      <c r="E720" s="218" t="b">
        <v>0</v>
      </c>
      <c r="F720" s="234">
        <v>46079.0</v>
      </c>
      <c r="G720" s="173"/>
      <c r="H720" s="157" t="s">
        <v>6464</v>
      </c>
      <c r="I720" s="157">
        <f t="shared" si="3"/>
        <v>2235</v>
      </c>
      <c r="J720" s="157">
        <v>2026.0</v>
      </c>
    </row>
    <row r="721">
      <c r="A721" s="218">
        <f t="shared" si="2"/>
        <v>718</v>
      </c>
      <c r="B721" s="218" t="s">
        <v>200</v>
      </c>
      <c r="C721" s="219" t="str">
        <f t="shared" si="1"/>
        <v>MS/2236/2026</v>
      </c>
      <c r="D721" s="218" t="b">
        <v>1</v>
      </c>
      <c r="E721" s="218" t="b">
        <v>0</v>
      </c>
      <c r="F721" s="234">
        <v>46079.0</v>
      </c>
      <c r="G721" s="173"/>
      <c r="H721" s="157" t="s">
        <v>6464</v>
      </c>
      <c r="I721" s="157">
        <f t="shared" si="3"/>
        <v>2236</v>
      </c>
      <c r="J721" s="157">
        <v>2026.0</v>
      </c>
    </row>
    <row r="722">
      <c r="A722" s="218">
        <f t="shared" si="2"/>
        <v>719</v>
      </c>
      <c r="B722" s="218" t="s">
        <v>200</v>
      </c>
      <c r="C722" s="219" t="str">
        <f t="shared" si="1"/>
        <v>MS/2237/2026</v>
      </c>
      <c r="D722" s="218" t="b">
        <v>1</v>
      </c>
      <c r="E722" s="218" t="b">
        <v>0</v>
      </c>
      <c r="F722" s="234">
        <v>46079.0</v>
      </c>
      <c r="G722" s="173"/>
      <c r="H722" s="157" t="s">
        <v>6464</v>
      </c>
      <c r="I722" s="157">
        <f t="shared" si="3"/>
        <v>2237</v>
      </c>
      <c r="J722" s="157">
        <v>2026.0</v>
      </c>
    </row>
    <row r="723">
      <c r="A723" s="218">
        <f t="shared" si="2"/>
        <v>720</v>
      </c>
      <c r="B723" s="218" t="s">
        <v>200</v>
      </c>
      <c r="C723" s="219" t="str">
        <f t="shared" si="1"/>
        <v>MS/2238/2026</v>
      </c>
      <c r="D723" s="218" t="b">
        <v>1</v>
      </c>
      <c r="E723" s="218" t="b">
        <v>0</v>
      </c>
      <c r="F723" s="234">
        <v>46079.0</v>
      </c>
      <c r="G723" s="173"/>
      <c r="H723" s="157" t="s">
        <v>6464</v>
      </c>
      <c r="I723" s="157">
        <f t="shared" si="3"/>
        <v>2238</v>
      </c>
      <c r="J723" s="157">
        <v>2026.0</v>
      </c>
    </row>
    <row r="724">
      <c r="A724" s="218">
        <f t="shared" si="2"/>
        <v>721</v>
      </c>
      <c r="B724" s="218" t="s">
        <v>200</v>
      </c>
      <c r="C724" s="219" t="str">
        <f t="shared" si="1"/>
        <v>MS/2239/2026</v>
      </c>
      <c r="D724" s="218" t="b">
        <v>1</v>
      </c>
      <c r="E724" s="218" t="b">
        <v>0</v>
      </c>
      <c r="F724" s="234">
        <v>46079.0</v>
      </c>
      <c r="G724" s="173"/>
      <c r="H724" s="157" t="s">
        <v>6464</v>
      </c>
      <c r="I724" s="157">
        <f t="shared" si="3"/>
        <v>2239</v>
      </c>
      <c r="J724" s="157">
        <v>2026.0</v>
      </c>
    </row>
    <row r="725">
      <c r="A725" s="218">
        <f t="shared" si="2"/>
        <v>722</v>
      </c>
      <c r="B725" s="218" t="s">
        <v>200</v>
      </c>
      <c r="C725" s="219" t="str">
        <f t="shared" si="1"/>
        <v>MS/2240/2026</v>
      </c>
      <c r="D725" s="218" t="b">
        <v>1</v>
      </c>
      <c r="E725" s="218" t="b">
        <v>0</v>
      </c>
      <c r="F725" s="234">
        <v>46079.0</v>
      </c>
      <c r="G725" s="173"/>
      <c r="H725" s="157" t="s">
        <v>6464</v>
      </c>
      <c r="I725" s="157">
        <f t="shared" si="3"/>
        <v>2240</v>
      </c>
      <c r="J725" s="157">
        <v>2026.0</v>
      </c>
    </row>
    <row r="726">
      <c r="A726" s="218">
        <f t="shared" si="2"/>
        <v>723</v>
      </c>
      <c r="B726" s="218" t="s">
        <v>200</v>
      </c>
      <c r="C726" s="219" t="str">
        <f t="shared" si="1"/>
        <v>MS/2241/2026</v>
      </c>
      <c r="D726" s="218" t="b">
        <v>1</v>
      </c>
      <c r="E726" s="218" t="b">
        <v>0</v>
      </c>
      <c r="F726" s="234">
        <v>46079.0</v>
      </c>
      <c r="G726" s="173"/>
      <c r="H726" s="157" t="s">
        <v>6464</v>
      </c>
      <c r="I726" s="157">
        <f t="shared" si="3"/>
        <v>2241</v>
      </c>
      <c r="J726" s="157">
        <v>2026.0</v>
      </c>
    </row>
    <row r="727">
      <c r="A727" s="218">
        <f t="shared" si="2"/>
        <v>724</v>
      </c>
      <c r="B727" s="218" t="s">
        <v>200</v>
      </c>
      <c r="C727" s="219" t="str">
        <f t="shared" si="1"/>
        <v>MS/2242/2026</v>
      </c>
      <c r="D727" s="218" t="b">
        <v>1</v>
      </c>
      <c r="E727" s="218" t="b">
        <v>0</v>
      </c>
      <c r="F727" s="234">
        <v>46079.0</v>
      </c>
      <c r="G727" s="173"/>
      <c r="H727" s="157" t="s">
        <v>6464</v>
      </c>
      <c r="I727" s="157">
        <f t="shared" si="3"/>
        <v>2242</v>
      </c>
      <c r="J727" s="157">
        <v>2026.0</v>
      </c>
    </row>
    <row r="728">
      <c r="A728" s="218">
        <f t="shared" si="2"/>
        <v>725</v>
      </c>
      <c r="B728" s="218" t="s">
        <v>200</v>
      </c>
      <c r="C728" s="219" t="str">
        <f t="shared" si="1"/>
        <v>MS/2243/2026</v>
      </c>
      <c r="D728" s="218" t="b">
        <v>1</v>
      </c>
      <c r="E728" s="218" t="b">
        <v>0</v>
      </c>
      <c r="F728" s="234">
        <v>46079.0</v>
      </c>
      <c r="G728" s="173"/>
      <c r="H728" s="157" t="s">
        <v>6464</v>
      </c>
      <c r="I728" s="157">
        <f t="shared" si="3"/>
        <v>2243</v>
      </c>
      <c r="J728" s="157">
        <v>2026.0</v>
      </c>
    </row>
    <row r="729">
      <c r="A729" s="218">
        <f t="shared" si="2"/>
        <v>726</v>
      </c>
      <c r="B729" s="218" t="s">
        <v>200</v>
      </c>
      <c r="C729" s="219" t="str">
        <f t="shared" si="1"/>
        <v>MS/2244/2026</v>
      </c>
      <c r="D729" s="218" t="b">
        <v>1</v>
      </c>
      <c r="E729" s="218" t="b">
        <v>0</v>
      </c>
      <c r="F729" s="234">
        <v>46079.0</v>
      </c>
      <c r="G729" s="173"/>
      <c r="H729" s="157" t="s">
        <v>6464</v>
      </c>
      <c r="I729" s="157">
        <f t="shared" si="3"/>
        <v>2244</v>
      </c>
      <c r="J729" s="157">
        <v>2026.0</v>
      </c>
    </row>
    <row r="730">
      <c r="A730" s="218">
        <f t="shared" si="2"/>
        <v>727</v>
      </c>
      <c r="B730" s="218" t="s">
        <v>200</v>
      </c>
      <c r="C730" s="219" t="str">
        <f t="shared" si="1"/>
        <v>MS/2245/2026</v>
      </c>
      <c r="D730" s="218" t="b">
        <v>1</v>
      </c>
      <c r="E730" s="218" t="b">
        <v>0</v>
      </c>
      <c r="F730" s="234">
        <v>46079.0</v>
      </c>
      <c r="G730" s="173"/>
      <c r="H730" s="157" t="s">
        <v>6464</v>
      </c>
      <c r="I730" s="157">
        <f t="shared" si="3"/>
        <v>2245</v>
      </c>
      <c r="J730" s="157">
        <v>2026.0</v>
      </c>
    </row>
    <row r="731">
      <c r="A731" s="218">
        <f t="shared" si="2"/>
        <v>728</v>
      </c>
      <c r="B731" s="218" t="s">
        <v>200</v>
      </c>
      <c r="C731" s="219" t="str">
        <f t="shared" si="1"/>
        <v>MS/2246/2026</v>
      </c>
      <c r="D731" s="218" t="b">
        <v>1</v>
      </c>
      <c r="E731" s="218" t="b">
        <v>0</v>
      </c>
      <c r="F731" s="234">
        <v>46079.0</v>
      </c>
      <c r="G731" s="173"/>
      <c r="H731" s="157" t="s">
        <v>6464</v>
      </c>
      <c r="I731" s="157">
        <f t="shared" si="3"/>
        <v>2246</v>
      </c>
      <c r="J731" s="157">
        <v>2026.0</v>
      </c>
    </row>
    <row r="732">
      <c r="A732" s="218">
        <f t="shared" si="2"/>
        <v>729</v>
      </c>
      <c r="B732" s="218" t="s">
        <v>200</v>
      </c>
      <c r="C732" s="219" t="str">
        <f t="shared" si="1"/>
        <v>MS/2247/2026</v>
      </c>
      <c r="D732" s="218" t="b">
        <v>1</v>
      </c>
      <c r="E732" s="218" t="b">
        <v>0</v>
      </c>
      <c r="F732" s="234">
        <v>46079.0</v>
      </c>
      <c r="G732" s="173"/>
      <c r="H732" s="157" t="s">
        <v>6464</v>
      </c>
      <c r="I732" s="157">
        <f t="shared" si="3"/>
        <v>2247</v>
      </c>
      <c r="J732" s="157">
        <v>2026.0</v>
      </c>
    </row>
    <row r="733">
      <c r="A733" s="218">
        <f t="shared" si="2"/>
        <v>730</v>
      </c>
      <c r="B733" s="218" t="s">
        <v>200</v>
      </c>
      <c r="C733" s="219" t="str">
        <f t="shared" si="1"/>
        <v>MS/2248/2026</v>
      </c>
      <c r="D733" s="218" t="b">
        <v>1</v>
      </c>
      <c r="E733" s="218" t="b">
        <v>0</v>
      </c>
      <c r="F733" s="234">
        <v>46079.0</v>
      </c>
      <c r="G733" s="173"/>
      <c r="H733" s="157" t="s">
        <v>6464</v>
      </c>
      <c r="I733" s="157">
        <f t="shared" si="3"/>
        <v>2248</v>
      </c>
      <c r="J733" s="157">
        <v>2026.0</v>
      </c>
    </row>
    <row r="734">
      <c r="A734" s="218">
        <f t="shared" si="2"/>
        <v>731</v>
      </c>
      <c r="B734" s="218" t="s">
        <v>200</v>
      </c>
      <c r="C734" s="219" t="str">
        <f t="shared" si="1"/>
        <v>MS/2249/2026</v>
      </c>
      <c r="D734" s="218" t="b">
        <v>1</v>
      </c>
      <c r="E734" s="218" t="b">
        <v>0</v>
      </c>
      <c r="F734" s="234">
        <v>46079.0</v>
      </c>
      <c r="G734" s="173"/>
      <c r="H734" s="157" t="s">
        <v>6464</v>
      </c>
      <c r="I734" s="157">
        <f t="shared" si="3"/>
        <v>2249</v>
      </c>
      <c r="J734" s="157">
        <v>2026.0</v>
      </c>
    </row>
    <row r="735">
      <c r="A735" s="218">
        <f t="shared" si="2"/>
        <v>732</v>
      </c>
      <c r="B735" s="218" t="s">
        <v>200</v>
      </c>
      <c r="C735" s="219" t="str">
        <f t="shared" si="1"/>
        <v>MS/2250/2026</v>
      </c>
      <c r="D735" s="218" t="b">
        <v>1</v>
      </c>
      <c r="E735" s="218" t="b">
        <v>0</v>
      </c>
      <c r="F735" s="234">
        <v>46079.0</v>
      </c>
      <c r="G735" s="173"/>
      <c r="H735" s="157" t="s">
        <v>6464</v>
      </c>
      <c r="I735" s="157">
        <f t="shared" si="3"/>
        <v>2250</v>
      </c>
      <c r="J735" s="157">
        <v>2026.0</v>
      </c>
    </row>
    <row r="736">
      <c r="A736" s="218">
        <f t="shared" si="2"/>
        <v>733</v>
      </c>
      <c r="B736" s="218" t="s">
        <v>200</v>
      </c>
      <c r="C736" s="219" t="str">
        <f t="shared" si="1"/>
        <v>MS/2251/2026</v>
      </c>
      <c r="D736" s="218" t="b">
        <v>1</v>
      </c>
      <c r="E736" s="218" t="b">
        <v>0</v>
      </c>
      <c r="F736" s="234">
        <v>46079.0</v>
      </c>
      <c r="G736" s="173"/>
      <c r="H736" s="157" t="s">
        <v>6464</v>
      </c>
      <c r="I736" s="157">
        <f t="shared" si="3"/>
        <v>2251</v>
      </c>
      <c r="J736" s="157">
        <v>2026.0</v>
      </c>
    </row>
    <row r="737">
      <c r="A737" s="218">
        <f t="shared" si="2"/>
        <v>734</v>
      </c>
      <c r="B737" s="218" t="s">
        <v>200</v>
      </c>
      <c r="C737" s="219" t="str">
        <f t="shared" si="1"/>
        <v>MS/2252/2026</v>
      </c>
      <c r="D737" s="218" t="b">
        <v>1</v>
      </c>
      <c r="E737" s="218" t="b">
        <v>0</v>
      </c>
      <c r="F737" s="234">
        <v>46079.0</v>
      </c>
      <c r="G737" s="173"/>
      <c r="H737" s="157" t="s">
        <v>6464</v>
      </c>
      <c r="I737" s="157">
        <f t="shared" si="3"/>
        <v>2252</v>
      </c>
      <c r="J737" s="157">
        <v>2026.0</v>
      </c>
    </row>
    <row r="738">
      <c r="A738" s="218">
        <f t="shared" si="2"/>
        <v>735</v>
      </c>
      <c r="B738" s="218" t="s">
        <v>200</v>
      </c>
      <c r="C738" s="219" t="str">
        <f t="shared" si="1"/>
        <v>MS/2253/2026</v>
      </c>
      <c r="D738" s="218" t="b">
        <v>1</v>
      </c>
      <c r="E738" s="218" t="b">
        <v>0</v>
      </c>
      <c r="F738" s="234">
        <v>46079.0</v>
      </c>
      <c r="G738" s="173"/>
      <c r="H738" s="157" t="s">
        <v>6464</v>
      </c>
      <c r="I738" s="157">
        <f t="shared" si="3"/>
        <v>2253</v>
      </c>
      <c r="J738" s="157">
        <v>2026.0</v>
      </c>
    </row>
    <row r="739">
      <c r="A739" s="218">
        <f t="shared" si="2"/>
        <v>736</v>
      </c>
      <c r="B739" s="218" t="s">
        <v>200</v>
      </c>
      <c r="C739" s="219" t="str">
        <f t="shared" si="1"/>
        <v>MS/2254/2026</v>
      </c>
      <c r="D739" s="218" t="b">
        <v>1</v>
      </c>
      <c r="E739" s="218" t="b">
        <v>0</v>
      </c>
      <c r="F739" s="234">
        <v>46079.0</v>
      </c>
      <c r="G739" s="173"/>
      <c r="H739" s="157" t="s">
        <v>6464</v>
      </c>
      <c r="I739" s="157">
        <f t="shared" si="3"/>
        <v>2254</v>
      </c>
      <c r="J739" s="157">
        <v>2026.0</v>
      </c>
    </row>
    <row r="740">
      <c r="A740" s="218">
        <f t="shared" si="2"/>
        <v>737</v>
      </c>
      <c r="B740" s="218" t="s">
        <v>200</v>
      </c>
      <c r="C740" s="219" t="str">
        <f t="shared" si="1"/>
        <v>MS/2255/2026</v>
      </c>
      <c r="D740" s="218" t="b">
        <v>1</v>
      </c>
      <c r="E740" s="218" t="b">
        <v>0</v>
      </c>
      <c r="F740" s="234">
        <v>46079.0</v>
      </c>
      <c r="G740" s="173"/>
      <c r="H740" s="157" t="s">
        <v>6464</v>
      </c>
      <c r="I740" s="157">
        <f t="shared" si="3"/>
        <v>2255</v>
      </c>
      <c r="J740" s="157">
        <v>2026.0</v>
      </c>
    </row>
    <row r="741">
      <c r="A741" s="218">
        <f t="shared" si="2"/>
        <v>738</v>
      </c>
      <c r="B741" s="218" t="s">
        <v>200</v>
      </c>
      <c r="C741" s="219" t="str">
        <f t="shared" si="1"/>
        <v>MS/2256/2026</v>
      </c>
      <c r="D741" s="218" t="b">
        <v>1</v>
      </c>
      <c r="E741" s="218" t="b">
        <v>0</v>
      </c>
      <c r="F741" s="234">
        <v>46079.0</v>
      </c>
      <c r="G741" s="173"/>
      <c r="H741" s="157" t="s">
        <v>6464</v>
      </c>
      <c r="I741" s="157">
        <f t="shared" si="3"/>
        <v>2256</v>
      </c>
      <c r="J741" s="157">
        <v>2026.0</v>
      </c>
    </row>
    <row r="742">
      <c r="A742" s="218">
        <f t="shared" si="2"/>
        <v>739</v>
      </c>
      <c r="B742" s="218" t="s">
        <v>200</v>
      </c>
      <c r="C742" s="219" t="str">
        <f t="shared" si="1"/>
        <v>MS/2257/2026</v>
      </c>
      <c r="D742" s="218" t="b">
        <v>1</v>
      </c>
      <c r="E742" s="218" t="b">
        <v>0</v>
      </c>
      <c r="F742" s="234">
        <v>46079.0</v>
      </c>
      <c r="G742" s="173"/>
      <c r="H742" s="157" t="s">
        <v>6464</v>
      </c>
      <c r="I742" s="157">
        <f t="shared" si="3"/>
        <v>2257</v>
      </c>
      <c r="J742" s="157">
        <v>2026.0</v>
      </c>
    </row>
    <row r="743">
      <c r="A743" s="218">
        <f t="shared" si="2"/>
        <v>740</v>
      </c>
      <c r="B743" s="218" t="s">
        <v>200</v>
      </c>
      <c r="C743" s="219" t="str">
        <f t="shared" si="1"/>
        <v>MS/2258/2026</v>
      </c>
      <c r="D743" s="218" t="b">
        <v>1</v>
      </c>
      <c r="E743" s="218" t="b">
        <v>0</v>
      </c>
      <c r="F743" s="234">
        <v>46079.0</v>
      </c>
      <c r="G743" s="173"/>
      <c r="H743" s="157" t="s">
        <v>6464</v>
      </c>
      <c r="I743" s="157">
        <f t="shared" si="3"/>
        <v>2258</v>
      </c>
      <c r="J743" s="157">
        <v>2026.0</v>
      </c>
    </row>
    <row r="744">
      <c r="A744" s="218">
        <f t="shared" si="2"/>
        <v>741</v>
      </c>
      <c r="B744" s="218" t="s">
        <v>200</v>
      </c>
      <c r="C744" s="219" t="str">
        <f t="shared" si="1"/>
        <v>MS/2259/2026</v>
      </c>
      <c r="D744" s="218" t="b">
        <v>1</v>
      </c>
      <c r="E744" s="218" t="b">
        <v>0</v>
      </c>
      <c r="F744" s="234">
        <v>46079.0</v>
      </c>
      <c r="G744" s="173"/>
      <c r="H744" s="157" t="s">
        <v>6464</v>
      </c>
      <c r="I744" s="157">
        <f t="shared" si="3"/>
        <v>2259</v>
      </c>
      <c r="J744" s="157">
        <v>2026.0</v>
      </c>
    </row>
    <row r="745">
      <c r="A745" s="218">
        <f t="shared" si="2"/>
        <v>742</v>
      </c>
      <c r="B745" s="218" t="s">
        <v>200</v>
      </c>
      <c r="C745" s="219" t="str">
        <f t="shared" si="1"/>
        <v>MS/2260/2026</v>
      </c>
      <c r="D745" s="218" t="b">
        <v>1</v>
      </c>
      <c r="E745" s="218" t="b">
        <v>0</v>
      </c>
      <c r="F745" s="234">
        <v>46079.0</v>
      </c>
      <c r="G745" s="173"/>
      <c r="H745" s="157" t="s">
        <v>6464</v>
      </c>
      <c r="I745" s="157">
        <f t="shared" si="3"/>
        <v>2260</v>
      </c>
      <c r="J745" s="157">
        <v>2026.0</v>
      </c>
    </row>
    <row r="746">
      <c r="A746" s="218">
        <f t="shared" si="2"/>
        <v>743</v>
      </c>
      <c r="B746" s="218" t="s">
        <v>200</v>
      </c>
      <c r="C746" s="219" t="str">
        <f t="shared" si="1"/>
        <v>MS/2261/2026</v>
      </c>
      <c r="D746" s="218" t="b">
        <v>1</v>
      </c>
      <c r="E746" s="218" t="b">
        <v>0</v>
      </c>
      <c r="F746" s="234">
        <v>46079.0</v>
      </c>
      <c r="G746" s="173"/>
      <c r="H746" s="157" t="s">
        <v>6464</v>
      </c>
      <c r="I746" s="157">
        <f t="shared" si="3"/>
        <v>2261</v>
      </c>
      <c r="J746" s="157">
        <v>2026.0</v>
      </c>
    </row>
    <row r="747">
      <c r="A747" s="218">
        <f t="shared" si="2"/>
        <v>744</v>
      </c>
      <c r="B747" s="218" t="s">
        <v>200</v>
      </c>
      <c r="C747" s="219" t="str">
        <f t="shared" si="1"/>
        <v>MS/2262/2026</v>
      </c>
      <c r="D747" s="218" t="b">
        <v>1</v>
      </c>
      <c r="E747" s="218" t="b">
        <v>0</v>
      </c>
      <c r="F747" s="234">
        <v>46079.0</v>
      </c>
      <c r="G747" s="173"/>
      <c r="H747" s="157" t="s">
        <v>6464</v>
      </c>
      <c r="I747" s="157">
        <f t="shared" si="3"/>
        <v>2262</v>
      </c>
      <c r="J747" s="157">
        <v>2026.0</v>
      </c>
    </row>
    <row r="748">
      <c r="A748" s="218">
        <f t="shared" si="2"/>
        <v>745</v>
      </c>
      <c r="B748" s="218" t="s">
        <v>200</v>
      </c>
      <c r="C748" s="219" t="str">
        <f t="shared" si="1"/>
        <v>MS/2263/2026</v>
      </c>
      <c r="D748" s="218" t="b">
        <v>1</v>
      </c>
      <c r="E748" s="218" t="b">
        <v>0</v>
      </c>
      <c r="F748" s="234">
        <v>46079.0</v>
      </c>
      <c r="G748" s="173"/>
      <c r="H748" s="157" t="s">
        <v>6464</v>
      </c>
      <c r="I748" s="157">
        <f t="shared" si="3"/>
        <v>2263</v>
      </c>
      <c r="J748" s="157">
        <v>2026.0</v>
      </c>
    </row>
    <row r="749">
      <c r="A749" s="218">
        <f t="shared" si="2"/>
        <v>746</v>
      </c>
      <c r="B749" s="218" t="s">
        <v>200</v>
      </c>
      <c r="C749" s="219" t="str">
        <f t="shared" si="1"/>
        <v>MS/2264/2026</v>
      </c>
      <c r="D749" s="218" t="b">
        <v>1</v>
      </c>
      <c r="E749" s="219" t="b">
        <v>0</v>
      </c>
      <c r="F749" s="238">
        <v>46090.0</v>
      </c>
      <c r="G749" s="173"/>
      <c r="H749" s="157" t="s">
        <v>6464</v>
      </c>
      <c r="I749" s="157">
        <f t="shared" si="3"/>
        <v>2264</v>
      </c>
      <c r="J749" s="157">
        <v>2026.0</v>
      </c>
    </row>
    <row r="750">
      <c r="A750" s="218">
        <f t="shared" si="2"/>
        <v>747</v>
      </c>
      <c r="B750" s="218" t="s">
        <v>200</v>
      </c>
      <c r="C750" s="219" t="str">
        <f t="shared" si="1"/>
        <v>MS/2265/2026</v>
      </c>
      <c r="D750" s="218" t="b">
        <v>1</v>
      </c>
      <c r="E750" s="219" t="b">
        <v>0</v>
      </c>
      <c r="F750" s="238">
        <v>46090.0</v>
      </c>
      <c r="G750" s="173"/>
      <c r="H750" s="157" t="s">
        <v>6464</v>
      </c>
      <c r="I750" s="157">
        <f t="shared" si="3"/>
        <v>2265</v>
      </c>
      <c r="J750" s="157">
        <v>2026.0</v>
      </c>
    </row>
    <row r="751">
      <c r="A751" s="218">
        <f t="shared" si="2"/>
        <v>748</v>
      </c>
      <c r="B751" s="218" t="s">
        <v>200</v>
      </c>
      <c r="C751" s="219" t="str">
        <f t="shared" si="1"/>
        <v>MS/2266/2026</v>
      </c>
      <c r="D751" s="218" t="b">
        <v>1</v>
      </c>
      <c r="E751" s="219" t="b">
        <v>0</v>
      </c>
      <c r="F751" s="238">
        <v>46090.0</v>
      </c>
      <c r="G751" s="173"/>
      <c r="H751" s="157" t="s">
        <v>6464</v>
      </c>
      <c r="I751" s="157">
        <f t="shared" si="3"/>
        <v>2266</v>
      </c>
      <c r="J751" s="157">
        <v>2026.0</v>
      </c>
    </row>
    <row r="752">
      <c r="A752" s="218">
        <f t="shared" si="2"/>
        <v>749</v>
      </c>
      <c r="B752" s="218" t="s">
        <v>200</v>
      </c>
      <c r="C752" s="219" t="str">
        <f t="shared" si="1"/>
        <v>MS/2267/2026</v>
      </c>
      <c r="D752" s="218" t="b">
        <v>1</v>
      </c>
      <c r="E752" s="219" t="b">
        <v>0</v>
      </c>
      <c r="F752" s="238">
        <v>46090.0</v>
      </c>
      <c r="G752" s="173"/>
      <c r="H752" s="157" t="s">
        <v>6464</v>
      </c>
      <c r="I752" s="157">
        <f t="shared" si="3"/>
        <v>2267</v>
      </c>
      <c r="J752" s="157">
        <v>2026.0</v>
      </c>
    </row>
    <row r="753">
      <c r="A753" s="218">
        <f t="shared" si="2"/>
        <v>750</v>
      </c>
      <c r="B753" s="218" t="s">
        <v>200</v>
      </c>
      <c r="C753" s="219" t="str">
        <f t="shared" si="1"/>
        <v>MS/2268/2026</v>
      </c>
      <c r="D753" s="218" t="b">
        <v>1</v>
      </c>
      <c r="E753" s="219" t="b">
        <v>0</v>
      </c>
      <c r="F753" s="238">
        <v>46090.0</v>
      </c>
      <c r="G753" s="173"/>
      <c r="H753" s="157" t="s">
        <v>6464</v>
      </c>
      <c r="I753" s="157">
        <f t="shared" si="3"/>
        <v>2268</v>
      </c>
      <c r="J753" s="157">
        <v>2026.0</v>
      </c>
    </row>
    <row r="754">
      <c r="A754" s="218">
        <f t="shared" si="2"/>
        <v>751</v>
      </c>
      <c r="B754" s="218" t="s">
        <v>200</v>
      </c>
      <c r="C754" s="219" t="str">
        <f t="shared" si="1"/>
        <v>MS/2269/2026</v>
      </c>
      <c r="D754" s="218" t="b">
        <v>1</v>
      </c>
      <c r="E754" s="219" t="b">
        <v>0</v>
      </c>
      <c r="F754" s="238">
        <v>46090.0</v>
      </c>
      <c r="G754" s="173"/>
      <c r="H754" s="157" t="s">
        <v>6464</v>
      </c>
      <c r="I754" s="157">
        <f t="shared" si="3"/>
        <v>2269</v>
      </c>
      <c r="J754" s="157">
        <v>2026.0</v>
      </c>
    </row>
    <row r="755">
      <c r="A755" s="218">
        <f t="shared" si="2"/>
        <v>752</v>
      </c>
      <c r="B755" s="218" t="s">
        <v>200</v>
      </c>
      <c r="C755" s="219" t="str">
        <f t="shared" si="1"/>
        <v>MS/2270/2026</v>
      </c>
      <c r="D755" s="218" t="b">
        <v>1</v>
      </c>
      <c r="E755" s="219" t="b">
        <v>0</v>
      </c>
      <c r="F755" s="238">
        <v>46090.0</v>
      </c>
      <c r="G755" s="173"/>
      <c r="H755" s="157" t="s">
        <v>6464</v>
      </c>
      <c r="I755" s="157">
        <f t="shared" si="3"/>
        <v>2270</v>
      </c>
      <c r="J755" s="157">
        <v>2026.0</v>
      </c>
    </row>
    <row r="756">
      <c r="A756" s="218">
        <f t="shared" si="2"/>
        <v>753</v>
      </c>
      <c r="B756" s="218" t="s">
        <v>200</v>
      </c>
      <c r="C756" s="219" t="str">
        <f t="shared" si="1"/>
        <v>MS/2271/2026</v>
      </c>
      <c r="D756" s="218" t="b">
        <v>1</v>
      </c>
      <c r="E756" s="219" t="b">
        <v>0</v>
      </c>
      <c r="F756" s="238">
        <v>46090.0</v>
      </c>
      <c r="G756" s="173"/>
      <c r="H756" s="157" t="s">
        <v>6464</v>
      </c>
      <c r="I756" s="157">
        <f t="shared" si="3"/>
        <v>2271</v>
      </c>
      <c r="J756" s="157">
        <v>2026.0</v>
      </c>
    </row>
    <row r="757">
      <c r="A757" s="218">
        <f t="shared" si="2"/>
        <v>754</v>
      </c>
      <c r="B757" s="218" t="s">
        <v>200</v>
      </c>
      <c r="C757" s="219" t="str">
        <f t="shared" si="1"/>
        <v>MS/2272/2026</v>
      </c>
      <c r="D757" s="218" t="b">
        <v>1</v>
      </c>
      <c r="E757" s="219" t="b">
        <v>0</v>
      </c>
      <c r="F757" s="238">
        <v>46090.0</v>
      </c>
      <c r="G757" s="173"/>
      <c r="H757" s="157" t="s">
        <v>6464</v>
      </c>
      <c r="I757" s="157">
        <f t="shared" si="3"/>
        <v>2272</v>
      </c>
      <c r="J757" s="157">
        <v>2026.0</v>
      </c>
    </row>
    <row r="758">
      <c r="A758" s="218">
        <f t="shared" si="2"/>
        <v>755</v>
      </c>
      <c r="B758" s="218" t="s">
        <v>200</v>
      </c>
      <c r="C758" s="219" t="str">
        <f t="shared" si="1"/>
        <v>MS/2273/2026</v>
      </c>
      <c r="D758" s="218" t="b">
        <v>1</v>
      </c>
      <c r="E758" s="219" t="b">
        <v>0</v>
      </c>
      <c r="F758" s="238">
        <v>46090.0</v>
      </c>
      <c r="G758" s="173"/>
      <c r="H758" s="157" t="s">
        <v>6464</v>
      </c>
      <c r="I758" s="157">
        <f t="shared" si="3"/>
        <v>2273</v>
      </c>
      <c r="J758" s="157">
        <v>2026.0</v>
      </c>
    </row>
    <row r="759">
      <c r="A759" s="218">
        <f t="shared" si="2"/>
        <v>756</v>
      </c>
      <c r="B759" s="218" t="s">
        <v>200</v>
      </c>
      <c r="C759" s="219" t="str">
        <f t="shared" si="1"/>
        <v>MS/2274/2026</v>
      </c>
      <c r="D759" s="218" t="b">
        <v>1</v>
      </c>
      <c r="E759" s="219" t="b">
        <v>0</v>
      </c>
      <c r="F759" s="238">
        <v>46090.0</v>
      </c>
      <c r="G759" s="173"/>
      <c r="H759" s="157" t="s">
        <v>6464</v>
      </c>
      <c r="I759" s="157">
        <f t="shared" si="3"/>
        <v>2274</v>
      </c>
      <c r="J759" s="157">
        <v>2026.0</v>
      </c>
    </row>
    <row r="760">
      <c r="A760" s="218">
        <f t="shared" si="2"/>
        <v>757</v>
      </c>
      <c r="B760" s="218" t="s">
        <v>200</v>
      </c>
      <c r="C760" s="219" t="str">
        <f t="shared" si="1"/>
        <v>MS/2275/2026</v>
      </c>
      <c r="D760" s="218" t="b">
        <v>1</v>
      </c>
      <c r="E760" s="219" t="b">
        <v>0</v>
      </c>
      <c r="F760" s="238">
        <v>46090.0</v>
      </c>
      <c r="G760" s="173"/>
      <c r="H760" s="157" t="s">
        <v>6464</v>
      </c>
      <c r="I760" s="157">
        <f t="shared" si="3"/>
        <v>2275</v>
      </c>
      <c r="J760" s="157">
        <v>2026.0</v>
      </c>
    </row>
    <row r="761">
      <c r="A761" s="218">
        <f t="shared" si="2"/>
        <v>758</v>
      </c>
      <c r="B761" s="218" t="s">
        <v>200</v>
      </c>
      <c r="C761" s="219" t="str">
        <f t="shared" si="1"/>
        <v>MS/2276/2026</v>
      </c>
      <c r="D761" s="218" t="b">
        <v>1</v>
      </c>
      <c r="E761" s="219" t="b">
        <v>0</v>
      </c>
      <c r="F761" s="238">
        <v>46090.0</v>
      </c>
      <c r="G761" s="173"/>
      <c r="H761" s="157" t="s">
        <v>6464</v>
      </c>
      <c r="I761" s="157">
        <f t="shared" si="3"/>
        <v>2276</v>
      </c>
      <c r="J761" s="157">
        <v>2026.0</v>
      </c>
    </row>
    <row r="762">
      <c r="A762" s="218">
        <f t="shared" si="2"/>
        <v>759</v>
      </c>
      <c r="B762" s="218" t="s">
        <v>200</v>
      </c>
      <c r="C762" s="219" t="str">
        <f t="shared" si="1"/>
        <v>MS/2277/2026</v>
      </c>
      <c r="D762" s="218" t="b">
        <v>1</v>
      </c>
      <c r="E762" s="219" t="b">
        <v>0</v>
      </c>
      <c r="F762" s="238">
        <v>46090.0</v>
      </c>
      <c r="G762" s="173"/>
      <c r="H762" s="157" t="s">
        <v>6464</v>
      </c>
      <c r="I762" s="157">
        <f t="shared" si="3"/>
        <v>2277</v>
      </c>
      <c r="J762" s="157">
        <v>2026.0</v>
      </c>
    </row>
    <row r="763">
      <c r="A763" s="218">
        <f t="shared" si="2"/>
        <v>760</v>
      </c>
      <c r="B763" s="218" t="s">
        <v>200</v>
      </c>
      <c r="C763" s="219" t="str">
        <f t="shared" si="1"/>
        <v>MS/2278/2026</v>
      </c>
      <c r="D763" s="218" t="b">
        <v>1</v>
      </c>
      <c r="E763" s="219" t="b">
        <v>0</v>
      </c>
      <c r="F763" s="238">
        <v>46090.0</v>
      </c>
      <c r="G763" s="173"/>
      <c r="H763" s="157" t="s">
        <v>6464</v>
      </c>
      <c r="I763" s="157">
        <f t="shared" si="3"/>
        <v>2278</v>
      </c>
      <c r="J763" s="157">
        <v>2026.0</v>
      </c>
    </row>
    <row r="764">
      <c r="A764" s="218">
        <f t="shared" si="2"/>
        <v>761</v>
      </c>
      <c r="B764" s="218" t="s">
        <v>200</v>
      </c>
      <c r="C764" s="219" t="str">
        <f t="shared" si="1"/>
        <v>MS/2279/2026</v>
      </c>
      <c r="D764" s="218" t="b">
        <v>1</v>
      </c>
      <c r="E764" s="219" t="b">
        <v>0</v>
      </c>
      <c r="F764" s="238">
        <v>46090.0</v>
      </c>
      <c r="G764" s="173"/>
      <c r="H764" s="157" t="s">
        <v>6464</v>
      </c>
      <c r="I764" s="157">
        <f t="shared" si="3"/>
        <v>2279</v>
      </c>
      <c r="J764" s="157">
        <v>2026.0</v>
      </c>
    </row>
    <row r="765">
      <c r="A765" s="218">
        <f t="shared" si="2"/>
        <v>762</v>
      </c>
      <c r="B765" s="218" t="s">
        <v>200</v>
      </c>
      <c r="C765" s="219" t="str">
        <f t="shared" si="1"/>
        <v>MS/2280/2026</v>
      </c>
      <c r="D765" s="218" t="b">
        <v>1</v>
      </c>
      <c r="E765" s="219" t="b">
        <v>0</v>
      </c>
      <c r="F765" s="238">
        <v>46090.0</v>
      </c>
      <c r="G765" s="173"/>
      <c r="H765" s="157" t="s">
        <v>6464</v>
      </c>
      <c r="I765" s="157">
        <f t="shared" si="3"/>
        <v>2280</v>
      </c>
      <c r="J765" s="157">
        <v>2026.0</v>
      </c>
    </row>
    <row r="766">
      <c r="A766" s="218">
        <f t="shared" si="2"/>
        <v>763</v>
      </c>
      <c r="B766" s="218" t="s">
        <v>200</v>
      </c>
      <c r="C766" s="219" t="str">
        <f t="shared" si="1"/>
        <v>MS/2281/2026</v>
      </c>
      <c r="D766" s="218" t="b">
        <v>1</v>
      </c>
      <c r="E766" s="219" t="b">
        <v>0</v>
      </c>
      <c r="F766" s="238">
        <v>46090.0</v>
      </c>
      <c r="G766" s="173"/>
      <c r="H766" s="157" t="s">
        <v>6464</v>
      </c>
      <c r="I766" s="157">
        <f t="shared" si="3"/>
        <v>2281</v>
      </c>
      <c r="J766" s="157">
        <v>2026.0</v>
      </c>
    </row>
    <row r="767">
      <c r="A767" s="218">
        <f t="shared" si="2"/>
        <v>764</v>
      </c>
      <c r="B767" s="218" t="s">
        <v>200</v>
      </c>
      <c r="C767" s="219" t="str">
        <f t="shared" si="1"/>
        <v>MS/2282/2026</v>
      </c>
      <c r="D767" s="218" t="b">
        <v>1</v>
      </c>
      <c r="E767" s="219" t="b">
        <v>0</v>
      </c>
      <c r="F767" s="238">
        <v>46090.0</v>
      </c>
      <c r="G767" s="173"/>
      <c r="H767" s="157" t="s">
        <v>6464</v>
      </c>
      <c r="I767" s="157">
        <f t="shared" si="3"/>
        <v>2282</v>
      </c>
      <c r="J767" s="157">
        <v>2026.0</v>
      </c>
    </row>
    <row r="768">
      <c r="A768" s="218">
        <f t="shared" si="2"/>
        <v>765</v>
      </c>
      <c r="B768" s="218" t="s">
        <v>200</v>
      </c>
      <c r="C768" s="219" t="str">
        <f t="shared" si="1"/>
        <v>MS/2283/2026</v>
      </c>
      <c r="D768" s="218" t="b">
        <v>1</v>
      </c>
      <c r="E768" s="219" t="b">
        <v>0</v>
      </c>
      <c r="F768" s="238">
        <v>46090.0</v>
      </c>
      <c r="G768" s="173"/>
      <c r="H768" s="157" t="s">
        <v>6464</v>
      </c>
      <c r="I768" s="157">
        <f t="shared" si="3"/>
        <v>2283</v>
      </c>
      <c r="J768" s="157">
        <v>2026.0</v>
      </c>
    </row>
    <row r="769">
      <c r="A769" s="218">
        <f t="shared" si="2"/>
        <v>766</v>
      </c>
      <c r="B769" s="218" t="s">
        <v>200</v>
      </c>
      <c r="C769" s="219" t="str">
        <f t="shared" si="1"/>
        <v>MS/2284/2026</v>
      </c>
      <c r="D769" s="218" t="b">
        <v>1</v>
      </c>
      <c r="E769" s="219" t="b">
        <v>0</v>
      </c>
      <c r="F769" s="238">
        <v>46090.0</v>
      </c>
      <c r="G769" s="173"/>
      <c r="H769" s="157" t="s">
        <v>6464</v>
      </c>
      <c r="I769" s="157">
        <f t="shared" si="3"/>
        <v>2284</v>
      </c>
      <c r="J769" s="157">
        <v>2026.0</v>
      </c>
    </row>
    <row r="770">
      <c r="A770" s="218">
        <f t="shared" si="2"/>
        <v>767</v>
      </c>
      <c r="B770" s="218" t="s">
        <v>200</v>
      </c>
      <c r="C770" s="219" t="str">
        <f t="shared" si="1"/>
        <v>MS/2285/2026</v>
      </c>
      <c r="D770" s="218" t="b">
        <v>1</v>
      </c>
      <c r="E770" s="219" t="b">
        <v>0</v>
      </c>
      <c r="F770" s="238">
        <v>46090.0</v>
      </c>
      <c r="G770" s="173"/>
      <c r="H770" s="157" t="s">
        <v>6464</v>
      </c>
      <c r="I770" s="157">
        <f t="shared" si="3"/>
        <v>2285</v>
      </c>
      <c r="J770" s="157">
        <v>2026.0</v>
      </c>
    </row>
    <row r="771">
      <c r="A771" s="218">
        <f t="shared" si="2"/>
        <v>768</v>
      </c>
      <c r="B771" s="218" t="s">
        <v>200</v>
      </c>
      <c r="C771" s="219" t="str">
        <f t="shared" si="1"/>
        <v>MS/2286/2026</v>
      </c>
      <c r="D771" s="218" t="b">
        <v>1</v>
      </c>
      <c r="E771" s="219" t="b">
        <v>0</v>
      </c>
      <c r="F771" s="238">
        <v>46090.0</v>
      </c>
      <c r="G771" s="173"/>
      <c r="H771" s="157" t="s">
        <v>6464</v>
      </c>
      <c r="I771" s="157">
        <f t="shared" si="3"/>
        <v>2286</v>
      </c>
      <c r="J771" s="157">
        <v>2026.0</v>
      </c>
    </row>
    <row r="772">
      <c r="A772" s="218">
        <f t="shared" si="2"/>
        <v>769</v>
      </c>
      <c r="B772" s="218" t="s">
        <v>200</v>
      </c>
      <c r="C772" s="219" t="str">
        <f t="shared" si="1"/>
        <v>MS/2287/2026</v>
      </c>
      <c r="D772" s="218" t="b">
        <v>1</v>
      </c>
      <c r="E772" s="219" t="b">
        <v>0</v>
      </c>
      <c r="F772" s="238">
        <v>46090.0</v>
      </c>
      <c r="G772" s="173"/>
      <c r="H772" s="157" t="s">
        <v>6464</v>
      </c>
      <c r="I772" s="157">
        <f t="shared" si="3"/>
        <v>2287</v>
      </c>
      <c r="J772" s="157">
        <v>2026.0</v>
      </c>
    </row>
    <row r="773">
      <c r="A773" s="218">
        <f t="shared" si="2"/>
        <v>770</v>
      </c>
      <c r="B773" s="218" t="s">
        <v>200</v>
      </c>
      <c r="C773" s="219" t="str">
        <f t="shared" si="1"/>
        <v>MS/2288/2026</v>
      </c>
      <c r="D773" s="218" t="b">
        <v>1</v>
      </c>
      <c r="E773" s="219" t="b">
        <v>0</v>
      </c>
      <c r="F773" s="238">
        <v>46090.0</v>
      </c>
      <c r="G773" s="173"/>
      <c r="H773" s="157" t="s">
        <v>6464</v>
      </c>
      <c r="I773" s="157">
        <f t="shared" si="3"/>
        <v>2288</v>
      </c>
      <c r="J773" s="157">
        <v>2026.0</v>
      </c>
    </row>
    <row r="774">
      <c r="A774" s="218">
        <f t="shared" si="2"/>
        <v>771</v>
      </c>
      <c r="B774" s="218" t="s">
        <v>200</v>
      </c>
      <c r="C774" s="219" t="str">
        <f t="shared" si="1"/>
        <v>MS/2289/2026</v>
      </c>
      <c r="D774" s="218" t="b">
        <v>1</v>
      </c>
      <c r="E774" s="219" t="b">
        <v>0</v>
      </c>
      <c r="F774" s="238">
        <v>46090.0</v>
      </c>
      <c r="G774" s="173"/>
      <c r="H774" s="157" t="s">
        <v>6464</v>
      </c>
      <c r="I774" s="157">
        <f t="shared" si="3"/>
        <v>2289</v>
      </c>
      <c r="J774" s="157">
        <v>2026.0</v>
      </c>
    </row>
    <row r="775">
      <c r="A775" s="218">
        <f t="shared" si="2"/>
        <v>772</v>
      </c>
      <c r="B775" s="218" t="s">
        <v>200</v>
      </c>
      <c r="C775" s="219" t="str">
        <f t="shared" si="1"/>
        <v>MS/2290/2026</v>
      </c>
      <c r="D775" s="218" t="b">
        <v>1</v>
      </c>
      <c r="E775" s="219" t="b">
        <v>0</v>
      </c>
      <c r="F775" s="238">
        <v>46090.0</v>
      </c>
      <c r="G775" s="173"/>
      <c r="H775" s="157" t="s">
        <v>6464</v>
      </c>
      <c r="I775" s="157">
        <f t="shared" si="3"/>
        <v>2290</v>
      </c>
      <c r="J775" s="157">
        <v>2026.0</v>
      </c>
    </row>
    <row r="776">
      <c r="A776" s="218">
        <f t="shared" si="2"/>
        <v>773</v>
      </c>
      <c r="B776" s="218" t="s">
        <v>200</v>
      </c>
      <c r="C776" s="219" t="str">
        <f t="shared" si="1"/>
        <v>MS/2291/2026</v>
      </c>
      <c r="D776" s="218" t="b">
        <v>1</v>
      </c>
      <c r="E776" s="219" t="b">
        <v>0</v>
      </c>
      <c r="F776" s="238">
        <v>46090.0</v>
      </c>
      <c r="G776" s="173"/>
      <c r="H776" s="157" t="s">
        <v>6464</v>
      </c>
      <c r="I776" s="157">
        <f t="shared" si="3"/>
        <v>2291</v>
      </c>
      <c r="J776" s="157">
        <v>2026.0</v>
      </c>
    </row>
    <row r="777">
      <c r="A777" s="218">
        <f t="shared" si="2"/>
        <v>774</v>
      </c>
      <c r="B777" s="218" t="s">
        <v>200</v>
      </c>
      <c r="C777" s="219" t="str">
        <f t="shared" si="1"/>
        <v>MS/2292/2026</v>
      </c>
      <c r="D777" s="218" t="b">
        <v>1</v>
      </c>
      <c r="E777" s="219" t="b">
        <v>0</v>
      </c>
      <c r="F777" s="238">
        <v>46090.0</v>
      </c>
      <c r="G777" s="173"/>
      <c r="H777" s="157" t="s">
        <v>6464</v>
      </c>
      <c r="I777" s="157">
        <f t="shared" si="3"/>
        <v>2292</v>
      </c>
      <c r="J777" s="157">
        <v>2026.0</v>
      </c>
    </row>
    <row r="778">
      <c r="A778" s="218">
        <f t="shared" si="2"/>
        <v>775</v>
      </c>
      <c r="B778" s="218" t="s">
        <v>200</v>
      </c>
      <c r="C778" s="219" t="str">
        <f t="shared" si="1"/>
        <v>MS/2293/2026</v>
      </c>
      <c r="D778" s="218" t="b">
        <v>1</v>
      </c>
      <c r="E778" s="219" t="b">
        <v>0</v>
      </c>
      <c r="F778" s="238">
        <v>46090.0</v>
      </c>
      <c r="G778" s="173"/>
      <c r="H778" s="157" t="s">
        <v>6464</v>
      </c>
      <c r="I778" s="157">
        <f t="shared" si="3"/>
        <v>2293</v>
      </c>
      <c r="J778" s="157">
        <v>2026.0</v>
      </c>
    </row>
    <row r="779">
      <c r="A779" s="218">
        <f t="shared" si="2"/>
        <v>776</v>
      </c>
      <c r="B779" s="218" t="s">
        <v>200</v>
      </c>
      <c r="C779" s="219" t="str">
        <f t="shared" si="1"/>
        <v>MS/2294/2026</v>
      </c>
      <c r="D779" s="218" t="b">
        <v>1</v>
      </c>
      <c r="E779" s="219" t="b">
        <v>0</v>
      </c>
      <c r="F779" s="238">
        <v>46090.0</v>
      </c>
      <c r="G779" s="173"/>
      <c r="H779" s="157" t="s">
        <v>6464</v>
      </c>
      <c r="I779" s="157">
        <f t="shared" si="3"/>
        <v>2294</v>
      </c>
      <c r="J779" s="157">
        <v>2026.0</v>
      </c>
    </row>
    <row r="780">
      <c r="A780" s="218">
        <f t="shared" si="2"/>
        <v>777</v>
      </c>
      <c r="B780" s="218" t="s">
        <v>200</v>
      </c>
      <c r="C780" s="219" t="str">
        <f t="shared" si="1"/>
        <v>MS/2295/2026</v>
      </c>
      <c r="D780" s="218" t="b">
        <v>1</v>
      </c>
      <c r="E780" s="219" t="b">
        <v>0</v>
      </c>
      <c r="F780" s="238">
        <v>46090.0</v>
      </c>
      <c r="G780" s="173"/>
      <c r="H780" s="157" t="s">
        <v>6464</v>
      </c>
      <c r="I780" s="157">
        <f t="shared" si="3"/>
        <v>2295</v>
      </c>
      <c r="J780" s="157">
        <v>2026.0</v>
      </c>
    </row>
    <row r="781">
      <c r="A781" s="218">
        <f t="shared" si="2"/>
        <v>778</v>
      </c>
      <c r="B781" s="218" t="s">
        <v>200</v>
      </c>
      <c r="C781" s="219" t="str">
        <f t="shared" si="1"/>
        <v>MS/2296/2026</v>
      </c>
      <c r="D781" s="218" t="b">
        <v>1</v>
      </c>
      <c r="E781" s="219" t="b">
        <v>0</v>
      </c>
      <c r="F781" s="238">
        <v>46090.0</v>
      </c>
      <c r="G781" s="173"/>
      <c r="H781" s="157" t="s">
        <v>6464</v>
      </c>
      <c r="I781" s="157">
        <f t="shared" si="3"/>
        <v>2296</v>
      </c>
      <c r="J781" s="157">
        <v>2026.0</v>
      </c>
    </row>
    <row r="782">
      <c r="A782" s="218">
        <f t="shared" si="2"/>
        <v>779</v>
      </c>
      <c r="B782" s="218" t="s">
        <v>200</v>
      </c>
      <c r="C782" s="219" t="str">
        <f t="shared" si="1"/>
        <v>MS/2297/2026</v>
      </c>
      <c r="D782" s="218" t="b">
        <v>1</v>
      </c>
      <c r="E782" s="219" t="b">
        <v>0</v>
      </c>
      <c r="F782" s="238">
        <v>46090.0</v>
      </c>
      <c r="G782" s="173"/>
      <c r="H782" s="157" t="s">
        <v>6464</v>
      </c>
      <c r="I782" s="157">
        <f t="shared" si="3"/>
        <v>2297</v>
      </c>
      <c r="J782" s="157">
        <v>2026.0</v>
      </c>
    </row>
    <row r="783">
      <c r="A783" s="218">
        <f t="shared" si="2"/>
        <v>780</v>
      </c>
      <c r="B783" s="218" t="s">
        <v>200</v>
      </c>
      <c r="C783" s="219" t="str">
        <f t="shared" si="1"/>
        <v>MS/2298/2026</v>
      </c>
      <c r="D783" s="218" t="b">
        <v>1</v>
      </c>
      <c r="E783" s="219" t="b">
        <v>0</v>
      </c>
      <c r="F783" s="238">
        <v>46090.0</v>
      </c>
      <c r="G783" s="173"/>
      <c r="H783" s="157" t="s">
        <v>6464</v>
      </c>
      <c r="I783" s="157">
        <f t="shared" si="3"/>
        <v>2298</v>
      </c>
      <c r="J783" s="157">
        <v>2026.0</v>
      </c>
    </row>
    <row r="784">
      <c r="A784" s="218">
        <f t="shared" si="2"/>
        <v>781</v>
      </c>
      <c r="B784" s="218" t="s">
        <v>200</v>
      </c>
      <c r="C784" s="219" t="str">
        <f t="shared" si="1"/>
        <v>MS/2299/2026</v>
      </c>
      <c r="D784" s="218" t="b">
        <v>1</v>
      </c>
      <c r="E784" s="219" t="b">
        <v>0</v>
      </c>
      <c r="F784" s="238">
        <v>46090.0</v>
      </c>
      <c r="G784" s="173"/>
      <c r="H784" s="157" t="s">
        <v>6464</v>
      </c>
      <c r="I784" s="157">
        <f t="shared" si="3"/>
        <v>2299</v>
      </c>
      <c r="J784" s="157">
        <v>2026.0</v>
      </c>
    </row>
    <row r="785">
      <c r="A785" s="218">
        <f t="shared" si="2"/>
        <v>782</v>
      </c>
      <c r="B785" s="218" t="s">
        <v>200</v>
      </c>
      <c r="C785" s="219" t="str">
        <f t="shared" si="1"/>
        <v>MS/2300/2026</v>
      </c>
      <c r="D785" s="218" t="b">
        <v>1</v>
      </c>
      <c r="E785" s="219" t="b">
        <v>0</v>
      </c>
      <c r="F785" s="238">
        <v>46090.0</v>
      </c>
      <c r="G785" s="173"/>
      <c r="H785" s="157" t="s">
        <v>6464</v>
      </c>
      <c r="I785" s="157">
        <f t="shared" si="3"/>
        <v>2300</v>
      </c>
      <c r="J785" s="157">
        <v>2026.0</v>
      </c>
    </row>
    <row r="786">
      <c r="A786" s="218">
        <f t="shared" si="2"/>
        <v>783</v>
      </c>
      <c r="B786" s="218" t="s">
        <v>200</v>
      </c>
      <c r="C786" s="219" t="str">
        <f t="shared" si="1"/>
        <v>MS/2301/2026</v>
      </c>
      <c r="D786" s="218" t="b">
        <v>1</v>
      </c>
      <c r="E786" s="219" t="b">
        <v>0</v>
      </c>
      <c r="F786" s="238">
        <v>46090.0</v>
      </c>
      <c r="G786" s="173"/>
      <c r="H786" s="157" t="s">
        <v>6464</v>
      </c>
      <c r="I786" s="157">
        <f t="shared" si="3"/>
        <v>2301</v>
      </c>
      <c r="J786" s="157">
        <v>2026.0</v>
      </c>
    </row>
    <row r="787">
      <c r="A787" s="218">
        <f t="shared" si="2"/>
        <v>784</v>
      </c>
      <c r="B787" s="218" t="s">
        <v>200</v>
      </c>
      <c r="C787" s="219" t="str">
        <f t="shared" si="1"/>
        <v>MS/2302/2026</v>
      </c>
      <c r="D787" s="218" t="b">
        <v>1</v>
      </c>
      <c r="E787" s="219" t="b">
        <v>0</v>
      </c>
      <c r="F787" s="238">
        <v>46090.0</v>
      </c>
      <c r="G787" s="173"/>
      <c r="H787" s="157" t="s">
        <v>6464</v>
      </c>
      <c r="I787" s="157">
        <f t="shared" si="3"/>
        <v>2302</v>
      </c>
      <c r="J787" s="157">
        <v>2026.0</v>
      </c>
    </row>
    <row r="788">
      <c r="A788" s="218">
        <f t="shared" si="2"/>
        <v>785</v>
      </c>
      <c r="B788" s="218" t="s">
        <v>200</v>
      </c>
      <c r="C788" s="219" t="str">
        <f t="shared" si="1"/>
        <v>MS/2303/2026</v>
      </c>
      <c r="D788" s="218" t="b">
        <v>1</v>
      </c>
      <c r="E788" s="219" t="b">
        <v>0</v>
      </c>
      <c r="F788" s="238">
        <v>46090.0</v>
      </c>
      <c r="G788" s="173"/>
      <c r="H788" s="157" t="s">
        <v>6464</v>
      </c>
      <c r="I788" s="157">
        <f t="shared" si="3"/>
        <v>2303</v>
      </c>
      <c r="J788" s="157">
        <v>2026.0</v>
      </c>
    </row>
    <row r="789">
      <c r="A789" s="218">
        <f t="shared" si="2"/>
        <v>786</v>
      </c>
      <c r="B789" s="218" t="s">
        <v>200</v>
      </c>
      <c r="C789" s="219" t="str">
        <f t="shared" si="1"/>
        <v>MS/2304/2026</v>
      </c>
      <c r="D789" s="218" t="b">
        <v>1</v>
      </c>
      <c r="E789" s="219" t="b">
        <v>0</v>
      </c>
      <c r="F789" s="238">
        <v>46090.0</v>
      </c>
      <c r="G789" s="173"/>
      <c r="H789" s="157" t="s">
        <v>6464</v>
      </c>
      <c r="I789" s="157">
        <f t="shared" si="3"/>
        <v>2304</v>
      </c>
      <c r="J789" s="157">
        <v>2026.0</v>
      </c>
    </row>
    <row r="790">
      <c r="A790" s="218">
        <f t="shared" si="2"/>
        <v>787</v>
      </c>
      <c r="B790" s="218" t="s">
        <v>200</v>
      </c>
      <c r="C790" s="219" t="str">
        <f t="shared" si="1"/>
        <v>MS/2305/2026</v>
      </c>
      <c r="D790" s="218" t="b">
        <v>1</v>
      </c>
      <c r="E790" s="219" t="b">
        <v>0</v>
      </c>
      <c r="F790" s="238">
        <v>46090.0</v>
      </c>
      <c r="G790" s="173"/>
      <c r="H790" s="157" t="s">
        <v>6464</v>
      </c>
      <c r="I790" s="157">
        <f t="shared" si="3"/>
        <v>2305</v>
      </c>
      <c r="J790" s="157">
        <v>2026.0</v>
      </c>
    </row>
    <row r="791">
      <c r="A791" s="218">
        <f t="shared" si="2"/>
        <v>788</v>
      </c>
      <c r="B791" s="218" t="s">
        <v>200</v>
      </c>
      <c r="C791" s="219" t="str">
        <f t="shared" si="1"/>
        <v>MS/2306/2026</v>
      </c>
      <c r="D791" s="218" t="b">
        <v>1</v>
      </c>
      <c r="E791" s="219" t="b">
        <v>0</v>
      </c>
      <c r="F791" s="238">
        <v>46090.0</v>
      </c>
      <c r="G791" s="173"/>
      <c r="H791" s="157" t="s">
        <v>6464</v>
      </c>
      <c r="I791" s="157">
        <f t="shared" si="3"/>
        <v>2306</v>
      </c>
      <c r="J791" s="157">
        <v>2026.0</v>
      </c>
    </row>
    <row r="792">
      <c r="A792" s="218">
        <f t="shared" si="2"/>
        <v>789</v>
      </c>
      <c r="B792" s="218" t="s">
        <v>200</v>
      </c>
      <c r="C792" s="219" t="str">
        <f t="shared" si="1"/>
        <v>MS/2307/2026</v>
      </c>
      <c r="D792" s="218" t="b">
        <v>1</v>
      </c>
      <c r="E792" s="219" t="b">
        <v>0</v>
      </c>
      <c r="F792" s="238">
        <v>46090.0</v>
      </c>
      <c r="G792" s="173"/>
      <c r="H792" s="157" t="s">
        <v>6464</v>
      </c>
      <c r="I792" s="157">
        <f t="shared" si="3"/>
        <v>2307</v>
      </c>
      <c r="J792" s="157">
        <v>2026.0</v>
      </c>
    </row>
    <row r="793">
      <c r="A793" s="218">
        <f t="shared" si="2"/>
        <v>790</v>
      </c>
      <c r="B793" s="218" t="s">
        <v>200</v>
      </c>
      <c r="C793" s="219" t="str">
        <f t="shared" si="1"/>
        <v>MS/2308/2026</v>
      </c>
      <c r="D793" s="218" t="b">
        <v>1</v>
      </c>
      <c r="E793" s="219" t="b">
        <v>0</v>
      </c>
      <c r="F793" s="238">
        <v>46090.0</v>
      </c>
      <c r="G793" s="173"/>
      <c r="H793" s="157" t="s">
        <v>6464</v>
      </c>
      <c r="I793" s="157">
        <f t="shared" si="3"/>
        <v>2308</v>
      </c>
      <c r="J793" s="157">
        <v>2026.0</v>
      </c>
    </row>
    <row r="794">
      <c r="A794" s="218">
        <f t="shared" si="2"/>
        <v>791</v>
      </c>
      <c r="B794" s="218" t="s">
        <v>200</v>
      </c>
      <c r="C794" s="219" t="str">
        <f t="shared" si="1"/>
        <v>MS/2309/2026</v>
      </c>
      <c r="D794" s="218" t="b">
        <v>1</v>
      </c>
      <c r="E794" s="219" t="b">
        <v>0</v>
      </c>
      <c r="F794" s="238">
        <v>46090.0</v>
      </c>
      <c r="G794" s="173"/>
      <c r="H794" s="157" t="s">
        <v>6464</v>
      </c>
      <c r="I794" s="157">
        <f t="shared" si="3"/>
        <v>2309</v>
      </c>
      <c r="J794" s="157">
        <v>2026.0</v>
      </c>
    </row>
    <row r="795">
      <c r="A795" s="218">
        <f t="shared" si="2"/>
        <v>792</v>
      </c>
      <c r="B795" s="218" t="s">
        <v>200</v>
      </c>
      <c r="C795" s="219" t="str">
        <f t="shared" si="1"/>
        <v>MS/2310/2026</v>
      </c>
      <c r="D795" s="218" t="b">
        <v>1</v>
      </c>
      <c r="E795" s="219" t="b">
        <v>0</v>
      </c>
      <c r="F795" s="238">
        <v>46090.0</v>
      </c>
      <c r="G795" s="173"/>
      <c r="H795" s="157" t="s">
        <v>6464</v>
      </c>
      <c r="I795" s="157">
        <f t="shared" si="3"/>
        <v>2310</v>
      </c>
      <c r="J795" s="157">
        <v>2026.0</v>
      </c>
    </row>
    <row r="796">
      <c r="A796" s="218">
        <f t="shared" si="2"/>
        <v>793</v>
      </c>
      <c r="B796" s="218" t="s">
        <v>200</v>
      </c>
      <c r="C796" s="219" t="str">
        <f t="shared" si="1"/>
        <v>MS/2311/2026</v>
      </c>
      <c r="D796" s="218" t="b">
        <v>1</v>
      </c>
      <c r="E796" s="219" t="b">
        <v>0</v>
      </c>
      <c r="F796" s="238">
        <v>46090.0</v>
      </c>
      <c r="G796" s="173"/>
      <c r="H796" s="157" t="s">
        <v>6464</v>
      </c>
      <c r="I796" s="157">
        <f t="shared" si="3"/>
        <v>2311</v>
      </c>
      <c r="J796" s="157">
        <v>2026.0</v>
      </c>
    </row>
    <row r="797">
      <c r="A797" s="218">
        <f t="shared" si="2"/>
        <v>794</v>
      </c>
      <c r="B797" s="218" t="s">
        <v>200</v>
      </c>
      <c r="C797" s="219" t="str">
        <f t="shared" si="1"/>
        <v>MS/2312/2026</v>
      </c>
      <c r="D797" s="218" t="b">
        <v>1</v>
      </c>
      <c r="E797" s="219" t="b">
        <v>0</v>
      </c>
      <c r="F797" s="238">
        <v>46090.0</v>
      </c>
      <c r="G797" s="173"/>
      <c r="H797" s="157" t="s">
        <v>6464</v>
      </c>
      <c r="I797" s="157">
        <f t="shared" si="3"/>
        <v>2312</v>
      </c>
      <c r="J797" s="157">
        <v>2026.0</v>
      </c>
    </row>
    <row r="798">
      <c r="A798" s="218">
        <f t="shared" si="2"/>
        <v>795</v>
      </c>
      <c r="B798" s="218" t="s">
        <v>200</v>
      </c>
      <c r="C798" s="219" t="str">
        <f t="shared" si="1"/>
        <v>MS/2313/2026</v>
      </c>
      <c r="D798" s="218" t="b">
        <v>1</v>
      </c>
      <c r="E798" s="219" t="b">
        <v>0</v>
      </c>
      <c r="F798" s="238">
        <v>46090.0</v>
      </c>
      <c r="G798" s="173"/>
      <c r="H798" s="157" t="s">
        <v>6464</v>
      </c>
      <c r="I798" s="157">
        <f t="shared" si="3"/>
        <v>2313</v>
      </c>
      <c r="J798" s="157">
        <v>2026.0</v>
      </c>
    </row>
    <row r="799">
      <c r="A799" s="218">
        <f t="shared" si="2"/>
        <v>796</v>
      </c>
      <c r="B799" s="218" t="s">
        <v>200</v>
      </c>
      <c r="C799" s="219" t="str">
        <f t="shared" si="1"/>
        <v>MS/2314/2026</v>
      </c>
      <c r="D799" s="218" t="b">
        <v>1</v>
      </c>
      <c r="E799" s="219" t="b">
        <v>0</v>
      </c>
      <c r="F799" s="234">
        <v>46155.0</v>
      </c>
      <c r="G799" s="173"/>
      <c r="H799" s="157" t="s">
        <v>6464</v>
      </c>
      <c r="I799" s="157">
        <f t="shared" si="3"/>
        <v>2314</v>
      </c>
      <c r="J799" s="157">
        <v>2026.0</v>
      </c>
    </row>
    <row r="800">
      <c r="A800" s="218">
        <f t="shared" si="2"/>
        <v>797</v>
      </c>
      <c r="B800" s="218" t="s">
        <v>200</v>
      </c>
      <c r="C800" s="219" t="str">
        <f t="shared" si="1"/>
        <v>MS/2315/2026</v>
      </c>
      <c r="D800" s="218" t="b">
        <v>1</v>
      </c>
      <c r="E800" s="219" t="b">
        <v>0</v>
      </c>
      <c r="F800" s="234">
        <v>46155.0</v>
      </c>
      <c r="G800" s="173"/>
      <c r="H800" s="157" t="s">
        <v>6464</v>
      </c>
      <c r="I800" s="157">
        <f t="shared" si="3"/>
        <v>2315</v>
      </c>
      <c r="J800" s="157">
        <v>2026.0</v>
      </c>
    </row>
    <row r="801">
      <c r="A801" s="218">
        <f t="shared" si="2"/>
        <v>798</v>
      </c>
      <c r="B801" s="218" t="s">
        <v>200</v>
      </c>
      <c r="C801" s="219" t="str">
        <f t="shared" si="1"/>
        <v>MS/2316/2026</v>
      </c>
      <c r="D801" s="218" t="b">
        <v>1</v>
      </c>
      <c r="E801" s="219" t="b">
        <v>0</v>
      </c>
      <c r="F801" s="234">
        <v>46155.0</v>
      </c>
      <c r="G801" s="173"/>
      <c r="H801" s="157" t="s">
        <v>6464</v>
      </c>
      <c r="I801" s="157">
        <f t="shared" si="3"/>
        <v>2316</v>
      </c>
      <c r="J801" s="157">
        <v>2026.0</v>
      </c>
    </row>
    <row r="802">
      <c r="A802" s="218">
        <f t="shared" si="2"/>
        <v>799</v>
      </c>
      <c r="B802" s="218" t="s">
        <v>200</v>
      </c>
      <c r="C802" s="219" t="str">
        <f t="shared" si="1"/>
        <v>MS/2317/2026</v>
      </c>
      <c r="D802" s="218" t="b">
        <v>1</v>
      </c>
      <c r="E802" s="219" t="b">
        <v>0</v>
      </c>
      <c r="F802" s="234">
        <v>46155.0</v>
      </c>
      <c r="G802" s="173"/>
      <c r="H802" s="157" t="s">
        <v>6464</v>
      </c>
      <c r="I802" s="157">
        <f t="shared" si="3"/>
        <v>2317</v>
      </c>
      <c r="J802" s="157">
        <v>2026.0</v>
      </c>
    </row>
    <row r="803">
      <c r="A803" s="218">
        <f t="shared" si="2"/>
        <v>800</v>
      </c>
      <c r="B803" s="218" t="s">
        <v>200</v>
      </c>
      <c r="C803" s="219" t="str">
        <f t="shared" si="1"/>
        <v>MS/2318/2026</v>
      </c>
      <c r="D803" s="218" t="b">
        <v>1</v>
      </c>
      <c r="E803" s="219" t="b">
        <v>0</v>
      </c>
      <c r="F803" s="234">
        <v>46155.0</v>
      </c>
      <c r="G803" s="173"/>
      <c r="H803" s="157" t="s">
        <v>6464</v>
      </c>
      <c r="I803" s="157">
        <f t="shared" si="3"/>
        <v>2318</v>
      </c>
      <c r="J803" s="157">
        <v>2026.0</v>
      </c>
    </row>
    <row r="804">
      <c r="A804" s="218">
        <f t="shared" si="2"/>
        <v>801</v>
      </c>
      <c r="B804" s="218" t="s">
        <v>200</v>
      </c>
      <c r="C804" s="219" t="str">
        <f t="shared" si="1"/>
        <v>MS/2319/2026</v>
      </c>
      <c r="D804" s="218" t="b">
        <v>1</v>
      </c>
      <c r="E804" s="219" t="b">
        <v>0</v>
      </c>
      <c r="F804" s="234">
        <v>46155.0</v>
      </c>
      <c r="G804" s="173"/>
      <c r="H804" s="157" t="s">
        <v>6464</v>
      </c>
      <c r="I804" s="157">
        <f t="shared" si="3"/>
        <v>2319</v>
      </c>
      <c r="J804" s="157">
        <v>2026.0</v>
      </c>
    </row>
    <row r="805">
      <c r="A805" s="218">
        <f t="shared" si="2"/>
        <v>802</v>
      </c>
      <c r="B805" s="218" t="s">
        <v>200</v>
      </c>
      <c r="C805" s="219" t="str">
        <f t="shared" si="1"/>
        <v>MS/2320/2026</v>
      </c>
      <c r="D805" s="218" t="b">
        <v>1</v>
      </c>
      <c r="E805" s="219" t="b">
        <v>0</v>
      </c>
      <c r="F805" s="234">
        <v>46155.0</v>
      </c>
      <c r="G805" s="173"/>
      <c r="H805" s="157" t="s">
        <v>6464</v>
      </c>
      <c r="I805" s="157">
        <f t="shared" si="3"/>
        <v>2320</v>
      </c>
      <c r="J805" s="157">
        <v>2026.0</v>
      </c>
    </row>
    <row r="806">
      <c r="A806" s="218">
        <f t="shared" si="2"/>
        <v>803</v>
      </c>
      <c r="B806" s="218" t="s">
        <v>200</v>
      </c>
      <c r="C806" s="219" t="str">
        <f t="shared" si="1"/>
        <v>MS/2321/2026</v>
      </c>
      <c r="D806" s="218" t="b">
        <v>1</v>
      </c>
      <c r="E806" s="219" t="b">
        <v>0</v>
      </c>
      <c r="F806" s="234">
        <v>46155.0</v>
      </c>
      <c r="G806" s="173"/>
      <c r="H806" s="157" t="s">
        <v>6464</v>
      </c>
      <c r="I806" s="157">
        <f t="shared" si="3"/>
        <v>2321</v>
      </c>
      <c r="J806" s="157">
        <v>2026.0</v>
      </c>
    </row>
    <row r="807">
      <c r="A807" s="218">
        <f t="shared" si="2"/>
        <v>804</v>
      </c>
      <c r="B807" s="218" t="s">
        <v>200</v>
      </c>
      <c r="C807" s="219" t="str">
        <f t="shared" si="1"/>
        <v>MS/2322/2026</v>
      </c>
      <c r="D807" s="218" t="b">
        <v>1</v>
      </c>
      <c r="E807" s="219" t="b">
        <v>0</v>
      </c>
      <c r="F807" s="234">
        <v>46155.0</v>
      </c>
      <c r="G807" s="173"/>
      <c r="H807" s="157" t="s">
        <v>6464</v>
      </c>
      <c r="I807" s="157">
        <f t="shared" si="3"/>
        <v>2322</v>
      </c>
      <c r="J807" s="157">
        <v>2026.0</v>
      </c>
    </row>
    <row r="808">
      <c r="A808" s="218">
        <f t="shared" si="2"/>
        <v>805</v>
      </c>
      <c r="B808" s="218" t="s">
        <v>200</v>
      </c>
      <c r="C808" s="219" t="str">
        <f t="shared" si="1"/>
        <v>MS/2323/2026</v>
      </c>
      <c r="D808" s="218" t="b">
        <v>1</v>
      </c>
      <c r="E808" s="219" t="b">
        <v>0</v>
      </c>
      <c r="F808" s="234">
        <v>46155.0</v>
      </c>
      <c r="G808" s="173"/>
      <c r="H808" s="157" t="s">
        <v>6464</v>
      </c>
      <c r="I808" s="157">
        <f t="shared" si="3"/>
        <v>2323</v>
      </c>
      <c r="J808" s="157">
        <v>2026.0</v>
      </c>
    </row>
    <row r="809">
      <c r="A809" s="218">
        <f t="shared" si="2"/>
        <v>806</v>
      </c>
      <c r="B809" s="218" t="s">
        <v>200</v>
      </c>
      <c r="C809" s="219" t="str">
        <f t="shared" si="1"/>
        <v>MS/2324/2026</v>
      </c>
      <c r="D809" s="218" t="b">
        <v>1</v>
      </c>
      <c r="E809" s="219" t="b">
        <v>0</v>
      </c>
      <c r="F809" s="234">
        <v>46155.0</v>
      </c>
      <c r="G809" s="173"/>
      <c r="H809" s="157" t="s">
        <v>6464</v>
      </c>
      <c r="I809" s="157">
        <f t="shared" si="3"/>
        <v>2324</v>
      </c>
      <c r="J809" s="157">
        <v>2026.0</v>
      </c>
    </row>
    <row r="810">
      <c r="A810" s="218">
        <f t="shared" si="2"/>
        <v>807</v>
      </c>
      <c r="B810" s="218" t="s">
        <v>200</v>
      </c>
      <c r="C810" s="219" t="str">
        <f t="shared" si="1"/>
        <v>MS/2325/2026</v>
      </c>
      <c r="D810" s="218" t="b">
        <v>1</v>
      </c>
      <c r="E810" s="219" t="b">
        <v>0</v>
      </c>
      <c r="F810" s="234">
        <v>46155.0</v>
      </c>
      <c r="G810" s="173"/>
      <c r="H810" s="157" t="s">
        <v>6464</v>
      </c>
      <c r="I810" s="157">
        <f t="shared" si="3"/>
        <v>2325</v>
      </c>
      <c r="J810" s="157">
        <v>2026.0</v>
      </c>
    </row>
    <row r="811">
      <c r="A811" s="218">
        <f t="shared" si="2"/>
        <v>808</v>
      </c>
      <c r="B811" s="218" t="s">
        <v>200</v>
      </c>
      <c r="C811" s="219" t="str">
        <f t="shared" si="1"/>
        <v>MS/2326/2026</v>
      </c>
      <c r="D811" s="218" t="b">
        <v>1</v>
      </c>
      <c r="E811" s="219" t="b">
        <v>0</v>
      </c>
      <c r="F811" s="234">
        <v>46155.0</v>
      </c>
      <c r="G811" s="173"/>
      <c r="H811" s="157" t="s">
        <v>6464</v>
      </c>
      <c r="I811" s="157">
        <f t="shared" si="3"/>
        <v>2326</v>
      </c>
      <c r="J811" s="157">
        <v>2026.0</v>
      </c>
    </row>
    <row r="812">
      <c r="A812" s="218">
        <f t="shared" si="2"/>
        <v>809</v>
      </c>
      <c r="B812" s="218" t="s">
        <v>200</v>
      </c>
      <c r="C812" s="219" t="str">
        <f t="shared" si="1"/>
        <v>MS/2327/2026</v>
      </c>
      <c r="D812" s="218" t="b">
        <v>1</v>
      </c>
      <c r="E812" s="219" t="b">
        <v>0</v>
      </c>
      <c r="F812" s="234">
        <v>46155.0</v>
      </c>
      <c r="G812" s="173"/>
      <c r="H812" s="157" t="s">
        <v>6464</v>
      </c>
      <c r="I812" s="157">
        <f t="shared" si="3"/>
        <v>2327</v>
      </c>
      <c r="J812" s="157">
        <v>2026.0</v>
      </c>
    </row>
    <row r="813">
      <c r="A813" s="218">
        <f t="shared" si="2"/>
        <v>810</v>
      </c>
      <c r="B813" s="218" t="s">
        <v>200</v>
      </c>
      <c r="C813" s="219" t="str">
        <f t="shared" si="1"/>
        <v>MS/2328/2026</v>
      </c>
      <c r="D813" s="218" t="b">
        <v>1</v>
      </c>
      <c r="E813" s="219" t="b">
        <v>0</v>
      </c>
      <c r="F813" s="234">
        <v>46155.0</v>
      </c>
      <c r="G813" s="173"/>
      <c r="H813" s="157" t="s">
        <v>6464</v>
      </c>
      <c r="I813" s="157">
        <f t="shared" si="3"/>
        <v>2328</v>
      </c>
      <c r="J813" s="157">
        <v>2026.0</v>
      </c>
    </row>
    <row r="814">
      <c r="A814" s="218">
        <f t="shared" si="2"/>
        <v>811</v>
      </c>
      <c r="B814" s="218" t="s">
        <v>200</v>
      </c>
      <c r="C814" s="219" t="str">
        <f t="shared" si="1"/>
        <v>MS/2329/2026</v>
      </c>
      <c r="D814" s="218" t="b">
        <v>1</v>
      </c>
      <c r="E814" s="219" t="b">
        <v>0</v>
      </c>
      <c r="F814" s="234">
        <v>46155.0</v>
      </c>
      <c r="G814" s="173"/>
      <c r="H814" s="157" t="s">
        <v>6464</v>
      </c>
      <c r="I814" s="157">
        <f t="shared" si="3"/>
        <v>2329</v>
      </c>
      <c r="J814" s="157">
        <v>2026.0</v>
      </c>
    </row>
    <row r="815">
      <c r="A815" s="218">
        <f t="shared" si="2"/>
        <v>812</v>
      </c>
      <c r="B815" s="218" t="s">
        <v>200</v>
      </c>
      <c r="C815" s="219" t="str">
        <f t="shared" si="1"/>
        <v>MS/2330/2026</v>
      </c>
      <c r="D815" s="218" t="b">
        <v>1</v>
      </c>
      <c r="E815" s="219" t="b">
        <v>0</v>
      </c>
      <c r="F815" s="234">
        <v>46155.0</v>
      </c>
      <c r="G815" s="173"/>
      <c r="H815" s="157" t="s">
        <v>6464</v>
      </c>
      <c r="I815" s="157">
        <f t="shared" si="3"/>
        <v>2330</v>
      </c>
      <c r="J815" s="157">
        <v>2026.0</v>
      </c>
    </row>
    <row r="816">
      <c r="A816" s="218">
        <f t="shared" si="2"/>
        <v>813</v>
      </c>
      <c r="B816" s="218" t="s">
        <v>200</v>
      </c>
      <c r="C816" s="219" t="str">
        <f t="shared" si="1"/>
        <v>MS/2331/2026</v>
      </c>
      <c r="D816" s="218" t="b">
        <v>1</v>
      </c>
      <c r="E816" s="219" t="b">
        <v>0</v>
      </c>
      <c r="F816" s="234">
        <v>46155.0</v>
      </c>
      <c r="G816" s="173"/>
      <c r="H816" s="157" t="s">
        <v>6464</v>
      </c>
      <c r="I816" s="157">
        <f t="shared" si="3"/>
        <v>2331</v>
      </c>
      <c r="J816" s="157">
        <v>2026.0</v>
      </c>
    </row>
    <row r="817">
      <c r="A817" s="218">
        <f t="shared" si="2"/>
        <v>814</v>
      </c>
      <c r="B817" s="218" t="s">
        <v>200</v>
      </c>
      <c r="C817" s="219" t="str">
        <f t="shared" si="1"/>
        <v>MS/2332/2026</v>
      </c>
      <c r="D817" s="218" t="b">
        <v>1</v>
      </c>
      <c r="E817" s="219" t="b">
        <v>0</v>
      </c>
      <c r="F817" s="234">
        <v>46155.0</v>
      </c>
      <c r="G817" s="173"/>
      <c r="H817" s="157" t="s">
        <v>6464</v>
      </c>
      <c r="I817" s="157">
        <f t="shared" si="3"/>
        <v>2332</v>
      </c>
      <c r="J817" s="157">
        <v>2026.0</v>
      </c>
    </row>
    <row r="818">
      <c r="A818" s="218">
        <f t="shared" si="2"/>
        <v>815</v>
      </c>
      <c r="B818" s="218" t="s">
        <v>200</v>
      </c>
      <c r="C818" s="219" t="str">
        <f t="shared" si="1"/>
        <v>MS/2333/2026</v>
      </c>
      <c r="D818" s="218" t="b">
        <v>1</v>
      </c>
      <c r="E818" s="219" t="b">
        <v>0</v>
      </c>
      <c r="F818" s="234">
        <v>46155.0</v>
      </c>
      <c r="G818" s="173"/>
      <c r="H818" s="157" t="s">
        <v>6464</v>
      </c>
      <c r="I818" s="157">
        <f t="shared" si="3"/>
        <v>2333</v>
      </c>
      <c r="J818" s="157">
        <v>2026.0</v>
      </c>
    </row>
    <row r="819">
      <c r="A819" s="218">
        <f t="shared" si="2"/>
        <v>816</v>
      </c>
      <c r="B819" s="218" t="s">
        <v>200</v>
      </c>
      <c r="C819" s="219" t="str">
        <f t="shared" si="1"/>
        <v>MS/2334/2026</v>
      </c>
      <c r="D819" s="218" t="b">
        <v>1</v>
      </c>
      <c r="E819" s="219" t="b">
        <v>0</v>
      </c>
      <c r="F819" s="234">
        <v>46155.0</v>
      </c>
      <c r="G819" s="173"/>
      <c r="H819" s="157" t="s">
        <v>6464</v>
      </c>
      <c r="I819" s="157">
        <f t="shared" si="3"/>
        <v>2334</v>
      </c>
      <c r="J819" s="157">
        <v>2026.0</v>
      </c>
    </row>
    <row r="820">
      <c r="A820" s="218">
        <f t="shared" si="2"/>
        <v>817</v>
      </c>
      <c r="B820" s="218" t="s">
        <v>200</v>
      </c>
      <c r="C820" s="219" t="str">
        <f t="shared" si="1"/>
        <v>MS/2335/2026</v>
      </c>
      <c r="D820" s="218" t="b">
        <v>1</v>
      </c>
      <c r="E820" s="219" t="b">
        <v>0</v>
      </c>
      <c r="F820" s="234">
        <v>46155.0</v>
      </c>
      <c r="G820" s="173"/>
      <c r="H820" s="157" t="s">
        <v>6464</v>
      </c>
      <c r="I820" s="157">
        <f t="shared" si="3"/>
        <v>2335</v>
      </c>
      <c r="J820" s="157">
        <v>2026.0</v>
      </c>
    </row>
    <row r="821">
      <c r="A821" s="218">
        <f t="shared" si="2"/>
        <v>818</v>
      </c>
      <c r="B821" s="218" t="s">
        <v>200</v>
      </c>
      <c r="C821" s="219" t="str">
        <f t="shared" si="1"/>
        <v>MS/2336/2026</v>
      </c>
      <c r="D821" s="218" t="b">
        <v>1</v>
      </c>
      <c r="E821" s="219" t="b">
        <v>0</v>
      </c>
      <c r="F821" s="234">
        <v>46155.0</v>
      </c>
      <c r="G821" s="173"/>
      <c r="H821" s="157" t="s">
        <v>6464</v>
      </c>
      <c r="I821" s="157">
        <f t="shared" si="3"/>
        <v>2336</v>
      </c>
      <c r="J821" s="157">
        <v>2026.0</v>
      </c>
    </row>
    <row r="822">
      <c r="A822" s="218">
        <f t="shared" si="2"/>
        <v>819</v>
      </c>
      <c r="B822" s="218" t="s">
        <v>200</v>
      </c>
      <c r="C822" s="219" t="str">
        <f t="shared" si="1"/>
        <v>MS/2337/2026</v>
      </c>
      <c r="D822" s="218" t="b">
        <v>1</v>
      </c>
      <c r="E822" s="219" t="b">
        <v>0</v>
      </c>
      <c r="F822" s="234">
        <v>46155.0</v>
      </c>
      <c r="G822" s="173"/>
      <c r="H822" s="157" t="s">
        <v>6464</v>
      </c>
      <c r="I822" s="157">
        <f t="shared" si="3"/>
        <v>2337</v>
      </c>
      <c r="J822" s="157">
        <v>2026.0</v>
      </c>
    </row>
    <row r="823">
      <c r="A823" s="218">
        <f t="shared" si="2"/>
        <v>820</v>
      </c>
      <c r="B823" s="218" t="s">
        <v>200</v>
      </c>
      <c r="C823" s="219" t="str">
        <f t="shared" si="1"/>
        <v>MS/2338/2026</v>
      </c>
      <c r="D823" s="218" t="b">
        <v>1</v>
      </c>
      <c r="E823" s="219" t="b">
        <v>0</v>
      </c>
      <c r="F823" s="234">
        <v>46155.0</v>
      </c>
      <c r="G823" s="173"/>
      <c r="H823" s="157" t="s">
        <v>6464</v>
      </c>
      <c r="I823" s="157">
        <f t="shared" si="3"/>
        <v>2338</v>
      </c>
      <c r="J823" s="157">
        <v>2026.0</v>
      </c>
    </row>
    <row r="824">
      <c r="A824" s="218">
        <f t="shared" si="2"/>
        <v>821</v>
      </c>
      <c r="B824" s="218" t="s">
        <v>200</v>
      </c>
      <c r="C824" s="219" t="str">
        <f t="shared" si="1"/>
        <v>MS/2339/2026</v>
      </c>
      <c r="D824" s="218" t="b">
        <v>1</v>
      </c>
      <c r="E824" s="219" t="b">
        <v>0</v>
      </c>
      <c r="F824" s="234">
        <v>46155.0</v>
      </c>
      <c r="G824" s="173"/>
      <c r="H824" s="157" t="s">
        <v>6464</v>
      </c>
      <c r="I824" s="157">
        <f t="shared" si="3"/>
        <v>2339</v>
      </c>
      <c r="J824" s="157">
        <v>2026.0</v>
      </c>
    </row>
    <row r="825">
      <c r="A825" s="218">
        <f t="shared" si="2"/>
        <v>822</v>
      </c>
      <c r="B825" s="218" t="s">
        <v>200</v>
      </c>
      <c r="C825" s="219" t="str">
        <f t="shared" si="1"/>
        <v>MS/2340/2026</v>
      </c>
      <c r="D825" s="218" t="b">
        <v>1</v>
      </c>
      <c r="E825" s="219" t="b">
        <v>0</v>
      </c>
      <c r="F825" s="234">
        <v>46155.0</v>
      </c>
      <c r="G825" s="173"/>
      <c r="H825" s="157" t="s">
        <v>6464</v>
      </c>
      <c r="I825" s="157">
        <f t="shared" si="3"/>
        <v>2340</v>
      </c>
      <c r="J825" s="157">
        <v>2026.0</v>
      </c>
    </row>
    <row r="826">
      <c r="A826" s="218">
        <f t="shared" si="2"/>
        <v>823</v>
      </c>
      <c r="B826" s="218" t="s">
        <v>200</v>
      </c>
      <c r="C826" s="219" t="str">
        <f t="shared" si="1"/>
        <v>MS/2341/2026</v>
      </c>
      <c r="D826" s="218" t="b">
        <v>1</v>
      </c>
      <c r="E826" s="219" t="b">
        <v>0</v>
      </c>
      <c r="F826" s="234">
        <v>46155.0</v>
      </c>
      <c r="G826" s="173"/>
      <c r="H826" s="157" t="s">
        <v>6464</v>
      </c>
      <c r="I826" s="157">
        <f t="shared" si="3"/>
        <v>2341</v>
      </c>
      <c r="J826" s="157">
        <v>2026.0</v>
      </c>
    </row>
    <row r="827">
      <c r="A827" s="218">
        <f t="shared" si="2"/>
        <v>824</v>
      </c>
      <c r="B827" s="218" t="s">
        <v>200</v>
      </c>
      <c r="C827" s="219" t="str">
        <f t="shared" si="1"/>
        <v>MS/2342/2026</v>
      </c>
      <c r="D827" s="218" t="b">
        <v>1</v>
      </c>
      <c r="E827" s="219" t="b">
        <v>0</v>
      </c>
      <c r="F827" s="234">
        <v>46155.0</v>
      </c>
      <c r="G827" s="173"/>
      <c r="H827" s="157" t="s">
        <v>6464</v>
      </c>
      <c r="I827" s="157">
        <f t="shared" si="3"/>
        <v>2342</v>
      </c>
      <c r="J827" s="157">
        <v>2026.0</v>
      </c>
    </row>
    <row r="828">
      <c r="A828" s="218">
        <f t="shared" si="2"/>
        <v>825</v>
      </c>
      <c r="B828" s="218" t="s">
        <v>200</v>
      </c>
      <c r="C828" s="219" t="str">
        <f t="shared" si="1"/>
        <v>MS/2343/2026</v>
      </c>
      <c r="D828" s="218" t="b">
        <v>1</v>
      </c>
      <c r="E828" s="219" t="b">
        <v>0</v>
      </c>
      <c r="F828" s="234">
        <v>46155.0</v>
      </c>
      <c r="G828" s="173"/>
      <c r="H828" s="157" t="s">
        <v>6464</v>
      </c>
      <c r="I828" s="157">
        <f t="shared" si="3"/>
        <v>2343</v>
      </c>
      <c r="J828" s="157">
        <v>2026.0</v>
      </c>
    </row>
    <row r="829">
      <c r="A829" s="218">
        <f t="shared" si="2"/>
        <v>826</v>
      </c>
      <c r="B829" s="218" t="s">
        <v>200</v>
      </c>
      <c r="C829" s="219" t="str">
        <f t="shared" si="1"/>
        <v>MS/2344/2026</v>
      </c>
      <c r="D829" s="218" t="b">
        <v>1</v>
      </c>
      <c r="E829" s="219" t="b">
        <v>0</v>
      </c>
      <c r="F829" s="234">
        <v>46155.0</v>
      </c>
      <c r="G829" s="173"/>
      <c r="H829" s="157" t="s">
        <v>6464</v>
      </c>
      <c r="I829" s="157">
        <f t="shared" si="3"/>
        <v>2344</v>
      </c>
      <c r="J829" s="157">
        <v>2026.0</v>
      </c>
    </row>
    <row r="830">
      <c r="A830" s="218">
        <f t="shared" si="2"/>
        <v>827</v>
      </c>
      <c r="B830" s="218" t="s">
        <v>200</v>
      </c>
      <c r="C830" s="219" t="str">
        <f t="shared" si="1"/>
        <v>MS/2345/2026</v>
      </c>
      <c r="D830" s="218" t="b">
        <v>1</v>
      </c>
      <c r="E830" s="219" t="b">
        <v>0</v>
      </c>
      <c r="F830" s="234">
        <v>46155.0</v>
      </c>
      <c r="G830" s="173"/>
      <c r="H830" s="157" t="s">
        <v>6464</v>
      </c>
      <c r="I830" s="157">
        <f t="shared" si="3"/>
        <v>2345</v>
      </c>
      <c r="J830" s="157">
        <v>2026.0</v>
      </c>
    </row>
    <row r="831">
      <c r="A831" s="218">
        <f t="shared" si="2"/>
        <v>828</v>
      </c>
      <c r="B831" s="218" t="s">
        <v>200</v>
      </c>
      <c r="C831" s="219" t="str">
        <f t="shared" si="1"/>
        <v>MS/2346/2026</v>
      </c>
      <c r="D831" s="218" t="b">
        <v>1</v>
      </c>
      <c r="E831" s="219" t="b">
        <v>0</v>
      </c>
      <c r="F831" s="234">
        <v>46155.0</v>
      </c>
      <c r="G831" s="173"/>
      <c r="H831" s="157" t="s">
        <v>6464</v>
      </c>
      <c r="I831" s="157">
        <f t="shared" si="3"/>
        <v>2346</v>
      </c>
      <c r="J831" s="157">
        <v>2026.0</v>
      </c>
    </row>
    <row r="832">
      <c r="A832" s="218">
        <f t="shared" si="2"/>
        <v>829</v>
      </c>
      <c r="B832" s="218" t="s">
        <v>200</v>
      </c>
      <c r="C832" s="219" t="str">
        <f t="shared" si="1"/>
        <v>MS/2347/2026</v>
      </c>
      <c r="D832" s="218" t="b">
        <v>1</v>
      </c>
      <c r="E832" s="219" t="b">
        <v>0</v>
      </c>
      <c r="F832" s="234">
        <v>46155.0</v>
      </c>
      <c r="G832" s="173"/>
      <c r="H832" s="157" t="s">
        <v>6464</v>
      </c>
      <c r="I832" s="157">
        <f t="shared" si="3"/>
        <v>2347</v>
      </c>
      <c r="J832" s="157">
        <v>2026.0</v>
      </c>
    </row>
    <row r="833">
      <c r="A833" s="218">
        <f t="shared" si="2"/>
        <v>830</v>
      </c>
      <c r="B833" s="218" t="s">
        <v>200</v>
      </c>
      <c r="C833" s="219" t="str">
        <f t="shared" si="1"/>
        <v>MS/2348/2026</v>
      </c>
      <c r="D833" s="218" t="b">
        <v>1</v>
      </c>
      <c r="E833" s="219" t="b">
        <v>0</v>
      </c>
      <c r="F833" s="234">
        <v>46155.0</v>
      </c>
      <c r="G833" s="173"/>
      <c r="H833" s="157" t="s">
        <v>6464</v>
      </c>
      <c r="I833" s="157">
        <f t="shared" si="3"/>
        <v>2348</v>
      </c>
      <c r="J833" s="157">
        <v>2026.0</v>
      </c>
    </row>
    <row r="834">
      <c r="A834" s="218">
        <f t="shared" si="2"/>
        <v>831</v>
      </c>
      <c r="B834" s="218" t="s">
        <v>200</v>
      </c>
      <c r="C834" s="219" t="str">
        <f t="shared" si="1"/>
        <v>MS/2349/2026</v>
      </c>
      <c r="D834" s="218" t="b">
        <v>1</v>
      </c>
      <c r="E834" s="219" t="b">
        <v>0</v>
      </c>
      <c r="F834" s="234">
        <v>46155.0</v>
      </c>
      <c r="G834" s="173"/>
      <c r="H834" s="157" t="s">
        <v>6464</v>
      </c>
      <c r="I834" s="157">
        <f t="shared" si="3"/>
        <v>2349</v>
      </c>
      <c r="J834" s="157">
        <v>2026.0</v>
      </c>
    </row>
    <row r="835">
      <c r="A835" s="218">
        <f t="shared" si="2"/>
        <v>832</v>
      </c>
      <c r="B835" s="218" t="s">
        <v>200</v>
      </c>
      <c r="C835" s="219" t="str">
        <f t="shared" si="1"/>
        <v>MS/2350/2026</v>
      </c>
      <c r="D835" s="218" t="b">
        <v>1</v>
      </c>
      <c r="E835" s="219" t="b">
        <v>0</v>
      </c>
      <c r="F835" s="234">
        <v>46155.0</v>
      </c>
      <c r="G835" s="173"/>
      <c r="H835" s="157" t="s">
        <v>6464</v>
      </c>
      <c r="I835" s="157">
        <f t="shared" si="3"/>
        <v>2350</v>
      </c>
      <c r="J835" s="157">
        <v>2026.0</v>
      </c>
    </row>
    <row r="836">
      <c r="A836" s="218">
        <f t="shared" si="2"/>
        <v>833</v>
      </c>
      <c r="B836" s="218" t="s">
        <v>200</v>
      </c>
      <c r="C836" s="219" t="str">
        <f t="shared" si="1"/>
        <v>MS/2351/2026</v>
      </c>
      <c r="D836" s="218" t="b">
        <v>1</v>
      </c>
      <c r="E836" s="219" t="b">
        <v>0</v>
      </c>
      <c r="F836" s="234">
        <v>46155.0</v>
      </c>
      <c r="G836" s="173"/>
      <c r="H836" s="157" t="s">
        <v>6464</v>
      </c>
      <c r="I836" s="157">
        <f t="shared" si="3"/>
        <v>2351</v>
      </c>
      <c r="J836" s="157">
        <v>2026.0</v>
      </c>
    </row>
    <row r="837">
      <c r="A837" s="218">
        <f t="shared" si="2"/>
        <v>834</v>
      </c>
      <c r="B837" s="218" t="s">
        <v>200</v>
      </c>
      <c r="C837" s="219" t="str">
        <f t="shared" si="1"/>
        <v>MS/2352/2026</v>
      </c>
      <c r="D837" s="218" t="b">
        <v>1</v>
      </c>
      <c r="E837" s="219" t="b">
        <v>0</v>
      </c>
      <c r="F837" s="234">
        <v>46155.0</v>
      </c>
      <c r="G837" s="173"/>
      <c r="H837" s="157" t="s">
        <v>6464</v>
      </c>
      <c r="I837" s="157">
        <f t="shared" si="3"/>
        <v>2352</v>
      </c>
      <c r="J837" s="157">
        <v>2026.0</v>
      </c>
    </row>
    <row r="838">
      <c r="A838" s="218">
        <f t="shared" si="2"/>
        <v>835</v>
      </c>
      <c r="B838" s="218" t="s">
        <v>200</v>
      </c>
      <c r="C838" s="219" t="str">
        <f t="shared" si="1"/>
        <v>MS/2353/2026</v>
      </c>
      <c r="D838" s="218" t="b">
        <v>1</v>
      </c>
      <c r="E838" s="219" t="b">
        <v>0</v>
      </c>
      <c r="F838" s="234">
        <v>46155.0</v>
      </c>
      <c r="G838" s="173"/>
      <c r="H838" s="157" t="s">
        <v>6464</v>
      </c>
      <c r="I838" s="157">
        <f t="shared" si="3"/>
        <v>2353</v>
      </c>
      <c r="J838" s="157">
        <v>2026.0</v>
      </c>
    </row>
    <row r="839">
      <c r="A839" s="218">
        <f t="shared" si="2"/>
        <v>836</v>
      </c>
      <c r="B839" s="218" t="s">
        <v>200</v>
      </c>
      <c r="C839" s="219" t="str">
        <f t="shared" si="1"/>
        <v>MS/2354/2026</v>
      </c>
      <c r="D839" s="218" t="b">
        <v>1</v>
      </c>
      <c r="E839" s="219" t="b">
        <v>0</v>
      </c>
      <c r="F839" s="234">
        <v>46155.0</v>
      </c>
      <c r="G839" s="173"/>
      <c r="H839" s="157" t="s">
        <v>6464</v>
      </c>
      <c r="I839" s="157">
        <f t="shared" si="3"/>
        <v>2354</v>
      </c>
      <c r="J839" s="157">
        <v>2026.0</v>
      </c>
    </row>
    <row r="840">
      <c r="A840" s="218">
        <f t="shared" si="2"/>
        <v>837</v>
      </c>
      <c r="B840" s="218" t="s">
        <v>200</v>
      </c>
      <c r="C840" s="219" t="str">
        <f t="shared" si="1"/>
        <v>MS/2355/2026</v>
      </c>
      <c r="D840" s="218" t="b">
        <v>1</v>
      </c>
      <c r="E840" s="219" t="b">
        <v>0</v>
      </c>
      <c r="F840" s="234">
        <v>46155.0</v>
      </c>
      <c r="G840" s="173"/>
      <c r="H840" s="157" t="s">
        <v>6464</v>
      </c>
      <c r="I840" s="157">
        <f t="shared" si="3"/>
        <v>2355</v>
      </c>
      <c r="J840" s="157">
        <v>2026.0</v>
      </c>
    </row>
    <row r="841">
      <c r="A841" s="218">
        <f t="shared" si="2"/>
        <v>838</v>
      </c>
      <c r="B841" s="218" t="s">
        <v>200</v>
      </c>
      <c r="C841" s="219" t="str">
        <f t="shared" si="1"/>
        <v>MS/2356/2026</v>
      </c>
      <c r="D841" s="218" t="b">
        <v>1</v>
      </c>
      <c r="E841" s="219" t="b">
        <v>0</v>
      </c>
      <c r="F841" s="234">
        <v>46155.0</v>
      </c>
      <c r="G841" s="173"/>
      <c r="H841" s="157" t="s">
        <v>6464</v>
      </c>
      <c r="I841" s="157">
        <f t="shared" si="3"/>
        <v>2356</v>
      </c>
      <c r="J841" s="157">
        <v>2026.0</v>
      </c>
    </row>
    <row r="842">
      <c r="A842" s="218">
        <f t="shared" si="2"/>
        <v>839</v>
      </c>
      <c r="B842" s="218" t="s">
        <v>200</v>
      </c>
      <c r="C842" s="219" t="str">
        <f t="shared" si="1"/>
        <v>MS/2357/2026</v>
      </c>
      <c r="D842" s="218" t="b">
        <v>1</v>
      </c>
      <c r="E842" s="219" t="b">
        <v>0</v>
      </c>
      <c r="F842" s="234">
        <v>46155.0</v>
      </c>
      <c r="G842" s="173"/>
      <c r="H842" s="157" t="s">
        <v>6464</v>
      </c>
      <c r="I842" s="157">
        <f t="shared" si="3"/>
        <v>2357</v>
      </c>
      <c r="J842" s="157">
        <v>2026.0</v>
      </c>
    </row>
    <row r="843">
      <c r="A843" s="218">
        <f t="shared" si="2"/>
        <v>840</v>
      </c>
      <c r="B843" s="218" t="s">
        <v>200</v>
      </c>
      <c r="C843" s="219" t="str">
        <f t="shared" si="1"/>
        <v>MS/2358/2026</v>
      </c>
      <c r="D843" s="218" t="b">
        <v>1</v>
      </c>
      <c r="E843" s="219" t="b">
        <v>0</v>
      </c>
      <c r="F843" s="234">
        <v>46155.0</v>
      </c>
      <c r="G843" s="173"/>
      <c r="H843" s="157" t="s">
        <v>6464</v>
      </c>
      <c r="I843" s="157">
        <f t="shared" si="3"/>
        <v>2358</v>
      </c>
      <c r="J843" s="157">
        <v>2026.0</v>
      </c>
    </row>
    <row r="844">
      <c r="A844" s="218">
        <f t="shared" si="2"/>
        <v>841</v>
      </c>
      <c r="B844" s="218" t="s">
        <v>200</v>
      </c>
      <c r="C844" s="219" t="str">
        <f t="shared" si="1"/>
        <v>MS/2359/2026</v>
      </c>
      <c r="D844" s="218" t="b">
        <v>1</v>
      </c>
      <c r="E844" s="219" t="b">
        <v>0</v>
      </c>
      <c r="F844" s="234">
        <v>46155.0</v>
      </c>
      <c r="G844" s="173"/>
      <c r="H844" s="157" t="s">
        <v>6464</v>
      </c>
      <c r="I844" s="157">
        <f t="shared" si="3"/>
        <v>2359</v>
      </c>
      <c r="J844" s="157">
        <v>2026.0</v>
      </c>
    </row>
    <row r="845">
      <c r="A845" s="218">
        <f t="shared" si="2"/>
        <v>842</v>
      </c>
      <c r="B845" s="218" t="s">
        <v>200</v>
      </c>
      <c r="C845" s="219" t="str">
        <f t="shared" si="1"/>
        <v>MS/2360/2026</v>
      </c>
      <c r="D845" s="218" t="b">
        <v>1</v>
      </c>
      <c r="E845" s="219" t="b">
        <v>0</v>
      </c>
      <c r="F845" s="234">
        <v>46155.0</v>
      </c>
      <c r="G845" s="173"/>
      <c r="H845" s="157" t="s">
        <v>6464</v>
      </c>
      <c r="I845" s="157">
        <f t="shared" si="3"/>
        <v>2360</v>
      </c>
      <c r="J845" s="157">
        <v>2026.0</v>
      </c>
    </row>
    <row r="846">
      <c r="A846" s="218">
        <f t="shared" si="2"/>
        <v>843</v>
      </c>
      <c r="B846" s="218" t="s">
        <v>200</v>
      </c>
      <c r="C846" s="219" t="str">
        <f t="shared" si="1"/>
        <v>MS/2361/2026</v>
      </c>
      <c r="D846" s="218" t="b">
        <v>1</v>
      </c>
      <c r="E846" s="219" t="b">
        <v>0</v>
      </c>
      <c r="F846" s="234">
        <v>46155.0</v>
      </c>
      <c r="G846" s="173"/>
      <c r="H846" s="157" t="s">
        <v>6464</v>
      </c>
      <c r="I846" s="157">
        <f t="shared" si="3"/>
        <v>2361</v>
      </c>
      <c r="J846" s="157">
        <v>2026.0</v>
      </c>
    </row>
    <row r="847">
      <c r="A847" s="218">
        <f t="shared" si="2"/>
        <v>844</v>
      </c>
      <c r="B847" s="218" t="s">
        <v>200</v>
      </c>
      <c r="C847" s="219" t="str">
        <f t="shared" si="1"/>
        <v>MS/2362/2026</v>
      </c>
      <c r="D847" s="218" t="b">
        <v>1</v>
      </c>
      <c r="E847" s="219" t="b">
        <v>0</v>
      </c>
      <c r="F847" s="234">
        <v>46155.0</v>
      </c>
      <c r="G847" s="173"/>
      <c r="H847" s="157" t="s">
        <v>6464</v>
      </c>
      <c r="I847" s="157">
        <f t="shared" si="3"/>
        <v>2362</v>
      </c>
      <c r="J847" s="157">
        <v>2026.0</v>
      </c>
    </row>
    <row r="848">
      <c r="A848" s="218">
        <f t="shared" si="2"/>
        <v>845</v>
      </c>
      <c r="B848" s="218" t="s">
        <v>200</v>
      </c>
      <c r="C848" s="219" t="str">
        <f t="shared" si="1"/>
        <v>MS/2363/2026</v>
      </c>
      <c r="D848" s="218" t="b">
        <v>1</v>
      </c>
      <c r="E848" s="219" t="b">
        <v>0</v>
      </c>
      <c r="F848" s="234">
        <v>46155.0</v>
      </c>
      <c r="G848" s="173"/>
      <c r="H848" s="157" t="s">
        <v>6464</v>
      </c>
      <c r="I848" s="157">
        <f t="shared" si="3"/>
        <v>2363</v>
      </c>
      <c r="J848" s="157">
        <v>2026.0</v>
      </c>
    </row>
    <row r="849">
      <c r="A849" s="218">
        <f t="shared" si="2"/>
        <v>846</v>
      </c>
      <c r="B849" s="218" t="s">
        <v>200</v>
      </c>
      <c r="C849" s="219" t="str">
        <f t="shared" si="1"/>
        <v>MS/2364/2026</v>
      </c>
      <c r="D849" s="218" t="b">
        <v>1</v>
      </c>
      <c r="E849" s="219" t="b">
        <v>0</v>
      </c>
      <c r="F849" s="234">
        <v>46198.0</v>
      </c>
      <c r="G849" s="173"/>
      <c r="H849" s="157" t="s">
        <v>6464</v>
      </c>
      <c r="I849" s="157">
        <f t="shared" si="3"/>
        <v>2364</v>
      </c>
      <c r="J849" s="157">
        <v>2026.0</v>
      </c>
    </row>
    <row r="850">
      <c r="A850" s="218">
        <f t="shared" si="2"/>
        <v>847</v>
      </c>
      <c r="B850" s="218" t="s">
        <v>200</v>
      </c>
      <c r="C850" s="219" t="str">
        <f t="shared" si="1"/>
        <v>MS/2365/2026</v>
      </c>
      <c r="D850" s="218" t="b">
        <v>1</v>
      </c>
      <c r="E850" s="219" t="b">
        <v>0</v>
      </c>
      <c r="F850" s="234">
        <v>46198.0</v>
      </c>
      <c r="G850" s="173"/>
      <c r="H850" s="157" t="s">
        <v>6464</v>
      </c>
      <c r="I850" s="157">
        <f t="shared" si="3"/>
        <v>2365</v>
      </c>
      <c r="J850" s="157">
        <v>2026.0</v>
      </c>
    </row>
    <row r="851">
      <c r="A851" s="218">
        <f t="shared" si="2"/>
        <v>848</v>
      </c>
      <c r="B851" s="218" t="s">
        <v>200</v>
      </c>
      <c r="C851" s="219" t="str">
        <f t="shared" si="1"/>
        <v>MS/2366/2026</v>
      </c>
      <c r="D851" s="218" t="b">
        <v>1</v>
      </c>
      <c r="E851" s="219" t="b">
        <v>0</v>
      </c>
      <c r="F851" s="234">
        <v>46198.0</v>
      </c>
      <c r="G851" s="173"/>
      <c r="H851" s="157" t="s">
        <v>6464</v>
      </c>
      <c r="I851" s="157">
        <f t="shared" si="3"/>
        <v>2366</v>
      </c>
      <c r="J851" s="157">
        <v>2026.0</v>
      </c>
    </row>
    <row r="852">
      <c r="A852" s="218">
        <f t="shared" si="2"/>
        <v>849</v>
      </c>
      <c r="B852" s="218" t="s">
        <v>200</v>
      </c>
      <c r="C852" s="219" t="str">
        <f t="shared" si="1"/>
        <v>MS/2367/2026</v>
      </c>
      <c r="D852" s="218" t="b">
        <v>1</v>
      </c>
      <c r="E852" s="219" t="b">
        <v>0</v>
      </c>
      <c r="F852" s="234">
        <v>46198.0</v>
      </c>
      <c r="G852" s="173"/>
      <c r="H852" s="157" t="s">
        <v>6464</v>
      </c>
      <c r="I852" s="157">
        <f t="shared" si="3"/>
        <v>2367</v>
      </c>
      <c r="J852" s="157">
        <v>2026.0</v>
      </c>
    </row>
    <row r="853">
      <c r="A853" s="218">
        <f t="shared" si="2"/>
        <v>850</v>
      </c>
      <c r="B853" s="218" t="s">
        <v>200</v>
      </c>
      <c r="C853" s="219" t="str">
        <f t="shared" si="1"/>
        <v>MS/2368/2026</v>
      </c>
      <c r="D853" s="218" t="b">
        <v>1</v>
      </c>
      <c r="E853" s="219" t="b">
        <v>0</v>
      </c>
      <c r="F853" s="234">
        <v>46198.0</v>
      </c>
      <c r="G853" s="173"/>
      <c r="H853" s="157" t="s">
        <v>6464</v>
      </c>
      <c r="I853" s="157">
        <f t="shared" si="3"/>
        <v>2368</v>
      </c>
      <c r="J853" s="157">
        <v>2026.0</v>
      </c>
    </row>
    <row r="854">
      <c r="A854" s="218">
        <f t="shared" si="2"/>
        <v>851</v>
      </c>
      <c r="B854" s="218" t="s">
        <v>200</v>
      </c>
      <c r="C854" s="219" t="str">
        <f t="shared" si="1"/>
        <v>MS/2369/2026</v>
      </c>
      <c r="D854" s="218" t="b">
        <v>1</v>
      </c>
      <c r="E854" s="219" t="b">
        <v>0</v>
      </c>
      <c r="F854" s="234">
        <v>46198.0</v>
      </c>
      <c r="G854" s="173"/>
      <c r="H854" s="157" t="s">
        <v>6464</v>
      </c>
      <c r="I854" s="157">
        <f t="shared" si="3"/>
        <v>2369</v>
      </c>
      <c r="J854" s="157">
        <v>2026.0</v>
      </c>
    </row>
    <row r="855">
      <c r="A855" s="218">
        <f t="shared" si="2"/>
        <v>852</v>
      </c>
      <c r="B855" s="218" t="s">
        <v>200</v>
      </c>
      <c r="C855" s="219" t="str">
        <f t="shared" si="1"/>
        <v>MS/2370/2026</v>
      </c>
      <c r="D855" s="218" t="b">
        <v>1</v>
      </c>
      <c r="E855" s="219" t="b">
        <v>0</v>
      </c>
      <c r="F855" s="234">
        <v>46198.0</v>
      </c>
      <c r="G855" s="173"/>
      <c r="H855" s="157" t="s">
        <v>6464</v>
      </c>
      <c r="I855" s="157">
        <f t="shared" si="3"/>
        <v>2370</v>
      </c>
      <c r="J855" s="157">
        <v>2026.0</v>
      </c>
    </row>
    <row r="856">
      <c r="A856" s="218">
        <f t="shared" si="2"/>
        <v>853</v>
      </c>
      <c r="B856" s="218" t="s">
        <v>200</v>
      </c>
      <c r="C856" s="219" t="str">
        <f t="shared" si="1"/>
        <v>MS/2371/2026</v>
      </c>
      <c r="D856" s="218" t="b">
        <v>1</v>
      </c>
      <c r="E856" s="219" t="b">
        <v>0</v>
      </c>
      <c r="F856" s="234">
        <v>46198.0</v>
      </c>
      <c r="G856" s="173"/>
      <c r="H856" s="157" t="s">
        <v>6464</v>
      </c>
      <c r="I856" s="157">
        <f t="shared" si="3"/>
        <v>2371</v>
      </c>
      <c r="J856" s="157">
        <v>2026.0</v>
      </c>
    </row>
    <row r="857">
      <c r="A857" s="218">
        <f t="shared" si="2"/>
        <v>854</v>
      </c>
      <c r="B857" s="218" t="s">
        <v>200</v>
      </c>
      <c r="C857" s="219" t="str">
        <f t="shared" si="1"/>
        <v>MS/2372/2026</v>
      </c>
      <c r="D857" s="218" t="b">
        <v>1</v>
      </c>
      <c r="E857" s="219" t="b">
        <v>0</v>
      </c>
      <c r="F857" s="234">
        <v>46198.0</v>
      </c>
      <c r="G857" s="173"/>
      <c r="H857" s="157" t="s">
        <v>6464</v>
      </c>
      <c r="I857" s="157">
        <f t="shared" si="3"/>
        <v>2372</v>
      </c>
      <c r="J857" s="157">
        <v>2026.0</v>
      </c>
    </row>
    <row r="858">
      <c r="A858" s="218">
        <f t="shared" si="2"/>
        <v>855</v>
      </c>
      <c r="B858" s="218" t="s">
        <v>200</v>
      </c>
      <c r="C858" s="219" t="str">
        <f t="shared" si="1"/>
        <v>MS/2373/2026</v>
      </c>
      <c r="D858" s="218" t="b">
        <v>1</v>
      </c>
      <c r="E858" s="219" t="b">
        <v>0</v>
      </c>
      <c r="F858" s="234">
        <v>46198.0</v>
      </c>
      <c r="G858" s="173"/>
      <c r="H858" s="157" t="s">
        <v>6464</v>
      </c>
      <c r="I858" s="157">
        <f t="shared" si="3"/>
        <v>2373</v>
      </c>
      <c r="J858" s="157">
        <v>2026.0</v>
      </c>
    </row>
    <row r="859">
      <c r="A859" s="218">
        <f t="shared" si="2"/>
        <v>856</v>
      </c>
      <c r="B859" s="218" t="s">
        <v>200</v>
      </c>
      <c r="C859" s="219" t="str">
        <f t="shared" si="1"/>
        <v>MS/2374/2026</v>
      </c>
      <c r="D859" s="218" t="b">
        <v>1</v>
      </c>
      <c r="E859" s="219" t="b">
        <v>0</v>
      </c>
      <c r="F859" s="234">
        <v>46198.0</v>
      </c>
      <c r="G859" s="173"/>
      <c r="H859" s="157" t="s">
        <v>6464</v>
      </c>
      <c r="I859" s="157">
        <f t="shared" si="3"/>
        <v>2374</v>
      </c>
      <c r="J859" s="157">
        <v>2026.0</v>
      </c>
    </row>
    <row r="860">
      <c r="A860" s="218">
        <f t="shared" si="2"/>
        <v>857</v>
      </c>
      <c r="B860" s="218" t="s">
        <v>200</v>
      </c>
      <c r="C860" s="219" t="str">
        <f t="shared" si="1"/>
        <v>MS/2375/2026</v>
      </c>
      <c r="D860" s="218" t="b">
        <v>1</v>
      </c>
      <c r="E860" s="219" t="b">
        <v>0</v>
      </c>
      <c r="F860" s="234">
        <v>46198.0</v>
      </c>
      <c r="G860" s="173"/>
      <c r="H860" s="157" t="s">
        <v>6464</v>
      </c>
      <c r="I860" s="157">
        <f t="shared" si="3"/>
        <v>2375</v>
      </c>
      <c r="J860" s="157">
        <v>2026.0</v>
      </c>
    </row>
    <row r="861">
      <c r="A861" s="218">
        <f t="shared" si="2"/>
        <v>858</v>
      </c>
      <c r="B861" s="218" t="s">
        <v>200</v>
      </c>
      <c r="C861" s="219" t="str">
        <f t="shared" si="1"/>
        <v>MS/2376/2026</v>
      </c>
      <c r="D861" s="218" t="b">
        <v>1</v>
      </c>
      <c r="E861" s="219" t="b">
        <v>0</v>
      </c>
      <c r="F861" s="234">
        <v>46198.0</v>
      </c>
      <c r="G861" s="173"/>
      <c r="H861" s="157" t="s">
        <v>6464</v>
      </c>
      <c r="I861" s="157">
        <f t="shared" si="3"/>
        <v>2376</v>
      </c>
      <c r="J861" s="157">
        <v>2026.0</v>
      </c>
    </row>
    <row r="862">
      <c r="A862" s="218">
        <f t="shared" si="2"/>
        <v>859</v>
      </c>
      <c r="B862" s="218" t="s">
        <v>200</v>
      </c>
      <c r="C862" s="219" t="str">
        <f t="shared" si="1"/>
        <v>MS/2377/2026</v>
      </c>
      <c r="D862" s="218" t="b">
        <v>1</v>
      </c>
      <c r="E862" s="219" t="b">
        <v>0</v>
      </c>
      <c r="F862" s="234">
        <v>46198.0</v>
      </c>
      <c r="G862" s="173"/>
      <c r="H862" s="157" t="s">
        <v>6464</v>
      </c>
      <c r="I862" s="157">
        <f t="shared" si="3"/>
        <v>2377</v>
      </c>
      <c r="J862" s="157">
        <v>2026.0</v>
      </c>
    </row>
    <row r="863">
      <c r="A863" s="218">
        <f t="shared" si="2"/>
        <v>860</v>
      </c>
      <c r="B863" s="218" t="s">
        <v>200</v>
      </c>
      <c r="C863" s="219" t="str">
        <f t="shared" si="1"/>
        <v>MS/2378/2026</v>
      </c>
      <c r="D863" s="218" t="b">
        <v>1</v>
      </c>
      <c r="E863" s="219" t="b">
        <v>0</v>
      </c>
      <c r="F863" s="234">
        <v>46198.0</v>
      </c>
      <c r="G863" s="173"/>
      <c r="H863" s="157" t="s">
        <v>6464</v>
      </c>
      <c r="I863" s="157">
        <f t="shared" si="3"/>
        <v>2378</v>
      </c>
      <c r="J863" s="157">
        <v>2026.0</v>
      </c>
    </row>
    <row r="864">
      <c r="A864" s="218">
        <f t="shared" si="2"/>
        <v>861</v>
      </c>
      <c r="B864" s="218" t="s">
        <v>200</v>
      </c>
      <c r="C864" s="219" t="str">
        <f t="shared" si="1"/>
        <v>MS/2379/2026</v>
      </c>
      <c r="D864" s="218" t="b">
        <v>1</v>
      </c>
      <c r="E864" s="219" t="b">
        <v>0</v>
      </c>
      <c r="F864" s="234">
        <v>46198.0</v>
      </c>
      <c r="G864" s="173"/>
      <c r="H864" s="157" t="s">
        <v>6464</v>
      </c>
      <c r="I864" s="157">
        <f t="shared" si="3"/>
        <v>2379</v>
      </c>
      <c r="J864" s="157">
        <v>2026.0</v>
      </c>
    </row>
    <row r="865">
      <c r="A865" s="218">
        <f t="shared" si="2"/>
        <v>862</v>
      </c>
      <c r="B865" s="218" t="s">
        <v>200</v>
      </c>
      <c r="C865" s="219" t="str">
        <f t="shared" si="1"/>
        <v>MS/2380/2026</v>
      </c>
      <c r="D865" s="218" t="b">
        <v>1</v>
      </c>
      <c r="E865" s="219" t="b">
        <v>0</v>
      </c>
      <c r="F865" s="234">
        <v>46198.0</v>
      </c>
      <c r="G865" s="173"/>
      <c r="H865" s="157" t="s">
        <v>6464</v>
      </c>
      <c r="I865" s="157">
        <f t="shared" si="3"/>
        <v>2380</v>
      </c>
      <c r="J865" s="157">
        <v>2026.0</v>
      </c>
    </row>
    <row r="866">
      <c r="A866" s="218">
        <f t="shared" si="2"/>
        <v>863</v>
      </c>
      <c r="B866" s="218" t="s">
        <v>200</v>
      </c>
      <c r="C866" s="219" t="str">
        <f t="shared" si="1"/>
        <v>MS/2381/2026</v>
      </c>
      <c r="D866" s="218" t="b">
        <v>1</v>
      </c>
      <c r="E866" s="219" t="b">
        <v>0</v>
      </c>
      <c r="F866" s="234">
        <v>46198.0</v>
      </c>
      <c r="G866" s="173"/>
      <c r="H866" s="157" t="s">
        <v>6464</v>
      </c>
      <c r="I866" s="157">
        <f t="shared" si="3"/>
        <v>2381</v>
      </c>
      <c r="J866" s="157">
        <v>2026.0</v>
      </c>
    </row>
    <row r="867">
      <c r="A867" s="218">
        <f t="shared" si="2"/>
        <v>864</v>
      </c>
      <c r="B867" s="218" t="s">
        <v>200</v>
      </c>
      <c r="C867" s="219" t="str">
        <f t="shared" si="1"/>
        <v>MS/2382/2026</v>
      </c>
      <c r="D867" s="218" t="b">
        <v>1</v>
      </c>
      <c r="E867" s="219" t="b">
        <v>0</v>
      </c>
      <c r="F867" s="234">
        <v>46198.0</v>
      </c>
      <c r="G867" s="173"/>
      <c r="H867" s="157" t="s">
        <v>6464</v>
      </c>
      <c r="I867" s="157">
        <f t="shared" si="3"/>
        <v>2382</v>
      </c>
      <c r="J867" s="157">
        <v>2026.0</v>
      </c>
    </row>
    <row r="868">
      <c r="A868" s="218">
        <f t="shared" si="2"/>
        <v>865</v>
      </c>
      <c r="B868" s="218" t="s">
        <v>200</v>
      </c>
      <c r="C868" s="219" t="str">
        <f t="shared" si="1"/>
        <v>MS/2383/2026</v>
      </c>
      <c r="D868" s="218" t="b">
        <v>1</v>
      </c>
      <c r="E868" s="219" t="b">
        <v>0</v>
      </c>
      <c r="F868" s="234">
        <v>46198.0</v>
      </c>
      <c r="G868" s="173"/>
      <c r="H868" s="157" t="s">
        <v>6464</v>
      </c>
      <c r="I868" s="157">
        <f t="shared" si="3"/>
        <v>2383</v>
      </c>
      <c r="J868" s="157">
        <v>2026.0</v>
      </c>
    </row>
    <row r="869">
      <c r="A869" s="218">
        <f t="shared" si="2"/>
        <v>866</v>
      </c>
      <c r="B869" s="218" t="s">
        <v>200</v>
      </c>
      <c r="C869" s="219" t="str">
        <f t="shared" si="1"/>
        <v>MS/2384/2026</v>
      </c>
      <c r="D869" s="218" t="b">
        <v>1</v>
      </c>
      <c r="E869" s="219" t="b">
        <v>0</v>
      </c>
      <c r="F869" s="234">
        <v>46198.0</v>
      </c>
      <c r="G869" s="173"/>
      <c r="H869" s="157" t="s">
        <v>6464</v>
      </c>
      <c r="I869" s="157">
        <f t="shared" si="3"/>
        <v>2384</v>
      </c>
      <c r="J869" s="157">
        <v>2026.0</v>
      </c>
    </row>
    <row r="870">
      <c r="A870" s="218">
        <f t="shared" si="2"/>
        <v>867</v>
      </c>
      <c r="B870" s="218" t="s">
        <v>200</v>
      </c>
      <c r="C870" s="219" t="str">
        <f t="shared" si="1"/>
        <v>MS/2385/2026</v>
      </c>
      <c r="D870" s="218" t="b">
        <v>1</v>
      </c>
      <c r="E870" s="219" t="b">
        <v>0</v>
      </c>
      <c r="F870" s="234">
        <v>46198.0</v>
      </c>
      <c r="G870" s="173"/>
      <c r="H870" s="157" t="s">
        <v>6464</v>
      </c>
      <c r="I870" s="157">
        <f t="shared" si="3"/>
        <v>2385</v>
      </c>
      <c r="J870" s="157">
        <v>2026.0</v>
      </c>
    </row>
    <row r="871">
      <c r="A871" s="218">
        <f t="shared" si="2"/>
        <v>868</v>
      </c>
      <c r="B871" s="218" t="s">
        <v>200</v>
      </c>
      <c r="C871" s="219" t="str">
        <f t="shared" si="1"/>
        <v>MS/2386/2026</v>
      </c>
      <c r="D871" s="218" t="b">
        <v>1</v>
      </c>
      <c r="E871" s="219" t="b">
        <v>0</v>
      </c>
      <c r="F871" s="234">
        <v>46198.0</v>
      </c>
      <c r="G871" s="173"/>
      <c r="H871" s="157" t="s">
        <v>6464</v>
      </c>
      <c r="I871" s="157">
        <f t="shared" si="3"/>
        <v>2386</v>
      </c>
      <c r="J871" s="157">
        <v>2026.0</v>
      </c>
    </row>
    <row r="872">
      <c r="A872" s="218">
        <f t="shared" si="2"/>
        <v>869</v>
      </c>
      <c r="B872" s="218" t="s">
        <v>200</v>
      </c>
      <c r="C872" s="219" t="str">
        <f t="shared" si="1"/>
        <v>MS/2387/2026</v>
      </c>
      <c r="D872" s="218" t="b">
        <v>1</v>
      </c>
      <c r="E872" s="219" t="b">
        <v>0</v>
      </c>
      <c r="F872" s="234">
        <v>46198.0</v>
      </c>
      <c r="G872" s="173"/>
      <c r="H872" s="157" t="s">
        <v>6464</v>
      </c>
      <c r="I872" s="157">
        <f t="shared" si="3"/>
        <v>2387</v>
      </c>
      <c r="J872" s="157">
        <v>2026.0</v>
      </c>
    </row>
    <row r="873">
      <c r="A873" s="218">
        <f t="shared" si="2"/>
        <v>870</v>
      </c>
      <c r="B873" s="218" t="s">
        <v>200</v>
      </c>
      <c r="C873" s="219" t="str">
        <f t="shared" si="1"/>
        <v>MS/2388/2026</v>
      </c>
      <c r="D873" s="218" t="b">
        <v>1</v>
      </c>
      <c r="E873" s="219" t="b">
        <v>0</v>
      </c>
      <c r="F873" s="234">
        <v>46198.0</v>
      </c>
      <c r="G873" s="173"/>
      <c r="H873" s="157" t="s">
        <v>6464</v>
      </c>
      <c r="I873" s="157">
        <f t="shared" si="3"/>
        <v>2388</v>
      </c>
      <c r="J873" s="157">
        <v>2026.0</v>
      </c>
    </row>
    <row r="874">
      <c r="A874" s="218">
        <f t="shared" si="2"/>
        <v>871</v>
      </c>
      <c r="B874" s="218" t="s">
        <v>200</v>
      </c>
      <c r="C874" s="219" t="str">
        <f t="shared" si="1"/>
        <v>MS/2389/2026</v>
      </c>
      <c r="D874" s="218" t="b">
        <v>1</v>
      </c>
      <c r="E874" s="219" t="b">
        <v>0</v>
      </c>
      <c r="F874" s="234">
        <v>46202.0</v>
      </c>
      <c r="G874" s="173"/>
      <c r="H874" s="157" t="s">
        <v>6464</v>
      </c>
      <c r="I874" s="157">
        <f t="shared" si="3"/>
        <v>2389</v>
      </c>
      <c r="J874" s="157">
        <v>2026.0</v>
      </c>
    </row>
    <row r="875">
      <c r="A875" s="218">
        <f t="shared" si="2"/>
        <v>872</v>
      </c>
      <c r="B875" s="218" t="s">
        <v>200</v>
      </c>
      <c r="C875" s="219" t="str">
        <f t="shared" si="1"/>
        <v>MS/2390/2026</v>
      </c>
      <c r="D875" s="218" t="b">
        <v>1</v>
      </c>
      <c r="E875" s="219" t="b">
        <v>0</v>
      </c>
      <c r="F875" s="234">
        <v>46202.0</v>
      </c>
      <c r="G875" s="173"/>
      <c r="H875" s="157" t="s">
        <v>6464</v>
      </c>
      <c r="I875" s="157">
        <f t="shared" si="3"/>
        <v>2390</v>
      </c>
      <c r="J875" s="157">
        <v>2026.0</v>
      </c>
    </row>
    <row r="876">
      <c r="A876" s="218">
        <f t="shared" si="2"/>
        <v>873</v>
      </c>
      <c r="B876" s="218" t="s">
        <v>200</v>
      </c>
      <c r="C876" s="219" t="str">
        <f t="shared" si="1"/>
        <v>MS/2391/2026</v>
      </c>
      <c r="D876" s="218" t="b">
        <v>1</v>
      </c>
      <c r="E876" s="219" t="b">
        <v>0</v>
      </c>
      <c r="F876" s="234">
        <v>46202.0</v>
      </c>
      <c r="G876" s="173"/>
      <c r="H876" s="157" t="s">
        <v>6464</v>
      </c>
      <c r="I876" s="157">
        <f t="shared" si="3"/>
        <v>2391</v>
      </c>
      <c r="J876" s="157">
        <v>2026.0</v>
      </c>
    </row>
    <row r="877">
      <c r="A877" s="218">
        <f t="shared" si="2"/>
        <v>874</v>
      </c>
      <c r="B877" s="218" t="s">
        <v>200</v>
      </c>
      <c r="C877" s="219" t="str">
        <f t="shared" si="1"/>
        <v>MS/2392/2026</v>
      </c>
      <c r="D877" s="218" t="b">
        <v>1</v>
      </c>
      <c r="E877" s="219" t="b">
        <v>0</v>
      </c>
      <c r="F877" s="234">
        <v>46202.0</v>
      </c>
      <c r="G877" s="173"/>
      <c r="H877" s="157" t="s">
        <v>6464</v>
      </c>
      <c r="I877" s="157">
        <f t="shared" si="3"/>
        <v>2392</v>
      </c>
      <c r="J877" s="157">
        <v>2026.0</v>
      </c>
    </row>
    <row r="878">
      <c r="A878" s="218">
        <f t="shared" si="2"/>
        <v>875</v>
      </c>
      <c r="B878" s="218" t="s">
        <v>200</v>
      </c>
      <c r="C878" s="219" t="str">
        <f t="shared" si="1"/>
        <v>MS/2393/2026</v>
      </c>
      <c r="D878" s="218" t="b">
        <v>1</v>
      </c>
      <c r="E878" s="219" t="b">
        <v>0</v>
      </c>
      <c r="F878" s="234">
        <v>46202.0</v>
      </c>
      <c r="G878" s="173"/>
      <c r="H878" s="157" t="s">
        <v>6464</v>
      </c>
      <c r="I878" s="157">
        <f t="shared" si="3"/>
        <v>2393</v>
      </c>
      <c r="J878" s="157">
        <v>2026.0</v>
      </c>
    </row>
    <row r="879">
      <c r="A879" s="218">
        <f t="shared" si="2"/>
        <v>876</v>
      </c>
      <c r="B879" s="218" t="s">
        <v>200</v>
      </c>
      <c r="C879" s="219" t="str">
        <f t="shared" si="1"/>
        <v>MS/2394/2026</v>
      </c>
      <c r="D879" s="218" t="b">
        <v>1</v>
      </c>
      <c r="E879" s="219" t="b">
        <v>0</v>
      </c>
      <c r="F879" s="234">
        <v>46202.0</v>
      </c>
      <c r="G879" s="173"/>
      <c r="H879" s="157" t="s">
        <v>6464</v>
      </c>
      <c r="I879" s="157">
        <f t="shared" si="3"/>
        <v>2394</v>
      </c>
      <c r="J879" s="157">
        <v>2026.0</v>
      </c>
    </row>
    <row r="880">
      <c r="A880" s="218">
        <f t="shared" si="2"/>
        <v>877</v>
      </c>
      <c r="B880" s="218" t="s">
        <v>200</v>
      </c>
      <c r="C880" s="219" t="str">
        <f t="shared" si="1"/>
        <v>MS/2395/2026</v>
      </c>
      <c r="D880" s="218" t="b">
        <v>1</v>
      </c>
      <c r="E880" s="219" t="b">
        <v>0</v>
      </c>
      <c r="F880" s="234">
        <v>46202.0</v>
      </c>
      <c r="G880" s="173"/>
      <c r="H880" s="157" t="s">
        <v>6464</v>
      </c>
      <c r="I880" s="157">
        <f t="shared" si="3"/>
        <v>2395</v>
      </c>
      <c r="J880" s="157">
        <v>2026.0</v>
      </c>
    </row>
    <row r="881">
      <c r="A881" s="218">
        <f t="shared" si="2"/>
        <v>878</v>
      </c>
      <c r="B881" s="218" t="s">
        <v>200</v>
      </c>
      <c r="C881" s="219" t="str">
        <f t="shared" si="1"/>
        <v>MS/2396/2026</v>
      </c>
      <c r="D881" s="218" t="b">
        <v>1</v>
      </c>
      <c r="E881" s="219" t="b">
        <v>0</v>
      </c>
      <c r="F881" s="234">
        <v>46202.0</v>
      </c>
      <c r="G881" s="173"/>
      <c r="H881" s="157" t="s">
        <v>6464</v>
      </c>
      <c r="I881" s="157">
        <f t="shared" si="3"/>
        <v>2396</v>
      </c>
      <c r="J881" s="157">
        <v>2026.0</v>
      </c>
    </row>
    <row r="882">
      <c r="A882" s="218">
        <f t="shared" si="2"/>
        <v>879</v>
      </c>
      <c r="B882" s="218" t="s">
        <v>200</v>
      </c>
      <c r="C882" s="219" t="str">
        <f t="shared" si="1"/>
        <v>MS/2397/2026</v>
      </c>
      <c r="D882" s="218" t="b">
        <v>1</v>
      </c>
      <c r="E882" s="219" t="b">
        <v>0</v>
      </c>
      <c r="F882" s="234">
        <v>46202.0</v>
      </c>
      <c r="G882" s="173"/>
      <c r="H882" s="157" t="s">
        <v>6464</v>
      </c>
      <c r="I882" s="157">
        <f t="shared" si="3"/>
        <v>2397</v>
      </c>
      <c r="J882" s="157">
        <v>2026.0</v>
      </c>
    </row>
    <row r="883">
      <c r="A883" s="218">
        <f t="shared" si="2"/>
        <v>880</v>
      </c>
      <c r="B883" s="218" t="s">
        <v>200</v>
      </c>
      <c r="C883" s="219" t="str">
        <f t="shared" si="1"/>
        <v>MS/2398/2026</v>
      </c>
      <c r="D883" s="218" t="b">
        <v>1</v>
      </c>
      <c r="E883" s="219" t="b">
        <v>0</v>
      </c>
      <c r="F883" s="234">
        <v>46202.0</v>
      </c>
      <c r="G883" s="173"/>
      <c r="H883" s="157" t="s">
        <v>6464</v>
      </c>
      <c r="I883" s="157">
        <f t="shared" si="3"/>
        <v>2398</v>
      </c>
      <c r="J883" s="157">
        <v>2026.0</v>
      </c>
    </row>
    <row r="884">
      <c r="A884" s="218">
        <f t="shared" si="2"/>
        <v>881</v>
      </c>
      <c r="B884" s="218" t="s">
        <v>200</v>
      </c>
      <c r="C884" s="219" t="str">
        <f t="shared" si="1"/>
        <v>MS/2399/2026</v>
      </c>
      <c r="D884" s="218" t="b">
        <v>1</v>
      </c>
      <c r="E884" s="219" t="b">
        <v>0</v>
      </c>
      <c r="F884" s="234">
        <v>46202.0</v>
      </c>
      <c r="G884" s="173"/>
      <c r="H884" s="157" t="s">
        <v>6464</v>
      </c>
      <c r="I884" s="157">
        <f t="shared" si="3"/>
        <v>2399</v>
      </c>
      <c r="J884" s="157">
        <v>2026.0</v>
      </c>
    </row>
    <row r="885">
      <c r="A885" s="218">
        <f t="shared" si="2"/>
        <v>882</v>
      </c>
      <c r="B885" s="218" t="s">
        <v>200</v>
      </c>
      <c r="C885" s="219" t="str">
        <f t="shared" si="1"/>
        <v>MS/2400/2026</v>
      </c>
      <c r="D885" s="218" t="b">
        <v>1</v>
      </c>
      <c r="E885" s="219" t="b">
        <v>0</v>
      </c>
      <c r="F885" s="234">
        <v>46202.0</v>
      </c>
      <c r="G885" s="173"/>
      <c r="H885" s="157" t="s">
        <v>6464</v>
      </c>
      <c r="I885" s="157">
        <f t="shared" si="3"/>
        <v>2400</v>
      </c>
      <c r="J885" s="157">
        <v>2026.0</v>
      </c>
    </row>
    <row r="886">
      <c r="A886" s="218">
        <f t="shared" si="2"/>
        <v>883</v>
      </c>
      <c r="B886" s="218" t="s">
        <v>200</v>
      </c>
      <c r="C886" s="219" t="str">
        <f t="shared" si="1"/>
        <v>MS/2401/2026</v>
      </c>
      <c r="D886" s="218" t="b">
        <v>1</v>
      </c>
      <c r="E886" s="219" t="b">
        <v>0</v>
      </c>
      <c r="F886" s="234">
        <v>46202.0</v>
      </c>
      <c r="G886" s="173"/>
      <c r="H886" s="157" t="s">
        <v>6464</v>
      </c>
      <c r="I886" s="157">
        <f t="shared" si="3"/>
        <v>2401</v>
      </c>
      <c r="J886" s="157">
        <v>2026.0</v>
      </c>
    </row>
    <row r="887">
      <c r="A887" s="218">
        <f t="shared" si="2"/>
        <v>884</v>
      </c>
      <c r="B887" s="218" t="s">
        <v>200</v>
      </c>
      <c r="C887" s="219" t="str">
        <f t="shared" si="1"/>
        <v>MS/2402/2026</v>
      </c>
      <c r="D887" s="218" t="b">
        <v>1</v>
      </c>
      <c r="E887" s="219" t="b">
        <v>0</v>
      </c>
      <c r="F887" s="234">
        <v>46202.0</v>
      </c>
      <c r="G887" s="173"/>
      <c r="H887" s="157" t="s">
        <v>6464</v>
      </c>
      <c r="I887" s="157">
        <f t="shared" si="3"/>
        <v>2402</v>
      </c>
      <c r="J887" s="157">
        <v>2026.0</v>
      </c>
    </row>
    <row r="888">
      <c r="A888" s="218">
        <f t="shared" si="2"/>
        <v>885</v>
      </c>
      <c r="B888" s="218" t="s">
        <v>200</v>
      </c>
      <c r="C888" s="219" t="str">
        <f t="shared" si="1"/>
        <v>MS/2403/2026</v>
      </c>
      <c r="D888" s="218" t="b">
        <v>1</v>
      </c>
      <c r="E888" s="219" t="b">
        <v>0</v>
      </c>
      <c r="F888" s="234">
        <v>46202.0</v>
      </c>
      <c r="G888" s="173"/>
      <c r="H888" s="157" t="s">
        <v>6464</v>
      </c>
      <c r="I888" s="157">
        <f t="shared" si="3"/>
        <v>2403</v>
      </c>
      <c r="J888" s="157">
        <v>2026.0</v>
      </c>
    </row>
    <row r="889">
      <c r="A889" s="218">
        <f t="shared" si="2"/>
        <v>886</v>
      </c>
      <c r="B889" s="218" t="s">
        <v>200</v>
      </c>
      <c r="C889" s="219" t="str">
        <f t="shared" si="1"/>
        <v>MS/2404/2026</v>
      </c>
      <c r="D889" s="218" t="b">
        <v>1</v>
      </c>
      <c r="E889" s="219" t="b">
        <v>0</v>
      </c>
      <c r="F889" s="234">
        <v>46202.0</v>
      </c>
      <c r="G889" s="173"/>
      <c r="H889" s="157" t="s">
        <v>6464</v>
      </c>
      <c r="I889" s="157">
        <f t="shared" si="3"/>
        <v>2404</v>
      </c>
      <c r="J889" s="157">
        <v>2026.0</v>
      </c>
    </row>
    <row r="890">
      <c r="A890" s="218">
        <f t="shared" si="2"/>
        <v>887</v>
      </c>
      <c r="B890" s="218" t="s">
        <v>200</v>
      </c>
      <c r="C890" s="219" t="str">
        <f t="shared" si="1"/>
        <v>MS/2405/2026</v>
      </c>
      <c r="D890" s="218" t="b">
        <v>1</v>
      </c>
      <c r="E890" s="219" t="b">
        <v>0</v>
      </c>
      <c r="F890" s="234">
        <v>46202.0</v>
      </c>
      <c r="G890" s="173"/>
      <c r="H890" s="157" t="s">
        <v>6464</v>
      </c>
      <c r="I890" s="157">
        <f t="shared" si="3"/>
        <v>2405</v>
      </c>
      <c r="J890" s="157">
        <v>2026.0</v>
      </c>
    </row>
    <row r="891">
      <c r="A891" s="218">
        <f t="shared" si="2"/>
        <v>888</v>
      </c>
      <c r="B891" s="218" t="s">
        <v>200</v>
      </c>
      <c r="C891" s="219" t="str">
        <f t="shared" si="1"/>
        <v>MS/2406/2026</v>
      </c>
      <c r="D891" s="218" t="b">
        <v>1</v>
      </c>
      <c r="E891" s="219" t="b">
        <v>0</v>
      </c>
      <c r="F891" s="234">
        <v>46202.0</v>
      </c>
      <c r="G891" s="173"/>
      <c r="H891" s="157" t="s">
        <v>6464</v>
      </c>
      <c r="I891" s="157">
        <f t="shared" si="3"/>
        <v>2406</v>
      </c>
      <c r="J891" s="157">
        <v>2026.0</v>
      </c>
    </row>
    <row r="892">
      <c r="A892" s="218">
        <f t="shared" si="2"/>
        <v>889</v>
      </c>
      <c r="B892" s="218" t="s">
        <v>200</v>
      </c>
      <c r="C892" s="219" t="str">
        <f t="shared" si="1"/>
        <v>MS/2407/2026</v>
      </c>
      <c r="D892" s="218" t="b">
        <v>1</v>
      </c>
      <c r="E892" s="219" t="b">
        <v>0</v>
      </c>
      <c r="F892" s="234">
        <v>46202.0</v>
      </c>
      <c r="G892" s="173"/>
      <c r="H892" s="157" t="s">
        <v>6464</v>
      </c>
      <c r="I892" s="157">
        <f t="shared" si="3"/>
        <v>2407</v>
      </c>
      <c r="J892" s="157">
        <v>2026.0</v>
      </c>
    </row>
    <row r="893">
      <c r="A893" s="218">
        <f t="shared" si="2"/>
        <v>890</v>
      </c>
      <c r="B893" s="218" t="s">
        <v>200</v>
      </c>
      <c r="C893" s="219" t="str">
        <f t="shared" si="1"/>
        <v>MS/2408/2026</v>
      </c>
      <c r="D893" s="218" t="b">
        <v>1</v>
      </c>
      <c r="E893" s="219" t="b">
        <v>0</v>
      </c>
      <c r="F893" s="234">
        <v>46202.0</v>
      </c>
      <c r="G893" s="173"/>
      <c r="H893" s="157" t="s">
        <v>6464</v>
      </c>
      <c r="I893" s="157">
        <f t="shared" si="3"/>
        <v>2408</v>
      </c>
      <c r="J893" s="157">
        <v>2026.0</v>
      </c>
    </row>
    <row r="894">
      <c r="A894" s="218">
        <f t="shared" si="2"/>
        <v>891</v>
      </c>
      <c r="B894" s="218" t="s">
        <v>200</v>
      </c>
      <c r="C894" s="219" t="str">
        <f t="shared" si="1"/>
        <v>MS/2409/2026</v>
      </c>
      <c r="D894" s="218" t="b">
        <v>1</v>
      </c>
      <c r="E894" s="219" t="b">
        <v>0</v>
      </c>
      <c r="F894" s="234">
        <v>46202.0</v>
      </c>
      <c r="G894" s="173"/>
      <c r="H894" s="157" t="s">
        <v>6464</v>
      </c>
      <c r="I894" s="157">
        <f t="shared" si="3"/>
        <v>2409</v>
      </c>
      <c r="J894" s="157">
        <v>2026.0</v>
      </c>
    </row>
    <row r="895">
      <c r="A895" s="218">
        <f t="shared" si="2"/>
        <v>892</v>
      </c>
      <c r="B895" s="218" t="s">
        <v>200</v>
      </c>
      <c r="C895" s="219" t="str">
        <f t="shared" si="1"/>
        <v>MS/2410/2026</v>
      </c>
      <c r="D895" s="218" t="b">
        <v>1</v>
      </c>
      <c r="E895" s="219" t="b">
        <v>0</v>
      </c>
      <c r="F895" s="234">
        <v>46202.0</v>
      </c>
      <c r="G895" s="173"/>
      <c r="H895" s="157" t="s">
        <v>6464</v>
      </c>
      <c r="I895" s="157">
        <f t="shared" si="3"/>
        <v>2410</v>
      </c>
      <c r="J895" s="157">
        <v>2026.0</v>
      </c>
    </row>
    <row r="896">
      <c r="A896" s="218">
        <f t="shared" si="2"/>
        <v>893</v>
      </c>
      <c r="B896" s="218" t="s">
        <v>200</v>
      </c>
      <c r="C896" s="219" t="str">
        <f t="shared" si="1"/>
        <v>MS/2411/2026</v>
      </c>
      <c r="D896" s="218" t="b">
        <v>1</v>
      </c>
      <c r="E896" s="219" t="b">
        <v>0</v>
      </c>
      <c r="F896" s="234">
        <v>46202.0</v>
      </c>
      <c r="G896" s="173"/>
      <c r="H896" s="157" t="s">
        <v>6464</v>
      </c>
      <c r="I896" s="157">
        <f t="shared" si="3"/>
        <v>2411</v>
      </c>
      <c r="J896" s="157">
        <v>2026.0</v>
      </c>
    </row>
    <row r="897">
      <c r="A897" s="218">
        <f t="shared" si="2"/>
        <v>894</v>
      </c>
      <c r="B897" s="218" t="s">
        <v>200</v>
      </c>
      <c r="C897" s="219" t="str">
        <f t="shared" si="1"/>
        <v>MS/2412/2026</v>
      </c>
      <c r="D897" s="218" t="b">
        <v>1</v>
      </c>
      <c r="E897" s="219" t="b">
        <v>0</v>
      </c>
      <c r="F897" s="234">
        <v>46202.0</v>
      </c>
      <c r="G897" s="173"/>
      <c r="H897" s="157" t="s">
        <v>6464</v>
      </c>
      <c r="I897" s="157">
        <f t="shared" si="3"/>
        <v>2412</v>
      </c>
      <c r="J897" s="157">
        <v>2026.0</v>
      </c>
    </row>
    <row r="898">
      <c r="A898" s="218">
        <f t="shared" si="2"/>
        <v>895</v>
      </c>
      <c r="B898" s="218" t="s">
        <v>200</v>
      </c>
      <c r="C898" s="219" t="str">
        <f t="shared" si="1"/>
        <v>MS/2413/2026</v>
      </c>
      <c r="D898" s="218" t="b">
        <v>1</v>
      </c>
      <c r="E898" s="219" t="b">
        <v>0</v>
      </c>
      <c r="F898" s="234">
        <v>46202.0</v>
      </c>
      <c r="G898" s="173"/>
      <c r="H898" s="157" t="s">
        <v>6464</v>
      </c>
      <c r="I898" s="157">
        <f t="shared" si="3"/>
        <v>2413</v>
      </c>
      <c r="J898" s="157">
        <v>2026.0</v>
      </c>
    </row>
    <row r="899">
      <c r="A899" s="218">
        <f t="shared" si="2"/>
        <v>896</v>
      </c>
      <c r="B899" s="218" t="s">
        <v>200</v>
      </c>
      <c r="C899" s="219" t="str">
        <f t="shared" si="1"/>
        <v>MS/2414/2026</v>
      </c>
      <c r="D899" s="218" t="b">
        <v>1</v>
      </c>
      <c r="E899" s="219" t="b">
        <v>0</v>
      </c>
      <c r="F899" s="234">
        <v>46220.0</v>
      </c>
      <c r="G899" s="173"/>
      <c r="H899" s="157" t="s">
        <v>6464</v>
      </c>
      <c r="I899" s="226">
        <f t="shared" si="3"/>
        <v>2414</v>
      </c>
      <c r="J899" s="157">
        <v>2026.0</v>
      </c>
    </row>
    <row r="900">
      <c r="A900" s="218">
        <f t="shared" si="2"/>
        <v>897</v>
      </c>
      <c r="B900" s="218" t="s">
        <v>200</v>
      </c>
      <c r="C900" s="219" t="str">
        <f t="shared" si="1"/>
        <v>MS/2415/2026</v>
      </c>
      <c r="D900" s="218" t="b">
        <v>1</v>
      </c>
      <c r="E900" s="219" t="b">
        <v>0</v>
      </c>
      <c r="F900" s="234">
        <v>46220.0</v>
      </c>
      <c r="G900" s="173"/>
      <c r="H900" s="157" t="s">
        <v>6464</v>
      </c>
      <c r="I900" s="226">
        <f t="shared" si="3"/>
        <v>2415</v>
      </c>
      <c r="J900" s="157">
        <v>2026.0</v>
      </c>
    </row>
    <row r="901">
      <c r="A901" s="218">
        <f t="shared" si="2"/>
        <v>898</v>
      </c>
      <c r="B901" s="218" t="s">
        <v>200</v>
      </c>
      <c r="C901" s="219" t="str">
        <f t="shared" si="1"/>
        <v>MS/2416/2026</v>
      </c>
      <c r="D901" s="218" t="b">
        <v>1</v>
      </c>
      <c r="E901" s="219" t="b">
        <v>0</v>
      </c>
      <c r="F901" s="234">
        <v>46220.0</v>
      </c>
      <c r="G901" s="173"/>
      <c r="H901" s="157" t="s">
        <v>6464</v>
      </c>
      <c r="I901" s="226">
        <f t="shared" si="3"/>
        <v>2416</v>
      </c>
      <c r="J901" s="157">
        <v>2026.0</v>
      </c>
    </row>
    <row r="902">
      <c r="A902" s="218">
        <f t="shared" si="2"/>
        <v>899</v>
      </c>
      <c r="B902" s="218" t="s">
        <v>200</v>
      </c>
      <c r="C902" s="219" t="str">
        <f t="shared" si="1"/>
        <v>MS/2417/2026</v>
      </c>
      <c r="D902" s="218" t="b">
        <v>1</v>
      </c>
      <c r="E902" s="219" t="b">
        <v>0</v>
      </c>
      <c r="F902" s="234">
        <v>46220.0</v>
      </c>
      <c r="G902" s="173"/>
      <c r="H902" s="157" t="s">
        <v>6464</v>
      </c>
      <c r="I902" s="226">
        <f t="shared" si="3"/>
        <v>2417</v>
      </c>
      <c r="J902" s="157">
        <v>2026.0</v>
      </c>
    </row>
    <row r="903">
      <c r="A903" s="218">
        <f t="shared" si="2"/>
        <v>900</v>
      </c>
      <c r="B903" s="218" t="s">
        <v>200</v>
      </c>
      <c r="C903" s="219" t="str">
        <f t="shared" si="1"/>
        <v>MS/2418/2026</v>
      </c>
      <c r="D903" s="218" t="b">
        <v>1</v>
      </c>
      <c r="E903" s="219" t="b">
        <v>0</v>
      </c>
      <c r="F903" s="234">
        <v>46220.0</v>
      </c>
      <c r="G903" s="173"/>
      <c r="H903" s="157" t="s">
        <v>6464</v>
      </c>
      <c r="I903" s="226">
        <f t="shared" si="3"/>
        <v>2418</v>
      </c>
      <c r="J903" s="157">
        <v>2026.0</v>
      </c>
    </row>
    <row r="904">
      <c r="A904" s="218">
        <f t="shared" si="2"/>
        <v>901</v>
      </c>
      <c r="B904" s="218" t="s">
        <v>200</v>
      </c>
      <c r="C904" s="219" t="str">
        <f t="shared" si="1"/>
        <v>MS/2419/2026</v>
      </c>
      <c r="D904" s="218" t="b">
        <v>1</v>
      </c>
      <c r="E904" s="219" t="b">
        <v>0</v>
      </c>
      <c r="F904" s="234">
        <v>46220.0</v>
      </c>
      <c r="G904" s="173"/>
      <c r="H904" s="157" t="s">
        <v>6464</v>
      </c>
      <c r="I904" s="226">
        <f t="shared" si="3"/>
        <v>2419</v>
      </c>
      <c r="J904" s="157">
        <v>2026.0</v>
      </c>
    </row>
    <row r="905">
      <c r="A905" s="218">
        <f t="shared" si="2"/>
        <v>902</v>
      </c>
      <c r="B905" s="218" t="s">
        <v>200</v>
      </c>
      <c r="C905" s="219" t="str">
        <f t="shared" si="1"/>
        <v>MS/2420/2026</v>
      </c>
      <c r="D905" s="218" t="b">
        <v>1</v>
      </c>
      <c r="E905" s="219" t="b">
        <v>0</v>
      </c>
      <c r="F905" s="234">
        <v>46220.0</v>
      </c>
      <c r="G905" s="173"/>
      <c r="H905" s="157" t="s">
        <v>6464</v>
      </c>
      <c r="I905" s="226">
        <f t="shared" si="3"/>
        <v>2420</v>
      </c>
      <c r="J905" s="157">
        <v>2026.0</v>
      </c>
    </row>
    <row r="906">
      <c r="A906" s="218">
        <f t="shared" si="2"/>
        <v>903</v>
      </c>
      <c r="B906" s="218" t="s">
        <v>200</v>
      </c>
      <c r="C906" s="219" t="str">
        <f t="shared" si="1"/>
        <v>MS/2421/2026</v>
      </c>
      <c r="D906" s="218" t="b">
        <v>1</v>
      </c>
      <c r="E906" s="219" t="b">
        <v>0</v>
      </c>
      <c r="F906" s="234">
        <v>46220.0</v>
      </c>
      <c r="G906" s="173"/>
      <c r="H906" s="157" t="s">
        <v>6464</v>
      </c>
      <c r="I906" s="226">
        <f t="shared" si="3"/>
        <v>2421</v>
      </c>
      <c r="J906" s="157">
        <v>2026.0</v>
      </c>
    </row>
    <row r="907">
      <c r="A907" s="218">
        <f t="shared" si="2"/>
        <v>904</v>
      </c>
      <c r="B907" s="218" t="s">
        <v>200</v>
      </c>
      <c r="C907" s="219" t="str">
        <f t="shared" si="1"/>
        <v>MS/2422/2026</v>
      </c>
      <c r="D907" s="218" t="b">
        <v>1</v>
      </c>
      <c r="E907" s="219" t="b">
        <v>0</v>
      </c>
      <c r="F907" s="234">
        <v>46220.0</v>
      </c>
      <c r="G907" s="173"/>
      <c r="H907" s="157" t="s">
        <v>6464</v>
      </c>
      <c r="I907" s="226">
        <f t="shared" si="3"/>
        <v>2422</v>
      </c>
      <c r="J907" s="157">
        <v>2026.0</v>
      </c>
    </row>
    <row r="908">
      <c r="A908" s="218">
        <f t="shared" si="2"/>
        <v>905</v>
      </c>
      <c r="B908" s="218" t="s">
        <v>200</v>
      </c>
      <c r="C908" s="219" t="str">
        <f t="shared" si="1"/>
        <v>MS/2423/2026</v>
      </c>
      <c r="D908" s="218" t="b">
        <v>1</v>
      </c>
      <c r="E908" s="219" t="b">
        <v>0</v>
      </c>
      <c r="F908" s="234">
        <v>46220.0</v>
      </c>
      <c r="G908" s="173"/>
      <c r="H908" s="157" t="s">
        <v>6464</v>
      </c>
      <c r="I908" s="226">
        <f t="shared" si="3"/>
        <v>2423</v>
      </c>
      <c r="J908" s="157">
        <v>2026.0</v>
      </c>
    </row>
    <row r="909">
      <c r="A909" s="218">
        <f t="shared" si="2"/>
        <v>906</v>
      </c>
      <c r="B909" s="218" t="s">
        <v>200</v>
      </c>
      <c r="C909" s="219" t="str">
        <f t="shared" si="1"/>
        <v>MS/2424/2026</v>
      </c>
      <c r="D909" s="218" t="b">
        <v>1</v>
      </c>
      <c r="E909" s="219" t="b">
        <v>0</v>
      </c>
      <c r="F909" s="234">
        <v>46220.0</v>
      </c>
      <c r="G909" s="173"/>
      <c r="H909" s="157" t="s">
        <v>6464</v>
      </c>
      <c r="I909" s="226">
        <f t="shared" si="3"/>
        <v>2424</v>
      </c>
      <c r="J909" s="157">
        <v>2026.0</v>
      </c>
    </row>
    <row r="910">
      <c r="A910" s="218">
        <f t="shared" si="2"/>
        <v>907</v>
      </c>
      <c r="B910" s="218" t="s">
        <v>200</v>
      </c>
      <c r="C910" s="219" t="str">
        <f t="shared" si="1"/>
        <v>MS/2425/2026</v>
      </c>
      <c r="D910" s="218" t="b">
        <v>1</v>
      </c>
      <c r="E910" s="219" t="b">
        <v>0</v>
      </c>
      <c r="F910" s="234">
        <v>46220.0</v>
      </c>
      <c r="G910" s="173"/>
      <c r="H910" s="157" t="s">
        <v>6464</v>
      </c>
      <c r="I910" s="226">
        <f t="shared" si="3"/>
        <v>2425</v>
      </c>
      <c r="J910" s="157">
        <v>2026.0</v>
      </c>
    </row>
    <row r="911">
      <c r="A911" s="218">
        <f t="shared" si="2"/>
        <v>908</v>
      </c>
      <c r="B911" s="218" t="s">
        <v>200</v>
      </c>
      <c r="C911" s="219" t="str">
        <f t="shared" si="1"/>
        <v>MS/2426/2026</v>
      </c>
      <c r="D911" s="218" t="b">
        <v>1</v>
      </c>
      <c r="E911" s="219" t="b">
        <v>0</v>
      </c>
      <c r="F911" s="234">
        <v>46220.0</v>
      </c>
      <c r="G911" s="173"/>
      <c r="H911" s="157" t="s">
        <v>6464</v>
      </c>
      <c r="I911" s="226">
        <f t="shared" si="3"/>
        <v>2426</v>
      </c>
      <c r="J911" s="157">
        <v>2026.0</v>
      </c>
    </row>
    <row r="912">
      <c r="A912" s="218">
        <f t="shared" si="2"/>
        <v>909</v>
      </c>
      <c r="B912" s="218" t="s">
        <v>200</v>
      </c>
      <c r="C912" s="219" t="str">
        <f t="shared" si="1"/>
        <v>MS/2427/2026</v>
      </c>
      <c r="D912" s="218" t="b">
        <v>1</v>
      </c>
      <c r="E912" s="219" t="b">
        <v>0</v>
      </c>
      <c r="F912" s="234">
        <v>46220.0</v>
      </c>
      <c r="G912" s="173"/>
      <c r="H912" s="157" t="s">
        <v>6464</v>
      </c>
      <c r="I912" s="226">
        <f t="shared" si="3"/>
        <v>2427</v>
      </c>
      <c r="J912" s="157">
        <v>2026.0</v>
      </c>
    </row>
    <row r="913">
      <c r="A913" s="218">
        <f t="shared" si="2"/>
        <v>910</v>
      </c>
      <c r="B913" s="218" t="s">
        <v>200</v>
      </c>
      <c r="C913" s="219" t="str">
        <f t="shared" si="1"/>
        <v>MS/2428/2026</v>
      </c>
      <c r="D913" s="218" t="b">
        <v>1</v>
      </c>
      <c r="E913" s="219" t="b">
        <v>0</v>
      </c>
      <c r="F913" s="234">
        <v>46220.0</v>
      </c>
      <c r="G913" s="173"/>
      <c r="H913" s="157" t="s">
        <v>6464</v>
      </c>
      <c r="I913" s="226">
        <f t="shared" si="3"/>
        <v>2428</v>
      </c>
      <c r="J913" s="157">
        <v>2026.0</v>
      </c>
    </row>
    <row r="914">
      <c r="A914" s="218">
        <f t="shared" si="2"/>
        <v>911</v>
      </c>
      <c r="B914" s="218" t="s">
        <v>200</v>
      </c>
      <c r="C914" s="219" t="str">
        <f t="shared" si="1"/>
        <v>MS/2429/2026</v>
      </c>
      <c r="D914" s="218" t="b">
        <v>1</v>
      </c>
      <c r="E914" s="219" t="b">
        <v>0</v>
      </c>
      <c r="F914" s="234">
        <v>46220.0</v>
      </c>
      <c r="G914" s="173"/>
      <c r="H914" s="157" t="s">
        <v>6464</v>
      </c>
      <c r="I914" s="226">
        <f t="shared" si="3"/>
        <v>2429</v>
      </c>
      <c r="J914" s="157">
        <v>2026.0</v>
      </c>
    </row>
    <row r="915">
      <c r="A915" s="218">
        <f t="shared" si="2"/>
        <v>912</v>
      </c>
      <c r="B915" s="218" t="s">
        <v>200</v>
      </c>
      <c r="C915" s="219" t="str">
        <f t="shared" si="1"/>
        <v>MS/2430/2026</v>
      </c>
      <c r="D915" s="218" t="b">
        <v>1</v>
      </c>
      <c r="E915" s="219" t="b">
        <v>0</v>
      </c>
      <c r="F915" s="234">
        <v>46220.0</v>
      </c>
      <c r="G915" s="173"/>
      <c r="H915" s="157" t="s">
        <v>6464</v>
      </c>
      <c r="I915" s="226">
        <f t="shared" si="3"/>
        <v>2430</v>
      </c>
      <c r="J915" s="157">
        <v>2026.0</v>
      </c>
    </row>
    <row r="916">
      <c r="A916" s="218">
        <f t="shared" si="2"/>
        <v>913</v>
      </c>
      <c r="B916" s="218" t="s">
        <v>200</v>
      </c>
      <c r="C916" s="219" t="str">
        <f t="shared" si="1"/>
        <v>MS/2431/2026</v>
      </c>
      <c r="D916" s="218" t="b">
        <v>1</v>
      </c>
      <c r="E916" s="219" t="b">
        <v>0</v>
      </c>
      <c r="F916" s="234">
        <v>46220.0</v>
      </c>
      <c r="G916" s="173"/>
      <c r="H916" s="157" t="s">
        <v>6464</v>
      </c>
      <c r="I916" s="226">
        <f t="shared" si="3"/>
        <v>2431</v>
      </c>
      <c r="J916" s="157">
        <v>2026.0</v>
      </c>
    </row>
    <row r="917">
      <c r="A917" s="218">
        <f t="shared" si="2"/>
        <v>914</v>
      </c>
      <c r="B917" s="218" t="s">
        <v>200</v>
      </c>
      <c r="C917" s="219" t="str">
        <f t="shared" si="1"/>
        <v>MS/2432/2026</v>
      </c>
      <c r="D917" s="218" t="b">
        <v>1</v>
      </c>
      <c r="E917" s="219" t="b">
        <v>0</v>
      </c>
      <c r="F917" s="234">
        <v>46220.0</v>
      </c>
      <c r="G917" s="173"/>
      <c r="H917" s="157" t="s">
        <v>6464</v>
      </c>
      <c r="I917" s="226">
        <f t="shared" si="3"/>
        <v>2432</v>
      </c>
      <c r="J917" s="157">
        <v>2026.0</v>
      </c>
    </row>
    <row r="918">
      <c r="A918" s="218">
        <f t="shared" si="2"/>
        <v>915</v>
      </c>
      <c r="B918" s="218" t="s">
        <v>200</v>
      </c>
      <c r="C918" s="219" t="str">
        <f t="shared" si="1"/>
        <v>MS/2433/2026</v>
      </c>
      <c r="D918" s="218" t="b">
        <v>1</v>
      </c>
      <c r="E918" s="219" t="b">
        <v>0</v>
      </c>
      <c r="F918" s="234">
        <v>46220.0</v>
      </c>
      <c r="G918" s="173"/>
      <c r="H918" s="157" t="s">
        <v>6464</v>
      </c>
      <c r="I918" s="226">
        <f t="shared" si="3"/>
        <v>2433</v>
      </c>
      <c r="J918" s="157">
        <v>2026.0</v>
      </c>
    </row>
    <row r="919">
      <c r="A919" s="218">
        <f t="shared" si="2"/>
        <v>916</v>
      </c>
      <c r="B919" s="218" t="s">
        <v>200</v>
      </c>
      <c r="C919" s="219" t="str">
        <f t="shared" si="1"/>
        <v>MS/2434/2026</v>
      </c>
      <c r="D919" s="218" t="b">
        <v>1</v>
      </c>
      <c r="E919" s="219" t="b">
        <v>0</v>
      </c>
      <c r="F919" s="234">
        <v>46220.0</v>
      </c>
      <c r="G919" s="173"/>
      <c r="H919" s="157" t="s">
        <v>6464</v>
      </c>
      <c r="I919" s="226">
        <f t="shared" si="3"/>
        <v>2434</v>
      </c>
      <c r="J919" s="157">
        <v>2026.0</v>
      </c>
    </row>
    <row r="920">
      <c r="A920" s="218">
        <f t="shared" si="2"/>
        <v>917</v>
      </c>
      <c r="B920" s="218" t="s">
        <v>200</v>
      </c>
      <c r="C920" s="219" t="str">
        <f t="shared" si="1"/>
        <v>MS/2435/2026</v>
      </c>
      <c r="D920" s="218" t="b">
        <v>1</v>
      </c>
      <c r="E920" s="219" t="b">
        <v>0</v>
      </c>
      <c r="F920" s="234">
        <v>46220.0</v>
      </c>
      <c r="G920" s="173"/>
      <c r="H920" s="157" t="s">
        <v>6464</v>
      </c>
      <c r="I920" s="226">
        <f t="shared" si="3"/>
        <v>2435</v>
      </c>
      <c r="J920" s="157">
        <v>2026.0</v>
      </c>
    </row>
    <row r="921">
      <c r="A921" s="218">
        <f t="shared" si="2"/>
        <v>918</v>
      </c>
      <c r="B921" s="218" t="s">
        <v>200</v>
      </c>
      <c r="C921" s="219" t="str">
        <f t="shared" si="1"/>
        <v>MS/2436/2026</v>
      </c>
      <c r="D921" s="218" t="b">
        <v>1</v>
      </c>
      <c r="E921" s="219" t="b">
        <v>0</v>
      </c>
      <c r="F921" s="234">
        <v>46220.0</v>
      </c>
      <c r="G921" s="173"/>
      <c r="H921" s="157" t="s">
        <v>6464</v>
      </c>
      <c r="I921" s="226">
        <f t="shared" si="3"/>
        <v>2436</v>
      </c>
      <c r="J921" s="157">
        <v>2026.0</v>
      </c>
    </row>
    <row r="922">
      <c r="A922" s="218">
        <f t="shared" si="2"/>
        <v>919</v>
      </c>
      <c r="B922" s="218" t="s">
        <v>200</v>
      </c>
      <c r="C922" s="219" t="str">
        <f t="shared" si="1"/>
        <v>MS/2437/2026</v>
      </c>
      <c r="D922" s="218" t="b">
        <v>1</v>
      </c>
      <c r="E922" s="219" t="b">
        <v>0</v>
      </c>
      <c r="F922" s="234">
        <v>46220.0</v>
      </c>
      <c r="G922" s="173"/>
      <c r="H922" s="157" t="s">
        <v>6464</v>
      </c>
      <c r="I922" s="226">
        <f t="shared" si="3"/>
        <v>2437</v>
      </c>
      <c r="J922" s="157">
        <v>2026.0</v>
      </c>
    </row>
    <row r="923">
      <c r="A923" s="218">
        <f t="shared" si="2"/>
        <v>920</v>
      </c>
      <c r="B923" s="218" t="s">
        <v>200</v>
      </c>
      <c r="C923" s="219" t="str">
        <f t="shared" si="1"/>
        <v>MS/2438/2026</v>
      </c>
      <c r="D923" s="218" t="b">
        <v>1</v>
      </c>
      <c r="E923" s="219" t="b">
        <v>0</v>
      </c>
      <c r="F923" s="234">
        <v>46220.0</v>
      </c>
      <c r="G923" s="173"/>
      <c r="H923" s="157" t="s">
        <v>6464</v>
      </c>
      <c r="I923" s="226">
        <f t="shared" si="3"/>
        <v>2438</v>
      </c>
      <c r="J923" s="157">
        <v>2026.0</v>
      </c>
    </row>
    <row r="924">
      <c r="A924" s="218">
        <f t="shared" si="2"/>
        <v>921</v>
      </c>
      <c r="B924" s="218" t="s">
        <v>200</v>
      </c>
      <c r="C924" s="219" t="str">
        <f t="shared" si="1"/>
        <v>MS/2439/2026</v>
      </c>
      <c r="D924" s="218" t="b">
        <v>1</v>
      </c>
      <c r="E924" s="219" t="b">
        <v>0</v>
      </c>
      <c r="F924" s="234">
        <v>46220.0</v>
      </c>
      <c r="G924" s="173"/>
      <c r="H924" s="157" t="s">
        <v>6464</v>
      </c>
      <c r="I924" s="226">
        <f t="shared" si="3"/>
        <v>2439</v>
      </c>
      <c r="J924" s="157">
        <v>2026.0</v>
      </c>
    </row>
    <row r="925">
      <c r="A925" s="218">
        <f t="shared" si="2"/>
        <v>922</v>
      </c>
      <c r="B925" s="218" t="s">
        <v>200</v>
      </c>
      <c r="C925" s="219" t="str">
        <f t="shared" si="1"/>
        <v>MS/2440/2026</v>
      </c>
      <c r="D925" s="218" t="b">
        <v>1</v>
      </c>
      <c r="E925" s="219" t="b">
        <v>0</v>
      </c>
      <c r="F925" s="234">
        <v>46220.0</v>
      </c>
      <c r="G925" s="173"/>
      <c r="H925" s="157" t="s">
        <v>6464</v>
      </c>
      <c r="I925" s="226">
        <f t="shared" si="3"/>
        <v>2440</v>
      </c>
      <c r="J925" s="157">
        <v>2026.0</v>
      </c>
    </row>
    <row r="926">
      <c r="A926" s="218">
        <f t="shared" si="2"/>
        <v>923</v>
      </c>
      <c r="B926" s="218" t="s">
        <v>200</v>
      </c>
      <c r="C926" s="219" t="str">
        <f t="shared" si="1"/>
        <v>MS/2441/2026</v>
      </c>
      <c r="D926" s="218" t="b">
        <v>1</v>
      </c>
      <c r="E926" s="219" t="b">
        <v>0</v>
      </c>
      <c r="F926" s="234">
        <v>46220.0</v>
      </c>
      <c r="G926" s="173"/>
      <c r="H926" s="157" t="s">
        <v>6464</v>
      </c>
      <c r="I926" s="226">
        <f t="shared" si="3"/>
        <v>2441</v>
      </c>
      <c r="J926" s="157">
        <v>2026.0</v>
      </c>
    </row>
    <row r="927">
      <c r="A927" s="218">
        <f t="shared" si="2"/>
        <v>924</v>
      </c>
      <c r="B927" s="218" t="s">
        <v>200</v>
      </c>
      <c r="C927" s="219" t="str">
        <f t="shared" si="1"/>
        <v>MS/2442/2026</v>
      </c>
      <c r="D927" s="218" t="b">
        <v>1</v>
      </c>
      <c r="E927" s="219" t="b">
        <v>0</v>
      </c>
      <c r="F927" s="234">
        <v>46220.0</v>
      </c>
      <c r="G927" s="173"/>
      <c r="H927" s="157" t="s">
        <v>6464</v>
      </c>
      <c r="I927" s="226">
        <f t="shared" si="3"/>
        <v>2442</v>
      </c>
      <c r="J927" s="157">
        <v>2026.0</v>
      </c>
    </row>
    <row r="928">
      <c r="A928" s="218">
        <f t="shared" si="2"/>
        <v>925</v>
      </c>
      <c r="B928" s="218" t="s">
        <v>200</v>
      </c>
      <c r="C928" s="219" t="str">
        <f t="shared" si="1"/>
        <v>MS/2443/2026</v>
      </c>
      <c r="D928" s="218" t="b">
        <v>1</v>
      </c>
      <c r="E928" s="219" t="b">
        <v>0</v>
      </c>
      <c r="F928" s="234">
        <v>46220.0</v>
      </c>
      <c r="G928" s="173"/>
      <c r="H928" s="157" t="s">
        <v>6464</v>
      </c>
      <c r="I928" s="226">
        <f t="shared" si="3"/>
        <v>2443</v>
      </c>
      <c r="J928" s="157">
        <v>2026.0</v>
      </c>
    </row>
    <row r="929">
      <c r="A929" s="218">
        <f t="shared" si="2"/>
        <v>926</v>
      </c>
      <c r="B929" s="218" t="s">
        <v>200</v>
      </c>
      <c r="C929" s="219" t="str">
        <f t="shared" si="1"/>
        <v>MS/2444/2026</v>
      </c>
      <c r="D929" s="218" t="b">
        <v>1</v>
      </c>
      <c r="E929" s="219" t="b">
        <v>0</v>
      </c>
      <c r="F929" s="234">
        <v>46220.0</v>
      </c>
      <c r="G929" s="173"/>
      <c r="H929" s="157" t="s">
        <v>6464</v>
      </c>
      <c r="I929" s="226">
        <f t="shared" si="3"/>
        <v>2444</v>
      </c>
      <c r="J929" s="157">
        <v>2026.0</v>
      </c>
    </row>
    <row r="930">
      <c r="A930" s="218">
        <f t="shared" si="2"/>
        <v>927</v>
      </c>
      <c r="B930" s="218" t="s">
        <v>200</v>
      </c>
      <c r="C930" s="219" t="str">
        <f t="shared" si="1"/>
        <v>MS/2445/2026</v>
      </c>
      <c r="D930" s="218" t="b">
        <v>1</v>
      </c>
      <c r="E930" s="219" t="b">
        <v>0</v>
      </c>
      <c r="F930" s="234">
        <v>46220.0</v>
      </c>
      <c r="G930" s="173"/>
      <c r="H930" s="157" t="s">
        <v>6464</v>
      </c>
      <c r="I930" s="226">
        <f t="shared" si="3"/>
        <v>2445</v>
      </c>
      <c r="J930" s="157">
        <v>2026.0</v>
      </c>
    </row>
    <row r="931">
      <c r="A931" s="218">
        <f t="shared" si="2"/>
        <v>928</v>
      </c>
      <c r="B931" s="218" t="s">
        <v>200</v>
      </c>
      <c r="C931" s="219" t="str">
        <f t="shared" si="1"/>
        <v>MS/2446/2026</v>
      </c>
      <c r="D931" s="218" t="b">
        <v>1</v>
      </c>
      <c r="E931" s="219" t="b">
        <v>0</v>
      </c>
      <c r="F931" s="234">
        <v>46220.0</v>
      </c>
      <c r="G931" s="173"/>
      <c r="H931" s="157" t="s">
        <v>6464</v>
      </c>
      <c r="I931" s="226">
        <f t="shared" si="3"/>
        <v>2446</v>
      </c>
      <c r="J931" s="157">
        <v>2026.0</v>
      </c>
    </row>
    <row r="932">
      <c r="A932" s="218">
        <f t="shared" si="2"/>
        <v>929</v>
      </c>
      <c r="B932" s="218" t="s">
        <v>200</v>
      </c>
      <c r="C932" s="219" t="str">
        <f t="shared" si="1"/>
        <v>MS/2447/2026</v>
      </c>
      <c r="D932" s="218" t="b">
        <v>1</v>
      </c>
      <c r="E932" s="219" t="b">
        <v>0</v>
      </c>
      <c r="F932" s="234">
        <v>46220.0</v>
      </c>
      <c r="G932" s="173"/>
      <c r="H932" s="157" t="s">
        <v>6464</v>
      </c>
      <c r="I932" s="226">
        <f t="shared" si="3"/>
        <v>2447</v>
      </c>
      <c r="J932" s="157">
        <v>2026.0</v>
      </c>
    </row>
    <row r="933">
      <c r="A933" s="218">
        <f t="shared" si="2"/>
        <v>930</v>
      </c>
      <c r="B933" s="218" t="s">
        <v>200</v>
      </c>
      <c r="C933" s="219" t="str">
        <f t="shared" si="1"/>
        <v>MS/2448/2026</v>
      </c>
      <c r="D933" s="218" t="b">
        <v>1</v>
      </c>
      <c r="E933" s="219" t="b">
        <v>0</v>
      </c>
      <c r="F933" s="234">
        <v>46220.0</v>
      </c>
      <c r="G933" s="173"/>
      <c r="H933" s="157" t="s">
        <v>6464</v>
      </c>
      <c r="I933" s="226">
        <f t="shared" si="3"/>
        <v>2448</v>
      </c>
      <c r="J933" s="157">
        <v>2026.0</v>
      </c>
    </row>
    <row r="934">
      <c r="A934" s="218">
        <f t="shared" si="2"/>
        <v>931</v>
      </c>
      <c r="B934" s="218" t="s">
        <v>200</v>
      </c>
      <c r="C934" s="219" t="str">
        <f t="shared" si="1"/>
        <v>MS/2449/2026</v>
      </c>
      <c r="D934" s="218" t="b">
        <v>1</v>
      </c>
      <c r="E934" s="219" t="b">
        <v>0</v>
      </c>
      <c r="F934" s="234">
        <v>46220.0</v>
      </c>
      <c r="G934" s="173"/>
      <c r="H934" s="157" t="s">
        <v>6464</v>
      </c>
      <c r="I934" s="226">
        <f t="shared" si="3"/>
        <v>2449</v>
      </c>
      <c r="J934" s="157">
        <v>2026.0</v>
      </c>
    </row>
    <row r="935">
      <c r="A935" s="218">
        <f t="shared" si="2"/>
        <v>932</v>
      </c>
      <c r="B935" s="218" t="s">
        <v>200</v>
      </c>
      <c r="C935" s="219" t="str">
        <f t="shared" si="1"/>
        <v>MS/2450/2026</v>
      </c>
      <c r="D935" s="218" t="b">
        <v>1</v>
      </c>
      <c r="E935" s="219" t="b">
        <v>0</v>
      </c>
      <c r="F935" s="234">
        <v>46220.0</v>
      </c>
      <c r="G935" s="173"/>
      <c r="H935" s="157" t="s">
        <v>6464</v>
      </c>
      <c r="I935" s="226">
        <f t="shared" si="3"/>
        <v>2450</v>
      </c>
      <c r="J935" s="157">
        <v>2026.0</v>
      </c>
    </row>
    <row r="936">
      <c r="A936" s="218">
        <f t="shared" si="2"/>
        <v>933</v>
      </c>
      <c r="B936" s="218" t="s">
        <v>200</v>
      </c>
      <c r="C936" s="219" t="str">
        <f t="shared" si="1"/>
        <v>MS/2451/2026</v>
      </c>
      <c r="D936" s="218" t="b">
        <v>1</v>
      </c>
      <c r="E936" s="219" t="b">
        <v>0</v>
      </c>
      <c r="F936" s="234">
        <v>46220.0</v>
      </c>
      <c r="G936" s="173"/>
      <c r="H936" s="157" t="s">
        <v>6464</v>
      </c>
      <c r="I936" s="226">
        <f t="shared" si="3"/>
        <v>2451</v>
      </c>
      <c r="J936" s="157">
        <v>2026.0</v>
      </c>
    </row>
    <row r="937">
      <c r="A937" s="218">
        <f t="shared" si="2"/>
        <v>934</v>
      </c>
      <c r="B937" s="218" t="s">
        <v>200</v>
      </c>
      <c r="C937" s="219" t="str">
        <f t="shared" si="1"/>
        <v>MS/2452/2026</v>
      </c>
      <c r="D937" s="218" t="b">
        <v>1</v>
      </c>
      <c r="E937" s="219" t="b">
        <v>0</v>
      </c>
      <c r="F937" s="234">
        <v>46220.0</v>
      </c>
      <c r="G937" s="173"/>
      <c r="H937" s="157" t="s">
        <v>6464</v>
      </c>
      <c r="I937" s="226">
        <f t="shared" si="3"/>
        <v>2452</v>
      </c>
      <c r="J937" s="157">
        <v>2026.0</v>
      </c>
    </row>
    <row r="938">
      <c r="A938" s="218">
        <f t="shared" si="2"/>
        <v>935</v>
      </c>
      <c r="B938" s="218" t="s">
        <v>200</v>
      </c>
      <c r="C938" s="219" t="str">
        <f t="shared" si="1"/>
        <v>MS/2453/2026</v>
      </c>
      <c r="D938" s="218" t="b">
        <v>1</v>
      </c>
      <c r="E938" s="219" t="b">
        <v>0</v>
      </c>
      <c r="F938" s="234">
        <v>46220.0</v>
      </c>
      <c r="G938" s="173"/>
      <c r="H938" s="157" t="s">
        <v>6464</v>
      </c>
      <c r="I938" s="226">
        <f t="shared" si="3"/>
        <v>2453</v>
      </c>
      <c r="J938" s="157">
        <v>2026.0</v>
      </c>
    </row>
    <row r="939">
      <c r="A939" s="218">
        <f t="shared" si="2"/>
        <v>936</v>
      </c>
      <c r="B939" s="218" t="s">
        <v>200</v>
      </c>
      <c r="C939" s="219" t="str">
        <f t="shared" si="1"/>
        <v>MS/2454/2026</v>
      </c>
      <c r="D939" s="218" t="b">
        <v>1</v>
      </c>
      <c r="E939" s="219" t="b">
        <v>0</v>
      </c>
      <c r="F939" s="234">
        <v>46220.0</v>
      </c>
      <c r="G939" s="173"/>
      <c r="H939" s="157" t="s">
        <v>6464</v>
      </c>
      <c r="I939" s="226">
        <f t="shared" si="3"/>
        <v>2454</v>
      </c>
      <c r="J939" s="157">
        <v>2026.0</v>
      </c>
    </row>
    <row r="940">
      <c r="A940" s="218">
        <f t="shared" si="2"/>
        <v>937</v>
      </c>
      <c r="B940" s="218" t="s">
        <v>200</v>
      </c>
      <c r="C940" s="219" t="str">
        <f t="shared" si="1"/>
        <v>MS/2455/2026</v>
      </c>
      <c r="D940" s="218" t="b">
        <v>1</v>
      </c>
      <c r="E940" s="219" t="b">
        <v>0</v>
      </c>
      <c r="F940" s="234">
        <v>46220.0</v>
      </c>
      <c r="G940" s="173"/>
      <c r="H940" s="157" t="s">
        <v>6464</v>
      </c>
      <c r="I940" s="226">
        <f t="shared" si="3"/>
        <v>2455</v>
      </c>
      <c r="J940" s="157">
        <v>2026.0</v>
      </c>
    </row>
    <row r="941">
      <c r="A941" s="218">
        <f t="shared" si="2"/>
        <v>938</v>
      </c>
      <c r="B941" s="218" t="s">
        <v>200</v>
      </c>
      <c r="C941" s="219" t="str">
        <f t="shared" si="1"/>
        <v>MS/2456/2026</v>
      </c>
      <c r="D941" s="218" t="b">
        <v>1</v>
      </c>
      <c r="E941" s="219" t="b">
        <v>0</v>
      </c>
      <c r="F941" s="234">
        <v>46220.0</v>
      </c>
      <c r="G941" s="173"/>
      <c r="H941" s="157" t="s">
        <v>6464</v>
      </c>
      <c r="I941" s="226">
        <f t="shared" si="3"/>
        <v>2456</v>
      </c>
      <c r="J941" s="157">
        <v>2026.0</v>
      </c>
    </row>
    <row r="942">
      <c r="A942" s="218">
        <f t="shared" si="2"/>
        <v>939</v>
      </c>
      <c r="B942" s="218" t="s">
        <v>200</v>
      </c>
      <c r="C942" s="219" t="str">
        <f t="shared" si="1"/>
        <v>MS/2457/2026</v>
      </c>
      <c r="D942" s="218" t="b">
        <v>1</v>
      </c>
      <c r="E942" s="219" t="b">
        <v>0</v>
      </c>
      <c r="F942" s="234">
        <v>46220.0</v>
      </c>
      <c r="G942" s="173"/>
      <c r="H942" s="157" t="s">
        <v>6464</v>
      </c>
      <c r="I942" s="226">
        <f t="shared" si="3"/>
        <v>2457</v>
      </c>
      <c r="J942" s="157">
        <v>2026.0</v>
      </c>
    </row>
    <row r="943">
      <c r="A943" s="218">
        <f t="shared" si="2"/>
        <v>940</v>
      </c>
      <c r="B943" s="218" t="s">
        <v>200</v>
      </c>
      <c r="C943" s="219" t="str">
        <f t="shared" si="1"/>
        <v>MS/2458/2026</v>
      </c>
      <c r="D943" s="218" t="b">
        <v>1</v>
      </c>
      <c r="E943" s="219" t="b">
        <v>0</v>
      </c>
      <c r="F943" s="234">
        <v>46220.0</v>
      </c>
      <c r="G943" s="173"/>
      <c r="H943" s="157" t="s">
        <v>6464</v>
      </c>
      <c r="I943" s="226">
        <f t="shared" si="3"/>
        <v>2458</v>
      </c>
      <c r="J943" s="157">
        <v>2026.0</v>
      </c>
    </row>
    <row r="944">
      <c r="A944" s="218">
        <f t="shared" si="2"/>
        <v>941</v>
      </c>
      <c r="B944" s="218" t="s">
        <v>200</v>
      </c>
      <c r="C944" s="219" t="str">
        <f t="shared" si="1"/>
        <v>MS/2459/2026</v>
      </c>
      <c r="D944" s="218" t="b">
        <v>1</v>
      </c>
      <c r="E944" s="219" t="b">
        <v>0</v>
      </c>
      <c r="F944" s="234">
        <v>46220.0</v>
      </c>
      <c r="G944" s="173"/>
      <c r="H944" s="157" t="s">
        <v>6464</v>
      </c>
      <c r="I944" s="226">
        <f t="shared" si="3"/>
        <v>2459</v>
      </c>
      <c r="J944" s="157">
        <v>2026.0</v>
      </c>
    </row>
    <row r="945">
      <c r="A945" s="218">
        <f t="shared" si="2"/>
        <v>942</v>
      </c>
      <c r="B945" s="218" t="s">
        <v>200</v>
      </c>
      <c r="C945" s="219" t="str">
        <f t="shared" si="1"/>
        <v>MS/2460/2026</v>
      </c>
      <c r="D945" s="218" t="b">
        <v>1</v>
      </c>
      <c r="E945" s="219" t="b">
        <v>0</v>
      </c>
      <c r="F945" s="234">
        <v>46220.0</v>
      </c>
      <c r="G945" s="173"/>
      <c r="H945" s="157" t="s">
        <v>6464</v>
      </c>
      <c r="I945" s="226">
        <f t="shared" si="3"/>
        <v>2460</v>
      </c>
      <c r="J945" s="157">
        <v>2026.0</v>
      </c>
    </row>
    <row r="946">
      <c r="A946" s="218">
        <f t="shared" si="2"/>
        <v>943</v>
      </c>
      <c r="B946" s="218" t="s">
        <v>200</v>
      </c>
      <c r="C946" s="219" t="str">
        <f t="shared" si="1"/>
        <v>MS/2461/2026</v>
      </c>
      <c r="D946" s="218" t="b">
        <v>1</v>
      </c>
      <c r="E946" s="219" t="b">
        <v>0</v>
      </c>
      <c r="F946" s="234">
        <v>46220.0</v>
      </c>
      <c r="G946" s="173"/>
      <c r="H946" s="157" t="s">
        <v>6464</v>
      </c>
      <c r="I946" s="226">
        <f t="shared" si="3"/>
        <v>2461</v>
      </c>
      <c r="J946" s="157">
        <v>2026.0</v>
      </c>
    </row>
    <row r="947">
      <c r="A947" s="218">
        <f t="shared" si="2"/>
        <v>944</v>
      </c>
      <c r="B947" s="218" t="s">
        <v>200</v>
      </c>
      <c r="C947" s="219" t="str">
        <f t="shared" si="1"/>
        <v>MS/2462/2026</v>
      </c>
      <c r="D947" s="218" t="b">
        <v>1</v>
      </c>
      <c r="E947" s="219" t="b">
        <v>0</v>
      </c>
      <c r="F947" s="234">
        <v>46220.0</v>
      </c>
      <c r="G947" s="173"/>
      <c r="H947" s="157" t="s">
        <v>6464</v>
      </c>
      <c r="I947" s="226">
        <f t="shared" si="3"/>
        <v>2462</v>
      </c>
      <c r="J947" s="157">
        <v>2026.0</v>
      </c>
    </row>
    <row r="948">
      <c r="A948" s="218">
        <f t="shared" si="2"/>
        <v>945</v>
      </c>
      <c r="B948" s="218" t="s">
        <v>200</v>
      </c>
      <c r="C948" s="219" t="str">
        <f t="shared" si="1"/>
        <v>MS/2463/2026</v>
      </c>
      <c r="D948" s="218" t="b">
        <v>1</v>
      </c>
      <c r="E948" s="219" t="b">
        <v>0</v>
      </c>
      <c r="F948" s="234">
        <v>46220.0</v>
      </c>
      <c r="G948" s="173"/>
      <c r="H948" s="157" t="s">
        <v>6464</v>
      </c>
      <c r="I948" s="226">
        <f t="shared" si="3"/>
        <v>2463</v>
      </c>
      <c r="J948" s="157">
        <v>2026.0</v>
      </c>
    </row>
    <row r="949">
      <c r="A949" s="218">
        <f t="shared" si="2"/>
        <v>946</v>
      </c>
      <c r="B949" s="218" t="s">
        <v>200</v>
      </c>
      <c r="C949" s="219" t="str">
        <f t="shared" si="1"/>
        <v>//</v>
      </c>
      <c r="D949" s="218" t="b">
        <v>0</v>
      </c>
      <c r="E949" s="218" t="b">
        <v>1</v>
      </c>
      <c r="F949" s="234"/>
      <c r="G949" s="173"/>
      <c r="H949" s="173"/>
      <c r="I949" s="157"/>
      <c r="J949" s="173"/>
    </row>
    <row r="950">
      <c r="A950" s="216"/>
      <c r="B950" s="216"/>
      <c r="C950" s="216"/>
      <c r="D950" s="216"/>
      <c r="E950" s="216"/>
      <c r="F950" s="216"/>
      <c r="G950" s="173"/>
      <c r="H950" s="173"/>
      <c r="I950" s="157"/>
      <c r="J950" s="173"/>
    </row>
    <row r="951">
      <c r="A951" s="216"/>
      <c r="B951" s="216"/>
      <c r="C951" s="216"/>
      <c r="D951" s="216"/>
      <c r="E951" s="216"/>
      <c r="F951" s="216"/>
      <c r="G951" s="173"/>
      <c r="H951" s="173"/>
      <c r="I951" s="157"/>
      <c r="J951" s="173"/>
    </row>
    <row r="952">
      <c r="A952" s="216"/>
      <c r="B952" s="216"/>
      <c r="C952" s="216"/>
      <c r="D952" s="216"/>
      <c r="E952" s="216"/>
      <c r="F952" s="216"/>
      <c r="G952" s="173"/>
      <c r="H952" s="173"/>
      <c r="I952" s="157"/>
      <c r="J952" s="173"/>
    </row>
    <row r="953">
      <c r="A953" s="216"/>
      <c r="B953" s="216"/>
      <c r="C953" s="216"/>
      <c r="D953" s="216"/>
      <c r="E953" s="216"/>
      <c r="F953" s="216"/>
      <c r="G953" s="173"/>
      <c r="H953" s="173"/>
      <c r="I953" s="157"/>
      <c r="J953" s="173"/>
    </row>
    <row r="954">
      <c r="A954" s="216"/>
      <c r="B954" s="216"/>
      <c r="C954" s="216"/>
      <c r="D954" s="216"/>
      <c r="E954" s="216"/>
      <c r="F954" s="216"/>
      <c r="G954" s="173"/>
      <c r="H954" s="173"/>
      <c r="I954" s="157"/>
      <c r="J954" s="173"/>
    </row>
    <row r="955">
      <c r="A955" s="216"/>
      <c r="B955" s="216"/>
      <c r="C955" s="216"/>
      <c r="D955" s="216"/>
      <c r="E955" s="216"/>
      <c r="F955" s="216"/>
      <c r="G955" s="173"/>
      <c r="H955" s="173"/>
      <c r="I955" s="157"/>
      <c r="J955" s="173"/>
    </row>
    <row r="956">
      <c r="A956" s="216"/>
      <c r="B956" s="216"/>
      <c r="C956" s="216"/>
      <c r="D956" s="216"/>
      <c r="E956" s="216"/>
      <c r="F956" s="216"/>
      <c r="G956" s="173"/>
      <c r="H956" s="173"/>
      <c r="I956" s="157"/>
      <c r="J956" s="173"/>
    </row>
    <row r="957">
      <c r="A957" s="216"/>
      <c r="B957" s="216"/>
      <c r="C957" s="216"/>
      <c r="D957" s="216"/>
      <c r="E957" s="216"/>
      <c r="F957" s="216"/>
      <c r="G957" s="173"/>
      <c r="H957" s="173"/>
      <c r="I957" s="157"/>
      <c r="J957" s="173"/>
    </row>
    <row r="958">
      <c r="A958" s="216"/>
      <c r="B958" s="216"/>
      <c r="C958" s="216"/>
      <c r="D958" s="216"/>
      <c r="E958" s="216"/>
      <c r="F958" s="216"/>
      <c r="G958" s="173"/>
      <c r="H958" s="173"/>
      <c r="I958" s="157"/>
      <c r="J958" s="173"/>
    </row>
    <row r="959">
      <c r="A959" s="216"/>
      <c r="B959" s="216"/>
      <c r="C959" s="216"/>
      <c r="D959" s="216"/>
      <c r="E959" s="216"/>
      <c r="F959" s="216"/>
      <c r="G959" s="173"/>
      <c r="H959" s="173"/>
      <c r="I959" s="157"/>
      <c r="J959" s="173"/>
    </row>
    <row r="960">
      <c r="A960" s="216"/>
      <c r="B960" s="216"/>
      <c r="C960" s="216"/>
      <c r="D960" s="216"/>
      <c r="E960" s="216"/>
      <c r="F960" s="216"/>
      <c r="G960" s="173"/>
      <c r="H960" s="173"/>
      <c r="I960" s="157"/>
      <c r="J960" s="173"/>
    </row>
    <row r="961">
      <c r="A961" s="216"/>
      <c r="B961" s="216"/>
      <c r="C961" s="216"/>
      <c r="D961" s="216"/>
      <c r="E961" s="216"/>
      <c r="F961" s="216"/>
      <c r="G961" s="173"/>
      <c r="H961" s="173"/>
      <c r="I961" s="157"/>
      <c r="J961" s="173"/>
    </row>
    <row r="962">
      <c r="A962" s="216"/>
      <c r="B962" s="216"/>
      <c r="C962" s="216"/>
      <c r="D962" s="216"/>
      <c r="E962" s="216"/>
      <c r="F962" s="216"/>
      <c r="G962" s="173"/>
      <c r="H962" s="173"/>
      <c r="I962" s="157"/>
      <c r="J962" s="173"/>
    </row>
    <row r="963">
      <c r="A963" s="216"/>
      <c r="B963" s="216"/>
      <c r="C963" s="216"/>
      <c r="D963" s="216"/>
      <c r="E963" s="216"/>
      <c r="F963" s="216"/>
      <c r="G963" s="173"/>
      <c r="H963" s="173"/>
      <c r="I963" s="157"/>
      <c r="J963" s="173"/>
    </row>
    <row r="964">
      <c r="A964" s="216"/>
      <c r="B964" s="216"/>
      <c r="C964" s="216"/>
      <c r="D964" s="216"/>
      <c r="E964" s="216"/>
      <c r="F964" s="216"/>
      <c r="G964" s="173"/>
      <c r="H964" s="173"/>
      <c r="I964" s="157"/>
      <c r="J964" s="173"/>
    </row>
    <row r="965">
      <c r="A965" s="216"/>
      <c r="B965" s="216"/>
      <c r="C965" s="216"/>
      <c r="D965" s="216"/>
      <c r="E965" s="216"/>
      <c r="F965" s="216"/>
      <c r="G965" s="173"/>
      <c r="H965" s="173"/>
      <c r="I965" s="157"/>
      <c r="J965" s="173"/>
    </row>
    <row r="966">
      <c r="A966" s="216"/>
      <c r="B966" s="216"/>
      <c r="C966" s="216"/>
      <c r="D966" s="216"/>
      <c r="E966" s="216"/>
      <c r="F966" s="216"/>
      <c r="G966" s="173"/>
      <c r="H966" s="173"/>
      <c r="I966" s="157"/>
      <c r="J966" s="173"/>
    </row>
    <row r="967">
      <c r="A967" s="216"/>
      <c r="B967" s="216"/>
      <c r="C967" s="216"/>
      <c r="D967" s="216"/>
      <c r="E967" s="216"/>
      <c r="F967" s="216"/>
      <c r="G967" s="173"/>
      <c r="H967" s="173"/>
      <c r="I967" s="157"/>
      <c r="J967" s="173"/>
    </row>
    <row r="968">
      <c r="A968" s="216"/>
      <c r="B968" s="216"/>
      <c r="C968" s="216"/>
      <c r="D968" s="216"/>
      <c r="E968" s="216"/>
      <c r="F968" s="216"/>
      <c r="G968" s="173"/>
      <c r="H968" s="173"/>
      <c r="I968" s="157"/>
      <c r="J968" s="173"/>
    </row>
    <row r="969">
      <c r="A969" s="216"/>
      <c r="B969" s="216"/>
      <c r="C969" s="216"/>
      <c r="D969" s="216"/>
      <c r="E969" s="216"/>
      <c r="F969" s="216"/>
      <c r="G969" s="173"/>
      <c r="H969" s="173"/>
      <c r="I969" s="157"/>
      <c r="J969" s="173"/>
    </row>
    <row r="970">
      <c r="A970" s="216"/>
      <c r="B970" s="216"/>
      <c r="C970" s="216"/>
      <c r="D970" s="216"/>
      <c r="E970" s="216"/>
      <c r="F970" s="216"/>
      <c r="G970" s="173"/>
      <c r="H970" s="173"/>
      <c r="I970" s="157"/>
      <c r="J970" s="173"/>
    </row>
    <row r="971">
      <c r="A971" s="216"/>
      <c r="B971" s="216"/>
      <c r="C971" s="216"/>
      <c r="D971" s="216"/>
      <c r="E971" s="216"/>
      <c r="F971" s="216"/>
      <c r="G971" s="173"/>
      <c r="H971" s="173"/>
      <c r="I971" s="173"/>
      <c r="J971" s="173"/>
    </row>
    <row r="972">
      <c r="A972" s="216"/>
      <c r="B972" s="216"/>
      <c r="C972" s="216"/>
      <c r="D972" s="216"/>
      <c r="E972" s="216"/>
      <c r="F972" s="216"/>
      <c r="G972" s="173"/>
      <c r="H972" s="173"/>
      <c r="I972" s="173"/>
      <c r="J972" s="173"/>
    </row>
    <row r="973">
      <c r="A973" s="216"/>
      <c r="B973" s="216"/>
      <c r="C973" s="216"/>
      <c r="D973" s="216"/>
      <c r="E973" s="216"/>
      <c r="F973" s="216"/>
      <c r="G973" s="173"/>
      <c r="H973" s="173"/>
      <c r="I973" s="173"/>
      <c r="J973" s="173"/>
    </row>
    <row r="974">
      <c r="A974" s="216"/>
      <c r="B974" s="216"/>
      <c r="C974" s="216"/>
      <c r="D974" s="216"/>
      <c r="E974" s="216"/>
      <c r="F974" s="216"/>
      <c r="G974" s="173"/>
      <c r="H974" s="173"/>
      <c r="I974" s="173"/>
      <c r="J974" s="173"/>
    </row>
    <row r="975">
      <c r="A975" s="216"/>
      <c r="B975" s="216"/>
      <c r="C975" s="216"/>
      <c r="D975" s="216"/>
      <c r="E975" s="216"/>
      <c r="F975" s="216"/>
      <c r="G975" s="173"/>
      <c r="H975" s="173"/>
      <c r="I975" s="173"/>
      <c r="J975" s="173"/>
    </row>
    <row r="976">
      <c r="A976" s="216"/>
      <c r="B976" s="216"/>
      <c r="C976" s="216"/>
      <c r="D976" s="216"/>
      <c r="E976" s="216"/>
      <c r="F976" s="216"/>
      <c r="G976" s="173"/>
      <c r="H976" s="173"/>
      <c r="I976" s="173"/>
      <c r="J976" s="173"/>
    </row>
    <row r="977">
      <c r="A977" s="216"/>
      <c r="B977" s="216"/>
      <c r="C977" s="216"/>
      <c r="D977" s="216"/>
      <c r="E977" s="216"/>
      <c r="F977" s="216"/>
      <c r="G977" s="173"/>
      <c r="H977" s="173"/>
      <c r="I977" s="173"/>
      <c r="J977" s="173"/>
    </row>
    <row r="978">
      <c r="A978" s="216"/>
      <c r="B978" s="216"/>
      <c r="C978" s="216"/>
      <c r="D978" s="216"/>
      <c r="E978" s="216"/>
      <c r="F978" s="216"/>
      <c r="G978" s="173"/>
      <c r="H978" s="173"/>
      <c r="I978" s="173"/>
      <c r="J978" s="173"/>
    </row>
    <row r="979">
      <c r="A979" s="216"/>
      <c r="B979" s="216"/>
      <c r="C979" s="216"/>
      <c r="D979" s="216"/>
      <c r="E979" s="216"/>
      <c r="F979" s="216"/>
      <c r="G979" s="173"/>
      <c r="H979" s="173"/>
      <c r="I979" s="173"/>
      <c r="J979" s="173"/>
    </row>
    <row r="980">
      <c r="A980" s="216"/>
      <c r="B980" s="216"/>
      <c r="C980" s="216"/>
      <c r="D980" s="216"/>
      <c r="E980" s="216"/>
      <c r="F980" s="216"/>
      <c r="G980" s="173"/>
      <c r="H980" s="173"/>
      <c r="I980" s="173"/>
      <c r="J980" s="173"/>
    </row>
    <row r="981">
      <c r="A981" s="216"/>
      <c r="B981" s="216"/>
      <c r="C981" s="216"/>
      <c r="D981" s="216"/>
      <c r="E981" s="216"/>
      <c r="F981" s="216"/>
      <c r="G981" s="173"/>
      <c r="H981" s="173"/>
      <c r="I981" s="173"/>
      <c r="J981" s="173"/>
    </row>
    <row r="982">
      <c r="A982" s="216"/>
      <c r="B982" s="216"/>
      <c r="C982" s="216"/>
      <c r="D982" s="216"/>
      <c r="E982" s="216"/>
      <c r="F982" s="216"/>
      <c r="G982" s="173"/>
      <c r="H982" s="173"/>
      <c r="I982" s="173"/>
      <c r="J982" s="173"/>
    </row>
    <row r="983">
      <c r="A983" s="216"/>
      <c r="B983" s="216"/>
      <c r="C983" s="216"/>
      <c r="D983" s="216"/>
      <c r="E983" s="216"/>
      <c r="F983" s="216"/>
      <c r="G983" s="173"/>
      <c r="H983" s="173"/>
      <c r="I983" s="173"/>
      <c r="J983" s="173"/>
    </row>
    <row r="984">
      <c r="A984" s="216"/>
      <c r="B984" s="216"/>
      <c r="C984" s="216"/>
      <c r="D984" s="216"/>
      <c r="E984" s="216"/>
      <c r="F984" s="216"/>
      <c r="G984" s="173"/>
      <c r="H984" s="173"/>
      <c r="I984" s="173"/>
      <c r="J984" s="173"/>
    </row>
    <row r="985">
      <c r="A985" s="216"/>
      <c r="B985" s="216"/>
      <c r="C985" s="216"/>
      <c r="D985" s="216"/>
      <c r="E985" s="216"/>
      <c r="F985" s="216"/>
      <c r="G985" s="173"/>
      <c r="H985" s="173"/>
      <c r="I985" s="173"/>
      <c r="J985" s="173"/>
    </row>
    <row r="986">
      <c r="A986" s="216"/>
      <c r="B986" s="216"/>
      <c r="C986" s="216"/>
      <c r="D986" s="216"/>
      <c r="E986" s="216"/>
      <c r="F986" s="216"/>
      <c r="G986" s="173"/>
      <c r="H986" s="173"/>
      <c r="I986" s="173"/>
      <c r="J986" s="173"/>
    </row>
    <row r="987">
      <c r="A987" s="216"/>
      <c r="B987" s="216"/>
      <c r="C987" s="216"/>
      <c r="D987" s="216"/>
      <c r="E987" s="216"/>
      <c r="F987" s="216"/>
      <c r="G987" s="173"/>
      <c r="H987" s="173"/>
      <c r="I987" s="173"/>
      <c r="J987" s="173"/>
    </row>
    <row r="988">
      <c r="A988" s="216"/>
      <c r="B988" s="216"/>
      <c r="C988" s="216"/>
      <c r="D988" s="216"/>
      <c r="E988" s="216"/>
      <c r="F988" s="216"/>
      <c r="G988" s="173"/>
      <c r="H988" s="173"/>
      <c r="I988" s="173"/>
      <c r="J988" s="173"/>
    </row>
    <row r="989">
      <c r="A989" s="216"/>
      <c r="B989" s="216"/>
      <c r="C989" s="216"/>
      <c r="D989" s="216"/>
      <c r="E989" s="216"/>
      <c r="F989" s="216"/>
      <c r="G989" s="173"/>
      <c r="H989" s="173"/>
      <c r="I989" s="173"/>
      <c r="J989" s="173"/>
    </row>
    <row r="990">
      <c r="A990" s="216"/>
      <c r="B990" s="216"/>
      <c r="C990" s="216"/>
      <c r="D990" s="216"/>
      <c r="E990" s="216"/>
      <c r="F990" s="216"/>
      <c r="G990" s="173"/>
      <c r="H990" s="173"/>
      <c r="I990" s="173"/>
      <c r="J990" s="173"/>
    </row>
    <row r="991">
      <c r="A991" s="216"/>
      <c r="B991" s="216"/>
      <c r="C991" s="216"/>
      <c r="D991" s="216"/>
      <c r="E991" s="216"/>
      <c r="F991" s="216"/>
      <c r="G991" s="173"/>
      <c r="H991" s="173"/>
      <c r="I991" s="173"/>
      <c r="J991" s="173"/>
    </row>
    <row r="992">
      <c r="A992" s="216"/>
      <c r="B992" s="216"/>
      <c r="C992" s="216"/>
      <c r="D992" s="216"/>
      <c r="E992" s="216"/>
      <c r="F992" s="216"/>
      <c r="G992" s="173"/>
      <c r="H992" s="173"/>
      <c r="I992" s="173"/>
      <c r="J992" s="173"/>
    </row>
    <row r="993">
      <c r="A993" s="216"/>
      <c r="B993" s="216"/>
      <c r="C993" s="216"/>
      <c r="D993" s="216"/>
      <c r="E993" s="216"/>
      <c r="F993" s="216"/>
      <c r="G993" s="173"/>
      <c r="H993" s="173"/>
      <c r="I993" s="173"/>
      <c r="J993" s="173"/>
    </row>
    <row r="994">
      <c r="A994" s="216"/>
      <c r="B994" s="216"/>
      <c r="C994" s="216"/>
      <c r="D994" s="216"/>
      <c r="E994" s="216"/>
      <c r="F994" s="216"/>
      <c r="G994" s="173"/>
      <c r="H994" s="173"/>
      <c r="I994" s="173"/>
      <c r="J994" s="173"/>
    </row>
    <row r="995">
      <c r="A995" s="216"/>
      <c r="B995" s="216"/>
      <c r="C995" s="216"/>
      <c r="D995" s="216"/>
      <c r="E995" s="216"/>
      <c r="F995" s="216"/>
      <c r="G995" s="173"/>
      <c r="H995" s="173"/>
      <c r="I995" s="173"/>
      <c r="J995" s="173"/>
    </row>
    <row r="996">
      <c r="A996" s="216"/>
      <c r="B996" s="216"/>
      <c r="C996" s="216"/>
      <c r="D996" s="216"/>
      <c r="E996" s="216"/>
      <c r="F996" s="216"/>
      <c r="G996" s="173"/>
      <c r="H996" s="173"/>
      <c r="I996" s="173"/>
      <c r="J996" s="173"/>
    </row>
    <row r="997">
      <c r="A997" s="216"/>
      <c r="B997" s="216"/>
      <c r="C997" s="216"/>
      <c r="D997" s="216"/>
      <c r="E997" s="216"/>
      <c r="F997" s="216"/>
      <c r="G997" s="173"/>
      <c r="H997" s="173"/>
      <c r="I997" s="173"/>
      <c r="J997" s="173"/>
    </row>
    <row r="998">
      <c r="A998" s="216"/>
      <c r="B998" s="216"/>
      <c r="C998" s="216"/>
      <c r="D998" s="216"/>
      <c r="E998" s="216"/>
      <c r="F998" s="216"/>
      <c r="G998" s="173"/>
      <c r="H998" s="173"/>
      <c r="I998" s="173"/>
      <c r="J998" s="173"/>
    </row>
    <row r="999">
      <c r="A999" s="216"/>
      <c r="B999" s="216"/>
      <c r="C999" s="216"/>
      <c r="D999" s="216"/>
      <c r="E999" s="216"/>
      <c r="F999" s="216"/>
      <c r="G999" s="173"/>
      <c r="H999" s="173"/>
      <c r="I999" s="173"/>
      <c r="J999" s="173"/>
    </row>
    <row r="1000">
      <c r="A1000" s="216"/>
      <c r="B1000" s="216"/>
      <c r="C1000" s="216"/>
      <c r="D1000" s="216"/>
      <c r="E1000" s="216"/>
      <c r="F1000" s="216"/>
      <c r="G1000" s="173"/>
      <c r="H1000" s="173"/>
      <c r="I1000" s="173"/>
      <c r="J1000" s="173"/>
    </row>
  </sheetData>
  <autoFilter ref="$A$3:$F$850"/>
  <mergeCells count="1">
    <mergeCell ref="B1:J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6.38"/>
    <col customWidth="1" min="3" max="3" width="26.0"/>
    <col customWidth="1" min="4" max="6" width="16.5"/>
    <col customWidth="1" min="7" max="7" width="17.63"/>
    <col customWidth="1" min="9" max="9" width="21.25"/>
  </cols>
  <sheetData>
    <row r="1">
      <c r="A1" s="217" t="s">
        <v>6</v>
      </c>
      <c r="B1" s="217" t="s">
        <v>3571</v>
      </c>
      <c r="C1" s="217" t="s">
        <v>3572</v>
      </c>
      <c r="D1" s="217" t="s">
        <v>5857</v>
      </c>
      <c r="E1" s="217" t="s">
        <v>222</v>
      </c>
      <c r="F1" s="217" t="s">
        <v>5858</v>
      </c>
      <c r="G1" s="217" t="s">
        <v>26</v>
      </c>
    </row>
    <row r="2">
      <c r="A2" s="218">
        <v>1.0</v>
      </c>
      <c r="B2" s="218" t="s">
        <v>200</v>
      </c>
      <c r="C2" s="218">
        <v>9.0</v>
      </c>
      <c r="D2" s="218" t="b">
        <v>1</v>
      </c>
      <c r="E2" s="219" t="b">
        <v>0</v>
      </c>
      <c r="F2" s="219" t="b">
        <v>0</v>
      </c>
      <c r="G2" s="219"/>
    </row>
    <row r="3">
      <c r="A3" s="218">
        <f t="shared" ref="A3:A1042" si="1">A2+1</f>
        <v>2</v>
      </c>
      <c r="B3" s="218" t="s">
        <v>200</v>
      </c>
      <c r="C3" s="218">
        <v>36.0</v>
      </c>
      <c r="D3" s="218" t="b">
        <v>1</v>
      </c>
      <c r="E3" s="219" t="b">
        <v>0</v>
      </c>
      <c r="F3" s="219" t="b">
        <v>0</v>
      </c>
      <c r="G3" s="219"/>
    </row>
    <row r="4">
      <c r="A4" s="218">
        <f t="shared" si="1"/>
        <v>3</v>
      </c>
      <c r="B4" s="218" t="s">
        <v>200</v>
      </c>
      <c r="C4" s="218">
        <v>50.0</v>
      </c>
      <c r="D4" s="218" t="b">
        <v>1</v>
      </c>
      <c r="E4" s="219" t="b">
        <v>0</v>
      </c>
      <c r="F4" s="219" t="b">
        <v>0</v>
      </c>
      <c r="G4" s="219"/>
    </row>
    <row r="5">
      <c r="A5" s="218">
        <f t="shared" si="1"/>
        <v>4</v>
      </c>
      <c r="B5" s="218" t="s">
        <v>200</v>
      </c>
      <c r="C5" s="218">
        <v>78.0</v>
      </c>
      <c r="D5" s="218" t="b">
        <v>1</v>
      </c>
      <c r="E5" s="219" t="b">
        <v>0</v>
      </c>
      <c r="F5" s="219" t="b">
        <v>0</v>
      </c>
      <c r="G5" s="219"/>
    </row>
    <row r="6">
      <c r="A6" s="218">
        <f t="shared" si="1"/>
        <v>5</v>
      </c>
      <c r="B6" s="218" t="s">
        <v>200</v>
      </c>
      <c r="C6" s="218">
        <v>88.0</v>
      </c>
      <c r="D6" s="218" t="b">
        <v>1</v>
      </c>
      <c r="E6" s="219" t="b">
        <v>0</v>
      </c>
      <c r="F6" s="219" t="b">
        <v>0</v>
      </c>
      <c r="G6" s="219"/>
    </row>
    <row r="7">
      <c r="A7" s="218">
        <f t="shared" si="1"/>
        <v>6</v>
      </c>
      <c r="B7" s="218" t="s">
        <v>200</v>
      </c>
      <c r="C7" s="218">
        <v>113.0</v>
      </c>
      <c r="D7" s="218" t="b">
        <v>1</v>
      </c>
      <c r="E7" s="219" t="b">
        <v>0</v>
      </c>
      <c r="F7" s="219" t="b">
        <v>0</v>
      </c>
      <c r="G7" s="219"/>
    </row>
    <row r="8">
      <c r="A8" s="218">
        <f t="shared" si="1"/>
        <v>7</v>
      </c>
      <c r="B8" s="218" t="s">
        <v>200</v>
      </c>
      <c r="C8" s="218">
        <v>121.0</v>
      </c>
      <c r="D8" s="218" t="b">
        <v>1</v>
      </c>
      <c r="E8" s="219" t="b">
        <v>0</v>
      </c>
      <c r="F8" s="219" t="b">
        <v>0</v>
      </c>
      <c r="G8" s="219"/>
    </row>
    <row r="9">
      <c r="A9" s="218">
        <f t="shared" si="1"/>
        <v>8</v>
      </c>
      <c r="B9" s="218" t="s">
        <v>200</v>
      </c>
      <c r="C9" s="218">
        <v>136.0</v>
      </c>
      <c r="D9" s="218" t="b">
        <v>1</v>
      </c>
      <c r="E9" s="219" t="b">
        <v>0</v>
      </c>
      <c r="F9" s="219" t="b">
        <v>0</v>
      </c>
      <c r="G9" s="219"/>
    </row>
    <row r="10">
      <c r="A10" s="218">
        <f t="shared" si="1"/>
        <v>9</v>
      </c>
      <c r="B10" s="218" t="s">
        <v>200</v>
      </c>
      <c r="C10" s="218">
        <v>136.0</v>
      </c>
      <c r="D10" s="218" t="b">
        <v>1</v>
      </c>
      <c r="E10" s="219" t="b">
        <v>0</v>
      </c>
      <c r="F10" s="219" t="b">
        <v>0</v>
      </c>
      <c r="G10" s="219"/>
    </row>
    <row r="11">
      <c r="A11" s="218">
        <f t="shared" si="1"/>
        <v>10</v>
      </c>
      <c r="B11" s="218" t="s">
        <v>200</v>
      </c>
      <c r="C11" s="218">
        <v>183.0</v>
      </c>
      <c r="D11" s="218" t="b">
        <v>1</v>
      </c>
      <c r="E11" s="219" t="b">
        <v>0</v>
      </c>
      <c r="F11" s="219" t="b">
        <v>0</v>
      </c>
      <c r="G11" s="219"/>
    </row>
    <row r="12">
      <c r="A12" s="218">
        <f t="shared" si="1"/>
        <v>11</v>
      </c>
      <c r="B12" s="218" t="s">
        <v>200</v>
      </c>
      <c r="C12" s="218">
        <v>224.0</v>
      </c>
      <c r="D12" s="218" t="b">
        <v>1</v>
      </c>
      <c r="E12" s="219" t="b">
        <v>0</v>
      </c>
      <c r="F12" s="219" t="b">
        <v>0</v>
      </c>
      <c r="G12" s="219"/>
    </row>
    <row r="13">
      <c r="A13" s="218">
        <f t="shared" si="1"/>
        <v>12</v>
      </c>
      <c r="B13" s="218" t="s">
        <v>200</v>
      </c>
      <c r="C13" s="218">
        <v>246.0</v>
      </c>
      <c r="D13" s="218" t="b">
        <v>1</v>
      </c>
      <c r="E13" s="219" t="b">
        <v>0</v>
      </c>
      <c r="F13" s="219" t="b">
        <v>0</v>
      </c>
      <c r="G13" s="219"/>
    </row>
    <row r="14">
      <c r="A14" s="218">
        <f t="shared" si="1"/>
        <v>13</v>
      </c>
      <c r="B14" s="218" t="s">
        <v>200</v>
      </c>
      <c r="C14" s="218">
        <v>274.0</v>
      </c>
      <c r="D14" s="218" t="b">
        <v>1</v>
      </c>
      <c r="E14" s="219" t="b">
        <v>0</v>
      </c>
      <c r="F14" s="219" t="b">
        <v>0</v>
      </c>
      <c r="G14" s="219"/>
    </row>
    <row r="15">
      <c r="A15" s="218">
        <f t="shared" si="1"/>
        <v>14</v>
      </c>
      <c r="B15" s="218" t="s">
        <v>200</v>
      </c>
      <c r="C15" s="218">
        <v>296.0</v>
      </c>
      <c r="D15" s="218" t="b">
        <v>1</v>
      </c>
      <c r="E15" s="219" t="b">
        <v>0</v>
      </c>
      <c r="F15" s="219" t="b">
        <v>0</v>
      </c>
      <c r="G15" s="219"/>
    </row>
    <row r="16">
      <c r="A16" s="218">
        <f t="shared" si="1"/>
        <v>15</v>
      </c>
      <c r="B16" s="218" t="s">
        <v>200</v>
      </c>
      <c r="C16" s="218">
        <v>312.0</v>
      </c>
      <c r="D16" s="218" t="b">
        <v>1</v>
      </c>
      <c r="E16" s="219" t="b">
        <v>0</v>
      </c>
      <c r="F16" s="219" t="b">
        <v>0</v>
      </c>
      <c r="G16" s="219"/>
    </row>
    <row r="17">
      <c r="A17" s="218">
        <f t="shared" si="1"/>
        <v>16</v>
      </c>
      <c r="B17" s="218" t="s">
        <v>200</v>
      </c>
      <c r="C17" s="218">
        <v>389.0</v>
      </c>
      <c r="D17" s="218" t="b">
        <v>1</v>
      </c>
      <c r="E17" s="219" t="b">
        <v>0</v>
      </c>
      <c r="F17" s="219" t="b">
        <v>0</v>
      </c>
      <c r="G17" s="219"/>
    </row>
    <row r="18">
      <c r="A18" s="218">
        <f t="shared" si="1"/>
        <v>17</v>
      </c>
      <c r="B18" s="218" t="s">
        <v>200</v>
      </c>
      <c r="C18" s="218">
        <v>392.0</v>
      </c>
      <c r="D18" s="218" t="b">
        <v>1</v>
      </c>
      <c r="E18" s="219" t="b">
        <v>0</v>
      </c>
      <c r="F18" s="219" t="b">
        <v>0</v>
      </c>
      <c r="G18" s="219"/>
    </row>
    <row r="19">
      <c r="A19" s="218">
        <f t="shared" si="1"/>
        <v>18</v>
      </c>
      <c r="B19" s="218" t="s">
        <v>200</v>
      </c>
      <c r="C19" s="218">
        <v>422.0</v>
      </c>
      <c r="D19" s="218" t="b">
        <v>1</v>
      </c>
      <c r="E19" s="219" t="b">
        <v>0</v>
      </c>
      <c r="F19" s="219" t="b">
        <v>0</v>
      </c>
      <c r="G19" s="219"/>
    </row>
    <row r="20">
      <c r="A20" s="218">
        <f t="shared" si="1"/>
        <v>19</v>
      </c>
      <c r="B20" s="218" t="s">
        <v>200</v>
      </c>
      <c r="C20" s="218">
        <v>448.0</v>
      </c>
      <c r="D20" s="218" t="b">
        <v>1</v>
      </c>
      <c r="E20" s="219" t="b">
        <v>0</v>
      </c>
      <c r="F20" s="219" t="b">
        <v>0</v>
      </c>
      <c r="G20" s="219"/>
    </row>
    <row r="21">
      <c r="A21" s="218">
        <f t="shared" si="1"/>
        <v>20</v>
      </c>
      <c r="B21" s="218" t="s">
        <v>200</v>
      </c>
      <c r="C21" s="218">
        <v>489.0</v>
      </c>
      <c r="D21" s="218" t="b">
        <v>1</v>
      </c>
      <c r="E21" s="219" t="b">
        <v>0</v>
      </c>
      <c r="F21" s="219" t="b">
        <v>0</v>
      </c>
      <c r="G21" s="219"/>
    </row>
    <row r="22">
      <c r="A22" s="218">
        <f t="shared" si="1"/>
        <v>21</v>
      </c>
      <c r="B22" s="218" t="s">
        <v>200</v>
      </c>
      <c r="C22" s="218">
        <v>503.0</v>
      </c>
      <c r="D22" s="218" t="b">
        <v>1</v>
      </c>
      <c r="E22" s="219" t="b">
        <v>0</v>
      </c>
      <c r="F22" s="219" t="b">
        <v>0</v>
      </c>
      <c r="G22" s="219"/>
    </row>
    <row r="23">
      <c r="A23" s="218">
        <f t="shared" si="1"/>
        <v>22</v>
      </c>
      <c r="B23" s="218" t="s">
        <v>200</v>
      </c>
      <c r="C23" s="218">
        <v>512.0</v>
      </c>
      <c r="D23" s="218" t="b">
        <v>1</v>
      </c>
      <c r="E23" s="219" t="b">
        <v>0</v>
      </c>
      <c r="F23" s="219" t="b">
        <v>0</v>
      </c>
      <c r="G23" s="219"/>
    </row>
    <row r="24">
      <c r="A24" s="218">
        <f t="shared" si="1"/>
        <v>23</v>
      </c>
      <c r="B24" s="218" t="s">
        <v>200</v>
      </c>
      <c r="C24" s="218">
        <v>512.0</v>
      </c>
      <c r="D24" s="218" t="b">
        <v>1</v>
      </c>
      <c r="E24" s="219" t="b">
        <v>0</v>
      </c>
      <c r="F24" s="219" t="b">
        <v>0</v>
      </c>
      <c r="G24" s="219"/>
    </row>
    <row r="25">
      <c r="A25" s="218">
        <f t="shared" si="1"/>
        <v>24</v>
      </c>
      <c r="B25" s="218" t="s">
        <v>200</v>
      </c>
      <c r="C25" s="218">
        <v>527.0</v>
      </c>
      <c r="D25" s="218" t="b">
        <v>1</v>
      </c>
      <c r="E25" s="219" t="b">
        <v>0</v>
      </c>
      <c r="F25" s="219" t="b">
        <v>0</v>
      </c>
      <c r="G25" s="219"/>
    </row>
    <row r="26">
      <c r="A26" s="218">
        <f t="shared" si="1"/>
        <v>25</v>
      </c>
      <c r="B26" s="218" t="s">
        <v>200</v>
      </c>
      <c r="C26" s="218">
        <v>586.0</v>
      </c>
      <c r="D26" s="218" t="b">
        <v>1</v>
      </c>
      <c r="E26" s="219" t="b">
        <v>0</v>
      </c>
      <c r="F26" s="219" t="b">
        <v>0</v>
      </c>
      <c r="G26" s="219"/>
    </row>
    <row r="27">
      <c r="A27" s="218">
        <f t="shared" si="1"/>
        <v>26</v>
      </c>
      <c r="B27" s="218" t="s">
        <v>200</v>
      </c>
      <c r="C27" s="218">
        <v>588.0</v>
      </c>
      <c r="D27" s="218" t="b">
        <v>1</v>
      </c>
      <c r="E27" s="219" t="b">
        <v>0</v>
      </c>
      <c r="F27" s="219" t="b">
        <v>0</v>
      </c>
      <c r="G27" s="219"/>
    </row>
    <row r="28">
      <c r="A28" s="218">
        <f t="shared" si="1"/>
        <v>27</v>
      </c>
      <c r="B28" s="218" t="s">
        <v>200</v>
      </c>
      <c r="C28" s="218" t="s">
        <v>3332</v>
      </c>
      <c r="D28" s="218" t="b">
        <v>1</v>
      </c>
      <c r="E28" s="219" t="b">
        <v>0</v>
      </c>
      <c r="F28" s="219" t="b">
        <v>0</v>
      </c>
      <c r="G28" s="219"/>
    </row>
    <row r="29">
      <c r="A29" s="218">
        <f t="shared" si="1"/>
        <v>28</v>
      </c>
      <c r="B29" s="218" t="s">
        <v>200</v>
      </c>
      <c r="C29" s="218" t="s">
        <v>543</v>
      </c>
      <c r="D29" s="218" t="b">
        <v>1</v>
      </c>
      <c r="E29" s="219" t="b">
        <v>0</v>
      </c>
      <c r="F29" s="219" t="b">
        <v>0</v>
      </c>
      <c r="G29" s="219"/>
    </row>
    <row r="30">
      <c r="A30" s="218">
        <f t="shared" si="1"/>
        <v>29</v>
      </c>
      <c r="B30" s="218" t="s">
        <v>200</v>
      </c>
      <c r="C30" s="218" t="s">
        <v>567</v>
      </c>
      <c r="D30" s="218" t="b">
        <v>1</v>
      </c>
      <c r="E30" s="219" t="b">
        <v>0</v>
      </c>
      <c r="F30" s="219" t="b">
        <v>0</v>
      </c>
      <c r="G30" s="219"/>
    </row>
    <row r="31">
      <c r="A31" s="218">
        <f t="shared" si="1"/>
        <v>30</v>
      </c>
      <c r="B31" s="218" t="s">
        <v>200</v>
      </c>
      <c r="C31" s="218" t="s">
        <v>2541</v>
      </c>
      <c r="D31" s="218" t="b">
        <v>1</v>
      </c>
      <c r="E31" s="219" t="b">
        <v>0</v>
      </c>
      <c r="F31" s="219" t="b">
        <v>0</v>
      </c>
      <c r="G31" s="219"/>
    </row>
    <row r="32">
      <c r="A32" s="218">
        <f t="shared" si="1"/>
        <v>31</v>
      </c>
      <c r="B32" s="218" t="s">
        <v>200</v>
      </c>
      <c r="C32" s="218" t="s">
        <v>3012</v>
      </c>
      <c r="D32" s="218" t="b">
        <v>1</v>
      </c>
      <c r="E32" s="219" t="b">
        <v>0</v>
      </c>
      <c r="F32" s="219" t="b">
        <v>0</v>
      </c>
      <c r="G32" s="219"/>
    </row>
    <row r="33">
      <c r="A33" s="218">
        <f t="shared" si="1"/>
        <v>32</v>
      </c>
      <c r="B33" s="218" t="s">
        <v>200</v>
      </c>
      <c r="C33" s="218" t="s">
        <v>1027</v>
      </c>
      <c r="D33" s="218" t="b">
        <v>1</v>
      </c>
      <c r="E33" s="219" t="b">
        <v>0</v>
      </c>
      <c r="F33" s="219" t="b">
        <v>0</v>
      </c>
      <c r="G33" s="219"/>
    </row>
    <row r="34">
      <c r="A34" s="218">
        <f t="shared" si="1"/>
        <v>33</v>
      </c>
      <c r="B34" s="218" t="s">
        <v>200</v>
      </c>
      <c r="C34" s="218" t="s">
        <v>737</v>
      </c>
      <c r="D34" s="218" t="b">
        <v>1</v>
      </c>
      <c r="E34" s="219" t="b">
        <v>0</v>
      </c>
      <c r="F34" s="219" t="b">
        <v>0</v>
      </c>
      <c r="G34" s="219"/>
    </row>
    <row r="35">
      <c r="A35" s="218">
        <f t="shared" si="1"/>
        <v>34</v>
      </c>
      <c r="B35" s="218" t="s">
        <v>200</v>
      </c>
      <c r="C35" s="218" t="s">
        <v>737</v>
      </c>
      <c r="D35" s="218" t="b">
        <v>1</v>
      </c>
      <c r="E35" s="219" t="b">
        <v>0</v>
      </c>
      <c r="F35" s="219" t="b">
        <v>0</v>
      </c>
      <c r="G35" s="219"/>
    </row>
    <row r="36">
      <c r="A36" s="218">
        <f t="shared" si="1"/>
        <v>35</v>
      </c>
      <c r="B36" s="218" t="s">
        <v>200</v>
      </c>
      <c r="C36" s="218" t="s">
        <v>639</v>
      </c>
      <c r="D36" s="218" t="b">
        <v>1</v>
      </c>
      <c r="E36" s="219" t="b">
        <v>0</v>
      </c>
      <c r="F36" s="219" t="b">
        <v>0</v>
      </c>
      <c r="G36" s="219"/>
    </row>
    <row r="37">
      <c r="A37" s="218">
        <f t="shared" si="1"/>
        <v>36</v>
      </c>
      <c r="B37" s="218" t="s">
        <v>200</v>
      </c>
      <c r="C37" s="218" t="s">
        <v>1877</v>
      </c>
      <c r="D37" s="218" t="b">
        <v>1</v>
      </c>
      <c r="E37" s="219" t="b">
        <v>0</v>
      </c>
      <c r="F37" s="219" t="b">
        <v>0</v>
      </c>
      <c r="G37" s="219"/>
    </row>
    <row r="38">
      <c r="A38" s="218">
        <f t="shared" si="1"/>
        <v>37</v>
      </c>
      <c r="B38" s="218" t="s">
        <v>200</v>
      </c>
      <c r="C38" s="218" t="s">
        <v>1968</v>
      </c>
      <c r="D38" s="218" t="b">
        <v>1</v>
      </c>
      <c r="E38" s="219" t="b">
        <v>0</v>
      </c>
      <c r="F38" s="219" t="b">
        <v>0</v>
      </c>
      <c r="G38" s="219"/>
    </row>
    <row r="39">
      <c r="A39" s="218">
        <f t="shared" si="1"/>
        <v>38</v>
      </c>
      <c r="B39" s="218" t="s">
        <v>200</v>
      </c>
      <c r="C39" s="218" t="s">
        <v>1475</v>
      </c>
      <c r="D39" s="218" t="b">
        <v>1</v>
      </c>
      <c r="E39" s="219" t="b">
        <v>0</v>
      </c>
      <c r="F39" s="219" t="b">
        <v>0</v>
      </c>
      <c r="G39" s="219"/>
    </row>
    <row r="40">
      <c r="A40" s="218">
        <f t="shared" si="1"/>
        <v>39</v>
      </c>
      <c r="B40" s="218" t="s">
        <v>200</v>
      </c>
      <c r="C40" s="218" t="s">
        <v>785</v>
      </c>
      <c r="D40" s="218" t="b">
        <v>1</v>
      </c>
      <c r="E40" s="219" t="b">
        <v>0</v>
      </c>
      <c r="F40" s="219" t="b">
        <v>0</v>
      </c>
      <c r="G40" s="219"/>
    </row>
    <row r="41">
      <c r="A41" s="218">
        <f t="shared" si="1"/>
        <v>40</v>
      </c>
      <c r="B41" s="218" t="s">
        <v>200</v>
      </c>
      <c r="C41" s="218" t="s">
        <v>747</v>
      </c>
      <c r="D41" s="218" t="b">
        <v>1</v>
      </c>
      <c r="E41" s="219" t="b">
        <v>0</v>
      </c>
      <c r="F41" s="219" t="b">
        <v>0</v>
      </c>
      <c r="G41" s="219"/>
    </row>
    <row r="42">
      <c r="A42" s="218">
        <f t="shared" si="1"/>
        <v>41</v>
      </c>
      <c r="B42" s="218" t="s">
        <v>200</v>
      </c>
      <c r="C42" s="218" t="s">
        <v>1186</v>
      </c>
      <c r="D42" s="218" t="b">
        <v>1</v>
      </c>
      <c r="E42" s="219" t="b">
        <v>0</v>
      </c>
      <c r="F42" s="219" t="b">
        <v>0</v>
      </c>
      <c r="G42" s="219"/>
    </row>
    <row r="43">
      <c r="A43" s="218">
        <f t="shared" si="1"/>
        <v>42</v>
      </c>
      <c r="B43" s="218" t="s">
        <v>200</v>
      </c>
      <c r="C43" s="218" t="s">
        <v>3262</v>
      </c>
      <c r="D43" s="218" t="b">
        <v>1</v>
      </c>
      <c r="E43" s="219" t="b">
        <v>0</v>
      </c>
      <c r="F43" s="219" t="b">
        <v>0</v>
      </c>
      <c r="G43" s="219"/>
    </row>
    <row r="44">
      <c r="A44" s="218">
        <f t="shared" si="1"/>
        <v>43</v>
      </c>
      <c r="B44" s="218" t="s">
        <v>200</v>
      </c>
      <c r="C44" s="218" t="s">
        <v>3926</v>
      </c>
      <c r="D44" s="218" t="b">
        <v>1</v>
      </c>
      <c r="E44" s="219" t="b">
        <v>0</v>
      </c>
      <c r="F44" s="219" t="b">
        <v>0</v>
      </c>
      <c r="G44" s="219"/>
    </row>
    <row r="45">
      <c r="A45" s="218">
        <f t="shared" si="1"/>
        <v>44</v>
      </c>
      <c r="B45" s="218" t="s">
        <v>200</v>
      </c>
      <c r="C45" s="218" t="s">
        <v>885</v>
      </c>
      <c r="D45" s="218" t="b">
        <v>1</v>
      </c>
      <c r="E45" s="219" t="b">
        <v>0</v>
      </c>
      <c r="F45" s="219" t="b">
        <v>0</v>
      </c>
      <c r="G45" s="219"/>
    </row>
    <row r="46">
      <c r="A46" s="218">
        <f t="shared" si="1"/>
        <v>45</v>
      </c>
      <c r="B46" s="218" t="s">
        <v>200</v>
      </c>
      <c r="C46" s="218" t="s">
        <v>819</v>
      </c>
      <c r="D46" s="218" t="b">
        <v>1</v>
      </c>
      <c r="E46" s="219" t="b">
        <v>0</v>
      </c>
      <c r="F46" s="219" t="b">
        <v>0</v>
      </c>
      <c r="G46" s="219"/>
    </row>
    <row r="47">
      <c r="A47" s="218">
        <f t="shared" si="1"/>
        <v>46</v>
      </c>
      <c r="B47" s="218" t="s">
        <v>200</v>
      </c>
      <c r="C47" s="218" t="s">
        <v>6468</v>
      </c>
      <c r="D47" s="218" t="b">
        <v>1</v>
      </c>
      <c r="E47" s="219" t="b">
        <v>0</v>
      </c>
      <c r="F47" s="219" t="b">
        <v>0</v>
      </c>
      <c r="G47" s="219"/>
    </row>
    <row r="48">
      <c r="A48" s="218">
        <f t="shared" si="1"/>
        <v>47</v>
      </c>
      <c r="B48" s="218" t="s">
        <v>200</v>
      </c>
      <c r="C48" s="218" t="s">
        <v>824</v>
      </c>
      <c r="D48" s="218" t="b">
        <v>1</v>
      </c>
      <c r="E48" s="219" t="b">
        <v>0</v>
      </c>
      <c r="F48" s="219" t="b">
        <v>0</v>
      </c>
      <c r="G48" s="219"/>
    </row>
    <row r="49">
      <c r="A49" s="218">
        <f t="shared" si="1"/>
        <v>48</v>
      </c>
      <c r="B49" s="218" t="s">
        <v>200</v>
      </c>
      <c r="C49" s="218" t="s">
        <v>809</v>
      </c>
      <c r="D49" s="218" t="b">
        <v>1</v>
      </c>
      <c r="E49" s="219" t="b">
        <v>0</v>
      </c>
      <c r="F49" s="219" t="b">
        <v>0</v>
      </c>
      <c r="G49" s="219"/>
    </row>
    <row r="50">
      <c r="A50" s="218">
        <f t="shared" si="1"/>
        <v>49</v>
      </c>
      <c r="B50" s="218" t="s">
        <v>200</v>
      </c>
      <c r="C50" s="218" t="s">
        <v>934</v>
      </c>
      <c r="D50" s="218" t="b">
        <v>1</v>
      </c>
      <c r="E50" s="219" t="b">
        <v>0</v>
      </c>
      <c r="F50" s="219" t="b">
        <v>0</v>
      </c>
      <c r="G50" s="219"/>
    </row>
    <row r="51">
      <c r="A51" s="218">
        <f t="shared" si="1"/>
        <v>50</v>
      </c>
      <c r="B51" s="218" t="s">
        <v>200</v>
      </c>
      <c r="C51" s="218" t="s">
        <v>4580</v>
      </c>
      <c r="D51" s="218" t="b">
        <v>1</v>
      </c>
      <c r="E51" s="219" t="b">
        <v>0</v>
      </c>
      <c r="F51" s="219" t="b">
        <v>0</v>
      </c>
      <c r="G51" s="219"/>
    </row>
    <row r="52">
      <c r="A52" s="218">
        <f t="shared" si="1"/>
        <v>51</v>
      </c>
      <c r="B52" s="218" t="s">
        <v>200</v>
      </c>
      <c r="C52" s="218" t="s">
        <v>1060</v>
      </c>
      <c r="D52" s="218" t="b">
        <v>1</v>
      </c>
      <c r="E52" s="219" t="b">
        <v>0</v>
      </c>
      <c r="F52" s="219" t="b">
        <v>0</v>
      </c>
      <c r="G52" s="219"/>
    </row>
    <row r="53">
      <c r="A53" s="218">
        <f t="shared" si="1"/>
        <v>52</v>
      </c>
      <c r="B53" s="218" t="s">
        <v>200</v>
      </c>
      <c r="C53" s="218" t="s">
        <v>2401</v>
      </c>
      <c r="D53" s="218" t="b">
        <v>1</v>
      </c>
      <c r="E53" s="219" t="b">
        <v>0</v>
      </c>
      <c r="F53" s="219" t="b">
        <v>0</v>
      </c>
      <c r="G53" s="219"/>
    </row>
    <row r="54">
      <c r="A54" s="218">
        <f t="shared" si="1"/>
        <v>53</v>
      </c>
      <c r="B54" s="218" t="s">
        <v>200</v>
      </c>
      <c r="C54" s="218" t="s">
        <v>2766</v>
      </c>
      <c r="D54" s="218" t="b">
        <v>1</v>
      </c>
      <c r="E54" s="219" t="b">
        <v>0</v>
      </c>
      <c r="F54" s="219" t="b">
        <v>0</v>
      </c>
      <c r="G54" s="219"/>
    </row>
    <row r="55">
      <c r="A55" s="218">
        <f t="shared" si="1"/>
        <v>54</v>
      </c>
      <c r="B55" s="218" t="s">
        <v>200</v>
      </c>
      <c r="C55" s="218" t="s">
        <v>3118</v>
      </c>
      <c r="D55" s="218" t="b">
        <v>1</v>
      </c>
      <c r="E55" s="219" t="b">
        <v>0</v>
      </c>
      <c r="F55" s="219" t="b">
        <v>0</v>
      </c>
      <c r="G55" s="219"/>
    </row>
    <row r="56">
      <c r="A56" s="218">
        <f t="shared" si="1"/>
        <v>55</v>
      </c>
      <c r="B56" s="218" t="s">
        <v>200</v>
      </c>
      <c r="C56" s="218" t="s">
        <v>1340</v>
      </c>
      <c r="D56" s="218" t="b">
        <v>1</v>
      </c>
      <c r="E56" s="219" t="b">
        <v>0</v>
      </c>
      <c r="F56" s="219" t="b">
        <v>0</v>
      </c>
      <c r="G56" s="219"/>
    </row>
    <row r="57">
      <c r="A57" s="218">
        <f t="shared" si="1"/>
        <v>56</v>
      </c>
      <c r="B57" s="218" t="s">
        <v>200</v>
      </c>
      <c r="C57" s="218" t="s">
        <v>4737</v>
      </c>
      <c r="D57" s="218" t="b">
        <v>1</v>
      </c>
      <c r="E57" s="219" t="b">
        <v>0</v>
      </c>
      <c r="F57" s="219" t="b">
        <v>0</v>
      </c>
      <c r="G57" s="219"/>
    </row>
    <row r="58">
      <c r="A58" s="218">
        <f t="shared" si="1"/>
        <v>57</v>
      </c>
      <c r="B58" s="218" t="s">
        <v>200</v>
      </c>
      <c r="C58" s="218" t="s">
        <v>1815</v>
      </c>
      <c r="D58" s="218" t="b">
        <v>1</v>
      </c>
      <c r="E58" s="219" t="b">
        <v>0</v>
      </c>
      <c r="F58" s="219" t="b">
        <v>0</v>
      </c>
      <c r="G58" s="219"/>
    </row>
    <row r="59">
      <c r="A59" s="218">
        <f t="shared" si="1"/>
        <v>58</v>
      </c>
      <c r="B59" s="218" t="s">
        <v>200</v>
      </c>
      <c r="C59" s="218" t="s">
        <v>895</v>
      </c>
      <c r="D59" s="218" t="b">
        <v>1</v>
      </c>
      <c r="E59" s="219" t="b">
        <v>0</v>
      </c>
      <c r="F59" s="219" t="b">
        <v>0</v>
      </c>
      <c r="G59" s="219"/>
    </row>
    <row r="60">
      <c r="A60" s="218">
        <f t="shared" si="1"/>
        <v>59</v>
      </c>
      <c r="B60" s="218" t="s">
        <v>200</v>
      </c>
      <c r="C60" s="218" t="s">
        <v>1963</v>
      </c>
      <c r="D60" s="218" t="b">
        <v>1</v>
      </c>
      <c r="E60" s="219" t="b">
        <v>0</v>
      </c>
      <c r="F60" s="219" t="b">
        <v>0</v>
      </c>
      <c r="G60" s="219"/>
    </row>
    <row r="61">
      <c r="A61" s="218">
        <f t="shared" si="1"/>
        <v>60</v>
      </c>
      <c r="B61" s="218" t="s">
        <v>200</v>
      </c>
      <c r="C61" s="218" t="s">
        <v>795</v>
      </c>
      <c r="D61" s="218" t="b">
        <v>1</v>
      </c>
      <c r="E61" s="219" t="b">
        <v>0</v>
      </c>
      <c r="F61" s="219" t="b">
        <v>0</v>
      </c>
      <c r="G61" s="219"/>
    </row>
    <row r="62">
      <c r="A62" s="218">
        <f t="shared" si="1"/>
        <v>61</v>
      </c>
      <c r="B62" s="218" t="s">
        <v>200</v>
      </c>
      <c r="C62" s="218" t="s">
        <v>5167</v>
      </c>
      <c r="D62" s="218" t="b">
        <v>1</v>
      </c>
      <c r="E62" s="219" t="b">
        <v>0</v>
      </c>
      <c r="F62" s="219" t="b">
        <v>0</v>
      </c>
      <c r="G62" s="219"/>
    </row>
    <row r="63">
      <c r="A63" s="218">
        <f t="shared" si="1"/>
        <v>62</v>
      </c>
      <c r="B63" s="218" t="s">
        <v>200</v>
      </c>
      <c r="C63" s="218" t="s">
        <v>939</v>
      </c>
      <c r="D63" s="218" t="b">
        <v>1</v>
      </c>
      <c r="E63" s="219" t="b">
        <v>0</v>
      </c>
      <c r="F63" s="219" t="b">
        <v>0</v>
      </c>
      <c r="G63" s="219"/>
    </row>
    <row r="64">
      <c r="A64" s="218">
        <f t="shared" si="1"/>
        <v>63</v>
      </c>
      <c r="B64" s="218" t="s">
        <v>200</v>
      </c>
      <c r="C64" s="218" t="s">
        <v>2479</v>
      </c>
      <c r="D64" s="218" t="b">
        <v>1</v>
      </c>
      <c r="E64" s="219" t="b">
        <v>0</v>
      </c>
      <c r="F64" s="219" t="b">
        <v>0</v>
      </c>
      <c r="G64" s="219"/>
    </row>
    <row r="65">
      <c r="A65" s="218">
        <f t="shared" si="1"/>
        <v>64</v>
      </c>
      <c r="B65" s="218" t="s">
        <v>200</v>
      </c>
      <c r="C65" s="218" t="s">
        <v>2234</v>
      </c>
      <c r="D65" s="218" t="b">
        <v>1</v>
      </c>
      <c r="E65" s="219" t="b">
        <v>0</v>
      </c>
      <c r="F65" s="219" t="b">
        <v>0</v>
      </c>
      <c r="G65" s="219"/>
    </row>
    <row r="66">
      <c r="A66" s="218">
        <f t="shared" si="1"/>
        <v>65</v>
      </c>
      <c r="B66" s="218" t="s">
        <v>200</v>
      </c>
      <c r="C66" s="218" t="s">
        <v>5525</v>
      </c>
      <c r="D66" s="218" t="b">
        <v>1</v>
      </c>
      <c r="E66" s="219" t="b">
        <v>0</v>
      </c>
      <c r="F66" s="219" t="b">
        <v>0</v>
      </c>
      <c r="G66" s="219"/>
    </row>
    <row r="67">
      <c r="A67" s="218">
        <f t="shared" si="1"/>
        <v>66</v>
      </c>
      <c r="B67" s="218" t="s">
        <v>200</v>
      </c>
      <c r="C67" s="218" t="s">
        <v>5334</v>
      </c>
      <c r="D67" s="218" t="b">
        <v>1</v>
      </c>
      <c r="E67" s="219" t="b">
        <v>0</v>
      </c>
      <c r="F67" s="219" t="b">
        <v>0</v>
      </c>
      <c r="G67" s="219"/>
    </row>
    <row r="68">
      <c r="A68" s="218">
        <f t="shared" si="1"/>
        <v>67</v>
      </c>
      <c r="B68" s="218" t="s">
        <v>200</v>
      </c>
      <c r="C68" s="218" t="s">
        <v>2186</v>
      </c>
      <c r="D68" s="218" t="b">
        <v>1</v>
      </c>
      <c r="E68" s="219" t="b">
        <v>0</v>
      </c>
      <c r="F68" s="219" t="b">
        <v>0</v>
      </c>
      <c r="G68" s="219"/>
    </row>
    <row r="69">
      <c r="A69" s="218">
        <f t="shared" si="1"/>
        <v>68</v>
      </c>
      <c r="B69" s="218" t="s">
        <v>200</v>
      </c>
      <c r="C69" s="218" t="s">
        <v>2753</v>
      </c>
      <c r="D69" s="218" t="b">
        <v>1</v>
      </c>
      <c r="E69" s="219" t="b">
        <v>0</v>
      </c>
      <c r="F69" s="219" t="b">
        <v>0</v>
      </c>
      <c r="G69" s="219"/>
    </row>
    <row r="70">
      <c r="A70" s="218">
        <f t="shared" si="1"/>
        <v>69</v>
      </c>
      <c r="B70" s="218" t="s">
        <v>200</v>
      </c>
      <c r="C70" s="218" t="s">
        <v>3236</v>
      </c>
      <c r="D70" s="218" t="b">
        <v>1</v>
      </c>
      <c r="E70" s="219" t="b">
        <v>0</v>
      </c>
      <c r="F70" s="219" t="b">
        <v>0</v>
      </c>
      <c r="G70" s="219"/>
    </row>
    <row r="71">
      <c r="A71" s="218">
        <f t="shared" si="1"/>
        <v>70</v>
      </c>
      <c r="B71" s="218" t="s">
        <v>200</v>
      </c>
      <c r="C71" s="218" t="s">
        <v>969</v>
      </c>
      <c r="D71" s="218" t="b">
        <v>1</v>
      </c>
      <c r="E71" s="219" t="b">
        <v>0</v>
      </c>
      <c r="F71" s="219" t="b">
        <v>0</v>
      </c>
      <c r="G71" s="219"/>
    </row>
    <row r="72">
      <c r="A72" s="218">
        <f t="shared" si="1"/>
        <v>71</v>
      </c>
      <c r="B72" s="218" t="s">
        <v>200</v>
      </c>
      <c r="C72" s="218" t="s">
        <v>5352</v>
      </c>
      <c r="D72" s="218" t="b">
        <v>1</v>
      </c>
      <c r="E72" s="219" t="b">
        <v>0</v>
      </c>
      <c r="F72" s="219" t="b">
        <v>0</v>
      </c>
      <c r="G72" s="219"/>
    </row>
    <row r="73">
      <c r="A73" s="218">
        <f t="shared" si="1"/>
        <v>72</v>
      </c>
      <c r="B73" s="218" t="s">
        <v>200</v>
      </c>
      <c r="C73" s="218" t="s">
        <v>587</v>
      </c>
      <c r="D73" s="218" t="b">
        <v>1</v>
      </c>
      <c r="E73" s="219" t="b">
        <v>0</v>
      </c>
      <c r="F73" s="219" t="b">
        <v>0</v>
      </c>
      <c r="G73" s="219"/>
    </row>
    <row r="74">
      <c r="A74" s="218">
        <f t="shared" si="1"/>
        <v>73</v>
      </c>
      <c r="B74" s="218" t="s">
        <v>200</v>
      </c>
      <c r="C74" s="218" t="s">
        <v>753</v>
      </c>
      <c r="D74" s="218" t="b">
        <v>1</v>
      </c>
      <c r="E74" s="219" t="b">
        <v>0</v>
      </c>
      <c r="F74" s="219" t="b">
        <v>0</v>
      </c>
      <c r="G74" s="219"/>
    </row>
    <row r="75">
      <c r="A75" s="218">
        <f t="shared" si="1"/>
        <v>74</v>
      </c>
      <c r="B75" s="218" t="s">
        <v>200</v>
      </c>
      <c r="C75" s="218" t="s">
        <v>1111</v>
      </c>
      <c r="D75" s="218" t="b">
        <v>1</v>
      </c>
      <c r="E75" s="219" t="b">
        <v>0</v>
      </c>
      <c r="F75" s="219" t="b">
        <v>0</v>
      </c>
      <c r="G75" s="219"/>
    </row>
    <row r="76">
      <c r="A76" s="218">
        <f t="shared" si="1"/>
        <v>75</v>
      </c>
      <c r="B76" s="218" t="s">
        <v>200</v>
      </c>
      <c r="C76" s="218" t="s">
        <v>2896</v>
      </c>
      <c r="D76" s="218" t="b">
        <v>1</v>
      </c>
      <c r="E76" s="219" t="b">
        <v>0</v>
      </c>
      <c r="F76" s="219" t="b">
        <v>0</v>
      </c>
      <c r="G76" s="219"/>
    </row>
    <row r="77">
      <c r="A77" s="218">
        <f t="shared" si="1"/>
        <v>76</v>
      </c>
      <c r="B77" s="218" t="s">
        <v>200</v>
      </c>
      <c r="C77" s="218" t="s">
        <v>4630</v>
      </c>
      <c r="D77" s="218" t="b">
        <v>1</v>
      </c>
      <c r="E77" s="219" t="b">
        <v>0</v>
      </c>
      <c r="F77" s="219" t="b">
        <v>0</v>
      </c>
      <c r="G77" s="219"/>
    </row>
    <row r="78">
      <c r="A78" s="218">
        <f t="shared" si="1"/>
        <v>77</v>
      </c>
      <c r="B78" s="218" t="s">
        <v>200</v>
      </c>
      <c r="C78" s="218" t="s">
        <v>5113</v>
      </c>
      <c r="D78" s="218" t="b">
        <v>1</v>
      </c>
      <c r="E78" s="219" t="b">
        <v>0</v>
      </c>
      <c r="F78" s="219" t="b">
        <v>0</v>
      </c>
      <c r="G78" s="219"/>
    </row>
    <row r="79">
      <c r="A79" s="218">
        <f t="shared" si="1"/>
        <v>78</v>
      </c>
      <c r="B79" s="218" t="s">
        <v>200</v>
      </c>
      <c r="C79" s="218" t="s">
        <v>5272</v>
      </c>
      <c r="D79" s="218" t="b">
        <v>1</v>
      </c>
      <c r="E79" s="219" t="b">
        <v>0</v>
      </c>
      <c r="F79" s="219" t="b">
        <v>0</v>
      </c>
      <c r="G79" s="219"/>
    </row>
    <row r="80">
      <c r="A80" s="218">
        <f t="shared" si="1"/>
        <v>79</v>
      </c>
      <c r="B80" s="218" t="s">
        <v>200</v>
      </c>
      <c r="C80" s="218" t="s">
        <v>1065</v>
      </c>
      <c r="D80" s="218" t="b">
        <v>1</v>
      </c>
      <c r="E80" s="219" t="b">
        <v>0</v>
      </c>
      <c r="F80" s="219" t="b">
        <v>0</v>
      </c>
      <c r="G80" s="219"/>
    </row>
    <row r="81">
      <c r="A81" s="218">
        <f t="shared" si="1"/>
        <v>80</v>
      </c>
      <c r="B81" s="218" t="s">
        <v>200</v>
      </c>
      <c r="C81" s="218" t="s">
        <v>1003</v>
      </c>
      <c r="D81" s="218" t="b">
        <v>1</v>
      </c>
      <c r="E81" s="219" t="b">
        <v>0</v>
      </c>
      <c r="F81" s="219" t="b">
        <v>0</v>
      </c>
      <c r="G81" s="219"/>
    </row>
    <row r="82">
      <c r="A82" s="218">
        <f t="shared" si="1"/>
        <v>81</v>
      </c>
      <c r="B82" s="218" t="s">
        <v>200</v>
      </c>
      <c r="C82" s="218" t="s">
        <v>2396</v>
      </c>
      <c r="D82" s="218" t="b">
        <v>1</v>
      </c>
      <c r="E82" s="219" t="b">
        <v>0</v>
      </c>
      <c r="F82" s="219" t="b">
        <v>0</v>
      </c>
      <c r="G82" s="219"/>
    </row>
    <row r="83">
      <c r="A83" s="218">
        <f t="shared" si="1"/>
        <v>82</v>
      </c>
      <c r="B83" s="218" t="s">
        <v>200</v>
      </c>
      <c r="C83" s="218" t="s">
        <v>6470</v>
      </c>
      <c r="D83" s="218" t="b">
        <v>1</v>
      </c>
      <c r="E83" s="219" t="b">
        <v>0</v>
      </c>
      <c r="F83" s="219" t="b">
        <v>0</v>
      </c>
      <c r="G83" s="219"/>
    </row>
    <row r="84">
      <c r="A84" s="218">
        <f t="shared" si="1"/>
        <v>83</v>
      </c>
      <c r="B84" s="218" t="s">
        <v>200</v>
      </c>
      <c r="C84" s="218" t="s">
        <v>2073</v>
      </c>
      <c r="D84" s="218" t="b">
        <v>1</v>
      </c>
      <c r="E84" s="219" t="b">
        <v>0</v>
      </c>
      <c r="F84" s="219" t="b">
        <v>0</v>
      </c>
      <c r="G84" s="219"/>
    </row>
    <row r="85">
      <c r="A85" s="218">
        <f t="shared" si="1"/>
        <v>84</v>
      </c>
      <c r="B85" s="218" t="s">
        <v>200</v>
      </c>
      <c r="C85" s="218" t="s">
        <v>4062</v>
      </c>
      <c r="D85" s="218" t="b">
        <v>1</v>
      </c>
      <c r="E85" s="219" t="b">
        <v>0</v>
      </c>
      <c r="F85" s="219" t="b">
        <v>0</v>
      </c>
      <c r="G85" s="219"/>
    </row>
    <row r="86">
      <c r="A86" s="218">
        <f t="shared" si="1"/>
        <v>85</v>
      </c>
      <c r="B86" s="218" t="s">
        <v>200</v>
      </c>
      <c r="C86" s="218" t="s">
        <v>2947</v>
      </c>
      <c r="D86" s="218" t="b">
        <v>1</v>
      </c>
      <c r="E86" s="219" t="b">
        <v>0</v>
      </c>
      <c r="F86" s="219" t="b">
        <v>0</v>
      </c>
      <c r="G86" s="219"/>
    </row>
    <row r="87">
      <c r="A87" s="218">
        <f t="shared" si="1"/>
        <v>86</v>
      </c>
      <c r="B87" s="218" t="s">
        <v>200</v>
      </c>
      <c r="C87" s="218" t="s">
        <v>1912</v>
      </c>
      <c r="D87" s="218" t="b">
        <v>1</v>
      </c>
      <c r="E87" s="219" t="b">
        <v>0</v>
      </c>
      <c r="F87" s="219" t="b">
        <v>0</v>
      </c>
      <c r="G87" s="219"/>
    </row>
    <row r="88">
      <c r="A88" s="218">
        <f t="shared" si="1"/>
        <v>87</v>
      </c>
      <c r="B88" s="218" t="s">
        <v>200</v>
      </c>
      <c r="C88" s="218" t="s">
        <v>2132</v>
      </c>
      <c r="D88" s="218" t="b">
        <v>1</v>
      </c>
      <c r="E88" s="219" t="b">
        <v>0</v>
      </c>
      <c r="F88" s="219" t="b">
        <v>0</v>
      </c>
      <c r="G88" s="219"/>
    </row>
    <row r="89">
      <c r="A89" s="218">
        <f t="shared" si="1"/>
        <v>88</v>
      </c>
      <c r="B89" s="218" t="s">
        <v>200</v>
      </c>
      <c r="C89" s="218" t="s">
        <v>1163</v>
      </c>
      <c r="D89" s="218" t="b">
        <v>1</v>
      </c>
      <c r="E89" s="219" t="b">
        <v>0</v>
      </c>
      <c r="F89" s="219" t="b">
        <v>0</v>
      </c>
      <c r="G89" s="219"/>
    </row>
    <row r="90">
      <c r="A90" s="218">
        <f t="shared" si="1"/>
        <v>89</v>
      </c>
      <c r="B90" s="218" t="s">
        <v>200</v>
      </c>
      <c r="C90" s="218" t="s">
        <v>548</v>
      </c>
      <c r="D90" s="218" t="b">
        <v>1</v>
      </c>
      <c r="E90" s="219" t="b">
        <v>0</v>
      </c>
      <c r="F90" s="219" t="b">
        <v>0</v>
      </c>
      <c r="G90" s="219"/>
    </row>
    <row r="91">
      <c r="A91" s="218">
        <f t="shared" si="1"/>
        <v>90</v>
      </c>
      <c r="B91" s="218" t="s">
        <v>200</v>
      </c>
      <c r="C91" s="218" t="s">
        <v>949</v>
      </c>
      <c r="D91" s="218" t="b">
        <v>1</v>
      </c>
      <c r="E91" s="219" t="b">
        <v>0</v>
      </c>
      <c r="F91" s="219" t="b">
        <v>0</v>
      </c>
      <c r="G91" s="219"/>
    </row>
    <row r="92">
      <c r="A92" s="218">
        <f t="shared" si="1"/>
        <v>91</v>
      </c>
      <c r="B92" s="218" t="s">
        <v>200</v>
      </c>
      <c r="C92" s="218" t="s">
        <v>1849</v>
      </c>
      <c r="D92" s="218" t="b">
        <v>1</v>
      </c>
      <c r="E92" s="219" t="b">
        <v>0</v>
      </c>
      <c r="F92" s="219" t="b">
        <v>0</v>
      </c>
      <c r="G92" s="219"/>
    </row>
    <row r="93">
      <c r="A93" s="218">
        <f t="shared" si="1"/>
        <v>92</v>
      </c>
      <c r="B93" s="218" t="s">
        <v>200</v>
      </c>
      <c r="C93" s="218" t="s">
        <v>2274</v>
      </c>
      <c r="D93" s="218" t="b">
        <v>1</v>
      </c>
      <c r="E93" s="219" t="b">
        <v>0</v>
      </c>
      <c r="F93" s="219" t="b">
        <v>0</v>
      </c>
      <c r="G93" s="219"/>
    </row>
    <row r="94">
      <c r="A94" s="218">
        <f t="shared" si="1"/>
        <v>93</v>
      </c>
      <c r="B94" s="218" t="s">
        <v>200</v>
      </c>
      <c r="C94" s="218" t="s">
        <v>528</v>
      </c>
      <c r="D94" s="218" t="b">
        <v>1</v>
      </c>
      <c r="E94" s="219" t="b">
        <v>0</v>
      </c>
      <c r="F94" s="219" t="b">
        <v>0</v>
      </c>
      <c r="G94" s="219"/>
    </row>
    <row r="95">
      <c r="A95" s="218">
        <f t="shared" si="1"/>
        <v>94</v>
      </c>
      <c r="B95" s="218" t="s">
        <v>200</v>
      </c>
      <c r="C95" s="218" t="s">
        <v>4884</v>
      </c>
      <c r="D95" s="218" t="b">
        <v>1</v>
      </c>
      <c r="E95" s="219" t="b">
        <v>0</v>
      </c>
      <c r="F95" s="219" t="b">
        <v>0</v>
      </c>
      <c r="G95" s="219"/>
    </row>
    <row r="96">
      <c r="A96" s="218">
        <f t="shared" si="1"/>
        <v>95</v>
      </c>
      <c r="B96" s="218" t="s">
        <v>200</v>
      </c>
      <c r="C96" s="218" t="s">
        <v>761</v>
      </c>
      <c r="D96" s="218" t="b">
        <v>1</v>
      </c>
      <c r="E96" s="219" t="b">
        <v>0</v>
      </c>
      <c r="F96" s="219" t="b">
        <v>0</v>
      </c>
      <c r="G96" s="219"/>
    </row>
    <row r="97">
      <c r="A97" s="218">
        <f t="shared" si="1"/>
        <v>96</v>
      </c>
      <c r="B97" s="218" t="s">
        <v>200</v>
      </c>
      <c r="C97" s="218" t="s">
        <v>3583</v>
      </c>
      <c r="D97" s="218" t="b">
        <v>1</v>
      </c>
      <c r="E97" s="219" t="b">
        <v>0</v>
      </c>
      <c r="F97" s="219" t="b">
        <v>0</v>
      </c>
      <c r="G97" s="219"/>
    </row>
    <row r="98">
      <c r="A98" s="218">
        <f t="shared" si="1"/>
        <v>97</v>
      </c>
      <c r="B98" s="218" t="s">
        <v>200</v>
      </c>
      <c r="C98" s="218" t="s">
        <v>2856</v>
      </c>
      <c r="D98" s="218" t="b">
        <v>1</v>
      </c>
      <c r="E98" s="219" t="b">
        <v>0</v>
      </c>
      <c r="F98" s="219" t="b">
        <v>0</v>
      </c>
      <c r="G98" s="219"/>
    </row>
    <row r="99">
      <c r="A99" s="218">
        <f t="shared" si="1"/>
        <v>98</v>
      </c>
      <c r="B99" s="218" t="s">
        <v>200</v>
      </c>
      <c r="C99" s="218" t="s">
        <v>3499</v>
      </c>
      <c r="D99" s="218" t="b">
        <v>1</v>
      </c>
      <c r="E99" s="219" t="b">
        <v>0</v>
      </c>
      <c r="F99" s="219" t="b">
        <v>0</v>
      </c>
      <c r="G99" s="219"/>
    </row>
    <row r="100">
      <c r="A100" s="218">
        <f t="shared" si="1"/>
        <v>99</v>
      </c>
      <c r="B100" s="218" t="s">
        <v>200</v>
      </c>
      <c r="C100" s="218" t="s">
        <v>3499</v>
      </c>
      <c r="D100" s="218" t="b">
        <v>1</v>
      </c>
      <c r="E100" s="219" t="b">
        <v>0</v>
      </c>
      <c r="F100" s="219" t="b">
        <v>0</v>
      </c>
      <c r="G100" s="219"/>
    </row>
    <row r="101">
      <c r="A101" s="218">
        <f t="shared" si="1"/>
        <v>100</v>
      </c>
      <c r="B101" s="218" t="s">
        <v>200</v>
      </c>
      <c r="C101" s="218" t="s">
        <v>1895</v>
      </c>
      <c r="D101" s="218" t="b">
        <v>1</v>
      </c>
      <c r="E101" s="219" t="b">
        <v>0</v>
      </c>
      <c r="F101" s="219" t="b">
        <v>0</v>
      </c>
      <c r="G101" s="219"/>
    </row>
    <row r="102">
      <c r="A102" s="218">
        <f t="shared" si="1"/>
        <v>101</v>
      </c>
      <c r="B102" s="218" t="s">
        <v>200</v>
      </c>
      <c r="C102" s="218" t="s">
        <v>2364</v>
      </c>
      <c r="D102" s="218" t="b">
        <v>1</v>
      </c>
      <c r="E102" s="219" t="b">
        <v>0</v>
      </c>
      <c r="F102" s="219" t="b">
        <v>0</v>
      </c>
      <c r="G102" s="219"/>
    </row>
    <row r="103">
      <c r="A103" s="218">
        <f t="shared" si="1"/>
        <v>102</v>
      </c>
      <c r="B103" s="218" t="s">
        <v>200</v>
      </c>
      <c r="C103" s="218" t="s">
        <v>2526</v>
      </c>
      <c r="D103" s="218" t="b">
        <v>1</v>
      </c>
      <c r="E103" s="219" t="b">
        <v>0</v>
      </c>
      <c r="F103" s="219" t="b">
        <v>0</v>
      </c>
      <c r="G103" s="219"/>
    </row>
    <row r="104">
      <c r="A104" s="218">
        <f t="shared" si="1"/>
        <v>103</v>
      </c>
      <c r="B104" s="218" t="s">
        <v>200</v>
      </c>
      <c r="C104" s="218" t="s">
        <v>2735</v>
      </c>
      <c r="D104" s="218" t="b">
        <v>1</v>
      </c>
      <c r="E104" s="219" t="b">
        <v>0</v>
      </c>
      <c r="F104" s="219" t="b">
        <v>0</v>
      </c>
      <c r="G104" s="219"/>
    </row>
    <row r="105">
      <c r="A105" s="218">
        <f t="shared" si="1"/>
        <v>104</v>
      </c>
      <c r="B105" s="218" t="s">
        <v>200</v>
      </c>
      <c r="C105" s="218" t="s">
        <v>2086</v>
      </c>
      <c r="D105" s="218" t="b">
        <v>1</v>
      </c>
      <c r="E105" s="219" t="b">
        <v>0</v>
      </c>
      <c r="F105" s="219" t="b">
        <v>0</v>
      </c>
      <c r="G105" s="219"/>
    </row>
    <row r="106">
      <c r="A106" s="218">
        <f t="shared" si="1"/>
        <v>105</v>
      </c>
      <c r="B106" s="218" t="s">
        <v>200</v>
      </c>
      <c r="C106" s="218" t="s">
        <v>1650</v>
      </c>
      <c r="D106" s="218" t="b">
        <v>1</v>
      </c>
      <c r="E106" s="219" t="b">
        <v>0</v>
      </c>
      <c r="F106" s="219" t="b">
        <v>0</v>
      </c>
      <c r="G106" s="219"/>
    </row>
    <row r="107">
      <c r="A107" s="218">
        <f t="shared" si="1"/>
        <v>106</v>
      </c>
      <c r="B107" s="218" t="s">
        <v>200</v>
      </c>
      <c r="C107" s="218" t="s">
        <v>834</v>
      </c>
      <c r="D107" s="218" t="b">
        <v>1</v>
      </c>
      <c r="E107" s="219" t="b">
        <v>0</v>
      </c>
      <c r="F107" s="219" t="b">
        <v>0</v>
      </c>
      <c r="G107" s="219"/>
    </row>
    <row r="108">
      <c r="A108" s="218">
        <f t="shared" si="1"/>
        <v>107</v>
      </c>
      <c r="B108" s="218" t="s">
        <v>200</v>
      </c>
      <c r="C108" s="218" t="s">
        <v>4254</v>
      </c>
      <c r="D108" s="218" t="b">
        <v>1</v>
      </c>
      <c r="E108" s="219" t="b">
        <v>0</v>
      </c>
      <c r="F108" s="219" t="b">
        <v>0</v>
      </c>
      <c r="G108" s="219"/>
    </row>
    <row r="109">
      <c r="A109" s="218">
        <f t="shared" si="1"/>
        <v>108</v>
      </c>
      <c r="B109" s="218" t="s">
        <v>200</v>
      </c>
      <c r="C109" s="218" t="s">
        <v>1055</v>
      </c>
      <c r="D109" s="218" t="b">
        <v>1</v>
      </c>
      <c r="E109" s="219" t="b">
        <v>0</v>
      </c>
      <c r="F109" s="219" t="b">
        <v>0</v>
      </c>
      <c r="G109" s="219"/>
    </row>
    <row r="110">
      <c r="A110" s="218">
        <f t="shared" si="1"/>
        <v>109</v>
      </c>
      <c r="B110" s="218" t="s">
        <v>200</v>
      </c>
      <c r="C110" s="218" t="s">
        <v>2514</v>
      </c>
      <c r="D110" s="218" t="b">
        <v>1</v>
      </c>
      <c r="E110" s="219" t="b">
        <v>0</v>
      </c>
      <c r="F110" s="219" t="b">
        <v>0</v>
      </c>
      <c r="G110" s="219"/>
    </row>
    <row r="111">
      <c r="A111" s="218">
        <f t="shared" si="1"/>
        <v>110</v>
      </c>
      <c r="B111" s="218" t="s">
        <v>200</v>
      </c>
      <c r="C111" s="218" t="s">
        <v>2340</v>
      </c>
      <c r="D111" s="218" t="b">
        <v>1</v>
      </c>
      <c r="E111" s="219" t="b">
        <v>0</v>
      </c>
      <c r="F111" s="219" t="b">
        <v>0</v>
      </c>
      <c r="G111" s="219"/>
    </row>
    <row r="112">
      <c r="A112" s="218">
        <f t="shared" si="1"/>
        <v>111</v>
      </c>
      <c r="B112" s="218" t="s">
        <v>200</v>
      </c>
      <c r="C112" s="218" t="s">
        <v>3100</v>
      </c>
      <c r="D112" s="218" t="b">
        <v>1</v>
      </c>
      <c r="E112" s="219" t="b">
        <v>0</v>
      </c>
      <c r="F112" s="219" t="b">
        <v>0</v>
      </c>
      <c r="G112" s="219"/>
    </row>
    <row r="113">
      <c r="A113" s="218">
        <f t="shared" si="1"/>
        <v>112</v>
      </c>
      <c r="B113" s="218" t="s">
        <v>200</v>
      </c>
      <c r="C113" s="218" t="s">
        <v>2201</v>
      </c>
      <c r="D113" s="218" t="b">
        <v>1</v>
      </c>
      <c r="E113" s="219" t="b">
        <v>0</v>
      </c>
      <c r="F113" s="219" t="b">
        <v>0</v>
      </c>
      <c r="G113" s="219"/>
    </row>
    <row r="114">
      <c r="A114" s="218">
        <f t="shared" si="1"/>
        <v>113</v>
      </c>
      <c r="B114" s="218" t="s">
        <v>200</v>
      </c>
      <c r="C114" s="218" t="s">
        <v>6471</v>
      </c>
      <c r="D114" s="218" t="b">
        <v>1</v>
      </c>
      <c r="E114" s="219" t="b">
        <v>0</v>
      </c>
      <c r="F114" s="219" t="b">
        <v>0</v>
      </c>
      <c r="G114" s="219"/>
    </row>
    <row r="115">
      <c r="A115" s="218">
        <f t="shared" si="1"/>
        <v>114</v>
      </c>
      <c r="B115" s="218" t="s">
        <v>200</v>
      </c>
      <c r="C115" s="218" t="s">
        <v>2900</v>
      </c>
      <c r="D115" s="218" t="b">
        <v>1</v>
      </c>
      <c r="E115" s="219" t="b">
        <v>0</v>
      </c>
      <c r="F115" s="219" t="b">
        <v>0</v>
      </c>
      <c r="G115" s="219"/>
    </row>
    <row r="116">
      <c r="A116" s="218">
        <f t="shared" si="1"/>
        <v>115</v>
      </c>
      <c r="B116" s="218" t="s">
        <v>200</v>
      </c>
      <c r="C116" s="218" t="s">
        <v>3193</v>
      </c>
      <c r="D116" s="218" t="b">
        <v>1</v>
      </c>
      <c r="E116" s="219" t="b">
        <v>0</v>
      </c>
      <c r="F116" s="219" t="b">
        <v>0</v>
      </c>
      <c r="G116" s="219"/>
    </row>
    <row r="117">
      <c r="A117" s="218">
        <f t="shared" si="1"/>
        <v>116</v>
      </c>
      <c r="B117" s="218" t="s">
        <v>200</v>
      </c>
      <c r="C117" s="218" t="s">
        <v>445</v>
      </c>
      <c r="D117" s="218" t="b">
        <v>1</v>
      </c>
      <c r="E117" s="219" t="b">
        <v>0</v>
      </c>
      <c r="F117" s="219" t="b">
        <v>0</v>
      </c>
      <c r="G117" s="219"/>
    </row>
    <row r="118">
      <c r="A118" s="218">
        <f t="shared" si="1"/>
        <v>117</v>
      </c>
      <c r="B118" s="218" t="s">
        <v>200</v>
      </c>
      <c r="C118" s="218" t="s">
        <v>814</v>
      </c>
      <c r="D118" s="218" t="b">
        <v>1</v>
      </c>
      <c r="E118" s="219" t="b">
        <v>0</v>
      </c>
      <c r="F118" s="219" t="b">
        <v>0</v>
      </c>
      <c r="G118" s="219"/>
    </row>
    <row r="119">
      <c r="A119" s="218">
        <f t="shared" si="1"/>
        <v>118</v>
      </c>
      <c r="B119" s="218" t="s">
        <v>200</v>
      </c>
      <c r="C119" s="218" t="s">
        <v>4609</v>
      </c>
      <c r="D119" s="218" t="b">
        <v>1</v>
      </c>
      <c r="E119" s="219" t="b">
        <v>0</v>
      </c>
      <c r="F119" s="219" t="b">
        <v>0</v>
      </c>
      <c r="G119" s="219"/>
    </row>
    <row r="120">
      <c r="A120" s="218">
        <f t="shared" si="1"/>
        <v>119</v>
      </c>
      <c r="B120" s="218" t="s">
        <v>200</v>
      </c>
      <c r="C120" s="218" t="s">
        <v>4572</v>
      </c>
      <c r="D120" s="218" t="b">
        <v>1</v>
      </c>
      <c r="E120" s="219" t="b">
        <v>0</v>
      </c>
      <c r="F120" s="219" t="b">
        <v>0</v>
      </c>
      <c r="G120" s="219"/>
    </row>
    <row r="121">
      <c r="A121" s="218">
        <f t="shared" si="1"/>
        <v>120</v>
      </c>
      <c r="B121" s="218" t="s">
        <v>200</v>
      </c>
      <c r="C121" s="218" t="s">
        <v>2013</v>
      </c>
      <c r="D121" s="218" t="b">
        <v>1</v>
      </c>
      <c r="E121" s="219" t="b">
        <v>0</v>
      </c>
      <c r="F121" s="219" t="b">
        <v>0</v>
      </c>
      <c r="G121" s="219"/>
    </row>
    <row r="122">
      <c r="A122" s="218">
        <f t="shared" si="1"/>
        <v>121</v>
      </c>
      <c r="B122" s="218" t="s">
        <v>200</v>
      </c>
      <c r="C122" s="218" t="s">
        <v>1575</v>
      </c>
      <c r="D122" s="218" t="b">
        <v>1</v>
      </c>
      <c r="E122" s="219" t="b">
        <v>0</v>
      </c>
      <c r="F122" s="219" t="b">
        <v>0</v>
      </c>
      <c r="G122" s="219"/>
    </row>
    <row r="123">
      <c r="A123" s="218">
        <f t="shared" si="1"/>
        <v>122</v>
      </c>
      <c r="B123" s="218" t="s">
        <v>200</v>
      </c>
      <c r="C123" s="218" t="s">
        <v>2289</v>
      </c>
      <c r="D123" s="218" t="b">
        <v>1</v>
      </c>
      <c r="E123" s="219" t="b">
        <v>0</v>
      </c>
      <c r="F123" s="219" t="b">
        <v>0</v>
      </c>
      <c r="G123" s="219"/>
    </row>
    <row r="124">
      <c r="A124" s="218">
        <f t="shared" si="1"/>
        <v>123</v>
      </c>
      <c r="B124" s="218" t="s">
        <v>200</v>
      </c>
      <c r="C124" s="218" t="s">
        <v>4334</v>
      </c>
      <c r="D124" s="218" t="b">
        <v>1</v>
      </c>
      <c r="E124" s="219" t="b">
        <v>0</v>
      </c>
      <c r="F124" s="219" t="b">
        <v>0</v>
      </c>
      <c r="G124" s="219"/>
    </row>
    <row r="125">
      <c r="A125" s="218">
        <f t="shared" si="1"/>
        <v>124</v>
      </c>
      <c r="B125" s="218" t="s">
        <v>200</v>
      </c>
      <c r="C125" s="218" t="s">
        <v>5066</v>
      </c>
      <c r="D125" s="218" t="b">
        <v>1</v>
      </c>
      <c r="E125" s="219" t="b">
        <v>0</v>
      </c>
      <c r="F125" s="219" t="b">
        <v>0</v>
      </c>
      <c r="G125" s="219"/>
    </row>
    <row r="126">
      <c r="A126" s="218">
        <f t="shared" si="1"/>
        <v>125</v>
      </c>
      <c r="B126" s="218" t="s">
        <v>200</v>
      </c>
      <c r="C126" s="218" t="s">
        <v>3607</v>
      </c>
      <c r="D126" s="218" t="b">
        <v>1</v>
      </c>
      <c r="E126" s="219" t="b">
        <v>0</v>
      </c>
      <c r="F126" s="219" t="b">
        <v>0</v>
      </c>
      <c r="G126" s="219"/>
    </row>
    <row r="127">
      <c r="A127" s="218">
        <f t="shared" si="1"/>
        <v>126</v>
      </c>
      <c r="B127" s="218" t="s">
        <v>200</v>
      </c>
      <c r="C127" s="218" t="s">
        <v>3542</v>
      </c>
      <c r="D127" s="218" t="b">
        <v>1</v>
      </c>
      <c r="E127" s="219" t="b">
        <v>0</v>
      </c>
      <c r="F127" s="219" t="b">
        <v>0</v>
      </c>
      <c r="G127" s="219"/>
    </row>
    <row r="128">
      <c r="A128" s="218">
        <f t="shared" si="1"/>
        <v>127</v>
      </c>
      <c r="B128" s="218" t="s">
        <v>200</v>
      </c>
      <c r="C128" s="218" t="s">
        <v>4564</v>
      </c>
      <c r="D128" s="218" t="b">
        <v>1</v>
      </c>
      <c r="E128" s="219" t="b">
        <v>0</v>
      </c>
      <c r="F128" s="219" t="b">
        <v>0</v>
      </c>
      <c r="G128" s="219"/>
    </row>
    <row r="129">
      <c r="A129" s="218">
        <f t="shared" si="1"/>
        <v>128</v>
      </c>
      <c r="B129" s="218" t="s">
        <v>200</v>
      </c>
      <c r="C129" s="218" t="s">
        <v>1353</v>
      </c>
      <c r="D129" s="218" t="b">
        <v>1</v>
      </c>
      <c r="E129" s="219" t="b">
        <v>0</v>
      </c>
      <c r="F129" s="219" t="b">
        <v>0</v>
      </c>
      <c r="G129" s="219"/>
    </row>
    <row r="130">
      <c r="A130" s="218">
        <f t="shared" si="1"/>
        <v>129</v>
      </c>
      <c r="B130" s="218" t="s">
        <v>200</v>
      </c>
      <c r="C130" s="218" t="s">
        <v>435</v>
      </c>
      <c r="D130" s="218" t="b">
        <v>1</v>
      </c>
      <c r="E130" s="219" t="b">
        <v>0</v>
      </c>
      <c r="F130" s="219" t="b">
        <v>0</v>
      </c>
      <c r="G130" s="219"/>
    </row>
    <row r="131">
      <c r="A131" s="218">
        <f t="shared" si="1"/>
        <v>130</v>
      </c>
      <c r="B131" s="218" t="s">
        <v>200</v>
      </c>
      <c r="C131" s="218" t="s">
        <v>2846</v>
      </c>
      <c r="D131" s="218" t="b">
        <v>1</v>
      </c>
      <c r="E131" s="219" t="b">
        <v>0</v>
      </c>
      <c r="F131" s="219" t="b">
        <v>0</v>
      </c>
      <c r="G131" s="219"/>
    </row>
    <row r="132">
      <c r="A132" s="218">
        <f t="shared" si="1"/>
        <v>131</v>
      </c>
      <c r="B132" s="218" t="s">
        <v>200</v>
      </c>
      <c r="C132" s="218" t="s">
        <v>4947</v>
      </c>
      <c r="D132" s="218" t="b">
        <v>1</v>
      </c>
      <c r="E132" s="219" t="b">
        <v>0</v>
      </c>
      <c r="F132" s="219" t="b">
        <v>0</v>
      </c>
      <c r="G132" s="219"/>
    </row>
    <row r="133">
      <c r="A133" s="218">
        <f t="shared" si="1"/>
        <v>132</v>
      </c>
      <c r="B133" s="218" t="s">
        <v>200</v>
      </c>
      <c r="C133" s="218" t="s">
        <v>3155</v>
      </c>
      <c r="D133" s="218" t="b">
        <v>1</v>
      </c>
      <c r="E133" s="219" t="b">
        <v>0</v>
      </c>
      <c r="F133" s="219" t="b">
        <v>0</v>
      </c>
      <c r="G133" s="219"/>
    </row>
    <row r="134">
      <c r="A134" s="218">
        <f t="shared" si="1"/>
        <v>133</v>
      </c>
      <c r="B134" s="218" t="s">
        <v>200</v>
      </c>
      <c r="C134" s="218" t="s">
        <v>518</v>
      </c>
      <c r="D134" s="218" t="b">
        <v>1</v>
      </c>
      <c r="E134" s="219" t="b">
        <v>0</v>
      </c>
      <c r="F134" s="219" t="b">
        <v>0</v>
      </c>
      <c r="G134" s="219"/>
    </row>
    <row r="135">
      <c r="A135" s="218">
        <f t="shared" si="1"/>
        <v>134</v>
      </c>
      <c r="B135" s="218" t="s">
        <v>200</v>
      </c>
      <c r="C135" s="218" t="s">
        <v>1523</v>
      </c>
      <c r="D135" s="218" t="b">
        <v>1</v>
      </c>
      <c r="E135" s="219" t="b">
        <v>0</v>
      </c>
      <c r="F135" s="219" t="b">
        <v>0</v>
      </c>
      <c r="G135" s="219"/>
    </row>
    <row r="136">
      <c r="A136" s="218">
        <f t="shared" si="1"/>
        <v>135</v>
      </c>
      <c r="B136" s="218" t="s">
        <v>200</v>
      </c>
      <c r="C136" s="218" t="s">
        <v>4279</v>
      </c>
      <c r="D136" s="218" t="b">
        <v>1</v>
      </c>
      <c r="E136" s="219" t="b">
        <v>0</v>
      </c>
      <c r="F136" s="219" t="b">
        <v>0</v>
      </c>
      <c r="G136" s="219"/>
    </row>
    <row r="137">
      <c r="A137" s="218">
        <f t="shared" si="1"/>
        <v>136</v>
      </c>
      <c r="B137" s="218" t="s">
        <v>200</v>
      </c>
      <c r="C137" s="218" t="s">
        <v>1654</v>
      </c>
      <c r="D137" s="218" t="b">
        <v>1</v>
      </c>
      <c r="E137" s="219" t="b">
        <v>0</v>
      </c>
      <c r="F137" s="219" t="b">
        <v>0</v>
      </c>
      <c r="G137" s="219"/>
    </row>
    <row r="138">
      <c r="A138" s="218">
        <f t="shared" si="1"/>
        <v>137</v>
      </c>
      <c r="B138" s="218" t="s">
        <v>200</v>
      </c>
      <c r="C138" s="218" t="s">
        <v>5233</v>
      </c>
      <c r="D138" s="218" t="b">
        <v>1</v>
      </c>
      <c r="E138" s="219" t="b">
        <v>0</v>
      </c>
      <c r="F138" s="219" t="b">
        <v>0</v>
      </c>
      <c r="G138" s="219"/>
    </row>
    <row r="139">
      <c r="A139" s="218">
        <f t="shared" si="1"/>
        <v>138</v>
      </c>
      <c r="B139" s="218" t="s">
        <v>200</v>
      </c>
      <c r="C139" s="218" t="s">
        <v>1685</v>
      </c>
      <c r="D139" s="218" t="b">
        <v>1</v>
      </c>
      <c r="E139" s="219" t="b">
        <v>0</v>
      </c>
      <c r="F139" s="219" t="b">
        <v>0</v>
      </c>
      <c r="G139" s="219"/>
    </row>
    <row r="140">
      <c r="A140" s="218">
        <f t="shared" si="1"/>
        <v>139</v>
      </c>
      <c r="B140" s="218" t="s">
        <v>200</v>
      </c>
      <c r="C140" s="218" t="s">
        <v>1953</v>
      </c>
      <c r="D140" s="218" t="b">
        <v>1</v>
      </c>
      <c r="E140" s="219" t="b">
        <v>0</v>
      </c>
      <c r="F140" s="219" t="b">
        <v>0</v>
      </c>
      <c r="G140" s="219"/>
    </row>
    <row r="141">
      <c r="A141" s="218">
        <f t="shared" si="1"/>
        <v>140</v>
      </c>
      <c r="B141" s="218" t="s">
        <v>200</v>
      </c>
      <c r="C141" s="218" t="s">
        <v>1518</v>
      </c>
      <c r="D141" s="218" t="b">
        <v>1</v>
      </c>
      <c r="E141" s="219" t="b">
        <v>0</v>
      </c>
      <c r="F141" s="219" t="b">
        <v>0</v>
      </c>
      <c r="G141" s="219"/>
    </row>
    <row r="142">
      <c r="A142" s="218">
        <f t="shared" si="1"/>
        <v>141</v>
      </c>
      <c r="B142" s="218" t="s">
        <v>200</v>
      </c>
      <c r="C142" s="218" t="s">
        <v>800</v>
      </c>
      <c r="D142" s="218" t="b">
        <v>1</v>
      </c>
      <c r="E142" s="219" t="b">
        <v>0</v>
      </c>
      <c r="F142" s="219" t="b">
        <v>0</v>
      </c>
      <c r="G142" s="219"/>
    </row>
    <row r="143">
      <c r="A143" s="218">
        <f t="shared" si="1"/>
        <v>142</v>
      </c>
      <c r="B143" s="218" t="s">
        <v>200</v>
      </c>
      <c r="C143" s="218" t="s">
        <v>1601</v>
      </c>
      <c r="D143" s="218" t="b">
        <v>1</v>
      </c>
      <c r="E143" s="219" t="b">
        <v>0</v>
      </c>
      <c r="F143" s="219" t="b">
        <v>0</v>
      </c>
      <c r="G143" s="219"/>
    </row>
    <row r="144">
      <c r="A144" s="218">
        <f t="shared" si="1"/>
        <v>143</v>
      </c>
      <c r="B144" s="218" t="s">
        <v>200</v>
      </c>
      <c r="C144" s="218" t="s">
        <v>1614</v>
      </c>
      <c r="D144" s="218" t="b">
        <v>1</v>
      </c>
      <c r="E144" s="219" t="b">
        <v>0</v>
      </c>
      <c r="F144" s="219" t="b">
        <v>0</v>
      </c>
      <c r="G144" s="219"/>
    </row>
    <row r="145">
      <c r="A145" s="218">
        <f t="shared" si="1"/>
        <v>144</v>
      </c>
      <c r="B145" s="218" t="s">
        <v>200</v>
      </c>
      <c r="C145" s="218" t="s">
        <v>553</v>
      </c>
      <c r="D145" s="218" t="b">
        <v>1</v>
      </c>
      <c r="E145" s="219" t="b">
        <v>0</v>
      </c>
      <c r="F145" s="219" t="b">
        <v>0</v>
      </c>
      <c r="G145" s="219"/>
    </row>
    <row r="146">
      <c r="A146" s="218">
        <f t="shared" si="1"/>
        <v>145</v>
      </c>
      <c r="B146" s="218" t="s">
        <v>200</v>
      </c>
      <c r="C146" s="218" t="s">
        <v>1973</v>
      </c>
      <c r="D146" s="218" t="b">
        <v>1</v>
      </c>
      <c r="E146" s="219" t="b">
        <v>0</v>
      </c>
      <c r="F146" s="219" t="b">
        <v>0</v>
      </c>
      <c r="G146" s="219"/>
    </row>
    <row r="147">
      <c r="A147" s="218">
        <f t="shared" si="1"/>
        <v>146</v>
      </c>
      <c r="B147" s="218" t="s">
        <v>200</v>
      </c>
      <c r="C147" s="218" t="s">
        <v>5183</v>
      </c>
      <c r="D147" s="218" t="b">
        <v>1</v>
      </c>
      <c r="E147" s="219" t="b">
        <v>0</v>
      </c>
      <c r="F147" s="219" t="b">
        <v>0</v>
      </c>
      <c r="G147" s="219"/>
    </row>
    <row r="148">
      <c r="A148" s="218">
        <f t="shared" si="1"/>
        <v>147</v>
      </c>
      <c r="B148" s="218" t="s">
        <v>200</v>
      </c>
      <c r="C148" s="218" t="s">
        <v>1698</v>
      </c>
      <c r="D148" s="218" t="b">
        <v>1</v>
      </c>
      <c r="E148" s="219" t="b">
        <v>0</v>
      </c>
      <c r="F148" s="219" t="b">
        <v>0</v>
      </c>
      <c r="G148" s="219"/>
    </row>
    <row r="149">
      <c r="A149" s="218">
        <f t="shared" si="1"/>
        <v>148</v>
      </c>
      <c r="B149" s="218" t="s">
        <v>200</v>
      </c>
      <c r="C149" s="218" t="s">
        <v>375</v>
      </c>
      <c r="D149" s="218" t="b">
        <v>1</v>
      </c>
      <c r="E149" s="219" t="b">
        <v>0</v>
      </c>
      <c r="F149" s="219" t="b">
        <v>0</v>
      </c>
      <c r="G149" s="219"/>
    </row>
    <row r="150">
      <c r="A150" s="218">
        <f t="shared" si="1"/>
        <v>149</v>
      </c>
      <c r="B150" s="218" t="s">
        <v>200</v>
      </c>
      <c r="C150" s="218" t="s">
        <v>1752</v>
      </c>
      <c r="D150" s="218" t="b">
        <v>1</v>
      </c>
      <c r="E150" s="219" t="b">
        <v>0</v>
      </c>
      <c r="F150" s="219" t="b">
        <v>0</v>
      </c>
      <c r="G150" s="219"/>
    </row>
    <row r="151">
      <c r="A151" s="218">
        <f t="shared" si="1"/>
        <v>150</v>
      </c>
      <c r="B151" s="218" t="s">
        <v>200</v>
      </c>
      <c r="C151" s="218" t="s">
        <v>1872</v>
      </c>
      <c r="D151" s="218" t="b">
        <v>1</v>
      </c>
      <c r="E151" s="219" t="b">
        <v>0</v>
      </c>
      <c r="F151" s="219" t="b">
        <v>0</v>
      </c>
      <c r="G151" s="219"/>
    </row>
    <row r="152">
      <c r="A152" s="218">
        <f t="shared" si="1"/>
        <v>151</v>
      </c>
      <c r="B152" s="218" t="s">
        <v>200</v>
      </c>
      <c r="C152" s="218" t="s">
        <v>2359</v>
      </c>
      <c r="D152" s="218" t="b">
        <v>1</v>
      </c>
      <c r="E152" s="219" t="b">
        <v>0</v>
      </c>
      <c r="F152" s="219" t="b">
        <v>0</v>
      </c>
      <c r="G152" s="219"/>
    </row>
    <row r="153">
      <c r="A153" s="218">
        <f t="shared" si="1"/>
        <v>152</v>
      </c>
      <c r="B153" s="218" t="s">
        <v>200</v>
      </c>
      <c r="C153" s="218" t="s">
        <v>2790</v>
      </c>
      <c r="D153" s="218" t="b">
        <v>1</v>
      </c>
      <c r="E153" s="219" t="b">
        <v>0</v>
      </c>
      <c r="F153" s="219" t="b">
        <v>0</v>
      </c>
      <c r="G153" s="219"/>
    </row>
    <row r="154">
      <c r="A154" s="218">
        <f t="shared" si="1"/>
        <v>153</v>
      </c>
      <c r="B154" s="218" t="s">
        <v>200</v>
      </c>
      <c r="C154" s="218" t="s">
        <v>3141</v>
      </c>
      <c r="D154" s="218" t="b">
        <v>1</v>
      </c>
      <c r="E154" s="219" t="b">
        <v>0</v>
      </c>
      <c r="F154" s="219" t="b">
        <v>0</v>
      </c>
      <c r="G154" s="219"/>
    </row>
    <row r="155">
      <c r="A155" s="218">
        <f t="shared" si="1"/>
        <v>154</v>
      </c>
      <c r="B155" s="218" t="s">
        <v>200</v>
      </c>
      <c r="C155" s="218" t="s">
        <v>474</v>
      </c>
      <c r="D155" s="218" t="b">
        <v>1</v>
      </c>
      <c r="E155" s="219" t="b">
        <v>0</v>
      </c>
      <c r="F155" s="219" t="b">
        <v>0</v>
      </c>
      <c r="G155" s="219"/>
    </row>
    <row r="156">
      <c r="A156" s="218">
        <f t="shared" si="1"/>
        <v>155</v>
      </c>
      <c r="B156" s="218" t="s">
        <v>200</v>
      </c>
      <c r="C156" s="218" t="s">
        <v>1858</v>
      </c>
      <c r="D156" s="218" t="b">
        <v>1</v>
      </c>
      <c r="E156" s="219" t="b">
        <v>0</v>
      </c>
      <c r="F156" s="219" t="b">
        <v>0</v>
      </c>
      <c r="G156" s="219"/>
    </row>
    <row r="157">
      <c r="A157" s="218">
        <f t="shared" si="1"/>
        <v>156</v>
      </c>
      <c r="B157" s="218" t="s">
        <v>200</v>
      </c>
      <c r="C157" s="218" t="s">
        <v>3181</v>
      </c>
      <c r="D157" s="218" t="b">
        <v>1</v>
      </c>
      <c r="E157" s="219" t="b">
        <v>0</v>
      </c>
      <c r="F157" s="219" t="b">
        <v>0</v>
      </c>
      <c r="G157" s="219"/>
    </row>
    <row r="158">
      <c r="A158" s="218">
        <f t="shared" si="1"/>
        <v>157</v>
      </c>
      <c r="B158" s="218" t="s">
        <v>200</v>
      </c>
      <c r="C158" s="218" t="s">
        <v>4073</v>
      </c>
      <c r="D158" s="218" t="b">
        <v>1</v>
      </c>
      <c r="E158" s="219" t="b">
        <v>0</v>
      </c>
      <c r="F158" s="219" t="b">
        <v>0</v>
      </c>
      <c r="G158" s="219"/>
    </row>
    <row r="159">
      <c r="A159" s="218">
        <f t="shared" si="1"/>
        <v>158</v>
      </c>
      <c r="B159" s="218" t="s">
        <v>200</v>
      </c>
      <c r="C159" s="218" t="s">
        <v>1868</v>
      </c>
      <c r="D159" s="218" t="b">
        <v>1</v>
      </c>
      <c r="E159" s="219" t="b">
        <v>0</v>
      </c>
      <c r="F159" s="219" t="b">
        <v>0</v>
      </c>
      <c r="G159" s="219"/>
    </row>
    <row r="160">
      <c r="A160" s="218">
        <f t="shared" si="1"/>
        <v>159</v>
      </c>
      <c r="B160" s="218" t="s">
        <v>200</v>
      </c>
      <c r="C160" s="218" t="s">
        <v>2335</v>
      </c>
      <c r="D160" s="218" t="b">
        <v>1</v>
      </c>
      <c r="E160" s="219" t="b">
        <v>0</v>
      </c>
      <c r="F160" s="219" t="b">
        <v>0</v>
      </c>
      <c r="G160" s="219"/>
    </row>
    <row r="161">
      <c r="A161" s="218">
        <f t="shared" si="1"/>
        <v>160</v>
      </c>
      <c r="B161" s="218" t="s">
        <v>200</v>
      </c>
      <c r="C161" s="218" t="s">
        <v>3446</v>
      </c>
      <c r="D161" s="218" t="b">
        <v>1</v>
      </c>
      <c r="E161" s="219" t="b">
        <v>0</v>
      </c>
      <c r="F161" s="219" t="b">
        <v>0</v>
      </c>
      <c r="G161" s="219"/>
    </row>
    <row r="162">
      <c r="A162" s="218">
        <f t="shared" si="1"/>
        <v>161</v>
      </c>
      <c r="B162" s="218" t="s">
        <v>200</v>
      </c>
      <c r="C162" s="218" t="s">
        <v>1588</v>
      </c>
      <c r="D162" s="218" t="b">
        <v>1</v>
      </c>
      <c r="E162" s="219" t="b">
        <v>0</v>
      </c>
      <c r="F162" s="219" t="b">
        <v>0</v>
      </c>
      <c r="G162" s="219"/>
    </row>
    <row r="163">
      <c r="A163" s="218">
        <f t="shared" si="1"/>
        <v>162</v>
      </c>
      <c r="B163" s="218" t="s">
        <v>200</v>
      </c>
      <c r="C163" s="218" t="s">
        <v>4905</v>
      </c>
      <c r="D163" s="218" t="b">
        <v>1</v>
      </c>
      <c r="E163" s="219" t="b">
        <v>0</v>
      </c>
      <c r="F163" s="219" t="b">
        <v>0</v>
      </c>
      <c r="G163" s="219"/>
    </row>
    <row r="164">
      <c r="A164" s="218">
        <f t="shared" si="1"/>
        <v>163</v>
      </c>
      <c r="B164" s="218" t="s">
        <v>200</v>
      </c>
      <c r="C164" s="218" t="s">
        <v>3252</v>
      </c>
      <c r="D164" s="218" t="b">
        <v>1</v>
      </c>
      <c r="E164" s="219" t="b">
        <v>0</v>
      </c>
      <c r="F164" s="219" t="b">
        <v>0</v>
      </c>
      <c r="G164" s="219"/>
    </row>
    <row r="165">
      <c r="A165" s="218">
        <f t="shared" si="1"/>
        <v>164</v>
      </c>
      <c r="B165" s="218" t="s">
        <v>200</v>
      </c>
      <c r="C165" s="218" t="s">
        <v>500</v>
      </c>
      <c r="D165" s="218" t="b">
        <v>1</v>
      </c>
      <c r="E165" s="219" t="b">
        <v>0</v>
      </c>
      <c r="F165" s="219" t="b">
        <v>0</v>
      </c>
      <c r="G165" s="219"/>
    </row>
    <row r="166">
      <c r="A166" s="218">
        <f t="shared" si="1"/>
        <v>165</v>
      </c>
      <c r="B166" s="218" t="s">
        <v>200</v>
      </c>
      <c r="C166" s="218" t="s">
        <v>3247</v>
      </c>
      <c r="D166" s="218" t="b">
        <v>1</v>
      </c>
      <c r="E166" s="219" t="b">
        <v>0</v>
      </c>
      <c r="F166" s="219" t="b">
        <v>0</v>
      </c>
      <c r="G166" s="219"/>
    </row>
    <row r="167">
      <c r="A167" s="218">
        <f t="shared" si="1"/>
        <v>166</v>
      </c>
      <c r="B167" s="218" t="s">
        <v>200</v>
      </c>
      <c r="C167" s="218" t="s">
        <v>3364</v>
      </c>
      <c r="D167" s="218" t="b">
        <v>1</v>
      </c>
      <c r="E167" s="219" t="b">
        <v>0</v>
      </c>
      <c r="F167" s="219" t="b">
        <v>0</v>
      </c>
      <c r="G167" s="219"/>
    </row>
    <row r="168">
      <c r="A168" s="218">
        <f t="shared" si="1"/>
        <v>167</v>
      </c>
      <c r="B168" s="218" t="s">
        <v>200</v>
      </c>
      <c r="C168" s="218" t="s">
        <v>4120</v>
      </c>
      <c r="D168" s="218" t="b">
        <v>1</v>
      </c>
      <c r="E168" s="219" t="b">
        <v>0</v>
      </c>
      <c r="F168" s="219" t="b">
        <v>0</v>
      </c>
      <c r="G168" s="219"/>
    </row>
    <row r="169">
      <c r="A169" s="218">
        <f t="shared" si="1"/>
        <v>168</v>
      </c>
      <c r="B169" s="218" t="s">
        <v>200</v>
      </c>
      <c r="C169" s="218" t="s">
        <v>629</v>
      </c>
      <c r="D169" s="218" t="b">
        <v>1</v>
      </c>
      <c r="E169" s="219" t="b">
        <v>0</v>
      </c>
      <c r="F169" s="219" t="b">
        <v>0</v>
      </c>
      <c r="G169" s="219"/>
    </row>
    <row r="170">
      <c r="A170" s="218">
        <f t="shared" si="1"/>
        <v>169</v>
      </c>
      <c r="B170" s="218" t="s">
        <v>200</v>
      </c>
      <c r="C170" s="218" t="s">
        <v>1158</v>
      </c>
      <c r="D170" s="218" t="b">
        <v>1</v>
      </c>
      <c r="E170" s="219" t="b">
        <v>0</v>
      </c>
      <c r="F170" s="219" t="b">
        <v>0</v>
      </c>
      <c r="G170" s="219"/>
    </row>
    <row r="171">
      <c r="A171" s="218">
        <f t="shared" si="1"/>
        <v>170</v>
      </c>
      <c r="B171" s="218" t="s">
        <v>200</v>
      </c>
      <c r="C171" s="218" t="s">
        <v>3217</v>
      </c>
      <c r="D171" s="218" t="b">
        <v>1</v>
      </c>
      <c r="E171" s="219" t="b">
        <v>0</v>
      </c>
      <c r="F171" s="219" t="b">
        <v>0</v>
      </c>
      <c r="G171" s="219"/>
    </row>
    <row r="172">
      <c r="A172" s="218">
        <f t="shared" si="1"/>
        <v>171</v>
      </c>
      <c r="B172" s="218" t="s">
        <v>200</v>
      </c>
      <c r="C172" s="218" t="s">
        <v>3176</v>
      </c>
      <c r="D172" s="218" t="b">
        <v>1</v>
      </c>
      <c r="E172" s="219" t="b">
        <v>0</v>
      </c>
      <c r="F172" s="219" t="b">
        <v>0</v>
      </c>
      <c r="G172" s="219"/>
    </row>
    <row r="173">
      <c r="A173" s="218">
        <f t="shared" si="1"/>
        <v>172</v>
      </c>
      <c r="B173" s="218" t="s">
        <v>200</v>
      </c>
      <c r="C173" s="218" t="s">
        <v>380</v>
      </c>
      <c r="D173" s="218" t="b">
        <v>1</v>
      </c>
      <c r="E173" s="219" t="b">
        <v>0</v>
      </c>
      <c r="F173" s="219" t="b">
        <v>0</v>
      </c>
      <c r="G173" s="219"/>
    </row>
    <row r="174">
      <c r="A174" s="218">
        <f t="shared" si="1"/>
        <v>173</v>
      </c>
      <c r="B174" s="218" t="s">
        <v>200</v>
      </c>
      <c r="C174" s="218" t="s">
        <v>2780</v>
      </c>
      <c r="D174" s="218" t="b">
        <v>1</v>
      </c>
      <c r="E174" s="219" t="b">
        <v>0</v>
      </c>
      <c r="F174" s="219" t="b">
        <v>0</v>
      </c>
      <c r="G174" s="219"/>
    </row>
    <row r="175">
      <c r="A175" s="218">
        <f t="shared" si="1"/>
        <v>174</v>
      </c>
      <c r="B175" s="218" t="s">
        <v>200</v>
      </c>
      <c r="C175" s="218" t="s">
        <v>2780</v>
      </c>
      <c r="D175" s="218" t="b">
        <v>1</v>
      </c>
      <c r="E175" s="219" t="b">
        <v>0</v>
      </c>
      <c r="F175" s="219" t="b">
        <v>0</v>
      </c>
      <c r="G175" s="219"/>
    </row>
    <row r="176">
      <c r="A176" s="218">
        <f t="shared" si="1"/>
        <v>175</v>
      </c>
      <c r="B176" s="218" t="s">
        <v>200</v>
      </c>
      <c r="C176" s="218" t="s">
        <v>410</v>
      </c>
      <c r="D176" s="218" t="b">
        <v>1</v>
      </c>
      <c r="E176" s="219" t="b">
        <v>0</v>
      </c>
      <c r="F176" s="219" t="b">
        <v>0</v>
      </c>
      <c r="G176" s="219"/>
    </row>
    <row r="177">
      <c r="A177" s="218">
        <f t="shared" si="1"/>
        <v>176</v>
      </c>
      <c r="B177" s="218" t="s">
        <v>200</v>
      </c>
      <c r="C177" s="218" t="s">
        <v>3207</v>
      </c>
      <c r="D177" s="218" t="b">
        <v>1</v>
      </c>
      <c r="E177" s="219" t="b">
        <v>0</v>
      </c>
      <c r="F177" s="219" t="b">
        <v>0</v>
      </c>
      <c r="G177" s="219"/>
    </row>
    <row r="178">
      <c r="A178" s="218">
        <f t="shared" si="1"/>
        <v>177</v>
      </c>
      <c r="B178" s="218" t="s">
        <v>200</v>
      </c>
      <c r="C178" s="218" t="s">
        <v>1784</v>
      </c>
      <c r="D178" s="218" t="b">
        <v>1</v>
      </c>
      <c r="E178" s="219" t="b">
        <v>0</v>
      </c>
      <c r="F178" s="219" t="b">
        <v>0</v>
      </c>
      <c r="G178" s="219"/>
    </row>
    <row r="179">
      <c r="A179" s="218">
        <f t="shared" si="1"/>
        <v>178</v>
      </c>
      <c r="B179" s="218" t="s">
        <v>200</v>
      </c>
      <c r="C179" s="218" t="s">
        <v>3272</v>
      </c>
      <c r="D179" s="218" t="b">
        <v>1</v>
      </c>
      <c r="E179" s="219" t="b">
        <v>0</v>
      </c>
      <c r="F179" s="219" t="b">
        <v>0</v>
      </c>
      <c r="G179" s="219"/>
    </row>
    <row r="180">
      <c r="A180" s="218">
        <f t="shared" si="1"/>
        <v>179</v>
      </c>
      <c r="B180" s="218" t="s">
        <v>200</v>
      </c>
      <c r="C180" s="218" t="s">
        <v>6474</v>
      </c>
      <c r="D180" s="218" t="b">
        <v>1</v>
      </c>
      <c r="E180" s="219" t="b">
        <v>0</v>
      </c>
      <c r="F180" s="219" t="b">
        <v>0</v>
      </c>
      <c r="G180" s="219"/>
    </row>
    <row r="181">
      <c r="A181" s="218">
        <f t="shared" si="1"/>
        <v>180</v>
      </c>
      <c r="B181" s="218" t="s">
        <v>200</v>
      </c>
      <c r="C181" s="218" t="s">
        <v>2036</v>
      </c>
      <c r="D181" s="218" t="b">
        <v>1</v>
      </c>
      <c r="E181" s="219" t="b">
        <v>0</v>
      </c>
      <c r="F181" s="219" t="b">
        <v>0</v>
      </c>
      <c r="G181" s="219"/>
    </row>
    <row r="182">
      <c r="A182" s="218">
        <f t="shared" si="1"/>
        <v>181</v>
      </c>
      <c r="B182" s="218" t="s">
        <v>200</v>
      </c>
      <c r="C182" s="218" t="s">
        <v>3383</v>
      </c>
      <c r="D182" s="218" t="b">
        <v>1</v>
      </c>
      <c r="E182" s="219" t="b">
        <v>0</v>
      </c>
      <c r="F182" s="219" t="b">
        <v>0</v>
      </c>
      <c r="G182" s="219"/>
    </row>
    <row r="183">
      <c r="A183" s="218">
        <f t="shared" si="1"/>
        <v>182</v>
      </c>
      <c r="B183" s="218" t="s">
        <v>200</v>
      </c>
      <c r="C183" s="218" t="s">
        <v>4686</v>
      </c>
      <c r="D183" s="218" t="b">
        <v>1</v>
      </c>
      <c r="E183" s="219" t="b">
        <v>0</v>
      </c>
      <c r="F183" s="219" t="b">
        <v>0</v>
      </c>
      <c r="G183" s="219"/>
    </row>
    <row r="184">
      <c r="A184" s="218">
        <f t="shared" si="1"/>
        <v>183</v>
      </c>
      <c r="B184" s="218" t="s">
        <v>200</v>
      </c>
      <c r="C184" s="218" t="s">
        <v>2210</v>
      </c>
      <c r="D184" s="218" t="b">
        <v>1</v>
      </c>
      <c r="E184" s="219" t="b">
        <v>0</v>
      </c>
      <c r="F184" s="219" t="b">
        <v>0</v>
      </c>
      <c r="G184" s="219"/>
    </row>
    <row r="185">
      <c r="A185" s="218">
        <f t="shared" si="1"/>
        <v>184</v>
      </c>
      <c r="B185" s="218" t="s">
        <v>200</v>
      </c>
      <c r="C185" s="218" t="s">
        <v>5308</v>
      </c>
      <c r="D185" s="218" t="b">
        <v>1</v>
      </c>
      <c r="E185" s="219" t="b">
        <v>0</v>
      </c>
      <c r="F185" s="219" t="b">
        <v>0</v>
      </c>
      <c r="G185" s="219"/>
    </row>
    <row r="186">
      <c r="A186" s="218">
        <f t="shared" si="1"/>
        <v>185</v>
      </c>
      <c r="B186" s="218" t="s">
        <v>200</v>
      </c>
      <c r="C186" s="218" t="s">
        <v>2445</v>
      </c>
      <c r="D186" s="218" t="b">
        <v>1</v>
      </c>
      <c r="E186" s="219" t="b">
        <v>0</v>
      </c>
      <c r="F186" s="219" t="b">
        <v>0</v>
      </c>
      <c r="G186" s="219"/>
    </row>
    <row r="187">
      <c r="A187" s="218">
        <f t="shared" si="1"/>
        <v>186</v>
      </c>
      <c r="B187" s="218" t="s">
        <v>200</v>
      </c>
      <c r="C187" s="218" t="s">
        <v>1278</v>
      </c>
      <c r="D187" s="218" t="b">
        <v>1</v>
      </c>
      <c r="E187" s="219" t="b">
        <v>0</v>
      </c>
      <c r="F187" s="219" t="b">
        <v>0</v>
      </c>
      <c r="G187" s="219"/>
    </row>
    <row r="188">
      <c r="A188" s="218">
        <f t="shared" si="1"/>
        <v>187</v>
      </c>
      <c r="B188" s="218" t="s">
        <v>200</v>
      </c>
      <c r="C188" s="218" t="s">
        <v>2866</v>
      </c>
      <c r="D188" s="218" t="b">
        <v>1</v>
      </c>
      <c r="E188" s="219" t="b">
        <v>0</v>
      </c>
      <c r="F188" s="219" t="b">
        <v>0</v>
      </c>
      <c r="G188" s="219"/>
    </row>
    <row r="189">
      <c r="A189" s="218">
        <f t="shared" si="1"/>
        <v>188</v>
      </c>
      <c r="B189" s="218" t="s">
        <v>200</v>
      </c>
      <c r="C189" s="218" t="s">
        <v>425</v>
      </c>
      <c r="D189" s="218" t="b">
        <v>1</v>
      </c>
      <c r="E189" s="219" t="b">
        <v>0</v>
      </c>
      <c r="F189" s="219" t="b">
        <v>0</v>
      </c>
      <c r="G189" s="219"/>
    </row>
    <row r="190">
      <c r="A190" s="218">
        <f t="shared" si="1"/>
        <v>189</v>
      </c>
      <c r="B190" s="218" t="s">
        <v>200</v>
      </c>
      <c r="C190" s="218" t="s">
        <v>1820</v>
      </c>
      <c r="D190" s="218" t="b">
        <v>1</v>
      </c>
      <c r="E190" s="219" t="b">
        <v>0</v>
      </c>
      <c r="F190" s="219" t="b">
        <v>0</v>
      </c>
      <c r="G190" s="219"/>
    </row>
    <row r="191">
      <c r="A191" s="218">
        <f t="shared" si="1"/>
        <v>190</v>
      </c>
      <c r="B191" s="218" t="s">
        <v>200</v>
      </c>
      <c r="C191" s="218" t="s">
        <v>1376</v>
      </c>
      <c r="D191" s="218" t="b">
        <v>1</v>
      </c>
      <c r="E191" s="219" t="b">
        <v>0</v>
      </c>
      <c r="F191" s="219" t="b">
        <v>0</v>
      </c>
      <c r="G191" s="219"/>
    </row>
    <row r="192">
      <c r="A192" s="218">
        <f t="shared" si="1"/>
        <v>191</v>
      </c>
      <c r="B192" s="218" t="s">
        <v>200</v>
      </c>
      <c r="C192" s="218" t="s">
        <v>3319</v>
      </c>
      <c r="D192" s="218" t="b">
        <v>1</v>
      </c>
      <c r="E192" s="219" t="b">
        <v>0</v>
      </c>
      <c r="F192" s="219" t="b">
        <v>0</v>
      </c>
      <c r="G192" s="219"/>
    </row>
    <row r="193">
      <c r="A193" s="218">
        <f t="shared" si="1"/>
        <v>192</v>
      </c>
      <c r="B193" s="218" t="s">
        <v>200</v>
      </c>
      <c r="C193" s="218" t="s">
        <v>1079</v>
      </c>
      <c r="D193" s="218" t="b">
        <v>1</v>
      </c>
      <c r="E193" s="219" t="b">
        <v>0</v>
      </c>
      <c r="F193" s="219" t="b">
        <v>0</v>
      </c>
      <c r="G193" s="219"/>
    </row>
    <row r="194">
      <c r="A194" s="218">
        <f t="shared" si="1"/>
        <v>193</v>
      </c>
      <c r="B194" s="218" t="s">
        <v>200</v>
      </c>
      <c r="C194" s="218" t="s">
        <v>2938</v>
      </c>
      <c r="D194" s="218" t="b">
        <v>1</v>
      </c>
      <c r="E194" s="219" t="b">
        <v>0</v>
      </c>
      <c r="F194" s="219" t="b">
        <v>0</v>
      </c>
      <c r="G194" s="219"/>
    </row>
    <row r="195">
      <c r="A195" s="218">
        <f t="shared" si="1"/>
        <v>194</v>
      </c>
      <c r="B195" s="218" t="s">
        <v>200</v>
      </c>
      <c r="C195" s="218" t="s">
        <v>2813</v>
      </c>
      <c r="D195" s="218" t="b">
        <v>1</v>
      </c>
      <c r="E195" s="219" t="b">
        <v>0</v>
      </c>
      <c r="F195" s="219" t="b">
        <v>0</v>
      </c>
      <c r="G195" s="219"/>
    </row>
    <row r="196">
      <c r="A196" s="218">
        <f t="shared" si="1"/>
        <v>195</v>
      </c>
      <c r="B196" s="218" t="s">
        <v>200</v>
      </c>
      <c r="C196" s="218" t="s">
        <v>3569</v>
      </c>
      <c r="D196" s="218" t="b">
        <v>1</v>
      </c>
      <c r="E196" s="219" t="b">
        <v>0</v>
      </c>
      <c r="F196" s="219" t="b">
        <v>0</v>
      </c>
      <c r="G196" s="219"/>
    </row>
    <row r="197">
      <c r="A197" s="218">
        <f t="shared" si="1"/>
        <v>196</v>
      </c>
      <c r="B197" s="218" t="s">
        <v>200</v>
      </c>
      <c r="C197" s="218" t="s">
        <v>1191</v>
      </c>
      <c r="D197" s="218" t="b">
        <v>1</v>
      </c>
      <c r="E197" s="219" t="b">
        <v>0</v>
      </c>
      <c r="F197" s="219" t="b">
        <v>0</v>
      </c>
      <c r="G197" s="219"/>
    </row>
    <row r="198">
      <c r="A198" s="218">
        <f t="shared" si="1"/>
        <v>197</v>
      </c>
      <c r="B198" s="218" t="s">
        <v>200</v>
      </c>
      <c r="C198" s="218" t="s">
        <v>5398</v>
      </c>
      <c r="D198" s="218" t="b">
        <v>1</v>
      </c>
      <c r="E198" s="219" t="b">
        <v>0</v>
      </c>
      <c r="F198" s="219" t="b">
        <v>0</v>
      </c>
      <c r="G198" s="219"/>
    </row>
    <row r="199">
      <c r="A199" s="218">
        <f t="shared" si="1"/>
        <v>198</v>
      </c>
      <c r="B199" s="218" t="s">
        <v>200</v>
      </c>
      <c r="C199" s="218" t="s">
        <v>2156</v>
      </c>
      <c r="D199" s="218" t="b">
        <v>1</v>
      </c>
      <c r="E199" s="219" t="b">
        <v>0</v>
      </c>
      <c r="F199" s="219" t="b">
        <v>0</v>
      </c>
      <c r="G199" s="219"/>
    </row>
    <row r="200">
      <c r="A200" s="218">
        <f t="shared" si="1"/>
        <v>199</v>
      </c>
      <c r="B200" s="218" t="s">
        <v>200</v>
      </c>
      <c r="C200" s="218" t="s">
        <v>3494</v>
      </c>
      <c r="D200" s="218" t="b">
        <v>1</v>
      </c>
      <c r="E200" s="219" t="b">
        <v>0</v>
      </c>
      <c r="F200" s="219" t="b">
        <v>0</v>
      </c>
      <c r="G200" s="219"/>
    </row>
    <row r="201">
      <c r="A201" s="218">
        <f t="shared" si="1"/>
        <v>200</v>
      </c>
      <c r="B201" s="218" t="s">
        <v>200</v>
      </c>
      <c r="C201" s="218" t="s">
        <v>4762</v>
      </c>
      <c r="D201" s="218" t="b">
        <v>1</v>
      </c>
      <c r="E201" s="219" t="b">
        <v>0</v>
      </c>
      <c r="F201" s="219" t="b">
        <v>0</v>
      </c>
      <c r="G201" s="219"/>
    </row>
    <row r="202">
      <c r="A202" s="218">
        <f t="shared" si="1"/>
        <v>201</v>
      </c>
      <c r="B202" s="218" t="s">
        <v>200</v>
      </c>
      <c r="C202" s="218" t="s">
        <v>3352</v>
      </c>
      <c r="D202" s="218" t="b">
        <v>1</v>
      </c>
      <c r="E202" s="219" t="b">
        <v>0</v>
      </c>
      <c r="F202" s="219" t="b">
        <v>0</v>
      </c>
      <c r="G202" s="219"/>
    </row>
    <row r="203">
      <c r="A203" s="218">
        <f t="shared" si="1"/>
        <v>202</v>
      </c>
      <c r="B203" s="218" t="s">
        <v>200</v>
      </c>
      <c r="C203" s="218" t="s">
        <v>1455</v>
      </c>
      <c r="D203" s="218" t="b">
        <v>1</v>
      </c>
      <c r="E203" s="219" t="b">
        <v>0</v>
      </c>
      <c r="F203" s="219" t="b">
        <v>0</v>
      </c>
      <c r="G203" s="219"/>
    </row>
    <row r="204">
      <c r="A204" s="218">
        <f t="shared" si="1"/>
        <v>203</v>
      </c>
      <c r="B204" s="218" t="s">
        <v>200</v>
      </c>
      <c r="C204" s="218" t="s">
        <v>3267</v>
      </c>
      <c r="D204" s="218" t="b">
        <v>1</v>
      </c>
      <c r="E204" s="219" t="b">
        <v>0</v>
      </c>
      <c r="F204" s="219" t="b">
        <v>0</v>
      </c>
      <c r="G204" s="219"/>
    </row>
    <row r="205">
      <c r="A205" s="218">
        <f t="shared" si="1"/>
        <v>204</v>
      </c>
      <c r="B205" s="218" t="s">
        <v>200</v>
      </c>
      <c r="C205" s="218" t="s">
        <v>6476</v>
      </c>
      <c r="D205" s="218" t="b">
        <v>1</v>
      </c>
      <c r="E205" s="219" t="b">
        <v>0</v>
      </c>
      <c r="F205" s="219" t="b">
        <v>0</v>
      </c>
      <c r="G205" s="219"/>
    </row>
    <row r="206">
      <c r="A206" s="218">
        <f t="shared" si="1"/>
        <v>205</v>
      </c>
      <c r="B206" s="218" t="s">
        <v>200</v>
      </c>
      <c r="C206" s="218" t="s">
        <v>3587</v>
      </c>
      <c r="D206" s="218" t="b">
        <v>1</v>
      </c>
      <c r="E206" s="219" t="b">
        <v>0</v>
      </c>
      <c r="F206" s="219" t="b">
        <v>0</v>
      </c>
      <c r="G206" s="219"/>
    </row>
    <row r="207">
      <c r="A207" s="218">
        <f t="shared" si="1"/>
        <v>206</v>
      </c>
      <c r="B207" s="218" t="s">
        <v>200</v>
      </c>
      <c r="C207" s="218" t="s">
        <v>1712</v>
      </c>
      <c r="D207" s="218" t="b">
        <v>1</v>
      </c>
      <c r="E207" s="219" t="b">
        <v>0</v>
      </c>
      <c r="F207" s="219" t="b">
        <v>0</v>
      </c>
      <c r="G207" s="219"/>
    </row>
    <row r="208">
      <c r="A208" s="218">
        <f t="shared" si="1"/>
        <v>207</v>
      </c>
      <c r="B208" s="218" t="s">
        <v>200</v>
      </c>
      <c r="C208" s="218" t="s">
        <v>2224</v>
      </c>
      <c r="D208" s="218" t="b">
        <v>1</v>
      </c>
      <c r="E208" s="219" t="b">
        <v>0</v>
      </c>
      <c r="F208" s="219" t="b">
        <v>0</v>
      </c>
      <c r="G208" s="219"/>
    </row>
    <row r="209">
      <c r="A209" s="218">
        <f t="shared" si="1"/>
        <v>208</v>
      </c>
      <c r="B209" s="218" t="s">
        <v>200</v>
      </c>
      <c r="C209" s="218" t="s">
        <v>3109</v>
      </c>
      <c r="D209" s="218" t="b">
        <v>1</v>
      </c>
      <c r="E209" s="219" t="b">
        <v>0</v>
      </c>
      <c r="F209" s="219" t="b">
        <v>0</v>
      </c>
      <c r="G209" s="219"/>
    </row>
    <row r="210">
      <c r="A210" s="218">
        <f t="shared" si="1"/>
        <v>209</v>
      </c>
      <c r="B210" s="218" t="s">
        <v>200</v>
      </c>
      <c r="C210" s="218" t="s">
        <v>3509</v>
      </c>
      <c r="D210" s="218" t="b">
        <v>1</v>
      </c>
      <c r="E210" s="219" t="b">
        <v>0</v>
      </c>
      <c r="F210" s="219" t="b">
        <v>0</v>
      </c>
      <c r="G210" s="219"/>
    </row>
    <row r="211">
      <c r="A211" s="218">
        <f t="shared" si="1"/>
        <v>210</v>
      </c>
      <c r="B211" s="218" t="s">
        <v>200</v>
      </c>
      <c r="C211" s="218" t="s">
        <v>2325</v>
      </c>
      <c r="D211" s="218" t="b">
        <v>1</v>
      </c>
      <c r="E211" s="219" t="b">
        <v>0</v>
      </c>
      <c r="F211" s="219" t="b">
        <v>0</v>
      </c>
      <c r="G211" s="219"/>
    </row>
    <row r="212">
      <c r="A212" s="218">
        <f t="shared" si="1"/>
        <v>211</v>
      </c>
      <c r="B212" s="218" t="s">
        <v>200</v>
      </c>
      <c r="C212" s="218" t="s">
        <v>4677</v>
      </c>
      <c r="D212" s="218" t="b">
        <v>1</v>
      </c>
      <c r="E212" s="219" t="b">
        <v>0</v>
      </c>
      <c r="F212" s="219" t="b">
        <v>0</v>
      </c>
      <c r="G212" s="219"/>
    </row>
    <row r="213">
      <c r="A213" s="218">
        <f t="shared" si="1"/>
        <v>212</v>
      </c>
      <c r="B213" s="218" t="s">
        <v>200</v>
      </c>
      <c r="C213" s="218" t="s">
        <v>3113</v>
      </c>
      <c r="D213" s="218" t="b">
        <v>1</v>
      </c>
      <c r="E213" s="219" t="b">
        <v>0</v>
      </c>
      <c r="F213" s="219" t="b">
        <v>0</v>
      </c>
      <c r="G213" s="219"/>
    </row>
    <row r="214">
      <c r="A214" s="218">
        <f t="shared" si="1"/>
        <v>213</v>
      </c>
      <c r="B214" s="218" t="s">
        <v>200</v>
      </c>
      <c r="C214" s="218" t="s">
        <v>5328</v>
      </c>
      <c r="D214" s="218" t="b">
        <v>1</v>
      </c>
      <c r="E214" s="219" t="b">
        <v>0</v>
      </c>
      <c r="F214" s="219" t="b">
        <v>0</v>
      </c>
      <c r="G214" s="219"/>
    </row>
    <row r="215">
      <c r="A215" s="218">
        <f t="shared" si="1"/>
        <v>214</v>
      </c>
      <c r="B215" s="218" t="s">
        <v>200</v>
      </c>
      <c r="C215" s="218" t="s">
        <v>2836</v>
      </c>
      <c r="D215" s="218" t="b">
        <v>1</v>
      </c>
      <c r="E215" s="219" t="b">
        <v>0</v>
      </c>
      <c r="F215" s="219" t="b">
        <v>0</v>
      </c>
      <c r="G215" s="219"/>
    </row>
    <row r="216">
      <c r="A216" s="218">
        <f t="shared" si="1"/>
        <v>215</v>
      </c>
      <c r="B216" s="218" t="s">
        <v>200</v>
      </c>
      <c r="C216" s="218" t="s">
        <v>5408</v>
      </c>
      <c r="D216" s="218" t="b">
        <v>1</v>
      </c>
      <c r="E216" s="219" t="b">
        <v>0</v>
      </c>
      <c r="F216" s="219" t="b">
        <v>0</v>
      </c>
      <c r="G216" s="219"/>
    </row>
    <row r="217">
      <c r="A217" s="218">
        <f t="shared" si="1"/>
        <v>216</v>
      </c>
      <c r="B217" s="218" t="s">
        <v>200</v>
      </c>
      <c r="C217" s="218" t="s">
        <v>5393</v>
      </c>
      <c r="D217" s="218" t="b">
        <v>1</v>
      </c>
      <c r="E217" s="219" t="b">
        <v>0</v>
      </c>
      <c r="F217" s="219" t="b">
        <v>0</v>
      </c>
      <c r="G217" s="219"/>
    </row>
    <row r="218">
      <c r="A218" s="218">
        <f t="shared" si="1"/>
        <v>217</v>
      </c>
      <c r="B218" s="218" t="s">
        <v>200</v>
      </c>
      <c r="C218" s="218" t="s">
        <v>1258</v>
      </c>
      <c r="D218" s="218" t="b">
        <v>1</v>
      </c>
      <c r="E218" s="219" t="b">
        <v>0</v>
      </c>
      <c r="F218" s="219" t="b">
        <v>0</v>
      </c>
      <c r="G218" s="219"/>
    </row>
    <row r="219">
      <c r="A219" s="218">
        <f t="shared" si="1"/>
        <v>218</v>
      </c>
      <c r="B219" s="218" t="s">
        <v>200</v>
      </c>
      <c r="C219" s="218" t="s">
        <v>1450</v>
      </c>
      <c r="D219" s="218" t="b">
        <v>1</v>
      </c>
      <c r="E219" s="219" t="b">
        <v>0</v>
      </c>
      <c r="F219" s="219" t="b">
        <v>0</v>
      </c>
      <c r="G219" s="219"/>
    </row>
    <row r="220">
      <c r="A220" s="218">
        <f t="shared" si="1"/>
        <v>219</v>
      </c>
      <c r="B220" s="218" t="s">
        <v>200</v>
      </c>
      <c r="C220" s="218" t="s">
        <v>2459</v>
      </c>
      <c r="D220" s="218" t="b">
        <v>1</v>
      </c>
      <c r="E220" s="219" t="b">
        <v>0</v>
      </c>
      <c r="F220" s="219" t="b">
        <v>0</v>
      </c>
      <c r="G220" s="219"/>
    </row>
    <row r="221">
      <c r="A221" s="218">
        <f t="shared" si="1"/>
        <v>220</v>
      </c>
      <c r="B221" s="218" t="s">
        <v>200</v>
      </c>
      <c r="C221" s="218" t="s">
        <v>1229</v>
      </c>
      <c r="D221" s="218" t="b">
        <v>1</v>
      </c>
      <c r="E221" s="219" t="b">
        <v>0</v>
      </c>
      <c r="F221" s="219" t="b">
        <v>0</v>
      </c>
      <c r="G221" s="219"/>
    </row>
    <row r="222">
      <c r="A222" s="218">
        <f t="shared" si="1"/>
        <v>221</v>
      </c>
      <c r="B222" s="218" t="s">
        <v>200</v>
      </c>
      <c r="C222" s="218" t="s">
        <v>1624</v>
      </c>
      <c r="D222" s="218" t="b">
        <v>1</v>
      </c>
      <c r="E222" s="219" t="b">
        <v>0</v>
      </c>
      <c r="F222" s="219" t="b">
        <v>0</v>
      </c>
      <c r="G222" s="219"/>
    </row>
    <row r="223">
      <c r="A223" s="218">
        <f t="shared" si="1"/>
        <v>222</v>
      </c>
      <c r="B223" s="218" t="s">
        <v>200</v>
      </c>
      <c r="C223" s="218" t="s">
        <v>5382</v>
      </c>
      <c r="D223" s="218" t="b">
        <v>1</v>
      </c>
      <c r="E223" s="219" t="b">
        <v>0</v>
      </c>
      <c r="F223" s="219" t="b">
        <v>0</v>
      </c>
      <c r="G223" s="219"/>
    </row>
    <row r="224">
      <c r="A224" s="218">
        <f t="shared" si="1"/>
        <v>223</v>
      </c>
      <c r="B224" s="218" t="s">
        <v>200</v>
      </c>
      <c r="C224" s="218" t="s">
        <v>1770</v>
      </c>
      <c r="D224" s="218" t="b">
        <v>1</v>
      </c>
      <c r="E224" s="219" t="b">
        <v>0</v>
      </c>
      <c r="F224" s="219" t="b">
        <v>0</v>
      </c>
      <c r="G224" s="219"/>
    </row>
    <row r="225">
      <c r="A225" s="218">
        <f t="shared" si="1"/>
        <v>224</v>
      </c>
      <c r="B225" s="218" t="s">
        <v>200</v>
      </c>
      <c r="C225" s="218" t="s">
        <v>5123</v>
      </c>
      <c r="D225" s="218" t="b">
        <v>1</v>
      </c>
      <c r="E225" s="219" t="b">
        <v>0</v>
      </c>
      <c r="F225" s="219" t="b">
        <v>0</v>
      </c>
      <c r="G225" s="219"/>
    </row>
    <row r="226">
      <c r="A226" s="218">
        <f t="shared" si="1"/>
        <v>225</v>
      </c>
      <c r="B226" s="218" t="s">
        <v>200</v>
      </c>
      <c r="C226" s="218" t="s">
        <v>3456</v>
      </c>
      <c r="D226" s="218" t="b">
        <v>1</v>
      </c>
      <c r="E226" s="219" t="b">
        <v>0</v>
      </c>
      <c r="F226" s="219" t="b">
        <v>0</v>
      </c>
      <c r="G226" s="219"/>
    </row>
    <row r="227">
      <c r="A227" s="218">
        <f t="shared" si="1"/>
        <v>226</v>
      </c>
      <c r="B227" s="218" t="s">
        <v>200</v>
      </c>
      <c r="C227" s="218" t="s">
        <v>4329</v>
      </c>
      <c r="D227" s="218" t="b">
        <v>1</v>
      </c>
      <c r="E227" s="219" t="b">
        <v>0</v>
      </c>
      <c r="F227" s="219" t="b">
        <v>0</v>
      </c>
      <c r="G227" s="219"/>
    </row>
    <row r="228">
      <c r="A228" s="218">
        <f t="shared" si="1"/>
        <v>227</v>
      </c>
      <c r="B228" s="218" t="s">
        <v>200</v>
      </c>
      <c r="C228" s="218" t="s">
        <v>2886</v>
      </c>
      <c r="D228" s="218" t="b">
        <v>1</v>
      </c>
      <c r="E228" s="219" t="b">
        <v>0</v>
      </c>
      <c r="F228" s="219" t="b">
        <v>0</v>
      </c>
      <c r="G228" s="219"/>
    </row>
    <row r="229">
      <c r="A229" s="218">
        <f t="shared" si="1"/>
        <v>228</v>
      </c>
      <c r="B229" s="218" t="s">
        <v>200</v>
      </c>
      <c r="C229" s="218" t="s">
        <v>1844</v>
      </c>
      <c r="D229" s="218" t="b">
        <v>1</v>
      </c>
      <c r="E229" s="219" t="b">
        <v>0</v>
      </c>
      <c r="F229" s="219" t="b">
        <v>0</v>
      </c>
      <c r="G229" s="219"/>
    </row>
    <row r="230">
      <c r="A230" s="218">
        <f t="shared" si="1"/>
        <v>229</v>
      </c>
      <c r="B230" s="218" t="s">
        <v>200</v>
      </c>
      <c r="C230" s="218" t="s">
        <v>2966</v>
      </c>
      <c r="D230" s="218" t="b">
        <v>1</v>
      </c>
      <c r="E230" s="219" t="b">
        <v>0</v>
      </c>
      <c r="F230" s="219" t="b">
        <v>0</v>
      </c>
      <c r="G230" s="219"/>
    </row>
    <row r="231">
      <c r="A231" s="218">
        <f t="shared" si="1"/>
        <v>230</v>
      </c>
      <c r="B231" s="218" t="s">
        <v>200</v>
      </c>
      <c r="C231" s="218" t="s">
        <v>1689</v>
      </c>
      <c r="D231" s="218" t="b">
        <v>1</v>
      </c>
      <c r="E231" s="219" t="b">
        <v>0</v>
      </c>
      <c r="F231" s="219" t="b">
        <v>0</v>
      </c>
      <c r="G231" s="219"/>
    </row>
    <row r="232">
      <c r="A232" s="218">
        <f t="shared" si="1"/>
        <v>231</v>
      </c>
      <c r="B232" s="218" t="s">
        <v>200</v>
      </c>
      <c r="C232" s="218" t="s">
        <v>2827</v>
      </c>
      <c r="D232" s="218" t="b">
        <v>1</v>
      </c>
      <c r="E232" s="219" t="b">
        <v>0</v>
      </c>
      <c r="F232" s="219" t="b">
        <v>0</v>
      </c>
      <c r="G232" s="219"/>
    </row>
    <row r="233">
      <c r="A233" s="218">
        <f t="shared" si="1"/>
        <v>232</v>
      </c>
      <c r="B233" s="218" t="s">
        <v>200</v>
      </c>
      <c r="C233" s="218" t="s">
        <v>3480</v>
      </c>
      <c r="D233" s="218" t="b">
        <v>1</v>
      </c>
      <c r="E233" s="219" t="b">
        <v>0</v>
      </c>
      <c r="F233" s="219" t="b">
        <v>0</v>
      </c>
      <c r="G233" s="219"/>
    </row>
    <row r="234">
      <c r="A234" s="218">
        <f t="shared" si="1"/>
        <v>233</v>
      </c>
      <c r="B234" s="218" t="s">
        <v>200</v>
      </c>
      <c r="C234" s="218" t="s">
        <v>1840</v>
      </c>
      <c r="D234" s="218" t="b">
        <v>1</v>
      </c>
      <c r="E234" s="219" t="b">
        <v>0</v>
      </c>
      <c r="F234" s="219" t="b">
        <v>0</v>
      </c>
      <c r="G234" s="219"/>
    </row>
    <row r="235">
      <c r="A235" s="218">
        <f t="shared" si="1"/>
        <v>234</v>
      </c>
      <c r="B235" s="218" t="s">
        <v>200</v>
      </c>
      <c r="C235" s="218" t="s">
        <v>1584</v>
      </c>
      <c r="D235" s="218" t="b">
        <v>1</v>
      </c>
      <c r="E235" s="219" t="b">
        <v>0</v>
      </c>
      <c r="F235" s="219" t="b">
        <v>0</v>
      </c>
      <c r="G235" s="219"/>
    </row>
    <row r="236">
      <c r="A236" s="218">
        <f t="shared" si="1"/>
        <v>235</v>
      </c>
      <c r="B236" s="218" t="s">
        <v>200</v>
      </c>
      <c r="C236" s="218" t="s">
        <v>1121</v>
      </c>
      <c r="D236" s="218" t="b">
        <v>1</v>
      </c>
      <c r="E236" s="219" t="b">
        <v>0</v>
      </c>
      <c r="F236" s="219" t="b">
        <v>0</v>
      </c>
      <c r="G236" s="219"/>
    </row>
    <row r="237">
      <c r="A237" s="218">
        <f t="shared" si="1"/>
        <v>236</v>
      </c>
      <c r="B237" s="218" t="s">
        <v>200</v>
      </c>
      <c r="C237" s="218" t="s">
        <v>1732</v>
      </c>
      <c r="D237" s="218" t="b">
        <v>1</v>
      </c>
      <c r="E237" s="219" t="b">
        <v>0</v>
      </c>
      <c r="F237" s="219" t="b">
        <v>0</v>
      </c>
      <c r="G237" s="219"/>
    </row>
    <row r="238">
      <c r="A238" s="218">
        <f t="shared" si="1"/>
        <v>237</v>
      </c>
      <c r="B238" s="218" t="s">
        <v>200</v>
      </c>
      <c r="C238" s="218" t="s">
        <v>1989</v>
      </c>
      <c r="D238" s="218" t="b">
        <v>1</v>
      </c>
      <c r="E238" s="219" t="b">
        <v>0</v>
      </c>
      <c r="F238" s="219" t="b">
        <v>0</v>
      </c>
      <c r="G238" s="219"/>
    </row>
    <row r="239">
      <c r="A239" s="218">
        <f t="shared" si="1"/>
        <v>238</v>
      </c>
      <c r="B239" s="218" t="s">
        <v>200</v>
      </c>
      <c r="C239" s="218" t="s">
        <v>2691</v>
      </c>
      <c r="D239" s="218" t="b">
        <v>1</v>
      </c>
      <c r="E239" s="219" t="b">
        <v>0</v>
      </c>
      <c r="F239" s="219" t="b">
        <v>0</v>
      </c>
      <c r="G239" s="219"/>
    </row>
    <row r="240">
      <c r="A240" s="218">
        <f t="shared" si="1"/>
        <v>239</v>
      </c>
      <c r="B240" s="218" t="s">
        <v>200</v>
      </c>
      <c r="C240" s="218" t="s">
        <v>2416</v>
      </c>
      <c r="D240" s="218" t="b">
        <v>1</v>
      </c>
      <c r="E240" s="219" t="b">
        <v>0</v>
      </c>
      <c r="F240" s="219" t="b">
        <v>0</v>
      </c>
      <c r="G240" s="219"/>
    </row>
    <row r="241">
      <c r="A241" s="218">
        <f t="shared" si="1"/>
        <v>240</v>
      </c>
      <c r="B241" s="218" t="s">
        <v>200</v>
      </c>
      <c r="C241" s="218" t="s">
        <v>1074</v>
      </c>
      <c r="D241" s="218" t="b">
        <v>1</v>
      </c>
      <c r="E241" s="219" t="b">
        <v>0</v>
      </c>
      <c r="F241" s="219" t="b">
        <v>0</v>
      </c>
      <c r="G241" s="219"/>
    </row>
    <row r="242">
      <c r="A242" s="218">
        <f t="shared" si="1"/>
        <v>241</v>
      </c>
      <c r="B242" s="218" t="s">
        <v>200</v>
      </c>
      <c r="C242" s="218" t="s">
        <v>2214</v>
      </c>
      <c r="D242" s="218" t="b">
        <v>1</v>
      </c>
      <c r="E242" s="219" t="b">
        <v>0</v>
      </c>
      <c r="F242" s="219" t="b">
        <v>0</v>
      </c>
      <c r="G242" s="219"/>
    </row>
    <row r="243">
      <c r="A243" s="218">
        <f t="shared" si="1"/>
        <v>242</v>
      </c>
      <c r="B243" s="218" t="s">
        <v>200</v>
      </c>
      <c r="C243" s="218" t="s">
        <v>1445</v>
      </c>
      <c r="D243" s="218" t="b">
        <v>1</v>
      </c>
      <c r="E243" s="219" t="b">
        <v>0</v>
      </c>
      <c r="F243" s="219" t="b">
        <v>0</v>
      </c>
      <c r="G243" s="219"/>
    </row>
    <row r="244">
      <c r="A244" s="218">
        <f t="shared" si="1"/>
        <v>243</v>
      </c>
      <c r="B244" s="218" t="s">
        <v>200</v>
      </c>
      <c r="C244" s="218" t="s">
        <v>2676</v>
      </c>
      <c r="D244" s="218" t="b">
        <v>1</v>
      </c>
      <c r="E244" s="219" t="b">
        <v>0</v>
      </c>
      <c r="F244" s="219" t="b">
        <v>0</v>
      </c>
      <c r="G244" s="219"/>
    </row>
    <row r="245">
      <c r="A245" s="218">
        <f t="shared" si="1"/>
        <v>244</v>
      </c>
      <c r="B245" s="218" t="s">
        <v>200</v>
      </c>
      <c r="C245" s="218" t="s">
        <v>3304</v>
      </c>
      <c r="D245" s="218" t="b">
        <v>1</v>
      </c>
      <c r="E245" s="219" t="b">
        <v>0</v>
      </c>
      <c r="F245" s="219" t="b">
        <v>0</v>
      </c>
      <c r="G245" s="219"/>
    </row>
    <row r="246">
      <c r="A246" s="218">
        <f t="shared" si="1"/>
        <v>245</v>
      </c>
      <c r="B246" s="218" t="s">
        <v>200</v>
      </c>
      <c r="C246" s="218" t="s">
        <v>1431</v>
      </c>
      <c r="D246" s="218" t="b">
        <v>1</v>
      </c>
      <c r="E246" s="219" t="b">
        <v>0</v>
      </c>
      <c r="F246" s="219" t="b">
        <v>0</v>
      </c>
      <c r="G246" s="219"/>
    </row>
    <row r="247">
      <c r="A247" s="218">
        <f t="shared" si="1"/>
        <v>246</v>
      </c>
      <c r="B247" s="218" t="s">
        <v>200</v>
      </c>
      <c r="C247" s="218" t="s">
        <v>2002</v>
      </c>
      <c r="D247" s="218" t="b">
        <v>1</v>
      </c>
      <c r="E247" s="219" t="b">
        <v>0</v>
      </c>
      <c r="F247" s="219" t="b">
        <v>0</v>
      </c>
      <c r="G247" s="219"/>
    </row>
    <row r="248">
      <c r="A248" s="218">
        <f t="shared" si="1"/>
        <v>247</v>
      </c>
      <c r="B248" s="218" t="s">
        <v>200</v>
      </c>
      <c r="C248" s="218" t="s">
        <v>2002</v>
      </c>
      <c r="D248" s="218" t="b">
        <v>1</v>
      </c>
      <c r="E248" s="219" t="b">
        <v>0</v>
      </c>
      <c r="F248" s="219" t="b">
        <v>0</v>
      </c>
      <c r="G248" s="219"/>
    </row>
    <row r="249">
      <c r="A249" s="218">
        <f t="shared" si="1"/>
        <v>248</v>
      </c>
      <c r="B249" s="218" t="s">
        <v>200</v>
      </c>
      <c r="C249" s="218" t="s">
        <v>1465</v>
      </c>
      <c r="D249" s="218" t="b">
        <v>1</v>
      </c>
      <c r="E249" s="219" t="b">
        <v>0</v>
      </c>
      <c r="F249" s="219" t="b">
        <v>0</v>
      </c>
      <c r="G249" s="219"/>
    </row>
    <row r="250">
      <c r="A250" s="218">
        <f t="shared" si="1"/>
        <v>249</v>
      </c>
      <c r="B250" s="218" t="s">
        <v>200</v>
      </c>
      <c r="C250" s="218" t="s">
        <v>669</v>
      </c>
      <c r="D250" s="218" t="b">
        <v>1</v>
      </c>
      <c r="E250" s="219" t="b">
        <v>0</v>
      </c>
      <c r="F250" s="219" t="b">
        <v>0</v>
      </c>
      <c r="G250" s="219"/>
    </row>
    <row r="251">
      <c r="A251" s="218">
        <f t="shared" si="1"/>
        <v>250</v>
      </c>
      <c r="B251" s="218" t="s">
        <v>200</v>
      </c>
      <c r="C251" s="218" t="s">
        <v>365</v>
      </c>
      <c r="D251" s="218" t="b">
        <v>1</v>
      </c>
      <c r="E251" s="219" t="b">
        <v>0</v>
      </c>
      <c r="F251" s="219" t="b">
        <v>0</v>
      </c>
      <c r="G251" s="219"/>
    </row>
    <row r="252">
      <c r="A252" s="218">
        <f t="shared" si="1"/>
        <v>251</v>
      </c>
      <c r="B252" s="218" t="s">
        <v>200</v>
      </c>
      <c r="C252" s="218" t="s">
        <v>5379</v>
      </c>
      <c r="D252" s="218" t="b">
        <v>1</v>
      </c>
      <c r="E252" s="219" t="b">
        <v>0</v>
      </c>
      <c r="F252" s="219" t="b">
        <v>0</v>
      </c>
      <c r="G252" s="219"/>
    </row>
    <row r="253">
      <c r="A253" s="218">
        <f t="shared" si="1"/>
        <v>252</v>
      </c>
      <c r="B253" s="218" t="s">
        <v>200</v>
      </c>
      <c r="C253" s="218" t="s">
        <v>3357</v>
      </c>
      <c r="D253" s="218" t="b">
        <v>1</v>
      </c>
      <c r="E253" s="219" t="b">
        <v>0</v>
      </c>
      <c r="F253" s="219" t="b">
        <v>0</v>
      </c>
      <c r="G253" s="219"/>
    </row>
    <row r="254">
      <c r="A254" s="218">
        <f t="shared" si="1"/>
        <v>253</v>
      </c>
      <c r="B254" s="218" t="s">
        <v>200</v>
      </c>
      <c r="C254" s="218" t="s">
        <v>1717</v>
      </c>
      <c r="D254" s="218" t="b">
        <v>1</v>
      </c>
      <c r="E254" s="219" t="b">
        <v>0</v>
      </c>
      <c r="F254" s="219" t="b">
        <v>0</v>
      </c>
      <c r="G254" s="219"/>
    </row>
    <row r="255">
      <c r="A255" s="218">
        <f t="shared" si="1"/>
        <v>254</v>
      </c>
      <c r="B255" s="218" t="s">
        <v>200</v>
      </c>
      <c r="C255" s="218" t="s">
        <v>5210</v>
      </c>
      <c r="D255" s="218" t="b">
        <v>1</v>
      </c>
      <c r="E255" s="219" t="b">
        <v>0</v>
      </c>
      <c r="F255" s="219" t="b">
        <v>0</v>
      </c>
      <c r="G255" s="219"/>
    </row>
    <row r="256">
      <c r="A256" s="218">
        <f t="shared" si="1"/>
        <v>255</v>
      </c>
      <c r="B256" s="218" t="s">
        <v>200</v>
      </c>
      <c r="C256" s="218" t="s">
        <v>5428</v>
      </c>
      <c r="D256" s="218" t="b">
        <v>1</v>
      </c>
      <c r="E256" s="219" t="b">
        <v>0</v>
      </c>
      <c r="F256" s="219" t="b">
        <v>0</v>
      </c>
      <c r="G256" s="219"/>
    </row>
    <row r="257">
      <c r="A257" s="218">
        <f t="shared" si="1"/>
        <v>256</v>
      </c>
      <c r="B257" s="218" t="s">
        <v>200</v>
      </c>
      <c r="C257" s="218" t="s">
        <v>620</v>
      </c>
      <c r="D257" s="218" t="b">
        <v>1</v>
      </c>
      <c r="E257" s="219" t="b">
        <v>0</v>
      </c>
      <c r="F257" s="219" t="b">
        <v>0</v>
      </c>
      <c r="G257" s="219"/>
    </row>
    <row r="258">
      <c r="A258" s="218">
        <f t="shared" si="1"/>
        <v>257</v>
      </c>
      <c r="B258" s="218" t="s">
        <v>200</v>
      </c>
      <c r="C258" s="218" t="s">
        <v>513</v>
      </c>
      <c r="D258" s="218" t="b">
        <v>1</v>
      </c>
      <c r="E258" s="219" t="b">
        <v>0</v>
      </c>
      <c r="F258" s="219" t="b">
        <v>0</v>
      </c>
      <c r="G258" s="219"/>
    </row>
    <row r="259">
      <c r="A259" s="218">
        <f t="shared" si="1"/>
        <v>258</v>
      </c>
      <c r="B259" s="218" t="s">
        <v>200</v>
      </c>
      <c r="C259" s="218" t="s">
        <v>4912</v>
      </c>
      <c r="D259" s="218" t="b">
        <v>1</v>
      </c>
      <c r="E259" s="219" t="b">
        <v>0</v>
      </c>
      <c r="F259" s="219" t="b">
        <v>0</v>
      </c>
      <c r="G259" s="219"/>
    </row>
    <row r="260">
      <c r="A260" s="218">
        <f t="shared" si="1"/>
        <v>259</v>
      </c>
      <c r="B260" s="218" t="s">
        <v>200</v>
      </c>
      <c r="C260" s="218" t="s">
        <v>1757</v>
      </c>
      <c r="D260" s="218" t="b">
        <v>1</v>
      </c>
      <c r="E260" s="219" t="b">
        <v>0</v>
      </c>
      <c r="F260" s="219" t="b">
        <v>0</v>
      </c>
      <c r="G260" s="219"/>
    </row>
    <row r="261">
      <c r="A261" s="218">
        <f t="shared" si="1"/>
        <v>260</v>
      </c>
      <c r="B261" s="218" t="s">
        <v>200</v>
      </c>
      <c r="C261" s="218" t="s">
        <v>1619</v>
      </c>
      <c r="D261" s="218" t="b">
        <v>1</v>
      </c>
      <c r="E261" s="219" t="b">
        <v>0</v>
      </c>
      <c r="F261" s="219" t="b">
        <v>0</v>
      </c>
      <c r="G261" s="219"/>
    </row>
    <row r="262">
      <c r="A262" s="218">
        <f t="shared" si="1"/>
        <v>261</v>
      </c>
      <c r="B262" s="218" t="s">
        <v>200</v>
      </c>
      <c r="C262" s="218" t="s">
        <v>533</v>
      </c>
      <c r="D262" s="218" t="b">
        <v>1</v>
      </c>
      <c r="E262" s="219" t="b">
        <v>0</v>
      </c>
      <c r="F262" s="219" t="b">
        <v>0</v>
      </c>
      <c r="G262" s="219"/>
    </row>
    <row r="263">
      <c r="A263" s="218">
        <f t="shared" si="1"/>
        <v>262</v>
      </c>
      <c r="B263" s="218" t="s">
        <v>200</v>
      </c>
      <c r="C263" s="218" t="s">
        <v>6478</v>
      </c>
      <c r="D263" s="218" t="b">
        <v>1</v>
      </c>
      <c r="E263" s="219" t="b">
        <v>0</v>
      </c>
      <c r="F263" s="219" t="b">
        <v>0</v>
      </c>
      <c r="G263" s="219"/>
    </row>
    <row r="264">
      <c r="A264" s="218">
        <f t="shared" si="1"/>
        <v>263</v>
      </c>
      <c r="B264" s="218" t="s">
        <v>200</v>
      </c>
      <c r="C264" s="218" t="s">
        <v>1824</v>
      </c>
      <c r="D264" s="218" t="b">
        <v>1</v>
      </c>
      <c r="E264" s="219" t="b">
        <v>0</v>
      </c>
      <c r="F264" s="219" t="b">
        <v>0</v>
      </c>
      <c r="G264" s="219"/>
    </row>
    <row r="265">
      <c r="A265" s="218">
        <f t="shared" si="1"/>
        <v>264</v>
      </c>
      <c r="B265" s="218" t="s">
        <v>200</v>
      </c>
      <c r="C265" s="218" t="s">
        <v>3418</v>
      </c>
      <c r="D265" s="218" t="b">
        <v>1</v>
      </c>
      <c r="E265" s="219" t="b">
        <v>0</v>
      </c>
      <c r="F265" s="219" t="b">
        <v>0</v>
      </c>
      <c r="G265" s="219"/>
    </row>
    <row r="266">
      <c r="A266" s="218">
        <f t="shared" si="1"/>
        <v>265</v>
      </c>
      <c r="B266" s="218" t="s">
        <v>200</v>
      </c>
      <c r="C266" s="218" t="s">
        <v>3065</v>
      </c>
      <c r="D266" s="218" t="b">
        <v>1</v>
      </c>
      <c r="E266" s="219" t="b">
        <v>0</v>
      </c>
      <c r="F266" s="219" t="b">
        <v>0</v>
      </c>
      <c r="G266" s="219"/>
    </row>
    <row r="267">
      <c r="A267" s="218">
        <f t="shared" si="1"/>
        <v>266</v>
      </c>
      <c r="B267" s="218" t="s">
        <v>200</v>
      </c>
      <c r="C267" s="218" t="s">
        <v>3700</v>
      </c>
      <c r="D267" s="218" t="b">
        <v>1</v>
      </c>
      <c r="E267" s="219" t="b">
        <v>0</v>
      </c>
      <c r="F267" s="219" t="b">
        <v>0</v>
      </c>
      <c r="G267" s="219"/>
    </row>
    <row r="268">
      <c r="A268" s="218">
        <f t="shared" si="1"/>
        <v>267</v>
      </c>
      <c r="B268" s="218" t="s">
        <v>200</v>
      </c>
      <c r="C268" s="218" t="s">
        <v>1336</v>
      </c>
      <c r="D268" s="218" t="b">
        <v>1</v>
      </c>
      <c r="E268" s="219" t="b">
        <v>0</v>
      </c>
      <c r="F268" s="219" t="b">
        <v>0</v>
      </c>
      <c r="G268" s="219"/>
    </row>
    <row r="269">
      <c r="A269" s="218">
        <f t="shared" si="1"/>
        <v>268</v>
      </c>
      <c r="B269" s="218" t="s">
        <v>200</v>
      </c>
      <c r="C269" s="218" t="s">
        <v>3991</v>
      </c>
      <c r="D269" s="218" t="b">
        <v>1</v>
      </c>
      <c r="E269" s="219" t="b">
        <v>0</v>
      </c>
      <c r="F269" s="219" t="b">
        <v>0</v>
      </c>
      <c r="G269" s="219"/>
    </row>
    <row r="270">
      <c r="A270" s="218">
        <f t="shared" si="1"/>
        <v>269</v>
      </c>
      <c r="B270" s="218" t="s">
        <v>200</v>
      </c>
      <c r="C270" s="218" t="s">
        <v>6479</v>
      </c>
      <c r="D270" s="218" t="b">
        <v>1</v>
      </c>
      <c r="E270" s="219" t="b">
        <v>0</v>
      </c>
      <c r="F270" s="219" t="b">
        <v>0</v>
      </c>
      <c r="G270" s="219"/>
    </row>
    <row r="271">
      <c r="A271" s="218">
        <f t="shared" si="1"/>
        <v>270</v>
      </c>
      <c r="B271" s="218" t="s">
        <v>200</v>
      </c>
      <c r="C271" s="218" t="s">
        <v>2720</v>
      </c>
      <c r="D271" s="218" t="b">
        <v>1</v>
      </c>
      <c r="E271" s="219" t="b">
        <v>0</v>
      </c>
      <c r="F271" s="219" t="b">
        <v>0</v>
      </c>
      <c r="G271" s="219"/>
    </row>
    <row r="272">
      <c r="A272" s="218">
        <f t="shared" si="1"/>
        <v>271</v>
      </c>
      <c r="B272" s="218" t="s">
        <v>200</v>
      </c>
      <c r="C272" s="218" t="s">
        <v>3611</v>
      </c>
      <c r="D272" s="218" t="b">
        <v>1</v>
      </c>
      <c r="E272" s="219" t="b">
        <v>0</v>
      </c>
      <c r="F272" s="219" t="b">
        <v>0</v>
      </c>
      <c r="G272" s="219"/>
    </row>
    <row r="273">
      <c r="A273" s="218">
        <f t="shared" si="1"/>
        <v>272</v>
      </c>
      <c r="B273" s="218" t="s">
        <v>200</v>
      </c>
      <c r="C273" s="218" t="s">
        <v>2391</v>
      </c>
      <c r="D273" s="218" t="b">
        <v>1</v>
      </c>
      <c r="E273" s="219" t="b">
        <v>0</v>
      </c>
      <c r="F273" s="219" t="b">
        <v>0</v>
      </c>
      <c r="G273" s="219"/>
    </row>
    <row r="274">
      <c r="A274" s="218">
        <f t="shared" si="1"/>
        <v>273</v>
      </c>
      <c r="B274" s="218" t="s">
        <v>200</v>
      </c>
      <c r="C274" s="218" t="s">
        <v>4459</v>
      </c>
      <c r="D274" s="218" t="b">
        <v>1</v>
      </c>
      <c r="E274" s="219" t="b">
        <v>0</v>
      </c>
      <c r="F274" s="219" t="b">
        <v>0</v>
      </c>
      <c r="G274" s="219"/>
    </row>
    <row r="275">
      <c r="A275" s="218">
        <f t="shared" si="1"/>
        <v>274</v>
      </c>
      <c r="B275" s="218" t="s">
        <v>200</v>
      </c>
      <c r="C275" s="218" t="s">
        <v>4275</v>
      </c>
      <c r="D275" s="218" t="b">
        <v>1</v>
      </c>
      <c r="E275" s="219" t="b">
        <v>0</v>
      </c>
      <c r="F275" s="219" t="b">
        <v>0</v>
      </c>
      <c r="G275" s="219"/>
    </row>
    <row r="276">
      <c r="A276" s="218">
        <f t="shared" si="1"/>
        <v>275</v>
      </c>
      <c r="B276" s="218" t="s">
        <v>200</v>
      </c>
      <c r="C276" s="218" t="s">
        <v>4544</v>
      </c>
      <c r="D276" s="218" t="b">
        <v>1</v>
      </c>
      <c r="E276" s="219" t="b">
        <v>0</v>
      </c>
      <c r="F276" s="219" t="b">
        <v>0</v>
      </c>
      <c r="G276" s="219"/>
    </row>
    <row r="277">
      <c r="A277" s="218">
        <f t="shared" si="1"/>
        <v>276</v>
      </c>
      <c r="B277" s="218" t="s">
        <v>200</v>
      </c>
      <c r="C277" s="218" t="s">
        <v>3932</v>
      </c>
      <c r="D277" s="218" t="b">
        <v>1</v>
      </c>
      <c r="E277" s="219" t="b">
        <v>0</v>
      </c>
      <c r="F277" s="219" t="b">
        <v>0</v>
      </c>
      <c r="G277" s="219"/>
    </row>
    <row r="278">
      <c r="A278" s="218">
        <f t="shared" si="1"/>
        <v>277</v>
      </c>
      <c r="B278" s="218" t="s">
        <v>200</v>
      </c>
      <c r="C278" s="218" t="s">
        <v>1386</v>
      </c>
      <c r="D278" s="218" t="b">
        <v>1</v>
      </c>
      <c r="E278" s="219" t="b">
        <v>0</v>
      </c>
      <c r="F278" s="219" t="b">
        <v>0</v>
      </c>
      <c r="G278" s="219"/>
    </row>
    <row r="279">
      <c r="A279" s="218">
        <f t="shared" si="1"/>
        <v>278</v>
      </c>
      <c r="B279" s="218" t="s">
        <v>200</v>
      </c>
      <c r="C279" s="218" t="s">
        <v>4437</v>
      </c>
      <c r="D279" s="218" t="b">
        <v>1</v>
      </c>
      <c r="E279" s="219" t="b">
        <v>0</v>
      </c>
      <c r="F279" s="219" t="b">
        <v>0</v>
      </c>
      <c r="G279" s="219"/>
    </row>
    <row r="280">
      <c r="A280" s="218">
        <f t="shared" si="1"/>
        <v>279</v>
      </c>
      <c r="B280" s="218" t="s">
        <v>200</v>
      </c>
      <c r="C280" s="218" t="s">
        <v>2744</v>
      </c>
      <c r="D280" s="218" t="b">
        <v>1</v>
      </c>
      <c r="E280" s="219" t="b">
        <v>0</v>
      </c>
      <c r="F280" s="219" t="b">
        <v>0</v>
      </c>
      <c r="G280" s="219"/>
    </row>
    <row r="281">
      <c r="A281" s="218">
        <f t="shared" si="1"/>
        <v>280</v>
      </c>
      <c r="B281" s="218" t="s">
        <v>200</v>
      </c>
      <c r="C281" s="218" t="s">
        <v>4007</v>
      </c>
      <c r="D281" s="218" t="b">
        <v>1</v>
      </c>
      <c r="E281" s="219" t="b">
        <v>0</v>
      </c>
      <c r="F281" s="219" t="b">
        <v>0</v>
      </c>
      <c r="G281" s="219"/>
    </row>
    <row r="282">
      <c r="A282" s="218">
        <f t="shared" si="1"/>
        <v>281</v>
      </c>
      <c r="B282" s="218" t="s">
        <v>200</v>
      </c>
      <c r="C282" s="218" t="s">
        <v>3423</v>
      </c>
      <c r="D282" s="218" t="b">
        <v>1</v>
      </c>
      <c r="E282" s="219" t="b">
        <v>0</v>
      </c>
      <c r="F282" s="219" t="b">
        <v>0</v>
      </c>
      <c r="G282" s="219"/>
    </row>
    <row r="283">
      <c r="A283" s="218">
        <f t="shared" si="1"/>
        <v>282</v>
      </c>
      <c r="B283" s="218" t="s">
        <v>200</v>
      </c>
      <c r="C283" s="218" t="s">
        <v>3461</v>
      </c>
      <c r="D283" s="218" t="b">
        <v>1</v>
      </c>
      <c r="E283" s="219" t="b">
        <v>0</v>
      </c>
      <c r="F283" s="219" t="b">
        <v>0</v>
      </c>
      <c r="G283" s="219"/>
    </row>
    <row r="284">
      <c r="A284" s="218">
        <f t="shared" si="1"/>
        <v>283</v>
      </c>
      <c r="B284" s="218" t="s">
        <v>200</v>
      </c>
      <c r="C284" s="218" t="s">
        <v>3471</v>
      </c>
      <c r="D284" s="218" t="b">
        <v>1</v>
      </c>
      <c r="E284" s="219" t="b">
        <v>0</v>
      </c>
      <c r="F284" s="219" t="b">
        <v>0</v>
      </c>
      <c r="G284" s="219"/>
    </row>
    <row r="285">
      <c r="A285" s="218">
        <f t="shared" si="1"/>
        <v>284</v>
      </c>
      <c r="B285" s="218" t="s">
        <v>200</v>
      </c>
      <c r="C285" s="218" t="s">
        <v>430</v>
      </c>
      <c r="D285" s="218" t="b">
        <v>1</v>
      </c>
      <c r="E285" s="219" t="b">
        <v>0</v>
      </c>
      <c r="F285" s="219" t="b">
        <v>0</v>
      </c>
      <c r="G285" s="219"/>
    </row>
    <row r="286">
      <c r="A286" s="218">
        <f t="shared" si="1"/>
        <v>285</v>
      </c>
      <c r="B286" s="218" t="s">
        <v>200</v>
      </c>
      <c r="C286" s="218" t="s">
        <v>4260</v>
      </c>
      <c r="D286" s="218" t="b">
        <v>1</v>
      </c>
      <c r="E286" s="219" t="b">
        <v>0</v>
      </c>
      <c r="F286" s="219" t="b">
        <v>0</v>
      </c>
      <c r="G286" s="219"/>
    </row>
    <row r="287">
      <c r="A287" s="218">
        <f t="shared" si="1"/>
        <v>286</v>
      </c>
      <c r="B287" s="218" t="s">
        <v>200</v>
      </c>
      <c r="C287" s="218" t="s">
        <v>2378</v>
      </c>
      <c r="D287" s="218" t="b">
        <v>1</v>
      </c>
      <c r="E287" s="219" t="b">
        <v>0</v>
      </c>
      <c r="F287" s="219" t="b">
        <v>0</v>
      </c>
      <c r="G287" s="219"/>
    </row>
    <row r="288">
      <c r="A288" s="218">
        <f t="shared" si="1"/>
        <v>287</v>
      </c>
      <c r="B288" s="218" t="s">
        <v>200</v>
      </c>
      <c r="C288" s="218" t="s">
        <v>6480</v>
      </c>
      <c r="D288" s="218" t="b">
        <v>1</v>
      </c>
      <c r="E288" s="219" t="b">
        <v>0</v>
      </c>
      <c r="F288" s="219" t="b">
        <v>0</v>
      </c>
      <c r="G288" s="219"/>
    </row>
    <row r="289">
      <c r="A289" s="218">
        <f t="shared" si="1"/>
        <v>288</v>
      </c>
      <c r="B289" s="218" t="s">
        <v>200</v>
      </c>
      <c r="C289" s="218" t="s">
        <v>1041</v>
      </c>
      <c r="D289" s="218" t="b">
        <v>1</v>
      </c>
      <c r="E289" s="219" t="b">
        <v>0</v>
      </c>
      <c r="F289" s="219" t="b">
        <v>0</v>
      </c>
      <c r="G289" s="219"/>
    </row>
    <row r="290">
      <c r="A290" s="218">
        <f t="shared" si="1"/>
        <v>289</v>
      </c>
      <c r="B290" s="218" t="s">
        <v>200</v>
      </c>
      <c r="C290" s="218" t="s">
        <v>3770</v>
      </c>
      <c r="D290" s="218" t="b">
        <v>1</v>
      </c>
      <c r="E290" s="219" t="b">
        <v>0</v>
      </c>
      <c r="F290" s="219" t="b">
        <v>0</v>
      </c>
      <c r="G290" s="219"/>
    </row>
    <row r="291">
      <c r="A291" s="218">
        <f t="shared" si="1"/>
        <v>290</v>
      </c>
      <c r="B291" s="218" t="s">
        <v>200</v>
      </c>
      <c r="C291" s="218" t="s">
        <v>4870</v>
      </c>
      <c r="D291" s="218" t="b">
        <v>1</v>
      </c>
      <c r="E291" s="219" t="b">
        <v>0</v>
      </c>
      <c r="F291" s="219" t="b">
        <v>0</v>
      </c>
      <c r="G291" s="219"/>
    </row>
    <row r="292">
      <c r="A292" s="218">
        <f t="shared" si="1"/>
        <v>291</v>
      </c>
      <c r="B292" s="218" t="s">
        <v>200</v>
      </c>
      <c r="C292" s="218" t="s">
        <v>5228</v>
      </c>
      <c r="D292" s="218" t="b">
        <v>1</v>
      </c>
      <c r="E292" s="219" t="b">
        <v>0</v>
      </c>
      <c r="F292" s="219" t="b">
        <v>0</v>
      </c>
      <c r="G292" s="219"/>
    </row>
    <row r="293">
      <c r="A293" s="218">
        <f t="shared" si="1"/>
        <v>292</v>
      </c>
      <c r="B293" s="218" t="s">
        <v>200</v>
      </c>
      <c r="C293" s="218" t="s">
        <v>1358</v>
      </c>
      <c r="D293" s="218" t="b">
        <v>1</v>
      </c>
      <c r="E293" s="219" t="b">
        <v>0</v>
      </c>
      <c r="F293" s="219" t="b">
        <v>0</v>
      </c>
      <c r="G293" s="219"/>
    </row>
    <row r="294">
      <c r="A294" s="218">
        <f t="shared" si="1"/>
        <v>293</v>
      </c>
      <c r="B294" s="218" t="s">
        <v>200</v>
      </c>
      <c r="C294" s="218" t="s">
        <v>4806</v>
      </c>
      <c r="D294" s="218" t="b">
        <v>1</v>
      </c>
      <c r="E294" s="219" t="b">
        <v>0</v>
      </c>
      <c r="F294" s="219" t="b">
        <v>0</v>
      </c>
      <c r="G294" s="219"/>
    </row>
    <row r="295">
      <c r="A295" s="218">
        <f t="shared" si="1"/>
        <v>294</v>
      </c>
      <c r="B295" s="218" t="s">
        <v>200</v>
      </c>
      <c r="C295" s="218" t="s">
        <v>5107</v>
      </c>
      <c r="D295" s="218" t="b">
        <v>1</v>
      </c>
      <c r="E295" s="219" t="b">
        <v>0</v>
      </c>
      <c r="F295" s="219" t="b">
        <v>0</v>
      </c>
      <c r="G295" s="219"/>
    </row>
    <row r="296">
      <c r="A296" s="218">
        <f t="shared" si="1"/>
        <v>295</v>
      </c>
      <c r="B296" s="218" t="s">
        <v>200</v>
      </c>
      <c r="C296" s="218" t="s">
        <v>1106</v>
      </c>
      <c r="D296" s="218" t="b">
        <v>1</v>
      </c>
      <c r="E296" s="219" t="b">
        <v>0</v>
      </c>
      <c r="F296" s="219" t="b">
        <v>0</v>
      </c>
      <c r="G296" s="219"/>
    </row>
    <row r="297">
      <c r="A297" s="218">
        <f t="shared" si="1"/>
        <v>296</v>
      </c>
      <c r="B297" s="218" t="s">
        <v>200</v>
      </c>
      <c r="C297" s="218" t="s">
        <v>5101</v>
      </c>
      <c r="D297" s="218" t="b">
        <v>1</v>
      </c>
      <c r="E297" s="219" t="b">
        <v>0</v>
      </c>
      <c r="F297" s="219" t="b">
        <v>0</v>
      </c>
      <c r="G297" s="219"/>
    </row>
    <row r="298">
      <c r="A298" s="218">
        <f t="shared" si="1"/>
        <v>297</v>
      </c>
      <c r="B298" s="218" t="s">
        <v>200</v>
      </c>
      <c r="C298" s="218" t="s">
        <v>5280</v>
      </c>
      <c r="D298" s="218" t="b">
        <v>1</v>
      </c>
      <c r="E298" s="219" t="b">
        <v>0</v>
      </c>
      <c r="F298" s="219" t="b">
        <v>0</v>
      </c>
      <c r="G298" s="219"/>
    </row>
    <row r="299">
      <c r="A299" s="218">
        <f t="shared" si="1"/>
        <v>298</v>
      </c>
      <c r="B299" s="218" t="s">
        <v>200</v>
      </c>
      <c r="C299" s="218" t="s">
        <v>2822</v>
      </c>
      <c r="D299" s="218" t="b">
        <v>1</v>
      </c>
      <c r="E299" s="219" t="b">
        <v>0</v>
      </c>
      <c r="F299" s="219" t="b">
        <v>0</v>
      </c>
      <c r="G299" s="219"/>
    </row>
    <row r="300">
      <c r="A300" s="218">
        <f t="shared" si="1"/>
        <v>299</v>
      </c>
      <c r="B300" s="218" t="s">
        <v>200</v>
      </c>
      <c r="C300" s="218" t="s">
        <v>2137</v>
      </c>
      <c r="D300" s="218" t="b">
        <v>1</v>
      </c>
      <c r="E300" s="219" t="b">
        <v>0</v>
      </c>
      <c r="F300" s="219" t="b">
        <v>0</v>
      </c>
      <c r="G300" s="219"/>
    </row>
    <row r="301">
      <c r="A301" s="218">
        <f t="shared" si="1"/>
        <v>300</v>
      </c>
      <c r="B301" s="218" t="s">
        <v>200</v>
      </c>
      <c r="C301" s="218" t="s">
        <v>5374</v>
      </c>
      <c r="D301" s="218" t="b">
        <v>1</v>
      </c>
      <c r="E301" s="219" t="b">
        <v>0</v>
      </c>
      <c r="F301" s="219" t="b">
        <v>0</v>
      </c>
      <c r="G301" s="219"/>
    </row>
    <row r="302">
      <c r="A302" s="218">
        <f t="shared" si="1"/>
        <v>301</v>
      </c>
      <c r="B302" s="218" t="s">
        <v>200</v>
      </c>
      <c r="C302" s="218" t="s">
        <v>4943</v>
      </c>
      <c r="D302" s="218" t="b">
        <v>1</v>
      </c>
      <c r="E302" s="219" t="b">
        <v>0</v>
      </c>
      <c r="F302" s="219" t="b">
        <v>0</v>
      </c>
      <c r="G302" s="219"/>
    </row>
    <row r="303">
      <c r="A303" s="218">
        <f t="shared" si="1"/>
        <v>302</v>
      </c>
      <c r="B303" s="218" t="s">
        <v>200</v>
      </c>
      <c r="C303" s="218" t="s">
        <v>4507</v>
      </c>
      <c r="D303" s="218" t="b">
        <v>1</v>
      </c>
      <c r="E303" s="219" t="b">
        <v>0</v>
      </c>
      <c r="F303" s="219" t="b">
        <v>0</v>
      </c>
      <c r="G303" s="219"/>
    </row>
    <row r="304">
      <c r="A304" s="218">
        <f t="shared" si="1"/>
        <v>303</v>
      </c>
      <c r="B304" s="218" t="s">
        <v>200</v>
      </c>
      <c r="C304" s="218" t="s">
        <v>4031</v>
      </c>
      <c r="D304" s="218" t="b">
        <v>1</v>
      </c>
      <c r="E304" s="219" t="b">
        <v>0</v>
      </c>
      <c r="F304" s="219" t="b">
        <v>0</v>
      </c>
      <c r="G304" s="219"/>
    </row>
    <row r="305">
      <c r="A305" s="218">
        <f t="shared" si="1"/>
        <v>304</v>
      </c>
      <c r="B305" s="218" t="s">
        <v>200</v>
      </c>
      <c r="C305" s="218" t="s">
        <v>1102</v>
      </c>
      <c r="D305" s="218" t="b">
        <v>1</v>
      </c>
      <c r="E305" s="219" t="b">
        <v>0</v>
      </c>
      <c r="F305" s="219" t="b">
        <v>0</v>
      </c>
      <c r="G305" s="219"/>
    </row>
    <row r="306">
      <c r="A306" s="218">
        <f t="shared" si="1"/>
        <v>305</v>
      </c>
      <c r="B306" s="218" t="s">
        <v>200</v>
      </c>
      <c r="C306" s="218" t="s">
        <v>4426</v>
      </c>
      <c r="D306" s="218" t="b">
        <v>1</v>
      </c>
      <c r="E306" s="219" t="b">
        <v>0</v>
      </c>
      <c r="F306" s="219" t="b">
        <v>0</v>
      </c>
      <c r="G306" s="219"/>
    </row>
    <row r="307">
      <c r="A307" s="218">
        <f t="shared" si="1"/>
        <v>306</v>
      </c>
      <c r="B307" s="218" t="s">
        <v>200</v>
      </c>
      <c r="C307" s="218" t="s">
        <v>1219</v>
      </c>
      <c r="D307" s="218" t="b">
        <v>1</v>
      </c>
      <c r="E307" s="219" t="b">
        <v>0</v>
      </c>
      <c r="F307" s="219" t="b">
        <v>0</v>
      </c>
      <c r="G307" s="219"/>
    </row>
    <row r="308">
      <c r="A308" s="218">
        <f t="shared" si="1"/>
        <v>307</v>
      </c>
      <c r="B308" s="218" t="s">
        <v>200</v>
      </c>
      <c r="C308" s="218" t="s">
        <v>5022</v>
      </c>
      <c r="D308" s="218" t="b">
        <v>1</v>
      </c>
      <c r="E308" s="219" t="b">
        <v>0</v>
      </c>
      <c r="F308" s="219" t="b">
        <v>0</v>
      </c>
      <c r="G308" s="219"/>
    </row>
    <row r="309">
      <c r="A309" s="218">
        <f t="shared" si="1"/>
        <v>308</v>
      </c>
      <c r="B309" s="218" t="s">
        <v>200</v>
      </c>
      <c r="C309" s="218" t="s">
        <v>1707</v>
      </c>
      <c r="D309" s="218" t="b">
        <v>1</v>
      </c>
      <c r="E309" s="219" t="b">
        <v>0</v>
      </c>
      <c r="F309" s="219" t="b">
        <v>0</v>
      </c>
      <c r="G309" s="219"/>
    </row>
    <row r="310">
      <c r="A310" s="218">
        <f t="shared" si="1"/>
        <v>309</v>
      </c>
      <c r="B310" s="218" t="s">
        <v>200</v>
      </c>
      <c r="C310" s="218" t="s">
        <v>2474</v>
      </c>
      <c r="D310" s="218" t="b">
        <v>1</v>
      </c>
      <c r="E310" s="219" t="b">
        <v>0</v>
      </c>
      <c r="F310" s="219" t="b">
        <v>0</v>
      </c>
      <c r="G310" s="219"/>
    </row>
    <row r="311">
      <c r="A311" s="218">
        <f t="shared" si="1"/>
        <v>310</v>
      </c>
      <c r="B311" s="218" t="s">
        <v>200</v>
      </c>
      <c r="C311" s="218" t="s">
        <v>3760</v>
      </c>
      <c r="D311" s="218" t="b">
        <v>1</v>
      </c>
      <c r="E311" s="219" t="b">
        <v>0</v>
      </c>
      <c r="F311" s="219" t="b">
        <v>0</v>
      </c>
      <c r="G311" s="219"/>
    </row>
    <row r="312">
      <c r="A312" s="218">
        <f t="shared" si="1"/>
        <v>311</v>
      </c>
      <c r="B312" s="218" t="s">
        <v>200</v>
      </c>
      <c r="C312" s="218" t="s">
        <v>4635</v>
      </c>
      <c r="D312" s="218" t="b">
        <v>1</v>
      </c>
      <c r="E312" s="219" t="b">
        <v>0</v>
      </c>
      <c r="F312" s="219" t="b">
        <v>0</v>
      </c>
      <c r="G312" s="219"/>
    </row>
    <row r="313">
      <c r="A313" s="218">
        <f t="shared" si="1"/>
        <v>312</v>
      </c>
      <c r="B313" s="218" t="s">
        <v>200</v>
      </c>
      <c r="C313" s="218" t="s">
        <v>4850</v>
      </c>
      <c r="D313" s="218" t="b">
        <v>1</v>
      </c>
      <c r="E313" s="219" t="b">
        <v>0</v>
      </c>
      <c r="F313" s="219" t="b">
        <v>0</v>
      </c>
      <c r="G313" s="219"/>
    </row>
    <row r="314">
      <c r="A314" s="218">
        <f t="shared" si="1"/>
        <v>313</v>
      </c>
      <c r="B314" s="218" t="s">
        <v>200</v>
      </c>
      <c r="C314" s="218" t="s">
        <v>4931</v>
      </c>
      <c r="D314" s="218" t="b">
        <v>1</v>
      </c>
      <c r="E314" s="219" t="b">
        <v>0</v>
      </c>
      <c r="F314" s="219" t="b">
        <v>0</v>
      </c>
      <c r="G314" s="219"/>
    </row>
    <row r="315">
      <c r="A315" s="218">
        <f t="shared" si="1"/>
        <v>314</v>
      </c>
      <c r="B315" s="218" t="s">
        <v>200</v>
      </c>
      <c r="C315" s="218" t="s">
        <v>3780</v>
      </c>
      <c r="D315" s="218" t="b">
        <v>1</v>
      </c>
      <c r="E315" s="219" t="b">
        <v>0</v>
      </c>
      <c r="F315" s="219" t="b">
        <v>0</v>
      </c>
      <c r="G315" s="219"/>
    </row>
    <row r="316">
      <c r="A316" s="218">
        <f t="shared" si="1"/>
        <v>315</v>
      </c>
      <c r="B316" s="218" t="s">
        <v>200</v>
      </c>
      <c r="C316" s="218" t="s">
        <v>3774</v>
      </c>
      <c r="D316" s="218" t="b">
        <v>1</v>
      </c>
      <c r="E316" s="219" t="b">
        <v>0</v>
      </c>
      <c r="F316" s="219" t="b">
        <v>0</v>
      </c>
      <c r="G316" s="219"/>
    </row>
    <row r="317">
      <c r="A317" s="218">
        <f t="shared" si="1"/>
        <v>316</v>
      </c>
      <c r="B317" s="218" t="s">
        <v>200</v>
      </c>
      <c r="C317" s="218" t="s">
        <v>4707</v>
      </c>
      <c r="D317" s="218" t="b">
        <v>1</v>
      </c>
      <c r="E317" s="219" t="b">
        <v>0</v>
      </c>
      <c r="F317" s="219" t="b">
        <v>0</v>
      </c>
      <c r="G317" s="219"/>
    </row>
    <row r="318">
      <c r="A318" s="218">
        <f t="shared" si="1"/>
        <v>317</v>
      </c>
      <c r="B318" s="218" t="s">
        <v>200</v>
      </c>
      <c r="C318" s="218" t="s">
        <v>5368</v>
      </c>
      <c r="D318" s="218" t="b">
        <v>1</v>
      </c>
      <c r="E318" s="219" t="b">
        <v>0</v>
      </c>
      <c r="F318" s="219" t="b">
        <v>0</v>
      </c>
      <c r="G318" s="219"/>
    </row>
    <row r="319">
      <c r="A319" s="218">
        <f t="shared" si="1"/>
        <v>318</v>
      </c>
      <c r="B319" s="218" t="s">
        <v>200</v>
      </c>
      <c r="C319" s="218" t="s">
        <v>2009</v>
      </c>
      <c r="D319" s="218" t="b">
        <v>1</v>
      </c>
      <c r="E319" s="219" t="b">
        <v>0</v>
      </c>
      <c r="F319" s="219" t="b">
        <v>0</v>
      </c>
      <c r="G319" s="219"/>
    </row>
    <row r="320">
      <c r="A320" s="218">
        <f t="shared" si="1"/>
        <v>319</v>
      </c>
      <c r="B320" s="218" t="s">
        <v>200</v>
      </c>
      <c r="C320" s="218" t="s">
        <v>4645</v>
      </c>
      <c r="D320" s="218" t="b">
        <v>1</v>
      </c>
      <c r="E320" s="219" t="b">
        <v>0</v>
      </c>
      <c r="F320" s="219" t="b">
        <v>0</v>
      </c>
      <c r="G320" s="219"/>
    </row>
    <row r="321">
      <c r="A321" s="218">
        <f t="shared" si="1"/>
        <v>320</v>
      </c>
      <c r="B321" s="218" t="s">
        <v>200</v>
      </c>
      <c r="C321" s="218" t="s">
        <v>2531</v>
      </c>
      <c r="D321" s="218" t="b">
        <v>1</v>
      </c>
      <c r="E321" s="219" t="b">
        <v>0</v>
      </c>
      <c r="F321" s="219" t="b">
        <v>0</v>
      </c>
      <c r="G321" s="219"/>
    </row>
    <row r="322">
      <c r="A322" s="218">
        <f t="shared" si="1"/>
        <v>321</v>
      </c>
      <c r="B322" s="218" t="s">
        <v>200</v>
      </c>
      <c r="C322" s="218" t="s">
        <v>1116</v>
      </c>
      <c r="D322" s="218" t="b">
        <v>1</v>
      </c>
      <c r="E322" s="219" t="b">
        <v>0</v>
      </c>
      <c r="F322" s="219" t="b">
        <v>0</v>
      </c>
      <c r="G322" s="219"/>
    </row>
    <row r="323">
      <c r="A323" s="218">
        <f t="shared" si="1"/>
        <v>322</v>
      </c>
      <c r="B323" s="218" t="s">
        <v>200</v>
      </c>
      <c r="C323" s="218" t="s">
        <v>4986</v>
      </c>
      <c r="D323" s="218" t="b">
        <v>1</v>
      </c>
      <c r="E323" s="219" t="b">
        <v>0</v>
      </c>
      <c r="F323" s="219" t="b">
        <v>0</v>
      </c>
      <c r="G323" s="219"/>
    </row>
    <row r="324">
      <c r="A324" s="218">
        <f t="shared" si="1"/>
        <v>323</v>
      </c>
      <c r="B324" s="218" t="s">
        <v>200</v>
      </c>
      <c r="C324" s="218" t="s">
        <v>3427</v>
      </c>
      <c r="D324" s="218" t="b">
        <v>1</v>
      </c>
      <c r="E324" s="219" t="b">
        <v>0</v>
      </c>
      <c r="F324" s="219" t="b">
        <v>0</v>
      </c>
      <c r="G324" s="219"/>
    </row>
    <row r="325">
      <c r="A325" s="218">
        <f t="shared" si="1"/>
        <v>324</v>
      </c>
      <c r="B325" s="218" t="s">
        <v>200</v>
      </c>
      <c r="C325" s="218" t="s">
        <v>2657</v>
      </c>
      <c r="D325" s="218" t="b">
        <v>1</v>
      </c>
      <c r="E325" s="219" t="b">
        <v>0</v>
      </c>
      <c r="F325" s="219" t="b">
        <v>0</v>
      </c>
      <c r="G325" s="219"/>
    </row>
    <row r="326">
      <c r="A326" s="218">
        <f t="shared" si="1"/>
        <v>325</v>
      </c>
      <c r="B326" s="218" t="s">
        <v>200</v>
      </c>
      <c r="C326" s="218" t="s">
        <v>1671</v>
      </c>
      <c r="D326" s="218" t="b">
        <v>1</v>
      </c>
      <c r="E326" s="219" t="b">
        <v>0</v>
      </c>
      <c r="F326" s="219" t="b">
        <v>0</v>
      </c>
      <c r="G326" s="219"/>
    </row>
    <row r="327">
      <c r="A327" s="218">
        <f t="shared" si="1"/>
        <v>326</v>
      </c>
      <c r="B327" s="218" t="s">
        <v>200</v>
      </c>
      <c r="C327" s="218" t="s">
        <v>4926</v>
      </c>
      <c r="D327" s="218" t="b">
        <v>1</v>
      </c>
      <c r="E327" s="219" t="b">
        <v>0</v>
      </c>
      <c r="F327" s="219" t="b">
        <v>0</v>
      </c>
      <c r="G327" s="219"/>
    </row>
    <row r="328">
      <c r="A328" s="218">
        <f t="shared" si="1"/>
        <v>327</v>
      </c>
      <c r="B328" s="218" t="s">
        <v>200</v>
      </c>
      <c r="C328" s="218" t="s">
        <v>4842</v>
      </c>
      <c r="D328" s="218" t="b">
        <v>1</v>
      </c>
      <c r="E328" s="219" t="b">
        <v>0</v>
      </c>
      <c r="F328" s="219" t="b">
        <v>0</v>
      </c>
      <c r="G328" s="219"/>
    </row>
    <row r="329">
      <c r="A329" s="218">
        <f t="shared" si="1"/>
        <v>328</v>
      </c>
      <c r="B329" s="218" t="s">
        <v>200</v>
      </c>
      <c r="C329" s="218" t="s">
        <v>3123</v>
      </c>
      <c r="D329" s="218" t="b">
        <v>1</v>
      </c>
      <c r="E329" s="219" t="b">
        <v>0</v>
      </c>
      <c r="F329" s="219" t="b">
        <v>0</v>
      </c>
      <c r="G329" s="219"/>
    </row>
    <row r="330">
      <c r="A330" s="218">
        <f t="shared" si="1"/>
        <v>329</v>
      </c>
      <c r="B330" s="218" t="s">
        <v>200</v>
      </c>
      <c r="C330" s="218" t="s">
        <v>3876</v>
      </c>
      <c r="D330" s="218" t="b">
        <v>1</v>
      </c>
      <c r="E330" s="219" t="b">
        <v>0</v>
      </c>
      <c r="F330" s="219" t="b">
        <v>0</v>
      </c>
      <c r="G330" s="219"/>
    </row>
    <row r="331">
      <c r="A331" s="218">
        <f t="shared" si="1"/>
        <v>330</v>
      </c>
      <c r="B331" s="218" t="s">
        <v>200</v>
      </c>
      <c r="C331" s="218" t="s">
        <v>3189</v>
      </c>
      <c r="D331" s="218" t="b">
        <v>1</v>
      </c>
      <c r="E331" s="219" t="b">
        <v>0</v>
      </c>
      <c r="F331" s="219" t="b">
        <v>0</v>
      </c>
      <c r="G331" s="219"/>
    </row>
    <row r="332">
      <c r="A332" s="218">
        <f t="shared" si="1"/>
        <v>331</v>
      </c>
      <c r="B332" s="218" t="s">
        <v>200</v>
      </c>
      <c r="C332" s="218" t="s">
        <v>839</v>
      </c>
      <c r="D332" s="218" t="b">
        <v>1</v>
      </c>
      <c r="E332" s="219" t="b">
        <v>0</v>
      </c>
      <c r="F332" s="219" t="b">
        <v>0</v>
      </c>
      <c r="G332" s="219"/>
    </row>
    <row r="333">
      <c r="A333" s="218">
        <f t="shared" si="1"/>
        <v>332</v>
      </c>
      <c r="B333" s="218" t="s">
        <v>200</v>
      </c>
      <c r="C333" s="218" t="s">
        <v>6482</v>
      </c>
      <c r="D333" s="218" t="b">
        <v>1</v>
      </c>
      <c r="E333" s="219" t="b">
        <v>0</v>
      </c>
      <c r="F333" s="219" t="b">
        <v>0</v>
      </c>
      <c r="G333" s="219"/>
    </row>
    <row r="334">
      <c r="A334" s="218">
        <f t="shared" si="1"/>
        <v>333</v>
      </c>
      <c r="B334" s="218" t="s">
        <v>200</v>
      </c>
      <c r="C334" s="218" t="s">
        <v>4223</v>
      </c>
      <c r="D334" s="218" t="b">
        <v>1</v>
      </c>
      <c r="E334" s="219" t="b">
        <v>0</v>
      </c>
      <c r="F334" s="219" t="b">
        <v>0</v>
      </c>
      <c r="G334" s="219"/>
    </row>
    <row r="335">
      <c r="A335" s="218">
        <f t="shared" si="1"/>
        <v>334</v>
      </c>
      <c r="B335" s="218" t="s">
        <v>200</v>
      </c>
      <c r="C335" s="218" t="s">
        <v>4365</v>
      </c>
      <c r="D335" s="218" t="b">
        <v>1</v>
      </c>
      <c r="E335" s="219" t="b">
        <v>0</v>
      </c>
      <c r="F335" s="219" t="b">
        <v>0</v>
      </c>
      <c r="G335" s="219"/>
    </row>
    <row r="336">
      <c r="A336" s="218">
        <f t="shared" si="1"/>
        <v>335</v>
      </c>
      <c r="B336" s="218" t="s">
        <v>200</v>
      </c>
      <c r="C336" s="218" t="s">
        <v>2874</v>
      </c>
      <c r="D336" s="218" t="b">
        <v>1</v>
      </c>
      <c r="E336" s="219" t="b">
        <v>0</v>
      </c>
      <c r="F336" s="219" t="b">
        <v>0</v>
      </c>
      <c r="G336" s="219"/>
    </row>
    <row r="337">
      <c r="A337" s="218">
        <f t="shared" si="1"/>
        <v>336</v>
      </c>
      <c r="B337" s="218" t="s">
        <v>200</v>
      </c>
      <c r="C337" s="218" t="s">
        <v>3766</v>
      </c>
      <c r="D337" s="218" t="b">
        <v>1</v>
      </c>
      <c r="E337" s="219" t="b">
        <v>0</v>
      </c>
      <c r="F337" s="219" t="b">
        <v>0</v>
      </c>
      <c r="G337" s="219"/>
    </row>
    <row r="338">
      <c r="A338" s="218">
        <f t="shared" si="1"/>
        <v>337</v>
      </c>
      <c r="B338" s="218" t="s">
        <v>200</v>
      </c>
      <c r="C338" s="218" t="s">
        <v>6483</v>
      </c>
      <c r="D338" s="218" t="b">
        <v>1</v>
      </c>
      <c r="E338" s="219" t="b">
        <v>0</v>
      </c>
      <c r="F338" s="219" t="b">
        <v>0</v>
      </c>
      <c r="G338" s="219"/>
    </row>
    <row r="339">
      <c r="A339" s="218">
        <f t="shared" si="1"/>
        <v>338</v>
      </c>
      <c r="B339" s="218" t="s">
        <v>200</v>
      </c>
      <c r="C339" s="218" t="s">
        <v>2775</v>
      </c>
      <c r="D339" s="218" t="b">
        <v>1</v>
      </c>
      <c r="E339" s="219" t="b">
        <v>0</v>
      </c>
      <c r="F339" s="219" t="b">
        <v>0</v>
      </c>
      <c r="G339" s="219"/>
    </row>
    <row r="340">
      <c r="A340" s="218">
        <f t="shared" si="1"/>
        <v>339</v>
      </c>
      <c r="B340" s="218" t="s">
        <v>200</v>
      </c>
      <c r="C340" s="218" t="s">
        <v>6484</v>
      </c>
      <c r="D340" s="218" t="b">
        <v>1</v>
      </c>
      <c r="E340" s="219" t="b">
        <v>0</v>
      </c>
      <c r="F340" s="219" t="b">
        <v>0</v>
      </c>
      <c r="G340" s="219"/>
    </row>
    <row r="341">
      <c r="A341" s="218">
        <f t="shared" si="1"/>
        <v>340</v>
      </c>
      <c r="B341" s="218" t="s">
        <v>200</v>
      </c>
      <c r="C341" s="218" t="s">
        <v>6485</v>
      </c>
      <c r="D341" s="218" t="b">
        <v>1</v>
      </c>
      <c r="E341" s="219" t="b">
        <v>0</v>
      </c>
      <c r="F341" s="219" t="b">
        <v>0</v>
      </c>
      <c r="G341" s="219"/>
    </row>
    <row r="342">
      <c r="A342" s="218">
        <f t="shared" si="1"/>
        <v>341</v>
      </c>
      <c r="B342" s="218" t="s">
        <v>200</v>
      </c>
      <c r="C342" s="218" t="s">
        <v>6486</v>
      </c>
      <c r="D342" s="218" t="b">
        <v>1</v>
      </c>
      <c r="E342" s="219" t="b">
        <v>0</v>
      </c>
      <c r="F342" s="219" t="b">
        <v>0</v>
      </c>
      <c r="G342" s="219"/>
    </row>
    <row r="343">
      <c r="A343" s="218">
        <f t="shared" si="1"/>
        <v>342</v>
      </c>
      <c r="B343" s="218" t="s">
        <v>200</v>
      </c>
      <c r="C343" s="218" t="s">
        <v>3084</v>
      </c>
      <c r="D343" s="218" t="b">
        <v>1</v>
      </c>
      <c r="E343" s="219" t="b">
        <v>0</v>
      </c>
      <c r="F343" s="219" t="b">
        <v>0</v>
      </c>
      <c r="G343" s="219"/>
    </row>
    <row r="344">
      <c r="A344" s="218">
        <f t="shared" si="1"/>
        <v>343</v>
      </c>
      <c r="B344" s="218" t="s">
        <v>200</v>
      </c>
      <c r="C344" s="218" t="s">
        <v>4178</v>
      </c>
      <c r="D344" s="218" t="b">
        <v>1</v>
      </c>
      <c r="E344" s="219" t="b">
        <v>0</v>
      </c>
      <c r="F344" s="219" t="b">
        <v>0</v>
      </c>
      <c r="G344" s="219"/>
    </row>
    <row r="345">
      <c r="A345" s="218">
        <f t="shared" si="1"/>
        <v>344</v>
      </c>
      <c r="B345" s="218" t="s">
        <v>200</v>
      </c>
      <c r="C345" s="218" t="s">
        <v>4184</v>
      </c>
      <c r="D345" s="218" t="b">
        <v>1</v>
      </c>
      <c r="E345" s="219" t="b">
        <v>0</v>
      </c>
      <c r="F345" s="219" t="b">
        <v>0</v>
      </c>
      <c r="G345" s="219"/>
    </row>
    <row r="346">
      <c r="A346" s="218">
        <f t="shared" si="1"/>
        <v>345</v>
      </c>
      <c r="B346" s="218" t="s">
        <v>200</v>
      </c>
      <c r="C346" s="218" t="s">
        <v>4162</v>
      </c>
      <c r="D346" s="218" t="b">
        <v>1</v>
      </c>
      <c r="E346" s="219" t="b">
        <v>0</v>
      </c>
      <c r="F346" s="219" t="b">
        <v>0</v>
      </c>
      <c r="G346" s="219"/>
    </row>
    <row r="347">
      <c r="A347" s="218">
        <f t="shared" si="1"/>
        <v>346</v>
      </c>
      <c r="B347" s="218" t="s">
        <v>200</v>
      </c>
      <c r="C347" s="218" t="s">
        <v>3745</v>
      </c>
      <c r="D347" s="218" t="b">
        <v>1</v>
      </c>
      <c r="E347" s="219" t="b">
        <v>0</v>
      </c>
      <c r="F347" s="219" t="b">
        <v>0</v>
      </c>
      <c r="G347" s="219"/>
    </row>
    <row r="348">
      <c r="A348" s="218">
        <f t="shared" si="1"/>
        <v>347</v>
      </c>
      <c r="B348" s="218" t="s">
        <v>200</v>
      </c>
      <c r="C348" s="218" t="s">
        <v>4228</v>
      </c>
      <c r="D348" s="218" t="b">
        <v>1</v>
      </c>
      <c r="E348" s="219" t="b">
        <v>0</v>
      </c>
      <c r="F348" s="219" t="b">
        <v>0</v>
      </c>
      <c r="G348" s="219"/>
    </row>
    <row r="349">
      <c r="A349" s="218">
        <f t="shared" si="1"/>
        <v>348</v>
      </c>
      <c r="B349" s="218" t="s">
        <v>200</v>
      </c>
      <c r="C349" s="218" t="s">
        <v>3730</v>
      </c>
      <c r="D349" s="218" t="b">
        <v>1</v>
      </c>
      <c r="E349" s="219" t="b">
        <v>0</v>
      </c>
      <c r="F349" s="219" t="b">
        <v>0</v>
      </c>
      <c r="G349" s="219"/>
    </row>
    <row r="350">
      <c r="A350" s="218">
        <f t="shared" si="1"/>
        <v>349</v>
      </c>
      <c r="B350" s="218" t="s">
        <v>200</v>
      </c>
      <c r="C350" s="218" t="s">
        <v>5500</v>
      </c>
      <c r="D350" s="218" t="b">
        <v>1</v>
      </c>
      <c r="E350" s="219" t="b">
        <v>0</v>
      </c>
      <c r="F350" s="219" t="b">
        <v>0</v>
      </c>
      <c r="G350" s="219"/>
    </row>
    <row r="351">
      <c r="A351" s="218">
        <f t="shared" si="1"/>
        <v>350</v>
      </c>
      <c r="B351" s="218" t="s">
        <v>200</v>
      </c>
      <c r="C351" s="218" t="s">
        <v>4233</v>
      </c>
      <c r="D351" s="218" t="b">
        <v>1</v>
      </c>
      <c r="E351" s="219" t="b">
        <v>0</v>
      </c>
      <c r="F351" s="219" t="b">
        <v>0</v>
      </c>
      <c r="G351" s="219"/>
    </row>
    <row r="352">
      <c r="A352" s="218">
        <f t="shared" si="1"/>
        <v>351</v>
      </c>
      <c r="B352" s="218" t="s">
        <v>200</v>
      </c>
      <c r="C352" s="218" t="s">
        <v>2878</v>
      </c>
      <c r="D352" s="218" t="b">
        <v>1</v>
      </c>
      <c r="E352" s="219" t="b">
        <v>0</v>
      </c>
      <c r="F352" s="219" t="b">
        <v>0</v>
      </c>
      <c r="G352" s="219"/>
    </row>
    <row r="353">
      <c r="A353" s="218">
        <f t="shared" si="1"/>
        <v>352</v>
      </c>
      <c r="B353" s="218" t="s">
        <v>200</v>
      </c>
      <c r="C353" s="218" t="s">
        <v>2023</v>
      </c>
      <c r="D353" s="218" t="b">
        <v>1</v>
      </c>
      <c r="E353" s="219" t="b">
        <v>0</v>
      </c>
      <c r="F353" s="219" t="b">
        <v>0</v>
      </c>
      <c r="G353" s="219"/>
    </row>
    <row r="354">
      <c r="A354" s="218">
        <f t="shared" si="1"/>
        <v>353</v>
      </c>
      <c r="B354" s="218" t="s">
        <v>200</v>
      </c>
      <c r="C354" s="218" t="s">
        <v>3504</v>
      </c>
      <c r="D354" s="218" t="b">
        <v>1</v>
      </c>
      <c r="E354" s="219" t="b">
        <v>0</v>
      </c>
      <c r="F354" s="219" t="b">
        <v>0</v>
      </c>
      <c r="G354" s="219"/>
    </row>
    <row r="355">
      <c r="A355" s="218">
        <f t="shared" si="1"/>
        <v>354</v>
      </c>
      <c r="B355" s="218" t="s">
        <v>200</v>
      </c>
      <c r="C355" s="218" t="s">
        <v>4553</v>
      </c>
      <c r="D355" s="218" t="b">
        <v>1</v>
      </c>
      <c r="E355" s="219" t="b">
        <v>0</v>
      </c>
      <c r="F355" s="219" t="b">
        <v>0</v>
      </c>
      <c r="G355" s="219"/>
    </row>
    <row r="356">
      <c r="A356" s="218">
        <f t="shared" si="1"/>
        <v>355</v>
      </c>
      <c r="B356" s="218" t="s">
        <v>200</v>
      </c>
      <c r="C356" s="218" t="s">
        <v>6487</v>
      </c>
      <c r="D356" s="218" t="b">
        <v>1</v>
      </c>
      <c r="E356" s="219" t="b">
        <v>0</v>
      </c>
      <c r="F356" s="219" t="b">
        <v>0</v>
      </c>
      <c r="G356" s="219"/>
    </row>
    <row r="357">
      <c r="A357" s="218">
        <f t="shared" si="1"/>
        <v>356</v>
      </c>
      <c r="B357" s="218" t="s">
        <v>200</v>
      </c>
      <c r="C357" s="218" t="s">
        <v>6488</v>
      </c>
      <c r="D357" s="218" t="b">
        <v>1</v>
      </c>
      <c r="E357" s="219" t="b">
        <v>0</v>
      </c>
      <c r="F357" s="219" t="b">
        <v>0</v>
      </c>
      <c r="G357" s="219"/>
    </row>
    <row r="358">
      <c r="A358" s="218">
        <f t="shared" si="1"/>
        <v>357</v>
      </c>
      <c r="B358" s="218" t="s">
        <v>200</v>
      </c>
      <c r="C358" s="218" t="s">
        <v>4501</v>
      </c>
      <c r="D358" s="218" t="b">
        <v>1</v>
      </c>
      <c r="E358" s="219" t="b">
        <v>0</v>
      </c>
      <c r="F358" s="219" t="b">
        <v>0</v>
      </c>
      <c r="G358" s="219"/>
    </row>
    <row r="359">
      <c r="A359" s="218">
        <f t="shared" si="1"/>
        <v>358</v>
      </c>
      <c r="B359" s="218" t="s">
        <v>200</v>
      </c>
      <c r="C359" s="218" t="s">
        <v>5357</v>
      </c>
      <c r="D359" s="218" t="b">
        <v>1</v>
      </c>
      <c r="E359" s="219" t="b">
        <v>0</v>
      </c>
      <c r="F359" s="219" t="b">
        <v>0</v>
      </c>
      <c r="G359" s="219"/>
    </row>
    <row r="360">
      <c r="A360" s="218">
        <f t="shared" si="1"/>
        <v>359</v>
      </c>
      <c r="B360" s="218" t="s">
        <v>200</v>
      </c>
      <c r="C360" s="218" t="s">
        <v>4397</v>
      </c>
      <c r="D360" s="218" t="b">
        <v>1</v>
      </c>
      <c r="E360" s="219" t="b">
        <v>0</v>
      </c>
      <c r="F360" s="219" t="b">
        <v>0</v>
      </c>
      <c r="G360" s="219"/>
    </row>
    <row r="361">
      <c r="A361" s="218">
        <f t="shared" si="1"/>
        <v>360</v>
      </c>
      <c r="B361" s="218" t="s">
        <v>200</v>
      </c>
      <c r="C361" s="218" t="s">
        <v>4402</v>
      </c>
      <c r="D361" s="218" t="b">
        <v>1</v>
      </c>
      <c r="E361" s="219" t="b">
        <v>0</v>
      </c>
      <c r="F361" s="219" t="b">
        <v>0</v>
      </c>
      <c r="G361" s="219"/>
    </row>
    <row r="362">
      <c r="A362" s="218">
        <f t="shared" si="1"/>
        <v>361</v>
      </c>
      <c r="B362" s="218" t="s">
        <v>200</v>
      </c>
      <c r="C362" s="218" t="s">
        <v>5011</v>
      </c>
      <c r="D362" s="218" t="b">
        <v>1</v>
      </c>
      <c r="E362" s="219" t="b">
        <v>0</v>
      </c>
      <c r="F362" s="219" t="b">
        <v>0</v>
      </c>
      <c r="G362" s="219"/>
    </row>
    <row r="363">
      <c r="A363" s="218">
        <f t="shared" si="1"/>
        <v>362</v>
      </c>
      <c r="B363" s="218" t="s">
        <v>200</v>
      </c>
      <c r="C363" s="218" t="s">
        <v>2181</v>
      </c>
      <c r="D363" s="218" t="b">
        <v>1</v>
      </c>
      <c r="E363" s="219" t="b">
        <v>0</v>
      </c>
      <c r="F363" s="219" t="b">
        <v>0</v>
      </c>
      <c r="G363" s="219"/>
    </row>
    <row r="364">
      <c r="A364" s="218">
        <f t="shared" si="1"/>
        <v>363</v>
      </c>
      <c r="B364" s="218" t="s">
        <v>200</v>
      </c>
      <c r="C364" s="218" t="s">
        <v>538</v>
      </c>
      <c r="D364" s="218" t="b">
        <v>1</v>
      </c>
      <c r="E364" s="219" t="b">
        <v>0</v>
      </c>
      <c r="F364" s="219" t="b">
        <v>0</v>
      </c>
      <c r="G364" s="219"/>
    </row>
    <row r="365">
      <c r="A365" s="218">
        <f t="shared" si="1"/>
        <v>364</v>
      </c>
      <c r="B365" s="218" t="s">
        <v>200</v>
      </c>
      <c r="C365" s="218" t="s">
        <v>4414</v>
      </c>
      <c r="D365" s="218" t="b">
        <v>1</v>
      </c>
      <c r="E365" s="219" t="b">
        <v>0</v>
      </c>
      <c r="F365" s="219" t="b">
        <v>0</v>
      </c>
      <c r="G365" s="219"/>
    </row>
    <row r="366">
      <c r="A366" s="218">
        <f t="shared" si="1"/>
        <v>365</v>
      </c>
      <c r="B366" s="218" t="s">
        <v>200</v>
      </c>
      <c r="C366" s="218" t="s">
        <v>2171</v>
      </c>
      <c r="D366" s="218" t="b">
        <v>1</v>
      </c>
      <c r="E366" s="219" t="b">
        <v>0</v>
      </c>
      <c r="F366" s="219" t="b">
        <v>0</v>
      </c>
      <c r="G366" s="219"/>
    </row>
    <row r="367">
      <c r="A367" s="218">
        <f t="shared" si="1"/>
        <v>366</v>
      </c>
      <c r="B367" s="218" t="s">
        <v>200</v>
      </c>
      <c r="C367" s="218" t="s">
        <v>6489</v>
      </c>
      <c r="D367" s="218" t="b">
        <v>1</v>
      </c>
      <c r="E367" s="219" t="b">
        <v>0</v>
      </c>
      <c r="F367" s="219" t="b">
        <v>0</v>
      </c>
      <c r="G367" s="219"/>
    </row>
    <row r="368">
      <c r="A368" s="218">
        <f t="shared" si="1"/>
        <v>367</v>
      </c>
      <c r="B368" s="218" t="s">
        <v>200</v>
      </c>
      <c r="C368" s="218" t="s">
        <v>5260</v>
      </c>
      <c r="D368" s="218" t="b">
        <v>1</v>
      </c>
      <c r="E368" s="219" t="b">
        <v>0</v>
      </c>
      <c r="F368" s="219" t="b">
        <v>0</v>
      </c>
      <c r="G368" s="219"/>
    </row>
    <row r="369">
      <c r="A369" s="218">
        <f t="shared" si="1"/>
        <v>368</v>
      </c>
      <c r="B369" s="218" t="s">
        <v>200</v>
      </c>
      <c r="C369" s="218" t="s">
        <v>3637</v>
      </c>
      <c r="D369" s="218" t="b">
        <v>1</v>
      </c>
      <c r="E369" s="219" t="b">
        <v>0</v>
      </c>
      <c r="F369" s="219" t="b">
        <v>0</v>
      </c>
      <c r="G369" s="219"/>
    </row>
    <row r="370">
      <c r="A370" s="218">
        <f t="shared" si="1"/>
        <v>369</v>
      </c>
      <c r="B370" s="218" t="s">
        <v>200</v>
      </c>
      <c r="C370" s="218" t="s">
        <v>4359</v>
      </c>
      <c r="D370" s="218" t="b">
        <v>1</v>
      </c>
      <c r="E370" s="219" t="b">
        <v>0</v>
      </c>
      <c r="F370" s="219" t="b">
        <v>0</v>
      </c>
      <c r="G370" s="219"/>
    </row>
    <row r="371">
      <c r="A371" s="218">
        <f t="shared" si="1"/>
        <v>370</v>
      </c>
      <c r="B371" s="218" t="s">
        <v>200</v>
      </c>
      <c r="C371" s="218" t="s">
        <v>3790</v>
      </c>
      <c r="D371" s="218" t="b">
        <v>1</v>
      </c>
      <c r="E371" s="219" t="b">
        <v>0</v>
      </c>
      <c r="F371" s="219" t="b">
        <v>0</v>
      </c>
      <c r="G371" s="219"/>
    </row>
    <row r="372">
      <c r="A372" s="218">
        <f t="shared" si="1"/>
        <v>371</v>
      </c>
      <c r="B372" s="218" t="s">
        <v>200</v>
      </c>
      <c r="C372" s="218" t="s">
        <v>4348</v>
      </c>
      <c r="D372" s="218" t="b">
        <v>1</v>
      </c>
      <c r="E372" s="219" t="b">
        <v>0</v>
      </c>
      <c r="F372" s="219" t="b">
        <v>0</v>
      </c>
      <c r="G372" s="219"/>
    </row>
    <row r="373">
      <c r="A373" s="218">
        <f t="shared" si="1"/>
        <v>372</v>
      </c>
      <c r="B373" s="218" t="s">
        <v>200</v>
      </c>
      <c r="C373" s="218" t="s">
        <v>3368</v>
      </c>
      <c r="D373" s="218" t="b">
        <v>1</v>
      </c>
      <c r="E373" s="219" t="b">
        <v>0</v>
      </c>
      <c r="F373" s="219" t="b">
        <v>0</v>
      </c>
      <c r="G373" s="219"/>
    </row>
    <row r="374">
      <c r="A374" s="218">
        <f t="shared" si="1"/>
        <v>373</v>
      </c>
      <c r="B374" s="218" t="s">
        <v>200</v>
      </c>
      <c r="C374" s="218" t="s">
        <v>4966</v>
      </c>
      <c r="D374" s="218" t="b">
        <v>1</v>
      </c>
      <c r="E374" s="219" t="b">
        <v>0</v>
      </c>
      <c r="F374" s="219" t="b">
        <v>0</v>
      </c>
      <c r="G374" s="219"/>
    </row>
    <row r="375">
      <c r="A375" s="218">
        <f t="shared" si="1"/>
        <v>374</v>
      </c>
      <c r="B375" s="218" t="s">
        <v>200</v>
      </c>
      <c r="C375" s="218" t="s">
        <v>2382</v>
      </c>
      <c r="D375" s="218" t="b">
        <v>1</v>
      </c>
      <c r="E375" s="219" t="b">
        <v>0</v>
      </c>
      <c r="F375" s="219" t="b">
        <v>0</v>
      </c>
      <c r="G375" s="219"/>
    </row>
    <row r="376">
      <c r="A376" s="218">
        <f t="shared" si="1"/>
        <v>375</v>
      </c>
      <c r="B376" s="218" t="s">
        <v>200</v>
      </c>
      <c r="C376" s="218" t="s">
        <v>3323</v>
      </c>
      <c r="D376" s="218" t="b">
        <v>1</v>
      </c>
      <c r="E376" s="219" t="b">
        <v>0</v>
      </c>
      <c r="F376" s="219" t="b">
        <v>0</v>
      </c>
      <c r="G376" s="219"/>
    </row>
    <row r="377">
      <c r="A377" s="218">
        <f t="shared" si="1"/>
        <v>376</v>
      </c>
      <c r="B377" s="218" t="s">
        <v>200</v>
      </c>
      <c r="C377" s="218" t="s">
        <v>6490</v>
      </c>
      <c r="D377" s="218" t="b">
        <v>1</v>
      </c>
      <c r="E377" s="219" t="b">
        <v>0</v>
      </c>
      <c r="F377" s="219" t="b">
        <v>0</v>
      </c>
      <c r="G377" s="219"/>
    </row>
    <row r="378">
      <c r="A378" s="218">
        <f t="shared" si="1"/>
        <v>377</v>
      </c>
      <c r="B378" s="218" t="s">
        <v>200</v>
      </c>
      <c r="C378" s="218" t="s">
        <v>829</v>
      </c>
      <c r="D378" s="218" t="b">
        <v>1</v>
      </c>
      <c r="E378" s="219" t="b">
        <v>0</v>
      </c>
      <c r="F378" s="219" t="b">
        <v>0</v>
      </c>
      <c r="G378" s="219"/>
    </row>
    <row r="379">
      <c r="A379" s="218">
        <f t="shared" si="1"/>
        <v>378</v>
      </c>
      <c r="B379" s="218" t="s">
        <v>200</v>
      </c>
      <c r="C379" s="218" t="s">
        <v>3347</v>
      </c>
      <c r="D379" s="218" t="b">
        <v>1</v>
      </c>
      <c r="E379" s="219" t="b">
        <v>0</v>
      </c>
      <c r="F379" s="219" t="b">
        <v>0</v>
      </c>
      <c r="G379" s="219"/>
    </row>
    <row r="380">
      <c r="A380" s="218">
        <f t="shared" si="1"/>
        <v>379</v>
      </c>
      <c r="B380" s="218" t="s">
        <v>200</v>
      </c>
      <c r="C380" s="218" t="s">
        <v>3299</v>
      </c>
      <c r="D380" s="218" t="b">
        <v>1</v>
      </c>
      <c r="E380" s="219" t="b">
        <v>0</v>
      </c>
      <c r="F380" s="219" t="b">
        <v>0</v>
      </c>
      <c r="G380" s="219"/>
    </row>
    <row r="381">
      <c r="A381" s="218">
        <f t="shared" si="1"/>
        <v>380</v>
      </c>
      <c r="B381" s="218" t="s">
        <v>200</v>
      </c>
      <c r="C381" s="218" t="s">
        <v>4375</v>
      </c>
      <c r="D381" s="218" t="b">
        <v>1</v>
      </c>
      <c r="E381" s="219" t="b">
        <v>0</v>
      </c>
      <c r="F381" s="219" t="b">
        <v>0</v>
      </c>
      <c r="G381" s="219"/>
    </row>
    <row r="382">
      <c r="A382" s="218">
        <f t="shared" si="1"/>
        <v>381</v>
      </c>
      <c r="B382" s="218" t="s">
        <v>200</v>
      </c>
      <c r="C382" s="218" t="s">
        <v>1243</v>
      </c>
      <c r="D382" s="218" t="b">
        <v>1</v>
      </c>
      <c r="E382" s="219" t="b">
        <v>0</v>
      </c>
      <c r="F382" s="219" t="b">
        <v>0</v>
      </c>
      <c r="G382" s="219"/>
    </row>
    <row r="383">
      <c r="A383" s="218">
        <f t="shared" si="1"/>
        <v>382</v>
      </c>
      <c r="B383" s="218" t="s">
        <v>200</v>
      </c>
      <c r="C383" s="218" t="s">
        <v>4748</v>
      </c>
      <c r="D383" s="218" t="b">
        <v>1</v>
      </c>
      <c r="E383" s="219" t="b">
        <v>0</v>
      </c>
      <c r="F383" s="219" t="b">
        <v>0</v>
      </c>
      <c r="G383" s="219"/>
    </row>
    <row r="384">
      <c r="A384" s="218">
        <f t="shared" si="1"/>
        <v>383</v>
      </c>
      <c r="B384" s="218" t="s">
        <v>200</v>
      </c>
      <c r="C384" s="218" t="s">
        <v>944</v>
      </c>
      <c r="D384" s="218" t="b">
        <v>1</v>
      </c>
      <c r="E384" s="219" t="b">
        <v>0</v>
      </c>
      <c r="F384" s="219" t="b">
        <v>0</v>
      </c>
      <c r="G384" s="219"/>
    </row>
    <row r="385">
      <c r="A385" s="218">
        <f t="shared" si="1"/>
        <v>384</v>
      </c>
      <c r="B385" s="218" t="s">
        <v>200</v>
      </c>
      <c r="C385" s="218" t="s">
        <v>3657</v>
      </c>
      <c r="D385" s="218" t="b">
        <v>1</v>
      </c>
      <c r="E385" s="219" t="b">
        <v>0</v>
      </c>
      <c r="F385" s="219" t="b">
        <v>0</v>
      </c>
      <c r="G385" s="219"/>
    </row>
    <row r="386">
      <c r="A386" s="218">
        <f t="shared" si="1"/>
        <v>385</v>
      </c>
      <c r="B386" s="218" t="s">
        <v>200</v>
      </c>
      <c r="C386" s="218" t="s">
        <v>2239</v>
      </c>
      <c r="D386" s="218" t="b">
        <v>1</v>
      </c>
      <c r="E386" s="219" t="b">
        <v>0</v>
      </c>
      <c r="F386" s="219" t="b">
        <v>0</v>
      </c>
      <c r="G386" s="219"/>
    </row>
    <row r="387">
      <c r="A387" s="218">
        <f t="shared" si="1"/>
        <v>386</v>
      </c>
      <c r="B387" s="218" t="s">
        <v>200</v>
      </c>
      <c r="C387" s="218" t="s">
        <v>2239</v>
      </c>
      <c r="D387" s="218" t="b">
        <v>1</v>
      </c>
      <c r="E387" s="219" t="b">
        <v>0</v>
      </c>
      <c r="F387" s="219" t="b">
        <v>0</v>
      </c>
      <c r="G387" s="219"/>
    </row>
    <row r="388">
      <c r="A388" s="218">
        <f t="shared" si="1"/>
        <v>387</v>
      </c>
      <c r="B388" s="218" t="s">
        <v>200</v>
      </c>
      <c r="C388" s="218" t="s">
        <v>4431</v>
      </c>
      <c r="D388" s="218" t="b">
        <v>1</v>
      </c>
      <c r="E388" s="219" t="b">
        <v>0</v>
      </c>
      <c r="F388" s="219" t="b">
        <v>0</v>
      </c>
      <c r="G388" s="219"/>
    </row>
    <row r="389">
      <c r="A389" s="218">
        <f t="shared" si="1"/>
        <v>388</v>
      </c>
      <c r="B389" s="218" t="s">
        <v>200</v>
      </c>
      <c r="C389" s="218" t="s">
        <v>3900</v>
      </c>
      <c r="D389" s="218" t="b">
        <v>1</v>
      </c>
      <c r="E389" s="219" t="b">
        <v>0</v>
      </c>
      <c r="F389" s="219" t="b">
        <v>0</v>
      </c>
      <c r="G389" s="219"/>
    </row>
    <row r="390">
      <c r="A390" s="218">
        <f t="shared" si="1"/>
        <v>389</v>
      </c>
      <c r="B390" s="218" t="s">
        <v>200</v>
      </c>
      <c r="C390" s="218" t="s">
        <v>3802</v>
      </c>
      <c r="D390" s="218" t="b">
        <v>1</v>
      </c>
      <c r="E390" s="219" t="b">
        <v>0</v>
      </c>
      <c r="F390" s="219" t="b">
        <v>0</v>
      </c>
      <c r="G390" s="219"/>
    </row>
    <row r="391">
      <c r="A391" s="218">
        <f t="shared" si="1"/>
        <v>390</v>
      </c>
      <c r="B391" s="218" t="s">
        <v>200</v>
      </c>
      <c r="C391" s="218" t="s">
        <v>3295</v>
      </c>
      <c r="D391" s="218" t="b">
        <v>1</v>
      </c>
      <c r="E391" s="219" t="b">
        <v>0</v>
      </c>
      <c r="F391" s="219" t="b">
        <v>0</v>
      </c>
      <c r="G391" s="219"/>
    </row>
    <row r="392">
      <c r="A392" s="218">
        <f t="shared" si="1"/>
        <v>391</v>
      </c>
      <c r="B392" s="218" t="s">
        <v>200</v>
      </c>
      <c r="C392" s="218" t="s">
        <v>2625</v>
      </c>
      <c r="D392" s="218" t="b">
        <v>1</v>
      </c>
      <c r="E392" s="219" t="b">
        <v>0</v>
      </c>
      <c r="F392" s="219" t="b">
        <v>0</v>
      </c>
      <c r="G392" s="219"/>
    </row>
    <row r="393">
      <c r="A393" s="218">
        <f t="shared" si="1"/>
        <v>392</v>
      </c>
      <c r="B393" s="218" t="s">
        <v>200</v>
      </c>
      <c r="C393" s="218" t="s">
        <v>6491</v>
      </c>
      <c r="D393" s="218" t="b">
        <v>1</v>
      </c>
      <c r="E393" s="219" t="b">
        <v>0</v>
      </c>
      <c r="F393" s="219" t="b">
        <v>0</v>
      </c>
      <c r="G393" s="219"/>
    </row>
    <row r="394">
      <c r="A394" s="218">
        <f t="shared" si="1"/>
        <v>393</v>
      </c>
      <c r="B394" s="218" t="s">
        <v>200</v>
      </c>
      <c r="C394" s="218" t="s">
        <v>390</v>
      </c>
      <c r="D394" s="218" t="b">
        <v>1</v>
      </c>
      <c r="E394" s="219" t="b">
        <v>0</v>
      </c>
      <c r="F394" s="219" t="b">
        <v>0</v>
      </c>
      <c r="G394" s="219"/>
    </row>
    <row r="395">
      <c r="A395" s="218">
        <f t="shared" si="1"/>
        <v>394</v>
      </c>
      <c r="B395" s="218" t="s">
        <v>200</v>
      </c>
      <c r="C395" s="218" t="s">
        <v>4479</v>
      </c>
      <c r="D395" s="218" t="b">
        <v>1</v>
      </c>
      <c r="E395" s="219" t="b">
        <v>0</v>
      </c>
      <c r="F395" s="219" t="b">
        <v>0</v>
      </c>
      <c r="G395" s="219"/>
    </row>
    <row r="396">
      <c r="A396" s="218">
        <f t="shared" si="1"/>
        <v>395</v>
      </c>
      <c r="B396" s="218" t="s">
        <v>200</v>
      </c>
      <c r="C396" s="218" t="s">
        <v>4682</v>
      </c>
      <c r="D396" s="218" t="b">
        <v>1</v>
      </c>
      <c r="E396" s="219" t="b">
        <v>0</v>
      </c>
      <c r="F396" s="219" t="b">
        <v>0</v>
      </c>
      <c r="G396" s="219"/>
    </row>
    <row r="397">
      <c r="A397" s="218">
        <f t="shared" si="1"/>
        <v>396</v>
      </c>
      <c r="B397" s="218" t="s">
        <v>200</v>
      </c>
      <c r="C397" s="218" t="s">
        <v>355</v>
      </c>
      <c r="D397" s="218" t="b">
        <v>1</v>
      </c>
      <c r="E397" s="219" t="b">
        <v>0</v>
      </c>
      <c r="F397" s="219" t="b">
        <v>0</v>
      </c>
      <c r="G397" s="219"/>
    </row>
    <row r="398">
      <c r="A398" s="218">
        <f t="shared" si="1"/>
        <v>397</v>
      </c>
      <c r="B398" s="218" t="s">
        <v>200</v>
      </c>
      <c r="C398" s="218" t="s">
        <v>1703</v>
      </c>
      <c r="D398" s="218" t="b">
        <v>1</v>
      </c>
      <c r="E398" s="219" t="b">
        <v>0</v>
      </c>
      <c r="F398" s="219" t="b">
        <v>0</v>
      </c>
      <c r="G398" s="219"/>
    </row>
    <row r="399">
      <c r="A399" s="218">
        <f t="shared" si="1"/>
        <v>398</v>
      </c>
      <c r="B399" s="218" t="s">
        <v>200</v>
      </c>
      <c r="C399" s="218" t="s">
        <v>1070</v>
      </c>
      <c r="D399" s="218" t="b">
        <v>1</v>
      </c>
      <c r="E399" s="219" t="b">
        <v>0</v>
      </c>
      <c r="F399" s="219" t="b">
        <v>0</v>
      </c>
      <c r="G399" s="219"/>
    </row>
    <row r="400">
      <c r="A400" s="218">
        <f t="shared" si="1"/>
        <v>399</v>
      </c>
      <c r="B400" s="218" t="s">
        <v>200</v>
      </c>
      <c r="C400" s="218" t="s">
        <v>5297</v>
      </c>
      <c r="D400" s="218" t="b">
        <v>1</v>
      </c>
      <c r="E400" s="219" t="b">
        <v>0</v>
      </c>
      <c r="F400" s="219" t="b">
        <v>0</v>
      </c>
      <c r="G400" s="219"/>
    </row>
    <row r="401">
      <c r="A401" s="218">
        <f t="shared" si="1"/>
        <v>400</v>
      </c>
      <c r="B401" s="218" t="s">
        <v>200</v>
      </c>
      <c r="C401" s="218" t="s">
        <v>1022</v>
      </c>
      <c r="D401" s="218" t="b">
        <v>1</v>
      </c>
      <c r="E401" s="219" t="b">
        <v>0</v>
      </c>
      <c r="F401" s="219" t="b">
        <v>0</v>
      </c>
      <c r="G401" s="219"/>
    </row>
    <row r="402">
      <c r="A402" s="218">
        <f t="shared" si="1"/>
        <v>401</v>
      </c>
      <c r="B402" s="218" t="s">
        <v>200</v>
      </c>
      <c r="C402" s="218" t="s">
        <v>2090</v>
      </c>
      <c r="D402" s="218" t="b">
        <v>1</v>
      </c>
      <c r="E402" s="219" t="b">
        <v>0</v>
      </c>
      <c r="F402" s="219" t="b">
        <v>0</v>
      </c>
      <c r="G402" s="219"/>
    </row>
    <row r="403">
      <c r="A403" s="218">
        <f t="shared" si="1"/>
        <v>402</v>
      </c>
      <c r="B403" s="218" t="s">
        <v>200</v>
      </c>
      <c r="C403" s="218" t="s">
        <v>2124</v>
      </c>
      <c r="D403" s="218" t="b">
        <v>1</v>
      </c>
      <c r="E403" s="219" t="b">
        <v>0</v>
      </c>
      <c r="F403" s="219" t="b">
        <v>0</v>
      </c>
      <c r="G403" s="219"/>
    </row>
    <row r="404">
      <c r="A404" s="218">
        <f t="shared" si="1"/>
        <v>403</v>
      </c>
      <c r="B404" s="218" t="s">
        <v>200</v>
      </c>
      <c r="C404" s="218" t="s">
        <v>2124</v>
      </c>
      <c r="D404" s="218" t="b">
        <v>1</v>
      </c>
      <c r="E404" s="219" t="b">
        <v>0</v>
      </c>
      <c r="F404" s="219" t="b">
        <v>0</v>
      </c>
      <c r="G404" s="219"/>
    </row>
    <row r="405">
      <c r="A405" s="218">
        <f t="shared" si="1"/>
        <v>404</v>
      </c>
      <c r="B405" s="218" t="s">
        <v>200</v>
      </c>
      <c r="C405" s="218" t="s">
        <v>3025</v>
      </c>
      <c r="D405" s="218" t="b">
        <v>1</v>
      </c>
      <c r="E405" s="219" t="b">
        <v>0</v>
      </c>
      <c r="F405" s="219" t="b">
        <v>0</v>
      </c>
      <c r="G405" s="219"/>
    </row>
    <row r="406">
      <c r="A406" s="218">
        <f t="shared" si="1"/>
        <v>405</v>
      </c>
      <c r="B406" s="218" t="s">
        <v>200</v>
      </c>
      <c r="C406" s="218" t="s">
        <v>4730</v>
      </c>
      <c r="D406" s="218" t="b">
        <v>1</v>
      </c>
      <c r="E406" s="219" t="b">
        <v>0</v>
      </c>
      <c r="F406" s="219" t="b">
        <v>0</v>
      </c>
      <c r="G406" s="219"/>
    </row>
    <row r="407">
      <c r="A407" s="218">
        <f t="shared" si="1"/>
        <v>406</v>
      </c>
      <c r="B407" s="218" t="s">
        <v>200</v>
      </c>
      <c r="C407" s="218" t="s">
        <v>4711</v>
      </c>
      <c r="D407" s="218" t="b">
        <v>1</v>
      </c>
      <c r="E407" s="219" t="b">
        <v>0</v>
      </c>
      <c r="F407" s="219" t="b">
        <v>0</v>
      </c>
      <c r="G407" s="219"/>
    </row>
    <row r="408">
      <c r="A408" s="218">
        <f t="shared" si="1"/>
        <v>407</v>
      </c>
      <c r="B408" s="218" t="s">
        <v>200</v>
      </c>
      <c r="C408" s="218" t="s">
        <v>4561</v>
      </c>
      <c r="D408" s="218" t="b">
        <v>1</v>
      </c>
      <c r="E408" s="219" t="b">
        <v>0</v>
      </c>
      <c r="F408" s="219" t="b">
        <v>0</v>
      </c>
      <c r="G408" s="219"/>
    </row>
    <row r="409">
      <c r="A409" s="218">
        <f t="shared" si="1"/>
        <v>408</v>
      </c>
      <c r="B409" s="218" t="s">
        <v>200</v>
      </c>
      <c r="C409" s="218" t="s">
        <v>2107</v>
      </c>
      <c r="D409" s="218" t="b">
        <v>1</v>
      </c>
      <c r="E409" s="219" t="b">
        <v>0</v>
      </c>
      <c r="F409" s="219" t="b">
        <v>0</v>
      </c>
      <c r="G409" s="219"/>
    </row>
    <row r="410">
      <c r="A410" s="218">
        <f t="shared" si="1"/>
        <v>409</v>
      </c>
      <c r="B410" s="218" t="s">
        <v>200</v>
      </c>
      <c r="C410" s="218" t="s">
        <v>6492</v>
      </c>
      <c r="D410" s="218" t="b">
        <v>1</v>
      </c>
      <c r="E410" s="219" t="b">
        <v>0</v>
      </c>
      <c r="F410" s="219" t="b">
        <v>0</v>
      </c>
      <c r="G410" s="219"/>
    </row>
    <row r="411">
      <c r="A411" s="218">
        <f t="shared" si="1"/>
        <v>410</v>
      </c>
      <c r="B411" s="218" t="s">
        <v>200</v>
      </c>
      <c r="C411" s="218" t="s">
        <v>1829</v>
      </c>
      <c r="D411" s="218" t="b">
        <v>1</v>
      </c>
      <c r="E411" s="219" t="b">
        <v>0</v>
      </c>
      <c r="F411" s="219" t="b">
        <v>0</v>
      </c>
      <c r="G411" s="219"/>
    </row>
    <row r="412">
      <c r="A412" s="218">
        <f t="shared" si="1"/>
        <v>411</v>
      </c>
      <c r="B412" s="218" t="s">
        <v>200</v>
      </c>
      <c r="C412" s="218" t="s">
        <v>606</v>
      </c>
      <c r="D412" s="218" t="b">
        <v>1</v>
      </c>
      <c r="E412" s="219" t="b">
        <v>0</v>
      </c>
      <c r="F412" s="219" t="b">
        <v>0</v>
      </c>
      <c r="G412" s="219"/>
    </row>
    <row r="413">
      <c r="A413" s="218">
        <f t="shared" si="1"/>
        <v>412</v>
      </c>
      <c r="B413" s="218" t="s">
        <v>200</v>
      </c>
      <c r="C413" s="218" t="s">
        <v>2142</v>
      </c>
      <c r="D413" s="218" t="b">
        <v>1</v>
      </c>
      <c r="E413" s="219" t="b">
        <v>0</v>
      </c>
      <c r="F413" s="219" t="b">
        <v>0</v>
      </c>
      <c r="G413" s="219"/>
    </row>
    <row r="414">
      <c r="A414" s="218">
        <f t="shared" si="1"/>
        <v>413</v>
      </c>
      <c r="B414" s="218" t="s">
        <v>200</v>
      </c>
      <c r="C414" s="218" t="s">
        <v>4591</v>
      </c>
      <c r="D414" s="218" t="b">
        <v>1</v>
      </c>
      <c r="E414" s="219" t="b">
        <v>0</v>
      </c>
      <c r="F414" s="219" t="b">
        <v>0</v>
      </c>
      <c r="G414" s="219"/>
    </row>
    <row r="415">
      <c r="A415" s="218">
        <f t="shared" si="1"/>
        <v>414</v>
      </c>
      <c r="B415" s="218" t="s">
        <v>200</v>
      </c>
      <c r="C415" s="218" t="s">
        <v>6493</v>
      </c>
      <c r="D415" s="218" t="b">
        <v>1</v>
      </c>
      <c r="E415" s="219" t="b">
        <v>0</v>
      </c>
      <c r="F415" s="219" t="b">
        <v>0</v>
      </c>
      <c r="G415" s="219"/>
    </row>
    <row r="416">
      <c r="A416" s="218">
        <f t="shared" si="1"/>
        <v>415</v>
      </c>
      <c r="B416" s="218" t="s">
        <v>200</v>
      </c>
      <c r="C416" s="218" t="s">
        <v>1885</v>
      </c>
      <c r="D416" s="218" t="b">
        <v>1</v>
      </c>
      <c r="E416" s="219" t="b">
        <v>0</v>
      </c>
      <c r="F416" s="219" t="b">
        <v>0</v>
      </c>
      <c r="G416" s="219"/>
    </row>
    <row r="417">
      <c r="A417" s="218">
        <f t="shared" si="1"/>
        <v>416</v>
      </c>
      <c r="B417" s="218" t="s">
        <v>200</v>
      </c>
      <c r="C417" s="218" t="s">
        <v>4998</v>
      </c>
      <c r="D417" s="218" t="b">
        <v>1</v>
      </c>
      <c r="E417" s="219" t="b">
        <v>0</v>
      </c>
      <c r="F417" s="219" t="b">
        <v>0</v>
      </c>
      <c r="G417" s="219"/>
    </row>
    <row r="418">
      <c r="A418" s="218">
        <f t="shared" si="1"/>
        <v>417</v>
      </c>
      <c r="B418" s="218" t="s">
        <v>200</v>
      </c>
      <c r="C418" s="218" t="s">
        <v>6494</v>
      </c>
      <c r="D418" s="218" t="b">
        <v>1</v>
      </c>
      <c r="E418" s="219" t="b">
        <v>0</v>
      </c>
      <c r="F418" s="219" t="b">
        <v>0</v>
      </c>
      <c r="G418" s="219"/>
    </row>
    <row r="419">
      <c r="A419" s="218">
        <f t="shared" si="1"/>
        <v>418</v>
      </c>
      <c r="B419" s="218" t="s">
        <v>200</v>
      </c>
      <c r="C419" s="218" t="s">
        <v>2739</v>
      </c>
      <c r="D419" s="218" t="b">
        <v>1</v>
      </c>
      <c r="E419" s="219" t="b">
        <v>0</v>
      </c>
      <c r="F419" s="219" t="b">
        <v>0</v>
      </c>
      <c r="G419" s="219"/>
    </row>
    <row r="420">
      <c r="A420" s="218">
        <f t="shared" si="1"/>
        <v>419</v>
      </c>
      <c r="B420" s="218" t="s">
        <v>200</v>
      </c>
      <c r="C420" s="218" t="s">
        <v>4853</v>
      </c>
      <c r="D420" s="218" t="b">
        <v>1</v>
      </c>
      <c r="E420" s="219" t="b">
        <v>0</v>
      </c>
      <c r="F420" s="219" t="b">
        <v>0</v>
      </c>
      <c r="G420" s="219"/>
    </row>
    <row r="421">
      <c r="A421" s="218">
        <f t="shared" si="1"/>
        <v>420</v>
      </c>
      <c r="B421" s="218" t="s">
        <v>200</v>
      </c>
      <c r="C421" s="218" t="s">
        <v>2104</v>
      </c>
      <c r="D421" s="218" t="b">
        <v>1</v>
      </c>
      <c r="E421" s="219" t="b">
        <v>0</v>
      </c>
      <c r="F421" s="219" t="b">
        <v>0</v>
      </c>
      <c r="G421" s="219"/>
    </row>
    <row r="422">
      <c r="A422" s="218">
        <f t="shared" si="1"/>
        <v>421</v>
      </c>
      <c r="B422" s="218" t="s">
        <v>200</v>
      </c>
      <c r="C422" s="218" t="s">
        <v>3136</v>
      </c>
      <c r="D422" s="218" t="b">
        <v>1</v>
      </c>
      <c r="E422" s="219" t="b">
        <v>0</v>
      </c>
      <c r="F422" s="219" t="b">
        <v>0</v>
      </c>
      <c r="G422" s="219"/>
    </row>
    <row r="423">
      <c r="A423" s="218">
        <f t="shared" si="1"/>
        <v>422</v>
      </c>
      <c r="B423" s="218" t="s">
        <v>200</v>
      </c>
      <c r="C423" s="218" t="s">
        <v>4320</v>
      </c>
      <c r="D423" s="218" t="b">
        <v>1</v>
      </c>
      <c r="E423" s="219" t="b">
        <v>0</v>
      </c>
      <c r="F423" s="219" t="b">
        <v>0</v>
      </c>
      <c r="G423" s="219"/>
    </row>
    <row r="424">
      <c r="A424" s="218">
        <f t="shared" si="1"/>
        <v>423</v>
      </c>
      <c r="B424" s="218" t="s">
        <v>200</v>
      </c>
      <c r="C424" s="218" t="s">
        <v>2018</v>
      </c>
      <c r="D424" s="218" t="b">
        <v>1</v>
      </c>
      <c r="E424" s="219" t="b">
        <v>0</v>
      </c>
      <c r="F424" s="219" t="b">
        <v>0</v>
      </c>
      <c r="G424" s="219"/>
    </row>
    <row r="425">
      <c r="A425" s="218">
        <f t="shared" si="1"/>
        <v>424</v>
      </c>
      <c r="B425" s="218" t="s">
        <v>200</v>
      </c>
      <c r="C425" s="218" t="s">
        <v>2488</v>
      </c>
      <c r="D425" s="218" t="b">
        <v>1</v>
      </c>
      <c r="E425" s="219" t="b">
        <v>0</v>
      </c>
      <c r="F425" s="219" t="b">
        <v>0</v>
      </c>
      <c r="G425" s="219"/>
    </row>
    <row r="426">
      <c r="A426" s="218">
        <f t="shared" si="1"/>
        <v>425</v>
      </c>
      <c r="B426" s="218" t="s">
        <v>200</v>
      </c>
      <c r="C426" s="218" t="s">
        <v>2564</v>
      </c>
      <c r="D426" s="218" t="b">
        <v>1</v>
      </c>
      <c r="E426" s="219" t="b">
        <v>0</v>
      </c>
      <c r="F426" s="219" t="b">
        <v>0</v>
      </c>
      <c r="G426" s="219"/>
    </row>
    <row r="427">
      <c r="A427" s="218">
        <f t="shared" si="1"/>
        <v>426</v>
      </c>
      <c r="B427" s="218" t="s">
        <v>200</v>
      </c>
      <c r="C427" s="218" t="s">
        <v>2725</v>
      </c>
      <c r="D427" s="218" t="b">
        <v>1</v>
      </c>
      <c r="E427" s="219" t="b">
        <v>0</v>
      </c>
      <c r="F427" s="219" t="b">
        <v>0</v>
      </c>
      <c r="G427" s="219"/>
    </row>
    <row r="428">
      <c r="A428" s="218">
        <f t="shared" si="1"/>
        <v>427</v>
      </c>
      <c r="B428" s="218" t="s">
        <v>200</v>
      </c>
      <c r="C428" s="218" t="s">
        <v>6495</v>
      </c>
      <c r="D428" s="218" t="b">
        <v>1</v>
      </c>
      <c r="E428" s="219" t="b">
        <v>0</v>
      </c>
      <c r="F428" s="219" t="b">
        <v>0</v>
      </c>
      <c r="G428" s="219"/>
    </row>
    <row r="429">
      <c r="A429" s="218">
        <f t="shared" si="1"/>
        <v>428</v>
      </c>
      <c r="B429" s="218" t="s">
        <v>200</v>
      </c>
      <c r="C429" s="218" t="s">
        <v>5512</v>
      </c>
      <c r="D429" s="218" t="b">
        <v>1</v>
      </c>
      <c r="E429" s="219" t="b">
        <v>0</v>
      </c>
      <c r="F429" s="219" t="b">
        <v>0</v>
      </c>
      <c r="G429" s="219"/>
    </row>
    <row r="430">
      <c r="A430" s="218">
        <f t="shared" si="1"/>
        <v>429</v>
      </c>
      <c r="B430" s="218" t="s">
        <v>200</v>
      </c>
      <c r="C430" s="218" t="s">
        <v>4533</v>
      </c>
      <c r="D430" s="218" t="b">
        <v>1</v>
      </c>
      <c r="E430" s="219" t="b">
        <v>0</v>
      </c>
      <c r="F430" s="219" t="b">
        <v>0</v>
      </c>
      <c r="G430" s="219"/>
    </row>
    <row r="431">
      <c r="A431" s="218">
        <f t="shared" si="1"/>
        <v>430</v>
      </c>
      <c r="B431" s="218" t="s">
        <v>200</v>
      </c>
      <c r="C431" s="218" t="s">
        <v>1925</v>
      </c>
      <c r="D431" s="218" t="b">
        <v>1</v>
      </c>
      <c r="E431" s="219" t="b">
        <v>0</v>
      </c>
      <c r="F431" s="219" t="b">
        <v>0</v>
      </c>
      <c r="G431" s="219"/>
    </row>
    <row r="432">
      <c r="A432" s="218">
        <f t="shared" si="1"/>
        <v>431</v>
      </c>
      <c r="B432" s="218" t="s">
        <v>200</v>
      </c>
      <c r="C432" s="218" t="s">
        <v>4956</v>
      </c>
      <c r="D432" s="218" t="b">
        <v>1</v>
      </c>
      <c r="E432" s="219" t="b">
        <v>0</v>
      </c>
      <c r="F432" s="219" t="b">
        <v>0</v>
      </c>
      <c r="G432" s="219"/>
    </row>
    <row r="433">
      <c r="A433" s="218">
        <f t="shared" si="1"/>
        <v>432</v>
      </c>
      <c r="B433" s="218" t="s">
        <v>200</v>
      </c>
      <c r="C433" s="218" t="s">
        <v>2449</v>
      </c>
      <c r="D433" s="218" t="b">
        <v>1</v>
      </c>
      <c r="E433" s="219" t="b">
        <v>0</v>
      </c>
      <c r="F433" s="219" t="b">
        <v>0</v>
      </c>
      <c r="G433" s="219"/>
    </row>
    <row r="434">
      <c r="A434" s="218">
        <f t="shared" si="1"/>
        <v>433</v>
      </c>
      <c r="B434" s="218" t="s">
        <v>200</v>
      </c>
      <c r="C434" s="218" t="s">
        <v>2555</v>
      </c>
      <c r="D434" s="218" t="b">
        <v>1</v>
      </c>
      <c r="E434" s="219" t="b">
        <v>0</v>
      </c>
      <c r="F434" s="219" t="b">
        <v>0</v>
      </c>
      <c r="G434" s="219"/>
    </row>
    <row r="435">
      <c r="A435" s="218">
        <f t="shared" si="1"/>
        <v>434</v>
      </c>
      <c r="B435" s="218" t="s">
        <v>200</v>
      </c>
      <c r="C435" s="218" t="s">
        <v>4876</v>
      </c>
      <c r="D435" s="218" t="b">
        <v>1</v>
      </c>
      <c r="E435" s="219" t="b">
        <v>0</v>
      </c>
      <c r="F435" s="219" t="b">
        <v>0</v>
      </c>
      <c r="G435" s="219"/>
    </row>
    <row r="436">
      <c r="A436" s="218">
        <f t="shared" si="1"/>
        <v>435</v>
      </c>
      <c r="B436" s="218" t="s">
        <v>200</v>
      </c>
      <c r="C436" s="218" t="s">
        <v>5480</v>
      </c>
      <c r="D436" s="218" t="b">
        <v>1</v>
      </c>
      <c r="E436" s="219" t="b">
        <v>0</v>
      </c>
      <c r="F436" s="219" t="b">
        <v>0</v>
      </c>
      <c r="G436" s="219"/>
    </row>
    <row r="437">
      <c r="A437" s="218">
        <f t="shared" si="1"/>
        <v>436</v>
      </c>
      <c r="B437" s="218" t="s">
        <v>200</v>
      </c>
      <c r="C437" s="218" t="s">
        <v>2681</v>
      </c>
      <c r="D437" s="218" t="b">
        <v>1</v>
      </c>
      <c r="E437" s="219" t="b">
        <v>0</v>
      </c>
      <c r="F437" s="219" t="b">
        <v>0</v>
      </c>
      <c r="G437" s="219"/>
    </row>
    <row r="438">
      <c r="A438" s="218">
        <f t="shared" si="1"/>
        <v>437</v>
      </c>
      <c r="B438" s="218" t="s">
        <v>200</v>
      </c>
      <c r="C438" s="218" t="s">
        <v>2569</v>
      </c>
      <c r="D438" s="218" t="b">
        <v>1</v>
      </c>
      <c r="E438" s="219" t="b">
        <v>0</v>
      </c>
      <c r="F438" s="219" t="b">
        <v>0</v>
      </c>
      <c r="G438" s="219"/>
    </row>
    <row r="439">
      <c r="A439" s="218">
        <f t="shared" si="1"/>
        <v>438</v>
      </c>
      <c r="B439" s="218" t="s">
        <v>200</v>
      </c>
      <c r="C439" s="218" t="s">
        <v>4134</v>
      </c>
      <c r="D439" s="218" t="b">
        <v>1</v>
      </c>
      <c r="E439" s="219" t="b">
        <v>0</v>
      </c>
      <c r="F439" s="219" t="b">
        <v>0</v>
      </c>
      <c r="G439" s="219"/>
    </row>
    <row r="440">
      <c r="A440" s="218">
        <f t="shared" si="1"/>
        <v>439</v>
      </c>
      <c r="B440" s="218" t="s">
        <v>200</v>
      </c>
      <c r="C440" s="218" t="s">
        <v>5081</v>
      </c>
      <c r="D440" s="218" t="b">
        <v>1</v>
      </c>
      <c r="E440" s="219" t="b">
        <v>0</v>
      </c>
      <c r="F440" s="219" t="b">
        <v>0</v>
      </c>
      <c r="G440" s="219"/>
    </row>
    <row r="441">
      <c r="A441" s="218">
        <f t="shared" si="1"/>
        <v>440</v>
      </c>
      <c r="B441" s="218" t="s">
        <v>200</v>
      </c>
      <c r="C441" s="218" t="s">
        <v>479</v>
      </c>
      <c r="D441" s="218" t="b">
        <v>1</v>
      </c>
      <c r="E441" s="219" t="b">
        <v>0</v>
      </c>
      <c r="F441" s="219" t="b">
        <v>0</v>
      </c>
      <c r="G441" s="219"/>
    </row>
    <row r="442">
      <c r="A442" s="218">
        <f t="shared" si="1"/>
        <v>441</v>
      </c>
      <c r="B442" s="218" t="s">
        <v>200</v>
      </c>
      <c r="C442" s="218" t="s">
        <v>5452</v>
      </c>
      <c r="D442" s="218" t="b">
        <v>1</v>
      </c>
      <c r="E442" s="219" t="b">
        <v>0</v>
      </c>
      <c r="F442" s="219" t="b">
        <v>0</v>
      </c>
      <c r="G442" s="219"/>
    </row>
    <row r="443">
      <c r="A443" s="218">
        <f t="shared" si="1"/>
        <v>442</v>
      </c>
      <c r="B443" s="218" t="s">
        <v>200</v>
      </c>
      <c r="C443" s="218" t="s">
        <v>3436</v>
      </c>
      <c r="D443" s="218" t="b">
        <v>1</v>
      </c>
      <c r="E443" s="219" t="b">
        <v>0</v>
      </c>
      <c r="F443" s="219" t="b">
        <v>0</v>
      </c>
      <c r="G443" s="219"/>
    </row>
    <row r="444">
      <c r="A444" s="218">
        <f t="shared" si="1"/>
        <v>443</v>
      </c>
      <c r="B444" s="218" t="s">
        <v>200</v>
      </c>
      <c r="C444" s="218" t="s">
        <v>1480</v>
      </c>
      <c r="D444" s="218" t="b">
        <v>1</v>
      </c>
      <c r="E444" s="219" t="b">
        <v>0</v>
      </c>
      <c r="F444" s="219" t="b">
        <v>0</v>
      </c>
      <c r="G444" s="219"/>
    </row>
    <row r="445">
      <c r="A445" s="218">
        <f t="shared" si="1"/>
        <v>444</v>
      </c>
      <c r="B445" s="218" t="s">
        <v>200</v>
      </c>
      <c r="C445" s="218" t="s">
        <v>2795</v>
      </c>
      <c r="D445" s="218" t="b">
        <v>1</v>
      </c>
      <c r="E445" s="219" t="b">
        <v>0</v>
      </c>
      <c r="F445" s="219" t="b">
        <v>0</v>
      </c>
      <c r="G445" s="219"/>
    </row>
    <row r="446">
      <c r="A446" s="218">
        <f t="shared" si="1"/>
        <v>445</v>
      </c>
      <c r="B446" s="218" t="s">
        <v>200</v>
      </c>
      <c r="C446" s="218" t="s">
        <v>5458</v>
      </c>
      <c r="D446" s="218" t="b">
        <v>1</v>
      </c>
      <c r="E446" s="219" t="b">
        <v>0</v>
      </c>
      <c r="F446" s="219" t="b">
        <v>0</v>
      </c>
      <c r="G446" s="219"/>
    </row>
    <row r="447">
      <c r="A447" s="218">
        <f t="shared" si="1"/>
        <v>446</v>
      </c>
      <c r="B447" s="218" t="s">
        <v>200</v>
      </c>
      <c r="C447" s="218" t="s">
        <v>4615</v>
      </c>
      <c r="D447" s="218" t="b">
        <v>1</v>
      </c>
      <c r="E447" s="219" t="b">
        <v>0</v>
      </c>
      <c r="F447" s="219" t="b">
        <v>0</v>
      </c>
      <c r="G447" s="219"/>
    </row>
    <row r="448">
      <c r="A448" s="218">
        <f t="shared" si="1"/>
        <v>447</v>
      </c>
      <c r="B448" s="218" t="s">
        <v>200</v>
      </c>
      <c r="C448" s="218" t="s">
        <v>2799</v>
      </c>
      <c r="D448" s="218" t="b">
        <v>1</v>
      </c>
      <c r="E448" s="219" t="b">
        <v>0</v>
      </c>
      <c r="F448" s="219" t="b">
        <v>0</v>
      </c>
      <c r="G448" s="219"/>
    </row>
    <row r="449">
      <c r="A449" s="218">
        <f t="shared" si="1"/>
        <v>448</v>
      </c>
      <c r="B449" s="218" t="s">
        <v>200</v>
      </c>
      <c r="C449" s="218" t="s">
        <v>4641</v>
      </c>
      <c r="D449" s="218" t="b">
        <v>1</v>
      </c>
      <c r="E449" s="219" t="b">
        <v>0</v>
      </c>
      <c r="F449" s="219" t="b">
        <v>0</v>
      </c>
      <c r="G449" s="219"/>
    </row>
    <row r="450">
      <c r="A450" s="218">
        <f t="shared" si="1"/>
        <v>449</v>
      </c>
      <c r="B450" s="218" t="s">
        <v>200</v>
      </c>
      <c r="C450" s="218" t="s">
        <v>5437</v>
      </c>
      <c r="D450" s="218" t="b">
        <v>1</v>
      </c>
      <c r="E450" s="219" t="b">
        <v>0</v>
      </c>
      <c r="F450" s="219" t="b">
        <v>0</v>
      </c>
      <c r="G450" s="219"/>
    </row>
    <row r="451">
      <c r="A451" s="218">
        <f t="shared" si="1"/>
        <v>450</v>
      </c>
      <c r="B451" s="218" t="s">
        <v>200</v>
      </c>
      <c r="C451" s="218" t="s">
        <v>2985</v>
      </c>
      <c r="D451" s="218" t="b">
        <v>1</v>
      </c>
      <c r="E451" s="219" t="b">
        <v>0</v>
      </c>
      <c r="F451" s="219" t="b">
        <v>0</v>
      </c>
      <c r="G451" s="219"/>
    </row>
    <row r="452">
      <c r="A452" s="218">
        <f t="shared" si="1"/>
        <v>451</v>
      </c>
      <c r="B452" s="218" t="s">
        <v>200</v>
      </c>
      <c r="C452" s="218" t="s">
        <v>3451</v>
      </c>
      <c r="D452" s="218" t="b">
        <v>1</v>
      </c>
      <c r="E452" s="219" t="b">
        <v>0</v>
      </c>
      <c r="F452" s="219" t="b">
        <v>0</v>
      </c>
      <c r="G452" s="219"/>
    </row>
    <row r="453">
      <c r="A453" s="218">
        <f t="shared" si="1"/>
        <v>452</v>
      </c>
      <c r="B453" s="218" t="s">
        <v>200</v>
      </c>
      <c r="C453" s="218" t="s">
        <v>1331</v>
      </c>
      <c r="D453" s="218" t="b">
        <v>1</v>
      </c>
      <c r="E453" s="219" t="b">
        <v>0</v>
      </c>
      <c r="F453" s="219" t="b">
        <v>0</v>
      </c>
      <c r="G453" s="219"/>
    </row>
    <row r="454">
      <c r="A454" s="218">
        <f t="shared" si="1"/>
        <v>453</v>
      </c>
      <c r="B454" s="218" t="s">
        <v>200</v>
      </c>
      <c r="C454" s="218" t="s">
        <v>1331</v>
      </c>
      <c r="D454" s="218" t="b">
        <v>1</v>
      </c>
      <c r="E454" s="219" t="b">
        <v>0</v>
      </c>
      <c r="F454" s="219" t="b">
        <v>0</v>
      </c>
      <c r="G454" s="219"/>
    </row>
    <row r="455">
      <c r="A455" s="218">
        <f t="shared" si="1"/>
        <v>454</v>
      </c>
      <c r="B455" s="218" t="s">
        <v>200</v>
      </c>
      <c r="C455" s="218" t="s">
        <v>1498</v>
      </c>
      <c r="D455" s="218" t="b">
        <v>1</v>
      </c>
      <c r="E455" s="219" t="b">
        <v>0</v>
      </c>
      <c r="F455" s="219" t="b">
        <v>0</v>
      </c>
      <c r="G455" s="219"/>
    </row>
    <row r="456">
      <c r="A456" s="218">
        <f t="shared" si="1"/>
        <v>455</v>
      </c>
      <c r="B456" s="218" t="s">
        <v>200</v>
      </c>
      <c r="C456" s="218" t="s">
        <v>717</v>
      </c>
      <c r="D456" s="218" t="b">
        <v>1</v>
      </c>
      <c r="E456" s="219" t="b">
        <v>0</v>
      </c>
      <c r="F456" s="219" t="b">
        <v>0</v>
      </c>
      <c r="G456" s="219"/>
    </row>
    <row r="457">
      <c r="A457" s="218">
        <f t="shared" si="1"/>
        <v>456</v>
      </c>
      <c r="B457" s="218" t="s">
        <v>200</v>
      </c>
      <c r="C457" s="218" t="s">
        <v>4976</v>
      </c>
      <c r="D457" s="218" t="b">
        <v>1</v>
      </c>
      <c r="E457" s="219" t="b">
        <v>0</v>
      </c>
      <c r="F457" s="219" t="b">
        <v>0</v>
      </c>
      <c r="G457" s="219"/>
    </row>
    <row r="458">
      <c r="A458" s="218">
        <f t="shared" si="1"/>
        <v>457</v>
      </c>
      <c r="B458" s="218" t="s">
        <v>200</v>
      </c>
      <c r="C458" s="218" t="s">
        <v>2590</v>
      </c>
      <c r="D458" s="218" t="b">
        <v>1</v>
      </c>
      <c r="E458" s="219" t="b">
        <v>0</v>
      </c>
      <c r="F458" s="219" t="b">
        <v>0</v>
      </c>
      <c r="G458" s="219"/>
    </row>
    <row r="459">
      <c r="A459" s="218">
        <f t="shared" si="1"/>
        <v>458</v>
      </c>
      <c r="B459" s="218" t="s">
        <v>200</v>
      </c>
      <c r="C459" s="218" t="s">
        <v>5225</v>
      </c>
      <c r="D459" s="218" t="b">
        <v>1</v>
      </c>
      <c r="E459" s="219" t="b">
        <v>0</v>
      </c>
      <c r="F459" s="219" t="b">
        <v>0</v>
      </c>
      <c r="G459" s="219"/>
    </row>
    <row r="460">
      <c r="A460" s="218">
        <f t="shared" si="1"/>
        <v>459</v>
      </c>
      <c r="B460" s="218" t="s">
        <v>200</v>
      </c>
      <c r="C460" s="218" t="s">
        <v>3079</v>
      </c>
      <c r="D460" s="218" t="b">
        <v>1</v>
      </c>
      <c r="E460" s="219" t="b">
        <v>0</v>
      </c>
      <c r="F460" s="219" t="b">
        <v>0</v>
      </c>
      <c r="G460" s="219"/>
    </row>
    <row r="461">
      <c r="A461" s="218">
        <f t="shared" si="1"/>
        <v>460</v>
      </c>
      <c r="B461" s="218" t="s">
        <v>200</v>
      </c>
      <c r="C461" s="218" t="s">
        <v>2715</v>
      </c>
      <c r="D461" s="218" t="b">
        <v>1</v>
      </c>
      <c r="E461" s="219" t="b">
        <v>0</v>
      </c>
      <c r="F461" s="219" t="b">
        <v>0</v>
      </c>
      <c r="G461" s="219"/>
    </row>
    <row r="462">
      <c r="A462" s="218">
        <f t="shared" si="1"/>
        <v>461</v>
      </c>
      <c r="B462" s="218" t="s">
        <v>200</v>
      </c>
      <c r="C462" s="218" t="s">
        <v>5143</v>
      </c>
      <c r="D462" s="218" t="b">
        <v>1</v>
      </c>
      <c r="E462" s="219" t="b">
        <v>0</v>
      </c>
      <c r="F462" s="219" t="b">
        <v>0</v>
      </c>
      <c r="G462" s="219"/>
    </row>
    <row r="463">
      <c r="A463" s="218">
        <f t="shared" si="1"/>
        <v>462</v>
      </c>
      <c r="B463" s="218" t="s">
        <v>200</v>
      </c>
      <c r="C463" s="218" t="s">
        <v>1503</v>
      </c>
      <c r="D463" s="218" t="b">
        <v>1</v>
      </c>
      <c r="E463" s="219" t="b">
        <v>0</v>
      </c>
      <c r="F463" s="219" t="b">
        <v>0</v>
      </c>
      <c r="G463" s="219"/>
    </row>
    <row r="464">
      <c r="A464" s="218">
        <f t="shared" si="1"/>
        <v>463</v>
      </c>
      <c r="B464" s="218" t="s">
        <v>200</v>
      </c>
      <c r="C464" s="218" t="s">
        <v>385</v>
      </c>
      <c r="D464" s="218" t="b">
        <v>1</v>
      </c>
      <c r="E464" s="219" t="b">
        <v>0</v>
      </c>
      <c r="F464" s="219" t="b">
        <v>0</v>
      </c>
      <c r="G464" s="219"/>
    </row>
    <row r="465">
      <c r="A465" s="218">
        <f t="shared" si="1"/>
        <v>464</v>
      </c>
      <c r="B465" s="218" t="s">
        <v>200</v>
      </c>
      <c r="C465" s="218" t="s">
        <v>4094</v>
      </c>
      <c r="D465" s="218" t="b">
        <v>1</v>
      </c>
      <c r="E465" s="219" t="b">
        <v>0</v>
      </c>
      <c r="F465" s="219" t="b">
        <v>0</v>
      </c>
      <c r="G465" s="219"/>
    </row>
    <row r="466">
      <c r="A466" s="218">
        <f t="shared" si="1"/>
        <v>465</v>
      </c>
      <c r="B466" s="218" t="s">
        <v>200</v>
      </c>
      <c r="C466" s="218" t="s">
        <v>5179</v>
      </c>
      <c r="D466" s="218" t="b">
        <v>1</v>
      </c>
      <c r="E466" s="219" t="b">
        <v>0</v>
      </c>
      <c r="F466" s="219" t="b">
        <v>0</v>
      </c>
      <c r="G466" s="219"/>
    </row>
    <row r="467">
      <c r="A467" s="218">
        <f t="shared" si="1"/>
        <v>466</v>
      </c>
      <c r="B467" s="218" t="s">
        <v>200</v>
      </c>
      <c r="C467" s="218" t="s">
        <v>3602</v>
      </c>
      <c r="D467" s="218" t="b">
        <v>1</v>
      </c>
      <c r="E467" s="219" t="b">
        <v>0</v>
      </c>
      <c r="F467" s="219" t="b">
        <v>0</v>
      </c>
      <c r="G467" s="219"/>
    </row>
    <row r="468">
      <c r="A468" s="218">
        <f t="shared" si="1"/>
        <v>467</v>
      </c>
      <c r="B468" s="218" t="s">
        <v>200</v>
      </c>
      <c r="C468" s="218" t="s">
        <v>2662</v>
      </c>
      <c r="D468" s="218" t="b">
        <v>1</v>
      </c>
      <c r="E468" s="219" t="b">
        <v>0</v>
      </c>
      <c r="F468" s="219" t="b">
        <v>0</v>
      </c>
      <c r="G468" s="219"/>
    </row>
    <row r="469">
      <c r="A469" s="218">
        <f t="shared" si="1"/>
        <v>468</v>
      </c>
      <c r="B469" s="218" t="s">
        <v>200</v>
      </c>
      <c r="C469" s="218" t="s">
        <v>4971</v>
      </c>
      <c r="D469" s="218" t="b">
        <v>1</v>
      </c>
      <c r="E469" s="219" t="b">
        <v>0</v>
      </c>
      <c r="F469" s="219" t="b">
        <v>0</v>
      </c>
      <c r="G469" s="219"/>
    </row>
    <row r="470">
      <c r="A470" s="218">
        <f t="shared" si="1"/>
        <v>469</v>
      </c>
      <c r="B470" s="218" t="s">
        <v>200</v>
      </c>
      <c r="C470" s="218" t="s">
        <v>509</v>
      </c>
      <c r="D470" s="218" t="b">
        <v>1</v>
      </c>
      <c r="E470" s="219" t="b">
        <v>0</v>
      </c>
      <c r="F470" s="219" t="b">
        <v>0</v>
      </c>
      <c r="G470" s="219"/>
    </row>
    <row r="471">
      <c r="A471" s="218">
        <f t="shared" si="1"/>
        <v>470</v>
      </c>
      <c r="B471" s="218" t="s">
        <v>200</v>
      </c>
      <c r="C471" s="218" t="s">
        <v>3985</v>
      </c>
      <c r="D471" s="218" t="b">
        <v>1</v>
      </c>
      <c r="E471" s="219" t="b">
        <v>0</v>
      </c>
      <c r="F471" s="219" t="b">
        <v>0</v>
      </c>
      <c r="G471" s="219"/>
    </row>
    <row r="472">
      <c r="A472" s="218">
        <f t="shared" si="1"/>
        <v>471</v>
      </c>
      <c r="B472" s="218" t="s">
        <v>200</v>
      </c>
      <c r="C472" s="218" t="s">
        <v>644</v>
      </c>
      <c r="D472" s="218" t="b">
        <v>1</v>
      </c>
      <c r="E472" s="219" t="b">
        <v>0</v>
      </c>
      <c r="F472" s="219" t="b">
        <v>0</v>
      </c>
      <c r="G472" s="219"/>
    </row>
    <row r="473">
      <c r="A473" s="218">
        <f t="shared" si="1"/>
        <v>472</v>
      </c>
      <c r="B473" s="218" t="s">
        <v>200</v>
      </c>
      <c r="C473" s="218" t="s">
        <v>3378</v>
      </c>
      <c r="D473" s="218" t="b">
        <v>1</v>
      </c>
      <c r="E473" s="219" t="b">
        <v>0</v>
      </c>
      <c r="F473" s="219" t="b">
        <v>0</v>
      </c>
      <c r="G473" s="219"/>
    </row>
    <row r="474">
      <c r="A474" s="218">
        <f t="shared" si="1"/>
        <v>473</v>
      </c>
      <c r="B474" s="218" t="s">
        <v>200</v>
      </c>
      <c r="C474" s="218" t="s">
        <v>2032</v>
      </c>
      <c r="D474" s="218" t="b">
        <v>1</v>
      </c>
      <c r="E474" s="219" t="b">
        <v>0</v>
      </c>
      <c r="F474" s="219" t="b">
        <v>0</v>
      </c>
      <c r="G474" s="219"/>
    </row>
    <row r="475">
      <c r="A475" s="218">
        <f t="shared" si="1"/>
        <v>474</v>
      </c>
      <c r="B475" s="218" t="s">
        <v>200</v>
      </c>
      <c r="C475" s="218" t="s">
        <v>1802</v>
      </c>
      <c r="D475" s="218" t="b">
        <v>1</v>
      </c>
      <c r="E475" s="219" t="b">
        <v>0</v>
      </c>
      <c r="F475" s="219" t="b">
        <v>0</v>
      </c>
      <c r="G475" s="219"/>
    </row>
    <row r="476">
      <c r="A476" s="218">
        <f t="shared" si="1"/>
        <v>475</v>
      </c>
      <c r="B476" s="218" t="s">
        <v>200</v>
      </c>
      <c r="C476" s="218" t="s">
        <v>712</v>
      </c>
      <c r="D476" s="218" t="b">
        <v>1</v>
      </c>
      <c r="E476" s="219" t="b">
        <v>0</v>
      </c>
      <c r="F476" s="219" t="b">
        <v>0</v>
      </c>
      <c r="G476" s="219"/>
    </row>
    <row r="477">
      <c r="A477" s="218">
        <f t="shared" si="1"/>
        <v>476</v>
      </c>
      <c r="B477" s="218" t="s">
        <v>200</v>
      </c>
      <c r="C477" s="218" t="s">
        <v>400</v>
      </c>
      <c r="D477" s="218" t="b">
        <v>1</v>
      </c>
      <c r="E477" s="219" t="b">
        <v>0</v>
      </c>
      <c r="F477" s="219" t="b">
        <v>0</v>
      </c>
      <c r="G477" s="219"/>
    </row>
    <row r="478">
      <c r="A478" s="218">
        <f t="shared" si="1"/>
        <v>477</v>
      </c>
      <c r="B478" s="218" t="s">
        <v>200</v>
      </c>
      <c r="C478" s="218" t="s">
        <v>2785</v>
      </c>
      <c r="D478" s="218" t="b">
        <v>1</v>
      </c>
      <c r="E478" s="219" t="b">
        <v>0</v>
      </c>
      <c r="F478" s="219" t="b">
        <v>0</v>
      </c>
      <c r="G478" s="219"/>
    </row>
    <row r="479">
      <c r="A479" s="218">
        <f t="shared" si="1"/>
        <v>478</v>
      </c>
      <c r="B479" s="218" t="s">
        <v>200</v>
      </c>
      <c r="C479" s="218" t="s">
        <v>6498</v>
      </c>
      <c r="D479" s="218" t="b">
        <v>1</v>
      </c>
      <c r="E479" s="219" t="b">
        <v>0</v>
      </c>
      <c r="F479" s="219" t="b">
        <v>0</v>
      </c>
      <c r="G479" s="219"/>
    </row>
    <row r="480">
      <c r="A480" s="218">
        <f t="shared" si="1"/>
        <v>479</v>
      </c>
      <c r="B480" s="218" t="s">
        <v>200</v>
      </c>
      <c r="C480" s="218" t="s">
        <v>1008</v>
      </c>
      <c r="D480" s="218" t="b">
        <v>1</v>
      </c>
      <c r="E480" s="219" t="b">
        <v>0</v>
      </c>
      <c r="F480" s="219" t="b">
        <v>0</v>
      </c>
      <c r="G480" s="219"/>
    </row>
    <row r="481">
      <c r="A481" s="218">
        <f t="shared" si="1"/>
        <v>480</v>
      </c>
      <c r="B481" s="218" t="s">
        <v>200</v>
      </c>
      <c r="C481" s="218" t="s">
        <v>3466</v>
      </c>
      <c r="D481" s="218" t="b">
        <v>1</v>
      </c>
      <c r="E481" s="219" t="b">
        <v>0</v>
      </c>
      <c r="F481" s="219" t="b">
        <v>0</v>
      </c>
      <c r="G481" s="219"/>
    </row>
    <row r="482">
      <c r="A482" s="218">
        <f t="shared" si="1"/>
        <v>481</v>
      </c>
      <c r="B482" s="218" t="s">
        <v>200</v>
      </c>
      <c r="C482" s="218" t="s">
        <v>5291</v>
      </c>
      <c r="D482" s="218" t="b">
        <v>1</v>
      </c>
      <c r="E482" s="219" t="b">
        <v>0</v>
      </c>
      <c r="F482" s="219" t="b">
        <v>0</v>
      </c>
      <c r="G482" s="219"/>
    </row>
    <row r="483">
      <c r="A483" s="218">
        <f t="shared" si="1"/>
        <v>482</v>
      </c>
      <c r="B483" s="218" t="s">
        <v>200</v>
      </c>
      <c r="C483" s="218" t="s">
        <v>2440</v>
      </c>
      <c r="D483" s="218" t="b">
        <v>1</v>
      </c>
      <c r="E483" s="219" t="b">
        <v>0</v>
      </c>
      <c r="F483" s="219" t="b">
        <v>0</v>
      </c>
      <c r="G483" s="219"/>
    </row>
    <row r="484">
      <c r="A484" s="218">
        <f t="shared" si="1"/>
        <v>483</v>
      </c>
      <c r="B484" s="218" t="s">
        <v>200</v>
      </c>
      <c r="C484" s="218" t="s">
        <v>766</v>
      </c>
      <c r="D484" s="218" t="b">
        <v>1</v>
      </c>
      <c r="E484" s="219" t="b">
        <v>0</v>
      </c>
      <c r="F484" s="219" t="b">
        <v>0</v>
      </c>
      <c r="G484" s="219"/>
    </row>
    <row r="485">
      <c r="A485" s="218">
        <f t="shared" si="1"/>
        <v>484</v>
      </c>
      <c r="B485" s="218" t="s">
        <v>200</v>
      </c>
      <c r="C485" s="218" t="s">
        <v>993</v>
      </c>
      <c r="D485" s="218" t="b">
        <v>1</v>
      </c>
      <c r="E485" s="219" t="b">
        <v>0</v>
      </c>
      <c r="F485" s="219" t="b">
        <v>0</v>
      </c>
      <c r="G485" s="219"/>
    </row>
    <row r="486">
      <c r="A486" s="218">
        <f t="shared" si="1"/>
        <v>485</v>
      </c>
      <c r="B486" s="218" t="s">
        <v>200</v>
      </c>
      <c r="C486" s="218" t="s">
        <v>495</v>
      </c>
      <c r="D486" s="218" t="b">
        <v>1</v>
      </c>
      <c r="E486" s="219" t="b">
        <v>0</v>
      </c>
      <c r="F486" s="219" t="b">
        <v>0</v>
      </c>
      <c r="G486" s="219"/>
    </row>
    <row r="487">
      <c r="A487" s="218">
        <f t="shared" si="1"/>
        <v>486</v>
      </c>
      <c r="B487" s="218" t="s">
        <v>200</v>
      </c>
      <c r="C487" s="218" t="s">
        <v>1283</v>
      </c>
      <c r="D487" s="218" t="b">
        <v>1</v>
      </c>
      <c r="E487" s="219" t="b">
        <v>0</v>
      </c>
      <c r="F487" s="219" t="b">
        <v>0</v>
      </c>
      <c r="G487" s="219"/>
    </row>
    <row r="488">
      <c r="A488" s="218">
        <f t="shared" si="1"/>
        <v>487</v>
      </c>
      <c r="B488" s="218" t="s">
        <v>200</v>
      </c>
      <c r="C488" s="218" t="s">
        <v>592</v>
      </c>
      <c r="D488" s="218" t="b">
        <v>1</v>
      </c>
      <c r="E488" s="219" t="b">
        <v>0</v>
      </c>
      <c r="F488" s="219" t="b">
        <v>0</v>
      </c>
      <c r="G488" s="219"/>
    </row>
    <row r="489">
      <c r="A489" s="218">
        <f t="shared" si="1"/>
        <v>488</v>
      </c>
      <c r="B489" s="218" t="s">
        <v>200</v>
      </c>
      <c r="C489" s="218" t="s">
        <v>6499</v>
      </c>
      <c r="D489" s="218" t="b">
        <v>1</v>
      </c>
      <c r="E489" s="219" t="b">
        <v>0</v>
      </c>
      <c r="F489" s="219" t="b">
        <v>0</v>
      </c>
      <c r="G489" s="219"/>
    </row>
    <row r="490">
      <c r="A490" s="218">
        <f t="shared" si="1"/>
        <v>489</v>
      </c>
      <c r="B490" s="218" t="s">
        <v>200</v>
      </c>
      <c r="C490" s="218" t="s">
        <v>6500</v>
      </c>
      <c r="D490" s="218" t="b">
        <v>1</v>
      </c>
      <c r="E490" s="219" t="b">
        <v>0</v>
      </c>
      <c r="F490" s="219" t="b">
        <v>0</v>
      </c>
      <c r="G490" s="219"/>
    </row>
    <row r="491">
      <c r="A491" s="218">
        <f t="shared" si="1"/>
        <v>490</v>
      </c>
      <c r="B491" s="218" t="s">
        <v>200</v>
      </c>
      <c r="C491" s="218" t="s">
        <v>6502</v>
      </c>
      <c r="D491" s="218" t="b">
        <v>1</v>
      </c>
      <c r="E491" s="219" t="b">
        <v>0</v>
      </c>
      <c r="F491" s="219" t="b">
        <v>0</v>
      </c>
      <c r="G491" s="219"/>
    </row>
    <row r="492">
      <c r="A492" s="218">
        <f t="shared" si="1"/>
        <v>491</v>
      </c>
      <c r="B492" s="218" t="s">
        <v>200</v>
      </c>
      <c r="C492" s="218" t="s">
        <v>2176</v>
      </c>
      <c r="D492" s="218" t="b">
        <v>1</v>
      </c>
      <c r="E492" s="219" t="b">
        <v>0</v>
      </c>
      <c r="F492" s="219" t="b">
        <v>0</v>
      </c>
      <c r="G492" s="219"/>
    </row>
    <row r="493">
      <c r="A493" s="218">
        <f t="shared" si="1"/>
        <v>492</v>
      </c>
      <c r="B493" s="218" t="s">
        <v>200</v>
      </c>
      <c r="C493" s="218" t="s">
        <v>6503</v>
      </c>
      <c r="D493" s="218" t="b">
        <v>1</v>
      </c>
      <c r="E493" s="219" t="b">
        <v>0</v>
      </c>
      <c r="F493" s="219" t="b">
        <v>0</v>
      </c>
      <c r="G493" s="219"/>
    </row>
    <row r="494">
      <c r="A494" s="218">
        <f t="shared" si="1"/>
        <v>493</v>
      </c>
      <c r="B494" s="218" t="s">
        <v>200</v>
      </c>
      <c r="C494" s="218" t="s">
        <v>440</v>
      </c>
      <c r="D494" s="218" t="b">
        <v>1</v>
      </c>
      <c r="E494" s="219" t="b">
        <v>0</v>
      </c>
      <c r="F494" s="219" t="b">
        <v>0</v>
      </c>
      <c r="G494" s="219"/>
    </row>
    <row r="495">
      <c r="A495" s="218">
        <f t="shared" si="1"/>
        <v>494</v>
      </c>
      <c r="B495" s="218" t="s">
        <v>200</v>
      </c>
      <c r="C495" s="218" t="s">
        <v>314</v>
      </c>
      <c r="D495" s="218" t="b">
        <v>1</v>
      </c>
      <c r="E495" s="219" t="b">
        <v>0</v>
      </c>
      <c r="F495" s="219" t="b">
        <v>0</v>
      </c>
      <c r="G495" s="219"/>
    </row>
    <row r="496">
      <c r="A496" s="218">
        <f t="shared" si="1"/>
        <v>495</v>
      </c>
      <c r="B496" s="218" t="s">
        <v>200</v>
      </c>
      <c r="C496" s="218" t="s">
        <v>354</v>
      </c>
      <c r="D496" s="218" t="b">
        <v>1</v>
      </c>
      <c r="E496" s="219" t="b">
        <v>0</v>
      </c>
      <c r="F496" s="219" t="b">
        <v>0</v>
      </c>
      <c r="G496" s="219"/>
    </row>
    <row r="497">
      <c r="A497" s="218">
        <f t="shared" si="1"/>
        <v>496</v>
      </c>
      <c r="B497" s="218" t="s">
        <v>200</v>
      </c>
      <c r="C497" s="218" t="s">
        <v>2929</v>
      </c>
      <c r="D497" s="218" t="b">
        <v>1</v>
      </c>
      <c r="E497" s="219" t="b">
        <v>0</v>
      </c>
      <c r="F497" s="219" t="b">
        <v>0</v>
      </c>
      <c r="G497" s="219"/>
    </row>
    <row r="498">
      <c r="A498" s="218">
        <f t="shared" si="1"/>
        <v>497</v>
      </c>
      <c r="B498" s="218" t="s">
        <v>200</v>
      </c>
      <c r="C498" s="218" t="s">
        <v>1045</v>
      </c>
      <c r="D498" s="218" t="b">
        <v>1</v>
      </c>
      <c r="E498" s="219" t="b">
        <v>0</v>
      </c>
      <c r="F498" s="219" t="b">
        <v>0</v>
      </c>
      <c r="G498" s="219"/>
    </row>
    <row r="499">
      <c r="A499" s="218">
        <f t="shared" si="1"/>
        <v>498</v>
      </c>
      <c r="B499" s="218" t="s">
        <v>200</v>
      </c>
      <c r="C499" s="218" t="s">
        <v>1737</v>
      </c>
      <c r="D499" s="218" t="b">
        <v>1</v>
      </c>
      <c r="E499" s="219" t="b">
        <v>0</v>
      </c>
      <c r="F499" s="219" t="b">
        <v>0</v>
      </c>
      <c r="G499" s="219"/>
    </row>
    <row r="500">
      <c r="A500" s="218">
        <f t="shared" si="1"/>
        <v>499</v>
      </c>
      <c r="B500" s="218" t="s">
        <v>200</v>
      </c>
      <c r="C500" s="218" t="s">
        <v>305</v>
      </c>
      <c r="D500" s="218" t="b">
        <v>1</v>
      </c>
      <c r="E500" s="219" t="b">
        <v>0</v>
      </c>
      <c r="F500" s="219" t="b">
        <v>0</v>
      </c>
      <c r="G500" s="219"/>
    </row>
    <row r="501">
      <c r="A501" s="218">
        <f t="shared" si="1"/>
        <v>500</v>
      </c>
      <c r="B501" s="218" t="s">
        <v>200</v>
      </c>
      <c r="C501" s="218" t="s">
        <v>964</v>
      </c>
      <c r="D501" s="218" t="b">
        <v>1</v>
      </c>
      <c r="E501" s="219" t="b">
        <v>0</v>
      </c>
      <c r="F501" s="219" t="b">
        <v>0</v>
      </c>
      <c r="G501" s="219"/>
    </row>
    <row r="502">
      <c r="A502" s="218">
        <f t="shared" si="1"/>
        <v>501</v>
      </c>
      <c r="B502" s="218" t="s">
        <v>200</v>
      </c>
      <c r="C502" s="218" t="s">
        <v>4138</v>
      </c>
      <c r="D502" s="218" t="b">
        <v>1</v>
      </c>
      <c r="E502" s="219" t="b">
        <v>0</v>
      </c>
      <c r="F502" s="219" t="b">
        <v>0</v>
      </c>
      <c r="G502" s="219"/>
    </row>
    <row r="503">
      <c r="A503" s="218">
        <f t="shared" si="1"/>
        <v>502</v>
      </c>
      <c r="B503" s="218" t="s">
        <v>200</v>
      </c>
      <c r="C503" s="218" t="s">
        <v>1729</v>
      </c>
      <c r="D503" s="218" t="b">
        <v>1</v>
      </c>
      <c r="E503" s="219" t="b">
        <v>0</v>
      </c>
      <c r="F503" s="219" t="b">
        <v>0</v>
      </c>
      <c r="G503" s="219"/>
    </row>
    <row r="504">
      <c r="A504" s="218">
        <f t="shared" si="1"/>
        <v>503</v>
      </c>
      <c r="B504" s="218" t="s">
        <v>200</v>
      </c>
      <c r="C504" s="218" t="s">
        <v>1725</v>
      </c>
      <c r="D504" s="218" t="b">
        <v>1</v>
      </c>
      <c r="E504" s="219" t="b">
        <v>0</v>
      </c>
      <c r="F504" s="219" t="b">
        <v>0</v>
      </c>
      <c r="G504" s="219"/>
    </row>
    <row r="505">
      <c r="A505" s="218">
        <f t="shared" si="1"/>
        <v>504</v>
      </c>
      <c r="B505" s="218" t="s">
        <v>200</v>
      </c>
      <c r="C505" s="218" t="s">
        <v>332</v>
      </c>
      <c r="D505" s="218" t="b">
        <v>1</v>
      </c>
      <c r="E505" s="219" t="b">
        <v>0</v>
      </c>
      <c r="F505" s="219" t="b">
        <v>0</v>
      </c>
      <c r="G505" s="219"/>
    </row>
    <row r="506">
      <c r="A506" s="218">
        <f t="shared" si="1"/>
        <v>505</v>
      </c>
      <c r="B506" s="218" t="s">
        <v>200</v>
      </c>
      <c r="C506" s="218" t="s">
        <v>2577</v>
      </c>
      <c r="D506" s="218" t="b">
        <v>1</v>
      </c>
      <c r="E506" s="219" t="b">
        <v>0</v>
      </c>
      <c r="F506" s="219" t="b">
        <v>0</v>
      </c>
      <c r="G506" s="219"/>
    </row>
    <row r="507">
      <c r="A507" s="218">
        <f t="shared" si="1"/>
        <v>506</v>
      </c>
      <c r="B507" s="218" t="s">
        <v>200</v>
      </c>
      <c r="C507" s="218" t="s">
        <v>4549</v>
      </c>
      <c r="D507" s="218" t="b">
        <v>1</v>
      </c>
      <c r="E507" s="219" t="b">
        <v>0</v>
      </c>
      <c r="F507" s="219" t="b">
        <v>0</v>
      </c>
      <c r="G507" s="219"/>
    </row>
    <row r="508">
      <c r="A508" s="218">
        <f t="shared" si="1"/>
        <v>507</v>
      </c>
      <c r="B508" s="218" t="s">
        <v>200</v>
      </c>
      <c r="C508" s="218" t="s">
        <v>347</v>
      </c>
      <c r="D508" s="218" t="b">
        <v>1</v>
      </c>
      <c r="E508" s="219" t="b">
        <v>0</v>
      </c>
      <c r="F508" s="219" t="b">
        <v>0</v>
      </c>
      <c r="G508" s="219"/>
    </row>
    <row r="509">
      <c r="A509" s="218">
        <f t="shared" si="1"/>
        <v>508</v>
      </c>
      <c r="B509" s="218" t="s">
        <v>200</v>
      </c>
      <c r="C509" s="218" t="s">
        <v>1853</v>
      </c>
      <c r="D509" s="218" t="b">
        <v>1</v>
      </c>
      <c r="E509" s="219" t="b">
        <v>0</v>
      </c>
      <c r="F509" s="219" t="b">
        <v>0</v>
      </c>
      <c r="G509" s="219"/>
    </row>
    <row r="510">
      <c r="A510" s="218">
        <f t="shared" si="1"/>
        <v>509</v>
      </c>
      <c r="B510" s="218" t="s">
        <v>200</v>
      </c>
      <c r="C510" s="218" t="s">
        <v>1790</v>
      </c>
      <c r="D510" s="218" t="b">
        <v>1</v>
      </c>
      <c r="E510" s="219" t="b">
        <v>0</v>
      </c>
      <c r="F510" s="219" t="b">
        <v>0</v>
      </c>
      <c r="G510" s="219"/>
    </row>
    <row r="511">
      <c r="A511" s="218">
        <f t="shared" si="1"/>
        <v>510</v>
      </c>
      <c r="B511" s="218" t="s">
        <v>200</v>
      </c>
      <c r="C511" s="218" t="s">
        <v>6504</v>
      </c>
      <c r="D511" s="218" t="b">
        <v>1</v>
      </c>
      <c r="E511" s="219" t="b">
        <v>0</v>
      </c>
      <c r="F511" s="219" t="b">
        <v>0</v>
      </c>
      <c r="G511" s="219"/>
    </row>
    <row r="512">
      <c r="A512" s="218">
        <f t="shared" si="1"/>
        <v>511</v>
      </c>
      <c r="B512" s="218" t="s">
        <v>200</v>
      </c>
      <c r="C512" s="218" t="s">
        <v>558</v>
      </c>
      <c r="D512" s="218" t="b">
        <v>1</v>
      </c>
      <c r="E512" s="219" t="b">
        <v>0</v>
      </c>
      <c r="F512" s="219" t="b">
        <v>0</v>
      </c>
      <c r="G512" s="219"/>
    </row>
    <row r="513">
      <c r="A513" s="218">
        <f t="shared" si="1"/>
        <v>512</v>
      </c>
      <c r="B513" s="218" t="s">
        <v>200</v>
      </c>
      <c r="C513" s="218" t="s">
        <v>615</v>
      </c>
      <c r="D513" s="218" t="b">
        <v>1</v>
      </c>
      <c r="E513" s="219" t="b">
        <v>0</v>
      </c>
      <c r="F513" s="219" t="b">
        <v>0</v>
      </c>
      <c r="G513" s="219"/>
    </row>
    <row r="514">
      <c r="A514" s="218">
        <f t="shared" si="1"/>
        <v>513</v>
      </c>
      <c r="B514" s="218" t="s">
        <v>200</v>
      </c>
      <c r="C514" s="218" t="s">
        <v>611</v>
      </c>
      <c r="D514" s="218" t="b">
        <v>1</v>
      </c>
      <c r="E514" s="219" t="b">
        <v>0</v>
      </c>
      <c r="F514" s="219" t="b">
        <v>0</v>
      </c>
      <c r="G514" s="219"/>
    </row>
    <row r="515">
      <c r="A515" s="218">
        <f t="shared" si="1"/>
        <v>514</v>
      </c>
      <c r="B515" s="218" t="s">
        <v>200</v>
      </c>
      <c r="C515" s="218" t="s">
        <v>601</v>
      </c>
      <c r="D515" s="218" t="b">
        <v>1</v>
      </c>
      <c r="E515" s="219" t="b">
        <v>0</v>
      </c>
      <c r="F515" s="219" t="b">
        <v>0</v>
      </c>
      <c r="G515" s="219"/>
    </row>
    <row r="516">
      <c r="A516" s="218">
        <f t="shared" si="1"/>
        <v>515</v>
      </c>
      <c r="B516" s="218" t="s">
        <v>200</v>
      </c>
      <c r="C516" s="218" t="s">
        <v>596</v>
      </c>
      <c r="D516" s="218" t="b">
        <v>1</v>
      </c>
      <c r="E516" s="219" t="b">
        <v>0</v>
      </c>
      <c r="F516" s="219" t="b">
        <v>0</v>
      </c>
      <c r="G516" s="219"/>
    </row>
    <row r="517">
      <c r="A517" s="218">
        <f t="shared" si="1"/>
        <v>516</v>
      </c>
      <c r="B517" s="218" t="s">
        <v>200</v>
      </c>
      <c r="C517" s="218" t="s">
        <v>757</v>
      </c>
      <c r="D517" s="218" t="b">
        <v>1</v>
      </c>
      <c r="E517" s="219" t="b">
        <v>0</v>
      </c>
      <c r="F517" s="219" t="b">
        <v>0</v>
      </c>
      <c r="G517" s="219"/>
    </row>
    <row r="518">
      <c r="A518" s="218">
        <f t="shared" si="1"/>
        <v>517</v>
      </c>
      <c r="B518" s="218" t="s">
        <v>200</v>
      </c>
      <c r="C518" s="218" t="s">
        <v>742</v>
      </c>
      <c r="D518" s="218" t="b">
        <v>1</v>
      </c>
      <c r="E518" s="219" t="b">
        <v>0</v>
      </c>
      <c r="F518" s="219" t="b">
        <v>0</v>
      </c>
      <c r="G518" s="219"/>
    </row>
    <row r="519">
      <c r="A519" s="218">
        <f t="shared" si="1"/>
        <v>518</v>
      </c>
      <c r="B519" s="218" t="s">
        <v>200</v>
      </c>
      <c r="C519" s="218" t="s">
        <v>732</v>
      </c>
      <c r="D519" s="218" t="b">
        <v>1</v>
      </c>
      <c r="E519" s="219" t="b">
        <v>0</v>
      </c>
      <c r="F519" s="219" t="b">
        <v>0</v>
      </c>
      <c r="G519" s="219"/>
    </row>
    <row r="520">
      <c r="A520" s="218">
        <f t="shared" si="1"/>
        <v>519</v>
      </c>
      <c r="B520" s="218" t="s">
        <v>200</v>
      </c>
      <c r="C520" s="218" t="s">
        <v>727</v>
      </c>
      <c r="D520" s="218" t="b">
        <v>1</v>
      </c>
      <c r="E520" s="219" t="b">
        <v>0</v>
      </c>
      <c r="F520" s="219" t="b">
        <v>0</v>
      </c>
      <c r="G520" s="219"/>
    </row>
    <row r="521">
      <c r="A521" s="218">
        <f t="shared" si="1"/>
        <v>520</v>
      </c>
      <c r="B521" s="218" t="s">
        <v>200</v>
      </c>
      <c r="C521" s="218" t="s">
        <v>722</v>
      </c>
      <c r="D521" s="218" t="b">
        <v>1</v>
      </c>
      <c r="E521" s="219" t="b">
        <v>0</v>
      </c>
      <c r="F521" s="219" t="b">
        <v>0</v>
      </c>
      <c r="G521" s="219"/>
    </row>
    <row r="522">
      <c r="A522" s="218">
        <f t="shared" si="1"/>
        <v>521</v>
      </c>
      <c r="B522" s="218" t="s">
        <v>200</v>
      </c>
      <c r="C522" s="218" t="s">
        <v>6505</v>
      </c>
      <c r="D522" s="218" t="b">
        <v>1</v>
      </c>
      <c r="E522" s="219" t="b">
        <v>0</v>
      </c>
      <c r="F522" s="219" t="b">
        <v>0</v>
      </c>
      <c r="G522" s="219"/>
    </row>
    <row r="523">
      <c r="A523" s="218">
        <f t="shared" si="1"/>
        <v>522</v>
      </c>
      <c r="B523" s="218" t="s">
        <v>200</v>
      </c>
      <c r="C523" s="218" t="s">
        <v>770</v>
      </c>
      <c r="D523" s="218" t="b">
        <v>1</v>
      </c>
      <c r="E523" s="219" t="b">
        <v>0</v>
      </c>
      <c r="F523" s="219" t="b">
        <v>0</v>
      </c>
      <c r="G523" s="219"/>
    </row>
    <row r="524">
      <c r="A524" s="218">
        <f t="shared" si="1"/>
        <v>523</v>
      </c>
      <c r="B524" s="218" t="s">
        <v>200</v>
      </c>
      <c r="C524" s="218" t="s">
        <v>678</v>
      </c>
      <c r="D524" s="218" t="b">
        <v>1</v>
      </c>
      <c r="E524" s="219" t="b">
        <v>0</v>
      </c>
      <c r="F524" s="219" t="b">
        <v>0</v>
      </c>
      <c r="G524" s="219"/>
    </row>
    <row r="525">
      <c r="A525" s="218">
        <f t="shared" si="1"/>
        <v>524</v>
      </c>
      <c r="B525" s="218" t="s">
        <v>200</v>
      </c>
      <c r="C525" s="218" t="s">
        <v>687</v>
      </c>
      <c r="D525" s="218" t="b">
        <v>1</v>
      </c>
      <c r="E525" s="219" t="b">
        <v>0</v>
      </c>
      <c r="F525" s="219" t="b">
        <v>0</v>
      </c>
      <c r="G525" s="219"/>
    </row>
    <row r="526">
      <c r="A526" s="218">
        <f t="shared" si="1"/>
        <v>525</v>
      </c>
      <c r="B526" s="218" t="s">
        <v>200</v>
      </c>
      <c r="C526" s="218" t="s">
        <v>692</v>
      </c>
      <c r="D526" s="218" t="b">
        <v>1</v>
      </c>
      <c r="E526" s="219" t="b">
        <v>0</v>
      </c>
      <c r="F526" s="219" t="b">
        <v>0</v>
      </c>
      <c r="G526" s="219"/>
    </row>
    <row r="527">
      <c r="A527" s="218">
        <f t="shared" si="1"/>
        <v>526</v>
      </c>
      <c r="B527" s="218" t="s">
        <v>200</v>
      </c>
      <c r="C527" s="218" t="s">
        <v>702</v>
      </c>
      <c r="D527" s="218" t="b">
        <v>1</v>
      </c>
      <c r="E527" s="219" t="b">
        <v>0</v>
      </c>
      <c r="F527" s="219" t="b">
        <v>0</v>
      </c>
      <c r="G527" s="219"/>
    </row>
    <row r="528">
      <c r="A528" s="218">
        <f t="shared" si="1"/>
        <v>527</v>
      </c>
      <c r="B528" s="218" t="s">
        <v>200</v>
      </c>
      <c r="C528" s="218" t="s">
        <v>634</v>
      </c>
      <c r="D528" s="218" t="b">
        <v>1</v>
      </c>
      <c r="E528" s="219" t="b">
        <v>0</v>
      </c>
      <c r="F528" s="219" t="b">
        <v>0</v>
      </c>
      <c r="G528" s="219"/>
    </row>
    <row r="529">
      <c r="A529" s="218">
        <f t="shared" si="1"/>
        <v>528</v>
      </c>
      <c r="B529" s="218" t="s">
        <v>200</v>
      </c>
      <c r="C529" s="218" t="s">
        <v>649</v>
      </c>
      <c r="D529" s="218" t="b">
        <v>1</v>
      </c>
      <c r="E529" s="219" t="b">
        <v>0</v>
      </c>
      <c r="F529" s="219" t="b">
        <v>0</v>
      </c>
      <c r="G529" s="219"/>
    </row>
    <row r="530">
      <c r="A530" s="218">
        <f t="shared" si="1"/>
        <v>529</v>
      </c>
      <c r="B530" s="218" t="s">
        <v>200</v>
      </c>
      <c r="C530" s="218" t="s">
        <v>654</v>
      </c>
      <c r="D530" s="218" t="b">
        <v>1</v>
      </c>
      <c r="E530" s="219" t="b">
        <v>0</v>
      </c>
      <c r="F530" s="219" t="b">
        <v>0</v>
      </c>
      <c r="G530" s="219"/>
    </row>
    <row r="531">
      <c r="A531" s="218">
        <f t="shared" si="1"/>
        <v>530</v>
      </c>
      <c r="B531" s="218" t="s">
        <v>200</v>
      </c>
      <c r="C531" s="218" t="s">
        <v>659</v>
      </c>
      <c r="D531" s="218" t="b">
        <v>1</v>
      </c>
      <c r="E531" s="219" t="b">
        <v>0</v>
      </c>
      <c r="F531" s="219" t="b">
        <v>0</v>
      </c>
      <c r="G531" s="219"/>
    </row>
    <row r="532">
      <c r="A532" s="218">
        <f t="shared" si="1"/>
        <v>531</v>
      </c>
      <c r="B532" s="218" t="s">
        <v>200</v>
      </c>
      <c r="C532" s="218" t="s">
        <v>664</v>
      </c>
      <c r="D532" s="218" t="b">
        <v>1</v>
      </c>
      <c r="E532" s="219" t="b">
        <v>0</v>
      </c>
      <c r="F532" s="219" t="b">
        <v>0</v>
      </c>
      <c r="G532" s="219"/>
    </row>
    <row r="533">
      <c r="A533" s="218">
        <f t="shared" si="1"/>
        <v>532</v>
      </c>
      <c r="B533" s="218" t="s">
        <v>200</v>
      </c>
      <c r="C533" s="218" t="s">
        <v>673</v>
      </c>
      <c r="D533" s="218" t="b">
        <v>1</v>
      </c>
      <c r="E533" s="219" t="b">
        <v>0</v>
      </c>
      <c r="F533" s="219" t="b">
        <v>0</v>
      </c>
      <c r="G533" s="219"/>
    </row>
    <row r="534">
      <c r="A534" s="218">
        <f t="shared" si="1"/>
        <v>533</v>
      </c>
      <c r="B534" s="218" t="s">
        <v>200</v>
      </c>
      <c r="C534" s="218" t="s">
        <v>804</v>
      </c>
      <c r="D534" s="218" t="b">
        <v>1</v>
      </c>
      <c r="E534" s="219" t="b">
        <v>0</v>
      </c>
      <c r="F534" s="219" t="b">
        <v>0</v>
      </c>
      <c r="G534" s="219"/>
    </row>
    <row r="535">
      <c r="A535" s="218">
        <f t="shared" si="1"/>
        <v>534</v>
      </c>
      <c r="B535" s="218" t="s">
        <v>200</v>
      </c>
      <c r="C535" s="218" t="s">
        <v>682</v>
      </c>
      <c r="D535" s="218" t="b">
        <v>1</v>
      </c>
      <c r="E535" s="219" t="b">
        <v>0</v>
      </c>
      <c r="F535" s="219" t="b">
        <v>0</v>
      </c>
      <c r="G535" s="219"/>
    </row>
    <row r="536">
      <c r="A536" s="218">
        <f t="shared" si="1"/>
        <v>535</v>
      </c>
      <c r="B536" s="218" t="s">
        <v>200</v>
      </c>
      <c r="C536" s="218" t="s">
        <v>1441</v>
      </c>
      <c r="D536" s="218" t="b">
        <v>1</v>
      </c>
      <c r="E536" s="219" t="b">
        <v>0</v>
      </c>
      <c r="F536" s="219" t="b">
        <v>0</v>
      </c>
      <c r="G536" s="219"/>
    </row>
    <row r="537">
      <c r="A537" s="218">
        <f t="shared" si="1"/>
        <v>536</v>
      </c>
      <c r="B537" s="218" t="s">
        <v>200</v>
      </c>
      <c r="C537" s="218" t="s">
        <v>1460</v>
      </c>
      <c r="D537" s="218" t="b">
        <v>1</v>
      </c>
      <c r="E537" s="219" t="b">
        <v>0</v>
      </c>
      <c r="F537" s="219" t="b">
        <v>0</v>
      </c>
      <c r="G537" s="219"/>
    </row>
    <row r="538">
      <c r="A538" s="218">
        <f t="shared" si="1"/>
        <v>537</v>
      </c>
      <c r="B538" s="218" t="s">
        <v>200</v>
      </c>
      <c r="C538" s="218" t="s">
        <v>1593</v>
      </c>
      <c r="D538" s="218" t="b">
        <v>1</v>
      </c>
      <c r="E538" s="219" t="b">
        <v>0</v>
      </c>
      <c r="F538" s="219" t="b">
        <v>0</v>
      </c>
      <c r="G538" s="219"/>
    </row>
    <row r="539">
      <c r="A539" s="218">
        <f t="shared" si="1"/>
        <v>538</v>
      </c>
      <c r="B539" s="218" t="s">
        <v>200</v>
      </c>
      <c r="C539" s="218" t="s">
        <v>1667</v>
      </c>
      <c r="D539" s="218" t="b">
        <v>1</v>
      </c>
      <c r="E539" s="219" t="b">
        <v>0</v>
      </c>
      <c r="F539" s="219" t="b">
        <v>0</v>
      </c>
      <c r="G539" s="219"/>
    </row>
    <row r="540">
      <c r="A540" s="218">
        <f t="shared" si="1"/>
        <v>539</v>
      </c>
      <c r="B540" s="218" t="s">
        <v>200</v>
      </c>
      <c r="C540" s="218" t="s">
        <v>1662</v>
      </c>
      <c r="D540" s="218" t="b">
        <v>1</v>
      </c>
      <c r="E540" s="219" t="b">
        <v>0</v>
      </c>
      <c r="F540" s="219" t="b">
        <v>0</v>
      </c>
      <c r="G540" s="219"/>
    </row>
    <row r="541">
      <c r="A541" s="218">
        <f t="shared" si="1"/>
        <v>540</v>
      </c>
      <c r="B541" s="218" t="s">
        <v>200</v>
      </c>
      <c r="C541" s="218" t="s">
        <v>1640</v>
      </c>
      <c r="D541" s="218" t="b">
        <v>1</v>
      </c>
      <c r="E541" s="219" t="b">
        <v>0</v>
      </c>
      <c r="F541" s="219" t="b">
        <v>0</v>
      </c>
      <c r="G541" s="219"/>
    </row>
    <row r="542">
      <c r="A542" s="218">
        <f t="shared" si="1"/>
        <v>541</v>
      </c>
      <c r="B542" s="218" t="s">
        <v>200</v>
      </c>
      <c r="C542" s="218" t="s">
        <v>1636</v>
      </c>
      <c r="D542" s="218" t="b">
        <v>1</v>
      </c>
      <c r="E542" s="219" t="b">
        <v>0</v>
      </c>
      <c r="F542" s="219" t="b">
        <v>0</v>
      </c>
      <c r="G542" s="219"/>
    </row>
    <row r="543">
      <c r="A543" s="218">
        <f t="shared" si="1"/>
        <v>542</v>
      </c>
      <c r="B543" s="218" t="s">
        <v>200</v>
      </c>
      <c r="C543" s="218" t="s">
        <v>1645</v>
      </c>
      <c r="D543" s="218" t="b">
        <v>1</v>
      </c>
      <c r="E543" s="219" t="b">
        <v>0</v>
      </c>
      <c r="F543" s="219" t="b">
        <v>0</v>
      </c>
      <c r="G543" s="219"/>
    </row>
    <row r="544">
      <c r="A544" s="218">
        <f t="shared" si="1"/>
        <v>543</v>
      </c>
      <c r="B544" s="218" t="s">
        <v>200</v>
      </c>
      <c r="C544" s="218" t="s">
        <v>1562</v>
      </c>
      <c r="D544" s="218" t="b">
        <v>1</v>
      </c>
      <c r="E544" s="219" t="b">
        <v>0</v>
      </c>
      <c r="F544" s="219" t="b">
        <v>0</v>
      </c>
      <c r="G544" s="219"/>
    </row>
    <row r="545">
      <c r="A545" s="218">
        <f t="shared" si="1"/>
        <v>544</v>
      </c>
      <c r="B545" s="218" t="s">
        <v>200</v>
      </c>
      <c r="C545" s="218" t="s">
        <v>1658</v>
      </c>
      <c r="D545" s="218" t="b">
        <v>1</v>
      </c>
      <c r="E545" s="219" t="b">
        <v>0</v>
      </c>
      <c r="F545" s="219" t="b">
        <v>0</v>
      </c>
      <c r="G545" s="219"/>
    </row>
    <row r="546">
      <c r="A546" s="218">
        <f t="shared" si="1"/>
        <v>545</v>
      </c>
      <c r="B546" s="218" t="s">
        <v>200</v>
      </c>
      <c r="C546" s="218" t="s">
        <v>1557</v>
      </c>
      <c r="D546" s="218" t="b">
        <v>1</v>
      </c>
      <c r="E546" s="219" t="b">
        <v>0</v>
      </c>
      <c r="F546" s="219" t="b">
        <v>0</v>
      </c>
      <c r="G546" s="219"/>
    </row>
    <row r="547">
      <c r="A547" s="218">
        <f t="shared" si="1"/>
        <v>546</v>
      </c>
      <c r="B547" s="218" t="s">
        <v>200</v>
      </c>
      <c r="C547" s="218" t="s">
        <v>1571</v>
      </c>
      <c r="D547" s="218" t="b">
        <v>1</v>
      </c>
      <c r="E547" s="219" t="b">
        <v>0</v>
      </c>
      <c r="F547" s="219" t="b">
        <v>0</v>
      </c>
      <c r="G547" s="219"/>
    </row>
    <row r="548">
      <c r="A548" s="218">
        <f t="shared" si="1"/>
        <v>547</v>
      </c>
      <c r="B548" s="218" t="s">
        <v>200</v>
      </c>
      <c r="C548" s="218" t="s">
        <v>1470</v>
      </c>
      <c r="D548" s="218" t="b">
        <v>1</v>
      </c>
      <c r="E548" s="219" t="b">
        <v>0</v>
      </c>
      <c r="F548" s="219" t="b">
        <v>0</v>
      </c>
      <c r="G548" s="219"/>
    </row>
    <row r="549">
      <c r="A549" s="218">
        <f t="shared" si="1"/>
        <v>548</v>
      </c>
      <c r="B549" s="218" t="s">
        <v>200</v>
      </c>
      <c r="C549" s="218" t="s">
        <v>1483</v>
      </c>
      <c r="D549" s="218" t="b">
        <v>1</v>
      </c>
      <c r="E549" s="219" t="b">
        <v>0</v>
      </c>
      <c r="F549" s="219" t="b">
        <v>0</v>
      </c>
      <c r="G549" s="219"/>
    </row>
    <row r="550">
      <c r="A550" s="218">
        <f t="shared" si="1"/>
        <v>549</v>
      </c>
      <c r="B550" s="218" t="s">
        <v>200</v>
      </c>
      <c r="C550" s="218" t="s">
        <v>1488</v>
      </c>
      <c r="D550" s="218" t="b">
        <v>1</v>
      </c>
      <c r="E550" s="219" t="b">
        <v>0</v>
      </c>
      <c r="F550" s="219" t="b">
        <v>0</v>
      </c>
      <c r="G550" s="219"/>
    </row>
    <row r="551">
      <c r="A551" s="218">
        <f t="shared" si="1"/>
        <v>550</v>
      </c>
      <c r="B551" s="218" t="s">
        <v>200</v>
      </c>
      <c r="C551" s="218" t="s">
        <v>1493</v>
      </c>
      <c r="D551" s="218" t="b">
        <v>1</v>
      </c>
      <c r="E551" s="219" t="b">
        <v>0</v>
      </c>
      <c r="F551" s="219" t="b">
        <v>0</v>
      </c>
      <c r="G551" s="219"/>
    </row>
    <row r="552">
      <c r="A552" s="218">
        <f t="shared" si="1"/>
        <v>551</v>
      </c>
      <c r="B552" s="218" t="s">
        <v>200</v>
      </c>
      <c r="C552" s="218" t="s">
        <v>1543</v>
      </c>
      <c r="D552" s="218" t="b">
        <v>1</v>
      </c>
      <c r="E552" s="219" t="b">
        <v>0</v>
      </c>
      <c r="F552" s="219" t="b">
        <v>0</v>
      </c>
      <c r="G552" s="219"/>
    </row>
    <row r="553">
      <c r="A553" s="218">
        <f t="shared" si="1"/>
        <v>552</v>
      </c>
      <c r="B553" s="218" t="s">
        <v>200</v>
      </c>
      <c r="C553" s="218" t="s">
        <v>1548</v>
      </c>
      <c r="D553" s="218" t="b">
        <v>1</v>
      </c>
      <c r="E553" s="219" t="b">
        <v>0</v>
      </c>
      <c r="F553" s="219" t="b">
        <v>0</v>
      </c>
      <c r="G553" s="219"/>
    </row>
    <row r="554">
      <c r="A554" s="218">
        <f t="shared" si="1"/>
        <v>553</v>
      </c>
      <c r="B554" s="218" t="s">
        <v>200</v>
      </c>
      <c r="C554" s="218" t="s">
        <v>1538</v>
      </c>
      <c r="D554" s="218" t="b">
        <v>1</v>
      </c>
      <c r="E554" s="219" t="b">
        <v>0</v>
      </c>
      <c r="F554" s="219" t="b">
        <v>0</v>
      </c>
      <c r="G554" s="219"/>
    </row>
    <row r="555">
      <c r="A555" s="218">
        <f t="shared" si="1"/>
        <v>554</v>
      </c>
      <c r="B555" s="218" t="s">
        <v>200</v>
      </c>
      <c r="C555" s="218" t="s">
        <v>1553</v>
      </c>
      <c r="D555" s="218" t="b">
        <v>1</v>
      </c>
      <c r="E555" s="219" t="b">
        <v>0</v>
      </c>
      <c r="F555" s="219" t="b">
        <v>0</v>
      </c>
      <c r="G555" s="219"/>
    </row>
    <row r="556">
      <c r="A556" s="218">
        <f t="shared" si="1"/>
        <v>555</v>
      </c>
      <c r="B556" s="218" t="s">
        <v>200</v>
      </c>
      <c r="C556" s="218" t="s">
        <v>1528</v>
      </c>
      <c r="D556" s="218" t="b">
        <v>1</v>
      </c>
      <c r="E556" s="219" t="b">
        <v>0</v>
      </c>
      <c r="F556" s="219" t="b">
        <v>0</v>
      </c>
      <c r="G556" s="219"/>
    </row>
    <row r="557">
      <c r="A557" s="218">
        <f t="shared" si="1"/>
        <v>556</v>
      </c>
      <c r="B557" s="218" t="s">
        <v>200</v>
      </c>
      <c r="C557" s="218" t="s">
        <v>1533</v>
      </c>
      <c r="D557" s="218" t="b">
        <v>1</v>
      </c>
      <c r="E557" s="219" t="b">
        <v>0</v>
      </c>
      <c r="F557" s="219" t="b">
        <v>0</v>
      </c>
      <c r="G557" s="219"/>
    </row>
    <row r="558">
      <c r="A558" s="218">
        <f t="shared" si="1"/>
        <v>557</v>
      </c>
      <c r="B558" s="218" t="s">
        <v>200</v>
      </c>
      <c r="C558" s="218" t="s">
        <v>2817</v>
      </c>
      <c r="D558" s="218" t="b">
        <v>1</v>
      </c>
      <c r="E558" s="219" t="b">
        <v>0</v>
      </c>
      <c r="F558" s="219" t="b">
        <v>0</v>
      </c>
      <c r="G558" s="219"/>
    </row>
    <row r="559">
      <c r="A559" s="218">
        <f t="shared" si="1"/>
        <v>558</v>
      </c>
      <c r="B559" s="218" t="s">
        <v>200</v>
      </c>
      <c r="C559" s="218" t="s">
        <v>2832</v>
      </c>
      <c r="D559" s="218" t="b">
        <v>1</v>
      </c>
      <c r="E559" s="219" t="b">
        <v>0</v>
      </c>
      <c r="F559" s="219" t="b">
        <v>0</v>
      </c>
      <c r="G559" s="219"/>
    </row>
    <row r="560">
      <c r="A560" s="218">
        <f t="shared" si="1"/>
        <v>559</v>
      </c>
      <c r="B560" s="218" t="s">
        <v>200</v>
      </c>
      <c r="C560" s="218" t="s">
        <v>2841</v>
      </c>
      <c r="D560" s="218" t="b">
        <v>1</v>
      </c>
      <c r="E560" s="219" t="b">
        <v>0</v>
      </c>
      <c r="F560" s="219" t="b">
        <v>0</v>
      </c>
      <c r="G560" s="219"/>
    </row>
    <row r="561">
      <c r="A561" s="218">
        <f t="shared" si="1"/>
        <v>560</v>
      </c>
      <c r="B561" s="218" t="s">
        <v>200</v>
      </c>
      <c r="C561" s="218" t="s">
        <v>2851</v>
      </c>
      <c r="D561" s="218" t="b">
        <v>1</v>
      </c>
      <c r="E561" s="219" t="b">
        <v>0</v>
      </c>
      <c r="F561" s="219" t="b">
        <v>0</v>
      </c>
      <c r="G561" s="219"/>
    </row>
    <row r="562">
      <c r="A562" s="218">
        <f t="shared" si="1"/>
        <v>561</v>
      </c>
      <c r="B562" s="218" t="s">
        <v>200</v>
      </c>
      <c r="C562" s="218" t="s">
        <v>2861</v>
      </c>
      <c r="D562" s="218" t="b">
        <v>1</v>
      </c>
      <c r="E562" s="219" t="b">
        <v>0</v>
      </c>
      <c r="F562" s="219" t="b">
        <v>0</v>
      </c>
      <c r="G562" s="219"/>
    </row>
    <row r="563">
      <c r="A563" s="218">
        <f t="shared" si="1"/>
        <v>562</v>
      </c>
      <c r="B563" s="218" t="s">
        <v>200</v>
      </c>
      <c r="C563" s="218" t="s">
        <v>2870</v>
      </c>
      <c r="D563" s="218" t="b">
        <v>1</v>
      </c>
      <c r="E563" s="219" t="b">
        <v>0</v>
      </c>
      <c r="F563" s="219" t="b">
        <v>0</v>
      </c>
      <c r="G563" s="219"/>
    </row>
    <row r="564">
      <c r="A564" s="218">
        <f t="shared" si="1"/>
        <v>563</v>
      </c>
      <c r="B564" s="218" t="s">
        <v>200</v>
      </c>
      <c r="C564" s="218" t="s">
        <v>2891</v>
      </c>
      <c r="D564" s="218" t="b">
        <v>1</v>
      </c>
      <c r="E564" s="219" t="b">
        <v>0</v>
      </c>
      <c r="F564" s="219" t="b">
        <v>0</v>
      </c>
      <c r="G564" s="219"/>
    </row>
    <row r="565">
      <c r="A565" s="218">
        <f t="shared" si="1"/>
        <v>564</v>
      </c>
      <c r="B565" s="218" t="s">
        <v>200</v>
      </c>
      <c r="C565" s="218" t="s">
        <v>2904</v>
      </c>
      <c r="D565" s="218" t="b">
        <v>1</v>
      </c>
      <c r="E565" s="219" t="b">
        <v>0</v>
      </c>
      <c r="F565" s="219" t="b">
        <v>0</v>
      </c>
      <c r="G565" s="219"/>
    </row>
    <row r="566">
      <c r="A566" s="218">
        <f t="shared" si="1"/>
        <v>565</v>
      </c>
      <c r="B566" s="218" t="s">
        <v>200</v>
      </c>
      <c r="C566" s="218" t="s">
        <v>2909</v>
      </c>
      <c r="D566" s="218" t="b">
        <v>1</v>
      </c>
      <c r="E566" s="219" t="b">
        <v>0</v>
      </c>
      <c r="F566" s="219" t="b">
        <v>0</v>
      </c>
      <c r="G566" s="219"/>
    </row>
    <row r="567">
      <c r="A567" s="218">
        <f t="shared" si="1"/>
        <v>566</v>
      </c>
      <c r="B567" s="218" t="s">
        <v>200</v>
      </c>
      <c r="C567" s="218" t="s">
        <v>2914</v>
      </c>
      <c r="D567" s="218" t="b">
        <v>1</v>
      </c>
      <c r="E567" s="219" t="b">
        <v>0</v>
      </c>
      <c r="F567" s="219" t="b">
        <v>0</v>
      </c>
      <c r="G567" s="219"/>
    </row>
    <row r="568">
      <c r="A568" s="218">
        <f t="shared" si="1"/>
        <v>567</v>
      </c>
      <c r="B568" s="218" t="s">
        <v>200</v>
      </c>
      <c r="C568" s="218" t="s">
        <v>2919</v>
      </c>
      <c r="D568" s="218" t="b">
        <v>1</v>
      </c>
      <c r="E568" s="219" t="b">
        <v>0</v>
      </c>
      <c r="F568" s="219" t="b">
        <v>0</v>
      </c>
      <c r="G568" s="219"/>
    </row>
    <row r="569">
      <c r="A569" s="218">
        <f t="shared" si="1"/>
        <v>568</v>
      </c>
      <c r="B569" s="218" t="s">
        <v>200</v>
      </c>
      <c r="C569" s="218" t="s">
        <v>2934</v>
      </c>
      <c r="D569" s="218" t="b">
        <v>1</v>
      </c>
      <c r="E569" s="219" t="b">
        <v>0</v>
      </c>
      <c r="F569" s="219" t="b">
        <v>0</v>
      </c>
      <c r="G569" s="219"/>
    </row>
    <row r="570">
      <c r="A570" s="218">
        <f t="shared" si="1"/>
        <v>569</v>
      </c>
      <c r="B570" s="218" t="s">
        <v>200</v>
      </c>
      <c r="C570" s="218" t="s">
        <v>2882</v>
      </c>
      <c r="D570" s="218" t="b">
        <v>1</v>
      </c>
      <c r="E570" s="219" t="b">
        <v>0</v>
      </c>
      <c r="F570" s="219" t="b">
        <v>0</v>
      </c>
      <c r="G570" s="219"/>
    </row>
    <row r="571">
      <c r="A571" s="218">
        <f t="shared" si="1"/>
        <v>570</v>
      </c>
      <c r="B571" s="218" t="s">
        <v>200</v>
      </c>
      <c r="C571" s="218" t="s">
        <v>2952</v>
      </c>
      <c r="D571" s="218" t="b">
        <v>1</v>
      </c>
      <c r="E571" s="219" t="b">
        <v>0</v>
      </c>
      <c r="F571" s="219" t="b">
        <v>0</v>
      </c>
      <c r="G571" s="219"/>
    </row>
    <row r="572">
      <c r="A572" s="218">
        <f t="shared" si="1"/>
        <v>571</v>
      </c>
      <c r="B572" s="218" t="s">
        <v>200</v>
      </c>
      <c r="C572" s="218" t="s">
        <v>2971</v>
      </c>
      <c r="D572" s="218" t="b">
        <v>1</v>
      </c>
      <c r="E572" s="219" t="b">
        <v>0</v>
      </c>
      <c r="F572" s="219" t="b">
        <v>0</v>
      </c>
      <c r="G572" s="219"/>
    </row>
    <row r="573">
      <c r="A573" s="218">
        <f t="shared" si="1"/>
        <v>572</v>
      </c>
      <c r="B573" s="218" t="s">
        <v>200</v>
      </c>
      <c r="C573" s="218" t="s">
        <v>2924</v>
      </c>
      <c r="D573" s="218" t="b">
        <v>1</v>
      </c>
      <c r="E573" s="219" t="b">
        <v>0</v>
      </c>
      <c r="F573" s="219" t="b">
        <v>0</v>
      </c>
      <c r="G573" s="219"/>
    </row>
    <row r="574">
      <c r="A574" s="218">
        <f t="shared" si="1"/>
        <v>573</v>
      </c>
      <c r="B574" s="218" t="s">
        <v>200</v>
      </c>
      <c r="C574" s="218" t="s">
        <v>2976</v>
      </c>
      <c r="D574" s="218" t="b">
        <v>1</v>
      </c>
      <c r="E574" s="219" t="b">
        <v>0</v>
      </c>
      <c r="F574" s="219" t="b">
        <v>0</v>
      </c>
      <c r="G574" s="219"/>
    </row>
    <row r="575">
      <c r="A575" s="218">
        <f t="shared" si="1"/>
        <v>574</v>
      </c>
      <c r="B575" s="218" t="s">
        <v>200</v>
      </c>
      <c r="C575" s="218" t="s">
        <v>6506</v>
      </c>
      <c r="D575" s="218" t="b">
        <v>1</v>
      </c>
      <c r="E575" s="219" t="b">
        <v>0</v>
      </c>
      <c r="F575" s="219" t="b">
        <v>0</v>
      </c>
      <c r="G575" s="219"/>
    </row>
    <row r="576">
      <c r="A576" s="218">
        <f t="shared" si="1"/>
        <v>575</v>
      </c>
      <c r="B576" s="218" t="s">
        <v>200</v>
      </c>
      <c r="C576" s="218" t="s">
        <v>3050</v>
      </c>
      <c r="D576" s="218" t="b">
        <v>1</v>
      </c>
      <c r="E576" s="219" t="b">
        <v>0</v>
      </c>
      <c r="F576" s="219" t="b">
        <v>0</v>
      </c>
      <c r="G576" s="219"/>
    </row>
    <row r="577">
      <c r="A577" s="218">
        <f t="shared" si="1"/>
        <v>576</v>
      </c>
      <c r="B577" s="218" t="s">
        <v>200</v>
      </c>
      <c r="C577" s="218" t="s">
        <v>2980</v>
      </c>
      <c r="D577" s="218" t="b">
        <v>1</v>
      </c>
      <c r="E577" s="219" t="b">
        <v>0</v>
      </c>
      <c r="F577" s="219" t="b">
        <v>0</v>
      </c>
      <c r="G577" s="219"/>
    </row>
    <row r="578">
      <c r="A578" s="218">
        <f t="shared" si="1"/>
        <v>577</v>
      </c>
      <c r="B578" s="218" t="s">
        <v>200</v>
      </c>
      <c r="C578" s="218" t="s">
        <v>3045</v>
      </c>
      <c r="D578" s="218" t="b">
        <v>1</v>
      </c>
      <c r="E578" s="219" t="b">
        <v>0</v>
      </c>
      <c r="F578" s="219" t="b">
        <v>0</v>
      </c>
      <c r="G578" s="219"/>
    </row>
    <row r="579">
      <c r="A579" s="218">
        <f t="shared" si="1"/>
        <v>578</v>
      </c>
      <c r="B579" s="218" t="s">
        <v>200</v>
      </c>
      <c r="C579" s="218" t="s">
        <v>2989</v>
      </c>
      <c r="D579" s="218" t="b">
        <v>1</v>
      </c>
      <c r="E579" s="219" t="b">
        <v>0</v>
      </c>
      <c r="F579" s="219" t="b">
        <v>0</v>
      </c>
      <c r="G579" s="219"/>
    </row>
    <row r="580">
      <c r="A580" s="218">
        <f t="shared" si="1"/>
        <v>579</v>
      </c>
      <c r="B580" s="218" t="s">
        <v>200</v>
      </c>
      <c r="C580" s="218" t="s">
        <v>3040</v>
      </c>
      <c r="D580" s="218" t="b">
        <v>1</v>
      </c>
      <c r="E580" s="219" t="b">
        <v>0</v>
      </c>
      <c r="F580" s="219" t="b">
        <v>0</v>
      </c>
      <c r="G580" s="219"/>
    </row>
    <row r="581">
      <c r="A581" s="218">
        <f t="shared" si="1"/>
        <v>580</v>
      </c>
      <c r="B581" s="218" t="s">
        <v>200</v>
      </c>
      <c r="C581" s="218" t="s">
        <v>3035</v>
      </c>
      <c r="D581" s="218" t="b">
        <v>1</v>
      </c>
      <c r="E581" s="219" t="b">
        <v>0</v>
      </c>
      <c r="F581" s="219" t="b">
        <v>0</v>
      </c>
      <c r="G581" s="219"/>
    </row>
    <row r="582">
      <c r="A582" s="218">
        <f t="shared" si="1"/>
        <v>581</v>
      </c>
      <c r="B582" s="218" t="s">
        <v>200</v>
      </c>
      <c r="C582" s="218" t="s">
        <v>2993</v>
      </c>
      <c r="D582" s="218" t="b">
        <v>1</v>
      </c>
      <c r="E582" s="219" t="b">
        <v>0</v>
      </c>
      <c r="F582" s="219" t="b">
        <v>0</v>
      </c>
      <c r="G582" s="219"/>
    </row>
    <row r="583">
      <c r="A583" s="218">
        <f t="shared" si="1"/>
        <v>582</v>
      </c>
      <c r="B583" s="218" t="s">
        <v>200</v>
      </c>
      <c r="C583" s="218" t="s">
        <v>370</v>
      </c>
      <c r="D583" s="218" t="b">
        <v>1</v>
      </c>
      <c r="E583" s="219" t="b">
        <v>0</v>
      </c>
      <c r="F583" s="219" t="b">
        <v>0</v>
      </c>
      <c r="G583" s="219"/>
    </row>
    <row r="584">
      <c r="A584" s="218">
        <f t="shared" si="1"/>
        <v>583</v>
      </c>
      <c r="B584" s="218" t="s">
        <v>200</v>
      </c>
      <c r="C584" s="218" t="s">
        <v>1580</v>
      </c>
      <c r="D584" s="218" t="b">
        <v>1</v>
      </c>
      <c r="E584" s="219" t="b">
        <v>0</v>
      </c>
      <c r="F584" s="219" t="b">
        <v>0</v>
      </c>
      <c r="G584" s="219"/>
    </row>
    <row r="585">
      <c r="A585" s="218">
        <f t="shared" si="1"/>
        <v>584</v>
      </c>
      <c r="B585" s="218" t="s">
        <v>200</v>
      </c>
      <c r="C585" s="218" t="s">
        <v>405</v>
      </c>
      <c r="D585" s="218" t="b">
        <v>1</v>
      </c>
      <c r="E585" s="219" t="b">
        <v>0</v>
      </c>
      <c r="F585" s="219" t="b">
        <v>0</v>
      </c>
      <c r="G585" s="219"/>
    </row>
    <row r="586">
      <c r="A586" s="218">
        <f t="shared" si="1"/>
        <v>585</v>
      </c>
      <c r="B586" s="218" t="s">
        <v>200</v>
      </c>
      <c r="C586" s="218" t="s">
        <v>415</v>
      </c>
      <c r="D586" s="218" t="b">
        <v>1</v>
      </c>
      <c r="E586" s="219" t="b">
        <v>0</v>
      </c>
      <c r="F586" s="219" t="b">
        <v>0</v>
      </c>
      <c r="G586" s="219"/>
    </row>
    <row r="587">
      <c r="A587" s="218">
        <f t="shared" si="1"/>
        <v>586</v>
      </c>
      <c r="B587" s="218" t="s">
        <v>200</v>
      </c>
      <c r="C587" s="218" t="s">
        <v>420</v>
      </c>
      <c r="D587" s="218" t="b">
        <v>1</v>
      </c>
      <c r="E587" s="219" t="b">
        <v>0</v>
      </c>
      <c r="F587" s="219" t="b">
        <v>0</v>
      </c>
      <c r="G587" s="219"/>
    </row>
    <row r="588">
      <c r="A588" s="218">
        <f t="shared" si="1"/>
        <v>587</v>
      </c>
      <c r="B588" s="218" t="s">
        <v>200</v>
      </c>
      <c r="C588" s="218" t="s">
        <v>450</v>
      </c>
      <c r="D588" s="218" t="b">
        <v>1</v>
      </c>
      <c r="E588" s="219" t="b">
        <v>0</v>
      </c>
      <c r="F588" s="219" t="b">
        <v>0</v>
      </c>
      <c r="G588" s="219"/>
    </row>
    <row r="589">
      <c r="A589" s="218">
        <f t="shared" si="1"/>
        <v>588</v>
      </c>
      <c r="B589" s="218" t="s">
        <v>200</v>
      </c>
      <c r="C589" s="218" t="s">
        <v>455</v>
      </c>
      <c r="D589" s="218" t="b">
        <v>1</v>
      </c>
      <c r="E589" s="219" t="b">
        <v>0</v>
      </c>
      <c r="F589" s="219" t="b">
        <v>0</v>
      </c>
      <c r="G589" s="219"/>
    </row>
    <row r="590">
      <c r="A590" s="218">
        <f t="shared" si="1"/>
        <v>589</v>
      </c>
      <c r="B590" s="218" t="s">
        <v>200</v>
      </c>
      <c r="C590" s="218" t="s">
        <v>459</v>
      </c>
      <c r="D590" s="218" t="b">
        <v>1</v>
      </c>
      <c r="E590" s="219" t="b">
        <v>0</v>
      </c>
      <c r="F590" s="219" t="b">
        <v>0</v>
      </c>
      <c r="G590" s="219"/>
    </row>
    <row r="591">
      <c r="A591" s="218">
        <f t="shared" si="1"/>
        <v>590</v>
      </c>
      <c r="B591" s="218" t="s">
        <v>200</v>
      </c>
      <c r="C591" s="218" t="s">
        <v>464</v>
      </c>
      <c r="D591" s="218" t="b">
        <v>1</v>
      </c>
      <c r="E591" s="219" t="b">
        <v>0</v>
      </c>
      <c r="F591" s="219" t="b">
        <v>0</v>
      </c>
      <c r="G591" s="219"/>
    </row>
    <row r="592">
      <c r="A592" s="218">
        <f t="shared" si="1"/>
        <v>591</v>
      </c>
      <c r="B592" s="218" t="s">
        <v>200</v>
      </c>
      <c r="C592" s="218" t="s">
        <v>469</v>
      </c>
      <c r="D592" s="218" t="b">
        <v>1</v>
      </c>
      <c r="E592" s="219" t="b">
        <v>0</v>
      </c>
      <c r="F592" s="219" t="b">
        <v>0</v>
      </c>
      <c r="G592" s="219"/>
    </row>
    <row r="593">
      <c r="A593" s="218">
        <f t="shared" si="1"/>
        <v>592</v>
      </c>
      <c r="B593" s="218" t="s">
        <v>200</v>
      </c>
      <c r="C593" s="218" t="s">
        <v>484</v>
      </c>
      <c r="D593" s="218" t="b">
        <v>1</v>
      </c>
      <c r="E593" s="219" t="b">
        <v>0</v>
      </c>
      <c r="F593" s="219" t="b">
        <v>0</v>
      </c>
      <c r="G593" s="219"/>
    </row>
    <row r="594">
      <c r="A594" s="218">
        <f t="shared" si="1"/>
        <v>593</v>
      </c>
      <c r="B594" s="218" t="s">
        <v>200</v>
      </c>
      <c r="C594" s="218" t="s">
        <v>490</v>
      </c>
      <c r="D594" s="218" t="b">
        <v>1</v>
      </c>
      <c r="E594" s="219" t="b">
        <v>0</v>
      </c>
      <c r="F594" s="219" t="b">
        <v>0</v>
      </c>
      <c r="G594" s="219"/>
    </row>
    <row r="595">
      <c r="A595" s="218">
        <f t="shared" si="1"/>
        <v>594</v>
      </c>
      <c r="B595" s="218" t="s">
        <v>200</v>
      </c>
      <c r="C595" s="218" t="s">
        <v>505</v>
      </c>
      <c r="D595" s="218" t="b">
        <v>1</v>
      </c>
      <c r="E595" s="219" t="b">
        <v>0</v>
      </c>
      <c r="F595" s="219" t="b">
        <v>0</v>
      </c>
      <c r="G595" s="219"/>
    </row>
    <row r="596">
      <c r="A596" s="218">
        <f t="shared" si="1"/>
        <v>595</v>
      </c>
      <c r="B596" s="218" t="s">
        <v>200</v>
      </c>
      <c r="C596" s="218" t="s">
        <v>523</v>
      </c>
      <c r="D596" s="218" t="b">
        <v>1</v>
      </c>
      <c r="E596" s="219" t="b">
        <v>0</v>
      </c>
      <c r="F596" s="219" t="b">
        <v>0</v>
      </c>
      <c r="G596" s="219"/>
    </row>
    <row r="597">
      <c r="A597" s="218">
        <f t="shared" si="1"/>
        <v>596</v>
      </c>
      <c r="B597" s="218" t="s">
        <v>200</v>
      </c>
      <c r="C597" s="218" t="s">
        <v>983</v>
      </c>
      <c r="D597" s="218" t="b">
        <v>1</v>
      </c>
      <c r="E597" s="219" t="b">
        <v>0</v>
      </c>
      <c r="F597" s="219" t="b">
        <v>0</v>
      </c>
      <c r="G597" s="219"/>
    </row>
    <row r="598">
      <c r="A598" s="218">
        <f t="shared" si="1"/>
        <v>597</v>
      </c>
      <c r="B598" s="218" t="s">
        <v>200</v>
      </c>
      <c r="C598" s="218" t="s">
        <v>1017</v>
      </c>
      <c r="D598" s="218" t="b">
        <v>1</v>
      </c>
      <c r="E598" s="219" t="b">
        <v>0</v>
      </c>
      <c r="F598" s="219" t="b">
        <v>0</v>
      </c>
      <c r="G598" s="219"/>
    </row>
    <row r="599">
      <c r="A599" s="218">
        <f t="shared" si="1"/>
        <v>598</v>
      </c>
      <c r="B599" s="218" t="s">
        <v>200</v>
      </c>
      <c r="C599" s="218" t="s">
        <v>6507</v>
      </c>
      <c r="D599" s="218" t="b">
        <v>1</v>
      </c>
      <c r="E599" s="219" t="b">
        <v>0</v>
      </c>
      <c r="F599" s="219" t="b">
        <v>0</v>
      </c>
      <c r="G599" s="219"/>
    </row>
    <row r="600">
      <c r="A600" s="218">
        <f t="shared" si="1"/>
        <v>599</v>
      </c>
      <c r="B600" s="218" t="s">
        <v>200</v>
      </c>
      <c r="C600" s="218" t="s">
        <v>978</v>
      </c>
      <c r="D600" s="218" t="b">
        <v>1</v>
      </c>
      <c r="E600" s="219" t="b">
        <v>0</v>
      </c>
      <c r="F600" s="219" t="b">
        <v>0</v>
      </c>
      <c r="G600" s="219"/>
    </row>
    <row r="601">
      <c r="A601" s="218">
        <f t="shared" si="1"/>
        <v>600</v>
      </c>
      <c r="B601" s="218" t="s">
        <v>200</v>
      </c>
      <c r="C601" s="218" t="s">
        <v>1144</v>
      </c>
      <c r="D601" s="218" t="b">
        <v>1</v>
      </c>
      <c r="E601" s="219" t="b">
        <v>0</v>
      </c>
      <c r="F601" s="219" t="b">
        <v>0</v>
      </c>
      <c r="G601" s="219"/>
    </row>
    <row r="602">
      <c r="A602" s="218">
        <f t="shared" si="1"/>
        <v>601</v>
      </c>
      <c r="B602" s="218" t="s">
        <v>200</v>
      </c>
      <c r="C602" s="218" t="s">
        <v>1149</v>
      </c>
      <c r="D602" s="218" t="b">
        <v>1</v>
      </c>
      <c r="E602" s="219" t="b">
        <v>0</v>
      </c>
      <c r="F602" s="219" t="b">
        <v>0</v>
      </c>
      <c r="G602" s="219"/>
    </row>
    <row r="603">
      <c r="A603" s="218">
        <f t="shared" si="1"/>
        <v>602</v>
      </c>
      <c r="B603" s="218" t="s">
        <v>200</v>
      </c>
      <c r="C603" s="218" t="s">
        <v>1032</v>
      </c>
      <c r="D603" s="218" t="b">
        <v>1</v>
      </c>
      <c r="E603" s="219" t="b">
        <v>0</v>
      </c>
      <c r="F603" s="219" t="b">
        <v>0</v>
      </c>
      <c r="G603" s="219"/>
    </row>
    <row r="604">
      <c r="A604" s="218">
        <f t="shared" si="1"/>
        <v>603</v>
      </c>
      <c r="B604" s="218" t="s">
        <v>200</v>
      </c>
      <c r="C604" s="218" t="s">
        <v>1012</v>
      </c>
      <c r="D604" s="218" t="b">
        <v>1</v>
      </c>
      <c r="E604" s="219" t="b">
        <v>0</v>
      </c>
      <c r="F604" s="219" t="b">
        <v>0</v>
      </c>
      <c r="G604" s="219"/>
    </row>
    <row r="605">
      <c r="A605" s="218">
        <f t="shared" si="1"/>
        <v>604</v>
      </c>
      <c r="B605" s="218" t="s">
        <v>200</v>
      </c>
      <c r="C605" s="218" t="s">
        <v>1050</v>
      </c>
      <c r="D605" s="218" t="b">
        <v>1</v>
      </c>
      <c r="E605" s="219" t="b">
        <v>0</v>
      </c>
      <c r="F605" s="219" t="b">
        <v>0</v>
      </c>
      <c r="G605" s="219"/>
    </row>
    <row r="606">
      <c r="A606" s="218">
        <f t="shared" si="1"/>
        <v>605</v>
      </c>
      <c r="B606" s="218" t="s">
        <v>200</v>
      </c>
      <c r="C606" s="218" t="s">
        <v>1097</v>
      </c>
      <c r="D606" s="218" t="b">
        <v>1</v>
      </c>
      <c r="E606" s="219" t="b">
        <v>0</v>
      </c>
      <c r="F606" s="219" t="b">
        <v>0</v>
      </c>
      <c r="G606" s="219"/>
    </row>
    <row r="607">
      <c r="A607" s="218">
        <f t="shared" si="1"/>
        <v>606</v>
      </c>
      <c r="B607" s="218" t="s">
        <v>200</v>
      </c>
      <c r="C607" s="218" t="s">
        <v>1092</v>
      </c>
      <c r="D607" s="218" t="b">
        <v>1</v>
      </c>
      <c r="E607" s="219" t="b">
        <v>0</v>
      </c>
      <c r="F607" s="219" t="b">
        <v>0</v>
      </c>
      <c r="G607" s="219"/>
    </row>
    <row r="608">
      <c r="A608" s="218">
        <f t="shared" si="1"/>
        <v>607</v>
      </c>
      <c r="B608" s="218" t="s">
        <v>200</v>
      </c>
      <c r="C608" s="218" t="s">
        <v>2205</v>
      </c>
      <c r="D608" s="218" t="b">
        <v>1</v>
      </c>
      <c r="E608" s="219" t="b">
        <v>0</v>
      </c>
      <c r="F608" s="219" t="b">
        <v>0</v>
      </c>
      <c r="G608" s="219"/>
    </row>
    <row r="609">
      <c r="A609" s="218">
        <f t="shared" si="1"/>
        <v>608</v>
      </c>
      <c r="B609" s="218" t="s">
        <v>200</v>
      </c>
      <c r="C609" s="218" t="s">
        <v>2483</v>
      </c>
      <c r="D609" s="218" t="b">
        <v>1</v>
      </c>
      <c r="E609" s="219" t="b">
        <v>0</v>
      </c>
      <c r="F609" s="219" t="b">
        <v>0</v>
      </c>
      <c r="G609" s="219"/>
    </row>
    <row r="610">
      <c r="A610" s="218">
        <f t="shared" si="1"/>
        <v>609</v>
      </c>
      <c r="B610" s="218" t="s">
        <v>200</v>
      </c>
      <c r="C610" s="218" t="s">
        <v>2298</v>
      </c>
      <c r="D610" s="218" t="b">
        <v>1</v>
      </c>
      <c r="E610" s="219" t="b">
        <v>0</v>
      </c>
      <c r="F610" s="219" t="b">
        <v>0</v>
      </c>
      <c r="G610" s="219"/>
    </row>
    <row r="611">
      <c r="A611" s="218">
        <f t="shared" si="1"/>
        <v>610</v>
      </c>
      <c r="B611" s="218" t="s">
        <v>200</v>
      </c>
      <c r="C611" s="218" t="s">
        <v>2294</v>
      </c>
      <c r="D611" s="218" t="b">
        <v>1</v>
      </c>
      <c r="E611" s="219" t="b">
        <v>0</v>
      </c>
      <c r="F611" s="219" t="b">
        <v>0</v>
      </c>
      <c r="G611" s="219"/>
    </row>
    <row r="612">
      <c r="A612" s="218">
        <f t="shared" si="1"/>
        <v>611</v>
      </c>
      <c r="B612" s="218" t="s">
        <v>200</v>
      </c>
      <c r="C612" s="218" t="s">
        <v>2081</v>
      </c>
      <c r="D612" s="218" t="b">
        <v>1</v>
      </c>
      <c r="E612" s="219" t="b">
        <v>0</v>
      </c>
      <c r="F612" s="219" t="b">
        <v>0</v>
      </c>
      <c r="G612" s="219"/>
    </row>
    <row r="613">
      <c r="A613" s="218">
        <f t="shared" si="1"/>
        <v>612</v>
      </c>
      <c r="B613" s="218" t="s">
        <v>200</v>
      </c>
      <c r="C613" s="218" t="s">
        <v>2368</v>
      </c>
      <c r="D613" s="218" t="b">
        <v>1</v>
      </c>
      <c r="E613" s="219" t="b">
        <v>0</v>
      </c>
      <c r="F613" s="219" t="b">
        <v>0</v>
      </c>
      <c r="G613" s="219"/>
    </row>
    <row r="614">
      <c r="A614" s="218">
        <f t="shared" si="1"/>
        <v>613</v>
      </c>
      <c r="B614" s="218" t="s">
        <v>200</v>
      </c>
      <c r="C614" s="218" t="s">
        <v>2373</v>
      </c>
      <c r="D614" s="218" t="b">
        <v>1</v>
      </c>
      <c r="E614" s="219" t="b">
        <v>0</v>
      </c>
      <c r="F614" s="219" t="b">
        <v>0</v>
      </c>
      <c r="G614" s="219"/>
    </row>
    <row r="615">
      <c r="A615" s="218">
        <f t="shared" si="1"/>
        <v>614</v>
      </c>
      <c r="B615" s="218" t="s">
        <v>200</v>
      </c>
      <c r="C615" s="218" t="s">
        <v>2269</v>
      </c>
      <c r="D615" s="218" t="b">
        <v>1</v>
      </c>
      <c r="E615" s="219" t="b">
        <v>0</v>
      </c>
      <c r="F615" s="219" t="b">
        <v>0</v>
      </c>
      <c r="G615" s="219"/>
    </row>
    <row r="616">
      <c r="A616" s="218">
        <f t="shared" si="1"/>
        <v>615</v>
      </c>
      <c r="B616" s="218" t="s">
        <v>200</v>
      </c>
      <c r="C616" s="218" t="s">
        <v>2264</v>
      </c>
      <c r="D616" s="218" t="b">
        <v>1</v>
      </c>
      <c r="E616" s="219" t="b">
        <v>0</v>
      </c>
      <c r="F616" s="219" t="b">
        <v>0</v>
      </c>
      <c r="G616" s="219"/>
    </row>
    <row r="617">
      <c r="A617" s="218">
        <f t="shared" si="1"/>
        <v>616</v>
      </c>
      <c r="B617" s="218" t="s">
        <v>200</v>
      </c>
      <c r="C617" s="218" t="s">
        <v>2095</v>
      </c>
      <c r="D617" s="218" t="b">
        <v>1</v>
      </c>
      <c r="E617" s="219" t="b">
        <v>0</v>
      </c>
      <c r="F617" s="219" t="b">
        <v>0</v>
      </c>
      <c r="G617" s="219"/>
    </row>
    <row r="618">
      <c r="A618" s="218">
        <f t="shared" si="1"/>
        <v>617</v>
      </c>
      <c r="B618" s="218" t="s">
        <v>200</v>
      </c>
      <c r="C618" s="218" t="s">
        <v>2279</v>
      </c>
      <c r="D618" s="218" t="b">
        <v>1</v>
      </c>
      <c r="E618" s="219" t="b">
        <v>0</v>
      </c>
      <c r="F618" s="219" t="b">
        <v>0</v>
      </c>
      <c r="G618" s="219"/>
    </row>
    <row r="619">
      <c r="A619" s="218">
        <f t="shared" si="1"/>
        <v>618</v>
      </c>
      <c r="B619" s="218" t="s">
        <v>200</v>
      </c>
      <c r="C619" s="218" t="s">
        <v>2279</v>
      </c>
      <c r="D619" s="218" t="b">
        <v>1</v>
      </c>
      <c r="E619" s="219" t="b">
        <v>0</v>
      </c>
      <c r="F619" s="219" t="b">
        <v>0</v>
      </c>
      <c r="G619" s="219"/>
    </row>
    <row r="620">
      <c r="A620" s="218">
        <f t="shared" si="1"/>
        <v>619</v>
      </c>
      <c r="B620" s="218" t="s">
        <v>200</v>
      </c>
      <c r="C620" s="218" t="s">
        <v>2196</v>
      </c>
      <c r="D620" s="218" t="b">
        <v>1</v>
      </c>
      <c r="E620" s="219" t="b">
        <v>0</v>
      </c>
      <c r="F620" s="219" t="b">
        <v>0</v>
      </c>
      <c r="G620" s="219"/>
    </row>
    <row r="621">
      <c r="A621" s="218">
        <f t="shared" si="1"/>
        <v>620</v>
      </c>
      <c r="B621" s="218" t="s">
        <v>200</v>
      </c>
      <c r="C621" s="218" t="s">
        <v>2191</v>
      </c>
      <c r="D621" s="218" t="b">
        <v>1</v>
      </c>
      <c r="E621" s="219" t="b">
        <v>0</v>
      </c>
      <c r="F621" s="219" t="b">
        <v>0</v>
      </c>
      <c r="G621" s="219"/>
    </row>
    <row r="622">
      <c r="A622" s="218">
        <f t="shared" si="1"/>
        <v>621</v>
      </c>
      <c r="B622" s="218" t="s">
        <v>200</v>
      </c>
      <c r="C622" s="218" t="s">
        <v>2254</v>
      </c>
      <c r="D622" s="218" t="b">
        <v>1</v>
      </c>
      <c r="E622" s="219" t="b">
        <v>0</v>
      </c>
      <c r="F622" s="219" t="b">
        <v>0</v>
      </c>
      <c r="G622" s="219"/>
    </row>
    <row r="623">
      <c r="A623" s="218">
        <f t="shared" si="1"/>
        <v>622</v>
      </c>
      <c r="B623" s="218" t="s">
        <v>200</v>
      </c>
      <c r="C623" s="218" t="s">
        <v>2249</v>
      </c>
      <c r="D623" s="218" t="b">
        <v>1</v>
      </c>
      <c r="E623" s="219" t="b">
        <v>0</v>
      </c>
      <c r="F623" s="219" t="b">
        <v>0</v>
      </c>
      <c r="G623" s="219"/>
    </row>
    <row r="624">
      <c r="A624" s="218">
        <f t="shared" si="1"/>
        <v>623</v>
      </c>
      <c r="B624" s="218" t="s">
        <v>200</v>
      </c>
      <c r="C624" s="218" t="s">
        <v>2244</v>
      </c>
      <c r="D624" s="218" t="b">
        <v>1</v>
      </c>
      <c r="E624" s="219" t="b">
        <v>0</v>
      </c>
      <c r="F624" s="219" t="b">
        <v>0</v>
      </c>
      <c r="G624" s="219"/>
    </row>
    <row r="625">
      <c r="A625" s="218">
        <f t="shared" si="1"/>
        <v>624</v>
      </c>
      <c r="B625" s="218" t="s">
        <v>200</v>
      </c>
      <c r="C625" s="218" t="s">
        <v>2064</v>
      </c>
      <c r="D625" s="218" t="b">
        <v>1</v>
      </c>
      <c r="E625" s="219" t="b">
        <v>0</v>
      </c>
      <c r="F625" s="219" t="b">
        <v>0</v>
      </c>
      <c r="G625" s="219"/>
    </row>
    <row r="626">
      <c r="A626" s="218">
        <f t="shared" si="1"/>
        <v>625</v>
      </c>
      <c r="B626" s="218" t="s">
        <v>200</v>
      </c>
      <c r="C626" s="218" t="s">
        <v>2308</v>
      </c>
      <c r="D626" s="218" t="b">
        <v>1</v>
      </c>
      <c r="E626" s="219" t="b">
        <v>0</v>
      </c>
      <c r="F626" s="219" t="b">
        <v>0</v>
      </c>
      <c r="G626" s="219"/>
    </row>
    <row r="627">
      <c r="A627" s="218">
        <f t="shared" si="1"/>
        <v>626</v>
      </c>
      <c r="B627" s="218" t="s">
        <v>200</v>
      </c>
      <c r="C627" s="218" t="s">
        <v>2219</v>
      </c>
      <c r="D627" s="218" t="b">
        <v>1</v>
      </c>
      <c r="E627" s="219" t="b">
        <v>0</v>
      </c>
      <c r="F627" s="219" t="b">
        <v>0</v>
      </c>
      <c r="G627" s="219"/>
    </row>
    <row r="628">
      <c r="A628" s="218">
        <f t="shared" si="1"/>
        <v>627</v>
      </c>
      <c r="B628" s="218" t="s">
        <v>200</v>
      </c>
      <c r="C628" s="218" t="s">
        <v>2312</v>
      </c>
      <c r="D628" s="218" t="b">
        <v>1</v>
      </c>
      <c r="E628" s="219" t="b">
        <v>0</v>
      </c>
      <c r="F628" s="219" t="b">
        <v>0</v>
      </c>
      <c r="G628" s="219"/>
    </row>
    <row r="629">
      <c r="A629" s="218">
        <f t="shared" si="1"/>
        <v>628</v>
      </c>
      <c r="B629" s="218" t="s">
        <v>200</v>
      </c>
      <c r="C629" s="218" t="s">
        <v>2166</v>
      </c>
      <c r="D629" s="218" t="b">
        <v>1</v>
      </c>
      <c r="E629" s="219" t="b">
        <v>0</v>
      </c>
      <c r="F629" s="219" t="b">
        <v>0</v>
      </c>
      <c r="G629" s="219"/>
    </row>
    <row r="630">
      <c r="A630" s="218">
        <f t="shared" si="1"/>
        <v>629</v>
      </c>
      <c r="B630" s="218" t="s">
        <v>200</v>
      </c>
      <c r="C630" s="218" t="s">
        <v>2068</v>
      </c>
      <c r="D630" s="218" t="b">
        <v>1</v>
      </c>
      <c r="E630" s="219" t="b">
        <v>0</v>
      </c>
      <c r="F630" s="219" t="b">
        <v>0</v>
      </c>
      <c r="G630" s="219"/>
    </row>
    <row r="631">
      <c r="A631" s="218">
        <f t="shared" si="1"/>
        <v>630</v>
      </c>
      <c r="B631" s="218" t="s">
        <v>200</v>
      </c>
      <c r="C631" s="218" t="s">
        <v>2059</v>
      </c>
      <c r="D631" s="218" t="b">
        <v>1</v>
      </c>
      <c r="E631" s="219" t="b">
        <v>0</v>
      </c>
      <c r="F631" s="219" t="b">
        <v>0</v>
      </c>
      <c r="G631" s="219"/>
    </row>
    <row r="632">
      <c r="A632" s="218">
        <f t="shared" si="1"/>
        <v>631</v>
      </c>
      <c r="B632" s="218" t="s">
        <v>200</v>
      </c>
      <c r="C632" s="218" t="s">
        <v>2259</v>
      </c>
      <c r="D632" s="218" t="b">
        <v>1</v>
      </c>
      <c r="E632" s="219" t="b">
        <v>0</v>
      </c>
      <c r="F632" s="219" t="b">
        <v>0</v>
      </c>
      <c r="G632" s="219"/>
    </row>
    <row r="633">
      <c r="A633" s="218">
        <f t="shared" si="1"/>
        <v>632</v>
      </c>
      <c r="B633" s="218" t="s">
        <v>200</v>
      </c>
      <c r="C633" s="218" t="s">
        <v>2099</v>
      </c>
      <c r="D633" s="218" t="b">
        <v>1</v>
      </c>
      <c r="E633" s="219" t="b">
        <v>0</v>
      </c>
      <c r="F633" s="219" t="b">
        <v>0</v>
      </c>
      <c r="G633" s="219"/>
    </row>
    <row r="634">
      <c r="A634" s="218">
        <f t="shared" si="1"/>
        <v>633</v>
      </c>
      <c r="B634" s="218" t="s">
        <v>200</v>
      </c>
      <c r="C634" s="218" t="s">
        <v>5137</v>
      </c>
      <c r="D634" s="218" t="b">
        <v>1</v>
      </c>
      <c r="E634" s="219" t="b">
        <v>0</v>
      </c>
      <c r="F634" s="219" t="b">
        <v>0</v>
      </c>
      <c r="G634" s="219"/>
    </row>
    <row r="635">
      <c r="A635" s="218">
        <f t="shared" si="1"/>
        <v>634</v>
      </c>
      <c r="B635" s="218" t="s">
        <v>200</v>
      </c>
      <c r="C635" s="218" t="s">
        <v>5159</v>
      </c>
      <c r="D635" s="218" t="b">
        <v>1</v>
      </c>
      <c r="E635" s="219" t="b">
        <v>0</v>
      </c>
      <c r="F635" s="219" t="b">
        <v>0</v>
      </c>
      <c r="G635" s="219"/>
    </row>
    <row r="636">
      <c r="A636" s="218">
        <f t="shared" si="1"/>
        <v>635</v>
      </c>
      <c r="B636" s="218" t="s">
        <v>200</v>
      </c>
      <c r="C636" s="218" t="s">
        <v>5096</v>
      </c>
      <c r="D636" s="218" t="b">
        <v>1</v>
      </c>
      <c r="E636" s="219" t="b">
        <v>0</v>
      </c>
      <c r="F636" s="219" t="b">
        <v>0</v>
      </c>
      <c r="G636" s="219"/>
    </row>
    <row r="637">
      <c r="A637" s="218">
        <f t="shared" si="1"/>
        <v>636</v>
      </c>
      <c r="B637" s="218" t="s">
        <v>200</v>
      </c>
      <c r="C637" s="218" t="s">
        <v>5086</v>
      </c>
      <c r="D637" s="218" t="b">
        <v>1</v>
      </c>
      <c r="E637" s="219" t="b">
        <v>0</v>
      </c>
      <c r="F637" s="219" t="b">
        <v>0</v>
      </c>
      <c r="G637" s="219"/>
    </row>
    <row r="638">
      <c r="A638" s="218">
        <f t="shared" si="1"/>
        <v>637</v>
      </c>
      <c r="B638" s="218" t="s">
        <v>200</v>
      </c>
      <c r="C638" s="218" t="s">
        <v>5205</v>
      </c>
      <c r="D638" s="218" t="b">
        <v>1</v>
      </c>
      <c r="E638" s="219" t="b">
        <v>0</v>
      </c>
      <c r="F638" s="219" t="b">
        <v>0</v>
      </c>
      <c r="G638" s="219"/>
    </row>
    <row r="639">
      <c r="A639" s="218">
        <f t="shared" si="1"/>
        <v>638</v>
      </c>
      <c r="B639" s="218" t="s">
        <v>200</v>
      </c>
      <c r="C639" s="218" t="s">
        <v>876</v>
      </c>
      <c r="D639" s="218" t="b">
        <v>1</v>
      </c>
      <c r="E639" s="219" t="b">
        <v>0</v>
      </c>
      <c r="F639" s="219" t="b">
        <v>0</v>
      </c>
      <c r="G639" s="219"/>
    </row>
    <row r="640">
      <c r="A640" s="218">
        <f t="shared" si="1"/>
        <v>639</v>
      </c>
      <c r="B640" s="218" t="s">
        <v>200</v>
      </c>
      <c r="C640" s="218" t="s">
        <v>876</v>
      </c>
      <c r="D640" s="218" t="b">
        <v>1</v>
      </c>
      <c r="E640" s="219" t="b">
        <v>0</v>
      </c>
      <c r="F640" s="219" t="b">
        <v>0</v>
      </c>
      <c r="G640" s="219"/>
    </row>
    <row r="641">
      <c r="A641" s="218">
        <f t="shared" si="1"/>
        <v>640</v>
      </c>
      <c r="B641" s="218" t="s">
        <v>200</v>
      </c>
      <c r="C641" s="218" t="s">
        <v>5003</v>
      </c>
      <c r="D641" s="218" t="b">
        <v>1</v>
      </c>
      <c r="E641" s="219" t="b">
        <v>0</v>
      </c>
      <c r="F641" s="219" t="b">
        <v>0</v>
      </c>
      <c r="G641" s="219"/>
    </row>
    <row r="642">
      <c r="A642" s="218">
        <f t="shared" si="1"/>
        <v>641</v>
      </c>
      <c r="B642" s="218" t="s">
        <v>200</v>
      </c>
      <c r="C642" s="218" t="s">
        <v>5006</v>
      </c>
      <c r="D642" s="218" t="b">
        <v>1</v>
      </c>
      <c r="E642" s="219" t="b">
        <v>0</v>
      </c>
      <c r="F642" s="219" t="b">
        <v>0</v>
      </c>
      <c r="G642" s="219"/>
    </row>
    <row r="643">
      <c r="A643" s="218">
        <f t="shared" si="1"/>
        <v>642</v>
      </c>
      <c r="B643" s="218" t="s">
        <v>200</v>
      </c>
      <c r="C643" s="218" t="s">
        <v>5026</v>
      </c>
      <c r="D643" s="218" t="b">
        <v>1</v>
      </c>
      <c r="E643" s="219" t="b">
        <v>0</v>
      </c>
      <c r="F643" s="219" t="b">
        <v>0</v>
      </c>
      <c r="G643" s="219"/>
    </row>
    <row r="644">
      <c r="A644" s="218">
        <f t="shared" si="1"/>
        <v>643</v>
      </c>
      <c r="B644" s="218" t="s">
        <v>200</v>
      </c>
      <c r="C644" s="218" t="s">
        <v>5032</v>
      </c>
      <c r="D644" s="218" t="b">
        <v>1</v>
      </c>
      <c r="E644" s="219" t="b">
        <v>0</v>
      </c>
      <c r="F644" s="219" t="b">
        <v>0</v>
      </c>
      <c r="G644" s="219"/>
    </row>
    <row r="645">
      <c r="A645" s="218">
        <f t="shared" si="1"/>
        <v>644</v>
      </c>
      <c r="B645" s="218" t="s">
        <v>200</v>
      </c>
      <c r="C645" s="218" t="s">
        <v>5039</v>
      </c>
      <c r="D645" s="218" t="b">
        <v>1</v>
      </c>
      <c r="E645" s="219" t="b">
        <v>0</v>
      </c>
      <c r="F645" s="219" t="b">
        <v>0</v>
      </c>
      <c r="G645" s="219"/>
    </row>
    <row r="646">
      <c r="A646" s="218">
        <f t="shared" si="1"/>
        <v>645</v>
      </c>
      <c r="B646" s="218" t="s">
        <v>200</v>
      </c>
      <c r="C646" s="218" t="s">
        <v>5044</v>
      </c>
      <c r="D646" s="218" t="b">
        <v>1</v>
      </c>
      <c r="E646" s="219" t="b">
        <v>0</v>
      </c>
      <c r="F646" s="219" t="b">
        <v>0</v>
      </c>
      <c r="G646" s="219"/>
    </row>
    <row r="647">
      <c r="A647" s="218">
        <f t="shared" si="1"/>
        <v>646</v>
      </c>
      <c r="B647" s="218" t="s">
        <v>200</v>
      </c>
      <c r="C647" s="218" t="s">
        <v>3290</v>
      </c>
      <c r="D647" s="218" t="b">
        <v>1</v>
      </c>
      <c r="E647" s="219" t="b">
        <v>0</v>
      </c>
      <c r="F647" s="219" t="b">
        <v>0</v>
      </c>
      <c r="G647" s="219"/>
    </row>
    <row r="648">
      <c r="A648" s="218">
        <f t="shared" si="1"/>
        <v>647</v>
      </c>
      <c r="B648" s="218" t="s">
        <v>200</v>
      </c>
      <c r="C648" s="218" t="s">
        <v>3286</v>
      </c>
      <c r="D648" s="218" t="b">
        <v>1</v>
      </c>
      <c r="E648" s="219" t="b">
        <v>0</v>
      </c>
      <c r="F648" s="219" t="b">
        <v>0</v>
      </c>
      <c r="G648" s="219"/>
    </row>
    <row r="649">
      <c r="A649" s="218">
        <f t="shared" si="1"/>
        <v>648</v>
      </c>
      <c r="B649" s="218" t="s">
        <v>200</v>
      </c>
      <c r="C649" s="218" t="s">
        <v>3281</v>
      </c>
      <c r="D649" s="218" t="b">
        <v>1</v>
      </c>
      <c r="E649" s="219" t="b">
        <v>0</v>
      </c>
      <c r="F649" s="219" t="b">
        <v>0</v>
      </c>
      <c r="G649" s="219"/>
    </row>
    <row r="650">
      <c r="A650" s="218">
        <f t="shared" si="1"/>
        <v>649</v>
      </c>
      <c r="B650" s="218" t="s">
        <v>200</v>
      </c>
      <c r="C650" s="218" t="s">
        <v>3276</v>
      </c>
      <c r="D650" s="218" t="b">
        <v>1</v>
      </c>
      <c r="E650" s="219" t="b">
        <v>0</v>
      </c>
      <c r="F650" s="219" t="b">
        <v>0</v>
      </c>
      <c r="G650" s="219"/>
    </row>
    <row r="651">
      <c r="A651" s="218">
        <f t="shared" si="1"/>
        <v>650</v>
      </c>
      <c r="B651" s="218" t="s">
        <v>200</v>
      </c>
      <c r="C651" s="218" t="s">
        <v>3276</v>
      </c>
      <c r="D651" s="218" t="b">
        <v>1</v>
      </c>
      <c r="E651" s="219" t="b">
        <v>0</v>
      </c>
      <c r="F651" s="219" t="b">
        <v>0</v>
      </c>
      <c r="G651" s="219"/>
    </row>
    <row r="652">
      <c r="A652" s="218">
        <f t="shared" si="1"/>
        <v>651</v>
      </c>
      <c r="B652" s="218" t="s">
        <v>200</v>
      </c>
      <c r="C652" s="218" t="s">
        <v>3198</v>
      </c>
      <c r="D652" s="218" t="b">
        <v>1</v>
      </c>
      <c r="E652" s="219" t="b">
        <v>0</v>
      </c>
      <c r="F652" s="219" t="b">
        <v>0</v>
      </c>
      <c r="G652" s="219"/>
    </row>
    <row r="653">
      <c r="A653" s="218">
        <f t="shared" si="1"/>
        <v>652</v>
      </c>
      <c r="B653" s="218" t="s">
        <v>200</v>
      </c>
      <c r="C653" s="218" t="s">
        <v>3342</v>
      </c>
      <c r="D653" s="218" t="b">
        <v>1</v>
      </c>
      <c r="E653" s="219" t="b">
        <v>0</v>
      </c>
      <c r="F653" s="219" t="b">
        <v>0</v>
      </c>
      <c r="G653" s="219"/>
    </row>
    <row r="654">
      <c r="A654" s="218">
        <f t="shared" si="1"/>
        <v>653</v>
      </c>
      <c r="B654" s="218" t="s">
        <v>200</v>
      </c>
      <c r="C654" s="218" t="s">
        <v>3360</v>
      </c>
      <c r="D654" s="218" t="b">
        <v>1</v>
      </c>
      <c r="E654" s="219" t="b">
        <v>0</v>
      </c>
      <c r="F654" s="219" t="b">
        <v>0</v>
      </c>
      <c r="G654" s="219"/>
    </row>
    <row r="655">
      <c r="A655" s="218">
        <f t="shared" si="1"/>
        <v>654</v>
      </c>
      <c r="B655" s="218" t="s">
        <v>200</v>
      </c>
      <c r="C655" s="218" t="s">
        <v>848</v>
      </c>
      <c r="D655" s="218" t="b">
        <v>1</v>
      </c>
      <c r="E655" s="219" t="b">
        <v>0</v>
      </c>
      <c r="F655" s="219" t="b">
        <v>0</v>
      </c>
      <c r="G655" s="219"/>
    </row>
    <row r="656">
      <c r="A656" s="218">
        <f t="shared" si="1"/>
        <v>655</v>
      </c>
      <c r="B656" s="218" t="s">
        <v>200</v>
      </c>
      <c r="C656" s="218" t="s">
        <v>853</v>
      </c>
      <c r="D656" s="218" t="b">
        <v>1</v>
      </c>
      <c r="E656" s="219" t="b">
        <v>0</v>
      </c>
      <c r="F656" s="219" t="b">
        <v>0</v>
      </c>
      <c r="G656" s="219"/>
    </row>
    <row r="657">
      <c r="A657" s="218">
        <f t="shared" si="1"/>
        <v>656</v>
      </c>
      <c r="B657" s="218" t="s">
        <v>200</v>
      </c>
      <c r="C657" s="218" t="s">
        <v>862</v>
      </c>
      <c r="D657" s="218" t="b">
        <v>1</v>
      </c>
      <c r="E657" s="219" t="b">
        <v>0</v>
      </c>
      <c r="F657" s="219" t="b">
        <v>0</v>
      </c>
      <c r="G657" s="219"/>
    </row>
    <row r="658">
      <c r="A658" s="218">
        <f t="shared" si="1"/>
        <v>657</v>
      </c>
      <c r="B658" s="218" t="s">
        <v>200</v>
      </c>
      <c r="C658" s="218" t="s">
        <v>5155</v>
      </c>
      <c r="D658" s="218" t="b">
        <v>1</v>
      </c>
      <c r="E658" s="219" t="b">
        <v>0</v>
      </c>
      <c r="F658" s="219" t="b">
        <v>0</v>
      </c>
      <c r="G658" s="219"/>
    </row>
    <row r="659">
      <c r="A659" s="218">
        <f t="shared" si="1"/>
        <v>658</v>
      </c>
      <c r="B659" s="218" t="s">
        <v>200</v>
      </c>
      <c r="C659" s="218" t="s">
        <v>5127</v>
      </c>
      <c r="D659" s="218" t="b">
        <v>1</v>
      </c>
      <c r="E659" s="219" t="b">
        <v>0</v>
      </c>
      <c r="F659" s="219" t="b">
        <v>0</v>
      </c>
      <c r="G659" s="219"/>
    </row>
    <row r="660">
      <c r="A660" s="218">
        <f t="shared" si="1"/>
        <v>659</v>
      </c>
      <c r="B660" s="218" t="s">
        <v>200</v>
      </c>
      <c r="C660" s="218" t="s">
        <v>4794</v>
      </c>
      <c r="D660" s="218" t="b">
        <v>1</v>
      </c>
      <c r="E660" s="219" t="b">
        <v>0</v>
      </c>
      <c r="F660" s="219" t="b">
        <v>0</v>
      </c>
      <c r="G660" s="219"/>
    </row>
    <row r="661">
      <c r="A661" s="218">
        <f t="shared" si="1"/>
        <v>660</v>
      </c>
      <c r="B661" s="218" t="s">
        <v>200</v>
      </c>
      <c r="C661" s="218" t="s">
        <v>1288</v>
      </c>
      <c r="D661" s="218" t="b">
        <v>1</v>
      </c>
      <c r="E661" s="219" t="b">
        <v>0</v>
      </c>
      <c r="F661" s="219" t="b">
        <v>0</v>
      </c>
      <c r="G661" s="219"/>
    </row>
    <row r="662">
      <c r="A662" s="218">
        <f t="shared" si="1"/>
        <v>661</v>
      </c>
      <c r="B662" s="218" t="s">
        <v>200</v>
      </c>
      <c r="C662" s="218" t="s">
        <v>1214</v>
      </c>
      <c r="D662" s="218" t="b">
        <v>1</v>
      </c>
      <c r="E662" s="219" t="b">
        <v>0</v>
      </c>
      <c r="F662" s="219" t="b">
        <v>0</v>
      </c>
      <c r="G662" s="219"/>
    </row>
    <row r="663">
      <c r="A663" s="218">
        <f t="shared" si="1"/>
        <v>662</v>
      </c>
      <c r="B663" s="218" t="s">
        <v>200</v>
      </c>
      <c r="C663" s="218" t="s">
        <v>1224</v>
      </c>
      <c r="D663" s="218" t="b">
        <v>1</v>
      </c>
      <c r="E663" s="219" t="b">
        <v>0</v>
      </c>
      <c r="F663" s="219" t="b">
        <v>0</v>
      </c>
      <c r="G663" s="219"/>
    </row>
    <row r="664">
      <c r="A664" s="218">
        <f t="shared" si="1"/>
        <v>663</v>
      </c>
      <c r="B664" s="218" t="s">
        <v>200</v>
      </c>
      <c r="C664" s="218" t="s">
        <v>1173</v>
      </c>
      <c r="D664" s="218" t="b">
        <v>1</v>
      </c>
      <c r="E664" s="219" t="b">
        <v>0</v>
      </c>
      <c r="F664" s="219" t="b">
        <v>0</v>
      </c>
      <c r="G664" s="219"/>
    </row>
    <row r="665">
      <c r="A665" s="218">
        <f t="shared" si="1"/>
        <v>664</v>
      </c>
      <c r="B665" s="218" t="s">
        <v>200</v>
      </c>
      <c r="C665" s="218" t="s">
        <v>1200</v>
      </c>
      <c r="D665" s="218" t="b">
        <v>1</v>
      </c>
      <c r="E665" s="219" t="b">
        <v>0</v>
      </c>
      <c r="F665" s="219" t="b">
        <v>0</v>
      </c>
      <c r="G665" s="219"/>
    </row>
    <row r="666">
      <c r="A666" s="218">
        <f t="shared" si="1"/>
        <v>665</v>
      </c>
      <c r="B666" s="218" t="s">
        <v>200</v>
      </c>
      <c r="C666" s="218" t="s">
        <v>1273</v>
      </c>
      <c r="D666" s="218" t="b">
        <v>1</v>
      </c>
      <c r="E666" s="219" t="b">
        <v>0</v>
      </c>
      <c r="F666" s="219" t="b">
        <v>0</v>
      </c>
      <c r="G666" s="219"/>
    </row>
    <row r="667">
      <c r="A667" s="218">
        <f t="shared" si="1"/>
        <v>666</v>
      </c>
      <c r="B667" s="218" t="s">
        <v>200</v>
      </c>
      <c r="C667" s="218" t="s">
        <v>1205</v>
      </c>
      <c r="D667" s="218" t="b">
        <v>1</v>
      </c>
      <c r="E667" s="219" t="b">
        <v>0</v>
      </c>
      <c r="F667" s="219" t="b">
        <v>0</v>
      </c>
      <c r="G667" s="219"/>
    </row>
    <row r="668">
      <c r="A668" s="218">
        <f t="shared" si="1"/>
        <v>667</v>
      </c>
      <c r="B668" s="218" t="s">
        <v>200</v>
      </c>
      <c r="C668" s="218" t="s">
        <v>1210</v>
      </c>
      <c r="D668" s="218" t="b">
        <v>1</v>
      </c>
      <c r="E668" s="219" t="b">
        <v>0</v>
      </c>
      <c r="F668" s="219" t="b">
        <v>0</v>
      </c>
      <c r="G668" s="219"/>
    </row>
    <row r="669">
      <c r="A669" s="218">
        <f t="shared" si="1"/>
        <v>668</v>
      </c>
      <c r="B669" s="218" t="s">
        <v>200</v>
      </c>
      <c r="C669" s="218" t="s">
        <v>1321</v>
      </c>
      <c r="D669" s="218" t="b">
        <v>1</v>
      </c>
      <c r="E669" s="219" t="b">
        <v>0</v>
      </c>
      <c r="F669" s="219" t="b">
        <v>0</v>
      </c>
      <c r="G669" s="219"/>
    </row>
    <row r="670">
      <c r="A670" s="218">
        <f t="shared" si="1"/>
        <v>669</v>
      </c>
      <c r="B670" s="218" t="s">
        <v>200</v>
      </c>
      <c r="C670" s="218" t="s">
        <v>1234</v>
      </c>
      <c r="D670" s="218" t="b">
        <v>1</v>
      </c>
      <c r="E670" s="219" t="b">
        <v>0</v>
      </c>
      <c r="F670" s="219" t="b">
        <v>0</v>
      </c>
      <c r="G670" s="219"/>
    </row>
    <row r="671">
      <c r="A671" s="218">
        <f t="shared" si="1"/>
        <v>670</v>
      </c>
      <c r="B671" s="218" t="s">
        <v>200</v>
      </c>
      <c r="C671" s="218" t="s">
        <v>1177</v>
      </c>
      <c r="D671" s="218" t="b">
        <v>1</v>
      </c>
      <c r="E671" s="219" t="b">
        <v>0</v>
      </c>
      <c r="F671" s="219" t="b">
        <v>0</v>
      </c>
      <c r="G671" s="219"/>
    </row>
    <row r="672">
      <c r="A672" s="218">
        <f t="shared" si="1"/>
        <v>671</v>
      </c>
      <c r="B672" s="218" t="s">
        <v>200</v>
      </c>
      <c r="C672" s="218" t="s">
        <v>1130</v>
      </c>
      <c r="D672" s="218" t="b">
        <v>1</v>
      </c>
      <c r="E672" s="219" t="b">
        <v>0</v>
      </c>
      <c r="F672" s="219" t="b">
        <v>0</v>
      </c>
      <c r="G672" s="219"/>
    </row>
    <row r="673">
      <c r="A673" s="218">
        <f t="shared" si="1"/>
        <v>672</v>
      </c>
      <c r="B673" s="218" t="s">
        <v>200</v>
      </c>
      <c r="C673" s="218" t="s">
        <v>1263</v>
      </c>
      <c r="D673" s="218" t="b">
        <v>1</v>
      </c>
      <c r="E673" s="219" t="b">
        <v>0</v>
      </c>
      <c r="F673" s="219" t="b">
        <v>0</v>
      </c>
      <c r="G673" s="219"/>
    </row>
    <row r="674">
      <c r="A674" s="218">
        <f t="shared" si="1"/>
        <v>673</v>
      </c>
      <c r="B674" s="218" t="s">
        <v>200</v>
      </c>
      <c r="C674" s="218" t="s">
        <v>1303</v>
      </c>
      <c r="D674" s="218" t="b">
        <v>1</v>
      </c>
      <c r="E674" s="219" t="b">
        <v>0</v>
      </c>
      <c r="F674" s="219" t="b">
        <v>0</v>
      </c>
      <c r="G674" s="219"/>
    </row>
    <row r="675">
      <c r="A675" s="218">
        <f t="shared" si="1"/>
        <v>674</v>
      </c>
      <c r="B675" s="218" t="s">
        <v>200</v>
      </c>
      <c r="C675" s="218" t="s">
        <v>1312</v>
      </c>
      <c r="D675" s="218" t="b">
        <v>1</v>
      </c>
      <c r="E675" s="219" t="b">
        <v>0</v>
      </c>
      <c r="F675" s="219" t="b">
        <v>0</v>
      </c>
      <c r="G675" s="219"/>
    </row>
    <row r="676">
      <c r="A676" s="218">
        <f t="shared" si="1"/>
        <v>675</v>
      </c>
      <c r="B676" s="218" t="s">
        <v>200</v>
      </c>
      <c r="C676" s="218" t="s">
        <v>1312</v>
      </c>
      <c r="D676" s="218" t="b">
        <v>1</v>
      </c>
      <c r="E676" s="219" t="b">
        <v>0</v>
      </c>
      <c r="F676" s="219" t="b">
        <v>0</v>
      </c>
      <c r="G676" s="219"/>
    </row>
    <row r="677">
      <c r="A677" s="218">
        <f t="shared" si="1"/>
        <v>676</v>
      </c>
      <c r="B677" s="218" t="s">
        <v>200</v>
      </c>
      <c r="C677" s="218" t="s">
        <v>1181</v>
      </c>
      <c r="D677" s="218" t="b">
        <v>1</v>
      </c>
      <c r="E677" s="219" t="b">
        <v>0</v>
      </c>
      <c r="F677" s="219" t="b">
        <v>0</v>
      </c>
      <c r="G677" s="219"/>
    </row>
    <row r="678">
      <c r="A678" s="218">
        <f t="shared" si="1"/>
        <v>677</v>
      </c>
      <c r="B678" s="218" t="s">
        <v>200</v>
      </c>
      <c r="C678" s="218" t="s">
        <v>1195</v>
      </c>
      <c r="D678" s="218" t="b">
        <v>1</v>
      </c>
      <c r="E678" s="219" t="b">
        <v>0</v>
      </c>
      <c r="F678" s="219" t="b">
        <v>0</v>
      </c>
      <c r="G678" s="219"/>
    </row>
    <row r="679">
      <c r="A679" s="218">
        <f t="shared" si="1"/>
        <v>678</v>
      </c>
      <c r="B679" s="218" t="s">
        <v>200</v>
      </c>
      <c r="C679" s="218" t="s">
        <v>1195</v>
      </c>
      <c r="D679" s="218" t="b">
        <v>1</v>
      </c>
      <c r="E679" s="219" t="b">
        <v>0</v>
      </c>
      <c r="F679" s="219" t="b">
        <v>0</v>
      </c>
      <c r="G679" s="219"/>
    </row>
    <row r="680">
      <c r="A680" s="218">
        <f t="shared" si="1"/>
        <v>679</v>
      </c>
      <c r="B680" s="218" t="s">
        <v>200</v>
      </c>
      <c r="C680" s="218" t="s">
        <v>1293</v>
      </c>
      <c r="D680" s="218" t="b">
        <v>1</v>
      </c>
      <c r="E680" s="219" t="b">
        <v>0</v>
      </c>
      <c r="F680" s="219" t="b">
        <v>0</v>
      </c>
      <c r="G680" s="219"/>
    </row>
    <row r="681">
      <c r="A681" s="218">
        <f t="shared" si="1"/>
        <v>680</v>
      </c>
      <c r="B681" s="218" t="s">
        <v>200</v>
      </c>
      <c r="C681" s="218" t="s">
        <v>1268</v>
      </c>
      <c r="D681" s="218" t="b">
        <v>1</v>
      </c>
      <c r="E681" s="219" t="b">
        <v>0</v>
      </c>
      <c r="F681" s="219" t="b">
        <v>0</v>
      </c>
      <c r="G681" s="219"/>
    </row>
    <row r="682">
      <c r="A682" s="218">
        <f t="shared" si="1"/>
        <v>681</v>
      </c>
      <c r="B682" s="218" t="s">
        <v>200</v>
      </c>
      <c r="C682" s="218" t="s">
        <v>1253</v>
      </c>
      <c r="D682" s="218" t="b">
        <v>1</v>
      </c>
      <c r="E682" s="219" t="b">
        <v>0</v>
      </c>
      <c r="F682" s="219" t="b">
        <v>0</v>
      </c>
      <c r="G682" s="219"/>
    </row>
    <row r="683">
      <c r="A683" s="218">
        <f t="shared" si="1"/>
        <v>682</v>
      </c>
      <c r="B683" s="218" t="s">
        <v>200</v>
      </c>
      <c r="C683" s="218" t="s">
        <v>1410</v>
      </c>
      <c r="D683" s="218" t="b">
        <v>1</v>
      </c>
      <c r="E683" s="219" t="b">
        <v>0</v>
      </c>
      <c r="F683" s="219" t="b">
        <v>0</v>
      </c>
      <c r="G683" s="219"/>
    </row>
    <row r="684">
      <c r="A684" s="218">
        <f t="shared" si="1"/>
        <v>683</v>
      </c>
      <c r="B684" s="218" t="s">
        <v>200</v>
      </c>
      <c r="C684" s="218" t="s">
        <v>1316</v>
      </c>
      <c r="D684" s="218" t="b">
        <v>1</v>
      </c>
      <c r="E684" s="219" t="b">
        <v>0</v>
      </c>
      <c r="F684" s="219" t="b">
        <v>0</v>
      </c>
      <c r="G684" s="219"/>
    </row>
    <row r="685">
      <c r="A685" s="218">
        <f t="shared" si="1"/>
        <v>684</v>
      </c>
      <c r="B685" s="218" t="s">
        <v>200</v>
      </c>
      <c r="C685" s="218" t="s">
        <v>1126</v>
      </c>
      <c r="D685" s="218" t="b">
        <v>1</v>
      </c>
      <c r="E685" s="219" t="b">
        <v>0</v>
      </c>
      <c r="F685" s="219" t="b">
        <v>0</v>
      </c>
      <c r="G685" s="219"/>
    </row>
    <row r="686">
      <c r="A686" s="218">
        <f t="shared" si="1"/>
        <v>685</v>
      </c>
      <c r="B686" s="218" t="s">
        <v>200</v>
      </c>
      <c r="C686" s="218" t="s">
        <v>1348</v>
      </c>
      <c r="D686" s="218" t="b">
        <v>1</v>
      </c>
      <c r="E686" s="219" t="b">
        <v>0</v>
      </c>
      <c r="F686" s="219" t="b">
        <v>0</v>
      </c>
      <c r="G686" s="219"/>
    </row>
    <row r="687">
      <c r="A687" s="218">
        <f t="shared" si="1"/>
        <v>686</v>
      </c>
      <c r="B687" s="218" t="s">
        <v>200</v>
      </c>
      <c r="C687" s="218" t="s">
        <v>1363</v>
      </c>
      <c r="D687" s="218" t="b">
        <v>1</v>
      </c>
      <c r="E687" s="219" t="b">
        <v>0</v>
      </c>
      <c r="F687" s="219" t="b">
        <v>0</v>
      </c>
      <c r="G687" s="219"/>
    </row>
    <row r="688">
      <c r="A688" s="218">
        <f t="shared" si="1"/>
        <v>687</v>
      </c>
      <c r="B688" s="218" t="s">
        <v>200</v>
      </c>
      <c r="C688" s="218" t="s">
        <v>1797</v>
      </c>
      <c r="D688" s="218" t="b">
        <v>1</v>
      </c>
      <c r="E688" s="219" t="b">
        <v>0</v>
      </c>
      <c r="F688" s="219" t="b">
        <v>0</v>
      </c>
      <c r="G688" s="219"/>
    </row>
    <row r="689">
      <c r="A689" s="218">
        <f t="shared" si="1"/>
        <v>688</v>
      </c>
      <c r="B689" s="218" t="s">
        <v>200</v>
      </c>
      <c r="C689" s="218" t="s">
        <v>1917</v>
      </c>
      <c r="D689" s="218" t="b">
        <v>1</v>
      </c>
      <c r="E689" s="219" t="b">
        <v>0</v>
      </c>
      <c r="F689" s="219" t="b">
        <v>0</v>
      </c>
      <c r="G689" s="219"/>
    </row>
    <row r="690">
      <c r="A690" s="218">
        <f t="shared" si="1"/>
        <v>689</v>
      </c>
      <c r="B690" s="218" t="s">
        <v>200</v>
      </c>
      <c r="C690" s="218" t="s">
        <v>1930</v>
      </c>
      <c r="D690" s="218" t="b">
        <v>1</v>
      </c>
      <c r="E690" s="219" t="b">
        <v>0</v>
      </c>
      <c r="F690" s="219" t="b">
        <v>0</v>
      </c>
      <c r="G690" s="219"/>
    </row>
    <row r="691">
      <c r="A691" s="218">
        <f t="shared" si="1"/>
        <v>690</v>
      </c>
      <c r="B691" s="218" t="s">
        <v>200</v>
      </c>
      <c r="C691" s="218" t="s">
        <v>1834</v>
      </c>
      <c r="D691" s="218" t="b">
        <v>1</v>
      </c>
      <c r="E691" s="219" t="b">
        <v>0</v>
      </c>
      <c r="F691" s="219" t="b">
        <v>0</v>
      </c>
      <c r="G691" s="219"/>
    </row>
    <row r="692">
      <c r="A692" s="218">
        <f t="shared" si="1"/>
        <v>691</v>
      </c>
      <c r="B692" s="218" t="s">
        <v>200</v>
      </c>
      <c r="C692" s="218" t="s">
        <v>1807</v>
      </c>
      <c r="D692" s="218" t="b">
        <v>1</v>
      </c>
      <c r="E692" s="219" t="b">
        <v>0</v>
      </c>
      <c r="F692" s="219" t="b">
        <v>0</v>
      </c>
      <c r="G692" s="219"/>
    </row>
    <row r="693">
      <c r="A693" s="218">
        <f t="shared" si="1"/>
        <v>692</v>
      </c>
      <c r="B693" s="218" t="s">
        <v>200</v>
      </c>
      <c r="C693" s="218" t="s">
        <v>1890</v>
      </c>
      <c r="D693" s="218" t="b">
        <v>1</v>
      </c>
      <c r="E693" s="219" t="b">
        <v>0</v>
      </c>
      <c r="F693" s="219" t="b">
        <v>0</v>
      </c>
      <c r="G693" s="219"/>
    </row>
    <row r="694">
      <c r="A694" s="218">
        <f t="shared" si="1"/>
        <v>693</v>
      </c>
      <c r="B694" s="218" t="s">
        <v>200</v>
      </c>
      <c r="C694" s="218" t="s">
        <v>2115</v>
      </c>
      <c r="D694" s="218" t="b">
        <v>1</v>
      </c>
      <c r="E694" s="219" t="b">
        <v>0</v>
      </c>
      <c r="F694" s="219" t="b">
        <v>0</v>
      </c>
      <c r="G694" s="219"/>
    </row>
    <row r="695">
      <c r="A695" s="218">
        <f t="shared" si="1"/>
        <v>694</v>
      </c>
      <c r="B695" s="218" t="s">
        <v>200</v>
      </c>
      <c r="C695" s="218" t="s">
        <v>2128</v>
      </c>
      <c r="D695" s="218" t="b">
        <v>1</v>
      </c>
      <c r="E695" s="219" t="b">
        <v>0</v>
      </c>
      <c r="F695" s="219" t="b">
        <v>0</v>
      </c>
      <c r="G695" s="219"/>
    </row>
    <row r="696">
      <c r="A696" s="218">
        <f t="shared" si="1"/>
        <v>695</v>
      </c>
      <c r="B696" s="218" t="s">
        <v>200</v>
      </c>
      <c r="C696" s="218" t="s">
        <v>2161</v>
      </c>
      <c r="D696" s="218" t="b">
        <v>1</v>
      </c>
      <c r="E696" s="219" t="b">
        <v>0</v>
      </c>
      <c r="F696" s="219" t="b">
        <v>0</v>
      </c>
      <c r="G696" s="219"/>
    </row>
    <row r="697">
      <c r="A697" s="218">
        <f t="shared" si="1"/>
        <v>696</v>
      </c>
      <c r="B697" s="218" t="s">
        <v>200</v>
      </c>
      <c r="C697" s="218" t="s">
        <v>1812</v>
      </c>
      <c r="D697" s="218" t="b">
        <v>1</v>
      </c>
      <c r="E697" s="219" t="b">
        <v>0</v>
      </c>
      <c r="F697" s="219" t="b">
        <v>0</v>
      </c>
      <c r="G697" s="219"/>
    </row>
    <row r="698">
      <c r="A698" s="218">
        <f t="shared" si="1"/>
        <v>697</v>
      </c>
      <c r="B698" s="218" t="s">
        <v>200</v>
      </c>
      <c r="C698" s="218" t="s">
        <v>1902</v>
      </c>
      <c r="D698" s="218" t="b">
        <v>1</v>
      </c>
      <c r="E698" s="219" t="b">
        <v>0</v>
      </c>
      <c r="F698" s="219" t="b">
        <v>0</v>
      </c>
      <c r="G698" s="219"/>
    </row>
    <row r="699">
      <c r="A699" s="218">
        <f t="shared" si="1"/>
        <v>698</v>
      </c>
      <c r="B699" s="218" t="s">
        <v>200</v>
      </c>
      <c r="C699" s="218" t="s">
        <v>1902</v>
      </c>
      <c r="D699" s="218" t="b">
        <v>1</v>
      </c>
      <c r="E699" s="219" t="b">
        <v>0</v>
      </c>
      <c r="F699" s="219" t="b">
        <v>0</v>
      </c>
      <c r="G699" s="219"/>
    </row>
    <row r="700">
      <c r="A700" s="218">
        <f t="shared" si="1"/>
        <v>699</v>
      </c>
      <c r="B700" s="218" t="s">
        <v>200</v>
      </c>
      <c r="C700" s="218" t="s">
        <v>2111</v>
      </c>
      <c r="D700" s="218" t="b">
        <v>1</v>
      </c>
      <c r="E700" s="219" t="b">
        <v>0</v>
      </c>
      <c r="F700" s="219" t="b">
        <v>0</v>
      </c>
      <c r="G700" s="219"/>
    </row>
    <row r="701">
      <c r="A701" s="218">
        <f t="shared" si="1"/>
        <v>700</v>
      </c>
      <c r="B701" s="218" t="s">
        <v>200</v>
      </c>
      <c r="C701" s="218" t="s">
        <v>2147</v>
      </c>
      <c r="D701" s="218" t="b">
        <v>1</v>
      </c>
      <c r="E701" s="219" t="b">
        <v>0</v>
      </c>
      <c r="F701" s="219" t="b">
        <v>0</v>
      </c>
      <c r="G701" s="219"/>
    </row>
    <row r="702">
      <c r="A702" s="218">
        <f t="shared" si="1"/>
        <v>701</v>
      </c>
      <c r="B702" s="218" t="s">
        <v>200</v>
      </c>
      <c r="C702" s="218" t="s">
        <v>1863</v>
      </c>
      <c r="D702" s="218" t="b">
        <v>1</v>
      </c>
      <c r="E702" s="219" t="b">
        <v>0</v>
      </c>
      <c r="F702" s="219" t="b">
        <v>0</v>
      </c>
      <c r="G702" s="219"/>
    </row>
    <row r="703">
      <c r="A703" s="218">
        <f t="shared" si="1"/>
        <v>702</v>
      </c>
      <c r="B703" s="218" t="s">
        <v>200</v>
      </c>
      <c r="C703" s="218" t="s">
        <v>1949</v>
      </c>
      <c r="D703" s="218" t="b">
        <v>1</v>
      </c>
      <c r="E703" s="219" t="b">
        <v>0</v>
      </c>
      <c r="F703" s="219" t="b">
        <v>0</v>
      </c>
      <c r="G703" s="219"/>
    </row>
    <row r="704">
      <c r="A704" s="218">
        <f t="shared" si="1"/>
        <v>703</v>
      </c>
      <c r="B704" s="218" t="s">
        <v>200</v>
      </c>
      <c r="C704" s="218" t="s">
        <v>2041</v>
      </c>
      <c r="D704" s="218" t="b">
        <v>1</v>
      </c>
      <c r="E704" s="219" t="b">
        <v>0</v>
      </c>
      <c r="F704" s="219" t="b">
        <v>0</v>
      </c>
      <c r="G704" s="219"/>
    </row>
    <row r="705">
      <c r="A705" s="218">
        <f t="shared" si="1"/>
        <v>704</v>
      </c>
      <c r="B705" s="218" t="s">
        <v>200</v>
      </c>
      <c r="C705" s="218" t="s">
        <v>1978</v>
      </c>
      <c r="D705" s="218" t="b">
        <v>1</v>
      </c>
      <c r="E705" s="219" t="b">
        <v>0</v>
      </c>
      <c r="F705" s="219" t="b">
        <v>0</v>
      </c>
      <c r="G705" s="219"/>
    </row>
    <row r="706">
      <c r="A706" s="218">
        <f t="shared" si="1"/>
        <v>705</v>
      </c>
      <c r="B706" s="218" t="s">
        <v>200</v>
      </c>
      <c r="C706" s="218" t="s">
        <v>1836</v>
      </c>
      <c r="D706" s="218" t="b">
        <v>1</v>
      </c>
      <c r="E706" s="219" t="b">
        <v>0</v>
      </c>
      <c r="F706" s="219" t="b">
        <v>0</v>
      </c>
      <c r="G706" s="219"/>
    </row>
    <row r="707">
      <c r="A707" s="218">
        <f t="shared" si="1"/>
        <v>706</v>
      </c>
      <c r="B707" s="218" t="s">
        <v>200</v>
      </c>
      <c r="C707" s="218" t="s">
        <v>2045</v>
      </c>
      <c r="D707" s="218" t="b">
        <v>1</v>
      </c>
      <c r="E707" s="219" t="b">
        <v>0</v>
      </c>
      <c r="F707" s="219" t="b">
        <v>0</v>
      </c>
      <c r="G707" s="219"/>
    </row>
    <row r="708">
      <c r="A708" s="218">
        <f t="shared" si="1"/>
        <v>707</v>
      </c>
      <c r="B708" s="218" t="s">
        <v>200</v>
      </c>
      <c r="C708" s="218" t="s">
        <v>1998</v>
      </c>
      <c r="D708" s="218" t="b">
        <v>1</v>
      </c>
      <c r="E708" s="219" t="b">
        <v>0</v>
      </c>
      <c r="F708" s="219" t="b">
        <v>0</v>
      </c>
      <c r="G708" s="219"/>
    </row>
    <row r="709">
      <c r="A709" s="218">
        <f t="shared" si="1"/>
        <v>708</v>
      </c>
      <c r="B709" s="218" t="s">
        <v>200</v>
      </c>
      <c r="C709" s="218" t="s">
        <v>1958</v>
      </c>
      <c r="D709" s="218" t="b">
        <v>1</v>
      </c>
      <c r="E709" s="219" t="b">
        <v>0</v>
      </c>
      <c r="F709" s="219" t="b">
        <v>0</v>
      </c>
      <c r="G709" s="219"/>
    </row>
    <row r="710">
      <c r="A710" s="218">
        <f t="shared" si="1"/>
        <v>709</v>
      </c>
      <c r="B710" s="218" t="s">
        <v>200</v>
      </c>
      <c r="C710" s="218" t="s">
        <v>2998</v>
      </c>
      <c r="D710" s="218" t="b">
        <v>1</v>
      </c>
      <c r="E710" s="219" t="b">
        <v>0</v>
      </c>
      <c r="F710" s="219" t="b">
        <v>0</v>
      </c>
      <c r="G710" s="219"/>
    </row>
    <row r="711">
      <c r="A711" s="218">
        <f t="shared" si="1"/>
        <v>710</v>
      </c>
      <c r="B711" s="218" t="s">
        <v>200</v>
      </c>
      <c r="C711" s="218" t="s">
        <v>3030</v>
      </c>
      <c r="D711" s="218" t="b">
        <v>1</v>
      </c>
      <c r="E711" s="219" t="b">
        <v>0</v>
      </c>
      <c r="F711" s="219" t="b">
        <v>0</v>
      </c>
      <c r="G711" s="219"/>
    </row>
    <row r="712">
      <c r="A712" s="218">
        <f t="shared" si="1"/>
        <v>711</v>
      </c>
      <c r="B712" s="218" t="s">
        <v>200</v>
      </c>
      <c r="C712" s="218" t="s">
        <v>2054</v>
      </c>
      <c r="D712" s="218" t="b">
        <v>1</v>
      </c>
      <c r="E712" s="219" t="b">
        <v>0</v>
      </c>
      <c r="F712" s="219" t="b">
        <v>0</v>
      </c>
      <c r="G712" s="219"/>
    </row>
    <row r="713">
      <c r="A713" s="218">
        <f t="shared" si="1"/>
        <v>712</v>
      </c>
      <c r="B713" s="218" t="s">
        <v>200</v>
      </c>
      <c r="C713" s="218" t="s">
        <v>2054</v>
      </c>
      <c r="D713" s="218" t="b">
        <v>1</v>
      </c>
      <c r="E713" s="219" t="b">
        <v>0</v>
      </c>
      <c r="F713" s="219" t="b">
        <v>0</v>
      </c>
      <c r="G713" s="219"/>
    </row>
    <row r="714">
      <c r="A714" s="218">
        <f t="shared" si="1"/>
        <v>713</v>
      </c>
      <c r="B714" s="218" t="s">
        <v>200</v>
      </c>
      <c r="C714" s="218" t="s">
        <v>3007</v>
      </c>
      <c r="D714" s="218" t="b">
        <v>1</v>
      </c>
      <c r="E714" s="219" t="b">
        <v>0</v>
      </c>
      <c r="F714" s="219" t="b">
        <v>0</v>
      </c>
      <c r="G714" s="219"/>
    </row>
    <row r="715">
      <c r="A715" s="218">
        <f t="shared" si="1"/>
        <v>714</v>
      </c>
      <c r="B715" s="218" t="s">
        <v>200</v>
      </c>
      <c r="C715" s="218" t="s">
        <v>3020</v>
      </c>
      <c r="D715" s="218" t="b">
        <v>1</v>
      </c>
      <c r="E715" s="219" t="b">
        <v>0</v>
      </c>
      <c r="F715" s="219" t="b">
        <v>0</v>
      </c>
      <c r="G715" s="219"/>
    </row>
    <row r="716">
      <c r="A716" s="218">
        <f t="shared" si="1"/>
        <v>715</v>
      </c>
      <c r="B716" s="218" t="s">
        <v>200</v>
      </c>
      <c r="C716" s="218" t="s">
        <v>3093</v>
      </c>
      <c r="D716" s="218" t="b">
        <v>1</v>
      </c>
      <c r="E716" s="219" t="b">
        <v>0</v>
      </c>
      <c r="F716" s="219" t="b">
        <v>0</v>
      </c>
      <c r="G716" s="219"/>
    </row>
    <row r="717">
      <c r="A717" s="218">
        <f t="shared" si="1"/>
        <v>716</v>
      </c>
      <c r="B717" s="218" t="s">
        <v>200</v>
      </c>
      <c r="C717" s="218" t="s">
        <v>3089</v>
      </c>
      <c r="D717" s="218" t="b">
        <v>1</v>
      </c>
      <c r="E717" s="219" t="b">
        <v>0</v>
      </c>
      <c r="F717" s="219" t="b">
        <v>0</v>
      </c>
      <c r="G717" s="219"/>
    </row>
    <row r="718">
      <c r="A718" s="218">
        <f t="shared" si="1"/>
        <v>717</v>
      </c>
      <c r="B718" s="218" t="s">
        <v>200</v>
      </c>
      <c r="C718" s="218" t="s">
        <v>3104</v>
      </c>
      <c r="D718" s="218" t="b">
        <v>1</v>
      </c>
      <c r="E718" s="219" t="b">
        <v>0</v>
      </c>
      <c r="F718" s="219" t="b">
        <v>0</v>
      </c>
      <c r="G718" s="219"/>
    </row>
    <row r="719">
      <c r="A719" s="218">
        <f t="shared" si="1"/>
        <v>718</v>
      </c>
      <c r="B719" s="218" t="s">
        <v>200</v>
      </c>
      <c r="C719" s="218" t="s">
        <v>3074</v>
      </c>
      <c r="D719" s="218" t="b">
        <v>1</v>
      </c>
      <c r="E719" s="219" t="b">
        <v>0</v>
      </c>
      <c r="F719" s="219" t="b">
        <v>0</v>
      </c>
      <c r="G719" s="219"/>
    </row>
    <row r="720">
      <c r="A720" s="218">
        <f t="shared" si="1"/>
        <v>719</v>
      </c>
      <c r="B720" s="218" t="s">
        <v>200</v>
      </c>
      <c r="C720" s="218" t="s">
        <v>3069</v>
      </c>
      <c r="D720" s="218" t="b">
        <v>1</v>
      </c>
      <c r="E720" s="219" t="b">
        <v>0</v>
      </c>
      <c r="F720" s="219" t="b">
        <v>0</v>
      </c>
      <c r="G720" s="219"/>
    </row>
    <row r="721">
      <c r="A721" s="218">
        <f t="shared" si="1"/>
        <v>720</v>
      </c>
      <c r="B721" s="218" t="s">
        <v>200</v>
      </c>
      <c r="C721" s="218" t="s">
        <v>3060</v>
      </c>
      <c r="D721" s="218" t="b">
        <v>1</v>
      </c>
      <c r="E721" s="219" t="b">
        <v>0</v>
      </c>
      <c r="F721" s="219" t="b">
        <v>0</v>
      </c>
      <c r="G721" s="219"/>
    </row>
    <row r="722">
      <c r="A722" s="218">
        <f t="shared" si="1"/>
        <v>721</v>
      </c>
      <c r="B722" s="218" t="s">
        <v>200</v>
      </c>
      <c r="C722" s="218" t="s">
        <v>3131</v>
      </c>
      <c r="D722" s="218" t="b">
        <v>1</v>
      </c>
      <c r="E722" s="219" t="b">
        <v>0</v>
      </c>
      <c r="F722" s="219" t="b">
        <v>0</v>
      </c>
      <c r="G722" s="219"/>
    </row>
    <row r="723">
      <c r="A723" s="218">
        <f t="shared" si="1"/>
        <v>722</v>
      </c>
      <c r="B723" s="218" t="s">
        <v>200</v>
      </c>
      <c r="C723" s="218" t="s">
        <v>3164</v>
      </c>
      <c r="D723" s="218" t="b">
        <v>1</v>
      </c>
      <c r="E723" s="219" t="b">
        <v>0</v>
      </c>
      <c r="F723" s="219" t="b">
        <v>0</v>
      </c>
      <c r="G723" s="219"/>
    </row>
    <row r="724">
      <c r="A724" s="218">
        <f t="shared" si="1"/>
        <v>723</v>
      </c>
      <c r="B724" s="218" t="s">
        <v>200</v>
      </c>
      <c r="C724" s="218" t="s">
        <v>3159</v>
      </c>
      <c r="D724" s="218" t="b">
        <v>1</v>
      </c>
      <c r="E724" s="219" t="b">
        <v>0</v>
      </c>
      <c r="F724" s="219" t="b">
        <v>0</v>
      </c>
      <c r="G724" s="219"/>
    </row>
    <row r="725">
      <c r="A725" s="218">
        <f t="shared" si="1"/>
        <v>724</v>
      </c>
      <c r="B725" s="218" t="s">
        <v>200</v>
      </c>
      <c r="C725" s="218" t="s">
        <v>3150</v>
      </c>
      <c r="D725" s="218" t="b">
        <v>1</v>
      </c>
      <c r="E725" s="219" t="b">
        <v>0</v>
      </c>
      <c r="F725" s="219" t="b">
        <v>0</v>
      </c>
      <c r="G725" s="219"/>
    </row>
    <row r="726">
      <c r="A726" s="218">
        <f t="shared" si="1"/>
        <v>725</v>
      </c>
      <c r="B726" s="218" t="s">
        <v>200</v>
      </c>
      <c r="C726" s="218" t="s">
        <v>3145</v>
      </c>
      <c r="D726" s="218" t="b">
        <v>1</v>
      </c>
      <c r="E726" s="219" t="b">
        <v>0</v>
      </c>
      <c r="F726" s="219" t="b">
        <v>0</v>
      </c>
      <c r="G726" s="219"/>
    </row>
    <row r="727">
      <c r="A727" s="218">
        <f t="shared" si="1"/>
        <v>726</v>
      </c>
      <c r="B727" s="218" t="s">
        <v>200</v>
      </c>
      <c r="C727" s="218" t="s">
        <v>3172</v>
      </c>
      <c r="D727" s="218" t="b">
        <v>1</v>
      </c>
      <c r="E727" s="219" t="b">
        <v>0</v>
      </c>
      <c r="F727" s="219" t="b">
        <v>0</v>
      </c>
      <c r="G727" s="219"/>
    </row>
    <row r="728">
      <c r="A728" s="218">
        <f t="shared" si="1"/>
        <v>727</v>
      </c>
      <c r="B728" s="218" t="s">
        <v>200</v>
      </c>
      <c r="C728" s="218" t="s">
        <v>3232</v>
      </c>
      <c r="D728" s="218" t="b">
        <v>1</v>
      </c>
      <c r="E728" s="219" t="b">
        <v>0</v>
      </c>
      <c r="F728" s="219" t="b">
        <v>0</v>
      </c>
      <c r="G728" s="219"/>
    </row>
    <row r="729">
      <c r="A729" s="218">
        <f t="shared" si="1"/>
        <v>728</v>
      </c>
      <c r="B729" s="218" t="s">
        <v>200</v>
      </c>
      <c r="C729" s="218" t="s">
        <v>3227</v>
      </c>
      <c r="D729" s="218" t="b">
        <v>1</v>
      </c>
      <c r="E729" s="219" t="b">
        <v>0</v>
      </c>
      <c r="F729" s="219" t="b">
        <v>0</v>
      </c>
      <c r="G729" s="219"/>
    </row>
    <row r="730">
      <c r="A730" s="218">
        <f t="shared" si="1"/>
        <v>729</v>
      </c>
      <c r="B730" s="218" t="s">
        <v>200</v>
      </c>
      <c r="C730" s="218" t="s">
        <v>3222</v>
      </c>
      <c r="D730" s="218" t="b">
        <v>1</v>
      </c>
      <c r="E730" s="219" t="b">
        <v>0</v>
      </c>
      <c r="F730" s="219" t="b">
        <v>0</v>
      </c>
      <c r="G730" s="219"/>
    </row>
    <row r="731">
      <c r="A731" s="218">
        <f t="shared" si="1"/>
        <v>730</v>
      </c>
      <c r="B731" s="218" t="s">
        <v>200</v>
      </c>
      <c r="C731" s="218" t="s">
        <v>3257</v>
      </c>
      <c r="D731" s="218" t="b">
        <v>1</v>
      </c>
      <c r="E731" s="219" t="b">
        <v>0</v>
      </c>
      <c r="F731" s="219" t="b">
        <v>0</v>
      </c>
      <c r="G731" s="219"/>
    </row>
    <row r="732">
      <c r="A732" s="218">
        <f t="shared" si="1"/>
        <v>731</v>
      </c>
      <c r="B732" s="218" t="s">
        <v>200</v>
      </c>
      <c r="C732" s="218" t="s">
        <v>3328</v>
      </c>
      <c r="D732" s="218" t="b">
        <v>1</v>
      </c>
      <c r="E732" s="219" t="b">
        <v>0</v>
      </c>
      <c r="F732" s="219" t="b">
        <v>0</v>
      </c>
      <c r="G732" s="219"/>
    </row>
    <row r="733">
      <c r="A733" s="218">
        <f t="shared" si="1"/>
        <v>732</v>
      </c>
      <c r="B733" s="218" t="s">
        <v>200</v>
      </c>
      <c r="C733" s="218" t="s">
        <v>3309</v>
      </c>
      <c r="D733" s="218" t="b">
        <v>1</v>
      </c>
      <c r="E733" s="219" t="b">
        <v>0</v>
      </c>
      <c r="F733" s="219" t="b">
        <v>0</v>
      </c>
      <c r="G733" s="219"/>
    </row>
    <row r="734">
      <c r="A734" s="218">
        <f t="shared" si="1"/>
        <v>733</v>
      </c>
      <c r="B734" s="218" t="s">
        <v>200</v>
      </c>
      <c r="C734" s="218" t="s">
        <v>5149</v>
      </c>
      <c r="D734" s="218" t="b">
        <v>1</v>
      </c>
      <c r="E734" s="219" t="b">
        <v>0</v>
      </c>
      <c r="F734" s="219" t="b">
        <v>0</v>
      </c>
      <c r="G734" s="219"/>
    </row>
    <row r="735">
      <c r="A735" s="218">
        <f t="shared" si="1"/>
        <v>734</v>
      </c>
      <c r="B735" s="218" t="s">
        <v>200</v>
      </c>
      <c r="C735" s="218" t="s">
        <v>5220</v>
      </c>
      <c r="D735" s="218" t="b">
        <v>1</v>
      </c>
      <c r="E735" s="219" t="b">
        <v>0</v>
      </c>
      <c r="F735" s="219" t="b">
        <v>0</v>
      </c>
      <c r="G735" s="219"/>
    </row>
    <row r="736">
      <c r="A736" s="218">
        <f t="shared" si="1"/>
        <v>735</v>
      </c>
      <c r="B736" s="218" t="s">
        <v>200</v>
      </c>
      <c r="C736" s="218" t="s">
        <v>6509</v>
      </c>
      <c r="D736" s="218" t="b">
        <v>1</v>
      </c>
      <c r="E736" s="219" t="b">
        <v>0</v>
      </c>
      <c r="F736" s="219" t="b">
        <v>0</v>
      </c>
      <c r="G736" s="219"/>
    </row>
    <row r="737">
      <c r="A737" s="218">
        <f t="shared" si="1"/>
        <v>736</v>
      </c>
      <c r="B737" s="218" t="s">
        <v>200</v>
      </c>
      <c r="C737" s="218" t="s">
        <v>6510</v>
      </c>
      <c r="D737" s="218" t="b">
        <v>1</v>
      </c>
      <c r="E737" s="219" t="b">
        <v>0</v>
      </c>
      <c r="F737" s="219" t="b">
        <v>0</v>
      </c>
      <c r="G737" s="219"/>
    </row>
    <row r="738">
      <c r="A738" s="218">
        <f t="shared" si="1"/>
        <v>737</v>
      </c>
      <c r="B738" s="218" t="s">
        <v>200</v>
      </c>
      <c r="C738" s="218" t="s">
        <v>318</v>
      </c>
      <c r="D738" s="218" t="b">
        <v>1</v>
      </c>
      <c r="E738" s="219" t="b">
        <v>0</v>
      </c>
      <c r="F738" s="219" t="b">
        <v>0</v>
      </c>
      <c r="G738" s="219"/>
    </row>
    <row r="739">
      <c r="A739" s="218">
        <f t="shared" si="1"/>
        <v>738</v>
      </c>
      <c r="B739" s="218" t="s">
        <v>200</v>
      </c>
      <c r="C739" s="218" t="s">
        <v>310</v>
      </c>
      <c r="D739" s="218" t="b">
        <v>1</v>
      </c>
      <c r="E739" s="219" t="b">
        <v>0</v>
      </c>
      <c r="F739" s="219" t="b">
        <v>0</v>
      </c>
      <c r="G739" s="219"/>
    </row>
    <row r="740">
      <c r="A740" s="218">
        <f t="shared" si="1"/>
        <v>739</v>
      </c>
      <c r="B740" s="218" t="s">
        <v>200</v>
      </c>
      <c r="C740" s="218" t="s">
        <v>351</v>
      </c>
      <c r="D740" s="218" t="b">
        <v>1</v>
      </c>
      <c r="E740" s="219" t="b">
        <v>0</v>
      </c>
      <c r="F740" s="219" t="b">
        <v>0</v>
      </c>
      <c r="G740" s="219"/>
    </row>
    <row r="741">
      <c r="A741" s="218">
        <f t="shared" si="1"/>
        <v>740</v>
      </c>
      <c r="B741" s="218" t="s">
        <v>200</v>
      </c>
      <c r="C741" s="218" t="s">
        <v>322</v>
      </c>
      <c r="D741" s="218" t="b">
        <v>1</v>
      </c>
      <c r="E741" s="219" t="b">
        <v>0</v>
      </c>
      <c r="F741" s="219" t="b">
        <v>0</v>
      </c>
      <c r="G741" s="219"/>
    </row>
    <row r="742">
      <c r="A742" s="218">
        <f t="shared" si="1"/>
        <v>741</v>
      </c>
      <c r="B742" s="218" t="s">
        <v>200</v>
      </c>
      <c r="C742" s="218" t="s">
        <v>343</v>
      </c>
      <c r="D742" s="218" t="b">
        <v>1</v>
      </c>
      <c r="E742" s="219" t="b">
        <v>0</v>
      </c>
      <c r="F742" s="219" t="b">
        <v>0</v>
      </c>
      <c r="G742" s="219"/>
    </row>
    <row r="743">
      <c r="A743" s="218">
        <f t="shared" si="1"/>
        <v>742</v>
      </c>
      <c r="B743" s="218" t="s">
        <v>200</v>
      </c>
      <c r="C743" s="218" t="s">
        <v>356</v>
      </c>
      <c r="D743" s="218" t="b">
        <v>1</v>
      </c>
      <c r="E743" s="219" t="b">
        <v>0</v>
      </c>
      <c r="F743" s="219" t="b">
        <v>0</v>
      </c>
      <c r="G743" s="219"/>
    </row>
    <row r="744">
      <c r="A744" s="218">
        <f t="shared" si="1"/>
        <v>743</v>
      </c>
      <c r="B744" s="218" t="s">
        <v>200</v>
      </c>
      <c r="C744" s="218" t="s">
        <v>359</v>
      </c>
      <c r="D744" s="218" t="b">
        <v>1</v>
      </c>
      <c r="E744" s="219" t="b">
        <v>0</v>
      </c>
      <c r="F744" s="219" t="b">
        <v>0</v>
      </c>
      <c r="G744" s="219"/>
    </row>
    <row r="745">
      <c r="A745" s="218">
        <f t="shared" si="1"/>
        <v>744</v>
      </c>
      <c r="B745" s="218" t="s">
        <v>200</v>
      </c>
      <c r="C745" s="218" t="s">
        <v>2436</v>
      </c>
      <c r="D745" s="218" t="b">
        <v>1</v>
      </c>
      <c r="E745" s="219" t="b">
        <v>0</v>
      </c>
      <c r="F745" s="219" t="b">
        <v>0</v>
      </c>
      <c r="G745" s="219"/>
    </row>
    <row r="746">
      <c r="A746" s="218">
        <f t="shared" si="1"/>
        <v>745</v>
      </c>
      <c r="B746" s="218" t="s">
        <v>200</v>
      </c>
      <c r="C746" s="218" t="s">
        <v>2431</v>
      </c>
      <c r="D746" s="218" t="b">
        <v>1</v>
      </c>
      <c r="E746" s="219" t="b">
        <v>0</v>
      </c>
      <c r="F746" s="219" t="b">
        <v>0</v>
      </c>
      <c r="G746" s="219"/>
    </row>
    <row r="747">
      <c r="A747" s="218">
        <f t="shared" si="1"/>
        <v>746</v>
      </c>
      <c r="B747" s="218" t="s">
        <v>200</v>
      </c>
      <c r="C747" s="218" t="s">
        <v>2426</v>
      </c>
      <c r="D747" s="218" t="b">
        <v>1</v>
      </c>
      <c r="E747" s="219" t="b">
        <v>0</v>
      </c>
      <c r="F747" s="219" t="b">
        <v>0</v>
      </c>
      <c r="G747" s="219"/>
    </row>
    <row r="748">
      <c r="A748" s="218">
        <f t="shared" si="1"/>
        <v>747</v>
      </c>
      <c r="B748" s="218" t="s">
        <v>200</v>
      </c>
      <c r="C748" s="218" t="s">
        <v>2421</v>
      </c>
      <c r="D748" s="218" t="b">
        <v>1</v>
      </c>
      <c r="E748" s="219" t="b">
        <v>0</v>
      </c>
      <c r="F748" s="219" t="b">
        <v>0</v>
      </c>
      <c r="G748" s="219"/>
    </row>
    <row r="749">
      <c r="A749" s="218">
        <f t="shared" si="1"/>
        <v>748</v>
      </c>
      <c r="B749" s="218" t="s">
        <v>200</v>
      </c>
      <c r="C749" s="218" t="s">
        <v>2411</v>
      </c>
      <c r="D749" s="218" t="b">
        <v>1</v>
      </c>
      <c r="E749" s="219" t="b">
        <v>0</v>
      </c>
      <c r="F749" s="219" t="b">
        <v>0</v>
      </c>
      <c r="G749" s="219"/>
    </row>
    <row r="750">
      <c r="A750" s="218">
        <f t="shared" si="1"/>
        <v>749</v>
      </c>
      <c r="B750" s="218" t="s">
        <v>200</v>
      </c>
      <c r="C750" s="218" t="s">
        <v>2387</v>
      </c>
      <c r="D750" s="218" t="b">
        <v>1</v>
      </c>
      <c r="E750" s="219" t="b">
        <v>0</v>
      </c>
      <c r="F750" s="219" t="b">
        <v>0</v>
      </c>
      <c r="G750" s="219"/>
    </row>
    <row r="751">
      <c r="A751" s="218">
        <f t="shared" si="1"/>
        <v>750</v>
      </c>
      <c r="B751" s="218" t="s">
        <v>200</v>
      </c>
      <c r="C751" s="218" t="s">
        <v>2406</v>
      </c>
      <c r="D751" s="218" t="b">
        <v>1</v>
      </c>
      <c r="E751" s="219" t="b">
        <v>0</v>
      </c>
      <c r="F751" s="219" t="b">
        <v>0</v>
      </c>
      <c r="G751" s="219"/>
    </row>
    <row r="752">
      <c r="A752" s="218">
        <f t="shared" si="1"/>
        <v>751</v>
      </c>
      <c r="B752" s="218" t="s">
        <v>200</v>
      </c>
      <c r="C752" s="218" t="s">
        <v>2507</v>
      </c>
      <c r="D752" s="218" t="b">
        <v>1</v>
      </c>
      <c r="E752" s="219" t="b">
        <v>0</v>
      </c>
      <c r="F752" s="219" t="b">
        <v>0</v>
      </c>
      <c r="G752" s="219"/>
    </row>
    <row r="753">
      <c r="A753" s="218">
        <f t="shared" si="1"/>
        <v>752</v>
      </c>
      <c r="B753" s="218" t="s">
        <v>200</v>
      </c>
      <c r="C753" s="218" t="s">
        <v>2493</v>
      </c>
      <c r="D753" s="218" t="b">
        <v>1</v>
      </c>
      <c r="E753" s="219" t="b">
        <v>0</v>
      </c>
      <c r="F753" s="219" t="b">
        <v>0</v>
      </c>
      <c r="G753" s="219"/>
    </row>
    <row r="754">
      <c r="A754" s="218">
        <f t="shared" si="1"/>
        <v>753</v>
      </c>
      <c r="B754" s="218" t="s">
        <v>200</v>
      </c>
      <c r="C754" s="218" t="s">
        <v>2498</v>
      </c>
      <c r="D754" s="218" t="b">
        <v>1</v>
      </c>
      <c r="E754" s="219" t="b">
        <v>0</v>
      </c>
      <c r="F754" s="219" t="b">
        <v>0</v>
      </c>
      <c r="G754" s="219"/>
    </row>
    <row r="755">
      <c r="A755" s="218">
        <f t="shared" si="1"/>
        <v>754</v>
      </c>
      <c r="B755" s="218" t="s">
        <v>200</v>
      </c>
      <c r="C755" s="218" t="s">
        <v>2517</v>
      </c>
      <c r="D755" s="218" t="b">
        <v>1</v>
      </c>
      <c r="E755" s="219" t="b">
        <v>0</v>
      </c>
      <c r="F755" s="219" t="b">
        <v>0</v>
      </c>
      <c r="G755" s="219"/>
    </row>
    <row r="756">
      <c r="A756" s="218">
        <f t="shared" si="1"/>
        <v>755</v>
      </c>
      <c r="B756" s="218" t="s">
        <v>200</v>
      </c>
      <c r="C756" s="218" t="s">
        <v>2580</v>
      </c>
      <c r="D756" s="218" t="b">
        <v>1</v>
      </c>
      <c r="E756" s="219" t="b">
        <v>0</v>
      </c>
      <c r="F756" s="219" t="b">
        <v>0</v>
      </c>
      <c r="G756" s="219"/>
    </row>
    <row r="757">
      <c r="A757" s="218">
        <f t="shared" si="1"/>
        <v>756</v>
      </c>
      <c r="B757" s="218" t="s">
        <v>200</v>
      </c>
      <c r="C757" s="218" t="s">
        <v>2595</v>
      </c>
      <c r="D757" s="218" t="b">
        <v>1</v>
      </c>
      <c r="E757" s="219" t="b">
        <v>0</v>
      </c>
      <c r="F757" s="219" t="b">
        <v>0</v>
      </c>
      <c r="G757" s="219"/>
    </row>
    <row r="758">
      <c r="A758" s="218">
        <f t="shared" si="1"/>
        <v>757</v>
      </c>
      <c r="B758" s="218" t="s">
        <v>200</v>
      </c>
      <c r="C758" s="218" t="s">
        <v>2600</v>
      </c>
      <c r="D758" s="218" t="b">
        <v>1</v>
      </c>
      <c r="E758" s="219" t="b">
        <v>0</v>
      </c>
      <c r="F758" s="219" t="b">
        <v>0</v>
      </c>
      <c r="G758" s="219"/>
    </row>
    <row r="759">
      <c r="A759" s="218">
        <f t="shared" si="1"/>
        <v>758</v>
      </c>
      <c r="B759" s="218" t="s">
        <v>200</v>
      </c>
      <c r="C759" s="218" t="s">
        <v>2604</v>
      </c>
      <c r="D759" s="218" t="b">
        <v>1</v>
      </c>
      <c r="E759" s="219" t="b">
        <v>0</v>
      </c>
      <c r="F759" s="219" t="b">
        <v>0</v>
      </c>
      <c r="G759" s="219"/>
    </row>
    <row r="760">
      <c r="A760" s="218">
        <f t="shared" si="1"/>
        <v>759</v>
      </c>
      <c r="B760" s="218" t="s">
        <v>200</v>
      </c>
      <c r="C760" s="218" t="s">
        <v>2585</v>
      </c>
      <c r="D760" s="218" t="b">
        <v>1</v>
      </c>
      <c r="E760" s="219" t="b">
        <v>0</v>
      </c>
      <c r="F760" s="219" t="b">
        <v>0</v>
      </c>
      <c r="G760" s="219"/>
    </row>
    <row r="761">
      <c r="A761" s="218">
        <f t="shared" si="1"/>
        <v>760</v>
      </c>
      <c r="B761" s="218" t="s">
        <v>200</v>
      </c>
      <c r="C761" s="218" t="s">
        <v>2607</v>
      </c>
      <c r="D761" s="218" t="b">
        <v>1</v>
      </c>
      <c r="E761" s="219" t="b">
        <v>0</v>
      </c>
      <c r="F761" s="219" t="b">
        <v>0</v>
      </c>
      <c r="G761" s="219"/>
    </row>
    <row r="762">
      <c r="A762" s="218">
        <f t="shared" si="1"/>
        <v>761</v>
      </c>
      <c r="B762" s="218" t="s">
        <v>200</v>
      </c>
      <c r="C762" s="218" t="s">
        <v>2573</v>
      </c>
      <c r="D762" s="218" t="b">
        <v>1</v>
      </c>
      <c r="E762" s="219" t="b">
        <v>0</v>
      </c>
      <c r="F762" s="219" t="b">
        <v>0</v>
      </c>
      <c r="G762" s="219"/>
    </row>
    <row r="763">
      <c r="A763" s="218">
        <f t="shared" si="1"/>
        <v>762</v>
      </c>
      <c r="B763" s="218" t="s">
        <v>200</v>
      </c>
      <c r="C763" s="218" t="s">
        <v>2560</v>
      </c>
      <c r="D763" s="218" t="b">
        <v>1</v>
      </c>
      <c r="E763" s="219" t="b">
        <v>0</v>
      </c>
      <c r="F763" s="219" t="b">
        <v>0</v>
      </c>
      <c r="G763" s="219"/>
    </row>
    <row r="764">
      <c r="A764" s="218">
        <f t="shared" si="1"/>
        <v>763</v>
      </c>
      <c r="B764" s="218" t="s">
        <v>200</v>
      </c>
      <c r="C764" s="218" t="s">
        <v>2550</v>
      </c>
      <c r="D764" s="218" t="b">
        <v>1</v>
      </c>
      <c r="E764" s="219" t="b">
        <v>0</v>
      </c>
      <c r="F764" s="219" t="b">
        <v>0</v>
      </c>
      <c r="G764" s="219"/>
    </row>
    <row r="765">
      <c r="A765" s="218">
        <f t="shared" si="1"/>
        <v>764</v>
      </c>
      <c r="B765" s="218" t="s">
        <v>200</v>
      </c>
      <c r="C765" s="218" t="s">
        <v>2502</v>
      </c>
      <c r="D765" s="218" t="b">
        <v>1</v>
      </c>
      <c r="E765" s="219" t="b">
        <v>0</v>
      </c>
      <c r="F765" s="219" t="b">
        <v>0</v>
      </c>
      <c r="G765" s="219"/>
    </row>
    <row r="766">
      <c r="A766" s="218">
        <f t="shared" si="1"/>
        <v>765</v>
      </c>
      <c r="B766" s="218" t="s">
        <v>200</v>
      </c>
      <c r="C766" s="218" t="s">
        <v>2536</v>
      </c>
      <c r="D766" s="218" t="b">
        <v>1</v>
      </c>
      <c r="E766" s="219" t="b">
        <v>0</v>
      </c>
      <c r="F766" s="219" t="b">
        <v>0</v>
      </c>
      <c r="G766" s="219"/>
    </row>
    <row r="767">
      <c r="A767" s="218">
        <f t="shared" si="1"/>
        <v>766</v>
      </c>
      <c r="B767" s="218" t="s">
        <v>200</v>
      </c>
      <c r="C767" s="218" t="s">
        <v>2545</v>
      </c>
      <c r="D767" s="218" t="b">
        <v>1</v>
      </c>
      <c r="E767" s="219" t="b">
        <v>0</v>
      </c>
      <c r="F767" s="219" t="b">
        <v>0</v>
      </c>
      <c r="G767" s="219"/>
    </row>
    <row r="768">
      <c r="A768" s="218">
        <f t="shared" si="1"/>
        <v>767</v>
      </c>
      <c r="B768" s="218" t="s">
        <v>200</v>
      </c>
      <c r="C768" s="218" t="s">
        <v>1139</v>
      </c>
      <c r="D768" s="218" t="b">
        <v>1</v>
      </c>
      <c r="E768" s="219" t="b">
        <v>0</v>
      </c>
      <c r="F768" s="219" t="b">
        <v>0</v>
      </c>
      <c r="G768" s="219"/>
    </row>
    <row r="769">
      <c r="A769" s="218">
        <f t="shared" si="1"/>
        <v>768</v>
      </c>
      <c r="B769" s="218" t="s">
        <v>200</v>
      </c>
      <c r="C769" s="218" t="s">
        <v>1372</v>
      </c>
      <c r="D769" s="218" t="b">
        <v>1</v>
      </c>
      <c r="E769" s="219" t="b">
        <v>0</v>
      </c>
      <c r="F769" s="219" t="b">
        <v>0</v>
      </c>
      <c r="G769" s="219"/>
    </row>
    <row r="770">
      <c r="A770" s="218">
        <f t="shared" si="1"/>
        <v>769</v>
      </c>
      <c r="B770" s="218" t="s">
        <v>200</v>
      </c>
      <c r="C770" s="218" t="s">
        <v>1381</v>
      </c>
      <c r="D770" s="218" t="b">
        <v>1</v>
      </c>
      <c r="E770" s="219" t="b">
        <v>0</v>
      </c>
      <c r="F770" s="219" t="b">
        <v>0</v>
      </c>
      <c r="G770" s="219"/>
    </row>
    <row r="771">
      <c r="A771" s="218">
        <f t="shared" si="1"/>
        <v>770</v>
      </c>
      <c r="B771" s="218" t="s">
        <v>200</v>
      </c>
      <c r="C771" s="218" t="s">
        <v>1391</v>
      </c>
      <c r="D771" s="218" t="b">
        <v>1</v>
      </c>
      <c r="E771" s="219" t="b">
        <v>0</v>
      </c>
      <c r="F771" s="219" t="b">
        <v>0</v>
      </c>
      <c r="G771" s="219"/>
    </row>
    <row r="772">
      <c r="A772" s="218">
        <f t="shared" si="1"/>
        <v>771</v>
      </c>
      <c r="B772" s="218" t="s">
        <v>200</v>
      </c>
      <c r="C772" s="218" t="s">
        <v>1396</v>
      </c>
      <c r="D772" s="218" t="b">
        <v>1</v>
      </c>
      <c r="E772" s="219" t="b">
        <v>0</v>
      </c>
      <c r="F772" s="219" t="b">
        <v>0</v>
      </c>
      <c r="G772" s="219"/>
    </row>
    <row r="773">
      <c r="A773" s="218">
        <f t="shared" si="1"/>
        <v>772</v>
      </c>
      <c r="B773" s="218" t="s">
        <v>200</v>
      </c>
      <c r="C773" s="218" t="s">
        <v>1405</v>
      </c>
      <c r="D773" s="218" t="b">
        <v>1</v>
      </c>
      <c r="E773" s="219" t="b">
        <v>0</v>
      </c>
      <c r="F773" s="219" t="b">
        <v>0</v>
      </c>
      <c r="G773" s="219"/>
    </row>
    <row r="774">
      <c r="A774" s="218">
        <f t="shared" si="1"/>
        <v>773</v>
      </c>
      <c r="B774" s="218" t="s">
        <v>200</v>
      </c>
      <c r="C774" s="218" t="s">
        <v>1414</v>
      </c>
      <c r="D774" s="218" t="b">
        <v>1</v>
      </c>
      <c r="E774" s="219" t="b">
        <v>0</v>
      </c>
      <c r="F774" s="219" t="b">
        <v>0</v>
      </c>
      <c r="G774" s="219"/>
    </row>
    <row r="775">
      <c r="A775" s="218">
        <f t="shared" si="1"/>
        <v>774</v>
      </c>
      <c r="B775" s="218" t="s">
        <v>200</v>
      </c>
      <c r="C775" s="218" t="s">
        <v>1418</v>
      </c>
      <c r="D775" s="218" t="b">
        <v>1</v>
      </c>
      <c r="E775" s="219" t="b">
        <v>0</v>
      </c>
      <c r="F775" s="219" t="b">
        <v>0</v>
      </c>
      <c r="G775" s="219"/>
    </row>
    <row r="776">
      <c r="A776" s="218">
        <f t="shared" si="1"/>
        <v>775</v>
      </c>
      <c r="B776" s="218" t="s">
        <v>200</v>
      </c>
      <c r="C776" s="218" t="s">
        <v>1422</v>
      </c>
      <c r="D776" s="218" t="b">
        <v>1</v>
      </c>
      <c r="E776" s="219" t="b">
        <v>0</v>
      </c>
      <c r="F776" s="219" t="b">
        <v>0</v>
      </c>
      <c r="G776" s="219"/>
    </row>
    <row r="777">
      <c r="A777" s="218">
        <f t="shared" si="1"/>
        <v>776</v>
      </c>
      <c r="B777" s="218" t="s">
        <v>200</v>
      </c>
      <c r="C777" s="218" t="s">
        <v>1426</v>
      </c>
      <c r="D777" s="218" t="b">
        <v>1</v>
      </c>
      <c r="E777" s="219" t="b">
        <v>0</v>
      </c>
      <c r="F777" s="219" t="b">
        <v>0</v>
      </c>
      <c r="G777" s="219"/>
    </row>
    <row r="778">
      <c r="A778" s="218">
        <f t="shared" si="1"/>
        <v>777</v>
      </c>
      <c r="B778" s="218" t="s">
        <v>200</v>
      </c>
      <c r="C778" s="218" t="s">
        <v>1436</v>
      </c>
      <c r="D778" s="218" t="b">
        <v>1</v>
      </c>
      <c r="E778" s="219" t="b">
        <v>0</v>
      </c>
      <c r="F778" s="219" t="b">
        <v>0</v>
      </c>
      <c r="G778" s="219"/>
    </row>
    <row r="779">
      <c r="A779" s="218">
        <f t="shared" si="1"/>
        <v>778</v>
      </c>
      <c r="B779" s="218" t="s">
        <v>200</v>
      </c>
      <c r="C779" s="218" t="s">
        <v>707</v>
      </c>
      <c r="D779" s="218" t="b">
        <v>1</v>
      </c>
      <c r="E779" s="219" t="b">
        <v>0</v>
      </c>
      <c r="F779" s="219" t="b">
        <v>0</v>
      </c>
      <c r="G779" s="219"/>
    </row>
    <row r="780">
      <c r="A780" s="218">
        <f t="shared" si="1"/>
        <v>779</v>
      </c>
      <c r="B780" s="218" t="s">
        <v>200</v>
      </c>
      <c r="C780" s="218" t="s">
        <v>5417</v>
      </c>
      <c r="D780" s="218" t="b">
        <v>1</v>
      </c>
      <c r="E780" s="219" t="b">
        <v>0</v>
      </c>
      <c r="F780" s="219" t="b">
        <v>0</v>
      </c>
      <c r="G780" s="219"/>
    </row>
    <row r="781">
      <c r="A781" s="218">
        <f t="shared" si="1"/>
        <v>780</v>
      </c>
      <c r="B781" s="218" t="s">
        <v>200</v>
      </c>
      <c r="C781" s="218" t="s">
        <v>5423</v>
      </c>
      <c r="D781" s="218" t="b">
        <v>1</v>
      </c>
      <c r="E781" s="219" t="b">
        <v>0</v>
      </c>
      <c r="F781" s="219" t="b">
        <v>0</v>
      </c>
      <c r="G781" s="219"/>
    </row>
    <row r="782">
      <c r="A782" s="218">
        <f t="shared" si="1"/>
        <v>781</v>
      </c>
      <c r="B782" s="218" t="s">
        <v>200</v>
      </c>
      <c r="C782" s="218" t="s">
        <v>5433</v>
      </c>
      <c r="D782" s="218" t="b">
        <v>1</v>
      </c>
      <c r="E782" s="219" t="b">
        <v>0</v>
      </c>
      <c r="F782" s="219" t="b">
        <v>0</v>
      </c>
      <c r="G782" s="219"/>
    </row>
    <row r="783">
      <c r="A783" s="218">
        <f t="shared" si="1"/>
        <v>782</v>
      </c>
      <c r="B783" s="218" t="s">
        <v>200</v>
      </c>
      <c r="C783" s="218" t="s">
        <v>1742</v>
      </c>
      <c r="D783" s="218" t="b">
        <v>1</v>
      </c>
      <c r="E783" s="219" t="b">
        <v>0</v>
      </c>
      <c r="F783" s="219" t="b">
        <v>0</v>
      </c>
      <c r="G783" s="219"/>
    </row>
    <row r="784">
      <c r="A784" s="218">
        <f t="shared" si="1"/>
        <v>783</v>
      </c>
      <c r="B784" s="218" t="s">
        <v>200</v>
      </c>
      <c r="C784" s="218" t="s">
        <v>1747</v>
      </c>
      <c r="D784" s="218" t="b">
        <v>1</v>
      </c>
      <c r="E784" s="219" t="b">
        <v>0</v>
      </c>
      <c r="F784" s="219" t="b">
        <v>0</v>
      </c>
      <c r="G784" s="219"/>
    </row>
    <row r="785">
      <c r="A785" s="218">
        <f t="shared" si="1"/>
        <v>784</v>
      </c>
      <c r="B785" s="218" t="s">
        <v>200</v>
      </c>
      <c r="C785" s="218" t="s">
        <v>1766</v>
      </c>
      <c r="D785" s="218" t="b">
        <v>1</v>
      </c>
      <c r="E785" s="219" t="b">
        <v>0</v>
      </c>
      <c r="F785" s="219" t="b">
        <v>0</v>
      </c>
      <c r="G785" s="219"/>
    </row>
    <row r="786">
      <c r="A786" s="218">
        <f t="shared" si="1"/>
        <v>785</v>
      </c>
      <c r="B786" s="218" t="s">
        <v>200</v>
      </c>
      <c r="C786" s="218" t="s">
        <v>1780</v>
      </c>
      <c r="D786" s="218" t="b">
        <v>1</v>
      </c>
      <c r="E786" s="219" t="b">
        <v>0</v>
      </c>
      <c r="F786" s="219" t="b">
        <v>0</v>
      </c>
      <c r="G786" s="219"/>
    </row>
    <row r="787">
      <c r="A787" s="218">
        <f t="shared" si="1"/>
        <v>786</v>
      </c>
      <c r="B787" s="218" t="s">
        <v>200</v>
      </c>
      <c r="C787" s="218" t="s">
        <v>2511</v>
      </c>
      <c r="D787" s="218" t="b">
        <v>1</v>
      </c>
      <c r="E787" s="219" t="b">
        <v>0</v>
      </c>
      <c r="F787" s="219" t="b">
        <v>0</v>
      </c>
      <c r="G787" s="219"/>
    </row>
    <row r="788">
      <c r="A788" s="218">
        <f t="shared" si="1"/>
        <v>787</v>
      </c>
      <c r="B788" s="218" t="s">
        <v>200</v>
      </c>
      <c r="C788" s="218" t="s">
        <v>2345</v>
      </c>
      <c r="D788" s="218" t="b">
        <v>1</v>
      </c>
      <c r="E788" s="219" t="b">
        <v>0</v>
      </c>
      <c r="F788" s="219" t="b">
        <v>0</v>
      </c>
      <c r="G788" s="219"/>
    </row>
    <row r="789">
      <c r="A789" s="218">
        <f t="shared" si="1"/>
        <v>788</v>
      </c>
      <c r="B789" s="218" t="s">
        <v>200</v>
      </c>
      <c r="C789" s="218" t="s">
        <v>2321</v>
      </c>
      <c r="D789" s="218" t="b">
        <v>1</v>
      </c>
      <c r="E789" s="219" t="b">
        <v>0</v>
      </c>
      <c r="F789" s="219" t="b">
        <v>0</v>
      </c>
      <c r="G789" s="219"/>
    </row>
    <row r="790">
      <c r="A790" s="218">
        <f t="shared" si="1"/>
        <v>789</v>
      </c>
      <c r="B790" s="218" t="s">
        <v>200</v>
      </c>
      <c r="C790" s="218" t="s">
        <v>2809</v>
      </c>
      <c r="D790" s="218" t="b">
        <v>1</v>
      </c>
      <c r="E790" s="219" t="b">
        <v>0</v>
      </c>
      <c r="F790" s="219" t="b">
        <v>0</v>
      </c>
      <c r="G790" s="219"/>
    </row>
    <row r="791">
      <c r="A791" s="218">
        <f t="shared" si="1"/>
        <v>790</v>
      </c>
      <c r="B791" s="218" t="s">
        <v>200</v>
      </c>
      <c r="C791" s="218" t="s">
        <v>2710</v>
      </c>
      <c r="D791" s="218" t="b">
        <v>1</v>
      </c>
      <c r="E791" s="219" t="b">
        <v>0</v>
      </c>
      <c r="F791" s="219" t="b">
        <v>0</v>
      </c>
      <c r="G791" s="219"/>
    </row>
    <row r="792">
      <c r="A792" s="218">
        <f t="shared" si="1"/>
        <v>791</v>
      </c>
      <c r="B792" s="218" t="s">
        <v>200</v>
      </c>
      <c r="C792" s="218" t="s">
        <v>2330</v>
      </c>
      <c r="D792" s="218" t="b">
        <v>1</v>
      </c>
      <c r="E792" s="219" t="b">
        <v>0</v>
      </c>
      <c r="F792" s="219" t="b">
        <v>0</v>
      </c>
      <c r="G792" s="219"/>
    </row>
    <row r="793">
      <c r="A793" s="218">
        <f t="shared" si="1"/>
        <v>792</v>
      </c>
      <c r="B793" s="218" t="s">
        <v>200</v>
      </c>
      <c r="C793" s="218" t="s">
        <v>2770</v>
      </c>
      <c r="D793" s="218" t="b">
        <v>1</v>
      </c>
      <c r="E793" s="219" t="b">
        <v>0</v>
      </c>
      <c r="F793" s="219" t="b">
        <v>0</v>
      </c>
      <c r="G793" s="219"/>
    </row>
    <row r="794">
      <c r="A794" s="218">
        <f t="shared" si="1"/>
        <v>793</v>
      </c>
      <c r="B794" s="218" t="s">
        <v>200</v>
      </c>
      <c r="C794" s="218" t="s">
        <v>2705</v>
      </c>
      <c r="D794" s="218" t="b">
        <v>1</v>
      </c>
      <c r="E794" s="219" t="b">
        <v>0</v>
      </c>
      <c r="F794" s="219" t="b">
        <v>0</v>
      </c>
      <c r="G794" s="219"/>
    </row>
    <row r="795">
      <c r="A795" s="218">
        <f t="shared" si="1"/>
        <v>794</v>
      </c>
      <c r="B795" s="218" t="s">
        <v>200</v>
      </c>
      <c r="C795" s="218" t="s">
        <v>2648</v>
      </c>
      <c r="D795" s="218" t="b">
        <v>1</v>
      </c>
      <c r="E795" s="219" t="b">
        <v>0</v>
      </c>
      <c r="F795" s="219" t="b">
        <v>0</v>
      </c>
      <c r="G795" s="219"/>
    </row>
    <row r="796">
      <c r="A796" s="218">
        <f t="shared" si="1"/>
        <v>795</v>
      </c>
      <c r="B796" s="218" t="s">
        <v>200</v>
      </c>
      <c r="C796" s="218" t="s">
        <v>2758</v>
      </c>
      <c r="D796" s="218" t="b">
        <v>1</v>
      </c>
      <c r="E796" s="219" t="b">
        <v>0</v>
      </c>
      <c r="F796" s="219" t="b">
        <v>0</v>
      </c>
      <c r="G796" s="219"/>
    </row>
    <row r="797">
      <c r="A797" s="218">
        <f t="shared" si="1"/>
        <v>796</v>
      </c>
      <c r="B797" s="218" t="s">
        <v>200</v>
      </c>
      <c r="C797" s="218" t="s">
        <v>2749</v>
      </c>
      <c r="D797" s="218" t="b">
        <v>1</v>
      </c>
      <c r="E797" s="219" t="b">
        <v>0</v>
      </c>
      <c r="F797" s="219" t="b">
        <v>0</v>
      </c>
      <c r="G797" s="219"/>
    </row>
    <row r="798">
      <c r="A798" s="218">
        <f t="shared" si="1"/>
        <v>797</v>
      </c>
      <c r="B798" s="218" t="s">
        <v>200</v>
      </c>
      <c r="C798" s="218" t="s">
        <v>2667</v>
      </c>
      <c r="D798" s="218" t="b">
        <v>1</v>
      </c>
      <c r="E798" s="219" t="b">
        <v>0</v>
      </c>
      <c r="F798" s="219" t="b">
        <v>0</v>
      </c>
      <c r="G798" s="219"/>
    </row>
    <row r="799">
      <c r="A799" s="218">
        <f t="shared" si="1"/>
        <v>798</v>
      </c>
      <c r="B799" s="218" t="s">
        <v>200</v>
      </c>
      <c r="C799" s="218" t="s">
        <v>2686</v>
      </c>
      <c r="D799" s="218" t="b">
        <v>1</v>
      </c>
      <c r="E799" s="219" t="b">
        <v>0</v>
      </c>
      <c r="F799" s="219" t="b">
        <v>0</v>
      </c>
      <c r="G799" s="219"/>
    </row>
    <row r="800">
      <c r="A800" s="218">
        <f t="shared" si="1"/>
        <v>799</v>
      </c>
      <c r="B800" s="218" t="s">
        <v>200</v>
      </c>
      <c r="C800" s="218" t="s">
        <v>2696</v>
      </c>
      <c r="D800" s="218" t="b">
        <v>1</v>
      </c>
      <c r="E800" s="219" t="b">
        <v>0</v>
      </c>
      <c r="F800" s="219" t="b">
        <v>0</v>
      </c>
      <c r="G800" s="219"/>
    </row>
    <row r="801">
      <c r="A801" s="218">
        <f t="shared" si="1"/>
        <v>800</v>
      </c>
      <c r="B801" s="218" t="s">
        <v>200</v>
      </c>
      <c r="C801" s="218" t="s">
        <v>5172</v>
      </c>
      <c r="D801" s="218" t="b">
        <v>1</v>
      </c>
      <c r="E801" s="219" t="b">
        <v>0</v>
      </c>
      <c r="F801" s="219" t="b">
        <v>0</v>
      </c>
      <c r="G801" s="219"/>
    </row>
    <row r="802">
      <c r="A802" s="218">
        <f t="shared" si="1"/>
        <v>801</v>
      </c>
      <c r="B802" s="218" t="s">
        <v>200</v>
      </c>
      <c r="C802" s="218" t="s">
        <v>5195</v>
      </c>
      <c r="D802" s="218" t="b">
        <v>1</v>
      </c>
      <c r="E802" s="219" t="b">
        <v>0</v>
      </c>
      <c r="F802" s="219" t="b">
        <v>0</v>
      </c>
      <c r="G802" s="219"/>
    </row>
    <row r="803">
      <c r="A803" s="218">
        <f t="shared" si="1"/>
        <v>802</v>
      </c>
      <c r="B803" s="218" t="s">
        <v>200</v>
      </c>
      <c r="C803" s="218" t="s">
        <v>5200</v>
      </c>
      <c r="D803" s="218" t="b">
        <v>1</v>
      </c>
      <c r="E803" s="219" t="b">
        <v>0</v>
      </c>
      <c r="F803" s="219" t="b">
        <v>0</v>
      </c>
      <c r="G803" s="219"/>
    </row>
    <row r="804">
      <c r="A804" s="218">
        <f t="shared" si="1"/>
        <v>803</v>
      </c>
      <c r="B804" s="218" t="s">
        <v>200</v>
      </c>
      <c r="C804" s="218" t="s">
        <v>5047</v>
      </c>
      <c r="D804" s="218" t="b">
        <v>1</v>
      </c>
      <c r="E804" s="219" t="b">
        <v>0</v>
      </c>
      <c r="F804" s="219" t="b">
        <v>0</v>
      </c>
      <c r="G804" s="219"/>
    </row>
    <row r="805">
      <c r="A805" s="218">
        <f t="shared" si="1"/>
        <v>804</v>
      </c>
      <c r="B805" s="218" t="s">
        <v>200</v>
      </c>
      <c r="C805" s="218" t="s">
        <v>5051</v>
      </c>
      <c r="D805" s="218" t="b">
        <v>1</v>
      </c>
      <c r="E805" s="219" t="b">
        <v>0</v>
      </c>
      <c r="F805" s="219" t="b">
        <v>0</v>
      </c>
      <c r="G805" s="219"/>
    </row>
    <row r="806">
      <c r="A806" s="218">
        <f t="shared" si="1"/>
        <v>805</v>
      </c>
      <c r="B806" s="218" t="s">
        <v>200</v>
      </c>
      <c r="C806" s="218" t="s">
        <v>5055</v>
      </c>
      <c r="D806" s="218" t="b">
        <v>1</v>
      </c>
      <c r="E806" s="219" t="b">
        <v>0</v>
      </c>
      <c r="F806" s="219" t="b">
        <v>0</v>
      </c>
      <c r="G806" s="219"/>
    </row>
    <row r="807">
      <c r="A807" s="218">
        <f t="shared" si="1"/>
        <v>806</v>
      </c>
      <c r="B807" s="218" t="s">
        <v>200</v>
      </c>
      <c r="C807" s="218" t="s">
        <v>5061</v>
      </c>
      <c r="D807" s="218" t="b">
        <v>1</v>
      </c>
      <c r="E807" s="219" t="b">
        <v>0</v>
      </c>
      <c r="F807" s="219" t="b">
        <v>0</v>
      </c>
      <c r="G807" s="219"/>
    </row>
    <row r="808">
      <c r="A808" s="218">
        <f t="shared" si="1"/>
        <v>807</v>
      </c>
      <c r="B808" s="218" t="s">
        <v>200</v>
      </c>
      <c r="C808" s="218" t="s">
        <v>5071</v>
      </c>
      <c r="D808" s="218" t="b">
        <v>1</v>
      </c>
      <c r="E808" s="219" t="b">
        <v>0</v>
      </c>
      <c r="F808" s="219" t="b">
        <v>0</v>
      </c>
      <c r="G808" s="219"/>
    </row>
    <row r="809">
      <c r="A809" s="218">
        <f t="shared" si="1"/>
        <v>808</v>
      </c>
      <c r="B809" s="218" t="s">
        <v>200</v>
      </c>
      <c r="C809" s="218" t="s">
        <v>5075</v>
      </c>
      <c r="D809" s="218" t="b">
        <v>1</v>
      </c>
      <c r="E809" s="219" t="b">
        <v>0</v>
      </c>
      <c r="F809" s="219" t="b">
        <v>0</v>
      </c>
      <c r="G809" s="219"/>
    </row>
    <row r="810">
      <c r="A810" s="218">
        <f t="shared" si="1"/>
        <v>809</v>
      </c>
      <c r="B810" s="218" t="s">
        <v>200</v>
      </c>
      <c r="C810" s="218" t="s">
        <v>1693</v>
      </c>
      <c r="D810" s="218" t="b">
        <v>1</v>
      </c>
      <c r="E810" s="219" t="b">
        <v>0</v>
      </c>
      <c r="F810" s="219" t="b">
        <v>0</v>
      </c>
      <c r="G810" s="219"/>
    </row>
    <row r="811">
      <c r="A811" s="218">
        <f t="shared" si="1"/>
        <v>810</v>
      </c>
      <c r="B811" s="218" t="s">
        <v>200</v>
      </c>
      <c r="C811" s="218" t="s">
        <v>1680</v>
      </c>
      <c r="D811" s="218" t="b">
        <v>1</v>
      </c>
      <c r="E811" s="219" t="b">
        <v>0</v>
      </c>
      <c r="F811" s="219" t="b">
        <v>0</v>
      </c>
      <c r="G811" s="219"/>
    </row>
    <row r="812">
      <c r="A812" s="218">
        <f t="shared" si="1"/>
        <v>811</v>
      </c>
      <c r="B812" s="218" t="s">
        <v>200</v>
      </c>
      <c r="C812" s="218" t="s">
        <v>1675</v>
      </c>
      <c r="D812" s="218" t="b">
        <v>1</v>
      </c>
      <c r="E812" s="219" t="b">
        <v>0</v>
      </c>
      <c r="F812" s="219" t="b">
        <v>0</v>
      </c>
      <c r="G812" s="219"/>
    </row>
    <row r="813">
      <c r="A813" s="218">
        <f t="shared" si="1"/>
        <v>812</v>
      </c>
      <c r="B813" s="218" t="s">
        <v>200</v>
      </c>
      <c r="C813" s="218" t="s">
        <v>988</v>
      </c>
      <c r="D813" s="218" t="b">
        <v>1</v>
      </c>
      <c r="E813" s="219" t="b">
        <v>0</v>
      </c>
      <c r="F813" s="219" t="b">
        <v>0</v>
      </c>
      <c r="G813" s="219"/>
    </row>
    <row r="814">
      <c r="A814" s="218">
        <f t="shared" si="1"/>
        <v>813</v>
      </c>
      <c r="B814" s="218" t="s">
        <v>200</v>
      </c>
      <c r="C814" s="218" t="s">
        <v>2622</v>
      </c>
      <c r="D814" s="218" t="b">
        <v>1</v>
      </c>
      <c r="E814" s="219" t="b">
        <v>0</v>
      </c>
      <c r="F814" s="219" t="b">
        <v>0</v>
      </c>
      <c r="G814" s="219"/>
    </row>
    <row r="815">
      <c r="A815" s="218">
        <f t="shared" si="1"/>
        <v>814</v>
      </c>
      <c r="B815" s="218" t="s">
        <v>200</v>
      </c>
      <c r="C815" s="218" t="s">
        <v>2634</v>
      </c>
      <c r="D815" s="218" t="b">
        <v>1</v>
      </c>
      <c r="E815" s="219" t="b">
        <v>0</v>
      </c>
      <c r="F815" s="219" t="b">
        <v>0</v>
      </c>
      <c r="G815" s="219"/>
    </row>
    <row r="816">
      <c r="A816" s="218">
        <f t="shared" si="1"/>
        <v>815</v>
      </c>
      <c r="B816" s="218" t="s">
        <v>200</v>
      </c>
      <c r="C816" s="218" t="s">
        <v>5117</v>
      </c>
      <c r="D816" s="218" t="b">
        <v>1</v>
      </c>
      <c r="E816" s="219" t="b">
        <v>0</v>
      </c>
      <c r="F816" s="219" t="b">
        <v>0</v>
      </c>
      <c r="G816" s="219"/>
    </row>
    <row r="817">
      <c r="A817" s="218">
        <f t="shared" si="1"/>
        <v>816</v>
      </c>
      <c r="B817" s="218" t="s">
        <v>200</v>
      </c>
      <c r="C817" s="218" t="s">
        <v>625</v>
      </c>
      <c r="D817" s="218" t="b">
        <v>1</v>
      </c>
      <c r="E817" s="219" t="b">
        <v>0</v>
      </c>
      <c r="F817" s="219" t="b">
        <v>0</v>
      </c>
      <c r="G817" s="219"/>
    </row>
    <row r="818">
      <c r="A818" s="218">
        <f t="shared" si="1"/>
        <v>817</v>
      </c>
      <c r="B818" s="218" t="s">
        <v>200</v>
      </c>
      <c r="C818" s="218" t="s">
        <v>572</v>
      </c>
      <c r="D818" s="218" t="b">
        <v>1</v>
      </c>
      <c r="E818" s="219" t="b">
        <v>0</v>
      </c>
      <c r="F818" s="219" t="b">
        <v>0</v>
      </c>
      <c r="G818" s="219"/>
    </row>
    <row r="819">
      <c r="A819" s="218">
        <f t="shared" si="1"/>
        <v>818</v>
      </c>
      <c r="B819" s="218" t="s">
        <v>200</v>
      </c>
      <c r="C819" s="218" t="s">
        <v>582</v>
      </c>
      <c r="D819" s="218" t="b">
        <v>1</v>
      </c>
      <c r="E819" s="219" t="b">
        <v>0</v>
      </c>
      <c r="F819" s="219" t="b">
        <v>0</v>
      </c>
      <c r="G819" s="219"/>
    </row>
    <row r="820">
      <c r="A820" s="218">
        <f t="shared" si="1"/>
        <v>819</v>
      </c>
      <c r="B820" s="218" t="s">
        <v>200</v>
      </c>
      <c r="C820" s="218" t="s">
        <v>2630</v>
      </c>
      <c r="D820" s="218" t="b">
        <v>1</v>
      </c>
      <c r="E820" s="219" t="b">
        <v>0</v>
      </c>
      <c r="F820" s="219" t="b">
        <v>0</v>
      </c>
      <c r="G820" s="219"/>
    </row>
    <row r="821">
      <c r="A821" s="218">
        <f t="shared" si="1"/>
        <v>820</v>
      </c>
      <c r="B821" s="218" t="s">
        <v>200</v>
      </c>
      <c r="C821" s="218" t="s">
        <v>2638</v>
      </c>
      <c r="D821" s="218" t="b">
        <v>1</v>
      </c>
      <c r="E821" s="219" t="b">
        <v>0</v>
      </c>
      <c r="F821" s="219" t="b">
        <v>0</v>
      </c>
      <c r="G821" s="219"/>
    </row>
    <row r="822">
      <c r="A822" s="218">
        <f t="shared" si="1"/>
        <v>821</v>
      </c>
      <c r="B822" s="218" t="s">
        <v>200</v>
      </c>
      <c r="C822" s="218" t="s">
        <v>2700</v>
      </c>
      <c r="D822" s="218" t="b">
        <v>1</v>
      </c>
      <c r="E822" s="219" t="b">
        <v>0</v>
      </c>
      <c r="F822" s="219" t="b">
        <v>0</v>
      </c>
      <c r="G822" s="219"/>
    </row>
    <row r="823">
      <c r="A823" s="218">
        <f t="shared" si="1"/>
        <v>822</v>
      </c>
      <c r="B823" s="218" t="s">
        <v>200</v>
      </c>
      <c r="C823" s="218" t="s">
        <v>2643</v>
      </c>
      <c r="D823" s="218" t="b">
        <v>1</v>
      </c>
      <c r="E823" s="219" t="b">
        <v>0</v>
      </c>
      <c r="F823" s="219" t="b">
        <v>0</v>
      </c>
      <c r="G823" s="219"/>
    </row>
    <row r="824">
      <c r="A824" s="218">
        <f t="shared" si="1"/>
        <v>823</v>
      </c>
      <c r="B824" s="218" t="s">
        <v>200</v>
      </c>
      <c r="C824" s="218" t="s">
        <v>2653</v>
      </c>
      <c r="D824" s="218" t="b">
        <v>1</v>
      </c>
      <c r="E824" s="219" t="b">
        <v>0</v>
      </c>
      <c r="F824" s="219" t="b">
        <v>0</v>
      </c>
      <c r="G824" s="219"/>
    </row>
    <row r="825">
      <c r="A825" s="218">
        <f t="shared" si="1"/>
        <v>824</v>
      </c>
      <c r="B825" s="218" t="s">
        <v>200</v>
      </c>
      <c r="C825" s="218" t="s">
        <v>2730</v>
      </c>
      <c r="D825" s="218" t="b">
        <v>1</v>
      </c>
      <c r="E825" s="219" t="b">
        <v>0</v>
      </c>
      <c r="F825" s="219" t="b">
        <v>0</v>
      </c>
      <c r="G825" s="219"/>
    </row>
    <row r="826">
      <c r="A826" s="218">
        <f t="shared" si="1"/>
        <v>825</v>
      </c>
      <c r="B826" s="218" t="s">
        <v>200</v>
      </c>
      <c r="C826" s="218" t="s">
        <v>5164</v>
      </c>
      <c r="D826" s="218" t="b">
        <v>1</v>
      </c>
      <c r="E826" s="219" t="b">
        <v>0</v>
      </c>
      <c r="F826" s="219" t="b">
        <v>0</v>
      </c>
      <c r="G826" s="219"/>
    </row>
    <row r="827">
      <c r="A827" s="218">
        <f t="shared" si="1"/>
        <v>826</v>
      </c>
      <c r="B827" s="218" t="s">
        <v>200</v>
      </c>
      <c r="C827" s="218" t="s">
        <v>5519</v>
      </c>
      <c r="D827" s="218" t="b">
        <v>1</v>
      </c>
      <c r="E827" s="219" t="b">
        <v>0</v>
      </c>
      <c r="F827" s="219" t="b">
        <v>0</v>
      </c>
      <c r="G827" s="219"/>
    </row>
    <row r="828">
      <c r="A828" s="218">
        <f t="shared" si="1"/>
        <v>827</v>
      </c>
      <c r="B828" s="218" t="s">
        <v>200</v>
      </c>
      <c r="C828" s="218" t="s">
        <v>5388</v>
      </c>
      <c r="D828" s="218" t="b">
        <v>1</v>
      </c>
      <c r="E828" s="219" t="b">
        <v>0</v>
      </c>
      <c r="F828" s="219" t="b">
        <v>0</v>
      </c>
      <c r="G828" s="219"/>
    </row>
    <row r="829">
      <c r="A829" s="218">
        <f t="shared" si="1"/>
        <v>828</v>
      </c>
      <c r="B829" s="218" t="s">
        <v>200</v>
      </c>
      <c r="C829" s="218" t="s">
        <v>4201</v>
      </c>
      <c r="D829" s="218" t="b">
        <v>1</v>
      </c>
      <c r="E829" s="219" t="b">
        <v>0</v>
      </c>
      <c r="F829" s="219" t="b">
        <v>0</v>
      </c>
      <c r="G829" s="219"/>
    </row>
    <row r="830">
      <c r="A830" s="218">
        <f t="shared" si="1"/>
        <v>829</v>
      </c>
      <c r="B830" s="218" t="s">
        <v>200</v>
      </c>
      <c r="C830" s="218" t="s">
        <v>4195</v>
      </c>
      <c r="D830" s="218" t="b">
        <v>1</v>
      </c>
      <c r="E830" s="219" t="b">
        <v>0</v>
      </c>
      <c r="F830" s="219" t="b">
        <v>0</v>
      </c>
      <c r="G830" s="219"/>
    </row>
    <row r="831">
      <c r="A831" s="218">
        <f t="shared" si="1"/>
        <v>830</v>
      </c>
      <c r="B831" s="218" t="s">
        <v>200</v>
      </c>
      <c r="C831" s="218" t="s">
        <v>4195</v>
      </c>
      <c r="D831" s="218" t="b">
        <v>1</v>
      </c>
      <c r="E831" s="219" t="b">
        <v>0</v>
      </c>
      <c r="F831" s="219" t="b">
        <v>0</v>
      </c>
      <c r="G831" s="219"/>
    </row>
    <row r="832">
      <c r="A832" s="218">
        <f t="shared" si="1"/>
        <v>831</v>
      </c>
      <c r="B832" s="218" t="s">
        <v>200</v>
      </c>
      <c r="C832" s="218" t="s">
        <v>5489</v>
      </c>
      <c r="D832" s="218" t="b">
        <v>1</v>
      </c>
      <c r="E832" s="219" t="b">
        <v>0</v>
      </c>
      <c r="F832" s="219" t="b">
        <v>0</v>
      </c>
      <c r="G832" s="219"/>
    </row>
    <row r="833">
      <c r="A833" s="218">
        <f t="shared" si="1"/>
        <v>832</v>
      </c>
      <c r="B833" s="218" t="s">
        <v>200</v>
      </c>
      <c r="C833" s="218" t="s">
        <v>5506</v>
      </c>
      <c r="D833" s="218" t="b">
        <v>1</v>
      </c>
      <c r="E833" s="219" t="b">
        <v>0</v>
      </c>
      <c r="F833" s="219" t="b">
        <v>0</v>
      </c>
      <c r="G833" s="219"/>
    </row>
    <row r="834">
      <c r="A834" s="218">
        <f t="shared" si="1"/>
        <v>833</v>
      </c>
      <c r="B834" s="218" t="s">
        <v>200</v>
      </c>
      <c r="C834" s="218" t="s">
        <v>5495</v>
      </c>
      <c r="D834" s="218" t="b">
        <v>1</v>
      </c>
      <c r="E834" s="219" t="b">
        <v>0</v>
      </c>
      <c r="F834" s="219" t="b">
        <v>0</v>
      </c>
      <c r="G834" s="219"/>
    </row>
    <row r="835">
      <c r="A835" s="218">
        <f t="shared" si="1"/>
        <v>834</v>
      </c>
      <c r="B835" s="218" t="s">
        <v>200</v>
      </c>
      <c r="C835" s="218" t="s">
        <v>5464</v>
      </c>
      <c r="D835" s="218" t="b">
        <v>1</v>
      </c>
      <c r="E835" s="219" t="b">
        <v>0</v>
      </c>
      <c r="F835" s="219" t="b">
        <v>0</v>
      </c>
      <c r="G835" s="219"/>
    </row>
    <row r="836">
      <c r="A836" s="218">
        <f t="shared" si="1"/>
        <v>835</v>
      </c>
      <c r="B836" s="218" t="s">
        <v>200</v>
      </c>
      <c r="C836" s="218" t="s">
        <v>5350</v>
      </c>
      <c r="D836" s="218" t="b">
        <v>1</v>
      </c>
      <c r="E836" s="219" t="b">
        <v>0</v>
      </c>
      <c r="F836" s="219" t="b">
        <v>0</v>
      </c>
      <c r="G836" s="219"/>
    </row>
    <row r="837">
      <c r="A837" s="218">
        <f t="shared" si="1"/>
        <v>836</v>
      </c>
      <c r="B837" s="218" t="s">
        <v>200</v>
      </c>
      <c r="C837" s="218" t="s">
        <v>5254</v>
      </c>
      <c r="D837" s="218" t="b">
        <v>1</v>
      </c>
      <c r="E837" s="219" t="b">
        <v>0</v>
      </c>
      <c r="F837" s="219" t="b">
        <v>0</v>
      </c>
      <c r="G837" s="219"/>
    </row>
    <row r="838">
      <c r="A838" s="218">
        <f t="shared" si="1"/>
        <v>837</v>
      </c>
      <c r="B838" s="218" t="s">
        <v>200</v>
      </c>
      <c r="C838" s="218" t="s">
        <v>5250</v>
      </c>
      <c r="D838" s="218" t="b">
        <v>1</v>
      </c>
      <c r="E838" s="219" t="b">
        <v>0</v>
      </c>
      <c r="F838" s="219" t="b">
        <v>0</v>
      </c>
      <c r="G838" s="219"/>
    </row>
    <row r="839">
      <c r="A839" s="218">
        <f t="shared" si="1"/>
        <v>838</v>
      </c>
      <c r="B839" s="218" t="s">
        <v>200</v>
      </c>
      <c r="C839" s="218" t="s">
        <v>5244</v>
      </c>
      <c r="D839" s="218" t="b">
        <v>1</v>
      </c>
      <c r="E839" s="219" t="b">
        <v>0</v>
      </c>
      <c r="F839" s="219" t="b">
        <v>0</v>
      </c>
      <c r="G839" s="219"/>
    </row>
    <row r="840">
      <c r="A840" s="218">
        <f t="shared" si="1"/>
        <v>839</v>
      </c>
      <c r="B840" s="218" t="s">
        <v>200</v>
      </c>
      <c r="C840" s="218" t="s">
        <v>5339</v>
      </c>
      <c r="D840" s="218" t="b">
        <v>1</v>
      </c>
      <c r="E840" s="219" t="b">
        <v>0</v>
      </c>
      <c r="F840" s="219" t="b">
        <v>0</v>
      </c>
      <c r="G840" s="219"/>
    </row>
    <row r="841">
      <c r="A841" s="218">
        <f t="shared" si="1"/>
        <v>840</v>
      </c>
      <c r="B841" s="218" t="s">
        <v>200</v>
      </c>
      <c r="C841" s="218" t="s">
        <v>5314</v>
      </c>
      <c r="D841" s="218" t="b">
        <v>1</v>
      </c>
      <c r="E841" s="219" t="b">
        <v>0</v>
      </c>
      <c r="F841" s="219" t="b">
        <v>0</v>
      </c>
      <c r="G841" s="219"/>
    </row>
    <row r="842">
      <c r="A842" s="218">
        <f t="shared" si="1"/>
        <v>841</v>
      </c>
      <c r="B842" s="218" t="s">
        <v>200</v>
      </c>
      <c r="C842" s="218" t="s">
        <v>5240</v>
      </c>
      <c r="D842" s="218" t="b">
        <v>1</v>
      </c>
      <c r="E842" s="219" t="b">
        <v>0</v>
      </c>
      <c r="F842" s="219" t="b">
        <v>0</v>
      </c>
      <c r="G842" s="219"/>
    </row>
    <row r="843">
      <c r="A843" s="218">
        <f t="shared" si="1"/>
        <v>842</v>
      </c>
      <c r="B843" s="218" t="s">
        <v>200</v>
      </c>
      <c r="C843" s="218" t="s">
        <v>5403</v>
      </c>
      <c r="D843" s="218" t="b">
        <v>1</v>
      </c>
      <c r="E843" s="219" t="b">
        <v>0</v>
      </c>
      <c r="F843" s="219" t="b">
        <v>0</v>
      </c>
      <c r="G843" s="219"/>
    </row>
    <row r="844">
      <c r="A844" s="218">
        <f t="shared" si="1"/>
        <v>843</v>
      </c>
      <c r="B844" s="218" t="s">
        <v>200</v>
      </c>
      <c r="C844" s="218" t="s">
        <v>920</v>
      </c>
      <c r="D844" s="218" t="b">
        <v>1</v>
      </c>
      <c r="E844" s="219" t="b">
        <v>0</v>
      </c>
      <c r="F844" s="219" t="b">
        <v>0</v>
      </c>
      <c r="G844" s="219"/>
    </row>
    <row r="845">
      <c r="A845" s="218">
        <f t="shared" si="1"/>
        <v>844</v>
      </c>
      <c r="B845" s="218" t="s">
        <v>200</v>
      </c>
      <c r="C845" s="218" t="s">
        <v>959</v>
      </c>
      <c r="D845" s="218" t="b">
        <v>1</v>
      </c>
      <c r="E845" s="219" t="b">
        <v>0</v>
      </c>
      <c r="F845" s="219" t="b">
        <v>0</v>
      </c>
      <c r="G845" s="219"/>
    </row>
    <row r="846">
      <c r="A846" s="218">
        <f t="shared" si="1"/>
        <v>845</v>
      </c>
      <c r="B846" s="218" t="s">
        <v>200</v>
      </c>
      <c r="C846" s="218" t="s">
        <v>905</v>
      </c>
      <c r="D846" s="218" t="b">
        <v>1</v>
      </c>
      <c r="E846" s="219" t="b">
        <v>0</v>
      </c>
      <c r="F846" s="219" t="b">
        <v>0</v>
      </c>
      <c r="G846" s="219"/>
    </row>
    <row r="847">
      <c r="A847" s="218">
        <f t="shared" si="1"/>
        <v>846</v>
      </c>
      <c r="B847" s="218" t="s">
        <v>200</v>
      </c>
      <c r="C847" s="218" t="s">
        <v>998</v>
      </c>
      <c r="D847" s="218" t="b">
        <v>1</v>
      </c>
      <c r="E847" s="219" t="b">
        <v>0</v>
      </c>
      <c r="F847" s="219" t="b">
        <v>0</v>
      </c>
      <c r="G847" s="219"/>
    </row>
    <row r="848">
      <c r="A848" s="218">
        <f t="shared" si="1"/>
        <v>847</v>
      </c>
      <c r="B848" s="218" t="s">
        <v>200</v>
      </c>
      <c r="C848" s="218" t="s">
        <v>1087</v>
      </c>
      <c r="D848" s="218" t="b">
        <v>1</v>
      </c>
      <c r="E848" s="219" t="b">
        <v>0</v>
      </c>
      <c r="F848" s="219" t="b">
        <v>0</v>
      </c>
      <c r="G848" s="219"/>
    </row>
    <row r="849">
      <c r="A849" s="218">
        <f t="shared" si="1"/>
        <v>848</v>
      </c>
      <c r="B849" s="218" t="s">
        <v>200</v>
      </c>
      <c r="C849" s="218" t="s">
        <v>2804</v>
      </c>
      <c r="D849" s="218" t="b">
        <v>1</v>
      </c>
      <c r="E849" s="219" t="b">
        <v>0</v>
      </c>
      <c r="F849" s="219" t="b">
        <v>0</v>
      </c>
      <c r="G849" s="219"/>
    </row>
    <row r="850">
      <c r="A850" s="218">
        <f t="shared" si="1"/>
        <v>849</v>
      </c>
      <c r="B850" s="218" t="s">
        <v>200</v>
      </c>
      <c r="C850" s="218" t="s">
        <v>2762</v>
      </c>
      <c r="D850" s="218" t="b">
        <v>1</v>
      </c>
      <c r="E850" s="219" t="b">
        <v>0</v>
      </c>
      <c r="F850" s="219" t="b">
        <v>0</v>
      </c>
      <c r="G850" s="219"/>
    </row>
    <row r="851">
      <c r="A851" s="218">
        <f t="shared" si="1"/>
        <v>850</v>
      </c>
      <c r="B851" s="218" t="s">
        <v>200</v>
      </c>
      <c r="C851" s="218" t="s">
        <v>780</v>
      </c>
      <c r="D851" s="218" t="b">
        <v>1</v>
      </c>
      <c r="E851" s="219" t="b">
        <v>0</v>
      </c>
      <c r="F851" s="219" t="b">
        <v>0</v>
      </c>
      <c r="G851" s="219"/>
    </row>
    <row r="852">
      <c r="A852" s="218">
        <f t="shared" si="1"/>
        <v>851</v>
      </c>
      <c r="B852" s="218" t="s">
        <v>200</v>
      </c>
      <c r="C852" s="218" t="s">
        <v>5345</v>
      </c>
      <c r="D852" s="218" t="b">
        <v>1</v>
      </c>
      <c r="E852" s="219" t="b">
        <v>0</v>
      </c>
      <c r="F852" s="219" t="b">
        <v>0</v>
      </c>
      <c r="G852" s="219"/>
    </row>
    <row r="853">
      <c r="A853" s="218">
        <f t="shared" si="1"/>
        <v>852</v>
      </c>
      <c r="B853" s="218" t="s">
        <v>200</v>
      </c>
      <c r="C853" s="218" t="s">
        <v>871</v>
      </c>
      <c r="D853" s="218" t="b">
        <v>1</v>
      </c>
      <c r="E853" s="219" t="b">
        <v>0</v>
      </c>
      <c r="F853" s="219" t="b">
        <v>0</v>
      </c>
      <c r="G853" s="219"/>
    </row>
    <row r="854">
      <c r="A854" s="218">
        <f t="shared" si="1"/>
        <v>853</v>
      </c>
      <c r="B854" s="218" t="s">
        <v>200</v>
      </c>
      <c r="C854" s="218" t="s">
        <v>395</v>
      </c>
      <c r="D854" s="218" t="b">
        <v>1</v>
      </c>
      <c r="E854" s="219" t="b">
        <v>0</v>
      </c>
      <c r="F854" s="219" t="b">
        <v>0</v>
      </c>
      <c r="G854" s="219"/>
    </row>
    <row r="855">
      <c r="A855" s="218">
        <f t="shared" si="1"/>
        <v>854</v>
      </c>
      <c r="B855" s="218" t="s">
        <v>200</v>
      </c>
      <c r="C855" s="218" t="s">
        <v>881</v>
      </c>
      <c r="D855" s="218" t="b">
        <v>1</v>
      </c>
      <c r="E855" s="219" t="b">
        <v>0</v>
      </c>
      <c r="F855" s="219" t="b">
        <v>0</v>
      </c>
      <c r="G855" s="219"/>
    </row>
    <row r="856">
      <c r="A856" s="218">
        <f t="shared" si="1"/>
        <v>855</v>
      </c>
      <c r="B856" s="218" t="s">
        <v>200</v>
      </c>
      <c r="C856" s="218" t="s">
        <v>890</v>
      </c>
      <c r="D856" s="218" t="b">
        <v>1</v>
      </c>
      <c r="E856" s="219" t="b">
        <v>0</v>
      </c>
      <c r="F856" s="219" t="b">
        <v>0</v>
      </c>
      <c r="G856" s="219"/>
    </row>
    <row r="857">
      <c r="A857" s="218">
        <f t="shared" si="1"/>
        <v>856</v>
      </c>
      <c r="B857" s="218" t="s">
        <v>200</v>
      </c>
      <c r="C857" s="218" t="s">
        <v>900</v>
      </c>
      <c r="D857" s="218" t="b">
        <v>1</v>
      </c>
      <c r="E857" s="219" t="b">
        <v>0</v>
      </c>
      <c r="F857" s="219" t="b">
        <v>0</v>
      </c>
      <c r="G857" s="219"/>
    </row>
    <row r="858">
      <c r="A858" s="218">
        <f t="shared" si="1"/>
        <v>857</v>
      </c>
      <c r="B858" s="218" t="s">
        <v>200</v>
      </c>
      <c r="C858" s="218" t="s">
        <v>929</v>
      </c>
      <c r="D858" s="218" t="b">
        <v>1</v>
      </c>
      <c r="E858" s="219" t="b">
        <v>0</v>
      </c>
      <c r="F858" s="219" t="b">
        <v>0</v>
      </c>
      <c r="G858" s="219"/>
    </row>
    <row r="859">
      <c r="A859" s="218">
        <f t="shared" si="1"/>
        <v>858</v>
      </c>
      <c r="B859" s="218" t="s">
        <v>200</v>
      </c>
      <c r="C859" s="218" t="s">
        <v>954</v>
      </c>
      <c r="D859" s="218" t="b">
        <v>1</v>
      </c>
      <c r="E859" s="219" t="b">
        <v>0</v>
      </c>
      <c r="F859" s="219" t="b">
        <v>0</v>
      </c>
      <c r="G859" s="219"/>
    </row>
    <row r="860">
      <c r="A860" s="218">
        <f t="shared" si="1"/>
        <v>859</v>
      </c>
      <c r="B860" s="218" t="s">
        <v>200</v>
      </c>
      <c r="C860" s="218" t="s">
        <v>924</v>
      </c>
      <c r="D860" s="218" t="b">
        <v>1</v>
      </c>
      <c r="E860" s="219" t="b">
        <v>0</v>
      </c>
      <c r="F860" s="219" t="b">
        <v>0</v>
      </c>
      <c r="G860" s="219"/>
    </row>
    <row r="861">
      <c r="A861" s="218">
        <f t="shared" si="1"/>
        <v>860</v>
      </c>
      <c r="B861" s="218" t="s">
        <v>200</v>
      </c>
      <c r="C861" s="218" t="s">
        <v>910</v>
      </c>
      <c r="D861" s="218" t="b">
        <v>1</v>
      </c>
      <c r="E861" s="219" t="b">
        <v>0</v>
      </c>
      <c r="F861" s="219" t="b">
        <v>0</v>
      </c>
      <c r="G861" s="219"/>
    </row>
    <row r="862">
      <c r="A862" s="218">
        <f t="shared" si="1"/>
        <v>861</v>
      </c>
      <c r="B862" s="218" t="s">
        <v>200</v>
      </c>
      <c r="C862" s="218" t="s">
        <v>915</v>
      </c>
      <c r="D862" s="218" t="b">
        <v>1</v>
      </c>
      <c r="E862" s="219" t="b">
        <v>0</v>
      </c>
      <c r="F862" s="219" t="b">
        <v>0</v>
      </c>
      <c r="G862" s="219"/>
    </row>
    <row r="863">
      <c r="A863" s="218">
        <f t="shared" si="1"/>
        <v>862</v>
      </c>
      <c r="B863" s="218" t="s">
        <v>200</v>
      </c>
      <c r="C863" s="218" t="s">
        <v>5303</v>
      </c>
      <c r="D863" s="218" t="b">
        <v>1</v>
      </c>
      <c r="E863" s="219" t="b">
        <v>0</v>
      </c>
      <c r="F863" s="219" t="b">
        <v>0</v>
      </c>
      <c r="G863" s="219"/>
    </row>
    <row r="864">
      <c r="A864" s="218">
        <f t="shared" si="1"/>
        <v>863</v>
      </c>
      <c r="B864" s="218" t="s">
        <v>200</v>
      </c>
      <c r="C864" s="218" t="s">
        <v>5322</v>
      </c>
      <c r="D864" s="218" t="b">
        <v>1</v>
      </c>
      <c r="E864" s="219" t="b">
        <v>0</v>
      </c>
      <c r="F864" s="219" t="b">
        <v>0</v>
      </c>
      <c r="G864" s="219"/>
    </row>
    <row r="865">
      <c r="A865" s="218">
        <f t="shared" si="1"/>
        <v>864</v>
      </c>
      <c r="B865" s="218" t="s">
        <v>200</v>
      </c>
      <c r="C865" s="218" t="s">
        <v>4015</v>
      </c>
      <c r="D865" s="218" t="b">
        <v>1</v>
      </c>
      <c r="E865" s="219" t="b">
        <v>0</v>
      </c>
      <c r="F865" s="219" t="b">
        <v>0</v>
      </c>
      <c r="G865" s="219"/>
    </row>
    <row r="866">
      <c r="A866" s="218">
        <f t="shared" si="1"/>
        <v>865</v>
      </c>
      <c r="B866" s="218" t="s">
        <v>200</v>
      </c>
      <c r="C866" s="218" t="s">
        <v>4021</v>
      </c>
      <c r="D866" s="218" t="b">
        <v>1</v>
      </c>
      <c r="E866" s="219" t="b">
        <v>0</v>
      </c>
      <c r="F866" s="219" t="b">
        <v>0</v>
      </c>
      <c r="G866" s="219"/>
    </row>
    <row r="867">
      <c r="A867" s="218">
        <f t="shared" si="1"/>
        <v>866</v>
      </c>
      <c r="B867" s="218" t="s">
        <v>200</v>
      </c>
      <c r="C867" s="218" t="s">
        <v>4036</v>
      </c>
      <c r="D867" s="218" t="b">
        <v>1</v>
      </c>
      <c r="E867" s="219" t="b">
        <v>0</v>
      </c>
      <c r="F867" s="219" t="b">
        <v>0</v>
      </c>
      <c r="G867" s="219"/>
    </row>
    <row r="868">
      <c r="A868" s="218">
        <f t="shared" si="1"/>
        <v>867</v>
      </c>
      <c r="B868" s="218" t="s">
        <v>200</v>
      </c>
      <c r="C868" s="218" t="s">
        <v>4052</v>
      </c>
      <c r="D868" s="218" t="b">
        <v>1</v>
      </c>
      <c r="E868" s="219" t="b">
        <v>0</v>
      </c>
      <c r="F868" s="219" t="b">
        <v>0</v>
      </c>
      <c r="G868" s="219"/>
    </row>
    <row r="869">
      <c r="A869" s="218">
        <f t="shared" si="1"/>
        <v>868</v>
      </c>
      <c r="B869" s="218" t="s">
        <v>200</v>
      </c>
      <c r="C869" s="218" t="s">
        <v>3950</v>
      </c>
      <c r="D869" s="218" t="b">
        <v>1</v>
      </c>
      <c r="E869" s="219" t="b">
        <v>0</v>
      </c>
      <c r="F869" s="219" t="b">
        <v>0</v>
      </c>
      <c r="G869" s="219"/>
    </row>
    <row r="870">
      <c r="A870" s="218">
        <f t="shared" si="1"/>
        <v>869</v>
      </c>
      <c r="B870" s="218" t="s">
        <v>200</v>
      </c>
      <c r="C870" s="218" t="s">
        <v>3980</v>
      </c>
      <c r="D870" s="218" t="b">
        <v>1</v>
      </c>
      <c r="E870" s="219" t="b">
        <v>0</v>
      </c>
      <c r="F870" s="219" t="b">
        <v>0</v>
      </c>
      <c r="G870" s="219"/>
    </row>
    <row r="871">
      <c r="A871" s="218">
        <f t="shared" si="1"/>
        <v>870</v>
      </c>
      <c r="B871" s="218" t="s">
        <v>200</v>
      </c>
      <c r="C871" s="218" t="s">
        <v>4067</v>
      </c>
      <c r="D871" s="218" t="b">
        <v>1</v>
      </c>
      <c r="E871" s="219" t="b">
        <v>0</v>
      </c>
      <c r="F871" s="219" t="b">
        <v>0</v>
      </c>
      <c r="G871" s="219"/>
    </row>
    <row r="872">
      <c r="A872" s="218">
        <f t="shared" si="1"/>
        <v>871</v>
      </c>
      <c r="B872" s="218" t="s">
        <v>200</v>
      </c>
      <c r="C872" s="218" t="s">
        <v>3922</v>
      </c>
      <c r="D872" s="218" t="b">
        <v>1</v>
      </c>
      <c r="E872" s="219" t="b">
        <v>0</v>
      </c>
      <c r="F872" s="219" t="b">
        <v>0</v>
      </c>
      <c r="G872" s="219"/>
    </row>
    <row r="873">
      <c r="A873" s="218">
        <f t="shared" si="1"/>
        <v>872</v>
      </c>
      <c r="B873" s="218" t="s">
        <v>200</v>
      </c>
      <c r="C873" s="218" t="s">
        <v>3911</v>
      </c>
      <c r="D873" s="218" t="b">
        <v>1</v>
      </c>
      <c r="E873" s="219" t="b">
        <v>0</v>
      </c>
      <c r="F873" s="219" t="b">
        <v>0</v>
      </c>
      <c r="G873" s="219"/>
    </row>
    <row r="874">
      <c r="A874" s="218">
        <f t="shared" si="1"/>
        <v>873</v>
      </c>
      <c r="B874" s="218" t="s">
        <v>200</v>
      </c>
      <c r="C874" s="218" t="s">
        <v>3956</v>
      </c>
      <c r="D874" s="218" t="b">
        <v>1</v>
      </c>
      <c r="E874" s="219" t="b">
        <v>0</v>
      </c>
      <c r="F874" s="219" t="b">
        <v>0</v>
      </c>
      <c r="G874" s="219"/>
    </row>
    <row r="875">
      <c r="A875" s="218">
        <f t="shared" si="1"/>
        <v>874</v>
      </c>
      <c r="B875" s="218" t="s">
        <v>200</v>
      </c>
      <c r="C875" s="218" t="s">
        <v>3954</v>
      </c>
      <c r="D875" s="218" t="b">
        <v>1</v>
      </c>
      <c r="E875" s="219" t="b">
        <v>0</v>
      </c>
      <c r="F875" s="219" t="b">
        <v>0</v>
      </c>
      <c r="G875" s="219"/>
    </row>
    <row r="876">
      <c r="A876" s="218">
        <f t="shared" si="1"/>
        <v>875</v>
      </c>
      <c r="B876" s="218" t="s">
        <v>200</v>
      </c>
      <c r="C876" s="218" t="s">
        <v>4211</v>
      </c>
      <c r="D876" s="218" t="b">
        <v>1</v>
      </c>
      <c r="E876" s="219" t="b">
        <v>0</v>
      </c>
      <c r="F876" s="219" t="b">
        <v>0</v>
      </c>
      <c r="G876" s="219"/>
    </row>
    <row r="877">
      <c r="A877" s="218">
        <f t="shared" si="1"/>
        <v>876</v>
      </c>
      <c r="B877" s="218" t="s">
        <v>200</v>
      </c>
      <c r="C877" s="218" t="s">
        <v>4238</v>
      </c>
      <c r="D877" s="218" t="b">
        <v>1</v>
      </c>
      <c r="E877" s="219" t="b">
        <v>0</v>
      </c>
      <c r="F877" s="219" t="b">
        <v>0</v>
      </c>
      <c r="G877" s="219"/>
    </row>
    <row r="878">
      <c r="A878" s="218">
        <f t="shared" si="1"/>
        <v>877</v>
      </c>
      <c r="B878" s="218" t="s">
        <v>200</v>
      </c>
      <c r="C878" s="218" t="s">
        <v>3946</v>
      </c>
      <c r="D878" s="218" t="b">
        <v>1</v>
      </c>
      <c r="E878" s="219" t="b">
        <v>0</v>
      </c>
      <c r="F878" s="219" t="b">
        <v>0</v>
      </c>
      <c r="G878" s="219"/>
    </row>
    <row r="879">
      <c r="A879" s="218">
        <f t="shared" si="1"/>
        <v>878</v>
      </c>
      <c r="B879" s="218" t="s">
        <v>200</v>
      </c>
      <c r="C879" s="218" t="s">
        <v>3823</v>
      </c>
      <c r="D879" s="218" t="b">
        <v>1</v>
      </c>
      <c r="E879" s="219" t="b">
        <v>0</v>
      </c>
      <c r="F879" s="219" t="b">
        <v>0</v>
      </c>
      <c r="G879" s="219"/>
    </row>
    <row r="880">
      <c r="A880" s="218">
        <f t="shared" si="1"/>
        <v>879</v>
      </c>
      <c r="B880" s="218" t="s">
        <v>200</v>
      </c>
      <c r="C880" s="218" t="s">
        <v>3996</v>
      </c>
      <c r="D880" s="218" t="b">
        <v>1</v>
      </c>
      <c r="E880" s="219" t="b">
        <v>0</v>
      </c>
      <c r="F880" s="219" t="b">
        <v>0</v>
      </c>
      <c r="G880" s="219"/>
    </row>
    <row r="881">
      <c r="A881" s="218">
        <f t="shared" si="1"/>
        <v>880</v>
      </c>
      <c r="B881" s="218" t="s">
        <v>200</v>
      </c>
      <c r="C881" s="218" t="s">
        <v>3891</v>
      </c>
      <c r="D881" s="218" t="b">
        <v>1</v>
      </c>
      <c r="E881" s="219" t="b">
        <v>0</v>
      </c>
      <c r="F881" s="219" t="b">
        <v>0</v>
      </c>
      <c r="G881" s="219"/>
    </row>
    <row r="882">
      <c r="A882" s="218">
        <f t="shared" si="1"/>
        <v>881</v>
      </c>
      <c r="B882" s="218" t="s">
        <v>200</v>
      </c>
      <c r="C882" s="218" t="s">
        <v>3828</v>
      </c>
      <c r="D882" s="218" t="b">
        <v>1</v>
      </c>
      <c r="E882" s="219" t="b">
        <v>0</v>
      </c>
      <c r="F882" s="219" t="b">
        <v>0</v>
      </c>
      <c r="G882" s="219"/>
    </row>
    <row r="883">
      <c r="A883" s="218">
        <f t="shared" si="1"/>
        <v>882</v>
      </c>
      <c r="B883" s="218" t="s">
        <v>200</v>
      </c>
      <c r="C883" s="218" t="s">
        <v>3976</v>
      </c>
      <c r="D883" s="218" t="b">
        <v>1</v>
      </c>
      <c r="E883" s="219" t="b">
        <v>0</v>
      </c>
      <c r="F883" s="219" t="b">
        <v>0</v>
      </c>
      <c r="G883" s="219"/>
    </row>
    <row r="884">
      <c r="A884" s="218">
        <f t="shared" si="1"/>
        <v>883</v>
      </c>
      <c r="B884" s="218" t="s">
        <v>200</v>
      </c>
      <c r="C884" s="218" t="s">
        <v>3937</v>
      </c>
      <c r="D884" s="218" t="b">
        <v>1</v>
      </c>
      <c r="E884" s="219" t="b">
        <v>0</v>
      </c>
      <c r="F884" s="219" t="b">
        <v>0</v>
      </c>
      <c r="G884" s="219"/>
    </row>
    <row r="885">
      <c r="A885" s="218">
        <f t="shared" si="1"/>
        <v>884</v>
      </c>
      <c r="B885" s="218" t="s">
        <v>200</v>
      </c>
      <c r="C885" s="218" t="s">
        <v>3632</v>
      </c>
      <c r="D885" s="218" t="b">
        <v>1</v>
      </c>
      <c r="E885" s="219" t="b">
        <v>0</v>
      </c>
      <c r="F885" s="219" t="b">
        <v>0</v>
      </c>
      <c r="G885" s="219"/>
    </row>
    <row r="886">
      <c r="A886" s="218">
        <f t="shared" si="1"/>
        <v>885</v>
      </c>
      <c r="B886" s="218" t="s">
        <v>200</v>
      </c>
      <c r="C886" s="218" t="s">
        <v>4002</v>
      </c>
      <c r="D886" s="218" t="b">
        <v>1</v>
      </c>
      <c r="E886" s="219" t="b">
        <v>0</v>
      </c>
      <c r="F886" s="219" t="b">
        <v>0</v>
      </c>
      <c r="G886" s="219"/>
    </row>
    <row r="887">
      <c r="A887" s="218">
        <f t="shared" si="1"/>
        <v>886</v>
      </c>
      <c r="B887" s="218" t="s">
        <v>200</v>
      </c>
      <c r="C887" s="218" t="s">
        <v>3833</v>
      </c>
      <c r="D887" s="218" t="b">
        <v>1</v>
      </c>
      <c r="E887" s="219" t="b">
        <v>0</v>
      </c>
      <c r="F887" s="219" t="b">
        <v>0</v>
      </c>
      <c r="G887" s="219"/>
    </row>
    <row r="888">
      <c r="A888" s="218">
        <f t="shared" si="1"/>
        <v>887</v>
      </c>
      <c r="B888" s="218" t="s">
        <v>200</v>
      </c>
      <c r="C888" s="218" t="s">
        <v>3660</v>
      </c>
      <c r="D888" s="218" t="b">
        <v>1</v>
      </c>
      <c r="E888" s="219" t="b">
        <v>0</v>
      </c>
      <c r="F888" s="219" t="b">
        <v>0</v>
      </c>
      <c r="G888" s="219"/>
    </row>
    <row r="889">
      <c r="A889" s="218">
        <f t="shared" si="1"/>
        <v>888</v>
      </c>
      <c r="B889" s="218" t="s">
        <v>200</v>
      </c>
      <c r="C889" s="218" t="s">
        <v>4156</v>
      </c>
      <c r="D889" s="218" t="b">
        <v>1</v>
      </c>
      <c r="E889" s="219" t="b">
        <v>0</v>
      </c>
      <c r="F889" s="219" t="b">
        <v>0</v>
      </c>
      <c r="G889" s="219"/>
    </row>
    <row r="890">
      <c r="A890" s="218">
        <f t="shared" si="1"/>
        <v>889</v>
      </c>
      <c r="B890" s="218" t="s">
        <v>200</v>
      </c>
      <c r="C890" s="218" t="s">
        <v>3666</v>
      </c>
      <c r="D890" s="218" t="b">
        <v>1</v>
      </c>
      <c r="E890" s="219" t="b">
        <v>0</v>
      </c>
      <c r="F890" s="219" t="b">
        <v>0</v>
      </c>
      <c r="G890" s="219"/>
    </row>
    <row r="891">
      <c r="A891" s="218">
        <f t="shared" si="1"/>
        <v>890</v>
      </c>
      <c r="B891" s="218" t="s">
        <v>200</v>
      </c>
      <c r="C891" s="218" t="s">
        <v>4294</v>
      </c>
      <c r="D891" s="218" t="b">
        <v>1</v>
      </c>
      <c r="E891" s="219" t="b">
        <v>0</v>
      </c>
      <c r="F891" s="219" t="b">
        <v>0</v>
      </c>
      <c r="G891" s="219"/>
    </row>
    <row r="892">
      <c r="A892" s="218">
        <f t="shared" si="1"/>
        <v>891</v>
      </c>
      <c r="B892" s="218" t="s">
        <v>200</v>
      </c>
      <c r="C892" s="218" t="s">
        <v>3906</v>
      </c>
      <c r="D892" s="218" t="b">
        <v>1</v>
      </c>
      <c r="E892" s="219" t="b">
        <v>0</v>
      </c>
      <c r="F892" s="219" t="b">
        <v>0</v>
      </c>
      <c r="G892" s="219"/>
    </row>
    <row r="893">
      <c r="A893" s="218">
        <f t="shared" si="1"/>
        <v>892</v>
      </c>
      <c r="B893" s="218" t="s">
        <v>200</v>
      </c>
      <c r="C893" s="218" t="s">
        <v>3838</v>
      </c>
      <c r="D893" s="218" t="b">
        <v>1</v>
      </c>
      <c r="E893" s="219" t="b">
        <v>0</v>
      </c>
      <c r="F893" s="219" t="b">
        <v>0</v>
      </c>
      <c r="G893" s="219"/>
    </row>
    <row r="894">
      <c r="A894" s="218">
        <f t="shared" si="1"/>
        <v>893</v>
      </c>
      <c r="B894" s="218" t="s">
        <v>200</v>
      </c>
      <c r="C894" s="218" t="s">
        <v>3871</v>
      </c>
      <c r="D894" s="218" t="b">
        <v>1</v>
      </c>
      <c r="E894" s="219" t="b">
        <v>0</v>
      </c>
      <c r="F894" s="219" t="b">
        <v>0</v>
      </c>
      <c r="G894" s="219"/>
    </row>
    <row r="895">
      <c r="A895" s="218">
        <f t="shared" si="1"/>
        <v>894</v>
      </c>
      <c r="B895" s="218" t="s">
        <v>200</v>
      </c>
      <c r="C895" s="218" t="s">
        <v>3843</v>
      </c>
      <c r="D895" s="218" t="b">
        <v>1</v>
      </c>
      <c r="E895" s="219" t="b">
        <v>0</v>
      </c>
      <c r="F895" s="219" t="b">
        <v>0</v>
      </c>
      <c r="G895" s="219"/>
    </row>
    <row r="896">
      <c r="A896" s="218">
        <f t="shared" si="1"/>
        <v>895</v>
      </c>
      <c r="B896" s="218" t="s">
        <v>200</v>
      </c>
      <c r="C896" s="218" t="s">
        <v>3917</v>
      </c>
      <c r="D896" s="218" t="b">
        <v>1</v>
      </c>
      <c r="E896" s="219" t="b">
        <v>0</v>
      </c>
      <c r="F896" s="219" t="b">
        <v>0</v>
      </c>
      <c r="G896" s="219"/>
    </row>
    <row r="897">
      <c r="A897" s="218">
        <f t="shared" si="1"/>
        <v>896</v>
      </c>
      <c r="B897" s="218" t="s">
        <v>200</v>
      </c>
      <c r="C897" s="218" t="s">
        <v>3857</v>
      </c>
      <c r="D897" s="218" t="b">
        <v>1</v>
      </c>
      <c r="E897" s="219" t="b">
        <v>0</v>
      </c>
      <c r="F897" s="219" t="b">
        <v>0</v>
      </c>
      <c r="G897" s="219"/>
    </row>
    <row r="898">
      <c r="A898" s="218">
        <f t="shared" si="1"/>
        <v>897</v>
      </c>
      <c r="B898" s="218" t="s">
        <v>200</v>
      </c>
      <c r="C898" s="218" t="s">
        <v>4800</v>
      </c>
      <c r="D898" s="218" t="b">
        <v>1</v>
      </c>
      <c r="E898" s="219" t="b">
        <v>0</v>
      </c>
      <c r="F898" s="219" t="b">
        <v>0</v>
      </c>
      <c r="G898" s="219"/>
    </row>
    <row r="899">
      <c r="A899" s="218">
        <f t="shared" si="1"/>
        <v>898</v>
      </c>
      <c r="B899" s="218" t="s">
        <v>200</v>
      </c>
      <c r="C899" s="218" t="s">
        <v>3970</v>
      </c>
      <c r="D899" s="218" t="b">
        <v>1</v>
      </c>
      <c r="E899" s="219" t="b">
        <v>0</v>
      </c>
      <c r="F899" s="219" t="b">
        <v>0</v>
      </c>
      <c r="G899" s="219"/>
    </row>
    <row r="900">
      <c r="A900" s="218">
        <f t="shared" si="1"/>
        <v>899</v>
      </c>
      <c r="B900" s="218" t="s">
        <v>200</v>
      </c>
      <c r="C900" s="218" t="s">
        <v>4300</v>
      </c>
      <c r="D900" s="218" t="b">
        <v>1</v>
      </c>
      <c r="E900" s="219" t="b">
        <v>0</v>
      </c>
      <c r="F900" s="219" t="b">
        <v>0</v>
      </c>
      <c r="G900" s="219"/>
    </row>
    <row r="901">
      <c r="A901" s="218">
        <f t="shared" si="1"/>
        <v>900</v>
      </c>
      <c r="B901" s="218" t="s">
        <v>200</v>
      </c>
      <c r="C901" s="218" t="s">
        <v>3651</v>
      </c>
      <c r="D901" s="218" t="b">
        <v>1</v>
      </c>
      <c r="E901" s="219" t="b">
        <v>0</v>
      </c>
      <c r="F901" s="219" t="b">
        <v>0</v>
      </c>
      <c r="G901" s="219"/>
    </row>
    <row r="902">
      <c r="A902" s="218">
        <f t="shared" si="1"/>
        <v>901</v>
      </c>
      <c r="B902" s="218" t="s">
        <v>200</v>
      </c>
      <c r="C902" s="218" t="s">
        <v>4217</v>
      </c>
      <c r="D902" s="218" t="b">
        <v>1</v>
      </c>
      <c r="E902" s="219" t="b">
        <v>0</v>
      </c>
      <c r="F902" s="219" t="b">
        <v>0</v>
      </c>
      <c r="G902" s="219"/>
    </row>
    <row r="903">
      <c r="A903" s="218">
        <f t="shared" si="1"/>
        <v>902</v>
      </c>
      <c r="B903" s="218" t="s">
        <v>200</v>
      </c>
      <c r="C903" s="218" t="s">
        <v>3623</v>
      </c>
      <c r="D903" s="218" t="b">
        <v>1</v>
      </c>
      <c r="E903" s="219" t="b">
        <v>0</v>
      </c>
      <c r="F903" s="219" t="b">
        <v>0</v>
      </c>
      <c r="G903" s="219"/>
    </row>
    <row r="904">
      <c r="A904" s="218">
        <f t="shared" si="1"/>
        <v>903</v>
      </c>
      <c r="B904" s="218" t="s">
        <v>200</v>
      </c>
      <c r="C904" s="218" t="s">
        <v>4822</v>
      </c>
      <c r="D904" s="218" t="b">
        <v>1</v>
      </c>
      <c r="E904" s="219" t="b">
        <v>0</v>
      </c>
      <c r="F904" s="219" t="b">
        <v>0</v>
      </c>
      <c r="G904" s="219"/>
    </row>
    <row r="905">
      <c r="A905" s="218">
        <f t="shared" si="1"/>
        <v>904</v>
      </c>
      <c r="B905" s="218" t="s">
        <v>200</v>
      </c>
      <c r="C905" s="218" t="s">
        <v>4961</v>
      </c>
      <c r="D905" s="218" t="b">
        <v>1</v>
      </c>
      <c r="E905" s="219" t="b">
        <v>0</v>
      </c>
      <c r="F905" s="219" t="b">
        <v>0</v>
      </c>
      <c r="G905" s="219"/>
    </row>
    <row r="906">
      <c r="A906" s="218">
        <f t="shared" si="1"/>
        <v>905</v>
      </c>
      <c r="B906" s="218" t="s">
        <v>200</v>
      </c>
      <c r="C906" s="218" t="s">
        <v>4811</v>
      </c>
      <c r="D906" s="218" t="b">
        <v>1</v>
      </c>
      <c r="E906" s="219" t="b">
        <v>0</v>
      </c>
      <c r="F906" s="219" t="b">
        <v>0</v>
      </c>
      <c r="G906" s="219"/>
    </row>
    <row r="907">
      <c r="A907" s="218">
        <f t="shared" si="1"/>
        <v>906</v>
      </c>
      <c r="B907" s="218" t="s">
        <v>200</v>
      </c>
      <c r="C907" s="218" t="s">
        <v>4862</v>
      </c>
      <c r="D907" s="218" t="b">
        <v>1</v>
      </c>
      <c r="E907" s="219" t="b">
        <v>0</v>
      </c>
      <c r="F907" s="219" t="b">
        <v>0</v>
      </c>
      <c r="G907" s="219"/>
    </row>
    <row r="908">
      <c r="A908" s="218">
        <f t="shared" si="1"/>
        <v>907</v>
      </c>
      <c r="B908" s="218" t="s">
        <v>200</v>
      </c>
      <c r="C908" s="218" t="s">
        <v>4917</v>
      </c>
      <c r="D908" s="218" t="b">
        <v>1</v>
      </c>
      <c r="E908" s="219" t="b">
        <v>0</v>
      </c>
      <c r="F908" s="219" t="b">
        <v>0</v>
      </c>
      <c r="G908" s="219"/>
    </row>
    <row r="909">
      <c r="A909" s="218">
        <f t="shared" si="1"/>
        <v>908</v>
      </c>
      <c r="B909" s="218" t="s">
        <v>200</v>
      </c>
      <c r="C909" s="218" t="s">
        <v>3751</v>
      </c>
      <c r="D909" s="218" t="b">
        <v>1</v>
      </c>
      <c r="E909" s="219" t="b">
        <v>0</v>
      </c>
      <c r="F909" s="219" t="b">
        <v>0</v>
      </c>
      <c r="G909" s="219"/>
    </row>
    <row r="910">
      <c r="A910" s="218">
        <f t="shared" si="1"/>
        <v>909</v>
      </c>
      <c r="B910" s="218" t="s">
        <v>200</v>
      </c>
      <c r="C910" s="218" t="s">
        <v>3785</v>
      </c>
      <c r="D910" s="218" t="b">
        <v>1</v>
      </c>
      <c r="E910" s="219" t="b">
        <v>0</v>
      </c>
      <c r="F910" s="219" t="b">
        <v>0</v>
      </c>
      <c r="G910" s="219"/>
    </row>
    <row r="911">
      <c r="A911" s="218">
        <f t="shared" si="1"/>
        <v>910</v>
      </c>
      <c r="B911" s="218" t="s">
        <v>200</v>
      </c>
      <c r="C911" s="218" t="s">
        <v>3560</v>
      </c>
      <c r="D911" s="218" t="b">
        <v>1</v>
      </c>
      <c r="E911" s="219" t="b">
        <v>0</v>
      </c>
      <c r="F911" s="219" t="b">
        <v>0</v>
      </c>
      <c r="G911" s="219"/>
    </row>
    <row r="912">
      <c r="A912" s="218">
        <f t="shared" si="1"/>
        <v>911</v>
      </c>
      <c r="B912" s="218" t="s">
        <v>200</v>
      </c>
      <c r="C912" s="218" t="s">
        <v>3818</v>
      </c>
      <c r="D912" s="218" t="b">
        <v>1</v>
      </c>
      <c r="E912" s="219" t="b">
        <v>0</v>
      </c>
      <c r="F912" s="219" t="b">
        <v>0</v>
      </c>
      <c r="G912" s="219"/>
    </row>
    <row r="913">
      <c r="A913" s="218">
        <f t="shared" si="1"/>
        <v>912</v>
      </c>
      <c r="B913" s="218" t="s">
        <v>200</v>
      </c>
      <c r="C913" s="218" t="s">
        <v>3524</v>
      </c>
      <c r="D913" s="218" t="b">
        <v>1</v>
      </c>
      <c r="E913" s="219" t="b">
        <v>0</v>
      </c>
      <c r="F913" s="219" t="b">
        <v>0</v>
      </c>
      <c r="G913" s="219"/>
    </row>
    <row r="914">
      <c r="A914" s="218">
        <f t="shared" si="1"/>
        <v>913</v>
      </c>
      <c r="B914" s="218" t="s">
        <v>200</v>
      </c>
      <c r="C914" s="218" t="s">
        <v>3592</v>
      </c>
      <c r="D914" s="218" t="b">
        <v>1</v>
      </c>
      <c r="E914" s="219" t="b">
        <v>0</v>
      </c>
      <c r="F914" s="219" t="b">
        <v>0</v>
      </c>
      <c r="G914" s="219"/>
    </row>
    <row r="915">
      <c r="A915" s="218">
        <f t="shared" si="1"/>
        <v>914</v>
      </c>
      <c r="B915" s="218" t="s">
        <v>200</v>
      </c>
      <c r="C915" s="218" t="s">
        <v>3715</v>
      </c>
      <c r="D915" s="218" t="b">
        <v>1</v>
      </c>
      <c r="E915" s="219" t="b">
        <v>0</v>
      </c>
      <c r="F915" s="219" t="b">
        <v>0</v>
      </c>
      <c r="G915" s="219"/>
    </row>
    <row r="916">
      <c r="A916" s="218">
        <f t="shared" si="1"/>
        <v>915</v>
      </c>
      <c r="B916" s="218" t="s">
        <v>200</v>
      </c>
      <c r="C916" s="218" t="s">
        <v>3534</v>
      </c>
      <c r="D916" s="218" t="b">
        <v>1</v>
      </c>
      <c r="E916" s="219" t="b">
        <v>0</v>
      </c>
      <c r="F916" s="219" t="b">
        <v>0</v>
      </c>
      <c r="G916" s="219"/>
    </row>
    <row r="917">
      <c r="A917" s="218">
        <f t="shared" si="1"/>
        <v>916</v>
      </c>
      <c r="B917" s="218" t="s">
        <v>200</v>
      </c>
      <c r="C917" s="218" t="s">
        <v>3675</v>
      </c>
      <c r="D917" s="218" t="b">
        <v>1</v>
      </c>
      <c r="E917" s="219" t="b">
        <v>0</v>
      </c>
      <c r="F917" s="219" t="b">
        <v>0</v>
      </c>
      <c r="G917" s="219"/>
    </row>
    <row r="918">
      <c r="A918" s="218">
        <f t="shared" si="1"/>
        <v>917</v>
      </c>
      <c r="B918" s="218" t="s">
        <v>200</v>
      </c>
      <c r="C918" s="218" t="s">
        <v>3725</v>
      </c>
      <c r="D918" s="218" t="b">
        <v>1</v>
      </c>
      <c r="E918" s="219" t="b">
        <v>0</v>
      </c>
      <c r="F918" s="219" t="b">
        <v>0</v>
      </c>
      <c r="G918" s="219"/>
    </row>
    <row r="919">
      <c r="A919" s="218">
        <f t="shared" si="1"/>
        <v>918</v>
      </c>
      <c r="B919" s="218" t="s">
        <v>200</v>
      </c>
      <c r="C919" s="218" t="s">
        <v>3576</v>
      </c>
      <c r="D919" s="218" t="b">
        <v>1</v>
      </c>
      <c r="E919" s="219" t="b">
        <v>0</v>
      </c>
      <c r="F919" s="219" t="b">
        <v>0</v>
      </c>
      <c r="G919" s="219"/>
    </row>
    <row r="920">
      <c r="A920" s="218">
        <f t="shared" si="1"/>
        <v>919</v>
      </c>
      <c r="B920" s="218" t="s">
        <v>200</v>
      </c>
      <c r="C920" s="218" t="s">
        <v>3490</v>
      </c>
      <c r="D920" s="218" t="b">
        <v>1</v>
      </c>
      <c r="E920" s="219" t="b">
        <v>0</v>
      </c>
      <c r="F920" s="219" t="b">
        <v>0</v>
      </c>
      <c r="G920" s="219"/>
    </row>
    <row r="921">
      <c r="A921" s="218">
        <f t="shared" si="1"/>
        <v>920</v>
      </c>
      <c r="B921" s="218" t="s">
        <v>200</v>
      </c>
      <c r="C921" s="218" t="s">
        <v>3721</v>
      </c>
      <c r="D921" s="218" t="b">
        <v>1</v>
      </c>
      <c r="E921" s="219" t="b">
        <v>0</v>
      </c>
      <c r="F921" s="219" t="b">
        <v>0</v>
      </c>
      <c r="G921" s="219"/>
    </row>
    <row r="922">
      <c r="A922" s="218">
        <f t="shared" si="1"/>
        <v>921</v>
      </c>
      <c r="B922" s="218" t="s">
        <v>200</v>
      </c>
      <c r="C922" s="218" t="s">
        <v>3710</v>
      </c>
      <c r="D922" s="218" t="b">
        <v>1</v>
      </c>
      <c r="E922" s="219" t="b">
        <v>0</v>
      </c>
      <c r="F922" s="219" t="b">
        <v>0</v>
      </c>
      <c r="G922" s="219"/>
    </row>
    <row r="923">
      <c r="A923" s="218">
        <f t="shared" si="1"/>
        <v>922</v>
      </c>
      <c r="B923" s="218" t="s">
        <v>200</v>
      </c>
      <c r="C923" s="218" t="s">
        <v>3671</v>
      </c>
      <c r="D923" s="218" t="b">
        <v>1</v>
      </c>
      <c r="E923" s="219" t="b">
        <v>0</v>
      </c>
      <c r="F923" s="219" t="b">
        <v>0</v>
      </c>
      <c r="G923" s="219"/>
    </row>
    <row r="924">
      <c r="A924" s="218">
        <f t="shared" si="1"/>
        <v>923</v>
      </c>
      <c r="B924" s="218" t="s">
        <v>200</v>
      </c>
      <c r="C924" s="218" t="s">
        <v>3564</v>
      </c>
      <c r="D924" s="218" t="b">
        <v>1</v>
      </c>
      <c r="E924" s="219" t="b">
        <v>0</v>
      </c>
      <c r="F924" s="219" t="b">
        <v>0</v>
      </c>
      <c r="G924" s="219"/>
    </row>
    <row r="925">
      <c r="A925" s="218">
        <f t="shared" si="1"/>
        <v>924</v>
      </c>
      <c r="B925" s="218" t="s">
        <v>200</v>
      </c>
      <c r="C925" s="218" t="s">
        <v>3705</v>
      </c>
      <c r="D925" s="218" t="b">
        <v>1</v>
      </c>
      <c r="E925" s="219" t="b">
        <v>0</v>
      </c>
      <c r="F925" s="219" t="b">
        <v>0</v>
      </c>
      <c r="G925" s="219"/>
    </row>
    <row r="926">
      <c r="A926" s="218">
        <f t="shared" si="1"/>
        <v>925</v>
      </c>
      <c r="B926" s="218" t="s">
        <v>200</v>
      </c>
      <c r="C926" s="218" t="s">
        <v>3797</v>
      </c>
      <c r="D926" s="218" t="b">
        <v>1</v>
      </c>
      <c r="E926" s="219" t="b">
        <v>0</v>
      </c>
      <c r="F926" s="219" t="b">
        <v>0</v>
      </c>
      <c r="G926" s="219"/>
    </row>
    <row r="927">
      <c r="A927" s="218">
        <f t="shared" si="1"/>
        <v>926</v>
      </c>
      <c r="B927" s="218" t="s">
        <v>200</v>
      </c>
      <c r="C927" s="218" t="s">
        <v>3642</v>
      </c>
      <c r="D927" s="218" t="b">
        <v>1</v>
      </c>
      <c r="E927" s="219" t="b">
        <v>0</v>
      </c>
      <c r="F927" s="219" t="b">
        <v>0</v>
      </c>
      <c r="G927" s="219"/>
    </row>
    <row r="928">
      <c r="A928" s="218">
        <f t="shared" si="1"/>
        <v>927</v>
      </c>
      <c r="B928" s="218" t="s">
        <v>200</v>
      </c>
      <c r="C928" s="218" t="s">
        <v>3373</v>
      </c>
      <c r="D928" s="218" t="b">
        <v>1</v>
      </c>
      <c r="E928" s="219" t="b">
        <v>0</v>
      </c>
      <c r="F928" s="219" t="b">
        <v>0</v>
      </c>
      <c r="G928" s="219"/>
    </row>
    <row r="929">
      <c r="A929" s="218">
        <f t="shared" si="1"/>
        <v>928</v>
      </c>
      <c r="B929" s="218" t="s">
        <v>200</v>
      </c>
      <c r="C929" s="218" t="s">
        <v>3441</v>
      </c>
      <c r="D929" s="218" t="b">
        <v>1</v>
      </c>
      <c r="E929" s="219" t="b">
        <v>0</v>
      </c>
      <c r="F929" s="219" t="b">
        <v>0</v>
      </c>
      <c r="G929" s="219"/>
    </row>
    <row r="930">
      <c r="A930" s="218">
        <f t="shared" si="1"/>
        <v>929</v>
      </c>
      <c r="B930" s="218" t="s">
        <v>200</v>
      </c>
      <c r="C930" s="218" t="s">
        <v>3740</v>
      </c>
      <c r="D930" s="218" t="b">
        <v>1</v>
      </c>
      <c r="E930" s="219" t="b">
        <v>0</v>
      </c>
      <c r="F930" s="219" t="b">
        <v>0</v>
      </c>
      <c r="G930" s="219"/>
    </row>
    <row r="931">
      <c r="A931" s="218">
        <f t="shared" si="1"/>
        <v>930</v>
      </c>
      <c r="B931" s="218" t="s">
        <v>200</v>
      </c>
      <c r="C931" s="218" t="s">
        <v>4125</v>
      </c>
      <c r="D931" s="218" t="b">
        <v>1</v>
      </c>
      <c r="E931" s="219" t="b">
        <v>0</v>
      </c>
      <c r="F931" s="219" t="b">
        <v>0</v>
      </c>
      <c r="G931" s="219"/>
    </row>
    <row r="932">
      <c r="A932" s="218">
        <f t="shared" si="1"/>
        <v>931</v>
      </c>
      <c r="B932" s="218" t="s">
        <v>200</v>
      </c>
      <c r="C932" s="218" t="s">
        <v>3735</v>
      </c>
      <c r="D932" s="218" t="b">
        <v>1</v>
      </c>
      <c r="E932" s="219" t="b">
        <v>0</v>
      </c>
      <c r="F932" s="219" t="b">
        <v>0</v>
      </c>
      <c r="G932" s="219"/>
    </row>
    <row r="933">
      <c r="A933" s="218">
        <f t="shared" si="1"/>
        <v>932</v>
      </c>
      <c r="B933" s="218" t="s">
        <v>200</v>
      </c>
      <c r="C933" s="218" t="s">
        <v>3627</v>
      </c>
      <c r="D933" s="218" t="b">
        <v>1</v>
      </c>
      <c r="E933" s="219" t="b">
        <v>0</v>
      </c>
      <c r="F933" s="219" t="b">
        <v>0</v>
      </c>
      <c r="G933" s="219"/>
    </row>
    <row r="934">
      <c r="A934" s="218">
        <f t="shared" si="1"/>
        <v>933</v>
      </c>
      <c r="B934" s="218" t="s">
        <v>200</v>
      </c>
      <c r="C934" s="218" t="s">
        <v>3690</v>
      </c>
      <c r="D934" s="218" t="b">
        <v>1</v>
      </c>
      <c r="E934" s="219" t="b">
        <v>0</v>
      </c>
      <c r="F934" s="219" t="b">
        <v>0</v>
      </c>
      <c r="G934" s="219"/>
    </row>
    <row r="935">
      <c r="A935" s="218">
        <f t="shared" si="1"/>
        <v>934</v>
      </c>
      <c r="B935" s="218" t="s">
        <v>200</v>
      </c>
      <c r="C935" s="218" t="s">
        <v>3519</v>
      </c>
      <c r="D935" s="218" t="b">
        <v>1</v>
      </c>
      <c r="E935" s="219" t="b">
        <v>0</v>
      </c>
      <c r="F935" s="219" t="b">
        <v>0</v>
      </c>
      <c r="G935" s="219"/>
    </row>
    <row r="936">
      <c r="A936" s="218">
        <f t="shared" si="1"/>
        <v>935</v>
      </c>
      <c r="B936" s="218" t="s">
        <v>200</v>
      </c>
      <c r="C936" s="218" t="s">
        <v>3414</v>
      </c>
      <c r="D936" s="218" t="b">
        <v>1</v>
      </c>
      <c r="E936" s="219" t="b">
        <v>0</v>
      </c>
      <c r="F936" s="219" t="b">
        <v>0</v>
      </c>
      <c r="G936" s="219"/>
    </row>
    <row r="937">
      <c r="A937" s="218">
        <f t="shared" si="1"/>
        <v>936</v>
      </c>
      <c r="B937" s="218" t="s">
        <v>200</v>
      </c>
      <c r="C937" s="218" t="s">
        <v>3680</v>
      </c>
      <c r="D937" s="218" t="b">
        <v>1</v>
      </c>
      <c r="E937" s="219" t="b">
        <v>0</v>
      </c>
      <c r="F937" s="219" t="b">
        <v>0</v>
      </c>
      <c r="G937" s="219"/>
    </row>
    <row r="938">
      <c r="A938" s="218">
        <f t="shared" si="1"/>
        <v>937</v>
      </c>
      <c r="B938" s="218" t="s">
        <v>200</v>
      </c>
      <c r="C938" s="218" t="s">
        <v>3410</v>
      </c>
      <c r="D938" s="218" t="b">
        <v>1</v>
      </c>
      <c r="E938" s="219" t="b">
        <v>0</v>
      </c>
      <c r="F938" s="219" t="b">
        <v>0</v>
      </c>
      <c r="G938" s="219"/>
    </row>
    <row r="939">
      <c r="A939" s="218">
        <f t="shared" si="1"/>
        <v>938</v>
      </c>
      <c r="B939" s="218" t="s">
        <v>200</v>
      </c>
      <c r="C939" s="218" t="s">
        <v>4099</v>
      </c>
      <c r="D939" s="218" t="b">
        <v>1</v>
      </c>
      <c r="E939" s="219" t="b">
        <v>0</v>
      </c>
      <c r="F939" s="219" t="b">
        <v>0</v>
      </c>
      <c r="G939" s="219"/>
    </row>
    <row r="940">
      <c r="A940" s="218">
        <f t="shared" si="1"/>
        <v>939</v>
      </c>
      <c r="B940" s="218" t="s">
        <v>200</v>
      </c>
      <c r="C940" s="218" t="s">
        <v>3546</v>
      </c>
      <c r="D940" s="218" t="b">
        <v>1</v>
      </c>
      <c r="E940" s="219" t="b">
        <v>0</v>
      </c>
      <c r="F940" s="219" t="b">
        <v>0</v>
      </c>
      <c r="G940" s="219"/>
    </row>
    <row r="941">
      <c r="A941" s="218">
        <f t="shared" si="1"/>
        <v>940</v>
      </c>
      <c r="B941" s="218" t="s">
        <v>200</v>
      </c>
      <c r="C941" s="218" t="s">
        <v>3685</v>
      </c>
      <c r="D941" s="218" t="b">
        <v>1</v>
      </c>
      <c r="E941" s="219" t="b">
        <v>0</v>
      </c>
      <c r="F941" s="219" t="b">
        <v>0</v>
      </c>
      <c r="G941" s="219"/>
    </row>
    <row r="942">
      <c r="A942" s="218">
        <f t="shared" si="1"/>
        <v>941</v>
      </c>
      <c r="B942" s="218" t="s">
        <v>200</v>
      </c>
      <c r="C942" s="218" t="s">
        <v>4090</v>
      </c>
      <c r="D942" s="218" t="b">
        <v>1</v>
      </c>
      <c r="E942" s="219" t="b">
        <v>0</v>
      </c>
      <c r="F942" s="219" t="b">
        <v>0</v>
      </c>
      <c r="G942" s="219"/>
    </row>
    <row r="943">
      <c r="A943" s="218">
        <f t="shared" si="1"/>
        <v>942</v>
      </c>
      <c r="B943" s="218" t="s">
        <v>200</v>
      </c>
      <c r="C943" s="218" t="s">
        <v>3597</v>
      </c>
      <c r="D943" s="218" t="b">
        <v>1</v>
      </c>
      <c r="E943" s="219" t="b">
        <v>0</v>
      </c>
      <c r="F943" s="219" t="b">
        <v>0</v>
      </c>
      <c r="G943" s="219"/>
    </row>
    <row r="944">
      <c r="A944" s="218">
        <f t="shared" si="1"/>
        <v>943</v>
      </c>
      <c r="B944" s="218" t="s">
        <v>200</v>
      </c>
      <c r="C944" s="218" t="s">
        <v>3475</v>
      </c>
      <c r="D944" s="218" t="b">
        <v>1</v>
      </c>
      <c r="E944" s="219" t="b">
        <v>0</v>
      </c>
      <c r="F944" s="219" t="b">
        <v>0</v>
      </c>
      <c r="G944" s="219"/>
    </row>
    <row r="945">
      <c r="A945" s="218">
        <f t="shared" si="1"/>
        <v>944</v>
      </c>
      <c r="B945" s="218" t="s">
        <v>200</v>
      </c>
      <c r="C945" s="218" t="s">
        <v>3402</v>
      </c>
      <c r="D945" s="218" t="b">
        <v>1</v>
      </c>
      <c r="E945" s="219" t="b">
        <v>0</v>
      </c>
      <c r="F945" s="219" t="b">
        <v>0</v>
      </c>
      <c r="G945" s="219"/>
    </row>
    <row r="946">
      <c r="A946" s="218">
        <f t="shared" si="1"/>
        <v>945</v>
      </c>
      <c r="B946" s="218" t="s">
        <v>200</v>
      </c>
      <c r="C946" s="218" t="s">
        <v>3393</v>
      </c>
      <c r="D946" s="218" t="b">
        <v>1</v>
      </c>
      <c r="E946" s="219" t="b">
        <v>0</v>
      </c>
      <c r="F946" s="219" t="b">
        <v>0</v>
      </c>
      <c r="G946" s="219"/>
    </row>
    <row r="947">
      <c r="A947" s="218">
        <f t="shared" si="1"/>
        <v>946</v>
      </c>
      <c r="B947" s="218" t="s">
        <v>200</v>
      </c>
      <c r="C947" s="218" t="s">
        <v>3555</v>
      </c>
      <c r="D947" s="218" t="b">
        <v>1</v>
      </c>
      <c r="E947" s="219" t="b">
        <v>0</v>
      </c>
      <c r="F947" s="219" t="b">
        <v>0</v>
      </c>
      <c r="G947" s="219"/>
    </row>
    <row r="948">
      <c r="A948" s="218">
        <f t="shared" si="1"/>
        <v>947</v>
      </c>
      <c r="B948" s="218" t="s">
        <v>200</v>
      </c>
      <c r="C948" s="218" t="s">
        <v>4105</v>
      </c>
      <c r="D948" s="218" t="b">
        <v>1</v>
      </c>
      <c r="E948" s="219" t="b">
        <v>0</v>
      </c>
      <c r="F948" s="219" t="b">
        <v>0</v>
      </c>
      <c r="G948" s="219"/>
    </row>
    <row r="949">
      <c r="A949" s="218">
        <f t="shared" si="1"/>
        <v>948</v>
      </c>
      <c r="B949" s="218" t="s">
        <v>200</v>
      </c>
      <c r="C949" s="218" t="s">
        <v>4110</v>
      </c>
      <c r="D949" s="218" t="b">
        <v>1</v>
      </c>
      <c r="E949" s="219" t="b">
        <v>0</v>
      </c>
      <c r="F949" s="219" t="b">
        <v>0</v>
      </c>
      <c r="G949" s="219"/>
    </row>
    <row r="950">
      <c r="A950" s="218">
        <f t="shared" si="1"/>
        <v>949</v>
      </c>
      <c r="B950" s="218" t="s">
        <v>200</v>
      </c>
      <c r="C950" s="218" t="s">
        <v>3431</v>
      </c>
      <c r="D950" s="218" t="b">
        <v>1</v>
      </c>
      <c r="E950" s="219" t="b">
        <v>0</v>
      </c>
      <c r="F950" s="219" t="b">
        <v>0</v>
      </c>
      <c r="G950" s="219"/>
    </row>
    <row r="951">
      <c r="A951" s="218">
        <f t="shared" si="1"/>
        <v>950</v>
      </c>
      <c r="B951" s="218" t="s">
        <v>200</v>
      </c>
      <c r="C951" s="218" t="s">
        <v>3529</v>
      </c>
      <c r="D951" s="218" t="b">
        <v>1</v>
      </c>
      <c r="E951" s="219" t="b">
        <v>0</v>
      </c>
      <c r="F951" s="219" t="b">
        <v>0</v>
      </c>
      <c r="G951" s="219"/>
    </row>
    <row r="952">
      <c r="A952" s="218">
        <f t="shared" si="1"/>
        <v>951</v>
      </c>
      <c r="B952" s="218" t="s">
        <v>200</v>
      </c>
      <c r="C952" s="218" t="s">
        <v>3514</v>
      </c>
      <c r="D952" s="218" t="b">
        <v>1</v>
      </c>
      <c r="E952" s="219" t="b">
        <v>0</v>
      </c>
      <c r="F952" s="219" t="b">
        <v>0</v>
      </c>
      <c r="G952" s="219"/>
    </row>
    <row r="953">
      <c r="A953" s="218">
        <f t="shared" si="1"/>
        <v>952</v>
      </c>
      <c r="B953" s="218" t="s">
        <v>200</v>
      </c>
      <c r="C953" s="218" t="s">
        <v>4115</v>
      </c>
      <c r="D953" s="218" t="b">
        <v>1</v>
      </c>
      <c r="E953" s="219" t="b">
        <v>0</v>
      </c>
      <c r="F953" s="219" t="b">
        <v>0</v>
      </c>
      <c r="G953" s="219"/>
    </row>
    <row r="954">
      <c r="A954" s="218">
        <f t="shared" si="1"/>
        <v>953</v>
      </c>
      <c r="B954" s="218" t="s">
        <v>200</v>
      </c>
      <c r="C954" s="218" t="s">
        <v>3807</v>
      </c>
      <c r="D954" s="218" t="b">
        <v>1</v>
      </c>
      <c r="E954" s="219" t="b">
        <v>0</v>
      </c>
      <c r="F954" s="219" t="b">
        <v>0</v>
      </c>
      <c r="G954" s="219"/>
    </row>
    <row r="955">
      <c r="A955" s="218">
        <f t="shared" si="1"/>
        <v>954</v>
      </c>
      <c r="B955" s="218" t="s">
        <v>200</v>
      </c>
      <c r="C955" s="218" t="s">
        <v>3388</v>
      </c>
      <c r="D955" s="218" t="b">
        <v>1</v>
      </c>
      <c r="E955" s="219" t="b">
        <v>0</v>
      </c>
      <c r="F955" s="219" t="b">
        <v>0</v>
      </c>
      <c r="G955" s="219"/>
    </row>
    <row r="956">
      <c r="A956" s="218">
        <f t="shared" si="1"/>
        <v>955</v>
      </c>
      <c r="B956" s="218" t="s">
        <v>200</v>
      </c>
      <c r="C956" s="218" t="s">
        <v>3616</v>
      </c>
      <c r="D956" s="218" t="b">
        <v>1</v>
      </c>
      <c r="E956" s="219" t="b">
        <v>0</v>
      </c>
      <c r="F956" s="219" t="b">
        <v>0</v>
      </c>
      <c r="G956" s="219"/>
    </row>
    <row r="957">
      <c r="A957" s="218">
        <f t="shared" si="1"/>
        <v>956</v>
      </c>
      <c r="B957" s="218" t="s">
        <v>200</v>
      </c>
      <c r="C957" s="218" t="s">
        <v>3812</v>
      </c>
      <c r="D957" s="218" t="b">
        <v>1</v>
      </c>
      <c r="E957" s="219" t="b">
        <v>0</v>
      </c>
      <c r="F957" s="219" t="b">
        <v>0</v>
      </c>
      <c r="G957" s="219"/>
    </row>
    <row r="958">
      <c r="A958" s="218">
        <f t="shared" si="1"/>
        <v>957</v>
      </c>
      <c r="B958" s="218" t="s">
        <v>200</v>
      </c>
      <c r="C958" s="218" t="s">
        <v>4992</v>
      </c>
      <c r="D958" s="218" t="b">
        <v>1</v>
      </c>
      <c r="E958" s="219" t="b">
        <v>0</v>
      </c>
      <c r="F958" s="219" t="b">
        <v>0</v>
      </c>
      <c r="G958" s="219"/>
    </row>
    <row r="959">
      <c r="A959" s="218">
        <f t="shared" si="1"/>
        <v>958</v>
      </c>
      <c r="B959" s="218" t="s">
        <v>200</v>
      </c>
      <c r="C959" s="218" t="s">
        <v>4244</v>
      </c>
      <c r="D959" s="218" t="b">
        <v>1</v>
      </c>
      <c r="E959" s="219" t="b">
        <v>0</v>
      </c>
      <c r="F959" s="219" t="b">
        <v>0</v>
      </c>
      <c r="G959" s="219"/>
    </row>
    <row r="960">
      <c r="A960" s="218">
        <f t="shared" si="1"/>
        <v>959</v>
      </c>
      <c r="B960" s="218" t="s">
        <v>200</v>
      </c>
      <c r="C960" s="218" t="s">
        <v>4269</v>
      </c>
      <c r="D960" s="218" t="b">
        <v>1</v>
      </c>
      <c r="E960" s="219" t="b">
        <v>0</v>
      </c>
      <c r="F960" s="219" t="b">
        <v>0</v>
      </c>
      <c r="G960" s="219"/>
    </row>
    <row r="961">
      <c r="A961" s="218">
        <f t="shared" si="1"/>
        <v>960</v>
      </c>
      <c r="B961" s="218" t="s">
        <v>200</v>
      </c>
      <c r="C961" s="218" t="s">
        <v>4387</v>
      </c>
      <c r="D961" s="218" t="b">
        <v>1</v>
      </c>
      <c r="E961" s="219" t="b">
        <v>0</v>
      </c>
      <c r="F961" s="219" t="b">
        <v>0</v>
      </c>
      <c r="G961" s="219"/>
    </row>
    <row r="962">
      <c r="A962" s="218">
        <f t="shared" si="1"/>
        <v>961</v>
      </c>
      <c r="B962" s="218" t="s">
        <v>200</v>
      </c>
      <c r="C962" s="218" t="s">
        <v>4473</v>
      </c>
      <c r="D962" s="218" t="b">
        <v>1</v>
      </c>
      <c r="E962" s="219" t="b">
        <v>0</v>
      </c>
      <c r="F962" s="219" t="b">
        <v>0</v>
      </c>
      <c r="G962" s="219"/>
    </row>
    <row r="963">
      <c r="A963" s="218">
        <f t="shared" si="1"/>
        <v>962</v>
      </c>
      <c r="B963" s="218" t="s">
        <v>200</v>
      </c>
      <c r="C963" s="218" t="s">
        <v>4490</v>
      </c>
      <c r="D963" s="218" t="b">
        <v>1</v>
      </c>
      <c r="E963" s="219" t="b">
        <v>0</v>
      </c>
      <c r="F963" s="219" t="b">
        <v>0</v>
      </c>
      <c r="G963" s="219"/>
    </row>
    <row r="964">
      <c r="A964" s="218">
        <f t="shared" si="1"/>
        <v>963</v>
      </c>
      <c r="B964" s="218" t="s">
        <v>200</v>
      </c>
      <c r="C964" s="218" t="s">
        <v>4702</v>
      </c>
      <c r="D964" s="218" t="b">
        <v>1</v>
      </c>
      <c r="E964" s="219" t="b">
        <v>0</v>
      </c>
      <c r="F964" s="219" t="b">
        <v>0</v>
      </c>
      <c r="G964" s="219"/>
    </row>
    <row r="965">
      <c r="A965" s="218">
        <f t="shared" si="1"/>
        <v>964</v>
      </c>
      <c r="B965" s="218" t="s">
        <v>200</v>
      </c>
      <c r="C965" s="218" t="s">
        <v>4778</v>
      </c>
      <c r="D965" s="218" t="b">
        <v>1</v>
      </c>
      <c r="E965" s="219" t="b">
        <v>0</v>
      </c>
      <c r="F965" s="219" t="b">
        <v>0</v>
      </c>
      <c r="G965" s="219"/>
    </row>
    <row r="966">
      <c r="A966" s="218">
        <f t="shared" si="1"/>
        <v>965</v>
      </c>
      <c r="B966" s="218" t="s">
        <v>200</v>
      </c>
      <c r="C966" s="218" t="s">
        <v>4381</v>
      </c>
      <c r="D966" s="218" t="b">
        <v>1</v>
      </c>
      <c r="E966" s="219" t="b">
        <v>0</v>
      </c>
      <c r="F966" s="219" t="b">
        <v>0</v>
      </c>
      <c r="G966" s="219"/>
    </row>
    <row r="967">
      <c r="A967" s="218">
        <f t="shared" si="1"/>
        <v>966</v>
      </c>
      <c r="B967" s="218" t="s">
        <v>200</v>
      </c>
      <c r="C967" s="218" t="s">
        <v>4369</v>
      </c>
      <c r="D967" s="218" t="b">
        <v>1</v>
      </c>
      <c r="E967" s="219" t="b">
        <v>0</v>
      </c>
      <c r="F967" s="219" t="b">
        <v>0</v>
      </c>
      <c r="G967" s="219"/>
    </row>
    <row r="968">
      <c r="A968" s="218">
        <f t="shared" si="1"/>
        <v>967</v>
      </c>
      <c r="B968" s="218" t="s">
        <v>200</v>
      </c>
      <c r="C968" s="218" t="s">
        <v>4837</v>
      </c>
      <c r="D968" s="218" t="b">
        <v>1</v>
      </c>
      <c r="E968" s="219" t="b">
        <v>0</v>
      </c>
      <c r="F968" s="219" t="b">
        <v>0</v>
      </c>
      <c r="G968" s="219"/>
    </row>
    <row r="969">
      <c r="A969" s="218">
        <f t="shared" si="1"/>
        <v>968</v>
      </c>
      <c r="B969" s="218" t="s">
        <v>200</v>
      </c>
      <c r="C969" s="218" t="s">
        <v>4938</v>
      </c>
      <c r="D969" s="218" t="b">
        <v>1</v>
      </c>
      <c r="E969" s="219" t="b">
        <v>0</v>
      </c>
      <c r="F969" s="219" t="b">
        <v>0</v>
      </c>
      <c r="G969" s="219"/>
    </row>
    <row r="970">
      <c r="A970" s="218">
        <f t="shared" si="1"/>
        <v>969</v>
      </c>
      <c r="B970" s="218" t="s">
        <v>200</v>
      </c>
      <c r="C970" s="218" t="s">
        <v>4815</v>
      </c>
      <c r="D970" s="218" t="b">
        <v>1</v>
      </c>
      <c r="E970" s="219" t="b">
        <v>0</v>
      </c>
      <c r="F970" s="219" t="b">
        <v>0</v>
      </c>
      <c r="G970" s="219"/>
    </row>
    <row r="971">
      <c r="A971" s="218">
        <f t="shared" si="1"/>
        <v>970</v>
      </c>
      <c r="B971" s="218" t="s">
        <v>200</v>
      </c>
      <c r="C971" s="218" t="s">
        <v>4740</v>
      </c>
      <c r="D971" s="218" t="b">
        <v>1</v>
      </c>
      <c r="E971" s="219" t="b">
        <v>0</v>
      </c>
      <c r="F971" s="219" t="b">
        <v>0</v>
      </c>
      <c r="G971" s="219"/>
    </row>
    <row r="972">
      <c r="A972" s="218">
        <f t="shared" si="1"/>
        <v>971</v>
      </c>
      <c r="B972" s="218" t="s">
        <v>200</v>
      </c>
      <c r="C972" s="218" t="s">
        <v>4353</v>
      </c>
      <c r="D972" s="218" t="b">
        <v>1</v>
      </c>
      <c r="E972" s="219" t="b">
        <v>0</v>
      </c>
      <c r="F972" s="219" t="b">
        <v>0</v>
      </c>
      <c r="G972" s="219"/>
    </row>
    <row r="973">
      <c r="A973" s="218">
        <f t="shared" si="1"/>
        <v>972</v>
      </c>
      <c r="B973" s="218" t="s">
        <v>200</v>
      </c>
      <c r="C973" s="218" t="s">
        <v>4340</v>
      </c>
      <c r="D973" s="218" t="b">
        <v>1</v>
      </c>
      <c r="E973" s="219" t="b">
        <v>0</v>
      </c>
      <c r="F973" s="219" t="b">
        <v>0</v>
      </c>
      <c r="G973" s="219"/>
    </row>
    <row r="974">
      <c r="A974" s="218">
        <f t="shared" si="1"/>
        <v>973</v>
      </c>
      <c r="B974" s="218" t="s">
        <v>200</v>
      </c>
      <c r="C974" s="218" t="s">
        <v>4172</v>
      </c>
      <c r="D974" s="218" t="b">
        <v>1</v>
      </c>
      <c r="E974" s="219" t="b">
        <v>0</v>
      </c>
      <c r="F974" s="219" t="b">
        <v>0</v>
      </c>
      <c r="G974" s="219"/>
    </row>
    <row r="975">
      <c r="A975" s="218">
        <f t="shared" si="1"/>
        <v>974</v>
      </c>
      <c r="B975" s="218" t="s">
        <v>200</v>
      </c>
      <c r="C975" s="218" t="s">
        <v>4910</v>
      </c>
      <c r="D975" s="218" t="b">
        <v>1</v>
      </c>
      <c r="E975" s="219" t="b">
        <v>0</v>
      </c>
      <c r="F975" s="219" t="b">
        <v>0</v>
      </c>
      <c r="G975" s="219"/>
    </row>
    <row r="976">
      <c r="A976" s="218">
        <f t="shared" si="1"/>
        <v>975</v>
      </c>
      <c r="B976" s="218" t="s">
        <v>200</v>
      </c>
      <c r="C976" s="218" t="s">
        <v>4189</v>
      </c>
      <c r="D976" s="218" t="b">
        <v>1</v>
      </c>
      <c r="E976" s="219" t="b">
        <v>0</v>
      </c>
      <c r="F976" s="219" t="b">
        <v>0</v>
      </c>
      <c r="G976" s="219"/>
    </row>
    <row r="977">
      <c r="A977" s="218">
        <f t="shared" si="1"/>
        <v>976</v>
      </c>
      <c r="B977" s="218" t="s">
        <v>200</v>
      </c>
      <c r="C977" s="218" t="s">
        <v>4767</v>
      </c>
      <c r="D977" s="218" t="b">
        <v>1</v>
      </c>
      <c r="E977" s="219" t="b">
        <v>0</v>
      </c>
      <c r="F977" s="219" t="b">
        <v>0</v>
      </c>
      <c r="G977" s="219"/>
    </row>
    <row r="978">
      <c r="A978" s="218">
        <f t="shared" si="1"/>
        <v>977</v>
      </c>
      <c r="B978" s="218" t="s">
        <v>200</v>
      </c>
      <c r="C978" s="218" t="s">
        <v>4344</v>
      </c>
      <c r="D978" s="218" t="b">
        <v>1</v>
      </c>
      <c r="E978" s="219" t="b">
        <v>0</v>
      </c>
      <c r="F978" s="219" t="b">
        <v>0</v>
      </c>
      <c r="G978" s="219"/>
    </row>
    <row r="979">
      <c r="A979" s="218">
        <f t="shared" si="1"/>
        <v>978</v>
      </c>
      <c r="B979" s="218" t="s">
        <v>200</v>
      </c>
      <c r="C979" s="218" t="s">
        <v>4771</v>
      </c>
      <c r="D979" s="218" t="b">
        <v>1</v>
      </c>
      <c r="E979" s="219" t="b">
        <v>0</v>
      </c>
      <c r="F979" s="219" t="b">
        <v>0</v>
      </c>
      <c r="G979" s="219"/>
    </row>
    <row r="980">
      <c r="A980" s="218">
        <f t="shared" si="1"/>
        <v>979</v>
      </c>
      <c r="B980" s="218" t="s">
        <v>200</v>
      </c>
      <c r="C980" s="218" t="s">
        <v>4696</v>
      </c>
      <c r="D980" s="218" t="b">
        <v>1</v>
      </c>
      <c r="E980" s="219" t="b">
        <v>0</v>
      </c>
      <c r="F980" s="219" t="b">
        <v>0</v>
      </c>
      <c r="G980" s="219"/>
    </row>
    <row r="981">
      <c r="A981" s="218">
        <f t="shared" si="1"/>
        <v>980</v>
      </c>
      <c r="B981" s="218" t="s">
        <v>200</v>
      </c>
      <c r="C981" s="218" t="s">
        <v>4668</v>
      </c>
      <c r="D981" s="218" t="b">
        <v>1</v>
      </c>
      <c r="E981" s="219" t="b">
        <v>0</v>
      </c>
      <c r="F981" s="219" t="b">
        <v>0</v>
      </c>
      <c r="G981" s="219"/>
    </row>
    <row r="982">
      <c r="A982" s="218">
        <f t="shared" si="1"/>
        <v>981</v>
      </c>
      <c r="B982" s="218" t="s">
        <v>200</v>
      </c>
      <c r="C982" s="218" t="s">
        <v>4649</v>
      </c>
      <c r="D982" s="218" t="b">
        <v>1</v>
      </c>
      <c r="E982" s="219" t="b">
        <v>0</v>
      </c>
      <c r="F982" s="219" t="b">
        <v>0</v>
      </c>
      <c r="G982" s="219"/>
    </row>
    <row r="983">
      <c r="A983" s="218">
        <f t="shared" si="1"/>
        <v>982</v>
      </c>
      <c r="B983" s="218" t="s">
        <v>200</v>
      </c>
      <c r="C983" s="218" t="s">
        <v>4249</v>
      </c>
      <c r="D983" s="218" t="b">
        <v>1</v>
      </c>
      <c r="E983" s="219" t="b">
        <v>0</v>
      </c>
      <c r="F983" s="219" t="b">
        <v>0</v>
      </c>
      <c r="G983" s="219"/>
    </row>
    <row r="984">
      <c r="A984" s="218">
        <f t="shared" si="1"/>
        <v>983</v>
      </c>
      <c r="B984" s="218" t="s">
        <v>200</v>
      </c>
      <c r="C984" s="218" t="s">
        <v>4789</v>
      </c>
      <c r="D984" s="218" t="b">
        <v>1</v>
      </c>
      <c r="E984" s="219" t="b">
        <v>0</v>
      </c>
      <c r="F984" s="219" t="b">
        <v>0</v>
      </c>
      <c r="G984" s="219"/>
    </row>
    <row r="985">
      <c r="A985" s="218">
        <f t="shared" si="1"/>
        <v>984</v>
      </c>
      <c r="B985" s="218" t="s">
        <v>200</v>
      </c>
      <c r="C985" s="218" t="s">
        <v>4951</v>
      </c>
      <c r="D985" s="218" t="b">
        <v>1</v>
      </c>
      <c r="E985" s="219" t="b">
        <v>0</v>
      </c>
      <c r="F985" s="219" t="b">
        <v>0</v>
      </c>
      <c r="G985" s="219"/>
    </row>
    <row r="986">
      <c r="A986" s="218">
        <f t="shared" si="1"/>
        <v>985</v>
      </c>
      <c r="B986" s="218" t="s">
        <v>200</v>
      </c>
      <c r="C986" s="218" t="s">
        <v>4783</v>
      </c>
      <c r="D986" s="218" t="b">
        <v>1</v>
      </c>
      <c r="E986" s="219" t="b">
        <v>0</v>
      </c>
      <c r="F986" s="219" t="b">
        <v>0</v>
      </c>
      <c r="G986" s="219"/>
    </row>
    <row r="987">
      <c r="A987" s="218">
        <f t="shared" si="1"/>
        <v>986</v>
      </c>
      <c r="B987" s="218" t="s">
        <v>200</v>
      </c>
      <c r="C987" s="218" t="s">
        <v>4721</v>
      </c>
      <c r="D987" s="218" t="b">
        <v>1</v>
      </c>
      <c r="E987" s="219" t="b">
        <v>0</v>
      </c>
      <c r="F987" s="219" t="b">
        <v>0</v>
      </c>
      <c r="G987" s="219"/>
    </row>
    <row r="988">
      <c r="A988" s="218">
        <f t="shared" si="1"/>
        <v>987</v>
      </c>
      <c r="B988" s="218" t="s">
        <v>200</v>
      </c>
      <c r="C988" s="218" t="s">
        <v>4408</v>
      </c>
      <c r="D988" s="218" t="b">
        <v>1</v>
      </c>
      <c r="E988" s="219" t="b">
        <v>0</v>
      </c>
      <c r="F988" s="219" t="b">
        <v>0</v>
      </c>
      <c r="G988" s="219"/>
    </row>
    <row r="989">
      <c r="A989" s="218">
        <f t="shared" si="1"/>
        <v>988</v>
      </c>
      <c r="B989" s="218" t="s">
        <v>200</v>
      </c>
      <c r="C989" s="218" t="s">
        <v>4442</v>
      </c>
      <c r="D989" s="218" t="b">
        <v>1</v>
      </c>
      <c r="E989" s="219" t="b">
        <v>0</v>
      </c>
      <c r="F989" s="219" t="b">
        <v>0</v>
      </c>
      <c r="G989" s="219"/>
    </row>
    <row r="990">
      <c r="A990" s="218">
        <f t="shared" si="1"/>
        <v>989</v>
      </c>
      <c r="B990" s="218" t="s">
        <v>200</v>
      </c>
      <c r="C990" s="218" t="s">
        <v>4288</v>
      </c>
      <c r="D990" s="218" t="b">
        <v>1</v>
      </c>
      <c r="E990" s="219" t="b">
        <v>0</v>
      </c>
      <c r="F990" s="219" t="b">
        <v>0</v>
      </c>
      <c r="G990" s="219"/>
    </row>
    <row r="991">
      <c r="A991" s="218">
        <f t="shared" si="1"/>
        <v>990</v>
      </c>
      <c r="B991" s="218" t="s">
        <v>200</v>
      </c>
      <c r="C991" s="218" t="s">
        <v>4310</v>
      </c>
      <c r="D991" s="218" t="b">
        <v>1</v>
      </c>
      <c r="E991" s="219" t="b">
        <v>0</v>
      </c>
      <c r="F991" s="219" t="b">
        <v>0</v>
      </c>
      <c r="G991" s="219"/>
    </row>
    <row r="992">
      <c r="A992" s="218">
        <f t="shared" si="1"/>
        <v>991</v>
      </c>
      <c r="B992" s="218" t="s">
        <v>200</v>
      </c>
      <c r="C992" s="218" t="s">
        <v>6654</v>
      </c>
      <c r="D992" s="218" t="b">
        <v>1</v>
      </c>
      <c r="E992" s="219" t="b">
        <v>0</v>
      </c>
      <c r="F992" s="219" t="b">
        <v>0</v>
      </c>
      <c r="G992" s="219"/>
    </row>
    <row r="993">
      <c r="A993" s="218">
        <f t="shared" si="1"/>
        <v>992</v>
      </c>
      <c r="B993" s="218" t="s">
        <v>200</v>
      </c>
      <c r="C993" s="218" t="s">
        <v>6655</v>
      </c>
      <c r="D993" s="218" t="b">
        <v>1</v>
      </c>
      <c r="E993" s="219" t="b">
        <v>0</v>
      </c>
      <c r="F993" s="219" t="b">
        <v>0</v>
      </c>
      <c r="G993" s="219"/>
    </row>
    <row r="994">
      <c r="A994" s="218">
        <f t="shared" si="1"/>
        <v>993</v>
      </c>
      <c r="B994" s="218" t="s">
        <v>200</v>
      </c>
      <c r="C994" s="218" t="s">
        <v>6656</v>
      </c>
      <c r="D994" s="218" t="b">
        <v>1</v>
      </c>
      <c r="E994" s="219" t="b">
        <v>0</v>
      </c>
      <c r="F994" s="219" t="b">
        <v>0</v>
      </c>
      <c r="G994" s="219"/>
    </row>
    <row r="995">
      <c r="A995" s="218">
        <f t="shared" si="1"/>
        <v>994</v>
      </c>
      <c r="B995" s="218" t="s">
        <v>200</v>
      </c>
      <c r="C995" s="218" t="s">
        <v>6657</v>
      </c>
      <c r="D995" s="218" t="b">
        <v>1</v>
      </c>
      <c r="E995" s="219" t="b">
        <v>0</v>
      </c>
      <c r="F995" s="219" t="b">
        <v>0</v>
      </c>
      <c r="G995" s="219"/>
    </row>
    <row r="996">
      <c r="A996" s="218">
        <f t="shared" si="1"/>
        <v>995</v>
      </c>
      <c r="B996" s="218" t="s">
        <v>200</v>
      </c>
      <c r="C996" s="218" t="s">
        <v>6658</v>
      </c>
      <c r="D996" s="218" t="b">
        <v>1</v>
      </c>
      <c r="E996" s="219" t="b">
        <v>0</v>
      </c>
      <c r="F996" s="219" t="b">
        <v>0</v>
      </c>
      <c r="G996" s="219"/>
    </row>
    <row r="997">
      <c r="A997" s="218">
        <f t="shared" si="1"/>
        <v>996</v>
      </c>
      <c r="B997" s="218" t="s">
        <v>200</v>
      </c>
      <c r="C997" s="218" t="s">
        <v>6659</v>
      </c>
      <c r="D997" s="218" t="b">
        <v>1</v>
      </c>
      <c r="E997" s="219" t="b">
        <v>0</v>
      </c>
      <c r="F997" s="219" t="b">
        <v>0</v>
      </c>
      <c r="G997" s="219"/>
    </row>
    <row r="998">
      <c r="A998" s="218">
        <f t="shared" si="1"/>
        <v>997</v>
      </c>
      <c r="B998" s="218" t="s">
        <v>200</v>
      </c>
      <c r="C998" s="218" t="s">
        <v>6660</v>
      </c>
      <c r="D998" s="218" t="b">
        <v>1</v>
      </c>
      <c r="E998" s="219" t="b">
        <v>0</v>
      </c>
      <c r="F998" s="219" t="b">
        <v>0</v>
      </c>
      <c r="G998" s="219"/>
    </row>
    <row r="999">
      <c r="A999" s="218">
        <f t="shared" si="1"/>
        <v>998</v>
      </c>
      <c r="B999" s="218" t="s">
        <v>200</v>
      </c>
      <c r="C999" s="218" t="s">
        <v>6663</v>
      </c>
      <c r="D999" s="218" t="b">
        <v>1</v>
      </c>
      <c r="E999" s="219" t="b">
        <v>0</v>
      </c>
      <c r="F999" s="219" t="b">
        <v>0</v>
      </c>
      <c r="G999" s="219"/>
    </row>
    <row r="1000">
      <c r="A1000" s="218">
        <f t="shared" si="1"/>
        <v>999</v>
      </c>
      <c r="B1000" s="218" t="s">
        <v>200</v>
      </c>
      <c r="C1000" s="218" t="s">
        <v>6666</v>
      </c>
      <c r="D1000" s="218" t="b">
        <v>1</v>
      </c>
      <c r="E1000" s="219" t="b">
        <v>0</v>
      </c>
      <c r="F1000" s="219" t="b">
        <v>0</v>
      </c>
      <c r="G1000" s="219"/>
    </row>
    <row r="1001">
      <c r="A1001" s="218">
        <f t="shared" si="1"/>
        <v>1000</v>
      </c>
      <c r="B1001" s="218" t="s">
        <v>200</v>
      </c>
      <c r="C1001" s="218" t="s">
        <v>6670</v>
      </c>
      <c r="D1001" s="218" t="b">
        <v>1</v>
      </c>
      <c r="E1001" s="219" t="b">
        <v>0</v>
      </c>
      <c r="F1001" s="219" t="b">
        <v>0</v>
      </c>
      <c r="G1001" s="219"/>
    </row>
    <row r="1002">
      <c r="A1002" s="218">
        <f t="shared" si="1"/>
        <v>1001</v>
      </c>
      <c r="B1002" s="218" t="s">
        <v>200</v>
      </c>
      <c r="C1002" s="218" t="s">
        <v>6675</v>
      </c>
      <c r="D1002" s="218" t="b">
        <v>1</v>
      </c>
      <c r="E1002" s="219" t="b">
        <v>0</v>
      </c>
      <c r="F1002" s="219" t="b">
        <v>0</v>
      </c>
      <c r="G1002" s="219"/>
    </row>
    <row r="1003">
      <c r="A1003" s="218">
        <f t="shared" si="1"/>
        <v>1002</v>
      </c>
      <c r="B1003" s="218" t="s">
        <v>200</v>
      </c>
      <c r="C1003" s="218" t="s">
        <v>6679</v>
      </c>
      <c r="D1003" s="218" t="b">
        <v>1</v>
      </c>
      <c r="E1003" s="219" t="b">
        <v>0</v>
      </c>
      <c r="F1003" s="219" t="b">
        <v>0</v>
      </c>
      <c r="G1003" s="219"/>
    </row>
    <row r="1004">
      <c r="A1004" s="218">
        <f t="shared" si="1"/>
        <v>1003</v>
      </c>
      <c r="B1004" s="218" t="s">
        <v>200</v>
      </c>
      <c r="C1004" s="218" t="s">
        <v>6683</v>
      </c>
      <c r="D1004" s="218" t="b">
        <v>1</v>
      </c>
      <c r="E1004" s="219" t="b">
        <v>0</v>
      </c>
      <c r="F1004" s="219" t="b">
        <v>0</v>
      </c>
      <c r="G1004" s="219"/>
    </row>
    <row r="1005">
      <c r="A1005" s="218">
        <f t="shared" si="1"/>
        <v>1004</v>
      </c>
      <c r="B1005" s="218" t="s">
        <v>200</v>
      </c>
      <c r="C1005" s="218" t="s">
        <v>6688</v>
      </c>
      <c r="D1005" s="218" t="b">
        <v>1</v>
      </c>
      <c r="E1005" s="219" t="b">
        <v>0</v>
      </c>
      <c r="F1005" s="219" t="b">
        <v>0</v>
      </c>
      <c r="G1005" s="219"/>
    </row>
    <row r="1006">
      <c r="A1006" s="218">
        <f t="shared" si="1"/>
        <v>1005</v>
      </c>
      <c r="B1006" s="218" t="s">
        <v>200</v>
      </c>
      <c r="C1006" s="218" t="s">
        <v>6692</v>
      </c>
      <c r="D1006" s="218" t="b">
        <v>1</v>
      </c>
      <c r="E1006" s="219" t="b">
        <v>0</v>
      </c>
      <c r="F1006" s="219" t="b">
        <v>0</v>
      </c>
      <c r="G1006" s="219"/>
    </row>
    <row r="1007">
      <c r="A1007" s="218">
        <f t="shared" si="1"/>
        <v>1006</v>
      </c>
      <c r="B1007" s="218" t="s">
        <v>200</v>
      </c>
      <c r="C1007" s="218" t="s">
        <v>6696</v>
      </c>
      <c r="D1007" s="218" t="b">
        <v>1</v>
      </c>
      <c r="E1007" s="219" t="b">
        <v>0</v>
      </c>
      <c r="F1007" s="219" t="b">
        <v>0</v>
      </c>
      <c r="G1007" s="219"/>
    </row>
    <row r="1008">
      <c r="A1008" s="218">
        <f t="shared" si="1"/>
        <v>1007</v>
      </c>
      <c r="B1008" s="218" t="s">
        <v>200</v>
      </c>
      <c r="C1008" s="218" t="s">
        <v>6700</v>
      </c>
      <c r="D1008" s="218" t="b">
        <v>1</v>
      </c>
      <c r="E1008" s="219" t="b">
        <v>0</v>
      </c>
      <c r="F1008" s="219" t="b">
        <v>0</v>
      </c>
      <c r="G1008" s="219"/>
    </row>
    <row r="1009">
      <c r="A1009" s="218">
        <f t="shared" si="1"/>
        <v>1008</v>
      </c>
      <c r="B1009" s="218" t="s">
        <v>200</v>
      </c>
      <c r="C1009" s="218" t="s">
        <v>6704</v>
      </c>
      <c r="D1009" s="218" t="b">
        <v>1</v>
      </c>
      <c r="E1009" s="219" t="b">
        <v>0</v>
      </c>
      <c r="F1009" s="219" t="b">
        <v>0</v>
      </c>
      <c r="G1009" s="219"/>
    </row>
    <row r="1010">
      <c r="A1010" s="218">
        <f t="shared" si="1"/>
        <v>1009</v>
      </c>
      <c r="B1010" s="218" t="s">
        <v>200</v>
      </c>
      <c r="C1010" s="218" t="s">
        <v>6708</v>
      </c>
      <c r="D1010" s="218" t="b">
        <v>1</v>
      </c>
      <c r="E1010" s="219" t="b">
        <v>0</v>
      </c>
      <c r="F1010" s="219" t="b">
        <v>0</v>
      </c>
      <c r="G1010" s="219"/>
    </row>
    <row r="1011">
      <c r="A1011" s="218">
        <f t="shared" si="1"/>
        <v>1010</v>
      </c>
      <c r="B1011" s="218" t="s">
        <v>200</v>
      </c>
      <c r="C1011" s="218" t="s">
        <v>6712</v>
      </c>
      <c r="D1011" s="218" t="b">
        <v>1</v>
      </c>
      <c r="E1011" s="219" t="b">
        <v>0</v>
      </c>
      <c r="F1011" s="219" t="b">
        <v>0</v>
      </c>
      <c r="G1011" s="219"/>
    </row>
    <row r="1012">
      <c r="A1012" s="218">
        <f t="shared" si="1"/>
        <v>1011</v>
      </c>
      <c r="B1012" s="218" t="s">
        <v>200</v>
      </c>
      <c r="C1012" s="218" t="s">
        <v>6716</v>
      </c>
      <c r="D1012" s="218" t="b">
        <v>1</v>
      </c>
      <c r="E1012" s="219" t="b">
        <v>0</v>
      </c>
      <c r="F1012" s="219" t="b">
        <v>0</v>
      </c>
      <c r="G1012" s="219"/>
    </row>
    <row r="1013">
      <c r="A1013" s="218">
        <f t="shared" si="1"/>
        <v>1012</v>
      </c>
      <c r="B1013" s="218" t="s">
        <v>200</v>
      </c>
      <c r="C1013" s="218" t="s">
        <v>6720</v>
      </c>
      <c r="D1013" s="218" t="b">
        <v>1</v>
      </c>
      <c r="E1013" s="219" t="b">
        <v>0</v>
      </c>
      <c r="F1013" s="219" t="b">
        <v>0</v>
      </c>
      <c r="G1013" s="219"/>
    </row>
    <row r="1014">
      <c r="A1014" s="218">
        <f t="shared" si="1"/>
        <v>1013</v>
      </c>
      <c r="B1014" s="218" t="s">
        <v>200</v>
      </c>
      <c r="C1014" s="218" t="s">
        <v>6723</v>
      </c>
      <c r="D1014" s="218" t="b">
        <v>1</v>
      </c>
      <c r="E1014" s="219" t="b">
        <v>0</v>
      </c>
      <c r="F1014" s="219" t="b">
        <v>0</v>
      </c>
      <c r="G1014" s="219"/>
    </row>
    <row r="1015">
      <c r="A1015" s="218">
        <f t="shared" si="1"/>
        <v>1014</v>
      </c>
      <c r="B1015" s="218" t="s">
        <v>200</v>
      </c>
      <c r="C1015" s="218" t="s">
        <v>6727</v>
      </c>
      <c r="D1015" s="218" t="b">
        <v>1</v>
      </c>
      <c r="E1015" s="219" t="b">
        <v>0</v>
      </c>
      <c r="F1015" s="219" t="b">
        <v>0</v>
      </c>
      <c r="G1015" s="219"/>
    </row>
    <row r="1016">
      <c r="A1016" s="218">
        <f t="shared" si="1"/>
        <v>1015</v>
      </c>
      <c r="B1016" s="218" t="s">
        <v>200</v>
      </c>
      <c r="C1016" s="218" t="s">
        <v>6731</v>
      </c>
      <c r="D1016" s="218" t="b">
        <v>1</v>
      </c>
      <c r="E1016" s="219" t="b">
        <v>0</v>
      </c>
      <c r="F1016" s="219" t="b">
        <v>0</v>
      </c>
      <c r="G1016" s="219"/>
    </row>
    <row r="1017">
      <c r="A1017" s="218">
        <f t="shared" si="1"/>
        <v>1016</v>
      </c>
      <c r="B1017" s="218" t="s">
        <v>200</v>
      </c>
      <c r="C1017" s="218" t="s">
        <v>6736</v>
      </c>
      <c r="D1017" s="218" t="b">
        <v>1</v>
      </c>
      <c r="E1017" s="219" t="b">
        <v>0</v>
      </c>
      <c r="F1017" s="219" t="b">
        <v>0</v>
      </c>
      <c r="G1017" s="219"/>
    </row>
    <row r="1018">
      <c r="A1018" s="218">
        <f t="shared" si="1"/>
        <v>1017</v>
      </c>
      <c r="B1018" s="218" t="s">
        <v>200</v>
      </c>
      <c r="C1018" s="218" t="s">
        <v>6741</v>
      </c>
      <c r="D1018" s="218" t="b">
        <v>1</v>
      </c>
      <c r="E1018" s="219" t="b">
        <v>0</v>
      </c>
      <c r="F1018" s="219" t="b">
        <v>0</v>
      </c>
      <c r="G1018" s="219"/>
    </row>
    <row r="1019">
      <c r="A1019" s="218">
        <f t="shared" si="1"/>
        <v>1018</v>
      </c>
      <c r="B1019" s="218" t="s">
        <v>200</v>
      </c>
      <c r="C1019" s="218" t="s">
        <v>6747</v>
      </c>
      <c r="D1019" s="218" t="b">
        <v>1</v>
      </c>
      <c r="E1019" s="219" t="b">
        <v>0</v>
      </c>
      <c r="F1019" s="219" t="b">
        <v>0</v>
      </c>
      <c r="G1019" s="219"/>
    </row>
    <row r="1020">
      <c r="A1020" s="218">
        <f t="shared" si="1"/>
        <v>1019</v>
      </c>
      <c r="B1020" s="218" t="s">
        <v>200</v>
      </c>
      <c r="C1020" s="218" t="s">
        <v>6751</v>
      </c>
      <c r="D1020" s="218" t="b">
        <v>1</v>
      </c>
      <c r="E1020" s="219" t="b">
        <v>0</v>
      </c>
      <c r="F1020" s="219" t="b">
        <v>0</v>
      </c>
      <c r="G1020" s="219"/>
    </row>
    <row r="1021">
      <c r="A1021" s="218">
        <f t="shared" si="1"/>
        <v>1020</v>
      </c>
      <c r="B1021" s="218" t="s">
        <v>200</v>
      </c>
      <c r="C1021" s="218" t="s">
        <v>6752</v>
      </c>
      <c r="D1021" s="218" t="b">
        <v>1</v>
      </c>
      <c r="E1021" s="219" t="b">
        <v>0</v>
      </c>
      <c r="F1021" s="219" t="b">
        <v>0</v>
      </c>
      <c r="G1021" s="219"/>
    </row>
    <row r="1022">
      <c r="A1022" s="218">
        <f t="shared" si="1"/>
        <v>1021</v>
      </c>
      <c r="B1022" s="218" t="s">
        <v>200</v>
      </c>
      <c r="C1022" s="218" t="s">
        <v>6756</v>
      </c>
      <c r="D1022" s="218" t="b">
        <v>1</v>
      </c>
      <c r="E1022" s="219" t="b">
        <v>0</v>
      </c>
      <c r="F1022" s="219" t="b">
        <v>0</v>
      </c>
      <c r="G1022" s="219"/>
    </row>
    <row r="1023">
      <c r="A1023" s="218">
        <f t="shared" si="1"/>
        <v>1022</v>
      </c>
      <c r="B1023" s="218" t="s">
        <v>200</v>
      </c>
      <c r="C1023" s="218" t="s">
        <v>6763</v>
      </c>
      <c r="D1023" s="218" t="b">
        <v>1</v>
      </c>
      <c r="E1023" s="219" t="b">
        <v>0</v>
      </c>
      <c r="F1023" s="219" t="b">
        <v>0</v>
      </c>
      <c r="G1023" s="219"/>
    </row>
    <row r="1024">
      <c r="A1024" s="218">
        <f t="shared" si="1"/>
        <v>1023</v>
      </c>
      <c r="B1024" s="218" t="s">
        <v>200</v>
      </c>
      <c r="C1024" s="218" t="s">
        <v>6770</v>
      </c>
      <c r="D1024" s="218" t="b">
        <v>1</v>
      </c>
      <c r="E1024" s="219" t="b">
        <v>0</v>
      </c>
      <c r="F1024" s="219" t="b">
        <v>0</v>
      </c>
      <c r="G1024" s="219"/>
    </row>
    <row r="1025">
      <c r="A1025" s="218">
        <f t="shared" si="1"/>
        <v>1024</v>
      </c>
      <c r="B1025" s="218" t="s">
        <v>200</v>
      </c>
      <c r="C1025" s="218" t="s">
        <v>6774</v>
      </c>
      <c r="D1025" s="218" t="b">
        <v>1</v>
      </c>
      <c r="E1025" s="219" t="b">
        <v>0</v>
      </c>
      <c r="F1025" s="219" t="b">
        <v>0</v>
      </c>
      <c r="G1025" s="219"/>
    </row>
    <row r="1026">
      <c r="A1026" s="218">
        <f t="shared" si="1"/>
        <v>1025</v>
      </c>
      <c r="B1026" s="218" t="s">
        <v>200</v>
      </c>
      <c r="C1026" s="218" t="s">
        <v>6777</v>
      </c>
      <c r="D1026" s="218" t="b">
        <v>1</v>
      </c>
      <c r="E1026" s="219" t="b">
        <v>0</v>
      </c>
      <c r="F1026" s="219" t="b">
        <v>0</v>
      </c>
      <c r="G1026" s="219"/>
    </row>
    <row r="1027">
      <c r="A1027" s="218">
        <f t="shared" si="1"/>
        <v>1026</v>
      </c>
      <c r="B1027" s="218" t="s">
        <v>200</v>
      </c>
      <c r="C1027" s="218" t="s">
        <v>6781</v>
      </c>
      <c r="D1027" s="218" t="b">
        <v>1</v>
      </c>
      <c r="E1027" s="219" t="b">
        <v>0</v>
      </c>
      <c r="F1027" s="219" t="b">
        <v>0</v>
      </c>
      <c r="G1027" s="219"/>
    </row>
    <row r="1028">
      <c r="A1028" s="218">
        <f t="shared" si="1"/>
        <v>1027</v>
      </c>
      <c r="B1028" s="218" t="s">
        <v>200</v>
      </c>
      <c r="C1028" s="218" t="s">
        <v>6783</v>
      </c>
      <c r="D1028" s="218" t="b">
        <v>1</v>
      </c>
      <c r="E1028" s="219" t="b">
        <v>0</v>
      </c>
      <c r="F1028" s="219" t="b">
        <v>0</v>
      </c>
      <c r="G1028" s="219"/>
    </row>
    <row r="1029">
      <c r="A1029" s="218">
        <f t="shared" si="1"/>
        <v>1028</v>
      </c>
      <c r="B1029" s="218" t="s">
        <v>200</v>
      </c>
      <c r="C1029" s="218" t="s">
        <v>6784</v>
      </c>
      <c r="D1029" s="218" t="b">
        <v>1</v>
      </c>
      <c r="E1029" s="219" t="b">
        <v>0</v>
      </c>
      <c r="F1029" s="219" t="b">
        <v>0</v>
      </c>
      <c r="G1029" s="219"/>
    </row>
    <row r="1030">
      <c r="A1030" s="218">
        <f t="shared" si="1"/>
        <v>1029</v>
      </c>
      <c r="B1030" s="218" t="s">
        <v>200</v>
      </c>
      <c r="C1030" s="218" t="s">
        <v>6786</v>
      </c>
      <c r="D1030" s="218" t="b">
        <v>1</v>
      </c>
      <c r="E1030" s="219" t="b">
        <v>0</v>
      </c>
      <c r="F1030" s="219" t="b">
        <v>0</v>
      </c>
      <c r="G1030" s="219"/>
    </row>
    <row r="1031">
      <c r="A1031" s="218">
        <f t="shared" si="1"/>
        <v>1030</v>
      </c>
      <c r="B1031" s="218" t="s">
        <v>200</v>
      </c>
      <c r="C1031" s="218" t="s">
        <v>6787</v>
      </c>
      <c r="D1031" s="218" t="b">
        <v>1</v>
      </c>
      <c r="E1031" s="219" t="b">
        <v>0</v>
      </c>
      <c r="F1031" s="219" t="b">
        <v>0</v>
      </c>
      <c r="G1031" s="219"/>
    </row>
    <row r="1032">
      <c r="A1032" s="218">
        <f t="shared" si="1"/>
        <v>1031</v>
      </c>
      <c r="B1032" s="218" t="s">
        <v>200</v>
      </c>
      <c r="C1032" s="218" t="s">
        <v>6788</v>
      </c>
      <c r="D1032" s="218" t="b">
        <v>1</v>
      </c>
      <c r="E1032" s="219" t="b">
        <v>0</v>
      </c>
      <c r="F1032" s="219" t="b">
        <v>0</v>
      </c>
      <c r="G1032" s="219"/>
    </row>
    <row r="1033">
      <c r="A1033" s="218">
        <f t="shared" si="1"/>
        <v>1032</v>
      </c>
      <c r="B1033" s="218" t="s">
        <v>200</v>
      </c>
      <c r="C1033" s="218" t="s">
        <v>6789</v>
      </c>
      <c r="D1033" s="218" t="b">
        <v>1</v>
      </c>
      <c r="E1033" s="219" t="b">
        <v>0</v>
      </c>
      <c r="F1033" s="219" t="b">
        <v>0</v>
      </c>
      <c r="G1033" s="219"/>
    </row>
    <row r="1034">
      <c r="A1034" s="218">
        <f t="shared" si="1"/>
        <v>1033</v>
      </c>
      <c r="B1034" s="218" t="s">
        <v>200</v>
      </c>
      <c r="C1034" s="218" t="s">
        <v>6790</v>
      </c>
      <c r="D1034" s="218" t="b">
        <v>1</v>
      </c>
      <c r="E1034" s="219" t="b">
        <v>0</v>
      </c>
      <c r="F1034" s="219" t="b">
        <v>0</v>
      </c>
      <c r="G1034" s="219"/>
    </row>
    <row r="1035">
      <c r="A1035" s="218">
        <f t="shared" si="1"/>
        <v>1034</v>
      </c>
      <c r="B1035" s="218" t="s">
        <v>200</v>
      </c>
      <c r="C1035" s="218" t="s">
        <v>6791</v>
      </c>
      <c r="D1035" s="218" t="b">
        <v>1</v>
      </c>
      <c r="E1035" s="219" t="b">
        <v>0</v>
      </c>
      <c r="F1035" s="219" t="b">
        <v>0</v>
      </c>
      <c r="G1035" s="219"/>
    </row>
    <row r="1036">
      <c r="A1036" s="218">
        <f t="shared" si="1"/>
        <v>1035</v>
      </c>
      <c r="B1036" s="218" t="s">
        <v>200</v>
      </c>
      <c r="C1036" s="218" t="s">
        <v>6792</v>
      </c>
      <c r="D1036" s="218" t="b">
        <v>1</v>
      </c>
      <c r="E1036" s="219" t="b">
        <v>0</v>
      </c>
      <c r="F1036" s="219" t="b">
        <v>0</v>
      </c>
      <c r="G1036" s="219"/>
    </row>
    <row r="1037">
      <c r="A1037" s="218">
        <f t="shared" si="1"/>
        <v>1036</v>
      </c>
      <c r="B1037" s="218" t="s">
        <v>200</v>
      </c>
      <c r="C1037" s="218" t="s">
        <v>6793</v>
      </c>
      <c r="D1037" s="218" t="b">
        <v>1</v>
      </c>
      <c r="E1037" s="219" t="b">
        <v>0</v>
      </c>
      <c r="F1037" s="219" t="b">
        <v>0</v>
      </c>
      <c r="G1037" s="219"/>
    </row>
    <row r="1038">
      <c r="A1038" s="218">
        <f t="shared" si="1"/>
        <v>1037</v>
      </c>
      <c r="B1038" s="218" t="s">
        <v>200</v>
      </c>
      <c r="C1038" s="218" t="s">
        <v>6794</v>
      </c>
      <c r="D1038" s="218" t="b">
        <v>1</v>
      </c>
      <c r="E1038" s="219" t="b">
        <v>0</v>
      </c>
      <c r="F1038" s="219" t="b">
        <v>0</v>
      </c>
      <c r="G1038" s="219"/>
    </row>
    <row r="1039">
      <c r="A1039" s="218">
        <f t="shared" si="1"/>
        <v>1038</v>
      </c>
      <c r="B1039" s="218" t="s">
        <v>200</v>
      </c>
      <c r="C1039" s="218" t="s">
        <v>6795</v>
      </c>
      <c r="D1039" s="218" t="b">
        <v>1</v>
      </c>
      <c r="E1039" s="219" t="b">
        <v>0</v>
      </c>
      <c r="F1039" s="219" t="b">
        <v>0</v>
      </c>
      <c r="G1039" s="219"/>
    </row>
    <row r="1040">
      <c r="A1040" s="218">
        <f t="shared" si="1"/>
        <v>1039</v>
      </c>
      <c r="B1040" s="218" t="s">
        <v>200</v>
      </c>
      <c r="C1040" s="218" t="s">
        <v>6796</v>
      </c>
      <c r="D1040" s="218" t="b">
        <v>1</v>
      </c>
      <c r="E1040" s="219" t="b">
        <v>0</v>
      </c>
      <c r="F1040" s="219" t="b">
        <v>0</v>
      </c>
      <c r="G1040" s="219"/>
    </row>
    <row r="1041">
      <c r="A1041" s="218">
        <f t="shared" si="1"/>
        <v>1040</v>
      </c>
      <c r="B1041" s="218" t="s">
        <v>200</v>
      </c>
      <c r="C1041" s="218" t="s">
        <v>6797</v>
      </c>
      <c r="D1041" s="218" t="b">
        <v>1</v>
      </c>
      <c r="E1041" s="219" t="b">
        <v>0</v>
      </c>
      <c r="F1041" s="219" t="b">
        <v>0</v>
      </c>
      <c r="G1041" s="219"/>
    </row>
    <row r="1042">
      <c r="A1042" s="218">
        <f t="shared" si="1"/>
        <v>1041</v>
      </c>
      <c r="B1042" s="218" t="s">
        <v>200</v>
      </c>
      <c r="C1042" s="219" t="s">
        <v>340</v>
      </c>
      <c r="D1042" s="218" t="b">
        <v>1</v>
      </c>
      <c r="E1042" s="219" t="b">
        <v>0</v>
      </c>
      <c r="F1042" s="219" t="b">
        <v>0</v>
      </c>
      <c r="G1042" s="219"/>
    </row>
    <row r="1043">
      <c r="A1043" s="157"/>
      <c r="B1043" s="216"/>
      <c r="C1043" s="157"/>
      <c r="D1043" s="216"/>
      <c r="E1043" s="216"/>
      <c r="F1043" s="216"/>
      <c r="G1043" s="216"/>
    </row>
    <row r="1044">
      <c r="A1044" s="157"/>
      <c r="B1044" s="216"/>
      <c r="C1044" s="157"/>
      <c r="D1044" s="216"/>
      <c r="E1044" s="216"/>
      <c r="F1044" s="216"/>
      <c r="G1044" s="216"/>
    </row>
    <row r="1045">
      <c r="A1045" s="157"/>
      <c r="B1045" s="216"/>
      <c r="C1045" s="157"/>
      <c r="D1045" s="216"/>
      <c r="E1045" s="216"/>
      <c r="F1045" s="216"/>
      <c r="G1045" s="216"/>
    </row>
    <row r="1046">
      <c r="A1046" s="157"/>
      <c r="B1046" s="216"/>
      <c r="C1046" s="157"/>
      <c r="D1046" s="216"/>
      <c r="E1046" s="216"/>
      <c r="F1046" s="216"/>
      <c r="G1046" s="216"/>
    </row>
    <row r="1047">
      <c r="A1047" s="157"/>
      <c r="B1047" s="216"/>
      <c r="C1047" s="157"/>
      <c r="D1047" s="216"/>
      <c r="E1047" s="216"/>
      <c r="F1047" s="216"/>
      <c r="G1047" s="216"/>
    </row>
    <row r="1048">
      <c r="A1048" s="157"/>
      <c r="B1048" s="216"/>
      <c r="C1048" s="157"/>
      <c r="D1048" s="216"/>
      <c r="E1048" s="216"/>
      <c r="F1048" s="216"/>
      <c r="G1048" s="216"/>
    </row>
    <row r="1049">
      <c r="A1049" s="157"/>
      <c r="B1049" s="216"/>
      <c r="C1049" s="157"/>
      <c r="D1049" s="216"/>
      <c r="E1049" s="216"/>
      <c r="F1049" s="216"/>
      <c r="G1049" s="216"/>
    </row>
    <row r="1050">
      <c r="A1050" s="157"/>
      <c r="B1050" s="216"/>
      <c r="C1050" s="157"/>
      <c r="D1050" s="216"/>
      <c r="E1050" s="216"/>
      <c r="F1050" s="216"/>
      <c r="G1050" s="216"/>
    </row>
    <row r="1051">
      <c r="A1051" s="157"/>
      <c r="B1051" s="216"/>
      <c r="C1051" s="157"/>
      <c r="D1051" s="216"/>
      <c r="E1051" s="216"/>
      <c r="F1051" s="216"/>
      <c r="G1051" s="216"/>
    </row>
    <row r="1052">
      <c r="A1052" s="157"/>
      <c r="B1052" s="216"/>
      <c r="C1052" s="157"/>
      <c r="D1052" s="216"/>
      <c r="E1052" s="216"/>
      <c r="F1052" s="216"/>
      <c r="G1052" s="216"/>
    </row>
    <row r="1053">
      <c r="A1053" s="157"/>
      <c r="B1053" s="216"/>
      <c r="C1053" s="157"/>
      <c r="D1053" s="216"/>
      <c r="E1053" s="216"/>
      <c r="F1053" s="216"/>
      <c r="G1053" s="216"/>
    </row>
    <row r="1054">
      <c r="A1054" s="157"/>
      <c r="B1054" s="216"/>
      <c r="C1054" s="157"/>
      <c r="D1054" s="216"/>
      <c r="E1054" s="216"/>
      <c r="F1054" s="216"/>
      <c r="G1054" s="216"/>
    </row>
    <row r="1055">
      <c r="A1055" s="157"/>
      <c r="B1055" s="216"/>
      <c r="C1055" s="157"/>
      <c r="D1055" s="216"/>
      <c r="E1055" s="216"/>
      <c r="F1055" s="216"/>
      <c r="G1055" s="216"/>
    </row>
    <row r="1056">
      <c r="A1056" s="157"/>
      <c r="B1056" s="216"/>
      <c r="C1056" s="157"/>
      <c r="D1056" s="216"/>
      <c r="E1056" s="216"/>
      <c r="F1056" s="216"/>
      <c r="G1056" s="216"/>
    </row>
    <row r="1057">
      <c r="A1057" s="157"/>
      <c r="B1057" s="216"/>
      <c r="C1057" s="157"/>
      <c r="D1057" s="216"/>
      <c r="E1057" s="216"/>
      <c r="F1057" s="216"/>
      <c r="G1057" s="216"/>
    </row>
    <row r="1058">
      <c r="A1058" s="157"/>
      <c r="B1058" s="216"/>
      <c r="C1058" s="157"/>
      <c r="D1058" s="216"/>
      <c r="E1058" s="216"/>
      <c r="F1058" s="216"/>
      <c r="G1058" s="216"/>
    </row>
    <row r="1059">
      <c r="A1059" s="157"/>
      <c r="B1059" s="216"/>
      <c r="C1059" s="157"/>
      <c r="D1059" s="216"/>
      <c r="E1059" s="216"/>
      <c r="F1059" s="216"/>
      <c r="G1059" s="216"/>
    </row>
    <row r="1060">
      <c r="A1060" s="157"/>
      <c r="B1060" s="216"/>
      <c r="C1060" s="157"/>
      <c r="D1060" s="216"/>
      <c r="E1060" s="216"/>
      <c r="F1060" s="216"/>
      <c r="G1060" s="216"/>
    </row>
    <row r="1061">
      <c r="A1061" s="157"/>
      <c r="B1061" s="216"/>
      <c r="C1061" s="157"/>
      <c r="D1061" s="216"/>
      <c r="E1061" s="216"/>
      <c r="F1061" s="216"/>
      <c r="G1061" s="216"/>
    </row>
    <row r="1062">
      <c r="A1062" s="157"/>
      <c r="B1062" s="216"/>
      <c r="C1062" s="157"/>
      <c r="D1062" s="216"/>
      <c r="E1062" s="216"/>
      <c r="F1062" s="216"/>
      <c r="G1062" s="216"/>
    </row>
    <row r="1063">
      <c r="A1063" s="157"/>
      <c r="B1063" s="216"/>
      <c r="C1063" s="157"/>
      <c r="D1063" s="216"/>
      <c r="E1063" s="216"/>
      <c r="F1063" s="216"/>
      <c r="G1063" s="216"/>
    </row>
    <row r="1064">
      <c r="A1064" s="157"/>
      <c r="B1064" s="216"/>
      <c r="C1064" s="157"/>
      <c r="D1064" s="216"/>
      <c r="E1064" s="216"/>
      <c r="F1064" s="216"/>
      <c r="G1064" s="216"/>
    </row>
    <row r="1065">
      <c r="A1065" s="157"/>
      <c r="B1065" s="216"/>
      <c r="C1065" s="157"/>
      <c r="D1065" s="216"/>
      <c r="E1065" s="216"/>
      <c r="F1065" s="216"/>
      <c r="G1065" s="216"/>
    </row>
    <row r="1066">
      <c r="A1066" s="157"/>
      <c r="B1066" s="216"/>
      <c r="C1066" s="157"/>
      <c r="D1066" s="216"/>
      <c r="E1066" s="216"/>
      <c r="F1066" s="216"/>
      <c r="G1066" s="216"/>
    </row>
    <row r="1067">
      <c r="A1067" s="157"/>
      <c r="B1067" s="216"/>
      <c r="C1067" s="157"/>
      <c r="D1067" s="216"/>
      <c r="E1067" s="216"/>
      <c r="F1067" s="216"/>
      <c r="G1067" s="216"/>
    </row>
    <row r="1068">
      <c r="A1068" s="157"/>
      <c r="B1068" s="216"/>
      <c r="C1068" s="157"/>
      <c r="D1068" s="216"/>
      <c r="E1068" s="216"/>
      <c r="F1068" s="216"/>
      <c r="G1068" s="216"/>
    </row>
    <row r="1069">
      <c r="A1069" s="157"/>
      <c r="B1069" s="216"/>
      <c r="C1069" s="157"/>
      <c r="D1069" s="216"/>
      <c r="E1069" s="216"/>
      <c r="F1069" s="216"/>
      <c r="G1069" s="216"/>
    </row>
    <row r="1070">
      <c r="A1070" s="157"/>
      <c r="B1070" s="216"/>
      <c r="C1070" s="157"/>
      <c r="D1070" s="216"/>
      <c r="E1070" s="216"/>
      <c r="F1070" s="216"/>
      <c r="G1070" s="216"/>
    </row>
    <row r="1071">
      <c r="A1071" s="157"/>
      <c r="B1071" s="216"/>
      <c r="C1071" s="157"/>
      <c r="D1071" s="216"/>
      <c r="E1071" s="216"/>
      <c r="F1071" s="216"/>
      <c r="G1071" s="216"/>
    </row>
    <row r="1072">
      <c r="A1072" s="157"/>
      <c r="B1072" s="216"/>
      <c r="C1072" s="157"/>
      <c r="D1072" s="216"/>
      <c r="E1072" s="216"/>
      <c r="F1072" s="216"/>
      <c r="G1072" s="216"/>
    </row>
    <row r="1073">
      <c r="A1073" s="157"/>
      <c r="B1073" s="216"/>
      <c r="C1073" s="157"/>
      <c r="D1073" s="216"/>
      <c r="E1073" s="216"/>
      <c r="F1073" s="216"/>
      <c r="G1073" s="216"/>
    </row>
    <row r="1074">
      <c r="A1074" s="157"/>
      <c r="B1074" s="216"/>
      <c r="C1074" s="157"/>
      <c r="D1074" s="216"/>
      <c r="E1074" s="216"/>
      <c r="F1074" s="216"/>
      <c r="G1074" s="216"/>
    </row>
    <row r="1075">
      <c r="A1075" s="157"/>
      <c r="B1075" s="216"/>
      <c r="C1075" s="157"/>
      <c r="D1075" s="216"/>
      <c r="E1075" s="216"/>
      <c r="F1075" s="216"/>
      <c r="G1075" s="216"/>
    </row>
    <row r="1076">
      <c r="A1076" s="157"/>
      <c r="B1076" s="216"/>
      <c r="C1076" s="157"/>
      <c r="D1076" s="216"/>
      <c r="E1076" s="216"/>
      <c r="F1076" s="216"/>
      <c r="G1076" s="216"/>
    </row>
    <row r="1077">
      <c r="A1077" s="157"/>
      <c r="B1077" s="216"/>
      <c r="C1077" s="157"/>
      <c r="D1077" s="216"/>
      <c r="E1077" s="216"/>
      <c r="F1077" s="216"/>
      <c r="G1077" s="216"/>
    </row>
    <row r="1078">
      <c r="A1078" s="157"/>
      <c r="B1078" s="216"/>
      <c r="C1078" s="157"/>
      <c r="D1078" s="216"/>
      <c r="E1078" s="216"/>
      <c r="F1078" s="216"/>
      <c r="G1078" s="216"/>
    </row>
    <row r="1079">
      <c r="A1079" s="157"/>
      <c r="B1079" s="216"/>
      <c r="C1079" s="157"/>
      <c r="D1079" s="216"/>
      <c r="E1079" s="216"/>
      <c r="F1079" s="216"/>
      <c r="G1079" s="216"/>
    </row>
    <row r="1080">
      <c r="A1080" s="157"/>
      <c r="B1080" s="216"/>
      <c r="C1080" s="157"/>
      <c r="D1080" s="216"/>
      <c r="E1080" s="216"/>
      <c r="F1080" s="216"/>
      <c r="G1080" s="216"/>
    </row>
    <row r="1081">
      <c r="A1081" s="157"/>
      <c r="B1081" s="216"/>
      <c r="C1081" s="157"/>
      <c r="D1081" s="216"/>
      <c r="E1081" s="216"/>
      <c r="F1081" s="216"/>
      <c r="G1081" s="216"/>
    </row>
    <row r="1082">
      <c r="A1082" s="157"/>
      <c r="B1082" s="216"/>
      <c r="C1082" s="157"/>
      <c r="D1082" s="216"/>
      <c r="E1082" s="216"/>
      <c r="F1082" s="216"/>
      <c r="G1082" s="216"/>
    </row>
    <row r="1083">
      <c r="A1083" s="157"/>
      <c r="B1083" s="216"/>
      <c r="C1083" s="157"/>
      <c r="D1083" s="216"/>
      <c r="E1083" s="216"/>
      <c r="F1083" s="216"/>
      <c r="G1083" s="216"/>
    </row>
    <row r="1084">
      <c r="A1084" s="157"/>
      <c r="B1084" s="216"/>
      <c r="C1084" s="157"/>
      <c r="D1084" s="216"/>
      <c r="E1084" s="216"/>
      <c r="F1084" s="216"/>
      <c r="G1084" s="216"/>
    </row>
    <row r="1085">
      <c r="A1085" s="157"/>
      <c r="B1085" s="216"/>
      <c r="C1085" s="157"/>
      <c r="D1085" s="216"/>
      <c r="E1085" s="216"/>
      <c r="F1085" s="216"/>
      <c r="G1085" s="216"/>
    </row>
    <row r="1086">
      <c r="A1086" s="157"/>
      <c r="B1086" s="216"/>
      <c r="C1086" s="157"/>
      <c r="D1086" s="216"/>
      <c r="E1086" s="216"/>
      <c r="F1086" s="216"/>
      <c r="G1086" s="216"/>
    </row>
    <row r="1087">
      <c r="A1087" s="157"/>
      <c r="B1087" s="216"/>
      <c r="C1087" s="157"/>
      <c r="D1087" s="216"/>
      <c r="E1087" s="216"/>
      <c r="F1087" s="216"/>
      <c r="G1087" s="216"/>
    </row>
    <row r="1088">
      <c r="A1088" s="157"/>
      <c r="B1088" s="216"/>
      <c r="C1088" s="157"/>
      <c r="D1088" s="216"/>
      <c r="E1088" s="216"/>
      <c r="F1088" s="216"/>
      <c r="G1088" s="216"/>
    </row>
    <row r="1089">
      <c r="A1089" s="157"/>
      <c r="B1089" s="216"/>
      <c r="C1089" s="157"/>
      <c r="D1089" s="216"/>
      <c r="E1089" s="216"/>
      <c r="F1089" s="216"/>
      <c r="G1089" s="216"/>
    </row>
    <row r="1090">
      <c r="A1090" s="157"/>
      <c r="B1090" s="216"/>
      <c r="C1090" s="157"/>
      <c r="D1090" s="216"/>
      <c r="E1090" s="216"/>
      <c r="F1090" s="216"/>
      <c r="G1090" s="216"/>
    </row>
    <row r="1091">
      <c r="A1091" s="157"/>
      <c r="B1091" s="216"/>
      <c r="C1091" s="157"/>
      <c r="D1091" s="216"/>
      <c r="E1091" s="216"/>
      <c r="F1091" s="216"/>
      <c r="G1091" s="216"/>
    </row>
    <row r="1092">
      <c r="A1092" s="157"/>
      <c r="B1092" s="216"/>
      <c r="C1092" s="157"/>
      <c r="D1092" s="216"/>
      <c r="E1092" s="216"/>
      <c r="F1092" s="216"/>
      <c r="G1092" s="216"/>
    </row>
    <row r="1093">
      <c r="A1093" s="157"/>
      <c r="B1093" s="216"/>
      <c r="C1093" s="157"/>
      <c r="D1093" s="216"/>
      <c r="E1093" s="216"/>
      <c r="F1093" s="216"/>
      <c r="G1093" s="216"/>
    </row>
    <row r="1094">
      <c r="A1094" s="157"/>
      <c r="B1094" s="216"/>
      <c r="C1094" s="157"/>
      <c r="D1094" s="216"/>
      <c r="E1094" s="216"/>
      <c r="F1094" s="216"/>
      <c r="G1094" s="216"/>
    </row>
    <row r="1095">
      <c r="A1095" s="157"/>
      <c r="B1095" s="216"/>
      <c r="C1095" s="157"/>
      <c r="D1095" s="216"/>
      <c r="E1095" s="216"/>
      <c r="F1095" s="216"/>
      <c r="G1095" s="216"/>
    </row>
    <row r="1096">
      <c r="A1096" s="157"/>
      <c r="B1096" s="216"/>
      <c r="C1096" s="157"/>
      <c r="D1096" s="216"/>
      <c r="E1096" s="216"/>
      <c r="F1096" s="216"/>
      <c r="G1096" s="216"/>
    </row>
    <row r="1097">
      <c r="A1097" s="157"/>
      <c r="B1097" s="216"/>
      <c r="C1097" s="157"/>
      <c r="D1097" s="216"/>
      <c r="E1097" s="216"/>
      <c r="F1097" s="216"/>
      <c r="G1097" s="216"/>
    </row>
    <row r="1098">
      <c r="A1098" s="157"/>
      <c r="B1098" s="216"/>
      <c r="C1098" s="157"/>
      <c r="D1098" s="216"/>
      <c r="E1098" s="216"/>
      <c r="F1098" s="216"/>
      <c r="G1098" s="216"/>
    </row>
    <row r="1099">
      <c r="A1099" s="157"/>
      <c r="B1099" s="216"/>
      <c r="C1099" s="157"/>
      <c r="D1099" s="216"/>
      <c r="E1099" s="216"/>
      <c r="F1099" s="216"/>
      <c r="G1099" s="216"/>
    </row>
    <row r="1100">
      <c r="A1100" s="157"/>
      <c r="B1100" s="216"/>
      <c r="C1100" s="157"/>
      <c r="D1100" s="216"/>
      <c r="E1100" s="216"/>
      <c r="F1100" s="216"/>
      <c r="G1100" s="216"/>
    </row>
    <row r="1101">
      <c r="A1101" s="157"/>
      <c r="B1101" s="216"/>
      <c r="C1101" s="157"/>
      <c r="D1101" s="216"/>
      <c r="E1101" s="216"/>
      <c r="F1101" s="216"/>
      <c r="G1101" s="216"/>
    </row>
    <row r="1102">
      <c r="A1102" s="157"/>
      <c r="B1102" s="216"/>
      <c r="C1102" s="157"/>
      <c r="D1102" s="216"/>
      <c r="E1102" s="216"/>
      <c r="F1102" s="216"/>
      <c r="G1102" s="216"/>
    </row>
    <row r="1103">
      <c r="A1103" s="157"/>
      <c r="B1103" s="216"/>
      <c r="C1103" s="157"/>
      <c r="D1103" s="216"/>
      <c r="E1103" s="216"/>
      <c r="F1103" s="216"/>
      <c r="G1103" s="216"/>
    </row>
    <row r="1104">
      <c r="A1104" s="157"/>
      <c r="B1104" s="216"/>
      <c r="C1104" s="157"/>
      <c r="D1104" s="216"/>
      <c r="E1104" s="216"/>
      <c r="F1104" s="216"/>
      <c r="G1104" s="216"/>
    </row>
    <row r="1105">
      <c r="A1105" s="157"/>
      <c r="B1105" s="216"/>
      <c r="C1105" s="157"/>
      <c r="D1105" s="216"/>
      <c r="E1105" s="216"/>
      <c r="F1105" s="216"/>
      <c r="G1105" s="216"/>
    </row>
    <row r="1106">
      <c r="A1106" s="157"/>
      <c r="B1106" s="216"/>
      <c r="C1106" s="157"/>
      <c r="D1106" s="216"/>
      <c r="E1106" s="216"/>
      <c r="F1106" s="216"/>
      <c r="G1106" s="216"/>
    </row>
    <row r="1107">
      <c r="A1107" s="157"/>
      <c r="B1107" s="216"/>
      <c r="C1107" s="157"/>
      <c r="D1107" s="216"/>
      <c r="E1107" s="216"/>
      <c r="F1107" s="216"/>
      <c r="G1107" s="216"/>
    </row>
    <row r="1108">
      <c r="A1108" s="157"/>
      <c r="B1108" s="216"/>
      <c r="C1108" s="157"/>
      <c r="D1108" s="216"/>
      <c r="E1108" s="216"/>
      <c r="F1108" s="216"/>
      <c r="G1108" s="216"/>
    </row>
    <row r="1109">
      <c r="A1109" s="157"/>
      <c r="B1109" s="216"/>
      <c r="C1109" s="157"/>
      <c r="D1109" s="216"/>
      <c r="E1109" s="216"/>
      <c r="F1109" s="216"/>
      <c r="G1109" s="216"/>
    </row>
    <row r="1110">
      <c r="A1110" s="157"/>
      <c r="B1110" s="216"/>
      <c r="C1110" s="157"/>
      <c r="D1110" s="216"/>
      <c r="E1110" s="216"/>
      <c r="F1110" s="216"/>
      <c r="G1110" s="216"/>
    </row>
    <row r="1111">
      <c r="A1111" s="157"/>
      <c r="B1111" s="216"/>
      <c r="C1111" s="157"/>
      <c r="D1111" s="216"/>
      <c r="E1111" s="216"/>
      <c r="F1111" s="216"/>
      <c r="G1111" s="216"/>
    </row>
    <row r="1112">
      <c r="A1112" s="157"/>
      <c r="B1112" s="216"/>
      <c r="C1112" s="157"/>
      <c r="D1112" s="216"/>
      <c r="E1112" s="216"/>
      <c r="F1112" s="216"/>
      <c r="G1112" s="216"/>
    </row>
    <row r="1113">
      <c r="A1113" s="157"/>
      <c r="B1113" s="216"/>
      <c r="C1113" s="157"/>
      <c r="D1113" s="216"/>
      <c r="E1113" s="216"/>
      <c r="F1113" s="216"/>
      <c r="G1113" s="216"/>
    </row>
    <row r="1114">
      <c r="A1114" s="157"/>
      <c r="B1114" s="216"/>
      <c r="C1114" s="157"/>
      <c r="D1114" s="216"/>
      <c r="E1114" s="216"/>
      <c r="F1114" s="216"/>
      <c r="G1114" s="216"/>
    </row>
    <row r="1115">
      <c r="A1115" s="157"/>
      <c r="B1115" s="216"/>
      <c r="C1115" s="157"/>
      <c r="D1115" s="216"/>
      <c r="E1115" s="216"/>
      <c r="F1115" s="216"/>
      <c r="G1115" s="216"/>
    </row>
    <row r="1116">
      <c r="A1116" s="157"/>
      <c r="B1116" s="216"/>
      <c r="C1116" s="157"/>
      <c r="D1116" s="216"/>
      <c r="E1116" s="216"/>
      <c r="F1116" s="216"/>
      <c r="G1116" s="216"/>
    </row>
    <row r="1117">
      <c r="A1117" s="157"/>
      <c r="B1117" s="216"/>
      <c r="C1117" s="157"/>
      <c r="D1117" s="216"/>
      <c r="E1117" s="216"/>
      <c r="F1117" s="216"/>
      <c r="G1117" s="216"/>
    </row>
    <row r="1118">
      <c r="A1118" s="157"/>
      <c r="B1118" s="216"/>
      <c r="C1118" s="157"/>
      <c r="D1118" s="216"/>
      <c r="E1118" s="216"/>
      <c r="F1118" s="216"/>
      <c r="G1118" s="216"/>
    </row>
    <row r="1119">
      <c r="A1119" s="157"/>
      <c r="B1119" s="216"/>
      <c r="C1119" s="157"/>
      <c r="D1119" s="216"/>
      <c r="E1119" s="216"/>
      <c r="F1119" s="216"/>
      <c r="G1119" s="216"/>
    </row>
    <row r="1120">
      <c r="A1120" s="157"/>
      <c r="B1120" s="216"/>
      <c r="C1120" s="157"/>
      <c r="D1120" s="216"/>
      <c r="E1120" s="216"/>
      <c r="F1120" s="216"/>
      <c r="G1120" s="216"/>
    </row>
    <row r="1121">
      <c r="A1121" s="157"/>
      <c r="B1121" s="216"/>
      <c r="C1121" s="157"/>
      <c r="D1121" s="216"/>
      <c r="E1121" s="216"/>
      <c r="F1121" s="216"/>
      <c r="G1121" s="216"/>
    </row>
    <row r="1122">
      <c r="A1122" s="157"/>
      <c r="B1122" s="216"/>
      <c r="C1122" s="157"/>
      <c r="D1122" s="216"/>
      <c r="E1122" s="216"/>
      <c r="F1122" s="216"/>
      <c r="G1122" s="216"/>
    </row>
    <row r="1123">
      <c r="A1123" s="157"/>
      <c r="B1123" s="216"/>
      <c r="C1123" s="157"/>
      <c r="D1123" s="216"/>
      <c r="E1123" s="216"/>
      <c r="F1123" s="216"/>
      <c r="G1123" s="216"/>
    </row>
    <row r="1124">
      <c r="A1124" s="157"/>
      <c r="B1124" s="216"/>
      <c r="C1124" s="157"/>
      <c r="D1124" s="216"/>
      <c r="E1124" s="216"/>
      <c r="F1124" s="216"/>
      <c r="G1124" s="216"/>
    </row>
    <row r="1125">
      <c r="A1125" s="157"/>
      <c r="B1125" s="216"/>
      <c r="C1125" s="157"/>
      <c r="D1125" s="216"/>
      <c r="E1125" s="216"/>
      <c r="F1125" s="216"/>
      <c r="G1125" s="216"/>
    </row>
    <row r="1126">
      <c r="A1126" s="157"/>
      <c r="B1126" s="216"/>
      <c r="C1126" s="157"/>
      <c r="D1126" s="216"/>
      <c r="E1126" s="216"/>
      <c r="F1126" s="216"/>
      <c r="G1126" s="216"/>
    </row>
    <row r="1127">
      <c r="A1127" s="157"/>
      <c r="B1127" s="216"/>
      <c r="C1127" s="157"/>
      <c r="D1127" s="216"/>
      <c r="E1127" s="216"/>
      <c r="F1127" s="216"/>
      <c r="G1127" s="216"/>
    </row>
    <row r="1128">
      <c r="A1128" s="157"/>
      <c r="B1128" s="216"/>
      <c r="C1128" s="157"/>
      <c r="D1128" s="216"/>
      <c r="E1128" s="216"/>
      <c r="F1128" s="216"/>
      <c r="G1128" s="216"/>
    </row>
    <row r="1129">
      <c r="A1129" s="157"/>
      <c r="B1129" s="216"/>
      <c r="C1129" s="157"/>
      <c r="D1129" s="216"/>
      <c r="E1129" s="216"/>
      <c r="F1129" s="216"/>
      <c r="G1129" s="216"/>
    </row>
    <row r="1130">
      <c r="A1130" s="157"/>
      <c r="B1130" s="216"/>
      <c r="C1130" s="157"/>
      <c r="D1130" s="216"/>
      <c r="E1130" s="216"/>
      <c r="F1130" s="216"/>
      <c r="G1130" s="216"/>
    </row>
    <row r="1131">
      <c r="A1131" s="157"/>
      <c r="B1131" s="216"/>
      <c r="C1131" s="157"/>
      <c r="D1131" s="216"/>
      <c r="E1131" s="216"/>
      <c r="F1131" s="216"/>
      <c r="G1131" s="216"/>
    </row>
    <row r="1132">
      <c r="A1132" s="157"/>
      <c r="B1132" s="216"/>
      <c r="C1132" s="157"/>
      <c r="D1132" s="216"/>
      <c r="E1132" s="216"/>
      <c r="F1132" s="216"/>
      <c r="G1132" s="216"/>
    </row>
    <row r="1133">
      <c r="A1133" s="157"/>
      <c r="B1133" s="216"/>
      <c r="C1133" s="157"/>
      <c r="D1133" s="216"/>
      <c r="E1133" s="216"/>
      <c r="F1133" s="216"/>
      <c r="G1133" s="216"/>
    </row>
    <row r="1134">
      <c r="A1134" s="157"/>
      <c r="B1134" s="216"/>
      <c r="C1134" s="157"/>
      <c r="D1134" s="216"/>
      <c r="E1134" s="216"/>
      <c r="F1134" s="216"/>
      <c r="G1134" s="216"/>
    </row>
    <row r="1135">
      <c r="A1135" s="157"/>
      <c r="B1135" s="216"/>
      <c r="C1135" s="157"/>
      <c r="D1135" s="216"/>
      <c r="E1135" s="216"/>
      <c r="F1135" s="216"/>
      <c r="G1135" s="216"/>
    </row>
    <row r="1136">
      <c r="A1136" s="157"/>
      <c r="B1136" s="216"/>
      <c r="C1136" s="157"/>
      <c r="D1136" s="216"/>
      <c r="E1136" s="216"/>
      <c r="F1136" s="216"/>
      <c r="G1136" s="216"/>
    </row>
    <row r="1137">
      <c r="A1137" s="157"/>
      <c r="B1137" s="216"/>
      <c r="C1137" s="157"/>
      <c r="D1137" s="216"/>
      <c r="E1137" s="216"/>
      <c r="F1137" s="216"/>
      <c r="G1137" s="216"/>
    </row>
    <row r="1138">
      <c r="A1138" s="157"/>
      <c r="B1138" s="216"/>
      <c r="C1138" s="157"/>
      <c r="D1138" s="216"/>
      <c r="E1138" s="216"/>
      <c r="F1138" s="216"/>
      <c r="G1138" s="216"/>
    </row>
    <row r="1139">
      <c r="A1139" s="157"/>
      <c r="B1139" s="216"/>
      <c r="C1139" s="157"/>
      <c r="D1139" s="216"/>
      <c r="E1139" s="216"/>
      <c r="F1139" s="216"/>
      <c r="G1139" s="216"/>
    </row>
    <row r="1140">
      <c r="A1140" s="157"/>
      <c r="B1140" s="216"/>
      <c r="C1140" s="157"/>
      <c r="D1140" s="216"/>
      <c r="E1140" s="216"/>
      <c r="F1140" s="216"/>
      <c r="G1140" s="216"/>
    </row>
    <row r="1141">
      <c r="A1141" s="157"/>
      <c r="B1141" s="216"/>
      <c r="C1141" s="157"/>
      <c r="D1141" s="216"/>
      <c r="E1141" s="216"/>
      <c r="F1141" s="216"/>
      <c r="G1141" s="216"/>
    </row>
    <row r="1142">
      <c r="A1142" s="157"/>
      <c r="B1142" s="216"/>
      <c r="C1142" s="157"/>
      <c r="D1142" s="216"/>
      <c r="E1142" s="216"/>
      <c r="F1142" s="216"/>
      <c r="G1142" s="216"/>
    </row>
    <row r="1143">
      <c r="A1143" s="157"/>
      <c r="B1143" s="216"/>
      <c r="C1143" s="157"/>
      <c r="D1143" s="216"/>
      <c r="E1143" s="216"/>
      <c r="F1143" s="216"/>
      <c r="G1143" s="216"/>
    </row>
    <row r="1144">
      <c r="A1144" s="157"/>
      <c r="B1144" s="216"/>
      <c r="C1144" s="157"/>
      <c r="D1144" s="216"/>
      <c r="E1144" s="216"/>
      <c r="F1144" s="216"/>
      <c r="G1144" s="216"/>
    </row>
    <row r="1145">
      <c r="A1145" s="157"/>
      <c r="B1145" s="216"/>
      <c r="C1145" s="157"/>
      <c r="D1145" s="216"/>
      <c r="E1145" s="216"/>
      <c r="F1145" s="216"/>
      <c r="G1145" s="216"/>
    </row>
    <row r="1146">
      <c r="A1146" s="157"/>
      <c r="B1146" s="216"/>
      <c r="C1146" s="157"/>
      <c r="D1146" s="216"/>
      <c r="E1146" s="216"/>
      <c r="F1146" s="216"/>
      <c r="G1146" s="216"/>
    </row>
    <row r="1147">
      <c r="A1147" s="157"/>
      <c r="B1147" s="216"/>
      <c r="C1147" s="157"/>
      <c r="D1147" s="216"/>
      <c r="E1147" s="216"/>
      <c r="F1147" s="216"/>
      <c r="G1147" s="216"/>
    </row>
    <row r="1148">
      <c r="A1148" s="157"/>
      <c r="B1148" s="216"/>
      <c r="C1148" s="157"/>
      <c r="D1148" s="216"/>
      <c r="E1148" s="216"/>
      <c r="F1148" s="216"/>
      <c r="G1148" s="216"/>
    </row>
    <row r="1149">
      <c r="A1149" s="157"/>
      <c r="B1149" s="216"/>
      <c r="C1149" s="157"/>
      <c r="D1149" s="216"/>
      <c r="E1149" s="216"/>
      <c r="F1149" s="216"/>
      <c r="G1149" s="216"/>
    </row>
    <row r="1150">
      <c r="A1150" s="157"/>
      <c r="B1150" s="216"/>
      <c r="C1150" s="157"/>
      <c r="D1150" s="216"/>
      <c r="E1150" s="216"/>
      <c r="F1150" s="216"/>
      <c r="G1150" s="216"/>
    </row>
    <row r="1151">
      <c r="A1151" s="157"/>
      <c r="B1151" s="216"/>
      <c r="C1151" s="157"/>
      <c r="D1151" s="216"/>
      <c r="E1151" s="216"/>
      <c r="F1151" s="216"/>
      <c r="G1151" s="216"/>
    </row>
    <row r="1152">
      <c r="A1152" s="157"/>
      <c r="B1152" s="216"/>
      <c r="C1152" s="157"/>
      <c r="D1152" s="216"/>
      <c r="E1152" s="216"/>
      <c r="F1152" s="216"/>
      <c r="G1152" s="216"/>
    </row>
    <row r="1153">
      <c r="A1153" s="157"/>
      <c r="B1153" s="216"/>
      <c r="C1153" s="157"/>
      <c r="D1153" s="216"/>
      <c r="E1153" s="216"/>
      <c r="F1153" s="216"/>
      <c r="G1153" s="216"/>
    </row>
    <row r="1154">
      <c r="A1154" s="157"/>
      <c r="B1154" s="216"/>
      <c r="C1154" s="157"/>
      <c r="D1154" s="216"/>
      <c r="E1154" s="216"/>
      <c r="F1154" s="216"/>
      <c r="G1154" s="216"/>
    </row>
    <row r="1155">
      <c r="A1155" s="157"/>
      <c r="B1155" s="216"/>
      <c r="C1155" s="157"/>
      <c r="D1155" s="216"/>
      <c r="E1155" s="216"/>
      <c r="F1155" s="216"/>
      <c r="G1155" s="216"/>
    </row>
    <row r="1156">
      <c r="A1156" s="157"/>
      <c r="B1156" s="216"/>
      <c r="C1156" s="157"/>
      <c r="D1156" s="216"/>
      <c r="E1156" s="216"/>
      <c r="F1156" s="216"/>
      <c r="G1156" s="216"/>
    </row>
    <row r="1157">
      <c r="A1157" s="157"/>
      <c r="B1157" s="216"/>
      <c r="C1157" s="157"/>
      <c r="D1157" s="216"/>
      <c r="E1157" s="216"/>
      <c r="F1157" s="216"/>
      <c r="G1157" s="216"/>
    </row>
    <row r="1158">
      <c r="A1158" s="157"/>
      <c r="B1158" s="216"/>
      <c r="C1158" s="157"/>
      <c r="D1158" s="216"/>
      <c r="E1158" s="216"/>
      <c r="F1158" s="216"/>
      <c r="G1158" s="216"/>
    </row>
    <row r="1159">
      <c r="A1159" s="157"/>
      <c r="B1159" s="216"/>
      <c r="C1159" s="157"/>
      <c r="D1159" s="216"/>
      <c r="E1159" s="216"/>
      <c r="F1159" s="216"/>
      <c r="G1159" s="216"/>
    </row>
    <row r="1160">
      <c r="A1160" s="157"/>
      <c r="B1160" s="216"/>
      <c r="C1160" s="157"/>
      <c r="D1160" s="216"/>
      <c r="E1160" s="216"/>
      <c r="F1160" s="216"/>
      <c r="G1160" s="216"/>
    </row>
    <row r="1161">
      <c r="A1161" s="157"/>
      <c r="B1161" s="216"/>
      <c r="C1161" s="157"/>
      <c r="D1161" s="216"/>
      <c r="E1161" s="216"/>
      <c r="F1161" s="216"/>
      <c r="G1161" s="216"/>
    </row>
    <row r="1162">
      <c r="A1162" s="157"/>
      <c r="B1162" s="216"/>
      <c r="C1162" s="157"/>
      <c r="D1162" s="216"/>
      <c r="E1162" s="216"/>
      <c r="F1162" s="216"/>
      <c r="G1162" s="216"/>
    </row>
    <row r="1163">
      <c r="A1163" s="157"/>
      <c r="B1163" s="216"/>
      <c r="C1163" s="157"/>
      <c r="D1163" s="216"/>
      <c r="E1163" s="216"/>
      <c r="F1163" s="216"/>
      <c r="G1163" s="216"/>
    </row>
    <row r="1164">
      <c r="A1164" s="157"/>
      <c r="B1164" s="216"/>
      <c r="C1164" s="157"/>
      <c r="D1164" s="216"/>
      <c r="E1164" s="216"/>
      <c r="F1164" s="216"/>
      <c r="G1164" s="216"/>
    </row>
    <row r="1165">
      <c r="A1165" s="157"/>
      <c r="B1165" s="216"/>
      <c r="C1165" s="157"/>
      <c r="D1165" s="216"/>
      <c r="E1165" s="216"/>
      <c r="F1165" s="216"/>
      <c r="G1165" s="216"/>
    </row>
    <row r="1166">
      <c r="A1166" s="157"/>
      <c r="B1166" s="216"/>
      <c r="C1166" s="157"/>
      <c r="D1166" s="216"/>
      <c r="E1166" s="216"/>
      <c r="F1166" s="216"/>
      <c r="G1166" s="216"/>
    </row>
    <row r="1167">
      <c r="A1167" s="157"/>
      <c r="B1167" s="216"/>
      <c r="C1167" s="157"/>
      <c r="D1167" s="216"/>
      <c r="E1167" s="216"/>
      <c r="F1167" s="216"/>
      <c r="G1167" s="216"/>
    </row>
    <row r="1168">
      <c r="A1168" s="157"/>
      <c r="B1168" s="216"/>
      <c r="C1168" s="157"/>
      <c r="D1168" s="216"/>
      <c r="E1168" s="216"/>
      <c r="F1168" s="216"/>
      <c r="G1168" s="216"/>
    </row>
    <row r="1169">
      <c r="A1169" s="157"/>
      <c r="B1169" s="216"/>
      <c r="C1169" s="157"/>
      <c r="D1169" s="216"/>
      <c r="E1169" s="216"/>
      <c r="F1169" s="216"/>
      <c r="G1169" s="216"/>
    </row>
    <row r="1170">
      <c r="A1170" s="157"/>
      <c r="B1170" s="216"/>
      <c r="C1170" s="157"/>
      <c r="D1170" s="216"/>
      <c r="E1170" s="216"/>
      <c r="F1170" s="216"/>
      <c r="G1170" s="216"/>
    </row>
    <row r="1171">
      <c r="A1171" s="157"/>
      <c r="B1171" s="216"/>
      <c r="C1171" s="157"/>
      <c r="D1171" s="216"/>
      <c r="E1171" s="216"/>
      <c r="F1171" s="216"/>
      <c r="G1171" s="216"/>
    </row>
    <row r="1172">
      <c r="A1172" s="157"/>
      <c r="B1172" s="216"/>
      <c r="C1172" s="157"/>
      <c r="D1172" s="216"/>
      <c r="E1172" s="216"/>
      <c r="F1172" s="216"/>
      <c r="G1172" s="216"/>
    </row>
    <row r="1173">
      <c r="A1173" s="157"/>
      <c r="B1173" s="216"/>
      <c r="C1173" s="157"/>
      <c r="D1173" s="216"/>
      <c r="E1173" s="216"/>
      <c r="F1173" s="216"/>
      <c r="G1173" s="216"/>
    </row>
    <row r="1174">
      <c r="A1174" s="157"/>
      <c r="B1174" s="216"/>
      <c r="C1174" s="157"/>
      <c r="D1174" s="216"/>
      <c r="E1174" s="216"/>
      <c r="F1174" s="216"/>
      <c r="G1174" s="216"/>
    </row>
    <row r="1175">
      <c r="A1175" s="157"/>
      <c r="B1175" s="216"/>
      <c r="C1175" s="157"/>
      <c r="D1175" s="216"/>
      <c r="E1175" s="216"/>
      <c r="F1175" s="216"/>
      <c r="G1175" s="216"/>
    </row>
    <row r="1176">
      <c r="A1176" s="157"/>
      <c r="B1176" s="216"/>
      <c r="C1176" s="157"/>
      <c r="D1176" s="216"/>
      <c r="E1176" s="216"/>
      <c r="F1176" s="216"/>
      <c r="G1176" s="216"/>
    </row>
    <row r="1177">
      <c r="A1177" s="157"/>
      <c r="B1177" s="216"/>
      <c r="C1177" s="157"/>
      <c r="D1177" s="216"/>
      <c r="E1177" s="216"/>
      <c r="F1177" s="216"/>
      <c r="G1177" s="216"/>
    </row>
    <row r="1178">
      <c r="A1178" s="157"/>
      <c r="B1178" s="216"/>
      <c r="C1178" s="157"/>
      <c r="D1178" s="216"/>
      <c r="E1178" s="216"/>
      <c r="F1178" s="216"/>
      <c r="G1178" s="216"/>
    </row>
    <row r="1179">
      <c r="A1179" s="157"/>
      <c r="B1179" s="216"/>
      <c r="C1179" s="157"/>
      <c r="D1179" s="216"/>
      <c r="E1179" s="216"/>
      <c r="F1179" s="216"/>
      <c r="G1179" s="216"/>
    </row>
    <row r="1180">
      <c r="A1180" s="157"/>
      <c r="B1180" s="216"/>
      <c r="C1180" s="157"/>
      <c r="D1180" s="216"/>
      <c r="E1180" s="216"/>
      <c r="F1180" s="216"/>
      <c r="G1180" s="216"/>
    </row>
    <row r="1181">
      <c r="A1181" s="157"/>
      <c r="B1181" s="216"/>
      <c r="C1181" s="157"/>
      <c r="D1181" s="216"/>
      <c r="E1181" s="216"/>
      <c r="F1181" s="216"/>
      <c r="G1181" s="216"/>
    </row>
    <row r="1182">
      <c r="A1182" s="157"/>
      <c r="B1182" s="216"/>
      <c r="C1182" s="157"/>
      <c r="D1182" s="216"/>
      <c r="E1182" s="216"/>
      <c r="F1182" s="216"/>
      <c r="G1182" s="216"/>
    </row>
    <row r="1183">
      <c r="A1183" s="157"/>
      <c r="B1183" s="216"/>
      <c r="C1183" s="157"/>
      <c r="D1183" s="216"/>
      <c r="E1183" s="216"/>
      <c r="F1183" s="216"/>
      <c r="G1183" s="216"/>
    </row>
    <row r="1184">
      <c r="A1184" s="157"/>
      <c r="B1184" s="216"/>
      <c r="C1184" s="157"/>
      <c r="D1184" s="216"/>
      <c r="E1184" s="216"/>
      <c r="F1184" s="216"/>
      <c r="G1184" s="216"/>
    </row>
    <row r="1185">
      <c r="A1185" s="157"/>
      <c r="B1185" s="216"/>
      <c r="C1185" s="157"/>
      <c r="D1185" s="216"/>
      <c r="E1185" s="216"/>
      <c r="F1185" s="216"/>
      <c r="G1185" s="216"/>
    </row>
    <row r="1186">
      <c r="A1186" s="157"/>
      <c r="B1186" s="216"/>
      <c r="C1186" s="157"/>
      <c r="D1186" s="216"/>
      <c r="E1186" s="216"/>
      <c r="F1186" s="216"/>
      <c r="G1186" s="216"/>
    </row>
    <row r="1187">
      <c r="A1187" s="157"/>
      <c r="B1187" s="216"/>
      <c r="C1187" s="157"/>
      <c r="D1187" s="216"/>
      <c r="E1187" s="216"/>
      <c r="F1187" s="216"/>
      <c r="G1187" s="216"/>
    </row>
    <row r="1188">
      <c r="A1188" s="157"/>
      <c r="B1188" s="216"/>
      <c r="C1188" s="157"/>
      <c r="D1188" s="216"/>
      <c r="E1188" s="216"/>
      <c r="F1188" s="216"/>
      <c r="G1188" s="216"/>
    </row>
    <row r="1189">
      <c r="A1189" s="157"/>
      <c r="B1189" s="216"/>
      <c r="C1189" s="157"/>
      <c r="D1189" s="216"/>
      <c r="E1189" s="216"/>
      <c r="F1189" s="216"/>
      <c r="G1189" s="216"/>
    </row>
    <row r="1190">
      <c r="A1190" s="157"/>
      <c r="B1190" s="216"/>
      <c r="C1190" s="157"/>
      <c r="D1190" s="216"/>
      <c r="E1190" s="216"/>
      <c r="F1190" s="216"/>
      <c r="G1190" s="216"/>
    </row>
    <row r="1191">
      <c r="A1191" s="157"/>
      <c r="B1191" s="216"/>
      <c r="C1191" s="157"/>
      <c r="D1191" s="216"/>
      <c r="E1191" s="216"/>
      <c r="F1191" s="216"/>
      <c r="G1191" s="216"/>
    </row>
    <row r="1192">
      <c r="A1192" s="157"/>
      <c r="B1192" s="216"/>
      <c r="C1192" s="157"/>
      <c r="D1192" s="216"/>
      <c r="E1192" s="216"/>
      <c r="F1192" s="216"/>
      <c r="G1192" s="216"/>
    </row>
    <row r="1193">
      <c r="A1193" s="157"/>
      <c r="B1193" s="216"/>
      <c r="C1193" s="157"/>
      <c r="D1193" s="216"/>
      <c r="E1193" s="216"/>
      <c r="F1193" s="216"/>
      <c r="G1193" s="216"/>
    </row>
    <row r="1194">
      <c r="A1194" s="157"/>
      <c r="B1194" s="216"/>
      <c r="C1194" s="157"/>
      <c r="D1194" s="216"/>
      <c r="E1194" s="216"/>
      <c r="F1194" s="216"/>
      <c r="G1194" s="216"/>
    </row>
    <row r="1195">
      <c r="A1195" s="157"/>
      <c r="B1195" s="216"/>
      <c r="C1195" s="157"/>
      <c r="D1195" s="216"/>
      <c r="E1195" s="216"/>
      <c r="F1195" s="216"/>
      <c r="G1195" s="216"/>
    </row>
    <row r="1196">
      <c r="A1196" s="157"/>
      <c r="B1196" s="216"/>
      <c r="C1196" s="157"/>
      <c r="D1196" s="216"/>
      <c r="E1196" s="216"/>
      <c r="F1196" s="216"/>
      <c r="G1196" s="216"/>
    </row>
    <row r="1197">
      <c r="A1197" s="157"/>
      <c r="B1197" s="216"/>
      <c r="C1197" s="157"/>
      <c r="D1197" s="216"/>
      <c r="E1197" s="216"/>
      <c r="F1197" s="216"/>
      <c r="G1197" s="216"/>
    </row>
    <row r="1198">
      <c r="A1198" s="157"/>
      <c r="B1198" s="216"/>
      <c r="C1198" s="157"/>
      <c r="D1198" s="216"/>
      <c r="E1198" s="216"/>
      <c r="F1198" s="216"/>
      <c r="G1198" s="216"/>
    </row>
    <row r="1199">
      <c r="A1199" s="157"/>
      <c r="B1199" s="216"/>
      <c r="C1199" s="157"/>
      <c r="D1199" s="216"/>
      <c r="E1199" s="216"/>
      <c r="F1199" s="216"/>
      <c r="G1199" s="216"/>
    </row>
    <row r="1200">
      <c r="A1200" s="157"/>
      <c r="B1200" s="216"/>
      <c r="C1200" s="157"/>
      <c r="D1200" s="216"/>
      <c r="E1200" s="216"/>
      <c r="F1200" s="216"/>
      <c r="G1200" s="216"/>
    </row>
    <row r="1201">
      <c r="A1201" s="157"/>
      <c r="B1201" s="216"/>
      <c r="C1201" s="157"/>
      <c r="D1201" s="216"/>
      <c r="E1201" s="216"/>
      <c r="F1201" s="216"/>
      <c r="G1201" s="216"/>
    </row>
    <row r="1202">
      <c r="A1202" s="157"/>
      <c r="B1202" s="216"/>
      <c r="C1202" s="157"/>
      <c r="D1202" s="216"/>
      <c r="E1202" s="216"/>
      <c r="F1202" s="216"/>
      <c r="G1202" s="216"/>
    </row>
    <row r="1203">
      <c r="A1203" s="157"/>
      <c r="B1203" s="216"/>
      <c r="C1203" s="157"/>
      <c r="D1203" s="216"/>
      <c r="E1203" s="216"/>
      <c r="F1203" s="216"/>
      <c r="G1203" s="216"/>
    </row>
    <row r="1204">
      <c r="A1204" s="157"/>
      <c r="B1204" s="216"/>
      <c r="C1204" s="157"/>
      <c r="D1204" s="216"/>
      <c r="E1204" s="216"/>
      <c r="F1204" s="216"/>
      <c r="G1204" s="216"/>
    </row>
    <row r="1205">
      <c r="A1205" s="157"/>
      <c r="B1205" s="216"/>
      <c r="C1205" s="157"/>
      <c r="D1205" s="216"/>
      <c r="E1205" s="216"/>
      <c r="F1205" s="216"/>
      <c r="G1205" s="216"/>
    </row>
    <row r="1206">
      <c r="A1206" s="157"/>
      <c r="B1206" s="216"/>
      <c r="C1206" s="157"/>
      <c r="D1206" s="216"/>
      <c r="E1206" s="216"/>
      <c r="F1206" s="216"/>
      <c r="G1206" s="216"/>
    </row>
    <row r="1207">
      <c r="A1207" s="157"/>
      <c r="B1207" s="216"/>
      <c r="C1207" s="157"/>
      <c r="D1207" s="216"/>
      <c r="E1207" s="216"/>
      <c r="F1207" s="216"/>
      <c r="G1207" s="216"/>
    </row>
    <row r="1208">
      <c r="A1208" s="157"/>
      <c r="B1208" s="216"/>
      <c r="C1208" s="157"/>
      <c r="D1208" s="216"/>
      <c r="E1208" s="216"/>
      <c r="F1208" s="216"/>
      <c r="G1208" s="216"/>
    </row>
    <row r="1209">
      <c r="A1209" s="157"/>
      <c r="B1209" s="216"/>
      <c r="C1209" s="157"/>
      <c r="D1209" s="216"/>
      <c r="E1209" s="216"/>
      <c r="F1209" s="216"/>
      <c r="G1209" s="216"/>
    </row>
    <row r="1210">
      <c r="A1210" s="157"/>
      <c r="B1210" s="216"/>
      <c r="C1210" s="157"/>
      <c r="D1210" s="216"/>
      <c r="E1210" s="216"/>
      <c r="F1210" s="216"/>
      <c r="G1210" s="216"/>
    </row>
    <row r="1211">
      <c r="A1211" s="157"/>
      <c r="B1211" s="216"/>
      <c r="C1211" s="157"/>
      <c r="D1211" s="216"/>
      <c r="E1211" s="216"/>
      <c r="F1211" s="216"/>
      <c r="G1211" s="216"/>
    </row>
    <row r="1212">
      <c r="A1212" s="157"/>
      <c r="B1212" s="216"/>
      <c r="C1212" s="157"/>
      <c r="D1212" s="216"/>
      <c r="E1212" s="216"/>
      <c r="F1212" s="216"/>
      <c r="G1212" s="216"/>
    </row>
    <row r="1213">
      <c r="A1213" s="157"/>
      <c r="B1213" s="216"/>
      <c r="C1213" s="157"/>
      <c r="D1213" s="216"/>
      <c r="E1213" s="216"/>
      <c r="F1213" s="216"/>
      <c r="G1213" s="216"/>
    </row>
    <row r="1214">
      <c r="A1214" s="157"/>
      <c r="B1214" s="216"/>
      <c r="C1214" s="157"/>
      <c r="D1214" s="216"/>
      <c r="E1214" s="216"/>
      <c r="F1214" s="216"/>
      <c r="G1214" s="216"/>
    </row>
    <row r="1215">
      <c r="A1215" s="157"/>
      <c r="B1215" s="216"/>
      <c r="C1215" s="157"/>
      <c r="D1215" s="216"/>
      <c r="E1215" s="216"/>
      <c r="F1215" s="216"/>
      <c r="G1215" s="216"/>
    </row>
    <row r="1216">
      <c r="A1216" s="157"/>
      <c r="B1216" s="216"/>
      <c r="C1216" s="157"/>
      <c r="D1216" s="216"/>
      <c r="E1216" s="216"/>
      <c r="F1216" s="216"/>
      <c r="G1216" s="216"/>
    </row>
    <row r="1217">
      <c r="A1217" s="157"/>
      <c r="B1217" s="216"/>
      <c r="C1217" s="157"/>
      <c r="D1217" s="216"/>
      <c r="E1217" s="216"/>
      <c r="F1217" s="216"/>
      <c r="G1217" s="216"/>
    </row>
    <row r="1218">
      <c r="A1218" s="157"/>
      <c r="B1218" s="216"/>
      <c r="C1218" s="157"/>
      <c r="D1218" s="216"/>
      <c r="E1218" s="216"/>
      <c r="F1218" s="216"/>
      <c r="G1218" s="216"/>
    </row>
    <row r="1219">
      <c r="A1219" s="157"/>
      <c r="B1219" s="216"/>
      <c r="C1219" s="157"/>
      <c r="D1219" s="216"/>
      <c r="E1219" s="216"/>
      <c r="F1219" s="216"/>
      <c r="G1219" s="216"/>
    </row>
    <row r="1220">
      <c r="A1220" s="157"/>
      <c r="B1220" s="216"/>
      <c r="C1220" s="157"/>
      <c r="D1220" s="216"/>
      <c r="E1220" s="216"/>
      <c r="F1220" s="216"/>
      <c r="G1220" s="216"/>
    </row>
    <row r="1221">
      <c r="A1221" s="157"/>
      <c r="B1221" s="216"/>
      <c r="C1221" s="157"/>
      <c r="D1221" s="216"/>
      <c r="E1221" s="216"/>
      <c r="F1221" s="216"/>
      <c r="G1221" s="216"/>
    </row>
    <row r="1222">
      <c r="A1222" s="157"/>
      <c r="B1222" s="216"/>
      <c r="C1222" s="157"/>
      <c r="D1222" s="216"/>
      <c r="E1222" s="216"/>
      <c r="F1222" s="216"/>
      <c r="G1222" s="216"/>
    </row>
    <row r="1223">
      <c r="A1223" s="157"/>
      <c r="B1223" s="216"/>
      <c r="C1223" s="157"/>
      <c r="D1223" s="216"/>
      <c r="E1223" s="216"/>
      <c r="F1223" s="216"/>
      <c r="G1223" s="216"/>
    </row>
    <row r="1224">
      <c r="A1224" s="157"/>
      <c r="B1224" s="216"/>
      <c r="C1224" s="157"/>
      <c r="D1224" s="216"/>
      <c r="E1224" s="216"/>
      <c r="F1224" s="216"/>
      <c r="G1224" s="216"/>
    </row>
    <row r="1225">
      <c r="A1225" s="157"/>
      <c r="B1225" s="216"/>
      <c r="C1225" s="157"/>
      <c r="D1225" s="216"/>
      <c r="E1225" s="216"/>
      <c r="F1225" s="216"/>
      <c r="G1225" s="216"/>
    </row>
    <row r="1226">
      <c r="A1226" s="157"/>
      <c r="B1226" s="216"/>
      <c r="C1226" s="157"/>
      <c r="D1226" s="216"/>
      <c r="E1226" s="216"/>
      <c r="F1226" s="216"/>
      <c r="G1226" s="216"/>
    </row>
    <row r="1227">
      <c r="A1227" s="157"/>
      <c r="B1227" s="216"/>
      <c r="C1227" s="157"/>
      <c r="D1227" s="216"/>
      <c r="E1227" s="216"/>
      <c r="F1227" s="216"/>
      <c r="G1227" s="216"/>
    </row>
    <row r="1228">
      <c r="A1228" s="157"/>
      <c r="B1228" s="216"/>
      <c r="C1228" s="157"/>
      <c r="D1228" s="216"/>
      <c r="E1228" s="216"/>
      <c r="F1228" s="216"/>
      <c r="G1228" s="216"/>
    </row>
    <row r="1229">
      <c r="A1229" s="157"/>
      <c r="B1229" s="216"/>
      <c r="C1229" s="157"/>
      <c r="D1229" s="216"/>
      <c r="E1229" s="216"/>
      <c r="F1229" s="216"/>
      <c r="G1229" s="216"/>
    </row>
    <row r="1230">
      <c r="A1230" s="157"/>
      <c r="B1230" s="216"/>
      <c r="C1230" s="157"/>
      <c r="D1230" s="216"/>
      <c r="E1230" s="216"/>
      <c r="F1230" s="216"/>
      <c r="G1230" s="216"/>
    </row>
    <row r="1231">
      <c r="A1231" s="157"/>
      <c r="B1231" s="216"/>
      <c r="C1231" s="157"/>
      <c r="D1231" s="216"/>
      <c r="E1231" s="216"/>
      <c r="F1231" s="216"/>
      <c r="G1231" s="216"/>
    </row>
    <row r="1232">
      <c r="A1232" s="157"/>
      <c r="B1232" s="216"/>
      <c r="C1232" s="157"/>
      <c r="D1232" s="216"/>
      <c r="E1232" s="216"/>
      <c r="F1232" s="216"/>
      <c r="G1232" s="216"/>
    </row>
    <row r="1233">
      <c r="A1233" s="157"/>
      <c r="B1233" s="216"/>
      <c r="C1233" s="157"/>
      <c r="D1233" s="216"/>
      <c r="E1233" s="216"/>
      <c r="F1233" s="216"/>
      <c r="G1233" s="216"/>
    </row>
    <row r="1234">
      <c r="A1234" s="157"/>
      <c r="B1234" s="216"/>
      <c r="C1234" s="157"/>
      <c r="D1234" s="216"/>
      <c r="E1234" s="216"/>
      <c r="F1234" s="216"/>
      <c r="G1234" s="216"/>
    </row>
    <row r="1235">
      <c r="A1235" s="157"/>
      <c r="B1235" s="216"/>
      <c r="C1235" s="157"/>
      <c r="D1235" s="216"/>
      <c r="E1235" s="216"/>
      <c r="F1235" s="216"/>
      <c r="G1235" s="216"/>
    </row>
    <row r="1236">
      <c r="A1236" s="157"/>
      <c r="B1236" s="216"/>
      <c r="C1236" s="157"/>
      <c r="D1236" s="216"/>
      <c r="E1236" s="216"/>
      <c r="F1236" s="216"/>
      <c r="G1236" s="216"/>
    </row>
    <row r="1237">
      <c r="A1237" s="157"/>
      <c r="B1237" s="216"/>
      <c r="C1237" s="157"/>
      <c r="D1237" s="216"/>
      <c r="E1237" s="216"/>
      <c r="F1237" s="216"/>
      <c r="G1237" s="216"/>
    </row>
    <row r="1238">
      <c r="A1238" s="157"/>
      <c r="B1238" s="216"/>
      <c r="C1238" s="157"/>
      <c r="D1238" s="216"/>
      <c r="E1238" s="216"/>
      <c r="F1238" s="216"/>
      <c r="G1238" s="216"/>
    </row>
    <row r="1239">
      <c r="A1239" s="157"/>
      <c r="B1239" s="216"/>
      <c r="C1239" s="157"/>
      <c r="D1239" s="216"/>
      <c r="E1239" s="216"/>
      <c r="F1239" s="216"/>
      <c r="G1239" s="216"/>
    </row>
    <row r="1240">
      <c r="A1240" s="157"/>
      <c r="B1240" s="216"/>
      <c r="C1240" s="157"/>
      <c r="D1240" s="216"/>
      <c r="E1240" s="216"/>
      <c r="F1240" s="216"/>
      <c r="G1240" s="216"/>
    </row>
    <row r="1241">
      <c r="A1241" s="157"/>
      <c r="B1241" s="216"/>
      <c r="C1241" s="157"/>
      <c r="D1241" s="216"/>
      <c r="E1241" s="216"/>
      <c r="F1241" s="216"/>
      <c r="G1241" s="216"/>
    </row>
    <row r="1242">
      <c r="A1242" s="157"/>
      <c r="B1242" s="216"/>
      <c r="C1242" s="157"/>
      <c r="D1242" s="216"/>
      <c r="E1242" s="216"/>
      <c r="F1242" s="216"/>
      <c r="G1242" s="216"/>
    </row>
    <row r="1243">
      <c r="A1243" s="157"/>
      <c r="B1243" s="216"/>
      <c r="C1243" s="157"/>
      <c r="D1243" s="216"/>
      <c r="E1243" s="216"/>
      <c r="F1243" s="216"/>
      <c r="G1243" s="216"/>
    </row>
    <row r="1244">
      <c r="A1244" s="157"/>
      <c r="B1244" s="216"/>
      <c r="C1244" s="157"/>
      <c r="D1244" s="216"/>
      <c r="E1244" s="216"/>
      <c r="F1244" s="216"/>
      <c r="G1244" s="216"/>
    </row>
    <row r="1245">
      <c r="A1245" s="157"/>
      <c r="B1245" s="216"/>
      <c r="C1245" s="157"/>
      <c r="D1245" s="216"/>
      <c r="E1245" s="216"/>
      <c r="F1245" s="216"/>
      <c r="G1245" s="216"/>
    </row>
    <row r="1246">
      <c r="A1246" s="157"/>
      <c r="B1246" s="216"/>
      <c r="C1246" s="157"/>
      <c r="D1246" s="216"/>
      <c r="E1246" s="216"/>
      <c r="F1246" s="216"/>
      <c r="G1246" s="216"/>
    </row>
    <row r="1247">
      <c r="A1247" s="157"/>
      <c r="B1247" s="216"/>
      <c r="C1247" s="157"/>
      <c r="D1247" s="216"/>
      <c r="E1247" s="216"/>
      <c r="F1247" s="216"/>
      <c r="G1247" s="216"/>
    </row>
    <row r="1248">
      <c r="A1248" s="157"/>
      <c r="B1248" s="216"/>
      <c r="C1248" s="157"/>
      <c r="D1248" s="216"/>
      <c r="E1248" s="216"/>
      <c r="F1248" s="216"/>
      <c r="G1248" s="216"/>
    </row>
    <row r="1249">
      <c r="A1249" s="157"/>
      <c r="B1249" s="216"/>
      <c r="C1249" s="157"/>
      <c r="D1249" s="216"/>
      <c r="E1249" s="216"/>
      <c r="F1249" s="216"/>
      <c r="G1249" s="216"/>
    </row>
    <row r="1250">
      <c r="A1250" s="157"/>
      <c r="B1250" s="216"/>
      <c r="C1250" s="157"/>
      <c r="D1250" s="216"/>
      <c r="E1250" s="216"/>
      <c r="F1250" s="216"/>
      <c r="G1250" s="216"/>
    </row>
    <row r="1251">
      <c r="A1251" s="157"/>
      <c r="B1251" s="216"/>
      <c r="C1251" s="157"/>
      <c r="D1251" s="216"/>
      <c r="E1251" s="216"/>
      <c r="F1251" s="216"/>
      <c r="G1251" s="216"/>
    </row>
    <row r="1252">
      <c r="A1252" s="157"/>
      <c r="B1252" s="216"/>
      <c r="C1252" s="157"/>
      <c r="D1252" s="216"/>
      <c r="E1252" s="216"/>
      <c r="F1252" s="216"/>
      <c r="G1252" s="216"/>
    </row>
    <row r="1253">
      <c r="A1253" s="157"/>
      <c r="B1253" s="216"/>
      <c r="C1253" s="157"/>
      <c r="D1253" s="216"/>
      <c r="E1253" s="216"/>
      <c r="F1253" s="216"/>
      <c r="G1253" s="216"/>
    </row>
    <row r="1254">
      <c r="A1254" s="157"/>
      <c r="B1254" s="216"/>
      <c r="C1254" s="157"/>
      <c r="D1254" s="216"/>
      <c r="E1254" s="216"/>
      <c r="F1254" s="216"/>
      <c r="G1254" s="216"/>
    </row>
    <row r="1255">
      <c r="A1255" s="157"/>
      <c r="B1255" s="216"/>
      <c r="C1255" s="157"/>
      <c r="D1255" s="216"/>
      <c r="E1255" s="216"/>
      <c r="F1255" s="216"/>
      <c r="G1255" s="216"/>
    </row>
    <row r="1256">
      <c r="A1256" s="157"/>
      <c r="B1256" s="216"/>
      <c r="C1256" s="157"/>
      <c r="D1256" s="216"/>
      <c r="E1256" s="216"/>
      <c r="F1256" s="216"/>
      <c r="G1256" s="216"/>
    </row>
    <row r="1257">
      <c r="A1257" s="157"/>
      <c r="B1257" s="216"/>
      <c r="C1257" s="157"/>
      <c r="D1257" s="216"/>
      <c r="E1257" s="216"/>
      <c r="F1257" s="216"/>
      <c r="G1257" s="216"/>
    </row>
    <row r="1258">
      <c r="A1258" s="157"/>
      <c r="B1258" s="216"/>
      <c r="C1258" s="157"/>
      <c r="D1258" s="216"/>
      <c r="E1258" s="216"/>
      <c r="F1258" s="216"/>
      <c r="G1258" s="216"/>
    </row>
    <row r="1259">
      <c r="A1259" s="157"/>
      <c r="B1259" s="216"/>
      <c r="C1259" s="157"/>
      <c r="D1259" s="216"/>
      <c r="E1259" s="216"/>
      <c r="F1259" s="216"/>
      <c r="G1259" s="216"/>
    </row>
    <row r="1260">
      <c r="A1260" s="157"/>
      <c r="B1260" s="216"/>
      <c r="C1260" s="157"/>
      <c r="D1260" s="216"/>
      <c r="E1260" s="216"/>
      <c r="F1260" s="216"/>
      <c r="G1260" s="216"/>
    </row>
    <row r="1261">
      <c r="A1261" s="157"/>
      <c r="B1261" s="216"/>
      <c r="C1261" s="157"/>
      <c r="D1261" s="216"/>
      <c r="E1261" s="216"/>
      <c r="F1261" s="216"/>
      <c r="G1261" s="216"/>
    </row>
    <row r="1262">
      <c r="A1262" s="157"/>
      <c r="B1262" s="216"/>
      <c r="C1262" s="157"/>
      <c r="D1262" s="216"/>
      <c r="E1262" s="216"/>
      <c r="F1262" s="216"/>
      <c r="G1262" s="216"/>
    </row>
    <row r="1263">
      <c r="A1263" s="157"/>
      <c r="B1263" s="216"/>
      <c r="C1263" s="157"/>
      <c r="D1263" s="216"/>
      <c r="E1263" s="216"/>
      <c r="F1263" s="216"/>
      <c r="G1263" s="216"/>
    </row>
    <row r="1264">
      <c r="A1264" s="157"/>
      <c r="B1264" s="216"/>
      <c r="C1264" s="157"/>
      <c r="D1264" s="216"/>
      <c r="E1264" s="216"/>
      <c r="F1264" s="216"/>
      <c r="G1264" s="216"/>
    </row>
    <row r="1265">
      <c r="A1265" s="157"/>
      <c r="B1265" s="216"/>
      <c r="C1265" s="157"/>
      <c r="D1265" s="216"/>
      <c r="E1265" s="216"/>
      <c r="F1265" s="216"/>
      <c r="G1265" s="216"/>
    </row>
    <row r="1266">
      <c r="A1266" s="157"/>
      <c r="B1266" s="216"/>
      <c r="C1266" s="157"/>
      <c r="D1266" s="216"/>
      <c r="E1266" s="216"/>
      <c r="F1266" s="216"/>
      <c r="G1266" s="216"/>
    </row>
    <row r="1267">
      <c r="A1267" s="157"/>
      <c r="B1267" s="216"/>
      <c r="C1267" s="157"/>
      <c r="D1267" s="216"/>
      <c r="E1267" s="216"/>
      <c r="F1267" s="216"/>
      <c r="G1267" s="216"/>
    </row>
    <row r="1268">
      <c r="A1268" s="157"/>
      <c r="B1268" s="216"/>
      <c r="C1268" s="157"/>
      <c r="D1268" s="216"/>
      <c r="E1268" s="216"/>
      <c r="F1268" s="216"/>
      <c r="G1268" s="216"/>
    </row>
    <row r="1269">
      <c r="A1269" s="157"/>
      <c r="B1269" s="216"/>
      <c r="C1269" s="157"/>
      <c r="D1269" s="216"/>
      <c r="E1269" s="216"/>
      <c r="F1269" s="216"/>
      <c r="G1269" s="216"/>
    </row>
    <row r="1270">
      <c r="A1270" s="157"/>
      <c r="B1270" s="216"/>
      <c r="C1270" s="157"/>
      <c r="D1270" s="216"/>
      <c r="E1270" s="216"/>
      <c r="F1270" s="216"/>
      <c r="G1270" s="216"/>
    </row>
    <row r="1271">
      <c r="A1271" s="157"/>
      <c r="B1271" s="216"/>
      <c r="C1271" s="157"/>
      <c r="D1271" s="216"/>
      <c r="E1271" s="216"/>
      <c r="F1271" s="216"/>
      <c r="G1271" s="216"/>
    </row>
    <row r="1272">
      <c r="A1272" s="157"/>
      <c r="B1272" s="216"/>
      <c r="C1272" s="157"/>
      <c r="D1272" s="216"/>
      <c r="E1272" s="216"/>
      <c r="F1272" s="216"/>
      <c r="G1272" s="216"/>
    </row>
    <row r="1273">
      <c r="A1273" s="157"/>
      <c r="B1273" s="216"/>
      <c r="C1273" s="157"/>
      <c r="D1273" s="216"/>
      <c r="E1273" s="216"/>
      <c r="F1273" s="216"/>
      <c r="G1273" s="216"/>
    </row>
    <row r="1274">
      <c r="A1274" s="157"/>
      <c r="B1274" s="216"/>
      <c r="C1274" s="157"/>
      <c r="D1274" s="216"/>
      <c r="E1274" s="216"/>
      <c r="F1274" s="216"/>
      <c r="G1274" s="216"/>
    </row>
    <row r="1275">
      <c r="A1275" s="157"/>
      <c r="B1275" s="216"/>
      <c r="C1275" s="157"/>
      <c r="D1275" s="216"/>
      <c r="E1275" s="216"/>
      <c r="F1275" s="216"/>
      <c r="G1275" s="216"/>
    </row>
    <row r="1276">
      <c r="A1276" s="157"/>
      <c r="B1276" s="216"/>
      <c r="C1276" s="157"/>
      <c r="D1276" s="216"/>
      <c r="E1276" s="216"/>
      <c r="F1276" s="216"/>
      <c r="G1276" s="216"/>
    </row>
    <row r="1277">
      <c r="A1277" s="157"/>
      <c r="B1277" s="216"/>
      <c r="C1277" s="157"/>
      <c r="D1277" s="216"/>
      <c r="E1277" s="216"/>
      <c r="F1277" s="216"/>
      <c r="G1277" s="216"/>
    </row>
    <row r="1278">
      <c r="A1278" s="157"/>
      <c r="B1278" s="216"/>
      <c r="C1278" s="157"/>
      <c r="D1278" s="216"/>
      <c r="E1278" s="216"/>
      <c r="F1278" s="216"/>
      <c r="G1278" s="216"/>
    </row>
    <row r="1279">
      <c r="A1279" s="157"/>
      <c r="B1279" s="216"/>
      <c r="C1279" s="157"/>
      <c r="D1279" s="216"/>
      <c r="E1279" s="216"/>
      <c r="F1279" s="216"/>
      <c r="G1279" s="216"/>
    </row>
    <row r="1280">
      <c r="A1280" s="157"/>
      <c r="B1280" s="216"/>
      <c r="C1280" s="157"/>
      <c r="D1280" s="216"/>
      <c r="E1280" s="216"/>
      <c r="F1280" s="216"/>
      <c r="G1280" s="216"/>
    </row>
    <row r="1281">
      <c r="A1281" s="157"/>
      <c r="B1281" s="216"/>
      <c r="C1281" s="157"/>
      <c r="D1281" s="216"/>
      <c r="E1281" s="216"/>
      <c r="F1281" s="216"/>
      <c r="G1281" s="216"/>
    </row>
    <row r="1282">
      <c r="A1282" s="157"/>
      <c r="B1282" s="216"/>
      <c r="C1282" s="157"/>
      <c r="D1282" s="216"/>
      <c r="E1282" s="216"/>
      <c r="F1282" s="216"/>
      <c r="G1282" s="216"/>
    </row>
    <row r="1283">
      <c r="A1283" s="157"/>
      <c r="B1283" s="216"/>
      <c r="C1283" s="157"/>
      <c r="D1283" s="216"/>
      <c r="E1283" s="216"/>
      <c r="F1283" s="216"/>
      <c r="G1283" s="216"/>
    </row>
    <row r="1284">
      <c r="A1284" s="157"/>
      <c r="B1284" s="216"/>
      <c r="C1284" s="157"/>
      <c r="D1284" s="216"/>
      <c r="E1284" s="216"/>
      <c r="F1284" s="216"/>
      <c r="G1284" s="216"/>
    </row>
    <row r="1285">
      <c r="A1285" s="157"/>
      <c r="B1285" s="216"/>
      <c r="C1285" s="157"/>
      <c r="D1285" s="216"/>
      <c r="E1285" s="216"/>
      <c r="F1285" s="216"/>
      <c r="G1285" s="216"/>
    </row>
    <row r="1286">
      <c r="A1286" s="157"/>
      <c r="B1286" s="216"/>
      <c r="C1286" s="157"/>
      <c r="D1286" s="216"/>
      <c r="E1286" s="216"/>
      <c r="F1286" s="216"/>
      <c r="G1286" s="216"/>
    </row>
    <row r="1287">
      <c r="A1287" s="157"/>
      <c r="B1287" s="216"/>
      <c r="C1287" s="157"/>
      <c r="D1287" s="216"/>
      <c r="E1287" s="216"/>
      <c r="F1287" s="216"/>
      <c r="G1287" s="216"/>
    </row>
    <row r="1288">
      <c r="A1288" s="157"/>
      <c r="B1288" s="216"/>
      <c r="C1288" s="157"/>
      <c r="D1288" s="216"/>
      <c r="E1288" s="216"/>
      <c r="F1288" s="216"/>
      <c r="G1288" s="216"/>
    </row>
    <row r="1289">
      <c r="A1289" s="157"/>
      <c r="B1289" s="216"/>
      <c r="C1289" s="157"/>
      <c r="D1289" s="216"/>
      <c r="E1289" s="216"/>
      <c r="F1289" s="216"/>
      <c r="G1289" s="216"/>
    </row>
    <row r="1290">
      <c r="A1290" s="157"/>
      <c r="B1290" s="216"/>
      <c r="C1290" s="157"/>
      <c r="D1290" s="216"/>
      <c r="E1290" s="216"/>
      <c r="F1290" s="216"/>
      <c r="G1290" s="216"/>
    </row>
    <row r="1291">
      <c r="A1291" s="157"/>
      <c r="B1291" s="216"/>
      <c r="C1291" s="157"/>
      <c r="D1291" s="216"/>
      <c r="E1291" s="216"/>
      <c r="F1291" s="216"/>
      <c r="G1291" s="216"/>
    </row>
    <row r="1292">
      <c r="A1292" s="157"/>
      <c r="B1292" s="216"/>
      <c r="C1292" s="157"/>
      <c r="D1292" s="216"/>
      <c r="E1292" s="216"/>
      <c r="F1292" s="216"/>
      <c r="G1292" s="216"/>
    </row>
    <row r="1293">
      <c r="A1293" s="157"/>
      <c r="B1293" s="216"/>
      <c r="C1293" s="157"/>
      <c r="D1293" s="216"/>
      <c r="E1293" s="216"/>
      <c r="F1293" s="216"/>
      <c r="G1293" s="216"/>
    </row>
    <row r="1294">
      <c r="A1294" s="157"/>
      <c r="B1294" s="216"/>
      <c r="C1294" s="157"/>
      <c r="D1294" s="216"/>
      <c r="E1294" s="216"/>
      <c r="F1294" s="216"/>
      <c r="G1294" s="216"/>
    </row>
    <row r="1295">
      <c r="A1295" s="157"/>
      <c r="B1295" s="216"/>
      <c r="C1295" s="157"/>
      <c r="D1295" s="216"/>
      <c r="E1295" s="216"/>
      <c r="F1295" s="216"/>
      <c r="G1295" s="216"/>
    </row>
    <row r="1296">
      <c r="A1296" s="157"/>
      <c r="B1296" s="216"/>
      <c r="C1296" s="157"/>
      <c r="D1296" s="216"/>
      <c r="E1296" s="216"/>
      <c r="F1296" s="216"/>
      <c r="G1296" s="216"/>
    </row>
    <row r="1297">
      <c r="A1297" s="157"/>
      <c r="B1297" s="216"/>
      <c r="C1297" s="157"/>
      <c r="D1297" s="216"/>
      <c r="E1297" s="216"/>
      <c r="F1297" s="216"/>
      <c r="G1297" s="216"/>
    </row>
    <row r="1298">
      <c r="A1298" s="157"/>
      <c r="B1298" s="216"/>
      <c r="C1298" s="157"/>
      <c r="D1298" s="216"/>
      <c r="E1298" s="216"/>
      <c r="F1298" s="216"/>
      <c r="G1298" s="216"/>
    </row>
    <row r="1299">
      <c r="A1299" s="157"/>
      <c r="B1299" s="216"/>
      <c r="C1299" s="157"/>
      <c r="D1299" s="216"/>
      <c r="E1299" s="216"/>
      <c r="F1299" s="216"/>
      <c r="G1299" s="216"/>
    </row>
    <row r="1300">
      <c r="A1300" s="157"/>
      <c r="B1300" s="216"/>
      <c r="C1300" s="157"/>
      <c r="D1300" s="216"/>
      <c r="E1300" s="216"/>
      <c r="F1300" s="216"/>
      <c r="G1300" s="216"/>
    </row>
    <row r="1301">
      <c r="A1301" s="157"/>
      <c r="B1301" s="216"/>
      <c r="C1301" s="157"/>
      <c r="D1301" s="216"/>
      <c r="E1301" s="216"/>
      <c r="F1301" s="216"/>
      <c r="G1301" s="216"/>
    </row>
    <row r="1302">
      <c r="A1302" s="157"/>
      <c r="B1302" s="216"/>
      <c r="C1302" s="157"/>
      <c r="D1302" s="216"/>
      <c r="E1302" s="216"/>
      <c r="F1302" s="216"/>
      <c r="G1302" s="216"/>
    </row>
    <row r="1303">
      <c r="A1303" s="157"/>
      <c r="B1303" s="216"/>
      <c r="C1303" s="157"/>
      <c r="D1303" s="216"/>
      <c r="E1303" s="216"/>
      <c r="F1303" s="216"/>
      <c r="G1303" s="216"/>
    </row>
    <row r="1304">
      <c r="A1304" s="157"/>
      <c r="B1304" s="216"/>
      <c r="C1304" s="157"/>
      <c r="D1304" s="216"/>
      <c r="E1304" s="216"/>
      <c r="F1304" s="216"/>
      <c r="G1304" s="216"/>
    </row>
    <row r="1305">
      <c r="A1305" s="157"/>
      <c r="B1305" s="216"/>
      <c r="C1305" s="157"/>
      <c r="D1305" s="216"/>
      <c r="E1305" s="216"/>
      <c r="F1305" s="216"/>
      <c r="G1305" s="216"/>
    </row>
    <row r="1306">
      <c r="A1306" s="157"/>
      <c r="B1306" s="216"/>
      <c r="C1306" s="157"/>
      <c r="D1306" s="216"/>
      <c r="E1306" s="216"/>
      <c r="F1306" s="216"/>
      <c r="G1306" s="216"/>
    </row>
    <row r="1307">
      <c r="A1307" s="157"/>
      <c r="B1307" s="216"/>
      <c r="C1307" s="157"/>
      <c r="D1307" s="216"/>
      <c r="E1307" s="216"/>
      <c r="F1307" s="216"/>
      <c r="G1307" s="216"/>
    </row>
    <row r="1308">
      <c r="A1308" s="157"/>
      <c r="B1308" s="216"/>
      <c r="C1308" s="157"/>
      <c r="D1308" s="216"/>
      <c r="E1308" s="216"/>
      <c r="F1308" s="216"/>
      <c r="G1308" s="216"/>
    </row>
    <row r="1309">
      <c r="A1309" s="157"/>
      <c r="B1309" s="216"/>
      <c r="C1309" s="157"/>
      <c r="D1309" s="216"/>
      <c r="E1309" s="216"/>
      <c r="F1309" s="216"/>
      <c r="G1309" s="216"/>
    </row>
    <row r="1310">
      <c r="A1310" s="157"/>
      <c r="B1310" s="216"/>
      <c r="C1310" s="157"/>
      <c r="D1310" s="216"/>
      <c r="E1310" s="216"/>
      <c r="F1310" s="216"/>
      <c r="G1310" s="216"/>
    </row>
    <row r="1311">
      <c r="A1311" s="157"/>
      <c r="B1311" s="216"/>
      <c r="C1311" s="157"/>
      <c r="D1311" s="216"/>
      <c r="E1311" s="216"/>
      <c r="F1311" s="216"/>
      <c r="G1311" s="216"/>
    </row>
    <row r="1312">
      <c r="A1312" s="157"/>
      <c r="B1312" s="216"/>
      <c r="C1312" s="157"/>
      <c r="D1312" s="216"/>
      <c r="E1312" s="216"/>
      <c r="F1312" s="216"/>
      <c r="G1312" s="216"/>
    </row>
    <row r="1313">
      <c r="A1313" s="157"/>
      <c r="B1313" s="216"/>
      <c r="C1313" s="157"/>
      <c r="D1313" s="216"/>
      <c r="E1313" s="216"/>
      <c r="F1313" s="216"/>
      <c r="G1313" s="216"/>
    </row>
    <row r="1314">
      <c r="A1314" s="157"/>
      <c r="B1314" s="216"/>
      <c r="C1314" s="157"/>
      <c r="D1314" s="216"/>
      <c r="E1314" s="216"/>
      <c r="F1314" s="216"/>
      <c r="G1314" s="216"/>
    </row>
    <row r="1315">
      <c r="A1315" s="157"/>
      <c r="B1315" s="216"/>
      <c r="C1315" s="157"/>
      <c r="D1315" s="216"/>
      <c r="E1315" s="216"/>
      <c r="F1315" s="216"/>
      <c r="G1315" s="216"/>
    </row>
    <row r="1316">
      <c r="A1316" s="157"/>
      <c r="B1316" s="216"/>
      <c r="C1316" s="157"/>
      <c r="D1316" s="216"/>
      <c r="E1316" s="216"/>
      <c r="F1316" s="216"/>
      <c r="G1316" s="216"/>
    </row>
    <row r="1317">
      <c r="A1317" s="157"/>
      <c r="B1317" s="216"/>
      <c r="C1317" s="157"/>
      <c r="D1317" s="216"/>
      <c r="E1317" s="216"/>
      <c r="F1317" s="216"/>
      <c r="G1317" s="216"/>
    </row>
    <row r="1318">
      <c r="A1318" s="157"/>
      <c r="B1318" s="216"/>
      <c r="C1318" s="157"/>
      <c r="D1318" s="216"/>
      <c r="E1318" s="216"/>
      <c r="F1318" s="216"/>
      <c r="G1318" s="216"/>
    </row>
    <row r="1319">
      <c r="A1319" s="157"/>
      <c r="B1319" s="216"/>
      <c r="C1319" s="157"/>
      <c r="D1319" s="216"/>
      <c r="E1319" s="216"/>
      <c r="F1319" s="216"/>
      <c r="G1319" s="216"/>
    </row>
    <row r="1320">
      <c r="A1320" s="157"/>
      <c r="B1320" s="216"/>
      <c r="C1320" s="157"/>
      <c r="D1320" s="216"/>
      <c r="E1320" s="216"/>
      <c r="F1320" s="216"/>
      <c r="G1320" s="216"/>
    </row>
    <row r="1321">
      <c r="A1321" s="157"/>
      <c r="B1321" s="216"/>
      <c r="C1321" s="157"/>
      <c r="D1321" s="216"/>
      <c r="E1321" s="216"/>
      <c r="F1321" s="216"/>
      <c r="G1321" s="216"/>
    </row>
    <row r="1322">
      <c r="A1322" s="157"/>
      <c r="B1322" s="216"/>
      <c r="C1322" s="157"/>
      <c r="D1322" s="216"/>
      <c r="E1322" s="216"/>
      <c r="F1322" s="216"/>
      <c r="G1322" s="216"/>
    </row>
    <row r="1323">
      <c r="A1323" s="157"/>
      <c r="B1323" s="216"/>
      <c r="C1323" s="157"/>
      <c r="D1323" s="216"/>
      <c r="E1323" s="216"/>
      <c r="F1323" s="216"/>
      <c r="G1323" s="216"/>
    </row>
    <row r="1324">
      <c r="A1324" s="157"/>
      <c r="B1324" s="216"/>
      <c r="C1324" s="157"/>
      <c r="D1324" s="216"/>
      <c r="E1324" s="216"/>
      <c r="F1324" s="216"/>
      <c r="G1324" s="216"/>
    </row>
    <row r="1325">
      <c r="A1325" s="157"/>
      <c r="B1325" s="216"/>
      <c r="C1325" s="157"/>
      <c r="D1325" s="216"/>
      <c r="E1325" s="216"/>
      <c r="F1325" s="216"/>
      <c r="G1325" s="216"/>
    </row>
    <row r="1326">
      <c r="A1326" s="157"/>
      <c r="B1326" s="216"/>
      <c r="C1326" s="157"/>
      <c r="D1326" s="216"/>
      <c r="E1326" s="216"/>
      <c r="F1326" s="216"/>
      <c r="G1326" s="216"/>
    </row>
    <row r="1327">
      <c r="A1327" s="157"/>
      <c r="B1327" s="216"/>
      <c r="C1327" s="157"/>
      <c r="D1327" s="216"/>
      <c r="E1327" s="216"/>
      <c r="F1327" s="216"/>
      <c r="G1327" s="216"/>
    </row>
    <row r="1328">
      <c r="A1328" s="157"/>
      <c r="B1328" s="216"/>
      <c r="C1328" s="157"/>
      <c r="D1328" s="216"/>
      <c r="E1328" s="216"/>
      <c r="F1328" s="216"/>
      <c r="G1328" s="216"/>
    </row>
    <row r="1329">
      <c r="A1329" s="157"/>
      <c r="B1329" s="216"/>
      <c r="C1329" s="157"/>
      <c r="D1329" s="216"/>
      <c r="E1329" s="216"/>
      <c r="F1329" s="216"/>
      <c r="G1329" s="216"/>
    </row>
    <row r="1330">
      <c r="A1330" s="157"/>
      <c r="B1330" s="216"/>
      <c r="C1330" s="157"/>
      <c r="D1330" s="216"/>
      <c r="E1330" s="216"/>
      <c r="F1330" s="216"/>
      <c r="G1330" s="216"/>
    </row>
    <row r="1331">
      <c r="A1331" s="157"/>
      <c r="B1331" s="216"/>
      <c r="C1331" s="157"/>
      <c r="D1331" s="216"/>
      <c r="E1331" s="216"/>
      <c r="F1331" s="216"/>
      <c r="G1331" s="216"/>
    </row>
    <row r="1332">
      <c r="A1332" s="157"/>
      <c r="B1332" s="216"/>
      <c r="C1332" s="157"/>
      <c r="D1332" s="216"/>
      <c r="E1332" s="216"/>
      <c r="F1332" s="216"/>
      <c r="G1332" s="216"/>
    </row>
    <row r="1333">
      <c r="A1333" s="157"/>
      <c r="B1333" s="216"/>
      <c r="C1333" s="157"/>
      <c r="D1333" s="216"/>
      <c r="E1333" s="216"/>
      <c r="F1333" s="216"/>
      <c r="G1333" s="216"/>
    </row>
    <row r="1334">
      <c r="A1334" s="157"/>
      <c r="B1334" s="216"/>
      <c r="C1334" s="157"/>
      <c r="D1334" s="216"/>
      <c r="E1334" s="216"/>
      <c r="F1334" s="216"/>
      <c r="G1334" s="216"/>
    </row>
    <row r="1335">
      <c r="A1335" s="157"/>
      <c r="B1335" s="216"/>
      <c r="C1335" s="157"/>
      <c r="D1335" s="216"/>
      <c r="E1335" s="216"/>
      <c r="F1335" s="216"/>
      <c r="G1335" s="216"/>
    </row>
    <row r="1336">
      <c r="A1336" s="157"/>
      <c r="B1336" s="216"/>
      <c r="C1336" s="157"/>
      <c r="D1336" s="216"/>
      <c r="E1336" s="216"/>
      <c r="F1336" s="216"/>
      <c r="G1336" s="216"/>
    </row>
    <row r="1337">
      <c r="A1337" s="157"/>
      <c r="B1337" s="216"/>
      <c r="C1337" s="157"/>
      <c r="D1337" s="216"/>
      <c r="E1337" s="216"/>
      <c r="F1337" s="216"/>
      <c r="G1337" s="216"/>
    </row>
    <row r="1338">
      <c r="A1338" s="157"/>
      <c r="B1338" s="216"/>
      <c r="C1338" s="157"/>
      <c r="D1338" s="216"/>
      <c r="E1338" s="216"/>
      <c r="F1338" s="216"/>
      <c r="G1338" s="216"/>
    </row>
    <row r="1339">
      <c r="A1339" s="157"/>
      <c r="B1339" s="216"/>
      <c r="C1339" s="157"/>
      <c r="D1339" s="216"/>
      <c r="E1339" s="216"/>
      <c r="F1339" s="216"/>
      <c r="G1339" s="216"/>
    </row>
    <row r="1340">
      <c r="A1340" s="157"/>
      <c r="B1340" s="216"/>
      <c r="C1340" s="157"/>
      <c r="D1340" s="216"/>
      <c r="E1340" s="216"/>
      <c r="F1340" s="216"/>
      <c r="G1340" s="216"/>
    </row>
    <row r="1341">
      <c r="A1341" s="157"/>
      <c r="B1341" s="216"/>
      <c r="C1341" s="157"/>
      <c r="D1341" s="216"/>
      <c r="E1341" s="216"/>
      <c r="F1341" s="216"/>
      <c r="G1341" s="216"/>
    </row>
    <row r="1342">
      <c r="A1342" s="157"/>
      <c r="B1342" s="216"/>
      <c r="C1342" s="157"/>
      <c r="D1342" s="216"/>
      <c r="E1342" s="216"/>
      <c r="F1342" s="216"/>
      <c r="G1342" s="216"/>
    </row>
    <row r="1343">
      <c r="A1343" s="157"/>
      <c r="B1343" s="216"/>
      <c r="C1343" s="157"/>
      <c r="D1343" s="216"/>
      <c r="E1343" s="216"/>
      <c r="F1343" s="216"/>
      <c r="G1343" s="216"/>
    </row>
    <row r="1344">
      <c r="A1344" s="157"/>
      <c r="B1344" s="216"/>
      <c r="C1344" s="157"/>
      <c r="D1344" s="216"/>
      <c r="E1344" s="216"/>
      <c r="F1344" s="216"/>
      <c r="G1344" s="216"/>
    </row>
    <row r="1345">
      <c r="A1345" s="157"/>
      <c r="B1345" s="216"/>
      <c r="C1345" s="157"/>
      <c r="D1345" s="216"/>
      <c r="E1345" s="216"/>
      <c r="F1345" s="216"/>
      <c r="G1345" s="216"/>
    </row>
    <row r="1346">
      <c r="A1346" s="157"/>
      <c r="B1346" s="216"/>
      <c r="C1346" s="157"/>
      <c r="D1346" s="216"/>
      <c r="E1346" s="216"/>
      <c r="F1346" s="216"/>
      <c r="G1346" s="216"/>
    </row>
    <row r="1347">
      <c r="A1347" s="157"/>
      <c r="B1347" s="216"/>
      <c r="C1347" s="157"/>
      <c r="D1347" s="216"/>
      <c r="E1347" s="216"/>
      <c r="F1347" s="216"/>
      <c r="G1347" s="216"/>
    </row>
    <row r="1348">
      <c r="A1348" s="157"/>
      <c r="B1348" s="216"/>
      <c r="C1348" s="157"/>
      <c r="D1348" s="216"/>
      <c r="E1348" s="216"/>
      <c r="F1348" s="216"/>
      <c r="G1348" s="216"/>
    </row>
    <row r="1349">
      <c r="A1349" s="157"/>
      <c r="B1349" s="216"/>
      <c r="C1349" s="157"/>
      <c r="D1349" s="216"/>
      <c r="E1349" s="216"/>
      <c r="F1349" s="216"/>
      <c r="G1349" s="216"/>
    </row>
    <row r="1350">
      <c r="A1350" s="157"/>
      <c r="B1350" s="216"/>
      <c r="C1350" s="157"/>
      <c r="D1350" s="216"/>
      <c r="E1350" s="216"/>
      <c r="F1350" s="216"/>
      <c r="G1350" s="216"/>
    </row>
    <row r="1351">
      <c r="A1351" s="157"/>
      <c r="B1351" s="216"/>
      <c r="C1351" s="157"/>
      <c r="D1351" s="216"/>
      <c r="E1351" s="216"/>
      <c r="F1351" s="216"/>
      <c r="G1351" s="216"/>
    </row>
    <row r="1352">
      <c r="A1352" s="157"/>
      <c r="B1352" s="216"/>
      <c r="C1352" s="157"/>
      <c r="D1352" s="216"/>
      <c r="E1352" s="216"/>
      <c r="F1352" s="216"/>
      <c r="G1352" s="216"/>
    </row>
    <row r="1353">
      <c r="A1353" s="157"/>
      <c r="B1353" s="216"/>
      <c r="C1353" s="157"/>
      <c r="D1353" s="216"/>
      <c r="E1353" s="216"/>
      <c r="F1353" s="216"/>
      <c r="G1353" s="216"/>
    </row>
    <row r="1354">
      <c r="A1354" s="157"/>
      <c r="B1354" s="216"/>
      <c r="C1354" s="157"/>
      <c r="D1354" s="216"/>
      <c r="E1354" s="216"/>
      <c r="F1354" s="216"/>
      <c r="G1354" s="216"/>
    </row>
    <row r="1355">
      <c r="A1355" s="157"/>
      <c r="B1355" s="216"/>
      <c r="C1355" s="157"/>
      <c r="D1355" s="216"/>
      <c r="E1355" s="216"/>
      <c r="F1355" s="216"/>
      <c r="G1355" s="216"/>
    </row>
    <row r="1356">
      <c r="A1356" s="157"/>
      <c r="B1356" s="216"/>
      <c r="C1356" s="157"/>
      <c r="D1356" s="216"/>
      <c r="E1356" s="216"/>
      <c r="F1356" s="216"/>
      <c r="G1356" s="216"/>
    </row>
    <row r="1357">
      <c r="A1357" s="157"/>
      <c r="B1357" s="216"/>
      <c r="C1357" s="157"/>
      <c r="D1357" s="216"/>
      <c r="E1357" s="216"/>
      <c r="F1357" s="216"/>
      <c r="G1357" s="216"/>
    </row>
    <row r="1358">
      <c r="A1358" s="157"/>
      <c r="B1358" s="216"/>
      <c r="C1358" s="157"/>
      <c r="D1358" s="216"/>
      <c r="E1358" s="216"/>
      <c r="F1358" s="216"/>
      <c r="G1358" s="216"/>
    </row>
    <row r="1359">
      <c r="A1359" s="157"/>
      <c r="B1359" s="216"/>
      <c r="C1359" s="157"/>
      <c r="D1359" s="216"/>
      <c r="E1359" s="216"/>
      <c r="F1359" s="216"/>
      <c r="G1359" s="216"/>
    </row>
    <row r="1360">
      <c r="A1360" s="157"/>
      <c r="B1360" s="216"/>
      <c r="C1360" s="157"/>
      <c r="D1360" s="216"/>
      <c r="E1360" s="216"/>
      <c r="F1360" s="216"/>
      <c r="G1360" s="216"/>
    </row>
    <row r="1361">
      <c r="A1361" s="157"/>
      <c r="B1361" s="216"/>
      <c r="C1361" s="157"/>
      <c r="D1361" s="216"/>
      <c r="E1361" s="216"/>
      <c r="F1361" s="216"/>
      <c r="G1361" s="216"/>
    </row>
    <row r="1362">
      <c r="A1362" s="157"/>
      <c r="B1362" s="216"/>
      <c r="C1362" s="157"/>
      <c r="D1362" s="216"/>
      <c r="E1362" s="216"/>
      <c r="F1362" s="216"/>
      <c r="G1362" s="216"/>
    </row>
    <row r="1363">
      <c r="A1363" s="157"/>
      <c r="B1363" s="216"/>
      <c r="C1363" s="157"/>
      <c r="D1363" s="216"/>
      <c r="E1363" s="216"/>
      <c r="F1363" s="216"/>
      <c r="G1363" s="216"/>
    </row>
    <row r="1364">
      <c r="A1364" s="157"/>
      <c r="B1364" s="216"/>
      <c r="C1364" s="157"/>
      <c r="D1364" s="216"/>
      <c r="E1364" s="216"/>
      <c r="F1364" s="216"/>
      <c r="G1364" s="216"/>
    </row>
    <row r="1365">
      <c r="A1365" s="157"/>
      <c r="B1365" s="216"/>
      <c r="C1365" s="157"/>
      <c r="D1365" s="216"/>
      <c r="E1365" s="216"/>
      <c r="F1365" s="216"/>
      <c r="G1365" s="216"/>
    </row>
    <row r="1366">
      <c r="A1366" s="157"/>
      <c r="B1366" s="216"/>
      <c r="C1366" s="157"/>
      <c r="D1366" s="216"/>
      <c r="E1366" s="216"/>
      <c r="F1366" s="216"/>
      <c r="G1366" s="216"/>
    </row>
    <row r="1367">
      <c r="A1367" s="157"/>
      <c r="B1367" s="216"/>
      <c r="C1367" s="157"/>
      <c r="D1367" s="216"/>
      <c r="E1367" s="216"/>
      <c r="F1367" s="216"/>
      <c r="G1367" s="216"/>
    </row>
    <row r="1368">
      <c r="A1368" s="157"/>
      <c r="B1368" s="216"/>
      <c r="C1368" s="157"/>
      <c r="D1368" s="216"/>
      <c r="E1368" s="216"/>
      <c r="F1368" s="216"/>
      <c r="G1368" s="216"/>
    </row>
    <row r="1369">
      <c r="A1369" s="157"/>
      <c r="B1369" s="216"/>
      <c r="C1369" s="157"/>
      <c r="D1369" s="216"/>
      <c r="E1369" s="216"/>
      <c r="F1369" s="216"/>
      <c r="G1369" s="216"/>
    </row>
    <row r="1370">
      <c r="A1370" s="157"/>
      <c r="B1370" s="216"/>
      <c r="C1370" s="157"/>
      <c r="D1370" s="216"/>
      <c r="E1370" s="216"/>
      <c r="F1370" s="216"/>
      <c r="G1370" s="216"/>
    </row>
    <row r="1371">
      <c r="A1371" s="157"/>
      <c r="B1371" s="216"/>
      <c r="C1371" s="157"/>
      <c r="D1371" s="216"/>
      <c r="E1371" s="216"/>
      <c r="F1371" s="216"/>
      <c r="G1371" s="216"/>
    </row>
    <row r="1372">
      <c r="A1372" s="157"/>
      <c r="B1372" s="216"/>
      <c r="C1372" s="157"/>
      <c r="D1372" s="216"/>
      <c r="E1372" s="216"/>
      <c r="F1372" s="216"/>
      <c r="G1372" s="216"/>
    </row>
    <row r="1373">
      <c r="A1373" s="157"/>
      <c r="B1373" s="216"/>
      <c r="C1373" s="157"/>
      <c r="D1373" s="216"/>
      <c r="E1373" s="216"/>
      <c r="F1373" s="216"/>
      <c r="G1373" s="216"/>
    </row>
    <row r="1374">
      <c r="A1374" s="157"/>
      <c r="B1374" s="216"/>
      <c r="C1374" s="157"/>
      <c r="D1374" s="216"/>
      <c r="E1374" s="216"/>
      <c r="F1374" s="216"/>
      <c r="G1374" s="216"/>
    </row>
    <row r="1375">
      <c r="A1375" s="157"/>
      <c r="B1375" s="216"/>
      <c r="C1375" s="157"/>
      <c r="D1375" s="216"/>
      <c r="E1375" s="216"/>
      <c r="F1375" s="216"/>
      <c r="G1375" s="216"/>
    </row>
    <row r="1376">
      <c r="A1376" s="157"/>
      <c r="B1376" s="216"/>
      <c r="C1376" s="157"/>
      <c r="D1376" s="216"/>
      <c r="E1376" s="216"/>
      <c r="F1376" s="216"/>
      <c r="G1376" s="216"/>
    </row>
    <row r="1377">
      <c r="A1377" s="157"/>
      <c r="B1377" s="216"/>
      <c r="C1377" s="157"/>
      <c r="D1377" s="216"/>
      <c r="E1377" s="216"/>
      <c r="F1377" s="216"/>
      <c r="G1377" s="216"/>
    </row>
    <row r="1378">
      <c r="A1378" s="157"/>
      <c r="B1378" s="216"/>
      <c r="C1378" s="157"/>
      <c r="D1378" s="216"/>
      <c r="E1378" s="216"/>
      <c r="F1378" s="216"/>
      <c r="G1378" s="216"/>
    </row>
    <row r="1379">
      <c r="A1379" s="157"/>
      <c r="B1379" s="216"/>
      <c r="C1379" s="157"/>
      <c r="D1379" s="216"/>
      <c r="E1379" s="216"/>
      <c r="F1379" s="216"/>
      <c r="G1379" s="216"/>
    </row>
    <row r="1380">
      <c r="A1380" s="157"/>
      <c r="B1380" s="216"/>
      <c r="C1380" s="157"/>
      <c r="D1380" s="216"/>
      <c r="E1380" s="216"/>
      <c r="F1380" s="216"/>
      <c r="G1380" s="216"/>
    </row>
    <row r="1381">
      <c r="A1381" s="157"/>
      <c r="B1381" s="216"/>
      <c r="C1381" s="157"/>
      <c r="D1381" s="216"/>
      <c r="E1381" s="216"/>
      <c r="F1381" s="216"/>
      <c r="G1381" s="216"/>
    </row>
    <row r="1382">
      <c r="A1382" s="157"/>
      <c r="B1382" s="216"/>
      <c r="C1382" s="157"/>
      <c r="D1382" s="216"/>
      <c r="E1382" s="216"/>
      <c r="F1382" s="216"/>
      <c r="G1382" s="216"/>
    </row>
    <row r="1383">
      <c r="A1383" s="157"/>
      <c r="B1383" s="216"/>
      <c r="C1383" s="157"/>
      <c r="D1383" s="216"/>
      <c r="E1383" s="216"/>
      <c r="F1383" s="216"/>
      <c r="G1383" s="216"/>
    </row>
    <row r="1384">
      <c r="A1384" s="157"/>
      <c r="B1384" s="216"/>
      <c r="C1384" s="157"/>
      <c r="D1384" s="216"/>
      <c r="E1384" s="216"/>
      <c r="F1384" s="216"/>
      <c r="G1384" s="216"/>
    </row>
    <row r="1385">
      <c r="A1385" s="157"/>
      <c r="B1385" s="216"/>
      <c r="C1385" s="157"/>
      <c r="D1385" s="216"/>
      <c r="E1385" s="216"/>
      <c r="F1385" s="216"/>
      <c r="G1385" s="216"/>
    </row>
    <row r="1386">
      <c r="A1386" s="157"/>
      <c r="B1386" s="216"/>
      <c r="C1386" s="157"/>
      <c r="D1386" s="216"/>
      <c r="E1386" s="216"/>
      <c r="F1386" s="216"/>
      <c r="G1386" s="216"/>
    </row>
    <row r="1387">
      <c r="A1387" s="157"/>
      <c r="B1387" s="216"/>
      <c r="C1387" s="157"/>
      <c r="D1387" s="216"/>
      <c r="E1387" s="216"/>
      <c r="F1387" s="216"/>
      <c r="G1387" s="216"/>
    </row>
    <row r="1388">
      <c r="A1388" s="157"/>
      <c r="B1388" s="216"/>
      <c r="C1388" s="157"/>
      <c r="D1388" s="216"/>
      <c r="E1388" s="216"/>
      <c r="F1388" s="216"/>
      <c r="G1388" s="216"/>
    </row>
    <row r="1389">
      <c r="A1389" s="157"/>
      <c r="B1389" s="216"/>
      <c r="C1389" s="157"/>
      <c r="D1389" s="216"/>
      <c r="E1389" s="216"/>
      <c r="F1389" s="216"/>
      <c r="G1389" s="216"/>
    </row>
    <row r="1390">
      <c r="A1390" s="157"/>
      <c r="B1390" s="216"/>
      <c r="C1390" s="157"/>
      <c r="D1390" s="216"/>
      <c r="E1390" s="216"/>
      <c r="F1390" s="216"/>
      <c r="G1390" s="216"/>
    </row>
    <row r="1391">
      <c r="A1391" s="157"/>
      <c r="B1391" s="216"/>
      <c r="C1391" s="157"/>
      <c r="D1391" s="216"/>
      <c r="E1391" s="216"/>
      <c r="F1391" s="216"/>
      <c r="G1391" s="216"/>
    </row>
    <row r="1392">
      <c r="A1392" s="157"/>
      <c r="B1392" s="216"/>
      <c r="C1392" s="157"/>
      <c r="D1392" s="216"/>
      <c r="E1392" s="216"/>
      <c r="F1392" s="216"/>
      <c r="G1392" s="216"/>
    </row>
    <row r="1393">
      <c r="A1393" s="157"/>
      <c r="B1393" s="216"/>
      <c r="C1393" s="157"/>
      <c r="D1393" s="216"/>
      <c r="E1393" s="216"/>
      <c r="F1393" s="216"/>
      <c r="G1393" s="216"/>
    </row>
    <row r="1394">
      <c r="A1394" s="157"/>
      <c r="B1394" s="216"/>
      <c r="C1394" s="157"/>
      <c r="D1394" s="216"/>
      <c r="E1394" s="216"/>
      <c r="F1394" s="216"/>
      <c r="G1394" s="216"/>
    </row>
    <row r="1395">
      <c r="A1395" s="157"/>
      <c r="B1395" s="216"/>
      <c r="C1395" s="157"/>
      <c r="D1395" s="216"/>
      <c r="E1395" s="216"/>
      <c r="F1395" s="216"/>
      <c r="G1395" s="216"/>
    </row>
    <row r="1396">
      <c r="A1396" s="157"/>
      <c r="B1396" s="216"/>
      <c r="C1396" s="157"/>
      <c r="D1396" s="216"/>
      <c r="E1396" s="216"/>
      <c r="F1396" s="216"/>
      <c r="G1396" s="216"/>
    </row>
    <row r="1397">
      <c r="A1397" s="157"/>
      <c r="B1397" s="216"/>
      <c r="C1397" s="157"/>
      <c r="D1397" s="216"/>
      <c r="E1397" s="216"/>
      <c r="F1397" s="216"/>
      <c r="G1397" s="216"/>
    </row>
    <row r="1398">
      <c r="A1398" s="157"/>
      <c r="B1398" s="216"/>
      <c r="C1398" s="157"/>
      <c r="D1398" s="216"/>
      <c r="E1398" s="216"/>
      <c r="F1398" s="216"/>
      <c r="G1398" s="216"/>
    </row>
    <row r="1399">
      <c r="A1399" s="157"/>
      <c r="B1399" s="216"/>
      <c r="C1399" s="157"/>
      <c r="D1399" s="216"/>
      <c r="E1399" s="216"/>
      <c r="F1399" s="216"/>
      <c r="G1399" s="216"/>
    </row>
    <row r="1400">
      <c r="A1400" s="157"/>
      <c r="B1400" s="216"/>
      <c r="C1400" s="157"/>
      <c r="D1400" s="216"/>
      <c r="E1400" s="216"/>
      <c r="F1400" s="216"/>
      <c r="G1400" s="216"/>
    </row>
    <row r="1401">
      <c r="A1401" s="157"/>
      <c r="B1401" s="216"/>
      <c r="C1401" s="157"/>
      <c r="D1401" s="216"/>
      <c r="E1401" s="216"/>
      <c r="F1401" s="216"/>
      <c r="G1401" s="216"/>
    </row>
    <row r="1402">
      <c r="A1402" s="157"/>
      <c r="B1402" s="216"/>
      <c r="C1402" s="157"/>
      <c r="D1402" s="216"/>
      <c r="E1402" s="216"/>
      <c r="F1402" s="216"/>
      <c r="G1402" s="216"/>
    </row>
    <row r="1403">
      <c r="A1403" s="157"/>
      <c r="B1403" s="216"/>
      <c r="C1403" s="157"/>
      <c r="D1403" s="216"/>
      <c r="E1403" s="216"/>
      <c r="F1403" s="216"/>
      <c r="G1403" s="216"/>
    </row>
    <row r="1404">
      <c r="A1404" s="157"/>
      <c r="B1404" s="216"/>
      <c r="C1404" s="157"/>
      <c r="D1404" s="216"/>
      <c r="E1404" s="216"/>
      <c r="F1404" s="216"/>
      <c r="G1404" s="216"/>
    </row>
    <row r="1405">
      <c r="A1405" s="157"/>
      <c r="B1405" s="216"/>
      <c r="C1405" s="157"/>
      <c r="D1405" s="216"/>
      <c r="E1405" s="216"/>
      <c r="F1405" s="216"/>
      <c r="G1405" s="216"/>
    </row>
    <row r="1406">
      <c r="A1406" s="157"/>
      <c r="B1406" s="216"/>
      <c r="C1406" s="157"/>
      <c r="D1406" s="216"/>
      <c r="E1406" s="216"/>
      <c r="F1406" s="216"/>
      <c r="G1406" s="216"/>
    </row>
    <row r="1407">
      <c r="A1407" s="157"/>
      <c r="B1407" s="216"/>
      <c r="C1407" s="157"/>
      <c r="D1407" s="216"/>
      <c r="E1407" s="216"/>
      <c r="F1407" s="216"/>
      <c r="G1407" s="216"/>
    </row>
    <row r="1408">
      <c r="A1408" s="157"/>
      <c r="B1408" s="216"/>
      <c r="C1408" s="157"/>
      <c r="D1408" s="216"/>
      <c r="E1408" s="216"/>
      <c r="F1408" s="216"/>
      <c r="G1408" s="216"/>
    </row>
    <row r="1409">
      <c r="A1409" s="157"/>
      <c r="B1409" s="216"/>
      <c r="C1409" s="157"/>
      <c r="D1409" s="216"/>
      <c r="E1409" s="216"/>
      <c r="F1409" s="216"/>
      <c r="G1409" s="216"/>
    </row>
    <row r="1410">
      <c r="A1410" s="157"/>
      <c r="B1410" s="216"/>
      <c r="C1410" s="157"/>
      <c r="D1410" s="216"/>
      <c r="E1410" s="216"/>
      <c r="F1410" s="216"/>
      <c r="G1410" s="216"/>
    </row>
    <row r="1411">
      <c r="A1411" s="157"/>
      <c r="B1411" s="216"/>
      <c r="C1411" s="157"/>
      <c r="D1411" s="216"/>
      <c r="E1411" s="216"/>
      <c r="F1411" s="216"/>
      <c r="G1411" s="216"/>
    </row>
    <row r="1412">
      <c r="A1412" s="157"/>
      <c r="B1412" s="216"/>
      <c r="C1412" s="157"/>
      <c r="D1412" s="216"/>
      <c r="E1412" s="216"/>
      <c r="F1412" s="216"/>
      <c r="G1412" s="216"/>
    </row>
    <row r="1413">
      <c r="A1413" s="157"/>
      <c r="B1413" s="216"/>
      <c r="C1413" s="157"/>
      <c r="D1413" s="216"/>
      <c r="E1413" s="216"/>
      <c r="F1413" s="216"/>
      <c r="G1413" s="216"/>
    </row>
    <row r="1414">
      <c r="A1414" s="157"/>
      <c r="B1414" s="216"/>
      <c r="C1414" s="157"/>
      <c r="D1414" s="216"/>
      <c r="E1414" s="216"/>
      <c r="F1414" s="216"/>
      <c r="G1414" s="216"/>
    </row>
    <row r="1415">
      <c r="A1415" s="157"/>
      <c r="B1415" s="216"/>
      <c r="C1415" s="157"/>
      <c r="D1415" s="216"/>
      <c r="E1415" s="216"/>
      <c r="F1415" s="216"/>
      <c r="G1415" s="216"/>
    </row>
    <row r="1416">
      <c r="A1416" s="157"/>
      <c r="B1416" s="216"/>
      <c r="C1416" s="157"/>
      <c r="D1416" s="216"/>
      <c r="E1416" s="216"/>
      <c r="F1416" s="216"/>
      <c r="G1416" s="216"/>
    </row>
    <row r="1417">
      <c r="A1417" s="157"/>
      <c r="B1417" s="216"/>
      <c r="C1417" s="157"/>
      <c r="D1417" s="216"/>
      <c r="E1417" s="216"/>
      <c r="F1417" s="216"/>
      <c r="G1417" s="216"/>
    </row>
    <row r="1418">
      <c r="A1418" s="157"/>
      <c r="B1418" s="216"/>
      <c r="C1418" s="157"/>
      <c r="D1418" s="216"/>
      <c r="E1418" s="216"/>
      <c r="F1418" s="216"/>
      <c r="G1418" s="216"/>
    </row>
    <row r="1419">
      <c r="A1419" s="157"/>
      <c r="B1419" s="216"/>
      <c r="C1419" s="157"/>
      <c r="D1419" s="216"/>
      <c r="E1419" s="216"/>
      <c r="F1419" s="216"/>
      <c r="G1419" s="216"/>
    </row>
    <row r="1420">
      <c r="A1420" s="157"/>
      <c r="B1420" s="216"/>
      <c r="C1420" s="157"/>
      <c r="D1420" s="216"/>
      <c r="E1420" s="216"/>
      <c r="F1420" s="216"/>
      <c r="G1420" s="216"/>
    </row>
    <row r="1421">
      <c r="A1421" s="157"/>
      <c r="B1421" s="216"/>
      <c r="C1421" s="157"/>
      <c r="D1421" s="216"/>
      <c r="E1421" s="216"/>
      <c r="F1421" s="216"/>
      <c r="G1421" s="216"/>
    </row>
    <row r="1422">
      <c r="A1422" s="157"/>
      <c r="B1422" s="216"/>
      <c r="C1422" s="157"/>
      <c r="D1422" s="216"/>
      <c r="E1422" s="216"/>
      <c r="F1422" s="216"/>
      <c r="G1422" s="216"/>
    </row>
    <row r="1423">
      <c r="A1423" s="157"/>
      <c r="B1423" s="216"/>
      <c r="C1423" s="157"/>
      <c r="D1423" s="216"/>
      <c r="E1423" s="216"/>
      <c r="F1423" s="216"/>
      <c r="G1423" s="216"/>
    </row>
    <row r="1424">
      <c r="A1424" s="157"/>
      <c r="B1424" s="216"/>
      <c r="C1424" s="157"/>
      <c r="D1424" s="216"/>
      <c r="E1424" s="216"/>
      <c r="F1424" s="216"/>
      <c r="G1424" s="216"/>
    </row>
    <row r="1425">
      <c r="A1425" s="157"/>
      <c r="B1425" s="216"/>
      <c r="C1425" s="157"/>
      <c r="D1425" s="216"/>
      <c r="E1425" s="216"/>
      <c r="F1425" s="216"/>
      <c r="G1425" s="216"/>
    </row>
    <row r="1426">
      <c r="A1426" s="157"/>
      <c r="B1426" s="216"/>
      <c r="C1426" s="157"/>
      <c r="D1426" s="216"/>
      <c r="E1426" s="216"/>
      <c r="F1426" s="216"/>
      <c r="G1426" s="216"/>
    </row>
    <row r="1427">
      <c r="A1427" s="157"/>
      <c r="B1427" s="216"/>
      <c r="C1427" s="157"/>
      <c r="D1427" s="216"/>
      <c r="E1427" s="216"/>
      <c r="F1427" s="216"/>
      <c r="G1427" s="216"/>
    </row>
    <row r="1428">
      <c r="A1428" s="157"/>
      <c r="B1428" s="216"/>
      <c r="C1428" s="157"/>
      <c r="D1428" s="216"/>
      <c r="E1428" s="216"/>
      <c r="F1428" s="216"/>
      <c r="G1428" s="216"/>
    </row>
    <row r="1429">
      <c r="A1429" s="157"/>
      <c r="B1429" s="216"/>
      <c r="C1429" s="157"/>
      <c r="D1429" s="216"/>
      <c r="E1429" s="216"/>
      <c r="F1429" s="216"/>
      <c r="G1429" s="216"/>
    </row>
    <row r="1430">
      <c r="A1430" s="157"/>
      <c r="B1430" s="216"/>
      <c r="C1430" s="157"/>
      <c r="D1430" s="216"/>
      <c r="E1430" s="216"/>
      <c r="F1430" s="216"/>
      <c r="G1430" s="216"/>
    </row>
    <row r="1431">
      <c r="A1431" s="157"/>
      <c r="B1431" s="216"/>
      <c r="C1431" s="157"/>
      <c r="D1431" s="216"/>
      <c r="E1431" s="216"/>
      <c r="F1431" s="216"/>
      <c r="G1431" s="216"/>
    </row>
    <row r="1432">
      <c r="A1432" s="157"/>
      <c r="B1432" s="216"/>
      <c r="C1432" s="157"/>
      <c r="D1432" s="216"/>
      <c r="E1432" s="216"/>
      <c r="F1432" s="216"/>
      <c r="G1432" s="216"/>
    </row>
    <row r="1433">
      <c r="A1433" s="157"/>
      <c r="B1433" s="216"/>
      <c r="C1433" s="157"/>
      <c r="D1433" s="216"/>
      <c r="E1433" s="216"/>
      <c r="F1433" s="216"/>
      <c r="G1433" s="216"/>
    </row>
    <row r="1434">
      <c r="A1434" s="157"/>
      <c r="B1434" s="216"/>
      <c r="C1434" s="157"/>
      <c r="D1434" s="216"/>
      <c r="E1434" s="216"/>
      <c r="F1434" s="216"/>
      <c r="G1434" s="216"/>
    </row>
    <row r="1435">
      <c r="A1435" s="157"/>
      <c r="B1435" s="216"/>
      <c r="C1435" s="157"/>
      <c r="D1435" s="216"/>
      <c r="E1435" s="216"/>
      <c r="F1435" s="216"/>
      <c r="G1435" s="216"/>
    </row>
    <row r="1436">
      <c r="A1436" s="157"/>
      <c r="B1436" s="216"/>
      <c r="C1436" s="157"/>
      <c r="D1436" s="216"/>
      <c r="E1436" s="216"/>
      <c r="F1436" s="216"/>
      <c r="G1436" s="216"/>
    </row>
    <row r="1437">
      <c r="A1437" s="157"/>
      <c r="B1437" s="216"/>
      <c r="C1437" s="157"/>
      <c r="D1437" s="216"/>
      <c r="E1437" s="216"/>
      <c r="F1437" s="216"/>
      <c r="G1437" s="216"/>
    </row>
    <row r="1438">
      <c r="A1438" s="157"/>
      <c r="B1438" s="216"/>
      <c r="C1438" s="157"/>
      <c r="D1438" s="216"/>
      <c r="E1438" s="216"/>
      <c r="F1438" s="216"/>
      <c r="G1438" s="216"/>
    </row>
    <row r="1439">
      <c r="A1439" s="157"/>
      <c r="B1439" s="216"/>
      <c r="C1439" s="157"/>
      <c r="D1439" s="216"/>
      <c r="E1439" s="216"/>
      <c r="F1439" s="216"/>
      <c r="G1439" s="216"/>
    </row>
    <row r="1440">
      <c r="A1440" s="157"/>
      <c r="B1440" s="216"/>
      <c r="C1440" s="157"/>
      <c r="D1440" s="216"/>
      <c r="E1440" s="216"/>
      <c r="F1440" s="216"/>
      <c r="G1440" s="216"/>
    </row>
    <row r="1441">
      <c r="A1441" s="157"/>
      <c r="B1441" s="216"/>
      <c r="C1441" s="157"/>
      <c r="D1441" s="216"/>
      <c r="E1441" s="216"/>
      <c r="F1441" s="216"/>
      <c r="G1441" s="216"/>
    </row>
    <row r="1442">
      <c r="A1442" s="157"/>
      <c r="B1442" s="216"/>
      <c r="C1442" s="157"/>
      <c r="D1442" s="216"/>
      <c r="E1442" s="216"/>
      <c r="F1442" s="216"/>
      <c r="G1442" s="216"/>
    </row>
    <row r="1443">
      <c r="A1443" s="157"/>
      <c r="B1443" s="216"/>
      <c r="C1443" s="157"/>
      <c r="D1443" s="216"/>
      <c r="E1443" s="216"/>
      <c r="F1443" s="216"/>
      <c r="G1443" s="216"/>
    </row>
    <row r="1444">
      <c r="A1444" s="157"/>
      <c r="B1444" s="216"/>
      <c r="C1444" s="157"/>
      <c r="D1444" s="216"/>
      <c r="E1444" s="216"/>
      <c r="F1444" s="216"/>
      <c r="G1444" s="216"/>
    </row>
    <row r="1445">
      <c r="A1445" s="157"/>
      <c r="B1445" s="216"/>
      <c r="C1445" s="157"/>
      <c r="D1445" s="216"/>
      <c r="E1445" s="216"/>
      <c r="F1445" s="216"/>
      <c r="G1445" s="216"/>
    </row>
    <row r="1446">
      <c r="A1446" s="157"/>
      <c r="B1446" s="216"/>
      <c r="C1446" s="157"/>
      <c r="D1446" s="216"/>
      <c r="E1446" s="216"/>
      <c r="F1446" s="216"/>
      <c r="G1446" s="216"/>
    </row>
    <row r="1447">
      <c r="A1447" s="157"/>
      <c r="B1447" s="216"/>
      <c r="C1447" s="157"/>
      <c r="D1447" s="216"/>
      <c r="E1447" s="216"/>
      <c r="F1447" s="216"/>
      <c r="G1447" s="216"/>
    </row>
    <row r="1448">
      <c r="A1448" s="157"/>
      <c r="B1448" s="216"/>
      <c r="C1448" s="157"/>
      <c r="D1448" s="216"/>
      <c r="E1448" s="216"/>
      <c r="F1448" s="216"/>
      <c r="G1448" s="216"/>
    </row>
    <row r="1449">
      <c r="A1449" s="157"/>
      <c r="B1449" s="216"/>
      <c r="C1449" s="157"/>
      <c r="D1449" s="216"/>
      <c r="E1449" s="216"/>
      <c r="F1449" s="216"/>
      <c r="G1449" s="216"/>
    </row>
    <row r="1450">
      <c r="A1450" s="157"/>
      <c r="B1450" s="216"/>
      <c r="C1450" s="157"/>
      <c r="D1450" s="216"/>
      <c r="E1450" s="216"/>
      <c r="F1450" s="216"/>
      <c r="G1450" s="216"/>
    </row>
    <row r="1451">
      <c r="A1451" s="157"/>
      <c r="B1451" s="216"/>
      <c r="C1451" s="157"/>
      <c r="D1451" s="216"/>
      <c r="E1451" s="216"/>
      <c r="F1451" s="216"/>
      <c r="G1451" s="216"/>
    </row>
    <row r="1452">
      <c r="A1452" s="157"/>
      <c r="B1452" s="216"/>
      <c r="C1452" s="157"/>
      <c r="D1452" s="216"/>
      <c r="E1452" s="216"/>
      <c r="F1452" s="216"/>
      <c r="G1452" s="216"/>
    </row>
    <row r="1453">
      <c r="A1453" s="157"/>
      <c r="B1453" s="216"/>
      <c r="C1453" s="157"/>
      <c r="D1453" s="216"/>
      <c r="E1453" s="216"/>
      <c r="F1453" s="216"/>
      <c r="G1453" s="216"/>
    </row>
    <row r="1454">
      <c r="A1454" s="157"/>
      <c r="B1454" s="216"/>
      <c r="C1454" s="157"/>
      <c r="D1454" s="216"/>
      <c r="E1454" s="216"/>
      <c r="F1454" s="216"/>
      <c r="G1454" s="216"/>
    </row>
    <row r="1455">
      <c r="A1455" s="157"/>
      <c r="B1455" s="216"/>
      <c r="C1455" s="157"/>
      <c r="D1455" s="216"/>
      <c r="E1455" s="216"/>
      <c r="F1455" s="216"/>
      <c r="G1455" s="216"/>
    </row>
    <row r="1456">
      <c r="A1456" s="157"/>
      <c r="B1456" s="216"/>
      <c r="C1456" s="157"/>
      <c r="D1456" s="216"/>
      <c r="E1456" s="216"/>
      <c r="F1456" s="216"/>
      <c r="G1456" s="216"/>
    </row>
    <row r="1457">
      <c r="A1457" s="157"/>
      <c r="B1457" s="216"/>
      <c r="C1457" s="157"/>
      <c r="D1457" s="216"/>
      <c r="E1457" s="216"/>
      <c r="F1457" s="216"/>
      <c r="G1457" s="216"/>
    </row>
    <row r="1458">
      <c r="A1458" s="157"/>
      <c r="B1458" s="216"/>
      <c r="C1458" s="157"/>
      <c r="D1458" s="216"/>
      <c r="E1458" s="216"/>
      <c r="F1458" s="216"/>
      <c r="G1458" s="216"/>
    </row>
    <row r="1459">
      <c r="A1459" s="157"/>
      <c r="B1459" s="216"/>
      <c r="C1459" s="157"/>
      <c r="D1459" s="216"/>
      <c r="E1459" s="216"/>
      <c r="F1459" s="216"/>
      <c r="G1459" s="216"/>
    </row>
    <row r="1460">
      <c r="A1460" s="157"/>
      <c r="B1460" s="216"/>
      <c r="C1460" s="157"/>
      <c r="D1460" s="216"/>
      <c r="E1460" s="216"/>
      <c r="F1460" s="216"/>
      <c r="G1460" s="216"/>
    </row>
    <row r="1461">
      <c r="A1461" s="157"/>
      <c r="B1461" s="216"/>
      <c r="C1461" s="157"/>
      <c r="D1461" s="216"/>
      <c r="E1461" s="216"/>
      <c r="F1461" s="216"/>
      <c r="G1461" s="216"/>
    </row>
    <row r="1462">
      <c r="A1462" s="157"/>
      <c r="B1462" s="216"/>
      <c r="C1462" s="157"/>
      <c r="D1462" s="216"/>
      <c r="E1462" s="216"/>
      <c r="F1462" s="216"/>
      <c r="G1462" s="216"/>
    </row>
    <row r="1463">
      <c r="A1463" s="157"/>
      <c r="B1463" s="216"/>
      <c r="C1463" s="157"/>
      <c r="D1463" s="216"/>
      <c r="E1463" s="216"/>
      <c r="F1463" s="216"/>
      <c r="G1463" s="216"/>
    </row>
    <row r="1464">
      <c r="A1464" s="157"/>
      <c r="B1464" s="216"/>
      <c r="C1464" s="157"/>
      <c r="D1464" s="216"/>
      <c r="E1464" s="216"/>
      <c r="F1464" s="216"/>
      <c r="G1464" s="216"/>
    </row>
    <row r="1465">
      <c r="A1465" s="157"/>
      <c r="B1465" s="216"/>
      <c r="C1465" s="157"/>
      <c r="D1465" s="216"/>
      <c r="E1465" s="216"/>
      <c r="F1465" s="216"/>
      <c r="G1465" s="216"/>
    </row>
    <row r="1466">
      <c r="A1466" s="157"/>
      <c r="B1466" s="216"/>
      <c r="C1466" s="157"/>
      <c r="D1466" s="216"/>
      <c r="E1466" s="216"/>
      <c r="F1466" s="216"/>
      <c r="G1466" s="216"/>
    </row>
    <row r="1467">
      <c r="A1467" s="157"/>
      <c r="B1467" s="216"/>
      <c r="C1467" s="157"/>
      <c r="D1467" s="216"/>
      <c r="E1467" s="216"/>
      <c r="F1467" s="216"/>
      <c r="G1467" s="216"/>
    </row>
    <row r="1468">
      <c r="A1468" s="157"/>
      <c r="B1468" s="216"/>
      <c r="C1468" s="157"/>
      <c r="D1468" s="216"/>
      <c r="E1468" s="216"/>
      <c r="F1468" s="216"/>
      <c r="G1468" s="216"/>
    </row>
    <row r="1469">
      <c r="A1469" s="157"/>
      <c r="B1469" s="216"/>
      <c r="C1469" s="157"/>
      <c r="D1469" s="216"/>
      <c r="E1469" s="216"/>
      <c r="F1469" s="216"/>
      <c r="G1469" s="216"/>
    </row>
    <row r="1470">
      <c r="A1470" s="157"/>
      <c r="B1470" s="216"/>
      <c r="C1470" s="157"/>
      <c r="D1470" s="216"/>
      <c r="E1470" s="216"/>
      <c r="F1470" s="216"/>
      <c r="G1470" s="216"/>
    </row>
    <row r="1471">
      <c r="A1471" s="157"/>
      <c r="B1471" s="216"/>
      <c r="C1471" s="157"/>
      <c r="D1471" s="216"/>
      <c r="E1471" s="216"/>
      <c r="F1471" s="216"/>
      <c r="G1471" s="216"/>
    </row>
    <row r="1472">
      <c r="A1472" s="157"/>
      <c r="B1472" s="216"/>
      <c r="C1472" s="157"/>
      <c r="D1472" s="216"/>
      <c r="E1472" s="216"/>
      <c r="F1472" s="216"/>
      <c r="G1472" s="216"/>
    </row>
    <row r="1473">
      <c r="A1473" s="157"/>
      <c r="B1473" s="216"/>
      <c r="C1473" s="157"/>
      <c r="D1473" s="216"/>
      <c r="E1473" s="216"/>
      <c r="F1473" s="216"/>
      <c r="G1473" s="216"/>
    </row>
    <row r="1474">
      <c r="A1474" s="157"/>
      <c r="B1474" s="216"/>
      <c r="C1474" s="157"/>
      <c r="D1474" s="216"/>
      <c r="E1474" s="216"/>
      <c r="F1474" s="216"/>
      <c r="G1474" s="216"/>
    </row>
    <row r="1475">
      <c r="A1475" s="157"/>
      <c r="B1475" s="216"/>
      <c r="C1475" s="157"/>
      <c r="D1475" s="216"/>
      <c r="E1475" s="216"/>
      <c r="F1475" s="216"/>
      <c r="G1475" s="216"/>
    </row>
    <row r="1476">
      <c r="A1476" s="157"/>
      <c r="B1476" s="216"/>
      <c r="C1476" s="157"/>
      <c r="D1476" s="216"/>
      <c r="E1476" s="216"/>
      <c r="F1476" s="216"/>
      <c r="G1476" s="216"/>
    </row>
    <row r="1477">
      <c r="A1477" s="157"/>
      <c r="B1477" s="216"/>
      <c r="C1477" s="157"/>
      <c r="D1477" s="216"/>
      <c r="E1477" s="216"/>
      <c r="F1477" s="216"/>
      <c r="G1477" s="216"/>
    </row>
    <row r="1478">
      <c r="A1478" s="157"/>
      <c r="B1478" s="216"/>
      <c r="C1478" s="157"/>
      <c r="D1478" s="216"/>
      <c r="E1478" s="216"/>
      <c r="F1478" s="216"/>
      <c r="G1478" s="216"/>
    </row>
    <row r="1479">
      <c r="A1479" s="157"/>
      <c r="B1479" s="216"/>
      <c r="C1479" s="157"/>
      <c r="D1479" s="216"/>
      <c r="E1479" s="216"/>
      <c r="F1479" s="216"/>
      <c r="G1479" s="216"/>
    </row>
    <row r="1480">
      <c r="A1480" s="157"/>
      <c r="B1480" s="216"/>
      <c r="C1480" s="157"/>
      <c r="D1480" s="216"/>
      <c r="E1480" s="216"/>
      <c r="F1480" s="216"/>
      <c r="G1480" s="216"/>
    </row>
    <row r="1481">
      <c r="A1481" s="157"/>
      <c r="B1481" s="216"/>
      <c r="C1481" s="157"/>
      <c r="D1481" s="216"/>
      <c r="E1481" s="216"/>
      <c r="F1481" s="216"/>
      <c r="G1481" s="216"/>
    </row>
    <row r="1482">
      <c r="A1482" s="157"/>
      <c r="B1482" s="216"/>
      <c r="C1482" s="157"/>
      <c r="D1482" s="216"/>
      <c r="E1482" s="216"/>
      <c r="F1482" s="216"/>
      <c r="G1482" s="216"/>
    </row>
    <row r="1483">
      <c r="A1483" s="157"/>
      <c r="B1483" s="216"/>
      <c r="C1483" s="157"/>
      <c r="D1483" s="216"/>
      <c r="E1483" s="216"/>
      <c r="F1483" s="216"/>
      <c r="G1483" s="216"/>
    </row>
    <row r="1484">
      <c r="A1484" s="157"/>
      <c r="B1484" s="216"/>
      <c r="C1484" s="157"/>
      <c r="D1484" s="216"/>
      <c r="E1484" s="216"/>
      <c r="F1484" s="216"/>
      <c r="G1484" s="216"/>
    </row>
    <row r="1485">
      <c r="A1485" s="157"/>
      <c r="B1485" s="216"/>
      <c r="C1485" s="157"/>
      <c r="D1485" s="216"/>
      <c r="E1485" s="216"/>
      <c r="F1485" s="216"/>
      <c r="G1485" s="216"/>
    </row>
    <row r="1486">
      <c r="A1486" s="157"/>
      <c r="B1486" s="216"/>
      <c r="C1486" s="157"/>
      <c r="D1486" s="216"/>
      <c r="E1486" s="216"/>
      <c r="F1486" s="216"/>
      <c r="G1486" s="216"/>
    </row>
    <row r="1487">
      <c r="A1487" s="157"/>
      <c r="B1487" s="216"/>
      <c r="C1487" s="157"/>
      <c r="D1487" s="216"/>
      <c r="E1487" s="216"/>
      <c r="F1487" s="216"/>
      <c r="G1487" s="216"/>
    </row>
    <row r="1488">
      <c r="A1488" s="157"/>
      <c r="B1488" s="216"/>
      <c r="C1488" s="157"/>
      <c r="D1488" s="216"/>
      <c r="E1488" s="216"/>
      <c r="F1488" s="216"/>
      <c r="G1488" s="216"/>
    </row>
    <row r="1489">
      <c r="A1489" s="157"/>
      <c r="B1489" s="216"/>
      <c r="C1489" s="157"/>
      <c r="D1489" s="216"/>
      <c r="E1489" s="216"/>
      <c r="F1489" s="216"/>
      <c r="G1489" s="216"/>
    </row>
    <row r="1490">
      <c r="A1490" s="157"/>
      <c r="B1490" s="216"/>
      <c r="C1490" s="157"/>
      <c r="D1490" s="216"/>
      <c r="E1490" s="216"/>
      <c r="F1490" s="216"/>
      <c r="G1490" s="216"/>
    </row>
    <row r="1491">
      <c r="A1491" s="157"/>
      <c r="B1491" s="216"/>
      <c r="C1491" s="157"/>
      <c r="D1491" s="216"/>
      <c r="E1491" s="216"/>
      <c r="F1491" s="216"/>
      <c r="G1491" s="216"/>
    </row>
    <row r="1492">
      <c r="A1492" s="157"/>
      <c r="B1492" s="216"/>
      <c r="C1492" s="157"/>
      <c r="D1492" s="216"/>
      <c r="E1492" s="216"/>
      <c r="F1492" s="216"/>
      <c r="G1492" s="216"/>
    </row>
    <row r="1493">
      <c r="A1493" s="157"/>
      <c r="B1493" s="216"/>
      <c r="C1493" s="157"/>
      <c r="D1493" s="216"/>
      <c r="E1493" s="216"/>
      <c r="F1493" s="216"/>
      <c r="G1493" s="216"/>
    </row>
    <row r="1494">
      <c r="A1494" s="157"/>
      <c r="B1494" s="216"/>
      <c r="C1494" s="157"/>
      <c r="D1494" s="216"/>
      <c r="E1494" s="216"/>
      <c r="F1494" s="216"/>
      <c r="G1494" s="216"/>
    </row>
    <row r="1495">
      <c r="A1495" s="157"/>
      <c r="B1495" s="216"/>
      <c r="C1495" s="157"/>
      <c r="D1495" s="216"/>
      <c r="E1495" s="216"/>
      <c r="F1495" s="216"/>
      <c r="G1495" s="216"/>
    </row>
    <row r="1496">
      <c r="A1496" s="157"/>
      <c r="B1496" s="216"/>
      <c r="C1496" s="157"/>
      <c r="D1496" s="216"/>
      <c r="E1496" s="216"/>
      <c r="F1496" s="216"/>
      <c r="G1496" s="216"/>
    </row>
    <row r="1497">
      <c r="A1497" s="157"/>
      <c r="B1497" s="216"/>
      <c r="C1497" s="157"/>
      <c r="D1497" s="216"/>
      <c r="E1497" s="216"/>
      <c r="F1497" s="216"/>
      <c r="G1497" s="216"/>
    </row>
    <row r="1498">
      <c r="A1498" s="157"/>
      <c r="B1498" s="216"/>
      <c r="C1498" s="157"/>
      <c r="D1498" s="216"/>
      <c r="E1498" s="216"/>
      <c r="F1498" s="216"/>
      <c r="G1498" s="216"/>
    </row>
    <row r="1499">
      <c r="A1499" s="157"/>
      <c r="B1499" s="216"/>
      <c r="C1499" s="157"/>
      <c r="D1499" s="216"/>
      <c r="E1499" s="216"/>
      <c r="F1499" s="216"/>
      <c r="G1499" s="216"/>
    </row>
    <row r="1500">
      <c r="A1500" s="157"/>
      <c r="B1500" s="216"/>
      <c r="C1500" s="157"/>
      <c r="D1500" s="216"/>
      <c r="E1500" s="216"/>
      <c r="F1500" s="216"/>
      <c r="G1500" s="216"/>
    </row>
    <row r="1501">
      <c r="A1501" s="157"/>
      <c r="B1501" s="216"/>
      <c r="C1501" s="157"/>
      <c r="D1501" s="216"/>
      <c r="E1501" s="216"/>
      <c r="F1501" s="216"/>
      <c r="G1501" s="216"/>
    </row>
    <row r="1502">
      <c r="A1502" s="157"/>
      <c r="B1502" s="216"/>
      <c r="C1502" s="157"/>
      <c r="D1502" s="216"/>
      <c r="E1502" s="216"/>
      <c r="F1502" s="216"/>
      <c r="G1502" s="216"/>
    </row>
    <row r="1503">
      <c r="A1503" s="157"/>
      <c r="B1503" s="216"/>
      <c r="C1503" s="157"/>
      <c r="D1503" s="216"/>
      <c r="E1503" s="216"/>
      <c r="F1503" s="216"/>
      <c r="G1503" s="216"/>
    </row>
    <row r="1504">
      <c r="A1504" s="157"/>
      <c r="B1504" s="216"/>
      <c r="C1504" s="157"/>
      <c r="D1504" s="216"/>
      <c r="E1504" s="216"/>
      <c r="F1504" s="216"/>
      <c r="G1504" s="216"/>
    </row>
    <row r="1505">
      <c r="A1505" s="157"/>
      <c r="B1505" s="216"/>
      <c r="C1505" s="157"/>
      <c r="D1505" s="216"/>
      <c r="E1505" s="216"/>
      <c r="F1505" s="216"/>
      <c r="G1505" s="216"/>
    </row>
    <row r="1506">
      <c r="A1506" s="157"/>
      <c r="B1506" s="216"/>
      <c r="C1506" s="157"/>
      <c r="D1506" s="216"/>
      <c r="E1506" s="216"/>
      <c r="F1506" s="216"/>
      <c r="G1506" s="216"/>
    </row>
    <row r="1507">
      <c r="A1507" s="157"/>
      <c r="B1507" s="216"/>
      <c r="C1507" s="157"/>
      <c r="D1507" s="216"/>
      <c r="E1507" s="216"/>
      <c r="F1507" s="216"/>
      <c r="G1507" s="216"/>
    </row>
    <row r="1508">
      <c r="A1508" s="157"/>
      <c r="B1508" s="216"/>
      <c r="C1508" s="157"/>
      <c r="D1508" s="216"/>
      <c r="E1508" s="216"/>
      <c r="F1508" s="216"/>
      <c r="G1508" s="216"/>
    </row>
    <row r="1509">
      <c r="A1509" s="157"/>
      <c r="B1509" s="216"/>
      <c r="C1509" s="157"/>
      <c r="D1509" s="216"/>
      <c r="E1509" s="216"/>
      <c r="F1509" s="216"/>
      <c r="G1509" s="216"/>
    </row>
    <row r="1510">
      <c r="A1510" s="157"/>
      <c r="B1510" s="216"/>
      <c r="C1510" s="157"/>
      <c r="D1510" s="216"/>
      <c r="E1510" s="216"/>
      <c r="F1510" s="216"/>
      <c r="G1510" s="216"/>
    </row>
    <row r="1511">
      <c r="A1511" s="157"/>
      <c r="B1511" s="216"/>
      <c r="C1511" s="157"/>
      <c r="D1511" s="216"/>
      <c r="E1511" s="216"/>
      <c r="F1511" s="216"/>
      <c r="G1511" s="216"/>
    </row>
    <row r="1512">
      <c r="A1512" s="157"/>
      <c r="B1512" s="216"/>
      <c r="C1512" s="157"/>
      <c r="D1512" s="216"/>
      <c r="E1512" s="216"/>
      <c r="F1512" s="216"/>
      <c r="G1512" s="216"/>
    </row>
    <row r="1513">
      <c r="A1513" s="157"/>
      <c r="B1513" s="216"/>
      <c r="C1513" s="157"/>
      <c r="D1513" s="216"/>
      <c r="E1513" s="216"/>
      <c r="F1513" s="216"/>
      <c r="G1513" s="216"/>
    </row>
    <row r="1514">
      <c r="A1514" s="157"/>
      <c r="B1514" s="216"/>
      <c r="C1514" s="157"/>
      <c r="D1514" s="216"/>
      <c r="E1514" s="216"/>
      <c r="F1514" s="216"/>
      <c r="G1514" s="216"/>
    </row>
    <row r="1515">
      <c r="A1515" s="157"/>
      <c r="B1515" s="216"/>
      <c r="C1515" s="157"/>
      <c r="D1515" s="216"/>
      <c r="E1515" s="216"/>
      <c r="F1515" s="216"/>
      <c r="G1515" s="216"/>
    </row>
    <row r="1516">
      <c r="A1516" s="157"/>
      <c r="B1516" s="216"/>
      <c r="C1516" s="157"/>
      <c r="D1516" s="216"/>
      <c r="E1516" s="216"/>
      <c r="F1516" s="216"/>
      <c r="G1516" s="216"/>
    </row>
    <row r="1517">
      <c r="A1517" s="157"/>
      <c r="B1517" s="216"/>
      <c r="C1517" s="157"/>
      <c r="D1517" s="216"/>
      <c r="E1517" s="216"/>
      <c r="F1517" s="216"/>
      <c r="G1517" s="216"/>
    </row>
    <row r="1518">
      <c r="A1518" s="157"/>
      <c r="B1518" s="216"/>
      <c r="C1518" s="157"/>
      <c r="D1518" s="216"/>
      <c r="E1518" s="216"/>
      <c r="F1518" s="216"/>
      <c r="G1518" s="216"/>
    </row>
    <row r="1519">
      <c r="A1519" s="157"/>
      <c r="B1519" s="216"/>
      <c r="C1519" s="157"/>
      <c r="D1519" s="216"/>
      <c r="E1519" s="216"/>
      <c r="F1519" s="216"/>
      <c r="G1519" s="216"/>
    </row>
    <row r="1520">
      <c r="A1520" s="157"/>
      <c r="B1520" s="216"/>
      <c r="C1520" s="157"/>
      <c r="D1520" s="216"/>
      <c r="E1520" s="216"/>
      <c r="F1520" s="216"/>
      <c r="G1520" s="216"/>
    </row>
    <row r="1521">
      <c r="A1521" s="157"/>
      <c r="B1521" s="216"/>
      <c r="C1521" s="157"/>
      <c r="D1521" s="216"/>
      <c r="E1521" s="216"/>
      <c r="F1521" s="216"/>
      <c r="G1521" s="216"/>
    </row>
    <row r="1522">
      <c r="A1522" s="157"/>
      <c r="B1522" s="216"/>
      <c r="C1522" s="157"/>
      <c r="D1522" s="216"/>
      <c r="E1522" s="216"/>
      <c r="F1522" s="216"/>
      <c r="G1522" s="216"/>
    </row>
    <row r="1523">
      <c r="A1523" s="157"/>
      <c r="B1523" s="216"/>
      <c r="C1523" s="157"/>
      <c r="D1523" s="216"/>
      <c r="E1523" s="216"/>
      <c r="F1523" s="216"/>
      <c r="G1523" s="216"/>
    </row>
    <row r="1524">
      <c r="A1524" s="157"/>
      <c r="B1524" s="216"/>
      <c r="C1524" s="157"/>
      <c r="D1524" s="216"/>
      <c r="E1524" s="216"/>
      <c r="F1524" s="216"/>
      <c r="G1524" s="216"/>
    </row>
    <row r="1525">
      <c r="A1525" s="157"/>
      <c r="B1525" s="216"/>
      <c r="C1525" s="157"/>
      <c r="D1525" s="216"/>
      <c r="E1525" s="216"/>
      <c r="F1525" s="216"/>
      <c r="G1525" s="216"/>
    </row>
    <row r="1526">
      <c r="A1526" s="157"/>
      <c r="B1526" s="216"/>
      <c r="C1526" s="157"/>
      <c r="D1526" s="216"/>
      <c r="E1526" s="216"/>
      <c r="F1526" s="216"/>
      <c r="G1526" s="216"/>
    </row>
    <row r="1527">
      <c r="A1527" s="157"/>
      <c r="B1527" s="216"/>
      <c r="C1527" s="157"/>
      <c r="D1527" s="216"/>
      <c r="E1527" s="216"/>
      <c r="F1527" s="216"/>
      <c r="G1527" s="216"/>
    </row>
    <row r="1528">
      <c r="A1528" s="157"/>
      <c r="B1528" s="216"/>
      <c r="C1528" s="157"/>
      <c r="D1528" s="216"/>
      <c r="E1528" s="216"/>
      <c r="F1528" s="216"/>
      <c r="G1528" s="216"/>
    </row>
    <row r="1529">
      <c r="A1529" s="157"/>
      <c r="B1529" s="216"/>
      <c r="C1529" s="157"/>
      <c r="D1529" s="216"/>
      <c r="E1529" s="216"/>
      <c r="F1529" s="216"/>
      <c r="G1529" s="216"/>
    </row>
    <row r="1530">
      <c r="A1530" s="157"/>
      <c r="B1530" s="216"/>
      <c r="C1530" s="157"/>
      <c r="D1530" s="216"/>
      <c r="E1530" s="216"/>
      <c r="F1530" s="216"/>
      <c r="G1530" s="216"/>
    </row>
    <row r="1531">
      <c r="A1531" s="157"/>
      <c r="B1531" s="216"/>
      <c r="C1531" s="157"/>
      <c r="D1531" s="216"/>
      <c r="E1531" s="216"/>
      <c r="F1531" s="216"/>
      <c r="G1531" s="216"/>
    </row>
    <row r="1532">
      <c r="A1532" s="157"/>
      <c r="B1532" s="216"/>
      <c r="C1532" s="157"/>
      <c r="D1532" s="216"/>
      <c r="E1532" s="216"/>
      <c r="F1532" s="216"/>
      <c r="G1532" s="216"/>
    </row>
    <row r="1533">
      <c r="A1533" s="157"/>
      <c r="B1533" s="216"/>
      <c r="C1533" s="157"/>
      <c r="D1533" s="216"/>
      <c r="E1533" s="216"/>
      <c r="F1533" s="216"/>
      <c r="G1533" s="216"/>
    </row>
    <row r="1534">
      <c r="A1534" s="157"/>
      <c r="B1534" s="216"/>
      <c r="C1534" s="157"/>
      <c r="D1534" s="216"/>
      <c r="E1534" s="216"/>
      <c r="F1534" s="216"/>
      <c r="G1534" s="216"/>
    </row>
    <row r="1535">
      <c r="A1535" s="157"/>
      <c r="B1535" s="216"/>
      <c r="C1535" s="157"/>
      <c r="D1535" s="216"/>
      <c r="E1535" s="216"/>
      <c r="F1535" s="216"/>
      <c r="G1535" s="216"/>
    </row>
    <row r="1536">
      <c r="A1536" s="157"/>
      <c r="B1536" s="216"/>
      <c r="C1536" s="157"/>
      <c r="D1536" s="216"/>
      <c r="E1536" s="216"/>
      <c r="F1536" s="216"/>
      <c r="G1536" s="216"/>
    </row>
    <row r="1537">
      <c r="A1537" s="157"/>
      <c r="B1537" s="216"/>
      <c r="C1537" s="157"/>
      <c r="D1537" s="216"/>
      <c r="E1537" s="216"/>
      <c r="F1537" s="216"/>
      <c r="G1537" s="216"/>
    </row>
    <row r="1538">
      <c r="A1538" s="157"/>
      <c r="B1538" s="216"/>
      <c r="C1538" s="157"/>
      <c r="D1538" s="216"/>
      <c r="E1538" s="216"/>
      <c r="F1538" s="216"/>
      <c r="G1538" s="216"/>
    </row>
    <row r="1539">
      <c r="A1539" s="157"/>
      <c r="B1539" s="216"/>
      <c r="C1539" s="157"/>
      <c r="D1539" s="216"/>
      <c r="E1539" s="216"/>
      <c r="F1539" s="216"/>
      <c r="G1539" s="216"/>
    </row>
    <row r="1540">
      <c r="A1540" s="157"/>
      <c r="B1540" s="216"/>
      <c r="C1540" s="157"/>
      <c r="D1540" s="216"/>
      <c r="E1540" s="216"/>
      <c r="F1540" s="216"/>
      <c r="G1540" s="216"/>
    </row>
    <row r="1541">
      <c r="A1541" s="157"/>
      <c r="B1541" s="216"/>
      <c r="C1541" s="157"/>
      <c r="D1541" s="216"/>
      <c r="E1541" s="216"/>
      <c r="F1541" s="216"/>
      <c r="G1541" s="216"/>
    </row>
    <row r="1542">
      <c r="A1542" s="157"/>
      <c r="B1542" s="216"/>
      <c r="C1542" s="157"/>
      <c r="D1542" s="216"/>
      <c r="E1542" s="216"/>
      <c r="F1542" s="216"/>
      <c r="G1542" s="216"/>
    </row>
    <row r="1543">
      <c r="A1543" s="157"/>
      <c r="B1543" s="216"/>
      <c r="C1543" s="157"/>
      <c r="D1543" s="216"/>
      <c r="E1543" s="216"/>
      <c r="F1543" s="216"/>
      <c r="G1543" s="216"/>
    </row>
    <row r="1544">
      <c r="A1544" s="157"/>
      <c r="B1544" s="216"/>
      <c r="C1544" s="157"/>
      <c r="D1544" s="216"/>
      <c r="E1544" s="216"/>
      <c r="F1544" s="216"/>
      <c r="G1544" s="216"/>
    </row>
    <row r="1545">
      <c r="A1545" s="157"/>
      <c r="B1545" s="216"/>
      <c r="C1545" s="157"/>
      <c r="D1545" s="216"/>
      <c r="E1545" s="216"/>
      <c r="F1545" s="216"/>
      <c r="G1545" s="216"/>
    </row>
    <row r="1546">
      <c r="A1546" s="157"/>
      <c r="B1546" s="216"/>
      <c r="C1546" s="157"/>
      <c r="D1546" s="216"/>
      <c r="E1546" s="216"/>
      <c r="F1546" s="216"/>
      <c r="G1546" s="216"/>
    </row>
    <row r="1547">
      <c r="A1547" s="157"/>
      <c r="B1547" s="216"/>
      <c r="C1547" s="157"/>
      <c r="D1547" s="216"/>
      <c r="E1547" s="216"/>
      <c r="F1547" s="216"/>
      <c r="G1547" s="216"/>
    </row>
    <row r="1548">
      <c r="A1548" s="157"/>
      <c r="B1548" s="216"/>
      <c r="C1548" s="157"/>
      <c r="D1548" s="216"/>
      <c r="E1548" s="216"/>
      <c r="F1548" s="216"/>
      <c r="G1548" s="216"/>
    </row>
    <row r="1549">
      <c r="A1549" s="157"/>
      <c r="B1549" s="216"/>
      <c r="C1549" s="157"/>
      <c r="D1549" s="216"/>
      <c r="E1549" s="216"/>
      <c r="F1549" s="216"/>
      <c r="G1549" s="216"/>
    </row>
    <row r="1550">
      <c r="A1550" s="157"/>
      <c r="B1550" s="216"/>
      <c r="C1550" s="157"/>
      <c r="D1550" s="216"/>
      <c r="E1550" s="216"/>
      <c r="F1550" s="216"/>
      <c r="G1550" s="216"/>
    </row>
    <row r="1551">
      <c r="A1551" s="157"/>
      <c r="B1551" s="216"/>
      <c r="C1551" s="157"/>
      <c r="D1551" s="216"/>
      <c r="E1551" s="216"/>
      <c r="F1551" s="216"/>
      <c r="G1551" s="216"/>
    </row>
    <row r="1552">
      <c r="A1552" s="157"/>
      <c r="B1552" s="216"/>
      <c r="C1552" s="157"/>
      <c r="D1552" s="216"/>
      <c r="E1552" s="216"/>
      <c r="F1552" s="216"/>
      <c r="G1552" s="216"/>
    </row>
    <row r="1553">
      <c r="A1553" s="157"/>
      <c r="B1553" s="216"/>
      <c r="C1553" s="157"/>
      <c r="D1553" s="216"/>
      <c r="E1553" s="216"/>
      <c r="F1553" s="216"/>
      <c r="G1553" s="216"/>
    </row>
    <row r="1554">
      <c r="A1554" s="157"/>
      <c r="B1554" s="216"/>
      <c r="C1554" s="157"/>
      <c r="D1554" s="216"/>
      <c r="E1554" s="216"/>
      <c r="F1554" s="216"/>
      <c r="G1554" s="216"/>
    </row>
    <row r="1555">
      <c r="A1555" s="157"/>
      <c r="B1555" s="216"/>
      <c r="C1555" s="157"/>
      <c r="D1555" s="216"/>
      <c r="E1555" s="216"/>
      <c r="F1555" s="216"/>
      <c r="G1555" s="216"/>
    </row>
    <row r="1556">
      <c r="A1556" s="157"/>
      <c r="B1556" s="216"/>
      <c r="C1556" s="157"/>
      <c r="D1556" s="216"/>
      <c r="E1556" s="216"/>
      <c r="F1556" s="216"/>
      <c r="G1556" s="216"/>
    </row>
    <row r="1557">
      <c r="A1557" s="157"/>
      <c r="B1557" s="216"/>
      <c r="C1557" s="157"/>
      <c r="D1557" s="216"/>
      <c r="E1557" s="216"/>
      <c r="F1557" s="216"/>
      <c r="G1557" s="216"/>
    </row>
    <row r="1558">
      <c r="A1558" s="157"/>
      <c r="B1558" s="216"/>
      <c r="C1558" s="157"/>
      <c r="D1558" s="216"/>
      <c r="E1558" s="216"/>
      <c r="F1558" s="216"/>
      <c r="G1558" s="216"/>
    </row>
    <row r="1559">
      <c r="A1559" s="157"/>
      <c r="B1559" s="216"/>
      <c r="C1559" s="157"/>
      <c r="D1559" s="216"/>
      <c r="E1559" s="216"/>
      <c r="F1559" s="216"/>
      <c r="G1559" s="216"/>
    </row>
    <row r="1560">
      <c r="A1560" s="157"/>
      <c r="B1560" s="216"/>
      <c r="C1560" s="157"/>
      <c r="D1560" s="216"/>
      <c r="E1560" s="216"/>
      <c r="F1560" s="216"/>
      <c r="G1560" s="216"/>
    </row>
    <row r="1561">
      <c r="A1561" s="157"/>
      <c r="B1561" s="216"/>
      <c r="C1561" s="157"/>
      <c r="D1561" s="216"/>
      <c r="E1561" s="216"/>
      <c r="F1561" s="216"/>
      <c r="G1561" s="216"/>
    </row>
    <row r="1562">
      <c r="A1562" s="157"/>
      <c r="B1562" s="216"/>
      <c r="C1562" s="157"/>
      <c r="D1562" s="216"/>
      <c r="E1562" s="216"/>
      <c r="F1562" s="216"/>
      <c r="G1562" s="216"/>
    </row>
    <row r="1563">
      <c r="A1563" s="157"/>
      <c r="B1563" s="216"/>
      <c r="C1563" s="157"/>
      <c r="D1563" s="216"/>
      <c r="E1563" s="216"/>
      <c r="F1563" s="216"/>
      <c r="G1563" s="216"/>
    </row>
    <row r="1564">
      <c r="A1564" s="157"/>
      <c r="B1564" s="216"/>
      <c r="C1564" s="157"/>
      <c r="D1564" s="216"/>
      <c r="E1564" s="216"/>
      <c r="F1564" s="216"/>
      <c r="G1564" s="216"/>
    </row>
    <row r="1565">
      <c r="A1565" s="157"/>
      <c r="B1565" s="216"/>
      <c r="C1565" s="157"/>
      <c r="D1565" s="216"/>
      <c r="E1565" s="216"/>
      <c r="F1565" s="216"/>
      <c r="G1565" s="216"/>
    </row>
    <row r="1566">
      <c r="A1566" s="157"/>
      <c r="B1566" s="216"/>
      <c r="C1566" s="157"/>
      <c r="D1566" s="216"/>
      <c r="E1566" s="216"/>
      <c r="F1566" s="216"/>
      <c r="G1566" s="216"/>
    </row>
    <row r="1567">
      <c r="A1567" s="157"/>
      <c r="B1567" s="216"/>
      <c r="C1567" s="157"/>
      <c r="D1567" s="216"/>
      <c r="E1567" s="216"/>
      <c r="F1567" s="216"/>
      <c r="G1567" s="216"/>
    </row>
    <row r="1568">
      <c r="A1568" s="157"/>
      <c r="B1568" s="216"/>
      <c r="C1568" s="157"/>
      <c r="D1568" s="216"/>
      <c r="E1568" s="216"/>
      <c r="F1568" s="216"/>
      <c r="G1568" s="216"/>
    </row>
    <row r="1569">
      <c r="A1569" s="157"/>
      <c r="B1569" s="216"/>
      <c r="C1569" s="157"/>
      <c r="D1569" s="216"/>
      <c r="E1569" s="216"/>
      <c r="F1569" s="216"/>
      <c r="G1569" s="216"/>
    </row>
    <row r="1570">
      <c r="A1570" s="157"/>
      <c r="B1570" s="216"/>
      <c r="C1570" s="157"/>
      <c r="D1570" s="216"/>
      <c r="E1570" s="216"/>
      <c r="F1570" s="216"/>
      <c r="G1570" s="216"/>
    </row>
    <row r="1571">
      <c r="A1571" s="157"/>
      <c r="B1571" s="216"/>
      <c r="C1571" s="157"/>
      <c r="D1571" s="216"/>
      <c r="E1571" s="216"/>
      <c r="F1571" s="216"/>
      <c r="G1571" s="216"/>
    </row>
    <row r="1572">
      <c r="A1572" s="157"/>
      <c r="B1572" s="216"/>
      <c r="C1572" s="157"/>
      <c r="D1572" s="216"/>
      <c r="E1572" s="216"/>
      <c r="F1572" s="216"/>
      <c r="G1572" s="216"/>
    </row>
    <row r="1573">
      <c r="A1573" s="157"/>
      <c r="B1573" s="216"/>
      <c r="C1573" s="157"/>
      <c r="D1573" s="216"/>
      <c r="E1573" s="216"/>
      <c r="F1573" s="216"/>
      <c r="G1573" s="216"/>
    </row>
    <row r="1574">
      <c r="A1574" s="157"/>
      <c r="B1574" s="216"/>
      <c r="C1574" s="157"/>
      <c r="D1574" s="216"/>
      <c r="E1574" s="216"/>
      <c r="F1574" s="216"/>
      <c r="G1574" s="216"/>
    </row>
    <row r="1575">
      <c r="A1575" s="157"/>
      <c r="B1575" s="216"/>
      <c r="C1575" s="157"/>
      <c r="D1575" s="216"/>
      <c r="E1575" s="216"/>
      <c r="F1575" s="216"/>
      <c r="G1575" s="216"/>
    </row>
    <row r="1576">
      <c r="A1576" s="157"/>
      <c r="B1576" s="216"/>
      <c r="C1576" s="157"/>
      <c r="D1576" s="216"/>
      <c r="E1576" s="216"/>
      <c r="F1576" s="216"/>
      <c r="G1576" s="216"/>
    </row>
    <row r="1577">
      <c r="A1577" s="157"/>
      <c r="B1577" s="216"/>
      <c r="C1577" s="157"/>
      <c r="D1577" s="216"/>
      <c r="E1577" s="216"/>
      <c r="F1577" s="216"/>
      <c r="G1577" s="216"/>
    </row>
    <row r="1578">
      <c r="A1578" s="157"/>
      <c r="B1578" s="216"/>
      <c r="C1578" s="157"/>
      <c r="D1578" s="216"/>
      <c r="E1578" s="216"/>
      <c r="F1578" s="216"/>
      <c r="G1578" s="216"/>
    </row>
    <row r="1579">
      <c r="A1579" s="157"/>
      <c r="B1579" s="216"/>
      <c r="C1579" s="157"/>
      <c r="D1579" s="216"/>
      <c r="E1579" s="216"/>
      <c r="F1579" s="216"/>
      <c r="G1579" s="216"/>
    </row>
    <row r="1580">
      <c r="A1580" s="157"/>
      <c r="B1580" s="216"/>
      <c r="C1580" s="157"/>
      <c r="D1580" s="216"/>
      <c r="E1580" s="216"/>
      <c r="F1580" s="216"/>
      <c r="G1580" s="216"/>
    </row>
    <row r="1581">
      <c r="A1581" s="157"/>
      <c r="B1581" s="216"/>
      <c r="C1581" s="157"/>
      <c r="D1581" s="216"/>
      <c r="E1581" s="216"/>
      <c r="F1581" s="216"/>
      <c r="G1581" s="216"/>
    </row>
    <row r="1582">
      <c r="A1582" s="157"/>
      <c r="B1582" s="216"/>
      <c r="C1582" s="157"/>
      <c r="D1582" s="216"/>
      <c r="E1582" s="216"/>
      <c r="F1582" s="216"/>
      <c r="G1582" s="216"/>
    </row>
    <row r="1583">
      <c r="A1583" s="157"/>
      <c r="B1583" s="216"/>
      <c r="C1583" s="157"/>
      <c r="D1583" s="216"/>
      <c r="E1583" s="216"/>
      <c r="F1583" s="216"/>
      <c r="G1583" s="216"/>
    </row>
    <row r="1584">
      <c r="A1584" s="157"/>
      <c r="B1584" s="216"/>
      <c r="C1584" s="157"/>
      <c r="D1584" s="216"/>
      <c r="E1584" s="216"/>
      <c r="F1584" s="216"/>
      <c r="G1584" s="216"/>
    </row>
    <row r="1585">
      <c r="A1585" s="157"/>
      <c r="B1585" s="216"/>
      <c r="C1585" s="157"/>
      <c r="D1585" s="216"/>
      <c r="E1585" s="216"/>
      <c r="F1585" s="216"/>
      <c r="G1585" s="216"/>
    </row>
    <row r="1586">
      <c r="A1586" s="157"/>
      <c r="B1586" s="216"/>
      <c r="C1586" s="157"/>
      <c r="D1586" s="216"/>
      <c r="E1586" s="216"/>
      <c r="F1586" s="216"/>
      <c r="G1586" s="216"/>
    </row>
    <row r="1587">
      <c r="A1587" s="157"/>
      <c r="B1587" s="216"/>
      <c r="C1587" s="157"/>
      <c r="D1587" s="216"/>
      <c r="E1587" s="216"/>
      <c r="F1587" s="216"/>
      <c r="G1587" s="216"/>
    </row>
    <row r="1588">
      <c r="A1588" s="157"/>
      <c r="B1588" s="216"/>
      <c r="C1588" s="157"/>
      <c r="D1588" s="216"/>
      <c r="E1588" s="216"/>
      <c r="F1588" s="216"/>
      <c r="G1588" s="216"/>
    </row>
    <row r="1589">
      <c r="A1589" s="157"/>
      <c r="B1589" s="216"/>
      <c r="C1589" s="157"/>
      <c r="D1589" s="216"/>
      <c r="E1589" s="216"/>
      <c r="F1589" s="216"/>
      <c r="G1589" s="216"/>
    </row>
    <row r="1590">
      <c r="A1590" s="157"/>
      <c r="B1590" s="216"/>
      <c r="C1590" s="157"/>
      <c r="D1590" s="216"/>
      <c r="E1590" s="216"/>
      <c r="F1590" s="216"/>
      <c r="G1590" s="216"/>
    </row>
    <row r="1591">
      <c r="A1591" s="157"/>
      <c r="B1591" s="216"/>
      <c r="C1591" s="157"/>
      <c r="D1591" s="216"/>
      <c r="E1591" s="216"/>
      <c r="F1591" s="216"/>
      <c r="G1591" s="216"/>
    </row>
    <row r="1592">
      <c r="A1592" s="157"/>
      <c r="B1592" s="216"/>
      <c r="C1592" s="157"/>
      <c r="D1592" s="216"/>
      <c r="E1592" s="216"/>
      <c r="F1592" s="216"/>
      <c r="G1592" s="216"/>
    </row>
    <row r="1593">
      <c r="A1593" s="157"/>
      <c r="B1593" s="216"/>
      <c r="C1593" s="157"/>
      <c r="D1593" s="216"/>
      <c r="E1593" s="216"/>
      <c r="F1593" s="216"/>
      <c r="G1593" s="216"/>
    </row>
    <row r="1594">
      <c r="A1594" s="157"/>
      <c r="B1594" s="216"/>
      <c r="C1594" s="157"/>
      <c r="D1594" s="216"/>
      <c r="E1594" s="216"/>
      <c r="F1594" s="216"/>
      <c r="G1594" s="216"/>
    </row>
    <row r="1595">
      <c r="A1595" s="157"/>
      <c r="B1595" s="216"/>
      <c r="C1595" s="157"/>
      <c r="D1595" s="216"/>
      <c r="E1595" s="216"/>
      <c r="F1595" s="216"/>
      <c r="G1595" s="216"/>
    </row>
    <row r="1596">
      <c r="A1596" s="157"/>
      <c r="B1596" s="216"/>
      <c r="C1596" s="157"/>
      <c r="D1596" s="216"/>
      <c r="E1596" s="216"/>
      <c r="F1596" s="216"/>
      <c r="G1596" s="216"/>
    </row>
    <row r="1597">
      <c r="A1597" s="157"/>
      <c r="B1597" s="216"/>
      <c r="C1597" s="157"/>
      <c r="D1597" s="216"/>
      <c r="E1597" s="216"/>
      <c r="F1597" s="216"/>
      <c r="G1597" s="216"/>
    </row>
    <row r="1598">
      <c r="A1598" s="157"/>
      <c r="B1598" s="216"/>
      <c r="C1598" s="157"/>
      <c r="D1598" s="216"/>
      <c r="E1598" s="216"/>
      <c r="F1598" s="216"/>
      <c r="G1598" s="216"/>
    </row>
    <row r="1599">
      <c r="A1599" s="157"/>
      <c r="B1599" s="216"/>
      <c r="C1599" s="157"/>
      <c r="D1599" s="216"/>
      <c r="E1599" s="216"/>
      <c r="F1599" s="216"/>
      <c r="G1599" s="216"/>
    </row>
    <row r="1600">
      <c r="A1600" s="157"/>
      <c r="B1600" s="216"/>
      <c r="C1600" s="157"/>
      <c r="D1600" s="216"/>
      <c r="E1600" s="216"/>
      <c r="F1600" s="216"/>
      <c r="G1600" s="216"/>
    </row>
    <row r="1601">
      <c r="A1601" s="157"/>
      <c r="B1601" s="216"/>
      <c r="C1601" s="157"/>
      <c r="D1601" s="216"/>
      <c r="E1601" s="216"/>
      <c r="F1601" s="216"/>
      <c r="G1601" s="216"/>
    </row>
    <row r="1602">
      <c r="A1602" s="157"/>
      <c r="B1602" s="216"/>
      <c r="C1602" s="157"/>
      <c r="D1602" s="216"/>
      <c r="E1602" s="216"/>
      <c r="F1602" s="216"/>
      <c r="G1602" s="216"/>
    </row>
    <row r="1603">
      <c r="A1603" s="157"/>
      <c r="B1603" s="216"/>
      <c r="C1603" s="157"/>
      <c r="D1603" s="216"/>
      <c r="E1603" s="216"/>
      <c r="F1603" s="216"/>
      <c r="G1603" s="216"/>
    </row>
    <row r="1604">
      <c r="A1604" s="157"/>
      <c r="B1604" s="216"/>
      <c r="C1604" s="157"/>
      <c r="D1604" s="216"/>
      <c r="E1604" s="216"/>
      <c r="F1604" s="216"/>
      <c r="G1604" s="216"/>
    </row>
    <row r="1605">
      <c r="A1605" s="157"/>
      <c r="B1605" s="216"/>
      <c r="C1605" s="157"/>
      <c r="D1605" s="216"/>
      <c r="E1605" s="216"/>
      <c r="F1605" s="216"/>
      <c r="G1605" s="216"/>
    </row>
    <row r="1606">
      <c r="A1606" s="157"/>
      <c r="B1606" s="216"/>
      <c r="C1606" s="157"/>
      <c r="D1606" s="216"/>
      <c r="E1606" s="216"/>
      <c r="F1606" s="216"/>
      <c r="G1606" s="216"/>
    </row>
    <row r="1607">
      <c r="A1607" s="157"/>
      <c r="B1607" s="216"/>
      <c r="C1607" s="157"/>
      <c r="D1607" s="216"/>
      <c r="E1607" s="216"/>
      <c r="F1607" s="216"/>
      <c r="G1607" s="216"/>
    </row>
    <row r="1608">
      <c r="A1608" s="157"/>
      <c r="B1608" s="216"/>
      <c r="C1608" s="157"/>
      <c r="D1608" s="216"/>
      <c r="E1608" s="216"/>
      <c r="F1608" s="216"/>
      <c r="G1608" s="216"/>
    </row>
    <row r="1609">
      <c r="A1609" s="157"/>
      <c r="B1609" s="216"/>
      <c r="C1609" s="157"/>
      <c r="D1609" s="216"/>
      <c r="E1609" s="216"/>
      <c r="F1609" s="216"/>
      <c r="G1609" s="216"/>
    </row>
    <row r="1610">
      <c r="A1610" s="157"/>
      <c r="B1610" s="216"/>
      <c r="C1610" s="157"/>
      <c r="D1610" s="216"/>
      <c r="E1610" s="216"/>
      <c r="F1610" s="216"/>
      <c r="G1610" s="216"/>
    </row>
    <row r="1611">
      <c r="A1611" s="157"/>
      <c r="B1611" s="216"/>
      <c r="C1611" s="157"/>
      <c r="D1611" s="216"/>
      <c r="E1611" s="216"/>
      <c r="F1611" s="216"/>
      <c r="G1611" s="216"/>
    </row>
    <row r="1612">
      <c r="A1612" s="157"/>
      <c r="B1612" s="216"/>
      <c r="C1612" s="157"/>
      <c r="D1612" s="216"/>
      <c r="E1612" s="216"/>
      <c r="F1612" s="216"/>
      <c r="G1612" s="216"/>
    </row>
    <row r="1613">
      <c r="A1613" s="157"/>
      <c r="B1613" s="216"/>
      <c r="C1613" s="157"/>
      <c r="D1613" s="216"/>
      <c r="E1613" s="216"/>
      <c r="F1613" s="216"/>
      <c r="G1613" s="216"/>
    </row>
    <row r="1614">
      <c r="A1614" s="157"/>
      <c r="B1614" s="216"/>
      <c r="C1614" s="157"/>
      <c r="D1614" s="216"/>
      <c r="E1614" s="216"/>
      <c r="F1614" s="216"/>
      <c r="G1614" s="216"/>
    </row>
    <row r="1615">
      <c r="A1615" s="157"/>
      <c r="B1615" s="216"/>
      <c r="C1615" s="157"/>
      <c r="D1615" s="216"/>
      <c r="E1615" s="216"/>
      <c r="F1615" s="216"/>
      <c r="G1615" s="216"/>
    </row>
    <row r="1616">
      <c r="A1616" s="157"/>
      <c r="B1616" s="216"/>
      <c r="C1616" s="157"/>
      <c r="D1616" s="216"/>
      <c r="E1616" s="216"/>
      <c r="F1616" s="216"/>
      <c r="G1616" s="216"/>
    </row>
    <row r="1617">
      <c r="A1617" s="157"/>
      <c r="B1617" s="216"/>
      <c r="C1617" s="157"/>
      <c r="D1617" s="216"/>
      <c r="E1617" s="216"/>
      <c r="F1617" s="216"/>
      <c r="G1617" s="216"/>
    </row>
    <row r="1618">
      <c r="A1618" s="157"/>
      <c r="B1618" s="216"/>
      <c r="C1618" s="157"/>
      <c r="D1618" s="216"/>
      <c r="E1618" s="216"/>
      <c r="F1618" s="216"/>
      <c r="G1618" s="216"/>
    </row>
    <row r="1619">
      <c r="A1619" s="157"/>
      <c r="B1619" s="216"/>
      <c r="C1619" s="157"/>
      <c r="D1619" s="216"/>
      <c r="E1619" s="216"/>
      <c r="F1619" s="216"/>
      <c r="G1619" s="216"/>
    </row>
    <row r="1620">
      <c r="A1620" s="157"/>
      <c r="B1620" s="216"/>
      <c r="C1620" s="157"/>
      <c r="D1620" s="216"/>
      <c r="E1620" s="216"/>
      <c r="F1620" s="216"/>
      <c r="G1620" s="216"/>
    </row>
    <row r="1621">
      <c r="A1621" s="157"/>
      <c r="B1621" s="216"/>
      <c r="C1621" s="157"/>
      <c r="D1621" s="216"/>
      <c r="E1621" s="216"/>
      <c r="F1621" s="216"/>
      <c r="G1621" s="216"/>
    </row>
    <row r="1622">
      <c r="A1622" s="157"/>
      <c r="B1622" s="216"/>
      <c r="C1622" s="157"/>
      <c r="D1622" s="216"/>
      <c r="E1622" s="216"/>
      <c r="F1622" s="216"/>
      <c r="G1622" s="216"/>
    </row>
    <row r="1623">
      <c r="A1623" s="157"/>
      <c r="B1623" s="216"/>
      <c r="C1623" s="157"/>
      <c r="D1623" s="216"/>
      <c r="E1623" s="216"/>
      <c r="F1623" s="216"/>
      <c r="G1623" s="216"/>
    </row>
    <row r="1624">
      <c r="A1624" s="157"/>
      <c r="B1624" s="216"/>
      <c r="C1624" s="157"/>
      <c r="D1624" s="216"/>
      <c r="E1624" s="216"/>
      <c r="F1624" s="216"/>
      <c r="G1624" s="216"/>
    </row>
    <row r="1625">
      <c r="A1625" s="157"/>
      <c r="B1625" s="216"/>
      <c r="C1625" s="157"/>
      <c r="D1625" s="216"/>
      <c r="E1625" s="216"/>
      <c r="F1625" s="216"/>
      <c r="G1625" s="216"/>
    </row>
    <row r="1626">
      <c r="A1626" s="157"/>
      <c r="B1626" s="216"/>
      <c r="C1626" s="157"/>
      <c r="D1626" s="216"/>
      <c r="E1626" s="216"/>
      <c r="F1626" s="216"/>
      <c r="G1626" s="216"/>
    </row>
    <row r="1627">
      <c r="A1627" s="157"/>
      <c r="B1627" s="216"/>
      <c r="C1627" s="157"/>
      <c r="D1627" s="216"/>
      <c r="E1627" s="216"/>
      <c r="F1627" s="216"/>
      <c r="G1627" s="216"/>
    </row>
    <row r="1628">
      <c r="A1628" s="157"/>
      <c r="B1628" s="216"/>
      <c r="C1628" s="157"/>
      <c r="D1628" s="216"/>
      <c r="E1628" s="216"/>
      <c r="F1628" s="216"/>
      <c r="G1628" s="216"/>
    </row>
    <row r="1629">
      <c r="A1629" s="157"/>
      <c r="B1629" s="216"/>
      <c r="C1629" s="157"/>
      <c r="D1629" s="216"/>
      <c r="E1629" s="216"/>
      <c r="F1629" s="216"/>
      <c r="G1629" s="216"/>
    </row>
    <row r="1630">
      <c r="A1630" s="157"/>
      <c r="B1630" s="216"/>
      <c r="C1630" s="157"/>
      <c r="D1630" s="216"/>
      <c r="E1630" s="216"/>
      <c r="F1630" s="216"/>
      <c r="G1630" s="216"/>
    </row>
    <row r="1631">
      <c r="A1631" s="157"/>
      <c r="B1631" s="216"/>
      <c r="C1631" s="157"/>
      <c r="D1631" s="216"/>
      <c r="E1631" s="216"/>
      <c r="F1631" s="216"/>
      <c r="G1631" s="216"/>
    </row>
    <row r="1632">
      <c r="A1632" s="157"/>
      <c r="B1632" s="216"/>
      <c r="C1632" s="157"/>
      <c r="D1632" s="216"/>
      <c r="E1632" s="216"/>
      <c r="F1632" s="216"/>
      <c r="G1632" s="216"/>
    </row>
    <row r="1633">
      <c r="A1633" s="157"/>
      <c r="B1633" s="216"/>
      <c r="C1633" s="157"/>
      <c r="D1633" s="216"/>
      <c r="E1633" s="216"/>
      <c r="F1633" s="216"/>
      <c r="G1633" s="216"/>
    </row>
    <row r="1634">
      <c r="A1634" s="157"/>
      <c r="B1634" s="216"/>
      <c r="C1634" s="157"/>
      <c r="D1634" s="216"/>
      <c r="E1634" s="216"/>
      <c r="F1634" s="216"/>
      <c r="G1634" s="216"/>
    </row>
    <row r="1635">
      <c r="A1635" s="157"/>
      <c r="B1635" s="216"/>
      <c r="C1635" s="157"/>
      <c r="D1635" s="216"/>
      <c r="E1635" s="216"/>
      <c r="F1635" s="216"/>
      <c r="G1635" s="216"/>
    </row>
    <row r="1636">
      <c r="A1636" s="157"/>
      <c r="B1636" s="216"/>
      <c r="C1636" s="157"/>
      <c r="D1636" s="216"/>
      <c r="E1636" s="216"/>
      <c r="F1636" s="216"/>
      <c r="G1636" s="216"/>
    </row>
    <row r="1637">
      <c r="A1637" s="157"/>
      <c r="B1637" s="216"/>
      <c r="C1637" s="157"/>
      <c r="D1637" s="216"/>
      <c r="E1637" s="216"/>
      <c r="F1637" s="216"/>
      <c r="G1637" s="216"/>
    </row>
    <row r="1638">
      <c r="A1638" s="157"/>
      <c r="B1638" s="216"/>
      <c r="C1638" s="157"/>
      <c r="D1638" s="216"/>
      <c r="E1638" s="216"/>
      <c r="F1638" s="216"/>
      <c r="G1638" s="216"/>
    </row>
    <row r="1639">
      <c r="A1639" s="157"/>
      <c r="B1639" s="216"/>
      <c r="C1639" s="157"/>
      <c r="D1639" s="216"/>
      <c r="E1639" s="216"/>
      <c r="F1639" s="216"/>
      <c r="G1639" s="216"/>
    </row>
    <row r="1640">
      <c r="A1640" s="157"/>
      <c r="B1640" s="216"/>
      <c r="C1640" s="157"/>
      <c r="D1640" s="216"/>
      <c r="E1640" s="216"/>
      <c r="F1640" s="216"/>
      <c r="G1640" s="216"/>
    </row>
    <row r="1641">
      <c r="A1641" s="157"/>
      <c r="B1641" s="216"/>
      <c r="C1641" s="157"/>
      <c r="D1641" s="216"/>
      <c r="E1641" s="216"/>
      <c r="F1641" s="216"/>
      <c r="G1641" s="216"/>
    </row>
    <row r="1642">
      <c r="A1642" s="157"/>
      <c r="B1642" s="216"/>
      <c r="C1642" s="157"/>
      <c r="D1642" s="216"/>
      <c r="E1642" s="216"/>
      <c r="F1642" s="216"/>
      <c r="G1642" s="216"/>
    </row>
    <row r="1643">
      <c r="A1643" s="157"/>
      <c r="B1643" s="216"/>
      <c r="C1643" s="157"/>
      <c r="D1643" s="216"/>
      <c r="E1643" s="216"/>
      <c r="F1643" s="216"/>
      <c r="G1643" s="216"/>
    </row>
    <row r="1644">
      <c r="A1644" s="157"/>
      <c r="B1644" s="216"/>
      <c r="C1644" s="157"/>
      <c r="D1644" s="216"/>
      <c r="E1644" s="216"/>
      <c r="F1644" s="216"/>
      <c r="G1644" s="216"/>
    </row>
    <row r="1645">
      <c r="A1645" s="157"/>
      <c r="B1645" s="216"/>
      <c r="C1645" s="157"/>
      <c r="D1645" s="216"/>
      <c r="E1645" s="216"/>
      <c r="F1645" s="216"/>
      <c r="G1645" s="216"/>
    </row>
    <row r="1646">
      <c r="A1646" s="157"/>
      <c r="B1646" s="216"/>
      <c r="C1646" s="157"/>
      <c r="D1646" s="216"/>
      <c r="E1646" s="216"/>
      <c r="F1646" s="216"/>
      <c r="G1646" s="216"/>
    </row>
    <row r="1647">
      <c r="A1647" s="157"/>
      <c r="B1647" s="216"/>
      <c r="C1647" s="157"/>
      <c r="D1647" s="216"/>
      <c r="E1647" s="216"/>
      <c r="F1647" s="216"/>
      <c r="G1647" s="216"/>
    </row>
    <row r="1648">
      <c r="A1648" s="157"/>
      <c r="B1648" s="216"/>
      <c r="C1648" s="157"/>
      <c r="D1648" s="216"/>
      <c r="E1648" s="216"/>
      <c r="F1648" s="216"/>
      <c r="G1648" s="216"/>
    </row>
    <row r="1649">
      <c r="A1649" s="157"/>
      <c r="B1649" s="216"/>
      <c r="C1649" s="157"/>
      <c r="D1649" s="216"/>
      <c r="E1649" s="216"/>
      <c r="F1649" s="216"/>
      <c r="G1649" s="216"/>
    </row>
    <row r="1650">
      <c r="A1650" s="157"/>
      <c r="B1650" s="216"/>
      <c r="C1650" s="157"/>
      <c r="D1650" s="216"/>
      <c r="E1650" s="216"/>
      <c r="F1650" s="216"/>
      <c r="G1650" s="216"/>
    </row>
    <row r="1651">
      <c r="A1651" s="157"/>
      <c r="B1651" s="216"/>
      <c r="C1651" s="157"/>
      <c r="D1651" s="216"/>
      <c r="E1651" s="216"/>
      <c r="F1651" s="216"/>
      <c r="G1651" s="216"/>
    </row>
    <row r="1652">
      <c r="A1652" s="157"/>
      <c r="B1652" s="216"/>
      <c r="C1652" s="157"/>
      <c r="D1652" s="216"/>
      <c r="E1652" s="216"/>
      <c r="F1652" s="216"/>
      <c r="G1652" s="216"/>
    </row>
    <row r="1653">
      <c r="A1653" s="157"/>
      <c r="B1653" s="216"/>
      <c r="C1653" s="157"/>
      <c r="D1653" s="216"/>
      <c r="E1653" s="216"/>
      <c r="F1653" s="216"/>
      <c r="G1653" s="216"/>
    </row>
    <row r="1654">
      <c r="A1654" s="157"/>
      <c r="B1654" s="216"/>
      <c r="C1654" s="157"/>
      <c r="D1654" s="216"/>
      <c r="E1654" s="216"/>
      <c r="F1654" s="216"/>
      <c r="G1654" s="216"/>
    </row>
    <row r="1655">
      <c r="A1655" s="157"/>
      <c r="B1655" s="216"/>
      <c r="C1655" s="157"/>
      <c r="D1655" s="216"/>
      <c r="E1655" s="216"/>
      <c r="F1655" s="216"/>
      <c r="G1655" s="216"/>
    </row>
    <row r="1656">
      <c r="A1656" s="157"/>
      <c r="B1656" s="216"/>
      <c r="C1656" s="157"/>
      <c r="D1656" s="216"/>
      <c r="E1656" s="216"/>
      <c r="F1656" s="216"/>
      <c r="G1656" s="216"/>
    </row>
    <row r="1657">
      <c r="A1657" s="157"/>
      <c r="B1657" s="216"/>
      <c r="C1657" s="157"/>
      <c r="D1657" s="216"/>
      <c r="E1657" s="216"/>
      <c r="F1657" s="216"/>
      <c r="G1657" s="216"/>
    </row>
    <row r="1658">
      <c r="A1658" s="157"/>
      <c r="B1658" s="216"/>
      <c r="C1658" s="157"/>
      <c r="D1658" s="216"/>
      <c r="E1658" s="216"/>
      <c r="F1658" s="216"/>
      <c r="G1658" s="216"/>
    </row>
    <row r="1659">
      <c r="A1659" s="157"/>
      <c r="B1659" s="216"/>
      <c r="C1659" s="157"/>
      <c r="D1659" s="216"/>
      <c r="E1659" s="216"/>
      <c r="F1659" s="216"/>
      <c r="G1659" s="216"/>
    </row>
    <row r="1660">
      <c r="A1660" s="157"/>
      <c r="B1660" s="216"/>
      <c r="C1660" s="157"/>
      <c r="D1660" s="216"/>
      <c r="E1660" s="216"/>
      <c r="F1660" s="216"/>
      <c r="G1660" s="216"/>
    </row>
    <row r="1661">
      <c r="A1661" s="157"/>
      <c r="B1661" s="216"/>
      <c r="C1661" s="157"/>
      <c r="D1661" s="216"/>
      <c r="E1661" s="216"/>
      <c r="F1661" s="216"/>
      <c r="G1661" s="216"/>
    </row>
    <row r="1662">
      <c r="A1662" s="157"/>
      <c r="B1662" s="216"/>
      <c r="C1662" s="157"/>
      <c r="D1662" s="216"/>
      <c r="E1662" s="216"/>
      <c r="F1662" s="216"/>
      <c r="G1662" s="216"/>
    </row>
    <row r="1663">
      <c r="A1663" s="157"/>
      <c r="B1663" s="216"/>
      <c r="C1663" s="157"/>
      <c r="D1663" s="216"/>
      <c r="E1663" s="216"/>
      <c r="F1663" s="216"/>
      <c r="G1663" s="216"/>
    </row>
    <row r="1664">
      <c r="A1664" s="157"/>
      <c r="B1664" s="216"/>
      <c r="C1664" s="157"/>
      <c r="D1664" s="216"/>
      <c r="E1664" s="216"/>
      <c r="F1664" s="216"/>
      <c r="G1664" s="216"/>
    </row>
    <row r="1665">
      <c r="A1665" s="157"/>
      <c r="B1665" s="216"/>
      <c r="C1665" s="157"/>
      <c r="D1665" s="216"/>
      <c r="E1665" s="216"/>
      <c r="F1665" s="216"/>
      <c r="G1665" s="216"/>
    </row>
    <row r="1666">
      <c r="A1666" s="157"/>
      <c r="B1666" s="216"/>
      <c r="C1666" s="157"/>
      <c r="D1666" s="216"/>
      <c r="E1666" s="216"/>
      <c r="F1666" s="216"/>
      <c r="G1666" s="216"/>
    </row>
    <row r="1667">
      <c r="A1667" s="157"/>
      <c r="B1667" s="216"/>
      <c r="C1667" s="157"/>
      <c r="D1667" s="216"/>
      <c r="E1667" s="216"/>
      <c r="F1667" s="216"/>
      <c r="G1667" s="216"/>
    </row>
    <row r="1668">
      <c r="A1668" s="157"/>
      <c r="B1668" s="216"/>
      <c r="C1668" s="157"/>
      <c r="D1668" s="216"/>
      <c r="E1668" s="216"/>
      <c r="F1668" s="216"/>
      <c r="G1668" s="216"/>
    </row>
    <row r="1669">
      <c r="A1669" s="157"/>
      <c r="B1669" s="216"/>
      <c r="C1669" s="157"/>
      <c r="D1669" s="216"/>
      <c r="E1669" s="216"/>
      <c r="F1669" s="216"/>
      <c r="G1669" s="216"/>
    </row>
    <row r="1670">
      <c r="A1670" s="157"/>
      <c r="B1670" s="216"/>
      <c r="C1670" s="157"/>
      <c r="D1670" s="216"/>
      <c r="E1670" s="216"/>
      <c r="F1670" s="216"/>
      <c r="G1670" s="216"/>
    </row>
    <row r="1671">
      <c r="A1671" s="157"/>
      <c r="B1671" s="216"/>
      <c r="C1671" s="157"/>
      <c r="D1671" s="216"/>
      <c r="E1671" s="216"/>
      <c r="F1671" s="216"/>
      <c r="G1671" s="216"/>
    </row>
    <row r="1672">
      <c r="A1672" s="157"/>
      <c r="B1672" s="216"/>
      <c r="C1672" s="157"/>
      <c r="D1672" s="216"/>
      <c r="E1672" s="216"/>
      <c r="F1672" s="216"/>
      <c r="G1672" s="216"/>
    </row>
    <row r="1673">
      <c r="A1673" s="157"/>
      <c r="B1673" s="216"/>
      <c r="C1673" s="157"/>
      <c r="D1673" s="216"/>
      <c r="E1673" s="216"/>
      <c r="F1673" s="216"/>
      <c r="G1673" s="216"/>
    </row>
    <row r="1674">
      <c r="A1674" s="157"/>
      <c r="B1674" s="216"/>
      <c r="C1674" s="157"/>
      <c r="D1674" s="216"/>
      <c r="E1674" s="216"/>
      <c r="F1674" s="216"/>
      <c r="G1674" s="216"/>
    </row>
    <row r="1675">
      <c r="A1675" s="157"/>
      <c r="B1675" s="216"/>
      <c r="C1675" s="157"/>
      <c r="D1675" s="216"/>
      <c r="E1675" s="216"/>
      <c r="F1675" s="216"/>
      <c r="G1675" s="216"/>
    </row>
    <row r="1676">
      <c r="A1676" s="157"/>
      <c r="B1676" s="216"/>
      <c r="C1676" s="157"/>
      <c r="D1676" s="216"/>
      <c r="E1676" s="216"/>
      <c r="F1676" s="216"/>
      <c r="G1676" s="216"/>
    </row>
    <row r="1677">
      <c r="A1677" s="157"/>
      <c r="B1677" s="216"/>
      <c r="C1677" s="157"/>
      <c r="D1677" s="216"/>
      <c r="E1677" s="216"/>
      <c r="F1677" s="216"/>
      <c r="G1677" s="216"/>
    </row>
    <row r="1678">
      <c r="A1678" s="157"/>
      <c r="B1678" s="216"/>
      <c r="C1678" s="157"/>
      <c r="D1678" s="216"/>
      <c r="E1678" s="216"/>
      <c r="F1678" s="216"/>
      <c r="G1678" s="216"/>
    </row>
    <row r="1679">
      <c r="A1679" s="157"/>
      <c r="B1679" s="216"/>
      <c r="C1679" s="157"/>
      <c r="D1679" s="216"/>
      <c r="E1679" s="216"/>
      <c r="F1679" s="216"/>
      <c r="G1679" s="216"/>
    </row>
    <row r="1680">
      <c r="A1680" s="157"/>
      <c r="B1680" s="216"/>
      <c r="C1680" s="157"/>
      <c r="D1680" s="216"/>
      <c r="E1680" s="216"/>
      <c r="F1680" s="216"/>
      <c r="G1680" s="216"/>
    </row>
    <row r="1681">
      <c r="A1681" s="157"/>
      <c r="B1681" s="216"/>
      <c r="C1681" s="157"/>
      <c r="D1681" s="216"/>
      <c r="E1681" s="216"/>
      <c r="F1681" s="216"/>
      <c r="G1681" s="216"/>
    </row>
    <row r="1682">
      <c r="A1682" s="157"/>
      <c r="B1682" s="216"/>
      <c r="C1682" s="157"/>
      <c r="D1682" s="216"/>
      <c r="E1682" s="216"/>
      <c r="F1682" s="216"/>
      <c r="G1682" s="216"/>
    </row>
    <row r="1683">
      <c r="A1683" s="157"/>
      <c r="B1683" s="216"/>
      <c r="C1683" s="157"/>
      <c r="D1683" s="216"/>
      <c r="E1683" s="216"/>
      <c r="F1683" s="216"/>
      <c r="G1683" s="216"/>
    </row>
    <row r="1684">
      <c r="A1684" s="157"/>
      <c r="B1684" s="216"/>
      <c r="C1684" s="157"/>
      <c r="D1684" s="216"/>
      <c r="E1684" s="216"/>
      <c r="F1684" s="216"/>
      <c r="G1684" s="216"/>
    </row>
    <row r="1685">
      <c r="A1685" s="157"/>
      <c r="B1685" s="216"/>
      <c r="C1685" s="157"/>
      <c r="D1685" s="216"/>
      <c r="E1685" s="216"/>
      <c r="F1685" s="216"/>
      <c r="G1685" s="216"/>
    </row>
    <row r="1686">
      <c r="A1686" s="157"/>
      <c r="B1686" s="216"/>
      <c r="C1686" s="157"/>
      <c r="D1686" s="216"/>
      <c r="E1686" s="216"/>
      <c r="F1686" s="216"/>
      <c r="G1686" s="216"/>
    </row>
    <row r="1687">
      <c r="A1687" s="157"/>
      <c r="B1687" s="216"/>
      <c r="C1687" s="157"/>
      <c r="D1687" s="216"/>
      <c r="E1687" s="216"/>
      <c r="F1687" s="216"/>
      <c r="G1687" s="216"/>
    </row>
    <row r="1688">
      <c r="A1688" s="157"/>
      <c r="B1688" s="216"/>
      <c r="C1688" s="157"/>
      <c r="D1688" s="216"/>
      <c r="E1688" s="216"/>
      <c r="F1688" s="216"/>
      <c r="G1688" s="216"/>
    </row>
    <row r="1689">
      <c r="A1689" s="157"/>
      <c r="B1689" s="216"/>
      <c r="C1689" s="157"/>
      <c r="D1689" s="216"/>
      <c r="E1689" s="216"/>
      <c r="F1689" s="216"/>
      <c r="G1689" s="216"/>
    </row>
    <row r="1690">
      <c r="A1690" s="157"/>
      <c r="B1690" s="216"/>
      <c r="C1690" s="157"/>
      <c r="D1690" s="216"/>
      <c r="E1690" s="216"/>
      <c r="F1690" s="216"/>
      <c r="G1690" s="216"/>
    </row>
    <row r="1691">
      <c r="A1691" s="157"/>
      <c r="B1691" s="216"/>
      <c r="C1691" s="157"/>
      <c r="D1691" s="216"/>
      <c r="E1691" s="216"/>
      <c r="F1691" s="216"/>
      <c r="G1691" s="216"/>
    </row>
    <row r="1692">
      <c r="A1692" s="157"/>
      <c r="B1692" s="216"/>
      <c r="C1692" s="157"/>
      <c r="D1692" s="216"/>
      <c r="E1692" s="216"/>
      <c r="F1692" s="216"/>
      <c r="G1692" s="216"/>
    </row>
    <row r="1693">
      <c r="A1693" s="157"/>
      <c r="B1693" s="216"/>
      <c r="C1693" s="157"/>
      <c r="D1693" s="216"/>
      <c r="E1693" s="216"/>
      <c r="F1693" s="216"/>
      <c r="G1693" s="216"/>
    </row>
    <row r="1694">
      <c r="A1694" s="157"/>
      <c r="B1694" s="216"/>
      <c r="C1694" s="157"/>
      <c r="D1694" s="216"/>
      <c r="E1694" s="216"/>
      <c r="F1694" s="216"/>
      <c r="G1694" s="216"/>
    </row>
    <row r="1695">
      <c r="A1695" s="157"/>
      <c r="B1695" s="216"/>
      <c r="C1695" s="157"/>
      <c r="D1695" s="216"/>
      <c r="E1695" s="216"/>
      <c r="F1695" s="216"/>
      <c r="G1695" s="216"/>
    </row>
    <row r="1696">
      <c r="A1696" s="157"/>
      <c r="B1696" s="216"/>
      <c r="C1696" s="157"/>
      <c r="D1696" s="216"/>
      <c r="E1696" s="216"/>
      <c r="F1696" s="216"/>
      <c r="G1696" s="216"/>
    </row>
    <row r="1697">
      <c r="A1697" s="157"/>
      <c r="B1697" s="216"/>
      <c r="C1697" s="157"/>
      <c r="D1697" s="216"/>
      <c r="E1697" s="216"/>
      <c r="F1697" s="216"/>
      <c r="G1697" s="216"/>
    </row>
    <row r="1698">
      <c r="A1698" s="157"/>
      <c r="B1698" s="216"/>
      <c r="C1698" s="157"/>
      <c r="D1698" s="216"/>
      <c r="E1698" s="216"/>
      <c r="F1698" s="216"/>
      <c r="G1698" s="216"/>
    </row>
    <row r="1699">
      <c r="A1699" s="157"/>
      <c r="B1699" s="216"/>
      <c r="C1699" s="157"/>
      <c r="D1699" s="216"/>
      <c r="E1699" s="216"/>
      <c r="F1699" s="216"/>
      <c r="G1699" s="216"/>
    </row>
    <row r="1700">
      <c r="A1700" s="157"/>
      <c r="B1700" s="216"/>
      <c r="C1700" s="157"/>
      <c r="D1700" s="216"/>
      <c r="E1700" s="216"/>
      <c r="F1700" s="216"/>
      <c r="G1700" s="216"/>
    </row>
    <row r="1701">
      <c r="A1701" s="157"/>
      <c r="B1701" s="216"/>
      <c r="C1701" s="157"/>
      <c r="D1701" s="216"/>
      <c r="E1701" s="216"/>
      <c r="F1701" s="216"/>
      <c r="G1701" s="216"/>
    </row>
    <row r="1702">
      <c r="A1702" s="157"/>
      <c r="B1702" s="216"/>
      <c r="C1702" s="157"/>
      <c r="D1702" s="216"/>
      <c r="E1702" s="216"/>
      <c r="F1702" s="216"/>
      <c r="G1702" s="216"/>
    </row>
    <row r="1703">
      <c r="A1703" s="157"/>
      <c r="B1703" s="216"/>
      <c r="C1703" s="157"/>
      <c r="D1703" s="216"/>
      <c r="E1703" s="216"/>
      <c r="F1703" s="216"/>
      <c r="G1703" s="216"/>
    </row>
    <row r="1704">
      <c r="A1704" s="157"/>
      <c r="B1704" s="216"/>
      <c r="C1704" s="157"/>
      <c r="D1704" s="216"/>
      <c r="E1704" s="216"/>
      <c r="F1704" s="216"/>
      <c r="G1704" s="216"/>
    </row>
    <row r="1705">
      <c r="A1705" s="157"/>
      <c r="B1705" s="216"/>
      <c r="C1705" s="157"/>
      <c r="D1705" s="216"/>
      <c r="E1705" s="216"/>
      <c r="F1705" s="216"/>
      <c r="G1705" s="216"/>
    </row>
    <row r="1706">
      <c r="A1706" s="157"/>
      <c r="B1706" s="216"/>
      <c r="C1706" s="157"/>
      <c r="D1706" s="216"/>
      <c r="E1706" s="216"/>
      <c r="F1706" s="216"/>
      <c r="G1706" s="216"/>
    </row>
    <row r="1707">
      <c r="A1707" s="157"/>
      <c r="B1707" s="216"/>
      <c r="C1707" s="157"/>
      <c r="D1707" s="216"/>
      <c r="E1707" s="216"/>
      <c r="F1707" s="216"/>
      <c r="G1707" s="216"/>
    </row>
    <row r="1708">
      <c r="A1708" s="157"/>
      <c r="B1708" s="216"/>
      <c r="C1708" s="157"/>
      <c r="D1708" s="216"/>
      <c r="E1708" s="216"/>
      <c r="F1708" s="216"/>
      <c r="G1708" s="216"/>
    </row>
    <row r="1709">
      <c r="A1709" s="157"/>
      <c r="B1709" s="216"/>
      <c r="C1709" s="157"/>
      <c r="D1709" s="216"/>
      <c r="E1709" s="216"/>
      <c r="F1709" s="216"/>
      <c r="G1709" s="216"/>
    </row>
    <row r="1710">
      <c r="A1710" s="157"/>
      <c r="B1710" s="216"/>
      <c r="C1710" s="157"/>
      <c r="D1710" s="216"/>
      <c r="E1710" s="216"/>
      <c r="F1710" s="216"/>
      <c r="G1710" s="216"/>
    </row>
    <row r="1711">
      <c r="A1711" s="157"/>
      <c r="B1711" s="216"/>
      <c r="C1711" s="157"/>
      <c r="D1711" s="216"/>
      <c r="E1711" s="216"/>
      <c r="F1711" s="216"/>
      <c r="G1711" s="216"/>
    </row>
    <row r="1712">
      <c r="A1712" s="157"/>
      <c r="B1712" s="216"/>
      <c r="C1712" s="157"/>
      <c r="D1712" s="216"/>
      <c r="E1712" s="216"/>
      <c r="F1712" s="216"/>
      <c r="G1712" s="216"/>
    </row>
    <row r="1713">
      <c r="A1713" s="157"/>
      <c r="B1713" s="216"/>
      <c r="C1713" s="157"/>
      <c r="D1713" s="216"/>
      <c r="E1713" s="216"/>
      <c r="F1713" s="216"/>
      <c r="G1713" s="216"/>
    </row>
    <row r="1714">
      <c r="A1714" s="157"/>
      <c r="B1714" s="216"/>
      <c r="C1714" s="157"/>
      <c r="D1714" s="216"/>
      <c r="E1714" s="216"/>
      <c r="F1714" s="216"/>
      <c r="G1714" s="216"/>
    </row>
    <row r="1715">
      <c r="A1715" s="157"/>
      <c r="B1715" s="216"/>
      <c r="C1715" s="157"/>
      <c r="D1715" s="216"/>
      <c r="E1715" s="216"/>
      <c r="F1715" s="216"/>
      <c r="G1715" s="216"/>
    </row>
    <row r="1716">
      <c r="A1716" s="157"/>
      <c r="B1716" s="216"/>
      <c r="C1716" s="157"/>
      <c r="D1716" s="216"/>
      <c r="E1716" s="216"/>
      <c r="F1716" s="216"/>
      <c r="G1716" s="216"/>
    </row>
    <row r="1717">
      <c r="A1717" s="157"/>
      <c r="B1717" s="216"/>
      <c r="C1717" s="157"/>
      <c r="D1717" s="216"/>
      <c r="E1717" s="216"/>
      <c r="F1717" s="216"/>
      <c r="G1717" s="216"/>
    </row>
    <row r="1718">
      <c r="A1718" s="157"/>
      <c r="B1718" s="216"/>
      <c r="C1718" s="157"/>
      <c r="D1718" s="216"/>
      <c r="E1718" s="216"/>
      <c r="F1718" s="216"/>
      <c r="G1718" s="216"/>
    </row>
    <row r="1719">
      <c r="A1719" s="157"/>
      <c r="B1719" s="216"/>
      <c r="C1719" s="157"/>
      <c r="D1719" s="216"/>
      <c r="E1719" s="216"/>
      <c r="F1719" s="216"/>
      <c r="G1719" s="216"/>
    </row>
    <row r="1720">
      <c r="A1720" s="157"/>
      <c r="B1720" s="216"/>
      <c r="C1720" s="157"/>
      <c r="D1720" s="216"/>
      <c r="E1720" s="216"/>
      <c r="F1720" s="216"/>
      <c r="G1720" s="216"/>
    </row>
    <row r="1721">
      <c r="A1721" s="157"/>
      <c r="B1721" s="216"/>
      <c r="C1721" s="157"/>
      <c r="D1721" s="216"/>
      <c r="E1721" s="216"/>
      <c r="F1721" s="216"/>
      <c r="G1721" s="216"/>
    </row>
    <row r="1722">
      <c r="A1722" s="157"/>
      <c r="B1722" s="216"/>
      <c r="C1722" s="157"/>
      <c r="D1722" s="216"/>
      <c r="E1722" s="216"/>
      <c r="F1722" s="216"/>
      <c r="G1722" s="216"/>
    </row>
    <row r="1723">
      <c r="A1723" s="157"/>
      <c r="B1723" s="216"/>
      <c r="C1723" s="157"/>
      <c r="D1723" s="216"/>
      <c r="E1723" s="216"/>
      <c r="F1723" s="216"/>
      <c r="G1723" s="216"/>
    </row>
    <row r="1724">
      <c r="A1724" s="157"/>
      <c r="B1724" s="216"/>
      <c r="C1724" s="157"/>
      <c r="D1724" s="216"/>
      <c r="E1724" s="216"/>
      <c r="F1724" s="216"/>
      <c r="G1724" s="216"/>
    </row>
    <row r="1725">
      <c r="A1725" s="157"/>
      <c r="B1725" s="216"/>
      <c r="C1725" s="157"/>
      <c r="D1725" s="216"/>
      <c r="E1725" s="216"/>
      <c r="F1725" s="216"/>
      <c r="G1725" s="216"/>
    </row>
    <row r="1726">
      <c r="A1726" s="157"/>
      <c r="B1726" s="216"/>
      <c r="C1726" s="157"/>
      <c r="D1726" s="216"/>
      <c r="E1726" s="216"/>
      <c r="F1726" s="216"/>
      <c r="G1726" s="216"/>
    </row>
    <row r="1727">
      <c r="A1727" s="157"/>
      <c r="B1727" s="216"/>
      <c r="C1727" s="157"/>
      <c r="D1727" s="216"/>
      <c r="E1727" s="216"/>
      <c r="F1727" s="216"/>
      <c r="G1727" s="216"/>
    </row>
    <row r="1728">
      <c r="A1728" s="157"/>
      <c r="B1728" s="216"/>
      <c r="C1728" s="157"/>
      <c r="D1728" s="216"/>
      <c r="E1728" s="216"/>
      <c r="F1728" s="216"/>
      <c r="G1728" s="216"/>
    </row>
    <row r="1729">
      <c r="A1729" s="157"/>
      <c r="B1729" s="216"/>
      <c r="C1729" s="157"/>
      <c r="D1729" s="216"/>
      <c r="E1729" s="216"/>
      <c r="F1729" s="216"/>
      <c r="G1729" s="216"/>
    </row>
    <row r="1730">
      <c r="A1730" s="157"/>
      <c r="B1730" s="216"/>
      <c r="C1730" s="157"/>
      <c r="D1730" s="216"/>
      <c r="E1730" s="216"/>
      <c r="F1730" s="216"/>
      <c r="G1730" s="216"/>
    </row>
    <row r="1731">
      <c r="A1731" s="157"/>
      <c r="B1731" s="216"/>
      <c r="C1731" s="157"/>
      <c r="D1731" s="216"/>
      <c r="E1731" s="216"/>
      <c r="F1731" s="216"/>
      <c r="G1731" s="216"/>
    </row>
    <row r="1732">
      <c r="A1732" s="157"/>
      <c r="B1732" s="216"/>
      <c r="C1732" s="157"/>
      <c r="D1732" s="216"/>
      <c r="E1732" s="216"/>
      <c r="F1732" s="216"/>
      <c r="G1732" s="216"/>
    </row>
    <row r="1733">
      <c r="A1733" s="157"/>
      <c r="B1733" s="216"/>
      <c r="C1733" s="157"/>
      <c r="D1733" s="216"/>
      <c r="E1733" s="216"/>
      <c r="F1733" s="216"/>
      <c r="G1733" s="216"/>
    </row>
    <row r="1734">
      <c r="A1734" s="157"/>
      <c r="B1734" s="216"/>
      <c r="C1734" s="157"/>
      <c r="D1734" s="216"/>
      <c r="E1734" s="216"/>
      <c r="F1734" s="216"/>
      <c r="G1734" s="216"/>
    </row>
    <row r="1735">
      <c r="A1735" s="157"/>
      <c r="B1735" s="216"/>
      <c r="C1735" s="157"/>
      <c r="D1735" s="216"/>
      <c r="E1735" s="216"/>
      <c r="F1735" s="216"/>
      <c r="G1735" s="216"/>
    </row>
    <row r="1736">
      <c r="A1736" s="157"/>
      <c r="B1736" s="216"/>
      <c r="C1736" s="157"/>
      <c r="D1736" s="216"/>
      <c r="E1736" s="216"/>
      <c r="F1736" s="216"/>
      <c r="G1736" s="216"/>
    </row>
    <row r="1737">
      <c r="A1737" s="157"/>
      <c r="B1737" s="216"/>
      <c r="C1737" s="157"/>
      <c r="D1737" s="216"/>
      <c r="E1737" s="216"/>
      <c r="F1737" s="216"/>
      <c r="G1737" s="216"/>
    </row>
    <row r="1738">
      <c r="A1738" s="157"/>
      <c r="B1738" s="216"/>
      <c r="C1738" s="157"/>
      <c r="D1738" s="216"/>
      <c r="E1738" s="216"/>
      <c r="F1738" s="216"/>
      <c r="G1738" s="216"/>
    </row>
    <row r="1739">
      <c r="A1739" s="157"/>
      <c r="B1739" s="216"/>
      <c r="C1739" s="157"/>
      <c r="D1739" s="216"/>
      <c r="E1739" s="216"/>
      <c r="F1739" s="216"/>
      <c r="G1739" s="216"/>
    </row>
    <row r="1740">
      <c r="A1740" s="157"/>
      <c r="B1740" s="216"/>
      <c r="C1740" s="157"/>
      <c r="D1740" s="216"/>
      <c r="E1740" s="216"/>
      <c r="F1740" s="216"/>
      <c r="G1740" s="216"/>
    </row>
    <row r="1741">
      <c r="A1741" s="157"/>
      <c r="B1741" s="216"/>
      <c r="C1741" s="157"/>
      <c r="D1741" s="216"/>
      <c r="E1741" s="216"/>
      <c r="F1741" s="216"/>
      <c r="G1741" s="216"/>
    </row>
    <row r="1742">
      <c r="A1742" s="157"/>
      <c r="B1742" s="216"/>
      <c r="C1742" s="157"/>
      <c r="D1742" s="216"/>
      <c r="E1742" s="216"/>
      <c r="F1742" s="216"/>
      <c r="G1742" s="216"/>
    </row>
    <row r="1743">
      <c r="A1743" s="157"/>
      <c r="B1743" s="216"/>
      <c r="C1743" s="157"/>
      <c r="D1743" s="216"/>
      <c r="E1743" s="216"/>
      <c r="F1743" s="216"/>
      <c r="G1743" s="216"/>
    </row>
    <row r="1744">
      <c r="A1744" s="157"/>
      <c r="B1744" s="216"/>
      <c r="C1744" s="157"/>
      <c r="D1744" s="216"/>
      <c r="E1744" s="216"/>
      <c r="F1744" s="216"/>
      <c r="G1744" s="216"/>
    </row>
    <row r="1745">
      <c r="A1745" s="157"/>
      <c r="B1745" s="216"/>
      <c r="C1745" s="157"/>
      <c r="D1745" s="216"/>
      <c r="E1745" s="216"/>
      <c r="F1745" s="216"/>
      <c r="G1745" s="216"/>
    </row>
    <row r="1746">
      <c r="A1746" s="157"/>
      <c r="B1746" s="216"/>
      <c r="C1746" s="157"/>
      <c r="D1746" s="216"/>
      <c r="E1746" s="216"/>
      <c r="F1746" s="216"/>
      <c r="G1746" s="216"/>
    </row>
    <row r="1747">
      <c r="A1747" s="157"/>
      <c r="B1747" s="216"/>
      <c r="C1747" s="157"/>
      <c r="D1747" s="216"/>
      <c r="E1747" s="216"/>
      <c r="F1747" s="216"/>
      <c r="G1747" s="216"/>
    </row>
    <row r="1748">
      <c r="A1748" s="157"/>
      <c r="B1748" s="216"/>
      <c r="C1748" s="157"/>
      <c r="D1748" s="216"/>
      <c r="E1748" s="216"/>
      <c r="F1748" s="216"/>
      <c r="G1748" s="216"/>
    </row>
    <row r="1749">
      <c r="A1749" s="157"/>
      <c r="B1749" s="216"/>
      <c r="C1749" s="157"/>
      <c r="D1749" s="216"/>
      <c r="E1749" s="216"/>
      <c r="F1749" s="216"/>
      <c r="G1749" s="216"/>
    </row>
    <row r="1750">
      <c r="A1750" s="157"/>
      <c r="B1750" s="216"/>
      <c r="C1750" s="157"/>
      <c r="D1750" s="216"/>
      <c r="E1750" s="216"/>
      <c r="F1750" s="216"/>
      <c r="G1750" s="216"/>
    </row>
    <row r="1751">
      <c r="A1751" s="157"/>
      <c r="B1751" s="216"/>
      <c r="C1751" s="157"/>
      <c r="D1751" s="216"/>
      <c r="E1751" s="216"/>
      <c r="F1751" s="216"/>
      <c r="G1751" s="216"/>
    </row>
    <row r="1752">
      <c r="A1752" s="157"/>
      <c r="B1752" s="216"/>
      <c r="C1752" s="157"/>
      <c r="D1752" s="216"/>
      <c r="E1752" s="216"/>
      <c r="F1752" s="216"/>
      <c r="G1752" s="216"/>
    </row>
    <row r="1753">
      <c r="A1753" s="157"/>
      <c r="B1753" s="216"/>
      <c r="C1753" s="157"/>
      <c r="D1753" s="216"/>
      <c r="E1753" s="216"/>
      <c r="F1753" s="216"/>
      <c r="G1753" s="216"/>
    </row>
    <row r="1754">
      <c r="A1754" s="157"/>
      <c r="B1754" s="216"/>
      <c r="C1754" s="157"/>
      <c r="D1754" s="216"/>
      <c r="E1754" s="216"/>
      <c r="F1754" s="216"/>
      <c r="G1754" s="216"/>
    </row>
    <row r="1755">
      <c r="A1755" s="157"/>
      <c r="B1755" s="216"/>
      <c r="C1755" s="157"/>
      <c r="D1755" s="216"/>
      <c r="E1755" s="216"/>
      <c r="F1755" s="216"/>
      <c r="G1755" s="216"/>
    </row>
    <row r="1756">
      <c r="A1756" s="157"/>
      <c r="B1756" s="216"/>
      <c r="C1756" s="157"/>
      <c r="D1756" s="216"/>
      <c r="E1756" s="216"/>
      <c r="F1756" s="216"/>
      <c r="G1756" s="216"/>
    </row>
    <row r="1757">
      <c r="A1757" s="157"/>
      <c r="B1757" s="216"/>
      <c r="C1757" s="157"/>
      <c r="D1757" s="216"/>
      <c r="E1757" s="216"/>
      <c r="F1757" s="216"/>
      <c r="G1757" s="216"/>
    </row>
    <row r="1758">
      <c r="A1758" s="157"/>
      <c r="B1758" s="216"/>
      <c r="C1758" s="157"/>
      <c r="D1758" s="216"/>
      <c r="E1758" s="216"/>
      <c r="F1758" s="216"/>
      <c r="G1758" s="216"/>
    </row>
    <row r="1759">
      <c r="A1759" s="157"/>
      <c r="B1759" s="216"/>
      <c r="C1759" s="157"/>
      <c r="D1759" s="216"/>
      <c r="E1759" s="216"/>
      <c r="F1759" s="216"/>
      <c r="G1759" s="216"/>
    </row>
    <row r="1760">
      <c r="A1760" s="157"/>
      <c r="B1760" s="216"/>
      <c r="C1760" s="157"/>
      <c r="D1760" s="216"/>
      <c r="E1760" s="216"/>
      <c r="F1760" s="216"/>
      <c r="G1760" s="216"/>
    </row>
    <row r="1761">
      <c r="A1761" s="157"/>
      <c r="B1761" s="216"/>
      <c r="C1761" s="157"/>
      <c r="D1761" s="216"/>
      <c r="E1761" s="216"/>
      <c r="F1761" s="216"/>
      <c r="G1761" s="216"/>
    </row>
    <row r="1762">
      <c r="A1762" s="157"/>
      <c r="B1762" s="216"/>
      <c r="C1762" s="157"/>
      <c r="D1762" s="216"/>
      <c r="E1762" s="216"/>
      <c r="F1762" s="216"/>
      <c r="G1762" s="216"/>
    </row>
    <row r="1763">
      <c r="A1763" s="157"/>
      <c r="B1763" s="216"/>
      <c r="C1763" s="157"/>
      <c r="D1763" s="216"/>
      <c r="E1763" s="216"/>
      <c r="F1763" s="216"/>
      <c r="G1763" s="216"/>
    </row>
    <row r="1764">
      <c r="A1764" s="157"/>
      <c r="B1764" s="216"/>
      <c r="C1764" s="157"/>
      <c r="D1764" s="216"/>
      <c r="E1764" s="216"/>
      <c r="F1764" s="216"/>
      <c r="G1764" s="216"/>
    </row>
    <row r="1765">
      <c r="A1765" s="157"/>
      <c r="B1765" s="216"/>
      <c r="C1765" s="157"/>
      <c r="D1765" s="216"/>
      <c r="E1765" s="216"/>
      <c r="F1765" s="216"/>
      <c r="G1765" s="216"/>
    </row>
    <row r="1766">
      <c r="A1766" s="157"/>
      <c r="B1766" s="216"/>
      <c r="C1766" s="157"/>
      <c r="D1766" s="216"/>
      <c r="E1766" s="216"/>
      <c r="F1766" s="216"/>
      <c r="G1766" s="216"/>
    </row>
    <row r="1767">
      <c r="A1767" s="157"/>
      <c r="B1767" s="216"/>
      <c r="C1767" s="157"/>
      <c r="D1767" s="216"/>
      <c r="E1767" s="216"/>
      <c r="F1767" s="216"/>
      <c r="G1767" s="216"/>
    </row>
    <row r="1768">
      <c r="A1768" s="157"/>
      <c r="B1768" s="216"/>
      <c r="C1768" s="157"/>
      <c r="D1768" s="216"/>
      <c r="E1768" s="216"/>
      <c r="F1768" s="216"/>
      <c r="G1768" s="216"/>
    </row>
    <row r="1769">
      <c r="A1769" s="157"/>
      <c r="B1769" s="216"/>
      <c r="C1769" s="157"/>
      <c r="D1769" s="216"/>
      <c r="E1769" s="216"/>
      <c r="F1769" s="216"/>
      <c r="G1769" s="216"/>
    </row>
    <row r="1770">
      <c r="A1770" s="157"/>
      <c r="B1770" s="216"/>
      <c r="C1770" s="157"/>
      <c r="D1770" s="216"/>
      <c r="E1770" s="216"/>
      <c r="F1770" s="216"/>
      <c r="G1770" s="216"/>
    </row>
    <row r="1771">
      <c r="A1771" s="157"/>
      <c r="B1771" s="216"/>
      <c r="C1771" s="157"/>
      <c r="D1771" s="216"/>
      <c r="E1771" s="216"/>
      <c r="F1771" s="216"/>
      <c r="G1771" s="216"/>
    </row>
    <row r="1772">
      <c r="A1772" s="157"/>
      <c r="B1772" s="216"/>
      <c r="C1772" s="157"/>
      <c r="D1772" s="216"/>
      <c r="E1772" s="216"/>
      <c r="F1772" s="216"/>
      <c r="G1772" s="216"/>
    </row>
    <row r="1773">
      <c r="A1773" s="157"/>
      <c r="B1773" s="216"/>
      <c r="C1773" s="157"/>
      <c r="D1773" s="216"/>
      <c r="E1773" s="216"/>
      <c r="F1773" s="216"/>
      <c r="G1773" s="216"/>
    </row>
    <row r="1774">
      <c r="A1774" s="157"/>
      <c r="B1774" s="216"/>
      <c r="C1774" s="157"/>
      <c r="D1774" s="216"/>
      <c r="E1774" s="216"/>
      <c r="F1774" s="216"/>
      <c r="G1774" s="216"/>
    </row>
    <row r="1775">
      <c r="A1775" s="157"/>
      <c r="B1775" s="216"/>
      <c r="C1775" s="157"/>
      <c r="D1775" s="216"/>
      <c r="E1775" s="216"/>
      <c r="F1775" s="216"/>
      <c r="G1775" s="216"/>
    </row>
    <row r="1776">
      <c r="A1776" s="157"/>
      <c r="B1776" s="216"/>
      <c r="C1776" s="157"/>
      <c r="D1776" s="216"/>
      <c r="E1776" s="216"/>
      <c r="F1776" s="216"/>
      <c r="G1776" s="216"/>
    </row>
    <row r="1777">
      <c r="A1777" s="157"/>
      <c r="B1777" s="216"/>
      <c r="C1777" s="157"/>
      <c r="D1777" s="216"/>
      <c r="E1777" s="216"/>
      <c r="F1777" s="216"/>
      <c r="G1777" s="216"/>
    </row>
    <row r="1778">
      <c r="A1778" s="157"/>
      <c r="B1778" s="216"/>
      <c r="C1778" s="157"/>
      <c r="D1778" s="216"/>
      <c r="E1778" s="216"/>
      <c r="F1778" s="216"/>
      <c r="G1778" s="216"/>
    </row>
    <row r="1779">
      <c r="A1779" s="157"/>
      <c r="B1779" s="216"/>
      <c r="C1779" s="157"/>
      <c r="D1779" s="216"/>
      <c r="E1779" s="216"/>
      <c r="F1779" s="216"/>
      <c r="G1779" s="216"/>
    </row>
    <row r="1780">
      <c r="A1780" s="157"/>
      <c r="B1780" s="216"/>
      <c r="C1780" s="157"/>
      <c r="D1780" s="216"/>
      <c r="E1780" s="216"/>
      <c r="F1780" s="216"/>
      <c r="G1780" s="216"/>
    </row>
    <row r="1781">
      <c r="A1781" s="157"/>
      <c r="B1781" s="216"/>
      <c r="C1781" s="157"/>
      <c r="D1781" s="216"/>
      <c r="E1781" s="216"/>
      <c r="F1781" s="216"/>
      <c r="G1781" s="216"/>
    </row>
    <row r="1782">
      <c r="A1782" s="157"/>
      <c r="B1782" s="216"/>
      <c r="C1782" s="157"/>
      <c r="D1782" s="216"/>
      <c r="E1782" s="216"/>
      <c r="F1782" s="216"/>
      <c r="G1782" s="216"/>
    </row>
    <row r="1783">
      <c r="A1783" s="157"/>
      <c r="B1783" s="216"/>
      <c r="C1783" s="157"/>
      <c r="D1783" s="216"/>
      <c r="E1783" s="216"/>
      <c r="F1783" s="216"/>
      <c r="G1783" s="216"/>
    </row>
    <row r="1784">
      <c r="A1784" s="157"/>
      <c r="B1784" s="216"/>
      <c r="C1784" s="157"/>
      <c r="D1784" s="216"/>
      <c r="E1784" s="216"/>
      <c r="F1784" s="216"/>
      <c r="G1784" s="216"/>
    </row>
    <row r="1785">
      <c r="A1785" s="157"/>
      <c r="B1785" s="216"/>
      <c r="C1785" s="157"/>
      <c r="D1785" s="216"/>
      <c r="E1785" s="216"/>
      <c r="F1785" s="216"/>
      <c r="G1785" s="216"/>
    </row>
    <row r="1786">
      <c r="A1786" s="157"/>
      <c r="B1786" s="216"/>
      <c r="C1786" s="157"/>
      <c r="D1786" s="216"/>
      <c r="E1786" s="216"/>
      <c r="F1786" s="216"/>
      <c r="G1786" s="216"/>
    </row>
    <row r="1787">
      <c r="A1787" s="157"/>
      <c r="B1787" s="216"/>
      <c r="C1787" s="157"/>
      <c r="D1787" s="216"/>
      <c r="E1787" s="216"/>
      <c r="F1787" s="216"/>
      <c r="G1787" s="216"/>
    </row>
    <row r="1788">
      <c r="A1788" s="157"/>
      <c r="B1788" s="216"/>
      <c r="C1788" s="157"/>
      <c r="D1788" s="216"/>
      <c r="E1788" s="216"/>
      <c r="F1788" s="216"/>
      <c r="G1788" s="216"/>
    </row>
    <row r="1789">
      <c r="A1789" s="157"/>
      <c r="B1789" s="216"/>
      <c r="C1789" s="157"/>
      <c r="D1789" s="216"/>
      <c r="E1789" s="216"/>
      <c r="F1789" s="216"/>
      <c r="G1789" s="216"/>
    </row>
    <row r="1790">
      <c r="A1790" s="157"/>
      <c r="B1790" s="216"/>
      <c r="C1790" s="157"/>
      <c r="D1790" s="216"/>
      <c r="E1790" s="216"/>
      <c r="F1790" s="216"/>
      <c r="G1790" s="216"/>
    </row>
    <row r="1791">
      <c r="A1791" s="157"/>
      <c r="B1791" s="216"/>
      <c r="C1791" s="157"/>
      <c r="D1791" s="216"/>
      <c r="E1791" s="216"/>
      <c r="F1791" s="216"/>
      <c r="G1791" s="216"/>
    </row>
    <row r="1792">
      <c r="A1792" s="157"/>
      <c r="B1792" s="216"/>
      <c r="C1792" s="157"/>
      <c r="D1792" s="216"/>
      <c r="E1792" s="216"/>
      <c r="F1792" s="216"/>
      <c r="G1792" s="216"/>
    </row>
    <row r="1793">
      <c r="A1793" s="157"/>
      <c r="B1793" s="216"/>
      <c r="C1793" s="157"/>
      <c r="D1793" s="216"/>
      <c r="E1793" s="216"/>
      <c r="F1793" s="216"/>
      <c r="G1793" s="216"/>
    </row>
    <row r="1794">
      <c r="A1794" s="157"/>
      <c r="B1794" s="216"/>
      <c r="C1794" s="157"/>
      <c r="D1794" s="216"/>
      <c r="E1794" s="216"/>
      <c r="F1794" s="216"/>
      <c r="G1794" s="216"/>
    </row>
    <row r="1795">
      <c r="A1795" s="157"/>
      <c r="B1795" s="216"/>
      <c r="C1795" s="157"/>
      <c r="D1795" s="216"/>
      <c r="E1795" s="216"/>
      <c r="F1795" s="216"/>
      <c r="G1795" s="216"/>
    </row>
    <row r="1796">
      <c r="A1796" s="157"/>
      <c r="B1796" s="216"/>
      <c r="C1796" s="157"/>
      <c r="D1796" s="216"/>
      <c r="E1796" s="216"/>
      <c r="F1796" s="216"/>
      <c r="G1796" s="216"/>
    </row>
    <row r="1797">
      <c r="A1797" s="157"/>
      <c r="B1797" s="216"/>
      <c r="C1797" s="157"/>
      <c r="D1797" s="216"/>
      <c r="E1797" s="216"/>
      <c r="F1797" s="216"/>
      <c r="G1797" s="216"/>
    </row>
    <row r="1798">
      <c r="A1798" s="157"/>
      <c r="B1798" s="216"/>
      <c r="C1798" s="157"/>
      <c r="D1798" s="216"/>
      <c r="E1798" s="216"/>
      <c r="F1798" s="216"/>
      <c r="G1798" s="216"/>
    </row>
    <row r="1799">
      <c r="A1799" s="157"/>
      <c r="B1799" s="216"/>
      <c r="C1799" s="157"/>
      <c r="D1799" s="216"/>
      <c r="E1799" s="216"/>
      <c r="F1799" s="216"/>
      <c r="G1799" s="216"/>
    </row>
    <row r="1800">
      <c r="A1800" s="157"/>
      <c r="B1800" s="216"/>
      <c r="C1800" s="157"/>
      <c r="D1800" s="216"/>
      <c r="E1800" s="216"/>
      <c r="F1800" s="216"/>
      <c r="G1800" s="216"/>
    </row>
    <row r="1801">
      <c r="A1801" s="157"/>
      <c r="B1801" s="216"/>
      <c r="C1801" s="157"/>
      <c r="D1801" s="216"/>
      <c r="E1801" s="216"/>
      <c r="F1801" s="216"/>
      <c r="G1801" s="216"/>
    </row>
    <row r="1802">
      <c r="A1802" s="157"/>
      <c r="B1802" s="216"/>
      <c r="C1802" s="157"/>
      <c r="D1802" s="216"/>
      <c r="E1802" s="216"/>
      <c r="F1802" s="216"/>
      <c r="G1802" s="216"/>
    </row>
    <row r="1803">
      <c r="A1803" s="157"/>
      <c r="B1803" s="216"/>
      <c r="C1803" s="157"/>
      <c r="D1803" s="216"/>
      <c r="E1803" s="216"/>
      <c r="F1803" s="216"/>
      <c r="G1803" s="216"/>
    </row>
    <row r="1804">
      <c r="A1804" s="157"/>
      <c r="B1804" s="216"/>
      <c r="C1804" s="157"/>
      <c r="D1804" s="216"/>
      <c r="E1804" s="216"/>
      <c r="F1804" s="216"/>
      <c r="G1804" s="216"/>
    </row>
    <row r="1805">
      <c r="A1805" s="157"/>
      <c r="B1805" s="216"/>
      <c r="C1805" s="157"/>
      <c r="D1805" s="216"/>
      <c r="E1805" s="216"/>
      <c r="F1805" s="216"/>
      <c r="G1805" s="216"/>
    </row>
    <row r="1806">
      <c r="A1806" s="157"/>
      <c r="B1806" s="216"/>
      <c r="C1806" s="157"/>
      <c r="D1806" s="216"/>
      <c r="E1806" s="216"/>
      <c r="F1806" s="216"/>
      <c r="G1806" s="216"/>
    </row>
    <row r="1807">
      <c r="A1807" s="157"/>
      <c r="B1807" s="216"/>
      <c r="C1807" s="157"/>
      <c r="D1807" s="216"/>
      <c r="E1807" s="216"/>
      <c r="F1807" s="216"/>
      <c r="G1807" s="216"/>
    </row>
    <row r="1808">
      <c r="A1808" s="157"/>
      <c r="B1808" s="216"/>
      <c r="C1808" s="157"/>
      <c r="D1808" s="216"/>
      <c r="E1808" s="216"/>
      <c r="F1808" s="216"/>
      <c r="G1808" s="216"/>
    </row>
    <row r="1809">
      <c r="A1809" s="157"/>
      <c r="B1809" s="216"/>
      <c r="C1809" s="157"/>
      <c r="D1809" s="216"/>
      <c r="E1809" s="216"/>
      <c r="F1809" s="216"/>
      <c r="G1809" s="216"/>
    </row>
    <row r="1810">
      <c r="A1810" s="157"/>
      <c r="B1810" s="216"/>
      <c r="C1810" s="157"/>
      <c r="D1810" s="216"/>
      <c r="E1810" s="216"/>
      <c r="F1810" s="216"/>
      <c r="G1810" s="216"/>
    </row>
    <row r="1811">
      <c r="A1811" s="157"/>
      <c r="B1811" s="216"/>
      <c r="C1811" s="157"/>
      <c r="D1811" s="216"/>
      <c r="E1811" s="216"/>
      <c r="F1811" s="216"/>
      <c r="G1811" s="216"/>
    </row>
    <row r="1812">
      <c r="A1812" s="157"/>
      <c r="B1812" s="216"/>
      <c r="C1812" s="157"/>
      <c r="D1812" s="216"/>
      <c r="E1812" s="216"/>
      <c r="F1812" s="216"/>
      <c r="G1812" s="216"/>
    </row>
    <row r="1813">
      <c r="A1813" s="157"/>
      <c r="B1813" s="216"/>
      <c r="C1813" s="157"/>
      <c r="D1813" s="216"/>
      <c r="E1813" s="216"/>
      <c r="F1813" s="216"/>
      <c r="G1813" s="216"/>
    </row>
    <row r="1814">
      <c r="A1814" s="157"/>
      <c r="B1814" s="216"/>
      <c r="C1814" s="157"/>
      <c r="D1814" s="216"/>
      <c r="E1814" s="216"/>
      <c r="F1814" s="216"/>
      <c r="G1814" s="216"/>
    </row>
    <row r="1815">
      <c r="A1815" s="157"/>
      <c r="B1815" s="216"/>
      <c r="C1815" s="157"/>
      <c r="D1815" s="216"/>
      <c r="E1815" s="216"/>
      <c r="F1815" s="216"/>
      <c r="G1815" s="216"/>
    </row>
    <row r="1816">
      <c r="A1816" s="157"/>
      <c r="B1816" s="216"/>
      <c r="C1816" s="157"/>
      <c r="D1816" s="216"/>
      <c r="E1816" s="216"/>
      <c r="F1816" s="216"/>
      <c r="G1816" s="216"/>
    </row>
    <row r="1817">
      <c r="A1817" s="157"/>
      <c r="B1817" s="216"/>
      <c r="C1817" s="157"/>
      <c r="D1817" s="216"/>
      <c r="E1817" s="216"/>
      <c r="F1817" s="216"/>
      <c r="G1817" s="216"/>
    </row>
    <row r="1818">
      <c r="A1818" s="157"/>
      <c r="B1818" s="216"/>
      <c r="C1818" s="157"/>
      <c r="D1818" s="216"/>
      <c r="E1818" s="216"/>
      <c r="F1818" s="216"/>
      <c r="G1818" s="216"/>
    </row>
    <row r="1819">
      <c r="A1819" s="157"/>
      <c r="B1819" s="216"/>
      <c r="C1819" s="157"/>
      <c r="D1819" s="216"/>
      <c r="E1819" s="216"/>
      <c r="F1819" s="216"/>
      <c r="G1819" s="216"/>
    </row>
    <row r="1820">
      <c r="A1820" s="157"/>
      <c r="B1820" s="216"/>
      <c r="C1820" s="157"/>
      <c r="D1820" s="216"/>
      <c r="E1820" s="216"/>
      <c r="F1820" s="216"/>
      <c r="G1820" s="216"/>
    </row>
    <row r="1821">
      <c r="A1821" s="157"/>
      <c r="B1821" s="216"/>
      <c r="C1821" s="157"/>
      <c r="D1821" s="216"/>
      <c r="E1821" s="216"/>
      <c r="F1821" s="216"/>
      <c r="G1821" s="216"/>
    </row>
    <row r="1822">
      <c r="A1822" s="157"/>
      <c r="B1822" s="216"/>
      <c r="C1822" s="157"/>
      <c r="D1822" s="216"/>
      <c r="E1822" s="216"/>
      <c r="F1822" s="216"/>
      <c r="G1822" s="216"/>
    </row>
    <row r="1823">
      <c r="A1823" s="157"/>
      <c r="B1823" s="216"/>
      <c r="C1823" s="157"/>
      <c r="D1823" s="216"/>
      <c r="E1823" s="216"/>
      <c r="F1823" s="216"/>
      <c r="G1823" s="216"/>
    </row>
    <row r="1824">
      <c r="A1824" s="157"/>
      <c r="B1824" s="216"/>
      <c r="C1824" s="157"/>
      <c r="D1824" s="216"/>
      <c r="E1824" s="216"/>
      <c r="F1824" s="216"/>
      <c r="G1824" s="216"/>
    </row>
    <row r="1825">
      <c r="A1825" s="157"/>
      <c r="B1825" s="216"/>
      <c r="C1825" s="157"/>
      <c r="D1825" s="216"/>
      <c r="E1825" s="216"/>
      <c r="F1825" s="216"/>
      <c r="G1825" s="216"/>
    </row>
    <row r="1826">
      <c r="A1826" s="157"/>
      <c r="B1826" s="216"/>
      <c r="C1826" s="157"/>
      <c r="D1826" s="216"/>
      <c r="E1826" s="216"/>
      <c r="F1826" s="216"/>
      <c r="G1826" s="216"/>
    </row>
    <row r="1827">
      <c r="A1827" s="157"/>
      <c r="B1827" s="216"/>
      <c r="C1827" s="157"/>
      <c r="D1827" s="216"/>
      <c r="E1827" s="216"/>
      <c r="F1827" s="216"/>
      <c r="G1827" s="216"/>
    </row>
    <row r="1828">
      <c r="A1828" s="157"/>
      <c r="B1828" s="216"/>
      <c r="C1828" s="157"/>
      <c r="D1828" s="216"/>
      <c r="E1828" s="216"/>
      <c r="F1828" s="216"/>
      <c r="G1828" s="216"/>
    </row>
    <row r="1829">
      <c r="A1829" s="157"/>
      <c r="B1829" s="216"/>
      <c r="C1829" s="157"/>
      <c r="D1829" s="216"/>
      <c r="E1829" s="216"/>
      <c r="F1829" s="216"/>
      <c r="G1829" s="216"/>
    </row>
    <row r="1830">
      <c r="A1830" s="157"/>
      <c r="B1830" s="216"/>
      <c r="C1830" s="157"/>
      <c r="D1830" s="216"/>
      <c r="E1830" s="216"/>
      <c r="F1830" s="216"/>
      <c r="G1830" s="216"/>
    </row>
    <row r="1831">
      <c r="A1831" s="157"/>
      <c r="B1831" s="216"/>
      <c r="C1831" s="157"/>
      <c r="D1831" s="216"/>
      <c r="E1831" s="216"/>
      <c r="F1831" s="216"/>
      <c r="G1831" s="216"/>
    </row>
    <row r="1832">
      <c r="A1832" s="157"/>
      <c r="B1832" s="216"/>
      <c r="C1832" s="157"/>
      <c r="D1832" s="216"/>
      <c r="E1832" s="216"/>
      <c r="F1832" s="216"/>
      <c r="G1832" s="216"/>
    </row>
    <row r="1833">
      <c r="A1833" s="157"/>
      <c r="B1833" s="216"/>
      <c r="C1833" s="157"/>
      <c r="D1833" s="216"/>
      <c r="E1833" s="216"/>
      <c r="F1833" s="216"/>
      <c r="G1833" s="216"/>
    </row>
    <row r="1834">
      <c r="A1834" s="157"/>
      <c r="B1834" s="216"/>
      <c r="C1834" s="157"/>
      <c r="D1834" s="216"/>
      <c r="E1834" s="216"/>
      <c r="F1834" s="216"/>
      <c r="G1834" s="216"/>
    </row>
    <row r="1835">
      <c r="A1835" s="157"/>
      <c r="B1835" s="216"/>
      <c r="C1835" s="157"/>
      <c r="D1835" s="216"/>
      <c r="E1835" s="216"/>
      <c r="F1835" s="216"/>
      <c r="G1835" s="216"/>
    </row>
    <row r="1836">
      <c r="A1836" s="157"/>
      <c r="B1836" s="216"/>
      <c r="C1836" s="157"/>
      <c r="D1836" s="216"/>
      <c r="E1836" s="216"/>
      <c r="F1836" s="216"/>
      <c r="G1836" s="216"/>
    </row>
    <row r="1837">
      <c r="A1837" s="157"/>
      <c r="B1837" s="216"/>
      <c r="C1837" s="157"/>
      <c r="D1837" s="216"/>
      <c r="E1837" s="216"/>
      <c r="F1837" s="216"/>
      <c r="G1837" s="216"/>
    </row>
    <row r="1838">
      <c r="A1838" s="157"/>
      <c r="B1838" s="216"/>
      <c r="C1838" s="157"/>
      <c r="D1838" s="216"/>
      <c r="E1838" s="216"/>
      <c r="F1838" s="216"/>
      <c r="G1838" s="216"/>
    </row>
    <row r="1839">
      <c r="A1839" s="157"/>
      <c r="B1839" s="216"/>
      <c r="C1839" s="157"/>
      <c r="D1839" s="216"/>
      <c r="E1839" s="216"/>
      <c r="F1839" s="216"/>
      <c r="G1839" s="216"/>
    </row>
    <row r="1840">
      <c r="A1840" s="157"/>
      <c r="B1840" s="216"/>
      <c r="C1840" s="157"/>
      <c r="D1840" s="216"/>
      <c r="E1840" s="216"/>
      <c r="F1840" s="216"/>
      <c r="G1840" s="216"/>
    </row>
    <row r="1841">
      <c r="A1841" s="157"/>
      <c r="B1841" s="216"/>
      <c r="C1841" s="157"/>
      <c r="D1841" s="216"/>
      <c r="E1841" s="216"/>
      <c r="F1841" s="216"/>
      <c r="G1841" s="216"/>
    </row>
    <row r="1842">
      <c r="A1842" s="157"/>
      <c r="B1842" s="216"/>
      <c r="C1842" s="157"/>
      <c r="D1842" s="216"/>
      <c r="E1842" s="216"/>
      <c r="F1842" s="216"/>
      <c r="G1842" s="216"/>
    </row>
    <row r="1843">
      <c r="A1843" s="157"/>
      <c r="B1843" s="216"/>
      <c r="C1843" s="157"/>
      <c r="D1843" s="216"/>
      <c r="E1843" s="216"/>
      <c r="F1843" s="216"/>
      <c r="G1843" s="216"/>
    </row>
    <row r="1844">
      <c r="A1844" s="157"/>
      <c r="B1844" s="216"/>
      <c r="C1844" s="157"/>
      <c r="D1844" s="216"/>
      <c r="E1844" s="216"/>
      <c r="F1844" s="216"/>
      <c r="G1844" s="216"/>
    </row>
    <row r="1845">
      <c r="A1845" s="157"/>
      <c r="B1845" s="216"/>
      <c r="C1845" s="157"/>
      <c r="D1845" s="216"/>
      <c r="E1845" s="216"/>
      <c r="F1845" s="216"/>
      <c r="G1845" s="216"/>
    </row>
    <row r="1846">
      <c r="A1846" s="157"/>
      <c r="B1846" s="216"/>
      <c r="C1846" s="157"/>
      <c r="D1846" s="216"/>
      <c r="E1846" s="216"/>
      <c r="F1846" s="216"/>
      <c r="G1846" s="216"/>
    </row>
    <row r="1847">
      <c r="A1847" s="157"/>
      <c r="B1847" s="216"/>
      <c r="C1847" s="157"/>
      <c r="D1847" s="216"/>
      <c r="E1847" s="216"/>
      <c r="F1847" s="216"/>
      <c r="G1847" s="216"/>
    </row>
    <row r="1848">
      <c r="A1848" s="157"/>
      <c r="B1848" s="216"/>
      <c r="C1848" s="157"/>
      <c r="D1848" s="216"/>
      <c r="E1848" s="216"/>
      <c r="F1848" s="216"/>
      <c r="G1848" s="216"/>
    </row>
    <row r="1849">
      <c r="A1849" s="157"/>
      <c r="B1849" s="216"/>
      <c r="C1849" s="157"/>
      <c r="D1849" s="216"/>
      <c r="E1849" s="216"/>
      <c r="F1849" s="216"/>
      <c r="G1849" s="216"/>
    </row>
    <row r="1850">
      <c r="A1850" s="157"/>
      <c r="B1850" s="216"/>
      <c r="C1850" s="157"/>
      <c r="D1850" s="216"/>
      <c r="E1850" s="216"/>
      <c r="F1850" s="216"/>
      <c r="G1850" s="216"/>
    </row>
    <row r="1851">
      <c r="A1851" s="157"/>
      <c r="B1851" s="216"/>
      <c r="C1851" s="157"/>
      <c r="D1851" s="216"/>
      <c r="E1851" s="216"/>
      <c r="F1851" s="216"/>
      <c r="G1851" s="216"/>
    </row>
    <row r="1852">
      <c r="A1852" s="157"/>
      <c r="B1852" s="216"/>
      <c r="C1852" s="157"/>
      <c r="D1852" s="216"/>
      <c r="E1852" s="216"/>
      <c r="F1852" s="216"/>
      <c r="G1852" s="216"/>
    </row>
    <row r="1853">
      <c r="A1853" s="157"/>
      <c r="B1853" s="216"/>
      <c r="C1853" s="157"/>
      <c r="D1853" s="216"/>
      <c r="E1853" s="216"/>
      <c r="F1853" s="216"/>
      <c r="G1853" s="216"/>
    </row>
    <row r="1854">
      <c r="A1854" s="157"/>
      <c r="B1854" s="216"/>
      <c r="C1854" s="157"/>
      <c r="D1854" s="216"/>
      <c r="E1854" s="216"/>
      <c r="F1854" s="216"/>
      <c r="G1854" s="216"/>
    </row>
    <row r="1855">
      <c r="A1855" s="157"/>
      <c r="B1855" s="216"/>
      <c r="C1855" s="157"/>
      <c r="D1855" s="216"/>
      <c r="E1855" s="216"/>
      <c r="F1855" s="216"/>
      <c r="G1855" s="216"/>
    </row>
    <row r="1856">
      <c r="A1856" s="157"/>
      <c r="B1856" s="216"/>
      <c r="C1856" s="157"/>
      <c r="D1856" s="216"/>
      <c r="E1856" s="216"/>
      <c r="F1856" s="216"/>
      <c r="G1856" s="216"/>
    </row>
    <row r="1857">
      <c r="A1857" s="157"/>
      <c r="B1857" s="216"/>
      <c r="C1857" s="157"/>
      <c r="D1857" s="216"/>
      <c r="E1857" s="216"/>
      <c r="F1857" s="216"/>
      <c r="G1857" s="216"/>
    </row>
    <row r="1858">
      <c r="A1858" s="157"/>
      <c r="B1858" s="216"/>
      <c r="C1858" s="157"/>
      <c r="D1858" s="216"/>
      <c r="E1858" s="216"/>
      <c r="F1858" s="216"/>
      <c r="G1858" s="216"/>
    </row>
    <row r="1859">
      <c r="A1859" s="157"/>
      <c r="B1859" s="216"/>
      <c r="C1859" s="157"/>
      <c r="D1859" s="216"/>
      <c r="E1859" s="216"/>
      <c r="F1859" s="216"/>
      <c r="G1859" s="216"/>
    </row>
    <row r="1860">
      <c r="A1860" s="157"/>
      <c r="B1860" s="216"/>
      <c r="C1860" s="157"/>
      <c r="D1860" s="216"/>
      <c r="E1860" s="216"/>
      <c r="F1860" s="216"/>
      <c r="G1860" s="216"/>
    </row>
    <row r="1861">
      <c r="A1861" s="157"/>
      <c r="B1861" s="216"/>
      <c r="C1861" s="157"/>
      <c r="D1861" s="216"/>
      <c r="E1861" s="216"/>
      <c r="F1861" s="216"/>
      <c r="G1861" s="216"/>
    </row>
    <row r="1862">
      <c r="A1862" s="157"/>
      <c r="B1862" s="216"/>
      <c r="C1862" s="157"/>
      <c r="D1862" s="216"/>
      <c r="E1862" s="216"/>
      <c r="F1862" s="216"/>
      <c r="G1862" s="216"/>
    </row>
    <row r="1863">
      <c r="A1863" s="157"/>
      <c r="B1863" s="216"/>
      <c r="C1863" s="157"/>
      <c r="D1863" s="216"/>
      <c r="E1863" s="216"/>
      <c r="F1863" s="216"/>
      <c r="G1863" s="216"/>
    </row>
    <row r="1864">
      <c r="A1864" s="157"/>
      <c r="B1864" s="216"/>
      <c r="C1864" s="157"/>
      <c r="D1864" s="216"/>
      <c r="E1864" s="216"/>
      <c r="F1864" s="216"/>
      <c r="G1864" s="216"/>
    </row>
    <row r="1865">
      <c r="A1865" s="157"/>
      <c r="B1865" s="216"/>
      <c r="C1865" s="157"/>
      <c r="D1865" s="216"/>
      <c r="E1865" s="216"/>
      <c r="F1865" s="216"/>
      <c r="G1865" s="216"/>
    </row>
    <row r="1866">
      <c r="A1866" s="157"/>
      <c r="B1866" s="216"/>
      <c r="C1866" s="157"/>
      <c r="D1866" s="216"/>
      <c r="E1866" s="216"/>
      <c r="F1866" s="216"/>
      <c r="G1866" s="216"/>
    </row>
    <row r="1867">
      <c r="A1867" s="157"/>
      <c r="B1867" s="216"/>
      <c r="C1867" s="157"/>
      <c r="D1867" s="216"/>
      <c r="E1867" s="216"/>
      <c r="F1867" s="216"/>
      <c r="G1867" s="216"/>
    </row>
    <row r="1868">
      <c r="A1868" s="157"/>
      <c r="B1868" s="216"/>
      <c r="C1868" s="157"/>
      <c r="D1868" s="216"/>
      <c r="E1868" s="216"/>
      <c r="F1868" s="216"/>
      <c r="G1868" s="216"/>
    </row>
    <row r="1869">
      <c r="A1869" s="157"/>
      <c r="B1869" s="216"/>
      <c r="C1869" s="157"/>
      <c r="D1869" s="216"/>
      <c r="E1869" s="216"/>
      <c r="F1869" s="216"/>
      <c r="G1869" s="216"/>
    </row>
    <row r="1870">
      <c r="A1870" s="157"/>
      <c r="B1870" s="216"/>
      <c r="C1870" s="157"/>
      <c r="D1870" s="216"/>
      <c r="E1870" s="216"/>
      <c r="F1870" s="216"/>
      <c r="G1870" s="216"/>
    </row>
    <row r="1871">
      <c r="A1871" s="157"/>
      <c r="B1871" s="216"/>
      <c r="C1871" s="157"/>
      <c r="D1871" s="216"/>
      <c r="E1871" s="216"/>
      <c r="F1871" s="216"/>
      <c r="G1871" s="216"/>
    </row>
    <row r="1872">
      <c r="A1872" s="157"/>
      <c r="B1872" s="216"/>
      <c r="C1872" s="157"/>
      <c r="D1872" s="216"/>
      <c r="E1872" s="216"/>
      <c r="F1872" s="216"/>
      <c r="G1872" s="216"/>
    </row>
    <row r="1873">
      <c r="A1873" s="157"/>
      <c r="B1873" s="216"/>
      <c r="C1873" s="157"/>
      <c r="D1873" s="216"/>
      <c r="E1873" s="216"/>
      <c r="F1873" s="216"/>
      <c r="G1873" s="216"/>
    </row>
    <row r="1874">
      <c r="A1874" s="157"/>
      <c r="B1874" s="216"/>
      <c r="C1874" s="157"/>
      <c r="D1874" s="216"/>
      <c r="E1874" s="216"/>
      <c r="F1874" s="216"/>
      <c r="G1874" s="216"/>
    </row>
    <row r="1875">
      <c r="A1875" s="157"/>
      <c r="B1875" s="216"/>
      <c r="C1875" s="157"/>
      <c r="D1875" s="216"/>
      <c r="E1875" s="216"/>
      <c r="F1875" s="216"/>
      <c r="G1875" s="216"/>
    </row>
    <row r="1876">
      <c r="A1876" s="157"/>
      <c r="B1876" s="216"/>
      <c r="C1876" s="157"/>
      <c r="D1876" s="216"/>
      <c r="E1876" s="216"/>
      <c r="F1876" s="216"/>
      <c r="G1876" s="216"/>
    </row>
    <row r="1877">
      <c r="A1877" s="157"/>
      <c r="B1877" s="216"/>
      <c r="C1877" s="157"/>
      <c r="D1877" s="216"/>
      <c r="E1877" s="216"/>
      <c r="F1877" s="216"/>
      <c r="G1877" s="216"/>
    </row>
    <row r="1878">
      <c r="A1878" s="157"/>
      <c r="B1878" s="216"/>
      <c r="C1878" s="157"/>
      <c r="D1878" s="216"/>
      <c r="E1878" s="216"/>
      <c r="F1878" s="216"/>
      <c r="G1878" s="216"/>
    </row>
    <row r="1879">
      <c r="A1879" s="157"/>
      <c r="B1879" s="216"/>
      <c r="C1879" s="157"/>
      <c r="D1879" s="216"/>
      <c r="E1879" s="216"/>
      <c r="F1879" s="216"/>
      <c r="G1879" s="216"/>
    </row>
    <row r="1880">
      <c r="A1880" s="157"/>
      <c r="B1880" s="216"/>
      <c r="C1880" s="157"/>
      <c r="D1880" s="216"/>
      <c r="E1880" s="216"/>
      <c r="F1880" s="216"/>
      <c r="G1880" s="216"/>
    </row>
    <row r="1881">
      <c r="A1881" s="157"/>
      <c r="B1881" s="216"/>
      <c r="C1881" s="157"/>
      <c r="D1881" s="216"/>
      <c r="E1881" s="216"/>
      <c r="F1881" s="216"/>
      <c r="G1881" s="216"/>
    </row>
    <row r="1882">
      <c r="A1882" s="157"/>
      <c r="B1882" s="216"/>
      <c r="C1882" s="157"/>
      <c r="D1882" s="216"/>
      <c r="E1882" s="216"/>
      <c r="F1882" s="216"/>
      <c r="G1882" s="216"/>
    </row>
    <row r="1883">
      <c r="A1883" s="157"/>
      <c r="B1883" s="216"/>
      <c r="C1883" s="157"/>
      <c r="D1883" s="216"/>
      <c r="E1883" s="216"/>
      <c r="F1883" s="216"/>
      <c r="G1883" s="216"/>
    </row>
    <row r="1884">
      <c r="A1884" s="157"/>
      <c r="B1884" s="216"/>
      <c r="C1884" s="157"/>
      <c r="D1884" s="216"/>
      <c r="E1884" s="216"/>
      <c r="F1884" s="216"/>
      <c r="G1884" s="216"/>
    </row>
    <row r="1885">
      <c r="A1885" s="157"/>
      <c r="B1885" s="216"/>
      <c r="C1885" s="157"/>
      <c r="D1885" s="216"/>
      <c r="E1885" s="216"/>
      <c r="F1885" s="216"/>
      <c r="G1885" s="216"/>
    </row>
    <row r="1886">
      <c r="A1886" s="157"/>
      <c r="B1886" s="216"/>
      <c r="C1886" s="157"/>
      <c r="D1886" s="216"/>
      <c r="E1886" s="216"/>
      <c r="F1886" s="216"/>
      <c r="G1886" s="216"/>
    </row>
    <row r="1887">
      <c r="A1887" s="157"/>
      <c r="B1887" s="216"/>
      <c r="C1887" s="157"/>
      <c r="D1887" s="216"/>
      <c r="E1887" s="216"/>
      <c r="F1887" s="216"/>
      <c r="G1887" s="216"/>
    </row>
    <row r="1888">
      <c r="A1888" s="157"/>
      <c r="B1888" s="216"/>
      <c r="C1888" s="157"/>
      <c r="D1888" s="216"/>
      <c r="E1888" s="216"/>
      <c r="F1888" s="216"/>
      <c r="G1888" s="216"/>
    </row>
    <row r="1889">
      <c r="A1889" s="157"/>
      <c r="B1889" s="216"/>
      <c r="C1889" s="157"/>
      <c r="D1889" s="216"/>
      <c r="E1889" s="216"/>
      <c r="F1889" s="216"/>
      <c r="G1889" s="216"/>
    </row>
    <row r="1890">
      <c r="A1890" s="157"/>
      <c r="B1890" s="216"/>
      <c r="C1890" s="157"/>
      <c r="D1890" s="216"/>
      <c r="E1890" s="216"/>
      <c r="F1890" s="216"/>
      <c r="G1890" s="216"/>
    </row>
    <row r="1891">
      <c r="A1891" s="157"/>
      <c r="B1891" s="216"/>
      <c r="C1891" s="157"/>
      <c r="D1891" s="216"/>
      <c r="E1891" s="216"/>
      <c r="F1891" s="216"/>
      <c r="G1891" s="216"/>
    </row>
    <row r="1892">
      <c r="A1892" s="157"/>
      <c r="B1892" s="216"/>
      <c r="C1892" s="157"/>
      <c r="D1892" s="216"/>
      <c r="E1892" s="216"/>
      <c r="F1892" s="216"/>
      <c r="G1892" s="216"/>
    </row>
    <row r="1893">
      <c r="A1893" s="157"/>
      <c r="B1893" s="216"/>
      <c r="C1893" s="157"/>
      <c r="D1893" s="216"/>
      <c r="E1893" s="216"/>
      <c r="F1893" s="216"/>
      <c r="G1893" s="216"/>
    </row>
    <row r="1894">
      <c r="A1894" s="157"/>
      <c r="B1894" s="216"/>
      <c r="C1894" s="157"/>
      <c r="D1894" s="216"/>
      <c r="E1894" s="216"/>
      <c r="F1894" s="216"/>
      <c r="G1894" s="216"/>
    </row>
    <row r="1895">
      <c r="A1895" s="157"/>
      <c r="B1895" s="216"/>
      <c r="C1895" s="157"/>
      <c r="D1895" s="216"/>
      <c r="E1895" s="216"/>
      <c r="F1895" s="216"/>
      <c r="G1895" s="216"/>
    </row>
    <row r="1896">
      <c r="A1896" s="157"/>
      <c r="B1896" s="216"/>
      <c r="C1896" s="157"/>
      <c r="D1896" s="216"/>
      <c r="E1896" s="216"/>
      <c r="F1896" s="216"/>
      <c r="G1896" s="216"/>
    </row>
    <row r="1897">
      <c r="A1897" s="157"/>
      <c r="B1897" s="216"/>
      <c r="C1897" s="157"/>
      <c r="D1897" s="216"/>
      <c r="E1897" s="216"/>
      <c r="F1897" s="216"/>
      <c r="G1897" s="216"/>
    </row>
    <row r="1898">
      <c r="A1898" s="157"/>
      <c r="B1898" s="216"/>
      <c r="C1898" s="157"/>
      <c r="D1898" s="216"/>
      <c r="E1898" s="216"/>
      <c r="F1898" s="216"/>
      <c r="G1898" s="216"/>
    </row>
    <row r="1899">
      <c r="A1899" s="157"/>
      <c r="B1899" s="216"/>
      <c r="C1899" s="157"/>
      <c r="D1899" s="216"/>
      <c r="E1899" s="216"/>
      <c r="F1899" s="216"/>
      <c r="G1899" s="216"/>
    </row>
    <row r="1900">
      <c r="A1900" s="157"/>
      <c r="B1900" s="216"/>
      <c r="C1900" s="157"/>
      <c r="D1900" s="216"/>
      <c r="E1900" s="216"/>
      <c r="F1900" s="216"/>
      <c r="G1900" s="216"/>
    </row>
    <row r="1901">
      <c r="A1901" s="157"/>
      <c r="B1901" s="216"/>
      <c r="C1901" s="157"/>
      <c r="D1901" s="216"/>
      <c r="E1901" s="216"/>
      <c r="F1901" s="216"/>
      <c r="G1901" s="216"/>
    </row>
    <row r="1902">
      <c r="A1902" s="157"/>
      <c r="B1902" s="216"/>
      <c r="C1902" s="157"/>
      <c r="D1902" s="216"/>
      <c r="E1902" s="216"/>
      <c r="F1902" s="216"/>
      <c r="G1902" s="216"/>
    </row>
    <row r="1903">
      <c r="A1903" s="157"/>
      <c r="B1903" s="216"/>
      <c r="C1903" s="157"/>
      <c r="D1903" s="216"/>
      <c r="E1903" s="216"/>
      <c r="F1903" s="216"/>
      <c r="G1903" s="216"/>
    </row>
    <row r="1904">
      <c r="A1904" s="157"/>
      <c r="B1904" s="216"/>
      <c r="C1904" s="157"/>
      <c r="D1904" s="216"/>
      <c r="E1904" s="216"/>
      <c r="F1904" s="216"/>
      <c r="G1904" s="216"/>
    </row>
    <row r="1905">
      <c r="A1905" s="157"/>
      <c r="B1905" s="216"/>
      <c r="C1905" s="157"/>
      <c r="D1905" s="216"/>
      <c r="E1905" s="216"/>
      <c r="F1905" s="216"/>
      <c r="G1905" s="216"/>
    </row>
    <row r="1906">
      <c r="A1906" s="157"/>
      <c r="B1906" s="216"/>
      <c r="C1906" s="157"/>
      <c r="D1906" s="216"/>
      <c r="E1906" s="216"/>
      <c r="F1906" s="216"/>
      <c r="G1906" s="216"/>
    </row>
    <row r="1907">
      <c r="A1907" s="157"/>
      <c r="B1907" s="216"/>
      <c r="C1907" s="157"/>
      <c r="D1907" s="216"/>
      <c r="E1907" s="216"/>
      <c r="F1907" s="216"/>
      <c r="G1907" s="216"/>
    </row>
    <row r="1908">
      <c r="A1908" s="157"/>
      <c r="B1908" s="216"/>
      <c r="C1908" s="157"/>
      <c r="D1908" s="216"/>
      <c r="E1908" s="216"/>
      <c r="F1908" s="216"/>
      <c r="G1908" s="216"/>
    </row>
    <row r="1909">
      <c r="A1909" s="157"/>
      <c r="B1909" s="216"/>
      <c r="C1909" s="157"/>
      <c r="D1909" s="216"/>
      <c r="E1909" s="216"/>
      <c r="F1909" s="216"/>
      <c r="G1909" s="216"/>
    </row>
    <row r="1910">
      <c r="A1910" s="157"/>
      <c r="B1910" s="216"/>
      <c r="C1910" s="157"/>
      <c r="D1910" s="216"/>
      <c r="E1910" s="216"/>
      <c r="F1910" s="216"/>
      <c r="G1910" s="216"/>
    </row>
    <row r="1911">
      <c r="A1911" s="157"/>
      <c r="B1911" s="216"/>
      <c r="C1911" s="157"/>
      <c r="D1911" s="216"/>
      <c r="E1911" s="216"/>
      <c r="F1911" s="216"/>
      <c r="G1911" s="216"/>
    </row>
    <row r="1912">
      <c r="A1912" s="157"/>
      <c r="B1912" s="216"/>
      <c r="C1912" s="157"/>
      <c r="D1912" s="216"/>
      <c r="E1912" s="216"/>
      <c r="F1912" s="216"/>
      <c r="G1912" s="216"/>
    </row>
    <row r="1913">
      <c r="A1913" s="157"/>
      <c r="B1913" s="216"/>
      <c r="C1913" s="157"/>
      <c r="D1913" s="216"/>
      <c r="E1913" s="216"/>
      <c r="F1913" s="216"/>
      <c r="G1913" s="216"/>
    </row>
    <row r="1914">
      <c r="A1914" s="157"/>
      <c r="B1914" s="216"/>
      <c r="C1914" s="157"/>
      <c r="D1914" s="216"/>
      <c r="E1914" s="216"/>
      <c r="F1914" s="216"/>
      <c r="G1914" s="216"/>
    </row>
    <row r="1915">
      <c r="A1915" s="157"/>
      <c r="B1915" s="216"/>
      <c r="C1915" s="157"/>
      <c r="D1915" s="216"/>
      <c r="E1915" s="216"/>
      <c r="F1915" s="216"/>
      <c r="G1915" s="216"/>
    </row>
    <row r="1916">
      <c r="A1916" s="157"/>
      <c r="B1916" s="216"/>
      <c r="C1916" s="157"/>
      <c r="D1916" s="216"/>
      <c r="E1916" s="216"/>
      <c r="F1916" s="216"/>
      <c r="G1916" s="216"/>
    </row>
    <row r="1917">
      <c r="A1917" s="157"/>
      <c r="B1917" s="216"/>
      <c r="C1917" s="157"/>
      <c r="D1917" s="216"/>
      <c r="E1917" s="216"/>
      <c r="F1917" s="216"/>
      <c r="G1917" s="216"/>
    </row>
    <row r="1918">
      <c r="A1918" s="157"/>
      <c r="B1918" s="216"/>
      <c r="C1918" s="157"/>
      <c r="D1918" s="216"/>
      <c r="E1918" s="216"/>
      <c r="F1918" s="216"/>
      <c r="G1918" s="216"/>
    </row>
    <row r="1919">
      <c r="A1919" s="157"/>
      <c r="B1919" s="216"/>
      <c r="C1919" s="157"/>
      <c r="D1919" s="216"/>
      <c r="E1919" s="216"/>
      <c r="F1919" s="216"/>
      <c r="G1919" s="216"/>
    </row>
    <row r="1920">
      <c r="A1920" s="157"/>
      <c r="B1920" s="216"/>
      <c r="C1920" s="157"/>
      <c r="D1920" s="216"/>
      <c r="E1920" s="216"/>
      <c r="F1920" s="216"/>
      <c r="G1920" s="216"/>
    </row>
    <row r="1921">
      <c r="A1921" s="157"/>
      <c r="B1921" s="216"/>
      <c r="C1921" s="157"/>
      <c r="D1921" s="216"/>
      <c r="E1921" s="216"/>
      <c r="F1921" s="216"/>
      <c r="G1921" s="216"/>
    </row>
    <row r="1922">
      <c r="A1922" s="157"/>
      <c r="B1922" s="216"/>
      <c r="C1922" s="157"/>
      <c r="D1922" s="216"/>
      <c r="E1922" s="216"/>
      <c r="F1922" s="216"/>
      <c r="G1922" s="216"/>
    </row>
    <row r="1923">
      <c r="A1923" s="157"/>
      <c r="B1923" s="216"/>
      <c r="C1923" s="157"/>
      <c r="D1923" s="216"/>
      <c r="E1923" s="216"/>
      <c r="F1923" s="216"/>
      <c r="G1923" s="216"/>
    </row>
    <row r="1924">
      <c r="A1924" s="157"/>
      <c r="B1924" s="216"/>
      <c r="C1924" s="157"/>
      <c r="D1924" s="216"/>
      <c r="E1924" s="216"/>
      <c r="F1924" s="216"/>
      <c r="G1924" s="216"/>
    </row>
    <row r="1925">
      <c r="A1925" s="157"/>
      <c r="B1925" s="216"/>
      <c r="C1925" s="157"/>
      <c r="D1925" s="216"/>
      <c r="E1925" s="216"/>
      <c r="F1925" s="216"/>
      <c r="G1925" s="216"/>
    </row>
    <row r="1926">
      <c r="A1926" s="157"/>
      <c r="B1926" s="216"/>
      <c r="C1926" s="157"/>
      <c r="D1926" s="216"/>
      <c r="E1926" s="216"/>
      <c r="F1926" s="216"/>
      <c r="G1926" s="216"/>
    </row>
    <row r="1927">
      <c r="A1927" s="157"/>
      <c r="B1927" s="216"/>
      <c r="C1927" s="157"/>
      <c r="D1927" s="216"/>
      <c r="E1927" s="216"/>
      <c r="F1927" s="216"/>
      <c r="G1927" s="216"/>
    </row>
    <row r="1928">
      <c r="A1928" s="157"/>
      <c r="B1928" s="216"/>
      <c r="C1928" s="157"/>
      <c r="D1928" s="216"/>
      <c r="E1928" s="216"/>
      <c r="F1928" s="216"/>
      <c r="G1928" s="216"/>
    </row>
    <row r="1929">
      <c r="A1929" s="157"/>
      <c r="B1929" s="216"/>
      <c r="C1929" s="157"/>
      <c r="D1929" s="216"/>
      <c r="E1929" s="216"/>
      <c r="F1929" s="216"/>
      <c r="G1929" s="216"/>
    </row>
    <row r="1930">
      <c r="A1930" s="157"/>
      <c r="B1930" s="216"/>
      <c r="C1930" s="157"/>
      <c r="D1930" s="216"/>
      <c r="E1930" s="216"/>
      <c r="F1930" s="216"/>
      <c r="G1930" s="216"/>
    </row>
    <row r="1931">
      <c r="A1931" s="157"/>
      <c r="B1931" s="216"/>
      <c r="C1931" s="157"/>
      <c r="D1931" s="216"/>
      <c r="E1931" s="216"/>
      <c r="F1931" s="216"/>
      <c r="G1931" s="216"/>
    </row>
    <row r="1932">
      <c r="A1932" s="157"/>
      <c r="B1932" s="216"/>
      <c r="C1932" s="157"/>
      <c r="D1932" s="216"/>
      <c r="E1932" s="216"/>
      <c r="F1932" s="216"/>
      <c r="G1932" s="216"/>
    </row>
    <row r="1933">
      <c r="A1933" s="157"/>
      <c r="B1933" s="216"/>
      <c r="C1933" s="157"/>
      <c r="D1933" s="216"/>
      <c r="E1933" s="216"/>
      <c r="F1933" s="216"/>
      <c r="G1933" s="216"/>
    </row>
    <row r="1934">
      <c r="A1934" s="157"/>
      <c r="B1934" s="216"/>
      <c r="C1934" s="157"/>
      <c r="D1934" s="216"/>
      <c r="E1934" s="216"/>
      <c r="F1934" s="216"/>
      <c r="G1934" s="216"/>
    </row>
    <row r="1935">
      <c r="A1935" s="157"/>
      <c r="B1935" s="216"/>
      <c r="C1935" s="157"/>
      <c r="D1935" s="216"/>
      <c r="E1935" s="216"/>
      <c r="F1935" s="216"/>
      <c r="G1935" s="216"/>
    </row>
    <row r="1936">
      <c r="A1936" s="157"/>
      <c r="B1936" s="216"/>
      <c r="C1936" s="157"/>
      <c r="D1936" s="216"/>
      <c r="E1936" s="216"/>
      <c r="F1936" s="216"/>
      <c r="G1936" s="216"/>
    </row>
    <row r="1937">
      <c r="A1937" s="157"/>
      <c r="B1937" s="216"/>
      <c r="C1937" s="157"/>
      <c r="D1937" s="216"/>
      <c r="E1937" s="216"/>
      <c r="F1937" s="216"/>
      <c r="G1937" s="216"/>
    </row>
    <row r="1938">
      <c r="A1938" s="157"/>
      <c r="B1938" s="216"/>
      <c r="C1938" s="157"/>
      <c r="D1938" s="216"/>
      <c r="E1938" s="216"/>
      <c r="F1938" s="216"/>
      <c r="G1938" s="216"/>
    </row>
    <row r="1939">
      <c r="A1939" s="157"/>
      <c r="B1939" s="216"/>
      <c r="C1939" s="157"/>
      <c r="D1939" s="216"/>
      <c r="E1939" s="216"/>
      <c r="F1939" s="216"/>
      <c r="G1939" s="216"/>
    </row>
    <row r="1940">
      <c r="A1940" s="157"/>
      <c r="B1940" s="216"/>
      <c r="C1940" s="157"/>
      <c r="D1940" s="216"/>
      <c r="E1940" s="216"/>
      <c r="F1940" s="216"/>
      <c r="G1940" s="216"/>
    </row>
    <row r="1941">
      <c r="A1941" s="157"/>
      <c r="B1941" s="216"/>
      <c r="C1941" s="157"/>
      <c r="D1941" s="216"/>
      <c r="E1941" s="216"/>
      <c r="F1941" s="216"/>
      <c r="G1941" s="216"/>
    </row>
    <row r="1942">
      <c r="A1942" s="157"/>
      <c r="B1942" s="216"/>
      <c r="C1942" s="157"/>
      <c r="D1942" s="216"/>
      <c r="E1942" s="216"/>
      <c r="F1942" s="216"/>
      <c r="G1942" s="216"/>
    </row>
    <row r="1943">
      <c r="A1943" s="157"/>
      <c r="B1943" s="216"/>
      <c r="C1943" s="157"/>
      <c r="D1943" s="216"/>
      <c r="E1943" s="216"/>
      <c r="F1943" s="216"/>
      <c r="G1943" s="216"/>
    </row>
    <row r="1944">
      <c r="A1944" s="157"/>
      <c r="B1944" s="216"/>
      <c r="C1944" s="157"/>
      <c r="D1944" s="216"/>
      <c r="E1944" s="216"/>
      <c r="F1944" s="216"/>
      <c r="G1944" s="216"/>
    </row>
    <row r="1945">
      <c r="A1945" s="157"/>
      <c r="B1945" s="216"/>
      <c r="C1945" s="157"/>
      <c r="D1945" s="216"/>
      <c r="E1945" s="216"/>
      <c r="F1945" s="216"/>
      <c r="G1945" s="216"/>
    </row>
    <row r="1946">
      <c r="A1946" s="157"/>
      <c r="B1946" s="216"/>
      <c r="C1946" s="157"/>
      <c r="D1946" s="216"/>
      <c r="E1946" s="216"/>
      <c r="F1946" s="216"/>
      <c r="G1946" s="216"/>
    </row>
    <row r="1947">
      <c r="A1947" s="157"/>
      <c r="B1947" s="216"/>
      <c r="C1947" s="157"/>
      <c r="D1947" s="216"/>
      <c r="E1947" s="216"/>
      <c r="F1947" s="216"/>
      <c r="G1947" s="216"/>
    </row>
    <row r="1948">
      <c r="A1948" s="157"/>
      <c r="B1948" s="216"/>
      <c r="C1948" s="157"/>
      <c r="D1948" s="216"/>
      <c r="E1948" s="216"/>
      <c r="F1948" s="216"/>
      <c r="G1948" s="216"/>
    </row>
    <row r="1949">
      <c r="A1949" s="157"/>
      <c r="B1949" s="216"/>
      <c r="C1949" s="157"/>
      <c r="D1949" s="216"/>
      <c r="E1949" s="216"/>
      <c r="F1949" s="216"/>
      <c r="G1949" s="216"/>
    </row>
    <row r="1950">
      <c r="A1950" s="157"/>
      <c r="B1950" s="216"/>
      <c r="C1950" s="157"/>
      <c r="D1950" s="216"/>
      <c r="E1950" s="216"/>
      <c r="F1950" s="216"/>
      <c r="G1950" s="216"/>
    </row>
    <row r="1951">
      <c r="A1951" s="157"/>
      <c r="B1951" s="216"/>
      <c r="C1951" s="157"/>
      <c r="D1951" s="216"/>
      <c r="E1951" s="216"/>
      <c r="F1951" s="216"/>
      <c r="G1951" s="216"/>
    </row>
    <row r="1952">
      <c r="A1952" s="157"/>
      <c r="B1952" s="216"/>
      <c r="C1952" s="157"/>
      <c r="D1952" s="216"/>
      <c r="E1952" s="216"/>
      <c r="F1952" s="216"/>
      <c r="G1952" s="216"/>
    </row>
    <row r="1953">
      <c r="A1953" s="157"/>
      <c r="B1953" s="216"/>
      <c r="C1953" s="157"/>
      <c r="D1953" s="216"/>
      <c r="E1953" s="216"/>
      <c r="F1953" s="216"/>
      <c r="G1953" s="216"/>
    </row>
    <row r="1954">
      <c r="A1954" s="157"/>
      <c r="B1954" s="216"/>
      <c r="C1954" s="157"/>
      <c r="D1954" s="216"/>
      <c r="E1954" s="216"/>
      <c r="F1954" s="216"/>
      <c r="G1954" s="216"/>
    </row>
    <row r="1955">
      <c r="A1955" s="157"/>
      <c r="B1955" s="216"/>
      <c r="C1955" s="157"/>
      <c r="D1955" s="216"/>
      <c r="E1955" s="216"/>
      <c r="F1955" s="216"/>
      <c r="G1955" s="216"/>
    </row>
    <row r="1956">
      <c r="A1956" s="157"/>
      <c r="B1956" s="216"/>
      <c r="C1956" s="157"/>
      <c r="D1956" s="216"/>
      <c r="E1956" s="216"/>
      <c r="F1956" s="216"/>
      <c r="G1956" s="216"/>
    </row>
    <row r="1957">
      <c r="A1957" s="157"/>
      <c r="B1957" s="216"/>
      <c r="C1957" s="157"/>
      <c r="D1957" s="216"/>
      <c r="E1957" s="216"/>
      <c r="F1957" s="216"/>
      <c r="G1957" s="216"/>
    </row>
    <row r="1958">
      <c r="A1958" s="157"/>
      <c r="B1958" s="216"/>
      <c r="C1958" s="157"/>
      <c r="D1958" s="216"/>
      <c r="E1958" s="216"/>
      <c r="F1958" s="216"/>
      <c r="G1958" s="216"/>
    </row>
    <row r="1959">
      <c r="A1959" s="157"/>
      <c r="B1959" s="216"/>
      <c r="C1959" s="157"/>
      <c r="D1959" s="216"/>
      <c r="E1959" s="216"/>
      <c r="F1959" s="216"/>
      <c r="G1959" s="216"/>
    </row>
    <row r="1960">
      <c r="A1960" s="157"/>
      <c r="B1960" s="216"/>
      <c r="C1960" s="157"/>
      <c r="D1960" s="216"/>
      <c r="E1960" s="216"/>
      <c r="F1960" s="216"/>
      <c r="G1960" s="216"/>
    </row>
    <row r="1961">
      <c r="A1961" s="157"/>
      <c r="B1961" s="216"/>
      <c r="C1961" s="157"/>
      <c r="D1961" s="216"/>
      <c r="E1961" s="216"/>
      <c r="F1961" s="216"/>
      <c r="G1961" s="216"/>
    </row>
    <row r="1962">
      <c r="A1962" s="157"/>
      <c r="B1962" s="216"/>
      <c r="C1962" s="157"/>
      <c r="D1962" s="216"/>
      <c r="E1962" s="216"/>
      <c r="F1962" s="216"/>
      <c r="G1962" s="216"/>
    </row>
    <row r="1963">
      <c r="A1963" s="157"/>
      <c r="B1963" s="216"/>
      <c r="C1963" s="157"/>
      <c r="D1963" s="216"/>
      <c r="E1963" s="216"/>
      <c r="F1963" s="216"/>
      <c r="G1963" s="216"/>
    </row>
    <row r="1964">
      <c r="A1964" s="157"/>
      <c r="B1964" s="216"/>
      <c r="C1964" s="157"/>
      <c r="D1964" s="216"/>
      <c r="E1964" s="216"/>
      <c r="F1964" s="216"/>
      <c r="G1964" s="216"/>
    </row>
    <row r="1965">
      <c r="A1965" s="157"/>
      <c r="B1965" s="216"/>
      <c r="C1965" s="157"/>
      <c r="D1965" s="216"/>
      <c r="E1965" s="216"/>
      <c r="F1965" s="216"/>
      <c r="G1965" s="216"/>
    </row>
    <row r="1966">
      <c r="A1966" s="157"/>
      <c r="B1966" s="216"/>
      <c r="C1966" s="157"/>
      <c r="D1966" s="216"/>
      <c r="E1966" s="216"/>
      <c r="F1966" s="216"/>
      <c r="G1966" s="216"/>
    </row>
    <row r="1967">
      <c r="A1967" s="157"/>
      <c r="B1967" s="216"/>
      <c r="C1967" s="157"/>
      <c r="D1967" s="216"/>
      <c r="E1967" s="216"/>
      <c r="F1967" s="216"/>
      <c r="G1967" s="216"/>
    </row>
    <row r="1968">
      <c r="A1968" s="157"/>
      <c r="B1968" s="216"/>
      <c r="C1968" s="157"/>
      <c r="D1968" s="216"/>
      <c r="E1968" s="216"/>
      <c r="F1968" s="216"/>
      <c r="G1968" s="216"/>
    </row>
    <row r="1969">
      <c r="A1969" s="157"/>
      <c r="B1969" s="216"/>
      <c r="C1969" s="157"/>
      <c r="D1969" s="216"/>
      <c r="E1969" s="216"/>
      <c r="F1969" s="216"/>
      <c r="G1969" s="216"/>
    </row>
    <row r="1970">
      <c r="A1970" s="157"/>
      <c r="B1970" s="216"/>
      <c r="C1970" s="157"/>
      <c r="D1970" s="216"/>
      <c r="E1970" s="216"/>
      <c r="F1970" s="216"/>
      <c r="G1970" s="216"/>
    </row>
    <row r="1971">
      <c r="A1971" s="157"/>
      <c r="B1971" s="216"/>
      <c r="C1971" s="157"/>
      <c r="D1971" s="216"/>
      <c r="E1971" s="216"/>
      <c r="F1971" s="216"/>
      <c r="G1971" s="216"/>
    </row>
    <row r="1972">
      <c r="A1972" s="157"/>
      <c r="B1972" s="216"/>
      <c r="C1972" s="157"/>
      <c r="D1972" s="216"/>
      <c r="E1972" s="216"/>
      <c r="F1972" s="216"/>
      <c r="G1972" s="216"/>
    </row>
    <row r="1973">
      <c r="A1973" s="157"/>
      <c r="B1973" s="216"/>
      <c r="C1973" s="157"/>
      <c r="D1973" s="216"/>
      <c r="E1973" s="216"/>
      <c r="F1973" s="216"/>
      <c r="G1973" s="216"/>
    </row>
    <row r="1974">
      <c r="A1974" s="157"/>
      <c r="B1974" s="216"/>
      <c r="C1974" s="157"/>
      <c r="D1974" s="216"/>
      <c r="E1974" s="216"/>
      <c r="F1974" s="216"/>
      <c r="G1974" s="216"/>
    </row>
    <row r="1975">
      <c r="A1975" s="157"/>
      <c r="B1975" s="216"/>
      <c r="C1975" s="157"/>
      <c r="D1975" s="216"/>
      <c r="E1975" s="216"/>
      <c r="F1975" s="216"/>
      <c r="G1975" s="216"/>
    </row>
    <row r="1976">
      <c r="A1976" s="157"/>
      <c r="B1976" s="216"/>
      <c r="C1976" s="157"/>
      <c r="D1976" s="216"/>
      <c r="E1976" s="216"/>
      <c r="F1976" s="216"/>
      <c r="G1976" s="216"/>
    </row>
    <row r="1977">
      <c r="A1977" s="157"/>
      <c r="B1977" s="216"/>
      <c r="C1977" s="157"/>
      <c r="D1977" s="216"/>
      <c r="E1977" s="216"/>
      <c r="F1977" s="216"/>
      <c r="G1977" s="216"/>
    </row>
    <row r="1978">
      <c r="A1978" s="157"/>
      <c r="B1978" s="216"/>
      <c r="C1978" s="157"/>
      <c r="D1978" s="216"/>
      <c r="E1978" s="216"/>
      <c r="F1978" s="216"/>
      <c r="G1978" s="216"/>
    </row>
    <row r="1979">
      <c r="A1979" s="157"/>
      <c r="B1979" s="216"/>
      <c r="C1979" s="157"/>
      <c r="D1979" s="216"/>
      <c r="E1979" s="216"/>
      <c r="F1979" s="216"/>
      <c r="G1979" s="216"/>
    </row>
    <row r="1980">
      <c r="A1980" s="157"/>
      <c r="B1980" s="216"/>
      <c r="C1980" s="157"/>
      <c r="D1980" s="216"/>
      <c r="E1980" s="216"/>
      <c r="F1980" s="216"/>
      <c r="G1980" s="216"/>
    </row>
    <row r="1981">
      <c r="A1981" s="157"/>
      <c r="B1981" s="216"/>
      <c r="C1981" s="157"/>
      <c r="D1981" s="216"/>
      <c r="E1981" s="216"/>
      <c r="F1981" s="216"/>
      <c r="G1981" s="216"/>
    </row>
    <row r="1982">
      <c r="A1982" s="157"/>
      <c r="B1982" s="216"/>
      <c r="C1982" s="157"/>
      <c r="D1982" s="216"/>
      <c r="E1982" s="216"/>
      <c r="F1982" s="216"/>
      <c r="G1982" s="216"/>
    </row>
    <row r="1983">
      <c r="A1983" s="157"/>
      <c r="B1983" s="216"/>
      <c r="C1983" s="157"/>
      <c r="D1983" s="216"/>
      <c r="E1983" s="216"/>
      <c r="F1983" s="216"/>
      <c r="G1983" s="216"/>
    </row>
    <row r="1984">
      <c r="A1984" s="157"/>
      <c r="B1984" s="216"/>
      <c r="C1984" s="157"/>
      <c r="D1984" s="216"/>
      <c r="E1984" s="216"/>
      <c r="F1984" s="216"/>
      <c r="G1984" s="216"/>
    </row>
    <row r="1985">
      <c r="A1985" s="157"/>
      <c r="B1985" s="216"/>
      <c r="C1985" s="157"/>
      <c r="D1985" s="216"/>
      <c r="E1985" s="216"/>
      <c r="F1985" s="216"/>
      <c r="G1985" s="216"/>
    </row>
    <row r="1986">
      <c r="A1986" s="157"/>
      <c r="B1986" s="216"/>
      <c r="C1986" s="157"/>
      <c r="D1986" s="216"/>
      <c r="E1986" s="216"/>
      <c r="F1986" s="216"/>
      <c r="G1986" s="216"/>
    </row>
    <row r="1987">
      <c r="A1987" s="157"/>
      <c r="B1987" s="216"/>
      <c r="C1987" s="157"/>
      <c r="D1987" s="216"/>
      <c r="E1987" s="216"/>
      <c r="F1987" s="216"/>
      <c r="G1987" s="216"/>
    </row>
    <row r="1988">
      <c r="A1988" s="157"/>
      <c r="B1988" s="216"/>
      <c r="C1988" s="157"/>
      <c r="D1988" s="216"/>
      <c r="E1988" s="216"/>
      <c r="F1988" s="216"/>
      <c r="G1988" s="216"/>
    </row>
    <row r="1989">
      <c r="A1989" s="157"/>
      <c r="B1989" s="216"/>
      <c r="C1989" s="157"/>
      <c r="D1989" s="216"/>
      <c r="E1989" s="216"/>
      <c r="F1989" s="216"/>
      <c r="G1989" s="216"/>
    </row>
    <row r="1990">
      <c r="A1990" s="157"/>
      <c r="B1990" s="216"/>
      <c r="C1990" s="157"/>
      <c r="D1990" s="216"/>
      <c r="E1990" s="216"/>
      <c r="F1990" s="216"/>
      <c r="G1990" s="216"/>
    </row>
    <row r="1991">
      <c r="A1991" s="157"/>
      <c r="B1991" s="216"/>
      <c r="C1991" s="157"/>
      <c r="D1991" s="216"/>
      <c r="E1991" s="216"/>
      <c r="F1991" s="216"/>
      <c r="G1991" s="216"/>
    </row>
    <row r="1992">
      <c r="A1992" s="157"/>
      <c r="B1992" s="216"/>
      <c r="C1992" s="157"/>
      <c r="D1992" s="216"/>
      <c r="E1992" s="216"/>
      <c r="F1992" s="216"/>
      <c r="G1992" s="216"/>
    </row>
    <row r="1993">
      <c r="A1993" s="157"/>
      <c r="B1993" s="216"/>
      <c r="C1993" s="157"/>
      <c r="D1993" s="216"/>
      <c r="E1993" s="216"/>
      <c r="F1993" s="216"/>
      <c r="G1993" s="216"/>
    </row>
    <row r="1994">
      <c r="A1994" s="157"/>
      <c r="B1994" s="216"/>
      <c r="C1994" s="157"/>
      <c r="D1994" s="216"/>
      <c r="E1994" s="216"/>
      <c r="F1994" s="216"/>
      <c r="G1994" s="216"/>
    </row>
    <row r="1995">
      <c r="A1995" s="157"/>
      <c r="B1995" s="216"/>
      <c r="C1995" s="157"/>
      <c r="D1995" s="216"/>
      <c r="E1995" s="216"/>
      <c r="F1995" s="216"/>
      <c r="G1995" s="216"/>
    </row>
    <row r="1996">
      <c r="A1996" s="157"/>
      <c r="B1996" s="216"/>
      <c r="C1996" s="157"/>
      <c r="D1996" s="216"/>
      <c r="E1996" s="216"/>
      <c r="F1996" s="216"/>
      <c r="G1996" s="216"/>
    </row>
    <row r="1997">
      <c r="A1997" s="157"/>
      <c r="B1997" s="216"/>
      <c r="C1997" s="157"/>
      <c r="D1997" s="216"/>
      <c r="E1997" s="216"/>
      <c r="F1997" s="216"/>
      <c r="G1997" s="216"/>
    </row>
    <row r="1998">
      <c r="A1998" s="157"/>
      <c r="B1998" s="216"/>
      <c r="C1998" s="157"/>
      <c r="D1998" s="216"/>
      <c r="E1998" s="216"/>
      <c r="F1998" s="216"/>
      <c r="G1998" s="216"/>
    </row>
    <row r="1999">
      <c r="A1999" s="157"/>
      <c r="B1999" s="216"/>
      <c r="C1999" s="157"/>
      <c r="D1999" s="216"/>
      <c r="E1999" s="216"/>
      <c r="F1999" s="216"/>
      <c r="G1999" s="216"/>
    </row>
    <row r="2000">
      <c r="A2000" s="157"/>
      <c r="B2000" s="216"/>
      <c r="C2000" s="157"/>
      <c r="D2000" s="216"/>
      <c r="E2000" s="216"/>
      <c r="F2000" s="216"/>
      <c r="G2000" s="216"/>
    </row>
    <row r="2001">
      <c r="A2001" s="157"/>
      <c r="B2001" s="216"/>
      <c r="C2001" s="157"/>
      <c r="D2001" s="216"/>
      <c r="E2001" s="216"/>
      <c r="F2001" s="216"/>
      <c r="G2001" s="216"/>
    </row>
    <row r="2002">
      <c r="A2002" s="157"/>
      <c r="B2002" s="216"/>
      <c r="C2002" s="157"/>
      <c r="D2002" s="216"/>
      <c r="E2002" s="216"/>
      <c r="F2002" s="216"/>
      <c r="G2002" s="216"/>
    </row>
    <row r="2003">
      <c r="A2003" s="157"/>
      <c r="B2003" s="216"/>
      <c r="C2003" s="157"/>
      <c r="D2003" s="216"/>
      <c r="E2003" s="216"/>
      <c r="F2003" s="216"/>
      <c r="G2003" s="216"/>
    </row>
    <row r="2004">
      <c r="A2004" s="157"/>
      <c r="B2004" s="216"/>
      <c r="C2004" s="157"/>
      <c r="D2004" s="216"/>
      <c r="E2004" s="216"/>
      <c r="F2004" s="216"/>
      <c r="G2004" s="216"/>
    </row>
    <row r="2005">
      <c r="A2005" s="157"/>
      <c r="B2005" s="216"/>
      <c r="C2005" s="157"/>
      <c r="D2005" s="216"/>
      <c r="E2005" s="216"/>
      <c r="F2005" s="216"/>
      <c r="G2005" s="216"/>
    </row>
    <row r="2006">
      <c r="A2006" s="157"/>
      <c r="B2006" s="216"/>
      <c r="C2006" s="157"/>
      <c r="D2006" s="216"/>
      <c r="E2006" s="216"/>
      <c r="F2006" s="216"/>
      <c r="G2006" s="216"/>
    </row>
    <row r="2007">
      <c r="A2007" s="157"/>
      <c r="B2007" s="216"/>
      <c r="C2007" s="157"/>
      <c r="D2007" s="216"/>
      <c r="E2007" s="216"/>
      <c r="F2007" s="216"/>
      <c r="G2007" s="216"/>
    </row>
    <row r="2008">
      <c r="A2008" s="157"/>
      <c r="B2008" s="216"/>
      <c r="C2008" s="157"/>
      <c r="D2008" s="216"/>
      <c r="E2008" s="216"/>
      <c r="F2008" s="216"/>
      <c r="G2008" s="216"/>
    </row>
    <row r="2009">
      <c r="A2009" s="157"/>
      <c r="B2009" s="216"/>
      <c r="C2009" s="157"/>
      <c r="D2009" s="216"/>
      <c r="E2009" s="216"/>
      <c r="F2009" s="216"/>
      <c r="G2009" s="216"/>
    </row>
    <row r="2010">
      <c r="A2010" s="157"/>
      <c r="B2010" s="216"/>
      <c r="C2010" s="157"/>
      <c r="D2010" s="216"/>
      <c r="E2010" s="216"/>
      <c r="F2010" s="216"/>
      <c r="G2010" s="216"/>
    </row>
    <row r="2011">
      <c r="A2011" s="157"/>
      <c r="B2011" s="216"/>
      <c r="C2011" s="157"/>
      <c r="D2011" s="216"/>
      <c r="E2011" s="216"/>
      <c r="F2011" s="216"/>
      <c r="G2011" s="216"/>
    </row>
    <row r="2012">
      <c r="A2012" s="157"/>
      <c r="B2012" s="216"/>
      <c r="C2012" s="157"/>
      <c r="D2012" s="216"/>
      <c r="E2012" s="216"/>
      <c r="F2012" s="216"/>
      <c r="G2012" s="216"/>
    </row>
    <row r="2013">
      <c r="A2013" s="157"/>
      <c r="B2013" s="216"/>
      <c r="C2013" s="157"/>
      <c r="D2013" s="216"/>
      <c r="E2013" s="216"/>
      <c r="F2013" s="216"/>
      <c r="G2013" s="216"/>
    </row>
    <row r="2014">
      <c r="A2014" s="157"/>
      <c r="B2014" s="216"/>
      <c r="C2014" s="157"/>
      <c r="D2014" s="216"/>
      <c r="E2014" s="216"/>
      <c r="F2014" s="216"/>
      <c r="G2014" s="216"/>
    </row>
    <row r="2015">
      <c r="A2015" s="157"/>
      <c r="B2015" s="216"/>
      <c r="C2015" s="157"/>
      <c r="D2015" s="216"/>
      <c r="E2015" s="216"/>
      <c r="F2015" s="216"/>
      <c r="G2015" s="216"/>
    </row>
    <row r="2016">
      <c r="A2016" s="157"/>
      <c r="B2016" s="216"/>
      <c r="C2016" s="157"/>
      <c r="D2016" s="216"/>
      <c r="E2016" s="216"/>
      <c r="F2016" s="216"/>
      <c r="G2016" s="216"/>
    </row>
    <row r="2017">
      <c r="A2017" s="157"/>
      <c r="B2017" s="216"/>
      <c r="C2017" s="157"/>
      <c r="D2017" s="216"/>
      <c r="E2017" s="216"/>
      <c r="F2017" s="216"/>
      <c r="G2017" s="216"/>
    </row>
    <row r="2018">
      <c r="A2018" s="157"/>
      <c r="B2018" s="216"/>
      <c r="C2018" s="157"/>
      <c r="D2018" s="216"/>
      <c r="E2018" s="216"/>
      <c r="F2018" s="216"/>
      <c r="G2018" s="216"/>
    </row>
    <row r="2019">
      <c r="A2019" s="157"/>
      <c r="B2019" s="216"/>
      <c r="C2019" s="157"/>
      <c r="D2019" s="216"/>
      <c r="E2019" s="216"/>
      <c r="F2019" s="216"/>
      <c r="G2019" s="216"/>
    </row>
    <row r="2020">
      <c r="A2020" s="157"/>
      <c r="B2020" s="216"/>
      <c r="C2020" s="157"/>
      <c r="D2020" s="216"/>
      <c r="E2020" s="216"/>
      <c r="F2020" s="216"/>
      <c r="G2020" s="216"/>
    </row>
    <row r="2021">
      <c r="A2021" s="157"/>
      <c r="B2021" s="216"/>
      <c r="C2021" s="157"/>
      <c r="D2021" s="216"/>
      <c r="E2021" s="216"/>
      <c r="F2021" s="216"/>
      <c r="G2021" s="216"/>
    </row>
    <row r="2022">
      <c r="A2022" s="157"/>
      <c r="B2022" s="216"/>
      <c r="C2022" s="157"/>
      <c r="D2022" s="216"/>
      <c r="E2022" s="216"/>
      <c r="F2022" s="216"/>
      <c r="G2022" s="216"/>
    </row>
    <row r="2023">
      <c r="A2023" s="157"/>
      <c r="B2023" s="216"/>
      <c r="C2023" s="157"/>
      <c r="D2023" s="216"/>
      <c r="E2023" s="216"/>
      <c r="F2023" s="216"/>
      <c r="G2023" s="216"/>
    </row>
    <row r="2024">
      <c r="A2024" s="157"/>
      <c r="B2024" s="216"/>
      <c r="C2024" s="157"/>
      <c r="D2024" s="216"/>
      <c r="E2024" s="216"/>
      <c r="F2024" s="216"/>
      <c r="G2024" s="216"/>
    </row>
    <row r="2025">
      <c r="A2025" s="157"/>
      <c r="B2025" s="216"/>
      <c r="C2025" s="157"/>
      <c r="D2025" s="216"/>
      <c r="E2025" s="216"/>
      <c r="F2025" s="216"/>
      <c r="G2025" s="216"/>
    </row>
    <row r="2026">
      <c r="A2026" s="157"/>
      <c r="B2026" s="216"/>
      <c r="C2026" s="157"/>
      <c r="D2026" s="216"/>
      <c r="E2026" s="216"/>
      <c r="F2026" s="216"/>
      <c r="G2026" s="216"/>
    </row>
  </sheetData>
  <autoFilter ref="$A$1:$G$104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.5"/>
    <col customWidth="1" min="2" max="2" width="17.5"/>
    <col customWidth="1" min="3" max="3" width="19.0"/>
    <col customWidth="1" min="4" max="4" width="23.13"/>
    <col customWidth="1" min="5" max="5" width="28.5"/>
    <col customWidth="1" min="6" max="6" width="18.0"/>
  </cols>
  <sheetData>
    <row r="1">
      <c r="A1" s="157"/>
      <c r="B1" s="157" t="s">
        <v>6472</v>
      </c>
    </row>
    <row r="2">
      <c r="A2" s="216"/>
      <c r="B2" s="216"/>
      <c r="C2" s="216"/>
      <c r="D2" s="216"/>
      <c r="E2" s="216"/>
      <c r="F2" s="216"/>
      <c r="G2" s="173"/>
      <c r="H2" s="173"/>
      <c r="I2" s="173"/>
      <c r="J2" s="173"/>
    </row>
    <row r="3">
      <c r="A3" s="217" t="s">
        <v>6</v>
      </c>
      <c r="B3" s="217" t="s">
        <v>3571</v>
      </c>
      <c r="C3" s="217" t="s">
        <v>3572</v>
      </c>
      <c r="D3" s="217" t="s">
        <v>3573</v>
      </c>
      <c r="E3" s="217" t="s">
        <v>3575</v>
      </c>
      <c r="F3" s="217" t="s">
        <v>26</v>
      </c>
      <c r="G3" s="173"/>
      <c r="H3" s="157" t="s">
        <v>3580</v>
      </c>
      <c r="I3" s="157" t="s">
        <v>3581</v>
      </c>
      <c r="J3" s="157" t="s">
        <v>14</v>
      </c>
      <c r="L3" s="26" t="s">
        <v>5857</v>
      </c>
    </row>
    <row r="4">
      <c r="A4" s="218">
        <v>1.0</v>
      </c>
      <c r="B4" s="218" t="s">
        <v>201</v>
      </c>
      <c r="C4" s="219" t="str">
        <f t="shared" ref="C4:C1002" si="1">H4&amp;"/"&amp;I4&amp;"/"&amp;J4</f>
        <v>HD/1068/2025</v>
      </c>
      <c r="D4" s="218" t="b">
        <v>1</v>
      </c>
      <c r="E4" s="219" t="b">
        <v>0</v>
      </c>
      <c r="F4" s="219"/>
      <c r="G4" s="173"/>
      <c r="H4" s="157" t="s">
        <v>6473</v>
      </c>
      <c r="I4" s="157">
        <v>1068.0</v>
      </c>
      <c r="J4" s="157">
        <v>2025.0</v>
      </c>
      <c r="L4" s="26" t="s">
        <v>6465</v>
      </c>
    </row>
    <row r="5">
      <c r="A5" s="218">
        <f t="shared" ref="A5:A1002" si="2">A4+1</f>
        <v>2</v>
      </c>
      <c r="B5" s="218" t="s">
        <v>201</v>
      </c>
      <c r="C5" s="219" t="str">
        <f t="shared" si="1"/>
        <v>HD/1069/2025</v>
      </c>
      <c r="D5" s="218" t="b">
        <v>1</v>
      </c>
      <c r="E5" s="219" t="b">
        <v>0</v>
      </c>
      <c r="F5" s="219"/>
      <c r="G5" s="173"/>
      <c r="H5" s="157" t="s">
        <v>6473</v>
      </c>
      <c r="I5" s="157">
        <f t="shared" ref="I5:I1001" si="3">I4+1</f>
        <v>1069</v>
      </c>
      <c r="J5" s="157">
        <v>2025.0</v>
      </c>
      <c r="L5" s="26" t="s">
        <v>222</v>
      </c>
    </row>
    <row r="6">
      <c r="A6" s="218">
        <f t="shared" si="2"/>
        <v>3</v>
      </c>
      <c r="B6" s="218" t="s">
        <v>201</v>
      </c>
      <c r="C6" s="219" t="str">
        <f t="shared" si="1"/>
        <v>HD/1070/2025</v>
      </c>
      <c r="D6" s="218" t="b">
        <v>1</v>
      </c>
      <c r="E6" s="219" t="b">
        <v>0</v>
      </c>
      <c r="F6" s="219"/>
      <c r="G6" s="173"/>
      <c r="H6" s="157" t="s">
        <v>6473</v>
      </c>
      <c r="I6" s="157">
        <f t="shared" si="3"/>
        <v>1070</v>
      </c>
      <c r="J6" s="157">
        <v>2025.0</v>
      </c>
    </row>
    <row r="7">
      <c r="A7" s="218">
        <f t="shared" si="2"/>
        <v>4</v>
      </c>
      <c r="B7" s="218" t="s">
        <v>201</v>
      </c>
      <c r="C7" s="219" t="str">
        <f t="shared" si="1"/>
        <v>HD/1071/2025</v>
      </c>
      <c r="D7" s="218" t="b">
        <v>1</v>
      </c>
      <c r="E7" s="219" t="b">
        <v>0</v>
      </c>
      <c r="F7" s="219"/>
      <c r="G7" s="173"/>
      <c r="H7" s="157" t="s">
        <v>6473</v>
      </c>
      <c r="I7" s="157">
        <f t="shared" si="3"/>
        <v>1071</v>
      </c>
      <c r="J7" s="157">
        <v>2025.0</v>
      </c>
    </row>
    <row r="8">
      <c r="A8" s="218">
        <f t="shared" si="2"/>
        <v>5</v>
      </c>
      <c r="B8" s="218" t="s">
        <v>201</v>
      </c>
      <c r="C8" s="219" t="str">
        <f t="shared" si="1"/>
        <v>HD/1072/2025</v>
      </c>
      <c r="D8" s="218" t="b">
        <v>1</v>
      </c>
      <c r="E8" s="219" t="b">
        <v>0</v>
      </c>
      <c r="F8" s="219"/>
      <c r="G8" s="173"/>
      <c r="H8" s="157" t="s">
        <v>6473</v>
      </c>
      <c r="I8" s="157">
        <f t="shared" si="3"/>
        <v>1072</v>
      </c>
      <c r="J8" s="157">
        <v>2025.0</v>
      </c>
    </row>
    <row r="9">
      <c r="A9" s="218">
        <f t="shared" si="2"/>
        <v>6</v>
      </c>
      <c r="B9" s="218" t="s">
        <v>201</v>
      </c>
      <c r="C9" s="219" t="str">
        <f t="shared" si="1"/>
        <v>HD/1073/2025</v>
      </c>
      <c r="D9" s="218" t="b">
        <v>1</v>
      </c>
      <c r="E9" s="219" t="b">
        <v>0</v>
      </c>
      <c r="F9" s="219"/>
      <c r="G9" s="173"/>
      <c r="H9" s="157" t="s">
        <v>6473</v>
      </c>
      <c r="I9" s="157">
        <f t="shared" si="3"/>
        <v>1073</v>
      </c>
      <c r="J9" s="157">
        <v>2025.0</v>
      </c>
    </row>
    <row r="10">
      <c r="A10" s="218">
        <f t="shared" si="2"/>
        <v>7</v>
      </c>
      <c r="B10" s="218" t="s">
        <v>201</v>
      </c>
      <c r="C10" s="219" t="str">
        <f t="shared" si="1"/>
        <v>HD/1074/2025</v>
      </c>
      <c r="D10" s="218" t="b">
        <v>1</v>
      </c>
      <c r="E10" s="219" t="b">
        <v>0</v>
      </c>
      <c r="F10" s="219"/>
      <c r="G10" s="173"/>
      <c r="H10" s="157" t="s">
        <v>6473</v>
      </c>
      <c r="I10" s="157">
        <f t="shared" si="3"/>
        <v>1074</v>
      </c>
      <c r="J10" s="157">
        <v>2025.0</v>
      </c>
    </row>
    <row r="11">
      <c r="A11" s="218">
        <f t="shared" si="2"/>
        <v>8</v>
      </c>
      <c r="B11" s="218" t="s">
        <v>201</v>
      </c>
      <c r="C11" s="219" t="str">
        <f t="shared" si="1"/>
        <v>HD/1075/2025</v>
      </c>
      <c r="D11" s="218" t="b">
        <v>1</v>
      </c>
      <c r="E11" s="219" t="b">
        <v>0</v>
      </c>
      <c r="F11" s="219"/>
      <c r="G11" s="173"/>
      <c r="H11" s="157" t="s">
        <v>6473</v>
      </c>
      <c r="I11" s="157">
        <f t="shared" si="3"/>
        <v>1075</v>
      </c>
      <c r="J11" s="157">
        <v>2025.0</v>
      </c>
    </row>
    <row r="12">
      <c r="A12" s="218">
        <f t="shared" si="2"/>
        <v>9</v>
      </c>
      <c r="B12" s="218" t="s">
        <v>201</v>
      </c>
      <c r="C12" s="219" t="str">
        <f t="shared" si="1"/>
        <v>HD/1076/2025</v>
      </c>
      <c r="D12" s="218" t="b">
        <v>1</v>
      </c>
      <c r="E12" s="219" t="b">
        <v>0</v>
      </c>
      <c r="F12" s="219"/>
      <c r="G12" s="173"/>
      <c r="H12" s="157" t="s">
        <v>6473</v>
      </c>
      <c r="I12" s="157">
        <f t="shared" si="3"/>
        <v>1076</v>
      </c>
      <c r="J12" s="157">
        <v>2025.0</v>
      </c>
    </row>
    <row r="13">
      <c r="A13" s="218">
        <f t="shared" si="2"/>
        <v>10</v>
      </c>
      <c r="B13" s="218" t="s">
        <v>201</v>
      </c>
      <c r="C13" s="219" t="str">
        <f t="shared" si="1"/>
        <v>HD/1077/2025</v>
      </c>
      <c r="D13" s="218" t="b">
        <v>1</v>
      </c>
      <c r="E13" s="219" t="b">
        <v>0</v>
      </c>
      <c r="F13" s="219"/>
      <c r="G13" s="173"/>
      <c r="H13" s="157" t="s">
        <v>6473</v>
      </c>
      <c r="I13" s="157">
        <f t="shared" si="3"/>
        <v>1077</v>
      </c>
      <c r="J13" s="157">
        <v>2025.0</v>
      </c>
    </row>
    <row r="14">
      <c r="A14" s="218">
        <f t="shared" si="2"/>
        <v>11</v>
      </c>
      <c r="B14" s="218" t="s">
        <v>201</v>
      </c>
      <c r="C14" s="219" t="str">
        <f t="shared" si="1"/>
        <v>HD/1078/2025</v>
      </c>
      <c r="D14" s="218" t="b">
        <v>1</v>
      </c>
      <c r="E14" s="218" t="b">
        <v>0</v>
      </c>
      <c r="F14" s="219"/>
      <c r="G14" s="173"/>
      <c r="H14" s="157" t="s">
        <v>6473</v>
      </c>
      <c r="I14" s="157">
        <f t="shared" si="3"/>
        <v>1078</v>
      </c>
      <c r="J14" s="157">
        <v>2025.0</v>
      </c>
    </row>
    <row r="15">
      <c r="A15" s="218">
        <f t="shared" si="2"/>
        <v>12</v>
      </c>
      <c r="B15" s="218" t="s">
        <v>201</v>
      </c>
      <c r="C15" s="219" t="str">
        <f t="shared" si="1"/>
        <v>HD/1079/2025</v>
      </c>
      <c r="D15" s="218" t="b">
        <v>1</v>
      </c>
      <c r="E15" s="219" t="b">
        <v>0</v>
      </c>
      <c r="F15" s="219"/>
      <c r="G15" s="173"/>
      <c r="H15" s="157" t="s">
        <v>6473</v>
      </c>
      <c r="I15" s="157">
        <f t="shared" si="3"/>
        <v>1079</v>
      </c>
      <c r="J15" s="157">
        <v>2025.0</v>
      </c>
    </row>
    <row r="16">
      <c r="A16" s="218">
        <f t="shared" si="2"/>
        <v>13</v>
      </c>
      <c r="B16" s="218" t="s">
        <v>201</v>
      </c>
      <c r="C16" s="219" t="str">
        <f t="shared" si="1"/>
        <v>HD/1080/2025</v>
      </c>
      <c r="D16" s="218" t="b">
        <v>1</v>
      </c>
      <c r="E16" s="219" t="b">
        <v>0</v>
      </c>
      <c r="F16" s="219"/>
      <c r="G16" s="173"/>
      <c r="H16" s="157" t="s">
        <v>6473</v>
      </c>
      <c r="I16" s="157">
        <f t="shared" si="3"/>
        <v>1080</v>
      </c>
      <c r="J16" s="157">
        <v>2025.0</v>
      </c>
    </row>
    <row r="17">
      <c r="A17" s="218">
        <f t="shared" si="2"/>
        <v>14</v>
      </c>
      <c r="B17" s="218" t="s">
        <v>201</v>
      </c>
      <c r="C17" s="219" t="str">
        <f t="shared" si="1"/>
        <v>HD/1081/2025</v>
      </c>
      <c r="D17" s="218" t="b">
        <v>1</v>
      </c>
      <c r="E17" s="219" t="b">
        <v>0</v>
      </c>
      <c r="F17" s="219"/>
      <c r="G17" s="173"/>
      <c r="H17" s="157" t="s">
        <v>6473</v>
      </c>
      <c r="I17" s="157">
        <f t="shared" si="3"/>
        <v>1081</v>
      </c>
      <c r="J17" s="157">
        <v>2025.0</v>
      </c>
    </row>
    <row r="18">
      <c r="A18" s="218">
        <f t="shared" si="2"/>
        <v>15</v>
      </c>
      <c r="B18" s="218" t="s">
        <v>201</v>
      </c>
      <c r="C18" s="219" t="str">
        <f t="shared" si="1"/>
        <v>HD/1082/2025</v>
      </c>
      <c r="D18" s="218" t="b">
        <v>1</v>
      </c>
      <c r="E18" s="219" t="b">
        <v>0</v>
      </c>
      <c r="F18" s="219"/>
      <c r="G18" s="173"/>
      <c r="H18" s="157" t="s">
        <v>6473</v>
      </c>
      <c r="I18" s="157">
        <f t="shared" si="3"/>
        <v>1082</v>
      </c>
      <c r="J18" s="157">
        <v>2025.0</v>
      </c>
    </row>
    <row r="19">
      <c r="A19" s="218">
        <f t="shared" si="2"/>
        <v>16</v>
      </c>
      <c r="B19" s="218" t="s">
        <v>201</v>
      </c>
      <c r="C19" s="219" t="str">
        <f t="shared" si="1"/>
        <v>HD/1083/2025</v>
      </c>
      <c r="D19" s="218" t="b">
        <v>1</v>
      </c>
      <c r="E19" s="219" t="b">
        <v>0</v>
      </c>
      <c r="F19" s="219"/>
      <c r="G19" s="173"/>
      <c r="H19" s="157" t="s">
        <v>6473</v>
      </c>
      <c r="I19" s="157">
        <f t="shared" si="3"/>
        <v>1083</v>
      </c>
      <c r="J19" s="157">
        <v>2025.0</v>
      </c>
    </row>
    <row r="20">
      <c r="A20" s="218">
        <f t="shared" si="2"/>
        <v>17</v>
      </c>
      <c r="B20" s="218" t="s">
        <v>201</v>
      </c>
      <c r="C20" s="219" t="str">
        <f t="shared" si="1"/>
        <v>HD/1084/2025</v>
      </c>
      <c r="D20" s="218" t="b">
        <v>1</v>
      </c>
      <c r="E20" s="219" t="b">
        <v>0</v>
      </c>
      <c r="F20" s="219"/>
      <c r="G20" s="173"/>
      <c r="H20" s="157" t="s">
        <v>6473</v>
      </c>
      <c r="I20" s="157">
        <f t="shared" si="3"/>
        <v>1084</v>
      </c>
      <c r="J20" s="157">
        <v>2025.0</v>
      </c>
    </row>
    <row r="21">
      <c r="A21" s="218">
        <f t="shared" si="2"/>
        <v>18</v>
      </c>
      <c r="B21" s="218" t="s">
        <v>201</v>
      </c>
      <c r="C21" s="219" t="str">
        <f t="shared" si="1"/>
        <v>HD/1085/2025</v>
      </c>
      <c r="D21" s="218" t="b">
        <v>1</v>
      </c>
      <c r="E21" s="219" t="b">
        <v>0</v>
      </c>
      <c r="F21" s="219"/>
      <c r="G21" s="173"/>
      <c r="H21" s="157" t="s">
        <v>6473</v>
      </c>
      <c r="I21" s="157">
        <f t="shared" si="3"/>
        <v>1085</v>
      </c>
      <c r="J21" s="157">
        <v>2025.0</v>
      </c>
    </row>
    <row r="22">
      <c r="A22" s="218">
        <f t="shared" si="2"/>
        <v>19</v>
      </c>
      <c r="B22" s="218" t="s">
        <v>201</v>
      </c>
      <c r="C22" s="219" t="str">
        <f t="shared" si="1"/>
        <v>HD/1086/2025</v>
      </c>
      <c r="D22" s="218" t="b">
        <v>1</v>
      </c>
      <c r="E22" s="219" t="b">
        <v>0</v>
      </c>
      <c r="F22" s="219"/>
      <c r="G22" s="173"/>
      <c r="H22" s="157" t="s">
        <v>6473</v>
      </c>
      <c r="I22" s="157">
        <f t="shared" si="3"/>
        <v>1086</v>
      </c>
      <c r="J22" s="157">
        <v>2025.0</v>
      </c>
    </row>
    <row r="23">
      <c r="A23" s="218">
        <f t="shared" si="2"/>
        <v>20</v>
      </c>
      <c r="B23" s="218" t="s">
        <v>201</v>
      </c>
      <c r="C23" s="219" t="str">
        <f t="shared" si="1"/>
        <v>HD/1087/2025</v>
      </c>
      <c r="D23" s="218" t="b">
        <v>1</v>
      </c>
      <c r="E23" s="219" t="b">
        <v>0</v>
      </c>
      <c r="F23" s="219"/>
      <c r="G23" s="173"/>
      <c r="H23" s="157" t="s">
        <v>6473</v>
      </c>
      <c r="I23" s="157">
        <f t="shared" si="3"/>
        <v>1087</v>
      </c>
      <c r="J23" s="157">
        <v>2025.0</v>
      </c>
    </row>
    <row r="24">
      <c r="A24" s="218">
        <f t="shared" si="2"/>
        <v>21</v>
      </c>
      <c r="B24" s="218" t="s">
        <v>201</v>
      </c>
      <c r="C24" s="219" t="str">
        <f t="shared" si="1"/>
        <v>HD/1088/2025</v>
      </c>
      <c r="D24" s="218" t="b">
        <v>1</v>
      </c>
      <c r="E24" s="219" t="b">
        <v>0</v>
      </c>
      <c r="F24" s="219"/>
      <c r="G24" s="173"/>
      <c r="H24" s="157" t="s">
        <v>6473</v>
      </c>
      <c r="I24" s="157">
        <f t="shared" si="3"/>
        <v>1088</v>
      </c>
      <c r="J24" s="157">
        <v>2025.0</v>
      </c>
    </row>
    <row r="25">
      <c r="A25" s="218">
        <f t="shared" si="2"/>
        <v>22</v>
      </c>
      <c r="B25" s="218" t="s">
        <v>201</v>
      </c>
      <c r="C25" s="219" t="str">
        <f t="shared" si="1"/>
        <v>HD/1089/2025</v>
      </c>
      <c r="D25" s="218" t="b">
        <v>1</v>
      </c>
      <c r="E25" s="219" t="b">
        <v>0</v>
      </c>
      <c r="F25" s="219"/>
      <c r="G25" s="173"/>
      <c r="H25" s="157" t="s">
        <v>6473</v>
      </c>
      <c r="I25" s="157">
        <f t="shared" si="3"/>
        <v>1089</v>
      </c>
      <c r="J25" s="157">
        <v>2025.0</v>
      </c>
    </row>
    <row r="26">
      <c r="A26" s="218">
        <f t="shared" si="2"/>
        <v>23</v>
      </c>
      <c r="B26" s="218" t="s">
        <v>201</v>
      </c>
      <c r="C26" s="219" t="str">
        <f t="shared" si="1"/>
        <v>HD/1090/2025</v>
      </c>
      <c r="D26" s="218" t="b">
        <v>1</v>
      </c>
      <c r="E26" s="219" t="b">
        <v>0</v>
      </c>
      <c r="F26" s="219"/>
      <c r="G26" s="173"/>
      <c r="H26" s="157" t="s">
        <v>6473</v>
      </c>
      <c r="I26" s="157">
        <f t="shared" si="3"/>
        <v>1090</v>
      </c>
      <c r="J26" s="157">
        <v>2025.0</v>
      </c>
    </row>
    <row r="27">
      <c r="A27" s="218">
        <f t="shared" si="2"/>
        <v>24</v>
      </c>
      <c r="B27" s="218" t="s">
        <v>201</v>
      </c>
      <c r="C27" s="219" t="str">
        <f t="shared" si="1"/>
        <v>HD/1091/2025</v>
      </c>
      <c r="D27" s="218" t="b">
        <v>1</v>
      </c>
      <c r="E27" s="219" t="b">
        <v>0</v>
      </c>
      <c r="F27" s="219"/>
      <c r="G27" s="173"/>
      <c r="H27" s="157" t="s">
        <v>6473</v>
      </c>
      <c r="I27" s="157">
        <f t="shared" si="3"/>
        <v>1091</v>
      </c>
      <c r="J27" s="157">
        <v>2025.0</v>
      </c>
    </row>
    <row r="28">
      <c r="A28" s="218">
        <f t="shared" si="2"/>
        <v>25</v>
      </c>
      <c r="B28" s="218" t="s">
        <v>201</v>
      </c>
      <c r="C28" s="219" t="str">
        <f t="shared" si="1"/>
        <v>HD/1092/2025</v>
      </c>
      <c r="D28" s="218" t="b">
        <v>1</v>
      </c>
      <c r="E28" s="219" t="b">
        <v>0</v>
      </c>
      <c r="F28" s="219"/>
      <c r="G28" s="173"/>
      <c r="H28" s="157" t="s">
        <v>6473</v>
      </c>
      <c r="I28" s="157">
        <f t="shared" si="3"/>
        <v>1092</v>
      </c>
      <c r="J28" s="157">
        <v>2025.0</v>
      </c>
    </row>
    <row r="29">
      <c r="A29" s="218">
        <f t="shared" si="2"/>
        <v>26</v>
      </c>
      <c r="B29" s="218" t="s">
        <v>201</v>
      </c>
      <c r="C29" s="219" t="str">
        <f t="shared" si="1"/>
        <v>HD/1093/2025</v>
      </c>
      <c r="D29" s="218" t="b">
        <v>1</v>
      </c>
      <c r="E29" s="219" t="b">
        <v>0</v>
      </c>
      <c r="F29" s="219"/>
      <c r="G29" s="173"/>
      <c r="H29" s="157" t="s">
        <v>6473</v>
      </c>
      <c r="I29" s="157">
        <f t="shared" si="3"/>
        <v>1093</v>
      </c>
      <c r="J29" s="157">
        <v>2025.0</v>
      </c>
    </row>
    <row r="30">
      <c r="A30" s="218">
        <f t="shared" si="2"/>
        <v>27</v>
      </c>
      <c r="B30" s="218" t="s">
        <v>201</v>
      </c>
      <c r="C30" s="219" t="str">
        <f t="shared" si="1"/>
        <v>HD/1094/2025</v>
      </c>
      <c r="D30" s="218" t="b">
        <v>1</v>
      </c>
      <c r="E30" s="219" t="b">
        <v>0</v>
      </c>
      <c r="F30" s="219"/>
      <c r="G30" s="173"/>
      <c r="H30" s="157" t="s">
        <v>6473</v>
      </c>
      <c r="I30" s="157">
        <f t="shared" si="3"/>
        <v>1094</v>
      </c>
      <c r="J30" s="157">
        <v>2025.0</v>
      </c>
    </row>
    <row r="31">
      <c r="A31" s="218">
        <f t="shared" si="2"/>
        <v>28</v>
      </c>
      <c r="B31" s="218" t="s">
        <v>201</v>
      </c>
      <c r="C31" s="219" t="str">
        <f t="shared" si="1"/>
        <v>HD/1095/2025</v>
      </c>
      <c r="D31" s="218" t="b">
        <v>1</v>
      </c>
      <c r="E31" s="219" t="b">
        <v>0</v>
      </c>
      <c r="F31" s="219"/>
      <c r="G31" s="173"/>
      <c r="H31" s="157" t="s">
        <v>6473</v>
      </c>
      <c r="I31" s="157">
        <f t="shared" si="3"/>
        <v>1095</v>
      </c>
      <c r="J31" s="157">
        <v>2025.0</v>
      </c>
    </row>
    <row r="32">
      <c r="A32" s="218">
        <f t="shared" si="2"/>
        <v>29</v>
      </c>
      <c r="B32" s="218" t="s">
        <v>201</v>
      </c>
      <c r="C32" s="219" t="str">
        <f t="shared" si="1"/>
        <v>HD/1096/2025</v>
      </c>
      <c r="D32" s="218" t="b">
        <v>1</v>
      </c>
      <c r="E32" s="219" t="b">
        <v>0</v>
      </c>
      <c r="F32" s="219"/>
      <c r="G32" s="173"/>
      <c r="H32" s="157" t="s">
        <v>6473</v>
      </c>
      <c r="I32" s="157">
        <f t="shared" si="3"/>
        <v>1096</v>
      </c>
      <c r="J32" s="157">
        <v>2025.0</v>
      </c>
    </row>
    <row r="33">
      <c r="A33" s="218">
        <f t="shared" si="2"/>
        <v>30</v>
      </c>
      <c r="B33" s="218" t="s">
        <v>201</v>
      </c>
      <c r="C33" s="219" t="str">
        <f t="shared" si="1"/>
        <v>HD/1097/2025</v>
      </c>
      <c r="D33" s="218" t="b">
        <v>1</v>
      </c>
      <c r="E33" s="219" t="b">
        <v>0</v>
      </c>
      <c r="F33" s="219"/>
      <c r="G33" s="173"/>
      <c r="H33" s="157" t="s">
        <v>6473</v>
      </c>
      <c r="I33" s="157">
        <f t="shared" si="3"/>
        <v>1097</v>
      </c>
      <c r="J33" s="157">
        <v>2025.0</v>
      </c>
    </row>
    <row r="34">
      <c r="A34" s="218">
        <f t="shared" si="2"/>
        <v>31</v>
      </c>
      <c r="B34" s="218" t="s">
        <v>201</v>
      </c>
      <c r="C34" s="219" t="str">
        <f t="shared" si="1"/>
        <v>HD/1098/2025</v>
      </c>
      <c r="D34" s="218" t="b">
        <v>1</v>
      </c>
      <c r="E34" s="219" t="b">
        <v>0</v>
      </c>
      <c r="F34" s="219"/>
      <c r="G34" s="173"/>
      <c r="H34" s="157" t="s">
        <v>6473</v>
      </c>
      <c r="I34" s="157">
        <f t="shared" si="3"/>
        <v>1098</v>
      </c>
      <c r="J34" s="157">
        <v>2025.0</v>
      </c>
    </row>
    <row r="35">
      <c r="A35" s="218">
        <f t="shared" si="2"/>
        <v>32</v>
      </c>
      <c r="B35" s="218" t="s">
        <v>201</v>
      </c>
      <c r="C35" s="219" t="str">
        <f t="shared" si="1"/>
        <v>HD/1099/2025</v>
      </c>
      <c r="D35" s="218" t="b">
        <v>1</v>
      </c>
      <c r="E35" s="219" t="b">
        <v>0</v>
      </c>
      <c r="F35" s="219"/>
      <c r="G35" s="173"/>
      <c r="H35" s="157" t="s">
        <v>6473</v>
      </c>
      <c r="I35" s="157">
        <f t="shared" si="3"/>
        <v>1099</v>
      </c>
      <c r="J35" s="157">
        <v>2025.0</v>
      </c>
    </row>
    <row r="36">
      <c r="A36" s="218">
        <f t="shared" si="2"/>
        <v>33</v>
      </c>
      <c r="B36" s="218" t="s">
        <v>201</v>
      </c>
      <c r="C36" s="219" t="str">
        <f t="shared" si="1"/>
        <v>HD/1100/2025</v>
      </c>
      <c r="D36" s="218" t="b">
        <v>1</v>
      </c>
      <c r="E36" s="219" t="b">
        <v>0</v>
      </c>
      <c r="F36" s="219"/>
      <c r="G36" s="173"/>
      <c r="H36" s="157" t="s">
        <v>6473</v>
      </c>
      <c r="I36" s="157">
        <f t="shared" si="3"/>
        <v>1100</v>
      </c>
      <c r="J36" s="157">
        <v>2025.0</v>
      </c>
    </row>
    <row r="37">
      <c r="A37" s="218">
        <f t="shared" si="2"/>
        <v>34</v>
      </c>
      <c r="B37" s="218" t="s">
        <v>201</v>
      </c>
      <c r="C37" s="219" t="str">
        <f t="shared" si="1"/>
        <v>HD/1101/2025</v>
      </c>
      <c r="D37" s="218" t="b">
        <v>1</v>
      </c>
      <c r="E37" s="219" t="b">
        <v>0</v>
      </c>
      <c r="F37" s="219"/>
      <c r="G37" s="173"/>
      <c r="H37" s="157" t="s">
        <v>6473</v>
      </c>
      <c r="I37" s="157">
        <f t="shared" si="3"/>
        <v>1101</v>
      </c>
      <c r="J37" s="157">
        <v>2025.0</v>
      </c>
    </row>
    <row r="38">
      <c r="A38" s="218">
        <f t="shared" si="2"/>
        <v>35</v>
      </c>
      <c r="B38" s="218" t="s">
        <v>201</v>
      </c>
      <c r="C38" s="219" t="str">
        <f t="shared" si="1"/>
        <v>HD/1102/2025</v>
      </c>
      <c r="D38" s="218" t="b">
        <v>1</v>
      </c>
      <c r="E38" s="219" t="b">
        <v>0</v>
      </c>
      <c r="F38" s="219"/>
      <c r="G38" s="173"/>
      <c r="H38" s="157" t="s">
        <v>6473</v>
      </c>
      <c r="I38" s="157">
        <f t="shared" si="3"/>
        <v>1102</v>
      </c>
      <c r="J38" s="157">
        <v>2025.0</v>
      </c>
    </row>
    <row r="39">
      <c r="A39" s="218">
        <f t="shared" si="2"/>
        <v>36</v>
      </c>
      <c r="B39" s="218" t="s">
        <v>201</v>
      </c>
      <c r="C39" s="219" t="str">
        <f t="shared" si="1"/>
        <v>HD/1103/2025</v>
      </c>
      <c r="D39" s="218" t="b">
        <v>1</v>
      </c>
      <c r="E39" s="219" t="b">
        <v>0</v>
      </c>
      <c r="F39" s="219"/>
      <c r="G39" s="173"/>
      <c r="H39" s="157" t="s">
        <v>6473</v>
      </c>
      <c r="I39" s="157">
        <f t="shared" si="3"/>
        <v>1103</v>
      </c>
      <c r="J39" s="157">
        <v>2025.0</v>
      </c>
    </row>
    <row r="40">
      <c r="A40" s="218">
        <f t="shared" si="2"/>
        <v>37</v>
      </c>
      <c r="B40" s="218" t="s">
        <v>201</v>
      </c>
      <c r="C40" s="219" t="str">
        <f t="shared" si="1"/>
        <v>HD/1104/2025</v>
      </c>
      <c r="D40" s="218" t="b">
        <v>1</v>
      </c>
      <c r="E40" s="219" t="b">
        <v>0</v>
      </c>
      <c r="F40" s="219"/>
      <c r="G40" s="173"/>
      <c r="H40" s="157" t="s">
        <v>6473</v>
      </c>
      <c r="I40" s="157">
        <f t="shared" si="3"/>
        <v>1104</v>
      </c>
      <c r="J40" s="157">
        <v>2025.0</v>
      </c>
    </row>
    <row r="41">
      <c r="A41" s="218">
        <f t="shared" si="2"/>
        <v>38</v>
      </c>
      <c r="B41" s="218" t="s">
        <v>201</v>
      </c>
      <c r="C41" s="219" t="str">
        <f t="shared" si="1"/>
        <v>HD/1105/2025</v>
      </c>
      <c r="D41" s="218" t="b">
        <v>1</v>
      </c>
      <c r="E41" s="219" t="b">
        <v>0</v>
      </c>
      <c r="F41" s="219"/>
      <c r="G41" s="173"/>
      <c r="H41" s="157" t="s">
        <v>6473</v>
      </c>
      <c r="I41" s="157">
        <f t="shared" si="3"/>
        <v>1105</v>
      </c>
      <c r="J41" s="157">
        <v>2025.0</v>
      </c>
    </row>
    <row r="42">
      <c r="A42" s="218">
        <f t="shared" si="2"/>
        <v>39</v>
      </c>
      <c r="B42" s="218" t="s">
        <v>201</v>
      </c>
      <c r="C42" s="219" t="str">
        <f t="shared" si="1"/>
        <v>HD/1106/2025</v>
      </c>
      <c r="D42" s="218" t="b">
        <v>1</v>
      </c>
      <c r="E42" s="219" t="b">
        <v>0</v>
      </c>
      <c r="F42" s="219"/>
      <c r="G42" s="173"/>
      <c r="H42" s="157" t="s">
        <v>6473</v>
      </c>
      <c r="I42" s="157">
        <f t="shared" si="3"/>
        <v>1106</v>
      </c>
      <c r="J42" s="157">
        <v>2025.0</v>
      </c>
    </row>
    <row r="43">
      <c r="A43" s="218">
        <f t="shared" si="2"/>
        <v>40</v>
      </c>
      <c r="B43" s="218" t="s">
        <v>201</v>
      </c>
      <c r="C43" s="219" t="str">
        <f t="shared" si="1"/>
        <v>HD/1107/2025</v>
      </c>
      <c r="D43" s="218" t="b">
        <v>1</v>
      </c>
      <c r="E43" s="219" t="b">
        <v>0</v>
      </c>
      <c r="F43" s="219"/>
      <c r="G43" s="173"/>
      <c r="H43" s="157" t="s">
        <v>6473</v>
      </c>
      <c r="I43" s="157">
        <f t="shared" si="3"/>
        <v>1107</v>
      </c>
      <c r="J43" s="157">
        <v>2025.0</v>
      </c>
    </row>
    <row r="44">
      <c r="A44" s="218">
        <f t="shared" si="2"/>
        <v>41</v>
      </c>
      <c r="B44" s="218" t="s">
        <v>201</v>
      </c>
      <c r="C44" s="219" t="str">
        <f t="shared" si="1"/>
        <v>HD/1108/2025</v>
      </c>
      <c r="D44" s="218" t="b">
        <v>1</v>
      </c>
      <c r="E44" s="219" t="b">
        <v>0</v>
      </c>
      <c r="F44" s="219"/>
      <c r="G44" s="173"/>
      <c r="H44" s="157" t="s">
        <v>6473</v>
      </c>
      <c r="I44" s="157">
        <f t="shared" si="3"/>
        <v>1108</v>
      </c>
      <c r="J44" s="157">
        <v>2025.0</v>
      </c>
    </row>
    <row r="45">
      <c r="A45" s="218">
        <f t="shared" si="2"/>
        <v>42</v>
      </c>
      <c r="B45" s="218" t="s">
        <v>201</v>
      </c>
      <c r="C45" s="219" t="str">
        <f t="shared" si="1"/>
        <v>HD/1109/2025</v>
      </c>
      <c r="D45" s="218" t="b">
        <v>1</v>
      </c>
      <c r="E45" s="219" t="b">
        <v>0</v>
      </c>
      <c r="F45" s="219"/>
      <c r="G45" s="173"/>
      <c r="H45" s="157" t="s">
        <v>6473</v>
      </c>
      <c r="I45" s="157">
        <f t="shared" si="3"/>
        <v>1109</v>
      </c>
      <c r="J45" s="157">
        <v>2025.0</v>
      </c>
    </row>
    <row r="46">
      <c r="A46" s="218">
        <f t="shared" si="2"/>
        <v>43</v>
      </c>
      <c r="B46" s="218" t="s">
        <v>201</v>
      </c>
      <c r="C46" s="219" t="str">
        <f t="shared" si="1"/>
        <v>HD/1110/2025</v>
      </c>
      <c r="D46" s="218" t="b">
        <v>1</v>
      </c>
      <c r="E46" s="219" t="b">
        <v>0</v>
      </c>
      <c r="F46" s="219"/>
      <c r="G46" s="173"/>
      <c r="H46" s="157" t="s">
        <v>6473</v>
      </c>
      <c r="I46" s="157">
        <f t="shared" si="3"/>
        <v>1110</v>
      </c>
      <c r="J46" s="157">
        <v>2025.0</v>
      </c>
    </row>
    <row r="47">
      <c r="A47" s="218">
        <f t="shared" si="2"/>
        <v>44</v>
      </c>
      <c r="B47" s="218" t="s">
        <v>201</v>
      </c>
      <c r="C47" s="219" t="str">
        <f t="shared" si="1"/>
        <v>HD/1111/2025</v>
      </c>
      <c r="D47" s="218" t="b">
        <v>1</v>
      </c>
      <c r="E47" s="219" t="b">
        <v>0</v>
      </c>
      <c r="F47" s="219"/>
      <c r="G47" s="173"/>
      <c r="H47" s="157" t="s">
        <v>6473</v>
      </c>
      <c r="I47" s="157">
        <f t="shared" si="3"/>
        <v>1111</v>
      </c>
      <c r="J47" s="157">
        <v>2025.0</v>
      </c>
    </row>
    <row r="48">
      <c r="A48" s="218">
        <f t="shared" si="2"/>
        <v>45</v>
      </c>
      <c r="B48" s="218" t="s">
        <v>201</v>
      </c>
      <c r="C48" s="219" t="str">
        <f t="shared" si="1"/>
        <v>HD/1112/2025</v>
      </c>
      <c r="D48" s="218" t="b">
        <v>1</v>
      </c>
      <c r="E48" s="219" t="b">
        <v>0</v>
      </c>
      <c r="F48" s="219"/>
      <c r="G48" s="173"/>
      <c r="H48" s="157" t="s">
        <v>6473</v>
      </c>
      <c r="I48" s="157">
        <f t="shared" si="3"/>
        <v>1112</v>
      </c>
      <c r="J48" s="157">
        <v>2025.0</v>
      </c>
    </row>
    <row r="49">
      <c r="A49" s="218">
        <f t="shared" si="2"/>
        <v>46</v>
      </c>
      <c r="B49" s="218" t="s">
        <v>201</v>
      </c>
      <c r="C49" s="219" t="str">
        <f t="shared" si="1"/>
        <v>HD/1113/2025</v>
      </c>
      <c r="D49" s="218" t="b">
        <v>1</v>
      </c>
      <c r="E49" s="219" t="b">
        <v>0</v>
      </c>
      <c r="F49" s="219"/>
      <c r="G49" s="173"/>
      <c r="H49" s="157" t="s">
        <v>6473</v>
      </c>
      <c r="I49" s="157">
        <f t="shared" si="3"/>
        <v>1113</v>
      </c>
      <c r="J49" s="157">
        <v>2025.0</v>
      </c>
    </row>
    <row r="50">
      <c r="A50" s="218">
        <f t="shared" si="2"/>
        <v>47</v>
      </c>
      <c r="B50" s="218" t="s">
        <v>201</v>
      </c>
      <c r="C50" s="219" t="str">
        <f t="shared" si="1"/>
        <v>HD/1114/2025</v>
      </c>
      <c r="D50" s="218" t="b">
        <v>1</v>
      </c>
      <c r="E50" s="219" t="b">
        <v>0</v>
      </c>
      <c r="F50" s="219"/>
      <c r="G50" s="173"/>
      <c r="H50" s="157" t="s">
        <v>6473</v>
      </c>
      <c r="I50" s="157">
        <f t="shared" si="3"/>
        <v>1114</v>
      </c>
      <c r="J50" s="157">
        <v>2025.0</v>
      </c>
    </row>
    <row r="51">
      <c r="A51" s="218">
        <f t="shared" si="2"/>
        <v>48</v>
      </c>
      <c r="B51" s="218" t="s">
        <v>201</v>
      </c>
      <c r="C51" s="219" t="str">
        <f t="shared" si="1"/>
        <v>HD/1115/2025</v>
      </c>
      <c r="D51" s="218" t="b">
        <v>1</v>
      </c>
      <c r="E51" s="219" t="b">
        <v>0</v>
      </c>
      <c r="F51" s="219"/>
      <c r="G51" s="173"/>
      <c r="H51" s="157" t="s">
        <v>6473</v>
      </c>
      <c r="I51" s="157">
        <f t="shared" si="3"/>
        <v>1115</v>
      </c>
      <c r="J51" s="157">
        <v>2025.0</v>
      </c>
    </row>
    <row r="52">
      <c r="A52" s="218">
        <f t="shared" si="2"/>
        <v>49</v>
      </c>
      <c r="B52" s="218" t="s">
        <v>201</v>
      </c>
      <c r="C52" s="219" t="str">
        <f t="shared" si="1"/>
        <v>HD/1116/2025</v>
      </c>
      <c r="D52" s="218" t="b">
        <v>1</v>
      </c>
      <c r="E52" s="219" t="b">
        <v>0</v>
      </c>
      <c r="F52" s="219"/>
      <c r="G52" s="173"/>
      <c r="H52" s="157" t="s">
        <v>6473</v>
      </c>
      <c r="I52" s="157">
        <f t="shared" si="3"/>
        <v>1116</v>
      </c>
      <c r="J52" s="157">
        <v>2025.0</v>
      </c>
    </row>
    <row r="53">
      <c r="A53" s="218">
        <f t="shared" si="2"/>
        <v>50</v>
      </c>
      <c r="B53" s="218" t="s">
        <v>201</v>
      </c>
      <c r="C53" s="219" t="str">
        <f t="shared" si="1"/>
        <v>HD/1117/2025</v>
      </c>
      <c r="D53" s="218" t="b">
        <v>1</v>
      </c>
      <c r="E53" s="219" t="b">
        <v>0</v>
      </c>
      <c r="F53" s="219"/>
      <c r="G53" s="173"/>
      <c r="H53" s="157" t="s">
        <v>6473</v>
      </c>
      <c r="I53" s="157">
        <f t="shared" si="3"/>
        <v>1117</v>
      </c>
      <c r="J53" s="157">
        <v>2025.0</v>
      </c>
    </row>
    <row r="54">
      <c r="A54" s="218">
        <f t="shared" si="2"/>
        <v>51</v>
      </c>
      <c r="B54" s="218" t="s">
        <v>201</v>
      </c>
      <c r="C54" s="219" t="str">
        <f t="shared" si="1"/>
        <v>HD/1118/2025</v>
      </c>
      <c r="D54" s="218" t="b">
        <v>1</v>
      </c>
      <c r="E54" s="219" t="b">
        <v>0</v>
      </c>
      <c r="F54" s="219"/>
      <c r="G54" s="173"/>
      <c r="H54" s="157" t="s">
        <v>6473</v>
      </c>
      <c r="I54" s="157">
        <f t="shared" si="3"/>
        <v>1118</v>
      </c>
      <c r="J54" s="157">
        <v>2025.0</v>
      </c>
    </row>
    <row r="55">
      <c r="A55" s="218">
        <f t="shared" si="2"/>
        <v>52</v>
      </c>
      <c r="B55" s="218" t="s">
        <v>201</v>
      </c>
      <c r="C55" s="219" t="str">
        <f t="shared" si="1"/>
        <v>HD/1119/2025</v>
      </c>
      <c r="D55" s="218" t="b">
        <v>1</v>
      </c>
      <c r="E55" s="219" t="b">
        <v>0</v>
      </c>
      <c r="F55" s="219"/>
      <c r="G55" s="173"/>
      <c r="H55" s="157" t="s">
        <v>6473</v>
      </c>
      <c r="I55" s="157">
        <f t="shared" si="3"/>
        <v>1119</v>
      </c>
      <c r="J55" s="157">
        <v>2025.0</v>
      </c>
    </row>
    <row r="56">
      <c r="A56" s="218">
        <f t="shared" si="2"/>
        <v>53</v>
      </c>
      <c r="B56" s="218" t="s">
        <v>201</v>
      </c>
      <c r="C56" s="219" t="str">
        <f t="shared" si="1"/>
        <v>HD/1120/2025</v>
      </c>
      <c r="D56" s="218" t="b">
        <v>1</v>
      </c>
      <c r="E56" s="219" t="b">
        <v>0</v>
      </c>
      <c r="F56" s="219"/>
      <c r="G56" s="173"/>
      <c r="H56" s="157" t="s">
        <v>6473</v>
      </c>
      <c r="I56" s="157">
        <f t="shared" si="3"/>
        <v>1120</v>
      </c>
      <c r="J56" s="157">
        <v>2025.0</v>
      </c>
    </row>
    <row r="57">
      <c r="A57" s="218">
        <f t="shared" si="2"/>
        <v>54</v>
      </c>
      <c r="B57" s="218" t="s">
        <v>201</v>
      </c>
      <c r="C57" s="219" t="str">
        <f t="shared" si="1"/>
        <v>HD/1121/2025</v>
      </c>
      <c r="D57" s="218" t="b">
        <v>1</v>
      </c>
      <c r="E57" s="219" t="b">
        <v>0</v>
      </c>
      <c r="F57" s="219"/>
      <c r="G57" s="173"/>
      <c r="H57" s="157" t="s">
        <v>6473</v>
      </c>
      <c r="I57" s="157">
        <f t="shared" si="3"/>
        <v>1121</v>
      </c>
      <c r="J57" s="157">
        <v>2025.0</v>
      </c>
    </row>
    <row r="58">
      <c r="A58" s="218">
        <f t="shared" si="2"/>
        <v>55</v>
      </c>
      <c r="B58" s="218" t="s">
        <v>201</v>
      </c>
      <c r="C58" s="219" t="str">
        <f t="shared" si="1"/>
        <v>HD/1122/2025</v>
      </c>
      <c r="D58" s="218" t="b">
        <v>1</v>
      </c>
      <c r="E58" s="219" t="b">
        <v>0</v>
      </c>
      <c r="F58" s="219"/>
      <c r="G58" s="173"/>
      <c r="H58" s="157" t="s">
        <v>6473</v>
      </c>
      <c r="I58" s="157">
        <f t="shared" si="3"/>
        <v>1122</v>
      </c>
      <c r="J58" s="157">
        <v>2025.0</v>
      </c>
    </row>
    <row r="59">
      <c r="A59" s="218">
        <f t="shared" si="2"/>
        <v>56</v>
      </c>
      <c r="B59" s="218" t="s">
        <v>201</v>
      </c>
      <c r="C59" s="219" t="str">
        <f t="shared" si="1"/>
        <v>HD/1123/2025</v>
      </c>
      <c r="D59" s="218" t="b">
        <v>1</v>
      </c>
      <c r="E59" s="219" t="b">
        <v>0</v>
      </c>
      <c r="F59" s="219"/>
      <c r="G59" s="173"/>
      <c r="H59" s="157" t="s">
        <v>6473</v>
      </c>
      <c r="I59" s="157">
        <f t="shared" si="3"/>
        <v>1123</v>
      </c>
      <c r="J59" s="157">
        <v>2025.0</v>
      </c>
    </row>
    <row r="60">
      <c r="A60" s="218">
        <f t="shared" si="2"/>
        <v>57</v>
      </c>
      <c r="B60" s="218" t="s">
        <v>201</v>
      </c>
      <c r="C60" s="219" t="str">
        <f t="shared" si="1"/>
        <v>HD/1124/2025</v>
      </c>
      <c r="D60" s="218" t="b">
        <v>1</v>
      </c>
      <c r="E60" s="219" t="b">
        <v>0</v>
      </c>
      <c r="F60" s="219"/>
      <c r="G60" s="173"/>
      <c r="H60" s="157" t="s">
        <v>6473</v>
      </c>
      <c r="I60" s="157">
        <f t="shared" si="3"/>
        <v>1124</v>
      </c>
      <c r="J60" s="157">
        <v>2025.0</v>
      </c>
    </row>
    <row r="61">
      <c r="A61" s="218">
        <f t="shared" si="2"/>
        <v>58</v>
      </c>
      <c r="B61" s="218" t="s">
        <v>201</v>
      </c>
      <c r="C61" s="219" t="str">
        <f t="shared" si="1"/>
        <v>HD/1125/2025</v>
      </c>
      <c r="D61" s="218" t="b">
        <v>1</v>
      </c>
      <c r="E61" s="219" t="b">
        <v>0</v>
      </c>
      <c r="F61" s="219"/>
      <c r="G61" s="173"/>
      <c r="H61" s="157" t="s">
        <v>6473</v>
      </c>
      <c r="I61" s="157">
        <f t="shared" si="3"/>
        <v>1125</v>
      </c>
      <c r="J61" s="157">
        <v>2025.0</v>
      </c>
    </row>
    <row r="62">
      <c r="A62" s="218">
        <f t="shared" si="2"/>
        <v>59</v>
      </c>
      <c r="B62" s="218" t="s">
        <v>201</v>
      </c>
      <c r="C62" s="219" t="str">
        <f t="shared" si="1"/>
        <v>HD/1126/2025</v>
      </c>
      <c r="D62" s="218" t="b">
        <v>1</v>
      </c>
      <c r="E62" s="219" t="b">
        <v>0</v>
      </c>
      <c r="F62" s="219"/>
      <c r="G62" s="173"/>
      <c r="H62" s="157" t="s">
        <v>6473</v>
      </c>
      <c r="I62" s="157">
        <f t="shared" si="3"/>
        <v>1126</v>
      </c>
      <c r="J62" s="157">
        <v>2025.0</v>
      </c>
    </row>
    <row r="63">
      <c r="A63" s="218">
        <f t="shared" si="2"/>
        <v>60</v>
      </c>
      <c r="B63" s="218" t="s">
        <v>201</v>
      </c>
      <c r="C63" s="219" t="str">
        <f t="shared" si="1"/>
        <v>HD/1127/2025</v>
      </c>
      <c r="D63" s="218" t="b">
        <v>1</v>
      </c>
      <c r="E63" s="219" t="b">
        <v>0</v>
      </c>
      <c r="F63" s="219"/>
      <c r="G63" s="173"/>
      <c r="H63" s="157" t="s">
        <v>6473</v>
      </c>
      <c r="I63" s="157">
        <f t="shared" si="3"/>
        <v>1127</v>
      </c>
      <c r="J63" s="157">
        <v>2025.0</v>
      </c>
    </row>
    <row r="64">
      <c r="A64" s="218">
        <f t="shared" si="2"/>
        <v>61</v>
      </c>
      <c r="B64" s="218" t="s">
        <v>201</v>
      </c>
      <c r="C64" s="219" t="str">
        <f t="shared" si="1"/>
        <v>HD/1128/2025</v>
      </c>
      <c r="D64" s="218" t="b">
        <v>1</v>
      </c>
      <c r="E64" s="219" t="b">
        <v>0</v>
      </c>
      <c r="F64" s="219"/>
      <c r="G64" s="173"/>
      <c r="H64" s="157" t="s">
        <v>6473</v>
      </c>
      <c r="I64" s="157">
        <f t="shared" si="3"/>
        <v>1128</v>
      </c>
      <c r="J64" s="157">
        <v>2025.0</v>
      </c>
    </row>
    <row r="65">
      <c r="A65" s="218">
        <f t="shared" si="2"/>
        <v>62</v>
      </c>
      <c r="B65" s="218" t="s">
        <v>201</v>
      </c>
      <c r="C65" s="219" t="str">
        <f t="shared" si="1"/>
        <v>HD/1129/2025</v>
      </c>
      <c r="D65" s="218" t="b">
        <v>1</v>
      </c>
      <c r="E65" s="219" t="b">
        <v>0</v>
      </c>
      <c r="F65" s="219"/>
      <c r="G65" s="173"/>
      <c r="H65" s="157" t="s">
        <v>6473</v>
      </c>
      <c r="I65" s="157">
        <f t="shared" si="3"/>
        <v>1129</v>
      </c>
      <c r="J65" s="157">
        <v>2025.0</v>
      </c>
    </row>
    <row r="66">
      <c r="A66" s="218">
        <f t="shared" si="2"/>
        <v>63</v>
      </c>
      <c r="B66" s="218" t="s">
        <v>201</v>
      </c>
      <c r="C66" s="219" t="str">
        <f t="shared" si="1"/>
        <v>HD/1130/2025</v>
      </c>
      <c r="D66" s="218" t="b">
        <v>1</v>
      </c>
      <c r="E66" s="219" t="b">
        <v>0</v>
      </c>
      <c r="F66" s="219"/>
      <c r="G66" s="173"/>
      <c r="H66" s="157" t="s">
        <v>6473</v>
      </c>
      <c r="I66" s="157">
        <f t="shared" si="3"/>
        <v>1130</v>
      </c>
      <c r="J66" s="157">
        <v>2025.0</v>
      </c>
    </row>
    <row r="67">
      <c r="A67" s="218">
        <f t="shared" si="2"/>
        <v>64</v>
      </c>
      <c r="B67" s="218" t="s">
        <v>201</v>
      </c>
      <c r="C67" s="219" t="str">
        <f t="shared" si="1"/>
        <v>HD/1131/2025</v>
      </c>
      <c r="D67" s="218" t="b">
        <v>1</v>
      </c>
      <c r="E67" s="219" t="b">
        <v>0</v>
      </c>
      <c r="F67" s="219"/>
      <c r="G67" s="173"/>
      <c r="H67" s="157" t="s">
        <v>6473</v>
      </c>
      <c r="I67" s="157">
        <f t="shared" si="3"/>
        <v>1131</v>
      </c>
      <c r="J67" s="157">
        <v>2025.0</v>
      </c>
    </row>
    <row r="68">
      <c r="A68" s="218">
        <f t="shared" si="2"/>
        <v>65</v>
      </c>
      <c r="B68" s="218" t="s">
        <v>201</v>
      </c>
      <c r="C68" s="219" t="str">
        <f t="shared" si="1"/>
        <v>HD/1132/2025</v>
      </c>
      <c r="D68" s="218" t="b">
        <v>1</v>
      </c>
      <c r="E68" s="219" t="b">
        <v>0</v>
      </c>
      <c r="F68" s="219"/>
      <c r="G68" s="173"/>
      <c r="H68" s="157" t="s">
        <v>6473</v>
      </c>
      <c r="I68" s="157">
        <f t="shared" si="3"/>
        <v>1132</v>
      </c>
      <c r="J68" s="157">
        <v>2025.0</v>
      </c>
    </row>
    <row r="69">
      <c r="A69" s="218">
        <f t="shared" si="2"/>
        <v>66</v>
      </c>
      <c r="B69" s="218" t="s">
        <v>201</v>
      </c>
      <c r="C69" s="219" t="str">
        <f t="shared" si="1"/>
        <v>HD/1133/2025</v>
      </c>
      <c r="D69" s="218" t="b">
        <v>1</v>
      </c>
      <c r="E69" s="219" t="b">
        <v>0</v>
      </c>
      <c r="F69" s="219"/>
      <c r="G69" s="173"/>
      <c r="H69" s="157" t="s">
        <v>6473</v>
      </c>
      <c r="I69" s="157">
        <f t="shared" si="3"/>
        <v>1133</v>
      </c>
      <c r="J69" s="157">
        <v>2025.0</v>
      </c>
    </row>
    <row r="70">
      <c r="A70" s="218">
        <f t="shared" si="2"/>
        <v>67</v>
      </c>
      <c r="B70" s="218" t="s">
        <v>201</v>
      </c>
      <c r="C70" s="219" t="str">
        <f t="shared" si="1"/>
        <v>HD/1134/2025</v>
      </c>
      <c r="D70" s="218" t="b">
        <v>1</v>
      </c>
      <c r="E70" s="219" t="b">
        <v>0</v>
      </c>
      <c r="F70" s="219"/>
      <c r="G70" s="173"/>
      <c r="H70" s="157" t="s">
        <v>6473</v>
      </c>
      <c r="I70" s="157">
        <f t="shared" si="3"/>
        <v>1134</v>
      </c>
      <c r="J70" s="157">
        <v>2025.0</v>
      </c>
    </row>
    <row r="71">
      <c r="A71" s="218">
        <f t="shared" si="2"/>
        <v>68</v>
      </c>
      <c r="B71" s="218" t="s">
        <v>201</v>
      </c>
      <c r="C71" s="219" t="str">
        <f t="shared" si="1"/>
        <v>HD/1135/2025</v>
      </c>
      <c r="D71" s="218" t="b">
        <v>1</v>
      </c>
      <c r="E71" s="219" t="b">
        <v>0</v>
      </c>
      <c r="F71" s="219"/>
      <c r="G71" s="173"/>
      <c r="H71" s="157" t="s">
        <v>6473</v>
      </c>
      <c r="I71" s="157">
        <f t="shared" si="3"/>
        <v>1135</v>
      </c>
      <c r="J71" s="157">
        <v>2025.0</v>
      </c>
    </row>
    <row r="72">
      <c r="A72" s="218">
        <f t="shared" si="2"/>
        <v>69</v>
      </c>
      <c r="B72" s="218" t="s">
        <v>201</v>
      </c>
      <c r="C72" s="219" t="str">
        <f t="shared" si="1"/>
        <v>HD/1136/2025</v>
      </c>
      <c r="D72" s="218" t="b">
        <v>1</v>
      </c>
      <c r="E72" s="219" t="b">
        <v>0</v>
      </c>
      <c r="F72" s="219"/>
      <c r="G72" s="173"/>
      <c r="H72" s="157" t="s">
        <v>6473</v>
      </c>
      <c r="I72" s="157">
        <f t="shared" si="3"/>
        <v>1136</v>
      </c>
      <c r="J72" s="157">
        <v>2025.0</v>
      </c>
    </row>
    <row r="73">
      <c r="A73" s="218">
        <f t="shared" si="2"/>
        <v>70</v>
      </c>
      <c r="B73" s="218" t="s">
        <v>201</v>
      </c>
      <c r="C73" s="219" t="str">
        <f t="shared" si="1"/>
        <v>HD/1137/2025</v>
      </c>
      <c r="D73" s="218" t="b">
        <v>1</v>
      </c>
      <c r="E73" s="219" t="b">
        <v>0</v>
      </c>
      <c r="F73" s="219"/>
      <c r="G73" s="173"/>
      <c r="H73" s="157" t="s">
        <v>6473</v>
      </c>
      <c r="I73" s="157">
        <f t="shared" si="3"/>
        <v>1137</v>
      </c>
      <c r="J73" s="157">
        <v>2025.0</v>
      </c>
    </row>
    <row r="74">
      <c r="A74" s="218">
        <f t="shared" si="2"/>
        <v>71</v>
      </c>
      <c r="B74" s="218" t="s">
        <v>201</v>
      </c>
      <c r="C74" s="219" t="str">
        <f t="shared" si="1"/>
        <v>HD/1138/2025</v>
      </c>
      <c r="D74" s="218" t="b">
        <v>1</v>
      </c>
      <c r="E74" s="219" t="b">
        <v>0</v>
      </c>
      <c r="F74" s="219"/>
      <c r="G74" s="173"/>
      <c r="H74" s="157" t="s">
        <v>6473</v>
      </c>
      <c r="I74" s="157">
        <f t="shared" si="3"/>
        <v>1138</v>
      </c>
      <c r="J74" s="157">
        <v>2025.0</v>
      </c>
    </row>
    <row r="75">
      <c r="A75" s="218">
        <f t="shared" si="2"/>
        <v>72</v>
      </c>
      <c r="B75" s="218" t="s">
        <v>201</v>
      </c>
      <c r="C75" s="219" t="str">
        <f t="shared" si="1"/>
        <v>HD/1139/2025</v>
      </c>
      <c r="D75" s="218" t="b">
        <v>1</v>
      </c>
      <c r="E75" s="219" t="b">
        <v>0</v>
      </c>
      <c r="F75" s="219"/>
      <c r="G75" s="173"/>
      <c r="H75" s="157" t="s">
        <v>6473</v>
      </c>
      <c r="I75" s="157">
        <f t="shared" si="3"/>
        <v>1139</v>
      </c>
      <c r="J75" s="157">
        <v>2025.0</v>
      </c>
    </row>
    <row r="76">
      <c r="A76" s="218">
        <f t="shared" si="2"/>
        <v>73</v>
      </c>
      <c r="B76" s="218" t="s">
        <v>201</v>
      </c>
      <c r="C76" s="219" t="str">
        <f t="shared" si="1"/>
        <v>HD/1140/2025</v>
      </c>
      <c r="D76" s="218" t="b">
        <v>1</v>
      </c>
      <c r="E76" s="219" t="b">
        <v>0</v>
      </c>
      <c r="F76" s="219"/>
      <c r="G76" s="173"/>
      <c r="H76" s="157" t="s">
        <v>6473</v>
      </c>
      <c r="I76" s="157">
        <f t="shared" si="3"/>
        <v>1140</v>
      </c>
      <c r="J76" s="157">
        <v>2025.0</v>
      </c>
    </row>
    <row r="77">
      <c r="A77" s="218">
        <f t="shared" si="2"/>
        <v>74</v>
      </c>
      <c r="B77" s="218" t="s">
        <v>201</v>
      </c>
      <c r="C77" s="219" t="str">
        <f t="shared" si="1"/>
        <v>HD/1141/2025</v>
      </c>
      <c r="D77" s="218" t="b">
        <v>1</v>
      </c>
      <c r="E77" s="219" t="b">
        <v>0</v>
      </c>
      <c r="F77" s="219"/>
      <c r="G77" s="173"/>
      <c r="H77" s="157" t="s">
        <v>6473</v>
      </c>
      <c r="I77" s="157">
        <f t="shared" si="3"/>
        <v>1141</v>
      </c>
      <c r="J77" s="157">
        <v>2025.0</v>
      </c>
    </row>
    <row r="78">
      <c r="A78" s="218">
        <f t="shared" si="2"/>
        <v>75</v>
      </c>
      <c r="B78" s="218" t="s">
        <v>201</v>
      </c>
      <c r="C78" s="219" t="str">
        <f t="shared" si="1"/>
        <v>HD/1142/2025</v>
      </c>
      <c r="D78" s="218" t="b">
        <v>1</v>
      </c>
      <c r="E78" s="219" t="b">
        <v>0</v>
      </c>
      <c r="F78" s="219"/>
      <c r="G78" s="173"/>
      <c r="H78" s="157" t="s">
        <v>6473</v>
      </c>
      <c r="I78" s="157">
        <f t="shared" si="3"/>
        <v>1142</v>
      </c>
      <c r="J78" s="157">
        <v>2025.0</v>
      </c>
    </row>
    <row r="79">
      <c r="A79" s="218">
        <f t="shared" si="2"/>
        <v>76</v>
      </c>
      <c r="B79" s="218" t="s">
        <v>201</v>
      </c>
      <c r="C79" s="219" t="str">
        <f t="shared" si="1"/>
        <v>HD/1143/2025</v>
      </c>
      <c r="D79" s="218" t="b">
        <v>1</v>
      </c>
      <c r="E79" s="219" t="b">
        <v>0</v>
      </c>
      <c r="F79" s="219"/>
      <c r="G79" s="173"/>
      <c r="H79" s="157" t="s">
        <v>6473</v>
      </c>
      <c r="I79" s="157">
        <f t="shared" si="3"/>
        <v>1143</v>
      </c>
      <c r="J79" s="157">
        <v>2025.0</v>
      </c>
    </row>
    <row r="80">
      <c r="A80" s="218">
        <f t="shared" si="2"/>
        <v>77</v>
      </c>
      <c r="B80" s="218" t="s">
        <v>201</v>
      </c>
      <c r="C80" s="219" t="str">
        <f t="shared" si="1"/>
        <v>HD/1144/2025</v>
      </c>
      <c r="D80" s="218" t="b">
        <v>1</v>
      </c>
      <c r="E80" s="219" t="b">
        <v>0</v>
      </c>
      <c r="F80" s="219"/>
      <c r="G80" s="173"/>
      <c r="H80" s="157" t="s">
        <v>6473</v>
      </c>
      <c r="I80" s="157">
        <f t="shared" si="3"/>
        <v>1144</v>
      </c>
      <c r="J80" s="157">
        <v>2025.0</v>
      </c>
    </row>
    <row r="81">
      <c r="A81" s="218">
        <f t="shared" si="2"/>
        <v>78</v>
      </c>
      <c r="B81" s="218" t="s">
        <v>201</v>
      </c>
      <c r="C81" s="219" t="str">
        <f t="shared" si="1"/>
        <v>HD/1145/2025</v>
      </c>
      <c r="D81" s="218" t="b">
        <v>1</v>
      </c>
      <c r="E81" s="219" t="b">
        <v>0</v>
      </c>
      <c r="F81" s="219"/>
      <c r="G81" s="173"/>
      <c r="H81" s="157" t="s">
        <v>6473</v>
      </c>
      <c r="I81" s="157">
        <f t="shared" si="3"/>
        <v>1145</v>
      </c>
      <c r="J81" s="157">
        <v>2025.0</v>
      </c>
    </row>
    <row r="82">
      <c r="A82" s="218">
        <f t="shared" si="2"/>
        <v>79</v>
      </c>
      <c r="B82" s="218" t="s">
        <v>201</v>
      </c>
      <c r="C82" s="219" t="str">
        <f t="shared" si="1"/>
        <v>HD/1146/2025</v>
      </c>
      <c r="D82" s="218" t="b">
        <v>1</v>
      </c>
      <c r="E82" s="219" t="b">
        <v>0</v>
      </c>
      <c r="F82" s="219"/>
      <c r="G82" s="173"/>
      <c r="H82" s="157" t="s">
        <v>6473</v>
      </c>
      <c r="I82" s="157">
        <f t="shared" si="3"/>
        <v>1146</v>
      </c>
      <c r="J82" s="157">
        <v>2025.0</v>
      </c>
    </row>
    <row r="83">
      <c r="A83" s="218">
        <f t="shared" si="2"/>
        <v>80</v>
      </c>
      <c r="B83" s="218" t="s">
        <v>201</v>
      </c>
      <c r="C83" s="219" t="str">
        <f t="shared" si="1"/>
        <v>HD/1147/2025</v>
      </c>
      <c r="D83" s="218" t="b">
        <v>1</v>
      </c>
      <c r="E83" s="219" t="b">
        <v>0</v>
      </c>
      <c r="F83" s="219"/>
      <c r="G83" s="173"/>
      <c r="H83" s="157" t="s">
        <v>6473</v>
      </c>
      <c r="I83" s="157">
        <f t="shared" si="3"/>
        <v>1147</v>
      </c>
      <c r="J83" s="157">
        <v>2025.0</v>
      </c>
    </row>
    <row r="84">
      <c r="A84" s="218">
        <f t="shared" si="2"/>
        <v>81</v>
      </c>
      <c r="B84" s="218" t="s">
        <v>201</v>
      </c>
      <c r="C84" s="219" t="str">
        <f t="shared" si="1"/>
        <v>HD/1148/2025</v>
      </c>
      <c r="D84" s="218" t="b">
        <v>1</v>
      </c>
      <c r="E84" s="219" t="b">
        <v>0</v>
      </c>
      <c r="F84" s="219"/>
      <c r="G84" s="173"/>
      <c r="H84" s="157" t="s">
        <v>6473</v>
      </c>
      <c r="I84" s="157">
        <f t="shared" si="3"/>
        <v>1148</v>
      </c>
      <c r="J84" s="157">
        <v>2025.0</v>
      </c>
    </row>
    <row r="85">
      <c r="A85" s="218">
        <f t="shared" si="2"/>
        <v>82</v>
      </c>
      <c r="B85" s="218" t="s">
        <v>201</v>
      </c>
      <c r="C85" s="219" t="str">
        <f t="shared" si="1"/>
        <v>HD/1149/2025</v>
      </c>
      <c r="D85" s="218" t="b">
        <v>1</v>
      </c>
      <c r="E85" s="219" t="b">
        <v>0</v>
      </c>
      <c r="F85" s="219"/>
      <c r="G85" s="173"/>
      <c r="H85" s="157" t="s">
        <v>6473</v>
      </c>
      <c r="I85" s="157">
        <f t="shared" si="3"/>
        <v>1149</v>
      </c>
      <c r="J85" s="157">
        <v>2025.0</v>
      </c>
    </row>
    <row r="86">
      <c r="A86" s="218">
        <f t="shared" si="2"/>
        <v>83</v>
      </c>
      <c r="B86" s="218" t="s">
        <v>201</v>
      </c>
      <c r="C86" s="219" t="str">
        <f t="shared" si="1"/>
        <v>HD/1150/2025</v>
      </c>
      <c r="D86" s="218" t="b">
        <v>1</v>
      </c>
      <c r="E86" s="219" t="b">
        <v>0</v>
      </c>
      <c r="F86" s="219"/>
      <c r="G86" s="173"/>
      <c r="H86" s="157" t="s">
        <v>6473</v>
      </c>
      <c r="I86" s="157">
        <f t="shared" si="3"/>
        <v>1150</v>
      </c>
      <c r="J86" s="157">
        <v>2025.0</v>
      </c>
    </row>
    <row r="87">
      <c r="A87" s="218">
        <f t="shared" si="2"/>
        <v>84</v>
      </c>
      <c r="B87" s="218" t="s">
        <v>201</v>
      </c>
      <c r="C87" s="219" t="str">
        <f t="shared" si="1"/>
        <v>HD/1151/2025</v>
      </c>
      <c r="D87" s="218" t="b">
        <v>1</v>
      </c>
      <c r="E87" s="219" t="b">
        <v>0</v>
      </c>
      <c r="F87" s="219"/>
      <c r="G87" s="173"/>
      <c r="H87" s="157" t="s">
        <v>6473</v>
      </c>
      <c r="I87" s="157">
        <f t="shared" si="3"/>
        <v>1151</v>
      </c>
      <c r="J87" s="157">
        <v>2025.0</v>
      </c>
    </row>
    <row r="88">
      <c r="A88" s="218">
        <f t="shared" si="2"/>
        <v>85</v>
      </c>
      <c r="B88" s="218" t="s">
        <v>201</v>
      </c>
      <c r="C88" s="219" t="str">
        <f t="shared" si="1"/>
        <v>HD/1152/2025</v>
      </c>
      <c r="D88" s="218" t="b">
        <v>1</v>
      </c>
      <c r="E88" s="219" t="b">
        <v>0</v>
      </c>
      <c r="F88" s="219"/>
      <c r="G88" s="173"/>
      <c r="H88" s="157" t="s">
        <v>6473</v>
      </c>
      <c r="I88" s="157">
        <f t="shared" si="3"/>
        <v>1152</v>
      </c>
      <c r="J88" s="157">
        <v>2025.0</v>
      </c>
    </row>
    <row r="89">
      <c r="A89" s="218">
        <f t="shared" si="2"/>
        <v>86</v>
      </c>
      <c r="B89" s="218" t="s">
        <v>201</v>
      </c>
      <c r="C89" s="219" t="str">
        <f t="shared" si="1"/>
        <v>HD/1153/2025</v>
      </c>
      <c r="D89" s="218" t="b">
        <v>1</v>
      </c>
      <c r="E89" s="219" t="b">
        <v>0</v>
      </c>
      <c r="F89" s="219"/>
      <c r="G89" s="173"/>
      <c r="H89" s="157" t="s">
        <v>6473</v>
      </c>
      <c r="I89" s="157">
        <f t="shared" si="3"/>
        <v>1153</v>
      </c>
      <c r="J89" s="157">
        <v>2025.0</v>
      </c>
    </row>
    <row r="90">
      <c r="A90" s="218">
        <f t="shared" si="2"/>
        <v>87</v>
      </c>
      <c r="B90" s="218" t="s">
        <v>201</v>
      </c>
      <c r="C90" s="219" t="str">
        <f t="shared" si="1"/>
        <v>HD/1154/2025</v>
      </c>
      <c r="D90" s="218" t="b">
        <v>1</v>
      </c>
      <c r="E90" s="219" t="b">
        <v>0</v>
      </c>
      <c r="F90" s="219"/>
      <c r="G90" s="173"/>
      <c r="H90" s="157" t="s">
        <v>6473</v>
      </c>
      <c r="I90" s="157">
        <f t="shared" si="3"/>
        <v>1154</v>
      </c>
      <c r="J90" s="157">
        <v>2025.0</v>
      </c>
    </row>
    <row r="91">
      <c r="A91" s="218">
        <f t="shared" si="2"/>
        <v>88</v>
      </c>
      <c r="B91" s="218" t="s">
        <v>201</v>
      </c>
      <c r="C91" s="219" t="str">
        <f t="shared" si="1"/>
        <v>HD/1155/2025</v>
      </c>
      <c r="D91" s="218" t="b">
        <v>1</v>
      </c>
      <c r="E91" s="219" t="b">
        <v>0</v>
      </c>
      <c r="F91" s="219"/>
      <c r="G91" s="173"/>
      <c r="H91" s="157" t="s">
        <v>6473</v>
      </c>
      <c r="I91" s="157">
        <f t="shared" si="3"/>
        <v>1155</v>
      </c>
      <c r="J91" s="157">
        <v>2025.0</v>
      </c>
    </row>
    <row r="92">
      <c r="A92" s="218">
        <f t="shared" si="2"/>
        <v>89</v>
      </c>
      <c r="B92" s="218" t="s">
        <v>201</v>
      </c>
      <c r="C92" s="219" t="str">
        <f t="shared" si="1"/>
        <v>HD/1156/2025</v>
      </c>
      <c r="D92" s="218" t="b">
        <v>1</v>
      </c>
      <c r="E92" s="219" t="b">
        <v>0</v>
      </c>
      <c r="F92" s="219"/>
      <c r="G92" s="173"/>
      <c r="H92" s="157" t="s">
        <v>6473</v>
      </c>
      <c r="I92" s="157">
        <f t="shared" si="3"/>
        <v>1156</v>
      </c>
      <c r="J92" s="157">
        <v>2025.0</v>
      </c>
    </row>
    <row r="93">
      <c r="A93" s="218">
        <f t="shared" si="2"/>
        <v>90</v>
      </c>
      <c r="B93" s="218" t="s">
        <v>201</v>
      </c>
      <c r="C93" s="219" t="str">
        <f t="shared" si="1"/>
        <v>HD/1157/2025</v>
      </c>
      <c r="D93" s="218" t="b">
        <v>1</v>
      </c>
      <c r="E93" s="219" t="b">
        <v>0</v>
      </c>
      <c r="F93" s="219"/>
      <c r="G93" s="173"/>
      <c r="H93" s="157" t="s">
        <v>6473</v>
      </c>
      <c r="I93" s="157">
        <f t="shared" si="3"/>
        <v>1157</v>
      </c>
      <c r="J93" s="157">
        <v>2025.0</v>
      </c>
    </row>
    <row r="94">
      <c r="A94" s="218">
        <f t="shared" si="2"/>
        <v>91</v>
      </c>
      <c r="B94" s="218" t="s">
        <v>201</v>
      </c>
      <c r="C94" s="219" t="str">
        <f t="shared" si="1"/>
        <v>HD/1158/2025</v>
      </c>
      <c r="D94" s="218" t="b">
        <v>1</v>
      </c>
      <c r="E94" s="219" t="b">
        <v>0</v>
      </c>
      <c r="F94" s="219"/>
      <c r="G94" s="173"/>
      <c r="H94" s="157" t="s">
        <v>6473</v>
      </c>
      <c r="I94" s="157">
        <f t="shared" si="3"/>
        <v>1158</v>
      </c>
      <c r="J94" s="157">
        <v>2025.0</v>
      </c>
    </row>
    <row r="95">
      <c r="A95" s="218">
        <f t="shared" si="2"/>
        <v>92</v>
      </c>
      <c r="B95" s="218" t="s">
        <v>201</v>
      </c>
      <c r="C95" s="219" t="str">
        <f t="shared" si="1"/>
        <v>HD/1159/2025</v>
      </c>
      <c r="D95" s="218" t="b">
        <v>1</v>
      </c>
      <c r="E95" s="219" t="b">
        <v>0</v>
      </c>
      <c r="F95" s="219"/>
      <c r="G95" s="173"/>
      <c r="H95" s="157" t="s">
        <v>6473</v>
      </c>
      <c r="I95" s="157">
        <f t="shared" si="3"/>
        <v>1159</v>
      </c>
      <c r="J95" s="157">
        <v>2025.0</v>
      </c>
    </row>
    <row r="96">
      <c r="A96" s="218">
        <f t="shared" si="2"/>
        <v>93</v>
      </c>
      <c r="B96" s="218" t="s">
        <v>201</v>
      </c>
      <c r="C96" s="219" t="str">
        <f t="shared" si="1"/>
        <v>HD/1160/2025</v>
      </c>
      <c r="D96" s="218" t="b">
        <v>1</v>
      </c>
      <c r="E96" s="219" t="b">
        <v>0</v>
      </c>
      <c r="F96" s="219"/>
      <c r="G96" s="173"/>
      <c r="H96" s="157" t="s">
        <v>6473</v>
      </c>
      <c r="I96" s="157">
        <f t="shared" si="3"/>
        <v>1160</v>
      </c>
      <c r="J96" s="157">
        <v>2025.0</v>
      </c>
    </row>
    <row r="97">
      <c r="A97" s="218">
        <f t="shared" si="2"/>
        <v>94</v>
      </c>
      <c r="B97" s="218" t="s">
        <v>201</v>
      </c>
      <c r="C97" s="219" t="str">
        <f t="shared" si="1"/>
        <v>HD/1161/2025</v>
      </c>
      <c r="D97" s="218" t="b">
        <v>1</v>
      </c>
      <c r="E97" s="219" t="b">
        <v>0</v>
      </c>
      <c r="F97" s="219"/>
      <c r="G97" s="173"/>
      <c r="H97" s="157" t="s">
        <v>6473</v>
      </c>
      <c r="I97" s="157">
        <f t="shared" si="3"/>
        <v>1161</v>
      </c>
      <c r="J97" s="157">
        <v>2025.0</v>
      </c>
    </row>
    <row r="98">
      <c r="A98" s="218">
        <f t="shared" si="2"/>
        <v>95</v>
      </c>
      <c r="B98" s="218" t="s">
        <v>201</v>
      </c>
      <c r="C98" s="219" t="str">
        <f t="shared" si="1"/>
        <v>HD/1162/2025</v>
      </c>
      <c r="D98" s="218" t="b">
        <v>1</v>
      </c>
      <c r="E98" s="219" t="b">
        <v>0</v>
      </c>
      <c r="F98" s="219"/>
      <c r="G98" s="173"/>
      <c r="H98" s="157" t="s">
        <v>6473</v>
      </c>
      <c r="I98" s="157">
        <f t="shared" si="3"/>
        <v>1162</v>
      </c>
      <c r="J98" s="157">
        <v>2025.0</v>
      </c>
    </row>
    <row r="99">
      <c r="A99" s="218">
        <f t="shared" si="2"/>
        <v>96</v>
      </c>
      <c r="B99" s="218" t="s">
        <v>201</v>
      </c>
      <c r="C99" s="219" t="str">
        <f t="shared" si="1"/>
        <v>HD/1163/2025</v>
      </c>
      <c r="D99" s="218" t="b">
        <v>1</v>
      </c>
      <c r="E99" s="219" t="b">
        <v>0</v>
      </c>
      <c r="F99" s="219"/>
      <c r="G99" s="173"/>
      <c r="H99" s="157" t="s">
        <v>6473</v>
      </c>
      <c r="I99" s="157">
        <f t="shared" si="3"/>
        <v>1163</v>
      </c>
      <c r="J99" s="157">
        <v>2025.0</v>
      </c>
    </row>
    <row r="100">
      <c r="A100" s="218">
        <f t="shared" si="2"/>
        <v>97</v>
      </c>
      <c r="B100" s="218" t="s">
        <v>201</v>
      </c>
      <c r="C100" s="219" t="str">
        <f t="shared" si="1"/>
        <v>HD/1164/2025</v>
      </c>
      <c r="D100" s="218" t="b">
        <v>1</v>
      </c>
      <c r="E100" s="219" t="b">
        <v>0</v>
      </c>
      <c r="F100" s="219"/>
      <c r="G100" s="173"/>
      <c r="H100" s="157" t="s">
        <v>6473</v>
      </c>
      <c r="I100" s="157">
        <f t="shared" si="3"/>
        <v>1164</v>
      </c>
      <c r="J100" s="157">
        <v>2025.0</v>
      </c>
    </row>
    <row r="101">
      <c r="A101" s="218">
        <f t="shared" si="2"/>
        <v>98</v>
      </c>
      <c r="B101" s="218" t="s">
        <v>201</v>
      </c>
      <c r="C101" s="219" t="str">
        <f t="shared" si="1"/>
        <v>HD/1165/2025</v>
      </c>
      <c r="D101" s="218" t="b">
        <v>1</v>
      </c>
      <c r="E101" s="219" t="b">
        <v>0</v>
      </c>
      <c r="F101" s="219"/>
      <c r="G101" s="173"/>
      <c r="H101" s="157" t="s">
        <v>6473</v>
      </c>
      <c r="I101" s="157">
        <f t="shared" si="3"/>
        <v>1165</v>
      </c>
      <c r="J101" s="157">
        <v>2025.0</v>
      </c>
    </row>
    <row r="102">
      <c r="A102" s="218">
        <f t="shared" si="2"/>
        <v>99</v>
      </c>
      <c r="B102" s="218" t="s">
        <v>201</v>
      </c>
      <c r="C102" s="219" t="str">
        <f t="shared" si="1"/>
        <v>HD/1166/2025</v>
      </c>
      <c r="D102" s="218" t="b">
        <v>1</v>
      </c>
      <c r="E102" s="219" t="b">
        <v>0</v>
      </c>
      <c r="F102" s="219"/>
      <c r="G102" s="173"/>
      <c r="H102" s="157" t="s">
        <v>6473</v>
      </c>
      <c r="I102" s="157">
        <f t="shared" si="3"/>
        <v>1166</v>
      </c>
      <c r="J102" s="157">
        <v>2025.0</v>
      </c>
    </row>
    <row r="103">
      <c r="A103" s="218">
        <f t="shared" si="2"/>
        <v>100</v>
      </c>
      <c r="B103" s="218" t="s">
        <v>201</v>
      </c>
      <c r="C103" s="219" t="str">
        <f t="shared" si="1"/>
        <v>HD/1167/2025</v>
      </c>
      <c r="D103" s="218" t="b">
        <v>1</v>
      </c>
      <c r="E103" s="219" t="b">
        <v>0</v>
      </c>
      <c r="F103" s="219"/>
      <c r="G103" s="173"/>
      <c r="H103" s="157" t="s">
        <v>6473</v>
      </c>
      <c r="I103" s="157">
        <f t="shared" si="3"/>
        <v>1167</v>
      </c>
      <c r="J103" s="157">
        <v>2025.0</v>
      </c>
    </row>
    <row r="104">
      <c r="A104" s="218">
        <f t="shared" si="2"/>
        <v>101</v>
      </c>
      <c r="B104" s="218" t="s">
        <v>201</v>
      </c>
      <c r="C104" s="219" t="str">
        <f t="shared" si="1"/>
        <v>HD/1168/2025</v>
      </c>
      <c r="D104" s="218" t="b">
        <v>1</v>
      </c>
      <c r="E104" s="219" t="b">
        <v>0</v>
      </c>
      <c r="F104" s="219"/>
      <c r="G104" s="173"/>
      <c r="H104" s="157" t="s">
        <v>6473</v>
      </c>
      <c r="I104" s="157">
        <f t="shared" si="3"/>
        <v>1168</v>
      </c>
      <c r="J104" s="157">
        <v>2025.0</v>
      </c>
    </row>
    <row r="105">
      <c r="A105" s="218">
        <f t="shared" si="2"/>
        <v>102</v>
      </c>
      <c r="B105" s="218" t="s">
        <v>201</v>
      </c>
      <c r="C105" s="219" t="str">
        <f t="shared" si="1"/>
        <v>HD/1169/2025</v>
      </c>
      <c r="D105" s="218" t="b">
        <v>1</v>
      </c>
      <c r="E105" s="219" t="b">
        <v>0</v>
      </c>
      <c r="F105" s="219"/>
      <c r="G105" s="173"/>
      <c r="H105" s="157" t="s">
        <v>6473</v>
      </c>
      <c r="I105" s="157">
        <f t="shared" si="3"/>
        <v>1169</v>
      </c>
      <c r="J105" s="157">
        <v>2025.0</v>
      </c>
    </row>
    <row r="106">
      <c r="A106" s="218">
        <f t="shared" si="2"/>
        <v>103</v>
      </c>
      <c r="B106" s="218" t="s">
        <v>201</v>
      </c>
      <c r="C106" s="219" t="str">
        <f t="shared" si="1"/>
        <v>HD/1170/2025</v>
      </c>
      <c r="D106" s="218" t="b">
        <v>1</v>
      </c>
      <c r="E106" s="219" t="b">
        <v>0</v>
      </c>
      <c r="F106" s="219"/>
      <c r="G106" s="173"/>
      <c r="H106" s="157" t="s">
        <v>6473</v>
      </c>
      <c r="I106" s="157">
        <f t="shared" si="3"/>
        <v>1170</v>
      </c>
      <c r="J106" s="157">
        <v>2025.0</v>
      </c>
    </row>
    <row r="107">
      <c r="A107" s="218">
        <f t="shared" si="2"/>
        <v>104</v>
      </c>
      <c r="B107" s="218" t="s">
        <v>201</v>
      </c>
      <c r="C107" s="219" t="str">
        <f t="shared" si="1"/>
        <v>HD/1171/2025</v>
      </c>
      <c r="D107" s="218" t="b">
        <v>1</v>
      </c>
      <c r="E107" s="219" t="b">
        <v>0</v>
      </c>
      <c r="F107" s="219"/>
      <c r="G107" s="173"/>
      <c r="H107" s="157" t="s">
        <v>6473</v>
      </c>
      <c r="I107" s="157">
        <f t="shared" si="3"/>
        <v>1171</v>
      </c>
      <c r="J107" s="157">
        <v>2025.0</v>
      </c>
    </row>
    <row r="108">
      <c r="A108" s="218">
        <f t="shared" si="2"/>
        <v>105</v>
      </c>
      <c r="B108" s="218" t="s">
        <v>201</v>
      </c>
      <c r="C108" s="219" t="str">
        <f t="shared" si="1"/>
        <v>HD/1172/2025</v>
      </c>
      <c r="D108" s="218" t="b">
        <v>1</v>
      </c>
      <c r="E108" s="219" t="b">
        <v>0</v>
      </c>
      <c r="F108" s="219"/>
      <c r="G108" s="173"/>
      <c r="H108" s="157" t="s">
        <v>6473</v>
      </c>
      <c r="I108" s="157">
        <f t="shared" si="3"/>
        <v>1172</v>
      </c>
      <c r="J108" s="157">
        <v>2025.0</v>
      </c>
    </row>
    <row r="109">
      <c r="A109" s="218">
        <f t="shared" si="2"/>
        <v>106</v>
      </c>
      <c r="B109" s="218" t="s">
        <v>201</v>
      </c>
      <c r="C109" s="219" t="str">
        <f t="shared" si="1"/>
        <v>HD/1173/2025</v>
      </c>
      <c r="D109" s="218" t="b">
        <v>1</v>
      </c>
      <c r="E109" s="219" t="b">
        <v>0</v>
      </c>
      <c r="F109" s="219"/>
      <c r="G109" s="173"/>
      <c r="H109" s="157" t="s">
        <v>6473</v>
      </c>
      <c r="I109" s="157">
        <f t="shared" si="3"/>
        <v>1173</v>
      </c>
      <c r="J109" s="157">
        <v>2025.0</v>
      </c>
    </row>
    <row r="110">
      <c r="A110" s="218">
        <f t="shared" si="2"/>
        <v>107</v>
      </c>
      <c r="B110" s="218" t="s">
        <v>201</v>
      </c>
      <c r="C110" s="219" t="str">
        <f t="shared" si="1"/>
        <v>HD/1174/2025</v>
      </c>
      <c r="D110" s="218" t="b">
        <v>1</v>
      </c>
      <c r="E110" s="219" t="b">
        <v>0</v>
      </c>
      <c r="F110" s="219"/>
      <c r="G110" s="173"/>
      <c r="H110" s="157" t="s">
        <v>6473</v>
      </c>
      <c r="I110" s="157">
        <f t="shared" si="3"/>
        <v>1174</v>
      </c>
      <c r="J110" s="157">
        <v>2025.0</v>
      </c>
    </row>
    <row r="111">
      <c r="A111" s="218">
        <f t="shared" si="2"/>
        <v>108</v>
      </c>
      <c r="B111" s="218" t="s">
        <v>201</v>
      </c>
      <c r="C111" s="219" t="str">
        <f t="shared" si="1"/>
        <v>HD/1175/2025</v>
      </c>
      <c r="D111" s="218" t="b">
        <v>1</v>
      </c>
      <c r="E111" s="219" t="b">
        <v>0</v>
      </c>
      <c r="F111" s="219"/>
      <c r="G111" s="173"/>
      <c r="H111" s="157" t="s">
        <v>6473</v>
      </c>
      <c r="I111" s="157">
        <f t="shared" si="3"/>
        <v>1175</v>
      </c>
      <c r="J111" s="157">
        <v>2025.0</v>
      </c>
    </row>
    <row r="112">
      <c r="A112" s="218">
        <f t="shared" si="2"/>
        <v>109</v>
      </c>
      <c r="B112" s="218" t="s">
        <v>201</v>
      </c>
      <c r="C112" s="219" t="str">
        <f t="shared" si="1"/>
        <v>HD/1176/2025</v>
      </c>
      <c r="D112" s="218" t="b">
        <v>1</v>
      </c>
      <c r="E112" s="219" t="b">
        <v>0</v>
      </c>
      <c r="F112" s="219"/>
      <c r="G112" s="173"/>
      <c r="H112" s="157" t="s">
        <v>6473</v>
      </c>
      <c r="I112" s="157">
        <f t="shared" si="3"/>
        <v>1176</v>
      </c>
      <c r="J112" s="157">
        <v>2025.0</v>
      </c>
    </row>
    <row r="113">
      <c r="A113" s="218">
        <f t="shared" si="2"/>
        <v>110</v>
      </c>
      <c r="B113" s="218" t="s">
        <v>201</v>
      </c>
      <c r="C113" s="219" t="str">
        <f t="shared" si="1"/>
        <v>HD/1177/2025</v>
      </c>
      <c r="D113" s="218" t="b">
        <v>1</v>
      </c>
      <c r="E113" s="219" t="b">
        <v>0</v>
      </c>
      <c r="F113" s="219"/>
      <c r="G113" s="173"/>
      <c r="H113" s="157" t="s">
        <v>6473</v>
      </c>
      <c r="I113" s="157">
        <f t="shared" si="3"/>
        <v>1177</v>
      </c>
      <c r="J113" s="157">
        <v>2025.0</v>
      </c>
    </row>
    <row r="114">
      <c r="A114" s="218">
        <f t="shared" si="2"/>
        <v>111</v>
      </c>
      <c r="B114" s="218" t="s">
        <v>201</v>
      </c>
      <c r="C114" s="219" t="str">
        <f t="shared" si="1"/>
        <v>HD/1178/2025</v>
      </c>
      <c r="D114" s="218" t="b">
        <v>1</v>
      </c>
      <c r="E114" s="219" t="b">
        <v>0</v>
      </c>
      <c r="F114" s="219"/>
      <c r="G114" s="173"/>
      <c r="H114" s="157" t="s">
        <v>6473</v>
      </c>
      <c r="I114" s="157">
        <f t="shared" si="3"/>
        <v>1178</v>
      </c>
      <c r="J114" s="157">
        <v>2025.0</v>
      </c>
    </row>
    <row r="115">
      <c r="A115" s="218">
        <f t="shared" si="2"/>
        <v>112</v>
      </c>
      <c r="B115" s="218" t="s">
        <v>201</v>
      </c>
      <c r="C115" s="219" t="str">
        <f t="shared" si="1"/>
        <v>HD/1179/2025</v>
      </c>
      <c r="D115" s="218" t="b">
        <v>1</v>
      </c>
      <c r="E115" s="219" t="b">
        <v>0</v>
      </c>
      <c r="F115" s="219"/>
      <c r="G115" s="173"/>
      <c r="H115" s="157" t="s">
        <v>6473</v>
      </c>
      <c r="I115" s="157">
        <f t="shared" si="3"/>
        <v>1179</v>
      </c>
      <c r="J115" s="157">
        <v>2025.0</v>
      </c>
    </row>
    <row r="116">
      <c r="A116" s="218">
        <f t="shared" si="2"/>
        <v>113</v>
      </c>
      <c r="B116" s="218" t="s">
        <v>201</v>
      </c>
      <c r="C116" s="219" t="str">
        <f t="shared" si="1"/>
        <v>HD/1180/2025</v>
      </c>
      <c r="D116" s="218" t="b">
        <v>1</v>
      </c>
      <c r="E116" s="219" t="b">
        <v>0</v>
      </c>
      <c r="F116" s="219"/>
      <c r="G116" s="173"/>
      <c r="H116" s="157" t="s">
        <v>6473</v>
      </c>
      <c r="I116" s="157">
        <f t="shared" si="3"/>
        <v>1180</v>
      </c>
      <c r="J116" s="157">
        <v>2025.0</v>
      </c>
    </row>
    <row r="117">
      <c r="A117" s="218">
        <f t="shared" si="2"/>
        <v>114</v>
      </c>
      <c r="B117" s="218" t="s">
        <v>201</v>
      </c>
      <c r="C117" s="219" t="str">
        <f t="shared" si="1"/>
        <v>HD/1181/2025</v>
      </c>
      <c r="D117" s="218" t="b">
        <v>1</v>
      </c>
      <c r="E117" s="219" t="b">
        <v>0</v>
      </c>
      <c r="F117" s="219"/>
      <c r="G117" s="173"/>
      <c r="H117" s="157" t="s">
        <v>6473</v>
      </c>
      <c r="I117" s="157">
        <f t="shared" si="3"/>
        <v>1181</v>
      </c>
      <c r="J117" s="157">
        <v>2025.0</v>
      </c>
    </row>
    <row r="118">
      <c r="A118" s="218">
        <f t="shared" si="2"/>
        <v>115</v>
      </c>
      <c r="B118" s="218" t="s">
        <v>201</v>
      </c>
      <c r="C118" s="219" t="str">
        <f t="shared" si="1"/>
        <v>HD/1182/2025</v>
      </c>
      <c r="D118" s="218" t="b">
        <v>1</v>
      </c>
      <c r="E118" s="219" t="b">
        <v>0</v>
      </c>
      <c r="F118" s="219"/>
      <c r="G118" s="173"/>
      <c r="H118" s="157" t="s">
        <v>6473</v>
      </c>
      <c r="I118" s="157">
        <f t="shared" si="3"/>
        <v>1182</v>
      </c>
      <c r="J118" s="157">
        <v>2025.0</v>
      </c>
    </row>
    <row r="119">
      <c r="A119" s="218">
        <f t="shared" si="2"/>
        <v>116</v>
      </c>
      <c r="B119" s="218" t="s">
        <v>201</v>
      </c>
      <c r="C119" s="219" t="str">
        <f t="shared" si="1"/>
        <v>HD/1183/2025</v>
      </c>
      <c r="D119" s="218" t="b">
        <v>1</v>
      </c>
      <c r="E119" s="219" t="b">
        <v>0</v>
      </c>
      <c r="F119" s="219"/>
      <c r="G119" s="173"/>
      <c r="H119" s="157" t="s">
        <v>6473</v>
      </c>
      <c r="I119" s="157">
        <f t="shared" si="3"/>
        <v>1183</v>
      </c>
      <c r="J119" s="157">
        <v>2025.0</v>
      </c>
    </row>
    <row r="120">
      <c r="A120" s="218">
        <f t="shared" si="2"/>
        <v>117</v>
      </c>
      <c r="B120" s="218" t="s">
        <v>201</v>
      </c>
      <c r="C120" s="219" t="str">
        <f t="shared" si="1"/>
        <v>HD/1184/2025</v>
      </c>
      <c r="D120" s="218" t="b">
        <v>1</v>
      </c>
      <c r="E120" s="219" t="b">
        <v>0</v>
      </c>
      <c r="F120" s="219"/>
      <c r="G120" s="173"/>
      <c r="H120" s="157" t="s">
        <v>6473</v>
      </c>
      <c r="I120" s="157">
        <f t="shared" si="3"/>
        <v>1184</v>
      </c>
      <c r="J120" s="157">
        <v>2025.0</v>
      </c>
    </row>
    <row r="121">
      <c r="A121" s="218">
        <f t="shared" si="2"/>
        <v>118</v>
      </c>
      <c r="B121" s="218" t="s">
        <v>201</v>
      </c>
      <c r="C121" s="219" t="str">
        <f t="shared" si="1"/>
        <v>HD/1185/2025</v>
      </c>
      <c r="D121" s="218" t="b">
        <v>1</v>
      </c>
      <c r="E121" s="219" t="b">
        <v>0</v>
      </c>
      <c r="F121" s="219"/>
      <c r="G121" s="173"/>
      <c r="H121" s="157" t="s">
        <v>6473</v>
      </c>
      <c r="I121" s="157">
        <f t="shared" si="3"/>
        <v>1185</v>
      </c>
      <c r="J121" s="157">
        <v>2025.0</v>
      </c>
    </row>
    <row r="122">
      <c r="A122" s="218">
        <f t="shared" si="2"/>
        <v>119</v>
      </c>
      <c r="B122" s="218" t="s">
        <v>201</v>
      </c>
      <c r="C122" s="219" t="str">
        <f t="shared" si="1"/>
        <v>HD/1186/2025</v>
      </c>
      <c r="D122" s="218" t="b">
        <v>1</v>
      </c>
      <c r="E122" s="219" t="b">
        <v>0</v>
      </c>
      <c r="F122" s="219"/>
      <c r="G122" s="173"/>
      <c r="H122" s="157" t="s">
        <v>6473</v>
      </c>
      <c r="I122" s="157">
        <f t="shared" si="3"/>
        <v>1186</v>
      </c>
      <c r="J122" s="157">
        <v>2025.0</v>
      </c>
    </row>
    <row r="123">
      <c r="A123" s="218">
        <f t="shared" si="2"/>
        <v>120</v>
      </c>
      <c r="B123" s="218" t="s">
        <v>201</v>
      </c>
      <c r="C123" s="219" t="str">
        <f t="shared" si="1"/>
        <v>HD/1187/2025</v>
      </c>
      <c r="D123" s="218" t="b">
        <v>1</v>
      </c>
      <c r="E123" s="219" t="b">
        <v>0</v>
      </c>
      <c r="F123" s="219"/>
      <c r="G123" s="173"/>
      <c r="H123" s="157" t="s">
        <v>6473</v>
      </c>
      <c r="I123" s="157">
        <f t="shared" si="3"/>
        <v>1187</v>
      </c>
      <c r="J123" s="157">
        <v>2025.0</v>
      </c>
    </row>
    <row r="124">
      <c r="A124" s="218">
        <f t="shared" si="2"/>
        <v>121</v>
      </c>
      <c r="B124" s="218" t="s">
        <v>201</v>
      </c>
      <c r="C124" s="219" t="str">
        <f t="shared" si="1"/>
        <v>HD/1188/2025</v>
      </c>
      <c r="D124" s="218" t="b">
        <v>1</v>
      </c>
      <c r="E124" s="219" t="b">
        <v>0</v>
      </c>
      <c r="F124" s="219"/>
      <c r="G124" s="173"/>
      <c r="H124" s="157" t="s">
        <v>6473</v>
      </c>
      <c r="I124" s="157">
        <f t="shared" si="3"/>
        <v>1188</v>
      </c>
      <c r="J124" s="157">
        <v>2025.0</v>
      </c>
    </row>
    <row r="125">
      <c r="A125" s="218">
        <f t="shared" si="2"/>
        <v>122</v>
      </c>
      <c r="B125" s="218" t="s">
        <v>201</v>
      </c>
      <c r="C125" s="219" t="str">
        <f t="shared" si="1"/>
        <v>HD/1189/2025</v>
      </c>
      <c r="D125" s="218" t="b">
        <v>1</v>
      </c>
      <c r="E125" s="219" t="b">
        <v>0</v>
      </c>
      <c r="F125" s="219"/>
      <c r="G125" s="173"/>
      <c r="H125" s="157" t="s">
        <v>6473</v>
      </c>
      <c r="I125" s="157">
        <f t="shared" si="3"/>
        <v>1189</v>
      </c>
      <c r="J125" s="157">
        <v>2025.0</v>
      </c>
    </row>
    <row r="126">
      <c r="A126" s="218">
        <f t="shared" si="2"/>
        <v>123</v>
      </c>
      <c r="B126" s="218" t="s">
        <v>201</v>
      </c>
      <c r="C126" s="219" t="str">
        <f t="shared" si="1"/>
        <v>HD/1190/2025</v>
      </c>
      <c r="D126" s="218" t="b">
        <v>1</v>
      </c>
      <c r="E126" s="219" t="b">
        <v>0</v>
      </c>
      <c r="F126" s="219"/>
      <c r="G126" s="173"/>
      <c r="H126" s="157" t="s">
        <v>6473</v>
      </c>
      <c r="I126" s="157">
        <f t="shared" si="3"/>
        <v>1190</v>
      </c>
      <c r="J126" s="157">
        <v>2025.0</v>
      </c>
    </row>
    <row r="127">
      <c r="A127" s="218">
        <f t="shared" si="2"/>
        <v>124</v>
      </c>
      <c r="B127" s="218" t="s">
        <v>201</v>
      </c>
      <c r="C127" s="219" t="str">
        <f t="shared" si="1"/>
        <v>HD/1191/2025</v>
      </c>
      <c r="D127" s="218" t="b">
        <v>1</v>
      </c>
      <c r="E127" s="219" t="b">
        <v>0</v>
      </c>
      <c r="F127" s="219"/>
      <c r="G127" s="173"/>
      <c r="H127" s="157" t="s">
        <v>6473</v>
      </c>
      <c r="I127" s="157">
        <f t="shared" si="3"/>
        <v>1191</v>
      </c>
      <c r="J127" s="157">
        <v>2025.0</v>
      </c>
    </row>
    <row r="128">
      <c r="A128" s="218">
        <f t="shared" si="2"/>
        <v>125</v>
      </c>
      <c r="B128" s="218" t="s">
        <v>201</v>
      </c>
      <c r="C128" s="219" t="str">
        <f t="shared" si="1"/>
        <v>HD/1192/2025</v>
      </c>
      <c r="D128" s="218" t="b">
        <v>1</v>
      </c>
      <c r="E128" s="219" t="b">
        <v>0</v>
      </c>
      <c r="F128" s="219"/>
      <c r="G128" s="173"/>
      <c r="H128" s="157" t="s">
        <v>6473</v>
      </c>
      <c r="I128" s="157">
        <f t="shared" si="3"/>
        <v>1192</v>
      </c>
      <c r="J128" s="157">
        <v>2025.0</v>
      </c>
    </row>
    <row r="129">
      <c r="A129" s="218">
        <f t="shared" si="2"/>
        <v>126</v>
      </c>
      <c r="B129" s="218" t="s">
        <v>201</v>
      </c>
      <c r="C129" s="219" t="str">
        <f t="shared" si="1"/>
        <v>HD/1193/2025</v>
      </c>
      <c r="D129" s="218" t="b">
        <v>1</v>
      </c>
      <c r="E129" s="219" t="b">
        <v>0</v>
      </c>
      <c r="F129" s="219"/>
      <c r="G129" s="173"/>
      <c r="H129" s="157" t="s">
        <v>6473</v>
      </c>
      <c r="I129" s="157">
        <f t="shared" si="3"/>
        <v>1193</v>
      </c>
      <c r="J129" s="157">
        <v>2025.0</v>
      </c>
    </row>
    <row r="130">
      <c r="A130" s="218">
        <f t="shared" si="2"/>
        <v>127</v>
      </c>
      <c r="B130" s="218" t="s">
        <v>201</v>
      </c>
      <c r="C130" s="219" t="str">
        <f t="shared" si="1"/>
        <v>HD/1194/2025</v>
      </c>
      <c r="D130" s="218" t="b">
        <v>1</v>
      </c>
      <c r="E130" s="219" t="b">
        <v>0</v>
      </c>
      <c r="F130" s="219"/>
      <c r="G130" s="173"/>
      <c r="H130" s="157" t="s">
        <v>6473</v>
      </c>
      <c r="I130" s="157">
        <f t="shared" si="3"/>
        <v>1194</v>
      </c>
      <c r="J130" s="157">
        <v>2025.0</v>
      </c>
    </row>
    <row r="131">
      <c r="A131" s="218">
        <f t="shared" si="2"/>
        <v>128</v>
      </c>
      <c r="B131" s="218" t="s">
        <v>201</v>
      </c>
      <c r="C131" s="219" t="str">
        <f t="shared" si="1"/>
        <v>HD/1195/2025</v>
      </c>
      <c r="D131" s="218" t="b">
        <v>1</v>
      </c>
      <c r="E131" s="219" t="b">
        <v>0</v>
      </c>
      <c r="F131" s="219"/>
      <c r="G131" s="173"/>
      <c r="H131" s="157" t="s">
        <v>6473</v>
      </c>
      <c r="I131" s="157">
        <f t="shared" si="3"/>
        <v>1195</v>
      </c>
      <c r="J131" s="157">
        <v>2025.0</v>
      </c>
    </row>
    <row r="132">
      <c r="A132" s="218">
        <f t="shared" si="2"/>
        <v>129</v>
      </c>
      <c r="B132" s="218" t="s">
        <v>201</v>
      </c>
      <c r="C132" s="219" t="str">
        <f t="shared" si="1"/>
        <v>HD/1196/2025</v>
      </c>
      <c r="D132" s="218" t="b">
        <v>1</v>
      </c>
      <c r="E132" s="219" t="b">
        <v>0</v>
      </c>
      <c r="F132" s="219"/>
      <c r="G132" s="173"/>
      <c r="H132" s="157" t="s">
        <v>6473</v>
      </c>
      <c r="I132" s="157">
        <f t="shared" si="3"/>
        <v>1196</v>
      </c>
      <c r="J132" s="157">
        <v>2025.0</v>
      </c>
    </row>
    <row r="133">
      <c r="A133" s="218">
        <f t="shared" si="2"/>
        <v>130</v>
      </c>
      <c r="B133" s="218" t="s">
        <v>201</v>
      </c>
      <c r="C133" s="219" t="str">
        <f t="shared" si="1"/>
        <v>HD/1197/2025</v>
      </c>
      <c r="D133" s="218" t="b">
        <v>1</v>
      </c>
      <c r="E133" s="219" t="b">
        <v>0</v>
      </c>
      <c r="F133" s="219"/>
      <c r="G133" s="173"/>
      <c r="H133" s="157" t="s">
        <v>6473</v>
      </c>
      <c r="I133" s="157">
        <f t="shared" si="3"/>
        <v>1197</v>
      </c>
      <c r="J133" s="157">
        <v>2025.0</v>
      </c>
    </row>
    <row r="134">
      <c r="A134" s="218">
        <f t="shared" si="2"/>
        <v>131</v>
      </c>
      <c r="B134" s="218" t="s">
        <v>201</v>
      </c>
      <c r="C134" s="219" t="str">
        <f t="shared" si="1"/>
        <v>HD/1198/2025</v>
      </c>
      <c r="D134" s="218" t="b">
        <v>1</v>
      </c>
      <c r="E134" s="219" t="b">
        <v>0</v>
      </c>
      <c r="F134" s="219"/>
      <c r="G134" s="173"/>
      <c r="H134" s="157" t="s">
        <v>6473</v>
      </c>
      <c r="I134" s="157">
        <f t="shared" si="3"/>
        <v>1198</v>
      </c>
      <c r="J134" s="157">
        <v>2025.0</v>
      </c>
    </row>
    <row r="135">
      <c r="A135" s="218">
        <f t="shared" si="2"/>
        <v>132</v>
      </c>
      <c r="B135" s="218" t="s">
        <v>201</v>
      </c>
      <c r="C135" s="219" t="str">
        <f t="shared" si="1"/>
        <v>HD/1199/2025</v>
      </c>
      <c r="D135" s="218" t="b">
        <v>1</v>
      </c>
      <c r="E135" s="219" t="b">
        <v>0</v>
      </c>
      <c r="F135" s="219"/>
      <c r="G135" s="173"/>
      <c r="H135" s="157" t="s">
        <v>6473</v>
      </c>
      <c r="I135" s="157">
        <f t="shared" si="3"/>
        <v>1199</v>
      </c>
      <c r="J135" s="157">
        <v>2025.0</v>
      </c>
    </row>
    <row r="136">
      <c r="A136" s="218">
        <f t="shared" si="2"/>
        <v>133</v>
      </c>
      <c r="B136" s="218" t="s">
        <v>201</v>
      </c>
      <c r="C136" s="219" t="str">
        <f t="shared" si="1"/>
        <v>HD/1200/2025</v>
      </c>
      <c r="D136" s="218" t="b">
        <v>1</v>
      </c>
      <c r="E136" s="219" t="b">
        <v>0</v>
      </c>
      <c r="F136" s="219"/>
      <c r="G136" s="173"/>
      <c r="H136" s="157" t="s">
        <v>6473</v>
      </c>
      <c r="I136" s="157">
        <f t="shared" si="3"/>
        <v>1200</v>
      </c>
      <c r="J136" s="157">
        <v>2025.0</v>
      </c>
    </row>
    <row r="137">
      <c r="A137" s="218">
        <f t="shared" si="2"/>
        <v>134</v>
      </c>
      <c r="B137" s="218" t="s">
        <v>201</v>
      </c>
      <c r="C137" s="219" t="str">
        <f t="shared" si="1"/>
        <v>HD/1201/2025</v>
      </c>
      <c r="D137" s="218" t="b">
        <v>1</v>
      </c>
      <c r="E137" s="219" t="b">
        <v>0</v>
      </c>
      <c r="F137" s="219"/>
      <c r="G137" s="173"/>
      <c r="H137" s="157" t="s">
        <v>6473</v>
      </c>
      <c r="I137" s="157">
        <f t="shared" si="3"/>
        <v>1201</v>
      </c>
      <c r="J137" s="157">
        <v>2025.0</v>
      </c>
    </row>
    <row r="138">
      <c r="A138" s="218">
        <f t="shared" si="2"/>
        <v>135</v>
      </c>
      <c r="B138" s="218" t="s">
        <v>201</v>
      </c>
      <c r="C138" s="219" t="str">
        <f t="shared" si="1"/>
        <v>HD/1202/2025</v>
      </c>
      <c r="D138" s="218" t="b">
        <v>1</v>
      </c>
      <c r="E138" s="219" t="b">
        <v>0</v>
      </c>
      <c r="F138" s="219"/>
      <c r="G138" s="173"/>
      <c r="H138" s="157" t="s">
        <v>6473</v>
      </c>
      <c r="I138" s="157">
        <f t="shared" si="3"/>
        <v>1202</v>
      </c>
      <c r="J138" s="157">
        <v>2025.0</v>
      </c>
    </row>
    <row r="139">
      <c r="A139" s="218">
        <f t="shared" si="2"/>
        <v>136</v>
      </c>
      <c r="B139" s="218" t="s">
        <v>201</v>
      </c>
      <c r="C139" s="219" t="str">
        <f t="shared" si="1"/>
        <v>HD/1203/2025</v>
      </c>
      <c r="D139" s="218" t="b">
        <v>1</v>
      </c>
      <c r="E139" s="219" t="b">
        <v>0</v>
      </c>
      <c r="F139" s="219"/>
      <c r="G139" s="173"/>
      <c r="H139" s="157" t="s">
        <v>6473</v>
      </c>
      <c r="I139" s="157">
        <f t="shared" si="3"/>
        <v>1203</v>
      </c>
      <c r="J139" s="157">
        <v>2025.0</v>
      </c>
    </row>
    <row r="140">
      <c r="A140" s="218">
        <f t="shared" si="2"/>
        <v>137</v>
      </c>
      <c r="B140" s="218" t="s">
        <v>201</v>
      </c>
      <c r="C140" s="219" t="str">
        <f t="shared" si="1"/>
        <v>HD/1204/2025</v>
      </c>
      <c r="D140" s="218" t="b">
        <v>1</v>
      </c>
      <c r="E140" s="219" t="b">
        <v>0</v>
      </c>
      <c r="F140" s="219"/>
      <c r="G140" s="173"/>
      <c r="H140" s="157" t="s">
        <v>6473</v>
      </c>
      <c r="I140" s="157">
        <f t="shared" si="3"/>
        <v>1204</v>
      </c>
      <c r="J140" s="157">
        <v>2025.0</v>
      </c>
    </row>
    <row r="141">
      <c r="A141" s="218">
        <f t="shared" si="2"/>
        <v>138</v>
      </c>
      <c r="B141" s="218" t="s">
        <v>201</v>
      </c>
      <c r="C141" s="219" t="str">
        <f t="shared" si="1"/>
        <v>HD/1205/2025</v>
      </c>
      <c r="D141" s="218" t="b">
        <v>1</v>
      </c>
      <c r="E141" s="219" t="b">
        <v>0</v>
      </c>
      <c r="F141" s="219"/>
      <c r="G141" s="173"/>
      <c r="H141" s="157" t="s">
        <v>6473</v>
      </c>
      <c r="I141" s="157">
        <f t="shared" si="3"/>
        <v>1205</v>
      </c>
      <c r="J141" s="157">
        <v>2025.0</v>
      </c>
    </row>
    <row r="142">
      <c r="A142" s="218">
        <f t="shared" si="2"/>
        <v>139</v>
      </c>
      <c r="B142" s="218" t="s">
        <v>201</v>
      </c>
      <c r="C142" s="219" t="str">
        <f t="shared" si="1"/>
        <v>HD/1206/2025</v>
      </c>
      <c r="D142" s="218" t="b">
        <v>1</v>
      </c>
      <c r="E142" s="219" t="b">
        <v>0</v>
      </c>
      <c r="F142" s="219"/>
      <c r="G142" s="173"/>
      <c r="H142" s="157" t="s">
        <v>6473</v>
      </c>
      <c r="I142" s="157">
        <f t="shared" si="3"/>
        <v>1206</v>
      </c>
      <c r="J142" s="157">
        <v>2025.0</v>
      </c>
    </row>
    <row r="143">
      <c r="A143" s="218">
        <f t="shared" si="2"/>
        <v>140</v>
      </c>
      <c r="B143" s="218" t="s">
        <v>201</v>
      </c>
      <c r="C143" s="219" t="str">
        <f t="shared" si="1"/>
        <v>HD/1207/2025</v>
      </c>
      <c r="D143" s="218" t="b">
        <v>1</v>
      </c>
      <c r="E143" s="219" t="b">
        <v>0</v>
      </c>
      <c r="F143" s="219"/>
      <c r="G143" s="173"/>
      <c r="H143" s="157" t="s">
        <v>6473</v>
      </c>
      <c r="I143" s="157">
        <f t="shared" si="3"/>
        <v>1207</v>
      </c>
      <c r="J143" s="157">
        <v>2025.0</v>
      </c>
    </row>
    <row r="144">
      <c r="A144" s="218">
        <f t="shared" si="2"/>
        <v>141</v>
      </c>
      <c r="B144" s="218" t="s">
        <v>201</v>
      </c>
      <c r="C144" s="219" t="str">
        <f t="shared" si="1"/>
        <v>HD/1208/2025</v>
      </c>
      <c r="D144" s="218" t="b">
        <v>1</v>
      </c>
      <c r="E144" s="219" t="b">
        <v>0</v>
      </c>
      <c r="F144" s="219"/>
      <c r="G144" s="173"/>
      <c r="H144" s="157" t="s">
        <v>6473</v>
      </c>
      <c r="I144" s="157">
        <f t="shared" si="3"/>
        <v>1208</v>
      </c>
      <c r="J144" s="157">
        <v>2025.0</v>
      </c>
    </row>
    <row r="145">
      <c r="A145" s="218">
        <f t="shared" si="2"/>
        <v>142</v>
      </c>
      <c r="B145" s="218" t="s">
        <v>201</v>
      </c>
      <c r="C145" s="219" t="str">
        <f t="shared" si="1"/>
        <v>HD/1209/2025</v>
      </c>
      <c r="D145" s="218" t="b">
        <v>1</v>
      </c>
      <c r="E145" s="219" t="b">
        <v>0</v>
      </c>
      <c r="F145" s="219"/>
      <c r="G145" s="173"/>
      <c r="H145" s="157" t="s">
        <v>6473</v>
      </c>
      <c r="I145" s="157">
        <f t="shared" si="3"/>
        <v>1209</v>
      </c>
      <c r="J145" s="157">
        <v>2025.0</v>
      </c>
    </row>
    <row r="146">
      <c r="A146" s="218">
        <f t="shared" si="2"/>
        <v>143</v>
      </c>
      <c r="B146" s="218" t="s">
        <v>201</v>
      </c>
      <c r="C146" s="219" t="str">
        <f t="shared" si="1"/>
        <v>HD/1210/2025</v>
      </c>
      <c r="D146" s="218" t="b">
        <v>1</v>
      </c>
      <c r="E146" s="219" t="b">
        <v>0</v>
      </c>
      <c r="F146" s="219"/>
      <c r="G146" s="173"/>
      <c r="H146" s="157" t="s">
        <v>6473</v>
      </c>
      <c r="I146" s="157">
        <f t="shared" si="3"/>
        <v>1210</v>
      </c>
      <c r="J146" s="157">
        <v>2025.0</v>
      </c>
    </row>
    <row r="147">
      <c r="A147" s="218">
        <f t="shared" si="2"/>
        <v>144</v>
      </c>
      <c r="B147" s="218" t="s">
        <v>201</v>
      </c>
      <c r="C147" s="219" t="str">
        <f t="shared" si="1"/>
        <v>HD/1211/2025</v>
      </c>
      <c r="D147" s="218" t="b">
        <v>1</v>
      </c>
      <c r="E147" s="219" t="b">
        <v>0</v>
      </c>
      <c r="F147" s="219"/>
      <c r="G147" s="173"/>
      <c r="H147" s="157" t="s">
        <v>6473</v>
      </c>
      <c r="I147" s="157">
        <f t="shared" si="3"/>
        <v>1211</v>
      </c>
      <c r="J147" s="157">
        <v>2025.0</v>
      </c>
    </row>
    <row r="148">
      <c r="A148" s="218">
        <f t="shared" si="2"/>
        <v>145</v>
      </c>
      <c r="B148" s="218" t="s">
        <v>201</v>
      </c>
      <c r="C148" s="219" t="str">
        <f t="shared" si="1"/>
        <v>HD/1212/2025</v>
      </c>
      <c r="D148" s="218" t="b">
        <v>1</v>
      </c>
      <c r="E148" s="219" t="b">
        <v>0</v>
      </c>
      <c r="F148" s="219"/>
      <c r="G148" s="173"/>
      <c r="H148" s="157" t="s">
        <v>6473</v>
      </c>
      <c r="I148" s="157">
        <f t="shared" si="3"/>
        <v>1212</v>
      </c>
      <c r="J148" s="157">
        <v>2025.0</v>
      </c>
    </row>
    <row r="149">
      <c r="A149" s="218">
        <f t="shared" si="2"/>
        <v>146</v>
      </c>
      <c r="B149" s="218" t="s">
        <v>201</v>
      </c>
      <c r="C149" s="219" t="str">
        <f t="shared" si="1"/>
        <v>HD/1213/2025</v>
      </c>
      <c r="D149" s="218" t="b">
        <v>1</v>
      </c>
      <c r="E149" s="219" t="b">
        <v>0</v>
      </c>
      <c r="F149" s="219"/>
      <c r="G149" s="173"/>
      <c r="H149" s="157" t="s">
        <v>6473</v>
      </c>
      <c r="I149" s="157">
        <f t="shared" si="3"/>
        <v>1213</v>
      </c>
      <c r="J149" s="157">
        <v>2025.0</v>
      </c>
    </row>
    <row r="150">
      <c r="A150" s="218">
        <f t="shared" si="2"/>
        <v>147</v>
      </c>
      <c r="B150" s="218" t="s">
        <v>201</v>
      </c>
      <c r="C150" s="219" t="str">
        <f t="shared" si="1"/>
        <v>HD/1214/2025</v>
      </c>
      <c r="D150" s="218" t="b">
        <v>1</v>
      </c>
      <c r="E150" s="219" t="b">
        <v>0</v>
      </c>
      <c r="F150" s="219"/>
      <c r="G150" s="173"/>
      <c r="H150" s="157" t="s">
        <v>6473</v>
      </c>
      <c r="I150" s="157">
        <f t="shared" si="3"/>
        <v>1214</v>
      </c>
      <c r="J150" s="157">
        <v>2025.0</v>
      </c>
    </row>
    <row r="151">
      <c r="A151" s="218">
        <f t="shared" si="2"/>
        <v>148</v>
      </c>
      <c r="B151" s="218" t="s">
        <v>201</v>
      </c>
      <c r="C151" s="219" t="str">
        <f t="shared" si="1"/>
        <v>HD/1215/2025</v>
      </c>
      <c r="D151" s="218" t="b">
        <v>1</v>
      </c>
      <c r="E151" s="219" t="b">
        <v>0</v>
      </c>
      <c r="F151" s="219"/>
      <c r="G151" s="173"/>
      <c r="H151" s="157" t="s">
        <v>6473</v>
      </c>
      <c r="I151" s="157">
        <f t="shared" si="3"/>
        <v>1215</v>
      </c>
      <c r="J151" s="157">
        <v>2025.0</v>
      </c>
    </row>
    <row r="152">
      <c r="A152" s="218">
        <f t="shared" si="2"/>
        <v>149</v>
      </c>
      <c r="B152" s="218" t="s">
        <v>201</v>
      </c>
      <c r="C152" s="219" t="str">
        <f t="shared" si="1"/>
        <v>HD/1216/2025</v>
      </c>
      <c r="D152" s="218" t="b">
        <v>1</v>
      </c>
      <c r="E152" s="219" t="b">
        <v>0</v>
      </c>
      <c r="F152" s="219"/>
      <c r="G152" s="173"/>
      <c r="H152" s="157" t="s">
        <v>6473</v>
      </c>
      <c r="I152" s="157">
        <f t="shared" si="3"/>
        <v>1216</v>
      </c>
      <c r="J152" s="157">
        <v>2025.0</v>
      </c>
    </row>
    <row r="153">
      <c r="A153" s="218">
        <f t="shared" si="2"/>
        <v>150</v>
      </c>
      <c r="B153" s="218" t="s">
        <v>201</v>
      </c>
      <c r="C153" s="219" t="str">
        <f t="shared" si="1"/>
        <v>HD/1217/2025</v>
      </c>
      <c r="D153" s="218" t="b">
        <v>1</v>
      </c>
      <c r="E153" s="219" t="b">
        <v>0</v>
      </c>
      <c r="F153" s="219"/>
      <c r="G153" s="173"/>
      <c r="H153" s="157" t="s">
        <v>6473</v>
      </c>
      <c r="I153" s="157">
        <f t="shared" si="3"/>
        <v>1217</v>
      </c>
      <c r="J153" s="157">
        <v>2025.0</v>
      </c>
    </row>
    <row r="154">
      <c r="A154" s="218">
        <f t="shared" si="2"/>
        <v>151</v>
      </c>
      <c r="B154" s="218" t="s">
        <v>201</v>
      </c>
      <c r="C154" s="219" t="str">
        <f t="shared" si="1"/>
        <v>HD/1218/2025</v>
      </c>
      <c r="D154" s="218" t="b">
        <v>1</v>
      </c>
      <c r="E154" s="219" t="b">
        <v>0</v>
      </c>
      <c r="F154" s="219"/>
      <c r="G154" s="173"/>
      <c r="H154" s="157" t="s">
        <v>6473</v>
      </c>
      <c r="I154" s="157">
        <f t="shared" si="3"/>
        <v>1218</v>
      </c>
      <c r="J154" s="157">
        <v>2025.0</v>
      </c>
    </row>
    <row r="155">
      <c r="A155" s="218">
        <f t="shared" si="2"/>
        <v>152</v>
      </c>
      <c r="B155" s="218" t="s">
        <v>201</v>
      </c>
      <c r="C155" s="219" t="str">
        <f t="shared" si="1"/>
        <v>HD/1219/2025</v>
      </c>
      <c r="D155" s="218" t="b">
        <v>1</v>
      </c>
      <c r="E155" s="219" t="b">
        <v>0</v>
      </c>
      <c r="F155" s="219"/>
      <c r="G155" s="173"/>
      <c r="H155" s="157" t="s">
        <v>6473</v>
      </c>
      <c r="I155" s="157">
        <f t="shared" si="3"/>
        <v>1219</v>
      </c>
      <c r="J155" s="157">
        <v>2025.0</v>
      </c>
    </row>
    <row r="156">
      <c r="A156" s="218">
        <f t="shared" si="2"/>
        <v>153</v>
      </c>
      <c r="B156" s="218" t="s">
        <v>201</v>
      </c>
      <c r="C156" s="219" t="str">
        <f t="shared" si="1"/>
        <v>HD/1220/2025</v>
      </c>
      <c r="D156" s="218" t="b">
        <v>1</v>
      </c>
      <c r="E156" s="219" t="b">
        <v>0</v>
      </c>
      <c r="F156" s="219"/>
      <c r="G156" s="173"/>
      <c r="H156" s="157" t="s">
        <v>6473</v>
      </c>
      <c r="I156" s="157">
        <f t="shared" si="3"/>
        <v>1220</v>
      </c>
      <c r="J156" s="157">
        <v>2025.0</v>
      </c>
    </row>
    <row r="157">
      <c r="A157" s="218">
        <f t="shared" si="2"/>
        <v>154</v>
      </c>
      <c r="B157" s="218" t="s">
        <v>201</v>
      </c>
      <c r="C157" s="219" t="str">
        <f t="shared" si="1"/>
        <v>HD/1221/2025</v>
      </c>
      <c r="D157" s="218" t="b">
        <v>1</v>
      </c>
      <c r="E157" s="219" t="b">
        <v>0</v>
      </c>
      <c r="F157" s="219"/>
      <c r="G157" s="173"/>
      <c r="H157" s="157" t="s">
        <v>6473</v>
      </c>
      <c r="I157" s="157">
        <f t="shared" si="3"/>
        <v>1221</v>
      </c>
      <c r="J157" s="157">
        <v>2025.0</v>
      </c>
    </row>
    <row r="158">
      <c r="A158" s="218">
        <f t="shared" si="2"/>
        <v>155</v>
      </c>
      <c r="B158" s="218" t="s">
        <v>201</v>
      </c>
      <c r="C158" s="219" t="str">
        <f t="shared" si="1"/>
        <v>HD/1222/2025</v>
      </c>
      <c r="D158" s="218" t="b">
        <v>1</v>
      </c>
      <c r="E158" s="219" t="b">
        <v>0</v>
      </c>
      <c r="F158" s="219"/>
      <c r="G158" s="173"/>
      <c r="H158" s="157" t="s">
        <v>6473</v>
      </c>
      <c r="I158" s="157">
        <f t="shared" si="3"/>
        <v>1222</v>
      </c>
      <c r="J158" s="157">
        <v>2025.0</v>
      </c>
    </row>
    <row r="159">
      <c r="A159" s="218">
        <f t="shared" si="2"/>
        <v>156</v>
      </c>
      <c r="B159" s="218" t="s">
        <v>201</v>
      </c>
      <c r="C159" s="219" t="str">
        <f t="shared" si="1"/>
        <v>HD/1223/2025</v>
      </c>
      <c r="D159" s="218" t="b">
        <v>1</v>
      </c>
      <c r="E159" s="219" t="b">
        <v>0</v>
      </c>
      <c r="F159" s="219"/>
      <c r="G159" s="173"/>
      <c r="H159" s="157" t="s">
        <v>6473</v>
      </c>
      <c r="I159" s="157">
        <f t="shared" si="3"/>
        <v>1223</v>
      </c>
      <c r="J159" s="157">
        <v>2025.0</v>
      </c>
    </row>
    <row r="160">
      <c r="A160" s="218">
        <f t="shared" si="2"/>
        <v>157</v>
      </c>
      <c r="B160" s="218" t="s">
        <v>201</v>
      </c>
      <c r="C160" s="219" t="str">
        <f t="shared" si="1"/>
        <v>HD/1224/2025</v>
      </c>
      <c r="D160" s="218" t="b">
        <v>1</v>
      </c>
      <c r="E160" s="219" t="b">
        <v>0</v>
      </c>
      <c r="F160" s="219"/>
      <c r="G160" s="173"/>
      <c r="H160" s="157" t="s">
        <v>6473</v>
      </c>
      <c r="I160" s="157">
        <f t="shared" si="3"/>
        <v>1224</v>
      </c>
      <c r="J160" s="157">
        <v>2025.0</v>
      </c>
    </row>
    <row r="161">
      <c r="A161" s="218">
        <f t="shared" si="2"/>
        <v>158</v>
      </c>
      <c r="B161" s="218" t="s">
        <v>201</v>
      </c>
      <c r="C161" s="219" t="str">
        <f t="shared" si="1"/>
        <v>HD/1225/2025</v>
      </c>
      <c r="D161" s="218" t="b">
        <v>1</v>
      </c>
      <c r="E161" s="219" t="b">
        <v>0</v>
      </c>
      <c r="F161" s="219"/>
      <c r="G161" s="173"/>
      <c r="H161" s="157" t="s">
        <v>6473</v>
      </c>
      <c r="I161" s="157">
        <f t="shared" si="3"/>
        <v>1225</v>
      </c>
      <c r="J161" s="157">
        <v>2025.0</v>
      </c>
    </row>
    <row r="162">
      <c r="A162" s="218">
        <f t="shared" si="2"/>
        <v>159</v>
      </c>
      <c r="B162" s="218" t="s">
        <v>201</v>
      </c>
      <c r="C162" s="219" t="str">
        <f t="shared" si="1"/>
        <v>HD/1226/2025</v>
      </c>
      <c r="D162" s="218" t="b">
        <v>1</v>
      </c>
      <c r="E162" s="219" t="b">
        <v>0</v>
      </c>
      <c r="F162" s="219"/>
      <c r="G162" s="173"/>
      <c r="H162" s="157" t="s">
        <v>6473</v>
      </c>
      <c r="I162" s="157">
        <f t="shared" si="3"/>
        <v>1226</v>
      </c>
      <c r="J162" s="157">
        <v>2025.0</v>
      </c>
    </row>
    <row r="163">
      <c r="A163" s="218">
        <f t="shared" si="2"/>
        <v>160</v>
      </c>
      <c r="B163" s="218" t="s">
        <v>201</v>
      </c>
      <c r="C163" s="219" t="str">
        <f t="shared" si="1"/>
        <v>HD/1227/2025</v>
      </c>
      <c r="D163" s="218" t="b">
        <v>1</v>
      </c>
      <c r="E163" s="219" t="b">
        <v>0</v>
      </c>
      <c r="F163" s="219"/>
      <c r="G163" s="173"/>
      <c r="H163" s="157" t="s">
        <v>6473</v>
      </c>
      <c r="I163" s="157">
        <f t="shared" si="3"/>
        <v>1227</v>
      </c>
      <c r="J163" s="157">
        <v>2025.0</v>
      </c>
    </row>
    <row r="164">
      <c r="A164" s="218">
        <f t="shared" si="2"/>
        <v>161</v>
      </c>
      <c r="B164" s="218" t="s">
        <v>201</v>
      </c>
      <c r="C164" s="219" t="str">
        <f t="shared" si="1"/>
        <v>HD/1228/2025</v>
      </c>
      <c r="D164" s="218" t="b">
        <v>1</v>
      </c>
      <c r="E164" s="219" t="b">
        <v>0</v>
      </c>
      <c r="F164" s="219"/>
      <c r="G164" s="173"/>
      <c r="H164" s="157" t="s">
        <v>6473</v>
      </c>
      <c r="I164" s="157">
        <f t="shared" si="3"/>
        <v>1228</v>
      </c>
      <c r="J164" s="157">
        <v>2025.0</v>
      </c>
    </row>
    <row r="165">
      <c r="A165" s="218">
        <f t="shared" si="2"/>
        <v>162</v>
      </c>
      <c r="B165" s="218" t="s">
        <v>201</v>
      </c>
      <c r="C165" s="219" t="str">
        <f t="shared" si="1"/>
        <v>HD/1229/2025</v>
      </c>
      <c r="D165" s="218" t="b">
        <v>1</v>
      </c>
      <c r="E165" s="219" t="b">
        <v>0</v>
      </c>
      <c r="F165" s="219"/>
      <c r="G165" s="173"/>
      <c r="H165" s="157" t="s">
        <v>6473</v>
      </c>
      <c r="I165" s="157">
        <f t="shared" si="3"/>
        <v>1229</v>
      </c>
      <c r="J165" s="157">
        <v>2025.0</v>
      </c>
    </row>
    <row r="166">
      <c r="A166" s="218">
        <f t="shared" si="2"/>
        <v>163</v>
      </c>
      <c r="B166" s="218" t="s">
        <v>201</v>
      </c>
      <c r="C166" s="219" t="str">
        <f t="shared" si="1"/>
        <v>HD/1230/2025</v>
      </c>
      <c r="D166" s="218" t="b">
        <v>1</v>
      </c>
      <c r="E166" s="219" t="b">
        <v>0</v>
      </c>
      <c r="F166" s="219"/>
      <c r="G166" s="173"/>
      <c r="H166" s="157" t="s">
        <v>6473</v>
      </c>
      <c r="I166" s="157">
        <f t="shared" si="3"/>
        <v>1230</v>
      </c>
      <c r="J166" s="157">
        <v>2025.0</v>
      </c>
    </row>
    <row r="167">
      <c r="A167" s="218">
        <f t="shared" si="2"/>
        <v>164</v>
      </c>
      <c r="B167" s="218" t="s">
        <v>201</v>
      </c>
      <c r="C167" s="219" t="str">
        <f t="shared" si="1"/>
        <v>HD/1231/2025</v>
      </c>
      <c r="D167" s="218" t="b">
        <v>1</v>
      </c>
      <c r="E167" s="219" t="b">
        <v>0</v>
      </c>
      <c r="F167" s="219"/>
      <c r="G167" s="173"/>
      <c r="H167" s="157" t="s">
        <v>6473</v>
      </c>
      <c r="I167" s="157">
        <f t="shared" si="3"/>
        <v>1231</v>
      </c>
      <c r="J167" s="157">
        <v>2025.0</v>
      </c>
    </row>
    <row r="168">
      <c r="A168" s="218">
        <f t="shared" si="2"/>
        <v>165</v>
      </c>
      <c r="B168" s="218" t="s">
        <v>201</v>
      </c>
      <c r="C168" s="219" t="str">
        <f t="shared" si="1"/>
        <v>HD/1232/2025</v>
      </c>
      <c r="D168" s="218" t="b">
        <v>1</v>
      </c>
      <c r="E168" s="219" t="b">
        <v>0</v>
      </c>
      <c r="F168" s="219"/>
      <c r="G168" s="173"/>
      <c r="H168" s="157" t="s">
        <v>6473</v>
      </c>
      <c r="I168" s="157">
        <f t="shared" si="3"/>
        <v>1232</v>
      </c>
      <c r="J168" s="157">
        <v>2025.0</v>
      </c>
    </row>
    <row r="169">
      <c r="A169" s="218">
        <f t="shared" si="2"/>
        <v>166</v>
      </c>
      <c r="B169" s="218" t="s">
        <v>201</v>
      </c>
      <c r="C169" s="219" t="str">
        <f t="shared" si="1"/>
        <v>HD/1233/2025</v>
      </c>
      <c r="D169" s="218" t="b">
        <v>1</v>
      </c>
      <c r="E169" s="219" t="b">
        <v>0</v>
      </c>
      <c r="F169" s="219"/>
      <c r="G169" s="173"/>
      <c r="H169" s="157" t="s">
        <v>6473</v>
      </c>
      <c r="I169" s="157">
        <f t="shared" si="3"/>
        <v>1233</v>
      </c>
      <c r="J169" s="157">
        <v>2025.0</v>
      </c>
    </row>
    <row r="170">
      <c r="A170" s="218">
        <f t="shared" si="2"/>
        <v>167</v>
      </c>
      <c r="B170" s="218" t="s">
        <v>201</v>
      </c>
      <c r="C170" s="219" t="str">
        <f t="shared" si="1"/>
        <v>HD/1234/2025</v>
      </c>
      <c r="D170" s="218" t="b">
        <v>1</v>
      </c>
      <c r="E170" s="219" t="b">
        <v>0</v>
      </c>
      <c r="F170" s="219"/>
      <c r="G170" s="173"/>
      <c r="H170" s="157" t="s">
        <v>6473</v>
      </c>
      <c r="I170" s="157">
        <f t="shared" si="3"/>
        <v>1234</v>
      </c>
      <c r="J170" s="157">
        <v>2025.0</v>
      </c>
    </row>
    <row r="171">
      <c r="A171" s="218">
        <f t="shared" si="2"/>
        <v>168</v>
      </c>
      <c r="B171" s="218" t="s">
        <v>201</v>
      </c>
      <c r="C171" s="219" t="str">
        <f t="shared" si="1"/>
        <v>HD/1235/2025</v>
      </c>
      <c r="D171" s="218" t="b">
        <v>1</v>
      </c>
      <c r="E171" s="219" t="b">
        <v>0</v>
      </c>
      <c r="F171" s="219"/>
      <c r="G171" s="173"/>
      <c r="H171" s="157" t="s">
        <v>6473</v>
      </c>
      <c r="I171" s="157">
        <f t="shared" si="3"/>
        <v>1235</v>
      </c>
      <c r="J171" s="157">
        <v>2025.0</v>
      </c>
    </row>
    <row r="172">
      <c r="A172" s="218">
        <f t="shared" si="2"/>
        <v>169</v>
      </c>
      <c r="B172" s="218" t="s">
        <v>201</v>
      </c>
      <c r="C172" s="219" t="str">
        <f t="shared" si="1"/>
        <v>HD/1236/2025</v>
      </c>
      <c r="D172" s="218" t="b">
        <v>1</v>
      </c>
      <c r="E172" s="219" t="b">
        <v>0</v>
      </c>
      <c r="F172" s="219"/>
      <c r="G172" s="173"/>
      <c r="H172" s="157" t="s">
        <v>6473</v>
      </c>
      <c r="I172" s="157">
        <f t="shared" si="3"/>
        <v>1236</v>
      </c>
      <c r="J172" s="157">
        <v>2025.0</v>
      </c>
    </row>
    <row r="173">
      <c r="A173" s="218">
        <f t="shared" si="2"/>
        <v>170</v>
      </c>
      <c r="B173" s="218" t="s">
        <v>201</v>
      </c>
      <c r="C173" s="219" t="str">
        <f t="shared" si="1"/>
        <v>HD/1237/2025</v>
      </c>
      <c r="D173" s="218" t="b">
        <v>1</v>
      </c>
      <c r="E173" s="219" t="b">
        <v>0</v>
      </c>
      <c r="F173" s="219"/>
      <c r="G173" s="173"/>
      <c r="H173" s="157" t="s">
        <v>6473</v>
      </c>
      <c r="I173" s="157">
        <f t="shared" si="3"/>
        <v>1237</v>
      </c>
      <c r="J173" s="157">
        <v>2025.0</v>
      </c>
    </row>
    <row r="174">
      <c r="A174" s="218">
        <f t="shared" si="2"/>
        <v>171</v>
      </c>
      <c r="B174" s="218" t="s">
        <v>201</v>
      </c>
      <c r="C174" s="219" t="str">
        <f t="shared" si="1"/>
        <v>HD/1238/2025</v>
      </c>
      <c r="D174" s="218" t="b">
        <v>1</v>
      </c>
      <c r="E174" s="219" t="b">
        <v>0</v>
      </c>
      <c r="F174" s="219"/>
      <c r="G174" s="173"/>
      <c r="H174" s="157" t="s">
        <v>6473</v>
      </c>
      <c r="I174" s="157">
        <f t="shared" si="3"/>
        <v>1238</v>
      </c>
      <c r="J174" s="157">
        <v>2025.0</v>
      </c>
    </row>
    <row r="175">
      <c r="A175" s="218">
        <f t="shared" si="2"/>
        <v>172</v>
      </c>
      <c r="B175" s="218" t="s">
        <v>201</v>
      </c>
      <c r="C175" s="219" t="str">
        <f t="shared" si="1"/>
        <v>HD/1239/2025</v>
      </c>
      <c r="D175" s="218" t="b">
        <v>1</v>
      </c>
      <c r="E175" s="219" t="b">
        <v>0</v>
      </c>
      <c r="F175" s="219"/>
      <c r="G175" s="173"/>
      <c r="H175" s="157" t="s">
        <v>6473</v>
      </c>
      <c r="I175" s="157">
        <f t="shared" si="3"/>
        <v>1239</v>
      </c>
      <c r="J175" s="157">
        <v>2025.0</v>
      </c>
    </row>
    <row r="176">
      <c r="A176" s="218">
        <f t="shared" si="2"/>
        <v>173</v>
      </c>
      <c r="B176" s="218" t="s">
        <v>201</v>
      </c>
      <c r="C176" s="219" t="str">
        <f t="shared" si="1"/>
        <v>HD/1240/2025</v>
      </c>
      <c r="D176" s="218" t="b">
        <v>1</v>
      </c>
      <c r="E176" s="219" t="b">
        <v>0</v>
      </c>
      <c r="F176" s="219"/>
      <c r="G176" s="173"/>
      <c r="H176" s="157" t="s">
        <v>6473</v>
      </c>
      <c r="I176" s="157">
        <f t="shared" si="3"/>
        <v>1240</v>
      </c>
      <c r="J176" s="157">
        <v>2025.0</v>
      </c>
    </row>
    <row r="177">
      <c r="A177" s="218">
        <f t="shared" si="2"/>
        <v>174</v>
      </c>
      <c r="B177" s="218" t="s">
        <v>201</v>
      </c>
      <c r="C177" s="219" t="str">
        <f t="shared" si="1"/>
        <v>HD/1241/2025</v>
      </c>
      <c r="D177" s="218" t="b">
        <v>1</v>
      </c>
      <c r="E177" s="219" t="b">
        <v>0</v>
      </c>
      <c r="F177" s="219"/>
      <c r="G177" s="173"/>
      <c r="H177" s="157" t="s">
        <v>6473</v>
      </c>
      <c r="I177" s="157">
        <f t="shared" si="3"/>
        <v>1241</v>
      </c>
      <c r="J177" s="157">
        <v>2025.0</v>
      </c>
    </row>
    <row r="178">
      <c r="A178" s="218">
        <f t="shared" si="2"/>
        <v>175</v>
      </c>
      <c r="B178" s="218" t="s">
        <v>201</v>
      </c>
      <c r="C178" s="219" t="str">
        <f t="shared" si="1"/>
        <v>HD/1242/2025</v>
      </c>
      <c r="D178" s="218" t="b">
        <v>1</v>
      </c>
      <c r="E178" s="219" t="b">
        <v>0</v>
      </c>
      <c r="F178" s="219"/>
      <c r="G178" s="173"/>
      <c r="H178" s="157" t="s">
        <v>6473</v>
      </c>
      <c r="I178" s="157">
        <f t="shared" si="3"/>
        <v>1242</v>
      </c>
      <c r="J178" s="157">
        <v>2025.0</v>
      </c>
    </row>
    <row r="179">
      <c r="A179" s="218">
        <f t="shared" si="2"/>
        <v>176</v>
      </c>
      <c r="B179" s="218" t="s">
        <v>201</v>
      </c>
      <c r="C179" s="219" t="str">
        <f t="shared" si="1"/>
        <v>HD/1243/2025</v>
      </c>
      <c r="D179" s="218" t="b">
        <v>1</v>
      </c>
      <c r="E179" s="219" t="b">
        <v>0</v>
      </c>
      <c r="F179" s="219"/>
      <c r="G179" s="173"/>
      <c r="H179" s="157" t="s">
        <v>6473</v>
      </c>
      <c r="I179" s="157">
        <f t="shared" si="3"/>
        <v>1243</v>
      </c>
      <c r="J179" s="157">
        <v>2025.0</v>
      </c>
    </row>
    <row r="180">
      <c r="A180" s="218">
        <f t="shared" si="2"/>
        <v>177</v>
      </c>
      <c r="B180" s="218" t="s">
        <v>201</v>
      </c>
      <c r="C180" s="219" t="str">
        <f t="shared" si="1"/>
        <v>HD/1244/2025</v>
      </c>
      <c r="D180" s="218" t="b">
        <v>1</v>
      </c>
      <c r="E180" s="219" t="b">
        <v>0</v>
      </c>
      <c r="F180" s="219"/>
      <c r="G180" s="173"/>
      <c r="H180" s="157" t="s">
        <v>6473</v>
      </c>
      <c r="I180" s="157">
        <f t="shared" si="3"/>
        <v>1244</v>
      </c>
      <c r="J180" s="157">
        <v>2025.0</v>
      </c>
    </row>
    <row r="181">
      <c r="A181" s="218">
        <f t="shared" si="2"/>
        <v>178</v>
      </c>
      <c r="B181" s="218" t="s">
        <v>201</v>
      </c>
      <c r="C181" s="219" t="str">
        <f t="shared" si="1"/>
        <v>HD/1245/2025</v>
      </c>
      <c r="D181" s="218" t="b">
        <v>1</v>
      </c>
      <c r="E181" s="219" t="b">
        <v>0</v>
      </c>
      <c r="F181" s="219"/>
      <c r="G181" s="173"/>
      <c r="H181" s="157" t="s">
        <v>6473</v>
      </c>
      <c r="I181" s="157">
        <f t="shared" si="3"/>
        <v>1245</v>
      </c>
      <c r="J181" s="157">
        <v>2025.0</v>
      </c>
    </row>
    <row r="182">
      <c r="A182" s="218">
        <f t="shared" si="2"/>
        <v>179</v>
      </c>
      <c r="B182" s="218" t="s">
        <v>201</v>
      </c>
      <c r="C182" s="219" t="str">
        <f t="shared" si="1"/>
        <v>HD/1246/2025</v>
      </c>
      <c r="D182" s="218" t="b">
        <v>1</v>
      </c>
      <c r="E182" s="219" t="b">
        <v>0</v>
      </c>
      <c r="F182" s="219"/>
      <c r="G182" s="173"/>
      <c r="H182" s="157" t="s">
        <v>6473</v>
      </c>
      <c r="I182" s="157">
        <f t="shared" si="3"/>
        <v>1246</v>
      </c>
      <c r="J182" s="157">
        <v>2025.0</v>
      </c>
    </row>
    <row r="183">
      <c r="A183" s="218">
        <f t="shared" si="2"/>
        <v>180</v>
      </c>
      <c r="B183" s="218" t="s">
        <v>201</v>
      </c>
      <c r="C183" s="219" t="str">
        <f t="shared" si="1"/>
        <v>HD/1247/2025</v>
      </c>
      <c r="D183" s="218" t="b">
        <v>1</v>
      </c>
      <c r="E183" s="219" t="b">
        <v>0</v>
      </c>
      <c r="F183" s="219"/>
      <c r="G183" s="173"/>
      <c r="H183" s="157" t="s">
        <v>6473</v>
      </c>
      <c r="I183" s="157">
        <f t="shared" si="3"/>
        <v>1247</v>
      </c>
      <c r="J183" s="157">
        <v>2025.0</v>
      </c>
    </row>
    <row r="184">
      <c r="A184" s="218">
        <f t="shared" si="2"/>
        <v>181</v>
      </c>
      <c r="B184" s="218" t="s">
        <v>201</v>
      </c>
      <c r="C184" s="219" t="str">
        <f t="shared" si="1"/>
        <v>HD/1248/2025</v>
      </c>
      <c r="D184" s="218" t="b">
        <v>1</v>
      </c>
      <c r="E184" s="219" t="b">
        <v>0</v>
      </c>
      <c r="F184" s="219"/>
      <c r="G184" s="173"/>
      <c r="H184" s="157" t="s">
        <v>6473</v>
      </c>
      <c r="I184" s="157">
        <f t="shared" si="3"/>
        <v>1248</v>
      </c>
      <c r="J184" s="157">
        <v>2025.0</v>
      </c>
    </row>
    <row r="185">
      <c r="A185" s="218">
        <f t="shared" si="2"/>
        <v>182</v>
      </c>
      <c r="B185" s="218" t="s">
        <v>201</v>
      </c>
      <c r="C185" s="219" t="str">
        <f t="shared" si="1"/>
        <v>HD/1249/2025</v>
      </c>
      <c r="D185" s="218" t="b">
        <v>1</v>
      </c>
      <c r="E185" s="219" t="b">
        <v>0</v>
      </c>
      <c r="F185" s="219"/>
      <c r="G185" s="173"/>
      <c r="H185" s="157" t="s">
        <v>6473</v>
      </c>
      <c r="I185" s="157">
        <f t="shared" si="3"/>
        <v>1249</v>
      </c>
      <c r="J185" s="157">
        <v>2025.0</v>
      </c>
    </row>
    <row r="186">
      <c r="A186" s="218">
        <f t="shared" si="2"/>
        <v>183</v>
      </c>
      <c r="B186" s="218" t="s">
        <v>201</v>
      </c>
      <c r="C186" s="219" t="str">
        <f t="shared" si="1"/>
        <v>HD/1250/2025</v>
      </c>
      <c r="D186" s="218" t="b">
        <v>1</v>
      </c>
      <c r="E186" s="219" t="b">
        <v>0</v>
      </c>
      <c r="F186" s="219"/>
      <c r="G186" s="173"/>
      <c r="H186" s="157" t="s">
        <v>6473</v>
      </c>
      <c r="I186" s="157">
        <f t="shared" si="3"/>
        <v>1250</v>
      </c>
      <c r="J186" s="157">
        <v>2025.0</v>
      </c>
    </row>
    <row r="187">
      <c r="A187" s="218">
        <f t="shared" si="2"/>
        <v>184</v>
      </c>
      <c r="B187" s="218" t="s">
        <v>201</v>
      </c>
      <c r="C187" s="219" t="str">
        <f t="shared" si="1"/>
        <v>HD/1251/2025</v>
      </c>
      <c r="D187" s="218" t="b">
        <v>1</v>
      </c>
      <c r="E187" s="219" t="b">
        <v>0</v>
      </c>
      <c r="F187" s="219"/>
      <c r="G187" s="173"/>
      <c r="H187" s="157" t="s">
        <v>6473</v>
      </c>
      <c r="I187" s="157">
        <f t="shared" si="3"/>
        <v>1251</v>
      </c>
      <c r="J187" s="157">
        <v>2025.0</v>
      </c>
    </row>
    <row r="188">
      <c r="A188" s="218">
        <f t="shared" si="2"/>
        <v>185</v>
      </c>
      <c r="B188" s="218" t="s">
        <v>201</v>
      </c>
      <c r="C188" s="219" t="str">
        <f t="shared" si="1"/>
        <v>HD/1252/2025</v>
      </c>
      <c r="D188" s="218" t="b">
        <v>1</v>
      </c>
      <c r="E188" s="219" t="b">
        <v>0</v>
      </c>
      <c r="F188" s="219"/>
      <c r="G188" s="173"/>
      <c r="H188" s="157" t="s">
        <v>6473</v>
      </c>
      <c r="I188" s="157">
        <f t="shared" si="3"/>
        <v>1252</v>
      </c>
      <c r="J188" s="157">
        <v>2025.0</v>
      </c>
    </row>
    <row r="189">
      <c r="A189" s="218">
        <f t="shared" si="2"/>
        <v>186</v>
      </c>
      <c r="B189" s="218" t="s">
        <v>201</v>
      </c>
      <c r="C189" s="219" t="str">
        <f t="shared" si="1"/>
        <v>HD/1253/2025</v>
      </c>
      <c r="D189" s="218" t="b">
        <v>1</v>
      </c>
      <c r="E189" s="219" t="b">
        <v>0</v>
      </c>
      <c r="F189" s="219"/>
      <c r="G189" s="173"/>
      <c r="H189" s="157" t="s">
        <v>6473</v>
      </c>
      <c r="I189" s="157">
        <f t="shared" si="3"/>
        <v>1253</v>
      </c>
      <c r="J189" s="157">
        <v>2025.0</v>
      </c>
    </row>
    <row r="190">
      <c r="A190" s="218">
        <f t="shared" si="2"/>
        <v>187</v>
      </c>
      <c r="B190" s="218" t="s">
        <v>201</v>
      </c>
      <c r="C190" s="219" t="str">
        <f t="shared" si="1"/>
        <v>HD/1254/2025</v>
      </c>
      <c r="D190" s="218" t="b">
        <v>1</v>
      </c>
      <c r="E190" s="219" t="b">
        <v>0</v>
      </c>
      <c r="F190" s="219"/>
      <c r="G190" s="173"/>
      <c r="H190" s="157" t="s">
        <v>6473</v>
      </c>
      <c r="I190" s="157">
        <f t="shared" si="3"/>
        <v>1254</v>
      </c>
      <c r="J190" s="157">
        <v>2025.0</v>
      </c>
    </row>
    <row r="191">
      <c r="A191" s="218">
        <f t="shared" si="2"/>
        <v>188</v>
      </c>
      <c r="B191" s="218" t="s">
        <v>201</v>
      </c>
      <c r="C191" s="219" t="str">
        <f t="shared" si="1"/>
        <v>HD/1255/2025</v>
      </c>
      <c r="D191" s="218" t="b">
        <v>1</v>
      </c>
      <c r="E191" s="219" t="b">
        <v>0</v>
      </c>
      <c r="F191" s="219"/>
      <c r="G191" s="173"/>
      <c r="H191" s="157" t="s">
        <v>6473</v>
      </c>
      <c r="I191" s="157">
        <f t="shared" si="3"/>
        <v>1255</v>
      </c>
      <c r="J191" s="157">
        <v>2025.0</v>
      </c>
    </row>
    <row r="192">
      <c r="A192" s="218">
        <f t="shared" si="2"/>
        <v>189</v>
      </c>
      <c r="B192" s="218" t="s">
        <v>201</v>
      </c>
      <c r="C192" s="219" t="str">
        <f t="shared" si="1"/>
        <v>HD/1256/2025</v>
      </c>
      <c r="D192" s="218" t="b">
        <v>1</v>
      </c>
      <c r="E192" s="219" t="b">
        <v>0</v>
      </c>
      <c r="F192" s="219"/>
      <c r="G192" s="173"/>
      <c r="H192" s="157" t="s">
        <v>6473</v>
      </c>
      <c r="I192" s="157">
        <f t="shared" si="3"/>
        <v>1256</v>
      </c>
      <c r="J192" s="157">
        <v>2025.0</v>
      </c>
    </row>
    <row r="193">
      <c r="A193" s="218">
        <f t="shared" si="2"/>
        <v>190</v>
      </c>
      <c r="B193" s="218" t="s">
        <v>201</v>
      </c>
      <c r="C193" s="219" t="str">
        <f t="shared" si="1"/>
        <v>HD/1257/2025</v>
      </c>
      <c r="D193" s="218" t="b">
        <v>1</v>
      </c>
      <c r="E193" s="219" t="b">
        <v>0</v>
      </c>
      <c r="F193" s="219"/>
      <c r="G193" s="173"/>
      <c r="H193" s="157" t="s">
        <v>6473</v>
      </c>
      <c r="I193" s="157">
        <f t="shared" si="3"/>
        <v>1257</v>
      </c>
      <c r="J193" s="157">
        <v>2025.0</v>
      </c>
    </row>
    <row r="194">
      <c r="A194" s="218">
        <f t="shared" si="2"/>
        <v>191</v>
      </c>
      <c r="B194" s="218" t="s">
        <v>201</v>
      </c>
      <c r="C194" s="219" t="str">
        <f t="shared" si="1"/>
        <v>HD/1258/2025</v>
      </c>
      <c r="D194" s="218" t="b">
        <v>1</v>
      </c>
      <c r="E194" s="219" t="b">
        <v>0</v>
      </c>
      <c r="F194" s="219"/>
      <c r="G194" s="173"/>
      <c r="H194" s="157" t="s">
        <v>6473</v>
      </c>
      <c r="I194" s="157">
        <f t="shared" si="3"/>
        <v>1258</v>
      </c>
      <c r="J194" s="157">
        <v>2025.0</v>
      </c>
    </row>
    <row r="195">
      <c r="A195" s="218">
        <f t="shared" si="2"/>
        <v>192</v>
      </c>
      <c r="B195" s="218" t="s">
        <v>201</v>
      </c>
      <c r="C195" s="219" t="str">
        <f t="shared" si="1"/>
        <v>HD/1259/2025</v>
      </c>
      <c r="D195" s="218" t="b">
        <v>1</v>
      </c>
      <c r="E195" s="219" t="b">
        <v>0</v>
      </c>
      <c r="F195" s="219"/>
      <c r="G195" s="173"/>
      <c r="H195" s="157" t="s">
        <v>6473</v>
      </c>
      <c r="I195" s="157">
        <f t="shared" si="3"/>
        <v>1259</v>
      </c>
      <c r="J195" s="157">
        <v>2025.0</v>
      </c>
    </row>
    <row r="196">
      <c r="A196" s="218">
        <f t="shared" si="2"/>
        <v>193</v>
      </c>
      <c r="B196" s="218" t="s">
        <v>201</v>
      </c>
      <c r="C196" s="219" t="str">
        <f t="shared" si="1"/>
        <v>HD/1260/2025</v>
      </c>
      <c r="D196" s="218" t="b">
        <v>1</v>
      </c>
      <c r="E196" s="219" t="b">
        <v>0</v>
      </c>
      <c r="F196" s="219"/>
      <c r="G196" s="173"/>
      <c r="H196" s="157" t="s">
        <v>6473</v>
      </c>
      <c r="I196" s="157">
        <f t="shared" si="3"/>
        <v>1260</v>
      </c>
      <c r="J196" s="157">
        <v>2025.0</v>
      </c>
    </row>
    <row r="197">
      <c r="A197" s="218">
        <f t="shared" si="2"/>
        <v>194</v>
      </c>
      <c r="B197" s="218" t="s">
        <v>201</v>
      </c>
      <c r="C197" s="219" t="str">
        <f t="shared" si="1"/>
        <v>HD/1261/2025</v>
      </c>
      <c r="D197" s="218" t="b">
        <v>1</v>
      </c>
      <c r="E197" s="219" t="b">
        <v>0</v>
      </c>
      <c r="F197" s="219"/>
      <c r="G197" s="173"/>
      <c r="H197" s="157" t="s">
        <v>6473</v>
      </c>
      <c r="I197" s="157">
        <f t="shared" si="3"/>
        <v>1261</v>
      </c>
      <c r="J197" s="157">
        <v>2025.0</v>
      </c>
    </row>
    <row r="198">
      <c r="A198" s="218">
        <f t="shared" si="2"/>
        <v>195</v>
      </c>
      <c r="B198" s="218" t="s">
        <v>201</v>
      </c>
      <c r="C198" s="219" t="str">
        <f t="shared" si="1"/>
        <v>HD/1262/2025</v>
      </c>
      <c r="D198" s="218" t="b">
        <v>1</v>
      </c>
      <c r="E198" s="219" t="b">
        <v>0</v>
      </c>
      <c r="F198" s="219"/>
      <c r="G198" s="173"/>
      <c r="H198" s="157" t="s">
        <v>6473</v>
      </c>
      <c r="I198" s="157">
        <f t="shared" si="3"/>
        <v>1262</v>
      </c>
      <c r="J198" s="157">
        <v>2025.0</v>
      </c>
    </row>
    <row r="199">
      <c r="A199" s="218">
        <f t="shared" si="2"/>
        <v>196</v>
      </c>
      <c r="B199" s="218" t="s">
        <v>201</v>
      </c>
      <c r="C199" s="219" t="str">
        <f t="shared" si="1"/>
        <v>HD/1263/2025</v>
      </c>
      <c r="D199" s="218" t="b">
        <v>1</v>
      </c>
      <c r="E199" s="219" t="b">
        <v>0</v>
      </c>
      <c r="F199" s="219"/>
      <c r="G199" s="173"/>
      <c r="H199" s="157" t="s">
        <v>6473</v>
      </c>
      <c r="I199" s="157">
        <f t="shared" si="3"/>
        <v>1263</v>
      </c>
      <c r="J199" s="157">
        <v>2025.0</v>
      </c>
    </row>
    <row r="200">
      <c r="A200" s="218">
        <f t="shared" si="2"/>
        <v>197</v>
      </c>
      <c r="B200" s="218" t="s">
        <v>201</v>
      </c>
      <c r="C200" s="219" t="str">
        <f t="shared" si="1"/>
        <v>HD/1264/2025</v>
      </c>
      <c r="D200" s="218" t="b">
        <v>1</v>
      </c>
      <c r="E200" s="219" t="b">
        <v>0</v>
      </c>
      <c r="F200" s="219"/>
      <c r="G200" s="173"/>
      <c r="H200" s="157" t="s">
        <v>6473</v>
      </c>
      <c r="I200" s="157">
        <f t="shared" si="3"/>
        <v>1264</v>
      </c>
      <c r="J200" s="157">
        <v>2025.0</v>
      </c>
    </row>
    <row r="201">
      <c r="A201" s="218">
        <f t="shared" si="2"/>
        <v>198</v>
      </c>
      <c r="B201" s="218" t="s">
        <v>201</v>
      </c>
      <c r="C201" s="219" t="str">
        <f t="shared" si="1"/>
        <v>HD/1265/2025</v>
      </c>
      <c r="D201" s="218" t="b">
        <v>1</v>
      </c>
      <c r="E201" s="219" t="b">
        <v>0</v>
      </c>
      <c r="F201" s="219"/>
      <c r="G201" s="173"/>
      <c r="H201" s="157" t="s">
        <v>6473</v>
      </c>
      <c r="I201" s="157">
        <f t="shared" si="3"/>
        <v>1265</v>
      </c>
      <c r="J201" s="157">
        <v>2025.0</v>
      </c>
    </row>
    <row r="202">
      <c r="A202" s="218">
        <f t="shared" si="2"/>
        <v>199</v>
      </c>
      <c r="B202" s="218" t="s">
        <v>201</v>
      </c>
      <c r="C202" s="219" t="str">
        <f t="shared" si="1"/>
        <v>HD/1266/2025</v>
      </c>
      <c r="D202" s="218" t="b">
        <v>1</v>
      </c>
      <c r="E202" s="219" t="b">
        <v>0</v>
      </c>
      <c r="F202" s="219"/>
      <c r="G202" s="173"/>
      <c r="H202" s="157" t="s">
        <v>6473</v>
      </c>
      <c r="I202" s="157">
        <f t="shared" si="3"/>
        <v>1266</v>
      </c>
      <c r="J202" s="157">
        <v>2025.0</v>
      </c>
    </row>
    <row r="203">
      <c r="A203" s="218">
        <f t="shared" si="2"/>
        <v>200</v>
      </c>
      <c r="B203" s="218" t="s">
        <v>201</v>
      </c>
      <c r="C203" s="219" t="str">
        <f t="shared" si="1"/>
        <v>HD/1267/2025</v>
      </c>
      <c r="D203" s="218" t="b">
        <v>1</v>
      </c>
      <c r="E203" s="219" t="b">
        <v>0</v>
      </c>
      <c r="F203" s="219"/>
      <c r="G203" s="173"/>
      <c r="H203" s="157" t="s">
        <v>6473</v>
      </c>
      <c r="I203" s="157">
        <f t="shared" si="3"/>
        <v>1267</v>
      </c>
      <c r="J203" s="157">
        <v>2025.0</v>
      </c>
    </row>
    <row r="204">
      <c r="A204" s="218">
        <f t="shared" si="2"/>
        <v>201</v>
      </c>
      <c r="B204" s="218" t="s">
        <v>201</v>
      </c>
      <c r="C204" s="219" t="str">
        <f t="shared" si="1"/>
        <v>HD/1268/2025</v>
      </c>
      <c r="D204" s="218" t="b">
        <v>1</v>
      </c>
      <c r="E204" s="219" t="b">
        <v>0</v>
      </c>
      <c r="F204" s="219"/>
      <c r="G204" s="173"/>
      <c r="H204" s="157" t="s">
        <v>6473</v>
      </c>
      <c r="I204" s="157">
        <f t="shared" si="3"/>
        <v>1268</v>
      </c>
      <c r="J204" s="157">
        <v>2025.0</v>
      </c>
    </row>
    <row r="205">
      <c r="A205" s="218">
        <f t="shared" si="2"/>
        <v>202</v>
      </c>
      <c r="B205" s="218" t="s">
        <v>201</v>
      </c>
      <c r="C205" s="219" t="str">
        <f t="shared" si="1"/>
        <v>HD/1269/2025</v>
      </c>
      <c r="D205" s="218" t="b">
        <v>1</v>
      </c>
      <c r="E205" s="219" t="b">
        <v>0</v>
      </c>
      <c r="F205" s="219"/>
      <c r="G205" s="173"/>
      <c r="H205" s="157" t="s">
        <v>6473</v>
      </c>
      <c r="I205" s="157">
        <f t="shared" si="3"/>
        <v>1269</v>
      </c>
      <c r="J205" s="157">
        <v>2025.0</v>
      </c>
    </row>
    <row r="206">
      <c r="A206" s="218">
        <f t="shared" si="2"/>
        <v>203</v>
      </c>
      <c r="B206" s="218" t="s">
        <v>201</v>
      </c>
      <c r="C206" s="219" t="str">
        <f t="shared" si="1"/>
        <v>HD/1270/2025</v>
      </c>
      <c r="D206" s="218" t="b">
        <v>1</v>
      </c>
      <c r="E206" s="219" t="b">
        <v>0</v>
      </c>
      <c r="F206" s="219"/>
      <c r="G206" s="173"/>
      <c r="H206" s="157" t="s">
        <v>6473</v>
      </c>
      <c r="I206" s="157">
        <f t="shared" si="3"/>
        <v>1270</v>
      </c>
      <c r="J206" s="157">
        <v>2025.0</v>
      </c>
    </row>
    <row r="207">
      <c r="A207" s="218">
        <f t="shared" si="2"/>
        <v>204</v>
      </c>
      <c r="B207" s="218" t="s">
        <v>201</v>
      </c>
      <c r="C207" s="219" t="str">
        <f t="shared" si="1"/>
        <v>HD/1271/2025</v>
      </c>
      <c r="D207" s="218" t="b">
        <v>1</v>
      </c>
      <c r="E207" s="219" t="b">
        <v>0</v>
      </c>
      <c r="F207" s="219"/>
      <c r="G207" s="173"/>
      <c r="H207" s="157" t="s">
        <v>6473</v>
      </c>
      <c r="I207" s="157">
        <f t="shared" si="3"/>
        <v>1271</v>
      </c>
      <c r="J207" s="157">
        <v>2025.0</v>
      </c>
    </row>
    <row r="208">
      <c r="A208" s="218">
        <f t="shared" si="2"/>
        <v>205</v>
      </c>
      <c r="B208" s="218" t="s">
        <v>201</v>
      </c>
      <c r="C208" s="219" t="str">
        <f t="shared" si="1"/>
        <v>HD/1272/2025</v>
      </c>
      <c r="D208" s="218" t="b">
        <v>1</v>
      </c>
      <c r="E208" s="219" t="b">
        <v>0</v>
      </c>
      <c r="F208" s="219"/>
      <c r="G208" s="173"/>
      <c r="H208" s="157" t="s">
        <v>6473</v>
      </c>
      <c r="I208" s="157">
        <f t="shared" si="3"/>
        <v>1272</v>
      </c>
      <c r="J208" s="157">
        <v>2025.0</v>
      </c>
    </row>
    <row r="209">
      <c r="A209" s="218">
        <f t="shared" si="2"/>
        <v>206</v>
      </c>
      <c r="B209" s="218" t="s">
        <v>201</v>
      </c>
      <c r="C209" s="219" t="str">
        <f t="shared" si="1"/>
        <v>HD/1273/2025</v>
      </c>
      <c r="D209" s="218" t="b">
        <v>1</v>
      </c>
      <c r="E209" s="219" t="b">
        <v>0</v>
      </c>
      <c r="F209" s="219"/>
      <c r="G209" s="173"/>
      <c r="H209" s="157" t="s">
        <v>6473</v>
      </c>
      <c r="I209" s="157">
        <f t="shared" si="3"/>
        <v>1273</v>
      </c>
      <c r="J209" s="157">
        <v>2025.0</v>
      </c>
    </row>
    <row r="210">
      <c r="A210" s="218">
        <f t="shared" si="2"/>
        <v>207</v>
      </c>
      <c r="B210" s="218" t="s">
        <v>201</v>
      </c>
      <c r="C210" s="219" t="str">
        <f t="shared" si="1"/>
        <v>HD/1274/2025</v>
      </c>
      <c r="D210" s="218" t="b">
        <v>1</v>
      </c>
      <c r="E210" s="219" t="b">
        <v>0</v>
      </c>
      <c r="F210" s="219"/>
      <c r="G210" s="173"/>
      <c r="H210" s="157" t="s">
        <v>6473</v>
      </c>
      <c r="I210" s="157">
        <f t="shared" si="3"/>
        <v>1274</v>
      </c>
      <c r="J210" s="157">
        <v>2025.0</v>
      </c>
    </row>
    <row r="211">
      <c r="A211" s="218">
        <f t="shared" si="2"/>
        <v>208</v>
      </c>
      <c r="B211" s="218" t="s">
        <v>201</v>
      </c>
      <c r="C211" s="219" t="str">
        <f t="shared" si="1"/>
        <v>HD/1275/2025</v>
      </c>
      <c r="D211" s="218" t="b">
        <v>1</v>
      </c>
      <c r="E211" s="219" t="b">
        <v>0</v>
      </c>
      <c r="F211" s="219"/>
      <c r="G211" s="173"/>
      <c r="H211" s="157" t="s">
        <v>6473</v>
      </c>
      <c r="I211" s="157">
        <f t="shared" si="3"/>
        <v>1275</v>
      </c>
      <c r="J211" s="157">
        <v>2025.0</v>
      </c>
    </row>
    <row r="212">
      <c r="A212" s="218">
        <f t="shared" si="2"/>
        <v>209</v>
      </c>
      <c r="B212" s="218" t="s">
        <v>201</v>
      </c>
      <c r="C212" s="219" t="str">
        <f t="shared" si="1"/>
        <v>HD/1276/2025</v>
      </c>
      <c r="D212" s="218" t="b">
        <v>1</v>
      </c>
      <c r="E212" s="219" t="b">
        <v>0</v>
      </c>
      <c r="F212" s="219"/>
      <c r="G212" s="173"/>
      <c r="H212" s="157" t="s">
        <v>6473</v>
      </c>
      <c r="I212" s="157">
        <f t="shared" si="3"/>
        <v>1276</v>
      </c>
      <c r="J212" s="157">
        <v>2025.0</v>
      </c>
    </row>
    <row r="213">
      <c r="A213" s="218">
        <f t="shared" si="2"/>
        <v>210</v>
      </c>
      <c r="B213" s="218" t="s">
        <v>201</v>
      </c>
      <c r="C213" s="219" t="str">
        <f t="shared" si="1"/>
        <v>HD/1277/2025</v>
      </c>
      <c r="D213" s="218" t="b">
        <v>1</v>
      </c>
      <c r="E213" s="219" t="b">
        <v>0</v>
      </c>
      <c r="F213" s="219"/>
      <c r="G213" s="173"/>
      <c r="H213" s="157" t="s">
        <v>6473</v>
      </c>
      <c r="I213" s="157">
        <f t="shared" si="3"/>
        <v>1277</v>
      </c>
      <c r="J213" s="157">
        <v>2025.0</v>
      </c>
    </row>
    <row r="214">
      <c r="A214" s="218">
        <f t="shared" si="2"/>
        <v>211</v>
      </c>
      <c r="B214" s="218" t="s">
        <v>201</v>
      </c>
      <c r="C214" s="219" t="str">
        <f t="shared" si="1"/>
        <v>HD/1278/2025</v>
      </c>
      <c r="D214" s="218" t="b">
        <v>1</v>
      </c>
      <c r="E214" s="219" t="b">
        <v>0</v>
      </c>
      <c r="F214" s="219"/>
      <c r="G214" s="173"/>
      <c r="H214" s="157" t="s">
        <v>6473</v>
      </c>
      <c r="I214" s="157">
        <f t="shared" si="3"/>
        <v>1278</v>
      </c>
      <c r="J214" s="157">
        <v>2025.0</v>
      </c>
    </row>
    <row r="215">
      <c r="A215" s="218">
        <f t="shared" si="2"/>
        <v>212</v>
      </c>
      <c r="B215" s="218" t="s">
        <v>201</v>
      </c>
      <c r="C215" s="219" t="str">
        <f t="shared" si="1"/>
        <v>HD/1279/2025</v>
      </c>
      <c r="D215" s="218" t="b">
        <v>1</v>
      </c>
      <c r="E215" s="219" t="b">
        <v>0</v>
      </c>
      <c r="F215" s="219"/>
      <c r="G215" s="173"/>
      <c r="H215" s="157" t="s">
        <v>6473</v>
      </c>
      <c r="I215" s="157">
        <f t="shared" si="3"/>
        <v>1279</v>
      </c>
      <c r="J215" s="157">
        <v>2025.0</v>
      </c>
    </row>
    <row r="216">
      <c r="A216" s="218">
        <f t="shared" si="2"/>
        <v>213</v>
      </c>
      <c r="B216" s="218" t="s">
        <v>201</v>
      </c>
      <c r="C216" s="219" t="str">
        <f t="shared" si="1"/>
        <v>HD/1280/2025</v>
      </c>
      <c r="D216" s="218" t="b">
        <v>1</v>
      </c>
      <c r="E216" s="219" t="b">
        <v>0</v>
      </c>
      <c r="F216" s="219"/>
      <c r="G216" s="173"/>
      <c r="H216" s="157" t="s">
        <v>6473</v>
      </c>
      <c r="I216" s="157">
        <f t="shared" si="3"/>
        <v>1280</v>
      </c>
      <c r="J216" s="157">
        <v>2025.0</v>
      </c>
    </row>
    <row r="217">
      <c r="A217" s="218">
        <f t="shared" si="2"/>
        <v>214</v>
      </c>
      <c r="B217" s="218" t="s">
        <v>201</v>
      </c>
      <c r="C217" s="219" t="str">
        <f t="shared" si="1"/>
        <v>HD/1281/2025</v>
      </c>
      <c r="D217" s="218" t="b">
        <v>1</v>
      </c>
      <c r="E217" s="219" t="b">
        <v>0</v>
      </c>
      <c r="F217" s="219"/>
      <c r="G217" s="173"/>
      <c r="H217" s="157" t="s">
        <v>6473</v>
      </c>
      <c r="I217" s="157">
        <f t="shared" si="3"/>
        <v>1281</v>
      </c>
      <c r="J217" s="157">
        <v>2025.0</v>
      </c>
    </row>
    <row r="218">
      <c r="A218" s="218">
        <f t="shared" si="2"/>
        <v>215</v>
      </c>
      <c r="B218" s="218" t="s">
        <v>201</v>
      </c>
      <c r="C218" s="219" t="str">
        <f t="shared" si="1"/>
        <v>HD/1282/2025</v>
      </c>
      <c r="D218" s="218" t="b">
        <v>1</v>
      </c>
      <c r="E218" s="219" t="b">
        <v>0</v>
      </c>
      <c r="F218" s="219"/>
      <c r="G218" s="173"/>
      <c r="H218" s="157" t="s">
        <v>6473</v>
      </c>
      <c r="I218" s="157">
        <f t="shared" si="3"/>
        <v>1282</v>
      </c>
      <c r="J218" s="157">
        <v>2025.0</v>
      </c>
    </row>
    <row r="219">
      <c r="A219" s="218">
        <f t="shared" si="2"/>
        <v>216</v>
      </c>
      <c r="B219" s="218" t="s">
        <v>201</v>
      </c>
      <c r="C219" s="219" t="str">
        <f t="shared" si="1"/>
        <v>HD/1283/2025</v>
      </c>
      <c r="D219" s="218" t="b">
        <v>1</v>
      </c>
      <c r="E219" s="219" t="b">
        <v>0</v>
      </c>
      <c r="F219" s="219"/>
      <c r="G219" s="173"/>
      <c r="H219" s="157" t="s">
        <v>6473</v>
      </c>
      <c r="I219" s="157">
        <f t="shared" si="3"/>
        <v>1283</v>
      </c>
      <c r="J219" s="157">
        <v>2025.0</v>
      </c>
    </row>
    <row r="220">
      <c r="A220" s="218">
        <f t="shared" si="2"/>
        <v>217</v>
      </c>
      <c r="B220" s="218" t="s">
        <v>201</v>
      </c>
      <c r="C220" s="219" t="str">
        <f t="shared" si="1"/>
        <v>HD/1284/2025</v>
      </c>
      <c r="D220" s="218" t="b">
        <v>1</v>
      </c>
      <c r="E220" s="219" t="b">
        <v>0</v>
      </c>
      <c r="F220" s="219"/>
      <c r="G220" s="173"/>
      <c r="H220" s="157" t="s">
        <v>6473</v>
      </c>
      <c r="I220" s="157">
        <f t="shared" si="3"/>
        <v>1284</v>
      </c>
      <c r="J220" s="157">
        <v>2025.0</v>
      </c>
    </row>
    <row r="221">
      <c r="A221" s="218">
        <f t="shared" si="2"/>
        <v>218</v>
      </c>
      <c r="B221" s="218" t="s">
        <v>201</v>
      </c>
      <c r="C221" s="219" t="str">
        <f t="shared" si="1"/>
        <v>HD/1285/2025</v>
      </c>
      <c r="D221" s="218" t="b">
        <v>1</v>
      </c>
      <c r="E221" s="219" t="b">
        <v>0</v>
      </c>
      <c r="F221" s="219"/>
      <c r="G221" s="173"/>
      <c r="H221" s="157" t="s">
        <v>6473</v>
      </c>
      <c r="I221" s="157">
        <f t="shared" si="3"/>
        <v>1285</v>
      </c>
      <c r="J221" s="157">
        <v>2025.0</v>
      </c>
    </row>
    <row r="222">
      <c r="A222" s="218">
        <f t="shared" si="2"/>
        <v>219</v>
      </c>
      <c r="B222" s="218" t="s">
        <v>201</v>
      </c>
      <c r="C222" s="219" t="str">
        <f t="shared" si="1"/>
        <v>HD/1286/2025</v>
      </c>
      <c r="D222" s="218" t="b">
        <v>1</v>
      </c>
      <c r="E222" s="219" t="b">
        <v>0</v>
      </c>
      <c r="F222" s="219"/>
      <c r="G222" s="173"/>
      <c r="H222" s="157" t="s">
        <v>6473</v>
      </c>
      <c r="I222" s="157">
        <f t="shared" si="3"/>
        <v>1286</v>
      </c>
      <c r="J222" s="157">
        <v>2025.0</v>
      </c>
    </row>
    <row r="223">
      <c r="A223" s="218">
        <f t="shared" si="2"/>
        <v>220</v>
      </c>
      <c r="B223" s="218" t="s">
        <v>201</v>
      </c>
      <c r="C223" s="219" t="str">
        <f t="shared" si="1"/>
        <v>HD/1287/2025</v>
      </c>
      <c r="D223" s="218" t="b">
        <v>1</v>
      </c>
      <c r="E223" s="219" t="b">
        <v>0</v>
      </c>
      <c r="F223" s="219"/>
      <c r="G223" s="173"/>
      <c r="H223" s="157" t="s">
        <v>6473</v>
      </c>
      <c r="I223" s="157">
        <f t="shared" si="3"/>
        <v>1287</v>
      </c>
      <c r="J223" s="157">
        <v>2025.0</v>
      </c>
    </row>
    <row r="224">
      <c r="A224" s="218">
        <f t="shared" si="2"/>
        <v>221</v>
      </c>
      <c r="B224" s="218" t="s">
        <v>201</v>
      </c>
      <c r="C224" s="219" t="str">
        <f t="shared" si="1"/>
        <v>HD/1288/2025</v>
      </c>
      <c r="D224" s="218" t="b">
        <v>1</v>
      </c>
      <c r="E224" s="219" t="b">
        <v>0</v>
      </c>
      <c r="F224" s="219"/>
      <c r="G224" s="173"/>
      <c r="H224" s="157" t="s">
        <v>6473</v>
      </c>
      <c r="I224" s="157">
        <f t="shared" si="3"/>
        <v>1288</v>
      </c>
      <c r="J224" s="157">
        <v>2025.0</v>
      </c>
    </row>
    <row r="225">
      <c r="A225" s="218">
        <f t="shared" si="2"/>
        <v>222</v>
      </c>
      <c r="B225" s="218" t="s">
        <v>201</v>
      </c>
      <c r="C225" s="219" t="str">
        <f t="shared" si="1"/>
        <v>HD/1289/2025</v>
      </c>
      <c r="D225" s="218" t="b">
        <v>1</v>
      </c>
      <c r="E225" s="219" t="b">
        <v>0</v>
      </c>
      <c r="F225" s="219"/>
      <c r="G225" s="173"/>
      <c r="H225" s="157" t="s">
        <v>6473</v>
      </c>
      <c r="I225" s="157">
        <f t="shared" si="3"/>
        <v>1289</v>
      </c>
      <c r="J225" s="157">
        <v>2025.0</v>
      </c>
    </row>
    <row r="226">
      <c r="A226" s="218">
        <f t="shared" si="2"/>
        <v>223</v>
      </c>
      <c r="B226" s="218" t="s">
        <v>201</v>
      </c>
      <c r="C226" s="219" t="str">
        <f t="shared" si="1"/>
        <v>HD/1290/2025</v>
      </c>
      <c r="D226" s="218" t="b">
        <v>1</v>
      </c>
      <c r="E226" s="219" t="b">
        <v>0</v>
      </c>
      <c r="F226" s="219"/>
      <c r="G226" s="173"/>
      <c r="H226" s="157" t="s">
        <v>6473</v>
      </c>
      <c r="I226" s="157">
        <f t="shared" si="3"/>
        <v>1290</v>
      </c>
      <c r="J226" s="157">
        <v>2025.0</v>
      </c>
    </row>
    <row r="227">
      <c r="A227" s="218">
        <f t="shared" si="2"/>
        <v>224</v>
      </c>
      <c r="B227" s="218" t="s">
        <v>201</v>
      </c>
      <c r="C227" s="219" t="str">
        <f t="shared" si="1"/>
        <v>HD/1291/2025</v>
      </c>
      <c r="D227" s="218" t="b">
        <v>1</v>
      </c>
      <c r="E227" s="219" t="b">
        <v>0</v>
      </c>
      <c r="F227" s="219"/>
      <c r="G227" s="173"/>
      <c r="H227" s="157" t="s">
        <v>6473</v>
      </c>
      <c r="I227" s="157">
        <f t="shared" si="3"/>
        <v>1291</v>
      </c>
      <c r="J227" s="157">
        <v>2025.0</v>
      </c>
    </row>
    <row r="228">
      <c r="A228" s="218">
        <f t="shared" si="2"/>
        <v>225</v>
      </c>
      <c r="B228" s="218" t="s">
        <v>201</v>
      </c>
      <c r="C228" s="219" t="str">
        <f t="shared" si="1"/>
        <v>HD/1292/2025</v>
      </c>
      <c r="D228" s="218" t="b">
        <v>1</v>
      </c>
      <c r="E228" s="219" t="b">
        <v>0</v>
      </c>
      <c r="F228" s="219"/>
      <c r="G228" s="173"/>
      <c r="H228" s="157" t="s">
        <v>6473</v>
      </c>
      <c r="I228" s="157">
        <f t="shared" si="3"/>
        <v>1292</v>
      </c>
      <c r="J228" s="157">
        <v>2025.0</v>
      </c>
    </row>
    <row r="229">
      <c r="A229" s="218">
        <f t="shared" si="2"/>
        <v>226</v>
      </c>
      <c r="B229" s="218" t="s">
        <v>201</v>
      </c>
      <c r="C229" s="219" t="str">
        <f t="shared" si="1"/>
        <v>HD/1293/2025</v>
      </c>
      <c r="D229" s="218" t="b">
        <v>1</v>
      </c>
      <c r="E229" s="219" t="b">
        <v>0</v>
      </c>
      <c r="F229" s="219"/>
      <c r="G229" s="173"/>
      <c r="H229" s="157" t="s">
        <v>6473</v>
      </c>
      <c r="I229" s="157">
        <f t="shared" si="3"/>
        <v>1293</v>
      </c>
      <c r="J229" s="157">
        <v>2025.0</v>
      </c>
    </row>
    <row r="230">
      <c r="A230" s="218">
        <f t="shared" si="2"/>
        <v>227</v>
      </c>
      <c r="B230" s="218" t="s">
        <v>201</v>
      </c>
      <c r="C230" s="219" t="str">
        <f t="shared" si="1"/>
        <v>HD/1294/2025</v>
      </c>
      <c r="D230" s="218" t="b">
        <v>1</v>
      </c>
      <c r="E230" s="219" t="b">
        <v>0</v>
      </c>
      <c r="F230" s="219"/>
      <c r="G230" s="173"/>
      <c r="H230" s="157" t="s">
        <v>6473</v>
      </c>
      <c r="I230" s="157">
        <f t="shared" si="3"/>
        <v>1294</v>
      </c>
      <c r="J230" s="157">
        <v>2025.0</v>
      </c>
    </row>
    <row r="231">
      <c r="A231" s="218">
        <f t="shared" si="2"/>
        <v>228</v>
      </c>
      <c r="B231" s="218" t="s">
        <v>201</v>
      </c>
      <c r="C231" s="219" t="str">
        <f t="shared" si="1"/>
        <v>HD/1295/2025</v>
      </c>
      <c r="D231" s="218" t="b">
        <v>1</v>
      </c>
      <c r="E231" s="219" t="b">
        <v>0</v>
      </c>
      <c r="F231" s="219"/>
      <c r="G231" s="173"/>
      <c r="H231" s="157" t="s">
        <v>6473</v>
      </c>
      <c r="I231" s="157">
        <f t="shared" si="3"/>
        <v>1295</v>
      </c>
      <c r="J231" s="157">
        <v>2025.0</v>
      </c>
    </row>
    <row r="232">
      <c r="A232" s="218">
        <f t="shared" si="2"/>
        <v>229</v>
      </c>
      <c r="B232" s="218" t="s">
        <v>201</v>
      </c>
      <c r="C232" s="219" t="str">
        <f t="shared" si="1"/>
        <v>HD/1296/2025</v>
      </c>
      <c r="D232" s="218" t="b">
        <v>1</v>
      </c>
      <c r="E232" s="219" t="b">
        <v>0</v>
      </c>
      <c r="F232" s="219"/>
      <c r="G232" s="173"/>
      <c r="H232" s="157" t="s">
        <v>6473</v>
      </c>
      <c r="I232" s="157">
        <f t="shared" si="3"/>
        <v>1296</v>
      </c>
      <c r="J232" s="157">
        <v>2025.0</v>
      </c>
    </row>
    <row r="233">
      <c r="A233" s="218">
        <f t="shared" si="2"/>
        <v>230</v>
      </c>
      <c r="B233" s="218" t="s">
        <v>201</v>
      </c>
      <c r="C233" s="219" t="str">
        <f t="shared" si="1"/>
        <v>HD/1297/2025</v>
      </c>
      <c r="D233" s="218" t="b">
        <v>1</v>
      </c>
      <c r="E233" s="219" t="b">
        <v>0</v>
      </c>
      <c r="F233" s="219"/>
      <c r="G233" s="173"/>
      <c r="H233" s="157" t="s">
        <v>6473</v>
      </c>
      <c r="I233" s="157">
        <f t="shared" si="3"/>
        <v>1297</v>
      </c>
      <c r="J233" s="157">
        <v>2025.0</v>
      </c>
    </row>
    <row r="234">
      <c r="A234" s="218">
        <f t="shared" si="2"/>
        <v>231</v>
      </c>
      <c r="B234" s="218" t="s">
        <v>201</v>
      </c>
      <c r="C234" s="219" t="str">
        <f t="shared" si="1"/>
        <v>HD/1298/2025</v>
      </c>
      <c r="D234" s="218" t="b">
        <v>1</v>
      </c>
      <c r="E234" s="219" t="b">
        <v>0</v>
      </c>
      <c r="F234" s="219"/>
      <c r="G234" s="173"/>
      <c r="H234" s="157" t="s">
        <v>6473</v>
      </c>
      <c r="I234" s="157">
        <f t="shared" si="3"/>
        <v>1298</v>
      </c>
      <c r="J234" s="157">
        <v>2025.0</v>
      </c>
    </row>
    <row r="235">
      <c r="A235" s="218">
        <f t="shared" si="2"/>
        <v>232</v>
      </c>
      <c r="B235" s="218" t="s">
        <v>201</v>
      </c>
      <c r="C235" s="219" t="str">
        <f t="shared" si="1"/>
        <v>HD/1299/2025</v>
      </c>
      <c r="D235" s="218" t="b">
        <v>1</v>
      </c>
      <c r="E235" s="219" t="b">
        <v>0</v>
      </c>
      <c r="F235" s="219"/>
      <c r="G235" s="173"/>
      <c r="H235" s="157" t="s">
        <v>6473</v>
      </c>
      <c r="I235" s="157">
        <f t="shared" si="3"/>
        <v>1299</v>
      </c>
      <c r="J235" s="157">
        <v>2025.0</v>
      </c>
    </row>
    <row r="236">
      <c r="A236" s="218">
        <f t="shared" si="2"/>
        <v>233</v>
      </c>
      <c r="B236" s="218" t="s">
        <v>201</v>
      </c>
      <c r="C236" s="219" t="str">
        <f t="shared" si="1"/>
        <v>HD/1300/2025</v>
      </c>
      <c r="D236" s="218" t="b">
        <v>1</v>
      </c>
      <c r="E236" s="219" t="b">
        <v>0</v>
      </c>
      <c r="F236" s="219"/>
      <c r="G236" s="173"/>
      <c r="H236" s="157" t="s">
        <v>6473</v>
      </c>
      <c r="I236" s="157">
        <f t="shared" si="3"/>
        <v>1300</v>
      </c>
      <c r="J236" s="157">
        <v>2025.0</v>
      </c>
    </row>
    <row r="237">
      <c r="A237" s="218">
        <f t="shared" si="2"/>
        <v>234</v>
      </c>
      <c r="B237" s="218" t="s">
        <v>201</v>
      </c>
      <c r="C237" s="219" t="str">
        <f t="shared" si="1"/>
        <v>HD/1301/2025</v>
      </c>
      <c r="D237" s="218" t="b">
        <v>1</v>
      </c>
      <c r="E237" s="219" t="b">
        <v>0</v>
      </c>
      <c r="F237" s="219"/>
      <c r="G237" s="173"/>
      <c r="H237" s="157" t="s">
        <v>6473</v>
      </c>
      <c r="I237" s="157">
        <f t="shared" si="3"/>
        <v>1301</v>
      </c>
      <c r="J237" s="157">
        <v>2025.0</v>
      </c>
    </row>
    <row r="238">
      <c r="A238" s="218">
        <f t="shared" si="2"/>
        <v>235</v>
      </c>
      <c r="B238" s="218" t="s">
        <v>201</v>
      </c>
      <c r="C238" s="219" t="str">
        <f t="shared" si="1"/>
        <v>HD/1302/2025</v>
      </c>
      <c r="D238" s="218" t="b">
        <v>1</v>
      </c>
      <c r="E238" s="219" t="b">
        <v>0</v>
      </c>
      <c r="F238" s="219"/>
      <c r="G238" s="173"/>
      <c r="H238" s="157" t="s">
        <v>6473</v>
      </c>
      <c r="I238" s="157">
        <f t="shared" si="3"/>
        <v>1302</v>
      </c>
      <c r="J238" s="157">
        <v>2025.0</v>
      </c>
    </row>
    <row r="239">
      <c r="A239" s="218">
        <f t="shared" si="2"/>
        <v>236</v>
      </c>
      <c r="B239" s="218" t="s">
        <v>201</v>
      </c>
      <c r="C239" s="219" t="str">
        <f t="shared" si="1"/>
        <v>HD/1303/2025</v>
      </c>
      <c r="D239" s="218" t="b">
        <v>1</v>
      </c>
      <c r="E239" s="219" t="b">
        <v>0</v>
      </c>
      <c r="F239" s="219"/>
      <c r="G239" s="173"/>
      <c r="H239" s="157" t="s">
        <v>6473</v>
      </c>
      <c r="I239" s="157">
        <f t="shared" si="3"/>
        <v>1303</v>
      </c>
      <c r="J239" s="157">
        <v>2025.0</v>
      </c>
    </row>
    <row r="240">
      <c r="A240" s="218">
        <f t="shared" si="2"/>
        <v>237</v>
      </c>
      <c r="B240" s="218" t="s">
        <v>201</v>
      </c>
      <c r="C240" s="219" t="str">
        <f t="shared" si="1"/>
        <v>HD/1304/2025</v>
      </c>
      <c r="D240" s="218" t="b">
        <v>1</v>
      </c>
      <c r="E240" s="219" t="b">
        <v>0</v>
      </c>
      <c r="F240" s="219"/>
      <c r="G240" s="173"/>
      <c r="H240" s="157" t="s">
        <v>6473</v>
      </c>
      <c r="I240" s="157">
        <f t="shared" si="3"/>
        <v>1304</v>
      </c>
      <c r="J240" s="157">
        <v>2025.0</v>
      </c>
    </row>
    <row r="241">
      <c r="A241" s="218">
        <f t="shared" si="2"/>
        <v>238</v>
      </c>
      <c r="B241" s="218" t="s">
        <v>201</v>
      </c>
      <c r="C241" s="219" t="str">
        <f t="shared" si="1"/>
        <v>HD/1305/2025</v>
      </c>
      <c r="D241" s="218" t="b">
        <v>1</v>
      </c>
      <c r="E241" s="219" t="b">
        <v>0</v>
      </c>
      <c r="F241" s="219"/>
      <c r="G241" s="173"/>
      <c r="H241" s="157" t="s">
        <v>6473</v>
      </c>
      <c r="I241" s="157">
        <f t="shared" si="3"/>
        <v>1305</v>
      </c>
      <c r="J241" s="157">
        <v>2025.0</v>
      </c>
    </row>
    <row r="242">
      <c r="A242" s="218">
        <f t="shared" si="2"/>
        <v>239</v>
      </c>
      <c r="B242" s="218" t="s">
        <v>201</v>
      </c>
      <c r="C242" s="219" t="str">
        <f t="shared" si="1"/>
        <v>HD/1306/2025</v>
      </c>
      <c r="D242" s="218" t="b">
        <v>1</v>
      </c>
      <c r="E242" s="219" t="b">
        <v>0</v>
      </c>
      <c r="F242" s="219"/>
      <c r="G242" s="173"/>
      <c r="H242" s="157" t="s">
        <v>6473</v>
      </c>
      <c r="I242" s="157">
        <f t="shared" si="3"/>
        <v>1306</v>
      </c>
      <c r="J242" s="157">
        <v>2025.0</v>
      </c>
    </row>
    <row r="243">
      <c r="A243" s="218">
        <f t="shared" si="2"/>
        <v>240</v>
      </c>
      <c r="B243" s="218" t="s">
        <v>201</v>
      </c>
      <c r="C243" s="219" t="str">
        <f t="shared" si="1"/>
        <v>HD/1307/2025</v>
      </c>
      <c r="D243" s="218" t="b">
        <v>1</v>
      </c>
      <c r="E243" s="219" t="b">
        <v>0</v>
      </c>
      <c r="F243" s="219"/>
      <c r="G243" s="173"/>
      <c r="H243" s="157" t="s">
        <v>6473</v>
      </c>
      <c r="I243" s="157">
        <f t="shared" si="3"/>
        <v>1307</v>
      </c>
      <c r="J243" s="157">
        <v>2025.0</v>
      </c>
    </row>
    <row r="244">
      <c r="A244" s="218">
        <f t="shared" si="2"/>
        <v>241</v>
      </c>
      <c r="B244" s="218" t="s">
        <v>201</v>
      </c>
      <c r="C244" s="219" t="str">
        <f t="shared" si="1"/>
        <v>HD/1308/2025</v>
      </c>
      <c r="D244" s="218" t="b">
        <v>1</v>
      </c>
      <c r="E244" s="219" t="b">
        <v>0</v>
      </c>
      <c r="F244" s="219"/>
      <c r="G244" s="173"/>
      <c r="H244" s="157" t="s">
        <v>6473</v>
      </c>
      <c r="I244" s="157">
        <f t="shared" si="3"/>
        <v>1308</v>
      </c>
      <c r="J244" s="157">
        <v>2025.0</v>
      </c>
    </row>
    <row r="245">
      <c r="A245" s="218">
        <f t="shared" si="2"/>
        <v>242</v>
      </c>
      <c r="B245" s="218" t="s">
        <v>201</v>
      </c>
      <c r="C245" s="219" t="str">
        <f t="shared" si="1"/>
        <v>HD/1309/2025</v>
      </c>
      <c r="D245" s="218" t="b">
        <v>1</v>
      </c>
      <c r="E245" s="219" t="b">
        <v>0</v>
      </c>
      <c r="F245" s="219"/>
      <c r="G245" s="173"/>
      <c r="H245" s="157" t="s">
        <v>6473</v>
      </c>
      <c r="I245" s="157">
        <f t="shared" si="3"/>
        <v>1309</v>
      </c>
      <c r="J245" s="157">
        <v>2025.0</v>
      </c>
    </row>
    <row r="246">
      <c r="A246" s="218">
        <f t="shared" si="2"/>
        <v>243</v>
      </c>
      <c r="B246" s="218" t="s">
        <v>201</v>
      </c>
      <c r="C246" s="219" t="str">
        <f t="shared" si="1"/>
        <v>HD/1310/2025</v>
      </c>
      <c r="D246" s="218" t="b">
        <v>1</v>
      </c>
      <c r="E246" s="219" t="b">
        <v>0</v>
      </c>
      <c r="F246" s="219"/>
      <c r="G246" s="173"/>
      <c r="H246" s="157" t="s">
        <v>6473</v>
      </c>
      <c r="I246" s="157">
        <f t="shared" si="3"/>
        <v>1310</v>
      </c>
      <c r="J246" s="157">
        <v>2025.0</v>
      </c>
    </row>
    <row r="247">
      <c r="A247" s="218">
        <f t="shared" si="2"/>
        <v>244</v>
      </c>
      <c r="B247" s="218" t="s">
        <v>201</v>
      </c>
      <c r="C247" s="219" t="str">
        <f t="shared" si="1"/>
        <v>HD/1311/2025</v>
      </c>
      <c r="D247" s="218" t="b">
        <v>1</v>
      </c>
      <c r="E247" s="219" t="b">
        <v>0</v>
      </c>
      <c r="F247" s="219"/>
      <c r="G247" s="173"/>
      <c r="H247" s="157" t="s">
        <v>6473</v>
      </c>
      <c r="I247" s="157">
        <f t="shared" si="3"/>
        <v>1311</v>
      </c>
      <c r="J247" s="157">
        <v>2025.0</v>
      </c>
    </row>
    <row r="248">
      <c r="A248" s="218">
        <f t="shared" si="2"/>
        <v>245</v>
      </c>
      <c r="B248" s="218" t="s">
        <v>201</v>
      </c>
      <c r="C248" s="219" t="str">
        <f t="shared" si="1"/>
        <v>HD/1312/2025</v>
      </c>
      <c r="D248" s="218" t="b">
        <v>1</v>
      </c>
      <c r="E248" s="219" t="b">
        <v>0</v>
      </c>
      <c r="F248" s="219"/>
      <c r="G248" s="173"/>
      <c r="H248" s="157" t="s">
        <v>6473</v>
      </c>
      <c r="I248" s="157">
        <f t="shared" si="3"/>
        <v>1312</v>
      </c>
      <c r="J248" s="157">
        <v>2025.0</v>
      </c>
    </row>
    <row r="249">
      <c r="A249" s="218">
        <f t="shared" si="2"/>
        <v>246</v>
      </c>
      <c r="B249" s="218" t="s">
        <v>201</v>
      </c>
      <c r="C249" s="219" t="str">
        <f t="shared" si="1"/>
        <v>HD/1313/2025</v>
      </c>
      <c r="D249" s="218" t="b">
        <v>1</v>
      </c>
      <c r="E249" s="219" t="b">
        <v>0</v>
      </c>
      <c r="F249" s="219"/>
      <c r="G249" s="173"/>
      <c r="H249" s="157" t="s">
        <v>6473</v>
      </c>
      <c r="I249" s="157">
        <f t="shared" si="3"/>
        <v>1313</v>
      </c>
      <c r="J249" s="157">
        <v>2025.0</v>
      </c>
    </row>
    <row r="250">
      <c r="A250" s="218">
        <f t="shared" si="2"/>
        <v>247</v>
      </c>
      <c r="B250" s="218" t="s">
        <v>201</v>
      </c>
      <c r="C250" s="219" t="str">
        <f t="shared" si="1"/>
        <v>HD/1314/2025</v>
      </c>
      <c r="D250" s="218" t="b">
        <v>1</v>
      </c>
      <c r="E250" s="219" t="b">
        <v>0</v>
      </c>
      <c r="F250" s="219"/>
      <c r="G250" s="173"/>
      <c r="H250" s="157" t="s">
        <v>6473</v>
      </c>
      <c r="I250" s="157">
        <f t="shared" si="3"/>
        <v>1314</v>
      </c>
      <c r="J250" s="157">
        <v>2025.0</v>
      </c>
    </row>
    <row r="251">
      <c r="A251" s="218">
        <f t="shared" si="2"/>
        <v>248</v>
      </c>
      <c r="B251" s="218" t="s">
        <v>201</v>
      </c>
      <c r="C251" s="219" t="str">
        <f t="shared" si="1"/>
        <v>HD/1315/2025</v>
      </c>
      <c r="D251" s="218" t="b">
        <v>1</v>
      </c>
      <c r="E251" s="219" t="b">
        <v>0</v>
      </c>
      <c r="F251" s="219"/>
      <c r="G251" s="173"/>
      <c r="H251" s="157" t="s">
        <v>6473</v>
      </c>
      <c r="I251" s="157">
        <f t="shared" si="3"/>
        <v>1315</v>
      </c>
      <c r="J251" s="157">
        <v>2025.0</v>
      </c>
    </row>
    <row r="252">
      <c r="A252" s="218">
        <f t="shared" si="2"/>
        <v>249</v>
      </c>
      <c r="B252" s="218" t="s">
        <v>201</v>
      </c>
      <c r="C252" s="219" t="str">
        <f t="shared" si="1"/>
        <v>HD/1316/2025</v>
      </c>
      <c r="D252" s="218" t="b">
        <v>1</v>
      </c>
      <c r="E252" s="219" t="b">
        <v>0</v>
      </c>
      <c r="F252" s="219"/>
      <c r="G252" s="173"/>
      <c r="H252" s="157" t="s">
        <v>6473</v>
      </c>
      <c r="I252" s="157">
        <f t="shared" si="3"/>
        <v>1316</v>
      </c>
      <c r="J252" s="157">
        <v>2025.0</v>
      </c>
    </row>
    <row r="253">
      <c r="A253" s="218">
        <f t="shared" si="2"/>
        <v>250</v>
      </c>
      <c r="B253" s="218" t="s">
        <v>201</v>
      </c>
      <c r="C253" s="219" t="str">
        <f t="shared" si="1"/>
        <v>HD/1317/2025</v>
      </c>
      <c r="D253" s="218" t="b">
        <v>1</v>
      </c>
      <c r="E253" s="219" t="b">
        <v>0</v>
      </c>
      <c r="F253" s="219"/>
      <c r="G253" s="173"/>
      <c r="H253" s="157" t="s">
        <v>6473</v>
      </c>
      <c r="I253" s="157">
        <f t="shared" si="3"/>
        <v>1317</v>
      </c>
      <c r="J253" s="157">
        <v>2025.0</v>
      </c>
    </row>
    <row r="254">
      <c r="A254" s="218">
        <f t="shared" si="2"/>
        <v>251</v>
      </c>
      <c r="B254" s="218" t="s">
        <v>201</v>
      </c>
      <c r="C254" s="219" t="str">
        <f t="shared" si="1"/>
        <v>HD/1318/2025</v>
      </c>
      <c r="D254" s="218" t="b">
        <v>1</v>
      </c>
      <c r="E254" s="219" t="b">
        <v>0</v>
      </c>
      <c r="F254" s="219"/>
      <c r="G254" s="173"/>
      <c r="H254" s="157" t="s">
        <v>6473</v>
      </c>
      <c r="I254" s="157">
        <f t="shared" si="3"/>
        <v>1318</v>
      </c>
      <c r="J254" s="157">
        <v>2025.0</v>
      </c>
    </row>
    <row r="255">
      <c r="A255" s="218">
        <f t="shared" si="2"/>
        <v>252</v>
      </c>
      <c r="B255" s="218" t="s">
        <v>201</v>
      </c>
      <c r="C255" s="219" t="str">
        <f t="shared" si="1"/>
        <v>HD/1319/2025</v>
      </c>
      <c r="D255" s="218" t="b">
        <v>1</v>
      </c>
      <c r="E255" s="219" t="b">
        <v>0</v>
      </c>
      <c r="F255" s="219"/>
      <c r="G255" s="173"/>
      <c r="H255" s="157" t="s">
        <v>6473</v>
      </c>
      <c r="I255" s="157">
        <f t="shared" si="3"/>
        <v>1319</v>
      </c>
      <c r="J255" s="157">
        <v>2025.0</v>
      </c>
    </row>
    <row r="256">
      <c r="A256" s="218">
        <f t="shared" si="2"/>
        <v>253</v>
      </c>
      <c r="B256" s="218" t="s">
        <v>201</v>
      </c>
      <c r="C256" s="219" t="str">
        <f t="shared" si="1"/>
        <v>HD/1320/2025</v>
      </c>
      <c r="D256" s="218" t="b">
        <v>1</v>
      </c>
      <c r="E256" s="219" t="b">
        <v>0</v>
      </c>
      <c r="F256" s="219"/>
      <c r="G256" s="173"/>
      <c r="H256" s="157" t="s">
        <v>6473</v>
      </c>
      <c r="I256" s="157">
        <f t="shared" si="3"/>
        <v>1320</v>
      </c>
      <c r="J256" s="157">
        <v>2025.0</v>
      </c>
    </row>
    <row r="257">
      <c r="A257" s="218">
        <f t="shared" si="2"/>
        <v>254</v>
      </c>
      <c r="B257" s="218" t="s">
        <v>201</v>
      </c>
      <c r="C257" s="219" t="str">
        <f t="shared" si="1"/>
        <v>HD/1321/2025</v>
      </c>
      <c r="D257" s="218" t="b">
        <v>1</v>
      </c>
      <c r="E257" s="219" t="b">
        <v>0</v>
      </c>
      <c r="F257" s="219"/>
      <c r="G257" s="173"/>
      <c r="H257" s="157" t="s">
        <v>6473</v>
      </c>
      <c r="I257" s="157">
        <f t="shared" si="3"/>
        <v>1321</v>
      </c>
      <c r="J257" s="157">
        <v>2025.0</v>
      </c>
    </row>
    <row r="258">
      <c r="A258" s="218">
        <f t="shared" si="2"/>
        <v>255</v>
      </c>
      <c r="B258" s="218" t="s">
        <v>201</v>
      </c>
      <c r="C258" s="219" t="str">
        <f t="shared" si="1"/>
        <v>HD/1322/2025</v>
      </c>
      <c r="D258" s="218" t="b">
        <v>1</v>
      </c>
      <c r="E258" s="219" t="b">
        <v>0</v>
      </c>
      <c r="F258" s="219"/>
      <c r="G258" s="173"/>
      <c r="H258" s="157" t="s">
        <v>6473</v>
      </c>
      <c r="I258" s="157">
        <f t="shared" si="3"/>
        <v>1322</v>
      </c>
      <c r="J258" s="157">
        <v>2025.0</v>
      </c>
    </row>
    <row r="259">
      <c r="A259" s="218">
        <f t="shared" si="2"/>
        <v>256</v>
      </c>
      <c r="B259" s="218" t="s">
        <v>201</v>
      </c>
      <c r="C259" s="219" t="str">
        <f t="shared" si="1"/>
        <v>HD/1323/2025</v>
      </c>
      <c r="D259" s="218" t="b">
        <v>1</v>
      </c>
      <c r="E259" s="219" t="b">
        <v>0</v>
      </c>
      <c r="F259" s="219"/>
      <c r="G259" s="173"/>
      <c r="H259" s="157" t="s">
        <v>6473</v>
      </c>
      <c r="I259" s="157">
        <f t="shared" si="3"/>
        <v>1323</v>
      </c>
      <c r="J259" s="157">
        <v>2025.0</v>
      </c>
    </row>
    <row r="260">
      <c r="A260" s="218">
        <f t="shared" si="2"/>
        <v>257</v>
      </c>
      <c r="B260" s="218" t="s">
        <v>201</v>
      </c>
      <c r="C260" s="219" t="str">
        <f t="shared" si="1"/>
        <v>HD/1324/2025</v>
      </c>
      <c r="D260" s="218" t="b">
        <v>1</v>
      </c>
      <c r="E260" s="219" t="b">
        <v>0</v>
      </c>
      <c r="F260" s="219"/>
      <c r="G260" s="173"/>
      <c r="H260" s="157" t="s">
        <v>6473</v>
      </c>
      <c r="I260" s="157">
        <f t="shared" si="3"/>
        <v>1324</v>
      </c>
      <c r="J260" s="157">
        <v>2025.0</v>
      </c>
    </row>
    <row r="261">
      <c r="A261" s="218">
        <f t="shared" si="2"/>
        <v>258</v>
      </c>
      <c r="B261" s="218" t="s">
        <v>201</v>
      </c>
      <c r="C261" s="219" t="str">
        <f t="shared" si="1"/>
        <v>HD/1325/2025</v>
      </c>
      <c r="D261" s="218" t="b">
        <v>1</v>
      </c>
      <c r="E261" s="219" t="b">
        <v>0</v>
      </c>
      <c r="F261" s="219"/>
      <c r="G261" s="173"/>
      <c r="H261" s="157" t="s">
        <v>6473</v>
      </c>
      <c r="I261" s="157">
        <f t="shared" si="3"/>
        <v>1325</v>
      </c>
      <c r="J261" s="157">
        <v>2025.0</v>
      </c>
    </row>
    <row r="262">
      <c r="A262" s="218">
        <f t="shared" si="2"/>
        <v>259</v>
      </c>
      <c r="B262" s="218" t="s">
        <v>201</v>
      </c>
      <c r="C262" s="219" t="str">
        <f t="shared" si="1"/>
        <v>HD/1326/2025</v>
      </c>
      <c r="D262" s="218" t="b">
        <v>1</v>
      </c>
      <c r="E262" s="219" t="b">
        <v>0</v>
      </c>
      <c r="F262" s="219"/>
      <c r="G262" s="173"/>
      <c r="H262" s="157" t="s">
        <v>6473</v>
      </c>
      <c r="I262" s="157">
        <f t="shared" si="3"/>
        <v>1326</v>
      </c>
      <c r="J262" s="157">
        <v>2025.0</v>
      </c>
    </row>
    <row r="263">
      <c r="A263" s="218">
        <f t="shared" si="2"/>
        <v>260</v>
      </c>
      <c r="B263" s="218" t="s">
        <v>201</v>
      </c>
      <c r="C263" s="219" t="str">
        <f t="shared" si="1"/>
        <v>HD/1327/2025</v>
      </c>
      <c r="D263" s="218" t="b">
        <v>1</v>
      </c>
      <c r="E263" s="219" t="b">
        <v>0</v>
      </c>
      <c r="F263" s="219"/>
      <c r="G263" s="173"/>
      <c r="H263" s="157" t="s">
        <v>6473</v>
      </c>
      <c r="I263" s="157">
        <f t="shared" si="3"/>
        <v>1327</v>
      </c>
      <c r="J263" s="157">
        <v>2025.0</v>
      </c>
    </row>
    <row r="264">
      <c r="A264" s="218">
        <f t="shared" si="2"/>
        <v>261</v>
      </c>
      <c r="B264" s="218" t="s">
        <v>201</v>
      </c>
      <c r="C264" s="219" t="str">
        <f t="shared" si="1"/>
        <v>HD/1328/2025</v>
      </c>
      <c r="D264" s="218" t="b">
        <v>1</v>
      </c>
      <c r="E264" s="219" t="b">
        <v>0</v>
      </c>
      <c r="F264" s="219"/>
      <c r="G264" s="173"/>
      <c r="H264" s="157" t="s">
        <v>6473</v>
      </c>
      <c r="I264" s="157">
        <f t="shared" si="3"/>
        <v>1328</v>
      </c>
      <c r="J264" s="157">
        <v>2025.0</v>
      </c>
    </row>
    <row r="265">
      <c r="A265" s="218">
        <f t="shared" si="2"/>
        <v>262</v>
      </c>
      <c r="B265" s="218" t="s">
        <v>201</v>
      </c>
      <c r="C265" s="219" t="str">
        <f t="shared" si="1"/>
        <v>HD/1329/2025</v>
      </c>
      <c r="D265" s="218" t="b">
        <v>1</v>
      </c>
      <c r="E265" s="219" t="b">
        <v>0</v>
      </c>
      <c r="F265" s="219"/>
      <c r="G265" s="173"/>
      <c r="H265" s="157" t="s">
        <v>6473</v>
      </c>
      <c r="I265" s="157">
        <f t="shared" si="3"/>
        <v>1329</v>
      </c>
      <c r="J265" s="157">
        <v>2025.0</v>
      </c>
    </row>
    <row r="266">
      <c r="A266" s="218">
        <f t="shared" si="2"/>
        <v>263</v>
      </c>
      <c r="B266" s="218" t="s">
        <v>201</v>
      </c>
      <c r="C266" s="219" t="str">
        <f t="shared" si="1"/>
        <v>HD/1330/2025</v>
      </c>
      <c r="D266" s="218" t="b">
        <v>1</v>
      </c>
      <c r="E266" s="219" t="b">
        <v>0</v>
      </c>
      <c r="F266" s="219"/>
      <c r="G266" s="173"/>
      <c r="H266" s="157" t="s">
        <v>6473</v>
      </c>
      <c r="I266" s="157">
        <f t="shared" si="3"/>
        <v>1330</v>
      </c>
      <c r="J266" s="157">
        <v>2025.0</v>
      </c>
    </row>
    <row r="267">
      <c r="A267" s="218">
        <f t="shared" si="2"/>
        <v>264</v>
      </c>
      <c r="B267" s="218" t="s">
        <v>201</v>
      </c>
      <c r="C267" s="219" t="str">
        <f t="shared" si="1"/>
        <v>HD/1331/2025</v>
      </c>
      <c r="D267" s="218" t="b">
        <v>1</v>
      </c>
      <c r="E267" s="219" t="b">
        <v>0</v>
      </c>
      <c r="F267" s="219"/>
      <c r="G267" s="173"/>
      <c r="H267" s="157" t="s">
        <v>6473</v>
      </c>
      <c r="I267" s="157">
        <f t="shared" si="3"/>
        <v>1331</v>
      </c>
      <c r="J267" s="157">
        <v>2025.0</v>
      </c>
    </row>
    <row r="268">
      <c r="A268" s="218">
        <f t="shared" si="2"/>
        <v>265</v>
      </c>
      <c r="B268" s="218" t="s">
        <v>201</v>
      </c>
      <c r="C268" s="219" t="str">
        <f t="shared" si="1"/>
        <v>HD/1332/2025</v>
      </c>
      <c r="D268" s="218" t="b">
        <v>1</v>
      </c>
      <c r="E268" s="219" t="b">
        <v>0</v>
      </c>
      <c r="F268" s="219"/>
      <c r="G268" s="173"/>
      <c r="H268" s="157" t="s">
        <v>6473</v>
      </c>
      <c r="I268" s="157">
        <f t="shared" si="3"/>
        <v>1332</v>
      </c>
      <c r="J268" s="157">
        <v>2025.0</v>
      </c>
    </row>
    <row r="269">
      <c r="A269" s="218">
        <f t="shared" si="2"/>
        <v>266</v>
      </c>
      <c r="B269" s="218" t="s">
        <v>201</v>
      </c>
      <c r="C269" s="219" t="str">
        <f t="shared" si="1"/>
        <v>HD/1333/2025</v>
      </c>
      <c r="D269" s="218" t="b">
        <v>1</v>
      </c>
      <c r="E269" s="219" t="b">
        <v>0</v>
      </c>
      <c r="F269" s="219"/>
      <c r="G269" s="173"/>
      <c r="H269" s="157" t="s">
        <v>6473</v>
      </c>
      <c r="I269" s="157">
        <f t="shared" si="3"/>
        <v>1333</v>
      </c>
      <c r="J269" s="157">
        <v>2025.0</v>
      </c>
    </row>
    <row r="270">
      <c r="A270" s="218">
        <f t="shared" si="2"/>
        <v>267</v>
      </c>
      <c r="B270" s="218" t="s">
        <v>201</v>
      </c>
      <c r="C270" s="219" t="str">
        <f t="shared" si="1"/>
        <v>HD/1334/2025</v>
      </c>
      <c r="D270" s="218" t="b">
        <v>1</v>
      </c>
      <c r="E270" s="219" t="b">
        <v>0</v>
      </c>
      <c r="F270" s="219"/>
      <c r="G270" s="173"/>
      <c r="H270" s="157" t="s">
        <v>6473</v>
      </c>
      <c r="I270" s="157">
        <f t="shared" si="3"/>
        <v>1334</v>
      </c>
      <c r="J270" s="157">
        <v>2025.0</v>
      </c>
    </row>
    <row r="271">
      <c r="A271" s="218">
        <f t="shared" si="2"/>
        <v>268</v>
      </c>
      <c r="B271" s="218" t="s">
        <v>201</v>
      </c>
      <c r="C271" s="219" t="str">
        <f t="shared" si="1"/>
        <v>HD/1335/2025</v>
      </c>
      <c r="D271" s="218" t="b">
        <v>1</v>
      </c>
      <c r="E271" s="219" t="b">
        <v>0</v>
      </c>
      <c r="F271" s="219"/>
      <c r="G271" s="173"/>
      <c r="H271" s="157" t="s">
        <v>6473</v>
      </c>
      <c r="I271" s="157">
        <f t="shared" si="3"/>
        <v>1335</v>
      </c>
      <c r="J271" s="157">
        <v>2025.0</v>
      </c>
    </row>
    <row r="272">
      <c r="A272" s="218">
        <f t="shared" si="2"/>
        <v>269</v>
      </c>
      <c r="B272" s="218" t="s">
        <v>201</v>
      </c>
      <c r="C272" s="219" t="str">
        <f t="shared" si="1"/>
        <v>HD/1336/2025</v>
      </c>
      <c r="D272" s="218" t="b">
        <v>1</v>
      </c>
      <c r="E272" s="219" t="b">
        <v>0</v>
      </c>
      <c r="F272" s="219"/>
      <c r="G272" s="173"/>
      <c r="H272" s="157" t="s">
        <v>6473</v>
      </c>
      <c r="I272" s="157">
        <f t="shared" si="3"/>
        <v>1336</v>
      </c>
      <c r="J272" s="157">
        <v>2025.0</v>
      </c>
    </row>
    <row r="273">
      <c r="A273" s="218">
        <f t="shared" si="2"/>
        <v>270</v>
      </c>
      <c r="B273" s="218" t="s">
        <v>201</v>
      </c>
      <c r="C273" s="219" t="str">
        <f t="shared" si="1"/>
        <v>HD/1337/2025</v>
      </c>
      <c r="D273" s="218" t="b">
        <v>1</v>
      </c>
      <c r="E273" s="219" t="b">
        <v>0</v>
      </c>
      <c r="F273" s="219"/>
      <c r="G273" s="173"/>
      <c r="H273" s="157" t="s">
        <v>6473</v>
      </c>
      <c r="I273" s="157">
        <f t="shared" si="3"/>
        <v>1337</v>
      </c>
      <c r="J273" s="157">
        <v>2025.0</v>
      </c>
    </row>
    <row r="274">
      <c r="A274" s="218">
        <f t="shared" si="2"/>
        <v>271</v>
      </c>
      <c r="B274" s="218" t="s">
        <v>201</v>
      </c>
      <c r="C274" s="219" t="str">
        <f t="shared" si="1"/>
        <v>HD/1338/2025</v>
      </c>
      <c r="D274" s="218" t="b">
        <v>1</v>
      </c>
      <c r="E274" s="219" t="b">
        <v>0</v>
      </c>
      <c r="F274" s="219"/>
      <c r="G274" s="173"/>
      <c r="H274" s="157" t="s">
        <v>6473</v>
      </c>
      <c r="I274" s="157">
        <f t="shared" si="3"/>
        <v>1338</v>
      </c>
      <c r="J274" s="157">
        <v>2025.0</v>
      </c>
    </row>
    <row r="275">
      <c r="A275" s="218">
        <f t="shared" si="2"/>
        <v>272</v>
      </c>
      <c r="B275" s="218" t="s">
        <v>201</v>
      </c>
      <c r="C275" s="219" t="str">
        <f t="shared" si="1"/>
        <v>HD/1339/2025</v>
      </c>
      <c r="D275" s="218" t="b">
        <v>1</v>
      </c>
      <c r="E275" s="219" t="b">
        <v>0</v>
      </c>
      <c r="F275" s="219"/>
      <c r="G275" s="173"/>
      <c r="H275" s="157" t="s">
        <v>6473</v>
      </c>
      <c r="I275" s="157">
        <f t="shared" si="3"/>
        <v>1339</v>
      </c>
      <c r="J275" s="157">
        <v>2025.0</v>
      </c>
    </row>
    <row r="276">
      <c r="A276" s="218">
        <f t="shared" si="2"/>
        <v>273</v>
      </c>
      <c r="B276" s="218" t="s">
        <v>201</v>
      </c>
      <c r="C276" s="219" t="str">
        <f t="shared" si="1"/>
        <v>HD/1340/2025</v>
      </c>
      <c r="D276" s="218" t="b">
        <v>1</v>
      </c>
      <c r="E276" s="219" t="b">
        <v>0</v>
      </c>
      <c r="F276" s="219"/>
      <c r="G276" s="173"/>
      <c r="H276" s="157" t="s">
        <v>6473</v>
      </c>
      <c r="I276" s="157">
        <f t="shared" si="3"/>
        <v>1340</v>
      </c>
      <c r="J276" s="157">
        <v>2025.0</v>
      </c>
    </row>
    <row r="277">
      <c r="A277" s="218">
        <f t="shared" si="2"/>
        <v>274</v>
      </c>
      <c r="B277" s="218" t="s">
        <v>201</v>
      </c>
      <c r="C277" s="219" t="str">
        <f t="shared" si="1"/>
        <v>HD/1341/2025</v>
      </c>
      <c r="D277" s="218" t="b">
        <v>1</v>
      </c>
      <c r="E277" s="219" t="b">
        <v>0</v>
      </c>
      <c r="F277" s="219"/>
      <c r="G277" s="173"/>
      <c r="H277" s="157" t="s">
        <v>6473</v>
      </c>
      <c r="I277" s="157">
        <f t="shared" si="3"/>
        <v>1341</v>
      </c>
      <c r="J277" s="157">
        <v>2025.0</v>
      </c>
    </row>
    <row r="278">
      <c r="A278" s="218">
        <f t="shared" si="2"/>
        <v>275</v>
      </c>
      <c r="B278" s="218" t="s">
        <v>201</v>
      </c>
      <c r="C278" s="219" t="str">
        <f t="shared" si="1"/>
        <v>HD/1342/2025</v>
      </c>
      <c r="D278" s="218" t="b">
        <v>1</v>
      </c>
      <c r="E278" s="219" t="b">
        <v>0</v>
      </c>
      <c r="F278" s="219"/>
      <c r="G278" s="173"/>
      <c r="H278" s="157" t="s">
        <v>6473</v>
      </c>
      <c r="I278" s="157">
        <f t="shared" si="3"/>
        <v>1342</v>
      </c>
      <c r="J278" s="157">
        <v>2025.0</v>
      </c>
    </row>
    <row r="279">
      <c r="A279" s="218">
        <f t="shared" si="2"/>
        <v>276</v>
      </c>
      <c r="B279" s="218" t="s">
        <v>201</v>
      </c>
      <c r="C279" s="219" t="str">
        <f t="shared" si="1"/>
        <v>HD/1343/2025</v>
      </c>
      <c r="D279" s="218" t="b">
        <v>1</v>
      </c>
      <c r="E279" s="219" t="b">
        <v>0</v>
      </c>
      <c r="F279" s="219"/>
      <c r="G279" s="173"/>
      <c r="H279" s="157" t="s">
        <v>6473</v>
      </c>
      <c r="I279" s="157">
        <f t="shared" si="3"/>
        <v>1343</v>
      </c>
      <c r="J279" s="157">
        <v>2025.0</v>
      </c>
    </row>
    <row r="280">
      <c r="A280" s="218">
        <f t="shared" si="2"/>
        <v>277</v>
      </c>
      <c r="B280" s="218" t="s">
        <v>201</v>
      </c>
      <c r="C280" s="219" t="str">
        <f t="shared" si="1"/>
        <v>HD/1344/2025</v>
      </c>
      <c r="D280" s="218" t="b">
        <v>1</v>
      </c>
      <c r="E280" s="219" t="b">
        <v>0</v>
      </c>
      <c r="F280" s="219"/>
      <c r="G280" s="173"/>
      <c r="H280" s="157" t="s">
        <v>6473</v>
      </c>
      <c r="I280" s="157">
        <f t="shared" si="3"/>
        <v>1344</v>
      </c>
      <c r="J280" s="157">
        <v>2025.0</v>
      </c>
    </row>
    <row r="281">
      <c r="A281" s="218">
        <f t="shared" si="2"/>
        <v>278</v>
      </c>
      <c r="B281" s="218" t="s">
        <v>201</v>
      </c>
      <c r="C281" s="219" t="str">
        <f t="shared" si="1"/>
        <v>HD/1345/2025</v>
      </c>
      <c r="D281" s="218" t="b">
        <v>1</v>
      </c>
      <c r="E281" s="219" t="b">
        <v>0</v>
      </c>
      <c r="F281" s="219"/>
      <c r="G281" s="173"/>
      <c r="H281" s="157" t="s">
        <v>6473</v>
      </c>
      <c r="I281" s="157">
        <f t="shared" si="3"/>
        <v>1345</v>
      </c>
      <c r="J281" s="157">
        <v>2025.0</v>
      </c>
    </row>
    <row r="282">
      <c r="A282" s="218">
        <f t="shared" si="2"/>
        <v>279</v>
      </c>
      <c r="B282" s="218" t="s">
        <v>201</v>
      </c>
      <c r="C282" s="219" t="str">
        <f t="shared" si="1"/>
        <v>HD/1346/2025</v>
      </c>
      <c r="D282" s="218" t="b">
        <v>1</v>
      </c>
      <c r="E282" s="219" t="b">
        <v>0</v>
      </c>
      <c r="F282" s="219"/>
      <c r="G282" s="173"/>
      <c r="H282" s="157" t="s">
        <v>6473</v>
      </c>
      <c r="I282" s="157">
        <f t="shared" si="3"/>
        <v>1346</v>
      </c>
      <c r="J282" s="157">
        <v>2025.0</v>
      </c>
    </row>
    <row r="283">
      <c r="A283" s="218">
        <f t="shared" si="2"/>
        <v>280</v>
      </c>
      <c r="B283" s="218" t="s">
        <v>201</v>
      </c>
      <c r="C283" s="219" t="str">
        <f t="shared" si="1"/>
        <v>HD/1347/2025</v>
      </c>
      <c r="D283" s="218" t="b">
        <v>1</v>
      </c>
      <c r="E283" s="219" t="b">
        <v>0</v>
      </c>
      <c r="F283" s="219"/>
      <c r="G283" s="173"/>
      <c r="H283" s="157" t="s">
        <v>6473</v>
      </c>
      <c r="I283" s="157">
        <f t="shared" si="3"/>
        <v>1347</v>
      </c>
      <c r="J283" s="157">
        <v>2025.0</v>
      </c>
    </row>
    <row r="284">
      <c r="A284" s="218">
        <f t="shared" si="2"/>
        <v>281</v>
      </c>
      <c r="B284" s="218" t="s">
        <v>201</v>
      </c>
      <c r="C284" s="219" t="str">
        <f t="shared" si="1"/>
        <v>HD/1348/2025</v>
      </c>
      <c r="D284" s="218" t="b">
        <v>1</v>
      </c>
      <c r="E284" s="219" t="b">
        <v>0</v>
      </c>
      <c r="F284" s="219"/>
      <c r="G284" s="173"/>
      <c r="H284" s="157" t="s">
        <v>6473</v>
      </c>
      <c r="I284" s="157">
        <f t="shared" si="3"/>
        <v>1348</v>
      </c>
      <c r="J284" s="157">
        <v>2025.0</v>
      </c>
    </row>
    <row r="285">
      <c r="A285" s="218">
        <f t="shared" si="2"/>
        <v>282</v>
      </c>
      <c r="B285" s="218" t="s">
        <v>201</v>
      </c>
      <c r="C285" s="219" t="str">
        <f t="shared" si="1"/>
        <v>HD/1349/2025</v>
      </c>
      <c r="D285" s="218" t="b">
        <v>1</v>
      </c>
      <c r="E285" s="219" t="b">
        <v>0</v>
      </c>
      <c r="F285" s="219"/>
      <c r="G285" s="173"/>
      <c r="H285" s="157" t="s">
        <v>6473</v>
      </c>
      <c r="I285" s="157">
        <f t="shared" si="3"/>
        <v>1349</v>
      </c>
      <c r="J285" s="157">
        <v>2025.0</v>
      </c>
    </row>
    <row r="286">
      <c r="A286" s="218">
        <f t="shared" si="2"/>
        <v>283</v>
      </c>
      <c r="B286" s="218" t="s">
        <v>201</v>
      </c>
      <c r="C286" s="219" t="str">
        <f t="shared" si="1"/>
        <v>HD/1350/2025</v>
      </c>
      <c r="D286" s="218" t="b">
        <v>1</v>
      </c>
      <c r="E286" s="219" t="b">
        <v>0</v>
      </c>
      <c r="F286" s="219"/>
      <c r="G286" s="173"/>
      <c r="H286" s="157" t="s">
        <v>6473</v>
      </c>
      <c r="I286" s="157">
        <f t="shared" si="3"/>
        <v>1350</v>
      </c>
      <c r="J286" s="157">
        <v>2025.0</v>
      </c>
    </row>
    <row r="287">
      <c r="A287" s="218">
        <f t="shared" si="2"/>
        <v>284</v>
      </c>
      <c r="B287" s="218" t="s">
        <v>201</v>
      </c>
      <c r="C287" s="219" t="str">
        <f t="shared" si="1"/>
        <v>HD/1351/2025</v>
      </c>
      <c r="D287" s="218" t="b">
        <v>1</v>
      </c>
      <c r="E287" s="219" t="b">
        <v>0</v>
      </c>
      <c r="F287" s="219"/>
      <c r="G287" s="173"/>
      <c r="H287" s="157" t="s">
        <v>6473</v>
      </c>
      <c r="I287" s="157">
        <f t="shared" si="3"/>
        <v>1351</v>
      </c>
      <c r="J287" s="157">
        <v>2025.0</v>
      </c>
    </row>
    <row r="288">
      <c r="A288" s="218">
        <f t="shared" si="2"/>
        <v>285</v>
      </c>
      <c r="B288" s="218" t="s">
        <v>201</v>
      </c>
      <c r="C288" s="219" t="str">
        <f t="shared" si="1"/>
        <v>HD/1352/2025</v>
      </c>
      <c r="D288" s="218" t="b">
        <v>1</v>
      </c>
      <c r="E288" s="219" t="b">
        <v>0</v>
      </c>
      <c r="F288" s="219"/>
      <c r="G288" s="173"/>
      <c r="H288" s="157" t="s">
        <v>6473</v>
      </c>
      <c r="I288" s="157">
        <f t="shared" si="3"/>
        <v>1352</v>
      </c>
      <c r="J288" s="157">
        <v>2025.0</v>
      </c>
    </row>
    <row r="289">
      <c r="A289" s="218">
        <f t="shared" si="2"/>
        <v>286</v>
      </c>
      <c r="B289" s="218" t="s">
        <v>201</v>
      </c>
      <c r="C289" s="219" t="str">
        <f t="shared" si="1"/>
        <v>HD/1353/2025</v>
      </c>
      <c r="D289" s="218" t="b">
        <v>1</v>
      </c>
      <c r="E289" s="219" t="b">
        <v>0</v>
      </c>
      <c r="F289" s="219"/>
      <c r="G289" s="173"/>
      <c r="H289" s="157" t="s">
        <v>6473</v>
      </c>
      <c r="I289" s="157">
        <f t="shared" si="3"/>
        <v>1353</v>
      </c>
      <c r="J289" s="157">
        <v>2025.0</v>
      </c>
    </row>
    <row r="290">
      <c r="A290" s="218">
        <f t="shared" si="2"/>
        <v>287</v>
      </c>
      <c r="B290" s="218" t="s">
        <v>201</v>
      </c>
      <c r="C290" s="219" t="str">
        <f t="shared" si="1"/>
        <v>HD/1354/2025</v>
      </c>
      <c r="D290" s="218" t="b">
        <v>1</v>
      </c>
      <c r="E290" s="219" t="b">
        <v>0</v>
      </c>
      <c r="F290" s="219"/>
      <c r="G290" s="173"/>
      <c r="H290" s="157" t="s">
        <v>6473</v>
      </c>
      <c r="I290" s="157">
        <f t="shared" si="3"/>
        <v>1354</v>
      </c>
      <c r="J290" s="157">
        <v>2025.0</v>
      </c>
    </row>
    <row r="291">
      <c r="A291" s="218">
        <f t="shared" si="2"/>
        <v>288</v>
      </c>
      <c r="B291" s="218" t="s">
        <v>201</v>
      </c>
      <c r="C291" s="219" t="str">
        <f t="shared" si="1"/>
        <v>HD/1355/2025</v>
      </c>
      <c r="D291" s="218" t="b">
        <v>1</v>
      </c>
      <c r="E291" s="219" t="b">
        <v>0</v>
      </c>
      <c r="F291" s="219"/>
      <c r="G291" s="173"/>
      <c r="H291" s="157" t="s">
        <v>6473</v>
      </c>
      <c r="I291" s="157">
        <f t="shared" si="3"/>
        <v>1355</v>
      </c>
      <c r="J291" s="157">
        <v>2025.0</v>
      </c>
    </row>
    <row r="292">
      <c r="A292" s="218">
        <f t="shared" si="2"/>
        <v>289</v>
      </c>
      <c r="B292" s="218" t="s">
        <v>201</v>
      </c>
      <c r="C292" s="219" t="str">
        <f t="shared" si="1"/>
        <v>HD/1356/2025</v>
      </c>
      <c r="D292" s="218" t="b">
        <v>1</v>
      </c>
      <c r="E292" s="219" t="b">
        <v>0</v>
      </c>
      <c r="F292" s="219"/>
      <c r="G292" s="173"/>
      <c r="H292" s="157" t="s">
        <v>6473</v>
      </c>
      <c r="I292" s="157">
        <f t="shared" si="3"/>
        <v>1356</v>
      </c>
      <c r="J292" s="157">
        <v>2025.0</v>
      </c>
    </row>
    <row r="293">
      <c r="A293" s="218">
        <f t="shared" si="2"/>
        <v>290</v>
      </c>
      <c r="B293" s="218" t="s">
        <v>201</v>
      </c>
      <c r="C293" s="219" t="str">
        <f t="shared" si="1"/>
        <v>HD/1357/2025</v>
      </c>
      <c r="D293" s="218" t="b">
        <v>1</v>
      </c>
      <c r="E293" s="219" t="b">
        <v>0</v>
      </c>
      <c r="F293" s="219"/>
      <c r="G293" s="173"/>
      <c r="H293" s="157" t="s">
        <v>6473</v>
      </c>
      <c r="I293" s="157">
        <f t="shared" si="3"/>
        <v>1357</v>
      </c>
      <c r="J293" s="157">
        <v>2025.0</v>
      </c>
    </row>
    <row r="294">
      <c r="A294" s="218">
        <f t="shared" si="2"/>
        <v>291</v>
      </c>
      <c r="B294" s="218" t="s">
        <v>201</v>
      </c>
      <c r="C294" s="219" t="str">
        <f t="shared" si="1"/>
        <v>HD/1358/2025</v>
      </c>
      <c r="D294" s="218" t="b">
        <v>1</v>
      </c>
      <c r="E294" s="219" t="b">
        <v>0</v>
      </c>
      <c r="F294" s="219"/>
      <c r="G294" s="173"/>
      <c r="H294" s="157" t="s">
        <v>6473</v>
      </c>
      <c r="I294" s="157">
        <f t="shared" si="3"/>
        <v>1358</v>
      </c>
      <c r="J294" s="157">
        <v>2025.0</v>
      </c>
    </row>
    <row r="295">
      <c r="A295" s="218">
        <f t="shared" si="2"/>
        <v>292</v>
      </c>
      <c r="B295" s="218" t="s">
        <v>201</v>
      </c>
      <c r="C295" s="219" t="str">
        <f t="shared" si="1"/>
        <v>HD/1359/2025</v>
      </c>
      <c r="D295" s="218" t="b">
        <v>1</v>
      </c>
      <c r="E295" s="219" t="b">
        <v>0</v>
      </c>
      <c r="F295" s="219"/>
      <c r="G295" s="173"/>
      <c r="H295" s="157" t="s">
        <v>6473</v>
      </c>
      <c r="I295" s="157">
        <f t="shared" si="3"/>
        <v>1359</v>
      </c>
      <c r="J295" s="157">
        <v>2025.0</v>
      </c>
    </row>
    <row r="296">
      <c r="A296" s="218">
        <f t="shared" si="2"/>
        <v>293</v>
      </c>
      <c r="B296" s="218" t="s">
        <v>201</v>
      </c>
      <c r="C296" s="219" t="str">
        <f t="shared" si="1"/>
        <v>HD/1360/2025</v>
      </c>
      <c r="D296" s="218" t="b">
        <v>1</v>
      </c>
      <c r="E296" s="219" t="b">
        <v>0</v>
      </c>
      <c r="F296" s="219"/>
      <c r="G296" s="173"/>
      <c r="H296" s="157" t="s">
        <v>6473</v>
      </c>
      <c r="I296" s="157">
        <f t="shared" si="3"/>
        <v>1360</v>
      </c>
      <c r="J296" s="157">
        <v>2025.0</v>
      </c>
    </row>
    <row r="297">
      <c r="A297" s="218">
        <f t="shared" si="2"/>
        <v>294</v>
      </c>
      <c r="B297" s="218" t="s">
        <v>201</v>
      </c>
      <c r="C297" s="219" t="str">
        <f t="shared" si="1"/>
        <v>HD/1361/2025</v>
      </c>
      <c r="D297" s="218" t="b">
        <v>1</v>
      </c>
      <c r="E297" s="219" t="b">
        <v>0</v>
      </c>
      <c r="F297" s="219"/>
      <c r="G297" s="173"/>
      <c r="H297" s="157" t="s">
        <v>6473</v>
      </c>
      <c r="I297" s="157">
        <f t="shared" si="3"/>
        <v>1361</v>
      </c>
      <c r="J297" s="157">
        <v>2025.0</v>
      </c>
    </row>
    <row r="298">
      <c r="A298" s="218">
        <f t="shared" si="2"/>
        <v>295</v>
      </c>
      <c r="B298" s="218" t="s">
        <v>201</v>
      </c>
      <c r="C298" s="219" t="str">
        <f t="shared" si="1"/>
        <v>HD/1362/2025</v>
      </c>
      <c r="D298" s="218" t="b">
        <v>1</v>
      </c>
      <c r="E298" s="219" t="b">
        <v>0</v>
      </c>
      <c r="F298" s="219"/>
      <c r="G298" s="173"/>
      <c r="H298" s="157" t="s">
        <v>6473</v>
      </c>
      <c r="I298" s="157">
        <f t="shared" si="3"/>
        <v>1362</v>
      </c>
      <c r="J298" s="157">
        <v>2025.0</v>
      </c>
    </row>
    <row r="299">
      <c r="A299" s="218">
        <f t="shared" si="2"/>
        <v>296</v>
      </c>
      <c r="B299" s="218" t="s">
        <v>201</v>
      </c>
      <c r="C299" s="219" t="str">
        <f t="shared" si="1"/>
        <v>HD/1363/2025</v>
      </c>
      <c r="D299" s="218" t="b">
        <v>1</v>
      </c>
      <c r="E299" s="219" t="b">
        <v>0</v>
      </c>
      <c r="F299" s="219"/>
      <c r="G299" s="173"/>
      <c r="H299" s="157" t="s">
        <v>6473</v>
      </c>
      <c r="I299" s="157">
        <f t="shared" si="3"/>
        <v>1363</v>
      </c>
      <c r="J299" s="157">
        <v>2025.0</v>
      </c>
    </row>
    <row r="300">
      <c r="A300" s="218">
        <f t="shared" si="2"/>
        <v>297</v>
      </c>
      <c r="B300" s="218" t="s">
        <v>201</v>
      </c>
      <c r="C300" s="219" t="str">
        <f t="shared" si="1"/>
        <v>HD/1364/2025</v>
      </c>
      <c r="D300" s="218" t="b">
        <v>1</v>
      </c>
      <c r="E300" s="219" t="b">
        <v>0</v>
      </c>
      <c r="F300" s="219"/>
      <c r="G300" s="173"/>
      <c r="H300" s="157" t="s">
        <v>6473</v>
      </c>
      <c r="I300" s="157">
        <f t="shared" si="3"/>
        <v>1364</v>
      </c>
      <c r="J300" s="157">
        <v>2025.0</v>
      </c>
    </row>
    <row r="301">
      <c r="A301" s="218">
        <f t="shared" si="2"/>
        <v>298</v>
      </c>
      <c r="B301" s="218" t="s">
        <v>201</v>
      </c>
      <c r="C301" s="219" t="str">
        <f t="shared" si="1"/>
        <v>HD/1365/2025</v>
      </c>
      <c r="D301" s="218" t="b">
        <v>1</v>
      </c>
      <c r="E301" s="219" t="b">
        <v>0</v>
      </c>
      <c r="F301" s="219"/>
      <c r="G301" s="173"/>
      <c r="H301" s="157" t="s">
        <v>6473</v>
      </c>
      <c r="I301" s="157">
        <f t="shared" si="3"/>
        <v>1365</v>
      </c>
      <c r="J301" s="157">
        <v>2025.0</v>
      </c>
    </row>
    <row r="302">
      <c r="A302" s="218">
        <f t="shared" si="2"/>
        <v>299</v>
      </c>
      <c r="B302" s="218" t="s">
        <v>201</v>
      </c>
      <c r="C302" s="219" t="str">
        <f t="shared" si="1"/>
        <v>HD/1366/2025</v>
      </c>
      <c r="D302" s="218" t="b">
        <v>1</v>
      </c>
      <c r="E302" s="219" t="b">
        <v>0</v>
      </c>
      <c r="F302" s="219"/>
      <c r="G302" s="173"/>
      <c r="H302" s="157" t="s">
        <v>6473</v>
      </c>
      <c r="I302" s="157">
        <f t="shared" si="3"/>
        <v>1366</v>
      </c>
      <c r="J302" s="157">
        <v>2025.0</v>
      </c>
    </row>
    <row r="303">
      <c r="A303" s="218">
        <f t="shared" si="2"/>
        <v>300</v>
      </c>
      <c r="B303" s="218" t="s">
        <v>201</v>
      </c>
      <c r="C303" s="219" t="str">
        <f t="shared" si="1"/>
        <v>HD/1367/2025</v>
      </c>
      <c r="D303" s="218" t="b">
        <v>1</v>
      </c>
      <c r="E303" s="219" t="b">
        <v>0</v>
      </c>
      <c r="F303" s="219"/>
      <c r="G303" s="173"/>
      <c r="H303" s="157" t="s">
        <v>6473</v>
      </c>
      <c r="I303" s="157">
        <f t="shared" si="3"/>
        <v>1367</v>
      </c>
      <c r="J303" s="157">
        <v>2025.0</v>
      </c>
    </row>
    <row r="304">
      <c r="A304" s="218">
        <f t="shared" si="2"/>
        <v>301</v>
      </c>
      <c r="B304" s="218" t="s">
        <v>201</v>
      </c>
      <c r="C304" s="219" t="str">
        <f t="shared" si="1"/>
        <v>HD/1368/2025</v>
      </c>
      <c r="D304" s="218" t="b">
        <v>1</v>
      </c>
      <c r="E304" s="219" t="b">
        <v>0</v>
      </c>
      <c r="F304" s="219"/>
      <c r="G304" s="173"/>
      <c r="H304" s="157" t="s">
        <v>6473</v>
      </c>
      <c r="I304" s="157">
        <f t="shared" si="3"/>
        <v>1368</v>
      </c>
      <c r="J304" s="157">
        <v>2025.0</v>
      </c>
    </row>
    <row r="305">
      <c r="A305" s="218">
        <f t="shared" si="2"/>
        <v>302</v>
      </c>
      <c r="B305" s="218" t="s">
        <v>201</v>
      </c>
      <c r="C305" s="219" t="str">
        <f t="shared" si="1"/>
        <v>HD/1369/2025</v>
      </c>
      <c r="D305" s="218" t="b">
        <v>1</v>
      </c>
      <c r="E305" s="219" t="b">
        <v>0</v>
      </c>
      <c r="F305" s="219"/>
      <c r="G305" s="173"/>
      <c r="H305" s="157" t="s">
        <v>6473</v>
      </c>
      <c r="I305" s="157">
        <f t="shared" si="3"/>
        <v>1369</v>
      </c>
      <c r="J305" s="157">
        <v>2025.0</v>
      </c>
    </row>
    <row r="306">
      <c r="A306" s="218">
        <f t="shared" si="2"/>
        <v>303</v>
      </c>
      <c r="B306" s="218" t="s">
        <v>201</v>
      </c>
      <c r="C306" s="219" t="str">
        <f t="shared" si="1"/>
        <v>HD/1370/2025</v>
      </c>
      <c r="D306" s="218" t="b">
        <v>1</v>
      </c>
      <c r="E306" s="219" t="b">
        <v>0</v>
      </c>
      <c r="F306" s="219"/>
      <c r="G306" s="173"/>
      <c r="H306" s="157" t="s">
        <v>6473</v>
      </c>
      <c r="I306" s="157">
        <f t="shared" si="3"/>
        <v>1370</v>
      </c>
      <c r="J306" s="157">
        <v>2025.0</v>
      </c>
    </row>
    <row r="307">
      <c r="A307" s="218">
        <f t="shared" si="2"/>
        <v>304</v>
      </c>
      <c r="B307" s="218" t="s">
        <v>201</v>
      </c>
      <c r="C307" s="219" t="str">
        <f t="shared" si="1"/>
        <v>HD/1371/2025</v>
      </c>
      <c r="D307" s="218" t="b">
        <v>1</v>
      </c>
      <c r="E307" s="219" t="b">
        <v>0</v>
      </c>
      <c r="F307" s="219"/>
      <c r="G307" s="173"/>
      <c r="H307" s="157" t="s">
        <v>6473</v>
      </c>
      <c r="I307" s="157">
        <f t="shared" si="3"/>
        <v>1371</v>
      </c>
      <c r="J307" s="157">
        <v>2025.0</v>
      </c>
    </row>
    <row r="308">
      <c r="A308" s="218">
        <f t="shared" si="2"/>
        <v>305</v>
      </c>
      <c r="B308" s="218" t="s">
        <v>201</v>
      </c>
      <c r="C308" s="219" t="str">
        <f t="shared" si="1"/>
        <v>HD/1372/2025</v>
      </c>
      <c r="D308" s="218" t="b">
        <v>1</v>
      </c>
      <c r="E308" s="219" t="b">
        <v>0</v>
      </c>
      <c r="F308" s="219"/>
      <c r="G308" s="173"/>
      <c r="H308" s="157" t="s">
        <v>6473</v>
      </c>
      <c r="I308" s="157">
        <f t="shared" si="3"/>
        <v>1372</v>
      </c>
      <c r="J308" s="157">
        <v>2025.0</v>
      </c>
    </row>
    <row r="309">
      <c r="A309" s="218">
        <f t="shared" si="2"/>
        <v>306</v>
      </c>
      <c r="B309" s="218" t="s">
        <v>201</v>
      </c>
      <c r="C309" s="219" t="str">
        <f t="shared" si="1"/>
        <v>HD/1373/2025</v>
      </c>
      <c r="D309" s="218" t="b">
        <v>1</v>
      </c>
      <c r="E309" s="219" t="b">
        <v>0</v>
      </c>
      <c r="F309" s="219"/>
      <c r="G309" s="173"/>
      <c r="H309" s="157" t="s">
        <v>6473</v>
      </c>
      <c r="I309" s="157">
        <f t="shared" si="3"/>
        <v>1373</v>
      </c>
      <c r="J309" s="157">
        <v>2025.0</v>
      </c>
    </row>
    <row r="310">
      <c r="A310" s="218">
        <f t="shared" si="2"/>
        <v>307</v>
      </c>
      <c r="B310" s="218" t="s">
        <v>201</v>
      </c>
      <c r="C310" s="219" t="str">
        <f t="shared" si="1"/>
        <v>HD/1374/2025</v>
      </c>
      <c r="D310" s="218" t="b">
        <v>1</v>
      </c>
      <c r="E310" s="219" t="b">
        <v>0</v>
      </c>
      <c r="F310" s="219"/>
      <c r="G310" s="173"/>
      <c r="H310" s="157" t="s">
        <v>6473</v>
      </c>
      <c r="I310" s="157">
        <f t="shared" si="3"/>
        <v>1374</v>
      </c>
      <c r="J310" s="157">
        <v>2025.0</v>
      </c>
    </row>
    <row r="311">
      <c r="A311" s="218">
        <f t="shared" si="2"/>
        <v>308</v>
      </c>
      <c r="B311" s="218" t="s">
        <v>201</v>
      </c>
      <c r="C311" s="219" t="str">
        <f t="shared" si="1"/>
        <v>HD/1375/2025</v>
      </c>
      <c r="D311" s="218" t="b">
        <v>1</v>
      </c>
      <c r="E311" s="219" t="b">
        <v>0</v>
      </c>
      <c r="F311" s="219"/>
      <c r="G311" s="173"/>
      <c r="H311" s="157" t="s">
        <v>6473</v>
      </c>
      <c r="I311" s="157">
        <f t="shared" si="3"/>
        <v>1375</v>
      </c>
      <c r="J311" s="157">
        <v>2025.0</v>
      </c>
    </row>
    <row r="312">
      <c r="A312" s="218">
        <f t="shared" si="2"/>
        <v>309</v>
      </c>
      <c r="B312" s="218" t="s">
        <v>201</v>
      </c>
      <c r="C312" s="219" t="str">
        <f t="shared" si="1"/>
        <v>HD/1376/2025</v>
      </c>
      <c r="D312" s="218" t="b">
        <v>1</v>
      </c>
      <c r="E312" s="219" t="b">
        <v>0</v>
      </c>
      <c r="F312" s="219"/>
      <c r="G312" s="173"/>
      <c r="H312" s="157" t="s">
        <v>6473</v>
      </c>
      <c r="I312" s="157">
        <f t="shared" si="3"/>
        <v>1376</v>
      </c>
      <c r="J312" s="157">
        <v>2025.0</v>
      </c>
    </row>
    <row r="313">
      <c r="A313" s="218">
        <f t="shared" si="2"/>
        <v>310</v>
      </c>
      <c r="B313" s="218" t="s">
        <v>201</v>
      </c>
      <c r="C313" s="219" t="str">
        <f t="shared" si="1"/>
        <v>HD/1377/2025</v>
      </c>
      <c r="D313" s="218" t="b">
        <v>1</v>
      </c>
      <c r="E313" s="219" t="b">
        <v>0</v>
      </c>
      <c r="F313" s="219"/>
      <c r="G313" s="173"/>
      <c r="H313" s="157" t="s">
        <v>6473</v>
      </c>
      <c r="I313" s="157">
        <f t="shared" si="3"/>
        <v>1377</v>
      </c>
      <c r="J313" s="157">
        <v>2025.0</v>
      </c>
    </row>
    <row r="314">
      <c r="A314" s="218">
        <f t="shared" si="2"/>
        <v>311</v>
      </c>
      <c r="B314" s="218" t="s">
        <v>201</v>
      </c>
      <c r="C314" s="219" t="str">
        <f t="shared" si="1"/>
        <v>HD/1378/2025</v>
      </c>
      <c r="D314" s="218" t="b">
        <v>1</v>
      </c>
      <c r="E314" s="219" t="b">
        <v>0</v>
      </c>
      <c r="F314" s="219"/>
      <c r="G314" s="173"/>
      <c r="H314" s="157" t="s">
        <v>6473</v>
      </c>
      <c r="I314" s="157">
        <f t="shared" si="3"/>
        <v>1378</v>
      </c>
      <c r="J314" s="157">
        <v>2025.0</v>
      </c>
    </row>
    <row r="315">
      <c r="A315" s="218">
        <f t="shared" si="2"/>
        <v>312</v>
      </c>
      <c r="B315" s="218" t="s">
        <v>201</v>
      </c>
      <c r="C315" s="219" t="str">
        <f t="shared" si="1"/>
        <v>HD/1379/2025</v>
      </c>
      <c r="D315" s="218" t="b">
        <v>1</v>
      </c>
      <c r="E315" s="219" t="b">
        <v>0</v>
      </c>
      <c r="F315" s="219"/>
      <c r="G315" s="173"/>
      <c r="H315" s="157" t="s">
        <v>6473</v>
      </c>
      <c r="I315" s="157">
        <f t="shared" si="3"/>
        <v>1379</v>
      </c>
      <c r="J315" s="157">
        <v>2025.0</v>
      </c>
    </row>
    <row r="316">
      <c r="A316" s="218">
        <f t="shared" si="2"/>
        <v>313</v>
      </c>
      <c r="B316" s="218" t="s">
        <v>201</v>
      </c>
      <c r="C316" s="219" t="str">
        <f t="shared" si="1"/>
        <v>HD/1380/2025</v>
      </c>
      <c r="D316" s="218" t="b">
        <v>1</v>
      </c>
      <c r="E316" s="219" t="b">
        <v>0</v>
      </c>
      <c r="F316" s="219"/>
      <c r="G316" s="173"/>
      <c r="H316" s="157" t="s">
        <v>6473</v>
      </c>
      <c r="I316" s="157">
        <f t="shared" si="3"/>
        <v>1380</v>
      </c>
      <c r="J316" s="157">
        <v>2025.0</v>
      </c>
    </row>
    <row r="317">
      <c r="A317" s="218">
        <f t="shared" si="2"/>
        <v>314</v>
      </c>
      <c r="B317" s="218" t="s">
        <v>201</v>
      </c>
      <c r="C317" s="219" t="str">
        <f t="shared" si="1"/>
        <v>HD/1381/2025</v>
      </c>
      <c r="D317" s="218" t="b">
        <v>1</v>
      </c>
      <c r="E317" s="219" t="b">
        <v>0</v>
      </c>
      <c r="F317" s="219"/>
      <c r="G317" s="173"/>
      <c r="H317" s="157" t="s">
        <v>6473</v>
      </c>
      <c r="I317" s="157">
        <f t="shared" si="3"/>
        <v>1381</v>
      </c>
      <c r="J317" s="157">
        <v>2025.0</v>
      </c>
    </row>
    <row r="318">
      <c r="A318" s="218">
        <f t="shared" si="2"/>
        <v>315</v>
      </c>
      <c r="B318" s="218" t="s">
        <v>201</v>
      </c>
      <c r="C318" s="219" t="str">
        <f t="shared" si="1"/>
        <v>HD/1382/2025</v>
      </c>
      <c r="D318" s="218" t="b">
        <v>1</v>
      </c>
      <c r="E318" s="219" t="b">
        <v>0</v>
      </c>
      <c r="F318" s="219"/>
      <c r="G318" s="173"/>
      <c r="H318" s="157" t="s">
        <v>6473</v>
      </c>
      <c r="I318" s="157">
        <f t="shared" si="3"/>
        <v>1382</v>
      </c>
      <c r="J318" s="157">
        <v>2025.0</v>
      </c>
    </row>
    <row r="319">
      <c r="A319" s="218">
        <f t="shared" si="2"/>
        <v>316</v>
      </c>
      <c r="B319" s="218" t="s">
        <v>201</v>
      </c>
      <c r="C319" s="219" t="str">
        <f t="shared" si="1"/>
        <v>HD/1383/2025</v>
      </c>
      <c r="D319" s="218" t="b">
        <v>1</v>
      </c>
      <c r="E319" s="219" t="b">
        <v>0</v>
      </c>
      <c r="F319" s="219"/>
      <c r="G319" s="173"/>
      <c r="H319" s="157" t="s">
        <v>6473</v>
      </c>
      <c r="I319" s="157">
        <f t="shared" si="3"/>
        <v>1383</v>
      </c>
      <c r="J319" s="157">
        <v>2025.0</v>
      </c>
    </row>
    <row r="320">
      <c r="A320" s="218">
        <f t="shared" si="2"/>
        <v>317</v>
      </c>
      <c r="B320" s="218" t="s">
        <v>201</v>
      </c>
      <c r="C320" s="219" t="str">
        <f t="shared" si="1"/>
        <v>HD/1384/2025</v>
      </c>
      <c r="D320" s="218" t="b">
        <v>1</v>
      </c>
      <c r="E320" s="219" t="b">
        <v>0</v>
      </c>
      <c r="F320" s="219"/>
      <c r="G320" s="173"/>
      <c r="H320" s="157" t="s">
        <v>6473</v>
      </c>
      <c r="I320" s="157">
        <f t="shared" si="3"/>
        <v>1384</v>
      </c>
      <c r="J320" s="157">
        <v>2025.0</v>
      </c>
    </row>
    <row r="321">
      <c r="A321" s="218">
        <f t="shared" si="2"/>
        <v>318</v>
      </c>
      <c r="B321" s="218" t="s">
        <v>201</v>
      </c>
      <c r="C321" s="219" t="str">
        <f t="shared" si="1"/>
        <v>HD/1385/2025</v>
      </c>
      <c r="D321" s="218" t="b">
        <v>1</v>
      </c>
      <c r="E321" s="219" t="b">
        <v>0</v>
      </c>
      <c r="F321" s="219"/>
      <c r="G321" s="173"/>
      <c r="H321" s="157" t="s">
        <v>6473</v>
      </c>
      <c r="I321" s="157">
        <f t="shared" si="3"/>
        <v>1385</v>
      </c>
      <c r="J321" s="157">
        <v>2025.0</v>
      </c>
    </row>
    <row r="322">
      <c r="A322" s="218">
        <f t="shared" si="2"/>
        <v>319</v>
      </c>
      <c r="B322" s="218" t="s">
        <v>201</v>
      </c>
      <c r="C322" s="219" t="str">
        <f t="shared" si="1"/>
        <v>HD/1386/2025</v>
      </c>
      <c r="D322" s="218" t="b">
        <v>1</v>
      </c>
      <c r="E322" s="219" t="b">
        <v>0</v>
      </c>
      <c r="F322" s="219"/>
      <c r="G322" s="173"/>
      <c r="H322" s="157" t="s">
        <v>6473</v>
      </c>
      <c r="I322" s="157">
        <f t="shared" si="3"/>
        <v>1386</v>
      </c>
      <c r="J322" s="157">
        <v>2025.0</v>
      </c>
    </row>
    <row r="323">
      <c r="A323" s="218">
        <f t="shared" si="2"/>
        <v>320</v>
      </c>
      <c r="B323" s="218" t="s">
        <v>201</v>
      </c>
      <c r="C323" s="219" t="str">
        <f t="shared" si="1"/>
        <v>HD/1387/2025</v>
      </c>
      <c r="D323" s="218" t="b">
        <v>1</v>
      </c>
      <c r="E323" s="219" t="b">
        <v>0</v>
      </c>
      <c r="F323" s="219"/>
      <c r="G323" s="173"/>
      <c r="H323" s="157" t="s">
        <v>6473</v>
      </c>
      <c r="I323" s="157">
        <f t="shared" si="3"/>
        <v>1387</v>
      </c>
      <c r="J323" s="157">
        <v>2025.0</v>
      </c>
    </row>
    <row r="324">
      <c r="A324" s="218">
        <f t="shared" si="2"/>
        <v>321</v>
      </c>
      <c r="B324" s="218" t="s">
        <v>201</v>
      </c>
      <c r="C324" s="219" t="str">
        <f t="shared" si="1"/>
        <v>HD/1388/2025</v>
      </c>
      <c r="D324" s="218" t="b">
        <v>1</v>
      </c>
      <c r="E324" s="219" t="b">
        <v>0</v>
      </c>
      <c r="F324" s="219"/>
      <c r="G324" s="173"/>
      <c r="H324" s="157" t="s">
        <v>6473</v>
      </c>
      <c r="I324" s="157">
        <f t="shared" si="3"/>
        <v>1388</v>
      </c>
      <c r="J324" s="157">
        <v>2025.0</v>
      </c>
    </row>
    <row r="325">
      <c r="A325" s="218">
        <f t="shared" si="2"/>
        <v>322</v>
      </c>
      <c r="B325" s="218" t="s">
        <v>201</v>
      </c>
      <c r="C325" s="219" t="str">
        <f t="shared" si="1"/>
        <v>HD/1389/2025</v>
      </c>
      <c r="D325" s="218" t="b">
        <v>1</v>
      </c>
      <c r="E325" s="219" t="b">
        <v>0</v>
      </c>
      <c r="F325" s="219"/>
      <c r="G325" s="173"/>
      <c r="H325" s="157" t="s">
        <v>6473</v>
      </c>
      <c r="I325" s="157">
        <f t="shared" si="3"/>
        <v>1389</v>
      </c>
      <c r="J325" s="157">
        <v>2025.0</v>
      </c>
    </row>
    <row r="326">
      <c r="A326" s="218">
        <f t="shared" si="2"/>
        <v>323</v>
      </c>
      <c r="B326" s="218" t="s">
        <v>201</v>
      </c>
      <c r="C326" s="219" t="str">
        <f t="shared" si="1"/>
        <v>HD/1390/2025</v>
      </c>
      <c r="D326" s="218" t="b">
        <v>1</v>
      </c>
      <c r="E326" s="219" t="b">
        <v>0</v>
      </c>
      <c r="F326" s="219"/>
      <c r="G326" s="173"/>
      <c r="H326" s="157" t="s">
        <v>6473</v>
      </c>
      <c r="I326" s="157">
        <f t="shared" si="3"/>
        <v>1390</v>
      </c>
      <c r="J326" s="157">
        <v>2025.0</v>
      </c>
    </row>
    <row r="327">
      <c r="A327" s="218">
        <f t="shared" si="2"/>
        <v>324</v>
      </c>
      <c r="B327" s="218" t="s">
        <v>201</v>
      </c>
      <c r="C327" s="219" t="str">
        <f t="shared" si="1"/>
        <v>HD/1391/2025</v>
      </c>
      <c r="D327" s="218" t="b">
        <v>1</v>
      </c>
      <c r="E327" s="219" t="b">
        <v>0</v>
      </c>
      <c r="F327" s="219"/>
      <c r="G327" s="173"/>
      <c r="H327" s="157" t="s">
        <v>6473</v>
      </c>
      <c r="I327" s="157">
        <f t="shared" si="3"/>
        <v>1391</v>
      </c>
      <c r="J327" s="157">
        <v>2025.0</v>
      </c>
    </row>
    <row r="328">
      <c r="A328" s="218">
        <f t="shared" si="2"/>
        <v>325</v>
      </c>
      <c r="B328" s="218" t="s">
        <v>201</v>
      </c>
      <c r="C328" s="219" t="str">
        <f t="shared" si="1"/>
        <v>HD/1392/2025</v>
      </c>
      <c r="D328" s="218" t="b">
        <v>1</v>
      </c>
      <c r="E328" s="219" t="b">
        <v>0</v>
      </c>
      <c r="F328" s="219"/>
      <c r="G328" s="173"/>
      <c r="H328" s="157" t="s">
        <v>6473</v>
      </c>
      <c r="I328" s="157">
        <f t="shared" si="3"/>
        <v>1392</v>
      </c>
      <c r="J328" s="157">
        <v>2025.0</v>
      </c>
    </row>
    <row r="329">
      <c r="A329" s="218">
        <f t="shared" si="2"/>
        <v>326</v>
      </c>
      <c r="B329" s="218" t="s">
        <v>201</v>
      </c>
      <c r="C329" s="219" t="str">
        <f t="shared" si="1"/>
        <v>HD/1393/2025</v>
      </c>
      <c r="D329" s="218" t="b">
        <v>1</v>
      </c>
      <c r="E329" s="219" t="b">
        <v>0</v>
      </c>
      <c r="F329" s="219"/>
      <c r="G329" s="173"/>
      <c r="H329" s="157" t="s">
        <v>6473</v>
      </c>
      <c r="I329" s="157">
        <f t="shared" si="3"/>
        <v>1393</v>
      </c>
      <c r="J329" s="157">
        <v>2025.0</v>
      </c>
    </row>
    <row r="330">
      <c r="A330" s="218">
        <f t="shared" si="2"/>
        <v>327</v>
      </c>
      <c r="B330" s="218" t="s">
        <v>201</v>
      </c>
      <c r="C330" s="219" t="str">
        <f t="shared" si="1"/>
        <v>HD/1394/2025</v>
      </c>
      <c r="D330" s="218" t="b">
        <v>1</v>
      </c>
      <c r="E330" s="219" t="b">
        <v>0</v>
      </c>
      <c r="F330" s="219"/>
      <c r="G330" s="173"/>
      <c r="H330" s="157" t="s">
        <v>6473</v>
      </c>
      <c r="I330" s="157">
        <f t="shared" si="3"/>
        <v>1394</v>
      </c>
      <c r="J330" s="157">
        <v>2025.0</v>
      </c>
    </row>
    <row r="331">
      <c r="A331" s="218">
        <f t="shared" si="2"/>
        <v>328</v>
      </c>
      <c r="B331" s="218" t="s">
        <v>201</v>
      </c>
      <c r="C331" s="219" t="str">
        <f t="shared" si="1"/>
        <v>HD/1395/2025</v>
      </c>
      <c r="D331" s="218" t="b">
        <v>1</v>
      </c>
      <c r="E331" s="219" t="b">
        <v>0</v>
      </c>
      <c r="F331" s="219"/>
      <c r="G331" s="173"/>
      <c r="H331" s="157" t="s">
        <v>6473</v>
      </c>
      <c r="I331" s="157">
        <f t="shared" si="3"/>
        <v>1395</v>
      </c>
      <c r="J331" s="157">
        <v>2025.0</v>
      </c>
    </row>
    <row r="332">
      <c r="A332" s="218">
        <f t="shared" si="2"/>
        <v>329</v>
      </c>
      <c r="B332" s="218" t="s">
        <v>201</v>
      </c>
      <c r="C332" s="219" t="str">
        <f t="shared" si="1"/>
        <v>HD/1396/2025</v>
      </c>
      <c r="D332" s="218" t="b">
        <v>1</v>
      </c>
      <c r="E332" s="219" t="b">
        <v>0</v>
      </c>
      <c r="F332" s="219"/>
      <c r="G332" s="173"/>
      <c r="H332" s="157" t="s">
        <v>6473</v>
      </c>
      <c r="I332" s="157">
        <f t="shared" si="3"/>
        <v>1396</v>
      </c>
      <c r="J332" s="157">
        <v>2025.0</v>
      </c>
    </row>
    <row r="333">
      <c r="A333" s="218">
        <f t="shared" si="2"/>
        <v>330</v>
      </c>
      <c r="B333" s="218" t="s">
        <v>201</v>
      </c>
      <c r="C333" s="219" t="str">
        <f t="shared" si="1"/>
        <v>HD/1397/2025</v>
      </c>
      <c r="D333" s="218" t="b">
        <v>1</v>
      </c>
      <c r="E333" s="219" t="b">
        <v>0</v>
      </c>
      <c r="F333" s="219"/>
      <c r="G333" s="173"/>
      <c r="H333" s="157" t="s">
        <v>6473</v>
      </c>
      <c r="I333" s="157">
        <f t="shared" si="3"/>
        <v>1397</v>
      </c>
      <c r="J333" s="157">
        <v>2025.0</v>
      </c>
    </row>
    <row r="334">
      <c r="A334" s="218">
        <f t="shared" si="2"/>
        <v>331</v>
      </c>
      <c r="B334" s="218" t="s">
        <v>201</v>
      </c>
      <c r="C334" s="219" t="str">
        <f t="shared" si="1"/>
        <v>HD/1398/2025</v>
      </c>
      <c r="D334" s="218" t="b">
        <v>1</v>
      </c>
      <c r="E334" s="219" t="b">
        <v>0</v>
      </c>
      <c r="F334" s="219"/>
      <c r="G334" s="173"/>
      <c r="H334" s="157" t="s">
        <v>6473</v>
      </c>
      <c r="I334" s="157">
        <f t="shared" si="3"/>
        <v>1398</v>
      </c>
      <c r="J334" s="157">
        <v>2025.0</v>
      </c>
    </row>
    <row r="335">
      <c r="A335" s="218">
        <f t="shared" si="2"/>
        <v>332</v>
      </c>
      <c r="B335" s="218" t="s">
        <v>201</v>
      </c>
      <c r="C335" s="219" t="str">
        <f t="shared" si="1"/>
        <v>HD/1399/2025</v>
      </c>
      <c r="D335" s="218" t="b">
        <v>1</v>
      </c>
      <c r="E335" s="219" t="b">
        <v>0</v>
      </c>
      <c r="F335" s="219"/>
      <c r="G335" s="173"/>
      <c r="H335" s="157" t="s">
        <v>6473</v>
      </c>
      <c r="I335" s="157">
        <f t="shared" si="3"/>
        <v>1399</v>
      </c>
      <c r="J335" s="157">
        <v>2025.0</v>
      </c>
    </row>
    <row r="336">
      <c r="A336" s="218">
        <f t="shared" si="2"/>
        <v>333</v>
      </c>
      <c r="B336" s="218" t="s">
        <v>201</v>
      </c>
      <c r="C336" s="219" t="str">
        <f t="shared" si="1"/>
        <v>HD/1400/2025</v>
      </c>
      <c r="D336" s="218" t="b">
        <v>1</v>
      </c>
      <c r="E336" s="219" t="b">
        <v>0</v>
      </c>
      <c r="F336" s="219"/>
      <c r="G336" s="173"/>
      <c r="H336" s="157" t="s">
        <v>6473</v>
      </c>
      <c r="I336" s="157">
        <f t="shared" si="3"/>
        <v>1400</v>
      </c>
      <c r="J336" s="157">
        <v>2025.0</v>
      </c>
    </row>
    <row r="337">
      <c r="A337" s="218">
        <f t="shared" si="2"/>
        <v>334</v>
      </c>
      <c r="B337" s="218" t="s">
        <v>201</v>
      </c>
      <c r="C337" s="219" t="str">
        <f t="shared" si="1"/>
        <v>HD/1401/2025</v>
      </c>
      <c r="D337" s="218" t="b">
        <v>1</v>
      </c>
      <c r="E337" s="219" t="b">
        <v>0</v>
      </c>
      <c r="F337" s="219"/>
      <c r="G337" s="173"/>
      <c r="H337" s="157" t="s">
        <v>6473</v>
      </c>
      <c r="I337" s="157">
        <f t="shared" si="3"/>
        <v>1401</v>
      </c>
      <c r="J337" s="157">
        <v>2025.0</v>
      </c>
    </row>
    <row r="338">
      <c r="A338" s="218">
        <f t="shared" si="2"/>
        <v>335</v>
      </c>
      <c r="B338" s="218" t="s">
        <v>201</v>
      </c>
      <c r="C338" s="219" t="str">
        <f t="shared" si="1"/>
        <v>HD/1402/2025</v>
      </c>
      <c r="D338" s="218" t="b">
        <v>1</v>
      </c>
      <c r="E338" s="219" t="b">
        <v>0</v>
      </c>
      <c r="F338" s="219"/>
      <c r="G338" s="173"/>
      <c r="H338" s="157" t="s">
        <v>6473</v>
      </c>
      <c r="I338" s="157">
        <f t="shared" si="3"/>
        <v>1402</v>
      </c>
      <c r="J338" s="157">
        <v>2025.0</v>
      </c>
    </row>
    <row r="339">
      <c r="A339" s="218">
        <f t="shared" si="2"/>
        <v>336</v>
      </c>
      <c r="B339" s="218" t="s">
        <v>201</v>
      </c>
      <c r="C339" s="219" t="str">
        <f t="shared" si="1"/>
        <v>HD/1403/2025</v>
      </c>
      <c r="D339" s="218" t="b">
        <v>1</v>
      </c>
      <c r="E339" s="219" t="b">
        <v>0</v>
      </c>
      <c r="F339" s="219"/>
      <c r="G339" s="173"/>
      <c r="H339" s="157" t="s">
        <v>6473</v>
      </c>
      <c r="I339" s="157">
        <f t="shared" si="3"/>
        <v>1403</v>
      </c>
      <c r="J339" s="157">
        <v>2025.0</v>
      </c>
    </row>
    <row r="340">
      <c r="A340" s="218">
        <f t="shared" si="2"/>
        <v>337</v>
      </c>
      <c r="B340" s="218" t="s">
        <v>201</v>
      </c>
      <c r="C340" s="219" t="str">
        <f t="shared" si="1"/>
        <v>HD/1404/2025</v>
      </c>
      <c r="D340" s="218" t="b">
        <v>1</v>
      </c>
      <c r="E340" s="219" t="b">
        <v>0</v>
      </c>
      <c r="F340" s="219"/>
      <c r="G340" s="173"/>
      <c r="H340" s="157" t="s">
        <v>6473</v>
      </c>
      <c r="I340" s="157">
        <f t="shared" si="3"/>
        <v>1404</v>
      </c>
      <c r="J340" s="157">
        <v>2025.0</v>
      </c>
    </row>
    <row r="341">
      <c r="A341" s="218">
        <f t="shared" si="2"/>
        <v>338</v>
      </c>
      <c r="B341" s="218" t="s">
        <v>201</v>
      </c>
      <c r="C341" s="219" t="str">
        <f t="shared" si="1"/>
        <v>HD/1405/2025</v>
      </c>
      <c r="D341" s="218" t="b">
        <v>1</v>
      </c>
      <c r="E341" s="219" t="b">
        <v>0</v>
      </c>
      <c r="F341" s="219"/>
      <c r="G341" s="173"/>
      <c r="H341" s="157" t="s">
        <v>6473</v>
      </c>
      <c r="I341" s="157">
        <f t="shared" si="3"/>
        <v>1405</v>
      </c>
      <c r="J341" s="157">
        <v>2025.0</v>
      </c>
    </row>
    <row r="342">
      <c r="A342" s="218">
        <f t="shared" si="2"/>
        <v>339</v>
      </c>
      <c r="B342" s="218" t="s">
        <v>201</v>
      </c>
      <c r="C342" s="219" t="str">
        <f t="shared" si="1"/>
        <v>HD/1406/2025</v>
      </c>
      <c r="D342" s="218" t="b">
        <v>1</v>
      </c>
      <c r="E342" s="219" t="b">
        <v>0</v>
      </c>
      <c r="F342" s="219"/>
      <c r="G342" s="173"/>
      <c r="H342" s="157" t="s">
        <v>6473</v>
      </c>
      <c r="I342" s="157">
        <f t="shared" si="3"/>
        <v>1406</v>
      </c>
      <c r="J342" s="157">
        <v>2025.0</v>
      </c>
    </row>
    <row r="343">
      <c r="A343" s="218">
        <f t="shared" si="2"/>
        <v>340</v>
      </c>
      <c r="B343" s="218" t="s">
        <v>201</v>
      </c>
      <c r="C343" s="219" t="str">
        <f t="shared" si="1"/>
        <v>HD/1407/2025</v>
      </c>
      <c r="D343" s="218" t="b">
        <v>1</v>
      </c>
      <c r="E343" s="219" t="b">
        <v>0</v>
      </c>
      <c r="F343" s="219"/>
      <c r="G343" s="173"/>
      <c r="H343" s="157" t="s">
        <v>6473</v>
      </c>
      <c r="I343" s="157">
        <f t="shared" si="3"/>
        <v>1407</v>
      </c>
      <c r="J343" s="157">
        <v>2025.0</v>
      </c>
    </row>
    <row r="344">
      <c r="A344" s="218">
        <f t="shared" si="2"/>
        <v>341</v>
      </c>
      <c r="B344" s="218" t="s">
        <v>201</v>
      </c>
      <c r="C344" s="219" t="str">
        <f t="shared" si="1"/>
        <v>HD/1408/2025</v>
      </c>
      <c r="D344" s="218" t="b">
        <v>1</v>
      </c>
      <c r="E344" s="219" t="b">
        <v>0</v>
      </c>
      <c r="F344" s="219"/>
      <c r="G344" s="173"/>
      <c r="H344" s="157" t="s">
        <v>6473</v>
      </c>
      <c r="I344" s="157">
        <f t="shared" si="3"/>
        <v>1408</v>
      </c>
      <c r="J344" s="157">
        <v>2025.0</v>
      </c>
    </row>
    <row r="345">
      <c r="A345" s="218">
        <f t="shared" si="2"/>
        <v>342</v>
      </c>
      <c r="B345" s="218" t="s">
        <v>201</v>
      </c>
      <c r="C345" s="219" t="str">
        <f t="shared" si="1"/>
        <v>HD/1409/2025</v>
      </c>
      <c r="D345" s="218" t="b">
        <v>1</v>
      </c>
      <c r="E345" s="219" t="b">
        <v>0</v>
      </c>
      <c r="F345" s="219"/>
      <c r="G345" s="173"/>
      <c r="H345" s="157" t="s">
        <v>6473</v>
      </c>
      <c r="I345" s="157">
        <f t="shared" si="3"/>
        <v>1409</v>
      </c>
      <c r="J345" s="157">
        <v>2025.0</v>
      </c>
    </row>
    <row r="346">
      <c r="A346" s="218">
        <f t="shared" si="2"/>
        <v>343</v>
      </c>
      <c r="B346" s="218" t="s">
        <v>201</v>
      </c>
      <c r="C346" s="219" t="str">
        <f t="shared" si="1"/>
        <v>HD/1410/2025</v>
      </c>
      <c r="D346" s="218" t="b">
        <v>1</v>
      </c>
      <c r="E346" s="219" t="b">
        <v>0</v>
      </c>
      <c r="F346" s="219"/>
      <c r="G346" s="173"/>
      <c r="H346" s="157" t="s">
        <v>6473</v>
      </c>
      <c r="I346" s="157">
        <f t="shared" si="3"/>
        <v>1410</v>
      </c>
      <c r="J346" s="157">
        <v>2025.0</v>
      </c>
    </row>
    <row r="347">
      <c r="A347" s="218">
        <f t="shared" si="2"/>
        <v>344</v>
      </c>
      <c r="B347" s="218" t="s">
        <v>201</v>
      </c>
      <c r="C347" s="219" t="str">
        <f t="shared" si="1"/>
        <v>HD/1411/2025</v>
      </c>
      <c r="D347" s="218" t="b">
        <v>1</v>
      </c>
      <c r="E347" s="219" t="b">
        <v>0</v>
      </c>
      <c r="F347" s="219"/>
      <c r="G347" s="173"/>
      <c r="H347" s="157" t="s">
        <v>6473</v>
      </c>
      <c r="I347" s="157">
        <f t="shared" si="3"/>
        <v>1411</v>
      </c>
      <c r="J347" s="157">
        <v>2025.0</v>
      </c>
    </row>
    <row r="348">
      <c r="A348" s="218">
        <f t="shared" si="2"/>
        <v>345</v>
      </c>
      <c r="B348" s="218" t="s">
        <v>201</v>
      </c>
      <c r="C348" s="219" t="str">
        <f t="shared" si="1"/>
        <v>HD/1412/2025</v>
      </c>
      <c r="D348" s="218" t="b">
        <v>1</v>
      </c>
      <c r="E348" s="219" t="b">
        <v>0</v>
      </c>
      <c r="F348" s="219"/>
      <c r="G348" s="173"/>
      <c r="H348" s="157" t="s">
        <v>6473</v>
      </c>
      <c r="I348" s="157">
        <f t="shared" si="3"/>
        <v>1412</v>
      </c>
      <c r="J348" s="157">
        <v>2025.0</v>
      </c>
    </row>
    <row r="349">
      <c r="A349" s="218">
        <f t="shared" si="2"/>
        <v>346</v>
      </c>
      <c r="B349" s="218" t="s">
        <v>201</v>
      </c>
      <c r="C349" s="219" t="str">
        <f t="shared" si="1"/>
        <v>HD/1413/2025</v>
      </c>
      <c r="D349" s="218" t="b">
        <v>1</v>
      </c>
      <c r="E349" s="219" t="b">
        <v>0</v>
      </c>
      <c r="F349" s="219"/>
      <c r="G349" s="173"/>
      <c r="H349" s="157" t="s">
        <v>6473</v>
      </c>
      <c r="I349" s="157">
        <f t="shared" si="3"/>
        <v>1413</v>
      </c>
      <c r="J349" s="157">
        <v>2025.0</v>
      </c>
    </row>
    <row r="350">
      <c r="A350" s="218">
        <f t="shared" si="2"/>
        <v>347</v>
      </c>
      <c r="B350" s="218" t="s">
        <v>201</v>
      </c>
      <c r="C350" s="219" t="str">
        <f t="shared" si="1"/>
        <v>HD/1414/2025</v>
      </c>
      <c r="D350" s="218" t="b">
        <v>1</v>
      </c>
      <c r="E350" s="219" t="b">
        <v>0</v>
      </c>
      <c r="F350" s="219"/>
      <c r="G350" s="173"/>
      <c r="H350" s="157" t="s">
        <v>6473</v>
      </c>
      <c r="I350" s="157">
        <f t="shared" si="3"/>
        <v>1414</v>
      </c>
      <c r="J350" s="157">
        <v>2025.0</v>
      </c>
    </row>
    <row r="351">
      <c r="A351" s="218">
        <f t="shared" si="2"/>
        <v>348</v>
      </c>
      <c r="B351" s="218" t="s">
        <v>201</v>
      </c>
      <c r="C351" s="219" t="str">
        <f t="shared" si="1"/>
        <v>HD/1415/2025</v>
      </c>
      <c r="D351" s="218" t="b">
        <v>1</v>
      </c>
      <c r="E351" s="219" t="b">
        <v>0</v>
      </c>
      <c r="F351" s="219"/>
      <c r="G351" s="173"/>
      <c r="H351" s="157" t="s">
        <v>6473</v>
      </c>
      <c r="I351" s="157">
        <f t="shared" si="3"/>
        <v>1415</v>
      </c>
      <c r="J351" s="157">
        <v>2025.0</v>
      </c>
    </row>
    <row r="352">
      <c r="A352" s="218">
        <f t="shared" si="2"/>
        <v>349</v>
      </c>
      <c r="B352" s="218" t="s">
        <v>201</v>
      </c>
      <c r="C352" s="219" t="str">
        <f t="shared" si="1"/>
        <v>HD/1416/2025</v>
      </c>
      <c r="D352" s="218" t="b">
        <v>1</v>
      </c>
      <c r="E352" s="219" t="b">
        <v>0</v>
      </c>
      <c r="F352" s="219"/>
      <c r="G352" s="173"/>
      <c r="H352" s="157" t="s">
        <v>6473</v>
      </c>
      <c r="I352" s="157">
        <f t="shared" si="3"/>
        <v>1416</v>
      </c>
      <c r="J352" s="157">
        <v>2025.0</v>
      </c>
    </row>
    <row r="353">
      <c r="A353" s="218">
        <f t="shared" si="2"/>
        <v>350</v>
      </c>
      <c r="B353" s="218" t="s">
        <v>201</v>
      </c>
      <c r="C353" s="219" t="str">
        <f t="shared" si="1"/>
        <v>HD/1417/2025</v>
      </c>
      <c r="D353" s="218" t="b">
        <v>1</v>
      </c>
      <c r="E353" s="219" t="b">
        <v>0</v>
      </c>
      <c r="F353" s="219"/>
      <c r="G353" s="173"/>
      <c r="H353" s="157" t="s">
        <v>6473</v>
      </c>
      <c r="I353" s="157">
        <f t="shared" si="3"/>
        <v>1417</v>
      </c>
      <c r="J353" s="157">
        <v>2025.0</v>
      </c>
    </row>
    <row r="354">
      <c r="A354" s="218">
        <f t="shared" si="2"/>
        <v>351</v>
      </c>
      <c r="B354" s="218" t="s">
        <v>201</v>
      </c>
      <c r="C354" s="219" t="str">
        <f t="shared" si="1"/>
        <v>HD/1418/2025</v>
      </c>
      <c r="D354" s="218" t="b">
        <v>1</v>
      </c>
      <c r="E354" s="219" t="b">
        <v>0</v>
      </c>
      <c r="F354" s="219"/>
      <c r="G354" s="173"/>
      <c r="H354" s="157" t="s">
        <v>6473</v>
      </c>
      <c r="I354" s="157">
        <f t="shared" si="3"/>
        <v>1418</v>
      </c>
      <c r="J354" s="157">
        <v>2025.0</v>
      </c>
    </row>
    <row r="355">
      <c r="A355" s="218">
        <f t="shared" si="2"/>
        <v>352</v>
      </c>
      <c r="B355" s="218" t="s">
        <v>201</v>
      </c>
      <c r="C355" s="219" t="str">
        <f t="shared" si="1"/>
        <v>HD/1419/2025</v>
      </c>
      <c r="D355" s="218" t="b">
        <v>1</v>
      </c>
      <c r="E355" s="219" t="b">
        <v>0</v>
      </c>
      <c r="F355" s="219"/>
      <c r="G355" s="173"/>
      <c r="H355" s="157" t="s">
        <v>6473</v>
      </c>
      <c r="I355" s="157">
        <f t="shared" si="3"/>
        <v>1419</v>
      </c>
      <c r="J355" s="157">
        <v>2025.0</v>
      </c>
    </row>
    <row r="356">
      <c r="A356" s="218">
        <f t="shared" si="2"/>
        <v>353</v>
      </c>
      <c r="B356" s="218" t="s">
        <v>201</v>
      </c>
      <c r="C356" s="219" t="str">
        <f t="shared" si="1"/>
        <v>HD/1420/2025</v>
      </c>
      <c r="D356" s="218" t="b">
        <v>1</v>
      </c>
      <c r="E356" s="219" t="b">
        <v>0</v>
      </c>
      <c r="F356" s="219"/>
      <c r="G356" s="173"/>
      <c r="H356" s="157" t="s">
        <v>6473</v>
      </c>
      <c r="I356" s="157">
        <f t="shared" si="3"/>
        <v>1420</v>
      </c>
      <c r="J356" s="157">
        <v>2025.0</v>
      </c>
    </row>
    <row r="357">
      <c r="A357" s="218">
        <f t="shared" si="2"/>
        <v>354</v>
      </c>
      <c r="B357" s="218" t="s">
        <v>201</v>
      </c>
      <c r="C357" s="219" t="str">
        <f t="shared" si="1"/>
        <v>HD/1421/2025</v>
      </c>
      <c r="D357" s="218" t="b">
        <v>1</v>
      </c>
      <c r="E357" s="219" t="b">
        <v>0</v>
      </c>
      <c r="F357" s="219"/>
      <c r="G357" s="173"/>
      <c r="H357" s="157" t="s">
        <v>6473</v>
      </c>
      <c r="I357" s="157">
        <f t="shared" si="3"/>
        <v>1421</v>
      </c>
      <c r="J357" s="157">
        <v>2025.0</v>
      </c>
    </row>
    <row r="358">
      <c r="A358" s="218">
        <f t="shared" si="2"/>
        <v>355</v>
      </c>
      <c r="B358" s="218" t="s">
        <v>201</v>
      </c>
      <c r="C358" s="219" t="str">
        <f t="shared" si="1"/>
        <v>HD/1422/2025</v>
      </c>
      <c r="D358" s="218" t="b">
        <v>1</v>
      </c>
      <c r="E358" s="219" t="b">
        <v>0</v>
      </c>
      <c r="F358" s="219"/>
      <c r="G358" s="173"/>
      <c r="H358" s="157" t="s">
        <v>6473</v>
      </c>
      <c r="I358" s="157">
        <f t="shared" si="3"/>
        <v>1422</v>
      </c>
      <c r="J358" s="157">
        <v>2025.0</v>
      </c>
    </row>
    <row r="359">
      <c r="A359" s="218">
        <f t="shared" si="2"/>
        <v>356</v>
      </c>
      <c r="B359" s="218" t="s">
        <v>201</v>
      </c>
      <c r="C359" s="219" t="str">
        <f t="shared" si="1"/>
        <v>HD/1423/2025</v>
      </c>
      <c r="D359" s="218" t="b">
        <v>1</v>
      </c>
      <c r="E359" s="219" t="b">
        <v>0</v>
      </c>
      <c r="F359" s="219"/>
      <c r="G359" s="173"/>
      <c r="H359" s="157" t="s">
        <v>6473</v>
      </c>
      <c r="I359" s="157">
        <f t="shared" si="3"/>
        <v>1423</v>
      </c>
      <c r="J359" s="157">
        <v>2025.0</v>
      </c>
    </row>
    <row r="360">
      <c r="A360" s="218">
        <f t="shared" si="2"/>
        <v>357</v>
      </c>
      <c r="B360" s="218" t="s">
        <v>201</v>
      </c>
      <c r="C360" s="219" t="str">
        <f t="shared" si="1"/>
        <v>HD/1424/2025</v>
      </c>
      <c r="D360" s="218" t="b">
        <v>1</v>
      </c>
      <c r="E360" s="219" t="b">
        <v>0</v>
      </c>
      <c r="F360" s="219"/>
      <c r="G360" s="173"/>
      <c r="H360" s="157" t="s">
        <v>6473</v>
      </c>
      <c r="I360" s="157">
        <f t="shared" si="3"/>
        <v>1424</v>
      </c>
      <c r="J360" s="157">
        <v>2025.0</v>
      </c>
    </row>
    <row r="361">
      <c r="A361" s="218">
        <f t="shared" si="2"/>
        <v>358</v>
      </c>
      <c r="B361" s="218" t="s">
        <v>201</v>
      </c>
      <c r="C361" s="219" t="str">
        <f t="shared" si="1"/>
        <v>HD/1425/2025</v>
      </c>
      <c r="D361" s="218" t="b">
        <v>1</v>
      </c>
      <c r="E361" s="219" t="b">
        <v>0</v>
      </c>
      <c r="F361" s="219"/>
      <c r="G361" s="173"/>
      <c r="H361" s="157" t="s">
        <v>6473</v>
      </c>
      <c r="I361" s="157">
        <f t="shared" si="3"/>
        <v>1425</v>
      </c>
      <c r="J361" s="157">
        <v>2025.0</v>
      </c>
    </row>
    <row r="362">
      <c r="A362" s="218">
        <f t="shared" si="2"/>
        <v>359</v>
      </c>
      <c r="B362" s="218" t="s">
        <v>201</v>
      </c>
      <c r="C362" s="219" t="str">
        <f t="shared" si="1"/>
        <v>HD/1426/2025</v>
      </c>
      <c r="D362" s="218" t="b">
        <v>1</v>
      </c>
      <c r="E362" s="219" t="b">
        <v>0</v>
      </c>
      <c r="F362" s="219"/>
      <c r="G362" s="173"/>
      <c r="H362" s="157" t="s">
        <v>6473</v>
      </c>
      <c r="I362" s="157">
        <f t="shared" si="3"/>
        <v>1426</v>
      </c>
      <c r="J362" s="157">
        <v>2025.0</v>
      </c>
    </row>
    <row r="363">
      <c r="A363" s="218">
        <f t="shared" si="2"/>
        <v>360</v>
      </c>
      <c r="B363" s="218" t="s">
        <v>201</v>
      </c>
      <c r="C363" s="219" t="str">
        <f t="shared" si="1"/>
        <v>HD/1427/2025</v>
      </c>
      <c r="D363" s="218" t="b">
        <v>1</v>
      </c>
      <c r="E363" s="219" t="b">
        <v>0</v>
      </c>
      <c r="F363" s="219"/>
      <c r="G363" s="173"/>
      <c r="H363" s="157" t="s">
        <v>6473</v>
      </c>
      <c r="I363" s="157">
        <f t="shared" si="3"/>
        <v>1427</v>
      </c>
      <c r="J363" s="157">
        <v>2025.0</v>
      </c>
    </row>
    <row r="364">
      <c r="A364" s="218">
        <f t="shared" si="2"/>
        <v>361</v>
      </c>
      <c r="B364" s="218" t="s">
        <v>201</v>
      </c>
      <c r="C364" s="219" t="str">
        <f t="shared" si="1"/>
        <v>HD/1428/2025</v>
      </c>
      <c r="D364" s="218" t="b">
        <v>1</v>
      </c>
      <c r="E364" s="219" t="b">
        <v>0</v>
      </c>
      <c r="F364" s="219"/>
      <c r="G364" s="173"/>
      <c r="H364" s="157" t="s">
        <v>6473</v>
      </c>
      <c r="I364" s="157">
        <f t="shared" si="3"/>
        <v>1428</v>
      </c>
      <c r="J364" s="157">
        <v>2025.0</v>
      </c>
    </row>
    <row r="365">
      <c r="A365" s="218">
        <f t="shared" si="2"/>
        <v>362</v>
      </c>
      <c r="B365" s="218" t="s">
        <v>201</v>
      </c>
      <c r="C365" s="219" t="str">
        <f t="shared" si="1"/>
        <v>HD/1429/2025</v>
      </c>
      <c r="D365" s="218" t="b">
        <v>1</v>
      </c>
      <c r="E365" s="219" t="b">
        <v>0</v>
      </c>
      <c r="F365" s="219"/>
      <c r="G365" s="173"/>
      <c r="H365" s="157" t="s">
        <v>6473</v>
      </c>
      <c r="I365" s="157">
        <f t="shared" si="3"/>
        <v>1429</v>
      </c>
      <c r="J365" s="157">
        <v>2025.0</v>
      </c>
    </row>
    <row r="366">
      <c r="A366" s="218">
        <f t="shared" si="2"/>
        <v>363</v>
      </c>
      <c r="B366" s="218" t="s">
        <v>201</v>
      </c>
      <c r="C366" s="219" t="str">
        <f t="shared" si="1"/>
        <v>HD/1430/2025</v>
      </c>
      <c r="D366" s="218" t="b">
        <v>1</v>
      </c>
      <c r="E366" s="219" t="b">
        <v>0</v>
      </c>
      <c r="F366" s="219"/>
      <c r="G366" s="173"/>
      <c r="H366" s="157" t="s">
        <v>6473</v>
      </c>
      <c r="I366" s="157">
        <f t="shared" si="3"/>
        <v>1430</v>
      </c>
      <c r="J366" s="157">
        <v>2025.0</v>
      </c>
    </row>
    <row r="367">
      <c r="A367" s="218">
        <f t="shared" si="2"/>
        <v>364</v>
      </c>
      <c r="B367" s="218" t="s">
        <v>201</v>
      </c>
      <c r="C367" s="219" t="str">
        <f t="shared" si="1"/>
        <v>HD/1431/2025</v>
      </c>
      <c r="D367" s="218" t="b">
        <v>1</v>
      </c>
      <c r="E367" s="219" t="b">
        <v>0</v>
      </c>
      <c r="F367" s="219"/>
      <c r="G367" s="173"/>
      <c r="H367" s="157" t="s">
        <v>6473</v>
      </c>
      <c r="I367" s="157">
        <f t="shared" si="3"/>
        <v>1431</v>
      </c>
      <c r="J367" s="157">
        <v>2025.0</v>
      </c>
    </row>
    <row r="368">
      <c r="A368" s="218">
        <f t="shared" si="2"/>
        <v>365</v>
      </c>
      <c r="B368" s="218" t="s">
        <v>201</v>
      </c>
      <c r="C368" s="219" t="str">
        <f t="shared" si="1"/>
        <v>HD/1432/2025</v>
      </c>
      <c r="D368" s="218" t="b">
        <v>1</v>
      </c>
      <c r="E368" s="219" t="b">
        <v>0</v>
      </c>
      <c r="F368" s="219"/>
      <c r="G368" s="173"/>
      <c r="H368" s="157" t="s">
        <v>6473</v>
      </c>
      <c r="I368" s="157">
        <f t="shared" si="3"/>
        <v>1432</v>
      </c>
      <c r="J368" s="157">
        <v>2025.0</v>
      </c>
    </row>
    <row r="369">
      <c r="A369" s="218">
        <f t="shared" si="2"/>
        <v>366</v>
      </c>
      <c r="B369" s="218" t="s">
        <v>201</v>
      </c>
      <c r="C369" s="219" t="str">
        <f t="shared" si="1"/>
        <v>HD/1433/2025</v>
      </c>
      <c r="D369" s="218" t="b">
        <v>1</v>
      </c>
      <c r="E369" s="219" t="b">
        <v>0</v>
      </c>
      <c r="F369" s="219"/>
      <c r="G369" s="173"/>
      <c r="H369" s="157" t="s">
        <v>6473</v>
      </c>
      <c r="I369" s="157">
        <f t="shared" si="3"/>
        <v>1433</v>
      </c>
      <c r="J369" s="157">
        <v>2025.0</v>
      </c>
    </row>
    <row r="370">
      <c r="A370" s="218">
        <f t="shared" si="2"/>
        <v>367</v>
      </c>
      <c r="B370" s="218" t="s">
        <v>201</v>
      </c>
      <c r="C370" s="219" t="str">
        <f t="shared" si="1"/>
        <v>HD/1434/2025</v>
      </c>
      <c r="D370" s="218" t="b">
        <v>1</v>
      </c>
      <c r="E370" s="219" t="b">
        <v>0</v>
      </c>
      <c r="F370" s="219"/>
      <c r="G370" s="173"/>
      <c r="H370" s="157" t="s">
        <v>6473</v>
      </c>
      <c r="I370" s="157">
        <f t="shared" si="3"/>
        <v>1434</v>
      </c>
      <c r="J370" s="157">
        <v>2025.0</v>
      </c>
    </row>
    <row r="371">
      <c r="A371" s="218">
        <f t="shared" si="2"/>
        <v>368</v>
      </c>
      <c r="B371" s="218" t="s">
        <v>201</v>
      </c>
      <c r="C371" s="219" t="str">
        <f t="shared" si="1"/>
        <v>HD/1435/2025</v>
      </c>
      <c r="D371" s="218" t="b">
        <v>1</v>
      </c>
      <c r="E371" s="219" t="b">
        <v>0</v>
      </c>
      <c r="F371" s="219"/>
      <c r="G371" s="173"/>
      <c r="H371" s="157" t="s">
        <v>6473</v>
      </c>
      <c r="I371" s="157">
        <f t="shared" si="3"/>
        <v>1435</v>
      </c>
      <c r="J371" s="157">
        <v>2025.0</v>
      </c>
    </row>
    <row r="372">
      <c r="A372" s="218">
        <f t="shared" si="2"/>
        <v>369</v>
      </c>
      <c r="B372" s="218" t="s">
        <v>201</v>
      </c>
      <c r="C372" s="219" t="str">
        <f t="shared" si="1"/>
        <v>HD/1436/2025</v>
      </c>
      <c r="D372" s="218" t="b">
        <v>1</v>
      </c>
      <c r="E372" s="219" t="b">
        <v>0</v>
      </c>
      <c r="F372" s="219"/>
      <c r="G372" s="173"/>
      <c r="H372" s="157" t="s">
        <v>6473</v>
      </c>
      <c r="I372" s="157">
        <f t="shared" si="3"/>
        <v>1436</v>
      </c>
      <c r="J372" s="157">
        <v>2025.0</v>
      </c>
    </row>
    <row r="373">
      <c r="A373" s="218">
        <f t="shared" si="2"/>
        <v>370</v>
      </c>
      <c r="B373" s="218" t="s">
        <v>201</v>
      </c>
      <c r="C373" s="219" t="str">
        <f t="shared" si="1"/>
        <v>HD/1437/2025</v>
      </c>
      <c r="D373" s="218" t="b">
        <v>1</v>
      </c>
      <c r="E373" s="219" t="b">
        <v>0</v>
      </c>
      <c r="F373" s="219"/>
      <c r="G373" s="173"/>
      <c r="H373" s="157" t="s">
        <v>6473</v>
      </c>
      <c r="I373" s="157">
        <f t="shared" si="3"/>
        <v>1437</v>
      </c>
      <c r="J373" s="157">
        <v>2025.0</v>
      </c>
    </row>
    <row r="374">
      <c r="A374" s="218">
        <f t="shared" si="2"/>
        <v>371</v>
      </c>
      <c r="B374" s="218" t="s">
        <v>201</v>
      </c>
      <c r="C374" s="219" t="str">
        <f t="shared" si="1"/>
        <v>HD/1438/2025</v>
      </c>
      <c r="D374" s="218" t="b">
        <v>1</v>
      </c>
      <c r="E374" s="219" t="b">
        <v>0</v>
      </c>
      <c r="F374" s="219"/>
      <c r="G374" s="173"/>
      <c r="H374" s="157" t="s">
        <v>6473</v>
      </c>
      <c r="I374" s="157">
        <f t="shared" si="3"/>
        <v>1438</v>
      </c>
      <c r="J374" s="157">
        <v>2025.0</v>
      </c>
    </row>
    <row r="375">
      <c r="A375" s="218">
        <f t="shared" si="2"/>
        <v>372</v>
      </c>
      <c r="B375" s="218" t="s">
        <v>201</v>
      </c>
      <c r="C375" s="219" t="str">
        <f t="shared" si="1"/>
        <v>HD/1439/2025</v>
      </c>
      <c r="D375" s="218" t="b">
        <v>1</v>
      </c>
      <c r="E375" s="219" t="b">
        <v>0</v>
      </c>
      <c r="F375" s="219"/>
      <c r="G375" s="173"/>
      <c r="H375" s="157" t="s">
        <v>6473</v>
      </c>
      <c r="I375" s="157">
        <f t="shared" si="3"/>
        <v>1439</v>
      </c>
      <c r="J375" s="157">
        <v>2025.0</v>
      </c>
    </row>
    <row r="376">
      <c r="A376" s="218">
        <f t="shared" si="2"/>
        <v>373</v>
      </c>
      <c r="B376" s="218" t="s">
        <v>201</v>
      </c>
      <c r="C376" s="219" t="str">
        <f t="shared" si="1"/>
        <v>HD/1440/2025</v>
      </c>
      <c r="D376" s="218" t="b">
        <v>1</v>
      </c>
      <c r="E376" s="219" t="b">
        <v>0</v>
      </c>
      <c r="F376" s="219"/>
      <c r="G376" s="173"/>
      <c r="H376" s="157" t="s">
        <v>6473</v>
      </c>
      <c r="I376" s="157">
        <f t="shared" si="3"/>
        <v>1440</v>
      </c>
      <c r="J376" s="157">
        <v>2025.0</v>
      </c>
    </row>
    <row r="377">
      <c r="A377" s="218">
        <f t="shared" si="2"/>
        <v>374</v>
      </c>
      <c r="B377" s="218" t="s">
        <v>201</v>
      </c>
      <c r="C377" s="219" t="str">
        <f t="shared" si="1"/>
        <v>HD/1441/2025</v>
      </c>
      <c r="D377" s="218" t="b">
        <v>1</v>
      </c>
      <c r="E377" s="219" t="b">
        <v>0</v>
      </c>
      <c r="F377" s="219"/>
      <c r="G377" s="173"/>
      <c r="H377" s="157" t="s">
        <v>6473</v>
      </c>
      <c r="I377" s="157">
        <f t="shared" si="3"/>
        <v>1441</v>
      </c>
      <c r="J377" s="157">
        <v>2025.0</v>
      </c>
    </row>
    <row r="378">
      <c r="A378" s="218">
        <f t="shared" si="2"/>
        <v>375</v>
      </c>
      <c r="B378" s="218" t="s">
        <v>201</v>
      </c>
      <c r="C378" s="219" t="str">
        <f t="shared" si="1"/>
        <v>HD/1442/2025</v>
      </c>
      <c r="D378" s="218" t="b">
        <v>1</v>
      </c>
      <c r="E378" s="219" t="b">
        <v>0</v>
      </c>
      <c r="F378" s="219"/>
      <c r="G378" s="173"/>
      <c r="H378" s="157" t="s">
        <v>6473</v>
      </c>
      <c r="I378" s="157">
        <f t="shared" si="3"/>
        <v>1442</v>
      </c>
      <c r="J378" s="157">
        <v>2025.0</v>
      </c>
    </row>
    <row r="379">
      <c r="A379" s="218">
        <f t="shared" si="2"/>
        <v>376</v>
      </c>
      <c r="B379" s="218" t="s">
        <v>201</v>
      </c>
      <c r="C379" s="219" t="str">
        <f t="shared" si="1"/>
        <v>HD/1443/2025</v>
      </c>
      <c r="D379" s="218" t="b">
        <v>1</v>
      </c>
      <c r="E379" s="219" t="b">
        <v>0</v>
      </c>
      <c r="F379" s="219"/>
      <c r="G379" s="173"/>
      <c r="H379" s="157" t="s">
        <v>6473</v>
      </c>
      <c r="I379" s="157">
        <f t="shared" si="3"/>
        <v>1443</v>
      </c>
      <c r="J379" s="157">
        <v>2025.0</v>
      </c>
    </row>
    <row r="380">
      <c r="A380" s="218">
        <f t="shared" si="2"/>
        <v>377</v>
      </c>
      <c r="B380" s="218" t="s">
        <v>201</v>
      </c>
      <c r="C380" s="219" t="str">
        <f t="shared" si="1"/>
        <v>HD/1444/2025</v>
      </c>
      <c r="D380" s="218" t="b">
        <v>1</v>
      </c>
      <c r="E380" s="219" t="b">
        <v>0</v>
      </c>
      <c r="F380" s="219"/>
      <c r="G380" s="173"/>
      <c r="H380" s="157" t="s">
        <v>6473</v>
      </c>
      <c r="I380" s="157">
        <f t="shared" si="3"/>
        <v>1444</v>
      </c>
      <c r="J380" s="157">
        <v>2025.0</v>
      </c>
    </row>
    <row r="381">
      <c r="A381" s="218">
        <f t="shared" si="2"/>
        <v>378</v>
      </c>
      <c r="B381" s="218" t="s">
        <v>201</v>
      </c>
      <c r="C381" s="219" t="str">
        <f t="shared" si="1"/>
        <v>HD/1445/2025</v>
      </c>
      <c r="D381" s="218" t="b">
        <v>1</v>
      </c>
      <c r="E381" s="219" t="b">
        <v>0</v>
      </c>
      <c r="F381" s="219"/>
      <c r="G381" s="173"/>
      <c r="H381" s="157" t="s">
        <v>6473</v>
      </c>
      <c r="I381" s="157">
        <f t="shared" si="3"/>
        <v>1445</v>
      </c>
      <c r="J381" s="157">
        <v>2025.0</v>
      </c>
    </row>
    <row r="382">
      <c r="A382" s="218">
        <f t="shared" si="2"/>
        <v>379</v>
      </c>
      <c r="B382" s="218" t="s">
        <v>201</v>
      </c>
      <c r="C382" s="219" t="str">
        <f t="shared" si="1"/>
        <v>HD/1446/2025</v>
      </c>
      <c r="D382" s="218" t="b">
        <v>1</v>
      </c>
      <c r="E382" s="219" t="b">
        <v>0</v>
      </c>
      <c r="F382" s="219"/>
      <c r="G382" s="173"/>
      <c r="H382" s="157" t="s">
        <v>6473</v>
      </c>
      <c r="I382" s="157">
        <f t="shared" si="3"/>
        <v>1446</v>
      </c>
      <c r="J382" s="157">
        <v>2025.0</v>
      </c>
    </row>
    <row r="383">
      <c r="A383" s="218">
        <f t="shared" si="2"/>
        <v>380</v>
      </c>
      <c r="B383" s="218" t="s">
        <v>201</v>
      </c>
      <c r="C383" s="219" t="str">
        <f t="shared" si="1"/>
        <v>HD/1447/2025</v>
      </c>
      <c r="D383" s="218" t="b">
        <v>1</v>
      </c>
      <c r="E383" s="219" t="b">
        <v>0</v>
      </c>
      <c r="F383" s="219"/>
      <c r="G383" s="173"/>
      <c r="H383" s="157" t="s">
        <v>6473</v>
      </c>
      <c r="I383" s="157">
        <f t="shared" si="3"/>
        <v>1447</v>
      </c>
      <c r="J383" s="157">
        <v>2025.0</v>
      </c>
    </row>
    <row r="384">
      <c r="A384" s="218">
        <f t="shared" si="2"/>
        <v>381</v>
      </c>
      <c r="B384" s="218" t="s">
        <v>201</v>
      </c>
      <c r="C384" s="219" t="str">
        <f t="shared" si="1"/>
        <v>HD/1448/2025</v>
      </c>
      <c r="D384" s="218" t="b">
        <v>1</v>
      </c>
      <c r="E384" s="219" t="b">
        <v>0</v>
      </c>
      <c r="F384" s="219"/>
      <c r="G384" s="173"/>
      <c r="H384" s="157" t="s">
        <v>6473</v>
      </c>
      <c r="I384" s="157">
        <f t="shared" si="3"/>
        <v>1448</v>
      </c>
      <c r="J384" s="157">
        <v>2025.0</v>
      </c>
    </row>
    <row r="385">
      <c r="A385" s="218">
        <f t="shared" si="2"/>
        <v>382</v>
      </c>
      <c r="B385" s="218" t="s">
        <v>201</v>
      </c>
      <c r="C385" s="219" t="str">
        <f t="shared" si="1"/>
        <v>HD/1449/2025</v>
      </c>
      <c r="D385" s="218" t="b">
        <v>1</v>
      </c>
      <c r="E385" s="219" t="b">
        <v>0</v>
      </c>
      <c r="F385" s="219"/>
      <c r="G385" s="173"/>
      <c r="H385" s="157" t="s">
        <v>6473</v>
      </c>
      <c r="I385" s="157">
        <f t="shared" si="3"/>
        <v>1449</v>
      </c>
      <c r="J385" s="157">
        <v>2025.0</v>
      </c>
    </row>
    <row r="386">
      <c r="A386" s="218">
        <f t="shared" si="2"/>
        <v>383</v>
      </c>
      <c r="B386" s="218" t="s">
        <v>201</v>
      </c>
      <c r="C386" s="219" t="str">
        <f t="shared" si="1"/>
        <v>HD/1450/2025</v>
      </c>
      <c r="D386" s="218" t="b">
        <v>1</v>
      </c>
      <c r="E386" s="219" t="b">
        <v>0</v>
      </c>
      <c r="F386" s="219"/>
      <c r="G386" s="173"/>
      <c r="H386" s="157" t="s">
        <v>6473</v>
      </c>
      <c r="I386" s="157">
        <f t="shared" si="3"/>
        <v>1450</v>
      </c>
      <c r="J386" s="157">
        <v>2025.0</v>
      </c>
    </row>
    <row r="387">
      <c r="A387" s="218">
        <f t="shared" si="2"/>
        <v>384</v>
      </c>
      <c r="B387" s="218" t="s">
        <v>201</v>
      </c>
      <c r="C387" s="219" t="str">
        <f t="shared" si="1"/>
        <v>HD/1451/2025</v>
      </c>
      <c r="D387" s="218" t="b">
        <v>1</v>
      </c>
      <c r="E387" s="219" t="b">
        <v>0</v>
      </c>
      <c r="F387" s="219"/>
      <c r="G387" s="173"/>
      <c r="H387" s="157" t="s">
        <v>6473</v>
      </c>
      <c r="I387" s="157">
        <f t="shared" si="3"/>
        <v>1451</v>
      </c>
      <c r="J387" s="157">
        <v>2025.0</v>
      </c>
    </row>
    <row r="388">
      <c r="A388" s="218">
        <f t="shared" si="2"/>
        <v>385</v>
      </c>
      <c r="B388" s="218" t="s">
        <v>201</v>
      </c>
      <c r="C388" s="219" t="str">
        <f t="shared" si="1"/>
        <v>HD/1452/2025</v>
      </c>
      <c r="D388" s="218" t="b">
        <v>1</v>
      </c>
      <c r="E388" s="219" t="b">
        <v>0</v>
      </c>
      <c r="F388" s="219"/>
      <c r="G388" s="173"/>
      <c r="H388" s="157" t="s">
        <v>6473</v>
      </c>
      <c r="I388" s="157">
        <f t="shared" si="3"/>
        <v>1452</v>
      </c>
      <c r="J388" s="157">
        <v>2025.0</v>
      </c>
    </row>
    <row r="389">
      <c r="A389" s="218">
        <f t="shared" si="2"/>
        <v>386</v>
      </c>
      <c r="B389" s="218" t="s">
        <v>201</v>
      </c>
      <c r="C389" s="219" t="str">
        <f t="shared" si="1"/>
        <v>HD/1453/2025</v>
      </c>
      <c r="D389" s="218" t="b">
        <v>1</v>
      </c>
      <c r="E389" s="219" t="b">
        <v>0</v>
      </c>
      <c r="F389" s="219"/>
      <c r="G389" s="173"/>
      <c r="H389" s="157" t="s">
        <v>6473</v>
      </c>
      <c r="I389" s="157">
        <f t="shared" si="3"/>
        <v>1453</v>
      </c>
      <c r="J389" s="157">
        <v>2025.0</v>
      </c>
    </row>
    <row r="390">
      <c r="A390" s="218">
        <f t="shared" si="2"/>
        <v>387</v>
      </c>
      <c r="B390" s="218" t="s">
        <v>201</v>
      </c>
      <c r="C390" s="219" t="str">
        <f t="shared" si="1"/>
        <v>HD/1454/2025</v>
      </c>
      <c r="D390" s="218" t="b">
        <v>1</v>
      </c>
      <c r="E390" s="219" t="b">
        <v>0</v>
      </c>
      <c r="F390" s="219"/>
      <c r="G390" s="173"/>
      <c r="H390" s="157" t="s">
        <v>6473</v>
      </c>
      <c r="I390" s="157">
        <f t="shared" si="3"/>
        <v>1454</v>
      </c>
      <c r="J390" s="157">
        <v>2025.0</v>
      </c>
    </row>
    <row r="391">
      <c r="A391" s="218">
        <f t="shared" si="2"/>
        <v>388</v>
      </c>
      <c r="B391" s="218" t="s">
        <v>201</v>
      </c>
      <c r="C391" s="219" t="str">
        <f t="shared" si="1"/>
        <v>HD/1455/2025</v>
      </c>
      <c r="D391" s="218" t="b">
        <v>1</v>
      </c>
      <c r="E391" s="219" t="b">
        <v>0</v>
      </c>
      <c r="F391" s="219"/>
      <c r="G391" s="173"/>
      <c r="H391" s="157" t="s">
        <v>6473</v>
      </c>
      <c r="I391" s="157">
        <f t="shared" si="3"/>
        <v>1455</v>
      </c>
      <c r="J391" s="157">
        <v>2025.0</v>
      </c>
    </row>
    <row r="392">
      <c r="A392" s="218">
        <f t="shared" si="2"/>
        <v>389</v>
      </c>
      <c r="B392" s="218" t="s">
        <v>201</v>
      </c>
      <c r="C392" s="219" t="str">
        <f t="shared" si="1"/>
        <v>HD/1456/2025</v>
      </c>
      <c r="D392" s="218" t="b">
        <v>1</v>
      </c>
      <c r="E392" s="219" t="b">
        <v>0</v>
      </c>
      <c r="F392" s="219"/>
      <c r="G392" s="173"/>
      <c r="H392" s="157" t="s">
        <v>6473</v>
      </c>
      <c r="I392" s="157">
        <f t="shared" si="3"/>
        <v>1456</v>
      </c>
      <c r="J392" s="157">
        <v>2025.0</v>
      </c>
    </row>
    <row r="393">
      <c r="A393" s="218">
        <f t="shared" si="2"/>
        <v>390</v>
      </c>
      <c r="B393" s="218" t="s">
        <v>201</v>
      </c>
      <c r="C393" s="219" t="str">
        <f t="shared" si="1"/>
        <v>HD/1457/2025</v>
      </c>
      <c r="D393" s="218" t="b">
        <v>1</v>
      </c>
      <c r="E393" s="219" t="b">
        <v>0</v>
      </c>
      <c r="F393" s="219"/>
      <c r="G393" s="173"/>
      <c r="H393" s="157" t="s">
        <v>6473</v>
      </c>
      <c r="I393" s="157">
        <f t="shared" si="3"/>
        <v>1457</v>
      </c>
      <c r="J393" s="157">
        <v>2025.0</v>
      </c>
    </row>
    <row r="394">
      <c r="A394" s="218">
        <f t="shared" si="2"/>
        <v>391</v>
      </c>
      <c r="B394" s="218" t="s">
        <v>201</v>
      </c>
      <c r="C394" s="219" t="str">
        <f t="shared" si="1"/>
        <v>HD/1458/2025</v>
      </c>
      <c r="D394" s="218" t="b">
        <v>1</v>
      </c>
      <c r="E394" s="219" t="b">
        <v>0</v>
      </c>
      <c r="F394" s="219"/>
      <c r="G394" s="173"/>
      <c r="H394" s="157" t="s">
        <v>6473</v>
      </c>
      <c r="I394" s="157">
        <f t="shared" si="3"/>
        <v>1458</v>
      </c>
      <c r="J394" s="157">
        <v>2025.0</v>
      </c>
    </row>
    <row r="395">
      <c r="A395" s="218">
        <f t="shared" si="2"/>
        <v>392</v>
      </c>
      <c r="B395" s="218" t="s">
        <v>201</v>
      </c>
      <c r="C395" s="219" t="str">
        <f t="shared" si="1"/>
        <v>HD/1459/2025</v>
      </c>
      <c r="D395" s="218" t="b">
        <v>1</v>
      </c>
      <c r="E395" s="219" t="b">
        <v>0</v>
      </c>
      <c r="F395" s="219"/>
      <c r="G395" s="173"/>
      <c r="H395" s="157" t="s">
        <v>6473</v>
      </c>
      <c r="I395" s="157">
        <f t="shared" si="3"/>
        <v>1459</v>
      </c>
      <c r="J395" s="157">
        <v>2025.0</v>
      </c>
    </row>
    <row r="396">
      <c r="A396" s="218">
        <f t="shared" si="2"/>
        <v>393</v>
      </c>
      <c r="B396" s="218" t="s">
        <v>201</v>
      </c>
      <c r="C396" s="219" t="str">
        <f t="shared" si="1"/>
        <v>HD/1460/2025</v>
      </c>
      <c r="D396" s="218" t="b">
        <v>1</v>
      </c>
      <c r="E396" s="219" t="b">
        <v>0</v>
      </c>
      <c r="F396" s="219"/>
      <c r="G396" s="173"/>
      <c r="H396" s="157" t="s">
        <v>6473</v>
      </c>
      <c r="I396" s="157">
        <f t="shared" si="3"/>
        <v>1460</v>
      </c>
      <c r="J396" s="157">
        <v>2025.0</v>
      </c>
    </row>
    <row r="397">
      <c r="A397" s="218">
        <f t="shared" si="2"/>
        <v>394</v>
      </c>
      <c r="B397" s="218" t="s">
        <v>201</v>
      </c>
      <c r="C397" s="219" t="str">
        <f t="shared" si="1"/>
        <v>HD/1461/2025</v>
      </c>
      <c r="D397" s="218" t="b">
        <v>1</v>
      </c>
      <c r="E397" s="219" t="b">
        <v>0</v>
      </c>
      <c r="F397" s="219"/>
      <c r="G397" s="173"/>
      <c r="H397" s="157" t="s">
        <v>6473</v>
      </c>
      <c r="I397" s="157">
        <f t="shared" si="3"/>
        <v>1461</v>
      </c>
      <c r="J397" s="157">
        <v>2025.0</v>
      </c>
    </row>
    <row r="398">
      <c r="A398" s="218">
        <f t="shared" si="2"/>
        <v>395</v>
      </c>
      <c r="B398" s="218" t="s">
        <v>201</v>
      </c>
      <c r="C398" s="219" t="str">
        <f t="shared" si="1"/>
        <v>HD/1462/2025</v>
      </c>
      <c r="D398" s="218" t="b">
        <v>1</v>
      </c>
      <c r="E398" s="219" t="b">
        <v>0</v>
      </c>
      <c r="F398" s="219"/>
      <c r="G398" s="173"/>
      <c r="H398" s="157" t="s">
        <v>6473</v>
      </c>
      <c r="I398" s="157">
        <f t="shared" si="3"/>
        <v>1462</v>
      </c>
      <c r="J398" s="157">
        <v>2025.0</v>
      </c>
    </row>
    <row r="399">
      <c r="A399" s="218">
        <f t="shared" si="2"/>
        <v>396</v>
      </c>
      <c r="B399" s="218" t="s">
        <v>201</v>
      </c>
      <c r="C399" s="219" t="str">
        <f t="shared" si="1"/>
        <v>HD/1463/2025</v>
      </c>
      <c r="D399" s="218" t="b">
        <v>1</v>
      </c>
      <c r="E399" s="219" t="b">
        <v>0</v>
      </c>
      <c r="F399" s="219"/>
      <c r="G399" s="173"/>
      <c r="H399" s="157" t="s">
        <v>6473</v>
      </c>
      <c r="I399" s="157">
        <f t="shared" si="3"/>
        <v>1463</v>
      </c>
      <c r="J399" s="157">
        <v>2025.0</v>
      </c>
    </row>
    <row r="400">
      <c r="A400" s="218">
        <f t="shared" si="2"/>
        <v>397</v>
      </c>
      <c r="B400" s="218" t="s">
        <v>201</v>
      </c>
      <c r="C400" s="219" t="str">
        <f t="shared" si="1"/>
        <v>HD/1464/2025</v>
      </c>
      <c r="D400" s="218" t="b">
        <v>1</v>
      </c>
      <c r="E400" s="219" t="b">
        <v>0</v>
      </c>
      <c r="F400" s="219"/>
      <c r="G400" s="173"/>
      <c r="H400" s="157" t="s">
        <v>6473</v>
      </c>
      <c r="I400" s="157">
        <f t="shared" si="3"/>
        <v>1464</v>
      </c>
      <c r="J400" s="157">
        <v>2025.0</v>
      </c>
    </row>
    <row r="401">
      <c r="A401" s="218">
        <f t="shared" si="2"/>
        <v>398</v>
      </c>
      <c r="B401" s="218" t="s">
        <v>201</v>
      </c>
      <c r="C401" s="219" t="str">
        <f t="shared" si="1"/>
        <v>HD/1465/2025</v>
      </c>
      <c r="D401" s="218" t="b">
        <v>1</v>
      </c>
      <c r="E401" s="219" t="b">
        <v>0</v>
      </c>
      <c r="F401" s="219"/>
      <c r="G401" s="173"/>
      <c r="H401" s="157" t="s">
        <v>6473</v>
      </c>
      <c r="I401" s="157">
        <f t="shared" si="3"/>
        <v>1465</v>
      </c>
      <c r="J401" s="157">
        <v>2025.0</v>
      </c>
    </row>
    <row r="402">
      <c r="A402" s="218">
        <f t="shared" si="2"/>
        <v>399</v>
      </c>
      <c r="B402" s="218" t="s">
        <v>201</v>
      </c>
      <c r="C402" s="219" t="str">
        <f t="shared" si="1"/>
        <v>HD/1466/2025</v>
      </c>
      <c r="D402" s="218" t="b">
        <v>1</v>
      </c>
      <c r="E402" s="219" t="b">
        <v>0</v>
      </c>
      <c r="F402" s="219"/>
      <c r="G402" s="173"/>
      <c r="H402" s="157" t="s">
        <v>6473</v>
      </c>
      <c r="I402" s="157">
        <f t="shared" si="3"/>
        <v>1466</v>
      </c>
      <c r="J402" s="157">
        <v>2025.0</v>
      </c>
    </row>
    <row r="403">
      <c r="A403" s="218">
        <f t="shared" si="2"/>
        <v>400</v>
      </c>
      <c r="B403" s="218" t="s">
        <v>201</v>
      </c>
      <c r="C403" s="219" t="str">
        <f t="shared" si="1"/>
        <v>HD/1467/2025</v>
      </c>
      <c r="D403" s="218" t="b">
        <v>1</v>
      </c>
      <c r="E403" s="219" t="b">
        <v>0</v>
      </c>
      <c r="F403" s="219"/>
      <c r="G403" s="173"/>
      <c r="H403" s="157" t="s">
        <v>6473</v>
      </c>
      <c r="I403" s="157">
        <f t="shared" si="3"/>
        <v>1467</v>
      </c>
      <c r="J403" s="157">
        <v>2025.0</v>
      </c>
    </row>
    <row r="404">
      <c r="A404" s="218">
        <f t="shared" si="2"/>
        <v>401</v>
      </c>
      <c r="B404" s="218" t="s">
        <v>201</v>
      </c>
      <c r="C404" s="219" t="str">
        <f t="shared" si="1"/>
        <v>HD/1468/2025</v>
      </c>
      <c r="D404" s="218" t="b">
        <v>1</v>
      </c>
      <c r="E404" s="219" t="b">
        <v>0</v>
      </c>
      <c r="F404" s="219"/>
      <c r="G404" s="173"/>
      <c r="H404" s="157" t="s">
        <v>6473</v>
      </c>
      <c r="I404" s="157">
        <f t="shared" si="3"/>
        <v>1468</v>
      </c>
      <c r="J404" s="157">
        <v>2025.0</v>
      </c>
    </row>
    <row r="405">
      <c r="A405" s="218">
        <f t="shared" si="2"/>
        <v>402</v>
      </c>
      <c r="B405" s="218" t="s">
        <v>201</v>
      </c>
      <c r="C405" s="219" t="str">
        <f t="shared" si="1"/>
        <v>HD/1469/2025</v>
      </c>
      <c r="D405" s="218" t="b">
        <v>1</v>
      </c>
      <c r="E405" s="219" t="b">
        <v>0</v>
      </c>
      <c r="F405" s="219"/>
      <c r="G405" s="173"/>
      <c r="H405" s="157" t="s">
        <v>6473</v>
      </c>
      <c r="I405" s="157">
        <f t="shared" si="3"/>
        <v>1469</v>
      </c>
      <c r="J405" s="157">
        <v>2025.0</v>
      </c>
    </row>
    <row r="406">
      <c r="A406" s="218">
        <f t="shared" si="2"/>
        <v>403</v>
      </c>
      <c r="B406" s="218" t="s">
        <v>201</v>
      </c>
      <c r="C406" s="219" t="str">
        <f t="shared" si="1"/>
        <v>HD/1470/2025</v>
      </c>
      <c r="D406" s="218" t="b">
        <v>1</v>
      </c>
      <c r="E406" s="219" t="b">
        <v>0</v>
      </c>
      <c r="F406" s="219"/>
      <c r="G406" s="173"/>
      <c r="H406" s="157" t="s">
        <v>6473</v>
      </c>
      <c r="I406" s="157">
        <f t="shared" si="3"/>
        <v>1470</v>
      </c>
      <c r="J406" s="157">
        <v>2025.0</v>
      </c>
    </row>
    <row r="407">
      <c r="A407" s="218">
        <f t="shared" si="2"/>
        <v>404</v>
      </c>
      <c r="B407" s="218" t="s">
        <v>201</v>
      </c>
      <c r="C407" s="219" t="str">
        <f t="shared" si="1"/>
        <v>HD/1471/2025</v>
      </c>
      <c r="D407" s="218" t="b">
        <v>1</v>
      </c>
      <c r="E407" s="219" t="b">
        <v>0</v>
      </c>
      <c r="F407" s="219"/>
      <c r="G407" s="173"/>
      <c r="H407" s="157" t="s">
        <v>6473</v>
      </c>
      <c r="I407" s="157">
        <f t="shared" si="3"/>
        <v>1471</v>
      </c>
      <c r="J407" s="157">
        <v>2025.0</v>
      </c>
    </row>
    <row r="408">
      <c r="A408" s="218">
        <f t="shared" si="2"/>
        <v>405</v>
      </c>
      <c r="B408" s="218" t="s">
        <v>201</v>
      </c>
      <c r="C408" s="219" t="str">
        <f t="shared" si="1"/>
        <v>HD/1472/2025</v>
      </c>
      <c r="D408" s="218" t="b">
        <v>1</v>
      </c>
      <c r="E408" s="219" t="b">
        <v>0</v>
      </c>
      <c r="F408" s="219"/>
      <c r="G408" s="173"/>
      <c r="H408" s="157" t="s">
        <v>6473</v>
      </c>
      <c r="I408" s="157">
        <f t="shared" si="3"/>
        <v>1472</v>
      </c>
      <c r="J408" s="157">
        <v>2025.0</v>
      </c>
    </row>
    <row r="409">
      <c r="A409" s="218">
        <f t="shared" si="2"/>
        <v>406</v>
      </c>
      <c r="B409" s="218" t="s">
        <v>201</v>
      </c>
      <c r="C409" s="219" t="str">
        <f t="shared" si="1"/>
        <v>HD/1473/2025</v>
      </c>
      <c r="D409" s="218" t="b">
        <v>1</v>
      </c>
      <c r="E409" s="219" t="b">
        <v>0</v>
      </c>
      <c r="F409" s="219"/>
      <c r="G409" s="173"/>
      <c r="H409" s="157" t="s">
        <v>6473</v>
      </c>
      <c r="I409" s="157">
        <f t="shared" si="3"/>
        <v>1473</v>
      </c>
      <c r="J409" s="157">
        <v>2025.0</v>
      </c>
    </row>
    <row r="410">
      <c r="A410" s="218">
        <f t="shared" si="2"/>
        <v>407</v>
      </c>
      <c r="B410" s="218" t="s">
        <v>201</v>
      </c>
      <c r="C410" s="219" t="str">
        <f t="shared" si="1"/>
        <v>HD/1474/2025</v>
      </c>
      <c r="D410" s="218" t="b">
        <v>1</v>
      </c>
      <c r="E410" s="219" t="b">
        <v>0</v>
      </c>
      <c r="F410" s="219"/>
      <c r="G410" s="173"/>
      <c r="H410" s="157" t="s">
        <v>6473</v>
      </c>
      <c r="I410" s="157">
        <f t="shared" si="3"/>
        <v>1474</v>
      </c>
      <c r="J410" s="157">
        <v>2025.0</v>
      </c>
    </row>
    <row r="411">
      <c r="A411" s="218">
        <f t="shared" si="2"/>
        <v>408</v>
      </c>
      <c r="B411" s="218" t="s">
        <v>201</v>
      </c>
      <c r="C411" s="219" t="str">
        <f t="shared" si="1"/>
        <v>HD/1475/2025</v>
      </c>
      <c r="D411" s="218" t="b">
        <v>1</v>
      </c>
      <c r="E411" s="219" t="b">
        <v>0</v>
      </c>
      <c r="F411" s="219"/>
      <c r="G411" s="173"/>
      <c r="H411" s="157" t="s">
        <v>6473</v>
      </c>
      <c r="I411" s="157">
        <f t="shared" si="3"/>
        <v>1475</v>
      </c>
      <c r="J411" s="157">
        <v>2025.0</v>
      </c>
    </row>
    <row r="412">
      <c r="A412" s="218">
        <f t="shared" si="2"/>
        <v>409</v>
      </c>
      <c r="B412" s="218" t="s">
        <v>201</v>
      </c>
      <c r="C412" s="219" t="str">
        <f t="shared" si="1"/>
        <v>HD/1476/2025</v>
      </c>
      <c r="D412" s="218" t="b">
        <v>1</v>
      </c>
      <c r="E412" s="219" t="b">
        <v>0</v>
      </c>
      <c r="F412" s="219"/>
      <c r="G412" s="173"/>
      <c r="H412" s="157" t="s">
        <v>6473</v>
      </c>
      <c r="I412" s="157">
        <f t="shared" si="3"/>
        <v>1476</v>
      </c>
      <c r="J412" s="157">
        <v>2025.0</v>
      </c>
    </row>
    <row r="413">
      <c r="A413" s="218">
        <f t="shared" si="2"/>
        <v>410</v>
      </c>
      <c r="B413" s="218" t="s">
        <v>201</v>
      </c>
      <c r="C413" s="219" t="str">
        <f t="shared" si="1"/>
        <v>HD/1477/2025</v>
      </c>
      <c r="D413" s="218" t="b">
        <v>1</v>
      </c>
      <c r="E413" s="219" t="b">
        <v>0</v>
      </c>
      <c r="F413" s="219"/>
      <c r="G413" s="173"/>
      <c r="H413" s="157" t="s">
        <v>6473</v>
      </c>
      <c r="I413" s="157">
        <f t="shared" si="3"/>
        <v>1477</v>
      </c>
      <c r="J413" s="157">
        <v>2025.0</v>
      </c>
    </row>
    <row r="414">
      <c r="A414" s="218">
        <f t="shared" si="2"/>
        <v>411</v>
      </c>
      <c r="B414" s="218" t="s">
        <v>201</v>
      </c>
      <c r="C414" s="219" t="str">
        <f t="shared" si="1"/>
        <v>HD/1478/2025</v>
      </c>
      <c r="D414" s="218" t="b">
        <v>1</v>
      </c>
      <c r="E414" s="219" t="b">
        <v>0</v>
      </c>
      <c r="F414" s="219"/>
      <c r="G414" s="173"/>
      <c r="H414" s="157" t="s">
        <v>6473</v>
      </c>
      <c r="I414" s="157">
        <f t="shared" si="3"/>
        <v>1478</v>
      </c>
      <c r="J414" s="157">
        <v>2025.0</v>
      </c>
    </row>
    <row r="415">
      <c r="A415" s="218">
        <f t="shared" si="2"/>
        <v>412</v>
      </c>
      <c r="B415" s="218" t="s">
        <v>201</v>
      </c>
      <c r="C415" s="219" t="str">
        <f t="shared" si="1"/>
        <v>HD/1479/2025</v>
      </c>
      <c r="D415" s="218" t="b">
        <v>1</v>
      </c>
      <c r="E415" s="219" t="b">
        <v>0</v>
      </c>
      <c r="F415" s="219"/>
      <c r="G415" s="173"/>
      <c r="H415" s="157" t="s">
        <v>6473</v>
      </c>
      <c r="I415" s="157">
        <f t="shared" si="3"/>
        <v>1479</v>
      </c>
      <c r="J415" s="157">
        <v>2025.0</v>
      </c>
    </row>
    <row r="416">
      <c r="A416" s="218">
        <f t="shared" si="2"/>
        <v>413</v>
      </c>
      <c r="B416" s="218" t="s">
        <v>201</v>
      </c>
      <c r="C416" s="219" t="str">
        <f t="shared" si="1"/>
        <v>HD/1480/2025</v>
      </c>
      <c r="D416" s="218" t="b">
        <v>1</v>
      </c>
      <c r="E416" s="219" t="b">
        <v>0</v>
      </c>
      <c r="F416" s="219"/>
      <c r="G416" s="173"/>
      <c r="H416" s="157" t="s">
        <v>6473</v>
      </c>
      <c r="I416" s="157">
        <f t="shared" si="3"/>
        <v>1480</v>
      </c>
      <c r="J416" s="157">
        <v>2025.0</v>
      </c>
    </row>
    <row r="417">
      <c r="A417" s="218">
        <f t="shared" si="2"/>
        <v>414</v>
      </c>
      <c r="B417" s="218" t="s">
        <v>201</v>
      </c>
      <c r="C417" s="219" t="str">
        <f t="shared" si="1"/>
        <v>HD/1481/2025</v>
      </c>
      <c r="D417" s="218" t="b">
        <v>1</v>
      </c>
      <c r="E417" s="219" t="b">
        <v>0</v>
      </c>
      <c r="F417" s="219"/>
      <c r="G417" s="173"/>
      <c r="H417" s="157" t="s">
        <v>6473</v>
      </c>
      <c r="I417" s="157">
        <f t="shared" si="3"/>
        <v>1481</v>
      </c>
      <c r="J417" s="157">
        <v>2025.0</v>
      </c>
    </row>
    <row r="418">
      <c r="A418" s="218">
        <f t="shared" si="2"/>
        <v>415</v>
      </c>
      <c r="B418" s="218" t="s">
        <v>201</v>
      </c>
      <c r="C418" s="219" t="str">
        <f t="shared" si="1"/>
        <v>HD/1482/2025</v>
      </c>
      <c r="D418" s="218" t="b">
        <v>1</v>
      </c>
      <c r="E418" s="219" t="b">
        <v>0</v>
      </c>
      <c r="F418" s="219"/>
      <c r="G418" s="173"/>
      <c r="H418" s="157" t="s">
        <v>6473</v>
      </c>
      <c r="I418" s="157">
        <f t="shared" si="3"/>
        <v>1482</v>
      </c>
      <c r="J418" s="157">
        <v>2025.0</v>
      </c>
    </row>
    <row r="419">
      <c r="A419" s="218">
        <f t="shared" si="2"/>
        <v>416</v>
      </c>
      <c r="B419" s="218" t="s">
        <v>201</v>
      </c>
      <c r="C419" s="219" t="str">
        <f t="shared" si="1"/>
        <v>HD/1483/2025</v>
      </c>
      <c r="D419" s="218" t="b">
        <v>1</v>
      </c>
      <c r="E419" s="219" t="b">
        <v>0</v>
      </c>
      <c r="F419" s="219"/>
      <c r="G419" s="173"/>
      <c r="H419" s="157" t="s">
        <v>6473</v>
      </c>
      <c r="I419" s="157">
        <f t="shared" si="3"/>
        <v>1483</v>
      </c>
      <c r="J419" s="157">
        <v>2025.0</v>
      </c>
    </row>
    <row r="420">
      <c r="A420" s="218">
        <f t="shared" si="2"/>
        <v>417</v>
      </c>
      <c r="B420" s="218" t="s">
        <v>201</v>
      </c>
      <c r="C420" s="219" t="str">
        <f t="shared" si="1"/>
        <v>HD/1484/2025</v>
      </c>
      <c r="D420" s="218" t="b">
        <v>1</v>
      </c>
      <c r="E420" s="219" t="b">
        <v>0</v>
      </c>
      <c r="F420" s="219"/>
      <c r="G420" s="173"/>
      <c r="H420" s="157" t="s">
        <v>6473</v>
      </c>
      <c r="I420" s="157">
        <f t="shared" si="3"/>
        <v>1484</v>
      </c>
      <c r="J420" s="157">
        <v>2025.0</v>
      </c>
    </row>
    <row r="421">
      <c r="A421" s="218">
        <f t="shared" si="2"/>
        <v>418</v>
      </c>
      <c r="B421" s="218" t="s">
        <v>201</v>
      </c>
      <c r="C421" s="219" t="str">
        <f t="shared" si="1"/>
        <v>HD/1485/2025</v>
      </c>
      <c r="D421" s="218" t="b">
        <v>1</v>
      </c>
      <c r="E421" s="219" t="b">
        <v>0</v>
      </c>
      <c r="F421" s="219"/>
      <c r="G421" s="173"/>
      <c r="H421" s="157" t="s">
        <v>6473</v>
      </c>
      <c r="I421" s="157">
        <f t="shared" si="3"/>
        <v>1485</v>
      </c>
      <c r="J421" s="157">
        <v>2025.0</v>
      </c>
    </row>
    <row r="422">
      <c r="A422" s="218">
        <f t="shared" si="2"/>
        <v>419</v>
      </c>
      <c r="B422" s="218" t="s">
        <v>201</v>
      </c>
      <c r="C422" s="219" t="str">
        <f t="shared" si="1"/>
        <v>HD/1486/2025</v>
      </c>
      <c r="D422" s="218" t="b">
        <v>1</v>
      </c>
      <c r="E422" s="219" t="b">
        <v>0</v>
      </c>
      <c r="F422" s="219"/>
      <c r="G422" s="173"/>
      <c r="H422" s="157" t="s">
        <v>6473</v>
      </c>
      <c r="I422" s="157">
        <f t="shared" si="3"/>
        <v>1486</v>
      </c>
      <c r="J422" s="157">
        <v>2025.0</v>
      </c>
    </row>
    <row r="423">
      <c r="A423" s="218">
        <f t="shared" si="2"/>
        <v>420</v>
      </c>
      <c r="B423" s="218" t="s">
        <v>201</v>
      </c>
      <c r="C423" s="219" t="str">
        <f t="shared" si="1"/>
        <v>HD/1487/2025</v>
      </c>
      <c r="D423" s="218" t="b">
        <v>1</v>
      </c>
      <c r="E423" s="219" t="b">
        <v>0</v>
      </c>
      <c r="F423" s="219"/>
      <c r="G423" s="173"/>
      <c r="H423" s="157" t="s">
        <v>6473</v>
      </c>
      <c r="I423" s="157">
        <f t="shared" si="3"/>
        <v>1487</v>
      </c>
      <c r="J423" s="157">
        <v>2025.0</v>
      </c>
    </row>
    <row r="424">
      <c r="A424" s="218">
        <f t="shared" si="2"/>
        <v>421</v>
      </c>
      <c r="B424" s="218" t="s">
        <v>201</v>
      </c>
      <c r="C424" s="219" t="str">
        <f t="shared" si="1"/>
        <v>HD/1488/2025</v>
      </c>
      <c r="D424" s="218" t="b">
        <v>1</v>
      </c>
      <c r="E424" s="219" t="b">
        <v>0</v>
      </c>
      <c r="F424" s="219"/>
      <c r="G424" s="173"/>
      <c r="H424" s="157" t="s">
        <v>6473</v>
      </c>
      <c r="I424" s="157">
        <f t="shared" si="3"/>
        <v>1488</v>
      </c>
      <c r="J424" s="157">
        <v>2025.0</v>
      </c>
    </row>
    <row r="425">
      <c r="A425" s="218">
        <f t="shared" si="2"/>
        <v>422</v>
      </c>
      <c r="B425" s="218" t="s">
        <v>201</v>
      </c>
      <c r="C425" s="219" t="str">
        <f t="shared" si="1"/>
        <v>HD/1489/2025</v>
      </c>
      <c r="D425" s="218" t="b">
        <v>1</v>
      </c>
      <c r="E425" s="219" t="b">
        <v>0</v>
      </c>
      <c r="F425" s="219"/>
      <c r="G425" s="173"/>
      <c r="H425" s="157" t="s">
        <v>6473</v>
      </c>
      <c r="I425" s="157">
        <f t="shared" si="3"/>
        <v>1489</v>
      </c>
      <c r="J425" s="157">
        <v>2025.0</v>
      </c>
    </row>
    <row r="426">
      <c r="A426" s="218">
        <f t="shared" si="2"/>
        <v>423</v>
      </c>
      <c r="B426" s="218" t="s">
        <v>201</v>
      </c>
      <c r="C426" s="219" t="str">
        <f t="shared" si="1"/>
        <v>HD/1490/2025</v>
      </c>
      <c r="D426" s="218" t="b">
        <v>1</v>
      </c>
      <c r="E426" s="219" t="b">
        <v>0</v>
      </c>
      <c r="F426" s="219"/>
      <c r="G426" s="173"/>
      <c r="H426" s="157" t="s">
        <v>6473</v>
      </c>
      <c r="I426" s="157">
        <f t="shared" si="3"/>
        <v>1490</v>
      </c>
      <c r="J426" s="157">
        <v>2025.0</v>
      </c>
    </row>
    <row r="427">
      <c r="A427" s="218">
        <f t="shared" si="2"/>
        <v>424</v>
      </c>
      <c r="B427" s="218" t="s">
        <v>201</v>
      </c>
      <c r="C427" s="219" t="str">
        <f t="shared" si="1"/>
        <v>HD/1491/2025</v>
      </c>
      <c r="D427" s="218" t="b">
        <v>1</v>
      </c>
      <c r="E427" s="219" t="b">
        <v>0</v>
      </c>
      <c r="F427" s="219"/>
      <c r="G427" s="173"/>
      <c r="H427" s="157" t="s">
        <v>6473</v>
      </c>
      <c r="I427" s="157">
        <f t="shared" si="3"/>
        <v>1491</v>
      </c>
      <c r="J427" s="157">
        <v>2025.0</v>
      </c>
    </row>
    <row r="428">
      <c r="A428" s="218">
        <f t="shared" si="2"/>
        <v>425</v>
      </c>
      <c r="B428" s="218" t="s">
        <v>201</v>
      </c>
      <c r="C428" s="219" t="str">
        <f t="shared" si="1"/>
        <v>HD/1492/2025</v>
      </c>
      <c r="D428" s="218" t="b">
        <v>1</v>
      </c>
      <c r="E428" s="219" t="b">
        <v>0</v>
      </c>
      <c r="F428" s="219"/>
      <c r="G428" s="173"/>
      <c r="H428" s="157" t="s">
        <v>6473</v>
      </c>
      <c r="I428" s="157">
        <f t="shared" si="3"/>
        <v>1492</v>
      </c>
      <c r="J428" s="157">
        <v>2025.0</v>
      </c>
    </row>
    <row r="429">
      <c r="A429" s="218">
        <f t="shared" si="2"/>
        <v>426</v>
      </c>
      <c r="B429" s="218" t="s">
        <v>201</v>
      </c>
      <c r="C429" s="219" t="str">
        <f t="shared" si="1"/>
        <v>HD/1493/2025</v>
      </c>
      <c r="D429" s="218" t="b">
        <v>1</v>
      </c>
      <c r="E429" s="219" t="b">
        <v>0</v>
      </c>
      <c r="F429" s="219"/>
      <c r="G429" s="173"/>
      <c r="H429" s="157" t="s">
        <v>6473</v>
      </c>
      <c r="I429" s="157">
        <f t="shared" si="3"/>
        <v>1493</v>
      </c>
      <c r="J429" s="157">
        <v>2025.0</v>
      </c>
    </row>
    <row r="430">
      <c r="A430" s="218">
        <f t="shared" si="2"/>
        <v>427</v>
      </c>
      <c r="B430" s="218" t="s">
        <v>201</v>
      </c>
      <c r="C430" s="219" t="str">
        <f t="shared" si="1"/>
        <v>HD/1494/2025</v>
      </c>
      <c r="D430" s="218" t="b">
        <v>1</v>
      </c>
      <c r="E430" s="219" t="b">
        <v>0</v>
      </c>
      <c r="F430" s="219"/>
      <c r="G430" s="173"/>
      <c r="H430" s="157" t="s">
        <v>6473</v>
      </c>
      <c r="I430" s="157">
        <f t="shared" si="3"/>
        <v>1494</v>
      </c>
      <c r="J430" s="157">
        <v>2025.0</v>
      </c>
    </row>
    <row r="431">
      <c r="A431" s="218">
        <f t="shared" si="2"/>
        <v>428</v>
      </c>
      <c r="B431" s="218" t="s">
        <v>201</v>
      </c>
      <c r="C431" s="219" t="str">
        <f t="shared" si="1"/>
        <v>HD/1495/2025</v>
      </c>
      <c r="D431" s="218" t="b">
        <v>1</v>
      </c>
      <c r="E431" s="219" t="b">
        <v>0</v>
      </c>
      <c r="F431" s="219"/>
      <c r="G431" s="173"/>
      <c r="H431" s="157" t="s">
        <v>6473</v>
      </c>
      <c r="I431" s="157">
        <f t="shared" si="3"/>
        <v>1495</v>
      </c>
      <c r="J431" s="157">
        <v>2025.0</v>
      </c>
    </row>
    <row r="432">
      <c r="A432" s="218">
        <f t="shared" si="2"/>
        <v>429</v>
      </c>
      <c r="B432" s="218" t="s">
        <v>201</v>
      </c>
      <c r="C432" s="219" t="str">
        <f t="shared" si="1"/>
        <v>HD/1496/2025</v>
      </c>
      <c r="D432" s="218" t="b">
        <v>1</v>
      </c>
      <c r="E432" s="219" t="b">
        <v>0</v>
      </c>
      <c r="F432" s="219"/>
      <c r="G432" s="173"/>
      <c r="H432" s="157" t="s">
        <v>6473</v>
      </c>
      <c r="I432" s="157">
        <f t="shared" si="3"/>
        <v>1496</v>
      </c>
      <c r="J432" s="157">
        <v>2025.0</v>
      </c>
    </row>
    <row r="433">
      <c r="A433" s="218">
        <f t="shared" si="2"/>
        <v>430</v>
      </c>
      <c r="B433" s="218" t="s">
        <v>201</v>
      </c>
      <c r="C433" s="219" t="str">
        <f t="shared" si="1"/>
        <v>HD/1497/2025</v>
      </c>
      <c r="D433" s="218" t="b">
        <v>1</v>
      </c>
      <c r="E433" s="219" t="b">
        <v>0</v>
      </c>
      <c r="F433" s="219"/>
      <c r="G433" s="173"/>
      <c r="H433" s="157" t="s">
        <v>6473</v>
      </c>
      <c r="I433" s="157">
        <f t="shared" si="3"/>
        <v>1497</v>
      </c>
      <c r="J433" s="157">
        <v>2025.0</v>
      </c>
    </row>
    <row r="434">
      <c r="A434" s="218">
        <f t="shared" si="2"/>
        <v>431</v>
      </c>
      <c r="B434" s="218" t="s">
        <v>201</v>
      </c>
      <c r="C434" s="219" t="str">
        <f t="shared" si="1"/>
        <v>HD/1498/2025</v>
      </c>
      <c r="D434" s="218" t="b">
        <v>1</v>
      </c>
      <c r="E434" s="219" t="b">
        <v>0</v>
      </c>
      <c r="F434" s="219"/>
      <c r="G434" s="173"/>
      <c r="H434" s="157" t="s">
        <v>6473</v>
      </c>
      <c r="I434" s="157">
        <f t="shared" si="3"/>
        <v>1498</v>
      </c>
      <c r="J434" s="157">
        <v>2025.0</v>
      </c>
    </row>
    <row r="435">
      <c r="A435" s="218">
        <f t="shared" si="2"/>
        <v>432</v>
      </c>
      <c r="B435" s="218" t="s">
        <v>201</v>
      </c>
      <c r="C435" s="219" t="str">
        <f t="shared" si="1"/>
        <v>HD/1499/2025</v>
      </c>
      <c r="D435" s="218" t="b">
        <v>1</v>
      </c>
      <c r="E435" s="219" t="b">
        <v>0</v>
      </c>
      <c r="F435" s="219"/>
      <c r="G435" s="173"/>
      <c r="H435" s="157" t="s">
        <v>6473</v>
      </c>
      <c r="I435" s="157">
        <f t="shared" si="3"/>
        <v>1499</v>
      </c>
      <c r="J435" s="157">
        <v>2025.0</v>
      </c>
    </row>
    <row r="436">
      <c r="A436" s="218">
        <f t="shared" si="2"/>
        <v>433</v>
      </c>
      <c r="B436" s="218" t="s">
        <v>201</v>
      </c>
      <c r="C436" s="219" t="str">
        <f t="shared" si="1"/>
        <v>HD/1500/2025</v>
      </c>
      <c r="D436" s="218" t="b">
        <v>1</v>
      </c>
      <c r="E436" s="219" t="b">
        <v>0</v>
      </c>
      <c r="F436" s="219"/>
      <c r="G436" s="173"/>
      <c r="H436" s="157" t="s">
        <v>6473</v>
      </c>
      <c r="I436" s="157">
        <f t="shared" si="3"/>
        <v>1500</v>
      </c>
      <c r="J436" s="157">
        <v>2025.0</v>
      </c>
    </row>
    <row r="437">
      <c r="A437" s="218">
        <f t="shared" si="2"/>
        <v>434</v>
      </c>
      <c r="B437" s="218" t="s">
        <v>201</v>
      </c>
      <c r="C437" s="219" t="str">
        <f t="shared" si="1"/>
        <v>HD/1501/2025</v>
      </c>
      <c r="D437" s="218" t="b">
        <v>1</v>
      </c>
      <c r="E437" s="219" t="b">
        <v>0</v>
      </c>
      <c r="F437" s="219"/>
      <c r="G437" s="173"/>
      <c r="H437" s="157" t="s">
        <v>6473</v>
      </c>
      <c r="I437" s="157">
        <f t="shared" si="3"/>
        <v>1501</v>
      </c>
      <c r="J437" s="157">
        <v>2025.0</v>
      </c>
    </row>
    <row r="438">
      <c r="A438" s="218">
        <f t="shared" si="2"/>
        <v>435</v>
      </c>
      <c r="B438" s="218" t="s">
        <v>201</v>
      </c>
      <c r="C438" s="219" t="str">
        <f t="shared" si="1"/>
        <v>HD/1502/2025</v>
      </c>
      <c r="D438" s="218" t="b">
        <v>1</v>
      </c>
      <c r="E438" s="219" t="b">
        <v>0</v>
      </c>
      <c r="F438" s="219"/>
      <c r="G438" s="173"/>
      <c r="H438" s="157" t="s">
        <v>6473</v>
      </c>
      <c r="I438" s="157">
        <f t="shared" si="3"/>
        <v>1502</v>
      </c>
      <c r="J438" s="157">
        <v>2025.0</v>
      </c>
    </row>
    <row r="439">
      <c r="A439" s="218">
        <f t="shared" si="2"/>
        <v>436</v>
      </c>
      <c r="B439" s="218" t="s">
        <v>201</v>
      </c>
      <c r="C439" s="219" t="str">
        <f t="shared" si="1"/>
        <v>HD/1503/2025</v>
      </c>
      <c r="D439" s="218" t="b">
        <v>1</v>
      </c>
      <c r="E439" s="219" t="b">
        <v>0</v>
      </c>
      <c r="F439" s="219"/>
      <c r="G439" s="173"/>
      <c r="H439" s="157" t="s">
        <v>6473</v>
      </c>
      <c r="I439" s="157">
        <f t="shared" si="3"/>
        <v>1503</v>
      </c>
      <c r="J439" s="157">
        <v>2025.0</v>
      </c>
    </row>
    <row r="440">
      <c r="A440" s="218">
        <f t="shared" si="2"/>
        <v>437</v>
      </c>
      <c r="B440" s="218" t="s">
        <v>201</v>
      </c>
      <c r="C440" s="219" t="str">
        <f t="shared" si="1"/>
        <v>HD/1504/2025</v>
      </c>
      <c r="D440" s="218" t="b">
        <v>1</v>
      </c>
      <c r="E440" s="219" t="b">
        <v>0</v>
      </c>
      <c r="F440" s="219"/>
      <c r="G440" s="173"/>
      <c r="H440" s="157" t="s">
        <v>6473</v>
      </c>
      <c r="I440" s="157">
        <f t="shared" si="3"/>
        <v>1504</v>
      </c>
      <c r="J440" s="157">
        <v>2025.0</v>
      </c>
    </row>
    <row r="441">
      <c r="A441" s="218">
        <f t="shared" si="2"/>
        <v>438</v>
      </c>
      <c r="B441" s="218" t="s">
        <v>201</v>
      </c>
      <c r="C441" s="219" t="str">
        <f t="shared" si="1"/>
        <v>HD/1505/2025</v>
      </c>
      <c r="D441" s="218" t="b">
        <v>1</v>
      </c>
      <c r="E441" s="219" t="b">
        <v>0</v>
      </c>
      <c r="F441" s="219"/>
      <c r="G441" s="173"/>
      <c r="H441" s="157" t="s">
        <v>6473</v>
      </c>
      <c r="I441" s="157">
        <f t="shared" si="3"/>
        <v>1505</v>
      </c>
      <c r="J441" s="157">
        <v>2025.0</v>
      </c>
    </row>
    <row r="442">
      <c r="A442" s="218">
        <f t="shared" si="2"/>
        <v>439</v>
      </c>
      <c r="B442" s="218" t="s">
        <v>201</v>
      </c>
      <c r="C442" s="219" t="str">
        <f t="shared" si="1"/>
        <v>HD/1506/2025</v>
      </c>
      <c r="D442" s="218" t="b">
        <v>1</v>
      </c>
      <c r="E442" s="219" t="b">
        <v>0</v>
      </c>
      <c r="F442" s="219"/>
      <c r="G442" s="173"/>
      <c r="H442" s="157" t="s">
        <v>6473</v>
      </c>
      <c r="I442" s="157">
        <f t="shared" si="3"/>
        <v>1506</v>
      </c>
      <c r="J442" s="157">
        <v>2025.0</v>
      </c>
    </row>
    <row r="443">
      <c r="A443" s="218">
        <f t="shared" si="2"/>
        <v>440</v>
      </c>
      <c r="B443" s="218" t="s">
        <v>201</v>
      </c>
      <c r="C443" s="219" t="str">
        <f t="shared" si="1"/>
        <v>HD/1507/2025</v>
      </c>
      <c r="D443" s="218" t="b">
        <v>1</v>
      </c>
      <c r="E443" s="219" t="b">
        <v>0</v>
      </c>
      <c r="F443" s="219"/>
      <c r="G443" s="173"/>
      <c r="H443" s="157" t="s">
        <v>6473</v>
      </c>
      <c r="I443" s="157">
        <f t="shared" si="3"/>
        <v>1507</v>
      </c>
      <c r="J443" s="157">
        <v>2025.0</v>
      </c>
    </row>
    <row r="444">
      <c r="A444" s="218">
        <f t="shared" si="2"/>
        <v>441</v>
      </c>
      <c r="B444" s="218" t="s">
        <v>201</v>
      </c>
      <c r="C444" s="219" t="str">
        <f t="shared" si="1"/>
        <v>HD/1508/2025</v>
      </c>
      <c r="D444" s="218" t="b">
        <v>1</v>
      </c>
      <c r="E444" s="219" t="b">
        <v>0</v>
      </c>
      <c r="F444" s="219"/>
      <c r="G444" s="173"/>
      <c r="H444" s="157" t="s">
        <v>6473</v>
      </c>
      <c r="I444" s="157">
        <f t="shared" si="3"/>
        <v>1508</v>
      </c>
      <c r="J444" s="157">
        <v>2025.0</v>
      </c>
    </row>
    <row r="445">
      <c r="A445" s="218">
        <f t="shared" si="2"/>
        <v>442</v>
      </c>
      <c r="B445" s="218" t="s">
        <v>201</v>
      </c>
      <c r="C445" s="219" t="str">
        <f t="shared" si="1"/>
        <v>HD/1509/2025</v>
      </c>
      <c r="D445" s="218" t="b">
        <v>1</v>
      </c>
      <c r="E445" s="219" t="b">
        <v>0</v>
      </c>
      <c r="F445" s="219"/>
      <c r="G445" s="173"/>
      <c r="H445" s="157" t="s">
        <v>6473</v>
      </c>
      <c r="I445" s="157">
        <f t="shared" si="3"/>
        <v>1509</v>
      </c>
      <c r="J445" s="157">
        <v>2025.0</v>
      </c>
    </row>
    <row r="446">
      <c r="A446" s="218">
        <f t="shared" si="2"/>
        <v>443</v>
      </c>
      <c r="B446" s="218" t="s">
        <v>201</v>
      </c>
      <c r="C446" s="219" t="str">
        <f t="shared" si="1"/>
        <v>HD/1510/2025</v>
      </c>
      <c r="D446" s="218" t="b">
        <v>1</v>
      </c>
      <c r="E446" s="219" t="b">
        <v>0</v>
      </c>
      <c r="F446" s="219"/>
      <c r="G446" s="173"/>
      <c r="H446" s="157" t="s">
        <v>6473</v>
      </c>
      <c r="I446" s="157">
        <f t="shared" si="3"/>
        <v>1510</v>
      </c>
      <c r="J446" s="157">
        <v>2025.0</v>
      </c>
    </row>
    <row r="447">
      <c r="A447" s="218">
        <f t="shared" si="2"/>
        <v>444</v>
      </c>
      <c r="B447" s="218" t="s">
        <v>201</v>
      </c>
      <c r="C447" s="219" t="str">
        <f t="shared" si="1"/>
        <v>HD/1511/2025</v>
      </c>
      <c r="D447" s="218" t="b">
        <v>1</v>
      </c>
      <c r="E447" s="219" t="b">
        <v>0</v>
      </c>
      <c r="F447" s="219"/>
      <c r="G447" s="173"/>
      <c r="H447" s="157" t="s">
        <v>6473</v>
      </c>
      <c r="I447" s="157">
        <f t="shared" si="3"/>
        <v>1511</v>
      </c>
      <c r="J447" s="157">
        <v>2025.0</v>
      </c>
    </row>
    <row r="448">
      <c r="A448" s="218">
        <f t="shared" si="2"/>
        <v>445</v>
      </c>
      <c r="B448" s="218" t="s">
        <v>201</v>
      </c>
      <c r="C448" s="219" t="str">
        <f t="shared" si="1"/>
        <v>HD/1512/2025</v>
      </c>
      <c r="D448" s="218" t="b">
        <v>1</v>
      </c>
      <c r="E448" s="219" t="b">
        <v>0</v>
      </c>
      <c r="F448" s="219"/>
      <c r="G448" s="173"/>
      <c r="H448" s="157" t="s">
        <v>6473</v>
      </c>
      <c r="I448" s="157">
        <f t="shared" si="3"/>
        <v>1512</v>
      </c>
      <c r="J448" s="157">
        <v>2025.0</v>
      </c>
    </row>
    <row r="449">
      <c r="A449" s="218">
        <f t="shared" si="2"/>
        <v>446</v>
      </c>
      <c r="B449" s="218" t="s">
        <v>201</v>
      </c>
      <c r="C449" s="219" t="str">
        <f t="shared" si="1"/>
        <v>HD/1513/2025</v>
      </c>
      <c r="D449" s="218" t="b">
        <v>1</v>
      </c>
      <c r="E449" s="219" t="b">
        <v>0</v>
      </c>
      <c r="F449" s="219"/>
      <c r="G449" s="173"/>
      <c r="H449" s="157" t="s">
        <v>6473</v>
      </c>
      <c r="I449" s="157">
        <f t="shared" si="3"/>
        <v>1513</v>
      </c>
      <c r="J449" s="157">
        <v>2025.0</v>
      </c>
    </row>
    <row r="450">
      <c r="A450" s="218">
        <f t="shared" si="2"/>
        <v>447</v>
      </c>
      <c r="B450" s="218" t="s">
        <v>201</v>
      </c>
      <c r="C450" s="219" t="str">
        <f t="shared" si="1"/>
        <v>HD/1514/2025</v>
      </c>
      <c r="D450" s="218" t="b">
        <v>1</v>
      </c>
      <c r="E450" s="219" t="b">
        <v>0</v>
      </c>
      <c r="F450" s="219"/>
      <c r="G450" s="173"/>
      <c r="H450" s="157" t="s">
        <v>6473</v>
      </c>
      <c r="I450" s="157">
        <f t="shared" si="3"/>
        <v>1514</v>
      </c>
      <c r="J450" s="157">
        <v>2025.0</v>
      </c>
    </row>
    <row r="451">
      <c r="A451" s="218">
        <f t="shared" si="2"/>
        <v>448</v>
      </c>
      <c r="B451" s="218" t="s">
        <v>201</v>
      </c>
      <c r="C451" s="219" t="str">
        <f t="shared" si="1"/>
        <v>HD/1515/2025</v>
      </c>
      <c r="D451" s="218" t="b">
        <v>1</v>
      </c>
      <c r="E451" s="219" t="b">
        <v>0</v>
      </c>
      <c r="F451" s="219"/>
      <c r="G451" s="173"/>
      <c r="H451" s="157" t="s">
        <v>6473</v>
      </c>
      <c r="I451" s="157">
        <f t="shared" si="3"/>
        <v>1515</v>
      </c>
      <c r="J451" s="157">
        <v>2025.0</v>
      </c>
    </row>
    <row r="452">
      <c r="A452" s="218">
        <f t="shared" si="2"/>
        <v>449</v>
      </c>
      <c r="B452" s="218" t="s">
        <v>201</v>
      </c>
      <c r="C452" s="219" t="str">
        <f t="shared" si="1"/>
        <v>HD/1516/2025</v>
      </c>
      <c r="D452" s="218" t="b">
        <v>1</v>
      </c>
      <c r="E452" s="219" t="b">
        <v>0</v>
      </c>
      <c r="F452" s="219"/>
      <c r="G452" s="173"/>
      <c r="H452" s="157" t="s">
        <v>6473</v>
      </c>
      <c r="I452" s="157">
        <f t="shared" si="3"/>
        <v>1516</v>
      </c>
      <c r="J452" s="157">
        <v>2025.0</v>
      </c>
    </row>
    <row r="453">
      <c r="A453" s="218">
        <f t="shared" si="2"/>
        <v>450</v>
      </c>
      <c r="B453" s="218" t="s">
        <v>201</v>
      </c>
      <c r="C453" s="219" t="str">
        <f t="shared" si="1"/>
        <v>HD/1517/2025</v>
      </c>
      <c r="D453" s="218" t="b">
        <v>1</v>
      </c>
      <c r="E453" s="219" t="b">
        <v>0</v>
      </c>
      <c r="F453" s="219"/>
      <c r="G453" s="173"/>
      <c r="H453" s="157" t="s">
        <v>6473</v>
      </c>
      <c r="I453" s="157">
        <f t="shared" si="3"/>
        <v>1517</v>
      </c>
      <c r="J453" s="157">
        <v>2025.0</v>
      </c>
    </row>
    <row r="454">
      <c r="A454" s="218">
        <f t="shared" si="2"/>
        <v>451</v>
      </c>
      <c r="B454" s="218" t="s">
        <v>201</v>
      </c>
      <c r="C454" s="219" t="str">
        <f t="shared" si="1"/>
        <v>HD/1518/2025</v>
      </c>
      <c r="D454" s="218" t="b">
        <v>1</v>
      </c>
      <c r="E454" s="219" t="b">
        <v>0</v>
      </c>
      <c r="F454" s="219"/>
      <c r="G454" s="173"/>
      <c r="H454" s="157" t="s">
        <v>6473</v>
      </c>
      <c r="I454" s="157">
        <f t="shared" si="3"/>
        <v>1518</v>
      </c>
      <c r="J454" s="157">
        <v>2025.0</v>
      </c>
    </row>
    <row r="455">
      <c r="A455" s="218">
        <f t="shared" si="2"/>
        <v>452</v>
      </c>
      <c r="B455" s="218" t="s">
        <v>201</v>
      </c>
      <c r="C455" s="219" t="str">
        <f t="shared" si="1"/>
        <v>HD/1519/2025</v>
      </c>
      <c r="D455" s="218" t="b">
        <v>1</v>
      </c>
      <c r="E455" s="218" t="b">
        <v>0</v>
      </c>
      <c r="F455" s="219"/>
      <c r="G455" s="173"/>
      <c r="H455" s="157" t="s">
        <v>6473</v>
      </c>
      <c r="I455" s="157">
        <f t="shared" si="3"/>
        <v>1519</v>
      </c>
      <c r="J455" s="157">
        <v>2025.0</v>
      </c>
    </row>
    <row r="456">
      <c r="A456" s="218">
        <f t="shared" si="2"/>
        <v>453</v>
      </c>
      <c r="B456" s="218" t="s">
        <v>201</v>
      </c>
      <c r="C456" s="219" t="str">
        <f t="shared" si="1"/>
        <v>HD/1520/2025</v>
      </c>
      <c r="D456" s="218" t="b">
        <v>1</v>
      </c>
      <c r="E456" s="219" t="b">
        <v>0</v>
      </c>
      <c r="F456" s="219"/>
      <c r="G456" s="173"/>
      <c r="H456" s="157" t="s">
        <v>6473</v>
      </c>
      <c r="I456" s="157">
        <f t="shared" si="3"/>
        <v>1520</v>
      </c>
      <c r="J456" s="157">
        <v>2025.0</v>
      </c>
    </row>
    <row r="457">
      <c r="A457" s="218">
        <f t="shared" si="2"/>
        <v>454</v>
      </c>
      <c r="B457" s="218" t="s">
        <v>201</v>
      </c>
      <c r="C457" s="219" t="str">
        <f t="shared" si="1"/>
        <v>HD/1521/2025</v>
      </c>
      <c r="D457" s="218" t="b">
        <v>1</v>
      </c>
      <c r="E457" s="219" t="b">
        <v>0</v>
      </c>
      <c r="F457" s="219"/>
      <c r="G457" s="173"/>
      <c r="H457" s="157" t="s">
        <v>6473</v>
      </c>
      <c r="I457" s="157">
        <f t="shared" si="3"/>
        <v>1521</v>
      </c>
      <c r="J457" s="157">
        <v>2025.0</v>
      </c>
    </row>
    <row r="458">
      <c r="A458" s="218">
        <f t="shared" si="2"/>
        <v>455</v>
      </c>
      <c r="B458" s="218" t="s">
        <v>201</v>
      </c>
      <c r="C458" s="219" t="str">
        <f t="shared" si="1"/>
        <v>HD/1522/2025</v>
      </c>
      <c r="D458" s="218" t="b">
        <v>1</v>
      </c>
      <c r="E458" s="219" t="b">
        <v>0</v>
      </c>
      <c r="F458" s="219"/>
      <c r="G458" s="173"/>
      <c r="H458" s="157" t="s">
        <v>6473</v>
      </c>
      <c r="I458" s="157">
        <f t="shared" si="3"/>
        <v>1522</v>
      </c>
      <c r="J458" s="157">
        <v>2025.0</v>
      </c>
    </row>
    <row r="459">
      <c r="A459" s="218">
        <f t="shared" si="2"/>
        <v>456</v>
      </c>
      <c r="B459" s="218" t="s">
        <v>201</v>
      </c>
      <c r="C459" s="219" t="str">
        <f t="shared" si="1"/>
        <v>HD/1523/2025</v>
      </c>
      <c r="D459" s="218" t="b">
        <v>1</v>
      </c>
      <c r="E459" s="219" t="b">
        <v>0</v>
      </c>
      <c r="F459" s="219"/>
      <c r="G459" s="173"/>
      <c r="H459" s="157" t="s">
        <v>6473</v>
      </c>
      <c r="I459" s="157">
        <f t="shared" si="3"/>
        <v>1523</v>
      </c>
      <c r="J459" s="157">
        <v>2025.0</v>
      </c>
    </row>
    <row r="460">
      <c r="A460" s="218">
        <f t="shared" si="2"/>
        <v>457</v>
      </c>
      <c r="B460" s="218" t="s">
        <v>201</v>
      </c>
      <c r="C460" s="219" t="str">
        <f t="shared" si="1"/>
        <v>HD/1524/2025</v>
      </c>
      <c r="D460" s="218" t="b">
        <v>1</v>
      </c>
      <c r="E460" s="219" t="b">
        <v>0</v>
      </c>
      <c r="F460" s="219"/>
      <c r="G460" s="173"/>
      <c r="H460" s="157" t="s">
        <v>6473</v>
      </c>
      <c r="I460" s="157">
        <f t="shared" si="3"/>
        <v>1524</v>
      </c>
      <c r="J460" s="157">
        <v>2025.0</v>
      </c>
    </row>
    <row r="461">
      <c r="A461" s="218">
        <f t="shared" si="2"/>
        <v>458</v>
      </c>
      <c r="B461" s="218" t="s">
        <v>201</v>
      </c>
      <c r="C461" s="219" t="str">
        <f t="shared" si="1"/>
        <v>HD/1525/2025</v>
      </c>
      <c r="D461" s="218" t="b">
        <v>1</v>
      </c>
      <c r="E461" s="219" t="b">
        <v>0</v>
      </c>
      <c r="F461" s="219"/>
      <c r="G461" s="173"/>
      <c r="H461" s="157" t="s">
        <v>6473</v>
      </c>
      <c r="I461" s="157">
        <f t="shared" si="3"/>
        <v>1525</v>
      </c>
      <c r="J461" s="157">
        <v>2025.0</v>
      </c>
    </row>
    <row r="462">
      <c r="A462" s="218">
        <f t="shared" si="2"/>
        <v>459</v>
      </c>
      <c r="B462" s="218" t="s">
        <v>201</v>
      </c>
      <c r="C462" s="219" t="str">
        <f t="shared" si="1"/>
        <v>HD/1526/2025</v>
      </c>
      <c r="D462" s="218" t="b">
        <v>1</v>
      </c>
      <c r="E462" s="219" t="b">
        <v>0</v>
      </c>
      <c r="F462" s="219"/>
      <c r="G462" s="173"/>
      <c r="H462" s="157" t="s">
        <v>6473</v>
      </c>
      <c r="I462" s="157">
        <f t="shared" si="3"/>
        <v>1526</v>
      </c>
      <c r="J462" s="157">
        <v>2025.0</v>
      </c>
    </row>
    <row r="463">
      <c r="A463" s="218">
        <f t="shared" si="2"/>
        <v>460</v>
      </c>
      <c r="B463" s="218" t="s">
        <v>201</v>
      </c>
      <c r="C463" s="219" t="str">
        <f t="shared" si="1"/>
        <v>HD/1527/2025</v>
      </c>
      <c r="D463" s="218" t="b">
        <v>1</v>
      </c>
      <c r="E463" s="219" t="b">
        <v>0</v>
      </c>
      <c r="F463" s="219"/>
      <c r="G463" s="173"/>
      <c r="H463" s="157" t="s">
        <v>6473</v>
      </c>
      <c r="I463" s="157">
        <f t="shared" si="3"/>
        <v>1527</v>
      </c>
      <c r="J463" s="157">
        <v>2025.0</v>
      </c>
    </row>
    <row r="464">
      <c r="A464" s="218">
        <f t="shared" si="2"/>
        <v>461</v>
      </c>
      <c r="B464" s="218" t="s">
        <v>201</v>
      </c>
      <c r="C464" s="219" t="str">
        <f t="shared" si="1"/>
        <v>HD/1528/2025</v>
      </c>
      <c r="D464" s="218" t="b">
        <v>1</v>
      </c>
      <c r="E464" s="219" t="b">
        <v>0</v>
      </c>
      <c r="F464" s="219"/>
      <c r="G464" s="173"/>
      <c r="H464" s="157" t="s">
        <v>6473</v>
      </c>
      <c r="I464" s="157">
        <f t="shared" si="3"/>
        <v>1528</v>
      </c>
      <c r="J464" s="157">
        <v>2025.0</v>
      </c>
    </row>
    <row r="465">
      <c r="A465" s="218">
        <f t="shared" si="2"/>
        <v>462</v>
      </c>
      <c r="B465" s="218" t="s">
        <v>201</v>
      </c>
      <c r="C465" s="219" t="str">
        <f t="shared" si="1"/>
        <v>HD/1529/2025</v>
      </c>
      <c r="D465" s="218" t="b">
        <v>1</v>
      </c>
      <c r="E465" s="219" t="b">
        <v>0</v>
      </c>
      <c r="F465" s="219"/>
      <c r="G465" s="173"/>
      <c r="H465" s="157" t="s">
        <v>6473</v>
      </c>
      <c r="I465" s="157">
        <f t="shared" si="3"/>
        <v>1529</v>
      </c>
      <c r="J465" s="157">
        <v>2025.0</v>
      </c>
    </row>
    <row r="466">
      <c r="A466" s="218">
        <f t="shared" si="2"/>
        <v>463</v>
      </c>
      <c r="B466" s="218" t="s">
        <v>201</v>
      </c>
      <c r="C466" s="219" t="str">
        <f t="shared" si="1"/>
        <v>HD/1530/2025</v>
      </c>
      <c r="D466" s="218" t="b">
        <v>1</v>
      </c>
      <c r="E466" s="219" t="b">
        <v>0</v>
      </c>
      <c r="F466" s="219"/>
      <c r="G466" s="173"/>
      <c r="H466" s="157" t="s">
        <v>6473</v>
      </c>
      <c r="I466" s="157">
        <f t="shared" si="3"/>
        <v>1530</v>
      </c>
      <c r="J466" s="157">
        <v>2025.0</v>
      </c>
    </row>
    <row r="467">
      <c r="A467" s="218">
        <f t="shared" si="2"/>
        <v>464</v>
      </c>
      <c r="B467" s="218" t="s">
        <v>201</v>
      </c>
      <c r="C467" s="219" t="str">
        <f t="shared" si="1"/>
        <v>HD/1531/2025</v>
      </c>
      <c r="D467" s="218" t="b">
        <v>1</v>
      </c>
      <c r="E467" s="219" t="b">
        <v>0</v>
      </c>
      <c r="F467" s="219"/>
      <c r="G467" s="173"/>
      <c r="H467" s="157" t="s">
        <v>6473</v>
      </c>
      <c r="I467" s="157">
        <f t="shared" si="3"/>
        <v>1531</v>
      </c>
      <c r="J467" s="157">
        <v>2025.0</v>
      </c>
    </row>
    <row r="468">
      <c r="A468" s="218">
        <f t="shared" si="2"/>
        <v>465</v>
      </c>
      <c r="B468" s="218" t="s">
        <v>201</v>
      </c>
      <c r="C468" s="219" t="str">
        <f t="shared" si="1"/>
        <v>HD/1532/2025</v>
      </c>
      <c r="D468" s="218" t="b">
        <v>1</v>
      </c>
      <c r="E468" s="219" t="b">
        <v>0</v>
      </c>
      <c r="F468" s="219"/>
      <c r="G468" s="173"/>
      <c r="H468" s="157" t="s">
        <v>6473</v>
      </c>
      <c r="I468" s="157">
        <f t="shared" si="3"/>
        <v>1532</v>
      </c>
      <c r="J468" s="157">
        <v>2025.0</v>
      </c>
    </row>
    <row r="469">
      <c r="A469" s="218">
        <f t="shared" si="2"/>
        <v>466</v>
      </c>
      <c r="B469" s="218" t="s">
        <v>201</v>
      </c>
      <c r="C469" s="219" t="str">
        <f t="shared" si="1"/>
        <v>HD/1533/2025</v>
      </c>
      <c r="D469" s="218" t="b">
        <v>1</v>
      </c>
      <c r="E469" s="219" t="b">
        <v>0</v>
      </c>
      <c r="F469" s="219"/>
      <c r="G469" s="173"/>
      <c r="H469" s="157" t="s">
        <v>6473</v>
      </c>
      <c r="I469" s="157">
        <f t="shared" si="3"/>
        <v>1533</v>
      </c>
      <c r="J469" s="157">
        <v>2025.0</v>
      </c>
    </row>
    <row r="470">
      <c r="A470" s="218">
        <f t="shared" si="2"/>
        <v>467</v>
      </c>
      <c r="B470" s="218" t="s">
        <v>201</v>
      </c>
      <c r="C470" s="219" t="str">
        <f t="shared" si="1"/>
        <v>HD/1534/2025</v>
      </c>
      <c r="D470" s="218" t="b">
        <v>1</v>
      </c>
      <c r="E470" s="219" t="b">
        <v>0</v>
      </c>
      <c r="F470" s="219"/>
      <c r="G470" s="173"/>
      <c r="H470" s="157" t="s">
        <v>6473</v>
      </c>
      <c r="I470" s="157">
        <f t="shared" si="3"/>
        <v>1534</v>
      </c>
      <c r="J470" s="157">
        <v>2025.0</v>
      </c>
    </row>
    <row r="471">
      <c r="A471" s="218">
        <f t="shared" si="2"/>
        <v>468</v>
      </c>
      <c r="B471" s="218" t="s">
        <v>201</v>
      </c>
      <c r="C471" s="219" t="str">
        <f t="shared" si="1"/>
        <v>HD/1535/2025</v>
      </c>
      <c r="D471" s="218" t="b">
        <v>1</v>
      </c>
      <c r="E471" s="219" t="b">
        <v>0</v>
      </c>
      <c r="F471" s="219"/>
      <c r="G471" s="173"/>
      <c r="H471" s="157" t="s">
        <v>6473</v>
      </c>
      <c r="I471" s="157">
        <f t="shared" si="3"/>
        <v>1535</v>
      </c>
      <c r="J471" s="157">
        <v>2025.0</v>
      </c>
    </row>
    <row r="472">
      <c r="A472" s="218">
        <f t="shared" si="2"/>
        <v>469</v>
      </c>
      <c r="B472" s="218" t="s">
        <v>201</v>
      </c>
      <c r="C472" s="219" t="str">
        <f t="shared" si="1"/>
        <v>HD/1536/2025</v>
      </c>
      <c r="D472" s="218" t="b">
        <v>1</v>
      </c>
      <c r="E472" s="219" t="b">
        <v>0</v>
      </c>
      <c r="F472" s="219"/>
      <c r="G472" s="173"/>
      <c r="H472" s="157" t="s">
        <v>6473</v>
      </c>
      <c r="I472" s="157">
        <f t="shared" si="3"/>
        <v>1536</v>
      </c>
      <c r="J472" s="157">
        <v>2025.0</v>
      </c>
    </row>
    <row r="473">
      <c r="A473" s="218">
        <f t="shared" si="2"/>
        <v>470</v>
      </c>
      <c r="B473" s="218" t="s">
        <v>201</v>
      </c>
      <c r="C473" s="219" t="str">
        <f t="shared" si="1"/>
        <v>HD/1537/2025</v>
      </c>
      <c r="D473" s="218" t="b">
        <v>1</v>
      </c>
      <c r="E473" s="219" t="b">
        <v>0</v>
      </c>
      <c r="F473" s="219"/>
      <c r="G473" s="173"/>
      <c r="H473" s="157" t="s">
        <v>6473</v>
      </c>
      <c r="I473" s="157">
        <f t="shared" si="3"/>
        <v>1537</v>
      </c>
      <c r="J473" s="157">
        <v>2025.0</v>
      </c>
    </row>
    <row r="474">
      <c r="A474" s="218">
        <f t="shared" si="2"/>
        <v>471</v>
      </c>
      <c r="B474" s="218" t="s">
        <v>201</v>
      </c>
      <c r="C474" s="219" t="str">
        <f t="shared" si="1"/>
        <v>HD/1538/2025</v>
      </c>
      <c r="D474" s="218" t="b">
        <v>1</v>
      </c>
      <c r="E474" s="219" t="b">
        <v>0</v>
      </c>
      <c r="F474" s="219"/>
      <c r="G474" s="173"/>
      <c r="H474" s="157" t="s">
        <v>6473</v>
      </c>
      <c r="I474" s="157">
        <f t="shared" si="3"/>
        <v>1538</v>
      </c>
      <c r="J474" s="157">
        <v>2025.0</v>
      </c>
    </row>
    <row r="475">
      <c r="A475" s="218">
        <f t="shared" si="2"/>
        <v>472</v>
      </c>
      <c r="B475" s="218" t="s">
        <v>201</v>
      </c>
      <c r="C475" s="219" t="str">
        <f t="shared" si="1"/>
        <v>HD/1539/2025</v>
      </c>
      <c r="D475" s="218" t="b">
        <v>1</v>
      </c>
      <c r="E475" s="218" t="b">
        <v>0</v>
      </c>
      <c r="F475" s="219"/>
      <c r="G475" s="173"/>
      <c r="H475" s="157" t="s">
        <v>6473</v>
      </c>
      <c r="I475" s="157">
        <f t="shared" si="3"/>
        <v>1539</v>
      </c>
      <c r="J475" s="157">
        <v>2025.0</v>
      </c>
    </row>
    <row r="476">
      <c r="A476" s="218">
        <f t="shared" si="2"/>
        <v>473</v>
      </c>
      <c r="B476" s="218" t="s">
        <v>201</v>
      </c>
      <c r="C476" s="219" t="str">
        <f t="shared" si="1"/>
        <v>HD/1540/2025</v>
      </c>
      <c r="D476" s="218" t="b">
        <v>1</v>
      </c>
      <c r="E476" s="219" t="b">
        <v>0</v>
      </c>
      <c r="F476" s="219"/>
      <c r="G476" s="173"/>
      <c r="H476" s="157" t="s">
        <v>6473</v>
      </c>
      <c r="I476" s="157">
        <f t="shared" si="3"/>
        <v>1540</v>
      </c>
      <c r="J476" s="157">
        <v>2025.0</v>
      </c>
    </row>
    <row r="477">
      <c r="A477" s="218">
        <f t="shared" si="2"/>
        <v>474</v>
      </c>
      <c r="B477" s="218" t="s">
        <v>201</v>
      </c>
      <c r="C477" s="219" t="str">
        <f t="shared" si="1"/>
        <v>HD/1541/2025</v>
      </c>
      <c r="D477" s="218" t="b">
        <v>1</v>
      </c>
      <c r="E477" s="219" t="b">
        <v>0</v>
      </c>
      <c r="F477" s="219"/>
      <c r="G477" s="173"/>
      <c r="H477" s="157" t="s">
        <v>6473</v>
      </c>
      <c r="I477" s="157">
        <f t="shared" si="3"/>
        <v>1541</v>
      </c>
      <c r="J477" s="157">
        <v>2025.0</v>
      </c>
    </row>
    <row r="478">
      <c r="A478" s="218">
        <f t="shared" si="2"/>
        <v>475</v>
      </c>
      <c r="B478" s="218" t="s">
        <v>201</v>
      </c>
      <c r="C478" s="219" t="str">
        <f t="shared" si="1"/>
        <v>HD/1542/2025</v>
      </c>
      <c r="D478" s="218" t="b">
        <v>1</v>
      </c>
      <c r="E478" s="219" t="b">
        <v>0</v>
      </c>
      <c r="F478" s="219"/>
      <c r="G478" s="173"/>
      <c r="H478" s="157" t="s">
        <v>6473</v>
      </c>
      <c r="I478" s="157">
        <f t="shared" si="3"/>
        <v>1542</v>
      </c>
      <c r="J478" s="157">
        <v>2025.0</v>
      </c>
    </row>
    <row r="479">
      <c r="A479" s="218">
        <f t="shared" si="2"/>
        <v>476</v>
      </c>
      <c r="B479" s="218" t="s">
        <v>201</v>
      </c>
      <c r="C479" s="219" t="str">
        <f t="shared" si="1"/>
        <v>HD/1543/2025</v>
      </c>
      <c r="D479" s="218" t="b">
        <v>1</v>
      </c>
      <c r="E479" s="219" t="b">
        <v>0</v>
      </c>
      <c r="F479" s="219"/>
      <c r="G479" s="173"/>
      <c r="H479" s="157" t="s">
        <v>6473</v>
      </c>
      <c r="I479" s="157">
        <f t="shared" si="3"/>
        <v>1543</v>
      </c>
      <c r="J479" s="157">
        <v>2025.0</v>
      </c>
    </row>
    <row r="480">
      <c r="A480" s="218">
        <f t="shared" si="2"/>
        <v>477</v>
      </c>
      <c r="B480" s="218" t="s">
        <v>201</v>
      </c>
      <c r="C480" s="219" t="str">
        <f t="shared" si="1"/>
        <v>HD/1544/2025</v>
      </c>
      <c r="D480" s="218" t="b">
        <v>1</v>
      </c>
      <c r="E480" s="219" t="b">
        <v>0</v>
      </c>
      <c r="F480" s="219"/>
      <c r="G480" s="173"/>
      <c r="H480" s="157" t="s">
        <v>6473</v>
      </c>
      <c r="I480" s="157">
        <f t="shared" si="3"/>
        <v>1544</v>
      </c>
      <c r="J480" s="157">
        <v>2025.0</v>
      </c>
    </row>
    <row r="481">
      <c r="A481" s="218">
        <f t="shared" si="2"/>
        <v>478</v>
      </c>
      <c r="B481" s="218" t="s">
        <v>201</v>
      </c>
      <c r="C481" s="219" t="str">
        <f t="shared" si="1"/>
        <v>HD/1545/2025</v>
      </c>
      <c r="D481" s="218" t="b">
        <v>1</v>
      </c>
      <c r="E481" s="219" t="b">
        <v>0</v>
      </c>
      <c r="F481" s="219"/>
      <c r="G481" s="173"/>
      <c r="H481" s="157" t="s">
        <v>6473</v>
      </c>
      <c r="I481" s="157">
        <f t="shared" si="3"/>
        <v>1545</v>
      </c>
      <c r="J481" s="157">
        <v>2025.0</v>
      </c>
    </row>
    <row r="482">
      <c r="A482" s="218">
        <f t="shared" si="2"/>
        <v>479</v>
      </c>
      <c r="B482" s="218" t="s">
        <v>201</v>
      </c>
      <c r="C482" s="219" t="str">
        <f t="shared" si="1"/>
        <v>HD/1546/2025</v>
      </c>
      <c r="D482" s="218" t="b">
        <v>1</v>
      </c>
      <c r="E482" s="219" t="b">
        <v>0</v>
      </c>
      <c r="F482" s="219"/>
      <c r="G482" s="173"/>
      <c r="H482" s="157" t="s">
        <v>6473</v>
      </c>
      <c r="I482" s="157">
        <f t="shared" si="3"/>
        <v>1546</v>
      </c>
      <c r="J482" s="157">
        <v>2025.0</v>
      </c>
    </row>
    <row r="483">
      <c r="A483" s="218">
        <f t="shared" si="2"/>
        <v>480</v>
      </c>
      <c r="B483" s="218" t="s">
        <v>201</v>
      </c>
      <c r="C483" s="219" t="str">
        <f t="shared" si="1"/>
        <v>HD/1547/2025</v>
      </c>
      <c r="D483" s="218" t="b">
        <v>1</v>
      </c>
      <c r="E483" s="219" t="b">
        <v>0</v>
      </c>
      <c r="F483" s="219"/>
      <c r="G483" s="173"/>
      <c r="H483" s="157" t="s">
        <v>6473</v>
      </c>
      <c r="I483" s="157">
        <f t="shared" si="3"/>
        <v>1547</v>
      </c>
      <c r="J483" s="157">
        <v>2025.0</v>
      </c>
    </row>
    <row r="484">
      <c r="A484" s="218">
        <f t="shared" si="2"/>
        <v>481</v>
      </c>
      <c r="B484" s="218" t="s">
        <v>201</v>
      </c>
      <c r="C484" s="219" t="str">
        <f t="shared" si="1"/>
        <v>HD/1548/2025</v>
      </c>
      <c r="D484" s="218" t="b">
        <v>1</v>
      </c>
      <c r="E484" s="219" t="b">
        <v>0</v>
      </c>
      <c r="F484" s="219"/>
      <c r="G484" s="173"/>
      <c r="H484" s="157" t="s">
        <v>6473</v>
      </c>
      <c r="I484" s="157">
        <f t="shared" si="3"/>
        <v>1548</v>
      </c>
      <c r="J484" s="157">
        <v>2025.0</v>
      </c>
    </row>
    <row r="485">
      <c r="A485" s="218">
        <f t="shared" si="2"/>
        <v>482</v>
      </c>
      <c r="B485" s="218" t="s">
        <v>201</v>
      </c>
      <c r="C485" s="219" t="str">
        <f t="shared" si="1"/>
        <v>HD/1549/2025</v>
      </c>
      <c r="D485" s="218" t="b">
        <v>1</v>
      </c>
      <c r="E485" s="219" t="b">
        <v>0</v>
      </c>
      <c r="F485" s="219"/>
      <c r="G485" s="173"/>
      <c r="H485" s="157" t="s">
        <v>6473</v>
      </c>
      <c r="I485" s="157">
        <f t="shared" si="3"/>
        <v>1549</v>
      </c>
      <c r="J485" s="157">
        <v>2025.0</v>
      </c>
    </row>
    <row r="486">
      <c r="A486" s="218">
        <f t="shared" si="2"/>
        <v>483</v>
      </c>
      <c r="B486" s="218" t="s">
        <v>201</v>
      </c>
      <c r="C486" s="219" t="str">
        <f t="shared" si="1"/>
        <v>HD/1550/2025</v>
      </c>
      <c r="D486" s="218" t="b">
        <v>1</v>
      </c>
      <c r="E486" s="219" t="b">
        <v>0</v>
      </c>
      <c r="F486" s="219"/>
      <c r="G486" s="173"/>
      <c r="H486" s="157" t="s">
        <v>6473</v>
      </c>
      <c r="I486" s="157">
        <f t="shared" si="3"/>
        <v>1550</v>
      </c>
      <c r="J486" s="157">
        <v>2025.0</v>
      </c>
    </row>
    <row r="487">
      <c r="A487" s="218">
        <f t="shared" si="2"/>
        <v>484</v>
      </c>
      <c r="B487" s="218" t="s">
        <v>201</v>
      </c>
      <c r="C487" s="219" t="str">
        <f t="shared" si="1"/>
        <v>HD/1551/2025</v>
      </c>
      <c r="D487" s="218" t="b">
        <v>1</v>
      </c>
      <c r="E487" s="219" t="b">
        <v>0</v>
      </c>
      <c r="F487" s="219"/>
      <c r="G487" s="173"/>
      <c r="H487" s="157" t="s">
        <v>6473</v>
      </c>
      <c r="I487" s="157">
        <f t="shared" si="3"/>
        <v>1551</v>
      </c>
      <c r="J487" s="157">
        <v>2025.0</v>
      </c>
    </row>
    <row r="488">
      <c r="A488" s="218">
        <f t="shared" si="2"/>
        <v>485</v>
      </c>
      <c r="B488" s="218" t="s">
        <v>201</v>
      </c>
      <c r="C488" s="219" t="str">
        <f t="shared" si="1"/>
        <v>HD/1552/2025</v>
      </c>
      <c r="D488" s="218" t="b">
        <v>1</v>
      </c>
      <c r="E488" s="219" t="b">
        <v>0</v>
      </c>
      <c r="F488" s="219"/>
      <c r="G488" s="173"/>
      <c r="H488" s="157" t="s">
        <v>6473</v>
      </c>
      <c r="I488" s="157">
        <f t="shared" si="3"/>
        <v>1552</v>
      </c>
      <c r="J488" s="157">
        <v>2025.0</v>
      </c>
    </row>
    <row r="489">
      <c r="A489" s="218">
        <f t="shared" si="2"/>
        <v>486</v>
      </c>
      <c r="B489" s="218" t="s">
        <v>201</v>
      </c>
      <c r="C489" s="219" t="str">
        <f t="shared" si="1"/>
        <v>HD/1553/2025</v>
      </c>
      <c r="D489" s="218" t="b">
        <v>1</v>
      </c>
      <c r="E489" s="219" t="b">
        <v>0</v>
      </c>
      <c r="F489" s="219"/>
      <c r="G489" s="173"/>
      <c r="H489" s="157" t="s">
        <v>6473</v>
      </c>
      <c r="I489" s="157">
        <f t="shared" si="3"/>
        <v>1553</v>
      </c>
      <c r="J489" s="157">
        <v>2025.0</v>
      </c>
    </row>
    <row r="490">
      <c r="A490" s="218">
        <f t="shared" si="2"/>
        <v>487</v>
      </c>
      <c r="B490" s="218" t="s">
        <v>201</v>
      </c>
      <c r="C490" s="219" t="str">
        <f t="shared" si="1"/>
        <v>HD/1554/2025</v>
      </c>
      <c r="D490" s="218" t="b">
        <v>1</v>
      </c>
      <c r="E490" s="219" t="b">
        <v>0</v>
      </c>
      <c r="F490" s="219"/>
      <c r="G490" s="173"/>
      <c r="H490" s="157" t="s">
        <v>6473</v>
      </c>
      <c r="I490" s="157">
        <f t="shared" si="3"/>
        <v>1554</v>
      </c>
      <c r="J490" s="157">
        <v>2025.0</v>
      </c>
    </row>
    <row r="491">
      <c r="A491" s="218">
        <f t="shared" si="2"/>
        <v>488</v>
      </c>
      <c r="B491" s="218" t="s">
        <v>201</v>
      </c>
      <c r="C491" s="219" t="str">
        <f t="shared" si="1"/>
        <v>HD/1555/2025</v>
      </c>
      <c r="D491" s="218" t="b">
        <v>1</v>
      </c>
      <c r="E491" s="219" t="b">
        <v>0</v>
      </c>
      <c r="F491" s="219"/>
      <c r="G491" s="173"/>
      <c r="H491" s="157" t="s">
        <v>6473</v>
      </c>
      <c r="I491" s="157">
        <f t="shared" si="3"/>
        <v>1555</v>
      </c>
      <c r="J491" s="157">
        <v>2025.0</v>
      </c>
    </row>
    <row r="492">
      <c r="A492" s="218">
        <f t="shared" si="2"/>
        <v>489</v>
      </c>
      <c r="B492" s="218" t="s">
        <v>201</v>
      </c>
      <c r="C492" s="219" t="str">
        <f t="shared" si="1"/>
        <v>HD/1556/2025</v>
      </c>
      <c r="D492" s="218" t="b">
        <v>1</v>
      </c>
      <c r="E492" s="219" t="b">
        <v>0</v>
      </c>
      <c r="F492" s="219"/>
      <c r="G492" s="173"/>
      <c r="H492" s="157" t="s">
        <v>6473</v>
      </c>
      <c r="I492" s="157">
        <f t="shared" si="3"/>
        <v>1556</v>
      </c>
      <c r="J492" s="157">
        <v>2025.0</v>
      </c>
    </row>
    <row r="493">
      <c r="A493" s="218">
        <f t="shared" si="2"/>
        <v>490</v>
      </c>
      <c r="B493" s="218" t="s">
        <v>201</v>
      </c>
      <c r="C493" s="219" t="str">
        <f t="shared" si="1"/>
        <v>HD/1557/2025</v>
      </c>
      <c r="D493" s="218" t="b">
        <v>1</v>
      </c>
      <c r="E493" s="219" t="b">
        <v>0</v>
      </c>
      <c r="F493" s="219"/>
      <c r="G493" s="173"/>
      <c r="H493" s="157" t="s">
        <v>6473</v>
      </c>
      <c r="I493" s="157">
        <f t="shared" si="3"/>
        <v>1557</v>
      </c>
      <c r="J493" s="157">
        <v>2025.0</v>
      </c>
    </row>
    <row r="494">
      <c r="A494" s="218">
        <f t="shared" si="2"/>
        <v>491</v>
      </c>
      <c r="B494" s="218" t="s">
        <v>201</v>
      </c>
      <c r="C494" s="219" t="str">
        <f t="shared" si="1"/>
        <v>HD/1558/2025</v>
      </c>
      <c r="D494" s="218" t="b">
        <v>1</v>
      </c>
      <c r="E494" s="219" t="b">
        <v>0</v>
      </c>
      <c r="F494" s="219"/>
      <c r="G494" s="173"/>
      <c r="H494" s="157" t="s">
        <v>6473</v>
      </c>
      <c r="I494" s="157">
        <f t="shared" si="3"/>
        <v>1558</v>
      </c>
      <c r="J494" s="157">
        <v>2025.0</v>
      </c>
    </row>
    <row r="495">
      <c r="A495" s="218">
        <f t="shared" si="2"/>
        <v>492</v>
      </c>
      <c r="B495" s="218" t="s">
        <v>201</v>
      </c>
      <c r="C495" s="219" t="str">
        <f t="shared" si="1"/>
        <v>HD/1559/2025</v>
      </c>
      <c r="D495" s="218" t="b">
        <v>1</v>
      </c>
      <c r="E495" s="219" t="b">
        <v>0</v>
      </c>
      <c r="F495" s="219"/>
      <c r="G495" s="173"/>
      <c r="H495" s="157" t="s">
        <v>6473</v>
      </c>
      <c r="I495" s="157">
        <f t="shared" si="3"/>
        <v>1559</v>
      </c>
      <c r="J495" s="157">
        <v>2025.0</v>
      </c>
    </row>
    <row r="496">
      <c r="A496" s="218">
        <f t="shared" si="2"/>
        <v>493</v>
      </c>
      <c r="B496" s="218" t="s">
        <v>201</v>
      </c>
      <c r="C496" s="219" t="str">
        <f t="shared" si="1"/>
        <v>HD/1560/2025</v>
      </c>
      <c r="D496" s="218" t="b">
        <v>1</v>
      </c>
      <c r="E496" s="219" t="b">
        <v>0</v>
      </c>
      <c r="F496" s="219"/>
      <c r="G496" s="173"/>
      <c r="H496" s="157" t="s">
        <v>6473</v>
      </c>
      <c r="I496" s="157">
        <f t="shared" si="3"/>
        <v>1560</v>
      </c>
      <c r="J496" s="157">
        <v>2025.0</v>
      </c>
    </row>
    <row r="497">
      <c r="A497" s="218">
        <f t="shared" si="2"/>
        <v>494</v>
      </c>
      <c r="B497" s="218" t="s">
        <v>201</v>
      </c>
      <c r="C497" s="219" t="str">
        <f t="shared" si="1"/>
        <v>HD/1561/2025</v>
      </c>
      <c r="D497" s="218" t="b">
        <v>1</v>
      </c>
      <c r="E497" s="219" t="b">
        <v>0</v>
      </c>
      <c r="F497" s="219"/>
      <c r="G497" s="173"/>
      <c r="H497" s="157" t="s">
        <v>6473</v>
      </c>
      <c r="I497" s="157">
        <f t="shared" si="3"/>
        <v>1561</v>
      </c>
      <c r="J497" s="157">
        <v>2025.0</v>
      </c>
    </row>
    <row r="498">
      <c r="A498" s="218">
        <f t="shared" si="2"/>
        <v>495</v>
      </c>
      <c r="B498" s="218" t="s">
        <v>201</v>
      </c>
      <c r="C498" s="219" t="str">
        <f t="shared" si="1"/>
        <v>HD/1562/2025</v>
      </c>
      <c r="D498" s="218" t="b">
        <v>1</v>
      </c>
      <c r="E498" s="219" t="b">
        <v>0</v>
      </c>
      <c r="F498" s="219"/>
      <c r="G498" s="173"/>
      <c r="H498" s="157" t="s">
        <v>6473</v>
      </c>
      <c r="I498" s="157">
        <f t="shared" si="3"/>
        <v>1562</v>
      </c>
      <c r="J498" s="157">
        <v>2025.0</v>
      </c>
    </row>
    <row r="499">
      <c r="A499" s="218">
        <f t="shared" si="2"/>
        <v>496</v>
      </c>
      <c r="B499" s="218" t="s">
        <v>201</v>
      </c>
      <c r="C499" s="219" t="str">
        <f t="shared" si="1"/>
        <v>HD/1563/2025</v>
      </c>
      <c r="D499" s="218" t="b">
        <v>1</v>
      </c>
      <c r="E499" s="219" t="b">
        <v>0</v>
      </c>
      <c r="F499" s="219"/>
      <c r="G499" s="173"/>
      <c r="H499" s="157" t="s">
        <v>6473</v>
      </c>
      <c r="I499" s="157">
        <f t="shared" si="3"/>
        <v>1563</v>
      </c>
      <c r="J499" s="157">
        <v>2025.0</v>
      </c>
    </row>
    <row r="500">
      <c r="A500" s="218">
        <f t="shared" si="2"/>
        <v>497</v>
      </c>
      <c r="B500" s="218" t="s">
        <v>201</v>
      </c>
      <c r="C500" s="219" t="str">
        <f t="shared" si="1"/>
        <v>HD/1564/2025</v>
      </c>
      <c r="D500" s="218" t="b">
        <v>1</v>
      </c>
      <c r="E500" s="219" t="b">
        <v>0</v>
      </c>
      <c r="F500" s="219"/>
      <c r="G500" s="173"/>
      <c r="H500" s="157" t="s">
        <v>6473</v>
      </c>
      <c r="I500" s="157">
        <f t="shared" si="3"/>
        <v>1564</v>
      </c>
      <c r="J500" s="157">
        <v>2025.0</v>
      </c>
    </row>
    <row r="501">
      <c r="A501" s="218">
        <f t="shared" si="2"/>
        <v>498</v>
      </c>
      <c r="B501" s="218" t="s">
        <v>201</v>
      </c>
      <c r="C501" s="219" t="str">
        <f t="shared" si="1"/>
        <v>HD/1565/2025</v>
      </c>
      <c r="D501" s="218" t="b">
        <v>1</v>
      </c>
      <c r="E501" s="219" t="b">
        <v>0</v>
      </c>
      <c r="F501" s="219"/>
      <c r="G501" s="173"/>
      <c r="H501" s="157" t="s">
        <v>6473</v>
      </c>
      <c r="I501" s="157">
        <f t="shared" si="3"/>
        <v>1565</v>
      </c>
      <c r="J501" s="157">
        <v>2025.0</v>
      </c>
    </row>
    <row r="502">
      <c r="A502" s="218">
        <f t="shared" si="2"/>
        <v>499</v>
      </c>
      <c r="B502" s="218" t="s">
        <v>201</v>
      </c>
      <c r="C502" s="219" t="str">
        <f t="shared" si="1"/>
        <v>HD/1566/2025</v>
      </c>
      <c r="D502" s="218" t="b">
        <v>1</v>
      </c>
      <c r="E502" s="219" t="b">
        <v>0</v>
      </c>
      <c r="F502" s="219"/>
      <c r="G502" s="173"/>
      <c r="H502" s="157" t="s">
        <v>6473</v>
      </c>
      <c r="I502" s="157">
        <f t="shared" si="3"/>
        <v>1566</v>
      </c>
      <c r="J502" s="157">
        <v>2025.0</v>
      </c>
    </row>
    <row r="503">
      <c r="A503" s="218">
        <f t="shared" si="2"/>
        <v>500</v>
      </c>
      <c r="B503" s="218" t="s">
        <v>201</v>
      </c>
      <c r="C503" s="219" t="str">
        <f t="shared" si="1"/>
        <v>HD/1567/2025</v>
      </c>
      <c r="D503" s="218" t="b">
        <v>1</v>
      </c>
      <c r="E503" s="219" t="b">
        <v>0</v>
      </c>
      <c r="F503" s="219"/>
      <c r="G503" s="173"/>
      <c r="H503" s="157" t="s">
        <v>6473</v>
      </c>
      <c r="I503" s="157">
        <f t="shared" si="3"/>
        <v>1567</v>
      </c>
      <c r="J503" s="157">
        <v>2025.0</v>
      </c>
    </row>
    <row r="504">
      <c r="A504" s="218">
        <f t="shared" si="2"/>
        <v>501</v>
      </c>
      <c r="B504" s="218" t="s">
        <v>201</v>
      </c>
      <c r="C504" s="219" t="str">
        <f t="shared" si="1"/>
        <v>HD/1568/2025</v>
      </c>
      <c r="D504" s="218" t="b">
        <v>1</v>
      </c>
      <c r="E504" s="219" t="b">
        <v>0</v>
      </c>
      <c r="F504" s="219"/>
      <c r="G504" s="173"/>
      <c r="H504" s="157" t="s">
        <v>6473</v>
      </c>
      <c r="I504" s="157">
        <f t="shared" si="3"/>
        <v>1568</v>
      </c>
      <c r="J504" s="157">
        <v>2025.0</v>
      </c>
    </row>
    <row r="505">
      <c r="A505" s="218">
        <f t="shared" si="2"/>
        <v>502</v>
      </c>
      <c r="B505" s="218" t="s">
        <v>201</v>
      </c>
      <c r="C505" s="219" t="str">
        <f t="shared" si="1"/>
        <v>HD/1569/2025</v>
      </c>
      <c r="D505" s="218" t="b">
        <v>1</v>
      </c>
      <c r="E505" s="218" t="b">
        <v>0</v>
      </c>
      <c r="F505" s="219"/>
      <c r="G505" s="173"/>
      <c r="H505" s="157" t="s">
        <v>6473</v>
      </c>
      <c r="I505" s="157">
        <f t="shared" si="3"/>
        <v>1569</v>
      </c>
      <c r="J505" s="157">
        <v>2025.0</v>
      </c>
    </row>
    <row r="506">
      <c r="A506" s="218">
        <f t="shared" si="2"/>
        <v>503</v>
      </c>
      <c r="B506" s="218" t="s">
        <v>201</v>
      </c>
      <c r="C506" s="219" t="str">
        <f t="shared" si="1"/>
        <v>HD/1570/2025</v>
      </c>
      <c r="D506" s="218" t="b">
        <v>1</v>
      </c>
      <c r="E506" s="219" t="b">
        <v>0</v>
      </c>
      <c r="F506" s="219"/>
      <c r="G506" s="173"/>
      <c r="H506" s="157" t="s">
        <v>6473</v>
      </c>
      <c r="I506" s="157">
        <f t="shared" si="3"/>
        <v>1570</v>
      </c>
      <c r="J506" s="157">
        <v>2025.0</v>
      </c>
    </row>
    <row r="507">
      <c r="A507" s="218">
        <f t="shared" si="2"/>
        <v>504</v>
      </c>
      <c r="B507" s="218" t="s">
        <v>201</v>
      </c>
      <c r="C507" s="219" t="str">
        <f t="shared" si="1"/>
        <v>HD/1571/2025</v>
      </c>
      <c r="D507" s="218" t="b">
        <v>1</v>
      </c>
      <c r="E507" s="219" t="b">
        <v>0</v>
      </c>
      <c r="F507" s="219"/>
      <c r="G507" s="173"/>
      <c r="H507" s="157" t="s">
        <v>6473</v>
      </c>
      <c r="I507" s="157">
        <f t="shared" si="3"/>
        <v>1571</v>
      </c>
      <c r="J507" s="157">
        <v>2025.0</v>
      </c>
    </row>
    <row r="508">
      <c r="A508" s="218">
        <f t="shared" si="2"/>
        <v>505</v>
      </c>
      <c r="B508" s="218" t="s">
        <v>201</v>
      </c>
      <c r="C508" s="219" t="str">
        <f t="shared" si="1"/>
        <v>HD/1572/2025</v>
      </c>
      <c r="D508" s="218" t="b">
        <v>1</v>
      </c>
      <c r="E508" s="219" t="b">
        <v>0</v>
      </c>
      <c r="F508" s="219"/>
      <c r="G508" s="173"/>
      <c r="H508" s="157" t="s">
        <v>6473</v>
      </c>
      <c r="I508" s="157">
        <f t="shared" si="3"/>
        <v>1572</v>
      </c>
      <c r="J508" s="157">
        <v>2025.0</v>
      </c>
    </row>
    <row r="509">
      <c r="A509" s="218">
        <f t="shared" si="2"/>
        <v>506</v>
      </c>
      <c r="B509" s="218" t="s">
        <v>201</v>
      </c>
      <c r="C509" s="219" t="str">
        <f t="shared" si="1"/>
        <v>HD/1573/2025</v>
      </c>
      <c r="D509" s="218" t="b">
        <v>1</v>
      </c>
      <c r="E509" s="219" t="b">
        <v>0</v>
      </c>
      <c r="F509" s="219"/>
      <c r="G509" s="173"/>
      <c r="H509" s="157" t="s">
        <v>6473</v>
      </c>
      <c r="I509" s="157">
        <f t="shared" si="3"/>
        <v>1573</v>
      </c>
      <c r="J509" s="157">
        <v>2025.0</v>
      </c>
    </row>
    <row r="510">
      <c r="A510" s="218">
        <f t="shared" si="2"/>
        <v>507</v>
      </c>
      <c r="B510" s="218" t="s">
        <v>201</v>
      </c>
      <c r="C510" s="219" t="str">
        <f t="shared" si="1"/>
        <v>HD/1574/2025</v>
      </c>
      <c r="D510" s="218" t="b">
        <v>1</v>
      </c>
      <c r="E510" s="218" t="b">
        <v>0</v>
      </c>
      <c r="F510" s="219"/>
      <c r="G510" s="173"/>
      <c r="H510" s="157" t="s">
        <v>6473</v>
      </c>
      <c r="I510" s="157">
        <f t="shared" si="3"/>
        <v>1574</v>
      </c>
      <c r="J510" s="157">
        <v>2025.0</v>
      </c>
    </row>
    <row r="511">
      <c r="A511" s="218">
        <f t="shared" si="2"/>
        <v>508</v>
      </c>
      <c r="B511" s="218" t="s">
        <v>201</v>
      </c>
      <c r="C511" s="219" t="str">
        <f t="shared" si="1"/>
        <v>HD/1575/2025</v>
      </c>
      <c r="D511" s="218" t="b">
        <v>1</v>
      </c>
      <c r="E511" s="219" t="b">
        <v>0</v>
      </c>
      <c r="F511" s="219"/>
      <c r="G511" s="173"/>
      <c r="H511" s="157" t="s">
        <v>6473</v>
      </c>
      <c r="I511" s="157">
        <f t="shared" si="3"/>
        <v>1575</v>
      </c>
      <c r="J511" s="157">
        <v>2025.0</v>
      </c>
    </row>
    <row r="512">
      <c r="A512" s="218">
        <f t="shared" si="2"/>
        <v>509</v>
      </c>
      <c r="B512" s="218" t="s">
        <v>201</v>
      </c>
      <c r="C512" s="219" t="str">
        <f t="shared" si="1"/>
        <v>HD/1576/2025</v>
      </c>
      <c r="D512" s="218" t="b">
        <v>1</v>
      </c>
      <c r="E512" s="219" t="b">
        <v>0</v>
      </c>
      <c r="F512" s="219"/>
      <c r="G512" s="173"/>
      <c r="H512" s="157" t="s">
        <v>6473</v>
      </c>
      <c r="I512" s="157">
        <f t="shared" si="3"/>
        <v>1576</v>
      </c>
      <c r="J512" s="157">
        <v>2025.0</v>
      </c>
    </row>
    <row r="513">
      <c r="A513" s="218">
        <f t="shared" si="2"/>
        <v>510</v>
      </c>
      <c r="B513" s="218" t="s">
        <v>201</v>
      </c>
      <c r="C513" s="219" t="str">
        <f t="shared" si="1"/>
        <v>HD/1577/2025</v>
      </c>
      <c r="D513" s="218" t="b">
        <v>1</v>
      </c>
      <c r="E513" s="219" t="b">
        <v>0</v>
      </c>
      <c r="F513" s="219"/>
      <c r="G513" s="173"/>
      <c r="H513" s="157" t="s">
        <v>6473</v>
      </c>
      <c r="I513" s="157">
        <f t="shared" si="3"/>
        <v>1577</v>
      </c>
      <c r="J513" s="157">
        <v>2025.0</v>
      </c>
    </row>
    <row r="514">
      <c r="A514" s="218">
        <f t="shared" si="2"/>
        <v>511</v>
      </c>
      <c r="B514" s="218" t="s">
        <v>201</v>
      </c>
      <c r="C514" s="219" t="str">
        <f t="shared" si="1"/>
        <v>HD/1578/2025</v>
      </c>
      <c r="D514" s="218" t="b">
        <v>1</v>
      </c>
      <c r="E514" s="219" t="b">
        <v>0</v>
      </c>
      <c r="F514" s="219"/>
      <c r="G514" s="173"/>
      <c r="H514" s="157" t="s">
        <v>6473</v>
      </c>
      <c r="I514" s="157">
        <f t="shared" si="3"/>
        <v>1578</v>
      </c>
      <c r="J514" s="157">
        <v>2025.0</v>
      </c>
    </row>
    <row r="515">
      <c r="A515" s="218">
        <f t="shared" si="2"/>
        <v>512</v>
      </c>
      <c r="B515" s="218" t="s">
        <v>201</v>
      </c>
      <c r="C515" s="219" t="str">
        <f t="shared" si="1"/>
        <v>HD/1579/2025</v>
      </c>
      <c r="D515" s="218" t="b">
        <v>1</v>
      </c>
      <c r="E515" s="219" t="b">
        <v>0</v>
      </c>
      <c r="F515" s="219"/>
      <c r="G515" s="173"/>
      <c r="H515" s="157" t="s">
        <v>6473</v>
      </c>
      <c r="I515" s="157">
        <f t="shared" si="3"/>
        <v>1579</v>
      </c>
      <c r="J515" s="157">
        <v>2025.0</v>
      </c>
    </row>
    <row r="516">
      <c r="A516" s="218">
        <f t="shared" si="2"/>
        <v>513</v>
      </c>
      <c r="B516" s="218" t="s">
        <v>201</v>
      </c>
      <c r="C516" s="219" t="str">
        <f t="shared" si="1"/>
        <v>HD/1580/2025</v>
      </c>
      <c r="D516" s="218" t="b">
        <v>1</v>
      </c>
      <c r="E516" s="219" t="b">
        <v>0</v>
      </c>
      <c r="F516" s="219"/>
      <c r="G516" s="173"/>
      <c r="H516" s="157" t="s">
        <v>6473</v>
      </c>
      <c r="I516" s="157">
        <f t="shared" si="3"/>
        <v>1580</v>
      </c>
      <c r="J516" s="157">
        <v>2025.0</v>
      </c>
    </row>
    <row r="517">
      <c r="A517" s="218">
        <f t="shared" si="2"/>
        <v>514</v>
      </c>
      <c r="B517" s="218" t="s">
        <v>201</v>
      </c>
      <c r="C517" s="219" t="str">
        <f t="shared" si="1"/>
        <v>HD/1581/2025</v>
      </c>
      <c r="D517" s="218" t="b">
        <v>1</v>
      </c>
      <c r="E517" s="219" t="b">
        <v>0</v>
      </c>
      <c r="F517" s="219"/>
      <c r="G517" s="173"/>
      <c r="H517" s="157" t="s">
        <v>6473</v>
      </c>
      <c r="I517" s="157">
        <f t="shared" si="3"/>
        <v>1581</v>
      </c>
      <c r="J517" s="157">
        <v>2025.0</v>
      </c>
    </row>
    <row r="518">
      <c r="A518" s="218">
        <f t="shared" si="2"/>
        <v>515</v>
      </c>
      <c r="B518" s="218" t="s">
        <v>201</v>
      </c>
      <c r="C518" s="219" t="str">
        <f t="shared" si="1"/>
        <v>HD/1582/2025</v>
      </c>
      <c r="D518" s="218" t="b">
        <v>1</v>
      </c>
      <c r="E518" s="219" t="b">
        <v>0</v>
      </c>
      <c r="F518" s="219"/>
      <c r="G518" s="173"/>
      <c r="H518" s="157" t="s">
        <v>6473</v>
      </c>
      <c r="I518" s="157">
        <f t="shared" si="3"/>
        <v>1582</v>
      </c>
      <c r="J518" s="157">
        <v>2025.0</v>
      </c>
    </row>
    <row r="519">
      <c r="A519" s="218">
        <f t="shared" si="2"/>
        <v>516</v>
      </c>
      <c r="B519" s="218" t="s">
        <v>201</v>
      </c>
      <c r="C519" s="219" t="str">
        <f t="shared" si="1"/>
        <v>HD/1583/2025</v>
      </c>
      <c r="D519" s="218" t="b">
        <v>1</v>
      </c>
      <c r="E519" s="219" t="b">
        <v>0</v>
      </c>
      <c r="F519" s="219"/>
      <c r="G519" s="173"/>
      <c r="H519" s="157" t="s">
        <v>6473</v>
      </c>
      <c r="I519" s="157">
        <f t="shared" si="3"/>
        <v>1583</v>
      </c>
      <c r="J519" s="157">
        <v>2025.0</v>
      </c>
    </row>
    <row r="520">
      <c r="A520" s="218">
        <f t="shared" si="2"/>
        <v>517</v>
      </c>
      <c r="B520" s="218" t="s">
        <v>201</v>
      </c>
      <c r="C520" s="219" t="str">
        <f t="shared" si="1"/>
        <v>HD/1584/2025</v>
      </c>
      <c r="D520" s="218" t="b">
        <v>1</v>
      </c>
      <c r="E520" s="219" t="b">
        <v>0</v>
      </c>
      <c r="F520" s="219"/>
      <c r="G520" s="173"/>
      <c r="H520" s="157" t="s">
        <v>6473</v>
      </c>
      <c r="I520" s="157">
        <f t="shared" si="3"/>
        <v>1584</v>
      </c>
      <c r="J520" s="157">
        <v>2025.0</v>
      </c>
    </row>
    <row r="521">
      <c r="A521" s="218">
        <f t="shared" si="2"/>
        <v>518</v>
      </c>
      <c r="B521" s="218" t="s">
        <v>201</v>
      </c>
      <c r="C521" s="219" t="str">
        <f t="shared" si="1"/>
        <v>HD/1585/2025</v>
      </c>
      <c r="D521" s="218" t="b">
        <v>1</v>
      </c>
      <c r="E521" s="219" t="b">
        <v>0</v>
      </c>
      <c r="F521" s="219"/>
      <c r="G521" s="173"/>
      <c r="H521" s="157" t="s">
        <v>6473</v>
      </c>
      <c r="I521" s="157">
        <f t="shared" si="3"/>
        <v>1585</v>
      </c>
      <c r="J521" s="157">
        <v>2025.0</v>
      </c>
    </row>
    <row r="522">
      <c r="A522" s="218">
        <f t="shared" si="2"/>
        <v>519</v>
      </c>
      <c r="B522" s="218" t="s">
        <v>201</v>
      </c>
      <c r="C522" s="219" t="str">
        <f t="shared" si="1"/>
        <v>HD/1586/2025</v>
      </c>
      <c r="D522" s="218" t="b">
        <v>1</v>
      </c>
      <c r="E522" s="219" t="b">
        <v>0</v>
      </c>
      <c r="F522" s="219"/>
      <c r="G522" s="173"/>
      <c r="H522" s="157" t="s">
        <v>6473</v>
      </c>
      <c r="I522" s="157">
        <f t="shared" si="3"/>
        <v>1586</v>
      </c>
      <c r="J522" s="157">
        <v>2025.0</v>
      </c>
    </row>
    <row r="523">
      <c r="A523" s="218">
        <f t="shared" si="2"/>
        <v>520</v>
      </c>
      <c r="B523" s="218" t="s">
        <v>201</v>
      </c>
      <c r="C523" s="219" t="str">
        <f t="shared" si="1"/>
        <v>HD/1587/2025</v>
      </c>
      <c r="D523" s="218" t="b">
        <v>1</v>
      </c>
      <c r="E523" s="219" t="b">
        <v>0</v>
      </c>
      <c r="F523" s="219"/>
      <c r="G523" s="173"/>
      <c r="H523" s="157" t="s">
        <v>6473</v>
      </c>
      <c r="I523" s="157">
        <f t="shared" si="3"/>
        <v>1587</v>
      </c>
      <c r="J523" s="157">
        <v>2025.0</v>
      </c>
    </row>
    <row r="524">
      <c r="A524" s="218">
        <f t="shared" si="2"/>
        <v>521</v>
      </c>
      <c r="B524" s="218" t="s">
        <v>201</v>
      </c>
      <c r="C524" s="219" t="str">
        <f t="shared" si="1"/>
        <v>HD/1588/2025</v>
      </c>
      <c r="D524" s="218" t="b">
        <v>1</v>
      </c>
      <c r="E524" s="219" t="b">
        <v>0</v>
      </c>
      <c r="F524" s="219"/>
      <c r="G524" s="173"/>
      <c r="H524" s="157" t="s">
        <v>6473</v>
      </c>
      <c r="I524" s="157">
        <f t="shared" si="3"/>
        <v>1588</v>
      </c>
      <c r="J524" s="157">
        <v>2025.0</v>
      </c>
    </row>
    <row r="525">
      <c r="A525" s="218">
        <f t="shared" si="2"/>
        <v>522</v>
      </c>
      <c r="B525" s="218" t="s">
        <v>201</v>
      </c>
      <c r="C525" s="219" t="str">
        <f t="shared" si="1"/>
        <v>HD/1589/2025</v>
      </c>
      <c r="D525" s="218" t="b">
        <v>1</v>
      </c>
      <c r="E525" s="219" t="b">
        <v>0</v>
      </c>
      <c r="F525" s="219"/>
      <c r="G525" s="173"/>
      <c r="H525" s="157" t="s">
        <v>6473</v>
      </c>
      <c r="I525" s="157">
        <f t="shared" si="3"/>
        <v>1589</v>
      </c>
      <c r="J525" s="157">
        <v>2025.0</v>
      </c>
    </row>
    <row r="526">
      <c r="A526" s="218">
        <f t="shared" si="2"/>
        <v>523</v>
      </c>
      <c r="B526" s="218" t="s">
        <v>201</v>
      </c>
      <c r="C526" s="219" t="str">
        <f t="shared" si="1"/>
        <v>HD/1590/2025</v>
      </c>
      <c r="D526" s="218" t="b">
        <v>1</v>
      </c>
      <c r="E526" s="219" t="b">
        <v>0</v>
      </c>
      <c r="F526" s="219"/>
      <c r="G526" s="173"/>
      <c r="H526" s="157" t="s">
        <v>6473</v>
      </c>
      <c r="I526" s="157">
        <f t="shared" si="3"/>
        <v>1590</v>
      </c>
      <c r="J526" s="157">
        <v>2025.0</v>
      </c>
    </row>
    <row r="527">
      <c r="A527" s="218">
        <f t="shared" si="2"/>
        <v>524</v>
      </c>
      <c r="B527" s="218" t="s">
        <v>201</v>
      </c>
      <c r="C527" s="219" t="str">
        <f t="shared" si="1"/>
        <v>HD/1591/2025</v>
      </c>
      <c r="D527" s="218" t="b">
        <v>1</v>
      </c>
      <c r="E527" s="219" t="b">
        <v>0</v>
      </c>
      <c r="F527" s="219"/>
      <c r="G527" s="173"/>
      <c r="H527" s="157" t="s">
        <v>6473</v>
      </c>
      <c r="I527" s="157">
        <f t="shared" si="3"/>
        <v>1591</v>
      </c>
      <c r="J527" s="157">
        <v>2025.0</v>
      </c>
    </row>
    <row r="528">
      <c r="A528" s="218">
        <f t="shared" si="2"/>
        <v>525</v>
      </c>
      <c r="B528" s="218" t="s">
        <v>201</v>
      </c>
      <c r="C528" s="219" t="str">
        <f t="shared" si="1"/>
        <v>HD/1592/2025</v>
      </c>
      <c r="D528" s="218" t="b">
        <v>1</v>
      </c>
      <c r="E528" s="219" t="b">
        <v>0</v>
      </c>
      <c r="F528" s="219"/>
      <c r="G528" s="173"/>
      <c r="H528" s="157" t="s">
        <v>6473</v>
      </c>
      <c r="I528" s="157">
        <f t="shared" si="3"/>
        <v>1592</v>
      </c>
      <c r="J528" s="157">
        <v>2025.0</v>
      </c>
    </row>
    <row r="529">
      <c r="A529" s="218">
        <f t="shared" si="2"/>
        <v>526</v>
      </c>
      <c r="B529" s="218" t="s">
        <v>201</v>
      </c>
      <c r="C529" s="219" t="str">
        <f t="shared" si="1"/>
        <v>HD/1593/2025</v>
      </c>
      <c r="D529" s="218" t="b">
        <v>1</v>
      </c>
      <c r="E529" s="219" t="b">
        <v>0</v>
      </c>
      <c r="F529" s="219"/>
      <c r="G529" s="173"/>
      <c r="H529" s="157" t="s">
        <v>6473</v>
      </c>
      <c r="I529" s="157">
        <f t="shared" si="3"/>
        <v>1593</v>
      </c>
      <c r="J529" s="157">
        <v>2025.0</v>
      </c>
    </row>
    <row r="530">
      <c r="A530" s="218">
        <f t="shared" si="2"/>
        <v>527</v>
      </c>
      <c r="B530" s="218" t="s">
        <v>201</v>
      </c>
      <c r="C530" s="219" t="str">
        <f t="shared" si="1"/>
        <v>HD/1594/2025</v>
      </c>
      <c r="D530" s="218" t="b">
        <v>1</v>
      </c>
      <c r="E530" s="219" t="b">
        <v>0</v>
      </c>
      <c r="F530" s="219"/>
      <c r="G530" s="173"/>
      <c r="H530" s="157" t="s">
        <v>6473</v>
      </c>
      <c r="I530" s="157">
        <f t="shared" si="3"/>
        <v>1594</v>
      </c>
      <c r="J530" s="157">
        <v>2025.0</v>
      </c>
    </row>
    <row r="531">
      <c r="A531" s="218">
        <f t="shared" si="2"/>
        <v>528</v>
      </c>
      <c r="B531" s="218" t="s">
        <v>201</v>
      </c>
      <c r="C531" s="219" t="str">
        <f t="shared" si="1"/>
        <v>HD/1595/2025</v>
      </c>
      <c r="D531" s="218" t="b">
        <v>1</v>
      </c>
      <c r="E531" s="219" t="b">
        <v>0</v>
      </c>
      <c r="F531" s="219"/>
      <c r="G531" s="173"/>
      <c r="H531" s="157" t="s">
        <v>6473</v>
      </c>
      <c r="I531" s="157">
        <f t="shared" si="3"/>
        <v>1595</v>
      </c>
      <c r="J531" s="157">
        <v>2025.0</v>
      </c>
    </row>
    <row r="532">
      <c r="A532" s="218">
        <f t="shared" si="2"/>
        <v>529</v>
      </c>
      <c r="B532" s="218" t="s">
        <v>201</v>
      </c>
      <c r="C532" s="219" t="str">
        <f t="shared" si="1"/>
        <v>HD/1596/2025</v>
      </c>
      <c r="D532" s="218" t="b">
        <v>1</v>
      </c>
      <c r="E532" s="219" t="b">
        <v>0</v>
      </c>
      <c r="F532" s="219"/>
      <c r="G532" s="173"/>
      <c r="H532" s="157" t="s">
        <v>6473</v>
      </c>
      <c r="I532" s="157">
        <f t="shared" si="3"/>
        <v>1596</v>
      </c>
      <c r="J532" s="157">
        <v>2025.0</v>
      </c>
    </row>
    <row r="533">
      <c r="A533" s="218">
        <f t="shared" si="2"/>
        <v>530</v>
      </c>
      <c r="B533" s="218" t="s">
        <v>201</v>
      </c>
      <c r="C533" s="219" t="str">
        <f t="shared" si="1"/>
        <v>HD/1597/2025</v>
      </c>
      <c r="D533" s="218" t="b">
        <v>1</v>
      </c>
      <c r="E533" s="219" t="b">
        <v>0</v>
      </c>
      <c r="F533" s="219"/>
      <c r="G533" s="173"/>
      <c r="H533" s="157" t="s">
        <v>6473</v>
      </c>
      <c r="I533" s="157">
        <f t="shared" si="3"/>
        <v>1597</v>
      </c>
      <c r="J533" s="157">
        <v>2025.0</v>
      </c>
    </row>
    <row r="534">
      <c r="A534" s="218">
        <f t="shared" si="2"/>
        <v>531</v>
      </c>
      <c r="B534" s="218" t="s">
        <v>201</v>
      </c>
      <c r="C534" s="219" t="str">
        <f t="shared" si="1"/>
        <v>HD/1598/2025</v>
      </c>
      <c r="D534" s="218" t="b">
        <v>1</v>
      </c>
      <c r="E534" s="219" t="b">
        <v>0</v>
      </c>
      <c r="F534" s="219"/>
      <c r="G534" s="173"/>
      <c r="H534" s="157" t="s">
        <v>6473</v>
      </c>
      <c r="I534" s="157">
        <f t="shared" si="3"/>
        <v>1598</v>
      </c>
      <c r="J534" s="157">
        <v>2025.0</v>
      </c>
    </row>
    <row r="535">
      <c r="A535" s="218">
        <f t="shared" si="2"/>
        <v>532</v>
      </c>
      <c r="B535" s="218" t="s">
        <v>201</v>
      </c>
      <c r="C535" s="219" t="str">
        <f t="shared" si="1"/>
        <v>HD/1599/2025</v>
      </c>
      <c r="D535" s="218" t="b">
        <v>1</v>
      </c>
      <c r="E535" s="219" t="b">
        <v>0</v>
      </c>
      <c r="F535" s="219"/>
      <c r="G535" s="173"/>
      <c r="H535" s="157" t="s">
        <v>6473</v>
      </c>
      <c r="I535" s="157">
        <f t="shared" si="3"/>
        <v>1599</v>
      </c>
      <c r="J535" s="157">
        <v>2025.0</v>
      </c>
    </row>
    <row r="536">
      <c r="A536" s="218">
        <f t="shared" si="2"/>
        <v>533</v>
      </c>
      <c r="B536" s="218" t="s">
        <v>201</v>
      </c>
      <c r="C536" s="219" t="str">
        <f t="shared" si="1"/>
        <v>HD/1600/2025</v>
      </c>
      <c r="D536" s="218" t="b">
        <v>1</v>
      </c>
      <c r="E536" s="219" t="b">
        <v>0</v>
      </c>
      <c r="F536" s="219"/>
      <c r="G536" s="173"/>
      <c r="H536" s="157" t="s">
        <v>6473</v>
      </c>
      <c r="I536" s="157">
        <f t="shared" si="3"/>
        <v>1600</v>
      </c>
      <c r="J536" s="157">
        <v>2025.0</v>
      </c>
    </row>
    <row r="537">
      <c r="A537" s="218">
        <f t="shared" si="2"/>
        <v>534</v>
      </c>
      <c r="B537" s="218" t="s">
        <v>201</v>
      </c>
      <c r="C537" s="219" t="str">
        <f t="shared" si="1"/>
        <v>HD/1601/2025</v>
      </c>
      <c r="D537" s="218" t="b">
        <v>1</v>
      </c>
      <c r="E537" s="219" t="b">
        <v>0</v>
      </c>
      <c r="F537" s="219"/>
      <c r="G537" s="173"/>
      <c r="H537" s="157" t="s">
        <v>6473</v>
      </c>
      <c r="I537" s="157">
        <f t="shared" si="3"/>
        <v>1601</v>
      </c>
      <c r="J537" s="157">
        <v>2025.0</v>
      </c>
    </row>
    <row r="538">
      <c r="A538" s="218">
        <f t="shared" si="2"/>
        <v>535</v>
      </c>
      <c r="B538" s="218" t="s">
        <v>201</v>
      </c>
      <c r="C538" s="219" t="str">
        <f t="shared" si="1"/>
        <v>HD/1602/2025</v>
      </c>
      <c r="D538" s="218" t="b">
        <v>1</v>
      </c>
      <c r="E538" s="219" t="b">
        <v>0</v>
      </c>
      <c r="F538" s="219"/>
      <c r="G538" s="173"/>
      <c r="H538" s="157" t="s">
        <v>6473</v>
      </c>
      <c r="I538" s="157">
        <f t="shared" si="3"/>
        <v>1602</v>
      </c>
      <c r="J538" s="157">
        <v>2025.0</v>
      </c>
    </row>
    <row r="539">
      <c r="A539" s="218">
        <f t="shared" si="2"/>
        <v>536</v>
      </c>
      <c r="B539" s="218" t="s">
        <v>201</v>
      </c>
      <c r="C539" s="219" t="str">
        <f t="shared" si="1"/>
        <v>HD/1603/2025</v>
      </c>
      <c r="D539" s="218" t="b">
        <v>1</v>
      </c>
      <c r="E539" s="219" t="b">
        <v>0</v>
      </c>
      <c r="F539" s="219"/>
      <c r="G539" s="173"/>
      <c r="H539" s="157" t="s">
        <v>6473</v>
      </c>
      <c r="I539" s="157">
        <f t="shared" si="3"/>
        <v>1603</v>
      </c>
      <c r="J539" s="157">
        <v>2025.0</v>
      </c>
    </row>
    <row r="540">
      <c r="A540" s="218">
        <f t="shared" si="2"/>
        <v>537</v>
      </c>
      <c r="B540" s="218" t="s">
        <v>201</v>
      </c>
      <c r="C540" s="219" t="str">
        <f t="shared" si="1"/>
        <v>HD/1604/2025</v>
      </c>
      <c r="D540" s="218" t="b">
        <v>1</v>
      </c>
      <c r="E540" s="219" t="b">
        <v>0</v>
      </c>
      <c r="F540" s="219"/>
      <c r="G540" s="173"/>
      <c r="H540" s="157" t="s">
        <v>6473</v>
      </c>
      <c r="I540" s="157">
        <f t="shared" si="3"/>
        <v>1604</v>
      </c>
      <c r="J540" s="157">
        <v>2025.0</v>
      </c>
    </row>
    <row r="541">
      <c r="A541" s="218">
        <f t="shared" si="2"/>
        <v>538</v>
      </c>
      <c r="B541" s="218" t="s">
        <v>201</v>
      </c>
      <c r="C541" s="219" t="str">
        <f t="shared" si="1"/>
        <v>HD/1605/2025</v>
      </c>
      <c r="D541" s="218" t="b">
        <v>1</v>
      </c>
      <c r="E541" s="219" t="b">
        <v>0</v>
      </c>
      <c r="F541" s="219"/>
      <c r="G541" s="173"/>
      <c r="H541" s="157" t="s">
        <v>6473</v>
      </c>
      <c r="I541" s="157">
        <f t="shared" si="3"/>
        <v>1605</v>
      </c>
      <c r="J541" s="157">
        <v>2025.0</v>
      </c>
    </row>
    <row r="542">
      <c r="A542" s="218">
        <f t="shared" si="2"/>
        <v>539</v>
      </c>
      <c r="B542" s="218" t="s">
        <v>201</v>
      </c>
      <c r="C542" s="219" t="str">
        <f t="shared" si="1"/>
        <v>HD/1606/2025</v>
      </c>
      <c r="D542" s="218" t="b">
        <v>1</v>
      </c>
      <c r="E542" s="219" t="b">
        <v>0</v>
      </c>
      <c r="F542" s="218" t="s">
        <v>6508</v>
      </c>
      <c r="G542" s="173"/>
      <c r="H542" s="157" t="s">
        <v>6473</v>
      </c>
      <c r="I542" s="258">
        <f t="shared" si="3"/>
        <v>1606</v>
      </c>
      <c r="J542" s="157">
        <v>2025.0</v>
      </c>
    </row>
    <row r="543">
      <c r="A543" s="218">
        <f t="shared" si="2"/>
        <v>540</v>
      </c>
      <c r="B543" s="218" t="s">
        <v>201</v>
      </c>
      <c r="C543" s="219" t="str">
        <f t="shared" si="1"/>
        <v>HD/1607/2025</v>
      </c>
      <c r="D543" s="218" t="b">
        <v>1</v>
      </c>
      <c r="E543" s="219" t="b">
        <v>0</v>
      </c>
      <c r="F543" s="218" t="s">
        <v>6508</v>
      </c>
      <c r="G543" s="173"/>
      <c r="H543" s="157" t="s">
        <v>6473</v>
      </c>
      <c r="I543" s="258">
        <f t="shared" si="3"/>
        <v>1607</v>
      </c>
      <c r="J543" s="157">
        <v>2025.0</v>
      </c>
    </row>
    <row r="544">
      <c r="A544" s="218">
        <f t="shared" si="2"/>
        <v>541</v>
      </c>
      <c r="B544" s="218" t="s">
        <v>201</v>
      </c>
      <c r="C544" s="219" t="str">
        <f t="shared" si="1"/>
        <v>HD/1608/2025</v>
      </c>
      <c r="D544" s="218" t="b">
        <v>1</v>
      </c>
      <c r="E544" s="219" t="b">
        <v>0</v>
      </c>
      <c r="F544" s="219"/>
      <c r="G544" s="173"/>
      <c r="H544" s="157" t="s">
        <v>6473</v>
      </c>
      <c r="I544" s="157">
        <f t="shared" si="3"/>
        <v>1608</v>
      </c>
      <c r="J544" s="157">
        <v>2025.0</v>
      </c>
    </row>
    <row r="545">
      <c r="A545" s="218">
        <f t="shared" si="2"/>
        <v>542</v>
      </c>
      <c r="B545" s="218" t="s">
        <v>201</v>
      </c>
      <c r="C545" s="219" t="str">
        <f t="shared" si="1"/>
        <v>HD/1609/2025</v>
      </c>
      <c r="D545" s="218" t="b">
        <v>1</v>
      </c>
      <c r="E545" s="219" t="b">
        <v>0</v>
      </c>
      <c r="F545" s="219"/>
      <c r="G545" s="173"/>
      <c r="H545" s="157" t="s">
        <v>6473</v>
      </c>
      <c r="I545" s="157">
        <f t="shared" si="3"/>
        <v>1609</v>
      </c>
      <c r="J545" s="157">
        <v>2025.0</v>
      </c>
    </row>
    <row r="546">
      <c r="A546" s="218">
        <f t="shared" si="2"/>
        <v>543</v>
      </c>
      <c r="B546" s="218" t="s">
        <v>201</v>
      </c>
      <c r="C546" s="219" t="str">
        <f t="shared" si="1"/>
        <v>HD/1610/2025</v>
      </c>
      <c r="D546" s="218" t="b">
        <v>1</v>
      </c>
      <c r="E546" s="219" t="b">
        <v>0</v>
      </c>
      <c r="F546" s="219"/>
      <c r="G546" s="173"/>
      <c r="H546" s="157" t="s">
        <v>6473</v>
      </c>
      <c r="I546" s="157">
        <f t="shared" si="3"/>
        <v>1610</v>
      </c>
      <c r="J546" s="157">
        <v>2025.0</v>
      </c>
    </row>
    <row r="547">
      <c r="A547" s="218">
        <f t="shared" si="2"/>
        <v>544</v>
      </c>
      <c r="B547" s="218" t="s">
        <v>201</v>
      </c>
      <c r="C547" s="219" t="str">
        <f t="shared" si="1"/>
        <v>HD/1611/2025</v>
      </c>
      <c r="D547" s="218" t="b">
        <v>1</v>
      </c>
      <c r="E547" s="219" t="b">
        <v>0</v>
      </c>
      <c r="F547" s="219"/>
      <c r="G547" s="173"/>
      <c r="H547" s="157" t="s">
        <v>6473</v>
      </c>
      <c r="I547" s="157">
        <f t="shared" si="3"/>
        <v>1611</v>
      </c>
      <c r="J547" s="157">
        <v>2025.0</v>
      </c>
    </row>
    <row r="548">
      <c r="A548" s="218">
        <f t="shared" si="2"/>
        <v>545</v>
      </c>
      <c r="B548" s="218" t="s">
        <v>201</v>
      </c>
      <c r="C548" s="219" t="str">
        <f t="shared" si="1"/>
        <v>HD/1612/2025</v>
      </c>
      <c r="D548" s="218" t="b">
        <v>1</v>
      </c>
      <c r="E548" s="219" t="b">
        <v>0</v>
      </c>
      <c r="F548" s="219"/>
      <c r="G548" s="173"/>
      <c r="H548" s="157" t="s">
        <v>6473</v>
      </c>
      <c r="I548" s="157">
        <f t="shared" si="3"/>
        <v>1612</v>
      </c>
      <c r="J548" s="157">
        <v>2025.0</v>
      </c>
    </row>
    <row r="549">
      <c r="A549" s="218">
        <f t="shared" si="2"/>
        <v>546</v>
      </c>
      <c r="B549" s="218" t="s">
        <v>201</v>
      </c>
      <c r="C549" s="219" t="str">
        <f t="shared" si="1"/>
        <v>HD/1613/2025</v>
      </c>
      <c r="D549" s="218" t="b">
        <v>1</v>
      </c>
      <c r="E549" s="219" t="b">
        <v>0</v>
      </c>
      <c r="F549" s="219"/>
      <c r="G549" s="173"/>
      <c r="H549" s="157" t="s">
        <v>6473</v>
      </c>
      <c r="I549" s="157">
        <f t="shared" si="3"/>
        <v>1613</v>
      </c>
      <c r="J549" s="157">
        <v>2025.0</v>
      </c>
    </row>
    <row r="550">
      <c r="A550" s="218">
        <f t="shared" si="2"/>
        <v>547</v>
      </c>
      <c r="B550" s="218" t="s">
        <v>201</v>
      </c>
      <c r="C550" s="219" t="str">
        <f t="shared" si="1"/>
        <v>HD/1614/2025</v>
      </c>
      <c r="D550" s="218" t="b">
        <v>1</v>
      </c>
      <c r="E550" s="219" t="b">
        <v>0</v>
      </c>
      <c r="F550" s="219"/>
      <c r="G550" s="173"/>
      <c r="H550" s="157" t="s">
        <v>6473</v>
      </c>
      <c r="I550" s="157">
        <f t="shared" si="3"/>
        <v>1614</v>
      </c>
      <c r="J550" s="157">
        <v>2025.0</v>
      </c>
    </row>
    <row r="551">
      <c r="A551" s="218">
        <f t="shared" si="2"/>
        <v>548</v>
      </c>
      <c r="B551" s="218" t="s">
        <v>201</v>
      </c>
      <c r="C551" s="219" t="str">
        <f t="shared" si="1"/>
        <v>HD/1615/2025</v>
      </c>
      <c r="D551" s="218" t="b">
        <v>1</v>
      </c>
      <c r="E551" s="219" t="b">
        <v>0</v>
      </c>
      <c r="F551" s="219"/>
      <c r="G551" s="173"/>
      <c r="H551" s="157" t="s">
        <v>6473</v>
      </c>
      <c r="I551" s="157">
        <f t="shared" si="3"/>
        <v>1615</v>
      </c>
      <c r="J551" s="157">
        <v>2025.0</v>
      </c>
    </row>
    <row r="552">
      <c r="A552" s="218">
        <f t="shared" si="2"/>
        <v>549</v>
      </c>
      <c r="B552" s="218" t="s">
        <v>201</v>
      </c>
      <c r="C552" s="219" t="str">
        <f t="shared" si="1"/>
        <v>HD/1616/2025</v>
      </c>
      <c r="D552" s="218" t="b">
        <v>1</v>
      </c>
      <c r="E552" s="219" t="b">
        <v>0</v>
      </c>
      <c r="F552" s="219"/>
      <c r="G552" s="173"/>
      <c r="H552" s="157" t="s">
        <v>6473</v>
      </c>
      <c r="I552" s="157">
        <f t="shared" si="3"/>
        <v>1616</v>
      </c>
      <c r="J552" s="157">
        <v>2025.0</v>
      </c>
    </row>
    <row r="553">
      <c r="A553" s="218">
        <f t="shared" si="2"/>
        <v>550</v>
      </c>
      <c r="B553" s="218" t="s">
        <v>201</v>
      </c>
      <c r="C553" s="219" t="str">
        <f t="shared" si="1"/>
        <v>HD/1617/2025</v>
      </c>
      <c r="D553" s="218" t="b">
        <v>1</v>
      </c>
      <c r="E553" s="219" t="b">
        <v>0</v>
      </c>
      <c r="F553" s="219"/>
      <c r="G553" s="173"/>
      <c r="H553" s="157" t="s">
        <v>6473</v>
      </c>
      <c r="I553" s="157">
        <f t="shared" si="3"/>
        <v>1617</v>
      </c>
      <c r="J553" s="157">
        <v>2025.0</v>
      </c>
    </row>
    <row r="554">
      <c r="A554" s="218">
        <f t="shared" si="2"/>
        <v>551</v>
      </c>
      <c r="B554" s="218" t="s">
        <v>201</v>
      </c>
      <c r="C554" s="219" t="str">
        <f t="shared" si="1"/>
        <v>HD/1618/2025</v>
      </c>
      <c r="D554" s="218" t="b">
        <v>1</v>
      </c>
      <c r="E554" s="219" t="b">
        <v>0</v>
      </c>
      <c r="F554" s="218" t="s">
        <v>6508</v>
      </c>
      <c r="G554" s="173"/>
      <c r="H554" s="157" t="s">
        <v>6473</v>
      </c>
      <c r="I554" s="258">
        <f t="shared" si="3"/>
        <v>1618</v>
      </c>
      <c r="J554" s="157">
        <v>2025.0</v>
      </c>
    </row>
    <row r="555">
      <c r="A555" s="218">
        <f t="shared" si="2"/>
        <v>552</v>
      </c>
      <c r="B555" s="218" t="s">
        <v>201</v>
      </c>
      <c r="C555" s="219" t="str">
        <f t="shared" si="1"/>
        <v>HD/1619/2025</v>
      </c>
      <c r="D555" s="218" t="b">
        <v>1</v>
      </c>
      <c r="E555" s="219" t="b">
        <v>0</v>
      </c>
      <c r="F555" s="218" t="s">
        <v>6508</v>
      </c>
      <c r="G555" s="173"/>
      <c r="H555" s="157" t="s">
        <v>6473</v>
      </c>
      <c r="I555" s="258">
        <f t="shared" si="3"/>
        <v>1619</v>
      </c>
      <c r="J555" s="157">
        <v>2025.0</v>
      </c>
    </row>
    <row r="556">
      <c r="A556" s="218">
        <f t="shared" si="2"/>
        <v>553</v>
      </c>
      <c r="B556" s="218" t="s">
        <v>201</v>
      </c>
      <c r="C556" s="219" t="str">
        <f t="shared" si="1"/>
        <v>HD/1620/2025</v>
      </c>
      <c r="D556" s="218" t="b">
        <v>1</v>
      </c>
      <c r="E556" s="219" t="b">
        <v>0</v>
      </c>
      <c r="F556" s="218" t="s">
        <v>6508</v>
      </c>
      <c r="G556" s="173"/>
      <c r="H556" s="157" t="s">
        <v>6473</v>
      </c>
      <c r="I556" s="258">
        <f t="shared" si="3"/>
        <v>1620</v>
      </c>
      <c r="J556" s="157">
        <v>2025.0</v>
      </c>
    </row>
    <row r="557">
      <c r="A557" s="218">
        <f t="shared" si="2"/>
        <v>554</v>
      </c>
      <c r="B557" s="218" t="s">
        <v>201</v>
      </c>
      <c r="C557" s="219" t="str">
        <f t="shared" si="1"/>
        <v>HD/1621/2025</v>
      </c>
      <c r="D557" s="218" t="b">
        <v>1</v>
      </c>
      <c r="E557" s="219" t="b">
        <v>0</v>
      </c>
      <c r="F557" s="218" t="s">
        <v>6508</v>
      </c>
      <c r="G557" s="173"/>
      <c r="H557" s="157" t="s">
        <v>6473</v>
      </c>
      <c r="I557" s="258">
        <f t="shared" si="3"/>
        <v>1621</v>
      </c>
      <c r="J557" s="157">
        <v>2025.0</v>
      </c>
    </row>
    <row r="558">
      <c r="A558" s="218">
        <f t="shared" si="2"/>
        <v>555</v>
      </c>
      <c r="B558" s="218" t="s">
        <v>201</v>
      </c>
      <c r="C558" s="219" t="str">
        <f t="shared" si="1"/>
        <v>HD/1622/2025</v>
      </c>
      <c r="D558" s="218" t="b">
        <v>1</v>
      </c>
      <c r="E558" s="219" t="b">
        <v>0</v>
      </c>
      <c r="F558" s="218" t="s">
        <v>6508</v>
      </c>
      <c r="G558" s="173"/>
      <c r="H558" s="157" t="s">
        <v>6473</v>
      </c>
      <c r="I558" s="258">
        <f t="shared" si="3"/>
        <v>1622</v>
      </c>
      <c r="J558" s="157">
        <v>2025.0</v>
      </c>
    </row>
    <row r="559">
      <c r="A559" s="218">
        <f t="shared" si="2"/>
        <v>556</v>
      </c>
      <c r="B559" s="218" t="s">
        <v>201</v>
      </c>
      <c r="C559" s="219" t="str">
        <f t="shared" si="1"/>
        <v>HD/1623/2025</v>
      </c>
      <c r="D559" s="218" t="b">
        <v>1</v>
      </c>
      <c r="E559" s="219" t="b">
        <v>0</v>
      </c>
      <c r="F559" s="218" t="s">
        <v>6508</v>
      </c>
      <c r="G559" s="173"/>
      <c r="H559" s="157" t="s">
        <v>6473</v>
      </c>
      <c r="I559" s="258">
        <f t="shared" si="3"/>
        <v>1623</v>
      </c>
      <c r="J559" s="157">
        <v>2025.0</v>
      </c>
    </row>
    <row r="560">
      <c r="A560" s="218">
        <f t="shared" si="2"/>
        <v>557</v>
      </c>
      <c r="B560" s="218" t="s">
        <v>201</v>
      </c>
      <c r="C560" s="219" t="str">
        <f t="shared" si="1"/>
        <v>HD/1624/2025</v>
      </c>
      <c r="D560" s="218" t="b">
        <v>1</v>
      </c>
      <c r="E560" s="219" t="b">
        <v>0</v>
      </c>
      <c r="F560" s="218" t="s">
        <v>6508</v>
      </c>
      <c r="G560" s="173"/>
      <c r="H560" s="157" t="s">
        <v>6473</v>
      </c>
      <c r="I560" s="258">
        <f t="shared" si="3"/>
        <v>1624</v>
      </c>
      <c r="J560" s="157">
        <v>2025.0</v>
      </c>
    </row>
    <row r="561">
      <c r="A561" s="218">
        <f t="shared" si="2"/>
        <v>558</v>
      </c>
      <c r="B561" s="218" t="s">
        <v>201</v>
      </c>
      <c r="C561" s="219" t="str">
        <f t="shared" si="1"/>
        <v>HD/1625/2025</v>
      </c>
      <c r="D561" s="218" t="b">
        <v>1</v>
      </c>
      <c r="E561" s="219" t="b">
        <v>0</v>
      </c>
      <c r="F561" s="218" t="s">
        <v>6508</v>
      </c>
      <c r="G561" s="173"/>
      <c r="H561" s="157" t="s">
        <v>6473</v>
      </c>
      <c r="I561" s="258">
        <f t="shared" si="3"/>
        <v>1625</v>
      </c>
      <c r="J561" s="157">
        <v>2025.0</v>
      </c>
    </row>
    <row r="562">
      <c r="A562" s="218">
        <f t="shared" si="2"/>
        <v>559</v>
      </c>
      <c r="B562" s="218" t="s">
        <v>201</v>
      </c>
      <c r="C562" s="219" t="str">
        <f t="shared" si="1"/>
        <v>HD/1626/2025</v>
      </c>
      <c r="D562" s="218" t="b">
        <v>1</v>
      </c>
      <c r="E562" s="219" t="b">
        <v>0</v>
      </c>
      <c r="F562" s="218" t="s">
        <v>6508</v>
      </c>
      <c r="G562" s="173"/>
      <c r="H562" s="157" t="s">
        <v>6473</v>
      </c>
      <c r="I562" s="258">
        <f t="shared" si="3"/>
        <v>1626</v>
      </c>
      <c r="J562" s="157">
        <v>2025.0</v>
      </c>
    </row>
    <row r="563">
      <c r="A563" s="218">
        <f t="shared" si="2"/>
        <v>560</v>
      </c>
      <c r="B563" s="218" t="s">
        <v>201</v>
      </c>
      <c r="C563" s="219" t="str">
        <f t="shared" si="1"/>
        <v>HD/1627/2025</v>
      </c>
      <c r="D563" s="218" t="b">
        <v>1</v>
      </c>
      <c r="E563" s="219" t="b">
        <v>0</v>
      </c>
      <c r="F563" s="219"/>
      <c r="G563" s="173"/>
      <c r="H563" s="157" t="s">
        <v>6473</v>
      </c>
      <c r="I563" s="157">
        <f t="shared" si="3"/>
        <v>1627</v>
      </c>
      <c r="J563" s="157">
        <v>2025.0</v>
      </c>
    </row>
    <row r="564">
      <c r="A564" s="218">
        <f t="shared" si="2"/>
        <v>561</v>
      </c>
      <c r="B564" s="218" t="s">
        <v>201</v>
      </c>
      <c r="C564" s="219" t="str">
        <f t="shared" si="1"/>
        <v>HD/1628/2025</v>
      </c>
      <c r="D564" s="218" t="b">
        <v>1</v>
      </c>
      <c r="E564" s="219" t="b">
        <v>0</v>
      </c>
      <c r="F564" s="219"/>
      <c r="G564" s="173"/>
      <c r="H564" s="157" t="s">
        <v>6473</v>
      </c>
      <c r="I564" s="157">
        <f t="shared" si="3"/>
        <v>1628</v>
      </c>
      <c r="J564" s="157">
        <v>2025.0</v>
      </c>
    </row>
    <row r="565">
      <c r="A565" s="218">
        <f t="shared" si="2"/>
        <v>562</v>
      </c>
      <c r="B565" s="218" t="s">
        <v>201</v>
      </c>
      <c r="C565" s="219" t="str">
        <f t="shared" si="1"/>
        <v>HD/1629/2025</v>
      </c>
      <c r="D565" s="218" t="b">
        <v>1</v>
      </c>
      <c r="E565" s="219" t="b">
        <v>0</v>
      </c>
      <c r="F565" s="219"/>
      <c r="G565" s="173"/>
      <c r="H565" s="157" t="s">
        <v>6473</v>
      </c>
      <c r="I565" s="157">
        <f t="shared" si="3"/>
        <v>1629</v>
      </c>
      <c r="J565" s="157">
        <v>2025.0</v>
      </c>
    </row>
    <row r="566">
      <c r="A566" s="218">
        <f t="shared" si="2"/>
        <v>563</v>
      </c>
      <c r="B566" s="218" t="s">
        <v>201</v>
      </c>
      <c r="C566" s="219" t="str">
        <f t="shared" si="1"/>
        <v>HD/1630/2025</v>
      </c>
      <c r="D566" s="218" t="b">
        <v>1</v>
      </c>
      <c r="E566" s="219" t="b">
        <v>0</v>
      </c>
      <c r="F566" s="219"/>
      <c r="G566" s="173"/>
      <c r="H566" s="157" t="s">
        <v>6473</v>
      </c>
      <c r="I566" s="157">
        <f t="shared" si="3"/>
        <v>1630</v>
      </c>
      <c r="J566" s="157">
        <v>2025.0</v>
      </c>
    </row>
    <row r="567">
      <c r="A567" s="218">
        <f t="shared" si="2"/>
        <v>564</v>
      </c>
      <c r="B567" s="218" t="s">
        <v>201</v>
      </c>
      <c r="C567" s="219" t="str">
        <f t="shared" si="1"/>
        <v>HD/1631/2025</v>
      </c>
      <c r="D567" s="218" t="b">
        <v>1</v>
      </c>
      <c r="E567" s="219" t="b">
        <v>0</v>
      </c>
      <c r="F567" s="219"/>
      <c r="G567" s="173"/>
      <c r="H567" s="157" t="s">
        <v>6473</v>
      </c>
      <c r="I567" s="157">
        <f t="shared" si="3"/>
        <v>1631</v>
      </c>
      <c r="J567" s="157">
        <v>2025.0</v>
      </c>
    </row>
    <row r="568">
      <c r="A568" s="218">
        <f t="shared" si="2"/>
        <v>565</v>
      </c>
      <c r="B568" s="218" t="s">
        <v>201</v>
      </c>
      <c r="C568" s="219" t="str">
        <f t="shared" si="1"/>
        <v>HD/1632/2025</v>
      </c>
      <c r="D568" s="218" t="b">
        <v>1</v>
      </c>
      <c r="E568" s="219" t="b">
        <v>0</v>
      </c>
      <c r="F568" s="219"/>
      <c r="G568" s="173"/>
      <c r="H568" s="157" t="s">
        <v>6473</v>
      </c>
      <c r="I568" s="157">
        <f t="shared" si="3"/>
        <v>1632</v>
      </c>
      <c r="J568" s="157">
        <v>2025.0</v>
      </c>
    </row>
    <row r="569">
      <c r="A569" s="218">
        <f t="shared" si="2"/>
        <v>566</v>
      </c>
      <c r="B569" s="218" t="s">
        <v>201</v>
      </c>
      <c r="C569" s="219" t="str">
        <f t="shared" si="1"/>
        <v>HD/1633/2025</v>
      </c>
      <c r="D569" s="218" t="b">
        <v>1</v>
      </c>
      <c r="E569" s="219" t="b">
        <v>0</v>
      </c>
      <c r="F569" s="219"/>
      <c r="G569" s="173"/>
      <c r="H569" s="157" t="s">
        <v>6473</v>
      </c>
      <c r="I569" s="157">
        <f t="shared" si="3"/>
        <v>1633</v>
      </c>
      <c r="J569" s="157">
        <v>2025.0</v>
      </c>
    </row>
    <row r="570">
      <c r="A570" s="218">
        <f t="shared" si="2"/>
        <v>567</v>
      </c>
      <c r="B570" s="218" t="s">
        <v>201</v>
      </c>
      <c r="C570" s="219" t="str">
        <f t="shared" si="1"/>
        <v>HD/1634/2025</v>
      </c>
      <c r="D570" s="218" t="b">
        <v>1</v>
      </c>
      <c r="E570" s="219" t="b">
        <v>0</v>
      </c>
      <c r="F570" s="219"/>
      <c r="G570" s="173"/>
      <c r="H570" s="157" t="s">
        <v>6473</v>
      </c>
      <c r="I570" s="157">
        <f t="shared" si="3"/>
        <v>1634</v>
      </c>
      <c r="J570" s="157">
        <v>2025.0</v>
      </c>
    </row>
    <row r="571">
      <c r="A571" s="218">
        <f t="shared" si="2"/>
        <v>568</v>
      </c>
      <c r="B571" s="218" t="s">
        <v>201</v>
      </c>
      <c r="C571" s="219" t="str">
        <f t="shared" si="1"/>
        <v>HD/1635/2025</v>
      </c>
      <c r="D571" s="218" t="b">
        <v>1</v>
      </c>
      <c r="E571" s="219" t="b">
        <v>0</v>
      </c>
      <c r="F571" s="219"/>
      <c r="G571" s="173"/>
      <c r="H571" s="157" t="s">
        <v>6473</v>
      </c>
      <c r="I571" s="157">
        <f t="shared" si="3"/>
        <v>1635</v>
      </c>
      <c r="J571" s="157">
        <v>2025.0</v>
      </c>
    </row>
    <row r="572">
      <c r="A572" s="218">
        <f t="shared" si="2"/>
        <v>569</v>
      </c>
      <c r="B572" s="218" t="s">
        <v>201</v>
      </c>
      <c r="C572" s="219" t="str">
        <f t="shared" si="1"/>
        <v>HD/1636/2025</v>
      </c>
      <c r="D572" s="218" t="b">
        <v>1</v>
      </c>
      <c r="E572" s="219" t="b">
        <v>0</v>
      </c>
      <c r="F572" s="219"/>
      <c r="G572" s="173"/>
      <c r="H572" s="157" t="s">
        <v>6473</v>
      </c>
      <c r="I572" s="157">
        <f t="shared" si="3"/>
        <v>1636</v>
      </c>
      <c r="J572" s="157">
        <v>2025.0</v>
      </c>
    </row>
    <row r="573">
      <c r="A573" s="218">
        <f t="shared" si="2"/>
        <v>570</v>
      </c>
      <c r="B573" s="218" t="s">
        <v>201</v>
      </c>
      <c r="C573" s="219" t="str">
        <f t="shared" si="1"/>
        <v>HD/1637/2025</v>
      </c>
      <c r="D573" s="218" t="b">
        <v>1</v>
      </c>
      <c r="E573" s="219" t="b">
        <v>0</v>
      </c>
      <c r="F573" s="219"/>
      <c r="G573" s="173"/>
      <c r="H573" s="157" t="s">
        <v>6473</v>
      </c>
      <c r="I573" s="157">
        <f t="shared" si="3"/>
        <v>1637</v>
      </c>
      <c r="J573" s="157">
        <v>2025.0</v>
      </c>
    </row>
    <row r="574">
      <c r="A574" s="218">
        <f t="shared" si="2"/>
        <v>571</v>
      </c>
      <c r="B574" s="218" t="s">
        <v>201</v>
      </c>
      <c r="C574" s="219" t="str">
        <f t="shared" si="1"/>
        <v>HD/1638/2025</v>
      </c>
      <c r="D574" s="218" t="b">
        <v>1</v>
      </c>
      <c r="E574" s="219" t="b">
        <v>0</v>
      </c>
      <c r="F574" s="219"/>
      <c r="G574" s="173"/>
      <c r="H574" s="157" t="s">
        <v>6473</v>
      </c>
      <c r="I574" s="157">
        <f t="shared" si="3"/>
        <v>1638</v>
      </c>
      <c r="J574" s="157">
        <v>2025.0</v>
      </c>
    </row>
    <row r="575">
      <c r="A575" s="218">
        <f t="shared" si="2"/>
        <v>572</v>
      </c>
      <c r="B575" s="218" t="s">
        <v>201</v>
      </c>
      <c r="C575" s="219" t="str">
        <f t="shared" si="1"/>
        <v>HD/1639/2025</v>
      </c>
      <c r="D575" s="218" t="b">
        <v>1</v>
      </c>
      <c r="E575" s="219" t="b">
        <v>0</v>
      </c>
      <c r="F575" s="219"/>
      <c r="G575" s="173"/>
      <c r="H575" s="157" t="s">
        <v>6473</v>
      </c>
      <c r="I575" s="157">
        <f t="shared" si="3"/>
        <v>1639</v>
      </c>
      <c r="J575" s="157">
        <v>2025.0</v>
      </c>
    </row>
    <row r="576">
      <c r="A576" s="218">
        <f t="shared" si="2"/>
        <v>573</v>
      </c>
      <c r="B576" s="218" t="s">
        <v>201</v>
      </c>
      <c r="C576" s="219" t="str">
        <f t="shared" si="1"/>
        <v>HD/1640/2025</v>
      </c>
      <c r="D576" s="218" t="b">
        <v>1</v>
      </c>
      <c r="E576" s="219" t="b">
        <v>0</v>
      </c>
      <c r="F576" s="219"/>
      <c r="G576" s="173"/>
      <c r="H576" s="157" t="s">
        <v>6473</v>
      </c>
      <c r="I576" s="157">
        <f t="shared" si="3"/>
        <v>1640</v>
      </c>
      <c r="J576" s="157">
        <v>2025.0</v>
      </c>
    </row>
    <row r="577">
      <c r="A577" s="218">
        <f t="shared" si="2"/>
        <v>574</v>
      </c>
      <c r="B577" s="218" t="s">
        <v>201</v>
      </c>
      <c r="C577" s="219" t="str">
        <f t="shared" si="1"/>
        <v>HD/1641/2025</v>
      </c>
      <c r="D577" s="218" t="b">
        <v>1</v>
      </c>
      <c r="E577" s="219" t="b">
        <v>0</v>
      </c>
      <c r="F577" s="219"/>
      <c r="G577" s="173"/>
      <c r="H577" s="157" t="s">
        <v>6473</v>
      </c>
      <c r="I577" s="157">
        <f t="shared" si="3"/>
        <v>1641</v>
      </c>
      <c r="J577" s="157">
        <v>2025.0</v>
      </c>
    </row>
    <row r="578">
      <c r="A578" s="218">
        <f t="shared" si="2"/>
        <v>575</v>
      </c>
      <c r="B578" s="218" t="s">
        <v>201</v>
      </c>
      <c r="C578" s="219" t="str">
        <f t="shared" si="1"/>
        <v>HD/1642/2025</v>
      </c>
      <c r="D578" s="218" t="b">
        <v>1</v>
      </c>
      <c r="E578" s="219" t="b">
        <v>0</v>
      </c>
      <c r="F578" s="219"/>
      <c r="G578" s="173"/>
      <c r="H578" s="157" t="s">
        <v>6473</v>
      </c>
      <c r="I578" s="157">
        <f t="shared" si="3"/>
        <v>1642</v>
      </c>
      <c r="J578" s="157">
        <v>2025.0</v>
      </c>
    </row>
    <row r="579">
      <c r="A579" s="218">
        <f t="shared" si="2"/>
        <v>576</v>
      </c>
      <c r="B579" s="218" t="s">
        <v>201</v>
      </c>
      <c r="C579" s="219" t="str">
        <f t="shared" si="1"/>
        <v>HD/1643/2025</v>
      </c>
      <c r="D579" s="218" t="b">
        <v>1</v>
      </c>
      <c r="E579" s="219" t="b">
        <v>0</v>
      </c>
      <c r="F579" s="219"/>
      <c r="G579" s="173"/>
      <c r="H579" s="157" t="s">
        <v>6473</v>
      </c>
      <c r="I579" s="157">
        <f t="shared" si="3"/>
        <v>1643</v>
      </c>
      <c r="J579" s="157">
        <v>2025.0</v>
      </c>
    </row>
    <row r="580">
      <c r="A580" s="218">
        <f t="shared" si="2"/>
        <v>577</v>
      </c>
      <c r="B580" s="218" t="s">
        <v>201</v>
      </c>
      <c r="C580" s="219" t="str">
        <f t="shared" si="1"/>
        <v>HD/1644/2025</v>
      </c>
      <c r="D580" s="218" t="b">
        <v>1</v>
      </c>
      <c r="E580" s="219" t="b">
        <v>0</v>
      </c>
      <c r="F580" s="219"/>
      <c r="G580" s="173"/>
      <c r="H580" s="157" t="s">
        <v>6473</v>
      </c>
      <c r="I580" s="157">
        <f t="shared" si="3"/>
        <v>1644</v>
      </c>
      <c r="J580" s="157">
        <v>2025.0</v>
      </c>
    </row>
    <row r="581">
      <c r="A581" s="218">
        <f t="shared" si="2"/>
        <v>578</v>
      </c>
      <c r="B581" s="218" t="s">
        <v>201</v>
      </c>
      <c r="C581" s="219" t="str">
        <f t="shared" si="1"/>
        <v>HD/1645/2025</v>
      </c>
      <c r="D581" s="218" t="b">
        <v>1</v>
      </c>
      <c r="E581" s="219" t="b">
        <v>0</v>
      </c>
      <c r="F581" s="219"/>
      <c r="G581" s="173"/>
      <c r="H581" s="157" t="s">
        <v>6473</v>
      </c>
      <c r="I581" s="157">
        <f t="shared" si="3"/>
        <v>1645</v>
      </c>
      <c r="J581" s="157">
        <v>2025.0</v>
      </c>
    </row>
    <row r="582">
      <c r="A582" s="218">
        <f t="shared" si="2"/>
        <v>579</v>
      </c>
      <c r="B582" s="218" t="s">
        <v>201</v>
      </c>
      <c r="C582" s="219" t="str">
        <f t="shared" si="1"/>
        <v>HD/1646/2025</v>
      </c>
      <c r="D582" s="218" t="b">
        <v>1</v>
      </c>
      <c r="E582" s="219" t="b">
        <v>0</v>
      </c>
      <c r="F582" s="219"/>
      <c r="G582" s="173"/>
      <c r="H582" s="157" t="s">
        <v>6473</v>
      </c>
      <c r="I582" s="157">
        <f t="shared" si="3"/>
        <v>1646</v>
      </c>
      <c r="J582" s="157">
        <v>2025.0</v>
      </c>
    </row>
    <row r="583">
      <c r="A583" s="218">
        <f t="shared" si="2"/>
        <v>580</v>
      </c>
      <c r="B583" s="218" t="s">
        <v>201</v>
      </c>
      <c r="C583" s="219" t="str">
        <f t="shared" si="1"/>
        <v>HD/1647/2025</v>
      </c>
      <c r="D583" s="218" t="b">
        <v>1</v>
      </c>
      <c r="E583" s="219" t="b">
        <v>0</v>
      </c>
      <c r="F583" s="219"/>
      <c r="G583" s="173"/>
      <c r="H583" s="157" t="s">
        <v>6473</v>
      </c>
      <c r="I583" s="157">
        <f t="shared" si="3"/>
        <v>1647</v>
      </c>
      <c r="J583" s="157">
        <v>2025.0</v>
      </c>
    </row>
    <row r="584">
      <c r="A584" s="218">
        <f t="shared" si="2"/>
        <v>581</v>
      </c>
      <c r="B584" s="218" t="s">
        <v>201</v>
      </c>
      <c r="C584" s="219" t="str">
        <f t="shared" si="1"/>
        <v>HD/1648/2025</v>
      </c>
      <c r="D584" s="218" t="b">
        <v>1</v>
      </c>
      <c r="E584" s="219" t="b">
        <v>0</v>
      </c>
      <c r="F584" s="219"/>
      <c r="G584" s="173"/>
      <c r="H584" s="157" t="s">
        <v>6473</v>
      </c>
      <c r="I584" s="157">
        <f t="shared" si="3"/>
        <v>1648</v>
      </c>
      <c r="J584" s="157">
        <v>2025.0</v>
      </c>
    </row>
    <row r="585">
      <c r="A585" s="218">
        <f t="shared" si="2"/>
        <v>582</v>
      </c>
      <c r="B585" s="218" t="s">
        <v>201</v>
      </c>
      <c r="C585" s="219" t="str">
        <f t="shared" si="1"/>
        <v>HD/1649/2025</v>
      </c>
      <c r="D585" s="218" t="b">
        <v>1</v>
      </c>
      <c r="E585" s="219" t="b">
        <v>0</v>
      </c>
      <c r="F585" s="219"/>
      <c r="G585" s="173"/>
      <c r="H585" s="157" t="s">
        <v>6473</v>
      </c>
      <c r="I585" s="157">
        <f t="shared" si="3"/>
        <v>1649</v>
      </c>
      <c r="J585" s="157">
        <v>2025.0</v>
      </c>
    </row>
    <row r="586">
      <c r="A586" s="218">
        <f t="shared" si="2"/>
        <v>583</v>
      </c>
      <c r="B586" s="218" t="s">
        <v>201</v>
      </c>
      <c r="C586" s="219" t="str">
        <f t="shared" si="1"/>
        <v>HD/1650/2025</v>
      </c>
      <c r="D586" s="218" t="b">
        <v>1</v>
      </c>
      <c r="E586" s="219" t="b">
        <v>0</v>
      </c>
      <c r="F586" s="219"/>
      <c r="G586" s="173"/>
      <c r="H586" s="157" t="s">
        <v>6473</v>
      </c>
      <c r="I586" s="157">
        <f t="shared" si="3"/>
        <v>1650</v>
      </c>
      <c r="J586" s="157">
        <v>2025.0</v>
      </c>
    </row>
    <row r="587">
      <c r="A587" s="218">
        <f t="shared" si="2"/>
        <v>584</v>
      </c>
      <c r="B587" s="218" t="s">
        <v>201</v>
      </c>
      <c r="C587" s="219" t="str">
        <f t="shared" si="1"/>
        <v>HD/1651/2025</v>
      </c>
      <c r="D587" s="218" t="b">
        <v>1</v>
      </c>
      <c r="E587" s="219" t="b">
        <v>0</v>
      </c>
      <c r="F587" s="219"/>
      <c r="G587" s="173"/>
      <c r="H587" s="157" t="s">
        <v>6473</v>
      </c>
      <c r="I587" s="157">
        <f t="shared" si="3"/>
        <v>1651</v>
      </c>
      <c r="J587" s="157">
        <v>2025.0</v>
      </c>
    </row>
    <row r="588">
      <c r="A588" s="218">
        <f t="shared" si="2"/>
        <v>585</v>
      </c>
      <c r="B588" s="218" t="s">
        <v>201</v>
      </c>
      <c r="C588" s="219" t="str">
        <f t="shared" si="1"/>
        <v>HD/1652/2025</v>
      </c>
      <c r="D588" s="218" t="b">
        <v>1</v>
      </c>
      <c r="E588" s="219" t="b">
        <v>0</v>
      </c>
      <c r="F588" s="219"/>
      <c r="G588" s="173"/>
      <c r="H588" s="157" t="s">
        <v>6473</v>
      </c>
      <c r="I588" s="157">
        <f t="shared" si="3"/>
        <v>1652</v>
      </c>
      <c r="J588" s="157">
        <v>2025.0</v>
      </c>
    </row>
    <row r="589">
      <c r="A589" s="218">
        <f t="shared" si="2"/>
        <v>586</v>
      </c>
      <c r="B589" s="218" t="s">
        <v>201</v>
      </c>
      <c r="C589" s="219" t="str">
        <f t="shared" si="1"/>
        <v>HD/1653/2025</v>
      </c>
      <c r="D589" s="218" t="b">
        <v>1</v>
      </c>
      <c r="E589" s="219" t="b">
        <v>0</v>
      </c>
      <c r="F589" s="219"/>
      <c r="G589" s="173"/>
      <c r="H589" s="157" t="s">
        <v>6473</v>
      </c>
      <c r="I589" s="157">
        <f t="shared" si="3"/>
        <v>1653</v>
      </c>
      <c r="J589" s="157">
        <v>2025.0</v>
      </c>
    </row>
    <row r="590">
      <c r="A590" s="218">
        <f t="shared" si="2"/>
        <v>587</v>
      </c>
      <c r="B590" s="218" t="s">
        <v>201</v>
      </c>
      <c r="C590" s="219" t="str">
        <f t="shared" si="1"/>
        <v>HD/1654/2025</v>
      </c>
      <c r="D590" s="218" t="b">
        <v>1</v>
      </c>
      <c r="E590" s="219" t="b">
        <v>0</v>
      </c>
      <c r="F590" s="219"/>
      <c r="G590" s="173"/>
      <c r="H590" s="157" t="s">
        <v>6473</v>
      </c>
      <c r="I590" s="157">
        <f t="shared" si="3"/>
        <v>1654</v>
      </c>
      <c r="J590" s="157">
        <v>2025.0</v>
      </c>
    </row>
    <row r="591">
      <c r="A591" s="218">
        <f t="shared" si="2"/>
        <v>588</v>
      </c>
      <c r="B591" s="218" t="s">
        <v>201</v>
      </c>
      <c r="C591" s="219" t="str">
        <f t="shared" si="1"/>
        <v>HD/1655/2025</v>
      </c>
      <c r="D591" s="218" t="b">
        <v>1</v>
      </c>
      <c r="E591" s="219" t="b">
        <v>0</v>
      </c>
      <c r="F591" s="219"/>
      <c r="G591" s="173"/>
      <c r="H591" s="157" t="s">
        <v>6473</v>
      </c>
      <c r="I591" s="157">
        <f t="shared" si="3"/>
        <v>1655</v>
      </c>
      <c r="J591" s="157">
        <v>2025.0</v>
      </c>
    </row>
    <row r="592">
      <c r="A592" s="218">
        <f t="shared" si="2"/>
        <v>589</v>
      </c>
      <c r="B592" s="218" t="s">
        <v>201</v>
      </c>
      <c r="C592" s="219" t="str">
        <f t="shared" si="1"/>
        <v>HD/1656/2025</v>
      </c>
      <c r="D592" s="218" t="b">
        <v>1</v>
      </c>
      <c r="E592" s="219" t="b">
        <v>0</v>
      </c>
      <c r="F592" s="219"/>
      <c r="G592" s="173"/>
      <c r="H592" s="157" t="s">
        <v>6473</v>
      </c>
      <c r="I592" s="157">
        <f t="shared" si="3"/>
        <v>1656</v>
      </c>
      <c r="J592" s="157">
        <v>2025.0</v>
      </c>
    </row>
    <row r="593">
      <c r="A593" s="218">
        <f t="shared" si="2"/>
        <v>590</v>
      </c>
      <c r="B593" s="218" t="s">
        <v>201</v>
      </c>
      <c r="C593" s="219" t="str">
        <f t="shared" si="1"/>
        <v>HD/1657/2025</v>
      </c>
      <c r="D593" s="218" t="b">
        <v>1</v>
      </c>
      <c r="E593" s="219" t="b">
        <v>0</v>
      </c>
      <c r="F593" s="219"/>
      <c r="G593" s="173"/>
      <c r="H593" s="157" t="s">
        <v>6473</v>
      </c>
      <c r="I593" s="157">
        <f t="shared" si="3"/>
        <v>1657</v>
      </c>
      <c r="J593" s="157">
        <v>2025.0</v>
      </c>
    </row>
    <row r="594">
      <c r="A594" s="218">
        <f t="shared" si="2"/>
        <v>591</v>
      </c>
      <c r="B594" s="218" t="s">
        <v>201</v>
      </c>
      <c r="C594" s="219" t="str">
        <f t="shared" si="1"/>
        <v>HD/1658/2025</v>
      </c>
      <c r="D594" s="218" t="b">
        <v>1</v>
      </c>
      <c r="E594" s="219" t="b">
        <v>0</v>
      </c>
      <c r="F594" s="219"/>
      <c r="G594" s="173"/>
      <c r="H594" s="157" t="s">
        <v>6473</v>
      </c>
      <c r="I594" s="157">
        <f t="shared" si="3"/>
        <v>1658</v>
      </c>
      <c r="J594" s="157">
        <v>2025.0</v>
      </c>
    </row>
    <row r="595">
      <c r="A595" s="218">
        <f t="shared" si="2"/>
        <v>592</v>
      </c>
      <c r="B595" s="218" t="s">
        <v>201</v>
      </c>
      <c r="C595" s="219" t="str">
        <f t="shared" si="1"/>
        <v>HD/1659/2025</v>
      </c>
      <c r="D595" s="218" t="b">
        <v>1</v>
      </c>
      <c r="E595" s="219" t="b">
        <v>0</v>
      </c>
      <c r="F595" s="219"/>
      <c r="G595" s="173"/>
      <c r="H595" s="157" t="s">
        <v>6473</v>
      </c>
      <c r="I595" s="157">
        <f t="shared" si="3"/>
        <v>1659</v>
      </c>
      <c r="J595" s="157">
        <v>2025.0</v>
      </c>
    </row>
    <row r="596">
      <c r="A596" s="218">
        <f t="shared" si="2"/>
        <v>593</v>
      </c>
      <c r="B596" s="218" t="s">
        <v>201</v>
      </c>
      <c r="C596" s="219" t="str">
        <f t="shared" si="1"/>
        <v>HD/1660/2025</v>
      </c>
      <c r="D596" s="218" t="b">
        <v>1</v>
      </c>
      <c r="E596" s="219" t="b">
        <v>0</v>
      </c>
      <c r="F596" s="219"/>
      <c r="G596" s="173"/>
      <c r="H596" s="157" t="s">
        <v>6473</v>
      </c>
      <c r="I596" s="157">
        <f t="shared" si="3"/>
        <v>1660</v>
      </c>
      <c r="J596" s="157">
        <v>2025.0</v>
      </c>
    </row>
    <row r="597">
      <c r="A597" s="218">
        <f t="shared" si="2"/>
        <v>594</v>
      </c>
      <c r="B597" s="218" t="s">
        <v>201</v>
      </c>
      <c r="C597" s="219" t="str">
        <f t="shared" si="1"/>
        <v>HD/1661/2025</v>
      </c>
      <c r="D597" s="218" t="b">
        <v>1</v>
      </c>
      <c r="E597" s="219" t="b">
        <v>0</v>
      </c>
      <c r="F597" s="219"/>
      <c r="G597" s="173"/>
      <c r="H597" s="157" t="s">
        <v>6473</v>
      </c>
      <c r="I597" s="157">
        <f t="shared" si="3"/>
        <v>1661</v>
      </c>
      <c r="J597" s="157">
        <v>2025.0</v>
      </c>
    </row>
    <row r="598">
      <c r="A598" s="218">
        <f t="shared" si="2"/>
        <v>595</v>
      </c>
      <c r="B598" s="218" t="s">
        <v>201</v>
      </c>
      <c r="C598" s="219" t="str">
        <f t="shared" si="1"/>
        <v>HD/1662/2025</v>
      </c>
      <c r="D598" s="218" t="b">
        <v>1</v>
      </c>
      <c r="E598" s="219" t="b">
        <v>0</v>
      </c>
      <c r="F598" s="219"/>
      <c r="G598" s="173"/>
      <c r="H598" s="157" t="s">
        <v>6473</v>
      </c>
      <c r="I598" s="157">
        <f t="shared" si="3"/>
        <v>1662</v>
      </c>
      <c r="J598" s="157">
        <v>2025.0</v>
      </c>
    </row>
    <row r="599">
      <c r="A599" s="218">
        <f t="shared" si="2"/>
        <v>596</v>
      </c>
      <c r="B599" s="218" t="s">
        <v>201</v>
      </c>
      <c r="C599" s="219" t="str">
        <f t="shared" si="1"/>
        <v>HD/1663/2025</v>
      </c>
      <c r="D599" s="218" t="b">
        <v>1</v>
      </c>
      <c r="E599" s="219" t="b">
        <v>0</v>
      </c>
      <c r="F599" s="219"/>
      <c r="G599" s="173"/>
      <c r="H599" s="157" t="s">
        <v>6473</v>
      </c>
      <c r="I599" s="157">
        <f t="shared" si="3"/>
        <v>1663</v>
      </c>
      <c r="J599" s="157">
        <v>2025.0</v>
      </c>
    </row>
    <row r="600">
      <c r="A600" s="218">
        <f t="shared" si="2"/>
        <v>597</v>
      </c>
      <c r="B600" s="218" t="s">
        <v>201</v>
      </c>
      <c r="C600" s="219" t="str">
        <f t="shared" si="1"/>
        <v>HD/1664/2025</v>
      </c>
      <c r="D600" s="218" t="b">
        <v>1</v>
      </c>
      <c r="E600" s="219" t="b">
        <v>0</v>
      </c>
      <c r="F600" s="219"/>
      <c r="G600" s="173"/>
      <c r="H600" s="157" t="s">
        <v>6473</v>
      </c>
      <c r="I600" s="157">
        <f t="shared" si="3"/>
        <v>1664</v>
      </c>
      <c r="J600" s="157">
        <v>2025.0</v>
      </c>
    </row>
    <row r="601">
      <c r="A601" s="218">
        <f t="shared" si="2"/>
        <v>598</v>
      </c>
      <c r="B601" s="218" t="s">
        <v>201</v>
      </c>
      <c r="C601" s="219" t="str">
        <f t="shared" si="1"/>
        <v>HD/1665/2025</v>
      </c>
      <c r="D601" s="218" t="b">
        <v>1</v>
      </c>
      <c r="E601" s="219" t="b">
        <v>0</v>
      </c>
      <c r="F601" s="219"/>
      <c r="G601" s="173"/>
      <c r="H601" s="157" t="s">
        <v>6473</v>
      </c>
      <c r="I601" s="157">
        <f t="shared" si="3"/>
        <v>1665</v>
      </c>
      <c r="J601" s="157">
        <v>2025.0</v>
      </c>
    </row>
    <row r="602">
      <c r="A602" s="218">
        <f t="shared" si="2"/>
        <v>599</v>
      </c>
      <c r="B602" s="218" t="s">
        <v>201</v>
      </c>
      <c r="C602" s="219" t="str">
        <f t="shared" si="1"/>
        <v>HD/1666/2025</v>
      </c>
      <c r="D602" s="218" t="b">
        <v>1</v>
      </c>
      <c r="E602" s="219" t="b">
        <v>0</v>
      </c>
      <c r="F602" s="219"/>
      <c r="G602" s="173"/>
      <c r="H602" s="157" t="s">
        <v>6473</v>
      </c>
      <c r="I602" s="157">
        <f t="shared" si="3"/>
        <v>1666</v>
      </c>
      <c r="J602" s="157">
        <v>2025.0</v>
      </c>
    </row>
    <row r="603">
      <c r="A603" s="218">
        <f t="shared" si="2"/>
        <v>600</v>
      </c>
      <c r="B603" s="218" t="s">
        <v>201</v>
      </c>
      <c r="C603" s="219" t="str">
        <f t="shared" si="1"/>
        <v>HD/1667/2025</v>
      </c>
      <c r="D603" s="218" t="b">
        <v>1</v>
      </c>
      <c r="E603" s="219" t="b">
        <v>0</v>
      </c>
      <c r="F603" s="219"/>
      <c r="G603" s="173"/>
      <c r="H603" s="157" t="s">
        <v>6473</v>
      </c>
      <c r="I603" s="157">
        <f t="shared" si="3"/>
        <v>1667</v>
      </c>
      <c r="J603" s="157">
        <v>2025.0</v>
      </c>
    </row>
    <row r="604">
      <c r="A604" s="218">
        <f t="shared" si="2"/>
        <v>601</v>
      </c>
      <c r="B604" s="218" t="s">
        <v>201</v>
      </c>
      <c r="C604" s="219" t="str">
        <f t="shared" si="1"/>
        <v>HD/1668/2025</v>
      </c>
      <c r="D604" s="218" t="b">
        <v>1</v>
      </c>
      <c r="E604" s="219" t="b">
        <v>0</v>
      </c>
      <c r="F604" s="219"/>
      <c r="G604" s="173"/>
      <c r="H604" s="157" t="s">
        <v>6473</v>
      </c>
      <c r="I604" s="157">
        <f t="shared" si="3"/>
        <v>1668</v>
      </c>
      <c r="J604" s="157">
        <v>2025.0</v>
      </c>
    </row>
    <row r="605">
      <c r="A605" s="218">
        <f t="shared" si="2"/>
        <v>602</v>
      </c>
      <c r="B605" s="218" t="s">
        <v>201</v>
      </c>
      <c r="C605" s="219" t="str">
        <f t="shared" si="1"/>
        <v>HD/1669/2025</v>
      </c>
      <c r="D605" s="218" t="b">
        <v>1</v>
      </c>
      <c r="E605" s="219" t="b">
        <v>0</v>
      </c>
      <c r="F605" s="219"/>
      <c r="G605" s="173"/>
      <c r="H605" s="157" t="s">
        <v>6473</v>
      </c>
      <c r="I605" s="157">
        <f t="shared" si="3"/>
        <v>1669</v>
      </c>
      <c r="J605" s="157">
        <v>2025.0</v>
      </c>
    </row>
    <row r="606">
      <c r="A606" s="218">
        <f t="shared" si="2"/>
        <v>603</v>
      </c>
      <c r="B606" s="218" t="s">
        <v>201</v>
      </c>
      <c r="C606" s="219" t="str">
        <f t="shared" si="1"/>
        <v>HD/1670/2025</v>
      </c>
      <c r="D606" s="218" t="b">
        <v>1</v>
      </c>
      <c r="E606" s="219" t="b">
        <v>0</v>
      </c>
      <c r="F606" s="219"/>
      <c r="G606" s="173"/>
      <c r="H606" s="157" t="s">
        <v>6473</v>
      </c>
      <c r="I606" s="157">
        <f t="shared" si="3"/>
        <v>1670</v>
      </c>
      <c r="J606" s="157">
        <v>2025.0</v>
      </c>
    </row>
    <row r="607">
      <c r="A607" s="218">
        <f t="shared" si="2"/>
        <v>604</v>
      </c>
      <c r="B607" s="218" t="s">
        <v>201</v>
      </c>
      <c r="C607" s="219" t="str">
        <f t="shared" si="1"/>
        <v>HD/1671/2025</v>
      </c>
      <c r="D607" s="218" t="b">
        <v>1</v>
      </c>
      <c r="E607" s="219" t="b">
        <v>0</v>
      </c>
      <c r="F607" s="219"/>
      <c r="G607" s="173"/>
      <c r="H607" s="157" t="s">
        <v>6473</v>
      </c>
      <c r="I607" s="157">
        <f t="shared" si="3"/>
        <v>1671</v>
      </c>
      <c r="J607" s="157">
        <v>2025.0</v>
      </c>
    </row>
    <row r="608">
      <c r="A608" s="218">
        <f t="shared" si="2"/>
        <v>605</v>
      </c>
      <c r="B608" s="218" t="s">
        <v>201</v>
      </c>
      <c r="C608" s="219" t="str">
        <f t="shared" si="1"/>
        <v>HD/1672/2025</v>
      </c>
      <c r="D608" s="218" t="b">
        <v>1</v>
      </c>
      <c r="E608" s="219" t="b">
        <v>0</v>
      </c>
      <c r="F608" s="219"/>
      <c r="G608" s="173"/>
      <c r="H608" s="157" t="s">
        <v>6473</v>
      </c>
      <c r="I608" s="157">
        <f t="shared" si="3"/>
        <v>1672</v>
      </c>
      <c r="J608" s="157">
        <v>2025.0</v>
      </c>
    </row>
    <row r="609">
      <c r="A609" s="218">
        <f t="shared" si="2"/>
        <v>606</v>
      </c>
      <c r="B609" s="218" t="s">
        <v>201</v>
      </c>
      <c r="C609" s="219" t="str">
        <f t="shared" si="1"/>
        <v>HD/1673/2025</v>
      </c>
      <c r="D609" s="218" t="b">
        <v>1</v>
      </c>
      <c r="E609" s="219" t="b">
        <v>0</v>
      </c>
      <c r="F609" s="219"/>
      <c r="G609" s="173"/>
      <c r="H609" s="157" t="s">
        <v>6473</v>
      </c>
      <c r="I609" s="157">
        <f t="shared" si="3"/>
        <v>1673</v>
      </c>
      <c r="J609" s="157">
        <v>2025.0</v>
      </c>
    </row>
    <row r="610">
      <c r="A610" s="218">
        <f t="shared" si="2"/>
        <v>607</v>
      </c>
      <c r="B610" s="218" t="s">
        <v>201</v>
      </c>
      <c r="C610" s="219" t="str">
        <f t="shared" si="1"/>
        <v>HD/1674/2025</v>
      </c>
      <c r="D610" s="218" t="b">
        <v>1</v>
      </c>
      <c r="E610" s="219" t="b">
        <v>0</v>
      </c>
      <c r="F610" s="219"/>
      <c r="G610" s="173"/>
      <c r="H610" s="157" t="s">
        <v>6473</v>
      </c>
      <c r="I610" s="157">
        <f t="shared" si="3"/>
        <v>1674</v>
      </c>
      <c r="J610" s="157">
        <v>2025.0</v>
      </c>
    </row>
    <row r="611">
      <c r="A611" s="218">
        <f t="shared" si="2"/>
        <v>608</v>
      </c>
      <c r="B611" s="218" t="s">
        <v>201</v>
      </c>
      <c r="C611" s="219" t="str">
        <f t="shared" si="1"/>
        <v>HD/1675/2025</v>
      </c>
      <c r="D611" s="218" t="b">
        <v>1</v>
      </c>
      <c r="E611" s="219" t="b">
        <v>0</v>
      </c>
      <c r="F611" s="219"/>
      <c r="G611" s="173"/>
      <c r="H611" s="157" t="s">
        <v>6473</v>
      </c>
      <c r="I611" s="157">
        <f t="shared" si="3"/>
        <v>1675</v>
      </c>
      <c r="J611" s="157">
        <v>2025.0</v>
      </c>
    </row>
    <row r="612">
      <c r="A612" s="218">
        <f t="shared" si="2"/>
        <v>609</v>
      </c>
      <c r="B612" s="218" t="s">
        <v>201</v>
      </c>
      <c r="C612" s="219" t="str">
        <f t="shared" si="1"/>
        <v>HD/1676/2025</v>
      </c>
      <c r="D612" s="218" t="b">
        <v>1</v>
      </c>
      <c r="E612" s="219" t="b">
        <v>0</v>
      </c>
      <c r="F612" s="219"/>
      <c r="G612" s="173"/>
      <c r="H612" s="157" t="s">
        <v>6473</v>
      </c>
      <c r="I612" s="157">
        <f t="shared" si="3"/>
        <v>1676</v>
      </c>
      <c r="J612" s="157">
        <v>2025.0</v>
      </c>
    </row>
    <row r="613">
      <c r="A613" s="218">
        <f t="shared" si="2"/>
        <v>610</v>
      </c>
      <c r="B613" s="218" t="s">
        <v>201</v>
      </c>
      <c r="C613" s="219" t="str">
        <f t="shared" si="1"/>
        <v>HD/1677/2025</v>
      </c>
      <c r="D613" s="218" t="b">
        <v>1</v>
      </c>
      <c r="E613" s="219" t="b">
        <v>0</v>
      </c>
      <c r="F613" s="219"/>
      <c r="G613" s="173"/>
      <c r="H613" s="157" t="s">
        <v>6473</v>
      </c>
      <c r="I613" s="157">
        <f t="shared" si="3"/>
        <v>1677</v>
      </c>
      <c r="J613" s="157">
        <v>2025.0</v>
      </c>
    </row>
    <row r="614">
      <c r="A614" s="218">
        <f t="shared" si="2"/>
        <v>611</v>
      </c>
      <c r="B614" s="218" t="s">
        <v>201</v>
      </c>
      <c r="C614" s="219" t="str">
        <f t="shared" si="1"/>
        <v>HD/1678/2025</v>
      </c>
      <c r="D614" s="218" t="b">
        <v>1</v>
      </c>
      <c r="E614" s="219" t="b">
        <v>0</v>
      </c>
      <c r="F614" s="219"/>
      <c r="G614" s="173"/>
      <c r="H614" s="157" t="s">
        <v>6473</v>
      </c>
      <c r="I614" s="157">
        <f t="shared" si="3"/>
        <v>1678</v>
      </c>
      <c r="J614" s="157">
        <v>2025.0</v>
      </c>
    </row>
    <row r="615">
      <c r="A615" s="218">
        <f t="shared" si="2"/>
        <v>612</v>
      </c>
      <c r="B615" s="218" t="s">
        <v>201</v>
      </c>
      <c r="C615" s="219" t="str">
        <f t="shared" si="1"/>
        <v>HD/1679/2025</v>
      </c>
      <c r="D615" s="218" t="b">
        <v>1</v>
      </c>
      <c r="E615" s="219" t="b">
        <v>0</v>
      </c>
      <c r="F615" s="219"/>
      <c r="G615" s="173"/>
      <c r="H615" s="157" t="s">
        <v>6473</v>
      </c>
      <c r="I615" s="157">
        <f t="shared" si="3"/>
        <v>1679</v>
      </c>
      <c r="J615" s="157">
        <v>2025.0</v>
      </c>
    </row>
    <row r="616">
      <c r="A616" s="218">
        <f t="shared" si="2"/>
        <v>613</v>
      </c>
      <c r="B616" s="218" t="s">
        <v>201</v>
      </c>
      <c r="C616" s="219" t="str">
        <f t="shared" si="1"/>
        <v>HD/1680/2025</v>
      </c>
      <c r="D616" s="218" t="b">
        <v>1</v>
      </c>
      <c r="E616" s="219" t="b">
        <v>0</v>
      </c>
      <c r="F616" s="219"/>
      <c r="G616" s="173"/>
      <c r="H616" s="157" t="s">
        <v>6473</v>
      </c>
      <c r="I616" s="157">
        <f t="shared" si="3"/>
        <v>1680</v>
      </c>
      <c r="J616" s="157">
        <v>2025.0</v>
      </c>
    </row>
    <row r="617">
      <c r="A617" s="218">
        <f t="shared" si="2"/>
        <v>614</v>
      </c>
      <c r="B617" s="218" t="s">
        <v>201</v>
      </c>
      <c r="C617" s="219" t="str">
        <f t="shared" si="1"/>
        <v>HD/1681/2025</v>
      </c>
      <c r="D617" s="218" t="b">
        <v>1</v>
      </c>
      <c r="E617" s="219" t="b">
        <v>0</v>
      </c>
      <c r="F617" s="219"/>
      <c r="G617" s="173"/>
      <c r="H617" s="157" t="s">
        <v>6473</v>
      </c>
      <c r="I617" s="157">
        <f t="shared" si="3"/>
        <v>1681</v>
      </c>
      <c r="J617" s="157">
        <v>2025.0</v>
      </c>
    </row>
    <row r="618">
      <c r="A618" s="218">
        <f t="shared" si="2"/>
        <v>615</v>
      </c>
      <c r="B618" s="218" t="s">
        <v>201</v>
      </c>
      <c r="C618" s="219" t="str">
        <f t="shared" si="1"/>
        <v>HD/1682/2025</v>
      </c>
      <c r="D618" s="218" t="b">
        <v>1</v>
      </c>
      <c r="E618" s="219" t="b">
        <v>0</v>
      </c>
      <c r="F618" s="219"/>
      <c r="G618" s="173"/>
      <c r="H618" s="157" t="s">
        <v>6473</v>
      </c>
      <c r="I618" s="157">
        <f t="shared" si="3"/>
        <v>1682</v>
      </c>
      <c r="J618" s="157">
        <v>2025.0</v>
      </c>
    </row>
    <row r="619">
      <c r="A619" s="218">
        <f t="shared" si="2"/>
        <v>616</v>
      </c>
      <c r="B619" s="218" t="s">
        <v>201</v>
      </c>
      <c r="C619" s="219" t="str">
        <f t="shared" si="1"/>
        <v>HD/1683/2025</v>
      </c>
      <c r="D619" s="218" t="b">
        <v>1</v>
      </c>
      <c r="E619" s="219" t="b">
        <v>0</v>
      </c>
      <c r="F619" s="219"/>
      <c r="G619" s="173"/>
      <c r="H619" s="157" t="s">
        <v>6473</v>
      </c>
      <c r="I619" s="157">
        <f t="shared" si="3"/>
        <v>1683</v>
      </c>
      <c r="J619" s="157">
        <v>2025.0</v>
      </c>
    </row>
    <row r="620">
      <c r="A620" s="218">
        <f t="shared" si="2"/>
        <v>617</v>
      </c>
      <c r="B620" s="218" t="s">
        <v>201</v>
      </c>
      <c r="C620" s="219" t="str">
        <f t="shared" si="1"/>
        <v>HD/1684/2025</v>
      </c>
      <c r="D620" s="218" t="b">
        <v>1</v>
      </c>
      <c r="E620" s="219" t="b">
        <v>0</v>
      </c>
      <c r="F620" s="219"/>
      <c r="G620" s="173"/>
      <c r="H620" s="157" t="s">
        <v>6473</v>
      </c>
      <c r="I620" s="157">
        <f t="shared" si="3"/>
        <v>1684</v>
      </c>
      <c r="J620" s="157">
        <v>2025.0</v>
      </c>
    </row>
    <row r="621">
      <c r="A621" s="218">
        <f t="shared" si="2"/>
        <v>618</v>
      </c>
      <c r="B621" s="218" t="s">
        <v>201</v>
      </c>
      <c r="C621" s="219" t="str">
        <f t="shared" si="1"/>
        <v>HD/1685/2025</v>
      </c>
      <c r="D621" s="218" t="b">
        <v>1</v>
      </c>
      <c r="E621" s="219" t="b">
        <v>0</v>
      </c>
      <c r="F621" s="219"/>
      <c r="G621" s="173"/>
      <c r="H621" s="157" t="s">
        <v>6473</v>
      </c>
      <c r="I621" s="157">
        <f t="shared" si="3"/>
        <v>1685</v>
      </c>
      <c r="J621" s="157">
        <v>2025.0</v>
      </c>
    </row>
    <row r="622">
      <c r="A622" s="218">
        <f t="shared" si="2"/>
        <v>619</v>
      </c>
      <c r="B622" s="218" t="s">
        <v>201</v>
      </c>
      <c r="C622" s="219" t="str">
        <f t="shared" si="1"/>
        <v>HD/1686/2025</v>
      </c>
      <c r="D622" s="218" t="b">
        <v>1</v>
      </c>
      <c r="E622" s="219" t="b">
        <v>0</v>
      </c>
      <c r="F622" s="219"/>
      <c r="G622" s="173"/>
      <c r="H622" s="157" t="s">
        <v>6473</v>
      </c>
      <c r="I622" s="157">
        <f t="shared" si="3"/>
        <v>1686</v>
      </c>
      <c r="J622" s="157">
        <v>2025.0</v>
      </c>
    </row>
    <row r="623">
      <c r="A623" s="218">
        <f t="shared" si="2"/>
        <v>620</v>
      </c>
      <c r="B623" s="218" t="s">
        <v>201</v>
      </c>
      <c r="C623" s="219" t="str">
        <f t="shared" si="1"/>
        <v>HD/1687/2025</v>
      </c>
      <c r="D623" s="218" t="b">
        <v>1</v>
      </c>
      <c r="E623" s="219" t="b">
        <v>0</v>
      </c>
      <c r="F623" s="219"/>
      <c r="G623" s="173"/>
      <c r="H623" s="157" t="s">
        <v>6473</v>
      </c>
      <c r="I623" s="157">
        <f t="shared" si="3"/>
        <v>1687</v>
      </c>
      <c r="J623" s="157">
        <v>2025.0</v>
      </c>
    </row>
    <row r="624">
      <c r="A624" s="218">
        <f t="shared" si="2"/>
        <v>621</v>
      </c>
      <c r="B624" s="218" t="s">
        <v>201</v>
      </c>
      <c r="C624" s="219" t="str">
        <f t="shared" si="1"/>
        <v>HD/1688/2025</v>
      </c>
      <c r="D624" s="218" t="b">
        <v>1</v>
      </c>
      <c r="E624" s="219" t="b">
        <v>0</v>
      </c>
      <c r="F624" s="219"/>
      <c r="G624" s="173"/>
      <c r="H624" s="157" t="s">
        <v>6473</v>
      </c>
      <c r="I624" s="157">
        <f t="shared" si="3"/>
        <v>1688</v>
      </c>
      <c r="J624" s="157">
        <v>2025.0</v>
      </c>
    </row>
    <row r="625">
      <c r="A625" s="218">
        <f t="shared" si="2"/>
        <v>622</v>
      </c>
      <c r="B625" s="218" t="s">
        <v>201</v>
      </c>
      <c r="C625" s="219" t="str">
        <f t="shared" si="1"/>
        <v>HD/1689/2025</v>
      </c>
      <c r="D625" s="218" t="b">
        <v>1</v>
      </c>
      <c r="E625" s="219" t="b">
        <v>0</v>
      </c>
      <c r="F625" s="219"/>
      <c r="G625" s="173"/>
      <c r="H625" s="157" t="s">
        <v>6473</v>
      </c>
      <c r="I625" s="157">
        <f t="shared" si="3"/>
        <v>1689</v>
      </c>
      <c r="J625" s="157">
        <v>2025.0</v>
      </c>
    </row>
    <row r="626">
      <c r="A626" s="218">
        <f t="shared" si="2"/>
        <v>623</v>
      </c>
      <c r="B626" s="218" t="s">
        <v>201</v>
      </c>
      <c r="C626" s="219" t="str">
        <f t="shared" si="1"/>
        <v>HD/1690/2025</v>
      </c>
      <c r="D626" s="218" t="b">
        <v>1</v>
      </c>
      <c r="E626" s="219" t="b">
        <v>0</v>
      </c>
      <c r="F626" s="219"/>
      <c r="G626" s="173"/>
      <c r="H626" s="157" t="s">
        <v>6473</v>
      </c>
      <c r="I626" s="157">
        <f t="shared" si="3"/>
        <v>1690</v>
      </c>
      <c r="J626" s="157">
        <v>2025.0</v>
      </c>
    </row>
    <row r="627">
      <c r="A627" s="218">
        <f t="shared" si="2"/>
        <v>624</v>
      </c>
      <c r="B627" s="218" t="s">
        <v>201</v>
      </c>
      <c r="C627" s="219" t="str">
        <f t="shared" si="1"/>
        <v>HD/1691/2025</v>
      </c>
      <c r="D627" s="218" t="b">
        <v>1</v>
      </c>
      <c r="E627" s="219" t="b">
        <v>0</v>
      </c>
      <c r="F627" s="219"/>
      <c r="G627" s="173"/>
      <c r="H627" s="157" t="s">
        <v>6473</v>
      </c>
      <c r="I627" s="157">
        <f t="shared" si="3"/>
        <v>1691</v>
      </c>
      <c r="J627" s="157">
        <v>2025.0</v>
      </c>
    </row>
    <row r="628">
      <c r="A628" s="218">
        <f t="shared" si="2"/>
        <v>625</v>
      </c>
      <c r="B628" s="218" t="s">
        <v>201</v>
      </c>
      <c r="C628" s="219" t="str">
        <f t="shared" si="1"/>
        <v>HD/1692/2025</v>
      </c>
      <c r="D628" s="218" t="b">
        <v>1</v>
      </c>
      <c r="E628" s="219" t="b">
        <v>0</v>
      </c>
      <c r="F628" s="219"/>
      <c r="G628" s="173"/>
      <c r="H628" s="157" t="s">
        <v>6473</v>
      </c>
      <c r="I628" s="157">
        <f t="shared" si="3"/>
        <v>1692</v>
      </c>
      <c r="J628" s="157">
        <v>2025.0</v>
      </c>
    </row>
    <row r="629">
      <c r="A629" s="218">
        <f t="shared" si="2"/>
        <v>626</v>
      </c>
      <c r="B629" s="218" t="s">
        <v>201</v>
      </c>
      <c r="C629" s="219" t="str">
        <f t="shared" si="1"/>
        <v>HD/1693/2025</v>
      </c>
      <c r="D629" s="218" t="b">
        <v>1</v>
      </c>
      <c r="E629" s="219" t="b">
        <v>0</v>
      </c>
      <c r="F629" s="219"/>
      <c r="G629" s="173"/>
      <c r="H629" s="157" t="s">
        <v>6473</v>
      </c>
      <c r="I629" s="157">
        <f t="shared" si="3"/>
        <v>1693</v>
      </c>
      <c r="J629" s="157">
        <v>2025.0</v>
      </c>
    </row>
    <row r="630">
      <c r="A630" s="218">
        <f t="shared" si="2"/>
        <v>627</v>
      </c>
      <c r="B630" s="218" t="s">
        <v>201</v>
      </c>
      <c r="C630" s="219" t="str">
        <f t="shared" si="1"/>
        <v>HD/1694/2025</v>
      </c>
      <c r="D630" s="218" t="b">
        <v>1</v>
      </c>
      <c r="E630" s="219" t="b">
        <v>0</v>
      </c>
      <c r="F630" s="219"/>
      <c r="G630" s="173"/>
      <c r="H630" s="157" t="s">
        <v>6473</v>
      </c>
      <c r="I630" s="157">
        <f t="shared" si="3"/>
        <v>1694</v>
      </c>
      <c r="J630" s="157">
        <v>2025.0</v>
      </c>
    </row>
    <row r="631">
      <c r="A631" s="218">
        <f t="shared" si="2"/>
        <v>628</v>
      </c>
      <c r="B631" s="218" t="s">
        <v>201</v>
      </c>
      <c r="C631" s="219" t="str">
        <f t="shared" si="1"/>
        <v>HD/1695/2025</v>
      </c>
      <c r="D631" s="218" t="b">
        <v>1</v>
      </c>
      <c r="E631" s="219" t="b">
        <v>0</v>
      </c>
      <c r="F631" s="219"/>
      <c r="G631" s="173"/>
      <c r="H631" s="157" t="s">
        <v>6473</v>
      </c>
      <c r="I631" s="157">
        <f t="shared" si="3"/>
        <v>1695</v>
      </c>
      <c r="J631" s="157">
        <v>2025.0</v>
      </c>
    </row>
    <row r="632">
      <c r="A632" s="218">
        <f t="shared" si="2"/>
        <v>629</v>
      </c>
      <c r="B632" s="218" t="s">
        <v>201</v>
      </c>
      <c r="C632" s="219" t="str">
        <f t="shared" si="1"/>
        <v>HD/1696/2025</v>
      </c>
      <c r="D632" s="218" t="b">
        <v>1</v>
      </c>
      <c r="E632" s="219" t="b">
        <v>0</v>
      </c>
      <c r="F632" s="219"/>
      <c r="G632" s="173"/>
      <c r="H632" s="157" t="s">
        <v>6473</v>
      </c>
      <c r="I632" s="157">
        <f t="shared" si="3"/>
        <v>1696</v>
      </c>
      <c r="J632" s="157">
        <v>2025.0</v>
      </c>
    </row>
    <row r="633">
      <c r="A633" s="218">
        <f t="shared" si="2"/>
        <v>630</v>
      </c>
      <c r="B633" s="218" t="s">
        <v>201</v>
      </c>
      <c r="C633" s="219" t="str">
        <f t="shared" si="1"/>
        <v>HD/1697/2025</v>
      </c>
      <c r="D633" s="218" t="b">
        <v>1</v>
      </c>
      <c r="E633" s="219" t="b">
        <v>0</v>
      </c>
      <c r="F633" s="219"/>
      <c r="G633" s="173"/>
      <c r="H633" s="157" t="s">
        <v>6473</v>
      </c>
      <c r="I633" s="157">
        <f t="shared" si="3"/>
        <v>1697</v>
      </c>
      <c r="J633" s="157">
        <v>2025.0</v>
      </c>
    </row>
    <row r="634">
      <c r="A634" s="218">
        <f t="shared" si="2"/>
        <v>631</v>
      </c>
      <c r="B634" s="218" t="s">
        <v>201</v>
      </c>
      <c r="C634" s="219" t="str">
        <f t="shared" si="1"/>
        <v>HD/1698/2025</v>
      </c>
      <c r="D634" s="218" t="b">
        <v>1</v>
      </c>
      <c r="E634" s="219" t="b">
        <v>0</v>
      </c>
      <c r="F634" s="219"/>
      <c r="G634" s="173"/>
      <c r="H634" s="157" t="s">
        <v>6473</v>
      </c>
      <c r="I634" s="157">
        <f t="shared" si="3"/>
        <v>1698</v>
      </c>
      <c r="J634" s="157">
        <v>2025.0</v>
      </c>
    </row>
    <row r="635">
      <c r="A635" s="218">
        <f t="shared" si="2"/>
        <v>632</v>
      </c>
      <c r="B635" s="218" t="s">
        <v>201</v>
      </c>
      <c r="C635" s="219" t="str">
        <f t="shared" si="1"/>
        <v>HD/1699/2025</v>
      </c>
      <c r="D635" s="218" t="b">
        <v>1</v>
      </c>
      <c r="E635" s="219" t="b">
        <v>0</v>
      </c>
      <c r="F635" s="219"/>
      <c r="G635" s="173"/>
      <c r="H635" s="157" t="s">
        <v>6473</v>
      </c>
      <c r="I635" s="157">
        <f t="shared" si="3"/>
        <v>1699</v>
      </c>
      <c r="J635" s="157">
        <v>2025.0</v>
      </c>
    </row>
    <row r="636">
      <c r="A636" s="218">
        <f t="shared" si="2"/>
        <v>633</v>
      </c>
      <c r="B636" s="218" t="s">
        <v>201</v>
      </c>
      <c r="C636" s="219" t="str">
        <f t="shared" si="1"/>
        <v>HD/1700/2025</v>
      </c>
      <c r="D636" s="218" t="b">
        <v>1</v>
      </c>
      <c r="E636" s="219" t="b">
        <v>0</v>
      </c>
      <c r="F636" s="219"/>
      <c r="G636" s="173"/>
      <c r="H636" s="157" t="s">
        <v>6473</v>
      </c>
      <c r="I636" s="157">
        <f t="shared" si="3"/>
        <v>1700</v>
      </c>
      <c r="J636" s="157">
        <v>2025.0</v>
      </c>
    </row>
    <row r="637">
      <c r="A637" s="218">
        <f t="shared" si="2"/>
        <v>634</v>
      </c>
      <c r="B637" s="218" t="s">
        <v>201</v>
      </c>
      <c r="C637" s="219" t="str">
        <f t="shared" si="1"/>
        <v>HD/1701/2025</v>
      </c>
      <c r="D637" s="218" t="b">
        <v>1</v>
      </c>
      <c r="E637" s="219" t="b">
        <v>0</v>
      </c>
      <c r="F637" s="219"/>
      <c r="G637" s="173"/>
      <c r="H637" s="157" t="s">
        <v>6473</v>
      </c>
      <c r="I637" s="157">
        <f t="shared" si="3"/>
        <v>1701</v>
      </c>
      <c r="J637" s="157">
        <v>2025.0</v>
      </c>
    </row>
    <row r="638">
      <c r="A638" s="218">
        <f t="shared" si="2"/>
        <v>635</v>
      </c>
      <c r="B638" s="218" t="s">
        <v>201</v>
      </c>
      <c r="C638" s="219" t="str">
        <f t="shared" si="1"/>
        <v>HD/1702/2025</v>
      </c>
      <c r="D638" s="218" t="b">
        <v>1</v>
      </c>
      <c r="E638" s="219" t="b">
        <v>0</v>
      </c>
      <c r="F638" s="219"/>
      <c r="G638" s="173"/>
      <c r="H638" s="157" t="s">
        <v>6473</v>
      </c>
      <c r="I638" s="157">
        <f t="shared" si="3"/>
        <v>1702</v>
      </c>
      <c r="J638" s="157">
        <v>2025.0</v>
      </c>
    </row>
    <row r="639">
      <c r="A639" s="218">
        <f t="shared" si="2"/>
        <v>636</v>
      </c>
      <c r="B639" s="218" t="s">
        <v>201</v>
      </c>
      <c r="C639" s="219" t="str">
        <f t="shared" si="1"/>
        <v>HD/1703/2025</v>
      </c>
      <c r="D639" s="218" t="b">
        <v>1</v>
      </c>
      <c r="E639" s="219" t="b">
        <v>0</v>
      </c>
      <c r="F639" s="219"/>
      <c r="G639" s="173"/>
      <c r="H639" s="157" t="s">
        <v>6473</v>
      </c>
      <c r="I639" s="157">
        <f t="shared" si="3"/>
        <v>1703</v>
      </c>
      <c r="J639" s="157">
        <v>2025.0</v>
      </c>
    </row>
    <row r="640">
      <c r="A640" s="218">
        <f t="shared" si="2"/>
        <v>637</v>
      </c>
      <c r="B640" s="218" t="s">
        <v>201</v>
      </c>
      <c r="C640" s="219" t="str">
        <f t="shared" si="1"/>
        <v>HD/1704/2025</v>
      </c>
      <c r="D640" s="218" t="b">
        <v>1</v>
      </c>
      <c r="E640" s="219" t="b">
        <v>0</v>
      </c>
      <c r="F640" s="219"/>
      <c r="G640" s="173"/>
      <c r="H640" s="157" t="s">
        <v>6473</v>
      </c>
      <c r="I640" s="157">
        <f t="shared" si="3"/>
        <v>1704</v>
      </c>
      <c r="J640" s="157">
        <v>2025.0</v>
      </c>
    </row>
    <row r="641">
      <c r="A641" s="218">
        <f t="shared" si="2"/>
        <v>638</v>
      </c>
      <c r="B641" s="218" t="s">
        <v>201</v>
      </c>
      <c r="C641" s="219" t="str">
        <f t="shared" si="1"/>
        <v>HD/1705/2025</v>
      </c>
      <c r="D641" s="218" t="b">
        <v>1</v>
      </c>
      <c r="E641" s="219" t="b">
        <v>0</v>
      </c>
      <c r="F641" s="219"/>
      <c r="G641" s="173"/>
      <c r="H641" s="157" t="s">
        <v>6473</v>
      </c>
      <c r="I641" s="157">
        <f t="shared" si="3"/>
        <v>1705</v>
      </c>
      <c r="J641" s="157">
        <v>2025.0</v>
      </c>
    </row>
    <row r="642">
      <c r="A642" s="218">
        <f t="shared" si="2"/>
        <v>639</v>
      </c>
      <c r="B642" s="218" t="s">
        <v>201</v>
      </c>
      <c r="C642" s="219" t="str">
        <f t="shared" si="1"/>
        <v>HD/1706/2025</v>
      </c>
      <c r="D642" s="218" t="b">
        <v>1</v>
      </c>
      <c r="E642" s="219" t="b">
        <v>0</v>
      </c>
      <c r="F642" s="219"/>
      <c r="G642" s="173"/>
      <c r="H642" s="157" t="s">
        <v>6473</v>
      </c>
      <c r="I642" s="157">
        <f t="shared" si="3"/>
        <v>1706</v>
      </c>
      <c r="J642" s="157">
        <v>2025.0</v>
      </c>
    </row>
    <row r="643">
      <c r="A643" s="218">
        <f t="shared" si="2"/>
        <v>640</v>
      </c>
      <c r="B643" s="218" t="s">
        <v>201</v>
      </c>
      <c r="C643" s="219" t="str">
        <f t="shared" si="1"/>
        <v>HD/1707/2025</v>
      </c>
      <c r="D643" s="218" t="b">
        <v>1</v>
      </c>
      <c r="E643" s="219" t="b">
        <v>0</v>
      </c>
      <c r="F643" s="219"/>
      <c r="G643" s="173"/>
      <c r="H643" s="157" t="s">
        <v>6473</v>
      </c>
      <c r="I643" s="157">
        <f t="shared" si="3"/>
        <v>1707</v>
      </c>
      <c r="J643" s="157">
        <v>2025.0</v>
      </c>
    </row>
    <row r="644">
      <c r="A644" s="218">
        <f t="shared" si="2"/>
        <v>641</v>
      </c>
      <c r="B644" s="218" t="s">
        <v>201</v>
      </c>
      <c r="C644" s="219" t="str">
        <f t="shared" si="1"/>
        <v>HD/1708/2025</v>
      </c>
      <c r="D644" s="218" t="b">
        <v>1</v>
      </c>
      <c r="E644" s="219" t="b">
        <v>0</v>
      </c>
      <c r="F644" s="219"/>
      <c r="G644" s="173"/>
      <c r="H644" s="157" t="s">
        <v>6473</v>
      </c>
      <c r="I644" s="157">
        <f t="shared" si="3"/>
        <v>1708</v>
      </c>
      <c r="J644" s="157">
        <v>2025.0</v>
      </c>
    </row>
    <row r="645">
      <c r="A645" s="218">
        <f t="shared" si="2"/>
        <v>642</v>
      </c>
      <c r="B645" s="218" t="s">
        <v>201</v>
      </c>
      <c r="C645" s="219" t="str">
        <f t="shared" si="1"/>
        <v>HD/1709/2025</v>
      </c>
      <c r="D645" s="218" t="b">
        <v>1</v>
      </c>
      <c r="E645" s="219" t="b">
        <v>0</v>
      </c>
      <c r="F645" s="219"/>
      <c r="G645" s="173"/>
      <c r="H645" s="157" t="s">
        <v>6473</v>
      </c>
      <c r="I645" s="157">
        <f t="shared" si="3"/>
        <v>1709</v>
      </c>
      <c r="J645" s="157">
        <v>2025.0</v>
      </c>
    </row>
    <row r="646">
      <c r="A646" s="218">
        <f t="shared" si="2"/>
        <v>643</v>
      </c>
      <c r="B646" s="218" t="s">
        <v>201</v>
      </c>
      <c r="C646" s="219" t="str">
        <f t="shared" si="1"/>
        <v>HD/1710/2025</v>
      </c>
      <c r="D646" s="218" t="b">
        <v>1</v>
      </c>
      <c r="E646" s="219" t="b">
        <v>0</v>
      </c>
      <c r="F646" s="219"/>
      <c r="G646" s="173"/>
      <c r="H646" s="157" t="s">
        <v>6473</v>
      </c>
      <c r="I646" s="157">
        <f t="shared" si="3"/>
        <v>1710</v>
      </c>
      <c r="J646" s="157">
        <v>2025.0</v>
      </c>
    </row>
    <row r="647">
      <c r="A647" s="218">
        <f t="shared" si="2"/>
        <v>644</v>
      </c>
      <c r="B647" s="218" t="s">
        <v>201</v>
      </c>
      <c r="C647" s="219" t="str">
        <f t="shared" si="1"/>
        <v>HD/1711/2025</v>
      </c>
      <c r="D647" s="218" t="b">
        <v>1</v>
      </c>
      <c r="E647" s="219" t="b">
        <v>0</v>
      </c>
      <c r="F647" s="219"/>
      <c r="G647" s="173"/>
      <c r="H647" s="157" t="s">
        <v>6473</v>
      </c>
      <c r="I647" s="157">
        <f t="shared" si="3"/>
        <v>1711</v>
      </c>
      <c r="J647" s="157">
        <v>2025.0</v>
      </c>
    </row>
    <row r="648">
      <c r="A648" s="218">
        <f t="shared" si="2"/>
        <v>645</v>
      </c>
      <c r="B648" s="218" t="s">
        <v>201</v>
      </c>
      <c r="C648" s="219" t="str">
        <f t="shared" si="1"/>
        <v>HD/1712/2025</v>
      </c>
      <c r="D648" s="218" t="b">
        <v>1</v>
      </c>
      <c r="E648" s="219" t="b">
        <v>0</v>
      </c>
      <c r="F648" s="219"/>
      <c r="G648" s="173"/>
      <c r="H648" s="157" t="s">
        <v>6473</v>
      </c>
      <c r="I648" s="157">
        <f t="shared" si="3"/>
        <v>1712</v>
      </c>
      <c r="J648" s="157">
        <v>2025.0</v>
      </c>
    </row>
    <row r="649">
      <c r="A649" s="218">
        <f t="shared" si="2"/>
        <v>646</v>
      </c>
      <c r="B649" s="218" t="s">
        <v>201</v>
      </c>
      <c r="C649" s="219" t="str">
        <f t="shared" si="1"/>
        <v>HD/1713/2025</v>
      </c>
      <c r="D649" s="218" t="b">
        <v>1</v>
      </c>
      <c r="E649" s="219" t="b">
        <v>0</v>
      </c>
      <c r="F649" s="219"/>
      <c r="G649" s="173"/>
      <c r="H649" s="157" t="s">
        <v>6473</v>
      </c>
      <c r="I649" s="157">
        <f t="shared" si="3"/>
        <v>1713</v>
      </c>
      <c r="J649" s="157">
        <v>2025.0</v>
      </c>
    </row>
    <row r="650">
      <c r="A650" s="218">
        <f t="shared" si="2"/>
        <v>647</v>
      </c>
      <c r="B650" s="218" t="s">
        <v>201</v>
      </c>
      <c r="C650" s="219" t="str">
        <f t="shared" si="1"/>
        <v>HD/1714/2025</v>
      </c>
      <c r="D650" s="218" t="b">
        <v>1</v>
      </c>
      <c r="E650" s="219" t="b">
        <v>0</v>
      </c>
      <c r="F650" s="219"/>
      <c r="G650" s="173"/>
      <c r="H650" s="157" t="s">
        <v>6473</v>
      </c>
      <c r="I650" s="157">
        <f t="shared" si="3"/>
        <v>1714</v>
      </c>
      <c r="J650" s="157">
        <v>2025.0</v>
      </c>
    </row>
    <row r="651">
      <c r="A651" s="218">
        <f t="shared" si="2"/>
        <v>648</v>
      </c>
      <c r="B651" s="218" t="s">
        <v>201</v>
      </c>
      <c r="C651" s="219" t="str">
        <f t="shared" si="1"/>
        <v>HD/1715/2025</v>
      </c>
      <c r="D651" s="218" t="b">
        <v>1</v>
      </c>
      <c r="E651" s="219" t="b">
        <v>0</v>
      </c>
      <c r="F651" s="219"/>
      <c r="G651" s="173"/>
      <c r="H651" s="157" t="s">
        <v>6473</v>
      </c>
      <c r="I651" s="157">
        <f t="shared" si="3"/>
        <v>1715</v>
      </c>
      <c r="J651" s="157">
        <v>2025.0</v>
      </c>
    </row>
    <row r="652">
      <c r="A652" s="218">
        <f t="shared" si="2"/>
        <v>649</v>
      </c>
      <c r="B652" s="218" t="s">
        <v>201</v>
      </c>
      <c r="C652" s="219" t="str">
        <f t="shared" si="1"/>
        <v>HD/1716/2025</v>
      </c>
      <c r="D652" s="218" t="b">
        <v>1</v>
      </c>
      <c r="E652" s="219" t="b">
        <v>0</v>
      </c>
      <c r="F652" s="219"/>
      <c r="G652" s="173"/>
      <c r="H652" s="157" t="s">
        <v>6473</v>
      </c>
      <c r="I652" s="157">
        <f t="shared" si="3"/>
        <v>1716</v>
      </c>
      <c r="J652" s="157">
        <v>2025.0</v>
      </c>
    </row>
    <row r="653">
      <c r="A653" s="218">
        <f t="shared" si="2"/>
        <v>650</v>
      </c>
      <c r="B653" s="218" t="s">
        <v>201</v>
      </c>
      <c r="C653" s="219" t="str">
        <f t="shared" si="1"/>
        <v>HD/1717/2025</v>
      </c>
      <c r="D653" s="218" t="b">
        <v>1</v>
      </c>
      <c r="E653" s="219" t="b">
        <v>0</v>
      </c>
      <c r="F653" s="219"/>
      <c r="G653" s="173"/>
      <c r="H653" s="157" t="s">
        <v>6473</v>
      </c>
      <c r="I653" s="157">
        <f t="shared" si="3"/>
        <v>1717</v>
      </c>
      <c r="J653" s="157">
        <v>2025.0</v>
      </c>
    </row>
    <row r="654">
      <c r="A654" s="218">
        <f t="shared" si="2"/>
        <v>651</v>
      </c>
      <c r="B654" s="218" t="s">
        <v>201</v>
      </c>
      <c r="C654" s="219" t="str">
        <f t="shared" si="1"/>
        <v>HD/1718/2025</v>
      </c>
      <c r="D654" s="218" t="b">
        <v>1</v>
      </c>
      <c r="E654" s="219" t="b">
        <v>0</v>
      </c>
      <c r="F654" s="219"/>
      <c r="G654" s="173"/>
      <c r="H654" s="157" t="s">
        <v>6473</v>
      </c>
      <c r="I654" s="157">
        <f t="shared" si="3"/>
        <v>1718</v>
      </c>
      <c r="J654" s="157">
        <v>2025.0</v>
      </c>
    </row>
    <row r="655">
      <c r="A655" s="218">
        <f t="shared" si="2"/>
        <v>652</v>
      </c>
      <c r="B655" s="218" t="s">
        <v>201</v>
      </c>
      <c r="C655" s="219" t="str">
        <f t="shared" si="1"/>
        <v>HD/1719/2025</v>
      </c>
      <c r="D655" s="218" t="b">
        <v>1</v>
      </c>
      <c r="E655" s="219" t="b">
        <v>0</v>
      </c>
      <c r="F655" s="219"/>
      <c r="G655" s="173"/>
      <c r="H655" s="157" t="s">
        <v>6473</v>
      </c>
      <c r="I655" s="157">
        <f t="shared" si="3"/>
        <v>1719</v>
      </c>
      <c r="J655" s="157">
        <v>2025.0</v>
      </c>
    </row>
    <row r="656">
      <c r="A656" s="218">
        <f t="shared" si="2"/>
        <v>653</v>
      </c>
      <c r="B656" s="218" t="s">
        <v>201</v>
      </c>
      <c r="C656" s="219" t="str">
        <f t="shared" si="1"/>
        <v>HD/1720/2025</v>
      </c>
      <c r="D656" s="218" t="b">
        <v>1</v>
      </c>
      <c r="E656" s="219" t="b">
        <v>0</v>
      </c>
      <c r="F656" s="219"/>
      <c r="G656" s="173"/>
      <c r="H656" s="157" t="s">
        <v>6473</v>
      </c>
      <c r="I656" s="157">
        <f t="shared" si="3"/>
        <v>1720</v>
      </c>
      <c r="J656" s="157">
        <v>2025.0</v>
      </c>
    </row>
    <row r="657">
      <c r="A657" s="218">
        <f t="shared" si="2"/>
        <v>654</v>
      </c>
      <c r="B657" s="218" t="s">
        <v>201</v>
      </c>
      <c r="C657" s="219" t="str">
        <f t="shared" si="1"/>
        <v>HD/1721/2025</v>
      </c>
      <c r="D657" s="218" t="b">
        <v>1</v>
      </c>
      <c r="E657" s="219" t="b">
        <v>0</v>
      </c>
      <c r="F657" s="219"/>
      <c r="G657" s="173"/>
      <c r="H657" s="157" t="s">
        <v>6473</v>
      </c>
      <c r="I657" s="157">
        <f t="shared" si="3"/>
        <v>1721</v>
      </c>
      <c r="J657" s="157">
        <v>2025.0</v>
      </c>
    </row>
    <row r="658">
      <c r="A658" s="218">
        <f t="shared" si="2"/>
        <v>655</v>
      </c>
      <c r="B658" s="218" t="s">
        <v>201</v>
      </c>
      <c r="C658" s="219" t="str">
        <f t="shared" si="1"/>
        <v>HD/1722/2025</v>
      </c>
      <c r="D658" s="218" t="b">
        <v>1</v>
      </c>
      <c r="E658" s="219" t="b">
        <v>0</v>
      </c>
      <c r="F658" s="219"/>
      <c r="G658" s="173"/>
      <c r="H658" s="157" t="s">
        <v>6473</v>
      </c>
      <c r="I658" s="157">
        <f t="shared" si="3"/>
        <v>1722</v>
      </c>
      <c r="J658" s="157">
        <v>2025.0</v>
      </c>
    </row>
    <row r="659">
      <c r="A659" s="218">
        <f t="shared" si="2"/>
        <v>656</v>
      </c>
      <c r="B659" s="218" t="s">
        <v>201</v>
      </c>
      <c r="C659" s="219" t="str">
        <f t="shared" si="1"/>
        <v>HD/1723/2025</v>
      </c>
      <c r="D659" s="218" t="b">
        <v>1</v>
      </c>
      <c r="E659" s="219" t="b">
        <v>0</v>
      </c>
      <c r="F659" s="219"/>
      <c r="G659" s="173"/>
      <c r="H659" s="157" t="s">
        <v>6473</v>
      </c>
      <c r="I659" s="157">
        <f t="shared" si="3"/>
        <v>1723</v>
      </c>
      <c r="J659" s="157">
        <v>2025.0</v>
      </c>
    </row>
    <row r="660">
      <c r="A660" s="218">
        <f t="shared" si="2"/>
        <v>657</v>
      </c>
      <c r="B660" s="218" t="s">
        <v>201</v>
      </c>
      <c r="C660" s="219" t="str">
        <f t="shared" si="1"/>
        <v>HD/1724/2025</v>
      </c>
      <c r="D660" s="218" t="b">
        <v>1</v>
      </c>
      <c r="E660" s="219" t="b">
        <v>0</v>
      </c>
      <c r="F660" s="219"/>
      <c r="G660" s="173"/>
      <c r="H660" s="157" t="s">
        <v>6473</v>
      </c>
      <c r="I660" s="157">
        <f t="shared" si="3"/>
        <v>1724</v>
      </c>
      <c r="J660" s="157">
        <v>2025.0</v>
      </c>
    </row>
    <row r="661">
      <c r="A661" s="218">
        <f t="shared" si="2"/>
        <v>658</v>
      </c>
      <c r="B661" s="218" t="s">
        <v>201</v>
      </c>
      <c r="C661" s="219" t="str">
        <f t="shared" si="1"/>
        <v>HD/1725/2025</v>
      </c>
      <c r="D661" s="218" t="b">
        <v>1</v>
      </c>
      <c r="E661" s="219" t="b">
        <v>0</v>
      </c>
      <c r="F661" s="219"/>
      <c r="G661" s="173"/>
      <c r="H661" s="157" t="s">
        <v>6473</v>
      </c>
      <c r="I661" s="157">
        <f t="shared" si="3"/>
        <v>1725</v>
      </c>
      <c r="J661" s="157">
        <v>2025.0</v>
      </c>
    </row>
    <row r="662">
      <c r="A662" s="218">
        <f t="shared" si="2"/>
        <v>659</v>
      </c>
      <c r="B662" s="218" t="s">
        <v>201</v>
      </c>
      <c r="C662" s="219" t="str">
        <f t="shared" si="1"/>
        <v>HD/1726/2025</v>
      </c>
      <c r="D662" s="218" t="b">
        <v>1</v>
      </c>
      <c r="E662" s="219" t="b">
        <v>0</v>
      </c>
      <c r="F662" s="219"/>
      <c r="G662" s="173"/>
      <c r="H662" s="157" t="s">
        <v>6473</v>
      </c>
      <c r="I662" s="157">
        <f t="shared" si="3"/>
        <v>1726</v>
      </c>
      <c r="J662" s="157">
        <v>2025.0</v>
      </c>
    </row>
    <row r="663">
      <c r="A663" s="218">
        <f t="shared" si="2"/>
        <v>660</v>
      </c>
      <c r="B663" s="218" t="s">
        <v>201</v>
      </c>
      <c r="C663" s="219" t="str">
        <f t="shared" si="1"/>
        <v>HD/1727/2025</v>
      </c>
      <c r="D663" s="218" t="b">
        <v>1</v>
      </c>
      <c r="E663" s="219" t="b">
        <v>0</v>
      </c>
      <c r="F663" s="219"/>
      <c r="G663" s="173"/>
      <c r="H663" s="157" t="s">
        <v>6473</v>
      </c>
      <c r="I663" s="157">
        <f t="shared" si="3"/>
        <v>1727</v>
      </c>
      <c r="J663" s="157">
        <v>2025.0</v>
      </c>
    </row>
    <row r="664">
      <c r="A664" s="218">
        <f t="shared" si="2"/>
        <v>661</v>
      </c>
      <c r="B664" s="218" t="s">
        <v>201</v>
      </c>
      <c r="C664" s="219" t="str">
        <f t="shared" si="1"/>
        <v>HD/1728/2025</v>
      </c>
      <c r="D664" s="218" t="b">
        <v>1</v>
      </c>
      <c r="E664" s="219" t="b">
        <v>0</v>
      </c>
      <c r="F664" s="219"/>
      <c r="G664" s="173"/>
      <c r="H664" s="157" t="s">
        <v>6473</v>
      </c>
      <c r="I664" s="157">
        <f t="shared" si="3"/>
        <v>1728</v>
      </c>
      <c r="J664" s="157">
        <v>2025.0</v>
      </c>
    </row>
    <row r="665">
      <c r="A665" s="218">
        <f t="shared" si="2"/>
        <v>662</v>
      </c>
      <c r="B665" s="218" t="s">
        <v>201</v>
      </c>
      <c r="C665" s="219" t="str">
        <f t="shared" si="1"/>
        <v>HD/1729/2025</v>
      </c>
      <c r="D665" s="218" t="b">
        <v>1</v>
      </c>
      <c r="E665" s="219" t="b">
        <v>0</v>
      </c>
      <c r="F665" s="219"/>
      <c r="G665" s="173"/>
      <c r="H665" s="157" t="s">
        <v>6473</v>
      </c>
      <c r="I665" s="157">
        <f t="shared" si="3"/>
        <v>1729</v>
      </c>
      <c r="J665" s="157">
        <v>2025.0</v>
      </c>
    </row>
    <row r="666">
      <c r="A666" s="218">
        <f t="shared" si="2"/>
        <v>663</v>
      </c>
      <c r="B666" s="218" t="s">
        <v>201</v>
      </c>
      <c r="C666" s="219" t="str">
        <f t="shared" si="1"/>
        <v>HD/1730/2025</v>
      </c>
      <c r="D666" s="218" t="b">
        <v>1</v>
      </c>
      <c r="E666" s="219" t="b">
        <v>0</v>
      </c>
      <c r="F666" s="219"/>
      <c r="G666" s="173"/>
      <c r="H666" s="157" t="s">
        <v>6473</v>
      </c>
      <c r="I666" s="157">
        <f t="shared" si="3"/>
        <v>1730</v>
      </c>
      <c r="J666" s="157">
        <v>2025.0</v>
      </c>
    </row>
    <row r="667">
      <c r="A667" s="218">
        <f t="shared" si="2"/>
        <v>664</v>
      </c>
      <c r="B667" s="218" t="s">
        <v>201</v>
      </c>
      <c r="C667" s="219" t="str">
        <f t="shared" si="1"/>
        <v>HD/1731/2025</v>
      </c>
      <c r="D667" s="218" t="b">
        <v>1</v>
      </c>
      <c r="E667" s="219" t="b">
        <v>0</v>
      </c>
      <c r="F667" s="219"/>
      <c r="G667" s="173"/>
      <c r="H667" s="157" t="s">
        <v>6473</v>
      </c>
      <c r="I667" s="157">
        <f t="shared" si="3"/>
        <v>1731</v>
      </c>
      <c r="J667" s="157">
        <v>2025.0</v>
      </c>
    </row>
    <row r="668">
      <c r="A668" s="218">
        <f t="shared" si="2"/>
        <v>665</v>
      </c>
      <c r="B668" s="218" t="s">
        <v>201</v>
      </c>
      <c r="C668" s="219" t="str">
        <f t="shared" si="1"/>
        <v>HD/1732/2025</v>
      </c>
      <c r="D668" s="218" t="b">
        <v>1</v>
      </c>
      <c r="E668" s="219" t="b">
        <v>0</v>
      </c>
      <c r="F668" s="219"/>
      <c r="G668" s="173"/>
      <c r="H668" s="157" t="s">
        <v>6473</v>
      </c>
      <c r="I668" s="157">
        <f t="shared" si="3"/>
        <v>1732</v>
      </c>
      <c r="J668" s="157">
        <v>2025.0</v>
      </c>
    </row>
    <row r="669">
      <c r="A669" s="218">
        <f t="shared" si="2"/>
        <v>666</v>
      </c>
      <c r="B669" s="218" t="s">
        <v>201</v>
      </c>
      <c r="C669" s="219" t="str">
        <f t="shared" si="1"/>
        <v>HD/1733/2025</v>
      </c>
      <c r="D669" s="218" t="b">
        <v>1</v>
      </c>
      <c r="E669" s="219" t="b">
        <v>0</v>
      </c>
      <c r="F669" s="219"/>
      <c r="G669" s="173"/>
      <c r="H669" s="157" t="s">
        <v>6473</v>
      </c>
      <c r="I669" s="157">
        <f t="shared" si="3"/>
        <v>1733</v>
      </c>
      <c r="J669" s="157">
        <v>2025.0</v>
      </c>
    </row>
    <row r="670">
      <c r="A670" s="218">
        <f t="shared" si="2"/>
        <v>667</v>
      </c>
      <c r="B670" s="218" t="s">
        <v>201</v>
      </c>
      <c r="C670" s="219" t="str">
        <f t="shared" si="1"/>
        <v>HD/1734/2025</v>
      </c>
      <c r="D670" s="218" t="b">
        <v>1</v>
      </c>
      <c r="E670" s="219" t="b">
        <v>0</v>
      </c>
      <c r="F670" s="219"/>
      <c r="G670" s="173"/>
      <c r="H670" s="157" t="s">
        <v>6473</v>
      </c>
      <c r="I670" s="157">
        <f t="shared" si="3"/>
        <v>1734</v>
      </c>
      <c r="J670" s="157">
        <v>2025.0</v>
      </c>
    </row>
    <row r="671">
      <c r="A671" s="218">
        <f t="shared" si="2"/>
        <v>668</v>
      </c>
      <c r="B671" s="218" t="s">
        <v>201</v>
      </c>
      <c r="C671" s="219" t="str">
        <f t="shared" si="1"/>
        <v>HD/1735/2025</v>
      </c>
      <c r="D671" s="218" t="b">
        <v>1</v>
      </c>
      <c r="E671" s="219" t="b">
        <v>0</v>
      </c>
      <c r="F671" s="219"/>
      <c r="G671" s="173"/>
      <c r="H671" s="157" t="s">
        <v>6473</v>
      </c>
      <c r="I671" s="157">
        <f t="shared" si="3"/>
        <v>1735</v>
      </c>
      <c r="J671" s="157">
        <v>2025.0</v>
      </c>
    </row>
    <row r="672">
      <c r="A672" s="218">
        <f t="shared" si="2"/>
        <v>669</v>
      </c>
      <c r="B672" s="218" t="s">
        <v>201</v>
      </c>
      <c r="C672" s="219" t="str">
        <f t="shared" si="1"/>
        <v>HD/1736/2025</v>
      </c>
      <c r="D672" s="218" t="b">
        <v>1</v>
      </c>
      <c r="E672" s="219" t="b">
        <v>0</v>
      </c>
      <c r="F672" s="219"/>
      <c r="G672" s="173"/>
      <c r="H672" s="157" t="s">
        <v>6473</v>
      </c>
      <c r="I672" s="157">
        <f t="shared" si="3"/>
        <v>1736</v>
      </c>
      <c r="J672" s="157">
        <v>2025.0</v>
      </c>
    </row>
    <row r="673">
      <c r="A673" s="218">
        <f t="shared" si="2"/>
        <v>670</v>
      </c>
      <c r="B673" s="218" t="s">
        <v>201</v>
      </c>
      <c r="C673" s="219" t="str">
        <f t="shared" si="1"/>
        <v>HD/1737/2025</v>
      </c>
      <c r="D673" s="218" t="b">
        <v>1</v>
      </c>
      <c r="E673" s="219" t="b">
        <v>0</v>
      </c>
      <c r="F673" s="219"/>
      <c r="G673" s="173"/>
      <c r="H673" s="157" t="s">
        <v>6473</v>
      </c>
      <c r="I673" s="157">
        <f t="shared" si="3"/>
        <v>1737</v>
      </c>
      <c r="J673" s="157">
        <v>2025.0</v>
      </c>
    </row>
    <row r="674">
      <c r="A674" s="218">
        <f t="shared" si="2"/>
        <v>671</v>
      </c>
      <c r="B674" s="218" t="s">
        <v>201</v>
      </c>
      <c r="C674" s="219" t="str">
        <f t="shared" si="1"/>
        <v>HD/1738/2025</v>
      </c>
      <c r="D674" s="218" t="b">
        <v>1</v>
      </c>
      <c r="E674" s="219" t="b">
        <v>0</v>
      </c>
      <c r="F674" s="219"/>
      <c r="G674" s="173"/>
      <c r="H674" s="157" t="s">
        <v>6473</v>
      </c>
      <c r="I674" s="157">
        <f t="shared" si="3"/>
        <v>1738</v>
      </c>
      <c r="J674" s="157">
        <v>2025.0</v>
      </c>
    </row>
    <row r="675">
      <c r="A675" s="218">
        <f t="shared" si="2"/>
        <v>672</v>
      </c>
      <c r="B675" s="218" t="s">
        <v>201</v>
      </c>
      <c r="C675" s="219" t="str">
        <f t="shared" si="1"/>
        <v>HD/1739/2025</v>
      </c>
      <c r="D675" s="218" t="b">
        <v>1</v>
      </c>
      <c r="E675" s="219" t="b">
        <v>0</v>
      </c>
      <c r="F675" s="219"/>
      <c r="G675" s="173"/>
      <c r="H675" s="157" t="s">
        <v>6473</v>
      </c>
      <c r="I675" s="157">
        <f t="shared" si="3"/>
        <v>1739</v>
      </c>
      <c r="J675" s="157">
        <v>2025.0</v>
      </c>
    </row>
    <row r="676">
      <c r="A676" s="218">
        <f t="shared" si="2"/>
        <v>673</v>
      </c>
      <c r="B676" s="218" t="s">
        <v>201</v>
      </c>
      <c r="C676" s="219" t="str">
        <f t="shared" si="1"/>
        <v>HD/1740/2025</v>
      </c>
      <c r="D676" s="218" t="b">
        <v>1</v>
      </c>
      <c r="E676" s="219" t="b">
        <v>0</v>
      </c>
      <c r="F676" s="219"/>
      <c r="G676" s="173"/>
      <c r="H676" s="157" t="s">
        <v>6473</v>
      </c>
      <c r="I676" s="157">
        <f t="shared" si="3"/>
        <v>1740</v>
      </c>
      <c r="J676" s="157">
        <v>2025.0</v>
      </c>
    </row>
    <row r="677">
      <c r="A677" s="218">
        <f t="shared" si="2"/>
        <v>674</v>
      </c>
      <c r="B677" s="218" t="s">
        <v>201</v>
      </c>
      <c r="C677" s="219" t="str">
        <f t="shared" si="1"/>
        <v>HD/1741/2025</v>
      </c>
      <c r="D677" s="218" t="b">
        <v>1</v>
      </c>
      <c r="E677" s="219" t="b">
        <v>0</v>
      </c>
      <c r="F677" s="219"/>
      <c r="G677" s="173"/>
      <c r="H677" s="157" t="s">
        <v>6473</v>
      </c>
      <c r="I677" s="157">
        <f t="shared" si="3"/>
        <v>1741</v>
      </c>
      <c r="J677" s="157">
        <v>2025.0</v>
      </c>
    </row>
    <row r="678">
      <c r="A678" s="218">
        <f t="shared" si="2"/>
        <v>675</v>
      </c>
      <c r="B678" s="218" t="s">
        <v>201</v>
      </c>
      <c r="C678" s="219" t="str">
        <f t="shared" si="1"/>
        <v>HD/1742/2025</v>
      </c>
      <c r="D678" s="218" t="b">
        <v>1</v>
      </c>
      <c r="E678" s="219" t="b">
        <v>0</v>
      </c>
      <c r="F678" s="219"/>
      <c r="G678" s="173"/>
      <c r="H678" s="157" t="s">
        <v>6473</v>
      </c>
      <c r="I678" s="157">
        <f t="shared" si="3"/>
        <v>1742</v>
      </c>
      <c r="J678" s="157">
        <v>2025.0</v>
      </c>
    </row>
    <row r="679">
      <c r="A679" s="218">
        <f t="shared" si="2"/>
        <v>676</v>
      </c>
      <c r="B679" s="218" t="s">
        <v>201</v>
      </c>
      <c r="C679" s="219" t="str">
        <f t="shared" si="1"/>
        <v>HD/1743/2025</v>
      </c>
      <c r="D679" s="218" t="b">
        <v>1</v>
      </c>
      <c r="E679" s="219" t="b">
        <v>0</v>
      </c>
      <c r="F679" s="219"/>
      <c r="G679" s="173"/>
      <c r="H679" s="157" t="s">
        <v>6473</v>
      </c>
      <c r="I679" s="157">
        <f t="shared" si="3"/>
        <v>1743</v>
      </c>
      <c r="J679" s="157">
        <v>2025.0</v>
      </c>
    </row>
    <row r="680">
      <c r="A680" s="218">
        <f t="shared" si="2"/>
        <v>677</v>
      </c>
      <c r="B680" s="218" t="s">
        <v>201</v>
      </c>
      <c r="C680" s="219" t="str">
        <f t="shared" si="1"/>
        <v>HD/1744/2025</v>
      </c>
      <c r="D680" s="218" t="b">
        <v>1</v>
      </c>
      <c r="E680" s="219" t="b">
        <v>0</v>
      </c>
      <c r="F680" s="219"/>
      <c r="G680" s="173"/>
      <c r="H680" s="157" t="s">
        <v>6473</v>
      </c>
      <c r="I680" s="157">
        <f t="shared" si="3"/>
        <v>1744</v>
      </c>
      <c r="J680" s="157">
        <v>2025.0</v>
      </c>
    </row>
    <row r="681">
      <c r="A681" s="218">
        <f t="shared" si="2"/>
        <v>678</v>
      </c>
      <c r="B681" s="218" t="s">
        <v>201</v>
      </c>
      <c r="C681" s="219" t="str">
        <f t="shared" si="1"/>
        <v>HD/1745/2025</v>
      </c>
      <c r="D681" s="218" t="b">
        <v>1</v>
      </c>
      <c r="E681" s="219" t="b">
        <v>0</v>
      </c>
      <c r="F681" s="219"/>
      <c r="G681" s="173"/>
      <c r="H681" s="157" t="s">
        <v>6473</v>
      </c>
      <c r="I681" s="157">
        <f t="shared" si="3"/>
        <v>1745</v>
      </c>
      <c r="J681" s="157">
        <v>2025.0</v>
      </c>
    </row>
    <row r="682">
      <c r="A682" s="218">
        <f t="shared" si="2"/>
        <v>679</v>
      </c>
      <c r="B682" s="218" t="s">
        <v>201</v>
      </c>
      <c r="C682" s="219" t="str">
        <f t="shared" si="1"/>
        <v>HD/1746/2025</v>
      </c>
      <c r="D682" s="218" t="b">
        <v>1</v>
      </c>
      <c r="E682" s="219" t="b">
        <v>0</v>
      </c>
      <c r="F682" s="219"/>
      <c r="G682" s="173"/>
      <c r="H682" s="157" t="s">
        <v>6473</v>
      </c>
      <c r="I682" s="157">
        <f t="shared" si="3"/>
        <v>1746</v>
      </c>
      <c r="J682" s="157">
        <v>2025.0</v>
      </c>
    </row>
    <row r="683">
      <c r="A683" s="218">
        <f t="shared" si="2"/>
        <v>680</v>
      </c>
      <c r="B683" s="218" t="s">
        <v>201</v>
      </c>
      <c r="C683" s="219" t="str">
        <f t="shared" si="1"/>
        <v>HD/1747/2025</v>
      </c>
      <c r="D683" s="218" t="b">
        <v>1</v>
      </c>
      <c r="E683" s="219" t="b">
        <v>0</v>
      </c>
      <c r="F683" s="219"/>
      <c r="G683" s="173"/>
      <c r="H683" s="157" t="s">
        <v>6473</v>
      </c>
      <c r="I683" s="157">
        <f t="shared" si="3"/>
        <v>1747</v>
      </c>
      <c r="J683" s="157">
        <v>2025.0</v>
      </c>
    </row>
    <row r="684">
      <c r="A684" s="218">
        <f t="shared" si="2"/>
        <v>681</v>
      </c>
      <c r="B684" s="218" t="s">
        <v>201</v>
      </c>
      <c r="C684" s="219" t="str">
        <f t="shared" si="1"/>
        <v>HD/1748/2025</v>
      </c>
      <c r="D684" s="218" t="b">
        <v>1</v>
      </c>
      <c r="E684" s="219" t="b">
        <v>0</v>
      </c>
      <c r="F684" s="219"/>
      <c r="G684" s="173"/>
      <c r="H684" s="157" t="s">
        <v>6473</v>
      </c>
      <c r="I684" s="157">
        <f t="shared" si="3"/>
        <v>1748</v>
      </c>
      <c r="J684" s="157">
        <v>2025.0</v>
      </c>
    </row>
    <row r="685">
      <c r="A685" s="218">
        <f t="shared" si="2"/>
        <v>682</v>
      </c>
      <c r="B685" s="218" t="s">
        <v>201</v>
      </c>
      <c r="C685" s="219" t="str">
        <f t="shared" si="1"/>
        <v>HD/1749/2025</v>
      </c>
      <c r="D685" s="218" t="b">
        <v>1</v>
      </c>
      <c r="E685" s="219" t="b">
        <v>0</v>
      </c>
      <c r="F685" s="219"/>
      <c r="G685" s="173"/>
      <c r="H685" s="157" t="s">
        <v>6473</v>
      </c>
      <c r="I685" s="157">
        <f t="shared" si="3"/>
        <v>1749</v>
      </c>
      <c r="J685" s="157">
        <v>2025.0</v>
      </c>
    </row>
    <row r="686">
      <c r="A686" s="218">
        <f t="shared" si="2"/>
        <v>683</v>
      </c>
      <c r="B686" s="218" t="s">
        <v>201</v>
      </c>
      <c r="C686" s="219" t="str">
        <f t="shared" si="1"/>
        <v>HD/1750/2025</v>
      </c>
      <c r="D686" s="218" t="b">
        <v>1</v>
      </c>
      <c r="E686" s="219" t="b">
        <v>0</v>
      </c>
      <c r="F686" s="219"/>
      <c r="G686" s="173"/>
      <c r="H686" s="157" t="s">
        <v>6473</v>
      </c>
      <c r="I686" s="157">
        <f t="shared" si="3"/>
        <v>1750</v>
      </c>
      <c r="J686" s="157">
        <v>2025.0</v>
      </c>
    </row>
    <row r="687">
      <c r="A687" s="218">
        <f t="shared" si="2"/>
        <v>684</v>
      </c>
      <c r="B687" s="218" t="s">
        <v>201</v>
      </c>
      <c r="C687" s="219" t="str">
        <f t="shared" si="1"/>
        <v>HD/1751/2025</v>
      </c>
      <c r="D687" s="218" t="b">
        <v>1</v>
      </c>
      <c r="E687" s="219" t="b">
        <v>0</v>
      </c>
      <c r="F687" s="219"/>
      <c r="G687" s="173"/>
      <c r="H687" s="157" t="s">
        <v>6473</v>
      </c>
      <c r="I687" s="157">
        <f t="shared" si="3"/>
        <v>1751</v>
      </c>
      <c r="J687" s="157">
        <v>2025.0</v>
      </c>
    </row>
    <row r="688">
      <c r="A688" s="218">
        <f t="shared" si="2"/>
        <v>685</v>
      </c>
      <c r="B688" s="218" t="s">
        <v>201</v>
      </c>
      <c r="C688" s="219" t="str">
        <f t="shared" si="1"/>
        <v>HD/1752/2025</v>
      </c>
      <c r="D688" s="218" t="b">
        <v>1</v>
      </c>
      <c r="E688" s="219" t="b">
        <v>0</v>
      </c>
      <c r="F688" s="219"/>
      <c r="G688" s="173"/>
      <c r="H688" s="157" t="s">
        <v>6473</v>
      </c>
      <c r="I688" s="157">
        <f t="shared" si="3"/>
        <v>1752</v>
      </c>
      <c r="J688" s="157">
        <v>2025.0</v>
      </c>
    </row>
    <row r="689">
      <c r="A689" s="218">
        <f t="shared" si="2"/>
        <v>686</v>
      </c>
      <c r="B689" s="218" t="s">
        <v>201</v>
      </c>
      <c r="C689" s="219" t="str">
        <f t="shared" si="1"/>
        <v>HD/1753/2025</v>
      </c>
      <c r="D689" s="218" t="b">
        <v>1</v>
      </c>
      <c r="E689" s="219" t="b">
        <v>0</v>
      </c>
      <c r="F689" s="219"/>
      <c r="G689" s="173"/>
      <c r="H689" s="157" t="s">
        <v>6473</v>
      </c>
      <c r="I689" s="157">
        <f t="shared" si="3"/>
        <v>1753</v>
      </c>
      <c r="J689" s="157">
        <v>2025.0</v>
      </c>
    </row>
    <row r="690">
      <c r="A690" s="218">
        <f t="shared" si="2"/>
        <v>687</v>
      </c>
      <c r="B690" s="218" t="s">
        <v>201</v>
      </c>
      <c r="C690" s="219" t="str">
        <f t="shared" si="1"/>
        <v>HD/1754/2025</v>
      </c>
      <c r="D690" s="218" t="b">
        <v>1</v>
      </c>
      <c r="E690" s="219" t="b">
        <v>0</v>
      </c>
      <c r="F690" s="219"/>
      <c r="G690" s="173"/>
      <c r="H690" s="157" t="s">
        <v>6473</v>
      </c>
      <c r="I690" s="157">
        <f t="shared" si="3"/>
        <v>1754</v>
      </c>
      <c r="J690" s="157">
        <v>2025.0</v>
      </c>
    </row>
    <row r="691">
      <c r="A691" s="218">
        <f t="shared" si="2"/>
        <v>688</v>
      </c>
      <c r="B691" s="218" t="s">
        <v>201</v>
      </c>
      <c r="C691" s="219" t="str">
        <f t="shared" si="1"/>
        <v>HD/1755/2025</v>
      </c>
      <c r="D691" s="218" t="b">
        <v>1</v>
      </c>
      <c r="E691" s="219" t="b">
        <v>0</v>
      </c>
      <c r="F691" s="219"/>
      <c r="G691" s="173"/>
      <c r="H691" s="157" t="s">
        <v>6473</v>
      </c>
      <c r="I691" s="157">
        <f t="shared" si="3"/>
        <v>1755</v>
      </c>
      <c r="J691" s="157">
        <v>2025.0</v>
      </c>
    </row>
    <row r="692">
      <c r="A692" s="218">
        <f t="shared" si="2"/>
        <v>689</v>
      </c>
      <c r="B692" s="218" t="s">
        <v>201</v>
      </c>
      <c r="C692" s="219" t="str">
        <f t="shared" si="1"/>
        <v>HD/1756/2025</v>
      </c>
      <c r="D692" s="218" t="b">
        <v>1</v>
      </c>
      <c r="E692" s="219" t="b">
        <v>0</v>
      </c>
      <c r="F692" s="219"/>
      <c r="G692" s="173"/>
      <c r="H692" s="157" t="s">
        <v>6473</v>
      </c>
      <c r="I692" s="157">
        <f t="shared" si="3"/>
        <v>1756</v>
      </c>
      <c r="J692" s="157">
        <v>2025.0</v>
      </c>
    </row>
    <row r="693">
      <c r="A693" s="218">
        <f t="shared" si="2"/>
        <v>690</v>
      </c>
      <c r="B693" s="218" t="s">
        <v>201</v>
      </c>
      <c r="C693" s="219" t="str">
        <f t="shared" si="1"/>
        <v>HD/1757/2025</v>
      </c>
      <c r="D693" s="218" t="b">
        <v>1</v>
      </c>
      <c r="E693" s="219" t="b">
        <v>0</v>
      </c>
      <c r="F693" s="219"/>
      <c r="G693" s="173"/>
      <c r="H693" s="157" t="s">
        <v>6473</v>
      </c>
      <c r="I693" s="157">
        <f t="shared" si="3"/>
        <v>1757</v>
      </c>
      <c r="J693" s="157">
        <v>2025.0</v>
      </c>
    </row>
    <row r="694">
      <c r="A694" s="218">
        <f t="shared" si="2"/>
        <v>691</v>
      </c>
      <c r="B694" s="218" t="s">
        <v>201</v>
      </c>
      <c r="C694" s="219" t="str">
        <f t="shared" si="1"/>
        <v>HD/1758/2025</v>
      </c>
      <c r="D694" s="218" t="b">
        <v>1</v>
      </c>
      <c r="E694" s="219" t="b">
        <v>0</v>
      </c>
      <c r="F694" s="219"/>
      <c r="G694" s="173"/>
      <c r="H694" s="157" t="s">
        <v>6473</v>
      </c>
      <c r="I694" s="157">
        <f t="shared" si="3"/>
        <v>1758</v>
      </c>
      <c r="J694" s="157">
        <v>2025.0</v>
      </c>
    </row>
    <row r="695">
      <c r="A695" s="218">
        <f t="shared" si="2"/>
        <v>692</v>
      </c>
      <c r="B695" s="218" t="s">
        <v>201</v>
      </c>
      <c r="C695" s="219" t="str">
        <f t="shared" si="1"/>
        <v>HD/1759/2025</v>
      </c>
      <c r="D695" s="218" t="b">
        <v>1</v>
      </c>
      <c r="E695" s="219" t="b">
        <v>0</v>
      </c>
      <c r="F695" s="219"/>
      <c r="G695" s="173"/>
      <c r="H695" s="157" t="s">
        <v>6473</v>
      </c>
      <c r="I695" s="157">
        <f t="shared" si="3"/>
        <v>1759</v>
      </c>
      <c r="J695" s="157">
        <v>2025.0</v>
      </c>
    </row>
    <row r="696">
      <c r="A696" s="218">
        <f t="shared" si="2"/>
        <v>693</v>
      </c>
      <c r="B696" s="218" t="s">
        <v>201</v>
      </c>
      <c r="C696" s="219" t="str">
        <f t="shared" si="1"/>
        <v>HD/1760/2025</v>
      </c>
      <c r="D696" s="218" t="b">
        <v>1</v>
      </c>
      <c r="E696" s="219" t="b">
        <v>0</v>
      </c>
      <c r="F696" s="219"/>
      <c r="G696" s="173"/>
      <c r="H696" s="157" t="s">
        <v>6473</v>
      </c>
      <c r="I696" s="157">
        <f t="shared" si="3"/>
        <v>1760</v>
      </c>
      <c r="J696" s="157">
        <v>2025.0</v>
      </c>
    </row>
    <row r="697">
      <c r="A697" s="218">
        <f t="shared" si="2"/>
        <v>694</v>
      </c>
      <c r="B697" s="218" t="s">
        <v>201</v>
      </c>
      <c r="C697" s="219" t="str">
        <f t="shared" si="1"/>
        <v>HD/1761/2025</v>
      </c>
      <c r="D697" s="218" t="b">
        <v>1</v>
      </c>
      <c r="E697" s="219" t="b">
        <v>0</v>
      </c>
      <c r="F697" s="219"/>
      <c r="G697" s="173"/>
      <c r="H697" s="157" t="s">
        <v>6473</v>
      </c>
      <c r="I697" s="157">
        <f t="shared" si="3"/>
        <v>1761</v>
      </c>
      <c r="J697" s="157">
        <v>2025.0</v>
      </c>
    </row>
    <row r="698">
      <c r="A698" s="218">
        <f t="shared" si="2"/>
        <v>695</v>
      </c>
      <c r="B698" s="218" t="s">
        <v>201</v>
      </c>
      <c r="C698" s="219" t="str">
        <f t="shared" si="1"/>
        <v>HD/1762/2025</v>
      </c>
      <c r="D698" s="218" t="b">
        <v>1</v>
      </c>
      <c r="E698" s="219" t="b">
        <v>0</v>
      </c>
      <c r="F698" s="219"/>
      <c r="G698" s="173"/>
      <c r="H698" s="157" t="s">
        <v>6473</v>
      </c>
      <c r="I698" s="157">
        <f t="shared" si="3"/>
        <v>1762</v>
      </c>
      <c r="J698" s="157">
        <v>2025.0</v>
      </c>
    </row>
    <row r="699">
      <c r="A699" s="218">
        <f t="shared" si="2"/>
        <v>696</v>
      </c>
      <c r="B699" s="218" t="s">
        <v>201</v>
      </c>
      <c r="C699" s="219" t="str">
        <f t="shared" si="1"/>
        <v>HD/1763/2025</v>
      </c>
      <c r="D699" s="218" t="b">
        <v>1</v>
      </c>
      <c r="E699" s="219" t="b">
        <v>0</v>
      </c>
      <c r="F699" s="219"/>
      <c r="G699" s="173"/>
      <c r="H699" s="157" t="s">
        <v>6473</v>
      </c>
      <c r="I699" s="157">
        <f t="shared" si="3"/>
        <v>1763</v>
      </c>
      <c r="J699" s="157">
        <v>2025.0</v>
      </c>
    </row>
    <row r="700">
      <c r="A700" s="218">
        <f t="shared" si="2"/>
        <v>697</v>
      </c>
      <c r="B700" s="218" t="s">
        <v>201</v>
      </c>
      <c r="C700" s="219" t="str">
        <f t="shared" si="1"/>
        <v>HD/1764/2025</v>
      </c>
      <c r="D700" s="218" t="b">
        <v>1</v>
      </c>
      <c r="E700" s="219" t="b">
        <v>0</v>
      </c>
      <c r="F700" s="219"/>
      <c r="G700" s="173"/>
      <c r="H700" s="157" t="s">
        <v>6473</v>
      </c>
      <c r="I700" s="157">
        <f t="shared" si="3"/>
        <v>1764</v>
      </c>
      <c r="J700" s="157">
        <v>2025.0</v>
      </c>
    </row>
    <row r="701">
      <c r="A701" s="218">
        <f t="shared" si="2"/>
        <v>698</v>
      </c>
      <c r="B701" s="218" t="s">
        <v>201</v>
      </c>
      <c r="C701" s="219" t="str">
        <f t="shared" si="1"/>
        <v>HD/1765/2025</v>
      </c>
      <c r="D701" s="218" t="b">
        <v>1</v>
      </c>
      <c r="E701" s="219" t="b">
        <v>0</v>
      </c>
      <c r="F701" s="219"/>
      <c r="G701" s="173"/>
      <c r="H701" s="157" t="s">
        <v>6473</v>
      </c>
      <c r="I701" s="157">
        <f t="shared" si="3"/>
        <v>1765</v>
      </c>
      <c r="J701" s="157">
        <v>2025.0</v>
      </c>
    </row>
    <row r="702">
      <c r="A702" s="218">
        <f t="shared" si="2"/>
        <v>699</v>
      </c>
      <c r="B702" s="218" t="s">
        <v>201</v>
      </c>
      <c r="C702" s="219" t="str">
        <f t="shared" si="1"/>
        <v>HD/1766/2025</v>
      </c>
      <c r="D702" s="218" t="b">
        <v>1</v>
      </c>
      <c r="E702" s="219" t="b">
        <v>0</v>
      </c>
      <c r="F702" s="219"/>
      <c r="G702" s="173"/>
      <c r="H702" s="157" t="s">
        <v>6473</v>
      </c>
      <c r="I702" s="157">
        <f t="shared" si="3"/>
        <v>1766</v>
      </c>
      <c r="J702" s="157">
        <v>2025.0</v>
      </c>
    </row>
    <row r="703">
      <c r="A703" s="218">
        <f t="shared" si="2"/>
        <v>700</v>
      </c>
      <c r="B703" s="218" t="s">
        <v>201</v>
      </c>
      <c r="C703" s="219" t="str">
        <f t="shared" si="1"/>
        <v>HD/1767/2025</v>
      </c>
      <c r="D703" s="218" t="b">
        <v>1</v>
      </c>
      <c r="E703" s="219" t="b">
        <v>0</v>
      </c>
      <c r="F703" s="219"/>
      <c r="G703" s="173"/>
      <c r="H703" s="157" t="s">
        <v>6473</v>
      </c>
      <c r="I703" s="157">
        <f t="shared" si="3"/>
        <v>1767</v>
      </c>
      <c r="J703" s="157">
        <v>2025.0</v>
      </c>
    </row>
    <row r="704">
      <c r="A704" s="218">
        <f t="shared" si="2"/>
        <v>701</v>
      </c>
      <c r="B704" s="218" t="s">
        <v>201</v>
      </c>
      <c r="C704" s="219" t="str">
        <f t="shared" si="1"/>
        <v>HD/1768/2025</v>
      </c>
      <c r="D704" s="218" t="b">
        <v>1</v>
      </c>
      <c r="E704" s="219" t="b">
        <v>0</v>
      </c>
      <c r="F704" s="219"/>
      <c r="G704" s="173"/>
      <c r="H704" s="157" t="s">
        <v>6473</v>
      </c>
      <c r="I704" s="157">
        <f t="shared" si="3"/>
        <v>1768</v>
      </c>
      <c r="J704" s="157">
        <v>2025.0</v>
      </c>
    </row>
    <row r="705">
      <c r="A705" s="218">
        <f t="shared" si="2"/>
        <v>702</v>
      </c>
      <c r="B705" s="218" t="s">
        <v>201</v>
      </c>
      <c r="C705" s="219" t="str">
        <f t="shared" si="1"/>
        <v>HD/1769/2025</v>
      </c>
      <c r="D705" s="218" t="b">
        <v>1</v>
      </c>
      <c r="E705" s="219" t="b">
        <v>0</v>
      </c>
      <c r="F705" s="219"/>
      <c r="G705" s="173"/>
      <c r="H705" s="157" t="s">
        <v>6473</v>
      </c>
      <c r="I705" s="157">
        <f t="shared" si="3"/>
        <v>1769</v>
      </c>
      <c r="J705" s="157">
        <v>2025.0</v>
      </c>
    </row>
    <row r="706">
      <c r="A706" s="218">
        <f t="shared" si="2"/>
        <v>703</v>
      </c>
      <c r="B706" s="218" t="s">
        <v>201</v>
      </c>
      <c r="C706" s="219" t="str">
        <f t="shared" si="1"/>
        <v>HD/1770/2025</v>
      </c>
      <c r="D706" s="218" t="b">
        <v>1</v>
      </c>
      <c r="E706" s="219" t="b">
        <v>0</v>
      </c>
      <c r="F706" s="219"/>
      <c r="G706" s="173"/>
      <c r="H706" s="157" t="s">
        <v>6473</v>
      </c>
      <c r="I706" s="157">
        <f t="shared" si="3"/>
        <v>1770</v>
      </c>
      <c r="J706" s="157">
        <v>2025.0</v>
      </c>
    </row>
    <row r="707">
      <c r="A707" s="218">
        <f t="shared" si="2"/>
        <v>704</v>
      </c>
      <c r="B707" s="218" t="s">
        <v>201</v>
      </c>
      <c r="C707" s="219" t="str">
        <f t="shared" si="1"/>
        <v>HD/1771/2025</v>
      </c>
      <c r="D707" s="218" t="b">
        <v>1</v>
      </c>
      <c r="E707" s="219" t="b">
        <v>0</v>
      </c>
      <c r="F707" s="219"/>
      <c r="G707" s="173"/>
      <c r="H707" s="157" t="s">
        <v>6473</v>
      </c>
      <c r="I707" s="157">
        <f t="shared" si="3"/>
        <v>1771</v>
      </c>
      <c r="J707" s="157">
        <v>2025.0</v>
      </c>
    </row>
    <row r="708">
      <c r="A708" s="218">
        <f t="shared" si="2"/>
        <v>705</v>
      </c>
      <c r="B708" s="218" t="s">
        <v>201</v>
      </c>
      <c r="C708" s="219" t="str">
        <f t="shared" si="1"/>
        <v>HD/1772/2025</v>
      </c>
      <c r="D708" s="218" t="b">
        <v>1</v>
      </c>
      <c r="E708" s="219" t="b">
        <v>0</v>
      </c>
      <c r="F708" s="219"/>
      <c r="G708" s="173"/>
      <c r="H708" s="157" t="s">
        <v>6473</v>
      </c>
      <c r="I708" s="157">
        <f t="shared" si="3"/>
        <v>1772</v>
      </c>
      <c r="J708" s="157">
        <v>2025.0</v>
      </c>
    </row>
    <row r="709">
      <c r="A709" s="218">
        <f t="shared" si="2"/>
        <v>706</v>
      </c>
      <c r="B709" s="218" t="s">
        <v>201</v>
      </c>
      <c r="C709" s="219" t="str">
        <f t="shared" si="1"/>
        <v>HD/1773/2025</v>
      </c>
      <c r="D709" s="218" t="b">
        <v>1</v>
      </c>
      <c r="E709" s="219" t="b">
        <v>0</v>
      </c>
      <c r="F709" s="219"/>
      <c r="G709" s="173"/>
      <c r="H709" s="157" t="s">
        <v>6473</v>
      </c>
      <c r="I709" s="157">
        <f t="shared" si="3"/>
        <v>1773</v>
      </c>
      <c r="J709" s="157">
        <v>2025.0</v>
      </c>
    </row>
    <row r="710">
      <c r="A710" s="218">
        <f t="shared" si="2"/>
        <v>707</v>
      </c>
      <c r="B710" s="218" t="s">
        <v>201</v>
      </c>
      <c r="C710" s="219" t="str">
        <f t="shared" si="1"/>
        <v>HD/1774/2025</v>
      </c>
      <c r="D710" s="218" t="b">
        <v>1</v>
      </c>
      <c r="E710" s="219" t="b">
        <v>0</v>
      </c>
      <c r="F710" s="219"/>
      <c r="G710" s="173"/>
      <c r="H710" s="157" t="s">
        <v>6473</v>
      </c>
      <c r="I710" s="157">
        <f t="shared" si="3"/>
        <v>1774</v>
      </c>
      <c r="J710" s="157">
        <v>2025.0</v>
      </c>
    </row>
    <row r="711">
      <c r="A711" s="218">
        <f t="shared" si="2"/>
        <v>708</v>
      </c>
      <c r="B711" s="218" t="s">
        <v>201</v>
      </c>
      <c r="C711" s="219" t="str">
        <f t="shared" si="1"/>
        <v>HD/1775/2025</v>
      </c>
      <c r="D711" s="218" t="b">
        <v>1</v>
      </c>
      <c r="E711" s="219" t="b">
        <v>0</v>
      </c>
      <c r="F711" s="219"/>
      <c r="G711" s="173"/>
      <c r="H711" s="157" t="s">
        <v>6473</v>
      </c>
      <c r="I711" s="157">
        <f t="shared" si="3"/>
        <v>1775</v>
      </c>
      <c r="J711" s="157">
        <v>2025.0</v>
      </c>
    </row>
    <row r="712">
      <c r="A712" s="218">
        <f t="shared" si="2"/>
        <v>709</v>
      </c>
      <c r="B712" s="218" t="s">
        <v>201</v>
      </c>
      <c r="C712" s="219" t="str">
        <f t="shared" si="1"/>
        <v>HD/1776/2025</v>
      </c>
      <c r="D712" s="218" t="b">
        <v>1</v>
      </c>
      <c r="E712" s="219" t="b">
        <v>0</v>
      </c>
      <c r="F712" s="219"/>
      <c r="G712" s="173"/>
      <c r="H712" s="157" t="s">
        <v>6473</v>
      </c>
      <c r="I712" s="157">
        <f t="shared" si="3"/>
        <v>1776</v>
      </c>
      <c r="J712" s="157">
        <v>2025.0</v>
      </c>
    </row>
    <row r="713">
      <c r="A713" s="218">
        <f t="shared" si="2"/>
        <v>710</v>
      </c>
      <c r="B713" s="218" t="s">
        <v>201</v>
      </c>
      <c r="C713" s="219" t="str">
        <f t="shared" si="1"/>
        <v>HD/1777/2025</v>
      </c>
      <c r="D713" s="218" t="b">
        <v>1</v>
      </c>
      <c r="E713" s="219" t="b">
        <v>0</v>
      </c>
      <c r="F713" s="219"/>
      <c r="G713" s="173"/>
      <c r="H713" s="157" t="s">
        <v>6473</v>
      </c>
      <c r="I713" s="157">
        <f t="shared" si="3"/>
        <v>1777</v>
      </c>
      <c r="J713" s="157">
        <v>2025.0</v>
      </c>
    </row>
    <row r="714">
      <c r="A714" s="218">
        <f t="shared" si="2"/>
        <v>711</v>
      </c>
      <c r="B714" s="218" t="s">
        <v>201</v>
      </c>
      <c r="C714" s="219" t="str">
        <f t="shared" si="1"/>
        <v>HD/1778/2025</v>
      </c>
      <c r="D714" s="218" t="b">
        <v>1</v>
      </c>
      <c r="E714" s="219" t="b">
        <v>0</v>
      </c>
      <c r="F714" s="219"/>
      <c r="G714" s="173"/>
      <c r="H714" s="157" t="s">
        <v>6473</v>
      </c>
      <c r="I714" s="157">
        <f t="shared" si="3"/>
        <v>1778</v>
      </c>
      <c r="J714" s="157">
        <v>2025.0</v>
      </c>
    </row>
    <row r="715">
      <c r="A715" s="218">
        <f t="shared" si="2"/>
        <v>712</v>
      </c>
      <c r="B715" s="218" t="s">
        <v>201</v>
      </c>
      <c r="C715" s="219" t="str">
        <f t="shared" si="1"/>
        <v>HD/1779/2025</v>
      </c>
      <c r="D715" s="218" t="b">
        <v>1</v>
      </c>
      <c r="E715" s="219" t="b">
        <v>0</v>
      </c>
      <c r="F715" s="219"/>
      <c r="G715" s="173"/>
      <c r="H715" s="157" t="s">
        <v>6473</v>
      </c>
      <c r="I715" s="157">
        <f t="shared" si="3"/>
        <v>1779</v>
      </c>
      <c r="J715" s="157">
        <v>2025.0</v>
      </c>
    </row>
    <row r="716">
      <c r="A716" s="218">
        <f t="shared" si="2"/>
        <v>713</v>
      </c>
      <c r="B716" s="218" t="s">
        <v>201</v>
      </c>
      <c r="C716" s="219" t="str">
        <f t="shared" si="1"/>
        <v>HD/1780/2025</v>
      </c>
      <c r="D716" s="218" t="b">
        <v>1</v>
      </c>
      <c r="E716" s="219" t="b">
        <v>0</v>
      </c>
      <c r="F716" s="219"/>
      <c r="G716" s="173"/>
      <c r="H716" s="157" t="s">
        <v>6473</v>
      </c>
      <c r="I716" s="157">
        <f t="shared" si="3"/>
        <v>1780</v>
      </c>
      <c r="J716" s="157">
        <v>2025.0</v>
      </c>
    </row>
    <row r="717">
      <c r="A717" s="218">
        <f t="shared" si="2"/>
        <v>714</v>
      </c>
      <c r="B717" s="218" t="s">
        <v>201</v>
      </c>
      <c r="C717" s="219" t="str">
        <f t="shared" si="1"/>
        <v>HD/1781/2025</v>
      </c>
      <c r="D717" s="218" t="b">
        <v>1</v>
      </c>
      <c r="E717" s="219" t="b">
        <v>0</v>
      </c>
      <c r="F717" s="219"/>
      <c r="G717" s="173"/>
      <c r="H717" s="157" t="s">
        <v>6473</v>
      </c>
      <c r="I717" s="157">
        <f t="shared" si="3"/>
        <v>1781</v>
      </c>
      <c r="J717" s="157">
        <v>2025.0</v>
      </c>
    </row>
    <row r="718">
      <c r="A718" s="218">
        <f t="shared" si="2"/>
        <v>715</v>
      </c>
      <c r="B718" s="218" t="s">
        <v>201</v>
      </c>
      <c r="C718" s="219" t="str">
        <f t="shared" si="1"/>
        <v>HD/1782/2025</v>
      </c>
      <c r="D718" s="218" t="b">
        <v>1</v>
      </c>
      <c r="E718" s="219" t="b">
        <v>0</v>
      </c>
      <c r="F718" s="219"/>
      <c r="G718" s="173"/>
      <c r="H718" s="157" t="s">
        <v>6473</v>
      </c>
      <c r="I718" s="157">
        <f t="shared" si="3"/>
        <v>1782</v>
      </c>
      <c r="J718" s="157">
        <v>2025.0</v>
      </c>
    </row>
    <row r="719">
      <c r="A719" s="218">
        <f t="shared" si="2"/>
        <v>716</v>
      </c>
      <c r="B719" s="218" t="s">
        <v>201</v>
      </c>
      <c r="C719" s="219" t="str">
        <f t="shared" si="1"/>
        <v>HD/1783/2025</v>
      </c>
      <c r="D719" s="218" t="b">
        <v>1</v>
      </c>
      <c r="E719" s="219" t="b">
        <v>0</v>
      </c>
      <c r="F719" s="219"/>
      <c r="G719" s="173"/>
      <c r="H719" s="157" t="s">
        <v>6473</v>
      </c>
      <c r="I719" s="157">
        <f t="shared" si="3"/>
        <v>1783</v>
      </c>
      <c r="J719" s="157">
        <v>2025.0</v>
      </c>
    </row>
    <row r="720">
      <c r="A720" s="218">
        <f t="shared" si="2"/>
        <v>717</v>
      </c>
      <c r="B720" s="218" t="s">
        <v>201</v>
      </c>
      <c r="C720" s="219" t="str">
        <f t="shared" si="1"/>
        <v>HD/1784/2025</v>
      </c>
      <c r="D720" s="218" t="b">
        <v>1</v>
      </c>
      <c r="E720" s="219" t="b">
        <v>0</v>
      </c>
      <c r="F720" s="219"/>
      <c r="G720" s="173"/>
      <c r="H720" s="157" t="s">
        <v>6473</v>
      </c>
      <c r="I720" s="157">
        <f t="shared" si="3"/>
        <v>1784</v>
      </c>
      <c r="J720" s="157">
        <v>2025.0</v>
      </c>
    </row>
    <row r="721">
      <c r="A721" s="218">
        <f t="shared" si="2"/>
        <v>718</v>
      </c>
      <c r="B721" s="218" t="s">
        <v>201</v>
      </c>
      <c r="C721" s="219" t="str">
        <f t="shared" si="1"/>
        <v>HD/1785/2025</v>
      </c>
      <c r="D721" s="218" t="b">
        <v>1</v>
      </c>
      <c r="E721" s="219" t="b">
        <v>0</v>
      </c>
      <c r="F721" s="219"/>
      <c r="G721" s="173"/>
      <c r="H721" s="157" t="s">
        <v>6473</v>
      </c>
      <c r="I721" s="157">
        <f t="shared" si="3"/>
        <v>1785</v>
      </c>
      <c r="J721" s="157">
        <v>2025.0</v>
      </c>
    </row>
    <row r="722">
      <c r="A722" s="218">
        <f t="shared" si="2"/>
        <v>719</v>
      </c>
      <c r="B722" s="218" t="s">
        <v>201</v>
      </c>
      <c r="C722" s="219" t="str">
        <f t="shared" si="1"/>
        <v>HD/1786/2025</v>
      </c>
      <c r="D722" s="218" t="b">
        <v>1</v>
      </c>
      <c r="E722" s="219" t="b">
        <v>0</v>
      </c>
      <c r="F722" s="219"/>
      <c r="G722" s="173"/>
      <c r="H722" s="157" t="s">
        <v>6473</v>
      </c>
      <c r="I722" s="157">
        <f t="shared" si="3"/>
        <v>1786</v>
      </c>
      <c r="J722" s="157">
        <v>2025.0</v>
      </c>
    </row>
    <row r="723">
      <c r="A723" s="218">
        <f t="shared" si="2"/>
        <v>720</v>
      </c>
      <c r="B723" s="218" t="s">
        <v>201</v>
      </c>
      <c r="C723" s="219" t="str">
        <f t="shared" si="1"/>
        <v>HD/1787/2025</v>
      </c>
      <c r="D723" s="218" t="b">
        <v>1</v>
      </c>
      <c r="E723" s="219" t="b">
        <v>0</v>
      </c>
      <c r="F723" s="219"/>
      <c r="G723" s="173"/>
      <c r="H723" s="157" t="s">
        <v>6473</v>
      </c>
      <c r="I723" s="157">
        <f t="shared" si="3"/>
        <v>1787</v>
      </c>
      <c r="J723" s="157">
        <v>2025.0</v>
      </c>
    </row>
    <row r="724">
      <c r="A724" s="218">
        <f t="shared" si="2"/>
        <v>721</v>
      </c>
      <c r="B724" s="218" t="s">
        <v>201</v>
      </c>
      <c r="C724" s="219" t="str">
        <f t="shared" si="1"/>
        <v>HD/1788/2025</v>
      </c>
      <c r="D724" s="218" t="b">
        <v>1</v>
      </c>
      <c r="E724" s="219" t="b">
        <v>0</v>
      </c>
      <c r="F724" s="219"/>
      <c r="G724" s="173"/>
      <c r="H724" s="157" t="s">
        <v>6473</v>
      </c>
      <c r="I724" s="157">
        <f t="shared" si="3"/>
        <v>1788</v>
      </c>
      <c r="J724" s="157">
        <v>2025.0</v>
      </c>
    </row>
    <row r="725">
      <c r="A725" s="218">
        <f t="shared" si="2"/>
        <v>722</v>
      </c>
      <c r="B725" s="218" t="s">
        <v>201</v>
      </c>
      <c r="C725" s="219" t="str">
        <f t="shared" si="1"/>
        <v>HD/1789/2025</v>
      </c>
      <c r="D725" s="218" t="b">
        <v>1</v>
      </c>
      <c r="E725" s="219" t="b">
        <v>0</v>
      </c>
      <c r="F725" s="219"/>
      <c r="G725" s="173"/>
      <c r="H725" s="157" t="s">
        <v>6473</v>
      </c>
      <c r="I725" s="157">
        <f t="shared" si="3"/>
        <v>1789</v>
      </c>
      <c r="J725" s="157">
        <v>2025.0</v>
      </c>
    </row>
    <row r="726">
      <c r="A726" s="218">
        <f t="shared" si="2"/>
        <v>723</v>
      </c>
      <c r="B726" s="218" t="s">
        <v>201</v>
      </c>
      <c r="C726" s="219" t="str">
        <f t="shared" si="1"/>
        <v>HD/1790/2025</v>
      </c>
      <c r="D726" s="218" t="b">
        <v>1</v>
      </c>
      <c r="E726" s="219" t="b">
        <v>0</v>
      </c>
      <c r="F726" s="219"/>
      <c r="G726" s="173"/>
      <c r="H726" s="157" t="s">
        <v>6473</v>
      </c>
      <c r="I726" s="157">
        <f t="shared" si="3"/>
        <v>1790</v>
      </c>
      <c r="J726" s="157">
        <v>2025.0</v>
      </c>
    </row>
    <row r="727">
      <c r="A727" s="218">
        <f t="shared" si="2"/>
        <v>724</v>
      </c>
      <c r="B727" s="218" t="s">
        <v>201</v>
      </c>
      <c r="C727" s="219" t="str">
        <f t="shared" si="1"/>
        <v>HD/1791/2025</v>
      </c>
      <c r="D727" s="218" t="b">
        <v>1</v>
      </c>
      <c r="E727" s="219" t="b">
        <v>0</v>
      </c>
      <c r="F727" s="219"/>
      <c r="G727" s="173"/>
      <c r="H727" s="157" t="s">
        <v>6473</v>
      </c>
      <c r="I727" s="157">
        <f t="shared" si="3"/>
        <v>1791</v>
      </c>
      <c r="J727" s="157">
        <v>2025.0</v>
      </c>
    </row>
    <row r="728">
      <c r="A728" s="218">
        <f t="shared" si="2"/>
        <v>725</v>
      </c>
      <c r="B728" s="218" t="s">
        <v>201</v>
      </c>
      <c r="C728" s="219" t="str">
        <f t="shared" si="1"/>
        <v>HD/1792/2025</v>
      </c>
      <c r="D728" s="218" t="b">
        <v>1</v>
      </c>
      <c r="E728" s="219" t="b">
        <v>0</v>
      </c>
      <c r="F728" s="219"/>
      <c r="G728" s="173"/>
      <c r="H728" s="157" t="s">
        <v>6473</v>
      </c>
      <c r="I728" s="157">
        <f t="shared" si="3"/>
        <v>1792</v>
      </c>
      <c r="J728" s="157">
        <v>2025.0</v>
      </c>
    </row>
    <row r="729">
      <c r="A729" s="218">
        <f t="shared" si="2"/>
        <v>726</v>
      </c>
      <c r="B729" s="218" t="s">
        <v>201</v>
      </c>
      <c r="C729" s="219" t="str">
        <f t="shared" si="1"/>
        <v>HD/1793/2025</v>
      </c>
      <c r="D729" s="218" t="b">
        <v>1</v>
      </c>
      <c r="E729" s="219" t="b">
        <v>0</v>
      </c>
      <c r="F729" s="219"/>
      <c r="G729" s="173"/>
      <c r="H729" s="157" t="s">
        <v>6473</v>
      </c>
      <c r="I729" s="157">
        <f t="shared" si="3"/>
        <v>1793</v>
      </c>
      <c r="J729" s="157">
        <v>2025.0</v>
      </c>
    </row>
    <row r="730">
      <c r="A730" s="218">
        <f t="shared" si="2"/>
        <v>727</v>
      </c>
      <c r="B730" s="218" t="s">
        <v>201</v>
      </c>
      <c r="C730" s="219" t="str">
        <f t="shared" si="1"/>
        <v>HD/1794/2025</v>
      </c>
      <c r="D730" s="218" t="b">
        <v>1</v>
      </c>
      <c r="E730" s="219" t="b">
        <v>0</v>
      </c>
      <c r="F730" s="219"/>
      <c r="G730" s="173"/>
      <c r="H730" s="157" t="s">
        <v>6473</v>
      </c>
      <c r="I730" s="157">
        <f t="shared" si="3"/>
        <v>1794</v>
      </c>
      <c r="J730" s="157">
        <v>2025.0</v>
      </c>
    </row>
    <row r="731">
      <c r="A731" s="218">
        <f t="shared" si="2"/>
        <v>728</v>
      </c>
      <c r="B731" s="218" t="s">
        <v>201</v>
      </c>
      <c r="C731" s="219" t="str">
        <f t="shared" si="1"/>
        <v>HD/1795/2025</v>
      </c>
      <c r="D731" s="218" t="b">
        <v>1</v>
      </c>
      <c r="E731" s="219" t="b">
        <v>0</v>
      </c>
      <c r="F731" s="219"/>
      <c r="G731" s="173"/>
      <c r="H731" s="157" t="s">
        <v>6473</v>
      </c>
      <c r="I731" s="157">
        <f t="shared" si="3"/>
        <v>1795</v>
      </c>
      <c r="J731" s="157">
        <v>2025.0</v>
      </c>
    </row>
    <row r="732">
      <c r="A732" s="218">
        <f t="shared" si="2"/>
        <v>729</v>
      </c>
      <c r="B732" s="218" t="s">
        <v>201</v>
      </c>
      <c r="C732" s="219" t="str">
        <f t="shared" si="1"/>
        <v>HD/1796/2025</v>
      </c>
      <c r="D732" s="218" t="b">
        <v>1</v>
      </c>
      <c r="E732" s="219" t="b">
        <v>0</v>
      </c>
      <c r="F732" s="219"/>
      <c r="G732" s="173"/>
      <c r="H732" s="157" t="s">
        <v>6473</v>
      </c>
      <c r="I732" s="157">
        <f t="shared" si="3"/>
        <v>1796</v>
      </c>
      <c r="J732" s="157">
        <v>2025.0</v>
      </c>
    </row>
    <row r="733">
      <c r="A733" s="218">
        <f t="shared" si="2"/>
        <v>730</v>
      </c>
      <c r="B733" s="218" t="s">
        <v>201</v>
      </c>
      <c r="C733" s="219" t="str">
        <f t="shared" si="1"/>
        <v>HD/1797/2025</v>
      </c>
      <c r="D733" s="218" t="b">
        <v>1</v>
      </c>
      <c r="E733" s="219" t="b">
        <v>0</v>
      </c>
      <c r="F733" s="219"/>
      <c r="G733" s="173"/>
      <c r="H733" s="157" t="s">
        <v>6473</v>
      </c>
      <c r="I733" s="157">
        <f t="shared" si="3"/>
        <v>1797</v>
      </c>
      <c r="J733" s="157">
        <v>2025.0</v>
      </c>
    </row>
    <row r="734">
      <c r="A734" s="218">
        <f t="shared" si="2"/>
        <v>731</v>
      </c>
      <c r="B734" s="218" t="s">
        <v>201</v>
      </c>
      <c r="C734" s="219" t="str">
        <f t="shared" si="1"/>
        <v>HD/1798/2025</v>
      </c>
      <c r="D734" s="218" t="b">
        <v>1</v>
      </c>
      <c r="E734" s="219" t="b">
        <v>0</v>
      </c>
      <c r="F734" s="219"/>
      <c r="G734" s="173"/>
      <c r="H734" s="157" t="s">
        <v>6473</v>
      </c>
      <c r="I734" s="157">
        <f t="shared" si="3"/>
        <v>1798</v>
      </c>
      <c r="J734" s="157">
        <v>2025.0</v>
      </c>
    </row>
    <row r="735">
      <c r="A735" s="218">
        <f t="shared" si="2"/>
        <v>732</v>
      </c>
      <c r="B735" s="218" t="s">
        <v>201</v>
      </c>
      <c r="C735" s="219" t="str">
        <f t="shared" si="1"/>
        <v>HD/1799/2025</v>
      </c>
      <c r="D735" s="218" t="b">
        <v>1</v>
      </c>
      <c r="E735" s="219" t="b">
        <v>0</v>
      </c>
      <c r="F735" s="219"/>
      <c r="G735" s="173"/>
      <c r="H735" s="157" t="s">
        <v>6473</v>
      </c>
      <c r="I735" s="157">
        <f t="shared" si="3"/>
        <v>1799</v>
      </c>
      <c r="J735" s="157">
        <v>2025.0</v>
      </c>
    </row>
    <row r="736">
      <c r="A736" s="218">
        <f t="shared" si="2"/>
        <v>733</v>
      </c>
      <c r="B736" s="218" t="s">
        <v>201</v>
      </c>
      <c r="C736" s="219" t="str">
        <f t="shared" si="1"/>
        <v>HD/1800/2025</v>
      </c>
      <c r="D736" s="218" t="b">
        <v>1</v>
      </c>
      <c r="E736" s="219" t="b">
        <v>0</v>
      </c>
      <c r="F736" s="219"/>
      <c r="G736" s="173"/>
      <c r="H736" s="157" t="s">
        <v>6473</v>
      </c>
      <c r="I736" s="157">
        <f t="shared" si="3"/>
        <v>1800</v>
      </c>
      <c r="J736" s="157">
        <v>2025.0</v>
      </c>
    </row>
    <row r="737">
      <c r="A737" s="218">
        <f t="shared" si="2"/>
        <v>734</v>
      </c>
      <c r="B737" s="218" t="s">
        <v>201</v>
      </c>
      <c r="C737" s="219" t="str">
        <f t="shared" si="1"/>
        <v>HD/1801/2025</v>
      </c>
      <c r="D737" s="218" t="b">
        <v>1</v>
      </c>
      <c r="E737" s="219" t="b">
        <v>0</v>
      </c>
      <c r="F737" s="219"/>
      <c r="G737" s="173"/>
      <c r="H737" s="157" t="s">
        <v>6473</v>
      </c>
      <c r="I737" s="157">
        <f t="shared" si="3"/>
        <v>1801</v>
      </c>
      <c r="J737" s="157">
        <v>2025.0</v>
      </c>
    </row>
    <row r="738">
      <c r="A738" s="218">
        <f t="shared" si="2"/>
        <v>735</v>
      </c>
      <c r="B738" s="218" t="s">
        <v>201</v>
      </c>
      <c r="C738" s="219" t="str">
        <f t="shared" si="1"/>
        <v>HD/1802/2025</v>
      </c>
      <c r="D738" s="218" t="b">
        <v>1</v>
      </c>
      <c r="E738" s="219" t="b">
        <v>0</v>
      </c>
      <c r="F738" s="219"/>
      <c r="G738" s="173"/>
      <c r="H738" s="157" t="s">
        <v>6473</v>
      </c>
      <c r="I738" s="157">
        <f t="shared" si="3"/>
        <v>1802</v>
      </c>
      <c r="J738" s="157">
        <v>2025.0</v>
      </c>
    </row>
    <row r="739">
      <c r="A739" s="218">
        <f t="shared" si="2"/>
        <v>736</v>
      </c>
      <c r="B739" s="218" t="s">
        <v>201</v>
      </c>
      <c r="C739" s="219" t="str">
        <f t="shared" si="1"/>
        <v>HD/1803/2025</v>
      </c>
      <c r="D739" s="218" t="b">
        <v>1</v>
      </c>
      <c r="E739" s="219" t="b">
        <v>0</v>
      </c>
      <c r="F739" s="219"/>
      <c r="G739" s="173"/>
      <c r="H739" s="157" t="s">
        <v>6473</v>
      </c>
      <c r="I739" s="157">
        <f t="shared" si="3"/>
        <v>1803</v>
      </c>
      <c r="J739" s="157">
        <v>2025.0</v>
      </c>
    </row>
    <row r="740">
      <c r="A740" s="218">
        <f t="shared" si="2"/>
        <v>737</v>
      </c>
      <c r="B740" s="218" t="s">
        <v>201</v>
      </c>
      <c r="C740" s="219" t="str">
        <f t="shared" si="1"/>
        <v>HD/1804/2025</v>
      </c>
      <c r="D740" s="218" t="b">
        <v>1</v>
      </c>
      <c r="E740" s="219" t="b">
        <v>0</v>
      </c>
      <c r="F740" s="219"/>
      <c r="G740" s="173"/>
      <c r="H740" s="157" t="s">
        <v>6473</v>
      </c>
      <c r="I740" s="157">
        <f t="shared" si="3"/>
        <v>1804</v>
      </c>
      <c r="J740" s="157">
        <v>2025.0</v>
      </c>
    </row>
    <row r="741">
      <c r="A741" s="218">
        <f t="shared" si="2"/>
        <v>738</v>
      </c>
      <c r="B741" s="218" t="s">
        <v>201</v>
      </c>
      <c r="C741" s="219" t="str">
        <f t="shared" si="1"/>
        <v>HD/1805/2025</v>
      </c>
      <c r="D741" s="218" t="b">
        <v>1</v>
      </c>
      <c r="E741" s="219" t="b">
        <v>0</v>
      </c>
      <c r="F741" s="219"/>
      <c r="G741" s="173"/>
      <c r="H741" s="157" t="s">
        <v>6473</v>
      </c>
      <c r="I741" s="157">
        <f t="shared" si="3"/>
        <v>1805</v>
      </c>
      <c r="J741" s="157">
        <v>2025.0</v>
      </c>
    </row>
    <row r="742">
      <c r="A742" s="218">
        <f t="shared" si="2"/>
        <v>739</v>
      </c>
      <c r="B742" s="218" t="s">
        <v>201</v>
      </c>
      <c r="C742" s="219" t="str">
        <f t="shared" si="1"/>
        <v>HD/1806/2025</v>
      </c>
      <c r="D742" s="218" t="b">
        <v>1</v>
      </c>
      <c r="E742" s="219" t="b">
        <v>0</v>
      </c>
      <c r="F742" s="219"/>
      <c r="G742" s="173"/>
      <c r="H742" s="157" t="s">
        <v>6473</v>
      </c>
      <c r="I742" s="157">
        <f t="shared" si="3"/>
        <v>1806</v>
      </c>
      <c r="J742" s="157">
        <v>2025.0</v>
      </c>
    </row>
    <row r="743">
      <c r="A743" s="218">
        <f t="shared" si="2"/>
        <v>740</v>
      </c>
      <c r="B743" s="218" t="s">
        <v>201</v>
      </c>
      <c r="C743" s="219" t="str">
        <f t="shared" si="1"/>
        <v>HD/1807/2025</v>
      </c>
      <c r="D743" s="218" t="b">
        <v>1</v>
      </c>
      <c r="E743" s="219" t="b">
        <v>0</v>
      </c>
      <c r="F743" s="219"/>
      <c r="G743" s="173"/>
      <c r="H743" s="157" t="s">
        <v>6473</v>
      </c>
      <c r="I743" s="157">
        <f t="shared" si="3"/>
        <v>1807</v>
      </c>
      <c r="J743" s="157">
        <v>2025.0</v>
      </c>
    </row>
    <row r="744">
      <c r="A744" s="218">
        <f t="shared" si="2"/>
        <v>741</v>
      </c>
      <c r="B744" s="218" t="s">
        <v>201</v>
      </c>
      <c r="C744" s="219" t="str">
        <f t="shared" si="1"/>
        <v>HD/1808/2025</v>
      </c>
      <c r="D744" s="218" t="b">
        <v>1</v>
      </c>
      <c r="E744" s="219" t="b">
        <v>0</v>
      </c>
      <c r="F744" s="219"/>
      <c r="G744" s="173"/>
      <c r="H744" s="157" t="s">
        <v>6473</v>
      </c>
      <c r="I744" s="157">
        <f t="shared" si="3"/>
        <v>1808</v>
      </c>
      <c r="J744" s="157">
        <v>2025.0</v>
      </c>
    </row>
    <row r="745">
      <c r="A745" s="218">
        <f t="shared" si="2"/>
        <v>742</v>
      </c>
      <c r="B745" s="218" t="s">
        <v>201</v>
      </c>
      <c r="C745" s="219" t="str">
        <f t="shared" si="1"/>
        <v>HD/1809/2025</v>
      </c>
      <c r="D745" s="218" t="b">
        <v>1</v>
      </c>
      <c r="E745" s="219" t="b">
        <v>0</v>
      </c>
      <c r="F745" s="219"/>
      <c r="G745" s="173"/>
      <c r="H745" s="157" t="s">
        <v>6473</v>
      </c>
      <c r="I745" s="157">
        <f t="shared" si="3"/>
        <v>1809</v>
      </c>
      <c r="J745" s="157">
        <v>2025.0</v>
      </c>
    </row>
    <row r="746">
      <c r="A746" s="218">
        <f t="shared" si="2"/>
        <v>743</v>
      </c>
      <c r="B746" s="218" t="s">
        <v>201</v>
      </c>
      <c r="C746" s="219" t="str">
        <f t="shared" si="1"/>
        <v>HD/1810/2025</v>
      </c>
      <c r="D746" s="218" t="b">
        <v>1</v>
      </c>
      <c r="E746" s="219" t="b">
        <v>0</v>
      </c>
      <c r="F746" s="219"/>
      <c r="G746" s="173"/>
      <c r="H746" s="157" t="s">
        <v>6473</v>
      </c>
      <c r="I746" s="157">
        <f t="shared" si="3"/>
        <v>1810</v>
      </c>
      <c r="J746" s="157">
        <v>2025.0</v>
      </c>
    </row>
    <row r="747">
      <c r="A747" s="218">
        <f t="shared" si="2"/>
        <v>744</v>
      </c>
      <c r="B747" s="218" t="s">
        <v>201</v>
      </c>
      <c r="C747" s="219" t="str">
        <f t="shared" si="1"/>
        <v>HD/1811/2025</v>
      </c>
      <c r="D747" s="218" t="b">
        <v>1</v>
      </c>
      <c r="E747" s="219" t="b">
        <v>0</v>
      </c>
      <c r="F747" s="219"/>
      <c r="G747" s="173"/>
      <c r="H747" s="157" t="s">
        <v>6473</v>
      </c>
      <c r="I747" s="157">
        <f t="shared" si="3"/>
        <v>1811</v>
      </c>
      <c r="J747" s="157">
        <v>2025.0</v>
      </c>
    </row>
    <row r="748">
      <c r="A748" s="218">
        <f t="shared" si="2"/>
        <v>745</v>
      </c>
      <c r="B748" s="218" t="s">
        <v>201</v>
      </c>
      <c r="C748" s="219" t="str">
        <f t="shared" si="1"/>
        <v>HD/1812/2025</v>
      </c>
      <c r="D748" s="218" t="b">
        <v>1</v>
      </c>
      <c r="E748" s="219" t="b">
        <v>0</v>
      </c>
      <c r="F748" s="219"/>
      <c r="G748" s="173"/>
      <c r="H748" s="157" t="s">
        <v>6473</v>
      </c>
      <c r="I748" s="157">
        <f t="shared" si="3"/>
        <v>1812</v>
      </c>
      <c r="J748" s="157">
        <v>2025.0</v>
      </c>
    </row>
    <row r="749">
      <c r="A749" s="218">
        <f t="shared" si="2"/>
        <v>746</v>
      </c>
      <c r="B749" s="218" t="s">
        <v>201</v>
      </c>
      <c r="C749" s="219" t="str">
        <f t="shared" si="1"/>
        <v>HD/1813/2025</v>
      </c>
      <c r="D749" s="218" t="b">
        <v>1</v>
      </c>
      <c r="E749" s="219" t="b">
        <v>0</v>
      </c>
      <c r="F749" s="219"/>
      <c r="G749" s="173"/>
      <c r="H749" s="157" t="s">
        <v>6473</v>
      </c>
      <c r="I749" s="157">
        <f t="shared" si="3"/>
        <v>1813</v>
      </c>
      <c r="J749" s="157">
        <v>2025.0</v>
      </c>
    </row>
    <row r="750">
      <c r="A750" s="218">
        <f t="shared" si="2"/>
        <v>747</v>
      </c>
      <c r="B750" s="218" t="s">
        <v>201</v>
      </c>
      <c r="C750" s="219" t="str">
        <f t="shared" si="1"/>
        <v>HD/1814/2025</v>
      </c>
      <c r="D750" s="218" t="b">
        <v>1</v>
      </c>
      <c r="E750" s="219" t="b">
        <v>0</v>
      </c>
      <c r="F750" s="219"/>
      <c r="G750" s="173"/>
      <c r="H750" s="157" t="s">
        <v>6473</v>
      </c>
      <c r="I750" s="157">
        <f t="shared" si="3"/>
        <v>1814</v>
      </c>
      <c r="J750" s="157">
        <v>2025.0</v>
      </c>
    </row>
    <row r="751">
      <c r="A751" s="218">
        <f t="shared" si="2"/>
        <v>748</v>
      </c>
      <c r="B751" s="218" t="s">
        <v>201</v>
      </c>
      <c r="C751" s="219" t="str">
        <f t="shared" si="1"/>
        <v>HD/1815/2025</v>
      </c>
      <c r="D751" s="218" t="b">
        <v>1</v>
      </c>
      <c r="E751" s="219" t="b">
        <v>0</v>
      </c>
      <c r="F751" s="219"/>
      <c r="G751" s="173"/>
      <c r="H751" s="157" t="s">
        <v>6473</v>
      </c>
      <c r="I751" s="157">
        <f t="shared" si="3"/>
        <v>1815</v>
      </c>
      <c r="J751" s="157">
        <v>2025.0</v>
      </c>
    </row>
    <row r="752">
      <c r="A752" s="218">
        <f t="shared" si="2"/>
        <v>749</v>
      </c>
      <c r="B752" s="218" t="s">
        <v>201</v>
      </c>
      <c r="C752" s="219" t="str">
        <f t="shared" si="1"/>
        <v>HD/1816/2025</v>
      </c>
      <c r="D752" s="218" t="b">
        <v>1</v>
      </c>
      <c r="E752" s="219" t="b">
        <v>0</v>
      </c>
      <c r="F752" s="219"/>
      <c r="G752" s="173"/>
      <c r="H752" s="157" t="s">
        <v>6473</v>
      </c>
      <c r="I752" s="157">
        <f t="shared" si="3"/>
        <v>1816</v>
      </c>
      <c r="J752" s="157">
        <v>2025.0</v>
      </c>
    </row>
    <row r="753">
      <c r="A753" s="218">
        <f t="shared" si="2"/>
        <v>750</v>
      </c>
      <c r="B753" s="218" t="s">
        <v>201</v>
      </c>
      <c r="C753" s="219" t="str">
        <f t="shared" si="1"/>
        <v>HD/1817/2025</v>
      </c>
      <c r="D753" s="218" t="b">
        <v>1</v>
      </c>
      <c r="E753" s="219" t="b">
        <v>0</v>
      </c>
      <c r="F753" s="219"/>
      <c r="G753" s="173"/>
      <c r="H753" s="157" t="s">
        <v>6473</v>
      </c>
      <c r="I753" s="157">
        <f t="shared" si="3"/>
        <v>1817</v>
      </c>
      <c r="J753" s="157">
        <v>2025.0</v>
      </c>
    </row>
    <row r="754">
      <c r="A754" s="218">
        <f t="shared" si="2"/>
        <v>751</v>
      </c>
      <c r="B754" s="218" t="s">
        <v>201</v>
      </c>
      <c r="C754" s="219" t="str">
        <f t="shared" si="1"/>
        <v>HD/1818/2025</v>
      </c>
      <c r="D754" s="218" t="b">
        <v>1</v>
      </c>
      <c r="E754" s="219" t="b">
        <v>0</v>
      </c>
      <c r="F754" s="219"/>
      <c r="G754" s="173"/>
      <c r="H754" s="157" t="s">
        <v>6473</v>
      </c>
      <c r="I754" s="157">
        <f t="shared" si="3"/>
        <v>1818</v>
      </c>
      <c r="J754" s="157">
        <v>2025.0</v>
      </c>
    </row>
    <row r="755">
      <c r="A755" s="218">
        <f t="shared" si="2"/>
        <v>752</v>
      </c>
      <c r="B755" s="218" t="s">
        <v>201</v>
      </c>
      <c r="C755" s="219" t="str">
        <f t="shared" si="1"/>
        <v>HD/1819/2025</v>
      </c>
      <c r="D755" s="218" t="b">
        <v>1</v>
      </c>
      <c r="E755" s="219" t="b">
        <v>0</v>
      </c>
      <c r="F755" s="219"/>
      <c r="G755" s="173"/>
      <c r="H755" s="157" t="s">
        <v>6473</v>
      </c>
      <c r="I755" s="157">
        <f t="shared" si="3"/>
        <v>1819</v>
      </c>
      <c r="J755" s="157">
        <v>2025.0</v>
      </c>
    </row>
    <row r="756">
      <c r="A756" s="218">
        <f t="shared" si="2"/>
        <v>753</v>
      </c>
      <c r="B756" s="218" t="s">
        <v>201</v>
      </c>
      <c r="C756" s="219" t="str">
        <f t="shared" si="1"/>
        <v>HD/1820/2025</v>
      </c>
      <c r="D756" s="218" t="b">
        <v>1</v>
      </c>
      <c r="E756" s="219" t="b">
        <v>0</v>
      </c>
      <c r="F756" s="219"/>
      <c r="G756" s="173"/>
      <c r="H756" s="157" t="s">
        <v>6473</v>
      </c>
      <c r="I756" s="157">
        <f t="shared" si="3"/>
        <v>1820</v>
      </c>
      <c r="J756" s="157">
        <v>2025.0</v>
      </c>
    </row>
    <row r="757">
      <c r="A757" s="218">
        <f t="shared" si="2"/>
        <v>754</v>
      </c>
      <c r="B757" s="218" t="s">
        <v>201</v>
      </c>
      <c r="C757" s="219" t="str">
        <f t="shared" si="1"/>
        <v>HD/1821/2025</v>
      </c>
      <c r="D757" s="218" t="b">
        <v>1</v>
      </c>
      <c r="E757" s="219" t="b">
        <v>0</v>
      </c>
      <c r="F757" s="219"/>
      <c r="G757" s="173"/>
      <c r="H757" s="157" t="s">
        <v>6473</v>
      </c>
      <c r="I757" s="157">
        <f t="shared" si="3"/>
        <v>1821</v>
      </c>
      <c r="J757" s="157">
        <v>2025.0</v>
      </c>
    </row>
    <row r="758">
      <c r="A758" s="218">
        <f t="shared" si="2"/>
        <v>755</v>
      </c>
      <c r="B758" s="218" t="s">
        <v>201</v>
      </c>
      <c r="C758" s="219" t="str">
        <f t="shared" si="1"/>
        <v>HD/1822/2025</v>
      </c>
      <c r="D758" s="218" t="b">
        <v>1</v>
      </c>
      <c r="E758" s="219" t="b">
        <v>0</v>
      </c>
      <c r="F758" s="219"/>
      <c r="G758" s="173"/>
      <c r="H758" s="157" t="s">
        <v>6473</v>
      </c>
      <c r="I758" s="157">
        <f t="shared" si="3"/>
        <v>1822</v>
      </c>
      <c r="J758" s="157">
        <v>2025.0</v>
      </c>
    </row>
    <row r="759">
      <c r="A759" s="218">
        <f t="shared" si="2"/>
        <v>756</v>
      </c>
      <c r="B759" s="218" t="s">
        <v>201</v>
      </c>
      <c r="C759" s="219" t="str">
        <f t="shared" si="1"/>
        <v>HD/1823/2025</v>
      </c>
      <c r="D759" s="218" t="b">
        <v>1</v>
      </c>
      <c r="E759" s="219" t="b">
        <v>0</v>
      </c>
      <c r="F759" s="219"/>
      <c r="G759" s="173"/>
      <c r="H759" s="157" t="s">
        <v>6473</v>
      </c>
      <c r="I759" s="157">
        <f t="shared" si="3"/>
        <v>1823</v>
      </c>
      <c r="J759" s="157">
        <v>2025.0</v>
      </c>
    </row>
    <row r="760">
      <c r="A760" s="218">
        <f t="shared" si="2"/>
        <v>757</v>
      </c>
      <c r="B760" s="218" t="s">
        <v>201</v>
      </c>
      <c r="C760" s="219" t="str">
        <f t="shared" si="1"/>
        <v>HD/1824/2025</v>
      </c>
      <c r="D760" s="218" t="b">
        <v>1</v>
      </c>
      <c r="E760" s="219" t="b">
        <v>0</v>
      </c>
      <c r="F760" s="219"/>
      <c r="G760" s="173"/>
      <c r="H760" s="157" t="s">
        <v>6473</v>
      </c>
      <c r="I760" s="157">
        <f t="shared" si="3"/>
        <v>1824</v>
      </c>
      <c r="J760" s="157">
        <v>2025.0</v>
      </c>
    </row>
    <row r="761">
      <c r="A761" s="218">
        <f t="shared" si="2"/>
        <v>758</v>
      </c>
      <c r="B761" s="218" t="s">
        <v>201</v>
      </c>
      <c r="C761" s="219" t="str">
        <f t="shared" si="1"/>
        <v>HD/1825/2025</v>
      </c>
      <c r="D761" s="218" t="b">
        <v>1</v>
      </c>
      <c r="E761" s="219" t="b">
        <v>0</v>
      </c>
      <c r="F761" s="219"/>
      <c r="G761" s="173"/>
      <c r="H761" s="157" t="s">
        <v>6473</v>
      </c>
      <c r="I761" s="157">
        <f t="shared" si="3"/>
        <v>1825</v>
      </c>
      <c r="J761" s="157">
        <v>2025.0</v>
      </c>
    </row>
    <row r="762">
      <c r="A762" s="218">
        <f t="shared" si="2"/>
        <v>759</v>
      </c>
      <c r="B762" s="218" t="s">
        <v>201</v>
      </c>
      <c r="C762" s="219" t="str">
        <f t="shared" si="1"/>
        <v>HD/1826/2025</v>
      </c>
      <c r="D762" s="218" t="b">
        <v>1</v>
      </c>
      <c r="E762" s="219" t="b">
        <v>0</v>
      </c>
      <c r="F762" s="219"/>
      <c r="G762" s="173"/>
      <c r="H762" s="157" t="s">
        <v>6473</v>
      </c>
      <c r="I762" s="157">
        <f t="shared" si="3"/>
        <v>1826</v>
      </c>
      <c r="J762" s="157">
        <v>2025.0</v>
      </c>
    </row>
    <row r="763">
      <c r="A763" s="218">
        <f t="shared" si="2"/>
        <v>760</v>
      </c>
      <c r="B763" s="218" t="s">
        <v>201</v>
      </c>
      <c r="C763" s="219" t="str">
        <f t="shared" si="1"/>
        <v>HD/1827/2025</v>
      </c>
      <c r="D763" s="218" t="b">
        <v>1</v>
      </c>
      <c r="E763" s="219" t="b">
        <v>0</v>
      </c>
      <c r="F763" s="219"/>
      <c r="G763" s="173"/>
      <c r="H763" s="157" t="s">
        <v>6473</v>
      </c>
      <c r="I763" s="157">
        <f t="shared" si="3"/>
        <v>1827</v>
      </c>
      <c r="J763" s="157">
        <v>2025.0</v>
      </c>
    </row>
    <row r="764">
      <c r="A764" s="218">
        <f t="shared" si="2"/>
        <v>761</v>
      </c>
      <c r="B764" s="218" t="s">
        <v>201</v>
      </c>
      <c r="C764" s="219" t="str">
        <f t="shared" si="1"/>
        <v>HD/1828/2025</v>
      </c>
      <c r="D764" s="218" t="b">
        <v>1</v>
      </c>
      <c r="E764" s="219" t="b">
        <v>0</v>
      </c>
      <c r="F764" s="219"/>
      <c r="G764" s="173"/>
      <c r="H764" s="157" t="s">
        <v>6473</v>
      </c>
      <c r="I764" s="157">
        <f t="shared" si="3"/>
        <v>1828</v>
      </c>
      <c r="J764" s="157">
        <v>2025.0</v>
      </c>
    </row>
    <row r="765">
      <c r="A765" s="218">
        <f t="shared" si="2"/>
        <v>762</v>
      </c>
      <c r="B765" s="218" t="s">
        <v>201</v>
      </c>
      <c r="C765" s="219" t="str">
        <f t="shared" si="1"/>
        <v>HD/1829/2025</v>
      </c>
      <c r="D765" s="218" t="b">
        <v>1</v>
      </c>
      <c r="E765" s="219" t="b">
        <v>0</v>
      </c>
      <c r="F765" s="219"/>
      <c r="G765" s="173"/>
      <c r="H765" s="157" t="s">
        <v>6473</v>
      </c>
      <c r="I765" s="157">
        <f t="shared" si="3"/>
        <v>1829</v>
      </c>
      <c r="J765" s="157">
        <v>2025.0</v>
      </c>
    </row>
    <row r="766">
      <c r="A766" s="218">
        <f t="shared" si="2"/>
        <v>763</v>
      </c>
      <c r="B766" s="218" t="s">
        <v>201</v>
      </c>
      <c r="C766" s="219" t="str">
        <f t="shared" si="1"/>
        <v>HD/1830/2025</v>
      </c>
      <c r="D766" s="218" t="b">
        <v>1</v>
      </c>
      <c r="E766" s="219" t="b">
        <v>0</v>
      </c>
      <c r="F766" s="219"/>
      <c r="G766" s="173"/>
      <c r="H766" s="157" t="s">
        <v>6473</v>
      </c>
      <c r="I766" s="157">
        <f t="shared" si="3"/>
        <v>1830</v>
      </c>
      <c r="J766" s="157">
        <v>2025.0</v>
      </c>
    </row>
    <row r="767">
      <c r="A767" s="218">
        <f t="shared" si="2"/>
        <v>764</v>
      </c>
      <c r="B767" s="218" t="s">
        <v>201</v>
      </c>
      <c r="C767" s="219" t="str">
        <f t="shared" si="1"/>
        <v>HD/1831/2025</v>
      </c>
      <c r="D767" s="218" t="b">
        <v>1</v>
      </c>
      <c r="E767" s="219" t="b">
        <v>0</v>
      </c>
      <c r="F767" s="219"/>
      <c r="G767" s="173"/>
      <c r="H767" s="157" t="s">
        <v>6473</v>
      </c>
      <c r="I767" s="157">
        <f t="shared" si="3"/>
        <v>1831</v>
      </c>
      <c r="J767" s="157">
        <v>2025.0</v>
      </c>
    </row>
    <row r="768">
      <c r="A768" s="218">
        <f t="shared" si="2"/>
        <v>765</v>
      </c>
      <c r="B768" s="218" t="s">
        <v>201</v>
      </c>
      <c r="C768" s="219" t="str">
        <f t="shared" si="1"/>
        <v>HD/1832/2025</v>
      </c>
      <c r="D768" s="218" t="b">
        <v>1</v>
      </c>
      <c r="E768" s="219" t="b">
        <v>0</v>
      </c>
      <c r="F768" s="219"/>
      <c r="G768" s="173"/>
      <c r="H768" s="157" t="s">
        <v>6473</v>
      </c>
      <c r="I768" s="157">
        <f t="shared" si="3"/>
        <v>1832</v>
      </c>
      <c r="J768" s="157">
        <v>2025.0</v>
      </c>
    </row>
    <row r="769">
      <c r="A769" s="218">
        <f t="shared" si="2"/>
        <v>766</v>
      </c>
      <c r="B769" s="218" t="s">
        <v>201</v>
      </c>
      <c r="C769" s="219" t="str">
        <f t="shared" si="1"/>
        <v>HD/1833/2025</v>
      </c>
      <c r="D769" s="218" t="b">
        <v>1</v>
      </c>
      <c r="E769" s="219" t="b">
        <v>0</v>
      </c>
      <c r="F769" s="219"/>
      <c r="G769" s="173"/>
      <c r="H769" s="157" t="s">
        <v>6473</v>
      </c>
      <c r="I769" s="157">
        <f t="shared" si="3"/>
        <v>1833</v>
      </c>
      <c r="J769" s="157">
        <v>2025.0</v>
      </c>
    </row>
    <row r="770">
      <c r="A770" s="218">
        <f t="shared" si="2"/>
        <v>767</v>
      </c>
      <c r="B770" s="218" t="s">
        <v>201</v>
      </c>
      <c r="C770" s="219" t="str">
        <f t="shared" si="1"/>
        <v>HD/1834/2025</v>
      </c>
      <c r="D770" s="218" t="b">
        <v>1</v>
      </c>
      <c r="E770" s="219" t="b">
        <v>0</v>
      </c>
      <c r="F770" s="219"/>
      <c r="G770" s="173"/>
      <c r="H770" s="157" t="s">
        <v>6473</v>
      </c>
      <c r="I770" s="157">
        <f t="shared" si="3"/>
        <v>1834</v>
      </c>
      <c r="J770" s="157">
        <v>2025.0</v>
      </c>
    </row>
    <row r="771">
      <c r="A771" s="218">
        <f t="shared" si="2"/>
        <v>768</v>
      </c>
      <c r="B771" s="218" t="s">
        <v>201</v>
      </c>
      <c r="C771" s="219" t="str">
        <f t="shared" si="1"/>
        <v>HD/1835/2025</v>
      </c>
      <c r="D771" s="218" t="b">
        <v>1</v>
      </c>
      <c r="E771" s="219" t="b">
        <v>0</v>
      </c>
      <c r="F771" s="219"/>
      <c r="G771" s="173"/>
      <c r="H771" s="157" t="s">
        <v>6473</v>
      </c>
      <c r="I771" s="157">
        <f t="shared" si="3"/>
        <v>1835</v>
      </c>
      <c r="J771" s="157">
        <v>2025.0</v>
      </c>
    </row>
    <row r="772">
      <c r="A772" s="218">
        <f t="shared" si="2"/>
        <v>769</v>
      </c>
      <c r="B772" s="218" t="s">
        <v>201</v>
      </c>
      <c r="C772" s="219" t="str">
        <f t="shared" si="1"/>
        <v>HD/1836/2025</v>
      </c>
      <c r="D772" s="218" t="b">
        <v>1</v>
      </c>
      <c r="E772" s="219" t="b">
        <v>0</v>
      </c>
      <c r="F772" s="219"/>
      <c r="G772" s="173"/>
      <c r="H772" s="157" t="s">
        <v>6473</v>
      </c>
      <c r="I772" s="157">
        <f t="shared" si="3"/>
        <v>1836</v>
      </c>
      <c r="J772" s="157">
        <v>2025.0</v>
      </c>
    </row>
    <row r="773">
      <c r="A773" s="218">
        <f t="shared" si="2"/>
        <v>770</v>
      </c>
      <c r="B773" s="218" t="s">
        <v>201</v>
      </c>
      <c r="C773" s="219" t="str">
        <f t="shared" si="1"/>
        <v>HD/1837/2025</v>
      </c>
      <c r="D773" s="218" t="b">
        <v>1</v>
      </c>
      <c r="E773" s="219" t="b">
        <v>0</v>
      </c>
      <c r="F773" s="219"/>
      <c r="G773" s="173"/>
      <c r="H773" s="157" t="s">
        <v>6473</v>
      </c>
      <c r="I773" s="157">
        <f t="shared" si="3"/>
        <v>1837</v>
      </c>
      <c r="J773" s="157">
        <v>2025.0</v>
      </c>
    </row>
    <row r="774">
      <c r="A774" s="218">
        <f t="shared" si="2"/>
        <v>771</v>
      </c>
      <c r="B774" s="218" t="s">
        <v>201</v>
      </c>
      <c r="C774" s="219" t="str">
        <f t="shared" si="1"/>
        <v>HD/1838/2025</v>
      </c>
      <c r="D774" s="218" t="b">
        <v>1</v>
      </c>
      <c r="E774" s="219" t="b">
        <v>0</v>
      </c>
      <c r="F774" s="219"/>
      <c r="G774" s="173"/>
      <c r="H774" s="157" t="s">
        <v>6473</v>
      </c>
      <c r="I774" s="157">
        <f t="shared" si="3"/>
        <v>1838</v>
      </c>
      <c r="J774" s="157">
        <v>2025.0</v>
      </c>
    </row>
    <row r="775">
      <c r="A775" s="218">
        <f t="shared" si="2"/>
        <v>772</v>
      </c>
      <c r="B775" s="218" t="s">
        <v>201</v>
      </c>
      <c r="C775" s="219" t="str">
        <f t="shared" si="1"/>
        <v>HD/1839/2025</v>
      </c>
      <c r="D775" s="218" t="b">
        <v>1</v>
      </c>
      <c r="E775" s="219" t="b">
        <v>0</v>
      </c>
      <c r="F775" s="219"/>
      <c r="G775" s="173"/>
      <c r="H775" s="157" t="s">
        <v>6473</v>
      </c>
      <c r="I775" s="157">
        <f t="shared" si="3"/>
        <v>1839</v>
      </c>
      <c r="J775" s="157">
        <v>2025.0</v>
      </c>
    </row>
    <row r="776">
      <c r="A776" s="218">
        <f t="shared" si="2"/>
        <v>773</v>
      </c>
      <c r="B776" s="218" t="s">
        <v>201</v>
      </c>
      <c r="C776" s="219" t="str">
        <f t="shared" si="1"/>
        <v>HD/1840/2025</v>
      </c>
      <c r="D776" s="218" t="b">
        <v>1</v>
      </c>
      <c r="E776" s="219" t="b">
        <v>0</v>
      </c>
      <c r="F776" s="219"/>
      <c r="G776" s="173"/>
      <c r="H776" s="157" t="s">
        <v>6473</v>
      </c>
      <c r="I776" s="157">
        <f t="shared" si="3"/>
        <v>1840</v>
      </c>
      <c r="J776" s="157">
        <v>2025.0</v>
      </c>
    </row>
    <row r="777">
      <c r="A777" s="218">
        <f t="shared" si="2"/>
        <v>774</v>
      </c>
      <c r="B777" s="218" t="s">
        <v>201</v>
      </c>
      <c r="C777" s="219" t="str">
        <f t="shared" si="1"/>
        <v>HD/1841/2025</v>
      </c>
      <c r="D777" s="218" t="b">
        <v>1</v>
      </c>
      <c r="E777" s="219" t="b">
        <v>0</v>
      </c>
      <c r="F777" s="219"/>
      <c r="G777" s="173"/>
      <c r="H777" s="157" t="s">
        <v>6473</v>
      </c>
      <c r="I777" s="157">
        <f t="shared" si="3"/>
        <v>1841</v>
      </c>
      <c r="J777" s="157">
        <v>2025.0</v>
      </c>
    </row>
    <row r="778">
      <c r="A778" s="218">
        <f t="shared" si="2"/>
        <v>775</v>
      </c>
      <c r="B778" s="218" t="s">
        <v>201</v>
      </c>
      <c r="C778" s="219" t="str">
        <f t="shared" si="1"/>
        <v>HD/1842/2025</v>
      </c>
      <c r="D778" s="218" t="b">
        <v>1</v>
      </c>
      <c r="E778" s="219" t="b">
        <v>0</v>
      </c>
      <c r="F778" s="219"/>
      <c r="G778" s="173"/>
      <c r="H778" s="157" t="s">
        <v>6473</v>
      </c>
      <c r="I778" s="157">
        <f t="shared" si="3"/>
        <v>1842</v>
      </c>
      <c r="J778" s="157">
        <v>2025.0</v>
      </c>
    </row>
    <row r="779">
      <c r="A779" s="218">
        <f t="shared" si="2"/>
        <v>776</v>
      </c>
      <c r="B779" s="218" t="s">
        <v>201</v>
      </c>
      <c r="C779" s="219" t="str">
        <f t="shared" si="1"/>
        <v>HD/1843/2025</v>
      </c>
      <c r="D779" s="218" t="b">
        <v>1</v>
      </c>
      <c r="E779" s="219" t="b">
        <v>0</v>
      </c>
      <c r="F779" s="219"/>
      <c r="G779" s="173"/>
      <c r="H779" s="157" t="s">
        <v>6473</v>
      </c>
      <c r="I779" s="157">
        <f t="shared" si="3"/>
        <v>1843</v>
      </c>
      <c r="J779" s="157">
        <v>2025.0</v>
      </c>
    </row>
    <row r="780">
      <c r="A780" s="218">
        <f t="shared" si="2"/>
        <v>777</v>
      </c>
      <c r="B780" s="218" t="s">
        <v>201</v>
      </c>
      <c r="C780" s="219" t="str">
        <f t="shared" si="1"/>
        <v>HD/1844/2025</v>
      </c>
      <c r="D780" s="218" t="b">
        <v>1</v>
      </c>
      <c r="E780" s="219" t="b">
        <v>0</v>
      </c>
      <c r="F780" s="219"/>
      <c r="G780" s="173"/>
      <c r="H780" s="157" t="s">
        <v>6473</v>
      </c>
      <c r="I780" s="157">
        <f t="shared" si="3"/>
        <v>1844</v>
      </c>
      <c r="J780" s="157">
        <v>2025.0</v>
      </c>
    </row>
    <row r="781">
      <c r="A781" s="218">
        <f t="shared" si="2"/>
        <v>778</v>
      </c>
      <c r="B781" s="218" t="s">
        <v>201</v>
      </c>
      <c r="C781" s="219" t="str">
        <f t="shared" si="1"/>
        <v>HD/1845/2025</v>
      </c>
      <c r="D781" s="218" t="b">
        <v>1</v>
      </c>
      <c r="E781" s="219" t="b">
        <v>0</v>
      </c>
      <c r="F781" s="219"/>
      <c r="G781" s="173"/>
      <c r="H781" s="157" t="s">
        <v>6473</v>
      </c>
      <c r="I781" s="157">
        <f t="shared" si="3"/>
        <v>1845</v>
      </c>
      <c r="J781" s="157">
        <v>2025.0</v>
      </c>
    </row>
    <row r="782">
      <c r="A782" s="218">
        <f t="shared" si="2"/>
        <v>779</v>
      </c>
      <c r="B782" s="218" t="s">
        <v>201</v>
      </c>
      <c r="C782" s="219" t="str">
        <f t="shared" si="1"/>
        <v>HD/1846/2025</v>
      </c>
      <c r="D782" s="218" t="b">
        <v>1</v>
      </c>
      <c r="E782" s="219" t="b">
        <v>0</v>
      </c>
      <c r="F782" s="219"/>
      <c r="G782" s="173"/>
      <c r="H782" s="157" t="s">
        <v>6473</v>
      </c>
      <c r="I782" s="157">
        <f t="shared" si="3"/>
        <v>1846</v>
      </c>
      <c r="J782" s="157">
        <v>2025.0</v>
      </c>
    </row>
    <row r="783">
      <c r="A783" s="218">
        <f t="shared" si="2"/>
        <v>780</v>
      </c>
      <c r="B783" s="218" t="s">
        <v>201</v>
      </c>
      <c r="C783" s="219" t="str">
        <f t="shared" si="1"/>
        <v>HD/1847/2025</v>
      </c>
      <c r="D783" s="218" t="b">
        <v>1</v>
      </c>
      <c r="E783" s="219" t="b">
        <v>0</v>
      </c>
      <c r="F783" s="219"/>
      <c r="G783" s="173"/>
      <c r="H783" s="157" t="s">
        <v>6473</v>
      </c>
      <c r="I783" s="157">
        <f t="shared" si="3"/>
        <v>1847</v>
      </c>
      <c r="J783" s="157">
        <v>2025.0</v>
      </c>
    </row>
    <row r="784">
      <c r="A784" s="218">
        <f t="shared" si="2"/>
        <v>781</v>
      </c>
      <c r="B784" s="218" t="s">
        <v>201</v>
      </c>
      <c r="C784" s="219" t="str">
        <f t="shared" si="1"/>
        <v>HD/1848/2025</v>
      </c>
      <c r="D784" s="218" t="b">
        <v>1</v>
      </c>
      <c r="E784" s="219" t="b">
        <v>0</v>
      </c>
      <c r="F784" s="219"/>
      <c r="G784" s="173"/>
      <c r="H784" s="157" t="s">
        <v>6473</v>
      </c>
      <c r="I784" s="157">
        <f t="shared" si="3"/>
        <v>1848</v>
      </c>
      <c r="J784" s="157">
        <v>2025.0</v>
      </c>
    </row>
    <row r="785">
      <c r="A785" s="218">
        <f t="shared" si="2"/>
        <v>782</v>
      </c>
      <c r="B785" s="218" t="s">
        <v>201</v>
      </c>
      <c r="C785" s="219" t="str">
        <f t="shared" si="1"/>
        <v>HD/1849/2025</v>
      </c>
      <c r="D785" s="218" t="b">
        <v>1</v>
      </c>
      <c r="E785" s="219" t="b">
        <v>0</v>
      </c>
      <c r="F785" s="219"/>
      <c r="G785" s="173"/>
      <c r="H785" s="157" t="s">
        <v>6473</v>
      </c>
      <c r="I785" s="157">
        <f t="shared" si="3"/>
        <v>1849</v>
      </c>
      <c r="J785" s="157">
        <v>2025.0</v>
      </c>
    </row>
    <row r="786">
      <c r="A786" s="218">
        <f t="shared" si="2"/>
        <v>783</v>
      </c>
      <c r="B786" s="218" t="s">
        <v>201</v>
      </c>
      <c r="C786" s="219" t="str">
        <f t="shared" si="1"/>
        <v>HD/1850/2025</v>
      </c>
      <c r="D786" s="218" t="b">
        <v>1</v>
      </c>
      <c r="E786" s="219" t="b">
        <v>0</v>
      </c>
      <c r="F786" s="219"/>
      <c r="G786" s="173"/>
      <c r="H786" s="157" t="s">
        <v>6473</v>
      </c>
      <c r="I786" s="157">
        <f t="shared" si="3"/>
        <v>1850</v>
      </c>
      <c r="J786" s="157">
        <v>2025.0</v>
      </c>
    </row>
    <row r="787">
      <c r="A787" s="218">
        <f t="shared" si="2"/>
        <v>784</v>
      </c>
      <c r="B787" s="218" t="s">
        <v>201</v>
      </c>
      <c r="C787" s="219" t="str">
        <f t="shared" si="1"/>
        <v>HD/1851/2025</v>
      </c>
      <c r="D787" s="218" t="b">
        <v>1</v>
      </c>
      <c r="E787" s="219" t="b">
        <v>0</v>
      </c>
      <c r="F787" s="219"/>
      <c r="G787" s="173"/>
      <c r="H787" s="157" t="s">
        <v>6473</v>
      </c>
      <c r="I787" s="157">
        <f t="shared" si="3"/>
        <v>1851</v>
      </c>
      <c r="J787" s="157">
        <v>2025.0</v>
      </c>
    </row>
    <row r="788">
      <c r="A788" s="218">
        <f t="shared" si="2"/>
        <v>785</v>
      </c>
      <c r="B788" s="218" t="s">
        <v>201</v>
      </c>
      <c r="C788" s="219" t="str">
        <f t="shared" si="1"/>
        <v>HD/1852/2025</v>
      </c>
      <c r="D788" s="218" t="b">
        <v>1</v>
      </c>
      <c r="E788" s="219" t="b">
        <v>0</v>
      </c>
      <c r="F788" s="219"/>
      <c r="G788" s="173"/>
      <c r="H788" s="157" t="s">
        <v>6473</v>
      </c>
      <c r="I788" s="157">
        <f t="shared" si="3"/>
        <v>1852</v>
      </c>
      <c r="J788" s="157">
        <v>2025.0</v>
      </c>
    </row>
    <row r="789">
      <c r="A789" s="218">
        <f t="shared" si="2"/>
        <v>786</v>
      </c>
      <c r="B789" s="218" t="s">
        <v>201</v>
      </c>
      <c r="C789" s="219" t="str">
        <f t="shared" si="1"/>
        <v>HD/1853/2025</v>
      </c>
      <c r="D789" s="218" t="b">
        <v>1</v>
      </c>
      <c r="E789" s="219" t="b">
        <v>0</v>
      </c>
      <c r="F789" s="219"/>
      <c r="G789" s="173"/>
      <c r="H789" s="157" t="s">
        <v>6473</v>
      </c>
      <c r="I789" s="157">
        <f t="shared" si="3"/>
        <v>1853</v>
      </c>
      <c r="J789" s="157">
        <v>2025.0</v>
      </c>
    </row>
    <row r="790">
      <c r="A790" s="218">
        <f t="shared" si="2"/>
        <v>787</v>
      </c>
      <c r="B790" s="218" t="s">
        <v>201</v>
      </c>
      <c r="C790" s="219" t="str">
        <f t="shared" si="1"/>
        <v>HD/1854/2025</v>
      </c>
      <c r="D790" s="218" t="b">
        <v>1</v>
      </c>
      <c r="E790" s="219" t="b">
        <v>0</v>
      </c>
      <c r="F790" s="219"/>
      <c r="G790" s="173"/>
      <c r="H790" s="157" t="s">
        <v>6473</v>
      </c>
      <c r="I790" s="157">
        <f t="shared" si="3"/>
        <v>1854</v>
      </c>
      <c r="J790" s="157">
        <v>2025.0</v>
      </c>
    </row>
    <row r="791">
      <c r="A791" s="218">
        <f t="shared" si="2"/>
        <v>788</v>
      </c>
      <c r="B791" s="218" t="s">
        <v>201</v>
      </c>
      <c r="C791" s="219" t="str">
        <f t="shared" si="1"/>
        <v>HD/1855/2025</v>
      </c>
      <c r="D791" s="218" t="b">
        <v>1</v>
      </c>
      <c r="E791" s="219" t="b">
        <v>0</v>
      </c>
      <c r="F791" s="219"/>
      <c r="G791" s="173"/>
      <c r="H791" s="157" t="s">
        <v>6473</v>
      </c>
      <c r="I791" s="157">
        <f t="shared" si="3"/>
        <v>1855</v>
      </c>
      <c r="J791" s="157">
        <v>2025.0</v>
      </c>
    </row>
    <row r="792">
      <c r="A792" s="218">
        <f t="shared" si="2"/>
        <v>789</v>
      </c>
      <c r="B792" s="218" t="s">
        <v>201</v>
      </c>
      <c r="C792" s="219" t="str">
        <f t="shared" si="1"/>
        <v>HD/1856/2025</v>
      </c>
      <c r="D792" s="218" t="b">
        <v>1</v>
      </c>
      <c r="E792" s="219" t="b">
        <v>0</v>
      </c>
      <c r="F792" s="219"/>
      <c r="G792" s="173"/>
      <c r="H792" s="157" t="s">
        <v>6473</v>
      </c>
      <c r="I792" s="157">
        <f t="shared" si="3"/>
        <v>1856</v>
      </c>
      <c r="J792" s="157">
        <v>2025.0</v>
      </c>
    </row>
    <row r="793">
      <c r="A793" s="218">
        <f t="shared" si="2"/>
        <v>790</v>
      </c>
      <c r="B793" s="218" t="s">
        <v>201</v>
      </c>
      <c r="C793" s="219" t="str">
        <f t="shared" si="1"/>
        <v>HD/1857/2025</v>
      </c>
      <c r="D793" s="218" t="b">
        <v>1</v>
      </c>
      <c r="E793" s="219" t="b">
        <v>0</v>
      </c>
      <c r="F793" s="219"/>
      <c r="G793" s="173"/>
      <c r="H793" s="157" t="s">
        <v>6473</v>
      </c>
      <c r="I793" s="157">
        <f t="shared" si="3"/>
        <v>1857</v>
      </c>
      <c r="J793" s="157">
        <v>2025.0</v>
      </c>
    </row>
    <row r="794">
      <c r="A794" s="218">
        <f t="shared" si="2"/>
        <v>791</v>
      </c>
      <c r="B794" s="218" t="s">
        <v>201</v>
      </c>
      <c r="C794" s="219" t="str">
        <f t="shared" si="1"/>
        <v>HD/1858/2025</v>
      </c>
      <c r="D794" s="218" t="b">
        <v>1</v>
      </c>
      <c r="E794" s="219" t="b">
        <v>0</v>
      </c>
      <c r="F794" s="219"/>
      <c r="G794" s="173"/>
      <c r="H794" s="157" t="s">
        <v>6473</v>
      </c>
      <c r="I794" s="157">
        <f t="shared" si="3"/>
        <v>1858</v>
      </c>
      <c r="J794" s="157">
        <v>2025.0</v>
      </c>
    </row>
    <row r="795">
      <c r="A795" s="218">
        <f t="shared" si="2"/>
        <v>792</v>
      </c>
      <c r="B795" s="218" t="s">
        <v>201</v>
      </c>
      <c r="C795" s="219" t="str">
        <f t="shared" si="1"/>
        <v>HD/1859/2025</v>
      </c>
      <c r="D795" s="218" t="b">
        <v>1</v>
      </c>
      <c r="E795" s="219" t="b">
        <v>0</v>
      </c>
      <c r="F795" s="219"/>
      <c r="G795" s="173"/>
      <c r="H795" s="157" t="s">
        <v>6473</v>
      </c>
      <c r="I795" s="157">
        <f t="shared" si="3"/>
        <v>1859</v>
      </c>
      <c r="J795" s="157">
        <v>2025.0</v>
      </c>
    </row>
    <row r="796">
      <c r="A796" s="218">
        <f t="shared" si="2"/>
        <v>793</v>
      </c>
      <c r="B796" s="218" t="s">
        <v>201</v>
      </c>
      <c r="C796" s="219" t="str">
        <f t="shared" si="1"/>
        <v>HD/1860/2025</v>
      </c>
      <c r="D796" s="218" t="b">
        <v>1</v>
      </c>
      <c r="E796" s="219" t="b">
        <v>0</v>
      </c>
      <c r="F796" s="219"/>
      <c r="G796" s="173"/>
      <c r="H796" s="157" t="s">
        <v>6473</v>
      </c>
      <c r="I796" s="157">
        <f t="shared" si="3"/>
        <v>1860</v>
      </c>
      <c r="J796" s="157">
        <v>2025.0</v>
      </c>
    </row>
    <row r="797">
      <c r="A797" s="218">
        <f t="shared" si="2"/>
        <v>794</v>
      </c>
      <c r="B797" s="218" t="s">
        <v>201</v>
      </c>
      <c r="C797" s="219" t="str">
        <f t="shared" si="1"/>
        <v>HD/1861/2025</v>
      </c>
      <c r="D797" s="218" t="b">
        <v>1</v>
      </c>
      <c r="E797" s="219" t="b">
        <v>0</v>
      </c>
      <c r="F797" s="219"/>
      <c r="G797" s="173"/>
      <c r="H797" s="157" t="s">
        <v>6473</v>
      </c>
      <c r="I797" s="157">
        <f t="shared" si="3"/>
        <v>1861</v>
      </c>
      <c r="J797" s="157">
        <v>2025.0</v>
      </c>
    </row>
    <row r="798">
      <c r="A798" s="218">
        <f t="shared" si="2"/>
        <v>795</v>
      </c>
      <c r="B798" s="218" t="s">
        <v>201</v>
      </c>
      <c r="C798" s="219" t="str">
        <f t="shared" si="1"/>
        <v>HD/1862/2025</v>
      </c>
      <c r="D798" s="218" t="b">
        <v>1</v>
      </c>
      <c r="E798" s="219" t="b">
        <v>0</v>
      </c>
      <c r="F798" s="219"/>
      <c r="G798" s="173"/>
      <c r="H798" s="157" t="s">
        <v>6473</v>
      </c>
      <c r="I798" s="157">
        <f t="shared" si="3"/>
        <v>1862</v>
      </c>
      <c r="J798" s="157">
        <v>2025.0</v>
      </c>
    </row>
    <row r="799">
      <c r="A799" s="218">
        <f t="shared" si="2"/>
        <v>796</v>
      </c>
      <c r="B799" s="218" t="s">
        <v>201</v>
      </c>
      <c r="C799" s="219" t="str">
        <f t="shared" si="1"/>
        <v>HD/1863/2025</v>
      </c>
      <c r="D799" s="218" t="b">
        <v>1</v>
      </c>
      <c r="E799" s="219" t="b">
        <v>0</v>
      </c>
      <c r="F799" s="219"/>
      <c r="G799" s="173"/>
      <c r="H799" s="157" t="s">
        <v>6473</v>
      </c>
      <c r="I799" s="157">
        <f t="shared" si="3"/>
        <v>1863</v>
      </c>
      <c r="J799" s="157">
        <v>2025.0</v>
      </c>
    </row>
    <row r="800">
      <c r="A800" s="218">
        <f t="shared" si="2"/>
        <v>797</v>
      </c>
      <c r="B800" s="218" t="s">
        <v>201</v>
      </c>
      <c r="C800" s="219" t="str">
        <f t="shared" si="1"/>
        <v>HD/1864/2025</v>
      </c>
      <c r="D800" s="218" t="b">
        <v>1</v>
      </c>
      <c r="E800" s="219" t="b">
        <v>0</v>
      </c>
      <c r="F800" s="219"/>
      <c r="G800" s="173"/>
      <c r="H800" s="157" t="s">
        <v>6473</v>
      </c>
      <c r="I800" s="157">
        <f t="shared" si="3"/>
        <v>1864</v>
      </c>
      <c r="J800" s="157">
        <v>2025.0</v>
      </c>
    </row>
    <row r="801">
      <c r="A801" s="218">
        <f t="shared" si="2"/>
        <v>798</v>
      </c>
      <c r="B801" s="218" t="s">
        <v>201</v>
      </c>
      <c r="C801" s="219" t="str">
        <f t="shared" si="1"/>
        <v>HD/1865/2025</v>
      </c>
      <c r="D801" s="218" t="b">
        <v>1</v>
      </c>
      <c r="E801" s="219" t="b">
        <v>0</v>
      </c>
      <c r="F801" s="219"/>
      <c r="G801" s="173"/>
      <c r="H801" s="157" t="s">
        <v>6473</v>
      </c>
      <c r="I801" s="157">
        <f t="shared" si="3"/>
        <v>1865</v>
      </c>
      <c r="J801" s="157">
        <v>2025.0</v>
      </c>
    </row>
    <row r="802">
      <c r="A802" s="218">
        <f t="shared" si="2"/>
        <v>799</v>
      </c>
      <c r="B802" s="218" t="s">
        <v>201</v>
      </c>
      <c r="C802" s="219" t="str">
        <f t="shared" si="1"/>
        <v>HD/1866/2025</v>
      </c>
      <c r="D802" s="218" t="b">
        <v>1</v>
      </c>
      <c r="E802" s="219" t="b">
        <v>0</v>
      </c>
      <c r="F802" s="219"/>
      <c r="G802" s="173"/>
      <c r="H802" s="157" t="s">
        <v>6473</v>
      </c>
      <c r="I802" s="157">
        <f t="shared" si="3"/>
        <v>1866</v>
      </c>
      <c r="J802" s="157">
        <v>2025.0</v>
      </c>
    </row>
    <row r="803">
      <c r="A803" s="218">
        <f t="shared" si="2"/>
        <v>800</v>
      </c>
      <c r="B803" s="218" t="s">
        <v>201</v>
      </c>
      <c r="C803" s="219" t="str">
        <f t="shared" si="1"/>
        <v>HD/1867/2025</v>
      </c>
      <c r="D803" s="218" t="b">
        <v>1</v>
      </c>
      <c r="E803" s="219" t="b">
        <v>0</v>
      </c>
      <c r="F803" s="219"/>
      <c r="G803" s="173"/>
      <c r="H803" s="157" t="s">
        <v>6473</v>
      </c>
      <c r="I803" s="157">
        <f t="shared" si="3"/>
        <v>1867</v>
      </c>
      <c r="J803" s="157">
        <v>2025.0</v>
      </c>
    </row>
    <row r="804">
      <c r="A804" s="218">
        <f t="shared" si="2"/>
        <v>801</v>
      </c>
      <c r="B804" s="218" t="s">
        <v>201</v>
      </c>
      <c r="C804" s="219" t="str">
        <f t="shared" si="1"/>
        <v>HD/1868/2025</v>
      </c>
      <c r="D804" s="218" t="b">
        <v>1</v>
      </c>
      <c r="E804" s="219" t="b">
        <v>0</v>
      </c>
      <c r="F804" s="219"/>
      <c r="G804" s="173"/>
      <c r="H804" s="157" t="s">
        <v>6473</v>
      </c>
      <c r="I804" s="157">
        <f t="shared" si="3"/>
        <v>1868</v>
      </c>
      <c r="J804" s="157">
        <v>2025.0</v>
      </c>
    </row>
    <row r="805">
      <c r="A805" s="218">
        <f t="shared" si="2"/>
        <v>802</v>
      </c>
      <c r="B805" s="218" t="s">
        <v>201</v>
      </c>
      <c r="C805" s="219" t="str">
        <f t="shared" si="1"/>
        <v>HD/1869/2025</v>
      </c>
      <c r="D805" s="218" t="b">
        <v>1</v>
      </c>
      <c r="E805" s="219" t="b">
        <v>0</v>
      </c>
      <c r="F805" s="219"/>
      <c r="G805" s="173"/>
      <c r="H805" s="157" t="s">
        <v>6473</v>
      </c>
      <c r="I805" s="157">
        <f t="shared" si="3"/>
        <v>1869</v>
      </c>
      <c r="J805" s="157">
        <v>2025.0</v>
      </c>
    </row>
    <row r="806">
      <c r="A806" s="218">
        <f t="shared" si="2"/>
        <v>803</v>
      </c>
      <c r="B806" s="218" t="s">
        <v>201</v>
      </c>
      <c r="C806" s="219" t="str">
        <f t="shared" si="1"/>
        <v>HD/1870/2025</v>
      </c>
      <c r="D806" s="218" t="b">
        <v>1</v>
      </c>
      <c r="E806" s="219" t="b">
        <v>0</v>
      </c>
      <c r="F806" s="219"/>
      <c r="G806" s="173"/>
      <c r="H806" s="157" t="s">
        <v>6473</v>
      </c>
      <c r="I806" s="157">
        <f t="shared" si="3"/>
        <v>1870</v>
      </c>
      <c r="J806" s="157">
        <v>2025.0</v>
      </c>
    </row>
    <row r="807">
      <c r="A807" s="218">
        <f t="shared" si="2"/>
        <v>804</v>
      </c>
      <c r="B807" s="218" t="s">
        <v>201</v>
      </c>
      <c r="C807" s="219" t="str">
        <f t="shared" si="1"/>
        <v>HD/1871/2025</v>
      </c>
      <c r="D807" s="218" t="b">
        <v>1</v>
      </c>
      <c r="E807" s="219" t="b">
        <v>0</v>
      </c>
      <c r="F807" s="219"/>
      <c r="G807" s="173"/>
      <c r="H807" s="157" t="s">
        <v>6473</v>
      </c>
      <c r="I807" s="157">
        <f t="shared" si="3"/>
        <v>1871</v>
      </c>
      <c r="J807" s="157">
        <v>2025.0</v>
      </c>
    </row>
    <row r="808">
      <c r="A808" s="218">
        <f t="shared" si="2"/>
        <v>805</v>
      </c>
      <c r="B808" s="218" t="s">
        <v>201</v>
      </c>
      <c r="C808" s="219" t="str">
        <f t="shared" si="1"/>
        <v>HD/1872/2025</v>
      </c>
      <c r="D808" s="218" t="b">
        <v>1</v>
      </c>
      <c r="E808" s="219" t="b">
        <v>0</v>
      </c>
      <c r="F808" s="219"/>
      <c r="G808" s="173"/>
      <c r="H808" s="157" t="s">
        <v>6473</v>
      </c>
      <c r="I808" s="157">
        <f t="shared" si="3"/>
        <v>1872</v>
      </c>
      <c r="J808" s="157">
        <v>2025.0</v>
      </c>
    </row>
    <row r="809">
      <c r="A809" s="218">
        <f t="shared" si="2"/>
        <v>806</v>
      </c>
      <c r="B809" s="218" t="s">
        <v>201</v>
      </c>
      <c r="C809" s="219" t="str">
        <f t="shared" si="1"/>
        <v>HD/1873/2025</v>
      </c>
      <c r="D809" s="218" t="b">
        <v>1</v>
      </c>
      <c r="E809" s="219" t="b">
        <v>0</v>
      </c>
      <c r="F809" s="219"/>
      <c r="G809" s="173"/>
      <c r="H809" s="157" t="s">
        <v>6473</v>
      </c>
      <c r="I809" s="157">
        <f t="shared" si="3"/>
        <v>1873</v>
      </c>
      <c r="J809" s="157">
        <v>2025.0</v>
      </c>
    </row>
    <row r="810">
      <c r="A810" s="218">
        <f t="shared" si="2"/>
        <v>807</v>
      </c>
      <c r="B810" s="218" t="s">
        <v>201</v>
      </c>
      <c r="C810" s="219" t="str">
        <f t="shared" si="1"/>
        <v>HD/1874/2025</v>
      </c>
      <c r="D810" s="218" t="b">
        <v>1</v>
      </c>
      <c r="E810" s="219" t="b">
        <v>0</v>
      </c>
      <c r="F810" s="219"/>
      <c r="G810" s="173"/>
      <c r="H810" s="157" t="s">
        <v>6473</v>
      </c>
      <c r="I810" s="157">
        <f t="shared" si="3"/>
        <v>1874</v>
      </c>
      <c r="J810" s="157">
        <v>2025.0</v>
      </c>
    </row>
    <row r="811">
      <c r="A811" s="218">
        <f t="shared" si="2"/>
        <v>808</v>
      </c>
      <c r="B811" s="218" t="s">
        <v>201</v>
      </c>
      <c r="C811" s="219" t="str">
        <f t="shared" si="1"/>
        <v>HD/1875/2025</v>
      </c>
      <c r="D811" s="218" t="b">
        <v>1</v>
      </c>
      <c r="E811" s="219" t="b">
        <v>0</v>
      </c>
      <c r="F811" s="219"/>
      <c r="G811" s="173"/>
      <c r="H811" s="157" t="s">
        <v>6473</v>
      </c>
      <c r="I811" s="157">
        <f t="shared" si="3"/>
        <v>1875</v>
      </c>
      <c r="J811" s="157">
        <v>2025.0</v>
      </c>
    </row>
    <row r="812">
      <c r="A812" s="218">
        <f t="shared" si="2"/>
        <v>809</v>
      </c>
      <c r="B812" s="218" t="s">
        <v>201</v>
      </c>
      <c r="C812" s="219" t="str">
        <f t="shared" si="1"/>
        <v>HD/1876/2025</v>
      </c>
      <c r="D812" s="218" t="b">
        <v>1</v>
      </c>
      <c r="E812" s="219" t="b">
        <v>0</v>
      </c>
      <c r="F812" s="219"/>
      <c r="G812" s="173"/>
      <c r="H812" s="157" t="s">
        <v>6473</v>
      </c>
      <c r="I812" s="157">
        <f t="shared" si="3"/>
        <v>1876</v>
      </c>
      <c r="J812" s="157">
        <v>2025.0</v>
      </c>
    </row>
    <row r="813">
      <c r="A813" s="218">
        <f t="shared" si="2"/>
        <v>810</v>
      </c>
      <c r="B813" s="218" t="s">
        <v>201</v>
      </c>
      <c r="C813" s="219" t="str">
        <f t="shared" si="1"/>
        <v>HD/1877/2025</v>
      </c>
      <c r="D813" s="218" t="b">
        <v>1</v>
      </c>
      <c r="E813" s="219" t="b">
        <v>0</v>
      </c>
      <c r="F813" s="219"/>
      <c r="G813" s="173"/>
      <c r="H813" s="157" t="s">
        <v>6473</v>
      </c>
      <c r="I813" s="157">
        <f t="shared" si="3"/>
        <v>1877</v>
      </c>
      <c r="J813" s="157">
        <v>2025.0</v>
      </c>
    </row>
    <row r="814">
      <c r="A814" s="218">
        <f t="shared" si="2"/>
        <v>811</v>
      </c>
      <c r="B814" s="218" t="s">
        <v>201</v>
      </c>
      <c r="C814" s="219" t="str">
        <f t="shared" si="1"/>
        <v>HD/1878/2025</v>
      </c>
      <c r="D814" s="218" t="b">
        <v>1</v>
      </c>
      <c r="E814" s="219" t="b">
        <v>0</v>
      </c>
      <c r="F814" s="219"/>
      <c r="G814" s="173"/>
      <c r="H814" s="157" t="s">
        <v>6473</v>
      </c>
      <c r="I814" s="157">
        <f t="shared" si="3"/>
        <v>1878</v>
      </c>
      <c r="J814" s="157">
        <v>2025.0</v>
      </c>
    </row>
    <row r="815">
      <c r="A815" s="218">
        <f t="shared" si="2"/>
        <v>812</v>
      </c>
      <c r="B815" s="218" t="s">
        <v>201</v>
      </c>
      <c r="C815" s="219" t="str">
        <f t="shared" si="1"/>
        <v>HD/1879/2025</v>
      </c>
      <c r="D815" s="218" t="b">
        <v>1</v>
      </c>
      <c r="E815" s="219" t="b">
        <v>0</v>
      </c>
      <c r="F815" s="219"/>
      <c r="G815" s="173"/>
      <c r="H815" s="157" t="s">
        <v>6473</v>
      </c>
      <c r="I815" s="157">
        <f t="shared" si="3"/>
        <v>1879</v>
      </c>
      <c r="J815" s="157">
        <v>2025.0</v>
      </c>
    </row>
    <row r="816">
      <c r="A816" s="218">
        <f t="shared" si="2"/>
        <v>813</v>
      </c>
      <c r="B816" s="218" t="s">
        <v>201</v>
      </c>
      <c r="C816" s="219" t="str">
        <f t="shared" si="1"/>
        <v>HD/1880/2025</v>
      </c>
      <c r="D816" s="218" t="b">
        <v>1</v>
      </c>
      <c r="E816" s="219" t="b">
        <v>0</v>
      </c>
      <c r="F816" s="218" t="s">
        <v>6508</v>
      </c>
      <c r="G816" s="173"/>
      <c r="H816" s="157" t="s">
        <v>6473</v>
      </c>
      <c r="I816" s="258">
        <f t="shared" si="3"/>
        <v>1880</v>
      </c>
      <c r="J816" s="157">
        <v>2025.0</v>
      </c>
    </row>
    <row r="817">
      <c r="A817" s="218">
        <f t="shared" si="2"/>
        <v>814</v>
      </c>
      <c r="B817" s="218" t="s">
        <v>201</v>
      </c>
      <c r="C817" s="219" t="str">
        <f t="shared" si="1"/>
        <v>HD/1881/2025</v>
      </c>
      <c r="D817" s="218" t="b">
        <v>1</v>
      </c>
      <c r="E817" s="219" t="b">
        <v>0</v>
      </c>
      <c r="F817" s="218" t="s">
        <v>6508</v>
      </c>
      <c r="G817" s="173"/>
      <c r="H817" s="157" t="s">
        <v>6473</v>
      </c>
      <c r="I817" s="258">
        <f t="shared" si="3"/>
        <v>1881</v>
      </c>
      <c r="J817" s="157">
        <v>2025.0</v>
      </c>
    </row>
    <row r="818">
      <c r="A818" s="218">
        <f t="shared" si="2"/>
        <v>815</v>
      </c>
      <c r="B818" s="218" t="s">
        <v>201</v>
      </c>
      <c r="C818" s="219" t="str">
        <f t="shared" si="1"/>
        <v>HD/1882/2025</v>
      </c>
      <c r="D818" s="218" t="b">
        <v>1</v>
      </c>
      <c r="E818" s="219" t="b">
        <v>0</v>
      </c>
      <c r="F818" s="218" t="s">
        <v>6508</v>
      </c>
      <c r="G818" s="173"/>
      <c r="H818" s="157" t="s">
        <v>6473</v>
      </c>
      <c r="I818" s="258">
        <f t="shared" si="3"/>
        <v>1882</v>
      </c>
      <c r="J818" s="157">
        <v>2025.0</v>
      </c>
    </row>
    <row r="819">
      <c r="A819" s="218">
        <f t="shared" si="2"/>
        <v>816</v>
      </c>
      <c r="B819" s="218" t="s">
        <v>201</v>
      </c>
      <c r="C819" s="219" t="str">
        <f t="shared" si="1"/>
        <v>HD/1883/2025</v>
      </c>
      <c r="D819" s="218" t="b">
        <v>1</v>
      </c>
      <c r="E819" s="219" t="b">
        <v>0</v>
      </c>
      <c r="F819" s="218" t="s">
        <v>6508</v>
      </c>
      <c r="G819" s="173"/>
      <c r="H819" s="157" t="s">
        <v>6473</v>
      </c>
      <c r="I819" s="258">
        <f t="shared" si="3"/>
        <v>1883</v>
      </c>
      <c r="J819" s="157">
        <v>2025.0</v>
      </c>
    </row>
    <row r="820">
      <c r="A820" s="218">
        <f t="shared" si="2"/>
        <v>817</v>
      </c>
      <c r="B820" s="218" t="s">
        <v>201</v>
      </c>
      <c r="C820" s="219" t="str">
        <f t="shared" si="1"/>
        <v>HD/1884/2025</v>
      </c>
      <c r="D820" s="218" t="b">
        <v>1</v>
      </c>
      <c r="E820" s="219" t="b">
        <v>0</v>
      </c>
      <c r="F820" s="218" t="s">
        <v>6508</v>
      </c>
      <c r="G820" s="173"/>
      <c r="H820" s="157" t="s">
        <v>6473</v>
      </c>
      <c r="I820" s="258">
        <f t="shared" si="3"/>
        <v>1884</v>
      </c>
      <c r="J820" s="157">
        <v>2025.0</v>
      </c>
    </row>
    <row r="821">
      <c r="A821" s="218">
        <f t="shared" si="2"/>
        <v>818</v>
      </c>
      <c r="B821" s="218" t="s">
        <v>201</v>
      </c>
      <c r="C821" s="219" t="str">
        <f t="shared" si="1"/>
        <v>HD/1885/2025</v>
      </c>
      <c r="D821" s="218" t="b">
        <v>1</v>
      </c>
      <c r="E821" s="219" t="b">
        <v>0</v>
      </c>
      <c r="F821" s="218" t="s">
        <v>6508</v>
      </c>
      <c r="G821" s="173"/>
      <c r="H821" s="157" t="s">
        <v>6473</v>
      </c>
      <c r="I821" s="258">
        <f t="shared" si="3"/>
        <v>1885</v>
      </c>
      <c r="J821" s="157">
        <v>2025.0</v>
      </c>
    </row>
    <row r="822">
      <c r="A822" s="218">
        <f t="shared" si="2"/>
        <v>819</v>
      </c>
      <c r="B822" s="218" t="s">
        <v>201</v>
      </c>
      <c r="C822" s="219" t="str">
        <f t="shared" si="1"/>
        <v>HD/1886/2025</v>
      </c>
      <c r="D822" s="218" t="b">
        <v>1</v>
      </c>
      <c r="E822" s="219" t="b">
        <v>0</v>
      </c>
      <c r="F822" s="219"/>
      <c r="G822" s="173"/>
      <c r="H822" s="157" t="s">
        <v>6473</v>
      </c>
      <c r="I822" s="157">
        <f t="shared" si="3"/>
        <v>1886</v>
      </c>
      <c r="J822" s="157">
        <v>2025.0</v>
      </c>
    </row>
    <row r="823">
      <c r="A823" s="218">
        <f t="shared" si="2"/>
        <v>820</v>
      </c>
      <c r="B823" s="218" t="s">
        <v>201</v>
      </c>
      <c r="C823" s="219" t="str">
        <f t="shared" si="1"/>
        <v>HD/1887/2025</v>
      </c>
      <c r="D823" s="218" t="b">
        <v>1</v>
      </c>
      <c r="E823" s="219" t="b">
        <v>0</v>
      </c>
      <c r="F823" s="219"/>
      <c r="G823" s="173"/>
      <c r="H823" s="157" t="s">
        <v>6473</v>
      </c>
      <c r="I823" s="157">
        <f t="shared" si="3"/>
        <v>1887</v>
      </c>
      <c r="J823" s="157">
        <v>2025.0</v>
      </c>
    </row>
    <row r="824">
      <c r="A824" s="218">
        <f t="shared" si="2"/>
        <v>821</v>
      </c>
      <c r="B824" s="218" t="s">
        <v>201</v>
      </c>
      <c r="C824" s="219" t="str">
        <f t="shared" si="1"/>
        <v>HD/1888/2025</v>
      </c>
      <c r="D824" s="218" t="b">
        <v>1</v>
      </c>
      <c r="E824" s="219" t="b">
        <v>0</v>
      </c>
      <c r="F824" s="219"/>
      <c r="G824" s="173"/>
      <c r="H824" s="157" t="s">
        <v>6473</v>
      </c>
      <c r="I824" s="157">
        <f t="shared" si="3"/>
        <v>1888</v>
      </c>
      <c r="J824" s="157">
        <v>2025.0</v>
      </c>
    </row>
    <row r="825">
      <c r="A825" s="218">
        <f t="shared" si="2"/>
        <v>822</v>
      </c>
      <c r="B825" s="218" t="s">
        <v>201</v>
      </c>
      <c r="C825" s="219" t="str">
        <f t="shared" si="1"/>
        <v>HD/1889/2025</v>
      </c>
      <c r="D825" s="218" t="b">
        <v>1</v>
      </c>
      <c r="E825" s="219" t="b">
        <v>0</v>
      </c>
      <c r="F825" s="218" t="s">
        <v>6508</v>
      </c>
      <c r="G825" s="173"/>
      <c r="H825" s="157" t="s">
        <v>6473</v>
      </c>
      <c r="I825" s="258">
        <f t="shared" si="3"/>
        <v>1889</v>
      </c>
      <c r="J825" s="157">
        <v>2025.0</v>
      </c>
    </row>
    <row r="826">
      <c r="A826" s="218">
        <f t="shared" si="2"/>
        <v>823</v>
      </c>
      <c r="B826" s="218" t="s">
        <v>201</v>
      </c>
      <c r="C826" s="219" t="str">
        <f t="shared" si="1"/>
        <v>HD/1890/2025</v>
      </c>
      <c r="D826" s="218" t="b">
        <v>1</v>
      </c>
      <c r="E826" s="219" t="b">
        <v>0</v>
      </c>
      <c r="F826" s="218" t="s">
        <v>6508</v>
      </c>
      <c r="G826" s="173"/>
      <c r="H826" s="157" t="s">
        <v>6473</v>
      </c>
      <c r="I826" s="258">
        <f t="shared" si="3"/>
        <v>1890</v>
      </c>
      <c r="J826" s="157">
        <v>2025.0</v>
      </c>
    </row>
    <row r="827">
      <c r="A827" s="218">
        <f t="shared" si="2"/>
        <v>824</v>
      </c>
      <c r="B827" s="218" t="s">
        <v>201</v>
      </c>
      <c r="C827" s="219" t="str">
        <f t="shared" si="1"/>
        <v>HD/1891/2025</v>
      </c>
      <c r="D827" s="218" t="b">
        <v>1</v>
      </c>
      <c r="E827" s="219" t="b">
        <v>0</v>
      </c>
      <c r="F827" s="218" t="s">
        <v>6508</v>
      </c>
      <c r="G827" s="173"/>
      <c r="H827" s="157" t="s">
        <v>6473</v>
      </c>
      <c r="I827" s="258">
        <f t="shared" si="3"/>
        <v>1891</v>
      </c>
      <c r="J827" s="157">
        <v>2025.0</v>
      </c>
    </row>
    <row r="828">
      <c r="A828" s="218">
        <f t="shared" si="2"/>
        <v>825</v>
      </c>
      <c r="B828" s="218" t="s">
        <v>201</v>
      </c>
      <c r="C828" s="219" t="str">
        <f t="shared" si="1"/>
        <v>HD/1892/2025</v>
      </c>
      <c r="D828" s="218" t="b">
        <v>1</v>
      </c>
      <c r="E828" s="219" t="b">
        <v>0</v>
      </c>
      <c r="F828" s="219"/>
      <c r="G828" s="173"/>
      <c r="H828" s="157" t="s">
        <v>6473</v>
      </c>
      <c r="I828" s="157">
        <f t="shared" si="3"/>
        <v>1892</v>
      </c>
      <c r="J828" s="157">
        <v>2025.0</v>
      </c>
    </row>
    <row r="829">
      <c r="A829" s="218">
        <f t="shared" si="2"/>
        <v>826</v>
      </c>
      <c r="B829" s="218" t="s">
        <v>201</v>
      </c>
      <c r="C829" s="219" t="str">
        <f t="shared" si="1"/>
        <v>HD/1893/2025</v>
      </c>
      <c r="D829" s="218" t="b">
        <v>1</v>
      </c>
      <c r="E829" s="219" t="b">
        <v>0</v>
      </c>
      <c r="F829" s="219"/>
      <c r="G829" s="173"/>
      <c r="H829" s="157" t="s">
        <v>6473</v>
      </c>
      <c r="I829" s="157">
        <f t="shared" si="3"/>
        <v>1893</v>
      </c>
      <c r="J829" s="157">
        <v>2025.0</v>
      </c>
    </row>
    <row r="830">
      <c r="A830" s="218">
        <f t="shared" si="2"/>
        <v>827</v>
      </c>
      <c r="B830" s="218" t="s">
        <v>201</v>
      </c>
      <c r="C830" s="219" t="str">
        <f t="shared" si="1"/>
        <v>HD/1894/2025</v>
      </c>
      <c r="D830" s="218" t="b">
        <v>1</v>
      </c>
      <c r="E830" s="219" t="b">
        <v>0</v>
      </c>
      <c r="F830" s="219"/>
      <c r="G830" s="173"/>
      <c r="H830" s="157" t="s">
        <v>6473</v>
      </c>
      <c r="I830" s="157">
        <f t="shared" si="3"/>
        <v>1894</v>
      </c>
      <c r="J830" s="157">
        <v>2025.0</v>
      </c>
    </row>
    <row r="831">
      <c r="A831" s="218">
        <f t="shared" si="2"/>
        <v>828</v>
      </c>
      <c r="B831" s="218" t="s">
        <v>201</v>
      </c>
      <c r="C831" s="219" t="str">
        <f t="shared" si="1"/>
        <v>HD/1895/2025</v>
      </c>
      <c r="D831" s="218" t="b">
        <v>1</v>
      </c>
      <c r="E831" s="219" t="b">
        <v>0</v>
      </c>
      <c r="F831" s="219"/>
      <c r="G831" s="173"/>
      <c r="H831" s="157" t="s">
        <v>6473</v>
      </c>
      <c r="I831" s="157">
        <f t="shared" si="3"/>
        <v>1895</v>
      </c>
      <c r="J831" s="157">
        <v>2025.0</v>
      </c>
    </row>
    <row r="832">
      <c r="A832" s="218">
        <f t="shared" si="2"/>
        <v>829</v>
      </c>
      <c r="B832" s="218" t="s">
        <v>201</v>
      </c>
      <c r="C832" s="219" t="str">
        <f t="shared" si="1"/>
        <v>HD/1896/2025</v>
      </c>
      <c r="D832" s="218" t="b">
        <v>1</v>
      </c>
      <c r="E832" s="219" t="b">
        <v>0</v>
      </c>
      <c r="F832" s="218" t="s">
        <v>6508</v>
      </c>
      <c r="G832" s="173"/>
      <c r="H832" s="157" t="s">
        <v>6473</v>
      </c>
      <c r="I832" s="258">
        <f t="shared" si="3"/>
        <v>1896</v>
      </c>
      <c r="J832" s="157">
        <v>2025.0</v>
      </c>
    </row>
    <row r="833">
      <c r="A833" s="218">
        <f t="shared" si="2"/>
        <v>830</v>
      </c>
      <c r="B833" s="218" t="s">
        <v>201</v>
      </c>
      <c r="C833" s="219" t="str">
        <f t="shared" si="1"/>
        <v>HD/1897/2025</v>
      </c>
      <c r="D833" s="218" t="b">
        <v>1</v>
      </c>
      <c r="E833" s="219" t="b">
        <v>0</v>
      </c>
      <c r="F833" s="218" t="s">
        <v>6508</v>
      </c>
      <c r="G833" s="173"/>
      <c r="H833" s="157" t="s">
        <v>6473</v>
      </c>
      <c r="I833" s="258">
        <f t="shared" si="3"/>
        <v>1897</v>
      </c>
      <c r="J833" s="157">
        <v>2025.0</v>
      </c>
    </row>
    <row r="834">
      <c r="A834" s="218">
        <f t="shared" si="2"/>
        <v>831</v>
      </c>
      <c r="B834" s="218" t="s">
        <v>201</v>
      </c>
      <c r="C834" s="219" t="str">
        <f t="shared" si="1"/>
        <v>HD/1898/2025</v>
      </c>
      <c r="D834" s="218" t="b">
        <v>1</v>
      </c>
      <c r="E834" s="219" t="b">
        <v>0</v>
      </c>
      <c r="F834" s="218" t="s">
        <v>6508</v>
      </c>
      <c r="G834" s="173"/>
      <c r="H834" s="157" t="s">
        <v>6473</v>
      </c>
      <c r="I834" s="258">
        <f t="shared" si="3"/>
        <v>1898</v>
      </c>
      <c r="J834" s="157">
        <v>2025.0</v>
      </c>
    </row>
    <row r="835">
      <c r="A835" s="218">
        <f t="shared" si="2"/>
        <v>832</v>
      </c>
      <c r="B835" s="218" t="s">
        <v>201</v>
      </c>
      <c r="C835" s="219" t="str">
        <f t="shared" si="1"/>
        <v>HD/1899/2025</v>
      </c>
      <c r="D835" s="218" t="b">
        <v>1</v>
      </c>
      <c r="E835" s="219" t="b">
        <v>0</v>
      </c>
      <c r="F835" s="218" t="s">
        <v>6508</v>
      </c>
      <c r="G835" s="173"/>
      <c r="H835" s="157" t="s">
        <v>6473</v>
      </c>
      <c r="I835" s="258">
        <f t="shared" si="3"/>
        <v>1899</v>
      </c>
      <c r="J835" s="157">
        <v>2025.0</v>
      </c>
    </row>
    <row r="836">
      <c r="A836" s="218">
        <f t="shared" si="2"/>
        <v>833</v>
      </c>
      <c r="B836" s="218" t="s">
        <v>201</v>
      </c>
      <c r="C836" s="219" t="str">
        <f t="shared" si="1"/>
        <v>HD/1900/2025</v>
      </c>
      <c r="D836" s="218" t="b">
        <v>1</v>
      </c>
      <c r="E836" s="219" t="b">
        <v>0</v>
      </c>
      <c r="F836" s="218" t="s">
        <v>6508</v>
      </c>
      <c r="G836" s="173"/>
      <c r="H836" s="157" t="s">
        <v>6473</v>
      </c>
      <c r="I836" s="258">
        <f t="shared" si="3"/>
        <v>1900</v>
      </c>
      <c r="J836" s="157">
        <v>2025.0</v>
      </c>
    </row>
    <row r="837">
      <c r="A837" s="218">
        <f t="shared" si="2"/>
        <v>834</v>
      </c>
      <c r="B837" s="218" t="s">
        <v>201</v>
      </c>
      <c r="C837" s="219" t="str">
        <f t="shared" si="1"/>
        <v>HD/1901/2025</v>
      </c>
      <c r="D837" s="218" t="b">
        <v>1</v>
      </c>
      <c r="E837" s="219" t="b">
        <v>0</v>
      </c>
      <c r="F837" s="218" t="s">
        <v>6508</v>
      </c>
      <c r="G837" s="173"/>
      <c r="H837" s="157" t="s">
        <v>6473</v>
      </c>
      <c r="I837" s="258">
        <f t="shared" si="3"/>
        <v>1901</v>
      </c>
      <c r="J837" s="157">
        <v>2025.0</v>
      </c>
    </row>
    <row r="838">
      <c r="A838" s="218">
        <f t="shared" si="2"/>
        <v>835</v>
      </c>
      <c r="B838" s="218" t="s">
        <v>201</v>
      </c>
      <c r="C838" s="219" t="str">
        <f t="shared" si="1"/>
        <v>HD/1902/2025</v>
      </c>
      <c r="D838" s="218" t="b">
        <v>1</v>
      </c>
      <c r="E838" s="219" t="b">
        <v>0</v>
      </c>
      <c r="F838" s="218" t="s">
        <v>6508</v>
      </c>
      <c r="G838" s="173"/>
      <c r="H838" s="157" t="s">
        <v>6473</v>
      </c>
      <c r="I838" s="258">
        <f t="shared" si="3"/>
        <v>1902</v>
      </c>
      <c r="J838" s="157">
        <v>2025.0</v>
      </c>
    </row>
    <row r="839">
      <c r="A839" s="218">
        <f t="shared" si="2"/>
        <v>836</v>
      </c>
      <c r="B839" s="218" t="s">
        <v>201</v>
      </c>
      <c r="C839" s="219" t="str">
        <f t="shared" si="1"/>
        <v>HD/1903/2025</v>
      </c>
      <c r="D839" s="218" t="b">
        <v>1</v>
      </c>
      <c r="E839" s="219" t="b">
        <v>0</v>
      </c>
      <c r="F839" s="218" t="s">
        <v>6508</v>
      </c>
      <c r="G839" s="173"/>
      <c r="H839" s="157" t="s">
        <v>6473</v>
      </c>
      <c r="I839" s="258">
        <f t="shared" si="3"/>
        <v>1903</v>
      </c>
      <c r="J839" s="157">
        <v>2025.0</v>
      </c>
    </row>
    <row r="840">
      <c r="A840" s="218">
        <f t="shared" si="2"/>
        <v>837</v>
      </c>
      <c r="B840" s="218" t="s">
        <v>201</v>
      </c>
      <c r="C840" s="219" t="str">
        <f t="shared" si="1"/>
        <v>HD/1904/2025</v>
      </c>
      <c r="D840" s="218" t="b">
        <v>1</v>
      </c>
      <c r="E840" s="219" t="b">
        <v>0</v>
      </c>
      <c r="F840" s="218" t="s">
        <v>6508</v>
      </c>
      <c r="G840" s="173"/>
      <c r="H840" s="157" t="s">
        <v>6473</v>
      </c>
      <c r="I840" s="258">
        <f t="shared" si="3"/>
        <v>1904</v>
      </c>
      <c r="J840" s="157">
        <v>2025.0</v>
      </c>
    </row>
    <row r="841">
      <c r="A841" s="218">
        <f t="shared" si="2"/>
        <v>838</v>
      </c>
      <c r="B841" s="218" t="s">
        <v>201</v>
      </c>
      <c r="C841" s="219" t="str">
        <f t="shared" si="1"/>
        <v>HD/1905/2025</v>
      </c>
      <c r="D841" s="218" t="b">
        <v>1</v>
      </c>
      <c r="E841" s="219" t="b">
        <v>0</v>
      </c>
      <c r="F841" s="218" t="s">
        <v>6508</v>
      </c>
      <c r="G841" s="173"/>
      <c r="H841" s="157" t="s">
        <v>6473</v>
      </c>
      <c r="I841" s="258">
        <f t="shared" si="3"/>
        <v>1905</v>
      </c>
      <c r="J841" s="157">
        <v>2025.0</v>
      </c>
    </row>
    <row r="842">
      <c r="A842" s="218">
        <f t="shared" si="2"/>
        <v>839</v>
      </c>
      <c r="B842" s="218" t="s">
        <v>201</v>
      </c>
      <c r="C842" s="219" t="str">
        <f t="shared" si="1"/>
        <v>HD/1906/2025</v>
      </c>
      <c r="D842" s="218" t="b">
        <v>1</v>
      </c>
      <c r="E842" s="219" t="b">
        <v>0</v>
      </c>
      <c r="F842" s="218" t="s">
        <v>6508</v>
      </c>
      <c r="G842" s="173"/>
      <c r="H842" s="157" t="s">
        <v>6473</v>
      </c>
      <c r="I842" s="258">
        <f t="shared" si="3"/>
        <v>1906</v>
      </c>
      <c r="J842" s="157">
        <v>2025.0</v>
      </c>
    </row>
    <row r="843">
      <c r="A843" s="218">
        <f t="shared" si="2"/>
        <v>840</v>
      </c>
      <c r="B843" s="218" t="s">
        <v>201</v>
      </c>
      <c r="C843" s="219" t="str">
        <f t="shared" si="1"/>
        <v>HD/1907/2025</v>
      </c>
      <c r="D843" s="218" t="b">
        <v>1</v>
      </c>
      <c r="E843" s="219" t="b">
        <v>0</v>
      </c>
      <c r="F843" s="218" t="s">
        <v>6508</v>
      </c>
      <c r="G843" s="173"/>
      <c r="H843" s="157" t="s">
        <v>6473</v>
      </c>
      <c r="I843" s="258">
        <f t="shared" si="3"/>
        <v>1907</v>
      </c>
      <c r="J843" s="157">
        <v>2025.0</v>
      </c>
    </row>
    <row r="844">
      <c r="A844" s="218">
        <f t="shared" si="2"/>
        <v>841</v>
      </c>
      <c r="B844" s="218" t="s">
        <v>201</v>
      </c>
      <c r="C844" s="219" t="str">
        <f t="shared" si="1"/>
        <v>HD/1908/2025</v>
      </c>
      <c r="D844" s="218" t="b">
        <v>1</v>
      </c>
      <c r="E844" s="219" t="b">
        <v>0</v>
      </c>
      <c r="F844" s="218" t="s">
        <v>6508</v>
      </c>
      <c r="G844" s="173"/>
      <c r="H844" s="157" t="s">
        <v>6473</v>
      </c>
      <c r="I844" s="258">
        <f t="shared" si="3"/>
        <v>1908</v>
      </c>
      <c r="J844" s="157">
        <v>2025.0</v>
      </c>
    </row>
    <row r="845">
      <c r="A845" s="218">
        <f t="shared" si="2"/>
        <v>842</v>
      </c>
      <c r="B845" s="218" t="s">
        <v>201</v>
      </c>
      <c r="C845" s="219" t="str">
        <f t="shared" si="1"/>
        <v>HD/1909/2025</v>
      </c>
      <c r="D845" s="218" t="b">
        <v>1</v>
      </c>
      <c r="E845" s="219" t="b">
        <v>0</v>
      </c>
      <c r="F845" s="218" t="s">
        <v>6508</v>
      </c>
      <c r="G845" s="173"/>
      <c r="H845" s="157" t="s">
        <v>6473</v>
      </c>
      <c r="I845" s="258">
        <f t="shared" si="3"/>
        <v>1909</v>
      </c>
      <c r="J845" s="157">
        <v>2025.0</v>
      </c>
    </row>
    <row r="846">
      <c r="A846" s="218">
        <f t="shared" si="2"/>
        <v>843</v>
      </c>
      <c r="B846" s="218" t="s">
        <v>201</v>
      </c>
      <c r="C846" s="219" t="str">
        <f t="shared" si="1"/>
        <v>HD/1910/2025</v>
      </c>
      <c r="D846" s="218" t="b">
        <v>1</v>
      </c>
      <c r="E846" s="219" t="b">
        <v>0</v>
      </c>
      <c r="F846" s="218" t="s">
        <v>6508</v>
      </c>
      <c r="G846" s="173"/>
      <c r="H846" s="157" t="s">
        <v>6473</v>
      </c>
      <c r="I846" s="258">
        <f t="shared" si="3"/>
        <v>1910</v>
      </c>
      <c r="J846" s="157">
        <v>2025.0</v>
      </c>
    </row>
    <row r="847">
      <c r="A847" s="272">
        <f t="shared" si="2"/>
        <v>844</v>
      </c>
      <c r="B847" s="272" t="s">
        <v>201</v>
      </c>
      <c r="C847" s="273" t="str">
        <f t="shared" si="1"/>
        <v>HD/1911/2026</v>
      </c>
      <c r="D847" s="272" t="b">
        <v>1</v>
      </c>
      <c r="E847" s="273" t="b">
        <v>0</v>
      </c>
      <c r="F847" s="272" t="s">
        <v>6785</v>
      </c>
      <c r="G847" s="274"/>
      <c r="H847" s="275" t="s">
        <v>6473</v>
      </c>
      <c r="I847" s="275">
        <f t="shared" si="3"/>
        <v>1911</v>
      </c>
      <c r="J847" s="275">
        <v>2026.0</v>
      </c>
      <c r="K847" s="276"/>
      <c r="L847" s="276"/>
      <c r="M847" s="276"/>
      <c r="N847" s="276"/>
      <c r="O847" s="276"/>
      <c r="P847" s="276"/>
      <c r="Q847" s="276"/>
      <c r="R847" s="276"/>
      <c r="S847" s="276"/>
      <c r="T847" s="276"/>
      <c r="U847" s="276"/>
      <c r="V847" s="276"/>
      <c r="W847" s="276"/>
      <c r="X847" s="276"/>
      <c r="Y847" s="276"/>
      <c r="Z847" s="276"/>
      <c r="AA847" s="276"/>
      <c r="AB847" s="276"/>
      <c r="AC847" s="276"/>
    </row>
    <row r="848">
      <c r="A848" s="218">
        <f t="shared" si="2"/>
        <v>845</v>
      </c>
      <c r="B848" s="218" t="s">
        <v>201</v>
      </c>
      <c r="C848" s="219" t="str">
        <f t="shared" si="1"/>
        <v>HD/1912/2026</v>
      </c>
      <c r="D848" s="218" t="b">
        <v>1</v>
      </c>
      <c r="E848" s="219" t="b">
        <v>0</v>
      </c>
      <c r="F848" s="218" t="s">
        <v>6785</v>
      </c>
      <c r="G848" s="173"/>
      <c r="H848" s="157" t="s">
        <v>6473</v>
      </c>
      <c r="I848" s="277">
        <f t="shared" si="3"/>
        <v>1912</v>
      </c>
      <c r="J848" s="157">
        <v>2026.0</v>
      </c>
    </row>
    <row r="849">
      <c r="A849" s="218">
        <f t="shared" si="2"/>
        <v>846</v>
      </c>
      <c r="B849" s="218" t="s">
        <v>201</v>
      </c>
      <c r="C849" s="219" t="str">
        <f t="shared" si="1"/>
        <v>HD/1913/2026</v>
      </c>
      <c r="D849" s="218" t="b">
        <v>1</v>
      </c>
      <c r="E849" s="219" t="b">
        <v>0</v>
      </c>
      <c r="F849" s="218" t="s">
        <v>6785</v>
      </c>
      <c r="G849" s="173"/>
      <c r="H849" s="157" t="s">
        <v>6473</v>
      </c>
      <c r="I849" s="277">
        <f t="shared" si="3"/>
        <v>1913</v>
      </c>
      <c r="J849" s="157">
        <v>2026.0</v>
      </c>
    </row>
    <row r="850">
      <c r="A850" s="218">
        <f t="shared" si="2"/>
        <v>847</v>
      </c>
      <c r="B850" s="218" t="s">
        <v>201</v>
      </c>
      <c r="C850" s="219" t="str">
        <f t="shared" si="1"/>
        <v>HD/1914/2026</v>
      </c>
      <c r="D850" s="218" t="b">
        <v>1</v>
      </c>
      <c r="E850" s="219" t="b">
        <v>0</v>
      </c>
      <c r="F850" s="218" t="s">
        <v>6785</v>
      </c>
      <c r="G850" s="173"/>
      <c r="H850" s="157" t="s">
        <v>6473</v>
      </c>
      <c r="I850" s="277">
        <f t="shared" si="3"/>
        <v>1914</v>
      </c>
      <c r="J850" s="157">
        <v>2026.0</v>
      </c>
    </row>
    <row r="851">
      <c r="A851" s="218">
        <f t="shared" si="2"/>
        <v>848</v>
      </c>
      <c r="B851" s="218" t="s">
        <v>201</v>
      </c>
      <c r="C851" s="219" t="str">
        <f t="shared" si="1"/>
        <v>HD/1915/2026</v>
      </c>
      <c r="D851" s="218" t="b">
        <v>1</v>
      </c>
      <c r="E851" s="219" t="b">
        <v>0</v>
      </c>
      <c r="F851" s="218" t="s">
        <v>6785</v>
      </c>
      <c r="G851" s="173"/>
      <c r="H851" s="157" t="s">
        <v>6473</v>
      </c>
      <c r="I851" s="277">
        <f t="shared" si="3"/>
        <v>1915</v>
      </c>
      <c r="J851" s="157">
        <v>2026.0</v>
      </c>
    </row>
    <row r="852">
      <c r="A852" s="218">
        <f t="shared" si="2"/>
        <v>849</v>
      </c>
      <c r="B852" s="218" t="s">
        <v>201</v>
      </c>
      <c r="C852" s="219" t="str">
        <f t="shared" si="1"/>
        <v>HD/1916/2026</v>
      </c>
      <c r="D852" s="218" t="b">
        <v>1</v>
      </c>
      <c r="E852" s="219" t="b">
        <v>0</v>
      </c>
      <c r="F852" s="218" t="s">
        <v>6785</v>
      </c>
      <c r="G852" s="173"/>
      <c r="H852" s="157" t="s">
        <v>6473</v>
      </c>
      <c r="I852" s="277">
        <f t="shared" si="3"/>
        <v>1916</v>
      </c>
      <c r="J852" s="157">
        <v>2026.0</v>
      </c>
    </row>
    <row r="853">
      <c r="A853" s="218">
        <f t="shared" si="2"/>
        <v>850</v>
      </c>
      <c r="B853" s="218" t="s">
        <v>201</v>
      </c>
      <c r="C853" s="219" t="str">
        <f t="shared" si="1"/>
        <v>HD/1917/2026</v>
      </c>
      <c r="D853" s="218" t="b">
        <v>1</v>
      </c>
      <c r="E853" s="219" t="b">
        <v>0</v>
      </c>
      <c r="F853" s="218" t="s">
        <v>6785</v>
      </c>
      <c r="G853" s="173"/>
      <c r="H853" s="157" t="s">
        <v>6473</v>
      </c>
      <c r="I853" s="277">
        <f t="shared" si="3"/>
        <v>1917</v>
      </c>
      <c r="J853" s="157">
        <v>2026.0</v>
      </c>
    </row>
    <row r="854">
      <c r="A854" s="218">
        <f t="shared" si="2"/>
        <v>851</v>
      </c>
      <c r="B854" s="218" t="s">
        <v>201</v>
      </c>
      <c r="C854" s="219" t="str">
        <f t="shared" si="1"/>
        <v>HD/1918/2026</v>
      </c>
      <c r="D854" s="218" t="b">
        <v>1</v>
      </c>
      <c r="E854" s="219" t="b">
        <v>0</v>
      </c>
      <c r="F854" s="218" t="s">
        <v>6785</v>
      </c>
      <c r="G854" s="173"/>
      <c r="H854" s="157" t="s">
        <v>6473</v>
      </c>
      <c r="I854" s="277">
        <f t="shared" si="3"/>
        <v>1918</v>
      </c>
      <c r="J854" s="157">
        <v>2026.0</v>
      </c>
    </row>
    <row r="855">
      <c r="A855" s="218">
        <f t="shared" si="2"/>
        <v>852</v>
      </c>
      <c r="B855" s="218" t="s">
        <v>201</v>
      </c>
      <c r="C855" s="219" t="str">
        <f t="shared" si="1"/>
        <v>HD/1919/2026</v>
      </c>
      <c r="D855" s="218" t="b">
        <v>1</v>
      </c>
      <c r="E855" s="219" t="b">
        <v>0</v>
      </c>
      <c r="F855" s="218" t="s">
        <v>6785</v>
      </c>
      <c r="G855" s="173"/>
      <c r="H855" s="157" t="s">
        <v>6473</v>
      </c>
      <c r="I855" s="277">
        <f t="shared" si="3"/>
        <v>1919</v>
      </c>
      <c r="J855" s="157">
        <v>2026.0</v>
      </c>
    </row>
    <row r="856">
      <c r="A856" s="218">
        <f t="shared" si="2"/>
        <v>853</v>
      </c>
      <c r="B856" s="218" t="s">
        <v>201</v>
      </c>
      <c r="C856" s="219" t="str">
        <f t="shared" si="1"/>
        <v>HD/1920/2026</v>
      </c>
      <c r="D856" s="218" t="b">
        <v>1</v>
      </c>
      <c r="E856" s="219" t="b">
        <v>0</v>
      </c>
      <c r="F856" s="218" t="s">
        <v>6785</v>
      </c>
      <c r="G856" s="173"/>
      <c r="H856" s="157" t="s">
        <v>6473</v>
      </c>
      <c r="I856" s="277">
        <f t="shared" si="3"/>
        <v>1920</v>
      </c>
      <c r="J856" s="157">
        <v>2026.0</v>
      </c>
    </row>
    <row r="857">
      <c r="A857" s="218">
        <f t="shared" si="2"/>
        <v>854</v>
      </c>
      <c r="B857" s="218" t="s">
        <v>201</v>
      </c>
      <c r="C857" s="219" t="str">
        <f t="shared" si="1"/>
        <v>HD/1921/2026</v>
      </c>
      <c r="D857" s="218" t="b">
        <v>1</v>
      </c>
      <c r="E857" s="219" t="b">
        <v>0</v>
      </c>
      <c r="F857" s="218" t="s">
        <v>6785</v>
      </c>
      <c r="G857" s="173"/>
      <c r="H857" s="157" t="s">
        <v>6473</v>
      </c>
      <c r="I857" s="277">
        <f t="shared" si="3"/>
        <v>1921</v>
      </c>
      <c r="J857" s="157">
        <v>2026.0</v>
      </c>
    </row>
    <row r="858">
      <c r="A858" s="218">
        <f t="shared" si="2"/>
        <v>855</v>
      </c>
      <c r="B858" s="218" t="s">
        <v>201</v>
      </c>
      <c r="C858" s="219" t="str">
        <f t="shared" si="1"/>
        <v>HD/1922/2026</v>
      </c>
      <c r="D858" s="218" t="b">
        <v>1</v>
      </c>
      <c r="E858" s="219" t="b">
        <v>0</v>
      </c>
      <c r="F858" s="218" t="s">
        <v>6785</v>
      </c>
      <c r="G858" s="173"/>
      <c r="H858" s="157" t="s">
        <v>6473</v>
      </c>
      <c r="I858" s="277">
        <f t="shared" si="3"/>
        <v>1922</v>
      </c>
      <c r="J858" s="157">
        <v>2026.0</v>
      </c>
    </row>
    <row r="859">
      <c r="A859" s="218">
        <f t="shared" si="2"/>
        <v>856</v>
      </c>
      <c r="B859" s="218" t="s">
        <v>201</v>
      </c>
      <c r="C859" s="219" t="str">
        <f t="shared" si="1"/>
        <v>HD/1923/2026</v>
      </c>
      <c r="D859" s="218" t="b">
        <v>1</v>
      </c>
      <c r="E859" s="219" t="b">
        <v>0</v>
      </c>
      <c r="F859" s="218" t="s">
        <v>6785</v>
      </c>
      <c r="G859" s="173"/>
      <c r="H859" s="157" t="s">
        <v>6473</v>
      </c>
      <c r="I859" s="277">
        <f t="shared" si="3"/>
        <v>1923</v>
      </c>
      <c r="J859" s="157">
        <v>2026.0</v>
      </c>
    </row>
    <row r="860">
      <c r="A860" s="218">
        <f t="shared" si="2"/>
        <v>857</v>
      </c>
      <c r="B860" s="218" t="s">
        <v>201</v>
      </c>
      <c r="C860" s="219" t="str">
        <f t="shared" si="1"/>
        <v>HD/1924/2026</v>
      </c>
      <c r="D860" s="218" t="b">
        <v>1</v>
      </c>
      <c r="E860" s="219" t="b">
        <v>0</v>
      </c>
      <c r="F860" s="218" t="s">
        <v>6785</v>
      </c>
      <c r="G860" s="173"/>
      <c r="H860" s="157" t="s">
        <v>6473</v>
      </c>
      <c r="I860" s="277">
        <f t="shared" si="3"/>
        <v>1924</v>
      </c>
      <c r="J860" s="157">
        <v>2026.0</v>
      </c>
    </row>
    <row r="861">
      <c r="A861" s="218">
        <f t="shared" si="2"/>
        <v>858</v>
      </c>
      <c r="B861" s="218" t="s">
        <v>201</v>
      </c>
      <c r="C861" s="219" t="str">
        <f t="shared" si="1"/>
        <v>HD/1925/2026</v>
      </c>
      <c r="D861" s="218" t="b">
        <v>1</v>
      </c>
      <c r="E861" s="219" t="b">
        <v>0</v>
      </c>
      <c r="F861" s="218" t="s">
        <v>6785</v>
      </c>
      <c r="G861" s="173"/>
      <c r="H861" s="157" t="s">
        <v>6473</v>
      </c>
      <c r="I861" s="277">
        <f t="shared" si="3"/>
        <v>1925</v>
      </c>
      <c r="J861" s="157">
        <v>2026.0</v>
      </c>
    </row>
    <row r="862">
      <c r="A862" s="218">
        <f t="shared" si="2"/>
        <v>859</v>
      </c>
      <c r="B862" s="218" t="s">
        <v>201</v>
      </c>
      <c r="C862" s="219" t="str">
        <f t="shared" si="1"/>
        <v>HD/1926/2026</v>
      </c>
      <c r="D862" s="218" t="b">
        <v>1</v>
      </c>
      <c r="E862" s="219" t="b">
        <v>0</v>
      </c>
      <c r="F862" s="218" t="s">
        <v>6785</v>
      </c>
      <c r="G862" s="173"/>
      <c r="H862" s="157" t="s">
        <v>6473</v>
      </c>
      <c r="I862" s="277">
        <f t="shared" si="3"/>
        <v>1926</v>
      </c>
      <c r="J862" s="157">
        <v>2026.0</v>
      </c>
    </row>
    <row r="863">
      <c r="A863" s="218">
        <f t="shared" si="2"/>
        <v>860</v>
      </c>
      <c r="B863" s="218" t="s">
        <v>201</v>
      </c>
      <c r="C863" s="219" t="str">
        <f t="shared" si="1"/>
        <v>HD/1927/2026</v>
      </c>
      <c r="D863" s="218" t="b">
        <v>1</v>
      </c>
      <c r="E863" s="219" t="b">
        <v>0</v>
      </c>
      <c r="F863" s="218" t="s">
        <v>6785</v>
      </c>
      <c r="G863" s="173"/>
      <c r="H863" s="157" t="s">
        <v>6473</v>
      </c>
      <c r="I863" s="277">
        <f t="shared" si="3"/>
        <v>1927</v>
      </c>
      <c r="J863" s="157">
        <v>2026.0</v>
      </c>
    </row>
    <row r="864">
      <c r="A864" s="218">
        <f t="shared" si="2"/>
        <v>861</v>
      </c>
      <c r="B864" s="218" t="s">
        <v>201</v>
      </c>
      <c r="C864" s="224" t="str">
        <f t="shared" si="1"/>
        <v>HD/1928/2026</v>
      </c>
      <c r="D864" s="218" t="b">
        <v>1</v>
      </c>
      <c r="E864" s="219" t="b">
        <v>0</v>
      </c>
      <c r="F864" s="218" t="s">
        <v>6785</v>
      </c>
      <c r="G864" s="173"/>
      <c r="H864" s="157" t="s">
        <v>6473</v>
      </c>
      <c r="I864" s="277">
        <f t="shared" si="3"/>
        <v>1928</v>
      </c>
      <c r="J864" s="157">
        <v>2026.0</v>
      </c>
    </row>
    <row r="865">
      <c r="A865" s="218">
        <f t="shared" si="2"/>
        <v>862</v>
      </c>
      <c r="B865" s="218" t="s">
        <v>201</v>
      </c>
      <c r="C865" s="224" t="str">
        <f t="shared" si="1"/>
        <v>HD/1929/2026</v>
      </c>
      <c r="D865" s="218" t="b">
        <v>1</v>
      </c>
      <c r="E865" s="219" t="b">
        <v>0</v>
      </c>
      <c r="F865" s="218" t="s">
        <v>6785</v>
      </c>
      <c r="G865" s="173"/>
      <c r="H865" s="157" t="s">
        <v>6473</v>
      </c>
      <c r="I865" s="277">
        <f t="shared" si="3"/>
        <v>1929</v>
      </c>
      <c r="J865" s="157">
        <v>2026.0</v>
      </c>
    </row>
    <row r="866">
      <c r="A866" s="218">
        <f t="shared" si="2"/>
        <v>863</v>
      </c>
      <c r="B866" s="218" t="s">
        <v>201</v>
      </c>
      <c r="C866" s="224" t="str">
        <f t="shared" si="1"/>
        <v>HD/1930/2026</v>
      </c>
      <c r="D866" s="218" t="b">
        <v>1</v>
      </c>
      <c r="E866" s="219" t="b">
        <v>0</v>
      </c>
      <c r="F866" s="218" t="s">
        <v>6785</v>
      </c>
      <c r="G866" s="173"/>
      <c r="H866" s="157" t="s">
        <v>6473</v>
      </c>
      <c r="I866" s="277">
        <f t="shared" si="3"/>
        <v>1930</v>
      </c>
      <c r="J866" s="157">
        <v>2026.0</v>
      </c>
    </row>
    <row r="867">
      <c r="A867" s="218">
        <f t="shared" si="2"/>
        <v>864</v>
      </c>
      <c r="B867" s="218" t="s">
        <v>201</v>
      </c>
      <c r="C867" s="224" t="str">
        <f t="shared" si="1"/>
        <v>HD/1931/2026</v>
      </c>
      <c r="D867" s="218" t="b">
        <v>1</v>
      </c>
      <c r="E867" s="219" t="b">
        <v>0</v>
      </c>
      <c r="F867" s="218" t="s">
        <v>6785</v>
      </c>
      <c r="G867" s="173"/>
      <c r="H867" s="157" t="s">
        <v>6473</v>
      </c>
      <c r="I867" s="277">
        <f t="shared" si="3"/>
        <v>1931</v>
      </c>
      <c r="J867" s="157">
        <v>2026.0</v>
      </c>
    </row>
    <row r="868">
      <c r="A868" s="218">
        <f t="shared" si="2"/>
        <v>865</v>
      </c>
      <c r="B868" s="218" t="s">
        <v>201</v>
      </c>
      <c r="C868" s="224" t="str">
        <f t="shared" si="1"/>
        <v>HD/1932/2026</v>
      </c>
      <c r="D868" s="218" t="b">
        <v>1</v>
      </c>
      <c r="E868" s="219" t="b">
        <v>0</v>
      </c>
      <c r="F868" s="218" t="s">
        <v>6785</v>
      </c>
      <c r="G868" s="173"/>
      <c r="H868" s="157" t="s">
        <v>6473</v>
      </c>
      <c r="I868" s="277">
        <f t="shared" si="3"/>
        <v>1932</v>
      </c>
      <c r="J868" s="157">
        <v>2026.0</v>
      </c>
    </row>
    <row r="869">
      <c r="A869" s="218">
        <f t="shared" si="2"/>
        <v>866</v>
      </c>
      <c r="B869" s="218" t="s">
        <v>201</v>
      </c>
      <c r="C869" s="224" t="str">
        <f t="shared" si="1"/>
        <v>HD/1933/2026</v>
      </c>
      <c r="D869" s="218" t="b">
        <v>1</v>
      </c>
      <c r="E869" s="219" t="b">
        <v>0</v>
      </c>
      <c r="F869" s="218" t="s">
        <v>6785</v>
      </c>
      <c r="G869" s="173"/>
      <c r="H869" s="157" t="s">
        <v>6473</v>
      </c>
      <c r="I869" s="277">
        <f t="shared" si="3"/>
        <v>1933</v>
      </c>
      <c r="J869" s="157">
        <v>2026.0</v>
      </c>
    </row>
    <row r="870">
      <c r="A870" s="218">
        <f t="shared" si="2"/>
        <v>867</v>
      </c>
      <c r="B870" s="218" t="s">
        <v>201</v>
      </c>
      <c r="C870" s="224" t="str">
        <f t="shared" si="1"/>
        <v>HD/1934/2026</v>
      </c>
      <c r="D870" s="218" t="b">
        <v>1</v>
      </c>
      <c r="E870" s="219" t="b">
        <v>0</v>
      </c>
      <c r="F870" s="218" t="s">
        <v>6785</v>
      </c>
      <c r="G870" s="173"/>
      <c r="H870" s="157" t="s">
        <v>6473</v>
      </c>
      <c r="I870" s="277">
        <f t="shared" si="3"/>
        <v>1934</v>
      </c>
      <c r="J870" s="157">
        <v>2026.0</v>
      </c>
    </row>
    <row r="871">
      <c r="A871" s="218">
        <f t="shared" si="2"/>
        <v>868</v>
      </c>
      <c r="B871" s="218" t="s">
        <v>201</v>
      </c>
      <c r="C871" s="224" t="str">
        <f t="shared" si="1"/>
        <v>HD/1935/2026</v>
      </c>
      <c r="D871" s="218" t="b">
        <v>1</v>
      </c>
      <c r="E871" s="219" t="b">
        <v>0</v>
      </c>
      <c r="F871" s="218" t="s">
        <v>6785</v>
      </c>
      <c r="G871" s="173"/>
      <c r="H871" s="157" t="s">
        <v>6473</v>
      </c>
      <c r="I871" s="277">
        <f t="shared" si="3"/>
        <v>1935</v>
      </c>
      <c r="J871" s="157">
        <v>2026.0</v>
      </c>
    </row>
    <row r="872">
      <c r="A872" s="218">
        <f t="shared" si="2"/>
        <v>869</v>
      </c>
      <c r="B872" s="218" t="s">
        <v>201</v>
      </c>
      <c r="C872" s="224" t="str">
        <f t="shared" si="1"/>
        <v>HD/1936/2026</v>
      </c>
      <c r="D872" s="218" t="b">
        <v>1</v>
      </c>
      <c r="E872" s="219" t="b">
        <v>0</v>
      </c>
      <c r="F872" s="218" t="s">
        <v>6785</v>
      </c>
      <c r="G872" s="173"/>
      <c r="H872" s="157" t="s">
        <v>6473</v>
      </c>
      <c r="I872" s="277">
        <f t="shared" si="3"/>
        <v>1936</v>
      </c>
      <c r="J872" s="157">
        <v>2026.0</v>
      </c>
    </row>
    <row r="873">
      <c r="A873" s="218">
        <f t="shared" si="2"/>
        <v>870</v>
      </c>
      <c r="B873" s="218" t="s">
        <v>201</v>
      </c>
      <c r="C873" s="224" t="str">
        <f t="shared" si="1"/>
        <v>HD/1937/2026</v>
      </c>
      <c r="D873" s="218" t="b">
        <v>1</v>
      </c>
      <c r="E873" s="219" t="b">
        <v>0</v>
      </c>
      <c r="F873" s="218" t="s">
        <v>6785</v>
      </c>
      <c r="G873" s="173"/>
      <c r="H873" s="157" t="s">
        <v>6473</v>
      </c>
      <c r="I873" s="277">
        <f t="shared" si="3"/>
        <v>1937</v>
      </c>
      <c r="J873" s="157">
        <v>2026.0</v>
      </c>
    </row>
    <row r="874">
      <c r="A874" s="218">
        <f t="shared" si="2"/>
        <v>871</v>
      </c>
      <c r="B874" s="218" t="s">
        <v>201</v>
      </c>
      <c r="C874" s="224" t="str">
        <f t="shared" si="1"/>
        <v>HD/1938/2026</v>
      </c>
      <c r="D874" s="218" t="b">
        <v>1</v>
      </c>
      <c r="E874" s="219" t="b">
        <v>0</v>
      </c>
      <c r="F874" s="218" t="s">
        <v>6785</v>
      </c>
      <c r="G874" s="173"/>
      <c r="H874" s="157" t="s">
        <v>6473</v>
      </c>
      <c r="I874" s="277">
        <f t="shared" si="3"/>
        <v>1938</v>
      </c>
      <c r="J874" s="157">
        <v>2026.0</v>
      </c>
    </row>
    <row r="875">
      <c r="A875" s="218">
        <f t="shared" si="2"/>
        <v>872</v>
      </c>
      <c r="B875" s="218" t="s">
        <v>201</v>
      </c>
      <c r="C875" s="224" t="str">
        <f t="shared" si="1"/>
        <v>HD/1939/2026</v>
      </c>
      <c r="D875" s="218" t="b">
        <v>1</v>
      </c>
      <c r="E875" s="219" t="b">
        <v>0</v>
      </c>
      <c r="F875" s="218" t="s">
        <v>6785</v>
      </c>
      <c r="G875" s="173"/>
      <c r="H875" s="157" t="s">
        <v>6473</v>
      </c>
      <c r="I875" s="277">
        <f t="shared" si="3"/>
        <v>1939</v>
      </c>
      <c r="J875" s="157">
        <v>2026.0</v>
      </c>
    </row>
    <row r="876">
      <c r="A876" s="218">
        <f t="shared" si="2"/>
        <v>873</v>
      </c>
      <c r="B876" s="218" t="s">
        <v>201</v>
      </c>
      <c r="C876" s="224" t="str">
        <f t="shared" si="1"/>
        <v>HD/1940/2026</v>
      </c>
      <c r="D876" s="218" t="b">
        <v>1</v>
      </c>
      <c r="E876" s="219" t="b">
        <v>0</v>
      </c>
      <c r="F876" s="218" t="s">
        <v>6785</v>
      </c>
      <c r="G876" s="173"/>
      <c r="H876" s="157" t="s">
        <v>6473</v>
      </c>
      <c r="I876" s="277">
        <f t="shared" si="3"/>
        <v>1940</v>
      </c>
      <c r="J876" s="157">
        <v>2026.0</v>
      </c>
    </row>
    <row r="877">
      <c r="A877" s="218">
        <f t="shared" si="2"/>
        <v>874</v>
      </c>
      <c r="B877" s="218" t="s">
        <v>201</v>
      </c>
      <c r="C877" s="224" t="str">
        <f t="shared" si="1"/>
        <v>HD/1941/2026</v>
      </c>
      <c r="D877" s="218" t="b">
        <v>1</v>
      </c>
      <c r="E877" s="219" t="b">
        <v>0</v>
      </c>
      <c r="F877" s="218" t="s">
        <v>6785</v>
      </c>
      <c r="G877" s="173"/>
      <c r="H877" s="157" t="s">
        <v>6473</v>
      </c>
      <c r="I877" s="277">
        <f t="shared" si="3"/>
        <v>1941</v>
      </c>
      <c r="J877" s="157">
        <v>2026.0</v>
      </c>
    </row>
    <row r="878">
      <c r="A878" s="218">
        <f t="shared" si="2"/>
        <v>875</v>
      </c>
      <c r="B878" s="218" t="s">
        <v>201</v>
      </c>
      <c r="C878" s="224" t="str">
        <f t="shared" si="1"/>
        <v>HD/1942/2026</v>
      </c>
      <c r="D878" s="218" t="b">
        <v>1</v>
      </c>
      <c r="E878" s="219" t="b">
        <v>0</v>
      </c>
      <c r="F878" s="218" t="s">
        <v>6785</v>
      </c>
      <c r="G878" s="173"/>
      <c r="H878" s="157" t="s">
        <v>6473</v>
      </c>
      <c r="I878" s="277">
        <f t="shared" si="3"/>
        <v>1942</v>
      </c>
      <c r="J878" s="157">
        <v>2026.0</v>
      </c>
    </row>
    <row r="879">
      <c r="A879" s="218">
        <f t="shared" si="2"/>
        <v>876</v>
      </c>
      <c r="B879" s="218" t="s">
        <v>201</v>
      </c>
      <c r="C879" s="224" t="str">
        <f t="shared" si="1"/>
        <v>HD/1943/2026</v>
      </c>
      <c r="D879" s="218" t="b">
        <v>1</v>
      </c>
      <c r="E879" s="219" t="b">
        <v>0</v>
      </c>
      <c r="F879" s="218" t="s">
        <v>6785</v>
      </c>
      <c r="G879" s="173"/>
      <c r="H879" s="157" t="s">
        <v>6473</v>
      </c>
      <c r="I879" s="277">
        <f t="shared" si="3"/>
        <v>1943</v>
      </c>
      <c r="J879" s="157">
        <v>2026.0</v>
      </c>
    </row>
    <row r="880">
      <c r="A880" s="218">
        <f t="shared" si="2"/>
        <v>877</v>
      </c>
      <c r="B880" s="218" t="s">
        <v>201</v>
      </c>
      <c r="C880" s="224" t="str">
        <f t="shared" si="1"/>
        <v>HD/1944/2026</v>
      </c>
      <c r="D880" s="218" t="b">
        <v>1</v>
      </c>
      <c r="E880" s="219" t="b">
        <v>0</v>
      </c>
      <c r="F880" s="218" t="s">
        <v>6785</v>
      </c>
      <c r="G880" s="173"/>
      <c r="H880" s="157" t="s">
        <v>6473</v>
      </c>
      <c r="I880" s="277">
        <f t="shared" si="3"/>
        <v>1944</v>
      </c>
      <c r="J880" s="157">
        <v>2026.0</v>
      </c>
    </row>
    <row r="881">
      <c r="A881" s="218">
        <f t="shared" si="2"/>
        <v>878</v>
      </c>
      <c r="B881" s="218" t="s">
        <v>201</v>
      </c>
      <c r="C881" s="224" t="str">
        <f t="shared" si="1"/>
        <v>HD/1945/2026</v>
      </c>
      <c r="D881" s="218" t="b">
        <v>1</v>
      </c>
      <c r="E881" s="219" t="b">
        <v>0</v>
      </c>
      <c r="F881" s="218" t="s">
        <v>6785</v>
      </c>
      <c r="G881" s="173"/>
      <c r="H881" s="157" t="s">
        <v>6473</v>
      </c>
      <c r="I881" s="277">
        <f t="shared" si="3"/>
        <v>1945</v>
      </c>
      <c r="J881" s="157">
        <v>2026.0</v>
      </c>
    </row>
    <row r="882">
      <c r="A882" s="218">
        <f t="shared" si="2"/>
        <v>879</v>
      </c>
      <c r="B882" s="218" t="s">
        <v>201</v>
      </c>
      <c r="C882" s="224" t="str">
        <f t="shared" si="1"/>
        <v>HD/1946/2026</v>
      </c>
      <c r="D882" s="218" t="b">
        <v>1</v>
      </c>
      <c r="E882" s="219" t="b">
        <v>0</v>
      </c>
      <c r="F882" s="218" t="s">
        <v>6785</v>
      </c>
      <c r="G882" s="173"/>
      <c r="H882" s="157" t="s">
        <v>6473</v>
      </c>
      <c r="I882" s="277">
        <f t="shared" si="3"/>
        <v>1946</v>
      </c>
      <c r="J882" s="157">
        <v>2026.0</v>
      </c>
    </row>
    <row r="883">
      <c r="A883" s="218">
        <f t="shared" si="2"/>
        <v>880</v>
      </c>
      <c r="B883" s="218" t="s">
        <v>201</v>
      </c>
      <c r="C883" s="224" t="str">
        <f t="shared" si="1"/>
        <v>HD/1947/2026</v>
      </c>
      <c r="D883" s="218" t="b">
        <v>1</v>
      </c>
      <c r="E883" s="219" t="b">
        <v>0</v>
      </c>
      <c r="F883" s="218" t="s">
        <v>6785</v>
      </c>
      <c r="G883" s="173"/>
      <c r="H883" s="157" t="s">
        <v>6473</v>
      </c>
      <c r="I883" s="277">
        <f t="shared" si="3"/>
        <v>1947</v>
      </c>
      <c r="J883" s="157">
        <v>2026.0</v>
      </c>
    </row>
    <row r="884">
      <c r="A884" s="218">
        <f t="shared" si="2"/>
        <v>881</v>
      </c>
      <c r="B884" s="218" t="s">
        <v>201</v>
      </c>
      <c r="C884" s="224" t="str">
        <f t="shared" si="1"/>
        <v>HD/1948/2026</v>
      </c>
      <c r="D884" s="218" t="b">
        <v>1</v>
      </c>
      <c r="E884" s="219" t="b">
        <v>0</v>
      </c>
      <c r="F884" s="218" t="s">
        <v>6785</v>
      </c>
      <c r="G884" s="173"/>
      <c r="H884" s="157" t="s">
        <v>6473</v>
      </c>
      <c r="I884" s="277">
        <f t="shared" si="3"/>
        <v>1948</v>
      </c>
      <c r="J884" s="157">
        <v>2026.0</v>
      </c>
    </row>
    <row r="885">
      <c r="A885" s="218">
        <f t="shared" si="2"/>
        <v>882</v>
      </c>
      <c r="B885" s="218" t="s">
        <v>201</v>
      </c>
      <c r="C885" s="224" t="str">
        <f t="shared" si="1"/>
        <v>HD/1949/2026</v>
      </c>
      <c r="D885" s="218" t="b">
        <v>1</v>
      </c>
      <c r="E885" s="219" t="b">
        <v>0</v>
      </c>
      <c r="F885" s="218" t="s">
        <v>6785</v>
      </c>
      <c r="G885" s="173"/>
      <c r="H885" s="157" t="s">
        <v>6473</v>
      </c>
      <c r="I885" s="277">
        <f t="shared" si="3"/>
        <v>1949</v>
      </c>
      <c r="J885" s="157">
        <v>2026.0</v>
      </c>
    </row>
    <row r="886">
      <c r="A886" s="218">
        <f t="shared" si="2"/>
        <v>883</v>
      </c>
      <c r="B886" s="218" t="s">
        <v>201</v>
      </c>
      <c r="C886" s="224" t="str">
        <f t="shared" si="1"/>
        <v>HD/1950/2026</v>
      </c>
      <c r="D886" s="218" t="b">
        <v>1</v>
      </c>
      <c r="E886" s="219" t="b">
        <v>0</v>
      </c>
      <c r="F886" s="218" t="s">
        <v>6785</v>
      </c>
      <c r="G886" s="173"/>
      <c r="H886" s="157" t="s">
        <v>6473</v>
      </c>
      <c r="I886" s="277">
        <f t="shared" si="3"/>
        <v>1950</v>
      </c>
      <c r="J886" s="157">
        <v>2026.0</v>
      </c>
    </row>
    <row r="887">
      <c r="A887" s="218">
        <f t="shared" si="2"/>
        <v>884</v>
      </c>
      <c r="B887" s="218" t="s">
        <v>201</v>
      </c>
      <c r="C887" s="224" t="str">
        <f t="shared" si="1"/>
        <v>HD/1951/2026</v>
      </c>
      <c r="D887" s="218" t="b">
        <v>1</v>
      </c>
      <c r="E887" s="219" t="b">
        <v>0</v>
      </c>
      <c r="F887" s="218" t="s">
        <v>6785</v>
      </c>
      <c r="G887" s="173"/>
      <c r="H887" s="157" t="s">
        <v>6473</v>
      </c>
      <c r="I887" s="277">
        <f t="shared" si="3"/>
        <v>1951</v>
      </c>
      <c r="J887" s="157">
        <v>2026.0</v>
      </c>
    </row>
    <row r="888">
      <c r="A888" s="218">
        <f t="shared" si="2"/>
        <v>885</v>
      </c>
      <c r="B888" s="218" t="s">
        <v>201</v>
      </c>
      <c r="C888" s="224" t="str">
        <f t="shared" si="1"/>
        <v>HD/1952/2026</v>
      </c>
      <c r="D888" s="218" t="b">
        <v>1</v>
      </c>
      <c r="E888" s="219" t="b">
        <v>0</v>
      </c>
      <c r="F888" s="218" t="s">
        <v>6785</v>
      </c>
      <c r="G888" s="173"/>
      <c r="H888" s="157" t="s">
        <v>6473</v>
      </c>
      <c r="I888" s="277">
        <f t="shared" si="3"/>
        <v>1952</v>
      </c>
      <c r="J888" s="157">
        <v>2026.0</v>
      </c>
    </row>
    <row r="889">
      <c r="A889" s="218">
        <f t="shared" si="2"/>
        <v>886</v>
      </c>
      <c r="B889" s="218" t="s">
        <v>201</v>
      </c>
      <c r="C889" s="224" t="str">
        <f t="shared" si="1"/>
        <v>HD/1953/2026</v>
      </c>
      <c r="D889" s="218" t="b">
        <v>1</v>
      </c>
      <c r="E889" s="219" t="b">
        <v>0</v>
      </c>
      <c r="F889" s="218" t="s">
        <v>6785</v>
      </c>
      <c r="G889" s="173"/>
      <c r="H889" s="157" t="s">
        <v>6473</v>
      </c>
      <c r="I889" s="277">
        <f t="shared" si="3"/>
        <v>1953</v>
      </c>
      <c r="J889" s="157">
        <v>2026.0</v>
      </c>
    </row>
    <row r="890">
      <c r="A890" s="218">
        <f t="shared" si="2"/>
        <v>887</v>
      </c>
      <c r="B890" s="218" t="s">
        <v>201</v>
      </c>
      <c r="C890" s="224" t="str">
        <f t="shared" si="1"/>
        <v>HD/1954/2026</v>
      </c>
      <c r="D890" s="218" t="b">
        <v>1</v>
      </c>
      <c r="E890" s="219" t="b">
        <v>0</v>
      </c>
      <c r="F890" s="218" t="s">
        <v>6785</v>
      </c>
      <c r="G890" s="173"/>
      <c r="H890" s="157" t="s">
        <v>6473</v>
      </c>
      <c r="I890" s="277">
        <f t="shared" si="3"/>
        <v>1954</v>
      </c>
      <c r="J890" s="157">
        <v>2026.0</v>
      </c>
    </row>
    <row r="891">
      <c r="A891" s="218">
        <f t="shared" si="2"/>
        <v>888</v>
      </c>
      <c r="B891" s="218" t="s">
        <v>201</v>
      </c>
      <c r="C891" s="224" t="str">
        <f t="shared" si="1"/>
        <v>HD/1955/2026</v>
      </c>
      <c r="D891" s="218" t="b">
        <v>1</v>
      </c>
      <c r="E891" s="219" t="b">
        <v>0</v>
      </c>
      <c r="F891" s="218" t="s">
        <v>6785</v>
      </c>
      <c r="G891" s="173"/>
      <c r="H891" s="157" t="s">
        <v>6473</v>
      </c>
      <c r="I891" s="277">
        <f t="shared" si="3"/>
        <v>1955</v>
      </c>
      <c r="J891" s="157">
        <v>2026.0</v>
      </c>
    </row>
    <row r="892">
      <c r="A892" s="218">
        <f t="shared" si="2"/>
        <v>889</v>
      </c>
      <c r="B892" s="218" t="s">
        <v>201</v>
      </c>
      <c r="C892" s="224" t="str">
        <f t="shared" si="1"/>
        <v>HD/1956/2026</v>
      </c>
      <c r="D892" s="218" t="b">
        <v>1</v>
      </c>
      <c r="E892" s="219" t="b">
        <v>0</v>
      </c>
      <c r="F892" s="218" t="s">
        <v>6785</v>
      </c>
      <c r="G892" s="173"/>
      <c r="H892" s="157" t="s">
        <v>6473</v>
      </c>
      <c r="I892" s="277">
        <f t="shared" si="3"/>
        <v>1956</v>
      </c>
      <c r="J892" s="157">
        <v>2026.0</v>
      </c>
    </row>
    <row r="893">
      <c r="A893" s="218">
        <f t="shared" si="2"/>
        <v>890</v>
      </c>
      <c r="B893" s="218" t="s">
        <v>201</v>
      </c>
      <c r="C893" s="224" t="str">
        <f t="shared" si="1"/>
        <v>HD/1957/2026</v>
      </c>
      <c r="D893" s="218" t="b">
        <v>1</v>
      </c>
      <c r="E893" s="219" t="b">
        <v>0</v>
      </c>
      <c r="F893" s="218" t="s">
        <v>6785</v>
      </c>
      <c r="G893" s="173"/>
      <c r="H893" s="157" t="s">
        <v>6473</v>
      </c>
      <c r="I893" s="277">
        <f t="shared" si="3"/>
        <v>1957</v>
      </c>
      <c r="J893" s="157">
        <v>2026.0</v>
      </c>
    </row>
    <row r="894">
      <c r="A894" s="218">
        <f t="shared" si="2"/>
        <v>891</v>
      </c>
      <c r="B894" s="218" t="s">
        <v>201</v>
      </c>
      <c r="C894" s="224" t="str">
        <f t="shared" si="1"/>
        <v>HD/1958/2026</v>
      </c>
      <c r="D894" s="218" t="b">
        <v>1</v>
      </c>
      <c r="E894" s="219" t="b">
        <v>0</v>
      </c>
      <c r="F894" s="218" t="s">
        <v>6785</v>
      </c>
      <c r="G894" s="173"/>
      <c r="H894" s="157" t="s">
        <v>6473</v>
      </c>
      <c r="I894" s="277">
        <f t="shared" si="3"/>
        <v>1958</v>
      </c>
      <c r="J894" s="157">
        <v>2026.0</v>
      </c>
    </row>
    <row r="895">
      <c r="A895" s="218">
        <f t="shared" si="2"/>
        <v>892</v>
      </c>
      <c r="B895" s="218" t="s">
        <v>201</v>
      </c>
      <c r="C895" s="224" t="str">
        <f t="shared" si="1"/>
        <v>HD/1959/2026</v>
      </c>
      <c r="D895" s="218" t="b">
        <v>1</v>
      </c>
      <c r="E895" s="219" t="b">
        <v>0</v>
      </c>
      <c r="F895" s="218" t="s">
        <v>6785</v>
      </c>
      <c r="G895" s="173"/>
      <c r="H895" s="157" t="s">
        <v>6473</v>
      </c>
      <c r="I895" s="277">
        <f t="shared" si="3"/>
        <v>1959</v>
      </c>
      <c r="J895" s="157">
        <v>2026.0</v>
      </c>
    </row>
    <row r="896">
      <c r="A896" s="218">
        <f t="shared" si="2"/>
        <v>893</v>
      </c>
      <c r="B896" s="218" t="s">
        <v>201</v>
      </c>
      <c r="C896" s="224" t="str">
        <f t="shared" si="1"/>
        <v>HD/1960/2026</v>
      </c>
      <c r="D896" s="218" t="b">
        <v>1</v>
      </c>
      <c r="E896" s="219" t="b">
        <v>0</v>
      </c>
      <c r="F896" s="218" t="s">
        <v>6785</v>
      </c>
      <c r="G896" s="173"/>
      <c r="H896" s="157" t="s">
        <v>6473</v>
      </c>
      <c r="I896" s="277">
        <f t="shared" si="3"/>
        <v>1960</v>
      </c>
      <c r="J896" s="157">
        <v>2026.0</v>
      </c>
    </row>
    <row r="897">
      <c r="A897" s="218">
        <f t="shared" si="2"/>
        <v>894</v>
      </c>
      <c r="B897" s="218" t="s">
        <v>201</v>
      </c>
      <c r="C897" s="224" t="str">
        <f t="shared" si="1"/>
        <v>HD/1961/2026</v>
      </c>
      <c r="D897" s="218" t="b">
        <v>1</v>
      </c>
      <c r="E897" s="219" t="b">
        <v>0</v>
      </c>
      <c r="F897" s="218" t="s">
        <v>6798</v>
      </c>
      <c r="G897" s="173"/>
      <c r="H897" s="157" t="s">
        <v>6473</v>
      </c>
      <c r="I897" s="157">
        <f t="shared" si="3"/>
        <v>1961</v>
      </c>
      <c r="J897" s="157">
        <v>2026.0</v>
      </c>
    </row>
    <row r="898">
      <c r="A898" s="218">
        <f t="shared" si="2"/>
        <v>895</v>
      </c>
      <c r="B898" s="218" t="s">
        <v>201</v>
      </c>
      <c r="C898" s="224" t="str">
        <f t="shared" si="1"/>
        <v>HD/1962/2026</v>
      </c>
      <c r="D898" s="218" t="b">
        <v>1</v>
      </c>
      <c r="E898" s="219" t="b">
        <v>0</v>
      </c>
      <c r="F898" s="218" t="s">
        <v>6798</v>
      </c>
      <c r="G898" s="173"/>
      <c r="H898" s="157" t="s">
        <v>6473</v>
      </c>
      <c r="I898" s="157">
        <f t="shared" si="3"/>
        <v>1962</v>
      </c>
      <c r="J898" s="157">
        <v>2026.0</v>
      </c>
    </row>
    <row r="899">
      <c r="A899" s="218">
        <f t="shared" si="2"/>
        <v>896</v>
      </c>
      <c r="B899" s="218" t="s">
        <v>201</v>
      </c>
      <c r="C899" s="224" t="str">
        <f t="shared" si="1"/>
        <v>HD/1963/2026</v>
      </c>
      <c r="D899" s="218" t="b">
        <v>1</v>
      </c>
      <c r="E899" s="219" t="b">
        <v>0</v>
      </c>
      <c r="F899" s="218" t="s">
        <v>6798</v>
      </c>
      <c r="G899" s="173"/>
      <c r="H899" s="157" t="s">
        <v>6473</v>
      </c>
      <c r="I899" s="157">
        <f t="shared" si="3"/>
        <v>1963</v>
      </c>
      <c r="J899" s="157">
        <v>2026.0</v>
      </c>
    </row>
    <row r="900">
      <c r="A900" s="218">
        <f t="shared" si="2"/>
        <v>897</v>
      </c>
      <c r="B900" s="218" t="s">
        <v>201</v>
      </c>
      <c r="C900" s="224" t="str">
        <f t="shared" si="1"/>
        <v>HD/1964/2026</v>
      </c>
      <c r="D900" s="218" t="b">
        <v>1</v>
      </c>
      <c r="E900" s="219" t="b">
        <v>0</v>
      </c>
      <c r="F900" s="218" t="s">
        <v>6798</v>
      </c>
      <c r="G900" s="173"/>
      <c r="H900" s="157" t="s">
        <v>6473</v>
      </c>
      <c r="I900" s="157">
        <f t="shared" si="3"/>
        <v>1964</v>
      </c>
      <c r="J900" s="157">
        <v>2026.0</v>
      </c>
    </row>
    <row r="901">
      <c r="A901" s="218">
        <f t="shared" si="2"/>
        <v>898</v>
      </c>
      <c r="B901" s="218" t="s">
        <v>201</v>
      </c>
      <c r="C901" s="224" t="str">
        <f t="shared" si="1"/>
        <v>HD/1965/2026</v>
      </c>
      <c r="D901" s="218" t="b">
        <v>1</v>
      </c>
      <c r="E901" s="219" t="b">
        <v>0</v>
      </c>
      <c r="F901" s="218" t="s">
        <v>6798</v>
      </c>
      <c r="G901" s="173"/>
      <c r="H901" s="157" t="s">
        <v>6473</v>
      </c>
      <c r="I901" s="157">
        <f t="shared" si="3"/>
        <v>1965</v>
      </c>
      <c r="J901" s="157">
        <v>2026.0</v>
      </c>
    </row>
    <row r="902">
      <c r="A902" s="218">
        <f t="shared" si="2"/>
        <v>899</v>
      </c>
      <c r="B902" s="218" t="s">
        <v>201</v>
      </c>
      <c r="C902" s="224" t="str">
        <f t="shared" si="1"/>
        <v>HD/1966/2026</v>
      </c>
      <c r="D902" s="218" t="b">
        <v>1</v>
      </c>
      <c r="E902" s="219" t="b">
        <v>0</v>
      </c>
      <c r="F902" s="218" t="s">
        <v>6798</v>
      </c>
      <c r="G902" s="173"/>
      <c r="H902" s="157" t="s">
        <v>6473</v>
      </c>
      <c r="I902" s="157">
        <f t="shared" si="3"/>
        <v>1966</v>
      </c>
      <c r="J902" s="157">
        <v>2026.0</v>
      </c>
    </row>
    <row r="903">
      <c r="A903" s="218">
        <f t="shared" si="2"/>
        <v>900</v>
      </c>
      <c r="B903" s="218" t="s">
        <v>201</v>
      </c>
      <c r="C903" s="224" t="str">
        <f t="shared" si="1"/>
        <v>HD/1967/2026</v>
      </c>
      <c r="D903" s="218" t="b">
        <v>1</v>
      </c>
      <c r="E903" s="219" t="b">
        <v>0</v>
      </c>
      <c r="F903" s="218" t="s">
        <v>6798</v>
      </c>
      <c r="G903" s="173"/>
      <c r="H903" s="157" t="s">
        <v>6473</v>
      </c>
      <c r="I903" s="157">
        <f t="shared" si="3"/>
        <v>1967</v>
      </c>
      <c r="J903" s="157">
        <v>2026.0</v>
      </c>
    </row>
    <row r="904">
      <c r="A904" s="218">
        <f t="shared" si="2"/>
        <v>901</v>
      </c>
      <c r="B904" s="218" t="s">
        <v>201</v>
      </c>
      <c r="C904" s="224" t="str">
        <f t="shared" si="1"/>
        <v>HD/1968/2026</v>
      </c>
      <c r="D904" s="218" t="b">
        <v>1</v>
      </c>
      <c r="E904" s="219" t="b">
        <v>0</v>
      </c>
      <c r="F904" s="218" t="s">
        <v>6798</v>
      </c>
      <c r="G904" s="173"/>
      <c r="H904" s="157" t="s">
        <v>6473</v>
      </c>
      <c r="I904" s="157">
        <f t="shared" si="3"/>
        <v>1968</v>
      </c>
      <c r="J904" s="157">
        <v>2026.0</v>
      </c>
    </row>
    <row r="905">
      <c r="A905" s="218">
        <f t="shared" si="2"/>
        <v>902</v>
      </c>
      <c r="B905" s="218" t="s">
        <v>201</v>
      </c>
      <c r="C905" s="224" t="str">
        <f t="shared" si="1"/>
        <v>HD/1969/2026</v>
      </c>
      <c r="D905" s="218" t="b">
        <v>1</v>
      </c>
      <c r="E905" s="219" t="b">
        <v>0</v>
      </c>
      <c r="F905" s="218" t="s">
        <v>6798</v>
      </c>
      <c r="G905" s="173"/>
      <c r="H905" s="157" t="s">
        <v>6473</v>
      </c>
      <c r="I905" s="157">
        <f t="shared" si="3"/>
        <v>1969</v>
      </c>
      <c r="J905" s="157">
        <v>2026.0</v>
      </c>
    </row>
    <row r="906">
      <c r="A906" s="218">
        <f t="shared" si="2"/>
        <v>903</v>
      </c>
      <c r="B906" s="218" t="s">
        <v>201</v>
      </c>
      <c r="C906" s="224" t="str">
        <f t="shared" si="1"/>
        <v>HD/1970/2026</v>
      </c>
      <c r="D906" s="218" t="b">
        <v>1</v>
      </c>
      <c r="E906" s="219" t="b">
        <v>0</v>
      </c>
      <c r="F906" s="218" t="s">
        <v>6798</v>
      </c>
      <c r="G906" s="173"/>
      <c r="H906" s="157" t="s">
        <v>6473</v>
      </c>
      <c r="I906" s="157">
        <f t="shared" si="3"/>
        <v>1970</v>
      </c>
      <c r="J906" s="157">
        <v>2026.0</v>
      </c>
    </row>
    <row r="907">
      <c r="A907" s="218">
        <f t="shared" si="2"/>
        <v>904</v>
      </c>
      <c r="B907" s="218" t="s">
        <v>201</v>
      </c>
      <c r="C907" s="224" t="str">
        <f t="shared" si="1"/>
        <v>HD/1971/2026</v>
      </c>
      <c r="D907" s="218" t="b">
        <v>1</v>
      </c>
      <c r="E907" s="219" t="b">
        <v>0</v>
      </c>
      <c r="F907" s="218" t="s">
        <v>6798</v>
      </c>
      <c r="G907" s="173"/>
      <c r="H907" s="157" t="s">
        <v>6473</v>
      </c>
      <c r="I907" s="157">
        <f t="shared" si="3"/>
        <v>1971</v>
      </c>
      <c r="J907" s="157">
        <v>2026.0</v>
      </c>
    </row>
    <row r="908">
      <c r="A908" s="218">
        <f t="shared" si="2"/>
        <v>905</v>
      </c>
      <c r="B908" s="218" t="s">
        <v>201</v>
      </c>
      <c r="C908" s="224" t="str">
        <f t="shared" si="1"/>
        <v>HD/1972/2026</v>
      </c>
      <c r="D908" s="218" t="b">
        <v>1</v>
      </c>
      <c r="E908" s="219" t="b">
        <v>0</v>
      </c>
      <c r="F908" s="218" t="s">
        <v>6798</v>
      </c>
      <c r="G908" s="173"/>
      <c r="H908" s="157" t="s">
        <v>6473</v>
      </c>
      <c r="I908" s="157">
        <f t="shared" si="3"/>
        <v>1972</v>
      </c>
      <c r="J908" s="157">
        <v>2026.0</v>
      </c>
    </row>
    <row r="909">
      <c r="A909" s="218">
        <f t="shared" si="2"/>
        <v>906</v>
      </c>
      <c r="B909" s="218" t="s">
        <v>201</v>
      </c>
      <c r="C909" s="237" t="str">
        <f t="shared" si="1"/>
        <v>HD/1973/2026</v>
      </c>
      <c r="D909" s="218" t="b">
        <v>1</v>
      </c>
      <c r="E909" s="219" t="b">
        <v>0</v>
      </c>
      <c r="F909" s="218" t="s">
        <v>6798</v>
      </c>
      <c r="G909" s="173"/>
      <c r="H909" s="157" t="s">
        <v>6473</v>
      </c>
      <c r="I909" s="157">
        <f t="shared" si="3"/>
        <v>1973</v>
      </c>
      <c r="J909" s="157">
        <v>2026.0</v>
      </c>
    </row>
    <row r="910">
      <c r="A910" s="218">
        <f t="shared" si="2"/>
        <v>907</v>
      </c>
      <c r="B910" s="218" t="s">
        <v>201</v>
      </c>
      <c r="C910" s="237" t="str">
        <f t="shared" si="1"/>
        <v>HD/1974/2026</v>
      </c>
      <c r="D910" s="218" t="b">
        <v>1</v>
      </c>
      <c r="E910" s="219" t="b">
        <v>0</v>
      </c>
      <c r="F910" s="218" t="s">
        <v>6798</v>
      </c>
      <c r="G910" s="173"/>
      <c r="H910" s="157" t="s">
        <v>6473</v>
      </c>
      <c r="I910" s="157">
        <f t="shared" si="3"/>
        <v>1974</v>
      </c>
      <c r="J910" s="157">
        <v>2026.0</v>
      </c>
    </row>
    <row r="911">
      <c r="A911" s="218">
        <f t="shared" si="2"/>
        <v>908</v>
      </c>
      <c r="B911" s="218" t="s">
        <v>201</v>
      </c>
      <c r="C911" s="237" t="str">
        <f t="shared" si="1"/>
        <v>HD/1975/2026</v>
      </c>
      <c r="D911" s="218" t="b">
        <v>1</v>
      </c>
      <c r="E911" s="219" t="b">
        <v>0</v>
      </c>
      <c r="F911" s="218" t="s">
        <v>6798</v>
      </c>
      <c r="G911" s="173"/>
      <c r="H911" s="157" t="s">
        <v>6473</v>
      </c>
      <c r="I911" s="157">
        <f t="shared" si="3"/>
        <v>1975</v>
      </c>
      <c r="J911" s="157">
        <v>2026.0</v>
      </c>
    </row>
    <row r="912">
      <c r="A912" s="218">
        <f t="shared" si="2"/>
        <v>909</v>
      </c>
      <c r="B912" s="218" t="s">
        <v>201</v>
      </c>
      <c r="C912" s="237" t="str">
        <f t="shared" si="1"/>
        <v>HD/1976/2026</v>
      </c>
      <c r="D912" s="218" t="b">
        <v>1</v>
      </c>
      <c r="E912" s="219" t="b">
        <v>0</v>
      </c>
      <c r="F912" s="218" t="s">
        <v>6798</v>
      </c>
      <c r="G912" s="173"/>
      <c r="H912" s="157" t="s">
        <v>6473</v>
      </c>
      <c r="I912" s="157">
        <f t="shared" si="3"/>
        <v>1976</v>
      </c>
      <c r="J912" s="157">
        <v>2026.0</v>
      </c>
    </row>
    <row r="913">
      <c r="A913" s="218">
        <f t="shared" si="2"/>
        <v>910</v>
      </c>
      <c r="B913" s="218" t="s">
        <v>201</v>
      </c>
      <c r="C913" s="237" t="str">
        <f t="shared" si="1"/>
        <v>HD/1977/2026</v>
      </c>
      <c r="D913" s="218" t="b">
        <v>1</v>
      </c>
      <c r="E913" s="219" t="b">
        <v>0</v>
      </c>
      <c r="F913" s="218" t="s">
        <v>6798</v>
      </c>
      <c r="G913" s="173"/>
      <c r="H913" s="157" t="s">
        <v>6473</v>
      </c>
      <c r="I913" s="157">
        <f t="shared" si="3"/>
        <v>1977</v>
      </c>
      <c r="J913" s="157">
        <v>2026.0</v>
      </c>
    </row>
    <row r="914">
      <c r="A914" s="218">
        <f t="shared" si="2"/>
        <v>911</v>
      </c>
      <c r="B914" s="218" t="s">
        <v>201</v>
      </c>
      <c r="C914" s="237" t="str">
        <f t="shared" si="1"/>
        <v>HD/1978/2026</v>
      </c>
      <c r="D914" s="218" t="b">
        <v>1</v>
      </c>
      <c r="E914" s="219" t="b">
        <v>0</v>
      </c>
      <c r="F914" s="218" t="s">
        <v>6798</v>
      </c>
      <c r="G914" s="173"/>
      <c r="H914" s="157" t="s">
        <v>6473</v>
      </c>
      <c r="I914" s="157">
        <f t="shared" si="3"/>
        <v>1978</v>
      </c>
      <c r="J914" s="157">
        <v>2026.0</v>
      </c>
    </row>
    <row r="915">
      <c r="A915" s="218">
        <f t="shared" si="2"/>
        <v>912</v>
      </c>
      <c r="B915" s="218" t="s">
        <v>201</v>
      </c>
      <c r="C915" s="237" t="str">
        <f t="shared" si="1"/>
        <v>HD/1979/2026</v>
      </c>
      <c r="D915" s="218" t="b">
        <v>1</v>
      </c>
      <c r="E915" s="219" t="b">
        <v>0</v>
      </c>
      <c r="F915" s="218" t="s">
        <v>6798</v>
      </c>
      <c r="G915" s="173"/>
      <c r="H915" s="157" t="s">
        <v>6473</v>
      </c>
      <c r="I915" s="157">
        <f t="shared" si="3"/>
        <v>1979</v>
      </c>
      <c r="J915" s="157">
        <v>2026.0</v>
      </c>
    </row>
    <row r="916">
      <c r="A916" s="218">
        <f t="shared" si="2"/>
        <v>913</v>
      </c>
      <c r="B916" s="218" t="s">
        <v>201</v>
      </c>
      <c r="C916" s="237" t="str">
        <f t="shared" si="1"/>
        <v>HD/1980/2026</v>
      </c>
      <c r="D916" s="218" t="b">
        <v>1</v>
      </c>
      <c r="E916" s="219" t="b">
        <v>0</v>
      </c>
      <c r="F916" s="218" t="s">
        <v>6798</v>
      </c>
      <c r="G916" s="173"/>
      <c r="H916" s="157" t="s">
        <v>6473</v>
      </c>
      <c r="I916" s="157">
        <f t="shared" si="3"/>
        <v>1980</v>
      </c>
      <c r="J916" s="157">
        <v>2026.0</v>
      </c>
    </row>
    <row r="917">
      <c r="A917" s="218">
        <f t="shared" si="2"/>
        <v>914</v>
      </c>
      <c r="B917" s="218" t="s">
        <v>201</v>
      </c>
      <c r="C917" s="237" t="str">
        <f t="shared" si="1"/>
        <v>HD/1981/2026</v>
      </c>
      <c r="D917" s="218" t="b">
        <v>1</v>
      </c>
      <c r="E917" s="219" t="b">
        <v>0</v>
      </c>
      <c r="F917" s="218" t="s">
        <v>6798</v>
      </c>
      <c r="G917" s="173"/>
      <c r="H917" s="157" t="s">
        <v>6473</v>
      </c>
      <c r="I917" s="157">
        <f t="shared" si="3"/>
        <v>1981</v>
      </c>
      <c r="J917" s="157">
        <v>2026.0</v>
      </c>
    </row>
    <row r="918">
      <c r="A918" s="218">
        <f t="shared" si="2"/>
        <v>915</v>
      </c>
      <c r="B918" s="218" t="s">
        <v>201</v>
      </c>
      <c r="C918" s="237" t="str">
        <f t="shared" si="1"/>
        <v>HD/1982/2026</v>
      </c>
      <c r="D918" s="218" t="b">
        <v>1</v>
      </c>
      <c r="E918" s="219" t="b">
        <v>0</v>
      </c>
      <c r="F918" s="218" t="s">
        <v>6798</v>
      </c>
      <c r="G918" s="173"/>
      <c r="H918" s="157" t="s">
        <v>6473</v>
      </c>
      <c r="I918" s="157">
        <f t="shared" si="3"/>
        <v>1982</v>
      </c>
      <c r="J918" s="157">
        <v>2026.0</v>
      </c>
    </row>
    <row r="919">
      <c r="A919" s="218">
        <f t="shared" si="2"/>
        <v>916</v>
      </c>
      <c r="B919" s="218" t="s">
        <v>201</v>
      </c>
      <c r="C919" s="237" t="str">
        <f t="shared" si="1"/>
        <v>HD/1983/2026</v>
      </c>
      <c r="D919" s="218" t="b">
        <v>1</v>
      </c>
      <c r="E919" s="219" t="b">
        <v>0</v>
      </c>
      <c r="F919" s="218" t="s">
        <v>6798</v>
      </c>
      <c r="G919" s="173"/>
      <c r="H919" s="157" t="s">
        <v>6473</v>
      </c>
      <c r="I919" s="157">
        <f t="shared" si="3"/>
        <v>1983</v>
      </c>
      <c r="J919" s="157">
        <v>2026.0</v>
      </c>
    </row>
    <row r="920">
      <c r="A920" s="218">
        <f t="shared" si="2"/>
        <v>917</v>
      </c>
      <c r="B920" s="218" t="s">
        <v>201</v>
      </c>
      <c r="C920" s="237" t="str">
        <f t="shared" si="1"/>
        <v>HD/1984/2026</v>
      </c>
      <c r="D920" s="218" t="b">
        <v>1</v>
      </c>
      <c r="E920" s="219" t="b">
        <v>0</v>
      </c>
      <c r="F920" s="218" t="s">
        <v>6798</v>
      </c>
      <c r="G920" s="173"/>
      <c r="H920" s="157" t="s">
        <v>6473</v>
      </c>
      <c r="I920" s="157">
        <f t="shared" si="3"/>
        <v>1984</v>
      </c>
      <c r="J920" s="157">
        <v>2026.0</v>
      </c>
    </row>
    <row r="921">
      <c r="A921" s="218">
        <f t="shared" si="2"/>
        <v>918</v>
      </c>
      <c r="B921" s="218" t="s">
        <v>201</v>
      </c>
      <c r="C921" s="237" t="str">
        <f t="shared" si="1"/>
        <v>HD/1985/2026</v>
      </c>
      <c r="D921" s="218" t="b">
        <v>1</v>
      </c>
      <c r="E921" s="219" t="b">
        <v>0</v>
      </c>
      <c r="F921" s="218" t="s">
        <v>6798</v>
      </c>
      <c r="G921" s="173"/>
      <c r="H921" s="157" t="s">
        <v>6473</v>
      </c>
      <c r="I921" s="157">
        <f t="shared" si="3"/>
        <v>1985</v>
      </c>
      <c r="J921" s="157">
        <v>2026.0</v>
      </c>
    </row>
    <row r="922">
      <c r="A922" s="218">
        <f t="shared" si="2"/>
        <v>919</v>
      </c>
      <c r="B922" s="218" t="s">
        <v>201</v>
      </c>
      <c r="C922" s="237" t="str">
        <f t="shared" si="1"/>
        <v>HD/1986/2026</v>
      </c>
      <c r="D922" s="218" t="b">
        <v>1</v>
      </c>
      <c r="E922" s="219" t="b">
        <v>0</v>
      </c>
      <c r="F922" s="278">
        <v>46202.0</v>
      </c>
      <c r="G922" s="173"/>
      <c r="H922" s="157" t="s">
        <v>6473</v>
      </c>
      <c r="I922" s="157">
        <f t="shared" si="3"/>
        <v>1986</v>
      </c>
      <c r="J922" s="157">
        <v>2026.0</v>
      </c>
    </row>
    <row r="923">
      <c r="A923" s="218">
        <f t="shared" si="2"/>
        <v>920</v>
      </c>
      <c r="B923" s="218" t="s">
        <v>201</v>
      </c>
      <c r="C923" s="237" t="str">
        <f t="shared" si="1"/>
        <v>HD/1987/2026</v>
      </c>
      <c r="D923" s="218" t="b">
        <v>1</v>
      </c>
      <c r="E923" s="219" t="b">
        <v>0</v>
      </c>
      <c r="F923" s="278">
        <v>46202.0</v>
      </c>
      <c r="G923" s="173"/>
      <c r="H923" s="157" t="s">
        <v>6473</v>
      </c>
      <c r="I923" s="157">
        <f t="shared" si="3"/>
        <v>1987</v>
      </c>
      <c r="J923" s="157">
        <v>2026.0</v>
      </c>
    </row>
    <row r="924">
      <c r="A924" s="218">
        <f t="shared" si="2"/>
        <v>921</v>
      </c>
      <c r="B924" s="218" t="s">
        <v>201</v>
      </c>
      <c r="C924" s="237" t="str">
        <f t="shared" si="1"/>
        <v>HD/1988/2026</v>
      </c>
      <c r="D924" s="218" t="b">
        <v>1</v>
      </c>
      <c r="E924" s="219" t="b">
        <v>0</v>
      </c>
      <c r="F924" s="278">
        <v>46202.0</v>
      </c>
      <c r="G924" s="173"/>
      <c r="H924" s="157" t="s">
        <v>6473</v>
      </c>
      <c r="I924" s="157">
        <f t="shared" si="3"/>
        <v>1988</v>
      </c>
      <c r="J924" s="157">
        <v>2026.0</v>
      </c>
    </row>
    <row r="925">
      <c r="A925" s="218">
        <f t="shared" si="2"/>
        <v>922</v>
      </c>
      <c r="B925" s="218" t="s">
        <v>201</v>
      </c>
      <c r="C925" s="237" t="str">
        <f t="shared" si="1"/>
        <v>HD/1989/2026</v>
      </c>
      <c r="D925" s="218" t="b">
        <v>1</v>
      </c>
      <c r="E925" s="219" t="b">
        <v>0</v>
      </c>
      <c r="F925" s="278">
        <v>46202.0</v>
      </c>
      <c r="G925" s="173"/>
      <c r="H925" s="157" t="s">
        <v>6473</v>
      </c>
      <c r="I925" s="157">
        <f t="shared" si="3"/>
        <v>1989</v>
      </c>
      <c r="J925" s="157">
        <v>2026.0</v>
      </c>
    </row>
    <row r="926">
      <c r="A926" s="218">
        <f t="shared" si="2"/>
        <v>923</v>
      </c>
      <c r="B926" s="218" t="s">
        <v>201</v>
      </c>
      <c r="C926" s="237" t="str">
        <f t="shared" si="1"/>
        <v>HD/1990/2026</v>
      </c>
      <c r="D926" s="218" t="b">
        <v>1</v>
      </c>
      <c r="E926" s="219" t="b">
        <v>0</v>
      </c>
      <c r="F926" s="278">
        <v>46202.0</v>
      </c>
      <c r="G926" s="173"/>
      <c r="H926" s="157" t="s">
        <v>6473</v>
      </c>
      <c r="I926" s="157">
        <f t="shared" si="3"/>
        <v>1990</v>
      </c>
      <c r="J926" s="157">
        <v>2026.0</v>
      </c>
    </row>
    <row r="927">
      <c r="A927" s="218">
        <f t="shared" si="2"/>
        <v>924</v>
      </c>
      <c r="B927" s="218" t="s">
        <v>201</v>
      </c>
      <c r="C927" s="237" t="str">
        <f t="shared" si="1"/>
        <v>HD/1991/2026</v>
      </c>
      <c r="D927" s="218" t="b">
        <v>1</v>
      </c>
      <c r="E927" s="219" t="b">
        <v>0</v>
      </c>
      <c r="F927" s="278">
        <v>46202.0</v>
      </c>
      <c r="G927" s="173"/>
      <c r="H927" s="157" t="s">
        <v>6473</v>
      </c>
      <c r="I927" s="157">
        <f t="shared" si="3"/>
        <v>1991</v>
      </c>
      <c r="J927" s="157">
        <v>2026.0</v>
      </c>
    </row>
    <row r="928">
      <c r="A928" s="218">
        <f t="shared" si="2"/>
        <v>925</v>
      </c>
      <c r="B928" s="218" t="s">
        <v>201</v>
      </c>
      <c r="C928" s="237" t="str">
        <f t="shared" si="1"/>
        <v>HD/1992/2026</v>
      </c>
      <c r="D928" s="218" t="b">
        <v>1</v>
      </c>
      <c r="E928" s="219" t="b">
        <v>0</v>
      </c>
      <c r="F928" s="278">
        <v>46202.0</v>
      </c>
      <c r="G928" s="173"/>
      <c r="H928" s="157" t="s">
        <v>6473</v>
      </c>
      <c r="I928" s="157">
        <f t="shared" si="3"/>
        <v>1992</v>
      </c>
      <c r="J928" s="157">
        <v>2026.0</v>
      </c>
    </row>
    <row r="929">
      <c r="A929" s="218">
        <f t="shared" si="2"/>
        <v>926</v>
      </c>
      <c r="B929" s="218" t="s">
        <v>201</v>
      </c>
      <c r="C929" s="237" t="str">
        <f t="shared" si="1"/>
        <v>HD/1993/2026</v>
      </c>
      <c r="D929" s="218" t="b">
        <v>1</v>
      </c>
      <c r="E929" s="219" t="b">
        <v>0</v>
      </c>
      <c r="F929" s="278">
        <v>46202.0</v>
      </c>
      <c r="G929" s="173"/>
      <c r="H929" s="157" t="s">
        <v>6473</v>
      </c>
      <c r="I929" s="157">
        <f t="shared" si="3"/>
        <v>1993</v>
      </c>
      <c r="J929" s="157">
        <v>2026.0</v>
      </c>
    </row>
    <row r="930">
      <c r="A930" s="218">
        <f t="shared" si="2"/>
        <v>927</v>
      </c>
      <c r="B930" s="218" t="s">
        <v>201</v>
      </c>
      <c r="C930" s="237" t="str">
        <f t="shared" si="1"/>
        <v>HD/1994/2026</v>
      </c>
      <c r="D930" s="218" t="b">
        <v>1</v>
      </c>
      <c r="E930" s="219" t="b">
        <v>0</v>
      </c>
      <c r="F930" s="278">
        <v>46202.0</v>
      </c>
      <c r="G930" s="173"/>
      <c r="H930" s="157" t="s">
        <v>6473</v>
      </c>
      <c r="I930" s="157">
        <f t="shared" si="3"/>
        <v>1994</v>
      </c>
      <c r="J930" s="157">
        <v>2026.0</v>
      </c>
    </row>
    <row r="931">
      <c r="A931" s="218">
        <f t="shared" si="2"/>
        <v>928</v>
      </c>
      <c r="B931" s="218" t="s">
        <v>201</v>
      </c>
      <c r="C931" s="237" t="str">
        <f t="shared" si="1"/>
        <v>HD/1995/2026</v>
      </c>
      <c r="D931" s="218" t="b">
        <v>1</v>
      </c>
      <c r="E931" s="219" t="b">
        <v>0</v>
      </c>
      <c r="F931" s="278">
        <v>46202.0</v>
      </c>
      <c r="G931" s="173"/>
      <c r="H931" s="157" t="s">
        <v>6473</v>
      </c>
      <c r="I931" s="157">
        <f t="shared" si="3"/>
        <v>1995</v>
      </c>
      <c r="J931" s="157">
        <v>2026.0</v>
      </c>
    </row>
    <row r="932">
      <c r="A932" s="218">
        <f t="shared" si="2"/>
        <v>929</v>
      </c>
      <c r="B932" s="218" t="s">
        <v>201</v>
      </c>
      <c r="C932" s="237" t="str">
        <f t="shared" si="1"/>
        <v>HD/1996/2026</v>
      </c>
      <c r="D932" s="218" t="b">
        <v>1</v>
      </c>
      <c r="E932" s="219" t="b">
        <v>0</v>
      </c>
      <c r="F932" s="278">
        <v>46202.0</v>
      </c>
      <c r="G932" s="173"/>
      <c r="H932" s="157" t="s">
        <v>6473</v>
      </c>
      <c r="I932" s="157">
        <f t="shared" si="3"/>
        <v>1996</v>
      </c>
      <c r="J932" s="157">
        <v>2026.0</v>
      </c>
    </row>
    <row r="933">
      <c r="A933" s="218">
        <f t="shared" si="2"/>
        <v>930</v>
      </c>
      <c r="B933" s="218" t="s">
        <v>201</v>
      </c>
      <c r="C933" s="237" t="str">
        <f t="shared" si="1"/>
        <v>HD/1997/2026</v>
      </c>
      <c r="D933" s="218" t="b">
        <v>1</v>
      </c>
      <c r="E933" s="219" t="b">
        <v>0</v>
      </c>
      <c r="F933" s="278">
        <v>46202.0</v>
      </c>
      <c r="G933" s="173"/>
      <c r="H933" s="157" t="s">
        <v>6473</v>
      </c>
      <c r="I933" s="157">
        <f t="shared" si="3"/>
        <v>1997</v>
      </c>
      <c r="J933" s="157">
        <v>2026.0</v>
      </c>
    </row>
    <row r="934">
      <c r="A934" s="218">
        <f t="shared" si="2"/>
        <v>931</v>
      </c>
      <c r="B934" s="218" t="s">
        <v>201</v>
      </c>
      <c r="C934" s="237" t="str">
        <f t="shared" si="1"/>
        <v>HD/1998/2026</v>
      </c>
      <c r="D934" s="218" t="b">
        <v>1</v>
      </c>
      <c r="E934" s="219" t="b">
        <v>0</v>
      </c>
      <c r="F934" s="278">
        <v>46202.0</v>
      </c>
      <c r="G934" s="173"/>
      <c r="H934" s="157" t="s">
        <v>6473</v>
      </c>
      <c r="I934" s="157">
        <f t="shared" si="3"/>
        <v>1998</v>
      </c>
      <c r="J934" s="157">
        <v>2026.0</v>
      </c>
    </row>
    <row r="935">
      <c r="A935" s="218">
        <f t="shared" si="2"/>
        <v>932</v>
      </c>
      <c r="B935" s="218" t="s">
        <v>201</v>
      </c>
      <c r="C935" s="237" t="str">
        <f t="shared" si="1"/>
        <v>HD/1999/2026</v>
      </c>
      <c r="D935" s="218" t="b">
        <v>1</v>
      </c>
      <c r="E935" s="219" t="b">
        <v>0</v>
      </c>
      <c r="F935" s="278">
        <v>46202.0</v>
      </c>
      <c r="G935" s="173"/>
      <c r="H935" s="157" t="s">
        <v>6473</v>
      </c>
      <c r="I935" s="157">
        <f t="shared" si="3"/>
        <v>1999</v>
      </c>
      <c r="J935" s="157">
        <v>2026.0</v>
      </c>
    </row>
    <row r="936">
      <c r="A936" s="218">
        <f t="shared" si="2"/>
        <v>933</v>
      </c>
      <c r="B936" s="218" t="s">
        <v>201</v>
      </c>
      <c r="C936" s="237" t="str">
        <f t="shared" si="1"/>
        <v>HD/2000/2026</v>
      </c>
      <c r="D936" s="218" t="b">
        <v>1</v>
      </c>
      <c r="E936" s="219" t="b">
        <v>0</v>
      </c>
      <c r="F936" s="278">
        <v>46202.0</v>
      </c>
      <c r="G936" s="173"/>
      <c r="H936" s="157" t="s">
        <v>6473</v>
      </c>
      <c r="I936" s="157">
        <f t="shared" si="3"/>
        <v>2000</v>
      </c>
      <c r="J936" s="157">
        <v>2026.0</v>
      </c>
    </row>
    <row r="937">
      <c r="A937" s="218">
        <f t="shared" si="2"/>
        <v>934</v>
      </c>
      <c r="B937" s="218" t="s">
        <v>201</v>
      </c>
      <c r="C937" s="237" t="str">
        <f t="shared" si="1"/>
        <v>HD/2001/2026</v>
      </c>
      <c r="D937" s="218" t="b">
        <v>1</v>
      </c>
      <c r="E937" s="219" t="b">
        <v>0</v>
      </c>
      <c r="F937" s="278">
        <v>46202.0</v>
      </c>
      <c r="G937" s="173"/>
      <c r="H937" s="157" t="s">
        <v>6473</v>
      </c>
      <c r="I937" s="157">
        <f t="shared" si="3"/>
        <v>2001</v>
      </c>
      <c r="J937" s="157">
        <v>2026.0</v>
      </c>
    </row>
    <row r="938">
      <c r="A938" s="218">
        <f t="shared" si="2"/>
        <v>935</v>
      </c>
      <c r="B938" s="218" t="s">
        <v>201</v>
      </c>
      <c r="C938" s="237" t="str">
        <f t="shared" si="1"/>
        <v>HD/2002/2026</v>
      </c>
      <c r="D938" s="218" t="b">
        <v>1</v>
      </c>
      <c r="E938" s="219" t="b">
        <v>0</v>
      </c>
      <c r="F938" s="278">
        <v>46202.0</v>
      </c>
      <c r="G938" s="173"/>
      <c r="H938" s="157" t="s">
        <v>6473</v>
      </c>
      <c r="I938" s="157">
        <f t="shared" si="3"/>
        <v>2002</v>
      </c>
      <c r="J938" s="157">
        <v>2026.0</v>
      </c>
    </row>
    <row r="939">
      <c r="A939" s="218">
        <f t="shared" si="2"/>
        <v>936</v>
      </c>
      <c r="B939" s="218" t="s">
        <v>201</v>
      </c>
      <c r="C939" s="237" t="str">
        <f t="shared" si="1"/>
        <v>HD/2003/2026</v>
      </c>
      <c r="D939" s="218" t="b">
        <v>1</v>
      </c>
      <c r="E939" s="219" t="b">
        <v>0</v>
      </c>
      <c r="F939" s="278">
        <v>46202.0</v>
      </c>
      <c r="G939" s="173"/>
      <c r="H939" s="157" t="s">
        <v>6473</v>
      </c>
      <c r="I939" s="157">
        <f t="shared" si="3"/>
        <v>2003</v>
      </c>
      <c r="J939" s="157">
        <v>2026.0</v>
      </c>
    </row>
    <row r="940">
      <c r="A940" s="218">
        <f t="shared" si="2"/>
        <v>937</v>
      </c>
      <c r="B940" s="218" t="s">
        <v>201</v>
      </c>
      <c r="C940" s="237" t="str">
        <f t="shared" si="1"/>
        <v>HD/2004/2026</v>
      </c>
      <c r="D940" s="218" t="b">
        <v>1</v>
      </c>
      <c r="E940" s="219" t="b">
        <v>0</v>
      </c>
      <c r="F940" s="278">
        <v>46202.0</v>
      </c>
      <c r="G940" s="173"/>
      <c r="H940" s="157" t="s">
        <v>6473</v>
      </c>
      <c r="I940" s="157">
        <f t="shared" si="3"/>
        <v>2004</v>
      </c>
      <c r="J940" s="157">
        <v>2026.0</v>
      </c>
    </row>
    <row r="941">
      <c r="A941" s="218">
        <f t="shared" si="2"/>
        <v>938</v>
      </c>
      <c r="B941" s="218" t="s">
        <v>201</v>
      </c>
      <c r="C941" s="237" t="str">
        <f t="shared" si="1"/>
        <v>HD/2005/2026</v>
      </c>
      <c r="D941" s="218" t="b">
        <v>1</v>
      </c>
      <c r="E941" s="219" t="b">
        <v>0</v>
      </c>
      <c r="F941" s="278">
        <v>46202.0</v>
      </c>
      <c r="G941" s="173"/>
      <c r="H941" s="157" t="s">
        <v>6473</v>
      </c>
      <c r="I941" s="157">
        <f t="shared" si="3"/>
        <v>2005</v>
      </c>
      <c r="J941" s="157">
        <v>2026.0</v>
      </c>
    </row>
    <row r="942">
      <c r="A942" s="218">
        <f t="shared" si="2"/>
        <v>939</v>
      </c>
      <c r="B942" s="218" t="s">
        <v>201</v>
      </c>
      <c r="C942" s="237" t="str">
        <f t="shared" si="1"/>
        <v>HD/2006/2026</v>
      </c>
      <c r="D942" s="218" t="b">
        <v>1</v>
      </c>
      <c r="E942" s="219" t="b">
        <v>0</v>
      </c>
      <c r="F942" s="278">
        <v>46202.0</v>
      </c>
      <c r="G942" s="173"/>
      <c r="H942" s="157" t="s">
        <v>6473</v>
      </c>
      <c r="I942" s="157">
        <f t="shared" si="3"/>
        <v>2006</v>
      </c>
      <c r="J942" s="157">
        <v>2026.0</v>
      </c>
    </row>
    <row r="943">
      <c r="A943" s="218">
        <f t="shared" si="2"/>
        <v>940</v>
      </c>
      <c r="B943" s="218" t="s">
        <v>201</v>
      </c>
      <c r="C943" s="237" t="str">
        <f t="shared" si="1"/>
        <v>HD/2007/2026</v>
      </c>
      <c r="D943" s="218" t="b">
        <v>1</v>
      </c>
      <c r="E943" s="219" t="b">
        <v>0</v>
      </c>
      <c r="F943" s="278">
        <v>46202.0</v>
      </c>
      <c r="G943" s="173"/>
      <c r="H943" s="157" t="s">
        <v>6473</v>
      </c>
      <c r="I943" s="157">
        <f t="shared" si="3"/>
        <v>2007</v>
      </c>
      <c r="J943" s="157">
        <v>2026.0</v>
      </c>
    </row>
    <row r="944">
      <c r="A944" s="218">
        <f t="shared" si="2"/>
        <v>941</v>
      </c>
      <c r="B944" s="218" t="s">
        <v>201</v>
      </c>
      <c r="C944" s="237" t="str">
        <f t="shared" si="1"/>
        <v>HD/2008/2026</v>
      </c>
      <c r="D944" s="218" t="b">
        <v>1</v>
      </c>
      <c r="E944" s="219" t="b">
        <v>0</v>
      </c>
      <c r="F944" s="278">
        <v>46202.0</v>
      </c>
      <c r="G944" s="173"/>
      <c r="H944" s="157" t="s">
        <v>6473</v>
      </c>
      <c r="I944" s="157">
        <f t="shared" si="3"/>
        <v>2008</v>
      </c>
      <c r="J944" s="157">
        <v>2026.0</v>
      </c>
    </row>
    <row r="945">
      <c r="A945" s="218">
        <f t="shared" si="2"/>
        <v>942</v>
      </c>
      <c r="B945" s="218" t="s">
        <v>201</v>
      </c>
      <c r="C945" s="237" t="str">
        <f t="shared" si="1"/>
        <v>HD/2009/2026</v>
      </c>
      <c r="D945" s="218" t="b">
        <v>1</v>
      </c>
      <c r="E945" s="219" t="b">
        <v>0</v>
      </c>
      <c r="F945" s="278">
        <v>46202.0</v>
      </c>
      <c r="G945" s="173"/>
      <c r="H945" s="157" t="s">
        <v>6473</v>
      </c>
      <c r="I945" s="157">
        <f t="shared" si="3"/>
        <v>2009</v>
      </c>
      <c r="J945" s="157">
        <v>2026.0</v>
      </c>
    </row>
    <row r="946">
      <c r="A946" s="218">
        <f t="shared" si="2"/>
        <v>943</v>
      </c>
      <c r="B946" s="218" t="s">
        <v>201</v>
      </c>
      <c r="C946" s="237" t="str">
        <f t="shared" si="1"/>
        <v>HD/2010/2026</v>
      </c>
      <c r="D946" s="218" t="b">
        <v>1</v>
      </c>
      <c r="E946" s="219" t="b">
        <v>0</v>
      </c>
      <c r="F946" s="278">
        <v>46202.0</v>
      </c>
      <c r="G946" s="173"/>
      <c r="H946" s="157" t="s">
        <v>6473</v>
      </c>
      <c r="I946" s="157">
        <f t="shared" si="3"/>
        <v>2010</v>
      </c>
      <c r="J946" s="157">
        <v>2026.0</v>
      </c>
    </row>
    <row r="947">
      <c r="A947" s="218">
        <f t="shared" si="2"/>
        <v>944</v>
      </c>
      <c r="B947" s="218" t="s">
        <v>201</v>
      </c>
      <c r="C947" s="237" t="str">
        <f t="shared" si="1"/>
        <v>HD/2011/2026</v>
      </c>
      <c r="D947" s="218" t="b">
        <v>1</v>
      </c>
      <c r="E947" s="219" t="b">
        <v>0</v>
      </c>
      <c r="F947" s="278">
        <v>46202.0</v>
      </c>
      <c r="G947" s="173"/>
      <c r="H947" s="157" t="s">
        <v>6473</v>
      </c>
      <c r="I947" s="157">
        <f t="shared" si="3"/>
        <v>2011</v>
      </c>
      <c r="J947" s="157">
        <v>2026.0</v>
      </c>
    </row>
    <row r="948">
      <c r="A948" s="218">
        <f t="shared" si="2"/>
        <v>945</v>
      </c>
      <c r="B948" s="218" t="s">
        <v>201</v>
      </c>
      <c r="C948" s="237" t="str">
        <f t="shared" si="1"/>
        <v>HD/2012/2026</v>
      </c>
      <c r="D948" s="218" t="b">
        <v>1</v>
      </c>
      <c r="E948" s="219" t="b">
        <v>0</v>
      </c>
      <c r="F948" s="278">
        <v>46202.0</v>
      </c>
      <c r="G948" s="173"/>
      <c r="H948" s="157" t="s">
        <v>6473</v>
      </c>
      <c r="I948" s="157">
        <f t="shared" si="3"/>
        <v>2012</v>
      </c>
      <c r="J948" s="157">
        <v>2026.0</v>
      </c>
    </row>
    <row r="949">
      <c r="A949" s="218">
        <f t="shared" si="2"/>
        <v>946</v>
      </c>
      <c r="B949" s="218" t="s">
        <v>201</v>
      </c>
      <c r="C949" s="237" t="str">
        <f t="shared" si="1"/>
        <v>HD/2013/2026</v>
      </c>
      <c r="D949" s="218" t="b">
        <v>1</v>
      </c>
      <c r="E949" s="219" t="b">
        <v>0</v>
      </c>
      <c r="F949" s="278">
        <v>46202.0</v>
      </c>
      <c r="G949" s="173"/>
      <c r="H949" s="157" t="s">
        <v>6473</v>
      </c>
      <c r="I949" s="157">
        <f t="shared" si="3"/>
        <v>2013</v>
      </c>
      <c r="J949" s="157">
        <v>2026.0</v>
      </c>
    </row>
    <row r="950">
      <c r="A950" s="218">
        <f t="shared" si="2"/>
        <v>947</v>
      </c>
      <c r="B950" s="218" t="s">
        <v>201</v>
      </c>
      <c r="C950" s="237" t="str">
        <f t="shared" si="1"/>
        <v>HD/2014/2026</v>
      </c>
      <c r="D950" s="218" t="b">
        <v>1</v>
      </c>
      <c r="E950" s="219" t="b">
        <v>0</v>
      </c>
      <c r="F950" s="278">
        <v>46202.0</v>
      </c>
      <c r="G950" s="173"/>
      <c r="H950" s="157" t="s">
        <v>6473</v>
      </c>
      <c r="I950" s="157">
        <f t="shared" si="3"/>
        <v>2014</v>
      </c>
      <c r="J950" s="157">
        <v>2026.0</v>
      </c>
    </row>
    <row r="951">
      <c r="A951" s="218">
        <f t="shared" si="2"/>
        <v>948</v>
      </c>
      <c r="B951" s="218" t="s">
        <v>201</v>
      </c>
      <c r="C951" s="237" t="str">
        <f t="shared" si="1"/>
        <v>HD/2015/2026</v>
      </c>
      <c r="D951" s="218" t="b">
        <v>1</v>
      </c>
      <c r="E951" s="219" t="b">
        <v>0</v>
      </c>
      <c r="F951" s="278">
        <v>46202.0</v>
      </c>
      <c r="G951" s="173"/>
      <c r="H951" s="157" t="s">
        <v>6473</v>
      </c>
      <c r="I951" s="157">
        <f t="shared" si="3"/>
        <v>2015</v>
      </c>
      <c r="J951" s="157">
        <v>2026.0</v>
      </c>
    </row>
    <row r="952">
      <c r="A952" s="218">
        <f t="shared" si="2"/>
        <v>949</v>
      </c>
      <c r="B952" s="218" t="s">
        <v>201</v>
      </c>
      <c r="C952" s="219" t="str">
        <f t="shared" si="1"/>
        <v>HD/2016/2026</v>
      </c>
      <c r="D952" s="218" t="b">
        <v>1</v>
      </c>
      <c r="E952" s="219" t="b">
        <v>0</v>
      </c>
      <c r="F952" s="278">
        <v>46220.0</v>
      </c>
      <c r="G952" s="173"/>
      <c r="H952" s="157" t="s">
        <v>6473</v>
      </c>
      <c r="I952" s="226">
        <f t="shared" si="3"/>
        <v>2016</v>
      </c>
      <c r="J952" s="157">
        <v>2026.0</v>
      </c>
    </row>
    <row r="953">
      <c r="A953" s="218">
        <f t="shared" si="2"/>
        <v>950</v>
      </c>
      <c r="B953" s="218" t="s">
        <v>201</v>
      </c>
      <c r="C953" s="219" t="str">
        <f t="shared" si="1"/>
        <v>HD/2017/2026</v>
      </c>
      <c r="D953" s="218" t="b">
        <v>1</v>
      </c>
      <c r="E953" s="219" t="b">
        <v>0</v>
      </c>
      <c r="F953" s="278">
        <v>46220.0</v>
      </c>
      <c r="G953" s="173"/>
      <c r="H953" s="157" t="s">
        <v>6473</v>
      </c>
      <c r="I953" s="226">
        <f t="shared" si="3"/>
        <v>2017</v>
      </c>
      <c r="J953" s="157">
        <v>2026.0</v>
      </c>
    </row>
    <row r="954">
      <c r="A954" s="218">
        <f t="shared" si="2"/>
        <v>951</v>
      </c>
      <c r="B954" s="218" t="s">
        <v>201</v>
      </c>
      <c r="C954" s="219" t="str">
        <f t="shared" si="1"/>
        <v>HD/2018/2026</v>
      </c>
      <c r="D954" s="218" t="b">
        <v>1</v>
      </c>
      <c r="E954" s="219" t="b">
        <v>0</v>
      </c>
      <c r="F954" s="278">
        <v>46220.0</v>
      </c>
      <c r="G954" s="173"/>
      <c r="H954" s="157" t="s">
        <v>6473</v>
      </c>
      <c r="I954" s="226">
        <f t="shared" si="3"/>
        <v>2018</v>
      </c>
      <c r="J954" s="157">
        <v>2026.0</v>
      </c>
    </row>
    <row r="955">
      <c r="A955" s="218">
        <f t="shared" si="2"/>
        <v>952</v>
      </c>
      <c r="B955" s="218" t="s">
        <v>201</v>
      </c>
      <c r="C955" s="219" t="str">
        <f t="shared" si="1"/>
        <v>HD/2019/2026</v>
      </c>
      <c r="D955" s="218" t="b">
        <v>1</v>
      </c>
      <c r="E955" s="219" t="b">
        <v>0</v>
      </c>
      <c r="F955" s="278">
        <v>46220.0</v>
      </c>
      <c r="G955" s="173"/>
      <c r="H955" s="157" t="s">
        <v>6473</v>
      </c>
      <c r="I955" s="226">
        <f t="shared" si="3"/>
        <v>2019</v>
      </c>
      <c r="J955" s="157">
        <v>2026.0</v>
      </c>
    </row>
    <row r="956">
      <c r="A956" s="218">
        <f t="shared" si="2"/>
        <v>953</v>
      </c>
      <c r="B956" s="218" t="s">
        <v>201</v>
      </c>
      <c r="C956" s="219" t="str">
        <f t="shared" si="1"/>
        <v>HD/2020/2026</v>
      </c>
      <c r="D956" s="218" t="b">
        <v>1</v>
      </c>
      <c r="E956" s="219" t="b">
        <v>0</v>
      </c>
      <c r="F956" s="278">
        <v>46220.0</v>
      </c>
      <c r="G956" s="173"/>
      <c r="H956" s="157" t="s">
        <v>6473</v>
      </c>
      <c r="I956" s="226">
        <f t="shared" si="3"/>
        <v>2020</v>
      </c>
      <c r="J956" s="157">
        <v>2026.0</v>
      </c>
    </row>
    <row r="957">
      <c r="A957" s="218">
        <f t="shared" si="2"/>
        <v>954</v>
      </c>
      <c r="B957" s="218" t="s">
        <v>201</v>
      </c>
      <c r="C957" s="219" t="str">
        <f t="shared" si="1"/>
        <v>HD/2021/2026</v>
      </c>
      <c r="D957" s="218" t="b">
        <v>1</v>
      </c>
      <c r="E957" s="219" t="b">
        <v>0</v>
      </c>
      <c r="F957" s="278">
        <v>46220.0</v>
      </c>
      <c r="G957" s="173"/>
      <c r="H957" s="157" t="s">
        <v>6473</v>
      </c>
      <c r="I957" s="226">
        <f t="shared" si="3"/>
        <v>2021</v>
      </c>
      <c r="J957" s="157">
        <v>2026.0</v>
      </c>
    </row>
    <row r="958">
      <c r="A958" s="218">
        <f t="shared" si="2"/>
        <v>955</v>
      </c>
      <c r="B958" s="218" t="s">
        <v>201</v>
      </c>
      <c r="C958" s="219" t="str">
        <f t="shared" si="1"/>
        <v>HD/2022/2026</v>
      </c>
      <c r="D958" s="218" t="b">
        <v>1</v>
      </c>
      <c r="E958" s="219" t="b">
        <v>0</v>
      </c>
      <c r="F958" s="278">
        <v>46220.0</v>
      </c>
      <c r="G958" s="173"/>
      <c r="H958" s="157" t="s">
        <v>6473</v>
      </c>
      <c r="I958" s="226">
        <f t="shared" si="3"/>
        <v>2022</v>
      </c>
      <c r="J958" s="157">
        <v>2026.0</v>
      </c>
    </row>
    <row r="959">
      <c r="A959" s="218">
        <f t="shared" si="2"/>
        <v>956</v>
      </c>
      <c r="B959" s="218" t="s">
        <v>201</v>
      </c>
      <c r="C959" s="219" t="str">
        <f t="shared" si="1"/>
        <v>HD/2023/2026</v>
      </c>
      <c r="D959" s="218" t="b">
        <v>1</v>
      </c>
      <c r="E959" s="219" t="b">
        <v>0</v>
      </c>
      <c r="F959" s="278">
        <v>46220.0</v>
      </c>
      <c r="G959" s="173"/>
      <c r="H959" s="157" t="s">
        <v>6473</v>
      </c>
      <c r="I959" s="226">
        <f t="shared" si="3"/>
        <v>2023</v>
      </c>
      <c r="J959" s="157">
        <v>2026.0</v>
      </c>
    </row>
    <row r="960">
      <c r="A960" s="218">
        <f t="shared" si="2"/>
        <v>957</v>
      </c>
      <c r="B960" s="218" t="s">
        <v>201</v>
      </c>
      <c r="C960" s="219" t="str">
        <f t="shared" si="1"/>
        <v>HD/2024/2026</v>
      </c>
      <c r="D960" s="218" t="b">
        <v>1</v>
      </c>
      <c r="E960" s="219" t="b">
        <v>0</v>
      </c>
      <c r="F960" s="278">
        <v>46220.0</v>
      </c>
      <c r="G960" s="173"/>
      <c r="H960" s="157" t="s">
        <v>6473</v>
      </c>
      <c r="I960" s="226">
        <f t="shared" si="3"/>
        <v>2024</v>
      </c>
      <c r="J960" s="157">
        <v>2026.0</v>
      </c>
    </row>
    <row r="961">
      <c r="A961" s="218">
        <f t="shared" si="2"/>
        <v>958</v>
      </c>
      <c r="B961" s="218" t="s">
        <v>201</v>
      </c>
      <c r="C961" s="219" t="str">
        <f t="shared" si="1"/>
        <v>HD/2025/2026</v>
      </c>
      <c r="D961" s="218" t="b">
        <v>1</v>
      </c>
      <c r="E961" s="219" t="b">
        <v>0</v>
      </c>
      <c r="F961" s="278">
        <v>46220.0</v>
      </c>
      <c r="G961" s="173"/>
      <c r="H961" s="157" t="s">
        <v>6473</v>
      </c>
      <c r="I961" s="226">
        <f t="shared" si="3"/>
        <v>2025</v>
      </c>
      <c r="J961" s="157">
        <v>2026.0</v>
      </c>
    </row>
    <row r="962">
      <c r="A962" s="218">
        <f t="shared" si="2"/>
        <v>959</v>
      </c>
      <c r="B962" s="218" t="s">
        <v>201</v>
      </c>
      <c r="C962" s="219" t="str">
        <f t="shared" si="1"/>
        <v>HD/2026/2026</v>
      </c>
      <c r="D962" s="218" t="b">
        <v>1</v>
      </c>
      <c r="E962" s="219" t="b">
        <v>0</v>
      </c>
      <c r="F962" s="278">
        <v>46220.0</v>
      </c>
      <c r="G962" s="173"/>
      <c r="H962" s="157" t="s">
        <v>6473</v>
      </c>
      <c r="I962" s="226">
        <f t="shared" si="3"/>
        <v>2026</v>
      </c>
      <c r="J962" s="157">
        <v>2026.0</v>
      </c>
    </row>
    <row r="963">
      <c r="A963" s="218">
        <f t="shared" si="2"/>
        <v>960</v>
      </c>
      <c r="B963" s="218" t="s">
        <v>201</v>
      </c>
      <c r="C963" s="219" t="str">
        <f t="shared" si="1"/>
        <v>HD/2027/2026</v>
      </c>
      <c r="D963" s="218" t="b">
        <v>1</v>
      </c>
      <c r="E963" s="219" t="b">
        <v>0</v>
      </c>
      <c r="F963" s="278">
        <v>46220.0</v>
      </c>
      <c r="G963" s="173"/>
      <c r="H963" s="157" t="s">
        <v>6473</v>
      </c>
      <c r="I963" s="226">
        <f t="shared" si="3"/>
        <v>2027</v>
      </c>
      <c r="J963" s="157">
        <v>2026.0</v>
      </c>
    </row>
    <row r="964">
      <c r="A964" s="218">
        <f t="shared" si="2"/>
        <v>961</v>
      </c>
      <c r="B964" s="218" t="s">
        <v>201</v>
      </c>
      <c r="C964" s="219" t="str">
        <f t="shared" si="1"/>
        <v>HD/2028/2026</v>
      </c>
      <c r="D964" s="218" t="b">
        <v>1</v>
      </c>
      <c r="E964" s="219" t="b">
        <v>0</v>
      </c>
      <c r="F964" s="278">
        <v>46220.0</v>
      </c>
      <c r="G964" s="173"/>
      <c r="H964" s="157" t="s">
        <v>6473</v>
      </c>
      <c r="I964" s="226">
        <f t="shared" si="3"/>
        <v>2028</v>
      </c>
      <c r="J964" s="157">
        <v>2026.0</v>
      </c>
    </row>
    <row r="965">
      <c r="A965" s="218">
        <f t="shared" si="2"/>
        <v>962</v>
      </c>
      <c r="B965" s="218" t="s">
        <v>201</v>
      </c>
      <c r="C965" s="219" t="str">
        <f t="shared" si="1"/>
        <v>HD/2029/2026</v>
      </c>
      <c r="D965" s="218" t="b">
        <v>1</v>
      </c>
      <c r="E965" s="219" t="b">
        <v>0</v>
      </c>
      <c r="F965" s="278">
        <v>46220.0</v>
      </c>
      <c r="G965" s="173"/>
      <c r="H965" s="157" t="s">
        <v>6473</v>
      </c>
      <c r="I965" s="226">
        <f t="shared" si="3"/>
        <v>2029</v>
      </c>
      <c r="J965" s="157">
        <v>2026.0</v>
      </c>
    </row>
    <row r="966">
      <c r="A966" s="218">
        <f t="shared" si="2"/>
        <v>963</v>
      </c>
      <c r="B966" s="218" t="s">
        <v>201</v>
      </c>
      <c r="C966" s="219" t="str">
        <f t="shared" si="1"/>
        <v>HD/2030/2026</v>
      </c>
      <c r="D966" s="218" t="b">
        <v>1</v>
      </c>
      <c r="E966" s="219" t="b">
        <v>0</v>
      </c>
      <c r="F966" s="278">
        <v>46220.0</v>
      </c>
      <c r="G966" s="173"/>
      <c r="H966" s="157" t="s">
        <v>6473</v>
      </c>
      <c r="I966" s="226">
        <f t="shared" si="3"/>
        <v>2030</v>
      </c>
      <c r="J966" s="157">
        <v>2026.0</v>
      </c>
    </row>
    <row r="967">
      <c r="A967" s="218">
        <f t="shared" si="2"/>
        <v>964</v>
      </c>
      <c r="B967" s="218" t="s">
        <v>201</v>
      </c>
      <c r="C967" s="219" t="str">
        <f t="shared" si="1"/>
        <v>HD/2031/2026</v>
      </c>
      <c r="D967" s="218" t="b">
        <v>1</v>
      </c>
      <c r="E967" s="219" t="b">
        <v>0</v>
      </c>
      <c r="F967" s="278">
        <v>46220.0</v>
      </c>
      <c r="G967" s="173"/>
      <c r="H967" s="157" t="s">
        <v>6473</v>
      </c>
      <c r="I967" s="226">
        <f t="shared" si="3"/>
        <v>2031</v>
      </c>
      <c r="J967" s="157">
        <v>2026.0</v>
      </c>
    </row>
    <row r="968">
      <c r="A968" s="218">
        <f t="shared" si="2"/>
        <v>965</v>
      </c>
      <c r="B968" s="218" t="s">
        <v>201</v>
      </c>
      <c r="C968" s="219" t="str">
        <f t="shared" si="1"/>
        <v>HD/2032/2026</v>
      </c>
      <c r="D968" s="218" t="b">
        <v>1</v>
      </c>
      <c r="E968" s="219" t="b">
        <v>0</v>
      </c>
      <c r="F968" s="278">
        <v>46220.0</v>
      </c>
      <c r="G968" s="173"/>
      <c r="H968" s="157" t="s">
        <v>6473</v>
      </c>
      <c r="I968" s="226">
        <f t="shared" si="3"/>
        <v>2032</v>
      </c>
      <c r="J968" s="157">
        <v>2026.0</v>
      </c>
    </row>
    <row r="969">
      <c r="A969" s="218">
        <f t="shared" si="2"/>
        <v>966</v>
      </c>
      <c r="B969" s="218" t="s">
        <v>201</v>
      </c>
      <c r="C969" s="219" t="str">
        <f t="shared" si="1"/>
        <v>HD/2033/2026</v>
      </c>
      <c r="D969" s="218" t="b">
        <v>1</v>
      </c>
      <c r="E969" s="219" t="b">
        <v>0</v>
      </c>
      <c r="F969" s="278">
        <v>46220.0</v>
      </c>
      <c r="G969" s="173"/>
      <c r="H969" s="157" t="s">
        <v>6473</v>
      </c>
      <c r="I969" s="226">
        <f t="shared" si="3"/>
        <v>2033</v>
      </c>
      <c r="J969" s="157">
        <v>2026.0</v>
      </c>
    </row>
    <row r="970">
      <c r="A970" s="218">
        <f t="shared" si="2"/>
        <v>967</v>
      </c>
      <c r="B970" s="218" t="s">
        <v>201</v>
      </c>
      <c r="C970" s="219" t="str">
        <f t="shared" si="1"/>
        <v>HD/2034/2026</v>
      </c>
      <c r="D970" s="218" t="b">
        <v>1</v>
      </c>
      <c r="E970" s="219" t="b">
        <v>0</v>
      </c>
      <c r="F970" s="278">
        <v>46220.0</v>
      </c>
      <c r="G970" s="173"/>
      <c r="H970" s="157" t="s">
        <v>6473</v>
      </c>
      <c r="I970" s="226">
        <f t="shared" si="3"/>
        <v>2034</v>
      </c>
      <c r="J970" s="157">
        <v>2026.0</v>
      </c>
    </row>
    <row r="971">
      <c r="A971" s="218">
        <f t="shared" si="2"/>
        <v>968</v>
      </c>
      <c r="B971" s="218" t="s">
        <v>201</v>
      </c>
      <c r="C971" s="219" t="str">
        <f t="shared" si="1"/>
        <v>HD/2035/2026</v>
      </c>
      <c r="D971" s="218" t="b">
        <v>1</v>
      </c>
      <c r="E971" s="219" t="b">
        <v>0</v>
      </c>
      <c r="F971" s="278">
        <v>46220.0</v>
      </c>
      <c r="G971" s="173"/>
      <c r="H971" s="157" t="s">
        <v>6473</v>
      </c>
      <c r="I971" s="226">
        <f t="shared" si="3"/>
        <v>2035</v>
      </c>
      <c r="J971" s="157">
        <v>2026.0</v>
      </c>
    </row>
    <row r="972">
      <c r="A972" s="218">
        <f t="shared" si="2"/>
        <v>969</v>
      </c>
      <c r="B972" s="218" t="s">
        <v>201</v>
      </c>
      <c r="C972" s="219" t="str">
        <f t="shared" si="1"/>
        <v>HD/2036/2026</v>
      </c>
      <c r="D972" s="218" t="b">
        <v>1</v>
      </c>
      <c r="E972" s="219" t="b">
        <v>0</v>
      </c>
      <c r="F972" s="278">
        <v>46220.0</v>
      </c>
      <c r="G972" s="173"/>
      <c r="H972" s="157" t="s">
        <v>6473</v>
      </c>
      <c r="I972" s="226">
        <f t="shared" si="3"/>
        <v>2036</v>
      </c>
      <c r="J972" s="157">
        <v>2026.0</v>
      </c>
    </row>
    <row r="973">
      <c r="A973" s="218">
        <f t="shared" si="2"/>
        <v>970</v>
      </c>
      <c r="B973" s="218" t="s">
        <v>201</v>
      </c>
      <c r="C973" s="219" t="str">
        <f t="shared" si="1"/>
        <v>HD/2037/2026</v>
      </c>
      <c r="D973" s="218" t="b">
        <v>1</v>
      </c>
      <c r="E973" s="219" t="b">
        <v>0</v>
      </c>
      <c r="F973" s="278">
        <v>46220.0</v>
      </c>
      <c r="G973" s="173"/>
      <c r="H973" s="157" t="s">
        <v>6473</v>
      </c>
      <c r="I973" s="226">
        <f t="shared" si="3"/>
        <v>2037</v>
      </c>
      <c r="J973" s="157">
        <v>2026.0</v>
      </c>
    </row>
    <row r="974">
      <c r="A974" s="218">
        <f t="shared" si="2"/>
        <v>971</v>
      </c>
      <c r="B974" s="218" t="s">
        <v>201</v>
      </c>
      <c r="C974" s="219" t="str">
        <f t="shared" si="1"/>
        <v>HD/2038/2026</v>
      </c>
      <c r="D974" s="218" t="b">
        <v>1</v>
      </c>
      <c r="E974" s="219" t="b">
        <v>0</v>
      </c>
      <c r="F974" s="278">
        <v>46220.0</v>
      </c>
      <c r="G974" s="173"/>
      <c r="H974" s="157" t="s">
        <v>6473</v>
      </c>
      <c r="I974" s="226">
        <f t="shared" si="3"/>
        <v>2038</v>
      </c>
      <c r="J974" s="157">
        <v>2026.0</v>
      </c>
    </row>
    <row r="975">
      <c r="A975" s="218">
        <f t="shared" si="2"/>
        <v>972</v>
      </c>
      <c r="B975" s="218" t="s">
        <v>201</v>
      </c>
      <c r="C975" s="219" t="str">
        <f t="shared" si="1"/>
        <v>HD/2039/2026</v>
      </c>
      <c r="D975" s="218" t="b">
        <v>1</v>
      </c>
      <c r="E975" s="219" t="b">
        <v>0</v>
      </c>
      <c r="F975" s="278">
        <v>46220.0</v>
      </c>
      <c r="G975" s="173"/>
      <c r="H975" s="157" t="s">
        <v>6473</v>
      </c>
      <c r="I975" s="226">
        <f t="shared" si="3"/>
        <v>2039</v>
      </c>
      <c r="J975" s="157">
        <v>2026.0</v>
      </c>
    </row>
    <row r="976">
      <c r="A976" s="218">
        <f t="shared" si="2"/>
        <v>973</v>
      </c>
      <c r="B976" s="218" t="s">
        <v>201</v>
      </c>
      <c r="C976" s="219" t="str">
        <f t="shared" si="1"/>
        <v>HD/2040/2026</v>
      </c>
      <c r="D976" s="218" t="b">
        <v>1</v>
      </c>
      <c r="E976" s="219" t="b">
        <v>0</v>
      </c>
      <c r="F976" s="278">
        <v>46220.0</v>
      </c>
      <c r="G976" s="173"/>
      <c r="H976" s="157" t="s">
        <v>6473</v>
      </c>
      <c r="I976" s="226">
        <f t="shared" si="3"/>
        <v>2040</v>
      </c>
      <c r="J976" s="157">
        <v>2026.0</v>
      </c>
    </row>
    <row r="977">
      <c r="A977" s="218">
        <f t="shared" si="2"/>
        <v>974</v>
      </c>
      <c r="B977" s="218" t="s">
        <v>201</v>
      </c>
      <c r="C977" s="219" t="str">
        <f t="shared" si="1"/>
        <v>HD/2041/2026</v>
      </c>
      <c r="D977" s="218" t="b">
        <v>1</v>
      </c>
      <c r="E977" s="219" t="b">
        <v>0</v>
      </c>
      <c r="F977" s="278">
        <v>46220.0</v>
      </c>
      <c r="G977" s="173"/>
      <c r="H977" s="157" t="s">
        <v>6473</v>
      </c>
      <c r="I977" s="226">
        <f t="shared" si="3"/>
        <v>2041</v>
      </c>
      <c r="J977" s="157">
        <v>2026.0</v>
      </c>
    </row>
    <row r="978">
      <c r="A978" s="218">
        <f t="shared" si="2"/>
        <v>975</v>
      </c>
      <c r="B978" s="218" t="s">
        <v>201</v>
      </c>
      <c r="C978" s="219" t="str">
        <f t="shared" si="1"/>
        <v>HD/2042/2026</v>
      </c>
      <c r="D978" s="218" t="b">
        <v>1</v>
      </c>
      <c r="E978" s="219" t="b">
        <v>0</v>
      </c>
      <c r="F978" s="278">
        <v>46220.0</v>
      </c>
      <c r="G978" s="173"/>
      <c r="H978" s="157" t="s">
        <v>6473</v>
      </c>
      <c r="I978" s="226">
        <f t="shared" si="3"/>
        <v>2042</v>
      </c>
      <c r="J978" s="157">
        <v>2026.0</v>
      </c>
    </row>
    <row r="979">
      <c r="A979" s="218">
        <f t="shared" si="2"/>
        <v>976</v>
      </c>
      <c r="B979" s="218" t="s">
        <v>201</v>
      </c>
      <c r="C979" s="219" t="str">
        <f t="shared" si="1"/>
        <v>HD/2043/2026</v>
      </c>
      <c r="D979" s="218" t="b">
        <v>1</v>
      </c>
      <c r="E979" s="219" t="b">
        <v>0</v>
      </c>
      <c r="F979" s="278">
        <v>46220.0</v>
      </c>
      <c r="G979" s="173"/>
      <c r="H979" s="157" t="s">
        <v>6473</v>
      </c>
      <c r="I979" s="226">
        <f t="shared" si="3"/>
        <v>2043</v>
      </c>
      <c r="J979" s="157">
        <v>2026.0</v>
      </c>
    </row>
    <row r="980">
      <c r="A980" s="218">
        <f t="shared" si="2"/>
        <v>977</v>
      </c>
      <c r="B980" s="218" t="s">
        <v>201</v>
      </c>
      <c r="C980" s="219" t="str">
        <f t="shared" si="1"/>
        <v>HD/2044/2026</v>
      </c>
      <c r="D980" s="218" t="b">
        <v>1</v>
      </c>
      <c r="E980" s="219" t="b">
        <v>0</v>
      </c>
      <c r="F980" s="278">
        <v>46220.0</v>
      </c>
      <c r="G980" s="173"/>
      <c r="H980" s="157" t="s">
        <v>6473</v>
      </c>
      <c r="I980" s="226">
        <f t="shared" si="3"/>
        <v>2044</v>
      </c>
      <c r="J980" s="157">
        <v>2026.0</v>
      </c>
    </row>
    <row r="981">
      <c r="A981" s="218">
        <f t="shared" si="2"/>
        <v>978</v>
      </c>
      <c r="B981" s="218" t="s">
        <v>201</v>
      </c>
      <c r="C981" s="219" t="str">
        <f t="shared" si="1"/>
        <v>HD/2045/2026</v>
      </c>
      <c r="D981" s="218" t="b">
        <v>1</v>
      </c>
      <c r="E981" s="219" t="b">
        <v>0</v>
      </c>
      <c r="F981" s="278">
        <v>46220.0</v>
      </c>
      <c r="G981" s="173"/>
      <c r="H981" s="157" t="s">
        <v>6473</v>
      </c>
      <c r="I981" s="226">
        <f t="shared" si="3"/>
        <v>2045</v>
      </c>
      <c r="J981" s="157">
        <v>2026.0</v>
      </c>
    </row>
    <row r="982">
      <c r="A982" s="218">
        <f t="shared" si="2"/>
        <v>979</v>
      </c>
      <c r="B982" s="218" t="s">
        <v>201</v>
      </c>
      <c r="C982" s="219" t="str">
        <f t="shared" si="1"/>
        <v>HD/2046/2026</v>
      </c>
      <c r="D982" s="218" t="b">
        <v>1</v>
      </c>
      <c r="E982" s="219" t="b">
        <v>0</v>
      </c>
      <c r="F982" s="278">
        <v>46220.0</v>
      </c>
      <c r="G982" s="173"/>
      <c r="H982" s="157" t="s">
        <v>6473</v>
      </c>
      <c r="I982" s="226">
        <f t="shared" si="3"/>
        <v>2046</v>
      </c>
      <c r="J982" s="157">
        <v>2026.0</v>
      </c>
    </row>
    <row r="983">
      <c r="A983" s="218">
        <f t="shared" si="2"/>
        <v>980</v>
      </c>
      <c r="B983" s="218" t="s">
        <v>201</v>
      </c>
      <c r="C983" s="219" t="str">
        <f t="shared" si="1"/>
        <v>HD/2047/2026</v>
      </c>
      <c r="D983" s="218" t="b">
        <v>1</v>
      </c>
      <c r="E983" s="219" t="b">
        <v>0</v>
      </c>
      <c r="F983" s="278">
        <v>46220.0</v>
      </c>
      <c r="G983" s="173"/>
      <c r="H983" s="157" t="s">
        <v>6473</v>
      </c>
      <c r="I983" s="226">
        <f t="shared" si="3"/>
        <v>2047</v>
      </c>
      <c r="J983" s="157">
        <v>2026.0</v>
      </c>
    </row>
    <row r="984">
      <c r="A984" s="218">
        <f t="shared" si="2"/>
        <v>981</v>
      </c>
      <c r="B984" s="218" t="s">
        <v>201</v>
      </c>
      <c r="C984" s="219" t="str">
        <f t="shared" si="1"/>
        <v>HD/2048/2026</v>
      </c>
      <c r="D984" s="218" t="b">
        <v>1</v>
      </c>
      <c r="E984" s="219" t="b">
        <v>0</v>
      </c>
      <c r="F984" s="278">
        <v>46220.0</v>
      </c>
      <c r="G984" s="173"/>
      <c r="H984" s="157" t="s">
        <v>6473</v>
      </c>
      <c r="I984" s="226">
        <f t="shared" si="3"/>
        <v>2048</v>
      </c>
      <c r="J984" s="157">
        <v>2026.0</v>
      </c>
    </row>
    <row r="985">
      <c r="A985" s="218">
        <f t="shared" si="2"/>
        <v>982</v>
      </c>
      <c r="B985" s="218" t="s">
        <v>201</v>
      </c>
      <c r="C985" s="219" t="str">
        <f t="shared" si="1"/>
        <v>HD/2049/2026</v>
      </c>
      <c r="D985" s="218" t="b">
        <v>1</v>
      </c>
      <c r="E985" s="219" t="b">
        <v>0</v>
      </c>
      <c r="F985" s="278">
        <v>46220.0</v>
      </c>
      <c r="G985" s="173"/>
      <c r="H985" s="157" t="s">
        <v>6473</v>
      </c>
      <c r="I985" s="226">
        <f t="shared" si="3"/>
        <v>2049</v>
      </c>
      <c r="J985" s="157">
        <v>2026.0</v>
      </c>
    </row>
    <row r="986">
      <c r="A986" s="218">
        <f t="shared" si="2"/>
        <v>983</v>
      </c>
      <c r="B986" s="218" t="s">
        <v>201</v>
      </c>
      <c r="C986" s="219" t="str">
        <f t="shared" si="1"/>
        <v>HD/2050/2026</v>
      </c>
      <c r="D986" s="218" t="b">
        <v>1</v>
      </c>
      <c r="E986" s="219" t="b">
        <v>0</v>
      </c>
      <c r="F986" s="278">
        <v>46220.0</v>
      </c>
      <c r="G986" s="173"/>
      <c r="H986" s="157" t="s">
        <v>6473</v>
      </c>
      <c r="I986" s="226">
        <f t="shared" si="3"/>
        <v>2050</v>
      </c>
      <c r="J986" s="157">
        <v>2026.0</v>
      </c>
    </row>
    <row r="987">
      <c r="A987" s="218">
        <f t="shared" si="2"/>
        <v>984</v>
      </c>
      <c r="B987" s="218" t="s">
        <v>201</v>
      </c>
      <c r="C987" s="219" t="str">
        <f t="shared" si="1"/>
        <v>HD/2051/2026</v>
      </c>
      <c r="D987" s="218" t="b">
        <v>1</v>
      </c>
      <c r="E987" s="219" t="b">
        <v>0</v>
      </c>
      <c r="F987" s="278">
        <v>46220.0</v>
      </c>
      <c r="G987" s="173"/>
      <c r="H987" s="157" t="s">
        <v>6473</v>
      </c>
      <c r="I987" s="226">
        <f t="shared" si="3"/>
        <v>2051</v>
      </c>
      <c r="J987" s="157">
        <v>2026.0</v>
      </c>
    </row>
    <row r="988">
      <c r="A988" s="218">
        <f t="shared" si="2"/>
        <v>985</v>
      </c>
      <c r="B988" s="218" t="s">
        <v>201</v>
      </c>
      <c r="C988" s="219" t="str">
        <f t="shared" si="1"/>
        <v>HD/2052/2026</v>
      </c>
      <c r="D988" s="218" t="b">
        <v>1</v>
      </c>
      <c r="E988" s="219" t="b">
        <v>0</v>
      </c>
      <c r="F988" s="278">
        <v>46220.0</v>
      </c>
      <c r="G988" s="173"/>
      <c r="H988" s="157" t="s">
        <v>6473</v>
      </c>
      <c r="I988" s="226">
        <f t="shared" si="3"/>
        <v>2052</v>
      </c>
      <c r="J988" s="157">
        <v>2026.0</v>
      </c>
    </row>
    <row r="989">
      <c r="A989" s="218">
        <f t="shared" si="2"/>
        <v>986</v>
      </c>
      <c r="B989" s="218" t="s">
        <v>201</v>
      </c>
      <c r="C989" s="219" t="str">
        <f t="shared" si="1"/>
        <v>HD/2053/2026</v>
      </c>
      <c r="D989" s="218" t="b">
        <v>1</v>
      </c>
      <c r="E989" s="219" t="b">
        <v>0</v>
      </c>
      <c r="F989" s="278">
        <v>46220.0</v>
      </c>
      <c r="G989" s="173"/>
      <c r="H989" s="157" t="s">
        <v>6473</v>
      </c>
      <c r="I989" s="226">
        <f t="shared" si="3"/>
        <v>2053</v>
      </c>
      <c r="J989" s="157">
        <v>2026.0</v>
      </c>
    </row>
    <row r="990">
      <c r="A990" s="218">
        <f t="shared" si="2"/>
        <v>987</v>
      </c>
      <c r="B990" s="218" t="s">
        <v>201</v>
      </c>
      <c r="C990" s="219" t="str">
        <f t="shared" si="1"/>
        <v>HD/2054/2026</v>
      </c>
      <c r="D990" s="218" t="b">
        <v>1</v>
      </c>
      <c r="E990" s="219" t="b">
        <v>0</v>
      </c>
      <c r="F990" s="278">
        <v>46220.0</v>
      </c>
      <c r="G990" s="173"/>
      <c r="H990" s="157" t="s">
        <v>6473</v>
      </c>
      <c r="I990" s="226">
        <f t="shared" si="3"/>
        <v>2054</v>
      </c>
      <c r="J990" s="157">
        <v>2026.0</v>
      </c>
    </row>
    <row r="991">
      <c r="A991" s="218">
        <f t="shared" si="2"/>
        <v>988</v>
      </c>
      <c r="B991" s="218" t="s">
        <v>201</v>
      </c>
      <c r="C991" s="219" t="str">
        <f t="shared" si="1"/>
        <v>HD/2055/2026</v>
      </c>
      <c r="D991" s="218" t="b">
        <v>1</v>
      </c>
      <c r="E991" s="219" t="b">
        <v>0</v>
      </c>
      <c r="F991" s="278">
        <v>46220.0</v>
      </c>
      <c r="G991" s="173"/>
      <c r="H991" s="157" t="s">
        <v>6473</v>
      </c>
      <c r="I991" s="226">
        <f t="shared" si="3"/>
        <v>2055</v>
      </c>
      <c r="J991" s="157">
        <v>2026.0</v>
      </c>
    </row>
    <row r="992">
      <c r="A992" s="218">
        <f t="shared" si="2"/>
        <v>989</v>
      </c>
      <c r="B992" s="218" t="s">
        <v>201</v>
      </c>
      <c r="C992" s="219" t="str">
        <f t="shared" si="1"/>
        <v>HD/2056/2026</v>
      </c>
      <c r="D992" s="218" t="b">
        <v>1</v>
      </c>
      <c r="E992" s="219" t="b">
        <v>0</v>
      </c>
      <c r="F992" s="278">
        <v>46220.0</v>
      </c>
      <c r="G992" s="173"/>
      <c r="H992" s="157" t="s">
        <v>6473</v>
      </c>
      <c r="I992" s="226">
        <f t="shared" si="3"/>
        <v>2056</v>
      </c>
      <c r="J992" s="157">
        <v>2026.0</v>
      </c>
    </row>
    <row r="993">
      <c r="A993" s="218">
        <f t="shared" si="2"/>
        <v>990</v>
      </c>
      <c r="B993" s="218" t="s">
        <v>201</v>
      </c>
      <c r="C993" s="219" t="str">
        <f t="shared" si="1"/>
        <v>HD/2057/2026</v>
      </c>
      <c r="D993" s="218" t="b">
        <v>1</v>
      </c>
      <c r="E993" s="219" t="b">
        <v>0</v>
      </c>
      <c r="F993" s="278">
        <v>46220.0</v>
      </c>
      <c r="G993" s="173"/>
      <c r="H993" s="157" t="s">
        <v>6473</v>
      </c>
      <c r="I993" s="226">
        <f t="shared" si="3"/>
        <v>2057</v>
      </c>
      <c r="J993" s="157">
        <v>2026.0</v>
      </c>
    </row>
    <row r="994">
      <c r="A994" s="218">
        <f t="shared" si="2"/>
        <v>991</v>
      </c>
      <c r="B994" s="218" t="s">
        <v>201</v>
      </c>
      <c r="C994" s="219" t="str">
        <f t="shared" si="1"/>
        <v>HD/2058/2026</v>
      </c>
      <c r="D994" s="218" t="b">
        <v>1</v>
      </c>
      <c r="E994" s="219" t="b">
        <v>0</v>
      </c>
      <c r="F994" s="278">
        <v>46220.0</v>
      </c>
      <c r="G994" s="173"/>
      <c r="H994" s="157" t="s">
        <v>6473</v>
      </c>
      <c r="I994" s="226">
        <f t="shared" si="3"/>
        <v>2058</v>
      </c>
      <c r="J994" s="157">
        <v>2026.0</v>
      </c>
    </row>
    <row r="995">
      <c r="A995" s="218">
        <f t="shared" si="2"/>
        <v>992</v>
      </c>
      <c r="B995" s="218" t="s">
        <v>201</v>
      </c>
      <c r="C995" s="219" t="str">
        <f t="shared" si="1"/>
        <v>HD/2059/2026</v>
      </c>
      <c r="D995" s="218" t="b">
        <v>1</v>
      </c>
      <c r="E995" s="219" t="b">
        <v>0</v>
      </c>
      <c r="F995" s="278">
        <v>46220.0</v>
      </c>
      <c r="G995" s="173"/>
      <c r="H995" s="157" t="s">
        <v>6473</v>
      </c>
      <c r="I995" s="226">
        <f t="shared" si="3"/>
        <v>2059</v>
      </c>
      <c r="J995" s="157">
        <v>2026.0</v>
      </c>
    </row>
    <row r="996">
      <c r="A996" s="218">
        <f t="shared" si="2"/>
        <v>993</v>
      </c>
      <c r="B996" s="218" t="s">
        <v>201</v>
      </c>
      <c r="C996" s="219" t="str">
        <f t="shared" si="1"/>
        <v>HD/2060/2026</v>
      </c>
      <c r="D996" s="218" t="b">
        <v>1</v>
      </c>
      <c r="E996" s="219" t="b">
        <v>0</v>
      </c>
      <c r="F996" s="278">
        <v>46220.0</v>
      </c>
      <c r="G996" s="173"/>
      <c r="H996" s="157" t="s">
        <v>6473</v>
      </c>
      <c r="I996" s="226">
        <f t="shared" si="3"/>
        <v>2060</v>
      </c>
      <c r="J996" s="157">
        <v>2026.0</v>
      </c>
    </row>
    <row r="997">
      <c r="A997" s="218">
        <f t="shared" si="2"/>
        <v>994</v>
      </c>
      <c r="B997" s="218" t="s">
        <v>201</v>
      </c>
      <c r="C997" s="219" t="str">
        <f t="shared" si="1"/>
        <v>HD/2061/2026</v>
      </c>
      <c r="D997" s="218" t="b">
        <v>1</v>
      </c>
      <c r="E997" s="219" t="b">
        <v>0</v>
      </c>
      <c r="F997" s="278">
        <v>46220.0</v>
      </c>
      <c r="G997" s="173"/>
      <c r="H997" s="157" t="s">
        <v>6473</v>
      </c>
      <c r="I997" s="226">
        <f t="shared" si="3"/>
        <v>2061</v>
      </c>
      <c r="J997" s="157">
        <v>2026.0</v>
      </c>
    </row>
    <row r="998">
      <c r="A998" s="218">
        <f t="shared" si="2"/>
        <v>995</v>
      </c>
      <c r="B998" s="218" t="s">
        <v>201</v>
      </c>
      <c r="C998" s="219" t="str">
        <f t="shared" si="1"/>
        <v>HD/2062/2026</v>
      </c>
      <c r="D998" s="218" t="b">
        <v>1</v>
      </c>
      <c r="E998" s="219" t="b">
        <v>0</v>
      </c>
      <c r="F998" s="278">
        <v>46220.0</v>
      </c>
      <c r="G998" s="173"/>
      <c r="H998" s="157" t="s">
        <v>6473</v>
      </c>
      <c r="I998" s="226">
        <f t="shared" si="3"/>
        <v>2062</v>
      </c>
      <c r="J998" s="157">
        <v>2026.0</v>
      </c>
    </row>
    <row r="999">
      <c r="A999" s="218">
        <f t="shared" si="2"/>
        <v>996</v>
      </c>
      <c r="B999" s="218" t="s">
        <v>201</v>
      </c>
      <c r="C999" s="219" t="str">
        <f t="shared" si="1"/>
        <v>HD/2063/2026</v>
      </c>
      <c r="D999" s="218" t="b">
        <v>1</v>
      </c>
      <c r="E999" s="219" t="b">
        <v>0</v>
      </c>
      <c r="F999" s="278">
        <v>46220.0</v>
      </c>
      <c r="G999" s="173"/>
      <c r="H999" s="157" t="s">
        <v>6473</v>
      </c>
      <c r="I999" s="226">
        <f t="shared" si="3"/>
        <v>2063</v>
      </c>
      <c r="J999" s="157">
        <v>2026.0</v>
      </c>
    </row>
    <row r="1000">
      <c r="A1000" s="218">
        <f t="shared" si="2"/>
        <v>997</v>
      </c>
      <c r="B1000" s="218" t="s">
        <v>201</v>
      </c>
      <c r="C1000" s="219" t="str">
        <f t="shared" si="1"/>
        <v>HD/2064/2026</v>
      </c>
      <c r="D1000" s="218" t="b">
        <v>1</v>
      </c>
      <c r="E1000" s="219" t="b">
        <v>0</v>
      </c>
      <c r="F1000" s="278">
        <v>46220.0</v>
      </c>
      <c r="G1000" s="173"/>
      <c r="H1000" s="157" t="s">
        <v>6473</v>
      </c>
      <c r="I1000" s="226">
        <f t="shared" si="3"/>
        <v>2064</v>
      </c>
      <c r="J1000" s="157">
        <v>2026.0</v>
      </c>
    </row>
    <row r="1001">
      <c r="A1001" s="218">
        <f t="shared" si="2"/>
        <v>998</v>
      </c>
      <c r="B1001" s="218" t="s">
        <v>201</v>
      </c>
      <c r="C1001" s="219" t="str">
        <f t="shared" si="1"/>
        <v>HD/2065/2026</v>
      </c>
      <c r="D1001" s="218" t="b">
        <v>1</v>
      </c>
      <c r="E1001" s="219" t="b">
        <v>0</v>
      </c>
      <c r="F1001" s="278">
        <v>46220.0</v>
      </c>
      <c r="G1001" s="173"/>
      <c r="H1001" s="157" t="s">
        <v>6473</v>
      </c>
      <c r="I1001" s="226">
        <f t="shared" si="3"/>
        <v>2065</v>
      </c>
      <c r="J1001" s="157">
        <v>2026.0</v>
      </c>
    </row>
    <row r="1002">
      <c r="A1002" s="218">
        <f t="shared" si="2"/>
        <v>999</v>
      </c>
      <c r="B1002" s="218" t="s">
        <v>201</v>
      </c>
      <c r="C1002" s="219" t="str">
        <f t="shared" si="1"/>
        <v>//</v>
      </c>
      <c r="D1002" s="219" t="b">
        <v>0</v>
      </c>
      <c r="E1002" s="218" t="b">
        <v>1</v>
      </c>
      <c r="F1002" s="219"/>
      <c r="G1002" s="173"/>
      <c r="H1002" s="173"/>
      <c r="I1002" s="157"/>
      <c r="J1002" s="173"/>
    </row>
    <row r="1003">
      <c r="A1003" s="216"/>
      <c r="B1003" s="216"/>
      <c r="C1003" s="216"/>
      <c r="D1003" s="216"/>
      <c r="E1003" s="216"/>
      <c r="F1003" s="216"/>
      <c r="G1003" s="173"/>
      <c r="H1003" s="173"/>
      <c r="I1003" s="157"/>
      <c r="J1003" s="173"/>
    </row>
    <row r="1004">
      <c r="A1004" s="216"/>
      <c r="B1004" s="216"/>
      <c r="C1004" s="216"/>
      <c r="D1004" s="216"/>
      <c r="E1004" s="216"/>
      <c r="F1004" s="216"/>
      <c r="G1004" s="173"/>
      <c r="H1004" s="173"/>
      <c r="I1004" s="157"/>
      <c r="J1004" s="173"/>
    </row>
    <row r="1005">
      <c r="A1005" s="216"/>
      <c r="B1005" s="216"/>
      <c r="C1005" s="216"/>
      <c r="D1005" s="216"/>
      <c r="E1005" s="216"/>
      <c r="F1005" s="216"/>
      <c r="G1005" s="173"/>
      <c r="H1005" s="173"/>
      <c r="I1005" s="157"/>
      <c r="J1005" s="173"/>
    </row>
    <row r="1006">
      <c r="A1006" s="216"/>
      <c r="B1006" s="216"/>
      <c r="C1006" s="216"/>
      <c r="D1006" s="216"/>
      <c r="E1006" s="216"/>
      <c r="F1006" s="216"/>
      <c r="G1006" s="173"/>
      <c r="H1006" s="173"/>
      <c r="I1006" s="157"/>
      <c r="J1006" s="173"/>
    </row>
    <row r="1007">
      <c r="A1007" s="216"/>
      <c r="B1007" s="216"/>
      <c r="C1007" s="216"/>
      <c r="D1007" s="216"/>
      <c r="E1007" s="216"/>
      <c r="F1007" s="216"/>
      <c r="G1007" s="173"/>
      <c r="H1007" s="173"/>
      <c r="I1007" s="157"/>
      <c r="J1007" s="173"/>
    </row>
    <row r="1008">
      <c r="A1008" s="216"/>
      <c r="B1008" s="216"/>
      <c r="C1008" s="216"/>
      <c r="D1008" s="216"/>
      <c r="E1008" s="216"/>
      <c r="F1008" s="216"/>
      <c r="G1008" s="173"/>
      <c r="H1008" s="173"/>
      <c r="I1008" s="157"/>
      <c r="J1008" s="173"/>
    </row>
    <row r="1009">
      <c r="A1009" s="216"/>
      <c r="B1009" s="216"/>
      <c r="C1009" s="216"/>
      <c r="D1009" s="216"/>
      <c r="E1009" s="216"/>
      <c r="F1009" s="216"/>
      <c r="G1009" s="173"/>
      <c r="H1009" s="173"/>
      <c r="I1009" s="157"/>
      <c r="J1009" s="173"/>
    </row>
    <row r="1010">
      <c r="A1010" s="216"/>
      <c r="B1010" s="216"/>
      <c r="C1010" s="216"/>
      <c r="D1010" s="216"/>
      <c r="E1010" s="216"/>
      <c r="F1010" s="216"/>
      <c r="G1010" s="173"/>
      <c r="H1010" s="173"/>
      <c r="I1010" s="157"/>
      <c r="J1010" s="173"/>
    </row>
    <row r="1011">
      <c r="A1011" s="216"/>
      <c r="B1011" s="216"/>
      <c r="C1011" s="216"/>
      <c r="D1011" s="216"/>
      <c r="E1011" s="216"/>
      <c r="F1011" s="216"/>
      <c r="G1011" s="173"/>
      <c r="H1011" s="173"/>
      <c r="I1011" s="157"/>
      <c r="J1011" s="173"/>
    </row>
    <row r="1012">
      <c r="A1012" s="216"/>
      <c r="B1012" s="216"/>
      <c r="C1012" s="216"/>
      <c r="D1012" s="216"/>
      <c r="E1012" s="216"/>
      <c r="F1012" s="216"/>
      <c r="G1012" s="173"/>
      <c r="H1012" s="173"/>
      <c r="I1012" s="157"/>
      <c r="J1012" s="173"/>
    </row>
    <row r="1013">
      <c r="A1013" s="216"/>
      <c r="B1013" s="216"/>
      <c r="C1013" s="216"/>
      <c r="D1013" s="216"/>
      <c r="E1013" s="216"/>
      <c r="F1013" s="216"/>
      <c r="G1013" s="173"/>
      <c r="H1013" s="173"/>
      <c r="I1013" s="157"/>
      <c r="J1013" s="173"/>
    </row>
    <row r="1014">
      <c r="A1014" s="216"/>
      <c r="B1014" s="216"/>
      <c r="C1014" s="216"/>
      <c r="D1014" s="216"/>
      <c r="E1014" s="216"/>
      <c r="F1014" s="216"/>
      <c r="G1014" s="173"/>
      <c r="H1014" s="173"/>
      <c r="I1014" s="157"/>
      <c r="J1014" s="173"/>
    </row>
    <row r="1015">
      <c r="A1015" s="216"/>
      <c r="B1015" s="216"/>
      <c r="C1015" s="216"/>
      <c r="D1015" s="216"/>
      <c r="E1015" s="216"/>
      <c r="F1015" s="216"/>
      <c r="G1015" s="173"/>
      <c r="H1015" s="173"/>
      <c r="I1015" s="157"/>
      <c r="J1015" s="173"/>
    </row>
    <row r="1016">
      <c r="A1016" s="216"/>
      <c r="B1016" s="216"/>
      <c r="C1016" s="216"/>
      <c r="D1016" s="216"/>
      <c r="E1016" s="216"/>
      <c r="F1016" s="216"/>
      <c r="G1016" s="173"/>
      <c r="H1016" s="173"/>
      <c r="I1016" s="157"/>
      <c r="J1016" s="173"/>
    </row>
    <row r="1017">
      <c r="A1017" s="216"/>
      <c r="B1017" s="216"/>
      <c r="C1017" s="216"/>
      <c r="D1017" s="216"/>
      <c r="E1017" s="216"/>
      <c r="F1017" s="216"/>
      <c r="G1017" s="173"/>
      <c r="H1017" s="173"/>
      <c r="I1017" s="157"/>
      <c r="J1017" s="173"/>
    </row>
    <row r="1018">
      <c r="A1018" s="216"/>
      <c r="B1018" s="216"/>
      <c r="C1018" s="216"/>
      <c r="D1018" s="216"/>
      <c r="E1018" s="216"/>
      <c r="F1018" s="216"/>
      <c r="G1018" s="173"/>
      <c r="H1018" s="173"/>
      <c r="I1018" s="157"/>
      <c r="J1018" s="173"/>
    </row>
    <row r="1019">
      <c r="A1019" s="216"/>
      <c r="B1019" s="216"/>
      <c r="C1019" s="216"/>
      <c r="D1019" s="216"/>
      <c r="E1019" s="216"/>
      <c r="F1019" s="216"/>
      <c r="G1019" s="173"/>
      <c r="H1019" s="173"/>
      <c r="I1019" s="157"/>
      <c r="J1019" s="173"/>
    </row>
    <row r="1020">
      <c r="A1020" s="216"/>
      <c r="B1020" s="216"/>
      <c r="C1020" s="216"/>
      <c r="D1020" s="216"/>
      <c r="E1020" s="216"/>
      <c r="F1020" s="216"/>
      <c r="G1020" s="173"/>
      <c r="H1020" s="173"/>
      <c r="I1020" s="157"/>
      <c r="J1020" s="173"/>
    </row>
    <row r="1021">
      <c r="A1021" s="216"/>
      <c r="B1021" s="216"/>
      <c r="C1021" s="216"/>
      <c r="D1021" s="216"/>
      <c r="E1021" s="216"/>
      <c r="F1021" s="216"/>
      <c r="G1021" s="173"/>
      <c r="H1021" s="173"/>
      <c r="I1021" s="157"/>
      <c r="J1021" s="173"/>
    </row>
    <row r="1022">
      <c r="A1022" s="216"/>
      <c r="B1022" s="216"/>
      <c r="C1022" s="216"/>
      <c r="D1022" s="216"/>
      <c r="E1022" s="216"/>
      <c r="F1022" s="216"/>
      <c r="G1022" s="173"/>
      <c r="H1022" s="173"/>
      <c r="I1022" s="157"/>
      <c r="J1022" s="173"/>
    </row>
    <row r="1023">
      <c r="A1023" s="216"/>
      <c r="B1023" s="216"/>
      <c r="C1023" s="216"/>
      <c r="D1023" s="216"/>
      <c r="E1023" s="216"/>
      <c r="F1023" s="216"/>
      <c r="G1023" s="173"/>
      <c r="H1023" s="173"/>
      <c r="I1023" s="157"/>
      <c r="J1023" s="173"/>
    </row>
    <row r="1024">
      <c r="A1024" s="216"/>
      <c r="B1024" s="216"/>
      <c r="C1024" s="216"/>
      <c r="D1024" s="216"/>
      <c r="E1024" s="216"/>
      <c r="F1024" s="216"/>
      <c r="G1024" s="173"/>
      <c r="H1024" s="173"/>
      <c r="I1024" s="157"/>
      <c r="J1024" s="173"/>
    </row>
    <row r="1025">
      <c r="A1025" s="216"/>
      <c r="B1025" s="216"/>
      <c r="C1025" s="216"/>
      <c r="D1025" s="216"/>
      <c r="E1025" s="216"/>
      <c r="F1025" s="216"/>
      <c r="G1025" s="173"/>
      <c r="H1025" s="173"/>
      <c r="I1025" s="157"/>
      <c r="J1025" s="173"/>
    </row>
    <row r="1026">
      <c r="A1026" s="216"/>
      <c r="B1026" s="216"/>
      <c r="C1026" s="216"/>
      <c r="D1026" s="216"/>
      <c r="E1026" s="216"/>
      <c r="F1026" s="216"/>
      <c r="G1026" s="173"/>
      <c r="H1026" s="173"/>
      <c r="I1026" s="157"/>
      <c r="J1026" s="173"/>
    </row>
    <row r="1027">
      <c r="A1027" s="216"/>
      <c r="B1027" s="216"/>
      <c r="C1027" s="216"/>
      <c r="D1027" s="216"/>
      <c r="E1027" s="216"/>
      <c r="F1027" s="216"/>
      <c r="G1027" s="173"/>
      <c r="H1027" s="173"/>
      <c r="I1027" s="157"/>
      <c r="J1027" s="173"/>
    </row>
    <row r="1028">
      <c r="A1028" s="216"/>
      <c r="B1028" s="216"/>
      <c r="C1028" s="216"/>
      <c r="D1028" s="216"/>
      <c r="E1028" s="216"/>
      <c r="F1028" s="216"/>
      <c r="G1028" s="173"/>
      <c r="H1028" s="173"/>
      <c r="I1028" s="157"/>
      <c r="J1028" s="173"/>
    </row>
    <row r="1029">
      <c r="A1029" s="216"/>
      <c r="B1029" s="216"/>
      <c r="C1029" s="216"/>
      <c r="D1029" s="216"/>
      <c r="E1029" s="216"/>
      <c r="F1029" s="216"/>
      <c r="G1029" s="173"/>
      <c r="H1029" s="173"/>
      <c r="I1029" s="157"/>
      <c r="J1029" s="173"/>
    </row>
    <row r="1030">
      <c r="A1030" s="216"/>
      <c r="B1030" s="216"/>
      <c r="C1030" s="216"/>
      <c r="D1030" s="216"/>
      <c r="E1030" s="216"/>
      <c r="F1030" s="216"/>
      <c r="G1030" s="173"/>
      <c r="H1030" s="173"/>
      <c r="I1030" s="157"/>
      <c r="J1030" s="173"/>
    </row>
    <row r="1031">
      <c r="A1031" s="216"/>
      <c r="B1031" s="216"/>
      <c r="C1031" s="216"/>
      <c r="D1031" s="216"/>
      <c r="E1031" s="216"/>
      <c r="F1031" s="216"/>
      <c r="G1031" s="173"/>
      <c r="H1031" s="173"/>
      <c r="I1031" s="157"/>
      <c r="J1031" s="173"/>
    </row>
    <row r="1032">
      <c r="A1032" s="216"/>
      <c r="B1032" s="216"/>
      <c r="C1032" s="216"/>
      <c r="D1032" s="216"/>
      <c r="E1032" s="216"/>
      <c r="F1032" s="216"/>
      <c r="G1032" s="173"/>
      <c r="H1032" s="173"/>
      <c r="I1032" s="157"/>
      <c r="J1032" s="173"/>
    </row>
    <row r="1033">
      <c r="A1033" s="216"/>
      <c r="B1033" s="216"/>
      <c r="C1033" s="216"/>
      <c r="D1033" s="216"/>
      <c r="E1033" s="216"/>
      <c r="F1033" s="216"/>
      <c r="G1033" s="173"/>
      <c r="H1033" s="173"/>
      <c r="I1033" s="157"/>
      <c r="J1033" s="173"/>
    </row>
    <row r="1034">
      <c r="A1034" s="216"/>
      <c r="B1034" s="216"/>
      <c r="C1034" s="216"/>
      <c r="D1034" s="216"/>
      <c r="E1034" s="216"/>
      <c r="F1034" s="216"/>
      <c r="G1034" s="173"/>
      <c r="H1034" s="173"/>
      <c r="I1034" s="157"/>
      <c r="J1034" s="173"/>
    </row>
    <row r="1035">
      <c r="A1035" s="216"/>
      <c r="B1035" s="216"/>
      <c r="C1035" s="216"/>
      <c r="D1035" s="216"/>
      <c r="E1035" s="216"/>
      <c r="F1035" s="216"/>
      <c r="G1035" s="173"/>
      <c r="H1035" s="173"/>
      <c r="I1035" s="157"/>
      <c r="J1035" s="173"/>
    </row>
    <row r="1036">
      <c r="A1036" s="216"/>
      <c r="B1036" s="216"/>
      <c r="C1036" s="216"/>
      <c r="D1036" s="216"/>
      <c r="E1036" s="216"/>
      <c r="F1036" s="216"/>
      <c r="G1036" s="173"/>
      <c r="H1036" s="173"/>
      <c r="I1036" s="157"/>
      <c r="J1036" s="173"/>
    </row>
    <row r="1037">
      <c r="A1037" s="216"/>
      <c r="B1037" s="216"/>
      <c r="C1037" s="216"/>
      <c r="D1037" s="216"/>
      <c r="E1037" s="216"/>
      <c r="F1037" s="216"/>
      <c r="G1037" s="173"/>
      <c r="H1037" s="173"/>
      <c r="I1037" s="157"/>
      <c r="J1037" s="173"/>
    </row>
    <row r="1038">
      <c r="A1038" s="216"/>
      <c r="B1038" s="216"/>
      <c r="C1038" s="216"/>
      <c r="D1038" s="216"/>
      <c r="E1038" s="216"/>
      <c r="F1038" s="216"/>
      <c r="G1038" s="173"/>
      <c r="H1038" s="173"/>
      <c r="I1038" s="157"/>
      <c r="J1038" s="173"/>
    </row>
    <row r="1039">
      <c r="A1039" s="216"/>
      <c r="B1039" s="216"/>
      <c r="C1039" s="216"/>
      <c r="D1039" s="216"/>
      <c r="E1039" s="216"/>
      <c r="F1039" s="216"/>
      <c r="G1039" s="173"/>
      <c r="H1039" s="173"/>
      <c r="I1039" s="157"/>
      <c r="J1039" s="173"/>
    </row>
    <row r="1040">
      <c r="A1040" s="216"/>
      <c r="B1040" s="216"/>
      <c r="C1040" s="216"/>
      <c r="D1040" s="216"/>
      <c r="E1040" s="216"/>
      <c r="F1040" s="216"/>
      <c r="G1040" s="173"/>
      <c r="H1040" s="173"/>
      <c r="I1040" s="157"/>
      <c r="J1040" s="173"/>
    </row>
    <row r="1041">
      <c r="A1041" s="216"/>
      <c r="B1041" s="216"/>
      <c r="C1041" s="216"/>
      <c r="D1041" s="216"/>
      <c r="E1041" s="216"/>
      <c r="F1041" s="216"/>
      <c r="G1041" s="173"/>
      <c r="H1041" s="173"/>
      <c r="I1041" s="157"/>
      <c r="J1041" s="173"/>
    </row>
    <row r="1042">
      <c r="A1042" s="216"/>
      <c r="B1042" s="216"/>
      <c r="C1042" s="216"/>
      <c r="D1042" s="216"/>
      <c r="E1042" s="216"/>
      <c r="F1042" s="216"/>
      <c r="G1042" s="173"/>
      <c r="H1042" s="173"/>
      <c r="I1042" s="157"/>
      <c r="J1042" s="173"/>
    </row>
    <row r="1043">
      <c r="A1043" s="216"/>
      <c r="B1043" s="216"/>
      <c r="C1043" s="216"/>
      <c r="D1043" s="216"/>
      <c r="E1043" s="216"/>
      <c r="F1043" s="216"/>
      <c r="G1043" s="173"/>
      <c r="H1043" s="173"/>
      <c r="I1043" s="157"/>
      <c r="J1043" s="173"/>
    </row>
    <row r="1044">
      <c r="A1044" s="216"/>
      <c r="B1044" s="216"/>
      <c r="C1044" s="216"/>
      <c r="D1044" s="216"/>
      <c r="E1044" s="216"/>
      <c r="F1044" s="216"/>
      <c r="G1044" s="173"/>
      <c r="H1044" s="173"/>
      <c r="I1044" s="157"/>
      <c r="J1044" s="173"/>
    </row>
    <row r="1045">
      <c r="A1045" s="216"/>
      <c r="B1045" s="216"/>
      <c r="C1045" s="216"/>
      <c r="D1045" s="216"/>
      <c r="E1045" s="216"/>
      <c r="F1045" s="216"/>
      <c r="G1045" s="173"/>
      <c r="H1045" s="173"/>
      <c r="I1045" s="157"/>
      <c r="J1045" s="173"/>
    </row>
    <row r="1046">
      <c r="A1046" s="216"/>
      <c r="B1046" s="216"/>
      <c r="C1046" s="216"/>
      <c r="D1046" s="216"/>
      <c r="E1046" s="216"/>
      <c r="F1046" s="216"/>
      <c r="G1046" s="173"/>
      <c r="H1046" s="173"/>
      <c r="I1046" s="157"/>
      <c r="J1046" s="173"/>
    </row>
    <row r="1047">
      <c r="A1047" s="216"/>
      <c r="B1047" s="216"/>
      <c r="C1047" s="216"/>
      <c r="D1047" s="216"/>
      <c r="E1047" s="216"/>
      <c r="F1047" s="216"/>
      <c r="G1047" s="173"/>
      <c r="H1047" s="173"/>
      <c r="I1047" s="157"/>
      <c r="J1047" s="173"/>
    </row>
    <row r="1048">
      <c r="A1048" s="216"/>
      <c r="B1048" s="216"/>
      <c r="C1048" s="216"/>
      <c r="D1048" s="216"/>
      <c r="E1048" s="216"/>
      <c r="F1048" s="216"/>
      <c r="G1048" s="173"/>
      <c r="H1048" s="173"/>
      <c r="I1048" s="157"/>
      <c r="J1048" s="173"/>
    </row>
    <row r="1049">
      <c r="A1049" s="216"/>
      <c r="B1049" s="216"/>
      <c r="C1049" s="216"/>
      <c r="D1049" s="216"/>
      <c r="E1049" s="216"/>
      <c r="F1049" s="216"/>
      <c r="G1049" s="173"/>
      <c r="H1049" s="173"/>
      <c r="I1049" s="157"/>
      <c r="J1049" s="173"/>
    </row>
    <row r="1050">
      <c r="A1050" s="216"/>
      <c r="B1050" s="216"/>
      <c r="C1050" s="216"/>
      <c r="D1050" s="216"/>
      <c r="E1050" s="216"/>
      <c r="F1050" s="216"/>
      <c r="G1050" s="173"/>
      <c r="H1050" s="173"/>
      <c r="I1050" s="157"/>
      <c r="J1050" s="173"/>
    </row>
    <row r="1051">
      <c r="A1051" s="216"/>
      <c r="B1051" s="216"/>
      <c r="C1051" s="216"/>
      <c r="D1051" s="216"/>
      <c r="E1051" s="216"/>
      <c r="F1051" s="216"/>
      <c r="G1051" s="173"/>
      <c r="H1051" s="173"/>
      <c r="I1051" s="157"/>
      <c r="J1051" s="173"/>
    </row>
    <row r="1052">
      <c r="A1052" s="216"/>
      <c r="B1052" s="216"/>
      <c r="C1052" s="216"/>
      <c r="D1052" s="216"/>
      <c r="E1052" s="216"/>
      <c r="F1052" s="216"/>
      <c r="G1052" s="173"/>
      <c r="H1052" s="173"/>
      <c r="I1052" s="157"/>
      <c r="J1052" s="173"/>
    </row>
    <row r="1053">
      <c r="A1053" s="216"/>
      <c r="B1053" s="216"/>
      <c r="C1053" s="216"/>
      <c r="D1053" s="216"/>
      <c r="E1053" s="216"/>
      <c r="F1053" s="216"/>
      <c r="G1053" s="173"/>
      <c r="H1053" s="173"/>
      <c r="I1053" s="157"/>
      <c r="J1053" s="173"/>
    </row>
    <row r="1054">
      <c r="A1054" s="216"/>
      <c r="B1054" s="216"/>
      <c r="C1054" s="216"/>
      <c r="D1054" s="216"/>
      <c r="E1054" s="216"/>
      <c r="F1054" s="216"/>
      <c r="G1054" s="173"/>
      <c r="H1054" s="173"/>
      <c r="I1054" s="157"/>
      <c r="J1054" s="173"/>
    </row>
    <row r="1055">
      <c r="A1055" s="216"/>
      <c r="B1055" s="216"/>
      <c r="C1055" s="216"/>
      <c r="D1055" s="216"/>
      <c r="E1055" s="216"/>
      <c r="F1055" s="216"/>
      <c r="G1055" s="173"/>
      <c r="H1055" s="173"/>
      <c r="I1055" s="157"/>
      <c r="J1055" s="173"/>
    </row>
    <row r="1056">
      <c r="A1056" s="216"/>
      <c r="B1056" s="216"/>
      <c r="C1056" s="216"/>
      <c r="D1056" s="216"/>
      <c r="E1056" s="216"/>
      <c r="F1056" s="216"/>
      <c r="G1056" s="173"/>
      <c r="H1056" s="173"/>
      <c r="I1056" s="157"/>
      <c r="J1056" s="173"/>
    </row>
    <row r="1057">
      <c r="A1057" s="216"/>
      <c r="B1057" s="216"/>
      <c r="C1057" s="216"/>
      <c r="D1057" s="216"/>
      <c r="E1057" s="216"/>
      <c r="F1057" s="216"/>
      <c r="G1057" s="173"/>
      <c r="H1057" s="173"/>
      <c r="I1057" s="157"/>
      <c r="J1057" s="173"/>
    </row>
    <row r="1058">
      <c r="A1058" s="216"/>
      <c r="B1058" s="216"/>
      <c r="C1058" s="216"/>
      <c r="D1058" s="216"/>
      <c r="E1058" s="216"/>
      <c r="F1058" s="216"/>
      <c r="G1058" s="173"/>
      <c r="H1058" s="173"/>
      <c r="I1058" s="157"/>
      <c r="J1058" s="173"/>
    </row>
    <row r="1059">
      <c r="A1059" s="216"/>
      <c r="B1059" s="216"/>
      <c r="C1059" s="216"/>
      <c r="D1059" s="216"/>
      <c r="E1059" s="216"/>
      <c r="F1059" s="216"/>
      <c r="G1059" s="173"/>
      <c r="H1059" s="173"/>
      <c r="I1059" s="157"/>
      <c r="J1059" s="173"/>
    </row>
    <row r="1060">
      <c r="A1060" s="216"/>
      <c r="B1060" s="216"/>
      <c r="C1060" s="216"/>
      <c r="D1060" s="216"/>
      <c r="E1060" s="216"/>
      <c r="F1060" s="216"/>
      <c r="G1060" s="173"/>
      <c r="H1060" s="173"/>
      <c r="I1060" s="157"/>
      <c r="J1060" s="173"/>
    </row>
    <row r="1061">
      <c r="A1061" s="216"/>
      <c r="B1061" s="216"/>
      <c r="C1061" s="216"/>
      <c r="D1061" s="216"/>
      <c r="E1061" s="216"/>
      <c r="F1061" s="216"/>
      <c r="G1061" s="173"/>
      <c r="H1061" s="173"/>
      <c r="I1061" s="157"/>
      <c r="J1061" s="173"/>
    </row>
    <row r="1062">
      <c r="A1062" s="216"/>
      <c r="B1062" s="216"/>
      <c r="C1062" s="216"/>
      <c r="D1062" s="216"/>
      <c r="E1062" s="216"/>
      <c r="F1062" s="216"/>
      <c r="G1062" s="173"/>
      <c r="H1062" s="173"/>
      <c r="I1062" s="157"/>
      <c r="J1062" s="173"/>
    </row>
    <row r="1063">
      <c r="A1063" s="216"/>
      <c r="B1063" s="216"/>
      <c r="C1063" s="216"/>
      <c r="D1063" s="216"/>
      <c r="E1063" s="216"/>
      <c r="F1063" s="216"/>
      <c r="G1063" s="173"/>
      <c r="H1063" s="173"/>
      <c r="I1063" s="157"/>
      <c r="J1063" s="173"/>
    </row>
    <row r="1064">
      <c r="A1064" s="216"/>
      <c r="B1064" s="216"/>
      <c r="C1064" s="216"/>
      <c r="D1064" s="216"/>
      <c r="E1064" s="216"/>
      <c r="F1064" s="216"/>
      <c r="G1064" s="173"/>
      <c r="H1064" s="173"/>
      <c r="I1064" s="157"/>
      <c r="J1064" s="173"/>
    </row>
    <row r="1065">
      <c r="A1065" s="216"/>
      <c r="B1065" s="216"/>
      <c r="C1065" s="216"/>
      <c r="D1065" s="216"/>
      <c r="E1065" s="216"/>
      <c r="F1065" s="216"/>
      <c r="G1065" s="173"/>
      <c r="H1065" s="173"/>
      <c r="I1065" s="157"/>
      <c r="J1065" s="173"/>
    </row>
    <row r="1066">
      <c r="A1066" s="216"/>
      <c r="B1066" s="216"/>
      <c r="C1066" s="216"/>
      <c r="D1066" s="216"/>
      <c r="E1066" s="216"/>
      <c r="F1066" s="216"/>
      <c r="G1066" s="173"/>
      <c r="H1066" s="173"/>
      <c r="I1066" s="157"/>
      <c r="J1066" s="173"/>
    </row>
    <row r="1067">
      <c r="A1067" s="216"/>
      <c r="B1067" s="216"/>
      <c r="C1067" s="216"/>
      <c r="D1067" s="216"/>
      <c r="E1067" s="216"/>
      <c r="F1067" s="216"/>
      <c r="G1067" s="173"/>
      <c r="H1067" s="173"/>
      <c r="I1067" s="157"/>
      <c r="J1067" s="173"/>
    </row>
    <row r="1068">
      <c r="A1068" s="216"/>
      <c r="B1068" s="216"/>
      <c r="C1068" s="216"/>
      <c r="D1068" s="216"/>
      <c r="E1068" s="216"/>
      <c r="F1068" s="216"/>
      <c r="G1068" s="173"/>
      <c r="H1068" s="173"/>
      <c r="I1068" s="157"/>
      <c r="J1068" s="173"/>
    </row>
    <row r="1069">
      <c r="A1069" s="216"/>
      <c r="B1069" s="216"/>
      <c r="C1069" s="216"/>
      <c r="D1069" s="216"/>
      <c r="E1069" s="216"/>
      <c r="F1069" s="216"/>
      <c r="G1069" s="173"/>
      <c r="H1069" s="173"/>
      <c r="I1069" s="157"/>
      <c r="J1069" s="173"/>
    </row>
    <row r="1070">
      <c r="A1070" s="216"/>
      <c r="B1070" s="216"/>
      <c r="C1070" s="216"/>
      <c r="D1070" s="216"/>
      <c r="E1070" s="216"/>
      <c r="F1070" s="216"/>
      <c r="G1070" s="173"/>
      <c r="H1070" s="173"/>
      <c r="I1070" s="157"/>
      <c r="J1070" s="173"/>
    </row>
    <row r="1071">
      <c r="A1071" s="216"/>
      <c r="B1071" s="216"/>
      <c r="C1071" s="216"/>
      <c r="D1071" s="216"/>
      <c r="E1071" s="216"/>
      <c r="F1071" s="216"/>
      <c r="G1071" s="173"/>
      <c r="H1071" s="173"/>
      <c r="I1071" s="157"/>
      <c r="J1071" s="173"/>
    </row>
    <row r="1072">
      <c r="A1072" s="216"/>
      <c r="B1072" s="216"/>
      <c r="C1072" s="216"/>
      <c r="D1072" s="216"/>
      <c r="E1072" s="216"/>
      <c r="F1072" s="216"/>
      <c r="G1072" s="173"/>
      <c r="H1072" s="173"/>
      <c r="I1072" s="157"/>
      <c r="J1072" s="173"/>
    </row>
    <row r="1073">
      <c r="A1073" s="216"/>
      <c r="B1073" s="216"/>
      <c r="C1073" s="216"/>
      <c r="D1073" s="216"/>
      <c r="E1073" s="216"/>
      <c r="F1073" s="216"/>
      <c r="G1073" s="173"/>
      <c r="H1073" s="173"/>
      <c r="I1073" s="157"/>
      <c r="J1073" s="173"/>
    </row>
    <row r="1074">
      <c r="A1074" s="216"/>
      <c r="B1074" s="216"/>
      <c r="C1074" s="216"/>
      <c r="D1074" s="216"/>
      <c r="E1074" s="216"/>
      <c r="F1074" s="216"/>
      <c r="G1074" s="173"/>
      <c r="H1074" s="173"/>
      <c r="I1074" s="157"/>
      <c r="J1074" s="173"/>
    </row>
    <row r="1075">
      <c r="A1075" s="216"/>
      <c r="B1075" s="216"/>
      <c r="C1075" s="216"/>
      <c r="D1075" s="216"/>
      <c r="E1075" s="216"/>
      <c r="F1075" s="216"/>
      <c r="G1075" s="173"/>
      <c r="H1075" s="173"/>
      <c r="I1075" s="157"/>
      <c r="J1075" s="173"/>
    </row>
    <row r="1076">
      <c r="A1076" s="216"/>
      <c r="B1076" s="216"/>
      <c r="C1076" s="216"/>
      <c r="D1076" s="216"/>
      <c r="E1076" s="216"/>
      <c r="F1076" s="216"/>
      <c r="G1076" s="173"/>
      <c r="H1076" s="173"/>
      <c r="I1076" s="157"/>
      <c r="J1076" s="173"/>
    </row>
    <row r="1077">
      <c r="A1077" s="216"/>
      <c r="B1077" s="216"/>
      <c r="C1077" s="216"/>
      <c r="D1077" s="216"/>
      <c r="E1077" s="216"/>
      <c r="F1077" s="216"/>
      <c r="G1077" s="173"/>
      <c r="H1077" s="173"/>
      <c r="I1077" s="157"/>
      <c r="J1077" s="173"/>
    </row>
    <row r="1078">
      <c r="A1078" s="216"/>
      <c r="B1078" s="216"/>
      <c r="C1078" s="216"/>
      <c r="D1078" s="216"/>
      <c r="E1078" s="216"/>
      <c r="F1078" s="216"/>
      <c r="G1078" s="173"/>
      <c r="H1078" s="173"/>
      <c r="I1078" s="157"/>
      <c r="J1078" s="173"/>
    </row>
    <row r="1079">
      <c r="A1079" s="216"/>
      <c r="B1079" s="216"/>
      <c r="C1079" s="216"/>
      <c r="D1079" s="216"/>
      <c r="E1079" s="216"/>
      <c r="F1079" s="216"/>
      <c r="G1079" s="173"/>
      <c r="H1079" s="173"/>
      <c r="I1079" s="157"/>
      <c r="J1079" s="173"/>
    </row>
    <row r="1080">
      <c r="A1080" s="216"/>
      <c r="B1080" s="216"/>
      <c r="C1080" s="216"/>
      <c r="D1080" s="216"/>
      <c r="E1080" s="216"/>
      <c r="F1080" s="216"/>
      <c r="G1080" s="173"/>
      <c r="H1080" s="173"/>
      <c r="I1080" s="157"/>
      <c r="J1080" s="173"/>
    </row>
    <row r="1081">
      <c r="A1081" s="216"/>
      <c r="B1081" s="216"/>
      <c r="C1081" s="216"/>
      <c r="D1081" s="216"/>
      <c r="E1081" s="216"/>
      <c r="F1081" s="216"/>
      <c r="G1081" s="173"/>
      <c r="H1081" s="173"/>
      <c r="I1081" s="157"/>
      <c r="J1081" s="173"/>
    </row>
    <row r="1082">
      <c r="A1082" s="216"/>
      <c r="B1082" s="216"/>
      <c r="C1082" s="216"/>
      <c r="D1082" s="216"/>
      <c r="E1082" s="216"/>
      <c r="F1082" s="216"/>
      <c r="G1082" s="173"/>
      <c r="H1082" s="173"/>
      <c r="I1082" s="157"/>
      <c r="J1082" s="173"/>
    </row>
    <row r="1083">
      <c r="A1083" s="216"/>
      <c r="B1083" s="216"/>
      <c r="C1083" s="216"/>
      <c r="D1083" s="216"/>
      <c r="E1083" s="216"/>
      <c r="F1083" s="216"/>
      <c r="G1083" s="173"/>
      <c r="H1083" s="173"/>
      <c r="I1083" s="157"/>
      <c r="J1083" s="173"/>
    </row>
    <row r="1084">
      <c r="A1084" s="216"/>
      <c r="B1084" s="216"/>
      <c r="C1084" s="216"/>
      <c r="D1084" s="216"/>
      <c r="E1084" s="216"/>
      <c r="F1084" s="216"/>
      <c r="G1084" s="173"/>
      <c r="H1084" s="173"/>
      <c r="I1084" s="157"/>
      <c r="J1084" s="173"/>
    </row>
    <row r="1085">
      <c r="A1085" s="216"/>
      <c r="B1085" s="216"/>
      <c r="C1085" s="216"/>
      <c r="D1085" s="216"/>
      <c r="E1085" s="216"/>
      <c r="F1085" s="216"/>
      <c r="G1085" s="173"/>
      <c r="H1085" s="173"/>
      <c r="I1085" s="157"/>
      <c r="J1085" s="173"/>
    </row>
    <row r="1086">
      <c r="A1086" s="216"/>
      <c r="B1086" s="216"/>
      <c r="C1086" s="216"/>
      <c r="D1086" s="216"/>
      <c r="E1086" s="216"/>
      <c r="F1086" s="216"/>
      <c r="G1086" s="173"/>
      <c r="H1086" s="173"/>
      <c r="I1086" s="157"/>
      <c r="J1086" s="173"/>
    </row>
    <row r="1087">
      <c r="A1087" s="216"/>
      <c r="B1087" s="216"/>
      <c r="C1087" s="216"/>
      <c r="D1087" s="216"/>
      <c r="E1087" s="216"/>
      <c r="F1087" s="216"/>
      <c r="G1087" s="173"/>
      <c r="H1087" s="173"/>
      <c r="I1087" s="157"/>
      <c r="J1087" s="173"/>
    </row>
    <row r="1088">
      <c r="A1088" s="216"/>
      <c r="B1088" s="216"/>
      <c r="C1088" s="216"/>
      <c r="D1088" s="216"/>
      <c r="E1088" s="216"/>
      <c r="F1088" s="216"/>
      <c r="G1088" s="173"/>
      <c r="H1088" s="173"/>
      <c r="I1088" s="157"/>
      <c r="J1088" s="173"/>
    </row>
    <row r="1089">
      <c r="A1089" s="216"/>
      <c r="B1089" s="216"/>
      <c r="C1089" s="216"/>
      <c r="D1089" s="216"/>
      <c r="E1089" s="216"/>
      <c r="F1089" s="216"/>
      <c r="G1089" s="173"/>
      <c r="H1089" s="173"/>
      <c r="I1089" s="157"/>
      <c r="J1089" s="173"/>
    </row>
    <row r="1090">
      <c r="A1090" s="216"/>
      <c r="B1090" s="216"/>
      <c r="C1090" s="216"/>
      <c r="D1090" s="216"/>
      <c r="E1090" s="216"/>
      <c r="F1090" s="216"/>
      <c r="G1090" s="173"/>
      <c r="H1090" s="173"/>
      <c r="I1090" s="157"/>
      <c r="J1090" s="173"/>
    </row>
    <row r="1091">
      <c r="A1091" s="216"/>
      <c r="B1091" s="216"/>
      <c r="C1091" s="216"/>
      <c r="D1091" s="216"/>
      <c r="E1091" s="216"/>
      <c r="F1091" s="216"/>
      <c r="G1091" s="173"/>
      <c r="H1091" s="173"/>
      <c r="I1091" s="157"/>
      <c r="J1091" s="173"/>
    </row>
    <row r="1092">
      <c r="A1092" s="216"/>
      <c r="B1092" s="216"/>
      <c r="C1092" s="216"/>
      <c r="D1092" s="216"/>
      <c r="E1092" s="216"/>
      <c r="F1092" s="216"/>
      <c r="G1092" s="173"/>
      <c r="H1092" s="173"/>
      <c r="I1092" s="157"/>
      <c r="J1092" s="173"/>
    </row>
    <row r="1093">
      <c r="A1093" s="216"/>
      <c r="B1093" s="216"/>
      <c r="C1093" s="216"/>
      <c r="D1093" s="216"/>
      <c r="E1093" s="216"/>
      <c r="F1093" s="216"/>
      <c r="G1093" s="173"/>
      <c r="H1093" s="173"/>
      <c r="I1093" s="157"/>
      <c r="J1093" s="173"/>
    </row>
    <row r="1094">
      <c r="A1094" s="216"/>
      <c r="B1094" s="216"/>
      <c r="C1094" s="216"/>
      <c r="D1094" s="216"/>
      <c r="E1094" s="216"/>
      <c r="F1094" s="216"/>
      <c r="G1094" s="173"/>
      <c r="H1094" s="173"/>
      <c r="I1094" s="157"/>
      <c r="J1094" s="173"/>
    </row>
    <row r="1095">
      <c r="A1095" s="216"/>
      <c r="B1095" s="216"/>
      <c r="C1095" s="216"/>
      <c r="D1095" s="216"/>
      <c r="E1095" s="216"/>
      <c r="F1095" s="216"/>
      <c r="G1095" s="173"/>
      <c r="H1095" s="173"/>
      <c r="I1095" s="157"/>
      <c r="J1095" s="173"/>
    </row>
    <row r="1096">
      <c r="A1096" s="216"/>
      <c r="B1096" s="216"/>
      <c r="C1096" s="216"/>
      <c r="D1096" s="216"/>
      <c r="E1096" s="216"/>
      <c r="F1096" s="216"/>
      <c r="G1096" s="173"/>
      <c r="H1096" s="173"/>
      <c r="I1096" s="157"/>
      <c r="J1096" s="173"/>
    </row>
    <row r="1097">
      <c r="A1097" s="216"/>
      <c r="B1097" s="216"/>
      <c r="C1097" s="216"/>
      <c r="D1097" s="216"/>
      <c r="E1097" s="216"/>
      <c r="F1097" s="216"/>
      <c r="G1097" s="173"/>
      <c r="H1097" s="173"/>
      <c r="I1097" s="157"/>
      <c r="J1097" s="173"/>
    </row>
    <row r="1098">
      <c r="A1098" s="216"/>
      <c r="B1098" s="216"/>
      <c r="C1098" s="216"/>
      <c r="D1098" s="216"/>
      <c r="E1098" s="216"/>
      <c r="F1098" s="216"/>
      <c r="G1098" s="173"/>
      <c r="H1098" s="173"/>
      <c r="I1098" s="157"/>
      <c r="J1098" s="173"/>
    </row>
    <row r="1099">
      <c r="A1099" s="216"/>
      <c r="B1099" s="216"/>
      <c r="C1099" s="216"/>
      <c r="D1099" s="216"/>
      <c r="E1099" s="216"/>
      <c r="F1099" s="216"/>
      <c r="G1099" s="173"/>
      <c r="H1099" s="173"/>
      <c r="I1099" s="157"/>
      <c r="J1099" s="173"/>
    </row>
    <row r="1100">
      <c r="A1100" s="216"/>
      <c r="B1100" s="216"/>
      <c r="C1100" s="216"/>
      <c r="D1100" s="216"/>
      <c r="E1100" s="216"/>
      <c r="F1100" s="216"/>
      <c r="G1100" s="173"/>
      <c r="H1100" s="173"/>
      <c r="I1100" s="157"/>
      <c r="J1100" s="173"/>
    </row>
    <row r="1101">
      <c r="A1101" s="216"/>
      <c r="B1101" s="216"/>
      <c r="C1101" s="216"/>
      <c r="D1101" s="216"/>
      <c r="E1101" s="216"/>
      <c r="F1101" s="216"/>
      <c r="G1101" s="173"/>
      <c r="H1101" s="173"/>
      <c r="I1101" s="157"/>
      <c r="J1101" s="173"/>
    </row>
    <row r="1102">
      <c r="A1102" s="216"/>
      <c r="B1102" s="216"/>
      <c r="C1102" s="216"/>
      <c r="D1102" s="216"/>
      <c r="E1102" s="216"/>
      <c r="F1102" s="216"/>
      <c r="G1102" s="173"/>
      <c r="H1102" s="173"/>
      <c r="I1102" s="157"/>
      <c r="J1102" s="173"/>
    </row>
    <row r="1103">
      <c r="A1103" s="216"/>
      <c r="B1103" s="216"/>
      <c r="C1103" s="216"/>
      <c r="D1103" s="216"/>
      <c r="E1103" s="216"/>
      <c r="F1103" s="216"/>
      <c r="G1103" s="173"/>
      <c r="H1103" s="173"/>
      <c r="I1103" s="157"/>
      <c r="J1103" s="173"/>
    </row>
    <row r="1104">
      <c r="A1104" s="216"/>
      <c r="B1104" s="216"/>
      <c r="C1104" s="216"/>
      <c r="D1104" s="216"/>
      <c r="E1104" s="216"/>
      <c r="F1104" s="216"/>
      <c r="G1104" s="173"/>
      <c r="H1104" s="173"/>
      <c r="I1104" s="157"/>
      <c r="J1104" s="173"/>
    </row>
    <row r="1105">
      <c r="A1105" s="216"/>
      <c r="B1105" s="216"/>
      <c r="C1105" s="216"/>
      <c r="D1105" s="216"/>
      <c r="E1105" s="216"/>
      <c r="F1105" s="216"/>
      <c r="G1105" s="173"/>
      <c r="H1105" s="173"/>
      <c r="I1105" s="157"/>
      <c r="J1105" s="173"/>
    </row>
    <row r="1106">
      <c r="A1106" s="216"/>
      <c r="B1106" s="216"/>
      <c r="C1106" s="216"/>
      <c r="D1106" s="216"/>
      <c r="E1106" s="216"/>
      <c r="F1106" s="216"/>
      <c r="G1106" s="173"/>
      <c r="H1106" s="173"/>
      <c r="I1106" s="157"/>
      <c r="J1106" s="173"/>
    </row>
    <row r="1107">
      <c r="A1107" s="216"/>
      <c r="B1107" s="216"/>
      <c r="C1107" s="216"/>
      <c r="D1107" s="216"/>
      <c r="E1107" s="216"/>
      <c r="F1107" s="216"/>
      <c r="G1107" s="173"/>
      <c r="H1107" s="173"/>
      <c r="I1107" s="157"/>
      <c r="J1107" s="173"/>
    </row>
    <row r="1108">
      <c r="A1108" s="216"/>
      <c r="B1108" s="216"/>
      <c r="C1108" s="216"/>
      <c r="D1108" s="216"/>
      <c r="E1108" s="216"/>
      <c r="F1108" s="216"/>
      <c r="G1108" s="173"/>
      <c r="H1108" s="173"/>
      <c r="I1108" s="157"/>
      <c r="J1108" s="173"/>
    </row>
    <row r="1109">
      <c r="A1109" s="216"/>
      <c r="B1109" s="216"/>
      <c r="C1109" s="216"/>
      <c r="D1109" s="216"/>
      <c r="E1109" s="216"/>
      <c r="F1109" s="216"/>
      <c r="G1109" s="173"/>
      <c r="H1109" s="173"/>
      <c r="I1109" s="157"/>
      <c r="J1109" s="173"/>
    </row>
    <row r="1110">
      <c r="A1110" s="216"/>
      <c r="B1110" s="216"/>
      <c r="C1110" s="216"/>
      <c r="D1110" s="216"/>
      <c r="E1110" s="216"/>
      <c r="F1110" s="216"/>
      <c r="G1110" s="173"/>
      <c r="H1110" s="173"/>
      <c r="I1110" s="157"/>
      <c r="J1110" s="173"/>
    </row>
    <row r="1111">
      <c r="A1111" s="216"/>
      <c r="B1111" s="216"/>
      <c r="C1111" s="216"/>
      <c r="D1111" s="216"/>
      <c r="E1111" s="216"/>
      <c r="F1111" s="216"/>
      <c r="G1111" s="173"/>
      <c r="H1111" s="173"/>
      <c r="I1111" s="157"/>
      <c r="J1111" s="173"/>
    </row>
    <row r="1112">
      <c r="A1112" s="216"/>
      <c r="B1112" s="216"/>
      <c r="C1112" s="216"/>
      <c r="D1112" s="216"/>
      <c r="E1112" s="216"/>
      <c r="F1112" s="216"/>
      <c r="G1112" s="173"/>
      <c r="H1112" s="173"/>
      <c r="I1112" s="157"/>
      <c r="J1112" s="173"/>
    </row>
    <row r="1113">
      <c r="A1113" s="216"/>
      <c r="B1113" s="216"/>
      <c r="C1113" s="216"/>
      <c r="D1113" s="216"/>
      <c r="E1113" s="216"/>
      <c r="F1113" s="216"/>
      <c r="G1113" s="173"/>
      <c r="H1113" s="173"/>
      <c r="I1113" s="157"/>
      <c r="J1113" s="173"/>
    </row>
    <row r="1114">
      <c r="A1114" s="216"/>
      <c r="B1114" s="216"/>
      <c r="C1114" s="216"/>
      <c r="D1114" s="216"/>
      <c r="E1114" s="216"/>
      <c r="F1114" s="216"/>
      <c r="G1114" s="173"/>
      <c r="H1114" s="173"/>
      <c r="I1114" s="157"/>
      <c r="J1114" s="173"/>
    </row>
    <row r="1115">
      <c r="A1115" s="216"/>
      <c r="B1115" s="216"/>
      <c r="C1115" s="216"/>
      <c r="D1115" s="216"/>
      <c r="E1115" s="216"/>
      <c r="F1115" s="216"/>
      <c r="G1115" s="173"/>
      <c r="H1115" s="173"/>
      <c r="I1115" s="157"/>
      <c r="J1115" s="173"/>
    </row>
    <row r="1116">
      <c r="A1116" s="216"/>
      <c r="B1116" s="216"/>
      <c r="C1116" s="216"/>
      <c r="D1116" s="216"/>
      <c r="E1116" s="216"/>
      <c r="F1116" s="216"/>
      <c r="G1116" s="173"/>
      <c r="H1116" s="173"/>
      <c r="I1116" s="157"/>
      <c r="J1116" s="173"/>
    </row>
    <row r="1117">
      <c r="A1117" s="216"/>
      <c r="B1117" s="216"/>
      <c r="C1117" s="216"/>
      <c r="D1117" s="216"/>
      <c r="E1117" s="216"/>
      <c r="F1117" s="216"/>
      <c r="G1117" s="173"/>
      <c r="H1117" s="173"/>
      <c r="I1117" s="157"/>
      <c r="J1117" s="173"/>
    </row>
    <row r="1118">
      <c r="A1118" s="216"/>
      <c r="B1118" s="216"/>
      <c r="C1118" s="216"/>
      <c r="D1118" s="216"/>
      <c r="E1118" s="216"/>
      <c r="F1118" s="216"/>
      <c r="G1118" s="173"/>
      <c r="H1118" s="173"/>
      <c r="I1118" s="157"/>
      <c r="J1118" s="173"/>
    </row>
    <row r="1119">
      <c r="A1119" s="216"/>
      <c r="B1119" s="216"/>
      <c r="C1119" s="216"/>
      <c r="D1119" s="216"/>
      <c r="E1119" s="216"/>
      <c r="F1119" s="216"/>
      <c r="G1119" s="173"/>
      <c r="H1119" s="173"/>
      <c r="I1119" s="157"/>
      <c r="J1119" s="173"/>
    </row>
    <row r="1120">
      <c r="A1120" s="216"/>
      <c r="B1120" s="216"/>
      <c r="C1120" s="216"/>
      <c r="D1120" s="216"/>
      <c r="E1120" s="216"/>
      <c r="F1120" s="216"/>
      <c r="G1120" s="173"/>
      <c r="H1120" s="173"/>
      <c r="I1120" s="157"/>
      <c r="J1120" s="173"/>
    </row>
    <row r="1121">
      <c r="A1121" s="216"/>
      <c r="B1121" s="216"/>
      <c r="C1121" s="216"/>
      <c r="D1121" s="216"/>
      <c r="E1121" s="216"/>
      <c r="F1121" s="216"/>
      <c r="G1121" s="173"/>
      <c r="H1121" s="173"/>
      <c r="I1121" s="157"/>
      <c r="J1121" s="173"/>
    </row>
    <row r="1122">
      <c r="A1122" s="216"/>
      <c r="B1122" s="216"/>
      <c r="C1122" s="216"/>
      <c r="D1122" s="216"/>
      <c r="E1122" s="216"/>
      <c r="F1122" s="216"/>
      <c r="G1122" s="173"/>
      <c r="H1122" s="173"/>
      <c r="I1122" s="157"/>
      <c r="J1122" s="173"/>
    </row>
    <row r="1123">
      <c r="A1123" s="216"/>
      <c r="B1123" s="216"/>
      <c r="C1123" s="216"/>
      <c r="D1123" s="216"/>
      <c r="E1123" s="216"/>
      <c r="F1123" s="216"/>
      <c r="G1123" s="173"/>
      <c r="H1123" s="173"/>
      <c r="I1123" s="157"/>
      <c r="J1123" s="173"/>
    </row>
    <row r="1124">
      <c r="A1124" s="216"/>
      <c r="B1124" s="216"/>
      <c r="C1124" s="216"/>
      <c r="D1124" s="216"/>
      <c r="E1124" s="216"/>
      <c r="F1124" s="216"/>
      <c r="G1124" s="173"/>
      <c r="H1124" s="173"/>
      <c r="I1124" s="157"/>
      <c r="J1124" s="173"/>
    </row>
    <row r="1125">
      <c r="A1125" s="216"/>
      <c r="B1125" s="216"/>
      <c r="C1125" s="216"/>
      <c r="D1125" s="216"/>
      <c r="E1125" s="216"/>
      <c r="F1125" s="216"/>
      <c r="G1125" s="173"/>
      <c r="H1125" s="173"/>
      <c r="I1125" s="157"/>
      <c r="J1125" s="173"/>
    </row>
    <row r="1126">
      <c r="A1126" s="216"/>
      <c r="B1126" s="216"/>
      <c r="C1126" s="216"/>
      <c r="D1126" s="216"/>
      <c r="E1126" s="216"/>
      <c r="F1126" s="216"/>
      <c r="G1126" s="173"/>
      <c r="H1126" s="173"/>
      <c r="I1126" s="157"/>
      <c r="J1126" s="173"/>
    </row>
    <row r="1127">
      <c r="A1127" s="216"/>
      <c r="B1127" s="216"/>
      <c r="C1127" s="216"/>
      <c r="D1127" s="216"/>
      <c r="E1127" s="216"/>
      <c r="F1127" s="216"/>
      <c r="G1127" s="173"/>
      <c r="H1127" s="173"/>
      <c r="I1127" s="157"/>
      <c r="J1127" s="173"/>
    </row>
    <row r="1128">
      <c r="A1128" s="216"/>
      <c r="B1128" s="216"/>
      <c r="C1128" s="216"/>
      <c r="D1128" s="216"/>
      <c r="E1128" s="216"/>
      <c r="F1128" s="216"/>
      <c r="G1128" s="173"/>
      <c r="H1128" s="173"/>
      <c r="I1128" s="157"/>
      <c r="J1128" s="173"/>
    </row>
    <row r="1129">
      <c r="A1129" s="216"/>
      <c r="B1129" s="216"/>
      <c r="C1129" s="216"/>
      <c r="D1129" s="216"/>
      <c r="E1129" s="216"/>
      <c r="F1129" s="216"/>
      <c r="G1129" s="173"/>
      <c r="H1129" s="173"/>
      <c r="I1129" s="157"/>
      <c r="J1129" s="173"/>
    </row>
    <row r="1130">
      <c r="A1130" s="216"/>
      <c r="B1130" s="216"/>
      <c r="C1130" s="216"/>
      <c r="D1130" s="216"/>
      <c r="E1130" s="216"/>
      <c r="F1130" s="216"/>
      <c r="G1130" s="173"/>
      <c r="H1130" s="173"/>
      <c r="I1130" s="157"/>
      <c r="J1130" s="173"/>
    </row>
    <row r="1131">
      <c r="A1131" s="216"/>
      <c r="B1131" s="216"/>
      <c r="C1131" s="216"/>
      <c r="D1131" s="216"/>
      <c r="E1131" s="216"/>
      <c r="F1131" s="216"/>
      <c r="G1131" s="173"/>
      <c r="H1131" s="173"/>
      <c r="I1131" s="157"/>
      <c r="J1131" s="173"/>
    </row>
    <row r="1132">
      <c r="A1132" s="216"/>
      <c r="B1132" s="216"/>
      <c r="C1132" s="216"/>
      <c r="D1132" s="216"/>
      <c r="E1132" s="216"/>
      <c r="F1132" s="216"/>
      <c r="G1132" s="173"/>
      <c r="H1132" s="173"/>
      <c r="I1132" s="157"/>
      <c r="J1132" s="173"/>
    </row>
    <row r="1133">
      <c r="A1133" s="216"/>
      <c r="B1133" s="216"/>
      <c r="C1133" s="216"/>
      <c r="D1133" s="216"/>
      <c r="E1133" s="216"/>
      <c r="F1133" s="216"/>
      <c r="G1133" s="173"/>
      <c r="H1133" s="173"/>
      <c r="I1133" s="157"/>
      <c r="J1133" s="173"/>
    </row>
    <row r="1134">
      <c r="A1134" s="216"/>
      <c r="B1134" s="216"/>
      <c r="C1134" s="216"/>
      <c r="D1134" s="216"/>
      <c r="E1134" s="216"/>
      <c r="F1134" s="216"/>
      <c r="G1134" s="173"/>
      <c r="H1134" s="173"/>
      <c r="I1134" s="157"/>
      <c r="J1134" s="173"/>
    </row>
    <row r="1135">
      <c r="A1135" s="216"/>
      <c r="B1135" s="216"/>
      <c r="C1135" s="216"/>
      <c r="D1135" s="216"/>
      <c r="E1135" s="216"/>
      <c r="F1135" s="216"/>
      <c r="G1135" s="173"/>
      <c r="H1135" s="173"/>
      <c r="I1135" s="157"/>
      <c r="J1135" s="173"/>
    </row>
    <row r="1136">
      <c r="A1136" s="216"/>
      <c r="B1136" s="216"/>
      <c r="C1136" s="216"/>
      <c r="D1136" s="216"/>
      <c r="E1136" s="216"/>
      <c r="F1136" s="216"/>
      <c r="G1136" s="173"/>
      <c r="H1136" s="173"/>
      <c r="I1136" s="157"/>
      <c r="J1136" s="173"/>
    </row>
    <row r="1137">
      <c r="A1137" s="216"/>
      <c r="B1137" s="216"/>
      <c r="C1137" s="216"/>
      <c r="D1137" s="216"/>
      <c r="E1137" s="216"/>
      <c r="F1137" s="216"/>
      <c r="G1137" s="173"/>
      <c r="H1137" s="173"/>
      <c r="I1137" s="157"/>
      <c r="J1137" s="173"/>
    </row>
    <row r="1138">
      <c r="A1138" s="216"/>
      <c r="B1138" s="216"/>
      <c r="C1138" s="216"/>
      <c r="D1138" s="216"/>
      <c r="E1138" s="216"/>
      <c r="F1138" s="216"/>
      <c r="G1138" s="173"/>
      <c r="H1138" s="173"/>
      <c r="I1138" s="157"/>
      <c r="J1138" s="173"/>
    </row>
    <row r="1139">
      <c r="A1139" s="216"/>
      <c r="B1139" s="216"/>
      <c r="C1139" s="216"/>
      <c r="D1139" s="216"/>
      <c r="E1139" s="216"/>
      <c r="F1139" s="216"/>
      <c r="G1139" s="173"/>
      <c r="H1139" s="173"/>
      <c r="I1139" s="157"/>
      <c r="J1139" s="173"/>
    </row>
    <row r="1140">
      <c r="A1140" s="216"/>
      <c r="B1140" s="216"/>
      <c r="C1140" s="216"/>
      <c r="D1140" s="216"/>
      <c r="E1140" s="216"/>
      <c r="F1140" s="216"/>
      <c r="G1140" s="173"/>
      <c r="H1140" s="173"/>
      <c r="I1140" s="157"/>
      <c r="J1140" s="173"/>
    </row>
    <row r="1141">
      <c r="A1141" s="216"/>
      <c r="B1141" s="216"/>
      <c r="C1141" s="216"/>
      <c r="D1141" s="216"/>
      <c r="E1141" s="216"/>
      <c r="F1141" s="216"/>
      <c r="G1141" s="173"/>
      <c r="H1141" s="173"/>
      <c r="I1141" s="157"/>
      <c r="J1141" s="173"/>
    </row>
    <row r="1142">
      <c r="A1142" s="216"/>
      <c r="B1142" s="216"/>
      <c r="C1142" s="216"/>
      <c r="D1142" s="216"/>
      <c r="E1142" s="216"/>
      <c r="F1142" s="216"/>
      <c r="G1142" s="173"/>
      <c r="H1142" s="173"/>
      <c r="I1142" s="157"/>
      <c r="J1142" s="173"/>
    </row>
    <row r="1143">
      <c r="A1143" s="216"/>
      <c r="B1143" s="216"/>
      <c r="C1143" s="216"/>
      <c r="D1143" s="216"/>
      <c r="E1143" s="216"/>
      <c r="F1143" s="216"/>
      <c r="G1143" s="173"/>
      <c r="H1143" s="173"/>
      <c r="I1143" s="157"/>
      <c r="J1143" s="173"/>
    </row>
    <row r="1144">
      <c r="A1144" s="216"/>
      <c r="B1144" s="216"/>
      <c r="C1144" s="216"/>
      <c r="D1144" s="216"/>
      <c r="E1144" s="216"/>
      <c r="F1144" s="216"/>
      <c r="G1144" s="173"/>
      <c r="H1144" s="173"/>
      <c r="I1144" s="157"/>
      <c r="J1144" s="173"/>
    </row>
    <row r="1145">
      <c r="A1145" s="216"/>
      <c r="B1145" s="216"/>
      <c r="C1145" s="216"/>
      <c r="D1145" s="216"/>
      <c r="E1145" s="216"/>
      <c r="F1145" s="216"/>
      <c r="G1145" s="173"/>
      <c r="H1145" s="173"/>
      <c r="I1145" s="157"/>
      <c r="J1145" s="173"/>
    </row>
    <row r="1146">
      <c r="A1146" s="216"/>
      <c r="B1146" s="216"/>
      <c r="C1146" s="216"/>
      <c r="D1146" s="216"/>
      <c r="E1146" s="216"/>
      <c r="F1146" s="216"/>
      <c r="G1146" s="173"/>
      <c r="H1146" s="173"/>
      <c r="I1146" s="157"/>
      <c r="J1146" s="173"/>
    </row>
    <row r="1147">
      <c r="A1147" s="216"/>
      <c r="B1147" s="216"/>
      <c r="C1147" s="216"/>
      <c r="D1147" s="216"/>
      <c r="E1147" s="216"/>
      <c r="F1147" s="216"/>
      <c r="G1147" s="173"/>
      <c r="H1147" s="173"/>
      <c r="I1147" s="157"/>
      <c r="J1147" s="173"/>
    </row>
    <row r="1148">
      <c r="A1148" s="216"/>
      <c r="B1148" s="216"/>
      <c r="C1148" s="216"/>
      <c r="D1148" s="216"/>
      <c r="E1148" s="216"/>
      <c r="F1148" s="216"/>
      <c r="G1148" s="173"/>
      <c r="H1148" s="173"/>
      <c r="I1148" s="157"/>
      <c r="J1148" s="173"/>
    </row>
    <row r="1149">
      <c r="A1149" s="216"/>
      <c r="B1149" s="216"/>
      <c r="C1149" s="216"/>
      <c r="D1149" s="216"/>
      <c r="E1149" s="216"/>
      <c r="F1149" s="216"/>
      <c r="G1149" s="173"/>
      <c r="H1149" s="173"/>
      <c r="I1149" s="157"/>
      <c r="J1149" s="173"/>
    </row>
    <row r="1150">
      <c r="A1150" s="216"/>
      <c r="B1150" s="216"/>
      <c r="C1150" s="216"/>
      <c r="D1150" s="216"/>
      <c r="E1150" s="216"/>
      <c r="F1150" s="216"/>
      <c r="G1150" s="173"/>
      <c r="H1150" s="173"/>
      <c r="I1150" s="157"/>
      <c r="J1150" s="173"/>
    </row>
    <row r="1151">
      <c r="A1151" s="216"/>
      <c r="B1151" s="216"/>
      <c r="C1151" s="216"/>
      <c r="D1151" s="216"/>
      <c r="E1151" s="216"/>
      <c r="F1151" s="216"/>
      <c r="G1151" s="173"/>
      <c r="H1151" s="173"/>
      <c r="I1151" s="157"/>
      <c r="J1151" s="173"/>
    </row>
    <row r="1152">
      <c r="A1152" s="216"/>
      <c r="B1152" s="216"/>
      <c r="C1152" s="216"/>
      <c r="D1152" s="216"/>
      <c r="E1152" s="216"/>
      <c r="F1152" s="216"/>
      <c r="G1152" s="173"/>
      <c r="H1152" s="173"/>
      <c r="I1152" s="157"/>
      <c r="J1152" s="173"/>
    </row>
    <row r="1153">
      <c r="A1153" s="216"/>
      <c r="B1153" s="216"/>
      <c r="C1153" s="216"/>
      <c r="D1153" s="216"/>
      <c r="E1153" s="216"/>
      <c r="F1153" s="216"/>
      <c r="G1153" s="173"/>
      <c r="H1153" s="173"/>
      <c r="I1153" s="157"/>
      <c r="J1153" s="173"/>
    </row>
    <row r="1154">
      <c r="A1154" s="216"/>
      <c r="B1154" s="216"/>
      <c r="C1154" s="216"/>
      <c r="D1154" s="216"/>
      <c r="E1154" s="216"/>
      <c r="F1154" s="216"/>
      <c r="G1154" s="173"/>
      <c r="H1154" s="173"/>
      <c r="I1154" s="157"/>
      <c r="J1154" s="173"/>
    </row>
    <row r="1155">
      <c r="A1155" s="216"/>
      <c r="B1155" s="216"/>
      <c r="C1155" s="216"/>
      <c r="D1155" s="216"/>
      <c r="E1155" s="216"/>
      <c r="F1155" s="216"/>
      <c r="G1155" s="173"/>
      <c r="H1155" s="173"/>
      <c r="I1155" s="157"/>
      <c r="J1155" s="173"/>
    </row>
    <row r="1156">
      <c r="A1156" s="216"/>
      <c r="B1156" s="216"/>
      <c r="C1156" s="216"/>
      <c r="D1156" s="216"/>
      <c r="E1156" s="216"/>
      <c r="F1156" s="216"/>
      <c r="G1156" s="173"/>
      <c r="H1156" s="173"/>
      <c r="I1156" s="157"/>
      <c r="J1156" s="173"/>
    </row>
    <row r="1157">
      <c r="A1157" s="216"/>
      <c r="B1157" s="216"/>
      <c r="C1157" s="216"/>
      <c r="D1157" s="216"/>
      <c r="E1157" s="216"/>
      <c r="F1157" s="216"/>
      <c r="G1157" s="173"/>
      <c r="H1157" s="173"/>
      <c r="I1157" s="157"/>
      <c r="J1157" s="173"/>
    </row>
    <row r="1158">
      <c r="A1158" s="216"/>
      <c r="B1158" s="216"/>
      <c r="C1158" s="216"/>
      <c r="D1158" s="216"/>
      <c r="E1158" s="216"/>
      <c r="F1158" s="216"/>
      <c r="G1158" s="173"/>
      <c r="H1158" s="173"/>
      <c r="I1158" s="157"/>
      <c r="J1158" s="173"/>
    </row>
    <row r="1159">
      <c r="A1159" s="216"/>
      <c r="B1159" s="216"/>
      <c r="C1159" s="216"/>
      <c r="D1159" s="216"/>
      <c r="E1159" s="216"/>
      <c r="F1159" s="216"/>
      <c r="G1159" s="173"/>
      <c r="H1159" s="173"/>
      <c r="I1159" s="157"/>
      <c r="J1159" s="173"/>
    </row>
    <row r="1160">
      <c r="A1160" s="216"/>
      <c r="B1160" s="216"/>
      <c r="C1160" s="216"/>
      <c r="D1160" s="216"/>
      <c r="E1160" s="216"/>
      <c r="F1160" s="216"/>
      <c r="G1160" s="173"/>
      <c r="H1160" s="173"/>
      <c r="I1160" s="157"/>
      <c r="J1160" s="173"/>
    </row>
    <row r="1161">
      <c r="A1161" s="216"/>
      <c r="B1161" s="216"/>
      <c r="C1161" s="216"/>
      <c r="D1161" s="216"/>
      <c r="E1161" s="216"/>
      <c r="F1161" s="216"/>
      <c r="G1161" s="173"/>
      <c r="H1161" s="173"/>
      <c r="I1161" s="157"/>
      <c r="J1161" s="173"/>
    </row>
    <row r="1162">
      <c r="A1162" s="216"/>
      <c r="B1162" s="216"/>
      <c r="C1162" s="216"/>
      <c r="D1162" s="216"/>
      <c r="E1162" s="216"/>
      <c r="F1162" s="216"/>
      <c r="G1162" s="173"/>
      <c r="H1162" s="173"/>
      <c r="I1162" s="157"/>
      <c r="J1162" s="173"/>
    </row>
    <row r="1163">
      <c r="A1163" s="216"/>
      <c r="B1163" s="216"/>
      <c r="C1163" s="216"/>
      <c r="D1163" s="216"/>
      <c r="E1163" s="216"/>
      <c r="F1163" s="216"/>
      <c r="G1163" s="173"/>
      <c r="H1163" s="173"/>
      <c r="I1163" s="157"/>
      <c r="J1163" s="173"/>
    </row>
    <row r="1164">
      <c r="A1164" s="216"/>
      <c r="B1164" s="216"/>
      <c r="C1164" s="216"/>
      <c r="D1164" s="216"/>
      <c r="E1164" s="216"/>
      <c r="F1164" s="216"/>
      <c r="G1164" s="173"/>
      <c r="H1164" s="173"/>
      <c r="I1164" s="157"/>
      <c r="J1164" s="173"/>
    </row>
    <row r="1165">
      <c r="A1165" s="216"/>
      <c r="B1165" s="216"/>
      <c r="C1165" s="216"/>
      <c r="D1165" s="216"/>
      <c r="E1165" s="216"/>
      <c r="F1165" s="216"/>
      <c r="G1165" s="173"/>
      <c r="H1165" s="173"/>
      <c r="I1165" s="157"/>
      <c r="J1165" s="173"/>
    </row>
    <row r="1166">
      <c r="A1166" s="216"/>
      <c r="B1166" s="216"/>
      <c r="C1166" s="216"/>
      <c r="D1166" s="216"/>
      <c r="E1166" s="216"/>
      <c r="F1166" s="216"/>
      <c r="G1166" s="173"/>
      <c r="H1166" s="173"/>
      <c r="I1166" s="157"/>
      <c r="J1166" s="173"/>
    </row>
    <row r="1167">
      <c r="A1167" s="216"/>
      <c r="B1167" s="216"/>
      <c r="C1167" s="216"/>
      <c r="D1167" s="216"/>
      <c r="E1167" s="216"/>
      <c r="F1167" s="216"/>
      <c r="G1167" s="173"/>
      <c r="H1167" s="173"/>
      <c r="I1167" s="157"/>
      <c r="J1167" s="173"/>
    </row>
    <row r="1168">
      <c r="A1168" s="216"/>
      <c r="B1168" s="216"/>
      <c r="C1168" s="216"/>
      <c r="D1168" s="216"/>
      <c r="E1168" s="216"/>
      <c r="F1168" s="216"/>
      <c r="G1168" s="173"/>
      <c r="H1168" s="173"/>
      <c r="I1168" s="157"/>
      <c r="J1168" s="173"/>
    </row>
    <row r="1169">
      <c r="A1169" s="216"/>
      <c r="B1169" s="216"/>
      <c r="C1169" s="216"/>
      <c r="D1169" s="216"/>
      <c r="E1169" s="216"/>
      <c r="F1169" s="216"/>
      <c r="G1169" s="173"/>
      <c r="H1169" s="173"/>
      <c r="I1169" s="157"/>
      <c r="J1169" s="173"/>
    </row>
    <row r="1170">
      <c r="A1170" s="216"/>
      <c r="B1170" s="216"/>
      <c r="C1170" s="216"/>
      <c r="D1170" s="216"/>
      <c r="E1170" s="216"/>
      <c r="F1170" s="216"/>
      <c r="G1170" s="173"/>
      <c r="H1170" s="173"/>
      <c r="I1170" s="157"/>
      <c r="J1170" s="173"/>
    </row>
    <row r="1171">
      <c r="A1171" s="216"/>
      <c r="B1171" s="216"/>
      <c r="C1171" s="216"/>
      <c r="D1171" s="216"/>
      <c r="E1171" s="216"/>
      <c r="F1171" s="216"/>
      <c r="G1171" s="173"/>
      <c r="H1171" s="173"/>
      <c r="I1171" s="157"/>
      <c r="J1171" s="173"/>
    </row>
    <row r="1172">
      <c r="A1172" s="216"/>
      <c r="B1172" s="216"/>
      <c r="C1172" s="216"/>
      <c r="D1172" s="216"/>
      <c r="E1172" s="216"/>
      <c r="F1172" s="216"/>
      <c r="G1172" s="173"/>
      <c r="H1172" s="173"/>
      <c r="I1172" s="157"/>
      <c r="J1172" s="173"/>
    </row>
    <row r="1173">
      <c r="A1173" s="216"/>
      <c r="B1173" s="216"/>
      <c r="C1173" s="216"/>
      <c r="D1173" s="216"/>
      <c r="E1173" s="216"/>
      <c r="F1173" s="216"/>
      <c r="G1173" s="173"/>
      <c r="H1173" s="173"/>
      <c r="I1173" s="157"/>
      <c r="J1173" s="173"/>
    </row>
    <row r="1174">
      <c r="A1174" s="216"/>
      <c r="B1174" s="216"/>
      <c r="C1174" s="216"/>
      <c r="D1174" s="216"/>
      <c r="E1174" s="216"/>
      <c r="F1174" s="216"/>
      <c r="G1174" s="173"/>
      <c r="H1174" s="173"/>
      <c r="I1174" s="157"/>
      <c r="J1174" s="173"/>
    </row>
    <row r="1175">
      <c r="A1175" s="216"/>
      <c r="B1175" s="216"/>
      <c r="C1175" s="216"/>
      <c r="D1175" s="216"/>
      <c r="E1175" s="216"/>
      <c r="F1175" s="216"/>
      <c r="G1175" s="173"/>
      <c r="H1175" s="173"/>
      <c r="I1175" s="157"/>
      <c r="J1175" s="173"/>
    </row>
    <row r="1176">
      <c r="A1176" s="216"/>
      <c r="B1176" s="216"/>
      <c r="C1176" s="216"/>
      <c r="D1176" s="216"/>
      <c r="E1176" s="216"/>
      <c r="F1176" s="216"/>
      <c r="G1176" s="173"/>
      <c r="H1176" s="173"/>
      <c r="I1176" s="157"/>
      <c r="J1176" s="173"/>
    </row>
    <row r="1177">
      <c r="A1177" s="216"/>
      <c r="B1177" s="216"/>
      <c r="C1177" s="216"/>
      <c r="D1177" s="216"/>
      <c r="E1177" s="216"/>
      <c r="F1177" s="216"/>
      <c r="G1177" s="173"/>
      <c r="H1177" s="173"/>
      <c r="I1177" s="157"/>
      <c r="J1177" s="173"/>
    </row>
    <row r="1178">
      <c r="A1178" s="216"/>
      <c r="B1178" s="216"/>
      <c r="C1178" s="216"/>
      <c r="D1178" s="216"/>
      <c r="E1178" s="216"/>
      <c r="F1178" s="216"/>
      <c r="G1178" s="173"/>
      <c r="H1178" s="173"/>
      <c r="I1178" s="157"/>
      <c r="J1178" s="173"/>
    </row>
    <row r="1179">
      <c r="A1179" s="216"/>
      <c r="B1179" s="216"/>
      <c r="C1179" s="216"/>
      <c r="D1179" s="216"/>
      <c r="E1179" s="216"/>
      <c r="F1179" s="216"/>
      <c r="G1179" s="173"/>
      <c r="H1179" s="173"/>
      <c r="I1179" s="157"/>
      <c r="J1179" s="173"/>
    </row>
    <row r="1180">
      <c r="A1180" s="216"/>
      <c r="B1180" s="216"/>
      <c r="C1180" s="216"/>
      <c r="D1180" s="216"/>
      <c r="E1180" s="216"/>
      <c r="F1180" s="216"/>
      <c r="G1180" s="173"/>
      <c r="H1180" s="173"/>
      <c r="I1180" s="157"/>
      <c r="J1180" s="173"/>
    </row>
    <row r="1181">
      <c r="A1181" s="216"/>
      <c r="B1181" s="216"/>
      <c r="C1181" s="216"/>
      <c r="D1181" s="216"/>
      <c r="E1181" s="216"/>
      <c r="F1181" s="216"/>
      <c r="G1181" s="173"/>
      <c r="H1181" s="173"/>
      <c r="I1181" s="157"/>
      <c r="J1181" s="173"/>
    </row>
    <row r="1182">
      <c r="A1182" s="216"/>
      <c r="B1182" s="216"/>
      <c r="C1182" s="216"/>
      <c r="D1182" s="216"/>
      <c r="E1182" s="216"/>
      <c r="F1182" s="216"/>
      <c r="G1182" s="173"/>
      <c r="H1182" s="173"/>
      <c r="I1182" s="157"/>
      <c r="J1182" s="173"/>
    </row>
    <row r="1183">
      <c r="A1183" s="216"/>
      <c r="B1183" s="216"/>
      <c r="C1183" s="216"/>
      <c r="D1183" s="216"/>
      <c r="E1183" s="216"/>
      <c r="F1183" s="216"/>
      <c r="G1183" s="173"/>
      <c r="H1183" s="173"/>
      <c r="I1183" s="157"/>
      <c r="J1183" s="173"/>
    </row>
    <row r="1184">
      <c r="A1184" s="216"/>
      <c r="B1184" s="216"/>
      <c r="C1184" s="216"/>
      <c r="D1184" s="216"/>
      <c r="E1184" s="216"/>
      <c r="F1184" s="216"/>
      <c r="G1184" s="173"/>
      <c r="H1184" s="173"/>
      <c r="I1184" s="157"/>
      <c r="J1184" s="173"/>
    </row>
    <row r="1185">
      <c r="A1185" s="216"/>
      <c r="B1185" s="216"/>
      <c r="C1185" s="216"/>
      <c r="D1185" s="216"/>
      <c r="E1185" s="216"/>
      <c r="F1185" s="216"/>
      <c r="G1185" s="173"/>
      <c r="H1185" s="173"/>
      <c r="I1185" s="157"/>
      <c r="J1185" s="173"/>
    </row>
    <row r="1186">
      <c r="A1186" s="216"/>
      <c r="B1186" s="216"/>
      <c r="C1186" s="216"/>
      <c r="D1186" s="216"/>
      <c r="E1186" s="216"/>
      <c r="F1186" s="216"/>
      <c r="G1186" s="173"/>
      <c r="H1186" s="173"/>
      <c r="I1186" s="157"/>
      <c r="J1186" s="173"/>
    </row>
    <row r="1187">
      <c r="A1187" s="216"/>
      <c r="B1187" s="216"/>
      <c r="C1187" s="216"/>
      <c r="D1187" s="216"/>
      <c r="E1187" s="216"/>
      <c r="F1187" s="216"/>
      <c r="G1187" s="173"/>
      <c r="H1187" s="173"/>
      <c r="I1187" s="157"/>
      <c r="J1187" s="173"/>
    </row>
    <row r="1188">
      <c r="A1188" s="216"/>
      <c r="B1188" s="216"/>
      <c r="C1188" s="216"/>
      <c r="D1188" s="216"/>
      <c r="E1188" s="216"/>
      <c r="F1188" s="216"/>
      <c r="G1188" s="173"/>
      <c r="H1188" s="173"/>
      <c r="I1188" s="157"/>
      <c r="J1188" s="173"/>
    </row>
    <row r="1189">
      <c r="A1189" s="216"/>
      <c r="B1189" s="216"/>
      <c r="C1189" s="216"/>
      <c r="D1189" s="216"/>
      <c r="E1189" s="216"/>
      <c r="F1189" s="216"/>
      <c r="G1189" s="173"/>
      <c r="H1189" s="173"/>
      <c r="I1189" s="157"/>
      <c r="J1189" s="173"/>
    </row>
    <row r="1190">
      <c r="A1190" s="216"/>
      <c r="B1190" s="216"/>
      <c r="C1190" s="216"/>
      <c r="D1190" s="216"/>
      <c r="E1190" s="216"/>
      <c r="F1190" s="216"/>
      <c r="G1190" s="173"/>
      <c r="H1190" s="173"/>
      <c r="I1190" s="157"/>
      <c r="J1190" s="173"/>
    </row>
    <row r="1191">
      <c r="A1191" s="216"/>
      <c r="B1191" s="216"/>
      <c r="C1191" s="216"/>
      <c r="D1191" s="216"/>
      <c r="E1191" s="216"/>
      <c r="F1191" s="216"/>
      <c r="G1191" s="173"/>
      <c r="H1191" s="173"/>
      <c r="I1191" s="157"/>
      <c r="J1191" s="173"/>
    </row>
    <row r="1192">
      <c r="A1192" s="216"/>
      <c r="B1192" s="216"/>
      <c r="C1192" s="216"/>
      <c r="D1192" s="216"/>
      <c r="E1192" s="216"/>
      <c r="F1192" s="216"/>
      <c r="G1192" s="173"/>
      <c r="H1192" s="173"/>
      <c r="I1192" s="157"/>
      <c r="J1192" s="173"/>
    </row>
    <row r="1193">
      <c r="A1193" s="216"/>
      <c r="B1193" s="216"/>
      <c r="C1193" s="216"/>
      <c r="D1193" s="216"/>
      <c r="E1193" s="216"/>
      <c r="F1193" s="216"/>
      <c r="G1193" s="173"/>
      <c r="H1193" s="173"/>
      <c r="I1193" s="157"/>
      <c r="J1193" s="173"/>
    </row>
    <row r="1194">
      <c r="A1194" s="216"/>
      <c r="B1194" s="216"/>
      <c r="C1194" s="216"/>
      <c r="D1194" s="216"/>
      <c r="E1194" s="216"/>
      <c r="F1194" s="216"/>
      <c r="G1194" s="173"/>
      <c r="H1194" s="173"/>
      <c r="I1194" s="157"/>
      <c r="J1194" s="173"/>
    </row>
    <row r="1195">
      <c r="A1195" s="216"/>
      <c r="B1195" s="216"/>
      <c r="C1195" s="216"/>
      <c r="D1195" s="216"/>
      <c r="E1195" s="216"/>
      <c r="F1195" s="216"/>
      <c r="G1195" s="173"/>
      <c r="H1195" s="173"/>
      <c r="I1195" s="157"/>
      <c r="J1195" s="173"/>
    </row>
    <row r="1196">
      <c r="A1196" s="216"/>
      <c r="B1196" s="216"/>
      <c r="C1196" s="216"/>
      <c r="D1196" s="216"/>
      <c r="E1196" s="216"/>
      <c r="F1196" s="216"/>
      <c r="G1196" s="173"/>
      <c r="H1196" s="173"/>
      <c r="I1196" s="157"/>
      <c r="J1196" s="173"/>
    </row>
    <row r="1197">
      <c r="A1197" s="216"/>
      <c r="B1197" s="216"/>
      <c r="C1197" s="216"/>
      <c r="D1197" s="216"/>
      <c r="E1197" s="216"/>
      <c r="F1197" s="216"/>
      <c r="G1197" s="173"/>
      <c r="H1197" s="173"/>
      <c r="I1197" s="157"/>
      <c r="J1197" s="173"/>
    </row>
    <row r="1198">
      <c r="A1198" s="216"/>
      <c r="B1198" s="216"/>
      <c r="C1198" s="216"/>
      <c r="D1198" s="216"/>
      <c r="E1198" s="216"/>
      <c r="F1198" s="216"/>
      <c r="G1198" s="173"/>
      <c r="H1198" s="173"/>
      <c r="I1198" s="157"/>
      <c r="J1198" s="173"/>
    </row>
    <row r="1199">
      <c r="A1199" s="216"/>
      <c r="B1199" s="216"/>
      <c r="C1199" s="216"/>
      <c r="D1199" s="216"/>
      <c r="E1199" s="216"/>
      <c r="F1199" s="216"/>
      <c r="G1199" s="173"/>
      <c r="H1199" s="173"/>
      <c r="I1199" s="157"/>
      <c r="J1199" s="173"/>
    </row>
    <row r="1200">
      <c r="A1200" s="216"/>
      <c r="B1200" s="216"/>
      <c r="C1200" s="216"/>
      <c r="D1200" s="216"/>
      <c r="E1200" s="216"/>
      <c r="F1200" s="216"/>
      <c r="G1200" s="173"/>
      <c r="H1200" s="173"/>
      <c r="I1200" s="157"/>
      <c r="J1200" s="173"/>
    </row>
  </sheetData>
  <autoFilter ref="$A$3:$F$863"/>
  <mergeCells count="1">
    <mergeCell ref="B1:J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6.38"/>
    <col customWidth="1" min="3" max="3" width="26.0"/>
    <col customWidth="1" min="4" max="6" width="16.5"/>
    <col customWidth="1" min="7" max="7" width="17.63"/>
  </cols>
  <sheetData>
    <row r="1">
      <c r="A1" s="217" t="s">
        <v>6</v>
      </c>
      <c r="B1" s="217" t="s">
        <v>3571</v>
      </c>
      <c r="C1" s="217" t="s">
        <v>3572</v>
      </c>
      <c r="D1" s="217" t="s">
        <v>5857</v>
      </c>
      <c r="E1" s="217" t="s">
        <v>222</v>
      </c>
      <c r="F1" s="217" t="s">
        <v>5858</v>
      </c>
      <c r="G1" s="217" t="s">
        <v>26</v>
      </c>
    </row>
    <row r="2">
      <c r="A2" s="218">
        <v>1.0</v>
      </c>
      <c r="B2" s="218" t="s">
        <v>201</v>
      </c>
      <c r="C2" s="218">
        <v>225.0</v>
      </c>
      <c r="D2" s="218" t="b">
        <v>1</v>
      </c>
      <c r="E2" s="219" t="b">
        <v>0</v>
      </c>
      <c r="F2" s="219" t="b">
        <v>0</v>
      </c>
      <c r="G2" s="219"/>
    </row>
    <row r="3">
      <c r="A3" s="218">
        <f t="shared" ref="A3:A992" si="1">A2+1</f>
        <v>2</v>
      </c>
      <c r="B3" s="218" t="s">
        <v>201</v>
      </c>
      <c r="C3" s="218">
        <v>242.0</v>
      </c>
      <c r="D3" s="218" t="b">
        <v>1</v>
      </c>
      <c r="E3" s="219" t="b">
        <v>0</v>
      </c>
      <c r="F3" s="219" t="b">
        <v>0</v>
      </c>
      <c r="G3" s="219"/>
    </row>
    <row r="4">
      <c r="A4" s="218">
        <f t="shared" si="1"/>
        <v>3</v>
      </c>
      <c r="B4" s="218" t="s">
        <v>201</v>
      </c>
      <c r="C4" s="218">
        <v>280.0</v>
      </c>
      <c r="D4" s="218" t="b">
        <v>1</v>
      </c>
      <c r="E4" s="219" t="b">
        <v>0</v>
      </c>
      <c r="F4" s="219" t="b">
        <v>0</v>
      </c>
      <c r="G4" s="219"/>
    </row>
    <row r="5">
      <c r="A5" s="218">
        <f t="shared" si="1"/>
        <v>4</v>
      </c>
      <c r="B5" s="218" t="s">
        <v>201</v>
      </c>
      <c r="C5" s="218">
        <v>307.0</v>
      </c>
      <c r="D5" s="218" t="b">
        <v>1</v>
      </c>
      <c r="E5" s="219" t="b">
        <v>0</v>
      </c>
      <c r="F5" s="219" t="b">
        <v>0</v>
      </c>
      <c r="G5" s="219"/>
    </row>
    <row r="6">
      <c r="A6" s="218">
        <f t="shared" si="1"/>
        <v>5</v>
      </c>
      <c r="B6" s="218" t="s">
        <v>201</v>
      </c>
      <c r="C6" s="218">
        <v>341.0</v>
      </c>
      <c r="D6" s="218" t="b">
        <v>1</v>
      </c>
      <c r="E6" s="219" t="b">
        <v>0</v>
      </c>
      <c r="F6" s="219" t="b">
        <v>0</v>
      </c>
      <c r="G6" s="219"/>
    </row>
    <row r="7">
      <c r="A7" s="218">
        <f t="shared" si="1"/>
        <v>6</v>
      </c>
      <c r="B7" s="218" t="s">
        <v>201</v>
      </c>
      <c r="C7" s="218">
        <v>344.0</v>
      </c>
      <c r="D7" s="218" t="b">
        <v>1</v>
      </c>
      <c r="E7" s="219" t="b">
        <v>0</v>
      </c>
      <c r="F7" s="219" t="b">
        <v>0</v>
      </c>
      <c r="G7" s="219"/>
    </row>
    <row r="8">
      <c r="A8" s="218">
        <f t="shared" si="1"/>
        <v>7</v>
      </c>
      <c r="B8" s="218" t="s">
        <v>201</v>
      </c>
      <c r="C8" s="218">
        <v>357.0</v>
      </c>
      <c r="D8" s="218" t="b">
        <v>1</v>
      </c>
      <c r="E8" s="219" t="b">
        <v>0</v>
      </c>
      <c r="F8" s="219" t="b">
        <v>0</v>
      </c>
      <c r="G8" s="219"/>
    </row>
    <row r="9">
      <c r="A9" s="218">
        <f t="shared" si="1"/>
        <v>8</v>
      </c>
      <c r="B9" s="218" t="s">
        <v>201</v>
      </c>
      <c r="C9" s="218">
        <v>386.0</v>
      </c>
      <c r="D9" s="218" t="b">
        <v>1</v>
      </c>
      <c r="E9" s="219" t="b">
        <v>0</v>
      </c>
      <c r="F9" s="219" t="b">
        <v>0</v>
      </c>
      <c r="G9" s="219"/>
    </row>
    <row r="10">
      <c r="A10" s="218">
        <f t="shared" si="1"/>
        <v>9</v>
      </c>
      <c r="B10" s="218" t="s">
        <v>201</v>
      </c>
      <c r="C10" s="218">
        <v>402.0</v>
      </c>
      <c r="D10" s="218" t="b">
        <v>1</v>
      </c>
      <c r="E10" s="219" t="b">
        <v>0</v>
      </c>
      <c r="F10" s="219" t="b">
        <v>0</v>
      </c>
      <c r="G10" s="219"/>
    </row>
    <row r="11">
      <c r="A11" s="218">
        <f t="shared" si="1"/>
        <v>10</v>
      </c>
      <c r="B11" s="218" t="s">
        <v>201</v>
      </c>
      <c r="C11" s="218">
        <v>490.0</v>
      </c>
      <c r="D11" s="218" t="b">
        <v>1</v>
      </c>
      <c r="E11" s="219" t="b">
        <v>0</v>
      </c>
      <c r="F11" s="219" t="b">
        <v>0</v>
      </c>
      <c r="G11" s="219"/>
    </row>
    <row r="12">
      <c r="A12" s="218">
        <f t="shared" si="1"/>
        <v>11</v>
      </c>
      <c r="B12" s="218" t="s">
        <v>201</v>
      </c>
      <c r="C12" s="218" t="s">
        <v>4480</v>
      </c>
      <c r="D12" s="218" t="b">
        <v>1</v>
      </c>
      <c r="E12" s="219" t="b">
        <v>0</v>
      </c>
      <c r="F12" s="219" t="b">
        <v>0</v>
      </c>
      <c r="G12" s="219"/>
    </row>
    <row r="13">
      <c r="A13" s="218">
        <f t="shared" si="1"/>
        <v>12</v>
      </c>
      <c r="B13" s="218" t="s">
        <v>201</v>
      </c>
      <c r="C13" s="218" t="s">
        <v>539</v>
      </c>
      <c r="D13" s="218" t="b">
        <v>1</v>
      </c>
      <c r="E13" s="219" t="b">
        <v>0</v>
      </c>
      <c r="F13" s="219" t="b">
        <v>0</v>
      </c>
      <c r="G13" s="219"/>
    </row>
    <row r="14">
      <c r="A14" s="218">
        <f t="shared" si="1"/>
        <v>13</v>
      </c>
      <c r="B14" s="218" t="s">
        <v>201</v>
      </c>
      <c r="C14" s="218" t="s">
        <v>6511</v>
      </c>
      <c r="D14" s="218" t="b">
        <v>1</v>
      </c>
      <c r="E14" s="219" t="b">
        <v>0</v>
      </c>
      <c r="F14" s="219" t="b">
        <v>0</v>
      </c>
      <c r="G14" s="219"/>
    </row>
    <row r="15">
      <c r="A15" s="218">
        <f t="shared" si="1"/>
        <v>14</v>
      </c>
      <c r="B15" s="218" t="s">
        <v>201</v>
      </c>
      <c r="C15" s="218" t="s">
        <v>6512</v>
      </c>
      <c r="D15" s="218" t="b">
        <v>1</v>
      </c>
      <c r="E15" s="219" t="b">
        <v>0</v>
      </c>
      <c r="F15" s="219" t="b">
        <v>0</v>
      </c>
      <c r="G15" s="219"/>
    </row>
    <row r="16">
      <c r="A16" s="218">
        <f t="shared" si="1"/>
        <v>15</v>
      </c>
      <c r="B16" s="218" t="s">
        <v>201</v>
      </c>
      <c r="C16" s="218" t="s">
        <v>2153</v>
      </c>
      <c r="D16" s="218" t="b">
        <v>1</v>
      </c>
      <c r="E16" s="219" t="b">
        <v>0</v>
      </c>
      <c r="F16" s="219" t="b">
        <v>0</v>
      </c>
      <c r="G16" s="219"/>
    </row>
    <row r="17">
      <c r="A17" s="218">
        <f t="shared" si="1"/>
        <v>16</v>
      </c>
      <c r="B17" s="218" t="s">
        <v>201</v>
      </c>
      <c r="C17" s="218" t="s">
        <v>6513</v>
      </c>
      <c r="D17" s="218" t="b">
        <v>1</v>
      </c>
      <c r="E17" s="219" t="b">
        <v>0</v>
      </c>
      <c r="F17" s="219" t="b">
        <v>0</v>
      </c>
      <c r="G17" s="219"/>
    </row>
    <row r="18">
      <c r="A18" s="218">
        <f t="shared" si="1"/>
        <v>17</v>
      </c>
      <c r="B18" s="218" t="s">
        <v>201</v>
      </c>
      <c r="C18" s="218" t="s">
        <v>4360</v>
      </c>
      <c r="D18" s="218" t="b">
        <v>1</v>
      </c>
      <c r="E18" s="219" t="b">
        <v>0</v>
      </c>
      <c r="F18" s="219" t="b">
        <v>0</v>
      </c>
      <c r="G18" s="219"/>
    </row>
    <row r="19">
      <c r="A19" s="218">
        <f t="shared" si="1"/>
        <v>18</v>
      </c>
      <c r="B19" s="218" t="s">
        <v>201</v>
      </c>
      <c r="C19" s="218" t="s">
        <v>2082</v>
      </c>
      <c r="D19" s="218" t="b">
        <v>1</v>
      </c>
      <c r="E19" s="219" t="b">
        <v>0</v>
      </c>
      <c r="F19" s="219" t="b">
        <v>0</v>
      </c>
      <c r="G19" s="219"/>
    </row>
    <row r="20">
      <c r="A20" s="218">
        <f t="shared" si="1"/>
        <v>19</v>
      </c>
      <c r="B20" s="218" t="s">
        <v>201</v>
      </c>
      <c r="C20" s="218" t="s">
        <v>4922</v>
      </c>
      <c r="D20" s="218" t="b">
        <v>1</v>
      </c>
      <c r="E20" s="219" t="b">
        <v>0</v>
      </c>
      <c r="F20" s="219" t="b">
        <v>0</v>
      </c>
      <c r="G20" s="219"/>
    </row>
    <row r="21">
      <c r="A21" s="218">
        <f t="shared" si="1"/>
        <v>20</v>
      </c>
      <c r="B21" s="218" t="s">
        <v>201</v>
      </c>
      <c r="C21" s="218" t="s">
        <v>930</v>
      </c>
      <c r="D21" s="218" t="b">
        <v>1</v>
      </c>
      <c r="E21" s="219" t="b">
        <v>0</v>
      </c>
      <c r="F21" s="219" t="b">
        <v>0</v>
      </c>
      <c r="G21" s="219"/>
    </row>
    <row r="22">
      <c r="A22" s="218">
        <f t="shared" si="1"/>
        <v>21</v>
      </c>
      <c r="B22" s="218" t="s">
        <v>201</v>
      </c>
      <c r="C22" s="218" t="s">
        <v>930</v>
      </c>
      <c r="D22" s="218" t="b">
        <v>1</v>
      </c>
      <c r="E22" s="219" t="b">
        <v>0</v>
      </c>
      <c r="F22" s="219" t="b">
        <v>0</v>
      </c>
      <c r="G22" s="219"/>
    </row>
    <row r="23">
      <c r="A23" s="218">
        <f t="shared" si="1"/>
        <v>22</v>
      </c>
      <c r="B23" s="218" t="s">
        <v>201</v>
      </c>
      <c r="C23" s="218" t="s">
        <v>2255</v>
      </c>
      <c r="D23" s="218" t="b">
        <v>1</v>
      </c>
      <c r="E23" s="219" t="b">
        <v>0</v>
      </c>
      <c r="F23" s="219" t="b">
        <v>0</v>
      </c>
      <c r="G23" s="219"/>
    </row>
    <row r="24">
      <c r="A24" s="218">
        <f t="shared" si="1"/>
        <v>23</v>
      </c>
      <c r="B24" s="218" t="s">
        <v>201</v>
      </c>
      <c r="C24" s="218" t="s">
        <v>1629</v>
      </c>
      <c r="D24" s="218" t="b">
        <v>1</v>
      </c>
      <c r="E24" s="219" t="b">
        <v>0</v>
      </c>
      <c r="F24" s="219" t="b">
        <v>0</v>
      </c>
      <c r="G24" s="219"/>
    </row>
    <row r="25">
      <c r="A25" s="218">
        <f t="shared" si="1"/>
        <v>24</v>
      </c>
      <c r="B25" s="218" t="s">
        <v>201</v>
      </c>
      <c r="C25" s="218" t="s">
        <v>1629</v>
      </c>
      <c r="D25" s="218" t="b">
        <v>1</v>
      </c>
      <c r="E25" s="219" t="b">
        <v>0</v>
      </c>
      <c r="F25" s="219" t="b">
        <v>0</v>
      </c>
      <c r="G25" s="219"/>
    </row>
    <row r="26">
      <c r="A26" s="218">
        <f t="shared" si="1"/>
        <v>25</v>
      </c>
      <c r="B26" s="218" t="s">
        <v>201</v>
      </c>
      <c r="C26" s="218" t="s">
        <v>4139</v>
      </c>
      <c r="D26" s="218" t="b">
        <v>1</v>
      </c>
      <c r="E26" s="219" t="b">
        <v>0</v>
      </c>
      <c r="F26" s="219" t="b">
        <v>0</v>
      </c>
      <c r="G26" s="219"/>
    </row>
    <row r="27">
      <c r="A27" s="218">
        <f t="shared" si="1"/>
        <v>26</v>
      </c>
      <c r="B27" s="218" t="s">
        <v>201</v>
      </c>
      <c r="C27" s="218" t="s">
        <v>805</v>
      </c>
      <c r="D27" s="218" t="b">
        <v>1</v>
      </c>
      <c r="E27" s="219" t="b">
        <v>0</v>
      </c>
      <c r="F27" s="219" t="b">
        <v>0</v>
      </c>
      <c r="G27" s="219"/>
    </row>
    <row r="28">
      <c r="A28" s="218">
        <f t="shared" si="1"/>
        <v>27</v>
      </c>
      <c r="B28" s="218" t="s">
        <v>201</v>
      </c>
      <c r="C28" s="218" t="s">
        <v>805</v>
      </c>
      <c r="D28" s="218" t="b">
        <v>1</v>
      </c>
      <c r="E28" s="219" t="b">
        <v>0</v>
      </c>
      <c r="F28" s="219" t="b">
        <v>0</v>
      </c>
      <c r="G28" s="219"/>
    </row>
    <row r="29">
      <c r="A29" s="218">
        <f t="shared" si="1"/>
        <v>28</v>
      </c>
      <c r="B29" s="218" t="s">
        <v>201</v>
      </c>
      <c r="C29" s="218" t="s">
        <v>1299</v>
      </c>
      <c r="D29" s="218" t="b">
        <v>1</v>
      </c>
      <c r="E29" s="219" t="b">
        <v>0</v>
      </c>
      <c r="F29" s="219" t="b">
        <v>0</v>
      </c>
      <c r="G29" s="219"/>
    </row>
    <row r="30">
      <c r="A30" s="218">
        <f t="shared" si="1"/>
        <v>29</v>
      </c>
      <c r="B30" s="218" t="s">
        <v>201</v>
      </c>
      <c r="C30" s="218" t="s">
        <v>1299</v>
      </c>
      <c r="D30" s="218" t="b">
        <v>1</v>
      </c>
      <c r="E30" s="219" t="b">
        <v>0</v>
      </c>
      <c r="F30" s="219" t="b">
        <v>0</v>
      </c>
      <c r="G30" s="219"/>
    </row>
    <row r="31">
      <c r="A31" s="218">
        <f t="shared" si="1"/>
        <v>30</v>
      </c>
      <c r="B31" s="218" t="s">
        <v>201</v>
      </c>
      <c r="C31" s="218" t="s">
        <v>2948</v>
      </c>
      <c r="D31" s="218" t="b">
        <v>1</v>
      </c>
      <c r="E31" s="219" t="b">
        <v>0</v>
      </c>
      <c r="F31" s="219" t="b">
        <v>0</v>
      </c>
      <c r="G31" s="219"/>
    </row>
    <row r="32">
      <c r="A32" s="218">
        <f t="shared" si="1"/>
        <v>31</v>
      </c>
      <c r="B32" s="218" t="s">
        <v>201</v>
      </c>
      <c r="C32" s="218" t="s">
        <v>2948</v>
      </c>
      <c r="D32" s="218" t="b">
        <v>1</v>
      </c>
      <c r="E32" s="219" t="b">
        <v>0</v>
      </c>
      <c r="F32" s="219" t="b">
        <v>0</v>
      </c>
      <c r="G32" s="219"/>
    </row>
    <row r="33">
      <c r="A33" s="218">
        <f t="shared" si="1"/>
        <v>32</v>
      </c>
      <c r="B33" s="218" t="s">
        <v>201</v>
      </c>
      <c r="C33" s="218" t="s">
        <v>830</v>
      </c>
      <c r="D33" s="218" t="b">
        <v>1</v>
      </c>
      <c r="E33" s="219" t="b">
        <v>0</v>
      </c>
      <c r="F33" s="219" t="b">
        <v>0</v>
      </c>
      <c r="G33" s="219"/>
    </row>
    <row r="34">
      <c r="A34" s="218">
        <f t="shared" si="1"/>
        <v>33</v>
      </c>
      <c r="B34" s="218" t="s">
        <v>201</v>
      </c>
      <c r="C34" s="218" t="s">
        <v>830</v>
      </c>
      <c r="D34" s="218" t="b">
        <v>1</v>
      </c>
      <c r="E34" s="219" t="b">
        <v>0</v>
      </c>
      <c r="F34" s="219" t="b">
        <v>0</v>
      </c>
      <c r="G34" s="219"/>
    </row>
    <row r="35">
      <c r="A35" s="218">
        <f t="shared" si="1"/>
        <v>34</v>
      </c>
      <c r="B35" s="218" t="s">
        <v>201</v>
      </c>
      <c r="C35" s="218" t="s">
        <v>2586</v>
      </c>
      <c r="D35" s="218" t="b">
        <v>1</v>
      </c>
      <c r="E35" s="219" t="b">
        <v>0</v>
      </c>
      <c r="F35" s="219" t="b">
        <v>0</v>
      </c>
      <c r="G35" s="219"/>
    </row>
    <row r="36">
      <c r="A36" s="218">
        <f t="shared" si="1"/>
        <v>35</v>
      </c>
      <c r="B36" s="218" t="s">
        <v>201</v>
      </c>
      <c r="C36" s="218" t="s">
        <v>2586</v>
      </c>
      <c r="D36" s="218" t="b">
        <v>1</v>
      </c>
      <c r="E36" s="219" t="b">
        <v>0</v>
      </c>
      <c r="F36" s="219" t="b">
        <v>0</v>
      </c>
      <c r="G36" s="219"/>
    </row>
    <row r="37">
      <c r="A37" s="218">
        <f t="shared" si="1"/>
        <v>36</v>
      </c>
      <c r="B37" s="218" t="s">
        <v>201</v>
      </c>
      <c r="C37" s="218" t="s">
        <v>3692</v>
      </c>
      <c r="D37" s="218" t="b">
        <v>1</v>
      </c>
      <c r="E37" s="219" t="b">
        <v>0</v>
      </c>
      <c r="F37" s="219" t="b">
        <v>0</v>
      </c>
      <c r="G37" s="219"/>
    </row>
    <row r="38">
      <c r="A38" s="218">
        <f t="shared" si="1"/>
        <v>37</v>
      </c>
      <c r="B38" s="218" t="s">
        <v>201</v>
      </c>
      <c r="C38" s="218" t="s">
        <v>4053</v>
      </c>
      <c r="D38" s="218" t="b">
        <v>1</v>
      </c>
      <c r="E38" s="219" t="b">
        <v>0</v>
      </c>
      <c r="F38" s="219" t="b">
        <v>0</v>
      </c>
      <c r="G38" s="219"/>
    </row>
    <row r="39">
      <c r="A39" s="218">
        <f t="shared" si="1"/>
        <v>38</v>
      </c>
      <c r="B39" s="218" t="s">
        <v>201</v>
      </c>
      <c r="C39" s="218" t="s">
        <v>4053</v>
      </c>
      <c r="D39" s="218" t="b">
        <v>1</v>
      </c>
      <c r="E39" s="219" t="b">
        <v>0</v>
      </c>
      <c r="F39" s="219" t="b">
        <v>0</v>
      </c>
      <c r="G39" s="219"/>
    </row>
    <row r="40">
      <c r="A40" s="218">
        <f t="shared" si="1"/>
        <v>39</v>
      </c>
      <c r="B40" s="218" t="s">
        <v>201</v>
      </c>
      <c r="C40" s="218" t="s">
        <v>1274</v>
      </c>
      <c r="D40" s="218" t="b">
        <v>1</v>
      </c>
      <c r="E40" s="219" t="b">
        <v>0</v>
      </c>
      <c r="F40" s="219" t="b">
        <v>0</v>
      </c>
      <c r="G40" s="219"/>
    </row>
    <row r="41">
      <c r="A41" s="218">
        <f t="shared" si="1"/>
        <v>40</v>
      </c>
      <c r="B41" s="218" t="s">
        <v>201</v>
      </c>
      <c r="C41" s="218" t="s">
        <v>1699</v>
      </c>
      <c r="D41" s="218" t="b">
        <v>1</v>
      </c>
      <c r="E41" s="219" t="b">
        <v>0</v>
      </c>
      <c r="F41" s="219" t="b">
        <v>0</v>
      </c>
      <c r="G41" s="219"/>
    </row>
    <row r="42">
      <c r="A42" s="218">
        <f t="shared" si="1"/>
        <v>41</v>
      </c>
      <c r="B42" s="218" t="s">
        <v>201</v>
      </c>
      <c r="C42" s="218" t="s">
        <v>4074</v>
      </c>
      <c r="D42" s="218" t="b">
        <v>1</v>
      </c>
      <c r="E42" s="219" t="b">
        <v>0</v>
      </c>
      <c r="F42" s="219" t="b">
        <v>0</v>
      </c>
      <c r="G42" s="219"/>
    </row>
    <row r="43">
      <c r="A43" s="218">
        <f t="shared" si="1"/>
        <v>42</v>
      </c>
      <c r="B43" s="218" t="s">
        <v>201</v>
      </c>
      <c r="C43" s="218" t="s">
        <v>1891</v>
      </c>
      <c r="D43" s="218" t="b">
        <v>1</v>
      </c>
      <c r="E43" s="219" t="b">
        <v>0</v>
      </c>
      <c r="F43" s="219" t="b">
        <v>0</v>
      </c>
      <c r="G43" s="219"/>
    </row>
    <row r="44">
      <c r="A44" s="218">
        <f t="shared" si="1"/>
        <v>43</v>
      </c>
      <c r="B44" s="218" t="s">
        <v>201</v>
      </c>
      <c r="C44" s="218" t="s">
        <v>1891</v>
      </c>
      <c r="D44" s="218" t="b">
        <v>1</v>
      </c>
      <c r="E44" s="219" t="b">
        <v>0</v>
      </c>
      <c r="F44" s="219" t="b">
        <v>0</v>
      </c>
      <c r="G44" s="219"/>
    </row>
    <row r="45">
      <c r="A45" s="218">
        <f t="shared" si="1"/>
        <v>44</v>
      </c>
      <c r="B45" s="218" t="s">
        <v>201</v>
      </c>
      <c r="C45" s="218" t="s">
        <v>2862</v>
      </c>
      <c r="D45" s="218" t="b">
        <v>1</v>
      </c>
      <c r="E45" s="219" t="b">
        <v>0</v>
      </c>
      <c r="F45" s="219" t="b">
        <v>0</v>
      </c>
      <c r="G45" s="219"/>
    </row>
    <row r="46">
      <c r="A46" s="218">
        <f t="shared" si="1"/>
        <v>45</v>
      </c>
      <c r="B46" s="218" t="s">
        <v>201</v>
      </c>
      <c r="C46" s="218" t="s">
        <v>2862</v>
      </c>
      <c r="D46" s="218" t="b">
        <v>1</v>
      </c>
      <c r="E46" s="219" t="b">
        <v>0</v>
      </c>
      <c r="F46" s="219" t="b">
        <v>0</v>
      </c>
      <c r="G46" s="219"/>
    </row>
    <row r="47">
      <c r="A47" s="218">
        <f t="shared" si="1"/>
        <v>46</v>
      </c>
      <c r="B47" s="218" t="s">
        <v>201</v>
      </c>
      <c r="C47" s="218" t="s">
        <v>5465</v>
      </c>
      <c r="D47" s="218" t="b">
        <v>1</v>
      </c>
      <c r="E47" s="219" t="b">
        <v>0</v>
      </c>
      <c r="F47" s="219" t="b">
        <v>0</v>
      </c>
      <c r="G47" s="219"/>
    </row>
    <row r="48">
      <c r="A48" s="218">
        <f t="shared" si="1"/>
        <v>47</v>
      </c>
      <c r="B48" s="218" t="s">
        <v>201</v>
      </c>
      <c r="C48" s="218" t="s">
        <v>945</v>
      </c>
      <c r="D48" s="218" t="b">
        <v>1</v>
      </c>
      <c r="E48" s="219" t="b">
        <v>0</v>
      </c>
      <c r="F48" s="219" t="b">
        <v>0</v>
      </c>
      <c r="G48" s="219"/>
    </row>
    <row r="49">
      <c r="A49" s="218">
        <f t="shared" si="1"/>
        <v>48</v>
      </c>
      <c r="B49" s="218" t="s">
        <v>201</v>
      </c>
      <c r="C49" s="218" t="s">
        <v>974</v>
      </c>
      <c r="D49" s="218" t="b">
        <v>1</v>
      </c>
      <c r="E49" s="219" t="b">
        <v>0</v>
      </c>
      <c r="F49" s="219" t="b">
        <v>0</v>
      </c>
      <c r="G49" s="219"/>
    </row>
    <row r="50">
      <c r="A50" s="218">
        <f t="shared" si="1"/>
        <v>49</v>
      </c>
      <c r="B50" s="218" t="s">
        <v>201</v>
      </c>
      <c r="C50" s="218" t="s">
        <v>974</v>
      </c>
      <c r="D50" s="218" t="b">
        <v>1</v>
      </c>
      <c r="E50" s="219" t="b">
        <v>0</v>
      </c>
      <c r="F50" s="219" t="b">
        <v>0</v>
      </c>
      <c r="G50" s="219"/>
    </row>
    <row r="51">
      <c r="A51" s="218">
        <f t="shared" si="1"/>
        <v>50</v>
      </c>
      <c r="B51" s="218" t="s">
        <v>201</v>
      </c>
      <c r="C51" s="218" t="s">
        <v>446</v>
      </c>
      <c r="D51" s="218" t="b">
        <v>1</v>
      </c>
      <c r="E51" s="219" t="b">
        <v>0</v>
      </c>
      <c r="F51" s="219" t="b">
        <v>0</v>
      </c>
      <c r="G51" s="219"/>
    </row>
    <row r="52">
      <c r="A52" s="218">
        <f t="shared" si="1"/>
        <v>51</v>
      </c>
      <c r="B52" s="218" t="s">
        <v>201</v>
      </c>
      <c r="C52" s="218" t="s">
        <v>2823</v>
      </c>
      <c r="D52" s="218" t="b">
        <v>1</v>
      </c>
      <c r="E52" s="219" t="b">
        <v>0</v>
      </c>
      <c r="F52" s="219" t="b">
        <v>0</v>
      </c>
      <c r="G52" s="219"/>
    </row>
    <row r="53">
      <c r="A53" s="218">
        <f t="shared" si="1"/>
        <v>52</v>
      </c>
      <c r="B53" s="218" t="s">
        <v>201</v>
      </c>
      <c r="C53" s="218" t="s">
        <v>2823</v>
      </c>
      <c r="D53" s="218" t="b">
        <v>1</v>
      </c>
      <c r="E53" s="219" t="b">
        <v>0</v>
      </c>
      <c r="F53" s="219" t="b">
        <v>0</v>
      </c>
      <c r="G53" s="219"/>
    </row>
    <row r="54">
      <c r="A54" s="218">
        <f t="shared" si="1"/>
        <v>53</v>
      </c>
      <c r="B54" s="218" t="s">
        <v>201</v>
      </c>
      <c r="C54" s="218" t="s">
        <v>2668</v>
      </c>
      <c r="D54" s="218" t="b">
        <v>1</v>
      </c>
      <c r="E54" s="219" t="b">
        <v>0</v>
      </c>
      <c r="F54" s="219" t="b">
        <v>0</v>
      </c>
      <c r="G54" s="219"/>
    </row>
    <row r="55">
      <c r="A55" s="218">
        <f t="shared" si="1"/>
        <v>54</v>
      </c>
      <c r="B55" s="218" t="s">
        <v>201</v>
      </c>
      <c r="C55" s="218" t="s">
        <v>718</v>
      </c>
      <c r="D55" s="218" t="b">
        <v>1</v>
      </c>
      <c r="E55" s="219" t="b">
        <v>0</v>
      </c>
      <c r="F55" s="219" t="b">
        <v>0</v>
      </c>
      <c r="G55" s="219"/>
    </row>
    <row r="56">
      <c r="A56" s="218">
        <f t="shared" si="1"/>
        <v>55</v>
      </c>
      <c r="B56" s="218" t="s">
        <v>201</v>
      </c>
      <c r="C56" s="218" t="s">
        <v>935</v>
      </c>
      <c r="D56" s="218" t="b">
        <v>1</v>
      </c>
      <c r="E56" s="219" t="b">
        <v>0</v>
      </c>
      <c r="F56" s="219" t="b">
        <v>0</v>
      </c>
      <c r="G56" s="219"/>
    </row>
    <row r="57">
      <c r="A57" s="218">
        <f t="shared" si="1"/>
        <v>56</v>
      </c>
      <c r="B57" s="218" t="s">
        <v>201</v>
      </c>
      <c r="C57" s="218" t="s">
        <v>935</v>
      </c>
      <c r="D57" s="218" t="b">
        <v>1</v>
      </c>
      <c r="E57" s="219" t="b">
        <v>0</v>
      </c>
      <c r="F57" s="219" t="b">
        <v>0</v>
      </c>
      <c r="G57" s="219"/>
    </row>
    <row r="58">
      <c r="A58" s="218">
        <f t="shared" si="1"/>
        <v>57</v>
      </c>
      <c r="B58" s="218" t="s">
        <v>201</v>
      </c>
      <c r="C58" s="218" t="s">
        <v>771</v>
      </c>
      <c r="D58" s="218" t="b">
        <v>1</v>
      </c>
      <c r="E58" s="219" t="b">
        <v>0</v>
      </c>
      <c r="F58" s="219" t="b">
        <v>0</v>
      </c>
      <c r="G58" s="219"/>
    </row>
    <row r="59">
      <c r="A59" s="218">
        <f t="shared" si="1"/>
        <v>58</v>
      </c>
      <c r="B59" s="218" t="s">
        <v>201</v>
      </c>
      <c r="C59" s="218" t="s">
        <v>771</v>
      </c>
      <c r="D59" s="218" t="b">
        <v>1</v>
      </c>
      <c r="E59" s="219" t="b">
        <v>0</v>
      </c>
      <c r="F59" s="219" t="b">
        <v>0</v>
      </c>
      <c r="G59" s="219"/>
    </row>
    <row r="60">
      <c r="A60" s="218">
        <f t="shared" si="1"/>
        <v>59</v>
      </c>
      <c r="B60" s="218" t="s">
        <v>201</v>
      </c>
      <c r="C60" s="218" t="s">
        <v>1499</v>
      </c>
      <c r="D60" s="218" t="b">
        <v>1</v>
      </c>
      <c r="E60" s="219" t="b">
        <v>0</v>
      </c>
      <c r="F60" s="219" t="b">
        <v>0</v>
      </c>
      <c r="G60" s="219"/>
    </row>
    <row r="61">
      <c r="A61" s="218">
        <f t="shared" si="1"/>
        <v>60</v>
      </c>
      <c r="B61" s="218" t="s">
        <v>201</v>
      </c>
      <c r="C61" s="218" t="s">
        <v>1499</v>
      </c>
      <c r="D61" s="218" t="b">
        <v>1</v>
      </c>
      <c r="E61" s="219" t="b">
        <v>0</v>
      </c>
      <c r="F61" s="219" t="b">
        <v>0</v>
      </c>
      <c r="G61" s="219"/>
    </row>
    <row r="62">
      <c r="A62" s="218">
        <f t="shared" si="1"/>
        <v>61</v>
      </c>
      <c r="B62" s="218" t="s">
        <v>201</v>
      </c>
      <c r="C62" s="218" t="s">
        <v>5114</v>
      </c>
      <c r="D62" s="218" t="b">
        <v>1</v>
      </c>
      <c r="E62" s="219" t="b">
        <v>0</v>
      </c>
      <c r="F62" s="219" t="b">
        <v>0</v>
      </c>
      <c r="G62" s="219"/>
    </row>
    <row r="63">
      <c r="A63" s="218">
        <f t="shared" si="1"/>
        <v>62</v>
      </c>
      <c r="B63" s="218" t="s">
        <v>201</v>
      </c>
      <c r="C63" s="218" t="s">
        <v>849</v>
      </c>
      <c r="D63" s="218" t="b">
        <v>1</v>
      </c>
      <c r="E63" s="219" t="b">
        <v>0</v>
      </c>
      <c r="F63" s="219" t="b">
        <v>0</v>
      </c>
      <c r="G63" s="219"/>
    </row>
    <row r="64">
      <c r="A64" s="218">
        <f t="shared" si="1"/>
        <v>63</v>
      </c>
      <c r="B64" s="218" t="s">
        <v>201</v>
      </c>
      <c r="C64" s="218" t="s">
        <v>698</v>
      </c>
      <c r="D64" s="218" t="b">
        <v>1</v>
      </c>
      <c r="E64" s="219" t="b">
        <v>0</v>
      </c>
      <c r="F64" s="219" t="b">
        <v>0</v>
      </c>
      <c r="G64" s="219"/>
    </row>
    <row r="65">
      <c r="A65" s="218">
        <f t="shared" si="1"/>
        <v>64</v>
      </c>
      <c r="B65" s="218" t="s">
        <v>201</v>
      </c>
      <c r="C65" s="218" t="s">
        <v>698</v>
      </c>
      <c r="D65" s="218" t="b">
        <v>1</v>
      </c>
      <c r="E65" s="219" t="b">
        <v>0</v>
      </c>
      <c r="F65" s="219" t="b">
        <v>0</v>
      </c>
      <c r="G65" s="219"/>
    </row>
    <row r="66">
      <c r="A66" s="218">
        <f t="shared" si="1"/>
        <v>65</v>
      </c>
      <c r="B66" s="218" t="s">
        <v>201</v>
      </c>
      <c r="C66" s="218" t="s">
        <v>1018</v>
      </c>
      <c r="D66" s="218" t="b">
        <v>1</v>
      </c>
      <c r="E66" s="219" t="b">
        <v>0</v>
      </c>
      <c r="F66" s="219" t="b">
        <v>0</v>
      </c>
      <c r="G66" s="219"/>
    </row>
    <row r="67">
      <c r="A67" s="218">
        <f t="shared" si="1"/>
        <v>66</v>
      </c>
      <c r="B67" s="218" t="s">
        <v>201</v>
      </c>
      <c r="C67" s="218" t="s">
        <v>1018</v>
      </c>
      <c r="D67" s="218" t="b">
        <v>1</v>
      </c>
      <c r="E67" s="219" t="b">
        <v>0</v>
      </c>
      <c r="F67" s="219" t="b">
        <v>0</v>
      </c>
      <c r="G67" s="219"/>
    </row>
    <row r="68">
      <c r="A68" s="218">
        <f t="shared" si="1"/>
        <v>67</v>
      </c>
      <c r="B68" s="218" t="s">
        <v>201</v>
      </c>
      <c r="C68" s="218" t="s">
        <v>1489</v>
      </c>
      <c r="D68" s="218" t="b">
        <v>1</v>
      </c>
      <c r="E68" s="219" t="b">
        <v>0</v>
      </c>
      <c r="F68" s="219" t="b">
        <v>0</v>
      </c>
      <c r="G68" s="219"/>
    </row>
    <row r="69">
      <c r="A69" s="218">
        <f t="shared" si="1"/>
        <v>68</v>
      </c>
      <c r="B69" s="218" t="s">
        <v>201</v>
      </c>
      <c r="C69" s="218" t="s">
        <v>4519</v>
      </c>
      <c r="D69" s="218" t="b">
        <v>1</v>
      </c>
      <c r="E69" s="219" t="b">
        <v>0</v>
      </c>
      <c r="F69" s="219" t="b">
        <v>0</v>
      </c>
      <c r="G69" s="219"/>
    </row>
    <row r="70">
      <c r="A70" s="218">
        <f t="shared" si="1"/>
        <v>69</v>
      </c>
      <c r="B70" s="218" t="s">
        <v>201</v>
      </c>
      <c r="C70" s="218" t="s">
        <v>1504</v>
      </c>
      <c r="D70" s="218" t="b">
        <v>1</v>
      </c>
      <c r="E70" s="219" t="b">
        <v>0</v>
      </c>
      <c r="F70" s="219" t="b">
        <v>0</v>
      </c>
      <c r="G70" s="219"/>
    </row>
    <row r="71">
      <c r="A71" s="218">
        <f t="shared" si="1"/>
        <v>70</v>
      </c>
      <c r="B71" s="218" t="s">
        <v>201</v>
      </c>
      <c r="C71" s="218" t="s">
        <v>3070</v>
      </c>
      <c r="D71" s="218" t="b">
        <v>1</v>
      </c>
      <c r="E71" s="219" t="b">
        <v>0</v>
      </c>
      <c r="F71" s="219" t="b">
        <v>0</v>
      </c>
      <c r="G71" s="219"/>
    </row>
    <row r="72">
      <c r="A72" s="218">
        <f t="shared" si="1"/>
        <v>71</v>
      </c>
      <c r="B72" s="218" t="s">
        <v>201</v>
      </c>
      <c r="C72" s="218" t="s">
        <v>3070</v>
      </c>
      <c r="D72" s="218" t="b">
        <v>1</v>
      </c>
      <c r="E72" s="219" t="b">
        <v>0</v>
      </c>
      <c r="F72" s="219" t="b">
        <v>0</v>
      </c>
      <c r="G72" s="219"/>
    </row>
    <row r="73">
      <c r="A73" s="218">
        <f t="shared" si="1"/>
        <v>72</v>
      </c>
      <c r="B73" s="218" t="s">
        <v>201</v>
      </c>
      <c r="C73" s="218" t="s">
        <v>4163</v>
      </c>
      <c r="D73" s="218" t="b">
        <v>1</v>
      </c>
      <c r="E73" s="219" t="b">
        <v>0</v>
      </c>
      <c r="F73" s="219" t="b">
        <v>0</v>
      </c>
      <c r="G73" s="219"/>
    </row>
    <row r="74">
      <c r="A74" s="218">
        <f t="shared" si="1"/>
        <v>73</v>
      </c>
      <c r="B74" s="218" t="s">
        <v>201</v>
      </c>
      <c r="C74" s="218" t="s">
        <v>4163</v>
      </c>
      <c r="D74" s="218" t="b">
        <v>1</v>
      </c>
      <c r="E74" s="219" t="b">
        <v>0</v>
      </c>
      <c r="F74" s="219" t="b">
        <v>0</v>
      </c>
      <c r="G74" s="219"/>
    </row>
    <row r="75">
      <c r="A75" s="218">
        <f t="shared" si="1"/>
        <v>74</v>
      </c>
      <c r="B75" s="218" t="s">
        <v>201</v>
      </c>
      <c r="C75" s="218" t="s">
        <v>3515</v>
      </c>
      <c r="D75" s="218" t="b">
        <v>1</v>
      </c>
      <c r="E75" s="219" t="b">
        <v>0</v>
      </c>
      <c r="F75" s="219" t="b">
        <v>0</v>
      </c>
      <c r="G75" s="219"/>
    </row>
    <row r="76">
      <c r="A76" s="218">
        <f t="shared" si="1"/>
        <v>75</v>
      </c>
      <c r="B76" s="218" t="s">
        <v>201</v>
      </c>
      <c r="C76" s="218" t="s">
        <v>1159</v>
      </c>
      <c r="D76" s="218" t="b">
        <v>1</v>
      </c>
      <c r="E76" s="219" t="b">
        <v>0</v>
      </c>
      <c r="F76" s="219" t="b">
        <v>0</v>
      </c>
      <c r="G76" s="219"/>
    </row>
    <row r="77">
      <c r="A77" s="218">
        <f t="shared" si="1"/>
        <v>76</v>
      </c>
      <c r="B77" s="218" t="s">
        <v>201</v>
      </c>
      <c r="C77" s="218" t="s">
        <v>1159</v>
      </c>
      <c r="D77" s="218" t="b">
        <v>1</v>
      </c>
      <c r="E77" s="219" t="b">
        <v>0</v>
      </c>
      <c r="F77" s="219" t="b">
        <v>0</v>
      </c>
      <c r="G77" s="219"/>
    </row>
    <row r="78">
      <c r="A78" s="218">
        <f t="shared" si="1"/>
        <v>77</v>
      </c>
      <c r="B78" s="218" t="s">
        <v>201</v>
      </c>
      <c r="C78" s="218" t="s">
        <v>1990</v>
      </c>
      <c r="D78" s="218" t="b">
        <v>1</v>
      </c>
      <c r="E78" s="219" t="b">
        <v>0</v>
      </c>
      <c r="F78" s="219" t="b">
        <v>0</v>
      </c>
      <c r="G78" s="219"/>
    </row>
    <row r="79">
      <c r="A79" s="218">
        <f t="shared" si="1"/>
        <v>78</v>
      </c>
      <c r="B79" s="218" t="s">
        <v>201</v>
      </c>
      <c r="C79" s="218" t="s">
        <v>2010</v>
      </c>
      <c r="D79" s="218" t="b">
        <v>1</v>
      </c>
      <c r="E79" s="219" t="b">
        <v>0</v>
      </c>
      <c r="F79" s="219" t="b">
        <v>0</v>
      </c>
      <c r="G79" s="219"/>
    </row>
    <row r="80">
      <c r="A80" s="218">
        <f t="shared" si="1"/>
        <v>79</v>
      </c>
      <c r="B80" s="218" t="s">
        <v>201</v>
      </c>
      <c r="C80" s="218" t="s">
        <v>5315</v>
      </c>
      <c r="D80" s="218" t="b">
        <v>1</v>
      </c>
      <c r="E80" s="219" t="b">
        <v>0</v>
      </c>
      <c r="F80" s="219" t="b">
        <v>0</v>
      </c>
      <c r="G80" s="219"/>
    </row>
    <row r="81">
      <c r="A81" s="218">
        <f t="shared" si="1"/>
        <v>80</v>
      </c>
      <c r="B81" s="218" t="s">
        <v>201</v>
      </c>
      <c r="C81" s="218" t="s">
        <v>3667</v>
      </c>
      <c r="D81" s="218" t="b">
        <v>1</v>
      </c>
      <c r="E81" s="219" t="b">
        <v>0</v>
      </c>
      <c r="F81" s="219" t="b">
        <v>0</v>
      </c>
      <c r="G81" s="219"/>
    </row>
    <row r="82">
      <c r="A82" s="218">
        <f t="shared" si="1"/>
        <v>81</v>
      </c>
      <c r="B82" s="218" t="s">
        <v>201</v>
      </c>
      <c r="C82" s="218" t="s">
        <v>3667</v>
      </c>
      <c r="D82" s="218" t="b">
        <v>1</v>
      </c>
      <c r="E82" s="219" t="b">
        <v>0</v>
      </c>
      <c r="F82" s="219" t="b">
        <v>0</v>
      </c>
      <c r="G82" s="219"/>
    </row>
    <row r="83">
      <c r="A83" s="218">
        <f t="shared" si="1"/>
        <v>82</v>
      </c>
      <c r="B83" s="218" t="s">
        <v>201</v>
      </c>
      <c r="C83" s="218" t="s">
        <v>1663</v>
      </c>
      <c r="D83" s="218" t="b">
        <v>1</v>
      </c>
      <c r="E83" s="219" t="b">
        <v>0</v>
      </c>
      <c r="F83" s="219" t="b">
        <v>0</v>
      </c>
      <c r="G83" s="219"/>
    </row>
    <row r="84">
      <c r="A84" s="218">
        <f t="shared" si="1"/>
        <v>83</v>
      </c>
      <c r="B84" s="218" t="s">
        <v>201</v>
      </c>
      <c r="C84" s="218" t="s">
        <v>1663</v>
      </c>
      <c r="D84" s="218" t="b">
        <v>1</v>
      </c>
      <c r="E84" s="219" t="b">
        <v>0</v>
      </c>
      <c r="F84" s="219" t="b">
        <v>0</v>
      </c>
      <c r="G84" s="219"/>
    </row>
    <row r="85">
      <c r="A85" s="218">
        <f t="shared" si="1"/>
        <v>84</v>
      </c>
      <c r="B85" s="218" t="s">
        <v>201</v>
      </c>
      <c r="C85" s="218" t="s">
        <v>854</v>
      </c>
      <c r="D85" s="218" t="b">
        <v>1</v>
      </c>
      <c r="E85" s="219" t="b">
        <v>0</v>
      </c>
      <c r="F85" s="219" t="b">
        <v>0</v>
      </c>
      <c r="G85" s="219"/>
    </row>
    <row r="86">
      <c r="A86" s="218">
        <f t="shared" si="1"/>
        <v>85</v>
      </c>
      <c r="B86" s="218" t="s">
        <v>201</v>
      </c>
      <c r="C86" s="218" t="s">
        <v>854</v>
      </c>
      <c r="D86" s="218" t="b">
        <v>1</v>
      </c>
      <c r="E86" s="219" t="b">
        <v>0</v>
      </c>
      <c r="F86" s="219" t="b">
        <v>0</v>
      </c>
      <c r="G86" s="219"/>
    </row>
    <row r="87">
      <c r="A87" s="218">
        <f t="shared" si="1"/>
        <v>86</v>
      </c>
      <c r="B87" s="218" t="s">
        <v>201</v>
      </c>
      <c r="C87" s="218" t="s">
        <v>1641</v>
      </c>
      <c r="D87" s="218" t="b">
        <v>1</v>
      </c>
      <c r="E87" s="219" t="b">
        <v>0</v>
      </c>
      <c r="F87" s="219" t="b">
        <v>0</v>
      </c>
      <c r="G87" s="219"/>
    </row>
    <row r="88">
      <c r="A88" s="218">
        <f t="shared" si="1"/>
        <v>87</v>
      </c>
      <c r="B88" s="218" t="s">
        <v>201</v>
      </c>
      <c r="C88" s="218" t="s">
        <v>1641</v>
      </c>
      <c r="D88" s="218" t="b">
        <v>1</v>
      </c>
      <c r="E88" s="219" t="b">
        <v>0</v>
      </c>
      <c r="F88" s="219" t="b">
        <v>0</v>
      </c>
      <c r="G88" s="219"/>
    </row>
    <row r="89">
      <c r="A89" s="218">
        <f t="shared" si="1"/>
        <v>88</v>
      </c>
      <c r="B89" s="218" t="s">
        <v>201</v>
      </c>
      <c r="C89" s="218" t="s">
        <v>3199</v>
      </c>
      <c r="D89" s="218" t="b">
        <v>1</v>
      </c>
      <c r="E89" s="219" t="b">
        <v>0</v>
      </c>
      <c r="F89" s="219" t="b">
        <v>0</v>
      </c>
      <c r="G89" s="219"/>
    </row>
    <row r="90">
      <c r="A90" s="218">
        <f t="shared" si="1"/>
        <v>89</v>
      </c>
      <c r="B90" s="218" t="s">
        <v>201</v>
      </c>
      <c r="C90" s="218" t="s">
        <v>3199</v>
      </c>
      <c r="D90" s="218" t="b">
        <v>1</v>
      </c>
      <c r="E90" s="219" t="b">
        <v>0</v>
      </c>
      <c r="F90" s="219" t="b">
        <v>0</v>
      </c>
      <c r="G90" s="219"/>
    </row>
    <row r="91">
      <c r="A91" s="218">
        <f t="shared" si="1"/>
        <v>90</v>
      </c>
      <c r="B91" s="218" t="s">
        <v>201</v>
      </c>
      <c r="C91" s="218" t="s">
        <v>2465</v>
      </c>
      <c r="D91" s="218" t="b">
        <v>1</v>
      </c>
      <c r="E91" s="219" t="b">
        <v>0</v>
      </c>
      <c r="F91" s="219" t="b">
        <v>0</v>
      </c>
      <c r="G91" s="219"/>
    </row>
    <row r="92">
      <c r="A92" s="218">
        <f t="shared" si="1"/>
        <v>91</v>
      </c>
      <c r="B92" s="218" t="s">
        <v>201</v>
      </c>
      <c r="C92" s="218" t="s">
        <v>2465</v>
      </c>
      <c r="D92" s="218" t="b">
        <v>1</v>
      </c>
      <c r="E92" s="219" t="b">
        <v>0</v>
      </c>
      <c r="F92" s="219" t="b">
        <v>0</v>
      </c>
      <c r="G92" s="219"/>
    </row>
    <row r="93">
      <c r="A93" s="218">
        <f t="shared" si="1"/>
        <v>92</v>
      </c>
      <c r="B93" s="218" t="s">
        <v>201</v>
      </c>
      <c r="C93" s="218" t="s">
        <v>1524</v>
      </c>
      <c r="D93" s="218" t="b">
        <v>1</v>
      </c>
      <c r="E93" s="219" t="b">
        <v>0</v>
      </c>
      <c r="F93" s="219" t="b">
        <v>0</v>
      </c>
      <c r="G93" s="219"/>
    </row>
    <row r="94">
      <c r="A94" s="218">
        <f t="shared" si="1"/>
        <v>93</v>
      </c>
      <c r="B94" s="218" t="s">
        <v>201</v>
      </c>
      <c r="C94" s="218" t="s">
        <v>1524</v>
      </c>
      <c r="D94" s="218" t="b">
        <v>1</v>
      </c>
      <c r="E94" s="219" t="b">
        <v>0</v>
      </c>
      <c r="F94" s="219" t="b">
        <v>0</v>
      </c>
      <c r="G94" s="219"/>
    </row>
    <row r="95">
      <c r="A95" s="218">
        <f t="shared" si="1"/>
        <v>94</v>
      </c>
      <c r="B95" s="218" t="s">
        <v>201</v>
      </c>
      <c r="C95" s="218" t="s">
        <v>3291</v>
      </c>
      <c r="D95" s="218" t="b">
        <v>1</v>
      </c>
      <c r="E95" s="219" t="b">
        <v>0</v>
      </c>
      <c r="F95" s="219" t="b">
        <v>0</v>
      </c>
      <c r="G95" s="219"/>
    </row>
    <row r="96">
      <c r="A96" s="218">
        <f t="shared" si="1"/>
        <v>95</v>
      </c>
      <c r="B96" s="218" t="s">
        <v>201</v>
      </c>
      <c r="C96" s="218" t="s">
        <v>3291</v>
      </c>
      <c r="D96" s="218" t="b">
        <v>1</v>
      </c>
      <c r="E96" s="219" t="b">
        <v>0</v>
      </c>
      <c r="F96" s="219" t="b">
        <v>0</v>
      </c>
      <c r="G96" s="219"/>
    </row>
    <row r="97">
      <c r="A97" s="218">
        <f t="shared" si="1"/>
        <v>96</v>
      </c>
      <c r="B97" s="218" t="s">
        <v>201</v>
      </c>
      <c r="C97" s="218" t="s">
        <v>1606</v>
      </c>
      <c r="D97" s="218" t="b">
        <v>1</v>
      </c>
      <c r="E97" s="219" t="b">
        <v>0</v>
      </c>
      <c r="F97" s="219" t="b">
        <v>0</v>
      </c>
      <c r="G97" s="219"/>
    </row>
    <row r="98">
      <c r="A98" s="218">
        <f t="shared" si="1"/>
        <v>97</v>
      </c>
      <c r="B98" s="218" t="s">
        <v>201</v>
      </c>
      <c r="C98" s="218" t="s">
        <v>640</v>
      </c>
      <c r="D98" s="218" t="b">
        <v>1</v>
      </c>
      <c r="E98" s="219" t="b">
        <v>0</v>
      </c>
      <c r="F98" s="219" t="b">
        <v>0</v>
      </c>
      <c r="G98" s="219"/>
    </row>
    <row r="99">
      <c r="A99" s="218">
        <f t="shared" si="1"/>
        <v>98</v>
      </c>
      <c r="B99" s="218" t="s">
        <v>201</v>
      </c>
      <c r="C99" s="218" t="s">
        <v>640</v>
      </c>
      <c r="D99" s="218" t="b">
        <v>1</v>
      </c>
      <c r="E99" s="219" t="b">
        <v>0</v>
      </c>
      <c r="F99" s="219" t="b">
        <v>0</v>
      </c>
      <c r="G99" s="219"/>
    </row>
    <row r="100">
      <c r="A100" s="218">
        <f t="shared" si="1"/>
        <v>99</v>
      </c>
      <c r="B100" s="218" t="s">
        <v>201</v>
      </c>
      <c r="C100" s="218" t="s">
        <v>863</v>
      </c>
      <c r="D100" s="218" t="b">
        <v>1</v>
      </c>
      <c r="E100" s="219" t="b">
        <v>0</v>
      </c>
      <c r="F100" s="219" t="b">
        <v>0</v>
      </c>
      <c r="G100" s="219"/>
    </row>
    <row r="101">
      <c r="A101" s="218">
        <f t="shared" si="1"/>
        <v>100</v>
      </c>
      <c r="B101" s="218" t="s">
        <v>201</v>
      </c>
      <c r="C101" s="218" t="s">
        <v>863</v>
      </c>
      <c r="D101" s="218" t="b">
        <v>1</v>
      </c>
      <c r="E101" s="219" t="b">
        <v>0</v>
      </c>
      <c r="F101" s="219" t="b">
        <v>0</v>
      </c>
      <c r="G101" s="219"/>
    </row>
    <row r="102">
      <c r="A102" s="218">
        <f t="shared" si="1"/>
        <v>101</v>
      </c>
      <c r="B102" s="218" t="s">
        <v>201</v>
      </c>
      <c r="C102" s="218" t="s">
        <v>863</v>
      </c>
      <c r="D102" s="218" t="b">
        <v>1</v>
      </c>
      <c r="E102" s="219" t="b">
        <v>0</v>
      </c>
      <c r="F102" s="219" t="b">
        <v>0</v>
      </c>
      <c r="G102" s="219"/>
    </row>
    <row r="103">
      <c r="A103" s="218">
        <f t="shared" si="1"/>
        <v>102</v>
      </c>
      <c r="B103" s="218" t="s">
        <v>201</v>
      </c>
      <c r="C103" s="218" t="s">
        <v>2994</v>
      </c>
      <c r="D103" s="218" t="b">
        <v>1</v>
      </c>
      <c r="E103" s="219" t="b">
        <v>0</v>
      </c>
      <c r="F103" s="219" t="b">
        <v>0</v>
      </c>
      <c r="G103" s="219"/>
    </row>
    <row r="104">
      <c r="A104" s="218">
        <f t="shared" si="1"/>
        <v>103</v>
      </c>
      <c r="B104" s="218" t="s">
        <v>201</v>
      </c>
      <c r="C104" s="218" t="s">
        <v>2994</v>
      </c>
      <c r="D104" s="218" t="b">
        <v>1</v>
      </c>
      <c r="E104" s="219" t="b">
        <v>0</v>
      </c>
      <c r="F104" s="219" t="b">
        <v>0</v>
      </c>
      <c r="G104" s="219"/>
    </row>
    <row r="105">
      <c r="A105" s="218">
        <f t="shared" si="1"/>
        <v>104</v>
      </c>
      <c r="B105" s="218" t="s">
        <v>201</v>
      </c>
      <c r="C105" s="218" t="s">
        <v>2994</v>
      </c>
      <c r="D105" s="218" t="b">
        <v>1</v>
      </c>
      <c r="E105" s="219" t="b">
        <v>0</v>
      </c>
      <c r="F105" s="219" t="b">
        <v>0</v>
      </c>
      <c r="G105" s="219"/>
    </row>
    <row r="106">
      <c r="A106" s="218">
        <f t="shared" si="1"/>
        <v>105</v>
      </c>
      <c r="B106" s="218" t="s">
        <v>201</v>
      </c>
      <c r="C106" s="218" t="s">
        <v>1733</v>
      </c>
      <c r="D106" s="218" t="b">
        <v>1</v>
      </c>
      <c r="E106" s="219" t="b">
        <v>0</v>
      </c>
      <c r="F106" s="219" t="b">
        <v>0</v>
      </c>
      <c r="G106" s="219"/>
    </row>
    <row r="107">
      <c r="A107" s="218">
        <f t="shared" si="1"/>
        <v>106</v>
      </c>
      <c r="B107" s="218" t="s">
        <v>201</v>
      </c>
      <c r="C107" s="218" t="s">
        <v>3268</v>
      </c>
      <c r="D107" s="218" t="b">
        <v>1</v>
      </c>
      <c r="E107" s="219" t="b">
        <v>0</v>
      </c>
      <c r="F107" s="219" t="b">
        <v>0</v>
      </c>
      <c r="G107" s="219"/>
    </row>
    <row r="108">
      <c r="A108" s="218">
        <f t="shared" si="1"/>
        <v>107</v>
      </c>
      <c r="B108" s="218" t="s">
        <v>201</v>
      </c>
      <c r="C108" s="218" t="s">
        <v>1107</v>
      </c>
      <c r="D108" s="218" t="b">
        <v>1</v>
      </c>
      <c r="E108" s="219" t="b">
        <v>0</v>
      </c>
      <c r="F108" s="219" t="b">
        <v>0</v>
      </c>
      <c r="G108" s="219"/>
    </row>
    <row r="109">
      <c r="A109" s="218">
        <f t="shared" si="1"/>
        <v>108</v>
      </c>
      <c r="B109" s="218" t="s">
        <v>201</v>
      </c>
      <c r="C109" s="218" t="s">
        <v>1107</v>
      </c>
      <c r="D109" s="218" t="b">
        <v>1</v>
      </c>
      <c r="E109" s="219" t="b">
        <v>0</v>
      </c>
      <c r="F109" s="219" t="b">
        <v>0</v>
      </c>
      <c r="G109" s="219"/>
    </row>
    <row r="110">
      <c r="A110" s="218">
        <f t="shared" si="1"/>
        <v>109</v>
      </c>
      <c r="B110" s="218" t="s">
        <v>201</v>
      </c>
      <c r="C110" s="218" t="s">
        <v>1107</v>
      </c>
      <c r="D110" s="218" t="b">
        <v>1</v>
      </c>
      <c r="E110" s="219" t="b">
        <v>0</v>
      </c>
      <c r="F110" s="219" t="b">
        <v>0</v>
      </c>
      <c r="G110" s="219"/>
    </row>
    <row r="111">
      <c r="A111" s="218">
        <f t="shared" si="1"/>
        <v>110</v>
      </c>
      <c r="B111" s="218" t="s">
        <v>201</v>
      </c>
      <c r="C111" s="218" t="s">
        <v>1813</v>
      </c>
      <c r="D111" s="218" t="b">
        <v>1</v>
      </c>
      <c r="E111" s="219" t="b">
        <v>0</v>
      </c>
      <c r="F111" s="219" t="b">
        <v>0</v>
      </c>
      <c r="G111" s="219"/>
    </row>
    <row r="112">
      <c r="A112" s="218">
        <f t="shared" si="1"/>
        <v>111</v>
      </c>
      <c r="B112" s="218" t="s">
        <v>201</v>
      </c>
      <c r="C112" s="218" t="s">
        <v>1813</v>
      </c>
      <c r="D112" s="218" t="b">
        <v>1</v>
      </c>
      <c r="E112" s="219" t="b">
        <v>0</v>
      </c>
      <c r="F112" s="219" t="b">
        <v>0</v>
      </c>
      <c r="G112" s="219"/>
    </row>
    <row r="113">
      <c r="A113" s="218">
        <f t="shared" si="1"/>
        <v>112</v>
      </c>
      <c r="B113" s="218" t="s">
        <v>201</v>
      </c>
      <c r="C113" s="218" t="s">
        <v>1813</v>
      </c>
      <c r="D113" s="218" t="b">
        <v>1</v>
      </c>
      <c r="E113" s="219" t="b">
        <v>0</v>
      </c>
      <c r="F113" s="219" t="b">
        <v>0</v>
      </c>
      <c r="G113" s="219"/>
    </row>
    <row r="114">
      <c r="A114" s="218">
        <f t="shared" si="1"/>
        <v>113</v>
      </c>
      <c r="B114" s="218" t="s">
        <v>201</v>
      </c>
      <c r="C114" s="218" t="s">
        <v>1813</v>
      </c>
      <c r="D114" s="218" t="b">
        <v>1</v>
      </c>
      <c r="E114" s="219" t="b">
        <v>0</v>
      </c>
      <c r="F114" s="219" t="b">
        <v>0</v>
      </c>
      <c r="G114" s="219"/>
    </row>
    <row r="115">
      <c r="A115" s="218">
        <f t="shared" si="1"/>
        <v>114</v>
      </c>
      <c r="B115" s="218" t="s">
        <v>201</v>
      </c>
      <c r="C115" s="218" t="s">
        <v>1581</v>
      </c>
      <c r="D115" s="218" t="b">
        <v>1</v>
      </c>
      <c r="E115" s="219" t="b">
        <v>0</v>
      </c>
      <c r="F115" s="219" t="b">
        <v>0</v>
      </c>
      <c r="G115" s="219"/>
    </row>
    <row r="116">
      <c r="A116" s="218">
        <f t="shared" si="1"/>
        <v>115</v>
      </c>
      <c r="B116" s="218" t="s">
        <v>201</v>
      </c>
      <c r="C116" s="218" t="s">
        <v>1581</v>
      </c>
      <c r="D116" s="218" t="b">
        <v>1</v>
      </c>
      <c r="E116" s="219" t="b">
        <v>0</v>
      </c>
      <c r="F116" s="219" t="b">
        <v>0</v>
      </c>
      <c r="G116" s="219"/>
    </row>
    <row r="117">
      <c r="A117" s="218">
        <f t="shared" si="1"/>
        <v>116</v>
      </c>
      <c r="B117" s="218" t="s">
        <v>201</v>
      </c>
      <c r="C117" s="218" t="s">
        <v>3628</v>
      </c>
      <c r="D117" s="218" t="b">
        <v>1</v>
      </c>
      <c r="E117" s="219" t="b">
        <v>0</v>
      </c>
      <c r="F117" s="219" t="b">
        <v>0</v>
      </c>
      <c r="G117" s="219"/>
    </row>
    <row r="118">
      <c r="A118" s="218">
        <f t="shared" si="1"/>
        <v>117</v>
      </c>
      <c r="B118" s="218" t="s">
        <v>201</v>
      </c>
      <c r="C118" s="218" t="s">
        <v>3628</v>
      </c>
      <c r="D118" s="218" t="b">
        <v>1</v>
      </c>
      <c r="E118" s="219" t="b">
        <v>0</v>
      </c>
      <c r="F118" s="219" t="b">
        <v>0</v>
      </c>
      <c r="G118" s="219"/>
    </row>
    <row r="119">
      <c r="A119" s="218">
        <f t="shared" si="1"/>
        <v>118</v>
      </c>
      <c r="B119" s="218" t="s">
        <v>201</v>
      </c>
      <c r="C119" s="218" t="s">
        <v>2522</v>
      </c>
      <c r="D119" s="218" t="b">
        <v>1</v>
      </c>
      <c r="E119" s="219" t="b">
        <v>0</v>
      </c>
      <c r="F119" s="219" t="b">
        <v>0</v>
      </c>
      <c r="G119" s="219"/>
    </row>
    <row r="120">
      <c r="A120" s="218">
        <f t="shared" si="1"/>
        <v>119</v>
      </c>
      <c r="B120" s="218" t="s">
        <v>201</v>
      </c>
      <c r="C120" s="218" t="s">
        <v>2943</v>
      </c>
      <c r="D120" s="218" t="b">
        <v>1</v>
      </c>
      <c r="E120" s="219" t="b">
        <v>0</v>
      </c>
      <c r="F120" s="219" t="b">
        <v>0</v>
      </c>
      <c r="G120" s="219"/>
    </row>
    <row r="121">
      <c r="A121" s="218">
        <f t="shared" si="1"/>
        <v>120</v>
      </c>
      <c r="B121" s="218" t="s">
        <v>201</v>
      </c>
      <c r="C121" s="218" t="s">
        <v>1373</v>
      </c>
      <c r="D121" s="218" t="b">
        <v>1</v>
      </c>
      <c r="E121" s="219" t="b">
        <v>0</v>
      </c>
      <c r="F121" s="219" t="b">
        <v>0</v>
      </c>
      <c r="G121" s="219"/>
    </row>
    <row r="122">
      <c r="A122" s="218">
        <f t="shared" si="1"/>
        <v>121</v>
      </c>
      <c r="B122" s="218" t="s">
        <v>201</v>
      </c>
      <c r="C122" s="218" t="s">
        <v>1373</v>
      </c>
      <c r="D122" s="218" t="b">
        <v>1</v>
      </c>
      <c r="E122" s="219" t="b">
        <v>0</v>
      </c>
      <c r="F122" s="219" t="b">
        <v>0</v>
      </c>
      <c r="G122" s="219"/>
    </row>
    <row r="123">
      <c r="A123" s="218">
        <f t="shared" si="1"/>
        <v>122</v>
      </c>
      <c r="B123" s="218" t="s">
        <v>201</v>
      </c>
      <c r="C123" s="218" t="s">
        <v>1373</v>
      </c>
      <c r="D123" s="218" t="b">
        <v>1</v>
      </c>
      <c r="E123" s="219" t="b">
        <v>0</v>
      </c>
      <c r="F123" s="219" t="b">
        <v>0</v>
      </c>
      <c r="G123" s="219"/>
    </row>
    <row r="124">
      <c r="A124" s="218">
        <f t="shared" si="1"/>
        <v>123</v>
      </c>
      <c r="B124" s="218" t="s">
        <v>201</v>
      </c>
      <c r="C124" s="218" t="s">
        <v>6514</v>
      </c>
      <c r="D124" s="218" t="b">
        <v>1</v>
      </c>
      <c r="E124" s="219" t="b">
        <v>0</v>
      </c>
      <c r="F124" s="219" t="b">
        <v>0</v>
      </c>
      <c r="G124" s="219"/>
    </row>
    <row r="125">
      <c r="A125" s="218">
        <f t="shared" si="1"/>
        <v>124</v>
      </c>
      <c r="B125" s="218" t="s">
        <v>201</v>
      </c>
      <c r="C125" s="218" t="s">
        <v>1476</v>
      </c>
      <c r="D125" s="218" t="b">
        <v>1</v>
      </c>
      <c r="E125" s="219" t="b">
        <v>0</v>
      </c>
      <c r="F125" s="219" t="b">
        <v>0</v>
      </c>
      <c r="G125" s="219"/>
    </row>
    <row r="126">
      <c r="A126" s="218">
        <f t="shared" si="1"/>
        <v>125</v>
      </c>
      <c r="B126" s="218" t="s">
        <v>201</v>
      </c>
      <c r="C126" s="218" t="s">
        <v>1476</v>
      </c>
      <c r="D126" s="218" t="b">
        <v>1</v>
      </c>
      <c r="E126" s="219" t="b">
        <v>0</v>
      </c>
      <c r="F126" s="219" t="b">
        <v>0</v>
      </c>
      <c r="G126" s="219"/>
    </row>
    <row r="127">
      <c r="A127" s="218">
        <f t="shared" si="1"/>
        <v>126</v>
      </c>
      <c r="B127" s="218" t="s">
        <v>201</v>
      </c>
      <c r="C127" s="218" t="s">
        <v>1476</v>
      </c>
      <c r="D127" s="218" t="b">
        <v>1</v>
      </c>
      <c r="E127" s="219" t="b">
        <v>0</v>
      </c>
      <c r="F127" s="219" t="b">
        <v>0</v>
      </c>
      <c r="G127" s="219"/>
    </row>
    <row r="128">
      <c r="A128" s="218">
        <f t="shared" si="1"/>
        <v>127</v>
      </c>
      <c r="B128" s="218" t="s">
        <v>201</v>
      </c>
      <c r="C128" s="218" t="s">
        <v>1037</v>
      </c>
      <c r="D128" s="218" t="b">
        <v>1</v>
      </c>
      <c r="E128" s="219" t="b">
        <v>0</v>
      </c>
      <c r="F128" s="219" t="b">
        <v>0</v>
      </c>
      <c r="G128" s="219"/>
    </row>
    <row r="129">
      <c r="A129" s="218">
        <f t="shared" si="1"/>
        <v>128</v>
      </c>
      <c r="B129" s="218" t="s">
        <v>201</v>
      </c>
      <c r="C129" s="218" t="s">
        <v>1037</v>
      </c>
      <c r="D129" s="218" t="b">
        <v>1</v>
      </c>
      <c r="E129" s="219" t="b">
        <v>0</v>
      </c>
      <c r="F129" s="219" t="b">
        <v>0</v>
      </c>
      <c r="G129" s="219"/>
    </row>
    <row r="130">
      <c r="A130" s="218">
        <f t="shared" si="1"/>
        <v>129</v>
      </c>
      <c r="B130" s="218" t="s">
        <v>201</v>
      </c>
      <c r="C130" s="218" t="s">
        <v>1037</v>
      </c>
      <c r="D130" s="218" t="b">
        <v>1</v>
      </c>
      <c r="E130" s="219" t="b">
        <v>0</v>
      </c>
      <c r="F130" s="219" t="b">
        <v>0</v>
      </c>
      <c r="G130" s="219"/>
    </row>
    <row r="131">
      <c r="A131" s="218">
        <f t="shared" si="1"/>
        <v>130</v>
      </c>
      <c r="B131" s="218" t="s">
        <v>201</v>
      </c>
      <c r="C131" s="218" t="s">
        <v>6515</v>
      </c>
      <c r="D131" s="218" t="b">
        <v>1</v>
      </c>
      <c r="E131" s="219" t="b">
        <v>0</v>
      </c>
      <c r="F131" s="219" t="b">
        <v>0</v>
      </c>
      <c r="G131" s="219"/>
    </row>
    <row r="132">
      <c r="A132" s="218">
        <f t="shared" si="1"/>
        <v>131</v>
      </c>
      <c r="B132" s="218" t="s">
        <v>201</v>
      </c>
      <c r="C132" s="218" t="s">
        <v>3927</v>
      </c>
      <c r="D132" s="218" t="b">
        <v>1</v>
      </c>
      <c r="E132" s="219" t="b">
        <v>0</v>
      </c>
      <c r="F132" s="219" t="b">
        <v>0</v>
      </c>
      <c r="G132" s="219"/>
    </row>
    <row r="133">
      <c r="A133" s="218">
        <f t="shared" si="1"/>
        <v>132</v>
      </c>
      <c r="B133" s="218" t="s">
        <v>201</v>
      </c>
      <c r="C133" s="218" t="s">
        <v>1178</v>
      </c>
      <c r="D133" s="218" t="b">
        <v>1</v>
      </c>
      <c r="E133" s="219" t="b">
        <v>0</v>
      </c>
      <c r="F133" s="219" t="b">
        <v>0</v>
      </c>
      <c r="G133" s="219"/>
    </row>
    <row r="134">
      <c r="A134" s="218">
        <f t="shared" si="1"/>
        <v>133</v>
      </c>
      <c r="B134" s="218" t="s">
        <v>201</v>
      </c>
      <c r="C134" s="218" t="s">
        <v>1178</v>
      </c>
      <c r="D134" s="218" t="b">
        <v>1</v>
      </c>
      <c r="E134" s="219" t="b">
        <v>0</v>
      </c>
      <c r="F134" s="219" t="b">
        <v>0</v>
      </c>
      <c r="G134" s="219"/>
    </row>
    <row r="135">
      <c r="A135" s="218">
        <f t="shared" si="1"/>
        <v>134</v>
      </c>
      <c r="B135" s="218" t="s">
        <v>201</v>
      </c>
      <c r="C135" s="218" t="s">
        <v>1178</v>
      </c>
      <c r="D135" s="218" t="b">
        <v>1</v>
      </c>
      <c r="E135" s="219" t="b">
        <v>0</v>
      </c>
      <c r="F135" s="219" t="b">
        <v>0</v>
      </c>
      <c r="G135" s="219"/>
    </row>
    <row r="136">
      <c r="A136" s="218">
        <f t="shared" si="1"/>
        <v>135</v>
      </c>
      <c r="B136" s="218" t="s">
        <v>201</v>
      </c>
      <c r="C136" s="218" t="s">
        <v>3755</v>
      </c>
      <c r="D136" s="218" t="b">
        <v>1</v>
      </c>
      <c r="E136" s="219" t="b">
        <v>0</v>
      </c>
      <c r="F136" s="219" t="b">
        <v>0</v>
      </c>
      <c r="G136" s="219"/>
    </row>
    <row r="137">
      <c r="A137" s="218">
        <f t="shared" si="1"/>
        <v>136</v>
      </c>
      <c r="B137" s="218" t="s">
        <v>201</v>
      </c>
      <c r="C137" s="218" t="s">
        <v>3755</v>
      </c>
      <c r="D137" s="218" t="b">
        <v>1</v>
      </c>
      <c r="E137" s="219" t="b">
        <v>0</v>
      </c>
      <c r="F137" s="219" t="b">
        <v>0</v>
      </c>
      <c r="G137" s="219"/>
    </row>
    <row r="138">
      <c r="A138" s="218">
        <f t="shared" si="1"/>
        <v>137</v>
      </c>
      <c r="B138" s="218" t="s">
        <v>201</v>
      </c>
      <c r="C138" s="218" t="s">
        <v>3467</v>
      </c>
      <c r="D138" s="218" t="b">
        <v>1</v>
      </c>
      <c r="E138" s="219" t="b">
        <v>0</v>
      </c>
      <c r="F138" s="219" t="b">
        <v>0</v>
      </c>
      <c r="G138" s="219"/>
    </row>
    <row r="139">
      <c r="A139" s="218">
        <f t="shared" si="1"/>
        <v>138</v>
      </c>
      <c r="B139" s="218" t="s">
        <v>201</v>
      </c>
      <c r="C139" s="218" t="s">
        <v>3467</v>
      </c>
      <c r="D139" s="218" t="b">
        <v>1</v>
      </c>
      <c r="E139" s="219" t="b">
        <v>0</v>
      </c>
      <c r="F139" s="219" t="b">
        <v>0</v>
      </c>
      <c r="G139" s="219"/>
    </row>
    <row r="140">
      <c r="A140" s="218">
        <f t="shared" si="1"/>
        <v>139</v>
      </c>
      <c r="B140" s="218" t="s">
        <v>201</v>
      </c>
      <c r="C140" s="218" t="s">
        <v>554</v>
      </c>
      <c r="D140" s="218" t="b">
        <v>1</v>
      </c>
      <c r="E140" s="219" t="b">
        <v>0</v>
      </c>
      <c r="F140" s="219" t="b">
        <v>0</v>
      </c>
      <c r="G140" s="219"/>
    </row>
    <row r="141">
      <c r="A141" s="218">
        <f t="shared" si="1"/>
        <v>140</v>
      </c>
      <c r="B141" s="218" t="s">
        <v>201</v>
      </c>
      <c r="C141" s="218" t="s">
        <v>1269</v>
      </c>
      <c r="D141" s="218" t="b">
        <v>1</v>
      </c>
      <c r="E141" s="219" t="b">
        <v>0</v>
      </c>
      <c r="F141" s="219" t="b">
        <v>0</v>
      </c>
      <c r="G141" s="219"/>
    </row>
    <row r="142">
      <c r="A142" s="218">
        <f t="shared" si="1"/>
        <v>141</v>
      </c>
      <c r="B142" s="218" t="s">
        <v>201</v>
      </c>
      <c r="C142" s="218" t="s">
        <v>1269</v>
      </c>
      <c r="D142" s="218" t="b">
        <v>1</v>
      </c>
      <c r="E142" s="219" t="b">
        <v>0</v>
      </c>
      <c r="F142" s="219" t="b">
        <v>0</v>
      </c>
      <c r="G142" s="219"/>
    </row>
    <row r="143">
      <c r="A143" s="218">
        <f t="shared" si="1"/>
        <v>142</v>
      </c>
      <c r="B143" s="218" t="s">
        <v>201</v>
      </c>
      <c r="C143" s="218" t="s">
        <v>1269</v>
      </c>
      <c r="D143" s="218" t="b">
        <v>1</v>
      </c>
      <c r="E143" s="219" t="b">
        <v>0</v>
      </c>
      <c r="F143" s="219" t="b">
        <v>0</v>
      </c>
      <c r="G143" s="219"/>
    </row>
    <row r="144">
      <c r="A144" s="218">
        <f t="shared" si="1"/>
        <v>143</v>
      </c>
      <c r="B144" s="218" t="s">
        <v>201</v>
      </c>
      <c r="C144" s="218" t="s">
        <v>559</v>
      </c>
      <c r="D144" s="218" t="b">
        <v>1</v>
      </c>
      <c r="E144" s="219" t="b">
        <v>0</v>
      </c>
      <c r="F144" s="219" t="b">
        <v>0</v>
      </c>
      <c r="G144" s="219"/>
    </row>
    <row r="145">
      <c r="A145" s="218">
        <f t="shared" si="1"/>
        <v>144</v>
      </c>
      <c r="B145" s="218" t="s">
        <v>201</v>
      </c>
      <c r="C145" s="218" t="s">
        <v>441</v>
      </c>
      <c r="D145" s="218" t="b">
        <v>1</v>
      </c>
      <c r="E145" s="219" t="b">
        <v>0</v>
      </c>
      <c r="F145" s="219" t="b">
        <v>0</v>
      </c>
      <c r="G145" s="219"/>
    </row>
    <row r="146">
      <c r="A146" s="218">
        <f t="shared" si="1"/>
        <v>145</v>
      </c>
      <c r="B146" s="218" t="s">
        <v>201</v>
      </c>
      <c r="C146" s="218" t="s">
        <v>441</v>
      </c>
      <c r="D146" s="218" t="b">
        <v>1</v>
      </c>
      <c r="E146" s="219" t="b">
        <v>0</v>
      </c>
      <c r="F146" s="219" t="b">
        <v>0</v>
      </c>
      <c r="G146" s="219"/>
    </row>
    <row r="147">
      <c r="A147" s="218">
        <f t="shared" si="1"/>
        <v>146</v>
      </c>
      <c r="B147" s="218" t="s">
        <v>201</v>
      </c>
      <c r="C147" s="218" t="s">
        <v>621</v>
      </c>
      <c r="D147" s="218" t="b">
        <v>1</v>
      </c>
      <c r="E147" s="219" t="b">
        <v>0</v>
      </c>
      <c r="F147" s="219" t="b">
        <v>0</v>
      </c>
      <c r="G147" s="219"/>
    </row>
    <row r="148">
      <c r="A148" s="218">
        <f t="shared" si="1"/>
        <v>147</v>
      </c>
      <c r="B148" s="218" t="s">
        <v>201</v>
      </c>
      <c r="C148" s="218" t="s">
        <v>4727</v>
      </c>
      <c r="D148" s="218" t="b">
        <v>1</v>
      </c>
      <c r="E148" s="219" t="b">
        <v>0</v>
      </c>
      <c r="F148" s="219" t="b">
        <v>0</v>
      </c>
      <c r="G148" s="219"/>
    </row>
    <row r="149">
      <c r="A149" s="218">
        <f t="shared" si="1"/>
        <v>148</v>
      </c>
      <c r="B149" s="218" t="s">
        <v>201</v>
      </c>
      <c r="C149" s="218" t="s">
        <v>616</v>
      </c>
      <c r="D149" s="218" t="b">
        <v>1</v>
      </c>
      <c r="E149" s="219" t="b">
        <v>0</v>
      </c>
      <c r="F149" s="219" t="b">
        <v>0</v>
      </c>
      <c r="G149" s="219"/>
    </row>
    <row r="150">
      <c r="A150" s="218">
        <f t="shared" si="1"/>
        <v>149</v>
      </c>
      <c r="B150" s="218" t="s">
        <v>201</v>
      </c>
      <c r="C150" s="218" t="s">
        <v>1762</v>
      </c>
      <c r="D150" s="218" t="b">
        <v>1</v>
      </c>
      <c r="E150" s="219" t="b">
        <v>0</v>
      </c>
      <c r="F150" s="219" t="b">
        <v>0</v>
      </c>
      <c r="G150" s="219"/>
    </row>
    <row r="151">
      <c r="A151" s="218">
        <f t="shared" si="1"/>
        <v>150</v>
      </c>
      <c r="B151" s="218" t="s">
        <v>201</v>
      </c>
      <c r="C151" s="218" t="s">
        <v>607</v>
      </c>
      <c r="D151" s="218" t="b">
        <v>1</v>
      </c>
      <c r="E151" s="219" t="b">
        <v>0</v>
      </c>
      <c r="F151" s="219" t="b">
        <v>0</v>
      </c>
      <c r="G151" s="219"/>
    </row>
    <row r="152">
      <c r="A152" s="218">
        <f t="shared" si="1"/>
        <v>151</v>
      </c>
      <c r="B152" s="218" t="s">
        <v>201</v>
      </c>
      <c r="C152" s="218" t="s">
        <v>1758</v>
      </c>
      <c r="D152" s="218" t="b">
        <v>1</v>
      </c>
      <c r="E152" s="219" t="b">
        <v>0</v>
      </c>
      <c r="F152" s="219" t="b">
        <v>0</v>
      </c>
      <c r="G152" s="219"/>
    </row>
    <row r="153">
      <c r="A153" s="218">
        <f t="shared" si="1"/>
        <v>152</v>
      </c>
      <c r="B153" s="218" t="s">
        <v>201</v>
      </c>
      <c r="C153" s="218" t="s">
        <v>1758</v>
      </c>
      <c r="D153" s="218" t="b">
        <v>1</v>
      </c>
      <c r="E153" s="219" t="b">
        <v>0</v>
      </c>
      <c r="F153" s="219" t="b">
        <v>0</v>
      </c>
      <c r="G153" s="219"/>
    </row>
    <row r="154">
      <c r="A154" s="218">
        <f t="shared" si="1"/>
        <v>153</v>
      </c>
      <c r="B154" s="218" t="s">
        <v>201</v>
      </c>
      <c r="C154" s="218" t="s">
        <v>602</v>
      </c>
      <c r="D154" s="218" t="b">
        <v>1</v>
      </c>
      <c r="E154" s="219" t="b">
        <v>0</v>
      </c>
      <c r="F154" s="219" t="b">
        <v>0</v>
      </c>
      <c r="G154" s="219"/>
    </row>
    <row r="155">
      <c r="A155" s="218">
        <f t="shared" si="1"/>
        <v>154</v>
      </c>
      <c r="B155" s="218" t="s">
        <v>201</v>
      </c>
      <c r="C155" s="218" t="s">
        <v>2157</v>
      </c>
      <c r="D155" s="218" t="b">
        <v>1</v>
      </c>
      <c r="E155" s="219" t="b">
        <v>0</v>
      </c>
      <c r="F155" s="219" t="b">
        <v>0</v>
      </c>
      <c r="G155" s="219"/>
    </row>
    <row r="156">
      <c r="A156" s="218">
        <f t="shared" si="1"/>
        <v>155</v>
      </c>
      <c r="B156" s="218" t="s">
        <v>201</v>
      </c>
      <c r="C156" s="218" t="s">
        <v>2157</v>
      </c>
      <c r="D156" s="218" t="b">
        <v>1</v>
      </c>
      <c r="E156" s="219" t="b">
        <v>0</v>
      </c>
      <c r="F156" s="219" t="b">
        <v>0</v>
      </c>
      <c r="G156" s="219"/>
    </row>
    <row r="157">
      <c r="A157" s="218">
        <f t="shared" si="1"/>
        <v>156</v>
      </c>
      <c r="B157" s="218" t="s">
        <v>201</v>
      </c>
      <c r="C157" s="218" t="s">
        <v>2157</v>
      </c>
      <c r="D157" s="218" t="b">
        <v>1</v>
      </c>
      <c r="E157" s="219" t="b">
        <v>0</v>
      </c>
      <c r="F157" s="219" t="b">
        <v>0</v>
      </c>
      <c r="G157" s="219"/>
    </row>
    <row r="158">
      <c r="A158" s="218">
        <f t="shared" si="1"/>
        <v>157</v>
      </c>
      <c r="B158" s="218" t="s">
        <v>201</v>
      </c>
      <c r="C158" s="218" t="s">
        <v>2157</v>
      </c>
      <c r="D158" s="218" t="b">
        <v>1</v>
      </c>
      <c r="E158" s="219" t="b">
        <v>0</v>
      </c>
      <c r="F158" s="219" t="b">
        <v>0</v>
      </c>
      <c r="G158" s="219"/>
    </row>
    <row r="159">
      <c r="A159" s="218">
        <f t="shared" si="1"/>
        <v>158</v>
      </c>
      <c r="B159" s="218" t="s">
        <v>201</v>
      </c>
      <c r="C159" s="218" t="s">
        <v>597</v>
      </c>
      <c r="D159" s="218" t="b">
        <v>1</v>
      </c>
      <c r="E159" s="219" t="b">
        <v>0</v>
      </c>
      <c r="F159" s="219" t="b">
        <v>0</v>
      </c>
      <c r="G159" s="219"/>
    </row>
    <row r="160">
      <c r="A160" s="218">
        <f t="shared" si="1"/>
        <v>159</v>
      </c>
      <c r="B160" s="218" t="s">
        <v>201</v>
      </c>
      <c r="C160" s="218" t="s">
        <v>1964</v>
      </c>
      <c r="D160" s="218" t="b">
        <v>1</v>
      </c>
      <c r="E160" s="219" t="b">
        <v>0</v>
      </c>
      <c r="F160" s="219" t="b">
        <v>0</v>
      </c>
      <c r="G160" s="219"/>
    </row>
    <row r="161">
      <c r="A161" s="218">
        <f t="shared" si="1"/>
        <v>160</v>
      </c>
      <c r="B161" s="218" t="s">
        <v>201</v>
      </c>
      <c r="C161" s="218" t="s">
        <v>588</v>
      </c>
      <c r="D161" s="218" t="b">
        <v>1</v>
      </c>
      <c r="E161" s="219" t="b">
        <v>0</v>
      </c>
      <c r="F161" s="219" t="b">
        <v>0</v>
      </c>
      <c r="G161" s="219"/>
    </row>
    <row r="162">
      <c r="A162" s="218">
        <f t="shared" si="1"/>
        <v>161</v>
      </c>
      <c r="B162" s="218" t="s">
        <v>201</v>
      </c>
      <c r="C162" s="218" t="s">
        <v>1051</v>
      </c>
      <c r="D162" s="218" t="b">
        <v>1</v>
      </c>
      <c r="E162" s="219" t="b">
        <v>0</v>
      </c>
      <c r="F162" s="219" t="b">
        <v>0</v>
      </c>
      <c r="G162" s="219"/>
    </row>
    <row r="163">
      <c r="A163" s="218">
        <f t="shared" si="1"/>
        <v>162</v>
      </c>
      <c r="B163" s="218" t="s">
        <v>201</v>
      </c>
      <c r="C163" s="218" t="s">
        <v>1051</v>
      </c>
      <c r="D163" s="218" t="b">
        <v>1</v>
      </c>
      <c r="E163" s="219" t="b">
        <v>0</v>
      </c>
      <c r="F163" s="219" t="b">
        <v>0</v>
      </c>
      <c r="G163" s="219"/>
    </row>
    <row r="164">
      <c r="A164" s="218">
        <f t="shared" si="1"/>
        <v>163</v>
      </c>
      <c r="B164" s="218" t="s">
        <v>201</v>
      </c>
      <c r="C164" s="218" t="s">
        <v>1051</v>
      </c>
      <c r="D164" s="218" t="b">
        <v>1</v>
      </c>
      <c r="E164" s="219" t="b">
        <v>0</v>
      </c>
      <c r="F164" s="219" t="b">
        <v>0</v>
      </c>
      <c r="G164" s="219"/>
    </row>
    <row r="165">
      <c r="A165" s="218">
        <f t="shared" si="1"/>
        <v>164</v>
      </c>
      <c r="B165" s="218" t="s">
        <v>201</v>
      </c>
      <c r="C165" s="218" t="s">
        <v>1051</v>
      </c>
      <c r="D165" s="218" t="b">
        <v>1</v>
      </c>
      <c r="E165" s="219" t="b">
        <v>0</v>
      </c>
      <c r="F165" s="219" t="b">
        <v>0</v>
      </c>
      <c r="G165" s="219"/>
    </row>
    <row r="166">
      <c r="A166" s="218">
        <f t="shared" si="1"/>
        <v>165</v>
      </c>
      <c r="B166" s="218" t="s">
        <v>201</v>
      </c>
      <c r="C166" s="218" t="s">
        <v>762</v>
      </c>
      <c r="D166" s="218" t="b">
        <v>1</v>
      </c>
      <c r="E166" s="219" t="b">
        <v>0</v>
      </c>
      <c r="F166" s="219" t="b">
        <v>0</v>
      </c>
      <c r="G166" s="219"/>
    </row>
    <row r="167">
      <c r="A167" s="218">
        <f t="shared" si="1"/>
        <v>166</v>
      </c>
      <c r="B167" s="218" t="s">
        <v>201</v>
      </c>
      <c r="C167" s="218" t="s">
        <v>1610</v>
      </c>
      <c r="D167" s="218" t="b">
        <v>1</v>
      </c>
      <c r="E167" s="219" t="b">
        <v>0</v>
      </c>
      <c r="F167" s="219" t="b">
        <v>0</v>
      </c>
      <c r="G167" s="219"/>
    </row>
    <row r="168">
      <c r="A168" s="218">
        <f t="shared" si="1"/>
        <v>167</v>
      </c>
      <c r="B168" s="218" t="s">
        <v>201</v>
      </c>
      <c r="C168" s="218" t="s">
        <v>748</v>
      </c>
      <c r="D168" s="218" t="b">
        <v>1</v>
      </c>
      <c r="E168" s="219" t="b">
        <v>0</v>
      </c>
      <c r="F168" s="219" t="b">
        <v>0</v>
      </c>
      <c r="G168" s="219"/>
    </row>
    <row r="169">
      <c r="A169" s="218">
        <f t="shared" si="1"/>
        <v>168</v>
      </c>
      <c r="B169" s="218" t="s">
        <v>201</v>
      </c>
      <c r="C169" s="218" t="s">
        <v>3717</v>
      </c>
      <c r="D169" s="218" t="b">
        <v>1</v>
      </c>
      <c r="E169" s="219" t="b">
        <v>0</v>
      </c>
      <c r="F169" s="219" t="b">
        <v>0</v>
      </c>
      <c r="G169" s="219"/>
    </row>
    <row r="170">
      <c r="A170" s="218">
        <f t="shared" si="1"/>
        <v>169</v>
      </c>
      <c r="B170" s="218" t="s">
        <v>201</v>
      </c>
      <c r="C170" s="218" t="s">
        <v>3717</v>
      </c>
      <c r="D170" s="218" t="b">
        <v>1</v>
      </c>
      <c r="E170" s="219" t="b">
        <v>0</v>
      </c>
      <c r="F170" s="219" t="b">
        <v>0</v>
      </c>
      <c r="G170" s="219"/>
    </row>
    <row r="171">
      <c r="A171" s="218">
        <f t="shared" si="1"/>
        <v>170</v>
      </c>
      <c r="B171" s="218" t="s">
        <v>201</v>
      </c>
      <c r="C171" s="218" t="s">
        <v>738</v>
      </c>
      <c r="D171" s="218" t="b">
        <v>1</v>
      </c>
      <c r="E171" s="219" t="b">
        <v>0</v>
      </c>
      <c r="F171" s="219" t="b">
        <v>0</v>
      </c>
      <c r="G171" s="219"/>
    </row>
    <row r="172">
      <c r="A172" s="218">
        <f t="shared" si="1"/>
        <v>171</v>
      </c>
      <c r="B172" s="218" t="s">
        <v>201</v>
      </c>
      <c r="C172" s="218" t="s">
        <v>738</v>
      </c>
      <c r="D172" s="218" t="b">
        <v>1</v>
      </c>
      <c r="E172" s="219" t="b">
        <v>0</v>
      </c>
      <c r="F172" s="219" t="b">
        <v>0</v>
      </c>
      <c r="G172" s="219"/>
    </row>
    <row r="173">
      <c r="A173" s="218">
        <f t="shared" si="1"/>
        <v>172</v>
      </c>
      <c r="B173" s="218" t="s">
        <v>201</v>
      </c>
      <c r="C173" s="218" t="s">
        <v>2958</v>
      </c>
      <c r="D173" s="218" t="b">
        <v>1</v>
      </c>
      <c r="E173" s="219" t="b">
        <v>0</v>
      </c>
      <c r="F173" s="219" t="b">
        <v>0</v>
      </c>
      <c r="G173" s="219"/>
    </row>
    <row r="174">
      <c r="A174" s="218">
        <f t="shared" si="1"/>
        <v>173</v>
      </c>
      <c r="B174" s="218" t="s">
        <v>201</v>
      </c>
      <c r="C174" s="218" t="s">
        <v>1427</v>
      </c>
      <c r="D174" s="218" t="b">
        <v>1</v>
      </c>
      <c r="E174" s="219" t="b">
        <v>0</v>
      </c>
      <c r="F174" s="219" t="b">
        <v>0</v>
      </c>
      <c r="G174" s="219"/>
    </row>
    <row r="175">
      <c r="A175" s="218">
        <f t="shared" si="1"/>
        <v>174</v>
      </c>
      <c r="B175" s="218" t="s">
        <v>201</v>
      </c>
      <c r="C175" s="218" t="s">
        <v>733</v>
      </c>
      <c r="D175" s="218" t="b">
        <v>1</v>
      </c>
      <c r="E175" s="219" t="b">
        <v>0</v>
      </c>
      <c r="F175" s="219" t="b">
        <v>0</v>
      </c>
      <c r="G175" s="219"/>
    </row>
    <row r="176">
      <c r="A176" s="218">
        <f t="shared" si="1"/>
        <v>175</v>
      </c>
      <c r="B176" s="218" t="s">
        <v>201</v>
      </c>
      <c r="C176" s="218" t="s">
        <v>1909</v>
      </c>
      <c r="D176" s="218" t="b">
        <v>1</v>
      </c>
      <c r="E176" s="219" t="b">
        <v>0</v>
      </c>
      <c r="F176" s="219" t="b">
        <v>0</v>
      </c>
      <c r="G176" s="219"/>
    </row>
    <row r="177">
      <c r="A177" s="218">
        <f t="shared" si="1"/>
        <v>176</v>
      </c>
      <c r="B177" s="218" t="s">
        <v>201</v>
      </c>
      <c r="C177" s="218" t="s">
        <v>2220</v>
      </c>
      <c r="D177" s="218" t="b">
        <v>1</v>
      </c>
      <c r="E177" s="219" t="b">
        <v>0</v>
      </c>
      <c r="F177" s="219" t="b">
        <v>0</v>
      </c>
      <c r="G177" s="219"/>
    </row>
    <row r="178">
      <c r="A178" s="218">
        <f t="shared" si="1"/>
        <v>177</v>
      </c>
      <c r="B178" s="218" t="s">
        <v>201</v>
      </c>
      <c r="C178" s="218" t="s">
        <v>2220</v>
      </c>
      <c r="D178" s="218" t="b">
        <v>1</v>
      </c>
      <c r="E178" s="219" t="b">
        <v>0</v>
      </c>
      <c r="F178" s="219" t="b">
        <v>0</v>
      </c>
      <c r="G178" s="219"/>
    </row>
    <row r="179">
      <c r="A179" s="218">
        <f t="shared" si="1"/>
        <v>178</v>
      </c>
      <c r="B179" s="218" t="s">
        <v>201</v>
      </c>
      <c r="C179" s="218" t="s">
        <v>728</v>
      </c>
      <c r="D179" s="218" t="b">
        <v>1</v>
      </c>
      <c r="E179" s="219" t="b">
        <v>0</v>
      </c>
      <c r="F179" s="219" t="b">
        <v>0</v>
      </c>
      <c r="G179" s="219"/>
    </row>
    <row r="180">
      <c r="A180" s="218">
        <f t="shared" si="1"/>
        <v>179</v>
      </c>
      <c r="B180" s="218" t="s">
        <v>201</v>
      </c>
      <c r="C180" s="218" t="s">
        <v>3041</v>
      </c>
      <c r="D180" s="218" t="b">
        <v>1</v>
      </c>
      <c r="E180" s="219" t="b">
        <v>0</v>
      </c>
      <c r="F180" s="219" t="b">
        <v>0</v>
      </c>
      <c r="G180" s="219"/>
    </row>
    <row r="181">
      <c r="A181" s="218">
        <f t="shared" si="1"/>
        <v>180</v>
      </c>
      <c r="B181" s="218" t="s">
        <v>201</v>
      </c>
      <c r="C181" s="218" t="s">
        <v>3041</v>
      </c>
      <c r="D181" s="218" t="b">
        <v>1</v>
      </c>
      <c r="E181" s="219" t="b">
        <v>0</v>
      </c>
      <c r="F181" s="219" t="b">
        <v>0</v>
      </c>
      <c r="G181" s="219"/>
    </row>
    <row r="182">
      <c r="A182" s="218">
        <f t="shared" si="1"/>
        <v>181</v>
      </c>
      <c r="B182" s="218" t="s">
        <v>201</v>
      </c>
      <c r="C182" s="218" t="s">
        <v>723</v>
      </c>
      <c r="D182" s="218" t="b">
        <v>1</v>
      </c>
      <c r="E182" s="219" t="b">
        <v>0</v>
      </c>
      <c r="F182" s="219" t="b">
        <v>0</v>
      </c>
      <c r="G182" s="219"/>
    </row>
    <row r="183">
      <c r="A183" s="218">
        <f t="shared" si="1"/>
        <v>182</v>
      </c>
      <c r="B183" s="218" t="s">
        <v>201</v>
      </c>
      <c r="C183" s="218" t="s">
        <v>796</v>
      </c>
      <c r="D183" s="218" t="b">
        <v>1</v>
      </c>
      <c r="E183" s="219" t="b">
        <v>0</v>
      </c>
      <c r="F183" s="219" t="b">
        <v>0</v>
      </c>
      <c r="G183" s="219"/>
    </row>
    <row r="184">
      <c r="A184" s="218">
        <f t="shared" si="1"/>
        <v>183</v>
      </c>
      <c r="B184" s="218" t="s">
        <v>201</v>
      </c>
      <c r="C184" s="218" t="s">
        <v>3218</v>
      </c>
      <c r="D184" s="218" t="b">
        <v>1</v>
      </c>
      <c r="E184" s="219" t="b">
        <v>0</v>
      </c>
      <c r="F184" s="219" t="b">
        <v>0</v>
      </c>
      <c r="G184" s="219"/>
    </row>
    <row r="185">
      <c r="A185" s="218">
        <f t="shared" si="1"/>
        <v>184</v>
      </c>
      <c r="B185" s="218" t="s">
        <v>201</v>
      </c>
      <c r="C185" s="218" t="s">
        <v>1349</v>
      </c>
      <c r="D185" s="218" t="b">
        <v>1</v>
      </c>
      <c r="E185" s="219" t="b">
        <v>0</v>
      </c>
      <c r="F185" s="219" t="b">
        <v>0</v>
      </c>
      <c r="G185" s="219"/>
    </row>
    <row r="186">
      <c r="A186" s="218">
        <f t="shared" si="1"/>
        <v>185</v>
      </c>
      <c r="B186" s="218" t="s">
        <v>201</v>
      </c>
      <c r="C186" s="218" t="s">
        <v>1349</v>
      </c>
      <c r="D186" s="218" t="b">
        <v>1</v>
      </c>
      <c r="E186" s="219" t="b">
        <v>0</v>
      </c>
      <c r="F186" s="219" t="b">
        <v>0</v>
      </c>
      <c r="G186" s="219"/>
    </row>
    <row r="187">
      <c r="A187" s="218">
        <f t="shared" si="1"/>
        <v>186</v>
      </c>
      <c r="B187" s="218" t="s">
        <v>201</v>
      </c>
      <c r="C187" s="218" t="s">
        <v>791</v>
      </c>
      <c r="D187" s="218" t="b">
        <v>1</v>
      </c>
      <c r="E187" s="219" t="b">
        <v>0</v>
      </c>
      <c r="F187" s="219" t="b">
        <v>0</v>
      </c>
      <c r="G187" s="219"/>
    </row>
    <row r="188">
      <c r="A188" s="218">
        <f t="shared" si="1"/>
        <v>187</v>
      </c>
      <c r="B188" s="218" t="s">
        <v>201</v>
      </c>
      <c r="C188" s="218" t="s">
        <v>1776</v>
      </c>
      <c r="D188" s="218" t="b">
        <v>1</v>
      </c>
      <c r="E188" s="219" t="b">
        <v>0</v>
      </c>
      <c r="F188" s="219" t="b">
        <v>0</v>
      </c>
      <c r="G188" s="219"/>
    </row>
    <row r="189">
      <c r="A189" s="218">
        <f t="shared" si="1"/>
        <v>188</v>
      </c>
      <c r="B189" s="218" t="s">
        <v>201</v>
      </c>
      <c r="C189" s="218" t="s">
        <v>786</v>
      </c>
      <c r="D189" s="218" t="b">
        <v>1</v>
      </c>
      <c r="E189" s="219" t="b">
        <v>0</v>
      </c>
      <c r="F189" s="219" t="b">
        <v>0</v>
      </c>
      <c r="G189" s="219"/>
    </row>
    <row r="190">
      <c r="A190" s="218">
        <f t="shared" si="1"/>
        <v>189</v>
      </c>
      <c r="B190" s="218" t="s">
        <v>201</v>
      </c>
      <c r="C190" s="218" t="s">
        <v>2197</v>
      </c>
      <c r="D190" s="218" t="b">
        <v>1</v>
      </c>
      <c r="E190" s="219" t="b">
        <v>0</v>
      </c>
      <c r="F190" s="219" t="b">
        <v>0</v>
      </c>
      <c r="G190" s="219"/>
    </row>
    <row r="191">
      <c r="A191" s="218">
        <f t="shared" si="1"/>
        <v>190</v>
      </c>
      <c r="B191" s="218" t="s">
        <v>201</v>
      </c>
      <c r="C191" s="218" t="s">
        <v>781</v>
      </c>
      <c r="D191" s="218" t="b">
        <v>1</v>
      </c>
      <c r="E191" s="219" t="b">
        <v>0</v>
      </c>
      <c r="F191" s="219" t="b">
        <v>0</v>
      </c>
      <c r="G191" s="219"/>
    </row>
    <row r="192">
      <c r="A192" s="218">
        <f t="shared" si="1"/>
        <v>191</v>
      </c>
      <c r="B192" s="218" t="s">
        <v>201</v>
      </c>
      <c r="C192" s="218" t="s">
        <v>4779</v>
      </c>
      <c r="D192" s="218" t="b">
        <v>1</v>
      </c>
      <c r="E192" s="219" t="b">
        <v>0</v>
      </c>
      <c r="F192" s="219" t="b">
        <v>0</v>
      </c>
      <c r="G192" s="219"/>
    </row>
    <row r="193">
      <c r="A193" s="218">
        <f t="shared" si="1"/>
        <v>192</v>
      </c>
      <c r="B193" s="218" t="s">
        <v>201</v>
      </c>
      <c r="C193" s="218" t="s">
        <v>776</v>
      </c>
      <c r="D193" s="218" t="b">
        <v>1</v>
      </c>
      <c r="E193" s="219" t="b">
        <v>0</v>
      </c>
      <c r="F193" s="219" t="b">
        <v>0</v>
      </c>
      <c r="G193" s="219"/>
    </row>
    <row r="194">
      <c r="A194" s="218">
        <f t="shared" si="1"/>
        <v>193</v>
      </c>
      <c r="B194" s="218" t="s">
        <v>201</v>
      </c>
      <c r="C194" s="218" t="s">
        <v>776</v>
      </c>
      <c r="D194" s="218" t="b">
        <v>1</v>
      </c>
      <c r="E194" s="219" t="b">
        <v>0</v>
      </c>
      <c r="F194" s="219" t="b">
        <v>0</v>
      </c>
      <c r="G194" s="219"/>
    </row>
    <row r="195">
      <c r="A195" s="218">
        <f t="shared" si="1"/>
        <v>194</v>
      </c>
      <c r="B195" s="218" t="s">
        <v>201</v>
      </c>
      <c r="C195" s="218" t="s">
        <v>2003</v>
      </c>
      <c r="D195" s="218" t="b">
        <v>1</v>
      </c>
      <c r="E195" s="219" t="b">
        <v>0</v>
      </c>
      <c r="F195" s="219" t="b">
        <v>0</v>
      </c>
      <c r="G195" s="219"/>
    </row>
    <row r="196">
      <c r="A196" s="218">
        <f t="shared" si="1"/>
        <v>195</v>
      </c>
      <c r="B196" s="218" t="s">
        <v>201</v>
      </c>
      <c r="C196" s="218" t="s">
        <v>2508</v>
      </c>
      <c r="D196" s="218" t="b">
        <v>1</v>
      </c>
      <c r="E196" s="219" t="b">
        <v>0</v>
      </c>
      <c r="F196" s="219" t="b">
        <v>0</v>
      </c>
      <c r="G196" s="219"/>
    </row>
    <row r="197">
      <c r="A197" s="218">
        <f t="shared" si="1"/>
        <v>196</v>
      </c>
      <c r="B197" s="218" t="s">
        <v>201</v>
      </c>
      <c r="C197" s="218" t="s">
        <v>683</v>
      </c>
      <c r="D197" s="218" t="b">
        <v>1</v>
      </c>
      <c r="E197" s="219" t="b">
        <v>0</v>
      </c>
      <c r="F197" s="219" t="b">
        <v>0</v>
      </c>
      <c r="G197" s="219"/>
    </row>
    <row r="198">
      <c r="A198" s="218">
        <f t="shared" si="1"/>
        <v>197</v>
      </c>
      <c r="B198" s="218" t="s">
        <v>201</v>
      </c>
      <c r="C198" s="218" t="s">
        <v>1544</v>
      </c>
      <c r="D198" s="218" t="b">
        <v>1</v>
      </c>
      <c r="E198" s="219" t="b">
        <v>0</v>
      </c>
      <c r="F198" s="219" t="b">
        <v>0</v>
      </c>
      <c r="G198" s="219"/>
    </row>
    <row r="199">
      <c r="A199" s="218">
        <f t="shared" si="1"/>
        <v>198</v>
      </c>
      <c r="B199" s="218" t="s">
        <v>201</v>
      </c>
      <c r="C199" s="218" t="s">
        <v>1544</v>
      </c>
      <c r="D199" s="218" t="b">
        <v>1</v>
      </c>
      <c r="E199" s="219" t="b">
        <v>0</v>
      </c>
      <c r="F199" s="219" t="b">
        <v>0</v>
      </c>
      <c r="G199" s="219"/>
    </row>
    <row r="200">
      <c r="A200" s="218">
        <f t="shared" si="1"/>
        <v>199</v>
      </c>
      <c r="B200" s="218" t="s">
        <v>201</v>
      </c>
      <c r="C200" s="218" t="s">
        <v>688</v>
      </c>
      <c r="D200" s="218" t="b">
        <v>1</v>
      </c>
      <c r="E200" s="219" t="b">
        <v>0</v>
      </c>
      <c r="F200" s="219" t="b">
        <v>0</v>
      </c>
      <c r="G200" s="219"/>
    </row>
    <row r="201">
      <c r="A201" s="218">
        <f t="shared" si="1"/>
        <v>200</v>
      </c>
      <c r="B201" s="218" t="s">
        <v>201</v>
      </c>
      <c r="C201" s="218" t="s">
        <v>1941</v>
      </c>
      <c r="D201" s="218" t="b">
        <v>1</v>
      </c>
      <c r="E201" s="219" t="b">
        <v>0</v>
      </c>
      <c r="F201" s="219" t="b">
        <v>0</v>
      </c>
      <c r="G201" s="219"/>
    </row>
    <row r="202">
      <c r="A202" s="218">
        <f t="shared" si="1"/>
        <v>201</v>
      </c>
      <c r="B202" s="218" t="s">
        <v>201</v>
      </c>
      <c r="C202" s="218" t="s">
        <v>1941</v>
      </c>
      <c r="D202" s="218" t="b">
        <v>1</v>
      </c>
      <c r="E202" s="219" t="b">
        <v>0</v>
      </c>
      <c r="F202" s="219" t="b">
        <v>0</v>
      </c>
      <c r="G202" s="219"/>
    </row>
    <row r="203">
      <c r="A203" s="218">
        <f t="shared" si="1"/>
        <v>202</v>
      </c>
      <c r="B203" s="218" t="s">
        <v>201</v>
      </c>
      <c r="C203" s="218" t="s">
        <v>1941</v>
      </c>
      <c r="D203" s="218" t="b">
        <v>1</v>
      </c>
      <c r="E203" s="219" t="b">
        <v>0</v>
      </c>
      <c r="F203" s="219" t="b">
        <v>0</v>
      </c>
      <c r="G203" s="219"/>
    </row>
    <row r="204">
      <c r="A204" s="218">
        <f t="shared" si="1"/>
        <v>203</v>
      </c>
      <c r="B204" s="218" t="s">
        <v>201</v>
      </c>
      <c r="C204" s="218" t="s">
        <v>693</v>
      </c>
      <c r="D204" s="218" t="b">
        <v>1</v>
      </c>
      <c r="E204" s="219" t="b">
        <v>0</v>
      </c>
      <c r="F204" s="219" t="b">
        <v>0</v>
      </c>
      <c r="G204" s="219"/>
    </row>
    <row r="205">
      <c r="A205" s="218">
        <f t="shared" si="1"/>
        <v>204</v>
      </c>
      <c r="B205" s="218" t="s">
        <v>201</v>
      </c>
      <c r="C205" s="218" t="s">
        <v>426</v>
      </c>
      <c r="D205" s="218" t="b">
        <v>1</v>
      </c>
      <c r="E205" s="219" t="b">
        <v>0</v>
      </c>
      <c r="F205" s="219" t="b">
        <v>0</v>
      </c>
      <c r="G205" s="219"/>
    </row>
    <row r="206">
      <c r="A206" s="218">
        <f t="shared" si="1"/>
        <v>205</v>
      </c>
      <c r="B206" s="218" t="s">
        <v>201</v>
      </c>
      <c r="C206" s="218" t="s">
        <v>426</v>
      </c>
      <c r="D206" s="218" t="b">
        <v>1</v>
      </c>
      <c r="E206" s="219" t="b">
        <v>0</v>
      </c>
      <c r="F206" s="219" t="b">
        <v>0</v>
      </c>
      <c r="G206" s="219"/>
    </row>
    <row r="207">
      <c r="A207" s="218">
        <f t="shared" si="1"/>
        <v>206</v>
      </c>
      <c r="B207" s="218" t="s">
        <v>201</v>
      </c>
      <c r="C207" s="218" t="s">
        <v>426</v>
      </c>
      <c r="D207" s="218" t="b">
        <v>1</v>
      </c>
      <c r="E207" s="219" t="b">
        <v>0</v>
      </c>
      <c r="F207" s="219" t="b">
        <v>0</v>
      </c>
      <c r="G207" s="219"/>
    </row>
    <row r="208">
      <c r="A208" s="218">
        <f t="shared" si="1"/>
        <v>207</v>
      </c>
      <c r="B208" s="218" t="s">
        <v>201</v>
      </c>
      <c r="C208" s="218" t="s">
        <v>426</v>
      </c>
      <c r="D208" s="218" t="b">
        <v>1</v>
      </c>
      <c r="E208" s="219" t="b">
        <v>0</v>
      </c>
      <c r="F208" s="219" t="b">
        <v>0</v>
      </c>
      <c r="G208" s="219"/>
    </row>
    <row r="209">
      <c r="A209" s="218">
        <f t="shared" si="1"/>
        <v>208</v>
      </c>
      <c r="B209" s="218" t="s">
        <v>201</v>
      </c>
      <c r="C209" s="218" t="s">
        <v>703</v>
      </c>
      <c r="D209" s="218" t="b">
        <v>1</v>
      </c>
      <c r="E209" s="219" t="b">
        <v>0</v>
      </c>
      <c r="F209" s="219" t="b">
        <v>0</v>
      </c>
      <c r="G209" s="219"/>
    </row>
    <row r="210">
      <c r="A210" s="218">
        <f t="shared" si="1"/>
        <v>209</v>
      </c>
      <c r="B210" s="218" t="s">
        <v>201</v>
      </c>
      <c r="C210" s="218" t="s">
        <v>3476</v>
      </c>
      <c r="D210" s="218" t="b">
        <v>1</v>
      </c>
      <c r="E210" s="219" t="b">
        <v>0</v>
      </c>
      <c r="F210" s="219" t="b">
        <v>0</v>
      </c>
      <c r="G210" s="219"/>
    </row>
    <row r="211">
      <c r="A211" s="218">
        <f t="shared" si="1"/>
        <v>210</v>
      </c>
      <c r="B211" s="218" t="s">
        <v>201</v>
      </c>
      <c r="C211" s="218" t="s">
        <v>3476</v>
      </c>
      <c r="D211" s="218" t="b">
        <v>1</v>
      </c>
      <c r="E211" s="219" t="b">
        <v>0</v>
      </c>
      <c r="F211" s="219" t="b">
        <v>0</v>
      </c>
      <c r="G211" s="219"/>
    </row>
    <row r="212">
      <c r="A212" s="218">
        <f t="shared" si="1"/>
        <v>211</v>
      </c>
      <c r="B212" s="218" t="s">
        <v>201</v>
      </c>
      <c r="C212" s="218" t="s">
        <v>708</v>
      </c>
      <c r="D212" s="218" t="b">
        <v>1</v>
      </c>
      <c r="E212" s="219" t="b">
        <v>0</v>
      </c>
      <c r="F212" s="219" t="b">
        <v>0</v>
      </c>
      <c r="G212" s="219"/>
    </row>
    <row r="213">
      <c r="A213" s="218">
        <f t="shared" si="1"/>
        <v>212</v>
      </c>
      <c r="B213" s="218" t="s">
        <v>201</v>
      </c>
      <c r="C213" s="218" t="s">
        <v>2125</v>
      </c>
      <c r="D213" s="218" t="b">
        <v>1</v>
      </c>
      <c r="E213" s="219" t="b">
        <v>0</v>
      </c>
      <c r="F213" s="219" t="b">
        <v>0</v>
      </c>
      <c r="G213" s="219"/>
    </row>
    <row r="214">
      <c r="A214" s="218">
        <f t="shared" si="1"/>
        <v>213</v>
      </c>
      <c r="B214" s="218" t="s">
        <v>201</v>
      </c>
      <c r="C214" s="218" t="s">
        <v>635</v>
      </c>
      <c r="D214" s="218" t="b">
        <v>1</v>
      </c>
      <c r="E214" s="219" t="b">
        <v>0</v>
      </c>
      <c r="F214" s="219" t="b">
        <v>0</v>
      </c>
      <c r="G214" s="219"/>
    </row>
    <row r="215">
      <c r="A215" s="218">
        <f t="shared" si="1"/>
        <v>214</v>
      </c>
      <c r="B215" s="218" t="s">
        <v>201</v>
      </c>
      <c r="C215" s="218" t="s">
        <v>4651</v>
      </c>
      <c r="D215" s="218" t="b">
        <v>1</v>
      </c>
      <c r="E215" s="219" t="b">
        <v>0</v>
      </c>
      <c r="F215" s="219" t="b">
        <v>0</v>
      </c>
      <c r="G215" s="219"/>
    </row>
    <row r="216">
      <c r="A216" s="218">
        <f t="shared" si="1"/>
        <v>215</v>
      </c>
      <c r="B216" s="218" t="s">
        <v>201</v>
      </c>
      <c r="C216" s="218" t="s">
        <v>645</v>
      </c>
      <c r="D216" s="218" t="b">
        <v>1</v>
      </c>
      <c r="E216" s="219" t="b">
        <v>0</v>
      </c>
      <c r="F216" s="219" t="b">
        <v>0</v>
      </c>
      <c r="G216" s="219"/>
    </row>
    <row r="217">
      <c r="A217" s="218">
        <f t="shared" si="1"/>
        <v>216</v>
      </c>
      <c r="B217" s="218" t="s">
        <v>201</v>
      </c>
      <c r="C217" s="218" t="s">
        <v>5027</v>
      </c>
      <c r="D217" s="218" t="b">
        <v>1</v>
      </c>
      <c r="E217" s="219" t="b">
        <v>0</v>
      </c>
      <c r="F217" s="219" t="b">
        <v>0</v>
      </c>
      <c r="G217" s="219"/>
    </row>
    <row r="218">
      <c r="A218" s="218">
        <f t="shared" si="1"/>
        <v>217</v>
      </c>
      <c r="B218" s="218" t="s">
        <v>201</v>
      </c>
      <c r="C218" s="218" t="s">
        <v>713</v>
      </c>
      <c r="D218" s="218" t="b">
        <v>1</v>
      </c>
      <c r="E218" s="219" t="b">
        <v>0</v>
      </c>
      <c r="F218" s="219" t="b">
        <v>0</v>
      </c>
      <c r="G218" s="219"/>
    </row>
    <row r="219">
      <c r="A219" s="218">
        <f t="shared" si="1"/>
        <v>218</v>
      </c>
      <c r="B219" s="218" t="s">
        <v>201</v>
      </c>
      <c r="C219" s="218" t="s">
        <v>713</v>
      </c>
      <c r="D219" s="218" t="b">
        <v>1</v>
      </c>
      <c r="E219" s="219" t="b">
        <v>0</v>
      </c>
      <c r="F219" s="219" t="b">
        <v>0</v>
      </c>
      <c r="G219" s="219"/>
    </row>
    <row r="220">
      <c r="A220" s="218">
        <f t="shared" si="1"/>
        <v>219</v>
      </c>
      <c r="B220" s="218" t="s">
        <v>201</v>
      </c>
      <c r="C220" s="218" t="s">
        <v>815</v>
      </c>
      <c r="D220" s="218" t="b">
        <v>1</v>
      </c>
      <c r="E220" s="219" t="b">
        <v>0</v>
      </c>
      <c r="F220" s="219" t="b">
        <v>0</v>
      </c>
      <c r="G220" s="219"/>
    </row>
    <row r="221">
      <c r="A221" s="218">
        <f t="shared" si="1"/>
        <v>220</v>
      </c>
      <c r="B221" s="218" t="s">
        <v>201</v>
      </c>
      <c r="C221" s="218" t="s">
        <v>815</v>
      </c>
      <c r="D221" s="218" t="b">
        <v>1</v>
      </c>
      <c r="E221" s="219" t="b">
        <v>0</v>
      </c>
      <c r="F221" s="219" t="b">
        <v>0</v>
      </c>
      <c r="G221" s="219"/>
    </row>
    <row r="222">
      <c r="A222" s="218">
        <f t="shared" si="1"/>
        <v>221</v>
      </c>
      <c r="B222" s="218" t="s">
        <v>201</v>
      </c>
      <c r="C222" s="218" t="s">
        <v>815</v>
      </c>
      <c r="D222" s="218" t="b">
        <v>1</v>
      </c>
      <c r="E222" s="219" t="b">
        <v>0</v>
      </c>
      <c r="F222" s="219" t="b">
        <v>0</v>
      </c>
      <c r="G222" s="219"/>
    </row>
    <row r="223">
      <c r="A223" s="218">
        <f t="shared" si="1"/>
        <v>222</v>
      </c>
      <c r="B223" s="218" t="s">
        <v>201</v>
      </c>
      <c r="C223" s="218" t="s">
        <v>655</v>
      </c>
      <c r="D223" s="218" t="b">
        <v>1</v>
      </c>
      <c r="E223" s="219" t="b">
        <v>0</v>
      </c>
      <c r="F223" s="219" t="b">
        <v>0</v>
      </c>
      <c r="G223" s="219"/>
    </row>
    <row r="224">
      <c r="A224" s="218">
        <f t="shared" si="1"/>
        <v>223</v>
      </c>
      <c r="B224" s="218" t="s">
        <v>201</v>
      </c>
      <c r="C224" s="218" t="s">
        <v>583</v>
      </c>
      <c r="D224" s="218" t="b">
        <v>1</v>
      </c>
      <c r="E224" s="219" t="b">
        <v>0</v>
      </c>
      <c r="F224" s="219" t="b">
        <v>0</v>
      </c>
      <c r="G224" s="219"/>
    </row>
    <row r="225">
      <c r="A225" s="218">
        <f t="shared" si="1"/>
        <v>224</v>
      </c>
      <c r="B225" s="218" t="s">
        <v>201</v>
      </c>
      <c r="C225" s="218" t="s">
        <v>583</v>
      </c>
      <c r="D225" s="218" t="b">
        <v>1</v>
      </c>
      <c r="E225" s="219" t="b">
        <v>0</v>
      </c>
      <c r="F225" s="219" t="b">
        <v>0</v>
      </c>
      <c r="G225" s="219"/>
    </row>
    <row r="226">
      <c r="A226" s="218">
        <f t="shared" si="1"/>
        <v>225</v>
      </c>
      <c r="B226" s="218" t="s">
        <v>201</v>
      </c>
      <c r="C226" s="218" t="s">
        <v>650</v>
      </c>
      <c r="D226" s="218" t="b">
        <v>1</v>
      </c>
      <c r="E226" s="219" t="b">
        <v>0</v>
      </c>
      <c r="F226" s="219" t="b">
        <v>0</v>
      </c>
      <c r="G226" s="219"/>
    </row>
    <row r="227">
      <c r="A227" s="218">
        <f t="shared" si="1"/>
        <v>226</v>
      </c>
      <c r="B227" s="218" t="s">
        <v>201</v>
      </c>
      <c r="C227" s="218" t="s">
        <v>4173</v>
      </c>
      <c r="D227" s="218" t="b">
        <v>1</v>
      </c>
      <c r="E227" s="219" t="b">
        <v>0</v>
      </c>
      <c r="F227" s="219" t="b">
        <v>0</v>
      </c>
      <c r="G227" s="219"/>
    </row>
    <row r="228">
      <c r="A228" s="218">
        <f t="shared" si="1"/>
        <v>227</v>
      </c>
      <c r="B228" s="218" t="s">
        <v>201</v>
      </c>
      <c r="C228" s="218" t="s">
        <v>1446</v>
      </c>
      <c r="D228" s="218" t="b">
        <v>1</v>
      </c>
      <c r="E228" s="219" t="b">
        <v>0</v>
      </c>
      <c r="F228" s="219" t="b">
        <v>0</v>
      </c>
      <c r="G228" s="219"/>
    </row>
    <row r="229">
      <c r="A229" s="218">
        <f t="shared" si="1"/>
        <v>228</v>
      </c>
      <c r="B229" s="218" t="s">
        <v>201</v>
      </c>
      <c r="C229" s="218" t="s">
        <v>1230</v>
      </c>
      <c r="D229" s="218" t="b">
        <v>1</v>
      </c>
      <c r="E229" s="219" t="b">
        <v>0</v>
      </c>
      <c r="F229" s="219" t="b">
        <v>0</v>
      </c>
      <c r="G229" s="219"/>
    </row>
    <row r="230">
      <c r="A230" s="218">
        <f t="shared" si="1"/>
        <v>229</v>
      </c>
      <c r="B230" s="218" t="s">
        <v>201</v>
      </c>
      <c r="C230" s="218" t="s">
        <v>1230</v>
      </c>
      <c r="D230" s="218" t="b">
        <v>1</v>
      </c>
      <c r="E230" s="219" t="b">
        <v>0</v>
      </c>
      <c r="F230" s="219" t="b">
        <v>0</v>
      </c>
      <c r="G230" s="219"/>
    </row>
    <row r="231">
      <c r="A231" s="218">
        <f t="shared" si="1"/>
        <v>230</v>
      </c>
      <c r="B231" s="218" t="s">
        <v>201</v>
      </c>
      <c r="C231" s="218" t="s">
        <v>1456</v>
      </c>
      <c r="D231" s="218" t="b">
        <v>1</v>
      </c>
      <c r="E231" s="219" t="b">
        <v>0</v>
      </c>
      <c r="F231" s="219" t="b">
        <v>0</v>
      </c>
      <c r="G231" s="219"/>
    </row>
    <row r="232">
      <c r="A232" s="218">
        <f t="shared" si="1"/>
        <v>231</v>
      </c>
      <c r="B232" s="218" t="s">
        <v>201</v>
      </c>
      <c r="C232" s="218" t="s">
        <v>381</v>
      </c>
      <c r="D232" s="218" t="b">
        <v>1</v>
      </c>
      <c r="E232" s="219" t="b">
        <v>0</v>
      </c>
      <c r="F232" s="219" t="b">
        <v>0</v>
      </c>
      <c r="G232" s="219"/>
    </row>
    <row r="233">
      <c r="A233" s="218">
        <f t="shared" si="1"/>
        <v>232</v>
      </c>
      <c r="B233" s="218" t="s">
        <v>201</v>
      </c>
      <c r="C233" s="218" t="s">
        <v>1461</v>
      </c>
      <c r="D233" s="218" t="b">
        <v>1</v>
      </c>
      <c r="E233" s="219" t="b">
        <v>0</v>
      </c>
      <c r="F233" s="219" t="b">
        <v>0</v>
      </c>
      <c r="G233" s="219"/>
    </row>
    <row r="234">
      <c r="A234" s="218">
        <f t="shared" si="1"/>
        <v>233</v>
      </c>
      <c r="B234" s="218" t="s">
        <v>201</v>
      </c>
      <c r="C234" s="218" t="s">
        <v>4106</v>
      </c>
      <c r="D234" s="218" t="b">
        <v>1</v>
      </c>
      <c r="E234" s="219" t="b">
        <v>0</v>
      </c>
      <c r="F234" s="219" t="b">
        <v>0</v>
      </c>
      <c r="G234" s="219"/>
    </row>
    <row r="235">
      <c r="A235" s="218">
        <f t="shared" si="1"/>
        <v>234</v>
      </c>
      <c r="B235" s="218" t="s">
        <v>201</v>
      </c>
      <c r="C235" s="218" t="s">
        <v>1558</v>
      </c>
      <c r="D235" s="218" t="b">
        <v>1</v>
      </c>
      <c r="E235" s="219" t="b">
        <v>0</v>
      </c>
      <c r="F235" s="219" t="b">
        <v>0</v>
      </c>
      <c r="G235" s="219"/>
    </row>
    <row r="236">
      <c r="A236" s="218">
        <f t="shared" si="1"/>
        <v>235</v>
      </c>
      <c r="B236" s="218" t="s">
        <v>201</v>
      </c>
      <c r="C236" s="218" t="s">
        <v>5447</v>
      </c>
      <c r="D236" s="218" t="b">
        <v>1</v>
      </c>
      <c r="E236" s="219" t="b">
        <v>0</v>
      </c>
      <c r="F236" s="219" t="b">
        <v>0</v>
      </c>
      <c r="G236" s="219"/>
    </row>
    <row r="237">
      <c r="A237" s="218">
        <f t="shared" si="1"/>
        <v>236</v>
      </c>
      <c r="B237" s="218" t="s">
        <v>201</v>
      </c>
      <c r="C237" s="218" t="s">
        <v>1676</v>
      </c>
      <c r="D237" s="218" t="b">
        <v>1</v>
      </c>
      <c r="E237" s="219" t="b">
        <v>0</v>
      </c>
      <c r="F237" s="219" t="b">
        <v>0</v>
      </c>
      <c r="G237" s="219"/>
    </row>
    <row r="238">
      <c r="A238" s="218">
        <f t="shared" si="1"/>
        <v>237</v>
      </c>
      <c r="B238" s="218" t="s">
        <v>201</v>
      </c>
      <c r="C238" s="218" t="s">
        <v>1681</v>
      </c>
      <c r="D238" s="218" t="b">
        <v>1</v>
      </c>
      <c r="E238" s="219" t="b">
        <v>0</v>
      </c>
      <c r="F238" s="219" t="b">
        <v>0</v>
      </c>
      <c r="G238" s="219"/>
    </row>
    <row r="239">
      <c r="A239" s="218">
        <f t="shared" si="1"/>
        <v>238</v>
      </c>
      <c r="B239" s="218" t="s">
        <v>201</v>
      </c>
      <c r="C239" s="218" t="s">
        <v>2687</v>
      </c>
      <c r="D239" s="218" t="b">
        <v>1</v>
      </c>
      <c r="E239" s="219" t="b">
        <v>0</v>
      </c>
      <c r="F239" s="219" t="b">
        <v>0</v>
      </c>
      <c r="G239" s="219"/>
    </row>
    <row r="240">
      <c r="A240" s="218">
        <f t="shared" si="1"/>
        <v>239</v>
      </c>
      <c r="B240" s="218" t="s">
        <v>201</v>
      </c>
      <c r="C240" s="218" t="s">
        <v>1576</v>
      </c>
      <c r="D240" s="218" t="b">
        <v>1</v>
      </c>
      <c r="E240" s="219" t="b">
        <v>0</v>
      </c>
      <c r="F240" s="219" t="b">
        <v>0</v>
      </c>
      <c r="G240" s="219"/>
    </row>
    <row r="241">
      <c r="A241" s="218">
        <f t="shared" si="1"/>
        <v>240</v>
      </c>
      <c r="B241" s="218" t="s">
        <v>201</v>
      </c>
      <c r="C241" s="218" t="s">
        <v>4355</v>
      </c>
      <c r="D241" s="218" t="b">
        <v>1</v>
      </c>
      <c r="E241" s="219" t="b">
        <v>0</v>
      </c>
      <c r="F241" s="219" t="b">
        <v>0</v>
      </c>
      <c r="G241" s="219"/>
    </row>
    <row r="242">
      <c r="A242" s="218">
        <f t="shared" si="1"/>
        <v>241</v>
      </c>
      <c r="B242" s="218" t="s">
        <v>201</v>
      </c>
      <c r="C242" s="218" t="s">
        <v>1567</v>
      </c>
      <c r="D242" s="218" t="b">
        <v>1</v>
      </c>
      <c r="E242" s="219" t="b">
        <v>0</v>
      </c>
      <c r="F242" s="219" t="b">
        <v>0</v>
      </c>
      <c r="G242" s="219"/>
    </row>
    <row r="243">
      <c r="A243" s="218">
        <f t="shared" si="1"/>
        <v>242</v>
      </c>
      <c r="B243" s="218" t="s">
        <v>201</v>
      </c>
      <c r="C243" s="218" t="s">
        <v>1549</v>
      </c>
      <c r="D243" s="218" t="b">
        <v>1</v>
      </c>
      <c r="E243" s="219" t="b">
        <v>0</v>
      </c>
      <c r="F243" s="219" t="b">
        <v>0</v>
      </c>
      <c r="G243" s="219"/>
    </row>
    <row r="244">
      <c r="A244" s="218">
        <f t="shared" si="1"/>
        <v>243</v>
      </c>
      <c r="B244" s="218" t="s">
        <v>201</v>
      </c>
      <c r="C244" s="218" t="s">
        <v>1509</v>
      </c>
      <c r="D244" s="218" t="b">
        <v>1</v>
      </c>
      <c r="E244" s="219" t="b">
        <v>0</v>
      </c>
      <c r="F244" s="219" t="b">
        <v>0</v>
      </c>
      <c r="G244" s="219"/>
    </row>
    <row r="245">
      <c r="A245" s="218">
        <f t="shared" si="1"/>
        <v>244</v>
      </c>
      <c r="B245" s="218" t="s">
        <v>201</v>
      </c>
      <c r="C245" s="218" t="s">
        <v>1803</v>
      </c>
      <c r="D245" s="218" t="b">
        <v>1</v>
      </c>
      <c r="E245" s="219" t="b">
        <v>0</v>
      </c>
      <c r="F245" s="219" t="b">
        <v>0</v>
      </c>
      <c r="G245" s="219"/>
    </row>
    <row r="246">
      <c r="A246" s="218">
        <f t="shared" si="1"/>
        <v>245</v>
      </c>
      <c r="B246" s="218" t="s">
        <v>201</v>
      </c>
      <c r="C246" s="218" t="s">
        <v>1484</v>
      </c>
      <c r="D246" s="218" t="b">
        <v>1</v>
      </c>
      <c r="E246" s="219" t="b">
        <v>0</v>
      </c>
      <c r="F246" s="219" t="b">
        <v>0</v>
      </c>
      <c r="G246" s="219"/>
    </row>
    <row r="247">
      <c r="A247" s="218">
        <f t="shared" si="1"/>
        <v>246</v>
      </c>
      <c r="B247" s="218" t="s">
        <v>201</v>
      </c>
      <c r="C247" s="218" t="s">
        <v>1169</v>
      </c>
      <c r="D247" s="218" t="b">
        <v>1</v>
      </c>
      <c r="E247" s="219" t="b">
        <v>0</v>
      </c>
      <c r="F247" s="219" t="b">
        <v>0</v>
      </c>
      <c r="G247" s="219"/>
    </row>
    <row r="248">
      <c r="A248" s="218">
        <f t="shared" si="1"/>
        <v>247</v>
      </c>
      <c r="B248" s="218" t="s">
        <v>201</v>
      </c>
      <c r="C248" s="218" t="s">
        <v>1494</v>
      </c>
      <c r="D248" s="218" t="b">
        <v>1</v>
      </c>
      <c r="E248" s="219" t="b">
        <v>0</v>
      </c>
      <c r="F248" s="219" t="b">
        <v>0</v>
      </c>
      <c r="G248" s="219"/>
    </row>
    <row r="249">
      <c r="A249" s="218">
        <f t="shared" si="1"/>
        <v>248</v>
      </c>
      <c r="B249" s="218" t="s">
        <v>201</v>
      </c>
      <c r="C249" s="218" t="s">
        <v>1563</v>
      </c>
      <c r="D249" s="218" t="b">
        <v>1</v>
      </c>
      <c r="E249" s="219" t="b">
        <v>0</v>
      </c>
      <c r="F249" s="219" t="b">
        <v>0</v>
      </c>
      <c r="G249" s="219"/>
    </row>
    <row r="250">
      <c r="A250" s="218">
        <f t="shared" si="1"/>
        <v>249</v>
      </c>
      <c r="B250" s="218" t="s">
        <v>201</v>
      </c>
      <c r="C250" s="218" t="s">
        <v>1539</v>
      </c>
      <c r="D250" s="218" t="b">
        <v>1</v>
      </c>
      <c r="E250" s="219" t="b">
        <v>0</v>
      </c>
      <c r="F250" s="219" t="b">
        <v>0</v>
      </c>
      <c r="G250" s="219"/>
    </row>
    <row r="251">
      <c r="A251" s="218">
        <f t="shared" si="1"/>
        <v>250</v>
      </c>
      <c r="B251" s="218" t="s">
        <v>201</v>
      </c>
      <c r="C251" s="218" t="s">
        <v>1466</v>
      </c>
      <c r="D251" s="218" t="b">
        <v>1</v>
      </c>
      <c r="E251" s="219" t="b">
        <v>0</v>
      </c>
      <c r="F251" s="219" t="b">
        <v>0</v>
      </c>
      <c r="G251" s="219"/>
    </row>
    <row r="252">
      <c r="A252" s="218">
        <f t="shared" si="1"/>
        <v>251</v>
      </c>
      <c r="B252" s="218" t="s">
        <v>201</v>
      </c>
      <c r="C252" s="218" t="s">
        <v>1554</v>
      </c>
      <c r="D252" s="218" t="b">
        <v>1</v>
      </c>
      <c r="E252" s="219" t="b">
        <v>0</v>
      </c>
      <c r="F252" s="219" t="b">
        <v>0</v>
      </c>
      <c r="G252" s="219"/>
    </row>
    <row r="253">
      <c r="A253" s="218">
        <f t="shared" si="1"/>
        <v>252</v>
      </c>
      <c r="B253" s="218" t="s">
        <v>201</v>
      </c>
      <c r="C253" s="218" t="s">
        <v>1471</v>
      </c>
      <c r="D253" s="218" t="b">
        <v>1</v>
      </c>
      <c r="E253" s="219" t="b">
        <v>0</v>
      </c>
      <c r="F253" s="219" t="b">
        <v>0</v>
      </c>
      <c r="G253" s="219"/>
    </row>
    <row r="254">
      <c r="A254" s="218">
        <f t="shared" si="1"/>
        <v>253</v>
      </c>
      <c r="B254" s="218" t="s">
        <v>201</v>
      </c>
      <c r="C254" s="218" t="s">
        <v>1845</v>
      </c>
      <c r="D254" s="218" t="b">
        <v>1</v>
      </c>
      <c r="E254" s="219" t="b">
        <v>0</v>
      </c>
      <c r="F254" s="219" t="b">
        <v>0</v>
      </c>
      <c r="G254" s="219"/>
    </row>
    <row r="255">
      <c r="A255" s="218">
        <f t="shared" si="1"/>
        <v>254</v>
      </c>
      <c r="B255" s="218" t="s">
        <v>201</v>
      </c>
      <c r="C255" s="218" t="s">
        <v>1534</v>
      </c>
      <c r="D255" s="218" t="b">
        <v>1</v>
      </c>
      <c r="E255" s="219" t="b">
        <v>0</v>
      </c>
      <c r="F255" s="219" t="b">
        <v>0</v>
      </c>
      <c r="G255" s="219"/>
    </row>
    <row r="256">
      <c r="A256" s="218">
        <f t="shared" si="1"/>
        <v>255</v>
      </c>
      <c r="B256" s="218" t="s">
        <v>201</v>
      </c>
      <c r="C256" s="218" t="s">
        <v>1529</v>
      </c>
      <c r="D256" s="218" t="b">
        <v>1</v>
      </c>
      <c r="E256" s="219" t="b">
        <v>0</v>
      </c>
      <c r="F256" s="219" t="b">
        <v>0</v>
      </c>
      <c r="G256" s="219"/>
    </row>
    <row r="257">
      <c r="A257" s="218">
        <f t="shared" si="1"/>
        <v>256</v>
      </c>
      <c r="B257" s="218" t="s">
        <v>201</v>
      </c>
      <c r="C257" s="218" t="s">
        <v>1514</v>
      </c>
      <c r="D257" s="218" t="b">
        <v>1</v>
      </c>
      <c r="E257" s="219" t="b">
        <v>0</v>
      </c>
      <c r="F257" s="219" t="b">
        <v>0</v>
      </c>
      <c r="G257" s="219"/>
    </row>
    <row r="258">
      <c r="A258" s="218">
        <f t="shared" si="1"/>
        <v>257</v>
      </c>
      <c r="B258" s="218" t="s">
        <v>201</v>
      </c>
      <c r="C258" s="218" t="s">
        <v>3394</v>
      </c>
      <c r="D258" s="218" t="b">
        <v>1</v>
      </c>
      <c r="E258" s="219" t="b">
        <v>0</v>
      </c>
      <c r="F258" s="219" t="b">
        <v>0</v>
      </c>
      <c r="G258" s="219"/>
    </row>
    <row r="259">
      <c r="A259" s="218">
        <f t="shared" si="1"/>
        <v>258</v>
      </c>
      <c r="B259" s="218" t="s">
        <v>201</v>
      </c>
      <c r="C259" s="218" t="s">
        <v>1594</v>
      </c>
      <c r="D259" s="218" t="b">
        <v>1</v>
      </c>
      <c r="E259" s="219" t="b">
        <v>0</v>
      </c>
      <c r="F259" s="219" t="b">
        <v>0</v>
      </c>
      <c r="G259" s="219"/>
    </row>
    <row r="260">
      <c r="A260" s="218">
        <f t="shared" si="1"/>
        <v>259</v>
      </c>
      <c r="B260" s="218" t="s">
        <v>201</v>
      </c>
      <c r="C260" s="218" t="s">
        <v>1135</v>
      </c>
      <c r="D260" s="218" t="b">
        <v>1</v>
      </c>
      <c r="E260" s="219" t="b">
        <v>0</v>
      </c>
      <c r="F260" s="219" t="b">
        <v>0</v>
      </c>
      <c r="G260" s="219"/>
    </row>
    <row r="261">
      <c r="A261" s="218">
        <f t="shared" si="1"/>
        <v>260</v>
      </c>
      <c r="B261" s="218" t="s">
        <v>201</v>
      </c>
      <c r="C261" s="218" t="s">
        <v>1615</v>
      </c>
      <c r="D261" s="218" t="b">
        <v>1</v>
      </c>
      <c r="E261" s="219" t="b">
        <v>0</v>
      </c>
      <c r="F261" s="219" t="b">
        <v>0</v>
      </c>
      <c r="G261" s="219"/>
    </row>
    <row r="262">
      <c r="A262" s="218">
        <f t="shared" si="1"/>
        <v>261</v>
      </c>
      <c r="B262" s="218" t="s">
        <v>201</v>
      </c>
      <c r="C262" s="218" t="s">
        <v>3647</v>
      </c>
      <c r="D262" s="218" t="b">
        <v>1</v>
      </c>
      <c r="E262" s="219" t="b">
        <v>0</v>
      </c>
      <c r="F262" s="219" t="b">
        <v>0</v>
      </c>
      <c r="G262" s="219"/>
    </row>
    <row r="263">
      <c r="A263" s="218">
        <f t="shared" si="1"/>
        <v>262</v>
      </c>
      <c r="B263" s="218" t="s">
        <v>201</v>
      </c>
      <c r="C263" s="218" t="s">
        <v>1646</v>
      </c>
      <c r="D263" s="218" t="b">
        <v>1</v>
      </c>
      <c r="E263" s="219" t="b">
        <v>0</v>
      </c>
      <c r="F263" s="219" t="b">
        <v>0</v>
      </c>
      <c r="G263" s="219"/>
    </row>
    <row r="264">
      <c r="A264" s="218">
        <f t="shared" si="1"/>
        <v>263</v>
      </c>
      <c r="B264" s="218" t="s">
        <v>201</v>
      </c>
      <c r="C264" s="218" t="s">
        <v>2781</v>
      </c>
      <c r="D264" s="218" t="b">
        <v>1</v>
      </c>
      <c r="E264" s="219" t="b">
        <v>0</v>
      </c>
      <c r="F264" s="219" t="b">
        <v>0</v>
      </c>
      <c r="G264" s="219"/>
    </row>
    <row r="265">
      <c r="A265" s="218">
        <f t="shared" si="1"/>
        <v>264</v>
      </c>
      <c r="B265" s="218" t="s">
        <v>201</v>
      </c>
      <c r="C265" s="218" t="s">
        <v>1620</v>
      </c>
      <c r="D265" s="218" t="b">
        <v>1</v>
      </c>
      <c r="E265" s="219" t="b">
        <v>0</v>
      </c>
      <c r="F265" s="219" t="b">
        <v>0</v>
      </c>
      <c r="G265" s="219"/>
    </row>
    <row r="266">
      <c r="A266" s="218">
        <f t="shared" si="1"/>
        <v>265</v>
      </c>
      <c r="B266" s="218" t="s">
        <v>201</v>
      </c>
      <c r="C266" s="218" t="s">
        <v>4284</v>
      </c>
      <c r="D266" s="218" t="b">
        <v>1</v>
      </c>
      <c r="E266" s="219" t="b">
        <v>0</v>
      </c>
      <c r="F266" s="219" t="b">
        <v>0</v>
      </c>
      <c r="G266" s="219"/>
    </row>
    <row r="267">
      <c r="A267" s="218">
        <f t="shared" si="1"/>
        <v>266</v>
      </c>
      <c r="B267" s="218" t="s">
        <v>201</v>
      </c>
      <c r="C267" s="218" t="s">
        <v>1589</v>
      </c>
      <c r="D267" s="218" t="b">
        <v>1</v>
      </c>
      <c r="E267" s="219" t="b">
        <v>0</v>
      </c>
      <c r="F267" s="219" t="b">
        <v>0</v>
      </c>
      <c r="G267" s="219"/>
    </row>
    <row r="268">
      <c r="A268" s="218">
        <f t="shared" si="1"/>
        <v>267</v>
      </c>
      <c r="B268" s="218" t="s">
        <v>201</v>
      </c>
      <c r="C268" s="218" t="s">
        <v>3565</v>
      </c>
      <c r="D268" s="218" t="b">
        <v>1</v>
      </c>
      <c r="E268" s="219" t="b">
        <v>0</v>
      </c>
      <c r="F268" s="219" t="b">
        <v>0</v>
      </c>
      <c r="G268" s="219"/>
    </row>
    <row r="269">
      <c r="A269" s="218">
        <f t="shared" si="1"/>
        <v>268</v>
      </c>
      <c r="B269" s="218" t="s">
        <v>201</v>
      </c>
      <c r="C269" s="218" t="s">
        <v>1625</v>
      </c>
      <c r="D269" s="218" t="b">
        <v>1</v>
      </c>
      <c r="E269" s="219" t="b">
        <v>0</v>
      </c>
      <c r="F269" s="219" t="b">
        <v>0</v>
      </c>
      <c r="G269" s="219"/>
    </row>
    <row r="270">
      <c r="A270" s="218">
        <f t="shared" si="1"/>
        <v>269</v>
      </c>
      <c r="B270" s="218" t="s">
        <v>201</v>
      </c>
      <c r="C270" s="218" t="s">
        <v>1632</v>
      </c>
      <c r="D270" s="218" t="b">
        <v>1</v>
      </c>
      <c r="E270" s="219" t="b">
        <v>0</v>
      </c>
      <c r="F270" s="219" t="b">
        <v>0</v>
      </c>
      <c r="G270" s="219"/>
    </row>
    <row r="271">
      <c r="A271" s="218">
        <f t="shared" si="1"/>
        <v>270</v>
      </c>
      <c r="B271" s="218" t="s">
        <v>201</v>
      </c>
      <c r="C271" s="218" t="s">
        <v>1602</v>
      </c>
      <c r="D271" s="218" t="b">
        <v>1</v>
      </c>
      <c r="E271" s="219" t="b">
        <v>0</v>
      </c>
      <c r="F271" s="219" t="b">
        <v>0</v>
      </c>
      <c r="G271" s="219"/>
    </row>
    <row r="272">
      <c r="A272" s="218">
        <f t="shared" si="1"/>
        <v>271</v>
      </c>
      <c r="B272" s="218" t="s">
        <v>201</v>
      </c>
      <c r="C272" s="218" t="s">
        <v>2591</v>
      </c>
      <c r="D272" s="218" t="b">
        <v>1</v>
      </c>
      <c r="E272" s="219" t="b">
        <v>0</v>
      </c>
      <c r="F272" s="219" t="b">
        <v>0</v>
      </c>
      <c r="G272" s="219"/>
    </row>
    <row r="273">
      <c r="A273" s="218">
        <f t="shared" si="1"/>
        <v>272</v>
      </c>
      <c r="B273" s="218" t="s">
        <v>201</v>
      </c>
      <c r="C273" s="218" t="s">
        <v>1597</v>
      </c>
      <c r="D273" s="218" t="b">
        <v>1</v>
      </c>
      <c r="E273" s="219" t="b">
        <v>0</v>
      </c>
      <c r="F273" s="219" t="b">
        <v>0</v>
      </c>
      <c r="G273" s="219"/>
    </row>
    <row r="274">
      <c r="A274" s="218">
        <f t="shared" si="1"/>
        <v>273</v>
      </c>
      <c r="B274" s="218" t="s">
        <v>201</v>
      </c>
      <c r="C274" s="218" t="s">
        <v>2814</v>
      </c>
      <c r="D274" s="218" t="b">
        <v>1</v>
      </c>
      <c r="E274" s="219" t="b">
        <v>0</v>
      </c>
      <c r="F274" s="219" t="b">
        <v>0</v>
      </c>
      <c r="G274" s="219"/>
    </row>
    <row r="275">
      <c r="A275" s="218">
        <f t="shared" si="1"/>
        <v>274</v>
      </c>
      <c r="B275" s="218" t="s">
        <v>201</v>
      </c>
      <c r="C275" s="218" t="s">
        <v>3324</v>
      </c>
      <c r="D275" s="218" t="b">
        <v>1</v>
      </c>
      <c r="E275" s="219" t="b">
        <v>0</v>
      </c>
      <c r="F275" s="219" t="b">
        <v>0</v>
      </c>
      <c r="G275" s="219"/>
    </row>
    <row r="276">
      <c r="A276" s="218">
        <f t="shared" si="1"/>
        <v>275</v>
      </c>
      <c r="B276" s="218" t="s">
        <v>201</v>
      </c>
      <c r="C276" s="218" t="s">
        <v>2818</v>
      </c>
      <c r="D276" s="218" t="b">
        <v>1</v>
      </c>
      <c r="E276" s="219" t="b">
        <v>0</v>
      </c>
      <c r="F276" s="219" t="b">
        <v>0</v>
      </c>
      <c r="G276" s="219"/>
    </row>
    <row r="277">
      <c r="A277" s="218">
        <f t="shared" si="1"/>
        <v>276</v>
      </c>
      <c r="B277" s="218" t="s">
        <v>201</v>
      </c>
      <c r="C277" s="218" t="s">
        <v>2828</v>
      </c>
      <c r="D277" s="218" t="b">
        <v>1</v>
      </c>
      <c r="E277" s="219" t="b">
        <v>0</v>
      </c>
      <c r="F277" s="219" t="b">
        <v>0</v>
      </c>
      <c r="G277" s="219"/>
    </row>
    <row r="278">
      <c r="A278" s="218">
        <f t="shared" si="1"/>
        <v>277</v>
      </c>
      <c r="B278" s="218" t="s">
        <v>201</v>
      </c>
      <c r="C278" s="218" t="s">
        <v>2837</v>
      </c>
      <c r="D278" s="218" t="b">
        <v>1</v>
      </c>
      <c r="E278" s="219" t="b">
        <v>0</v>
      </c>
      <c r="F278" s="219" t="b">
        <v>0</v>
      </c>
      <c r="G278" s="219"/>
    </row>
    <row r="279">
      <c r="A279" s="218">
        <f t="shared" si="1"/>
        <v>278</v>
      </c>
      <c r="B279" s="218" t="s">
        <v>201</v>
      </c>
      <c r="C279" s="218" t="s">
        <v>5118</v>
      </c>
      <c r="D279" s="218" t="b">
        <v>1</v>
      </c>
      <c r="E279" s="219" t="b">
        <v>0</v>
      </c>
      <c r="F279" s="219" t="b">
        <v>0</v>
      </c>
      <c r="G279" s="219"/>
    </row>
    <row r="280">
      <c r="A280" s="218">
        <f t="shared" si="1"/>
        <v>279</v>
      </c>
      <c r="B280" s="218" t="s">
        <v>201</v>
      </c>
      <c r="C280" s="218" t="s">
        <v>2842</v>
      </c>
      <c r="D280" s="218" t="b">
        <v>1</v>
      </c>
      <c r="E280" s="219" t="b">
        <v>0</v>
      </c>
      <c r="F280" s="219" t="b">
        <v>0</v>
      </c>
      <c r="G280" s="219"/>
    </row>
    <row r="281">
      <c r="A281" s="218">
        <f t="shared" si="1"/>
        <v>280</v>
      </c>
      <c r="B281" s="218" t="s">
        <v>201</v>
      </c>
      <c r="C281" s="218" t="s">
        <v>2847</v>
      </c>
      <c r="D281" s="218" t="b">
        <v>1</v>
      </c>
      <c r="E281" s="219" t="b">
        <v>0</v>
      </c>
      <c r="F281" s="219" t="b">
        <v>0</v>
      </c>
      <c r="G281" s="219"/>
    </row>
    <row r="282">
      <c r="A282" s="218">
        <f t="shared" si="1"/>
        <v>281</v>
      </c>
      <c r="B282" s="218" t="s">
        <v>201</v>
      </c>
      <c r="C282" s="218" t="s">
        <v>2852</v>
      </c>
      <c r="D282" s="218" t="b">
        <v>1</v>
      </c>
      <c r="E282" s="219" t="b">
        <v>0</v>
      </c>
      <c r="F282" s="219" t="b">
        <v>0</v>
      </c>
      <c r="G282" s="219"/>
    </row>
    <row r="283">
      <c r="A283" s="218">
        <f t="shared" si="1"/>
        <v>282</v>
      </c>
      <c r="B283" s="218" t="s">
        <v>201</v>
      </c>
      <c r="C283" s="218" t="s">
        <v>2857</v>
      </c>
      <c r="D283" s="218" t="b">
        <v>1</v>
      </c>
      <c r="E283" s="219" t="b">
        <v>0</v>
      </c>
      <c r="F283" s="219" t="b">
        <v>0</v>
      </c>
      <c r="G283" s="219"/>
    </row>
    <row r="284">
      <c r="A284" s="218">
        <f t="shared" si="1"/>
        <v>283</v>
      </c>
      <c r="B284" s="218" t="s">
        <v>201</v>
      </c>
      <c r="C284" s="218" t="s">
        <v>1364</v>
      </c>
      <c r="D284" s="218" t="b">
        <v>1</v>
      </c>
      <c r="E284" s="219" t="b">
        <v>0</v>
      </c>
      <c r="F284" s="219" t="b">
        <v>0</v>
      </c>
      <c r="G284" s="219"/>
    </row>
    <row r="285">
      <c r="A285" s="218">
        <f t="shared" si="1"/>
        <v>284</v>
      </c>
      <c r="B285" s="218" t="s">
        <v>201</v>
      </c>
      <c r="C285" s="218" t="s">
        <v>2871</v>
      </c>
      <c r="D285" s="218" t="b">
        <v>1</v>
      </c>
      <c r="E285" s="219" t="b">
        <v>0</v>
      </c>
      <c r="F285" s="219" t="b">
        <v>0</v>
      </c>
      <c r="G285" s="219"/>
    </row>
    <row r="286">
      <c r="A286" s="218">
        <f t="shared" si="1"/>
        <v>285</v>
      </c>
      <c r="B286" s="218" t="s">
        <v>201</v>
      </c>
      <c r="C286" s="218" t="s">
        <v>2879</v>
      </c>
      <c r="D286" s="218" t="b">
        <v>1</v>
      </c>
      <c r="E286" s="219" t="b">
        <v>0</v>
      </c>
      <c r="F286" s="219" t="b">
        <v>0</v>
      </c>
      <c r="G286" s="219"/>
    </row>
    <row r="287">
      <c r="A287" s="218">
        <f t="shared" si="1"/>
        <v>286</v>
      </c>
      <c r="B287" s="218" t="s">
        <v>201</v>
      </c>
      <c r="C287" s="218" t="s">
        <v>2887</v>
      </c>
      <c r="D287" s="218" t="b">
        <v>1</v>
      </c>
      <c r="E287" s="219" t="b">
        <v>0</v>
      </c>
      <c r="F287" s="219" t="b">
        <v>0</v>
      </c>
      <c r="G287" s="219"/>
    </row>
    <row r="288">
      <c r="A288" s="218">
        <f t="shared" si="1"/>
        <v>287</v>
      </c>
      <c r="B288" s="218" t="s">
        <v>201</v>
      </c>
      <c r="C288" s="218" t="s">
        <v>4421</v>
      </c>
      <c r="D288" s="218" t="b">
        <v>1</v>
      </c>
      <c r="E288" s="219" t="b">
        <v>0</v>
      </c>
      <c r="F288" s="219" t="b">
        <v>0</v>
      </c>
      <c r="G288" s="219"/>
    </row>
    <row r="289">
      <c r="A289" s="218">
        <f t="shared" si="1"/>
        <v>288</v>
      </c>
      <c r="B289" s="218" t="s">
        <v>201</v>
      </c>
      <c r="C289" s="218" t="s">
        <v>2892</v>
      </c>
      <c r="D289" s="218" t="b">
        <v>1</v>
      </c>
      <c r="E289" s="219" t="b">
        <v>0</v>
      </c>
      <c r="F289" s="219" t="b">
        <v>0</v>
      </c>
      <c r="G289" s="219"/>
    </row>
    <row r="290">
      <c r="A290" s="218">
        <f t="shared" si="1"/>
        <v>289</v>
      </c>
      <c r="B290" s="218" t="s">
        <v>201</v>
      </c>
      <c r="C290" s="218" t="s">
        <v>2901</v>
      </c>
      <c r="D290" s="218" t="b">
        <v>1</v>
      </c>
      <c r="E290" s="219" t="b">
        <v>0</v>
      </c>
      <c r="F290" s="219" t="b">
        <v>0</v>
      </c>
      <c r="G290" s="219"/>
    </row>
    <row r="291">
      <c r="A291" s="218">
        <f t="shared" si="1"/>
        <v>290</v>
      </c>
      <c r="B291" s="218" t="s">
        <v>201</v>
      </c>
      <c r="C291" s="218" t="s">
        <v>2905</v>
      </c>
      <c r="D291" s="218" t="b">
        <v>1</v>
      </c>
      <c r="E291" s="219" t="b">
        <v>0</v>
      </c>
      <c r="F291" s="219" t="b">
        <v>0</v>
      </c>
      <c r="G291" s="219"/>
    </row>
    <row r="292">
      <c r="A292" s="218">
        <f t="shared" si="1"/>
        <v>291</v>
      </c>
      <c r="B292" s="218" t="s">
        <v>201</v>
      </c>
      <c r="C292" s="218" t="s">
        <v>2910</v>
      </c>
      <c r="D292" s="218" t="b">
        <v>1</v>
      </c>
      <c r="E292" s="219" t="b">
        <v>0</v>
      </c>
      <c r="F292" s="219" t="b">
        <v>0</v>
      </c>
      <c r="G292" s="219"/>
    </row>
    <row r="293">
      <c r="A293" s="218">
        <f t="shared" si="1"/>
        <v>292</v>
      </c>
      <c r="B293" s="218" t="s">
        <v>201</v>
      </c>
      <c r="C293" s="218" t="s">
        <v>2771</v>
      </c>
      <c r="D293" s="218" t="b">
        <v>1</v>
      </c>
      <c r="E293" s="219" t="b">
        <v>0</v>
      </c>
      <c r="F293" s="219" t="b">
        <v>0</v>
      </c>
      <c r="G293" s="219"/>
    </row>
    <row r="294">
      <c r="A294" s="218">
        <f t="shared" si="1"/>
        <v>293</v>
      </c>
      <c r="B294" s="218" t="s">
        <v>201</v>
      </c>
      <c r="C294" s="218" t="s">
        <v>2915</v>
      </c>
      <c r="D294" s="218" t="b">
        <v>1</v>
      </c>
      <c r="E294" s="219" t="b">
        <v>0</v>
      </c>
      <c r="F294" s="219" t="b">
        <v>0</v>
      </c>
      <c r="G294" s="219"/>
    </row>
    <row r="295">
      <c r="A295" s="218">
        <f t="shared" si="1"/>
        <v>294</v>
      </c>
      <c r="B295" s="218" t="s">
        <v>201</v>
      </c>
      <c r="C295" s="218" t="s">
        <v>2167</v>
      </c>
      <c r="D295" s="218" t="b">
        <v>1</v>
      </c>
      <c r="E295" s="219" t="b">
        <v>0</v>
      </c>
      <c r="F295" s="219" t="b">
        <v>0</v>
      </c>
      <c r="G295" s="219"/>
    </row>
    <row r="296">
      <c r="A296" s="218">
        <f t="shared" si="1"/>
        <v>295</v>
      </c>
      <c r="B296" s="218" t="s">
        <v>201</v>
      </c>
      <c r="C296" s="218" t="s">
        <v>2920</v>
      </c>
      <c r="D296" s="218" t="b">
        <v>1</v>
      </c>
      <c r="E296" s="219" t="b">
        <v>0</v>
      </c>
      <c r="F296" s="219" t="b">
        <v>0</v>
      </c>
      <c r="G296" s="219"/>
    </row>
    <row r="297">
      <c r="A297" s="218">
        <f t="shared" si="1"/>
        <v>296</v>
      </c>
      <c r="B297" s="218" t="s">
        <v>201</v>
      </c>
      <c r="C297" s="218" t="s">
        <v>1519</v>
      </c>
      <c r="D297" s="218" t="b">
        <v>1</v>
      </c>
      <c r="E297" s="219" t="b">
        <v>0</v>
      </c>
      <c r="F297" s="219" t="b">
        <v>0</v>
      </c>
      <c r="G297" s="219"/>
    </row>
    <row r="298">
      <c r="A298" s="218">
        <f t="shared" si="1"/>
        <v>297</v>
      </c>
      <c r="B298" s="218" t="s">
        <v>201</v>
      </c>
      <c r="C298" s="218" t="s">
        <v>2925</v>
      </c>
      <c r="D298" s="218" t="b">
        <v>1</v>
      </c>
      <c r="E298" s="219" t="b">
        <v>0</v>
      </c>
      <c r="F298" s="219" t="b">
        <v>0</v>
      </c>
      <c r="G298" s="219"/>
    </row>
    <row r="299">
      <c r="A299" s="218">
        <f t="shared" si="1"/>
        <v>298</v>
      </c>
      <c r="B299" s="218" t="s">
        <v>201</v>
      </c>
      <c r="C299" s="218" t="s">
        <v>4972</v>
      </c>
      <c r="D299" s="218" t="b">
        <v>1</v>
      </c>
      <c r="E299" s="219" t="b">
        <v>0</v>
      </c>
      <c r="F299" s="219" t="b">
        <v>0</v>
      </c>
      <c r="G299" s="219"/>
    </row>
    <row r="300">
      <c r="A300" s="218">
        <f t="shared" si="1"/>
        <v>299</v>
      </c>
      <c r="B300" s="218" t="s">
        <v>201</v>
      </c>
      <c r="C300" s="218" t="s">
        <v>2939</v>
      </c>
      <c r="D300" s="218" t="b">
        <v>1</v>
      </c>
      <c r="E300" s="219" t="b">
        <v>0</v>
      </c>
      <c r="F300" s="219" t="b">
        <v>0</v>
      </c>
      <c r="G300" s="219"/>
    </row>
    <row r="301">
      <c r="A301" s="218">
        <f t="shared" si="1"/>
        <v>300</v>
      </c>
      <c r="B301" s="218" t="s">
        <v>201</v>
      </c>
      <c r="C301" s="218" t="s">
        <v>1451</v>
      </c>
      <c r="D301" s="218" t="b">
        <v>1</v>
      </c>
      <c r="E301" s="219" t="b">
        <v>0</v>
      </c>
      <c r="F301" s="219" t="b">
        <v>0</v>
      </c>
      <c r="G301" s="219"/>
    </row>
    <row r="302">
      <c r="A302" s="218">
        <f t="shared" si="1"/>
        <v>301</v>
      </c>
      <c r="B302" s="218" t="s">
        <v>201</v>
      </c>
      <c r="C302" s="218" t="s">
        <v>2953</v>
      </c>
      <c r="D302" s="218" t="b">
        <v>1</v>
      </c>
      <c r="E302" s="219" t="b">
        <v>0</v>
      </c>
      <c r="F302" s="219" t="b">
        <v>0</v>
      </c>
      <c r="G302" s="219"/>
    </row>
    <row r="303">
      <c r="A303" s="218">
        <f t="shared" si="1"/>
        <v>302</v>
      </c>
      <c r="B303" s="218" t="s">
        <v>201</v>
      </c>
      <c r="C303" s="218" t="s">
        <v>3696</v>
      </c>
      <c r="D303" s="218" t="b">
        <v>1</v>
      </c>
      <c r="E303" s="219" t="b">
        <v>0</v>
      </c>
      <c r="F303" s="219" t="b">
        <v>0</v>
      </c>
      <c r="G303" s="219"/>
    </row>
    <row r="304">
      <c r="A304" s="218">
        <f t="shared" si="1"/>
        <v>303</v>
      </c>
      <c r="B304" s="218" t="s">
        <v>201</v>
      </c>
      <c r="C304" s="218" t="s">
        <v>2963</v>
      </c>
      <c r="D304" s="218" t="b">
        <v>1</v>
      </c>
      <c r="E304" s="219" t="b">
        <v>0</v>
      </c>
      <c r="F304" s="219" t="b">
        <v>0</v>
      </c>
      <c r="G304" s="219"/>
    </row>
    <row r="305">
      <c r="A305" s="218">
        <f t="shared" si="1"/>
        <v>304</v>
      </c>
      <c r="B305" s="218" t="s">
        <v>201</v>
      </c>
      <c r="C305" s="218" t="s">
        <v>2930</v>
      </c>
      <c r="D305" s="218" t="b">
        <v>1</v>
      </c>
      <c r="E305" s="219" t="b">
        <v>0</v>
      </c>
      <c r="F305" s="219" t="b">
        <v>0</v>
      </c>
      <c r="G305" s="219"/>
    </row>
    <row r="306">
      <c r="A306" s="218">
        <f t="shared" si="1"/>
        <v>305</v>
      </c>
      <c r="B306" s="218" t="s">
        <v>201</v>
      </c>
      <c r="C306" s="218" t="s">
        <v>2967</v>
      </c>
      <c r="D306" s="218" t="b">
        <v>1</v>
      </c>
      <c r="E306" s="219" t="b">
        <v>0</v>
      </c>
      <c r="F306" s="219" t="b">
        <v>0</v>
      </c>
      <c r="G306" s="219"/>
    </row>
    <row r="307">
      <c r="A307" s="218">
        <f t="shared" si="1"/>
        <v>306</v>
      </c>
      <c r="B307" s="218" t="s">
        <v>201</v>
      </c>
      <c r="C307" s="218" t="s">
        <v>2972</v>
      </c>
      <c r="D307" s="218" t="b">
        <v>1</v>
      </c>
      <c r="E307" s="219" t="b">
        <v>0</v>
      </c>
      <c r="F307" s="219" t="b">
        <v>0</v>
      </c>
      <c r="G307" s="219"/>
    </row>
    <row r="308">
      <c r="A308" s="218">
        <f t="shared" si="1"/>
        <v>307</v>
      </c>
      <c r="B308" s="218" t="s">
        <v>201</v>
      </c>
      <c r="C308" s="218" t="s">
        <v>3661</v>
      </c>
      <c r="D308" s="218" t="b">
        <v>1</v>
      </c>
      <c r="E308" s="219" t="b">
        <v>0</v>
      </c>
      <c r="F308" s="219" t="b">
        <v>0</v>
      </c>
      <c r="G308" s="219"/>
    </row>
    <row r="309">
      <c r="A309" s="218">
        <f t="shared" si="1"/>
        <v>308</v>
      </c>
      <c r="B309" s="218" t="s">
        <v>201</v>
      </c>
      <c r="C309" s="218" t="s">
        <v>2977</v>
      </c>
      <c r="D309" s="218" t="b">
        <v>1</v>
      </c>
      <c r="E309" s="219" t="b">
        <v>0</v>
      </c>
      <c r="F309" s="219" t="b">
        <v>0</v>
      </c>
      <c r="G309" s="219"/>
    </row>
    <row r="310">
      <c r="A310" s="218">
        <f t="shared" si="1"/>
        <v>309</v>
      </c>
      <c r="B310" s="218" t="s">
        <v>201</v>
      </c>
      <c r="C310" s="218" t="s">
        <v>3384</v>
      </c>
      <c r="D310" s="218" t="b">
        <v>1</v>
      </c>
      <c r="E310" s="219" t="b">
        <v>0</v>
      </c>
      <c r="F310" s="219" t="b">
        <v>0</v>
      </c>
      <c r="G310" s="219"/>
    </row>
    <row r="311">
      <c r="A311" s="218">
        <f t="shared" si="1"/>
        <v>310</v>
      </c>
      <c r="B311" s="218" t="s">
        <v>201</v>
      </c>
      <c r="C311" s="218" t="s">
        <v>3056</v>
      </c>
      <c r="D311" s="218" t="b">
        <v>1</v>
      </c>
      <c r="E311" s="219" t="b">
        <v>0</v>
      </c>
      <c r="F311" s="219" t="b">
        <v>0</v>
      </c>
      <c r="G311" s="219"/>
    </row>
    <row r="312">
      <c r="A312" s="218">
        <f t="shared" si="1"/>
        <v>311</v>
      </c>
      <c r="B312" s="218" t="s">
        <v>201</v>
      </c>
      <c r="C312" s="218" t="s">
        <v>3051</v>
      </c>
      <c r="D312" s="218" t="b">
        <v>1</v>
      </c>
      <c r="E312" s="219" t="b">
        <v>0</v>
      </c>
      <c r="F312" s="219" t="b">
        <v>0</v>
      </c>
      <c r="G312" s="219"/>
    </row>
    <row r="313">
      <c r="A313" s="218">
        <f t="shared" si="1"/>
        <v>312</v>
      </c>
      <c r="B313" s="218" t="s">
        <v>201</v>
      </c>
      <c r="C313" s="218" t="s">
        <v>3046</v>
      </c>
      <c r="D313" s="218" t="b">
        <v>1</v>
      </c>
      <c r="E313" s="219" t="b">
        <v>0</v>
      </c>
      <c r="F313" s="219" t="b">
        <v>0</v>
      </c>
      <c r="G313" s="219"/>
    </row>
    <row r="314">
      <c r="A314" s="218">
        <f t="shared" si="1"/>
        <v>313</v>
      </c>
      <c r="B314" s="218" t="s">
        <v>201</v>
      </c>
      <c r="C314" s="218" t="s">
        <v>2986</v>
      </c>
      <c r="D314" s="218" t="b">
        <v>1</v>
      </c>
      <c r="E314" s="219" t="b">
        <v>0</v>
      </c>
      <c r="F314" s="219" t="b">
        <v>0</v>
      </c>
      <c r="G314" s="219"/>
    </row>
    <row r="315">
      <c r="A315" s="218">
        <f t="shared" si="1"/>
        <v>314</v>
      </c>
      <c r="B315" s="218" t="s">
        <v>201</v>
      </c>
      <c r="C315" s="218" t="s">
        <v>2990</v>
      </c>
      <c r="D315" s="218" t="b">
        <v>1</v>
      </c>
      <c r="E315" s="219" t="b">
        <v>0</v>
      </c>
      <c r="F315" s="219" t="b">
        <v>0</v>
      </c>
      <c r="G315" s="219"/>
    </row>
    <row r="316">
      <c r="A316" s="218">
        <f t="shared" si="1"/>
        <v>315</v>
      </c>
      <c r="B316" s="218" t="s">
        <v>201</v>
      </c>
      <c r="C316" s="218" t="s">
        <v>2981</v>
      </c>
      <c r="D316" s="218" t="b">
        <v>1</v>
      </c>
      <c r="E316" s="219" t="b">
        <v>0</v>
      </c>
      <c r="F316" s="219" t="b">
        <v>0</v>
      </c>
      <c r="G316" s="219"/>
    </row>
    <row r="317">
      <c r="A317" s="218">
        <f t="shared" si="1"/>
        <v>316</v>
      </c>
      <c r="B317" s="218" t="s">
        <v>201</v>
      </c>
      <c r="C317" s="218" t="s">
        <v>366</v>
      </c>
      <c r="D317" s="218" t="b">
        <v>1</v>
      </c>
      <c r="E317" s="219" t="b">
        <v>0</v>
      </c>
      <c r="F317" s="219" t="b">
        <v>0</v>
      </c>
      <c r="G317" s="219"/>
    </row>
    <row r="318">
      <c r="A318" s="218">
        <f t="shared" si="1"/>
        <v>317</v>
      </c>
      <c r="B318" s="218" t="s">
        <v>201</v>
      </c>
      <c r="C318" s="218" t="s">
        <v>371</v>
      </c>
      <c r="D318" s="218" t="b">
        <v>1</v>
      </c>
      <c r="E318" s="219" t="b">
        <v>0</v>
      </c>
      <c r="F318" s="219" t="b">
        <v>0</v>
      </c>
      <c r="G318" s="219"/>
    </row>
    <row r="319">
      <c r="A319" s="218">
        <f t="shared" si="1"/>
        <v>318</v>
      </c>
      <c r="B319" s="218" t="s">
        <v>201</v>
      </c>
      <c r="C319" s="218" t="s">
        <v>376</v>
      </c>
      <c r="D319" s="218" t="b">
        <v>1</v>
      </c>
      <c r="E319" s="219" t="b">
        <v>0</v>
      </c>
      <c r="F319" s="219" t="b">
        <v>0</v>
      </c>
      <c r="G319" s="219"/>
    </row>
    <row r="320">
      <c r="A320" s="218">
        <f t="shared" si="1"/>
        <v>319</v>
      </c>
      <c r="B320" s="218" t="s">
        <v>201</v>
      </c>
      <c r="C320" s="218" t="s">
        <v>386</v>
      </c>
      <c r="D320" s="218" t="b">
        <v>1</v>
      </c>
      <c r="E320" s="219" t="b">
        <v>0</v>
      </c>
      <c r="F320" s="219" t="b">
        <v>0</v>
      </c>
      <c r="G320" s="219"/>
    </row>
    <row r="321">
      <c r="A321" s="218">
        <f t="shared" si="1"/>
        <v>320</v>
      </c>
      <c r="B321" s="218" t="s">
        <v>201</v>
      </c>
      <c r="C321" s="218" t="s">
        <v>391</v>
      </c>
      <c r="D321" s="218" t="b">
        <v>1</v>
      </c>
      <c r="E321" s="219" t="b">
        <v>0</v>
      </c>
      <c r="F321" s="219" t="b">
        <v>0</v>
      </c>
      <c r="G321" s="219"/>
    </row>
    <row r="322">
      <c r="A322" s="218">
        <f t="shared" si="1"/>
        <v>321</v>
      </c>
      <c r="B322" s="218" t="s">
        <v>201</v>
      </c>
      <c r="C322" s="218" t="s">
        <v>396</v>
      </c>
      <c r="D322" s="218" t="b">
        <v>1</v>
      </c>
      <c r="E322" s="219" t="b">
        <v>0</v>
      </c>
      <c r="F322" s="219" t="b">
        <v>0</v>
      </c>
      <c r="G322" s="219"/>
    </row>
    <row r="323">
      <c r="A323" s="218">
        <f t="shared" si="1"/>
        <v>322</v>
      </c>
      <c r="B323" s="218" t="s">
        <v>201</v>
      </c>
      <c r="C323" s="218" t="s">
        <v>406</v>
      </c>
      <c r="D323" s="218" t="b">
        <v>1</v>
      </c>
      <c r="E323" s="219" t="b">
        <v>0</v>
      </c>
      <c r="F323" s="219" t="b">
        <v>0</v>
      </c>
      <c r="G323" s="219"/>
    </row>
    <row r="324">
      <c r="A324" s="218">
        <f t="shared" si="1"/>
        <v>323</v>
      </c>
      <c r="B324" s="218" t="s">
        <v>201</v>
      </c>
      <c r="C324" s="218" t="s">
        <v>401</v>
      </c>
      <c r="D324" s="218" t="b">
        <v>1</v>
      </c>
      <c r="E324" s="219" t="b">
        <v>0</v>
      </c>
      <c r="F324" s="219" t="b">
        <v>0</v>
      </c>
      <c r="G324" s="219"/>
    </row>
    <row r="325">
      <c r="A325" s="218">
        <f t="shared" si="1"/>
        <v>324</v>
      </c>
      <c r="B325" s="218" t="s">
        <v>201</v>
      </c>
      <c r="C325" s="218" t="s">
        <v>411</v>
      </c>
      <c r="D325" s="218" t="b">
        <v>1</v>
      </c>
      <c r="E325" s="219" t="b">
        <v>0</v>
      </c>
      <c r="F325" s="219" t="b">
        <v>0</v>
      </c>
      <c r="G325" s="219"/>
    </row>
    <row r="326">
      <c r="A326" s="218">
        <f t="shared" si="1"/>
        <v>325</v>
      </c>
      <c r="B326" s="218" t="s">
        <v>201</v>
      </c>
      <c r="C326" s="218" t="s">
        <v>416</v>
      </c>
      <c r="D326" s="218" t="b">
        <v>1</v>
      </c>
      <c r="E326" s="219" t="b">
        <v>0</v>
      </c>
      <c r="F326" s="219" t="b">
        <v>0</v>
      </c>
      <c r="G326" s="219"/>
    </row>
    <row r="327">
      <c r="A327" s="218">
        <f t="shared" si="1"/>
        <v>326</v>
      </c>
      <c r="B327" s="218" t="s">
        <v>201</v>
      </c>
      <c r="C327" s="218" t="s">
        <v>421</v>
      </c>
      <c r="D327" s="218" t="b">
        <v>1</v>
      </c>
      <c r="E327" s="219" t="b">
        <v>0</v>
      </c>
      <c r="F327" s="219" t="b">
        <v>0</v>
      </c>
      <c r="G327" s="219"/>
    </row>
    <row r="328">
      <c r="A328" s="218">
        <f t="shared" si="1"/>
        <v>327</v>
      </c>
      <c r="B328" s="218" t="s">
        <v>201</v>
      </c>
      <c r="C328" s="218" t="s">
        <v>431</v>
      </c>
      <c r="D328" s="218" t="b">
        <v>1</v>
      </c>
      <c r="E328" s="219" t="b">
        <v>0</v>
      </c>
      <c r="F328" s="219" t="b">
        <v>0</v>
      </c>
      <c r="G328" s="219"/>
    </row>
    <row r="329">
      <c r="A329" s="218">
        <f t="shared" si="1"/>
        <v>328</v>
      </c>
      <c r="B329" s="218" t="s">
        <v>201</v>
      </c>
      <c r="C329" s="218" t="s">
        <v>436</v>
      </c>
      <c r="D329" s="218" t="b">
        <v>1</v>
      </c>
      <c r="E329" s="219" t="b">
        <v>0</v>
      </c>
      <c r="F329" s="219" t="b">
        <v>0</v>
      </c>
      <c r="G329" s="219"/>
    </row>
    <row r="330">
      <c r="A330" s="218">
        <f t="shared" si="1"/>
        <v>329</v>
      </c>
      <c r="B330" s="218" t="s">
        <v>201</v>
      </c>
      <c r="C330" s="218" t="s">
        <v>460</v>
      </c>
      <c r="D330" s="218" t="b">
        <v>1</v>
      </c>
      <c r="E330" s="219" t="b">
        <v>0</v>
      </c>
      <c r="F330" s="219" t="b">
        <v>0</v>
      </c>
      <c r="G330" s="219"/>
    </row>
    <row r="331">
      <c r="A331" s="218">
        <f t="shared" si="1"/>
        <v>330</v>
      </c>
      <c r="B331" s="218" t="s">
        <v>201</v>
      </c>
      <c r="C331" s="218" t="s">
        <v>465</v>
      </c>
      <c r="D331" s="218" t="b">
        <v>1</v>
      </c>
      <c r="E331" s="219" t="b">
        <v>0</v>
      </c>
      <c r="F331" s="219" t="b">
        <v>0</v>
      </c>
      <c r="G331" s="219"/>
    </row>
    <row r="332">
      <c r="A332" s="218">
        <f t="shared" si="1"/>
        <v>331</v>
      </c>
      <c r="B332" s="218" t="s">
        <v>201</v>
      </c>
      <c r="C332" s="218" t="s">
        <v>475</v>
      </c>
      <c r="D332" s="218" t="b">
        <v>1</v>
      </c>
      <c r="E332" s="219" t="b">
        <v>0</v>
      </c>
      <c r="F332" s="219" t="b">
        <v>0</v>
      </c>
      <c r="G332" s="219"/>
    </row>
    <row r="333">
      <c r="A333" s="218">
        <f t="shared" si="1"/>
        <v>332</v>
      </c>
      <c r="B333" s="218" t="s">
        <v>201</v>
      </c>
      <c r="C333" s="218" t="s">
        <v>470</v>
      </c>
      <c r="D333" s="218" t="b">
        <v>1</v>
      </c>
      <c r="E333" s="219" t="b">
        <v>0</v>
      </c>
      <c r="F333" s="219" t="b">
        <v>0</v>
      </c>
      <c r="G333" s="219"/>
    </row>
    <row r="334">
      <c r="A334" s="218">
        <f t="shared" si="1"/>
        <v>333</v>
      </c>
      <c r="B334" s="218" t="s">
        <v>201</v>
      </c>
      <c r="C334" s="218" t="s">
        <v>480</v>
      </c>
      <c r="D334" s="218" t="b">
        <v>1</v>
      </c>
      <c r="E334" s="219" t="b">
        <v>0</v>
      </c>
      <c r="F334" s="219" t="b">
        <v>0</v>
      </c>
      <c r="G334" s="219"/>
    </row>
    <row r="335">
      <c r="A335" s="218">
        <f t="shared" si="1"/>
        <v>334</v>
      </c>
      <c r="B335" s="218" t="s">
        <v>201</v>
      </c>
      <c r="C335" s="218" t="s">
        <v>485</v>
      </c>
      <c r="D335" s="218" t="b">
        <v>1</v>
      </c>
      <c r="E335" s="219" t="b">
        <v>0</v>
      </c>
      <c r="F335" s="219" t="b">
        <v>0</v>
      </c>
      <c r="G335" s="219"/>
    </row>
    <row r="336">
      <c r="A336" s="218">
        <f t="shared" si="1"/>
        <v>335</v>
      </c>
      <c r="B336" s="218" t="s">
        <v>201</v>
      </c>
      <c r="C336" s="218" t="s">
        <v>491</v>
      </c>
      <c r="D336" s="218" t="b">
        <v>1</v>
      </c>
      <c r="E336" s="219" t="b">
        <v>0</v>
      </c>
      <c r="F336" s="219" t="b">
        <v>0</v>
      </c>
      <c r="G336" s="219"/>
    </row>
    <row r="337">
      <c r="A337" s="218">
        <f t="shared" si="1"/>
        <v>336</v>
      </c>
      <c r="B337" s="218" t="s">
        <v>201</v>
      </c>
      <c r="C337" s="218" t="s">
        <v>496</v>
      </c>
      <c r="D337" s="218" t="b">
        <v>1</v>
      </c>
      <c r="E337" s="219" t="b">
        <v>0</v>
      </c>
      <c r="F337" s="219" t="b">
        <v>0</v>
      </c>
      <c r="G337" s="219"/>
    </row>
    <row r="338">
      <c r="A338" s="218">
        <f t="shared" si="1"/>
        <v>337</v>
      </c>
      <c r="B338" s="218" t="s">
        <v>201</v>
      </c>
      <c r="C338" s="218" t="s">
        <v>501</v>
      </c>
      <c r="D338" s="218" t="b">
        <v>1</v>
      </c>
      <c r="E338" s="219" t="b">
        <v>0</v>
      </c>
      <c r="F338" s="219" t="b">
        <v>0</v>
      </c>
      <c r="G338" s="219"/>
    </row>
    <row r="339">
      <c r="A339" s="218">
        <f t="shared" si="1"/>
        <v>338</v>
      </c>
      <c r="B339" s="218" t="s">
        <v>201</v>
      </c>
      <c r="C339" s="218" t="s">
        <v>514</v>
      </c>
      <c r="D339" s="218" t="b">
        <v>1</v>
      </c>
      <c r="E339" s="219" t="b">
        <v>0</v>
      </c>
      <c r="F339" s="219" t="b">
        <v>0</v>
      </c>
      <c r="G339" s="219"/>
    </row>
    <row r="340">
      <c r="A340" s="218">
        <f t="shared" si="1"/>
        <v>339</v>
      </c>
      <c r="B340" s="218" t="s">
        <v>201</v>
      </c>
      <c r="C340" s="218" t="s">
        <v>544</v>
      </c>
      <c r="D340" s="218" t="b">
        <v>1</v>
      </c>
      <c r="E340" s="219" t="b">
        <v>0</v>
      </c>
      <c r="F340" s="219" t="b">
        <v>0</v>
      </c>
      <c r="G340" s="219"/>
    </row>
    <row r="341">
      <c r="A341" s="218">
        <f t="shared" si="1"/>
        <v>340</v>
      </c>
      <c r="B341" s="218" t="s">
        <v>201</v>
      </c>
      <c r="C341" s="218" t="s">
        <v>519</v>
      </c>
      <c r="D341" s="218" t="b">
        <v>1</v>
      </c>
      <c r="E341" s="219" t="b">
        <v>0</v>
      </c>
      <c r="F341" s="219" t="b">
        <v>0</v>
      </c>
      <c r="G341" s="219"/>
    </row>
    <row r="342">
      <c r="A342" s="218">
        <f t="shared" si="1"/>
        <v>341</v>
      </c>
      <c r="B342" s="218" t="s">
        <v>201</v>
      </c>
      <c r="C342" s="218" t="s">
        <v>524</v>
      </c>
      <c r="D342" s="218" t="b">
        <v>1</v>
      </c>
      <c r="E342" s="219" t="b">
        <v>0</v>
      </c>
      <c r="F342" s="219" t="b">
        <v>0</v>
      </c>
      <c r="G342" s="219"/>
    </row>
    <row r="343">
      <c r="A343" s="218">
        <f t="shared" si="1"/>
        <v>342</v>
      </c>
      <c r="B343" s="218" t="s">
        <v>201</v>
      </c>
      <c r="C343" s="218" t="s">
        <v>534</v>
      </c>
      <c r="D343" s="218" t="b">
        <v>1</v>
      </c>
      <c r="E343" s="219" t="b">
        <v>0</v>
      </c>
      <c r="F343" s="219" t="b">
        <v>0</v>
      </c>
      <c r="G343" s="219"/>
    </row>
    <row r="344">
      <c r="A344" s="218">
        <f t="shared" si="1"/>
        <v>343</v>
      </c>
      <c r="B344" s="218" t="s">
        <v>201</v>
      </c>
      <c r="C344" s="218" t="s">
        <v>529</v>
      </c>
      <c r="D344" s="218" t="b">
        <v>1</v>
      </c>
      <c r="E344" s="219" t="b">
        <v>0</v>
      </c>
      <c r="F344" s="219" t="b">
        <v>0</v>
      </c>
      <c r="G344" s="219"/>
    </row>
    <row r="345">
      <c r="A345" s="218">
        <f t="shared" si="1"/>
        <v>344</v>
      </c>
      <c r="B345" s="218" t="s">
        <v>201</v>
      </c>
      <c r="C345" s="218" t="s">
        <v>549</v>
      </c>
      <c r="D345" s="218" t="b">
        <v>1</v>
      </c>
      <c r="E345" s="219" t="b">
        <v>0</v>
      </c>
      <c r="F345" s="219" t="b">
        <v>0</v>
      </c>
      <c r="G345" s="219"/>
    </row>
    <row r="346">
      <c r="A346" s="218">
        <f t="shared" si="1"/>
        <v>345</v>
      </c>
      <c r="B346" s="218" t="s">
        <v>201</v>
      </c>
      <c r="C346" s="218" t="s">
        <v>670</v>
      </c>
      <c r="D346" s="218" t="b">
        <v>1</v>
      </c>
      <c r="E346" s="219" t="b">
        <v>0</v>
      </c>
      <c r="F346" s="219" t="b">
        <v>0</v>
      </c>
      <c r="G346" s="219"/>
    </row>
    <row r="347">
      <c r="A347" s="218">
        <f t="shared" si="1"/>
        <v>346</v>
      </c>
      <c r="B347" s="218" t="s">
        <v>201</v>
      </c>
      <c r="C347" s="218" t="s">
        <v>670</v>
      </c>
      <c r="D347" s="218" t="b">
        <v>1</v>
      </c>
      <c r="E347" s="219" t="b">
        <v>0</v>
      </c>
      <c r="F347" s="219" t="b">
        <v>0</v>
      </c>
      <c r="G347" s="219"/>
    </row>
    <row r="348">
      <c r="A348" s="218">
        <f t="shared" si="1"/>
        <v>347</v>
      </c>
      <c r="B348" s="218" t="s">
        <v>201</v>
      </c>
      <c r="C348" s="218" t="s">
        <v>2065</v>
      </c>
      <c r="D348" s="218" t="b">
        <v>1</v>
      </c>
      <c r="E348" s="219" t="b">
        <v>0</v>
      </c>
      <c r="F348" s="219" t="b">
        <v>0</v>
      </c>
      <c r="G348" s="219"/>
    </row>
    <row r="349">
      <c r="A349" s="218">
        <f t="shared" si="1"/>
        <v>348</v>
      </c>
      <c r="B349" s="218" t="s">
        <v>201</v>
      </c>
      <c r="C349" s="218" t="s">
        <v>2100</v>
      </c>
      <c r="D349" s="218" t="b">
        <v>1</v>
      </c>
      <c r="E349" s="219" t="b">
        <v>0</v>
      </c>
      <c r="F349" s="219" t="b">
        <v>0</v>
      </c>
      <c r="G349" s="219"/>
    </row>
    <row r="350">
      <c r="A350" s="218">
        <f t="shared" si="1"/>
        <v>349</v>
      </c>
      <c r="B350" s="218" t="s">
        <v>201</v>
      </c>
      <c r="C350" s="218" t="s">
        <v>2112</v>
      </c>
      <c r="D350" s="218" t="b">
        <v>1</v>
      </c>
      <c r="E350" s="219" t="b">
        <v>0</v>
      </c>
      <c r="F350" s="219" t="b">
        <v>0</v>
      </c>
      <c r="G350" s="219"/>
    </row>
    <row r="351">
      <c r="A351" s="218">
        <f t="shared" si="1"/>
        <v>350</v>
      </c>
      <c r="B351" s="218" t="s">
        <v>201</v>
      </c>
      <c r="C351" s="218" t="s">
        <v>2108</v>
      </c>
      <c r="D351" s="218" t="b">
        <v>1</v>
      </c>
      <c r="E351" s="219" t="b">
        <v>0</v>
      </c>
      <c r="F351" s="219" t="b">
        <v>0</v>
      </c>
      <c r="G351" s="219"/>
    </row>
    <row r="352">
      <c r="A352" s="218">
        <f t="shared" si="1"/>
        <v>351</v>
      </c>
      <c r="B352" s="218" t="s">
        <v>201</v>
      </c>
      <c r="C352" s="218" t="s">
        <v>2077</v>
      </c>
      <c r="D352" s="218" t="b">
        <v>1</v>
      </c>
      <c r="E352" s="219" t="b">
        <v>0</v>
      </c>
      <c r="F352" s="219" t="b">
        <v>0</v>
      </c>
      <c r="G352" s="219"/>
    </row>
    <row r="353">
      <c r="A353" s="218">
        <f t="shared" si="1"/>
        <v>352</v>
      </c>
      <c r="B353" s="218" t="s">
        <v>201</v>
      </c>
      <c r="C353" s="218" t="s">
        <v>2069</v>
      </c>
      <c r="D353" s="218" t="b">
        <v>1</v>
      </c>
      <c r="E353" s="219" t="b">
        <v>0</v>
      </c>
      <c r="F353" s="219" t="b">
        <v>0</v>
      </c>
      <c r="G353" s="219"/>
    </row>
    <row r="354">
      <c r="A354" s="218">
        <f t="shared" si="1"/>
        <v>353</v>
      </c>
      <c r="B354" s="218" t="s">
        <v>201</v>
      </c>
      <c r="C354" s="218" t="s">
        <v>2074</v>
      </c>
      <c r="D354" s="218" t="b">
        <v>1</v>
      </c>
      <c r="E354" s="219" t="b">
        <v>0</v>
      </c>
      <c r="F354" s="219" t="b">
        <v>0</v>
      </c>
      <c r="G354" s="219"/>
    </row>
    <row r="355">
      <c r="A355" s="218">
        <f t="shared" si="1"/>
        <v>354</v>
      </c>
      <c r="B355" s="218" t="s">
        <v>201</v>
      </c>
      <c r="C355" s="218" t="s">
        <v>1969</v>
      </c>
      <c r="D355" s="218" t="b">
        <v>1</v>
      </c>
      <c r="E355" s="219" t="b">
        <v>0</v>
      </c>
      <c r="F355" s="219" t="b">
        <v>0</v>
      </c>
      <c r="G355" s="219"/>
    </row>
    <row r="356">
      <c r="A356" s="218">
        <f t="shared" si="1"/>
        <v>355</v>
      </c>
      <c r="B356" s="218" t="s">
        <v>201</v>
      </c>
      <c r="C356" s="218" t="s">
        <v>2037</v>
      </c>
      <c r="D356" s="218" t="b">
        <v>1</v>
      </c>
      <c r="E356" s="219" t="b">
        <v>0</v>
      </c>
      <c r="F356" s="219" t="b">
        <v>0</v>
      </c>
      <c r="G356" s="219"/>
    </row>
    <row r="357">
      <c r="A357" s="218">
        <f t="shared" si="1"/>
        <v>356</v>
      </c>
      <c r="B357" s="218" t="s">
        <v>201</v>
      </c>
      <c r="C357" s="218" t="s">
        <v>2014</v>
      </c>
      <c r="D357" s="218" t="b">
        <v>1</v>
      </c>
      <c r="E357" s="219" t="b">
        <v>0</v>
      </c>
      <c r="F357" s="219" t="b">
        <v>0</v>
      </c>
      <c r="G357" s="219"/>
    </row>
    <row r="358">
      <c r="A358" s="218">
        <f t="shared" si="1"/>
        <v>357</v>
      </c>
      <c r="B358" s="218" t="s">
        <v>201</v>
      </c>
      <c r="C358" s="218" t="s">
        <v>1999</v>
      </c>
      <c r="D358" s="218" t="b">
        <v>1</v>
      </c>
      <c r="E358" s="219" t="b">
        <v>0</v>
      </c>
      <c r="F358" s="219" t="b">
        <v>0</v>
      </c>
      <c r="G358" s="219"/>
    </row>
    <row r="359">
      <c r="A359" s="218">
        <f t="shared" si="1"/>
        <v>358</v>
      </c>
      <c r="B359" s="218" t="s">
        <v>201</v>
      </c>
      <c r="C359" s="218" t="s">
        <v>1999</v>
      </c>
      <c r="D359" s="218" t="b">
        <v>1</v>
      </c>
      <c r="E359" s="219" t="b">
        <v>0</v>
      </c>
      <c r="F359" s="219" t="b">
        <v>0</v>
      </c>
      <c r="G359" s="219"/>
    </row>
    <row r="360">
      <c r="A360" s="218">
        <f t="shared" si="1"/>
        <v>359</v>
      </c>
      <c r="B360" s="218" t="s">
        <v>201</v>
      </c>
      <c r="C360" s="218" t="s">
        <v>1913</v>
      </c>
      <c r="D360" s="218" t="b">
        <v>1</v>
      </c>
      <c r="E360" s="219" t="b">
        <v>0</v>
      </c>
      <c r="F360" s="219" t="b">
        <v>0</v>
      </c>
      <c r="G360" s="219"/>
    </row>
    <row r="361">
      <c r="A361" s="218">
        <f t="shared" si="1"/>
        <v>360</v>
      </c>
      <c r="B361" s="218" t="s">
        <v>201</v>
      </c>
      <c r="C361" s="218" t="s">
        <v>1979</v>
      </c>
      <c r="D361" s="218" t="b">
        <v>1</v>
      </c>
      <c r="E361" s="219" t="b">
        <v>0</v>
      </c>
      <c r="F361" s="219" t="b">
        <v>0</v>
      </c>
      <c r="G361" s="219"/>
    </row>
    <row r="362">
      <c r="A362" s="218">
        <f t="shared" si="1"/>
        <v>361</v>
      </c>
      <c r="B362" s="218" t="s">
        <v>201</v>
      </c>
      <c r="C362" s="218" t="s">
        <v>2050</v>
      </c>
      <c r="D362" s="218" t="b">
        <v>1</v>
      </c>
      <c r="E362" s="219" t="b">
        <v>0</v>
      </c>
      <c r="F362" s="219" t="b">
        <v>0</v>
      </c>
      <c r="G362" s="219"/>
    </row>
    <row r="363">
      <c r="A363" s="218">
        <f t="shared" si="1"/>
        <v>362</v>
      </c>
      <c r="B363" s="218" t="s">
        <v>201</v>
      </c>
      <c r="C363" s="218" t="s">
        <v>1982</v>
      </c>
      <c r="D363" s="218" t="b">
        <v>1</v>
      </c>
      <c r="E363" s="219" t="b">
        <v>0</v>
      </c>
      <c r="F363" s="219" t="b">
        <v>0</v>
      </c>
      <c r="G363" s="219"/>
    </row>
    <row r="364">
      <c r="A364" s="218">
        <f t="shared" si="1"/>
        <v>363</v>
      </c>
      <c r="B364" s="218" t="s">
        <v>201</v>
      </c>
      <c r="C364" s="218" t="s">
        <v>2046</v>
      </c>
      <c r="D364" s="218" t="b">
        <v>1</v>
      </c>
      <c r="E364" s="219" t="b">
        <v>0</v>
      </c>
      <c r="F364" s="219" t="b">
        <v>0</v>
      </c>
      <c r="G364" s="219"/>
    </row>
    <row r="365">
      <c r="A365" s="218">
        <f t="shared" si="1"/>
        <v>364</v>
      </c>
      <c r="B365" s="218" t="s">
        <v>201</v>
      </c>
      <c r="C365" s="218" t="s">
        <v>1931</v>
      </c>
      <c r="D365" s="218" t="b">
        <v>1</v>
      </c>
      <c r="E365" s="219" t="b">
        <v>0</v>
      </c>
      <c r="F365" s="219" t="b">
        <v>0</v>
      </c>
      <c r="G365" s="219"/>
    </row>
    <row r="366">
      <c r="A366" s="218">
        <f t="shared" si="1"/>
        <v>365</v>
      </c>
      <c r="B366" s="218" t="s">
        <v>201</v>
      </c>
      <c r="C366" s="218" t="s">
        <v>1959</v>
      </c>
      <c r="D366" s="218" t="b">
        <v>1</v>
      </c>
      <c r="E366" s="219" t="b">
        <v>0</v>
      </c>
      <c r="F366" s="219" t="b">
        <v>0</v>
      </c>
      <c r="G366" s="219"/>
    </row>
    <row r="367">
      <c r="A367" s="218">
        <f t="shared" si="1"/>
        <v>366</v>
      </c>
      <c r="B367" s="218" t="s">
        <v>201</v>
      </c>
      <c r="C367" s="218" t="s">
        <v>1954</v>
      </c>
      <c r="D367" s="218" t="b">
        <v>1</v>
      </c>
      <c r="E367" s="219" t="b">
        <v>0</v>
      </c>
      <c r="F367" s="219" t="b">
        <v>0</v>
      </c>
      <c r="G367" s="219"/>
    </row>
    <row r="368">
      <c r="A368" s="218">
        <f t="shared" si="1"/>
        <v>367</v>
      </c>
      <c r="B368" s="218" t="s">
        <v>201</v>
      </c>
      <c r="C368" s="218" t="s">
        <v>1926</v>
      </c>
      <c r="D368" s="218" t="b">
        <v>1</v>
      </c>
      <c r="E368" s="219" t="b">
        <v>0</v>
      </c>
      <c r="F368" s="219" t="b">
        <v>0</v>
      </c>
      <c r="G368" s="219"/>
    </row>
    <row r="369">
      <c r="A369" s="218">
        <f t="shared" si="1"/>
        <v>368</v>
      </c>
      <c r="B369" s="218" t="s">
        <v>201</v>
      </c>
      <c r="C369" s="218" t="s">
        <v>1922</v>
      </c>
      <c r="D369" s="218" t="b">
        <v>1</v>
      </c>
      <c r="E369" s="219" t="b">
        <v>0</v>
      </c>
      <c r="F369" s="219" t="b">
        <v>0</v>
      </c>
      <c r="G369" s="219"/>
    </row>
    <row r="370">
      <c r="A370" s="218">
        <f t="shared" si="1"/>
        <v>369</v>
      </c>
      <c r="B370" s="218" t="s">
        <v>201</v>
      </c>
      <c r="C370" s="218" t="s">
        <v>2019</v>
      </c>
      <c r="D370" s="218" t="b">
        <v>1</v>
      </c>
      <c r="E370" s="219" t="b">
        <v>0</v>
      </c>
      <c r="F370" s="219" t="b">
        <v>0</v>
      </c>
      <c r="G370" s="219"/>
    </row>
    <row r="371">
      <c r="A371" s="218">
        <f t="shared" si="1"/>
        <v>370</v>
      </c>
      <c r="B371" s="218" t="s">
        <v>201</v>
      </c>
      <c r="C371" s="218" t="s">
        <v>1994</v>
      </c>
      <c r="D371" s="218" t="b">
        <v>1</v>
      </c>
      <c r="E371" s="219" t="b">
        <v>0</v>
      </c>
      <c r="F371" s="219" t="b">
        <v>0</v>
      </c>
      <c r="G371" s="219"/>
    </row>
    <row r="372">
      <c r="A372" s="218">
        <f t="shared" si="1"/>
        <v>371</v>
      </c>
      <c r="B372" s="218" t="s">
        <v>201</v>
      </c>
      <c r="C372" s="218" t="s">
        <v>2055</v>
      </c>
      <c r="D372" s="218" t="b">
        <v>1</v>
      </c>
      <c r="E372" s="219" t="b">
        <v>0</v>
      </c>
      <c r="F372" s="219" t="b">
        <v>0</v>
      </c>
      <c r="G372" s="219"/>
    </row>
    <row r="373">
      <c r="A373" s="218">
        <f t="shared" si="1"/>
        <v>372</v>
      </c>
      <c r="B373" s="218" t="s">
        <v>201</v>
      </c>
      <c r="C373" s="218" t="s">
        <v>1945</v>
      </c>
      <c r="D373" s="218" t="b">
        <v>1</v>
      </c>
      <c r="E373" s="219" t="b">
        <v>0</v>
      </c>
      <c r="F373" s="219" t="b">
        <v>0</v>
      </c>
      <c r="G373" s="219"/>
    </row>
    <row r="374">
      <c r="A374" s="218">
        <f t="shared" si="1"/>
        <v>373</v>
      </c>
      <c r="B374" s="218" t="s">
        <v>201</v>
      </c>
      <c r="C374" s="218" t="s">
        <v>1936</v>
      </c>
      <c r="D374" s="218" t="b">
        <v>1</v>
      </c>
      <c r="E374" s="219" t="b">
        <v>0</v>
      </c>
      <c r="F374" s="219" t="b">
        <v>0</v>
      </c>
      <c r="G374" s="219"/>
    </row>
    <row r="375">
      <c r="A375" s="218">
        <f t="shared" si="1"/>
        <v>374</v>
      </c>
      <c r="B375" s="218" t="s">
        <v>201</v>
      </c>
      <c r="C375" s="218" t="s">
        <v>2033</v>
      </c>
      <c r="D375" s="218" t="b">
        <v>1</v>
      </c>
      <c r="E375" s="219" t="b">
        <v>0</v>
      </c>
      <c r="F375" s="219" t="b">
        <v>0</v>
      </c>
      <c r="G375" s="219"/>
    </row>
    <row r="376">
      <c r="A376" s="218">
        <f t="shared" si="1"/>
        <v>375</v>
      </c>
      <c r="B376" s="218" t="s">
        <v>201</v>
      </c>
      <c r="C376" s="218" t="s">
        <v>2028</v>
      </c>
      <c r="D376" s="218" t="b">
        <v>1</v>
      </c>
      <c r="E376" s="219" t="b">
        <v>0</v>
      </c>
      <c r="F376" s="219" t="b">
        <v>0</v>
      </c>
      <c r="G376" s="219"/>
    </row>
    <row r="377">
      <c r="A377" s="218">
        <f t="shared" si="1"/>
        <v>376</v>
      </c>
      <c r="B377" s="218" t="s">
        <v>201</v>
      </c>
      <c r="C377" s="218" t="s">
        <v>2060</v>
      </c>
      <c r="D377" s="218" t="b">
        <v>1</v>
      </c>
      <c r="E377" s="219" t="b">
        <v>0</v>
      </c>
      <c r="F377" s="219" t="b">
        <v>0</v>
      </c>
      <c r="G377" s="219"/>
    </row>
    <row r="378">
      <c r="A378" s="218">
        <f t="shared" si="1"/>
        <v>377</v>
      </c>
      <c r="B378" s="218" t="s">
        <v>201</v>
      </c>
      <c r="C378" s="218" t="s">
        <v>3036</v>
      </c>
      <c r="D378" s="218" t="b">
        <v>1</v>
      </c>
      <c r="E378" s="219" t="b">
        <v>0</v>
      </c>
      <c r="F378" s="219" t="b">
        <v>0</v>
      </c>
      <c r="G378" s="219"/>
    </row>
    <row r="379">
      <c r="A379" s="218">
        <f t="shared" si="1"/>
        <v>378</v>
      </c>
      <c r="B379" s="218" t="s">
        <v>201</v>
      </c>
      <c r="C379" s="218" t="s">
        <v>2999</v>
      </c>
      <c r="D379" s="218" t="b">
        <v>1</v>
      </c>
      <c r="E379" s="219" t="b">
        <v>0</v>
      </c>
      <c r="F379" s="219" t="b">
        <v>0</v>
      </c>
      <c r="G379" s="219"/>
    </row>
    <row r="380">
      <c r="A380" s="218">
        <f t="shared" si="1"/>
        <v>379</v>
      </c>
      <c r="B380" s="218" t="s">
        <v>201</v>
      </c>
      <c r="C380" s="218" t="s">
        <v>3031</v>
      </c>
      <c r="D380" s="218" t="b">
        <v>1</v>
      </c>
      <c r="E380" s="219" t="b">
        <v>0</v>
      </c>
      <c r="F380" s="219" t="b">
        <v>0</v>
      </c>
      <c r="G380" s="219"/>
    </row>
    <row r="381">
      <c r="A381" s="218">
        <f t="shared" si="1"/>
        <v>380</v>
      </c>
      <c r="B381" s="218" t="s">
        <v>201</v>
      </c>
      <c r="C381" s="218" t="s">
        <v>3026</v>
      </c>
      <c r="D381" s="218" t="b">
        <v>1</v>
      </c>
      <c r="E381" s="219" t="b">
        <v>0</v>
      </c>
      <c r="F381" s="219" t="b">
        <v>0</v>
      </c>
      <c r="G381" s="219"/>
    </row>
    <row r="382">
      <c r="A382" s="218">
        <f t="shared" si="1"/>
        <v>381</v>
      </c>
      <c r="B382" s="218" t="s">
        <v>201</v>
      </c>
      <c r="C382" s="218" t="s">
        <v>3003</v>
      </c>
      <c r="D382" s="218" t="b">
        <v>1</v>
      </c>
      <c r="E382" s="219" t="b">
        <v>0</v>
      </c>
      <c r="F382" s="219" t="b">
        <v>0</v>
      </c>
      <c r="G382" s="219"/>
    </row>
    <row r="383">
      <c r="A383" s="218">
        <f t="shared" si="1"/>
        <v>382</v>
      </c>
      <c r="B383" s="218" t="s">
        <v>201</v>
      </c>
      <c r="C383" s="218" t="s">
        <v>3008</v>
      </c>
      <c r="D383" s="218" t="b">
        <v>1</v>
      </c>
      <c r="E383" s="219" t="b">
        <v>0</v>
      </c>
      <c r="F383" s="219" t="b">
        <v>0</v>
      </c>
      <c r="G383" s="219"/>
    </row>
    <row r="384">
      <c r="A384" s="218">
        <f t="shared" si="1"/>
        <v>383</v>
      </c>
      <c r="B384" s="218" t="s">
        <v>201</v>
      </c>
      <c r="C384" s="218" t="s">
        <v>3021</v>
      </c>
      <c r="D384" s="218" t="b">
        <v>1</v>
      </c>
      <c r="E384" s="219" t="b">
        <v>0</v>
      </c>
      <c r="F384" s="219" t="b">
        <v>0</v>
      </c>
      <c r="G384" s="219"/>
    </row>
    <row r="385">
      <c r="A385" s="218">
        <f t="shared" si="1"/>
        <v>384</v>
      </c>
      <c r="B385" s="218" t="s">
        <v>201</v>
      </c>
      <c r="C385" s="218" t="s">
        <v>3016</v>
      </c>
      <c r="D385" s="218" t="b">
        <v>1</v>
      </c>
      <c r="E385" s="219" t="b">
        <v>0</v>
      </c>
      <c r="F385" s="219" t="b">
        <v>0</v>
      </c>
      <c r="G385" s="219"/>
    </row>
    <row r="386">
      <c r="A386" s="218">
        <f t="shared" si="1"/>
        <v>385</v>
      </c>
      <c r="B386" s="218" t="s">
        <v>201</v>
      </c>
      <c r="C386" s="218" t="s">
        <v>3013</v>
      </c>
      <c r="D386" s="218" t="b">
        <v>1</v>
      </c>
      <c r="E386" s="219" t="b">
        <v>0</v>
      </c>
      <c r="F386" s="219" t="b">
        <v>0</v>
      </c>
      <c r="G386" s="219"/>
    </row>
    <row r="387">
      <c r="A387" s="218">
        <f t="shared" si="1"/>
        <v>386</v>
      </c>
      <c r="B387" s="218" t="s">
        <v>201</v>
      </c>
      <c r="C387" s="218" t="s">
        <v>3085</v>
      </c>
      <c r="D387" s="218" t="b">
        <v>1</v>
      </c>
      <c r="E387" s="219" t="b">
        <v>0</v>
      </c>
      <c r="F387" s="219" t="b">
        <v>0</v>
      </c>
      <c r="G387" s="219"/>
    </row>
    <row r="388">
      <c r="A388" s="218">
        <f t="shared" si="1"/>
        <v>387</v>
      </c>
      <c r="B388" s="218" t="s">
        <v>201</v>
      </c>
      <c r="C388" s="218" t="s">
        <v>3096</v>
      </c>
      <c r="D388" s="218" t="b">
        <v>1</v>
      </c>
      <c r="E388" s="219" t="b">
        <v>0</v>
      </c>
      <c r="F388" s="219" t="b">
        <v>0</v>
      </c>
      <c r="G388" s="219"/>
    </row>
    <row r="389">
      <c r="A389" s="218">
        <f t="shared" si="1"/>
        <v>388</v>
      </c>
      <c r="B389" s="218" t="s">
        <v>201</v>
      </c>
      <c r="C389" s="218" t="s">
        <v>3101</v>
      </c>
      <c r="D389" s="218" t="b">
        <v>1</v>
      </c>
      <c r="E389" s="219" t="b">
        <v>0</v>
      </c>
      <c r="F389" s="219" t="b">
        <v>0</v>
      </c>
      <c r="G389" s="219"/>
    </row>
    <row r="390">
      <c r="A390" s="218">
        <f t="shared" si="1"/>
        <v>389</v>
      </c>
      <c r="B390" s="218" t="s">
        <v>201</v>
      </c>
      <c r="C390" s="218" t="s">
        <v>3105</v>
      </c>
      <c r="D390" s="218" t="b">
        <v>1</v>
      </c>
      <c r="E390" s="219" t="b">
        <v>0</v>
      </c>
      <c r="F390" s="219" t="b">
        <v>0</v>
      </c>
      <c r="G390" s="219"/>
    </row>
    <row r="391">
      <c r="A391" s="218">
        <f t="shared" si="1"/>
        <v>390</v>
      </c>
      <c r="B391" s="218" t="s">
        <v>201</v>
      </c>
      <c r="C391" s="218" t="s">
        <v>3080</v>
      </c>
      <c r="D391" s="218" t="b">
        <v>1</v>
      </c>
      <c r="E391" s="219" t="b">
        <v>0</v>
      </c>
      <c r="F391" s="219" t="b">
        <v>0</v>
      </c>
      <c r="G391" s="219"/>
    </row>
    <row r="392">
      <c r="A392" s="218">
        <f t="shared" si="1"/>
        <v>391</v>
      </c>
      <c r="B392" s="218" t="s">
        <v>201</v>
      </c>
      <c r="C392" s="218" t="s">
        <v>3075</v>
      </c>
      <c r="D392" s="218" t="b">
        <v>1</v>
      </c>
      <c r="E392" s="219" t="b">
        <v>0</v>
      </c>
      <c r="F392" s="219" t="b">
        <v>0</v>
      </c>
      <c r="G392" s="219"/>
    </row>
    <row r="393">
      <c r="A393" s="218">
        <f t="shared" si="1"/>
        <v>392</v>
      </c>
      <c r="B393" s="218" t="s">
        <v>201</v>
      </c>
      <c r="C393" s="218" t="s">
        <v>3114</v>
      </c>
      <c r="D393" s="218" t="b">
        <v>1</v>
      </c>
      <c r="E393" s="219" t="b">
        <v>0</v>
      </c>
      <c r="F393" s="219" t="b">
        <v>0</v>
      </c>
      <c r="G393" s="219"/>
    </row>
    <row r="394">
      <c r="A394" s="218">
        <f t="shared" si="1"/>
        <v>393</v>
      </c>
      <c r="B394" s="218" t="s">
        <v>201</v>
      </c>
      <c r="C394" s="218" t="s">
        <v>3066</v>
      </c>
      <c r="D394" s="218" t="b">
        <v>1</v>
      </c>
      <c r="E394" s="219" t="b">
        <v>0</v>
      </c>
      <c r="F394" s="219" t="b">
        <v>0</v>
      </c>
      <c r="G394" s="219"/>
    </row>
    <row r="395">
      <c r="A395" s="218">
        <f t="shared" si="1"/>
        <v>394</v>
      </c>
      <c r="B395" s="218" t="s">
        <v>201</v>
      </c>
      <c r="C395" s="218" t="s">
        <v>3061</v>
      </c>
      <c r="D395" s="218" t="b">
        <v>1</v>
      </c>
      <c r="E395" s="219" t="b">
        <v>0</v>
      </c>
      <c r="F395" s="219" t="b">
        <v>0</v>
      </c>
      <c r="G395" s="219"/>
    </row>
    <row r="396">
      <c r="A396" s="218">
        <f t="shared" si="1"/>
        <v>395</v>
      </c>
      <c r="B396" s="218" t="s">
        <v>201</v>
      </c>
      <c r="C396" s="218" t="s">
        <v>3127</v>
      </c>
      <c r="D396" s="218" t="b">
        <v>1</v>
      </c>
      <c r="E396" s="219" t="b">
        <v>0</v>
      </c>
      <c r="F396" s="219" t="b">
        <v>0</v>
      </c>
      <c r="G396" s="219"/>
    </row>
    <row r="397">
      <c r="A397" s="218">
        <f t="shared" si="1"/>
        <v>396</v>
      </c>
      <c r="B397" s="218" t="s">
        <v>201</v>
      </c>
      <c r="C397" s="218" t="s">
        <v>3165</v>
      </c>
      <c r="D397" s="218" t="b">
        <v>1</v>
      </c>
      <c r="E397" s="219" t="b">
        <v>0</v>
      </c>
      <c r="F397" s="219" t="b">
        <v>0</v>
      </c>
      <c r="G397" s="219"/>
    </row>
    <row r="398">
      <c r="A398" s="218">
        <f t="shared" si="1"/>
        <v>397</v>
      </c>
      <c r="B398" s="218" t="s">
        <v>201</v>
      </c>
      <c r="C398" s="218" t="s">
        <v>3156</v>
      </c>
      <c r="D398" s="218" t="b">
        <v>1</v>
      </c>
      <c r="E398" s="219" t="b">
        <v>0</v>
      </c>
      <c r="F398" s="219" t="b">
        <v>0</v>
      </c>
      <c r="G398" s="219"/>
    </row>
    <row r="399">
      <c r="A399" s="218">
        <f t="shared" si="1"/>
        <v>398</v>
      </c>
      <c r="B399" s="218" t="s">
        <v>201</v>
      </c>
      <c r="C399" s="218" t="s">
        <v>3160</v>
      </c>
      <c r="D399" s="218" t="b">
        <v>1</v>
      </c>
      <c r="E399" s="219" t="b">
        <v>0</v>
      </c>
      <c r="F399" s="219" t="b">
        <v>0</v>
      </c>
      <c r="G399" s="219"/>
    </row>
    <row r="400">
      <c r="A400" s="218">
        <f t="shared" si="1"/>
        <v>399</v>
      </c>
      <c r="B400" s="218" t="s">
        <v>201</v>
      </c>
      <c r="C400" s="218" t="s">
        <v>3151</v>
      </c>
      <c r="D400" s="218" t="b">
        <v>1</v>
      </c>
      <c r="E400" s="219" t="b">
        <v>0</v>
      </c>
      <c r="F400" s="219" t="b">
        <v>0</v>
      </c>
      <c r="G400" s="219"/>
    </row>
    <row r="401">
      <c r="A401" s="218">
        <f t="shared" si="1"/>
        <v>400</v>
      </c>
      <c r="B401" s="218" t="s">
        <v>201</v>
      </c>
      <c r="C401" s="218" t="s">
        <v>3137</v>
      </c>
      <c r="D401" s="218" t="b">
        <v>1</v>
      </c>
      <c r="E401" s="219" t="b">
        <v>0</v>
      </c>
      <c r="F401" s="219" t="b">
        <v>0</v>
      </c>
      <c r="G401" s="219"/>
    </row>
    <row r="402">
      <c r="A402" s="218">
        <f t="shared" si="1"/>
        <v>401</v>
      </c>
      <c r="B402" s="218" t="s">
        <v>201</v>
      </c>
      <c r="C402" s="218" t="s">
        <v>3132</v>
      </c>
      <c r="D402" s="218" t="b">
        <v>1</v>
      </c>
      <c r="E402" s="219" t="b">
        <v>0</v>
      </c>
      <c r="F402" s="219" t="b">
        <v>0</v>
      </c>
      <c r="G402" s="219"/>
    </row>
    <row r="403">
      <c r="A403" s="218">
        <f t="shared" si="1"/>
        <v>402</v>
      </c>
      <c r="B403" s="218" t="s">
        <v>201</v>
      </c>
      <c r="C403" s="218" t="s">
        <v>3146</v>
      </c>
      <c r="D403" s="218" t="b">
        <v>1</v>
      </c>
      <c r="E403" s="219" t="b">
        <v>0</v>
      </c>
      <c r="F403" s="219" t="b">
        <v>0</v>
      </c>
      <c r="G403" s="219"/>
    </row>
    <row r="404">
      <c r="A404" s="218">
        <f t="shared" si="1"/>
        <v>403</v>
      </c>
      <c r="B404" s="218" t="s">
        <v>201</v>
      </c>
      <c r="C404" s="218" t="s">
        <v>1878</v>
      </c>
      <c r="D404" s="218" t="b">
        <v>1</v>
      </c>
      <c r="E404" s="219" t="b">
        <v>0</v>
      </c>
      <c r="F404" s="219" t="b">
        <v>0</v>
      </c>
      <c r="G404" s="219"/>
    </row>
    <row r="405">
      <c r="A405" s="218">
        <f t="shared" si="1"/>
        <v>404</v>
      </c>
      <c r="B405" s="218" t="s">
        <v>201</v>
      </c>
      <c r="C405" s="218" t="s">
        <v>1878</v>
      </c>
      <c r="D405" s="218" t="b">
        <v>1</v>
      </c>
      <c r="E405" s="219" t="b">
        <v>0</v>
      </c>
      <c r="F405" s="219" t="b">
        <v>0</v>
      </c>
      <c r="G405" s="219"/>
    </row>
    <row r="406">
      <c r="A406" s="218">
        <f t="shared" si="1"/>
        <v>405</v>
      </c>
      <c r="B406" s="218" t="s">
        <v>201</v>
      </c>
      <c r="C406" s="218" t="s">
        <v>3177</v>
      </c>
      <c r="D406" s="218" t="b">
        <v>1</v>
      </c>
      <c r="E406" s="219" t="b">
        <v>0</v>
      </c>
      <c r="F406" s="219" t="b">
        <v>0</v>
      </c>
      <c r="G406" s="219"/>
    </row>
    <row r="407">
      <c r="A407" s="218">
        <f t="shared" si="1"/>
        <v>406</v>
      </c>
      <c r="B407" s="218" t="s">
        <v>201</v>
      </c>
      <c r="C407" s="218" t="s">
        <v>3242</v>
      </c>
      <c r="D407" s="218" t="b">
        <v>1</v>
      </c>
      <c r="E407" s="219" t="b">
        <v>0</v>
      </c>
      <c r="F407" s="219" t="b">
        <v>0</v>
      </c>
      <c r="G407" s="219"/>
    </row>
    <row r="408">
      <c r="A408" s="218">
        <f t="shared" si="1"/>
        <v>407</v>
      </c>
      <c r="B408" s="218" t="s">
        <v>201</v>
      </c>
      <c r="C408" s="218" t="s">
        <v>3237</v>
      </c>
      <c r="D408" s="218" t="b">
        <v>1</v>
      </c>
      <c r="E408" s="219" t="b">
        <v>0</v>
      </c>
      <c r="F408" s="219" t="b">
        <v>0</v>
      </c>
      <c r="G408" s="219"/>
    </row>
    <row r="409">
      <c r="A409" s="218">
        <f t="shared" si="1"/>
        <v>408</v>
      </c>
      <c r="B409" s="218" t="s">
        <v>201</v>
      </c>
      <c r="C409" s="218" t="s">
        <v>660</v>
      </c>
      <c r="D409" s="218" t="b">
        <v>1</v>
      </c>
      <c r="E409" s="219" t="b">
        <v>0</v>
      </c>
      <c r="F409" s="219" t="b">
        <v>0</v>
      </c>
      <c r="G409" s="219"/>
    </row>
    <row r="410">
      <c r="A410" s="218">
        <f t="shared" si="1"/>
        <v>409</v>
      </c>
      <c r="B410" s="218" t="s">
        <v>201</v>
      </c>
      <c r="C410" s="218" t="s">
        <v>665</v>
      </c>
      <c r="D410" s="218" t="b">
        <v>1</v>
      </c>
      <c r="E410" s="219" t="b">
        <v>0</v>
      </c>
      <c r="F410" s="219" t="b">
        <v>0</v>
      </c>
      <c r="G410" s="219"/>
    </row>
    <row r="411">
      <c r="A411" s="218">
        <f t="shared" si="1"/>
        <v>410</v>
      </c>
      <c r="B411" s="218" t="s">
        <v>201</v>
      </c>
      <c r="C411" s="218" t="s">
        <v>674</v>
      </c>
      <c r="D411" s="218" t="b">
        <v>1</v>
      </c>
      <c r="E411" s="219" t="b">
        <v>0</v>
      </c>
      <c r="F411" s="219" t="b">
        <v>0</v>
      </c>
      <c r="G411" s="219"/>
    </row>
    <row r="412">
      <c r="A412" s="218">
        <f t="shared" si="1"/>
        <v>411</v>
      </c>
      <c r="B412" s="218" t="s">
        <v>201</v>
      </c>
      <c r="C412" s="218" t="s">
        <v>825</v>
      </c>
      <c r="D412" s="218" t="b">
        <v>1</v>
      </c>
      <c r="E412" s="219" t="b">
        <v>0</v>
      </c>
      <c r="F412" s="219" t="b">
        <v>0</v>
      </c>
      <c r="G412" s="219"/>
    </row>
    <row r="413">
      <c r="A413" s="218">
        <f t="shared" si="1"/>
        <v>412</v>
      </c>
      <c r="B413" s="218" t="s">
        <v>201</v>
      </c>
      <c r="C413" s="218" t="s">
        <v>835</v>
      </c>
      <c r="D413" s="218" t="b">
        <v>1</v>
      </c>
      <c r="E413" s="219" t="b">
        <v>0</v>
      </c>
      <c r="F413" s="219" t="b">
        <v>0</v>
      </c>
      <c r="G413" s="219"/>
    </row>
    <row r="414">
      <c r="A414" s="218">
        <f t="shared" si="1"/>
        <v>413</v>
      </c>
      <c r="B414" s="218" t="s">
        <v>201</v>
      </c>
      <c r="C414" s="218" t="s">
        <v>820</v>
      </c>
      <c r="D414" s="218" t="b">
        <v>1</v>
      </c>
      <c r="E414" s="219" t="b">
        <v>0</v>
      </c>
      <c r="F414" s="219" t="b">
        <v>0</v>
      </c>
      <c r="G414" s="219"/>
    </row>
    <row r="415">
      <c r="A415" s="218">
        <f t="shared" si="1"/>
        <v>414</v>
      </c>
      <c r="B415" s="218" t="s">
        <v>201</v>
      </c>
      <c r="C415" s="218" t="s">
        <v>810</v>
      </c>
      <c r="D415" s="218" t="b">
        <v>1</v>
      </c>
      <c r="E415" s="219" t="b">
        <v>0</v>
      </c>
      <c r="F415" s="219" t="b">
        <v>0</v>
      </c>
      <c r="G415" s="219"/>
    </row>
    <row r="416">
      <c r="A416" s="218">
        <f t="shared" si="1"/>
        <v>415</v>
      </c>
      <c r="B416" s="218" t="s">
        <v>201</v>
      </c>
      <c r="C416" s="218" t="s">
        <v>801</v>
      </c>
      <c r="D416" s="218" t="b">
        <v>1</v>
      </c>
      <c r="E416" s="219" t="b">
        <v>0</v>
      </c>
      <c r="F416" s="219" t="b">
        <v>0</v>
      </c>
      <c r="G416" s="219"/>
    </row>
    <row r="417">
      <c r="A417" s="218">
        <f t="shared" si="1"/>
        <v>416</v>
      </c>
      <c r="B417" s="218" t="s">
        <v>201</v>
      </c>
      <c r="C417" s="218" t="s">
        <v>877</v>
      </c>
      <c r="D417" s="218" t="b">
        <v>1</v>
      </c>
      <c r="E417" s="219" t="b">
        <v>0</v>
      </c>
      <c r="F417" s="219" t="b">
        <v>0</v>
      </c>
      <c r="G417" s="219"/>
    </row>
    <row r="418">
      <c r="A418" s="218">
        <f t="shared" si="1"/>
        <v>417</v>
      </c>
      <c r="B418" s="218" t="s">
        <v>201</v>
      </c>
      <c r="C418" s="218" t="s">
        <v>877</v>
      </c>
      <c r="D418" s="218" t="b">
        <v>1</v>
      </c>
      <c r="E418" s="219" t="b">
        <v>0</v>
      </c>
      <c r="F418" s="219" t="b">
        <v>0</v>
      </c>
      <c r="G418" s="219"/>
    </row>
    <row r="419">
      <c r="A419" s="218">
        <f t="shared" si="1"/>
        <v>418</v>
      </c>
      <c r="B419" s="218" t="s">
        <v>201</v>
      </c>
      <c r="C419" s="218" t="s">
        <v>872</v>
      </c>
      <c r="D419" s="218" t="b">
        <v>1</v>
      </c>
      <c r="E419" s="219" t="b">
        <v>0</v>
      </c>
      <c r="F419" s="219" t="b">
        <v>0</v>
      </c>
      <c r="G419" s="219"/>
    </row>
    <row r="420">
      <c r="A420" s="218">
        <f t="shared" si="1"/>
        <v>419</v>
      </c>
      <c r="B420" s="218" t="s">
        <v>201</v>
      </c>
      <c r="C420" s="218" t="s">
        <v>867</v>
      </c>
      <c r="D420" s="218" t="b">
        <v>1</v>
      </c>
      <c r="E420" s="219" t="b">
        <v>0</v>
      </c>
      <c r="F420" s="219" t="b">
        <v>0</v>
      </c>
      <c r="G420" s="219"/>
    </row>
    <row r="421">
      <c r="A421" s="218">
        <f t="shared" si="1"/>
        <v>420</v>
      </c>
      <c r="B421" s="218" t="s">
        <v>201</v>
      </c>
      <c r="C421" s="218" t="s">
        <v>858</v>
      </c>
      <c r="D421" s="218" t="b">
        <v>1</v>
      </c>
      <c r="E421" s="219" t="b">
        <v>0</v>
      </c>
      <c r="F421" s="219" t="b">
        <v>0</v>
      </c>
      <c r="G421" s="219"/>
    </row>
    <row r="422">
      <c r="A422" s="218">
        <f t="shared" si="1"/>
        <v>421</v>
      </c>
      <c r="B422" s="218" t="s">
        <v>201</v>
      </c>
      <c r="C422" s="218" t="s">
        <v>844</v>
      </c>
      <c r="D422" s="218" t="b">
        <v>1</v>
      </c>
      <c r="E422" s="219" t="b">
        <v>0</v>
      </c>
      <c r="F422" s="219" t="b">
        <v>0</v>
      </c>
      <c r="G422" s="219"/>
    </row>
    <row r="423">
      <c r="A423" s="218">
        <f t="shared" si="1"/>
        <v>422</v>
      </c>
      <c r="B423" s="218" t="s">
        <v>201</v>
      </c>
      <c r="C423" s="218" t="s">
        <v>840</v>
      </c>
      <c r="D423" s="218" t="b">
        <v>1</v>
      </c>
      <c r="E423" s="219" t="b">
        <v>0</v>
      </c>
      <c r="F423" s="219" t="b">
        <v>0</v>
      </c>
      <c r="G423" s="219"/>
    </row>
    <row r="424">
      <c r="A424" s="218">
        <f t="shared" si="1"/>
        <v>423</v>
      </c>
      <c r="B424" s="218" t="s">
        <v>201</v>
      </c>
      <c r="C424" s="218" t="s">
        <v>886</v>
      </c>
      <c r="D424" s="218" t="b">
        <v>1</v>
      </c>
      <c r="E424" s="219" t="b">
        <v>0</v>
      </c>
      <c r="F424" s="219" t="b">
        <v>0</v>
      </c>
      <c r="G424" s="219"/>
    </row>
    <row r="425">
      <c r="A425" s="218">
        <f t="shared" si="1"/>
        <v>424</v>
      </c>
      <c r="B425" s="218" t="s">
        <v>201</v>
      </c>
      <c r="C425" s="218" t="s">
        <v>901</v>
      </c>
      <c r="D425" s="218" t="b">
        <v>1</v>
      </c>
      <c r="E425" s="219" t="b">
        <v>0</v>
      </c>
      <c r="F425" s="219" t="b">
        <v>0</v>
      </c>
      <c r="G425" s="219"/>
    </row>
    <row r="426">
      <c r="A426" s="218">
        <f t="shared" si="1"/>
        <v>425</v>
      </c>
      <c r="B426" s="218" t="s">
        <v>201</v>
      </c>
      <c r="C426" s="218" t="s">
        <v>911</v>
      </c>
      <c r="D426" s="218" t="b">
        <v>1</v>
      </c>
      <c r="E426" s="219" t="b">
        <v>0</v>
      </c>
      <c r="F426" s="219" t="b">
        <v>0</v>
      </c>
      <c r="G426" s="219"/>
    </row>
    <row r="427">
      <c r="A427" s="218">
        <f t="shared" si="1"/>
        <v>426</v>
      </c>
      <c r="B427" s="218" t="s">
        <v>201</v>
      </c>
      <c r="C427" s="218" t="s">
        <v>916</v>
      </c>
      <c r="D427" s="218" t="b">
        <v>1</v>
      </c>
      <c r="E427" s="219" t="b">
        <v>0</v>
      </c>
      <c r="F427" s="219" t="b">
        <v>0</v>
      </c>
      <c r="G427" s="219"/>
    </row>
    <row r="428">
      <c r="A428" s="218">
        <f t="shared" si="1"/>
        <v>427</v>
      </c>
      <c r="B428" s="218" t="s">
        <v>201</v>
      </c>
      <c r="C428" s="218" t="s">
        <v>891</v>
      </c>
      <c r="D428" s="218" t="b">
        <v>1</v>
      </c>
      <c r="E428" s="219" t="b">
        <v>0</v>
      </c>
      <c r="F428" s="219" t="b">
        <v>0</v>
      </c>
      <c r="G428" s="219"/>
    </row>
    <row r="429">
      <c r="A429" s="218">
        <f t="shared" si="1"/>
        <v>428</v>
      </c>
      <c r="B429" s="218" t="s">
        <v>201</v>
      </c>
      <c r="C429" s="218" t="s">
        <v>896</v>
      </c>
      <c r="D429" s="218" t="b">
        <v>1</v>
      </c>
      <c r="E429" s="219" t="b">
        <v>0</v>
      </c>
      <c r="F429" s="219" t="b">
        <v>0</v>
      </c>
      <c r="G429" s="219"/>
    </row>
    <row r="430">
      <c r="A430" s="218">
        <f t="shared" si="1"/>
        <v>429</v>
      </c>
      <c r="B430" s="218" t="s">
        <v>201</v>
      </c>
      <c r="C430" s="218" t="s">
        <v>906</v>
      </c>
      <c r="D430" s="218" t="b">
        <v>1</v>
      </c>
      <c r="E430" s="219" t="b">
        <v>0</v>
      </c>
      <c r="F430" s="219" t="b">
        <v>0</v>
      </c>
      <c r="G430" s="219"/>
    </row>
    <row r="431">
      <c r="A431" s="218">
        <f t="shared" si="1"/>
        <v>430</v>
      </c>
      <c r="B431" s="218" t="s">
        <v>201</v>
      </c>
      <c r="C431" s="218" t="s">
        <v>979</v>
      </c>
      <c r="D431" s="218" t="b">
        <v>1</v>
      </c>
      <c r="E431" s="219" t="b">
        <v>0</v>
      </c>
      <c r="F431" s="219" t="b">
        <v>0</v>
      </c>
      <c r="G431" s="219"/>
    </row>
    <row r="432">
      <c r="A432" s="218">
        <f t="shared" si="1"/>
        <v>431</v>
      </c>
      <c r="B432" s="218" t="s">
        <v>201</v>
      </c>
      <c r="C432" s="218" t="s">
        <v>994</v>
      </c>
      <c r="D432" s="218" t="b">
        <v>1</v>
      </c>
      <c r="E432" s="219" t="b">
        <v>0</v>
      </c>
      <c r="F432" s="219" t="b">
        <v>0</v>
      </c>
      <c r="G432" s="219"/>
    </row>
    <row r="433">
      <c r="A433" s="218">
        <f t="shared" si="1"/>
        <v>432</v>
      </c>
      <c r="B433" s="218" t="s">
        <v>201</v>
      </c>
      <c r="C433" s="218" t="s">
        <v>950</v>
      </c>
      <c r="D433" s="218" t="b">
        <v>1</v>
      </c>
      <c r="E433" s="219" t="b">
        <v>0</v>
      </c>
      <c r="F433" s="219" t="b">
        <v>0</v>
      </c>
      <c r="G433" s="219"/>
    </row>
    <row r="434">
      <c r="A434" s="218">
        <f t="shared" si="1"/>
        <v>433</v>
      </c>
      <c r="B434" s="218" t="s">
        <v>201</v>
      </c>
      <c r="C434" s="218" t="s">
        <v>960</v>
      </c>
      <c r="D434" s="218" t="b">
        <v>1</v>
      </c>
      <c r="E434" s="219" t="b">
        <v>0</v>
      </c>
      <c r="F434" s="219" t="b">
        <v>0</v>
      </c>
      <c r="G434" s="219"/>
    </row>
    <row r="435">
      <c r="A435" s="218">
        <f t="shared" si="1"/>
        <v>434</v>
      </c>
      <c r="B435" s="218" t="s">
        <v>201</v>
      </c>
      <c r="C435" s="218" t="s">
        <v>965</v>
      </c>
      <c r="D435" s="218" t="b">
        <v>1</v>
      </c>
      <c r="E435" s="219" t="b">
        <v>0</v>
      </c>
      <c r="F435" s="219" t="b">
        <v>0</v>
      </c>
      <c r="G435" s="219"/>
    </row>
    <row r="436">
      <c r="A436" s="218">
        <f t="shared" si="1"/>
        <v>435</v>
      </c>
      <c r="B436" s="218" t="s">
        <v>201</v>
      </c>
      <c r="C436" s="218" t="s">
        <v>940</v>
      </c>
      <c r="D436" s="218" t="b">
        <v>1</v>
      </c>
      <c r="E436" s="219" t="b">
        <v>0</v>
      </c>
      <c r="F436" s="219" t="b">
        <v>0</v>
      </c>
      <c r="G436" s="219"/>
    </row>
    <row r="437">
      <c r="A437" s="218">
        <f t="shared" si="1"/>
        <v>436</v>
      </c>
      <c r="B437" s="218" t="s">
        <v>201</v>
      </c>
      <c r="C437" s="218" t="s">
        <v>925</v>
      </c>
      <c r="D437" s="218" t="b">
        <v>1</v>
      </c>
      <c r="E437" s="219" t="b">
        <v>0</v>
      </c>
      <c r="F437" s="219" t="b">
        <v>0</v>
      </c>
      <c r="G437" s="219"/>
    </row>
    <row r="438">
      <c r="A438" s="218">
        <f t="shared" si="1"/>
        <v>437</v>
      </c>
      <c r="B438" s="218" t="s">
        <v>201</v>
      </c>
      <c r="C438" s="218" t="s">
        <v>970</v>
      </c>
      <c r="D438" s="218" t="b">
        <v>1</v>
      </c>
      <c r="E438" s="219" t="b">
        <v>0</v>
      </c>
      <c r="F438" s="219" t="b">
        <v>0</v>
      </c>
      <c r="G438" s="219"/>
    </row>
    <row r="439">
      <c r="A439" s="218">
        <f t="shared" si="1"/>
        <v>438</v>
      </c>
      <c r="B439" s="218" t="s">
        <v>201</v>
      </c>
      <c r="C439" s="218" t="s">
        <v>999</v>
      </c>
      <c r="D439" s="218" t="b">
        <v>1</v>
      </c>
      <c r="E439" s="219" t="b">
        <v>0</v>
      </c>
      <c r="F439" s="219" t="b">
        <v>0</v>
      </c>
      <c r="G439" s="219"/>
    </row>
    <row r="440">
      <c r="A440" s="218">
        <f t="shared" si="1"/>
        <v>439</v>
      </c>
      <c r="B440" s="218" t="s">
        <v>201</v>
      </c>
      <c r="C440" s="218" t="s">
        <v>1771</v>
      </c>
      <c r="D440" s="218" t="b">
        <v>1</v>
      </c>
      <c r="E440" s="219" t="b">
        <v>0</v>
      </c>
      <c r="F440" s="219" t="b">
        <v>0</v>
      </c>
      <c r="G440" s="219"/>
    </row>
    <row r="441">
      <c r="A441" s="218">
        <f t="shared" si="1"/>
        <v>440</v>
      </c>
      <c r="B441" s="218" t="s">
        <v>201</v>
      </c>
      <c r="C441" s="218" t="s">
        <v>1767</v>
      </c>
      <c r="D441" s="218" t="b">
        <v>1</v>
      </c>
      <c r="E441" s="219" t="b">
        <v>0</v>
      </c>
      <c r="F441" s="219" t="b">
        <v>0</v>
      </c>
      <c r="G441" s="219"/>
    </row>
    <row r="442">
      <c r="A442" s="218">
        <f t="shared" si="1"/>
        <v>441</v>
      </c>
      <c r="B442" s="218" t="s">
        <v>201</v>
      </c>
      <c r="C442" s="218" t="s">
        <v>1738</v>
      </c>
      <c r="D442" s="218" t="b">
        <v>1</v>
      </c>
      <c r="E442" s="219" t="b">
        <v>0</v>
      </c>
      <c r="F442" s="219" t="b">
        <v>0</v>
      </c>
      <c r="G442" s="219"/>
    </row>
    <row r="443">
      <c r="A443" s="218">
        <f t="shared" si="1"/>
        <v>442</v>
      </c>
      <c r="B443" s="218" t="s">
        <v>201</v>
      </c>
      <c r="C443" s="218" t="s">
        <v>1743</v>
      </c>
      <c r="D443" s="218" t="b">
        <v>1</v>
      </c>
      <c r="E443" s="219" t="b">
        <v>0</v>
      </c>
      <c r="F443" s="219" t="b">
        <v>0</v>
      </c>
      <c r="G443" s="219"/>
    </row>
    <row r="444">
      <c r="A444" s="218">
        <f t="shared" si="1"/>
        <v>443</v>
      </c>
      <c r="B444" s="218" t="s">
        <v>201</v>
      </c>
      <c r="C444" s="218" t="s">
        <v>1748</v>
      </c>
      <c r="D444" s="218" t="b">
        <v>1</v>
      </c>
      <c r="E444" s="219" t="b">
        <v>0</v>
      </c>
      <c r="F444" s="219" t="b">
        <v>0</v>
      </c>
      <c r="G444" s="219"/>
    </row>
    <row r="445">
      <c r="A445" s="218">
        <f t="shared" si="1"/>
        <v>444</v>
      </c>
      <c r="B445" s="218" t="s">
        <v>201</v>
      </c>
      <c r="C445" s="218" t="s">
        <v>1821</v>
      </c>
      <c r="D445" s="218" t="b">
        <v>1</v>
      </c>
      <c r="E445" s="219" t="b">
        <v>0</v>
      </c>
      <c r="F445" s="219" t="b">
        <v>0</v>
      </c>
      <c r="G445" s="219"/>
    </row>
    <row r="446">
      <c r="A446" s="218">
        <f t="shared" si="1"/>
        <v>445</v>
      </c>
      <c r="B446" s="218" t="s">
        <v>201</v>
      </c>
      <c r="C446" s="218" t="s">
        <v>1816</v>
      </c>
      <c r="D446" s="218" t="b">
        <v>1</v>
      </c>
      <c r="E446" s="219" t="b">
        <v>0</v>
      </c>
      <c r="F446" s="219" t="b">
        <v>0</v>
      </c>
      <c r="G446" s="219"/>
    </row>
    <row r="447">
      <c r="A447" s="218">
        <f t="shared" si="1"/>
        <v>446</v>
      </c>
      <c r="B447" s="218" t="s">
        <v>201</v>
      </c>
      <c r="C447" s="218" t="s">
        <v>1694</v>
      </c>
      <c r="D447" s="218" t="b">
        <v>1</v>
      </c>
      <c r="E447" s="219" t="b">
        <v>0</v>
      </c>
      <c r="F447" s="219" t="b">
        <v>0</v>
      </c>
      <c r="G447" s="219"/>
    </row>
    <row r="448">
      <c r="A448" s="218">
        <f t="shared" si="1"/>
        <v>447</v>
      </c>
      <c r="B448" s="218" t="s">
        <v>201</v>
      </c>
      <c r="C448" s="218" t="s">
        <v>1903</v>
      </c>
      <c r="D448" s="218" t="b">
        <v>1</v>
      </c>
      <c r="E448" s="219" t="b">
        <v>0</v>
      </c>
      <c r="F448" s="219" t="b">
        <v>0</v>
      </c>
      <c r="G448" s="219"/>
    </row>
    <row r="449">
      <c r="A449" s="218">
        <f t="shared" si="1"/>
        <v>448</v>
      </c>
      <c r="B449" s="218" t="s">
        <v>201</v>
      </c>
      <c r="C449" s="218" t="s">
        <v>1881</v>
      </c>
      <c r="D449" s="218" t="b">
        <v>1</v>
      </c>
      <c r="E449" s="219" t="b">
        <v>0</v>
      </c>
      <c r="F449" s="219" t="b">
        <v>0</v>
      </c>
      <c r="G449" s="219"/>
    </row>
    <row r="450">
      <c r="A450" s="218">
        <f t="shared" si="1"/>
        <v>449</v>
      </c>
      <c r="B450" s="218" t="s">
        <v>201</v>
      </c>
      <c r="C450" s="218" t="s">
        <v>1791</v>
      </c>
      <c r="D450" s="218" t="b">
        <v>1</v>
      </c>
      <c r="E450" s="219" t="b">
        <v>0</v>
      </c>
      <c r="F450" s="219" t="b">
        <v>0</v>
      </c>
      <c r="G450" s="219"/>
    </row>
    <row r="451">
      <c r="A451" s="218">
        <f t="shared" si="1"/>
        <v>450</v>
      </c>
      <c r="B451" s="218" t="s">
        <v>201</v>
      </c>
      <c r="C451" s="218" t="s">
        <v>1718</v>
      </c>
      <c r="D451" s="218" t="b">
        <v>1</v>
      </c>
      <c r="E451" s="219" t="b">
        <v>0</v>
      </c>
      <c r="F451" s="219" t="b">
        <v>0</v>
      </c>
      <c r="G451" s="219"/>
    </row>
    <row r="452">
      <c r="A452" s="218">
        <f t="shared" si="1"/>
        <v>451</v>
      </c>
      <c r="B452" s="218" t="s">
        <v>201</v>
      </c>
      <c r="C452" s="218" t="s">
        <v>1825</v>
      </c>
      <c r="D452" s="218" t="b">
        <v>1</v>
      </c>
      <c r="E452" s="219" t="b">
        <v>0</v>
      </c>
      <c r="F452" s="219" t="b">
        <v>0</v>
      </c>
      <c r="G452" s="219"/>
    </row>
    <row r="453">
      <c r="A453" s="218">
        <f t="shared" si="1"/>
        <v>452</v>
      </c>
      <c r="B453" s="218" t="s">
        <v>201</v>
      </c>
      <c r="C453" s="218" t="s">
        <v>1873</v>
      </c>
      <c r="D453" s="218" t="b">
        <v>1</v>
      </c>
      <c r="E453" s="219" t="b">
        <v>0</v>
      </c>
      <c r="F453" s="219" t="b">
        <v>0</v>
      </c>
      <c r="G453" s="219"/>
    </row>
    <row r="454">
      <c r="A454" s="218">
        <f t="shared" si="1"/>
        <v>453</v>
      </c>
      <c r="B454" s="218" t="s">
        <v>201</v>
      </c>
      <c r="C454" s="218" t="s">
        <v>1781</v>
      </c>
      <c r="D454" s="218" t="b">
        <v>1</v>
      </c>
      <c r="E454" s="219" t="b">
        <v>0</v>
      </c>
      <c r="F454" s="219" t="b">
        <v>0</v>
      </c>
      <c r="G454" s="219"/>
    </row>
    <row r="455">
      <c r="A455" s="218">
        <f t="shared" si="1"/>
        <v>454</v>
      </c>
      <c r="B455" s="218" t="s">
        <v>201</v>
      </c>
      <c r="C455" s="218" t="s">
        <v>1690</v>
      </c>
      <c r="D455" s="218" t="b">
        <v>1</v>
      </c>
      <c r="E455" s="219" t="b">
        <v>0</v>
      </c>
      <c r="F455" s="219" t="b">
        <v>0</v>
      </c>
      <c r="G455" s="219"/>
    </row>
    <row r="456">
      <c r="A456" s="218">
        <f t="shared" si="1"/>
        <v>455</v>
      </c>
      <c r="B456" s="218" t="s">
        <v>201</v>
      </c>
      <c r="C456" s="218" t="s">
        <v>1830</v>
      </c>
      <c r="D456" s="218" t="b">
        <v>1</v>
      </c>
      <c r="E456" s="219" t="b">
        <v>0</v>
      </c>
      <c r="F456" s="219" t="b">
        <v>0</v>
      </c>
      <c r="G456" s="219"/>
    </row>
    <row r="457">
      <c r="A457" s="218">
        <f t="shared" si="1"/>
        <v>456</v>
      </c>
      <c r="B457" s="218" t="s">
        <v>201</v>
      </c>
      <c r="C457" s="218" t="s">
        <v>1864</v>
      </c>
      <c r="D457" s="218" t="b">
        <v>1</v>
      </c>
      <c r="E457" s="219" t="b">
        <v>0</v>
      </c>
      <c r="F457" s="219" t="b">
        <v>0</v>
      </c>
      <c r="G457" s="219"/>
    </row>
    <row r="458">
      <c r="A458" s="218">
        <f t="shared" si="1"/>
        <v>457</v>
      </c>
      <c r="B458" s="218" t="s">
        <v>201</v>
      </c>
      <c r="C458" s="218" t="s">
        <v>1859</v>
      </c>
      <c r="D458" s="218" t="b">
        <v>1</v>
      </c>
      <c r="E458" s="219" t="b">
        <v>0</v>
      </c>
      <c r="F458" s="219" t="b">
        <v>0</v>
      </c>
      <c r="G458" s="219"/>
    </row>
    <row r="459">
      <c r="A459" s="218">
        <f t="shared" si="1"/>
        <v>458</v>
      </c>
      <c r="B459" s="218" t="s">
        <v>201</v>
      </c>
      <c r="C459" s="218" t="s">
        <v>1798</v>
      </c>
      <c r="D459" s="218" t="b">
        <v>1</v>
      </c>
      <c r="E459" s="219" t="b">
        <v>0</v>
      </c>
      <c r="F459" s="219" t="b">
        <v>0</v>
      </c>
      <c r="G459" s="219"/>
    </row>
    <row r="460">
      <c r="A460" s="218">
        <f t="shared" si="1"/>
        <v>459</v>
      </c>
      <c r="B460" s="218" t="s">
        <v>201</v>
      </c>
      <c r="C460" s="218" t="s">
        <v>1950</v>
      </c>
      <c r="D460" s="218" t="b">
        <v>1</v>
      </c>
      <c r="E460" s="219" t="b">
        <v>0</v>
      </c>
      <c r="F460" s="219" t="b">
        <v>0</v>
      </c>
      <c r="G460" s="219"/>
    </row>
    <row r="461">
      <c r="A461" s="218">
        <f t="shared" si="1"/>
        <v>460</v>
      </c>
      <c r="B461" s="218" t="s">
        <v>201</v>
      </c>
      <c r="C461" s="218" t="s">
        <v>1854</v>
      </c>
      <c r="D461" s="218" t="b">
        <v>1</v>
      </c>
      <c r="E461" s="219" t="b">
        <v>0</v>
      </c>
      <c r="F461" s="219" t="b">
        <v>0</v>
      </c>
      <c r="G461" s="219"/>
    </row>
    <row r="462">
      <c r="A462" s="218">
        <f t="shared" si="1"/>
        <v>461</v>
      </c>
      <c r="B462" s="218" t="s">
        <v>201</v>
      </c>
      <c r="C462" s="218" t="s">
        <v>1837</v>
      </c>
      <c r="D462" s="218" t="b">
        <v>1</v>
      </c>
      <c r="E462" s="219" t="b">
        <v>0</v>
      </c>
      <c r="F462" s="219" t="b">
        <v>0</v>
      </c>
      <c r="G462" s="219"/>
    </row>
    <row r="463">
      <c r="A463" s="218">
        <f t="shared" si="1"/>
        <v>462</v>
      </c>
      <c r="B463" s="218" t="s">
        <v>201</v>
      </c>
      <c r="C463" s="218" t="s">
        <v>1785</v>
      </c>
      <c r="D463" s="218" t="b">
        <v>1</v>
      </c>
      <c r="E463" s="219" t="b">
        <v>0</v>
      </c>
      <c r="F463" s="219" t="b">
        <v>0</v>
      </c>
      <c r="G463" s="219"/>
    </row>
    <row r="464">
      <c r="A464" s="218">
        <f t="shared" si="1"/>
        <v>463</v>
      </c>
      <c r="B464" s="218" t="s">
        <v>201</v>
      </c>
      <c r="C464" s="218" t="s">
        <v>1789</v>
      </c>
      <c r="D464" s="218" t="b">
        <v>1</v>
      </c>
      <c r="E464" s="219" t="b">
        <v>0</v>
      </c>
      <c r="F464" s="219" t="b">
        <v>0</v>
      </c>
      <c r="G464" s="219"/>
    </row>
    <row r="465">
      <c r="A465" s="218">
        <f t="shared" si="1"/>
        <v>464</v>
      </c>
      <c r="B465" s="218" t="s">
        <v>201</v>
      </c>
      <c r="C465" s="218" t="s">
        <v>1726</v>
      </c>
      <c r="D465" s="218" t="b">
        <v>1</v>
      </c>
      <c r="E465" s="219" t="b">
        <v>0</v>
      </c>
      <c r="F465" s="219" t="b">
        <v>0</v>
      </c>
      <c r="G465" s="219"/>
    </row>
    <row r="466">
      <c r="A466" s="218">
        <f t="shared" si="1"/>
        <v>465</v>
      </c>
      <c r="B466" s="218" t="s">
        <v>201</v>
      </c>
      <c r="C466" s="218" t="s">
        <v>1726</v>
      </c>
      <c r="D466" s="218" t="b">
        <v>1</v>
      </c>
      <c r="E466" s="219" t="b">
        <v>0</v>
      </c>
      <c r="F466" s="219" t="b">
        <v>0</v>
      </c>
      <c r="G466" s="219"/>
    </row>
    <row r="467">
      <c r="A467" s="218">
        <f t="shared" si="1"/>
        <v>466</v>
      </c>
      <c r="B467" s="218" t="s">
        <v>201</v>
      </c>
      <c r="C467" s="218" t="s">
        <v>1722</v>
      </c>
      <c r="D467" s="218" t="b">
        <v>1</v>
      </c>
      <c r="E467" s="219" t="b">
        <v>0</v>
      </c>
      <c r="F467" s="219" t="b">
        <v>0</v>
      </c>
      <c r="G467" s="219"/>
    </row>
    <row r="468">
      <c r="A468" s="218">
        <f t="shared" si="1"/>
        <v>467</v>
      </c>
      <c r="B468" s="218" t="s">
        <v>201</v>
      </c>
      <c r="C468" s="218" t="s">
        <v>1708</v>
      </c>
      <c r="D468" s="218" t="b">
        <v>1</v>
      </c>
      <c r="E468" s="219" t="b">
        <v>0</v>
      </c>
      <c r="F468" s="219" t="b">
        <v>0</v>
      </c>
      <c r="G468" s="219"/>
    </row>
    <row r="469">
      <c r="A469" s="218">
        <f t="shared" si="1"/>
        <v>468</v>
      </c>
      <c r="B469" s="218" t="s">
        <v>201</v>
      </c>
      <c r="C469" s="218" t="s">
        <v>1713</v>
      </c>
      <c r="D469" s="218" t="b">
        <v>1</v>
      </c>
      <c r="E469" s="219" t="b">
        <v>0</v>
      </c>
      <c r="F469" s="219" t="b">
        <v>0</v>
      </c>
      <c r="G469" s="219"/>
    </row>
    <row r="470">
      <c r="A470" s="218">
        <f t="shared" si="1"/>
        <v>469</v>
      </c>
      <c r="B470" s="218" t="s">
        <v>201</v>
      </c>
      <c r="C470" s="218" t="s">
        <v>2240</v>
      </c>
      <c r="D470" s="218" t="b">
        <v>1</v>
      </c>
      <c r="E470" s="219" t="b">
        <v>0</v>
      </c>
      <c r="F470" s="219" t="b">
        <v>0</v>
      </c>
      <c r="G470" s="219"/>
    </row>
    <row r="471">
      <c r="A471" s="218">
        <f t="shared" si="1"/>
        <v>470</v>
      </c>
      <c r="B471" s="218" t="s">
        <v>201</v>
      </c>
      <c r="C471" s="218" t="s">
        <v>2120</v>
      </c>
      <c r="D471" s="218" t="b">
        <v>1</v>
      </c>
      <c r="E471" s="219" t="b">
        <v>0</v>
      </c>
      <c r="F471" s="219" t="b">
        <v>0</v>
      </c>
      <c r="G471" s="219"/>
    </row>
    <row r="472">
      <c r="A472" s="218">
        <f t="shared" si="1"/>
        <v>471</v>
      </c>
      <c r="B472" s="218" t="s">
        <v>201</v>
      </c>
      <c r="C472" s="218" t="s">
        <v>2260</v>
      </c>
      <c r="D472" s="218" t="b">
        <v>1</v>
      </c>
      <c r="E472" s="219" t="b">
        <v>0</v>
      </c>
      <c r="F472" s="219" t="b">
        <v>0</v>
      </c>
      <c r="G472" s="219"/>
    </row>
    <row r="473">
      <c r="A473" s="218">
        <f t="shared" si="1"/>
        <v>472</v>
      </c>
      <c r="B473" s="218" t="s">
        <v>201</v>
      </c>
      <c r="C473" s="218" t="s">
        <v>2206</v>
      </c>
      <c r="D473" s="218" t="b">
        <v>1</v>
      </c>
      <c r="E473" s="219" t="b">
        <v>0</v>
      </c>
      <c r="F473" s="219" t="b">
        <v>0</v>
      </c>
      <c r="G473" s="219"/>
    </row>
    <row r="474">
      <c r="A474" s="218">
        <f t="shared" si="1"/>
        <v>473</v>
      </c>
      <c r="B474" s="218" t="s">
        <v>201</v>
      </c>
      <c r="C474" s="218" t="s">
        <v>2225</v>
      </c>
      <c r="D474" s="218" t="b">
        <v>1</v>
      </c>
      <c r="E474" s="219" t="b">
        <v>0</v>
      </c>
      <c r="F474" s="219" t="b">
        <v>0</v>
      </c>
      <c r="G474" s="219"/>
    </row>
    <row r="475">
      <c r="A475" s="218">
        <f t="shared" si="1"/>
        <v>474</v>
      </c>
      <c r="B475" s="218" t="s">
        <v>201</v>
      </c>
      <c r="C475" s="218" t="s">
        <v>2215</v>
      </c>
      <c r="D475" s="218" t="b">
        <v>1</v>
      </c>
      <c r="E475" s="219" t="b">
        <v>0</v>
      </c>
      <c r="F475" s="219" t="b">
        <v>0</v>
      </c>
      <c r="G475" s="219"/>
    </row>
    <row r="476">
      <c r="A476" s="218">
        <f t="shared" si="1"/>
        <v>475</v>
      </c>
      <c r="B476" s="218" t="s">
        <v>201</v>
      </c>
      <c r="C476" s="218" t="s">
        <v>2211</v>
      </c>
      <c r="D476" s="218" t="b">
        <v>1</v>
      </c>
      <c r="E476" s="219" t="b">
        <v>0</v>
      </c>
      <c r="F476" s="219" t="b">
        <v>0</v>
      </c>
      <c r="G476" s="219"/>
    </row>
    <row r="477">
      <c r="A477" s="218">
        <f t="shared" si="1"/>
        <v>476</v>
      </c>
      <c r="B477" s="218" t="s">
        <v>201</v>
      </c>
      <c r="C477" s="218" t="s">
        <v>2138</v>
      </c>
      <c r="D477" s="218" t="b">
        <v>1</v>
      </c>
      <c r="E477" s="219" t="b">
        <v>0</v>
      </c>
      <c r="F477" s="219" t="b">
        <v>0</v>
      </c>
      <c r="G477" s="219"/>
    </row>
    <row r="478">
      <c r="A478" s="218">
        <f t="shared" si="1"/>
        <v>477</v>
      </c>
      <c r="B478" s="218" t="s">
        <v>201</v>
      </c>
      <c r="C478" s="218" t="s">
        <v>2250</v>
      </c>
      <c r="D478" s="218" t="b">
        <v>1</v>
      </c>
      <c r="E478" s="219" t="b">
        <v>0</v>
      </c>
      <c r="F478" s="219" t="b">
        <v>0</v>
      </c>
      <c r="G478" s="219"/>
    </row>
    <row r="479">
      <c r="A479" s="218">
        <f t="shared" si="1"/>
        <v>478</v>
      </c>
      <c r="B479" s="218" t="s">
        <v>201</v>
      </c>
      <c r="C479" s="218" t="s">
        <v>2245</v>
      </c>
      <c r="D479" s="218" t="b">
        <v>1</v>
      </c>
      <c r="E479" s="219" t="b">
        <v>0</v>
      </c>
      <c r="F479" s="219" t="b">
        <v>0</v>
      </c>
      <c r="G479" s="219"/>
    </row>
    <row r="480">
      <c r="A480" s="218">
        <f t="shared" si="1"/>
        <v>479</v>
      </c>
      <c r="B480" s="218" t="s">
        <v>201</v>
      </c>
      <c r="C480" s="218" t="s">
        <v>2235</v>
      </c>
      <c r="D480" s="218" t="b">
        <v>1</v>
      </c>
      <c r="E480" s="219" t="b">
        <v>0</v>
      </c>
      <c r="F480" s="219" t="b">
        <v>0</v>
      </c>
      <c r="G480" s="219"/>
    </row>
    <row r="481">
      <c r="A481" s="218">
        <f t="shared" si="1"/>
        <v>480</v>
      </c>
      <c r="B481" s="218" t="s">
        <v>201</v>
      </c>
      <c r="C481" s="218" t="s">
        <v>2313</v>
      </c>
      <c r="D481" s="218" t="b">
        <v>1</v>
      </c>
      <c r="E481" s="219" t="b">
        <v>0</v>
      </c>
      <c r="F481" s="219" t="b">
        <v>0</v>
      </c>
      <c r="G481" s="219"/>
    </row>
    <row r="482">
      <c r="A482" s="218">
        <f t="shared" si="1"/>
        <v>481</v>
      </c>
      <c r="B482" s="218" t="s">
        <v>201</v>
      </c>
      <c r="C482" s="218" t="s">
        <v>2304</v>
      </c>
      <c r="D482" s="218" t="b">
        <v>1</v>
      </c>
      <c r="E482" s="219" t="b">
        <v>0</v>
      </c>
      <c r="F482" s="219" t="b">
        <v>0</v>
      </c>
      <c r="G482" s="219"/>
    </row>
    <row r="483">
      <c r="A483" s="218">
        <f t="shared" si="1"/>
        <v>482</v>
      </c>
      <c r="B483" s="218" t="s">
        <v>201</v>
      </c>
      <c r="C483" s="218" t="s">
        <v>2317</v>
      </c>
      <c r="D483" s="218" t="b">
        <v>1</v>
      </c>
      <c r="E483" s="219" t="b">
        <v>0</v>
      </c>
      <c r="F483" s="219" t="b">
        <v>0</v>
      </c>
      <c r="G483" s="219"/>
    </row>
    <row r="484">
      <c r="A484" s="218">
        <f t="shared" si="1"/>
        <v>483</v>
      </c>
      <c r="B484" s="218" t="s">
        <v>201</v>
      </c>
      <c r="C484" s="218" t="s">
        <v>2299</v>
      </c>
      <c r="D484" s="218" t="b">
        <v>1</v>
      </c>
      <c r="E484" s="219" t="b">
        <v>0</v>
      </c>
      <c r="F484" s="219" t="b">
        <v>0</v>
      </c>
      <c r="G484" s="219"/>
    </row>
    <row r="485">
      <c r="A485" s="218">
        <f t="shared" si="1"/>
        <v>484</v>
      </c>
      <c r="B485" s="218" t="s">
        <v>201</v>
      </c>
      <c r="C485" s="218" t="s">
        <v>2230</v>
      </c>
      <c r="D485" s="218" t="b">
        <v>1</v>
      </c>
      <c r="E485" s="219" t="b">
        <v>0</v>
      </c>
      <c r="F485" s="219" t="b">
        <v>0</v>
      </c>
      <c r="G485" s="219"/>
    </row>
    <row r="486">
      <c r="A486" s="218">
        <f t="shared" si="1"/>
        <v>485</v>
      </c>
      <c r="B486" s="218" t="s">
        <v>201</v>
      </c>
      <c r="C486" s="218" t="s">
        <v>2129</v>
      </c>
      <c r="D486" s="218" t="b">
        <v>1</v>
      </c>
      <c r="E486" s="219" t="b">
        <v>0</v>
      </c>
      <c r="F486" s="219" t="b">
        <v>0</v>
      </c>
      <c r="G486" s="219"/>
    </row>
    <row r="487">
      <c r="A487" s="218">
        <f t="shared" si="1"/>
        <v>486</v>
      </c>
      <c r="B487" s="218" t="s">
        <v>201</v>
      </c>
      <c r="C487" s="218" t="s">
        <v>2187</v>
      </c>
      <c r="D487" s="218" t="b">
        <v>1</v>
      </c>
      <c r="E487" s="219" t="b">
        <v>0</v>
      </c>
      <c r="F487" s="219" t="b">
        <v>0</v>
      </c>
      <c r="G487" s="219"/>
    </row>
    <row r="488">
      <c r="A488" s="218">
        <f t="shared" si="1"/>
        <v>487</v>
      </c>
      <c r="B488" s="218" t="s">
        <v>201</v>
      </c>
      <c r="C488" s="218" t="s">
        <v>2116</v>
      </c>
      <c r="D488" s="218" t="b">
        <v>1</v>
      </c>
      <c r="E488" s="219" t="b">
        <v>0</v>
      </c>
      <c r="F488" s="219" t="b">
        <v>0</v>
      </c>
      <c r="G488" s="219"/>
    </row>
    <row r="489">
      <c r="A489" s="218">
        <f t="shared" si="1"/>
        <v>488</v>
      </c>
      <c r="B489" s="218" t="s">
        <v>201</v>
      </c>
      <c r="C489" s="218" t="s">
        <v>2192</v>
      </c>
      <c r="D489" s="218" t="b">
        <v>1</v>
      </c>
      <c r="E489" s="219" t="b">
        <v>0</v>
      </c>
      <c r="F489" s="219" t="b">
        <v>0</v>
      </c>
      <c r="G489" s="219"/>
    </row>
    <row r="490">
      <c r="A490" s="218">
        <f t="shared" si="1"/>
        <v>489</v>
      </c>
      <c r="B490" s="218" t="s">
        <v>201</v>
      </c>
      <c r="C490" s="218" t="s">
        <v>2148</v>
      </c>
      <c r="D490" s="218" t="b">
        <v>1</v>
      </c>
      <c r="E490" s="219" t="b">
        <v>0</v>
      </c>
      <c r="F490" s="219" t="b">
        <v>0</v>
      </c>
      <c r="G490" s="219"/>
    </row>
    <row r="491">
      <c r="A491" s="218">
        <f t="shared" si="1"/>
        <v>490</v>
      </c>
      <c r="B491" s="218" t="s">
        <v>201</v>
      </c>
      <c r="C491" s="218" t="s">
        <v>2148</v>
      </c>
      <c r="D491" s="218" t="b">
        <v>1</v>
      </c>
      <c r="E491" s="219" t="b">
        <v>0</v>
      </c>
      <c r="F491" s="219" t="b">
        <v>0</v>
      </c>
      <c r="G491" s="219"/>
    </row>
    <row r="492">
      <c r="A492" s="218">
        <f t="shared" si="1"/>
        <v>491</v>
      </c>
      <c r="B492" s="218" t="s">
        <v>201</v>
      </c>
      <c r="C492" s="218" t="s">
        <v>2280</v>
      </c>
      <c r="D492" s="218" t="b">
        <v>1</v>
      </c>
      <c r="E492" s="219" t="b">
        <v>0</v>
      </c>
      <c r="F492" s="219" t="b">
        <v>0</v>
      </c>
      <c r="G492" s="219"/>
    </row>
    <row r="493">
      <c r="A493" s="218">
        <f t="shared" si="1"/>
        <v>492</v>
      </c>
      <c r="B493" s="218" t="s">
        <v>201</v>
      </c>
      <c r="C493" s="218" t="s">
        <v>2309</v>
      </c>
      <c r="D493" s="218" t="b">
        <v>1</v>
      </c>
      <c r="E493" s="219" t="b">
        <v>0</v>
      </c>
      <c r="F493" s="219" t="b">
        <v>0</v>
      </c>
      <c r="G493" s="219"/>
    </row>
    <row r="494">
      <c r="A494" s="218">
        <f t="shared" si="1"/>
        <v>493</v>
      </c>
      <c r="B494" s="218" t="s">
        <v>201</v>
      </c>
      <c r="C494" s="218" t="s">
        <v>1808</v>
      </c>
      <c r="D494" s="218" t="b">
        <v>1</v>
      </c>
      <c r="E494" s="219" t="b">
        <v>0</v>
      </c>
      <c r="F494" s="219" t="b">
        <v>0</v>
      </c>
      <c r="G494" s="219"/>
    </row>
    <row r="495">
      <c r="A495" s="218">
        <f t="shared" si="1"/>
        <v>494</v>
      </c>
      <c r="B495" s="218" t="s">
        <v>201</v>
      </c>
      <c r="C495" s="218" t="s">
        <v>2270</v>
      </c>
      <c r="D495" s="218" t="b">
        <v>1</v>
      </c>
      <c r="E495" s="219" t="b">
        <v>0</v>
      </c>
      <c r="F495" s="219" t="b">
        <v>0</v>
      </c>
      <c r="G495" s="219"/>
    </row>
    <row r="496">
      <c r="A496" s="218">
        <f t="shared" si="1"/>
        <v>495</v>
      </c>
      <c r="B496" s="218" t="s">
        <v>201</v>
      </c>
      <c r="C496" s="218" t="s">
        <v>2275</v>
      </c>
      <c r="D496" s="218" t="b">
        <v>1</v>
      </c>
      <c r="E496" s="219" t="b">
        <v>0</v>
      </c>
      <c r="F496" s="219" t="b">
        <v>0</v>
      </c>
      <c r="G496" s="219"/>
    </row>
    <row r="497">
      <c r="A497" s="218">
        <f t="shared" si="1"/>
        <v>496</v>
      </c>
      <c r="B497" s="218" t="s">
        <v>201</v>
      </c>
      <c r="C497" s="218" t="s">
        <v>2285</v>
      </c>
      <c r="D497" s="218" t="b">
        <v>1</v>
      </c>
      <c r="E497" s="219" t="b">
        <v>0</v>
      </c>
      <c r="F497" s="219" t="b">
        <v>0</v>
      </c>
      <c r="G497" s="219"/>
    </row>
    <row r="498">
      <c r="A498" s="218">
        <f t="shared" si="1"/>
        <v>497</v>
      </c>
      <c r="B498" s="218" t="s">
        <v>201</v>
      </c>
      <c r="C498" s="218" t="s">
        <v>2285</v>
      </c>
      <c r="D498" s="218" t="b">
        <v>1</v>
      </c>
      <c r="E498" s="219" t="b">
        <v>0</v>
      </c>
      <c r="F498" s="219" t="b">
        <v>0</v>
      </c>
      <c r="G498" s="219"/>
    </row>
    <row r="499">
      <c r="A499" s="218">
        <f t="shared" si="1"/>
        <v>498</v>
      </c>
      <c r="B499" s="218" t="s">
        <v>201</v>
      </c>
      <c r="C499" s="218" t="s">
        <v>2290</v>
      </c>
      <c r="D499" s="218" t="b">
        <v>1</v>
      </c>
      <c r="E499" s="219" t="b">
        <v>0</v>
      </c>
      <c r="F499" s="219" t="b">
        <v>0</v>
      </c>
      <c r="G499" s="219"/>
    </row>
    <row r="500">
      <c r="A500" s="218">
        <f t="shared" si="1"/>
        <v>499</v>
      </c>
      <c r="B500" s="218" t="s">
        <v>201</v>
      </c>
      <c r="C500" s="218" t="s">
        <v>2172</v>
      </c>
      <c r="D500" s="218" t="b">
        <v>1</v>
      </c>
      <c r="E500" s="219" t="b">
        <v>0</v>
      </c>
      <c r="F500" s="219" t="b">
        <v>0</v>
      </c>
      <c r="G500" s="219"/>
    </row>
    <row r="501">
      <c r="A501" s="218">
        <f t="shared" si="1"/>
        <v>500</v>
      </c>
      <c r="B501" s="218" t="s">
        <v>201</v>
      </c>
      <c r="C501" s="218" t="s">
        <v>6799</v>
      </c>
      <c r="D501" s="218" t="b">
        <v>1</v>
      </c>
      <c r="E501" s="219" t="b">
        <v>0</v>
      </c>
      <c r="F501" s="219" t="b">
        <v>0</v>
      </c>
      <c r="G501" s="219"/>
    </row>
    <row r="502">
      <c r="A502" s="218">
        <f t="shared" si="1"/>
        <v>501</v>
      </c>
      <c r="B502" s="218" t="s">
        <v>201</v>
      </c>
      <c r="C502" s="218" t="s">
        <v>1974</v>
      </c>
      <c r="D502" s="218" t="b">
        <v>1</v>
      </c>
      <c r="E502" s="219" t="b">
        <v>0</v>
      </c>
      <c r="F502" s="219" t="b">
        <v>0</v>
      </c>
      <c r="G502" s="219"/>
    </row>
    <row r="503">
      <c r="A503" s="218">
        <f t="shared" si="1"/>
        <v>502</v>
      </c>
      <c r="B503" s="218" t="s">
        <v>201</v>
      </c>
      <c r="C503" s="218" t="s">
        <v>2341</v>
      </c>
      <c r="D503" s="218" t="b">
        <v>1</v>
      </c>
      <c r="E503" s="219" t="b">
        <v>0</v>
      </c>
      <c r="F503" s="219" t="b">
        <v>0</v>
      </c>
      <c r="G503" s="219"/>
    </row>
    <row r="504">
      <c r="A504" s="218">
        <f t="shared" si="1"/>
        <v>503</v>
      </c>
      <c r="B504" s="218" t="s">
        <v>201</v>
      </c>
      <c r="C504" s="218" t="s">
        <v>2427</v>
      </c>
      <c r="D504" s="218" t="b">
        <v>1</v>
      </c>
      <c r="E504" s="219" t="b">
        <v>0</v>
      </c>
      <c r="F504" s="219" t="b">
        <v>0</v>
      </c>
      <c r="G504" s="219"/>
    </row>
    <row r="505">
      <c r="A505" s="218">
        <f t="shared" si="1"/>
        <v>504</v>
      </c>
      <c r="B505" s="218" t="s">
        <v>201</v>
      </c>
      <c r="C505" s="218" t="s">
        <v>2360</v>
      </c>
      <c r="D505" s="218" t="b">
        <v>1</v>
      </c>
      <c r="E505" s="219" t="b">
        <v>0</v>
      </c>
      <c r="F505" s="219" t="b">
        <v>0</v>
      </c>
      <c r="G505" s="219"/>
    </row>
    <row r="506">
      <c r="A506" s="218">
        <f t="shared" si="1"/>
        <v>505</v>
      </c>
      <c r="B506" s="218" t="s">
        <v>201</v>
      </c>
      <c r="C506" s="218" t="s">
        <v>2489</v>
      </c>
      <c r="D506" s="218" t="b">
        <v>1</v>
      </c>
      <c r="E506" s="219" t="b">
        <v>0</v>
      </c>
      <c r="F506" s="219" t="b">
        <v>0</v>
      </c>
      <c r="G506" s="219"/>
    </row>
    <row r="507">
      <c r="A507" s="218">
        <f t="shared" si="1"/>
        <v>506</v>
      </c>
      <c r="B507" s="218" t="s">
        <v>201</v>
      </c>
      <c r="C507" s="218" t="s">
        <v>2417</v>
      </c>
      <c r="D507" s="218" t="b">
        <v>1</v>
      </c>
      <c r="E507" s="219" t="b">
        <v>0</v>
      </c>
      <c r="F507" s="219" t="b">
        <v>0</v>
      </c>
      <c r="G507" s="219"/>
    </row>
    <row r="508">
      <c r="A508" s="218">
        <f t="shared" si="1"/>
        <v>507</v>
      </c>
      <c r="B508" s="218" t="s">
        <v>201</v>
      </c>
      <c r="C508" s="218" t="s">
        <v>2446</v>
      </c>
      <c r="D508" s="218" t="b">
        <v>1</v>
      </c>
      <c r="E508" s="219" t="b">
        <v>0</v>
      </c>
      <c r="F508" s="219" t="b">
        <v>0</v>
      </c>
      <c r="G508" s="219"/>
    </row>
    <row r="509">
      <c r="A509" s="218">
        <f t="shared" si="1"/>
        <v>508</v>
      </c>
      <c r="B509" s="218" t="s">
        <v>201</v>
      </c>
      <c r="C509" s="218" t="s">
        <v>2392</v>
      </c>
      <c r="D509" s="218" t="b">
        <v>1</v>
      </c>
      <c r="E509" s="219" t="b">
        <v>0</v>
      </c>
      <c r="F509" s="219" t="b">
        <v>0</v>
      </c>
      <c r="G509" s="219"/>
    </row>
    <row r="510">
      <c r="A510" s="218">
        <f t="shared" si="1"/>
        <v>509</v>
      </c>
      <c r="B510" s="218" t="s">
        <v>201</v>
      </c>
      <c r="C510" s="218" t="s">
        <v>2432</v>
      </c>
      <c r="D510" s="218" t="b">
        <v>1</v>
      </c>
      <c r="E510" s="219" t="b">
        <v>0</v>
      </c>
      <c r="F510" s="219" t="b">
        <v>0</v>
      </c>
      <c r="G510" s="219"/>
    </row>
    <row r="511">
      <c r="A511" s="218">
        <f t="shared" si="1"/>
        <v>510</v>
      </c>
      <c r="B511" s="218" t="s">
        <v>201</v>
      </c>
      <c r="C511" s="218" t="s">
        <v>2374</v>
      </c>
      <c r="D511" s="218" t="b">
        <v>1</v>
      </c>
      <c r="E511" s="219" t="b">
        <v>0</v>
      </c>
      <c r="F511" s="219" t="b">
        <v>0</v>
      </c>
      <c r="G511" s="219"/>
    </row>
    <row r="512">
      <c r="A512" s="218">
        <f t="shared" si="1"/>
        <v>511</v>
      </c>
      <c r="B512" s="218" t="s">
        <v>201</v>
      </c>
      <c r="C512" s="218" t="s">
        <v>2326</v>
      </c>
      <c r="D512" s="218" t="b">
        <v>1</v>
      </c>
      <c r="E512" s="219" t="b">
        <v>0</v>
      </c>
      <c r="F512" s="219" t="b">
        <v>0</v>
      </c>
      <c r="G512" s="219"/>
    </row>
    <row r="513">
      <c r="A513" s="218">
        <f t="shared" si="1"/>
        <v>512</v>
      </c>
      <c r="B513" s="218" t="s">
        <v>201</v>
      </c>
      <c r="C513" s="218" t="s">
        <v>2422</v>
      </c>
      <c r="D513" s="218" t="b">
        <v>1</v>
      </c>
      <c r="E513" s="219" t="b">
        <v>0</v>
      </c>
      <c r="F513" s="219" t="b">
        <v>0</v>
      </c>
      <c r="G513" s="219"/>
    </row>
    <row r="514">
      <c r="A514" s="218">
        <f t="shared" si="1"/>
        <v>513</v>
      </c>
      <c r="B514" s="218" t="s">
        <v>201</v>
      </c>
      <c r="C514" s="218" t="s">
        <v>2265</v>
      </c>
      <c r="D514" s="218" t="b">
        <v>1</v>
      </c>
      <c r="E514" s="219" t="b">
        <v>0</v>
      </c>
      <c r="F514" s="219" t="b">
        <v>0</v>
      </c>
      <c r="G514" s="219"/>
    </row>
    <row r="515">
      <c r="A515" s="218">
        <f t="shared" si="1"/>
        <v>514</v>
      </c>
      <c r="B515" s="218" t="s">
        <v>201</v>
      </c>
      <c r="C515" s="218" t="s">
        <v>2484</v>
      </c>
      <c r="D515" s="218" t="b">
        <v>1</v>
      </c>
      <c r="E515" s="219" t="b">
        <v>0</v>
      </c>
      <c r="F515" s="219" t="b">
        <v>0</v>
      </c>
      <c r="G515" s="219"/>
    </row>
    <row r="516">
      <c r="A516" s="218">
        <f t="shared" si="1"/>
        <v>515</v>
      </c>
      <c r="B516" s="218" t="s">
        <v>201</v>
      </c>
      <c r="C516" s="218" t="s">
        <v>2388</v>
      </c>
      <c r="D516" s="218" t="b">
        <v>1</v>
      </c>
      <c r="E516" s="219" t="b">
        <v>0</v>
      </c>
      <c r="F516" s="219" t="b">
        <v>0</v>
      </c>
      <c r="G516" s="219"/>
    </row>
    <row r="517">
      <c r="A517" s="218">
        <f t="shared" si="1"/>
        <v>516</v>
      </c>
      <c r="B517" s="218" t="s">
        <v>201</v>
      </c>
      <c r="C517" s="218" t="s">
        <v>2331</v>
      </c>
      <c r="D517" s="218" t="b">
        <v>1</v>
      </c>
      <c r="E517" s="219" t="b">
        <v>0</v>
      </c>
      <c r="F517" s="219" t="b">
        <v>0</v>
      </c>
      <c r="G517" s="219"/>
    </row>
    <row r="518">
      <c r="A518" s="218">
        <f t="shared" si="1"/>
        <v>517</v>
      </c>
      <c r="B518" s="218" t="s">
        <v>201</v>
      </c>
      <c r="C518" s="218" t="s">
        <v>2351</v>
      </c>
      <c r="D518" s="218" t="b">
        <v>1</v>
      </c>
      <c r="E518" s="219" t="b">
        <v>0</v>
      </c>
      <c r="F518" s="219" t="b">
        <v>0</v>
      </c>
      <c r="G518" s="219"/>
    </row>
    <row r="519">
      <c r="A519" s="218">
        <f t="shared" si="1"/>
        <v>518</v>
      </c>
      <c r="B519" s="218" t="s">
        <v>201</v>
      </c>
      <c r="C519" s="218" t="s">
        <v>2450</v>
      </c>
      <c r="D519" s="218" t="b">
        <v>1</v>
      </c>
      <c r="E519" s="219" t="b">
        <v>0</v>
      </c>
      <c r="F519" s="219" t="b">
        <v>0</v>
      </c>
      <c r="G519" s="219"/>
    </row>
    <row r="520">
      <c r="A520" s="218">
        <f t="shared" si="1"/>
        <v>519</v>
      </c>
      <c r="B520" s="218" t="s">
        <v>201</v>
      </c>
      <c r="C520" s="218" t="s">
        <v>2455</v>
      </c>
      <c r="D520" s="218" t="b">
        <v>1</v>
      </c>
      <c r="E520" s="219" t="b">
        <v>0</v>
      </c>
      <c r="F520" s="219" t="b">
        <v>0</v>
      </c>
      <c r="G520" s="219"/>
    </row>
    <row r="521">
      <c r="A521" s="218">
        <f t="shared" si="1"/>
        <v>520</v>
      </c>
      <c r="B521" s="218" t="s">
        <v>201</v>
      </c>
      <c r="C521" s="218" t="s">
        <v>2460</v>
      </c>
      <c r="D521" s="218" t="b">
        <v>1</v>
      </c>
      <c r="E521" s="219" t="b">
        <v>0</v>
      </c>
      <c r="F521" s="219" t="b">
        <v>0</v>
      </c>
      <c r="G521" s="219"/>
    </row>
    <row r="522">
      <c r="A522" s="218">
        <f t="shared" si="1"/>
        <v>521</v>
      </c>
      <c r="B522" s="218" t="s">
        <v>201</v>
      </c>
      <c r="C522" s="218" t="s">
        <v>2470</v>
      </c>
      <c r="D522" s="218" t="b">
        <v>1</v>
      </c>
      <c r="E522" s="219" t="b">
        <v>0</v>
      </c>
      <c r="F522" s="219" t="b">
        <v>0</v>
      </c>
      <c r="G522" s="219"/>
    </row>
    <row r="523">
      <c r="A523" s="218">
        <f t="shared" si="1"/>
        <v>522</v>
      </c>
      <c r="B523" s="218" t="s">
        <v>201</v>
      </c>
      <c r="C523" s="218" t="s">
        <v>2475</v>
      </c>
      <c r="D523" s="218" t="b">
        <v>1</v>
      </c>
      <c r="E523" s="219" t="b">
        <v>0</v>
      </c>
      <c r="F523" s="219" t="b">
        <v>0</v>
      </c>
      <c r="G523" s="219"/>
    </row>
    <row r="524">
      <c r="A524" s="218">
        <f t="shared" si="1"/>
        <v>523</v>
      </c>
      <c r="B524" s="218" t="s">
        <v>201</v>
      </c>
      <c r="C524" s="218" t="s">
        <v>2397</v>
      </c>
      <c r="D524" s="218" t="b">
        <v>1</v>
      </c>
      <c r="E524" s="219" t="b">
        <v>0</v>
      </c>
      <c r="F524" s="219" t="b">
        <v>0</v>
      </c>
      <c r="G524" s="219"/>
    </row>
    <row r="525">
      <c r="A525" s="218">
        <f t="shared" si="1"/>
        <v>524</v>
      </c>
      <c r="B525" s="218" t="s">
        <v>201</v>
      </c>
      <c r="C525" s="218" t="s">
        <v>2346</v>
      </c>
      <c r="D525" s="218" t="b">
        <v>1</v>
      </c>
      <c r="E525" s="219" t="b">
        <v>0</v>
      </c>
      <c r="F525" s="219" t="b">
        <v>0</v>
      </c>
      <c r="G525" s="219"/>
    </row>
    <row r="526">
      <c r="A526" s="218">
        <f t="shared" si="1"/>
        <v>525</v>
      </c>
      <c r="B526" s="218" t="s">
        <v>201</v>
      </c>
      <c r="C526" s="218" t="s">
        <v>2412</v>
      </c>
      <c r="D526" s="218" t="b">
        <v>1</v>
      </c>
      <c r="E526" s="219" t="b">
        <v>0</v>
      </c>
      <c r="F526" s="219" t="b">
        <v>0</v>
      </c>
      <c r="G526" s="219"/>
    </row>
    <row r="527">
      <c r="A527" s="218">
        <f t="shared" si="1"/>
        <v>526</v>
      </c>
      <c r="B527" s="218" t="s">
        <v>201</v>
      </c>
      <c r="C527" s="218" t="s">
        <v>2402</v>
      </c>
      <c r="D527" s="218" t="b">
        <v>1</v>
      </c>
      <c r="E527" s="219" t="b">
        <v>0</v>
      </c>
      <c r="F527" s="219" t="b">
        <v>0</v>
      </c>
      <c r="G527" s="219"/>
    </row>
    <row r="528">
      <c r="A528" s="218">
        <f t="shared" si="1"/>
        <v>527</v>
      </c>
      <c r="B528" s="218" t="s">
        <v>201</v>
      </c>
      <c r="C528" s="218" t="s">
        <v>2355</v>
      </c>
      <c r="D528" s="218" t="b">
        <v>1</v>
      </c>
      <c r="E528" s="219" t="b">
        <v>0</v>
      </c>
      <c r="F528" s="219" t="b">
        <v>0</v>
      </c>
      <c r="G528" s="219"/>
    </row>
    <row r="529">
      <c r="A529" s="218">
        <f t="shared" si="1"/>
        <v>528</v>
      </c>
      <c r="B529" s="218" t="s">
        <v>201</v>
      </c>
      <c r="C529" s="218" t="s">
        <v>2383</v>
      </c>
      <c r="D529" s="218" t="b">
        <v>1</v>
      </c>
      <c r="E529" s="219" t="b">
        <v>0</v>
      </c>
      <c r="F529" s="219" t="b">
        <v>0</v>
      </c>
      <c r="G529" s="219"/>
    </row>
    <row r="530">
      <c r="A530" s="218">
        <f t="shared" si="1"/>
        <v>529</v>
      </c>
      <c r="B530" s="218" t="s">
        <v>201</v>
      </c>
      <c r="C530" s="218" t="s">
        <v>2336</v>
      </c>
      <c r="D530" s="218" t="b">
        <v>1</v>
      </c>
      <c r="E530" s="219" t="b">
        <v>0</v>
      </c>
      <c r="F530" s="219" t="b">
        <v>0</v>
      </c>
      <c r="G530" s="219"/>
    </row>
    <row r="531">
      <c r="A531" s="218">
        <f t="shared" si="1"/>
        <v>530</v>
      </c>
      <c r="B531" s="218" t="s">
        <v>201</v>
      </c>
      <c r="C531" s="218" t="s">
        <v>3185</v>
      </c>
      <c r="D531" s="218" t="b">
        <v>1</v>
      </c>
      <c r="E531" s="219" t="b">
        <v>0</v>
      </c>
      <c r="F531" s="219" t="b">
        <v>0</v>
      </c>
      <c r="G531" s="219"/>
    </row>
    <row r="532">
      <c r="A532" s="218">
        <f t="shared" si="1"/>
        <v>531</v>
      </c>
      <c r="B532" s="218" t="s">
        <v>201</v>
      </c>
      <c r="C532" s="218" t="s">
        <v>3320</v>
      </c>
      <c r="D532" s="218" t="b">
        <v>1</v>
      </c>
      <c r="E532" s="219" t="b">
        <v>0</v>
      </c>
      <c r="F532" s="219" t="b">
        <v>0</v>
      </c>
      <c r="G532" s="219"/>
    </row>
    <row r="533">
      <c r="A533" s="218">
        <f t="shared" si="1"/>
        <v>532</v>
      </c>
      <c r="B533" s="218" t="s">
        <v>201</v>
      </c>
      <c r="C533" s="218" t="s">
        <v>3253</v>
      </c>
      <c r="D533" s="218" t="b">
        <v>1</v>
      </c>
      <c r="E533" s="219" t="b">
        <v>0</v>
      </c>
      <c r="F533" s="219" t="b">
        <v>0</v>
      </c>
      <c r="G533" s="219"/>
    </row>
    <row r="534">
      <c r="A534" s="218">
        <f t="shared" si="1"/>
        <v>533</v>
      </c>
      <c r="B534" s="218" t="s">
        <v>201</v>
      </c>
      <c r="C534" s="218" t="s">
        <v>3315</v>
      </c>
      <c r="D534" s="218" t="b">
        <v>1</v>
      </c>
      <c r="E534" s="219" t="b">
        <v>0</v>
      </c>
      <c r="F534" s="219" t="b">
        <v>0</v>
      </c>
      <c r="G534" s="219"/>
    </row>
    <row r="535">
      <c r="A535" s="218">
        <f t="shared" si="1"/>
        <v>534</v>
      </c>
      <c r="B535" s="218" t="s">
        <v>201</v>
      </c>
      <c r="C535" s="218" t="s">
        <v>3315</v>
      </c>
      <c r="D535" s="218" t="b">
        <v>1</v>
      </c>
      <c r="E535" s="219" t="b">
        <v>0</v>
      </c>
      <c r="F535" s="219" t="b">
        <v>0</v>
      </c>
      <c r="G535" s="219"/>
    </row>
    <row r="536">
      <c r="A536" s="218">
        <f t="shared" si="1"/>
        <v>535</v>
      </c>
      <c r="B536" s="218" t="s">
        <v>201</v>
      </c>
      <c r="C536" s="218" t="s">
        <v>3263</v>
      </c>
      <c r="D536" s="218" t="b">
        <v>1</v>
      </c>
      <c r="E536" s="219" t="b">
        <v>0</v>
      </c>
      <c r="F536" s="219" t="b">
        <v>0</v>
      </c>
      <c r="G536" s="219"/>
    </row>
    <row r="537">
      <c r="A537" s="218">
        <f t="shared" si="1"/>
        <v>536</v>
      </c>
      <c r="B537" s="218" t="s">
        <v>201</v>
      </c>
      <c r="C537" s="218" t="s">
        <v>3223</v>
      </c>
      <c r="D537" s="218" t="b">
        <v>1</v>
      </c>
      <c r="E537" s="219" t="b">
        <v>0</v>
      </c>
      <c r="F537" s="219" t="b">
        <v>0</v>
      </c>
      <c r="G537" s="219"/>
    </row>
    <row r="538">
      <c r="A538" s="218">
        <f t="shared" si="1"/>
        <v>537</v>
      </c>
      <c r="B538" s="218" t="s">
        <v>201</v>
      </c>
      <c r="C538" s="218" t="s">
        <v>3211</v>
      </c>
      <c r="D538" s="218" t="b">
        <v>1</v>
      </c>
      <c r="E538" s="219" t="b">
        <v>0</v>
      </c>
      <c r="F538" s="219" t="b">
        <v>0</v>
      </c>
      <c r="G538" s="219"/>
    </row>
    <row r="539">
      <c r="A539" s="218">
        <f t="shared" si="1"/>
        <v>538</v>
      </c>
      <c r="B539" s="218" t="s">
        <v>201</v>
      </c>
      <c r="C539" s="218" t="s">
        <v>3228</v>
      </c>
      <c r="D539" s="218" t="b">
        <v>1</v>
      </c>
      <c r="E539" s="219" t="b">
        <v>0</v>
      </c>
      <c r="F539" s="219" t="b">
        <v>0</v>
      </c>
      <c r="G539" s="219"/>
    </row>
    <row r="540">
      <c r="A540" s="218">
        <f t="shared" si="1"/>
        <v>539</v>
      </c>
      <c r="B540" s="218" t="s">
        <v>201</v>
      </c>
      <c r="C540" s="218" t="s">
        <v>3248</v>
      </c>
      <c r="D540" s="218" t="b">
        <v>1</v>
      </c>
      <c r="E540" s="219" t="b">
        <v>0</v>
      </c>
      <c r="F540" s="219" t="b">
        <v>0</v>
      </c>
      <c r="G540" s="219"/>
    </row>
    <row r="541">
      <c r="A541" s="218">
        <f t="shared" si="1"/>
        <v>540</v>
      </c>
      <c r="B541" s="218" t="s">
        <v>201</v>
      </c>
      <c r="C541" s="218" t="s">
        <v>3194</v>
      </c>
      <c r="D541" s="218" t="b">
        <v>1</v>
      </c>
      <c r="E541" s="219" t="b">
        <v>0</v>
      </c>
      <c r="F541" s="219" t="b">
        <v>0</v>
      </c>
      <c r="G541" s="219"/>
    </row>
    <row r="542">
      <c r="A542" s="218">
        <f t="shared" si="1"/>
        <v>541</v>
      </c>
      <c r="B542" s="218" t="s">
        <v>201</v>
      </c>
      <c r="C542" s="218" t="s">
        <v>3258</v>
      </c>
      <c r="D542" s="218" t="b">
        <v>1</v>
      </c>
      <c r="E542" s="219" t="b">
        <v>0</v>
      </c>
      <c r="F542" s="219" t="b">
        <v>0</v>
      </c>
      <c r="G542" s="219"/>
    </row>
    <row r="543">
      <c r="A543" s="218">
        <f t="shared" si="1"/>
        <v>542</v>
      </c>
      <c r="B543" s="218" t="s">
        <v>201</v>
      </c>
      <c r="C543" s="218" t="s">
        <v>3203</v>
      </c>
      <c r="D543" s="218" t="b">
        <v>1</v>
      </c>
      <c r="E543" s="219" t="b">
        <v>0</v>
      </c>
      <c r="F543" s="219" t="b">
        <v>0</v>
      </c>
      <c r="G543" s="219"/>
    </row>
    <row r="544">
      <c r="A544" s="218">
        <f t="shared" si="1"/>
        <v>543</v>
      </c>
      <c r="B544" s="218" t="s">
        <v>201</v>
      </c>
      <c r="C544" s="218" t="s">
        <v>3182</v>
      </c>
      <c r="D544" s="218" t="b">
        <v>1</v>
      </c>
      <c r="E544" s="219" t="b">
        <v>0</v>
      </c>
      <c r="F544" s="219" t="b">
        <v>0</v>
      </c>
      <c r="G544" s="219"/>
    </row>
    <row r="545">
      <c r="A545" s="218">
        <f t="shared" si="1"/>
        <v>544</v>
      </c>
      <c r="B545" s="218" t="s">
        <v>201</v>
      </c>
      <c r="C545" s="218" t="s">
        <v>3300</v>
      </c>
      <c r="D545" s="218" t="b">
        <v>1</v>
      </c>
      <c r="E545" s="219" t="b">
        <v>0</v>
      </c>
      <c r="F545" s="219" t="b">
        <v>0</v>
      </c>
      <c r="G545" s="219"/>
    </row>
    <row r="546">
      <c r="A546" s="218">
        <f t="shared" si="1"/>
        <v>545</v>
      </c>
      <c r="B546" s="218" t="s">
        <v>201</v>
      </c>
      <c r="C546" s="218" t="s">
        <v>3369</v>
      </c>
      <c r="D546" s="218" t="b">
        <v>1</v>
      </c>
      <c r="E546" s="219" t="b">
        <v>0</v>
      </c>
      <c r="F546" s="219" t="b">
        <v>0</v>
      </c>
      <c r="G546" s="219"/>
    </row>
    <row r="547">
      <c r="A547" s="218">
        <f t="shared" si="1"/>
        <v>546</v>
      </c>
      <c r="B547" s="218" t="s">
        <v>201</v>
      </c>
      <c r="C547" s="218" t="s">
        <v>3348</v>
      </c>
      <c r="D547" s="218" t="b">
        <v>1</v>
      </c>
      <c r="E547" s="219" t="b">
        <v>0</v>
      </c>
      <c r="F547" s="219" t="b">
        <v>0</v>
      </c>
      <c r="G547" s="219"/>
    </row>
    <row r="548">
      <c r="A548" s="218">
        <f t="shared" si="1"/>
        <v>547</v>
      </c>
      <c r="B548" s="218" t="s">
        <v>201</v>
      </c>
      <c r="C548" s="218" t="s">
        <v>3361</v>
      </c>
      <c r="D548" s="218" t="b">
        <v>1</v>
      </c>
      <c r="E548" s="219" t="b">
        <v>0</v>
      </c>
      <c r="F548" s="219" t="b">
        <v>0</v>
      </c>
      <c r="G548" s="219"/>
    </row>
    <row r="549">
      <c r="A549" s="218">
        <f t="shared" si="1"/>
        <v>548</v>
      </c>
      <c r="B549" s="218" t="s">
        <v>201</v>
      </c>
      <c r="C549" s="218" t="s">
        <v>3353</v>
      </c>
      <c r="D549" s="218" t="b">
        <v>1</v>
      </c>
      <c r="E549" s="219" t="b">
        <v>0</v>
      </c>
      <c r="F549" s="219" t="b">
        <v>0</v>
      </c>
      <c r="G549" s="219"/>
    </row>
    <row r="550">
      <c r="A550" s="218">
        <f t="shared" si="1"/>
        <v>549</v>
      </c>
      <c r="B550" s="218" t="s">
        <v>201</v>
      </c>
      <c r="C550" s="218" t="s">
        <v>3343</v>
      </c>
      <c r="D550" s="218" t="b">
        <v>1</v>
      </c>
      <c r="E550" s="219" t="b">
        <v>0</v>
      </c>
      <c r="F550" s="219" t="b">
        <v>0</v>
      </c>
      <c r="G550" s="219"/>
    </row>
    <row r="551">
      <c r="A551" s="218">
        <f t="shared" si="1"/>
        <v>550</v>
      </c>
      <c r="B551" s="218" t="s">
        <v>201</v>
      </c>
      <c r="C551" s="218" t="s">
        <v>3310</v>
      </c>
      <c r="D551" s="218" t="b">
        <v>1</v>
      </c>
      <c r="E551" s="219" t="b">
        <v>0</v>
      </c>
      <c r="F551" s="219" t="b">
        <v>0</v>
      </c>
      <c r="G551" s="219"/>
    </row>
    <row r="552">
      <c r="A552" s="218">
        <f t="shared" si="1"/>
        <v>551</v>
      </c>
      <c r="B552" s="218" t="s">
        <v>201</v>
      </c>
      <c r="C552" s="218" t="s">
        <v>3305</v>
      </c>
      <c r="D552" s="218" t="b">
        <v>1</v>
      </c>
      <c r="E552" s="219" t="b">
        <v>0</v>
      </c>
      <c r="F552" s="219" t="b">
        <v>0</v>
      </c>
      <c r="G552" s="219"/>
    </row>
    <row r="553">
      <c r="A553" s="218">
        <f t="shared" si="1"/>
        <v>552</v>
      </c>
      <c r="B553" s="218" t="s">
        <v>201</v>
      </c>
      <c r="C553" s="218" t="s">
        <v>3333</v>
      </c>
      <c r="D553" s="218" t="b">
        <v>1</v>
      </c>
      <c r="E553" s="219" t="b">
        <v>0</v>
      </c>
      <c r="F553" s="219" t="b">
        <v>0</v>
      </c>
      <c r="G553" s="219"/>
    </row>
    <row r="554">
      <c r="A554" s="218">
        <f t="shared" si="1"/>
        <v>553</v>
      </c>
      <c r="B554" s="218" t="s">
        <v>201</v>
      </c>
      <c r="C554" s="218" t="s">
        <v>3338</v>
      </c>
      <c r="D554" s="218" t="b">
        <v>1</v>
      </c>
      <c r="E554" s="219" t="b">
        <v>0</v>
      </c>
      <c r="F554" s="219" t="b">
        <v>0</v>
      </c>
      <c r="G554" s="219"/>
    </row>
    <row r="555">
      <c r="A555" s="218">
        <f t="shared" si="1"/>
        <v>554</v>
      </c>
      <c r="B555" s="218" t="s">
        <v>201</v>
      </c>
      <c r="C555" s="218" t="s">
        <v>3338</v>
      </c>
      <c r="D555" s="218" t="b">
        <v>1</v>
      </c>
      <c r="E555" s="219" t="b">
        <v>0</v>
      </c>
      <c r="F555" s="219" t="b">
        <v>0</v>
      </c>
      <c r="G555" s="219"/>
    </row>
    <row r="556">
      <c r="A556" s="218">
        <f t="shared" si="1"/>
        <v>555</v>
      </c>
      <c r="B556" s="218" t="s">
        <v>201</v>
      </c>
      <c r="C556" s="218" t="s">
        <v>3215</v>
      </c>
      <c r="D556" s="218" t="b">
        <v>1</v>
      </c>
      <c r="E556" s="219" t="b">
        <v>0</v>
      </c>
      <c r="F556" s="219" t="b">
        <v>0</v>
      </c>
      <c r="G556" s="219"/>
    </row>
    <row r="557">
      <c r="A557" s="218">
        <f t="shared" si="1"/>
        <v>556</v>
      </c>
      <c r="B557" s="218" t="s">
        <v>201</v>
      </c>
      <c r="C557" s="218" t="s">
        <v>3282</v>
      </c>
      <c r="D557" s="218" t="b">
        <v>1</v>
      </c>
      <c r="E557" s="219" t="b">
        <v>0</v>
      </c>
      <c r="F557" s="219" t="b">
        <v>0</v>
      </c>
      <c r="G557" s="219"/>
    </row>
    <row r="558">
      <c r="A558" s="218">
        <f t="shared" si="1"/>
        <v>557</v>
      </c>
      <c r="B558" s="218" t="s">
        <v>201</v>
      </c>
      <c r="C558" s="218" t="s">
        <v>3277</v>
      </c>
      <c r="D558" s="218" t="b">
        <v>1</v>
      </c>
      <c r="E558" s="219" t="b">
        <v>0</v>
      </c>
      <c r="F558" s="219" t="b">
        <v>0</v>
      </c>
      <c r="G558" s="219"/>
    </row>
    <row r="559">
      <c r="A559" s="218">
        <f t="shared" si="1"/>
        <v>558</v>
      </c>
      <c r="B559" s="218" t="s">
        <v>201</v>
      </c>
      <c r="C559" s="218" t="s">
        <v>2551</v>
      </c>
      <c r="D559" s="218" t="b">
        <v>1</v>
      </c>
      <c r="E559" s="219" t="b">
        <v>0</v>
      </c>
      <c r="F559" s="219" t="b">
        <v>0</v>
      </c>
      <c r="G559" s="219"/>
    </row>
    <row r="560">
      <c r="A560" s="218">
        <f t="shared" si="1"/>
        <v>559</v>
      </c>
      <c r="B560" s="218" t="s">
        <v>201</v>
      </c>
      <c r="C560" s="218" t="s">
        <v>2494</v>
      </c>
      <c r="D560" s="218" t="b">
        <v>1</v>
      </c>
      <c r="E560" s="219" t="b">
        <v>0</v>
      </c>
      <c r="F560" s="219" t="b">
        <v>0</v>
      </c>
      <c r="G560" s="219"/>
    </row>
    <row r="561">
      <c r="A561" s="218">
        <f t="shared" si="1"/>
        <v>560</v>
      </c>
      <c r="B561" s="218" t="s">
        <v>201</v>
      </c>
      <c r="C561" s="218" t="s">
        <v>2672</v>
      </c>
      <c r="D561" s="218" t="b">
        <v>1</v>
      </c>
      <c r="E561" s="219" t="b">
        <v>0</v>
      </c>
      <c r="F561" s="219" t="b">
        <v>0</v>
      </c>
      <c r="G561" s="219"/>
    </row>
    <row r="562">
      <c r="A562" s="218">
        <f t="shared" si="1"/>
        <v>561</v>
      </c>
      <c r="B562" s="218" t="s">
        <v>201</v>
      </c>
      <c r="C562" s="218" t="s">
        <v>6800</v>
      </c>
      <c r="D562" s="218" t="b">
        <v>1</v>
      </c>
      <c r="E562" s="219" t="b">
        <v>0</v>
      </c>
      <c r="F562" s="219" t="b">
        <v>0</v>
      </c>
      <c r="G562" s="219"/>
    </row>
    <row r="563">
      <c r="A563" s="218">
        <f t="shared" si="1"/>
        <v>562</v>
      </c>
      <c r="B563" s="218" t="s">
        <v>201</v>
      </c>
      <c r="C563" s="218" t="s">
        <v>2441</v>
      </c>
      <c r="D563" s="218" t="b">
        <v>1</v>
      </c>
      <c r="E563" s="219" t="b">
        <v>0</v>
      </c>
      <c r="F563" s="219" t="b">
        <v>0</v>
      </c>
      <c r="G563" s="219"/>
    </row>
    <row r="564">
      <c r="A564" s="218">
        <f t="shared" si="1"/>
        <v>563</v>
      </c>
      <c r="B564" s="218" t="s">
        <v>201</v>
      </c>
      <c r="C564" s="218" t="s">
        <v>2407</v>
      </c>
      <c r="D564" s="218" t="b">
        <v>1</v>
      </c>
      <c r="E564" s="219" t="b">
        <v>0</v>
      </c>
      <c r="F564" s="219" t="b">
        <v>0</v>
      </c>
      <c r="G564" s="219"/>
    </row>
    <row r="565">
      <c r="A565" s="218">
        <f t="shared" si="1"/>
        <v>564</v>
      </c>
      <c r="B565" s="218" t="s">
        <v>201</v>
      </c>
      <c r="C565" s="218" t="s">
        <v>5251</v>
      </c>
      <c r="D565" s="218" t="b">
        <v>1</v>
      </c>
      <c r="E565" s="219" t="b">
        <v>0</v>
      </c>
      <c r="F565" s="219" t="b">
        <v>0</v>
      </c>
      <c r="G565" s="219"/>
    </row>
    <row r="566">
      <c r="A566" s="218">
        <f t="shared" si="1"/>
        <v>565</v>
      </c>
      <c r="B566" s="218" t="s">
        <v>201</v>
      </c>
      <c r="C566" s="218" t="s">
        <v>5310</v>
      </c>
      <c r="D566" s="218" t="b">
        <v>1</v>
      </c>
      <c r="E566" s="219" t="b">
        <v>0</v>
      </c>
      <c r="F566" s="219" t="b">
        <v>0</v>
      </c>
      <c r="G566" s="219"/>
    </row>
    <row r="567">
      <c r="A567" s="218">
        <f t="shared" si="1"/>
        <v>566</v>
      </c>
      <c r="B567" s="218" t="s">
        <v>201</v>
      </c>
      <c r="C567" s="218" t="s">
        <v>5245</v>
      </c>
      <c r="D567" s="218" t="b">
        <v>1</v>
      </c>
      <c r="E567" s="219" t="b">
        <v>0</v>
      </c>
      <c r="F567" s="219" t="b">
        <v>0</v>
      </c>
      <c r="G567" s="219"/>
    </row>
    <row r="568">
      <c r="A568" s="218">
        <f t="shared" si="1"/>
        <v>567</v>
      </c>
      <c r="B568" s="218" t="s">
        <v>201</v>
      </c>
      <c r="C568" s="218" t="s">
        <v>5241</v>
      </c>
      <c r="D568" s="218" t="b">
        <v>1</v>
      </c>
      <c r="E568" s="219" t="b">
        <v>0</v>
      </c>
      <c r="F568" s="219" t="b">
        <v>0</v>
      </c>
      <c r="G568" s="219"/>
    </row>
    <row r="569">
      <c r="A569" s="218">
        <f t="shared" si="1"/>
        <v>568</v>
      </c>
      <c r="B569" s="218" t="s">
        <v>201</v>
      </c>
      <c r="C569" s="218" t="s">
        <v>5286</v>
      </c>
      <c r="D569" s="218" t="b">
        <v>1</v>
      </c>
      <c r="E569" s="219" t="b">
        <v>0</v>
      </c>
      <c r="F569" s="219" t="b">
        <v>0</v>
      </c>
      <c r="G569" s="219"/>
    </row>
    <row r="570">
      <c r="A570" s="218">
        <f t="shared" si="1"/>
        <v>569</v>
      </c>
      <c r="B570" s="218" t="s">
        <v>201</v>
      </c>
      <c r="C570" s="218" t="s">
        <v>6801</v>
      </c>
      <c r="D570" s="218" t="b">
        <v>1</v>
      </c>
      <c r="E570" s="219" t="b">
        <v>0</v>
      </c>
      <c r="F570" s="219" t="b">
        <v>0</v>
      </c>
      <c r="G570" s="219"/>
    </row>
    <row r="571">
      <c r="A571" s="218">
        <f t="shared" si="1"/>
        <v>570</v>
      </c>
      <c r="B571" s="218" t="s">
        <v>201</v>
      </c>
      <c r="C571" s="218" t="s">
        <v>5255</v>
      </c>
      <c r="D571" s="218" t="b">
        <v>1</v>
      </c>
      <c r="E571" s="219" t="b">
        <v>0</v>
      </c>
      <c r="F571" s="219" t="b">
        <v>0</v>
      </c>
      <c r="G571" s="219"/>
    </row>
    <row r="572">
      <c r="A572" s="218">
        <f t="shared" si="1"/>
        <v>571</v>
      </c>
      <c r="B572" s="218" t="s">
        <v>201</v>
      </c>
      <c r="C572" s="218" t="s">
        <v>5261</v>
      </c>
      <c r="D572" s="218" t="b">
        <v>1</v>
      </c>
      <c r="E572" s="219" t="b">
        <v>0</v>
      </c>
      <c r="F572" s="219" t="b">
        <v>0</v>
      </c>
      <c r="G572" s="219"/>
    </row>
    <row r="573">
      <c r="A573" s="218">
        <f t="shared" si="1"/>
        <v>572</v>
      </c>
      <c r="B573" s="218" t="s">
        <v>201</v>
      </c>
      <c r="C573" s="218" t="s">
        <v>5273</v>
      </c>
      <c r="D573" s="218" t="b">
        <v>1</v>
      </c>
      <c r="E573" s="219" t="b">
        <v>0</v>
      </c>
      <c r="F573" s="219" t="b">
        <v>0</v>
      </c>
      <c r="G573" s="219"/>
    </row>
    <row r="574">
      <c r="A574" s="218">
        <f t="shared" si="1"/>
        <v>573</v>
      </c>
      <c r="B574" s="218" t="s">
        <v>201</v>
      </c>
      <c r="C574" s="218" t="s">
        <v>5267</v>
      </c>
      <c r="D574" s="218" t="b">
        <v>1</v>
      </c>
      <c r="E574" s="219" t="b">
        <v>0</v>
      </c>
      <c r="F574" s="219" t="b">
        <v>0</v>
      </c>
      <c r="G574" s="219"/>
    </row>
    <row r="575">
      <c r="A575" s="218">
        <f t="shared" si="1"/>
        <v>574</v>
      </c>
      <c r="B575" s="218" t="s">
        <v>201</v>
      </c>
      <c r="C575" s="218" t="s">
        <v>5226</v>
      </c>
      <c r="D575" s="218" t="b">
        <v>1</v>
      </c>
      <c r="E575" s="219" t="b">
        <v>0</v>
      </c>
      <c r="F575" s="219" t="b">
        <v>0</v>
      </c>
      <c r="G575" s="219"/>
    </row>
    <row r="576">
      <c r="A576" s="218">
        <f t="shared" si="1"/>
        <v>575</v>
      </c>
      <c r="B576" s="218" t="s">
        <v>201</v>
      </c>
      <c r="C576" s="218" t="s">
        <v>5234</v>
      </c>
      <c r="D576" s="218" t="b">
        <v>1</v>
      </c>
      <c r="E576" s="219" t="b">
        <v>0</v>
      </c>
      <c r="F576" s="219" t="b">
        <v>0</v>
      </c>
      <c r="G576" s="219"/>
    </row>
    <row r="577">
      <c r="A577" s="218">
        <f t="shared" si="1"/>
        <v>576</v>
      </c>
      <c r="B577" s="218" t="s">
        <v>201</v>
      </c>
      <c r="C577" s="218" t="s">
        <v>5230</v>
      </c>
      <c r="D577" s="218" t="b">
        <v>1</v>
      </c>
      <c r="E577" s="219" t="b">
        <v>0</v>
      </c>
      <c r="F577" s="219" t="b">
        <v>0</v>
      </c>
      <c r="G577" s="219"/>
    </row>
    <row r="578">
      <c r="A578" s="218">
        <f t="shared" si="1"/>
        <v>577</v>
      </c>
      <c r="B578" s="218" t="s">
        <v>201</v>
      </c>
      <c r="C578" s="218" t="s">
        <v>5278</v>
      </c>
      <c r="D578" s="218" t="b">
        <v>1</v>
      </c>
      <c r="E578" s="219" t="b">
        <v>0</v>
      </c>
      <c r="F578" s="219" t="b">
        <v>0</v>
      </c>
      <c r="G578" s="219"/>
    </row>
    <row r="579">
      <c r="A579" s="218">
        <f t="shared" si="1"/>
        <v>578</v>
      </c>
      <c r="B579" s="218" t="s">
        <v>201</v>
      </c>
      <c r="C579" s="218" t="s">
        <v>5358</v>
      </c>
      <c r="D579" s="218" t="b">
        <v>1</v>
      </c>
      <c r="E579" s="219" t="b">
        <v>0</v>
      </c>
      <c r="F579" s="219" t="b">
        <v>0</v>
      </c>
      <c r="G579" s="219"/>
    </row>
    <row r="580">
      <c r="A580" s="218">
        <f t="shared" si="1"/>
        <v>579</v>
      </c>
      <c r="B580" s="218" t="s">
        <v>201</v>
      </c>
      <c r="C580" s="218" t="s">
        <v>5369</v>
      </c>
      <c r="D580" s="218" t="b">
        <v>1</v>
      </c>
      <c r="E580" s="219" t="b">
        <v>0</v>
      </c>
      <c r="F580" s="219" t="b">
        <v>0</v>
      </c>
      <c r="G580" s="219"/>
    </row>
    <row r="581">
      <c r="A581" s="218">
        <f t="shared" si="1"/>
        <v>580</v>
      </c>
      <c r="B581" s="218" t="s">
        <v>201</v>
      </c>
      <c r="C581" s="218" t="s">
        <v>5375</v>
      </c>
      <c r="D581" s="218" t="b">
        <v>1</v>
      </c>
      <c r="E581" s="219" t="b">
        <v>0</v>
      </c>
      <c r="F581" s="219" t="b">
        <v>0</v>
      </c>
      <c r="G581" s="219"/>
    </row>
    <row r="582">
      <c r="A582" s="218">
        <f t="shared" si="1"/>
        <v>581</v>
      </c>
      <c r="B582" s="218" t="s">
        <v>201</v>
      </c>
      <c r="C582" s="218" t="s">
        <v>5324</v>
      </c>
      <c r="D582" s="218" t="b">
        <v>1</v>
      </c>
      <c r="E582" s="219" t="b">
        <v>0</v>
      </c>
      <c r="F582" s="219" t="b">
        <v>0</v>
      </c>
      <c r="G582" s="219"/>
    </row>
    <row r="583">
      <c r="A583" s="218">
        <f t="shared" si="1"/>
        <v>582</v>
      </c>
      <c r="B583" s="218" t="s">
        <v>201</v>
      </c>
      <c r="C583" s="218" t="s">
        <v>5282</v>
      </c>
      <c r="D583" s="218" t="b">
        <v>1</v>
      </c>
      <c r="E583" s="219" t="b">
        <v>0</v>
      </c>
      <c r="F583" s="219" t="b">
        <v>0</v>
      </c>
      <c r="G583" s="219"/>
    </row>
    <row r="584">
      <c r="A584" s="218">
        <f t="shared" si="1"/>
        <v>583</v>
      </c>
      <c r="B584" s="218" t="s">
        <v>201</v>
      </c>
      <c r="C584" s="218" t="s">
        <v>5298</v>
      </c>
      <c r="D584" s="218" t="b">
        <v>1</v>
      </c>
      <c r="E584" s="219" t="b">
        <v>0</v>
      </c>
      <c r="F584" s="219" t="b">
        <v>0</v>
      </c>
      <c r="G584" s="219"/>
    </row>
    <row r="585">
      <c r="A585" s="218">
        <f t="shared" si="1"/>
        <v>584</v>
      </c>
      <c r="B585" s="218" t="s">
        <v>201</v>
      </c>
      <c r="C585" s="218" t="s">
        <v>5292</v>
      </c>
      <c r="D585" s="218" t="b">
        <v>1</v>
      </c>
      <c r="E585" s="219" t="b">
        <v>0</v>
      </c>
      <c r="F585" s="219" t="b">
        <v>0</v>
      </c>
      <c r="G585" s="219"/>
    </row>
    <row r="586">
      <c r="A586" s="218">
        <f t="shared" si="1"/>
        <v>585</v>
      </c>
      <c r="B586" s="218" t="s">
        <v>201</v>
      </c>
      <c r="C586" s="218" t="s">
        <v>5335</v>
      </c>
      <c r="D586" s="218" t="b">
        <v>1</v>
      </c>
      <c r="E586" s="219" t="b">
        <v>0</v>
      </c>
      <c r="F586" s="219" t="b">
        <v>0</v>
      </c>
      <c r="G586" s="219"/>
    </row>
    <row r="587">
      <c r="A587" s="218">
        <f t="shared" si="1"/>
        <v>586</v>
      </c>
      <c r="B587" s="218" t="s">
        <v>201</v>
      </c>
      <c r="C587" s="218" t="s">
        <v>5329</v>
      </c>
      <c r="D587" s="218" t="b">
        <v>1</v>
      </c>
      <c r="E587" s="219" t="b">
        <v>0</v>
      </c>
      <c r="F587" s="219" t="b">
        <v>0</v>
      </c>
      <c r="G587" s="219"/>
    </row>
    <row r="588">
      <c r="A588" s="218">
        <f t="shared" si="1"/>
        <v>587</v>
      </c>
      <c r="B588" s="218" t="s">
        <v>201</v>
      </c>
      <c r="C588" s="218" t="s">
        <v>5354</v>
      </c>
      <c r="D588" s="218" t="b">
        <v>1</v>
      </c>
      <c r="E588" s="219" t="b">
        <v>0</v>
      </c>
      <c r="F588" s="219" t="b">
        <v>0</v>
      </c>
      <c r="G588" s="219"/>
    </row>
    <row r="589">
      <c r="A589" s="218">
        <f t="shared" si="1"/>
        <v>588</v>
      </c>
      <c r="B589" s="218" t="s">
        <v>201</v>
      </c>
      <c r="C589" s="218" t="s">
        <v>5340</v>
      </c>
      <c r="D589" s="218" t="b">
        <v>1</v>
      </c>
      <c r="E589" s="219" t="b">
        <v>0</v>
      </c>
      <c r="F589" s="219" t="b">
        <v>0</v>
      </c>
      <c r="G589" s="219"/>
    </row>
    <row r="590">
      <c r="A590" s="218">
        <f t="shared" si="1"/>
        <v>589</v>
      </c>
      <c r="B590" s="218" t="s">
        <v>201</v>
      </c>
      <c r="C590" s="218" t="s">
        <v>5496</v>
      </c>
      <c r="D590" s="218" t="b">
        <v>1</v>
      </c>
      <c r="E590" s="219" t="b">
        <v>0</v>
      </c>
      <c r="F590" s="219" t="b">
        <v>0</v>
      </c>
      <c r="G590" s="219"/>
    </row>
    <row r="591">
      <c r="A591" s="218">
        <f t="shared" si="1"/>
        <v>590</v>
      </c>
      <c r="B591" s="218" t="s">
        <v>201</v>
      </c>
      <c r="C591" s="218" t="s">
        <v>5501</v>
      </c>
      <c r="D591" s="218" t="b">
        <v>1</v>
      </c>
      <c r="E591" s="219" t="b">
        <v>0</v>
      </c>
      <c r="F591" s="219" t="b">
        <v>0</v>
      </c>
      <c r="G591" s="219"/>
    </row>
    <row r="592">
      <c r="A592" s="218">
        <f t="shared" si="1"/>
        <v>591</v>
      </c>
      <c r="B592" s="218" t="s">
        <v>201</v>
      </c>
      <c r="C592" s="218" t="s">
        <v>5507</v>
      </c>
      <c r="D592" s="218" t="b">
        <v>1</v>
      </c>
      <c r="E592" s="219" t="b">
        <v>0</v>
      </c>
      <c r="F592" s="219" t="b">
        <v>0</v>
      </c>
      <c r="G592" s="219"/>
    </row>
    <row r="593">
      <c r="A593" s="218">
        <f t="shared" si="1"/>
        <v>592</v>
      </c>
      <c r="B593" s="218" t="s">
        <v>201</v>
      </c>
      <c r="C593" s="218" t="s">
        <v>5129</v>
      </c>
      <c r="D593" s="218" t="b">
        <v>1</v>
      </c>
      <c r="E593" s="219" t="b">
        <v>0</v>
      </c>
      <c r="F593" s="219" t="b">
        <v>0</v>
      </c>
      <c r="G593" s="219"/>
    </row>
    <row r="594">
      <c r="A594" s="218">
        <f t="shared" si="1"/>
        <v>593</v>
      </c>
      <c r="B594" s="218" t="s">
        <v>201</v>
      </c>
      <c r="C594" s="218" t="s">
        <v>5485</v>
      </c>
      <c r="D594" s="218" t="b">
        <v>1</v>
      </c>
      <c r="E594" s="219" t="b">
        <v>0</v>
      </c>
      <c r="F594" s="219" t="b">
        <v>0</v>
      </c>
      <c r="G594" s="219"/>
    </row>
    <row r="595">
      <c r="A595" s="218">
        <f t="shared" si="1"/>
        <v>594</v>
      </c>
      <c r="B595" s="218" t="s">
        <v>201</v>
      </c>
      <c r="C595" s="218" t="s">
        <v>5438</v>
      </c>
      <c r="D595" s="218" t="b">
        <v>1</v>
      </c>
      <c r="E595" s="219" t="b">
        <v>0</v>
      </c>
      <c r="F595" s="219" t="b">
        <v>0</v>
      </c>
      <c r="G595" s="219"/>
    </row>
    <row r="596">
      <c r="A596" s="218">
        <f t="shared" si="1"/>
        <v>595</v>
      </c>
      <c r="B596" s="218" t="s">
        <v>201</v>
      </c>
      <c r="C596" s="218" t="s">
        <v>5442</v>
      </c>
      <c r="D596" s="218" t="b">
        <v>1</v>
      </c>
      <c r="E596" s="219" t="b">
        <v>0</v>
      </c>
      <c r="F596" s="219" t="b">
        <v>0</v>
      </c>
      <c r="G596" s="219"/>
    </row>
    <row r="597">
      <c r="A597" s="218">
        <f t="shared" si="1"/>
        <v>596</v>
      </c>
      <c r="B597" s="218" t="s">
        <v>201</v>
      </c>
      <c r="C597" s="218" t="s">
        <v>5459</v>
      </c>
      <c r="D597" s="218" t="b">
        <v>1</v>
      </c>
      <c r="E597" s="219" t="b">
        <v>0</v>
      </c>
      <c r="F597" s="219" t="b">
        <v>0</v>
      </c>
      <c r="G597" s="219"/>
    </row>
    <row r="598">
      <c r="A598" s="218">
        <f t="shared" si="1"/>
        <v>597</v>
      </c>
      <c r="B598" s="218" t="s">
        <v>201</v>
      </c>
      <c r="C598" s="218" t="s">
        <v>5520</v>
      </c>
      <c r="D598" s="218" t="b">
        <v>1</v>
      </c>
      <c r="E598" s="219" t="b">
        <v>0</v>
      </c>
      <c r="F598" s="219" t="b">
        <v>0</v>
      </c>
      <c r="G598" s="219"/>
    </row>
    <row r="599">
      <c r="A599" s="218">
        <f t="shared" si="1"/>
        <v>598</v>
      </c>
      <c r="B599" s="218" t="s">
        <v>201</v>
      </c>
      <c r="C599" s="218" t="s">
        <v>1056</v>
      </c>
      <c r="D599" s="218" t="b">
        <v>1</v>
      </c>
      <c r="E599" s="219" t="b">
        <v>0</v>
      </c>
      <c r="F599" s="219" t="b">
        <v>0</v>
      </c>
      <c r="G599" s="219"/>
    </row>
    <row r="600">
      <c r="A600" s="218">
        <f t="shared" si="1"/>
        <v>599</v>
      </c>
      <c r="B600" s="218" t="s">
        <v>201</v>
      </c>
      <c r="C600" s="218" t="s">
        <v>1075</v>
      </c>
      <c r="D600" s="218" t="b">
        <v>1</v>
      </c>
      <c r="E600" s="219" t="b">
        <v>0</v>
      </c>
      <c r="F600" s="219" t="b">
        <v>0</v>
      </c>
      <c r="G600" s="219"/>
    </row>
    <row r="601">
      <c r="A601" s="218">
        <f t="shared" si="1"/>
        <v>600</v>
      </c>
      <c r="B601" s="218" t="s">
        <v>201</v>
      </c>
      <c r="C601" s="218" t="s">
        <v>984</v>
      </c>
      <c r="D601" s="218" t="b">
        <v>1</v>
      </c>
      <c r="E601" s="219" t="b">
        <v>0</v>
      </c>
      <c r="F601" s="219" t="b">
        <v>0</v>
      </c>
      <c r="G601" s="219"/>
    </row>
    <row r="602">
      <c r="A602" s="218">
        <f t="shared" si="1"/>
        <v>601</v>
      </c>
      <c r="B602" s="218" t="s">
        <v>201</v>
      </c>
      <c r="C602" s="218" t="s">
        <v>1013</v>
      </c>
      <c r="D602" s="218" t="b">
        <v>1</v>
      </c>
      <c r="E602" s="219" t="b">
        <v>0</v>
      </c>
      <c r="F602" s="219" t="b">
        <v>0</v>
      </c>
      <c r="G602" s="219"/>
    </row>
    <row r="603">
      <c r="A603" s="218">
        <f t="shared" si="1"/>
        <v>602</v>
      </c>
      <c r="B603" s="218" t="s">
        <v>201</v>
      </c>
      <c r="C603" s="218" t="s">
        <v>1028</v>
      </c>
      <c r="D603" s="218" t="b">
        <v>1</v>
      </c>
      <c r="E603" s="219" t="b">
        <v>0</v>
      </c>
      <c r="F603" s="219" t="b">
        <v>0</v>
      </c>
      <c r="G603" s="219"/>
    </row>
    <row r="604">
      <c r="A604" s="218">
        <f t="shared" si="1"/>
        <v>603</v>
      </c>
      <c r="B604" s="218" t="s">
        <v>201</v>
      </c>
      <c r="C604" s="218" t="s">
        <v>1066</v>
      </c>
      <c r="D604" s="218" t="b">
        <v>1</v>
      </c>
      <c r="E604" s="219" t="b">
        <v>0</v>
      </c>
      <c r="F604" s="219" t="b">
        <v>0</v>
      </c>
      <c r="G604" s="219"/>
    </row>
    <row r="605">
      <c r="A605" s="218">
        <f t="shared" si="1"/>
        <v>604</v>
      </c>
      <c r="B605" s="218" t="s">
        <v>201</v>
      </c>
      <c r="C605" s="218" t="s">
        <v>1201</v>
      </c>
      <c r="D605" s="218" t="b">
        <v>1</v>
      </c>
      <c r="E605" s="219" t="b">
        <v>0</v>
      </c>
      <c r="F605" s="219" t="b">
        <v>0</v>
      </c>
      <c r="G605" s="219"/>
    </row>
    <row r="606">
      <c r="A606" s="218">
        <f t="shared" si="1"/>
        <v>605</v>
      </c>
      <c r="B606" s="218" t="s">
        <v>201</v>
      </c>
      <c r="C606" s="218" t="s">
        <v>1098</v>
      </c>
      <c r="D606" s="218" t="b">
        <v>1</v>
      </c>
      <c r="E606" s="219" t="b">
        <v>0</v>
      </c>
      <c r="F606" s="219" t="b">
        <v>0</v>
      </c>
      <c r="G606" s="219"/>
    </row>
    <row r="607">
      <c r="A607" s="218">
        <f t="shared" si="1"/>
        <v>606</v>
      </c>
      <c r="B607" s="218" t="s">
        <v>201</v>
      </c>
      <c r="C607" s="218" t="s">
        <v>1397</v>
      </c>
      <c r="D607" s="218" t="b">
        <v>1</v>
      </c>
      <c r="E607" s="219" t="b">
        <v>0</v>
      </c>
      <c r="F607" s="219" t="b">
        <v>0</v>
      </c>
      <c r="G607" s="219"/>
    </row>
    <row r="608">
      <c r="A608" s="218">
        <f t="shared" si="1"/>
        <v>607</v>
      </c>
      <c r="B608" s="218" t="s">
        <v>201</v>
      </c>
      <c r="C608" s="218" t="s">
        <v>1382</v>
      </c>
      <c r="D608" s="218" t="b">
        <v>1</v>
      </c>
      <c r="E608" s="219" t="b">
        <v>0</v>
      </c>
      <c r="F608" s="219" t="b">
        <v>0</v>
      </c>
      <c r="G608" s="219"/>
    </row>
    <row r="609">
      <c r="A609" s="218">
        <f t="shared" si="1"/>
        <v>608</v>
      </c>
      <c r="B609" s="218" t="s">
        <v>201</v>
      </c>
      <c r="C609" s="218" t="s">
        <v>1401</v>
      </c>
      <c r="D609" s="218" t="b">
        <v>1</v>
      </c>
      <c r="E609" s="219" t="b">
        <v>0</v>
      </c>
      <c r="F609" s="219" t="b">
        <v>0</v>
      </c>
      <c r="G609" s="219"/>
    </row>
    <row r="610">
      <c r="A610" s="218">
        <f t="shared" si="1"/>
        <v>609</v>
      </c>
      <c r="B610" s="218" t="s">
        <v>201</v>
      </c>
      <c r="C610" s="218" t="s">
        <v>1341</v>
      </c>
      <c r="D610" s="218" t="b">
        <v>1</v>
      </c>
      <c r="E610" s="219" t="b">
        <v>0</v>
      </c>
      <c r="F610" s="219" t="b">
        <v>0</v>
      </c>
      <c r="G610" s="219"/>
    </row>
    <row r="611">
      <c r="A611" s="218">
        <f t="shared" si="1"/>
        <v>610</v>
      </c>
      <c r="B611" s="218" t="s">
        <v>201</v>
      </c>
      <c r="C611" s="218" t="s">
        <v>1387</v>
      </c>
      <c r="D611" s="218" t="b">
        <v>1</v>
      </c>
      <c r="E611" s="219" t="b">
        <v>0</v>
      </c>
      <c r="F611" s="219" t="b">
        <v>0</v>
      </c>
      <c r="G611" s="219"/>
    </row>
    <row r="612">
      <c r="A612" s="218">
        <f t="shared" si="1"/>
        <v>611</v>
      </c>
      <c r="B612" s="218" t="s">
        <v>201</v>
      </c>
      <c r="C612" s="218" t="s">
        <v>578</v>
      </c>
      <c r="D612" s="218" t="b">
        <v>1</v>
      </c>
      <c r="E612" s="219" t="b">
        <v>0</v>
      </c>
      <c r="F612" s="219" t="b">
        <v>0</v>
      </c>
      <c r="G612" s="219"/>
    </row>
    <row r="613">
      <c r="A613" s="218">
        <f t="shared" si="1"/>
        <v>612</v>
      </c>
      <c r="B613" s="218" t="s">
        <v>201</v>
      </c>
      <c r="C613" s="218" t="s">
        <v>1377</v>
      </c>
      <c r="D613" s="218" t="b">
        <v>1</v>
      </c>
      <c r="E613" s="219" t="b">
        <v>0</v>
      </c>
      <c r="F613" s="219" t="b">
        <v>0</v>
      </c>
      <c r="G613" s="219"/>
    </row>
    <row r="614">
      <c r="A614" s="218">
        <f t="shared" si="1"/>
        <v>613</v>
      </c>
      <c r="B614" s="218" t="s">
        <v>201</v>
      </c>
      <c r="C614" s="218" t="s">
        <v>2546</v>
      </c>
      <c r="D614" s="218" t="b">
        <v>1</v>
      </c>
      <c r="E614" s="219" t="b">
        <v>0</v>
      </c>
      <c r="F614" s="219" t="b">
        <v>0</v>
      </c>
      <c r="G614" s="219"/>
    </row>
    <row r="615">
      <c r="A615" s="218">
        <f t="shared" si="1"/>
        <v>614</v>
      </c>
      <c r="B615" s="218" t="s">
        <v>201</v>
      </c>
      <c r="C615" s="218" t="s">
        <v>1122</v>
      </c>
      <c r="D615" s="218" t="b">
        <v>1</v>
      </c>
      <c r="E615" s="219" t="b">
        <v>0</v>
      </c>
      <c r="F615" s="219" t="b">
        <v>0</v>
      </c>
      <c r="G615" s="219"/>
    </row>
    <row r="616">
      <c r="A616" s="218">
        <f t="shared" si="1"/>
        <v>615</v>
      </c>
      <c r="B616" s="218" t="s">
        <v>201</v>
      </c>
      <c r="C616" s="218" t="s">
        <v>1046</v>
      </c>
      <c r="D616" s="218" t="b">
        <v>1</v>
      </c>
      <c r="E616" s="219" t="b">
        <v>0</v>
      </c>
      <c r="F616" s="219" t="b">
        <v>0</v>
      </c>
      <c r="G616" s="219"/>
    </row>
    <row r="617">
      <c r="A617" s="218">
        <f t="shared" si="1"/>
        <v>616</v>
      </c>
      <c r="B617" s="218" t="s">
        <v>201</v>
      </c>
      <c r="C617" s="218" t="s">
        <v>1308</v>
      </c>
      <c r="D617" s="218" t="b">
        <v>1</v>
      </c>
      <c r="E617" s="219" t="b">
        <v>0</v>
      </c>
      <c r="F617" s="219" t="b">
        <v>0</v>
      </c>
      <c r="G617" s="219"/>
    </row>
    <row r="618">
      <c r="A618" s="218">
        <f t="shared" si="1"/>
        <v>617</v>
      </c>
      <c r="B618" s="218" t="s">
        <v>201</v>
      </c>
      <c r="C618" s="218" t="s">
        <v>2639</v>
      </c>
      <c r="D618" s="218" t="b">
        <v>1</v>
      </c>
      <c r="E618" s="219" t="b">
        <v>0</v>
      </c>
      <c r="F618" s="219" t="b">
        <v>0</v>
      </c>
      <c r="G618" s="219"/>
    </row>
    <row r="619">
      <c r="A619" s="218">
        <f t="shared" si="1"/>
        <v>618</v>
      </c>
      <c r="B619" s="218" t="s">
        <v>201</v>
      </c>
      <c r="C619" s="218" t="s">
        <v>1337</v>
      </c>
      <c r="D619" s="218" t="b">
        <v>1</v>
      </c>
      <c r="E619" s="219" t="b">
        <v>0</v>
      </c>
      <c r="F619" s="219" t="b">
        <v>0</v>
      </c>
      <c r="G619" s="219"/>
    </row>
    <row r="620">
      <c r="A620" s="218">
        <f t="shared" si="1"/>
        <v>619</v>
      </c>
      <c r="B620" s="218" t="s">
        <v>201</v>
      </c>
      <c r="C620" s="218" t="s">
        <v>1004</v>
      </c>
      <c r="D620" s="218" t="b">
        <v>1</v>
      </c>
      <c r="E620" s="219" t="b">
        <v>0</v>
      </c>
      <c r="F620" s="219" t="b">
        <v>0</v>
      </c>
      <c r="G620" s="219"/>
    </row>
    <row r="621">
      <c r="A621" s="218">
        <f t="shared" si="1"/>
        <v>620</v>
      </c>
      <c r="B621" s="218" t="s">
        <v>201</v>
      </c>
      <c r="C621" s="218" t="s">
        <v>1023</v>
      </c>
      <c r="D621" s="218" t="b">
        <v>1</v>
      </c>
      <c r="E621" s="219" t="b">
        <v>0</v>
      </c>
      <c r="F621" s="219" t="b">
        <v>0</v>
      </c>
      <c r="G621" s="219"/>
    </row>
    <row r="622">
      <c r="A622" s="218">
        <f t="shared" si="1"/>
        <v>621</v>
      </c>
      <c r="B622" s="218" t="s">
        <v>201</v>
      </c>
      <c r="C622" s="218" t="s">
        <v>1289</v>
      </c>
      <c r="D622" s="218" t="b">
        <v>1</v>
      </c>
      <c r="E622" s="219" t="b">
        <v>0</v>
      </c>
      <c r="F622" s="219" t="b">
        <v>0</v>
      </c>
      <c r="G622" s="219"/>
    </row>
    <row r="623">
      <c r="A623" s="218">
        <f t="shared" si="1"/>
        <v>622</v>
      </c>
      <c r="B623" s="218" t="s">
        <v>201</v>
      </c>
      <c r="C623" s="218" t="s">
        <v>989</v>
      </c>
      <c r="D623" s="218" t="b">
        <v>1</v>
      </c>
      <c r="E623" s="219" t="b">
        <v>0</v>
      </c>
      <c r="F623" s="219" t="b">
        <v>0</v>
      </c>
      <c r="G623" s="219"/>
    </row>
    <row r="624">
      <c r="A624" s="218">
        <f t="shared" si="1"/>
        <v>623</v>
      </c>
      <c r="B624" s="218" t="s">
        <v>201</v>
      </c>
      <c r="C624" s="218" t="s">
        <v>1033</v>
      </c>
      <c r="D624" s="218" t="b">
        <v>1</v>
      </c>
      <c r="E624" s="219" t="b">
        <v>0</v>
      </c>
      <c r="F624" s="219" t="b">
        <v>0</v>
      </c>
      <c r="G624" s="219"/>
    </row>
    <row r="625">
      <c r="A625" s="218">
        <f t="shared" si="1"/>
        <v>624</v>
      </c>
      <c r="B625" s="218" t="s">
        <v>201</v>
      </c>
      <c r="C625" s="218" t="s">
        <v>1354</v>
      </c>
      <c r="D625" s="218" t="b">
        <v>1</v>
      </c>
      <c r="E625" s="219" t="b">
        <v>0</v>
      </c>
      <c r="F625" s="219" t="b">
        <v>0</v>
      </c>
      <c r="G625" s="219"/>
    </row>
    <row r="626">
      <c r="A626" s="218">
        <f t="shared" si="1"/>
        <v>625</v>
      </c>
      <c r="B626" s="218" t="s">
        <v>201</v>
      </c>
      <c r="C626" s="218" t="s">
        <v>1155</v>
      </c>
      <c r="D626" s="218" t="b">
        <v>1</v>
      </c>
      <c r="E626" s="219" t="b">
        <v>0</v>
      </c>
      <c r="F626" s="219" t="b">
        <v>0</v>
      </c>
      <c r="G626" s="219"/>
    </row>
    <row r="627">
      <c r="A627" s="218">
        <f t="shared" si="1"/>
        <v>626</v>
      </c>
      <c r="B627" s="218" t="s">
        <v>201</v>
      </c>
      <c r="C627" s="218" t="s">
        <v>1145</v>
      </c>
      <c r="D627" s="218" t="b">
        <v>1</v>
      </c>
      <c r="E627" s="219" t="b">
        <v>0</v>
      </c>
      <c r="F627" s="219" t="b">
        <v>0</v>
      </c>
      <c r="G627" s="219"/>
    </row>
    <row r="628">
      <c r="A628" s="218">
        <f t="shared" si="1"/>
        <v>627</v>
      </c>
      <c r="B628" s="218" t="s">
        <v>201</v>
      </c>
      <c r="C628" s="218" t="s">
        <v>1196</v>
      </c>
      <c r="D628" s="218" t="b">
        <v>1</v>
      </c>
      <c r="E628" s="219" t="b">
        <v>0</v>
      </c>
      <c r="F628" s="219" t="b">
        <v>0</v>
      </c>
      <c r="G628" s="219"/>
    </row>
    <row r="629">
      <c r="A629" s="218">
        <f t="shared" si="1"/>
        <v>628</v>
      </c>
      <c r="B629" s="218" t="s">
        <v>201</v>
      </c>
      <c r="C629" s="218" t="s">
        <v>573</v>
      </c>
      <c r="D629" s="218" t="b">
        <v>1</v>
      </c>
      <c r="E629" s="219" t="b">
        <v>0</v>
      </c>
      <c r="F629" s="219" t="b">
        <v>0</v>
      </c>
      <c r="G629" s="219"/>
    </row>
    <row r="630">
      <c r="A630" s="218">
        <f t="shared" si="1"/>
        <v>629</v>
      </c>
      <c r="B630" s="218" t="s">
        <v>201</v>
      </c>
      <c r="C630" s="218" t="s">
        <v>1150</v>
      </c>
      <c r="D630" s="218" t="b">
        <v>1</v>
      </c>
      <c r="E630" s="219" t="b">
        <v>0</v>
      </c>
      <c r="F630" s="219" t="b">
        <v>0</v>
      </c>
      <c r="G630" s="219"/>
    </row>
    <row r="631">
      <c r="A631" s="218">
        <f t="shared" si="1"/>
        <v>630</v>
      </c>
      <c r="B631" s="218" t="s">
        <v>201</v>
      </c>
      <c r="C631" s="218" t="s">
        <v>1140</v>
      </c>
      <c r="D631" s="218" t="b">
        <v>1</v>
      </c>
      <c r="E631" s="219" t="b">
        <v>0</v>
      </c>
      <c r="F631" s="219" t="b">
        <v>0</v>
      </c>
      <c r="G631" s="219"/>
    </row>
    <row r="632">
      <c r="A632" s="218">
        <f t="shared" si="1"/>
        <v>631</v>
      </c>
      <c r="B632" s="218" t="s">
        <v>201</v>
      </c>
      <c r="C632" s="218" t="s">
        <v>1304</v>
      </c>
      <c r="D632" s="218" t="b">
        <v>1</v>
      </c>
      <c r="E632" s="219" t="b">
        <v>0</v>
      </c>
      <c r="F632" s="219" t="b">
        <v>0</v>
      </c>
      <c r="G632" s="219"/>
    </row>
    <row r="633">
      <c r="A633" s="218">
        <f t="shared" si="1"/>
        <v>632</v>
      </c>
      <c r="B633" s="218" t="s">
        <v>201</v>
      </c>
      <c r="C633" s="218" t="s">
        <v>1294</v>
      </c>
      <c r="D633" s="218" t="b">
        <v>1</v>
      </c>
      <c r="E633" s="219" t="b">
        <v>0</v>
      </c>
      <c r="F633" s="219" t="b">
        <v>0</v>
      </c>
      <c r="G633" s="219"/>
    </row>
    <row r="634">
      <c r="A634" s="218">
        <f t="shared" si="1"/>
        <v>633</v>
      </c>
      <c r="B634" s="218" t="s">
        <v>201</v>
      </c>
      <c r="C634" s="218" t="s">
        <v>1406</v>
      </c>
      <c r="D634" s="218" t="b">
        <v>1</v>
      </c>
      <c r="E634" s="219" t="b">
        <v>0</v>
      </c>
      <c r="F634" s="219" t="b">
        <v>0</v>
      </c>
      <c r="G634" s="219"/>
    </row>
    <row r="635">
      <c r="A635" s="218">
        <f t="shared" si="1"/>
        <v>634</v>
      </c>
      <c r="B635" s="218" t="s">
        <v>201</v>
      </c>
      <c r="C635" s="218" t="s">
        <v>1061</v>
      </c>
      <c r="D635" s="218" t="b">
        <v>1</v>
      </c>
      <c r="E635" s="219" t="b">
        <v>0</v>
      </c>
      <c r="F635" s="219" t="b">
        <v>0</v>
      </c>
      <c r="G635" s="219"/>
    </row>
    <row r="636">
      <c r="A636" s="218">
        <f t="shared" si="1"/>
        <v>635</v>
      </c>
      <c r="B636" s="218" t="s">
        <v>201</v>
      </c>
      <c r="C636" s="218" t="s">
        <v>1215</v>
      </c>
      <c r="D636" s="218" t="b">
        <v>1</v>
      </c>
      <c r="E636" s="219" t="b">
        <v>0</v>
      </c>
      <c r="F636" s="219" t="b">
        <v>0</v>
      </c>
      <c r="G636" s="219"/>
    </row>
    <row r="637">
      <c r="A637" s="218">
        <f t="shared" si="1"/>
        <v>636</v>
      </c>
      <c r="B637" s="218" t="s">
        <v>201</v>
      </c>
      <c r="C637" s="218" t="s">
        <v>1093</v>
      </c>
      <c r="D637" s="218" t="b">
        <v>1</v>
      </c>
      <c r="E637" s="219" t="b">
        <v>0</v>
      </c>
      <c r="F637" s="219" t="b">
        <v>0</v>
      </c>
      <c r="G637" s="219"/>
    </row>
    <row r="638">
      <c r="A638" s="218">
        <f t="shared" si="1"/>
        <v>637</v>
      </c>
      <c r="B638" s="218" t="s">
        <v>201</v>
      </c>
      <c r="C638" s="218" t="s">
        <v>1187</v>
      </c>
      <c r="D638" s="218" t="b">
        <v>1</v>
      </c>
      <c r="E638" s="219" t="b">
        <v>0</v>
      </c>
      <c r="F638" s="219" t="b">
        <v>0</v>
      </c>
      <c r="G638" s="219"/>
    </row>
    <row r="639">
      <c r="A639" s="218">
        <f t="shared" si="1"/>
        <v>638</v>
      </c>
      <c r="B639" s="218" t="s">
        <v>201</v>
      </c>
      <c r="C639" s="218" t="s">
        <v>1117</v>
      </c>
      <c r="D639" s="218" t="b">
        <v>1</v>
      </c>
      <c r="E639" s="219" t="b">
        <v>0</v>
      </c>
      <c r="F639" s="219" t="b">
        <v>0</v>
      </c>
      <c r="G639" s="219"/>
    </row>
    <row r="640">
      <c r="A640" s="218">
        <f t="shared" si="1"/>
        <v>639</v>
      </c>
      <c r="B640" s="218" t="s">
        <v>201</v>
      </c>
      <c r="C640" s="218" t="s">
        <v>1239</v>
      </c>
      <c r="D640" s="218" t="b">
        <v>1</v>
      </c>
      <c r="E640" s="219" t="b">
        <v>0</v>
      </c>
      <c r="F640" s="219" t="b">
        <v>0</v>
      </c>
      <c r="G640" s="219"/>
    </row>
    <row r="641">
      <c r="A641" s="218">
        <f t="shared" si="1"/>
        <v>640</v>
      </c>
      <c r="B641" s="218" t="s">
        <v>201</v>
      </c>
      <c r="C641" s="218" t="s">
        <v>1131</v>
      </c>
      <c r="D641" s="218" t="b">
        <v>1</v>
      </c>
      <c r="E641" s="219" t="b">
        <v>0</v>
      </c>
      <c r="F641" s="219" t="b">
        <v>0</v>
      </c>
      <c r="G641" s="219"/>
    </row>
    <row r="642">
      <c r="A642" s="218">
        <f t="shared" si="1"/>
        <v>641</v>
      </c>
      <c r="B642" s="218" t="s">
        <v>201</v>
      </c>
      <c r="C642" s="218" t="s">
        <v>1225</v>
      </c>
      <c r="D642" s="218" t="b">
        <v>1</v>
      </c>
      <c r="E642" s="219" t="b">
        <v>0</v>
      </c>
      <c r="F642" s="219" t="b">
        <v>0</v>
      </c>
      <c r="G642" s="219"/>
    </row>
    <row r="643">
      <c r="A643" s="218">
        <f t="shared" si="1"/>
        <v>642</v>
      </c>
      <c r="B643" s="218" t="s">
        <v>201</v>
      </c>
      <c r="C643" s="218" t="s">
        <v>1284</v>
      </c>
      <c r="D643" s="218" t="b">
        <v>1</v>
      </c>
      <c r="E643" s="219" t="b">
        <v>0</v>
      </c>
      <c r="F643" s="219" t="b">
        <v>0</v>
      </c>
      <c r="G643" s="219"/>
    </row>
    <row r="644">
      <c r="A644" s="218">
        <f t="shared" si="1"/>
        <v>643</v>
      </c>
      <c r="B644" s="218" t="s">
        <v>201</v>
      </c>
      <c r="C644" s="218" t="s">
        <v>1192</v>
      </c>
      <c r="D644" s="218" t="b">
        <v>1</v>
      </c>
      <c r="E644" s="219" t="b">
        <v>0</v>
      </c>
      <c r="F644" s="219" t="b">
        <v>0</v>
      </c>
      <c r="G644" s="219"/>
    </row>
    <row r="645">
      <c r="A645" s="218">
        <f t="shared" si="1"/>
        <v>644</v>
      </c>
      <c r="B645" s="218" t="s">
        <v>201</v>
      </c>
      <c r="C645" s="218" t="s">
        <v>1322</v>
      </c>
      <c r="D645" s="218" t="b">
        <v>1</v>
      </c>
      <c r="E645" s="219" t="b">
        <v>0</v>
      </c>
      <c r="F645" s="219" t="b">
        <v>0</v>
      </c>
      <c r="G645" s="219"/>
    </row>
    <row r="646">
      <c r="A646" s="218">
        <f t="shared" si="1"/>
        <v>645</v>
      </c>
      <c r="B646" s="218" t="s">
        <v>201</v>
      </c>
      <c r="C646" s="218" t="s">
        <v>6802</v>
      </c>
      <c r="D646" s="218" t="b">
        <v>1</v>
      </c>
      <c r="E646" s="219" t="b">
        <v>0</v>
      </c>
      <c r="F646" s="219" t="b">
        <v>0</v>
      </c>
      <c r="G646" s="219"/>
    </row>
    <row r="647">
      <c r="A647" s="218">
        <f t="shared" si="1"/>
        <v>646</v>
      </c>
      <c r="B647" s="218" t="s">
        <v>201</v>
      </c>
      <c r="C647" s="218" t="s">
        <v>1254</v>
      </c>
      <c r="D647" s="218" t="b">
        <v>1</v>
      </c>
      <c r="E647" s="219" t="b">
        <v>0</v>
      </c>
      <c r="F647" s="219" t="b">
        <v>0</v>
      </c>
      <c r="G647" s="219"/>
    </row>
    <row r="648">
      <c r="A648" s="218">
        <f t="shared" si="1"/>
        <v>647</v>
      </c>
      <c r="B648" s="218" t="s">
        <v>201</v>
      </c>
      <c r="C648" s="218" t="s">
        <v>1206</v>
      </c>
      <c r="D648" s="218" t="b">
        <v>1</v>
      </c>
      <c r="E648" s="219" t="b">
        <v>0</v>
      </c>
      <c r="F648" s="219" t="b">
        <v>0</v>
      </c>
      <c r="G648" s="219"/>
    </row>
    <row r="649">
      <c r="A649" s="218">
        <f t="shared" si="1"/>
        <v>648</v>
      </c>
      <c r="B649" s="218" t="s">
        <v>201</v>
      </c>
      <c r="C649" s="218" t="s">
        <v>1259</v>
      </c>
      <c r="D649" s="218" t="b">
        <v>1</v>
      </c>
      <c r="E649" s="219" t="b">
        <v>0</v>
      </c>
      <c r="F649" s="219" t="b">
        <v>0</v>
      </c>
      <c r="G649" s="219"/>
    </row>
    <row r="650">
      <c r="A650" s="218">
        <f t="shared" si="1"/>
        <v>649</v>
      </c>
      <c r="B650" s="218" t="s">
        <v>201</v>
      </c>
      <c r="C650" s="218" t="s">
        <v>1317</v>
      </c>
      <c r="D650" s="218" t="b">
        <v>1</v>
      </c>
      <c r="E650" s="219" t="b">
        <v>0</v>
      </c>
      <c r="F650" s="219" t="b">
        <v>0</v>
      </c>
      <c r="G650" s="219"/>
    </row>
    <row r="651">
      <c r="A651" s="218">
        <f t="shared" si="1"/>
        <v>650</v>
      </c>
      <c r="B651" s="218" t="s">
        <v>201</v>
      </c>
      <c r="C651" s="218" t="s">
        <v>1112</v>
      </c>
      <c r="D651" s="218" t="b">
        <v>1</v>
      </c>
      <c r="E651" s="219" t="b">
        <v>0</v>
      </c>
      <c r="F651" s="219" t="b">
        <v>0</v>
      </c>
      <c r="G651" s="219"/>
    </row>
    <row r="652">
      <c r="A652" s="218">
        <f t="shared" si="1"/>
        <v>651</v>
      </c>
      <c r="B652" s="218" t="s">
        <v>201</v>
      </c>
      <c r="C652" s="218" t="s">
        <v>1103</v>
      </c>
      <c r="D652" s="218" t="b">
        <v>1</v>
      </c>
      <c r="E652" s="219" t="b">
        <v>0</v>
      </c>
      <c r="F652" s="219" t="b">
        <v>0</v>
      </c>
      <c r="G652" s="219"/>
    </row>
    <row r="653">
      <c r="A653" s="218">
        <f t="shared" si="1"/>
        <v>652</v>
      </c>
      <c r="B653" s="218" t="s">
        <v>201</v>
      </c>
      <c r="C653" s="218" t="s">
        <v>1182</v>
      </c>
      <c r="D653" s="218" t="b">
        <v>1</v>
      </c>
      <c r="E653" s="219" t="b">
        <v>0</v>
      </c>
      <c r="F653" s="219" t="b">
        <v>0</v>
      </c>
      <c r="G653" s="219"/>
    </row>
    <row r="654">
      <c r="A654" s="218">
        <f t="shared" si="1"/>
        <v>653</v>
      </c>
      <c r="B654" s="218" t="s">
        <v>201</v>
      </c>
      <c r="C654" s="218" t="s">
        <v>1249</v>
      </c>
      <c r="D654" s="218" t="b">
        <v>1</v>
      </c>
      <c r="E654" s="219" t="b">
        <v>0</v>
      </c>
      <c r="F654" s="219" t="b">
        <v>0</v>
      </c>
      <c r="G654" s="219"/>
    </row>
    <row r="655">
      <c r="A655" s="218">
        <f t="shared" si="1"/>
        <v>654</v>
      </c>
      <c r="B655" s="218" t="s">
        <v>201</v>
      </c>
      <c r="C655" s="218" t="s">
        <v>1279</v>
      </c>
      <c r="D655" s="218" t="b">
        <v>1</v>
      </c>
      <c r="E655" s="219" t="b">
        <v>0</v>
      </c>
      <c r="F655" s="219" t="b">
        <v>0</v>
      </c>
      <c r="G655" s="219"/>
    </row>
    <row r="656">
      <c r="A656" s="218">
        <f t="shared" si="1"/>
        <v>655</v>
      </c>
      <c r="B656" s="218" t="s">
        <v>201</v>
      </c>
      <c r="C656" s="218" t="s">
        <v>1235</v>
      </c>
      <c r="D656" s="218" t="b">
        <v>1</v>
      </c>
      <c r="E656" s="219" t="b">
        <v>0</v>
      </c>
      <c r="F656" s="219" t="b">
        <v>0</v>
      </c>
      <c r="G656" s="219"/>
    </row>
    <row r="657">
      <c r="A657" s="218">
        <f t="shared" si="1"/>
        <v>656</v>
      </c>
      <c r="B657" s="218" t="s">
        <v>201</v>
      </c>
      <c r="C657" s="218" t="s">
        <v>1220</v>
      </c>
      <c r="D657" s="218" t="b">
        <v>1</v>
      </c>
      <c r="E657" s="219" t="b">
        <v>0</v>
      </c>
      <c r="F657" s="219" t="b">
        <v>0</v>
      </c>
      <c r="G657" s="219"/>
    </row>
    <row r="658">
      <c r="A658" s="218">
        <f t="shared" si="1"/>
        <v>657</v>
      </c>
      <c r="B658" s="218" t="s">
        <v>201</v>
      </c>
      <c r="C658" s="218" t="s">
        <v>1332</v>
      </c>
      <c r="D658" s="218" t="b">
        <v>1</v>
      </c>
      <c r="E658" s="219" t="b">
        <v>0</v>
      </c>
      <c r="F658" s="219" t="b">
        <v>0</v>
      </c>
      <c r="G658" s="219"/>
    </row>
    <row r="659">
      <c r="A659" s="218">
        <f t="shared" si="1"/>
        <v>658</v>
      </c>
      <c r="B659" s="218" t="s">
        <v>201</v>
      </c>
      <c r="C659" s="218" t="s">
        <v>1332</v>
      </c>
      <c r="D659" s="218" t="b">
        <v>1</v>
      </c>
      <c r="E659" s="219" t="b">
        <v>0</v>
      </c>
      <c r="F659" s="219" t="b">
        <v>0</v>
      </c>
      <c r="G659" s="219"/>
    </row>
    <row r="660">
      <c r="A660" s="218">
        <f t="shared" si="1"/>
        <v>659</v>
      </c>
      <c r="B660" s="218" t="s">
        <v>201</v>
      </c>
      <c r="C660" s="218" t="s">
        <v>630</v>
      </c>
      <c r="D660" s="218" t="b">
        <v>1</v>
      </c>
      <c r="E660" s="219" t="b">
        <v>0</v>
      </c>
      <c r="F660" s="219" t="b">
        <v>0</v>
      </c>
      <c r="G660" s="219"/>
    </row>
    <row r="661">
      <c r="A661" s="218">
        <f t="shared" si="1"/>
        <v>660</v>
      </c>
      <c r="B661" s="218" t="s">
        <v>201</v>
      </c>
      <c r="C661" s="218" t="s">
        <v>1327</v>
      </c>
      <c r="D661" s="218" t="b">
        <v>1</v>
      </c>
      <c r="E661" s="219" t="b">
        <v>0</v>
      </c>
      <c r="F661" s="219" t="b">
        <v>0</v>
      </c>
      <c r="G661" s="219"/>
    </row>
    <row r="662">
      <c r="A662" s="218">
        <f t="shared" si="1"/>
        <v>661</v>
      </c>
      <c r="B662" s="218" t="s">
        <v>201</v>
      </c>
      <c r="C662" s="218" t="s">
        <v>568</v>
      </c>
      <c r="D662" s="218" t="b">
        <v>1</v>
      </c>
      <c r="E662" s="219" t="b">
        <v>0</v>
      </c>
      <c r="F662" s="219" t="b">
        <v>0</v>
      </c>
      <c r="G662" s="219"/>
    </row>
    <row r="663">
      <c r="A663" s="218">
        <f t="shared" si="1"/>
        <v>662</v>
      </c>
      <c r="B663" s="218" t="s">
        <v>201</v>
      </c>
      <c r="C663" s="218" t="s">
        <v>2091</v>
      </c>
      <c r="D663" s="218" t="b">
        <v>1</v>
      </c>
      <c r="E663" s="219" t="b">
        <v>0</v>
      </c>
      <c r="F663" s="219" t="b">
        <v>0</v>
      </c>
      <c r="G663" s="219"/>
    </row>
    <row r="664">
      <c r="A664" s="218">
        <f t="shared" si="1"/>
        <v>663</v>
      </c>
      <c r="B664" s="218" t="s">
        <v>201</v>
      </c>
      <c r="C664" s="218" t="s">
        <v>1164</v>
      </c>
      <c r="D664" s="218" t="b">
        <v>1</v>
      </c>
      <c r="E664" s="219" t="b">
        <v>0</v>
      </c>
      <c r="F664" s="219" t="b">
        <v>0</v>
      </c>
      <c r="G664" s="219"/>
    </row>
    <row r="665">
      <c r="A665" s="218">
        <f t="shared" si="1"/>
        <v>664</v>
      </c>
      <c r="B665" s="218" t="s">
        <v>201</v>
      </c>
      <c r="C665" s="218" t="s">
        <v>1918</v>
      </c>
      <c r="D665" s="218" t="b">
        <v>1</v>
      </c>
      <c r="E665" s="219" t="b">
        <v>0</v>
      </c>
      <c r="F665" s="219" t="b">
        <v>0</v>
      </c>
      <c r="G665" s="219"/>
    </row>
    <row r="666">
      <c r="A666" s="218">
        <f t="shared" si="1"/>
        <v>665</v>
      </c>
      <c r="B666" s="218" t="s">
        <v>201</v>
      </c>
      <c r="C666" s="218" t="s">
        <v>2776</v>
      </c>
      <c r="D666" s="218" t="b">
        <v>1</v>
      </c>
      <c r="E666" s="219" t="b">
        <v>0</v>
      </c>
      <c r="F666" s="219" t="b">
        <v>0</v>
      </c>
      <c r="G666" s="219"/>
    </row>
    <row r="667">
      <c r="A667" s="218">
        <f t="shared" si="1"/>
        <v>666</v>
      </c>
      <c r="B667" s="218" t="s">
        <v>201</v>
      </c>
      <c r="C667" s="218" t="s">
        <v>2565</v>
      </c>
      <c r="D667" s="218" t="b">
        <v>1</v>
      </c>
      <c r="E667" s="219" t="b">
        <v>0</v>
      </c>
      <c r="F667" s="219" t="b">
        <v>0</v>
      </c>
      <c r="G667" s="219"/>
    </row>
    <row r="668">
      <c r="A668" s="218">
        <f t="shared" si="1"/>
        <v>667</v>
      </c>
      <c r="B668" s="218" t="s">
        <v>201</v>
      </c>
      <c r="C668" s="218" t="s">
        <v>2796</v>
      </c>
      <c r="D668" s="218" t="b">
        <v>1</v>
      </c>
      <c r="E668" s="219" t="b">
        <v>0</v>
      </c>
      <c r="F668" s="219" t="b">
        <v>0</v>
      </c>
      <c r="G668" s="219"/>
    </row>
    <row r="669">
      <c r="A669" s="218">
        <f t="shared" si="1"/>
        <v>668</v>
      </c>
      <c r="B669" s="218" t="s">
        <v>201</v>
      </c>
      <c r="C669" s="218" t="s">
        <v>2805</v>
      </c>
      <c r="D669" s="218" t="b">
        <v>1</v>
      </c>
      <c r="E669" s="219" t="b">
        <v>0</v>
      </c>
      <c r="F669" s="219" t="b">
        <v>0</v>
      </c>
      <c r="G669" s="219"/>
    </row>
    <row r="670">
      <c r="A670" s="218">
        <f t="shared" si="1"/>
        <v>669</v>
      </c>
      <c r="B670" s="218" t="s">
        <v>201</v>
      </c>
      <c r="C670" s="218" t="s">
        <v>2786</v>
      </c>
      <c r="D670" s="218" t="b">
        <v>1</v>
      </c>
      <c r="E670" s="219" t="b">
        <v>0</v>
      </c>
      <c r="F670" s="219" t="b">
        <v>0</v>
      </c>
      <c r="G670" s="219"/>
    </row>
    <row r="671">
      <c r="A671" s="218">
        <f t="shared" si="1"/>
        <v>670</v>
      </c>
      <c r="B671" s="218" t="s">
        <v>201</v>
      </c>
      <c r="C671" s="218" t="s">
        <v>2791</v>
      </c>
      <c r="D671" s="218" t="b">
        <v>1</v>
      </c>
      <c r="E671" s="219" t="b">
        <v>0</v>
      </c>
      <c r="F671" s="219" t="b">
        <v>0</v>
      </c>
      <c r="G671" s="219"/>
    </row>
    <row r="672">
      <c r="A672" s="218">
        <f t="shared" si="1"/>
        <v>671</v>
      </c>
      <c r="B672" s="218" t="s">
        <v>201</v>
      </c>
      <c r="C672" s="218" t="s">
        <v>2800</v>
      </c>
      <c r="D672" s="218" t="b">
        <v>1</v>
      </c>
      <c r="E672" s="219" t="b">
        <v>0</v>
      </c>
      <c r="F672" s="219" t="b">
        <v>0</v>
      </c>
      <c r="G672" s="219"/>
    </row>
    <row r="673">
      <c r="A673" s="218">
        <f t="shared" si="1"/>
        <v>672</v>
      </c>
      <c r="B673" s="218" t="s">
        <v>201</v>
      </c>
      <c r="C673" s="218" t="s">
        <v>2740</v>
      </c>
      <c r="D673" s="218" t="b">
        <v>1</v>
      </c>
      <c r="E673" s="219" t="b">
        <v>0</v>
      </c>
      <c r="F673" s="219" t="b">
        <v>0</v>
      </c>
      <c r="G673" s="219"/>
    </row>
    <row r="674">
      <c r="A674" s="218">
        <f t="shared" si="1"/>
        <v>673</v>
      </c>
      <c r="B674" s="218" t="s">
        <v>201</v>
      </c>
      <c r="C674" s="218" t="s">
        <v>2706</v>
      </c>
      <c r="D674" s="218" t="b">
        <v>1</v>
      </c>
      <c r="E674" s="219" t="b">
        <v>0</v>
      </c>
      <c r="F674" s="219" t="b">
        <v>0</v>
      </c>
      <c r="G674" s="219"/>
    </row>
    <row r="675">
      <c r="A675" s="218">
        <f t="shared" si="1"/>
        <v>674</v>
      </c>
      <c r="B675" s="218" t="s">
        <v>201</v>
      </c>
      <c r="C675" s="218" t="s">
        <v>2767</v>
      </c>
      <c r="D675" s="218" t="b">
        <v>1</v>
      </c>
      <c r="E675" s="219" t="b">
        <v>0</v>
      </c>
      <c r="F675" s="219" t="b">
        <v>0</v>
      </c>
      <c r="G675" s="219"/>
    </row>
    <row r="676">
      <c r="A676" s="218">
        <f t="shared" si="1"/>
        <v>675</v>
      </c>
      <c r="B676" s="218" t="s">
        <v>201</v>
      </c>
      <c r="C676" s="218" t="s">
        <v>2810</v>
      </c>
      <c r="D676" s="218" t="b">
        <v>1</v>
      </c>
      <c r="E676" s="219" t="b">
        <v>0</v>
      </c>
      <c r="F676" s="219" t="b">
        <v>0</v>
      </c>
      <c r="G676" s="219"/>
    </row>
    <row r="677">
      <c r="A677" s="218">
        <f t="shared" si="1"/>
        <v>676</v>
      </c>
      <c r="B677" s="218" t="s">
        <v>201</v>
      </c>
      <c r="C677" s="218" t="s">
        <v>2711</v>
      </c>
      <c r="D677" s="218" t="b">
        <v>1</v>
      </c>
      <c r="E677" s="219" t="b">
        <v>0</v>
      </c>
      <c r="F677" s="219" t="b">
        <v>0</v>
      </c>
      <c r="G677" s="219"/>
    </row>
    <row r="678">
      <c r="A678" s="218">
        <f t="shared" si="1"/>
        <v>677</v>
      </c>
      <c r="B678" s="218" t="s">
        <v>201</v>
      </c>
      <c r="C678" s="218" t="s">
        <v>2677</v>
      </c>
      <c r="D678" s="218" t="b">
        <v>1</v>
      </c>
      <c r="E678" s="219" t="b">
        <v>0</v>
      </c>
      <c r="F678" s="219" t="b">
        <v>0</v>
      </c>
      <c r="G678" s="219"/>
    </row>
    <row r="679">
      <c r="A679" s="218">
        <f t="shared" si="1"/>
        <v>678</v>
      </c>
      <c r="B679" s="218" t="s">
        <v>201</v>
      </c>
      <c r="C679" s="218" t="s">
        <v>2736</v>
      </c>
      <c r="D679" s="218" t="b">
        <v>1</v>
      </c>
      <c r="E679" s="219" t="b">
        <v>0</v>
      </c>
      <c r="F679" s="219" t="b">
        <v>0</v>
      </c>
      <c r="G679" s="219"/>
    </row>
    <row r="680">
      <c r="A680" s="218">
        <f t="shared" si="1"/>
        <v>679</v>
      </c>
      <c r="B680" s="218" t="s">
        <v>201</v>
      </c>
      <c r="C680" s="218" t="s">
        <v>2612</v>
      </c>
      <c r="D680" s="218" t="b">
        <v>1</v>
      </c>
      <c r="E680" s="219" t="b">
        <v>0</v>
      </c>
      <c r="F680" s="219" t="b">
        <v>0</v>
      </c>
      <c r="G680" s="219"/>
    </row>
    <row r="681">
      <c r="A681" s="218">
        <f t="shared" si="1"/>
        <v>680</v>
      </c>
      <c r="B681" s="218" t="s">
        <v>201</v>
      </c>
      <c r="C681" s="218" t="s">
        <v>2731</v>
      </c>
      <c r="D681" s="218" t="b">
        <v>1</v>
      </c>
      <c r="E681" s="219" t="b">
        <v>0</v>
      </c>
      <c r="F681" s="219" t="b">
        <v>0</v>
      </c>
      <c r="G681" s="219"/>
    </row>
    <row r="682">
      <c r="A682" s="218">
        <f t="shared" si="1"/>
        <v>681</v>
      </c>
      <c r="B682" s="218" t="s">
        <v>201</v>
      </c>
      <c r="C682" s="218" t="s">
        <v>2608</v>
      </c>
      <c r="D682" s="218" t="b">
        <v>1</v>
      </c>
      <c r="E682" s="219" t="b">
        <v>0</v>
      </c>
      <c r="F682" s="219" t="b">
        <v>0</v>
      </c>
      <c r="G682" s="219"/>
    </row>
    <row r="683">
      <c r="A683" s="218">
        <f t="shared" si="1"/>
        <v>682</v>
      </c>
      <c r="B683" s="218" t="s">
        <v>201</v>
      </c>
      <c r="C683" s="218" t="s">
        <v>2745</v>
      </c>
      <c r="D683" s="218" t="b">
        <v>1</v>
      </c>
      <c r="E683" s="219" t="b">
        <v>0</v>
      </c>
      <c r="F683" s="219" t="b">
        <v>0</v>
      </c>
      <c r="G683" s="219"/>
    </row>
    <row r="684">
      <c r="A684" s="218">
        <f t="shared" si="1"/>
        <v>683</v>
      </c>
      <c r="B684" s="218" t="s">
        <v>201</v>
      </c>
      <c r="C684" s="218" t="s">
        <v>2649</v>
      </c>
      <c r="D684" s="218" t="b">
        <v>1</v>
      </c>
      <c r="E684" s="219" t="b">
        <v>0</v>
      </c>
      <c r="F684" s="219" t="b">
        <v>0</v>
      </c>
      <c r="G684" s="219"/>
    </row>
    <row r="685">
      <c r="A685" s="218">
        <f t="shared" si="1"/>
        <v>684</v>
      </c>
      <c r="B685" s="218" t="s">
        <v>201</v>
      </c>
      <c r="C685" s="218" t="s">
        <v>2581</v>
      </c>
      <c r="D685" s="218" t="b">
        <v>1</v>
      </c>
      <c r="E685" s="219" t="b">
        <v>0</v>
      </c>
      <c r="F685" s="219" t="b">
        <v>0</v>
      </c>
      <c r="G685" s="219"/>
    </row>
    <row r="686">
      <c r="A686" s="218">
        <f t="shared" si="1"/>
        <v>685</v>
      </c>
      <c r="B686" s="218" t="s">
        <v>201</v>
      </c>
      <c r="C686" s="218" t="s">
        <v>2716</v>
      </c>
      <c r="D686" s="218" t="b">
        <v>1</v>
      </c>
      <c r="E686" s="219" t="b">
        <v>0</v>
      </c>
      <c r="F686" s="219" t="b">
        <v>0</v>
      </c>
      <c r="G686" s="219"/>
    </row>
    <row r="687">
      <c r="A687" s="218">
        <f t="shared" si="1"/>
        <v>686</v>
      </c>
      <c r="B687" s="218" t="s">
        <v>201</v>
      </c>
      <c r="C687" s="218" t="s">
        <v>2682</v>
      </c>
      <c r="D687" s="218" t="b">
        <v>1</v>
      </c>
      <c r="E687" s="219" t="b">
        <v>0</v>
      </c>
      <c r="F687" s="219" t="b">
        <v>0</v>
      </c>
      <c r="G687" s="219"/>
    </row>
    <row r="688">
      <c r="A688" s="218">
        <f t="shared" si="1"/>
        <v>687</v>
      </c>
      <c r="B688" s="218" t="s">
        <v>201</v>
      </c>
      <c r="C688" s="218" t="s">
        <v>2615</v>
      </c>
      <c r="D688" s="218" t="b">
        <v>1</v>
      </c>
      <c r="E688" s="219" t="b">
        <v>0</v>
      </c>
      <c r="F688" s="219" t="b">
        <v>0</v>
      </c>
      <c r="G688" s="219"/>
    </row>
    <row r="689">
      <c r="A689" s="218">
        <f t="shared" si="1"/>
        <v>688</v>
      </c>
      <c r="B689" s="218" t="s">
        <v>201</v>
      </c>
      <c r="C689" s="218" t="s">
        <v>2692</v>
      </c>
      <c r="D689" s="218" t="b">
        <v>1</v>
      </c>
      <c r="E689" s="219" t="b">
        <v>0</v>
      </c>
      <c r="F689" s="219" t="b">
        <v>0</v>
      </c>
      <c r="G689" s="219"/>
    </row>
    <row r="690">
      <c r="A690" s="218">
        <f t="shared" si="1"/>
        <v>689</v>
      </c>
      <c r="B690" s="218" t="s">
        <v>201</v>
      </c>
      <c r="C690" s="218" t="s">
        <v>2596</v>
      </c>
      <c r="D690" s="218" t="b">
        <v>1</v>
      </c>
      <c r="E690" s="219" t="b">
        <v>0</v>
      </c>
      <c r="F690" s="219" t="b">
        <v>0</v>
      </c>
      <c r="G690" s="219"/>
    </row>
    <row r="691">
      <c r="A691" s="218">
        <f t="shared" si="1"/>
        <v>690</v>
      </c>
      <c r="B691" s="218" t="s">
        <v>201</v>
      </c>
      <c r="C691" s="218" t="s">
        <v>2631</v>
      </c>
      <c r="D691" s="218" t="b">
        <v>1</v>
      </c>
      <c r="E691" s="219" t="b">
        <v>0</v>
      </c>
      <c r="F691" s="219" t="b">
        <v>0</v>
      </c>
      <c r="G691" s="219"/>
    </row>
    <row r="692">
      <c r="A692" s="218">
        <f t="shared" si="1"/>
        <v>691</v>
      </c>
      <c r="B692" s="218" t="s">
        <v>201</v>
      </c>
      <c r="C692" s="218" t="s">
        <v>2601</v>
      </c>
      <c r="D692" s="218" t="b">
        <v>1</v>
      </c>
      <c r="E692" s="219" t="b">
        <v>0</v>
      </c>
      <c r="F692" s="219" t="b">
        <v>0</v>
      </c>
      <c r="G692" s="219"/>
    </row>
    <row r="693">
      <c r="A693" s="218">
        <f t="shared" si="1"/>
        <v>692</v>
      </c>
      <c r="B693" s="218" t="s">
        <v>201</v>
      </c>
      <c r="C693" s="218" t="s">
        <v>2663</v>
      </c>
      <c r="D693" s="218" t="b">
        <v>1</v>
      </c>
      <c r="E693" s="219" t="b">
        <v>0</v>
      </c>
      <c r="F693" s="219" t="b">
        <v>0</v>
      </c>
      <c r="G693" s="219"/>
    </row>
    <row r="694">
      <c r="A694" s="218">
        <f t="shared" si="1"/>
        <v>693</v>
      </c>
      <c r="B694" s="218" t="s">
        <v>201</v>
      </c>
      <c r="C694" s="218" t="s">
        <v>2726</v>
      </c>
      <c r="D694" s="218" t="b">
        <v>1</v>
      </c>
      <c r="E694" s="219" t="b">
        <v>0</v>
      </c>
      <c r="F694" s="219" t="b">
        <v>0</v>
      </c>
      <c r="G694" s="219"/>
    </row>
    <row r="695">
      <c r="A695" s="218">
        <f t="shared" si="1"/>
        <v>694</v>
      </c>
      <c r="B695" s="218" t="s">
        <v>201</v>
      </c>
      <c r="C695" s="218" t="s">
        <v>2658</v>
      </c>
      <c r="D695" s="218" t="b">
        <v>1</v>
      </c>
      <c r="E695" s="219" t="b">
        <v>0</v>
      </c>
      <c r="F695" s="219" t="b">
        <v>0</v>
      </c>
      <c r="G695" s="219"/>
    </row>
    <row r="696">
      <c r="A696" s="218">
        <f t="shared" si="1"/>
        <v>695</v>
      </c>
      <c r="B696" s="218" t="s">
        <v>201</v>
      </c>
      <c r="C696" s="218" t="s">
        <v>2574</v>
      </c>
      <c r="D696" s="218" t="b">
        <v>1</v>
      </c>
      <c r="E696" s="219" t="b">
        <v>0</v>
      </c>
      <c r="F696" s="219" t="b">
        <v>0</v>
      </c>
      <c r="G696" s="219"/>
    </row>
    <row r="697">
      <c r="A697" s="218">
        <f t="shared" si="1"/>
        <v>696</v>
      </c>
      <c r="B697" s="218" t="s">
        <v>201</v>
      </c>
      <c r="C697" s="218" t="s">
        <v>2570</v>
      </c>
      <c r="D697" s="218" t="b">
        <v>1</v>
      </c>
      <c r="E697" s="219" t="b">
        <v>0</v>
      </c>
      <c r="F697" s="219" t="b">
        <v>0</v>
      </c>
      <c r="G697" s="219"/>
    </row>
    <row r="698">
      <c r="A698" s="218">
        <f t="shared" si="1"/>
        <v>697</v>
      </c>
      <c r="B698" s="218" t="s">
        <v>201</v>
      </c>
      <c r="C698" s="218" t="s">
        <v>2556</v>
      </c>
      <c r="D698" s="218" t="b">
        <v>1</v>
      </c>
      <c r="E698" s="219" t="b">
        <v>0</v>
      </c>
      <c r="F698" s="219" t="b">
        <v>0</v>
      </c>
      <c r="G698" s="219"/>
    </row>
    <row r="699">
      <c r="A699" s="218">
        <f t="shared" si="1"/>
        <v>698</v>
      </c>
      <c r="B699" s="218" t="s">
        <v>201</v>
      </c>
      <c r="C699" s="218" t="s">
        <v>2701</v>
      </c>
      <c r="D699" s="218" t="b">
        <v>1</v>
      </c>
      <c r="E699" s="219" t="b">
        <v>0</v>
      </c>
      <c r="F699" s="219" t="b">
        <v>0</v>
      </c>
      <c r="G699" s="219"/>
    </row>
    <row r="700">
      <c r="A700" s="218">
        <f t="shared" si="1"/>
        <v>699</v>
      </c>
      <c r="B700" s="218" t="s">
        <v>201</v>
      </c>
      <c r="C700" s="218" t="s">
        <v>2644</v>
      </c>
      <c r="D700" s="218" t="b">
        <v>1</v>
      </c>
      <c r="E700" s="219" t="b">
        <v>0</v>
      </c>
      <c r="F700" s="219" t="b">
        <v>0</v>
      </c>
      <c r="G700" s="219"/>
    </row>
    <row r="701">
      <c r="A701" s="218">
        <f t="shared" si="1"/>
        <v>700</v>
      </c>
      <c r="B701" s="218" t="s">
        <v>201</v>
      </c>
      <c r="C701" s="218" t="s">
        <v>2605</v>
      </c>
      <c r="D701" s="218" t="b">
        <v>1</v>
      </c>
      <c r="E701" s="219" t="b">
        <v>0</v>
      </c>
      <c r="F701" s="219" t="b">
        <v>0</v>
      </c>
      <c r="G701" s="219"/>
    </row>
    <row r="702">
      <c r="A702" s="218">
        <f t="shared" si="1"/>
        <v>701</v>
      </c>
      <c r="B702" s="218" t="s">
        <v>201</v>
      </c>
      <c r="C702" s="218" t="s">
        <v>1437</v>
      </c>
      <c r="D702" s="218" t="b">
        <v>1</v>
      </c>
      <c r="E702" s="219" t="b">
        <v>0</v>
      </c>
      <c r="F702" s="219" t="b">
        <v>0</v>
      </c>
      <c r="G702" s="219"/>
    </row>
    <row r="703">
      <c r="A703" s="218">
        <f t="shared" si="1"/>
        <v>702</v>
      </c>
      <c r="B703" s="218" t="s">
        <v>201</v>
      </c>
      <c r="C703" s="218" t="s">
        <v>5389</v>
      </c>
      <c r="D703" s="218" t="b">
        <v>1</v>
      </c>
      <c r="E703" s="219" t="b">
        <v>0</v>
      </c>
      <c r="F703" s="219" t="b">
        <v>0</v>
      </c>
      <c r="G703" s="219"/>
    </row>
    <row r="704">
      <c r="A704" s="218">
        <f t="shared" si="1"/>
        <v>703</v>
      </c>
      <c r="B704" s="218" t="s">
        <v>201</v>
      </c>
      <c r="C704" s="218" t="s">
        <v>1368</v>
      </c>
      <c r="D704" s="218" t="b">
        <v>1</v>
      </c>
      <c r="E704" s="219" t="b">
        <v>0</v>
      </c>
      <c r="F704" s="219" t="b">
        <v>0</v>
      </c>
      <c r="G704" s="219"/>
    </row>
    <row r="705">
      <c r="A705" s="218">
        <f t="shared" si="1"/>
        <v>704</v>
      </c>
      <c r="B705" s="218" t="s">
        <v>201</v>
      </c>
      <c r="C705" s="218" t="s">
        <v>1392</v>
      </c>
      <c r="D705" s="218" t="b">
        <v>1</v>
      </c>
      <c r="E705" s="219" t="b">
        <v>0</v>
      </c>
      <c r="F705" s="219" t="b">
        <v>0</v>
      </c>
      <c r="G705" s="219"/>
    </row>
    <row r="706">
      <c r="A706" s="218">
        <f t="shared" si="1"/>
        <v>705</v>
      </c>
      <c r="B706" s="218" t="s">
        <v>201</v>
      </c>
      <c r="C706" s="218" t="s">
        <v>1432</v>
      </c>
      <c r="D706" s="218" t="b">
        <v>1</v>
      </c>
      <c r="E706" s="219" t="b">
        <v>0</v>
      </c>
      <c r="F706" s="219" t="b">
        <v>0</v>
      </c>
      <c r="G706" s="219"/>
    </row>
    <row r="707">
      <c r="A707" s="218">
        <f t="shared" si="1"/>
        <v>706</v>
      </c>
      <c r="B707" s="218" t="s">
        <v>201</v>
      </c>
      <c r="C707" s="218" t="s">
        <v>955</v>
      </c>
      <c r="D707" s="218" t="b">
        <v>1</v>
      </c>
      <c r="E707" s="219" t="b">
        <v>0</v>
      </c>
      <c r="F707" s="219" t="b">
        <v>0</v>
      </c>
      <c r="G707" s="219"/>
    </row>
    <row r="708">
      <c r="A708" s="218">
        <f t="shared" si="1"/>
        <v>707</v>
      </c>
      <c r="B708" s="218" t="s">
        <v>201</v>
      </c>
      <c r="C708" s="218" t="s">
        <v>5491</v>
      </c>
      <c r="D708" s="218" t="b">
        <v>1</v>
      </c>
      <c r="E708" s="219" t="b">
        <v>0</v>
      </c>
      <c r="F708" s="219" t="b">
        <v>0</v>
      </c>
      <c r="G708" s="219"/>
    </row>
    <row r="709">
      <c r="A709" s="218">
        <f t="shared" si="1"/>
        <v>708</v>
      </c>
      <c r="B709" s="218" t="s">
        <v>201</v>
      </c>
      <c r="C709" s="218" t="s">
        <v>2635</v>
      </c>
      <c r="D709" s="218" t="b">
        <v>1</v>
      </c>
      <c r="E709" s="219" t="b">
        <v>0</v>
      </c>
      <c r="F709" s="219" t="b">
        <v>0</v>
      </c>
      <c r="G709" s="219"/>
    </row>
    <row r="710">
      <c r="A710" s="218">
        <f t="shared" si="1"/>
        <v>709</v>
      </c>
      <c r="B710" s="218" t="s">
        <v>201</v>
      </c>
      <c r="C710" s="218" t="s">
        <v>2626</v>
      </c>
      <c r="D710" s="218" t="b">
        <v>1</v>
      </c>
      <c r="E710" s="219" t="b">
        <v>0</v>
      </c>
      <c r="F710" s="219" t="b">
        <v>0</v>
      </c>
      <c r="G710" s="219"/>
    </row>
    <row r="711">
      <c r="A711" s="218">
        <f t="shared" si="1"/>
        <v>710</v>
      </c>
      <c r="B711" s="218" t="s">
        <v>201</v>
      </c>
      <c r="C711" s="218" t="s">
        <v>2750</v>
      </c>
      <c r="D711" s="218" t="b">
        <v>1</v>
      </c>
      <c r="E711" s="219" t="b">
        <v>0</v>
      </c>
      <c r="F711" s="219" t="b">
        <v>0</v>
      </c>
      <c r="G711" s="219"/>
    </row>
    <row r="712">
      <c r="A712" s="218">
        <f t="shared" si="1"/>
        <v>711</v>
      </c>
      <c r="B712" s="218" t="s">
        <v>201</v>
      </c>
      <c r="C712" s="218" t="s">
        <v>1088</v>
      </c>
      <c r="D712" s="218" t="b">
        <v>1</v>
      </c>
      <c r="E712" s="219" t="b">
        <v>0</v>
      </c>
      <c r="F712" s="219" t="b">
        <v>0</v>
      </c>
      <c r="G712" s="219"/>
    </row>
    <row r="713">
      <c r="A713" s="218">
        <f t="shared" si="1"/>
        <v>712</v>
      </c>
      <c r="B713" s="218" t="s">
        <v>201</v>
      </c>
      <c r="C713" s="218" t="s">
        <v>5394</v>
      </c>
      <c r="D713" s="218" t="b">
        <v>1</v>
      </c>
      <c r="E713" s="219" t="b">
        <v>0</v>
      </c>
      <c r="F713" s="219" t="b">
        <v>0</v>
      </c>
      <c r="G713" s="219"/>
    </row>
    <row r="714">
      <c r="A714" s="218">
        <f t="shared" si="1"/>
        <v>713</v>
      </c>
      <c r="B714" s="218" t="s">
        <v>201</v>
      </c>
      <c r="C714" s="218" t="s">
        <v>5453</v>
      </c>
      <c r="D714" s="218" t="b">
        <v>1</v>
      </c>
      <c r="E714" s="219" t="b">
        <v>0</v>
      </c>
      <c r="F714" s="219" t="b">
        <v>0</v>
      </c>
      <c r="G714" s="219"/>
    </row>
    <row r="715">
      <c r="A715" s="218">
        <f t="shared" si="1"/>
        <v>714</v>
      </c>
      <c r="B715" s="218" t="s">
        <v>201</v>
      </c>
      <c r="C715" s="218" t="s">
        <v>1899</v>
      </c>
      <c r="D715" s="218" t="b">
        <v>1</v>
      </c>
      <c r="E715" s="219" t="b">
        <v>0</v>
      </c>
      <c r="F715" s="219" t="b">
        <v>0</v>
      </c>
      <c r="G715" s="219"/>
    </row>
    <row r="716">
      <c r="A716" s="218">
        <f t="shared" si="1"/>
        <v>715</v>
      </c>
      <c r="B716" s="218" t="s">
        <v>201</v>
      </c>
      <c r="C716" s="218" t="s">
        <v>1899</v>
      </c>
      <c r="D716" s="218" t="b">
        <v>1</v>
      </c>
      <c r="E716" s="219" t="b">
        <v>0</v>
      </c>
      <c r="F716" s="219" t="b">
        <v>0</v>
      </c>
      <c r="G716" s="219"/>
    </row>
    <row r="717">
      <c r="A717" s="218">
        <f t="shared" si="1"/>
        <v>716</v>
      </c>
      <c r="B717" s="218" t="s">
        <v>201</v>
      </c>
      <c r="C717" s="218" t="s">
        <v>5399</v>
      </c>
      <c r="D717" s="218" t="b">
        <v>1</v>
      </c>
      <c r="E717" s="219" t="b">
        <v>0</v>
      </c>
      <c r="F717" s="219" t="b">
        <v>0</v>
      </c>
      <c r="G717" s="219"/>
    </row>
    <row r="718">
      <c r="A718" s="218">
        <f t="shared" si="1"/>
        <v>717</v>
      </c>
      <c r="B718" s="218" t="s">
        <v>201</v>
      </c>
      <c r="C718" s="218" t="s">
        <v>5404</v>
      </c>
      <c r="D718" s="218" t="b">
        <v>1</v>
      </c>
      <c r="E718" s="219" t="b">
        <v>0</v>
      </c>
      <c r="F718" s="219" t="b">
        <v>0</v>
      </c>
      <c r="G718" s="219"/>
    </row>
    <row r="719">
      <c r="A719" s="218">
        <f t="shared" si="1"/>
        <v>718</v>
      </c>
      <c r="B719" s="218" t="s">
        <v>201</v>
      </c>
      <c r="C719" s="218" t="s">
        <v>5383</v>
      </c>
      <c r="D719" s="218" t="b">
        <v>1</v>
      </c>
      <c r="E719" s="219" t="b">
        <v>0</v>
      </c>
      <c r="F719" s="219" t="b">
        <v>0</v>
      </c>
      <c r="G719" s="219"/>
    </row>
    <row r="720">
      <c r="A720" s="218">
        <f t="shared" si="1"/>
        <v>719</v>
      </c>
      <c r="B720" s="218" t="s">
        <v>201</v>
      </c>
      <c r="C720" s="218" t="s">
        <v>1264</v>
      </c>
      <c r="D720" s="218" t="b">
        <v>1</v>
      </c>
      <c r="E720" s="219" t="b">
        <v>0</v>
      </c>
      <c r="F720" s="219" t="b">
        <v>0</v>
      </c>
      <c r="G720" s="219"/>
    </row>
    <row r="721">
      <c r="A721" s="218">
        <f t="shared" si="1"/>
        <v>720</v>
      </c>
      <c r="B721" s="218" t="s">
        <v>201</v>
      </c>
      <c r="C721" s="218" t="s">
        <v>5470</v>
      </c>
      <c r="D721" s="218" t="b">
        <v>1</v>
      </c>
      <c r="E721" s="219" t="b">
        <v>0</v>
      </c>
      <c r="F721" s="219" t="b">
        <v>0</v>
      </c>
      <c r="G721" s="219"/>
    </row>
    <row r="722">
      <c r="A722" s="218">
        <f t="shared" si="1"/>
        <v>721</v>
      </c>
      <c r="B722" s="218" t="s">
        <v>201</v>
      </c>
      <c r="C722" s="218" t="s">
        <v>5475</v>
      </c>
      <c r="D722" s="218" t="b">
        <v>1</v>
      </c>
      <c r="E722" s="219" t="b">
        <v>0</v>
      </c>
      <c r="F722" s="219" t="b">
        <v>0</v>
      </c>
      <c r="G722" s="219"/>
    </row>
    <row r="723">
      <c r="A723" s="218">
        <f t="shared" si="1"/>
        <v>722</v>
      </c>
      <c r="B723" s="218" t="s">
        <v>201</v>
      </c>
      <c r="C723" s="218" t="s">
        <v>5481</v>
      </c>
      <c r="D723" s="218" t="b">
        <v>1</v>
      </c>
      <c r="E723" s="219" t="b">
        <v>0</v>
      </c>
      <c r="F723" s="219" t="b">
        <v>0</v>
      </c>
      <c r="G723" s="219"/>
    </row>
    <row r="724">
      <c r="A724" s="218">
        <f t="shared" si="1"/>
        <v>723</v>
      </c>
      <c r="B724" s="218" t="s">
        <v>201</v>
      </c>
      <c r="C724" s="218" t="s">
        <v>5108</v>
      </c>
      <c r="D724" s="218" t="b">
        <v>1</v>
      </c>
      <c r="E724" s="219" t="b">
        <v>0</v>
      </c>
      <c r="F724" s="219" t="b">
        <v>0</v>
      </c>
      <c r="G724" s="219"/>
    </row>
    <row r="725">
      <c r="A725" s="218">
        <f t="shared" si="1"/>
        <v>724</v>
      </c>
      <c r="B725" s="218" t="s">
        <v>201</v>
      </c>
      <c r="C725" s="218" t="s">
        <v>5424</v>
      </c>
      <c r="D725" s="218" t="b">
        <v>1</v>
      </c>
      <c r="E725" s="219" t="b">
        <v>0</v>
      </c>
      <c r="F725" s="219" t="b">
        <v>0</v>
      </c>
      <c r="G725" s="219"/>
    </row>
    <row r="726">
      <c r="A726" s="218">
        <f t="shared" si="1"/>
        <v>725</v>
      </c>
      <c r="B726" s="218" t="s">
        <v>201</v>
      </c>
      <c r="C726" s="218" t="s">
        <v>5418</v>
      </c>
      <c r="D726" s="218" t="b">
        <v>1</v>
      </c>
      <c r="E726" s="219" t="b">
        <v>0</v>
      </c>
      <c r="F726" s="219" t="b">
        <v>0</v>
      </c>
      <c r="G726" s="219"/>
    </row>
    <row r="727">
      <c r="A727" s="218">
        <f t="shared" si="1"/>
        <v>726</v>
      </c>
      <c r="B727" s="218" t="s">
        <v>201</v>
      </c>
      <c r="C727" s="218" t="s">
        <v>5430</v>
      </c>
      <c r="D727" s="218" t="b">
        <v>1</v>
      </c>
      <c r="E727" s="219" t="b">
        <v>0</v>
      </c>
      <c r="F727" s="219" t="b">
        <v>0</v>
      </c>
      <c r="G727" s="219"/>
    </row>
    <row r="728">
      <c r="A728" s="218">
        <f t="shared" si="1"/>
        <v>727</v>
      </c>
      <c r="B728" s="218" t="s">
        <v>201</v>
      </c>
      <c r="C728" s="218" t="s">
        <v>1174</v>
      </c>
      <c r="D728" s="218" t="b">
        <v>1</v>
      </c>
      <c r="E728" s="219" t="b">
        <v>0</v>
      </c>
      <c r="F728" s="219" t="b">
        <v>0</v>
      </c>
      <c r="G728" s="219"/>
    </row>
    <row r="729">
      <c r="A729" s="218">
        <f t="shared" si="1"/>
        <v>728</v>
      </c>
      <c r="B729" s="218" t="s">
        <v>201</v>
      </c>
      <c r="C729" s="218" t="s">
        <v>1359</v>
      </c>
      <c r="D729" s="218" t="b">
        <v>1</v>
      </c>
      <c r="E729" s="219" t="b">
        <v>0</v>
      </c>
      <c r="F729" s="219" t="b">
        <v>0</v>
      </c>
      <c r="G729" s="219"/>
    </row>
    <row r="730">
      <c r="A730" s="218">
        <f t="shared" si="1"/>
        <v>729</v>
      </c>
      <c r="B730" s="218" t="s">
        <v>201</v>
      </c>
      <c r="C730" s="218" t="s">
        <v>5144</v>
      </c>
      <c r="D730" s="218" t="b">
        <v>1</v>
      </c>
      <c r="E730" s="219" t="b">
        <v>0</v>
      </c>
      <c r="F730" s="219" t="b">
        <v>0</v>
      </c>
      <c r="G730" s="219"/>
    </row>
    <row r="731">
      <c r="A731" s="218">
        <f t="shared" si="1"/>
        <v>730</v>
      </c>
      <c r="B731" s="218" t="s">
        <v>201</v>
      </c>
      <c r="C731" s="218" t="s">
        <v>5165</v>
      </c>
      <c r="D731" s="218" t="b">
        <v>1</v>
      </c>
      <c r="E731" s="219" t="b">
        <v>0</v>
      </c>
      <c r="F731" s="219" t="b">
        <v>0</v>
      </c>
      <c r="G731" s="219"/>
    </row>
    <row r="732">
      <c r="A732" s="218">
        <f t="shared" si="1"/>
        <v>731</v>
      </c>
      <c r="B732" s="218" t="s">
        <v>201</v>
      </c>
      <c r="C732" s="218" t="s">
        <v>5190</v>
      </c>
      <c r="D732" s="218" t="b">
        <v>1</v>
      </c>
      <c r="E732" s="219" t="b">
        <v>0</v>
      </c>
      <c r="F732" s="219" t="b">
        <v>0</v>
      </c>
      <c r="G732" s="219"/>
    </row>
    <row r="733">
      <c r="A733" s="218">
        <f t="shared" si="1"/>
        <v>732</v>
      </c>
      <c r="B733" s="218" t="s">
        <v>201</v>
      </c>
      <c r="C733" s="218" t="s">
        <v>5221</v>
      </c>
      <c r="D733" s="218" t="b">
        <v>1</v>
      </c>
      <c r="E733" s="219" t="b">
        <v>0</v>
      </c>
      <c r="F733" s="219" t="b">
        <v>0</v>
      </c>
      <c r="G733" s="219"/>
    </row>
    <row r="734">
      <c r="A734" s="218">
        <f t="shared" si="1"/>
        <v>733</v>
      </c>
      <c r="B734" s="218" t="s">
        <v>201</v>
      </c>
      <c r="C734" s="218" t="s">
        <v>5156</v>
      </c>
      <c r="D734" s="218" t="b">
        <v>1</v>
      </c>
      <c r="E734" s="219" t="b">
        <v>0</v>
      </c>
      <c r="F734" s="219" t="b">
        <v>0</v>
      </c>
      <c r="G734" s="219"/>
    </row>
    <row r="735">
      <c r="A735" s="218">
        <f t="shared" si="1"/>
        <v>734</v>
      </c>
      <c r="B735" s="218" t="s">
        <v>201</v>
      </c>
      <c r="C735" s="218" t="s">
        <v>5160</v>
      </c>
      <c r="D735" s="218" t="b">
        <v>1</v>
      </c>
      <c r="E735" s="219" t="b">
        <v>0</v>
      </c>
      <c r="F735" s="219" t="b">
        <v>0</v>
      </c>
      <c r="G735" s="219"/>
    </row>
    <row r="736">
      <c r="A736" s="218">
        <f t="shared" si="1"/>
        <v>735</v>
      </c>
      <c r="B736" s="218" t="s">
        <v>201</v>
      </c>
      <c r="C736" s="218" t="s">
        <v>5173</v>
      </c>
      <c r="D736" s="218" t="b">
        <v>1</v>
      </c>
      <c r="E736" s="219" t="b">
        <v>0</v>
      </c>
      <c r="F736" s="219" t="b">
        <v>0</v>
      </c>
      <c r="G736" s="219"/>
    </row>
    <row r="737">
      <c r="A737" s="218">
        <f t="shared" si="1"/>
        <v>736</v>
      </c>
      <c r="B737" s="218" t="s">
        <v>201</v>
      </c>
      <c r="C737" s="218" t="s">
        <v>5168</v>
      </c>
      <c r="D737" s="218" t="b">
        <v>1</v>
      </c>
      <c r="E737" s="219" t="b">
        <v>0</v>
      </c>
      <c r="F737" s="219" t="b">
        <v>0</v>
      </c>
      <c r="G737" s="219"/>
    </row>
    <row r="738">
      <c r="A738" s="218">
        <f t="shared" si="1"/>
        <v>737</v>
      </c>
      <c r="B738" s="218" t="s">
        <v>201</v>
      </c>
      <c r="C738" s="218" t="s">
        <v>5185</v>
      </c>
      <c r="D738" s="218" t="b">
        <v>1</v>
      </c>
      <c r="E738" s="219" t="b">
        <v>0</v>
      </c>
      <c r="F738" s="219" t="b">
        <v>0</v>
      </c>
      <c r="G738" s="219"/>
    </row>
    <row r="739">
      <c r="A739" s="218">
        <f t="shared" si="1"/>
        <v>738</v>
      </c>
      <c r="B739" s="218" t="s">
        <v>201</v>
      </c>
      <c r="C739" s="218" t="s">
        <v>5196</v>
      </c>
      <c r="D739" s="218" t="b">
        <v>1</v>
      </c>
      <c r="E739" s="219" t="b">
        <v>0</v>
      </c>
      <c r="F739" s="219" t="b">
        <v>0</v>
      </c>
      <c r="G739" s="219"/>
    </row>
    <row r="740">
      <c r="A740" s="218">
        <f t="shared" si="1"/>
        <v>739</v>
      </c>
      <c r="B740" s="218" t="s">
        <v>201</v>
      </c>
      <c r="C740" s="218" t="s">
        <v>5201</v>
      </c>
      <c r="D740" s="218" t="b">
        <v>1</v>
      </c>
      <c r="E740" s="219" t="b">
        <v>0</v>
      </c>
      <c r="F740" s="219" t="b">
        <v>0</v>
      </c>
      <c r="G740" s="219"/>
    </row>
    <row r="741">
      <c r="A741" s="218">
        <f t="shared" si="1"/>
        <v>740</v>
      </c>
      <c r="B741" s="218" t="s">
        <v>201</v>
      </c>
      <c r="C741" s="218" t="s">
        <v>5212</v>
      </c>
      <c r="D741" s="218" t="b">
        <v>1</v>
      </c>
      <c r="E741" s="219" t="b">
        <v>0</v>
      </c>
      <c r="F741" s="219" t="b">
        <v>0</v>
      </c>
      <c r="G741" s="219"/>
    </row>
    <row r="742">
      <c r="A742" s="218">
        <f t="shared" si="1"/>
        <v>741</v>
      </c>
      <c r="B742" s="218" t="s">
        <v>201</v>
      </c>
      <c r="C742" s="218" t="s">
        <v>5206</v>
      </c>
      <c r="D742" s="218" t="b">
        <v>1</v>
      </c>
      <c r="E742" s="219" t="b">
        <v>0</v>
      </c>
      <c r="F742" s="219" t="b">
        <v>0</v>
      </c>
      <c r="G742" s="219"/>
    </row>
    <row r="743">
      <c r="A743" s="218">
        <f t="shared" si="1"/>
        <v>742</v>
      </c>
      <c r="B743" s="218" t="s">
        <v>201</v>
      </c>
      <c r="C743" s="218" t="s">
        <v>5217</v>
      </c>
      <c r="D743" s="218" t="b">
        <v>1</v>
      </c>
      <c r="E743" s="219" t="b">
        <v>0</v>
      </c>
      <c r="F743" s="219" t="b">
        <v>0</v>
      </c>
      <c r="G743" s="219"/>
    </row>
    <row r="744">
      <c r="A744" s="218">
        <f t="shared" si="1"/>
        <v>743</v>
      </c>
      <c r="B744" s="218" t="s">
        <v>201</v>
      </c>
      <c r="C744" s="218" t="s">
        <v>6803</v>
      </c>
      <c r="D744" s="218" t="b">
        <v>1</v>
      </c>
      <c r="E744" s="219" t="b">
        <v>0</v>
      </c>
      <c r="F744" s="219" t="b">
        <v>0</v>
      </c>
      <c r="G744" s="219"/>
    </row>
    <row r="745">
      <c r="A745" s="218">
        <f t="shared" si="1"/>
        <v>744</v>
      </c>
      <c r="B745" s="218" t="s">
        <v>201</v>
      </c>
      <c r="C745" s="218" t="s">
        <v>2512</v>
      </c>
      <c r="D745" s="218" t="b">
        <v>1</v>
      </c>
      <c r="E745" s="219" t="b">
        <v>0</v>
      </c>
      <c r="F745" s="219" t="b">
        <v>0</v>
      </c>
      <c r="G745" s="219"/>
    </row>
    <row r="746">
      <c r="A746" s="218">
        <f t="shared" si="1"/>
        <v>745</v>
      </c>
      <c r="B746" s="218" t="s">
        <v>201</v>
      </c>
      <c r="C746" s="218" t="s">
        <v>1886</v>
      </c>
      <c r="D746" s="218" t="b">
        <v>1</v>
      </c>
      <c r="E746" s="219" t="b">
        <v>0</v>
      </c>
      <c r="F746" s="219" t="b">
        <v>0</v>
      </c>
      <c r="G746" s="219"/>
    </row>
    <row r="747">
      <c r="A747" s="218">
        <f t="shared" si="1"/>
        <v>746</v>
      </c>
      <c r="B747" s="218" t="s">
        <v>201</v>
      </c>
      <c r="C747" s="218" t="s">
        <v>2133</v>
      </c>
      <c r="D747" s="218" t="b">
        <v>1</v>
      </c>
      <c r="E747" s="219" t="b">
        <v>0</v>
      </c>
      <c r="F747" s="219" t="b">
        <v>0</v>
      </c>
      <c r="G747" s="219"/>
    </row>
    <row r="748">
      <c r="A748" s="218">
        <f t="shared" si="1"/>
        <v>747</v>
      </c>
      <c r="B748" s="218" t="s">
        <v>201</v>
      </c>
      <c r="C748" s="218" t="s">
        <v>2515</v>
      </c>
      <c r="D748" s="218" t="b">
        <v>1</v>
      </c>
      <c r="E748" s="219" t="b">
        <v>0</v>
      </c>
      <c r="F748" s="219" t="b">
        <v>0</v>
      </c>
      <c r="G748" s="219"/>
    </row>
    <row r="749">
      <c r="A749" s="218">
        <f t="shared" si="1"/>
        <v>748</v>
      </c>
      <c r="B749" s="218" t="s">
        <v>201</v>
      </c>
      <c r="C749" s="218" t="s">
        <v>2527</v>
      </c>
      <c r="D749" s="218" t="b">
        <v>1</v>
      </c>
      <c r="E749" s="219" t="b">
        <v>0</v>
      </c>
      <c r="F749" s="219" t="b">
        <v>0</v>
      </c>
      <c r="G749" s="219"/>
    </row>
    <row r="750">
      <c r="A750" s="218">
        <f t="shared" si="1"/>
        <v>749</v>
      </c>
      <c r="B750" s="218" t="s">
        <v>201</v>
      </c>
      <c r="C750" s="218" t="s">
        <v>2532</v>
      </c>
      <c r="D750" s="218" t="b">
        <v>1</v>
      </c>
      <c r="E750" s="219" t="b">
        <v>0</v>
      </c>
      <c r="F750" s="219" t="b">
        <v>0</v>
      </c>
      <c r="G750" s="219"/>
    </row>
    <row r="751">
      <c r="A751" s="218">
        <f t="shared" si="1"/>
        <v>750</v>
      </c>
      <c r="B751" s="218" t="s">
        <v>201</v>
      </c>
      <c r="C751" s="218" t="s">
        <v>2537</v>
      </c>
      <c r="D751" s="218" t="b">
        <v>1</v>
      </c>
      <c r="E751" s="219" t="b">
        <v>0</v>
      </c>
      <c r="F751" s="219" t="b">
        <v>0</v>
      </c>
      <c r="G751" s="219"/>
    </row>
    <row r="752">
      <c r="A752" s="218">
        <f t="shared" si="1"/>
        <v>751</v>
      </c>
      <c r="B752" s="218" t="s">
        <v>201</v>
      </c>
      <c r="C752" s="218" t="s">
        <v>2177</v>
      </c>
      <c r="D752" s="218" t="b">
        <v>1</v>
      </c>
      <c r="E752" s="219" t="b">
        <v>0</v>
      </c>
      <c r="F752" s="219" t="b">
        <v>0</v>
      </c>
      <c r="G752" s="219"/>
    </row>
    <row r="753">
      <c r="A753" s="218">
        <f t="shared" si="1"/>
        <v>752</v>
      </c>
      <c r="B753" s="218" t="s">
        <v>201</v>
      </c>
      <c r="C753" s="218" t="s">
        <v>2182</v>
      </c>
      <c r="D753" s="218" t="b">
        <v>1</v>
      </c>
      <c r="E753" s="219" t="b">
        <v>0</v>
      </c>
      <c r="F753" s="219" t="b">
        <v>0</v>
      </c>
      <c r="G753" s="219"/>
    </row>
    <row r="754">
      <c r="A754" s="218">
        <f t="shared" si="1"/>
        <v>753</v>
      </c>
      <c r="B754" s="218" t="s">
        <v>201</v>
      </c>
      <c r="C754" s="218" t="s">
        <v>1753</v>
      </c>
      <c r="D754" s="218" t="b">
        <v>1</v>
      </c>
      <c r="E754" s="219" t="b">
        <v>0</v>
      </c>
      <c r="F754" s="219" t="b">
        <v>0</v>
      </c>
      <c r="G754" s="219"/>
    </row>
    <row r="755">
      <c r="A755" s="218">
        <f t="shared" si="1"/>
        <v>754</v>
      </c>
      <c r="B755" s="218" t="s">
        <v>201</v>
      </c>
      <c r="C755" s="218" t="s">
        <v>3612</v>
      </c>
      <c r="D755" s="218" t="b">
        <v>1</v>
      </c>
      <c r="E755" s="219" t="b">
        <v>0</v>
      </c>
      <c r="F755" s="219" t="b">
        <v>0</v>
      </c>
      <c r="G755" s="219"/>
    </row>
    <row r="756">
      <c r="A756" s="218">
        <f t="shared" si="1"/>
        <v>755</v>
      </c>
      <c r="B756" s="218" t="s">
        <v>201</v>
      </c>
      <c r="C756" s="218" t="s">
        <v>3617</v>
      </c>
      <c r="D756" s="218" t="b">
        <v>1</v>
      </c>
      <c r="E756" s="219" t="b">
        <v>0</v>
      </c>
      <c r="F756" s="219" t="b">
        <v>0</v>
      </c>
      <c r="G756" s="219"/>
    </row>
    <row r="757">
      <c r="A757" s="218">
        <f t="shared" si="1"/>
        <v>756</v>
      </c>
      <c r="B757" s="218" t="s">
        <v>201</v>
      </c>
      <c r="C757" s="218" t="s">
        <v>3652</v>
      </c>
      <c r="D757" s="218" t="b">
        <v>1</v>
      </c>
      <c r="E757" s="219" t="b">
        <v>0</v>
      </c>
      <c r="F757" s="219" t="b">
        <v>0</v>
      </c>
      <c r="G757" s="219"/>
    </row>
    <row r="758">
      <c r="A758" s="218">
        <f t="shared" si="1"/>
        <v>757</v>
      </c>
      <c r="B758" s="218" t="s">
        <v>201</v>
      </c>
      <c r="C758" s="218" t="s">
        <v>3525</v>
      </c>
      <c r="D758" s="218" t="b">
        <v>1</v>
      </c>
      <c r="E758" s="219" t="b">
        <v>0</v>
      </c>
      <c r="F758" s="219" t="b">
        <v>0</v>
      </c>
      <c r="G758" s="219"/>
    </row>
    <row r="759">
      <c r="A759" s="218">
        <f t="shared" si="1"/>
        <v>758</v>
      </c>
      <c r="B759" s="218" t="s">
        <v>201</v>
      </c>
      <c r="C759" s="218" t="s">
        <v>3598</v>
      </c>
      <c r="D759" s="218" t="b">
        <v>1</v>
      </c>
      <c r="E759" s="219" t="b">
        <v>0</v>
      </c>
      <c r="F759" s="219" t="b">
        <v>0</v>
      </c>
      <c r="G759" s="219"/>
    </row>
    <row r="760">
      <c r="A760" s="218">
        <f t="shared" si="1"/>
        <v>759</v>
      </c>
      <c r="B760" s="218" t="s">
        <v>201</v>
      </c>
      <c r="C760" s="218" t="s">
        <v>3535</v>
      </c>
      <c r="D760" s="218" t="b">
        <v>1</v>
      </c>
      <c r="E760" s="219" t="b">
        <v>0</v>
      </c>
      <c r="F760" s="219" t="b">
        <v>0</v>
      </c>
      <c r="G760" s="219"/>
    </row>
    <row r="761">
      <c r="A761" s="218">
        <f t="shared" si="1"/>
        <v>760</v>
      </c>
      <c r="B761" s="218" t="s">
        <v>201</v>
      </c>
      <c r="C761" s="218" t="s">
        <v>3437</v>
      </c>
      <c r="D761" s="218" t="b">
        <v>1</v>
      </c>
      <c r="E761" s="219" t="b">
        <v>0</v>
      </c>
      <c r="F761" s="219" t="b">
        <v>0</v>
      </c>
      <c r="G761" s="219"/>
    </row>
    <row r="762">
      <c r="A762" s="218">
        <f t="shared" si="1"/>
        <v>761</v>
      </c>
      <c r="B762" s="218" t="s">
        <v>201</v>
      </c>
      <c r="C762" s="218" t="s">
        <v>4100</v>
      </c>
      <c r="D762" s="218" t="b">
        <v>1</v>
      </c>
      <c r="E762" s="219" t="b">
        <v>0</v>
      </c>
      <c r="F762" s="219" t="b">
        <v>0</v>
      </c>
      <c r="G762" s="219"/>
    </row>
    <row r="763">
      <c r="A763" s="218">
        <f t="shared" si="1"/>
        <v>762</v>
      </c>
      <c r="B763" s="218" t="s">
        <v>201</v>
      </c>
      <c r="C763" s="218" t="s">
        <v>4091</v>
      </c>
      <c r="D763" s="218" t="b">
        <v>1</v>
      </c>
      <c r="E763" s="219" t="b">
        <v>0</v>
      </c>
      <c r="F763" s="219" t="b">
        <v>0</v>
      </c>
      <c r="G763" s="219"/>
    </row>
    <row r="764">
      <c r="A764" s="218">
        <f t="shared" si="1"/>
        <v>763</v>
      </c>
      <c r="B764" s="218" t="s">
        <v>201</v>
      </c>
      <c r="C764" s="218" t="s">
        <v>3442</v>
      </c>
      <c r="D764" s="218" t="b">
        <v>1</v>
      </c>
      <c r="E764" s="219" t="b">
        <v>0</v>
      </c>
      <c r="F764" s="219" t="b">
        <v>0</v>
      </c>
      <c r="G764" s="219"/>
    </row>
    <row r="765">
      <c r="A765" s="218">
        <f t="shared" si="1"/>
        <v>764</v>
      </c>
      <c r="B765" s="218" t="s">
        <v>201</v>
      </c>
      <c r="C765" s="218" t="s">
        <v>3706</v>
      </c>
      <c r="D765" s="218" t="b">
        <v>1</v>
      </c>
      <c r="E765" s="219" t="b">
        <v>0</v>
      </c>
      <c r="F765" s="219" t="b">
        <v>0</v>
      </c>
      <c r="G765" s="219"/>
    </row>
    <row r="766">
      <c r="A766" s="218">
        <f t="shared" si="1"/>
        <v>765</v>
      </c>
      <c r="B766" s="218" t="s">
        <v>201</v>
      </c>
      <c r="C766" s="218" t="s">
        <v>3419</v>
      </c>
      <c r="D766" s="218" t="b">
        <v>1</v>
      </c>
      <c r="E766" s="219" t="b">
        <v>0</v>
      </c>
      <c r="F766" s="219" t="b">
        <v>0</v>
      </c>
      <c r="G766" s="219"/>
    </row>
    <row r="767">
      <c r="A767" s="218">
        <f t="shared" si="1"/>
        <v>766</v>
      </c>
      <c r="B767" s="218" t="s">
        <v>201</v>
      </c>
      <c r="C767" s="218" t="s">
        <v>3447</v>
      </c>
      <c r="D767" s="218" t="b">
        <v>1</v>
      </c>
      <c r="E767" s="219" t="b">
        <v>0</v>
      </c>
      <c r="F767" s="219" t="b">
        <v>0</v>
      </c>
      <c r="G767" s="219"/>
    </row>
    <row r="768">
      <c r="A768" s="218">
        <f t="shared" si="1"/>
        <v>767</v>
      </c>
      <c r="B768" s="218" t="s">
        <v>201</v>
      </c>
      <c r="C768" s="218" t="s">
        <v>3447</v>
      </c>
      <c r="D768" s="218" t="b">
        <v>1</v>
      </c>
      <c r="E768" s="219" t="b">
        <v>0</v>
      </c>
      <c r="F768" s="219" t="b">
        <v>0</v>
      </c>
      <c r="G768" s="219"/>
    </row>
    <row r="769">
      <c r="A769" s="218">
        <f t="shared" si="1"/>
        <v>768</v>
      </c>
      <c r="B769" s="218" t="s">
        <v>201</v>
      </c>
      <c r="C769" s="218" t="s">
        <v>3638</v>
      </c>
      <c r="D769" s="218" t="b">
        <v>1</v>
      </c>
      <c r="E769" s="219" t="b">
        <v>0</v>
      </c>
      <c r="F769" s="219" t="b">
        <v>0</v>
      </c>
      <c r="G769" s="219"/>
    </row>
    <row r="770">
      <c r="A770" s="218">
        <f t="shared" si="1"/>
        <v>769</v>
      </c>
      <c r="B770" s="218" t="s">
        <v>201</v>
      </c>
      <c r="C770" s="218" t="s">
        <v>3530</v>
      </c>
      <c r="D770" s="218" t="b">
        <v>1</v>
      </c>
      <c r="E770" s="219" t="b">
        <v>0</v>
      </c>
      <c r="F770" s="219" t="b">
        <v>0</v>
      </c>
      <c r="G770" s="219"/>
    </row>
    <row r="771">
      <c r="A771" s="218">
        <f t="shared" si="1"/>
        <v>770</v>
      </c>
      <c r="B771" s="218" t="s">
        <v>201</v>
      </c>
      <c r="C771" s="218" t="s">
        <v>3593</v>
      </c>
      <c r="D771" s="218" t="b">
        <v>1</v>
      </c>
      <c r="E771" s="219" t="b">
        <v>0</v>
      </c>
      <c r="F771" s="219" t="b">
        <v>0</v>
      </c>
      <c r="G771" s="219"/>
    </row>
    <row r="772">
      <c r="A772" s="218">
        <f t="shared" si="1"/>
        <v>771</v>
      </c>
      <c r="B772" s="218" t="s">
        <v>201</v>
      </c>
      <c r="C772" s="218" t="s">
        <v>3676</v>
      </c>
      <c r="D772" s="218" t="b">
        <v>1</v>
      </c>
      <c r="E772" s="219" t="b">
        <v>0</v>
      </c>
      <c r="F772" s="219" t="b">
        <v>0</v>
      </c>
      <c r="G772" s="219"/>
    </row>
    <row r="773">
      <c r="A773" s="218">
        <f t="shared" si="1"/>
        <v>772</v>
      </c>
      <c r="B773" s="218" t="s">
        <v>201</v>
      </c>
      <c r="C773" s="218" t="s">
        <v>3577</v>
      </c>
      <c r="D773" s="218" t="b">
        <v>1</v>
      </c>
      <c r="E773" s="219" t="b">
        <v>0</v>
      </c>
      <c r="F773" s="219" t="b">
        <v>0</v>
      </c>
      <c r="G773" s="219"/>
    </row>
    <row r="774">
      <c r="A774" s="218">
        <f t="shared" si="1"/>
        <v>773</v>
      </c>
      <c r="B774" s="218" t="s">
        <v>201</v>
      </c>
      <c r="C774" s="218" t="s">
        <v>3462</v>
      </c>
      <c r="D774" s="218" t="b">
        <v>1</v>
      </c>
      <c r="E774" s="219" t="b">
        <v>0</v>
      </c>
      <c r="F774" s="219" t="b">
        <v>0</v>
      </c>
      <c r="G774" s="219"/>
    </row>
    <row r="775">
      <c r="A775" s="218">
        <f t="shared" si="1"/>
        <v>774</v>
      </c>
      <c r="B775" s="218" t="s">
        <v>201</v>
      </c>
      <c r="C775" s="218" t="s">
        <v>4121</v>
      </c>
      <c r="D775" s="218" t="b">
        <v>1</v>
      </c>
      <c r="E775" s="219" t="b">
        <v>0</v>
      </c>
      <c r="F775" s="219" t="b">
        <v>0</v>
      </c>
      <c r="G775" s="219"/>
    </row>
    <row r="776">
      <c r="A776" s="218">
        <f t="shared" si="1"/>
        <v>775</v>
      </c>
      <c r="B776" s="218" t="s">
        <v>201</v>
      </c>
      <c r="C776" s="218" t="s">
        <v>4116</v>
      </c>
      <c r="D776" s="218" t="b">
        <v>1</v>
      </c>
      <c r="E776" s="219" t="b">
        <v>0</v>
      </c>
      <c r="F776" s="219" t="b">
        <v>0</v>
      </c>
      <c r="G776" s="219"/>
    </row>
    <row r="777">
      <c r="A777" s="218">
        <f t="shared" si="1"/>
        <v>776</v>
      </c>
      <c r="B777" s="218" t="s">
        <v>201</v>
      </c>
      <c r="C777" s="218" t="s">
        <v>3481</v>
      </c>
      <c r="D777" s="218" t="b">
        <v>1</v>
      </c>
      <c r="E777" s="219" t="b">
        <v>0</v>
      </c>
      <c r="F777" s="219" t="b">
        <v>0</v>
      </c>
      <c r="G777" s="219"/>
    </row>
    <row r="778">
      <c r="A778" s="218">
        <f t="shared" si="1"/>
        <v>777</v>
      </c>
      <c r="B778" s="218" t="s">
        <v>201</v>
      </c>
      <c r="C778" s="218" t="s">
        <v>3424</v>
      </c>
      <c r="D778" s="218" t="b">
        <v>1</v>
      </c>
      <c r="E778" s="219" t="b">
        <v>0</v>
      </c>
      <c r="F778" s="219" t="b">
        <v>0</v>
      </c>
      <c r="G778" s="219"/>
    </row>
    <row r="779">
      <c r="A779" s="218">
        <f t="shared" si="1"/>
        <v>778</v>
      </c>
      <c r="B779" s="218" t="s">
        <v>201</v>
      </c>
      <c r="C779" s="218" t="s">
        <v>3428</v>
      </c>
      <c r="D779" s="218" t="b">
        <v>1</v>
      </c>
      <c r="E779" s="219" t="b">
        <v>0</v>
      </c>
      <c r="F779" s="219" t="b">
        <v>0</v>
      </c>
      <c r="G779" s="219"/>
    </row>
    <row r="780">
      <c r="A780" s="218">
        <f t="shared" si="1"/>
        <v>779</v>
      </c>
      <c r="B780" s="218" t="s">
        <v>201</v>
      </c>
      <c r="C780" s="218" t="s">
        <v>3428</v>
      </c>
      <c r="D780" s="218" t="b">
        <v>1</v>
      </c>
      <c r="E780" s="219" t="b">
        <v>0</v>
      </c>
      <c r="F780" s="219" t="b">
        <v>0</v>
      </c>
      <c r="G780" s="219"/>
    </row>
    <row r="781">
      <c r="A781" s="218">
        <f t="shared" si="1"/>
        <v>780</v>
      </c>
      <c r="B781" s="218" t="s">
        <v>201</v>
      </c>
      <c r="C781" s="218" t="s">
        <v>3432</v>
      </c>
      <c r="D781" s="218" t="b">
        <v>1</v>
      </c>
      <c r="E781" s="219" t="b">
        <v>0</v>
      </c>
      <c r="F781" s="219" t="b">
        <v>0</v>
      </c>
      <c r="G781" s="219"/>
    </row>
    <row r="782">
      <c r="A782" s="218">
        <f t="shared" si="1"/>
        <v>781</v>
      </c>
      <c r="B782" s="218" t="s">
        <v>201</v>
      </c>
      <c r="C782" s="218" t="s">
        <v>3432</v>
      </c>
      <c r="D782" s="218" t="b">
        <v>1</v>
      </c>
      <c r="E782" s="219" t="b">
        <v>0</v>
      </c>
      <c r="F782" s="219" t="b">
        <v>0</v>
      </c>
      <c r="G782" s="219"/>
    </row>
    <row r="783">
      <c r="A783" s="218">
        <f t="shared" si="1"/>
        <v>782</v>
      </c>
      <c r="B783" s="218" t="s">
        <v>201</v>
      </c>
      <c r="C783" s="218" t="s">
        <v>3374</v>
      </c>
      <c r="D783" s="218" t="b">
        <v>1</v>
      </c>
      <c r="E783" s="219" t="b">
        <v>0</v>
      </c>
      <c r="F783" s="219" t="b">
        <v>0</v>
      </c>
      <c r="G783" s="219"/>
    </row>
    <row r="784">
      <c r="A784" s="218">
        <f t="shared" si="1"/>
        <v>783</v>
      </c>
      <c r="B784" s="218" t="s">
        <v>201</v>
      </c>
      <c r="C784" s="218" t="s">
        <v>3486</v>
      </c>
      <c r="D784" s="218" t="b">
        <v>1</v>
      </c>
      <c r="E784" s="219" t="b">
        <v>0</v>
      </c>
      <c r="F784" s="219" t="b">
        <v>0</v>
      </c>
      <c r="G784" s="219"/>
    </row>
    <row r="785">
      <c r="A785" s="218">
        <f t="shared" si="1"/>
        <v>784</v>
      </c>
      <c r="B785" s="218" t="s">
        <v>201</v>
      </c>
      <c r="C785" s="218" t="s">
        <v>3495</v>
      </c>
      <c r="D785" s="218" t="b">
        <v>1</v>
      </c>
      <c r="E785" s="219" t="b">
        <v>0</v>
      </c>
      <c r="F785" s="219" t="b">
        <v>0</v>
      </c>
      <c r="G785" s="219"/>
    </row>
    <row r="786">
      <c r="A786" s="218">
        <f t="shared" si="1"/>
        <v>785</v>
      </c>
      <c r="B786" s="218" t="s">
        <v>201</v>
      </c>
      <c r="C786" s="218" t="s">
        <v>3551</v>
      </c>
      <c r="D786" s="218" t="b">
        <v>1</v>
      </c>
      <c r="E786" s="219" t="b">
        <v>0</v>
      </c>
      <c r="F786" s="219" t="b">
        <v>0</v>
      </c>
      <c r="G786" s="219"/>
    </row>
    <row r="787">
      <c r="A787" s="218">
        <f t="shared" si="1"/>
        <v>786</v>
      </c>
      <c r="B787" s="218" t="s">
        <v>201</v>
      </c>
      <c r="C787" s="218" t="s">
        <v>3603</v>
      </c>
      <c r="D787" s="218" t="b">
        <v>1</v>
      </c>
      <c r="E787" s="219" t="b">
        <v>0</v>
      </c>
      <c r="F787" s="219" t="b">
        <v>0</v>
      </c>
      <c r="G787" s="219"/>
    </row>
    <row r="788">
      <c r="A788" s="218">
        <f t="shared" si="1"/>
        <v>787</v>
      </c>
      <c r="B788" s="218" t="s">
        <v>201</v>
      </c>
      <c r="C788" s="218" t="s">
        <v>3588</v>
      </c>
      <c r="D788" s="218" t="b">
        <v>1</v>
      </c>
      <c r="E788" s="219" t="b">
        <v>0</v>
      </c>
      <c r="F788" s="219" t="b">
        <v>0</v>
      </c>
      <c r="G788" s="219"/>
    </row>
    <row r="789">
      <c r="A789" s="218">
        <f t="shared" si="1"/>
        <v>788</v>
      </c>
      <c r="B789" s="218" t="s">
        <v>201</v>
      </c>
      <c r="C789" s="218" t="s">
        <v>3538</v>
      </c>
      <c r="D789" s="218" t="b">
        <v>1</v>
      </c>
      <c r="E789" s="219" t="b">
        <v>0</v>
      </c>
      <c r="F789" s="219" t="b">
        <v>0</v>
      </c>
      <c r="G789" s="219"/>
    </row>
    <row r="790">
      <c r="A790" s="218">
        <f t="shared" si="1"/>
        <v>789</v>
      </c>
      <c r="B790" s="218" t="s">
        <v>201</v>
      </c>
      <c r="C790" s="218" t="s">
        <v>4111</v>
      </c>
      <c r="D790" s="218" t="b">
        <v>1</v>
      </c>
      <c r="E790" s="219" t="b">
        <v>0</v>
      </c>
      <c r="F790" s="219" t="b">
        <v>0</v>
      </c>
      <c r="G790" s="219"/>
    </row>
    <row r="791">
      <c r="A791" s="218">
        <f t="shared" si="1"/>
        <v>790</v>
      </c>
      <c r="B791" s="218" t="s">
        <v>201</v>
      </c>
      <c r="C791" s="218" t="s">
        <v>4095</v>
      </c>
      <c r="D791" s="218" t="b">
        <v>1</v>
      </c>
      <c r="E791" s="219" t="b">
        <v>0</v>
      </c>
      <c r="F791" s="219" t="b">
        <v>0</v>
      </c>
      <c r="G791" s="219"/>
    </row>
    <row r="792">
      <c r="A792" s="218">
        <f t="shared" si="1"/>
        <v>791</v>
      </c>
      <c r="B792" s="218" t="s">
        <v>201</v>
      </c>
      <c r="C792" s="218" t="s">
        <v>4129</v>
      </c>
      <c r="D792" s="218" t="b">
        <v>1</v>
      </c>
      <c r="E792" s="219" t="b">
        <v>0</v>
      </c>
      <c r="F792" s="219" t="b">
        <v>0</v>
      </c>
      <c r="G792" s="219"/>
    </row>
    <row r="793">
      <c r="A793" s="218">
        <f t="shared" si="1"/>
        <v>792</v>
      </c>
      <c r="B793" s="218" t="s">
        <v>201</v>
      </c>
      <c r="C793" s="218" t="s">
        <v>4135</v>
      </c>
      <c r="D793" s="218" t="b">
        <v>1</v>
      </c>
      <c r="E793" s="219" t="b">
        <v>0</v>
      </c>
      <c r="F793" s="219" t="b">
        <v>0</v>
      </c>
      <c r="G793" s="219"/>
    </row>
    <row r="794">
      <c r="A794" s="218">
        <f t="shared" si="1"/>
        <v>793</v>
      </c>
      <c r="B794" s="218" t="s">
        <v>201</v>
      </c>
      <c r="C794" s="218" t="s">
        <v>3681</v>
      </c>
      <c r="D794" s="218" t="b">
        <v>1</v>
      </c>
      <c r="E794" s="219" t="b">
        <v>0</v>
      </c>
      <c r="F794" s="219" t="b">
        <v>0</v>
      </c>
      <c r="G794" s="219"/>
    </row>
    <row r="795">
      <c r="A795" s="218">
        <f t="shared" si="1"/>
        <v>794</v>
      </c>
      <c r="B795" s="218" t="s">
        <v>201</v>
      </c>
      <c r="C795" s="218" t="s">
        <v>3452</v>
      </c>
      <c r="D795" s="218" t="b">
        <v>1</v>
      </c>
      <c r="E795" s="219" t="b">
        <v>0</v>
      </c>
      <c r="F795" s="219" t="b">
        <v>0</v>
      </c>
      <c r="G795" s="219"/>
    </row>
    <row r="796">
      <c r="A796" s="218">
        <f t="shared" si="1"/>
        <v>795</v>
      </c>
      <c r="B796" s="218" t="s">
        <v>201</v>
      </c>
      <c r="C796" s="218" t="s">
        <v>3520</v>
      </c>
      <c r="D796" s="218" t="b">
        <v>1</v>
      </c>
      <c r="E796" s="219" t="b">
        <v>0</v>
      </c>
      <c r="F796" s="219" t="b">
        <v>0</v>
      </c>
      <c r="G796" s="219"/>
    </row>
    <row r="797">
      <c r="A797" s="218">
        <f t="shared" si="1"/>
        <v>796</v>
      </c>
      <c r="B797" s="218" t="s">
        <v>201</v>
      </c>
      <c r="C797" s="218" t="s">
        <v>3510</v>
      </c>
      <c r="D797" s="218" t="b">
        <v>1</v>
      </c>
      <c r="E797" s="219" t="b">
        <v>0</v>
      </c>
      <c r="F797" s="219" t="b">
        <v>0</v>
      </c>
      <c r="G797" s="219"/>
    </row>
    <row r="798">
      <c r="A798" s="218">
        <f t="shared" si="1"/>
        <v>797</v>
      </c>
      <c r="B798" s="218" t="s">
        <v>201</v>
      </c>
      <c r="C798" s="218" t="s">
        <v>3584</v>
      </c>
      <c r="D798" s="218" t="b">
        <v>1</v>
      </c>
      <c r="E798" s="219" t="b">
        <v>0</v>
      </c>
      <c r="F798" s="219" t="b">
        <v>0</v>
      </c>
      <c r="G798" s="219"/>
    </row>
    <row r="799">
      <c r="A799" s="218">
        <f t="shared" si="1"/>
        <v>798</v>
      </c>
      <c r="B799" s="218" t="s">
        <v>201</v>
      </c>
      <c r="C799" s="218" t="s">
        <v>3491</v>
      </c>
      <c r="D799" s="218" t="b">
        <v>1</v>
      </c>
      <c r="E799" s="219" t="b">
        <v>0</v>
      </c>
      <c r="F799" s="219" t="b">
        <v>0</v>
      </c>
      <c r="G799" s="219"/>
    </row>
    <row r="800">
      <c r="A800" s="218">
        <f t="shared" si="1"/>
        <v>799</v>
      </c>
      <c r="B800" s="218" t="s">
        <v>201</v>
      </c>
      <c r="C800" s="218" t="s">
        <v>3505</v>
      </c>
      <c r="D800" s="218" t="b">
        <v>1</v>
      </c>
      <c r="E800" s="219" t="b">
        <v>0</v>
      </c>
      <c r="F800" s="219" t="b">
        <v>0</v>
      </c>
      <c r="G800" s="219"/>
    </row>
    <row r="801">
      <c r="A801" s="218">
        <f t="shared" si="1"/>
        <v>800</v>
      </c>
      <c r="B801" s="218" t="s">
        <v>201</v>
      </c>
      <c r="C801" s="218" t="s">
        <v>3500</v>
      </c>
      <c r="D801" s="218" t="b">
        <v>1</v>
      </c>
      <c r="E801" s="219" t="b">
        <v>0</v>
      </c>
      <c r="F801" s="219" t="b">
        <v>0</v>
      </c>
      <c r="G801" s="219"/>
    </row>
    <row r="802">
      <c r="A802" s="218">
        <f t="shared" si="1"/>
        <v>801</v>
      </c>
      <c r="B802" s="218" t="s">
        <v>201</v>
      </c>
      <c r="C802" s="218" t="s">
        <v>3543</v>
      </c>
      <c r="D802" s="218" t="b">
        <v>1</v>
      </c>
      <c r="E802" s="219" t="b">
        <v>0</v>
      </c>
      <c r="F802" s="219" t="b">
        <v>0</v>
      </c>
      <c r="G802" s="219"/>
    </row>
    <row r="803">
      <c r="A803" s="218">
        <f t="shared" si="1"/>
        <v>802</v>
      </c>
      <c r="B803" s="218" t="s">
        <v>201</v>
      </c>
      <c r="C803" s="218" t="s">
        <v>3389</v>
      </c>
      <c r="D803" s="218" t="b">
        <v>1</v>
      </c>
      <c r="E803" s="219" t="b">
        <v>0</v>
      </c>
      <c r="F803" s="219" t="b">
        <v>0</v>
      </c>
      <c r="G803" s="219"/>
    </row>
    <row r="804">
      <c r="A804" s="218">
        <f t="shared" si="1"/>
        <v>803</v>
      </c>
      <c r="B804" s="218" t="s">
        <v>201</v>
      </c>
      <c r="C804" s="218" t="s">
        <v>3457</v>
      </c>
      <c r="D804" s="218" t="b">
        <v>1</v>
      </c>
      <c r="E804" s="219" t="b">
        <v>0</v>
      </c>
      <c r="F804" s="219" t="b">
        <v>0</v>
      </c>
      <c r="G804" s="219"/>
    </row>
    <row r="805">
      <c r="A805" s="218">
        <f t="shared" si="1"/>
        <v>804</v>
      </c>
      <c r="B805" s="218" t="s">
        <v>201</v>
      </c>
      <c r="C805" s="218" t="s">
        <v>3379</v>
      </c>
      <c r="D805" s="218" t="b">
        <v>1</v>
      </c>
      <c r="E805" s="219" t="b">
        <v>0</v>
      </c>
      <c r="F805" s="219" t="b">
        <v>0</v>
      </c>
      <c r="G805" s="219"/>
    </row>
    <row r="806">
      <c r="A806" s="218">
        <f t="shared" si="1"/>
        <v>805</v>
      </c>
      <c r="B806" s="218" t="s">
        <v>201</v>
      </c>
      <c r="C806" s="218" t="s">
        <v>3472</v>
      </c>
      <c r="D806" s="218" t="b">
        <v>1</v>
      </c>
      <c r="E806" s="219" t="b">
        <v>0</v>
      </c>
      <c r="F806" s="219" t="b">
        <v>0</v>
      </c>
      <c r="G806" s="219"/>
    </row>
    <row r="807">
      <c r="A807" s="218">
        <f t="shared" si="1"/>
        <v>806</v>
      </c>
      <c r="B807" s="218" t="s">
        <v>201</v>
      </c>
      <c r="C807" s="218" t="s">
        <v>3798</v>
      </c>
      <c r="D807" s="218" t="b">
        <v>1</v>
      </c>
      <c r="E807" s="219" t="b">
        <v>0</v>
      </c>
      <c r="F807" s="219" t="b">
        <v>0</v>
      </c>
      <c r="G807" s="219"/>
    </row>
    <row r="808">
      <c r="A808" s="218">
        <f t="shared" si="1"/>
        <v>807</v>
      </c>
      <c r="B808" s="218" t="s">
        <v>201</v>
      </c>
      <c r="C808" s="218" t="s">
        <v>3966</v>
      </c>
      <c r="D808" s="218" t="b">
        <v>1</v>
      </c>
      <c r="E808" s="219" t="b">
        <v>0</v>
      </c>
      <c r="F808" s="219" t="b">
        <v>0</v>
      </c>
      <c r="G808" s="219"/>
    </row>
    <row r="809">
      <c r="A809" s="218">
        <f t="shared" si="1"/>
        <v>808</v>
      </c>
      <c r="B809" s="218" t="s">
        <v>201</v>
      </c>
      <c r="C809" s="218" t="s">
        <v>3867</v>
      </c>
      <c r="D809" s="218" t="b">
        <v>1</v>
      </c>
      <c r="E809" s="219" t="b">
        <v>0</v>
      </c>
      <c r="F809" s="219" t="b">
        <v>0</v>
      </c>
      <c r="G809" s="219"/>
    </row>
    <row r="810">
      <c r="A810" s="218">
        <f t="shared" si="1"/>
        <v>809</v>
      </c>
      <c r="B810" s="218" t="s">
        <v>201</v>
      </c>
      <c r="C810" s="218" t="s">
        <v>3933</v>
      </c>
      <c r="D810" s="218" t="b">
        <v>1</v>
      </c>
      <c r="E810" s="219" t="b">
        <v>0</v>
      </c>
      <c r="F810" s="219" t="b">
        <v>0</v>
      </c>
      <c r="G810" s="219"/>
    </row>
    <row r="811">
      <c r="A811" s="218">
        <f t="shared" si="1"/>
        <v>810</v>
      </c>
      <c r="B811" s="218" t="s">
        <v>201</v>
      </c>
      <c r="C811" s="218" t="s">
        <v>3951</v>
      </c>
      <c r="D811" s="218" t="b">
        <v>1</v>
      </c>
      <c r="E811" s="219" t="b">
        <v>0</v>
      </c>
      <c r="F811" s="219" t="b">
        <v>0</v>
      </c>
      <c r="G811" s="219"/>
    </row>
    <row r="812">
      <c r="A812" s="218">
        <f t="shared" si="1"/>
        <v>811</v>
      </c>
      <c r="B812" s="218" t="s">
        <v>201</v>
      </c>
      <c r="C812" s="218" t="s">
        <v>4026</v>
      </c>
      <c r="D812" s="218" t="b">
        <v>1</v>
      </c>
      <c r="E812" s="219" t="b">
        <v>0</v>
      </c>
      <c r="F812" s="219" t="b">
        <v>0</v>
      </c>
      <c r="G812" s="219"/>
    </row>
    <row r="813">
      <c r="A813" s="218">
        <f t="shared" si="1"/>
        <v>812</v>
      </c>
      <c r="B813" s="218" t="s">
        <v>201</v>
      </c>
      <c r="C813" s="218" t="s">
        <v>3851</v>
      </c>
      <c r="D813" s="218" t="b">
        <v>1</v>
      </c>
      <c r="E813" s="219" t="b">
        <v>0</v>
      </c>
      <c r="F813" s="219" t="b">
        <v>0</v>
      </c>
      <c r="G813" s="219"/>
    </row>
    <row r="814">
      <c r="A814" s="218">
        <f t="shared" si="1"/>
        <v>813</v>
      </c>
      <c r="B814" s="218" t="s">
        <v>201</v>
      </c>
      <c r="C814" s="218" t="s">
        <v>3882</v>
      </c>
      <c r="D814" s="218" t="b">
        <v>1</v>
      </c>
      <c r="E814" s="219" t="b">
        <v>0</v>
      </c>
      <c r="F814" s="219" t="b">
        <v>0</v>
      </c>
      <c r="G814" s="219"/>
    </row>
    <row r="815">
      <c r="A815" s="218">
        <f t="shared" si="1"/>
        <v>814</v>
      </c>
      <c r="B815" s="218" t="s">
        <v>201</v>
      </c>
      <c r="C815" s="218" t="s">
        <v>3746</v>
      </c>
      <c r="D815" s="218" t="b">
        <v>1</v>
      </c>
      <c r="E815" s="219" t="b">
        <v>0</v>
      </c>
      <c r="F815" s="219" t="b">
        <v>0</v>
      </c>
      <c r="G815" s="219"/>
    </row>
    <row r="816">
      <c r="A816" s="218">
        <f t="shared" si="1"/>
        <v>815</v>
      </c>
      <c r="B816" s="218" t="s">
        <v>201</v>
      </c>
      <c r="C816" s="218" t="s">
        <v>3775</v>
      </c>
      <c r="D816" s="218" t="b">
        <v>1</v>
      </c>
      <c r="E816" s="219" t="b">
        <v>0</v>
      </c>
      <c r="F816" s="219" t="b">
        <v>0</v>
      </c>
      <c r="G816" s="219"/>
    </row>
    <row r="817">
      <c r="A817" s="218">
        <f t="shared" si="1"/>
        <v>816</v>
      </c>
      <c r="B817" s="218" t="s">
        <v>201</v>
      </c>
      <c r="C817" s="218" t="s">
        <v>3775</v>
      </c>
      <c r="D817" s="218" t="b">
        <v>1</v>
      </c>
      <c r="E817" s="219" t="b">
        <v>0</v>
      </c>
      <c r="F817" s="219" t="b">
        <v>0</v>
      </c>
      <c r="G817" s="219"/>
    </row>
    <row r="818">
      <c r="A818" s="218">
        <f t="shared" si="1"/>
        <v>817</v>
      </c>
      <c r="B818" s="218" t="s">
        <v>201</v>
      </c>
      <c r="C818" s="218" t="s">
        <v>3981</v>
      </c>
      <c r="D818" s="218" t="b">
        <v>1</v>
      </c>
      <c r="E818" s="219" t="b">
        <v>0</v>
      </c>
      <c r="F818" s="219" t="b">
        <v>0</v>
      </c>
      <c r="G818" s="219"/>
    </row>
    <row r="819">
      <c r="A819" s="218">
        <f t="shared" si="1"/>
        <v>818</v>
      </c>
      <c r="B819" s="218" t="s">
        <v>201</v>
      </c>
      <c r="C819" s="218" t="s">
        <v>3986</v>
      </c>
      <c r="D819" s="218" t="b">
        <v>1</v>
      </c>
      <c r="E819" s="219" t="b">
        <v>0</v>
      </c>
      <c r="F819" s="219" t="b">
        <v>0</v>
      </c>
      <c r="G819" s="219"/>
    </row>
    <row r="820">
      <c r="A820" s="218">
        <f t="shared" si="1"/>
        <v>819</v>
      </c>
      <c r="B820" s="218" t="s">
        <v>201</v>
      </c>
      <c r="C820" s="218" t="s">
        <v>4022</v>
      </c>
      <c r="D820" s="218" t="b">
        <v>1</v>
      </c>
      <c r="E820" s="219" t="b">
        <v>0</v>
      </c>
      <c r="F820" s="219" t="b">
        <v>0</v>
      </c>
      <c r="G820" s="219"/>
    </row>
    <row r="821">
      <c r="A821" s="218">
        <f t="shared" si="1"/>
        <v>820</v>
      </c>
      <c r="B821" s="218" t="s">
        <v>201</v>
      </c>
      <c r="C821" s="218" t="s">
        <v>4016</v>
      </c>
      <c r="D821" s="218" t="b">
        <v>1</v>
      </c>
      <c r="E821" s="219" t="b">
        <v>0</v>
      </c>
      <c r="F821" s="219" t="b">
        <v>0</v>
      </c>
      <c r="G821" s="219"/>
    </row>
    <row r="822">
      <c r="A822" s="218">
        <f t="shared" si="1"/>
        <v>821</v>
      </c>
      <c r="B822" s="218" t="s">
        <v>201</v>
      </c>
      <c r="C822" s="218" t="s">
        <v>3711</v>
      </c>
      <c r="D822" s="218" t="b">
        <v>1</v>
      </c>
      <c r="E822" s="219" t="b">
        <v>0</v>
      </c>
      <c r="F822" s="219" t="b">
        <v>0</v>
      </c>
      <c r="G822" s="219"/>
    </row>
    <row r="823">
      <c r="A823" s="218">
        <f t="shared" si="1"/>
        <v>822</v>
      </c>
      <c r="B823" s="218" t="s">
        <v>201</v>
      </c>
      <c r="C823" s="218" t="s">
        <v>3863</v>
      </c>
      <c r="D823" s="218" t="b">
        <v>1</v>
      </c>
      <c r="E823" s="219" t="b">
        <v>0</v>
      </c>
      <c r="F823" s="219" t="b">
        <v>0</v>
      </c>
      <c r="G823" s="219"/>
    </row>
    <row r="824">
      <c r="A824" s="218">
        <f t="shared" si="1"/>
        <v>823</v>
      </c>
      <c r="B824" s="218" t="s">
        <v>201</v>
      </c>
      <c r="C824" s="218" t="s">
        <v>3971</v>
      </c>
      <c r="D824" s="218" t="b">
        <v>1</v>
      </c>
      <c r="E824" s="219" t="b">
        <v>0</v>
      </c>
      <c r="F824" s="219" t="b">
        <v>0</v>
      </c>
      <c r="G824" s="219"/>
    </row>
    <row r="825">
      <c r="A825" s="218">
        <f t="shared" si="1"/>
        <v>824</v>
      </c>
      <c r="B825" s="218" t="s">
        <v>201</v>
      </c>
      <c r="C825" s="218" t="s">
        <v>3923</v>
      </c>
      <c r="D825" s="218" t="b">
        <v>1</v>
      </c>
      <c r="E825" s="219" t="b">
        <v>0</v>
      </c>
      <c r="F825" s="219" t="b">
        <v>0</v>
      </c>
      <c r="G825" s="219"/>
    </row>
    <row r="826">
      <c r="A826" s="218">
        <f t="shared" si="1"/>
        <v>825</v>
      </c>
      <c r="B826" s="218" t="s">
        <v>201</v>
      </c>
      <c r="C826" s="218" t="s">
        <v>3918</v>
      </c>
      <c r="D826" s="218" t="b">
        <v>1</v>
      </c>
      <c r="E826" s="219" t="b">
        <v>0</v>
      </c>
      <c r="F826" s="219" t="b">
        <v>0</v>
      </c>
      <c r="G826" s="219"/>
    </row>
    <row r="827">
      <c r="A827" s="218">
        <f t="shared" si="1"/>
        <v>826</v>
      </c>
      <c r="B827" s="218" t="s">
        <v>201</v>
      </c>
      <c r="C827" s="218" t="s">
        <v>3962</v>
      </c>
      <c r="D827" s="218" t="b">
        <v>1</v>
      </c>
      <c r="E827" s="219" t="b">
        <v>0</v>
      </c>
      <c r="F827" s="219" t="b">
        <v>0</v>
      </c>
      <c r="G827" s="219"/>
    </row>
    <row r="828">
      <c r="A828" s="218">
        <f t="shared" si="1"/>
        <v>827</v>
      </c>
      <c r="B828" s="218" t="s">
        <v>201</v>
      </c>
      <c r="C828" s="218" t="s">
        <v>6804</v>
      </c>
      <c r="D828" s="218" t="b">
        <v>1</v>
      </c>
      <c r="E828" s="219" t="b">
        <v>0</v>
      </c>
      <c r="F828" s="219" t="b">
        <v>0</v>
      </c>
      <c r="G828" s="219"/>
    </row>
    <row r="829">
      <c r="A829" s="218">
        <f t="shared" si="1"/>
        <v>828</v>
      </c>
      <c r="B829" s="218" t="s">
        <v>201</v>
      </c>
      <c r="C829" s="218" t="s">
        <v>3997</v>
      </c>
      <c r="D829" s="218" t="b">
        <v>1</v>
      </c>
      <c r="E829" s="219" t="b">
        <v>0</v>
      </c>
      <c r="F829" s="219" t="b">
        <v>0</v>
      </c>
      <c r="G829" s="219"/>
    </row>
    <row r="830">
      <c r="A830" s="218">
        <f t="shared" si="1"/>
        <v>829</v>
      </c>
      <c r="B830" s="218" t="s">
        <v>201</v>
      </c>
      <c r="C830" s="218" t="s">
        <v>4032</v>
      </c>
      <c r="D830" s="218" t="b">
        <v>1</v>
      </c>
      <c r="E830" s="219" t="b">
        <v>0</v>
      </c>
      <c r="F830" s="219" t="b">
        <v>0</v>
      </c>
      <c r="G830" s="219"/>
    </row>
    <row r="831">
      <c r="A831" s="218">
        <f t="shared" si="1"/>
        <v>830</v>
      </c>
      <c r="B831" s="218" t="s">
        <v>201</v>
      </c>
      <c r="C831" s="218" t="s">
        <v>3872</v>
      </c>
      <c r="D831" s="218" t="b">
        <v>1</v>
      </c>
      <c r="E831" s="219" t="b">
        <v>0</v>
      </c>
      <c r="F831" s="219" t="b">
        <v>0</v>
      </c>
      <c r="G831" s="219"/>
    </row>
    <row r="832">
      <c r="A832" s="218">
        <f t="shared" si="1"/>
        <v>831</v>
      </c>
      <c r="B832" s="218" t="s">
        <v>201</v>
      </c>
      <c r="C832" s="218" t="s">
        <v>3858</v>
      </c>
      <c r="D832" s="218" t="b">
        <v>1</v>
      </c>
      <c r="E832" s="219" t="b">
        <v>0</v>
      </c>
      <c r="F832" s="219" t="b">
        <v>0</v>
      </c>
      <c r="G832" s="219"/>
    </row>
    <row r="833">
      <c r="A833" s="218">
        <f t="shared" si="1"/>
        <v>832</v>
      </c>
      <c r="B833" s="218" t="s">
        <v>201</v>
      </c>
      <c r="C833" s="218" t="s">
        <v>3819</v>
      </c>
      <c r="D833" s="218" t="b">
        <v>1</v>
      </c>
      <c r="E833" s="219" t="b">
        <v>0</v>
      </c>
      <c r="F833" s="219" t="b">
        <v>0</v>
      </c>
      <c r="G833" s="219"/>
    </row>
    <row r="834">
      <c r="A834" s="218">
        <f t="shared" si="1"/>
        <v>833</v>
      </c>
      <c r="B834" s="218" t="s">
        <v>201</v>
      </c>
      <c r="C834" s="218" t="s">
        <v>3902</v>
      </c>
      <c r="D834" s="218" t="b">
        <v>1</v>
      </c>
      <c r="E834" s="219" t="b">
        <v>0</v>
      </c>
      <c r="F834" s="219" t="b">
        <v>0</v>
      </c>
      <c r="G834" s="219"/>
    </row>
    <row r="835">
      <c r="A835" s="218">
        <f t="shared" si="1"/>
        <v>834</v>
      </c>
      <c r="B835" s="218" t="s">
        <v>201</v>
      </c>
      <c r="C835" s="218" t="s">
        <v>3892</v>
      </c>
      <c r="D835" s="218" t="b">
        <v>1</v>
      </c>
      <c r="E835" s="219" t="b">
        <v>0</v>
      </c>
      <c r="F835" s="219" t="b">
        <v>0</v>
      </c>
      <c r="G835" s="219"/>
    </row>
    <row r="836">
      <c r="A836" s="218">
        <f t="shared" si="1"/>
        <v>835</v>
      </c>
      <c r="B836" s="218" t="s">
        <v>201</v>
      </c>
      <c r="C836" s="218" t="s">
        <v>3887</v>
      </c>
      <c r="D836" s="218" t="b">
        <v>1</v>
      </c>
      <c r="E836" s="219" t="b">
        <v>0</v>
      </c>
      <c r="F836" s="219" t="b">
        <v>0</v>
      </c>
      <c r="G836" s="219"/>
    </row>
    <row r="837">
      <c r="A837" s="218">
        <f t="shared" si="1"/>
        <v>836</v>
      </c>
      <c r="B837" s="218" t="s">
        <v>201</v>
      </c>
      <c r="C837" s="218" t="s">
        <v>3824</v>
      </c>
      <c r="D837" s="218" t="b">
        <v>1</v>
      </c>
      <c r="E837" s="219" t="b">
        <v>0</v>
      </c>
      <c r="F837" s="219" t="b">
        <v>0</v>
      </c>
      <c r="G837" s="219"/>
    </row>
    <row r="838">
      <c r="A838" s="218">
        <f t="shared" si="1"/>
        <v>837</v>
      </c>
      <c r="B838" s="218" t="s">
        <v>201</v>
      </c>
      <c r="C838" s="218" t="s">
        <v>3736</v>
      </c>
      <c r="D838" s="218" t="b">
        <v>1</v>
      </c>
      <c r="E838" s="219" t="b">
        <v>0</v>
      </c>
      <c r="F838" s="219" t="b">
        <v>0</v>
      </c>
      <c r="G838" s="219"/>
    </row>
    <row r="839">
      <c r="A839" s="218">
        <f t="shared" si="1"/>
        <v>838</v>
      </c>
      <c r="B839" s="218" t="s">
        <v>201</v>
      </c>
      <c r="C839" s="218" t="s">
        <v>3726</v>
      </c>
      <c r="D839" s="218" t="b">
        <v>1</v>
      </c>
      <c r="E839" s="219" t="b">
        <v>0</v>
      </c>
      <c r="F839" s="219" t="b">
        <v>0</v>
      </c>
      <c r="G839" s="219"/>
    </row>
    <row r="840">
      <c r="A840" s="218">
        <f t="shared" si="1"/>
        <v>839</v>
      </c>
      <c r="B840" s="218" t="s">
        <v>201</v>
      </c>
      <c r="C840" s="218" t="s">
        <v>3808</v>
      </c>
      <c r="D840" s="218" t="b">
        <v>1</v>
      </c>
      <c r="E840" s="219" t="b">
        <v>0</v>
      </c>
      <c r="F840" s="219" t="b">
        <v>0</v>
      </c>
      <c r="G840" s="219"/>
    </row>
    <row r="841">
      <c r="A841" s="218">
        <f t="shared" si="1"/>
        <v>840</v>
      </c>
      <c r="B841" s="218" t="s">
        <v>201</v>
      </c>
      <c r="C841" s="218" t="s">
        <v>3741</v>
      </c>
      <c r="D841" s="218" t="b">
        <v>1</v>
      </c>
      <c r="E841" s="219" t="b">
        <v>0</v>
      </c>
      <c r="F841" s="219" t="b">
        <v>0</v>
      </c>
      <c r="G841" s="219"/>
    </row>
    <row r="842">
      <c r="A842" s="218">
        <f t="shared" si="1"/>
        <v>841</v>
      </c>
      <c r="B842" s="218" t="s">
        <v>201</v>
      </c>
      <c r="C842" s="218" t="s">
        <v>3847</v>
      </c>
      <c r="D842" s="218" t="b">
        <v>1</v>
      </c>
      <c r="E842" s="219" t="b">
        <v>0</v>
      </c>
      <c r="F842" s="219" t="b">
        <v>0</v>
      </c>
      <c r="G842" s="219"/>
    </row>
    <row r="843">
      <c r="A843" s="218">
        <f t="shared" si="1"/>
        <v>842</v>
      </c>
      <c r="B843" s="218" t="s">
        <v>201</v>
      </c>
      <c r="C843" s="218" t="s">
        <v>3791</v>
      </c>
      <c r="D843" s="218" t="b">
        <v>1</v>
      </c>
      <c r="E843" s="219" t="b">
        <v>0</v>
      </c>
      <c r="F843" s="219" t="b">
        <v>0</v>
      </c>
      <c r="G843" s="219"/>
    </row>
    <row r="844">
      <c r="A844" s="218">
        <f t="shared" si="1"/>
        <v>843</v>
      </c>
      <c r="B844" s="218" t="s">
        <v>201</v>
      </c>
      <c r="C844" s="218" t="s">
        <v>3913</v>
      </c>
      <c r="D844" s="218" t="b">
        <v>1</v>
      </c>
      <c r="E844" s="219" t="b">
        <v>0</v>
      </c>
      <c r="F844" s="219" t="b">
        <v>0</v>
      </c>
      <c r="G844" s="219"/>
    </row>
    <row r="845">
      <c r="A845" s="218">
        <f t="shared" si="1"/>
        <v>844</v>
      </c>
      <c r="B845" s="218" t="s">
        <v>201</v>
      </c>
      <c r="C845" s="218" t="s">
        <v>3761</v>
      </c>
      <c r="D845" s="218" t="b">
        <v>1</v>
      </c>
      <c r="E845" s="219" t="b">
        <v>0</v>
      </c>
      <c r="F845" s="219" t="b">
        <v>0</v>
      </c>
      <c r="G845" s="219"/>
    </row>
    <row r="846">
      <c r="A846" s="218">
        <f t="shared" si="1"/>
        <v>845</v>
      </c>
      <c r="B846" s="218" t="s">
        <v>201</v>
      </c>
      <c r="C846" s="218" t="s">
        <v>3803</v>
      </c>
      <c r="D846" s="218" t="b">
        <v>1</v>
      </c>
      <c r="E846" s="219" t="b">
        <v>0</v>
      </c>
      <c r="F846" s="219" t="b">
        <v>0</v>
      </c>
      <c r="G846" s="219"/>
    </row>
    <row r="847">
      <c r="A847" s="218">
        <f t="shared" si="1"/>
        <v>846</v>
      </c>
      <c r="B847" s="218" t="s">
        <v>201</v>
      </c>
      <c r="C847" s="218" t="s">
        <v>3767</v>
      </c>
      <c r="D847" s="218" t="b">
        <v>1</v>
      </c>
      <c r="E847" s="219" t="b">
        <v>0</v>
      </c>
      <c r="F847" s="219" t="b">
        <v>0</v>
      </c>
      <c r="G847" s="219"/>
    </row>
    <row r="848">
      <c r="A848" s="218">
        <f t="shared" si="1"/>
        <v>847</v>
      </c>
      <c r="B848" s="218" t="s">
        <v>201</v>
      </c>
      <c r="C848" s="218" t="s">
        <v>3992</v>
      </c>
      <c r="D848" s="218" t="b">
        <v>1</v>
      </c>
      <c r="E848" s="219" t="b">
        <v>0</v>
      </c>
      <c r="F848" s="219" t="b">
        <v>0</v>
      </c>
      <c r="G848" s="219"/>
    </row>
    <row r="849">
      <c r="A849" s="218">
        <f t="shared" si="1"/>
        <v>848</v>
      </c>
      <c r="B849" s="218" t="s">
        <v>201</v>
      </c>
      <c r="C849" s="218" t="s">
        <v>3938</v>
      </c>
      <c r="D849" s="218" t="b">
        <v>1</v>
      </c>
      <c r="E849" s="219" t="b">
        <v>0</v>
      </c>
      <c r="F849" s="219" t="b">
        <v>0</v>
      </c>
      <c r="G849" s="219"/>
    </row>
    <row r="850">
      <c r="A850" s="218">
        <f t="shared" si="1"/>
        <v>849</v>
      </c>
      <c r="B850" s="218" t="s">
        <v>201</v>
      </c>
      <c r="C850" s="218" t="s">
        <v>3781</v>
      </c>
      <c r="D850" s="218" t="b">
        <v>1</v>
      </c>
      <c r="E850" s="219" t="b">
        <v>0</v>
      </c>
      <c r="F850" s="219" t="b">
        <v>0</v>
      </c>
      <c r="G850" s="219"/>
    </row>
    <row r="851">
      <c r="A851" s="218">
        <f t="shared" si="1"/>
        <v>850</v>
      </c>
      <c r="B851" s="218" t="s">
        <v>201</v>
      </c>
      <c r="C851" s="218" t="s">
        <v>3813</v>
      </c>
      <c r="D851" s="218" t="b">
        <v>1</v>
      </c>
      <c r="E851" s="219" t="b">
        <v>0</v>
      </c>
      <c r="F851" s="219" t="b">
        <v>0</v>
      </c>
      <c r="G851" s="219"/>
    </row>
    <row r="852">
      <c r="A852" s="218">
        <f t="shared" si="1"/>
        <v>851</v>
      </c>
      <c r="B852" s="218" t="s">
        <v>201</v>
      </c>
      <c r="C852" s="218" t="s">
        <v>3907</v>
      </c>
      <c r="D852" s="218" t="b">
        <v>1</v>
      </c>
      <c r="E852" s="219" t="b">
        <v>0</v>
      </c>
      <c r="F852" s="219" t="b">
        <v>0</v>
      </c>
      <c r="G852" s="219"/>
    </row>
    <row r="853">
      <c r="A853" s="218">
        <f t="shared" si="1"/>
        <v>852</v>
      </c>
      <c r="B853" s="218" t="s">
        <v>201</v>
      </c>
      <c r="C853" s="218" t="s">
        <v>3877</v>
      </c>
      <c r="D853" s="218" t="b">
        <v>1</v>
      </c>
      <c r="E853" s="219" t="b">
        <v>0</v>
      </c>
      <c r="F853" s="219" t="b">
        <v>0</v>
      </c>
      <c r="G853" s="219"/>
    </row>
    <row r="854">
      <c r="A854" s="218">
        <f t="shared" si="1"/>
        <v>853</v>
      </c>
      <c r="B854" s="218" t="s">
        <v>201</v>
      </c>
      <c r="C854" s="218" t="s">
        <v>3834</v>
      </c>
      <c r="D854" s="218" t="b">
        <v>1</v>
      </c>
      <c r="E854" s="219" t="b">
        <v>0</v>
      </c>
      <c r="F854" s="219" t="b">
        <v>0</v>
      </c>
      <c r="G854" s="219"/>
    </row>
    <row r="855">
      <c r="A855" s="218">
        <f t="shared" si="1"/>
        <v>854</v>
      </c>
      <c r="B855" s="218" t="s">
        <v>201</v>
      </c>
      <c r="C855" s="218" t="s">
        <v>3830</v>
      </c>
      <c r="D855" s="218" t="b">
        <v>1</v>
      </c>
      <c r="E855" s="219" t="b">
        <v>0</v>
      </c>
      <c r="F855" s="219" t="b">
        <v>0</v>
      </c>
      <c r="G855" s="219"/>
    </row>
    <row r="856">
      <c r="A856" s="218">
        <f t="shared" si="1"/>
        <v>855</v>
      </c>
      <c r="B856" s="218" t="s">
        <v>201</v>
      </c>
      <c r="C856" s="218" t="s">
        <v>4982</v>
      </c>
      <c r="D856" s="218" t="b">
        <v>1</v>
      </c>
      <c r="E856" s="219" t="b">
        <v>0</v>
      </c>
      <c r="F856" s="219" t="b">
        <v>0</v>
      </c>
      <c r="G856" s="219"/>
    </row>
    <row r="857">
      <c r="A857" s="218">
        <f t="shared" si="1"/>
        <v>856</v>
      </c>
      <c r="B857" s="218" t="s">
        <v>201</v>
      </c>
      <c r="C857" s="218" t="s">
        <v>5098</v>
      </c>
      <c r="D857" s="218" t="b">
        <v>1</v>
      </c>
      <c r="E857" s="219" t="b">
        <v>0</v>
      </c>
      <c r="F857" s="219" t="b">
        <v>0</v>
      </c>
      <c r="G857" s="219"/>
    </row>
    <row r="858">
      <c r="A858" s="218">
        <f t="shared" si="1"/>
        <v>857</v>
      </c>
      <c r="B858" s="218" t="s">
        <v>201</v>
      </c>
      <c r="C858" s="218" t="s">
        <v>4957</v>
      </c>
      <c r="D858" s="218" t="b">
        <v>1</v>
      </c>
      <c r="E858" s="219" t="b">
        <v>0</v>
      </c>
      <c r="F858" s="219" t="b">
        <v>0</v>
      </c>
      <c r="G858" s="219"/>
    </row>
    <row r="859">
      <c r="A859" s="218">
        <f t="shared" si="1"/>
        <v>858</v>
      </c>
      <c r="B859" s="218" t="s">
        <v>201</v>
      </c>
      <c r="C859" s="218" t="s">
        <v>4048</v>
      </c>
      <c r="D859" s="218" t="b">
        <v>1</v>
      </c>
      <c r="E859" s="219" t="b">
        <v>0</v>
      </c>
      <c r="F859" s="219" t="b">
        <v>0</v>
      </c>
      <c r="G859" s="219"/>
    </row>
    <row r="860">
      <c r="A860" s="218">
        <f t="shared" si="1"/>
        <v>859</v>
      </c>
      <c r="B860" s="218" t="s">
        <v>201</v>
      </c>
      <c r="C860" s="218" t="s">
        <v>5048</v>
      </c>
      <c r="D860" s="218" t="b">
        <v>1</v>
      </c>
      <c r="E860" s="219" t="b">
        <v>0</v>
      </c>
      <c r="F860" s="219" t="b">
        <v>0</v>
      </c>
      <c r="G860" s="219"/>
    </row>
    <row r="861">
      <c r="A861" s="218">
        <f t="shared" si="1"/>
        <v>860</v>
      </c>
      <c r="B861" s="218" t="s">
        <v>201</v>
      </c>
      <c r="C861" s="218" t="s">
        <v>4952</v>
      </c>
      <c r="D861" s="218" t="b">
        <v>1</v>
      </c>
      <c r="E861" s="219" t="b">
        <v>0</v>
      </c>
      <c r="F861" s="219" t="b">
        <v>0</v>
      </c>
      <c r="G861" s="219"/>
    </row>
    <row r="862">
      <c r="A862" s="218">
        <f t="shared" si="1"/>
        <v>861</v>
      </c>
      <c r="B862" s="218" t="s">
        <v>201</v>
      </c>
      <c r="C862" s="218" t="s">
        <v>5067</v>
      </c>
      <c r="D862" s="218" t="b">
        <v>1</v>
      </c>
      <c r="E862" s="219" t="b">
        <v>0</v>
      </c>
      <c r="F862" s="219" t="b">
        <v>0</v>
      </c>
      <c r="G862" s="219"/>
    </row>
    <row r="863">
      <c r="A863" s="218">
        <f t="shared" si="1"/>
        <v>862</v>
      </c>
      <c r="B863" s="218" t="s">
        <v>201</v>
      </c>
      <c r="C863" s="218" t="s">
        <v>5040</v>
      </c>
      <c r="D863" s="218" t="b">
        <v>1</v>
      </c>
      <c r="E863" s="219" t="b">
        <v>0</v>
      </c>
      <c r="F863" s="219" t="b">
        <v>0</v>
      </c>
      <c r="G863" s="219"/>
    </row>
    <row r="864">
      <c r="A864" s="218">
        <f t="shared" si="1"/>
        <v>863</v>
      </c>
      <c r="B864" s="218" t="s">
        <v>201</v>
      </c>
      <c r="C864" s="218" t="s">
        <v>4967</v>
      </c>
      <c r="D864" s="218" t="b">
        <v>1</v>
      </c>
      <c r="E864" s="219" t="b">
        <v>0</v>
      </c>
      <c r="F864" s="219" t="b">
        <v>0</v>
      </c>
      <c r="G864" s="219"/>
    </row>
    <row r="865">
      <c r="A865" s="218">
        <f t="shared" si="1"/>
        <v>864</v>
      </c>
      <c r="B865" s="218" t="s">
        <v>201</v>
      </c>
      <c r="C865" s="218" t="s">
        <v>5017</v>
      </c>
      <c r="D865" s="218" t="b">
        <v>1</v>
      </c>
      <c r="E865" s="219" t="b">
        <v>0</v>
      </c>
      <c r="F865" s="219" t="b">
        <v>0</v>
      </c>
      <c r="G865" s="219"/>
    </row>
    <row r="866">
      <c r="A866" s="218">
        <f t="shared" si="1"/>
        <v>865</v>
      </c>
      <c r="B866" s="218" t="s">
        <v>201</v>
      </c>
      <c r="C866" s="218" t="s">
        <v>4901</v>
      </c>
      <c r="D866" s="218" t="b">
        <v>1</v>
      </c>
      <c r="E866" s="219" t="b">
        <v>0</v>
      </c>
      <c r="F866" s="219" t="b">
        <v>0</v>
      </c>
      <c r="G866" s="219"/>
    </row>
    <row r="867">
      <c r="A867" s="218">
        <f t="shared" si="1"/>
        <v>866</v>
      </c>
      <c r="B867" s="218" t="s">
        <v>201</v>
      </c>
      <c r="C867" s="218" t="s">
        <v>5082</v>
      </c>
      <c r="D867" s="218" t="b">
        <v>1</v>
      </c>
      <c r="E867" s="219" t="b">
        <v>0</v>
      </c>
      <c r="F867" s="219" t="b">
        <v>0</v>
      </c>
      <c r="G867" s="219"/>
    </row>
    <row r="868">
      <c r="A868" s="218">
        <f t="shared" si="1"/>
        <v>867</v>
      </c>
      <c r="B868" s="218" t="s">
        <v>201</v>
      </c>
      <c r="C868" s="218" t="s">
        <v>5076</v>
      </c>
      <c r="D868" s="218" t="b">
        <v>1</v>
      </c>
      <c r="E868" s="219" t="b">
        <v>0</v>
      </c>
      <c r="F868" s="219" t="b">
        <v>0</v>
      </c>
      <c r="G868" s="219"/>
    </row>
    <row r="869">
      <c r="A869" s="218">
        <f t="shared" si="1"/>
        <v>868</v>
      </c>
      <c r="B869" s="218" t="s">
        <v>201</v>
      </c>
      <c r="C869" s="218" t="s">
        <v>4944</v>
      </c>
      <c r="D869" s="218" t="b">
        <v>1</v>
      </c>
      <c r="E869" s="219" t="b">
        <v>0</v>
      </c>
      <c r="F869" s="219" t="b">
        <v>0</v>
      </c>
      <c r="G869" s="219"/>
    </row>
    <row r="870">
      <c r="A870" s="218">
        <f t="shared" si="1"/>
        <v>869</v>
      </c>
      <c r="B870" s="218" t="s">
        <v>201</v>
      </c>
      <c r="C870" s="218" t="s">
        <v>4987</v>
      </c>
      <c r="D870" s="218" t="b">
        <v>1</v>
      </c>
      <c r="E870" s="219" t="b">
        <v>0</v>
      </c>
      <c r="F870" s="219" t="b">
        <v>0</v>
      </c>
      <c r="G870" s="219"/>
    </row>
    <row r="871">
      <c r="A871" s="218">
        <f t="shared" si="1"/>
        <v>870</v>
      </c>
      <c r="B871" s="218" t="s">
        <v>201</v>
      </c>
      <c r="C871" s="218" t="s">
        <v>4058</v>
      </c>
      <c r="D871" s="218" t="b">
        <v>1</v>
      </c>
      <c r="E871" s="219" t="b">
        <v>0</v>
      </c>
      <c r="F871" s="219" t="b">
        <v>0</v>
      </c>
      <c r="G871" s="219"/>
    </row>
    <row r="872">
      <c r="A872" s="218">
        <f t="shared" si="1"/>
        <v>871</v>
      </c>
      <c r="B872" s="218" t="s">
        <v>201</v>
      </c>
      <c r="C872" s="218" t="s">
        <v>4043</v>
      </c>
      <c r="D872" s="218" t="b">
        <v>1</v>
      </c>
      <c r="E872" s="219" t="b">
        <v>0</v>
      </c>
      <c r="F872" s="219" t="b">
        <v>0</v>
      </c>
      <c r="G872" s="219"/>
    </row>
    <row r="873">
      <c r="A873" s="218">
        <f t="shared" si="1"/>
        <v>872</v>
      </c>
      <c r="B873" s="218" t="s">
        <v>201</v>
      </c>
      <c r="C873" s="218" t="s">
        <v>4977</v>
      </c>
      <c r="D873" s="218" t="b">
        <v>1</v>
      </c>
      <c r="E873" s="219" t="b">
        <v>0</v>
      </c>
      <c r="F873" s="219" t="b">
        <v>0</v>
      </c>
      <c r="G873" s="219"/>
    </row>
    <row r="874">
      <c r="A874" s="218">
        <f t="shared" si="1"/>
        <v>873</v>
      </c>
      <c r="B874" s="218" t="s">
        <v>201</v>
      </c>
      <c r="C874" s="218" t="s">
        <v>3942</v>
      </c>
      <c r="D874" s="218" t="b">
        <v>1</v>
      </c>
      <c r="E874" s="219" t="b">
        <v>0</v>
      </c>
      <c r="F874" s="219" t="b">
        <v>0</v>
      </c>
      <c r="G874" s="219"/>
    </row>
    <row r="875">
      <c r="A875" s="218">
        <f t="shared" si="1"/>
        <v>874</v>
      </c>
      <c r="B875" s="218" t="s">
        <v>201</v>
      </c>
      <c r="C875" s="218" t="s">
        <v>5036</v>
      </c>
      <c r="D875" s="218" t="b">
        <v>1</v>
      </c>
      <c r="E875" s="219" t="b">
        <v>0</v>
      </c>
      <c r="F875" s="219" t="b">
        <v>0</v>
      </c>
      <c r="G875" s="219"/>
    </row>
    <row r="876">
      <c r="A876" s="218">
        <f t="shared" si="1"/>
        <v>875</v>
      </c>
      <c r="B876" s="218" t="s">
        <v>201</v>
      </c>
      <c r="C876" s="218" t="s">
        <v>5012</v>
      </c>
      <c r="D876" s="218" t="b">
        <v>1</v>
      </c>
      <c r="E876" s="219" t="b">
        <v>0</v>
      </c>
      <c r="F876" s="219" t="b">
        <v>0</v>
      </c>
      <c r="G876" s="219"/>
    </row>
    <row r="877">
      <c r="A877" s="218">
        <f t="shared" si="1"/>
        <v>876</v>
      </c>
      <c r="B877" s="218" t="s">
        <v>201</v>
      </c>
      <c r="C877" s="218" t="s">
        <v>4064</v>
      </c>
      <c r="D877" s="218" t="b">
        <v>1</v>
      </c>
      <c r="E877" s="219" t="b">
        <v>0</v>
      </c>
      <c r="F877" s="219" t="b">
        <v>0</v>
      </c>
      <c r="G877" s="219"/>
    </row>
    <row r="878">
      <c r="A878" s="218">
        <f t="shared" si="1"/>
        <v>877</v>
      </c>
      <c r="B878" s="218" t="s">
        <v>201</v>
      </c>
      <c r="C878" s="218" t="s">
        <v>5102</v>
      </c>
      <c r="D878" s="218" t="b">
        <v>1</v>
      </c>
      <c r="E878" s="219" t="b">
        <v>0</v>
      </c>
      <c r="F878" s="219" t="b">
        <v>0</v>
      </c>
      <c r="G878" s="219"/>
    </row>
    <row r="879">
      <c r="A879" s="218">
        <f t="shared" si="1"/>
        <v>878</v>
      </c>
      <c r="B879" s="218" t="s">
        <v>201</v>
      </c>
      <c r="C879" s="218" t="s">
        <v>4889</v>
      </c>
      <c r="D879" s="218" t="b">
        <v>1</v>
      </c>
      <c r="E879" s="219" t="b">
        <v>0</v>
      </c>
      <c r="F879" s="219" t="b">
        <v>0</v>
      </c>
      <c r="G879" s="219"/>
    </row>
    <row r="880">
      <c r="A880" s="218">
        <f t="shared" si="1"/>
        <v>879</v>
      </c>
      <c r="B880" s="218" t="s">
        <v>201</v>
      </c>
      <c r="C880" s="218" t="s">
        <v>4871</v>
      </c>
      <c r="D880" s="218" t="b">
        <v>1</v>
      </c>
      <c r="E880" s="219" t="b">
        <v>0</v>
      </c>
      <c r="F880" s="219" t="b">
        <v>0</v>
      </c>
      <c r="G880" s="219"/>
    </row>
    <row r="881">
      <c r="A881" s="218">
        <f t="shared" si="1"/>
        <v>880</v>
      </c>
      <c r="B881" s="218" t="s">
        <v>201</v>
      </c>
      <c r="C881" s="218" t="s">
        <v>4863</v>
      </c>
      <c r="D881" s="218" t="b">
        <v>1</v>
      </c>
      <c r="E881" s="219" t="b">
        <v>0</v>
      </c>
      <c r="F881" s="219" t="b">
        <v>0</v>
      </c>
      <c r="G881" s="219"/>
    </row>
    <row r="882">
      <c r="A882" s="218">
        <f t="shared" si="1"/>
        <v>881</v>
      </c>
      <c r="B882" s="218" t="s">
        <v>201</v>
      </c>
      <c r="C882" s="218" t="s">
        <v>4896</v>
      </c>
      <c r="D882" s="218" t="b">
        <v>1</v>
      </c>
      <c r="E882" s="219" t="b">
        <v>0</v>
      </c>
      <c r="F882" s="219" t="b">
        <v>0</v>
      </c>
      <c r="G882" s="219"/>
    </row>
    <row r="883">
      <c r="A883" s="218">
        <f t="shared" si="1"/>
        <v>882</v>
      </c>
      <c r="B883" s="218" t="s">
        <v>201</v>
      </c>
      <c r="C883" s="218" t="s">
        <v>4880</v>
      </c>
      <c r="D883" s="218" t="b">
        <v>1</v>
      </c>
      <c r="E883" s="219" t="b">
        <v>0</v>
      </c>
      <c r="F883" s="219" t="b">
        <v>0</v>
      </c>
      <c r="G883" s="219"/>
    </row>
    <row r="884">
      <c r="A884" s="218">
        <f t="shared" si="1"/>
        <v>883</v>
      </c>
      <c r="B884" s="218" t="s">
        <v>201</v>
      </c>
      <c r="C884" s="218" t="s">
        <v>5007</v>
      </c>
      <c r="D884" s="218" t="b">
        <v>1</v>
      </c>
      <c r="E884" s="219" t="b">
        <v>0</v>
      </c>
      <c r="F884" s="219" t="b">
        <v>0</v>
      </c>
      <c r="G884" s="219"/>
    </row>
    <row r="885">
      <c r="A885" s="218">
        <f t="shared" si="1"/>
        <v>884</v>
      </c>
      <c r="B885" s="218" t="s">
        <v>201</v>
      </c>
      <c r="C885" s="218" t="s">
        <v>4962</v>
      </c>
      <c r="D885" s="218" t="b">
        <v>1</v>
      </c>
      <c r="E885" s="219" t="b">
        <v>0</v>
      </c>
      <c r="F885" s="219" t="b">
        <v>0</v>
      </c>
      <c r="G885" s="219"/>
    </row>
    <row r="886">
      <c r="A886" s="218">
        <f t="shared" si="1"/>
        <v>885</v>
      </c>
      <c r="B886" s="218" t="s">
        <v>201</v>
      </c>
      <c r="C886" s="218" t="s">
        <v>5150</v>
      </c>
      <c r="D886" s="218" t="b">
        <v>1</v>
      </c>
      <c r="E886" s="219" t="b">
        <v>0</v>
      </c>
      <c r="F886" s="219" t="b">
        <v>0</v>
      </c>
      <c r="G886" s="219"/>
    </row>
    <row r="887">
      <c r="A887" s="218">
        <f t="shared" si="1"/>
        <v>886</v>
      </c>
      <c r="B887" s="218" t="s">
        <v>201</v>
      </c>
      <c r="C887" s="218" t="s">
        <v>4993</v>
      </c>
      <c r="D887" s="218" t="b">
        <v>1</v>
      </c>
      <c r="E887" s="219" t="b">
        <v>0</v>
      </c>
      <c r="F887" s="219" t="b">
        <v>0</v>
      </c>
      <c r="G887" s="219"/>
    </row>
    <row r="888">
      <c r="A888" s="218">
        <f t="shared" si="1"/>
        <v>887</v>
      </c>
      <c r="B888" s="218" t="s">
        <v>201</v>
      </c>
      <c r="C888" s="218" t="s">
        <v>4913</v>
      </c>
      <c r="D888" s="218" t="b">
        <v>1</v>
      </c>
      <c r="E888" s="219" t="b">
        <v>0</v>
      </c>
      <c r="F888" s="219" t="b">
        <v>0</v>
      </c>
      <c r="G888" s="219"/>
    </row>
    <row r="889">
      <c r="A889" s="218">
        <f t="shared" si="1"/>
        <v>888</v>
      </c>
      <c r="B889" s="218" t="s">
        <v>201</v>
      </c>
      <c r="C889" s="218" t="s">
        <v>5072</v>
      </c>
      <c r="D889" s="218" t="b">
        <v>1</v>
      </c>
      <c r="E889" s="219" t="b">
        <v>0</v>
      </c>
      <c r="F889" s="219" t="b">
        <v>0</v>
      </c>
      <c r="G889" s="219"/>
    </row>
    <row r="890">
      <c r="A890" s="218">
        <f t="shared" si="1"/>
        <v>889</v>
      </c>
      <c r="B890" s="218" t="s">
        <v>201</v>
      </c>
      <c r="C890" s="218" t="s">
        <v>5087</v>
      </c>
      <c r="D890" s="218" t="b">
        <v>1</v>
      </c>
      <c r="E890" s="219" t="b">
        <v>0</v>
      </c>
      <c r="F890" s="219" t="b">
        <v>0</v>
      </c>
      <c r="G890" s="219"/>
    </row>
    <row r="891">
      <c r="A891" s="218">
        <f t="shared" si="1"/>
        <v>890</v>
      </c>
      <c r="B891" s="218" t="s">
        <v>201</v>
      </c>
      <c r="C891" s="218" t="s">
        <v>4037</v>
      </c>
      <c r="D891" s="218" t="b">
        <v>1</v>
      </c>
      <c r="E891" s="219" t="b">
        <v>0</v>
      </c>
      <c r="F891" s="219" t="b">
        <v>0</v>
      </c>
      <c r="G891" s="219"/>
    </row>
    <row r="892">
      <c r="A892" s="218">
        <f t="shared" si="1"/>
        <v>891</v>
      </c>
      <c r="B892" s="218" t="s">
        <v>201</v>
      </c>
      <c r="C892" s="218" t="s">
        <v>4906</v>
      </c>
      <c r="D892" s="218" t="b">
        <v>1</v>
      </c>
      <c r="E892" s="219" t="b">
        <v>0</v>
      </c>
      <c r="F892" s="219" t="b">
        <v>0</v>
      </c>
      <c r="G892" s="219"/>
    </row>
    <row r="893">
      <c r="A893" s="218">
        <f t="shared" si="1"/>
        <v>892</v>
      </c>
      <c r="B893" s="218" t="s">
        <v>201</v>
      </c>
      <c r="C893" s="218" t="s">
        <v>4906</v>
      </c>
      <c r="D893" s="218" t="b">
        <v>1</v>
      </c>
      <c r="E893" s="219" t="b">
        <v>0</v>
      </c>
      <c r="F893" s="219" t="b">
        <v>0</v>
      </c>
      <c r="G893" s="219"/>
    </row>
    <row r="894">
      <c r="A894" s="218">
        <f t="shared" si="1"/>
        <v>893</v>
      </c>
      <c r="B894" s="218" t="s">
        <v>201</v>
      </c>
      <c r="C894" s="218" t="s">
        <v>4939</v>
      </c>
      <c r="D894" s="218" t="b">
        <v>1</v>
      </c>
      <c r="E894" s="219" t="b">
        <v>0</v>
      </c>
      <c r="F894" s="219" t="b">
        <v>0</v>
      </c>
      <c r="G894" s="219"/>
    </row>
    <row r="895">
      <c r="A895" s="218">
        <f t="shared" si="1"/>
        <v>894</v>
      </c>
      <c r="B895" s="218" t="s">
        <v>201</v>
      </c>
      <c r="C895" s="218" t="s">
        <v>4948</v>
      </c>
      <c r="D895" s="218" t="b">
        <v>1</v>
      </c>
      <c r="E895" s="219" t="b">
        <v>0</v>
      </c>
      <c r="F895" s="219" t="b">
        <v>0</v>
      </c>
      <c r="G895" s="219"/>
    </row>
    <row r="896">
      <c r="A896" s="218">
        <f t="shared" si="1"/>
        <v>895</v>
      </c>
      <c r="B896" s="218" t="s">
        <v>201</v>
      </c>
      <c r="C896" s="218" t="s">
        <v>4932</v>
      </c>
      <c r="D896" s="218" t="b">
        <v>1</v>
      </c>
      <c r="E896" s="219" t="b">
        <v>0</v>
      </c>
      <c r="F896" s="219" t="b">
        <v>0</v>
      </c>
      <c r="G896" s="219"/>
    </row>
    <row r="897">
      <c r="A897" s="218">
        <f t="shared" si="1"/>
        <v>896</v>
      </c>
      <c r="B897" s="218" t="s">
        <v>201</v>
      </c>
      <c r="C897" s="218" t="s">
        <v>5056</v>
      </c>
      <c r="D897" s="218" t="b">
        <v>1</v>
      </c>
      <c r="E897" s="219" t="b">
        <v>0</v>
      </c>
      <c r="F897" s="219" t="b">
        <v>0</v>
      </c>
      <c r="G897" s="219"/>
    </row>
    <row r="898">
      <c r="A898" s="218">
        <f t="shared" si="1"/>
        <v>897</v>
      </c>
      <c r="B898" s="218" t="s">
        <v>201</v>
      </c>
      <c r="C898" s="218" t="s">
        <v>4927</v>
      </c>
      <c r="D898" s="218" t="b">
        <v>1</v>
      </c>
      <c r="E898" s="219" t="b">
        <v>0</v>
      </c>
      <c r="F898" s="219" t="b">
        <v>0</v>
      </c>
      <c r="G898" s="219"/>
    </row>
    <row r="899">
      <c r="A899" s="218">
        <f t="shared" si="1"/>
        <v>898</v>
      </c>
      <c r="B899" s="218" t="s">
        <v>201</v>
      </c>
      <c r="C899" s="218" t="s">
        <v>5092</v>
      </c>
      <c r="D899" s="218" t="b">
        <v>1</v>
      </c>
      <c r="E899" s="219" t="b">
        <v>0</v>
      </c>
      <c r="F899" s="219" t="b">
        <v>0</v>
      </c>
      <c r="G899" s="219"/>
    </row>
    <row r="900">
      <c r="A900" s="218">
        <f t="shared" si="1"/>
        <v>899</v>
      </c>
      <c r="B900" s="218" t="s">
        <v>201</v>
      </c>
      <c r="C900" s="218" t="s">
        <v>4918</v>
      </c>
      <c r="D900" s="218" t="b">
        <v>1</v>
      </c>
      <c r="E900" s="219" t="b">
        <v>0</v>
      </c>
      <c r="F900" s="219" t="b">
        <v>0</v>
      </c>
      <c r="G900" s="219"/>
    </row>
    <row r="901">
      <c r="A901" s="218">
        <f t="shared" si="1"/>
        <v>900</v>
      </c>
      <c r="B901" s="218" t="s">
        <v>201</v>
      </c>
      <c r="C901" s="218" t="s">
        <v>4722</v>
      </c>
      <c r="D901" s="218" t="b">
        <v>1</v>
      </c>
      <c r="E901" s="219" t="b">
        <v>0</v>
      </c>
      <c r="F901" s="219" t="b">
        <v>0</v>
      </c>
      <c r="G901" s="219"/>
    </row>
    <row r="902">
      <c r="A902" s="218">
        <f t="shared" si="1"/>
        <v>901</v>
      </c>
      <c r="B902" s="218" t="s">
        <v>201</v>
      </c>
      <c r="C902" s="218" t="s">
        <v>4664</v>
      </c>
      <c r="D902" s="218" t="b">
        <v>1</v>
      </c>
      <c r="E902" s="219" t="b">
        <v>0</v>
      </c>
      <c r="F902" s="219" t="b">
        <v>0</v>
      </c>
      <c r="G902" s="219"/>
    </row>
    <row r="903">
      <c r="A903" s="218">
        <f t="shared" si="1"/>
        <v>902</v>
      </c>
      <c r="B903" s="218" t="s">
        <v>201</v>
      </c>
      <c r="C903" s="218" t="s">
        <v>4655</v>
      </c>
      <c r="D903" s="218" t="b">
        <v>1</v>
      </c>
      <c r="E903" s="219" t="b">
        <v>0</v>
      </c>
      <c r="F903" s="219" t="b">
        <v>0</v>
      </c>
      <c r="G903" s="219"/>
    </row>
    <row r="904">
      <c r="A904" s="218">
        <f t="shared" si="1"/>
        <v>903</v>
      </c>
      <c r="B904" s="218" t="s">
        <v>201</v>
      </c>
      <c r="C904" s="218" t="s">
        <v>4692</v>
      </c>
      <c r="D904" s="218" t="b">
        <v>1</v>
      </c>
      <c r="E904" s="219" t="b">
        <v>0</v>
      </c>
      <c r="F904" s="219" t="b">
        <v>0</v>
      </c>
      <c r="G904" s="219"/>
    </row>
    <row r="905">
      <c r="A905" s="218">
        <f t="shared" si="1"/>
        <v>904</v>
      </c>
      <c r="B905" s="218" t="s">
        <v>201</v>
      </c>
      <c r="C905" s="218" t="s">
        <v>4683</v>
      </c>
      <c r="D905" s="218" t="b">
        <v>1</v>
      </c>
      <c r="E905" s="219" t="b">
        <v>0</v>
      </c>
      <c r="F905" s="219" t="b">
        <v>0</v>
      </c>
      <c r="G905" s="219"/>
    </row>
    <row r="906">
      <c r="A906" s="218">
        <f t="shared" si="1"/>
        <v>905</v>
      </c>
      <c r="B906" s="218" t="s">
        <v>201</v>
      </c>
      <c r="C906" s="218" t="s">
        <v>4772</v>
      </c>
      <c r="D906" s="218" t="b">
        <v>1</v>
      </c>
      <c r="E906" s="219" t="b">
        <v>0</v>
      </c>
      <c r="F906" s="219" t="b">
        <v>0</v>
      </c>
      <c r="G906" s="219"/>
    </row>
    <row r="907">
      <c r="A907" s="218">
        <f t="shared" si="1"/>
        <v>906</v>
      </c>
      <c r="B907" s="218" t="s">
        <v>201</v>
      </c>
      <c r="C907" s="218" t="s">
        <v>4749</v>
      </c>
      <c r="D907" s="218" t="b">
        <v>1</v>
      </c>
      <c r="E907" s="219" t="b">
        <v>0</v>
      </c>
      <c r="F907" s="219" t="b">
        <v>0</v>
      </c>
      <c r="G907" s="219"/>
    </row>
    <row r="908">
      <c r="A908" s="218">
        <f t="shared" si="1"/>
        <v>907</v>
      </c>
      <c r="B908" s="218" t="s">
        <v>201</v>
      </c>
      <c r="C908" s="218" t="s">
        <v>4784</v>
      </c>
      <c r="D908" s="218" t="b">
        <v>1</v>
      </c>
      <c r="E908" s="219" t="b">
        <v>0</v>
      </c>
      <c r="F908" s="219" t="b">
        <v>0</v>
      </c>
      <c r="G908" s="219"/>
    </row>
    <row r="909">
      <c r="A909" s="218">
        <f t="shared" si="1"/>
        <v>908</v>
      </c>
      <c r="B909" s="218" t="s">
        <v>201</v>
      </c>
      <c r="C909" s="218" t="s">
        <v>4795</v>
      </c>
      <c r="D909" s="218" t="b">
        <v>1</v>
      </c>
      <c r="E909" s="219" t="b">
        <v>0</v>
      </c>
      <c r="F909" s="219" t="b">
        <v>0</v>
      </c>
      <c r="G909" s="219"/>
    </row>
    <row r="910">
      <c r="A910" s="218">
        <f t="shared" si="1"/>
        <v>909</v>
      </c>
      <c r="B910" s="218" t="s">
        <v>201</v>
      </c>
      <c r="C910" s="218" t="s">
        <v>4147</v>
      </c>
      <c r="D910" s="218" t="b">
        <v>1</v>
      </c>
      <c r="E910" s="219" t="b">
        <v>0</v>
      </c>
      <c r="F910" s="219" t="b">
        <v>0</v>
      </c>
      <c r="G910" s="219"/>
    </row>
    <row r="911">
      <c r="A911" s="218">
        <f t="shared" si="1"/>
        <v>910</v>
      </c>
      <c r="B911" s="218" t="s">
        <v>201</v>
      </c>
      <c r="C911" s="218" t="s">
        <v>4817</v>
      </c>
      <c r="D911" s="218" t="b">
        <v>1</v>
      </c>
      <c r="E911" s="219" t="b">
        <v>0</v>
      </c>
      <c r="F911" s="219" t="b">
        <v>0</v>
      </c>
      <c r="G911" s="219"/>
    </row>
    <row r="912">
      <c r="A912" s="218">
        <f t="shared" si="1"/>
        <v>911</v>
      </c>
      <c r="B912" s="218" t="s">
        <v>201</v>
      </c>
      <c r="C912" s="218" t="s">
        <v>4703</v>
      </c>
      <c r="D912" s="218" t="b">
        <v>1</v>
      </c>
      <c r="E912" s="219" t="b">
        <v>0</v>
      </c>
      <c r="F912" s="219" t="b">
        <v>0</v>
      </c>
      <c r="G912" s="219"/>
    </row>
    <row r="913">
      <c r="A913" s="218">
        <f t="shared" si="1"/>
        <v>912</v>
      </c>
      <c r="B913" s="218" t="s">
        <v>201</v>
      </c>
      <c r="C913" s="218" t="s">
        <v>4807</v>
      </c>
      <c r="D913" s="218" t="b">
        <v>1</v>
      </c>
      <c r="E913" s="219" t="b">
        <v>0</v>
      </c>
      <c r="F913" s="219" t="b">
        <v>0</v>
      </c>
      <c r="G913" s="219"/>
    </row>
    <row r="914">
      <c r="A914" s="218">
        <f t="shared" si="1"/>
        <v>913</v>
      </c>
      <c r="B914" s="218" t="s">
        <v>201</v>
      </c>
      <c r="C914" s="218" t="s">
        <v>4790</v>
      </c>
      <c r="D914" s="218" t="b">
        <v>1</v>
      </c>
      <c r="E914" s="219" t="b">
        <v>0</v>
      </c>
      <c r="F914" s="219" t="b">
        <v>0</v>
      </c>
      <c r="G914" s="219"/>
    </row>
    <row r="915">
      <c r="A915" s="218">
        <f t="shared" si="1"/>
        <v>914</v>
      </c>
      <c r="B915" s="218" t="s">
        <v>201</v>
      </c>
      <c r="C915" s="218" t="s">
        <v>4857</v>
      </c>
      <c r="D915" s="218" t="b">
        <v>1</v>
      </c>
      <c r="E915" s="219" t="b">
        <v>0</v>
      </c>
      <c r="F915" s="219" t="b">
        <v>0</v>
      </c>
      <c r="G915" s="219"/>
    </row>
    <row r="916">
      <c r="A916" s="218">
        <f t="shared" si="1"/>
        <v>915</v>
      </c>
      <c r="B916" s="218" t="s">
        <v>201</v>
      </c>
      <c r="C916" s="218" t="s">
        <v>4678</v>
      </c>
      <c r="D916" s="218" t="b">
        <v>1</v>
      </c>
      <c r="E916" s="219" t="b">
        <v>0</v>
      </c>
      <c r="F916" s="219" t="b">
        <v>0</v>
      </c>
      <c r="G916" s="219"/>
    </row>
    <row r="917">
      <c r="A917" s="218">
        <f t="shared" si="1"/>
        <v>916</v>
      </c>
      <c r="B917" s="218" t="s">
        <v>201</v>
      </c>
      <c r="C917" s="218" t="s">
        <v>4843</v>
      </c>
      <c r="D917" s="218" t="b">
        <v>1</v>
      </c>
      <c r="E917" s="219" t="b">
        <v>0</v>
      </c>
      <c r="F917" s="219" t="b">
        <v>0</v>
      </c>
      <c r="G917" s="219"/>
    </row>
    <row r="918">
      <c r="A918" s="218">
        <f t="shared" si="1"/>
        <v>917</v>
      </c>
      <c r="B918" s="218" t="s">
        <v>201</v>
      </c>
      <c r="C918" s="218" t="s">
        <v>4646</v>
      </c>
      <c r="D918" s="218" t="b">
        <v>1</v>
      </c>
      <c r="E918" s="219" t="b">
        <v>0</v>
      </c>
      <c r="F918" s="219" t="b">
        <v>0</v>
      </c>
      <c r="G918" s="219"/>
    </row>
    <row r="919">
      <c r="A919" s="218">
        <f t="shared" si="1"/>
        <v>918</v>
      </c>
      <c r="B919" s="218" t="s">
        <v>201</v>
      </c>
      <c r="C919" s="218" t="s">
        <v>4167</v>
      </c>
      <c r="D919" s="218" t="b">
        <v>1</v>
      </c>
      <c r="E919" s="219" t="b">
        <v>0</v>
      </c>
      <c r="F919" s="219" t="b">
        <v>0</v>
      </c>
      <c r="G919" s="219"/>
    </row>
    <row r="920">
      <c r="A920" s="218">
        <f t="shared" si="1"/>
        <v>919</v>
      </c>
      <c r="B920" s="218" t="s">
        <v>201</v>
      </c>
      <c r="C920" s="218" t="s">
        <v>4801</v>
      </c>
      <c r="D920" s="218" t="b">
        <v>1</v>
      </c>
      <c r="E920" s="219" t="b">
        <v>0</v>
      </c>
      <c r="F920" s="219" t="b">
        <v>0</v>
      </c>
      <c r="G920" s="219"/>
    </row>
    <row r="921">
      <c r="A921" s="218">
        <f t="shared" si="1"/>
        <v>920</v>
      </c>
      <c r="B921" s="218" t="s">
        <v>201</v>
      </c>
      <c r="C921" s="218" t="s">
        <v>4838</v>
      </c>
      <c r="D921" s="218" t="b">
        <v>1</v>
      </c>
      <c r="E921" s="219" t="b">
        <v>0</v>
      </c>
      <c r="F921" s="219" t="b">
        <v>0</v>
      </c>
      <c r="G921" s="219"/>
    </row>
    <row r="922">
      <c r="A922" s="218">
        <f t="shared" si="1"/>
        <v>921</v>
      </c>
      <c r="B922" s="218" t="s">
        <v>201</v>
      </c>
      <c r="C922" s="218" t="s">
        <v>4758</v>
      </c>
      <c r="D922" s="218" t="b">
        <v>1</v>
      </c>
      <c r="E922" s="219" t="b">
        <v>0</v>
      </c>
      <c r="F922" s="219" t="b">
        <v>0</v>
      </c>
      <c r="G922" s="219"/>
    </row>
    <row r="923">
      <c r="A923" s="218">
        <f t="shared" si="1"/>
        <v>922</v>
      </c>
      <c r="B923" s="218" t="s">
        <v>201</v>
      </c>
      <c r="C923" s="218" t="s">
        <v>4745</v>
      </c>
      <c r="D923" s="218" t="b">
        <v>1</v>
      </c>
      <c r="E923" s="219" t="b">
        <v>0</v>
      </c>
      <c r="F923" s="219" t="b">
        <v>0</v>
      </c>
      <c r="G923" s="219"/>
    </row>
    <row r="924">
      <c r="A924" s="218">
        <f t="shared" si="1"/>
        <v>923</v>
      </c>
      <c r="B924" s="218" t="s">
        <v>201</v>
      </c>
      <c r="C924" s="218" t="s">
        <v>4708</v>
      </c>
      <c r="D924" s="218" t="b">
        <v>1</v>
      </c>
      <c r="E924" s="219" t="b">
        <v>0</v>
      </c>
      <c r="F924" s="219" t="b">
        <v>0</v>
      </c>
      <c r="G924" s="219"/>
    </row>
    <row r="925">
      <c r="A925" s="218">
        <f t="shared" si="1"/>
        <v>924</v>
      </c>
      <c r="B925" s="218" t="s">
        <v>201</v>
      </c>
      <c r="C925" s="218" t="s">
        <v>4157</v>
      </c>
      <c r="D925" s="218" t="b">
        <v>1</v>
      </c>
      <c r="E925" s="219" t="b">
        <v>0</v>
      </c>
      <c r="F925" s="219" t="b">
        <v>0</v>
      </c>
      <c r="G925" s="219"/>
    </row>
    <row r="926">
      <c r="A926" s="218">
        <f t="shared" si="1"/>
        <v>925</v>
      </c>
      <c r="B926" s="218" t="s">
        <v>201</v>
      </c>
      <c r="C926" s="218" t="s">
        <v>4687</v>
      </c>
      <c r="D926" s="218" t="b">
        <v>1</v>
      </c>
      <c r="E926" s="219" t="b">
        <v>0</v>
      </c>
      <c r="F926" s="219" t="b">
        <v>0</v>
      </c>
      <c r="G926" s="219"/>
    </row>
    <row r="927">
      <c r="A927" s="218">
        <f t="shared" si="1"/>
        <v>926</v>
      </c>
      <c r="B927" s="218" t="s">
        <v>201</v>
      </c>
      <c r="C927" s="218" t="s">
        <v>4768</v>
      </c>
      <c r="D927" s="218" t="b">
        <v>1</v>
      </c>
      <c r="E927" s="219" t="b">
        <v>0</v>
      </c>
      <c r="F927" s="219" t="b">
        <v>0</v>
      </c>
      <c r="G927" s="219"/>
    </row>
    <row r="928">
      <c r="A928" s="218">
        <f t="shared" si="1"/>
        <v>927</v>
      </c>
      <c r="B928" s="218" t="s">
        <v>201</v>
      </c>
      <c r="C928" s="218" t="s">
        <v>4741</v>
      </c>
      <c r="D928" s="218" t="b">
        <v>1</v>
      </c>
      <c r="E928" s="219" t="b">
        <v>0</v>
      </c>
      <c r="F928" s="219" t="b">
        <v>0</v>
      </c>
      <c r="G928" s="219"/>
    </row>
    <row r="929">
      <c r="A929" s="218">
        <f t="shared" si="1"/>
        <v>928</v>
      </c>
      <c r="B929" s="218" t="s">
        <v>201</v>
      </c>
      <c r="C929" s="218" t="s">
        <v>4833</v>
      </c>
      <c r="D929" s="218" t="b">
        <v>1</v>
      </c>
      <c r="E929" s="219" t="b">
        <v>0</v>
      </c>
      <c r="F929" s="219" t="b">
        <v>0</v>
      </c>
      <c r="G929" s="219"/>
    </row>
    <row r="930">
      <c r="A930" s="218">
        <f t="shared" si="1"/>
        <v>929</v>
      </c>
      <c r="B930" s="218" t="s">
        <v>201</v>
      </c>
      <c r="C930" s="218" t="s">
        <v>4854</v>
      </c>
      <c r="D930" s="218" t="b">
        <v>1</v>
      </c>
      <c r="E930" s="219" t="b">
        <v>0</v>
      </c>
      <c r="F930" s="219" t="b">
        <v>0</v>
      </c>
      <c r="G930" s="219"/>
    </row>
    <row r="931">
      <c r="A931" s="218">
        <f t="shared" si="1"/>
        <v>930</v>
      </c>
      <c r="B931" s="218" t="s">
        <v>201</v>
      </c>
      <c r="C931" s="218" t="s">
        <v>4763</v>
      </c>
      <c r="D931" s="218" t="b">
        <v>1</v>
      </c>
      <c r="E931" s="219" t="b">
        <v>0</v>
      </c>
      <c r="F931" s="219" t="b">
        <v>0</v>
      </c>
      <c r="G931" s="219"/>
    </row>
    <row r="932">
      <c r="A932" s="218">
        <f t="shared" si="1"/>
        <v>931</v>
      </c>
      <c r="B932" s="218" t="s">
        <v>201</v>
      </c>
      <c r="C932" s="218" t="s">
        <v>4179</v>
      </c>
      <c r="D932" s="218" t="b">
        <v>1</v>
      </c>
      <c r="E932" s="219" t="b">
        <v>0</v>
      </c>
      <c r="F932" s="219" t="b">
        <v>0</v>
      </c>
      <c r="G932" s="219"/>
    </row>
    <row r="933">
      <c r="A933" s="218">
        <f t="shared" si="1"/>
        <v>932</v>
      </c>
      <c r="B933" s="218" t="s">
        <v>201</v>
      </c>
      <c r="C933" s="218" t="s">
        <v>4851</v>
      </c>
      <c r="D933" s="218" t="b">
        <v>1</v>
      </c>
      <c r="E933" s="219" t="b">
        <v>0</v>
      </c>
      <c r="F933" s="219" t="b">
        <v>0</v>
      </c>
      <c r="G933" s="219"/>
    </row>
    <row r="934">
      <c r="A934" s="218">
        <f t="shared" si="1"/>
        <v>933</v>
      </c>
      <c r="B934" s="218" t="s">
        <v>201</v>
      </c>
      <c r="C934" s="218" t="s">
        <v>4190</v>
      </c>
      <c r="D934" s="218" t="b">
        <v>1</v>
      </c>
      <c r="E934" s="219" t="b">
        <v>0</v>
      </c>
      <c r="F934" s="219" t="b">
        <v>0</v>
      </c>
      <c r="G934" s="219"/>
    </row>
    <row r="935">
      <c r="A935" s="218">
        <f t="shared" si="1"/>
        <v>934</v>
      </c>
      <c r="B935" s="218" t="s">
        <v>201</v>
      </c>
      <c r="C935" s="218" t="s">
        <v>4508</v>
      </c>
      <c r="D935" s="218" t="b">
        <v>1</v>
      </c>
      <c r="E935" s="219" t="b">
        <v>0</v>
      </c>
      <c r="F935" s="219" t="b">
        <v>0</v>
      </c>
      <c r="G935" s="219"/>
    </row>
    <row r="936">
      <c r="A936" s="218">
        <f t="shared" si="1"/>
        <v>935</v>
      </c>
      <c r="B936" s="218" t="s">
        <v>201</v>
      </c>
      <c r="C936" s="218" t="s">
        <v>4398</v>
      </c>
      <c r="D936" s="218" t="b">
        <v>1</v>
      </c>
      <c r="E936" s="219" t="b">
        <v>0</v>
      </c>
      <c r="F936" s="219" t="b">
        <v>0</v>
      </c>
      <c r="G936" s="219"/>
    </row>
    <row r="937">
      <c r="A937" s="218">
        <f t="shared" si="1"/>
        <v>936</v>
      </c>
      <c r="B937" s="218" t="s">
        <v>201</v>
      </c>
      <c r="C937" s="218" t="s">
        <v>4388</v>
      </c>
      <c r="D937" s="218" t="b">
        <v>1</v>
      </c>
      <c r="E937" s="219" t="b">
        <v>0</v>
      </c>
      <c r="F937" s="219" t="b">
        <v>0</v>
      </c>
      <c r="G937" s="219"/>
    </row>
    <row r="938">
      <c r="A938" s="218">
        <f t="shared" si="1"/>
        <v>937</v>
      </c>
      <c r="B938" s="218" t="s">
        <v>201</v>
      </c>
      <c r="C938" s="218" t="s">
        <v>4403</v>
      </c>
      <c r="D938" s="218" t="b">
        <v>1</v>
      </c>
      <c r="E938" s="219" t="b">
        <v>0</v>
      </c>
      <c r="F938" s="219" t="b">
        <v>0</v>
      </c>
      <c r="G938" s="219"/>
    </row>
    <row r="939">
      <c r="A939" s="218">
        <f t="shared" si="1"/>
        <v>938</v>
      </c>
      <c r="B939" s="218" t="s">
        <v>201</v>
      </c>
      <c r="C939" s="218" t="s">
        <v>4528</v>
      </c>
      <c r="D939" s="218" t="b">
        <v>1</v>
      </c>
      <c r="E939" s="219" t="b">
        <v>0</v>
      </c>
      <c r="F939" s="219" t="b">
        <v>0</v>
      </c>
      <c r="G939" s="219"/>
    </row>
    <row r="940">
      <c r="A940" s="218">
        <f t="shared" si="1"/>
        <v>939</v>
      </c>
      <c r="B940" s="218" t="s">
        <v>201</v>
      </c>
      <c r="C940" s="218" t="s">
        <v>4513</v>
      </c>
      <c r="D940" s="218" t="b">
        <v>1</v>
      </c>
      <c r="E940" s="219" t="b">
        <v>0</v>
      </c>
      <c r="F940" s="219" t="b">
        <v>0</v>
      </c>
      <c r="G940" s="219"/>
    </row>
    <row r="941">
      <c r="A941" s="218">
        <f t="shared" si="1"/>
        <v>940</v>
      </c>
      <c r="B941" s="218" t="s">
        <v>201</v>
      </c>
      <c r="C941" s="218" t="s">
        <v>4485</v>
      </c>
      <c r="D941" s="218" t="b">
        <v>1</v>
      </c>
      <c r="E941" s="219" t="b">
        <v>0</v>
      </c>
      <c r="F941" s="219" t="b">
        <v>0</v>
      </c>
      <c r="G941" s="219"/>
    </row>
    <row r="942">
      <c r="A942" s="218">
        <f t="shared" si="1"/>
        <v>941</v>
      </c>
      <c r="B942" s="218" t="s">
        <v>201</v>
      </c>
      <c r="C942" s="218" t="s">
        <v>4392</v>
      </c>
      <c r="D942" s="218" t="b">
        <v>1</v>
      </c>
      <c r="E942" s="219" t="b">
        <v>0</v>
      </c>
      <c r="F942" s="219" t="b">
        <v>0</v>
      </c>
      <c r="G942" s="219"/>
    </row>
    <row r="943">
      <c r="A943" s="218">
        <f t="shared" si="1"/>
        <v>942</v>
      </c>
      <c r="B943" s="218" t="s">
        <v>201</v>
      </c>
      <c r="C943" s="218" t="s">
        <v>4261</v>
      </c>
      <c r="D943" s="218" t="b">
        <v>1</v>
      </c>
      <c r="E943" s="219" t="b">
        <v>0</v>
      </c>
      <c r="F943" s="219" t="b">
        <v>0</v>
      </c>
      <c r="G943" s="219"/>
    </row>
    <row r="944">
      <c r="A944" s="218">
        <f t="shared" si="1"/>
        <v>943</v>
      </c>
      <c r="B944" s="218" t="s">
        <v>201</v>
      </c>
      <c r="C944" s="218" t="s">
        <v>4376</v>
      </c>
      <c r="D944" s="218" t="b">
        <v>1</v>
      </c>
      <c r="E944" s="219" t="b">
        <v>0</v>
      </c>
      <c r="F944" s="219" t="b">
        <v>0</v>
      </c>
      <c r="G944" s="219"/>
    </row>
    <row r="945">
      <c r="A945" s="218">
        <f t="shared" si="1"/>
        <v>944</v>
      </c>
      <c r="B945" s="218" t="s">
        <v>201</v>
      </c>
      <c r="C945" s="218" t="s">
        <v>4452</v>
      </c>
      <c r="D945" s="218" t="b">
        <v>1</v>
      </c>
      <c r="E945" s="219" t="b">
        <v>0</v>
      </c>
      <c r="F945" s="219" t="b">
        <v>0</v>
      </c>
      <c r="G945" s="219"/>
    </row>
    <row r="946">
      <c r="A946" s="218">
        <f t="shared" si="1"/>
        <v>945</v>
      </c>
      <c r="B946" s="218" t="s">
        <v>201</v>
      </c>
      <c r="C946" s="218" t="s">
        <v>4448</v>
      </c>
      <c r="D946" s="218" t="b">
        <v>1</v>
      </c>
      <c r="E946" s="219" t="b">
        <v>0</v>
      </c>
      <c r="F946" s="219" t="b">
        <v>0</v>
      </c>
      <c r="G946" s="219"/>
    </row>
    <row r="947">
      <c r="A947" s="218">
        <f t="shared" si="1"/>
        <v>946</v>
      </c>
      <c r="B947" s="218" t="s">
        <v>201</v>
      </c>
      <c r="C947" s="218" t="s">
        <v>4245</v>
      </c>
      <c r="D947" s="218" t="b">
        <v>1</v>
      </c>
      <c r="E947" s="219" t="b">
        <v>0</v>
      </c>
      <c r="F947" s="219" t="b">
        <v>0</v>
      </c>
      <c r="G947" s="219"/>
    </row>
    <row r="948">
      <c r="A948" s="218">
        <f t="shared" si="1"/>
        <v>947</v>
      </c>
      <c r="B948" s="218" t="s">
        <v>201</v>
      </c>
      <c r="C948" s="218" t="s">
        <v>4290</v>
      </c>
      <c r="D948" s="218" t="b">
        <v>1</v>
      </c>
      <c r="E948" s="219" t="b">
        <v>0</v>
      </c>
      <c r="F948" s="219" t="b">
        <v>0</v>
      </c>
      <c r="G948" s="219"/>
    </row>
    <row r="949">
      <c r="A949" s="218">
        <f t="shared" si="1"/>
        <v>948</v>
      </c>
      <c r="B949" s="218" t="s">
        <v>201</v>
      </c>
      <c r="C949" s="218" t="s">
        <v>4415</v>
      </c>
      <c r="D949" s="218" t="b">
        <v>1</v>
      </c>
      <c r="E949" s="219" t="b">
        <v>0</v>
      </c>
      <c r="F949" s="219" t="b">
        <v>0</v>
      </c>
      <c r="G949" s="219"/>
    </row>
    <row r="950">
      <c r="A950" s="218">
        <f t="shared" si="1"/>
        <v>949</v>
      </c>
      <c r="B950" s="218" t="s">
        <v>201</v>
      </c>
      <c r="C950" s="218" t="s">
        <v>4349</v>
      </c>
      <c r="D950" s="218" t="b">
        <v>1</v>
      </c>
      <c r="E950" s="219" t="b">
        <v>0</v>
      </c>
      <c r="F950" s="219" t="b">
        <v>0</v>
      </c>
      <c r="G950" s="219"/>
    </row>
    <row r="951">
      <c r="A951" s="218">
        <f t="shared" si="1"/>
        <v>950</v>
      </c>
      <c r="B951" s="218" t="s">
        <v>201</v>
      </c>
      <c r="C951" s="218" t="s">
        <v>4370</v>
      </c>
      <c r="D951" s="218" t="b">
        <v>1</v>
      </c>
      <c r="E951" s="219" t="b">
        <v>0</v>
      </c>
      <c r="F951" s="219" t="b">
        <v>0</v>
      </c>
      <c r="G951" s="219"/>
    </row>
    <row r="952">
      <c r="A952" s="218">
        <f t="shared" si="1"/>
        <v>951</v>
      </c>
      <c r="B952" s="218" t="s">
        <v>201</v>
      </c>
      <c r="C952" s="218" t="s">
        <v>4239</v>
      </c>
      <c r="D952" s="218" t="b">
        <v>1</v>
      </c>
      <c r="E952" s="219" t="b">
        <v>0</v>
      </c>
      <c r="F952" s="219" t="b">
        <v>0</v>
      </c>
      <c r="G952" s="219"/>
    </row>
    <row r="953">
      <c r="A953" s="218">
        <f t="shared" si="1"/>
        <v>952</v>
      </c>
      <c r="B953" s="218" t="s">
        <v>201</v>
      </c>
      <c r="C953" s="218" t="s">
        <v>4270</v>
      </c>
      <c r="D953" s="218" t="b">
        <v>1</v>
      </c>
      <c r="E953" s="219" t="b">
        <v>0</v>
      </c>
      <c r="F953" s="219" t="b">
        <v>0</v>
      </c>
      <c r="G953" s="219"/>
    </row>
    <row r="954">
      <c r="A954" s="218">
        <f t="shared" si="1"/>
        <v>953</v>
      </c>
      <c r="B954" s="218" t="s">
        <v>201</v>
      </c>
      <c r="C954" s="218" t="s">
        <v>4523</v>
      </c>
      <c r="D954" s="218" t="b">
        <v>1</v>
      </c>
      <c r="E954" s="219" t="b">
        <v>0</v>
      </c>
      <c r="F954" s="219" t="b">
        <v>0</v>
      </c>
      <c r="G954" s="219"/>
    </row>
    <row r="955">
      <c r="A955" s="218">
        <f t="shared" si="1"/>
        <v>954</v>
      </c>
      <c r="B955" s="218" t="s">
        <v>201</v>
      </c>
      <c r="C955" s="218" t="s">
        <v>4491</v>
      </c>
      <c r="D955" s="218" t="b">
        <v>1</v>
      </c>
      <c r="E955" s="219" t="b">
        <v>0</v>
      </c>
      <c r="F955" s="219" t="b">
        <v>0</v>
      </c>
      <c r="G955" s="219"/>
    </row>
    <row r="956">
      <c r="A956" s="218">
        <f t="shared" si="1"/>
        <v>955</v>
      </c>
      <c r="B956" s="218" t="s">
        <v>201</v>
      </c>
      <c r="C956" s="218" t="s">
        <v>4502</v>
      </c>
      <c r="D956" s="218" t="b">
        <v>1</v>
      </c>
      <c r="E956" s="219" t="b">
        <v>0</v>
      </c>
      <c r="F956" s="219" t="b">
        <v>0</v>
      </c>
      <c r="G956" s="219"/>
    </row>
    <row r="957">
      <c r="A957" s="218">
        <f t="shared" si="1"/>
        <v>956</v>
      </c>
      <c r="B957" s="218" t="s">
        <v>201</v>
      </c>
      <c r="C957" s="218" t="s">
        <v>4335</v>
      </c>
      <c r="D957" s="218" t="b">
        <v>1</v>
      </c>
      <c r="E957" s="219" t="b">
        <v>0</v>
      </c>
      <c r="F957" s="219" t="b">
        <v>0</v>
      </c>
      <c r="G957" s="219"/>
    </row>
    <row r="958">
      <c r="A958" s="218">
        <f t="shared" si="1"/>
        <v>957</v>
      </c>
      <c r="B958" s="218" t="s">
        <v>201</v>
      </c>
      <c r="C958" s="218" t="s">
        <v>4315</v>
      </c>
      <c r="D958" s="218" t="b">
        <v>1</v>
      </c>
      <c r="E958" s="219" t="b">
        <v>0</v>
      </c>
      <c r="F958" s="219" t="b">
        <v>0</v>
      </c>
      <c r="G958" s="219"/>
    </row>
    <row r="959">
      <c r="A959" s="218">
        <f t="shared" si="1"/>
        <v>958</v>
      </c>
      <c r="B959" s="218" t="s">
        <v>201</v>
      </c>
      <c r="C959" s="218" t="s">
        <v>4324</v>
      </c>
      <c r="D959" s="218" t="b">
        <v>1</v>
      </c>
      <c r="E959" s="219" t="b">
        <v>0</v>
      </c>
      <c r="F959" s="219" t="b">
        <v>0</v>
      </c>
      <c r="G959" s="219"/>
    </row>
    <row r="960">
      <c r="A960" s="218">
        <f t="shared" si="1"/>
        <v>959</v>
      </c>
      <c r="B960" s="218" t="s">
        <v>201</v>
      </c>
      <c r="C960" s="218" t="s">
        <v>4330</v>
      </c>
      <c r="D960" s="218" t="b">
        <v>1</v>
      </c>
      <c r="E960" s="219" t="b">
        <v>0</v>
      </c>
      <c r="F960" s="219" t="b">
        <v>0</v>
      </c>
      <c r="G960" s="219"/>
    </row>
    <row r="961">
      <c r="A961" s="218">
        <f t="shared" si="1"/>
        <v>960</v>
      </c>
      <c r="B961" s="218" t="s">
        <v>201</v>
      </c>
      <c r="C961" s="218" t="s">
        <v>4295</v>
      </c>
      <c r="D961" s="218" t="b">
        <v>1</v>
      </c>
      <c r="E961" s="219" t="b">
        <v>0</v>
      </c>
      <c r="F961" s="219" t="b">
        <v>0</v>
      </c>
      <c r="G961" s="219"/>
    </row>
    <row r="962">
      <c r="A962" s="218">
        <f t="shared" si="1"/>
        <v>961</v>
      </c>
      <c r="B962" s="218" t="s">
        <v>201</v>
      </c>
      <c r="C962" s="218" t="s">
        <v>4382</v>
      </c>
      <c r="D962" s="218" t="b">
        <v>1</v>
      </c>
      <c r="E962" s="219" t="b">
        <v>0</v>
      </c>
      <c r="F962" s="219" t="b">
        <v>0</v>
      </c>
      <c r="G962" s="219"/>
    </row>
    <row r="963">
      <c r="A963" s="218">
        <f t="shared" si="1"/>
        <v>962</v>
      </c>
      <c r="B963" s="218" t="s">
        <v>201</v>
      </c>
      <c r="C963" s="218" t="s">
        <v>4460</v>
      </c>
      <c r="D963" s="218" t="b">
        <v>1</v>
      </c>
      <c r="E963" s="219" t="b">
        <v>0</v>
      </c>
      <c r="F963" s="219" t="b">
        <v>0</v>
      </c>
      <c r="G963" s="219"/>
    </row>
    <row r="964">
      <c r="A964" s="218">
        <f t="shared" si="1"/>
        <v>963</v>
      </c>
      <c r="B964" s="218" t="s">
        <v>201</v>
      </c>
      <c r="C964" s="218" t="s">
        <v>4496</v>
      </c>
      <c r="D964" s="218" t="b">
        <v>1</v>
      </c>
      <c r="E964" s="219" t="b">
        <v>0</v>
      </c>
      <c r="F964" s="219" t="b">
        <v>0</v>
      </c>
      <c r="G964" s="219"/>
    </row>
    <row r="965">
      <c r="A965" s="218">
        <f t="shared" si="1"/>
        <v>964</v>
      </c>
      <c r="B965" s="218" t="s">
        <v>201</v>
      </c>
      <c r="C965" s="218" t="s">
        <v>4409</v>
      </c>
      <c r="D965" s="218" t="b">
        <v>1</v>
      </c>
      <c r="E965" s="219" t="b">
        <v>0</v>
      </c>
      <c r="F965" s="219" t="b">
        <v>0</v>
      </c>
      <c r="G965" s="219"/>
    </row>
    <row r="966">
      <c r="A966" s="218">
        <f t="shared" si="1"/>
        <v>965</v>
      </c>
      <c r="B966" s="218" t="s">
        <v>201</v>
      </c>
      <c r="C966" s="218" t="s">
        <v>4276</v>
      </c>
      <c r="D966" s="218" t="b">
        <v>1</v>
      </c>
      <c r="E966" s="219" t="b">
        <v>0</v>
      </c>
      <c r="F966" s="219" t="b">
        <v>0</v>
      </c>
      <c r="G966" s="219"/>
    </row>
    <row r="967">
      <c r="A967" s="218">
        <f t="shared" si="1"/>
        <v>966</v>
      </c>
      <c r="B967" s="218" t="s">
        <v>201</v>
      </c>
      <c r="C967" s="218" t="s">
        <v>4697</v>
      </c>
      <c r="D967" s="218" t="b">
        <v>1</v>
      </c>
      <c r="E967" s="219" t="b">
        <v>0</v>
      </c>
      <c r="F967" s="219" t="b">
        <v>0</v>
      </c>
      <c r="G967" s="219"/>
    </row>
    <row r="968">
      <c r="A968" s="218">
        <f t="shared" si="1"/>
        <v>967</v>
      </c>
      <c r="B968" s="218" t="s">
        <v>201</v>
      </c>
      <c r="C968" s="218" t="s">
        <v>4218</v>
      </c>
      <c r="D968" s="218" t="b">
        <v>1</v>
      </c>
      <c r="E968" s="219" t="b">
        <v>0</v>
      </c>
      <c r="F968" s="219" t="b">
        <v>0</v>
      </c>
      <c r="G968" s="219"/>
    </row>
    <row r="969">
      <c r="A969" s="218">
        <f t="shared" si="1"/>
        <v>968</v>
      </c>
      <c r="B969" s="218" t="s">
        <v>201</v>
      </c>
      <c r="C969" s="218" t="s">
        <v>4255</v>
      </c>
      <c r="D969" s="218" t="b">
        <v>1</v>
      </c>
      <c r="E969" s="219" t="b">
        <v>0</v>
      </c>
      <c r="F969" s="219" t="b">
        <v>0</v>
      </c>
      <c r="G969" s="219"/>
    </row>
    <row r="970">
      <c r="A970" s="218">
        <f t="shared" si="1"/>
        <v>969</v>
      </c>
      <c r="B970" s="218" t="s">
        <v>201</v>
      </c>
      <c r="C970" s="218" t="s">
        <v>4224</v>
      </c>
      <c r="D970" s="218" t="b">
        <v>1</v>
      </c>
      <c r="E970" s="219" t="b">
        <v>0</v>
      </c>
      <c r="F970" s="219" t="b">
        <v>0</v>
      </c>
      <c r="G970" s="219"/>
    </row>
    <row r="971">
      <c r="A971" s="218">
        <f t="shared" si="1"/>
        <v>970</v>
      </c>
      <c r="B971" s="218" t="s">
        <v>201</v>
      </c>
      <c r="C971" s="218" t="s">
        <v>4301</v>
      </c>
      <c r="D971" s="218" t="b">
        <v>1</v>
      </c>
      <c r="E971" s="219" t="b">
        <v>0</v>
      </c>
      <c r="F971" s="219" t="b">
        <v>0</v>
      </c>
      <c r="G971" s="219"/>
    </row>
    <row r="972">
      <c r="A972" s="218">
        <f t="shared" si="1"/>
        <v>971</v>
      </c>
      <c r="B972" s="218" t="s">
        <v>201</v>
      </c>
      <c r="C972" s="218" t="s">
        <v>4474</v>
      </c>
      <c r="D972" s="218" t="b">
        <v>1</v>
      </c>
      <c r="E972" s="219" t="b">
        <v>0</v>
      </c>
      <c r="F972" s="219" t="b">
        <v>0</v>
      </c>
      <c r="G972" s="219"/>
    </row>
    <row r="973">
      <c r="A973" s="218">
        <f t="shared" si="1"/>
        <v>972</v>
      </c>
      <c r="B973" s="218" t="s">
        <v>201</v>
      </c>
      <c r="C973" s="218" t="s">
        <v>4306</v>
      </c>
      <c r="D973" s="218" t="b">
        <v>1</v>
      </c>
      <c r="E973" s="219" t="b">
        <v>0</v>
      </c>
      <c r="F973" s="219" t="b">
        <v>0</v>
      </c>
      <c r="G973" s="219"/>
    </row>
    <row r="974">
      <c r="A974" s="218">
        <f t="shared" si="1"/>
        <v>973</v>
      </c>
      <c r="B974" s="218" t="s">
        <v>201</v>
      </c>
      <c r="C974" s="218" t="s">
        <v>4534</v>
      </c>
      <c r="D974" s="218" t="b">
        <v>1</v>
      </c>
      <c r="E974" s="219" t="b">
        <v>0</v>
      </c>
      <c r="F974" s="219" t="b">
        <v>0</v>
      </c>
      <c r="G974" s="219"/>
    </row>
    <row r="975">
      <c r="A975" s="218">
        <f t="shared" si="1"/>
        <v>974</v>
      </c>
      <c r="B975" s="218" t="s">
        <v>201</v>
      </c>
      <c r="C975" s="218" t="s">
        <v>4432</v>
      </c>
      <c r="D975" s="218" t="b">
        <v>1</v>
      </c>
      <c r="E975" s="219" t="b">
        <v>0</v>
      </c>
      <c r="F975" s="219" t="b">
        <v>0</v>
      </c>
      <c r="G975" s="219"/>
    </row>
    <row r="976">
      <c r="A976" s="218">
        <f t="shared" si="1"/>
        <v>975</v>
      </c>
      <c r="B976" s="218" t="s">
        <v>201</v>
      </c>
      <c r="C976" s="218" t="s">
        <v>4469</v>
      </c>
      <c r="D976" s="218" t="b">
        <v>1</v>
      </c>
      <c r="E976" s="219" t="b">
        <v>0</v>
      </c>
      <c r="F976" s="219" t="b">
        <v>0</v>
      </c>
      <c r="G976" s="219"/>
    </row>
    <row r="977">
      <c r="A977" s="218">
        <f t="shared" si="1"/>
        <v>976</v>
      </c>
      <c r="B977" s="218" t="s">
        <v>201</v>
      </c>
      <c r="C977" s="218" t="s">
        <v>4212</v>
      </c>
      <c r="D977" s="218" t="b">
        <v>1</v>
      </c>
      <c r="E977" s="219" t="b">
        <v>0</v>
      </c>
      <c r="F977" s="219" t="b">
        <v>0</v>
      </c>
      <c r="G977" s="219"/>
    </row>
    <row r="978">
      <c r="A978" s="218">
        <f t="shared" si="1"/>
        <v>977</v>
      </c>
      <c r="B978" s="218" t="s">
        <v>201</v>
      </c>
      <c r="C978" s="218" t="s">
        <v>4321</v>
      </c>
      <c r="D978" s="218" t="b">
        <v>1</v>
      </c>
      <c r="E978" s="219" t="b">
        <v>0</v>
      </c>
      <c r="F978" s="219" t="b">
        <v>0</v>
      </c>
      <c r="G978" s="219"/>
    </row>
    <row r="979">
      <c r="A979" s="218">
        <f t="shared" si="1"/>
        <v>978</v>
      </c>
      <c r="B979" s="218" t="s">
        <v>201</v>
      </c>
      <c r="C979" s="218" t="s">
        <v>4202</v>
      </c>
      <c r="D979" s="218" t="b">
        <v>1</v>
      </c>
      <c r="E979" s="219" t="b">
        <v>0</v>
      </c>
      <c r="F979" s="219" t="b">
        <v>0</v>
      </c>
      <c r="G979" s="219"/>
    </row>
    <row r="980">
      <c r="A980" s="218">
        <f t="shared" si="1"/>
        <v>979</v>
      </c>
      <c r="B980" s="218" t="s">
        <v>201</v>
      </c>
      <c r="C980" s="218" t="s">
        <v>4866</v>
      </c>
      <c r="D980" s="218" t="b">
        <v>1</v>
      </c>
      <c r="E980" s="219" t="b">
        <v>0</v>
      </c>
      <c r="F980" s="219" t="b">
        <v>0</v>
      </c>
      <c r="G980" s="219"/>
    </row>
    <row r="981">
      <c r="A981" s="218">
        <f t="shared" si="1"/>
        <v>980</v>
      </c>
      <c r="B981" s="218" t="s">
        <v>201</v>
      </c>
      <c r="C981" s="218" t="s">
        <v>4207</v>
      </c>
      <c r="D981" s="218" t="b">
        <v>1</v>
      </c>
      <c r="E981" s="219" t="b">
        <v>0</v>
      </c>
      <c r="F981" s="219" t="b">
        <v>0</v>
      </c>
      <c r="G981" s="219"/>
    </row>
    <row r="982">
      <c r="A982" s="218">
        <f t="shared" si="1"/>
        <v>981</v>
      </c>
      <c r="B982" s="218" t="s">
        <v>201</v>
      </c>
      <c r="C982" s="218" t="s">
        <v>4196</v>
      </c>
      <c r="D982" s="218" t="b">
        <v>1</v>
      </c>
      <c r="E982" s="219" t="b">
        <v>0</v>
      </c>
      <c r="F982" s="219" t="b">
        <v>0</v>
      </c>
      <c r="G982" s="219"/>
    </row>
    <row r="983">
      <c r="A983" s="218">
        <f t="shared" si="1"/>
        <v>982</v>
      </c>
      <c r="B983" s="218" t="s">
        <v>201</v>
      </c>
      <c r="C983" s="218" t="s">
        <v>4185</v>
      </c>
      <c r="D983" s="218" t="b">
        <v>1</v>
      </c>
      <c r="E983" s="219" t="b">
        <v>0</v>
      </c>
      <c r="F983" s="219" t="b">
        <v>0</v>
      </c>
      <c r="G983" s="219"/>
    </row>
    <row r="984">
      <c r="A984" s="218">
        <f t="shared" si="1"/>
        <v>983</v>
      </c>
      <c r="B984" s="218" t="s">
        <v>201</v>
      </c>
      <c r="C984" s="218" t="s">
        <v>4438</v>
      </c>
      <c r="D984" s="218" t="b">
        <v>1</v>
      </c>
      <c r="E984" s="219" t="b">
        <v>0</v>
      </c>
      <c r="F984" s="219" t="b">
        <v>0</v>
      </c>
      <c r="G984" s="219"/>
    </row>
    <row r="985">
      <c r="A985" s="218">
        <f t="shared" si="1"/>
        <v>984</v>
      </c>
      <c r="B985" s="218" t="s">
        <v>201</v>
      </c>
      <c r="C985" s="218" t="s">
        <v>4443</v>
      </c>
      <c r="D985" s="218" t="b">
        <v>1</v>
      </c>
      <c r="E985" s="219" t="b">
        <v>0</v>
      </c>
      <c r="F985" s="219" t="b">
        <v>0</v>
      </c>
      <c r="G985" s="219"/>
    </row>
    <row r="986">
      <c r="A986" s="218">
        <f t="shared" si="1"/>
        <v>985</v>
      </c>
      <c r="B986" s="218" t="s">
        <v>201</v>
      </c>
      <c r="C986" s="218" t="s">
        <v>6805</v>
      </c>
      <c r="D986" s="218" t="b">
        <v>1</v>
      </c>
      <c r="E986" s="219" t="b">
        <v>0</v>
      </c>
      <c r="F986" s="219" t="b">
        <v>0</v>
      </c>
      <c r="G986" s="219"/>
    </row>
    <row r="987">
      <c r="A987" s="218">
        <f t="shared" si="1"/>
        <v>986</v>
      </c>
      <c r="B987" s="218" t="s">
        <v>201</v>
      </c>
      <c r="C987" s="218" t="s">
        <v>4823</v>
      </c>
      <c r="D987" s="218" t="b">
        <v>1</v>
      </c>
      <c r="E987" s="219" t="b">
        <v>0</v>
      </c>
      <c r="F987" s="219" t="b">
        <v>0</v>
      </c>
      <c r="G987" s="219"/>
    </row>
    <row r="988">
      <c r="A988" s="218">
        <f t="shared" si="1"/>
        <v>987</v>
      </c>
      <c r="B988" s="218" t="s">
        <v>201</v>
      </c>
      <c r="C988" s="218" t="s">
        <v>6806</v>
      </c>
      <c r="D988" s="218" t="b">
        <v>1</v>
      </c>
      <c r="E988" s="219" t="b">
        <v>0</v>
      </c>
      <c r="F988" s="219" t="b">
        <v>0</v>
      </c>
      <c r="G988" s="219"/>
    </row>
    <row r="989">
      <c r="A989" s="218">
        <f t="shared" si="1"/>
        <v>988</v>
      </c>
      <c r="B989" s="218" t="s">
        <v>201</v>
      </c>
      <c r="C989" s="219" t="s">
        <v>6807</v>
      </c>
      <c r="D989" s="218" t="b">
        <v>1</v>
      </c>
      <c r="E989" s="219" t="b">
        <v>0</v>
      </c>
      <c r="F989" s="219" t="b">
        <v>0</v>
      </c>
      <c r="G989" s="219"/>
    </row>
    <row r="990">
      <c r="A990" s="218">
        <f t="shared" si="1"/>
        <v>989</v>
      </c>
      <c r="B990" s="218" t="s">
        <v>201</v>
      </c>
      <c r="C990" s="219" t="s">
        <v>2726</v>
      </c>
      <c r="D990" s="218" t="b">
        <v>1</v>
      </c>
      <c r="E990" s="219" t="b">
        <v>0</v>
      </c>
      <c r="F990" s="219" t="b">
        <v>0</v>
      </c>
      <c r="G990" s="219"/>
    </row>
    <row r="991">
      <c r="A991" s="218">
        <f t="shared" si="1"/>
        <v>990</v>
      </c>
      <c r="B991" s="218" t="s">
        <v>201</v>
      </c>
      <c r="C991" s="219" t="s">
        <v>6808</v>
      </c>
      <c r="D991" s="218" t="b">
        <v>1</v>
      </c>
      <c r="E991" s="219" t="b">
        <v>0</v>
      </c>
      <c r="F991" s="219" t="b">
        <v>0</v>
      </c>
      <c r="G991" s="219"/>
    </row>
    <row r="992">
      <c r="A992" s="218">
        <f t="shared" si="1"/>
        <v>991</v>
      </c>
      <c r="B992" s="218" t="s">
        <v>201</v>
      </c>
      <c r="C992" s="219" t="s">
        <v>6809</v>
      </c>
      <c r="D992" s="218" t="b">
        <v>1</v>
      </c>
      <c r="E992" s="219" t="b">
        <v>0</v>
      </c>
      <c r="F992" s="219" t="b">
        <v>0</v>
      </c>
      <c r="G992" s="219"/>
    </row>
    <row r="993">
      <c r="A993" s="157"/>
      <c r="B993" s="216"/>
      <c r="C993" s="216"/>
      <c r="D993" s="216"/>
      <c r="E993" s="216"/>
      <c r="F993" s="216"/>
      <c r="G993" s="216"/>
    </row>
    <row r="994">
      <c r="A994" s="157"/>
      <c r="B994" s="216"/>
      <c r="C994" s="216"/>
      <c r="D994" s="216"/>
      <c r="E994" s="216"/>
      <c r="F994" s="216"/>
      <c r="G994" s="216"/>
    </row>
    <row r="995">
      <c r="A995" s="157"/>
      <c r="B995" s="216"/>
      <c r="C995" s="216"/>
      <c r="D995" s="216"/>
      <c r="E995" s="216"/>
      <c r="F995" s="216"/>
      <c r="G995" s="216"/>
    </row>
    <row r="996">
      <c r="A996" s="157"/>
      <c r="B996" s="216"/>
      <c r="C996" s="216"/>
      <c r="D996" s="216"/>
      <c r="E996" s="216"/>
      <c r="F996" s="216"/>
      <c r="G996" s="216"/>
    </row>
    <row r="997">
      <c r="A997" s="157"/>
      <c r="B997" s="216"/>
      <c r="C997" s="216"/>
      <c r="D997" s="216"/>
      <c r="E997" s="216"/>
      <c r="F997" s="216"/>
      <c r="G997" s="216"/>
    </row>
    <row r="998">
      <c r="A998" s="157"/>
      <c r="B998" s="216"/>
      <c r="C998" s="216"/>
      <c r="D998" s="216"/>
      <c r="E998" s="216"/>
      <c r="F998" s="216"/>
      <c r="G998" s="216"/>
    </row>
    <row r="999">
      <c r="A999" s="157"/>
      <c r="B999" s="216"/>
      <c r="C999" s="216"/>
      <c r="D999" s="216"/>
      <c r="E999" s="216"/>
      <c r="F999" s="216"/>
      <c r="G999" s="216"/>
    </row>
    <row r="1000">
      <c r="A1000" s="157"/>
      <c r="B1000" s="216"/>
      <c r="C1000" s="216"/>
      <c r="D1000" s="216"/>
      <c r="E1000" s="216"/>
      <c r="F1000" s="216"/>
      <c r="G1000" s="216"/>
    </row>
    <row r="1001">
      <c r="A1001" s="157"/>
      <c r="B1001" s="216"/>
      <c r="C1001" s="216"/>
      <c r="D1001" s="216"/>
      <c r="E1001" s="216"/>
      <c r="F1001" s="216"/>
      <c r="G1001" s="216"/>
    </row>
    <row r="1002">
      <c r="A1002" s="157"/>
      <c r="B1002" s="216"/>
      <c r="C1002" s="216"/>
      <c r="D1002" s="216"/>
      <c r="E1002" s="216"/>
      <c r="F1002" s="216"/>
      <c r="G1002" s="216"/>
    </row>
    <row r="1003">
      <c r="A1003" s="157"/>
      <c r="B1003" s="216"/>
      <c r="C1003" s="216"/>
      <c r="D1003" s="216"/>
      <c r="E1003" s="216"/>
      <c r="F1003" s="216"/>
      <c r="G1003" s="216"/>
    </row>
    <row r="1004">
      <c r="A1004" s="157"/>
      <c r="B1004" s="216"/>
      <c r="C1004" s="216"/>
      <c r="D1004" s="216"/>
      <c r="E1004" s="216"/>
      <c r="F1004" s="216"/>
      <c r="G1004" s="216"/>
    </row>
    <row r="1005">
      <c r="A1005" s="157"/>
      <c r="B1005" s="216"/>
      <c r="C1005" s="216"/>
      <c r="D1005" s="216"/>
      <c r="E1005" s="216"/>
      <c r="F1005" s="216"/>
      <c r="G1005" s="216"/>
    </row>
    <row r="1006">
      <c r="A1006" s="157"/>
      <c r="B1006" s="216"/>
      <c r="C1006" s="216"/>
      <c r="D1006" s="216"/>
      <c r="E1006" s="216"/>
      <c r="F1006" s="216"/>
      <c r="G1006" s="216"/>
    </row>
    <row r="1007">
      <c r="A1007" s="157"/>
      <c r="B1007" s="216"/>
      <c r="C1007" s="216"/>
      <c r="D1007" s="216"/>
      <c r="E1007" s="216"/>
      <c r="F1007" s="216"/>
      <c r="G1007" s="216"/>
    </row>
    <row r="1008">
      <c r="A1008" s="157"/>
      <c r="B1008" s="216"/>
      <c r="C1008" s="216"/>
      <c r="D1008" s="216"/>
      <c r="E1008" s="216"/>
      <c r="F1008" s="216"/>
      <c r="G1008" s="216"/>
    </row>
    <row r="1009">
      <c r="A1009" s="157"/>
      <c r="B1009" s="216"/>
      <c r="C1009" s="216"/>
      <c r="D1009" s="216"/>
      <c r="E1009" s="216"/>
      <c r="F1009" s="216"/>
      <c r="G1009" s="216"/>
    </row>
    <row r="1010">
      <c r="A1010" s="157"/>
      <c r="B1010" s="216"/>
      <c r="C1010" s="216"/>
      <c r="D1010" s="216"/>
      <c r="E1010" s="216"/>
      <c r="F1010" s="216"/>
      <c r="G1010" s="216"/>
    </row>
    <row r="1011">
      <c r="A1011" s="157"/>
      <c r="B1011" s="216"/>
      <c r="C1011" s="216"/>
      <c r="D1011" s="216"/>
      <c r="E1011" s="216"/>
      <c r="F1011" s="216"/>
      <c r="G1011" s="216"/>
    </row>
    <row r="1012">
      <c r="A1012" s="157"/>
      <c r="B1012" s="216"/>
      <c r="C1012" s="216"/>
      <c r="D1012" s="216"/>
      <c r="E1012" s="216"/>
      <c r="F1012" s="216"/>
      <c r="G1012" s="216"/>
    </row>
    <row r="1013">
      <c r="A1013" s="157"/>
      <c r="B1013" s="216"/>
      <c r="C1013" s="216"/>
      <c r="D1013" s="216"/>
      <c r="E1013" s="216"/>
      <c r="F1013" s="216"/>
      <c r="G1013" s="216"/>
    </row>
    <row r="1014">
      <c r="A1014" s="157"/>
      <c r="B1014" s="216"/>
      <c r="C1014" s="216"/>
      <c r="D1014" s="216"/>
      <c r="E1014" s="216"/>
      <c r="F1014" s="216"/>
      <c r="G1014" s="216"/>
    </row>
    <row r="1015">
      <c r="A1015" s="157"/>
      <c r="B1015" s="216"/>
      <c r="C1015" s="216"/>
      <c r="D1015" s="216"/>
      <c r="E1015" s="216"/>
      <c r="F1015" s="216"/>
      <c r="G1015" s="216"/>
    </row>
    <row r="1016">
      <c r="A1016" s="157"/>
      <c r="B1016" s="216"/>
      <c r="C1016" s="216"/>
      <c r="D1016" s="216"/>
      <c r="E1016" s="216"/>
      <c r="F1016" s="216"/>
      <c r="G1016" s="216"/>
    </row>
    <row r="1017">
      <c r="A1017" s="157"/>
      <c r="B1017" s="216"/>
      <c r="C1017" s="216"/>
      <c r="D1017" s="216"/>
      <c r="E1017" s="216"/>
      <c r="F1017" s="216"/>
      <c r="G1017" s="216"/>
    </row>
    <row r="1018">
      <c r="A1018" s="157"/>
      <c r="B1018" s="216"/>
      <c r="C1018" s="216"/>
      <c r="D1018" s="216"/>
      <c r="E1018" s="216"/>
      <c r="F1018" s="216"/>
      <c r="G1018" s="216"/>
    </row>
    <row r="1019">
      <c r="A1019" s="157"/>
      <c r="B1019" s="216"/>
      <c r="C1019" s="216"/>
      <c r="D1019" s="216"/>
      <c r="E1019" s="216"/>
      <c r="F1019" s="216"/>
      <c r="G1019" s="216"/>
    </row>
    <row r="1020">
      <c r="A1020" s="157"/>
      <c r="B1020" s="216"/>
      <c r="C1020" s="216"/>
      <c r="D1020" s="216"/>
      <c r="E1020" s="216"/>
      <c r="F1020" s="216"/>
      <c r="G1020" s="216"/>
    </row>
    <row r="1021">
      <c r="A1021" s="157"/>
      <c r="B1021" s="216"/>
      <c r="C1021" s="216"/>
      <c r="D1021" s="216"/>
      <c r="E1021" s="216"/>
      <c r="F1021" s="216"/>
      <c r="G1021" s="216"/>
    </row>
    <row r="1022">
      <c r="A1022" s="157"/>
      <c r="B1022" s="216"/>
      <c r="C1022" s="216"/>
      <c r="D1022" s="216"/>
      <c r="E1022" s="216"/>
      <c r="F1022" s="216"/>
      <c r="G1022" s="216"/>
    </row>
    <row r="1023">
      <c r="A1023" s="157"/>
      <c r="B1023" s="216"/>
      <c r="C1023" s="216"/>
      <c r="D1023" s="216"/>
      <c r="E1023" s="216"/>
      <c r="F1023" s="216"/>
      <c r="G1023" s="216"/>
    </row>
    <row r="1024">
      <c r="A1024" s="157"/>
      <c r="B1024" s="216"/>
      <c r="C1024" s="216"/>
      <c r="D1024" s="216"/>
      <c r="E1024" s="216"/>
      <c r="F1024" s="216"/>
      <c r="G1024" s="216"/>
    </row>
    <row r="1025">
      <c r="A1025" s="157"/>
      <c r="B1025" s="216"/>
      <c r="C1025" s="216"/>
      <c r="D1025" s="216"/>
      <c r="E1025" s="216"/>
      <c r="F1025" s="216"/>
      <c r="G1025" s="216"/>
    </row>
    <row r="1026">
      <c r="A1026" s="157"/>
      <c r="B1026" s="216"/>
      <c r="C1026" s="216"/>
      <c r="D1026" s="216"/>
      <c r="E1026" s="216"/>
      <c r="F1026" s="216"/>
      <c r="G1026" s="216"/>
    </row>
    <row r="1027">
      <c r="A1027" s="157"/>
      <c r="B1027" s="216"/>
      <c r="C1027" s="216"/>
      <c r="D1027" s="216"/>
      <c r="E1027" s="216"/>
      <c r="F1027" s="216"/>
      <c r="G1027" s="216"/>
    </row>
    <row r="1028">
      <c r="A1028" s="157"/>
      <c r="B1028" s="216"/>
      <c r="C1028" s="216"/>
      <c r="D1028" s="216"/>
      <c r="E1028" s="216"/>
      <c r="F1028" s="216"/>
      <c r="G1028" s="216"/>
    </row>
    <row r="1029">
      <c r="A1029" s="157"/>
      <c r="B1029" s="216"/>
      <c r="C1029" s="216"/>
      <c r="D1029" s="216"/>
      <c r="E1029" s="216"/>
      <c r="F1029" s="216"/>
      <c r="G1029" s="216"/>
    </row>
    <row r="1030">
      <c r="A1030" s="157"/>
      <c r="B1030" s="216"/>
      <c r="C1030" s="216"/>
      <c r="D1030" s="216"/>
      <c r="E1030" s="216"/>
      <c r="F1030" s="216"/>
      <c r="G1030" s="216"/>
    </row>
    <row r="1031">
      <c r="A1031" s="157"/>
      <c r="B1031" s="216"/>
      <c r="C1031" s="216"/>
      <c r="D1031" s="216"/>
      <c r="E1031" s="216"/>
      <c r="F1031" s="216"/>
      <c r="G1031" s="216"/>
    </row>
    <row r="1032">
      <c r="A1032" s="157"/>
      <c r="B1032" s="216"/>
      <c r="C1032" s="216"/>
      <c r="D1032" s="216"/>
      <c r="E1032" s="216"/>
      <c r="F1032" s="216"/>
      <c r="G1032" s="216"/>
    </row>
    <row r="1033">
      <c r="A1033" s="157"/>
      <c r="B1033" s="216"/>
      <c r="C1033" s="216"/>
      <c r="D1033" s="216"/>
      <c r="E1033" s="216"/>
      <c r="F1033" s="216"/>
      <c r="G1033" s="216"/>
    </row>
    <row r="1034">
      <c r="A1034" s="157"/>
      <c r="B1034" s="216"/>
      <c r="C1034" s="216"/>
      <c r="D1034" s="216"/>
      <c r="E1034" s="216"/>
      <c r="F1034" s="216"/>
      <c r="G1034" s="216"/>
    </row>
    <row r="1035">
      <c r="A1035" s="157"/>
      <c r="B1035" s="216"/>
      <c r="C1035" s="216"/>
      <c r="D1035" s="216"/>
      <c r="E1035" s="216"/>
      <c r="F1035" s="216"/>
      <c r="G1035" s="216"/>
    </row>
    <row r="1036">
      <c r="A1036" s="157"/>
      <c r="B1036" s="216"/>
      <c r="C1036" s="216"/>
      <c r="D1036" s="216"/>
      <c r="E1036" s="216"/>
      <c r="F1036" s="216"/>
      <c r="G1036" s="216"/>
    </row>
    <row r="1037">
      <c r="A1037" s="157"/>
      <c r="B1037" s="216"/>
      <c r="C1037" s="216"/>
      <c r="D1037" s="216"/>
      <c r="E1037" s="216"/>
      <c r="F1037" s="216"/>
      <c r="G1037" s="216"/>
    </row>
    <row r="1038">
      <c r="A1038" s="157"/>
      <c r="B1038" s="216"/>
      <c r="C1038" s="216"/>
      <c r="D1038" s="216"/>
      <c r="E1038" s="216"/>
      <c r="F1038" s="216"/>
      <c r="G1038" s="216"/>
    </row>
    <row r="1039">
      <c r="A1039" s="157"/>
      <c r="B1039" s="216"/>
      <c r="C1039" s="216"/>
      <c r="D1039" s="216"/>
      <c r="E1039" s="216"/>
      <c r="F1039" s="216"/>
      <c r="G1039" s="216"/>
    </row>
    <row r="1040">
      <c r="A1040" s="157"/>
      <c r="B1040" s="216"/>
      <c r="C1040" s="216"/>
      <c r="D1040" s="216"/>
      <c r="E1040" s="216"/>
      <c r="F1040" s="216"/>
      <c r="G1040" s="216"/>
    </row>
    <row r="1041">
      <c r="A1041" s="157"/>
      <c r="B1041" s="216"/>
      <c r="C1041" s="216"/>
      <c r="D1041" s="216"/>
      <c r="E1041" s="216"/>
      <c r="F1041" s="216"/>
      <c r="G1041" s="216"/>
    </row>
    <row r="1042">
      <c r="A1042" s="157"/>
      <c r="B1042" s="216"/>
      <c r="C1042" s="216"/>
      <c r="D1042" s="216"/>
      <c r="E1042" s="216"/>
      <c r="F1042" s="216"/>
      <c r="G1042" s="216"/>
    </row>
    <row r="1043">
      <c r="A1043" s="157"/>
      <c r="B1043" s="216"/>
      <c r="C1043" s="216"/>
      <c r="D1043" s="216"/>
      <c r="E1043" s="216"/>
      <c r="F1043" s="216"/>
      <c r="G1043" s="216"/>
    </row>
    <row r="1044">
      <c r="A1044" s="157"/>
      <c r="B1044" s="216"/>
      <c r="C1044" s="216"/>
      <c r="D1044" s="216"/>
      <c r="E1044" s="216"/>
      <c r="F1044" s="216"/>
      <c r="G1044" s="216"/>
    </row>
    <row r="1045">
      <c r="A1045" s="157"/>
      <c r="B1045" s="216"/>
      <c r="C1045" s="216"/>
      <c r="D1045" s="216"/>
      <c r="E1045" s="216"/>
      <c r="F1045" s="216"/>
      <c r="G1045" s="216"/>
    </row>
    <row r="1046">
      <c r="A1046" s="157"/>
      <c r="B1046" s="216"/>
      <c r="C1046" s="216"/>
      <c r="D1046" s="216"/>
      <c r="E1046" s="216"/>
      <c r="F1046" s="216"/>
      <c r="G1046" s="216"/>
    </row>
    <row r="1047">
      <c r="A1047" s="157"/>
      <c r="B1047" s="216"/>
      <c r="C1047" s="216"/>
      <c r="D1047" s="216"/>
      <c r="E1047" s="216"/>
      <c r="F1047" s="216"/>
      <c r="G1047" s="216"/>
    </row>
    <row r="1048">
      <c r="A1048" s="157"/>
      <c r="B1048" s="216"/>
      <c r="C1048" s="216"/>
      <c r="D1048" s="216"/>
      <c r="E1048" s="216"/>
      <c r="F1048" s="216"/>
      <c r="G1048" s="216"/>
    </row>
    <row r="1049">
      <c r="A1049" s="157"/>
      <c r="B1049" s="216"/>
      <c r="C1049" s="216"/>
      <c r="D1049" s="216"/>
      <c r="E1049" s="216"/>
      <c r="F1049" s="216"/>
      <c r="G1049" s="216"/>
    </row>
    <row r="1050">
      <c r="A1050" s="157"/>
      <c r="B1050" s="216"/>
      <c r="C1050" s="216"/>
      <c r="D1050" s="216"/>
      <c r="E1050" s="216"/>
      <c r="F1050" s="216"/>
      <c r="G1050" s="216"/>
    </row>
    <row r="1051">
      <c r="A1051" s="157"/>
      <c r="B1051" s="216"/>
      <c r="C1051" s="216"/>
      <c r="D1051" s="216"/>
      <c r="E1051" s="216"/>
      <c r="F1051" s="216"/>
      <c r="G1051" s="216"/>
    </row>
    <row r="1052">
      <c r="A1052" s="157"/>
      <c r="B1052" s="216"/>
      <c r="C1052" s="216"/>
      <c r="D1052" s="216"/>
      <c r="E1052" s="216"/>
      <c r="F1052" s="216"/>
      <c r="G1052" s="216"/>
    </row>
    <row r="1053">
      <c r="A1053" s="157"/>
      <c r="B1053" s="216"/>
      <c r="C1053" s="216"/>
      <c r="D1053" s="216"/>
      <c r="E1053" s="216"/>
      <c r="F1053" s="216"/>
      <c r="G1053" s="216"/>
    </row>
    <row r="1054">
      <c r="A1054" s="157"/>
      <c r="B1054" s="216"/>
      <c r="C1054" s="216"/>
      <c r="D1054" s="216"/>
      <c r="E1054" s="216"/>
      <c r="F1054" s="216"/>
      <c r="G1054" s="216"/>
    </row>
    <row r="1055">
      <c r="A1055" s="216"/>
      <c r="B1055" s="216"/>
      <c r="C1055" s="216"/>
      <c r="D1055" s="216"/>
      <c r="E1055" s="216"/>
      <c r="F1055" s="216"/>
      <c r="G1055" s="216"/>
    </row>
    <row r="1056">
      <c r="A1056" s="216"/>
      <c r="B1056" s="216"/>
      <c r="C1056" s="216"/>
      <c r="D1056" s="216"/>
      <c r="E1056" s="216"/>
      <c r="F1056" s="216"/>
      <c r="G1056" s="216"/>
    </row>
    <row r="1057">
      <c r="A1057" s="216"/>
      <c r="B1057" s="216"/>
      <c r="C1057" s="216"/>
      <c r="D1057" s="216"/>
      <c r="E1057" s="216"/>
      <c r="F1057" s="216"/>
      <c r="G1057" s="216"/>
    </row>
    <row r="1058">
      <c r="A1058" s="216"/>
      <c r="B1058" s="216"/>
      <c r="C1058" s="216"/>
      <c r="D1058" s="216"/>
      <c r="E1058" s="216"/>
      <c r="F1058" s="216"/>
      <c r="G1058" s="216"/>
    </row>
    <row r="1059">
      <c r="A1059" s="216"/>
      <c r="B1059" s="216"/>
      <c r="C1059" s="216"/>
      <c r="D1059" s="216"/>
      <c r="E1059" s="216"/>
      <c r="F1059" s="216"/>
      <c r="G1059" s="216"/>
    </row>
    <row r="1060">
      <c r="A1060" s="216"/>
      <c r="B1060" s="216"/>
      <c r="C1060" s="216"/>
      <c r="D1060" s="216"/>
      <c r="E1060" s="216"/>
      <c r="F1060" s="216"/>
      <c r="G1060" s="216"/>
    </row>
    <row r="1061">
      <c r="A1061" s="216"/>
      <c r="B1061" s="216"/>
      <c r="C1061" s="216"/>
      <c r="D1061" s="216"/>
      <c r="E1061" s="216"/>
      <c r="F1061" s="216"/>
      <c r="G1061" s="216"/>
    </row>
    <row r="1062">
      <c r="A1062" s="216"/>
      <c r="B1062" s="216"/>
      <c r="C1062" s="216"/>
      <c r="D1062" s="216"/>
      <c r="E1062" s="216"/>
      <c r="F1062" s="216"/>
      <c r="G1062" s="216"/>
    </row>
    <row r="1063">
      <c r="A1063" s="216"/>
      <c r="B1063" s="216"/>
      <c r="C1063" s="216"/>
      <c r="D1063" s="216"/>
      <c r="E1063" s="216"/>
      <c r="F1063" s="216"/>
      <c r="G1063" s="216"/>
    </row>
    <row r="1064">
      <c r="A1064" s="216"/>
      <c r="B1064" s="216"/>
      <c r="C1064" s="216"/>
      <c r="D1064" s="216"/>
      <c r="E1064" s="216"/>
      <c r="F1064" s="216"/>
      <c r="G1064" s="216"/>
    </row>
    <row r="1065">
      <c r="A1065" s="216"/>
      <c r="B1065" s="216"/>
      <c r="C1065" s="216"/>
      <c r="D1065" s="216"/>
      <c r="E1065" s="216"/>
      <c r="F1065" s="216"/>
      <c r="G1065" s="216"/>
    </row>
    <row r="1066">
      <c r="A1066" s="216"/>
      <c r="B1066" s="216"/>
      <c r="C1066" s="216"/>
      <c r="D1066" s="216"/>
      <c r="E1066" s="216"/>
      <c r="F1066" s="216"/>
      <c r="G1066" s="216"/>
    </row>
    <row r="1067">
      <c r="A1067" s="216"/>
      <c r="B1067" s="216"/>
      <c r="C1067" s="216"/>
      <c r="D1067" s="216"/>
      <c r="E1067" s="216"/>
      <c r="F1067" s="216"/>
      <c r="G1067" s="216"/>
    </row>
    <row r="1068">
      <c r="A1068" s="216"/>
      <c r="B1068" s="216"/>
      <c r="C1068" s="216"/>
      <c r="D1068" s="216"/>
      <c r="E1068" s="216"/>
      <c r="F1068" s="216"/>
      <c r="G1068" s="216"/>
    </row>
    <row r="1069">
      <c r="A1069" s="216"/>
      <c r="B1069" s="216"/>
      <c r="C1069" s="216"/>
      <c r="D1069" s="216"/>
      <c r="E1069" s="216"/>
      <c r="F1069" s="216"/>
      <c r="G1069" s="216"/>
    </row>
    <row r="1070">
      <c r="A1070" s="216"/>
      <c r="B1070" s="216"/>
      <c r="C1070" s="216"/>
      <c r="D1070" s="216"/>
      <c r="E1070" s="216"/>
      <c r="F1070" s="216"/>
      <c r="G1070" s="216"/>
    </row>
    <row r="1071">
      <c r="A1071" s="216"/>
      <c r="B1071" s="216"/>
      <c r="C1071" s="216"/>
      <c r="D1071" s="216"/>
      <c r="E1071" s="216"/>
      <c r="F1071" s="216"/>
      <c r="G1071" s="216"/>
    </row>
    <row r="1072">
      <c r="A1072" s="216"/>
      <c r="B1072" s="216"/>
      <c r="C1072" s="216"/>
      <c r="D1072" s="216"/>
      <c r="E1072" s="216"/>
      <c r="F1072" s="216"/>
      <c r="G1072" s="216"/>
    </row>
    <row r="1073">
      <c r="A1073" s="216"/>
      <c r="B1073" s="216"/>
      <c r="C1073" s="216"/>
      <c r="D1073" s="216"/>
      <c r="E1073" s="216"/>
      <c r="F1073" s="216"/>
      <c r="G1073" s="216"/>
    </row>
    <row r="1074">
      <c r="A1074" s="216"/>
      <c r="B1074" s="216"/>
      <c r="C1074" s="216"/>
      <c r="D1074" s="216"/>
      <c r="E1074" s="216"/>
      <c r="F1074" s="216"/>
      <c r="G1074" s="216"/>
    </row>
    <row r="1075">
      <c r="A1075" s="216"/>
      <c r="B1075" s="216"/>
      <c r="C1075" s="216"/>
      <c r="D1075" s="216"/>
      <c r="E1075" s="216"/>
      <c r="F1075" s="216"/>
      <c r="G1075" s="216"/>
    </row>
    <row r="1076">
      <c r="A1076" s="216"/>
      <c r="B1076" s="216"/>
      <c r="C1076" s="216"/>
      <c r="D1076" s="216"/>
      <c r="E1076" s="216"/>
      <c r="F1076" s="216"/>
      <c r="G1076" s="216"/>
    </row>
    <row r="1077">
      <c r="A1077" s="216"/>
      <c r="B1077" s="216"/>
      <c r="C1077" s="216"/>
      <c r="D1077" s="216"/>
      <c r="E1077" s="216"/>
      <c r="F1077" s="216"/>
      <c r="G1077" s="216"/>
    </row>
    <row r="1078">
      <c r="A1078" s="216"/>
      <c r="B1078" s="216"/>
      <c r="C1078" s="216"/>
      <c r="D1078" s="216"/>
      <c r="E1078" s="216"/>
      <c r="F1078" s="216"/>
      <c r="G1078" s="216"/>
    </row>
    <row r="1079">
      <c r="A1079" s="216"/>
      <c r="B1079" s="216"/>
      <c r="C1079" s="216"/>
      <c r="D1079" s="216"/>
      <c r="E1079" s="216"/>
      <c r="F1079" s="216"/>
      <c r="G1079" s="216"/>
    </row>
    <row r="1080">
      <c r="A1080" s="216"/>
      <c r="B1080" s="216"/>
      <c r="C1080" s="216"/>
      <c r="D1080" s="216"/>
      <c r="E1080" s="216"/>
      <c r="F1080" s="216"/>
      <c r="G1080" s="216"/>
    </row>
    <row r="1081">
      <c r="A1081" s="216"/>
      <c r="B1081" s="216"/>
      <c r="C1081" s="216"/>
      <c r="D1081" s="216"/>
      <c r="E1081" s="216"/>
      <c r="F1081" s="216"/>
      <c r="G1081" s="216"/>
    </row>
    <row r="1082">
      <c r="A1082" s="216"/>
      <c r="B1082" s="216"/>
      <c r="C1082" s="216"/>
      <c r="D1082" s="216"/>
      <c r="E1082" s="216"/>
      <c r="F1082" s="216"/>
      <c r="G1082" s="216"/>
    </row>
    <row r="1083">
      <c r="A1083" s="216"/>
      <c r="B1083" s="216"/>
      <c r="C1083" s="216"/>
      <c r="D1083" s="216"/>
      <c r="E1083" s="216"/>
      <c r="F1083" s="216"/>
      <c r="G1083" s="216"/>
    </row>
    <row r="1084">
      <c r="A1084" s="216"/>
      <c r="B1084" s="216"/>
      <c r="C1084" s="216"/>
      <c r="D1084" s="216"/>
      <c r="E1084" s="216"/>
      <c r="F1084" s="216"/>
      <c r="G1084" s="216"/>
    </row>
    <row r="1085">
      <c r="A1085" s="216"/>
      <c r="B1085" s="216"/>
      <c r="C1085" s="216"/>
      <c r="D1085" s="216"/>
      <c r="E1085" s="216"/>
      <c r="F1085" s="216"/>
      <c r="G1085" s="216"/>
    </row>
    <row r="1086">
      <c r="A1086" s="216"/>
      <c r="B1086" s="216"/>
      <c r="C1086" s="216"/>
      <c r="D1086" s="216"/>
      <c r="E1086" s="216"/>
      <c r="F1086" s="216"/>
      <c r="G1086" s="216"/>
    </row>
    <row r="1087">
      <c r="A1087" s="216"/>
      <c r="B1087" s="216"/>
      <c r="C1087" s="216"/>
      <c r="D1087" s="216"/>
      <c r="E1087" s="216"/>
      <c r="F1087" s="216"/>
      <c r="G1087" s="216"/>
    </row>
    <row r="1088">
      <c r="A1088" s="216"/>
      <c r="B1088" s="216"/>
      <c r="C1088" s="216"/>
      <c r="D1088" s="216"/>
      <c r="E1088" s="216"/>
      <c r="F1088" s="216"/>
      <c r="G1088" s="216"/>
    </row>
    <row r="1089">
      <c r="A1089" s="216"/>
      <c r="B1089" s="216"/>
      <c r="C1089" s="216"/>
      <c r="D1089" s="216"/>
      <c r="E1089" s="216"/>
      <c r="F1089" s="216"/>
      <c r="G1089" s="216"/>
    </row>
    <row r="1090">
      <c r="A1090" s="216"/>
      <c r="B1090" s="216"/>
      <c r="C1090" s="216"/>
      <c r="D1090" s="216"/>
      <c r="E1090" s="216"/>
      <c r="F1090" s="216"/>
      <c r="G1090" s="216"/>
    </row>
    <row r="1091">
      <c r="A1091" s="216"/>
      <c r="B1091" s="216"/>
      <c r="C1091" s="216"/>
      <c r="D1091" s="216"/>
      <c r="E1091" s="216"/>
      <c r="F1091" s="216"/>
      <c r="G1091" s="216"/>
    </row>
    <row r="1092">
      <c r="A1092" s="216"/>
      <c r="B1092" s="216"/>
      <c r="C1092" s="216"/>
      <c r="D1092" s="216"/>
      <c r="E1092" s="216"/>
      <c r="F1092" s="216"/>
      <c r="G1092" s="216"/>
    </row>
    <row r="1093">
      <c r="A1093" s="216"/>
      <c r="B1093" s="216"/>
      <c r="C1093" s="216"/>
      <c r="D1093" s="216"/>
      <c r="E1093" s="216"/>
      <c r="F1093" s="216"/>
      <c r="G1093" s="216"/>
    </row>
    <row r="1094">
      <c r="A1094" s="216"/>
      <c r="B1094" s="216"/>
      <c r="C1094" s="216"/>
      <c r="D1094" s="216"/>
      <c r="E1094" s="216"/>
      <c r="F1094" s="216"/>
      <c r="G1094" s="216"/>
    </row>
    <row r="1095">
      <c r="A1095" s="216"/>
      <c r="B1095" s="216"/>
      <c r="C1095" s="216"/>
      <c r="D1095" s="216"/>
      <c r="E1095" s="216"/>
      <c r="F1095" s="216"/>
      <c r="G1095" s="216"/>
    </row>
    <row r="1096">
      <c r="A1096" s="216"/>
      <c r="B1096" s="216"/>
      <c r="C1096" s="216"/>
      <c r="D1096" s="216"/>
      <c r="E1096" s="216"/>
      <c r="F1096" s="216"/>
      <c r="G1096" s="216"/>
    </row>
    <row r="1097">
      <c r="A1097" s="216"/>
      <c r="B1097" s="216"/>
      <c r="C1097" s="216"/>
      <c r="D1097" s="216"/>
      <c r="E1097" s="216"/>
      <c r="F1097" s="216"/>
      <c r="G1097" s="216"/>
    </row>
    <row r="1098">
      <c r="A1098" s="216"/>
      <c r="B1098" s="216"/>
      <c r="C1098" s="216"/>
      <c r="D1098" s="216"/>
      <c r="E1098" s="216"/>
      <c r="F1098" s="216"/>
      <c r="G1098" s="216"/>
    </row>
    <row r="1099">
      <c r="A1099" s="216"/>
      <c r="B1099" s="216"/>
      <c r="C1099" s="216"/>
      <c r="D1099" s="216"/>
      <c r="E1099" s="216"/>
      <c r="F1099" s="216"/>
      <c r="G1099" s="216"/>
    </row>
    <row r="1100">
      <c r="A1100" s="216"/>
      <c r="B1100" s="216"/>
      <c r="C1100" s="216"/>
      <c r="D1100" s="216"/>
      <c r="E1100" s="216"/>
      <c r="F1100" s="216"/>
      <c r="G1100" s="216"/>
    </row>
    <row r="1101">
      <c r="A1101" s="216"/>
      <c r="B1101" s="216"/>
      <c r="C1101" s="216"/>
      <c r="D1101" s="216"/>
      <c r="E1101" s="216"/>
      <c r="F1101" s="216"/>
      <c r="G1101" s="216"/>
    </row>
    <row r="1102">
      <c r="A1102" s="216"/>
      <c r="B1102" s="216"/>
      <c r="C1102" s="216"/>
      <c r="D1102" s="216"/>
      <c r="E1102" s="216"/>
      <c r="F1102" s="216"/>
      <c r="G1102" s="216"/>
    </row>
    <row r="1103">
      <c r="A1103" s="216"/>
      <c r="B1103" s="216"/>
      <c r="C1103" s="216"/>
      <c r="D1103" s="216"/>
      <c r="E1103" s="216"/>
      <c r="F1103" s="216"/>
      <c r="G1103" s="216"/>
    </row>
    <row r="1104">
      <c r="A1104" s="216"/>
      <c r="B1104" s="216"/>
      <c r="C1104" s="216"/>
      <c r="D1104" s="216"/>
      <c r="E1104" s="216"/>
      <c r="F1104" s="216"/>
      <c r="G1104" s="216"/>
    </row>
    <row r="1105">
      <c r="A1105" s="216"/>
      <c r="B1105" s="216"/>
      <c r="C1105" s="216"/>
      <c r="D1105" s="216"/>
      <c r="E1105" s="216"/>
      <c r="F1105" s="216"/>
      <c r="G1105" s="216"/>
    </row>
    <row r="1106">
      <c r="A1106" s="216"/>
      <c r="B1106" s="216"/>
      <c r="C1106" s="216"/>
      <c r="D1106" s="216"/>
      <c r="E1106" s="216"/>
      <c r="F1106" s="216"/>
      <c r="G1106" s="216"/>
    </row>
    <row r="1107">
      <c r="A1107" s="216"/>
      <c r="B1107" s="216"/>
      <c r="C1107" s="216"/>
      <c r="D1107" s="216"/>
      <c r="E1107" s="216"/>
      <c r="F1107" s="216"/>
      <c r="G1107" s="216"/>
    </row>
    <row r="1108">
      <c r="A1108" s="216"/>
      <c r="B1108" s="216"/>
      <c r="C1108" s="216"/>
      <c r="D1108" s="216"/>
      <c r="E1108" s="216"/>
      <c r="F1108" s="216"/>
      <c r="G1108" s="216"/>
    </row>
    <row r="1109">
      <c r="A1109" s="216"/>
      <c r="B1109" s="216"/>
      <c r="C1109" s="216"/>
      <c r="D1109" s="216"/>
      <c r="E1109" s="216"/>
      <c r="F1109" s="216"/>
      <c r="G1109" s="216"/>
    </row>
    <row r="1110">
      <c r="A1110" s="216"/>
      <c r="B1110" s="216"/>
      <c r="C1110" s="216"/>
      <c r="D1110" s="216"/>
      <c r="E1110" s="216"/>
      <c r="F1110" s="216"/>
      <c r="G1110" s="216"/>
    </row>
    <row r="1111">
      <c r="A1111" s="216"/>
      <c r="B1111" s="216"/>
      <c r="C1111" s="216"/>
      <c r="D1111" s="216"/>
      <c r="E1111" s="216"/>
      <c r="F1111" s="216"/>
      <c r="G1111" s="216"/>
    </row>
    <row r="1112">
      <c r="A1112" s="216"/>
      <c r="B1112" s="216"/>
      <c r="C1112" s="216"/>
      <c r="D1112" s="216"/>
      <c r="E1112" s="216"/>
      <c r="F1112" s="216"/>
      <c r="G1112" s="216"/>
    </row>
    <row r="1113">
      <c r="A1113" s="216"/>
      <c r="B1113" s="216"/>
      <c r="C1113" s="216"/>
      <c r="D1113" s="216"/>
      <c r="E1113" s="216"/>
      <c r="F1113" s="216"/>
      <c r="G1113" s="216"/>
    </row>
    <row r="1114">
      <c r="A1114" s="216"/>
      <c r="B1114" s="216"/>
      <c r="C1114" s="216"/>
      <c r="D1114" s="216"/>
      <c r="E1114" s="216"/>
      <c r="F1114" s="216"/>
      <c r="G1114" s="216"/>
    </row>
    <row r="1115">
      <c r="A1115" s="216"/>
      <c r="B1115" s="216"/>
      <c r="C1115" s="216"/>
      <c r="D1115" s="216"/>
      <c r="E1115" s="216"/>
      <c r="F1115" s="216"/>
      <c r="G1115" s="216"/>
    </row>
    <row r="1116">
      <c r="A1116" s="216"/>
      <c r="B1116" s="216"/>
      <c r="C1116" s="216"/>
      <c r="D1116" s="216"/>
      <c r="E1116" s="216"/>
      <c r="F1116" s="216"/>
      <c r="G1116" s="216"/>
    </row>
    <row r="1117">
      <c r="A1117" s="216"/>
      <c r="B1117" s="216"/>
      <c r="C1117" s="216"/>
      <c r="D1117" s="216"/>
      <c r="E1117" s="216"/>
      <c r="F1117" s="216"/>
      <c r="G1117" s="216"/>
    </row>
    <row r="1118">
      <c r="A1118" s="216"/>
      <c r="B1118" s="216"/>
      <c r="C1118" s="216"/>
      <c r="D1118" s="216"/>
      <c r="E1118" s="216"/>
      <c r="F1118" s="216"/>
      <c r="G1118" s="216"/>
    </row>
    <row r="1119">
      <c r="A1119" s="216"/>
      <c r="B1119" s="216"/>
      <c r="C1119" s="216"/>
      <c r="D1119" s="216"/>
      <c r="E1119" s="216"/>
      <c r="F1119" s="216"/>
      <c r="G1119" s="216"/>
    </row>
    <row r="1120">
      <c r="A1120" s="216"/>
      <c r="B1120" s="216"/>
      <c r="C1120" s="216"/>
      <c r="D1120" s="216"/>
      <c r="E1120" s="216"/>
      <c r="F1120" s="216"/>
      <c r="G1120" s="216"/>
    </row>
    <row r="1121">
      <c r="A1121" s="216"/>
      <c r="B1121" s="216"/>
      <c r="C1121" s="216"/>
      <c r="D1121" s="216"/>
      <c r="E1121" s="216"/>
      <c r="F1121" s="216"/>
      <c r="G1121" s="216"/>
    </row>
    <row r="1122">
      <c r="A1122" s="216"/>
      <c r="B1122" s="216"/>
      <c r="C1122" s="216"/>
      <c r="D1122" s="216"/>
      <c r="E1122" s="216"/>
      <c r="F1122" s="216"/>
      <c r="G1122" s="216"/>
    </row>
    <row r="1123">
      <c r="A1123" s="216"/>
      <c r="B1123" s="216"/>
      <c r="C1123" s="216"/>
      <c r="D1123" s="216"/>
      <c r="E1123" s="216"/>
      <c r="F1123" s="216"/>
      <c r="G1123" s="216"/>
    </row>
    <row r="1124">
      <c r="A1124" s="216"/>
      <c r="B1124" s="216"/>
      <c r="C1124" s="216"/>
      <c r="D1124" s="216"/>
      <c r="E1124" s="216"/>
      <c r="F1124" s="216"/>
      <c r="G1124" s="216"/>
    </row>
    <row r="1125">
      <c r="A1125" s="216"/>
      <c r="B1125" s="216"/>
      <c r="C1125" s="216"/>
      <c r="D1125" s="216"/>
      <c r="E1125" s="216"/>
      <c r="F1125" s="216"/>
      <c r="G1125" s="216"/>
    </row>
    <row r="1126">
      <c r="A1126" s="216"/>
      <c r="B1126" s="216"/>
      <c r="C1126" s="216"/>
      <c r="D1126" s="216"/>
      <c r="E1126" s="216"/>
      <c r="F1126" s="216"/>
      <c r="G1126" s="216"/>
    </row>
    <row r="1127">
      <c r="A1127" s="216"/>
      <c r="B1127" s="216"/>
      <c r="C1127" s="216"/>
      <c r="D1127" s="216"/>
      <c r="E1127" s="216"/>
      <c r="F1127" s="216"/>
      <c r="G1127" s="216"/>
    </row>
    <row r="1128">
      <c r="A1128" s="216"/>
      <c r="B1128" s="216"/>
      <c r="C1128" s="216"/>
      <c r="D1128" s="216"/>
      <c r="E1128" s="216"/>
      <c r="F1128" s="216"/>
      <c r="G1128" s="216"/>
    </row>
    <row r="1129">
      <c r="A1129" s="216"/>
      <c r="B1129" s="216"/>
      <c r="C1129" s="216"/>
      <c r="D1129" s="216"/>
      <c r="E1129" s="216"/>
      <c r="F1129" s="216"/>
      <c r="G1129" s="216"/>
    </row>
    <row r="1130">
      <c r="A1130" s="216"/>
      <c r="B1130" s="216"/>
      <c r="C1130" s="216"/>
      <c r="D1130" s="216"/>
      <c r="E1130" s="216"/>
      <c r="F1130" s="216"/>
      <c r="G1130" s="216"/>
    </row>
    <row r="1131">
      <c r="A1131" s="216"/>
      <c r="B1131" s="216"/>
      <c r="C1131" s="216"/>
      <c r="D1131" s="216"/>
      <c r="E1131" s="216"/>
      <c r="F1131" s="216"/>
      <c r="G1131" s="216"/>
    </row>
    <row r="1132">
      <c r="A1132" s="216"/>
      <c r="B1132" s="216"/>
      <c r="C1132" s="216"/>
      <c r="D1132" s="216"/>
      <c r="E1132" s="216"/>
      <c r="F1132" s="216"/>
      <c r="G1132" s="216"/>
    </row>
    <row r="1133">
      <c r="A1133" s="216"/>
      <c r="B1133" s="216"/>
      <c r="C1133" s="216"/>
      <c r="D1133" s="216"/>
      <c r="E1133" s="216"/>
      <c r="F1133" s="216"/>
      <c r="G1133" s="216"/>
    </row>
    <row r="1134">
      <c r="A1134" s="216"/>
      <c r="B1134" s="216"/>
      <c r="C1134" s="216"/>
      <c r="D1134" s="216"/>
      <c r="E1134" s="216"/>
      <c r="F1134" s="216"/>
      <c r="G1134" s="216"/>
    </row>
    <row r="1135">
      <c r="A1135" s="216"/>
      <c r="B1135" s="216"/>
      <c r="C1135" s="216"/>
      <c r="D1135" s="216"/>
      <c r="E1135" s="216"/>
      <c r="F1135" s="216"/>
      <c r="G1135" s="216"/>
    </row>
    <row r="1136">
      <c r="A1136" s="216"/>
      <c r="B1136" s="216"/>
      <c r="C1136" s="216"/>
      <c r="D1136" s="216"/>
      <c r="E1136" s="216"/>
      <c r="F1136" s="216"/>
      <c r="G1136" s="216"/>
    </row>
    <row r="1137">
      <c r="A1137" s="216"/>
      <c r="B1137" s="216"/>
      <c r="C1137" s="216"/>
      <c r="D1137" s="216"/>
      <c r="E1137" s="216"/>
      <c r="F1137" s="216"/>
      <c r="G1137" s="216"/>
    </row>
    <row r="1138">
      <c r="A1138" s="216"/>
      <c r="B1138" s="216"/>
      <c r="C1138" s="216"/>
      <c r="D1138" s="216"/>
      <c r="E1138" s="216"/>
      <c r="F1138" s="216"/>
      <c r="G1138" s="216"/>
    </row>
    <row r="1139">
      <c r="A1139" s="216"/>
      <c r="B1139" s="216"/>
      <c r="C1139" s="216"/>
      <c r="D1139" s="216"/>
      <c r="E1139" s="216"/>
      <c r="F1139" s="216"/>
      <c r="G1139" s="216"/>
    </row>
    <row r="1140">
      <c r="A1140" s="216"/>
      <c r="B1140" s="216"/>
      <c r="C1140" s="216"/>
      <c r="D1140" s="216"/>
      <c r="E1140" s="216"/>
      <c r="F1140" s="216"/>
      <c r="G1140" s="216"/>
    </row>
    <row r="1141">
      <c r="A1141" s="216"/>
      <c r="B1141" s="216"/>
      <c r="C1141" s="216"/>
      <c r="D1141" s="216"/>
      <c r="E1141" s="216"/>
      <c r="F1141" s="216"/>
      <c r="G1141" s="216"/>
    </row>
    <row r="1142">
      <c r="A1142" s="216"/>
      <c r="B1142" s="216"/>
      <c r="C1142" s="216"/>
      <c r="D1142" s="216"/>
      <c r="E1142" s="216"/>
      <c r="F1142" s="216"/>
      <c r="G1142" s="216"/>
    </row>
    <row r="1143">
      <c r="A1143" s="216"/>
      <c r="B1143" s="216"/>
      <c r="C1143" s="216"/>
      <c r="D1143" s="216"/>
      <c r="E1143" s="216"/>
      <c r="F1143" s="216"/>
      <c r="G1143" s="216"/>
    </row>
    <row r="1144">
      <c r="A1144" s="216"/>
      <c r="B1144" s="216"/>
      <c r="C1144" s="216"/>
      <c r="D1144" s="216"/>
      <c r="E1144" s="216"/>
      <c r="F1144" s="216"/>
      <c r="G1144" s="216"/>
    </row>
    <row r="1145">
      <c r="A1145" s="216"/>
      <c r="B1145" s="216"/>
      <c r="C1145" s="216"/>
      <c r="D1145" s="216"/>
      <c r="E1145" s="216"/>
      <c r="F1145" s="216"/>
      <c r="G1145" s="216"/>
    </row>
    <row r="1146">
      <c r="A1146" s="216"/>
      <c r="B1146" s="216"/>
      <c r="C1146" s="216"/>
      <c r="D1146" s="216"/>
      <c r="E1146" s="216"/>
      <c r="F1146" s="216"/>
      <c r="G1146" s="216"/>
    </row>
    <row r="1147">
      <c r="A1147" s="216"/>
      <c r="B1147" s="216"/>
      <c r="C1147" s="216"/>
      <c r="D1147" s="216"/>
      <c r="E1147" s="216"/>
      <c r="F1147" s="216"/>
      <c r="G1147" s="216"/>
    </row>
    <row r="1148">
      <c r="A1148" s="216"/>
      <c r="B1148" s="216"/>
      <c r="C1148" s="216"/>
      <c r="D1148" s="216"/>
      <c r="E1148" s="216"/>
      <c r="F1148" s="216"/>
      <c r="G1148" s="216"/>
    </row>
    <row r="1149">
      <c r="A1149" s="216"/>
      <c r="B1149" s="216"/>
      <c r="C1149" s="216"/>
      <c r="D1149" s="216"/>
      <c r="E1149" s="216"/>
      <c r="F1149" s="216"/>
      <c r="G1149" s="216"/>
    </row>
    <row r="1150">
      <c r="A1150" s="216"/>
      <c r="B1150" s="216"/>
      <c r="C1150" s="216"/>
      <c r="D1150" s="216"/>
      <c r="E1150" s="216"/>
      <c r="F1150" s="216"/>
      <c r="G1150" s="216"/>
    </row>
    <row r="1151">
      <c r="A1151" s="216"/>
      <c r="B1151" s="216"/>
      <c r="C1151" s="216"/>
      <c r="D1151" s="216"/>
      <c r="E1151" s="216"/>
      <c r="F1151" s="216"/>
      <c r="G1151" s="216"/>
    </row>
    <row r="1152">
      <c r="A1152" s="216"/>
      <c r="B1152" s="216"/>
      <c r="C1152" s="216"/>
      <c r="D1152" s="216"/>
      <c r="E1152" s="216"/>
      <c r="F1152" s="216"/>
      <c r="G1152" s="216"/>
    </row>
    <row r="1153">
      <c r="A1153" s="216"/>
      <c r="B1153" s="216"/>
      <c r="C1153" s="216"/>
      <c r="D1153" s="216"/>
      <c r="E1153" s="216"/>
      <c r="F1153" s="216"/>
      <c r="G1153" s="216"/>
    </row>
    <row r="1154">
      <c r="A1154" s="216"/>
      <c r="B1154" s="216"/>
      <c r="C1154" s="216"/>
      <c r="D1154" s="216"/>
      <c r="E1154" s="216"/>
      <c r="F1154" s="216"/>
      <c r="G1154" s="216"/>
    </row>
    <row r="1155">
      <c r="A1155" s="216"/>
      <c r="B1155" s="216"/>
      <c r="C1155" s="216"/>
      <c r="D1155" s="216"/>
      <c r="E1155" s="216"/>
      <c r="F1155" s="216"/>
      <c r="G1155" s="216"/>
    </row>
    <row r="1156">
      <c r="A1156" s="216"/>
      <c r="B1156" s="216"/>
      <c r="C1156" s="216"/>
      <c r="D1156" s="216"/>
      <c r="E1156" s="216"/>
      <c r="F1156" s="216"/>
      <c r="G1156" s="216"/>
    </row>
    <row r="1157">
      <c r="A1157" s="216"/>
      <c r="B1157" s="216"/>
      <c r="C1157" s="216"/>
      <c r="D1157" s="216"/>
      <c r="E1157" s="216"/>
      <c r="F1157" s="216"/>
      <c r="G1157" s="216"/>
    </row>
    <row r="1158">
      <c r="A1158" s="216"/>
      <c r="B1158" s="216"/>
      <c r="C1158" s="216"/>
      <c r="D1158" s="216"/>
      <c r="E1158" s="216"/>
      <c r="F1158" s="216"/>
      <c r="G1158" s="216"/>
    </row>
    <row r="1159">
      <c r="A1159" s="216"/>
      <c r="B1159" s="216"/>
      <c r="C1159" s="216"/>
      <c r="D1159" s="216"/>
      <c r="E1159" s="216"/>
      <c r="F1159" s="216"/>
      <c r="G1159" s="216"/>
    </row>
    <row r="1160">
      <c r="A1160" s="216"/>
      <c r="B1160" s="216"/>
      <c r="C1160" s="216"/>
      <c r="D1160" s="216"/>
      <c r="E1160" s="216"/>
      <c r="F1160" s="216"/>
      <c r="G1160" s="216"/>
    </row>
    <row r="1161">
      <c r="A1161" s="216"/>
      <c r="B1161" s="216"/>
      <c r="C1161" s="216"/>
      <c r="D1161" s="216"/>
      <c r="E1161" s="216"/>
      <c r="F1161" s="216"/>
      <c r="G1161" s="216"/>
    </row>
    <row r="1162">
      <c r="A1162" s="216"/>
      <c r="B1162" s="216"/>
      <c r="C1162" s="216"/>
      <c r="D1162" s="216"/>
      <c r="E1162" s="216"/>
      <c r="F1162" s="216"/>
      <c r="G1162" s="216"/>
    </row>
    <row r="1163">
      <c r="A1163" s="216"/>
      <c r="B1163" s="216"/>
      <c r="C1163" s="216"/>
      <c r="D1163" s="216"/>
      <c r="E1163" s="216"/>
      <c r="F1163" s="216"/>
      <c r="G1163" s="216"/>
    </row>
    <row r="1164">
      <c r="A1164" s="216"/>
      <c r="B1164" s="216"/>
      <c r="C1164" s="216"/>
      <c r="D1164" s="216"/>
      <c r="E1164" s="216"/>
      <c r="F1164" s="216"/>
      <c r="G1164" s="216"/>
    </row>
    <row r="1165">
      <c r="A1165" s="216"/>
      <c r="B1165" s="216"/>
      <c r="C1165" s="216"/>
      <c r="D1165" s="216"/>
      <c r="E1165" s="216"/>
      <c r="F1165" s="216"/>
      <c r="G1165" s="216"/>
    </row>
    <row r="1166">
      <c r="A1166" s="216"/>
      <c r="B1166" s="216"/>
      <c r="C1166" s="216"/>
      <c r="D1166" s="216"/>
      <c r="E1166" s="216"/>
      <c r="F1166" s="216"/>
      <c r="G1166" s="216"/>
    </row>
    <row r="1167">
      <c r="A1167" s="216"/>
      <c r="B1167" s="216"/>
      <c r="C1167" s="216"/>
      <c r="D1167" s="216"/>
      <c r="E1167" s="216"/>
      <c r="F1167" s="216"/>
      <c r="G1167" s="216"/>
    </row>
    <row r="1168">
      <c r="A1168" s="216"/>
      <c r="B1168" s="216"/>
      <c r="C1168" s="216"/>
      <c r="D1168" s="216"/>
      <c r="E1168" s="216"/>
      <c r="F1168" s="216"/>
      <c r="G1168" s="216"/>
    </row>
    <row r="1169">
      <c r="A1169" s="216"/>
      <c r="B1169" s="216"/>
      <c r="C1169" s="216"/>
      <c r="D1169" s="216"/>
      <c r="E1169" s="216"/>
      <c r="F1169" s="216"/>
      <c r="G1169" s="216"/>
    </row>
    <row r="1170">
      <c r="A1170" s="216"/>
      <c r="B1170" s="216"/>
      <c r="C1170" s="216"/>
      <c r="D1170" s="216"/>
      <c r="E1170" s="216"/>
      <c r="F1170" s="216"/>
      <c r="G1170" s="216"/>
    </row>
    <row r="1171">
      <c r="A1171" s="216"/>
      <c r="B1171" s="216"/>
      <c r="C1171" s="216"/>
      <c r="D1171" s="216"/>
      <c r="E1171" s="216"/>
      <c r="F1171" s="216"/>
      <c r="G1171" s="216"/>
    </row>
    <row r="1172">
      <c r="A1172" s="216"/>
      <c r="B1172" s="216"/>
      <c r="C1172" s="216"/>
      <c r="D1172" s="216"/>
      <c r="E1172" s="216"/>
      <c r="F1172" s="216"/>
      <c r="G1172" s="216"/>
    </row>
    <row r="1173">
      <c r="A1173" s="216"/>
      <c r="B1173" s="216"/>
      <c r="C1173" s="216"/>
      <c r="D1173" s="216"/>
      <c r="E1173" s="216"/>
      <c r="F1173" s="216"/>
      <c r="G1173" s="216"/>
    </row>
    <row r="1174">
      <c r="A1174" s="216"/>
      <c r="B1174" s="216"/>
      <c r="C1174" s="216"/>
      <c r="D1174" s="216"/>
      <c r="E1174" s="216"/>
      <c r="F1174" s="216"/>
      <c r="G1174" s="216"/>
    </row>
    <row r="1175">
      <c r="A1175" s="216"/>
      <c r="B1175" s="216"/>
      <c r="C1175" s="216"/>
      <c r="D1175" s="216"/>
      <c r="E1175" s="216"/>
      <c r="F1175" s="216"/>
      <c r="G1175" s="216"/>
    </row>
    <row r="1176">
      <c r="A1176" s="216"/>
      <c r="B1176" s="216"/>
      <c r="C1176" s="216"/>
      <c r="D1176" s="216"/>
      <c r="E1176" s="216"/>
      <c r="F1176" s="216"/>
      <c r="G1176" s="216"/>
    </row>
    <row r="1177">
      <c r="A1177" s="216"/>
      <c r="B1177" s="216"/>
      <c r="C1177" s="216"/>
      <c r="D1177" s="216"/>
      <c r="E1177" s="216"/>
      <c r="F1177" s="216"/>
      <c r="G1177" s="216"/>
    </row>
    <row r="1178">
      <c r="A1178" s="216"/>
      <c r="B1178" s="216"/>
      <c r="C1178" s="216"/>
      <c r="D1178" s="216"/>
      <c r="E1178" s="216"/>
      <c r="F1178" s="216"/>
      <c r="G1178" s="216"/>
    </row>
    <row r="1179">
      <c r="A1179" s="216"/>
      <c r="B1179" s="216"/>
      <c r="C1179" s="216"/>
      <c r="D1179" s="216"/>
      <c r="E1179" s="216"/>
      <c r="F1179" s="216"/>
      <c r="G1179" s="216"/>
    </row>
    <row r="1180">
      <c r="A1180" s="216"/>
      <c r="B1180" s="216"/>
      <c r="C1180" s="216"/>
      <c r="D1180" s="216"/>
      <c r="E1180" s="216"/>
      <c r="F1180" s="216"/>
      <c r="G1180" s="216"/>
    </row>
    <row r="1181">
      <c r="A1181" s="216"/>
      <c r="B1181" s="216"/>
      <c r="C1181" s="216"/>
      <c r="D1181" s="216"/>
      <c r="E1181" s="216"/>
      <c r="F1181" s="216"/>
      <c r="G1181" s="216"/>
    </row>
    <row r="1182">
      <c r="A1182" s="216"/>
      <c r="B1182" s="216"/>
      <c r="C1182" s="216"/>
      <c r="D1182" s="216"/>
      <c r="E1182" s="216"/>
      <c r="F1182" s="216"/>
      <c r="G1182" s="216"/>
    </row>
    <row r="1183">
      <c r="A1183" s="216"/>
      <c r="B1183" s="216"/>
      <c r="C1183" s="216"/>
      <c r="D1183" s="216"/>
      <c r="E1183" s="216"/>
      <c r="F1183" s="216"/>
      <c r="G1183" s="216"/>
    </row>
    <row r="1184">
      <c r="A1184" s="216"/>
      <c r="B1184" s="216"/>
      <c r="C1184" s="216"/>
      <c r="D1184" s="216"/>
      <c r="E1184" s="216"/>
      <c r="F1184" s="216"/>
      <c r="G1184" s="216"/>
    </row>
    <row r="1185">
      <c r="A1185" s="216"/>
      <c r="B1185" s="216"/>
      <c r="C1185" s="216"/>
      <c r="D1185" s="216"/>
      <c r="E1185" s="216"/>
      <c r="F1185" s="216"/>
      <c r="G1185" s="216"/>
    </row>
    <row r="1186">
      <c r="A1186" s="216"/>
      <c r="B1186" s="216"/>
      <c r="C1186" s="216"/>
      <c r="D1186" s="216"/>
      <c r="E1186" s="216"/>
      <c r="F1186" s="216"/>
      <c r="G1186" s="216"/>
    </row>
    <row r="1187">
      <c r="A1187" s="216"/>
      <c r="B1187" s="216"/>
      <c r="C1187" s="216"/>
      <c r="D1187" s="216"/>
      <c r="E1187" s="216"/>
      <c r="F1187" s="216"/>
      <c r="G1187" s="216"/>
    </row>
    <row r="1188">
      <c r="A1188" s="216"/>
      <c r="B1188" s="216"/>
      <c r="C1188" s="216"/>
      <c r="D1188" s="216"/>
      <c r="E1188" s="216"/>
      <c r="F1188" s="216"/>
      <c r="G1188" s="216"/>
    </row>
    <row r="1189">
      <c r="A1189" s="216"/>
      <c r="B1189" s="216"/>
      <c r="C1189" s="216"/>
      <c r="D1189" s="216"/>
      <c r="E1189" s="216"/>
      <c r="F1189" s="216"/>
      <c r="G1189" s="216"/>
    </row>
    <row r="1190">
      <c r="A1190" s="216"/>
      <c r="B1190" s="216"/>
      <c r="C1190" s="216"/>
      <c r="D1190" s="216"/>
      <c r="E1190" s="216"/>
      <c r="F1190" s="216"/>
      <c r="G1190" s="216"/>
    </row>
    <row r="1191">
      <c r="A1191" s="216"/>
      <c r="B1191" s="216"/>
      <c r="C1191" s="216"/>
      <c r="D1191" s="216"/>
      <c r="E1191" s="216"/>
      <c r="F1191" s="216"/>
      <c r="G1191" s="216"/>
    </row>
    <row r="1192">
      <c r="A1192" s="216"/>
      <c r="B1192" s="216"/>
      <c r="C1192" s="216"/>
      <c r="D1192" s="216"/>
      <c r="E1192" s="216"/>
      <c r="F1192" s="216"/>
      <c r="G1192" s="216"/>
    </row>
    <row r="1193">
      <c r="A1193" s="216"/>
      <c r="B1193" s="216"/>
      <c r="C1193" s="216"/>
      <c r="D1193" s="216"/>
      <c r="E1193" s="216"/>
      <c r="F1193" s="216"/>
      <c r="G1193" s="216"/>
    </row>
    <row r="1194">
      <c r="A1194" s="216"/>
      <c r="B1194" s="216"/>
      <c r="C1194" s="216"/>
      <c r="D1194" s="216"/>
      <c r="E1194" s="216"/>
      <c r="F1194" s="216"/>
      <c r="G1194" s="216"/>
    </row>
    <row r="1195">
      <c r="A1195" s="216"/>
      <c r="B1195" s="216"/>
      <c r="C1195" s="216"/>
      <c r="D1195" s="216"/>
      <c r="E1195" s="216"/>
      <c r="F1195" s="216"/>
      <c r="G1195" s="216"/>
    </row>
    <row r="1196">
      <c r="A1196" s="216"/>
      <c r="B1196" s="216"/>
      <c r="C1196" s="216"/>
      <c r="D1196" s="216"/>
      <c r="E1196" s="216"/>
      <c r="F1196" s="216"/>
      <c r="G1196" s="216"/>
    </row>
    <row r="1197">
      <c r="A1197" s="216"/>
      <c r="B1197" s="216"/>
      <c r="C1197" s="216"/>
      <c r="D1197" s="216"/>
      <c r="E1197" s="216"/>
      <c r="F1197" s="216"/>
      <c r="G1197" s="216"/>
    </row>
    <row r="1198">
      <c r="A1198" s="216"/>
      <c r="B1198" s="216"/>
      <c r="C1198" s="216"/>
      <c r="D1198" s="216"/>
      <c r="E1198" s="216"/>
      <c r="F1198" s="216"/>
      <c r="G1198" s="216"/>
    </row>
    <row r="1199">
      <c r="A1199" s="216"/>
      <c r="B1199" s="216"/>
      <c r="C1199" s="216"/>
      <c r="D1199" s="216"/>
      <c r="E1199" s="216"/>
      <c r="F1199" s="216"/>
      <c r="G1199" s="216"/>
    </row>
    <row r="1200">
      <c r="A1200" s="216"/>
      <c r="B1200" s="216"/>
      <c r="C1200" s="216"/>
      <c r="D1200" s="216"/>
      <c r="E1200" s="216"/>
      <c r="F1200" s="216"/>
      <c r="G1200" s="216"/>
    </row>
    <row r="1201">
      <c r="A1201" s="216"/>
      <c r="B1201" s="216"/>
      <c r="C1201" s="216"/>
      <c r="D1201" s="216"/>
      <c r="E1201" s="216"/>
      <c r="F1201" s="216"/>
      <c r="G1201" s="216"/>
    </row>
    <row r="1202">
      <c r="A1202" s="216"/>
      <c r="B1202" s="216"/>
      <c r="C1202" s="216"/>
      <c r="D1202" s="216"/>
      <c r="E1202" s="216"/>
      <c r="F1202" s="216"/>
      <c r="G1202" s="216"/>
    </row>
    <row r="1203">
      <c r="A1203" s="216"/>
      <c r="B1203" s="216"/>
      <c r="C1203" s="216"/>
      <c r="D1203" s="216"/>
      <c r="E1203" s="216"/>
      <c r="F1203" s="216"/>
      <c r="G1203" s="216"/>
    </row>
    <row r="1204">
      <c r="A1204" s="216"/>
      <c r="B1204" s="216"/>
      <c r="C1204" s="216"/>
      <c r="D1204" s="216"/>
      <c r="E1204" s="216"/>
      <c r="F1204" s="216"/>
      <c r="G1204" s="216"/>
    </row>
    <row r="1205">
      <c r="A1205" s="216"/>
      <c r="B1205" s="216"/>
      <c r="C1205" s="216"/>
      <c r="D1205" s="216"/>
      <c r="E1205" s="216"/>
      <c r="F1205" s="216"/>
      <c r="G1205" s="216"/>
    </row>
    <row r="1206">
      <c r="A1206" s="216"/>
      <c r="B1206" s="216"/>
      <c r="C1206" s="216"/>
      <c r="D1206" s="216"/>
      <c r="E1206" s="216"/>
      <c r="F1206" s="216"/>
      <c r="G1206" s="216"/>
    </row>
    <row r="1207">
      <c r="A1207" s="216"/>
      <c r="B1207" s="216"/>
      <c r="C1207" s="216"/>
      <c r="D1207" s="216"/>
      <c r="E1207" s="216"/>
      <c r="F1207" s="216"/>
      <c r="G1207" s="216"/>
    </row>
    <row r="1208">
      <c r="A1208" s="216"/>
      <c r="B1208" s="216"/>
      <c r="C1208" s="216"/>
      <c r="D1208" s="216"/>
      <c r="E1208" s="216"/>
      <c r="F1208" s="216"/>
      <c r="G1208" s="216"/>
    </row>
    <row r="1209">
      <c r="A1209" s="216"/>
      <c r="B1209" s="216"/>
      <c r="C1209" s="216"/>
      <c r="D1209" s="216"/>
      <c r="E1209" s="216"/>
      <c r="F1209" s="216"/>
      <c r="G1209" s="216"/>
    </row>
    <row r="1210">
      <c r="A1210" s="216"/>
      <c r="B1210" s="216"/>
      <c r="C1210" s="216"/>
      <c r="D1210" s="216"/>
      <c r="E1210" s="216"/>
      <c r="F1210" s="216"/>
      <c r="G1210" s="216"/>
    </row>
    <row r="1211">
      <c r="A1211" s="216"/>
      <c r="B1211" s="216"/>
      <c r="C1211" s="216"/>
      <c r="D1211" s="216"/>
      <c r="E1211" s="216"/>
      <c r="F1211" s="216"/>
      <c r="G1211" s="216"/>
    </row>
    <row r="1212">
      <c r="A1212" s="216"/>
      <c r="B1212" s="216"/>
      <c r="C1212" s="216"/>
      <c r="D1212" s="216"/>
      <c r="E1212" s="216"/>
      <c r="F1212" s="216"/>
      <c r="G1212" s="216"/>
    </row>
    <row r="1213">
      <c r="A1213" s="216"/>
      <c r="B1213" s="216"/>
      <c r="C1213" s="216"/>
      <c r="D1213" s="216"/>
      <c r="E1213" s="216"/>
      <c r="F1213" s="216"/>
      <c r="G1213" s="216"/>
    </row>
    <row r="1214">
      <c r="A1214" s="216"/>
      <c r="B1214" s="216"/>
      <c r="C1214" s="216"/>
      <c r="D1214" s="216"/>
      <c r="E1214" s="216"/>
      <c r="F1214" s="216"/>
      <c r="G1214" s="216"/>
    </row>
    <row r="1215">
      <c r="A1215" s="216"/>
      <c r="B1215" s="216"/>
      <c r="C1215" s="216"/>
      <c r="D1215" s="216"/>
      <c r="E1215" s="216"/>
      <c r="F1215" s="216"/>
      <c r="G1215" s="216"/>
    </row>
    <row r="1216">
      <c r="A1216" s="216"/>
      <c r="B1216" s="216"/>
      <c r="C1216" s="216"/>
      <c r="D1216" s="216"/>
      <c r="E1216" s="216"/>
      <c r="F1216" s="216"/>
      <c r="G1216" s="216"/>
    </row>
    <row r="1217">
      <c r="A1217" s="216"/>
      <c r="B1217" s="216"/>
      <c r="C1217" s="216"/>
      <c r="D1217" s="216"/>
      <c r="E1217" s="216"/>
      <c r="F1217" s="216"/>
      <c r="G1217" s="216"/>
    </row>
    <row r="1218">
      <c r="A1218" s="216"/>
      <c r="B1218" s="216"/>
      <c r="C1218" s="216"/>
      <c r="D1218" s="216"/>
      <c r="E1218" s="216"/>
      <c r="F1218" s="216"/>
      <c r="G1218" s="216"/>
    </row>
    <row r="1219">
      <c r="A1219" s="216"/>
      <c r="B1219" s="216"/>
      <c r="C1219" s="216"/>
      <c r="D1219" s="216"/>
      <c r="E1219" s="216"/>
      <c r="F1219" s="216"/>
      <c r="G1219" s="216"/>
    </row>
    <row r="1220">
      <c r="A1220" s="216"/>
      <c r="B1220" s="216"/>
      <c r="C1220" s="216"/>
      <c r="D1220" s="216"/>
      <c r="E1220" s="216"/>
      <c r="F1220" s="216"/>
      <c r="G1220" s="216"/>
    </row>
    <row r="1221">
      <c r="A1221" s="216"/>
      <c r="B1221" s="216"/>
      <c r="C1221" s="216"/>
      <c r="D1221" s="216"/>
      <c r="E1221" s="216"/>
      <c r="F1221" s="216"/>
      <c r="G1221" s="216"/>
    </row>
    <row r="1222">
      <c r="A1222" s="216"/>
      <c r="B1222" s="216"/>
      <c r="C1222" s="216"/>
      <c r="D1222" s="216"/>
      <c r="E1222" s="216"/>
      <c r="F1222" s="216"/>
      <c r="G1222" s="216"/>
    </row>
    <row r="1223">
      <c r="A1223" s="216"/>
      <c r="B1223" s="216"/>
      <c r="C1223" s="216"/>
      <c r="D1223" s="216"/>
      <c r="E1223" s="216"/>
      <c r="F1223" s="216"/>
      <c r="G1223" s="216"/>
    </row>
    <row r="1224">
      <c r="A1224" s="216"/>
      <c r="B1224" s="216"/>
      <c r="C1224" s="216"/>
      <c r="D1224" s="216"/>
      <c r="E1224" s="216"/>
      <c r="F1224" s="216"/>
      <c r="G1224" s="216"/>
    </row>
    <row r="1225">
      <c r="A1225" s="216"/>
      <c r="B1225" s="216"/>
      <c r="C1225" s="216"/>
      <c r="D1225" s="216"/>
      <c r="E1225" s="216"/>
      <c r="F1225" s="216"/>
      <c r="G1225" s="216"/>
    </row>
    <row r="1226">
      <c r="A1226" s="216"/>
      <c r="B1226" s="216"/>
      <c r="C1226" s="216"/>
      <c r="D1226" s="216"/>
      <c r="E1226" s="216"/>
      <c r="F1226" s="216"/>
      <c r="G1226" s="216"/>
    </row>
    <row r="1227">
      <c r="A1227" s="216"/>
      <c r="B1227" s="216"/>
      <c r="C1227" s="216"/>
      <c r="D1227" s="216"/>
      <c r="E1227" s="216"/>
      <c r="F1227" s="216"/>
      <c r="G1227" s="216"/>
    </row>
    <row r="1228">
      <c r="A1228" s="216"/>
      <c r="B1228" s="216"/>
      <c r="C1228" s="216"/>
      <c r="D1228" s="216"/>
      <c r="E1228" s="216"/>
      <c r="F1228" s="216"/>
      <c r="G1228" s="216"/>
    </row>
    <row r="1229">
      <c r="A1229" s="216"/>
      <c r="B1229" s="216"/>
      <c r="C1229" s="216"/>
      <c r="D1229" s="216"/>
      <c r="E1229" s="216"/>
      <c r="F1229" s="216"/>
      <c r="G1229" s="216"/>
    </row>
    <row r="1230">
      <c r="A1230" s="216"/>
      <c r="B1230" s="216"/>
      <c r="C1230" s="216"/>
      <c r="D1230" s="216"/>
      <c r="E1230" s="216"/>
      <c r="F1230" s="216"/>
      <c r="G1230" s="216"/>
    </row>
    <row r="1231">
      <c r="A1231" s="216"/>
      <c r="B1231" s="216"/>
      <c r="C1231" s="216"/>
      <c r="D1231" s="216"/>
      <c r="E1231" s="216"/>
      <c r="F1231" s="216"/>
      <c r="G1231" s="216"/>
    </row>
    <row r="1232">
      <c r="A1232" s="216"/>
      <c r="B1232" s="216"/>
      <c r="C1232" s="216"/>
      <c r="D1232" s="216"/>
      <c r="E1232" s="216"/>
      <c r="F1232" s="216"/>
      <c r="G1232" s="216"/>
    </row>
    <row r="1233">
      <c r="A1233" s="216"/>
      <c r="B1233" s="216"/>
      <c r="C1233" s="216"/>
      <c r="D1233" s="216"/>
      <c r="E1233" s="216"/>
      <c r="F1233" s="216"/>
      <c r="G1233" s="216"/>
    </row>
    <row r="1234">
      <c r="A1234" s="216"/>
      <c r="B1234" s="216"/>
      <c r="C1234" s="216"/>
      <c r="D1234" s="216"/>
      <c r="E1234" s="216"/>
      <c r="F1234" s="216"/>
      <c r="G1234" s="216"/>
    </row>
    <row r="1235">
      <c r="A1235" s="216"/>
      <c r="B1235" s="216"/>
      <c r="C1235" s="216"/>
      <c r="D1235" s="216"/>
      <c r="E1235" s="216"/>
      <c r="F1235" s="216"/>
      <c r="G1235" s="216"/>
    </row>
    <row r="1236">
      <c r="A1236" s="216"/>
      <c r="B1236" s="216"/>
      <c r="C1236" s="216"/>
      <c r="D1236" s="216"/>
      <c r="E1236" s="216"/>
      <c r="F1236" s="216"/>
      <c r="G1236" s="216"/>
    </row>
    <row r="1237">
      <c r="A1237" s="216"/>
      <c r="B1237" s="216"/>
      <c r="C1237" s="216"/>
      <c r="D1237" s="216"/>
      <c r="E1237" s="216"/>
      <c r="F1237" s="216"/>
      <c r="G1237" s="216"/>
    </row>
    <row r="1238">
      <c r="A1238" s="216"/>
      <c r="B1238" s="216"/>
      <c r="C1238" s="216"/>
      <c r="D1238" s="216"/>
      <c r="E1238" s="216"/>
      <c r="F1238" s="216"/>
      <c r="G1238" s="216"/>
    </row>
    <row r="1239">
      <c r="A1239" s="216"/>
      <c r="B1239" s="216"/>
      <c r="C1239" s="216"/>
      <c r="D1239" s="216"/>
      <c r="E1239" s="216"/>
      <c r="F1239" s="216"/>
      <c r="G1239" s="216"/>
    </row>
    <row r="1240">
      <c r="A1240" s="216"/>
      <c r="B1240" s="216"/>
      <c r="C1240" s="216"/>
      <c r="D1240" s="216"/>
      <c r="E1240" s="216"/>
      <c r="F1240" s="216"/>
      <c r="G1240" s="216"/>
    </row>
    <row r="1241">
      <c r="A1241" s="216"/>
      <c r="B1241" s="216"/>
      <c r="C1241" s="216"/>
      <c r="D1241" s="216"/>
      <c r="E1241" s="216"/>
      <c r="F1241" s="216"/>
      <c r="G1241" s="216"/>
    </row>
    <row r="1242">
      <c r="A1242" s="216"/>
      <c r="B1242" s="216"/>
      <c r="C1242" s="216"/>
      <c r="D1242" s="216"/>
      <c r="E1242" s="216"/>
      <c r="F1242" s="216"/>
      <c r="G1242" s="216"/>
    </row>
    <row r="1243">
      <c r="A1243" s="216"/>
      <c r="B1243" s="216"/>
      <c r="C1243" s="216"/>
      <c r="D1243" s="216"/>
      <c r="E1243" s="216"/>
      <c r="F1243" s="216"/>
      <c r="G1243" s="216"/>
    </row>
    <row r="1244">
      <c r="A1244" s="216"/>
      <c r="B1244" s="216"/>
      <c r="C1244" s="216"/>
      <c r="D1244" s="216"/>
      <c r="E1244" s="216"/>
      <c r="F1244" s="216"/>
      <c r="G1244" s="216"/>
    </row>
    <row r="1245">
      <c r="A1245" s="216"/>
      <c r="B1245" s="216"/>
      <c r="C1245" s="216"/>
      <c r="D1245" s="216"/>
      <c r="E1245" s="216"/>
      <c r="F1245" s="216"/>
      <c r="G1245" s="216"/>
    </row>
    <row r="1246">
      <c r="A1246" s="216"/>
      <c r="B1246" s="216"/>
      <c r="C1246" s="216"/>
      <c r="D1246" s="216"/>
      <c r="E1246" s="216"/>
      <c r="F1246" s="216"/>
      <c r="G1246" s="216"/>
    </row>
    <row r="1247">
      <c r="A1247" s="216"/>
      <c r="B1247" s="216"/>
      <c r="C1247" s="216"/>
      <c r="D1247" s="216"/>
      <c r="E1247" s="216"/>
      <c r="F1247" s="216"/>
      <c r="G1247" s="216"/>
    </row>
    <row r="1248">
      <c r="A1248" s="216"/>
      <c r="B1248" s="216"/>
      <c r="C1248" s="216"/>
      <c r="D1248" s="216"/>
      <c r="E1248" s="216"/>
      <c r="F1248" s="216"/>
      <c r="G1248" s="216"/>
    </row>
    <row r="1249">
      <c r="A1249" s="216"/>
      <c r="B1249" s="216"/>
      <c r="C1249" s="216"/>
      <c r="D1249" s="216"/>
      <c r="E1249" s="216"/>
      <c r="F1249" s="216"/>
      <c r="G1249" s="216"/>
    </row>
    <row r="1250">
      <c r="A1250" s="216"/>
      <c r="B1250" s="216"/>
      <c r="C1250" s="216"/>
      <c r="D1250" s="216"/>
      <c r="E1250" s="216"/>
      <c r="F1250" s="216"/>
      <c r="G1250" s="216"/>
    </row>
    <row r="1251">
      <c r="A1251" s="216"/>
      <c r="B1251" s="216"/>
      <c r="C1251" s="216"/>
      <c r="D1251" s="216"/>
      <c r="E1251" s="216"/>
      <c r="F1251" s="216"/>
      <c r="G1251" s="216"/>
    </row>
    <row r="1252">
      <c r="A1252" s="216"/>
      <c r="B1252" s="216"/>
      <c r="C1252" s="216"/>
      <c r="D1252" s="216"/>
      <c r="E1252" s="216"/>
      <c r="F1252" s="216"/>
      <c r="G1252" s="216"/>
    </row>
    <row r="1253">
      <c r="A1253" s="216"/>
      <c r="B1253" s="216"/>
      <c r="C1253" s="216"/>
      <c r="D1253" s="216"/>
      <c r="E1253" s="216"/>
      <c r="F1253" s="216"/>
      <c r="G1253" s="216"/>
    </row>
    <row r="1254">
      <c r="A1254" s="216"/>
      <c r="B1254" s="216"/>
      <c r="C1254" s="216"/>
      <c r="D1254" s="216"/>
      <c r="E1254" s="216"/>
      <c r="F1254" s="216"/>
      <c r="G1254" s="216"/>
    </row>
    <row r="1255">
      <c r="A1255" s="216"/>
      <c r="B1255" s="216"/>
      <c r="C1255" s="216"/>
      <c r="D1255" s="216"/>
      <c r="E1255" s="216"/>
      <c r="F1255" s="216"/>
      <c r="G1255" s="216"/>
    </row>
    <row r="1256">
      <c r="A1256" s="216"/>
      <c r="B1256" s="216"/>
      <c r="C1256" s="216"/>
      <c r="D1256" s="216"/>
      <c r="E1256" s="216"/>
      <c r="F1256" s="216"/>
      <c r="G1256" s="216"/>
    </row>
    <row r="1257">
      <c r="A1257" s="216"/>
      <c r="B1257" s="216"/>
      <c r="C1257" s="216"/>
      <c r="D1257" s="216"/>
      <c r="E1257" s="216"/>
      <c r="F1257" s="216"/>
      <c r="G1257" s="216"/>
    </row>
    <row r="1258">
      <c r="A1258" s="216"/>
      <c r="B1258" s="216"/>
      <c r="C1258" s="216"/>
      <c r="D1258" s="216"/>
      <c r="E1258" s="216"/>
      <c r="F1258" s="216"/>
      <c r="G1258" s="216"/>
    </row>
    <row r="1259">
      <c r="A1259" s="216"/>
      <c r="B1259" s="216"/>
      <c r="C1259" s="216"/>
      <c r="D1259" s="216"/>
      <c r="E1259" s="216"/>
      <c r="F1259" s="216"/>
      <c r="G1259" s="216"/>
    </row>
    <row r="1260">
      <c r="A1260" s="216"/>
      <c r="B1260" s="216"/>
      <c r="C1260" s="216"/>
      <c r="D1260" s="216"/>
      <c r="E1260" s="216"/>
      <c r="F1260" s="216"/>
      <c r="G1260" s="216"/>
    </row>
    <row r="1261">
      <c r="A1261" s="216"/>
      <c r="B1261" s="216"/>
      <c r="C1261" s="216"/>
      <c r="D1261" s="216"/>
      <c r="E1261" s="216"/>
      <c r="F1261" s="216"/>
      <c r="G1261" s="216"/>
    </row>
    <row r="1262">
      <c r="A1262" s="216"/>
      <c r="B1262" s="216"/>
      <c r="C1262" s="216"/>
      <c r="D1262" s="216"/>
      <c r="E1262" s="216"/>
      <c r="F1262" s="216"/>
      <c r="G1262" s="216"/>
    </row>
    <row r="1263">
      <c r="A1263" s="216"/>
      <c r="B1263" s="216"/>
      <c r="C1263" s="216"/>
      <c r="D1263" s="216"/>
      <c r="E1263" s="216"/>
      <c r="F1263" s="216"/>
      <c r="G1263" s="216"/>
    </row>
    <row r="1264">
      <c r="A1264" s="216"/>
      <c r="B1264" s="216"/>
      <c r="C1264" s="216"/>
      <c r="D1264" s="216"/>
      <c r="E1264" s="216"/>
      <c r="F1264" s="216"/>
      <c r="G1264" s="216"/>
    </row>
    <row r="1265">
      <c r="A1265" s="216"/>
      <c r="B1265" s="216"/>
      <c r="C1265" s="216"/>
      <c r="D1265" s="216"/>
      <c r="E1265" s="216"/>
      <c r="F1265" s="216"/>
      <c r="G1265" s="216"/>
    </row>
    <row r="1266">
      <c r="A1266" s="216"/>
      <c r="B1266" s="216"/>
      <c r="C1266" s="216"/>
      <c r="D1266" s="216"/>
      <c r="E1266" s="216"/>
      <c r="F1266" s="216"/>
      <c r="G1266" s="216"/>
    </row>
    <row r="1267">
      <c r="A1267" s="216"/>
      <c r="B1267" s="216"/>
      <c r="C1267" s="216"/>
      <c r="D1267" s="216"/>
      <c r="E1267" s="216"/>
      <c r="F1267" s="216"/>
      <c r="G1267" s="216"/>
    </row>
    <row r="1268">
      <c r="A1268" s="216"/>
      <c r="B1268" s="216"/>
      <c r="C1268" s="216"/>
      <c r="D1268" s="216"/>
      <c r="E1268" s="216"/>
      <c r="F1268" s="216"/>
      <c r="G1268" s="216"/>
    </row>
    <row r="1269">
      <c r="A1269" s="216"/>
      <c r="B1269" s="216"/>
      <c r="C1269" s="216"/>
      <c r="D1269" s="216"/>
      <c r="E1269" s="216"/>
      <c r="F1269" s="216"/>
      <c r="G1269" s="216"/>
    </row>
    <row r="1270">
      <c r="A1270" s="216"/>
      <c r="B1270" s="216"/>
      <c r="C1270" s="216"/>
      <c r="D1270" s="216"/>
      <c r="E1270" s="216"/>
      <c r="F1270" s="216"/>
      <c r="G1270" s="216"/>
    </row>
    <row r="1271">
      <c r="A1271" s="216"/>
      <c r="B1271" s="216"/>
      <c r="C1271" s="216"/>
      <c r="D1271" s="216"/>
      <c r="E1271" s="216"/>
      <c r="F1271" s="216"/>
      <c r="G1271" s="216"/>
    </row>
    <row r="1272">
      <c r="A1272" s="216"/>
      <c r="B1272" s="216"/>
      <c r="C1272" s="216"/>
      <c r="D1272" s="216"/>
      <c r="E1272" s="216"/>
      <c r="F1272" s="216"/>
      <c r="G1272" s="216"/>
    </row>
    <row r="1273">
      <c r="A1273" s="216"/>
      <c r="B1273" s="216"/>
      <c r="C1273" s="216"/>
      <c r="D1273" s="216"/>
      <c r="E1273" s="216"/>
      <c r="F1273" s="216"/>
      <c r="G1273" s="216"/>
    </row>
    <row r="1274">
      <c r="A1274" s="216"/>
      <c r="B1274" s="216"/>
      <c r="C1274" s="216"/>
      <c r="D1274" s="216"/>
      <c r="E1274" s="216"/>
      <c r="F1274" s="216"/>
      <c r="G1274" s="216"/>
    </row>
    <row r="1275">
      <c r="A1275" s="216"/>
      <c r="B1275" s="216"/>
      <c r="C1275" s="216"/>
      <c r="D1275" s="216"/>
      <c r="E1275" s="216"/>
      <c r="F1275" s="216"/>
      <c r="G1275" s="216"/>
    </row>
    <row r="1276">
      <c r="A1276" s="216"/>
      <c r="B1276" s="216"/>
      <c r="C1276" s="216"/>
      <c r="D1276" s="216"/>
      <c r="E1276" s="216"/>
      <c r="F1276" s="216"/>
      <c r="G1276" s="216"/>
    </row>
    <row r="1277">
      <c r="A1277" s="216"/>
      <c r="B1277" s="216"/>
      <c r="C1277" s="216"/>
      <c r="D1277" s="216"/>
      <c r="E1277" s="216"/>
      <c r="F1277" s="216"/>
      <c r="G1277" s="216"/>
    </row>
    <row r="1278">
      <c r="A1278" s="216"/>
      <c r="B1278" s="216"/>
      <c r="C1278" s="216"/>
      <c r="D1278" s="216"/>
      <c r="E1278" s="216"/>
      <c r="F1278" s="216"/>
      <c r="G1278" s="216"/>
    </row>
    <row r="1279">
      <c r="A1279" s="216"/>
      <c r="B1279" s="216"/>
      <c r="C1279" s="216"/>
      <c r="D1279" s="216"/>
      <c r="E1279" s="216"/>
      <c r="F1279" s="216"/>
      <c r="G1279" s="216"/>
    </row>
    <row r="1280">
      <c r="A1280" s="216"/>
      <c r="B1280" s="216"/>
      <c r="C1280" s="216"/>
      <c r="D1280" s="216"/>
      <c r="E1280" s="216"/>
      <c r="F1280" s="216"/>
      <c r="G1280" s="216"/>
    </row>
    <row r="1281">
      <c r="A1281" s="216"/>
      <c r="B1281" s="216"/>
      <c r="C1281" s="216"/>
      <c r="D1281" s="216"/>
      <c r="E1281" s="216"/>
      <c r="F1281" s="216"/>
      <c r="G1281" s="216"/>
    </row>
    <row r="1282">
      <c r="A1282" s="216"/>
      <c r="B1282" s="216"/>
      <c r="C1282" s="216"/>
      <c r="D1282" s="216"/>
      <c r="E1282" s="216"/>
      <c r="F1282" s="216"/>
      <c r="G1282" s="216"/>
    </row>
    <row r="1283">
      <c r="A1283" s="216"/>
      <c r="B1283" s="216"/>
      <c r="C1283" s="216"/>
      <c r="D1283" s="216"/>
      <c r="E1283" s="216"/>
      <c r="F1283" s="216"/>
      <c r="G1283" s="216"/>
    </row>
    <row r="1284">
      <c r="A1284" s="216"/>
      <c r="B1284" s="216"/>
      <c r="C1284" s="216"/>
      <c r="D1284" s="216"/>
      <c r="E1284" s="216"/>
      <c r="F1284" s="216"/>
      <c r="G1284" s="216"/>
    </row>
    <row r="1285">
      <c r="A1285" s="216"/>
      <c r="B1285" s="216"/>
      <c r="C1285" s="216"/>
      <c r="D1285" s="216"/>
      <c r="E1285" s="216"/>
      <c r="F1285" s="216"/>
      <c r="G1285" s="216"/>
    </row>
    <row r="1286">
      <c r="A1286" s="216"/>
      <c r="B1286" s="216"/>
      <c r="C1286" s="216"/>
      <c r="D1286" s="216"/>
      <c r="E1286" s="216"/>
      <c r="F1286" s="216"/>
      <c r="G1286" s="216"/>
    </row>
    <row r="1287">
      <c r="A1287" s="216"/>
      <c r="B1287" s="216"/>
      <c r="C1287" s="216"/>
      <c r="D1287" s="216"/>
      <c r="E1287" s="216"/>
      <c r="F1287" s="216"/>
      <c r="G1287" s="216"/>
    </row>
    <row r="1288">
      <c r="A1288" s="216"/>
      <c r="B1288" s="216"/>
      <c r="C1288" s="216"/>
      <c r="D1288" s="216"/>
      <c r="E1288" s="216"/>
      <c r="F1288" s="216"/>
      <c r="G1288" s="216"/>
    </row>
    <row r="1289">
      <c r="A1289" s="216"/>
      <c r="B1289" s="216"/>
      <c r="C1289" s="216"/>
      <c r="D1289" s="216"/>
      <c r="E1289" s="216"/>
      <c r="F1289" s="216"/>
      <c r="G1289" s="216"/>
    </row>
    <row r="1290">
      <c r="A1290" s="216"/>
      <c r="B1290" s="216"/>
      <c r="C1290" s="216"/>
      <c r="D1290" s="216"/>
      <c r="E1290" s="216"/>
      <c r="F1290" s="216"/>
      <c r="G1290" s="216"/>
    </row>
    <row r="1291">
      <c r="A1291" s="216"/>
      <c r="B1291" s="216"/>
      <c r="C1291" s="216"/>
      <c r="D1291" s="216"/>
      <c r="E1291" s="216"/>
      <c r="F1291" s="216"/>
      <c r="G1291" s="216"/>
    </row>
    <row r="1292">
      <c r="A1292" s="216"/>
      <c r="B1292" s="216"/>
      <c r="C1292" s="216"/>
      <c r="D1292" s="216"/>
      <c r="E1292" s="216"/>
      <c r="F1292" s="216"/>
      <c r="G1292" s="216"/>
    </row>
    <row r="1293">
      <c r="A1293" s="216"/>
      <c r="B1293" s="216"/>
      <c r="C1293" s="216"/>
      <c r="D1293" s="216"/>
      <c r="E1293" s="216"/>
      <c r="F1293" s="216"/>
      <c r="G1293" s="216"/>
    </row>
    <row r="1294">
      <c r="A1294" s="216"/>
      <c r="B1294" s="216"/>
      <c r="C1294" s="216"/>
      <c r="D1294" s="216"/>
      <c r="E1294" s="216"/>
      <c r="F1294" s="216"/>
      <c r="G1294" s="216"/>
    </row>
    <row r="1295">
      <c r="A1295" s="216"/>
      <c r="B1295" s="216"/>
      <c r="C1295" s="216"/>
      <c r="D1295" s="216"/>
      <c r="E1295" s="216"/>
      <c r="F1295" s="216"/>
      <c r="G1295" s="216"/>
    </row>
    <row r="1296">
      <c r="A1296" s="216"/>
      <c r="B1296" s="216"/>
      <c r="C1296" s="216"/>
      <c r="D1296" s="216"/>
      <c r="E1296" s="216"/>
      <c r="F1296" s="216"/>
      <c r="G1296" s="216"/>
    </row>
    <row r="1297">
      <c r="A1297" s="216"/>
      <c r="B1297" s="216"/>
      <c r="C1297" s="216"/>
      <c r="D1297" s="216"/>
      <c r="E1297" s="216"/>
      <c r="F1297" s="216"/>
      <c r="G1297" s="216"/>
    </row>
    <row r="1298">
      <c r="A1298" s="216"/>
      <c r="B1298" s="216"/>
      <c r="C1298" s="216"/>
      <c r="D1298" s="216"/>
      <c r="E1298" s="216"/>
      <c r="F1298" s="216"/>
      <c r="G1298" s="216"/>
    </row>
    <row r="1299">
      <c r="A1299" s="216"/>
      <c r="B1299" s="216"/>
      <c r="C1299" s="216"/>
      <c r="D1299" s="216"/>
      <c r="E1299" s="216"/>
      <c r="F1299" s="216"/>
      <c r="G1299" s="216"/>
    </row>
    <row r="1300">
      <c r="A1300" s="216"/>
      <c r="B1300" s="216"/>
      <c r="C1300" s="216"/>
      <c r="D1300" s="216"/>
      <c r="E1300" s="216"/>
      <c r="F1300" s="216"/>
      <c r="G1300" s="216"/>
    </row>
    <row r="1301">
      <c r="A1301" s="216"/>
      <c r="B1301" s="216"/>
      <c r="C1301" s="216"/>
      <c r="D1301" s="216"/>
      <c r="E1301" s="216"/>
      <c r="F1301" s="216"/>
      <c r="G1301" s="216"/>
    </row>
    <row r="1302">
      <c r="A1302" s="216"/>
      <c r="B1302" s="216"/>
      <c r="C1302" s="216"/>
      <c r="D1302" s="216"/>
      <c r="E1302" s="216"/>
      <c r="F1302" s="216"/>
      <c r="G1302" s="216"/>
    </row>
    <row r="1303">
      <c r="A1303" s="216"/>
      <c r="B1303" s="216"/>
      <c r="C1303" s="216"/>
      <c r="D1303" s="216"/>
      <c r="E1303" s="216"/>
      <c r="F1303" s="216"/>
      <c r="G1303" s="216"/>
    </row>
    <row r="1304">
      <c r="A1304" s="216"/>
      <c r="B1304" s="216"/>
      <c r="C1304" s="216"/>
      <c r="D1304" s="216"/>
      <c r="E1304" s="216"/>
      <c r="F1304" s="216"/>
      <c r="G1304" s="216"/>
    </row>
    <row r="1305">
      <c r="A1305" s="216"/>
      <c r="B1305" s="216"/>
      <c r="C1305" s="216"/>
      <c r="D1305" s="216"/>
      <c r="E1305" s="216"/>
      <c r="F1305" s="216"/>
      <c r="G1305" s="216"/>
    </row>
    <row r="1306">
      <c r="A1306" s="216"/>
      <c r="B1306" s="216"/>
      <c r="C1306" s="216"/>
      <c r="D1306" s="216"/>
      <c r="E1306" s="216"/>
      <c r="F1306" s="216"/>
      <c r="G1306" s="216"/>
    </row>
    <row r="1307">
      <c r="A1307" s="216"/>
      <c r="B1307" s="216"/>
      <c r="C1307" s="216"/>
      <c r="D1307" s="216"/>
      <c r="E1307" s="216"/>
      <c r="F1307" s="216"/>
      <c r="G1307" s="216"/>
    </row>
    <row r="1308">
      <c r="A1308" s="216"/>
      <c r="B1308" s="216"/>
      <c r="C1308" s="216"/>
      <c r="D1308" s="216"/>
      <c r="E1308" s="216"/>
      <c r="F1308" s="216"/>
      <c r="G1308" s="216"/>
    </row>
    <row r="1309">
      <c r="A1309" s="216"/>
      <c r="B1309" s="216"/>
      <c r="C1309" s="216"/>
      <c r="D1309" s="216"/>
      <c r="E1309" s="216"/>
      <c r="F1309" s="216"/>
      <c r="G1309" s="216"/>
    </row>
    <row r="1310">
      <c r="A1310" s="216"/>
      <c r="B1310" s="216"/>
      <c r="C1310" s="216"/>
      <c r="D1310" s="216"/>
      <c r="E1310" s="216"/>
      <c r="F1310" s="216"/>
      <c r="G1310" s="216"/>
    </row>
    <row r="1311">
      <c r="A1311" s="216"/>
      <c r="B1311" s="216"/>
      <c r="C1311" s="216"/>
      <c r="D1311" s="216"/>
      <c r="E1311" s="216"/>
      <c r="F1311" s="216"/>
      <c r="G1311" s="216"/>
    </row>
    <row r="1312">
      <c r="A1312" s="216"/>
      <c r="B1312" s="216"/>
      <c r="C1312" s="216"/>
      <c r="D1312" s="216"/>
      <c r="E1312" s="216"/>
      <c r="F1312" s="216"/>
      <c r="G1312" s="216"/>
    </row>
    <row r="1313">
      <c r="A1313" s="216"/>
      <c r="B1313" s="216"/>
      <c r="C1313" s="216"/>
      <c r="D1313" s="216"/>
      <c r="E1313" s="216"/>
      <c r="F1313" s="216"/>
      <c r="G1313" s="216"/>
    </row>
    <row r="1314">
      <c r="A1314" s="216"/>
      <c r="B1314" s="216"/>
      <c r="C1314" s="216"/>
      <c r="D1314" s="216"/>
      <c r="E1314" s="216"/>
      <c r="F1314" s="216"/>
      <c r="G1314" s="216"/>
    </row>
    <row r="1315">
      <c r="A1315" s="216"/>
      <c r="B1315" s="216"/>
      <c r="C1315" s="216"/>
      <c r="D1315" s="216"/>
      <c r="E1315" s="216"/>
      <c r="F1315" s="216"/>
      <c r="G1315" s="216"/>
    </row>
    <row r="1316">
      <c r="A1316" s="216"/>
      <c r="B1316" s="216"/>
      <c r="C1316" s="216"/>
      <c r="D1316" s="216"/>
      <c r="E1316" s="216"/>
      <c r="F1316" s="216"/>
      <c r="G1316" s="216"/>
    </row>
    <row r="1317">
      <c r="A1317" s="216"/>
      <c r="B1317" s="216"/>
      <c r="C1317" s="216"/>
      <c r="D1317" s="216"/>
      <c r="E1317" s="216"/>
      <c r="F1317" s="216"/>
      <c r="G1317" s="216"/>
    </row>
    <row r="1318">
      <c r="A1318" s="216"/>
      <c r="B1318" s="216"/>
      <c r="C1318" s="216"/>
      <c r="D1318" s="216"/>
      <c r="E1318" s="216"/>
      <c r="F1318" s="216"/>
      <c r="G1318" s="216"/>
    </row>
    <row r="1319">
      <c r="A1319" s="216"/>
      <c r="B1319" s="216"/>
      <c r="C1319" s="216"/>
      <c r="D1319" s="216"/>
      <c r="E1319" s="216"/>
      <c r="F1319" s="216"/>
      <c r="G1319" s="216"/>
    </row>
    <row r="1320">
      <c r="A1320" s="216"/>
      <c r="B1320" s="216"/>
      <c r="C1320" s="216"/>
      <c r="D1320" s="216"/>
      <c r="E1320" s="216"/>
      <c r="F1320" s="216"/>
      <c r="G1320" s="216"/>
    </row>
    <row r="1321">
      <c r="A1321" s="216"/>
      <c r="B1321" s="216"/>
      <c r="C1321" s="216"/>
      <c r="D1321" s="216"/>
      <c r="E1321" s="216"/>
      <c r="F1321" s="216"/>
      <c r="G1321" s="216"/>
    </row>
    <row r="1322">
      <c r="A1322" s="216"/>
      <c r="B1322" s="216"/>
      <c r="C1322" s="216"/>
      <c r="D1322" s="216"/>
      <c r="E1322" s="216"/>
      <c r="F1322" s="216"/>
      <c r="G1322" s="216"/>
    </row>
    <row r="1323">
      <c r="A1323" s="216"/>
      <c r="B1323" s="216"/>
      <c r="C1323" s="216"/>
      <c r="D1323" s="216"/>
      <c r="E1323" s="216"/>
      <c r="F1323" s="216"/>
      <c r="G1323" s="216"/>
    </row>
    <row r="1324">
      <c r="A1324" s="216"/>
      <c r="B1324" s="216"/>
      <c r="C1324" s="216"/>
      <c r="D1324" s="216"/>
      <c r="E1324" s="216"/>
      <c r="F1324" s="216"/>
      <c r="G1324" s="216"/>
    </row>
    <row r="1325">
      <c r="A1325" s="216"/>
      <c r="B1325" s="216"/>
      <c r="C1325" s="216"/>
      <c r="D1325" s="216"/>
      <c r="E1325" s="216"/>
      <c r="F1325" s="216"/>
      <c r="G1325" s="216"/>
    </row>
    <row r="1326">
      <c r="A1326" s="216"/>
      <c r="B1326" s="216"/>
      <c r="C1326" s="216"/>
      <c r="D1326" s="216"/>
      <c r="E1326" s="216"/>
      <c r="F1326" s="216"/>
      <c r="G1326" s="216"/>
    </row>
    <row r="1327">
      <c r="A1327" s="216"/>
      <c r="B1327" s="216"/>
      <c r="C1327" s="216"/>
      <c r="D1327" s="216"/>
      <c r="E1327" s="216"/>
      <c r="F1327" s="216"/>
      <c r="G1327" s="216"/>
    </row>
    <row r="1328">
      <c r="A1328" s="216"/>
      <c r="B1328" s="216"/>
      <c r="C1328" s="216"/>
      <c r="D1328" s="216"/>
      <c r="E1328" s="216"/>
      <c r="F1328" s="216"/>
      <c r="G1328" s="216"/>
    </row>
    <row r="1329">
      <c r="A1329" s="216"/>
      <c r="B1329" s="216"/>
      <c r="C1329" s="216"/>
      <c r="D1329" s="216"/>
      <c r="E1329" s="216"/>
      <c r="F1329" s="216"/>
      <c r="G1329" s="216"/>
    </row>
    <row r="1330">
      <c r="A1330" s="216"/>
      <c r="B1330" s="216"/>
      <c r="C1330" s="216"/>
      <c r="D1330" s="216"/>
      <c r="E1330" s="216"/>
      <c r="F1330" s="216"/>
      <c r="G1330" s="216"/>
    </row>
    <row r="1331">
      <c r="A1331" s="216"/>
      <c r="B1331" s="216"/>
      <c r="C1331" s="216"/>
      <c r="D1331" s="216"/>
      <c r="E1331" s="216"/>
      <c r="F1331" s="216"/>
      <c r="G1331" s="216"/>
    </row>
    <row r="1332">
      <c r="A1332" s="216"/>
      <c r="B1332" s="216"/>
      <c r="C1332" s="216"/>
      <c r="D1332" s="216"/>
      <c r="E1332" s="216"/>
      <c r="F1332" s="216"/>
      <c r="G1332" s="216"/>
    </row>
    <row r="1333">
      <c r="A1333" s="216"/>
      <c r="B1333" s="216"/>
      <c r="C1333" s="216"/>
      <c r="D1333" s="216"/>
      <c r="E1333" s="216"/>
      <c r="F1333" s="216"/>
      <c r="G1333" s="216"/>
    </row>
    <row r="1334">
      <c r="A1334" s="216"/>
      <c r="B1334" s="216"/>
      <c r="C1334" s="216"/>
      <c r="D1334" s="216"/>
      <c r="E1334" s="216"/>
      <c r="F1334" s="216"/>
      <c r="G1334" s="216"/>
    </row>
    <row r="1335">
      <c r="A1335" s="216"/>
      <c r="B1335" s="216"/>
      <c r="C1335" s="216"/>
      <c r="D1335" s="216"/>
      <c r="E1335" s="216"/>
      <c r="F1335" s="216"/>
      <c r="G1335" s="216"/>
    </row>
    <row r="1336">
      <c r="A1336" s="216"/>
      <c r="B1336" s="216"/>
      <c r="C1336" s="216"/>
      <c r="D1336" s="216"/>
      <c r="E1336" s="216"/>
      <c r="F1336" s="216"/>
      <c r="G1336" s="216"/>
    </row>
    <row r="1337">
      <c r="A1337" s="216"/>
      <c r="B1337" s="216"/>
      <c r="C1337" s="216"/>
      <c r="D1337" s="216"/>
      <c r="E1337" s="216"/>
      <c r="F1337" s="216"/>
      <c r="G1337" s="216"/>
    </row>
    <row r="1338">
      <c r="A1338" s="216"/>
      <c r="B1338" s="216"/>
      <c r="C1338" s="216"/>
      <c r="D1338" s="216"/>
      <c r="E1338" s="216"/>
      <c r="F1338" s="216"/>
      <c r="G1338" s="216"/>
    </row>
    <row r="1339">
      <c r="A1339" s="216"/>
      <c r="B1339" s="216"/>
      <c r="C1339" s="216"/>
      <c r="D1339" s="216"/>
      <c r="E1339" s="216"/>
      <c r="F1339" s="216"/>
      <c r="G1339" s="216"/>
    </row>
    <row r="1340">
      <c r="A1340" s="216"/>
      <c r="B1340" s="216"/>
      <c r="C1340" s="216"/>
      <c r="D1340" s="216"/>
      <c r="E1340" s="216"/>
      <c r="F1340" s="216"/>
      <c r="G1340" s="216"/>
    </row>
    <row r="1341">
      <c r="A1341" s="216"/>
      <c r="B1341" s="216"/>
      <c r="C1341" s="216"/>
      <c r="D1341" s="216"/>
      <c r="E1341" s="216"/>
      <c r="F1341" s="216"/>
      <c r="G1341" s="216"/>
    </row>
    <row r="1342">
      <c r="A1342" s="216"/>
      <c r="B1342" s="216"/>
      <c r="C1342" s="216"/>
      <c r="D1342" s="216"/>
      <c r="E1342" s="216"/>
      <c r="F1342" s="216"/>
      <c r="G1342" s="216"/>
    </row>
    <row r="1343">
      <c r="A1343" s="216"/>
      <c r="B1343" s="216"/>
      <c r="C1343" s="216"/>
      <c r="D1343" s="216"/>
      <c r="E1343" s="216"/>
      <c r="F1343" s="216"/>
      <c r="G1343" s="216"/>
    </row>
    <row r="1344">
      <c r="A1344" s="216"/>
      <c r="B1344" s="216"/>
      <c r="C1344" s="216"/>
      <c r="D1344" s="216"/>
      <c r="E1344" s="216"/>
      <c r="F1344" s="216"/>
      <c r="G1344" s="216"/>
    </row>
    <row r="1345">
      <c r="A1345" s="216"/>
      <c r="B1345" s="216"/>
      <c r="C1345" s="216"/>
      <c r="D1345" s="216"/>
      <c r="E1345" s="216"/>
      <c r="F1345" s="216"/>
      <c r="G1345" s="216"/>
    </row>
    <row r="1346">
      <c r="A1346" s="216"/>
      <c r="B1346" s="216"/>
      <c r="C1346" s="216"/>
      <c r="D1346" s="216"/>
      <c r="E1346" s="216"/>
      <c r="F1346" s="216"/>
      <c r="G1346" s="216"/>
    </row>
    <row r="1347">
      <c r="A1347" s="216"/>
      <c r="B1347" s="216"/>
      <c r="C1347" s="216"/>
      <c r="D1347" s="216"/>
      <c r="E1347" s="216"/>
      <c r="F1347" s="216"/>
      <c r="G1347" s="216"/>
    </row>
    <row r="1348">
      <c r="A1348" s="216"/>
      <c r="B1348" s="216"/>
      <c r="C1348" s="216"/>
      <c r="D1348" s="216"/>
      <c r="E1348" s="216"/>
      <c r="F1348" s="216"/>
      <c r="G1348" s="216"/>
    </row>
    <row r="1349">
      <c r="A1349" s="216"/>
      <c r="B1349" s="216"/>
      <c r="C1349" s="216"/>
      <c r="D1349" s="216"/>
      <c r="E1349" s="216"/>
      <c r="F1349" s="216"/>
      <c r="G1349" s="216"/>
    </row>
    <row r="1350">
      <c r="A1350" s="216"/>
      <c r="B1350" s="216"/>
      <c r="C1350" s="216"/>
      <c r="D1350" s="216"/>
      <c r="E1350" s="216"/>
      <c r="F1350" s="216"/>
      <c r="G1350" s="216"/>
    </row>
    <row r="1351">
      <c r="A1351" s="216"/>
      <c r="B1351" s="216"/>
      <c r="C1351" s="216"/>
      <c r="D1351" s="216"/>
      <c r="E1351" s="216"/>
      <c r="F1351" s="216"/>
      <c r="G1351" s="216"/>
    </row>
    <row r="1352">
      <c r="A1352" s="216"/>
      <c r="B1352" s="216"/>
      <c r="C1352" s="216"/>
      <c r="D1352" s="216"/>
      <c r="E1352" s="216"/>
      <c r="F1352" s="216"/>
      <c r="G1352" s="216"/>
    </row>
    <row r="1353">
      <c r="A1353" s="216"/>
      <c r="B1353" s="216"/>
      <c r="C1353" s="216"/>
      <c r="D1353" s="216"/>
      <c r="E1353" s="216"/>
      <c r="F1353" s="216"/>
      <c r="G1353" s="216"/>
    </row>
    <row r="1354">
      <c r="A1354" s="216"/>
      <c r="B1354" s="216"/>
      <c r="C1354" s="216"/>
      <c r="D1354" s="216"/>
      <c r="E1354" s="216"/>
      <c r="F1354" s="216"/>
      <c r="G1354" s="216"/>
    </row>
    <row r="1355">
      <c r="A1355" s="216"/>
      <c r="B1355" s="216"/>
      <c r="C1355" s="216"/>
      <c r="D1355" s="216"/>
      <c r="E1355" s="216"/>
      <c r="F1355" s="216"/>
      <c r="G1355" s="216"/>
    </row>
    <row r="1356">
      <c r="A1356" s="216"/>
      <c r="B1356" s="216"/>
      <c r="C1356" s="216"/>
      <c r="D1356" s="216"/>
      <c r="E1356" s="216"/>
      <c r="F1356" s="216"/>
      <c r="G1356" s="216"/>
    </row>
    <row r="1357">
      <c r="A1357" s="216"/>
      <c r="B1357" s="216"/>
      <c r="C1357" s="216"/>
      <c r="D1357" s="216"/>
      <c r="E1357" s="216"/>
      <c r="F1357" s="216"/>
      <c r="G1357" s="216"/>
    </row>
    <row r="1358">
      <c r="A1358" s="216"/>
      <c r="B1358" s="216"/>
      <c r="C1358" s="216"/>
      <c r="D1358" s="216"/>
      <c r="E1358" s="216"/>
      <c r="F1358" s="216"/>
      <c r="G1358" s="216"/>
    </row>
    <row r="1359">
      <c r="A1359" s="216"/>
      <c r="B1359" s="216"/>
      <c r="C1359" s="216"/>
      <c r="D1359" s="216"/>
      <c r="E1359" s="216"/>
      <c r="F1359" s="216"/>
      <c r="G1359" s="216"/>
    </row>
    <row r="1360">
      <c r="A1360" s="216"/>
      <c r="B1360" s="216"/>
      <c r="C1360" s="216"/>
      <c r="D1360" s="216"/>
      <c r="E1360" s="216"/>
      <c r="F1360" s="216"/>
      <c r="G1360" s="216"/>
    </row>
    <row r="1361">
      <c r="A1361" s="216"/>
      <c r="B1361" s="216"/>
      <c r="C1361" s="216"/>
      <c r="D1361" s="216"/>
      <c r="E1361" s="216"/>
      <c r="F1361" s="216"/>
      <c r="G1361" s="216"/>
    </row>
    <row r="1362">
      <c r="A1362" s="216"/>
      <c r="B1362" s="216"/>
      <c r="C1362" s="216"/>
      <c r="D1362" s="216"/>
      <c r="E1362" s="216"/>
      <c r="F1362" s="216"/>
      <c r="G1362" s="216"/>
    </row>
    <row r="1363">
      <c r="A1363" s="216"/>
      <c r="B1363" s="216"/>
      <c r="C1363" s="216"/>
      <c r="D1363" s="216"/>
      <c r="E1363" s="216"/>
      <c r="F1363" s="216"/>
      <c r="G1363" s="216"/>
    </row>
    <row r="1364">
      <c r="A1364" s="216"/>
      <c r="B1364" s="216"/>
      <c r="C1364" s="216"/>
      <c r="D1364" s="216"/>
      <c r="E1364" s="216"/>
      <c r="F1364" s="216"/>
      <c r="G1364" s="216"/>
    </row>
    <row r="1365">
      <c r="A1365" s="216"/>
      <c r="B1365" s="216"/>
      <c r="C1365" s="216"/>
      <c r="D1365" s="216"/>
      <c r="E1365" s="216"/>
      <c r="F1365" s="216"/>
      <c r="G1365" s="216"/>
    </row>
    <row r="1366">
      <c r="A1366" s="216"/>
      <c r="B1366" s="216"/>
      <c r="C1366" s="216"/>
      <c r="D1366" s="216"/>
      <c r="E1366" s="216"/>
      <c r="F1366" s="216"/>
      <c r="G1366" s="216"/>
    </row>
    <row r="1367">
      <c r="A1367" s="216"/>
      <c r="B1367" s="216"/>
      <c r="C1367" s="216"/>
      <c r="D1367" s="216"/>
      <c r="E1367" s="216"/>
      <c r="F1367" s="216"/>
      <c r="G1367" s="216"/>
    </row>
    <row r="1368">
      <c r="A1368" s="216"/>
      <c r="B1368" s="216"/>
      <c r="C1368" s="216"/>
      <c r="D1368" s="216"/>
      <c r="E1368" s="216"/>
      <c r="F1368" s="216"/>
      <c r="G1368" s="216"/>
    </row>
    <row r="1369">
      <c r="A1369" s="216"/>
      <c r="B1369" s="216"/>
      <c r="C1369" s="216"/>
      <c r="D1369" s="216"/>
      <c r="E1369" s="216"/>
      <c r="F1369" s="216"/>
      <c r="G1369" s="216"/>
    </row>
    <row r="1370">
      <c r="A1370" s="216"/>
      <c r="B1370" s="216"/>
      <c r="C1370" s="216"/>
      <c r="D1370" s="216"/>
      <c r="E1370" s="216"/>
      <c r="F1370" s="216"/>
      <c r="G1370" s="216"/>
    </row>
    <row r="1371">
      <c r="A1371" s="216"/>
      <c r="B1371" s="216"/>
      <c r="C1371" s="216"/>
      <c r="D1371" s="216"/>
      <c r="E1371" s="216"/>
      <c r="F1371" s="216"/>
      <c r="G1371" s="216"/>
    </row>
    <row r="1372">
      <c r="A1372" s="216"/>
      <c r="B1372" s="216"/>
      <c r="C1372" s="216"/>
      <c r="D1372" s="216"/>
      <c r="E1372" s="216"/>
      <c r="F1372" s="216"/>
      <c r="G1372" s="216"/>
    </row>
    <row r="1373">
      <c r="A1373" s="216"/>
      <c r="B1373" s="216"/>
      <c r="C1373" s="216"/>
      <c r="D1373" s="216"/>
      <c r="E1373" s="216"/>
      <c r="F1373" s="216"/>
      <c r="G1373" s="216"/>
    </row>
    <row r="1374">
      <c r="A1374" s="216"/>
      <c r="B1374" s="216"/>
      <c r="C1374" s="216"/>
      <c r="D1374" s="216"/>
      <c r="E1374" s="216"/>
      <c r="F1374" s="216"/>
      <c r="G1374" s="216"/>
    </row>
    <row r="1375">
      <c r="A1375" s="216"/>
      <c r="B1375" s="216"/>
      <c r="C1375" s="216"/>
      <c r="D1375" s="216"/>
      <c r="E1375" s="216"/>
      <c r="F1375" s="216"/>
      <c r="G1375" s="216"/>
    </row>
    <row r="1376">
      <c r="A1376" s="216"/>
      <c r="B1376" s="216"/>
      <c r="C1376" s="216"/>
      <c r="D1376" s="216"/>
      <c r="E1376" s="216"/>
      <c r="F1376" s="216"/>
      <c r="G1376" s="216"/>
    </row>
    <row r="1377">
      <c r="A1377" s="216"/>
      <c r="B1377" s="216"/>
      <c r="C1377" s="216"/>
      <c r="D1377" s="216"/>
      <c r="E1377" s="216"/>
      <c r="F1377" s="216"/>
      <c r="G1377" s="216"/>
    </row>
    <row r="1378">
      <c r="A1378" s="216"/>
      <c r="B1378" s="216"/>
      <c r="C1378" s="216"/>
      <c r="D1378" s="216"/>
      <c r="E1378" s="216"/>
      <c r="F1378" s="216"/>
      <c r="G1378" s="216"/>
    </row>
    <row r="1379">
      <c r="A1379" s="216"/>
      <c r="B1379" s="216"/>
      <c r="C1379" s="216"/>
      <c r="D1379" s="216"/>
      <c r="E1379" s="216"/>
      <c r="F1379" s="216"/>
      <c r="G1379" s="216"/>
    </row>
    <row r="1380">
      <c r="A1380" s="216"/>
      <c r="B1380" s="216"/>
      <c r="C1380" s="216"/>
      <c r="D1380" s="216"/>
      <c r="E1380" s="216"/>
      <c r="F1380" s="216"/>
      <c r="G1380" s="216"/>
    </row>
    <row r="1381">
      <c r="A1381" s="216"/>
      <c r="B1381" s="216"/>
      <c r="C1381" s="216"/>
      <c r="D1381" s="216"/>
      <c r="E1381" s="216"/>
      <c r="F1381" s="216"/>
      <c r="G1381" s="216"/>
    </row>
    <row r="1382">
      <c r="A1382" s="216"/>
      <c r="B1382" s="216"/>
      <c r="C1382" s="216"/>
      <c r="D1382" s="216"/>
      <c r="E1382" s="216"/>
      <c r="F1382" s="216"/>
      <c r="G1382" s="216"/>
    </row>
    <row r="1383">
      <c r="A1383" s="216"/>
      <c r="B1383" s="216"/>
      <c r="C1383" s="216"/>
      <c r="D1383" s="216"/>
      <c r="E1383" s="216"/>
      <c r="F1383" s="216"/>
      <c r="G1383" s="216"/>
    </row>
    <row r="1384">
      <c r="A1384" s="216"/>
      <c r="B1384" s="216"/>
      <c r="C1384" s="216"/>
      <c r="D1384" s="216"/>
      <c r="E1384" s="216"/>
      <c r="F1384" s="216"/>
      <c r="G1384" s="216"/>
    </row>
    <row r="1385">
      <c r="A1385" s="216"/>
      <c r="B1385" s="216"/>
      <c r="C1385" s="216"/>
      <c r="D1385" s="216"/>
      <c r="E1385" s="216"/>
      <c r="F1385" s="216"/>
      <c r="G1385" s="216"/>
    </row>
    <row r="1386">
      <c r="A1386" s="216"/>
      <c r="B1386" s="216"/>
      <c r="C1386" s="216"/>
      <c r="D1386" s="216"/>
      <c r="E1386" s="216"/>
      <c r="F1386" s="216"/>
      <c r="G1386" s="216"/>
    </row>
    <row r="1387">
      <c r="A1387" s="216"/>
      <c r="B1387" s="216"/>
      <c r="C1387" s="216"/>
      <c r="D1387" s="216"/>
      <c r="E1387" s="216"/>
      <c r="F1387" s="216"/>
      <c r="G1387" s="216"/>
    </row>
    <row r="1388">
      <c r="A1388" s="216"/>
      <c r="B1388" s="216"/>
      <c r="C1388" s="216"/>
      <c r="D1388" s="216"/>
      <c r="E1388" s="216"/>
      <c r="F1388" s="216"/>
      <c r="G1388" s="216"/>
    </row>
    <row r="1389">
      <c r="A1389" s="216"/>
      <c r="B1389" s="216"/>
      <c r="C1389" s="216"/>
      <c r="D1389" s="216"/>
      <c r="E1389" s="216"/>
      <c r="F1389" s="216"/>
      <c r="G1389" s="216"/>
    </row>
    <row r="1390">
      <c r="A1390" s="216"/>
      <c r="B1390" s="216"/>
      <c r="C1390" s="216"/>
      <c r="D1390" s="216"/>
      <c r="E1390" s="216"/>
      <c r="F1390" s="216"/>
      <c r="G1390" s="216"/>
    </row>
    <row r="1391">
      <c r="A1391" s="216"/>
      <c r="B1391" s="216"/>
      <c r="C1391" s="216"/>
      <c r="D1391" s="216"/>
      <c r="E1391" s="216"/>
      <c r="F1391" s="216"/>
      <c r="G1391" s="216"/>
    </row>
    <row r="1392">
      <c r="A1392" s="216"/>
      <c r="B1392" s="216"/>
      <c r="C1392" s="216"/>
      <c r="D1392" s="216"/>
      <c r="E1392" s="216"/>
      <c r="F1392" s="216"/>
      <c r="G1392" s="216"/>
    </row>
    <row r="1393">
      <c r="A1393" s="216"/>
      <c r="B1393" s="216"/>
      <c r="C1393" s="216"/>
      <c r="D1393" s="216"/>
      <c r="E1393" s="216"/>
      <c r="F1393" s="216"/>
      <c r="G1393" s="216"/>
    </row>
    <row r="1394">
      <c r="A1394" s="216"/>
      <c r="B1394" s="216"/>
      <c r="C1394" s="216"/>
      <c r="D1394" s="216"/>
      <c r="E1394" s="216"/>
      <c r="F1394" s="216"/>
      <c r="G1394" s="216"/>
    </row>
    <row r="1395">
      <c r="A1395" s="216"/>
      <c r="B1395" s="216"/>
      <c r="C1395" s="216"/>
      <c r="D1395" s="216"/>
      <c r="E1395" s="216"/>
      <c r="F1395" s="216"/>
      <c r="G1395" s="216"/>
    </row>
    <row r="1396">
      <c r="A1396" s="216"/>
      <c r="B1396" s="216"/>
      <c r="C1396" s="216"/>
      <c r="D1396" s="216"/>
      <c r="E1396" s="216"/>
      <c r="F1396" s="216"/>
      <c r="G1396" s="216"/>
    </row>
    <row r="1397">
      <c r="A1397" s="216"/>
      <c r="B1397" s="216"/>
      <c r="C1397" s="216"/>
      <c r="D1397" s="216"/>
      <c r="E1397" s="216"/>
      <c r="F1397" s="216"/>
      <c r="G1397" s="216"/>
    </row>
    <row r="1398">
      <c r="A1398" s="216"/>
      <c r="B1398" s="216"/>
      <c r="C1398" s="216"/>
      <c r="D1398" s="216"/>
      <c r="E1398" s="216"/>
      <c r="F1398" s="216"/>
      <c r="G1398" s="216"/>
    </row>
    <row r="1399">
      <c r="A1399" s="216"/>
      <c r="B1399" s="216"/>
      <c r="C1399" s="216"/>
      <c r="D1399" s="216"/>
      <c r="E1399" s="216"/>
      <c r="F1399" s="216"/>
      <c r="G1399" s="216"/>
    </row>
    <row r="1400">
      <c r="A1400" s="216"/>
      <c r="B1400" s="216"/>
      <c r="C1400" s="216"/>
      <c r="D1400" s="216"/>
      <c r="E1400" s="216"/>
      <c r="F1400" s="216"/>
      <c r="G1400" s="216"/>
    </row>
    <row r="1401">
      <c r="A1401" s="216"/>
      <c r="B1401" s="216"/>
      <c r="C1401" s="216"/>
      <c r="D1401" s="216"/>
      <c r="E1401" s="216"/>
      <c r="F1401" s="216"/>
      <c r="G1401" s="216"/>
    </row>
    <row r="1402">
      <c r="A1402" s="216"/>
      <c r="B1402" s="216"/>
      <c r="C1402" s="216"/>
      <c r="D1402" s="216"/>
      <c r="E1402" s="216"/>
      <c r="F1402" s="216"/>
      <c r="G1402" s="216"/>
    </row>
    <row r="1403">
      <c r="A1403" s="216"/>
      <c r="B1403" s="216"/>
      <c r="C1403" s="216"/>
      <c r="D1403" s="216"/>
      <c r="E1403" s="216"/>
      <c r="F1403" s="216"/>
      <c r="G1403" s="216"/>
    </row>
    <row r="1404">
      <c r="A1404" s="216"/>
      <c r="B1404" s="216"/>
      <c r="C1404" s="216"/>
      <c r="D1404" s="216"/>
      <c r="E1404" s="216"/>
      <c r="F1404" s="216"/>
      <c r="G1404" s="216"/>
    </row>
    <row r="1405">
      <c r="A1405" s="216"/>
      <c r="B1405" s="216"/>
      <c r="C1405" s="216"/>
      <c r="D1405" s="216"/>
      <c r="E1405" s="216"/>
      <c r="F1405" s="216"/>
      <c r="G1405" s="216"/>
    </row>
    <row r="1406">
      <c r="A1406" s="216"/>
      <c r="B1406" s="216"/>
      <c r="C1406" s="216"/>
      <c r="D1406" s="216"/>
      <c r="E1406" s="216"/>
      <c r="F1406" s="216"/>
      <c r="G1406" s="216"/>
    </row>
    <row r="1407">
      <c r="A1407" s="216"/>
      <c r="B1407" s="216"/>
      <c r="C1407" s="216"/>
      <c r="D1407" s="216"/>
      <c r="E1407" s="216"/>
      <c r="F1407" s="216"/>
      <c r="G1407" s="216"/>
    </row>
    <row r="1408">
      <c r="A1408" s="216"/>
      <c r="B1408" s="216"/>
      <c r="C1408" s="216"/>
      <c r="D1408" s="216"/>
      <c r="E1408" s="216"/>
      <c r="F1408" s="216"/>
      <c r="G1408" s="216"/>
    </row>
    <row r="1409">
      <c r="A1409" s="216"/>
      <c r="B1409" s="216"/>
      <c r="C1409" s="216"/>
      <c r="D1409" s="216"/>
      <c r="E1409" s="216"/>
      <c r="F1409" s="216"/>
      <c r="G1409" s="216"/>
    </row>
    <row r="1410">
      <c r="A1410" s="216"/>
      <c r="B1410" s="216"/>
      <c r="C1410" s="216"/>
      <c r="D1410" s="216"/>
      <c r="E1410" s="216"/>
      <c r="F1410" s="216"/>
      <c r="G1410" s="216"/>
    </row>
    <row r="1411">
      <c r="A1411" s="216"/>
      <c r="B1411" s="216"/>
      <c r="C1411" s="216"/>
      <c r="D1411" s="216"/>
      <c r="E1411" s="216"/>
      <c r="F1411" s="216"/>
      <c r="G1411" s="216"/>
    </row>
    <row r="1412">
      <c r="A1412" s="216"/>
      <c r="B1412" s="216"/>
      <c r="C1412" s="216"/>
      <c r="D1412" s="216"/>
      <c r="E1412" s="216"/>
      <c r="F1412" s="216"/>
      <c r="G1412" s="216"/>
    </row>
    <row r="1413">
      <c r="A1413" s="216"/>
      <c r="B1413" s="216"/>
      <c r="C1413" s="216"/>
      <c r="D1413" s="216"/>
      <c r="E1413" s="216"/>
      <c r="F1413" s="216"/>
      <c r="G1413" s="216"/>
    </row>
    <row r="1414">
      <c r="A1414" s="216"/>
      <c r="B1414" s="216"/>
      <c r="C1414" s="216"/>
      <c r="D1414" s="216"/>
      <c r="E1414" s="216"/>
      <c r="F1414" s="216"/>
      <c r="G1414" s="216"/>
    </row>
    <row r="1415">
      <c r="A1415" s="216"/>
      <c r="B1415" s="216"/>
      <c r="C1415" s="216"/>
      <c r="D1415" s="216"/>
      <c r="E1415" s="216"/>
      <c r="F1415" s="216"/>
      <c r="G1415" s="216"/>
    </row>
    <row r="1416">
      <c r="A1416" s="216"/>
      <c r="B1416" s="216"/>
      <c r="C1416" s="216"/>
      <c r="D1416" s="216"/>
      <c r="E1416" s="216"/>
      <c r="F1416" s="216"/>
      <c r="G1416" s="216"/>
    </row>
    <row r="1417">
      <c r="A1417" s="216"/>
      <c r="B1417" s="216"/>
      <c r="C1417" s="216"/>
      <c r="D1417" s="216"/>
      <c r="E1417" s="216"/>
      <c r="F1417" s="216"/>
      <c r="G1417" s="216"/>
    </row>
    <row r="1418">
      <c r="A1418" s="216"/>
      <c r="B1418" s="216"/>
      <c r="C1418" s="216"/>
      <c r="D1418" s="216"/>
      <c r="E1418" s="216"/>
      <c r="F1418" s="216"/>
      <c r="G1418" s="216"/>
    </row>
    <row r="1419">
      <c r="A1419" s="216"/>
      <c r="B1419" s="216"/>
      <c r="C1419" s="216"/>
      <c r="D1419" s="216"/>
      <c r="E1419" s="216"/>
      <c r="F1419" s="216"/>
      <c r="G1419" s="216"/>
    </row>
    <row r="1420">
      <c r="A1420" s="216"/>
      <c r="B1420" s="216"/>
      <c r="C1420" s="216"/>
      <c r="D1420" s="216"/>
      <c r="E1420" s="216"/>
      <c r="F1420" s="216"/>
      <c r="G1420" s="216"/>
    </row>
    <row r="1421">
      <c r="A1421" s="216"/>
      <c r="B1421" s="216"/>
      <c r="C1421" s="216"/>
      <c r="D1421" s="216"/>
      <c r="E1421" s="216"/>
      <c r="F1421" s="216"/>
      <c r="G1421" s="216"/>
    </row>
    <row r="1422">
      <c r="A1422" s="216"/>
      <c r="B1422" s="216"/>
      <c r="C1422" s="216"/>
      <c r="D1422" s="216"/>
      <c r="E1422" s="216"/>
      <c r="F1422" s="216"/>
      <c r="G1422" s="216"/>
    </row>
    <row r="1423">
      <c r="A1423" s="216"/>
      <c r="B1423" s="216"/>
      <c r="C1423" s="216"/>
      <c r="D1423" s="216"/>
      <c r="E1423" s="216"/>
      <c r="F1423" s="216"/>
      <c r="G1423" s="216"/>
    </row>
    <row r="1424">
      <c r="A1424" s="216"/>
      <c r="B1424" s="216"/>
      <c r="C1424" s="216"/>
      <c r="D1424" s="216"/>
      <c r="E1424" s="216"/>
      <c r="F1424" s="216"/>
      <c r="G1424" s="216"/>
    </row>
    <row r="1425">
      <c r="A1425" s="216"/>
      <c r="B1425" s="216"/>
      <c r="C1425" s="216"/>
      <c r="D1425" s="216"/>
      <c r="E1425" s="216"/>
      <c r="F1425" s="216"/>
      <c r="G1425" s="216"/>
    </row>
    <row r="1426">
      <c r="A1426" s="216"/>
      <c r="B1426" s="216"/>
      <c r="C1426" s="216"/>
      <c r="D1426" s="216"/>
      <c r="E1426" s="216"/>
      <c r="F1426" s="216"/>
      <c r="G1426" s="216"/>
    </row>
    <row r="1427">
      <c r="A1427" s="216"/>
      <c r="B1427" s="216"/>
      <c r="C1427" s="216"/>
      <c r="D1427" s="216"/>
      <c r="E1427" s="216"/>
      <c r="F1427" s="216"/>
      <c r="G1427" s="216"/>
    </row>
    <row r="1428">
      <c r="A1428" s="216"/>
      <c r="B1428" s="216"/>
      <c r="C1428" s="216"/>
      <c r="D1428" s="216"/>
      <c r="E1428" s="216"/>
      <c r="F1428" s="216"/>
      <c r="G1428" s="216"/>
    </row>
    <row r="1429">
      <c r="A1429" s="216"/>
      <c r="B1429" s="216"/>
      <c r="C1429" s="216"/>
      <c r="D1429" s="216"/>
      <c r="E1429" s="216"/>
      <c r="F1429" s="216"/>
      <c r="G1429" s="216"/>
    </row>
    <row r="1430">
      <c r="A1430" s="216"/>
      <c r="B1430" s="216"/>
      <c r="C1430" s="216"/>
      <c r="D1430" s="216"/>
      <c r="E1430" s="216"/>
      <c r="F1430" s="216"/>
      <c r="G1430" s="216"/>
    </row>
    <row r="1431">
      <c r="A1431" s="216"/>
      <c r="B1431" s="216"/>
      <c r="C1431" s="216"/>
      <c r="D1431" s="216"/>
      <c r="E1431" s="216"/>
      <c r="F1431" s="216"/>
      <c r="G1431" s="216"/>
    </row>
    <row r="1432">
      <c r="A1432" s="216"/>
      <c r="B1432" s="216"/>
      <c r="C1432" s="216"/>
      <c r="D1432" s="216"/>
      <c r="E1432" s="216"/>
      <c r="F1432" s="216"/>
      <c r="G1432" s="216"/>
    </row>
    <row r="1433">
      <c r="A1433" s="216"/>
      <c r="B1433" s="216"/>
      <c r="C1433" s="216"/>
      <c r="D1433" s="216"/>
      <c r="E1433" s="216"/>
      <c r="F1433" s="216"/>
      <c r="G1433" s="216"/>
    </row>
    <row r="1434">
      <c r="A1434" s="216"/>
      <c r="B1434" s="216"/>
      <c r="C1434" s="216"/>
      <c r="D1434" s="216"/>
      <c r="E1434" s="216"/>
      <c r="F1434" s="216"/>
      <c r="G1434" s="216"/>
    </row>
    <row r="1435">
      <c r="A1435" s="216"/>
      <c r="B1435" s="216"/>
      <c r="C1435" s="216"/>
      <c r="D1435" s="216"/>
      <c r="E1435" s="216"/>
      <c r="F1435" s="216"/>
      <c r="G1435" s="216"/>
    </row>
    <row r="1436">
      <c r="A1436" s="216"/>
      <c r="B1436" s="216"/>
      <c r="C1436" s="216"/>
      <c r="D1436" s="216"/>
      <c r="E1436" s="216"/>
      <c r="F1436" s="216"/>
      <c r="G1436" s="216"/>
    </row>
    <row r="1437">
      <c r="A1437" s="216"/>
      <c r="B1437" s="216"/>
      <c r="C1437" s="216"/>
      <c r="D1437" s="216"/>
      <c r="E1437" s="216"/>
      <c r="F1437" s="216"/>
      <c r="G1437" s="216"/>
    </row>
    <row r="1438">
      <c r="A1438" s="216"/>
      <c r="B1438" s="216"/>
      <c r="C1438" s="216"/>
      <c r="D1438" s="216"/>
      <c r="E1438" s="216"/>
      <c r="F1438" s="216"/>
      <c r="G1438" s="216"/>
    </row>
    <row r="1439">
      <c r="A1439" s="216"/>
      <c r="B1439" s="216"/>
      <c r="C1439" s="216"/>
      <c r="D1439" s="216"/>
      <c r="E1439" s="216"/>
      <c r="F1439" s="216"/>
      <c r="G1439" s="216"/>
    </row>
    <row r="1440">
      <c r="A1440" s="216"/>
      <c r="B1440" s="216"/>
      <c r="C1440" s="216"/>
      <c r="D1440" s="216"/>
      <c r="E1440" s="216"/>
      <c r="F1440" s="216"/>
      <c r="G1440" s="216"/>
    </row>
    <row r="1441">
      <c r="A1441" s="216"/>
      <c r="B1441" s="216"/>
      <c r="C1441" s="216"/>
      <c r="D1441" s="216"/>
      <c r="E1441" s="216"/>
      <c r="F1441" s="216"/>
      <c r="G1441" s="216"/>
    </row>
    <row r="1442">
      <c r="A1442" s="216"/>
      <c r="B1442" s="216"/>
      <c r="C1442" s="216"/>
      <c r="D1442" s="216"/>
      <c r="E1442" s="216"/>
      <c r="F1442" s="216"/>
      <c r="G1442" s="216"/>
    </row>
    <row r="1443">
      <c r="A1443" s="216"/>
      <c r="B1443" s="216"/>
      <c r="C1443" s="216"/>
      <c r="D1443" s="216"/>
      <c r="E1443" s="216"/>
      <c r="F1443" s="216"/>
      <c r="G1443" s="216"/>
    </row>
    <row r="1444">
      <c r="A1444" s="216"/>
      <c r="B1444" s="216"/>
      <c r="C1444" s="216"/>
      <c r="D1444" s="216"/>
      <c r="E1444" s="216"/>
      <c r="F1444" s="216"/>
      <c r="G1444" s="216"/>
    </row>
    <row r="1445">
      <c r="A1445" s="216"/>
      <c r="B1445" s="216"/>
      <c r="C1445" s="216"/>
      <c r="D1445" s="216"/>
      <c r="E1445" s="216"/>
      <c r="F1445" s="216"/>
      <c r="G1445" s="216"/>
    </row>
    <row r="1446">
      <c r="A1446" s="216"/>
      <c r="B1446" s="216"/>
      <c r="C1446" s="216"/>
      <c r="D1446" s="216"/>
      <c r="E1446" s="216"/>
      <c r="F1446" s="216"/>
      <c r="G1446" s="216"/>
    </row>
    <row r="1447">
      <c r="A1447" s="216"/>
      <c r="B1447" s="216"/>
      <c r="C1447" s="216"/>
      <c r="D1447" s="216"/>
      <c r="E1447" s="216"/>
      <c r="F1447" s="216"/>
      <c r="G1447" s="216"/>
    </row>
    <row r="1448">
      <c r="A1448" s="216"/>
      <c r="B1448" s="216"/>
      <c r="C1448" s="216"/>
      <c r="D1448" s="216"/>
      <c r="E1448" s="216"/>
      <c r="F1448" s="216"/>
      <c r="G1448" s="216"/>
    </row>
    <row r="1449">
      <c r="A1449" s="216"/>
      <c r="B1449" s="216"/>
      <c r="C1449" s="216"/>
      <c r="D1449" s="216"/>
      <c r="E1449" s="216"/>
      <c r="F1449" s="216"/>
      <c r="G1449" s="216"/>
    </row>
    <row r="1450">
      <c r="A1450" s="216"/>
      <c r="B1450" s="216"/>
      <c r="C1450" s="216"/>
      <c r="D1450" s="216"/>
      <c r="E1450" s="216"/>
      <c r="F1450" s="216"/>
      <c r="G1450" s="216"/>
    </row>
    <row r="1451">
      <c r="A1451" s="216"/>
      <c r="B1451" s="216"/>
      <c r="C1451" s="216"/>
      <c r="D1451" s="216"/>
      <c r="E1451" s="216"/>
      <c r="F1451" s="216"/>
      <c r="G1451" s="216"/>
    </row>
    <row r="1452">
      <c r="A1452" s="216"/>
      <c r="B1452" s="216"/>
      <c r="C1452" s="216"/>
      <c r="D1452" s="216"/>
      <c r="E1452" s="216"/>
      <c r="F1452" s="216"/>
      <c r="G1452" s="216"/>
    </row>
    <row r="1453">
      <c r="A1453" s="216"/>
      <c r="B1453" s="216"/>
      <c r="C1453" s="216"/>
      <c r="D1453" s="216"/>
      <c r="E1453" s="216"/>
      <c r="F1453" s="216"/>
      <c r="G1453" s="216"/>
    </row>
    <row r="1454">
      <c r="A1454" s="216"/>
      <c r="B1454" s="216"/>
      <c r="C1454" s="216"/>
      <c r="D1454" s="216"/>
      <c r="E1454" s="216"/>
      <c r="F1454" s="216"/>
      <c r="G1454" s="216"/>
    </row>
    <row r="1455">
      <c r="A1455" s="216"/>
      <c r="B1455" s="216"/>
      <c r="C1455" s="216"/>
      <c r="D1455" s="216"/>
      <c r="E1455" s="216"/>
      <c r="F1455" s="216"/>
      <c r="G1455" s="216"/>
    </row>
    <row r="1456">
      <c r="A1456" s="216"/>
      <c r="B1456" s="216"/>
      <c r="C1456" s="216"/>
      <c r="D1456" s="216"/>
      <c r="E1456" s="216"/>
      <c r="F1456" s="216"/>
      <c r="G1456" s="216"/>
    </row>
    <row r="1457">
      <c r="A1457" s="216"/>
      <c r="B1457" s="216"/>
      <c r="C1457" s="216"/>
      <c r="D1457" s="216"/>
      <c r="E1457" s="216"/>
      <c r="F1457" s="216"/>
      <c r="G1457" s="216"/>
    </row>
    <row r="1458">
      <c r="A1458" s="216"/>
      <c r="B1458" s="216"/>
      <c r="C1458" s="216"/>
      <c r="D1458" s="216"/>
      <c r="E1458" s="216"/>
      <c r="F1458" s="216"/>
      <c r="G1458" s="216"/>
    </row>
    <row r="1459">
      <c r="A1459" s="216"/>
      <c r="B1459" s="216"/>
      <c r="C1459" s="216"/>
      <c r="D1459" s="216"/>
      <c r="E1459" s="216"/>
      <c r="F1459" s="216"/>
      <c r="G1459" s="216"/>
    </row>
    <row r="1460">
      <c r="A1460" s="216"/>
      <c r="B1460" s="216"/>
      <c r="C1460" s="216"/>
      <c r="D1460" s="216"/>
      <c r="E1460" s="216"/>
      <c r="F1460" s="216"/>
      <c r="G1460" s="216"/>
    </row>
    <row r="1461">
      <c r="A1461" s="216"/>
      <c r="B1461" s="216"/>
      <c r="C1461" s="216"/>
      <c r="D1461" s="216"/>
      <c r="E1461" s="216"/>
      <c r="F1461" s="216"/>
      <c r="G1461" s="216"/>
    </row>
    <row r="1462">
      <c r="A1462" s="216"/>
      <c r="B1462" s="216"/>
      <c r="C1462" s="216"/>
      <c r="D1462" s="216"/>
      <c r="E1462" s="216"/>
      <c r="F1462" s="216"/>
      <c r="G1462" s="216"/>
    </row>
    <row r="1463">
      <c r="A1463" s="216"/>
      <c r="B1463" s="216"/>
      <c r="C1463" s="216"/>
      <c r="D1463" s="216"/>
      <c r="E1463" s="216"/>
      <c r="F1463" s="216"/>
      <c r="G1463" s="216"/>
    </row>
    <row r="1464">
      <c r="A1464" s="216"/>
      <c r="B1464" s="216"/>
      <c r="C1464" s="216"/>
      <c r="D1464" s="216"/>
      <c r="E1464" s="216"/>
      <c r="F1464" s="216"/>
      <c r="G1464" s="216"/>
    </row>
    <row r="1465">
      <c r="A1465" s="216"/>
      <c r="B1465" s="216"/>
      <c r="C1465" s="216"/>
      <c r="D1465" s="216"/>
      <c r="E1465" s="216"/>
      <c r="F1465" s="216"/>
      <c r="G1465" s="216"/>
    </row>
    <row r="1466">
      <c r="A1466" s="216"/>
      <c r="B1466" s="216"/>
      <c r="C1466" s="216"/>
      <c r="D1466" s="216"/>
      <c r="E1466" s="216"/>
      <c r="F1466" s="216"/>
      <c r="G1466" s="216"/>
    </row>
    <row r="1467">
      <c r="A1467" s="216"/>
      <c r="B1467" s="216"/>
      <c r="C1467" s="216"/>
      <c r="D1467" s="216"/>
      <c r="E1467" s="216"/>
      <c r="F1467" s="216"/>
      <c r="G1467" s="216"/>
    </row>
    <row r="1468">
      <c r="A1468" s="216"/>
      <c r="B1468" s="216"/>
      <c r="C1468" s="216"/>
      <c r="D1468" s="216"/>
      <c r="E1468" s="216"/>
      <c r="F1468" s="216"/>
      <c r="G1468" s="216"/>
    </row>
    <row r="1469">
      <c r="A1469" s="216"/>
      <c r="B1469" s="216"/>
      <c r="C1469" s="216"/>
      <c r="D1469" s="216"/>
      <c r="E1469" s="216"/>
      <c r="F1469" s="216"/>
      <c r="G1469" s="216"/>
    </row>
    <row r="1470">
      <c r="A1470" s="216"/>
      <c r="B1470" s="216"/>
      <c r="C1470" s="216"/>
      <c r="D1470" s="216"/>
      <c r="E1470" s="216"/>
      <c r="F1470" s="216"/>
      <c r="G1470" s="216"/>
    </row>
    <row r="1471">
      <c r="A1471" s="216"/>
      <c r="B1471" s="216"/>
      <c r="C1471" s="216"/>
      <c r="D1471" s="216"/>
      <c r="E1471" s="216"/>
      <c r="F1471" s="216"/>
      <c r="G1471" s="216"/>
    </row>
    <row r="1472">
      <c r="A1472" s="216"/>
      <c r="B1472" s="216"/>
      <c r="C1472" s="216"/>
      <c r="D1472" s="216"/>
      <c r="E1472" s="216"/>
      <c r="F1472" s="216"/>
      <c r="G1472" s="216"/>
    </row>
    <row r="1473">
      <c r="A1473" s="216"/>
      <c r="B1473" s="216"/>
      <c r="C1473" s="216"/>
      <c r="D1473" s="216"/>
      <c r="E1473" s="216"/>
      <c r="F1473" s="216"/>
      <c r="G1473" s="216"/>
    </row>
    <row r="1474">
      <c r="A1474" s="216"/>
      <c r="B1474" s="216"/>
      <c r="C1474" s="216"/>
      <c r="D1474" s="216"/>
      <c r="E1474" s="216"/>
      <c r="F1474" s="216"/>
      <c r="G1474" s="216"/>
    </row>
    <row r="1475">
      <c r="A1475" s="216"/>
      <c r="B1475" s="216"/>
      <c r="C1475" s="216"/>
      <c r="D1475" s="216"/>
      <c r="E1475" s="216"/>
      <c r="F1475" s="216"/>
      <c r="G1475" s="216"/>
    </row>
    <row r="1476">
      <c r="A1476" s="216"/>
      <c r="B1476" s="216"/>
      <c r="C1476" s="216"/>
      <c r="D1476" s="216"/>
      <c r="E1476" s="216"/>
      <c r="F1476" s="216"/>
      <c r="G1476" s="216"/>
    </row>
    <row r="1477">
      <c r="A1477" s="216"/>
      <c r="B1477" s="216"/>
      <c r="C1477" s="216"/>
      <c r="D1477" s="216"/>
      <c r="E1477" s="216"/>
      <c r="F1477" s="216"/>
      <c r="G1477" s="216"/>
    </row>
    <row r="1478">
      <c r="A1478" s="216"/>
      <c r="B1478" s="216"/>
      <c r="C1478" s="216"/>
      <c r="D1478" s="216"/>
      <c r="E1478" s="216"/>
      <c r="F1478" s="216"/>
      <c r="G1478" s="216"/>
    </row>
    <row r="1479">
      <c r="A1479" s="216"/>
      <c r="B1479" s="216"/>
      <c r="C1479" s="216"/>
      <c r="D1479" s="216"/>
      <c r="E1479" s="216"/>
      <c r="F1479" s="216"/>
      <c r="G1479" s="216"/>
    </row>
    <row r="1480">
      <c r="A1480" s="216"/>
      <c r="B1480" s="216"/>
      <c r="C1480" s="216"/>
      <c r="D1480" s="216"/>
      <c r="E1480" s="216"/>
      <c r="F1480" s="216"/>
      <c r="G1480" s="216"/>
    </row>
    <row r="1481">
      <c r="A1481" s="216"/>
      <c r="B1481" s="216"/>
      <c r="C1481" s="216"/>
      <c r="D1481" s="216"/>
      <c r="E1481" s="216"/>
      <c r="F1481" s="216"/>
      <c r="G1481" s="216"/>
    </row>
    <row r="1482">
      <c r="A1482" s="216"/>
      <c r="B1482" s="216"/>
      <c r="C1482" s="216"/>
      <c r="D1482" s="216"/>
      <c r="E1482" s="216"/>
      <c r="F1482" s="216"/>
      <c r="G1482" s="216"/>
    </row>
    <row r="1483">
      <c r="A1483" s="216"/>
      <c r="B1483" s="216"/>
      <c r="C1483" s="216"/>
      <c r="D1483" s="216"/>
      <c r="E1483" s="216"/>
      <c r="F1483" s="216"/>
      <c r="G1483" s="216"/>
    </row>
    <row r="1484">
      <c r="A1484" s="216"/>
      <c r="B1484" s="216"/>
      <c r="C1484" s="216"/>
      <c r="D1484" s="216"/>
      <c r="E1484" s="216"/>
      <c r="F1484" s="216"/>
      <c r="G1484" s="216"/>
    </row>
    <row r="1485">
      <c r="A1485" s="216"/>
      <c r="B1485" s="216"/>
      <c r="C1485" s="216"/>
      <c r="D1485" s="216"/>
      <c r="E1485" s="216"/>
      <c r="F1485" s="216"/>
      <c r="G1485" s="216"/>
    </row>
    <row r="1486">
      <c r="A1486" s="216"/>
      <c r="B1486" s="216"/>
      <c r="C1486" s="216"/>
      <c r="D1486" s="216"/>
      <c r="E1486" s="216"/>
      <c r="F1486" s="216"/>
      <c r="G1486" s="216"/>
    </row>
    <row r="1487">
      <c r="A1487" s="216"/>
      <c r="B1487" s="216"/>
      <c r="C1487" s="216"/>
      <c r="D1487" s="216"/>
      <c r="E1487" s="216"/>
      <c r="F1487" s="216"/>
      <c r="G1487" s="216"/>
    </row>
    <row r="1488">
      <c r="A1488" s="216"/>
      <c r="B1488" s="216"/>
      <c r="C1488" s="216"/>
      <c r="D1488" s="216"/>
      <c r="E1488" s="216"/>
      <c r="F1488" s="216"/>
      <c r="G1488" s="216"/>
    </row>
    <row r="1489">
      <c r="A1489" s="216"/>
      <c r="B1489" s="216"/>
      <c r="C1489" s="216"/>
      <c r="D1489" s="216"/>
      <c r="E1489" s="216"/>
      <c r="F1489" s="216"/>
      <c r="G1489" s="216"/>
    </row>
    <row r="1490">
      <c r="A1490" s="216"/>
      <c r="B1490" s="216"/>
      <c r="C1490" s="216"/>
      <c r="D1490" s="216"/>
      <c r="E1490" s="216"/>
      <c r="F1490" s="216"/>
      <c r="G1490" s="216"/>
    </row>
    <row r="1491">
      <c r="A1491" s="216"/>
      <c r="B1491" s="216"/>
      <c r="C1491" s="216"/>
      <c r="D1491" s="216"/>
      <c r="E1491" s="216"/>
      <c r="F1491" s="216"/>
      <c r="G1491" s="216"/>
    </row>
    <row r="1492">
      <c r="A1492" s="216"/>
      <c r="B1492" s="216"/>
      <c r="C1492" s="216"/>
      <c r="D1492" s="216"/>
      <c r="E1492" s="216"/>
      <c r="F1492" s="216"/>
      <c r="G1492" s="216"/>
    </row>
    <row r="1493">
      <c r="A1493" s="216"/>
      <c r="B1493" s="216"/>
      <c r="C1493" s="216"/>
      <c r="D1493" s="216"/>
      <c r="E1493" s="216"/>
      <c r="F1493" s="216"/>
      <c r="G1493" s="216"/>
    </row>
    <row r="1494">
      <c r="A1494" s="216"/>
      <c r="B1494" s="216"/>
      <c r="C1494" s="216"/>
      <c r="D1494" s="216"/>
      <c r="E1494" s="216"/>
      <c r="F1494" s="216"/>
      <c r="G1494" s="216"/>
    </row>
    <row r="1495">
      <c r="A1495" s="216"/>
      <c r="B1495" s="216"/>
      <c r="C1495" s="216"/>
      <c r="D1495" s="216"/>
      <c r="E1495" s="216"/>
      <c r="F1495" s="216"/>
      <c r="G1495" s="216"/>
    </row>
    <row r="1496">
      <c r="A1496" s="216"/>
      <c r="B1496" s="216"/>
      <c r="C1496" s="216"/>
      <c r="D1496" s="216"/>
      <c r="E1496" s="216"/>
      <c r="F1496" s="216"/>
      <c r="G1496" s="216"/>
    </row>
    <row r="1497">
      <c r="A1497" s="216"/>
      <c r="B1497" s="216"/>
      <c r="C1497" s="216"/>
      <c r="D1497" s="216"/>
      <c r="E1497" s="216"/>
      <c r="F1497" s="216"/>
      <c r="G1497" s="216"/>
    </row>
    <row r="1498">
      <c r="A1498" s="216"/>
      <c r="B1498" s="216"/>
      <c r="C1498" s="216"/>
      <c r="D1498" s="216"/>
      <c r="E1498" s="216"/>
      <c r="F1498" s="216"/>
      <c r="G1498" s="216"/>
    </row>
    <row r="1499">
      <c r="A1499" s="216"/>
      <c r="B1499" s="216"/>
      <c r="C1499" s="216"/>
      <c r="D1499" s="216"/>
      <c r="E1499" s="216"/>
      <c r="F1499" s="216"/>
      <c r="G1499" s="216"/>
    </row>
    <row r="1500">
      <c r="A1500" s="216"/>
      <c r="B1500" s="216"/>
      <c r="C1500" s="216"/>
      <c r="D1500" s="216"/>
      <c r="E1500" s="216"/>
      <c r="F1500" s="216"/>
      <c r="G1500" s="216"/>
    </row>
    <row r="1501">
      <c r="A1501" s="216"/>
      <c r="B1501" s="216"/>
      <c r="C1501" s="216"/>
      <c r="D1501" s="216"/>
      <c r="E1501" s="216"/>
      <c r="F1501" s="216"/>
      <c r="G1501" s="216"/>
    </row>
    <row r="1502">
      <c r="A1502" s="216"/>
      <c r="B1502" s="216"/>
      <c r="C1502" s="216"/>
      <c r="D1502" s="216"/>
      <c r="E1502" s="216"/>
      <c r="F1502" s="216"/>
      <c r="G1502" s="216"/>
    </row>
    <row r="1503">
      <c r="A1503" s="216"/>
      <c r="B1503" s="216"/>
      <c r="C1503" s="216"/>
      <c r="D1503" s="216"/>
      <c r="E1503" s="216"/>
      <c r="F1503" s="216"/>
      <c r="G1503" s="216"/>
    </row>
    <row r="1504">
      <c r="A1504" s="216"/>
      <c r="B1504" s="216"/>
      <c r="C1504" s="216"/>
      <c r="D1504" s="216"/>
      <c r="E1504" s="216"/>
      <c r="F1504" s="216"/>
      <c r="G1504" s="216"/>
    </row>
    <row r="1505">
      <c r="A1505" s="216"/>
      <c r="B1505" s="216"/>
      <c r="C1505" s="216"/>
      <c r="D1505" s="216"/>
      <c r="E1505" s="216"/>
      <c r="F1505" s="216"/>
      <c r="G1505" s="216"/>
    </row>
    <row r="1506">
      <c r="A1506" s="216"/>
      <c r="B1506" s="216"/>
      <c r="C1506" s="216"/>
      <c r="D1506" s="216"/>
      <c r="E1506" s="216"/>
      <c r="F1506" s="216"/>
      <c r="G1506" s="216"/>
    </row>
    <row r="1507">
      <c r="A1507" s="216"/>
      <c r="B1507" s="216"/>
      <c r="C1507" s="216"/>
      <c r="D1507" s="216"/>
      <c r="E1507" s="216"/>
      <c r="F1507" s="216"/>
      <c r="G1507" s="216"/>
    </row>
    <row r="1508">
      <c r="A1508" s="216"/>
      <c r="B1508" s="216"/>
      <c r="C1508" s="216"/>
      <c r="D1508" s="216"/>
      <c r="E1508" s="216"/>
      <c r="F1508" s="216"/>
      <c r="G1508" s="216"/>
    </row>
    <row r="1509">
      <c r="A1509" s="216"/>
      <c r="B1509" s="216"/>
      <c r="C1509" s="216"/>
      <c r="D1509" s="216"/>
      <c r="E1509" s="216"/>
      <c r="F1509" s="216"/>
      <c r="G1509" s="216"/>
    </row>
    <row r="1510">
      <c r="A1510" s="216"/>
      <c r="B1510" s="216"/>
      <c r="C1510" s="216"/>
      <c r="D1510" s="216"/>
      <c r="E1510" s="216"/>
      <c r="F1510" s="216"/>
      <c r="G1510" s="216"/>
    </row>
    <row r="1511">
      <c r="A1511" s="216"/>
      <c r="B1511" s="216"/>
      <c r="C1511" s="216"/>
      <c r="D1511" s="216"/>
      <c r="E1511" s="216"/>
      <c r="F1511" s="216"/>
      <c r="G1511" s="216"/>
    </row>
    <row r="1512">
      <c r="A1512" s="216"/>
      <c r="B1512" s="216"/>
      <c r="C1512" s="216"/>
      <c r="D1512" s="216"/>
      <c r="E1512" s="216"/>
      <c r="F1512" s="216"/>
      <c r="G1512" s="216"/>
    </row>
    <row r="1513">
      <c r="A1513" s="216"/>
      <c r="B1513" s="216"/>
      <c r="C1513" s="216"/>
      <c r="D1513" s="216"/>
      <c r="E1513" s="216"/>
      <c r="F1513" s="216"/>
      <c r="G1513" s="216"/>
    </row>
    <row r="1514">
      <c r="A1514" s="216"/>
      <c r="B1514" s="216"/>
      <c r="C1514" s="216"/>
      <c r="D1514" s="216"/>
      <c r="E1514" s="216"/>
      <c r="F1514" s="216"/>
      <c r="G1514" s="216"/>
    </row>
    <row r="1515">
      <c r="A1515" s="216"/>
      <c r="B1515" s="216"/>
      <c r="C1515" s="216"/>
      <c r="D1515" s="216"/>
      <c r="E1515" s="216"/>
      <c r="F1515" s="216"/>
      <c r="G1515" s="216"/>
    </row>
    <row r="1516">
      <c r="A1516" s="216"/>
      <c r="B1516" s="216"/>
      <c r="C1516" s="216"/>
      <c r="D1516" s="216"/>
      <c r="E1516" s="216"/>
      <c r="F1516" s="216"/>
      <c r="G1516" s="216"/>
    </row>
    <row r="1517">
      <c r="A1517" s="216"/>
      <c r="B1517" s="216"/>
      <c r="C1517" s="216"/>
      <c r="D1517" s="216"/>
      <c r="E1517" s="216"/>
      <c r="F1517" s="216"/>
      <c r="G1517" s="216"/>
    </row>
    <row r="1518">
      <c r="A1518" s="216"/>
      <c r="B1518" s="216"/>
      <c r="C1518" s="216"/>
      <c r="D1518" s="216"/>
      <c r="E1518" s="216"/>
      <c r="F1518" s="216"/>
      <c r="G1518" s="216"/>
    </row>
    <row r="1519">
      <c r="A1519" s="216"/>
      <c r="B1519" s="216"/>
      <c r="C1519" s="216"/>
      <c r="D1519" s="216"/>
      <c r="E1519" s="216"/>
      <c r="F1519" s="216"/>
      <c r="G1519" s="216"/>
    </row>
    <row r="1520">
      <c r="A1520" s="216"/>
      <c r="B1520" s="216"/>
      <c r="C1520" s="216"/>
      <c r="D1520" s="216"/>
      <c r="E1520" s="216"/>
      <c r="F1520" s="216"/>
      <c r="G1520" s="216"/>
    </row>
    <row r="1521">
      <c r="A1521" s="216"/>
      <c r="B1521" s="216"/>
      <c r="C1521" s="216"/>
      <c r="D1521" s="216"/>
      <c r="E1521" s="216"/>
      <c r="F1521" s="216"/>
      <c r="G1521" s="216"/>
    </row>
    <row r="1522">
      <c r="A1522" s="216"/>
      <c r="B1522" s="216"/>
      <c r="C1522" s="216"/>
      <c r="D1522" s="216"/>
      <c r="E1522" s="216"/>
      <c r="F1522" s="216"/>
      <c r="G1522" s="216"/>
    </row>
    <row r="1523">
      <c r="A1523" s="216"/>
      <c r="B1523" s="216"/>
      <c r="C1523" s="216"/>
      <c r="D1523" s="216"/>
      <c r="E1523" s="216"/>
      <c r="F1523" s="216"/>
      <c r="G1523" s="216"/>
    </row>
    <row r="1524">
      <c r="A1524" s="216"/>
      <c r="B1524" s="216"/>
      <c r="C1524" s="216"/>
      <c r="D1524" s="216"/>
      <c r="E1524" s="216"/>
      <c r="F1524" s="216"/>
      <c r="G1524" s="216"/>
    </row>
    <row r="1525">
      <c r="A1525" s="216"/>
      <c r="B1525" s="216"/>
      <c r="C1525" s="216"/>
      <c r="D1525" s="216"/>
      <c r="E1525" s="216"/>
      <c r="F1525" s="216"/>
      <c r="G1525" s="216"/>
    </row>
    <row r="1526">
      <c r="A1526" s="216"/>
      <c r="B1526" s="216"/>
      <c r="C1526" s="216"/>
      <c r="D1526" s="216"/>
      <c r="E1526" s="216"/>
      <c r="F1526" s="216"/>
      <c r="G1526" s="216"/>
    </row>
    <row r="1527">
      <c r="A1527" s="216"/>
      <c r="B1527" s="216"/>
      <c r="C1527" s="216"/>
      <c r="D1527" s="216"/>
      <c r="E1527" s="216"/>
      <c r="F1527" s="216"/>
      <c r="G1527" s="216"/>
    </row>
    <row r="1528">
      <c r="A1528" s="216"/>
      <c r="B1528" s="216"/>
      <c r="C1528" s="216"/>
      <c r="D1528" s="216"/>
      <c r="E1528" s="216"/>
      <c r="F1528" s="216"/>
      <c r="G1528" s="216"/>
    </row>
    <row r="1529">
      <c r="A1529" s="216"/>
      <c r="B1529" s="216"/>
      <c r="C1529" s="216"/>
      <c r="D1529" s="216"/>
      <c r="E1529" s="216"/>
      <c r="F1529" s="216"/>
      <c r="G1529" s="216"/>
    </row>
    <row r="1530">
      <c r="A1530" s="216"/>
      <c r="B1530" s="216"/>
      <c r="C1530" s="216"/>
      <c r="D1530" s="216"/>
      <c r="E1530" s="216"/>
      <c r="F1530" s="216"/>
      <c r="G1530" s="216"/>
    </row>
    <row r="1531">
      <c r="A1531" s="216"/>
      <c r="B1531" s="216"/>
      <c r="C1531" s="216"/>
      <c r="D1531" s="216"/>
      <c r="E1531" s="216"/>
      <c r="F1531" s="216"/>
      <c r="G1531" s="216"/>
    </row>
    <row r="1532">
      <c r="A1532" s="216"/>
      <c r="B1532" s="216"/>
      <c r="C1532" s="216"/>
      <c r="D1532" s="216"/>
      <c r="E1532" s="216"/>
      <c r="F1532" s="216"/>
      <c r="G1532" s="216"/>
    </row>
    <row r="1533">
      <c r="A1533" s="216"/>
      <c r="B1533" s="216"/>
      <c r="C1533" s="216"/>
      <c r="D1533" s="216"/>
      <c r="E1533" s="216"/>
      <c r="F1533" s="216"/>
      <c r="G1533" s="216"/>
    </row>
    <row r="1534">
      <c r="A1534" s="216"/>
      <c r="B1534" s="216"/>
      <c r="C1534" s="216"/>
      <c r="D1534" s="216"/>
      <c r="E1534" s="216"/>
      <c r="F1534" s="216"/>
      <c r="G1534" s="216"/>
    </row>
    <row r="1535">
      <c r="A1535" s="216"/>
      <c r="B1535" s="216"/>
      <c r="C1535" s="216"/>
      <c r="D1535" s="216"/>
      <c r="E1535" s="216"/>
      <c r="F1535" s="216"/>
      <c r="G1535" s="216"/>
    </row>
    <row r="1536">
      <c r="A1536" s="216"/>
      <c r="B1536" s="216"/>
      <c r="C1536" s="216"/>
      <c r="D1536" s="216"/>
      <c r="E1536" s="216"/>
      <c r="F1536" s="216"/>
      <c r="G1536" s="216"/>
    </row>
    <row r="1537">
      <c r="A1537" s="216"/>
      <c r="B1537" s="216"/>
      <c r="C1537" s="216"/>
      <c r="D1537" s="216"/>
      <c r="E1537" s="216"/>
      <c r="F1537" s="216"/>
      <c r="G1537" s="216"/>
    </row>
    <row r="1538">
      <c r="A1538" s="216"/>
      <c r="B1538" s="216"/>
      <c r="C1538" s="216"/>
      <c r="D1538" s="216"/>
      <c r="E1538" s="216"/>
      <c r="F1538" s="216"/>
      <c r="G1538" s="216"/>
    </row>
    <row r="1539">
      <c r="A1539" s="216"/>
      <c r="B1539" s="216"/>
      <c r="C1539" s="216"/>
      <c r="D1539" s="216"/>
      <c r="E1539" s="216"/>
      <c r="F1539" s="216"/>
      <c r="G1539" s="216"/>
    </row>
    <row r="1540">
      <c r="A1540" s="216"/>
      <c r="B1540" s="216"/>
      <c r="C1540" s="216"/>
      <c r="D1540" s="216"/>
      <c r="E1540" s="216"/>
      <c r="F1540" s="216"/>
      <c r="G1540" s="216"/>
    </row>
    <row r="1541">
      <c r="A1541" s="216"/>
      <c r="B1541" s="216"/>
      <c r="C1541" s="216"/>
      <c r="D1541" s="216"/>
      <c r="E1541" s="216"/>
      <c r="F1541" s="216"/>
      <c r="G1541" s="216"/>
    </row>
    <row r="1542">
      <c r="A1542" s="216"/>
      <c r="B1542" s="216"/>
      <c r="C1542" s="216"/>
      <c r="D1542" s="216"/>
      <c r="E1542" s="216"/>
      <c r="F1542" s="216"/>
      <c r="G1542" s="216"/>
    </row>
    <row r="1543">
      <c r="A1543" s="216"/>
      <c r="B1543" s="216"/>
      <c r="C1543" s="216"/>
      <c r="D1543" s="216"/>
      <c r="E1543" s="216"/>
      <c r="F1543" s="216"/>
      <c r="G1543" s="216"/>
    </row>
    <row r="1544">
      <c r="A1544" s="216"/>
      <c r="B1544" s="216"/>
      <c r="C1544" s="216"/>
      <c r="D1544" s="216"/>
      <c r="E1544" s="216"/>
      <c r="F1544" s="216"/>
      <c r="G1544" s="216"/>
    </row>
    <row r="1545">
      <c r="A1545" s="216"/>
      <c r="B1545" s="216"/>
      <c r="C1545" s="216"/>
      <c r="D1545" s="216"/>
      <c r="E1545" s="216"/>
      <c r="F1545" s="216"/>
      <c r="G1545" s="216"/>
    </row>
    <row r="1546">
      <c r="A1546" s="216"/>
      <c r="B1546" s="216"/>
      <c r="C1546" s="216"/>
      <c r="D1546" s="216"/>
      <c r="E1546" s="216"/>
      <c r="F1546" s="216"/>
      <c r="G1546" s="216"/>
    </row>
    <row r="1547">
      <c r="A1547" s="216"/>
      <c r="B1547" s="216"/>
      <c r="C1547" s="216"/>
      <c r="D1547" s="216"/>
      <c r="E1547" s="216"/>
      <c r="F1547" s="216"/>
      <c r="G1547" s="216"/>
    </row>
    <row r="1548">
      <c r="A1548" s="216"/>
      <c r="B1548" s="216"/>
      <c r="C1548" s="216"/>
      <c r="D1548" s="216"/>
      <c r="E1548" s="216"/>
      <c r="F1548" s="216"/>
      <c r="G1548" s="216"/>
    </row>
    <row r="1549">
      <c r="A1549" s="216"/>
      <c r="B1549" s="216"/>
      <c r="C1549" s="216"/>
      <c r="D1549" s="216"/>
      <c r="E1549" s="216"/>
      <c r="F1549" s="216"/>
      <c r="G1549" s="216"/>
    </row>
    <row r="1550">
      <c r="A1550" s="216"/>
      <c r="B1550" s="216"/>
      <c r="C1550" s="216"/>
      <c r="D1550" s="216"/>
      <c r="E1550" s="216"/>
      <c r="F1550" s="216"/>
      <c r="G1550" s="216"/>
    </row>
    <row r="1551">
      <c r="A1551" s="216"/>
      <c r="B1551" s="216"/>
      <c r="C1551" s="216"/>
      <c r="D1551" s="216"/>
      <c r="E1551" s="216"/>
      <c r="F1551" s="216"/>
      <c r="G1551" s="216"/>
    </row>
    <row r="1552">
      <c r="A1552" s="216"/>
      <c r="B1552" s="216"/>
      <c r="C1552" s="216"/>
      <c r="D1552" s="216"/>
      <c r="E1552" s="216"/>
      <c r="F1552" s="216"/>
      <c r="G1552" s="216"/>
    </row>
    <row r="1553">
      <c r="A1553" s="216"/>
      <c r="B1553" s="216"/>
      <c r="C1553" s="216"/>
      <c r="D1553" s="216"/>
      <c r="E1553" s="216"/>
      <c r="F1553" s="216"/>
      <c r="G1553" s="216"/>
    </row>
    <row r="1554">
      <c r="A1554" s="216"/>
      <c r="B1554" s="216"/>
      <c r="C1554" s="216"/>
      <c r="D1554" s="216"/>
      <c r="E1554" s="216"/>
      <c r="F1554" s="216"/>
      <c r="G1554" s="216"/>
    </row>
    <row r="1555">
      <c r="A1555" s="216"/>
      <c r="B1555" s="216"/>
      <c r="C1555" s="216"/>
      <c r="D1555" s="216"/>
      <c r="E1555" s="216"/>
      <c r="F1555" s="216"/>
      <c r="G1555" s="216"/>
    </row>
    <row r="1556">
      <c r="A1556" s="216"/>
      <c r="B1556" s="216"/>
      <c r="C1556" s="216"/>
      <c r="D1556" s="216"/>
      <c r="E1556" s="216"/>
      <c r="F1556" s="216"/>
      <c r="G1556" s="216"/>
    </row>
    <row r="1557">
      <c r="A1557" s="216"/>
      <c r="B1557" s="216"/>
      <c r="C1557" s="216"/>
      <c r="D1557" s="216"/>
      <c r="E1557" s="216"/>
      <c r="F1557" s="216"/>
      <c r="G1557" s="216"/>
    </row>
    <row r="1558">
      <c r="A1558" s="216"/>
      <c r="B1558" s="216"/>
      <c r="C1558" s="216"/>
      <c r="D1558" s="216"/>
      <c r="E1558" s="216"/>
      <c r="F1558" s="216"/>
      <c r="G1558" s="216"/>
    </row>
    <row r="1559">
      <c r="A1559" s="216"/>
      <c r="B1559" s="216"/>
      <c r="C1559" s="216"/>
      <c r="D1559" s="216"/>
      <c r="E1559" s="216"/>
      <c r="F1559" s="216"/>
      <c r="G1559" s="216"/>
    </row>
    <row r="1560">
      <c r="A1560" s="216"/>
      <c r="B1560" s="216"/>
      <c r="C1560" s="216"/>
      <c r="D1560" s="216"/>
      <c r="E1560" s="216"/>
      <c r="F1560" s="216"/>
      <c r="G1560" s="216"/>
    </row>
    <row r="1561">
      <c r="A1561" s="216"/>
      <c r="B1561" s="216"/>
      <c r="C1561" s="216"/>
      <c r="D1561" s="216"/>
      <c r="E1561" s="216"/>
      <c r="F1561" s="216"/>
      <c r="G1561" s="216"/>
    </row>
    <row r="1562">
      <c r="A1562" s="216"/>
      <c r="B1562" s="216"/>
      <c r="C1562" s="216"/>
      <c r="D1562" s="216"/>
      <c r="E1562" s="216"/>
      <c r="F1562" s="216"/>
      <c r="G1562" s="216"/>
    </row>
    <row r="1563">
      <c r="A1563" s="216"/>
      <c r="B1563" s="216"/>
      <c r="C1563" s="216"/>
      <c r="D1563" s="216"/>
      <c r="E1563" s="216"/>
      <c r="F1563" s="216"/>
      <c r="G1563" s="216"/>
    </row>
    <row r="1564">
      <c r="A1564" s="216"/>
      <c r="B1564" s="216"/>
      <c r="C1564" s="216"/>
      <c r="D1564" s="216"/>
      <c r="E1564" s="216"/>
      <c r="F1564" s="216"/>
      <c r="G1564" s="216"/>
    </row>
    <row r="1565">
      <c r="A1565" s="216"/>
      <c r="B1565" s="216"/>
      <c r="C1565" s="216"/>
      <c r="D1565" s="216"/>
      <c r="E1565" s="216"/>
      <c r="F1565" s="216"/>
      <c r="G1565" s="216"/>
    </row>
    <row r="1566">
      <c r="A1566" s="216"/>
      <c r="B1566" s="216"/>
      <c r="C1566" s="216"/>
      <c r="D1566" s="216"/>
      <c r="E1566" s="216"/>
      <c r="F1566" s="216"/>
      <c r="G1566" s="216"/>
    </row>
    <row r="1567">
      <c r="A1567" s="216"/>
      <c r="B1567" s="216"/>
      <c r="C1567" s="216"/>
      <c r="D1567" s="216"/>
      <c r="E1567" s="216"/>
      <c r="F1567" s="216"/>
      <c r="G1567" s="216"/>
    </row>
    <row r="1568">
      <c r="A1568" s="216"/>
      <c r="B1568" s="216"/>
      <c r="C1568" s="216"/>
      <c r="D1568" s="216"/>
      <c r="E1568" s="216"/>
      <c r="F1568" s="216"/>
      <c r="G1568" s="216"/>
    </row>
    <row r="1569">
      <c r="A1569" s="216"/>
      <c r="B1569" s="216"/>
      <c r="C1569" s="216"/>
      <c r="D1569" s="216"/>
      <c r="E1569" s="216"/>
      <c r="F1569" s="216"/>
      <c r="G1569" s="216"/>
    </row>
    <row r="1570">
      <c r="A1570" s="216"/>
      <c r="B1570" s="216"/>
      <c r="C1570" s="216"/>
      <c r="D1570" s="216"/>
      <c r="E1570" s="216"/>
      <c r="F1570" s="216"/>
      <c r="G1570" s="216"/>
    </row>
    <row r="1571">
      <c r="A1571" s="216"/>
      <c r="B1571" s="216"/>
      <c r="C1571" s="216"/>
      <c r="D1571" s="216"/>
      <c r="E1571" s="216"/>
      <c r="F1571" s="216"/>
      <c r="G1571" s="216"/>
    </row>
    <row r="1572">
      <c r="A1572" s="216"/>
      <c r="B1572" s="216"/>
      <c r="C1572" s="216"/>
      <c r="D1572" s="216"/>
      <c r="E1572" s="216"/>
      <c r="F1572" s="216"/>
      <c r="G1572" s="216"/>
    </row>
    <row r="1573">
      <c r="A1573" s="216"/>
      <c r="B1573" s="216"/>
      <c r="C1573" s="216"/>
      <c r="D1573" s="216"/>
      <c r="E1573" s="216"/>
      <c r="F1573" s="216"/>
      <c r="G1573" s="216"/>
    </row>
    <row r="1574">
      <c r="A1574" s="216"/>
      <c r="B1574" s="216"/>
      <c r="C1574" s="216"/>
      <c r="D1574" s="216"/>
      <c r="E1574" s="216"/>
      <c r="F1574" s="216"/>
      <c r="G1574" s="216"/>
    </row>
    <row r="1575">
      <c r="A1575" s="216"/>
      <c r="B1575" s="216"/>
      <c r="C1575" s="216"/>
      <c r="D1575" s="216"/>
      <c r="E1575" s="216"/>
      <c r="F1575" s="216"/>
      <c r="G1575" s="216"/>
    </row>
    <row r="1576">
      <c r="A1576" s="216"/>
      <c r="B1576" s="216"/>
      <c r="C1576" s="216"/>
      <c r="D1576" s="216"/>
      <c r="E1576" s="216"/>
      <c r="F1576" s="216"/>
      <c r="G1576" s="216"/>
    </row>
    <row r="1577">
      <c r="A1577" s="216"/>
      <c r="B1577" s="216"/>
      <c r="C1577" s="216"/>
      <c r="D1577" s="216"/>
      <c r="E1577" s="216"/>
      <c r="F1577" s="216"/>
      <c r="G1577" s="216"/>
    </row>
    <row r="1578">
      <c r="A1578" s="216"/>
      <c r="B1578" s="216"/>
      <c r="C1578" s="216"/>
      <c r="D1578" s="216"/>
      <c r="E1578" s="216"/>
      <c r="F1578" s="216"/>
      <c r="G1578" s="216"/>
    </row>
    <row r="1579">
      <c r="A1579" s="216"/>
      <c r="B1579" s="216"/>
      <c r="C1579" s="216"/>
      <c r="D1579" s="216"/>
      <c r="E1579" s="216"/>
      <c r="F1579" s="216"/>
      <c r="G1579" s="216"/>
    </row>
    <row r="1580">
      <c r="A1580" s="216"/>
      <c r="B1580" s="216"/>
      <c r="C1580" s="216"/>
      <c r="D1580" s="216"/>
      <c r="E1580" s="216"/>
      <c r="F1580" s="216"/>
      <c r="G1580" s="216"/>
    </row>
    <row r="1581">
      <c r="A1581" s="216"/>
      <c r="B1581" s="216"/>
      <c r="C1581" s="216"/>
      <c r="D1581" s="216"/>
      <c r="E1581" s="216"/>
      <c r="F1581" s="216"/>
      <c r="G1581" s="216"/>
    </row>
    <row r="1582">
      <c r="A1582" s="216"/>
      <c r="B1582" s="216"/>
      <c r="C1582" s="216"/>
      <c r="D1582" s="216"/>
      <c r="E1582" s="216"/>
      <c r="F1582" s="216"/>
      <c r="G1582" s="216"/>
    </row>
    <row r="1583">
      <c r="A1583" s="216"/>
      <c r="B1583" s="216"/>
      <c r="C1583" s="216"/>
      <c r="D1583" s="216"/>
      <c r="E1583" s="216"/>
      <c r="F1583" s="216"/>
      <c r="G1583" s="216"/>
    </row>
    <row r="1584">
      <c r="A1584" s="216"/>
      <c r="B1584" s="216"/>
      <c r="C1584" s="216"/>
      <c r="D1584" s="216"/>
      <c r="E1584" s="216"/>
      <c r="F1584" s="216"/>
      <c r="G1584" s="216"/>
    </row>
    <row r="1585">
      <c r="A1585" s="216"/>
      <c r="B1585" s="216"/>
      <c r="C1585" s="216"/>
      <c r="D1585" s="216"/>
      <c r="E1585" s="216"/>
      <c r="F1585" s="216"/>
      <c r="G1585" s="216"/>
    </row>
    <row r="1586">
      <c r="A1586" s="216"/>
      <c r="B1586" s="216"/>
      <c r="C1586" s="216"/>
      <c r="D1586" s="216"/>
      <c r="E1586" s="216"/>
      <c r="F1586" s="216"/>
      <c r="G1586" s="216"/>
    </row>
    <row r="1587">
      <c r="A1587" s="216"/>
      <c r="B1587" s="216"/>
      <c r="C1587" s="216"/>
      <c r="D1587" s="216"/>
      <c r="E1587" s="216"/>
      <c r="F1587" s="216"/>
      <c r="G1587" s="216"/>
    </row>
    <row r="1588">
      <c r="A1588" s="216"/>
      <c r="B1588" s="216"/>
      <c r="C1588" s="216"/>
      <c r="D1588" s="216"/>
      <c r="E1588" s="216"/>
      <c r="F1588" s="216"/>
      <c r="G1588" s="216"/>
    </row>
    <row r="1589">
      <c r="A1589" s="216"/>
      <c r="B1589" s="216"/>
      <c r="C1589" s="216"/>
      <c r="D1589" s="216"/>
      <c r="E1589" s="216"/>
      <c r="F1589" s="216"/>
      <c r="G1589" s="216"/>
    </row>
    <row r="1590">
      <c r="A1590" s="216"/>
      <c r="B1590" s="216"/>
      <c r="C1590" s="216"/>
      <c r="D1590" s="216"/>
      <c r="E1590" s="216"/>
      <c r="F1590" s="216"/>
      <c r="G1590" s="216"/>
    </row>
    <row r="1591">
      <c r="A1591" s="216"/>
      <c r="B1591" s="216"/>
      <c r="C1591" s="216"/>
      <c r="D1591" s="216"/>
      <c r="E1591" s="216"/>
      <c r="F1591" s="216"/>
      <c r="G1591" s="216"/>
    </row>
    <row r="1592">
      <c r="A1592" s="216"/>
      <c r="B1592" s="216"/>
      <c r="C1592" s="216"/>
      <c r="D1592" s="216"/>
      <c r="E1592" s="216"/>
      <c r="F1592" s="216"/>
      <c r="G1592" s="216"/>
    </row>
    <row r="1593">
      <c r="A1593" s="216"/>
      <c r="B1593" s="216"/>
      <c r="C1593" s="216"/>
      <c r="D1593" s="216"/>
      <c r="E1593" s="216"/>
      <c r="F1593" s="216"/>
      <c r="G1593" s="216"/>
    </row>
    <row r="1594">
      <c r="A1594" s="216"/>
      <c r="B1594" s="216"/>
      <c r="C1594" s="216"/>
      <c r="D1594" s="216"/>
      <c r="E1594" s="216"/>
      <c r="F1594" s="216"/>
      <c r="G1594" s="216"/>
    </row>
    <row r="1595">
      <c r="A1595" s="216"/>
      <c r="B1595" s="216"/>
      <c r="C1595" s="216"/>
      <c r="D1595" s="216"/>
      <c r="E1595" s="216"/>
      <c r="F1595" s="216"/>
      <c r="G1595" s="216"/>
    </row>
    <row r="1596">
      <c r="A1596" s="216"/>
      <c r="B1596" s="216"/>
      <c r="C1596" s="216"/>
      <c r="D1596" s="216"/>
      <c r="E1596" s="216"/>
      <c r="F1596" s="216"/>
      <c r="G1596" s="216"/>
    </row>
    <row r="1597">
      <c r="A1597" s="216"/>
      <c r="B1597" s="216"/>
      <c r="C1597" s="216"/>
      <c r="D1597" s="216"/>
      <c r="E1597" s="216"/>
      <c r="F1597" s="216"/>
      <c r="G1597" s="216"/>
    </row>
    <row r="1598">
      <c r="A1598" s="216"/>
      <c r="B1598" s="216"/>
      <c r="C1598" s="216"/>
      <c r="D1598" s="216"/>
      <c r="E1598" s="216"/>
      <c r="F1598" s="216"/>
      <c r="G1598" s="216"/>
    </row>
    <row r="1599">
      <c r="A1599" s="216"/>
      <c r="B1599" s="216"/>
      <c r="C1599" s="216"/>
      <c r="D1599" s="216"/>
      <c r="E1599" s="216"/>
      <c r="F1599" s="216"/>
      <c r="G1599" s="216"/>
    </row>
    <row r="1600">
      <c r="A1600" s="216"/>
      <c r="B1600" s="216"/>
      <c r="C1600" s="216"/>
      <c r="D1600" s="216"/>
      <c r="E1600" s="216"/>
      <c r="F1600" s="216"/>
      <c r="G1600" s="216"/>
    </row>
    <row r="1601">
      <c r="A1601" s="216"/>
      <c r="B1601" s="216"/>
      <c r="C1601" s="216"/>
      <c r="D1601" s="216"/>
      <c r="E1601" s="216"/>
      <c r="F1601" s="216"/>
      <c r="G1601" s="216"/>
    </row>
    <row r="1602">
      <c r="A1602" s="216"/>
      <c r="B1602" s="216"/>
      <c r="C1602" s="216"/>
      <c r="D1602" s="216"/>
      <c r="E1602" s="216"/>
      <c r="F1602" s="216"/>
      <c r="G1602" s="216"/>
    </row>
    <row r="1603">
      <c r="A1603" s="216"/>
      <c r="B1603" s="216"/>
      <c r="C1603" s="216"/>
      <c r="D1603" s="216"/>
      <c r="E1603" s="216"/>
      <c r="F1603" s="216"/>
      <c r="G1603" s="216"/>
    </row>
    <row r="1604">
      <c r="A1604" s="216"/>
      <c r="B1604" s="216"/>
      <c r="C1604" s="216"/>
      <c r="D1604" s="216"/>
      <c r="E1604" s="216"/>
      <c r="F1604" s="216"/>
      <c r="G1604" s="216"/>
    </row>
    <row r="1605">
      <c r="A1605" s="216"/>
      <c r="B1605" s="216"/>
      <c r="C1605" s="216"/>
      <c r="D1605" s="216"/>
      <c r="E1605" s="216"/>
      <c r="F1605" s="216"/>
      <c r="G1605" s="216"/>
    </row>
    <row r="1606">
      <c r="A1606" s="216"/>
      <c r="B1606" s="216"/>
      <c r="C1606" s="216"/>
      <c r="D1606" s="216"/>
      <c r="E1606" s="216"/>
      <c r="F1606" s="216"/>
      <c r="G1606" s="216"/>
    </row>
    <row r="1607">
      <c r="A1607" s="216"/>
      <c r="B1607" s="216"/>
      <c r="C1607" s="216"/>
      <c r="D1607" s="216"/>
      <c r="E1607" s="216"/>
      <c r="F1607" s="216"/>
      <c r="G1607" s="216"/>
    </row>
    <row r="1608">
      <c r="A1608" s="216"/>
      <c r="B1608" s="216"/>
      <c r="C1608" s="216"/>
      <c r="D1608" s="216"/>
      <c r="E1608" s="216"/>
      <c r="F1608" s="216"/>
      <c r="G1608" s="216"/>
    </row>
    <row r="1609">
      <c r="A1609" s="216"/>
      <c r="B1609" s="216"/>
      <c r="C1609" s="216"/>
      <c r="D1609" s="216"/>
      <c r="E1609" s="216"/>
      <c r="F1609" s="216"/>
      <c r="G1609" s="216"/>
    </row>
    <row r="1610">
      <c r="A1610" s="216"/>
      <c r="B1610" s="216"/>
      <c r="C1610" s="216"/>
      <c r="D1610" s="216"/>
      <c r="E1610" s="216"/>
      <c r="F1610" s="216"/>
      <c r="G1610" s="216"/>
    </row>
    <row r="1611">
      <c r="A1611" s="216"/>
      <c r="B1611" s="216"/>
      <c r="C1611" s="216"/>
      <c r="D1611" s="216"/>
      <c r="E1611" s="216"/>
      <c r="F1611" s="216"/>
      <c r="G1611" s="216"/>
    </row>
    <row r="1612">
      <c r="A1612" s="216"/>
      <c r="B1612" s="216"/>
      <c r="C1612" s="216"/>
      <c r="D1612" s="216"/>
      <c r="E1612" s="216"/>
      <c r="F1612" s="216"/>
      <c r="G1612" s="216"/>
    </row>
    <row r="1613">
      <c r="A1613" s="216"/>
      <c r="B1613" s="216"/>
      <c r="C1613" s="216"/>
      <c r="D1613" s="216"/>
      <c r="E1613" s="216"/>
      <c r="F1613" s="216"/>
      <c r="G1613" s="216"/>
    </row>
    <row r="1614">
      <c r="A1614" s="216"/>
      <c r="B1614" s="216"/>
      <c r="C1614" s="216"/>
      <c r="D1614" s="216"/>
      <c r="E1614" s="216"/>
      <c r="F1614" s="216"/>
      <c r="G1614" s="216"/>
    </row>
    <row r="1615">
      <c r="A1615" s="216"/>
      <c r="B1615" s="216"/>
      <c r="C1615" s="216"/>
      <c r="D1615" s="216"/>
      <c r="E1615" s="216"/>
      <c r="F1615" s="216"/>
      <c r="G1615" s="216"/>
    </row>
    <row r="1616">
      <c r="A1616" s="216"/>
      <c r="B1616" s="216"/>
      <c r="C1616" s="216"/>
      <c r="D1616" s="216"/>
      <c r="E1616" s="216"/>
      <c r="F1616" s="216"/>
      <c r="G1616" s="216"/>
    </row>
    <row r="1617">
      <c r="A1617" s="216"/>
      <c r="B1617" s="216"/>
      <c r="C1617" s="216"/>
      <c r="D1617" s="216"/>
      <c r="E1617" s="216"/>
      <c r="F1617" s="216"/>
      <c r="G1617" s="216"/>
    </row>
    <row r="1618">
      <c r="A1618" s="216"/>
      <c r="B1618" s="216"/>
      <c r="C1618" s="216"/>
      <c r="D1618" s="216"/>
      <c r="E1618" s="216"/>
      <c r="F1618" s="216"/>
      <c r="G1618" s="216"/>
    </row>
    <row r="1619">
      <c r="A1619" s="216"/>
      <c r="B1619" s="216"/>
      <c r="C1619" s="216"/>
      <c r="D1619" s="216"/>
      <c r="E1619" s="216"/>
      <c r="F1619" s="216"/>
      <c r="G1619" s="216"/>
    </row>
    <row r="1620">
      <c r="A1620" s="216"/>
      <c r="B1620" s="216"/>
      <c r="C1620" s="216"/>
      <c r="D1620" s="216"/>
      <c r="E1620" s="216"/>
      <c r="F1620" s="216"/>
      <c r="G1620" s="216"/>
    </row>
    <row r="1621">
      <c r="A1621" s="216"/>
      <c r="B1621" s="216"/>
      <c r="C1621" s="216"/>
      <c r="D1621" s="216"/>
      <c r="E1621" s="216"/>
      <c r="F1621" s="216"/>
      <c r="G1621" s="216"/>
    </row>
    <row r="1622">
      <c r="A1622" s="216"/>
      <c r="B1622" s="216"/>
      <c r="C1622" s="216"/>
      <c r="D1622" s="216"/>
      <c r="E1622" s="216"/>
      <c r="F1622" s="216"/>
      <c r="G1622" s="216"/>
    </row>
    <row r="1623">
      <c r="A1623" s="216"/>
      <c r="B1623" s="216"/>
      <c r="C1623" s="216"/>
      <c r="D1623" s="216"/>
      <c r="E1623" s="216"/>
      <c r="F1623" s="216"/>
      <c r="G1623" s="216"/>
    </row>
    <row r="1624">
      <c r="A1624" s="216"/>
      <c r="B1624" s="216"/>
      <c r="C1624" s="216"/>
      <c r="D1624" s="216"/>
      <c r="E1624" s="216"/>
      <c r="F1624" s="216"/>
      <c r="G1624" s="216"/>
    </row>
    <row r="1625">
      <c r="A1625" s="216"/>
      <c r="B1625" s="216"/>
      <c r="C1625" s="216"/>
      <c r="D1625" s="216"/>
      <c r="E1625" s="216"/>
      <c r="F1625" s="216"/>
      <c r="G1625" s="216"/>
    </row>
    <row r="1626">
      <c r="A1626" s="216"/>
      <c r="B1626" s="216"/>
      <c r="C1626" s="216"/>
      <c r="D1626" s="216"/>
      <c r="E1626" s="216"/>
      <c r="F1626" s="216"/>
      <c r="G1626" s="216"/>
    </row>
    <row r="1627">
      <c r="A1627" s="216"/>
      <c r="B1627" s="216"/>
      <c r="C1627" s="216"/>
      <c r="D1627" s="216"/>
      <c r="E1627" s="216"/>
      <c r="F1627" s="216"/>
      <c r="G1627" s="216"/>
    </row>
    <row r="1628">
      <c r="A1628" s="216"/>
      <c r="B1628" s="216"/>
      <c r="C1628" s="216"/>
      <c r="D1628" s="216"/>
      <c r="E1628" s="216"/>
      <c r="F1628" s="216"/>
      <c r="G1628" s="216"/>
    </row>
    <row r="1629">
      <c r="A1629" s="216"/>
      <c r="B1629" s="216"/>
      <c r="C1629" s="216"/>
      <c r="D1629" s="216"/>
      <c r="E1629" s="216"/>
      <c r="F1629" s="216"/>
      <c r="G1629" s="216"/>
    </row>
    <row r="1630">
      <c r="A1630" s="216"/>
      <c r="B1630" s="216"/>
      <c r="C1630" s="216"/>
      <c r="D1630" s="216"/>
      <c r="E1630" s="216"/>
      <c r="F1630" s="216"/>
      <c r="G1630" s="216"/>
    </row>
    <row r="1631">
      <c r="A1631" s="216"/>
      <c r="B1631" s="216"/>
      <c r="C1631" s="216"/>
      <c r="D1631" s="216"/>
      <c r="E1631" s="216"/>
      <c r="F1631" s="216"/>
      <c r="G1631" s="216"/>
    </row>
    <row r="1632">
      <c r="A1632" s="216"/>
      <c r="B1632" s="216"/>
      <c r="C1632" s="216"/>
      <c r="D1632" s="216"/>
      <c r="E1632" s="216"/>
      <c r="F1632" s="216"/>
      <c r="G1632" s="216"/>
    </row>
    <row r="1633">
      <c r="A1633" s="216"/>
      <c r="B1633" s="216"/>
      <c r="C1633" s="216"/>
      <c r="D1633" s="216"/>
      <c r="E1633" s="216"/>
      <c r="F1633" s="216"/>
      <c r="G1633" s="216"/>
    </row>
    <row r="1634">
      <c r="A1634" s="216"/>
      <c r="B1634" s="216"/>
      <c r="C1634" s="216"/>
      <c r="D1634" s="216"/>
      <c r="E1634" s="216"/>
      <c r="F1634" s="216"/>
      <c r="G1634" s="216"/>
    </row>
    <row r="1635">
      <c r="A1635" s="216"/>
      <c r="B1635" s="216"/>
      <c r="C1635" s="216"/>
      <c r="D1635" s="216"/>
      <c r="E1635" s="216"/>
      <c r="F1635" s="216"/>
      <c r="G1635" s="216"/>
    </row>
    <row r="1636">
      <c r="A1636" s="216"/>
      <c r="B1636" s="216"/>
      <c r="C1636" s="216"/>
      <c r="D1636" s="216"/>
      <c r="E1636" s="216"/>
      <c r="F1636" s="216"/>
      <c r="G1636" s="216"/>
    </row>
    <row r="1637">
      <c r="A1637" s="216"/>
      <c r="B1637" s="216"/>
      <c r="C1637" s="216"/>
      <c r="D1637" s="216"/>
      <c r="E1637" s="216"/>
      <c r="F1637" s="216"/>
      <c r="G1637" s="216"/>
    </row>
    <row r="1638">
      <c r="A1638" s="216"/>
      <c r="B1638" s="216"/>
      <c r="C1638" s="216"/>
      <c r="D1638" s="216"/>
      <c r="E1638" s="216"/>
      <c r="F1638" s="216"/>
      <c r="G1638" s="216"/>
    </row>
    <row r="1639">
      <c r="A1639" s="216"/>
      <c r="B1639" s="216"/>
      <c r="C1639" s="216"/>
      <c r="D1639" s="216"/>
      <c r="E1639" s="216"/>
      <c r="F1639" s="216"/>
      <c r="G1639" s="216"/>
    </row>
    <row r="1640">
      <c r="A1640" s="216"/>
      <c r="B1640" s="216"/>
      <c r="C1640" s="216"/>
      <c r="D1640" s="216"/>
      <c r="E1640" s="216"/>
      <c r="F1640" s="216"/>
      <c r="G1640" s="216"/>
    </row>
    <row r="1641">
      <c r="A1641" s="216"/>
      <c r="B1641" s="216"/>
      <c r="C1641" s="216"/>
      <c r="D1641" s="216"/>
      <c r="E1641" s="216"/>
      <c r="F1641" s="216"/>
      <c r="G1641" s="216"/>
    </row>
    <row r="1642">
      <c r="A1642" s="216"/>
      <c r="B1642" s="216"/>
      <c r="C1642" s="216"/>
      <c r="D1642" s="216"/>
      <c r="E1642" s="216"/>
      <c r="F1642" s="216"/>
      <c r="G1642" s="216"/>
    </row>
    <row r="1643">
      <c r="A1643" s="216"/>
      <c r="B1643" s="216"/>
      <c r="C1643" s="216"/>
      <c r="D1643" s="216"/>
      <c r="E1643" s="216"/>
      <c r="F1643" s="216"/>
      <c r="G1643" s="216"/>
    </row>
    <row r="1644">
      <c r="A1644" s="216"/>
      <c r="B1644" s="216"/>
      <c r="C1644" s="216"/>
      <c r="D1644" s="216"/>
      <c r="E1644" s="216"/>
      <c r="F1644" s="216"/>
      <c r="G1644" s="216"/>
    </row>
    <row r="1645">
      <c r="A1645" s="216"/>
      <c r="B1645" s="216"/>
      <c r="C1645" s="216"/>
      <c r="D1645" s="216"/>
      <c r="E1645" s="216"/>
      <c r="F1645" s="216"/>
      <c r="G1645" s="216"/>
    </row>
    <row r="1646">
      <c r="A1646" s="216"/>
      <c r="B1646" s="216"/>
      <c r="C1646" s="216"/>
      <c r="D1646" s="216"/>
      <c r="E1646" s="216"/>
      <c r="F1646" s="216"/>
      <c r="G1646" s="216"/>
    </row>
    <row r="1647">
      <c r="A1647" s="216"/>
      <c r="B1647" s="216"/>
      <c r="C1647" s="216"/>
      <c r="D1647" s="216"/>
      <c r="E1647" s="216"/>
      <c r="F1647" s="216"/>
      <c r="G1647" s="216"/>
    </row>
    <row r="1648">
      <c r="A1648" s="216"/>
      <c r="B1648" s="216"/>
      <c r="C1648" s="216"/>
      <c r="D1648" s="216"/>
      <c r="E1648" s="216"/>
      <c r="F1648" s="216"/>
      <c r="G1648" s="216"/>
    </row>
    <row r="1649">
      <c r="A1649" s="216"/>
      <c r="B1649" s="216"/>
      <c r="C1649" s="216"/>
      <c r="D1649" s="216"/>
      <c r="E1649" s="216"/>
      <c r="F1649" s="216"/>
      <c r="G1649" s="216"/>
    </row>
    <row r="1650">
      <c r="A1650" s="216"/>
      <c r="B1650" s="216"/>
      <c r="C1650" s="216"/>
      <c r="D1650" s="216"/>
      <c r="E1650" s="216"/>
      <c r="F1650" s="216"/>
      <c r="G1650" s="216"/>
    </row>
    <row r="1651">
      <c r="A1651" s="216"/>
      <c r="B1651" s="216"/>
      <c r="C1651" s="216"/>
      <c r="D1651" s="216"/>
      <c r="E1651" s="216"/>
      <c r="F1651" s="216"/>
      <c r="G1651" s="216"/>
    </row>
    <row r="1652">
      <c r="A1652" s="216"/>
      <c r="B1652" s="216"/>
      <c r="C1652" s="216"/>
      <c r="D1652" s="216"/>
      <c r="E1652" s="216"/>
      <c r="F1652" s="216"/>
      <c r="G1652" s="216"/>
    </row>
    <row r="1653">
      <c r="A1653" s="216"/>
      <c r="B1653" s="216"/>
      <c r="C1653" s="216"/>
      <c r="D1653" s="216"/>
      <c r="E1653" s="216"/>
      <c r="F1653" s="216"/>
      <c r="G1653" s="216"/>
    </row>
    <row r="1654">
      <c r="A1654" s="216"/>
      <c r="B1654" s="216"/>
      <c r="C1654" s="216"/>
      <c r="D1654" s="216"/>
      <c r="E1654" s="216"/>
      <c r="F1654" s="216"/>
      <c r="G1654" s="216"/>
    </row>
    <row r="1655">
      <c r="A1655" s="216"/>
      <c r="B1655" s="216"/>
      <c r="C1655" s="216"/>
      <c r="D1655" s="216"/>
      <c r="E1655" s="216"/>
      <c r="F1655" s="216"/>
      <c r="G1655" s="216"/>
    </row>
    <row r="1656">
      <c r="A1656" s="216"/>
      <c r="B1656" s="216"/>
      <c r="C1656" s="216"/>
      <c r="D1656" s="216"/>
      <c r="E1656" s="216"/>
      <c r="F1656" s="216"/>
      <c r="G1656" s="216"/>
    </row>
    <row r="1657">
      <c r="A1657" s="216"/>
      <c r="B1657" s="216"/>
      <c r="C1657" s="216"/>
      <c r="D1657" s="216"/>
      <c r="E1657" s="216"/>
      <c r="F1657" s="216"/>
      <c r="G1657" s="216"/>
    </row>
    <row r="1658">
      <c r="A1658" s="216"/>
      <c r="B1658" s="216"/>
      <c r="C1658" s="216"/>
      <c r="D1658" s="216"/>
      <c r="E1658" s="216"/>
      <c r="F1658" s="216"/>
      <c r="G1658" s="216"/>
    </row>
    <row r="1659">
      <c r="A1659" s="216"/>
      <c r="B1659" s="216"/>
      <c r="C1659" s="216"/>
      <c r="D1659" s="216"/>
      <c r="E1659" s="216"/>
      <c r="F1659" s="216"/>
      <c r="G1659" s="216"/>
    </row>
    <row r="1660">
      <c r="A1660" s="216"/>
      <c r="B1660" s="216"/>
      <c r="C1660" s="216"/>
      <c r="D1660" s="216"/>
      <c r="E1660" s="216"/>
      <c r="F1660" s="216"/>
      <c r="G1660" s="216"/>
    </row>
    <row r="1661">
      <c r="A1661" s="216"/>
      <c r="B1661" s="216"/>
      <c r="C1661" s="216"/>
      <c r="D1661" s="216"/>
      <c r="E1661" s="216"/>
      <c r="F1661" s="216"/>
      <c r="G1661" s="216"/>
    </row>
    <row r="1662">
      <c r="A1662" s="216"/>
      <c r="B1662" s="216"/>
      <c r="C1662" s="216"/>
      <c r="D1662" s="216"/>
      <c r="E1662" s="216"/>
      <c r="F1662" s="216"/>
      <c r="G1662" s="216"/>
    </row>
    <row r="1663">
      <c r="A1663" s="216"/>
      <c r="B1663" s="216"/>
      <c r="C1663" s="216"/>
      <c r="D1663" s="216"/>
      <c r="E1663" s="216"/>
      <c r="F1663" s="216"/>
      <c r="G1663" s="216"/>
    </row>
    <row r="1664">
      <c r="A1664" s="216"/>
      <c r="B1664" s="216"/>
      <c r="C1664" s="216"/>
      <c r="D1664" s="216"/>
      <c r="E1664" s="216"/>
      <c r="F1664" s="216"/>
      <c r="G1664" s="216"/>
    </row>
    <row r="1665">
      <c r="A1665" s="216"/>
      <c r="B1665" s="216"/>
      <c r="C1665" s="216"/>
      <c r="D1665" s="216"/>
      <c r="E1665" s="216"/>
      <c r="F1665" s="216"/>
      <c r="G1665" s="216"/>
    </row>
    <row r="1666">
      <c r="A1666" s="216"/>
      <c r="B1666" s="216"/>
      <c r="C1666" s="216"/>
      <c r="D1666" s="216"/>
      <c r="E1666" s="216"/>
      <c r="F1666" s="216"/>
      <c r="G1666" s="216"/>
    </row>
    <row r="1667">
      <c r="A1667" s="216"/>
      <c r="B1667" s="216"/>
      <c r="C1667" s="216"/>
      <c r="D1667" s="216"/>
      <c r="E1667" s="216"/>
      <c r="F1667" s="216"/>
      <c r="G1667" s="216"/>
    </row>
    <row r="1668">
      <c r="A1668" s="216"/>
      <c r="B1668" s="216"/>
      <c r="C1668" s="216"/>
      <c r="D1668" s="216"/>
      <c r="E1668" s="216"/>
      <c r="F1668" s="216"/>
      <c r="G1668" s="216"/>
    </row>
    <row r="1669">
      <c r="A1669" s="216"/>
      <c r="B1669" s="216"/>
      <c r="C1669" s="216"/>
      <c r="D1669" s="216"/>
      <c r="E1669" s="216"/>
      <c r="F1669" s="216"/>
      <c r="G1669" s="216"/>
    </row>
    <row r="1670">
      <c r="A1670" s="216"/>
      <c r="B1670" s="216"/>
      <c r="C1670" s="216"/>
      <c r="D1670" s="216"/>
      <c r="E1670" s="216"/>
      <c r="F1670" s="216"/>
      <c r="G1670" s="216"/>
    </row>
    <row r="1671">
      <c r="A1671" s="216"/>
      <c r="B1671" s="216"/>
      <c r="C1671" s="216"/>
      <c r="D1671" s="216"/>
      <c r="E1671" s="216"/>
      <c r="F1671" s="216"/>
      <c r="G1671" s="216"/>
    </row>
    <row r="1672">
      <c r="A1672" s="216"/>
      <c r="B1672" s="216"/>
      <c r="C1672" s="216"/>
      <c r="D1672" s="216"/>
      <c r="E1672" s="216"/>
      <c r="F1672" s="216"/>
      <c r="G1672" s="216"/>
    </row>
    <row r="1673">
      <c r="A1673" s="216"/>
      <c r="B1673" s="216"/>
      <c r="C1673" s="216"/>
      <c r="D1673" s="216"/>
      <c r="E1673" s="216"/>
      <c r="F1673" s="216"/>
      <c r="G1673" s="216"/>
    </row>
    <row r="1674">
      <c r="A1674" s="216"/>
      <c r="B1674" s="216"/>
      <c r="C1674" s="216"/>
      <c r="D1674" s="216"/>
      <c r="E1674" s="216"/>
      <c r="F1674" s="216"/>
      <c r="G1674" s="216"/>
    </row>
    <row r="1675">
      <c r="A1675" s="216"/>
      <c r="B1675" s="216"/>
      <c r="C1675" s="216"/>
      <c r="D1675" s="216"/>
      <c r="E1675" s="216"/>
      <c r="F1675" s="216"/>
      <c r="G1675" s="216"/>
    </row>
    <row r="1676">
      <c r="A1676" s="216"/>
      <c r="B1676" s="216"/>
      <c r="C1676" s="216"/>
      <c r="D1676" s="216"/>
      <c r="E1676" s="216"/>
      <c r="F1676" s="216"/>
      <c r="G1676" s="216"/>
    </row>
    <row r="1677">
      <c r="A1677" s="216"/>
      <c r="B1677" s="216"/>
      <c r="C1677" s="216"/>
      <c r="D1677" s="216"/>
      <c r="E1677" s="216"/>
      <c r="F1677" s="216"/>
      <c r="G1677" s="216"/>
    </row>
    <row r="1678">
      <c r="A1678" s="216"/>
      <c r="B1678" s="216"/>
      <c r="C1678" s="216"/>
      <c r="D1678" s="216"/>
      <c r="E1678" s="216"/>
      <c r="F1678" s="216"/>
      <c r="G1678" s="216"/>
    </row>
    <row r="1679">
      <c r="A1679" s="216"/>
      <c r="B1679" s="216"/>
      <c r="C1679" s="216"/>
      <c r="D1679" s="216"/>
      <c r="E1679" s="216"/>
      <c r="F1679" s="216"/>
      <c r="G1679" s="216"/>
    </row>
    <row r="1680">
      <c r="A1680" s="216"/>
      <c r="B1680" s="216"/>
      <c r="C1680" s="216"/>
      <c r="D1680" s="216"/>
      <c r="E1680" s="216"/>
      <c r="F1680" s="216"/>
      <c r="G1680" s="216"/>
    </row>
    <row r="1681">
      <c r="A1681" s="216"/>
      <c r="B1681" s="216"/>
      <c r="C1681" s="216"/>
      <c r="D1681" s="216"/>
      <c r="E1681" s="216"/>
      <c r="F1681" s="216"/>
      <c r="G1681" s="216"/>
    </row>
    <row r="1682">
      <c r="A1682" s="216"/>
      <c r="B1682" s="216"/>
      <c r="C1682" s="216"/>
      <c r="D1682" s="216"/>
      <c r="E1682" s="216"/>
      <c r="F1682" s="216"/>
      <c r="G1682" s="216"/>
    </row>
    <row r="1683">
      <c r="A1683" s="216"/>
      <c r="B1683" s="216"/>
      <c r="C1683" s="216"/>
      <c r="D1683" s="216"/>
      <c r="E1683" s="216"/>
      <c r="F1683" s="216"/>
      <c r="G1683" s="216"/>
    </row>
    <row r="1684">
      <c r="A1684" s="216"/>
      <c r="B1684" s="216"/>
      <c r="C1684" s="216"/>
      <c r="D1684" s="216"/>
      <c r="E1684" s="216"/>
      <c r="F1684" s="216"/>
      <c r="G1684" s="216"/>
    </row>
    <row r="1685">
      <c r="A1685" s="216"/>
      <c r="B1685" s="216"/>
      <c r="C1685" s="216"/>
      <c r="D1685" s="216"/>
      <c r="E1685" s="216"/>
      <c r="F1685" s="216"/>
      <c r="G1685" s="216"/>
    </row>
    <row r="1686">
      <c r="A1686" s="216"/>
      <c r="B1686" s="216"/>
      <c r="C1686" s="216"/>
      <c r="D1686" s="216"/>
      <c r="E1686" s="216"/>
      <c r="F1686" s="216"/>
      <c r="G1686" s="216"/>
    </row>
    <row r="1687">
      <c r="A1687" s="216"/>
      <c r="B1687" s="216"/>
      <c r="C1687" s="216"/>
      <c r="D1687" s="216"/>
      <c r="E1687" s="216"/>
      <c r="F1687" s="216"/>
      <c r="G1687" s="216"/>
    </row>
    <row r="1688">
      <c r="A1688" s="216"/>
      <c r="B1688" s="216"/>
      <c r="C1688" s="216"/>
      <c r="D1688" s="216"/>
      <c r="E1688" s="216"/>
      <c r="F1688" s="216"/>
      <c r="G1688" s="216"/>
    </row>
    <row r="1689">
      <c r="A1689" s="216"/>
      <c r="B1689" s="216"/>
      <c r="C1689" s="216"/>
      <c r="D1689" s="216"/>
      <c r="E1689" s="216"/>
      <c r="F1689" s="216"/>
      <c r="G1689" s="216"/>
    </row>
    <row r="1690">
      <c r="A1690" s="216"/>
      <c r="B1690" s="216"/>
      <c r="C1690" s="216"/>
      <c r="D1690" s="216"/>
      <c r="E1690" s="216"/>
      <c r="F1690" s="216"/>
      <c r="G1690" s="216"/>
    </row>
    <row r="1691">
      <c r="A1691" s="216"/>
      <c r="B1691" s="216"/>
      <c r="C1691" s="216"/>
      <c r="D1691" s="216"/>
      <c r="E1691" s="216"/>
      <c r="F1691" s="216"/>
      <c r="G1691" s="216"/>
    </row>
    <row r="1692">
      <c r="A1692" s="216"/>
      <c r="B1692" s="216"/>
      <c r="C1692" s="216"/>
      <c r="D1692" s="216"/>
      <c r="E1692" s="216"/>
      <c r="F1692" s="216"/>
      <c r="G1692" s="216"/>
    </row>
    <row r="1693">
      <c r="A1693" s="216"/>
      <c r="B1693" s="216"/>
      <c r="C1693" s="216"/>
      <c r="D1693" s="216"/>
      <c r="E1693" s="216"/>
      <c r="F1693" s="216"/>
      <c r="G1693" s="216"/>
    </row>
    <row r="1694">
      <c r="A1694" s="216"/>
      <c r="B1694" s="216"/>
      <c r="C1694" s="216"/>
      <c r="D1694" s="216"/>
      <c r="E1694" s="216"/>
      <c r="F1694" s="216"/>
      <c r="G1694" s="216"/>
    </row>
    <row r="1695">
      <c r="A1695" s="216"/>
      <c r="B1695" s="216"/>
      <c r="C1695" s="216"/>
      <c r="D1695" s="216"/>
      <c r="E1695" s="216"/>
      <c r="F1695" s="216"/>
      <c r="G1695" s="216"/>
    </row>
    <row r="1696">
      <c r="A1696" s="216"/>
      <c r="B1696" s="216"/>
      <c r="C1696" s="216"/>
      <c r="D1696" s="216"/>
      <c r="E1696" s="216"/>
      <c r="F1696" s="216"/>
      <c r="G1696" s="216"/>
    </row>
    <row r="1697">
      <c r="A1697" s="216"/>
      <c r="B1697" s="216"/>
      <c r="C1697" s="216"/>
      <c r="D1697" s="216"/>
      <c r="E1697" s="216"/>
      <c r="F1697" s="216"/>
      <c r="G1697" s="216"/>
    </row>
    <row r="1698">
      <c r="A1698" s="216"/>
      <c r="B1698" s="216"/>
      <c r="C1698" s="216"/>
      <c r="D1698" s="216"/>
      <c r="E1698" s="216"/>
      <c r="F1698" s="216"/>
      <c r="G1698" s="216"/>
    </row>
    <row r="1699">
      <c r="A1699" s="216"/>
      <c r="B1699" s="216"/>
      <c r="C1699" s="216"/>
      <c r="D1699" s="216"/>
      <c r="E1699" s="216"/>
      <c r="F1699" s="216"/>
      <c r="G1699" s="216"/>
    </row>
    <row r="1700">
      <c r="A1700" s="216"/>
      <c r="B1700" s="216"/>
      <c r="C1700" s="216"/>
      <c r="D1700" s="216"/>
      <c r="E1700" s="216"/>
      <c r="F1700" s="216"/>
      <c r="G1700" s="216"/>
    </row>
    <row r="1701">
      <c r="A1701" s="216"/>
      <c r="B1701" s="216"/>
      <c r="C1701" s="216"/>
      <c r="D1701" s="216"/>
      <c r="E1701" s="216"/>
      <c r="F1701" s="216"/>
      <c r="G1701" s="216"/>
    </row>
    <row r="1702">
      <c r="A1702" s="216"/>
      <c r="B1702" s="216"/>
      <c r="C1702" s="216"/>
      <c r="D1702" s="216"/>
      <c r="E1702" s="216"/>
      <c r="F1702" s="216"/>
      <c r="G1702" s="216"/>
    </row>
    <row r="1703">
      <c r="A1703" s="216"/>
      <c r="B1703" s="216"/>
      <c r="C1703" s="216"/>
      <c r="D1703" s="216"/>
      <c r="E1703" s="216"/>
      <c r="F1703" s="216"/>
      <c r="G1703" s="216"/>
    </row>
    <row r="1704">
      <c r="A1704" s="216"/>
      <c r="B1704" s="216"/>
      <c r="C1704" s="216"/>
      <c r="D1704" s="216"/>
      <c r="E1704" s="216"/>
      <c r="F1704" s="216"/>
      <c r="G1704" s="216"/>
    </row>
    <row r="1705">
      <c r="A1705" s="216"/>
      <c r="B1705" s="216"/>
      <c r="C1705" s="216"/>
      <c r="D1705" s="216"/>
      <c r="E1705" s="216"/>
      <c r="F1705" s="216"/>
      <c r="G1705" s="216"/>
    </row>
    <row r="1706">
      <c r="A1706" s="216"/>
      <c r="B1706" s="216"/>
      <c r="C1706" s="216"/>
      <c r="D1706" s="216"/>
      <c r="E1706" s="216"/>
      <c r="F1706" s="216"/>
      <c r="G1706" s="216"/>
    </row>
    <row r="1707">
      <c r="A1707" s="216"/>
      <c r="B1707" s="216"/>
      <c r="C1707" s="216"/>
      <c r="D1707" s="216"/>
      <c r="E1707" s="216"/>
      <c r="F1707" s="216"/>
      <c r="G1707" s="216"/>
    </row>
    <row r="1708">
      <c r="A1708" s="216"/>
      <c r="B1708" s="216"/>
      <c r="C1708" s="216"/>
      <c r="D1708" s="216"/>
      <c r="E1708" s="216"/>
      <c r="F1708" s="216"/>
      <c r="G1708" s="216"/>
    </row>
    <row r="1709">
      <c r="A1709" s="216"/>
      <c r="B1709" s="216"/>
      <c r="C1709" s="216"/>
      <c r="D1709" s="216"/>
      <c r="E1709" s="216"/>
      <c r="F1709" s="216"/>
      <c r="G1709" s="216"/>
    </row>
    <row r="1710">
      <c r="A1710" s="216"/>
      <c r="B1710" s="216"/>
      <c r="C1710" s="216"/>
      <c r="D1710" s="216"/>
      <c r="E1710" s="216"/>
      <c r="F1710" s="216"/>
      <c r="G1710" s="216"/>
    </row>
    <row r="1711">
      <c r="A1711" s="216"/>
      <c r="B1711" s="216"/>
      <c r="C1711" s="216"/>
      <c r="D1711" s="216"/>
      <c r="E1711" s="216"/>
      <c r="F1711" s="216"/>
      <c r="G1711" s="216"/>
    </row>
    <row r="1712">
      <c r="A1712" s="216"/>
      <c r="B1712" s="216"/>
      <c r="C1712" s="216"/>
      <c r="D1712" s="216"/>
      <c r="E1712" s="216"/>
      <c r="F1712" s="216"/>
      <c r="G1712" s="216"/>
    </row>
    <row r="1713">
      <c r="A1713" s="216"/>
      <c r="B1713" s="216"/>
      <c r="C1713" s="216"/>
      <c r="D1713" s="216"/>
      <c r="E1713" s="216"/>
      <c r="F1713" s="216"/>
      <c r="G1713" s="216"/>
    </row>
    <row r="1714">
      <c r="A1714" s="216"/>
      <c r="B1714" s="216"/>
      <c r="C1714" s="216"/>
      <c r="D1714" s="216"/>
      <c r="E1714" s="216"/>
      <c r="F1714" s="216"/>
      <c r="G1714" s="216"/>
    </row>
    <row r="1715">
      <c r="A1715" s="216"/>
      <c r="B1715" s="216"/>
      <c r="C1715" s="216"/>
      <c r="D1715" s="216"/>
      <c r="E1715" s="216"/>
      <c r="F1715" s="216"/>
      <c r="G1715" s="216"/>
    </row>
    <row r="1716">
      <c r="A1716" s="216"/>
      <c r="B1716" s="216"/>
      <c r="C1716" s="216"/>
      <c r="D1716" s="216"/>
      <c r="E1716" s="216"/>
      <c r="F1716" s="216"/>
      <c r="G1716" s="216"/>
    </row>
    <row r="1717">
      <c r="A1717" s="216"/>
      <c r="B1717" s="216"/>
      <c r="C1717" s="216"/>
      <c r="D1717" s="216"/>
      <c r="E1717" s="216"/>
      <c r="F1717" s="216"/>
      <c r="G1717" s="216"/>
    </row>
    <row r="1718">
      <c r="A1718" s="216"/>
      <c r="B1718" s="216"/>
      <c r="C1718" s="216"/>
      <c r="D1718" s="216"/>
      <c r="E1718" s="216"/>
      <c r="F1718" s="216"/>
      <c r="G1718" s="216"/>
    </row>
    <row r="1719">
      <c r="A1719" s="216"/>
      <c r="B1719" s="216"/>
      <c r="C1719" s="216"/>
      <c r="D1719" s="216"/>
      <c r="E1719" s="216"/>
      <c r="F1719" s="216"/>
      <c r="G1719" s="216"/>
    </row>
    <row r="1720">
      <c r="A1720" s="216"/>
      <c r="B1720" s="216"/>
      <c r="C1720" s="216"/>
      <c r="D1720" s="216"/>
      <c r="E1720" s="216"/>
      <c r="F1720" s="216"/>
      <c r="G1720" s="216"/>
    </row>
    <row r="1721">
      <c r="A1721" s="216"/>
      <c r="B1721" s="216"/>
      <c r="C1721" s="216"/>
      <c r="D1721" s="216"/>
      <c r="E1721" s="216"/>
      <c r="F1721" s="216"/>
      <c r="G1721" s="216"/>
    </row>
    <row r="1722">
      <c r="A1722" s="216"/>
      <c r="B1722" s="216"/>
      <c r="C1722" s="216"/>
      <c r="D1722" s="216"/>
      <c r="E1722" s="216"/>
      <c r="F1722" s="216"/>
      <c r="G1722" s="216"/>
    </row>
    <row r="1723">
      <c r="A1723" s="216"/>
      <c r="B1723" s="216"/>
      <c r="C1723" s="216"/>
      <c r="D1723" s="216"/>
      <c r="E1723" s="216"/>
      <c r="F1723" s="216"/>
      <c r="G1723" s="216"/>
    </row>
    <row r="1724">
      <c r="A1724" s="216"/>
      <c r="B1724" s="216"/>
      <c r="C1724" s="216"/>
      <c r="D1724" s="216"/>
      <c r="E1724" s="216"/>
      <c r="F1724" s="216"/>
      <c r="G1724" s="216"/>
    </row>
    <row r="1725">
      <c r="A1725" s="216"/>
      <c r="B1725" s="216"/>
      <c r="C1725" s="216"/>
      <c r="D1725" s="216"/>
      <c r="E1725" s="216"/>
      <c r="F1725" s="216"/>
      <c r="G1725" s="216"/>
    </row>
    <row r="1726">
      <c r="A1726" s="216"/>
      <c r="B1726" s="216"/>
      <c r="C1726" s="216"/>
      <c r="D1726" s="216"/>
      <c r="E1726" s="216"/>
      <c r="F1726" s="216"/>
      <c r="G1726" s="216"/>
    </row>
    <row r="1727">
      <c r="A1727" s="216"/>
      <c r="B1727" s="216"/>
      <c r="C1727" s="216"/>
      <c r="D1727" s="216"/>
      <c r="E1727" s="216"/>
      <c r="F1727" s="216"/>
      <c r="G1727" s="216"/>
    </row>
    <row r="1728">
      <c r="A1728" s="216"/>
      <c r="B1728" s="216"/>
      <c r="C1728" s="216"/>
      <c r="D1728" s="216"/>
      <c r="E1728" s="216"/>
      <c r="F1728" s="216"/>
      <c r="G1728" s="216"/>
    </row>
    <row r="1729">
      <c r="A1729" s="216"/>
      <c r="B1729" s="216"/>
      <c r="C1729" s="216"/>
      <c r="D1729" s="216"/>
      <c r="E1729" s="216"/>
      <c r="F1729" s="216"/>
      <c r="G1729" s="216"/>
    </row>
    <row r="1730">
      <c r="A1730" s="216"/>
      <c r="B1730" s="216"/>
      <c r="C1730" s="216"/>
      <c r="D1730" s="216"/>
      <c r="E1730" s="216"/>
      <c r="F1730" s="216"/>
      <c r="G1730" s="216"/>
    </row>
    <row r="1731">
      <c r="A1731" s="216"/>
      <c r="B1731" s="216"/>
      <c r="C1731" s="216"/>
      <c r="D1731" s="216"/>
      <c r="E1731" s="216"/>
      <c r="F1731" s="216"/>
      <c r="G1731" s="216"/>
    </row>
    <row r="1732">
      <c r="A1732" s="216"/>
      <c r="B1732" s="216"/>
      <c r="C1732" s="216"/>
      <c r="D1732" s="216"/>
      <c r="E1732" s="216"/>
      <c r="F1732" s="216"/>
      <c r="G1732" s="216"/>
    </row>
    <row r="1733">
      <c r="A1733" s="216"/>
      <c r="B1733" s="216"/>
      <c r="C1733" s="216"/>
      <c r="D1733" s="216"/>
      <c r="E1733" s="216"/>
      <c r="F1733" s="216"/>
      <c r="G1733" s="216"/>
    </row>
    <row r="1734">
      <c r="A1734" s="216"/>
      <c r="B1734" s="216"/>
      <c r="C1734" s="216"/>
      <c r="D1734" s="216"/>
      <c r="E1734" s="216"/>
      <c r="F1734" s="216"/>
      <c r="G1734" s="216"/>
    </row>
    <row r="1735">
      <c r="A1735" s="216"/>
      <c r="B1735" s="216"/>
      <c r="C1735" s="216"/>
      <c r="D1735" s="216"/>
      <c r="E1735" s="216"/>
      <c r="F1735" s="216"/>
      <c r="G1735" s="216"/>
    </row>
    <row r="1736">
      <c r="A1736" s="216"/>
      <c r="B1736" s="216"/>
      <c r="C1736" s="216"/>
      <c r="D1736" s="216"/>
      <c r="E1736" s="216"/>
      <c r="F1736" s="216"/>
      <c r="G1736" s="216"/>
    </row>
    <row r="1737">
      <c r="A1737" s="216"/>
      <c r="B1737" s="216"/>
      <c r="C1737" s="216"/>
      <c r="D1737" s="216"/>
      <c r="E1737" s="216"/>
      <c r="F1737" s="216"/>
      <c r="G1737" s="216"/>
    </row>
    <row r="1738">
      <c r="A1738" s="216"/>
      <c r="B1738" s="216"/>
      <c r="C1738" s="216"/>
      <c r="D1738" s="216"/>
      <c r="E1738" s="216"/>
      <c r="F1738" s="216"/>
      <c r="G1738" s="216"/>
    </row>
    <row r="1739">
      <c r="A1739" s="216"/>
      <c r="B1739" s="216"/>
      <c r="C1739" s="216"/>
      <c r="D1739" s="216"/>
      <c r="E1739" s="216"/>
      <c r="F1739" s="216"/>
      <c r="G1739" s="216"/>
    </row>
    <row r="1740">
      <c r="A1740" s="216"/>
      <c r="B1740" s="216"/>
      <c r="C1740" s="216"/>
      <c r="D1740" s="216"/>
      <c r="E1740" s="216"/>
      <c r="F1740" s="216"/>
      <c r="G1740" s="216"/>
    </row>
    <row r="1741">
      <c r="A1741" s="216"/>
      <c r="B1741" s="216"/>
      <c r="C1741" s="216"/>
      <c r="D1741" s="216"/>
      <c r="E1741" s="216"/>
      <c r="F1741" s="216"/>
      <c r="G1741" s="216"/>
    </row>
    <row r="1742">
      <c r="A1742" s="216"/>
      <c r="B1742" s="216"/>
      <c r="C1742" s="216"/>
      <c r="D1742" s="216"/>
      <c r="E1742" s="216"/>
      <c r="F1742" s="216"/>
      <c r="G1742" s="216"/>
    </row>
    <row r="1743">
      <c r="A1743" s="216"/>
      <c r="B1743" s="216"/>
      <c r="C1743" s="216"/>
      <c r="D1743" s="216"/>
      <c r="E1743" s="216"/>
      <c r="F1743" s="216"/>
      <c r="G1743" s="216"/>
    </row>
    <row r="1744">
      <c r="A1744" s="216"/>
      <c r="B1744" s="216"/>
      <c r="C1744" s="216"/>
      <c r="D1744" s="216"/>
      <c r="E1744" s="216"/>
      <c r="F1744" s="216"/>
      <c r="G1744" s="216"/>
    </row>
    <row r="1745">
      <c r="A1745" s="216"/>
      <c r="B1745" s="216"/>
      <c r="C1745" s="216"/>
      <c r="D1745" s="216"/>
      <c r="E1745" s="216"/>
      <c r="F1745" s="216"/>
      <c r="G1745" s="216"/>
    </row>
    <row r="1746">
      <c r="A1746" s="216"/>
      <c r="B1746" s="216"/>
      <c r="C1746" s="216"/>
      <c r="D1746" s="216"/>
      <c r="E1746" s="216"/>
      <c r="F1746" s="216"/>
      <c r="G1746" s="216"/>
    </row>
    <row r="1747">
      <c r="A1747" s="216"/>
      <c r="B1747" s="216"/>
      <c r="C1747" s="216"/>
      <c r="D1747" s="216"/>
      <c r="E1747" s="216"/>
      <c r="F1747" s="216"/>
      <c r="G1747" s="216"/>
    </row>
    <row r="1748">
      <c r="A1748" s="216"/>
      <c r="B1748" s="216"/>
      <c r="C1748" s="216"/>
      <c r="D1748" s="216"/>
      <c r="E1748" s="216"/>
      <c r="F1748" s="216"/>
      <c r="G1748" s="216"/>
    </row>
    <row r="1749">
      <c r="A1749" s="216"/>
      <c r="B1749" s="216"/>
      <c r="C1749" s="216"/>
      <c r="D1749" s="216"/>
      <c r="E1749" s="216"/>
      <c r="F1749" s="216"/>
      <c r="G1749" s="216"/>
    </row>
    <row r="1750">
      <c r="A1750" s="216"/>
      <c r="B1750" s="216"/>
      <c r="C1750" s="216"/>
      <c r="D1750" s="216"/>
      <c r="E1750" s="216"/>
      <c r="F1750" s="216"/>
      <c r="G1750" s="216"/>
    </row>
    <row r="1751">
      <c r="A1751" s="216"/>
      <c r="B1751" s="216"/>
      <c r="C1751" s="216"/>
      <c r="D1751" s="216"/>
      <c r="E1751" s="216"/>
      <c r="F1751" s="216"/>
      <c r="G1751" s="216"/>
    </row>
    <row r="1752">
      <c r="A1752" s="216"/>
      <c r="B1752" s="216"/>
      <c r="C1752" s="216"/>
      <c r="D1752" s="216"/>
      <c r="E1752" s="216"/>
      <c r="F1752" s="216"/>
      <c r="G1752" s="216"/>
    </row>
    <row r="1753">
      <c r="A1753" s="216"/>
      <c r="B1753" s="216"/>
      <c r="C1753" s="216"/>
      <c r="D1753" s="216"/>
      <c r="E1753" s="216"/>
      <c r="F1753" s="216"/>
      <c r="G1753" s="216"/>
    </row>
    <row r="1754">
      <c r="A1754" s="216"/>
      <c r="B1754" s="216"/>
      <c r="C1754" s="216"/>
      <c r="D1754" s="216"/>
      <c r="E1754" s="216"/>
      <c r="F1754" s="216"/>
      <c r="G1754" s="216"/>
    </row>
    <row r="1755">
      <c r="A1755" s="216"/>
      <c r="B1755" s="216"/>
      <c r="C1755" s="216"/>
      <c r="D1755" s="216"/>
      <c r="E1755" s="216"/>
      <c r="F1755" s="216"/>
      <c r="G1755" s="216"/>
    </row>
    <row r="1756">
      <c r="A1756" s="216"/>
      <c r="B1756" s="216"/>
      <c r="C1756" s="216"/>
      <c r="D1756" s="216"/>
      <c r="E1756" s="216"/>
      <c r="F1756" s="216"/>
      <c r="G1756" s="216"/>
    </row>
    <row r="1757">
      <c r="A1757" s="216"/>
      <c r="B1757" s="216"/>
      <c r="C1757" s="216"/>
      <c r="D1757" s="216"/>
      <c r="E1757" s="216"/>
      <c r="F1757" s="216"/>
      <c r="G1757" s="216"/>
    </row>
    <row r="1758">
      <c r="A1758" s="216"/>
      <c r="B1758" s="216"/>
      <c r="C1758" s="216"/>
      <c r="D1758" s="216"/>
      <c r="E1758" s="216"/>
      <c r="F1758" s="216"/>
      <c r="G1758" s="216"/>
    </row>
    <row r="1759">
      <c r="A1759" s="216"/>
      <c r="B1759" s="216"/>
      <c r="C1759" s="216"/>
      <c r="D1759" s="216"/>
      <c r="E1759" s="216"/>
      <c r="F1759" s="216"/>
      <c r="G1759" s="216"/>
    </row>
    <row r="1760">
      <c r="A1760" s="216"/>
      <c r="B1760" s="216"/>
      <c r="C1760" s="216"/>
      <c r="D1760" s="216"/>
      <c r="E1760" s="216"/>
      <c r="F1760" s="216"/>
      <c r="G1760" s="216"/>
    </row>
    <row r="1761">
      <c r="A1761" s="216"/>
      <c r="B1761" s="216"/>
      <c r="C1761" s="216"/>
      <c r="D1761" s="216"/>
      <c r="E1761" s="216"/>
      <c r="F1761" s="216"/>
      <c r="G1761" s="216"/>
    </row>
    <row r="1762">
      <c r="A1762" s="216"/>
      <c r="B1762" s="216"/>
      <c r="C1762" s="216"/>
      <c r="D1762" s="216"/>
      <c r="E1762" s="216"/>
      <c r="F1762" s="216"/>
      <c r="G1762" s="216"/>
    </row>
    <row r="1763">
      <c r="A1763" s="216"/>
      <c r="B1763" s="216"/>
      <c r="C1763" s="216"/>
      <c r="D1763" s="216"/>
      <c r="E1763" s="216"/>
      <c r="F1763" s="216"/>
      <c r="G1763" s="216"/>
    </row>
    <row r="1764">
      <c r="A1764" s="216"/>
      <c r="B1764" s="216"/>
      <c r="C1764" s="216"/>
      <c r="D1764" s="216"/>
      <c r="E1764" s="216"/>
      <c r="F1764" s="216"/>
      <c r="G1764" s="216"/>
    </row>
    <row r="1765">
      <c r="A1765" s="216"/>
      <c r="B1765" s="216"/>
      <c r="C1765" s="216"/>
      <c r="D1765" s="216"/>
      <c r="E1765" s="216"/>
      <c r="F1765" s="216"/>
      <c r="G1765" s="216"/>
    </row>
    <row r="1766">
      <c r="A1766" s="216"/>
      <c r="B1766" s="216"/>
      <c r="C1766" s="216"/>
      <c r="D1766" s="216"/>
      <c r="E1766" s="216"/>
      <c r="F1766" s="216"/>
      <c r="G1766" s="216"/>
    </row>
    <row r="1767">
      <c r="A1767" s="216"/>
      <c r="B1767" s="216"/>
      <c r="C1767" s="216"/>
      <c r="D1767" s="216"/>
      <c r="E1767" s="216"/>
      <c r="F1767" s="216"/>
      <c r="G1767" s="216"/>
    </row>
    <row r="1768">
      <c r="A1768" s="216"/>
      <c r="B1768" s="216"/>
      <c r="C1768" s="216"/>
      <c r="D1768" s="216"/>
      <c r="E1768" s="216"/>
      <c r="F1768" s="216"/>
      <c r="G1768" s="216"/>
    </row>
    <row r="1769">
      <c r="A1769" s="216"/>
      <c r="B1769" s="216"/>
      <c r="C1769" s="216"/>
      <c r="D1769" s="216"/>
      <c r="E1769" s="216"/>
      <c r="F1769" s="216"/>
      <c r="G1769" s="216"/>
    </row>
    <row r="1770">
      <c r="A1770" s="216"/>
      <c r="B1770" s="216"/>
      <c r="C1770" s="216"/>
      <c r="D1770" s="216"/>
      <c r="E1770" s="216"/>
      <c r="F1770" s="216"/>
      <c r="G1770" s="216"/>
    </row>
    <row r="1771">
      <c r="A1771" s="216"/>
      <c r="B1771" s="216"/>
      <c r="C1771" s="216"/>
      <c r="D1771" s="216"/>
      <c r="E1771" s="216"/>
      <c r="F1771" s="216"/>
      <c r="G1771" s="216"/>
    </row>
    <row r="1772">
      <c r="A1772" s="216"/>
      <c r="B1772" s="216"/>
      <c r="C1772" s="216"/>
      <c r="D1772" s="216"/>
      <c r="E1772" s="216"/>
      <c r="F1772" s="216"/>
      <c r="G1772" s="216"/>
    </row>
    <row r="1773">
      <c r="A1773" s="216"/>
      <c r="B1773" s="216"/>
      <c r="C1773" s="216"/>
      <c r="D1773" s="216"/>
      <c r="E1773" s="216"/>
      <c r="F1773" s="216"/>
      <c r="G1773" s="216"/>
    </row>
    <row r="1774">
      <c r="A1774" s="216"/>
      <c r="B1774" s="216"/>
      <c r="C1774" s="216"/>
      <c r="D1774" s="216"/>
      <c r="E1774" s="216"/>
      <c r="F1774" s="216"/>
      <c r="G1774" s="216"/>
    </row>
    <row r="1775">
      <c r="A1775" s="216"/>
      <c r="B1775" s="216"/>
      <c r="C1775" s="216"/>
      <c r="D1775" s="216"/>
      <c r="E1775" s="216"/>
      <c r="F1775" s="216"/>
      <c r="G1775" s="216"/>
    </row>
    <row r="1776">
      <c r="A1776" s="216"/>
      <c r="B1776" s="216"/>
      <c r="C1776" s="216"/>
      <c r="D1776" s="216"/>
      <c r="E1776" s="216"/>
      <c r="F1776" s="216"/>
      <c r="G1776" s="216"/>
    </row>
    <row r="1777">
      <c r="A1777" s="216"/>
      <c r="B1777" s="216"/>
      <c r="C1777" s="216"/>
      <c r="D1777" s="216"/>
      <c r="E1777" s="216"/>
      <c r="F1777" s="216"/>
      <c r="G1777" s="216"/>
    </row>
    <row r="1778">
      <c r="A1778" s="216"/>
      <c r="B1778" s="216"/>
      <c r="C1778" s="216"/>
      <c r="D1778" s="216"/>
      <c r="E1778" s="216"/>
      <c r="F1778" s="216"/>
      <c r="G1778" s="216"/>
    </row>
    <row r="1779">
      <c r="A1779" s="216"/>
      <c r="B1779" s="216"/>
      <c r="C1779" s="216"/>
      <c r="D1779" s="216"/>
      <c r="E1779" s="216"/>
      <c r="F1779" s="216"/>
      <c r="G1779" s="216"/>
    </row>
    <row r="1780">
      <c r="A1780" s="216"/>
      <c r="B1780" s="216"/>
      <c r="C1780" s="216"/>
      <c r="D1780" s="216"/>
      <c r="E1780" s="216"/>
      <c r="F1780" s="216"/>
      <c r="G1780" s="216"/>
    </row>
    <row r="1781">
      <c r="A1781" s="216"/>
      <c r="B1781" s="216"/>
      <c r="C1781" s="216"/>
      <c r="D1781" s="216"/>
      <c r="E1781" s="216"/>
      <c r="F1781" s="216"/>
      <c r="G1781" s="216"/>
    </row>
    <row r="1782">
      <c r="A1782" s="216"/>
      <c r="B1782" s="216"/>
      <c r="C1782" s="216"/>
      <c r="D1782" s="216"/>
      <c r="E1782" s="216"/>
      <c r="F1782" s="216"/>
      <c r="G1782" s="216"/>
    </row>
    <row r="1783">
      <c r="A1783" s="216"/>
      <c r="B1783" s="216"/>
      <c r="C1783" s="216"/>
      <c r="D1783" s="216"/>
      <c r="E1783" s="216"/>
      <c r="F1783" s="216"/>
      <c r="G1783" s="216"/>
    </row>
    <row r="1784">
      <c r="A1784" s="216"/>
      <c r="B1784" s="216"/>
      <c r="C1784" s="216"/>
      <c r="D1784" s="216"/>
      <c r="E1784" s="216"/>
      <c r="F1784" s="216"/>
      <c r="G1784" s="216"/>
    </row>
    <row r="1785">
      <c r="A1785" s="216"/>
      <c r="B1785" s="216"/>
      <c r="C1785" s="216"/>
      <c r="D1785" s="216"/>
      <c r="E1785" s="216"/>
      <c r="F1785" s="216"/>
      <c r="G1785" s="216"/>
    </row>
    <row r="1786">
      <c r="A1786" s="216"/>
      <c r="B1786" s="216"/>
      <c r="C1786" s="216"/>
      <c r="D1786" s="216"/>
      <c r="E1786" s="216"/>
      <c r="F1786" s="216"/>
      <c r="G1786" s="216"/>
    </row>
    <row r="1787">
      <c r="A1787" s="216"/>
      <c r="B1787" s="216"/>
      <c r="C1787" s="216"/>
      <c r="D1787" s="216"/>
      <c r="E1787" s="216"/>
      <c r="F1787" s="216"/>
      <c r="G1787" s="216"/>
    </row>
    <row r="1788">
      <c r="A1788" s="216"/>
      <c r="B1788" s="216"/>
      <c r="C1788" s="216"/>
      <c r="D1788" s="216"/>
      <c r="E1788" s="216"/>
      <c r="F1788" s="216"/>
      <c r="G1788" s="216"/>
    </row>
    <row r="1789">
      <c r="A1789" s="216"/>
      <c r="B1789" s="216"/>
      <c r="C1789" s="216"/>
      <c r="D1789" s="216"/>
      <c r="E1789" s="216"/>
      <c r="F1789" s="216"/>
      <c r="G1789" s="216"/>
    </row>
    <row r="1790">
      <c r="A1790" s="216"/>
      <c r="B1790" s="216"/>
      <c r="C1790" s="216"/>
      <c r="D1790" s="216"/>
      <c r="E1790" s="216"/>
      <c r="F1790" s="216"/>
      <c r="G1790" s="216"/>
    </row>
    <row r="1791">
      <c r="A1791" s="216"/>
      <c r="B1791" s="216"/>
      <c r="C1791" s="216"/>
      <c r="D1791" s="216"/>
      <c r="E1791" s="216"/>
      <c r="F1791" s="216"/>
      <c r="G1791" s="216"/>
    </row>
    <row r="1792">
      <c r="A1792" s="216"/>
      <c r="B1792" s="216"/>
      <c r="C1792" s="216"/>
      <c r="D1792" s="216"/>
      <c r="E1792" s="216"/>
      <c r="F1792" s="216"/>
      <c r="G1792" s="216"/>
    </row>
    <row r="1793">
      <c r="A1793" s="216"/>
      <c r="B1793" s="216"/>
      <c r="C1793" s="216"/>
      <c r="D1793" s="216"/>
      <c r="E1793" s="216"/>
      <c r="F1793" s="216"/>
      <c r="G1793" s="216"/>
    </row>
    <row r="1794">
      <c r="A1794" s="216"/>
      <c r="B1794" s="216"/>
      <c r="C1794" s="216"/>
      <c r="D1794" s="216"/>
      <c r="E1794" s="216"/>
      <c r="F1794" s="216"/>
      <c r="G1794" s="216"/>
    </row>
    <row r="1795">
      <c r="A1795" s="216"/>
      <c r="B1795" s="216"/>
      <c r="C1795" s="216"/>
      <c r="D1795" s="216"/>
      <c r="E1795" s="216"/>
      <c r="F1795" s="216"/>
      <c r="G1795" s="216"/>
    </row>
    <row r="1796">
      <c r="A1796" s="216"/>
      <c r="B1796" s="216"/>
      <c r="C1796" s="216"/>
      <c r="D1796" s="216"/>
      <c r="E1796" s="216"/>
      <c r="F1796" s="216"/>
      <c r="G1796" s="216"/>
    </row>
    <row r="1797">
      <c r="A1797" s="216"/>
      <c r="B1797" s="216"/>
      <c r="C1797" s="216"/>
      <c r="D1797" s="216"/>
      <c r="E1797" s="216"/>
      <c r="F1797" s="216"/>
      <c r="G1797" s="216"/>
    </row>
    <row r="1798">
      <c r="A1798" s="216"/>
      <c r="B1798" s="216"/>
      <c r="C1798" s="216"/>
      <c r="D1798" s="216"/>
      <c r="E1798" s="216"/>
      <c r="F1798" s="216"/>
      <c r="G1798" s="216"/>
    </row>
    <row r="1799">
      <c r="A1799" s="216"/>
      <c r="B1799" s="216"/>
      <c r="C1799" s="216"/>
      <c r="D1799" s="216"/>
      <c r="E1799" s="216"/>
      <c r="F1799" s="216"/>
      <c r="G1799" s="216"/>
    </row>
    <row r="1800">
      <c r="A1800" s="216"/>
      <c r="B1800" s="216"/>
      <c r="C1800" s="216"/>
      <c r="D1800" s="216"/>
      <c r="E1800" s="216"/>
      <c r="F1800" s="216"/>
      <c r="G1800" s="216"/>
    </row>
    <row r="1801">
      <c r="A1801" s="216"/>
      <c r="B1801" s="216"/>
      <c r="C1801" s="216"/>
      <c r="D1801" s="216"/>
      <c r="E1801" s="216"/>
      <c r="F1801" s="216"/>
      <c r="G1801" s="216"/>
    </row>
    <row r="1802">
      <c r="A1802" s="216"/>
      <c r="B1802" s="216"/>
      <c r="C1802" s="216"/>
      <c r="D1802" s="216"/>
      <c r="E1802" s="216"/>
      <c r="F1802" s="216"/>
      <c r="G1802" s="216"/>
    </row>
    <row r="1803">
      <c r="A1803" s="216"/>
      <c r="B1803" s="216"/>
      <c r="C1803" s="216"/>
      <c r="D1803" s="216"/>
      <c r="E1803" s="216"/>
      <c r="F1803" s="216"/>
      <c r="G1803" s="216"/>
    </row>
    <row r="1804">
      <c r="A1804" s="216"/>
      <c r="B1804" s="216"/>
      <c r="C1804" s="216"/>
      <c r="D1804" s="216"/>
      <c r="E1804" s="216"/>
      <c r="F1804" s="216"/>
      <c r="G1804" s="216"/>
    </row>
    <row r="1805">
      <c r="A1805" s="216"/>
      <c r="B1805" s="216"/>
      <c r="C1805" s="216"/>
      <c r="D1805" s="216"/>
      <c r="E1805" s="216"/>
      <c r="F1805" s="216"/>
      <c r="G1805" s="216"/>
    </row>
    <row r="1806">
      <c r="A1806" s="216"/>
      <c r="B1806" s="216"/>
      <c r="C1806" s="216"/>
      <c r="D1806" s="216"/>
      <c r="E1806" s="216"/>
      <c r="F1806" s="216"/>
      <c r="G1806" s="216"/>
    </row>
    <row r="1807">
      <c r="A1807" s="216"/>
      <c r="B1807" s="216"/>
      <c r="C1807" s="216"/>
      <c r="D1807" s="216"/>
      <c r="E1807" s="216"/>
      <c r="F1807" s="216"/>
      <c r="G1807" s="216"/>
    </row>
    <row r="1808">
      <c r="A1808" s="216"/>
      <c r="B1808" s="216"/>
      <c r="C1808" s="216"/>
      <c r="D1808" s="216"/>
      <c r="E1808" s="216"/>
      <c r="F1808" s="216"/>
      <c r="G1808" s="216"/>
    </row>
    <row r="1809">
      <c r="A1809" s="216"/>
      <c r="B1809" s="216"/>
      <c r="C1809" s="216"/>
      <c r="D1809" s="216"/>
      <c r="E1809" s="216"/>
      <c r="F1809" s="216"/>
      <c r="G1809" s="216"/>
    </row>
    <row r="1810">
      <c r="A1810" s="216"/>
      <c r="B1810" s="216"/>
      <c r="C1810" s="216"/>
      <c r="D1810" s="216"/>
      <c r="E1810" s="216"/>
      <c r="F1810" s="216"/>
      <c r="G1810" s="216"/>
    </row>
    <row r="1811">
      <c r="A1811" s="216"/>
      <c r="B1811" s="216"/>
      <c r="C1811" s="216"/>
      <c r="D1811" s="216"/>
      <c r="E1811" s="216"/>
      <c r="F1811" s="216"/>
      <c r="G1811" s="216"/>
    </row>
    <row r="1812">
      <c r="A1812" s="216"/>
      <c r="B1812" s="216"/>
      <c r="C1812" s="216"/>
      <c r="D1812" s="216"/>
      <c r="E1812" s="216"/>
      <c r="F1812" s="216"/>
      <c r="G1812" s="216"/>
    </row>
    <row r="1813">
      <c r="A1813" s="216"/>
      <c r="B1813" s="216"/>
      <c r="C1813" s="216"/>
      <c r="D1813" s="216"/>
      <c r="E1813" s="216"/>
      <c r="F1813" s="216"/>
      <c r="G1813" s="216"/>
    </row>
    <row r="1814">
      <c r="A1814" s="216"/>
      <c r="B1814" s="216"/>
      <c r="C1814" s="216"/>
      <c r="D1814" s="216"/>
      <c r="E1814" s="216"/>
      <c r="F1814" s="216"/>
      <c r="G1814" s="216"/>
    </row>
    <row r="1815">
      <c r="A1815" s="216"/>
      <c r="B1815" s="216"/>
      <c r="C1815" s="216"/>
      <c r="D1815" s="216"/>
      <c r="E1815" s="216"/>
      <c r="F1815" s="216"/>
      <c r="G1815" s="216"/>
    </row>
    <row r="1816">
      <c r="A1816" s="216"/>
      <c r="B1816" s="216"/>
      <c r="C1816" s="216"/>
      <c r="D1816" s="216"/>
      <c r="E1816" s="216"/>
      <c r="F1816" s="216"/>
      <c r="G1816" s="216"/>
    </row>
    <row r="1817">
      <c r="A1817" s="216"/>
      <c r="B1817" s="216"/>
      <c r="C1817" s="216"/>
      <c r="D1817" s="216"/>
      <c r="E1817" s="216"/>
      <c r="F1817" s="216"/>
      <c r="G1817" s="216"/>
    </row>
    <row r="1818">
      <c r="A1818" s="216"/>
      <c r="B1818" s="216"/>
      <c r="C1818" s="216"/>
      <c r="D1818" s="216"/>
      <c r="E1818" s="216"/>
      <c r="F1818" s="216"/>
      <c r="G1818" s="216"/>
    </row>
    <row r="1819">
      <c r="A1819" s="216"/>
      <c r="B1819" s="216"/>
      <c r="C1819" s="216"/>
      <c r="D1819" s="216"/>
      <c r="E1819" s="216"/>
      <c r="F1819" s="216"/>
      <c r="G1819" s="216"/>
    </row>
    <row r="1820">
      <c r="A1820" s="216"/>
      <c r="B1820" s="216"/>
      <c r="C1820" s="216"/>
      <c r="D1820" s="216"/>
      <c r="E1820" s="216"/>
      <c r="F1820" s="216"/>
      <c r="G1820" s="216"/>
    </row>
    <row r="1821">
      <c r="A1821" s="216"/>
      <c r="B1821" s="216"/>
      <c r="C1821" s="216"/>
      <c r="D1821" s="216"/>
      <c r="E1821" s="216"/>
      <c r="F1821" s="216"/>
      <c r="G1821" s="216"/>
    </row>
    <row r="1822">
      <c r="A1822" s="216"/>
      <c r="B1822" s="216"/>
      <c r="C1822" s="216"/>
      <c r="D1822" s="216"/>
      <c r="E1822" s="216"/>
      <c r="F1822" s="216"/>
      <c r="G1822" s="216"/>
    </row>
    <row r="1823">
      <c r="A1823" s="216"/>
      <c r="B1823" s="216"/>
      <c r="C1823" s="216"/>
      <c r="D1823" s="216"/>
      <c r="E1823" s="216"/>
      <c r="F1823" s="216"/>
      <c r="G1823" s="216"/>
    </row>
    <row r="1824">
      <c r="A1824" s="216"/>
      <c r="B1824" s="216"/>
      <c r="C1824" s="216"/>
      <c r="D1824" s="216"/>
      <c r="E1824" s="216"/>
      <c r="F1824" s="216"/>
      <c r="G1824" s="216"/>
    </row>
    <row r="1825">
      <c r="A1825" s="216"/>
      <c r="B1825" s="216"/>
      <c r="C1825" s="216"/>
      <c r="D1825" s="216"/>
      <c r="E1825" s="216"/>
      <c r="F1825" s="216"/>
      <c r="G1825" s="216"/>
    </row>
    <row r="1826">
      <c r="A1826" s="216"/>
      <c r="B1826" s="216"/>
      <c r="C1826" s="216"/>
      <c r="D1826" s="216"/>
      <c r="E1826" s="216"/>
      <c r="F1826" s="216"/>
      <c r="G1826" s="216"/>
    </row>
    <row r="1827">
      <c r="A1827" s="216"/>
      <c r="B1827" s="216"/>
      <c r="C1827" s="216"/>
      <c r="D1827" s="216"/>
      <c r="E1827" s="216"/>
      <c r="F1827" s="216"/>
      <c r="G1827" s="216"/>
    </row>
    <row r="1828">
      <c r="A1828" s="216"/>
      <c r="B1828" s="216"/>
      <c r="C1828" s="216"/>
      <c r="D1828" s="216"/>
      <c r="E1828" s="216"/>
      <c r="F1828" s="216"/>
      <c r="G1828" s="216"/>
    </row>
    <row r="1829">
      <c r="A1829" s="216"/>
      <c r="B1829" s="216"/>
      <c r="C1829" s="216"/>
      <c r="D1829" s="216"/>
      <c r="E1829" s="216"/>
      <c r="F1829" s="216"/>
      <c r="G1829" s="216"/>
    </row>
    <row r="1830">
      <c r="A1830" s="216"/>
      <c r="B1830" s="216"/>
      <c r="C1830" s="216"/>
      <c r="D1830" s="216"/>
      <c r="E1830" s="216"/>
      <c r="F1830" s="216"/>
      <c r="G1830" s="216"/>
    </row>
    <row r="1831">
      <c r="A1831" s="216"/>
      <c r="B1831" s="216"/>
      <c r="C1831" s="216"/>
      <c r="D1831" s="216"/>
      <c r="E1831" s="216"/>
      <c r="F1831" s="216"/>
      <c r="G1831" s="216"/>
    </row>
    <row r="1832">
      <c r="A1832" s="216"/>
      <c r="B1832" s="216"/>
      <c r="C1832" s="216"/>
      <c r="D1832" s="216"/>
      <c r="E1832" s="216"/>
      <c r="F1832" s="216"/>
      <c r="G1832" s="216"/>
    </row>
    <row r="1833">
      <c r="A1833" s="216"/>
      <c r="B1833" s="216"/>
      <c r="C1833" s="216"/>
      <c r="D1833" s="216"/>
      <c r="E1833" s="216"/>
      <c r="F1833" s="216"/>
      <c r="G1833" s="216"/>
    </row>
    <row r="1834">
      <c r="A1834" s="216"/>
      <c r="B1834" s="216"/>
      <c r="C1834" s="216"/>
      <c r="D1834" s="216"/>
      <c r="E1834" s="216"/>
      <c r="F1834" s="216"/>
      <c r="G1834" s="216"/>
    </row>
    <row r="1835">
      <c r="A1835" s="216"/>
      <c r="B1835" s="216"/>
      <c r="C1835" s="216"/>
      <c r="D1835" s="216"/>
      <c r="E1835" s="216"/>
      <c r="F1835" s="216"/>
      <c r="G1835" s="216"/>
    </row>
    <row r="1836">
      <c r="A1836" s="216"/>
      <c r="B1836" s="216"/>
      <c r="C1836" s="216"/>
      <c r="D1836" s="216"/>
      <c r="E1836" s="216"/>
      <c r="F1836" s="216"/>
      <c r="G1836" s="216"/>
    </row>
    <row r="1837">
      <c r="A1837" s="216"/>
      <c r="B1837" s="216"/>
      <c r="C1837" s="216"/>
      <c r="D1837" s="216"/>
      <c r="E1837" s="216"/>
      <c r="F1837" s="216"/>
      <c r="G1837" s="216"/>
    </row>
    <row r="1838">
      <c r="A1838" s="216"/>
      <c r="B1838" s="216"/>
      <c r="C1838" s="216"/>
      <c r="D1838" s="216"/>
      <c r="E1838" s="216"/>
      <c r="F1838" s="216"/>
      <c r="G1838" s="216"/>
    </row>
    <row r="1839">
      <c r="A1839" s="216"/>
      <c r="B1839" s="216"/>
      <c r="C1839" s="216"/>
      <c r="D1839" s="216"/>
      <c r="E1839" s="216"/>
      <c r="F1839" s="216"/>
      <c r="G1839" s="216"/>
    </row>
    <row r="1840">
      <c r="A1840" s="216"/>
      <c r="B1840" s="216"/>
      <c r="C1840" s="216"/>
      <c r="D1840" s="216"/>
      <c r="E1840" s="216"/>
      <c r="F1840" s="216"/>
      <c r="G1840" s="216"/>
    </row>
    <row r="1841">
      <c r="A1841" s="216"/>
      <c r="B1841" s="216"/>
      <c r="C1841" s="216"/>
      <c r="D1841" s="216"/>
      <c r="E1841" s="216"/>
      <c r="F1841" s="216"/>
      <c r="G1841" s="216"/>
    </row>
    <row r="1842">
      <c r="A1842" s="216"/>
      <c r="B1842" s="216"/>
      <c r="C1842" s="216"/>
      <c r="D1842" s="216"/>
      <c r="E1842" s="216"/>
      <c r="F1842" s="216"/>
      <c r="G1842" s="216"/>
    </row>
    <row r="1843">
      <c r="A1843" s="216"/>
      <c r="B1843" s="216"/>
      <c r="C1843" s="216"/>
      <c r="D1843" s="216"/>
      <c r="E1843" s="216"/>
      <c r="F1843" s="216"/>
      <c r="G1843" s="216"/>
    </row>
    <row r="1844">
      <c r="A1844" s="216"/>
      <c r="B1844" s="216"/>
      <c r="C1844" s="216"/>
      <c r="D1844" s="216"/>
      <c r="E1844" s="216"/>
      <c r="F1844" s="216"/>
      <c r="G1844" s="216"/>
    </row>
    <row r="1845">
      <c r="A1845" s="216"/>
      <c r="B1845" s="216"/>
      <c r="C1845" s="216"/>
      <c r="D1845" s="216"/>
      <c r="E1845" s="216"/>
      <c r="F1845" s="216"/>
      <c r="G1845" s="216"/>
    </row>
    <row r="1846">
      <c r="A1846" s="216"/>
      <c r="B1846" s="216"/>
      <c r="C1846" s="216"/>
      <c r="D1846" s="216"/>
      <c r="E1846" s="216"/>
      <c r="F1846" s="216"/>
      <c r="G1846" s="216"/>
    </row>
    <row r="1847">
      <c r="A1847" s="216"/>
      <c r="B1847" s="216"/>
      <c r="C1847" s="216"/>
      <c r="D1847" s="216"/>
      <c r="E1847" s="216"/>
      <c r="F1847" s="216"/>
      <c r="G1847" s="216"/>
    </row>
    <row r="1848">
      <c r="A1848" s="216"/>
      <c r="B1848" s="216"/>
      <c r="C1848" s="216"/>
      <c r="D1848" s="216"/>
      <c r="E1848" s="216"/>
      <c r="F1848" s="216"/>
      <c r="G1848" s="216"/>
    </row>
    <row r="1849">
      <c r="A1849" s="216"/>
      <c r="B1849" s="216"/>
      <c r="C1849" s="216"/>
      <c r="D1849" s="216"/>
      <c r="E1849" s="216"/>
      <c r="F1849" s="216"/>
      <c r="G1849" s="216"/>
    </row>
    <row r="1850">
      <c r="A1850" s="216"/>
      <c r="B1850" s="216"/>
      <c r="C1850" s="216"/>
      <c r="D1850" s="216"/>
      <c r="E1850" s="216"/>
      <c r="F1850" s="216"/>
      <c r="G1850" s="216"/>
    </row>
    <row r="1851">
      <c r="A1851" s="216"/>
      <c r="B1851" s="216"/>
      <c r="C1851" s="216"/>
      <c r="D1851" s="216"/>
      <c r="E1851" s="216"/>
      <c r="F1851" s="216"/>
      <c r="G1851" s="216"/>
    </row>
    <row r="1852">
      <c r="A1852" s="216"/>
      <c r="B1852" s="216"/>
      <c r="C1852" s="216"/>
      <c r="D1852" s="216"/>
      <c r="E1852" s="216"/>
      <c r="F1852" s="216"/>
      <c r="G1852" s="216"/>
    </row>
    <row r="1853">
      <c r="A1853" s="216"/>
      <c r="B1853" s="216"/>
      <c r="C1853" s="216"/>
      <c r="D1853" s="216"/>
      <c r="E1853" s="216"/>
      <c r="F1853" s="216"/>
      <c r="G1853" s="216"/>
    </row>
    <row r="1854">
      <c r="A1854" s="216"/>
      <c r="B1854" s="216"/>
      <c r="C1854" s="216"/>
      <c r="D1854" s="216"/>
      <c r="E1854" s="216"/>
      <c r="F1854" s="216"/>
      <c r="G1854" s="216"/>
    </row>
    <row r="1855">
      <c r="A1855" s="216"/>
      <c r="B1855" s="216"/>
      <c r="C1855" s="216"/>
      <c r="D1855" s="216"/>
      <c r="E1855" s="216"/>
      <c r="F1855" s="216"/>
      <c r="G1855" s="216"/>
    </row>
    <row r="1856">
      <c r="A1856" s="216"/>
      <c r="B1856" s="216"/>
      <c r="C1856" s="216"/>
      <c r="D1856" s="216"/>
      <c r="E1856" s="216"/>
      <c r="F1856" s="216"/>
      <c r="G1856" s="216"/>
    </row>
    <row r="1857">
      <c r="A1857" s="216"/>
      <c r="B1857" s="216"/>
      <c r="C1857" s="216"/>
      <c r="D1857" s="216"/>
      <c r="E1857" s="216"/>
      <c r="F1857" s="216"/>
      <c r="G1857" s="216"/>
    </row>
    <row r="1858">
      <c r="A1858" s="216"/>
      <c r="B1858" s="216"/>
      <c r="C1858" s="216"/>
      <c r="D1858" s="216"/>
      <c r="E1858" s="216"/>
      <c r="F1858" s="216"/>
      <c r="G1858" s="216"/>
    </row>
    <row r="1859">
      <c r="A1859" s="216"/>
      <c r="B1859" s="216"/>
      <c r="C1859" s="216"/>
      <c r="D1859" s="216"/>
      <c r="E1859" s="216"/>
      <c r="F1859" s="216"/>
      <c r="G1859" s="216"/>
    </row>
    <row r="1860">
      <c r="A1860" s="216"/>
      <c r="B1860" s="216"/>
      <c r="C1860" s="216"/>
      <c r="D1860" s="216"/>
      <c r="E1860" s="216"/>
      <c r="F1860" s="216"/>
      <c r="G1860" s="216"/>
    </row>
    <row r="1861">
      <c r="A1861" s="216"/>
      <c r="B1861" s="216"/>
      <c r="C1861" s="216"/>
      <c r="D1861" s="216"/>
      <c r="E1861" s="216"/>
      <c r="F1861" s="216"/>
      <c r="G1861" s="216"/>
    </row>
    <row r="1862">
      <c r="A1862" s="216"/>
      <c r="B1862" s="216"/>
      <c r="C1862" s="216"/>
      <c r="D1862" s="216"/>
      <c r="E1862" s="216"/>
      <c r="F1862" s="216"/>
      <c r="G1862" s="216"/>
    </row>
    <row r="1863">
      <c r="A1863" s="216"/>
      <c r="B1863" s="216"/>
      <c r="C1863" s="216"/>
      <c r="D1863" s="216"/>
      <c r="E1863" s="216"/>
      <c r="F1863" s="216"/>
      <c r="G1863" s="216"/>
    </row>
    <row r="1864">
      <c r="A1864" s="216"/>
      <c r="B1864" s="216"/>
      <c r="C1864" s="216"/>
      <c r="D1864" s="216"/>
      <c r="E1864" s="216"/>
      <c r="F1864" s="216"/>
      <c r="G1864" s="216"/>
    </row>
    <row r="1865">
      <c r="A1865" s="216"/>
      <c r="B1865" s="216"/>
      <c r="C1865" s="216"/>
      <c r="D1865" s="216"/>
      <c r="E1865" s="216"/>
      <c r="F1865" s="216"/>
      <c r="G1865" s="216"/>
    </row>
    <row r="1866">
      <c r="A1866" s="216"/>
      <c r="B1866" s="216"/>
      <c r="C1866" s="216"/>
      <c r="D1866" s="216"/>
      <c r="E1866" s="216"/>
      <c r="F1866" s="216"/>
      <c r="G1866" s="216"/>
    </row>
    <row r="1867">
      <c r="A1867" s="216"/>
      <c r="B1867" s="216"/>
      <c r="C1867" s="216"/>
      <c r="D1867" s="216"/>
      <c r="E1867" s="216"/>
      <c r="F1867" s="216"/>
      <c r="G1867" s="216"/>
    </row>
    <row r="1868">
      <c r="A1868" s="216"/>
      <c r="B1868" s="216"/>
      <c r="C1868" s="216"/>
      <c r="D1868" s="216"/>
      <c r="E1868" s="216"/>
      <c r="F1868" s="216"/>
      <c r="G1868" s="216"/>
    </row>
    <row r="1869">
      <c r="A1869" s="216"/>
      <c r="B1869" s="216"/>
      <c r="C1869" s="216"/>
      <c r="D1869" s="216"/>
      <c r="E1869" s="216"/>
      <c r="F1869" s="216"/>
      <c r="G1869" s="216"/>
    </row>
    <row r="1870">
      <c r="A1870" s="216"/>
      <c r="B1870" s="216"/>
      <c r="C1870" s="216"/>
      <c r="D1870" s="216"/>
      <c r="E1870" s="216"/>
      <c r="F1870" s="216"/>
      <c r="G1870" s="216"/>
    </row>
    <row r="1871">
      <c r="A1871" s="216"/>
      <c r="B1871" s="216"/>
      <c r="C1871" s="216"/>
      <c r="D1871" s="216"/>
      <c r="E1871" s="216"/>
      <c r="F1871" s="216"/>
      <c r="G1871" s="216"/>
    </row>
    <row r="1872">
      <c r="A1872" s="216"/>
      <c r="B1872" s="216"/>
      <c r="C1872" s="216"/>
      <c r="D1872" s="216"/>
      <c r="E1872" s="216"/>
      <c r="F1872" s="216"/>
      <c r="G1872" s="216"/>
    </row>
    <row r="1873">
      <c r="A1873" s="216"/>
      <c r="B1873" s="216"/>
      <c r="C1873" s="216"/>
      <c r="D1873" s="216"/>
      <c r="E1873" s="216"/>
      <c r="F1873" s="216"/>
      <c r="G1873" s="216"/>
    </row>
    <row r="1874">
      <c r="A1874" s="216"/>
      <c r="B1874" s="216"/>
      <c r="C1874" s="216"/>
      <c r="D1874" s="216"/>
      <c r="E1874" s="216"/>
      <c r="F1874" s="216"/>
      <c r="G1874" s="216"/>
    </row>
    <row r="1875">
      <c r="A1875" s="216"/>
      <c r="B1875" s="216"/>
      <c r="C1875" s="216"/>
      <c r="D1875" s="216"/>
      <c r="E1875" s="216"/>
      <c r="F1875" s="216"/>
      <c r="G1875" s="216"/>
    </row>
    <row r="1876">
      <c r="A1876" s="216"/>
      <c r="B1876" s="216"/>
      <c r="C1876" s="216"/>
      <c r="D1876" s="216"/>
      <c r="E1876" s="216"/>
      <c r="F1876" s="216"/>
      <c r="G1876" s="216"/>
    </row>
    <row r="1877">
      <c r="A1877" s="216"/>
      <c r="B1877" s="216"/>
      <c r="C1877" s="216"/>
      <c r="D1877" s="216"/>
      <c r="E1877" s="216"/>
      <c r="F1877" s="216"/>
      <c r="G1877" s="216"/>
    </row>
    <row r="1878">
      <c r="A1878" s="216"/>
      <c r="B1878" s="216"/>
      <c r="C1878" s="216"/>
      <c r="D1878" s="216"/>
      <c r="E1878" s="216"/>
      <c r="F1878" s="216"/>
      <c r="G1878" s="216"/>
    </row>
    <row r="1879">
      <c r="A1879" s="216"/>
      <c r="B1879" s="216"/>
      <c r="C1879" s="216"/>
      <c r="D1879" s="216"/>
      <c r="E1879" s="216"/>
      <c r="F1879" s="216"/>
      <c r="G1879" s="216"/>
    </row>
    <row r="1880">
      <c r="A1880" s="216"/>
      <c r="B1880" s="216"/>
      <c r="C1880" s="216"/>
      <c r="D1880" s="216"/>
      <c r="E1880" s="216"/>
      <c r="F1880" s="216"/>
      <c r="G1880" s="216"/>
    </row>
    <row r="1881">
      <c r="A1881" s="216"/>
      <c r="B1881" s="216"/>
      <c r="C1881" s="216"/>
      <c r="D1881" s="216"/>
      <c r="E1881" s="216"/>
      <c r="F1881" s="216"/>
      <c r="G1881" s="216"/>
    </row>
    <row r="1882">
      <c r="A1882" s="216"/>
      <c r="B1882" s="216"/>
      <c r="C1882" s="216"/>
      <c r="D1882" s="216"/>
      <c r="E1882" s="216"/>
      <c r="F1882" s="216"/>
      <c r="G1882" s="216"/>
    </row>
    <row r="1883">
      <c r="A1883" s="216"/>
      <c r="B1883" s="216"/>
      <c r="C1883" s="216"/>
      <c r="D1883" s="216"/>
      <c r="E1883" s="216"/>
      <c r="F1883" s="216"/>
      <c r="G1883" s="216"/>
    </row>
    <row r="1884">
      <c r="A1884" s="216"/>
      <c r="B1884" s="216"/>
      <c r="C1884" s="216"/>
      <c r="D1884" s="216"/>
      <c r="E1884" s="216"/>
      <c r="F1884" s="216"/>
      <c r="G1884" s="216"/>
    </row>
    <row r="1885">
      <c r="A1885" s="216"/>
      <c r="B1885" s="216"/>
      <c r="C1885" s="216"/>
      <c r="D1885" s="216"/>
      <c r="E1885" s="216"/>
      <c r="F1885" s="216"/>
      <c r="G1885" s="216"/>
    </row>
    <row r="1886">
      <c r="A1886" s="216"/>
      <c r="B1886" s="216"/>
      <c r="C1886" s="216"/>
      <c r="D1886" s="216"/>
      <c r="E1886" s="216"/>
      <c r="F1886" s="216"/>
      <c r="G1886" s="216"/>
    </row>
    <row r="1887">
      <c r="A1887" s="216"/>
      <c r="B1887" s="216"/>
      <c r="C1887" s="216"/>
      <c r="D1887" s="216"/>
      <c r="E1887" s="216"/>
      <c r="F1887" s="216"/>
      <c r="G1887" s="216"/>
    </row>
    <row r="1888">
      <c r="A1888" s="216"/>
      <c r="B1888" s="216"/>
      <c r="C1888" s="216"/>
      <c r="D1888" s="216"/>
      <c r="E1888" s="216"/>
      <c r="F1888" s="216"/>
      <c r="G1888" s="216"/>
    </row>
    <row r="1889">
      <c r="A1889" s="216"/>
      <c r="B1889" s="216"/>
      <c r="C1889" s="216"/>
      <c r="D1889" s="216"/>
      <c r="E1889" s="216"/>
      <c r="F1889" s="216"/>
      <c r="G1889" s="216"/>
    </row>
    <row r="1890">
      <c r="A1890" s="216"/>
      <c r="B1890" s="216"/>
      <c r="C1890" s="216"/>
      <c r="D1890" s="216"/>
      <c r="E1890" s="216"/>
      <c r="F1890" s="216"/>
      <c r="G1890" s="216"/>
    </row>
    <row r="1891">
      <c r="A1891" s="216"/>
      <c r="B1891" s="216"/>
      <c r="C1891" s="216"/>
      <c r="D1891" s="216"/>
      <c r="E1891" s="216"/>
      <c r="F1891" s="216"/>
      <c r="G1891" s="216"/>
    </row>
    <row r="1892">
      <c r="A1892" s="216"/>
      <c r="B1892" s="216"/>
      <c r="C1892" s="216"/>
      <c r="D1892" s="216"/>
      <c r="E1892" s="216"/>
      <c r="F1892" s="216"/>
      <c r="G1892" s="216"/>
    </row>
    <row r="1893">
      <c r="A1893" s="216"/>
      <c r="B1893" s="216"/>
      <c r="C1893" s="216"/>
      <c r="D1893" s="216"/>
      <c r="E1893" s="216"/>
      <c r="F1893" s="216"/>
      <c r="G1893" s="216"/>
    </row>
    <row r="1894">
      <c r="A1894" s="216"/>
      <c r="B1894" s="216"/>
      <c r="C1894" s="216"/>
      <c r="D1894" s="216"/>
      <c r="E1894" s="216"/>
      <c r="F1894" s="216"/>
      <c r="G1894" s="216"/>
    </row>
    <row r="1895">
      <c r="A1895" s="216"/>
      <c r="B1895" s="216"/>
      <c r="C1895" s="216"/>
      <c r="D1895" s="216"/>
      <c r="E1895" s="216"/>
      <c r="F1895" s="216"/>
      <c r="G1895" s="216"/>
    </row>
    <row r="1896">
      <c r="A1896" s="216"/>
      <c r="B1896" s="216"/>
      <c r="C1896" s="216"/>
      <c r="D1896" s="216"/>
      <c r="E1896" s="216"/>
      <c r="F1896" s="216"/>
      <c r="G1896" s="216"/>
    </row>
    <row r="1897">
      <c r="A1897" s="216"/>
      <c r="B1897" s="216"/>
      <c r="C1897" s="216"/>
      <c r="D1897" s="216"/>
      <c r="E1897" s="216"/>
      <c r="F1897" s="216"/>
      <c r="G1897" s="216"/>
    </row>
    <row r="1898">
      <c r="A1898" s="216"/>
      <c r="B1898" s="216"/>
      <c r="C1898" s="216"/>
      <c r="D1898" s="216"/>
      <c r="E1898" s="216"/>
      <c r="F1898" s="216"/>
      <c r="G1898" s="216"/>
    </row>
    <row r="1899">
      <c r="A1899" s="216"/>
      <c r="B1899" s="216"/>
      <c r="C1899" s="216"/>
      <c r="D1899" s="216"/>
      <c r="E1899" s="216"/>
      <c r="F1899" s="216"/>
      <c r="G1899" s="216"/>
    </row>
    <row r="1900">
      <c r="A1900" s="216"/>
      <c r="B1900" s="216"/>
      <c r="C1900" s="216"/>
      <c r="D1900" s="216"/>
      <c r="E1900" s="216"/>
      <c r="F1900" s="216"/>
      <c r="G1900" s="216"/>
    </row>
    <row r="1901">
      <c r="A1901" s="216"/>
      <c r="B1901" s="216"/>
      <c r="C1901" s="216"/>
      <c r="D1901" s="216"/>
      <c r="E1901" s="216"/>
      <c r="F1901" s="216"/>
      <c r="G1901" s="216"/>
    </row>
    <row r="1902">
      <c r="A1902" s="216"/>
      <c r="B1902" s="216"/>
      <c r="C1902" s="216"/>
      <c r="D1902" s="216"/>
      <c r="E1902" s="216"/>
      <c r="F1902" s="216"/>
      <c r="G1902" s="216"/>
    </row>
    <row r="1903">
      <c r="A1903" s="216"/>
      <c r="B1903" s="216"/>
      <c r="C1903" s="216"/>
      <c r="D1903" s="216"/>
      <c r="E1903" s="216"/>
      <c r="F1903" s="216"/>
      <c r="G1903" s="216"/>
    </row>
    <row r="1904">
      <c r="A1904" s="216"/>
      <c r="B1904" s="216"/>
      <c r="C1904" s="216"/>
      <c r="D1904" s="216"/>
      <c r="E1904" s="216"/>
      <c r="F1904" s="216"/>
      <c r="G1904" s="216"/>
    </row>
    <row r="1905">
      <c r="A1905" s="216"/>
      <c r="B1905" s="216"/>
      <c r="C1905" s="216"/>
      <c r="D1905" s="216"/>
      <c r="E1905" s="216"/>
      <c r="F1905" s="216"/>
      <c r="G1905" s="216"/>
    </row>
    <row r="1906">
      <c r="A1906" s="216"/>
      <c r="B1906" s="216"/>
      <c r="C1906" s="216"/>
      <c r="D1906" s="216"/>
      <c r="E1906" s="216"/>
      <c r="F1906" s="216"/>
      <c r="G1906" s="216"/>
    </row>
    <row r="1907">
      <c r="A1907" s="216"/>
      <c r="B1907" s="216"/>
      <c r="C1907" s="216"/>
      <c r="D1907" s="216"/>
      <c r="E1907" s="216"/>
      <c r="F1907" s="216"/>
      <c r="G1907" s="216"/>
    </row>
    <row r="1908">
      <c r="A1908" s="216"/>
      <c r="B1908" s="216"/>
      <c r="C1908" s="216"/>
      <c r="D1908" s="216"/>
      <c r="E1908" s="216"/>
      <c r="F1908" s="216"/>
      <c r="G1908" s="216"/>
    </row>
    <row r="1909">
      <c r="A1909" s="216"/>
      <c r="B1909" s="216"/>
      <c r="C1909" s="216"/>
      <c r="D1909" s="216"/>
      <c r="E1909" s="216"/>
      <c r="F1909" s="216"/>
      <c r="G1909" s="216"/>
    </row>
    <row r="1910">
      <c r="A1910" s="216"/>
      <c r="B1910" s="216"/>
      <c r="C1910" s="216"/>
      <c r="D1910" s="216"/>
      <c r="E1910" s="216"/>
      <c r="F1910" s="216"/>
      <c r="G1910" s="216"/>
    </row>
    <row r="1911">
      <c r="A1911" s="216"/>
      <c r="B1911" s="216"/>
      <c r="C1911" s="216"/>
      <c r="D1911" s="216"/>
      <c r="E1911" s="216"/>
      <c r="F1911" s="216"/>
      <c r="G1911" s="216"/>
    </row>
    <row r="1912">
      <c r="A1912" s="216"/>
      <c r="B1912" s="216"/>
      <c r="C1912" s="216"/>
      <c r="D1912" s="216"/>
      <c r="E1912" s="216"/>
      <c r="F1912" s="216"/>
      <c r="G1912" s="216"/>
    </row>
    <row r="1913">
      <c r="A1913" s="216"/>
      <c r="B1913" s="216"/>
      <c r="C1913" s="216"/>
      <c r="D1913" s="216"/>
      <c r="E1913" s="216"/>
      <c r="F1913" s="216"/>
      <c r="G1913" s="216"/>
    </row>
    <row r="1914">
      <c r="A1914" s="216"/>
      <c r="B1914" s="216"/>
      <c r="C1914" s="216"/>
      <c r="D1914" s="216"/>
      <c r="E1914" s="216"/>
      <c r="F1914" s="216"/>
      <c r="G1914" s="216"/>
    </row>
    <row r="1915">
      <c r="A1915" s="216"/>
      <c r="B1915" s="216"/>
      <c r="C1915" s="216"/>
      <c r="D1915" s="216"/>
      <c r="E1915" s="216"/>
      <c r="F1915" s="216"/>
      <c r="G1915" s="216"/>
    </row>
    <row r="1916">
      <c r="A1916" s="216"/>
      <c r="B1916" s="216"/>
      <c r="C1916" s="216"/>
      <c r="D1916" s="216"/>
      <c r="E1916" s="216"/>
      <c r="F1916" s="216"/>
      <c r="G1916" s="216"/>
    </row>
    <row r="1917">
      <c r="A1917" s="216"/>
      <c r="B1917" s="216"/>
      <c r="C1917" s="216"/>
      <c r="D1917" s="216"/>
      <c r="E1917" s="216"/>
      <c r="F1917" s="216"/>
      <c r="G1917" s="216"/>
    </row>
    <row r="1918">
      <c r="A1918" s="216"/>
      <c r="B1918" s="216"/>
      <c r="C1918" s="216"/>
      <c r="D1918" s="216"/>
      <c r="E1918" s="216"/>
      <c r="F1918" s="216"/>
      <c r="G1918" s="216"/>
    </row>
    <row r="1919">
      <c r="A1919" s="216"/>
      <c r="B1919" s="216"/>
      <c r="C1919" s="216"/>
      <c r="D1919" s="216"/>
      <c r="E1919" s="216"/>
      <c r="F1919" s="216"/>
      <c r="G1919" s="216"/>
    </row>
    <row r="1920">
      <c r="A1920" s="216"/>
      <c r="B1920" s="216"/>
      <c r="C1920" s="216"/>
      <c r="D1920" s="216"/>
      <c r="E1920" s="216"/>
      <c r="F1920" s="216"/>
      <c r="G1920" s="216"/>
    </row>
    <row r="1921">
      <c r="A1921" s="216"/>
      <c r="B1921" s="216"/>
      <c r="C1921" s="216"/>
      <c r="D1921" s="216"/>
      <c r="E1921" s="216"/>
      <c r="F1921" s="216"/>
      <c r="G1921" s="216"/>
    </row>
    <row r="1922">
      <c r="A1922" s="216"/>
      <c r="B1922" s="216"/>
      <c r="C1922" s="216"/>
      <c r="D1922" s="216"/>
      <c r="E1922" s="216"/>
      <c r="F1922" s="216"/>
      <c r="G1922" s="216"/>
    </row>
    <row r="1923">
      <c r="A1923" s="216"/>
      <c r="B1923" s="216"/>
      <c r="C1923" s="216"/>
      <c r="D1923" s="216"/>
      <c r="E1923" s="216"/>
      <c r="F1923" s="216"/>
      <c r="G1923" s="216"/>
    </row>
    <row r="1924">
      <c r="A1924" s="216"/>
      <c r="B1924" s="216"/>
      <c r="C1924" s="216"/>
      <c r="D1924" s="216"/>
      <c r="E1924" s="216"/>
      <c r="F1924" s="216"/>
      <c r="G1924" s="216"/>
    </row>
    <row r="1925">
      <c r="A1925" s="216"/>
      <c r="B1925" s="216"/>
      <c r="C1925" s="216"/>
      <c r="D1925" s="216"/>
      <c r="E1925" s="216"/>
      <c r="F1925" s="216"/>
      <c r="G1925" s="216"/>
    </row>
    <row r="1926">
      <c r="A1926" s="216"/>
      <c r="B1926" s="216"/>
      <c r="C1926" s="216"/>
      <c r="D1926" s="216"/>
      <c r="E1926" s="216"/>
      <c r="F1926" s="216"/>
      <c r="G1926" s="216"/>
    </row>
    <row r="1927">
      <c r="A1927" s="216"/>
      <c r="B1927" s="216"/>
      <c r="C1927" s="216"/>
      <c r="D1927" s="216"/>
      <c r="E1927" s="216"/>
      <c r="F1927" s="216"/>
      <c r="G1927" s="216"/>
    </row>
    <row r="1928">
      <c r="A1928" s="216"/>
      <c r="B1928" s="216"/>
      <c r="C1928" s="216"/>
      <c r="D1928" s="216"/>
      <c r="E1928" s="216"/>
      <c r="F1928" s="216"/>
      <c r="G1928" s="216"/>
    </row>
    <row r="1929">
      <c r="A1929" s="216"/>
      <c r="B1929" s="216"/>
      <c r="C1929" s="216"/>
      <c r="D1929" s="216"/>
      <c r="E1929" s="216"/>
      <c r="F1929" s="216"/>
      <c r="G1929" s="216"/>
    </row>
    <row r="1930">
      <c r="A1930" s="216"/>
      <c r="B1930" s="216"/>
      <c r="C1930" s="216"/>
      <c r="D1930" s="216"/>
      <c r="E1930" s="216"/>
      <c r="F1930" s="216"/>
      <c r="G1930" s="216"/>
    </row>
    <row r="1931">
      <c r="A1931" s="216"/>
      <c r="B1931" s="216"/>
      <c r="C1931" s="216"/>
      <c r="D1931" s="216"/>
      <c r="E1931" s="216"/>
      <c r="F1931" s="216"/>
      <c r="G1931" s="216"/>
    </row>
    <row r="1932">
      <c r="A1932" s="216"/>
      <c r="B1932" s="216"/>
      <c r="C1932" s="216"/>
      <c r="D1932" s="216"/>
      <c r="E1932" s="216"/>
      <c r="F1932" s="216"/>
      <c r="G1932" s="216"/>
    </row>
    <row r="1933">
      <c r="A1933" s="216"/>
      <c r="B1933" s="216"/>
      <c r="C1933" s="216"/>
      <c r="D1933" s="216"/>
      <c r="E1933" s="216"/>
      <c r="F1933" s="216"/>
      <c r="G1933" s="216"/>
    </row>
    <row r="1934">
      <c r="A1934" s="216"/>
      <c r="B1934" s="216"/>
      <c r="C1934" s="216"/>
      <c r="D1934" s="216"/>
      <c r="E1934" s="216"/>
      <c r="F1934" s="216"/>
      <c r="G1934" s="216"/>
    </row>
    <row r="1935">
      <c r="A1935" s="216"/>
      <c r="B1935" s="216"/>
      <c r="C1935" s="216"/>
      <c r="D1935" s="216"/>
      <c r="E1935" s="216"/>
      <c r="F1935" s="216"/>
      <c r="G1935" s="216"/>
    </row>
    <row r="1936">
      <c r="A1936" s="216"/>
      <c r="B1936" s="216"/>
      <c r="C1936" s="216"/>
      <c r="D1936" s="216"/>
      <c r="E1936" s="216"/>
      <c r="F1936" s="216"/>
      <c r="G1936" s="216"/>
    </row>
    <row r="1937">
      <c r="A1937" s="216"/>
      <c r="B1937" s="216"/>
      <c r="C1937" s="216"/>
      <c r="D1937" s="216"/>
      <c r="E1937" s="216"/>
      <c r="F1937" s="216"/>
      <c r="G1937" s="216"/>
    </row>
    <row r="1938">
      <c r="A1938" s="216"/>
      <c r="B1938" s="216"/>
      <c r="C1938" s="216"/>
      <c r="D1938" s="216"/>
      <c r="E1938" s="216"/>
      <c r="F1938" s="216"/>
      <c r="G1938" s="216"/>
    </row>
    <row r="1939">
      <c r="A1939" s="216"/>
      <c r="B1939" s="216"/>
      <c r="C1939" s="216"/>
      <c r="D1939" s="216"/>
      <c r="E1939" s="216"/>
      <c r="F1939" s="216"/>
      <c r="G1939" s="216"/>
    </row>
    <row r="1940">
      <c r="A1940" s="216"/>
      <c r="B1940" s="216"/>
      <c r="C1940" s="216"/>
      <c r="D1940" s="216"/>
      <c r="E1940" s="216"/>
      <c r="F1940" s="216"/>
      <c r="G1940" s="216"/>
    </row>
    <row r="1941">
      <c r="A1941" s="216"/>
      <c r="B1941" s="216"/>
      <c r="C1941" s="216"/>
      <c r="D1941" s="216"/>
      <c r="E1941" s="216"/>
      <c r="F1941" s="216"/>
      <c r="G1941" s="216"/>
    </row>
    <row r="1942">
      <c r="A1942" s="216"/>
      <c r="B1942" s="216"/>
      <c r="C1942" s="216"/>
      <c r="D1942" s="216"/>
      <c r="E1942" s="216"/>
      <c r="F1942" s="216"/>
      <c r="G1942" s="216"/>
    </row>
    <row r="1943">
      <c r="A1943" s="216"/>
      <c r="B1943" s="216"/>
      <c r="C1943" s="216"/>
      <c r="D1943" s="216"/>
      <c r="E1943" s="216"/>
      <c r="F1943" s="216"/>
      <c r="G1943" s="216"/>
    </row>
    <row r="1944">
      <c r="A1944" s="216"/>
      <c r="B1944" s="216"/>
      <c r="C1944" s="216"/>
      <c r="D1944" s="216"/>
      <c r="E1944" s="216"/>
      <c r="F1944" s="216"/>
      <c r="G1944" s="216"/>
    </row>
    <row r="1945">
      <c r="A1945" s="216"/>
      <c r="B1945" s="216"/>
      <c r="C1945" s="216"/>
      <c r="D1945" s="216"/>
      <c r="E1945" s="216"/>
      <c r="F1945" s="216"/>
      <c r="G1945" s="216"/>
    </row>
    <row r="1946">
      <c r="A1946" s="216"/>
      <c r="B1946" s="216"/>
      <c r="C1946" s="216"/>
      <c r="D1946" s="216"/>
      <c r="E1946" s="216"/>
      <c r="F1946" s="216"/>
      <c r="G1946" s="216"/>
    </row>
    <row r="1947">
      <c r="A1947" s="216"/>
      <c r="B1947" s="216"/>
      <c r="C1947" s="216"/>
      <c r="D1947" s="216"/>
      <c r="E1947" s="216"/>
      <c r="F1947" s="216"/>
      <c r="G1947" s="216"/>
    </row>
    <row r="1948">
      <c r="A1948" s="216"/>
      <c r="B1948" s="216"/>
      <c r="C1948" s="216"/>
      <c r="D1948" s="216"/>
      <c r="E1948" s="216"/>
      <c r="F1948" s="216"/>
      <c r="G1948" s="216"/>
    </row>
    <row r="1949">
      <c r="A1949" s="216"/>
      <c r="B1949" s="216"/>
      <c r="C1949" s="216"/>
      <c r="D1949" s="216"/>
      <c r="E1949" s="216"/>
      <c r="F1949" s="216"/>
      <c r="G1949" s="216"/>
    </row>
    <row r="1950">
      <c r="A1950" s="216"/>
      <c r="B1950" s="216"/>
      <c r="C1950" s="216"/>
      <c r="D1950" s="216"/>
      <c r="E1950" s="216"/>
      <c r="F1950" s="216"/>
      <c r="G1950" s="216"/>
    </row>
    <row r="1951">
      <c r="A1951" s="216"/>
      <c r="B1951" s="216"/>
      <c r="C1951" s="216"/>
      <c r="D1951" s="216"/>
      <c r="E1951" s="216"/>
      <c r="F1951" s="216"/>
      <c r="G1951" s="216"/>
    </row>
    <row r="1952">
      <c r="A1952" s="216"/>
      <c r="B1952" s="216"/>
      <c r="C1952" s="216"/>
      <c r="D1952" s="216"/>
      <c r="E1952" s="216"/>
      <c r="F1952" s="216"/>
      <c r="G1952" s="216"/>
    </row>
    <row r="1953">
      <c r="A1953" s="216"/>
      <c r="B1953" s="216"/>
      <c r="C1953" s="216"/>
      <c r="D1953" s="216"/>
      <c r="E1953" s="216"/>
      <c r="F1953" s="216"/>
      <c r="G1953" s="216"/>
    </row>
    <row r="1954">
      <c r="A1954" s="216"/>
      <c r="B1954" s="216"/>
      <c r="C1954" s="216"/>
      <c r="D1954" s="216"/>
      <c r="E1954" s="216"/>
      <c r="F1954" s="216"/>
      <c r="G1954" s="216"/>
    </row>
    <row r="1955">
      <c r="A1955" s="216"/>
      <c r="B1955" s="216"/>
      <c r="C1955" s="216"/>
      <c r="D1955" s="216"/>
      <c r="E1955" s="216"/>
      <c r="F1955" s="216"/>
      <c r="G1955" s="216"/>
    </row>
    <row r="1956">
      <c r="A1956" s="216"/>
      <c r="B1956" s="216"/>
      <c r="C1956" s="216"/>
      <c r="D1956" s="216"/>
      <c r="E1956" s="216"/>
      <c r="F1956" s="216"/>
      <c r="G1956" s="216"/>
    </row>
    <row r="1957">
      <c r="A1957" s="216"/>
      <c r="B1957" s="216"/>
      <c r="C1957" s="216"/>
      <c r="D1957" s="216"/>
      <c r="E1957" s="216"/>
      <c r="F1957" s="216"/>
      <c r="G1957" s="216"/>
    </row>
    <row r="1958">
      <c r="A1958" s="216"/>
      <c r="B1958" s="216"/>
      <c r="C1958" s="216"/>
      <c r="D1958" s="216"/>
      <c r="E1958" s="216"/>
      <c r="F1958" s="216"/>
      <c r="G1958" s="216"/>
    </row>
    <row r="1959">
      <c r="A1959" s="216"/>
      <c r="B1959" s="216"/>
      <c r="C1959" s="216"/>
      <c r="D1959" s="216"/>
      <c r="E1959" s="216"/>
      <c r="F1959" s="216"/>
      <c r="G1959" s="216"/>
    </row>
    <row r="1960">
      <c r="A1960" s="216"/>
      <c r="B1960" s="216"/>
      <c r="C1960" s="216"/>
      <c r="D1960" s="216"/>
      <c r="E1960" s="216"/>
      <c r="F1960" s="216"/>
      <c r="G1960" s="216"/>
    </row>
    <row r="1961">
      <c r="A1961" s="216"/>
      <c r="B1961" s="216"/>
      <c r="C1961" s="216"/>
      <c r="D1961" s="216"/>
      <c r="E1961" s="216"/>
      <c r="F1961" s="216"/>
      <c r="G1961" s="216"/>
    </row>
    <row r="1962">
      <c r="A1962" s="216"/>
      <c r="B1962" s="216"/>
      <c r="C1962" s="216"/>
      <c r="D1962" s="216"/>
      <c r="E1962" s="216"/>
      <c r="F1962" s="216"/>
      <c r="G1962" s="216"/>
    </row>
    <row r="1963">
      <c r="A1963" s="216"/>
      <c r="B1963" s="216"/>
      <c r="C1963" s="216"/>
      <c r="D1963" s="216"/>
      <c r="E1963" s="216"/>
      <c r="F1963" s="216"/>
      <c r="G1963" s="216"/>
    </row>
    <row r="1964">
      <c r="A1964" s="216"/>
      <c r="B1964" s="216"/>
      <c r="C1964" s="216"/>
      <c r="D1964" s="216"/>
      <c r="E1964" s="216"/>
      <c r="F1964" s="216"/>
      <c r="G1964" s="216"/>
    </row>
    <row r="1965">
      <c r="A1965" s="216"/>
      <c r="B1965" s="216"/>
      <c r="C1965" s="216"/>
      <c r="D1965" s="216"/>
      <c r="E1965" s="216"/>
      <c r="F1965" s="216"/>
      <c r="G1965" s="216"/>
    </row>
    <row r="1966">
      <c r="A1966" s="216"/>
      <c r="B1966" s="216"/>
      <c r="C1966" s="216"/>
      <c r="D1966" s="216"/>
      <c r="E1966" s="216"/>
      <c r="F1966" s="216"/>
      <c r="G1966" s="216"/>
    </row>
    <row r="1967">
      <c r="A1967" s="216"/>
      <c r="B1967" s="216"/>
      <c r="C1967" s="216"/>
      <c r="D1967" s="216"/>
      <c r="E1967" s="216"/>
      <c r="F1967" s="216"/>
      <c r="G1967" s="216"/>
    </row>
    <row r="1968">
      <c r="A1968" s="216"/>
      <c r="B1968" s="216"/>
      <c r="C1968" s="216"/>
      <c r="D1968" s="216"/>
      <c r="E1968" s="216"/>
      <c r="F1968" s="216"/>
      <c r="G1968" s="216"/>
    </row>
    <row r="1969">
      <c r="A1969" s="216"/>
      <c r="B1969" s="216"/>
      <c r="C1969" s="216"/>
      <c r="D1969" s="216"/>
      <c r="E1969" s="216"/>
      <c r="F1969" s="216"/>
      <c r="G1969" s="216"/>
    </row>
    <row r="1970">
      <c r="A1970" s="216"/>
      <c r="B1970" s="216"/>
      <c r="C1970" s="216"/>
      <c r="D1970" s="216"/>
      <c r="E1970" s="216"/>
      <c r="F1970" s="216"/>
      <c r="G1970" s="216"/>
    </row>
    <row r="1971">
      <c r="A1971" s="216"/>
      <c r="B1971" s="216"/>
      <c r="C1971" s="216"/>
      <c r="D1971" s="216"/>
      <c r="E1971" s="216"/>
      <c r="F1971" s="216"/>
      <c r="G1971" s="216"/>
    </row>
    <row r="1972">
      <c r="A1972" s="216"/>
      <c r="B1972" s="216"/>
      <c r="C1972" s="216"/>
      <c r="D1972" s="216"/>
      <c r="E1972" s="216"/>
      <c r="F1972" s="216"/>
      <c r="G1972" s="216"/>
    </row>
    <row r="1973">
      <c r="A1973" s="216"/>
      <c r="B1973" s="216"/>
      <c r="C1973" s="216"/>
      <c r="D1973" s="216"/>
      <c r="E1973" s="216"/>
      <c r="F1973" s="216"/>
      <c r="G1973" s="216"/>
    </row>
    <row r="1974">
      <c r="A1974" s="216"/>
      <c r="B1974" s="216"/>
      <c r="C1974" s="216"/>
      <c r="D1974" s="216"/>
      <c r="E1974" s="216"/>
      <c r="F1974" s="216"/>
      <c r="G1974" s="216"/>
    </row>
    <row r="1975">
      <c r="A1975" s="216"/>
      <c r="B1975" s="216"/>
      <c r="C1975" s="216"/>
      <c r="D1975" s="216"/>
      <c r="E1975" s="216"/>
      <c r="F1975" s="216"/>
      <c r="G1975" s="216"/>
    </row>
    <row r="1976">
      <c r="A1976" s="216"/>
      <c r="B1976" s="216"/>
      <c r="C1976" s="216"/>
      <c r="D1976" s="216"/>
      <c r="E1976" s="216"/>
      <c r="F1976" s="216"/>
      <c r="G1976" s="216"/>
    </row>
    <row r="1977">
      <c r="A1977" s="216"/>
      <c r="B1977" s="216"/>
      <c r="C1977" s="216"/>
      <c r="D1977" s="216"/>
      <c r="E1977" s="216"/>
      <c r="F1977" s="216"/>
      <c r="G1977" s="216"/>
    </row>
    <row r="1978">
      <c r="A1978" s="216"/>
      <c r="B1978" s="216"/>
      <c r="C1978" s="216"/>
      <c r="D1978" s="216"/>
      <c r="E1978" s="216"/>
      <c r="F1978" s="216"/>
      <c r="G1978" s="216"/>
    </row>
    <row r="1979">
      <c r="A1979" s="216"/>
      <c r="B1979" s="216"/>
      <c r="C1979" s="216"/>
      <c r="D1979" s="216"/>
      <c r="E1979" s="216"/>
      <c r="F1979" s="216"/>
      <c r="G1979" s="216"/>
    </row>
    <row r="1980">
      <c r="A1980" s="216"/>
      <c r="B1980" s="216"/>
      <c r="C1980" s="216"/>
      <c r="D1980" s="216"/>
      <c r="E1980" s="216"/>
      <c r="F1980" s="216"/>
      <c r="G1980" s="216"/>
    </row>
    <row r="1981">
      <c r="A1981" s="216"/>
      <c r="B1981" s="216"/>
      <c r="C1981" s="216"/>
      <c r="D1981" s="216"/>
      <c r="E1981" s="216"/>
      <c r="F1981" s="216"/>
      <c r="G1981" s="216"/>
    </row>
    <row r="1982">
      <c r="A1982" s="216"/>
      <c r="B1982" s="216"/>
      <c r="C1982" s="216"/>
      <c r="D1982" s="216"/>
      <c r="E1982" s="216"/>
      <c r="F1982" s="216"/>
      <c r="G1982" s="216"/>
    </row>
    <row r="1983">
      <c r="A1983" s="216"/>
      <c r="B1983" s="216"/>
      <c r="C1983" s="216"/>
      <c r="D1983" s="216"/>
      <c r="E1983" s="216"/>
      <c r="F1983" s="216"/>
      <c r="G1983" s="216"/>
    </row>
    <row r="1984">
      <c r="A1984" s="216"/>
      <c r="B1984" s="216"/>
      <c r="C1984" s="216"/>
      <c r="D1984" s="216"/>
      <c r="E1984" s="216"/>
      <c r="F1984" s="216"/>
      <c r="G1984" s="216"/>
    </row>
    <row r="1985">
      <c r="A1985" s="216"/>
      <c r="B1985" s="216"/>
      <c r="C1985" s="216"/>
      <c r="D1985" s="216"/>
      <c r="E1985" s="216"/>
      <c r="F1985" s="216"/>
      <c r="G1985" s="216"/>
    </row>
    <row r="1986">
      <c r="A1986" s="216"/>
      <c r="B1986" s="216"/>
      <c r="C1986" s="216"/>
      <c r="D1986" s="216"/>
      <c r="E1986" s="216"/>
      <c r="F1986" s="216"/>
      <c r="G1986" s="216"/>
    </row>
    <row r="1987">
      <c r="A1987" s="216"/>
      <c r="B1987" s="216"/>
      <c r="C1987" s="216"/>
      <c r="D1987" s="216"/>
      <c r="E1987" s="216"/>
      <c r="F1987" s="216"/>
      <c r="G1987" s="216"/>
    </row>
    <row r="1988">
      <c r="A1988" s="216"/>
      <c r="B1988" s="216"/>
      <c r="C1988" s="216"/>
      <c r="D1988" s="216"/>
      <c r="E1988" s="216"/>
      <c r="F1988" s="216"/>
      <c r="G1988" s="216"/>
    </row>
    <row r="1989">
      <c r="A1989" s="216"/>
      <c r="B1989" s="216"/>
      <c r="C1989" s="216"/>
      <c r="D1989" s="216"/>
      <c r="E1989" s="216"/>
      <c r="F1989" s="216"/>
      <c r="G1989" s="216"/>
    </row>
    <row r="1990">
      <c r="A1990" s="216"/>
      <c r="B1990" s="216"/>
      <c r="C1990" s="216"/>
      <c r="D1990" s="216"/>
      <c r="E1990" s="216"/>
      <c r="F1990" s="216"/>
      <c r="G1990" s="216"/>
    </row>
    <row r="1991">
      <c r="A1991" s="216"/>
      <c r="B1991" s="216"/>
      <c r="C1991" s="216"/>
      <c r="D1991" s="216"/>
      <c r="E1991" s="216"/>
      <c r="F1991" s="216"/>
      <c r="G1991" s="216"/>
    </row>
    <row r="1992">
      <c r="A1992" s="216"/>
      <c r="B1992" s="216"/>
      <c r="C1992" s="216"/>
      <c r="D1992" s="216"/>
      <c r="E1992" s="216"/>
      <c r="F1992" s="216"/>
      <c r="G1992" s="216"/>
    </row>
    <row r="1993">
      <c r="A1993" s="216"/>
      <c r="B1993" s="216"/>
      <c r="C1993" s="216"/>
      <c r="D1993" s="216"/>
      <c r="E1993" s="216"/>
      <c r="F1993" s="216"/>
      <c r="G1993" s="216"/>
    </row>
    <row r="1994">
      <c r="A1994" s="216"/>
      <c r="B1994" s="216"/>
      <c r="C1994" s="216"/>
      <c r="D1994" s="216"/>
      <c r="E1994" s="216"/>
      <c r="F1994" s="216"/>
      <c r="G1994" s="216"/>
    </row>
    <row r="1995">
      <c r="A1995" s="216"/>
      <c r="B1995" s="216"/>
      <c r="C1995" s="216"/>
      <c r="D1995" s="216"/>
      <c r="E1995" s="216"/>
      <c r="F1995" s="216"/>
      <c r="G1995" s="216"/>
    </row>
    <row r="1996">
      <c r="A1996" s="216"/>
      <c r="B1996" s="216"/>
      <c r="C1996" s="216"/>
      <c r="D1996" s="216"/>
      <c r="E1996" s="216"/>
      <c r="F1996" s="216"/>
      <c r="G1996" s="216"/>
    </row>
    <row r="1997">
      <c r="A1997" s="216"/>
      <c r="B1997" s="216"/>
      <c r="C1997" s="216"/>
      <c r="D1997" s="216"/>
      <c r="E1997" s="216"/>
      <c r="F1997" s="216"/>
      <c r="G1997" s="216"/>
    </row>
    <row r="1998">
      <c r="A1998" s="216"/>
      <c r="B1998" s="216"/>
      <c r="C1998" s="216"/>
      <c r="D1998" s="216"/>
      <c r="E1998" s="216"/>
      <c r="F1998" s="216"/>
      <c r="G1998" s="216"/>
    </row>
    <row r="1999">
      <c r="A1999" s="216"/>
      <c r="B1999" s="216"/>
      <c r="C1999" s="216"/>
      <c r="D1999" s="216"/>
      <c r="E1999" s="216"/>
      <c r="F1999" s="216"/>
      <c r="G1999" s="216"/>
    </row>
    <row r="2000">
      <c r="A2000" s="216"/>
      <c r="B2000" s="216"/>
      <c r="C2000" s="216"/>
      <c r="D2000" s="216"/>
      <c r="E2000" s="216"/>
      <c r="F2000" s="216"/>
      <c r="G2000" s="21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40.0"/>
    <col customWidth="1" min="3" max="3" width="18.5"/>
    <col customWidth="1" min="4" max="4" width="24.25"/>
    <col customWidth="1" min="5" max="5" width="12.63"/>
  </cols>
  <sheetData>
    <row r="1">
      <c r="A1" s="259" t="s">
        <v>6</v>
      </c>
      <c r="B1" s="259" t="s">
        <v>6516</v>
      </c>
      <c r="C1" s="259" t="s">
        <v>6517</v>
      </c>
      <c r="D1" s="259" t="s">
        <v>205</v>
      </c>
      <c r="E1" s="260"/>
      <c r="F1" s="260"/>
      <c r="G1" s="260"/>
      <c r="H1" s="100"/>
    </row>
    <row r="2">
      <c r="A2" s="115" t="s">
        <v>6518</v>
      </c>
      <c r="B2" s="261" t="s">
        <v>206</v>
      </c>
      <c r="C2" s="262" t="s">
        <v>6519</v>
      </c>
      <c r="D2" s="263"/>
      <c r="E2" s="264"/>
      <c r="F2" s="264"/>
      <c r="G2" s="264"/>
    </row>
    <row r="3">
      <c r="A3" s="43">
        <v>1.0</v>
      </c>
      <c r="B3" s="106" t="s">
        <v>179</v>
      </c>
      <c r="C3" s="106" t="str">
        <f t="shared" ref="C3:C102" si="1">E3&amp;"/"&amp;F3&amp;"/"&amp;G3</f>
        <v>B.2/0001/2020</v>
      </c>
      <c r="D3" s="106"/>
      <c r="E3" s="264" t="s">
        <v>6518</v>
      </c>
      <c r="F3" s="260" t="s">
        <v>6520</v>
      </c>
      <c r="G3" s="260">
        <v>2020.0</v>
      </c>
      <c r="H3" s="100"/>
    </row>
    <row r="4">
      <c r="A4" s="115">
        <f t="shared" ref="A4:A102" si="2">A3+1</f>
        <v>2</v>
      </c>
      <c r="B4" s="86" t="s">
        <v>179</v>
      </c>
      <c r="C4" s="86" t="str">
        <f t="shared" si="1"/>
        <v>B.2/0002/2020</v>
      </c>
      <c r="D4" s="86"/>
      <c r="E4" s="264" t="s">
        <v>6518</v>
      </c>
      <c r="F4" s="260" t="s">
        <v>6521</v>
      </c>
      <c r="G4" s="260">
        <v>2020.0</v>
      </c>
      <c r="H4" s="100"/>
    </row>
    <row r="5">
      <c r="A5" s="115">
        <f t="shared" si="2"/>
        <v>3</v>
      </c>
      <c r="B5" s="86" t="s">
        <v>179</v>
      </c>
      <c r="C5" s="86" t="str">
        <f t="shared" si="1"/>
        <v>B.2/0003/2020</v>
      </c>
      <c r="D5" s="86"/>
      <c r="E5" s="264" t="s">
        <v>6518</v>
      </c>
      <c r="F5" s="264" t="s">
        <v>6522</v>
      </c>
      <c r="G5" s="264">
        <v>2020.0</v>
      </c>
    </row>
    <row r="6">
      <c r="A6" s="115">
        <f t="shared" si="2"/>
        <v>4</v>
      </c>
      <c r="B6" s="86" t="s">
        <v>179</v>
      </c>
      <c r="C6" s="86" t="str">
        <f t="shared" si="1"/>
        <v>B.2/0004/2020</v>
      </c>
      <c r="D6" s="86"/>
      <c r="E6" s="264" t="s">
        <v>6518</v>
      </c>
      <c r="F6" s="264" t="s">
        <v>6523</v>
      </c>
      <c r="G6" s="264">
        <v>2020.0</v>
      </c>
    </row>
    <row r="7">
      <c r="A7" s="115">
        <f t="shared" si="2"/>
        <v>5</v>
      </c>
      <c r="B7" s="86" t="s">
        <v>179</v>
      </c>
      <c r="C7" s="86" t="str">
        <f t="shared" si="1"/>
        <v>B.2/0005/2020</v>
      </c>
      <c r="D7" s="86"/>
      <c r="E7" s="264" t="s">
        <v>6518</v>
      </c>
      <c r="F7" s="264" t="s">
        <v>6524</v>
      </c>
      <c r="G7" s="264">
        <v>2020.0</v>
      </c>
    </row>
    <row r="8">
      <c r="A8" s="115">
        <f t="shared" si="2"/>
        <v>6</v>
      </c>
      <c r="B8" s="86" t="s">
        <v>179</v>
      </c>
      <c r="C8" s="86" t="str">
        <f t="shared" si="1"/>
        <v>B.2/0006/2020</v>
      </c>
      <c r="D8" s="86"/>
      <c r="E8" s="264" t="s">
        <v>6518</v>
      </c>
      <c r="F8" s="264" t="s">
        <v>6525</v>
      </c>
      <c r="G8" s="264">
        <v>2020.0</v>
      </c>
    </row>
    <row r="9">
      <c r="A9" s="115">
        <f t="shared" si="2"/>
        <v>7</v>
      </c>
      <c r="B9" s="86" t="s">
        <v>179</v>
      </c>
      <c r="C9" s="86" t="str">
        <f t="shared" si="1"/>
        <v>B.2/0007/2020</v>
      </c>
      <c r="D9" s="86"/>
      <c r="E9" s="264" t="s">
        <v>6518</v>
      </c>
      <c r="F9" s="264" t="s">
        <v>6526</v>
      </c>
      <c r="G9" s="264">
        <v>2020.0</v>
      </c>
    </row>
    <row r="10">
      <c r="A10" s="115">
        <f t="shared" si="2"/>
        <v>8</v>
      </c>
      <c r="B10" s="86" t="s">
        <v>179</v>
      </c>
      <c r="C10" s="86" t="str">
        <f t="shared" si="1"/>
        <v>B.2/0008/2020</v>
      </c>
      <c r="D10" s="86"/>
      <c r="E10" s="264" t="s">
        <v>6518</v>
      </c>
      <c r="F10" s="264" t="s">
        <v>6527</v>
      </c>
      <c r="G10" s="264">
        <v>2020.0</v>
      </c>
    </row>
    <row r="11">
      <c r="A11" s="115">
        <f t="shared" si="2"/>
        <v>9</v>
      </c>
      <c r="B11" s="86" t="s">
        <v>179</v>
      </c>
      <c r="C11" s="86" t="str">
        <f t="shared" si="1"/>
        <v>B.2/0009/2020</v>
      </c>
      <c r="D11" s="86"/>
      <c r="E11" s="264" t="s">
        <v>6518</v>
      </c>
      <c r="F11" s="264" t="s">
        <v>6528</v>
      </c>
      <c r="G11" s="264">
        <v>2020.0</v>
      </c>
    </row>
    <row r="12">
      <c r="A12" s="115">
        <f t="shared" si="2"/>
        <v>10</v>
      </c>
      <c r="B12" s="86" t="s">
        <v>6529</v>
      </c>
      <c r="C12" s="86" t="str">
        <f t="shared" si="1"/>
        <v>B.2/0010/2020</v>
      </c>
      <c r="D12" s="86"/>
      <c r="E12" s="264" t="s">
        <v>6518</v>
      </c>
      <c r="F12" s="264" t="s">
        <v>6530</v>
      </c>
      <c r="G12" s="264">
        <v>2020.0</v>
      </c>
    </row>
    <row r="13">
      <c r="A13" s="115">
        <f t="shared" si="2"/>
        <v>11</v>
      </c>
      <c r="B13" s="86" t="s">
        <v>6529</v>
      </c>
      <c r="C13" s="86" t="str">
        <f t="shared" si="1"/>
        <v>B.2/0011/2020</v>
      </c>
      <c r="D13" s="86"/>
      <c r="E13" s="264" t="s">
        <v>6518</v>
      </c>
      <c r="F13" s="264" t="s">
        <v>6531</v>
      </c>
      <c r="G13" s="264">
        <v>2020.0</v>
      </c>
    </row>
    <row r="14">
      <c r="A14" s="115">
        <f t="shared" si="2"/>
        <v>12</v>
      </c>
      <c r="B14" s="86" t="s">
        <v>6529</v>
      </c>
      <c r="C14" s="86" t="str">
        <f t="shared" si="1"/>
        <v>B.2/0012/2020</v>
      </c>
      <c r="D14" s="86"/>
      <c r="E14" s="264" t="s">
        <v>6518</v>
      </c>
      <c r="F14" s="264" t="s">
        <v>6532</v>
      </c>
      <c r="G14" s="264">
        <v>2020.0</v>
      </c>
    </row>
    <row r="15">
      <c r="A15" s="115">
        <f t="shared" si="2"/>
        <v>13</v>
      </c>
      <c r="B15" s="86" t="s">
        <v>6533</v>
      </c>
      <c r="C15" s="86" t="str">
        <f t="shared" si="1"/>
        <v>B.2/0013/2020</v>
      </c>
      <c r="D15" s="86"/>
      <c r="E15" s="264" t="s">
        <v>6518</v>
      </c>
      <c r="F15" s="264" t="s">
        <v>6534</v>
      </c>
      <c r="G15" s="264">
        <v>2020.0</v>
      </c>
    </row>
    <row r="16">
      <c r="A16" s="115">
        <f t="shared" si="2"/>
        <v>14</v>
      </c>
      <c r="B16" s="86" t="s">
        <v>6533</v>
      </c>
      <c r="C16" s="86" t="str">
        <f t="shared" si="1"/>
        <v>B.2/0014/2020</v>
      </c>
      <c r="D16" s="86"/>
      <c r="E16" s="264" t="s">
        <v>6518</v>
      </c>
      <c r="F16" s="264" t="s">
        <v>6535</v>
      </c>
      <c r="G16" s="264">
        <v>2020.0</v>
      </c>
    </row>
    <row r="17">
      <c r="A17" s="115">
        <f t="shared" si="2"/>
        <v>15</v>
      </c>
      <c r="B17" s="86" t="s">
        <v>6533</v>
      </c>
      <c r="C17" s="86" t="str">
        <f t="shared" si="1"/>
        <v>B.2/0015/2020</v>
      </c>
      <c r="D17" s="86"/>
      <c r="E17" s="264" t="s">
        <v>6518</v>
      </c>
      <c r="F17" s="264" t="s">
        <v>6536</v>
      </c>
      <c r="G17" s="264">
        <v>2020.0</v>
      </c>
    </row>
    <row r="18">
      <c r="A18" s="115">
        <f t="shared" si="2"/>
        <v>16</v>
      </c>
      <c r="B18" s="86" t="s">
        <v>6533</v>
      </c>
      <c r="C18" s="86" t="str">
        <f t="shared" si="1"/>
        <v>B.2/0016/2020</v>
      </c>
      <c r="D18" s="86"/>
      <c r="E18" s="264" t="s">
        <v>6518</v>
      </c>
      <c r="F18" s="264" t="s">
        <v>6537</v>
      </c>
      <c r="G18" s="264">
        <v>2020.0</v>
      </c>
    </row>
    <row r="19">
      <c r="A19" s="115">
        <f t="shared" si="2"/>
        <v>17</v>
      </c>
      <c r="B19" s="86" t="s">
        <v>6533</v>
      </c>
      <c r="C19" s="86" t="str">
        <f t="shared" si="1"/>
        <v>B.2/0017/2020</v>
      </c>
      <c r="D19" s="86"/>
      <c r="E19" s="264" t="s">
        <v>6518</v>
      </c>
      <c r="F19" s="264" t="s">
        <v>6538</v>
      </c>
      <c r="G19" s="264">
        <v>2020.0</v>
      </c>
    </row>
    <row r="20">
      <c r="A20" s="115">
        <f t="shared" si="2"/>
        <v>18</v>
      </c>
      <c r="B20" s="86" t="s">
        <v>6533</v>
      </c>
      <c r="C20" s="86" t="str">
        <f t="shared" si="1"/>
        <v>B.2/0018/2020</v>
      </c>
      <c r="D20" s="86"/>
      <c r="E20" s="264" t="s">
        <v>6518</v>
      </c>
      <c r="F20" s="264" t="s">
        <v>6539</v>
      </c>
      <c r="G20" s="264">
        <v>2020.0</v>
      </c>
    </row>
    <row r="21">
      <c r="A21" s="115">
        <f t="shared" si="2"/>
        <v>19</v>
      </c>
      <c r="B21" s="86" t="s">
        <v>6533</v>
      </c>
      <c r="C21" s="86" t="str">
        <f t="shared" si="1"/>
        <v>B.2/0019/2020</v>
      </c>
      <c r="D21" s="86"/>
      <c r="E21" s="264" t="s">
        <v>6518</v>
      </c>
      <c r="F21" s="264" t="s">
        <v>6540</v>
      </c>
      <c r="G21" s="264">
        <v>2020.0</v>
      </c>
    </row>
    <row r="22">
      <c r="A22" s="115">
        <f t="shared" si="2"/>
        <v>20</v>
      </c>
      <c r="B22" s="86" t="s">
        <v>6533</v>
      </c>
      <c r="C22" s="86" t="str">
        <f t="shared" si="1"/>
        <v>B.2/0020/2020</v>
      </c>
      <c r="D22" s="86"/>
      <c r="E22" s="264" t="s">
        <v>6518</v>
      </c>
      <c r="F22" s="264" t="s">
        <v>6541</v>
      </c>
      <c r="G22" s="264">
        <v>2020.0</v>
      </c>
    </row>
    <row r="23">
      <c r="A23" s="115">
        <f t="shared" si="2"/>
        <v>21</v>
      </c>
      <c r="B23" s="86" t="s">
        <v>6533</v>
      </c>
      <c r="C23" s="86" t="str">
        <f t="shared" si="1"/>
        <v>B.2/0021/2020</v>
      </c>
      <c r="D23" s="86"/>
      <c r="E23" s="264" t="s">
        <v>6518</v>
      </c>
      <c r="F23" s="264" t="s">
        <v>6542</v>
      </c>
      <c r="G23" s="264">
        <v>2020.0</v>
      </c>
    </row>
    <row r="24">
      <c r="A24" s="115">
        <f t="shared" si="2"/>
        <v>22</v>
      </c>
      <c r="B24" s="86" t="s">
        <v>6533</v>
      </c>
      <c r="C24" s="86" t="str">
        <f t="shared" si="1"/>
        <v>B.2/0022/2020</v>
      </c>
      <c r="D24" s="86"/>
      <c r="E24" s="264" t="s">
        <v>6518</v>
      </c>
      <c r="F24" s="264" t="s">
        <v>6543</v>
      </c>
      <c r="G24" s="264">
        <v>2020.0</v>
      </c>
    </row>
    <row r="25">
      <c r="A25" s="115">
        <f t="shared" si="2"/>
        <v>23</v>
      </c>
      <c r="B25" s="86" t="s">
        <v>6533</v>
      </c>
      <c r="C25" s="86" t="str">
        <f t="shared" si="1"/>
        <v>B.2/0023/2020</v>
      </c>
      <c r="D25" s="86"/>
      <c r="E25" s="264" t="s">
        <v>6518</v>
      </c>
      <c r="F25" s="264" t="s">
        <v>6544</v>
      </c>
      <c r="G25" s="264">
        <v>2020.0</v>
      </c>
    </row>
    <row r="26">
      <c r="A26" s="115">
        <f t="shared" si="2"/>
        <v>24</v>
      </c>
      <c r="B26" s="86" t="s">
        <v>6533</v>
      </c>
      <c r="C26" s="86" t="str">
        <f t="shared" si="1"/>
        <v>B.2/0024/2020</v>
      </c>
      <c r="D26" s="86"/>
      <c r="E26" s="264" t="s">
        <v>6518</v>
      </c>
      <c r="F26" s="264" t="s">
        <v>6545</v>
      </c>
      <c r="G26" s="264">
        <v>2020.0</v>
      </c>
    </row>
    <row r="27">
      <c r="A27" s="115">
        <f t="shared" si="2"/>
        <v>25</v>
      </c>
      <c r="B27" s="86" t="s">
        <v>6533</v>
      </c>
      <c r="C27" s="86" t="str">
        <f t="shared" si="1"/>
        <v>B.2/0025/2020</v>
      </c>
      <c r="D27" s="86"/>
      <c r="E27" s="264" t="s">
        <v>6518</v>
      </c>
      <c r="F27" s="264" t="s">
        <v>6546</v>
      </c>
      <c r="G27" s="264">
        <v>2020.0</v>
      </c>
    </row>
    <row r="28">
      <c r="A28" s="115">
        <f t="shared" si="2"/>
        <v>26</v>
      </c>
      <c r="B28" s="86" t="s">
        <v>6533</v>
      </c>
      <c r="C28" s="86" t="str">
        <f t="shared" si="1"/>
        <v>B.2/0026/2020</v>
      </c>
      <c r="D28" s="86"/>
      <c r="E28" s="264" t="s">
        <v>6518</v>
      </c>
      <c r="F28" s="264" t="s">
        <v>6547</v>
      </c>
      <c r="G28" s="264">
        <v>2020.0</v>
      </c>
    </row>
    <row r="29">
      <c r="A29" s="115">
        <f t="shared" si="2"/>
        <v>27</v>
      </c>
      <c r="B29" s="86" t="s">
        <v>6533</v>
      </c>
      <c r="C29" s="86" t="str">
        <f t="shared" si="1"/>
        <v>B.2/0027/2020</v>
      </c>
      <c r="D29" s="86"/>
      <c r="E29" s="264" t="s">
        <v>6518</v>
      </c>
      <c r="F29" s="264" t="s">
        <v>6548</v>
      </c>
      <c r="G29" s="264">
        <v>2020.0</v>
      </c>
    </row>
    <row r="30">
      <c r="A30" s="115">
        <f t="shared" si="2"/>
        <v>28</v>
      </c>
      <c r="B30" s="86" t="s">
        <v>6533</v>
      </c>
      <c r="C30" s="86" t="str">
        <f t="shared" si="1"/>
        <v>B.2/0028/2020</v>
      </c>
      <c r="D30" s="86"/>
      <c r="E30" s="264" t="s">
        <v>6518</v>
      </c>
      <c r="F30" s="264" t="s">
        <v>6549</v>
      </c>
      <c r="G30" s="264">
        <v>2020.0</v>
      </c>
    </row>
    <row r="31">
      <c r="A31" s="115">
        <f t="shared" si="2"/>
        <v>29</v>
      </c>
      <c r="B31" s="86" t="s">
        <v>6533</v>
      </c>
      <c r="C31" s="86" t="str">
        <f t="shared" si="1"/>
        <v>B.2/0029/2020</v>
      </c>
      <c r="D31" s="86"/>
      <c r="E31" s="264" t="s">
        <v>6518</v>
      </c>
      <c r="F31" s="264" t="s">
        <v>6550</v>
      </c>
      <c r="G31" s="264">
        <v>2020.0</v>
      </c>
    </row>
    <row r="32">
      <c r="A32" s="115">
        <f t="shared" si="2"/>
        <v>30</v>
      </c>
      <c r="B32" s="86" t="s">
        <v>160</v>
      </c>
      <c r="C32" s="86" t="str">
        <f t="shared" si="1"/>
        <v>B.2/0030/2020</v>
      </c>
      <c r="D32" s="86"/>
      <c r="E32" s="264" t="s">
        <v>6518</v>
      </c>
      <c r="F32" s="264" t="s">
        <v>6551</v>
      </c>
      <c r="G32" s="264">
        <v>2020.0</v>
      </c>
    </row>
    <row r="33">
      <c r="A33" s="115">
        <f t="shared" si="2"/>
        <v>31</v>
      </c>
      <c r="B33" s="86" t="s">
        <v>160</v>
      </c>
      <c r="C33" s="86" t="str">
        <f t="shared" si="1"/>
        <v>B.2/0031/2020</v>
      </c>
      <c r="D33" s="86"/>
      <c r="E33" s="264" t="s">
        <v>6518</v>
      </c>
      <c r="F33" s="264" t="s">
        <v>6552</v>
      </c>
      <c r="G33" s="264">
        <v>2020.0</v>
      </c>
    </row>
    <row r="34">
      <c r="A34" s="115">
        <f t="shared" si="2"/>
        <v>32</v>
      </c>
      <c r="B34" s="86" t="s">
        <v>160</v>
      </c>
      <c r="C34" s="86" t="str">
        <f t="shared" si="1"/>
        <v>B.2/0032/2020</v>
      </c>
      <c r="D34" s="86"/>
      <c r="E34" s="264" t="s">
        <v>6518</v>
      </c>
      <c r="F34" s="264" t="s">
        <v>6553</v>
      </c>
      <c r="G34" s="264">
        <v>2020.0</v>
      </c>
    </row>
    <row r="35">
      <c r="A35" s="115">
        <f t="shared" si="2"/>
        <v>33</v>
      </c>
      <c r="B35" s="86" t="s">
        <v>160</v>
      </c>
      <c r="C35" s="86" t="str">
        <f t="shared" si="1"/>
        <v>B.2/0033/2020</v>
      </c>
      <c r="D35" s="86"/>
      <c r="E35" s="264" t="s">
        <v>6518</v>
      </c>
      <c r="F35" s="264" t="s">
        <v>6554</v>
      </c>
      <c r="G35" s="264">
        <v>2020.0</v>
      </c>
    </row>
    <row r="36">
      <c r="A36" s="115">
        <f t="shared" si="2"/>
        <v>34</v>
      </c>
      <c r="B36" s="86" t="s">
        <v>160</v>
      </c>
      <c r="C36" s="86" t="str">
        <f t="shared" si="1"/>
        <v>B.2/0034/2020</v>
      </c>
      <c r="D36" s="86"/>
      <c r="E36" s="264" t="s">
        <v>6518</v>
      </c>
      <c r="F36" s="264" t="s">
        <v>6555</v>
      </c>
      <c r="G36" s="264">
        <v>2020.0</v>
      </c>
    </row>
    <row r="37">
      <c r="A37" s="115">
        <f t="shared" si="2"/>
        <v>35</v>
      </c>
      <c r="B37" s="86" t="s">
        <v>160</v>
      </c>
      <c r="C37" s="86" t="str">
        <f t="shared" si="1"/>
        <v>B.2/0035/2020</v>
      </c>
      <c r="D37" s="86"/>
      <c r="E37" s="264" t="s">
        <v>6518</v>
      </c>
      <c r="F37" s="264" t="s">
        <v>6556</v>
      </c>
      <c r="G37" s="264">
        <v>2020.0</v>
      </c>
    </row>
    <row r="38">
      <c r="A38" s="115">
        <f t="shared" si="2"/>
        <v>36</v>
      </c>
      <c r="B38" s="86" t="s">
        <v>160</v>
      </c>
      <c r="C38" s="86" t="str">
        <f t="shared" si="1"/>
        <v>B.2/0036/2020</v>
      </c>
      <c r="D38" s="86"/>
      <c r="E38" s="264" t="s">
        <v>6518</v>
      </c>
      <c r="F38" s="264" t="s">
        <v>6557</v>
      </c>
      <c r="G38" s="264">
        <v>2020.0</v>
      </c>
    </row>
    <row r="39">
      <c r="A39" s="115">
        <f t="shared" si="2"/>
        <v>37</v>
      </c>
      <c r="B39" s="86" t="s">
        <v>160</v>
      </c>
      <c r="C39" s="86" t="str">
        <f t="shared" si="1"/>
        <v>B.2/0037/2020</v>
      </c>
      <c r="D39" s="86"/>
      <c r="E39" s="264" t="s">
        <v>6518</v>
      </c>
      <c r="F39" s="264" t="s">
        <v>6558</v>
      </c>
      <c r="G39" s="264">
        <v>2020.0</v>
      </c>
    </row>
    <row r="40">
      <c r="A40" s="115">
        <f t="shared" si="2"/>
        <v>38</v>
      </c>
      <c r="B40" s="86" t="s">
        <v>160</v>
      </c>
      <c r="C40" s="86" t="str">
        <f t="shared" si="1"/>
        <v>B.2/0038/2020</v>
      </c>
      <c r="D40" s="86"/>
      <c r="E40" s="264" t="s">
        <v>6518</v>
      </c>
      <c r="F40" s="264" t="s">
        <v>6559</v>
      </c>
      <c r="G40" s="264">
        <v>2020.0</v>
      </c>
    </row>
    <row r="41">
      <c r="A41" s="115">
        <f t="shared" si="2"/>
        <v>39</v>
      </c>
      <c r="B41" s="86" t="s">
        <v>160</v>
      </c>
      <c r="C41" s="86" t="str">
        <f t="shared" si="1"/>
        <v>B.2/0039/2020</v>
      </c>
      <c r="D41" s="86"/>
      <c r="E41" s="264" t="s">
        <v>6518</v>
      </c>
      <c r="F41" s="264" t="s">
        <v>6560</v>
      </c>
      <c r="G41" s="264">
        <v>2020.0</v>
      </c>
    </row>
    <row r="42">
      <c r="A42" s="115">
        <f t="shared" si="2"/>
        <v>40</v>
      </c>
      <c r="B42" s="86" t="s">
        <v>160</v>
      </c>
      <c r="C42" s="86" t="str">
        <f t="shared" si="1"/>
        <v>B.2/0040/2020</v>
      </c>
      <c r="D42" s="86"/>
      <c r="E42" s="264" t="s">
        <v>6518</v>
      </c>
      <c r="F42" s="264" t="s">
        <v>6561</v>
      </c>
      <c r="G42" s="264">
        <v>2020.0</v>
      </c>
    </row>
    <row r="43">
      <c r="A43" s="115">
        <f t="shared" si="2"/>
        <v>41</v>
      </c>
      <c r="B43" s="86" t="s">
        <v>160</v>
      </c>
      <c r="C43" s="86" t="str">
        <f t="shared" si="1"/>
        <v>B.2/0041/2020</v>
      </c>
      <c r="D43" s="86"/>
      <c r="E43" s="264" t="s">
        <v>6518</v>
      </c>
      <c r="F43" s="264" t="s">
        <v>6562</v>
      </c>
      <c r="G43" s="264">
        <v>2020.0</v>
      </c>
    </row>
    <row r="44">
      <c r="A44" s="115">
        <f t="shared" si="2"/>
        <v>42</v>
      </c>
      <c r="B44" s="86" t="s">
        <v>160</v>
      </c>
      <c r="C44" s="86" t="str">
        <f t="shared" si="1"/>
        <v>B.2/0042/2020</v>
      </c>
      <c r="D44" s="86"/>
      <c r="E44" s="264" t="s">
        <v>6518</v>
      </c>
      <c r="F44" s="264" t="s">
        <v>6563</v>
      </c>
      <c r="G44" s="264">
        <v>2020.0</v>
      </c>
    </row>
    <row r="45">
      <c r="A45" s="115">
        <f t="shared" si="2"/>
        <v>43</v>
      </c>
      <c r="B45" s="86" t="s">
        <v>160</v>
      </c>
      <c r="C45" s="86" t="str">
        <f t="shared" si="1"/>
        <v>B.2/0043/2020</v>
      </c>
      <c r="D45" s="86"/>
      <c r="E45" s="264" t="s">
        <v>6518</v>
      </c>
      <c r="F45" s="264" t="s">
        <v>6564</v>
      </c>
      <c r="G45" s="264">
        <v>2020.0</v>
      </c>
    </row>
    <row r="46">
      <c r="A46" s="115">
        <f t="shared" si="2"/>
        <v>44</v>
      </c>
      <c r="B46" s="86" t="s">
        <v>160</v>
      </c>
      <c r="C46" s="86" t="str">
        <f t="shared" si="1"/>
        <v>B.2/0044/2020</v>
      </c>
      <c r="D46" s="86"/>
      <c r="E46" s="264" t="s">
        <v>6518</v>
      </c>
      <c r="F46" s="264" t="s">
        <v>6565</v>
      </c>
      <c r="G46" s="264">
        <v>2020.0</v>
      </c>
    </row>
    <row r="47">
      <c r="A47" s="115">
        <f t="shared" si="2"/>
        <v>45</v>
      </c>
      <c r="B47" s="86" t="s">
        <v>160</v>
      </c>
      <c r="C47" s="86" t="str">
        <f t="shared" si="1"/>
        <v>B.2/0045/2020</v>
      </c>
      <c r="D47" s="86"/>
      <c r="E47" s="264" t="s">
        <v>6518</v>
      </c>
      <c r="F47" s="264" t="s">
        <v>6566</v>
      </c>
      <c r="G47" s="264">
        <v>2020.0</v>
      </c>
    </row>
    <row r="48">
      <c r="A48" s="115">
        <f t="shared" si="2"/>
        <v>46</v>
      </c>
      <c r="B48" s="86" t="s">
        <v>160</v>
      </c>
      <c r="C48" s="86" t="str">
        <f t="shared" si="1"/>
        <v>B.2/0046/2020</v>
      </c>
      <c r="D48" s="86"/>
      <c r="E48" s="264" t="s">
        <v>6518</v>
      </c>
      <c r="F48" s="264" t="s">
        <v>6567</v>
      </c>
      <c r="G48" s="264">
        <v>2020.0</v>
      </c>
    </row>
    <row r="49">
      <c r="A49" s="115">
        <f t="shared" si="2"/>
        <v>47</v>
      </c>
      <c r="B49" s="86" t="s">
        <v>160</v>
      </c>
      <c r="C49" s="86" t="str">
        <f t="shared" si="1"/>
        <v>B.2/0047/2020</v>
      </c>
      <c r="D49" s="86"/>
      <c r="E49" s="264" t="s">
        <v>6518</v>
      </c>
      <c r="F49" s="264" t="s">
        <v>6568</v>
      </c>
      <c r="G49" s="264">
        <v>2020.0</v>
      </c>
    </row>
    <row r="50">
      <c r="A50" s="115">
        <f t="shared" si="2"/>
        <v>48</v>
      </c>
      <c r="B50" s="86" t="s">
        <v>160</v>
      </c>
      <c r="C50" s="86" t="str">
        <f t="shared" si="1"/>
        <v>B.2/0048/2020</v>
      </c>
      <c r="D50" s="86"/>
      <c r="E50" s="264" t="s">
        <v>6518</v>
      </c>
      <c r="F50" s="264" t="s">
        <v>6569</v>
      </c>
      <c r="G50" s="264">
        <v>2020.0</v>
      </c>
    </row>
    <row r="51">
      <c r="A51" s="115">
        <f t="shared" si="2"/>
        <v>49</v>
      </c>
      <c r="B51" s="86" t="s">
        <v>160</v>
      </c>
      <c r="C51" s="86" t="str">
        <f t="shared" si="1"/>
        <v>B.2/0049/2020</v>
      </c>
      <c r="D51" s="86"/>
      <c r="E51" s="264" t="s">
        <v>6518</v>
      </c>
      <c r="F51" s="264" t="s">
        <v>6570</v>
      </c>
      <c r="G51" s="264">
        <v>2020.0</v>
      </c>
    </row>
    <row r="52">
      <c r="A52" s="115">
        <f t="shared" si="2"/>
        <v>50</v>
      </c>
      <c r="B52" s="86" t="s">
        <v>160</v>
      </c>
      <c r="C52" s="86" t="str">
        <f t="shared" si="1"/>
        <v>B.2/0050/2020</v>
      </c>
      <c r="D52" s="86"/>
      <c r="E52" s="264" t="s">
        <v>6518</v>
      </c>
      <c r="F52" s="264" t="s">
        <v>6571</v>
      </c>
      <c r="G52" s="264">
        <v>2020.0</v>
      </c>
    </row>
    <row r="53">
      <c r="A53" s="115">
        <f t="shared" si="2"/>
        <v>51</v>
      </c>
      <c r="B53" s="86" t="s">
        <v>160</v>
      </c>
      <c r="C53" s="86" t="str">
        <f t="shared" si="1"/>
        <v>B.2/0051/2020</v>
      </c>
      <c r="D53" s="86"/>
      <c r="E53" s="264" t="s">
        <v>6518</v>
      </c>
      <c r="F53" s="264" t="s">
        <v>6572</v>
      </c>
      <c r="G53" s="264">
        <v>2020.0</v>
      </c>
    </row>
    <row r="54">
      <c r="A54" s="115">
        <f t="shared" si="2"/>
        <v>52</v>
      </c>
      <c r="B54" s="86" t="s">
        <v>160</v>
      </c>
      <c r="C54" s="86" t="str">
        <f t="shared" si="1"/>
        <v>B.2/0052/2020</v>
      </c>
      <c r="D54" s="86"/>
      <c r="E54" s="264" t="s">
        <v>6518</v>
      </c>
      <c r="F54" s="264" t="s">
        <v>6573</v>
      </c>
      <c r="G54" s="264">
        <v>2020.0</v>
      </c>
    </row>
    <row r="55">
      <c r="A55" s="115">
        <f t="shared" si="2"/>
        <v>53</v>
      </c>
      <c r="B55" s="86" t="s">
        <v>160</v>
      </c>
      <c r="C55" s="86" t="str">
        <f t="shared" si="1"/>
        <v>B.2/0053/2020</v>
      </c>
      <c r="D55" s="86"/>
      <c r="E55" s="264" t="s">
        <v>6518</v>
      </c>
      <c r="F55" s="264" t="s">
        <v>6574</v>
      </c>
      <c r="G55" s="264">
        <v>2020.0</v>
      </c>
    </row>
    <row r="56">
      <c r="A56" s="115">
        <f t="shared" si="2"/>
        <v>54</v>
      </c>
      <c r="B56" s="86" t="s">
        <v>160</v>
      </c>
      <c r="C56" s="86" t="str">
        <f t="shared" si="1"/>
        <v>B.2/0054/2020</v>
      </c>
      <c r="D56" s="86"/>
      <c r="E56" s="264" t="s">
        <v>6518</v>
      </c>
      <c r="F56" s="264" t="s">
        <v>6575</v>
      </c>
      <c r="G56" s="264">
        <v>2020.0</v>
      </c>
    </row>
    <row r="57">
      <c r="A57" s="115">
        <f t="shared" si="2"/>
        <v>55</v>
      </c>
      <c r="B57" s="86" t="s">
        <v>160</v>
      </c>
      <c r="C57" s="86" t="str">
        <f t="shared" si="1"/>
        <v>B.2/0055/2020</v>
      </c>
      <c r="D57" s="86"/>
      <c r="E57" s="264" t="s">
        <v>6518</v>
      </c>
      <c r="F57" s="264" t="s">
        <v>6576</v>
      </c>
      <c r="G57" s="264">
        <v>2020.0</v>
      </c>
    </row>
    <row r="58">
      <c r="A58" s="115">
        <f t="shared" si="2"/>
        <v>56</v>
      </c>
      <c r="B58" s="86" t="s">
        <v>160</v>
      </c>
      <c r="C58" s="86" t="str">
        <f t="shared" si="1"/>
        <v>B.2/0056/2020</v>
      </c>
      <c r="D58" s="86"/>
      <c r="E58" s="264" t="s">
        <v>6518</v>
      </c>
      <c r="F58" s="264" t="s">
        <v>6577</v>
      </c>
      <c r="G58" s="264">
        <v>2020.0</v>
      </c>
    </row>
    <row r="59">
      <c r="A59" s="115">
        <f t="shared" si="2"/>
        <v>57</v>
      </c>
      <c r="B59" s="86" t="s">
        <v>160</v>
      </c>
      <c r="C59" s="86" t="str">
        <f t="shared" si="1"/>
        <v>B.2/0057/2020</v>
      </c>
      <c r="D59" s="86"/>
      <c r="E59" s="264" t="s">
        <v>6518</v>
      </c>
      <c r="F59" s="264" t="s">
        <v>6578</v>
      </c>
      <c r="G59" s="264">
        <v>2020.0</v>
      </c>
    </row>
    <row r="60">
      <c r="A60" s="115">
        <f t="shared" si="2"/>
        <v>58</v>
      </c>
      <c r="B60" s="86" t="s">
        <v>160</v>
      </c>
      <c r="C60" s="86" t="str">
        <f t="shared" si="1"/>
        <v>B.2/0058/2020</v>
      </c>
      <c r="D60" s="86"/>
      <c r="E60" s="264" t="s">
        <v>6518</v>
      </c>
      <c r="F60" s="264" t="s">
        <v>6579</v>
      </c>
      <c r="G60" s="264">
        <v>2020.0</v>
      </c>
    </row>
    <row r="61">
      <c r="A61" s="115">
        <f t="shared" si="2"/>
        <v>59</v>
      </c>
      <c r="B61" s="86" t="s">
        <v>160</v>
      </c>
      <c r="C61" s="86" t="str">
        <f t="shared" si="1"/>
        <v>B.2/0059/2020</v>
      </c>
      <c r="D61" s="86"/>
      <c r="E61" s="264" t="s">
        <v>6518</v>
      </c>
      <c r="F61" s="264" t="s">
        <v>6580</v>
      </c>
      <c r="G61" s="264">
        <v>2020.0</v>
      </c>
    </row>
    <row r="62">
      <c r="A62" s="115">
        <f t="shared" si="2"/>
        <v>60</v>
      </c>
      <c r="B62" s="86" t="s">
        <v>160</v>
      </c>
      <c r="C62" s="86" t="str">
        <f t="shared" si="1"/>
        <v>B.2/0060/2020</v>
      </c>
      <c r="D62" s="86"/>
      <c r="E62" s="264" t="s">
        <v>6518</v>
      </c>
      <c r="F62" s="264" t="s">
        <v>6581</v>
      </c>
      <c r="G62" s="264">
        <v>2020.0</v>
      </c>
    </row>
    <row r="63">
      <c r="A63" s="115">
        <f t="shared" si="2"/>
        <v>61</v>
      </c>
      <c r="B63" s="86" t="s">
        <v>160</v>
      </c>
      <c r="C63" s="86" t="str">
        <f t="shared" si="1"/>
        <v>B.2/0061/2020</v>
      </c>
      <c r="D63" s="86"/>
      <c r="E63" s="264" t="s">
        <v>6518</v>
      </c>
      <c r="F63" s="264" t="s">
        <v>6582</v>
      </c>
      <c r="G63" s="264">
        <v>2020.0</v>
      </c>
    </row>
    <row r="64">
      <c r="A64" s="115">
        <f t="shared" si="2"/>
        <v>62</v>
      </c>
      <c r="B64" s="86" t="s">
        <v>160</v>
      </c>
      <c r="C64" s="86" t="str">
        <f t="shared" si="1"/>
        <v>B.2/0062/2020</v>
      </c>
      <c r="D64" s="86"/>
      <c r="E64" s="264" t="s">
        <v>6518</v>
      </c>
      <c r="F64" s="264" t="s">
        <v>6583</v>
      </c>
      <c r="G64" s="264">
        <v>2020.0</v>
      </c>
    </row>
    <row r="65">
      <c r="A65" s="115">
        <f t="shared" si="2"/>
        <v>63</v>
      </c>
      <c r="B65" s="86" t="s">
        <v>97</v>
      </c>
      <c r="C65" s="86" t="str">
        <f t="shared" si="1"/>
        <v>B.2/0063/2023</v>
      </c>
      <c r="D65" s="115" t="s">
        <v>6584</v>
      </c>
      <c r="E65" s="264" t="s">
        <v>6518</v>
      </c>
      <c r="F65" s="265" t="s">
        <v>6585</v>
      </c>
      <c r="G65" s="264">
        <v>2023.0</v>
      </c>
    </row>
    <row r="66">
      <c r="A66" s="115">
        <f t="shared" si="2"/>
        <v>64</v>
      </c>
      <c r="B66" s="86" t="s">
        <v>6586</v>
      </c>
      <c r="C66" s="86" t="str">
        <f t="shared" si="1"/>
        <v>B.2/0064/2023</v>
      </c>
      <c r="D66" s="115" t="s">
        <v>6587</v>
      </c>
      <c r="E66" s="264" t="s">
        <v>6518</v>
      </c>
      <c r="F66" s="265" t="s">
        <v>6588</v>
      </c>
      <c r="G66" s="264">
        <v>2023.0</v>
      </c>
    </row>
    <row r="67">
      <c r="A67" s="115">
        <f t="shared" si="2"/>
        <v>65</v>
      </c>
      <c r="B67" s="86" t="s">
        <v>32</v>
      </c>
      <c r="C67" s="86" t="str">
        <f t="shared" si="1"/>
        <v>B.2/0065/2024</v>
      </c>
      <c r="D67" s="115" t="s">
        <v>6589</v>
      </c>
      <c r="E67" s="264" t="s">
        <v>6518</v>
      </c>
      <c r="F67" s="264" t="s">
        <v>6590</v>
      </c>
      <c r="G67" s="264">
        <v>2024.0</v>
      </c>
    </row>
    <row r="68">
      <c r="A68" s="115">
        <f t="shared" si="2"/>
        <v>66</v>
      </c>
      <c r="B68" s="86" t="s">
        <v>47</v>
      </c>
      <c r="C68" s="86" t="str">
        <f t="shared" si="1"/>
        <v>B.2/0066/2024</v>
      </c>
      <c r="D68" s="115" t="s">
        <v>6591</v>
      </c>
      <c r="E68" s="264" t="s">
        <v>6518</v>
      </c>
      <c r="F68" s="265" t="s">
        <v>6592</v>
      </c>
      <c r="G68" s="264">
        <v>2024.0</v>
      </c>
    </row>
    <row r="69">
      <c r="A69" s="115">
        <f t="shared" si="2"/>
        <v>67</v>
      </c>
      <c r="B69" s="86" t="s">
        <v>57</v>
      </c>
      <c r="C69" s="86" t="str">
        <f t="shared" si="1"/>
        <v>B.2/0067/2024</v>
      </c>
      <c r="D69" s="115" t="s">
        <v>6591</v>
      </c>
      <c r="E69" s="264" t="s">
        <v>6518</v>
      </c>
      <c r="F69" s="265" t="s">
        <v>6593</v>
      </c>
      <c r="G69" s="264">
        <v>2024.0</v>
      </c>
    </row>
    <row r="70">
      <c r="A70" s="115">
        <f t="shared" si="2"/>
        <v>68</v>
      </c>
      <c r="B70" s="86" t="s">
        <v>57</v>
      </c>
      <c r="C70" s="86" t="str">
        <f t="shared" si="1"/>
        <v>B.2/0068/2024</v>
      </c>
      <c r="D70" s="115" t="s">
        <v>6591</v>
      </c>
      <c r="E70" s="264" t="s">
        <v>6518</v>
      </c>
      <c r="F70" s="264" t="s">
        <v>6594</v>
      </c>
      <c r="G70" s="264">
        <v>2024.0</v>
      </c>
    </row>
    <row r="71">
      <c r="A71" s="115">
        <f t="shared" si="2"/>
        <v>69</v>
      </c>
      <c r="B71" s="86" t="s">
        <v>57</v>
      </c>
      <c r="C71" s="86" t="str">
        <f t="shared" si="1"/>
        <v>B.2/0069/2024</v>
      </c>
      <c r="D71" s="115" t="s">
        <v>6591</v>
      </c>
      <c r="E71" s="264" t="s">
        <v>6518</v>
      </c>
      <c r="F71" s="265" t="s">
        <v>6595</v>
      </c>
      <c r="G71" s="264">
        <v>2024.0</v>
      </c>
    </row>
    <row r="72">
      <c r="A72" s="115">
        <f t="shared" si="2"/>
        <v>70</v>
      </c>
      <c r="B72" s="86" t="s">
        <v>57</v>
      </c>
      <c r="C72" s="86" t="str">
        <f t="shared" si="1"/>
        <v>B.2/0070/2024</v>
      </c>
      <c r="D72" s="115" t="s">
        <v>6591</v>
      </c>
      <c r="E72" s="264" t="s">
        <v>6518</v>
      </c>
      <c r="F72" s="265" t="s">
        <v>6596</v>
      </c>
      <c r="G72" s="264">
        <v>2024.0</v>
      </c>
    </row>
    <row r="73">
      <c r="A73" s="115">
        <f t="shared" si="2"/>
        <v>71</v>
      </c>
      <c r="B73" s="86" t="s">
        <v>57</v>
      </c>
      <c r="C73" s="86" t="str">
        <f t="shared" si="1"/>
        <v>B.2/0071/2024</v>
      </c>
      <c r="D73" s="115" t="s">
        <v>6591</v>
      </c>
      <c r="E73" s="264" t="s">
        <v>6518</v>
      </c>
      <c r="F73" s="264" t="s">
        <v>6597</v>
      </c>
      <c r="G73" s="264">
        <v>2024.0</v>
      </c>
    </row>
    <row r="74">
      <c r="A74" s="115">
        <f t="shared" si="2"/>
        <v>72</v>
      </c>
      <c r="B74" s="86" t="s">
        <v>57</v>
      </c>
      <c r="C74" s="86" t="str">
        <f t="shared" si="1"/>
        <v>B.2/0072/2024</v>
      </c>
      <c r="D74" s="115" t="s">
        <v>6591</v>
      </c>
      <c r="E74" s="264" t="s">
        <v>6518</v>
      </c>
      <c r="F74" s="265" t="s">
        <v>6598</v>
      </c>
      <c r="G74" s="264">
        <v>2024.0</v>
      </c>
    </row>
    <row r="75">
      <c r="A75" s="115">
        <f t="shared" si="2"/>
        <v>73</v>
      </c>
      <c r="B75" s="86" t="s">
        <v>57</v>
      </c>
      <c r="C75" s="86" t="str">
        <f t="shared" si="1"/>
        <v>B.2/0073/2024</v>
      </c>
      <c r="D75" s="115" t="s">
        <v>6591</v>
      </c>
      <c r="E75" s="264" t="s">
        <v>6518</v>
      </c>
      <c r="F75" s="265" t="s">
        <v>6599</v>
      </c>
      <c r="G75" s="264">
        <v>2024.0</v>
      </c>
    </row>
    <row r="76">
      <c r="A76" s="115">
        <f t="shared" si="2"/>
        <v>74</v>
      </c>
      <c r="B76" s="86" t="s">
        <v>57</v>
      </c>
      <c r="C76" s="86" t="str">
        <f t="shared" si="1"/>
        <v>B.2/0074/2024</v>
      </c>
      <c r="D76" s="115" t="s">
        <v>6600</v>
      </c>
      <c r="E76" s="264" t="s">
        <v>6518</v>
      </c>
      <c r="F76" s="264" t="s">
        <v>6601</v>
      </c>
      <c r="G76" s="264">
        <v>2024.0</v>
      </c>
    </row>
    <row r="77">
      <c r="A77" s="115">
        <f t="shared" si="2"/>
        <v>75</v>
      </c>
      <c r="B77" s="86" t="s">
        <v>57</v>
      </c>
      <c r="C77" s="86" t="str">
        <f t="shared" si="1"/>
        <v>B.2/0075/2024</v>
      </c>
      <c r="D77" s="115" t="s">
        <v>6602</v>
      </c>
      <c r="E77" s="264" t="s">
        <v>6518</v>
      </c>
      <c r="F77" s="265" t="s">
        <v>6603</v>
      </c>
      <c r="G77" s="264">
        <v>2024.0</v>
      </c>
    </row>
    <row r="78">
      <c r="A78" s="115">
        <f t="shared" si="2"/>
        <v>76</v>
      </c>
      <c r="B78" s="86" t="s">
        <v>6533</v>
      </c>
      <c r="C78" s="86" t="str">
        <f t="shared" si="1"/>
        <v>B.2/0076/2025</v>
      </c>
      <c r="D78" s="97" t="s">
        <v>6604</v>
      </c>
      <c r="E78" s="264" t="s">
        <v>6518</v>
      </c>
      <c r="F78" s="265" t="s">
        <v>6605</v>
      </c>
      <c r="G78" s="266">
        <v>2025.0</v>
      </c>
    </row>
    <row r="79">
      <c r="A79" s="115">
        <f t="shared" si="2"/>
        <v>77</v>
      </c>
      <c r="B79" s="86" t="s">
        <v>179</v>
      </c>
      <c r="C79" s="86" t="str">
        <f t="shared" si="1"/>
        <v>B.2/0077/2025</v>
      </c>
      <c r="D79" s="97" t="s">
        <v>6606</v>
      </c>
      <c r="E79" s="264" t="s">
        <v>6518</v>
      </c>
      <c r="F79" s="265" t="s">
        <v>6607</v>
      </c>
      <c r="G79" s="266">
        <v>2025.0</v>
      </c>
    </row>
    <row r="80">
      <c r="A80" s="115">
        <f t="shared" si="2"/>
        <v>78</v>
      </c>
      <c r="B80" s="86" t="s">
        <v>179</v>
      </c>
      <c r="C80" s="86" t="str">
        <f t="shared" si="1"/>
        <v>B.2/0078/2025</v>
      </c>
      <c r="D80" s="97" t="s">
        <v>6608</v>
      </c>
      <c r="E80" s="264" t="s">
        <v>6518</v>
      </c>
      <c r="F80" s="265" t="s">
        <v>6609</v>
      </c>
      <c r="G80" s="266">
        <v>2025.0</v>
      </c>
    </row>
    <row r="81">
      <c r="A81" s="115">
        <f t="shared" si="2"/>
        <v>79</v>
      </c>
      <c r="B81" s="86" t="s">
        <v>6533</v>
      </c>
      <c r="C81" s="86" t="str">
        <f t="shared" si="1"/>
        <v>B.2/0079/2025</v>
      </c>
      <c r="D81" s="97" t="s">
        <v>6610</v>
      </c>
      <c r="E81" s="264" t="s">
        <v>6518</v>
      </c>
      <c r="F81" s="265" t="s">
        <v>6611</v>
      </c>
      <c r="G81" s="266">
        <v>2025.0</v>
      </c>
    </row>
    <row r="82">
      <c r="A82" s="115">
        <f t="shared" si="2"/>
        <v>80</v>
      </c>
      <c r="B82" s="31"/>
      <c r="C82" s="86" t="str">
        <f t="shared" si="1"/>
        <v>B.2/0080/2025</v>
      </c>
      <c r="D82" s="97" t="s">
        <v>6612</v>
      </c>
      <c r="E82" s="264" t="s">
        <v>6518</v>
      </c>
      <c r="F82" s="265" t="s">
        <v>6613</v>
      </c>
      <c r="G82" s="266">
        <v>2025.0</v>
      </c>
    </row>
    <row r="83">
      <c r="A83" s="115">
        <f t="shared" si="2"/>
        <v>81</v>
      </c>
      <c r="B83" s="31"/>
      <c r="C83" s="86" t="str">
        <f t="shared" si="1"/>
        <v>B.2/0081/2025</v>
      </c>
      <c r="D83" s="97" t="s">
        <v>6612</v>
      </c>
      <c r="E83" s="264" t="s">
        <v>6518</v>
      </c>
      <c r="F83" s="265" t="s">
        <v>6614</v>
      </c>
      <c r="G83" s="266">
        <v>2025.0</v>
      </c>
    </row>
    <row r="84">
      <c r="A84" s="115">
        <f t="shared" si="2"/>
        <v>82</v>
      </c>
      <c r="B84" s="31"/>
      <c r="C84" s="86" t="str">
        <f t="shared" si="1"/>
        <v>B.2/0082/2025</v>
      </c>
      <c r="D84" s="97" t="s">
        <v>6612</v>
      </c>
      <c r="E84" s="264" t="s">
        <v>6518</v>
      </c>
      <c r="F84" s="265" t="s">
        <v>6615</v>
      </c>
      <c r="G84" s="266">
        <v>2025.0</v>
      </c>
    </row>
    <row r="85">
      <c r="A85" s="115">
        <f t="shared" si="2"/>
        <v>83</v>
      </c>
      <c r="B85" s="31"/>
      <c r="C85" s="86" t="str">
        <f t="shared" si="1"/>
        <v>B.2/0083/2025</v>
      </c>
      <c r="D85" s="97" t="s">
        <v>6612</v>
      </c>
      <c r="E85" s="264" t="s">
        <v>6518</v>
      </c>
      <c r="F85" s="265" t="s">
        <v>6616</v>
      </c>
      <c r="G85" s="266">
        <v>2025.0</v>
      </c>
    </row>
    <row r="86">
      <c r="A86" s="115">
        <f t="shared" si="2"/>
        <v>84</v>
      </c>
      <c r="B86" s="31"/>
      <c r="C86" s="86" t="str">
        <f t="shared" si="1"/>
        <v>B.2/0084/2025</v>
      </c>
      <c r="D86" s="97" t="s">
        <v>6612</v>
      </c>
      <c r="E86" s="264" t="s">
        <v>6518</v>
      </c>
      <c r="F86" s="265" t="s">
        <v>6617</v>
      </c>
      <c r="G86" s="266">
        <v>2025.0</v>
      </c>
    </row>
    <row r="87">
      <c r="A87" s="115">
        <f t="shared" si="2"/>
        <v>85</v>
      </c>
      <c r="B87" s="31"/>
      <c r="C87" s="86" t="str">
        <f t="shared" si="1"/>
        <v>B.2/0085/2025</v>
      </c>
      <c r="D87" s="97" t="s">
        <v>6612</v>
      </c>
      <c r="E87" s="264" t="s">
        <v>6518</v>
      </c>
      <c r="F87" s="265" t="s">
        <v>6618</v>
      </c>
      <c r="G87" s="266">
        <v>2025.0</v>
      </c>
    </row>
    <row r="88">
      <c r="A88" s="115">
        <f t="shared" si="2"/>
        <v>86</v>
      </c>
      <c r="B88" s="31"/>
      <c r="C88" s="86" t="str">
        <f t="shared" si="1"/>
        <v>B.2/0086/2025</v>
      </c>
      <c r="D88" s="97" t="s">
        <v>6612</v>
      </c>
      <c r="E88" s="264" t="s">
        <v>6518</v>
      </c>
      <c r="F88" s="265" t="s">
        <v>6619</v>
      </c>
      <c r="G88" s="266">
        <v>2025.0</v>
      </c>
    </row>
    <row r="89">
      <c r="A89" s="115">
        <f t="shared" si="2"/>
        <v>87</v>
      </c>
      <c r="B89" s="31"/>
      <c r="C89" s="86" t="str">
        <f t="shared" si="1"/>
        <v>B.2/0087/2025</v>
      </c>
      <c r="D89" s="97" t="s">
        <v>6612</v>
      </c>
      <c r="E89" s="264" t="s">
        <v>6518</v>
      </c>
      <c r="F89" s="265" t="s">
        <v>6620</v>
      </c>
      <c r="G89" s="266">
        <v>2025.0</v>
      </c>
    </row>
    <row r="90">
      <c r="A90" s="115">
        <f t="shared" si="2"/>
        <v>88</v>
      </c>
      <c r="B90" s="31"/>
      <c r="C90" s="86" t="str">
        <f t="shared" si="1"/>
        <v>B.2/0088/2025</v>
      </c>
      <c r="D90" s="97" t="s">
        <v>6612</v>
      </c>
      <c r="E90" s="264" t="s">
        <v>6518</v>
      </c>
      <c r="F90" s="265" t="s">
        <v>6621</v>
      </c>
      <c r="G90" s="266">
        <v>2025.0</v>
      </c>
    </row>
    <row r="91">
      <c r="A91" s="115">
        <f t="shared" si="2"/>
        <v>89</v>
      </c>
      <c r="B91" s="31"/>
      <c r="C91" s="86" t="str">
        <f t="shared" si="1"/>
        <v>B.2/0089/2025</v>
      </c>
      <c r="D91" s="97" t="s">
        <v>6612</v>
      </c>
      <c r="E91" s="264" t="s">
        <v>6518</v>
      </c>
      <c r="F91" s="265" t="s">
        <v>6622</v>
      </c>
      <c r="G91" s="266">
        <v>2025.0</v>
      </c>
    </row>
    <row r="92">
      <c r="A92" s="115">
        <f t="shared" si="2"/>
        <v>90</v>
      </c>
      <c r="B92" s="31"/>
      <c r="C92" s="86" t="str">
        <f t="shared" si="1"/>
        <v>B.2/0090/2025</v>
      </c>
      <c r="D92" s="97" t="s">
        <v>6612</v>
      </c>
      <c r="E92" s="264" t="s">
        <v>6518</v>
      </c>
      <c r="F92" s="265" t="s">
        <v>6623</v>
      </c>
      <c r="G92" s="266">
        <v>2025.0</v>
      </c>
    </row>
    <row r="93">
      <c r="A93" s="115">
        <f t="shared" si="2"/>
        <v>91</v>
      </c>
      <c r="B93" s="31"/>
      <c r="C93" s="86" t="str">
        <f t="shared" si="1"/>
        <v>B.2/0091/2025</v>
      </c>
      <c r="D93" s="97" t="s">
        <v>6612</v>
      </c>
      <c r="E93" s="264" t="s">
        <v>6518</v>
      </c>
      <c r="F93" s="265" t="s">
        <v>6624</v>
      </c>
      <c r="G93" s="266">
        <v>2025.0</v>
      </c>
    </row>
    <row r="94">
      <c r="A94" s="115">
        <f t="shared" si="2"/>
        <v>92</v>
      </c>
      <c r="B94" s="31"/>
      <c r="C94" s="86" t="str">
        <f t="shared" si="1"/>
        <v>B.2/0092/2025</v>
      </c>
      <c r="D94" s="97" t="s">
        <v>6612</v>
      </c>
      <c r="E94" s="264" t="s">
        <v>6518</v>
      </c>
      <c r="F94" s="265" t="s">
        <v>6625</v>
      </c>
      <c r="G94" s="266">
        <v>2025.0</v>
      </c>
    </row>
    <row r="95">
      <c r="A95" s="115">
        <f t="shared" si="2"/>
        <v>93</v>
      </c>
      <c r="B95" s="31"/>
      <c r="C95" s="86" t="str">
        <f t="shared" si="1"/>
        <v>B.2/0093/2025</v>
      </c>
      <c r="D95" s="97" t="s">
        <v>6612</v>
      </c>
      <c r="E95" s="264" t="s">
        <v>6518</v>
      </c>
      <c r="F95" s="265" t="s">
        <v>6626</v>
      </c>
      <c r="G95" s="266">
        <v>2025.0</v>
      </c>
    </row>
    <row r="96">
      <c r="A96" s="115">
        <f t="shared" si="2"/>
        <v>94</v>
      </c>
      <c r="B96" s="31"/>
      <c r="C96" s="86" t="str">
        <f t="shared" si="1"/>
        <v>B.2/0094/2025</v>
      </c>
      <c r="D96" s="97" t="s">
        <v>6612</v>
      </c>
      <c r="E96" s="264" t="s">
        <v>6518</v>
      </c>
      <c r="F96" s="265" t="s">
        <v>6627</v>
      </c>
      <c r="G96" s="266">
        <v>2025.0</v>
      </c>
    </row>
    <row r="97">
      <c r="A97" s="115">
        <f t="shared" si="2"/>
        <v>95</v>
      </c>
      <c r="B97" s="31"/>
      <c r="C97" s="86" t="str">
        <f t="shared" si="1"/>
        <v>B.2/0095/2025</v>
      </c>
      <c r="D97" s="97" t="s">
        <v>6612</v>
      </c>
      <c r="E97" s="264" t="s">
        <v>6518</v>
      </c>
      <c r="F97" s="265" t="s">
        <v>6628</v>
      </c>
      <c r="G97" s="266">
        <v>2025.0</v>
      </c>
    </row>
    <row r="98">
      <c r="A98" s="115">
        <f t="shared" si="2"/>
        <v>96</v>
      </c>
      <c r="B98" s="31"/>
      <c r="C98" s="86" t="str">
        <f t="shared" si="1"/>
        <v>B.2/0096/2025</v>
      </c>
      <c r="D98" s="97" t="s">
        <v>6612</v>
      </c>
      <c r="E98" s="264" t="s">
        <v>6518</v>
      </c>
      <c r="F98" s="265" t="s">
        <v>6629</v>
      </c>
      <c r="G98" s="266">
        <v>2025.0</v>
      </c>
    </row>
    <row r="99">
      <c r="A99" s="115">
        <f t="shared" si="2"/>
        <v>97</v>
      </c>
      <c r="B99" s="31"/>
      <c r="C99" s="86" t="str">
        <f t="shared" si="1"/>
        <v>B.2/0097/2025</v>
      </c>
      <c r="D99" s="97" t="s">
        <v>6612</v>
      </c>
      <c r="E99" s="264" t="s">
        <v>6518</v>
      </c>
      <c r="F99" s="265" t="s">
        <v>6630</v>
      </c>
      <c r="G99" s="266">
        <v>2025.0</v>
      </c>
    </row>
    <row r="100">
      <c r="A100" s="115">
        <f t="shared" si="2"/>
        <v>98</v>
      </c>
      <c r="B100" s="31"/>
      <c r="C100" s="86" t="str">
        <f t="shared" si="1"/>
        <v>B.2/0098/2025</v>
      </c>
      <c r="D100" s="97" t="s">
        <v>6612</v>
      </c>
      <c r="E100" s="264" t="s">
        <v>6518</v>
      </c>
      <c r="F100" s="265" t="s">
        <v>6631</v>
      </c>
      <c r="G100" s="266">
        <v>2025.0</v>
      </c>
    </row>
    <row r="101">
      <c r="A101" s="115">
        <f t="shared" si="2"/>
        <v>99</v>
      </c>
      <c r="B101" s="31"/>
      <c r="C101" s="86" t="str">
        <f t="shared" si="1"/>
        <v>B.2/0099/2025</v>
      </c>
      <c r="D101" s="97" t="s">
        <v>6612</v>
      </c>
      <c r="E101" s="264" t="s">
        <v>6518</v>
      </c>
      <c r="F101" s="265" t="s">
        <v>6632</v>
      </c>
      <c r="G101" s="266">
        <v>2025.0</v>
      </c>
    </row>
    <row r="102">
      <c r="A102" s="115">
        <f t="shared" si="2"/>
        <v>100</v>
      </c>
      <c r="B102" s="31"/>
      <c r="C102" s="86" t="str">
        <f t="shared" si="1"/>
        <v>B.2/0100/2025</v>
      </c>
      <c r="D102" s="97" t="s">
        <v>6612</v>
      </c>
      <c r="E102" s="264" t="s">
        <v>6518</v>
      </c>
      <c r="F102" s="265" t="s">
        <v>6633</v>
      </c>
      <c r="G102" s="266">
        <v>2025.0</v>
      </c>
    </row>
    <row r="103">
      <c r="E103" s="75"/>
      <c r="F103" s="75"/>
      <c r="G103" s="75"/>
    </row>
    <row r="104">
      <c r="E104" s="75"/>
      <c r="F104" s="75"/>
      <c r="G104" s="75"/>
    </row>
    <row r="105">
      <c r="E105" s="75"/>
      <c r="F105" s="75"/>
      <c r="G105" s="75"/>
    </row>
    <row r="106">
      <c r="E106" s="75"/>
      <c r="F106" s="75"/>
      <c r="G106" s="75"/>
    </row>
    <row r="107">
      <c r="E107" s="75"/>
      <c r="F107" s="75"/>
      <c r="G107" s="75"/>
    </row>
    <row r="108">
      <c r="A108" s="267" t="s">
        <v>6</v>
      </c>
      <c r="B108" s="267" t="s">
        <v>6516</v>
      </c>
      <c r="C108" s="267" t="s">
        <v>6517</v>
      </c>
      <c r="D108" s="267" t="s">
        <v>6634</v>
      </c>
      <c r="E108" s="131"/>
      <c r="F108" s="131"/>
      <c r="G108" s="131"/>
    </row>
    <row r="109">
      <c r="A109" s="267" t="s">
        <v>6635</v>
      </c>
      <c r="B109" s="261" t="s">
        <v>86</v>
      </c>
      <c r="C109" s="261" t="s">
        <v>6636</v>
      </c>
      <c r="D109" s="263"/>
      <c r="E109" s="131"/>
      <c r="F109" s="131"/>
      <c r="G109" s="131"/>
    </row>
    <row r="110">
      <c r="A110" s="115">
        <v>1.0</v>
      </c>
      <c r="B110" s="86" t="s">
        <v>86</v>
      </c>
      <c r="C110" s="86" t="str">
        <f t="shared" ref="C110:C145" si="3">E110&amp;"/"&amp;F110&amp;"/"&amp;G110</f>
        <v>B.10/0001/2019</v>
      </c>
      <c r="D110" s="268"/>
      <c r="E110" s="264" t="s">
        <v>6635</v>
      </c>
      <c r="F110" s="269" t="s">
        <v>6520</v>
      </c>
      <c r="G110" s="264">
        <v>2019.0</v>
      </c>
    </row>
    <row r="111">
      <c r="A111" s="115">
        <f t="shared" ref="A111:A145" si="4">A110+1</f>
        <v>2</v>
      </c>
      <c r="B111" s="86" t="s">
        <v>86</v>
      </c>
      <c r="C111" s="86" t="str">
        <f t="shared" si="3"/>
        <v>B.10/0002/2019</v>
      </c>
      <c r="D111" s="86"/>
      <c r="E111" s="264" t="s">
        <v>6635</v>
      </c>
      <c r="F111" s="269" t="s">
        <v>6521</v>
      </c>
      <c r="G111" s="264">
        <v>2019.0</v>
      </c>
    </row>
    <row r="112">
      <c r="A112" s="115">
        <f t="shared" si="4"/>
        <v>3</v>
      </c>
      <c r="B112" s="86" t="s">
        <v>86</v>
      </c>
      <c r="C112" s="86" t="str">
        <f t="shared" si="3"/>
        <v>B.10/0003/2019</v>
      </c>
      <c r="D112" s="86"/>
      <c r="E112" s="264" t="s">
        <v>6635</v>
      </c>
      <c r="F112" s="269" t="s">
        <v>6522</v>
      </c>
      <c r="G112" s="264">
        <v>2019.0</v>
      </c>
    </row>
    <row r="113">
      <c r="A113" s="115">
        <f t="shared" si="4"/>
        <v>4</v>
      </c>
      <c r="B113" s="86" t="s">
        <v>86</v>
      </c>
      <c r="C113" s="86" t="str">
        <f t="shared" si="3"/>
        <v>B.10/0004/2019</v>
      </c>
      <c r="D113" s="86"/>
      <c r="E113" s="264" t="s">
        <v>6635</v>
      </c>
      <c r="F113" s="269" t="s">
        <v>6523</v>
      </c>
      <c r="G113" s="264">
        <v>2019.0</v>
      </c>
    </row>
    <row r="114">
      <c r="A114" s="115">
        <f t="shared" si="4"/>
        <v>5</v>
      </c>
      <c r="B114" s="86" t="s">
        <v>86</v>
      </c>
      <c r="C114" s="86" t="str">
        <f t="shared" si="3"/>
        <v>B.10/0005/2019</v>
      </c>
      <c r="D114" s="86"/>
      <c r="E114" s="264" t="s">
        <v>6635</v>
      </c>
      <c r="F114" s="269" t="s">
        <v>6524</v>
      </c>
      <c r="G114" s="264">
        <v>2019.0</v>
      </c>
    </row>
    <row r="115">
      <c r="A115" s="115">
        <f t="shared" si="4"/>
        <v>6</v>
      </c>
      <c r="B115" s="86" t="s">
        <v>86</v>
      </c>
      <c r="C115" s="86" t="str">
        <f t="shared" si="3"/>
        <v>B.10/0006/2019</v>
      </c>
      <c r="D115" s="86"/>
      <c r="E115" s="264" t="s">
        <v>6635</v>
      </c>
      <c r="F115" s="269" t="s">
        <v>6525</v>
      </c>
      <c r="G115" s="264">
        <v>2019.0</v>
      </c>
    </row>
    <row r="116">
      <c r="A116" s="115">
        <f t="shared" si="4"/>
        <v>7</v>
      </c>
      <c r="B116" s="86" t="s">
        <v>86</v>
      </c>
      <c r="C116" s="86" t="str">
        <f t="shared" si="3"/>
        <v>B.10/0007/2019</v>
      </c>
      <c r="D116" s="86"/>
      <c r="E116" s="264" t="s">
        <v>6635</v>
      </c>
      <c r="F116" s="269" t="s">
        <v>6526</v>
      </c>
      <c r="G116" s="264">
        <v>2019.0</v>
      </c>
    </row>
    <row r="117">
      <c r="A117" s="115">
        <f t="shared" si="4"/>
        <v>8</v>
      </c>
      <c r="B117" s="86" t="s">
        <v>86</v>
      </c>
      <c r="C117" s="86" t="str">
        <f t="shared" si="3"/>
        <v>B.10/0008/2019</v>
      </c>
      <c r="D117" s="86"/>
      <c r="E117" s="264" t="s">
        <v>6635</v>
      </c>
      <c r="F117" s="269" t="s">
        <v>6527</v>
      </c>
      <c r="G117" s="264">
        <v>2019.0</v>
      </c>
    </row>
    <row r="118">
      <c r="A118" s="115">
        <f t="shared" si="4"/>
        <v>9</v>
      </c>
      <c r="B118" s="86" t="s">
        <v>86</v>
      </c>
      <c r="C118" s="86" t="str">
        <f t="shared" si="3"/>
        <v>B.10/0009/2019</v>
      </c>
      <c r="D118" s="86"/>
      <c r="E118" s="264" t="s">
        <v>6635</v>
      </c>
      <c r="F118" s="269" t="s">
        <v>6528</v>
      </c>
      <c r="G118" s="264">
        <v>2019.0</v>
      </c>
    </row>
    <row r="119">
      <c r="A119" s="115">
        <f t="shared" si="4"/>
        <v>10</v>
      </c>
      <c r="B119" s="86" t="s">
        <v>86</v>
      </c>
      <c r="C119" s="86" t="str">
        <f t="shared" si="3"/>
        <v>B.10/0010/2019</v>
      </c>
      <c r="D119" s="86"/>
      <c r="E119" s="264" t="s">
        <v>6635</v>
      </c>
      <c r="F119" s="269" t="s">
        <v>6530</v>
      </c>
      <c r="G119" s="264">
        <v>2019.0</v>
      </c>
    </row>
    <row r="120">
      <c r="A120" s="115">
        <f t="shared" si="4"/>
        <v>11</v>
      </c>
      <c r="B120" s="86" t="s">
        <v>86</v>
      </c>
      <c r="C120" s="86" t="str">
        <f t="shared" si="3"/>
        <v>B.10/0011/2019</v>
      </c>
      <c r="D120" s="86"/>
      <c r="E120" s="264" t="s">
        <v>6635</v>
      </c>
      <c r="F120" s="269" t="s">
        <v>6531</v>
      </c>
      <c r="G120" s="264">
        <v>2019.0</v>
      </c>
    </row>
    <row r="121">
      <c r="A121" s="115">
        <f t="shared" si="4"/>
        <v>12</v>
      </c>
      <c r="B121" s="86" t="s">
        <v>86</v>
      </c>
      <c r="C121" s="86" t="str">
        <f t="shared" si="3"/>
        <v>B.10/0012/2019</v>
      </c>
      <c r="D121" s="86"/>
      <c r="E121" s="264" t="s">
        <v>6635</v>
      </c>
      <c r="F121" s="269" t="s">
        <v>6532</v>
      </c>
      <c r="G121" s="264">
        <v>2019.0</v>
      </c>
    </row>
    <row r="122">
      <c r="A122" s="115">
        <f t="shared" si="4"/>
        <v>13</v>
      </c>
      <c r="B122" s="86" t="s">
        <v>86</v>
      </c>
      <c r="C122" s="86" t="str">
        <f t="shared" si="3"/>
        <v>B.10/0013/2019</v>
      </c>
      <c r="D122" s="86"/>
      <c r="E122" s="264" t="s">
        <v>6635</v>
      </c>
      <c r="F122" s="269" t="s">
        <v>6534</v>
      </c>
      <c r="G122" s="264">
        <v>2019.0</v>
      </c>
    </row>
    <row r="123">
      <c r="A123" s="115">
        <f t="shared" si="4"/>
        <v>14</v>
      </c>
      <c r="B123" s="86" t="s">
        <v>86</v>
      </c>
      <c r="C123" s="86" t="str">
        <f t="shared" si="3"/>
        <v>B.10/0014/2019</v>
      </c>
      <c r="D123" s="86"/>
      <c r="E123" s="264" t="s">
        <v>6635</v>
      </c>
      <c r="F123" s="269" t="s">
        <v>6535</v>
      </c>
      <c r="G123" s="264">
        <v>2019.0</v>
      </c>
    </row>
    <row r="124">
      <c r="A124" s="115">
        <f t="shared" si="4"/>
        <v>15</v>
      </c>
      <c r="B124" s="86" t="s">
        <v>86</v>
      </c>
      <c r="C124" s="86" t="str">
        <f t="shared" si="3"/>
        <v>B.10/0015/2019</v>
      </c>
      <c r="D124" s="86"/>
      <c r="E124" s="264" t="s">
        <v>6635</v>
      </c>
      <c r="F124" s="269" t="s">
        <v>6536</v>
      </c>
      <c r="G124" s="264">
        <v>2019.0</v>
      </c>
    </row>
    <row r="125">
      <c r="A125" s="115">
        <f t="shared" si="4"/>
        <v>16</v>
      </c>
      <c r="B125" s="86" t="s">
        <v>86</v>
      </c>
      <c r="C125" s="86" t="str">
        <f t="shared" si="3"/>
        <v>B.10/0016/2019</v>
      </c>
      <c r="D125" s="86"/>
      <c r="E125" s="264" t="s">
        <v>6635</v>
      </c>
      <c r="F125" s="269" t="s">
        <v>6537</v>
      </c>
      <c r="G125" s="264">
        <v>2019.0</v>
      </c>
    </row>
    <row r="126">
      <c r="A126" s="115">
        <f t="shared" si="4"/>
        <v>17</v>
      </c>
      <c r="B126" s="86" t="s">
        <v>86</v>
      </c>
      <c r="C126" s="86" t="str">
        <f t="shared" si="3"/>
        <v>B.10/0017/2019</v>
      </c>
      <c r="D126" s="86"/>
      <c r="E126" s="264" t="s">
        <v>6635</v>
      </c>
      <c r="F126" s="269" t="s">
        <v>6538</v>
      </c>
      <c r="G126" s="264">
        <v>2019.0</v>
      </c>
    </row>
    <row r="127">
      <c r="A127" s="115">
        <f t="shared" si="4"/>
        <v>18</v>
      </c>
      <c r="B127" s="86" t="s">
        <v>86</v>
      </c>
      <c r="C127" s="86" t="str">
        <f t="shared" si="3"/>
        <v>B.10/0018/2019</v>
      </c>
      <c r="D127" s="86"/>
      <c r="E127" s="264" t="s">
        <v>6635</v>
      </c>
      <c r="F127" s="269" t="s">
        <v>6539</v>
      </c>
      <c r="G127" s="264">
        <v>2019.0</v>
      </c>
    </row>
    <row r="128">
      <c r="A128" s="115">
        <f t="shared" si="4"/>
        <v>19</v>
      </c>
      <c r="B128" s="86" t="s">
        <v>86</v>
      </c>
      <c r="C128" s="86" t="str">
        <f t="shared" si="3"/>
        <v>B.10/0019/2019</v>
      </c>
      <c r="D128" s="86"/>
      <c r="E128" s="264" t="s">
        <v>6635</v>
      </c>
      <c r="F128" s="269" t="s">
        <v>6540</v>
      </c>
      <c r="G128" s="264">
        <v>2019.0</v>
      </c>
    </row>
    <row r="129">
      <c r="A129" s="115">
        <f t="shared" si="4"/>
        <v>20</v>
      </c>
      <c r="B129" s="86" t="s">
        <v>86</v>
      </c>
      <c r="C129" s="86" t="str">
        <f t="shared" si="3"/>
        <v>B.10/0020/2019</v>
      </c>
      <c r="D129" s="86"/>
      <c r="E129" s="264" t="s">
        <v>6635</v>
      </c>
      <c r="F129" s="269" t="s">
        <v>6541</v>
      </c>
      <c r="G129" s="264">
        <v>2019.0</v>
      </c>
    </row>
    <row r="130">
      <c r="A130" s="115">
        <f t="shared" si="4"/>
        <v>21</v>
      </c>
      <c r="B130" s="86" t="s">
        <v>86</v>
      </c>
      <c r="C130" s="86" t="str">
        <f t="shared" si="3"/>
        <v>B.10/0021/2019</v>
      </c>
      <c r="D130" s="86"/>
      <c r="E130" s="264" t="s">
        <v>6635</v>
      </c>
      <c r="F130" s="269" t="s">
        <v>6542</v>
      </c>
      <c r="G130" s="264">
        <v>2019.0</v>
      </c>
    </row>
    <row r="131">
      <c r="A131" s="115">
        <f t="shared" si="4"/>
        <v>22</v>
      </c>
      <c r="B131" s="86" t="s">
        <v>86</v>
      </c>
      <c r="C131" s="86" t="str">
        <f t="shared" si="3"/>
        <v>B.10/0022/2019</v>
      </c>
      <c r="D131" s="86"/>
      <c r="E131" s="264" t="s">
        <v>6635</v>
      </c>
      <c r="F131" s="269" t="s">
        <v>6543</v>
      </c>
      <c r="G131" s="264">
        <v>2019.0</v>
      </c>
    </row>
    <row r="132">
      <c r="A132" s="115">
        <f t="shared" si="4"/>
        <v>23</v>
      </c>
      <c r="B132" s="86" t="s">
        <v>86</v>
      </c>
      <c r="C132" s="86" t="str">
        <f t="shared" si="3"/>
        <v>B.10/0023/2019</v>
      </c>
      <c r="D132" s="86"/>
      <c r="E132" s="264" t="s">
        <v>6635</v>
      </c>
      <c r="F132" s="269" t="s">
        <v>6544</v>
      </c>
      <c r="G132" s="264">
        <v>2019.0</v>
      </c>
    </row>
    <row r="133">
      <c r="A133" s="115">
        <f t="shared" si="4"/>
        <v>24</v>
      </c>
      <c r="B133" s="86" t="s">
        <v>86</v>
      </c>
      <c r="C133" s="86" t="str">
        <f t="shared" si="3"/>
        <v>B.10/0024/2019</v>
      </c>
      <c r="D133" s="86"/>
      <c r="E133" s="264" t="s">
        <v>6635</v>
      </c>
      <c r="F133" s="269" t="s">
        <v>6545</v>
      </c>
      <c r="G133" s="264">
        <v>2019.0</v>
      </c>
    </row>
    <row r="134">
      <c r="A134" s="115">
        <f t="shared" si="4"/>
        <v>25</v>
      </c>
      <c r="B134" s="86" t="s">
        <v>86</v>
      </c>
      <c r="C134" s="86" t="str">
        <f t="shared" si="3"/>
        <v>B.10/0025/2019</v>
      </c>
      <c r="D134" s="86"/>
      <c r="E134" s="264" t="s">
        <v>6635</v>
      </c>
      <c r="F134" s="269" t="s">
        <v>6546</v>
      </c>
      <c r="G134" s="264">
        <v>2019.0</v>
      </c>
    </row>
    <row r="135">
      <c r="A135" s="115">
        <f t="shared" si="4"/>
        <v>26</v>
      </c>
      <c r="B135" s="86" t="s">
        <v>86</v>
      </c>
      <c r="C135" s="86" t="str">
        <f t="shared" si="3"/>
        <v>B.10/0026/2019</v>
      </c>
      <c r="D135" s="86"/>
      <c r="E135" s="264" t="s">
        <v>6635</v>
      </c>
      <c r="F135" s="269" t="s">
        <v>6547</v>
      </c>
      <c r="G135" s="264">
        <v>2019.0</v>
      </c>
    </row>
    <row r="136">
      <c r="A136" s="115">
        <f t="shared" si="4"/>
        <v>27</v>
      </c>
      <c r="B136" s="86" t="s">
        <v>86</v>
      </c>
      <c r="C136" s="86" t="str">
        <f t="shared" si="3"/>
        <v>B.10/0027/2022</v>
      </c>
      <c r="D136" s="86"/>
      <c r="E136" s="264" t="s">
        <v>6635</v>
      </c>
      <c r="F136" s="269" t="s">
        <v>6548</v>
      </c>
      <c r="G136" s="264">
        <v>2022.0</v>
      </c>
    </row>
    <row r="137">
      <c r="A137" s="115">
        <f t="shared" si="4"/>
        <v>28</v>
      </c>
      <c r="B137" s="86" t="s">
        <v>86</v>
      </c>
      <c r="C137" s="86" t="str">
        <f t="shared" si="3"/>
        <v>B.10/0028/2022</v>
      </c>
      <c r="D137" s="86"/>
      <c r="E137" s="264" t="s">
        <v>6635</v>
      </c>
      <c r="F137" s="269" t="s">
        <v>6549</v>
      </c>
      <c r="G137" s="264">
        <v>2022.0</v>
      </c>
    </row>
    <row r="138">
      <c r="A138" s="115">
        <f t="shared" si="4"/>
        <v>29</v>
      </c>
      <c r="B138" s="86" t="s">
        <v>86</v>
      </c>
      <c r="C138" s="86" t="str">
        <f t="shared" si="3"/>
        <v>B.10/0029/2022</v>
      </c>
      <c r="D138" s="86"/>
      <c r="E138" s="264" t="s">
        <v>6635</v>
      </c>
      <c r="F138" s="269" t="s">
        <v>6550</v>
      </c>
      <c r="G138" s="264">
        <v>2022.0</v>
      </c>
    </row>
    <row r="139">
      <c r="A139" s="115">
        <f t="shared" si="4"/>
        <v>30</v>
      </c>
      <c r="B139" s="86" t="s">
        <v>86</v>
      </c>
      <c r="C139" s="86" t="str">
        <f t="shared" si="3"/>
        <v>B.10/0030/2022</v>
      </c>
      <c r="D139" s="86"/>
      <c r="E139" s="264" t="s">
        <v>6635</v>
      </c>
      <c r="F139" s="269" t="s">
        <v>6551</v>
      </c>
      <c r="G139" s="264">
        <v>2022.0</v>
      </c>
    </row>
    <row r="140">
      <c r="A140" s="115">
        <f t="shared" si="4"/>
        <v>31</v>
      </c>
      <c r="B140" s="86" t="s">
        <v>86</v>
      </c>
      <c r="C140" s="86" t="str">
        <f t="shared" si="3"/>
        <v>B.10/0031/2022</v>
      </c>
      <c r="D140" s="86"/>
      <c r="E140" s="264" t="s">
        <v>6635</v>
      </c>
      <c r="F140" s="269" t="s">
        <v>6552</v>
      </c>
      <c r="G140" s="264">
        <v>2022.0</v>
      </c>
    </row>
    <row r="141">
      <c r="A141" s="115">
        <f t="shared" si="4"/>
        <v>32</v>
      </c>
      <c r="B141" s="86" t="s">
        <v>86</v>
      </c>
      <c r="C141" s="86" t="str">
        <f t="shared" si="3"/>
        <v>B.10/0032/2025</v>
      </c>
      <c r="D141" s="86"/>
      <c r="E141" s="264" t="s">
        <v>6635</v>
      </c>
      <c r="F141" s="264" t="s">
        <v>6553</v>
      </c>
      <c r="G141" s="264">
        <v>2025.0</v>
      </c>
    </row>
    <row r="142">
      <c r="A142" s="115">
        <f t="shared" si="4"/>
        <v>33</v>
      </c>
      <c r="B142" s="86" t="s">
        <v>86</v>
      </c>
      <c r="C142" s="86" t="str">
        <f t="shared" si="3"/>
        <v>B.10/0033/2025</v>
      </c>
      <c r="D142" s="86"/>
      <c r="E142" s="264" t="s">
        <v>6635</v>
      </c>
      <c r="F142" s="264" t="s">
        <v>6554</v>
      </c>
      <c r="G142" s="264">
        <v>2025.0</v>
      </c>
    </row>
    <row r="143">
      <c r="A143" s="115">
        <f t="shared" si="4"/>
        <v>34</v>
      </c>
      <c r="B143" s="86" t="s">
        <v>86</v>
      </c>
      <c r="C143" s="86" t="str">
        <f t="shared" si="3"/>
        <v>B.10/0034/2025</v>
      </c>
      <c r="D143" s="86"/>
      <c r="E143" s="264" t="s">
        <v>6635</v>
      </c>
      <c r="F143" s="264" t="s">
        <v>6555</v>
      </c>
      <c r="G143" s="264">
        <v>2025.0</v>
      </c>
    </row>
    <row r="144">
      <c r="A144" s="115">
        <f t="shared" si="4"/>
        <v>35</v>
      </c>
      <c r="B144" s="86" t="s">
        <v>86</v>
      </c>
      <c r="C144" s="86" t="str">
        <f t="shared" si="3"/>
        <v>B.10/0035/2025</v>
      </c>
      <c r="D144" s="86"/>
      <c r="E144" s="264" t="s">
        <v>6635</v>
      </c>
      <c r="F144" s="264" t="s">
        <v>6556</v>
      </c>
      <c r="G144" s="264">
        <v>2025.0</v>
      </c>
    </row>
    <row r="145">
      <c r="A145" s="115">
        <f t="shared" si="4"/>
        <v>36</v>
      </c>
      <c r="B145" s="86" t="s">
        <v>86</v>
      </c>
      <c r="C145" s="86" t="str">
        <f t="shared" si="3"/>
        <v>B.10/0036/2025</v>
      </c>
      <c r="D145" s="86"/>
      <c r="E145" s="264" t="s">
        <v>6635</v>
      </c>
      <c r="F145" s="264" t="s">
        <v>6557</v>
      </c>
      <c r="G145" s="264">
        <v>2025.0</v>
      </c>
    </row>
    <row r="146">
      <c r="E146" s="75"/>
      <c r="F146" s="75"/>
      <c r="G146" s="75"/>
    </row>
    <row r="147">
      <c r="E147" s="75"/>
      <c r="F147" s="75"/>
      <c r="G147" s="75"/>
    </row>
    <row r="148">
      <c r="E148" s="75"/>
      <c r="F148" s="75"/>
      <c r="G148" s="75"/>
    </row>
    <row r="149">
      <c r="E149" s="75"/>
      <c r="F149" s="75"/>
      <c r="G149" s="75"/>
    </row>
    <row r="150">
      <c r="E150" s="75"/>
      <c r="F150" s="75"/>
      <c r="G150" s="75"/>
    </row>
    <row r="151">
      <c r="A151" s="267" t="s">
        <v>6</v>
      </c>
      <c r="B151" s="267" t="s">
        <v>6516</v>
      </c>
      <c r="C151" s="267" t="s">
        <v>6517</v>
      </c>
      <c r="D151" s="267" t="s">
        <v>6634</v>
      </c>
      <c r="E151" s="131"/>
      <c r="F151" s="131"/>
      <c r="G151" s="131"/>
    </row>
    <row r="152">
      <c r="A152" s="267" t="s">
        <v>6637</v>
      </c>
      <c r="B152" s="261" t="s">
        <v>6638</v>
      </c>
      <c r="C152" s="262" t="s">
        <v>6639</v>
      </c>
      <c r="D152" s="263"/>
      <c r="E152" s="131"/>
      <c r="F152" s="131"/>
      <c r="G152" s="131"/>
    </row>
    <row r="153">
      <c r="A153" s="115">
        <v>1.0</v>
      </c>
      <c r="B153" s="86" t="s">
        <v>6640</v>
      </c>
      <c r="C153" s="86" t="str">
        <f t="shared" ref="C153:C325" si="5">E153&amp;"/"&amp;F153&amp;"/"&amp;G153</f>
        <v>B.11/0001/2020</v>
      </c>
      <c r="D153" s="86"/>
      <c r="E153" s="264" t="s">
        <v>6637</v>
      </c>
      <c r="F153" s="269" t="s">
        <v>6520</v>
      </c>
      <c r="G153" s="264">
        <v>2020.0</v>
      </c>
    </row>
    <row r="154">
      <c r="A154" s="115">
        <f t="shared" ref="A154:A325" si="6">A153+1</f>
        <v>2</v>
      </c>
      <c r="B154" s="86" t="s">
        <v>6640</v>
      </c>
      <c r="C154" s="86" t="str">
        <f t="shared" si="5"/>
        <v>B.11/0002/2022</v>
      </c>
      <c r="D154" s="86"/>
      <c r="E154" s="264" t="s">
        <v>6637</v>
      </c>
      <c r="F154" s="269" t="s">
        <v>6521</v>
      </c>
      <c r="G154" s="264">
        <v>2022.0</v>
      </c>
    </row>
    <row r="155">
      <c r="A155" s="115">
        <f t="shared" si="6"/>
        <v>3</v>
      </c>
      <c r="B155" s="86" t="s">
        <v>6641</v>
      </c>
      <c r="C155" s="86" t="str">
        <f t="shared" si="5"/>
        <v>B.11/0003/2020</v>
      </c>
      <c r="D155" s="86"/>
      <c r="E155" s="264" t="s">
        <v>6637</v>
      </c>
      <c r="F155" s="269" t="s">
        <v>6522</v>
      </c>
      <c r="G155" s="264">
        <v>2020.0</v>
      </c>
    </row>
    <row r="156">
      <c r="A156" s="115">
        <f t="shared" si="6"/>
        <v>4</v>
      </c>
      <c r="B156" s="86" t="s">
        <v>6641</v>
      </c>
      <c r="C156" s="86" t="str">
        <f t="shared" si="5"/>
        <v>B.11/0004/2020</v>
      </c>
      <c r="D156" s="86"/>
      <c r="E156" s="264" t="s">
        <v>6637</v>
      </c>
      <c r="F156" s="269" t="s">
        <v>6523</v>
      </c>
      <c r="G156" s="264">
        <v>2020.0</v>
      </c>
    </row>
    <row r="157">
      <c r="A157" s="115">
        <f t="shared" si="6"/>
        <v>5</v>
      </c>
      <c r="B157" s="86" t="s">
        <v>6641</v>
      </c>
      <c r="C157" s="86" t="str">
        <f t="shared" si="5"/>
        <v>B.11/0005/2020</v>
      </c>
      <c r="D157" s="86"/>
      <c r="E157" s="264" t="s">
        <v>6637</v>
      </c>
      <c r="F157" s="269" t="s">
        <v>6524</v>
      </c>
      <c r="G157" s="264">
        <v>2020.0</v>
      </c>
    </row>
    <row r="158">
      <c r="A158" s="115">
        <f t="shared" si="6"/>
        <v>6</v>
      </c>
      <c r="B158" s="86" t="s">
        <v>6642</v>
      </c>
      <c r="C158" s="86" t="str">
        <f t="shared" si="5"/>
        <v>B.11/0006/2020</v>
      </c>
      <c r="D158" s="86"/>
      <c r="E158" s="264" t="s">
        <v>6637</v>
      </c>
      <c r="F158" s="269" t="s">
        <v>6525</v>
      </c>
      <c r="G158" s="264">
        <v>2020.0</v>
      </c>
    </row>
    <row r="159">
      <c r="A159" s="115">
        <f t="shared" si="6"/>
        <v>7</v>
      </c>
      <c r="B159" s="86" t="s">
        <v>6642</v>
      </c>
      <c r="C159" s="86" t="str">
        <f t="shared" si="5"/>
        <v>B.11/0007/2020</v>
      </c>
      <c r="D159" s="86"/>
      <c r="E159" s="264" t="s">
        <v>6637</v>
      </c>
      <c r="F159" s="269" t="s">
        <v>6526</v>
      </c>
      <c r="G159" s="264">
        <v>2020.0</v>
      </c>
    </row>
    <row r="160">
      <c r="A160" s="115">
        <f t="shared" si="6"/>
        <v>8</v>
      </c>
      <c r="B160" s="86" t="s">
        <v>6642</v>
      </c>
      <c r="C160" s="86" t="str">
        <f t="shared" si="5"/>
        <v>B.11/0008/2020</v>
      </c>
      <c r="D160" s="86"/>
      <c r="E160" s="264" t="s">
        <v>6637</v>
      </c>
      <c r="F160" s="269" t="s">
        <v>6527</v>
      </c>
      <c r="G160" s="264">
        <v>2020.0</v>
      </c>
    </row>
    <row r="161">
      <c r="A161" s="115">
        <f t="shared" si="6"/>
        <v>9</v>
      </c>
      <c r="B161" s="86" t="s">
        <v>6643</v>
      </c>
      <c r="C161" s="86" t="str">
        <f t="shared" si="5"/>
        <v>B.11/0009/2020</v>
      </c>
      <c r="D161" s="86"/>
      <c r="E161" s="264" t="s">
        <v>6637</v>
      </c>
      <c r="F161" s="269" t="s">
        <v>6528</v>
      </c>
      <c r="G161" s="264">
        <v>2020.0</v>
      </c>
    </row>
    <row r="162">
      <c r="A162" s="115">
        <f t="shared" si="6"/>
        <v>10</v>
      </c>
      <c r="B162" s="86" t="s">
        <v>6643</v>
      </c>
      <c r="C162" s="86" t="str">
        <f t="shared" si="5"/>
        <v>B.11/0010/2020</v>
      </c>
      <c r="D162" s="86"/>
      <c r="E162" s="264" t="s">
        <v>6637</v>
      </c>
      <c r="F162" s="269" t="s">
        <v>6530</v>
      </c>
      <c r="G162" s="264">
        <v>2020.0</v>
      </c>
    </row>
    <row r="163">
      <c r="A163" s="115">
        <f t="shared" si="6"/>
        <v>11</v>
      </c>
      <c r="B163" s="86" t="s">
        <v>6643</v>
      </c>
      <c r="C163" s="86" t="str">
        <f t="shared" si="5"/>
        <v>B.11/0011/2020</v>
      </c>
      <c r="D163" s="86"/>
      <c r="E163" s="264" t="s">
        <v>6637</v>
      </c>
      <c r="F163" s="269" t="s">
        <v>6531</v>
      </c>
      <c r="G163" s="264">
        <v>2020.0</v>
      </c>
    </row>
    <row r="164">
      <c r="A164" s="115">
        <f t="shared" si="6"/>
        <v>12</v>
      </c>
      <c r="B164" s="86" t="s">
        <v>6643</v>
      </c>
      <c r="C164" s="86" t="str">
        <f t="shared" si="5"/>
        <v>B.11/0012/2020</v>
      </c>
      <c r="D164" s="86"/>
      <c r="E164" s="264" t="s">
        <v>6637</v>
      </c>
      <c r="F164" s="269" t="s">
        <v>6532</v>
      </c>
      <c r="G164" s="264">
        <v>2020.0</v>
      </c>
    </row>
    <row r="165">
      <c r="A165" s="115">
        <f t="shared" si="6"/>
        <v>13</v>
      </c>
      <c r="B165" s="86" t="s">
        <v>6643</v>
      </c>
      <c r="C165" s="86" t="str">
        <f t="shared" si="5"/>
        <v>B.11/0013/2020</v>
      </c>
      <c r="D165" s="86"/>
      <c r="E165" s="264" t="s">
        <v>6637</v>
      </c>
      <c r="F165" s="269" t="s">
        <v>6534</v>
      </c>
      <c r="G165" s="264">
        <v>2020.0</v>
      </c>
    </row>
    <row r="166">
      <c r="A166" s="115">
        <f t="shared" si="6"/>
        <v>14</v>
      </c>
      <c r="B166" s="86" t="s">
        <v>6643</v>
      </c>
      <c r="C166" s="86" t="str">
        <f t="shared" si="5"/>
        <v>B.11/0014/2020</v>
      </c>
      <c r="D166" s="86"/>
      <c r="E166" s="264" t="s">
        <v>6637</v>
      </c>
      <c r="F166" s="269" t="s">
        <v>6535</v>
      </c>
      <c r="G166" s="264">
        <v>2020.0</v>
      </c>
    </row>
    <row r="167">
      <c r="A167" s="115">
        <f t="shared" si="6"/>
        <v>15</v>
      </c>
      <c r="B167" s="86" t="s">
        <v>6643</v>
      </c>
      <c r="C167" s="86" t="str">
        <f t="shared" si="5"/>
        <v>B.11/0015/2020</v>
      </c>
      <c r="D167" s="86"/>
      <c r="E167" s="264" t="s">
        <v>6637</v>
      </c>
      <c r="F167" s="269" t="s">
        <v>6536</v>
      </c>
      <c r="G167" s="264">
        <v>2020.0</v>
      </c>
    </row>
    <row r="168">
      <c r="A168" s="115">
        <f t="shared" si="6"/>
        <v>16</v>
      </c>
      <c r="B168" s="86" t="s">
        <v>6644</v>
      </c>
      <c r="C168" s="86" t="str">
        <f t="shared" si="5"/>
        <v>B.11/0016/2022</v>
      </c>
      <c r="D168" s="86"/>
      <c r="E168" s="264" t="s">
        <v>6637</v>
      </c>
      <c r="F168" s="269" t="s">
        <v>6537</v>
      </c>
      <c r="G168" s="264">
        <v>2022.0</v>
      </c>
    </row>
    <row r="169">
      <c r="A169" s="115">
        <f t="shared" si="6"/>
        <v>17</v>
      </c>
      <c r="B169" s="86" t="s">
        <v>6645</v>
      </c>
      <c r="C169" s="86" t="str">
        <f t="shared" si="5"/>
        <v>B.11/0017/2022</v>
      </c>
      <c r="D169" s="86"/>
      <c r="E169" s="264" t="s">
        <v>6637</v>
      </c>
      <c r="F169" s="269" t="s">
        <v>6538</v>
      </c>
      <c r="G169" s="264">
        <v>2022.0</v>
      </c>
    </row>
    <row r="170">
      <c r="A170" s="115">
        <f t="shared" si="6"/>
        <v>18</v>
      </c>
      <c r="B170" s="86" t="s">
        <v>6646</v>
      </c>
      <c r="C170" s="86" t="str">
        <f t="shared" si="5"/>
        <v>B.11/0018/2020</v>
      </c>
      <c r="D170" s="86"/>
      <c r="E170" s="264" t="s">
        <v>6637</v>
      </c>
      <c r="F170" s="269" t="s">
        <v>6539</v>
      </c>
      <c r="G170" s="264">
        <v>2020.0</v>
      </c>
    </row>
    <row r="171">
      <c r="A171" s="115">
        <f t="shared" si="6"/>
        <v>19</v>
      </c>
      <c r="B171" s="86" t="s">
        <v>6646</v>
      </c>
      <c r="C171" s="86" t="str">
        <f t="shared" si="5"/>
        <v>B.11/0019/2020</v>
      </c>
      <c r="D171" s="86"/>
      <c r="E171" s="264" t="s">
        <v>6637</v>
      </c>
      <c r="F171" s="269" t="s">
        <v>6540</v>
      </c>
      <c r="G171" s="264">
        <v>2020.0</v>
      </c>
    </row>
    <row r="172">
      <c r="A172" s="115">
        <f t="shared" si="6"/>
        <v>20</v>
      </c>
      <c r="B172" s="86" t="s">
        <v>6646</v>
      </c>
      <c r="C172" s="86" t="str">
        <f t="shared" si="5"/>
        <v>B.11/0020/2020</v>
      </c>
      <c r="D172" s="86"/>
      <c r="E172" s="264" t="s">
        <v>6637</v>
      </c>
      <c r="F172" s="269" t="s">
        <v>6541</v>
      </c>
      <c r="G172" s="264">
        <v>2020.0</v>
      </c>
    </row>
    <row r="173">
      <c r="A173" s="115">
        <f t="shared" si="6"/>
        <v>21</v>
      </c>
      <c r="B173" s="86" t="s">
        <v>6647</v>
      </c>
      <c r="C173" s="86" t="str">
        <f t="shared" si="5"/>
        <v>B.11/0021/2022</v>
      </c>
      <c r="D173" s="86"/>
      <c r="E173" s="264" t="s">
        <v>6637</v>
      </c>
      <c r="F173" s="269" t="s">
        <v>6542</v>
      </c>
      <c r="G173" s="264">
        <v>2022.0</v>
      </c>
    </row>
    <row r="174">
      <c r="A174" s="115">
        <f t="shared" si="6"/>
        <v>22</v>
      </c>
      <c r="B174" s="86" t="s">
        <v>6647</v>
      </c>
      <c r="C174" s="86" t="str">
        <f t="shared" si="5"/>
        <v>B.11/0022/2022</v>
      </c>
      <c r="D174" s="86"/>
      <c r="E174" s="264" t="s">
        <v>6637</v>
      </c>
      <c r="F174" s="269" t="s">
        <v>6543</v>
      </c>
      <c r="G174" s="264">
        <v>2022.0</v>
      </c>
    </row>
    <row r="175">
      <c r="A175" s="115">
        <f t="shared" si="6"/>
        <v>23</v>
      </c>
      <c r="B175" s="86" t="s">
        <v>6648</v>
      </c>
      <c r="C175" s="86" t="str">
        <f t="shared" si="5"/>
        <v>B.11/0023/2022</v>
      </c>
      <c r="D175" s="86"/>
      <c r="E175" s="264" t="s">
        <v>6637</v>
      </c>
      <c r="F175" s="269" t="s">
        <v>6544</v>
      </c>
      <c r="G175" s="264">
        <v>2022.0</v>
      </c>
    </row>
    <row r="176">
      <c r="A176" s="115">
        <f t="shared" si="6"/>
        <v>24</v>
      </c>
      <c r="B176" s="86" t="s">
        <v>6649</v>
      </c>
      <c r="C176" s="86" t="str">
        <f t="shared" si="5"/>
        <v>B.11/0024/2022</v>
      </c>
      <c r="D176" s="86"/>
      <c r="E176" s="264" t="s">
        <v>6637</v>
      </c>
      <c r="F176" s="269" t="s">
        <v>6545</v>
      </c>
      <c r="G176" s="264">
        <v>2022.0</v>
      </c>
    </row>
    <row r="177">
      <c r="A177" s="115">
        <f t="shared" si="6"/>
        <v>25</v>
      </c>
      <c r="B177" s="86" t="s">
        <v>6649</v>
      </c>
      <c r="C177" s="86" t="str">
        <f t="shared" si="5"/>
        <v>B.11/0025/2022</v>
      </c>
      <c r="D177" s="86"/>
      <c r="E177" s="264" t="s">
        <v>6637</v>
      </c>
      <c r="F177" s="269" t="s">
        <v>6546</v>
      </c>
      <c r="G177" s="264">
        <v>2022.0</v>
      </c>
    </row>
    <row r="178">
      <c r="A178" s="115">
        <f t="shared" si="6"/>
        <v>26</v>
      </c>
      <c r="B178" s="86" t="s">
        <v>6649</v>
      </c>
      <c r="C178" s="86" t="str">
        <f t="shared" si="5"/>
        <v>B.11/0026/2022</v>
      </c>
      <c r="D178" s="86"/>
      <c r="E178" s="264" t="s">
        <v>6637</v>
      </c>
      <c r="F178" s="269" t="s">
        <v>6547</v>
      </c>
      <c r="G178" s="264">
        <v>2022.0</v>
      </c>
    </row>
    <row r="179">
      <c r="A179" s="115">
        <f t="shared" si="6"/>
        <v>27</v>
      </c>
      <c r="B179" s="86" t="s">
        <v>6649</v>
      </c>
      <c r="C179" s="86" t="str">
        <f t="shared" si="5"/>
        <v>B.11/0027/2022</v>
      </c>
      <c r="D179" s="86"/>
      <c r="E179" s="264" t="s">
        <v>6637</v>
      </c>
      <c r="F179" s="269" t="s">
        <v>6548</v>
      </c>
      <c r="G179" s="264">
        <v>2022.0</v>
      </c>
    </row>
    <row r="180">
      <c r="A180" s="115">
        <f t="shared" si="6"/>
        <v>28</v>
      </c>
      <c r="B180" s="86" t="s">
        <v>6649</v>
      </c>
      <c r="C180" s="86" t="str">
        <f t="shared" si="5"/>
        <v>B.11/0028/2022</v>
      </c>
      <c r="D180" s="86"/>
      <c r="E180" s="264" t="s">
        <v>6637</v>
      </c>
      <c r="F180" s="269" t="s">
        <v>6549</v>
      </c>
      <c r="G180" s="264">
        <v>2022.0</v>
      </c>
    </row>
    <row r="181">
      <c r="A181" s="115">
        <f t="shared" si="6"/>
        <v>29</v>
      </c>
      <c r="B181" s="86" t="s">
        <v>6650</v>
      </c>
      <c r="C181" s="86" t="str">
        <f t="shared" si="5"/>
        <v>B.11/0029/2022</v>
      </c>
      <c r="D181" s="86"/>
      <c r="E181" s="264" t="s">
        <v>6637</v>
      </c>
      <c r="F181" s="269" t="s">
        <v>6550</v>
      </c>
      <c r="G181" s="264">
        <v>2022.0</v>
      </c>
    </row>
    <row r="182">
      <c r="A182" s="115">
        <f t="shared" si="6"/>
        <v>30</v>
      </c>
      <c r="B182" s="86" t="s">
        <v>6650</v>
      </c>
      <c r="C182" s="86" t="str">
        <f t="shared" si="5"/>
        <v>B.11/0030/2022</v>
      </c>
      <c r="D182" s="86"/>
      <c r="E182" s="264" t="s">
        <v>6637</v>
      </c>
      <c r="F182" s="269" t="s">
        <v>6551</v>
      </c>
      <c r="G182" s="264">
        <v>2022.0</v>
      </c>
    </row>
    <row r="183">
      <c r="A183" s="115">
        <f t="shared" si="6"/>
        <v>31</v>
      </c>
      <c r="B183" s="86" t="s">
        <v>6651</v>
      </c>
      <c r="C183" s="86" t="str">
        <f t="shared" si="5"/>
        <v>B.11/0031/2020</v>
      </c>
      <c r="D183" s="86"/>
      <c r="E183" s="264" t="s">
        <v>6637</v>
      </c>
      <c r="F183" s="269" t="s">
        <v>6552</v>
      </c>
      <c r="G183" s="264">
        <v>2020.0</v>
      </c>
    </row>
    <row r="184">
      <c r="A184" s="115">
        <f t="shared" si="6"/>
        <v>32</v>
      </c>
      <c r="B184" s="86" t="s">
        <v>6652</v>
      </c>
      <c r="C184" s="86" t="str">
        <f t="shared" si="5"/>
        <v>B.11/0032/2023</v>
      </c>
      <c r="D184" s="86"/>
      <c r="E184" s="264" t="s">
        <v>6637</v>
      </c>
      <c r="F184" s="269" t="s">
        <v>6553</v>
      </c>
      <c r="G184" s="264">
        <v>2023.0</v>
      </c>
    </row>
    <row r="185">
      <c r="A185" s="115">
        <f t="shared" si="6"/>
        <v>33</v>
      </c>
      <c r="B185" s="86" t="s">
        <v>6652</v>
      </c>
      <c r="C185" s="86" t="str">
        <f t="shared" si="5"/>
        <v>B.11/0033/2023</v>
      </c>
      <c r="D185" s="86"/>
      <c r="E185" s="264" t="s">
        <v>6637</v>
      </c>
      <c r="F185" s="269" t="s">
        <v>6554</v>
      </c>
      <c r="G185" s="264">
        <v>2023.0</v>
      </c>
    </row>
    <row r="186">
      <c r="A186" s="115">
        <f t="shared" si="6"/>
        <v>34</v>
      </c>
      <c r="B186" s="86" t="s">
        <v>6652</v>
      </c>
      <c r="C186" s="86" t="str">
        <f t="shared" si="5"/>
        <v>B.11/0034/2023</v>
      </c>
      <c r="D186" s="86"/>
      <c r="E186" s="264" t="s">
        <v>6637</v>
      </c>
      <c r="F186" s="269" t="s">
        <v>6555</v>
      </c>
      <c r="G186" s="264">
        <v>2023.0</v>
      </c>
    </row>
    <row r="187">
      <c r="A187" s="115">
        <f t="shared" si="6"/>
        <v>35</v>
      </c>
      <c r="B187" s="86" t="s">
        <v>6652</v>
      </c>
      <c r="C187" s="86" t="str">
        <f t="shared" si="5"/>
        <v>B.11/0035/2023</v>
      </c>
      <c r="D187" s="86"/>
      <c r="E187" s="264" t="s">
        <v>6637</v>
      </c>
      <c r="F187" s="269" t="s">
        <v>6556</v>
      </c>
      <c r="G187" s="264">
        <v>2023.0</v>
      </c>
    </row>
    <row r="188">
      <c r="A188" s="115">
        <f t="shared" si="6"/>
        <v>36</v>
      </c>
      <c r="B188" s="86" t="s">
        <v>6652</v>
      </c>
      <c r="C188" s="86" t="str">
        <f t="shared" si="5"/>
        <v>B.11/0036/2023</v>
      </c>
      <c r="D188" s="86"/>
      <c r="E188" s="264" t="s">
        <v>6637</v>
      </c>
      <c r="F188" s="269" t="s">
        <v>6557</v>
      </c>
      <c r="G188" s="264">
        <v>2023.0</v>
      </c>
    </row>
    <row r="189">
      <c r="A189" s="115">
        <f t="shared" si="6"/>
        <v>37</v>
      </c>
      <c r="B189" s="86" t="s">
        <v>6652</v>
      </c>
      <c r="C189" s="86" t="str">
        <f t="shared" si="5"/>
        <v>B.11/0037/2023</v>
      </c>
      <c r="D189" s="86"/>
      <c r="E189" s="264" t="s">
        <v>6637</v>
      </c>
      <c r="F189" s="269" t="s">
        <v>6558</v>
      </c>
      <c r="G189" s="264">
        <v>2023.0</v>
      </c>
    </row>
    <row r="190">
      <c r="A190" s="115">
        <f t="shared" si="6"/>
        <v>38</v>
      </c>
      <c r="B190" s="86" t="s">
        <v>6652</v>
      </c>
      <c r="C190" s="86" t="str">
        <f t="shared" si="5"/>
        <v>B.11/0038/2023</v>
      </c>
      <c r="D190" s="86"/>
      <c r="E190" s="264" t="s">
        <v>6637</v>
      </c>
      <c r="F190" s="269" t="s">
        <v>6559</v>
      </c>
      <c r="G190" s="264">
        <v>2023.0</v>
      </c>
    </row>
    <row r="191">
      <c r="A191" s="115">
        <f t="shared" si="6"/>
        <v>39</v>
      </c>
      <c r="B191" s="86" t="s">
        <v>6652</v>
      </c>
      <c r="C191" s="86" t="str">
        <f t="shared" si="5"/>
        <v>B.11/0039/2023</v>
      </c>
      <c r="D191" s="86"/>
      <c r="E191" s="264" t="s">
        <v>6637</v>
      </c>
      <c r="F191" s="269" t="s">
        <v>6560</v>
      </c>
      <c r="G191" s="264">
        <v>2023.0</v>
      </c>
    </row>
    <row r="192">
      <c r="A192" s="115">
        <f t="shared" si="6"/>
        <v>40</v>
      </c>
      <c r="B192" s="86" t="s">
        <v>6652</v>
      </c>
      <c r="C192" s="86" t="str">
        <f t="shared" si="5"/>
        <v>B.11/0040/2023</v>
      </c>
      <c r="D192" s="86"/>
      <c r="E192" s="264" t="s">
        <v>6637</v>
      </c>
      <c r="F192" s="269" t="s">
        <v>6561</v>
      </c>
      <c r="G192" s="264">
        <v>2023.0</v>
      </c>
    </row>
    <row r="193">
      <c r="A193" s="115">
        <f t="shared" si="6"/>
        <v>41</v>
      </c>
      <c r="B193" s="86" t="s">
        <v>6652</v>
      </c>
      <c r="C193" s="86" t="str">
        <f t="shared" si="5"/>
        <v>B.11/0041/2023</v>
      </c>
      <c r="D193" s="86"/>
      <c r="E193" s="264" t="s">
        <v>6637</v>
      </c>
      <c r="F193" s="269" t="s">
        <v>6562</v>
      </c>
      <c r="G193" s="264">
        <v>2023.0</v>
      </c>
    </row>
    <row r="194">
      <c r="A194" s="115">
        <f t="shared" si="6"/>
        <v>42</v>
      </c>
      <c r="B194" s="86" t="s">
        <v>6653</v>
      </c>
      <c r="C194" s="86" t="str">
        <f t="shared" si="5"/>
        <v>B.11/0042/2019</v>
      </c>
      <c r="D194" s="86"/>
      <c r="E194" s="264" t="s">
        <v>6637</v>
      </c>
      <c r="F194" s="264" t="s">
        <v>6563</v>
      </c>
      <c r="G194" s="264">
        <v>2019.0</v>
      </c>
    </row>
    <row r="195">
      <c r="A195" s="115">
        <f t="shared" si="6"/>
        <v>43</v>
      </c>
      <c r="B195" s="86" t="s">
        <v>6653</v>
      </c>
      <c r="C195" s="86" t="str">
        <f t="shared" si="5"/>
        <v>B.11/0043/2019</v>
      </c>
      <c r="D195" s="86"/>
      <c r="E195" s="264" t="s">
        <v>6637</v>
      </c>
      <c r="F195" s="264" t="s">
        <v>6564</v>
      </c>
      <c r="G195" s="264">
        <v>2019.0</v>
      </c>
    </row>
    <row r="196">
      <c r="A196" s="115">
        <f t="shared" si="6"/>
        <v>44</v>
      </c>
      <c r="B196" s="86" t="s">
        <v>6653</v>
      </c>
      <c r="C196" s="86" t="str">
        <f t="shared" si="5"/>
        <v>B.11/0044/2019</v>
      </c>
      <c r="D196" s="86"/>
      <c r="E196" s="264" t="s">
        <v>6637</v>
      </c>
      <c r="F196" s="264" t="s">
        <v>6565</v>
      </c>
      <c r="G196" s="264">
        <v>2019.0</v>
      </c>
    </row>
    <row r="197">
      <c r="A197" s="115">
        <f t="shared" si="6"/>
        <v>45</v>
      </c>
      <c r="B197" s="86" t="s">
        <v>6653</v>
      </c>
      <c r="C197" s="86" t="str">
        <f t="shared" si="5"/>
        <v>B.11/0045/2019</v>
      </c>
      <c r="D197" s="86"/>
      <c r="E197" s="264" t="s">
        <v>6637</v>
      </c>
      <c r="F197" s="264" t="s">
        <v>6566</v>
      </c>
      <c r="G197" s="264">
        <v>2019.0</v>
      </c>
    </row>
    <row r="198">
      <c r="A198" s="115">
        <f t="shared" si="6"/>
        <v>46</v>
      </c>
      <c r="B198" s="86" t="s">
        <v>6653</v>
      </c>
      <c r="C198" s="86" t="str">
        <f t="shared" si="5"/>
        <v>B.11/0046/2019</v>
      </c>
      <c r="D198" s="86"/>
      <c r="E198" s="264" t="s">
        <v>6637</v>
      </c>
      <c r="F198" s="264" t="s">
        <v>6567</v>
      </c>
      <c r="G198" s="264">
        <v>2019.0</v>
      </c>
    </row>
    <row r="199">
      <c r="A199" s="115">
        <f t="shared" si="6"/>
        <v>47</v>
      </c>
      <c r="B199" s="86" t="s">
        <v>6653</v>
      </c>
      <c r="C199" s="86" t="str">
        <f t="shared" si="5"/>
        <v>B.11/0047/2019</v>
      </c>
      <c r="D199" s="86"/>
      <c r="E199" s="264" t="s">
        <v>6637</v>
      </c>
      <c r="F199" s="264" t="s">
        <v>6568</v>
      </c>
      <c r="G199" s="264">
        <v>2019.0</v>
      </c>
    </row>
    <row r="200">
      <c r="A200" s="115">
        <f t="shared" si="6"/>
        <v>48</v>
      </c>
      <c r="B200" s="86" t="s">
        <v>6653</v>
      </c>
      <c r="C200" s="86" t="str">
        <f t="shared" si="5"/>
        <v>B.11/0048/2019</v>
      </c>
      <c r="D200" s="86"/>
      <c r="E200" s="264" t="s">
        <v>6637</v>
      </c>
      <c r="F200" s="264" t="s">
        <v>6569</v>
      </c>
      <c r="G200" s="264">
        <v>2019.0</v>
      </c>
    </row>
    <row r="201">
      <c r="A201" s="115">
        <f t="shared" si="6"/>
        <v>49</v>
      </c>
      <c r="B201" s="86" t="s">
        <v>6653</v>
      </c>
      <c r="C201" s="86" t="str">
        <f t="shared" si="5"/>
        <v>B.11/0049/2019</v>
      </c>
      <c r="D201" s="86"/>
      <c r="E201" s="264" t="s">
        <v>6637</v>
      </c>
      <c r="F201" s="264" t="s">
        <v>6570</v>
      </c>
      <c r="G201" s="264">
        <v>2019.0</v>
      </c>
    </row>
    <row r="202">
      <c r="A202" s="115">
        <f t="shared" si="6"/>
        <v>50</v>
      </c>
      <c r="B202" s="86" t="s">
        <v>6653</v>
      </c>
      <c r="C202" s="86" t="str">
        <f t="shared" si="5"/>
        <v>B.11/0050/2019</v>
      </c>
      <c r="D202" s="86"/>
      <c r="E202" s="264" t="s">
        <v>6637</v>
      </c>
      <c r="F202" s="264" t="s">
        <v>6571</v>
      </c>
      <c r="G202" s="264">
        <v>2019.0</v>
      </c>
    </row>
    <row r="203">
      <c r="A203" s="115">
        <f t="shared" si="6"/>
        <v>51</v>
      </c>
      <c r="B203" s="86" t="s">
        <v>6653</v>
      </c>
      <c r="C203" s="86" t="str">
        <f t="shared" si="5"/>
        <v>B.11/0051/2019</v>
      </c>
      <c r="D203" s="86"/>
      <c r="E203" s="264" t="s">
        <v>6637</v>
      </c>
      <c r="F203" s="264" t="s">
        <v>6572</v>
      </c>
      <c r="G203" s="264">
        <v>2019.0</v>
      </c>
    </row>
    <row r="204">
      <c r="A204" s="115">
        <f t="shared" si="6"/>
        <v>52</v>
      </c>
      <c r="B204" s="86" t="s">
        <v>6653</v>
      </c>
      <c r="C204" s="86" t="str">
        <f t="shared" si="5"/>
        <v>B.11/0052/2019</v>
      </c>
      <c r="D204" s="86"/>
      <c r="E204" s="264" t="s">
        <v>6637</v>
      </c>
      <c r="F204" s="264" t="s">
        <v>6573</v>
      </c>
      <c r="G204" s="264">
        <v>2019.0</v>
      </c>
    </row>
    <row r="205">
      <c r="A205" s="115">
        <f t="shared" si="6"/>
        <v>53</v>
      </c>
      <c r="B205" s="86" t="s">
        <v>6653</v>
      </c>
      <c r="C205" s="86" t="str">
        <f t="shared" si="5"/>
        <v>B.11/0053/2019</v>
      </c>
      <c r="D205" s="86"/>
      <c r="E205" s="264" t="s">
        <v>6637</v>
      </c>
      <c r="F205" s="264" t="s">
        <v>6574</v>
      </c>
      <c r="G205" s="264">
        <v>2019.0</v>
      </c>
    </row>
    <row r="206">
      <c r="A206" s="115">
        <f t="shared" si="6"/>
        <v>54</v>
      </c>
      <c r="B206" s="86" t="s">
        <v>6653</v>
      </c>
      <c r="C206" s="86" t="str">
        <f t="shared" si="5"/>
        <v>B.11/0054/2019</v>
      </c>
      <c r="D206" s="86"/>
      <c r="E206" s="264" t="s">
        <v>6637</v>
      </c>
      <c r="F206" s="264" t="s">
        <v>6575</v>
      </c>
      <c r="G206" s="264">
        <v>2019.0</v>
      </c>
    </row>
    <row r="207">
      <c r="A207" s="115">
        <f t="shared" si="6"/>
        <v>55</v>
      </c>
      <c r="B207" s="86" t="s">
        <v>6653</v>
      </c>
      <c r="C207" s="86" t="str">
        <f t="shared" si="5"/>
        <v>B.11/0055/2019</v>
      </c>
      <c r="D207" s="86"/>
      <c r="E207" s="264" t="s">
        <v>6637</v>
      </c>
      <c r="F207" s="264" t="s">
        <v>6576</v>
      </c>
      <c r="G207" s="264">
        <v>2019.0</v>
      </c>
    </row>
    <row r="208">
      <c r="A208" s="115">
        <f t="shared" si="6"/>
        <v>56</v>
      </c>
      <c r="B208" s="86" t="s">
        <v>6653</v>
      </c>
      <c r="C208" s="86" t="str">
        <f t="shared" si="5"/>
        <v>B.11/0056/2019</v>
      </c>
      <c r="D208" s="86"/>
      <c r="E208" s="264" t="s">
        <v>6637</v>
      </c>
      <c r="F208" s="264" t="s">
        <v>6577</v>
      </c>
      <c r="G208" s="264">
        <v>2019.0</v>
      </c>
    </row>
    <row r="209">
      <c r="A209" s="115">
        <f t="shared" si="6"/>
        <v>57</v>
      </c>
      <c r="B209" s="86" t="s">
        <v>6653</v>
      </c>
      <c r="C209" s="86" t="str">
        <f t="shared" si="5"/>
        <v>B.11/0057/2019</v>
      </c>
      <c r="D209" s="86"/>
      <c r="E209" s="264" t="s">
        <v>6637</v>
      </c>
      <c r="F209" s="264" t="s">
        <v>6578</v>
      </c>
      <c r="G209" s="264">
        <v>2019.0</v>
      </c>
    </row>
    <row r="210">
      <c r="A210" s="115">
        <f t="shared" si="6"/>
        <v>58</v>
      </c>
      <c r="B210" s="86" t="s">
        <v>6653</v>
      </c>
      <c r="C210" s="86" t="str">
        <f t="shared" si="5"/>
        <v>B.11/0058/2019</v>
      </c>
      <c r="D210" s="86"/>
      <c r="E210" s="264" t="s">
        <v>6637</v>
      </c>
      <c r="F210" s="264" t="s">
        <v>6579</v>
      </c>
      <c r="G210" s="264">
        <v>2019.0</v>
      </c>
    </row>
    <row r="211">
      <c r="A211" s="115">
        <f t="shared" si="6"/>
        <v>59</v>
      </c>
      <c r="B211" s="86" t="s">
        <v>6653</v>
      </c>
      <c r="C211" s="86" t="str">
        <f t="shared" si="5"/>
        <v>B.11/0059/2019</v>
      </c>
      <c r="D211" s="86"/>
      <c r="E211" s="264" t="s">
        <v>6637</v>
      </c>
      <c r="F211" s="264" t="s">
        <v>6580</v>
      </c>
      <c r="G211" s="264">
        <v>2019.0</v>
      </c>
    </row>
    <row r="212">
      <c r="A212" s="115">
        <f t="shared" si="6"/>
        <v>60</v>
      </c>
      <c r="B212" s="86" t="s">
        <v>6653</v>
      </c>
      <c r="C212" s="86" t="str">
        <f t="shared" si="5"/>
        <v>B.11/0060/2019</v>
      </c>
      <c r="D212" s="86"/>
      <c r="E212" s="264" t="s">
        <v>6637</v>
      </c>
      <c r="F212" s="264" t="s">
        <v>6581</v>
      </c>
      <c r="G212" s="264">
        <v>2019.0</v>
      </c>
    </row>
    <row r="213">
      <c r="A213" s="115">
        <f t="shared" si="6"/>
        <v>61</v>
      </c>
      <c r="B213" s="86" t="s">
        <v>6653</v>
      </c>
      <c r="C213" s="86" t="str">
        <f t="shared" si="5"/>
        <v>B.11/0061/2019</v>
      </c>
      <c r="D213" s="86"/>
      <c r="E213" s="264" t="s">
        <v>6637</v>
      </c>
      <c r="F213" s="264" t="s">
        <v>6582</v>
      </c>
      <c r="G213" s="264">
        <v>2019.0</v>
      </c>
    </row>
    <row r="214">
      <c r="A214" s="115">
        <f t="shared" si="6"/>
        <v>62</v>
      </c>
      <c r="B214" s="86" t="s">
        <v>6653</v>
      </c>
      <c r="C214" s="86" t="str">
        <f t="shared" si="5"/>
        <v>B.11/0062/2019</v>
      </c>
      <c r="D214" s="86"/>
      <c r="E214" s="264" t="s">
        <v>6637</v>
      </c>
      <c r="F214" s="264" t="s">
        <v>6583</v>
      </c>
      <c r="G214" s="264">
        <v>2019.0</v>
      </c>
    </row>
    <row r="215">
      <c r="A215" s="115">
        <f t="shared" si="6"/>
        <v>63</v>
      </c>
      <c r="B215" s="86" t="s">
        <v>6653</v>
      </c>
      <c r="C215" s="86" t="str">
        <f t="shared" si="5"/>
        <v>B.11/0063/2019</v>
      </c>
      <c r="D215" s="86"/>
      <c r="E215" s="264" t="s">
        <v>6637</v>
      </c>
      <c r="F215" s="264" t="s">
        <v>6585</v>
      </c>
      <c r="G215" s="264">
        <v>2019.0</v>
      </c>
    </row>
    <row r="216">
      <c r="A216" s="115">
        <f t="shared" si="6"/>
        <v>64</v>
      </c>
      <c r="B216" s="86" t="s">
        <v>6653</v>
      </c>
      <c r="C216" s="86" t="str">
        <f t="shared" si="5"/>
        <v>B.11/0064/2019</v>
      </c>
      <c r="D216" s="86"/>
      <c r="E216" s="264" t="s">
        <v>6637</v>
      </c>
      <c r="F216" s="264" t="s">
        <v>6588</v>
      </c>
      <c r="G216" s="264">
        <v>2019.0</v>
      </c>
    </row>
    <row r="217">
      <c r="A217" s="115">
        <f t="shared" si="6"/>
        <v>65</v>
      </c>
      <c r="B217" s="86" t="s">
        <v>6653</v>
      </c>
      <c r="C217" s="86" t="str">
        <f t="shared" si="5"/>
        <v>B.11/0065/2019</v>
      </c>
      <c r="D217" s="86"/>
      <c r="E217" s="264" t="s">
        <v>6637</v>
      </c>
      <c r="F217" s="264" t="s">
        <v>6590</v>
      </c>
      <c r="G217" s="264">
        <v>2019.0</v>
      </c>
    </row>
    <row r="218">
      <c r="A218" s="115">
        <f t="shared" si="6"/>
        <v>66</v>
      </c>
      <c r="B218" s="86" t="s">
        <v>6653</v>
      </c>
      <c r="C218" s="86" t="str">
        <f t="shared" si="5"/>
        <v>B.11/0066/2019</v>
      </c>
      <c r="D218" s="86"/>
      <c r="E218" s="264" t="s">
        <v>6637</v>
      </c>
      <c r="F218" s="264" t="s">
        <v>6592</v>
      </c>
      <c r="G218" s="264">
        <v>2019.0</v>
      </c>
    </row>
    <row r="219">
      <c r="A219" s="115">
        <f t="shared" si="6"/>
        <v>67</v>
      </c>
      <c r="B219" s="86" t="s">
        <v>6653</v>
      </c>
      <c r="C219" s="86" t="str">
        <f t="shared" si="5"/>
        <v>B.11/0067/2019</v>
      </c>
      <c r="D219" s="86"/>
      <c r="E219" s="264" t="s">
        <v>6637</v>
      </c>
      <c r="F219" s="264" t="s">
        <v>6593</v>
      </c>
      <c r="G219" s="264">
        <v>2019.0</v>
      </c>
    </row>
    <row r="220">
      <c r="A220" s="115">
        <f t="shared" si="6"/>
        <v>68</v>
      </c>
      <c r="B220" s="86" t="s">
        <v>6653</v>
      </c>
      <c r="C220" s="86" t="str">
        <f t="shared" si="5"/>
        <v>B.11/0068/2019</v>
      </c>
      <c r="D220" s="86"/>
      <c r="E220" s="264" t="s">
        <v>6637</v>
      </c>
      <c r="F220" s="264" t="s">
        <v>6594</v>
      </c>
      <c r="G220" s="264">
        <v>2019.0</v>
      </c>
    </row>
    <row r="221">
      <c r="A221" s="115">
        <f t="shared" si="6"/>
        <v>69</v>
      </c>
      <c r="B221" s="86" t="s">
        <v>6653</v>
      </c>
      <c r="C221" s="86" t="str">
        <f t="shared" si="5"/>
        <v>B.11/0069/2019</v>
      </c>
      <c r="D221" s="86"/>
      <c r="E221" s="264" t="s">
        <v>6637</v>
      </c>
      <c r="F221" s="264" t="s">
        <v>6595</v>
      </c>
      <c r="G221" s="264">
        <v>2019.0</v>
      </c>
    </row>
    <row r="222">
      <c r="A222" s="115">
        <f t="shared" si="6"/>
        <v>70</v>
      </c>
      <c r="B222" s="86" t="s">
        <v>6653</v>
      </c>
      <c r="C222" s="86" t="str">
        <f t="shared" si="5"/>
        <v>B.11/0070/2019</v>
      </c>
      <c r="D222" s="86"/>
      <c r="E222" s="264" t="s">
        <v>6637</v>
      </c>
      <c r="F222" s="264" t="s">
        <v>6596</v>
      </c>
      <c r="G222" s="264">
        <v>2019.0</v>
      </c>
    </row>
    <row r="223">
      <c r="A223" s="115">
        <f t="shared" si="6"/>
        <v>71</v>
      </c>
      <c r="B223" s="86" t="s">
        <v>6653</v>
      </c>
      <c r="C223" s="86" t="str">
        <f t="shared" si="5"/>
        <v>B.11/0071/2019</v>
      </c>
      <c r="D223" s="86"/>
      <c r="E223" s="264" t="s">
        <v>6637</v>
      </c>
      <c r="F223" s="264" t="s">
        <v>6597</v>
      </c>
      <c r="G223" s="264">
        <v>2019.0</v>
      </c>
    </row>
    <row r="224">
      <c r="A224" s="115">
        <f t="shared" si="6"/>
        <v>72</v>
      </c>
      <c r="B224" s="86" t="s">
        <v>6653</v>
      </c>
      <c r="C224" s="86" t="str">
        <f t="shared" si="5"/>
        <v>B.11/0072/2019</v>
      </c>
      <c r="D224" s="86"/>
      <c r="E224" s="264" t="s">
        <v>6637</v>
      </c>
      <c r="F224" s="264" t="s">
        <v>6598</v>
      </c>
      <c r="G224" s="264">
        <v>2019.0</v>
      </c>
    </row>
    <row r="225">
      <c r="A225" s="115">
        <f t="shared" si="6"/>
        <v>73</v>
      </c>
      <c r="B225" s="86" t="s">
        <v>6653</v>
      </c>
      <c r="C225" s="86" t="str">
        <f t="shared" si="5"/>
        <v>B.11/0073/2019</v>
      </c>
      <c r="D225" s="86"/>
      <c r="E225" s="264" t="s">
        <v>6637</v>
      </c>
      <c r="F225" s="264" t="s">
        <v>6599</v>
      </c>
      <c r="G225" s="264">
        <v>2019.0</v>
      </c>
    </row>
    <row r="226">
      <c r="A226" s="115">
        <f t="shared" si="6"/>
        <v>74</v>
      </c>
      <c r="B226" s="86" t="s">
        <v>6653</v>
      </c>
      <c r="C226" s="86" t="str">
        <f t="shared" si="5"/>
        <v>B.11/0074/2019</v>
      </c>
      <c r="D226" s="86"/>
      <c r="E226" s="264" t="s">
        <v>6637</v>
      </c>
      <c r="F226" s="264" t="s">
        <v>6601</v>
      </c>
      <c r="G226" s="264">
        <v>2019.0</v>
      </c>
    </row>
    <row r="227">
      <c r="A227" s="115">
        <f t="shared" si="6"/>
        <v>75</v>
      </c>
      <c r="B227" s="86" t="s">
        <v>6653</v>
      </c>
      <c r="C227" s="86" t="str">
        <f t="shared" si="5"/>
        <v>B.11/0075/2019</v>
      </c>
      <c r="D227" s="86"/>
      <c r="E227" s="264" t="s">
        <v>6637</v>
      </c>
      <c r="F227" s="264" t="s">
        <v>6603</v>
      </c>
      <c r="G227" s="264">
        <v>2019.0</v>
      </c>
    </row>
    <row r="228">
      <c r="A228" s="115">
        <f t="shared" si="6"/>
        <v>76</v>
      </c>
      <c r="B228" s="86" t="s">
        <v>6653</v>
      </c>
      <c r="C228" s="86" t="str">
        <f t="shared" si="5"/>
        <v>B.11/0076/2019</v>
      </c>
      <c r="D228" s="86"/>
      <c r="E228" s="264" t="s">
        <v>6637</v>
      </c>
      <c r="F228" s="264" t="s">
        <v>6605</v>
      </c>
      <c r="G228" s="264">
        <v>2019.0</v>
      </c>
    </row>
    <row r="229">
      <c r="A229" s="115">
        <f t="shared" si="6"/>
        <v>77</v>
      </c>
      <c r="B229" s="86" t="s">
        <v>6653</v>
      </c>
      <c r="C229" s="86" t="str">
        <f t="shared" si="5"/>
        <v>B.11/0077/2019</v>
      </c>
      <c r="D229" s="86"/>
      <c r="E229" s="264" t="s">
        <v>6637</v>
      </c>
      <c r="F229" s="264" t="s">
        <v>6607</v>
      </c>
      <c r="G229" s="264">
        <v>2019.0</v>
      </c>
    </row>
    <row r="230">
      <c r="A230" s="115">
        <f t="shared" si="6"/>
        <v>78</v>
      </c>
      <c r="B230" s="86" t="s">
        <v>6653</v>
      </c>
      <c r="C230" s="86" t="str">
        <f t="shared" si="5"/>
        <v>B.11/0078/2019</v>
      </c>
      <c r="D230" s="86"/>
      <c r="E230" s="264" t="s">
        <v>6637</v>
      </c>
      <c r="F230" s="264" t="s">
        <v>6609</v>
      </c>
      <c r="G230" s="264">
        <v>2019.0</v>
      </c>
    </row>
    <row r="231">
      <c r="A231" s="115">
        <f t="shared" si="6"/>
        <v>79</v>
      </c>
      <c r="B231" s="86" t="s">
        <v>6653</v>
      </c>
      <c r="C231" s="86" t="str">
        <f t="shared" si="5"/>
        <v>B.11/0079/2019</v>
      </c>
      <c r="D231" s="86"/>
      <c r="E231" s="264" t="s">
        <v>6637</v>
      </c>
      <c r="F231" s="264" t="s">
        <v>6611</v>
      </c>
      <c r="G231" s="264">
        <v>2019.0</v>
      </c>
    </row>
    <row r="232">
      <c r="A232" s="115">
        <f t="shared" si="6"/>
        <v>80</v>
      </c>
      <c r="B232" s="86" t="s">
        <v>6653</v>
      </c>
      <c r="C232" s="86" t="str">
        <f t="shared" si="5"/>
        <v>B.11/0080/2019</v>
      </c>
      <c r="D232" s="86"/>
      <c r="E232" s="264" t="s">
        <v>6637</v>
      </c>
      <c r="F232" s="264" t="s">
        <v>6613</v>
      </c>
      <c r="G232" s="264">
        <v>2019.0</v>
      </c>
    </row>
    <row r="233">
      <c r="A233" s="115">
        <f t="shared" si="6"/>
        <v>81</v>
      </c>
      <c r="B233" s="86" t="s">
        <v>6653</v>
      </c>
      <c r="C233" s="86" t="str">
        <f t="shared" si="5"/>
        <v>B.11/0081/2019</v>
      </c>
      <c r="D233" s="86"/>
      <c r="E233" s="264" t="s">
        <v>6637</v>
      </c>
      <c r="F233" s="264" t="s">
        <v>6614</v>
      </c>
      <c r="G233" s="264">
        <v>2019.0</v>
      </c>
    </row>
    <row r="234">
      <c r="A234" s="115">
        <f t="shared" si="6"/>
        <v>82</v>
      </c>
      <c r="B234" s="86" t="s">
        <v>6653</v>
      </c>
      <c r="C234" s="86" t="str">
        <f t="shared" si="5"/>
        <v>B.11/0082/2019</v>
      </c>
      <c r="D234" s="86"/>
      <c r="E234" s="264" t="s">
        <v>6637</v>
      </c>
      <c r="F234" s="264" t="s">
        <v>6615</v>
      </c>
      <c r="G234" s="264">
        <v>2019.0</v>
      </c>
    </row>
    <row r="235">
      <c r="A235" s="115">
        <f t="shared" si="6"/>
        <v>83</v>
      </c>
      <c r="B235" s="86" t="s">
        <v>6653</v>
      </c>
      <c r="C235" s="86" t="str">
        <f t="shared" si="5"/>
        <v>B.11/0083/2019</v>
      </c>
      <c r="D235" s="86"/>
      <c r="E235" s="264" t="s">
        <v>6637</v>
      </c>
      <c r="F235" s="264" t="s">
        <v>6616</v>
      </c>
      <c r="G235" s="264">
        <v>2019.0</v>
      </c>
    </row>
    <row r="236">
      <c r="A236" s="115">
        <f t="shared" si="6"/>
        <v>84</v>
      </c>
      <c r="B236" s="86" t="s">
        <v>6653</v>
      </c>
      <c r="C236" s="86" t="str">
        <f t="shared" si="5"/>
        <v>B.11/0084/2019</v>
      </c>
      <c r="D236" s="86"/>
      <c r="E236" s="264" t="s">
        <v>6637</v>
      </c>
      <c r="F236" s="264" t="s">
        <v>6617</v>
      </c>
      <c r="G236" s="264">
        <v>2019.0</v>
      </c>
    </row>
    <row r="237">
      <c r="A237" s="115">
        <f t="shared" si="6"/>
        <v>85</v>
      </c>
      <c r="B237" s="86" t="s">
        <v>6653</v>
      </c>
      <c r="C237" s="86" t="str">
        <f t="shared" si="5"/>
        <v>B.11/0085/2019</v>
      </c>
      <c r="D237" s="86"/>
      <c r="E237" s="264" t="s">
        <v>6637</v>
      </c>
      <c r="F237" s="264" t="s">
        <v>6618</v>
      </c>
      <c r="G237" s="264">
        <v>2019.0</v>
      </c>
    </row>
    <row r="238">
      <c r="A238" s="115">
        <f t="shared" si="6"/>
        <v>86</v>
      </c>
      <c r="B238" s="86" t="s">
        <v>6653</v>
      </c>
      <c r="C238" s="86" t="str">
        <f t="shared" si="5"/>
        <v>B.11/0086/2019</v>
      </c>
      <c r="D238" s="86"/>
      <c r="E238" s="264" t="s">
        <v>6637</v>
      </c>
      <c r="F238" s="264" t="s">
        <v>6619</v>
      </c>
      <c r="G238" s="264">
        <v>2019.0</v>
      </c>
    </row>
    <row r="239">
      <c r="A239" s="115">
        <f t="shared" si="6"/>
        <v>87</v>
      </c>
      <c r="B239" s="86" t="s">
        <v>6653</v>
      </c>
      <c r="C239" s="86" t="str">
        <f t="shared" si="5"/>
        <v>B.11/0087/2019</v>
      </c>
      <c r="D239" s="86"/>
      <c r="E239" s="264" t="s">
        <v>6637</v>
      </c>
      <c r="F239" s="264" t="s">
        <v>6620</v>
      </c>
      <c r="G239" s="264">
        <v>2019.0</v>
      </c>
    </row>
    <row r="240">
      <c r="A240" s="115">
        <f t="shared" si="6"/>
        <v>88</v>
      </c>
      <c r="B240" s="86" t="s">
        <v>6653</v>
      </c>
      <c r="C240" s="86" t="str">
        <f t="shared" si="5"/>
        <v>B.11/0088/2019</v>
      </c>
      <c r="D240" s="86"/>
      <c r="E240" s="264" t="s">
        <v>6637</v>
      </c>
      <c r="F240" s="264" t="s">
        <v>6621</v>
      </c>
      <c r="G240" s="264">
        <v>2019.0</v>
      </c>
    </row>
    <row r="241">
      <c r="A241" s="115">
        <f t="shared" si="6"/>
        <v>89</v>
      </c>
      <c r="B241" s="86" t="s">
        <v>6653</v>
      </c>
      <c r="C241" s="86" t="str">
        <f t="shared" si="5"/>
        <v>B.11/0089/2019</v>
      </c>
      <c r="D241" s="86"/>
      <c r="E241" s="264" t="s">
        <v>6637</v>
      </c>
      <c r="F241" s="264" t="s">
        <v>6622</v>
      </c>
      <c r="G241" s="264">
        <v>2019.0</v>
      </c>
    </row>
    <row r="242">
      <c r="A242" s="115">
        <f t="shared" si="6"/>
        <v>90</v>
      </c>
      <c r="B242" s="86" t="s">
        <v>6653</v>
      </c>
      <c r="C242" s="86" t="str">
        <f t="shared" si="5"/>
        <v>B.11/0090/2019</v>
      </c>
      <c r="D242" s="86"/>
      <c r="E242" s="264" t="s">
        <v>6637</v>
      </c>
      <c r="F242" s="264" t="s">
        <v>6623</v>
      </c>
      <c r="G242" s="264">
        <v>2019.0</v>
      </c>
    </row>
    <row r="243">
      <c r="A243" s="115">
        <f t="shared" si="6"/>
        <v>91</v>
      </c>
      <c r="B243" s="86" t="s">
        <v>6653</v>
      </c>
      <c r="C243" s="86" t="str">
        <f t="shared" si="5"/>
        <v>B.11/0091/2019</v>
      </c>
      <c r="D243" s="86"/>
      <c r="E243" s="264" t="s">
        <v>6637</v>
      </c>
      <c r="F243" s="264" t="s">
        <v>6624</v>
      </c>
      <c r="G243" s="264">
        <v>2019.0</v>
      </c>
    </row>
    <row r="244">
      <c r="A244" s="115">
        <f t="shared" si="6"/>
        <v>92</v>
      </c>
      <c r="B244" s="86" t="s">
        <v>6653</v>
      </c>
      <c r="C244" s="86" t="str">
        <f t="shared" si="5"/>
        <v>B.11/0092/2019</v>
      </c>
      <c r="D244" s="86"/>
      <c r="E244" s="264" t="s">
        <v>6637</v>
      </c>
      <c r="F244" s="264" t="s">
        <v>6625</v>
      </c>
      <c r="G244" s="264">
        <v>2019.0</v>
      </c>
    </row>
    <row r="245">
      <c r="A245" s="115">
        <f t="shared" si="6"/>
        <v>93</v>
      </c>
      <c r="B245" s="86" t="s">
        <v>6653</v>
      </c>
      <c r="C245" s="86" t="str">
        <f t="shared" si="5"/>
        <v>B.11/0093/2019</v>
      </c>
      <c r="D245" s="86"/>
      <c r="E245" s="264" t="s">
        <v>6637</v>
      </c>
      <c r="F245" s="264" t="s">
        <v>6626</v>
      </c>
      <c r="G245" s="264">
        <v>2019.0</v>
      </c>
    </row>
    <row r="246">
      <c r="A246" s="115">
        <f t="shared" si="6"/>
        <v>94</v>
      </c>
      <c r="B246" s="86" t="s">
        <v>6653</v>
      </c>
      <c r="C246" s="86" t="str">
        <f t="shared" si="5"/>
        <v>B.11/0094/2019</v>
      </c>
      <c r="D246" s="86"/>
      <c r="E246" s="264" t="s">
        <v>6637</v>
      </c>
      <c r="F246" s="264" t="s">
        <v>6627</v>
      </c>
      <c r="G246" s="264">
        <v>2019.0</v>
      </c>
    </row>
    <row r="247">
      <c r="A247" s="115">
        <f t="shared" si="6"/>
        <v>95</v>
      </c>
      <c r="B247" s="86" t="s">
        <v>6653</v>
      </c>
      <c r="C247" s="86" t="str">
        <f t="shared" si="5"/>
        <v>B.11/0095/2019</v>
      </c>
      <c r="D247" s="86"/>
      <c r="E247" s="264" t="s">
        <v>6637</v>
      </c>
      <c r="F247" s="264" t="s">
        <v>6628</v>
      </c>
      <c r="G247" s="264">
        <v>2019.0</v>
      </c>
    </row>
    <row r="248">
      <c r="A248" s="115">
        <f t="shared" si="6"/>
        <v>96</v>
      </c>
      <c r="B248" s="86" t="s">
        <v>6653</v>
      </c>
      <c r="C248" s="86" t="str">
        <f t="shared" si="5"/>
        <v>B.11/0096/2019</v>
      </c>
      <c r="D248" s="86"/>
      <c r="E248" s="264" t="s">
        <v>6637</v>
      </c>
      <c r="F248" s="264" t="s">
        <v>6629</v>
      </c>
      <c r="G248" s="264">
        <v>2019.0</v>
      </c>
    </row>
    <row r="249">
      <c r="A249" s="115">
        <f t="shared" si="6"/>
        <v>97</v>
      </c>
      <c r="B249" s="86" t="s">
        <v>6653</v>
      </c>
      <c r="C249" s="86" t="str">
        <f t="shared" si="5"/>
        <v>B.11/0097/2019</v>
      </c>
      <c r="D249" s="86"/>
      <c r="E249" s="264" t="s">
        <v>6637</v>
      </c>
      <c r="F249" s="264" t="s">
        <v>6630</v>
      </c>
      <c r="G249" s="264">
        <v>2019.0</v>
      </c>
    </row>
    <row r="250">
      <c r="A250" s="115">
        <f t="shared" si="6"/>
        <v>98</v>
      </c>
      <c r="B250" s="86" t="s">
        <v>6653</v>
      </c>
      <c r="C250" s="86" t="str">
        <f t="shared" si="5"/>
        <v>B.11/0098/2019</v>
      </c>
      <c r="D250" s="86"/>
      <c r="E250" s="264" t="s">
        <v>6637</v>
      </c>
      <c r="F250" s="264" t="s">
        <v>6631</v>
      </c>
      <c r="G250" s="264">
        <v>2019.0</v>
      </c>
    </row>
    <row r="251">
      <c r="A251" s="115">
        <f t="shared" si="6"/>
        <v>99</v>
      </c>
      <c r="B251" s="86" t="s">
        <v>6653</v>
      </c>
      <c r="C251" s="86" t="str">
        <f t="shared" si="5"/>
        <v>B.11/0099/2019</v>
      </c>
      <c r="D251" s="86"/>
      <c r="E251" s="264" t="s">
        <v>6637</v>
      </c>
      <c r="F251" s="264" t="s">
        <v>6632</v>
      </c>
      <c r="G251" s="264">
        <v>2019.0</v>
      </c>
    </row>
    <row r="252">
      <c r="A252" s="115">
        <f t="shared" si="6"/>
        <v>100</v>
      </c>
      <c r="B252" s="86" t="s">
        <v>6653</v>
      </c>
      <c r="C252" s="86" t="str">
        <f t="shared" si="5"/>
        <v>B.11/0100/2019</v>
      </c>
      <c r="D252" s="86"/>
      <c r="E252" s="264" t="s">
        <v>6637</v>
      </c>
      <c r="F252" s="264" t="s">
        <v>6633</v>
      </c>
      <c r="G252" s="264">
        <v>2019.0</v>
      </c>
    </row>
    <row r="253">
      <c r="A253" s="115">
        <f t="shared" si="6"/>
        <v>101</v>
      </c>
      <c r="B253" s="86" t="s">
        <v>6653</v>
      </c>
      <c r="C253" s="86" t="str">
        <f t="shared" si="5"/>
        <v>B.11/0101/2019</v>
      </c>
      <c r="D253" s="86"/>
      <c r="E253" s="264" t="s">
        <v>6637</v>
      </c>
      <c r="F253" s="264" t="s">
        <v>6661</v>
      </c>
      <c r="G253" s="264">
        <v>2019.0</v>
      </c>
    </row>
    <row r="254">
      <c r="A254" s="115">
        <f t="shared" si="6"/>
        <v>102</v>
      </c>
      <c r="B254" s="86" t="s">
        <v>6653</v>
      </c>
      <c r="C254" s="86" t="str">
        <f t="shared" si="5"/>
        <v>B.11/0102/2019</v>
      </c>
      <c r="D254" s="86"/>
      <c r="E254" s="264" t="s">
        <v>6637</v>
      </c>
      <c r="F254" s="264" t="s">
        <v>6662</v>
      </c>
      <c r="G254" s="264">
        <v>2019.0</v>
      </c>
    </row>
    <row r="255">
      <c r="A255" s="115">
        <f t="shared" si="6"/>
        <v>103</v>
      </c>
      <c r="B255" s="86" t="s">
        <v>6653</v>
      </c>
      <c r="C255" s="86" t="str">
        <f t="shared" si="5"/>
        <v>B.11/0103/2019</v>
      </c>
      <c r="D255" s="86"/>
      <c r="E255" s="264" t="s">
        <v>6637</v>
      </c>
      <c r="F255" s="264" t="s">
        <v>6664</v>
      </c>
      <c r="G255" s="264">
        <v>2019.0</v>
      </c>
    </row>
    <row r="256">
      <c r="A256" s="115">
        <f t="shared" si="6"/>
        <v>104</v>
      </c>
      <c r="B256" s="86" t="s">
        <v>6653</v>
      </c>
      <c r="C256" s="86" t="str">
        <f t="shared" si="5"/>
        <v>B.11/0104/2022</v>
      </c>
      <c r="D256" s="86"/>
      <c r="E256" s="264" t="s">
        <v>6637</v>
      </c>
      <c r="F256" s="264" t="s">
        <v>6665</v>
      </c>
      <c r="G256" s="264">
        <v>2022.0</v>
      </c>
    </row>
    <row r="257">
      <c r="A257" s="115">
        <f t="shared" si="6"/>
        <v>105</v>
      </c>
      <c r="B257" s="86" t="s">
        <v>6653</v>
      </c>
      <c r="C257" s="86" t="str">
        <f t="shared" si="5"/>
        <v>B.11/0105/2022</v>
      </c>
      <c r="D257" s="86"/>
      <c r="E257" s="264" t="s">
        <v>6637</v>
      </c>
      <c r="F257" s="264" t="s">
        <v>6667</v>
      </c>
      <c r="G257" s="264">
        <v>2022.0</v>
      </c>
    </row>
    <row r="258">
      <c r="A258" s="115">
        <f t="shared" si="6"/>
        <v>106</v>
      </c>
      <c r="B258" s="86" t="s">
        <v>6653</v>
      </c>
      <c r="C258" s="86" t="str">
        <f t="shared" si="5"/>
        <v>B.11/0106/2022</v>
      </c>
      <c r="D258" s="86"/>
      <c r="E258" s="264" t="s">
        <v>6637</v>
      </c>
      <c r="F258" s="264" t="s">
        <v>6668</v>
      </c>
      <c r="G258" s="264">
        <v>2022.0</v>
      </c>
    </row>
    <row r="259">
      <c r="A259" s="115">
        <f t="shared" si="6"/>
        <v>107</v>
      </c>
      <c r="B259" s="86" t="s">
        <v>6653</v>
      </c>
      <c r="C259" s="86" t="str">
        <f t="shared" si="5"/>
        <v>B.11/0107/2022</v>
      </c>
      <c r="D259" s="86"/>
      <c r="E259" s="264" t="s">
        <v>6637</v>
      </c>
      <c r="F259" s="264" t="s">
        <v>6669</v>
      </c>
      <c r="G259" s="264">
        <v>2022.0</v>
      </c>
    </row>
    <row r="260">
      <c r="A260" s="115">
        <f t="shared" si="6"/>
        <v>108</v>
      </c>
      <c r="B260" s="86" t="s">
        <v>6671</v>
      </c>
      <c r="C260" s="86" t="str">
        <f t="shared" si="5"/>
        <v>B.11/0108/2023</v>
      </c>
      <c r="D260" s="86"/>
      <c r="E260" s="264" t="s">
        <v>6637</v>
      </c>
      <c r="F260" s="264" t="s">
        <v>6672</v>
      </c>
      <c r="G260" s="264">
        <v>2023.0</v>
      </c>
    </row>
    <row r="261">
      <c r="A261" s="115">
        <f t="shared" si="6"/>
        <v>109</v>
      </c>
      <c r="B261" s="86" t="s">
        <v>6648</v>
      </c>
      <c r="C261" s="86" t="str">
        <f t="shared" si="5"/>
        <v>B.11/0109/2023</v>
      </c>
      <c r="D261" s="86"/>
      <c r="E261" s="264" t="s">
        <v>6637</v>
      </c>
      <c r="F261" s="264" t="s">
        <v>6673</v>
      </c>
      <c r="G261" s="264">
        <v>2023.0</v>
      </c>
    </row>
    <row r="262">
      <c r="A262" s="115">
        <f t="shared" si="6"/>
        <v>110</v>
      </c>
      <c r="B262" s="86" t="s">
        <v>6648</v>
      </c>
      <c r="C262" s="86" t="str">
        <f t="shared" si="5"/>
        <v>B.11/0110/2023</v>
      </c>
      <c r="D262" s="86"/>
      <c r="E262" s="264" t="s">
        <v>6637</v>
      </c>
      <c r="F262" s="264" t="s">
        <v>6674</v>
      </c>
      <c r="G262" s="264">
        <v>2023.0</v>
      </c>
    </row>
    <row r="263">
      <c r="A263" s="115">
        <f t="shared" si="6"/>
        <v>111</v>
      </c>
      <c r="B263" s="86" t="s">
        <v>6676</v>
      </c>
      <c r="C263" s="86" t="str">
        <f t="shared" si="5"/>
        <v>B.11/0111/2023</v>
      </c>
      <c r="D263" s="86"/>
      <c r="E263" s="264" t="s">
        <v>6637</v>
      </c>
      <c r="F263" s="264" t="s">
        <v>6677</v>
      </c>
      <c r="G263" s="264">
        <v>2023.0</v>
      </c>
    </row>
    <row r="264">
      <c r="A264" s="115">
        <f t="shared" si="6"/>
        <v>112</v>
      </c>
      <c r="B264" s="86" t="s">
        <v>6676</v>
      </c>
      <c r="C264" s="86" t="str">
        <f t="shared" si="5"/>
        <v>B.11/0112/2023</v>
      </c>
      <c r="D264" s="86"/>
      <c r="E264" s="264" t="s">
        <v>6637</v>
      </c>
      <c r="F264" s="264" t="s">
        <v>6678</v>
      </c>
      <c r="G264" s="264">
        <v>2023.0</v>
      </c>
    </row>
    <row r="265">
      <c r="A265" s="115">
        <f t="shared" si="6"/>
        <v>113</v>
      </c>
      <c r="B265" s="86" t="s">
        <v>6676</v>
      </c>
      <c r="C265" s="86" t="str">
        <f t="shared" si="5"/>
        <v>B.11/0113/2023</v>
      </c>
      <c r="D265" s="86"/>
      <c r="E265" s="264" t="s">
        <v>6637</v>
      </c>
      <c r="F265" s="264" t="s">
        <v>6680</v>
      </c>
      <c r="G265" s="264">
        <v>2023.0</v>
      </c>
    </row>
    <row r="266">
      <c r="A266" s="115">
        <f t="shared" si="6"/>
        <v>114</v>
      </c>
      <c r="B266" s="86" t="s">
        <v>6676</v>
      </c>
      <c r="C266" s="86" t="str">
        <f t="shared" si="5"/>
        <v>B.11/0114/2023</v>
      </c>
      <c r="D266" s="86"/>
      <c r="E266" s="264" t="s">
        <v>6637</v>
      </c>
      <c r="F266" s="264" t="s">
        <v>6681</v>
      </c>
      <c r="G266" s="264">
        <v>2023.0</v>
      </c>
    </row>
    <row r="267">
      <c r="A267" s="115">
        <f t="shared" si="6"/>
        <v>115</v>
      </c>
      <c r="B267" s="86" t="s">
        <v>6676</v>
      </c>
      <c r="C267" s="86" t="str">
        <f t="shared" si="5"/>
        <v>B.11/0115/2023</v>
      </c>
      <c r="D267" s="86"/>
      <c r="E267" s="264" t="s">
        <v>6637</v>
      </c>
      <c r="F267" s="264" t="s">
        <v>6682</v>
      </c>
      <c r="G267" s="264">
        <v>2023.0</v>
      </c>
    </row>
    <row r="268">
      <c r="A268" s="115">
        <f t="shared" si="6"/>
        <v>116</v>
      </c>
      <c r="B268" s="86" t="s">
        <v>6676</v>
      </c>
      <c r="C268" s="86" t="str">
        <f t="shared" si="5"/>
        <v>B.11/0116/2023</v>
      </c>
      <c r="D268" s="86"/>
      <c r="E268" s="264" t="s">
        <v>6637</v>
      </c>
      <c r="F268" s="264" t="s">
        <v>6684</v>
      </c>
      <c r="G268" s="264">
        <v>2023.0</v>
      </c>
    </row>
    <row r="269">
      <c r="A269" s="115">
        <f t="shared" si="6"/>
        <v>117</v>
      </c>
      <c r="B269" s="86" t="s">
        <v>6676</v>
      </c>
      <c r="C269" s="86" t="str">
        <f t="shared" si="5"/>
        <v>B.11/0117/2023</v>
      </c>
      <c r="D269" s="86"/>
      <c r="E269" s="264" t="s">
        <v>6637</v>
      </c>
      <c r="F269" s="264" t="s">
        <v>6685</v>
      </c>
      <c r="G269" s="264">
        <v>2023.0</v>
      </c>
    </row>
    <row r="270">
      <c r="A270" s="115">
        <f t="shared" si="6"/>
        <v>118</v>
      </c>
      <c r="B270" s="86" t="s">
        <v>6686</v>
      </c>
      <c r="C270" s="86" t="str">
        <f t="shared" si="5"/>
        <v>B.11/0118/2023</v>
      </c>
      <c r="D270" s="86"/>
      <c r="E270" s="264" t="s">
        <v>6637</v>
      </c>
      <c r="F270" s="264" t="s">
        <v>6687</v>
      </c>
      <c r="G270" s="264">
        <v>2023.0</v>
      </c>
    </row>
    <row r="271">
      <c r="A271" s="115">
        <f t="shared" si="6"/>
        <v>119</v>
      </c>
      <c r="B271" s="86" t="s">
        <v>6686</v>
      </c>
      <c r="C271" s="86" t="str">
        <f t="shared" si="5"/>
        <v>B.11/0119/2023</v>
      </c>
      <c r="D271" s="86"/>
      <c r="E271" s="264" t="s">
        <v>6637</v>
      </c>
      <c r="F271" s="264" t="s">
        <v>6689</v>
      </c>
      <c r="G271" s="264">
        <v>2023.0</v>
      </c>
    </row>
    <row r="272">
      <c r="A272" s="115">
        <f t="shared" si="6"/>
        <v>120</v>
      </c>
      <c r="B272" s="86" t="s">
        <v>6686</v>
      </c>
      <c r="C272" s="86" t="str">
        <f t="shared" si="5"/>
        <v>B.11/0120/2023</v>
      </c>
      <c r="D272" s="86"/>
      <c r="E272" s="264" t="s">
        <v>6637</v>
      </c>
      <c r="F272" s="264" t="s">
        <v>6690</v>
      </c>
      <c r="G272" s="264">
        <v>2023.0</v>
      </c>
    </row>
    <row r="273">
      <c r="A273" s="115">
        <f t="shared" si="6"/>
        <v>121</v>
      </c>
      <c r="B273" s="86" t="s">
        <v>6686</v>
      </c>
      <c r="C273" s="86" t="str">
        <f t="shared" si="5"/>
        <v>B.11/0121/2023</v>
      </c>
      <c r="D273" s="86"/>
      <c r="E273" s="264" t="s">
        <v>6637</v>
      </c>
      <c r="F273" s="264" t="s">
        <v>6691</v>
      </c>
      <c r="G273" s="264">
        <v>2023.0</v>
      </c>
    </row>
    <row r="274">
      <c r="A274" s="115">
        <f t="shared" si="6"/>
        <v>122</v>
      </c>
      <c r="B274" s="86" t="s">
        <v>6693</v>
      </c>
      <c r="C274" s="86" t="str">
        <f t="shared" si="5"/>
        <v>B.11/0122/2023</v>
      </c>
      <c r="D274" s="86"/>
      <c r="E274" s="264" t="s">
        <v>6637</v>
      </c>
      <c r="F274" s="264" t="s">
        <v>6694</v>
      </c>
      <c r="G274" s="264">
        <v>2023.0</v>
      </c>
    </row>
    <row r="275">
      <c r="A275" s="115">
        <f t="shared" si="6"/>
        <v>123</v>
      </c>
      <c r="B275" s="86" t="s">
        <v>6693</v>
      </c>
      <c r="C275" s="86" t="str">
        <f t="shared" si="5"/>
        <v>B.11/0123/2023</v>
      </c>
      <c r="D275" s="86"/>
      <c r="E275" s="264" t="s">
        <v>6637</v>
      </c>
      <c r="F275" s="264" t="s">
        <v>6695</v>
      </c>
      <c r="G275" s="264">
        <v>2023.0</v>
      </c>
    </row>
    <row r="276">
      <c r="A276" s="115">
        <f t="shared" si="6"/>
        <v>124</v>
      </c>
      <c r="B276" s="86" t="s">
        <v>6693</v>
      </c>
      <c r="C276" s="86" t="str">
        <f t="shared" si="5"/>
        <v>B.11/0124/2023</v>
      </c>
      <c r="D276" s="86"/>
      <c r="E276" s="264" t="s">
        <v>6637</v>
      </c>
      <c r="F276" s="264" t="s">
        <v>6697</v>
      </c>
      <c r="G276" s="264">
        <v>2023.0</v>
      </c>
    </row>
    <row r="277">
      <c r="A277" s="115">
        <f t="shared" si="6"/>
        <v>125</v>
      </c>
      <c r="B277" s="86" t="s">
        <v>6693</v>
      </c>
      <c r="C277" s="86" t="str">
        <f t="shared" si="5"/>
        <v>B.11/0125/2023</v>
      </c>
      <c r="D277" s="86"/>
      <c r="E277" s="264" t="s">
        <v>6637</v>
      </c>
      <c r="F277" s="264" t="s">
        <v>6698</v>
      </c>
      <c r="G277" s="264">
        <v>2023.0</v>
      </c>
    </row>
    <row r="278">
      <c r="A278" s="115">
        <f t="shared" si="6"/>
        <v>126</v>
      </c>
      <c r="B278" s="86" t="s">
        <v>6693</v>
      </c>
      <c r="C278" s="86" t="str">
        <f t="shared" si="5"/>
        <v>B.11/0126/2023</v>
      </c>
      <c r="D278" s="86"/>
      <c r="E278" s="264" t="s">
        <v>6637</v>
      </c>
      <c r="F278" s="264" t="s">
        <v>6699</v>
      </c>
      <c r="G278" s="264">
        <v>2023.0</v>
      </c>
    </row>
    <row r="279">
      <c r="A279" s="115">
        <f t="shared" si="6"/>
        <v>127</v>
      </c>
      <c r="B279" s="86" t="s">
        <v>6693</v>
      </c>
      <c r="C279" s="86" t="str">
        <f t="shared" si="5"/>
        <v>B.11/0127/2023</v>
      </c>
      <c r="D279" s="86"/>
      <c r="E279" s="264" t="s">
        <v>6637</v>
      </c>
      <c r="F279" s="264" t="s">
        <v>6701</v>
      </c>
      <c r="G279" s="264">
        <v>2023.0</v>
      </c>
    </row>
    <row r="280">
      <c r="A280" s="115">
        <f t="shared" si="6"/>
        <v>128</v>
      </c>
      <c r="B280" s="86" t="s">
        <v>6693</v>
      </c>
      <c r="C280" s="86" t="str">
        <f t="shared" si="5"/>
        <v>B.11/0128/2023</v>
      </c>
      <c r="D280" s="86"/>
      <c r="E280" s="264" t="s">
        <v>6637</v>
      </c>
      <c r="F280" s="264" t="s">
        <v>6702</v>
      </c>
      <c r="G280" s="264">
        <v>2023.0</v>
      </c>
    </row>
    <row r="281">
      <c r="A281" s="115">
        <f t="shared" si="6"/>
        <v>129</v>
      </c>
      <c r="B281" s="86" t="s">
        <v>6693</v>
      </c>
      <c r="C281" s="86" t="str">
        <f t="shared" si="5"/>
        <v>B.11/0129/2023</v>
      </c>
      <c r="D281" s="86"/>
      <c r="E281" s="264" t="s">
        <v>6637</v>
      </c>
      <c r="F281" s="264" t="s">
        <v>6703</v>
      </c>
      <c r="G281" s="264">
        <v>2023.0</v>
      </c>
    </row>
    <row r="282">
      <c r="A282" s="115">
        <f t="shared" si="6"/>
        <v>130</v>
      </c>
      <c r="B282" s="86" t="s">
        <v>6693</v>
      </c>
      <c r="C282" s="86" t="str">
        <f t="shared" si="5"/>
        <v>B.11/0130/2023</v>
      </c>
      <c r="D282" s="86"/>
      <c r="E282" s="264" t="s">
        <v>6637</v>
      </c>
      <c r="F282" s="264" t="s">
        <v>6705</v>
      </c>
      <c r="G282" s="264">
        <v>2023.0</v>
      </c>
    </row>
    <row r="283">
      <c r="A283" s="115">
        <f t="shared" si="6"/>
        <v>131</v>
      </c>
      <c r="B283" s="86" t="s">
        <v>6693</v>
      </c>
      <c r="C283" s="86" t="str">
        <f t="shared" si="5"/>
        <v>B.11/0131/2023</v>
      </c>
      <c r="D283" s="86"/>
      <c r="E283" s="264" t="s">
        <v>6637</v>
      </c>
      <c r="F283" s="264" t="s">
        <v>6706</v>
      </c>
      <c r="G283" s="264">
        <v>2023.0</v>
      </c>
    </row>
    <row r="284">
      <c r="A284" s="115">
        <f t="shared" si="6"/>
        <v>132</v>
      </c>
      <c r="B284" s="86" t="s">
        <v>6693</v>
      </c>
      <c r="C284" s="86" t="str">
        <f t="shared" si="5"/>
        <v>B.11/0132/2023</v>
      </c>
      <c r="D284" s="86"/>
      <c r="E284" s="264" t="s">
        <v>6637</v>
      </c>
      <c r="F284" s="264" t="s">
        <v>6707</v>
      </c>
      <c r="G284" s="264">
        <v>2023.0</v>
      </c>
    </row>
    <row r="285">
      <c r="A285" s="115">
        <f t="shared" si="6"/>
        <v>133</v>
      </c>
      <c r="B285" s="86" t="s">
        <v>6693</v>
      </c>
      <c r="C285" s="86" t="str">
        <f t="shared" si="5"/>
        <v>B.11/0133/2023</v>
      </c>
      <c r="D285" s="86"/>
      <c r="E285" s="264" t="s">
        <v>6637</v>
      </c>
      <c r="F285" s="264" t="s">
        <v>6709</v>
      </c>
      <c r="G285" s="264">
        <v>2023.0</v>
      </c>
    </row>
    <row r="286">
      <c r="A286" s="115">
        <f t="shared" si="6"/>
        <v>134</v>
      </c>
      <c r="B286" s="86" t="s">
        <v>6693</v>
      </c>
      <c r="C286" s="86" t="str">
        <f t="shared" si="5"/>
        <v>B.11/0134/2023</v>
      </c>
      <c r="D286" s="86"/>
      <c r="E286" s="264" t="s">
        <v>6637</v>
      </c>
      <c r="F286" s="264" t="s">
        <v>6710</v>
      </c>
      <c r="G286" s="264">
        <v>2023.0</v>
      </c>
    </row>
    <row r="287">
      <c r="A287" s="115">
        <f t="shared" si="6"/>
        <v>135</v>
      </c>
      <c r="B287" s="86" t="s">
        <v>6693</v>
      </c>
      <c r="C287" s="86" t="str">
        <f t="shared" si="5"/>
        <v>B.11/0135/2023</v>
      </c>
      <c r="D287" s="86"/>
      <c r="E287" s="264" t="s">
        <v>6637</v>
      </c>
      <c r="F287" s="264" t="s">
        <v>6711</v>
      </c>
      <c r="G287" s="264">
        <v>2023.0</v>
      </c>
    </row>
    <row r="288">
      <c r="A288" s="115">
        <f t="shared" si="6"/>
        <v>136</v>
      </c>
      <c r="B288" s="86" t="s">
        <v>6693</v>
      </c>
      <c r="C288" s="86" t="str">
        <f t="shared" si="5"/>
        <v>B.11/0136/2023</v>
      </c>
      <c r="D288" s="86"/>
      <c r="E288" s="264" t="s">
        <v>6637</v>
      </c>
      <c r="F288" s="264" t="s">
        <v>6713</v>
      </c>
      <c r="G288" s="264">
        <v>2023.0</v>
      </c>
    </row>
    <row r="289">
      <c r="A289" s="115">
        <f t="shared" si="6"/>
        <v>137</v>
      </c>
      <c r="B289" s="86" t="s">
        <v>6693</v>
      </c>
      <c r="C289" s="86" t="str">
        <f t="shared" si="5"/>
        <v>B.11/0137/2023</v>
      </c>
      <c r="D289" s="86"/>
      <c r="E289" s="264" t="s">
        <v>6637</v>
      </c>
      <c r="F289" s="264" t="s">
        <v>6714</v>
      </c>
      <c r="G289" s="264">
        <v>2023.0</v>
      </c>
    </row>
    <row r="290">
      <c r="A290" s="115">
        <f t="shared" si="6"/>
        <v>138</v>
      </c>
      <c r="B290" s="86" t="s">
        <v>6693</v>
      </c>
      <c r="C290" s="86" t="str">
        <f t="shared" si="5"/>
        <v>B.11/0138/2023</v>
      </c>
      <c r="D290" s="86"/>
      <c r="E290" s="264" t="s">
        <v>6637</v>
      </c>
      <c r="F290" s="264" t="s">
        <v>6715</v>
      </c>
      <c r="G290" s="264">
        <v>2023.0</v>
      </c>
    </row>
    <row r="291">
      <c r="A291" s="115">
        <f t="shared" si="6"/>
        <v>139</v>
      </c>
      <c r="B291" s="86" t="s">
        <v>6693</v>
      </c>
      <c r="C291" s="86" t="str">
        <f t="shared" si="5"/>
        <v>B.11/0139/2023</v>
      </c>
      <c r="D291" s="86"/>
      <c r="E291" s="264" t="s">
        <v>6637</v>
      </c>
      <c r="F291" s="264" t="s">
        <v>6717</v>
      </c>
      <c r="G291" s="264">
        <v>2023.0</v>
      </c>
    </row>
    <row r="292">
      <c r="A292" s="115">
        <f t="shared" si="6"/>
        <v>140</v>
      </c>
      <c r="B292" s="86" t="s">
        <v>6693</v>
      </c>
      <c r="C292" s="86" t="str">
        <f t="shared" si="5"/>
        <v>B.11/0140/2023</v>
      </c>
      <c r="D292" s="86"/>
      <c r="E292" s="264" t="s">
        <v>6637</v>
      </c>
      <c r="F292" s="264" t="s">
        <v>6718</v>
      </c>
      <c r="G292" s="264">
        <v>2023.0</v>
      </c>
    </row>
    <row r="293">
      <c r="A293" s="115">
        <f t="shared" si="6"/>
        <v>141</v>
      </c>
      <c r="B293" s="86" t="s">
        <v>6693</v>
      </c>
      <c r="C293" s="86" t="str">
        <f t="shared" si="5"/>
        <v>B.11/0141/2023</v>
      </c>
      <c r="D293" s="86"/>
      <c r="E293" s="264" t="s">
        <v>6637</v>
      </c>
      <c r="F293" s="264" t="s">
        <v>6719</v>
      </c>
      <c r="G293" s="264">
        <v>2023.0</v>
      </c>
    </row>
    <row r="294">
      <c r="A294" s="115">
        <f t="shared" si="6"/>
        <v>142</v>
      </c>
      <c r="B294" s="86" t="s">
        <v>6693</v>
      </c>
      <c r="C294" s="86" t="str">
        <f t="shared" si="5"/>
        <v>B.11/0142/2023</v>
      </c>
      <c r="D294" s="86"/>
      <c r="E294" s="264" t="s">
        <v>6637</v>
      </c>
      <c r="F294" s="264" t="s">
        <v>6721</v>
      </c>
      <c r="G294" s="264">
        <v>2023.0</v>
      </c>
    </row>
    <row r="295">
      <c r="A295" s="115">
        <f t="shared" si="6"/>
        <v>143</v>
      </c>
      <c r="B295" s="86" t="s">
        <v>6693</v>
      </c>
      <c r="C295" s="86" t="str">
        <f t="shared" si="5"/>
        <v>B.11/0143/2023</v>
      </c>
      <c r="D295" s="86"/>
      <c r="E295" s="264" t="s">
        <v>6637</v>
      </c>
      <c r="F295" s="264" t="s">
        <v>6722</v>
      </c>
      <c r="G295" s="264">
        <v>2023.0</v>
      </c>
    </row>
    <row r="296">
      <c r="A296" s="115">
        <f t="shared" si="6"/>
        <v>144</v>
      </c>
      <c r="B296" s="86" t="s">
        <v>6693</v>
      </c>
      <c r="C296" s="86" t="str">
        <f t="shared" si="5"/>
        <v>B.11/0144/2023</v>
      </c>
      <c r="D296" s="86"/>
      <c r="E296" s="264" t="s">
        <v>6637</v>
      </c>
      <c r="F296" s="264" t="s">
        <v>6724</v>
      </c>
      <c r="G296" s="264">
        <v>2023.0</v>
      </c>
    </row>
    <row r="297">
      <c r="A297" s="115">
        <f t="shared" si="6"/>
        <v>145</v>
      </c>
      <c r="B297" s="86" t="s">
        <v>6693</v>
      </c>
      <c r="C297" s="86" t="str">
        <f t="shared" si="5"/>
        <v>B.11/0145/2023</v>
      </c>
      <c r="D297" s="86"/>
      <c r="E297" s="264" t="s">
        <v>6637</v>
      </c>
      <c r="F297" s="264" t="s">
        <v>6725</v>
      </c>
      <c r="G297" s="264">
        <v>2023.0</v>
      </c>
    </row>
    <row r="298">
      <c r="A298" s="115">
        <f t="shared" si="6"/>
        <v>146</v>
      </c>
      <c r="B298" s="86" t="s">
        <v>6693</v>
      </c>
      <c r="C298" s="86" t="str">
        <f t="shared" si="5"/>
        <v>B.11/0146/2023</v>
      </c>
      <c r="D298" s="86"/>
      <c r="E298" s="264" t="s">
        <v>6637</v>
      </c>
      <c r="F298" s="264" t="s">
        <v>6726</v>
      </c>
      <c r="G298" s="264">
        <v>2023.0</v>
      </c>
    </row>
    <row r="299">
      <c r="A299" s="115">
        <f t="shared" si="6"/>
        <v>147</v>
      </c>
      <c r="B299" s="86" t="s">
        <v>6693</v>
      </c>
      <c r="C299" s="86" t="str">
        <f t="shared" si="5"/>
        <v>B.11/0147/2023</v>
      </c>
      <c r="D299" s="86"/>
      <c r="E299" s="264" t="s">
        <v>6637</v>
      </c>
      <c r="F299" s="264" t="s">
        <v>6728</v>
      </c>
      <c r="G299" s="264">
        <v>2023.0</v>
      </c>
    </row>
    <row r="300">
      <c r="A300" s="115">
        <f t="shared" si="6"/>
        <v>148</v>
      </c>
      <c r="B300" s="86" t="s">
        <v>6693</v>
      </c>
      <c r="C300" s="86" t="str">
        <f t="shared" si="5"/>
        <v>B.11/0148/2023</v>
      </c>
      <c r="D300" s="86"/>
      <c r="E300" s="264" t="s">
        <v>6637</v>
      </c>
      <c r="F300" s="264" t="s">
        <v>6729</v>
      </c>
      <c r="G300" s="264">
        <v>2023.0</v>
      </c>
    </row>
    <row r="301">
      <c r="A301" s="115">
        <f t="shared" si="6"/>
        <v>149</v>
      </c>
      <c r="B301" s="86" t="s">
        <v>6693</v>
      </c>
      <c r="C301" s="86" t="str">
        <f t="shared" si="5"/>
        <v>B.11/0149/2023</v>
      </c>
      <c r="D301" s="86"/>
      <c r="E301" s="264" t="s">
        <v>6637</v>
      </c>
      <c r="F301" s="264" t="s">
        <v>6730</v>
      </c>
      <c r="G301" s="264">
        <v>2023.0</v>
      </c>
    </row>
    <row r="302">
      <c r="A302" s="115">
        <f t="shared" si="6"/>
        <v>150</v>
      </c>
      <c r="B302" s="86" t="s">
        <v>6693</v>
      </c>
      <c r="C302" s="86" t="str">
        <f t="shared" si="5"/>
        <v>B.11/0150/2023</v>
      </c>
      <c r="D302" s="86"/>
      <c r="E302" s="264" t="s">
        <v>6637</v>
      </c>
      <c r="F302" s="264" t="s">
        <v>6732</v>
      </c>
      <c r="G302" s="264">
        <v>2023.0</v>
      </c>
    </row>
    <row r="303">
      <c r="A303" s="115">
        <f t="shared" si="6"/>
        <v>151</v>
      </c>
      <c r="B303" s="86" t="s">
        <v>6693</v>
      </c>
      <c r="C303" s="86" t="str">
        <f t="shared" si="5"/>
        <v>B.11/0151/2023</v>
      </c>
      <c r="D303" s="86"/>
      <c r="E303" s="264" t="s">
        <v>6637</v>
      </c>
      <c r="F303" s="264" t="s">
        <v>6733</v>
      </c>
      <c r="G303" s="264">
        <v>2023.0</v>
      </c>
    </row>
    <row r="304">
      <c r="A304" s="115">
        <f t="shared" si="6"/>
        <v>152</v>
      </c>
      <c r="B304" s="86" t="s">
        <v>6734</v>
      </c>
      <c r="C304" s="86" t="str">
        <f t="shared" si="5"/>
        <v>B.11/0152/2023</v>
      </c>
      <c r="D304" s="86"/>
      <c r="E304" s="264" t="s">
        <v>6637</v>
      </c>
      <c r="F304" s="264" t="s">
        <v>6735</v>
      </c>
      <c r="G304" s="264">
        <v>2023.0</v>
      </c>
    </row>
    <row r="305">
      <c r="A305" s="115">
        <f t="shared" si="6"/>
        <v>153</v>
      </c>
      <c r="B305" s="86" t="s">
        <v>6734</v>
      </c>
      <c r="C305" s="86" t="str">
        <f t="shared" si="5"/>
        <v>B.11/0153/2023</v>
      </c>
      <c r="D305" s="86"/>
      <c r="E305" s="264" t="s">
        <v>6637</v>
      </c>
      <c r="F305" s="264" t="s">
        <v>6737</v>
      </c>
      <c r="G305" s="264">
        <v>2023.0</v>
      </c>
    </row>
    <row r="306">
      <c r="A306" s="115">
        <f t="shared" si="6"/>
        <v>154</v>
      </c>
      <c r="B306" s="86" t="s">
        <v>6734</v>
      </c>
      <c r="C306" s="86" t="str">
        <f t="shared" si="5"/>
        <v>B.11/0154/2023</v>
      </c>
      <c r="D306" s="86"/>
      <c r="E306" s="264" t="s">
        <v>6637</v>
      </c>
      <c r="F306" s="264" t="s">
        <v>6738</v>
      </c>
      <c r="G306" s="264">
        <v>2023.0</v>
      </c>
    </row>
    <row r="307">
      <c r="A307" s="115">
        <f t="shared" si="6"/>
        <v>155</v>
      </c>
      <c r="B307" s="86" t="s">
        <v>6643</v>
      </c>
      <c r="C307" s="86" t="str">
        <f t="shared" si="5"/>
        <v>B.11/0155/2023</v>
      </c>
      <c r="D307" s="86"/>
      <c r="E307" s="264" t="s">
        <v>6637</v>
      </c>
      <c r="F307" s="264" t="s">
        <v>6739</v>
      </c>
      <c r="G307" s="264">
        <v>2023.0</v>
      </c>
    </row>
    <row r="308">
      <c r="A308" s="115">
        <f t="shared" si="6"/>
        <v>156</v>
      </c>
      <c r="B308" s="86" t="s">
        <v>6740</v>
      </c>
      <c r="C308" s="86" t="str">
        <f t="shared" si="5"/>
        <v>B.11/0156/2023</v>
      </c>
      <c r="D308" s="86"/>
      <c r="E308" s="264" t="s">
        <v>6637</v>
      </c>
      <c r="F308" s="264" t="s">
        <v>6742</v>
      </c>
      <c r="G308" s="264">
        <v>2023.0</v>
      </c>
    </row>
    <row r="309">
      <c r="A309" s="115">
        <f t="shared" si="6"/>
        <v>157</v>
      </c>
      <c r="B309" s="86" t="s">
        <v>6743</v>
      </c>
      <c r="C309" s="86" t="str">
        <f t="shared" si="5"/>
        <v>B.11/0157/2023</v>
      </c>
      <c r="D309" s="86"/>
      <c r="E309" s="264" t="s">
        <v>6637</v>
      </c>
      <c r="F309" s="265" t="s">
        <v>6744</v>
      </c>
      <c r="G309" s="264">
        <v>2023.0</v>
      </c>
    </row>
    <row r="310">
      <c r="A310" s="115">
        <f t="shared" si="6"/>
        <v>158</v>
      </c>
      <c r="B310" s="86" t="s">
        <v>6745</v>
      </c>
      <c r="C310" s="86" t="str">
        <f t="shared" si="5"/>
        <v>B.11/0158/2023</v>
      </c>
      <c r="D310" s="86"/>
      <c r="E310" s="264" t="s">
        <v>6637</v>
      </c>
      <c r="F310" s="265" t="s">
        <v>6746</v>
      </c>
      <c r="G310" s="264">
        <v>2023.0</v>
      </c>
    </row>
    <row r="311">
      <c r="A311" s="115">
        <f t="shared" si="6"/>
        <v>159</v>
      </c>
      <c r="B311" s="86" t="s">
        <v>6748</v>
      </c>
      <c r="C311" s="86" t="str">
        <f t="shared" si="5"/>
        <v>B.11/0159/2023</v>
      </c>
      <c r="D311" s="86"/>
      <c r="E311" s="264" t="s">
        <v>6637</v>
      </c>
      <c r="F311" s="265" t="s">
        <v>6749</v>
      </c>
      <c r="G311" s="264">
        <v>2023.0</v>
      </c>
    </row>
    <row r="312">
      <c r="A312" s="115">
        <f t="shared" si="6"/>
        <v>160</v>
      </c>
      <c r="B312" s="86" t="s">
        <v>6750</v>
      </c>
      <c r="C312" s="86" t="str">
        <f t="shared" si="5"/>
        <v>B.11/0160/2023</v>
      </c>
      <c r="D312" s="270">
        <v>45147.0</v>
      </c>
      <c r="E312" s="264" t="s">
        <v>6637</v>
      </c>
      <c r="F312" s="265" t="s">
        <v>6753</v>
      </c>
      <c r="G312" s="264">
        <v>2023.0</v>
      </c>
    </row>
    <row r="313">
      <c r="A313" s="115">
        <f t="shared" si="6"/>
        <v>161</v>
      </c>
      <c r="B313" s="86" t="s">
        <v>6750</v>
      </c>
      <c r="C313" s="86" t="str">
        <f t="shared" si="5"/>
        <v>B.11/0161/2023</v>
      </c>
      <c r="D313" s="270">
        <v>45147.0</v>
      </c>
      <c r="E313" s="264" t="s">
        <v>6637</v>
      </c>
      <c r="F313" s="265" t="s">
        <v>6754</v>
      </c>
      <c r="G313" s="264">
        <v>2023.0</v>
      </c>
    </row>
    <row r="314">
      <c r="A314" s="115">
        <f t="shared" si="6"/>
        <v>162</v>
      </c>
      <c r="B314" s="86" t="s">
        <v>6750</v>
      </c>
      <c r="C314" s="86" t="str">
        <f t="shared" si="5"/>
        <v>B.11/0162/2023</v>
      </c>
      <c r="D314" s="270">
        <v>45147.0</v>
      </c>
      <c r="E314" s="264" t="s">
        <v>6637</v>
      </c>
      <c r="F314" s="265" t="s">
        <v>6755</v>
      </c>
      <c r="G314" s="264">
        <v>2023.0</v>
      </c>
    </row>
    <row r="315">
      <c r="A315" s="115">
        <f t="shared" si="6"/>
        <v>163</v>
      </c>
      <c r="B315" s="86" t="s">
        <v>6757</v>
      </c>
      <c r="C315" s="86" t="str">
        <f t="shared" si="5"/>
        <v>B.11/0163/2023</v>
      </c>
      <c r="D315" s="270">
        <v>45190.0</v>
      </c>
      <c r="E315" s="264" t="s">
        <v>6637</v>
      </c>
      <c r="F315" s="265" t="s">
        <v>6758</v>
      </c>
      <c r="G315" s="264">
        <v>2023.0</v>
      </c>
    </row>
    <row r="316">
      <c r="A316" s="115">
        <f t="shared" si="6"/>
        <v>164</v>
      </c>
      <c r="B316" s="86" t="s">
        <v>6759</v>
      </c>
      <c r="C316" s="86" t="str">
        <f t="shared" si="5"/>
        <v>B.11/0164/2023</v>
      </c>
      <c r="D316" s="115" t="s">
        <v>6760</v>
      </c>
      <c r="E316" s="264" t="s">
        <v>6637</v>
      </c>
      <c r="F316" s="265" t="s">
        <v>6761</v>
      </c>
      <c r="G316" s="264">
        <v>2023.0</v>
      </c>
    </row>
    <row r="317">
      <c r="A317" s="115">
        <f t="shared" si="6"/>
        <v>165</v>
      </c>
      <c r="B317" s="86" t="s">
        <v>6762</v>
      </c>
      <c r="C317" s="86" t="str">
        <f t="shared" si="5"/>
        <v>B.11/0165/2023</v>
      </c>
      <c r="D317" s="88" t="s">
        <v>6764</v>
      </c>
      <c r="E317" s="264" t="s">
        <v>6637</v>
      </c>
      <c r="F317" s="265" t="s">
        <v>6765</v>
      </c>
      <c r="G317" s="264">
        <v>2023.0</v>
      </c>
    </row>
    <row r="318">
      <c r="A318" s="115">
        <f t="shared" si="6"/>
        <v>166</v>
      </c>
      <c r="B318" s="86" t="s">
        <v>6766</v>
      </c>
      <c r="C318" s="86" t="str">
        <f t="shared" si="5"/>
        <v>B.11/0166/2023</v>
      </c>
      <c r="D318" s="115" t="s">
        <v>6764</v>
      </c>
      <c r="E318" s="264" t="s">
        <v>6637</v>
      </c>
      <c r="F318" s="265" t="s">
        <v>6767</v>
      </c>
      <c r="G318" s="264">
        <v>2023.0</v>
      </c>
    </row>
    <row r="319">
      <c r="A319" s="115">
        <f t="shared" si="6"/>
        <v>167</v>
      </c>
      <c r="B319" s="86" t="s">
        <v>6766</v>
      </c>
      <c r="C319" s="86" t="str">
        <f t="shared" si="5"/>
        <v>B.11/0167/2023</v>
      </c>
      <c r="D319" s="115" t="s">
        <v>6764</v>
      </c>
      <c r="E319" s="264" t="s">
        <v>6637</v>
      </c>
      <c r="F319" s="265" t="s">
        <v>6768</v>
      </c>
      <c r="G319" s="264">
        <v>2023.0</v>
      </c>
    </row>
    <row r="320">
      <c r="A320" s="115">
        <f t="shared" si="6"/>
        <v>168</v>
      </c>
      <c r="B320" s="86" t="s">
        <v>6769</v>
      </c>
      <c r="C320" s="86" t="str">
        <f t="shared" si="5"/>
        <v>B.11/0168/2023</v>
      </c>
      <c r="D320" s="115" t="s">
        <v>6764</v>
      </c>
      <c r="E320" s="264" t="s">
        <v>6637</v>
      </c>
      <c r="F320" s="265" t="s">
        <v>6771</v>
      </c>
      <c r="G320" s="264">
        <v>2023.0</v>
      </c>
    </row>
    <row r="321">
      <c r="A321" s="115">
        <f t="shared" si="6"/>
        <v>169</v>
      </c>
      <c r="B321" s="86" t="s">
        <v>6772</v>
      </c>
      <c r="C321" s="86" t="str">
        <f t="shared" si="5"/>
        <v>B.11/0169/2023</v>
      </c>
      <c r="D321" s="115" t="s">
        <v>6764</v>
      </c>
      <c r="E321" s="264" t="s">
        <v>6637</v>
      </c>
      <c r="F321" s="265" t="s">
        <v>6773</v>
      </c>
      <c r="G321" s="264">
        <v>2023.0</v>
      </c>
    </row>
    <row r="322">
      <c r="A322" s="271">
        <f t="shared" si="6"/>
        <v>170</v>
      </c>
      <c r="B322" s="86" t="s">
        <v>6762</v>
      </c>
      <c r="C322" s="86" t="str">
        <f t="shared" si="5"/>
        <v>B.11/0170/2023</v>
      </c>
      <c r="D322" s="115" t="s">
        <v>6775</v>
      </c>
      <c r="E322" s="264" t="s">
        <v>6637</v>
      </c>
      <c r="F322" s="265" t="s">
        <v>6776</v>
      </c>
      <c r="G322" s="264">
        <v>2023.0</v>
      </c>
    </row>
    <row r="323">
      <c r="A323" s="271">
        <f t="shared" si="6"/>
        <v>171</v>
      </c>
      <c r="B323" s="86" t="s">
        <v>6762</v>
      </c>
      <c r="C323" s="86" t="str">
        <f t="shared" si="5"/>
        <v>B.11/0171/2023</v>
      </c>
      <c r="D323" s="115" t="s">
        <v>6775</v>
      </c>
      <c r="E323" s="264" t="s">
        <v>6637</v>
      </c>
      <c r="F323" s="265" t="s">
        <v>6778</v>
      </c>
      <c r="G323" s="264">
        <v>2023.0</v>
      </c>
    </row>
    <row r="324">
      <c r="A324" s="271">
        <f t="shared" si="6"/>
        <v>172</v>
      </c>
      <c r="B324" s="86" t="s">
        <v>6762</v>
      </c>
      <c r="C324" s="86" t="str">
        <f t="shared" si="5"/>
        <v>B.11/0172/2023</v>
      </c>
      <c r="D324" s="115" t="s">
        <v>6775</v>
      </c>
      <c r="E324" s="264" t="s">
        <v>6637</v>
      </c>
      <c r="F324" s="265" t="s">
        <v>6779</v>
      </c>
      <c r="G324" s="264">
        <v>2023.0</v>
      </c>
    </row>
    <row r="325">
      <c r="A325" s="271">
        <f t="shared" si="6"/>
        <v>173</v>
      </c>
      <c r="B325" s="86" t="s">
        <v>6649</v>
      </c>
      <c r="C325" s="86" t="str">
        <f t="shared" si="5"/>
        <v>B.11/0173/2025</v>
      </c>
      <c r="D325" s="115" t="s">
        <v>6780</v>
      </c>
      <c r="E325" s="264" t="s">
        <v>6637</v>
      </c>
      <c r="F325" s="265" t="s">
        <v>6782</v>
      </c>
      <c r="G325" s="264">
        <v>2025.0</v>
      </c>
    </row>
    <row r="326">
      <c r="A326" s="131"/>
      <c r="B326" s="131"/>
      <c r="C326" s="131"/>
      <c r="D326" s="131"/>
      <c r="E326" s="264"/>
      <c r="F326" s="264"/>
      <c r="G326" s="264"/>
    </row>
    <row r="327">
      <c r="A327" s="131"/>
      <c r="B327" s="131"/>
      <c r="C327" s="131"/>
      <c r="D327" s="131"/>
      <c r="E327" s="264"/>
      <c r="F327" s="264"/>
      <c r="G327" s="264"/>
    </row>
    <row r="328">
      <c r="A328" s="131"/>
      <c r="B328" s="131"/>
      <c r="C328" s="131"/>
      <c r="D328" s="131"/>
      <c r="E328" s="131"/>
      <c r="F328" s="131"/>
      <c r="G328" s="131"/>
    </row>
    <row r="329">
      <c r="E329" s="75"/>
      <c r="F329" s="75"/>
      <c r="G329" s="75"/>
    </row>
    <row r="330">
      <c r="E330" s="75"/>
      <c r="F330" s="75"/>
      <c r="G330" s="75"/>
    </row>
    <row r="331">
      <c r="E331" s="75"/>
      <c r="F331" s="75"/>
      <c r="G331" s="75"/>
    </row>
    <row r="332">
      <c r="E332" s="75"/>
      <c r="F332" s="75"/>
      <c r="G332" s="75"/>
    </row>
    <row r="333">
      <c r="E333" s="75"/>
      <c r="F333" s="75"/>
      <c r="G333" s="75"/>
    </row>
    <row r="334">
      <c r="E334" s="75"/>
      <c r="F334" s="75"/>
      <c r="G334" s="75"/>
    </row>
    <row r="335">
      <c r="E335" s="75"/>
      <c r="F335" s="75"/>
      <c r="G335" s="75"/>
    </row>
    <row r="336">
      <c r="E336" s="75"/>
      <c r="F336" s="75"/>
      <c r="G336" s="75"/>
    </row>
    <row r="337">
      <c r="E337" s="75"/>
      <c r="F337" s="75"/>
      <c r="G337" s="75"/>
    </row>
    <row r="338">
      <c r="E338" s="75"/>
      <c r="F338" s="75"/>
      <c r="G338" s="75"/>
    </row>
    <row r="339">
      <c r="E339" s="75"/>
      <c r="F339" s="75"/>
      <c r="G339" s="75"/>
    </row>
    <row r="340">
      <c r="E340" s="75"/>
      <c r="F340" s="75"/>
      <c r="G340" s="75"/>
    </row>
    <row r="341">
      <c r="E341" s="75"/>
      <c r="F341" s="75"/>
      <c r="G341" s="75"/>
    </row>
    <row r="342">
      <c r="E342" s="75"/>
      <c r="F342" s="75"/>
      <c r="G342" s="75"/>
    </row>
    <row r="343">
      <c r="E343" s="75"/>
      <c r="F343" s="75"/>
      <c r="G343" s="75"/>
    </row>
    <row r="344">
      <c r="E344" s="75"/>
      <c r="F344" s="75"/>
      <c r="G344" s="75"/>
    </row>
    <row r="345">
      <c r="E345" s="75"/>
      <c r="F345" s="75"/>
      <c r="G345" s="75"/>
    </row>
    <row r="346">
      <c r="E346" s="75"/>
      <c r="F346" s="75"/>
      <c r="G346" s="75"/>
    </row>
    <row r="347">
      <c r="E347" s="75"/>
      <c r="F347" s="75"/>
      <c r="G347" s="75"/>
    </row>
    <row r="348">
      <c r="E348" s="75"/>
      <c r="F348" s="75"/>
      <c r="G348" s="75"/>
    </row>
    <row r="349">
      <c r="E349" s="75"/>
      <c r="F349" s="75"/>
      <c r="G349" s="75"/>
    </row>
    <row r="350">
      <c r="E350" s="75"/>
      <c r="F350" s="75"/>
      <c r="G350" s="75"/>
    </row>
    <row r="351">
      <c r="E351" s="75"/>
      <c r="F351" s="75"/>
      <c r="G351" s="75"/>
    </row>
    <row r="352">
      <c r="E352" s="75"/>
      <c r="F352" s="75"/>
      <c r="G352" s="75"/>
    </row>
    <row r="353">
      <c r="E353" s="75"/>
      <c r="F353" s="75"/>
      <c r="G353" s="75"/>
    </row>
    <row r="354">
      <c r="E354" s="75"/>
      <c r="F354" s="75"/>
      <c r="G354" s="75"/>
    </row>
    <row r="355">
      <c r="E355" s="75"/>
      <c r="F355" s="75"/>
      <c r="G355" s="75"/>
    </row>
    <row r="356">
      <c r="E356" s="75"/>
      <c r="F356" s="75"/>
      <c r="G356" s="75"/>
    </row>
    <row r="357">
      <c r="E357" s="75"/>
      <c r="F357" s="75"/>
      <c r="G357" s="75"/>
    </row>
    <row r="358">
      <c r="E358" s="75"/>
      <c r="F358" s="75"/>
      <c r="G358" s="75"/>
    </row>
    <row r="359">
      <c r="E359" s="75"/>
      <c r="F359" s="75"/>
      <c r="G359" s="75"/>
    </row>
    <row r="360">
      <c r="E360" s="75"/>
      <c r="F360" s="75"/>
      <c r="G360" s="75"/>
    </row>
    <row r="361">
      <c r="E361" s="75"/>
      <c r="F361" s="75"/>
      <c r="G361" s="75"/>
    </row>
    <row r="362">
      <c r="E362" s="75"/>
      <c r="F362" s="75"/>
      <c r="G362" s="75"/>
    </row>
    <row r="363">
      <c r="E363" s="75"/>
      <c r="F363" s="75"/>
      <c r="G363" s="75"/>
    </row>
    <row r="364">
      <c r="E364" s="75"/>
      <c r="F364" s="75"/>
      <c r="G364" s="75"/>
    </row>
    <row r="365">
      <c r="E365" s="75"/>
      <c r="F365" s="75"/>
      <c r="G365" s="75"/>
    </row>
    <row r="366">
      <c r="E366" s="75"/>
      <c r="F366" s="75"/>
      <c r="G366" s="75"/>
    </row>
    <row r="367">
      <c r="E367" s="75"/>
      <c r="F367" s="75"/>
      <c r="G367" s="75"/>
    </row>
    <row r="368">
      <c r="E368" s="75"/>
      <c r="F368" s="75"/>
      <c r="G368" s="75"/>
    </row>
    <row r="369">
      <c r="E369" s="75"/>
      <c r="F369" s="75"/>
      <c r="G369" s="75"/>
    </row>
    <row r="370">
      <c r="E370" s="75"/>
      <c r="F370" s="75"/>
      <c r="G370" s="75"/>
    </row>
    <row r="371">
      <c r="E371" s="75"/>
      <c r="F371" s="75"/>
      <c r="G371" s="75"/>
    </row>
    <row r="372">
      <c r="E372" s="75"/>
      <c r="F372" s="75"/>
      <c r="G372" s="75"/>
    </row>
    <row r="373">
      <c r="E373" s="75"/>
      <c r="F373" s="75"/>
      <c r="G373" s="75"/>
    </row>
    <row r="374">
      <c r="E374" s="75"/>
      <c r="F374" s="75"/>
      <c r="G374" s="75"/>
    </row>
    <row r="375">
      <c r="E375" s="75"/>
      <c r="F375" s="75"/>
      <c r="G375" s="75"/>
    </row>
    <row r="376">
      <c r="E376" s="75"/>
      <c r="F376" s="75"/>
      <c r="G376" s="75"/>
    </row>
    <row r="377">
      <c r="E377" s="75"/>
      <c r="F377" s="75"/>
      <c r="G377" s="75"/>
    </row>
    <row r="378">
      <c r="E378" s="75"/>
      <c r="F378" s="75"/>
      <c r="G378" s="75"/>
    </row>
    <row r="379">
      <c r="E379" s="75"/>
      <c r="F379" s="75"/>
      <c r="G379" s="75"/>
    </row>
    <row r="380">
      <c r="E380" s="75"/>
      <c r="F380" s="75"/>
      <c r="G380" s="75"/>
    </row>
    <row r="381">
      <c r="E381" s="75"/>
      <c r="F381" s="75"/>
      <c r="G381" s="75"/>
    </row>
    <row r="382">
      <c r="E382" s="75"/>
      <c r="F382" s="75"/>
      <c r="G382" s="75"/>
    </row>
    <row r="383">
      <c r="E383" s="75"/>
      <c r="F383" s="75"/>
      <c r="G383" s="75"/>
    </row>
    <row r="384">
      <c r="E384" s="75"/>
      <c r="F384" s="75"/>
      <c r="G384" s="75"/>
    </row>
    <row r="385">
      <c r="E385" s="75"/>
      <c r="F385" s="75"/>
      <c r="G385" s="75"/>
    </row>
    <row r="386">
      <c r="E386" s="75"/>
      <c r="F386" s="75"/>
      <c r="G386" s="75"/>
    </row>
    <row r="387">
      <c r="E387" s="75"/>
      <c r="F387" s="75"/>
      <c r="G387" s="75"/>
    </row>
    <row r="388">
      <c r="E388" s="75"/>
      <c r="F388" s="75"/>
      <c r="G388" s="75"/>
    </row>
    <row r="389">
      <c r="E389" s="75"/>
      <c r="F389" s="75"/>
      <c r="G389" s="75"/>
    </row>
    <row r="390">
      <c r="E390" s="75"/>
      <c r="F390" s="75"/>
      <c r="G390" s="75"/>
    </row>
    <row r="391">
      <c r="E391" s="75"/>
      <c r="F391" s="75"/>
      <c r="G391" s="75"/>
    </row>
    <row r="392">
      <c r="E392" s="75"/>
      <c r="F392" s="75"/>
      <c r="G392" s="75"/>
    </row>
    <row r="393">
      <c r="E393" s="75"/>
      <c r="F393" s="75"/>
      <c r="G393" s="75"/>
    </row>
    <row r="394">
      <c r="E394" s="75"/>
      <c r="F394" s="75"/>
      <c r="G394" s="75"/>
    </row>
    <row r="395">
      <c r="E395" s="75"/>
      <c r="F395" s="75"/>
      <c r="G395" s="75"/>
    </row>
    <row r="396">
      <c r="E396" s="75"/>
      <c r="F396" s="75"/>
      <c r="G396" s="75"/>
    </row>
    <row r="397">
      <c r="E397" s="75"/>
      <c r="F397" s="75"/>
      <c r="G397" s="75"/>
    </row>
    <row r="398">
      <c r="E398" s="75"/>
      <c r="F398" s="75"/>
      <c r="G398" s="75"/>
    </row>
    <row r="399">
      <c r="E399" s="75"/>
      <c r="F399" s="75"/>
      <c r="G399" s="75"/>
    </row>
    <row r="400">
      <c r="E400" s="75"/>
      <c r="F400" s="75"/>
      <c r="G400" s="75"/>
    </row>
    <row r="401">
      <c r="E401" s="75"/>
      <c r="F401" s="75"/>
      <c r="G401" s="75"/>
    </row>
    <row r="402">
      <c r="E402" s="75"/>
      <c r="F402" s="75"/>
      <c r="G402" s="75"/>
    </row>
    <row r="403">
      <c r="E403" s="75"/>
      <c r="F403" s="75"/>
      <c r="G403" s="75"/>
    </row>
    <row r="404">
      <c r="E404" s="75"/>
      <c r="F404" s="75"/>
      <c r="G404" s="75"/>
    </row>
    <row r="405">
      <c r="E405" s="75"/>
      <c r="F405" s="75"/>
      <c r="G405" s="75"/>
    </row>
    <row r="406">
      <c r="E406" s="75"/>
      <c r="F406" s="75"/>
      <c r="G406" s="75"/>
    </row>
    <row r="407">
      <c r="E407" s="75"/>
      <c r="F407" s="75"/>
      <c r="G407" s="75"/>
    </row>
    <row r="408">
      <c r="E408" s="75"/>
      <c r="F408" s="75"/>
      <c r="G408" s="75"/>
    </row>
    <row r="409">
      <c r="E409" s="75"/>
      <c r="F409" s="75"/>
      <c r="G409" s="75"/>
    </row>
    <row r="410">
      <c r="E410" s="75"/>
      <c r="F410" s="75"/>
      <c r="G410" s="75"/>
    </row>
    <row r="411">
      <c r="E411" s="75"/>
      <c r="F411" s="75"/>
      <c r="G411" s="75"/>
    </row>
    <row r="412">
      <c r="E412" s="75"/>
      <c r="F412" s="75"/>
      <c r="G412" s="75"/>
    </row>
    <row r="413">
      <c r="E413" s="75"/>
      <c r="F413" s="75"/>
      <c r="G413" s="75"/>
    </row>
    <row r="414">
      <c r="E414" s="75"/>
      <c r="F414" s="75"/>
      <c r="G414" s="75"/>
    </row>
    <row r="415">
      <c r="E415" s="75"/>
      <c r="F415" s="75"/>
      <c r="G415" s="75"/>
    </row>
    <row r="416">
      <c r="E416" s="75"/>
      <c r="F416" s="75"/>
      <c r="G416" s="75"/>
    </row>
    <row r="417">
      <c r="E417" s="75"/>
      <c r="F417" s="75"/>
      <c r="G417" s="75"/>
    </row>
    <row r="418">
      <c r="E418" s="75"/>
      <c r="F418" s="75"/>
      <c r="G418" s="75"/>
    </row>
    <row r="419">
      <c r="E419" s="75"/>
      <c r="F419" s="75"/>
      <c r="G419" s="75"/>
    </row>
    <row r="420">
      <c r="E420" s="75"/>
      <c r="F420" s="75"/>
      <c r="G420" s="75"/>
    </row>
    <row r="421">
      <c r="E421" s="75"/>
      <c r="F421" s="75"/>
      <c r="G421" s="75"/>
    </row>
    <row r="422">
      <c r="E422" s="75"/>
      <c r="F422" s="75"/>
      <c r="G422" s="75"/>
    </row>
    <row r="423">
      <c r="E423" s="75"/>
      <c r="F423" s="75"/>
      <c r="G423" s="75"/>
    </row>
    <row r="424">
      <c r="E424" s="75"/>
      <c r="F424" s="75"/>
      <c r="G424" s="75"/>
    </row>
    <row r="425">
      <c r="E425" s="75"/>
      <c r="F425" s="75"/>
      <c r="G425" s="75"/>
    </row>
    <row r="426">
      <c r="E426" s="75"/>
      <c r="F426" s="75"/>
      <c r="G426" s="75"/>
    </row>
    <row r="427">
      <c r="E427" s="75"/>
      <c r="F427" s="75"/>
      <c r="G427" s="75"/>
    </row>
    <row r="428">
      <c r="E428" s="75"/>
      <c r="F428" s="75"/>
      <c r="G428" s="75"/>
    </row>
    <row r="429">
      <c r="E429" s="75"/>
      <c r="F429" s="75"/>
      <c r="G429" s="75"/>
    </row>
    <row r="430">
      <c r="E430" s="75"/>
      <c r="F430" s="75"/>
      <c r="G430" s="75"/>
    </row>
    <row r="431">
      <c r="E431" s="75"/>
      <c r="F431" s="75"/>
      <c r="G431" s="75"/>
    </row>
    <row r="432">
      <c r="E432" s="75"/>
      <c r="F432" s="75"/>
      <c r="G432" s="75"/>
    </row>
    <row r="433">
      <c r="E433" s="75"/>
      <c r="F433" s="75"/>
      <c r="G433" s="75"/>
    </row>
    <row r="434">
      <c r="E434" s="75"/>
      <c r="F434" s="75"/>
      <c r="G434" s="75"/>
    </row>
    <row r="435">
      <c r="E435" s="75"/>
      <c r="F435" s="75"/>
      <c r="G435" s="75"/>
    </row>
    <row r="436">
      <c r="E436" s="75"/>
      <c r="F436" s="75"/>
      <c r="G436" s="75"/>
    </row>
    <row r="437">
      <c r="E437" s="75"/>
      <c r="F437" s="75"/>
      <c r="G437" s="75"/>
    </row>
    <row r="438">
      <c r="E438" s="75"/>
      <c r="F438" s="75"/>
      <c r="G438" s="75"/>
    </row>
    <row r="439">
      <c r="E439" s="75"/>
      <c r="F439" s="75"/>
      <c r="G439" s="75"/>
    </row>
    <row r="440">
      <c r="E440" s="75"/>
      <c r="F440" s="75"/>
      <c r="G440" s="75"/>
    </row>
    <row r="441">
      <c r="E441" s="75"/>
      <c r="F441" s="75"/>
      <c r="G441" s="75"/>
    </row>
    <row r="442">
      <c r="E442" s="75"/>
      <c r="F442" s="75"/>
      <c r="G442" s="75"/>
    </row>
    <row r="443">
      <c r="E443" s="75"/>
      <c r="F443" s="75"/>
      <c r="G443" s="75"/>
    </row>
    <row r="444">
      <c r="E444" s="75"/>
      <c r="F444" s="75"/>
      <c r="G444" s="75"/>
    </row>
    <row r="445">
      <c r="E445" s="75"/>
      <c r="F445" s="75"/>
      <c r="G445" s="75"/>
    </row>
    <row r="446">
      <c r="E446" s="75"/>
      <c r="F446" s="75"/>
      <c r="G446" s="75"/>
    </row>
    <row r="447">
      <c r="E447" s="75"/>
      <c r="F447" s="75"/>
      <c r="G447" s="75"/>
    </row>
    <row r="448">
      <c r="E448" s="75"/>
      <c r="F448" s="75"/>
      <c r="G448" s="75"/>
    </row>
    <row r="449">
      <c r="E449" s="75"/>
      <c r="F449" s="75"/>
      <c r="G449" s="75"/>
    </row>
    <row r="450">
      <c r="E450" s="75"/>
      <c r="F450" s="75"/>
      <c r="G450" s="75"/>
    </row>
    <row r="451">
      <c r="E451" s="75"/>
      <c r="F451" s="75"/>
      <c r="G451" s="75"/>
    </row>
    <row r="452">
      <c r="E452" s="75"/>
      <c r="F452" s="75"/>
      <c r="G452" s="75"/>
    </row>
    <row r="453">
      <c r="E453" s="75"/>
      <c r="F453" s="75"/>
      <c r="G453" s="75"/>
    </row>
    <row r="454">
      <c r="E454" s="75"/>
      <c r="F454" s="75"/>
      <c r="G454" s="75"/>
    </row>
    <row r="455">
      <c r="E455" s="75"/>
      <c r="F455" s="75"/>
      <c r="G455" s="75"/>
    </row>
    <row r="456">
      <c r="E456" s="75"/>
      <c r="F456" s="75"/>
      <c r="G456" s="75"/>
    </row>
    <row r="457">
      <c r="E457" s="75"/>
      <c r="F457" s="75"/>
      <c r="G457" s="75"/>
    </row>
    <row r="458">
      <c r="E458" s="75"/>
      <c r="F458" s="75"/>
      <c r="G458" s="75"/>
    </row>
    <row r="459">
      <c r="E459" s="75"/>
      <c r="F459" s="75"/>
      <c r="G459" s="75"/>
    </row>
    <row r="460">
      <c r="E460" s="75"/>
      <c r="F460" s="75"/>
      <c r="G460" s="75"/>
    </row>
    <row r="461">
      <c r="E461" s="75"/>
      <c r="F461" s="75"/>
      <c r="G461" s="75"/>
    </row>
    <row r="462">
      <c r="E462" s="75"/>
      <c r="F462" s="75"/>
      <c r="G462" s="75"/>
    </row>
    <row r="463">
      <c r="E463" s="75"/>
      <c r="F463" s="75"/>
      <c r="G463" s="75"/>
    </row>
    <row r="464">
      <c r="E464" s="75"/>
      <c r="F464" s="75"/>
      <c r="G464" s="75"/>
    </row>
    <row r="465">
      <c r="E465" s="75"/>
      <c r="F465" s="75"/>
      <c r="G465" s="75"/>
    </row>
    <row r="466">
      <c r="E466" s="75"/>
      <c r="F466" s="75"/>
      <c r="G466" s="75"/>
    </row>
    <row r="467">
      <c r="E467" s="75"/>
      <c r="F467" s="75"/>
      <c r="G467" s="75"/>
    </row>
    <row r="468">
      <c r="E468" s="75"/>
      <c r="F468" s="75"/>
      <c r="G468" s="75"/>
    </row>
    <row r="469">
      <c r="E469" s="75"/>
      <c r="F469" s="75"/>
      <c r="G469" s="75"/>
    </row>
    <row r="470">
      <c r="E470" s="75"/>
      <c r="F470" s="75"/>
      <c r="G470" s="75"/>
    </row>
    <row r="471">
      <c r="E471" s="75"/>
      <c r="F471" s="75"/>
      <c r="G471" s="75"/>
    </row>
    <row r="472">
      <c r="E472" s="75"/>
      <c r="F472" s="75"/>
      <c r="G472" s="75"/>
    </row>
    <row r="473">
      <c r="E473" s="75"/>
      <c r="F473" s="75"/>
      <c r="G473" s="75"/>
    </row>
    <row r="474">
      <c r="E474" s="75"/>
      <c r="F474" s="75"/>
      <c r="G474" s="75"/>
    </row>
    <row r="475">
      <c r="E475" s="75"/>
      <c r="F475" s="75"/>
      <c r="G475" s="75"/>
    </row>
    <row r="476">
      <c r="E476" s="75"/>
      <c r="F476" s="75"/>
      <c r="G476" s="75"/>
    </row>
    <row r="477">
      <c r="E477" s="75"/>
      <c r="F477" s="75"/>
      <c r="G477" s="75"/>
    </row>
    <row r="478">
      <c r="E478" s="75"/>
      <c r="F478" s="75"/>
      <c r="G478" s="75"/>
    </row>
    <row r="479">
      <c r="E479" s="75"/>
      <c r="F479" s="75"/>
      <c r="G479" s="75"/>
    </row>
    <row r="480">
      <c r="E480" s="75"/>
      <c r="F480" s="75"/>
      <c r="G480" s="75"/>
    </row>
    <row r="481">
      <c r="E481" s="75"/>
      <c r="F481" s="75"/>
      <c r="G481" s="75"/>
    </row>
    <row r="482">
      <c r="E482" s="75"/>
      <c r="F482" s="75"/>
      <c r="G482" s="75"/>
    </row>
    <row r="483">
      <c r="E483" s="75"/>
      <c r="F483" s="75"/>
      <c r="G483" s="75"/>
    </row>
    <row r="484">
      <c r="E484" s="75"/>
      <c r="F484" s="75"/>
      <c r="G484" s="75"/>
    </row>
    <row r="485">
      <c r="E485" s="75"/>
      <c r="F485" s="75"/>
      <c r="G485" s="75"/>
    </row>
    <row r="486">
      <c r="E486" s="75"/>
      <c r="F486" s="75"/>
      <c r="G486" s="75"/>
    </row>
    <row r="487">
      <c r="E487" s="75"/>
      <c r="F487" s="75"/>
      <c r="G487" s="75"/>
    </row>
    <row r="488">
      <c r="E488" s="75"/>
      <c r="F488" s="75"/>
      <c r="G488" s="75"/>
    </row>
    <row r="489">
      <c r="E489" s="75"/>
      <c r="F489" s="75"/>
      <c r="G489" s="75"/>
    </row>
    <row r="490">
      <c r="E490" s="75"/>
      <c r="F490" s="75"/>
      <c r="G490" s="75"/>
    </row>
    <row r="491">
      <c r="E491" s="75"/>
      <c r="F491" s="75"/>
      <c r="G491" s="75"/>
    </row>
    <row r="492">
      <c r="E492" s="75"/>
      <c r="F492" s="75"/>
      <c r="G492" s="75"/>
    </row>
    <row r="493">
      <c r="E493" s="75"/>
      <c r="F493" s="75"/>
      <c r="G493" s="75"/>
    </row>
    <row r="494">
      <c r="E494" s="75"/>
      <c r="F494" s="75"/>
      <c r="G494" s="75"/>
    </row>
    <row r="495">
      <c r="E495" s="75"/>
      <c r="F495" s="75"/>
      <c r="G495" s="75"/>
    </row>
    <row r="496">
      <c r="E496" s="75"/>
      <c r="F496" s="75"/>
      <c r="G496" s="75"/>
    </row>
    <row r="497">
      <c r="E497" s="75"/>
      <c r="F497" s="75"/>
      <c r="G497" s="75"/>
    </row>
    <row r="498">
      <c r="E498" s="75"/>
      <c r="F498" s="75"/>
      <c r="G498" s="75"/>
    </row>
    <row r="499">
      <c r="E499" s="75"/>
      <c r="F499" s="75"/>
      <c r="G499" s="75"/>
    </row>
    <row r="500">
      <c r="E500" s="75"/>
      <c r="F500" s="75"/>
      <c r="G500" s="75"/>
    </row>
    <row r="501">
      <c r="E501" s="75"/>
      <c r="F501" s="75"/>
      <c r="G501" s="75"/>
    </row>
    <row r="502">
      <c r="E502" s="75"/>
      <c r="F502" s="75"/>
      <c r="G502" s="75"/>
    </row>
    <row r="503">
      <c r="E503" s="75"/>
      <c r="F503" s="75"/>
      <c r="G503" s="75"/>
    </row>
    <row r="504">
      <c r="E504" s="75"/>
      <c r="F504" s="75"/>
      <c r="G504" s="75"/>
    </row>
    <row r="505">
      <c r="E505" s="75"/>
      <c r="F505" s="75"/>
      <c r="G505" s="75"/>
    </row>
    <row r="506">
      <c r="E506" s="75"/>
      <c r="F506" s="75"/>
      <c r="G506" s="75"/>
    </row>
    <row r="507">
      <c r="E507" s="75"/>
      <c r="F507" s="75"/>
      <c r="G507" s="75"/>
    </row>
    <row r="508">
      <c r="E508" s="75"/>
      <c r="F508" s="75"/>
      <c r="G508" s="75"/>
    </row>
    <row r="509">
      <c r="E509" s="75"/>
      <c r="F509" s="75"/>
      <c r="G509" s="75"/>
    </row>
    <row r="510">
      <c r="E510" s="75"/>
      <c r="F510" s="75"/>
      <c r="G510" s="75"/>
    </row>
    <row r="511">
      <c r="E511" s="75"/>
      <c r="F511" s="75"/>
      <c r="G511" s="75"/>
    </row>
    <row r="512">
      <c r="E512" s="75"/>
      <c r="F512" s="75"/>
      <c r="G512" s="75"/>
    </row>
    <row r="513">
      <c r="E513" s="75"/>
      <c r="F513" s="75"/>
      <c r="G513" s="75"/>
    </row>
    <row r="514">
      <c r="E514" s="75"/>
      <c r="F514" s="75"/>
      <c r="G514" s="75"/>
    </row>
    <row r="515">
      <c r="E515" s="75"/>
      <c r="F515" s="75"/>
      <c r="G515" s="75"/>
    </row>
    <row r="516">
      <c r="E516" s="75"/>
      <c r="F516" s="75"/>
      <c r="G516" s="75"/>
    </row>
    <row r="517">
      <c r="E517" s="75"/>
      <c r="F517" s="75"/>
      <c r="G517" s="75"/>
    </row>
    <row r="518">
      <c r="E518" s="75"/>
      <c r="F518" s="75"/>
      <c r="G518" s="75"/>
    </row>
    <row r="519">
      <c r="E519" s="75"/>
      <c r="F519" s="75"/>
      <c r="G519" s="75"/>
    </row>
    <row r="520">
      <c r="E520" s="75"/>
      <c r="F520" s="75"/>
      <c r="G520" s="75"/>
    </row>
    <row r="521">
      <c r="E521" s="75"/>
      <c r="F521" s="75"/>
      <c r="G521" s="75"/>
    </row>
    <row r="522">
      <c r="E522" s="75"/>
      <c r="F522" s="75"/>
      <c r="G522" s="75"/>
    </row>
    <row r="523">
      <c r="E523" s="75"/>
      <c r="F523" s="75"/>
      <c r="G523" s="75"/>
    </row>
    <row r="524">
      <c r="E524" s="75"/>
      <c r="F524" s="75"/>
      <c r="G524" s="75"/>
    </row>
    <row r="525">
      <c r="E525" s="75"/>
      <c r="F525" s="75"/>
      <c r="G525" s="75"/>
    </row>
    <row r="526">
      <c r="E526" s="75"/>
      <c r="F526" s="75"/>
      <c r="G526" s="75"/>
    </row>
    <row r="527">
      <c r="E527" s="75"/>
      <c r="F527" s="75"/>
      <c r="G527" s="75"/>
    </row>
    <row r="528">
      <c r="E528" s="75"/>
      <c r="F528" s="75"/>
      <c r="G528" s="75"/>
    </row>
    <row r="529">
      <c r="E529" s="75"/>
      <c r="F529" s="75"/>
      <c r="G529" s="75"/>
    </row>
    <row r="530">
      <c r="E530" s="75"/>
      <c r="F530" s="75"/>
      <c r="G530" s="75"/>
    </row>
    <row r="531">
      <c r="E531" s="75"/>
      <c r="F531" s="75"/>
      <c r="G531" s="75"/>
    </row>
    <row r="532">
      <c r="E532" s="75"/>
      <c r="F532" s="75"/>
      <c r="G532" s="75"/>
    </row>
    <row r="533">
      <c r="E533" s="75"/>
      <c r="F533" s="75"/>
      <c r="G533" s="75"/>
    </row>
    <row r="534">
      <c r="E534" s="75"/>
      <c r="F534" s="75"/>
      <c r="G534" s="75"/>
    </row>
    <row r="535">
      <c r="E535" s="75"/>
      <c r="F535" s="75"/>
      <c r="G535" s="75"/>
    </row>
    <row r="536">
      <c r="E536" s="75"/>
      <c r="F536" s="75"/>
      <c r="G536" s="75"/>
    </row>
    <row r="537">
      <c r="E537" s="75"/>
      <c r="F537" s="75"/>
      <c r="G537" s="75"/>
    </row>
    <row r="538">
      <c r="E538" s="75"/>
      <c r="F538" s="75"/>
      <c r="G538" s="75"/>
    </row>
    <row r="539">
      <c r="E539" s="75"/>
      <c r="F539" s="75"/>
      <c r="G539" s="75"/>
    </row>
    <row r="540">
      <c r="E540" s="75"/>
      <c r="F540" s="75"/>
      <c r="G540" s="75"/>
    </row>
    <row r="541">
      <c r="E541" s="75"/>
      <c r="F541" s="75"/>
      <c r="G541" s="75"/>
    </row>
    <row r="542">
      <c r="E542" s="75"/>
      <c r="F542" s="75"/>
      <c r="G542" s="75"/>
    </row>
    <row r="543">
      <c r="E543" s="75"/>
      <c r="F543" s="75"/>
      <c r="G543" s="75"/>
    </row>
    <row r="544">
      <c r="E544" s="75"/>
      <c r="F544" s="75"/>
      <c r="G544" s="75"/>
    </row>
    <row r="545">
      <c r="E545" s="75"/>
      <c r="F545" s="75"/>
      <c r="G545" s="75"/>
    </row>
    <row r="546">
      <c r="E546" s="75"/>
      <c r="F546" s="75"/>
      <c r="G546" s="75"/>
    </row>
    <row r="547">
      <c r="E547" s="75"/>
      <c r="F547" s="75"/>
      <c r="G547" s="75"/>
    </row>
    <row r="548">
      <c r="E548" s="75"/>
      <c r="F548" s="75"/>
      <c r="G548" s="75"/>
    </row>
    <row r="549">
      <c r="E549" s="75"/>
      <c r="F549" s="75"/>
      <c r="G549" s="75"/>
    </row>
    <row r="550">
      <c r="E550" s="75"/>
      <c r="F550" s="75"/>
      <c r="G550" s="75"/>
    </row>
    <row r="551">
      <c r="E551" s="75"/>
      <c r="F551" s="75"/>
      <c r="G551" s="75"/>
    </row>
    <row r="552">
      <c r="E552" s="75"/>
      <c r="F552" s="75"/>
      <c r="G552" s="75"/>
    </row>
    <row r="553">
      <c r="E553" s="75"/>
      <c r="F553" s="75"/>
      <c r="G553" s="75"/>
    </row>
    <row r="554">
      <c r="E554" s="75"/>
      <c r="F554" s="75"/>
      <c r="G554" s="75"/>
    </row>
    <row r="555">
      <c r="E555" s="75"/>
      <c r="F555" s="75"/>
      <c r="G555" s="75"/>
    </row>
    <row r="556">
      <c r="E556" s="75"/>
      <c r="F556" s="75"/>
      <c r="G556" s="75"/>
    </row>
    <row r="557">
      <c r="E557" s="75"/>
      <c r="F557" s="75"/>
      <c r="G557" s="75"/>
    </row>
    <row r="558">
      <c r="E558" s="75"/>
      <c r="F558" s="75"/>
      <c r="G558" s="75"/>
    </row>
    <row r="559">
      <c r="E559" s="75"/>
      <c r="F559" s="75"/>
      <c r="G559" s="75"/>
    </row>
    <row r="560">
      <c r="E560" s="75"/>
      <c r="F560" s="75"/>
      <c r="G560" s="75"/>
    </row>
    <row r="561">
      <c r="E561" s="75"/>
      <c r="F561" s="75"/>
      <c r="G561" s="75"/>
    </row>
    <row r="562">
      <c r="E562" s="75"/>
      <c r="F562" s="75"/>
      <c r="G562" s="75"/>
    </row>
    <row r="563">
      <c r="E563" s="75"/>
      <c r="F563" s="75"/>
      <c r="G563" s="75"/>
    </row>
    <row r="564">
      <c r="E564" s="75"/>
      <c r="F564" s="75"/>
      <c r="G564" s="75"/>
    </row>
    <row r="565">
      <c r="E565" s="75"/>
      <c r="F565" s="75"/>
      <c r="G565" s="75"/>
    </row>
    <row r="566">
      <c r="E566" s="75"/>
      <c r="F566" s="75"/>
      <c r="G566" s="75"/>
    </row>
    <row r="567">
      <c r="E567" s="75"/>
      <c r="F567" s="75"/>
      <c r="G567" s="75"/>
    </row>
    <row r="568">
      <c r="E568" s="75"/>
      <c r="F568" s="75"/>
      <c r="G568" s="75"/>
    </row>
    <row r="569">
      <c r="E569" s="75"/>
      <c r="F569" s="75"/>
      <c r="G569" s="75"/>
    </row>
    <row r="570">
      <c r="E570" s="75"/>
      <c r="F570" s="75"/>
      <c r="G570" s="75"/>
    </row>
    <row r="571">
      <c r="E571" s="75"/>
      <c r="F571" s="75"/>
      <c r="G571" s="75"/>
    </row>
    <row r="572">
      <c r="E572" s="75"/>
      <c r="F572" s="75"/>
      <c r="G572" s="75"/>
    </row>
    <row r="573">
      <c r="E573" s="75"/>
      <c r="F573" s="75"/>
      <c r="G573" s="75"/>
    </row>
    <row r="574">
      <c r="E574" s="75"/>
      <c r="F574" s="75"/>
      <c r="G574" s="75"/>
    </row>
    <row r="575">
      <c r="E575" s="75"/>
      <c r="F575" s="75"/>
      <c r="G575" s="75"/>
    </row>
    <row r="576">
      <c r="E576" s="75"/>
      <c r="F576" s="75"/>
      <c r="G576" s="75"/>
    </row>
    <row r="577">
      <c r="E577" s="75"/>
      <c r="F577" s="75"/>
      <c r="G577" s="75"/>
    </row>
    <row r="578">
      <c r="E578" s="75"/>
      <c r="F578" s="75"/>
      <c r="G578" s="75"/>
    </row>
    <row r="579">
      <c r="E579" s="75"/>
      <c r="F579" s="75"/>
      <c r="G579" s="75"/>
    </row>
    <row r="580">
      <c r="E580" s="75"/>
      <c r="F580" s="75"/>
      <c r="G580" s="75"/>
    </row>
    <row r="581">
      <c r="E581" s="75"/>
      <c r="F581" s="75"/>
      <c r="G581" s="75"/>
    </row>
    <row r="582">
      <c r="E582" s="75"/>
      <c r="F582" s="75"/>
      <c r="G582" s="75"/>
    </row>
    <row r="583">
      <c r="E583" s="75"/>
      <c r="F583" s="75"/>
      <c r="G583" s="75"/>
    </row>
    <row r="584">
      <c r="E584" s="75"/>
      <c r="F584" s="75"/>
      <c r="G584" s="75"/>
    </row>
    <row r="585">
      <c r="E585" s="75"/>
      <c r="F585" s="75"/>
      <c r="G585" s="75"/>
    </row>
    <row r="586">
      <c r="E586" s="75"/>
      <c r="F586" s="75"/>
      <c r="G586" s="75"/>
    </row>
    <row r="587">
      <c r="E587" s="75"/>
      <c r="F587" s="75"/>
      <c r="G587" s="75"/>
    </row>
    <row r="588">
      <c r="E588" s="75"/>
      <c r="F588" s="75"/>
      <c r="G588" s="75"/>
    </row>
    <row r="589">
      <c r="E589" s="75"/>
      <c r="F589" s="75"/>
      <c r="G589" s="75"/>
    </row>
    <row r="590">
      <c r="E590" s="75"/>
      <c r="F590" s="75"/>
      <c r="G590" s="75"/>
    </row>
    <row r="591">
      <c r="E591" s="75"/>
      <c r="F591" s="75"/>
      <c r="G591" s="75"/>
    </row>
    <row r="592">
      <c r="E592" s="75"/>
      <c r="F592" s="75"/>
      <c r="G592" s="75"/>
    </row>
    <row r="593">
      <c r="E593" s="75"/>
      <c r="F593" s="75"/>
      <c r="G593" s="75"/>
    </row>
    <row r="594">
      <c r="E594" s="75"/>
      <c r="F594" s="75"/>
      <c r="G594" s="75"/>
    </row>
    <row r="595">
      <c r="E595" s="75"/>
      <c r="F595" s="75"/>
      <c r="G595" s="75"/>
    </row>
    <row r="596">
      <c r="E596" s="75"/>
      <c r="F596" s="75"/>
      <c r="G596" s="75"/>
    </row>
    <row r="597">
      <c r="E597" s="75"/>
      <c r="F597" s="75"/>
      <c r="G597" s="75"/>
    </row>
    <row r="598">
      <c r="E598" s="75"/>
      <c r="F598" s="75"/>
      <c r="G598" s="75"/>
    </row>
    <row r="599">
      <c r="E599" s="75"/>
      <c r="F599" s="75"/>
      <c r="G599" s="75"/>
    </row>
    <row r="600">
      <c r="E600" s="75"/>
      <c r="F600" s="75"/>
      <c r="G600" s="75"/>
    </row>
    <row r="601">
      <c r="E601" s="75"/>
      <c r="F601" s="75"/>
      <c r="G601" s="75"/>
    </row>
    <row r="602">
      <c r="E602" s="75"/>
      <c r="F602" s="75"/>
      <c r="G602" s="75"/>
    </row>
    <row r="603">
      <c r="E603" s="75"/>
      <c r="F603" s="75"/>
      <c r="G603" s="75"/>
    </row>
    <row r="604">
      <c r="E604" s="75"/>
      <c r="F604" s="75"/>
      <c r="G604" s="75"/>
    </row>
    <row r="605">
      <c r="E605" s="75"/>
      <c r="F605" s="75"/>
      <c r="G605" s="75"/>
    </row>
    <row r="606">
      <c r="E606" s="75"/>
      <c r="F606" s="75"/>
      <c r="G606" s="75"/>
    </row>
    <row r="607">
      <c r="E607" s="75"/>
      <c r="F607" s="75"/>
      <c r="G607" s="75"/>
    </row>
    <row r="608">
      <c r="E608" s="75"/>
      <c r="F608" s="75"/>
      <c r="G608" s="75"/>
    </row>
    <row r="609">
      <c r="E609" s="75"/>
      <c r="F609" s="75"/>
      <c r="G609" s="75"/>
    </row>
    <row r="610">
      <c r="E610" s="75"/>
      <c r="F610" s="75"/>
      <c r="G610" s="75"/>
    </row>
    <row r="611">
      <c r="E611" s="75"/>
      <c r="F611" s="75"/>
      <c r="G611" s="75"/>
    </row>
    <row r="612">
      <c r="E612" s="75"/>
      <c r="F612" s="75"/>
      <c r="G612" s="75"/>
    </row>
    <row r="613">
      <c r="E613" s="75"/>
      <c r="F613" s="75"/>
      <c r="G613" s="75"/>
    </row>
    <row r="614">
      <c r="E614" s="75"/>
      <c r="F614" s="75"/>
      <c r="G614" s="75"/>
    </row>
    <row r="615">
      <c r="E615" s="75"/>
      <c r="F615" s="75"/>
      <c r="G615" s="75"/>
    </row>
    <row r="616">
      <c r="E616" s="75"/>
      <c r="F616" s="75"/>
      <c r="G616" s="75"/>
    </row>
    <row r="617">
      <c r="E617" s="75"/>
      <c r="F617" s="75"/>
      <c r="G617" s="75"/>
    </row>
    <row r="618">
      <c r="E618" s="75"/>
      <c r="F618" s="75"/>
      <c r="G618" s="75"/>
    </row>
    <row r="619">
      <c r="E619" s="75"/>
      <c r="F619" s="75"/>
      <c r="G619" s="75"/>
    </row>
    <row r="620">
      <c r="E620" s="75"/>
      <c r="F620" s="75"/>
      <c r="G620" s="75"/>
    </row>
    <row r="621">
      <c r="E621" s="75"/>
      <c r="F621" s="75"/>
      <c r="G621" s="75"/>
    </row>
    <row r="622">
      <c r="E622" s="75"/>
      <c r="F622" s="75"/>
      <c r="G622" s="75"/>
    </row>
    <row r="623">
      <c r="E623" s="75"/>
      <c r="F623" s="75"/>
      <c r="G623" s="75"/>
    </row>
    <row r="624">
      <c r="E624" s="75"/>
      <c r="F624" s="75"/>
      <c r="G624" s="75"/>
    </row>
    <row r="625">
      <c r="E625" s="75"/>
      <c r="F625" s="75"/>
      <c r="G625" s="75"/>
    </row>
    <row r="626">
      <c r="E626" s="75"/>
      <c r="F626" s="75"/>
      <c r="G626" s="75"/>
    </row>
    <row r="627">
      <c r="E627" s="75"/>
      <c r="F627" s="75"/>
      <c r="G627" s="75"/>
    </row>
    <row r="628">
      <c r="E628" s="75"/>
      <c r="F628" s="75"/>
      <c r="G628" s="75"/>
    </row>
    <row r="629">
      <c r="E629" s="75"/>
      <c r="F629" s="75"/>
      <c r="G629" s="75"/>
    </row>
    <row r="630">
      <c r="E630" s="75"/>
      <c r="F630" s="75"/>
      <c r="G630" s="75"/>
    </row>
    <row r="631">
      <c r="E631" s="75"/>
      <c r="F631" s="75"/>
      <c r="G631" s="75"/>
    </row>
    <row r="632">
      <c r="E632" s="75"/>
      <c r="F632" s="75"/>
      <c r="G632" s="75"/>
    </row>
    <row r="633">
      <c r="E633" s="75"/>
      <c r="F633" s="75"/>
      <c r="G633" s="75"/>
    </row>
    <row r="634">
      <c r="E634" s="75"/>
      <c r="F634" s="75"/>
      <c r="G634" s="75"/>
    </row>
    <row r="635">
      <c r="E635" s="75"/>
      <c r="F635" s="75"/>
      <c r="G635" s="75"/>
    </row>
    <row r="636">
      <c r="E636" s="75"/>
      <c r="F636" s="75"/>
      <c r="G636" s="75"/>
    </row>
    <row r="637">
      <c r="E637" s="75"/>
      <c r="F637" s="75"/>
      <c r="G637" s="75"/>
    </row>
    <row r="638">
      <c r="E638" s="75"/>
      <c r="F638" s="75"/>
      <c r="G638" s="75"/>
    </row>
    <row r="639">
      <c r="E639" s="75"/>
      <c r="F639" s="75"/>
      <c r="G639" s="75"/>
    </row>
    <row r="640">
      <c r="E640" s="75"/>
      <c r="F640" s="75"/>
      <c r="G640" s="75"/>
    </row>
    <row r="641">
      <c r="E641" s="75"/>
      <c r="F641" s="75"/>
      <c r="G641" s="75"/>
    </row>
    <row r="642">
      <c r="E642" s="75"/>
      <c r="F642" s="75"/>
      <c r="G642" s="75"/>
    </row>
    <row r="643">
      <c r="E643" s="75"/>
      <c r="F643" s="75"/>
      <c r="G643" s="75"/>
    </row>
    <row r="644">
      <c r="E644" s="75"/>
      <c r="F644" s="75"/>
      <c r="G644" s="75"/>
    </row>
    <row r="645">
      <c r="E645" s="75"/>
      <c r="F645" s="75"/>
      <c r="G645" s="75"/>
    </row>
    <row r="646">
      <c r="E646" s="75"/>
      <c r="F646" s="75"/>
      <c r="G646" s="75"/>
    </row>
    <row r="647">
      <c r="E647" s="75"/>
      <c r="F647" s="75"/>
      <c r="G647" s="75"/>
    </row>
    <row r="648">
      <c r="E648" s="75"/>
      <c r="F648" s="75"/>
      <c r="G648" s="75"/>
    </row>
    <row r="649">
      <c r="E649" s="75"/>
      <c r="F649" s="75"/>
      <c r="G649" s="75"/>
    </row>
    <row r="650">
      <c r="E650" s="75"/>
      <c r="F650" s="75"/>
      <c r="G650" s="75"/>
    </row>
    <row r="651">
      <c r="E651" s="75"/>
      <c r="F651" s="75"/>
      <c r="G651" s="75"/>
    </row>
    <row r="652">
      <c r="E652" s="75"/>
      <c r="F652" s="75"/>
      <c r="G652" s="75"/>
    </row>
    <row r="653">
      <c r="E653" s="75"/>
      <c r="F653" s="75"/>
      <c r="G653" s="75"/>
    </row>
    <row r="654">
      <c r="E654" s="75"/>
      <c r="F654" s="75"/>
      <c r="G654" s="75"/>
    </row>
    <row r="655">
      <c r="E655" s="75"/>
      <c r="F655" s="75"/>
      <c r="G655" s="75"/>
    </row>
    <row r="656">
      <c r="E656" s="75"/>
      <c r="F656" s="75"/>
      <c r="G656" s="75"/>
    </row>
    <row r="657">
      <c r="E657" s="75"/>
      <c r="F657" s="75"/>
      <c r="G657" s="75"/>
    </row>
    <row r="658">
      <c r="E658" s="75"/>
      <c r="F658" s="75"/>
      <c r="G658" s="75"/>
    </row>
    <row r="659">
      <c r="E659" s="75"/>
      <c r="F659" s="75"/>
      <c r="G659" s="75"/>
    </row>
    <row r="660">
      <c r="E660" s="75"/>
      <c r="F660" s="75"/>
      <c r="G660" s="75"/>
    </row>
    <row r="661">
      <c r="E661" s="75"/>
      <c r="F661" s="75"/>
      <c r="G661" s="75"/>
    </row>
    <row r="662">
      <c r="E662" s="75"/>
      <c r="F662" s="75"/>
      <c r="G662" s="75"/>
    </row>
    <row r="663">
      <c r="E663" s="75"/>
      <c r="F663" s="75"/>
      <c r="G663" s="75"/>
    </row>
    <row r="664">
      <c r="E664" s="75"/>
      <c r="F664" s="75"/>
      <c r="G664" s="75"/>
    </row>
    <row r="665">
      <c r="E665" s="75"/>
      <c r="F665" s="75"/>
      <c r="G665" s="75"/>
    </row>
    <row r="666">
      <c r="E666" s="75"/>
      <c r="F666" s="75"/>
      <c r="G666" s="75"/>
    </row>
    <row r="667">
      <c r="E667" s="75"/>
      <c r="F667" s="75"/>
      <c r="G667" s="75"/>
    </row>
    <row r="668">
      <c r="E668" s="75"/>
      <c r="F668" s="75"/>
      <c r="G668" s="75"/>
    </row>
    <row r="669">
      <c r="E669" s="75"/>
      <c r="F669" s="75"/>
      <c r="G669" s="75"/>
    </row>
    <row r="670">
      <c r="E670" s="75"/>
      <c r="F670" s="75"/>
      <c r="G670" s="75"/>
    </row>
    <row r="671">
      <c r="E671" s="75"/>
      <c r="F671" s="75"/>
      <c r="G671" s="75"/>
    </row>
    <row r="672">
      <c r="E672" s="75"/>
      <c r="F672" s="75"/>
      <c r="G672" s="75"/>
    </row>
    <row r="673">
      <c r="E673" s="75"/>
      <c r="F673" s="75"/>
      <c r="G673" s="75"/>
    </row>
    <row r="674">
      <c r="E674" s="75"/>
      <c r="F674" s="75"/>
      <c r="G674" s="75"/>
    </row>
    <row r="675">
      <c r="E675" s="75"/>
      <c r="F675" s="75"/>
      <c r="G675" s="75"/>
    </row>
    <row r="676">
      <c r="E676" s="75"/>
      <c r="F676" s="75"/>
      <c r="G676" s="75"/>
    </row>
    <row r="677">
      <c r="E677" s="75"/>
      <c r="F677" s="75"/>
      <c r="G677" s="75"/>
    </row>
    <row r="678">
      <c r="E678" s="75"/>
      <c r="F678" s="75"/>
      <c r="G678" s="75"/>
    </row>
    <row r="679">
      <c r="E679" s="75"/>
      <c r="F679" s="75"/>
      <c r="G679" s="75"/>
    </row>
    <row r="680">
      <c r="E680" s="75"/>
      <c r="F680" s="75"/>
      <c r="G680" s="75"/>
    </row>
    <row r="681">
      <c r="E681" s="75"/>
      <c r="F681" s="75"/>
      <c r="G681" s="75"/>
    </row>
    <row r="682">
      <c r="E682" s="75"/>
      <c r="F682" s="75"/>
      <c r="G682" s="75"/>
    </row>
    <row r="683">
      <c r="E683" s="75"/>
      <c r="F683" s="75"/>
      <c r="G683" s="75"/>
    </row>
    <row r="684">
      <c r="E684" s="75"/>
      <c r="F684" s="75"/>
      <c r="G684" s="75"/>
    </row>
    <row r="685">
      <c r="E685" s="75"/>
      <c r="F685" s="75"/>
      <c r="G685" s="75"/>
    </row>
    <row r="686">
      <c r="E686" s="75"/>
      <c r="F686" s="75"/>
      <c r="G686" s="75"/>
    </row>
    <row r="687">
      <c r="E687" s="75"/>
      <c r="F687" s="75"/>
      <c r="G687" s="75"/>
    </row>
    <row r="688">
      <c r="E688" s="75"/>
      <c r="F688" s="75"/>
      <c r="G688" s="75"/>
    </row>
    <row r="689">
      <c r="E689" s="75"/>
      <c r="F689" s="75"/>
      <c r="G689" s="75"/>
    </row>
    <row r="690">
      <c r="E690" s="75"/>
      <c r="F690" s="75"/>
      <c r="G690" s="75"/>
    </row>
    <row r="691">
      <c r="E691" s="75"/>
      <c r="F691" s="75"/>
      <c r="G691" s="75"/>
    </row>
    <row r="692">
      <c r="E692" s="75"/>
      <c r="F692" s="75"/>
      <c r="G692" s="75"/>
    </row>
    <row r="693">
      <c r="E693" s="75"/>
      <c r="F693" s="75"/>
      <c r="G693" s="75"/>
    </row>
    <row r="694">
      <c r="E694" s="75"/>
      <c r="F694" s="75"/>
      <c r="G694" s="75"/>
    </row>
    <row r="695">
      <c r="E695" s="75"/>
      <c r="F695" s="75"/>
      <c r="G695" s="75"/>
    </row>
    <row r="696">
      <c r="E696" s="75"/>
      <c r="F696" s="75"/>
      <c r="G696" s="75"/>
    </row>
    <row r="697">
      <c r="E697" s="75"/>
      <c r="F697" s="75"/>
      <c r="G697" s="75"/>
    </row>
    <row r="698">
      <c r="E698" s="75"/>
      <c r="F698" s="75"/>
      <c r="G698" s="75"/>
    </row>
    <row r="699">
      <c r="E699" s="75"/>
      <c r="F699" s="75"/>
      <c r="G699" s="75"/>
    </row>
    <row r="700">
      <c r="E700" s="75"/>
      <c r="F700" s="75"/>
      <c r="G700" s="75"/>
    </row>
    <row r="701">
      <c r="E701" s="75"/>
      <c r="F701" s="75"/>
      <c r="G701" s="75"/>
    </row>
    <row r="702">
      <c r="E702" s="75"/>
      <c r="F702" s="75"/>
      <c r="G702" s="75"/>
    </row>
    <row r="703">
      <c r="E703" s="75"/>
      <c r="F703" s="75"/>
      <c r="G703" s="75"/>
    </row>
    <row r="704">
      <c r="E704" s="75"/>
      <c r="F704" s="75"/>
      <c r="G704" s="75"/>
    </row>
    <row r="705">
      <c r="E705" s="75"/>
      <c r="F705" s="75"/>
      <c r="G705" s="75"/>
    </row>
    <row r="706">
      <c r="E706" s="75"/>
      <c r="F706" s="75"/>
      <c r="G706" s="75"/>
    </row>
    <row r="707">
      <c r="E707" s="75"/>
      <c r="F707" s="75"/>
      <c r="G707" s="75"/>
    </row>
    <row r="708">
      <c r="E708" s="75"/>
      <c r="F708" s="75"/>
      <c r="G708" s="75"/>
    </row>
    <row r="709">
      <c r="E709" s="75"/>
      <c r="F709" s="75"/>
      <c r="G709" s="75"/>
    </row>
    <row r="710">
      <c r="E710" s="75"/>
      <c r="F710" s="75"/>
      <c r="G710" s="75"/>
    </row>
    <row r="711">
      <c r="E711" s="75"/>
      <c r="F711" s="75"/>
      <c r="G711" s="75"/>
    </row>
    <row r="712">
      <c r="E712" s="75"/>
      <c r="F712" s="75"/>
      <c r="G712" s="75"/>
    </row>
    <row r="713">
      <c r="E713" s="75"/>
      <c r="F713" s="75"/>
      <c r="G713" s="75"/>
    </row>
    <row r="714">
      <c r="E714" s="75"/>
      <c r="F714" s="75"/>
      <c r="G714" s="75"/>
    </row>
    <row r="715">
      <c r="E715" s="75"/>
      <c r="F715" s="75"/>
      <c r="G715" s="75"/>
    </row>
    <row r="716">
      <c r="E716" s="75"/>
      <c r="F716" s="75"/>
      <c r="G716" s="75"/>
    </row>
    <row r="717">
      <c r="E717" s="75"/>
      <c r="F717" s="75"/>
      <c r="G717" s="75"/>
    </row>
    <row r="718">
      <c r="E718" s="75"/>
      <c r="F718" s="75"/>
      <c r="G718" s="75"/>
    </row>
    <row r="719">
      <c r="E719" s="75"/>
      <c r="F719" s="75"/>
      <c r="G719" s="75"/>
    </row>
    <row r="720">
      <c r="E720" s="75"/>
      <c r="F720" s="75"/>
      <c r="G720" s="75"/>
    </row>
    <row r="721">
      <c r="E721" s="75"/>
      <c r="F721" s="75"/>
      <c r="G721" s="75"/>
    </row>
    <row r="722">
      <c r="E722" s="75"/>
      <c r="F722" s="75"/>
      <c r="G722" s="75"/>
    </row>
    <row r="723">
      <c r="E723" s="75"/>
      <c r="F723" s="75"/>
      <c r="G723" s="75"/>
    </row>
    <row r="724">
      <c r="E724" s="75"/>
      <c r="F724" s="75"/>
      <c r="G724" s="75"/>
    </row>
    <row r="725">
      <c r="E725" s="75"/>
      <c r="F725" s="75"/>
      <c r="G725" s="75"/>
    </row>
    <row r="726">
      <c r="E726" s="75"/>
      <c r="F726" s="75"/>
      <c r="G726" s="75"/>
    </row>
    <row r="727">
      <c r="E727" s="75"/>
      <c r="F727" s="75"/>
      <c r="G727" s="75"/>
    </row>
    <row r="728">
      <c r="E728" s="75"/>
      <c r="F728" s="75"/>
      <c r="G728" s="75"/>
    </row>
    <row r="729">
      <c r="E729" s="75"/>
      <c r="F729" s="75"/>
      <c r="G729" s="75"/>
    </row>
    <row r="730">
      <c r="E730" s="75"/>
      <c r="F730" s="75"/>
      <c r="G730" s="75"/>
    </row>
    <row r="731">
      <c r="E731" s="75"/>
      <c r="F731" s="75"/>
      <c r="G731" s="75"/>
    </row>
    <row r="732">
      <c r="E732" s="75"/>
      <c r="F732" s="75"/>
      <c r="G732" s="75"/>
    </row>
    <row r="733">
      <c r="E733" s="75"/>
      <c r="F733" s="75"/>
      <c r="G733" s="75"/>
    </row>
    <row r="734">
      <c r="E734" s="75"/>
      <c r="F734" s="75"/>
      <c r="G734" s="75"/>
    </row>
    <row r="735">
      <c r="E735" s="75"/>
      <c r="F735" s="75"/>
      <c r="G735" s="75"/>
    </row>
    <row r="736">
      <c r="E736" s="75"/>
      <c r="F736" s="75"/>
      <c r="G736" s="75"/>
    </row>
    <row r="737">
      <c r="E737" s="75"/>
      <c r="F737" s="75"/>
      <c r="G737" s="75"/>
    </row>
    <row r="738">
      <c r="E738" s="75"/>
      <c r="F738" s="75"/>
      <c r="G738" s="75"/>
    </row>
    <row r="739">
      <c r="E739" s="75"/>
      <c r="F739" s="75"/>
      <c r="G739" s="75"/>
    </row>
    <row r="740">
      <c r="E740" s="75"/>
      <c r="F740" s="75"/>
      <c r="G740" s="75"/>
    </row>
    <row r="741">
      <c r="E741" s="75"/>
      <c r="F741" s="75"/>
      <c r="G741" s="75"/>
    </row>
    <row r="742">
      <c r="E742" s="75"/>
      <c r="F742" s="75"/>
      <c r="G742" s="75"/>
    </row>
    <row r="743">
      <c r="E743" s="75"/>
      <c r="F743" s="75"/>
      <c r="G743" s="75"/>
    </row>
    <row r="744">
      <c r="E744" s="75"/>
      <c r="F744" s="75"/>
      <c r="G744" s="75"/>
    </row>
    <row r="745">
      <c r="E745" s="75"/>
      <c r="F745" s="75"/>
      <c r="G745" s="75"/>
    </row>
    <row r="746">
      <c r="E746" s="75"/>
      <c r="F746" s="75"/>
      <c r="G746" s="75"/>
    </row>
    <row r="747">
      <c r="E747" s="75"/>
      <c r="F747" s="75"/>
      <c r="G747" s="75"/>
    </row>
    <row r="748">
      <c r="E748" s="75"/>
      <c r="F748" s="75"/>
      <c r="G748" s="75"/>
    </row>
    <row r="749">
      <c r="E749" s="75"/>
      <c r="F749" s="75"/>
      <c r="G749" s="75"/>
    </row>
    <row r="750">
      <c r="E750" s="75"/>
      <c r="F750" s="75"/>
      <c r="G750" s="75"/>
    </row>
    <row r="751">
      <c r="E751" s="75"/>
      <c r="F751" s="75"/>
      <c r="G751" s="75"/>
    </row>
    <row r="752">
      <c r="E752" s="75"/>
      <c r="F752" s="75"/>
      <c r="G752" s="75"/>
    </row>
    <row r="753">
      <c r="E753" s="75"/>
      <c r="F753" s="75"/>
      <c r="G753" s="75"/>
    </row>
    <row r="754">
      <c r="E754" s="75"/>
      <c r="F754" s="75"/>
      <c r="G754" s="75"/>
    </row>
    <row r="755">
      <c r="E755" s="75"/>
      <c r="F755" s="75"/>
      <c r="G755" s="75"/>
    </row>
    <row r="756">
      <c r="E756" s="75"/>
      <c r="F756" s="75"/>
      <c r="G756" s="75"/>
    </row>
    <row r="757">
      <c r="E757" s="75"/>
      <c r="F757" s="75"/>
      <c r="G757" s="75"/>
    </row>
    <row r="758">
      <c r="E758" s="75"/>
      <c r="F758" s="75"/>
      <c r="G758" s="75"/>
    </row>
    <row r="759">
      <c r="E759" s="75"/>
      <c r="F759" s="75"/>
      <c r="G759" s="75"/>
    </row>
    <row r="760">
      <c r="E760" s="75"/>
      <c r="F760" s="75"/>
      <c r="G760" s="75"/>
    </row>
    <row r="761">
      <c r="E761" s="75"/>
      <c r="F761" s="75"/>
      <c r="G761" s="75"/>
    </row>
    <row r="762">
      <c r="E762" s="75"/>
      <c r="F762" s="75"/>
      <c r="G762" s="75"/>
    </row>
    <row r="763">
      <c r="E763" s="75"/>
      <c r="F763" s="75"/>
      <c r="G763" s="75"/>
    </row>
    <row r="764">
      <c r="E764" s="75"/>
      <c r="F764" s="75"/>
      <c r="G764" s="75"/>
    </row>
    <row r="765">
      <c r="E765" s="75"/>
      <c r="F765" s="75"/>
      <c r="G765" s="75"/>
    </row>
    <row r="766">
      <c r="E766" s="75"/>
      <c r="F766" s="75"/>
      <c r="G766" s="75"/>
    </row>
    <row r="767">
      <c r="E767" s="75"/>
      <c r="F767" s="75"/>
      <c r="G767" s="75"/>
    </row>
    <row r="768">
      <c r="E768" s="75"/>
      <c r="F768" s="75"/>
      <c r="G768" s="75"/>
    </row>
    <row r="769">
      <c r="E769" s="75"/>
      <c r="F769" s="75"/>
      <c r="G769" s="75"/>
    </row>
    <row r="770">
      <c r="E770" s="75"/>
      <c r="F770" s="75"/>
      <c r="G770" s="75"/>
    </row>
    <row r="771">
      <c r="E771" s="75"/>
      <c r="F771" s="75"/>
      <c r="G771" s="75"/>
    </row>
    <row r="772">
      <c r="E772" s="75"/>
      <c r="F772" s="75"/>
      <c r="G772" s="75"/>
    </row>
    <row r="773">
      <c r="E773" s="75"/>
      <c r="F773" s="75"/>
      <c r="G773" s="75"/>
    </row>
    <row r="774">
      <c r="E774" s="75"/>
      <c r="F774" s="75"/>
      <c r="G774" s="75"/>
    </row>
    <row r="775">
      <c r="E775" s="75"/>
      <c r="F775" s="75"/>
      <c r="G775" s="75"/>
    </row>
    <row r="776">
      <c r="E776" s="75"/>
      <c r="F776" s="75"/>
      <c r="G776" s="75"/>
    </row>
    <row r="777">
      <c r="E777" s="75"/>
      <c r="F777" s="75"/>
      <c r="G777" s="75"/>
    </row>
    <row r="778">
      <c r="E778" s="75"/>
      <c r="F778" s="75"/>
      <c r="G778" s="75"/>
    </row>
    <row r="779">
      <c r="E779" s="75"/>
      <c r="F779" s="75"/>
      <c r="G779" s="75"/>
    </row>
    <row r="780">
      <c r="E780" s="75"/>
      <c r="F780" s="75"/>
      <c r="G780" s="75"/>
    </row>
    <row r="781">
      <c r="E781" s="75"/>
      <c r="F781" s="75"/>
      <c r="G781" s="75"/>
    </row>
    <row r="782">
      <c r="E782" s="75"/>
      <c r="F782" s="75"/>
      <c r="G782" s="75"/>
    </row>
    <row r="783">
      <c r="E783" s="75"/>
      <c r="F783" s="75"/>
      <c r="G783" s="75"/>
    </row>
    <row r="784">
      <c r="E784" s="75"/>
      <c r="F784" s="75"/>
      <c r="G784" s="75"/>
    </row>
    <row r="785">
      <c r="E785" s="75"/>
      <c r="F785" s="75"/>
      <c r="G785" s="75"/>
    </row>
    <row r="786">
      <c r="E786" s="75"/>
      <c r="F786" s="75"/>
      <c r="G786" s="75"/>
    </row>
    <row r="787">
      <c r="E787" s="75"/>
      <c r="F787" s="75"/>
      <c r="G787" s="75"/>
    </row>
    <row r="788">
      <c r="E788" s="75"/>
      <c r="F788" s="75"/>
      <c r="G788" s="75"/>
    </row>
    <row r="789">
      <c r="E789" s="75"/>
      <c r="F789" s="75"/>
      <c r="G789" s="75"/>
    </row>
    <row r="790">
      <c r="E790" s="75"/>
      <c r="F790" s="75"/>
      <c r="G790" s="75"/>
    </row>
    <row r="791">
      <c r="E791" s="75"/>
      <c r="F791" s="75"/>
      <c r="G791" s="75"/>
    </row>
    <row r="792">
      <c r="E792" s="75"/>
      <c r="F792" s="75"/>
      <c r="G792" s="75"/>
    </row>
    <row r="793">
      <c r="E793" s="75"/>
      <c r="F793" s="75"/>
      <c r="G793" s="75"/>
    </row>
    <row r="794">
      <c r="E794" s="75"/>
      <c r="F794" s="75"/>
      <c r="G794" s="75"/>
    </row>
    <row r="795">
      <c r="E795" s="75"/>
      <c r="F795" s="75"/>
      <c r="G795" s="75"/>
    </row>
    <row r="796">
      <c r="E796" s="75"/>
      <c r="F796" s="75"/>
      <c r="G796" s="75"/>
    </row>
    <row r="797">
      <c r="E797" s="75"/>
      <c r="F797" s="75"/>
      <c r="G797" s="75"/>
    </row>
    <row r="798">
      <c r="E798" s="75"/>
      <c r="F798" s="75"/>
      <c r="G798" s="75"/>
    </row>
    <row r="799">
      <c r="E799" s="75"/>
      <c r="F799" s="75"/>
      <c r="G799" s="75"/>
    </row>
    <row r="800">
      <c r="E800" s="75"/>
      <c r="F800" s="75"/>
      <c r="G800" s="75"/>
    </row>
    <row r="801">
      <c r="E801" s="75"/>
      <c r="F801" s="75"/>
      <c r="G801" s="75"/>
    </row>
    <row r="802">
      <c r="E802" s="75"/>
      <c r="F802" s="75"/>
      <c r="G802" s="75"/>
    </row>
    <row r="803">
      <c r="E803" s="75"/>
      <c r="F803" s="75"/>
      <c r="G803" s="75"/>
    </row>
    <row r="804">
      <c r="E804" s="75"/>
      <c r="F804" s="75"/>
      <c r="G804" s="75"/>
    </row>
    <row r="805">
      <c r="E805" s="75"/>
      <c r="F805" s="75"/>
      <c r="G805" s="75"/>
    </row>
    <row r="806">
      <c r="E806" s="75"/>
      <c r="F806" s="75"/>
      <c r="G806" s="75"/>
    </row>
    <row r="807">
      <c r="E807" s="75"/>
      <c r="F807" s="75"/>
      <c r="G807" s="75"/>
    </row>
    <row r="808">
      <c r="E808" s="75"/>
      <c r="F808" s="75"/>
      <c r="G808" s="75"/>
    </row>
    <row r="809">
      <c r="E809" s="75"/>
      <c r="F809" s="75"/>
      <c r="G809" s="75"/>
    </row>
    <row r="810">
      <c r="E810" s="75"/>
      <c r="F810" s="75"/>
      <c r="G810" s="75"/>
    </row>
    <row r="811">
      <c r="E811" s="75"/>
      <c r="F811" s="75"/>
      <c r="G811" s="75"/>
    </row>
    <row r="812">
      <c r="E812" s="75"/>
      <c r="F812" s="75"/>
      <c r="G812" s="75"/>
    </row>
    <row r="813">
      <c r="E813" s="75"/>
      <c r="F813" s="75"/>
      <c r="G813" s="75"/>
    </row>
    <row r="814">
      <c r="E814" s="75"/>
      <c r="F814" s="75"/>
      <c r="G814" s="75"/>
    </row>
    <row r="815">
      <c r="E815" s="75"/>
      <c r="F815" s="75"/>
      <c r="G815" s="75"/>
    </row>
    <row r="816">
      <c r="E816" s="75"/>
      <c r="F816" s="75"/>
      <c r="G816" s="75"/>
    </row>
    <row r="817">
      <c r="E817" s="75"/>
      <c r="F817" s="75"/>
      <c r="G817" s="75"/>
    </row>
    <row r="818">
      <c r="E818" s="75"/>
      <c r="F818" s="75"/>
      <c r="G818" s="75"/>
    </row>
    <row r="819">
      <c r="E819" s="75"/>
      <c r="F819" s="75"/>
      <c r="G819" s="75"/>
    </row>
    <row r="820">
      <c r="E820" s="75"/>
      <c r="F820" s="75"/>
      <c r="G820" s="75"/>
    </row>
    <row r="821">
      <c r="E821" s="75"/>
      <c r="F821" s="75"/>
      <c r="G821" s="75"/>
    </row>
    <row r="822">
      <c r="E822" s="75"/>
      <c r="F822" s="75"/>
      <c r="G822" s="75"/>
    </row>
    <row r="823">
      <c r="E823" s="75"/>
      <c r="F823" s="75"/>
      <c r="G823" s="75"/>
    </row>
    <row r="824">
      <c r="E824" s="75"/>
      <c r="F824" s="75"/>
      <c r="G824" s="75"/>
    </row>
    <row r="825">
      <c r="E825" s="75"/>
      <c r="F825" s="75"/>
      <c r="G825" s="75"/>
    </row>
    <row r="826">
      <c r="E826" s="75"/>
      <c r="F826" s="75"/>
      <c r="G826" s="75"/>
    </row>
    <row r="827">
      <c r="E827" s="75"/>
      <c r="F827" s="75"/>
      <c r="G827" s="75"/>
    </row>
    <row r="828">
      <c r="E828" s="75"/>
      <c r="F828" s="75"/>
      <c r="G828" s="75"/>
    </row>
    <row r="829">
      <c r="E829" s="75"/>
      <c r="F829" s="75"/>
      <c r="G829" s="75"/>
    </row>
    <row r="830">
      <c r="E830" s="75"/>
      <c r="F830" s="75"/>
      <c r="G830" s="75"/>
    </row>
    <row r="831">
      <c r="E831" s="75"/>
      <c r="F831" s="75"/>
      <c r="G831" s="75"/>
    </row>
    <row r="832">
      <c r="E832" s="75"/>
      <c r="F832" s="75"/>
      <c r="G832" s="75"/>
    </row>
    <row r="833">
      <c r="E833" s="75"/>
      <c r="F833" s="75"/>
      <c r="G833" s="75"/>
    </row>
    <row r="834">
      <c r="E834" s="75"/>
      <c r="F834" s="75"/>
      <c r="G834" s="75"/>
    </row>
    <row r="835">
      <c r="E835" s="75"/>
      <c r="F835" s="75"/>
      <c r="G835" s="75"/>
    </row>
    <row r="836">
      <c r="E836" s="75"/>
      <c r="F836" s="75"/>
      <c r="G836" s="75"/>
    </row>
    <row r="837">
      <c r="E837" s="75"/>
      <c r="F837" s="75"/>
      <c r="G837" s="75"/>
    </row>
    <row r="838">
      <c r="E838" s="75"/>
      <c r="F838" s="75"/>
      <c r="G838" s="75"/>
    </row>
    <row r="839">
      <c r="E839" s="75"/>
      <c r="F839" s="75"/>
      <c r="G839" s="75"/>
    </row>
    <row r="840">
      <c r="E840" s="75"/>
      <c r="F840" s="75"/>
      <c r="G840" s="75"/>
    </row>
    <row r="841">
      <c r="E841" s="75"/>
      <c r="F841" s="75"/>
      <c r="G841" s="75"/>
    </row>
    <row r="842">
      <c r="E842" s="75"/>
      <c r="F842" s="75"/>
      <c r="G842" s="75"/>
    </row>
    <row r="843">
      <c r="E843" s="75"/>
      <c r="F843" s="75"/>
      <c r="G843" s="75"/>
    </row>
    <row r="844">
      <c r="E844" s="75"/>
      <c r="F844" s="75"/>
      <c r="G844" s="75"/>
    </row>
    <row r="845">
      <c r="E845" s="75"/>
      <c r="F845" s="75"/>
      <c r="G845" s="75"/>
    </row>
    <row r="846">
      <c r="E846" s="75"/>
      <c r="F846" s="75"/>
      <c r="G846" s="75"/>
    </row>
    <row r="847">
      <c r="E847" s="75"/>
      <c r="F847" s="75"/>
      <c r="G847" s="75"/>
    </row>
    <row r="848">
      <c r="E848" s="75"/>
      <c r="F848" s="75"/>
      <c r="G848" s="75"/>
    </row>
    <row r="849">
      <c r="E849" s="75"/>
      <c r="F849" s="75"/>
      <c r="G849" s="75"/>
    </row>
    <row r="850">
      <c r="E850" s="75"/>
      <c r="F850" s="75"/>
      <c r="G850" s="75"/>
    </row>
    <row r="851">
      <c r="E851" s="75"/>
      <c r="F851" s="75"/>
      <c r="G851" s="75"/>
    </row>
    <row r="852">
      <c r="E852" s="75"/>
      <c r="F852" s="75"/>
      <c r="G852" s="75"/>
    </row>
    <row r="853">
      <c r="E853" s="75"/>
      <c r="F853" s="75"/>
      <c r="G853" s="75"/>
    </row>
    <row r="854">
      <c r="E854" s="75"/>
      <c r="F854" s="75"/>
      <c r="G854" s="75"/>
    </row>
    <row r="855">
      <c r="E855" s="75"/>
      <c r="F855" s="75"/>
      <c r="G855" s="75"/>
    </row>
    <row r="856">
      <c r="E856" s="75"/>
      <c r="F856" s="75"/>
      <c r="G856" s="75"/>
    </row>
    <row r="857">
      <c r="E857" s="75"/>
      <c r="F857" s="75"/>
      <c r="G857" s="75"/>
    </row>
    <row r="858">
      <c r="E858" s="75"/>
      <c r="F858" s="75"/>
      <c r="G858" s="75"/>
    </row>
    <row r="859">
      <c r="E859" s="75"/>
      <c r="F859" s="75"/>
      <c r="G859" s="75"/>
    </row>
    <row r="860">
      <c r="E860" s="75"/>
      <c r="F860" s="75"/>
      <c r="G860" s="75"/>
    </row>
    <row r="861">
      <c r="E861" s="75"/>
      <c r="F861" s="75"/>
      <c r="G861" s="75"/>
    </row>
    <row r="862">
      <c r="E862" s="75"/>
      <c r="F862" s="75"/>
      <c r="G862" s="75"/>
    </row>
    <row r="863">
      <c r="E863" s="75"/>
      <c r="F863" s="75"/>
      <c r="G863" s="75"/>
    </row>
    <row r="864">
      <c r="E864" s="75"/>
      <c r="F864" s="75"/>
      <c r="G864" s="75"/>
    </row>
    <row r="865">
      <c r="E865" s="75"/>
      <c r="F865" s="75"/>
      <c r="G865" s="75"/>
    </row>
    <row r="866">
      <c r="E866" s="75"/>
      <c r="F866" s="75"/>
      <c r="G866" s="75"/>
    </row>
    <row r="867">
      <c r="E867" s="75"/>
      <c r="F867" s="75"/>
      <c r="G867" s="75"/>
    </row>
    <row r="868">
      <c r="E868" s="75"/>
      <c r="F868" s="75"/>
      <c r="G868" s="75"/>
    </row>
    <row r="869">
      <c r="E869" s="75"/>
      <c r="F869" s="75"/>
      <c r="G869" s="75"/>
    </row>
    <row r="870">
      <c r="E870" s="75"/>
      <c r="F870" s="75"/>
      <c r="G870" s="75"/>
    </row>
    <row r="871">
      <c r="E871" s="75"/>
      <c r="F871" s="75"/>
      <c r="G871" s="75"/>
    </row>
    <row r="872">
      <c r="E872" s="75"/>
      <c r="F872" s="75"/>
      <c r="G872" s="75"/>
    </row>
    <row r="873">
      <c r="E873" s="75"/>
      <c r="F873" s="75"/>
      <c r="G873" s="75"/>
    </row>
    <row r="874">
      <c r="E874" s="75"/>
      <c r="F874" s="75"/>
      <c r="G874" s="75"/>
    </row>
    <row r="875">
      <c r="E875" s="75"/>
      <c r="F875" s="75"/>
      <c r="G875" s="75"/>
    </row>
    <row r="876">
      <c r="E876" s="75"/>
      <c r="F876" s="75"/>
      <c r="G876" s="75"/>
    </row>
    <row r="877">
      <c r="E877" s="75"/>
      <c r="F877" s="75"/>
      <c r="G877" s="75"/>
    </row>
    <row r="878">
      <c r="E878" s="75"/>
      <c r="F878" s="75"/>
      <c r="G878" s="75"/>
    </row>
    <row r="879">
      <c r="E879" s="75"/>
      <c r="F879" s="75"/>
      <c r="G879" s="75"/>
    </row>
    <row r="880">
      <c r="E880" s="75"/>
      <c r="F880" s="75"/>
      <c r="G880" s="75"/>
    </row>
    <row r="881">
      <c r="E881" s="75"/>
      <c r="F881" s="75"/>
      <c r="G881" s="75"/>
    </row>
    <row r="882">
      <c r="E882" s="75"/>
      <c r="F882" s="75"/>
      <c r="G882" s="75"/>
    </row>
    <row r="883">
      <c r="E883" s="75"/>
      <c r="F883" s="75"/>
      <c r="G883" s="75"/>
    </row>
    <row r="884">
      <c r="E884" s="75"/>
      <c r="F884" s="75"/>
      <c r="G884" s="75"/>
    </row>
    <row r="885">
      <c r="E885" s="75"/>
      <c r="F885" s="75"/>
      <c r="G885" s="75"/>
    </row>
    <row r="886">
      <c r="E886" s="75"/>
      <c r="F886" s="75"/>
      <c r="G886" s="75"/>
    </row>
    <row r="887">
      <c r="E887" s="75"/>
      <c r="F887" s="75"/>
      <c r="G887" s="75"/>
    </row>
    <row r="888">
      <c r="E888" s="75"/>
      <c r="F888" s="75"/>
      <c r="G888" s="75"/>
    </row>
    <row r="889">
      <c r="E889" s="75"/>
      <c r="F889" s="75"/>
      <c r="G889" s="75"/>
    </row>
    <row r="890">
      <c r="E890" s="75"/>
      <c r="F890" s="75"/>
      <c r="G890" s="75"/>
    </row>
    <row r="891">
      <c r="E891" s="75"/>
      <c r="F891" s="75"/>
      <c r="G891" s="75"/>
    </row>
    <row r="892">
      <c r="E892" s="75"/>
      <c r="F892" s="75"/>
      <c r="G892" s="75"/>
    </row>
    <row r="893">
      <c r="E893" s="75"/>
      <c r="F893" s="75"/>
      <c r="G893" s="75"/>
    </row>
    <row r="894">
      <c r="E894" s="75"/>
      <c r="F894" s="75"/>
      <c r="G894" s="75"/>
    </row>
    <row r="895">
      <c r="E895" s="75"/>
      <c r="F895" s="75"/>
      <c r="G895" s="75"/>
    </row>
    <row r="896">
      <c r="E896" s="75"/>
      <c r="F896" s="75"/>
      <c r="G896" s="75"/>
    </row>
    <row r="897">
      <c r="E897" s="75"/>
      <c r="F897" s="75"/>
      <c r="G897" s="75"/>
    </row>
    <row r="898">
      <c r="E898" s="75"/>
      <c r="F898" s="75"/>
      <c r="G898" s="75"/>
    </row>
    <row r="899">
      <c r="E899" s="75"/>
      <c r="F899" s="75"/>
      <c r="G899" s="75"/>
    </row>
    <row r="900">
      <c r="E900" s="75"/>
      <c r="F900" s="75"/>
      <c r="G900" s="75"/>
    </row>
    <row r="901">
      <c r="E901" s="75"/>
      <c r="F901" s="75"/>
      <c r="G901" s="75"/>
    </row>
    <row r="902">
      <c r="E902" s="75"/>
      <c r="F902" s="75"/>
      <c r="G902" s="75"/>
    </row>
    <row r="903">
      <c r="E903" s="75"/>
      <c r="F903" s="75"/>
      <c r="G903" s="75"/>
    </row>
    <row r="904">
      <c r="E904" s="75"/>
      <c r="F904" s="75"/>
      <c r="G904" s="75"/>
    </row>
    <row r="905">
      <c r="E905" s="75"/>
      <c r="F905" s="75"/>
      <c r="G905" s="75"/>
    </row>
    <row r="906">
      <c r="E906" s="75"/>
      <c r="F906" s="75"/>
      <c r="G906" s="75"/>
    </row>
    <row r="907">
      <c r="E907" s="75"/>
      <c r="F907" s="75"/>
      <c r="G907" s="75"/>
    </row>
    <row r="908">
      <c r="E908" s="75"/>
      <c r="F908" s="75"/>
      <c r="G908" s="75"/>
    </row>
    <row r="909">
      <c r="E909" s="75"/>
      <c r="F909" s="75"/>
      <c r="G909" s="75"/>
    </row>
    <row r="910">
      <c r="E910" s="75"/>
      <c r="F910" s="75"/>
      <c r="G910" s="75"/>
    </row>
    <row r="911">
      <c r="E911" s="75"/>
      <c r="F911" s="75"/>
      <c r="G911" s="75"/>
    </row>
    <row r="912">
      <c r="E912" s="75"/>
      <c r="F912" s="75"/>
      <c r="G912" s="75"/>
    </row>
    <row r="913">
      <c r="E913" s="75"/>
      <c r="F913" s="75"/>
      <c r="G913" s="75"/>
    </row>
    <row r="914">
      <c r="E914" s="75"/>
      <c r="F914" s="75"/>
      <c r="G914" s="75"/>
    </row>
    <row r="915">
      <c r="E915" s="75"/>
      <c r="F915" s="75"/>
      <c r="G915" s="75"/>
    </row>
    <row r="916">
      <c r="E916" s="75"/>
      <c r="F916" s="75"/>
      <c r="G916" s="75"/>
    </row>
    <row r="917">
      <c r="E917" s="75"/>
      <c r="F917" s="75"/>
      <c r="G917" s="75"/>
    </row>
    <row r="918">
      <c r="E918" s="75"/>
      <c r="F918" s="75"/>
      <c r="G918" s="75"/>
    </row>
    <row r="919">
      <c r="E919" s="75"/>
      <c r="F919" s="75"/>
      <c r="G919" s="75"/>
    </row>
    <row r="920">
      <c r="E920" s="75"/>
      <c r="F920" s="75"/>
      <c r="G920" s="75"/>
    </row>
    <row r="921">
      <c r="E921" s="75"/>
      <c r="F921" s="75"/>
      <c r="G921" s="75"/>
    </row>
    <row r="922">
      <c r="E922" s="75"/>
      <c r="F922" s="75"/>
      <c r="G922" s="75"/>
    </row>
    <row r="923">
      <c r="E923" s="75"/>
      <c r="F923" s="75"/>
      <c r="G923" s="75"/>
    </row>
    <row r="924">
      <c r="E924" s="75"/>
      <c r="F924" s="75"/>
      <c r="G924" s="75"/>
    </row>
    <row r="925">
      <c r="E925" s="75"/>
      <c r="F925" s="75"/>
      <c r="G925" s="75"/>
    </row>
    <row r="926">
      <c r="E926" s="75"/>
      <c r="F926" s="75"/>
      <c r="G926" s="75"/>
    </row>
    <row r="927">
      <c r="E927" s="75"/>
      <c r="F927" s="75"/>
      <c r="G927" s="75"/>
    </row>
    <row r="928">
      <c r="E928" s="75"/>
      <c r="F928" s="75"/>
      <c r="G928" s="75"/>
    </row>
    <row r="929">
      <c r="E929" s="75"/>
      <c r="F929" s="75"/>
      <c r="G929" s="75"/>
    </row>
    <row r="930">
      <c r="E930" s="75"/>
      <c r="F930" s="75"/>
      <c r="G930" s="75"/>
    </row>
    <row r="931">
      <c r="E931" s="75"/>
      <c r="F931" s="75"/>
      <c r="G931" s="75"/>
    </row>
    <row r="932">
      <c r="E932" s="75"/>
      <c r="F932" s="75"/>
      <c r="G932" s="75"/>
    </row>
    <row r="933">
      <c r="E933" s="75"/>
      <c r="F933" s="75"/>
      <c r="G933" s="75"/>
    </row>
    <row r="934">
      <c r="E934" s="75"/>
      <c r="F934" s="75"/>
      <c r="G934" s="75"/>
    </row>
    <row r="935">
      <c r="E935" s="75"/>
      <c r="F935" s="75"/>
      <c r="G935" s="75"/>
    </row>
    <row r="936">
      <c r="E936" s="75"/>
      <c r="F936" s="75"/>
      <c r="G936" s="75"/>
    </row>
    <row r="937">
      <c r="E937" s="75"/>
      <c r="F937" s="75"/>
      <c r="G937" s="75"/>
    </row>
    <row r="938">
      <c r="E938" s="75"/>
      <c r="F938" s="75"/>
      <c r="G938" s="75"/>
    </row>
    <row r="939">
      <c r="E939" s="75"/>
      <c r="F939" s="75"/>
      <c r="G939" s="75"/>
    </row>
    <row r="940">
      <c r="E940" s="75"/>
      <c r="F940" s="75"/>
      <c r="G940" s="75"/>
    </row>
    <row r="941">
      <c r="E941" s="75"/>
      <c r="F941" s="75"/>
      <c r="G941" s="75"/>
    </row>
    <row r="942">
      <c r="E942" s="75"/>
      <c r="F942" s="75"/>
      <c r="G942" s="75"/>
    </row>
    <row r="943">
      <c r="E943" s="75"/>
      <c r="F943" s="75"/>
      <c r="G943" s="75"/>
    </row>
    <row r="944">
      <c r="E944" s="75"/>
      <c r="F944" s="75"/>
      <c r="G944" s="75"/>
    </row>
    <row r="945">
      <c r="E945" s="75"/>
      <c r="F945" s="75"/>
      <c r="G945" s="75"/>
    </row>
    <row r="946">
      <c r="E946" s="75"/>
      <c r="F946" s="75"/>
      <c r="G946" s="75"/>
    </row>
    <row r="947">
      <c r="E947" s="75"/>
      <c r="F947" s="75"/>
      <c r="G947" s="75"/>
    </row>
    <row r="948">
      <c r="E948" s="75"/>
      <c r="F948" s="75"/>
      <c r="G948" s="75"/>
    </row>
    <row r="949">
      <c r="E949" s="75"/>
      <c r="F949" s="75"/>
      <c r="G949" s="75"/>
    </row>
    <row r="950">
      <c r="E950" s="75"/>
      <c r="F950" s="75"/>
      <c r="G950" s="75"/>
    </row>
    <row r="951">
      <c r="E951" s="75"/>
      <c r="F951" s="75"/>
      <c r="G951" s="75"/>
    </row>
    <row r="952">
      <c r="E952" s="75"/>
      <c r="F952" s="75"/>
      <c r="G952" s="75"/>
    </row>
    <row r="953">
      <c r="E953" s="75"/>
      <c r="F953" s="75"/>
      <c r="G953" s="75"/>
    </row>
    <row r="954">
      <c r="E954" s="75"/>
      <c r="F954" s="75"/>
      <c r="G954" s="75"/>
    </row>
    <row r="955">
      <c r="E955" s="75"/>
      <c r="F955" s="75"/>
      <c r="G955" s="75"/>
    </row>
    <row r="956">
      <c r="E956" s="75"/>
      <c r="F956" s="75"/>
      <c r="G956" s="75"/>
    </row>
    <row r="957">
      <c r="E957" s="75"/>
      <c r="F957" s="75"/>
      <c r="G957" s="75"/>
    </row>
    <row r="958">
      <c r="E958" s="75"/>
      <c r="F958" s="75"/>
      <c r="G958" s="75"/>
    </row>
    <row r="959">
      <c r="E959" s="75"/>
      <c r="F959" s="75"/>
      <c r="G959" s="75"/>
    </row>
    <row r="960">
      <c r="E960" s="75"/>
      <c r="F960" s="75"/>
      <c r="G960" s="75"/>
    </row>
    <row r="961">
      <c r="E961" s="75"/>
      <c r="F961" s="75"/>
      <c r="G961" s="75"/>
    </row>
    <row r="962">
      <c r="E962" s="75"/>
      <c r="F962" s="75"/>
      <c r="G962" s="75"/>
    </row>
    <row r="963">
      <c r="E963" s="75"/>
      <c r="F963" s="75"/>
      <c r="G963" s="75"/>
    </row>
    <row r="964">
      <c r="E964" s="75"/>
      <c r="F964" s="75"/>
      <c r="G964" s="75"/>
    </row>
    <row r="965">
      <c r="E965" s="75"/>
      <c r="F965" s="75"/>
      <c r="G965" s="75"/>
    </row>
    <row r="966">
      <c r="E966" s="75"/>
      <c r="F966" s="75"/>
      <c r="G966" s="75"/>
    </row>
    <row r="967">
      <c r="E967" s="75"/>
      <c r="F967" s="75"/>
      <c r="G967" s="75"/>
    </row>
    <row r="968">
      <c r="E968" s="75"/>
      <c r="F968" s="75"/>
      <c r="G968" s="75"/>
    </row>
    <row r="969">
      <c r="E969" s="75"/>
      <c r="F969" s="75"/>
      <c r="G969" s="75"/>
    </row>
    <row r="970">
      <c r="E970" s="75"/>
      <c r="F970" s="75"/>
      <c r="G970" s="75"/>
    </row>
    <row r="971">
      <c r="E971" s="75"/>
      <c r="F971" s="75"/>
      <c r="G971" s="75"/>
    </row>
    <row r="972">
      <c r="E972" s="75"/>
      <c r="F972" s="75"/>
      <c r="G972" s="75"/>
    </row>
    <row r="973">
      <c r="E973" s="75"/>
      <c r="F973" s="75"/>
      <c r="G973" s="75"/>
    </row>
    <row r="974">
      <c r="E974" s="75"/>
      <c r="F974" s="75"/>
      <c r="G974" s="75"/>
    </row>
    <row r="975">
      <c r="E975" s="75"/>
      <c r="F975" s="75"/>
      <c r="G975" s="75"/>
    </row>
    <row r="976">
      <c r="E976" s="75"/>
      <c r="F976" s="75"/>
      <c r="G976" s="75"/>
    </row>
    <row r="977">
      <c r="E977" s="75"/>
      <c r="F977" s="75"/>
      <c r="G977" s="75"/>
    </row>
    <row r="978">
      <c r="E978" s="75"/>
      <c r="F978" s="75"/>
      <c r="G978" s="75"/>
    </row>
    <row r="979">
      <c r="E979" s="75"/>
      <c r="F979" s="75"/>
      <c r="G979" s="75"/>
    </row>
    <row r="980">
      <c r="E980" s="75"/>
      <c r="F980" s="75"/>
      <c r="G980" s="75"/>
    </row>
    <row r="981">
      <c r="E981" s="75"/>
      <c r="F981" s="75"/>
      <c r="G981" s="75"/>
    </row>
    <row r="982">
      <c r="E982" s="75"/>
      <c r="F982" s="75"/>
      <c r="G982" s="75"/>
    </row>
    <row r="983">
      <c r="E983" s="75"/>
      <c r="F983" s="75"/>
      <c r="G983" s="75"/>
    </row>
    <row r="984">
      <c r="E984" s="75"/>
      <c r="F984" s="75"/>
      <c r="G984" s="75"/>
    </row>
    <row r="985">
      <c r="E985" s="75"/>
      <c r="F985" s="75"/>
      <c r="G985" s="75"/>
    </row>
    <row r="986">
      <c r="E986" s="75"/>
      <c r="F986" s="75"/>
      <c r="G986" s="75"/>
    </row>
    <row r="987">
      <c r="E987" s="75"/>
      <c r="F987" s="75"/>
      <c r="G987" s="75"/>
    </row>
    <row r="988">
      <c r="E988" s="75"/>
      <c r="F988" s="75"/>
      <c r="G988" s="75"/>
    </row>
    <row r="989">
      <c r="E989" s="75"/>
      <c r="F989" s="75"/>
      <c r="G989" s="75"/>
    </row>
    <row r="990">
      <c r="E990" s="75"/>
      <c r="F990" s="75"/>
      <c r="G990" s="75"/>
    </row>
    <row r="991">
      <c r="E991" s="75"/>
      <c r="F991" s="75"/>
      <c r="G991" s="75"/>
    </row>
    <row r="992">
      <c r="E992" s="75"/>
      <c r="F992" s="75"/>
      <c r="G992" s="75"/>
    </row>
    <row r="993">
      <c r="E993" s="75"/>
      <c r="F993" s="75"/>
      <c r="G993" s="75"/>
    </row>
    <row r="994">
      <c r="E994" s="75"/>
      <c r="F994" s="75"/>
      <c r="G994" s="75"/>
    </row>
    <row r="995">
      <c r="E995" s="75"/>
      <c r="F995" s="75"/>
      <c r="G995" s="75"/>
    </row>
    <row r="996">
      <c r="E996" s="75"/>
      <c r="F996" s="75"/>
      <c r="G996" s="75"/>
    </row>
    <row r="997">
      <c r="E997" s="75"/>
      <c r="F997" s="75"/>
      <c r="G997" s="75"/>
    </row>
    <row r="998">
      <c r="E998" s="75"/>
      <c r="F998" s="75"/>
      <c r="G998" s="75"/>
    </row>
    <row r="999">
      <c r="E999" s="75"/>
      <c r="F999" s="75"/>
      <c r="G999" s="75"/>
    </row>
    <row r="1000">
      <c r="E1000" s="75"/>
      <c r="F1000" s="75"/>
      <c r="G1000" s="75"/>
    </row>
    <row r="1001">
      <c r="E1001" s="75"/>
      <c r="F1001" s="75"/>
      <c r="G1001" s="75"/>
    </row>
    <row r="1002">
      <c r="E1002" s="75"/>
      <c r="F1002" s="75"/>
      <c r="G1002" s="75"/>
    </row>
    <row r="1003">
      <c r="E1003" s="75"/>
      <c r="F1003" s="75"/>
      <c r="G1003" s="75"/>
    </row>
    <row r="1004">
      <c r="E1004" s="75"/>
      <c r="F1004" s="75"/>
      <c r="G1004" s="75"/>
    </row>
    <row r="1005">
      <c r="E1005" s="75"/>
      <c r="F1005" s="75"/>
      <c r="G1005" s="75"/>
    </row>
    <row r="1006">
      <c r="E1006" s="75"/>
      <c r="F1006" s="75"/>
      <c r="G1006" s="75"/>
    </row>
    <row r="1007">
      <c r="E1007" s="75"/>
      <c r="F1007" s="75"/>
      <c r="G1007" s="75"/>
    </row>
    <row r="1008">
      <c r="E1008" s="75"/>
      <c r="F1008" s="75"/>
      <c r="G1008" s="75"/>
    </row>
    <row r="1009">
      <c r="E1009" s="75"/>
      <c r="F1009" s="75"/>
      <c r="G1009" s="75"/>
    </row>
    <row r="1010">
      <c r="E1010" s="75"/>
      <c r="F1010" s="75"/>
      <c r="G1010" s="75"/>
    </row>
    <row r="1011">
      <c r="E1011" s="75"/>
      <c r="F1011" s="75"/>
      <c r="G1011" s="75"/>
    </row>
    <row r="1012">
      <c r="E1012" s="75"/>
      <c r="F1012" s="75"/>
      <c r="G1012" s="75"/>
    </row>
    <row r="1013">
      <c r="E1013" s="75"/>
      <c r="F1013" s="75"/>
      <c r="G1013" s="75"/>
    </row>
    <row r="1014">
      <c r="E1014" s="75"/>
      <c r="F1014" s="75"/>
      <c r="G1014" s="75"/>
    </row>
    <row r="1015">
      <c r="E1015" s="75"/>
      <c r="F1015" s="75"/>
      <c r="G1015" s="75"/>
    </row>
    <row r="1016">
      <c r="E1016" s="75"/>
      <c r="F1016" s="75"/>
      <c r="G1016" s="75"/>
    </row>
    <row r="1017">
      <c r="E1017" s="75"/>
      <c r="F1017" s="75"/>
      <c r="G1017" s="75"/>
    </row>
    <row r="1018">
      <c r="E1018" s="75"/>
      <c r="F1018" s="75"/>
      <c r="G1018" s="75"/>
    </row>
    <row r="1019">
      <c r="E1019" s="75"/>
      <c r="F1019" s="75"/>
      <c r="G1019" s="75"/>
    </row>
    <row r="1020">
      <c r="E1020" s="75"/>
      <c r="F1020" s="75"/>
      <c r="G1020" s="75"/>
    </row>
    <row r="1021">
      <c r="E1021" s="75"/>
      <c r="F1021" s="75"/>
      <c r="G1021" s="75"/>
    </row>
    <row r="1022">
      <c r="E1022" s="75"/>
      <c r="F1022" s="75"/>
      <c r="G1022" s="75"/>
    </row>
    <row r="1023">
      <c r="E1023" s="75"/>
      <c r="F1023" s="75"/>
      <c r="G1023" s="75"/>
    </row>
    <row r="1024">
      <c r="E1024" s="75"/>
      <c r="F1024" s="75"/>
      <c r="G1024" s="75"/>
    </row>
    <row r="1025">
      <c r="E1025" s="75"/>
      <c r="F1025" s="75"/>
      <c r="G1025" s="75"/>
    </row>
  </sheetData>
  <drawing r:id="rId1"/>
</worksheet>
</file>